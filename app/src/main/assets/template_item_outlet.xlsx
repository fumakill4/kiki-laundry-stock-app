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30480" yWindow="1000" windowWidth="21200" windowHeight="14460" tabRatio="600" firstSheet="0" activeTab="2" autoFilterDateGrouping="1"/>
  </bookViews>
  <sheets>
    <sheet name="Beranda" sheetId="1" state="visible" r:id="rId1"/>
    <sheet name="Master Stok" sheetId="2" state="visible" r:id="rId2"/>
    <sheet name="Input Transaksi" sheetId="3" state="visible" r:id="rId3"/>
    <sheet name="Daftar Outlet" sheetId="4" state="visible" r:id="rId4"/>
    <sheet name="JCL SIDAKARYA" sheetId="5" state="visible" r:id="rId5"/>
    <sheet name="BALI WASH GALANG" sheetId="6" state="visible" r:id="rId6"/>
    <sheet name="JCL BYPASS" sheetId="7" state="visible" r:id="rId7"/>
    <sheet name="JCL SESETAN" sheetId="8" state="visible" r:id="rId8"/>
    <sheet name="CL SESETAN" sheetId="9" state="visible" r:id="rId9"/>
    <sheet name="GRIYA ANYAR" sheetId="10" state="visible" r:id="rId10"/>
    <sheet name="KLIN WASH" sheetId="11" state="visible" r:id="rId11"/>
    <sheet name="LONDRI DEWE" sheetId="12" state="visible" r:id="rId12"/>
    <sheet name="DIY" sheetId="13" state="visible" r:id="rId13"/>
    <sheet name="JCL PEMOGAN" sheetId="14" state="visible" r:id="rId14"/>
    <sheet name="JCL AYANI" sheetId="15" state="visible" r:id="rId15"/>
    <sheet name="CUCI DEWE" sheetId="16" state="visible" r:id="rId16"/>
    <sheet name="LONDRI DEWE ANTASURA" sheetId="17" state="visible" r:id="rId17"/>
    <sheet name="GEDE LONDRI" sheetId="18" state="visible" r:id="rId18"/>
    <sheet name="JCL NUSA KAMBANGAN" sheetId="19" state="visible" r:id="rId19"/>
    <sheet name="JCL MERPATI" sheetId="20" state="visible" r:id="rId20"/>
    <sheet name="BALI WASH" sheetId="21" state="visible" r:id="rId21"/>
    <sheet name="RINJANI WASH" sheetId="22" state="visible" r:id="rId22"/>
    <sheet name="MONANG MANING" sheetId="23" state="visible" r:id="rId23"/>
    <sheet name="Referensi" sheetId="24" state="hidden" r:id="rId24"/>
  </sheets>
  <definedNames>
    <definedName name="ItemList">OFFSET('Master Stok'!$A$5,0,0,COUNTA('Master Stok'!$A$5:$A$1000),1)</definedName>
    <definedName name="OutletList">Referensi!$A$2:$A$20</definedName>
    <definedName name="_xlnm._FilterDatabase" localSheetId="1" hidden="1">'Master Stok'!$A$4:$D$1000</definedName>
    <definedName name="_xlnm._FilterDatabase" localSheetId="2" hidden="1">'Input Transaksi'!$A$4:$F$5000</definedName>
    <definedName name="_xlnm._FilterDatabase" localSheetId="3" hidden="1">'Daftar Outlet'!$A$3:$C$22</definedName>
    <definedName name="_xlnm._FilterDatabase" localSheetId="4" hidden="1">'JCL SIDAKARYA'!$A$4:$D$1000</definedName>
    <definedName name="_xlnm._FilterDatabase" localSheetId="5" hidden="1">'BALI WASH GALANG'!$A$4:$D$1000</definedName>
    <definedName name="_xlnm._FilterDatabase" localSheetId="6" hidden="1">'JCL BYPASS'!$A$4:$D$1000</definedName>
    <definedName name="_xlnm._FilterDatabase" localSheetId="7" hidden="1">'JCL SESETAN'!$A$4:$D$1000</definedName>
    <definedName name="_xlnm._FilterDatabase" localSheetId="9" hidden="1">'GRIYA ANYAR'!$A$4:$D$1000</definedName>
    <definedName name="_xlnm._FilterDatabase" localSheetId="10" hidden="1">'KLIN WASH'!$A$4:$D$1000</definedName>
    <definedName name="_xlnm._FilterDatabase" localSheetId="11" hidden="1">'LONDRI DEWE'!$A$4:$D$1000</definedName>
    <definedName name="_xlnm._FilterDatabase" localSheetId="12" hidden="1">'DIY'!$A$4:$D$1000</definedName>
    <definedName name="_xlnm._FilterDatabase" localSheetId="13" hidden="1">'JCL PEMOGAN'!$A$4:$D$1000</definedName>
    <definedName name="_xlnm._FilterDatabase" localSheetId="14" hidden="1">'JCL AYANI'!$A$4:$D$1000</definedName>
    <definedName name="_xlnm._FilterDatabase" localSheetId="15" hidden="1">'CUCI DEWE'!$A$4:$D$1000</definedName>
    <definedName name="_xlnm._FilterDatabase" localSheetId="16" hidden="1">'LONDRI DEWE ANTASURA'!$A$4:$D$1000</definedName>
    <definedName name="_xlnm._FilterDatabase" localSheetId="17" hidden="1">'GEDE LONDRI'!$A$4:$D$1000</definedName>
    <definedName name="_xlnm._FilterDatabase" localSheetId="18" hidden="1">'JCL NUSA KAMBANGAN'!$A$4:$D$1000</definedName>
    <definedName name="_xlnm._FilterDatabase" localSheetId="19" hidden="1">'JCL MERPATI'!$A$4:$D$1000</definedName>
    <definedName name="_xlnm._FilterDatabase" localSheetId="20" hidden="1">'BALI WASH'!$A$4:$D$1000</definedName>
    <definedName name="_xlnm._FilterDatabase" localSheetId="21" hidden="1">'RINJANI WASH'!$A$4:$D$1000</definedName>
    <definedName name="_xlnm._FilterDatabase" localSheetId="22" hidden="1">'MONANG MANING'!$A$4:$D$1000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dd\ mmm\ yyyy"/>
  </numFmts>
  <fonts count="8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8"/>
      <scheme val="minor"/>
    </font>
    <font>
      <name val="Calibri"/>
      <family val="2"/>
      <i val="1"/>
      <color rgb="FF475569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166534"/>
      <sz val="11"/>
      <scheme val="minor"/>
    </font>
    <font>
      <name val="Calibri"/>
      <family val="2"/>
      <color rgb="FF1D4ED8"/>
      <sz val="11"/>
      <u val="single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theme="10"/>
      <sz val="12"/>
      <scheme val="minor"/>
    </font>
  </fonts>
  <fills count="8">
    <fill>
      <patternFill/>
    </fill>
    <fill>
      <patternFill patternType="gray125"/>
    </fill>
    <fill>
      <patternFill patternType="solid">
        <fgColor rgb="FF0F4C81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DCEAF7"/>
        <bgColor indexed="64"/>
      </patternFill>
    </fill>
    <fill>
      <patternFill patternType="solid">
        <fgColor rgb="FFD9F2E3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FFF4CC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7" fillId="0" borderId="0"/>
  </cellStyleXfs>
  <cellXfs count="23">
    <xf numFmtId="0" fontId="0" fillId="0" borderId="0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6" fillId="2" borderId="1" applyAlignment="1" pivotButton="0" quotePrefix="0" xfId="0">
      <alignment horizontal="center" vertical="center"/>
    </xf>
    <xf numFmtId="0" fontId="0" fillId="6" borderId="1" applyAlignment="1" pivotButton="0" quotePrefix="0" xfId="0">
      <alignment vertical="center"/>
    </xf>
    <xf numFmtId="0" fontId="0" fillId="7" borderId="1" applyAlignment="1" pivotButton="0" quotePrefix="0" xfId="0">
      <alignment horizontal="center" vertical="center"/>
    </xf>
    <xf numFmtId="164" fontId="0" fillId="7" borderId="1" applyAlignment="1" pivotButton="0" quotePrefix="0" xfId="0">
      <alignment vertical="center"/>
    </xf>
    <xf numFmtId="0" fontId="0" fillId="7" borderId="1" applyAlignment="1" pivotButton="0" quotePrefix="0" xfId="0">
      <alignment vertical="center"/>
    </xf>
    <xf numFmtId="0" fontId="0" fillId="6" borderId="1" applyAlignment="1" pivotButton="0" quotePrefix="0" xfId="0">
      <alignment horizontal="center" vertical="center"/>
    </xf>
    <xf numFmtId="164" fontId="0" fillId="6" borderId="1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7" fillId="0" borderId="0" pivotButton="0" quotePrefix="0" xfId="1"/>
  </cellXfs>
  <cellStyles count="2">
    <cellStyle name="Normal" xfId="0" builtinId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:I2"/>
    </sheetView>
  </sheetViews>
  <sheetFormatPr baseColWidth="10" defaultColWidth="8.83203125" defaultRowHeight="15"/>
  <cols>
    <col width="22.6640625" customWidth="1" min="1" max="1"/>
    <col width="16.6640625" customWidth="1" min="2" max="2"/>
    <col width="22.6640625" customWidth="1" min="4" max="4"/>
    <col width="18.6640625" customWidth="1" min="5" max="5"/>
    <col width="24.6640625" customWidth="1" min="7" max="7"/>
    <col width="16.6640625" customWidth="1" min="8" max="9"/>
  </cols>
  <sheetData>
    <row r="1" ht="26" customHeight="1">
      <c r="A1" s="11" t="inlineStr">
        <is>
          <t>ITEM OUTLET DASHBOARD</t>
        </is>
      </c>
    </row>
    <row r="2"/>
    <row r="3" ht="36" customHeight="1">
      <c r="A3" s="12" t="inlineStr">
        <is>
          <t>Klik nama outlet untuk buka riwayat pengambilan barang. Input transaksi cukup dari sheet Input Transaksi, lalu stok sisa dan sheet outlet akan update otomatis.</t>
        </is>
      </c>
      <c r="B3" s="14" t="n"/>
      <c r="C3" s="14" t="n"/>
      <c r="D3" s="14" t="n"/>
      <c r="E3" s="14" t="n"/>
      <c r="F3" s="14" t="n"/>
      <c r="G3" s="14" t="n"/>
      <c r="H3" s="14" t="n"/>
      <c r="I3" s="15" t="n"/>
    </row>
    <row r="4"/>
    <row r="5">
      <c r="A5" s="13" t="inlineStr">
        <is>
          <t>Total Item Aktif</t>
        </is>
      </c>
      <c r="B5" s="2">
        <f>COUNTA('Master Stok'!$A$5:$A$1000)</f>
        <v/>
      </c>
      <c r="D5" s="13" t="inlineStr">
        <is>
          <t>Total Stok Awal</t>
        </is>
      </c>
      <c r="E5" s="2">
        <f>SUM('Master Stok'!$B$5:$B$1000)</f>
        <v/>
      </c>
      <c r="G5" s="13" t="inlineStr">
        <is>
          <t>Total Keluar</t>
        </is>
      </c>
      <c r="H5" s="2">
        <f>SUM('Master Stok'!$C$5:$C$1000)</f>
        <v/>
      </c>
    </row>
    <row r="6">
      <c r="A6" s="16" t="n"/>
      <c r="D6" s="16" t="n"/>
      <c r="G6" s="16" t="n"/>
    </row>
    <row r="7">
      <c r="A7" s="13" t="inlineStr">
        <is>
          <t>Sisa Stok</t>
        </is>
      </c>
      <c r="B7" s="2">
        <f>SUM('Master Stok'!$D$5:$D$1000)</f>
        <v/>
      </c>
      <c r="D7" s="12" t="inlineStr">
        <is>
          <t>1. Isi item dan stok awal di Master Stok. 2. Input pengambilan di Input Transaksi. 3. Klik nama outlet untuk lihat riwayatnya.</t>
        </is>
      </c>
      <c r="E7" s="17" t="n"/>
      <c r="F7" s="17" t="n"/>
      <c r="G7" s="17" t="n"/>
      <c r="H7" s="17" t="n"/>
      <c r="I7" s="18" t="n"/>
    </row>
    <row r="8">
      <c r="A8" s="16" t="n"/>
      <c r="D8" s="19" t="n"/>
      <c r="E8" s="20" t="n"/>
      <c r="F8" s="20" t="n"/>
      <c r="G8" s="20" t="n"/>
      <c r="H8" s="20" t="n"/>
      <c r="I8" s="21" t="n"/>
    </row>
    <row r="9"/>
    <row r="10">
      <c r="A10" s="13" t="inlineStr">
        <is>
          <t>OUTLET SELATAN</t>
        </is>
      </c>
      <c r="B10" s="14" t="n"/>
      <c r="C10" s="15" t="n"/>
      <c r="D10" s="13" t="inlineStr">
        <is>
          <t>OUTLET UTARA</t>
        </is>
      </c>
      <c r="E10" s="14" t="n"/>
      <c r="F10" s="15" t="n"/>
      <c r="G10" s="13" t="inlineStr">
        <is>
          <t>OUTLET BARAT</t>
        </is>
      </c>
      <c r="H10" s="14" t="n"/>
      <c r="I10" s="15" t="n"/>
    </row>
    <row r="11">
      <c r="A11" s="22" t="inlineStr">
        <is>
          <t>JCL SIDAKARYA</t>
        </is>
      </c>
      <c r="D11" s="22" t="inlineStr">
        <is>
          <t>JCL AYANI</t>
        </is>
      </c>
      <c r="G11" s="22" t="inlineStr">
        <is>
          <t>JCL NUSA KAMBANGAN</t>
        </is>
      </c>
    </row>
    <row r="12">
      <c r="A12" s="22" t="inlineStr">
        <is>
          <t>BALI WASH GALANG</t>
        </is>
      </c>
      <c r="D12" s="22" t="inlineStr">
        <is>
          <t>CUCI DEWE</t>
        </is>
      </c>
      <c r="G12" s="22" t="inlineStr">
        <is>
          <t>JCL MERPATI</t>
        </is>
      </c>
    </row>
    <row r="13">
      <c r="A13" s="22" t="inlineStr">
        <is>
          <t>JCL BYPASS</t>
        </is>
      </c>
      <c r="D13" s="22" t="inlineStr">
        <is>
          <t>LONDRI DEWE ANTASURA</t>
        </is>
      </c>
      <c r="G13" s="22" t="inlineStr">
        <is>
          <t>BALI WASH</t>
        </is>
      </c>
    </row>
    <row r="14">
      <c r="A14" s="22" t="inlineStr">
        <is>
          <t>JCL SESETAN</t>
        </is>
      </c>
      <c r="D14" s="22" t="inlineStr">
        <is>
          <t>GEDE LONDRI</t>
        </is>
      </c>
      <c r="G14" s="22" t="inlineStr">
        <is>
          <t>RINJANI WASH</t>
        </is>
      </c>
    </row>
    <row r="15">
      <c r="A15" s="22" t="inlineStr">
        <is>
          <t>CL SESETAN</t>
        </is>
      </c>
      <c r="D15" s="22" t="n"/>
      <c r="G15" s="22" t="inlineStr">
        <is>
          <t>MONANG MANING</t>
        </is>
      </c>
    </row>
    <row r="16">
      <c r="A16" s="22" t="inlineStr">
        <is>
          <t>GRIYA ANYAR</t>
        </is>
      </c>
      <c r="D16" s="22" t="n"/>
      <c r="G16" s="22" t="n"/>
    </row>
    <row r="17">
      <c r="A17" s="22" t="inlineStr">
        <is>
          <t>KLIN WASH</t>
        </is>
      </c>
    </row>
    <row r="18">
      <c r="A18" s="22" t="inlineStr">
        <is>
          <t>LONDRI DEWE</t>
        </is>
      </c>
    </row>
    <row r="19">
      <c r="A19" s="22" t="inlineStr">
        <is>
          <t>DIY</t>
        </is>
      </c>
    </row>
    <row r="20">
      <c r="A20" s="22" t="inlineStr">
        <is>
          <t>JCL PEMOGAN</t>
        </is>
      </c>
    </row>
  </sheetData>
  <mergeCells count="10">
    <mergeCell ref="A10:C10"/>
    <mergeCell ref="G5:G6"/>
    <mergeCell ref="A5:A6"/>
    <mergeCell ref="G10:I10"/>
    <mergeCell ref="D10:F10"/>
    <mergeCell ref="A7:A8"/>
    <mergeCell ref="A1:I2"/>
    <mergeCell ref="A3:I3"/>
    <mergeCell ref="D7:I8"/>
    <mergeCell ref="D5:D6"/>
  </mergeCells>
  <hyperlinks>
    <hyperlink ref="A11" location="'JCL SIDAKARYA'!A1" display="JCL SIDAKARYA"/>
    <hyperlink ref="D11" location="'JCL AYANI'!A1" display="JCL AYANI"/>
    <hyperlink ref="G11" location="'JCL NUSA KAMBANGAN'!A1" display="JCL NUSA KAMBANGAN"/>
    <hyperlink ref="A12" location="'BALI WASH GALANG'!A1" display="BALI WASH GALANG"/>
    <hyperlink ref="D12" location="'CUCI DEWE'!A1" display="CUCI DEWE"/>
    <hyperlink ref="G12" location="'JCL MERPATI'!A1" display="JCL MERPATI"/>
    <hyperlink ref="A13" location="'JCL BYPASS'!A1" display="JCL BYPASS"/>
    <hyperlink ref="D13" location="'LONDRI DEWE ANTASURA'!A1" display="LONDRI DEWE ANTASURA"/>
    <hyperlink ref="G13" location="'BALI WASH'!A1" display="BALI WASH"/>
    <hyperlink ref="A14" location="'JCL SESETAN'!A1" display="JCL SESETAN"/>
    <hyperlink ref="D14" location="'GEDE LONDRI'!A1" display="GEDE LONDRI"/>
    <hyperlink ref="G14" location="'RINJANI WASH'!A1" display="RINJANI WASH"/>
    <hyperlink ref="A15" location="'CL SESETAN'!A1" display="CL SESETAN"/>
    <hyperlink ref="G15" location="'MONANG MANING'!A1" display="MONANG MANING"/>
    <hyperlink ref="A16" location="'GRIYA ANYAR'!A1" display="GRIYA ANYAR"/>
    <hyperlink ref="A17" location="'KLIN WASH'!A1" display="KLIN WASH"/>
    <hyperlink ref="A18" location="'LONDRI DEWE'!A1" display="LONDRI DEWE"/>
    <hyperlink ref="A19" location="'DIY'!A1" display="DIY"/>
    <hyperlink ref="A20" location="'JCL PEMOGAN'!A1" display="JCL PEMOGAN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00"/>
  <sheetViews>
    <sheetView workbookViewId="0">
      <pane ySplit="4" topLeftCell="A5" activePane="bottomLeft" state="frozen"/>
      <selection pane="bottomLeft" activeCell="A1" sqref="A1"/>
    </sheetView>
  </sheetViews>
  <sheetFormatPr baseColWidth="10" defaultColWidth="8.83203125" defaultRowHeight="15"/>
  <cols>
    <col width="28.6640625" customWidth="1" min="1" max="1"/>
    <col width="16.6640625" customWidth="1" min="2" max="4"/>
  </cols>
  <sheetData>
    <row r="1" ht="24" customHeight="1">
      <c r="A1" s="11" t="inlineStr">
        <is>
          <t>MASTER STOK</t>
        </is>
      </c>
    </row>
    <row r="2" ht="36" customHeight="1">
      <c r="A2" s="12" t="inlineStr">
        <is>
          <t>Ubah daftar item dan stok awal sesuai kebutuhan. Tambahkan item baru berurutan ke bawah tanpa sel kosong supaya dropdown dan total tetap ikut.</t>
        </is>
      </c>
      <c r="B2" s="14" t="n"/>
      <c r="C2" s="14" t="n"/>
      <c r="D2" s="15" t="n"/>
    </row>
    <row r="3"/>
    <row r="4">
      <c r="A4" s="4" t="inlineStr">
        <is>
          <t>Item</t>
        </is>
      </c>
      <c r="B4" s="4" t="inlineStr">
        <is>
          <t>Stok Awal</t>
        </is>
      </c>
      <c r="C4" s="4" t="inlineStr">
        <is>
          <t>Total Keluar</t>
        </is>
      </c>
      <c r="D4" s="4" t="inlineStr">
        <is>
          <t>Sisa Stok</t>
        </is>
      </c>
    </row>
    <row r="5">
      <c r="A5" s="5" t="inlineStr">
        <is>
          <t>SODA</t>
        </is>
      </c>
      <c r="B5" s="6" t="n"/>
      <c r="C5" s="2">
        <f>IF(A5="","",SUMIFS('Input Transaksi'!$E$5:$E$5000,'Input Transaksi'!$D$5:$D$5000,A5))</f>
        <v/>
      </c>
      <c r="D5" s="2">
        <f>IF(OR(A5="",B5=""),"",B5-C5)</f>
        <v/>
      </c>
    </row>
    <row r="6">
      <c r="A6" s="5" t="inlineStr">
        <is>
          <t>CITRUN</t>
        </is>
      </c>
      <c r="B6" s="6" t="n"/>
      <c r="C6" s="2">
        <f>IF(A6="","",SUMIFS('Input Transaksi'!$E$5:$E$5000,'Input Transaksi'!$D$5:$D$5000,A6))</f>
        <v/>
      </c>
      <c r="D6" s="2">
        <f>IF(OR(A6="",B6=""),"",B6-C6)</f>
        <v/>
      </c>
    </row>
    <row r="7">
      <c r="A7" s="5" t="inlineStr">
        <is>
          <t>SAPU</t>
        </is>
      </c>
      <c r="B7" s="6" t="n"/>
      <c r="C7" s="2">
        <f>IF(A7="","",SUMIFS('Input Transaksi'!$E$5:$E$5000,'Input Transaksi'!$D$5:$D$5000,A7))</f>
        <v/>
      </c>
      <c r="D7" s="2">
        <f>IF(OR(A7="",B7=""),"",B7-C7)</f>
        <v/>
      </c>
    </row>
    <row r="8">
      <c r="A8" s="5" t="inlineStr">
        <is>
          <t>SUNLIGHT</t>
        </is>
      </c>
      <c r="B8" s="6" t="n"/>
      <c r="C8" s="2">
        <f>IF(A8="","",SUMIFS('Input Transaksi'!$E$5:$E$5000,'Input Transaksi'!$D$5:$D$5000,A8))</f>
        <v/>
      </c>
      <c r="D8" s="2">
        <f>IF(OR(A8="",B8=""),"",B8-C8)</f>
        <v/>
      </c>
    </row>
    <row r="9">
      <c r="A9" s="5" t="inlineStr">
        <is>
          <t>SIKAT MESIN</t>
        </is>
      </c>
      <c r="B9" s="6" t="n"/>
      <c r="C9" s="2">
        <f>IF(A9="","",SUMIFS('Input Transaksi'!$E$5:$E$5000,'Input Transaksi'!$D$5:$D$5000,A9))</f>
        <v/>
      </c>
      <c r="D9" s="2">
        <f>IF(OR(A9="",B9=""),"",B9-C9)</f>
        <v/>
      </c>
    </row>
    <row r="10">
      <c r="A10" s="5" t="inlineStr">
        <is>
          <t>KUAS</t>
        </is>
      </c>
      <c r="B10" s="6" t="n"/>
      <c r="C10" s="2">
        <f>IF(A10="","",SUMIFS('Input Transaksi'!$E$5:$E$5000,'Input Transaksi'!$D$5:$D$5000,A10))</f>
        <v/>
      </c>
      <c r="D10" s="2">
        <f>IF(OR(A10="",B10=""),"",B10-C10)</f>
        <v/>
      </c>
    </row>
    <row r="11">
      <c r="A11" s="5" t="inlineStr">
        <is>
          <t>KRESEK SAMPAH</t>
        </is>
      </c>
      <c r="B11" s="6" t="n"/>
      <c r="C11" s="2">
        <f>IF(A11="","",SUMIFS('Input Transaksi'!$E$5:$E$5000,'Input Transaksi'!$D$5:$D$5000,A11))</f>
        <v/>
      </c>
      <c r="D11" s="2">
        <f>IF(OR(A11="",B11=""),"",B11-C11)</f>
        <v/>
      </c>
    </row>
    <row r="12">
      <c r="A12" s="5" t="inlineStr">
        <is>
          <t>SIKAT KAWAT</t>
        </is>
      </c>
      <c r="B12" s="6" t="n"/>
      <c r="C12" s="2">
        <f>IF(A12="","",SUMIFS('Input Transaksi'!$E$5:$E$5000,'Input Transaksi'!$D$5:$D$5000,A12))</f>
        <v/>
      </c>
      <c r="D12" s="2">
        <f>IF(OR(A12="",B12=""),"",B12-C12)</f>
        <v/>
      </c>
    </row>
    <row r="13">
      <c r="A13" s="5" t="inlineStr">
        <is>
          <t>SAPU LIDI</t>
        </is>
      </c>
      <c r="B13" s="6" t="n"/>
      <c r="C13" s="2">
        <f>IF(A13="","",SUMIFS('Input Transaksi'!$E$5:$E$5000,'Input Transaksi'!$D$5:$D$5000,A13))</f>
        <v/>
      </c>
      <c r="D13" s="2">
        <f>IF(OR(A13="",B13=""),"",B13-C13)</f>
        <v/>
      </c>
    </row>
    <row r="14">
      <c r="A14" s="5" t="inlineStr">
        <is>
          <t>SEMPROTAN</t>
        </is>
      </c>
      <c r="B14" s="6" t="n"/>
      <c r="C14" s="2">
        <f>IF(A14="","",SUMIFS('Input Transaksi'!$E$5:$E$5000,'Input Transaksi'!$D$5:$D$5000,A14))</f>
        <v/>
      </c>
      <c r="D14" s="2">
        <f>IF(OR(A14="",B14=""),"",B14-C14)</f>
        <v/>
      </c>
    </row>
    <row r="15">
      <c r="A15" s="5" t="inlineStr">
        <is>
          <t>SAPU LANTAI</t>
        </is>
      </c>
      <c r="B15" s="6" t="n"/>
      <c r="C15" s="2">
        <f>IF(A15="","",SUMIFS('Input Transaksi'!$E$5:$E$5000,'Input Transaksi'!$D$5:$D$5000,A15))</f>
        <v/>
      </c>
      <c r="D15" s="2">
        <f>IF(OR(A15="",B15=""),"",B15-C15)</f>
        <v/>
      </c>
    </row>
    <row r="16">
      <c r="A16" s="5" t="inlineStr">
        <is>
          <t>SUPER PEL</t>
        </is>
      </c>
      <c r="B16" s="6" t="n"/>
      <c r="C16" s="2">
        <f>IF(A16="","",SUMIFS('Input Transaksi'!$E$5:$E$5000,'Input Transaksi'!$D$5:$D$5000,A16))</f>
        <v/>
      </c>
      <c r="D16" s="2">
        <f>IF(OR(A16="",B16=""),"",B16-C16)</f>
        <v/>
      </c>
    </row>
    <row r="17">
      <c r="A17" s="5" t="inlineStr">
        <is>
          <t>LAP</t>
        </is>
      </c>
      <c r="B17" s="6" t="n"/>
      <c r="C17" s="2">
        <f>IF(A17="","",SUMIFS('Input Transaksi'!$E$5:$E$5000,'Input Transaksi'!$D$5:$D$5000,A17))</f>
        <v/>
      </c>
      <c r="D17" s="2">
        <f>IF(OR(A17="",B17=""),"",B17-C17)</f>
        <v/>
      </c>
    </row>
    <row r="18">
      <c r="A18" s="5" t="inlineStr">
        <is>
          <t>KANEBO</t>
        </is>
      </c>
      <c r="B18" s="6" t="n"/>
      <c r="C18" s="2">
        <f>IF(A18="","",SUMIFS('Input Transaksi'!$E$5:$E$5000,'Input Transaksi'!$D$5:$D$5000,A18))</f>
        <v/>
      </c>
      <c r="D18" s="2">
        <f>IF(OR(A18="",B18=""),"",B18-C18)</f>
        <v/>
      </c>
    </row>
    <row r="19">
      <c r="A19" s="5" t="inlineStr">
        <is>
          <t>PULPEN</t>
        </is>
      </c>
      <c r="B19" s="6" t="n"/>
      <c r="C19" s="2">
        <f>IF(A19="","",SUMIFS('Input Transaksi'!$E$5:$E$5000,'Input Transaksi'!$D$5:$D$5000,A19))</f>
        <v/>
      </c>
      <c r="D19" s="2">
        <f>IF(OR(A19="",B19=""),"",B19-C19)</f>
        <v/>
      </c>
    </row>
    <row r="20">
      <c r="A20" s="5" t="inlineStr">
        <is>
          <t>BUKU</t>
        </is>
      </c>
      <c r="B20" s="6" t="n"/>
      <c r="C20" s="2">
        <f>IF(A20="","",SUMIFS('Input Transaksi'!$E$5:$E$5000,'Input Transaksi'!$D$5:$D$5000,A20))</f>
        <v/>
      </c>
      <c r="D20" s="2">
        <f>IF(OR(A20="",B20=""),"",B20-C20)</f>
        <v/>
      </c>
    </row>
    <row r="21">
      <c r="A21" s="5" t="inlineStr">
        <is>
          <t>STIPO</t>
        </is>
      </c>
      <c r="B21" s="6" t="n"/>
      <c r="C21" s="2">
        <f>IF(A21="","",SUMIFS('Input Transaksi'!$E$5:$E$5000,'Input Transaksi'!$D$5:$D$5000,A21))</f>
        <v/>
      </c>
      <c r="D21" s="2">
        <f>IF(OR(A21="",B21=""),"",B21-C21)</f>
        <v/>
      </c>
    </row>
    <row r="22">
      <c r="A22" s="5" t="inlineStr">
        <is>
          <t>PLASTIK JUALAN</t>
        </is>
      </c>
      <c r="B22" s="6" t="n"/>
      <c r="C22" s="2">
        <f>IF(A22="","",SUMIFS('Input Transaksi'!$E$5:$E$5000,'Input Transaksi'!$D$5:$D$5000,A22))</f>
        <v/>
      </c>
      <c r="D22" s="2">
        <f>IF(OR(A22="",B22=""),"",B22-C22)</f>
        <v/>
      </c>
    </row>
    <row r="23">
      <c r="A23" s="5" t="inlineStr">
        <is>
          <t>KARET GAS</t>
        </is>
      </c>
      <c r="B23" s="6" t="n"/>
      <c r="C23" s="2">
        <f>IF(A23="","",SUMIFS('Input Transaksi'!$E$5:$E$5000,'Input Transaksi'!$D$5:$D$5000,A23))</f>
        <v/>
      </c>
      <c r="D23" s="2">
        <f>IF(OR(A23="",B23=""),"",B23-C23)</f>
        <v/>
      </c>
    </row>
    <row r="24">
      <c r="A24" s="5" t="inlineStr">
        <is>
          <t>KURSI KECIL</t>
        </is>
      </c>
      <c r="B24" s="6" t="n"/>
      <c r="C24" s="2">
        <f>IF(A24="","",SUMIFS('Input Transaksi'!$E$5:$E$5000,'Input Transaksi'!$D$5:$D$5000,A24))</f>
        <v/>
      </c>
      <c r="D24" s="2">
        <f>IF(OR(A24="",B24=""),"",B24-C24)</f>
        <v/>
      </c>
    </row>
    <row r="25">
      <c r="A25" s="5" t="inlineStr">
        <is>
          <t>CLINTEX</t>
        </is>
      </c>
      <c r="B25" s="6" t="n"/>
      <c r="C25" s="2">
        <f>IF(A25="","",SUMIFS('Input Transaksi'!$E$5:$E$5000,'Input Transaksi'!$D$5:$D$5000,A25))</f>
        <v/>
      </c>
      <c r="D25" s="2">
        <f>IF(OR(A25="",B25=""),"",B25-C25)</f>
        <v/>
      </c>
    </row>
    <row r="26">
      <c r="A26" s="5" t="inlineStr">
        <is>
          <t>KARET</t>
        </is>
      </c>
      <c r="B26" s="6" t="n"/>
      <c r="C26" s="2">
        <f>IF(A26="","",SUMIFS('Input Transaksi'!$E$5:$E$5000,'Input Transaksi'!$D$5:$D$5000,A26))</f>
        <v/>
      </c>
      <c r="D26" s="2">
        <f>IF(OR(A26="",B26=""),"",B26-C26)</f>
        <v/>
      </c>
    </row>
    <row r="27">
      <c r="A27" s="5" t="inlineStr">
        <is>
          <t>EMBER</t>
        </is>
      </c>
      <c r="B27" s="6" t="n"/>
      <c r="C27" s="2">
        <f>IF(A27="","",SUMIFS('Input Transaksi'!$E$5:$E$5000,'Input Transaksi'!$D$5:$D$5000,A27))</f>
        <v/>
      </c>
      <c r="D27" s="2">
        <f>IF(OR(A27="",B27=""),"",B27-C27)</f>
        <v/>
      </c>
    </row>
    <row r="28">
      <c r="A28" s="5" t="inlineStr">
        <is>
          <t>TONG SAMPAH</t>
        </is>
      </c>
      <c r="B28" s="6" t="n"/>
      <c r="C28" s="2">
        <f>IF(A28="","",SUMIFS('Input Transaksi'!$E$5:$E$5000,'Input Transaksi'!$D$5:$D$5000,A28))</f>
        <v/>
      </c>
      <c r="D28" s="2">
        <f>IF(OR(A28="",B28=""),"",B28-C28)</f>
        <v/>
      </c>
    </row>
    <row r="29">
      <c r="A29" s="5" t="inlineStr">
        <is>
          <t>GUNTING</t>
        </is>
      </c>
      <c r="B29" s="6" t="n"/>
      <c r="C29" s="2">
        <f>IF(A29="","",SUMIFS('Input Transaksi'!$E$5:$E$5000,'Input Transaksi'!$D$5:$D$5000,A29))</f>
        <v/>
      </c>
      <c r="D29" s="2">
        <f>IF(OR(A29="",B29=""),"",B29-C29)</f>
        <v/>
      </c>
    </row>
    <row r="30">
      <c r="A30" s="5" t="inlineStr">
        <is>
          <t>LAMPU</t>
        </is>
      </c>
      <c r="B30" s="6" t="n"/>
      <c r="C30" s="2">
        <f>IF(A30="","",SUMIFS('Input Transaksi'!$E$5:$E$5000,'Input Transaksi'!$D$5:$D$5000,A30))</f>
        <v/>
      </c>
      <c r="D30" s="2">
        <f>IF(OR(A30="",B30=""),"",B30-C30)</f>
        <v/>
      </c>
    </row>
    <row r="31">
      <c r="A31" s="5" t="inlineStr">
        <is>
          <t>SIKAT WC</t>
        </is>
      </c>
      <c r="B31" s="6" t="n"/>
      <c r="C31" s="2">
        <f>IF(A31="","",SUMIFS('Input Transaksi'!$E$5:$E$5000,'Input Transaksi'!$D$5:$D$5000,A31))</f>
        <v/>
      </c>
      <c r="D31" s="2">
        <f>IF(OR(A31="",B31=""),"",B31-C31)</f>
        <v/>
      </c>
    </row>
    <row r="32">
      <c r="A32" s="5" t="inlineStr">
        <is>
          <t>SODA API</t>
        </is>
      </c>
      <c r="B32" s="6" t="n"/>
      <c r="C32" s="2">
        <f>IF(A32="","",SUMIFS('Input Transaksi'!$E$5:$E$5000,'Input Transaksi'!$D$5:$D$5000,A32))</f>
        <v/>
      </c>
      <c r="D32" s="2">
        <f>IF(OR(A32="",B32=""),"",B32-C32)</f>
        <v/>
      </c>
    </row>
    <row r="33">
      <c r="A33" s="5" t="inlineStr">
        <is>
          <t>SABUN LANTAI</t>
        </is>
      </c>
      <c r="B33" s="6" t="n"/>
      <c r="C33" s="2">
        <f>IF(A33="","",SUMIFS('Input Transaksi'!$E$5:$E$5000,'Input Transaksi'!$D$5:$D$5000,A33))</f>
        <v/>
      </c>
      <c r="D33" s="2">
        <f>IF(OR(A33="",B33=""),"",B33-C33)</f>
        <v/>
      </c>
    </row>
    <row r="34">
      <c r="A34" s="5" t="inlineStr">
        <is>
          <t>KESET LANTAI</t>
        </is>
      </c>
      <c r="B34" s="6" t="n"/>
      <c r="C34" s="2">
        <f>IF(A34="","",SUMIFS('Input Transaksi'!$E$5:$E$5000,'Input Transaksi'!$D$5:$D$5000,A34))</f>
        <v/>
      </c>
      <c r="D34" s="2">
        <f>IF(OR(A34="",B34=""),"",B34-C34)</f>
        <v/>
      </c>
    </row>
    <row r="35">
      <c r="A35" s="5" t="n"/>
      <c r="B35" s="6" t="n"/>
      <c r="C35" s="2">
        <f>IF(A35="","",SUMIFS('Input Transaksi'!$E$5:$E$5000,'Input Transaksi'!$D$5:$D$5000,A35))</f>
        <v/>
      </c>
      <c r="D35" s="2">
        <f>IF(OR(A35="",B35=""),"",B35-C35)</f>
        <v/>
      </c>
    </row>
    <row r="36">
      <c r="A36" s="5" t="n"/>
      <c r="B36" s="6" t="n"/>
      <c r="C36" s="2">
        <f>IF(A36="","",SUMIFS('Input Transaksi'!$E$5:$E$5000,'Input Transaksi'!$D$5:$D$5000,A36))</f>
        <v/>
      </c>
      <c r="D36" s="2">
        <f>IF(OR(A36="",B36=""),"",B36-C36)</f>
        <v/>
      </c>
    </row>
    <row r="37">
      <c r="A37" s="5" t="n"/>
      <c r="B37" s="6" t="n"/>
      <c r="C37" s="2">
        <f>IF(A37="","",SUMIFS('Input Transaksi'!$E$5:$E$5000,'Input Transaksi'!$D$5:$D$5000,A37))</f>
        <v/>
      </c>
      <c r="D37" s="2">
        <f>IF(OR(A37="",B37=""),"",B37-C37)</f>
        <v/>
      </c>
    </row>
    <row r="38">
      <c r="A38" s="5" t="n"/>
      <c r="B38" s="6" t="n"/>
      <c r="C38" s="2">
        <f>IF(A38="","",SUMIFS('Input Transaksi'!$E$5:$E$5000,'Input Transaksi'!$D$5:$D$5000,A38))</f>
        <v/>
      </c>
      <c r="D38" s="2">
        <f>IF(OR(A38="",B38=""),"",B38-C38)</f>
        <v/>
      </c>
    </row>
    <row r="39">
      <c r="A39" s="5" t="n"/>
      <c r="B39" s="6" t="n"/>
      <c r="C39" s="2">
        <f>IF(A39="","",SUMIFS('Input Transaksi'!$E$5:$E$5000,'Input Transaksi'!$D$5:$D$5000,A39))</f>
        <v/>
      </c>
      <c r="D39" s="2">
        <f>IF(OR(A39="",B39=""),"",B39-C39)</f>
        <v/>
      </c>
    </row>
    <row r="40">
      <c r="A40" s="5" t="n"/>
      <c r="B40" s="6" t="n"/>
      <c r="C40" s="2">
        <f>IF(A40="","",SUMIFS('Input Transaksi'!$E$5:$E$5000,'Input Transaksi'!$D$5:$D$5000,A40))</f>
        <v/>
      </c>
      <c r="D40" s="2">
        <f>IF(OR(A40="",B40=""),"",B40-C40)</f>
        <v/>
      </c>
    </row>
    <row r="41">
      <c r="A41" s="5" t="n"/>
      <c r="B41" s="6" t="n"/>
      <c r="C41" s="2">
        <f>IF(A41="","",SUMIFS('Input Transaksi'!$E$5:$E$5000,'Input Transaksi'!$D$5:$D$5000,A41))</f>
        <v/>
      </c>
      <c r="D41" s="2">
        <f>IF(OR(A41="",B41=""),"",B41-C41)</f>
        <v/>
      </c>
    </row>
    <row r="42">
      <c r="A42" s="5" t="n"/>
      <c r="B42" s="6" t="n"/>
      <c r="C42" s="2">
        <f>IF(A42="","",SUMIFS('Input Transaksi'!$E$5:$E$5000,'Input Transaksi'!$D$5:$D$5000,A42))</f>
        <v/>
      </c>
      <c r="D42" s="2">
        <f>IF(OR(A42="",B42=""),"",B42-C42)</f>
        <v/>
      </c>
    </row>
    <row r="43">
      <c r="A43" s="5" t="n"/>
      <c r="B43" s="6" t="n"/>
      <c r="C43" s="2">
        <f>IF(A43="","",SUMIFS('Input Transaksi'!$E$5:$E$5000,'Input Transaksi'!$D$5:$D$5000,A43))</f>
        <v/>
      </c>
      <c r="D43" s="2">
        <f>IF(OR(A43="",B43=""),"",B43-C43)</f>
        <v/>
      </c>
    </row>
    <row r="44">
      <c r="A44" s="5" t="n"/>
      <c r="B44" s="6" t="n"/>
      <c r="C44" s="2">
        <f>IF(A44="","",SUMIFS('Input Transaksi'!$E$5:$E$5000,'Input Transaksi'!$D$5:$D$5000,A44))</f>
        <v/>
      </c>
      <c r="D44" s="2">
        <f>IF(OR(A44="",B44=""),"",B44-C44)</f>
        <v/>
      </c>
    </row>
    <row r="45">
      <c r="A45" s="5" t="n"/>
      <c r="B45" s="6" t="n"/>
      <c r="C45" s="2">
        <f>IF(A45="","",SUMIFS('Input Transaksi'!$E$5:$E$5000,'Input Transaksi'!$D$5:$D$5000,A45))</f>
        <v/>
      </c>
      <c r="D45" s="2">
        <f>IF(OR(A45="",B45=""),"",B45-C45)</f>
        <v/>
      </c>
    </row>
    <row r="46">
      <c r="A46" s="5" t="n"/>
      <c r="B46" s="6" t="n"/>
      <c r="C46" s="2">
        <f>IF(A46="","",SUMIFS('Input Transaksi'!$E$5:$E$5000,'Input Transaksi'!$D$5:$D$5000,A46))</f>
        <v/>
      </c>
      <c r="D46" s="2">
        <f>IF(OR(A46="",B46=""),"",B46-C46)</f>
        <v/>
      </c>
    </row>
    <row r="47">
      <c r="A47" s="5" t="n"/>
      <c r="B47" s="6" t="n"/>
      <c r="C47" s="2">
        <f>IF(A47="","",SUMIFS('Input Transaksi'!$E$5:$E$5000,'Input Transaksi'!$D$5:$D$5000,A47))</f>
        <v/>
      </c>
      <c r="D47" s="2">
        <f>IF(OR(A47="",B47=""),"",B47-C47)</f>
        <v/>
      </c>
    </row>
    <row r="48">
      <c r="A48" s="5" t="n"/>
      <c r="B48" s="6" t="n"/>
      <c r="C48" s="2">
        <f>IF(A48="","",SUMIFS('Input Transaksi'!$E$5:$E$5000,'Input Transaksi'!$D$5:$D$5000,A48))</f>
        <v/>
      </c>
      <c r="D48" s="2">
        <f>IF(OR(A48="",B48=""),"",B48-C48)</f>
        <v/>
      </c>
    </row>
    <row r="49">
      <c r="A49" s="5" t="n"/>
      <c r="B49" s="6" t="n"/>
      <c r="C49" s="2">
        <f>IF(A49="","",SUMIFS('Input Transaksi'!$E$5:$E$5000,'Input Transaksi'!$D$5:$D$5000,A49))</f>
        <v/>
      </c>
      <c r="D49" s="2">
        <f>IF(OR(A49="",B49=""),"",B49-C49)</f>
        <v/>
      </c>
    </row>
    <row r="50">
      <c r="A50" s="5" t="n"/>
      <c r="B50" s="6" t="n"/>
      <c r="C50" s="2">
        <f>IF(A50="","",SUMIFS('Input Transaksi'!$E$5:$E$5000,'Input Transaksi'!$D$5:$D$5000,A50))</f>
        <v/>
      </c>
      <c r="D50" s="2">
        <f>IF(OR(A50="",B50=""),"",B50-C50)</f>
        <v/>
      </c>
    </row>
    <row r="51">
      <c r="A51" s="5" t="n"/>
      <c r="B51" s="6" t="n"/>
      <c r="C51" s="2">
        <f>IF(A51="","",SUMIFS('Input Transaksi'!$E$5:$E$5000,'Input Transaksi'!$D$5:$D$5000,A51))</f>
        <v/>
      </c>
      <c r="D51" s="2">
        <f>IF(OR(A51="",B51=""),"",B51-C51)</f>
        <v/>
      </c>
    </row>
    <row r="52">
      <c r="A52" s="5" t="n"/>
      <c r="B52" s="6" t="n"/>
      <c r="C52" s="2">
        <f>IF(A52="","",SUMIFS('Input Transaksi'!$E$5:$E$5000,'Input Transaksi'!$D$5:$D$5000,A52))</f>
        <v/>
      </c>
      <c r="D52" s="2">
        <f>IF(OR(A52="",B52=""),"",B52-C52)</f>
        <v/>
      </c>
    </row>
    <row r="53">
      <c r="A53" s="5" t="n"/>
      <c r="B53" s="6" t="n"/>
      <c r="C53" s="2">
        <f>IF(A53="","",SUMIFS('Input Transaksi'!$E$5:$E$5000,'Input Transaksi'!$D$5:$D$5000,A53))</f>
        <v/>
      </c>
      <c r="D53" s="2">
        <f>IF(OR(A53="",B53=""),"",B53-C53)</f>
        <v/>
      </c>
    </row>
    <row r="54">
      <c r="A54" s="5" t="n"/>
      <c r="B54" s="6" t="n"/>
      <c r="C54" s="2">
        <f>IF(A54="","",SUMIFS('Input Transaksi'!$E$5:$E$5000,'Input Transaksi'!$D$5:$D$5000,A54))</f>
        <v/>
      </c>
      <c r="D54" s="2">
        <f>IF(OR(A54="",B54=""),"",B54-C54)</f>
        <v/>
      </c>
    </row>
    <row r="55">
      <c r="A55" s="5" t="n"/>
      <c r="B55" s="6" t="n"/>
      <c r="C55" s="2">
        <f>IF(A55="","",SUMIFS('Input Transaksi'!$E$5:$E$5000,'Input Transaksi'!$D$5:$D$5000,A55))</f>
        <v/>
      </c>
      <c r="D55" s="2">
        <f>IF(OR(A55="",B55=""),"",B55-C55)</f>
        <v/>
      </c>
    </row>
    <row r="56">
      <c r="A56" s="5" t="n"/>
      <c r="B56" s="6" t="n"/>
      <c r="C56" s="2">
        <f>IF(A56="","",SUMIFS('Input Transaksi'!$E$5:$E$5000,'Input Transaksi'!$D$5:$D$5000,A56))</f>
        <v/>
      </c>
      <c r="D56" s="2">
        <f>IF(OR(A56="",B56=""),"",B56-C56)</f>
        <v/>
      </c>
    </row>
    <row r="57">
      <c r="A57" s="5" t="n"/>
      <c r="B57" s="6" t="n"/>
      <c r="C57" s="2">
        <f>IF(A57="","",SUMIFS('Input Transaksi'!$E$5:$E$5000,'Input Transaksi'!$D$5:$D$5000,A57))</f>
        <v/>
      </c>
      <c r="D57" s="2">
        <f>IF(OR(A57="",B57=""),"",B57-C57)</f>
        <v/>
      </c>
    </row>
    <row r="58">
      <c r="A58" s="5" t="n"/>
      <c r="B58" s="6" t="n"/>
      <c r="C58" s="2">
        <f>IF(A58="","",SUMIFS('Input Transaksi'!$E$5:$E$5000,'Input Transaksi'!$D$5:$D$5000,A58))</f>
        <v/>
      </c>
      <c r="D58" s="2">
        <f>IF(OR(A58="",B58=""),"",B58-C58)</f>
        <v/>
      </c>
    </row>
    <row r="59">
      <c r="A59" s="5" t="n"/>
      <c r="B59" s="6" t="n"/>
      <c r="C59" s="2">
        <f>IF(A59="","",SUMIFS('Input Transaksi'!$E$5:$E$5000,'Input Transaksi'!$D$5:$D$5000,A59))</f>
        <v/>
      </c>
      <c r="D59" s="2">
        <f>IF(OR(A59="",B59=""),"",B59-C59)</f>
        <v/>
      </c>
    </row>
    <row r="60">
      <c r="A60" s="5" t="n"/>
      <c r="B60" s="6" t="n"/>
      <c r="C60" s="2">
        <f>IF(A60="","",SUMIFS('Input Transaksi'!$E$5:$E$5000,'Input Transaksi'!$D$5:$D$5000,A60))</f>
        <v/>
      </c>
      <c r="D60" s="2">
        <f>IF(OR(A60="",B60=""),"",B60-C60)</f>
        <v/>
      </c>
    </row>
    <row r="61">
      <c r="A61" s="5" t="n"/>
      <c r="B61" s="6" t="n"/>
      <c r="C61" s="2">
        <f>IF(A61="","",SUMIFS('Input Transaksi'!$E$5:$E$5000,'Input Transaksi'!$D$5:$D$5000,A61))</f>
        <v/>
      </c>
      <c r="D61" s="2">
        <f>IF(OR(A61="",B61=""),"",B61-C61)</f>
        <v/>
      </c>
    </row>
    <row r="62">
      <c r="A62" s="5" t="n"/>
      <c r="B62" s="6" t="n"/>
      <c r="C62" s="2">
        <f>IF(A62="","",SUMIFS('Input Transaksi'!$E$5:$E$5000,'Input Transaksi'!$D$5:$D$5000,A62))</f>
        <v/>
      </c>
      <c r="D62" s="2">
        <f>IF(OR(A62="",B62=""),"",B62-C62)</f>
        <v/>
      </c>
    </row>
    <row r="63">
      <c r="A63" s="5" t="n"/>
      <c r="B63" s="6" t="n"/>
      <c r="C63" s="2">
        <f>IF(A63="","",SUMIFS('Input Transaksi'!$E$5:$E$5000,'Input Transaksi'!$D$5:$D$5000,A63))</f>
        <v/>
      </c>
      <c r="D63" s="2">
        <f>IF(OR(A63="",B63=""),"",B63-C63)</f>
        <v/>
      </c>
    </row>
    <row r="64">
      <c r="A64" s="5" t="n"/>
      <c r="B64" s="6" t="n"/>
      <c r="C64" s="2">
        <f>IF(A64="","",SUMIFS('Input Transaksi'!$E$5:$E$5000,'Input Transaksi'!$D$5:$D$5000,A64))</f>
        <v/>
      </c>
      <c r="D64" s="2">
        <f>IF(OR(A64="",B64=""),"",B64-C64)</f>
        <v/>
      </c>
    </row>
    <row r="65">
      <c r="A65" s="5" t="n"/>
      <c r="B65" s="6" t="n"/>
      <c r="C65" s="2">
        <f>IF(A65="","",SUMIFS('Input Transaksi'!$E$5:$E$5000,'Input Transaksi'!$D$5:$D$5000,A65))</f>
        <v/>
      </c>
      <c r="D65" s="2">
        <f>IF(OR(A65="",B65=""),"",B65-C65)</f>
        <v/>
      </c>
    </row>
    <row r="66">
      <c r="A66" s="5" t="n"/>
      <c r="B66" s="6" t="n"/>
      <c r="C66" s="2">
        <f>IF(A66="","",SUMIFS('Input Transaksi'!$E$5:$E$5000,'Input Transaksi'!$D$5:$D$5000,A66))</f>
        <v/>
      </c>
      <c r="D66" s="2">
        <f>IF(OR(A66="",B66=""),"",B66-C66)</f>
        <v/>
      </c>
    </row>
    <row r="67">
      <c r="A67" s="5" t="n"/>
      <c r="B67" s="6" t="n"/>
      <c r="C67" s="2">
        <f>IF(A67="","",SUMIFS('Input Transaksi'!$E$5:$E$5000,'Input Transaksi'!$D$5:$D$5000,A67))</f>
        <v/>
      </c>
      <c r="D67" s="2">
        <f>IF(OR(A67="",B67=""),"",B67-C67)</f>
        <v/>
      </c>
    </row>
    <row r="68">
      <c r="A68" s="5" t="n"/>
      <c r="B68" s="6" t="n"/>
      <c r="C68" s="2">
        <f>IF(A68="","",SUMIFS('Input Transaksi'!$E$5:$E$5000,'Input Transaksi'!$D$5:$D$5000,A68))</f>
        <v/>
      </c>
      <c r="D68" s="2">
        <f>IF(OR(A68="",B68=""),"",B68-C68)</f>
        <v/>
      </c>
    </row>
    <row r="69">
      <c r="A69" s="5" t="n"/>
      <c r="B69" s="6" t="n"/>
      <c r="C69" s="2">
        <f>IF(A69="","",SUMIFS('Input Transaksi'!$E$5:$E$5000,'Input Transaksi'!$D$5:$D$5000,A69))</f>
        <v/>
      </c>
      <c r="D69" s="2">
        <f>IF(OR(A69="",B69=""),"",B69-C69)</f>
        <v/>
      </c>
    </row>
    <row r="70">
      <c r="A70" s="5" t="n"/>
      <c r="B70" s="6" t="n"/>
      <c r="C70" s="2">
        <f>IF(A70="","",SUMIFS('Input Transaksi'!$E$5:$E$5000,'Input Transaksi'!$D$5:$D$5000,A70))</f>
        <v/>
      </c>
      <c r="D70" s="2">
        <f>IF(OR(A70="",B70=""),"",B70-C70)</f>
        <v/>
      </c>
    </row>
    <row r="71">
      <c r="A71" s="5" t="n"/>
      <c r="B71" s="6" t="n"/>
      <c r="C71" s="2">
        <f>IF(A71="","",SUMIFS('Input Transaksi'!$E$5:$E$5000,'Input Transaksi'!$D$5:$D$5000,A71))</f>
        <v/>
      </c>
      <c r="D71" s="2">
        <f>IF(OR(A71="",B71=""),"",B71-C71)</f>
        <v/>
      </c>
    </row>
    <row r="72">
      <c r="A72" s="5" t="n"/>
      <c r="B72" s="6" t="n"/>
      <c r="C72" s="2">
        <f>IF(A72="","",SUMIFS('Input Transaksi'!$E$5:$E$5000,'Input Transaksi'!$D$5:$D$5000,A72))</f>
        <v/>
      </c>
      <c r="D72" s="2">
        <f>IF(OR(A72="",B72=""),"",B72-C72)</f>
        <v/>
      </c>
    </row>
    <row r="73">
      <c r="A73" s="5" t="n"/>
      <c r="B73" s="6" t="n"/>
      <c r="C73" s="2">
        <f>IF(A73="","",SUMIFS('Input Transaksi'!$E$5:$E$5000,'Input Transaksi'!$D$5:$D$5000,A73))</f>
        <v/>
      </c>
      <c r="D73" s="2">
        <f>IF(OR(A73="",B73=""),"",B73-C73)</f>
        <v/>
      </c>
    </row>
    <row r="74">
      <c r="A74" s="5" t="n"/>
      <c r="B74" s="6" t="n"/>
      <c r="C74" s="2">
        <f>IF(A74="","",SUMIFS('Input Transaksi'!$E$5:$E$5000,'Input Transaksi'!$D$5:$D$5000,A74))</f>
        <v/>
      </c>
      <c r="D74" s="2">
        <f>IF(OR(A74="",B74=""),"",B74-C74)</f>
        <v/>
      </c>
    </row>
    <row r="75">
      <c r="A75" s="5" t="n"/>
      <c r="B75" s="6" t="n"/>
      <c r="C75" s="2">
        <f>IF(A75="","",SUMIFS('Input Transaksi'!$E$5:$E$5000,'Input Transaksi'!$D$5:$D$5000,A75))</f>
        <v/>
      </c>
      <c r="D75" s="2">
        <f>IF(OR(A75="",B75=""),"",B75-C75)</f>
        <v/>
      </c>
    </row>
    <row r="76">
      <c r="A76" s="5" t="n"/>
      <c r="B76" s="6" t="n"/>
      <c r="C76" s="2">
        <f>IF(A76="","",SUMIFS('Input Transaksi'!$E$5:$E$5000,'Input Transaksi'!$D$5:$D$5000,A76))</f>
        <v/>
      </c>
      <c r="D76" s="2">
        <f>IF(OR(A76="",B76=""),"",B76-C76)</f>
        <v/>
      </c>
    </row>
    <row r="77">
      <c r="A77" s="5" t="n"/>
      <c r="B77" s="6" t="n"/>
      <c r="C77" s="2">
        <f>IF(A77="","",SUMIFS('Input Transaksi'!$E$5:$E$5000,'Input Transaksi'!$D$5:$D$5000,A77))</f>
        <v/>
      </c>
      <c r="D77" s="2">
        <f>IF(OR(A77="",B77=""),"",B77-C77)</f>
        <v/>
      </c>
    </row>
    <row r="78">
      <c r="A78" s="5" t="n"/>
      <c r="B78" s="6" t="n"/>
      <c r="C78" s="2">
        <f>IF(A78="","",SUMIFS('Input Transaksi'!$E$5:$E$5000,'Input Transaksi'!$D$5:$D$5000,A78))</f>
        <v/>
      </c>
      <c r="D78" s="2">
        <f>IF(OR(A78="",B78=""),"",B78-C78)</f>
        <v/>
      </c>
    </row>
    <row r="79">
      <c r="A79" s="5" t="n"/>
      <c r="B79" s="6" t="n"/>
      <c r="C79" s="2">
        <f>IF(A79="","",SUMIFS('Input Transaksi'!$E$5:$E$5000,'Input Transaksi'!$D$5:$D$5000,A79))</f>
        <v/>
      </c>
      <c r="D79" s="2">
        <f>IF(OR(A79="",B79=""),"",B79-C79)</f>
        <v/>
      </c>
    </row>
    <row r="80">
      <c r="A80" s="5" t="n"/>
      <c r="B80" s="6" t="n"/>
      <c r="C80" s="2">
        <f>IF(A80="","",SUMIFS('Input Transaksi'!$E$5:$E$5000,'Input Transaksi'!$D$5:$D$5000,A80))</f>
        <v/>
      </c>
      <c r="D80" s="2">
        <f>IF(OR(A80="",B80=""),"",B80-C80)</f>
        <v/>
      </c>
    </row>
    <row r="81">
      <c r="A81" s="5" t="n"/>
      <c r="B81" s="6" t="n"/>
      <c r="C81" s="2">
        <f>IF(A81="","",SUMIFS('Input Transaksi'!$E$5:$E$5000,'Input Transaksi'!$D$5:$D$5000,A81))</f>
        <v/>
      </c>
      <c r="D81" s="2">
        <f>IF(OR(A81="",B81=""),"",B81-C81)</f>
        <v/>
      </c>
    </row>
    <row r="82">
      <c r="A82" s="5" t="n"/>
      <c r="B82" s="6" t="n"/>
      <c r="C82" s="2">
        <f>IF(A82="","",SUMIFS('Input Transaksi'!$E$5:$E$5000,'Input Transaksi'!$D$5:$D$5000,A82))</f>
        <v/>
      </c>
      <c r="D82" s="2">
        <f>IF(OR(A82="",B82=""),"",B82-C82)</f>
        <v/>
      </c>
    </row>
    <row r="83">
      <c r="A83" s="5" t="n"/>
      <c r="B83" s="6" t="n"/>
      <c r="C83" s="2">
        <f>IF(A83="","",SUMIFS('Input Transaksi'!$E$5:$E$5000,'Input Transaksi'!$D$5:$D$5000,A83))</f>
        <v/>
      </c>
      <c r="D83" s="2">
        <f>IF(OR(A83="",B83=""),"",B83-C83)</f>
        <v/>
      </c>
    </row>
    <row r="84">
      <c r="A84" s="5" t="n"/>
      <c r="B84" s="6" t="n"/>
      <c r="C84" s="2">
        <f>IF(A84="","",SUMIFS('Input Transaksi'!$E$5:$E$5000,'Input Transaksi'!$D$5:$D$5000,A84))</f>
        <v/>
      </c>
      <c r="D84" s="2">
        <f>IF(OR(A84="",B84=""),"",B84-C84)</f>
        <v/>
      </c>
    </row>
    <row r="85">
      <c r="A85" s="5" t="n"/>
      <c r="B85" s="6" t="n"/>
      <c r="C85" s="2">
        <f>IF(A85="","",SUMIFS('Input Transaksi'!$E$5:$E$5000,'Input Transaksi'!$D$5:$D$5000,A85))</f>
        <v/>
      </c>
      <c r="D85" s="2">
        <f>IF(OR(A85="",B85=""),"",B85-C85)</f>
        <v/>
      </c>
    </row>
    <row r="86">
      <c r="A86" s="5" t="n"/>
      <c r="B86" s="6" t="n"/>
      <c r="C86" s="2">
        <f>IF(A86="","",SUMIFS('Input Transaksi'!$E$5:$E$5000,'Input Transaksi'!$D$5:$D$5000,A86))</f>
        <v/>
      </c>
      <c r="D86" s="2">
        <f>IF(OR(A86="",B86=""),"",B86-C86)</f>
        <v/>
      </c>
    </row>
    <row r="87">
      <c r="A87" s="5" t="n"/>
      <c r="B87" s="6" t="n"/>
      <c r="C87" s="2">
        <f>IF(A87="","",SUMIFS('Input Transaksi'!$E$5:$E$5000,'Input Transaksi'!$D$5:$D$5000,A87))</f>
        <v/>
      </c>
      <c r="D87" s="2">
        <f>IF(OR(A87="",B87=""),"",B87-C87)</f>
        <v/>
      </c>
    </row>
    <row r="88">
      <c r="A88" s="5" t="n"/>
      <c r="B88" s="6" t="n"/>
      <c r="C88" s="2">
        <f>IF(A88="","",SUMIFS('Input Transaksi'!$E$5:$E$5000,'Input Transaksi'!$D$5:$D$5000,A88))</f>
        <v/>
      </c>
      <c r="D88" s="2">
        <f>IF(OR(A88="",B88=""),"",B88-C88)</f>
        <v/>
      </c>
    </row>
    <row r="89">
      <c r="A89" s="5" t="n"/>
      <c r="B89" s="6" t="n"/>
      <c r="C89" s="2">
        <f>IF(A89="","",SUMIFS('Input Transaksi'!$E$5:$E$5000,'Input Transaksi'!$D$5:$D$5000,A89))</f>
        <v/>
      </c>
      <c r="D89" s="2">
        <f>IF(OR(A89="",B89=""),"",B89-C89)</f>
        <v/>
      </c>
    </row>
    <row r="90">
      <c r="A90" s="5" t="n"/>
      <c r="B90" s="6" t="n"/>
      <c r="C90" s="2">
        <f>IF(A90="","",SUMIFS('Input Transaksi'!$E$5:$E$5000,'Input Transaksi'!$D$5:$D$5000,A90))</f>
        <v/>
      </c>
      <c r="D90" s="2">
        <f>IF(OR(A90="",B90=""),"",B90-C90)</f>
        <v/>
      </c>
    </row>
    <row r="91">
      <c r="A91" s="5" t="n"/>
      <c r="B91" s="6" t="n"/>
      <c r="C91" s="2">
        <f>IF(A91="","",SUMIFS('Input Transaksi'!$E$5:$E$5000,'Input Transaksi'!$D$5:$D$5000,A91))</f>
        <v/>
      </c>
      <c r="D91" s="2">
        <f>IF(OR(A91="",B91=""),"",B91-C91)</f>
        <v/>
      </c>
    </row>
    <row r="92">
      <c r="A92" s="5" t="n"/>
      <c r="B92" s="6" t="n"/>
      <c r="C92" s="2">
        <f>IF(A92="","",SUMIFS('Input Transaksi'!$E$5:$E$5000,'Input Transaksi'!$D$5:$D$5000,A92))</f>
        <v/>
      </c>
      <c r="D92" s="2">
        <f>IF(OR(A92="",B92=""),"",B92-C92)</f>
        <v/>
      </c>
    </row>
    <row r="93">
      <c r="A93" s="5" t="n"/>
      <c r="B93" s="6" t="n"/>
      <c r="C93" s="2">
        <f>IF(A93="","",SUMIFS('Input Transaksi'!$E$5:$E$5000,'Input Transaksi'!$D$5:$D$5000,A93))</f>
        <v/>
      </c>
      <c r="D93" s="2">
        <f>IF(OR(A93="",B93=""),"",B93-C93)</f>
        <v/>
      </c>
    </row>
    <row r="94">
      <c r="A94" s="5" t="n"/>
      <c r="B94" s="6" t="n"/>
      <c r="C94" s="2">
        <f>IF(A94="","",SUMIFS('Input Transaksi'!$E$5:$E$5000,'Input Transaksi'!$D$5:$D$5000,A94))</f>
        <v/>
      </c>
      <c r="D94" s="2">
        <f>IF(OR(A94="",B94=""),"",B94-C94)</f>
        <v/>
      </c>
    </row>
    <row r="95">
      <c r="A95" s="5" t="n"/>
      <c r="B95" s="6" t="n"/>
      <c r="C95" s="2">
        <f>IF(A95="","",SUMIFS('Input Transaksi'!$E$5:$E$5000,'Input Transaksi'!$D$5:$D$5000,A95))</f>
        <v/>
      </c>
      <c r="D95" s="2">
        <f>IF(OR(A95="",B95=""),"",B95-C95)</f>
        <v/>
      </c>
    </row>
    <row r="96">
      <c r="A96" s="5" t="n"/>
      <c r="B96" s="6" t="n"/>
      <c r="C96" s="2">
        <f>IF(A96="","",SUMIFS('Input Transaksi'!$E$5:$E$5000,'Input Transaksi'!$D$5:$D$5000,A96))</f>
        <v/>
      </c>
      <c r="D96" s="2">
        <f>IF(OR(A96="",B96=""),"",B96-C96)</f>
        <v/>
      </c>
    </row>
    <row r="97">
      <c r="A97" s="5" t="n"/>
      <c r="B97" s="6" t="n"/>
      <c r="C97" s="2">
        <f>IF(A97="","",SUMIFS('Input Transaksi'!$E$5:$E$5000,'Input Transaksi'!$D$5:$D$5000,A97))</f>
        <v/>
      </c>
      <c r="D97" s="2">
        <f>IF(OR(A97="",B97=""),"",B97-C97)</f>
        <v/>
      </c>
    </row>
    <row r="98">
      <c r="A98" s="5" t="n"/>
      <c r="B98" s="6" t="n"/>
      <c r="C98" s="2">
        <f>IF(A98="","",SUMIFS('Input Transaksi'!$E$5:$E$5000,'Input Transaksi'!$D$5:$D$5000,A98))</f>
        <v/>
      </c>
      <c r="D98" s="2">
        <f>IF(OR(A98="",B98=""),"",B98-C98)</f>
        <v/>
      </c>
    </row>
    <row r="99">
      <c r="A99" s="5" t="n"/>
      <c r="B99" s="6" t="n"/>
      <c r="C99" s="2">
        <f>IF(A99="","",SUMIFS('Input Transaksi'!$E$5:$E$5000,'Input Transaksi'!$D$5:$D$5000,A99))</f>
        <v/>
      </c>
      <c r="D99" s="2">
        <f>IF(OR(A99="",B99=""),"",B99-C99)</f>
        <v/>
      </c>
    </row>
    <row r="100">
      <c r="A100" s="5" t="n"/>
      <c r="B100" s="6" t="n"/>
      <c r="C100" s="2">
        <f>IF(A100="","",SUMIFS('Input Transaksi'!$E$5:$E$5000,'Input Transaksi'!$D$5:$D$5000,A100))</f>
        <v/>
      </c>
      <c r="D100" s="2">
        <f>IF(OR(A100="",B100=""),"",B100-C100)</f>
        <v/>
      </c>
    </row>
    <row r="101">
      <c r="A101" s="5" t="n"/>
      <c r="B101" s="6" t="n"/>
      <c r="C101" s="2">
        <f>IF(A101="","",SUMIFS('Input Transaksi'!$E$5:$E$5000,'Input Transaksi'!$D$5:$D$5000,A101))</f>
        <v/>
      </c>
      <c r="D101" s="2">
        <f>IF(OR(A101="",B101=""),"",B101-C101)</f>
        <v/>
      </c>
    </row>
    <row r="102">
      <c r="A102" s="5" t="n"/>
      <c r="B102" s="6" t="n"/>
      <c r="C102" s="2">
        <f>IF(A102="","",SUMIFS('Input Transaksi'!$E$5:$E$5000,'Input Transaksi'!$D$5:$D$5000,A102))</f>
        <v/>
      </c>
      <c r="D102" s="2">
        <f>IF(OR(A102="",B102=""),"",B102-C102)</f>
        <v/>
      </c>
    </row>
    <row r="103">
      <c r="A103" s="5" t="n"/>
      <c r="B103" s="6" t="n"/>
      <c r="C103" s="2">
        <f>IF(A103="","",SUMIFS('Input Transaksi'!$E$5:$E$5000,'Input Transaksi'!$D$5:$D$5000,A103))</f>
        <v/>
      </c>
      <c r="D103" s="2">
        <f>IF(OR(A103="",B103=""),"",B103-C103)</f>
        <v/>
      </c>
    </row>
    <row r="104">
      <c r="A104" s="5" t="n"/>
      <c r="B104" s="6" t="n"/>
      <c r="C104" s="2">
        <f>IF(A104="","",SUMIFS('Input Transaksi'!$E$5:$E$5000,'Input Transaksi'!$D$5:$D$5000,A104))</f>
        <v/>
      </c>
      <c r="D104" s="2">
        <f>IF(OR(A104="",B104=""),"",B104-C104)</f>
        <v/>
      </c>
    </row>
    <row r="105">
      <c r="A105" s="5" t="n"/>
      <c r="B105" s="6" t="n"/>
      <c r="C105" s="2">
        <f>IF(A105="","",SUMIFS('Input Transaksi'!$E$5:$E$5000,'Input Transaksi'!$D$5:$D$5000,A105))</f>
        <v/>
      </c>
      <c r="D105" s="2">
        <f>IF(OR(A105="",B105=""),"",B105-C105)</f>
        <v/>
      </c>
    </row>
    <row r="106">
      <c r="A106" s="5" t="n"/>
      <c r="B106" s="6" t="n"/>
      <c r="C106" s="2">
        <f>IF(A106="","",SUMIFS('Input Transaksi'!$E$5:$E$5000,'Input Transaksi'!$D$5:$D$5000,A106))</f>
        <v/>
      </c>
      <c r="D106" s="2">
        <f>IF(OR(A106="",B106=""),"",B106-C106)</f>
        <v/>
      </c>
    </row>
    <row r="107">
      <c r="A107" s="5" t="n"/>
      <c r="B107" s="6" t="n"/>
      <c r="C107" s="2">
        <f>IF(A107="","",SUMIFS('Input Transaksi'!$E$5:$E$5000,'Input Transaksi'!$D$5:$D$5000,A107))</f>
        <v/>
      </c>
      <c r="D107" s="2">
        <f>IF(OR(A107="",B107=""),"",B107-C107)</f>
        <v/>
      </c>
    </row>
    <row r="108">
      <c r="A108" s="5" t="n"/>
      <c r="B108" s="6" t="n"/>
      <c r="C108" s="2">
        <f>IF(A108="","",SUMIFS('Input Transaksi'!$E$5:$E$5000,'Input Transaksi'!$D$5:$D$5000,A108))</f>
        <v/>
      </c>
      <c r="D108" s="2">
        <f>IF(OR(A108="",B108=""),"",B108-C108)</f>
        <v/>
      </c>
    </row>
    <row r="109">
      <c r="A109" s="5" t="n"/>
      <c r="B109" s="6" t="n"/>
      <c r="C109" s="2">
        <f>IF(A109="","",SUMIFS('Input Transaksi'!$E$5:$E$5000,'Input Transaksi'!$D$5:$D$5000,A109))</f>
        <v/>
      </c>
      <c r="D109" s="2">
        <f>IF(OR(A109="",B109=""),"",B109-C109)</f>
        <v/>
      </c>
    </row>
    <row r="110">
      <c r="A110" s="5" t="n"/>
      <c r="B110" s="6" t="n"/>
      <c r="C110" s="2">
        <f>IF(A110="","",SUMIFS('Input Transaksi'!$E$5:$E$5000,'Input Transaksi'!$D$5:$D$5000,A110))</f>
        <v/>
      </c>
      <c r="D110" s="2">
        <f>IF(OR(A110="",B110=""),"",B110-C110)</f>
        <v/>
      </c>
    </row>
    <row r="111">
      <c r="A111" s="5" t="n"/>
      <c r="B111" s="6" t="n"/>
      <c r="C111" s="2">
        <f>IF(A111="","",SUMIFS('Input Transaksi'!$E$5:$E$5000,'Input Transaksi'!$D$5:$D$5000,A111))</f>
        <v/>
      </c>
      <c r="D111" s="2">
        <f>IF(OR(A111="",B111=""),"",B111-C111)</f>
        <v/>
      </c>
    </row>
    <row r="112">
      <c r="A112" s="5" t="n"/>
      <c r="B112" s="6" t="n"/>
      <c r="C112" s="2">
        <f>IF(A112="","",SUMIFS('Input Transaksi'!$E$5:$E$5000,'Input Transaksi'!$D$5:$D$5000,A112))</f>
        <v/>
      </c>
      <c r="D112" s="2">
        <f>IF(OR(A112="",B112=""),"",B112-C112)</f>
        <v/>
      </c>
    </row>
    <row r="113">
      <c r="A113" s="5" t="n"/>
      <c r="B113" s="6" t="n"/>
      <c r="C113" s="2">
        <f>IF(A113="","",SUMIFS('Input Transaksi'!$E$5:$E$5000,'Input Transaksi'!$D$5:$D$5000,A113))</f>
        <v/>
      </c>
      <c r="D113" s="2">
        <f>IF(OR(A113="",B113=""),"",B113-C113)</f>
        <v/>
      </c>
    </row>
    <row r="114">
      <c r="A114" s="5" t="n"/>
      <c r="B114" s="6" t="n"/>
      <c r="C114" s="2">
        <f>IF(A114="","",SUMIFS('Input Transaksi'!$E$5:$E$5000,'Input Transaksi'!$D$5:$D$5000,A114))</f>
        <v/>
      </c>
      <c r="D114" s="2">
        <f>IF(OR(A114="",B114=""),"",B114-C114)</f>
        <v/>
      </c>
    </row>
    <row r="115">
      <c r="A115" s="5" t="n"/>
      <c r="B115" s="6" t="n"/>
      <c r="C115" s="2">
        <f>IF(A115="","",SUMIFS('Input Transaksi'!$E$5:$E$5000,'Input Transaksi'!$D$5:$D$5000,A115))</f>
        <v/>
      </c>
      <c r="D115" s="2">
        <f>IF(OR(A115="",B115=""),"",B115-C115)</f>
        <v/>
      </c>
    </row>
    <row r="116">
      <c r="A116" s="5" t="n"/>
      <c r="B116" s="6" t="n"/>
      <c r="C116" s="2">
        <f>IF(A116="","",SUMIFS('Input Transaksi'!$E$5:$E$5000,'Input Transaksi'!$D$5:$D$5000,A116))</f>
        <v/>
      </c>
      <c r="D116" s="2">
        <f>IF(OR(A116="",B116=""),"",B116-C116)</f>
        <v/>
      </c>
    </row>
    <row r="117">
      <c r="A117" s="5" t="n"/>
      <c r="B117" s="6" t="n"/>
      <c r="C117" s="2">
        <f>IF(A117="","",SUMIFS('Input Transaksi'!$E$5:$E$5000,'Input Transaksi'!$D$5:$D$5000,A117))</f>
        <v/>
      </c>
      <c r="D117" s="2">
        <f>IF(OR(A117="",B117=""),"",B117-C117)</f>
        <v/>
      </c>
    </row>
    <row r="118">
      <c r="A118" s="5" t="n"/>
      <c r="B118" s="6" t="n"/>
      <c r="C118" s="2">
        <f>IF(A118="","",SUMIFS('Input Transaksi'!$E$5:$E$5000,'Input Transaksi'!$D$5:$D$5000,A118))</f>
        <v/>
      </c>
      <c r="D118" s="2">
        <f>IF(OR(A118="",B118=""),"",B118-C118)</f>
        <v/>
      </c>
    </row>
    <row r="119">
      <c r="A119" s="5" t="n"/>
      <c r="B119" s="6" t="n"/>
      <c r="C119" s="2">
        <f>IF(A119="","",SUMIFS('Input Transaksi'!$E$5:$E$5000,'Input Transaksi'!$D$5:$D$5000,A119))</f>
        <v/>
      </c>
      <c r="D119" s="2">
        <f>IF(OR(A119="",B119=""),"",B119-C119)</f>
        <v/>
      </c>
    </row>
    <row r="120">
      <c r="A120" s="5" t="n"/>
      <c r="B120" s="6" t="n"/>
      <c r="C120" s="2">
        <f>IF(A120="","",SUMIFS('Input Transaksi'!$E$5:$E$5000,'Input Transaksi'!$D$5:$D$5000,A120))</f>
        <v/>
      </c>
      <c r="D120" s="2">
        <f>IF(OR(A120="",B120=""),"",B120-C120)</f>
        <v/>
      </c>
    </row>
    <row r="121">
      <c r="A121" s="5" t="n"/>
      <c r="B121" s="6" t="n"/>
      <c r="C121" s="2">
        <f>IF(A121="","",SUMIFS('Input Transaksi'!$E$5:$E$5000,'Input Transaksi'!$D$5:$D$5000,A121))</f>
        <v/>
      </c>
      <c r="D121" s="2">
        <f>IF(OR(A121="",B121=""),"",B121-C121)</f>
        <v/>
      </c>
    </row>
    <row r="122">
      <c r="A122" s="5" t="n"/>
      <c r="B122" s="6" t="n"/>
      <c r="C122" s="2">
        <f>IF(A122="","",SUMIFS('Input Transaksi'!$E$5:$E$5000,'Input Transaksi'!$D$5:$D$5000,A122))</f>
        <v/>
      </c>
      <c r="D122" s="2">
        <f>IF(OR(A122="",B122=""),"",B122-C122)</f>
        <v/>
      </c>
    </row>
    <row r="123">
      <c r="A123" s="5" t="n"/>
      <c r="B123" s="6" t="n"/>
      <c r="C123" s="2">
        <f>IF(A123="","",SUMIFS('Input Transaksi'!$E$5:$E$5000,'Input Transaksi'!$D$5:$D$5000,A123))</f>
        <v/>
      </c>
      <c r="D123" s="2">
        <f>IF(OR(A123="",B123=""),"",B123-C123)</f>
        <v/>
      </c>
    </row>
    <row r="124">
      <c r="A124" s="5" t="n"/>
      <c r="B124" s="6" t="n"/>
      <c r="C124" s="2">
        <f>IF(A124="","",SUMIFS('Input Transaksi'!$E$5:$E$5000,'Input Transaksi'!$D$5:$D$5000,A124))</f>
        <v/>
      </c>
      <c r="D124" s="2">
        <f>IF(OR(A124="",B124=""),"",B124-C124)</f>
        <v/>
      </c>
    </row>
    <row r="125">
      <c r="A125" s="5" t="n"/>
      <c r="B125" s="6" t="n"/>
      <c r="C125" s="2">
        <f>IF(A125="","",SUMIFS('Input Transaksi'!$E$5:$E$5000,'Input Transaksi'!$D$5:$D$5000,A125))</f>
        <v/>
      </c>
      <c r="D125" s="2">
        <f>IF(OR(A125="",B125=""),"",B125-C125)</f>
        <v/>
      </c>
    </row>
    <row r="126">
      <c r="A126" s="5" t="n"/>
      <c r="B126" s="6" t="n"/>
      <c r="C126" s="2">
        <f>IF(A126="","",SUMIFS('Input Transaksi'!$E$5:$E$5000,'Input Transaksi'!$D$5:$D$5000,A126))</f>
        <v/>
      </c>
      <c r="D126" s="2">
        <f>IF(OR(A126="",B126=""),"",B126-C126)</f>
        <v/>
      </c>
    </row>
    <row r="127">
      <c r="A127" s="5" t="n"/>
      <c r="B127" s="6" t="n"/>
      <c r="C127" s="2">
        <f>IF(A127="","",SUMIFS('Input Transaksi'!$E$5:$E$5000,'Input Transaksi'!$D$5:$D$5000,A127))</f>
        <v/>
      </c>
      <c r="D127" s="2">
        <f>IF(OR(A127="",B127=""),"",B127-C127)</f>
        <v/>
      </c>
    </row>
    <row r="128">
      <c r="A128" s="5" t="n"/>
      <c r="B128" s="6" t="n"/>
      <c r="C128" s="2">
        <f>IF(A128="","",SUMIFS('Input Transaksi'!$E$5:$E$5000,'Input Transaksi'!$D$5:$D$5000,A128))</f>
        <v/>
      </c>
      <c r="D128" s="2">
        <f>IF(OR(A128="",B128=""),"",B128-C128)</f>
        <v/>
      </c>
    </row>
    <row r="129">
      <c r="A129" s="5" t="n"/>
      <c r="B129" s="6" t="n"/>
      <c r="C129" s="2">
        <f>IF(A129="","",SUMIFS('Input Transaksi'!$E$5:$E$5000,'Input Transaksi'!$D$5:$D$5000,A129))</f>
        <v/>
      </c>
      <c r="D129" s="2">
        <f>IF(OR(A129="",B129=""),"",B129-C129)</f>
        <v/>
      </c>
    </row>
    <row r="130">
      <c r="A130" s="5" t="n"/>
      <c r="B130" s="6" t="n"/>
      <c r="C130" s="2">
        <f>IF(A130="","",SUMIFS('Input Transaksi'!$E$5:$E$5000,'Input Transaksi'!$D$5:$D$5000,A130))</f>
        <v/>
      </c>
      <c r="D130" s="2">
        <f>IF(OR(A130="",B130=""),"",B130-C130)</f>
        <v/>
      </c>
    </row>
    <row r="131">
      <c r="A131" s="5" t="n"/>
      <c r="B131" s="6" t="n"/>
      <c r="C131" s="2">
        <f>IF(A131="","",SUMIFS('Input Transaksi'!$E$5:$E$5000,'Input Transaksi'!$D$5:$D$5000,A131))</f>
        <v/>
      </c>
      <c r="D131" s="2">
        <f>IF(OR(A131="",B131=""),"",B131-C131)</f>
        <v/>
      </c>
    </row>
    <row r="132">
      <c r="A132" s="5" t="n"/>
      <c r="B132" s="6" t="n"/>
      <c r="C132" s="2">
        <f>IF(A132="","",SUMIFS('Input Transaksi'!$E$5:$E$5000,'Input Transaksi'!$D$5:$D$5000,A132))</f>
        <v/>
      </c>
      <c r="D132" s="2">
        <f>IF(OR(A132="",B132=""),"",B132-C132)</f>
        <v/>
      </c>
    </row>
    <row r="133">
      <c r="A133" s="5" t="n"/>
      <c r="B133" s="6" t="n"/>
      <c r="C133" s="2">
        <f>IF(A133="","",SUMIFS('Input Transaksi'!$E$5:$E$5000,'Input Transaksi'!$D$5:$D$5000,A133))</f>
        <v/>
      </c>
      <c r="D133" s="2">
        <f>IF(OR(A133="",B133=""),"",B133-C133)</f>
        <v/>
      </c>
    </row>
    <row r="134">
      <c r="A134" s="5" t="n"/>
      <c r="B134" s="6" t="n"/>
      <c r="C134" s="2">
        <f>IF(A134="","",SUMIFS('Input Transaksi'!$E$5:$E$5000,'Input Transaksi'!$D$5:$D$5000,A134))</f>
        <v/>
      </c>
      <c r="D134" s="2">
        <f>IF(OR(A134="",B134=""),"",B134-C134)</f>
        <v/>
      </c>
    </row>
    <row r="135">
      <c r="A135" s="5" t="n"/>
      <c r="B135" s="6" t="n"/>
      <c r="C135" s="2">
        <f>IF(A135="","",SUMIFS('Input Transaksi'!$E$5:$E$5000,'Input Transaksi'!$D$5:$D$5000,A135))</f>
        <v/>
      </c>
      <c r="D135" s="2">
        <f>IF(OR(A135="",B135=""),"",B135-C135)</f>
        <v/>
      </c>
    </row>
    <row r="136">
      <c r="A136" s="5" t="n"/>
      <c r="B136" s="6" t="n"/>
      <c r="C136" s="2">
        <f>IF(A136="","",SUMIFS('Input Transaksi'!$E$5:$E$5000,'Input Transaksi'!$D$5:$D$5000,A136))</f>
        <v/>
      </c>
      <c r="D136" s="2">
        <f>IF(OR(A136="",B136=""),"",B136-C136)</f>
        <v/>
      </c>
    </row>
    <row r="137">
      <c r="A137" s="5" t="n"/>
      <c r="B137" s="6" t="n"/>
      <c r="C137" s="2">
        <f>IF(A137="","",SUMIFS('Input Transaksi'!$E$5:$E$5000,'Input Transaksi'!$D$5:$D$5000,A137))</f>
        <v/>
      </c>
      <c r="D137" s="2">
        <f>IF(OR(A137="",B137=""),"",B137-C137)</f>
        <v/>
      </c>
    </row>
    <row r="138">
      <c r="A138" s="5" t="n"/>
      <c r="B138" s="6" t="n"/>
      <c r="C138" s="2">
        <f>IF(A138="","",SUMIFS('Input Transaksi'!$E$5:$E$5000,'Input Transaksi'!$D$5:$D$5000,A138))</f>
        <v/>
      </c>
      <c r="D138" s="2">
        <f>IF(OR(A138="",B138=""),"",B138-C138)</f>
        <v/>
      </c>
    </row>
    <row r="139">
      <c r="A139" s="5" t="n"/>
      <c r="B139" s="6" t="n"/>
      <c r="C139" s="2">
        <f>IF(A139="","",SUMIFS('Input Transaksi'!$E$5:$E$5000,'Input Transaksi'!$D$5:$D$5000,A139))</f>
        <v/>
      </c>
      <c r="D139" s="2">
        <f>IF(OR(A139="",B139=""),"",B139-C139)</f>
        <v/>
      </c>
    </row>
    <row r="140">
      <c r="A140" s="5" t="n"/>
      <c r="B140" s="6" t="n"/>
      <c r="C140" s="2">
        <f>IF(A140="","",SUMIFS('Input Transaksi'!$E$5:$E$5000,'Input Transaksi'!$D$5:$D$5000,A140))</f>
        <v/>
      </c>
      <c r="D140" s="2">
        <f>IF(OR(A140="",B140=""),"",B140-C140)</f>
        <v/>
      </c>
    </row>
    <row r="141">
      <c r="A141" s="5" t="n"/>
      <c r="B141" s="6" t="n"/>
      <c r="C141" s="2">
        <f>IF(A141="","",SUMIFS('Input Transaksi'!$E$5:$E$5000,'Input Transaksi'!$D$5:$D$5000,A141))</f>
        <v/>
      </c>
      <c r="D141" s="2">
        <f>IF(OR(A141="",B141=""),"",B141-C141)</f>
        <v/>
      </c>
    </row>
    <row r="142">
      <c r="A142" s="5" t="n"/>
      <c r="B142" s="6" t="n"/>
      <c r="C142" s="2">
        <f>IF(A142="","",SUMIFS('Input Transaksi'!$E$5:$E$5000,'Input Transaksi'!$D$5:$D$5000,A142))</f>
        <v/>
      </c>
      <c r="D142" s="2">
        <f>IF(OR(A142="",B142=""),"",B142-C142)</f>
        <v/>
      </c>
    </row>
    <row r="143">
      <c r="A143" s="5" t="n"/>
      <c r="B143" s="6" t="n"/>
      <c r="C143" s="2">
        <f>IF(A143="","",SUMIFS('Input Transaksi'!$E$5:$E$5000,'Input Transaksi'!$D$5:$D$5000,A143))</f>
        <v/>
      </c>
      <c r="D143" s="2">
        <f>IF(OR(A143="",B143=""),"",B143-C143)</f>
        <v/>
      </c>
    </row>
    <row r="144">
      <c r="A144" s="5" t="n"/>
      <c r="B144" s="6" t="n"/>
      <c r="C144" s="2">
        <f>IF(A144="","",SUMIFS('Input Transaksi'!$E$5:$E$5000,'Input Transaksi'!$D$5:$D$5000,A144))</f>
        <v/>
      </c>
      <c r="D144" s="2">
        <f>IF(OR(A144="",B144=""),"",B144-C144)</f>
        <v/>
      </c>
    </row>
    <row r="145">
      <c r="A145" s="5" t="n"/>
      <c r="B145" s="6" t="n"/>
      <c r="C145" s="2">
        <f>IF(A145="","",SUMIFS('Input Transaksi'!$E$5:$E$5000,'Input Transaksi'!$D$5:$D$5000,A145))</f>
        <v/>
      </c>
      <c r="D145" s="2">
        <f>IF(OR(A145="",B145=""),"",B145-C145)</f>
        <v/>
      </c>
    </row>
    <row r="146">
      <c r="A146" s="5" t="n"/>
      <c r="B146" s="6" t="n"/>
      <c r="C146" s="2">
        <f>IF(A146="","",SUMIFS('Input Transaksi'!$E$5:$E$5000,'Input Transaksi'!$D$5:$D$5000,A146))</f>
        <v/>
      </c>
      <c r="D146" s="2">
        <f>IF(OR(A146="",B146=""),"",B146-C146)</f>
        <v/>
      </c>
    </row>
    <row r="147">
      <c r="A147" s="5" t="n"/>
      <c r="B147" s="6" t="n"/>
      <c r="C147" s="2">
        <f>IF(A147="","",SUMIFS('Input Transaksi'!$E$5:$E$5000,'Input Transaksi'!$D$5:$D$5000,A147))</f>
        <v/>
      </c>
      <c r="D147" s="2">
        <f>IF(OR(A147="",B147=""),"",B147-C147)</f>
        <v/>
      </c>
    </row>
    <row r="148">
      <c r="A148" s="5" t="n"/>
      <c r="B148" s="6" t="n"/>
      <c r="C148" s="2">
        <f>IF(A148="","",SUMIFS('Input Transaksi'!$E$5:$E$5000,'Input Transaksi'!$D$5:$D$5000,A148))</f>
        <v/>
      </c>
      <c r="D148" s="2">
        <f>IF(OR(A148="",B148=""),"",B148-C148)</f>
        <v/>
      </c>
    </row>
    <row r="149">
      <c r="A149" s="5" t="n"/>
      <c r="B149" s="6" t="n"/>
      <c r="C149" s="2">
        <f>IF(A149="","",SUMIFS('Input Transaksi'!$E$5:$E$5000,'Input Transaksi'!$D$5:$D$5000,A149))</f>
        <v/>
      </c>
      <c r="D149" s="2">
        <f>IF(OR(A149="",B149=""),"",B149-C149)</f>
        <v/>
      </c>
    </row>
    <row r="150">
      <c r="A150" s="5" t="n"/>
      <c r="B150" s="6" t="n"/>
      <c r="C150" s="2">
        <f>IF(A150="","",SUMIFS('Input Transaksi'!$E$5:$E$5000,'Input Transaksi'!$D$5:$D$5000,A150))</f>
        <v/>
      </c>
      <c r="D150" s="2">
        <f>IF(OR(A150="",B150=""),"",B150-C150)</f>
        <v/>
      </c>
    </row>
    <row r="151">
      <c r="A151" s="5" t="n"/>
      <c r="B151" s="6" t="n"/>
      <c r="C151" s="2">
        <f>IF(A151="","",SUMIFS('Input Transaksi'!$E$5:$E$5000,'Input Transaksi'!$D$5:$D$5000,A151))</f>
        <v/>
      </c>
      <c r="D151" s="2">
        <f>IF(OR(A151="",B151=""),"",B151-C151)</f>
        <v/>
      </c>
    </row>
    <row r="152">
      <c r="A152" s="5" t="n"/>
      <c r="B152" s="6" t="n"/>
      <c r="C152" s="2">
        <f>IF(A152="","",SUMIFS('Input Transaksi'!$E$5:$E$5000,'Input Transaksi'!$D$5:$D$5000,A152))</f>
        <v/>
      </c>
      <c r="D152" s="2">
        <f>IF(OR(A152="",B152=""),"",B152-C152)</f>
        <v/>
      </c>
    </row>
    <row r="153">
      <c r="A153" s="5" t="n"/>
      <c r="B153" s="6" t="n"/>
      <c r="C153" s="2">
        <f>IF(A153="","",SUMIFS('Input Transaksi'!$E$5:$E$5000,'Input Transaksi'!$D$5:$D$5000,A153))</f>
        <v/>
      </c>
      <c r="D153" s="2">
        <f>IF(OR(A153="",B153=""),"",B153-C153)</f>
        <v/>
      </c>
    </row>
    <row r="154">
      <c r="A154" s="5" t="n"/>
      <c r="B154" s="6" t="n"/>
      <c r="C154" s="2">
        <f>IF(A154="","",SUMIFS('Input Transaksi'!$E$5:$E$5000,'Input Transaksi'!$D$5:$D$5000,A154))</f>
        <v/>
      </c>
      <c r="D154" s="2">
        <f>IF(OR(A154="",B154=""),"",B154-C154)</f>
        <v/>
      </c>
    </row>
    <row r="155">
      <c r="A155" s="5" t="n"/>
      <c r="B155" s="6" t="n"/>
      <c r="C155" s="2">
        <f>IF(A155="","",SUMIFS('Input Transaksi'!$E$5:$E$5000,'Input Transaksi'!$D$5:$D$5000,A155))</f>
        <v/>
      </c>
      <c r="D155" s="2">
        <f>IF(OR(A155="",B155=""),"",B155-C155)</f>
        <v/>
      </c>
    </row>
    <row r="156">
      <c r="A156" s="5" t="n"/>
      <c r="B156" s="6" t="n"/>
      <c r="C156" s="2">
        <f>IF(A156="","",SUMIFS('Input Transaksi'!$E$5:$E$5000,'Input Transaksi'!$D$5:$D$5000,A156))</f>
        <v/>
      </c>
      <c r="D156" s="2">
        <f>IF(OR(A156="",B156=""),"",B156-C156)</f>
        <v/>
      </c>
    </row>
    <row r="157">
      <c r="A157" s="5" t="n"/>
      <c r="B157" s="6" t="n"/>
      <c r="C157" s="2">
        <f>IF(A157="","",SUMIFS('Input Transaksi'!$E$5:$E$5000,'Input Transaksi'!$D$5:$D$5000,A157))</f>
        <v/>
      </c>
      <c r="D157" s="2">
        <f>IF(OR(A157="",B157=""),"",B157-C157)</f>
        <v/>
      </c>
    </row>
    <row r="158">
      <c r="A158" s="5" t="n"/>
      <c r="B158" s="6" t="n"/>
      <c r="C158" s="2">
        <f>IF(A158="","",SUMIFS('Input Transaksi'!$E$5:$E$5000,'Input Transaksi'!$D$5:$D$5000,A158))</f>
        <v/>
      </c>
      <c r="D158" s="2">
        <f>IF(OR(A158="",B158=""),"",B158-C158)</f>
        <v/>
      </c>
    </row>
    <row r="159">
      <c r="A159" s="5" t="n"/>
      <c r="B159" s="6" t="n"/>
      <c r="C159" s="2">
        <f>IF(A159="","",SUMIFS('Input Transaksi'!$E$5:$E$5000,'Input Transaksi'!$D$5:$D$5000,A159))</f>
        <v/>
      </c>
      <c r="D159" s="2">
        <f>IF(OR(A159="",B159=""),"",B159-C159)</f>
        <v/>
      </c>
    </row>
    <row r="160">
      <c r="A160" s="5" t="n"/>
      <c r="B160" s="6" t="n"/>
      <c r="C160" s="2">
        <f>IF(A160="","",SUMIFS('Input Transaksi'!$E$5:$E$5000,'Input Transaksi'!$D$5:$D$5000,A160))</f>
        <v/>
      </c>
      <c r="D160" s="2">
        <f>IF(OR(A160="",B160=""),"",B160-C160)</f>
        <v/>
      </c>
    </row>
    <row r="161">
      <c r="A161" s="5" t="n"/>
      <c r="B161" s="6" t="n"/>
      <c r="C161" s="2">
        <f>IF(A161="","",SUMIFS('Input Transaksi'!$E$5:$E$5000,'Input Transaksi'!$D$5:$D$5000,A161))</f>
        <v/>
      </c>
      <c r="D161" s="2">
        <f>IF(OR(A161="",B161=""),"",B161-C161)</f>
        <v/>
      </c>
    </row>
    <row r="162">
      <c r="A162" s="5" t="n"/>
      <c r="B162" s="6" t="n"/>
      <c r="C162" s="2">
        <f>IF(A162="","",SUMIFS('Input Transaksi'!$E$5:$E$5000,'Input Transaksi'!$D$5:$D$5000,A162))</f>
        <v/>
      </c>
      <c r="D162" s="2">
        <f>IF(OR(A162="",B162=""),"",B162-C162)</f>
        <v/>
      </c>
    </row>
    <row r="163">
      <c r="A163" s="5" t="n"/>
      <c r="B163" s="6" t="n"/>
      <c r="C163" s="2">
        <f>IF(A163="","",SUMIFS('Input Transaksi'!$E$5:$E$5000,'Input Transaksi'!$D$5:$D$5000,A163))</f>
        <v/>
      </c>
      <c r="D163" s="2">
        <f>IF(OR(A163="",B163=""),"",B163-C163)</f>
        <v/>
      </c>
    </row>
    <row r="164">
      <c r="A164" s="5" t="n"/>
      <c r="B164" s="6" t="n"/>
      <c r="C164" s="2">
        <f>IF(A164="","",SUMIFS('Input Transaksi'!$E$5:$E$5000,'Input Transaksi'!$D$5:$D$5000,A164))</f>
        <v/>
      </c>
      <c r="D164" s="2">
        <f>IF(OR(A164="",B164=""),"",B164-C164)</f>
        <v/>
      </c>
    </row>
    <row r="165">
      <c r="A165" s="5" t="n"/>
      <c r="B165" s="6" t="n"/>
      <c r="C165" s="2">
        <f>IF(A165="","",SUMIFS('Input Transaksi'!$E$5:$E$5000,'Input Transaksi'!$D$5:$D$5000,A165))</f>
        <v/>
      </c>
      <c r="D165" s="2">
        <f>IF(OR(A165="",B165=""),"",B165-C165)</f>
        <v/>
      </c>
    </row>
    <row r="166">
      <c r="A166" s="5" t="n"/>
      <c r="B166" s="6" t="n"/>
      <c r="C166" s="2">
        <f>IF(A166="","",SUMIFS('Input Transaksi'!$E$5:$E$5000,'Input Transaksi'!$D$5:$D$5000,A166))</f>
        <v/>
      </c>
      <c r="D166" s="2">
        <f>IF(OR(A166="",B166=""),"",B166-C166)</f>
        <v/>
      </c>
    </row>
    <row r="167">
      <c r="A167" s="5" t="n"/>
      <c r="B167" s="6" t="n"/>
      <c r="C167" s="2">
        <f>IF(A167="","",SUMIFS('Input Transaksi'!$E$5:$E$5000,'Input Transaksi'!$D$5:$D$5000,A167))</f>
        <v/>
      </c>
      <c r="D167" s="2">
        <f>IF(OR(A167="",B167=""),"",B167-C167)</f>
        <v/>
      </c>
    </row>
    <row r="168">
      <c r="A168" s="5" t="n"/>
      <c r="B168" s="6" t="n"/>
      <c r="C168" s="2">
        <f>IF(A168="","",SUMIFS('Input Transaksi'!$E$5:$E$5000,'Input Transaksi'!$D$5:$D$5000,A168))</f>
        <v/>
      </c>
      <c r="D168" s="2">
        <f>IF(OR(A168="",B168=""),"",B168-C168)</f>
        <v/>
      </c>
    </row>
    <row r="169">
      <c r="A169" s="5" t="n"/>
      <c r="B169" s="6" t="n"/>
      <c r="C169" s="2">
        <f>IF(A169="","",SUMIFS('Input Transaksi'!$E$5:$E$5000,'Input Transaksi'!$D$5:$D$5000,A169))</f>
        <v/>
      </c>
      <c r="D169" s="2">
        <f>IF(OR(A169="",B169=""),"",B169-C169)</f>
        <v/>
      </c>
    </row>
    <row r="170">
      <c r="A170" s="5" t="n"/>
      <c r="B170" s="6" t="n"/>
      <c r="C170" s="2">
        <f>IF(A170="","",SUMIFS('Input Transaksi'!$E$5:$E$5000,'Input Transaksi'!$D$5:$D$5000,A170))</f>
        <v/>
      </c>
      <c r="D170" s="2">
        <f>IF(OR(A170="",B170=""),"",B170-C170)</f>
        <v/>
      </c>
    </row>
    <row r="171">
      <c r="A171" s="5" t="n"/>
      <c r="B171" s="6" t="n"/>
      <c r="C171" s="2">
        <f>IF(A171="","",SUMIFS('Input Transaksi'!$E$5:$E$5000,'Input Transaksi'!$D$5:$D$5000,A171))</f>
        <v/>
      </c>
      <c r="D171" s="2">
        <f>IF(OR(A171="",B171=""),"",B171-C171)</f>
        <v/>
      </c>
    </row>
    <row r="172">
      <c r="A172" s="5" t="n"/>
      <c r="B172" s="6" t="n"/>
      <c r="C172" s="2">
        <f>IF(A172="","",SUMIFS('Input Transaksi'!$E$5:$E$5000,'Input Transaksi'!$D$5:$D$5000,A172))</f>
        <v/>
      </c>
      <c r="D172" s="2">
        <f>IF(OR(A172="",B172=""),"",B172-C172)</f>
        <v/>
      </c>
    </row>
    <row r="173">
      <c r="A173" s="5" t="n"/>
      <c r="B173" s="6" t="n"/>
      <c r="C173" s="2">
        <f>IF(A173="","",SUMIFS('Input Transaksi'!$E$5:$E$5000,'Input Transaksi'!$D$5:$D$5000,A173))</f>
        <v/>
      </c>
      <c r="D173" s="2">
        <f>IF(OR(A173="",B173=""),"",B173-C173)</f>
        <v/>
      </c>
    </row>
    <row r="174">
      <c r="A174" s="5" t="n"/>
      <c r="B174" s="6" t="n"/>
      <c r="C174" s="2">
        <f>IF(A174="","",SUMIFS('Input Transaksi'!$E$5:$E$5000,'Input Transaksi'!$D$5:$D$5000,A174))</f>
        <v/>
      </c>
      <c r="D174" s="2">
        <f>IF(OR(A174="",B174=""),"",B174-C174)</f>
        <v/>
      </c>
    </row>
    <row r="175">
      <c r="A175" s="5" t="n"/>
      <c r="B175" s="6" t="n"/>
      <c r="C175" s="2">
        <f>IF(A175="","",SUMIFS('Input Transaksi'!$E$5:$E$5000,'Input Transaksi'!$D$5:$D$5000,A175))</f>
        <v/>
      </c>
      <c r="D175" s="2">
        <f>IF(OR(A175="",B175=""),"",B175-C175)</f>
        <v/>
      </c>
    </row>
    <row r="176">
      <c r="A176" s="5" t="n"/>
      <c r="B176" s="6" t="n"/>
      <c r="C176" s="2">
        <f>IF(A176="","",SUMIFS('Input Transaksi'!$E$5:$E$5000,'Input Transaksi'!$D$5:$D$5000,A176))</f>
        <v/>
      </c>
      <c r="D176" s="2">
        <f>IF(OR(A176="",B176=""),"",B176-C176)</f>
        <v/>
      </c>
    </row>
    <row r="177">
      <c r="A177" s="5" t="n"/>
      <c r="B177" s="6" t="n"/>
      <c r="C177" s="2">
        <f>IF(A177="","",SUMIFS('Input Transaksi'!$E$5:$E$5000,'Input Transaksi'!$D$5:$D$5000,A177))</f>
        <v/>
      </c>
      <c r="D177" s="2">
        <f>IF(OR(A177="",B177=""),"",B177-C177)</f>
        <v/>
      </c>
    </row>
    <row r="178">
      <c r="A178" s="5" t="n"/>
      <c r="B178" s="6" t="n"/>
      <c r="C178" s="2">
        <f>IF(A178="","",SUMIFS('Input Transaksi'!$E$5:$E$5000,'Input Transaksi'!$D$5:$D$5000,A178))</f>
        <v/>
      </c>
      <c r="D178" s="2">
        <f>IF(OR(A178="",B178=""),"",B178-C178)</f>
        <v/>
      </c>
    </row>
    <row r="179">
      <c r="A179" s="5" t="n"/>
      <c r="B179" s="6" t="n"/>
      <c r="C179" s="2">
        <f>IF(A179="","",SUMIFS('Input Transaksi'!$E$5:$E$5000,'Input Transaksi'!$D$5:$D$5000,A179))</f>
        <v/>
      </c>
      <c r="D179" s="2">
        <f>IF(OR(A179="",B179=""),"",B179-C179)</f>
        <v/>
      </c>
    </row>
    <row r="180">
      <c r="A180" s="5" t="n"/>
      <c r="B180" s="6" t="n"/>
      <c r="C180" s="2">
        <f>IF(A180="","",SUMIFS('Input Transaksi'!$E$5:$E$5000,'Input Transaksi'!$D$5:$D$5000,A180))</f>
        <v/>
      </c>
      <c r="D180" s="2">
        <f>IF(OR(A180="",B180=""),"",B180-C180)</f>
        <v/>
      </c>
    </row>
    <row r="181">
      <c r="A181" s="5" t="n"/>
      <c r="B181" s="6" t="n"/>
      <c r="C181" s="2">
        <f>IF(A181="","",SUMIFS('Input Transaksi'!$E$5:$E$5000,'Input Transaksi'!$D$5:$D$5000,A181))</f>
        <v/>
      </c>
      <c r="D181" s="2">
        <f>IF(OR(A181="",B181=""),"",B181-C181)</f>
        <v/>
      </c>
    </row>
    <row r="182">
      <c r="A182" s="5" t="n"/>
      <c r="B182" s="6" t="n"/>
      <c r="C182" s="2">
        <f>IF(A182="","",SUMIFS('Input Transaksi'!$E$5:$E$5000,'Input Transaksi'!$D$5:$D$5000,A182))</f>
        <v/>
      </c>
      <c r="D182" s="2">
        <f>IF(OR(A182="",B182=""),"",B182-C182)</f>
        <v/>
      </c>
    </row>
    <row r="183">
      <c r="A183" s="5" t="n"/>
      <c r="B183" s="6" t="n"/>
      <c r="C183" s="2">
        <f>IF(A183="","",SUMIFS('Input Transaksi'!$E$5:$E$5000,'Input Transaksi'!$D$5:$D$5000,A183))</f>
        <v/>
      </c>
      <c r="D183" s="2">
        <f>IF(OR(A183="",B183=""),"",B183-C183)</f>
        <v/>
      </c>
    </row>
    <row r="184">
      <c r="A184" s="5" t="n"/>
      <c r="B184" s="6" t="n"/>
      <c r="C184" s="2">
        <f>IF(A184="","",SUMIFS('Input Transaksi'!$E$5:$E$5000,'Input Transaksi'!$D$5:$D$5000,A184))</f>
        <v/>
      </c>
      <c r="D184" s="2">
        <f>IF(OR(A184="",B184=""),"",B184-C184)</f>
        <v/>
      </c>
    </row>
    <row r="185">
      <c r="A185" s="5" t="n"/>
      <c r="B185" s="6" t="n"/>
      <c r="C185" s="2">
        <f>IF(A185="","",SUMIFS('Input Transaksi'!$E$5:$E$5000,'Input Transaksi'!$D$5:$D$5000,A185))</f>
        <v/>
      </c>
      <c r="D185" s="2">
        <f>IF(OR(A185="",B185=""),"",B185-C185)</f>
        <v/>
      </c>
    </row>
    <row r="186">
      <c r="A186" s="5" t="n"/>
      <c r="B186" s="6" t="n"/>
      <c r="C186" s="2">
        <f>IF(A186="","",SUMIFS('Input Transaksi'!$E$5:$E$5000,'Input Transaksi'!$D$5:$D$5000,A186))</f>
        <v/>
      </c>
      <c r="D186" s="2">
        <f>IF(OR(A186="",B186=""),"",B186-C186)</f>
        <v/>
      </c>
    </row>
    <row r="187">
      <c r="A187" s="5" t="n"/>
      <c r="B187" s="6" t="n"/>
      <c r="C187" s="2">
        <f>IF(A187="","",SUMIFS('Input Transaksi'!$E$5:$E$5000,'Input Transaksi'!$D$5:$D$5000,A187))</f>
        <v/>
      </c>
      <c r="D187" s="2">
        <f>IF(OR(A187="",B187=""),"",B187-C187)</f>
        <v/>
      </c>
    </row>
    <row r="188">
      <c r="A188" s="5" t="n"/>
      <c r="B188" s="6" t="n"/>
      <c r="C188" s="2">
        <f>IF(A188="","",SUMIFS('Input Transaksi'!$E$5:$E$5000,'Input Transaksi'!$D$5:$D$5000,A188))</f>
        <v/>
      </c>
      <c r="D188" s="2">
        <f>IF(OR(A188="",B188=""),"",B188-C188)</f>
        <v/>
      </c>
    </row>
    <row r="189">
      <c r="A189" s="5" t="n"/>
      <c r="B189" s="6" t="n"/>
      <c r="C189" s="2">
        <f>IF(A189="","",SUMIFS('Input Transaksi'!$E$5:$E$5000,'Input Transaksi'!$D$5:$D$5000,A189))</f>
        <v/>
      </c>
      <c r="D189" s="2">
        <f>IF(OR(A189="",B189=""),"",B189-C189)</f>
        <v/>
      </c>
    </row>
    <row r="190">
      <c r="A190" s="5" t="n"/>
      <c r="B190" s="6" t="n"/>
      <c r="C190" s="2">
        <f>IF(A190="","",SUMIFS('Input Transaksi'!$E$5:$E$5000,'Input Transaksi'!$D$5:$D$5000,A190))</f>
        <v/>
      </c>
      <c r="D190" s="2">
        <f>IF(OR(A190="",B190=""),"",B190-C190)</f>
        <v/>
      </c>
    </row>
    <row r="191">
      <c r="A191" s="5" t="n"/>
      <c r="B191" s="6" t="n"/>
      <c r="C191" s="2">
        <f>IF(A191="","",SUMIFS('Input Transaksi'!$E$5:$E$5000,'Input Transaksi'!$D$5:$D$5000,A191))</f>
        <v/>
      </c>
      <c r="D191" s="2">
        <f>IF(OR(A191="",B191=""),"",B191-C191)</f>
        <v/>
      </c>
    </row>
    <row r="192">
      <c r="A192" s="5" t="n"/>
      <c r="B192" s="6" t="n"/>
      <c r="C192" s="2">
        <f>IF(A192="","",SUMIFS('Input Transaksi'!$E$5:$E$5000,'Input Transaksi'!$D$5:$D$5000,A192))</f>
        <v/>
      </c>
      <c r="D192" s="2">
        <f>IF(OR(A192="",B192=""),"",B192-C192)</f>
        <v/>
      </c>
    </row>
    <row r="193">
      <c r="A193" s="5" t="n"/>
      <c r="B193" s="6" t="n"/>
      <c r="C193" s="2">
        <f>IF(A193="","",SUMIFS('Input Transaksi'!$E$5:$E$5000,'Input Transaksi'!$D$5:$D$5000,A193))</f>
        <v/>
      </c>
      <c r="D193" s="2">
        <f>IF(OR(A193="",B193=""),"",B193-C193)</f>
        <v/>
      </c>
    </row>
    <row r="194">
      <c r="A194" s="5" t="n"/>
      <c r="B194" s="6" t="n"/>
      <c r="C194" s="2">
        <f>IF(A194="","",SUMIFS('Input Transaksi'!$E$5:$E$5000,'Input Transaksi'!$D$5:$D$5000,A194))</f>
        <v/>
      </c>
      <c r="D194" s="2">
        <f>IF(OR(A194="",B194=""),"",B194-C194)</f>
        <v/>
      </c>
    </row>
    <row r="195">
      <c r="A195" s="5" t="n"/>
      <c r="B195" s="6" t="n"/>
      <c r="C195" s="2">
        <f>IF(A195="","",SUMIFS('Input Transaksi'!$E$5:$E$5000,'Input Transaksi'!$D$5:$D$5000,A195))</f>
        <v/>
      </c>
      <c r="D195" s="2">
        <f>IF(OR(A195="",B195=""),"",B195-C195)</f>
        <v/>
      </c>
    </row>
    <row r="196">
      <c r="A196" s="5" t="n"/>
      <c r="B196" s="6" t="n"/>
      <c r="C196" s="2">
        <f>IF(A196="","",SUMIFS('Input Transaksi'!$E$5:$E$5000,'Input Transaksi'!$D$5:$D$5000,A196))</f>
        <v/>
      </c>
      <c r="D196" s="2">
        <f>IF(OR(A196="",B196=""),"",B196-C196)</f>
        <v/>
      </c>
    </row>
    <row r="197">
      <c r="A197" s="5" t="n"/>
      <c r="B197" s="6" t="n"/>
      <c r="C197" s="2">
        <f>IF(A197="","",SUMIFS('Input Transaksi'!$E$5:$E$5000,'Input Transaksi'!$D$5:$D$5000,A197))</f>
        <v/>
      </c>
      <c r="D197" s="2">
        <f>IF(OR(A197="",B197=""),"",B197-C197)</f>
        <v/>
      </c>
    </row>
    <row r="198">
      <c r="A198" s="5" t="n"/>
      <c r="B198" s="6" t="n"/>
      <c r="C198" s="2">
        <f>IF(A198="","",SUMIFS('Input Transaksi'!$E$5:$E$5000,'Input Transaksi'!$D$5:$D$5000,A198))</f>
        <v/>
      </c>
      <c r="D198" s="2">
        <f>IF(OR(A198="",B198=""),"",B198-C198)</f>
        <v/>
      </c>
    </row>
    <row r="199">
      <c r="A199" s="5" t="n"/>
      <c r="B199" s="6" t="n"/>
      <c r="C199" s="2">
        <f>IF(A199="","",SUMIFS('Input Transaksi'!$E$5:$E$5000,'Input Transaksi'!$D$5:$D$5000,A199))</f>
        <v/>
      </c>
      <c r="D199" s="2">
        <f>IF(OR(A199="",B199=""),"",B199-C199)</f>
        <v/>
      </c>
    </row>
    <row r="200">
      <c r="A200" s="5" t="n"/>
      <c r="B200" s="6" t="n"/>
      <c r="C200" s="2">
        <f>IF(A200="","",SUMIFS('Input Transaksi'!$E$5:$E$5000,'Input Transaksi'!$D$5:$D$5000,A200))</f>
        <v/>
      </c>
      <c r="D200" s="2">
        <f>IF(OR(A200="",B200=""),"",B200-C200)</f>
        <v/>
      </c>
    </row>
    <row r="201">
      <c r="A201" s="5" t="n"/>
      <c r="B201" s="6" t="n"/>
      <c r="C201" s="2">
        <f>IF(A201="","",SUMIFS('Input Transaksi'!$E$5:$E$5000,'Input Transaksi'!$D$5:$D$5000,A201))</f>
        <v/>
      </c>
      <c r="D201" s="2">
        <f>IF(OR(A201="",B201=""),"",B201-C201)</f>
        <v/>
      </c>
    </row>
    <row r="202">
      <c r="A202" s="5" t="n"/>
      <c r="B202" s="6" t="n"/>
      <c r="C202" s="2">
        <f>IF(A202="","",SUMIFS('Input Transaksi'!$E$5:$E$5000,'Input Transaksi'!$D$5:$D$5000,A202))</f>
        <v/>
      </c>
      <c r="D202" s="2">
        <f>IF(OR(A202="",B202=""),"",B202-C202)</f>
        <v/>
      </c>
    </row>
    <row r="203">
      <c r="A203" s="5" t="n"/>
      <c r="B203" s="6" t="n"/>
      <c r="C203" s="2">
        <f>IF(A203="","",SUMIFS('Input Transaksi'!$E$5:$E$5000,'Input Transaksi'!$D$5:$D$5000,A203))</f>
        <v/>
      </c>
      <c r="D203" s="2">
        <f>IF(OR(A203="",B203=""),"",B203-C203)</f>
        <v/>
      </c>
    </row>
    <row r="204">
      <c r="A204" s="5" t="n"/>
      <c r="B204" s="6" t="n"/>
      <c r="C204" s="2">
        <f>IF(A204="","",SUMIFS('Input Transaksi'!$E$5:$E$5000,'Input Transaksi'!$D$5:$D$5000,A204))</f>
        <v/>
      </c>
      <c r="D204" s="2">
        <f>IF(OR(A204="",B204=""),"",B204-C204)</f>
        <v/>
      </c>
    </row>
    <row r="205">
      <c r="A205" s="5" t="n"/>
      <c r="B205" s="6" t="n"/>
      <c r="C205" s="2">
        <f>IF(A205="","",SUMIFS('Input Transaksi'!$E$5:$E$5000,'Input Transaksi'!$D$5:$D$5000,A205))</f>
        <v/>
      </c>
      <c r="D205" s="2">
        <f>IF(OR(A205="",B205=""),"",B205-C205)</f>
        <v/>
      </c>
    </row>
    <row r="206">
      <c r="A206" s="5" t="n"/>
      <c r="B206" s="6" t="n"/>
      <c r="C206" s="2">
        <f>IF(A206="","",SUMIFS('Input Transaksi'!$E$5:$E$5000,'Input Transaksi'!$D$5:$D$5000,A206))</f>
        <v/>
      </c>
      <c r="D206" s="2">
        <f>IF(OR(A206="",B206=""),"",B206-C206)</f>
        <v/>
      </c>
    </row>
    <row r="207">
      <c r="A207" s="5" t="n"/>
      <c r="B207" s="6" t="n"/>
      <c r="C207" s="2">
        <f>IF(A207="","",SUMIFS('Input Transaksi'!$E$5:$E$5000,'Input Transaksi'!$D$5:$D$5000,A207))</f>
        <v/>
      </c>
      <c r="D207" s="2">
        <f>IF(OR(A207="",B207=""),"",B207-C207)</f>
        <v/>
      </c>
    </row>
    <row r="208">
      <c r="A208" s="5" t="n"/>
      <c r="B208" s="6" t="n"/>
      <c r="C208" s="2">
        <f>IF(A208="","",SUMIFS('Input Transaksi'!$E$5:$E$5000,'Input Transaksi'!$D$5:$D$5000,A208))</f>
        <v/>
      </c>
      <c r="D208" s="2">
        <f>IF(OR(A208="",B208=""),"",B208-C208)</f>
        <v/>
      </c>
    </row>
    <row r="209">
      <c r="A209" s="5" t="n"/>
      <c r="B209" s="6" t="n"/>
      <c r="C209" s="2">
        <f>IF(A209="","",SUMIFS('Input Transaksi'!$E$5:$E$5000,'Input Transaksi'!$D$5:$D$5000,A209))</f>
        <v/>
      </c>
      <c r="D209" s="2">
        <f>IF(OR(A209="",B209=""),"",B209-C209)</f>
        <v/>
      </c>
    </row>
    <row r="210">
      <c r="A210" s="5" t="n"/>
      <c r="B210" s="6" t="n"/>
      <c r="C210" s="2">
        <f>IF(A210="","",SUMIFS('Input Transaksi'!$E$5:$E$5000,'Input Transaksi'!$D$5:$D$5000,A210))</f>
        <v/>
      </c>
      <c r="D210" s="2">
        <f>IF(OR(A210="",B210=""),"",B210-C210)</f>
        <v/>
      </c>
    </row>
    <row r="211">
      <c r="A211" s="5" t="n"/>
      <c r="B211" s="6" t="n"/>
      <c r="C211" s="2">
        <f>IF(A211="","",SUMIFS('Input Transaksi'!$E$5:$E$5000,'Input Transaksi'!$D$5:$D$5000,A211))</f>
        <v/>
      </c>
      <c r="D211" s="2">
        <f>IF(OR(A211="",B211=""),"",B211-C211)</f>
        <v/>
      </c>
    </row>
    <row r="212">
      <c r="A212" s="5" t="n"/>
      <c r="B212" s="6" t="n"/>
      <c r="C212" s="2">
        <f>IF(A212="","",SUMIFS('Input Transaksi'!$E$5:$E$5000,'Input Transaksi'!$D$5:$D$5000,A212))</f>
        <v/>
      </c>
      <c r="D212" s="2">
        <f>IF(OR(A212="",B212=""),"",B212-C212)</f>
        <v/>
      </c>
    </row>
    <row r="213">
      <c r="A213" s="5" t="n"/>
      <c r="B213" s="6" t="n"/>
      <c r="C213" s="2">
        <f>IF(A213="","",SUMIFS('Input Transaksi'!$E$5:$E$5000,'Input Transaksi'!$D$5:$D$5000,A213))</f>
        <v/>
      </c>
      <c r="D213" s="2">
        <f>IF(OR(A213="",B213=""),"",B213-C213)</f>
        <v/>
      </c>
    </row>
    <row r="214">
      <c r="A214" s="5" t="n"/>
      <c r="B214" s="6" t="n"/>
      <c r="C214" s="2">
        <f>IF(A214="","",SUMIFS('Input Transaksi'!$E$5:$E$5000,'Input Transaksi'!$D$5:$D$5000,A214))</f>
        <v/>
      </c>
      <c r="D214" s="2">
        <f>IF(OR(A214="",B214=""),"",B214-C214)</f>
        <v/>
      </c>
    </row>
    <row r="215">
      <c r="A215" s="5" t="n"/>
      <c r="B215" s="6" t="n"/>
      <c r="C215" s="2">
        <f>IF(A215="","",SUMIFS('Input Transaksi'!$E$5:$E$5000,'Input Transaksi'!$D$5:$D$5000,A215))</f>
        <v/>
      </c>
      <c r="D215" s="2">
        <f>IF(OR(A215="",B215=""),"",B215-C215)</f>
        <v/>
      </c>
    </row>
    <row r="216">
      <c r="A216" s="5" t="n"/>
      <c r="B216" s="6" t="n"/>
      <c r="C216" s="2">
        <f>IF(A216="","",SUMIFS('Input Transaksi'!$E$5:$E$5000,'Input Transaksi'!$D$5:$D$5000,A216))</f>
        <v/>
      </c>
      <c r="D216" s="2">
        <f>IF(OR(A216="",B216=""),"",B216-C216)</f>
        <v/>
      </c>
    </row>
    <row r="217">
      <c r="A217" s="5" t="n"/>
      <c r="B217" s="6" t="n"/>
      <c r="C217" s="2">
        <f>IF(A217="","",SUMIFS('Input Transaksi'!$E$5:$E$5000,'Input Transaksi'!$D$5:$D$5000,A217))</f>
        <v/>
      </c>
      <c r="D217" s="2">
        <f>IF(OR(A217="",B217=""),"",B217-C217)</f>
        <v/>
      </c>
    </row>
    <row r="218">
      <c r="A218" s="5" t="n"/>
      <c r="B218" s="6" t="n"/>
      <c r="C218" s="2">
        <f>IF(A218="","",SUMIFS('Input Transaksi'!$E$5:$E$5000,'Input Transaksi'!$D$5:$D$5000,A218))</f>
        <v/>
      </c>
      <c r="D218" s="2">
        <f>IF(OR(A218="",B218=""),"",B218-C218)</f>
        <v/>
      </c>
    </row>
    <row r="219">
      <c r="A219" s="5" t="n"/>
      <c r="B219" s="6" t="n"/>
      <c r="C219" s="2">
        <f>IF(A219="","",SUMIFS('Input Transaksi'!$E$5:$E$5000,'Input Transaksi'!$D$5:$D$5000,A219))</f>
        <v/>
      </c>
      <c r="D219" s="2">
        <f>IF(OR(A219="",B219=""),"",B219-C219)</f>
        <v/>
      </c>
    </row>
    <row r="220">
      <c r="A220" s="5" t="n"/>
      <c r="B220" s="6" t="n"/>
      <c r="C220" s="2">
        <f>IF(A220="","",SUMIFS('Input Transaksi'!$E$5:$E$5000,'Input Transaksi'!$D$5:$D$5000,A220))</f>
        <v/>
      </c>
      <c r="D220" s="2">
        <f>IF(OR(A220="",B220=""),"",B220-C220)</f>
        <v/>
      </c>
    </row>
    <row r="221">
      <c r="A221" s="5" t="n"/>
      <c r="B221" s="6" t="n"/>
      <c r="C221" s="2">
        <f>IF(A221="","",SUMIFS('Input Transaksi'!$E$5:$E$5000,'Input Transaksi'!$D$5:$D$5000,A221))</f>
        <v/>
      </c>
      <c r="D221" s="2">
        <f>IF(OR(A221="",B221=""),"",B221-C221)</f>
        <v/>
      </c>
    </row>
    <row r="222">
      <c r="A222" s="5" t="n"/>
      <c r="B222" s="6" t="n"/>
      <c r="C222" s="2">
        <f>IF(A222="","",SUMIFS('Input Transaksi'!$E$5:$E$5000,'Input Transaksi'!$D$5:$D$5000,A222))</f>
        <v/>
      </c>
      <c r="D222" s="2">
        <f>IF(OR(A222="",B222=""),"",B222-C222)</f>
        <v/>
      </c>
    </row>
    <row r="223">
      <c r="A223" s="5" t="n"/>
      <c r="B223" s="6" t="n"/>
      <c r="C223" s="2">
        <f>IF(A223="","",SUMIFS('Input Transaksi'!$E$5:$E$5000,'Input Transaksi'!$D$5:$D$5000,A223))</f>
        <v/>
      </c>
      <c r="D223" s="2">
        <f>IF(OR(A223="",B223=""),"",B223-C223)</f>
        <v/>
      </c>
    </row>
    <row r="224">
      <c r="A224" s="5" t="n"/>
      <c r="B224" s="6" t="n"/>
      <c r="C224" s="2">
        <f>IF(A224="","",SUMIFS('Input Transaksi'!$E$5:$E$5000,'Input Transaksi'!$D$5:$D$5000,A224))</f>
        <v/>
      </c>
      <c r="D224" s="2">
        <f>IF(OR(A224="",B224=""),"",B224-C224)</f>
        <v/>
      </c>
    </row>
    <row r="225">
      <c r="A225" s="5" t="n"/>
      <c r="B225" s="6" t="n"/>
      <c r="C225" s="2">
        <f>IF(A225="","",SUMIFS('Input Transaksi'!$E$5:$E$5000,'Input Transaksi'!$D$5:$D$5000,A225))</f>
        <v/>
      </c>
      <c r="D225" s="2">
        <f>IF(OR(A225="",B225=""),"",B225-C225)</f>
        <v/>
      </c>
    </row>
    <row r="226">
      <c r="A226" s="5" t="n"/>
      <c r="B226" s="6" t="n"/>
      <c r="C226" s="2">
        <f>IF(A226="","",SUMIFS('Input Transaksi'!$E$5:$E$5000,'Input Transaksi'!$D$5:$D$5000,A226))</f>
        <v/>
      </c>
      <c r="D226" s="2">
        <f>IF(OR(A226="",B226=""),"",B226-C226)</f>
        <v/>
      </c>
    </row>
    <row r="227">
      <c r="A227" s="5" t="n"/>
      <c r="B227" s="6" t="n"/>
      <c r="C227" s="2">
        <f>IF(A227="","",SUMIFS('Input Transaksi'!$E$5:$E$5000,'Input Transaksi'!$D$5:$D$5000,A227))</f>
        <v/>
      </c>
      <c r="D227" s="2">
        <f>IF(OR(A227="",B227=""),"",B227-C227)</f>
        <v/>
      </c>
    </row>
    <row r="228">
      <c r="A228" s="5" t="n"/>
      <c r="B228" s="6" t="n"/>
      <c r="C228" s="2">
        <f>IF(A228="","",SUMIFS('Input Transaksi'!$E$5:$E$5000,'Input Transaksi'!$D$5:$D$5000,A228))</f>
        <v/>
      </c>
      <c r="D228" s="2">
        <f>IF(OR(A228="",B228=""),"",B228-C228)</f>
        <v/>
      </c>
    </row>
    <row r="229">
      <c r="A229" s="5" t="n"/>
      <c r="B229" s="6" t="n"/>
      <c r="C229" s="2">
        <f>IF(A229="","",SUMIFS('Input Transaksi'!$E$5:$E$5000,'Input Transaksi'!$D$5:$D$5000,A229))</f>
        <v/>
      </c>
      <c r="D229" s="2">
        <f>IF(OR(A229="",B229=""),"",B229-C229)</f>
        <v/>
      </c>
    </row>
    <row r="230">
      <c r="A230" s="5" t="n"/>
      <c r="B230" s="6" t="n"/>
      <c r="C230" s="2">
        <f>IF(A230="","",SUMIFS('Input Transaksi'!$E$5:$E$5000,'Input Transaksi'!$D$5:$D$5000,A230))</f>
        <v/>
      </c>
      <c r="D230" s="2">
        <f>IF(OR(A230="",B230=""),"",B230-C230)</f>
        <v/>
      </c>
    </row>
    <row r="231">
      <c r="A231" s="5" t="n"/>
      <c r="B231" s="6" t="n"/>
      <c r="C231" s="2">
        <f>IF(A231="","",SUMIFS('Input Transaksi'!$E$5:$E$5000,'Input Transaksi'!$D$5:$D$5000,A231))</f>
        <v/>
      </c>
      <c r="D231" s="2">
        <f>IF(OR(A231="",B231=""),"",B231-C231)</f>
        <v/>
      </c>
    </row>
    <row r="232">
      <c r="A232" s="5" t="n"/>
      <c r="B232" s="6" t="n"/>
      <c r="C232" s="2">
        <f>IF(A232="","",SUMIFS('Input Transaksi'!$E$5:$E$5000,'Input Transaksi'!$D$5:$D$5000,A232))</f>
        <v/>
      </c>
      <c r="D232" s="2">
        <f>IF(OR(A232="",B232=""),"",B232-C232)</f>
        <v/>
      </c>
    </row>
    <row r="233">
      <c r="A233" s="5" t="n"/>
      <c r="B233" s="6" t="n"/>
      <c r="C233" s="2">
        <f>IF(A233="","",SUMIFS('Input Transaksi'!$E$5:$E$5000,'Input Transaksi'!$D$5:$D$5000,A233))</f>
        <v/>
      </c>
      <c r="D233" s="2">
        <f>IF(OR(A233="",B233=""),"",B233-C233)</f>
        <v/>
      </c>
    </row>
    <row r="234">
      <c r="A234" s="5" t="n"/>
      <c r="B234" s="6" t="n"/>
      <c r="C234" s="2">
        <f>IF(A234="","",SUMIFS('Input Transaksi'!$E$5:$E$5000,'Input Transaksi'!$D$5:$D$5000,A234))</f>
        <v/>
      </c>
      <c r="D234" s="2">
        <f>IF(OR(A234="",B234=""),"",B234-C234)</f>
        <v/>
      </c>
    </row>
    <row r="235">
      <c r="A235" s="5" t="n"/>
      <c r="B235" s="6" t="n"/>
      <c r="C235" s="2">
        <f>IF(A235="","",SUMIFS('Input Transaksi'!$E$5:$E$5000,'Input Transaksi'!$D$5:$D$5000,A235))</f>
        <v/>
      </c>
      <c r="D235" s="2">
        <f>IF(OR(A235="",B235=""),"",B235-C235)</f>
        <v/>
      </c>
    </row>
    <row r="236">
      <c r="A236" s="5" t="n"/>
      <c r="B236" s="6" t="n"/>
      <c r="C236" s="2">
        <f>IF(A236="","",SUMIFS('Input Transaksi'!$E$5:$E$5000,'Input Transaksi'!$D$5:$D$5000,A236))</f>
        <v/>
      </c>
      <c r="D236" s="2">
        <f>IF(OR(A236="",B236=""),"",B236-C236)</f>
        <v/>
      </c>
    </row>
    <row r="237">
      <c r="A237" s="5" t="n"/>
      <c r="B237" s="6" t="n"/>
      <c r="C237" s="2">
        <f>IF(A237="","",SUMIFS('Input Transaksi'!$E$5:$E$5000,'Input Transaksi'!$D$5:$D$5000,A237))</f>
        <v/>
      </c>
      <c r="D237" s="2">
        <f>IF(OR(A237="",B237=""),"",B237-C237)</f>
        <v/>
      </c>
    </row>
    <row r="238">
      <c r="A238" s="5" t="n"/>
      <c r="B238" s="6" t="n"/>
      <c r="C238" s="2">
        <f>IF(A238="","",SUMIFS('Input Transaksi'!$E$5:$E$5000,'Input Transaksi'!$D$5:$D$5000,A238))</f>
        <v/>
      </c>
      <c r="D238" s="2">
        <f>IF(OR(A238="",B238=""),"",B238-C238)</f>
        <v/>
      </c>
    </row>
    <row r="239">
      <c r="A239" s="5" t="n"/>
      <c r="B239" s="6" t="n"/>
      <c r="C239" s="2">
        <f>IF(A239="","",SUMIFS('Input Transaksi'!$E$5:$E$5000,'Input Transaksi'!$D$5:$D$5000,A239))</f>
        <v/>
      </c>
      <c r="D239" s="2">
        <f>IF(OR(A239="",B239=""),"",B239-C239)</f>
        <v/>
      </c>
    </row>
    <row r="240">
      <c r="A240" s="5" t="n"/>
      <c r="B240" s="6" t="n"/>
      <c r="C240" s="2">
        <f>IF(A240="","",SUMIFS('Input Transaksi'!$E$5:$E$5000,'Input Transaksi'!$D$5:$D$5000,A240))</f>
        <v/>
      </c>
      <c r="D240" s="2">
        <f>IF(OR(A240="",B240=""),"",B240-C240)</f>
        <v/>
      </c>
    </row>
    <row r="241">
      <c r="A241" s="5" t="n"/>
      <c r="B241" s="6" t="n"/>
      <c r="C241" s="2">
        <f>IF(A241="","",SUMIFS('Input Transaksi'!$E$5:$E$5000,'Input Transaksi'!$D$5:$D$5000,A241))</f>
        <v/>
      </c>
      <c r="D241" s="2">
        <f>IF(OR(A241="",B241=""),"",B241-C241)</f>
        <v/>
      </c>
    </row>
    <row r="242">
      <c r="A242" s="5" t="n"/>
      <c r="B242" s="6" t="n"/>
      <c r="C242" s="2">
        <f>IF(A242="","",SUMIFS('Input Transaksi'!$E$5:$E$5000,'Input Transaksi'!$D$5:$D$5000,A242))</f>
        <v/>
      </c>
      <c r="D242" s="2">
        <f>IF(OR(A242="",B242=""),"",B242-C242)</f>
        <v/>
      </c>
    </row>
    <row r="243">
      <c r="A243" s="5" t="n"/>
      <c r="B243" s="6" t="n"/>
      <c r="C243" s="2">
        <f>IF(A243="","",SUMIFS('Input Transaksi'!$E$5:$E$5000,'Input Transaksi'!$D$5:$D$5000,A243))</f>
        <v/>
      </c>
      <c r="D243" s="2">
        <f>IF(OR(A243="",B243=""),"",B243-C243)</f>
        <v/>
      </c>
    </row>
    <row r="244">
      <c r="A244" s="5" t="n"/>
      <c r="B244" s="6" t="n"/>
      <c r="C244" s="2">
        <f>IF(A244="","",SUMIFS('Input Transaksi'!$E$5:$E$5000,'Input Transaksi'!$D$5:$D$5000,A244))</f>
        <v/>
      </c>
      <c r="D244" s="2">
        <f>IF(OR(A244="",B244=""),"",B244-C244)</f>
        <v/>
      </c>
    </row>
    <row r="245">
      <c r="A245" s="5" t="n"/>
      <c r="B245" s="6" t="n"/>
      <c r="C245" s="2">
        <f>IF(A245="","",SUMIFS('Input Transaksi'!$E$5:$E$5000,'Input Transaksi'!$D$5:$D$5000,A245))</f>
        <v/>
      </c>
      <c r="D245" s="2">
        <f>IF(OR(A245="",B245=""),"",B245-C245)</f>
        <v/>
      </c>
    </row>
    <row r="246">
      <c r="A246" s="5" t="n"/>
      <c r="B246" s="6" t="n"/>
      <c r="C246" s="2">
        <f>IF(A246="","",SUMIFS('Input Transaksi'!$E$5:$E$5000,'Input Transaksi'!$D$5:$D$5000,A246))</f>
        <v/>
      </c>
      <c r="D246" s="2">
        <f>IF(OR(A246="",B246=""),"",B246-C246)</f>
        <v/>
      </c>
    </row>
    <row r="247">
      <c r="A247" s="5" t="n"/>
      <c r="B247" s="6" t="n"/>
      <c r="C247" s="2">
        <f>IF(A247="","",SUMIFS('Input Transaksi'!$E$5:$E$5000,'Input Transaksi'!$D$5:$D$5000,A247))</f>
        <v/>
      </c>
      <c r="D247" s="2">
        <f>IF(OR(A247="",B247=""),"",B247-C247)</f>
        <v/>
      </c>
    </row>
    <row r="248">
      <c r="A248" s="5" t="n"/>
      <c r="B248" s="6" t="n"/>
      <c r="C248" s="2">
        <f>IF(A248="","",SUMIFS('Input Transaksi'!$E$5:$E$5000,'Input Transaksi'!$D$5:$D$5000,A248))</f>
        <v/>
      </c>
      <c r="D248" s="2">
        <f>IF(OR(A248="",B248=""),"",B248-C248)</f>
        <v/>
      </c>
    </row>
    <row r="249">
      <c r="A249" s="5" t="n"/>
      <c r="B249" s="6" t="n"/>
      <c r="C249" s="2">
        <f>IF(A249="","",SUMIFS('Input Transaksi'!$E$5:$E$5000,'Input Transaksi'!$D$5:$D$5000,A249))</f>
        <v/>
      </c>
      <c r="D249" s="2">
        <f>IF(OR(A249="",B249=""),"",B249-C249)</f>
        <v/>
      </c>
    </row>
    <row r="250">
      <c r="A250" s="5" t="n"/>
      <c r="B250" s="6" t="n"/>
      <c r="C250" s="2">
        <f>IF(A250="","",SUMIFS('Input Transaksi'!$E$5:$E$5000,'Input Transaksi'!$D$5:$D$5000,A250))</f>
        <v/>
      </c>
      <c r="D250" s="2">
        <f>IF(OR(A250="",B250=""),"",B250-C250)</f>
        <v/>
      </c>
    </row>
    <row r="251">
      <c r="A251" s="5" t="n"/>
      <c r="B251" s="6" t="n"/>
      <c r="C251" s="2">
        <f>IF(A251="","",SUMIFS('Input Transaksi'!$E$5:$E$5000,'Input Transaksi'!$D$5:$D$5000,A251))</f>
        <v/>
      </c>
      <c r="D251" s="2">
        <f>IF(OR(A251="",B251=""),"",B251-C251)</f>
        <v/>
      </c>
    </row>
    <row r="252">
      <c r="A252" s="5" t="n"/>
      <c r="B252" s="6" t="n"/>
      <c r="C252" s="2">
        <f>IF(A252="","",SUMIFS('Input Transaksi'!$E$5:$E$5000,'Input Transaksi'!$D$5:$D$5000,A252))</f>
        <v/>
      </c>
      <c r="D252" s="2">
        <f>IF(OR(A252="",B252=""),"",B252-C252)</f>
        <v/>
      </c>
    </row>
    <row r="253">
      <c r="A253" s="5" t="n"/>
      <c r="B253" s="6" t="n"/>
      <c r="C253" s="2">
        <f>IF(A253="","",SUMIFS('Input Transaksi'!$E$5:$E$5000,'Input Transaksi'!$D$5:$D$5000,A253))</f>
        <v/>
      </c>
      <c r="D253" s="2">
        <f>IF(OR(A253="",B253=""),"",B253-C253)</f>
        <v/>
      </c>
    </row>
    <row r="254">
      <c r="A254" s="5" t="n"/>
      <c r="B254" s="6" t="n"/>
      <c r="C254" s="2">
        <f>IF(A254="","",SUMIFS('Input Transaksi'!$E$5:$E$5000,'Input Transaksi'!$D$5:$D$5000,A254))</f>
        <v/>
      </c>
      <c r="D254" s="2">
        <f>IF(OR(A254="",B254=""),"",B254-C254)</f>
        <v/>
      </c>
    </row>
    <row r="255">
      <c r="A255" s="5" t="n"/>
      <c r="B255" s="6" t="n"/>
      <c r="C255" s="2">
        <f>IF(A255="","",SUMIFS('Input Transaksi'!$E$5:$E$5000,'Input Transaksi'!$D$5:$D$5000,A255))</f>
        <v/>
      </c>
      <c r="D255" s="2">
        <f>IF(OR(A255="",B255=""),"",B255-C255)</f>
        <v/>
      </c>
    </row>
    <row r="256">
      <c r="A256" s="5" t="n"/>
      <c r="B256" s="6" t="n"/>
      <c r="C256" s="2">
        <f>IF(A256="","",SUMIFS('Input Transaksi'!$E$5:$E$5000,'Input Transaksi'!$D$5:$D$5000,A256))</f>
        <v/>
      </c>
      <c r="D256" s="2">
        <f>IF(OR(A256="",B256=""),"",B256-C256)</f>
        <v/>
      </c>
    </row>
    <row r="257">
      <c r="A257" s="5" t="n"/>
      <c r="B257" s="6" t="n"/>
      <c r="C257" s="2">
        <f>IF(A257="","",SUMIFS('Input Transaksi'!$E$5:$E$5000,'Input Transaksi'!$D$5:$D$5000,A257))</f>
        <v/>
      </c>
      <c r="D257" s="2">
        <f>IF(OR(A257="",B257=""),"",B257-C257)</f>
        <v/>
      </c>
    </row>
    <row r="258">
      <c r="A258" s="5" t="n"/>
      <c r="B258" s="6" t="n"/>
      <c r="C258" s="2">
        <f>IF(A258="","",SUMIFS('Input Transaksi'!$E$5:$E$5000,'Input Transaksi'!$D$5:$D$5000,A258))</f>
        <v/>
      </c>
      <c r="D258" s="2">
        <f>IF(OR(A258="",B258=""),"",B258-C258)</f>
        <v/>
      </c>
    </row>
    <row r="259">
      <c r="A259" s="5" t="n"/>
      <c r="B259" s="6" t="n"/>
      <c r="C259" s="2">
        <f>IF(A259="","",SUMIFS('Input Transaksi'!$E$5:$E$5000,'Input Transaksi'!$D$5:$D$5000,A259))</f>
        <v/>
      </c>
      <c r="D259" s="2">
        <f>IF(OR(A259="",B259=""),"",B259-C259)</f>
        <v/>
      </c>
    </row>
    <row r="260">
      <c r="A260" s="5" t="n"/>
      <c r="B260" s="6" t="n"/>
      <c r="C260" s="2">
        <f>IF(A260="","",SUMIFS('Input Transaksi'!$E$5:$E$5000,'Input Transaksi'!$D$5:$D$5000,A260))</f>
        <v/>
      </c>
      <c r="D260" s="2">
        <f>IF(OR(A260="",B260=""),"",B260-C260)</f>
        <v/>
      </c>
    </row>
    <row r="261">
      <c r="A261" s="5" t="n"/>
      <c r="B261" s="6" t="n"/>
      <c r="C261" s="2">
        <f>IF(A261="","",SUMIFS('Input Transaksi'!$E$5:$E$5000,'Input Transaksi'!$D$5:$D$5000,A261))</f>
        <v/>
      </c>
      <c r="D261" s="2">
        <f>IF(OR(A261="",B261=""),"",B261-C261)</f>
        <v/>
      </c>
    </row>
    <row r="262">
      <c r="A262" s="5" t="n"/>
      <c r="B262" s="6" t="n"/>
      <c r="C262" s="2">
        <f>IF(A262="","",SUMIFS('Input Transaksi'!$E$5:$E$5000,'Input Transaksi'!$D$5:$D$5000,A262))</f>
        <v/>
      </c>
      <c r="D262" s="2">
        <f>IF(OR(A262="",B262=""),"",B262-C262)</f>
        <v/>
      </c>
    </row>
    <row r="263">
      <c r="A263" s="5" t="n"/>
      <c r="B263" s="6" t="n"/>
      <c r="C263" s="2">
        <f>IF(A263="","",SUMIFS('Input Transaksi'!$E$5:$E$5000,'Input Transaksi'!$D$5:$D$5000,A263))</f>
        <v/>
      </c>
      <c r="D263" s="2">
        <f>IF(OR(A263="",B263=""),"",B263-C263)</f>
        <v/>
      </c>
    </row>
    <row r="264">
      <c r="A264" s="5" t="n"/>
      <c r="B264" s="6" t="n"/>
      <c r="C264" s="2">
        <f>IF(A264="","",SUMIFS('Input Transaksi'!$E$5:$E$5000,'Input Transaksi'!$D$5:$D$5000,A264))</f>
        <v/>
      </c>
      <c r="D264" s="2">
        <f>IF(OR(A264="",B264=""),"",B264-C264)</f>
        <v/>
      </c>
    </row>
    <row r="265">
      <c r="A265" s="5" t="n"/>
      <c r="B265" s="6" t="n"/>
      <c r="C265" s="2">
        <f>IF(A265="","",SUMIFS('Input Transaksi'!$E$5:$E$5000,'Input Transaksi'!$D$5:$D$5000,A265))</f>
        <v/>
      </c>
      <c r="D265" s="2">
        <f>IF(OR(A265="",B265=""),"",B265-C265)</f>
        <v/>
      </c>
    </row>
    <row r="266">
      <c r="A266" s="5" t="n"/>
      <c r="B266" s="6" t="n"/>
      <c r="C266" s="2">
        <f>IF(A266="","",SUMIFS('Input Transaksi'!$E$5:$E$5000,'Input Transaksi'!$D$5:$D$5000,A266))</f>
        <v/>
      </c>
      <c r="D266" s="2">
        <f>IF(OR(A266="",B266=""),"",B266-C266)</f>
        <v/>
      </c>
    </row>
    <row r="267">
      <c r="A267" s="5" t="n"/>
      <c r="B267" s="6" t="n"/>
      <c r="C267" s="2">
        <f>IF(A267="","",SUMIFS('Input Transaksi'!$E$5:$E$5000,'Input Transaksi'!$D$5:$D$5000,A267))</f>
        <v/>
      </c>
      <c r="D267" s="2">
        <f>IF(OR(A267="",B267=""),"",B267-C267)</f>
        <v/>
      </c>
    </row>
    <row r="268">
      <c r="A268" s="5" t="n"/>
      <c r="B268" s="6" t="n"/>
      <c r="C268" s="2">
        <f>IF(A268="","",SUMIFS('Input Transaksi'!$E$5:$E$5000,'Input Transaksi'!$D$5:$D$5000,A268))</f>
        <v/>
      </c>
      <c r="D268" s="2">
        <f>IF(OR(A268="",B268=""),"",B268-C268)</f>
        <v/>
      </c>
    </row>
    <row r="269">
      <c r="A269" s="5" t="n"/>
      <c r="B269" s="6" t="n"/>
      <c r="C269" s="2">
        <f>IF(A269="","",SUMIFS('Input Transaksi'!$E$5:$E$5000,'Input Transaksi'!$D$5:$D$5000,A269))</f>
        <v/>
      </c>
      <c r="D269" s="2">
        <f>IF(OR(A269="",B269=""),"",B269-C269)</f>
        <v/>
      </c>
    </row>
    <row r="270">
      <c r="A270" s="5" t="n"/>
      <c r="B270" s="6" t="n"/>
      <c r="C270" s="2">
        <f>IF(A270="","",SUMIFS('Input Transaksi'!$E$5:$E$5000,'Input Transaksi'!$D$5:$D$5000,A270))</f>
        <v/>
      </c>
      <c r="D270" s="2">
        <f>IF(OR(A270="",B270=""),"",B270-C270)</f>
        <v/>
      </c>
    </row>
    <row r="271">
      <c r="A271" s="5" t="n"/>
      <c r="B271" s="6" t="n"/>
      <c r="C271" s="2">
        <f>IF(A271="","",SUMIFS('Input Transaksi'!$E$5:$E$5000,'Input Transaksi'!$D$5:$D$5000,A271))</f>
        <v/>
      </c>
      <c r="D271" s="2">
        <f>IF(OR(A271="",B271=""),"",B271-C271)</f>
        <v/>
      </c>
    </row>
    <row r="272">
      <c r="A272" s="5" t="n"/>
      <c r="B272" s="6" t="n"/>
      <c r="C272" s="2">
        <f>IF(A272="","",SUMIFS('Input Transaksi'!$E$5:$E$5000,'Input Transaksi'!$D$5:$D$5000,A272))</f>
        <v/>
      </c>
      <c r="D272" s="2">
        <f>IF(OR(A272="",B272=""),"",B272-C272)</f>
        <v/>
      </c>
    </row>
    <row r="273">
      <c r="A273" s="5" t="n"/>
      <c r="B273" s="6" t="n"/>
      <c r="C273" s="2">
        <f>IF(A273="","",SUMIFS('Input Transaksi'!$E$5:$E$5000,'Input Transaksi'!$D$5:$D$5000,A273))</f>
        <v/>
      </c>
      <c r="D273" s="2">
        <f>IF(OR(A273="",B273=""),"",B273-C273)</f>
        <v/>
      </c>
    </row>
    <row r="274">
      <c r="A274" s="5" t="n"/>
      <c r="B274" s="6" t="n"/>
      <c r="C274" s="2">
        <f>IF(A274="","",SUMIFS('Input Transaksi'!$E$5:$E$5000,'Input Transaksi'!$D$5:$D$5000,A274))</f>
        <v/>
      </c>
      <c r="D274" s="2">
        <f>IF(OR(A274="",B274=""),"",B274-C274)</f>
        <v/>
      </c>
    </row>
    <row r="275">
      <c r="A275" s="5" t="n"/>
      <c r="B275" s="6" t="n"/>
      <c r="C275" s="2">
        <f>IF(A275="","",SUMIFS('Input Transaksi'!$E$5:$E$5000,'Input Transaksi'!$D$5:$D$5000,A275))</f>
        <v/>
      </c>
      <c r="D275" s="2">
        <f>IF(OR(A275="",B275=""),"",B275-C275)</f>
        <v/>
      </c>
    </row>
    <row r="276">
      <c r="A276" s="5" t="n"/>
      <c r="B276" s="6" t="n"/>
      <c r="C276" s="2">
        <f>IF(A276="","",SUMIFS('Input Transaksi'!$E$5:$E$5000,'Input Transaksi'!$D$5:$D$5000,A276))</f>
        <v/>
      </c>
      <c r="D276" s="2">
        <f>IF(OR(A276="",B276=""),"",B276-C276)</f>
        <v/>
      </c>
    </row>
    <row r="277">
      <c r="A277" s="5" t="n"/>
      <c r="B277" s="6" t="n"/>
      <c r="C277" s="2">
        <f>IF(A277="","",SUMIFS('Input Transaksi'!$E$5:$E$5000,'Input Transaksi'!$D$5:$D$5000,A277))</f>
        <v/>
      </c>
      <c r="D277" s="2">
        <f>IF(OR(A277="",B277=""),"",B277-C277)</f>
        <v/>
      </c>
    </row>
    <row r="278">
      <c r="A278" s="5" t="n"/>
      <c r="B278" s="6" t="n"/>
      <c r="C278" s="2">
        <f>IF(A278="","",SUMIFS('Input Transaksi'!$E$5:$E$5000,'Input Transaksi'!$D$5:$D$5000,A278))</f>
        <v/>
      </c>
      <c r="D278" s="2">
        <f>IF(OR(A278="",B278=""),"",B278-C278)</f>
        <v/>
      </c>
    </row>
    <row r="279">
      <c r="A279" s="5" t="n"/>
      <c r="B279" s="6" t="n"/>
      <c r="C279" s="2">
        <f>IF(A279="","",SUMIFS('Input Transaksi'!$E$5:$E$5000,'Input Transaksi'!$D$5:$D$5000,A279))</f>
        <v/>
      </c>
      <c r="D279" s="2">
        <f>IF(OR(A279="",B279=""),"",B279-C279)</f>
        <v/>
      </c>
    </row>
    <row r="280">
      <c r="A280" s="5" t="n"/>
      <c r="B280" s="6" t="n"/>
      <c r="C280" s="2">
        <f>IF(A280="","",SUMIFS('Input Transaksi'!$E$5:$E$5000,'Input Transaksi'!$D$5:$D$5000,A280))</f>
        <v/>
      </c>
      <c r="D280" s="2">
        <f>IF(OR(A280="",B280=""),"",B280-C280)</f>
        <v/>
      </c>
    </row>
    <row r="281">
      <c r="A281" s="5" t="n"/>
      <c r="B281" s="6" t="n"/>
      <c r="C281" s="2">
        <f>IF(A281="","",SUMIFS('Input Transaksi'!$E$5:$E$5000,'Input Transaksi'!$D$5:$D$5000,A281))</f>
        <v/>
      </c>
      <c r="D281" s="2">
        <f>IF(OR(A281="",B281=""),"",B281-C281)</f>
        <v/>
      </c>
    </row>
    <row r="282">
      <c r="A282" s="5" t="n"/>
      <c r="B282" s="6" t="n"/>
      <c r="C282" s="2">
        <f>IF(A282="","",SUMIFS('Input Transaksi'!$E$5:$E$5000,'Input Transaksi'!$D$5:$D$5000,A282))</f>
        <v/>
      </c>
      <c r="D282" s="2">
        <f>IF(OR(A282="",B282=""),"",B282-C282)</f>
        <v/>
      </c>
    </row>
    <row r="283">
      <c r="A283" s="5" t="n"/>
      <c r="B283" s="6" t="n"/>
      <c r="C283" s="2">
        <f>IF(A283="","",SUMIFS('Input Transaksi'!$E$5:$E$5000,'Input Transaksi'!$D$5:$D$5000,A283))</f>
        <v/>
      </c>
      <c r="D283" s="2">
        <f>IF(OR(A283="",B283=""),"",B283-C283)</f>
        <v/>
      </c>
    </row>
    <row r="284">
      <c r="A284" s="5" t="n"/>
      <c r="B284" s="6" t="n"/>
      <c r="C284" s="2">
        <f>IF(A284="","",SUMIFS('Input Transaksi'!$E$5:$E$5000,'Input Transaksi'!$D$5:$D$5000,A284))</f>
        <v/>
      </c>
      <c r="D284" s="2">
        <f>IF(OR(A284="",B284=""),"",B284-C284)</f>
        <v/>
      </c>
    </row>
    <row r="285">
      <c r="A285" s="5" t="n"/>
      <c r="B285" s="6" t="n"/>
      <c r="C285" s="2">
        <f>IF(A285="","",SUMIFS('Input Transaksi'!$E$5:$E$5000,'Input Transaksi'!$D$5:$D$5000,A285))</f>
        <v/>
      </c>
      <c r="D285" s="2">
        <f>IF(OR(A285="",B285=""),"",B285-C285)</f>
        <v/>
      </c>
    </row>
    <row r="286">
      <c r="A286" s="5" t="n"/>
      <c r="B286" s="6" t="n"/>
      <c r="C286" s="2">
        <f>IF(A286="","",SUMIFS('Input Transaksi'!$E$5:$E$5000,'Input Transaksi'!$D$5:$D$5000,A286))</f>
        <v/>
      </c>
      <c r="D286" s="2">
        <f>IF(OR(A286="",B286=""),"",B286-C286)</f>
        <v/>
      </c>
    </row>
    <row r="287">
      <c r="A287" s="5" t="n"/>
      <c r="B287" s="6" t="n"/>
      <c r="C287" s="2">
        <f>IF(A287="","",SUMIFS('Input Transaksi'!$E$5:$E$5000,'Input Transaksi'!$D$5:$D$5000,A287))</f>
        <v/>
      </c>
      <c r="D287" s="2">
        <f>IF(OR(A287="",B287=""),"",B287-C287)</f>
        <v/>
      </c>
    </row>
    <row r="288">
      <c r="A288" s="5" t="n"/>
      <c r="B288" s="6" t="n"/>
      <c r="C288" s="2">
        <f>IF(A288="","",SUMIFS('Input Transaksi'!$E$5:$E$5000,'Input Transaksi'!$D$5:$D$5000,A288))</f>
        <v/>
      </c>
      <c r="D288" s="2">
        <f>IF(OR(A288="",B288=""),"",B288-C288)</f>
        <v/>
      </c>
    </row>
    <row r="289">
      <c r="A289" s="5" t="n"/>
      <c r="B289" s="6" t="n"/>
      <c r="C289" s="2">
        <f>IF(A289="","",SUMIFS('Input Transaksi'!$E$5:$E$5000,'Input Transaksi'!$D$5:$D$5000,A289))</f>
        <v/>
      </c>
      <c r="D289" s="2">
        <f>IF(OR(A289="",B289=""),"",B289-C289)</f>
        <v/>
      </c>
    </row>
    <row r="290">
      <c r="A290" s="5" t="n"/>
      <c r="B290" s="6" t="n"/>
      <c r="C290" s="2">
        <f>IF(A290="","",SUMIFS('Input Transaksi'!$E$5:$E$5000,'Input Transaksi'!$D$5:$D$5000,A290))</f>
        <v/>
      </c>
      <c r="D290" s="2">
        <f>IF(OR(A290="",B290=""),"",B290-C290)</f>
        <v/>
      </c>
    </row>
    <row r="291">
      <c r="A291" s="5" t="n"/>
      <c r="B291" s="6" t="n"/>
      <c r="C291" s="2">
        <f>IF(A291="","",SUMIFS('Input Transaksi'!$E$5:$E$5000,'Input Transaksi'!$D$5:$D$5000,A291))</f>
        <v/>
      </c>
      <c r="D291" s="2">
        <f>IF(OR(A291="",B291=""),"",B291-C291)</f>
        <v/>
      </c>
    </row>
    <row r="292">
      <c r="A292" s="5" t="n"/>
      <c r="B292" s="6" t="n"/>
      <c r="C292" s="2">
        <f>IF(A292="","",SUMIFS('Input Transaksi'!$E$5:$E$5000,'Input Transaksi'!$D$5:$D$5000,A292))</f>
        <v/>
      </c>
      <c r="D292" s="2">
        <f>IF(OR(A292="",B292=""),"",B292-C292)</f>
        <v/>
      </c>
    </row>
    <row r="293">
      <c r="A293" s="5" t="n"/>
      <c r="B293" s="6" t="n"/>
      <c r="C293" s="2">
        <f>IF(A293="","",SUMIFS('Input Transaksi'!$E$5:$E$5000,'Input Transaksi'!$D$5:$D$5000,A293))</f>
        <v/>
      </c>
      <c r="D293" s="2">
        <f>IF(OR(A293="",B293=""),"",B293-C293)</f>
        <v/>
      </c>
    </row>
    <row r="294">
      <c r="A294" s="5" t="n"/>
      <c r="B294" s="6" t="n"/>
      <c r="C294" s="2">
        <f>IF(A294="","",SUMIFS('Input Transaksi'!$E$5:$E$5000,'Input Transaksi'!$D$5:$D$5000,A294))</f>
        <v/>
      </c>
      <c r="D294" s="2">
        <f>IF(OR(A294="",B294=""),"",B294-C294)</f>
        <v/>
      </c>
    </row>
    <row r="295">
      <c r="A295" s="5" t="n"/>
      <c r="B295" s="6" t="n"/>
      <c r="C295" s="2">
        <f>IF(A295="","",SUMIFS('Input Transaksi'!$E$5:$E$5000,'Input Transaksi'!$D$5:$D$5000,A295))</f>
        <v/>
      </c>
      <c r="D295" s="2">
        <f>IF(OR(A295="",B295=""),"",B295-C295)</f>
        <v/>
      </c>
    </row>
    <row r="296">
      <c r="A296" s="5" t="n"/>
      <c r="B296" s="6" t="n"/>
      <c r="C296" s="2">
        <f>IF(A296="","",SUMIFS('Input Transaksi'!$E$5:$E$5000,'Input Transaksi'!$D$5:$D$5000,A296))</f>
        <v/>
      </c>
      <c r="D296" s="2">
        <f>IF(OR(A296="",B296=""),"",B296-C296)</f>
        <v/>
      </c>
    </row>
    <row r="297">
      <c r="A297" s="5" t="n"/>
      <c r="B297" s="6" t="n"/>
      <c r="C297" s="2">
        <f>IF(A297="","",SUMIFS('Input Transaksi'!$E$5:$E$5000,'Input Transaksi'!$D$5:$D$5000,A297))</f>
        <v/>
      </c>
      <c r="D297" s="2">
        <f>IF(OR(A297="",B297=""),"",B297-C297)</f>
        <v/>
      </c>
    </row>
    <row r="298">
      <c r="A298" s="5" t="n"/>
      <c r="B298" s="6" t="n"/>
      <c r="C298" s="2">
        <f>IF(A298="","",SUMIFS('Input Transaksi'!$E$5:$E$5000,'Input Transaksi'!$D$5:$D$5000,A298))</f>
        <v/>
      </c>
      <c r="D298" s="2">
        <f>IF(OR(A298="",B298=""),"",B298-C298)</f>
        <v/>
      </c>
    </row>
    <row r="299">
      <c r="A299" s="5" t="n"/>
      <c r="B299" s="6" t="n"/>
      <c r="C299" s="2">
        <f>IF(A299="","",SUMIFS('Input Transaksi'!$E$5:$E$5000,'Input Transaksi'!$D$5:$D$5000,A299))</f>
        <v/>
      </c>
      <c r="D299" s="2">
        <f>IF(OR(A299="",B299=""),"",B299-C299)</f>
        <v/>
      </c>
    </row>
    <row r="300">
      <c r="A300" s="5" t="n"/>
      <c r="B300" s="6" t="n"/>
      <c r="C300" s="2">
        <f>IF(A300="","",SUMIFS('Input Transaksi'!$E$5:$E$5000,'Input Transaksi'!$D$5:$D$5000,A300))</f>
        <v/>
      </c>
      <c r="D300" s="2">
        <f>IF(OR(A300="",B300=""),"",B300-C300)</f>
        <v/>
      </c>
    </row>
    <row r="301">
      <c r="A301" s="5" t="n"/>
      <c r="B301" s="6" t="n"/>
      <c r="C301" s="2">
        <f>IF(A301="","",SUMIFS('Input Transaksi'!$E$5:$E$5000,'Input Transaksi'!$D$5:$D$5000,A301))</f>
        <v/>
      </c>
      <c r="D301" s="2">
        <f>IF(OR(A301="",B301=""),"",B301-C301)</f>
        <v/>
      </c>
    </row>
    <row r="302">
      <c r="A302" s="5" t="n"/>
      <c r="B302" s="6" t="n"/>
      <c r="C302" s="2">
        <f>IF(A302="","",SUMIFS('Input Transaksi'!$E$5:$E$5000,'Input Transaksi'!$D$5:$D$5000,A302))</f>
        <v/>
      </c>
      <c r="D302" s="2">
        <f>IF(OR(A302="",B302=""),"",B302-C302)</f>
        <v/>
      </c>
    </row>
    <row r="303">
      <c r="A303" s="5" t="n"/>
      <c r="B303" s="6" t="n"/>
      <c r="C303" s="2">
        <f>IF(A303="","",SUMIFS('Input Transaksi'!$E$5:$E$5000,'Input Transaksi'!$D$5:$D$5000,A303))</f>
        <v/>
      </c>
      <c r="D303" s="2">
        <f>IF(OR(A303="",B303=""),"",B303-C303)</f>
        <v/>
      </c>
    </row>
    <row r="304">
      <c r="A304" s="5" t="n"/>
      <c r="B304" s="6" t="n"/>
      <c r="C304" s="2">
        <f>IF(A304="","",SUMIFS('Input Transaksi'!$E$5:$E$5000,'Input Transaksi'!$D$5:$D$5000,A304))</f>
        <v/>
      </c>
      <c r="D304" s="2">
        <f>IF(OR(A304="",B304=""),"",B304-C304)</f>
        <v/>
      </c>
    </row>
    <row r="305">
      <c r="A305" s="5" t="n"/>
      <c r="B305" s="6" t="n"/>
      <c r="C305" s="2">
        <f>IF(A305="","",SUMIFS('Input Transaksi'!$E$5:$E$5000,'Input Transaksi'!$D$5:$D$5000,A305))</f>
        <v/>
      </c>
      <c r="D305" s="2">
        <f>IF(OR(A305="",B305=""),"",B305-C305)</f>
        <v/>
      </c>
    </row>
    <row r="306">
      <c r="A306" s="5" t="n"/>
      <c r="B306" s="6" t="n"/>
      <c r="C306" s="2">
        <f>IF(A306="","",SUMIFS('Input Transaksi'!$E$5:$E$5000,'Input Transaksi'!$D$5:$D$5000,A306))</f>
        <v/>
      </c>
      <c r="D306" s="2">
        <f>IF(OR(A306="",B306=""),"",B306-C306)</f>
        <v/>
      </c>
    </row>
    <row r="307">
      <c r="A307" s="5" t="n"/>
      <c r="B307" s="6" t="n"/>
      <c r="C307" s="2">
        <f>IF(A307="","",SUMIFS('Input Transaksi'!$E$5:$E$5000,'Input Transaksi'!$D$5:$D$5000,A307))</f>
        <v/>
      </c>
      <c r="D307" s="2">
        <f>IF(OR(A307="",B307=""),"",B307-C307)</f>
        <v/>
      </c>
    </row>
    <row r="308">
      <c r="A308" s="5" t="n"/>
      <c r="B308" s="6" t="n"/>
      <c r="C308" s="2">
        <f>IF(A308="","",SUMIFS('Input Transaksi'!$E$5:$E$5000,'Input Transaksi'!$D$5:$D$5000,A308))</f>
        <v/>
      </c>
      <c r="D308" s="2">
        <f>IF(OR(A308="",B308=""),"",B308-C308)</f>
        <v/>
      </c>
    </row>
    <row r="309">
      <c r="A309" s="5" t="n"/>
      <c r="B309" s="6" t="n"/>
      <c r="C309" s="2">
        <f>IF(A309="","",SUMIFS('Input Transaksi'!$E$5:$E$5000,'Input Transaksi'!$D$5:$D$5000,A309))</f>
        <v/>
      </c>
      <c r="D309" s="2">
        <f>IF(OR(A309="",B309=""),"",B309-C309)</f>
        <v/>
      </c>
    </row>
    <row r="310">
      <c r="A310" s="5" t="n"/>
      <c r="B310" s="6" t="n"/>
      <c r="C310" s="2">
        <f>IF(A310="","",SUMIFS('Input Transaksi'!$E$5:$E$5000,'Input Transaksi'!$D$5:$D$5000,A310))</f>
        <v/>
      </c>
      <c r="D310" s="2">
        <f>IF(OR(A310="",B310=""),"",B310-C310)</f>
        <v/>
      </c>
    </row>
    <row r="311">
      <c r="A311" s="5" t="n"/>
      <c r="B311" s="6" t="n"/>
      <c r="C311" s="2">
        <f>IF(A311="","",SUMIFS('Input Transaksi'!$E$5:$E$5000,'Input Transaksi'!$D$5:$D$5000,A311))</f>
        <v/>
      </c>
      <c r="D311" s="2">
        <f>IF(OR(A311="",B311=""),"",B311-C311)</f>
        <v/>
      </c>
    </row>
    <row r="312">
      <c r="A312" s="5" t="n"/>
      <c r="B312" s="6" t="n"/>
      <c r="C312" s="2">
        <f>IF(A312="","",SUMIFS('Input Transaksi'!$E$5:$E$5000,'Input Transaksi'!$D$5:$D$5000,A312))</f>
        <v/>
      </c>
      <c r="D312" s="2">
        <f>IF(OR(A312="",B312=""),"",B312-C312)</f>
        <v/>
      </c>
    </row>
    <row r="313">
      <c r="A313" s="5" t="n"/>
      <c r="B313" s="6" t="n"/>
      <c r="C313" s="2">
        <f>IF(A313="","",SUMIFS('Input Transaksi'!$E$5:$E$5000,'Input Transaksi'!$D$5:$D$5000,A313))</f>
        <v/>
      </c>
      <c r="D313" s="2">
        <f>IF(OR(A313="",B313=""),"",B313-C313)</f>
        <v/>
      </c>
    </row>
    <row r="314">
      <c r="A314" s="5" t="n"/>
      <c r="B314" s="6" t="n"/>
      <c r="C314" s="2">
        <f>IF(A314="","",SUMIFS('Input Transaksi'!$E$5:$E$5000,'Input Transaksi'!$D$5:$D$5000,A314))</f>
        <v/>
      </c>
      <c r="D314" s="2">
        <f>IF(OR(A314="",B314=""),"",B314-C314)</f>
        <v/>
      </c>
    </row>
    <row r="315">
      <c r="A315" s="5" t="n"/>
      <c r="B315" s="6" t="n"/>
      <c r="C315" s="2">
        <f>IF(A315="","",SUMIFS('Input Transaksi'!$E$5:$E$5000,'Input Transaksi'!$D$5:$D$5000,A315))</f>
        <v/>
      </c>
      <c r="D315" s="2">
        <f>IF(OR(A315="",B315=""),"",B315-C315)</f>
        <v/>
      </c>
    </row>
    <row r="316">
      <c r="A316" s="5" t="n"/>
      <c r="B316" s="6" t="n"/>
      <c r="C316" s="2">
        <f>IF(A316="","",SUMIFS('Input Transaksi'!$E$5:$E$5000,'Input Transaksi'!$D$5:$D$5000,A316))</f>
        <v/>
      </c>
      <c r="D316" s="2">
        <f>IF(OR(A316="",B316=""),"",B316-C316)</f>
        <v/>
      </c>
    </row>
    <row r="317">
      <c r="A317" s="5" t="n"/>
      <c r="B317" s="6" t="n"/>
      <c r="C317" s="2">
        <f>IF(A317="","",SUMIFS('Input Transaksi'!$E$5:$E$5000,'Input Transaksi'!$D$5:$D$5000,A317))</f>
        <v/>
      </c>
      <c r="D317" s="2">
        <f>IF(OR(A317="",B317=""),"",B317-C317)</f>
        <v/>
      </c>
    </row>
    <row r="318">
      <c r="A318" s="5" t="n"/>
      <c r="B318" s="6" t="n"/>
      <c r="C318" s="2">
        <f>IF(A318="","",SUMIFS('Input Transaksi'!$E$5:$E$5000,'Input Transaksi'!$D$5:$D$5000,A318))</f>
        <v/>
      </c>
      <c r="D318" s="2">
        <f>IF(OR(A318="",B318=""),"",B318-C318)</f>
        <v/>
      </c>
    </row>
    <row r="319">
      <c r="A319" s="5" t="n"/>
      <c r="B319" s="6" t="n"/>
      <c r="C319" s="2">
        <f>IF(A319="","",SUMIFS('Input Transaksi'!$E$5:$E$5000,'Input Transaksi'!$D$5:$D$5000,A319))</f>
        <v/>
      </c>
      <c r="D319" s="2">
        <f>IF(OR(A319="",B319=""),"",B319-C319)</f>
        <v/>
      </c>
    </row>
    <row r="320">
      <c r="A320" s="5" t="n"/>
      <c r="B320" s="6" t="n"/>
      <c r="C320" s="2">
        <f>IF(A320="","",SUMIFS('Input Transaksi'!$E$5:$E$5000,'Input Transaksi'!$D$5:$D$5000,A320))</f>
        <v/>
      </c>
      <c r="D320" s="2">
        <f>IF(OR(A320="",B320=""),"",B320-C320)</f>
        <v/>
      </c>
    </row>
    <row r="321">
      <c r="A321" s="5" t="n"/>
      <c r="B321" s="6" t="n"/>
      <c r="C321" s="2">
        <f>IF(A321="","",SUMIFS('Input Transaksi'!$E$5:$E$5000,'Input Transaksi'!$D$5:$D$5000,A321))</f>
        <v/>
      </c>
      <c r="D321" s="2">
        <f>IF(OR(A321="",B321=""),"",B321-C321)</f>
        <v/>
      </c>
    </row>
    <row r="322">
      <c r="A322" s="5" t="n"/>
      <c r="B322" s="6" t="n"/>
      <c r="C322" s="2">
        <f>IF(A322="","",SUMIFS('Input Transaksi'!$E$5:$E$5000,'Input Transaksi'!$D$5:$D$5000,A322))</f>
        <v/>
      </c>
      <c r="D322" s="2">
        <f>IF(OR(A322="",B322=""),"",B322-C322)</f>
        <v/>
      </c>
    </row>
    <row r="323">
      <c r="A323" s="5" t="n"/>
      <c r="B323" s="6" t="n"/>
      <c r="C323" s="2">
        <f>IF(A323="","",SUMIFS('Input Transaksi'!$E$5:$E$5000,'Input Transaksi'!$D$5:$D$5000,A323))</f>
        <v/>
      </c>
      <c r="D323" s="2">
        <f>IF(OR(A323="",B323=""),"",B323-C323)</f>
        <v/>
      </c>
    </row>
    <row r="324">
      <c r="A324" s="5" t="n"/>
      <c r="B324" s="6" t="n"/>
      <c r="C324" s="2">
        <f>IF(A324="","",SUMIFS('Input Transaksi'!$E$5:$E$5000,'Input Transaksi'!$D$5:$D$5000,A324))</f>
        <v/>
      </c>
      <c r="D324" s="2">
        <f>IF(OR(A324="",B324=""),"",B324-C324)</f>
        <v/>
      </c>
    </row>
    <row r="325">
      <c r="A325" s="5" t="n"/>
      <c r="B325" s="6" t="n"/>
      <c r="C325" s="2">
        <f>IF(A325="","",SUMIFS('Input Transaksi'!$E$5:$E$5000,'Input Transaksi'!$D$5:$D$5000,A325))</f>
        <v/>
      </c>
      <c r="D325" s="2">
        <f>IF(OR(A325="",B325=""),"",B325-C325)</f>
        <v/>
      </c>
    </row>
    <row r="326">
      <c r="A326" s="5" t="n"/>
      <c r="B326" s="6" t="n"/>
      <c r="C326" s="2">
        <f>IF(A326="","",SUMIFS('Input Transaksi'!$E$5:$E$5000,'Input Transaksi'!$D$5:$D$5000,A326))</f>
        <v/>
      </c>
      <c r="D326" s="2">
        <f>IF(OR(A326="",B326=""),"",B326-C326)</f>
        <v/>
      </c>
    </row>
    <row r="327">
      <c r="A327" s="5" t="n"/>
      <c r="B327" s="6" t="n"/>
      <c r="C327" s="2">
        <f>IF(A327="","",SUMIFS('Input Transaksi'!$E$5:$E$5000,'Input Transaksi'!$D$5:$D$5000,A327))</f>
        <v/>
      </c>
      <c r="D327" s="2">
        <f>IF(OR(A327="",B327=""),"",B327-C327)</f>
        <v/>
      </c>
    </row>
    <row r="328">
      <c r="A328" s="5" t="n"/>
      <c r="B328" s="6" t="n"/>
      <c r="C328" s="2">
        <f>IF(A328="","",SUMIFS('Input Transaksi'!$E$5:$E$5000,'Input Transaksi'!$D$5:$D$5000,A328))</f>
        <v/>
      </c>
      <c r="D328" s="2">
        <f>IF(OR(A328="",B328=""),"",B328-C328)</f>
        <v/>
      </c>
    </row>
    <row r="329">
      <c r="A329" s="5" t="n"/>
      <c r="B329" s="6" t="n"/>
      <c r="C329" s="2">
        <f>IF(A329="","",SUMIFS('Input Transaksi'!$E$5:$E$5000,'Input Transaksi'!$D$5:$D$5000,A329))</f>
        <v/>
      </c>
      <c r="D329" s="2">
        <f>IF(OR(A329="",B329=""),"",B329-C329)</f>
        <v/>
      </c>
    </row>
    <row r="330">
      <c r="A330" s="5" t="n"/>
      <c r="B330" s="6" t="n"/>
      <c r="C330" s="2">
        <f>IF(A330="","",SUMIFS('Input Transaksi'!$E$5:$E$5000,'Input Transaksi'!$D$5:$D$5000,A330))</f>
        <v/>
      </c>
      <c r="D330" s="2">
        <f>IF(OR(A330="",B330=""),"",B330-C330)</f>
        <v/>
      </c>
    </row>
    <row r="331">
      <c r="A331" s="5" t="n"/>
      <c r="B331" s="6" t="n"/>
      <c r="C331" s="2">
        <f>IF(A331="","",SUMIFS('Input Transaksi'!$E$5:$E$5000,'Input Transaksi'!$D$5:$D$5000,A331))</f>
        <v/>
      </c>
      <c r="D331" s="2">
        <f>IF(OR(A331="",B331=""),"",B331-C331)</f>
        <v/>
      </c>
    </row>
    <row r="332">
      <c r="A332" s="5" t="n"/>
      <c r="B332" s="6" t="n"/>
      <c r="C332" s="2">
        <f>IF(A332="","",SUMIFS('Input Transaksi'!$E$5:$E$5000,'Input Transaksi'!$D$5:$D$5000,A332))</f>
        <v/>
      </c>
      <c r="D332" s="2">
        <f>IF(OR(A332="",B332=""),"",B332-C332)</f>
        <v/>
      </c>
    </row>
    <row r="333">
      <c r="A333" s="5" t="n"/>
      <c r="B333" s="6" t="n"/>
      <c r="C333" s="2">
        <f>IF(A333="","",SUMIFS('Input Transaksi'!$E$5:$E$5000,'Input Transaksi'!$D$5:$D$5000,A333))</f>
        <v/>
      </c>
      <c r="D333" s="2">
        <f>IF(OR(A333="",B333=""),"",B333-C333)</f>
        <v/>
      </c>
    </row>
    <row r="334">
      <c r="A334" s="5" t="n"/>
      <c r="B334" s="6" t="n"/>
      <c r="C334" s="2">
        <f>IF(A334="","",SUMIFS('Input Transaksi'!$E$5:$E$5000,'Input Transaksi'!$D$5:$D$5000,A334))</f>
        <v/>
      </c>
      <c r="D334" s="2">
        <f>IF(OR(A334="",B334=""),"",B334-C334)</f>
        <v/>
      </c>
    </row>
    <row r="335">
      <c r="A335" s="5" t="n"/>
      <c r="B335" s="6" t="n"/>
      <c r="C335" s="2">
        <f>IF(A335="","",SUMIFS('Input Transaksi'!$E$5:$E$5000,'Input Transaksi'!$D$5:$D$5000,A335))</f>
        <v/>
      </c>
      <c r="D335" s="2">
        <f>IF(OR(A335="",B335=""),"",B335-C335)</f>
        <v/>
      </c>
    </row>
    <row r="336">
      <c r="A336" s="5" t="n"/>
      <c r="B336" s="6" t="n"/>
      <c r="C336" s="2">
        <f>IF(A336="","",SUMIFS('Input Transaksi'!$E$5:$E$5000,'Input Transaksi'!$D$5:$D$5000,A336))</f>
        <v/>
      </c>
      <c r="D336" s="2">
        <f>IF(OR(A336="",B336=""),"",B336-C336)</f>
        <v/>
      </c>
    </row>
    <row r="337">
      <c r="A337" s="5" t="n"/>
      <c r="B337" s="6" t="n"/>
      <c r="C337" s="2">
        <f>IF(A337="","",SUMIFS('Input Transaksi'!$E$5:$E$5000,'Input Transaksi'!$D$5:$D$5000,A337))</f>
        <v/>
      </c>
      <c r="D337" s="2">
        <f>IF(OR(A337="",B337=""),"",B337-C337)</f>
        <v/>
      </c>
    </row>
    <row r="338">
      <c r="A338" s="5" t="n"/>
      <c r="B338" s="6" t="n"/>
      <c r="C338" s="2">
        <f>IF(A338="","",SUMIFS('Input Transaksi'!$E$5:$E$5000,'Input Transaksi'!$D$5:$D$5000,A338))</f>
        <v/>
      </c>
      <c r="D338" s="2">
        <f>IF(OR(A338="",B338=""),"",B338-C338)</f>
        <v/>
      </c>
    </row>
    <row r="339">
      <c r="A339" s="5" t="n"/>
      <c r="B339" s="6" t="n"/>
      <c r="C339" s="2">
        <f>IF(A339="","",SUMIFS('Input Transaksi'!$E$5:$E$5000,'Input Transaksi'!$D$5:$D$5000,A339))</f>
        <v/>
      </c>
      <c r="D339" s="2">
        <f>IF(OR(A339="",B339=""),"",B339-C339)</f>
        <v/>
      </c>
    </row>
    <row r="340">
      <c r="A340" s="5" t="n"/>
      <c r="B340" s="6" t="n"/>
      <c r="C340" s="2">
        <f>IF(A340="","",SUMIFS('Input Transaksi'!$E$5:$E$5000,'Input Transaksi'!$D$5:$D$5000,A340))</f>
        <v/>
      </c>
      <c r="D340" s="2">
        <f>IF(OR(A340="",B340=""),"",B340-C340)</f>
        <v/>
      </c>
    </row>
    <row r="341">
      <c r="A341" s="5" t="n"/>
      <c r="B341" s="6" t="n"/>
      <c r="C341" s="2">
        <f>IF(A341="","",SUMIFS('Input Transaksi'!$E$5:$E$5000,'Input Transaksi'!$D$5:$D$5000,A341))</f>
        <v/>
      </c>
      <c r="D341" s="2">
        <f>IF(OR(A341="",B341=""),"",B341-C341)</f>
        <v/>
      </c>
    </row>
    <row r="342">
      <c r="A342" s="5" t="n"/>
      <c r="B342" s="6" t="n"/>
      <c r="C342" s="2">
        <f>IF(A342="","",SUMIFS('Input Transaksi'!$E$5:$E$5000,'Input Transaksi'!$D$5:$D$5000,A342))</f>
        <v/>
      </c>
      <c r="D342" s="2">
        <f>IF(OR(A342="",B342=""),"",B342-C342)</f>
        <v/>
      </c>
    </row>
    <row r="343">
      <c r="A343" s="5" t="n"/>
      <c r="B343" s="6" t="n"/>
      <c r="C343" s="2">
        <f>IF(A343="","",SUMIFS('Input Transaksi'!$E$5:$E$5000,'Input Transaksi'!$D$5:$D$5000,A343))</f>
        <v/>
      </c>
      <c r="D343" s="2">
        <f>IF(OR(A343="",B343=""),"",B343-C343)</f>
        <v/>
      </c>
    </row>
    <row r="344">
      <c r="A344" s="5" t="n"/>
      <c r="B344" s="6" t="n"/>
      <c r="C344" s="2">
        <f>IF(A344="","",SUMIFS('Input Transaksi'!$E$5:$E$5000,'Input Transaksi'!$D$5:$D$5000,A344))</f>
        <v/>
      </c>
      <c r="D344" s="2">
        <f>IF(OR(A344="",B344=""),"",B344-C344)</f>
        <v/>
      </c>
    </row>
    <row r="345">
      <c r="A345" s="5" t="n"/>
      <c r="B345" s="6" t="n"/>
      <c r="C345" s="2">
        <f>IF(A345="","",SUMIFS('Input Transaksi'!$E$5:$E$5000,'Input Transaksi'!$D$5:$D$5000,A345))</f>
        <v/>
      </c>
      <c r="D345" s="2">
        <f>IF(OR(A345="",B345=""),"",B345-C345)</f>
        <v/>
      </c>
    </row>
    <row r="346">
      <c r="A346" s="5" t="n"/>
      <c r="B346" s="6" t="n"/>
      <c r="C346" s="2">
        <f>IF(A346="","",SUMIFS('Input Transaksi'!$E$5:$E$5000,'Input Transaksi'!$D$5:$D$5000,A346))</f>
        <v/>
      </c>
      <c r="D346" s="2">
        <f>IF(OR(A346="",B346=""),"",B346-C346)</f>
        <v/>
      </c>
    </row>
    <row r="347">
      <c r="A347" s="5" t="n"/>
      <c r="B347" s="6" t="n"/>
      <c r="C347" s="2">
        <f>IF(A347="","",SUMIFS('Input Transaksi'!$E$5:$E$5000,'Input Transaksi'!$D$5:$D$5000,A347))</f>
        <v/>
      </c>
      <c r="D347" s="2">
        <f>IF(OR(A347="",B347=""),"",B347-C347)</f>
        <v/>
      </c>
    </row>
    <row r="348">
      <c r="A348" s="5" t="n"/>
      <c r="B348" s="6" t="n"/>
      <c r="C348" s="2">
        <f>IF(A348="","",SUMIFS('Input Transaksi'!$E$5:$E$5000,'Input Transaksi'!$D$5:$D$5000,A348))</f>
        <v/>
      </c>
      <c r="D348" s="2">
        <f>IF(OR(A348="",B348=""),"",B348-C348)</f>
        <v/>
      </c>
    </row>
    <row r="349">
      <c r="A349" s="5" t="n"/>
      <c r="B349" s="6" t="n"/>
      <c r="C349" s="2">
        <f>IF(A349="","",SUMIFS('Input Transaksi'!$E$5:$E$5000,'Input Transaksi'!$D$5:$D$5000,A349))</f>
        <v/>
      </c>
      <c r="D349" s="2">
        <f>IF(OR(A349="",B349=""),"",B349-C349)</f>
        <v/>
      </c>
    </row>
    <row r="350">
      <c r="A350" s="5" t="n"/>
      <c r="B350" s="6" t="n"/>
      <c r="C350" s="2">
        <f>IF(A350="","",SUMIFS('Input Transaksi'!$E$5:$E$5000,'Input Transaksi'!$D$5:$D$5000,A350))</f>
        <v/>
      </c>
      <c r="D350" s="2">
        <f>IF(OR(A350="",B350=""),"",B350-C350)</f>
        <v/>
      </c>
    </row>
    <row r="351">
      <c r="A351" s="5" t="n"/>
      <c r="B351" s="6" t="n"/>
      <c r="C351" s="2">
        <f>IF(A351="","",SUMIFS('Input Transaksi'!$E$5:$E$5000,'Input Transaksi'!$D$5:$D$5000,A351))</f>
        <v/>
      </c>
      <c r="D351" s="2">
        <f>IF(OR(A351="",B351=""),"",B351-C351)</f>
        <v/>
      </c>
    </row>
    <row r="352">
      <c r="A352" s="5" t="n"/>
      <c r="B352" s="6" t="n"/>
      <c r="C352" s="2">
        <f>IF(A352="","",SUMIFS('Input Transaksi'!$E$5:$E$5000,'Input Transaksi'!$D$5:$D$5000,A352))</f>
        <v/>
      </c>
      <c r="D352" s="2">
        <f>IF(OR(A352="",B352=""),"",B352-C352)</f>
        <v/>
      </c>
    </row>
    <row r="353">
      <c r="A353" s="5" t="n"/>
      <c r="B353" s="6" t="n"/>
      <c r="C353" s="2">
        <f>IF(A353="","",SUMIFS('Input Transaksi'!$E$5:$E$5000,'Input Transaksi'!$D$5:$D$5000,A353))</f>
        <v/>
      </c>
      <c r="D353" s="2">
        <f>IF(OR(A353="",B353=""),"",B353-C353)</f>
        <v/>
      </c>
    </row>
    <row r="354">
      <c r="A354" s="5" t="n"/>
      <c r="B354" s="6" t="n"/>
      <c r="C354" s="2">
        <f>IF(A354="","",SUMIFS('Input Transaksi'!$E$5:$E$5000,'Input Transaksi'!$D$5:$D$5000,A354))</f>
        <v/>
      </c>
      <c r="D354" s="2">
        <f>IF(OR(A354="",B354=""),"",B354-C354)</f>
        <v/>
      </c>
    </row>
    <row r="355">
      <c r="A355" s="5" t="n"/>
      <c r="B355" s="6" t="n"/>
      <c r="C355" s="2">
        <f>IF(A355="","",SUMIFS('Input Transaksi'!$E$5:$E$5000,'Input Transaksi'!$D$5:$D$5000,A355))</f>
        <v/>
      </c>
      <c r="D355" s="2">
        <f>IF(OR(A355="",B355=""),"",B355-C355)</f>
        <v/>
      </c>
    </row>
    <row r="356">
      <c r="A356" s="5" t="n"/>
      <c r="B356" s="6" t="n"/>
      <c r="C356" s="2">
        <f>IF(A356="","",SUMIFS('Input Transaksi'!$E$5:$E$5000,'Input Transaksi'!$D$5:$D$5000,A356))</f>
        <v/>
      </c>
      <c r="D356" s="2">
        <f>IF(OR(A356="",B356=""),"",B356-C356)</f>
        <v/>
      </c>
    </row>
    <row r="357">
      <c r="A357" s="5" t="n"/>
      <c r="B357" s="6" t="n"/>
      <c r="C357" s="2">
        <f>IF(A357="","",SUMIFS('Input Transaksi'!$E$5:$E$5000,'Input Transaksi'!$D$5:$D$5000,A357))</f>
        <v/>
      </c>
      <c r="D357" s="2">
        <f>IF(OR(A357="",B357=""),"",B357-C357)</f>
        <v/>
      </c>
    </row>
    <row r="358">
      <c r="A358" s="5" t="n"/>
      <c r="B358" s="6" t="n"/>
      <c r="C358" s="2">
        <f>IF(A358="","",SUMIFS('Input Transaksi'!$E$5:$E$5000,'Input Transaksi'!$D$5:$D$5000,A358))</f>
        <v/>
      </c>
      <c r="D358" s="2">
        <f>IF(OR(A358="",B358=""),"",B358-C358)</f>
        <v/>
      </c>
    </row>
    <row r="359">
      <c r="A359" s="5" t="n"/>
      <c r="B359" s="6" t="n"/>
      <c r="C359" s="2">
        <f>IF(A359="","",SUMIFS('Input Transaksi'!$E$5:$E$5000,'Input Transaksi'!$D$5:$D$5000,A359))</f>
        <v/>
      </c>
      <c r="D359" s="2">
        <f>IF(OR(A359="",B359=""),"",B359-C359)</f>
        <v/>
      </c>
    </row>
    <row r="360">
      <c r="A360" s="5" t="n"/>
      <c r="B360" s="6" t="n"/>
      <c r="C360" s="2">
        <f>IF(A360="","",SUMIFS('Input Transaksi'!$E$5:$E$5000,'Input Transaksi'!$D$5:$D$5000,A360))</f>
        <v/>
      </c>
      <c r="D360" s="2">
        <f>IF(OR(A360="",B360=""),"",B360-C360)</f>
        <v/>
      </c>
    </row>
    <row r="361">
      <c r="A361" s="5" t="n"/>
      <c r="B361" s="6" t="n"/>
      <c r="C361" s="2">
        <f>IF(A361="","",SUMIFS('Input Transaksi'!$E$5:$E$5000,'Input Transaksi'!$D$5:$D$5000,A361))</f>
        <v/>
      </c>
      <c r="D361" s="2">
        <f>IF(OR(A361="",B361=""),"",B361-C361)</f>
        <v/>
      </c>
    </row>
    <row r="362">
      <c r="A362" s="5" t="n"/>
      <c r="B362" s="6" t="n"/>
      <c r="C362" s="2">
        <f>IF(A362="","",SUMIFS('Input Transaksi'!$E$5:$E$5000,'Input Transaksi'!$D$5:$D$5000,A362))</f>
        <v/>
      </c>
      <c r="D362" s="2">
        <f>IF(OR(A362="",B362=""),"",B362-C362)</f>
        <v/>
      </c>
    </row>
    <row r="363">
      <c r="A363" s="5" t="n"/>
      <c r="B363" s="6" t="n"/>
      <c r="C363" s="2">
        <f>IF(A363="","",SUMIFS('Input Transaksi'!$E$5:$E$5000,'Input Transaksi'!$D$5:$D$5000,A363))</f>
        <v/>
      </c>
      <c r="D363" s="2">
        <f>IF(OR(A363="",B363=""),"",B363-C363)</f>
        <v/>
      </c>
    </row>
    <row r="364">
      <c r="A364" s="5" t="n"/>
      <c r="B364" s="6" t="n"/>
      <c r="C364" s="2">
        <f>IF(A364="","",SUMIFS('Input Transaksi'!$E$5:$E$5000,'Input Transaksi'!$D$5:$D$5000,A364))</f>
        <v/>
      </c>
      <c r="D364" s="2">
        <f>IF(OR(A364="",B364=""),"",B364-C364)</f>
        <v/>
      </c>
    </row>
    <row r="365">
      <c r="A365" s="5" t="n"/>
      <c r="B365" s="6" t="n"/>
      <c r="C365" s="2">
        <f>IF(A365="","",SUMIFS('Input Transaksi'!$E$5:$E$5000,'Input Transaksi'!$D$5:$D$5000,A365))</f>
        <v/>
      </c>
      <c r="D365" s="2">
        <f>IF(OR(A365="",B365=""),"",B365-C365)</f>
        <v/>
      </c>
    </row>
    <row r="366">
      <c r="A366" s="5" t="n"/>
      <c r="B366" s="6" t="n"/>
      <c r="C366" s="2">
        <f>IF(A366="","",SUMIFS('Input Transaksi'!$E$5:$E$5000,'Input Transaksi'!$D$5:$D$5000,A366))</f>
        <v/>
      </c>
      <c r="D366" s="2">
        <f>IF(OR(A366="",B366=""),"",B366-C366)</f>
        <v/>
      </c>
    </row>
    <row r="367">
      <c r="A367" s="5" t="n"/>
      <c r="B367" s="6" t="n"/>
      <c r="C367" s="2">
        <f>IF(A367="","",SUMIFS('Input Transaksi'!$E$5:$E$5000,'Input Transaksi'!$D$5:$D$5000,A367))</f>
        <v/>
      </c>
      <c r="D367" s="2">
        <f>IF(OR(A367="",B367=""),"",B367-C367)</f>
        <v/>
      </c>
    </row>
    <row r="368">
      <c r="A368" s="5" t="n"/>
      <c r="B368" s="6" t="n"/>
      <c r="C368" s="2">
        <f>IF(A368="","",SUMIFS('Input Transaksi'!$E$5:$E$5000,'Input Transaksi'!$D$5:$D$5000,A368))</f>
        <v/>
      </c>
      <c r="D368" s="2">
        <f>IF(OR(A368="",B368=""),"",B368-C368)</f>
        <v/>
      </c>
    </row>
    <row r="369">
      <c r="A369" s="5" t="n"/>
      <c r="B369" s="6" t="n"/>
      <c r="C369" s="2">
        <f>IF(A369="","",SUMIFS('Input Transaksi'!$E$5:$E$5000,'Input Transaksi'!$D$5:$D$5000,A369))</f>
        <v/>
      </c>
      <c r="D369" s="2">
        <f>IF(OR(A369="",B369=""),"",B369-C369)</f>
        <v/>
      </c>
    </row>
    <row r="370">
      <c r="A370" s="5" t="n"/>
      <c r="B370" s="6" t="n"/>
      <c r="C370" s="2">
        <f>IF(A370="","",SUMIFS('Input Transaksi'!$E$5:$E$5000,'Input Transaksi'!$D$5:$D$5000,A370))</f>
        <v/>
      </c>
      <c r="D370" s="2">
        <f>IF(OR(A370="",B370=""),"",B370-C370)</f>
        <v/>
      </c>
    </row>
    <row r="371">
      <c r="A371" s="5" t="n"/>
      <c r="B371" s="6" t="n"/>
      <c r="C371" s="2">
        <f>IF(A371="","",SUMIFS('Input Transaksi'!$E$5:$E$5000,'Input Transaksi'!$D$5:$D$5000,A371))</f>
        <v/>
      </c>
      <c r="D371" s="2">
        <f>IF(OR(A371="",B371=""),"",B371-C371)</f>
        <v/>
      </c>
    </row>
    <row r="372">
      <c r="A372" s="5" t="n"/>
      <c r="B372" s="6" t="n"/>
      <c r="C372" s="2">
        <f>IF(A372="","",SUMIFS('Input Transaksi'!$E$5:$E$5000,'Input Transaksi'!$D$5:$D$5000,A372))</f>
        <v/>
      </c>
      <c r="D372" s="2">
        <f>IF(OR(A372="",B372=""),"",B372-C372)</f>
        <v/>
      </c>
    </row>
    <row r="373">
      <c r="A373" s="5" t="n"/>
      <c r="B373" s="6" t="n"/>
      <c r="C373" s="2">
        <f>IF(A373="","",SUMIFS('Input Transaksi'!$E$5:$E$5000,'Input Transaksi'!$D$5:$D$5000,A373))</f>
        <v/>
      </c>
      <c r="D373" s="2">
        <f>IF(OR(A373="",B373=""),"",B373-C373)</f>
        <v/>
      </c>
    </row>
    <row r="374">
      <c r="A374" s="5" t="n"/>
      <c r="B374" s="6" t="n"/>
      <c r="C374" s="2">
        <f>IF(A374="","",SUMIFS('Input Transaksi'!$E$5:$E$5000,'Input Transaksi'!$D$5:$D$5000,A374))</f>
        <v/>
      </c>
      <c r="D374" s="2">
        <f>IF(OR(A374="",B374=""),"",B374-C374)</f>
        <v/>
      </c>
    </row>
    <row r="375">
      <c r="A375" s="5" t="n"/>
      <c r="B375" s="6" t="n"/>
      <c r="C375" s="2">
        <f>IF(A375="","",SUMIFS('Input Transaksi'!$E$5:$E$5000,'Input Transaksi'!$D$5:$D$5000,A375))</f>
        <v/>
      </c>
      <c r="D375" s="2">
        <f>IF(OR(A375="",B375=""),"",B375-C375)</f>
        <v/>
      </c>
    </row>
    <row r="376">
      <c r="A376" s="5" t="n"/>
      <c r="B376" s="6" t="n"/>
      <c r="C376" s="2">
        <f>IF(A376="","",SUMIFS('Input Transaksi'!$E$5:$E$5000,'Input Transaksi'!$D$5:$D$5000,A376))</f>
        <v/>
      </c>
      <c r="D376" s="2">
        <f>IF(OR(A376="",B376=""),"",B376-C376)</f>
        <v/>
      </c>
    </row>
    <row r="377">
      <c r="A377" s="5" t="n"/>
      <c r="B377" s="6" t="n"/>
      <c r="C377" s="2">
        <f>IF(A377="","",SUMIFS('Input Transaksi'!$E$5:$E$5000,'Input Transaksi'!$D$5:$D$5000,A377))</f>
        <v/>
      </c>
      <c r="D377" s="2">
        <f>IF(OR(A377="",B377=""),"",B377-C377)</f>
        <v/>
      </c>
    </row>
    <row r="378">
      <c r="A378" s="5" t="n"/>
      <c r="B378" s="6" t="n"/>
      <c r="C378" s="2">
        <f>IF(A378="","",SUMIFS('Input Transaksi'!$E$5:$E$5000,'Input Transaksi'!$D$5:$D$5000,A378))</f>
        <v/>
      </c>
      <c r="D378" s="2">
        <f>IF(OR(A378="",B378=""),"",B378-C378)</f>
        <v/>
      </c>
    </row>
    <row r="379">
      <c r="A379" s="5" t="n"/>
      <c r="B379" s="6" t="n"/>
      <c r="C379" s="2">
        <f>IF(A379="","",SUMIFS('Input Transaksi'!$E$5:$E$5000,'Input Transaksi'!$D$5:$D$5000,A379))</f>
        <v/>
      </c>
      <c r="D379" s="2">
        <f>IF(OR(A379="",B379=""),"",B379-C379)</f>
        <v/>
      </c>
    </row>
    <row r="380">
      <c r="A380" s="5" t="n"/>
      <c r="B380" s="6" t="n"/>
      <c r="C380" s="2">
        <f>IF(A380="","",SUMIFS('Input Transaksi'!$E$5:$E$5000,'Input Transaksi'!$D$5:$D$5000,A380))</f>
        <v/>
      </c>
      <c r="D380" s="2">
        <f>IF(OR(A380="",B380=""),"",B380-C380)</f>
        <v/>
      </c>
    </row>
    <row r="381">
      <c r="A381" s="5" t="n"/>
      <c r="B381" s="6" t="n"/>
      <c r="C381" s="2">
        <f>IF(A381="","",SUMIFS('Input Transaksi'!$E$5:$E$5000,'Input Transaksi'!$D$5:$D$5000,A381))</f>
        <v/>
      </c>
      <c r="D381" s="2">
        <f>IF(OR(A381="",B381=""),"",B381-C381)</f>
        <v/>
      </c>
    </row>
    <row r="382">
      <c r="A382" s="5" t="n"/>
      <c r="B382" s="6" t="n"/>
      <c r="C382" s="2">
        <f>IF(A382="","",SUMIFS('Input Transaksi'!$E$5:$E$5000,'Input Transaksi'!$D$5:$D$5000,A382))</f>
        <v/>
      </c>
      <c r="D382" s="2">
        <f>IF(OR(A382="",B382=""),"",B382-C382)</f>
        <v/>
      </c>
    </row>
    <row r="383">
      <c r="A383" s="5" t="n"/>
      <c r="B383" s="6" t="n"/>
      <c r="C383" s="2">
        <f>IF(A383="","",SUMIFS('Input Transaksi'!$E$5:$E$5000,'Input Transaksi'!$D$5:$D$5000,A383))</f>
        <v/>
      </c>
      <c r="D383" s="2">
        <f>IF(OR(A383="",B383=""),"",B383-C383)</f>
        <v/>
      </c>
    </row>
    <row r="384">
      <c r="A384" s="5" t="n"/>
      <c r="B384" s="6" t="n"/>
      <c r="C384" s="2">
        <f>IF(A384="","",SUMIFS('Input Transaksi'!$E$5:$E$5000,'Input Transaksi'!$D$5:$D$5000,A384))</f>
        <v/>
      </c>
      <c r="D384" s="2">
        <f>IF(OR(A384="",B384=""),"",B384-C384)</f>
        <v/>
      </c>
    </row>
    <row r="385">
      <c r="A385" s="5" t="n"/>
      <c r="B385" s="6" t="n"/>
      <c r="C385" s="2">
        <f>IF(A385="","",SUMIFS('Input Transaksi'!$E$5:$E$5000,'Input Transaksi'!$D$5:$D$5000,A385))</f>
        <v/>
      </c>
      <c r="D385" s="2">
        <f>IF(OR(A385="",B385=""),"",B385-C385)</f>
        <v/>
      </c>
    </row>
    <row r="386">
      <c r="A386" s="5" t="n"/>
      <c r="B386" s="6" t="n"/>
      <c r="C386" s="2">
        <f>IF(A386="","",SUMIFS('Input Transaksi'!$E$5:$E$5000,'Input Transaksi'!$D$5:$D$5000,A386))</f>
        <v/>
      </c>
      <c r="D386" s="2">
        <f>IF(OR(A386="",B386=""),"",B386-C386)</f>
        <v/>
      </c>
    </row>
    <row r="387">
      <c r="A387" s="5" t="n"/>
      <c r="B387" s="6" t="n"/>
      <c r="C387" s="2">
        <f>IF(A387="","",SUMIFS('Input Transaksi'!$E$5:$E$5000,'Input Transaksi'!$D$5:$D$5000,A387))</f>
        <v/>
      </c>
      <c r="D387" s="2">
        <f>IF(OR(A387="",B387=""),"",B387-C387)</f>
        <v/>
      </c>
    </row>
    <row r="388">
      <c r="A388" s="5" t="n"/>
      <c r="B388" s="6" t="n"/>
      <c r="C388" s="2">
        <f>IF(A388="","",SUMIFS('Input Transaksi'!$E$5:$E$5000,'Input Transaksi'!$D$5:$D$5000,A388))</f>
        <v/>
      </c>
      <c r="D388" s="2">
        <f>IF(OR(A388="",B388=""),"",B388-C388)</f>
        <v/>
      </c>
    </row>
    <row r="389">
      <c r="A389" s="5" t="n"/>
      <c r="B389" s="6" t="n"/>
      <c r="C389" s="2">
        <f>IF(A389="","",SUMIFS('Input Transaksi'!$E$5:$E$5000,'Input Transaksi'!$D$5:$D$5000,A389))</f>
        <v/>
      </c>
      <c r="D389" s="2">
        <f>IF(OR(A389="",B389=""),"",B389-C389)</f>
        <v/>
      </c>
    </row>
    <row r="390">
      <c r="A390" s="5" t="n"/>
      <c r="B390" s="6" t="n"/>
      <c r="C390" s="2">
        <f>IF(A390="","",SUMIFS('Input Transaksi'!$E$5:$E$5000,'Input Transaksi'!$D$5:$D$5000,A390))</f>
        <v/>
      </c>
      <c r="D390" s="2">
        <f>IF(OR(A390="",B390=""),"",B390-C390)</f>
        <v/>
      </c>
    </row>
    <row r="391">
      <c r="A391" s="5" t="n"/>
      <c r="B391" s="6" t="n"/>
      <c r="C391" s="2">
        <f>IF(A391="","",SUMIFS('Input Transaksi'!$E$5:$E$5000,'Input Transaksi'!$D$5:$D$5000,A391))</f>
        <v/>
      </c>
      <c r="D391" s="2">
        <f>IF(OR(A391="",B391=""),"",B391-C391)</f>
        <v/>
      </c>
    </row>
    <row r="392">
      <c r="A392" s="5" t="n"/>
      <c r="B392" s="6" t="n"/>
      <c r="C392" s="2">
        <f>IF(A392="","",SUMIFS('Input Transaksi'!$E$5:$E$5000,'Input Transaksi'!$D$5:$D$5000,A392))</f>
        <v/>
      </c>
      <c r="D392" s="2">
        <f>IF(OR(A392="",B392=""),"",B392-C392)</f>
        <v/>
      </c>
    </row>
    <row r="393">
      <c r="A393" s="5" t="n"/>
      <c r="B393" s="6" t="n"/>
      <c r="C393" s="2">
        <f>IF(A393="","",SUMIFS('Input Transaksi'!$E$5:$E$5000,'Input Transaksi'!$D$5:$D$5000,A393))</f>
        <v/>
      </c>
      <c r="D393" s="2">
        <f>IF(OR(A393="",B393=""),"",B393-C393)</f>
        <v/>
      </c>
    </row>
    <row r="394">
      <c r="A394" s="5" t="n"/>
      <c r="B394" s="6" t="n"/>
      <c r="C394" s="2">
        <f>IF(A394="","",SUMIFS('Input Transaksi'!$E$5:$E$5000,'Input Transaksi'!$D$5:$D$5000,A394))</f>
        <v/>
      </c>
      <c r="D394" s="2">
        <f>IF(OR(A394="",B394=""),"",B394-C394)</f>
        <v/>
      </c>
    </row>
    <row r="395">
      <c r="A395" s="5" t="n"/>
      <c r="B395" s="6" t="n"/>
      <c r="C395" s="2">
        <f>IF(A395="","",SUMIFS('Input Transaksi'!$E$5:$E$5000,'Input Transaksi'!$D$5:$D$5000,A395))</f>
        <v/>
      </c>
      <c r="D395" s="2">
        <f>IF(OR(A395="",B395=""),"",B395-C395)</f>
        <v/>
      </c>
    </row>
    <row r="396">
      <c r="A396" s="5" t="n"/>
      <c r="B396" s="6" t="n"/>
      <c r="C396" s="2">
        <f>IF(A396="","",SUMIFS('Input Transaksi'!$E$5:$E$5000,'Input Transaksi'!$D$5:$D$5000,A396))</f>
        <v/>
      </c>
      <c r="D396" s="2">
        <f>IF(OR(A396="",B396=""),"",B396-C396)</f>
        <v/>
      </c>
    </row>
    <row r="397">
      <c r="A397" s="5" t="n"/>
      <c r="B397" s="6" t="n"/>
      <c r="C397" s="2">
        <f>IF(A397="","",SUMIFS('Input Transaksi'!$E$5:$E$5000,'Input Transaksi'!$D$5:$D$5000,A397))</f>
        <v/>
      </c>
      <c r="D397" s="2">
        <f>IF(OR(A397="",B397=""),"",B397-C397)</f>
        <v/>
      </c>
    </row>
    <row r="398">
      <c r="A398" s="5" t="n"/>
      <c r="B398" s="6" t="n"/>
      <c r="C398" s="2">
        <f>IF(A398="","",SUMIFS('Input Transaksi'!$E$5:$E$5000,'Input Transaksi'!$D$5:$D$5000,A398))</f>
        <v/>
      </c>
      <c r="D398" s="2">
        <f>IF(OR(A398="",B398=""),"",B398-C398)</f>
        <v/>
      </c>
    </row>
    <row r="399">
      <c r="A399" s="5" t="n"/>
      <c r="B399" s="6" t="n"/>
      <c r="C399" s="2">
        <f>IF(A399="","",SUMIFS('Input Transaksi'!$E$5:$E$5000,'Input Transaksi'!$D$5:$D$5000,A399))</f>
        <v/>
      </c>
      <c r="D399" s="2">
        <f>IF(OR(A399="",B399=""),"",B399-C399)</f>
        <v/>
      </c>
    </row>
    <row r="400">
      <c r="A400" s="5" t="n"/>
      <c r="B400" s="6" t="n"/>
      <c r="C400" s="2">
        <f>IF(A400="","",SUMIFS('Input Transaksi'!$E$5:$E$5000,'Input Transaksi'!$D$5:$D$5000,A400))</f>
        <v/>
      </c>
      <c r="D400" s="2">
        <f>IF(OR(A400="",B400=""),"",B400-C400)</f>
        <v/>
      </c>
    </row>
    <row r="401">
      <c r="A401" s="5" t="n"/>
      <c r="B401" s="6" t="n"/>
      <c r="C401" s="2">
        <f>IF(A401="","",SUMIFS('Input Transaksi'!$E$5:$E$5000,'Input Transaksi'!$D$5:$D$5000,A401))</f>
        <v/>
      </c>
      <c r="D401" s="2">
        <f>IF(OR(A401="",B401=""),"",B401-C401)</f>
        <v/>
      </c>
    </row>
    <row r="402">
      <c r="A402" s="5" t="n"/>
      <c r="B402" s="6" t="n"/>
      <c r="C402" s="2">
        <f>IF(A402="","",SUMIFS('Input Transaksi'!$E$5:$E$5000,'Input Transaksi'!$D$5:$D$5000,A402))</f>
        <v/>
      </c>
      <c r="D402" s="2">
        <f>IF(OR(A402="",B402=""),"",B402-C402)</f>
        <v/>
      </c>
    </row>
    <row r="403">
      <c r="A403" s="5" t="n"/>
      <c r="B403" s="6" t="n"/>
      <c r="C403" s="2">
        <f>IF(A403="","",SUMIFS('Input Transaksi'!$E$5:$E$5000,'Input Transaksi'!$D$5:$D$5000,A403))</f>
        <v/>
      </c>
      <c r="D403" s="2">
        <f>IF(OR(A403="",B403=""),"",B403-C403)</f>
        <v/>
      </c>
    </row>
    <row r="404">
      <c r="A404" s="5" t="n"/>
      <c r="B404" s="6" t="n"/>
      <c r="C404" s="2">
        <f>IF(A404="","",SUMIFS('Input Transaksi'!$E$5:$E$5000,'Input Transaksi'!$D$5:$D$5000,A404))</f>
        <v/>
      </c>
      <c r="D404" s="2">
        <f>IF(OR(A404="",B404=""),"",B404-C404)</f>
        <v/>
      </c>
    </row>
    <row r="405">
      <c r="A405" s="5" t="n"/>
      <c r="B405" s="6" t="n"/>
      <c r="C405" s="2">
        <f>IF(A405="","",SUMIFS('Input Transaksi'!$E$5:$E$5000,'Input Transaksi'!$D$5:$D$5000,A405))</f>
        <v/>
      </c>
      <c r="D405" s="2">
        <f>IF(OR(A405="",B405=""),"",B405-C405)</f>
        <v/>
      </c>
    </row>
    <row r="406">
      <c r="A406" s="5" t="n"/>
      <c r="B406" s="6" t="n"/>
      <c r="C406" s="2">
        <f>IF(A406="","",SUMIFS('Input Transaksi'!$E$5:$E$5000,'Input Transaksi'!$D$5:$D$5000,A406))</f>
        <v/>
      </c>
      <c r="D406" s="2">
        <f>IF(OR(A406="",B406=""),"",B406-C406)</f>
        <v/>
      </c>
    </row>
    <row r="407">
      <c r="A407" s="5" t="n"/>
      <c r="B407" s="6" t="n"/>
      <c r="C407" s="2">
        <f>IF(A407="","",SUMIFS('Input Transaksi'!$E$5:$E$5000,'Input Transaksi'!$D$5:$D$5000,A407))</f>
        <v/>
      </c>
      <c r="D407" s="2">
        <f>IF(OR(A407="",B407=""),"",B407-C407)</f>
        <v/>
      </c>
    </row>
    <row r="408">
      <c r="A408" s="5" t="n"/>
      <c r="B408" s="6" t="n"/>
      <c r="C408" s="2">
        <f>IF(A408="","",SUMIFS('Input Transaksi'!$E$5:$E$5000,'Input Transaksi'!$D$5:$D$5000,A408))</f>
        <v/>
      </c>
      <c r="D408" s="2">
        <f>IF(OR(A408="",B408=""),"",B408-C408)</f>
        <v/>
      </c>
    </row>
    <row r="409">
      <c r="A409" s="5" t="n"/>
      <c r="B409" s="6" t="n"/>
      <c r="C409" s="2">
        <f>IF(A409="","",SUMIFS('Input Transaksi'!$E$5:$E$5000,'Input Transaksi'!$D$5:$D$5000,A409))</f>
        <v/>
      </c>
      <c r="D409" s="2">
        <f>IF(OR(A409="",B409=""),"",B409-C409)</f>
        <v/>
      </c>
    </row>
    <row r="410">
      <c r="A410" s="5" t="n"/>
      <c r="B410" s="6" t="n"/>
      <c r="C410" s="2">
        <f>IF(A410="","",SUMIFS('Input Transaksi'!$E$5:$E$5000,'Input Transaksi'!$D$5:$D$5000,A410))</f>
        <v/>
      </c>
      <c r="D410" s="2">
        <f>IF(OR(A410="",B410=""),"",B410-C410)</f>
        <v/>
      </c>
    </row>
    <row r="411">
      <c r="A411" s="5" t="n"/>
      <c r="B411" s="6" t="n"/>
      <c r="C411" s="2">
        <f>IF(A411="","",SUMIFS('Input Transaksi'!$E$5:$E$5000,'Input Transaksi'!$D$5:$D$5000,A411))</f>
        <v/>
      </c>
      <c r="D411" s="2">
        <f>IF(OR(A411="",B411=""),"",B411-C411)</f>
        <v/>
      </c>
    </row>
    <row r="412">
      <c r="A412" s="5" t="n"/>
      <c r="B412" s="6" t="n"/>
      <c r="C412" s="2">
        <f>IF(A412="","",SUMIFS('Input Transaksi'!$E$5:$E$5000,'Input Transaksi'!$D$5:$D$5000,A412))</f>
        <v/>
      </c>
      <c r="D412" s="2">
        <f>IF(OR(A412="",B412=""),"",B412-C412)</f>
        <v/>
      </c>
    </row>
    <row r="413">
      <c r="A413" s="5" t="n"/>
      <c r="B413" s="6" t="n"/>
      <c r="C413" s="2">
        <f>IF(A413="","",SUMIFS('Input Transaksi'!$E$5:$E$5000,'Input Transaksi'!$D$5:$D$5000,A413))</f>
        <v/>
      </c>
      <c r="D413" s="2">
        <f>IF(OR(A413="",B413=""),"",B413-C413)</f>
        <v/>
      </c>
    </row>
    <row r="414">
      <c r="A414" s="5" t="n"/>
      <c r="B414" s="6" t="n"/>
      <c r="C414" s="2">
        <f>IF(A414="","",SUMIFS('Input Transaksi'!$E$5:$E$5000,'Input Transaksi'!$D$5:$D$5000,A414))</f>
        <v/>
      </c>
      <c r="D414" s="2">
        <f>IF(OR(A414="",B414=""),"",B414-C414)</f>
        <v/>
      </c>
    </row>
    <row r="415">
      <c r="A415" s="5" t="n"/>
      <c r="B415" s="6" t="n"/>
      <c r="C415" s="2">
        <f>IF(A415="","",SUMIFS('Input Transaksi'!$E$5:$E$5000,'Input Transaksi'!$D$5:$D$5000,A415))</f>
        <v/>
      </c>
      <c r="D415" s="2">
        <f>IF(OR(A415="",B415=""),"",B415-C415)</f>
        <v/>
      </c>
    </row>
    <row r="416">
      <c r="A416" s="5" t="n"/>
      <c r="B416" s="6" t="n"/>
      <c r="C416" s="2">
        <f>IF(A416="","",SUMIFS('Input Transaksi'!$E$5:$E$5000,'Input Transaksi'!$D$5:$D$5000,A416))</f>
        <v/>
      </c>
      <c r="D416" s="2">
        <f>IF(OR(A416="",B416=""),"",B416-C416)</f>
        <v/>
      </c>
    </row>
    <row r="417">
      <c r="A417" s="5" t="n"/>
      <c r="B417" s="6" t="n"/>
      <c r="C417" s="2">
        <f>IF(A417="","",SUMIFS('Input Transaksi'!$E$5:$E$5000,'Input Transaksi'!$D$5:$D$5000,A417))</f>
        <v/>
      </c>
      <c r="D417" s="2">
        <f>IF(OR(A417="",B417=""),"",B417-C417)</f>
        <v/>
      </c>
    </row>
    <row r="418">
      <c r="A418" s="5" t="n"/>
      <c r="B418" s="6" t="n"/>
      <c r="C418" s="2">
        <f>IF(A418="","",SUMIFS('Input Transaksi'!$E$5:$E$5000,'Input Transaksi'!$D$5:$D$5000,A418))</f>
        <v/>
      </c>
      <c r="D418" s="2">
        <f>IF(OR(A418="",B418=""),"",B418-C418)</f>
        <v/>
      </c>
    </row>
    <row r="419">
      <c r="A419" s="5" t="n"/>
      <c r="B419" s="6" t="n"/>
      <c r="C419" s="2">
        <f>IF(A419="","",SUMIFS('Input Transaksi'!$E$5:$E$5000,'Input Transaksi'!$D$5:$D$5000,A419))</f>
        <v/>
      </c>
      <c r="D419" s="2">
        <f>IF(OR(A419="",B419=""),"",B419-C419)</f>
        <v/>
      </c>
    </row>
    <row r="420">
      <c r="A420" s="5" t="n"/>
      <c r="B420" s="6" t="n"/>
      <c r="C420" s="2">
        <f>IF(A420="","",SUMIFS('Input Transaksi'!$E$5:$E$5000,'Input Transaksi'!$D$5:$D$5000,A420))</f>
        <v/>
      </c>
      <c r="D420" s="2">
        <f>IF(OR(A420="",B420=""),"",B420-C420)</f>
        <v/>
      </c>
    </row>
    <row r="421">
      <c r="A421" s="5" t="n"/>
      <c r="B421" s="6" t="n"/>
      <c r="C421" s="2">
        <f>IF(A421="","",SUMIFS('Input Transaksi'!$E$5:$E$5000,'Input Transaksi'!$D$5:$D$5000,A421))</f>
        <v/>
      </c>
      <c r="D421" s="2">
        <f>IF(OR(A421="",B421=""),"",B421-C421)</f>
        <v/>
      </c>
    </row>
    <row r="422">
      <c r="A422" s="5" t="n"/>
      <c r="B422" s="6" t="n"/>
      <c r="C422" s="2">
        <f>IF(A422="","",SUMIFS('Input Transaksi'!$E$5:$E$5000,'Input Transaksi'!$D$5:$D$5000,A422))</f>
        <v/>
      </c>
      <c r="D422" s="2">
        <f>IF(OR(A422="",B422=""),"",B422-C422)</f>
        <v/>
      </c>
    </row>
    <row r="423">
      <c r="A423" s="5" t="n"/>
      <c r="B423" s="6" t="n"/>
      <c r="C423" s="2">
        <f>IF(A423="","",SUMIFS('Input Transaksi'!$E$5:$E$5000,'Input Transaksi'!$D$5:$D$5000,A423))</f>
        <v/>
      </c>
      <c r="D423" s="2">
        <f>IF(OR(A423="",B423=""),"",B423-C423)</f>
        <v/>
      </c>
    </row>
    <row r="424">
      <c r="A424" s="5" t="n"/>
      <c r="B424" s="6" t="n"/>
      <c r="C424" s="2">
        <f>IF(A424="","",SUMIFS('Input Transaksi'!$E$5:$E$5000,'Input Transaksi'!$D$5:$D$5000,A424))</f>
        <v/>
      </c>
      <c r="D424" s="2">
        <f>IF(OR(A424="",B424=""),"",B424-C424)</f>
        <v/>
      </c>
    </row>
    <row r="425">
      <c r="A425" s="5" t="n"/>
      <c r="B425" s="6" t="n"/>
      <c r="C425" s="2">
        <f>IF(A425="","",SUMIFS('Input Transaksi'!$E$5:$E$5000,'Input Transaksi'!$D$5:$D$5000,A425))</f>
        <v/>
      </c>
      <c r="D425" s="2">
        <f>IF(OR(A425="",B425=""),"",B425-C425)</f>
        <v/>
      </c>
    </row>
    <row r="426">
      <c r="A426" s="5" t="n"/>
      <c r="B426" s="6" t="n"/>
      <c r="C426" s="2">
        <f>IF(A426="","",SUMIFS('Input Transaksi'!$E$5:$E$5000,'Input Transaksi'!$D$5:$D$5000,A426))</f>
        <v/>
      </c>
      <c r="D426" s="2">
        <f>IF(OR(A426="",B426=""),"",B426-C426)</f>
        <v/>
      </c>
    </row>
    <row r="427">
      <c r="A427" s="5" t="n"/>
      <c r="B427" s="6" t="n"/>
      <c r="C427" s="2">
        <f>IF(A427="","",SUMIFS('Input Transaksi'!$E$5:$E$5000,'Input Transaksi'!$D$5:$D$5000,A427))</f>
        <v/>
      </c>
      <c r="D427" s="2">
        <f>IF(OR(A427="",B427=""),"",B427-C427)</f>
        <v/>
      </c>
    </row>
    <row r="428">
      <c r="A428" s="5" t="n"/>
      <c r="B428" s="6" t="n"/>
      <c r="C428" s="2">
        <f>IF(A428="","",SUMIFS('Input Transaksi'!$E$5:$E$5000,'Input Transaksi'!$D$5:$D$5000,A428))</f>
        <v/>
      </c>
      <c r="D428" s="2">
        <f>IF(OR(A428="",B428=""),"",B428-C428)</f>
        <v/>
      </c>
    </row>
    <row r="429">
      <c r="A429" s="5" t="n"/>
      <c r="B429" s="6" t="n"/>
      <c r="C429" s="2">
        <f>IF(A429="","",SUMIFS('Input Transaksi'!$E$5:$E$5000,'Input Transaksi'!$D$5:$D$5000,A429))</f>
        <v/>
      </c>
      <c r="D429" s="2">
        <f>IF(OR(A429="",B429=""),"",B429-C429)</f>
        <v/>
      </c>
    </row>
    <row r="430">
      <c r="A430" s="5" t="n"/>
      <c r="B430" s="6" t="n"/>
      <c r="C430" s="2">
        <f>IF(A430="","",SUMIFS('Input Transaksi'!$E$5:$E$5000,'Input Transaksi'!$D$5:$D$5000,A430))</f>
        <v/>
      </c>
      <c r="D430" s="2">
        <f>IF(OR(A430="",B430=""),"",B430-C430)</f>
        <v/>
      </c>
    </row>
    <row r="431">
      <c r="A431" s="5" t="n"/>
      <c r="B431" s="6" t="n"/>
      <c r="C431" s="2">
        <f>IF(A431="","",SUMIFS('Input Transaksi'!$E$5:$E$5000,'Input Transaksi'!$D$5:$D$5000,A431))</f>
        <v/>
      </c>
      <c r="D431" s="2">
        <f>IF(OR(A431="",B431=""),"",B431-C431)</f>
        <v/>
      </c>
    </row>
    <row r="432">
      <c r="A432" s="5" t="n"/>
      <c r="B432" s="6" t="n"/>
      <c r="C432" s="2">
        <f>IF(A432="","",SUMIFS('Input Transaksi'!$E$5:$E$5000,'Input Transaksi'!$D$5:$D$5000,A432))</f>
        <v/>
      </c>
      <c r="D432" s="2">
        <f>IF(OR(A432="",B432=""),"",B432-C432)</f>
        <v/>
      </c>
    </row>
    <row r="433">
      <c r="A433" s="5" t="n"/>
      <c r="B433" s="6" t="n"/>
      <c r="C433" s="2">
        <f>IF(A433="","",SUMIFS('Input Transaksi'!$E$5:$E$5000,'Input Transaksi'!$D$5:$D$5000,A433))</f>
        <v/>
      </c>
      <c r="D433" s="2">
        <f>IF(OR(A433="",B433=""),"",B433-C433)</f>
        <v/>
      </c>
    </row>
    <row r="434">
      <c r="A434" s="5" t="n"/>
      <c r="B434" s="6" t="n"/>
      <c r="C434" s="2">
        <f>IF(A434="","",SUMIFS('Input Transaksi'!$E$5:$E$5000,'Input Transaksi'!$D$5:$D$5000,A434))</f>
        <v/>
      </c>
      <c r="D434" s="2">
        <f>IF(OR(A434="",B434=""),"",B434-C434)</f>
        <v/>
      </c>
    </row>
    <row r="435">
      <c r="A435" s="5" t="n"/>
      <c r="B435" s="6" t="n"/>
      <c r="C435" s="2">
        <f>IF(A435="","",SUMIFS('Input Transaksi'!$E$5:$E$5000,'Input Transaksi'!$D$5:$D$5000,A435))</f>
        <v/>
      </c>
      <c r="D435" s="2">
        <f>IF(OR(A435="",B435=""),"",B435-C435)</f>
        <v/>
      </c>
    </row>
    <row r="436">
      <c r="A436" s="5" t="n"/>
      <c r="B436" s="6" t="n"/>
      <c r="C436" s="2">
        <f>IF(A436="","",SUMIFS('Input Transaksi'!$E$5:$E$5000,'Input Transaksi'!$D$5:$D$5000,A436))</f>
        <v/>
      </c>
      <c r="D436" s="2">
        <f>IF(OR(A436="",B436=""),"",B436-C436)</f>
        <v/>
      </c>
    </row>
    <row r="437">
      <c r="A437" s="5" t="n"/>
      <c r="B437" s="6" t="n"/>
      <c r="C437" s="2">
        <f>IF(A437="","",SUMIFS('Input Transaksi'!$E$5:$E$5000,'Input Transaksi'!$D$5:$D$5000,A437))</f>
        <v/>
      </c>
      <c r="D437" s="2">
        <f>IF(OR(A437="",B437=""),"",B437-C437)</f>
        <v/>
      </c>
    </row>
    <row r="438">
      <c r="A438" s="5" t="n"/>
      <c r="B438" s="6" t="n"/>
      <c r="C438" s="2">
        <f>IF(A438="","",SUMIFS('Input Transaksi'!$E$5:$E$5000,'Input Transaksi'!$D$5:$D$5000,A438))</f>
        <v/>
      </c>
      <c r="D438" s="2">
        <f>IF(OR(A438="",B438=""),"",B438-C438)</f>
        <v/>
      </c>
    </row>
    <row r="439">
      <c r="A439" s="5" t="n"/>
      <c r="B439" s="6" t="n"/>
      <c r="C439" s="2">
        <f>IF(A439="","",SUMIFS('Input Transaksi'!$E$5:$E$5000,'Input Transaksi'!$D$5:$D$5000,A439))</f>
        <v/>
      </c>
      <c r="D439" s="2">
        <f>IF(OR(A439="",B439=""),"",B439-C439)</f>
        <v/>
      </c>
    </row>
    <row r="440">
      <c r="A440" s="5" t="n"/>
      <c r="B440" s="6" t="n"/>
      <c r="C440" s="2">
        <f>IF(A440="","",SUMIFS('Input Transaksi'!$E$5:$E$5000,'Input Transaksi'!$D$5:$D$5000,A440))</f>
        <v/>
      </c>
      <c r="D440" s="2">
        <f>IF(OR(A440="",B440=""),"",B440-C440)</f>
        <v/>
      </c>
    </row>
    <row r="441">
      <c r="A441" s="5" t="n"/>
      <c r="B441" s="6" t="n"/>
      <c r="C441" s="2">
        <f>IF(A441="","",SUMIFS('Input Transaksi'!$E$5:$E$5000,'Input Transaksi'!$D$5:$D$5000,A441))</f>
        <v/>
      </c>
      <c r="D441" s="2">
        <f>IF(OR(A441="",B441=""),"",B441-C441)</f>
        <v/>
      </c>
    </row>
    <row r="442">
      <c r="A442" s="5" t="n"/>
      <c r="B442" s="6" t="n"/>
      <c r="C442" s="2">
        <f>IF(A442="","",SUMIFS('Input Transaksi'!$E$5:$E$5000,'Input Transaksi'!$D$5:$D$5000,A442))</f>
        <v/>
      </c>
      <c r="D442" s="2">
        <f>IF(OR(A442="",B442=""),"",B442-C442)</f>
        <v/>
      </c>
    </row>
    <row r="443">
      <c r="A443" s="5" t="n"/>
      <c r="B443" s="6" t="n"/>
      <c r="C443" s="2">
        <f>IF(A443="","",SUMIFS('Input Transaksi'!$E$5:$E$5000,'Input Transaksi'!$D$5:$D$5000,A443))</f>
        <v/>
      </c>
      <c r="D443" s="2">
        <f>IF(OR(A443="",B443=""),"",B443-C443)</f>
        <v/>
      </c>
    </row>
    <row r="444">
      <c r="A444" s="5" t="n"/>
      <c r="B444" s="6" t="n"/>
      <c r="C444" s="2">
        <f>IF(A444="","",SUMIFS('Input Transaksi'!$E$5:$E$5000,'Input Transaksi'!$D$5:$D$5000,A444))</f>
        <v/>
      </c>
      <c r="D444" s="2">
        <f>IF(OR(A444="",B444=""),"",B444-C444)</f>
        <v/>
      </c>
    </row>
    <row r="445">
      <c r="A445" s="5" t="n"/>
      <c r="B445" s="6" t="n"/>
      <c r="C445" s="2">
        <f>IF(A445="","",SUMIFS('Input Transaksi'!$E$5:$E$5000,'Input Transaksi'!$D$5:$D$5000,A445))</f>
        <v/>
      </c>
      <c r="D445" s="2">
        <f>IF(OR(A445="",B445=""),"",B445-C445)</f>
        <v/>
      </c>
    </row>
    <row r="446">
      <c r="A446" s="5" t="n"/>
      <c r="B446" s="6" t="n"/>
      <c r="C446" s="2">
        <f>IF(A446="","",SUMIFS('Input Transaksi'!$E$5:$E$5000,'Input Transaksi'!$D$5:$D$5000,A446))</f>
        <v/>
      </c>
      <c r="D446" s="2">
        <f>IF(OR(A446="",B446=""),"",B446-C446)</f>
        <v/>
      </c>
    </row>
    <row r="447">
      <c r="A447" s="5" t="n"/>
      <c r="B447" s="6" t="n"/>
      <c r="C447" s="2">
        <f>IF(A447="","",SUMIFS('Input Transaksi'!$E$5:$E$5000,'Input Transaksi'!$D$5:$D$5000,A447))</f>
        <v/>
      </c>
      <c r="D447" s="2">
        <f>IF(OR(A447="",B447=""),"",B447-C447)</f>
        <v/>
      </c>
    </row>
    <row r="448">
      <c r="A448" s="5" t="n"/>
      <c r="B448" s="6" t="n"/>
      <c r="C448" s="2">
        <f>IF(A448="","",SUMIFS('Input Transaksi'!$E$5:$E$5000,'Input Transaksi'!$D$5:$D$5000,A448))</f>
        <v/>
      </c>
      <c r="D448" s="2">
        <f>IF(OR(A448="",B448=""),"",B448-C448)</f>
        <v/>
      </c>
    </row>
    <row r="449">
      <c r="A449" s="5" t="n"/>
      <c r="B449" s="6" t="n"/>
      <c r="C449" s="2">
        <f>IF(A449="","",SUMIFS('Input Transaksi'!$E$5:$E$5000,'Input Transaksi'!$D$5:$D$5000,A449))</f>
        <v/>
      </c>
      <c r="D449" s="2">
        <f>IF(OR(A449="",B449=""),"",B449-C449)</f>
        <v/>
      </c>
    </row>
    <row r="450">
      <c r="A450" s="5" t="n"/>
      <c r="B450" s="6" t="n"/>
      <c r="C450" s="2">
        <f>IF(A450="","",SUMIFS('Input Transaksi'!$E$5:$E$5000,'Input Transaksi'!$D$5:$D$5000,A450))</f>
        <v/>
      </c>
      <c r="D450" s="2">
        <f>IF(OR(A450="",B450=""),"",B450-C450)</f>
        <v/>
      </c>
    </row>
    <row r="451">
      <c r="A451" s="5" t="n"/>
      <c r="B451" s="6" t="n"/>
      <c r="C451" s="2">
        <f>IF(A451="","",SUMIFS('Input Transaksi'!$E$5:$E$5000,'Input Transaksi'!$D$5:$D$5000,A451))</f>
        <v/>
      </c>
      <c r="D451" s="2">
        <f>IF(OR(A451="",B451=""),"",B451-C451)</f>
        <v/>
      </c>
    </row>
    <row r="452">
      <c r="A452" s="5" t="n"/>
      <c r="B452" s="6" t="n"/>
      <c r="C452" s="2">
        <f>IF(A452="","",SUMIFS('Input Transaksi'!$E$5:$E$5000,'Input Transaksi'!$D$5:$D$5000,A452))</f>
        <v/>
      </c>
      <c r="D452" s="2">
        <f>IF(OR(A452="",B452=""),"",B452-C452)</f>
        <v/>
      </c>
    </row>
    <row r="453">
      <c r="A453" s="5" t="n"/>
      <c r="B453" s="6" t="n"/>
      <c r="C453" s="2">
        <f>IF(A453="","",SUMIFS('Input Transaksi'!$E$5:$E$5000,'Input Transaksi'!$D$5:$D$5000,A453))</f>
        <v/>
      </c>
      <c r="D453" s="2">
        <f>IF(OR(A453="",B453=""),"",B453-C453)</f>
        <v/>
      </c>
    </row>
    <row r="454">
      <c r="A454" s="5" t="n"/>
      <c r="B454" s="6" t="n"/>
      <c r="C454" s="2">
        <f>IF(A454="","",SUMIFS('Input Transaksi'!$E$5:$E$5000,'Input Transaksi'!$D$5:$D$5000,A454))</f>
        <v/>
      </c>
      <c r="D454" s="2">
        <f>IF(OR(A454="",B454=""),"",B454-C454)</f>
        <v/>
      </c>
    </row>
    <row r="455">
      <c r="A455" s="5" t="n"/>
      <c r="B455" s="6" t="n"/>
      <c r="C455" s="2">
        <f>IF(A455="","",SUMIFS('Input Transaksi'!$E$5:$E$5000,'Input Transaksi'!$D$5:$D$5000,A455))</f>
        <v/>
      </c>
      <c r="D455" s="2">
        <f>IF(OR(A455="",B455=""),"",B455-C455)</f>
        <v/>
      </c>
    </row>
    <row r="456">
      <c r="A456" s="5" t="n"/>
      <c r="B456" s="6" t="n"/>
      <c r="C456" s="2">
        <f>IF(A456="","",SUMIFS('Input Transaksi'!$E$5:$E$5000,'Input Transaksi'!$D$5:$D$5000,A456))</f>
        <v/>
      </c>
      <c r="D456" s="2">
        <f>IF(OR(A456="",B456=""),"",B456-C456)</f>
        <v/>
      </c>
    </row>
    <row r="457">
      <c r="A457" s="5" t="n"/>
      <c r="B457" s="6" t="n"/>
      <c r="C457" s="2">
        <f>IF(A457="","",SUMIFS('Input Transaksi'!$E$5:$E$5000,'Input Transaksi'!$D$5:$D$5000,A457))</f>
        <v/>
      </c>
      <c r="D457" s="2">
        <f>IF(OR(A457="",B457=""),"",B457-C457)</f>
        <v/>
      </c>
    </row>
    <row r="458">
      <c r="A458" s="5" t="n"/>
      <c r="B458" s="6" t="n"/>
      <c r="C458" s="2">
        <f>IF(A458="","",SUMIFS('Input Transaksi'!$E$5:$E$5000,'Input Transaksi'!$D$5:$D$5000,A458))</f>
        <v/>
      </c>
      <c r="D458" s="2">
        <f>IF(OR(A458="",B458=""),"",B458-C458)</f>
        <v/>
      </c>
    </row>
    <row r="459">
      <c r="A459" s="5" t="n"/>
      <c r="B459" s="6" t="n"/>
      <c r="C459" s="2">
        <f>IF(A459="","",SUMIFS('Input Transaksi'!$E$5:$E$5000,'Input Transaksi'!$D$5:$D$5000,A459))</f>
        <v/>
      </c>
      <c r="D459" s="2">
        <f>IF(OR(A459="",B459=""),"",B459-C459)</f>
        <v/>
      </c>
    </row>
    <row r="460">
      <c r="A460" s="5" t="n"/>
      <c r="B460" s="6" t="n"/>
      <c r="C460" s="2">
        <f>IF(A460="","",SUMIFS('Input Transaksi'!$E$5:$E$5000,'Input Transaksi'!$D$5:$D$5000,A460))</f>
        <v/>
      </c>
      <c r="D460" s="2">
        <f>IF(OR(A460="",B460=""),"",B460-C460)</f>
        <v/>
      </c>
    </row>
    <row r="461">
      <c r="A461" s="5" t="n"/>
      <c r="B461" s="6" t="n"/>
      <c r="C461" s="2">
        <f>IF(A461="","",SUMIFS('Input Transaksi'!$E$5:$E$5000,'Input Transaksi'!$D$5:$D$5000,A461))</f>
        <v/>
      </c>
      <c r="D461" s="2">
        <f>IF(OR(A461="",B461=""),"",B461-C461)</f>
        <v/>
      </c>
    </row>
    <row r="462">
      <c r="A462" s="5" t="n"/>
      <c r="B462" s="6" t="n"/>
      <c r="C462" s="2">
        <f>IF(A462="","",SUMIFS('Input Transaksi'!$E$5:$E$5000,'Input Transaksi'!$D$5:$D$5000,A462))</f>
        <v/>
      </c>
      <c r="D462" s="2">
        <f>IF(OR(A462="",B462=""),"",B462-C462)</f>
        <v/>
      </c>
    </row>
    <row r="463">
      <c r="A463" s="5" t="n"/>
      <c r="B463" s="6" t="n"/>
      <c r="C463" s="2">
        <f>IF(A463="","",SUMIFS('Input Transaksi'!$E$5:$E$5000,'Input Transaksi'!$D$5:$D$5000,A463))</f>
        <v/>
      </c>
      <c r="D463" s="2">
        <f>IF(OR(A463="",B463=""),"",B463-C463)</f>
        <v/>
      </c>
    </row>
    <row r="464">
      <c r="A464" s="5" t="n"/>
      <c r="B464" s="6" t="n"/>
      <c r="C464" s="2">
        <f>IF(A464="","",SUMIFS('Input Transaksi'!$E$5:$E$5000,'Input Transaksi'!$D$5:$D$5000,A464))</f>
        <v/>
      </c>
      <c r="D464" s="2">
        <f>IF(OR(A464="",B464=""),"",B464-C464)</f>
        <v/>
      </c>
    </row>
    <row r="465">
      <c r="A465" s="5" t="n"/>
      <c r="B465" s="6" t="n"/>
      <c r="C465" s="2">
        <f>IF(A465="","",SUMIFS('Input Transaksi'!$E$5:$E$5000,'Input Transaksi'!$D$5:$D$5000,A465))</f>
        <v/>
      </c>
      <c r="D465" s="2">
        <f>IF(OR(A465="",B465=""),"",B465-C465)</f>
        <v/>
      </c>
    </row>
    <row r="466">
      <c r="A466" s="5" t="n"/>
      <c r="B466" s="6" t="n"/>
      <c r="C466" s="2">
        <f>IF(A466="","",SUMIFS('Input Transaksi'!$E$5:$E$5000,'Input Transaksi'!$D$5:$D$5000,A466))</f>
        <v/>
      </c>
      <c r="D466" s="2">
        <f>IF(OR(A466="",B466=""),"",B466-C466)</f>
        <v/>
      </c>
    </row>
    <row r="467">
      <c r="A467" s="5" t="n"/>
      <c r="B467" s="6" t="n"/>
      <c r="C467" s="2">
        <f>IF(A467="","",SUMIFS('Input Transaksi'!$E$5:$E$5000,'Input Transaksi'!$D$5:$D$5000,A467))</f>
        <v/>
      </c>
      <c r="D467" s="2">
        <f>IF(OR(A467="",B467=""),"",B467-C467)</f>
        <v/>
      </c>
    </row>
    <row r="468">
      <c r="A468" s="5" t="n"/>
      <c r="B468" s="6" t="n"/>
      <c r="C468" s="2">
        <f>IF(A468="","",SUMIFS('Input Transaksi'!$E$5:$E$5000,'Input Transaksi'!$D$5:$D$5000,A468))</f>
        <v/>
      </c>
      <c r="D468" s="2">
        <f>IF(OR(A468="",B468=""),"",B468-C468)</f>
        <v/>
      </c>
    </row>
    <row r="469">
      <c r="A469" s="5" t="n"/>
      <c r="B469" s="6" t="n"/>
      <c r="C469" s="2">
        <f>IF(A469="","",SUMIFS('Input Transaksi'!$E$5:$E$5000,'Input Transaksi'!$D$5:$D$5000,A469))</f>
        <v/>
      </c>
      <c r="D469" s="2">
        <f>IF(OR(A469="",B469=""),"",B469-C469)</f>
        <v/>
      </c>
    </row>
    <row r="470">
      <c r="A470" s="5" t="n"/>
      <c r="B470" s="6" t="n"/>
      <c r="C470" s="2">
        <f>IF(A470="","",SUMIFS('Input Transaksi'!$E$5:$E$5000,'Input Transaksi'!$D$5:$D$5000,A470))</f>
        <v/>
      </c>
      <c r="D470" s="2">
        <f>IF(OR(A470="",B470=""),"",B470-C470)</f>
        <v/>
      </c>
    </row>
    <row r="471">
      <c r="A471" s="5" t="n"/>
      <c r="B471" s="6" t="n"/>
      <c r="C471" s="2">
        <f>IF(A471="","",SUMIFS('Input Transaksi'!$E$5:$E$5000,'Input Transaksi'!$D$5:$D$5000,A471))</f>
        <v/>
      </c>
      <c r="D471" s="2">
        <f>IF(OR(A471="",B471=""),"",B471-C471)</f>
        <v/>
      </c>
    </row>
    <row r="472">
      <c r="A472" s="5" t="n"/>
      <c r="B472" s="6" t="n"/>
      <c r="C472" s="2">
        <f>IF(A472="","",SUMIFS('Input Transaksi'!$E$5:$E$5000,'Input Transaksi'!$D$5:$D$5000,A472))</f>
        <v/>
      </c>
      <c r="D472" s="2">
        <f>IF(OR(A472="",B472=""),"",B472-C472)</f>
        <v/>
      </c>
    </row>
    <row r="473">
      <c r="A473" s="5" t="n"/>
      <c r="B473" s="6" t="n"/>
      <c r="C473" s="2">
        <f>IF(A473="","",SUMIFS('Input Transaksi'!$E$5:$E$5000,'Input Transaksi'!$D$5:$D$5000,A473))</f>
        <v/>
      </c>
      <c r="D473" s="2">
        <f>IF(OR(A473="",B473=""),"",B473-C473)</f>
        <v/>
      </c>
    </row>
    <row r="474">
      <c r="A474" s="5" t="n"/>
      <c r="B474" s="6" t="n"/>
      <c r="C474" s="2">
        <f>IF(A474="","",SUMIFS('Input Transaksi'!$E$5:$E$5000,'Input Transaksi'!$D$5:$D$5000,A474))</f>
        <v/>
      </c>
      <c r="D474" s="2">
        <f>IF(OR(A474="",B474=""),"",B474-C474)</f>
        <v/>
      </c>
    </row>
    <row r="475">
      <c r="A475" s="5" t="n"/>
      <c r="B475" s="6" t="n"/>
      <c r="C475" s="2">
        <f>IF(A475="","",SUMIFS('Input Transaksi'!$E$5:$E$5000,'Input Transaksi'!$D$5:$D$5000,A475))</f>
        <v/>
      </c>
      <c r="D475" s="2">
        <f>IF(OR(A475="",B475=""),"",B475-C475)</f>
        <v/>
      </c>
    </row>
    <row r="476">
      <c r="A476" s="5" t="n"/>
      <c r="B476" s="6" t="n"/>
      <c r="C476" s="2">
        <f>IF(A476="","",SUMIFS('Input Transaksi'!$E$5:$E$5000,'Input Transaksi'!$D$5:$D$5000,A476))</f>
        <v/>
      </c>
      <c r="D476" s="2">
        <f>IF(OR(A476="",B476=""),"",B476-C476)</f>
        <v/>
      </c>
    </row>
    <row r="477">
      <c r="A477" s="5" t="n"/>
      <c r="B477" s="6" t="n"/>
      <c r="C477" s="2">
        <f>IF(A477="","",SUMIFS('Input Transaksi'!$E$5:$E$5000,'Input Transaksi'!$D$5:$D$5000,A477))</f>
        <v/>
      </c>
      <c r="D477" s="2">
        <f>IF(OR(A477="",B477=""),"",B477-C477)</f>
        <v/>
      </c>
    </row>
    <row r="478">
      <c r="A478" s="5" t="n"/>
      <c r="B478" s="6" t="n"/>
      <c r="C478" s="2">
        <f>IF(A478="","",SUMIFS('Input Transaksi'!$E$5:$E$5000,'Input Transaksi'!$D$5:$D$5000,A478))</f>
        <v/>
      </c>
      <c r="D478" s="2">
        <f>IF(OR(A478="",B478=""),"",B478-C478)</f>
        <v/>
      </c>
    </row>
    <row r="479">
      <c r="A479" s="5" t="n"/>
      <c r="B479" s="6" t="n"/>
      <c r="C479" s="2">
        <f>IF(A479="","",SUMIFS('Input Transaksi'!$E$5:$E$5000,'Input Transaksi'!$D$5:$D$5000,A479))</f>
        <v/>
      </c>
      <c r="D479" s="2">
        <f>IF(OR(A479="",B479=""),"",B479-C479)</f>
        <v/>
      </c>
    </row>
    <row r="480">
      <c r="A480" s="5" t="n"/>
      <c r="B480" s="6" t="n"/>
      <c r="C480" s="2">
        <f>IF(A480="","",SUMIFS('Input Transaksi'!$E$5:$E$5000,'Input Transaksi'!$D$5:$D$5000,A480))</f>
        <v/>
      </c>
      <c r="D480" s="2">
        <f>IF(OR(A480="",B480=""),"",B480-C480)</f>
        <v/>
      </c>
    </row>
    <row r="481">
      <c r="A481" s="5" t="n"/>
      <c r="B481" s="6" t="n"/>
      <c r="C481" s="2">
        <f>IF(A481="","",SUMIFS('Input Transaksi'!$E$5:$E$5000,'Input Transaksi'!$D$5:$D$5000,A481))</f>
        <v/>
      </c>
      <c r="D481" s="2">
        <f>IF(OR(A481="",B481=""),"",B481-C481)</f>
        <v/>
      </c>
    </row>
    <row r="482">
      <c r="A482" s="5" t="n"/>
      <c r="B482" s="6" t="n"/>
      <c r="C482" s="2">
        <f>IF(A482="","",SUMIFS('Input Transaksi'!$E$5:$E$5000,'Input Transaksi'!$D$5:$D$5000,A482))</f>
        <v/>
      </c>
      <c r="D482" s="2">
        <f>IF(OR(A482="",B482=""),"",B482-C482)</f>
        <v/>
      </c>
    </row>
    <row r="483">
      <c r="A483" s="5" t="n"/>
      <c r="B483" s="6" t="n"/>
      <c r="C483" s="2">
        <f>IF(A483="","",SUMIFS('Input Transaksi'!$E$5:$E$5000,'Input Transaksi'!$D$5:$D$5000,A483))</f>
        <v/>
      </c>
      <c r="D483" s="2">
        <f>IF(OR(A483="",B483=""),"",B483-C483)</f>
        <v/>
      </c>
    </row>
    <row r="484">
      <c r="A484" s="5" t="n"/>
      <c r="B484" s="6" t="n"/>
      <c r="C484" s="2">
        <f>IF(A484="","",SUMIFS('Input Transaksi'!$E$5:$E$5000,'Input Transaksi'!$D$5:$D$5000,A484))</f>
        <v/>
      </c>
      <c r="D484" s="2">
        <f>IF(OR(A484="",B484=""),"",B484-C484)</f>
        <v/>
      </c>
    </row>
    <row r="485">
      <c r="A485" s="5" t="n"/>
      <c r="B485" s="6" t="n"/>
      <c r="C485" s="2">
        <f>IF(A485="","",SUMIFS('Input Transaksi'!$E$5:$E$5000,'Input Transaksi'!$D$5:$D$5000,A485))</f>
        <v/>
      </c>
      <c r="D485" s="2">
        <f>IF(OR(A485="",B485=""),"",B485-C485)</f>
        <v/>
      </c>
    </row>
    <row r="486">
      <c r="A486" s="5" t="n"/>
      <c r="B486" s="6" t="n"/>
      <c r="C486" s="2">
        <f>IF(A486="","",SUMIFS('Input Transaksi'!$E$5:$E$5000,'Input Transaksi'!$D$5:$D$5000,A486))</f>
        <v/>
      </c>
      <c r="D486" s="2">
        <f>IF(OR(A486="",B486=""),"",B486-C486)</f>
        <v/>
      </c>
    </row>
    <row r="487">
      <c r="A487" s="5" t="n"/>
      <c r="B487" s="6" t="n"/>
      <c r="C487" s="2">
        <f>IF(A487="","",SUMIFS('Input Transaksi'!$E$5:$E$5000,'Input Transaksi'!$D$5:$D$5000,A487))</f>
        <v/>
      </c>
      <c r="D487" s="2">
        <f>IF(OR(A487="",B487=""),"",B487-C487)</f>
        <v/>
      </c>
    </row>
    <row r="488">
      <c r="A488" s="5" t="n"/>
      <c r="B488" s="6" t="n"/>
      <c r="C488" s="2">
        <f>IF(A488="","",SUMIFS('Input Transaksi'!$E$5:$E$5000,'Input Transaksi'!$D$5:$D$5000,A488))</f>
        <v/>
      </c>
      <c r="D488" s="2">
        <f>IF(OR(A488="",B488=""),"",B488-C488)</f>
        <v/>
      </c>
    </row>
    <row r="489">
      <c r="A489" s="5" t="n"/>
      <c r="B489" s="6" t="n"/>
      <c r="C489" s="2">
        <f>IF(A489="","",SUMIFS('Input Transaksi'!$E$5:$E$5000,'Input Transaksi'!$D$5:$D$5000,A489))</f>
        <v/>
      </c>
      <c r="D489" s="2">
        <f>IF(OR(A489="",B489=""),"",B489-C489)</f>
        <v/>
      </c>
    </row>
    <row r="490">
      <c r="A490" s="5" t="n"/>
      <c r="B490" s="6" t="n"/>
      <c r="C490" s="2">
        <f>IF(A490="","",SUMIFS('Input Transaksi'!$E$5:$E$5000,'Input Transaksi'!$D$5:$D$5000,A490))</f>
        <v/>
      </c>
      <c r="D490" s="2">
        <f>IF(OR(A490="",B490=""),"",B490-C490)</f>
        <v/>
      </c>
    </row>
    <row r="491">
      <c r="A491" s="5" t="n"/>
      <c r="B491" s="6" t="n"/>
      <c r="C491" s="2">
        <f>IF(A491="","",SUMIFS('Input Transaksi'!$E$5:$E$5000,'Input Transaksi'!$D$5:$D$5000,A491))</f>
        <v/>
      </c>
      <c r="D491" s="2">
        <f>IF(OR(A491="",B491=""),"",B491-C491)</f>
        <v/>
      </c>
    </row>
    <row r="492">
      <c r="A492" s="5" t="n"/>
      <c r="B492" s="6" t="n"/>
      <c r="C492" s="2">
        <f>IF(A492="","",SUMIFS('Input Transaksi'!$E$5:$E$5000,'Input Transaksi'!$D$5:$D$5000,A492))</f>
        <v/>
      </c>
      <c r="D492" s="2">
        <f>IF(OR(A492="",B492=""),"",B492-C492)</f>
        <v/>
      </c>
    </row>
    <row r="493">
      <c r="A493" s="5" t="n"/>
      <c r="B493" s="6" t="n"/>
      <c r="C493" s="2">
        <f>IF(A493="","",SUMIFS('Input Transaksi'!$E$5:$E$5000,'Input Transaksi'!$D$5:$D$5000,A493))</f>
        <v/>
      </c>
      <c r="D493" s="2">
        <f>IF(OR(A493="",B493=""),"",B493-C493)</f>
        <v/>
      </c>
    </row>
    <row r="494">
      <c r="A494" s="5" t="n"/>
      <c r="B494" s="6" t="n"/>
      <c r="C494" s="2">
        <f>IF(A494="","",SUMIFS('Input Transaksi'!$E$5:$E$5000,'Input Transaksi'!$D$5:$D$5000,A494))</f>
        <v/>
      </c>
      <c r="D494" s="2">
        <f>IF(OR(A494="",B494=""),"",B494-C494)</f>
        <v/>
      </c>
    </row>
    <row r="495">
      <c r="A495" s="5" t="n"/>
      <c r="B495" s="6" t="n"/>
      <c r="C495" s="2">
        <f>IF(A495="","",SUMIFS('Input Transaksi'!$E$5:$E$5000,'Input Transaksi'!$D$5:$D$5000,A495))</f>
        <v/>
      </c>
      <c r="D495" s="2">
        <f>IF(OR(A495="",B495=""),"",B495-C495)</f>
        <v/>
      </c>
    </row>
    <row r="496">
      <c r="A496" s="5" t="n"/>
      <c r="B496" s="6" t="n"/>
      <c r="C496" s="2">
        <f>IF(A496="","",SUMIFS('Input Transaksi'!$E$5:$E$5000,'Input Transaksi'!$D$5:$D$5000,A496))</f>
        <v/>
      </c>
      <c r="D496" s="2">
        <f>IF(OR(A496="",B496=""),"",B496-C496)</f>
        <v/>
      </c>
    </row>
    <row r="497">
      <c r="A497" s="5" t="n"/>
      <c r="B497" s="6" t="n"/>
      <c r="C497" s="2">
        <f>IF(A497="","",SUMIFS('Input Transaksi'!$E$5:$E$5000,'Input Transaksi'!$D$5:$D$5000,A497))</f>
        <v/>
      </c>
      <c r="D497" s="2">
        <f>IF(OR(A497="",B497=""),"",B497-C497)</f>
        <v/>
      </c>
    </row>
    <row r="498">
      <c r="A498" s="5" t="n"/>
      <c r="B498" s="6" t="n"/>
      <c r="C498" s="2">
        <f>IF(A498="","",SUMIFS('Input Transaksi'!$E$5:$E$5000,'Input Transaksi'!$D$5:$D$5000,A498))</f>
        <v/>
      </c>
      <c r="D498" s="2">
        <f>IF(OR(A498="",B498=""),"",B498-C498)</f>
        <v/>
      </c>
    </row>
    <row r="499">
      <c r="A499" s="5" t="n"/>
      <c r="B499" s="6" t="n"/>
      <c r="C499" s="2">
        <f>IF(A499="","",SUMIFS('Input Transaksi'!$E$5:$E$5000,'Input Transaksi'!$D$5:$D$5000,A499))</f>
        <v/>
      </c>
      <c r="D499" s="2">
        <f>IF(OR(A499="",B499=""),"",B499-C499)</f>
        <v/>
      </c>
    </row>
    <row r="500">
      <c r="A500" s="5" t="n"/>
      <c r="B500" s="6" t="n"/>
      <c r="C500" s="2">
        <f>IF(A500="","",SUMIFS('Input Transaksi'!$E$5:$E$5000,'Input Transaksi'!$D$5:$D$5000,A500))</f>
        <v/>
      </c>
      <c r="D500" s="2">
        <f>IF(OR(A500="",B500=""),"",B500-C500)</f>
        <v/>
      </c>
    </row>
    <row r="501">
      <c r="A501" s="5" t="n"/>
      <c r="B501" s="6" t="n"/>
      <c r="C501" s="2">
        <f>IF(A501="","",SUMIFS('Input Transaksi'!$E$5:$E$5000,'Input Transaksi'!$D$5:$D$5000,A501))</f>
        <v/>
      </c>
      <c r="D501" s="2">
        <f>IF(OR(A501="",B501=""),"",B501-C501)</f>
        <v/>
      </c>
    </row>
    <row r="502">
      <c r="A502" s="5" t="n"/>
      <c r="B502" s="6" t="n"/>
      <c r="C502" s="2">
        <f>IF(A502="","",SUMIFS('Input Transaksi'!$E$5:$E$5000,'Input Transaksi'!$D$5:$D$5000,A502))</f>
        <v/>
      </c>
      <c r="D502" s="2">
        <f>IF(OR(A502="",B502=""),"",B502-C502)</f>
        <v/>
      </c>
    </row>
    <row r="503">
      <c r="A503" s="5" t="n"/>
      <c r="B503" s="6" t="n"/>
      <c r="C503" s="2">
        <f>IF(A503="","",SUMIFS('Input Transaksi'!$E$5:$E$5000,'Input Transaksi'!$D$5:$D$5000,A503))</f>
        <v/>
      </c>
      <c r="D503" s="2">
        <f>IF(OR(A503="",B503=""),"",B503-C503)</f>
        <v/>
      </c>
    </row>
    <row r="504">
      <c r="A504" s="5" t="n"/>
      <c r="B504" s="6" t="n"/>
      <c r="C504" s="2">
        <f>IF(A504="","",SUMIFS('Input Transaksi'!$E$5:$E$5000,'Input Transaksi'!$D$5:$D$5000,A504))</f>
        <v/>
      </c>
      <c r="D504" s="2">
        <f>IF(OR(A504="",B504=""),"",B504-C504)</f>
        <v/>
      </c>
    </row>
    <row r="505">
      <c r="A505" s="5" t="n"/>
      <c r="B505" s="6" t="n"/>
      <c r="C505" s="2">
        <f>IF(A505="","",SUMIFS('Input Transaksi'!$E$5:$E$5000,'Input Transaksi'!$D$5:$D$5000,A505))</f>
        <v/>
      </c>
      <c r="D505" s="2">
        <f>IF(OR(A505="",B505=""),"",B505-C505)</f>
        <v/>
      </c>
    </row>
    <row r="506">
      <c r="A506" s="5" t="n"/>
      <c r="B506" s="6" t="n"/>
      <c r="C506" s="2">
        <f>IF(A506="","",SUMIFS('Input Transaksi'!$E$5:$E$5000,'Input Transaksi'!$D$5:$D$5000,A506))</f>
        <v/>
      </c>
      <c r="D506" s="2">
        <f>IF(OR(A506="",B506=""),"",B506-C506)</f>
        <v/>
      </c>
    </row>
    <row r="507">
      <c r="A507" s="5" t="n"/>
      <c r="B507" s="6" t="n"/>
      <c r="C507" s="2">
        <f>IF(A507="","",SUMIFS('Input Transaksi'!$E$5:$E$5000,'Input Transaksi'!$D$5:$D$5000,A507))</f>
        <v/>
      </c>
      <c r="D507" s="2">
        <f>IF(OR(A507="",B507=""),"",B507-C507)</f>
        <v/>
      </c>
    </row>
    <row r="508">
      <c r="A508" s="5" t="n"/>
      <c r="B508" s="6" t="n"/>
      <c r="C508" s="2">
        <f>IF(A508="","",SUMIFS('Input Transaksi'!$E$5:$E$5000,'Input Transaksi'!$D$5:$D$5000,A508))</f>
        <v/>
      </c>
      <c r="D508" s="2">
        <f>IF(OR(A508="",B508=""),"",B508-C508)</f>
        <v/>
      </c>
    </row>
    <row r="509">
      <c r="A509" s="5" t="n"/>
      <c r="B509" s="6" t="n"/>
      <c r="C509" s="2">
        <f>IF(A509="","",SUMIFS('Input Transaksi'!$E$5:$E$5000,'Input Transaksi'!$D$5:$D$5000,A509))</f>
        <v/>
      </c>
      <c r="D509" s="2">
        <f>IF(OR(A509="",B509=""),"",B509-C509)</f>
        <v/>
      </c>
    </row>
    <row r="510">
      <c r="A510" s="5" t="n"/>
      <c r="B510" s="6" t="n"/>
      <c r="C510" s="2">
        <f>IF(A510="","",SUMIFS('Input Transaksi'!$E$5:$E$5000,'Input Transaksi'!$D$5:$D$5000,A510))</f>
        <v/>
      </c>
      <c r="D510" s="2">
        <f>IF(OR(A510="",B510=""),"",B510-C510)</f>
        <v/>
      </c>
    </row>
    <row r="511">
      <c r="A511" s="5" t="n"/>
      <c r="B511" s="6" t="n"/>
      <c r="C511" s="2">
        <f>IF(A511="","",SUMIFS('Input Transaksi'!$E$5:$E$5000,'Input Transaksi'!$D$5:$D$5000,A511))</f>
        <v/>
      </c>
      <c r="D511" s="2">
        <f>IF(OR(A511="",B511=""),"",B511-C511)</f>
        <v/>
      </c>
    </row>
    <row r="512">
      <c r="A512" s="5" t="n"/>
      <c r="B512" s="6" t="n"/>
      <c r="C512" s="2">
        <f>IF(A512="","",SUMIFS('Input Transaksi'!$E$5:$E$5000,'Input Transaksi'!$D$5:$D$5000,A512))</f>
        <v/>
      </c>
      <c r="D512" s="2">
        <f>IF(OR(A512="",B512=""),"",B512-C512)</f>
        <v/>
      </c>
    </row>
    <row r="513">
      <c r="A513" s="5" t="n"/>
      <c r="B513" s="6" t="n"/>
      <c r="C513" s="2">
        <f>IF(A513="","",SUMIFS('Input Transaksi'!$E$5:$E$5000,'Input Transaksi'!$D$5:$D$5000,A513))</f>
        <v/>
      </c>
      <c r="D513" s="2">
        <f>IF(OR(A513="",B513=""),"",B513-C513)</f>
        <v/>
      </c>
    </row>
    <row r="514">
      <c r="A514" s="5" t="n"/>
      <c r="B514" s="6" t="n"/>
      <c r="C514" s="2">
        <f>IF(A514="","",SUMIFS('Input Transaksi'!$E$5:$E$5000,'Input Transaksi'!$D$5:$D$5000,A514))</f>
        <v/>
      </c>
      <c r="D514" s="2">
        <f>IF(OR(A514="",B514=""),"",B514-C514)</f>
        <v/>
      </c>
    </row>
    <row r="515">
      <c r="A515" s="5" t="n"/>
      <c r="B515" s="6" t="n"/>
      <c r="C515" s="2">
        <f>IF(A515="","",SUMIFS('Input Transaksi'!$E$5:$E$5000,'Input Transaksi'!$D$5:$D$5000,A515))</f>
        <v/>
      </c>
      <c r="D515" s="2">
        <f>IF(OR(A515="",B515=""),"",B515-C515)</f>
        <v/>
      </c>
    </row>
    <row r="516">
      <c r="A516" s="5" t="n"/>
      <c r="B516" s="6" t="n"/>
      <c r="C516" s="2">
        <f>IF(A516="","",SUMIFS('Input Transaksi'!$E$5:$E$5000,'Input Transaksi'!$D$5:$D$5000,A516))</f>
        <v/>
      </c>
      <c r="D516" s="2">
        <f>IF(OR(A516="",B516=""),"",B516-C516)</f>
        <v/>
      </c>
    </row>
    <row r="517">
      <c r="A517" s="5" t="n"/>
      <c r="B517" s="6" t="n"/>
      <c r="C517" s="2">
        <f>IF(A517="","",SUMIFS('Input Transaksi'!$E$5:$E$5000,'Input Transaksi'!$D$5:$D$5000,A517))</f>
        <v/>
      </c>
      <c r="D517" s="2">
        <f>IF(OR(A517="",B517=""),"",B517-C517)</f>
        <v/>
      </c>
    </row>
    <row r="518">
      <c r="A518" s="5" t="n"/>
      <c r="B518" s="6" t="n"/>
      <c r="C518" s="2">
        <f>IF(A518="","",SUMIFS('Input Transaksi'!$E$5:$E$5000,'Input Transaksi'!$D$5:$D$5000,A518))</f>
        <v/>
      </c>
      <c r="D518" s="2">
        <f>IF(OR(A518="",B518=""),"",B518-C518)</f>
        <v/>
      </c>
    </row>
    <row r="519">
      <c r="A519" s="5" t="n"/>
      <c r="B519" s="6" t="n"/>
      <c r="C519" s="2">
        <f>IF(A519="","",SUMIFS('Input Transaksi'!$E$5:$E$5000,'Input Transaksi'!$D$5:$D$5000,A519))</f>
        <v/>
      </c>
      <c r="D519" s="2">
        <f>IF(OR(A519="",B519=""),"",B519-C519)</f>
        <v/>
      </c>
    </row>
    <row r="520">
      <c r="A520" s="5" t="n"/>
      <c r="B520" s="6" t="n"/>
      <c r="C520" s="2">
        <f>IF(A520="","",SUMIFS('Input Transaksi'!$E$5:$E$5000,'Input Transaksi'!$D$5:$D$5000,A520))</f>
        <v/>
      </c>
      <c r="D520" s="2">
        <f>IF(OR(A520="",B520=""),"",B520-C520)</f>
        <v/>
      </c>
    </row>
    <row r="521">
      <c r="A521" s="5" t="n"/>
      <c r="B521" s="6" t="n"/>
      <c r="C521" s="2">
        <f>IF(A521="","",SUMIFS('Input Transaksi'!$E$5:$E$5000,'Input Transaksi'!$D$5:$D$5000,A521))</f>
        <v/>
      </c>
      <c r="D521" s="2">
        <f>IF(OR(A521="",B521=""),"",B521-C521)</f>
        <v/>
      </c>
    </row>
    <row r="522">
      <c r="A522" s="5" t="n"/>
      <c r="B522" s="6" t="n"/>
      <c r="C522" s="2">
        <f>IF(A522="","",SUMIFS('Input Transaksi'!$E$5:$E$5000,'Input Transaksi'!$D$5:$D$5000,A522))</f>
        <v/>
      </c>
      <c r="D522" s="2">
        <f>IF(OR(A522="",B522=""),"",B522-C522)</f>
        <v/>
      </c>
    </row>
    <row r="523">
      <c r="A523" s="5" t="n"/>
      <c r="B523" s="6" t="n"/>
      <c r="C523" s="2">
        <f>IF(A523="","",SUMIFS('Input Transaksi'!$E$5:$E$5000,'Input Transaksi'!$D$5:$D$5000,A523))</f>
        <v/>
      </c>
      <c r="D523" s="2">
        <f>IF(OR(A523="",B523=""),"",B523-C523)</f>
        <v/>
      </c>
    </row>
    <row r="524">
      <c r="A524" s="5" t="n"/>
      <c r="B524" s="6" t="n"/>
      <c r="C524" s="2">
        <f>IF(A524="","",SUMIFS('Input Transaksi'!$E$5:$E$5000,'Input Transaksi'!$D$5:$D$5000,A524))</f>
        <v/>
      </c>
      <c r="D524" s="2">
        <f>IF(OR(A524="",B524=""),"",B524-C524)</f>
        <v/>
      </c>
    </row>
    <row r="525">
      <c r="A525" s="5" t="n"/>
      <c r="B525" s="6" t="n"/>
      <c r="C525" s="2">
        <f>IF(A525="","",SUMIFS('Input Transaksi'!$E$5:$E$5000,'Input Transaksi'!$D$5:$D$5000,A525))</f>
        <v/>
      </c>
      <c r="D525" s="2">
        <f>IF(OR(A525="",B525=""),"",B525-C525)</f>
        <v/>
      </c>
    </row>
    <row r="526">
      <c r="A526" s="5" t="n"/>
      <c r="B526" s="6" t="n"/>
      <c r="C526" s="2">
        <f>IF(A526="","",SUMIFS('Input Transaksi'!$E$5:$E$5000,'Input Transaksi'!$D$5:$D$5000,A526))</f>
        <v/>
      </c>
      <c r="D526" s="2">
        <f>IF(OR(A526="",B526=""),"",B526-C526)</f>
        <v/>
      </c>
    </row>
    <row r="527">
      <c r="A527" s="5" t="n"/>
      <c r="B527" s="6" t="n"/>
      <c r="C527" s="2">
        <f>IF(A527="","",SUMIFS('Input Transaksi'!$E$5:$E$5000,'Input Transaksi'!$D$5:$D$5000,A527))</f>
        <v/>
      </c>
      <c r="D527" s="2">
        <f>IF(OR(A527="",B527=""),"",B527-C527)</f>
        <v/>
      </c>
    </row>
    <row r="528">
      <c r="A528" s="5" t="n"/>
      <c r="B528" s="6" t="n"/>
      <c r="C528" s="2">
        <f>IF(A528="","",SUMIFS('Input Transaksi'!$E$5:$E$5000,'Input Transaksi'!$D$5:$D$5000,A528))</f>
        <v/>
      </c>
      <c r="D528" s="2">
        <f>IF(OR(A528="",B528=""),"",B528-C528)</f>
        <v/>
      </c>
    </row>
    <row r="529">
      <c r="A529" s="5" t="n"/>
      <c r="B529" s="6" t="n"/>
      <c r="C529" s="2">
        <f>IF(A529="","",SUMIFS('Input Transaksi'!$E$5:$E$5000,'Input Transaksi'!$D$5:$D$5000,A529))</f>
        <v/>
      </c>
      <c r="D529" s="2">
        <f>IF(OR(A529="",B529=""),"",B529-C529)</f>
        <v/>
      </c>
    </row>
    <row r="530">
      <c r="A530" s="5" t="n"/>
      <c r="B530" s="6" t="n"/>
      <c r="C530" s="2">
        <f>IF(A530="","",SUMIFS('Input Transaksi'!$E$5:$E$5000,'Input Transaksi'!$D$5:$D$5000,A530))</f>
        <v/>
      </c>
      <c r="D530" s="2">
        <f>IF(OR(A530="",B530=""),"",B530-C530)</f>
        <v/>
      </c>
    </row>
    <row r="531">
      <c r="A531" s="5" t="n"/>
      <c r="B531" s="6" t="n"/>
      <c r="C531" s="2">
        <f>IF(A531="","",SUMIFS('Input Transaksi'!$E$5:$E$5000,'Input Transaksi'!$D$5:$D$5000,A531))</f>
        <v/>
      </c>
      <c r="D531" s="2">
        <f>IF(OR(A531="",B531=""),"",B531-C531)</f>
        <v/>
      </c>
    </row>
    <row r="532">
      <c r="A532" s="5" t="n"/>
      <c r="B532" s="6" t="n"/>
      <c r="C532" s="2">
        <f>IF(A532="","",SUMIFS('Input Transaksi'!$E$5:$E$5000,'Input Transaksi'!$D$5:$D$5000,A532))</f>
        <v/>
      </c>
      <c r="D532" s="2">
        <f>IF(OR(A532="",B532=""),"",B532-C532)</f>
        <v/>
      </c>
    </row>
    <row r="533">
      <c r="A533" s="5" t="n"/>
      <c r="B533" s="6" t="n"/>
      <c r="C533" s="2">
        <f>IF(A533="","",SUMIFS('Input Transaksi'!$E$5:$E$5000,'Input Transaksi'!$D$5:$D$5000,A533))</f>
        <v/>
      </c>
      <c r="D533" s="2">
        <f>IF(OR(A533="",B533=""),"",B533-C533)</f>
        <v/>
      </c>
    </row>
    <row r="534">
      <c r="A534" s="5" t="n"/>
      <c r="B534" s="6" t="n"/>
      <c r="C534" s="2">
        <f>IF(A534="","",SUMIFS('Input Transaksi'!$E$5:$E$5000,'Input Transaksi'!$D$5:$D$5000,A534))</f>
        <v/>
      </c>
      <c r="D534" s="2">
        <f>IF(OR(A534="",B534=""),"",B534-C534)</f>
        <v/>
      </c>
    </row>
    <row r="535">
      <c r="A535" s="5" t="n"/>
      <c r="B535" s="6" t="n"/>
      <c r="C535" s="2">
        <f>IF(A535="","",SUMIFS('Input Transaksi'!$E$5:$E$5000,'Input Transaksi'!$D$5:$D$5000,A535))</f>
        <v/>
      </c>
      <c r="D535" s="2">
        <f>IF(OR(A535="",B535=""),"",B535-C535)</f>
        <v/>
      </c>
    </row>
    <row r="536">
      <c r="A536" s="5" t="n"/>
      <c r="B536" s="6" t="n"/>
      <c r="C536" s="2">
        <f>IF(A536="","",SUMIFS('Input Transaksi'!$E$5:$E$5000,'Input Transaksi'!$D$5:$D$5000,A536))</f>
        <v/>
      </c>
      <c r="D536" s="2">
        <f>IF(OR(A536="",B536=""),"",B536-C536)</f>
        <v/>
      </c>
    </row>
    <row r="537">
      <c r="A537" s="5" t="n"/>
      <c r="B537" s="6" t="n"/>
      <c r="C537" s="2">
        <f>IF(A537="","",SUMIFS('Input Transaksi'!$E$5:$E$5000,'Input Transaksi'!$D$5:$D$5000,A537))</f>
        <v/>
      </c>
      <c r="D537" s="2">
        <f>IF(OR(A537="",B537=""),"",B537-C537)</f>
        <v/>
      </c>
    </row>
    <row r="538">
      <c r="A538" s="5" t="n"/>
      <c r="B538" s="6" t="n"/>
      <c r="C538" s="2">
        <f>IF(A538="","",SUMIFS('Input Transaksi'!$E$5:$E$5000,'Input Transaksi'!$D$5:$D$5000,A538))</f>
        <v/>
      </c>
      <c r="D538" s="2">
        <f>IF(OR(A538="",B538=""),"",B538-C538)</f>
        <v/>
      </c>
    </row>
    <row r="539">
      <c r="A539" s="5" t="n"/>
      <c r="B539" s="6" t="n"/>
      <c r="C539" s="2">
        <f>IF(A539="","",SUMIFS('Input Transaksi'!$E$5:$E$5000,'Input Transaksi'!$D$5:$D$5000,A539))</f>
        <v/>
      </c>
      <c r="D539" s="2">
        <f>IF(OR(A539="",B539=""),"",B539-C539)</f>
        <v/>
      </c>
    </row>
    <row r="540">
      <c r="A540" s="5" t="n"/>
      <c r="B540" s="6" t="n"/>
      <c r="C540" s="2">
        <f>IF(A540="","",SUMIFS('Input Transaksi'!$E$5:$E$5000,'Input Transaksi'!$D$5:$D$5000,A540))</f>
        <v/>
      </c>
      <c r="D540" s="2">
        <f>IF(OR(A540="",B540=""),"",B540-C540)</f>
        <v/>
      </c>
    </row>
    <row r="541">
      <c r="A541" s="5" t="n"/>
      <c r="B541" s="6" t="n"/>
      <c r="C541" s="2">
        <f>IF(A541="","",SUMIFS('Input Transaksi'!$E$5:$E$5000,'Input Transaksi'!$D$5:$D$5000,A541))</f>
        <v/>
      </c>
      <c r="D541" s="2">
        <f>IF(OR(A541="",B541=""),"",B541-C541)</f>
        <v/>
      </c>
    </row>
    <row r="542">
      <c r="A542" s="5" t="n"/>
      <c r="B542" s="6" t="n"/>
      <c r="C542" s="2">
        <f>IF(A542="","",SUMIFS('Input Transaksi'!$E$5:$E$5000,'Input Transaksi'!$D$5:$D$5000,A542))</f>
        <v/>
      </c>
      <c r="D542" s="2">
        <f>IF(OR(A542="",B542=""),"",B542-C542)</f>
        <v/>
      </c>
    </row>
    <row r="543">
      <c r="A543" s="5" t="n"/>
      <c r="B543" s="6" t="n"/>
      <c r="C543" s="2">
        <f>IF(A543="","",SUMIFS('Input Transaksi'!$E$5:$E$5000,'Input Transaksi'!$D$5:$D$5000,A543))</f>
        <v/>
      </c>
      <c r="D543" s="2">
        <f>IF(OR(A543="",B543=""),"",B543-C543)</f>
        <v/>
      </c>
    </row>
    <row r="544">
      <c r="A544" s="5" t="n"/>
      <c r="B544" s="6" t="n"/>
      <c r="C544" s="2">
        <f>IF(A544="","",SUMIFS('Input Transaksi'!$E$5:$E$5000,'Input Transaksi'!$D$5:$D$5000,A544))</f>
        <v/>
      </c>
      <c r="D544" s="2">
        <f>IF(OR(A544="",B544=""),"",B544-C544)</f>
        <v/>
      </c>
    </row>
    <row r="545">
      <c r="A545" s="5" t="n"/>
      <c r="B545" s="6" t="n"/>
      <c r="C545" s="2">
        <f>IF(A545="","",SUMIFS('Input Transaksi'!$E$5:$E$5000,'Input Transaksi'!$D$5:$D$5000,A545))</f>
        <v/>
      </c>
      <c r="D545" s="2">
        <f>IF(OR(A545="",B545=""),"",B545-C545)</f>
        <v/>
      </c>
    </row>
    <row r="546">
      <c r="A546" s="5" t="n"/>
      <c r="B546" s="6" t="n"/>
      <c r="C546" s="2">
        <f>IF(A546="","",SUMIFS('Input Transaksi'!$E$5:$E$5000,'Input Transaksi'!$D$5:$D$5000,A546))</f>
        <v/>
      </c>
      <c r="D546" s="2">
        <f>IF(OR(A546="",B546=""),"",B546-C546)</f>
        <v/>
      </c>
    </row>
    <row r="547">
      <c r="A547" s="5" t="n"/>
      <c r="B547" s="6" t="n"/>
      <c r="C547" s="2">
        <f>IF(A547="","",SUMIFS('Input Transaksi'!$E$5:$E$5000,'Input Transaksi'!$D$5:$D$5000,A547))</f>
        <v/>
      </c>
      <c r="D547" s="2">
        <f>IF(OR(A547="",B547=""),"",B547-C547)</f>
        <v/>
      </c>
    </row>
    <row r="548">
      <c r="A548" s="5" t="n"/>
      <c r="B548" s="6" t="n"/>
      <c r="C548" s="2">
        <f>IF(A548="","",SUMIFS('Input Transaksi'!$E$5:$E$5000,'Input Transaksi'!$D$5:$D$5000,A548))</f>
        <v/>
      </c>
      <c r="D548" s="2">
        <f>IF(OR(A548="",B548=""),"",B548-C548)</f>
        <v/>
      </c>
    </row>
    <row r="549">
      <c r="A549" s="5" t="n"/>
      <c r="B549" s="6" t="n"/>
      <c r="C549" s="2">
        <f>IF(A549="","",SUMIFS('Input Transaksi'!$E$5:$E$5000,'Input Transaksi'!$D$5:$D$5000,A549))</f>
        <v/>
      </c>
      <c r="D549" s="2">
        <f>IF(OR(A549="",B549=""),"",B549-C549)</f>
        <v/>
      </c>
    </row>
    <row r="550">
      <c r="A550" s="5" t="n"/>
      <c r="B550" s="6" t="n"/>
      <c r="C550" s="2">
        <f>IF(A550="","",SUMIFS('Input Transaksi'!$E$5:$E$5000,'Input Transaksi'!$D$5:$D$5000,A550))</f>
        <v/>
      </c>
      <c r="D550" s="2">
        <f>IF(OR(A550="",B550=""),"",B550-C550)</f>
        <v/>
      </c>
    </row>
    <row r="551">
      <c r="A551" s="5" t="n"/>
      <c r="B551" s="6" t="n"/>
      <c r="C551" s="2">
        <f>IF(A551="","",SUMIFS('Input Transaksi'!$E$5:$E$5000,'Input Transaksi'!$D$5:$D$5000,A551))</f>
        <v/>
      </c>
      <c r="D551" s="2">
        <f>IF(OR(A551="",B551=""),"",B551-C551)</f>
        <v/>
      </c>
    </row>
    <row r="552">
      <c r="A552" s="5" t="n"/>
      <c r="B552" s="6" t="n"/>
      <c r="C552" s="2">
        <f>IF(A552="","",SUMIFS('Input Transaksi'!$E$5:$E$5000,'Input Transaksi'!$D$5:$D$5000,A552))</f>
        <v/>
      </c>
      <c r="D552" s="2">
        <f>IF(OR(A552="",B552=""),"",B552-C552)</f>
        <v/>
      </c>
    </row>
    <row r="553">
      <c r="A553" s="5" t="n"/>
      <c r="B553" s="6" t="n"/>
      <c r="C553" s="2">
        <f>IF(A553="","",SUMIFS('Input Transaksi'!$E$5:$E$5000,'Input Transaksi'!$D$5:$D$5000,A553))</f>
        <v/>
      </c>
      <c r="D553" s="2">
        <f>IF(OR(A553="",B553=""),"",B553-C553)</f>
        <v/>
      </c>
    </row>
    <row r="554">
      <c r="A554" s="5" t="n"/>
      <c r="B554" s="6" t="n"/>
      <c r="C554" s="2">
        <f>IF(A554="","",SUMIFS('Input Transaksi'!$E$5:$E$5000,'Input Transaksi'!$D$5:$D$5000,A554))</f>
        <v/>
      </c>
      <c r="D554" s="2">
        <f>IF(OR(A554="",B554=""),"",B554-C554)</f>
        <v/>
      </c>
    </row>
    <row r="555">
      <c r="A555" s="5" t="n"/>
      <c r="B555" s="6" t="n"/>
      <c r="C555" s="2">
        <f>IF(A555="","",SUMIFS('Input Transaksi'!$E$5:$E$5000,'Input Transaksi'!$D$5:$D$5000,A555))</f>
        <v/>
      </c>
      <c r="D555" s="2">
        <f>IF(OR(A555="",B555=""),"",B555-C555)</f>
        <v/>
      </c>
    </row>
    <row r="556">
      <c r="A556" s="5" t="n"/>
      <c r="B556" s="6" t="n"/>
      <c r="C556" s="2">
        <f>IF(A556="","",SUMIFS('Input Transaksi'!$E$5:$E$5000,'Input Transaksi'!$D$5:$D$5000,A556))</f>
        <v/>
      </c>
      <c r="D556" s="2">
        <f>IF(OR(A556="",B556=""),"",B556-C556)</f>
        <v/>
      </c>
    </row>
    <row r="557">
      <c r="A557" s="5" t="n"/>
      <c r="B557" s="6" t="n"/>
      <c r="C557" s="2">
        <f>IF(A557="","",SUMIFS('Input Transaksi'!$E$5:$E$5000,'Input Transaksi'!$D$5:$D$5000,A557))</f>
        <v/>
      </c>
      <c r="D557" s="2">
        <f>IF(OR(A557="",B557=""),"",B557-C557)</f>
        <v/>
      </c>
    </row>
    <row r="558">
      <c r="A558" s="5" t="n"/>
      <c r="B558" s="6" t="n"/>
      <c r="C558" s="2">
        <f>IF(A558="","",SUMIFS('Input Transaksi'!$E$5:$E$5000,'Input Transaksi'!$D$5:$D$5000,A558))</f>
        <v/>
      </c>
      <c r="D558" s="2">
        <f>IF(OR(A558="",B558=""),"",B558-C558)</f>
        <v/>
      </c>
    </row>
    <row r="559">
      <c r="A559" s="5" t="n"/>
      <c r="B559" s="6" t="n"/>
      <c r="C559" s="2">
        <f>IF(A559="","",SUMIFS('Input Transaksi'!$E$5:$E$5000,'Input Transaksi'!$D$5:$D$5000,A559))</f>
        <v/>
      </c>
      <c r="D559" s="2">
        <f>IF(OR(A559="",B559=""),"",B559-C559)</f>
        <v/>
      </c>
    </row>
    <row r="560">
      <c r="A560" s="5" t="n"/>
      <c r="B560" s="6" t="n"/>
      <c r="C560" s="2">
        <f>IF(A560="","",SUMIFS('Input Transaksi'!$E$5:$E$5000,'Input Transaksi'!$D$5:$D$5000,A560))</f>
        <v/>
      </c>
      <c r="D560" s="2">
        <f>IF(OR(A560="",B560=""),"",B560-C560)</f>
        <v/>
      </c>
    </row>
    <row r="561">
      <c r="A561" s="5" t="n"/>
      <c r="B561" s="6" t="n"/>
      <c r="C561" s="2">
        <f>IF(A561="","",SUMIFS('Input Transaksi'!$E$5:$E$5000,'Input Transaksi'!$D$5:$D$5000,A561))</f>
        <v/>
      </c>
      <c r="D561" s="2">
        <f>IF(OR(A561="",B561=""),"",B561-C561)</f>
        <v/>
      </c>
    </row>
    <row r="562">
      <c r="A562" s="5" t="n"/>
      <c r="B562" s="6" t="n"/>
      <c r="C562" s="2">
        <f>IF(A562="","",SUMIFS('Input Transaksi'!$E$5:$E$5000,'Input Transaksi'!$D$5:$D$5000,A562))</f>
        <v/>
      </c>
      <c r="D562" s="2">
        <f>IF(OR(A562="",B562=""),"",B562-C562)</f>
        <v/>
      </c>
    </row>
    <row r="563">
      <c r="A563" s="5" t="n"/>
      <c r="B563" s="6" t="n"/>
      <c r="C563" s="2">
        <f>IF(A563="","",SUMIFS('Input Transaksi'!$E$5:$E$5000,'Input Transaksi'!$D$5:$D$5000,A563))</f>
        <v/>
      </c>
      <c r="D563" s="2">
        <f>IF(OR(A563="",B563=""),"",B563-C563)</f>
        <v/>
      </c>
    </row>
    <row r="564">
      <c r="A564" s="5" t="n"/>
      <c r="B564" s="6" t="n"/>
      <c r="C564" s="2">
        <f>IF(A564="","",SUMIFS('Input Transaksi'!$E$5:$E$5000,'Input Transaksi'!$D$5:$D$5000,A564))</f>
        <v/>
      </c>
      <c r="D564" s="2">
        <f>IF(OR(A564="",B564=""),"",B564-C564)</f>
        <v/>
      </c>
    </row>
    <row r="565">
      <c r="A565" s="5" t="n"/>
      <c r="B565" s="6" t="n"/>
      <c r="C565" s="2">
        <f>IF(A565="","",SUMIFS('Input Transaksi'!$E$5:$E$5000,'Input Transaksi'!$D$5:$D$5000,A565))</f>
        <v/>
      </c>
      <c r="D565" s="2">
        <f>IF(OR(A565="",B565=""),"",B565-C565)</f>
        <v/>
      </c>
    </row>
    <row r="566">
      <c r="A566" s="5" t="n"/>
      <c r="B566" s="6" t="n"/>
      <c r="C566" s="2">
        <f>IF(A566="","",SUMIFS('Input Transaksi'!$E$5:$E$5000,'Input Transaksi'!$D$5:$D$5000,A566))</f>
        <v/>
      </c>
      <c r="D566" s="2">
        <f>IF(OR(A566="",B566=""),"",B566-C566)</f>
        <v/>
      </c>
    </row>
    <row r="567">
      <c r="A567" s="5" t="n"/>
      <c r="B567" s="6" t="n"/>
      <c r="C567" s="2">
        <f>IF(A567="","",SUMIFS('Input Transaksi'!$E$5:$E$5000,'Input Transaksi'!$D$5:$D$5000,A567))</f>
        <v/>
      </c>
      <c r="D567" s="2">
        <f>IF(OR(A567="",B567=""),"",B567-C567)</f>
        <v/>
      </c>
    </row>
    <row r="568">
      <c r="A568" s="5" t="n"/>
      <c r="B568" s="6" t="n"/>
      <c r="C568" s="2">
        <f>IF(A568="","",SUMIFS('Input Transaksi'!$E$5:$E$5000,'Input Transaksi'!$D$5:$D$5000,A568))</f>
        <v/>
      </c>
      <c r="D568" s="2">
        <f>IF(OR(A568="",B568=""),"",B568-C568)</f>
        <v/>
      </c>
    </row>
    <row r="569">
      <c r="A569" s="5" t="n"/>
      <c r="B569" s="6" t="n"/>
      <c r="C569" s="2">
        <f>IF(A569="","",SUMIFS('Input Transaksi'!$E$5:$E$5000,'Input Transaksi'!$D$5:$D$5000,A569))</f>
        <v/>
      </c>
      <c r="D569" s="2">
        <f>IF(OR(A569="",B569=""),"",B569-C569)</f>
        <v/>
      </c>
    </row>
    <row r="570">
      <c r="A570" s="5" t="n"/>
      <c r="B570" s="6" t="n"/>
      <c r="C570" s="2">
        <f>IF(A570="","",SUMIFS('Input Transaksi'!$E$5:$E$5000,'Input Transaksi'!$D$5:$D$5000,A570))</f>
        <v/>
      </c>
      <c r="D570" s="2">
        <f>IF(OR(A570="",B570=""),"",B570-C570)</f>
        <v/>
      </c>
    </row>
    <row r="571">
      <c r="A571" s="5" t="n"/>
      <c r="B571" s="6" t="n"/>
      <c r="C571" s="2">
        <f>IF(A571="","",SUMIFS('Input Transaksi'!$E$5:$E$5000,'Input Transaksi'!$D$5:$D$5000,A571))</f>
        <v/>
      </c>
      <c r="D571" s="2">
        <f>IF(OR(A571="",B571=""),"",B571-C571)</f>
        <v/>
      </c>
    </row>
    <row r="572">
      <c r="A572" s="5" t="n"/>
      <c r="B572" s="6" t="n"/>
      <c r="C572" s="2">
        <f>IF(A572="","",SUMIFS('Input Transaksi'!$E$5:$E$5000,'Input Transaksi'!$D$5:$D$5000,A572))</f>
        <v/>
      </c>
      <c r="D572" s="2">
        <f>IF(OR(A572="",B572=""),"",B572-C572)</f>
        <v/>
      </c>
    </row>
    <row r="573">
      <c r="A573" s="5" t="n"/>
      <c r="B573" s="6" t="n"/>
      <c r="C573" s="2">
        <f>IF(A573="","",SUMIFS('Input Transaksi'!$E$5:$E$5000,'Input Transaksi'!$D$5:$D$5000,A573))</f>
        <v/>
      </c>
      <c r="D573" s="2">
        <f>IF(OR(A573="",B573=""),"",B573-C573)</f>
        <v/>
      </c>
    </row>
    <row r="574">
      <c r="A574" s="5" t="n"/>
      <c r="B574" s="6" t="n"/>
      <c r="C574" s="2">
        <f>IF(A574="","",SUMIFS('Input Transaksi'!$E$5:$E$5000,'Input Transaksi'!$D$5:$D$5000,A574))</f>
        <v/>
      </c>
      <c r="D574" s="2">
        <f>IF(OR(A574="",B574=""),"",B574-C574)</f>
        <v/>
      </c>
    </row>
    <row r="575">
      <c r="A575" s="5" t="n"/>
      <c r="B575" s="6" t="n"/>
      <c r="C575" s="2">
        <f>IF(A575="","",SUMIFS('Input Transaksi'!$E$5:$E$5000,'Input Transaksi'!$D$5:$D$5000,A575))</f>
        <v/>
      </c>
      <c r="D575" s="2">
        <f>IF(OR(A575="",B575=""),"",B575-C575)</f>
        <v/>
      </c>
    </row>
    <row r="576">
      <c r="A576" s="5" t="n"/>
      <c r="B576" s="6" t="n"/>
      <c r="C576" s="2">
        <f>IF(A576="","",SUMIFS('Input Transaksi'!$E$5:$E$5000,'Input Transaksi'!$D$5:$D$5000,A576))</f>
        <v/>
      </c>
      <c r="D576" s="2">
        <f>IF(OR(A576="",B576=""),"",B576-C576)</f>
        <v/>
      </c>
    </row>
    <row r="577">
      <c r="A577" s="5" t="n"/>
      <c r="B577" s="6" t="n"/>
      <c r="C577" s="2">
        <f>IF(A577="","",SUMIFS('Input Transaksi'!$E$5:$E$5000,'Input Transaksi'!$D$5:$D$5000,A577))</f>
        <v/>
      </c>
      <c r="D577" s="2">
        <f>IF(OR(A577="",B577=""),"",B577-C577)</f>
        <v/>
      </c>
    </row>
    <row r="578">
      <c r="A578" s="5" t="n"/>
      <c r="B578" s="6" t="n"/>
      <c r="C578" s="2">
        <f>IF(A578="","",SUMIFS('Input Transaksi'!$E$5:$E$5000,'Input Transaksi'!$D$5:$D$5000,A578))</f>
        <v/>
      </c>
      <c r="D578" s="2">
        <f>IF(OR(A578="",B578=""),"",B578-C578)</f>
        <v/>
      </c>
    </row>
    <row r="579">
      <c r="A579" s="5" t="n"/>
      <c r="B579" s="6" t="n"/>
      <c r="C579" s="2">
        <f>IF(A579="","",SUMIFS('Input Transaksi'!$E$5:$E$5000,'Input Transaksi'!$D$5:$D$5000,A579))</f>
        <v/>
      </c>
      <c r="D579" s="2">
        <f>IF(OR(A579="",B579=""),"",B579-C579)</f>
        <v/>
      </c>
    </row>
    <row r="580">
      <c r="A580" s="5" t="n"/>
      <c r="B580" s="6" t="n"/>
      <c r="C580" s="2">
        <f>IF(A580="","",SUMIFS('Input Transaksi'!$E$5:$E$5000,'Input Transaksi'!$D$5:$D$5000,A580))</f>
        <v/>
      </c>
      <c r="D580" s="2">
        <f>IF(OR(A580="",B580=""),"",B580-C580)</f>
        <v/>
      </c>
    </row>
    <row r="581">
      <c r="A581" s="5" t="n"/>
      <c r="B581" s="6" t="n"/>
      <c r="C581" s="2">
        <f>IF(A581="","",SUMIFS('Input Transaksi'!$E$5:$E$5000,'Input Transaksi'!$D$5:$D$5000,A581))</f>
        <v/>
      </c>
      <c r="D581" s="2">
        <f>IF(OR(A581="",B581=""),"",B581-C581)</f>
        <v/>
      </c>
    </row>
    <row r="582">
      <c r="A582" s="5" t="n"/>
      <c r="B582" s="6" t="n"/>
      <c r="C582" s="2">
        <f>IF(A582="","",SUMIFS('Input Transaksi'!$E$5:$E$5000,'Input Transaksi'!$D$5:$D$5000,A582))</f>
        <v/>
      </c>
      <c r="D582" s="2">
        <f>IF(OR(A582="",B582=""),"",B582-C582)</f>
        <v/>
      </c>
    </row>
    <row r="583">
      <c r="A583" s="5" t="n"/>
      <c r="B583" s="6" t="n"/>
      <c r="C583" s="2">
        <f>IF(A583="","",SUMIFS('Input Transaksi'!$E$5:$E$5000,'Input Transaksi'!$D$5:$D$5000,A583))</f>
        <v/>
      </c>
      <c r="D583" s="2">
        <f>IF(OR(A583="",B583=""),"",B583-C583)</f>
        <v/>
      </c>
    </row>
    <row r="584">
      <c r="A584" s="5" t="n"/>
      <c r="B584" s="6" t="n"/>
      <c r="C584" s="2">
        <f>IF(A584="","",SUMIFS('Input Transaksi'!$E$5:$E$5000,'Input Transaksi'!$D$5:$D$5000,A584))</f>
        <v/>
      </c>
      <c r="D584" s="2">
        <f>IF(OR(A584="",B584=""),"",B584-C584)</f>
        <v/>
      </c>
    </row>
    <row r="585">
      <c r="A585" s="5" t="n"/>
      <c r="B585" s="6" t="n"/>
      <c r="C585" s="2">
        <f>IF(A585="","",SUMIFS('Input Transaksi'!$E$5:$E$5000,'Input Transaksi'!$D$5:$D$5000,A585))</f>
        <v/>
      </c>
      <c r="D585" s="2">
        <f>IF(OR(A585="",B585=""),"",B585-C585)</f>
        <v/>
      </c>
    </row>
    <row r="586">
      <c r="A586" s="5" t="n"/>
      <c r="B586" s="6" t="n"/>
      <c r="C586" s="2">
        <f>IF(A586="","",SUMIFS('Input Transaksi'!$E$5:$E$5000,'Input Transaksi'!$D$5:$D$5000,A586))</f>
        <v/>
      </c>
      <c r="D586" s="2">
        <f>IF(OR(A586="",B586=""),"",B586-C586)</f>
        <v/>
      </c>
    </row>
    <row r="587">
      <c r="A587" s="5" t="n"/>
      <c r="B587" s="6" t="n"/>
      <c r="C587" s="2">
        <f>IF(A587="","",SUMIFS('Input Transaksi'!$E$5:$E$5000,'Input Transaksi'!$D$5:$D$5000,A587))</f>
        <v/>
      </c>
      <c r="D587" s="2">
        <f>IF(OR(A587="",B587=""),"",B587-C587)</f>
        <v/>
      </c>
    </row>
    <row r="588">
      <c r="A588" s="5" t="n"/>
      <c r="B588" s="6" t="n"/>
      <c r="C588" s="2">
        <f>IF(A588="","",SUMIFS('Input Transaksi'!$E$5:$E$5000,'Input Transaksi'!$D$5:$D$5000,A588))</f>
        <v/>
      </c>
      <c r="D588" s="2">
        <f>IF(OR(A588="",B588=""),"",B588-C588)</f>
        <v/>
      </c>
    </row>
    <row r="589">
      <c r="A589" s="5" t="n"/>
      <c r="B589" s="6" t="n"/>
      <c r="C589" s="2">
        <f>IF(A589="","",SUMIFS('Input Transaksi'!$E$5:$E$5000,'Input Transaksi'!$D$5:$D$5000,A589))</f>
        <v/>
      </c>
      <c r="D589" s="2">
        <f>IF(OR(A589="",B589=""),"",B589-C589)</f>
        <v/>
      </c>
    </row>
    <row r="590">
      <c r="A590" s="5" t="n"/>
      <c r="B590" s="6" t="n"/>
      <c r="C590" s="2">
        <f>IF(A590="","",SUMIFS('Input Transaksi'!$E$5:$E$5000,'Input Transaksi'!$D$5:$D$5000,A590))</f>
        <v/>
      </c>
      <c r="D590" s="2">
        <f>IF(OR(A590="",B590=""),"",B590-C590)</f>
        <v/>
      </c>
    </row>
    <row r="591">
      <c r="A591" s="5" t="n"/>
      <c r="B591" s="6" t="n"/>
      <c r="C591" s="2">
        <f>IF(A591="","",SUMIFS('Input Transaksi'!$E$5:$E$5000,'Input Transaksi'!$D$5:$D$5000,A591))</f>
        <v/>
      </c>
      <c r="D591" s="2">
        <f>IF(OR(A591="",B591=""),"",B591-C591)</f>
        <v/>
      </c>
    </row>
    <row r="592">
      <c r="A592" s="5" t="n"/>
      <c r="B592" s="6" t="n"/>
      <c r="C592" s="2">
        <f>IF(A592="","",SUMIFS('Input Transaksi'!$E$5:$E$5000,'Input Transaksi'!$D$5:$D$5000,A592))</f>
        <v/>
      </c>
      <c r="D592" s="2">
        <f>IF(OR(A592="",B592=""),"",B592-C592)</f>
        <v/>
      </c>
    </row>
    <row r="593">
      <c r="A593" s="5" t="n"/>
      <c r="B593" s="6" t="n"/>
      <c r="C593" s="2">
        <f>IF(A593="","",SUMIFS('Input Transaksi'!$E$5:$E$5000,'Input Transaksi'!$D$5:$D$5000,A593))</f>
        <v/>
      </c>
      <c r="D593" s="2">
        <f>IF(OR(A593="",B593=""),"",B593-C593)</f>
        <v/>
      </c>
    </row>
    <row r="594">
      <c r="A594" s="5" t="n"/>
      <c r="B594" s="6" t="n"/>
      <c r="C594" s="2">
        <f>IF(A594="","",SUMIFS('Input Transaksi'!$E$5:$E$5000,'Input Transaksi'!$D$5:$D$5000,A594))</f>
        <v/>
      </c>
      <c r="D594" s="2">
        <f>IF(OR(A594="",B594=""),"",B594-C594)</f>
        <v/>
      </c>
    </row>
    <row r="595">
      <c r="A595" s="5" t="n"/>
      <c r="B595" s="6" t="n"/>
      <c r="C595" s="2">
        <f>IF(A595="","",SUMIFS('Input Transaksi'!$E$5:$E$5000,'Input Transaksi'!$D$5:$D$5000,A595))</f>
        <v/>
      </c>
      <c r="D595" s="2">
        <f>IF(OR(A595="",B595=""),"",B595-C595)</f>
        <v/>
      </c>
    </row>
    <row r="596">
      <c r="A596" s="5" t="n"/>
      <c r="B596" s="6" t="n"/>
      <c r="C596" s="2">
        <f>IF(A596="","",SUMIFS('Input Transaksi'!$E$5:$E$5000,'Input Transaksi'!$D$5:$D$5000,A596))</f>
        <v/>
      </c>
      <c r="D596" s="2">
        <f>IF(OR(A596="",B596=""),"",B596-C596)</f>
        <v/>
      </c>
    </row>
    <row r="597">
      <c r="A597" s="5" t="n"/>
      <c r="B597" s="6" t="n"/>
      <c r="C597" s="2">
        <f>IF(A597="","",SUMIFS('Input Transaksi'!$E$5:$E$5000,'Input Transaksi'!$D$5:$D$5000,A597))</f>
        <v/>
      </c>
      <c r="D597" s="2">
        <f>IF(OR(A597="",B597=""),"",B597-C597)</f>
        <v/>
      </c>
    </row>
    <row r="598">
      <c r="A598" s="5" t="n"/>
      <c r="B598" s="6" t="n"/>
      <c r="C598" s="2">
        <f>IF(A598="","",SUMIFS('Input Transaksi'!$E$5:$E$5000,'Input Transaksi'!$D$5:$D$5000,A598))</f>
        <v/>
      </c>
      <c r="D598" s="2">
        <f>IF(OR(A598="",B598=""),"",B598-C598)</f>
        <v/>
      </c>
    </row>
    <row r="599">
      <c r="A599" s="5" t="n"/>
      <c r="B599" s="6" t="n"/>
      <c r="C599" s="2">
        <f>IF(A599="","",SUMIFS('Input Transaksi'!$E$5:$E$5000,'Input Transaksi'!$D$5:$D$5000,A599))</f>
        <v/>
      </c>
      <c r="D599" s="2">
        <f>IF(OR(A599="",B599=""),"",B599-C599)</f>
        <v/>
      </c>
    </row>
    <row r="600">
      <c r="A600" s="5" t="n"/>
      <c r="B600" s="6" t="n"/>
      <c r="C600" s="2">
        <f>IF(A600="","",SUMIFS('Input Transaksi'!$E$5:$E$5000,'Input Transaksi'!$D$5:$D$5000,A600))</f>
        <v/>
      </c>
      <c r="D600" s="2">
        <f>IF(OR(A600="",B600=""),"",B600-C600)</f>
        <v/>
      </c>
    </row>
    <row r="601">
      <c r="A601" s="5" t="n"/>
      <c r="B601" s="6" t="n"/>
      <c r="C601" s="2">
        <f>IF(A601="","",SUMIFS('Input Transaksi'!$E$5:$E$5000,'Input Transaksi'!$D$5:$D$5000,A601))</f>
        <v/>
      </c>
      <c r="D601" s="2">
        <f>IF(OR(A601="",B601=""),"",B601-C601)</f>
        <v/>
      </c>
    </row>
    <row r="602">
      <c r="A602" s="5" t="n"/>
      <c r="B602" s="6" t="n"/>
      <c r="C602" s="2">
        <f>IF(A602="","",SUMIFS('Input Transaksi'!$E$5:$E$5000,'Input Transaksi'!$D$5:$D$5000,A602))</f>
        <v/>
      </c>
      <c r="D602" s="2">
        <f>IF(OR(A602="",B602=""),"",B602-C602)</f>
        <v/>
      </c>
    </row>
    <row r="603">
      <c r="A603" s="5" t="n"/>
      <c r="B603" s="6" t="n"/>
      <c r="C603" s="2">
        <f>IF(A603="","",SUMIFS('Input Transaksi'!$E$5:$E$5000,'Input Transaksi'!$D$5:$D$5000,A603))</f>
        <v/>
      </c>
      <c r="D603" s="2">
        <f>IF(OR(A603="",B603=""),"",B603-C603)</f>
        <v/>
      </c>
    </row>
    <row r="604">
      <c r="A604" s="5" t="n"/>
      <c r="B604" s="6" t="n"/>
      <c r="C604" s="2">
        <f>IF(A604="","",SUMIFS('Input Transaksi'!$E$5:$E$5000,'Input Transaksi'!$D$5:$D$5000,A604))</f>
        <v/>
      </c>
      <c r="D604" s="2">
        <f>IF(OR(A604="",B604=""),"",B604-C604)</f>
        <v/>
      </c>
    </row>
    <row r="605">
      <c r="A605" s="5" t="n"/>
      <c r="B605" s="6" t="n"/>
      <c r="C605" s="2">
        <f>IF(A605="","",SUMIFS('Input Transaksi'!$E$5:$E$5000,'Input Transaksi'!$D$5:$D$5000,A605))</f>
        <v/>
      </c>
      <c r="D605" s="2">
        <f>IF(OR(A605="",B605=""),"",B605-C605)</f>
        <v/>
      </c>
    </row>
    <row r="606">
      <c r="A606" s="5" t="n"/>
      <c r="B606" s="6" t="n"/>
      <c r="C606" s="2">
        <f>IF(A606="","",SUMIFS('Input Transaksi'!$E$5:$E$5000,'Input Transaksi'!$D$5:$D$5000,A606))</f>
        <v/>
      </c>
      <c r="D606" s="2">
        <f>IF(OR(A606="",B606=""),"",B606-C606)</f>
        <v/>
      </c>
    </row>
    <row r="607">
      <c r="A607" s="5" t="n"/>
      <c r="B607" s="6" t="n"/>
      <c r="C607" s="2">
        <f>IF(A607="","",SUMIFS('Input Transaksi'!$E$5:$E$5000,'Input Transaksi'!$D$5:$D$5000,A607))</f>
        <v/>
      </c>
      <c r="D607" s="2">
        <f>IF(OR(A607="",B607=""),"",B607-C607)</f>
        <v/>
      </c>
    </row>
    <row r="608">
      <c r="A608" s="5" t="n"/>
      <c r="B608" s="6" t="n"/>
      <c r="C608" s="2">
        <f>IF(A608="","",SUMIFS('Input Transaksi'!$E$5:$E$5000,'Input Transaksi'!$D$5:$D$5000,A608))</f>
        <v/>
      </c>
      <c r="D608" s="2">
        <f>IF(OR(A608="",B608=""),"",B608-C608)</f>
        <v/>
      </c>
    </row>
    <row r="609">
      <c r="A609" s="5" t="n"/>
      <c r="B609" s="6" t="n"/>
      <c r="C609" s="2">
        <f>IF(A609="","",SUMIFS('Input Transaksi'!$E$5:$E$5000,'Input Transaksi'!$D$5:$D$5000,A609))</f>
        <v/>
      </c>
      <c r="D609" s="2">
        <f>IF(OR(A609="",B609=""),"",B609-C609)</f>
        <v/>
      </c>
    </row>
    <row r="610">
      <c r="A610" s="5" t="n"/>
      <c r="B610" s="6" t="n"/>
      <c r="C610" s="2">
        <f>IF(A610="","",SUMIFS('Input Transaksi'!$E$5:$E$5000,'Input Transaksi'!$D$5:$D$5000,A610))</f>
        <v/>
      </c>
      <c r="D610" s="2">
        <f>IF(OR(A610="",B610=""),"",B610-C610)</f>
        <v/>
      </c>
    </row>
    <row r="611">
      <c r="A611" s="5" t="n"/>
      <c r="B611" s="6" t="n"/>
      <c r="C611" s="2">
        <f>IF(A611="","",SUMIFS('Input Transaksi'!$E$5:$E$5000,'Input Transaksi'!$D$5:$D$5000,A611))</f>
        <v/>
      </c>
      <c r="D611" s="2">
        <f>IF(OR(A611="",B611=""),"",B611-C611)</f>
        <v/>
      </c>
    </row>
    <row r="612">
      <c r="A612" s="5" t="n"/>
      <c r="B612" s="6" t="n"/>
      <c r="C612" s="2">
        <f>IF(A612="","",SUMIFS('Input Transaksi'!$E$5:$E$5000,'Input Transaksi'!$D$5:$D$5000,A612))</f>
        <v/>
      </c>
      <c r="D612" s="2">
        <f>IF(OR(A612="",B612=""),"",B612-C612)</f>
        <v/>
      </c>
    </row>
    <row r="613">
      <c r="A613" s="5" t="n"/>
      <c r="B613" s="6" t="n"/>
      <c r="C613" s="2">
        <f>IF(A613="","",SUMIFS('Input Transaksi'!$E$5:$E$5000,'Input Transaksi'!$D$5:$D$5000,A613))</f>
        <v/>
      </c>
      <c r="D613" s="2">
        <f>IF(OR(A613="",B613=""),"",B613-C613)</f>
        <v/>
      </c>
    </row>
    <row r="614">
      <c r="A614" s="5" t="n"/>
      <c r="B614" s="6" t="n"/>
      <c r="C614" s="2">
        <f>IF(A614="","",SUMIFS('Input Transaksi'!$E$5:$E$5000,'Input Transaksi'!$D$5:$D$5000,A614))</f>
        <v/>
      </c>
      <c r="D614" s="2">
        <f>IF(OR(A614="",B614=""),"",B614-C614)</f>
        <v/>
      </c>
    </row>
    <row r="615">
      <c r="A615" s="5" t="n"/>
      <c r="B615" s="6" t="n"/>
      <c r="C615" s="2">
        <f>IF(A615="","",SUMIFS('Input Transaksi'!$E$5:$E$5000,'Input Transaksi'!$D$5:$D$5000,A615))</f>
        <v/>
      </c>
      <c r="D615" s="2">
        <f>IF(OR(A615="",B615=""),"",B615-C615)</f>
        <v/>
      </c>
    </row>
    <row r="616">
      <c r="A616" s="5" t="n"/>
      <c r="B616" s="6" t="n"/>
      <c r="C616" s="2">
        <f>IF(A616="","",SUMIFS('Input Transaksi'!$E$5:$E$5000,'Input Transaksi'!$D$5:$D$5000,A616))</f>
        <v/>
      </c>
      <c r="D616" s="2">
        <f>IF(OR(A616="",B616=""),"",B616-C616)</f>
        <v/>
      </c>
    </row>
    <row r="617">
      <c r="A617" s="5" t="n"/>
      <c r="B617" s="6" t="n"/>
      <c r="C617" s="2">
        <f>IF(A617="","",SUMIFS('Input Transaksi'!$E$5:$E$5000,'Input Transaksi'!$D$5:$D$5000,A617))</f>
        <v/>
      </c>
      <c r="D617" s="2">
        <f>IF(OR(A617="",B617=""),"",B617-C617)</f>
        <v/>
      </c>
    </row>
    <row r="618">
      <c r="A618" s="5" t="n"/>
      <c r="B618" s="6" t="n"/>
      <c r="C618" s="2">
        <f>IF(A618="","",SUMIFS('Input Transaksi'!$E$5:$E$5000,'Input Transaksi'!$D$5:$D$5000,A618))</f>
        <v/>
      </c>
      <c r="D618" s="2">
        <f>IF(OR(A618="",B618=""),"",B618-C618)</f>
        <v/>
      </c>
    </row>
    <row r="619">
      <c r="A619" s="5" t="n"/>
      <c r="B619" s="6" t="n"/>
      <c r="C619" s="2">
        <f>IF(A619="","",SUMIFS('Input Transaksi'!$E$5:$E$5000,'Input Transaksi'!$D$5:$D$5000,A619))</f>
        <v/>
      </c>
      <c r="D619" s="2">
        <f>IF(OR(A619="",B619=""),"",B619-C619)</f>
        <v/>
      </c>
    </row>
    <row r="620">
      <c r="A620" s="5" t="n"/>
      <c r="B620" s="6" t="n"/>
      <c r="C620" s="2">
        <f>IF(A620="","",SUMIFS('Input Transaksi'!$E$5:$E$5000,'Input Transaksi'!$D$5:$D$5000,A620))</f>
        <v/>
      </c>
      <c r="D620" s="2">
        <f>IF(OR(A620="",B620=""),"",B620-C620)</f>
        <v/>
      </c>
    </row>
    <row r="621">
      <c r="A621" s="5" t="n"/>
      <c r="B621" s="6" t="n"/>
      <c r="C621" s="2">
        <f>IF(A621="","",SUMIFS('Input Transaksi'!$E$5:$E$5000,'Input Transaksi'!$D$5:$D$5000,A621))</f>
        <v/>
      </c>
      <c r="D621" s="2">
        <f>IF(OR(A621="",B621=""),"",B621-C621)</f>
        <v/>
      </c>
    </row>
    <row r="622">
      <c r="A622" s="5" t="n"/>
      <c r="B622" s="6" t="n"/>
      <c r="C622" s="2">
        <f>IF(A622="","",SUMIFS('Input Transaksi'!$E$5:$E$5000,'Input Transaksi'!$D$5:$D$5000,A622))</f>
        <v/>
      </c>
      <c r="D622" s="2">
        <f>IF(OR(A622="",B622=""),"",B622-C622)</f>
        <v/>
      </c>
    </row>
    <row r="623">
      <c r="A623" s="5" t="n"/>
      <c r="B623" s="6" t="n"/>
      <c r="C623" s="2">
        <f>IF(A623="","",SUMIFS('Input Transaksi'!$E$5:$E$5000,'Input Transaksi'!$D$5:$D$5000,A623))</f>
        <v/>
      </c>
      <c r="D623" s="2">
        <f>IF(OR(A623="",B623=""),"",B623-C623)</f>
        <v/>
      </c>
    </row>
    <row r="624">
      <c r="A624" s="5" t="n"/>
      <c r="B624" s="6" t="n"/>
      <c r="C624" s="2">
        <f>IF(A624="","",SUMIFS('Input Transaksi'!$E$5:$E$5000,'Input Transaksi'!$D$5:$D$5000,A624))</f>
        <v/>
      </c>
      <c r="D624" s="2">
        <f>IF(OR(A624="",B624=""),"",B624-C624)</f>
        <v/>
      </c>
    </row>
    <row r="625">
      <c r="A625" s="5" t="n"/>
      <c r="B625" s="6" t="n"/>
      <c r="C625" s="2">
        <f>IF(A625="","",SUMIFS('Input Transaksi'!$E$5:$E$5000,'Input Transaksi'!$D$5:$D$5000,A625))</f>
        <v/>
      </c>
      <c r="D625" s="2">
        <f>IF(OR(A625="",B625=""),"",B625-C625)</f>
        <v/>
      </c>
    </row>
    <row r="626">
      <c r="A626" s="5" t="n"/>
      <c r="B626" s="6" t="n"/>
      <c r="C626" s="2">
        <f>IF(A626="","",SUMIFS('Input Transaksi'!$E$5:$E$5000,'Input Transaksi'!$D$5:$D$5000,A626))</f>
        <v/>
      </c>
      <c r="D626" s="2">
        <f>IF(OR(A626="",B626=""),"",B626-C626)</f>
        <v/>
      </c>
    </row>
    <row r="627">
      <c r="A627" s="5" t="n"/>
      <c r="B627" s="6" t="n"/>
      <c r="C627" s="2">
        <f>IF(A627="","",SUMIFS('Input Transaksi'!$E$5:$E$5000,'Input Transaksi'!$D$5:$D$5000,A627))</f>
        <v/>
      </c>
      <c r="D627" s="2">
        <f>IF(OR(A627="",B627=""),"",B627-C627)</f>
        <v/>
      </c>
    </row>
    <row r="628">
      <c r="A628" s="5" t="n"/>
      <c r="B628" s="6" t="n"/>
      <c r="C628" s="2">
        <f>IF(A628="","",SUMIFS('Input Transaksi'!$E$5:$E$5000,'Input Transaksi'!$D$5:$D$5000,A628))</f>
        <v/>
      </c>
      <c r="D628" s="2">
        <f>IF(OR(A628="",B628=""),"",B628-C628)</f>
        <v/>
      </c>
    </row>
    <row r="629">
      <c r="A629" s="5" t="n"/>
      <c r="B629" s="6" t="n"/>
      <c r="C629" s="2">
        <f>IF(A629="","",SUMIFS('Input Transaksi'!$E$5:$E$5000,'Input Transaksi'!$D$5:$D$5000,A629))</f>
        <v/>
      </c>
      <c r="D629" s="2">
        <f>IF(OR(A629="",B629=""),"",B629-C629)</f>
        <v/>
      </c>
    </row>
    <row r="630">
      <c r="A630" s="5" t="n"/>
      <c r="B630" s="6" t="n"/>
      <c r="C630" s="2">
        <f>IF(A630="","",SUMIFS('Input Transaksi'!$E$5:$E$5000,'Input Transaksi'!$D$5:$D$5000,A630))</f>
        <v/>
      </c>
      <c r="D630" s="2">
        <f>IF(OR(A630="",B630=""),"",B630-C630)</f>
        <v/>
      </c>
    </row>
    <row r="631">
      <c r="A631" s="5" t="n"/>
      <c r="B631" s="6" t="n"/>
      <c r="C631" s="2">
        <f>IF(A631="","",SUMIFS('Input Transaksi'!$E$5:$E$5000,'Input Transaksi'!$D$5:$D$5000,A631))</f>
        <v/>
      </c>
      <c r="D631" s="2">
        <f>IF(OR(A631="",B631=""),"",B631-C631)</f>
        <v/>
      </c>
    </row>
    <row r="632">
      <c r="A632" s="5" t="n"/>
      <c r="B632" s="6" t="n"/>
      <c r="C632" s="2">
        <f>IF(A632="","",SUMIFS('Input Transaksi'!$E$5:$E$5000,'Input Transaksi'!$D$5:$D$5000,A632))</f>
        <v/>
      </c>
      <c r="D632" s="2">
        <f>IF(OR(A632="",B632=""),"",B632-C632)</f>
        <v/>
      </c>
    </row>
    <row r="633">
      <c r="A633" s="5" t="n"/>
      <c r="B633" s="6" t="n"/>
      <c r="C633" s="2">
        <f>IF(A633="","",SUMIFS('Input Transaksi'!$E$5:$E$5000,'Input Transaksi'!$D$5:$D$5000,A633))</f>
        <v/>
      </c>
      <c r="D633" s="2">
        <f>IF(OR(A633="",B633=""),"",B633-C633)</f>
        <v/>
      </c>
    </row>
    <row r="634">
      <c r="A634" s="5" t="n"/>
      <c r="B634" s="6" t="n"/>
      <c r="C634" s="2">
        <f>IF(A634="","",SUMIFS('Input Transaksi'!$E$5:$E$5000,'Input Transaksi'!$D$5:$D$5000,A634))</f>
        <v/>
      </c>
      <c r="D634" s="2">
        <f>IF(OR(A634="",B634=""),"",B634-C634)</f>
        <v/>
      </c>
    </row>
    <row r="635">
      <c r="A635" s="5" t="n"/>
      <c r="B635" s="6" t="n"/>
      <c r="C635" s="2">
        <f>IF(A635="","",SUMIFS('Input Transaksi'!$E$5:$E$5000,'Input Transaksi'!$D$5:$D$5000,A635))</f>
        <v/>
      </c>
      <c r="D635" s="2">
        <f>IF(OR(A635="",B635=""),"",B635-C635)</f>
        <v/>
      </c>
    </row>
    <row r="636">
      <c r="A636" s="5" t="n"/>
      <c r="B636" s="6" t="n"/>
      <c r="C636" s="2">
        <f>IF(A636="","",SUMIFS('Input Transaksi'!$E$5:$E$5000,'Input Transaksi'!$D$5:$D$5000,A636))</f>
        <v/>
      </c>
      <c r="D636" s="2">
        <f>IF(OR(A636="",B636=""),"",B636-C636)</f>
        <v/>
      </c>
    </row>
    <row r="637">
      <c r="A637" s="5" t="n"/>
      <c r="B637" s="6" t="n"/>
      <c r="C637" s="2">
        <f>IF(A637="","",SUMIFS('Input Transaksi'!$E$5:$E$5000,'Input Transaksi'!$D$5:$D$5000,A637))</f>
        <v/>
      </c>
      <c r="D637" s="2">
        <f>IF(OR(A637="",B637=""),"",B637-C637)</f>
        <v/>
      </c>
    </row>
    <row r="638">
      <c r="A638" s="5" t="n"/>
      <c r="B638" s="6" t="n"/>
      <c r="C638" s="2">
        <f>IF(A638="","",SUMIFS('Input Transaksi'!$E$5:$E$5000,'Input Transaksi'!$D$5:$D$5000,A638))</f>
        <v/>
      </c>
      <c r="D638" s="2">
        <f>IF(OR(A638="",B638=""),"",B638-C638)</f>
        <v/>
      </c>
    </row>
    <row r="639">
      <c r="A639" s="5" t="n"/>
      <c r="B639" s="6" t="n"/>
      <c r="C639" s="2">
        <f>IF(A639="","",SUMIFS('Input Transaksi'!$E$5:$E$5000,'Input Transaksi'!$D$5:$D$5000,A639))</f>
        <v/>
      </c>
      <c r="D639" s="2">
        <f>IF(OR(A639="",B639=""),"",B639-C639)</f>
        <v/>
      </c>
    </row>
    <row r="640">
      <c r="A640" s="5" t="n"/>
      <c r="B640" s="6" t="n"/>
      <c r="C640" s="2">
        <f>IF(A640="","",SUMIFS('Input Transaksi'!$E$5:$E$5000,'Input Transaksi'!$D$5:$D$5000,A640))</f>
        <v/>
      </c>
      <c r="D640" s="2">
        <f>IF(OR(A640="",B640=""),"",B640-C640)</f>
        <v/>
      </c>
    </row>
    <row r="641">
      <c r="A641" s="5" t="n"/>
      <c r="B641" s="6" t="n"/>
      <c r="C641" s="2">
        <f>IF(A641="","",SUMIFS('Input Transaksi'!$E$5:$E$5000,'Input Transaksi'!$D$5:$D$5000,A641))</f>
        <v/>
      </c>
      <c r="D641" s="2">
        <f>IF(OR(A641="",B641=""),"",B641-C641)</f>
        <v/>
      </c>
    </row>
    <row r="642">
      <c r="A642" s="5" t="n"/>
      <c r="B642" s="6" t="n"/>
      <c r="C642" s="2">
        <f>IF(A642="","",SUMIFS('Input Transaksi'!$E$5:$E$5000,'Input Transaksi'!$D$5:$D$5000,A642))</f>
        <v/>
      </c>
      <c r="D642" s="2">
        <f>IF(OR(A642="",B642=""),"",B642-C642)</f>
        <v/>
      </c>
    </row>
    <row r="643">
      <c r="A643" s="5" t="n"/>
      <c r="B643" s="6" t="n"/>
      <c r="C643" s="2">
        <f>IF(A643="","",SUMIFS('Input Transaksi'!$E$5:$E$5000,'Input Transaksi'!$D$5:$D$5000,A643))</f>
        <v/>
      </c>
      <c r="D643" s="2">
        <f>IF(OR(A643="",B643=""),"",B643-C643)</f>
        <v/>
      </c>
    </row>
    <row r="644">
      <c r="A644" s="5" t="n"/>
      <c r="B644" s="6" t="n"/>
      <c r="C644" s="2">
        <f>IF(A644="","",SUMIFS('Input Transaksi'!$E$5:$E$5000,'Input Transaksi'!$D$5:$D$5000,A644))</f>
        <v/>
      </c>
      <c r="D644" s="2">
        <f>IF(OR(A644="",B644=""),"",B644-C644)</f>
        <v/>
      </c>
    </row>
    <row r="645">
      <c r="A645" s="5" t="n"/>
      <c r="B645" s="6" t="n"/>
      <c r="C645" s="2">
        <f>IF(A645="","",SUMIFS('Input Transaksi'!$E$5:$E$5000,'Input Transaksi'!$D$5:$D$5000,A645))</f>
        <v/>
      </c>
      <c r="D645" s="2">
        <f>IF(OR(A645="",B645=""),"",B645-C645)</f>
        <v/>
      </c>
    </row>
    <row r="646">
      <c r="A646" s="5" t="n"/>
      <c r="B646" s="6" t="n"/>
      <c r="C646" s="2">
        <f>IF(A646="","",SUMIFS('Input Transaksi'!$E$5:$E$5000,'Input Transaksi'!$D$5:$D$5000,A646))</f>
        <v/>
      </c>
      <c r="D646" s="2">
        <f>IF(OR(A646="",B646=""),"",B646-C646)</f>
        <v/>
      </c>
    </row>
    <row r="647">
      <c r="A647" s="5" t="n"/>
      <c r="B647" s="6" t="n"/>
      <c r="C647" s="2">
        <f>IF(A647="","",SUMIFS('Input Transaksi'!$E$5:$E$5000,'Input Transaksi'!$D$5:$D$5000,A647))</f>
        <v/>
      </c>
      <c r="D647" s="2">
        <f>IF(OR(A647="",B647=""),"",B647-C647)</f>
        <v/>
      </c>
    </row>
    <row r="648">
      <c r="A648" s="5" t="n"/>
      <c r="B648" s="6" t="n"/>
      <c r="C648" s="2">
        <f>IF(A648="","",SUMIFS('Input Transaksi'!$E$5:$E$5000,'Input Transaksi'!$D$5:$D$5000,A648))</f>
        <v/>
      </c>
      <c r="D648" s="2">
        <f>IF(OR(A648="",B648=""),"",B648-C648)</f>
        <v/>
      </c>
    </row>
    <row r="649">
      <c r="A649" s="5" t="n"/>
      <c r="B649" s="6" t="n"/>
      <c r="C649" s="2">
        <f>IF(A649="","",SUMIFS('Input Transaksi'!$E$5:$E$5000,'Input Transaksi'!$D$5:$D$5000,A649))</f>
        <v/>
      </c>
      <c r="D649" s="2">
        <f>IF(OR(A649="",B649=""),"",B649-C649)</f>
        <v/>
      </c>
    </row>
    <row r="650">
      <c r="A650" s="5" t="n"/>
      <c r="B650" s="6" t="n"/>
      <c r="C650" s="2">
        <f>IF(A650="","",SUMIFS('Input Transaksi'!$E$5:$E$5000,'Input Transaksi'!$D$5:$D$5000,A650))</f>
        <v/>
      </c>
      <c r="D650" s="2">
        <f>IF(OR(A650="",B650=""),"",B650-C650)</f>
        <v/>
      </c>
    </row>
    <row r="651">
      <c r="A651" s="5" t="n"/>
      <c r="B651" s="6" t="n"/>
      <c r="C651" s="2">
        <f>IF(A651="","",SUMIFS('Input Transaksi'!$E$5:$E$5000,'Input Transaksi'!$D$5:$D$5000,A651))</f>
        <v/>
      </c>
      <c r="D651" s="2">
        <f>IF(OR(A651="",B651=""),"",B651-C651)</f>
        <v/>
      </c>
    </row>
    <row r="652">
      <c r="A652" s="5" t="n"/>
      <c r="B652" s="6" t="n"/>
      <c r="C652" s="2">
        <f>IF(A652="","",SUMIFS('Input Transaksi'!$E$5:$E$5000,'Input Transaksi'!$D$5:$D$5000,A652))</f>
        <v/>
      </c>
      <c r="D652" s="2">
        <f>IF(OR(A652="",B652=""),"",B652-C652)</f>
        <v/>
      </c>
    </row>
    <row r="653">
      <c r="A653" s="5" t="n"/>
      <c r="B653" s="6" t="n"/>
      <c r="C653" s="2">
        <f>IF(A653="","",SUMIFS('Input Transaksi'!$E$5:$E$5000,'Input Transaksi'!$D$5:$D$5000,A653))</f>
        <v/>
      </c>
      <c r="D653" s="2">
        <f>IF(OR(A653="",B653=""),"",B653-C653)</f>
        <v/>
      </c>
    </row>
    <row r="654">
      <c r="A654" s="5" t="n"/>
      <c r="B654" s="6" t="n"/>
      <c r="C654" s="2">
        <f>IF(A654="","",SUMIFS('Input Transaksi'!$E$5:$E$5000,'Input Transaksi'!$D$5:$D$5000,A654))</f>
        <v/>
      </c>
      <c r="D654" s="2">
        <f>IF(OR(A654="",B654=""),"",B654-C654)</f>
        <v/>
      </c>
    </row>
    <row r="655">
      <c r="A655" s="5" t="n"/>
      <c r="B655" s="6" t="n"/>
      <c r="C655" s="2">
        <f>IF(A655="","",SUMIFS('Input Transaksi'!$E$5:$E$5000,'Input Transaksi'!$D$5:$D$5000,A655))</f>
        <v/>
      </c>
      <c r="D655" s="2">
        <f>IF(OR(A655="",B655=""),"",B655-C655)</f>
        <v/>
      </c>
    </row>
    <row r="656">
      <c r="A656" s="5" t="n"/>
      <c r="B656" s="6" t="n"/>
      <c r="C656" s="2">
        <f>IF(A656="","",SUMIFS('Input Transaksi'!$E$5:$E$5000,'Input Transaksi'!$D$5:$D$5000,A656))</f>
        <v/>
      </c>
      <c r="D656" s="2">
        <f>IF(OR(A656="",B656=""),"",B656-C656)</f>
        <v/>
      </c>
    </row>
    <row r="657">
      <c r="A657" s="5" t="n"/>
      <c r="B657" s="6" t="n"/>
      <c r="C657" s="2">
        <f>IF(A657="","",SUMIFS('Input Transaksi'!$E$5:$E$5000,'Input Transaksi'!$D$5:$D$5000,A657))</f>
        <v/>
      </c>
      <c r="D657" s="2">
        <f>IF(OR(A657="",B657=""),"",B657-C657)</f>
        <v/>
      </c>
    </row>
    <row r="658">
      <c r="A658" s="5" t="n"/>
      <c r="B658" s="6" t="n"/>
      <c r="C658" s="2">
        <f>IF(A658="","",SUMIFS('Input Transaksi'!$E$5:$E$5000,'Input Transaksi'!$D$5:$D$5000,A658))</f>
        <v/>
      </c>
      <c r="D658" s="2">
        <f>IF(OR(A658="",B658=""),"",B658-C658)</f>
        <v/>
      </c>
    </row>
    <row r="659">
      <c r="A659" s="5" t="n"/>
      <c r="B659" s="6" t="n"/>
      <c r="C659" s="2">
        <f>IF(A659="","",SUMIFS('Input Transaksi'!$E$5:$E$5000,'Input Transaksi'!$D$5:$D$5000,A659))</f>
        <v/>
      </c>
      <c r="D659" s="2">
        <f>IF(OR(A659="",B659=""),"",B659-C659)</f>
        <v/>
      </c>
    </row>
    <row r="660">
      <c r="A660" s="5" t="n"/>
      <c r="B660" s="6" t="n"/>
      <c r="C660" s="2">
        <f>IF(A660="","",SUMIFS('Input Transaksi'!$E$5:$E$5000,'Input Transaksi'!$D$5:$D$5000,A660))</f>
        <v/>
      </c>
      <c r="D660" s="2">
        <f>IF(OR(A660="",B660=""),"",B660-C660)</f>
        <v/>
      </c>
    </row>
    <row r="661">
      <c r="A661" s="5" t="n"/>
      <c r="B661" s="6" t="n"/>
      <c r="C661" s="2">
        <f>IF(A661="","",SUMIFS('Input Transaksi'!$E$5:$E$5000,'Input Transaksi'!$D$5:$D$5000,A661))</f>
        <v/>
      </c>
      <c r="D661" s="2">
        <f>IF(OR(A661="",B661=""),"",B661-C661)</f>
        <v/>
      </c>
    </row>
    <row r="662">
      <c r="A662" s="5" t="n"/>
      <c r="B662" s="6" t="n"/>
      <c r="C662" s="2">
        <f>IF(A662="","",SUMIFS('Input Transaksi'!$E$5:$E$5000,'Input Transaksi'!$D$5:$D$5000,A662))</f>
        <v/>
      </c>
      <c r="D662" s="2">
        <f>IF(OR(A662="",B662=""),"",B662-C662)</f>
        <v/>
      </c>
    </row>
    <row r="663">
      <c r="A663" s="5" t="n"/>
      <c r="B663" s="6" t="n"/>
      <c r="C663" s="2">
        <f>IF(A663="","",SUMIFS('Input Transaksi'!$E$5:$E$5000,'Input Transaksi'!$D$5:$D$5000,A663))</f>
        <v/>
      </c>
      <c r="D663" s="2">
        <f>IF(OR(A663="",B663=""),"",B663-C663)</f>
        <v/>
      </c>
    </row>
    <row r="664">
      <c r="A664" s="5" t="n"/>
      <c r="B664" s="6" t="n"/>
      <c r="C664" s="2">
        <f>IF(A664="","",SUMIFS('Input Transaksi'!$E$5:$E$5000,'Input Transaksi'!$D$5:$D$5000,A664))</f>
        <v/>
      </c>
      <c r="D664" s="2">
        <f>IF(OR(A664="",B664=""),"",B664-C664)</f>
        <v/>
      </c>
    </row>
    <row r="665">
      <c r="A665" s="5" t="n"/>
      <c r="B665" s="6" t="n"/>
      <c r="C665" s="2">
        <f>IF(A665="","",SUMIFS('Input Transaksi'!$E$5:$E$5000,'Input Transaksi'!$D$5:$D$5000,A665))</f>
        <v/>
      </c>
      <c r="D665" s="2">
        <f>IF(OR(A665="",B665=""),"",B665-C665)</f>
        <v/>
      </c>
    </row>
    <row r="666">
      <c r="A666" s="5" t="n"/>
      <c r="B666" s="6" t="n"/>
      <c r="C666" s="2">
        <f>IF(A666="","",SUMIFS('Input Transaksi'!$E$5:$E$5000,'Input Transaksi'!$D$5:$D$5000,A666))</f>
        <v/>
      </c>
      <c r="D666" s="2">
        <f>IF(OR(A666="",B666=""),"",B666-C666)</f>
        <v/>
      </c>
    </row>
    <row r="667">
      <c r="A667" s="5" t="n"/>
      <c r="B667" s="6" t="n"/>
      <c r="C667" s="2">
        <f>IF(A667="","",SUMIFS('Input Transaksi'!$E$5:$E$5000,'Input Transaksi'!$D$5:$D$5000,A667))</f>
        <v/>
      </c>
      <c r="D667" s="2">
        <f>IF(OR(A667="",B667=""),"",B667-C667)</f>
        <v/>
      </c>
    </row>
    <row r="668">
      <c r="A668" s="5" t="n"/>
      <c r="B668" s="6" t="n"/>
      <c r="C668" s="2">
        <f>IF(A668="","",SUMIFS('Input Transaksi'!$E$5:$E$5000,'Input Transaksi'!$D$5:$D$5000,A668))</f>
        <v/>
      </c>
      <c r="D668" s="2">
        <f>IF(OR(A668="",B668=""),"",B668-C668)</f>
        <v/>
      </c>
    </row>
    <row r="669">
      <c r="A669" s="5" t="n"/>
      <c r="B669" s="6" t="n"/>
      <c r="C669" s="2">
        <f>IF(A669="","",SUMIFS('Input Transaksi'!$E$5:$E$5000,'Input Transaksi'!$D$5:$D$5000,A669))</f>
        <v/>
      </c>
      <c r="D669" s="2">
        <f>IF(OR(A669="",B669=""),"",B669-C669)</f>
        <v/>
      </c>
    </row>
    <row r="670">
      <c r="A670" s="5" t="n"/>
      <c r="B670" s="6" t="n"/>
      <c r="C670" s="2">
        <f>IF(A670="","",SUMIFS('Input Transaksi'!$E$5:$E$5000,'Input Transaksi'!$D$5:$D$5000,A670))</f>
        <v/>
      </c>
      <c r="D670" s="2">
        <f>IF(OR(A670="",B670=""),"",B670-C670)</f>
        <v/>
      </c>
    </row>
    <row r="671">
      <c r="A671" s="5" t="n"/>
      <c r="B671" s="6" t="n"/>
      <c r="C671" s="2">
        <f>IF(A671="","",SUMIFS('Input Transaksi'!$E$5:$E$5000,'Input Transaksi'!$D$5:$D$5000,A671))</f>
        <v/>
      </c>
      <c r="D671" s="2">
        <f>IF(OR(A671="",B671=""),"",B671-C671)</f>
        <v/>
      </c>
    </row>
    <row r="672">
      <c r="A672" s="5" t="n"/>
      <c r="B672" s="6" t="n"/>
      <c r="C672" s="2">
        <f>IF(A672="","",SUMIFS('Input Transaksi'!$E$5:$E$5000,'Input Transaksi'!$D$5:$D$5000,A672))</f>
        <v/>
      </c>
      <c r="D672" s="2">
        <f>IF(OR(A672="",B672=""),"",B672-C672)</f>
        <v/>
      </c>
    </row>
    <row r="673">
      <c r="A673" s="5" t="n"/>
      <c r="B673" s="6" t="n"/>
      <c r="C673" s="2">
        <f>IF(A673="","",SUMIFS('Input Transaksi'!$E$5:$E$5000,'Input Transaksi'!$D$5:$D$5000,A673))</f>
        <v/>
      </c>
      <c r="D673" s="2">
        <f>IF(OR(A673="",B673=""),"",B673-C673)</f>
        <v/>
      </c>
    </row>
    <row r="674">
      <c r="A674" s="5" t="n"/>
      <c r="B674" s="6" t="n"/>
      <c r="C674" s="2">
        <f>IF(A674="","",SUMIFS('Input Transaksi'!$E$5:$E$5000,'Input Transaksi'!$D$5:$D$5000,A674))</f>
        <v/>
      </c>
      <c r="D674" s="2">
        <f>IF(OR(A674="",B674=""),"",B674-C674)</f>
        <v/>
      </c>
    </row>
    <row r="675">
      <c r="A675" s="5" t="n"/>
      <c r="B675" s="6" t="n"/>
      <c r="C675" s="2">
        <f>IF(A675="","",SUMIFS('Input Transaksi'!$E$5:$E$5000,'Input Transaksi'!$D$5:$D$5000,A675))</f>
        <v/>
      </c>
      <c r="D675" s="2">
        <f>IF(OR(A675="",B675=""),"",B675-C675)</f>
        <v/>
      </c>
    </row>
    <row r="676">
      <c r="A676" s="5" t="n"/>
      <c r="B676" s="6" t="n"/>
      <c r="C676" s="2">
        <f>IF(A676="","",SUMIFS('Input Transaksi'!$E$5:$E$5000,'Input Transaksi'!$D$5:$D$5000,A676))</f>
        <v/>
      </c>
      <c r="D676" s="2">
        <f>IF(OR(A676="",B676=""),"",B676-C676)</f>
        <v/>
      </c>
    </row>
    <row r="677">
      <c r="A677" s="5" t="n"/>
      <c r="B677" s="6" t="n"/>
      <c r="C677" s="2">
        <f>IF(A677="","",SUMIFS('Input Transaksi'!$E$5:$E$5000,'Input Transaksi'!$D$5:$D$5000,A677))</f>
        <v/>
      </c>
      <c r="D677" s="2">
        <f>IF(OR(A677="",B677=""),"",B677-C677)</f>
        <v/>
      </c>
    </row>
    <row r="678">
      <c r="A678" s="5" t="n"/>
      <c r="B678" s="6" t="n"/>
      <c r="C678" s="2">
        <f>IF(A678="","",SUMIFS('Input Transaksi'!$E$5:$E$5000,'Input Transaksi'!$D$5:$D$5000,A678))</f>
        <v/>
      </c>
      <c r="D678" s="2">
        <f>IF(OR(A678="",B678=""),"",B678-C678)</f>
        <v/>
      </c>
    </row>
    <row r="679">
      <c r="A679" s="5" t="n"/>
      <c r="B679" s="6" t="n"/>
      <c r="C679" s="2">
        <f>IF(A679="","",SUMIFS('Input Transaksi'!$E$5:$E$5000,'Input Transaksi'!$D$5:$D$5000,A679))</f>
        <v/>
      </c>
      <c r="D679" s="2">
        <f>IF(OR(A679="",B679=""),"",B679-C679)</f>
        <v/>
      </c>
    </row>
    <row r="680">
      <c r="A680" s="5" t="n"/>
      <c r="B680" s="6" t="n"/>
      <c r="C680" s="2">
        <f>IF(A680="","",SUMIFS('Input Transaksi'!$E$5:$E$5000,'Input Transaksi'!$D$5:$D$5000,A680))</f>
        <v/>
      </c>
      <c r="D680" s="2">
        <f>IF(OR(A680="",B680=""),"",B680-C680)</f>
        <v/>
      </c>
    </row>
    <row r="681">
      <c r="A681" s="5" t="n"/>
      <c r="B681" s="6" t="n"/>
      <c r="C681" s="2">
        <f>IF(A681="","",SUMIFS('Input Transaksi'!$E$5:$E$5000,'Input Transaksi'!$D$5:$D$5000,A681))</f>
        <v/>
      </c>
      <c r="D681" s="2">
        <f>IF(OR(A681="",B681=""),"",B681-C681)</f>
        <v/>
      </c>
    </row>
    <row r="682">
      <c r="A682" s="5" t="n"/>
      <c r="B682" s="6" t="n"/>
      <c r="C682" s="2">
        <f>IF(A682="","",SUMIFS('Input Transaksi'!$E$5:$E$5000,'Input Transaksi'!$D$5:$D$5000,A682))</f>
        <v/>
      </c>
      <c r="D682" s="2">
        <f>IF(OR(A682="",B682=""),"",B682-C682)</f>
        <v/>
      </c>
    </row>
    <row r="683">
      <c r="A683" s="5" t="n"/>
      <c r="B683" s="6" t="n"/>
      <c r="C683" s="2">
        <f>IF(A683="","",SUMIFS('Input Transaksi'!$E$5:$E$5000,'Input Transaksi'!$D$5:$D$5000,A683))</f>
        <v/>
      </c>
      <c r="D683" s="2">
        <f>IF(OR(A683="",B683=""),"",B683-C683)</f>
        <v/>
      </c>
    </row>
    <row r="684">
      <c r="A684" s="5" t="n"/>
      <c r="B684" s="6" t="n"/>
      <c r="C684" s="2">
        <f>IF(A684="","",SUMIFS('Input Transaksi'!$E$5:$E$5000,'Input Transaksi'!$D$5:$D$5000,A684))</f>
        <v/>
      </c>
      <c r="D684" s="2">
        <f>IF(OR(A684="",B684=""),"",B684-C684)</f>
        <v/>
      </c>
    </row>
    <row r="685">
      <c r="A685" s="5" t="n"/>
      <c r="B685" s="6" t="n"/>
      <c r="C685" s="2">
        <f>IF(A685="","",SUMIFS('Input Transaksi'!$E$5:$E$5000,'Input Transaksi'!$D$5:$D$5000,A685))</f>
        <v/>
      </c>
      <c r="D685" s="2">
        <f>IF(OR(A685="",B685=""),"",B685-C685)</f>
        <v/>
      </c>
    </row>
    <row r="686">
      <c r="A686" s="5" t="n"/>
      <c r="B686" s="6" t="n"/>
      <c r="C686" s="2">
        <f>IF(A686="","",SUMIFS('Input Transaksi'!$E$5:$E$5000,'Input Transaksi'!$D$5:$D$5000,A686))</f>
        <v/>
      </c>
      <c r="D686" s="2">
        <f>IF(OR(A686="",B686=""),"",B686-C686)</f>
        <v/>
      </c>
    </row>
    <row r="687">
      <c r="A687" s="5" t="n"/>
      <c r="B687" s="6" t="n"/>
      <c r="C687" s="2">
        <f>IF(A687="","",SUMIFS('Input Transaksi'!$E$5:$E$5000,'Input Transaksi'!$D$5:$D$5000,A687))</f>
        <v/>
      </c>
      <c r="D687" s="2">
        <f>IF(OR(A687="",B687=""),"",B687-C687)</f>
        <v/>
      </c>
    </row>
    <row r="688">
      <c r="A688" s="5" t="n"/>
      <c r="B688" s="6" t="n"/>
      <c r="C688" s="2">
        <f>IF(A688="","",SUMIFS('Input Transaksi'!$E$5:$E$5000,'Input Transaksi'!$D$5:$D$5000,A688))</f>
        <v/>
      </c>
      <c r="D688" s="2">
        <f>IF(OR(A688="",B688=""),"",B688-C688)</f>
        <v/>
      </c>
    </row>
    <row r="689">
      <c r="A689" s="5" t="n"/>
      <c r="B689" s="6" t="n"/>
      <c r="C689" s="2">
        <f>IF(A689="","",SUMIFS('Input Transaksi'!$E$5:$E$5000,'Input Transaksi'!$D$5:$D$5000,A689))</f>
        <v/>
      </c>
      <c r="D689" s="2">
        <f>IF(OR(A689="",B689=""),"",B689-C689)</f>
        <v/>
      </c>
    </row>
    <row r="690">
      <c r="A690" s="5" t="n"/>
      <c r="B690" s="6" t="n"/>
      <c r="C690" s="2">
        <f>IF(A690="","",SUMIFS('Input Transaksi'!$E$5:$E$5000,'Input Transaksi'!$D$5:$D$5000,A690))</f>
        <v/>
      </c>
      <c r="D690" s="2">
        <f>IF(OR(A690="",B690=""),"",B690-C690)</f>
        <v/>
      </c>
    </row>
    <row r="691">
      <c r="A691" s="5" t="n"/>
      <c r="B691" s="6" t="n"/>
      <c r="C691" s="2">
        <f>IF(A691="","",SUMIFS('Input Transaksi'!$E$5:$E$5000,'Input Transaksi'!$D$5:$D$5000,A691))</f>
        <v/>
      </c>
      <c r="D691" s="2">
        <f>IF(OR(A691="",B691=""),"",B691-C691)</f>
        <v/>
      </c>
    </row>
    <row r="692">
      <c r="A692" s="5" t="n"/>
      <c r="B692" s="6" t="n"/>
      <c r="C692" s="2">
        <f>IF(A692="","",SUMIFS('Input Transaksi'!$E$5:$E$5000,'Input Transaksi'!$D$5:$D$5000,A692))</f>
        <v/>
      </c>
      <c r="D692" s="2">
        <f>IF(OR(A692="",B692=""),"",B692-C692)</f>
        <v/>
      </c>
    </row>
    <row r="693">
      <c r="A693" s="5" t="n"/>
      <c r="B693" s="6" t="n"/>
      <c r="C693" s="2">
        <f>IF(A693="","",SUMIFS('Input Transaksi'!$E$5:$E$5000,'Input Transaksi'!$D$5:$D$5000,A693))</f>
        <v/>
      </c>
      <c r="D693" s="2">
        <f>IF(OR(A693="",B693=""),"",B693-C693)</f>
        <v/>
      </c>
    </row>
    <row r="694">
      <c r="A694" s="5" t="n"/>
      <c r="B694" s="6" t="n"/>
      <c r="C694" s="2">
        <f>IF(A694="","",SUMIFS('Input Transaksi'!$E$5:$E$5000,'Input Transaksi'!$D$5:$D$5000,A694))</f>
        <v/>
      </c>
      <c r="D694" s="2">
        <f>IF(OR(A694="",B694=""),"",B694-C694)</f>
        <v/>
      </c>
    </row>
    <row r="695">
      <c r="A695" s="5" t="n"/>
      <c r="B695" s="6" t="n"/>
      <c r="C695" s="2">
        <f>IF(A695="","",SUMIFS('Input Transaksi'!$E$5:$E$5000,'Input Transaksi'!$D$5:$D$5000,A695))</f>
        <v/>
      </c>
      <c r="D695" s="2">
        <f>IF(OR(A695="",B695=""),"",B695-C695)</f>
        <v/>
      </c>
    </row>
    <row r="696">
      <c r="A696" s="5" t="n"/>
      <c r="B696" s="6" t="n"/>
      <c r="C696" s="2">
        <f>IF(A696="","",SUMIFS('Input Transaksi'!$E$5:$E$5000,'Input Transaksi'!$D$5:$D$5000,A696))</f>
        <v/>
      </c>
      <c r="D696" s="2">
        <f>IF(OR(A696="",B696=""),"",B696-C696)</f>
        <v/>
      </c>
    </row>
    <row r="697">
      <c r="A697" s="5" t="n"/>
      <c r="B697" s="6" t="n"/>
      <c r="C697" s="2">
        <f>IF(A697="","",SUMIFS('Input Transaksi'!$E$5:$E$5000,'Input Transaksi'!$D$5:$D$5000,A697))</f>
        <v/>
      </c>
      <c r="D697" s="2">
        <f>IF(OR(A697="",B697=""),"",B697-C697)</f>
        <v/>
      </c>
    </row>
    <row r="698">
      <c r="A698" s="5" t="n"/>
      <c r="B698" s="6" t="n"/>
      <c r="C698" s="2">
        <f>IF(A698="","",SUMIFS('Input Transaksi'!$E$5:$E$5000,'Input Transaksi'!$D$5:$D$5000,A698))</f>
        <v/>
      </c>
      <c r="D698" s="2">
        <f>IF(OR(A698="",B698=""),"",B698-C698)</f>
        <v/>
      </c>
    </row>
    <row r="699">
      <c r="A699" s="5" t="n"/>
      <c r="B699" s="6" t="n"/>
      <c r="C699" s="2">
        <f>IF(A699="","",SUMIFS('Input Transaksi'!$E$5:$E$5000,'Input Transaksi'!$D$5:$D$5000,A699))</f>
        <v/>
      </c>
      <c r="D699" s="2">
        <f>IF(OR(A699="",B699=""),"",B699-C699)</f>
        <v/>
      </c>
    </row>
    <row r="700">
      <c r="A700" s="5" t="n"/>
      <c r="B700" s="6" t="n"/>
      <c r="C700" s="2">
        <f>IF(A700="","",SUMIFS('Input Transaksi'!$E$5:$E$5000,'Input Transaksi'!$D$5:$D$5000,A700))</f>
        <v/>
      </c>
      <c r="D700" s="2">
        <f>IF(OR(A700="",B700=""),"",B700-C700)</f>
        <v/>
      </c>
    </row>
    <row r="701">
      <c r="A701" s="5" t="n"/>
      <c r="B701" s="6" t="n"/>
      <c r="C701" s="2">
        <f>IF(A701="","",SUMIFS('Input Transaksi'!$E$5:$E$5000,'Input Transaksi'!$D$5:$D$5000,A701))</f>
        <v/>
      </c>
      <c r="D701" s="2">
        <f>IF(OR(A701="",B701=""),"",B701-C701)</f>
        <v/>
      </c>
    </row>
    <row r="702">
      <c r="A702" s="5" t="n"/>
      <c r="B702" s="6" t="n"/>
      <c r="C702" s="2">
        <f>IF(A702="","",SUMIFS('Input Transaksi'!$E$5:$E$5000,'Input Transaksi'!$D$5:$D$5000,A702))</f>
        <v/>
      </c>
      <c r="D702" s="2">
        <f>IF(OR(A702="",B702=""),"",B702-C702)</f>
        <v/>
      </c>
    </row>
    <row r="703">
      <c r="A703" s="5" t="n"/>
      <c r="B703" s="6" t="n"/>
      <c r="C703" s="2">
        <f>IF(A703="","",SUMIFS('Input Transaksi'!$E$5:$E$5000,'Input Transaksi'!$D$5:$D$5000,A703))</f>
        <v/>
      </c>
      <c r="D703" s="2">
        <f>IF(OR(A703="",B703=""),"",B703-C703)</f>
        <v/>
      </c>
    </row>
    <row r="704">
      <c r="A704" s="5" t="n"/>
      <c r="B704" s="6" t="n"/>
      <c r="C704" s="2">
        <f>IF(A704="","",SUMIFS('Input Transaksi'!$E$5:$E$5000,'Input Transaksi'!$D$5:$D$5000,A704))</f>
        <v/>
      </c>
      <c r="D704" s="2">
        <f>IF(OR(A704="",B704=""),"",B704-C704)</f>
        <v/>
      </c>
    </row>
    <row r="705">
      <c r="A705" s="5" t="n"/>
      <c r="B705" s="6" t="n"/>
      <c r="C705" s="2">
        <f>IF(A705="","",SUMIFS('Input Transaksi'!$E$5:$E$5000,'Input Transaksi'!$D$5:$D$5000,A705))</f>
        <v/>
      </c>
      <c r="D705" s="2">
        <f>IF(OR(A705="",B705=""),"",B705-C705)</f>
        <v/>
      </c>
    </row>
    <row r="706">
      <c r="A706" s="5" t="n"/>
      <c r="B706" s="6" t="n"/>
      <c r="C706" s="2">
        <f>IF(A706="","",SUMIFS('Input Transaksi'!$E$5:$E$5000,'Input Transaksi'!$D$5:$D$5000,A706))</f>
        <v/>
      </c>
      <c r="D706" s="2">
        <f>IF(OR(A706="",B706=""),"",B706-C706)</f>
        <v/>
      </c>
    </row>
    <row r="707">
      <c r="A707" s="5" t="n"/>
      <c r="B707" s="6" t="n"/>
      <c r="C707" s="2">
        <f>IF(A707="","",SUMIFS('Input Transaksi'!$E$5:$E$5000,'Input Transaksi'!$D$5:$D$5000,A707))</f>
        <v/>
      </c>
      <c r="D707" s="2">
        <f>IF(OR(A707="",B707=""),"",B707-C707)</f>
        <v/>
      </c>
    </row>
    <row r="708">
      <c r="A708" s="5" t="n"/>
      <c r="B708" s="6" t="n"/>
      <c r="C708" s="2">
        <f>IF(A708="","",SUMIFS('Input Transaksi'!$E$5:$E$5000,'Input Transaksi'!$D$5:$D$5000,A708))</f>
        <v/>
      </c>
      <c r="D708" s="2">
        <f>IF(OR(A708="",B708=""),"",B708-C708)</f>
        <v/>
      </c>
    </row>
    <row r="709">
      <c r="A709" s="5" t="n"/>
      <c r="B709" s="6" t="n"/>
      <c r="C709" s="2">
        <f>IF(A709="","",SUMIFS('Input Transaksi'!$E$5:$E$5000,'Input Transaksi'!$D$5:$D$5000,A709))</f>
        <v/>
      </c>
      <c r="D709" s="2">
        <f>IF(OR(A709="",B709=""),"",B709-C709)</f>
        <v/>
      </c>
    </row>
    <row r="710">
      <c r="A710" s="5" t="n"/>
      <c r="B710" s="6" t="n"/>
      <c r="C710" s="2">
        <f>IF(A710="","",SUMIFS('Input Transaksi'!$E$5:$E$5000,'Input Transaksi'!$D$5:$D$5000,A710))</f>
        <v/>
      </c>
      <c r="D710" s="2">
        <f>IF(OR(A710="",B710=""),"",B710-C710)</f>
        <v/>
      </c>
    </row>
    <row r="711">
      <c r="A711" s="5" t="n"/>
      <c r="B711" s="6" t="n"/>
      <c r="C711" s="2">
        <f>IF(A711="","",SUMIFS('Input Transaksi'!$E$5:$E$5000,'Input Transaksi'!$D$5:$D$5000,A711))</f>
        <v/>
      </c>
      <c r="D711" s="2">
        <f>IF(OR(A711="",B711=""),"",B711-C711)</f>
        <v/>
      </c>
    </row>
    <row r="712">
      <c r="A712" s="5" t="n"/>
      <c r="B712" s="6" t="n"/>
      <c r="C712" s="2">
        <f>IF(A712="","",SUMIFS('Input Transaksi'!$E$5:$E$5000,'Input Transaksi'!$D$5:$D$5000,A712))</f>
        <v/>
      </c>
      <c r="D712" s="2">
        <f>IF(OR(A712="",B712=""),"",B712-C712)</f>
        <v/>
      </c>
    </row>
    <row r="713">
      <c r="A713" s="5" t="n"/>
      <c r="B713" s="6" t="n"/>
      <c r="C713" s="2">
        <f>IF(A713="","",SUMIFS('Input Transaksi'!$E$5:$E$5000,'Input Transaksi'!$D$5:$D$5000,A713))</f>
        <v/>
      </c>
      <c r="D713" s="2">
        <f>IF(OR(A713="",B713=""),"",B713-C713)</f>
        <v/>
      </c>
    </row>
    <row r="714">
      <c r="A714" s="5" t="n"/>
      <c r="B714" s="6" t="n"/>
      <c r="C714" s="2">
        <f>IF(A714="","",SUMIFS('Input Transaksi'!$E$5:$E$5000,'Input Transaksi'!$D$5:$D$5000,A714))</f>
        <v/>
      </c>
      <c r="D714" s="2">
        <f>IF(OR(A714="",B714=""),"",B714-C714)</f>
        <v/>
      </c>
    </row>
    <row r="715">
      <c r="A715" s="5" t="n"/>
      <c r="B715" s="6" t="n"/>
      <c r="C715" s="2">
        <f>IF(A715="","",SUMIFS('Input Transaksi'!$E$5:$E$5000,'Input Transaksi'!$D$5:$D$5000,A715))</f>
        <v/>
      </c>
      <c r="D715" s="2">
        <f>IF(OR(A715="",B715=""),"",B715-C715)</f>
        <v/>
      </c>
    </row>
    <row r="716">
      <c r="A716" s="5" t="n"/>
      <c r="B716" s="6" t="n"/>
      <c r="C716" s="2">
        <f>IF(A716="","",SUMIFS('Input Transaksi'!$E$5:$E$5000,'Input Transaksi'!$D$5:$D$5000,A716))</f>
        <v/>
      </c>
      <c r="D716" s="2">
        <f>IF(OR(A716="",B716=""),"",B716-C716)</f>
        <v/>
      </c>
    </row>
    <row r="717">
      <c r="A717" s="5" t="n"/>
      <c r="B717" s="6" t="n"/>
      <c r="C717" s="2">
        <f>IF(A717="","",SUMIFS('Input Transaksi'!$E$5:$E$5000,'Input Transaksi'!$D$5:$D$5000,A717))</f>
        <v/>
      </c>
      <c r="D717" s="2">
        <f>IF(OR(A717="",B717=""),"",B717-C717)</f>
        <v/>
      </c>
    </row>
    <row r="718">
      <c r="A718" s="5" t="n"/>
      <c r="B718" s="6" t="n"/>
      <c r="C718" s="2">
        <f>IF(A718="","",SUMIFS('Input Transaksi'!$E$5:$E$5000,'Input Transaksi'!$D$5:$D$5000,A718))</f>
        <v/>
      </c>
      <c r="D718" s="2">
        <f>IF(OR(A718="",B718=""),"",B718-C718)</f>
        <v/>
      </c>
    </row>
    <row r="719">
      <c r="A719" s="5" t="n"/>
      <c r="B719" s="6" t="n"/>
      <c r="C719" s="2">
        <f>IF(A719="","",SUMIFS('Input Transaksi'!$E$5:$E$5000,'Input Transaksi'!$D$5:$D$5000,A719))</f>
        <v/>
      </c>
      <c r="D719" s="2">
        <f>IF(OR(A719="",B719=""),"",B719-C719)</f>
        <v/>
      </c>
    </row>
    <row r="720">
      <c r="A720" s="5" t="n"/>
      <c r="B720" s="6" t="n"/>
      <c r="C720" s="2">
        <f>IF(A720="","",SUMIFS('Input Transaksi'!$E$5:$E$5000,'Input Transaksi'!$D$5:$D$5000,A720))</f>
        <v/>
      </c>
      <c r="D720" s="2">
        <f>IF(OR(A720="",B720=""),"",B720-C720)</f>
        <v/>
      </c>
    </row>
    <row r="721">
      <c r="A721" s="5" t="n"/>
      <c r="B721" s="6" t="n"/>
      <c r="C721" s="2">
        <f>IF(A721="","",SUMIFS('Input Transaksi'!$E$5:$E$5000,'Input Transaksi'!$D$5:$D$5000,A721))</f>
        <v/>
      </c>
      <c r="D721" s="2">
        <f>IF(OR(A721="",B721=""),"",B721-C721)</f>
        <v/>
      </c>
    </row>
    <row r="722">
      <c r="A722" s="5" t="n"/>
      <c r="B722" s="6" t="n"/>
      <c r="C722" s="2">
        <f>IF(A722="","",SUMIFS('Input Transaksi'!$E$5:$E$5000,'Input Transaksi'!$D$5:$D$5000,A722))</f>
        <v/>
      </c>
      <c r="D722" s="2">
        <f>IF(OR(A722="",B722=""),"",B722-C722)</f>
        <v/>
      </c>
    </row>
    <row r="723">
      <c r="A723" s="5" t="n"/>
      <c r="B723" s="6" t="n"/>
      <c r="C723" s="2">
        <f>IF(A723="","",SUMIFS('Input Transaksi'!$E$5:$E$5000,'Input Transaksi'!$D$5:$D$5000,A723))</f>
        <v/>
      </c>
      <c r="D723" s="2">
        <f>IF(OR(A723="",B723=""),"",B723-C723)</f>
        <v/>
      </c>
    </row>
    <row r="724">
      <c r="A724" s="5" t="n"/>
      <c r="B724" s="6" t="n"/>
      <c r="C724" s="2">
        <f>IF(A724="","",SUMIFS('Input Transaksi'!$E$5:$E$5000,'Input Transaksi'!$D$5:$D$5000,A724))</f>
        <v/>
      </c>
      <c r="D724" s="2">
        <f>IF(OR(A724="",B724=""),"",B724-C724)</f>
        <v/>
      </c>
    </row>
    <row r="725">
      <c r="A725" s="5" t="n"/>
      <c r="B725" s="6" t="n"/>
      <c r="C725" s="2">
        <f>IF(A725="","",SUMIFS('Input Transaksi'!$E$5:$E$5000,'Input Transaksi'!$D$5:$D$5000,A725))</f>
        <v/>
      </c>
      <c r="D725" s="2">
        <f>IF(OR(A725="",B725=""),"",B725-C725)</f>
        <v/>
      </c>
    </row>
    <row r="726">
      <c r="A726" s="5" t="n"/>
      <c r="B726" s="6" t="n"/>
      <c r="C726" s="2">
        <f>IF(A726="","",SUMIFS('Input Transaksi'!$E$5:$E$5000,'Input Transaksi'!$D$5:$D$5000,A726))</f>
        <v/>
      </c>
      <c r="D726" s="2">
        <f>IF(OR(A726="",B726=""),"",B726-C726)</f>
        <v/>
      </c>
    </row>
    <row r="727">
      <c r="A727" s="5" t="n"/>
      <c r="B727" s="6" t="n"/>
      <c r="C727" s="2">
        <f>IF(A727="","",SUMIFS('Input Transaksi'!$E$5:$E$5000,'Input Transaksi'!$D$5:$D$5000,A727))</f>
        <v/>
      </c>
      <c r="D727" s="2">
        <f>IF(OR(A727="",B727=""),"",B727-C727)</f>
        <v/>
      </c>
    </row>
    <row r="728">
      <c r="A728" s="5" t="n"/>
      <c r="B728" s="6" t="n"/>
      <c r="C728" s="2">
        <f>IF(A728="","",SUMIFS('Input Transaksi'!$E$5:$E$5000,'Input Transaksi'!$D$5:$D$5000,A728))</f>
        <v/>
      </c>
      <c r="D728" s="2">
        <f>IF(OR(A728="",B728=""),"",B728-C728)</f>
        <v/>
      </c>
    </row>
    <row r="729">
      <c r="A729" s="5" t="n"/>
      <c r="B729" s="6" t="n"/>
      <c r="C729" s="2">
        <f>IF(A729="","",SUMIFS('Input Transaksi'!$E$5:$E$5000,'Input Transaksi'!$D$5:$D$5000,A729))</f>
        <v/>
      </c>
      <c r="D729" s="2">
        <f>IF(OR(A729="",B729=""),"",B729-C729)</f>
        <v/>
      </c>
    </row>
    <row r="730">
      <c r="A730" s="5" t="n"/>
      <c r="B730" s="6" t="n"/>
      <c r="C730" s="2">
        <f>IF(A730="","",SUMIFS('Input Transaksi'!$E$5:$E$5000,'Input Transaksi'!$D$5:$D$5000,A730))</f>
        <v/>
      </c>
      <c r="D730" s="2">
        <f>IF(OR(A730="",B730=""),"",B730-C730)</f>
        <v/>
      </c>
    </row>
    <row r="731">
      <c r="A731" s="5" t="n"/>
      <c r="B731" s="6" t="n"/>
      <c r="C731" s="2">
        <f>IF(A731="","",SUMIFS('Input Transaksi'!$E$5:$E$5000,'Input Transaksi'!$D$5:$D$5000,A731))</f>
        <v/>
      </c>
      <c r="D731" s="2">
        <f>IF(OR(A731="",B731=""),"",B731-C731)</f>
        <v/>
      </c>
    </row>
    <row r="732">
      <c r="A732" s="5" t="n"/>
      <c r="B732" s="6" t="n"/>
      <c r="C732" s="2">
        <f>IF(A732="","",SUMIFS('Input Transaksi'!$E$5:$E$5000,'Input Transaksi'!$D$5:$D$5000,A732))</f>
        <v/>
      </c>
      <c r="D732" s="2">
        <f>IF(OR(A732="",B732=""),"",B732-C732)</f>
        <v/>
      </c>
    </row>
    <row r="733">
      <c r="A733" s="5" t="n"/>
      <c r="B733" s="6" t="n"/>
      <c r="C733" s="2">
        <f>IF(A733="","",SUMIFS('Input Transaksi'!$E$5:$E$5000,'Input Transaksi'!$D$5:$D$5000,A733))</f>
        <v/>
      </c>
      <c r="D733" s="2">
        <f>IF(OR(A733="",B733=""),"",B733-C733)</f>
        <v/>
      </c>
    </row>
    <row r="734">
      <c r="A734" s="5" t="n"/>
      <c r="B734" s="6" t="n"/>
      <c r="C734" s="2">
        <f>IF(A734="","",SUMIFS('Input Transaksi'!$E$5:$E$5000,'Input Transaksi'!$D$5:$D$5000,A734))</f>
        <v/>
      </c>
      <c r="D734" s="2">
        <f>IF(OR(A734="",B734=""),"",B734-C734)</f>
        <v/>
      </c>
    </row>
    <row r="735">
      <c r="A735" s="5" t="n"/>
      <c r="B735" s="6" t="n"/>
      <c r="C735" s="2">
        <f>IF(A735="","",SUMIFS('Input Transaksi'!$E$5:$E$5000,'Input Transaksi'!$D$5:$D$5000,A735))</f>
        <v/>
      </c>
      <c r="D735" s="2">
        <f>IF(OR(A735="",B735=""),"",B735-C735)</f>
        <v/>
      </c>
    </row>
    <row r="736">
      <c r="A736" s="5" t="n"/>
      <c r="B736" s="6" t="n"/>
      <c r="C736" s="2">
        <f>IF(A736="","",SUMIFS('Input Transaksi'!$E$5:$E$5000,'Input Transaksi'!$D$5:$D$5000,A736))</f>
        <v/>
      </c>
      <c r="D736" s="2">
        <f>IF(OR(A736="",B736=""),"",B736-C736)</f>
        <v/>
      </c>
    </row>
    <row r="737">
      <c r="A737" s="5" t="n"/>
      <c r="B737" s="6" t="n"/>
      <c r="C737" s="2">
        <f>IF(A737="","",SUMIFS('Input Transaksi'!$E$5:$E$5000,'Input Transaksi'!$D$5:$D$5000,A737))</f>
        <v/>
      </c>
      <c r="D737" s="2">
        <f>IF(OR(A737="",B737=""),"",B737-C737)</f>
        <v/>
      </c>
    </row>
    <row r="738">
      <c r="A738" s="5" t="n"/>
      <c r="B738" s="6" t="n"/>
      <c r="C738" s="2">
        <f>IF(A738="","",SUMIFS('Input Transaksi'!$E$5:$E$5000,'Input Transaksi'!$D$5:$D$5000,A738))</f>
        <v/>
      </c>
      <c r="D738" s="2">
        <f>IF(OR(A738="",B738=""),"",B738-C738)</f>
        <v/>
      </c>
    </row>
    <row r="739">
      <c r="A739" s="5" t="n"/>
      <c r="B739" s="6" t="n"/>
      <c r="C739" s="2">
        <f>IF(A739="","",SUMIFS('Input Transaksi'!$E$5:$E$5000,'Input Transaksi'!$D$5:$D$5000,A739))</f>
        <v/>
      </c>
      <c r="D739" s="2">
        <f>IF(OR(A739="",B739=""),"",B739-C739)</f>
        <v/>
      </c>
    </row>
    <row r="740">
      <c r="A740" s="5" t="n"/>
      <c r="B740" s="6" t="n"/>
      <c r="C740" s="2">
        <f>IF(A740="","",SUMIFS('Input Transaksi'!$E$5:$E$5000,'Input Transaksi'!$D$5:$D$5000,A740))</f>
        <v/>
      </c>
      <c r="D740" s="2">
        <f>IF(OR(A740="",B740=""),"",B740-C740)</f>
        <v/>
      </c>
    </row>
    <row r="741">
      <c r="A741" s="5" t="n"/>
      <c r="B741" s="6" t="n"/>
      <c r="C741" s="2">
        <f>IF(A741="","",SUMIFS('Input Transaksi'!$E$5:$E$5000,'Input Transaksi'!$D$5:$D$5000,A741))</f>
        <v/>
      </c>
      <c r="D741" s="2">
        <f>IF(OR(A741="",B741=""),"",B741-C741)</f>
        <v/>
      </c>
    </row>
    <row r="742">
      <c r="A742" s="5" t="n"/>
      <c r="B742" s="6" t="n"/>
      <c r="C742" s="2">
        <f>IF(A742="","",SUMIFS('Input Transaksi'!$E$5:$E$5000,'Input Transaksi'!$D$5:$D$5000,A742))</f>
        <v/>
      </c>
      <c r="D742" s="2">
        <f>IF(OR(A742="",B742=""),"",B742-C742)</f>
        <v/>
      </c>
    </row>
    <row r="743">
      <c r="A743" s="5" t="n"/>
      <c r="B743" s="6" t="n"/>
      <c r="C743" s="2">
        <f>IF(A743="","",SUMIFS('Input Transaksi'!$E$5:$E$5000,'Input Transaksi'!$D$5:$D$5000,A743))</f>
        <v/>
      </c>
      <c r="D743" s="2">
        <f>IF(OR(A743="",B743=""),"",B743-C743)</f>
        <v/>
      </c>
    </row>
    <row r="744">
      <c r="A744" s="5" t="n"/>
      <c r="B744" s="6" t="n"/>
      <c r="C744" s="2">
        <f>IF(A744="","",SUMIFS('Input Transaksi'!$E$5:$E$5000,'Input Transaksi'!$D$5:$D$5000,A744))</f>
        <v/>
      </c>
      <c r="D744" s="2">
        <f>IF(OR(A744="",B744=""),"",B744-C744)</f>
        <v/>
      </c>
    </row>
    <row r="745">
      <c r="A745" s="5" t="n"/>
      <c r="B745" s="6" t="n"/>
      <c r="C745" s="2">
        <f>IF(A745="","",SUMIFS('Input Transaksi'!$E$5:$E$5000,'Input Transaksi'!$D$5:$D$5000,A745))</f>
        <v/>
      </c>
      <c r="D745" s="2">
        <f>IF(OR(A745="",B745=""),"",B745-C745)</f>
        <v/>
      </c>
    </row>
    <row r="746">
      <c r="A746" s="5" t="n"/>
      <c r="B746" s="6" t="n"/>
      <c r="C746" s="2">
        <f>IF(A746="","",SUMIFS('Input Transaksi'!$E$5:$E$5000,'Input Transaksi'!$D$5:$D$5000,A746))</f>
        <v/>
      </c>
      <c r="D746" s="2">
        <f>IF(OR(A746="",B746=""),"",B746-C746)</f>
        <v/>
      </c>
    </row>
    <row r="747">
      <c r="A747" s="5" t="n"/>
      <c r="B747" s="6" t="n"/>
      <c r="C747" s="2">
        <f>IF(A747="","",SUMIFS('Input Transaksi'!$E$5:$E$5000,'Input Transaksi'!$D$5:$D$5000,A747))</f>
        <v/>
      </c>
      <c r="D747" s="2">
        <f>IF(OR(A747="",B747=""),"",B747-C747)</f>
        <v/>
      </c>
    </row>
    <row r="748">
      <c r="A748" s="5" t="n"/>
      <c r="B748" s="6" t="n"/>
      <c r="C748" s="2">
        <f>IF(A748="","",SUMIFS('Input Transaksi'!$E$5:$E$5000,'Input Transaksi'!$D$5:$D$5000,A748))</f>
        <v/>
      </c>
      <c r="D748" s="2">
        <f>IF(OR(A748="",B748=""),"",B748-C748)</f>
        <v/>
      </c>
    </row>
    <row r="749">
      <c r="A749" s="5" t="n"/>
      <c r="B749" s="6" t="n"/>
      <c r="C749" s="2">
        <f>IF(A749="","",SUMIFS('Input Transaksi'!$E$5:$E$5000,'Input Transaksi'!$D$5:$D$5000,A749))</f>
        <v/>
      </c>
      <c r="D749" s="2">
        <f>IF(OR(A749="",B749=""),"",B749-C749)</f>
        <v/>
      </c>
    </row>
    <row r="750">
      <c r="A750" s="5" t="n"/>
      <c r="B750" s="6" t="n"/>
      <c r="C750" s="2">
        <f>IF(A750="","",SUMIFS('Input Transaksi'!$E$5:$E$5000,'Input Transaksi'!$D$5:$D$5000,A750))</f>
        <v/>
      </c>
      <c r="D750" s="2">
        <f>IF(OR(A750="",B750=""),"",B750-C750)</f>
        <v/>
      </c>
    </row>
    <row r="751">
      <c r="A751" s="5" t="n"/>
      <c r="B751" s="6" t="n"/>
      <c r="C751" s="2">
        <f>IF(A751="","",SUMIFS('Input Transaksi'!$E$5:$E$5000,'Input Transaksi'!$D$5:$D$5000,A751))</f>
        <v/>
      </c>
      <c r="D751" s="2">
        <f>IF(OR(A751="",B751=""),"",B751-C751)</f>
        <v/>
      </c>
    </row>
    <row r="752">
      <c r="A752" s="5" t="n"/>
      <c r="B752" s="6" t="n"/>
      <c r="C752" s="2">
        <f>IF(A752="","",SUMIFS('Input Transaksi'!$E$5:$E$5000,'Input Transaksi'!$D$5:$D$5000,A752))</f>
        <v/>
      </c>
      <c r="D752" s="2">
        <f>IF(OR(A752="",B752=""),"",B752-C752)</f>
        <v/>
      </c>
    </row>
    <row r="753">
      <c r="A753" s="5" t="n"/>
      <c r="B753" s="6" t="n"/>
      <c r="C753" s="2">
        <f>IF(A753="","",SUMIFS('Input Transaksi'!$E$5:$E$5000,'Input Transaksi'!$D$5:$D$5000,A753))</f>
        <v/>
      </c>
      <c r="D753" s="2">
        <f>IF(OR(A753="",B753=""),"",B753-C753)</f>
        <v/>
      </c>
    </row>
    <row r="754">
      <c r="A754" s="5" t="n"/>
      <c r="B754" s="6" t="n"/>
      <c r="C754" s="2">
        <f>IF(A754="","",SUMIFS('Input Transaksi'!$E$5:$E$5000,'Input Transaksi'!$D$5:$D$5000,A754))</f>
        <v/>
      </c>
      <c r="D754" s="2">
        <f>IF(OR(A754="",B754=""),"",B754-C754)</f>
        <v/>
      </c>
    </row>
    <row r="755">
      <c r="A755" s="5" t="n"/>
      <c r="B755" s="6" t="n"/>
      <c r="C755" s="2">
        <f>IF(A755="","",SUMIFS('Input Transaksi'!$E$5:$E$5000,'Input Transaksi'!$D$5:$D$5000,A755))</f>
        <v/>
      </c>
      <c r="D755" s="2">
        <f>IF(OR(A755="",B755=""),"",B755-C755)</f>
        <v/>
      </c>
    </row>
    <row r="756">
      <c r="A756" s="5" t="n"/>
      <c r="B756" s="6" t="n"/>
      <c r="C756" s="2">
        <f>IF(A756="","",SUMIFS('Input Transaksi'!$E$5:$E$5000,'Input Transaksi'!$D$5:$D$5000,A756))</f>
        <v/>
      </c>
      <c r="D756" s="2">
        <f>IF(OR(A756="",B756=""),"",B756-C756)</f>
        <v/>
      </c>
    </row>
    <row r="757">
      <c r="A757" s="5" t="n"/>
      <c r="B757" s="6" t="n"/>
      <c r="C757" s="2">
        <f>IF(A757="","",SUMIFS('Input Transaksi'!$E$5:$E$5000,'Input Transaksi'!$D$5:$D$5000,A757))</f>
        <v/>
      </c>
      <c r="D757" s="2">
        <f>IF(OR(A757="",B757=""),"",B757-C757)</f>
        <v/>
      </c>
    </row>
    <row r="758">
      <c r="A758" s="5" t="n"/>
      <c r="B758" s="6" t="n"/>
      <c r="C758" s="2">
        <f>IF(A758="","",SUMIFS('Input Transaksi'!$E$5:$E$5000,'Input Transaksi'!$D$5:$D$5000,A758))</f>
        <v/>
      </c>
      <c r="D758" s="2">
        <f>IF(OR(A758="",B758=""),"",B758-C758)</f>
        <v/>
      </c>
    </row>
    <row r="759">
      <c r="A759" s="5" t="n"/>
      <c r="B759" s="6" t="n"/>
      <c r="C759" s="2">
        <f>IF(A759="","",SUMIFS('Input Transaksi'!$E$5:$E$5000,'Input Transaksi'!$D$5:$D$5000,A759))</f>
        <v/>
      </c>
      <c r="D759" s="2">
        <f>IF(OR(A759="",B759=""),"",B759-C759)</f>
        <v/>
      </c>
    </row>
    <row r="760">
      <c r="A760" s="5" t="n"/>
      <c r="B760" s="6" t="n"/>
      <c r="C760" s="2">
        <f>IF(A760="","",SUMIFS('Input Transaksi'!$E$5:$E$5000,'Input Transaksi'!$D$5:$D$5000,A760))</f>
        <v/>
      </c>
      <c r="D760" s="2">
        <f>IF(OR(A760="",B760=""),"",B760-C760)</f>
        <v/>
      </c>
    </row>
    <row r="761">
      <c r="A761" s="5" t="n"/>
      <c r="B761" s="6" t="n"/>
      <c r="C761" s="2">
        <f>IF(A761="","",SUMIFS('Input Transaksi'!$E$5:$E$5000,'Input Transaksi'!$D$5:$D$5000,A761))</f>
        <v/>
      </c>
      <c r="D761" s="2">
        <f>IF(OR(A761="",B761=""),"",B761-C761)</f>
        <v/>
      </c>
    </row>
    <row r="762">
      <c r="A762" s="5" t="n"/>
      <c r="B762" s="6" t="n"/>
      <c r="C762" s="2">
        <f>IF(A762="","",SUMIFS('Input Transaksi'!$E$5:$E$5000,'Input Transaksi'!$D$5:$D$5000,A762))</f>
        <v/>
      </c>
      <c r="D762" s="2">
        <f>IF(OR(A762="",B762=""),"",B762-C762)</f>
        <v/>
      </c>
    </row>
    <row r="763">
      <c r="A763" s="5" t="n"/>
      <c r="B763" s="6" t="n"/>
      <c r="C763" s="2">
        <f>IF(A763="","",SUMIFS('Input Transaksi'!$E$5:$E$5000,'Input Transaksi'!$D$5:$D$5000,A763))</f>
        <v/>
      </c>
      <c r="D763" s="2">
        <f>IF(OR(A763="",B763=""),"",B763-C763)</f>
        <v/>
      </c>
    </row>
    <row r="764">
      <c r="A764" s="5" t="n"/>
      <c r="B764" s="6" t="n"/>
      <c r="C764" s="2">
        <f>IF(A764="","",SUMIFS('Input Transaksi'!$E$5:$E$5000,'Input Transaksi'!$D$5:$D$5000,A764))</f>
        <v/>
      </c>
      <c r="D764" s="2">
        <f>IF(OR(A764="",B764=""),"",B764-C764)</f>
        <v/>
      </c>
    </row>
    <row r="765">
      <c r="A765" s="5" t="n"/>
      <c r="B765" s="6" t="n"/>
      <c r="C765" s="2">
        <f>IF(A765="","",SUMIFS('Input Transaksi'!$E$5:$E$5000,'Input Transaksi'!$D$5:$D$5000,A765))</f>
        <v/>
      </c>
      <c r="D765" s="2">
        <f>IF(OR(A765="",B765=""),"",B765-C765)</f>
        <v/>
      </c>
    </row>
    <row r="766">
      <c r="A766" s="5" t="n"/>
      <c r="B766" s="6" t="n"/>
      <c r="C766" s="2">
        <f>IF(A766="","",SUMIFS('Input Transaksi'!$E$5:$E$5000,'Input Transaksi'!$D$5:$D$5000,A766))</f>
        <v/>
      </c>
      <c r="D766" s="2">
        <f>IF(OR(A766="",B766=""),"",B766-C766)</f>
        <v/>
      </c>
    </row>
    <row r="767">
      <c r="A767" s="5" t="n"/>
      <c r="B767" s="6" t="n"/>
      <c r="C767" s="2">
        <f>IF(A767="","",SUMIFS('Input Transaksi'!$E$5:$E$5000,'Input Transaksi'!$D$5:$D$5000,A767))</f>
        <v/>
      </c>
      <c r="D767" s="2">
        <f>IF(OR(A767="",B767=""),"",B767-C767)</f>
        <v/>
      </c>
    </row>
    <row r="768">
      <c r="A768" s="5" t="n"/>
      <c r="B768" s="6" t="n"/>
      <c r="C768" s="2">
        <f>IF(A768="","",SUMIFS('Input Transaksi'!$E$5:$E$5000,'Input Transaksi'!$D$5:$D$5000,A768))</f>
        <v/>
      </c>
      <c r="D768" s="2">
        <f>IF(OR(A768="",B768=""),"",B768-C768)</f>
        <v/>
      </c>
    </row>
    <row r="769">
      <c r="A769" s="5" t="n"/>
      <c r="B769" s="6" t="n"/>
      <c r="C769" s="2">
        <f>IF(A769="","",SUMIFS('Input Transaksi'!$E$5:$E$5000,'Input Transaksi'!$D$5:$D$5000,A769))</f>
        <v/>
      </c>
      <c r="D769" s="2">
        <f>IF(OR(A769="",B769=""),"",B769-C769)</f>
        <v/>
      </c>
    </row>
    <row r="770">
      <c r="A770" s="5" t="n"/>
      <c r="B770" s="6" t="n"/>
      <c r="C770" s="2">
        <f>IF(A770="","",SUMIFS('Input Transaksi'!$E$5:$E$5000,'Input Transaksi'!$D$5:$D$5000,A770))</f>
        <v/>
      </c>
      <c r="D770" s="2">
        <f>IF(OR(A770="",B770=""),"",B770-C770)</f>
        <v/>
      </c>
    </row>
    <row r="771">
      <c r="A771" s="5" t="n"/>
      <c r="B771" s="6" t="n"/>
      <c r="C771" s="2">
        <f>IF(A771="","",SUMIFS('Input Transaksi'!$E$5:$E$5000,'Input Transaksi'!$D$5:$D$5000,A771))</f>
        <v/>
      </c>
      <c r="D771" s="2">
        <f>IF(OR(A771="",B771=""),"",B771-C771)</f>
        <v/>
      </c>
    </row>
    <row r="772">
      <c r="A772" s="5" t="n"/>
      <c r="B772" s="6" t="n"/>
      <c r="C772" s="2">
        <f>IF(A772="","",SUMIFS('Input Transaksi'!$E$5:$E$5000,'Input Transaksi'!$D$5:$D$5000,A772))</f>
        <v/>
      </c>
      <c r="D772" s="2">
        <f>IF(OR(A772="",B772=""),"",B772-C772)</f>
        <v/>
      </c>
    </row>
    <row r="773">
      <c r="A773" s="5" t="n"/>
      <c r="B773" s="6" t="n"/>
      <c r="C773" s="2">
        <f>IF(A773="","",SUMIFS('Input Transaksi'!$E$5:$E$5000,'Input Transaksi'!$D$5:$D$5000,A773))</f>
        <v/>
      </c>
      <c r="D773" s="2">
        <f>IF(OR(A773="",B773=""),"",B773-C773)</f>
        <v/>
      </c>
    </row>
    <row r="774">
      <c r="A774" s="5" t="n"/>
      <c r="B774" s="6" t="n"/>
      <c r="C774" s="2">
        <f>IF(A774="","",SUMIFS('Input Transaksi'!$E$5:$E$5000,'Input Transaksi'!$D$5:$D$5000,A774))</f>
        <v/>
      </c>
      <c r="D774" s="2">
        <f>IF(OR(A774="",B774=""),"",B774-C774)</f>
        <v/>
      </c>
    </row>
    <row r="775">
      <c r="A775" s="5" t="n"/>
      <c r="B775" s="6" t="n"/>
      <c r="C775" s="2">
        <f>IF(A775="","",SUMIFS('Input Transaksi'!$E$5:$E$5000,'Input Transaksi'!$D$5:$D$5000,A775))</f>
        <v/>
      </c>
      <c r="D775" s="2">
        <f>IF(OR(A775="",B775=""),"",B775-C775)</f>
        <v/>
      </c>
    </row>
    <row r="776">
      <c r="A776" s="5" t="n"/>
      <c r="B776" s="6" t="n"/>
      <c r="C776" s="2">
        <f>IF(A776="","",SUMIFS('Input Transaksi'!$E$5:$E$5000,'Input Transaksi'!$D$5:$D$5000,A776))</f>
        <v/>
      </c>
      <c r="D776" s="2">
        <f>IF(OR(A776="",B776=""),"",B776-C776)</f>
        <v/>
      </c>
    </row>
    <row r="777">
      <c r="A777" s="5" t="n"/>
      <c r="B777" s="6" t="n"/>
      <c r="C777" s="2">
        <f>IF(A777="","",SUMIFS('Input Transaksi'!$E$5:$E$5000,'Input Transaksi'!$D$5:$D$5000,A777))</f>
        <v/>
      </c>
      <c r="D777" s="2">
        <f>IF(OR(A777="",B777=""),"",B777-C777)</f>
        <v/>
      </c>
    </row>
    <row r="778">
      <c r="A778" s="5" t="n"/>
      <c r="B778" s="6" t="n"/>
      <c r="C778" s="2">
        <f>IF(A778="","",SUMIFS('Input Transaksi'!$E$5:$E$5000,'Input Transaksi'!$D$5:$D$5000,A778))</f>
        <v/>
      </c>
      <c r="D778" s="2">
        <f>IF(OR(A778="",B778=""),"",B778-C778)</f>
        <v/>
      </c>
    </row>
    <row r="779">
      <c r="A779" s="5" t="n"/>
      <c r="B779" s="6" t="n"/>
      <c r="C779" s="2">
        <f>IF(A779="","",SUMIFS('Input Transaksi'!$E$5:$E$5000,'Input Transaksi'!$D$5:$D$5000,A779))</f>
        <v/>
      </c>
      <c r="D779" s="2">
        <f>IF(OR(A779="",B779=""),"",B779-C779)</f>
        <v/>
      </c>
    </row>
    <row r="780">
      <c r="A780" s="5" t="n"/>
      <c r="B780" s="6" t="n"/>
      <c r="C780" s="2">
        <f>IF(A780="","",SUMIFS('Input Transaksi'!$E$5:$E$5000,'Input Transaksi'!$D$5:$D$5000,A780))</f>
        <v/>
      </c>
      <c r="D780" s="2">
        <f>IF(OR(A780="",B780=""),"",B780-C780)</f>
        <v/>
      </c>
    </row>
    <row r="781">
      <c r="A781" s="5" t="n"/>
      <c r="B781" s="6" t="n"/>
      <c r="C781" s="2">
        <f>IF(A781="","",SUMIFS('Input Transaksi'!$E$5:$E$5000,'Input Transaksi'!$D$5:$D$5000,A781))</f>
        <v/>
      </c>
      <c r="D781" s="2">
        <f>IF(OR(A781="",B781=""),"",B781-C781)</f>
        <v/>
      </c>
    </row>
    <row r="782">
      <c r="A782" s="5" t="n"/>
      <c r="B782" s="6" t="n"/>
      <c r="C782" s="2">
        <f>IF(A782="","",SUMIFS('Input Transaksi'!$E$5:$E$5000,'Input Transaksi'!$D$5:$D$5000,A782))</f>
        <v/>
      </c>
      <c r="D782" s="2">
        <f>IF(OR(A782="",B782=""),"",B782-C782)</f>
        <v/>
      </c>
    </row>
    <row r="783">
      <c r="A783" s="5" t="n"/>
      <c r="B783" s="6" t="n"/>
      <c r="C783" s="2">
        <f>IF(A783="","",SUMIFS('Input Transaksi'!$E$5:$E$5000,'Input Transaksi'!$D$5:$D$5000,A783))</f>
        <v/>
      </c>
      <c r="D783" s="2">
        <f>IF(OR(A783="",B783=""),"",B783-C783)</f>
        <v/>
      </c>
    </row>
    <row r="784">
      <c r="A784" s="5" t="n"/>
      <c r="B784" s="6" t="n"/>
      <c r="C784" s="2">
        <f>IF(A784="","",SUMIFS('Input Transaksi'!$E$5:$E$5000,'Input Transaksi'!$D$5:$D$5000,A784))</f>
        <v/>
      </c>
      <c r="D784" s="2">
        <f>IF(OR(A784="",B784=""),"",B784-C784)</f>
        <v/>
      </c>
    </row>
    <row r="785">
      <c r="A785" s="5" t="n"/>
      <c r="B785" s="6" t="n"/>
      <c r="C785" s="2">
        <f>IF(A785="","",SUMIFS('Input Transaksi'!$E$5:$E$5000,'Input Transaksi'!$D$5:$D$5000,A785))</f>
        <v/>
      </c>
      <c r="D785" s="2">
        <f>IF(OR(A785="",B785=""),"",B785-C785)</f>
        <v/>
      </c>
    </row>
    <row r="786">
      <c r="A786" s="5" t="n"/>
      <c r="B786" s="6" t="n"/>
      <c r="C786" s="2">
        <f>IF(A786="","",SUMIFS('Input Transaksi'!$E$5:$E$5000,'Input Transaksi'!$D$5:$D$5000,A786))</f>
        <v/>
      </c>
      <c r="D786" s="2">
        <f>IF(OR(A786="",B786=""),"",B786-C786)</f>
        <v/>
      </c>
    </row>
    <row r="787">
      <c r="A787" s="5" t="n"/>
      <c r="B787" s="6" t="n"/>
      <c r="C787" s="2">
        <f>IF(A787="","",SUMIFS('Input Transaksi'!$E$5:$E$5000,'Input Transaksi'!$D$5:$D$5000,A787))</f>
        <v/>
      </c>
      <c r="D787" s="2">
        <f>IF(OR(A787="",B787=""),"",B787-C787)</f>
        <v/>
      </c>
    </row>
    <row r="788">
      <c r="A788" s="5" t="n"/>
      <c r="B788" s="6" t="n"/>
      <c r="C788" s="2">
        <f>IF(A788="","",SUMIFS('Input Transaksi'!$E$5:$E$5000,'Input Transaksi'!$D$5:$D$5000,A788))</f>
        <v/>
      </c>
      <c r="D788" s="2">
        <f>IF(OR(A788="",B788=""),"",B788-C788)</f>
        <v/>
      </c>
    </row>
    <row r="789">
      <c r="A789" s="5" t="n"/>
      <c r="B789" s="6" t="n"/>
      <c r="C789" s="2">
        <f>IF(A789="","",SUMIFS('Input Transaksi'!$E$5:$E$5000,'Input Transaksi'!$D$5:$D$5000,A789))</f>
        <v/>
      </c>
      <c r="D789" s="2">
        <f>IF(OR(A789="",B789=""),"",B789-C789)</f>
        <v/>
      </c>
    </row>
    <row r="790">
      <c r="A790" s="5" t="n"/>
      <c r="B790" s="6" t="n"/>
      <c r="C790" s="2">
        <f>IF(A790="","",SUMIFS('Input Transaksi'!$E$5:$E$5000,'Input Transaksi'!$D$5:$D$5000,A790))</f>
        <v/>
      </c>
      <c r="D790" s="2">
        <f>IF(OR(A790="",B790=""),"",B790-C790)</f>
        <v/>
      </c>
    </row>
    <row r="791">
      <c r="A791" s="5" t="n"/>
      <c r="B791" s="6" t="n"/>
      <c r="C791" s="2">
        <f>IF(A791="","",SUMIFS('Input Transaksi'!$E$5:$E$5000,'Input Transaksi'!$D$5:$D$5000,A791))</f>
        <v/>
      </c>
      <c r="D791" s="2">
        <f>IF(OR(A791="",B791=""),"",B791-C791)</f>
        <v/>
      </c>
    </row>
    <row r="792">
      <c r="A792" s="5" t="n"/>
      <c r="B792" s="6" t="n"/>
      <c r="C792" s="2">
        <f>IF(A792="","",SUMIFS('Input Transaksi'!$E$5:$E$5000,'Input Transaksi'!$D$5:$D$5000,A792))</f>
        <v/>
      </c>
      <c r="D792" s="2">
        <f>IF(OR(A792="",B792=""),"",B792-C792)</f>
        <v/>
      </c>
    </row>
    <row r="793">
      <c r="A793" s="5" t="n"/>
      <c r="B793" s="6" t="n"/>
      <c r="C793" s="2">
        <f>IF(A793="","",SUMIFS('Input Transaksi'!$E$5:$E$5000,'Input Transaksi'!$D$5:$D$5000,A793))</f>
        <v/>
      </c>
      <c r="D793" s="2">
        <f>IF(OR(A793="",B793=""),"",B793-C793)</f>
        <v/>
      </c>
    </row>
    <row r="794">
      <c r="A794" s="5" t="n"/>
      <c r="B794" s="6" t="n"/>
      <c r="C794" s="2">
        <f>IF(A794="","",SUMIFS('Input Transaksi'!$E$5:$E$5000,'Input Transaksi'!$D$5:$D$5000,A794))</f>
        <v/>
      </c>
      <c r="D794" s="2">
        <f>IF(OR(A794="",B794=""),"",B794-C794)</f>
        <v/>
      </c>
    </row>
    <row r="795">
      <c r="A795" s="5" t="n"/>
      <c r="B795" s="6" t="n"/>
      <c r="C795" s="2">
        <f>IF(A795="","",SUMIFS('Input Transaksi'!$E$5:$E$5000,'Input Transaksi'!$D$5:$D$5000,A795))</f>
        <v/>
      </c>
      <c r="D795" s="2">
        <f>IF(OR(A795="",B795=""),"",B795-C795)</f>
        <v/>
      </c>
    </row>
    <row r="796">
      <c r="A796" s="5" t="n"/>
      <c r="B796" s="6" t="n"/>
      <c r="C796" s="2">
        <f>IF(A796="","",SUMIFS('Input Transaksi'!$E$5:$E$5000,'Input Transaksi'!$D$5:$D$5000,A796))</f>
        <v/>
      </c>
      <c r="D796" s="2">
        <f>IF(OR(A796="",B796=""),"",B796-C796)</f>
        <v/>
      </c>
    </row>
    <row r="797">
      <c r="A797" s="5" t="n"/>
      <c r="B797" s="6" t="n"/>
      <c r="C797" s="2">
        <f>IF(A797="","",SUMIFS('Input Transaksi'!$E$5:$E$5000,'Input Transaksi'!$D$5:$D$5000,A797))</f>
        <v/>
      </c>
      <c r="D797" s="2">
        <f>IF(OR(A797="",B797=""),"",B797-C797)</f>
        <v/>
      </c>
    </row>
    <row r="798">
      <c r="A798" s="5" t="n"/>
      <c r="B798" s="6" t="n"/>
      <c r="C798" s="2">
        <f>IF(A798="","",SUMIFS('Input Transaksi'!$E$5:$E$5000,'Input Transaksi'!$D$5:$D$5000,A798))</f>
        <v/>
      </c>
      <c r="D798" s="2">
        <f>IF(OR(A798="",B798=""),"",B798-C798)</f>
        <v/>
      </c>
    </row>
    <row r="799">
      <c r="A799" s="5" t="n"/>
      <c r="B799" s="6" t="n"/>
      <c r="C799" s="2">
        <f>IF(A799="","",SUMIFS('Input Transaksi'!$E$5:$E$5000,'Input Transaksi'!$D$5:$D$5000,A799))</f>
        <v/>
      </c>
      <c r="D799" s="2">
        <f>IF(OR(A799="",B799=""),"",B799-C799)</f>
        <v/>
      </c>
    </row>
    <row r="800">
      <c r="A800" s="5" t="n"/>
      <c r="B800" s="6" t="n"/>
      <c r="C800" s="2">
        <f>IF(A800="","",SUMIFS('Input Transaksi'!$E$5:$E$5000,'Input Transaksi'!$D$5:$D$5000,A800))</f>
        <v/>
      </c>
      <c r="D800" s="2">
        <f>IF(OR(A800="",B800=""),"",B800-C800)</f>
        <v/>
      </c>
    </row>
    <row r="801">
      <c r="A801" s="5" t="n"/>
      <c r="B801" s="6" t="n"/>
      <c r="C801" s="2">
        <f>IF(A801="","",SUMIFS('Input Transaksi'!$E$5:$E$5000,'Input Transaksi'!$D$5:$D$5000,A801))</f>
        <v/>
      </c>
      <c r="D801" s="2">
        <f>IF(OR(A801="",B801=""),"",B801-C801)</f>
        <v/>
      </c>
    </row>
    <row r="802">
      <c r="A802" s="5" t="n"/>
      <c r="B802" s="6" t="n"/>
      <c r="C802" s="2">
        <f>IF(A802="","",SUMIFS('Input Transaksi'!$E$5:$E$5000,'Input Transaksi'!$D$5:$D$5000,A802))</f>
        <v/>
      </c>
      <c r="D802" s="2">
        <f>IF(OR(A802="",B802=""),"",B802-C802)</f>
        <v/>
      </c>
    </row>
    <row r="803">
      <c r="A803" s="5" t="n"/>
      <c r="B803" s="6" t="n"/>
      <c r="C803" s="2">
        <f>IF(A803="","",SUMIFS('Input Transaksi'!$E$5:$E$5000,'Input Transaksi'!$D$5:$D$5000,A803))</f>
        <v/>
      </c>
      <c r="D803" s="2">
        <f>IF(OR(A803="",B803=""),"",B803-C803)</f>
        <v/>
      </c>
    </row>
    <row r="804">
      <c r="A804" s="5" t="n"/>
      <c r="B804" s="6" t="n"/>
      <c r="C804" s="2">
        <f>IF(A804="","",SUMIFS('Input Transaksi'!$E$5:$E$5000,'Input Transaksi'!$D$5:$D$5000,A804))</f>
        <v/>
      </c>
      <c r="D804" s="2">
        <f>IF(OR(A804="",B804=""),"",B804-C804)</f>
        <v/>
      </c>
    </row>
    <row r="805">
      <c r="A805" s="5" t="n"/>
      <c r="B805" s="6" t="n"/>
      <c r="C805" s="2">
        <f>IF(A805="","",SUMIFS('Input Transaksi'!$E$5:$E$5000,'Input Transaksi'!$D$5:$D$5000,A805))</f>
        <v/>
      </c>
      <c r="D805" s="2">
        <f>IF(OR(A805="",B805=""),"",B805-C805)</f>
        <v/>
      </c>
    </row>
    <row r="806">
      <c r="A806" s="5" t="n"/>
      <c r="B806" s="6" t="n"/>
      <c r="C806" s="2">
        <f>IF(A806="","",SUMIFS('Input Transaksi'!$E$5:$E$5000,'Input Transaksi'!$D$5:$D$5000,A806))</f>
        <v/>
      </c>
      <c r="D806" s="2">
        <f>IF(OR(A806="",B806=""),"",B806-C806)</f>
        <v/>
      </c>
    </row>
    <row r="807">
      <c r="A807" s="5" t="n"/>
      <c r="B807" s="6" t="n"/>
      <c r="C807" s="2">
        <f>IF(A807="","",SUMIFS('Input Transaksi'!$E$5:$E$5000,'Input Transaksi'!$D$5:$D$5000,A807))</f>
        <v/>
      </c>
      <c r="D807" s="2">
        <f>IF(OR(A807="",B807=""),"",B807-C807)</f>
        <v/>
      </c>
    </row>
    <row r="808">
      <c r="A808" s="5" t="n"/>
      <c r="B808" s="6" t="n"/>
      <c r="C808" s="2">
        <f>IF(A808="","",SUMIFS('Input Transaksi'!$E$5:$E$5000,'Input Transaksi'!$D$5:$D$5000,A808))</f>
        <v/>
      </c>
      <c r="D808" s="2">
        <f>IF(OR(A808="",B808=""),"",B808-C808)</f>
        <v/>
      </c>
    </row>
    <row r="809">
      <c r="A809" s="5" t="n"/>
      <c r="B809" s="6" t="n"/>
      <c r="C809" s="2">
        <f>IF(A809="","",SUMIFS('Input Transaksi'!$E$5:$E$5000,'Input Transaksi'!$D$5:$D$5000,A809))</f>
        <v/>
      </c>
      <c r="D809" s="2">
        <f>IF(OR(A809="",B809=""),"",B809-C809)</f>
        <v/>
      </c>
    </row>
    <row r="810">
      <c r="A810" s="5" t="n"/>
      <c r="B810" s="6" t="n"/>
      <c r="C810" s="2">
        <f>IF(A810="","",SUMIFS('Input Transaksi'!$E$5:$E$5000,'Input Transaksi'!$D$5:$D$5000,A810))</f>
        <v/>
      </c>
      <c r="D810" s="2">
        <f>IF(OR(A810="",B810=""),"",B810-C810)</f>
        <v/>
      </c>
    </row>
    <row r="811">
      <c r="A811" s="5" t="n"/>
      <c r="B811" s="6" t="n"/>
      <c r="C811" s="2">
        <f>IF(A811="","",SUMIFS('Input Transaksi'!$E$5:$E$5000,'Input Transaksi'!$D$5:$D$5000,A811))</f>
        <v/>
      </c>
      <c r="D811" s="2">
        <f>IF(OR(A811="",B811=""),"",B811-C811)</f>
        <v/>
      </c>
    </row>
    <row r="812">
      <c r="A812" s="5" t="n"/>
      <c r="B812" s="6" t="n"/>
      <c r="C812" s="2">
        <f>IF(A812="","",SUMIFS('Input Transaksi'!$E$5:$E$5000,'Input Transaksi'!$D$5:$D$5000,A812))</f>
        <v/>
      </c>
      <c r="D812" s="2">
        <f>IF(OR(A812="",B812=""),"",B812-C812)</f>
        <v/>
      </c>
    </row>
    <row r="813">
      <c r="A813" s="5" t="n"/>
      <c r="B813" s="6" t="n"/>
      <c r="C813" s="2">
        <f>IF(A813="","",SUMIFS('Input Transaksi'!$E$5:$E$5000,'Input Transaksi'!$D$5:$D$5000,A813))</f>
        <v/>
      </c>
      <c r="D813" s="2">
        <f>IF(OR(A813="",B813=""),"",B813-C813)</f>
        <v/>
      </c>
    </row>
    <row r="814">
      <c r="A814" s="5" t="n"/>
      <c r="B814" s="6" t="n"/>
      <c r="C814" s="2">
        <f>IF(A814="","",SUMIFS('Input Transaksi'!$E$5:$E$5000,'Input Transaksi'!$D$5:$D$5000,A814))</f>
        <v/>
      </c>
      <c r="D814" s="2">
        <f>IF(OR(A814="",B814=""),"",B814-C814)</f>
        <v/>
      </c>
    </row>
    <row r="815">
      <c r="A815" s="5" t="n"/>
      <c r="B815" s="6" t="n"/>
      <c r="C815" s="2">
        <f>IF(A815="","",SUMIFS('Input Transaksi'!$E$5:$E$5000,'Input Transaksi'!$D$5:$D$5000,A815))</f>
        <v/>
      </c>
      <c r="D815" s="2">
        <f>IF(OR(A815="",B815=""),"",B815-C815)</f>
        <v/>
      </c>
    </row>
    <row r="816">
      <c r="A816" s="5" t="n"/>
      <c r="B816" s="6" t="n"/>
      <c r="C816" s="2">
        <f>IF(A816="","",SUMIFS('Input Transaksi'!$E$5:$E$5000,'Input Transaksi'!$D$5:$D$5000,A816))</f>
        <v/>
      </c>
      <c r="D816" s="2">
        <f>IF(OR(A816="",B816=""),"",B816-C816)</f>
        <v/>
      </c>
    </row>
    <row r="817">
      <c r="A817" s="5" t="n"/>
      <c r="B817" s="6" t="n"/>
      <c r="C817" s="2">
        <f>IF(A817="","",SUMIFS('Input Transaksi'!$E$5:$E$5000,'Input Transaksi'!$D$5:$D$5000,A817))</f>
        <v/>
      </c>
      <c r="D817" s="2">
        <f>IF(OR(A817="",B817=""),"",B817-C817)</f>
        <v/>
      </c>
    </row>
    <row r="818">
      <c r="A818" s="5" t="n"/>
      <c r="B818" s="6" t="n"/>
      <c r="C818" s="2">
        <f>IF(A818="","",SUMIFS('Input Transaksi'!$E$5:$E$5000,'Input Transaksi'!$D$5:$D$5000,A818))</f>
        <v/>
      </c>
      <c r="D818" s="2">
        <f>IF(OR(A818="",B818=""),"",B818-C818)</f>
        <v/>
      </c>
    </row>
    <row r="819">
      <c r="A819" s="5" t="n"/>
      <c r="B819" s="6" t="n"/>
      <c r="C819" s="2">
        <f>IF(A819="","",SUMIFS('Input Transaksi'!$E$5:$E$5000,'Input Transaksi'!$D$5:$D$5000,A819))</f>
        <v/>
      </c>
      <c r="D819" s="2">
        <f>IF(OR(A819="",B819=""),"",B819-C819)</f>
        <v/>
      </c>
    </row>
    <row r="820">
      <c r="A820" s="5" t="n"/>
      <c r="B820" s="6" t="n"/>
      <c r="C820" s="2">
        <f>IF(A820="","",SUMIFS('Input Transaksi'!$E$5:$E$5000,'Input Transaksi'!$D$5:$D$5000,A820))</f>
        <v/>
      </c>
      <c r="D820" s="2">
        <f>IF(OR(A820="",B820=""),"",B820-C820)</f>
        <v/>
      </c>
    </row>
    <row r="821">
      <c r="A821" s="5" t="n"/>
      <c r="B821" s="6" t="n"/>
      <c r="C821" s="2">
        <f>IF(A821="","",SUMIFS('Input Transaksi'!$E$5:$E$5000,'Input Transaksi'!$D$5:$D$5000,A821))</f>
        <v/>
      </c>
      <c r="D821" s="2">
        <f>IF(OR(A821="",B821=""),"",B821-C821)</f>
        <v/>
      </c>
    </row>
    <row r="822">
      <c r="A822" s="5" t="n"/>
      <c r="B822" s="6" t="n"/>
      <c r="C822" s="2">
        <f>IF(A822="","",SUMIFS('Input Transaksi'!$E$5:$E$5000,'Input Transaksi'!$D$5:$D$5000,A822))</f>
        <v/>
      </c>
      <c r="D822" s="2">
        <f>IF(OR(A822="",B822=""),"",B822-C822)</f>
        <v/>
      </c>
    </row>
    <row r="823">
      <c r="A823" s="5" t="n"/>
      <c r="B823" s="6" t="n"/>
      <c r="C823" s="2">
        <f>IF(A823="","",SUMIFS('Input Transaksi'!$E$5:$E$5000,'Input Transaksi'!$D$5:$D$5000,A823))</f>
        <v/>
      </c>
      <c r="D823" s="2">
        <f>IF(OR(A823="",B823=""),"",B823-C823)</f>
        <v/>
      </c>
    </row>
    <row r="824">
      <c r="A824" s="5" t="n"/>
      <c r="B824" s="6" t="n"/>
      <c r="C824" s="2">
        <f>IF(A824="","",SUMIFS('Input Transaksi'!$E$5:$E$5000,'Input Transaksi'!$D$5:$D$5000,A824))</f>
        <v/>
      </c>
      <c r="D824" s="2">
        <f>IF(OR(A824="",B824=""),"",B824-C824)</f>
        <v/>
      </c>
    </row>
    <row r="825">
      <c r="A825" s="5" t="n"/>
      <c r="B825" s="6" t="n"/>
      <c r="C825" s="2">
        <f>IF(A825="","",SUMIFS('Input Transaksi'!$E$5:$E$5000,'Input Transaksi'!$D$5:$D$5000,A825))</f>
        <v/>
      </c>
      <c r="D825" s="2">
        <f>IF(OR(A825="",B825=""),"",B825-C825)</f>
        <v/>
      </c>
    </row>
    <row r="826">
      <c r="A826" s="5" t="n"/>
      <c r="B826" s="6" t="n"/>
      <c r="C826" s="2">
        <f>IF(A826="","",SUMIFS('Input Transaksi'!$E$5:$E$5000,'Input Transaksi'!$D$5:$D$5000,A826))</f>
        <v/>
      </c>
      <c r="D826" s="2">
        <f>IF(OR(A826="",B826=""),"",B826-C826)</f>
        <v/>
      </c>
    </row>
    <row r="827">
      <c r="A827" s="5" t="n"/>
      <c r="B827" s="6" t="n"/>
      <c r="C827" s="2">
        <f>IF(A827="","",SUMIFS('Input Transaksi'!$E$5:$E$5000,'Input Transaksi'!$D$5:$D$5000,A827))</f>
        <v/>
      </c>
      <c r="D827" s="2">
        <f>IF(OR(A827="",B827=""),"",B827-C827)</f>
        <v/>
      </c>
    </row>
    <row r="828">
      <c r="A828" s="5" t="n"/>
      <c r="B828" s="6" t="n"/>
      <c r="C828" s="2">
        <f>IF(A828="","",SUMIFS('Input Transaksi'!$E$5:$E$5000,'Input Transaksi'!$D$5:$D$5000,A828))</f>
        <v/>
      </c>
      <c r="D828" s="2">
        <f>IF(OR(A828="",B828=""),"",B828-C828)</f>
        <v/>
      </c>
    </row>
    <row r="829">
      <c r="A829" s="5" t="n"/>
      <c r="B829" s="6" t="n"/>
      <c r="C829" s="2">
        <f>IF(A829="","",SUMIFS('Input Transaksi'!$E$5:$E$5000,'Input Transaksi'!$D$5:$D$5000,A829))</f>
        <v/>
      </c>
      <c r="D829" s="2">
        <f>IF(OR(A829="",B829=""),"",B829-C829)</f>
        <v/>
      </c>
    </row>
    <row r="830">
      <c r="A830" s="5" t="n"/>
      <c r="B830" s="6" t="n"/>
      <c r="C830" s="2">
        <f>IF(A830="","",SUMIFS('Input Transaksi'!$E$5:$E$5000,'Input Transaksi'!$D$5:$D$5000,A830))</f>
        <v/>
      </c>
      <c r="D830" s="2">
        <f>IF(OR(A830="",B830=""),"",B830-C830)</f>
        <v/>
      </c>
    </row>
    <row r="831">
      <c r="A831" s="5" t="n"/>
      <c r="B831" s="6" t="n"/>
      <c r="C831" s="2">
        <f>IF(A831="","",SUMIFS('Input Transaksi'!$E$5:$E$5000,'Input Transaksi'!$D$5:$D$5000,A831))</f>
        <v/>
      </c>
      <c r="D831" s="2">
        <f>IF(OR(A831="",B831=""),"",B831-C831)</f>
        <v/>
      </c>
    </row>
    <row r="832">
      <c r="A832" s="5" t="n"/>
      <c r="B832" s="6" t="n"/>
      <c r="C832" s="2">
        <f>IF(A832="","",SUMIFS('Input Transaksi'!$E$5:$E$5000,'Input Transaksi'!$D$5:$D$5000,A832))</f>
        <v/>
      </c>
      <c r="D832" s="2">
        <f>IF(OR(A832="",B832=""),"",B832-C832)</f>
        <v/>
      </c>
    </row>
    <row r="833">
      <c r="A833" s="5" t="n"/>
      <c r="B833" s="6" t="n"/>
      <c r="C833" s="2">
        <f>IF(A833="","",SUMIFS('Input Transaksi'!$E$5:$E$5000,'Input Transaksi'!$D$5:$D$5000,A833))</f>
        <v/>
      </c>
      <c r="D833" s="2">
        <f>IF(OR(A833="",B833=""),"",B833-C833)</f>
        <v/>
      </c>
    </row>
    <row r="834">
      <c r="A834" s="5" t="n"/>
      <c r="B834" s="6" t="n"/>
      <c r="C834" s="2">
        <f>IF(A834="","",SUMIFS('Input Transaksi'!$E$5:$E$5000,'Input Transaksi'!$D$5:$D$5000,A834))</f>
        <v/>
      </c>
      <c r="D834" s="2">
        <f>IF(OR(A834="",B834=""),"",B834-C834)</f>
        <v/>
      </c>
    </row>
    <row r="835">
      <c r="A835" s="5" t="n"/>
      <c r="B835" s="6" t="n"/>
      <c r="C835" s="2">
        <f>IF(A835="","",SUMIFS('Input Transaksi'!$E$5:$E$5000,'Input Transaksi'!$D$5:$D$5000,A835))</f>
        <v/>
      </c>
      <c r="D835" s="2">
        <f>IF(OR(A835="",B835=""),"",B835-C835)</f>
        <v/>
      </c>
    </row>
    <row r="836">
      <c r="A836" s="5" t="n"/>
      <c r="B836" s="6" t="n"/>
      <c r="C836" s="2">
        <f>IF(A836="","",SUMIFS('Input Transaksi'!$E$5:$E$5000,'Input Transaksi'!$D$5:$D$5000,A836))</f>
        <v/>
      </c>
      <c r="D836" s="2">
        <f>IF(OR(A836="",B836=""),"",B836-C836)</f>
        <v/>
      </c>
    </row>
    <row r="837">
      <c r="A837" s="5" t="n"/>
      <c r="B837" s="6" t="n"/>
      <c r="C837" s="2">
        <f>IF(A837="","",SUMIFS('Input Transaksi'!$E$5:$E$5000,'Input Transaksi'!$D$5:$D$5000,A837))</f>
        <v/>
      </c>
      <c r="D837" s="2">
        <f>IF(OR(A837="",B837=""),"",B837-C837)</f>
        <v/>
      </c>
    </row>
    <row r="838">
      <c r="A838" s="5" t="n"/>
      <c r="B838" s="6" t="n"/>
      <c r="C838" s="2">
        <f>IF(A838="","",SUMIFS('Input Transaksi'!$E$5:$E$5000,'Input Transaksi'!$D$5:$D$5000,A838))</f>
        <v/>
      </c>
      <c r="D838" s="2">
        <f>IF(OR(A838="",B838=""),"",B838-C838)</f>
        <v/>
      </c>
    </row>
    <row r="839">
      <c r="A839" s="5" t="n"/>
      <c r="B839" s="6" t="n"/>
      <c r="C839" s="2">
        <f>IF(A839="","",SUMIFS('Input Transaksi'!$E$5:$E$5000,'Input Transaksi'!$D$5:$D$5000,A839))</f>
        <v/>
      </c>
      <c r="D839" s="2">
        <f>IF(OR(A839="",B839=""),"",B839-C839)</f>
        <v/>
      </c>
    </row>
    <row r="840">
      <c r="A840" s="5" t="n"/>
      <c r="B840" s="6" t="n"/>
      <c r="C840" s="2">
        <f>IF(A840="","",SUMIFS('Input Transaksi'!$E$5:$E$5000,'Input Transaksi'!$D$5:$D$5000,A840))</f>
        <v/>
      </c>
      <c r="D840" s="2">
        <f>IF(OR(A840="",B840=""),"",B840-C840)</f>
        <v/>
      </c>
    </row>
    <row r="841">
      <c r="A841" s="5" t="n"/>
      <c r="B841" s="6" t="n"/>
      <c r="C841" s="2">
        <f>IF(A841="","",SUMIFS('Input Transaksi'!$E$5:$E$5000,'Input Transaksi'!$D$5:$D$5000,A841))</f>
        <v/>
      </c>
      <c r="D841" s="2">
        <f>IF(OR(A841="",B841=""),"",B841-C841)</f>
        <v/>
      </c>
    </row>
    <row r="842">
      <c r="A842" s="5" t="n"/>
      <c r="B842" s="6" t="n"/>
      <c r="C842" s="2">
        <f>IF(A842="","",SUMIFS('Input Transaksi'!$E$5:$E$5000,'Input Transaksi'!$D$5:$D$5000,A842))</f>
        <v/>
      </c>
      <c r="D842" s="2">
        <f>IF(OR(A842="",B842=""),"",B842-C842)</f>
        <v/>
      </c>
    </row>
    <row r="843">
      <c r="A843" s="5" t="n"/>
      <c r="B843" s="6" t="n"/>
      <c r="C843" s="2">
        <f>IF(A843="","",SUMIFS('Input Transaksi'!$E$5:$E$5000,'Input Transaksi'!$D$5:$D$5000,A843))</f>
        <v/>
      </c>
      <c r="D843" s="2">
        <f>IF(OR(A843="",B843=""),"",B843-C843)</f>
        <v/>
      </c>
    </row>
    <row r="844">
      <c r="A844" s="5" t="n"/>
      <c r="B844" s="6" t="n"/>
      <c r="C844" s="2">
        <f>IF(A844="","",SUMIFS('Input Transaksi'!$E$5:$E$5000,'Input Transaksi'!$D$5:$D$5000,A844))</f>
        <v/>
      </c>
      <c r="D844" s="2">
        <f>IF(OR(A844="",B844=""),"",B844-C844)</f>
        <v/>
      </c>
    </row>
    <row r="845">
      <c r="A845" s="5" t="n"/>
      <c r="B845" s="6" t="n"/>
      <c r="C845" s="2">
        <f>IF(A845="","",SUMIFS('Input Transaksi'!$E$5:$E$5000,'Input Transaksi'!$D$5:$D$5000,A845))</f>
        <v/>
      </c>
      <c r="D845" s="2">
        <f>IF(OR(A845="",B845=""),"",B845-C845)</f>
        <v/>
      </c>
    </row>
    <row r="846">
      <c r="A846" s="5" t="n"/>
      <c r="B846" s="6" t="n"/>
      <c r="C846" s="2">
        <f>IF(A846="","",SUMIFS('Input Transaksi'!$E$5:$E$5000,'Input Transaksi'!$D$5:$D$5000,A846))</f>
        <v/>
      </c>
      <c r="D846" s="2">
        <f>IF(OR(A846="",B846=""),"",B846-C846)</f>
        <v/>
      </c>
    </row>
    <row r="847">
      <c r="A847" s="5" t="n"/>
      <c r="B847" s="6" t="n"/>
      <c r="C847" s="2">
        <f>IF(A847="","",SUMIFS('Input Transaksi'!$E$5:$E$5000,'Input Transaksi'!$D$5:$D$5000,A847))</f>
        <v/>
      </c>
      <c r="D847" s="2">
        <f>IF(OR(A847="",B847=""),"",B847-C847)</f>
        <v/>
      </c>
    </row>
    <row r="848">
      <c r="A848" s="5" t="n"/>
      <c r="B848" s="6" t="n"/>
      <c r="C848" s="2">
        <f>IF(A848="","",SUMIFS('Input Transaksi'!$E$5:$E$5000,'Input Transaksi'!$D$5:$D$5000,A848))</f>
        <v/>
      </c>
      <c r="D848" s="2">
        <f>IF(OR(A848="",B848=""),"",B848-C848)</f>
        <v/>
      </c>
    </row>
    <row r="849">
      <c r="A849" s="5" t="n"/>
      <c r="B849" s="6" t="n"/>
      <c r="C849" s="2">
        <f>IF(A849="","",SUMIFS('Input Transaksi'!$E$5:$E$5000,'Input Transaksi'!$D$5:$D$5000,A849))</f>
        <v/>
      </c>
      <c r="D849" s="2">
        <f>IF(OR(A849="",B849=""),"",B849-C849)</f>
        <v/>
      </c>
    </row>
    <row r="850">
      <c r="A850" s="5" t="n"/>
      <c r="B850" s="6" t="n"/>
      <c r="C850" s="2">
        <f>IF(A850="","",SUMIFS('Input Transaksi'!$E$5:$E$5000,'Input Transaksi'!$D$5:$D$5000,A850))</f>
        <v/>
      </c>
      <c r="D850" s="2">
        <f>IF(OR(A850="",B850=""),"",B850-C850)</f>
        <v/>
      </c>
    </row>
    <row r="851">
      <c r="A851" s="5" t="n"/>
      <c r="B851" s="6" t="n"/>
      <c r="C851" s="2">
        <f>IF(A851="","",SUMIFS('Input Transaksi'!$E$5:$E$5000,'Input Transaksi'!$D$5:$D$5000,A851))</f>
        <v/>
      </c>
      <c r="D851" s="2">
        <f>IF(OR(A851="",B851=""),"",B851-C851)</f>
        <v/>
      </c>
    </row>
    <row r="852">
      <c r="A852" s="5" t="n"/>
      <c r="B852" s="6" t="n"/>
      <c r="C852" s="2">
        <f>IF(A852="","",SUMIFS('Input Transaksi'!$E$5:$E$5000,'Input Transaksi'!$D$5:$D$5000,A852))</f>
        <v/>
      </c>
      <c r="D852" s="2">
        <f>IF(OR(A852="",B852=""),"",B852-C852)</f>
        <v/>
      </c>
    </row>
    <row r="853">
      <c r="A853" s="5" t="n"/>
      <c r="B853" s="6" t="n"/>
      <c r="C853" s="2">
        <f>IF(A853="","",SUMIFS('Input Transaksi'!$E$5:$E$5000,'Input Transaksi'!$D$5:$D$5000,A853))</f>
        <v/>
      </c>
      <c r="D853" s="2">
        <f>IF(OR(A853="",B853=""),"",B853-C853)</f>
        <v/>
      </c>
    </row>
    <row r="854">
      <c r="A854" s="5" t="n"/>
      <c r="B854" s="6" t="n"/>
      <c r="C854" s="2">
        <f>IF(A854="","",SUMIFS('Input Transaksi'!$E$5:$E$5000,'Input Transaksi'!$D$5:$D$5000,A854))</f>
        <v/>
      </c>
      <c r="D854" s="2">
        <f>IF(OR(A854="",B854=""),"",B854-C854)</f>
        <v/>
      </c>
    </row>
    <row r="855">
      <c r="A855" s="5" t="n"/>
      <c r="B855" s="6" t="n"/>
      <c r="C855" s="2">
        <f>IF(A855="","",SUMIFS('Input Transaksi'!$E$5:$E$5000,'Input Transaksi'!$D$5:$D$5000,A855))</f>
        <v/>
      </c>
      <c r="D855" s="2">
        <f>IF(OR(A855="",B855=""),"",B855-C855)</f>
        <v/>
      </c>
    </row>
    <row r="856">
      <c r="A856" s="5" t="n"/>
      <c r="B856" s="6" t="n"/>
      <c r="C856" s="2">
        <f>IF(A856="","",SUMIFS('Input Transaksi'!$E$5:$E$5000,'Input Transaksi'!$D$5:$D$5000,A856))</f>
        <v/>
      </c>
      <c r="D856" s="2">
        <f>IF(OR(A856="",B856=""),"",B856-C856)</f>
        <v/>
      </c>
    </row>
    <row r="857">
      <c r="A857" s="5" t="n"/>
      <c r="B857" s="6" t="n"/>
      <c r="C857" s="2">
        <f>IF(A857="","",SUMIFS('Input Transaksi'!$E$5:$E$5000,'Input Transaksi'!$D$5:$D$5000,A857))</f>
        <v/>
      </c>
      <c r="D857" s="2">
        <f>IF(OR(A857="",B857=""),"",B857-C857)</f>
        <v/>
      </c>
    </row>
    <row r="858">
      <c r="A858" s="5" t="n"/>
      <c r="B858" s="6" t="n"/>
      <c r="C858" s="2">
        <f>IF(A858="","",SUMIFS('Input Transaksi'!$E$5:$E$5000,'Input Transaksi'!$D$5:$D$5000,A858))</f>
        <v/>
      </c>
      <c r="D858" s="2">
        <f>IF(OR(A858="",B858=""),"",B858-C858)</f>
        <v/>
      </c>
    </row>
    <row r="859">
      <c r="A859" s="5" t="n"/>
      <c r="B859" s="6" t="n"/>
      <c r="C859" s="2">
        <f>IF(A859="","",SUMIFS('Input Transaksi'!$E$5:$E$5000,'Input Transaksi'!$D$5:$D$5000,A859))</f>
        <v/>
      </c>
      <c r="D859" s="2">
        <f>IF(OR(A859="",B859=""),"",B859-C859)</f>
        <v/>
      </c>
    </row>
    <row r="860">
      <c r="A860" s="5" t="n"/>
      <c r="B860" s="6" t="n"/>
      <c r="C860" s="2">
        <f>IF(A860="","",SUMIFS('Input Transaksi'!$E$5:$E$5000,'Input Transaksi'!$D$5:$D$5000,A860))</f>
        <v/>
      </c>
      <c r="D860" s="2">
        <f>IF(OR(A860="",B860=""),"",B860-C860)</f>
        <v/>
      </c>
    </row>
    <row r="861">
      <c r="A861" s="5" t="n"/>
      <c r="B861" s="6" t="n"/>
      <c r="C861" s="2">
        <f>IF(A861="","",SUMIFS('Input Transaksi'!$E$5:$E$5000,'Input Transaksi'!$D$5:$D$5000,A861))</f>
        <v/>
      </c>
      <c r="D861" s="2">
        <f>IF(OR(A861="",B861=""),"",B861-C861)</f>
        <v/>
      </c>
    </row>
    <row r="862">
      <c r="A862" s="5" t="n"/>
      <c r="B862" s="6" t="n"/>
      <c r="C862" s="2">
        <f>IF(A862="","",SUMIFS('Input Transaksi'!$E$5:$E$5000,'Input Transaksi'!$D$5:$D$5000,A862))</f>
        <v/>
      </c>
      <c r="D862" s="2">
        <f>IF(OR(A862="",B862=""),"",B862-C862)</f>
        <v/>
      </c>
    </row>
    <row r="863">
      <c r="A863" s="5" t="n"/>
      <c r="B863" s="6" t="n"/>
      <c r="C863" s="2">
        <f>IF(A863="","",SUMIFS('Input Transaksi'!$E$5:$E$5000,'Input Transaksi'!$D$5:$D$5000,A863))</f>
        <v/>
      </c>
      <c r="D863" s="2">
        <f>IF(OR(A863="",B863=""),"",B863-C863)</f>
        <v/>
      </c>
    </row>
    <row r="864">
      <c r="A864" s="5" t="n"/>
      <c r="B864" s="6" t="n"/>
      <c r="C864" s="2">
        <f>IF(A864="","",SUMIFS('Input Transaksi'!$E$5:$E$5000,'Input Transaksi'!$D$5:$D$5000,A864))</f>
        <v/>
      </c>
      <c r="D864" s="2">
        <f>IF(OR(A864="",B864=""),"",B864-C864)</f>
        <v/>
      </c>
    </row>
    <row r="865">
      <c r="A865" s="5" t="n"/>
      <c r="B865" s="6" t="n"/>
      <c r="C865" s="2">
        <f>IF(A865="","",SUMIFS('Input Transaksi'!$E$5:$E$5000,'Input Transaksi'!$D$5:$D$5000,A865))</f>
        <v/>
      </c>
      <c r="D865" s="2">
        <f>IF(OR(A865="",B865=""),"",B865-C865)</f>
        <v/>
      </c>
    </row>
    <row r="866">
      <c r="A866" s="5" t="n"/>
      <c r="B866" s="6" t="n"/>
      <c r="C866" s="2">
        <f>IF(A866="","",SUMIFS('Input Transaksi'!$E$5:$E$5000,'Input Transaksi'!$D$5:$D$5000,A866))</f>
        <v/>
      </c>
      <c r="D866" s="2">
        <f>IF(OR(A866="",B866=""),"",B866-C866)</f>
        <v/>
      </c>
    </row>
    <row r="867">
      <c r="A867" s="5" t="n"/>
      <c r="B867" s="6" t="n"/>
      <c r="C867" s="2">
        <f>IF(A867="","",SUMIFS('Input Transaksi'!$E$5:$E$5000,'Input Transaksi'!$D$5:$D$5000,A867))</f>
        <v/>
      </c>
      <c r="D867" s="2">
        <f>IF(OR(A867="",B867=""),"",B867-C867)</f>
        <v/>
      </c>
    </row>
    <row r="868">
      <c r="A868" s="5" t="n"/>
      <c r="B868" s="6" t="n"/>
      <c r="C868" s="2">
        <f>IF(A868="","",SUMIFS('Input Transaksi'!$E$5:$E$5000,'Input Transaksi'!$D$5:$D$5000,A868))</f>
        <v/>
      </c>
      <c r="D868" s="2">
        <f>IF(OR(A868="",B868=""),"",B868-C868)</f>
        <v/>
      </c>
    </row>
    <row r="869">
      <c r="A869" s="5" t="n"/>
      <c r="B869" s="6" t="n"/>
      <c r="C869" s="2">
        <f>IF(A869="","",SUMIFS('Input Transaksi'!$E$5:$E$5000,'Input Transaksi'!$D$5:$D$5000,A869))</f>
        <v/>
      </c>
      <c r="D869" s="2">
        <f>IF(OR(A869="",B869=""),"",B869-C869)</f>
        <v/>
      </c>
    </row>
    <row r="870">
      <c r="A870" s="5" t="n"/>
      <c r="B870" s="6" t="n"/>
      <c r="C870" s="2">
        <f>IF(A870="","",SUMIFS('Input Transaksi'!$E$5:$E$5000,'Input Transaksi'!$D$5:$D$5000,A870))</f>
        <v/>
      </c>
      <c r="D870" s="2">
        <f>IF(OR(A870="",B870=""),"",B870-C870)</f>
        <v/>
      </c>
    </row>
    <row r="871">
      <c r="A871" s="5" t="n"/>
      <c r="B871" s="6" t="n"/>
      <c r="C871" s="2">
        <f>IF(A871="","",SUMIFS('Input Transaksi'!$E$5:$E$5000,'Input Transaksi'!$D$5:$D$5000,A871))</f>
        <v/>
      </c>
      <c r="D871" s="2">
        <f>IF(OR(A871="",B871=""),"",B871-C871)</f>
        <v/>
      </c>
    </row>
    <row r="872">
      <c r="A872" s="5" t="n"/>
      <c r="B872" s="6" t="n"/>
      <c r="C872" s="2">
        <f>IF(A872="","",SUMIFS('Input Transaksi'!$E$5:$E$5000,'Input Transaksi'!$D$5:$D$5000,A872))</f>
        <v/>
      </c>
      <c r="D872" s="2">
        <f>IF(OR(A872="",B872=""),"",B872-C872)</f>
        <v/>
      </c>
    </row>
    <row r="873">
      <c r="A873" s="5" t="n"/>
      <c r="B873" s="6" t="n"/>
      <c r="C873" s="2">
        <f>IF(A873="","",SUMIFS('Input Transaksi'!$E$5:$E$5000,'Input Transaksi'!$D$5:$D$5000,A873))</f>
        <v/>
      </c>
      <c r="D873" s="2">
        <f>IF(OR(A873="",B873=""),"",B873-C873)</f>
        <v/>
      </c>
    </row>
    <row r="874">
      <c r="A874" s="5" t="n"/>
      <c r="B874" s="6" t="n"/>
      <c r="C874" s="2">
        <f>IF(A874="","",SUMIFS('Input Transaksi'!$E$5:$E$5000,'Input Transaksi'!$D$5:$D$5000,A874))</f>
        <v/>
      </c>
      <c r="D874" s="2">
        <f>IF(OR(A874="",B874=""),"",B874-C874)</f>
        <v/>
      </c>
    </row>
    <row r="875">
      <c r="A875" s="5" t="n"/>
      <c r="B875" s="6" t="n"/>
      <c r="C875" s="2">
        <f>IF(A875="","",SUMIFS('Input Transaksi'!$E$5:$E$5000,'Input Transaksi'!$D$5:$D$5000,A875))</f>
        <v/>
      </c>
      <c r="D875" s="2">
        <f>IF(OR(A875="",B875=""),"",B875-C875)</f>
        <v/>
      </c>
    </row>
    <row r="876">
      <c r="A876" s="5" t="n"/>
      <c r="B876" s="6" t="n"/>
      <c r="C876" s="2">
        <f>IF(A876="","",SUMIFS('Input Transaksi'!$E$5:$E$5000,'Input Transaksi'!$D$5:$D$5000,A876))</f>
        <v/>
      </c>
      <c r="D876" s="2">
        <f>IF(OR(A876="",B876=""),"",B876-C876)</f>
        <v/>
      </c>
    </row>
    <row r="877">
      <c r="A877" s="5" t="n"/>
      <c r="B877" s="6" t="n"/>
      <c r="C877" s="2">
        <f>IF(A877="","",SUMIFS('Input Transaksi'!$E$5:$E$5000,'Input Transaksi'!$D$5:$D$5000,A877))</f>
        <v/>
      </c>
      <c r="D877" s="2">
        <f>IF(OR(A877="",B877=""),"",B877-C877)</f>
        <v/>
      </c>
    </row>
    <row r="878">
      <c r="A878" s="5" t="n"/>
      <c r="B878" s="6" t="n"/>
      <c r="C878" s="2">
        <f>IF(A878="","",SUMIFS('Input Transaksi'!$E$5:$E$5000,'Input Transaksi'!$D$5:$D$5000,A878))</f>
        <v/>
      </c>
      <c r="D878" s="2">
        <f>IF(OR(A878="",B878=""),"",B878-C878)</f>
        <v/>
      </c>
    </row>
    <row r="879">
      <c r="A879" s="5" t="n"/>
      <c r="B879" s="6" t="n"/>
      <c r="C879" s="2">
        <f>IF(A879="","",SUMIFS('Input Transaksi'!$E$5:$E$5000,'Input Transaksi'!$D$5:$D$5000,A879))</f>
        <v/>
      </c>
      <c r="D879" s="2">
        <f>IF(OR(A879="",B879=""),"",B879-C879)</f>
        <v/>
      </c>
    </row>
    <row r="880">
      <c r="A880" s="5" t="n"/>
      <c r="B880" s="6" t="n"/>
      <c r="C880" s="2">
        <f>IF(A880="","",SUMIFS('Input Transaksi'!$E$5:$E$5000,'Input Transaksi'!$D$5:$D$5000,A880))</f>
        <v/>
      </c>
      <c r="D880" s="2">
        <f>IF(OR(A880="",B880=""),"",B880-C880)</f>
        <v/>
      </c>
    </row>
    <row r="881">
      <c r="A881" s="5" t="n"/>
      <c r="B881" s="6" t="n"/>
      <c r="C881" s="2">
        <f>IF(A881="","",SUMIFS('Input Transaksi'!$E$5:$E$5000,'Input Transaksi'!$D$5:$D$5000,A881))</f>
        <v/>
      </c>
      <c r="D881" s="2">
        <f>IF(OR(A881="",B881=""),"",B881-C881)</f>
        <v/>
      </c>
    </row>
    <row r="882">
      <c r="A882" s="5" t="n"/>
      <c r="B882" s="6" t="n"/>
      <c r="C882" s="2">
        <f>IF(A882="","",SUMIFS('Input Transaksi'!$E$5:$E$5000,'Input Transaksi'!$D$5:$D$5000,A882))</f>
        <v/>
      </c>
      <c r="D882" s="2">
        <f>IF(OR(A882="",B882=""),"",B882-C882)</f>
        <v/>
      </c>
    </row>
    <row r="883">
      <c r="A883" s="5" t="n"/>
      <c r="B883" s="6" t="n"/>
      <c r="C883" s="2">
        <f>IF(A883="","",SUMIFS('Input Transaksi'!$E$5:$E$5000,'Input Transaksi'!$D$5:$D$5000,A883))</f>
        <v/>
      </c>
      <c r="D883" s="2">
        <f>IF(OR(A883="",B883=""),"",B883-C883)</f>
        <v/>
      </c>
    </row>
    <row r="884">
      <c r="A884" s="5" t="n"/>
      <c r="B884" s="6" t="n"/>
      <c r="C884" s="2">
        <f>IF(A884="","",SUMIFS('Input Transaksi'!$E$5:$E$5000,'Input Transaksi'!$D$5:$D$5000,A884))</f>
        <v/>
      </c>
      <c r="D884" s="2">
        <f>IF(OR(A884="",B884=""),"",B884-C884)</f>
        <v/>
      </c>
    </row>
    <row r="885">
      <c r="A885" s="5" t="n"/>
      <c r="B885" s="6" t="n"/>
      <c r="C885" s="2">
        <f>IF(A885="","",SUMIFS('Input Transaksi'!$E$5:$E$5000,'Input Transaksi'!$D$5:$D$5000,A885))</f>
        <v/>
      </c>
      <c r="D885" s="2">
        <f>IF(OR(A885="",B885=""),"",B885-C885)</f>
        <v/>
      </c>
    </row>
    <row r="886">
      <c r="A886" s="5" t="n"/>
      <c r="B886" s="6" t="n"/>
      <c r="C886" s="2">
        <f>IF(A886="","",SUMIFS('Input Transaksi'!$E$5:$E$5000,'Input Transaksi'!$D$5:$D$5000,A886))</f>
        <v/>
      </c>
      <c r="D886" s="2">
        <f>IF(OR(A886="",B886=""),"",B886-C886)</f>
        <v/>
      </c>
    </row>
    <row r="887">
      <c r="A887" s="5" t="n"/>
      <c r="B887" s="6" t="n"/>
      <c r="C887" s="2">
        <f>IF(A887="","",SUMIFS('Input Transaksi'!$E$5:$E$5000,'Input Transaksi'!$D$5:$D$5000,A887))</f>
        <v/>
      </c>
      <c r="D887" s="2">
        <f>IF(OR(A887="",B887=""),"",B887-C887)</f>
        <v/>
      </c>
    </row>
    <row r="888">
      <c r="A888" s="5" t="n"/>
      <c r="B888" s="6" t="n"/>
      <c r="C888" s="2">
        <f>IF(A888="","",SUMIFS('Input Transaksi'!$E$5:$E$5000,'Input Transaksi'!$D$5:$D$5000,A888))</f>
        <v/>
      </c>
      <c r="D888" s="2">
        <f>IF(OR(A888="",B888=""),"",B888-C888)</f>
        <v/>
      </c>
    </row>
    <row r="889">
      <c r="A889" s="5" t="n"/>
      <c r="B889" s="6" t="n"/>
      <c r="C889" s="2">
        <f>IF(A889="","",SUMIFS('Input Transaksi'!$E$5:$E$5000,'Input Transaksi'!$D$5:$D$5000,A889))</f>
        <v/>
      </c>
      <c r="D889" s="2">
        <f>IF(OR(A889="",B889=""),"",B889-C889)</f>
        <v/>
      </c>
    </row>
    <row r="890">
      <c r="A890" s="5" t="n"/>
      <c r="B890" s="6" t="n"/>
      <c r="C890" s="2">
        <f>IF(A890="","",SUMIFS('Input Transaksi'!$E$5:$E$5000,'Input Transaksi'!$D$5:$D$5000,A890))</f>
        <v/>
      </c>
      <c r="D890" s="2">
        <f>IF(OR(A890="",B890=""),"",B890-C890)</f>
        <v/>
      </c>
    </row>
    <row r="891">
      <c r="A891" s="5" t="n"/>
      <c r="B891" s="6" t="n"/>
      <c r="C891" s="2">
        <f>IF(A891="","",SUMIFS('Input Transaksi'!$E$5:$E$5000,'Input Transaksi'!$D$5:$D$5000,A891))</f>
        <v/>
      </c>
      <c r="D891" s="2">
        <f>IF(OR(A891="",B891=""),"",B891-C891)</f>
        <v/>
      </c>
    </row>
    <row r="892">
      <c r="A892" s="5" t="n"/>
      <c r="B892" s="6" t="n"/>
      <c r="C892" s="2">
        <f>IF(A892="","",SUMIFS('Input Transaksi'!$E$5:$E$5000,'Input Transaksi'!$D$5:$D$5000,A892))</f>
        <v/>
      </c>
      <c r="D892" s="2">
        <f>IF(OR(A892="",B892=""),"",B892-C892)</f>
        <v/>
      </c>
    </row>
    <row r="893">
      <c r="A893" s="5" t="n"/>
      <c r="B893" s="6" t="n"/>
      <c r="C893" s="2">
        <f>IF(A893="","",SUMIFS('Input Transaksi'!$E$5:$E$5000,'Input Transaksi'!$D$5:$D$5000,A893))</f>
        <v/>
      </c>
      <c r="D893" s="2">
        <f>IF(OR(A893="",B893=""),"",B893-C893)</f>
        <v/>
      </c>
    </row>
    <row r="894">
      <c r="A894" s="5" t="n"/>
      <c r="B894" s="6" t="n"/>
      <c r="C894" s="2">
        <f>IF(A894="","",SUMIFS('Input Transaksi'!$E$5:$E$5000,'Input Transaksi'!$D$5:$D$5000,A894))</f>
        <v/>
      </c>
      <c r="D894" s="2">
        <f>IF(OR(A894="",B894=""),"",B894-C894)</f>
        <v/>
      </c>
    </row>
    <row r="895">
      <c r="A895" s="5" t="n"/>
      <c r="B895" s="6" t="n"/>
      <c r="C895" s="2">
        <f>IF(A895="","",SUMIFS('Input Transaksi'!$E$5:$E$5000,'Input Transaksi'!$D$5:$D$5000,A895))</f>
        <v/>
      </c>
      <c r="D895" s="2">
        <f>IF(OR(A895="",B895=""),"",B895-C895)</f>
        <v/>
      </c>
    </row>
    <row r="896">
      <c r="A896" s="5" t="n"/>
      <c r="B896" s="6" t="n"/>
      <c r="C896" s="2">
        <f>IF(A896="","",SUMIFS('Input Transaksi'!$E$5:$E$5000,'Input Transaksi'!$D$5:$D$5000,A896))</f>
        <v/>
      </c>
      <c r="D896" s="2">
        <f>IF(OR(A896="",B896=""),"",B896-C896)</f>
        <v/>
      </c>
    </row>
    <row r="897">
      <c r="A897" s="5" t="n"/>
      <c r="B897" s="6" t="n"/>
      <c r="C897" s="2">
        <f>IF(A897="","",SUMIFS('Input Transaksi'!$E$5:$E$5000,'Input Transaksi'!$D$5:$D$5000,A897))</f>
        <v/>
      </c>
      <c r="D897" s="2">
        <f>IF(OR(A897="",B897=""),"",B897-C897)</f>
        <v/>
      </c>
    </row>
    <row r="898">
      <c r="A898" s="5" t="n"/>
      <c r="B898" s="6" t="n"/>
      <c r="C898" s="2">
        <f>IF(A898="","",SUMIFS('Input Transaksi'!$E$5:$E$5000,'Input Transaksi'!$D$5:$D$5000,A898))</f>
        <v/>
      </c>
      <c r="D898" s="2">
        <f>IF(OR(A898="",B898=""),"",B898-C898)</f>
        <v/>
      </c>
    </row>
    <row r="899">
      <c r="A899" s="5" t="n"/>
      <c r="B899" s="6" t="n"/>
      <c r="C899" s="2">
        <f>IF(A899="","",SUMIFS('Input Transaksi'!$E$5:$E$5000,'Input Transaksi'!$D$5:$D$5000,A899))</f>
        <v/>
      </c>
      <c r="D899" s="2">
        <f>IF(OR(A899="",B899=""),"",B899-C899)</f>
        <v/>
      </c>
    </row>
    <row r="900">
      <c r="A900" s="5" t="n"/>
      <c r="B900" s="6" t="n"/>
      <c r="C900" s="2">
        <f>IF(A900="","",SUMIFS('Input Transaksi'!$E$5:$E$5000,'Input Transaksi'!$D$5:$D$5000,A900))</f>
        <v/>
      </c>
      <c r="D900" s="2">
        <f>IF(OR(A900="",B900=""),"",B900-C900)</f>
        <v/>
      </c>
    </row>
    <row r="901">
      <c r="A901" s="5" t="n"/>
      <c r="B901" s="6" t="n"/>
      <c r="C901" s="2">
        <f>IF(A901="","",SUMIFS('Input Transaksi'!$E$5:$E$5000,'Input Transaksi'!$D$5:$D$5000,A901))</f>
        <v/>
      </c>
      <c r="D901" s="2">
        <f>IF(OR(A901="",B901=""),"",B901-C901)</f>
        <v/>
      </c>
    </row>
    <row r="902">
      <c r="A902" s="5" t="n"/>
      <c r="B902" s="6" t="n"/>
      <c r="C902" s="2">
        <f>IF(A902="","",SUMIFS('Input Transaksi'!$E$5:$E$5000,'Input Transaksi'!$D$5:$D$5000,A902))</f>
        <v/>
      </c>
      <c r="D902" s="2">
        <f>IF(OR(A902="",B902=""),"",B902-C902)</f>
        <v/>
      </c>
    </row>
    <row r="903">
      <c r="A903" s="5" t="n"/>
      <c r="B903" s="6" t="n"/>
      <c r="C903" s="2">
        <f>IF(A903="","",SUMIFS('Input Transaksi'!$E$5:$E$5000,'Input Transaksi'!$D$5:$D$5000,A903))</f>
        <v/>
      </c>
      <c r="D903" s="2">
        <f>IF(OR(A903="",B903=""),"",B903-C903)</f>
        <v/>
      </c>
    </row>
    <row r="904">
      <c r="A904" s="5" t="n"/>
      <c r="B904" s="6" t="n"/>
      <c r="C904" s="2">
        <f>IF(A904="","",SUMIFS('Input Transaksi'!$E$5:$E$5000,'Input Transaksi'!$D$5:$D$5000,A904))</f>
        <v/>
      </c>
      <c r="D904" s="2">
        <f>IF(OR(A904="",B904=""),"",B904-C904)</f>
        <v/>
      </c>
    </row>
    <row r="905">
      <c r="A905" s="5" t="n"/>
      <c r="B905" s="6" t="n"/>
      <c r="C905" s="2">
        <f>IF(A905="","",SUMIFS('Input Transaksi'!$E$5:$E$5000,'Input Transaksi'!$D$5:$D$5000,A905))</f>
        <v/>
      </c>
      <c r="D905" s="2">
        <f>IF(OR(A905="",B905=""),"",B905-C905)</f>
        <v/>
      </c>
    </row>
    <row r="906">
      <c r="A906" s="5" t="n"/>
      <c r="B906" s="6" t="n"/>
      <c r="C906" s="2">
        <f>IF(A906="","",SUMIFS('Input Transaksi'!$E$5:$E$5000,'Input Transaksi'!$D$5:$D$5000,A906))</f>
        <v/>
      </c>
      <c r="D906" s="2">
        <f>IF(OR(A906="",B906=""),"",B906-C906)</f>
        <v/>
      </c>
    </row>
    <row r="907">
      <c r="A907" s="5" t="n"/>
      <c r="B907" s="6" t="n"/>
      <c r="C907" s="2">
        <f>IF(A907="","",SUMIFS('Input Transaksi'!$E$5:$E$5000,'Input Transaksi'!$D$5:$D$5000,A907))</f>
        <v/>
      </c>
      <c r="D907" s="2">
        <f>IF(OR(A907="",B907=""),"",B907-C907)</f>
        <v/>
      </c>
    </row>
    <row r="908">
      <c r="A908" s="5" t="n"/>
      <c r="B908" s="6" t="n"/>
      <c r="C908" s="2">
        <f>IF(A908="","",SUMIFS('Input Transaksi'!$E$5:$E$5000,'Input Transaksi'!$D$5:$D$5000,A908))</f>
        <v/>
      </c>
      <c r="D908" s="2">
        <f>IF(OR(A908="",B908=""),"",B908-C908)</f>
        <v/>
      </c>
    </row>
    <row r="909">
      <c r="A909" s="5" t="n"/>
      <c r="B909" s="6" t="n"/>
      <c r="C909" s="2">
        <f>IF(A909="","",SUMIFS('Input Transaksi'!$E$5:$E$5000,'Input Transaksi'!$D$5:$D$5000,A909))</f>
        <v/>
      </c>
      <c r="D909" s="2">
        <f>IF(OR(A909="",B909=""),"",B909-C909)</f>
        <v/>
      </c>
    </row>
    <row r="910">
      <c r="A910" s="5" t="n"/>
      <c r="B910" s="6" t="n"/>
      <c r="C910" s="2">
        <f>IF(A910="","",SUMIFS('Input Transaksi'!$E$5:$E$5000,'Input Transaksi'!$D$5:$D$5000,A910))</f>
        <v/>
      </c>
      <c r="D910" s="2">
        <f>IF(OR(A910="",B910=""),"",B910-C910)</f>
        <v/>
      </c>
    </row>
    <row r="911">
      <c r="A911" s="5" t="n"/>
      <c r="B911" s="6" t="n"/>
      <c r="C911" s="2">
        <f>IF(A911="","",SUMIFS('Input Transaksi'!$E$5:$E$5000,'Input Transaksi'!$D$5:$D$5000,A911))</f>
        <v/>
      </c>
      <c r="D911" s="2">
        <f>IF(OR(A911="",B911=""),"",B911-C911)</f>
        <v/>
      </c>
    </row>
    <row r="912">
      <c r="A912" s="5" t="n"/>
      <c r="B912" s="6" t="n"/>
      <c r="C912" s="2">
        <f>IF(A912="","",SUMIFS('Input Transaksi'!$E$5:$E$5000,'Input Transaksi'!$D$5:$D$5000,A912))</f>
        <v/>
      </c>
      <c r="D912" s="2">
        <f>IF(OR(A912="",B912=""),"",B912-C912)</f>
        <v/>
      </c>
    </row>
    <row r="913">
      <c r="A913" s="5" t="n"/>
      <c r="B913" s="6" t="n"/>
      <c r="C913" s="2">
        <f>IF(A913="","",SUMIFS('Input Transaksi'!$E$5:$E$5000,'Input Transaksi'!$D$5:$D$5000,A913))</f>
        <v/>
      </c>
      <c r="D913" s="2">
        <f>IF(OR(A913="",B913=""),"",B913-C913)</f>
        <v/>
      </c>
    </row>
    <row r="914">
      <c r="A914" s="5" t="n"/>
      <c r="B914" s="6" t="n"/>
      <c r="C914" s="2">
        <f>IF(A914="","",SUMIFS('Input Transaksi'!$E$5:$E$5000,'Input Transaksi'!$D$5:$D$5000,A914))</f>
        <v/>
      </c>
      <c r="D914" s="2">
        <f>IF(OR(A914="",B914=""),"",B914-C914)</f>
        <v/>
      </c>
    </row>
    <row r="915">
      <c r="A915" s="5" t="n"/>
      <c r="B915" s="6" t="n"/>
      <c r="C915" s="2">
        <f>IF(A915="","",SUMIFS('Input Transaksi'!$E$5:$E$5000,'Input Transaksi'!$D$5:$D$5000,A915))</f>
        <v/>
      </c>
      <c r="D915" s="2">
        <f>IF(OR(A915="",B915=""),"",B915-C915)</f>
        <v/>
      </c>
    </row>
    <row r="916">
      <c r="A916" s="5" t="n"/>
      <c r="B916" s="6" t="n"/>
      <c r="C916" s="2">
        <f>IF(A916="","",SUMIFS('Input Transaksi'!$E$5:$E$5000,'Input Transaksi'!$D$5:$D$5000,A916))</f>
        <v/>
      </c>
      <c r="D916" s="2">
        <f>IF(OR(A916="",B916=""),"",B916-C916)</f>
        <v/>
      </c>
    </row>
    <row r="917">
      <c r="A917" s="5" t="n"/>
      <c r="B917" s="6" t="n"/>
      <c r="C917" s="2">
        <f>IF(A917="","",SUMIFS('Input Transaksi'!$E$5:$E$5000,'Input Transaksi'!$D$5:$D$5000,A917))</f>
        <v/>
      </c>
      <c r="D917" s="2">
        <f>IF(OR(A917="",B917=""),"",B917-C917)</f>
        <v/>
      </c>
    </row>
    <row r="918">
      <c r="A918" s="5" t="n"/>
      <c r="B918" s="6" t="n"/>
      <c r="C918" s="2">
        <f>IF(A918="","",SUMIFS('Input Transaksi'!$E$5:$E$5000,'Input Transaksi'!$D$5:$D$5000,A918))</f>
        <v/>
      </c>
      <c r="D918" s="2">
        <f>IF(OR(A918="",B918=""),"",B918-C918)</f>
        <v/>
      </c>
    </row>
    <row r="919">
      <c r="A919" s="5" t="n"/>
      <c r="B919" s="6" t="n"/>
      <c r="C919" s="2">
        <f>IF(A919="","",SUMIFS('Input Transaksi'!$E$5:$E$5000,'Input Transaksi'!$D$5:$D$5000,A919))</f>
        <v/>
      </c>
      <c r="D919" s="2">
        <f>IF(OR(A919="",B919=""),"",B919-C919)</f>
        <v/>
      </c>
    </row>
    <row r="920">
      <c r="A920" s="5" t="n"/>
      <c r="B920" s="6" t="n"/>
      <c r="C920" s="2">
        <f>IF(A920="","",SUMIFS('Input Transaksi'!$E$5:$E$5000,'Input Transaksi'!$D$5:$D$5000,A920))</f>
        <v/>
      </c>
      <c r="D920" s="2">
        <f>IF(OR(A920="",B920=""),"",B920-C920)</f>
        <v/>
      </c>
    </row>
    <row r="921">
      <c r="A921" s="5" t="n"/>
      <c r="B921" s="6" t="n"/>
      <c r="C921" s="2">
        <f>IF(A921="","",SUMIFS('Input Transaksi'!$E$5:$E$5000,'Input Transaksi'!$D$5:$D$5000,A921))</f>
        <v/>
      </c>
      <c r="D921" s="2">
        <f>IF(OR(A921="",B921=""),"",B921-C921)</f>
        <v/>
      </c>
    </row>
    <row r="922">
      <c r="A922" s="5" t="n"/>
      <c r="B922" s="6" t="n"/>
      <c r="C922" s="2">
        <f>IF(A922="","",SUMIFS('Input Transaksi'!$E$5:$E$5000,'Input Transaksi'!$D$5:$D$5000,A922))</f>
        <v/>
      </c>
      <c r="D922" s="2">
        <f>IF(OR(A922="",B922=""),"",B922-C922)</f>
        <v/>
      </c>
    </row>
    <row r="923">
      <c r="A923" s="5" t="n"/>
      <c r="B923" s="6" t="n"/>
      <c r="C923" s="2">
        <f>IF(A923="","",SUMIFS('Input Transaksi'!$E$5:$E$5000,'Input Transaksi'!$D$5:$D$5000,A923))</f>
        <v/>
      </c>
      <c r="D923" s="2">
        <f>IF(OR(A923="",B923=""),"",B923-C923)</f>
        <v/>
      </c>
    </row>
    <row r="924">
      <c r="A924" s="5" t="n"/>
      <c r="B924" s="6" t="n"/>
      <c r="C924" s="2">
        <f>IF(A924="","",SUMIFS('Input Transaksi'!$E$5:$E$5000,'Input Transaksi'!$D$5:$D$5000,A924))</f>
        <v/>
      </c>
      <c r="D924" s="2">
        <f>IF(OR(A924="",B924=""),"",B924-C924)</f>
        <v/>
      </c>
    </row>
    <row r="925">
      <c r="A925" s="5" t="n"/>
      <c r="B925" s="6" t="n"/>
      <c r="C925" s="2">
        <f>IF(A925="","",SUMIFS('Input Transaksi'!$E$5:$E$5000,'Input Transaksi'!$D$5:$D$5000,A925))</f>
        <v/>
      </c>
      <c r="D925" s="2">
        <f>IF(OR(A925="",B925=""),"",B925-C925)</f>
        <v/>
      </c>
    </row>
    <row r="926">
      <c r="A926" s="5" t="n"/>
      <c r="B926" s="6" t="n"/>
      <c r="C926" s="2">
        <f>IF(A926="","",SUMIFS('Input Transaksi'!$E$5:$E$5000,'Input Transaksi'!$D$5:$D$5000,A926))</f>
        <v/>
      </c>
      <c r="D926" s="2">
        <f>IF(OR(A926="",B926=""),"",B926-C926)</f>
        <v/>
      </c>
    </row>
    <row r="927">
      <c r="A927" s="5" t="n"/>
      <c r="B927" s="6" t="n"/>
      <c r="C927" s="2">
        <f>IF(A927="","",SUMIFS('Input Transaksi'!$E$5:$E$5000,'Input Transaksi'!$D$5:$D$5000,A927))</f>
        <v/>
      </c>
      <c r="D927" s="2">
        <f>IF(OR(A927="",B927=""),"",B927-C927)</f>
        <v/>
      </c>
    </row>
    <row r="928">
      <c r="A928" s="5" t="n"/>
      <c r="B928" s="6" t="n"/>
      <c r="C928" s="2">
        <f>IF(A928="","",SUMIFS('Input Transaksi'!$E$5:$E$5000,'Input Transaksi'!$D$5:$D$5000,A928))</f>
        <v/>
      </c>
      <c r="D928" s="2">
        <f>IF(OR(A928="",B928=""),"",B928-C928)</f>
        <v/>
      </c>
    </row>
    <row r="929">
      <c r="A929" s="5" t="n"/>
      <c r="B929" s="6" t="n"/>
      <c r="C929" s="2">
        <f>IF(A929="","",SUMIFS('Input Transaksi'!$E$5:$E$5000,'Input Transaksi'!$D$5:$D$5000,A929))</f>
        <v/>
      </c>
      <c r="D929" s="2">
        <f>IF(OR(A929="",B929=""),"",B929-C929)</f>
        <v/>
      </c>
    </row>
    <row r="930">
      <c r="A930" s="5" t="n"/>
      <c r="B930" s="6" t="n"/>
      <c r="C930" s="2">
        <f>IF(A930="","",SUMIFS('Input Transaksi'!$E$5:$E$5000,'Input Transaksi'!$D$5:$D$5000,A930))</f>
        <v/>
      </c>
      <c r="D930" s="2">
        <f>IF(OR(A930="",B930=""),"",B930-C930)</f>
        <v/>
      </c>
    </row>
    <row r="931">
      <c r="A931" s="5" t="n"/>
      <c r="B931" s="6" t="n"/>
      <c r="C931" s="2">
        <f>IF(A931="","",SUMIFS('Input Transaksi'!$E$5:$E$5000,'Input Transaksi'!$D$5:$D$5000,A931))</f>
        <v/>
      </c>
      <c r="D931" s="2">
        <f>IF(OR(A931="",B931=""),"",B931-C931)</f>
        <v/>
      </c>
    </row>
    <row r="932">
      <c r="A932" s="5" t="n"/>
      <c r="B932" s="6" t="n"/>
      <c r="C932" s="2">
        <f>IF(A932="","",SUMIFS('Input Transaksi'!$E$5:$E$5000,'Input Transaksi'!$D$5:$D$5000,A932))</f>
        <v/>
      </c>
      <c r="D932" s="2">
        <f>IF(OR(A932="",B932=""),"",B932-C932)</f>
        <v/>
      </c>
    </row>
    <row r="933">
      <c r="A933" s="5" t="n"/>
      <c r="B933" s="6" t="n"/>
      <c r="C933" s="2">
        <f>IF(A933="","",SUMIFS('Input Transaksi'!$E$5:$E$5000,'Input Transaksi'!$D$5:$D$5000,A933))</f>
        <v/>
      </c>
      <c r="D933" s="2">
        <f>IF(OR(A933="",B933=""),"",B933-C933)</f>
        <v/>
      </c>
    </row>
    <row r="934">
      <c r="A934" s="5" t="n"/>
      <c r="B934" s="6" t="n"/>
      <c r="C934" s="2">
        <f>IF(A934="","",SUMIFS('Input Transaksi'!$E$5:$E$5000,'Input Transaksi'!$D$5:$D$5000,A934))</f>
        <v/>
      </c>
      <c r="D934" s="2">
        <f>IF(OR(A934="",B934=""),"",B934-C934)</f>
        <v/>
      </c>
    </row>
    <row r="935">
      <c r="A935" s="5" t="n"/>
      <c r="B935" s="6" t="n"/>
      <c r="C935" s="2">
        <f>IF(A935="","",SUMIFS('Input Transaksi'!$E$5:$E$5000,'Input Transaksi'!$D$5:$D$5000,A935))</f>
        <v/>
      </c>
      <c r="D935" s="2">
        <f>IF(OR(A935="",B935=""),"",B935-C935)</f>
        <v/>
      </c>
    </row>
    <row r="936">
      <c r="A936" s="5" t="n"/>
      <c r="B936" s="6" t="n"/>
      <c r="C936" s="2">
        <f>IF(A936="","",SUMIFS('Input Transaksi'!$E$5:$E$5000,'Input Transaksi'!$D$5:$D$5000,A936))</f>
        <v/>
      </c>
      <c r="D936" s="2">
        <f>IF(OR(A936="",B936=""),"",B936-C936)</f>
        <v/>
      </c>
    </row>
    <row r="937">
      <c r="A937" s="5" t="n"/>
      <c r="B937" s="6" t="n"/>
      <c r="C937" s="2">
        <f>IF(A937="","",SUMIFS('Input Transaksi'!$E$5:$E$5000,'Input Transaksi'!$D$5:$D$5000,A937))</f>
        <v/>
      </c>
      <c r="D937" s="2">
        <f>IF(OR(A937="",B937=""),"",B937-C937)</f>
        <v/>
      </c>
    </row>
    <row r="938">
      <c r="A938" s="5" t="n"/>
      <c r="B938" s="6" t="n"/>
      <c r="C938" s="2">
        <f>IF(A938="","",SUMIFS('Input Transaksi'!$E$5:$E$5000,'Input Transaksi'!$D$5:$D$5000,A938))</f>
        <v/>
      </c>
      <c r="D938" s="2">
        <f>IF(OR(A938="",B938=""),"",B938-C938)</f>
        <v/>
      </c>
    </row>
    <row r="939">
      <c r="A939" s="5" t="n"/>
      <c r="B939" s="6" t="n"/>
      <c r="C939" s="2">
        <f>IF(A939="","",SUMIFS('Input Transaksi'!$E$5:$E$5000,'Input Transaksi'!$D$5:$D$5000,A939))</f>
        <v/>
      </c>
      <c r="D939" s="2">
        <f>IF(OR(A939="",B939=""),"",B939-C939)</f>
        <v/>
      </c>
    </row>
    <row r="940">
      <c r="A940" s="5" t="n"/>
      <c r="B940" s="6" t="n"/>
      <c r="C940" s="2">
        <f>IF(A940="","",SUMIFS('Input Transaksi'!$E$5:$E$5000,'Input Transaksi'!$D$5:$D$5000,A940))</f>
        <v/>
      </c>
      <c r="D940" s="2">
        <f>IF(OR(A940="",B940=""),"",B940-C940)</f>
        <v/>
      </c>
    </row>
    <row r="941">
      <c r="A941" s="5" t="n"/>
      <c r="B941" s="6" t="n"/>
      <c r="C941" s="2">
        <f>IF(A941="","",SUMIFS('Input Transaksi'!$E$5:$E$5000,'Input Transaksi'!$D$5:$D$5000,A941))</f>
        <v/>
      </c>
      <c r="D941" s="2">
        <f>IF(OR(A941="",B941=""),"",B941-C941)</f>
        <v/>
      </c>
    </row>
    <row r="942">
      <c r="A942" s="5" t="n"/>
      <c r="B942" s="6" t="n"/>
      <c r="C942" s="2">
        <f>IF(A942="","",SUMIFS('Input Transaksi'!$E$5:$E$5000,'Input Transaksi'!$D$5:$D$5000,A942))</f>
        <v/>
      </c>
      <c r="D942" s="2">
        <f>IF(OR(A942="",B942=""),"",B942-C942)</f>
        <v/>
      </c>
    </row>
    <row r="943">
      <c r="A943" s="5" t="n"/>
      <c r="B943" s="6" t="n"/>
      <c r="C943" s="2">
        <f>IF(A943="","",SUMIFS('Input Transaksi'!$E$5:$E$5000,'Input Transaksi'!$D$5:$D$5000,A943))</f>
        <v/>
      </c>
      <c r="D943" s="2">
        <f>IF(OR(A943="",B943=""),"",B943-C943)</f>
        <v/>
      </c>
    </row>
    <row r="944">
      <c r="A944" s="5" t="n"/>
      <c r="B944" s="6" t="n"/>
      <c r="C944" s="2">
        <f>IF(A944="","",SUMIFS('Input Transaksi'!$E$5:$E$5000,'Input Transaksi'!$D$5:$D$5000,A944))</f>
        <v/>
      </c>
      <c r="D944" s="2">
        <f>IF(OR(A944="",B944=""),"",B944-C944)</f>
        <v/>
      </c>
    </row>
    <row r="945">
      <c r="A945" s="5" t="n"/>
      <c r="B945" s="6" t="n"/>
      <c r="C945" s="2">
        <f>IF(A945="","",SUMIFS('Input Transaksi'!$E$5:$E$5000,'Input Transaksi'!$D$5:$D$5000,A945))</f>
        <v/>
      </c>
      <c r="D945" s="2">
        <f>IF(OR(A945="",B945=""),"",B945-C945)</f>
        <v/>
      </c>
    </row>
    <row r="946">
      <c r="A946" s="5" t="n"/>
      <c r="B946" s="6" t="n"/>
      <c r="C946" s="2">
        <f>IF(A946="","",SUMIFS('Input Transaksi'!$E$5:$E$5000,'Input Transaksi'!$D$5:$D$5000,A946))</f>
        <v/>
      </c>
      <c r="D946" s="2">
        <f>IF(OR(A946="",B946=""),"",B946-C946)</f>
        <v/>
      </c>
    </row>
    <row r="947">
      <c r="A947" s="5" t="n"/>
      <c r="B947" s="6" t="n"/>
      <c r="C947" s="2">
        <f>IF(A947="","",SUMIFS('Input Transaksi'!$E$5:$E$5000,'Input Transaksi'!$D$5:$D$5000,A947))</f>
        <v/>
      </c>
      <c r="D947" s="2">
        <f>IF(OR(A947="",B947=""),"",B947-C947)</f>
        <v/>
      </c>
    </row>
    <row r="948">
      <c r="A948" s="5" t="n"/>
      <c r="B948" s="6" t="n"/>
      <c r="C948" s="2">
        <f>IF(A948="","",SUMIFS('Input Transaksi'!$E$5:$E$5000,'Input Transaksi'!$D$5:$D$5000,A948))</f>
        <v/>
      </c>
      <c r="D948" s="2">
        <f>IF(OR(A948="",B948=""),"",B948-C948)</f>
        <v/>
      </c>
    </row>
    <row r="949">
      <c r="A949" s="5" t="n"/>
      <c r="B949" s="6" t="n"/>
      <c r="C949" s="2">
        <f>IF(A949="","",SUMIFS('Input Transaksi'!$E$5:$E$5000,'Input Transaksi'!$D$5:$D$5000,A949))</f>
        <v/>
      </c>
      <c r="D949" s="2">
        <f>IF(OR(A949="",B949=""),"",B949-C949)</f>
        <v/>
      </c>
    </row>
    <row r="950">
      <c r="A950" s="5" t="n"/>
      <c r="B950" s="6" t="n"/>
      <c r="C950" s="2">
        <f>IF(A950="","",SUMIFS('Input Transaksi'!$E$5:$E$5000,'Input Transaksi'!$D$5:$D$5000,A950))</f>
        <v/>
      </c>
      <c r="D950" s="2">
        <f>IF(OR(A950="",B950=""),"",B950-C950)</f>
        <v/>
      </c>
    </row>
    <row r="951">
      <c r="A951" s="5" t="n"/>
      <c r="B951" s="6" t="n"/>
      <c r="C951" s="2">
        <f>IF(A951="","",SUMIFS('Input Transaksi'!$E$5:$E$5000,'Input Transaksi'!$D$5:$D$5000,A951))</f>
        <v/>
      </c>
      <c r="D951" s="2">
        <f>IF(OR(A951="",B951=""),"",B951-C951)</f>
        <v/>
      </c>
    </row>
    <row r="952">
      <c r="A952" s="5" t="n"/>
      <c r="B952" s="6" t="n"/>
      <c r="C952" s="2">
        <f>IF(A952="","",SUMIFS('Input Transaksi'!$E$5:$E$5000,'Input Transaksi'!$D$5:$D$5000,A952))</f>
        <v/>
      </c>
      <c r="D952" s="2">
        <f>IF(OR(A952="",B952=""),"",B952-C952)</f>
        <v/>
      </c>
    </row>
    <row r="953">
      <c r="A953" s="5" t="n"/>
      <c r="B953" s="6" t="n"/>
      <c r="C953" s="2">
        <f>IF(A953="","",SUMIFS('Input Transaksi'!$E$5:$E$5000,'Input Transaksi'!$D$5:$D$5000,A953))</f>
        <v/>
      </c>
      <c r="D953" s="2">
        <f>IF(OR(A953="",B953=""),"",B953-C953)</f>
        <v/>
      </c>
    </row>
    <row r="954">
      <c r="A954" s="5" t="n"/>
      <c r="B954" s="6" t="n"/>
      <c r="C954" s="2">
        <f>IF(A954="","",SUMIFS('Input Transaksi'!$E$5:$E$5000,'Input Transaksi'!$D$5:$D$5000,A954))</f>
        <v/>
      </c>
      <c r="D954" s="2">
        <f>IF(OR(A954="",B954=""),"",B954-C954)</f>
        <v/>
      </c>
    </row>
    <row r="955">
      <c r="A955" s="5" t="n"/>
      <c r="B955" s="6" t="n"/>
      <c r="C955" s="2">
        <f>IF(A955="","",SUMIFS('Input Transaksi'!$E$5:$E$5000,'Input Transaksi'!$D$5:$D$5000,A955))</f>
        <v/>
      </c>
      <c r="D955" s="2">
        <f>IF(OR(A955="",B955=""),"",B955-C955)</f>
        <v/>
      </c>
    </row>
    <row r="956">
      <c r="A956" s="5" t="n"/>
      <c r="B956" s="6" t="n"/>
      <c r="C956" s="2">
        <f>IF(A956="","",SUMIFS('Input Transaksi'!$E$5:$E$5000,'Input Transaksi'!$D$5:$D$5000,A956))</f>
        <v/>
      </c>
      <c r="D956" s="2">
        <f>IF(OR(A956="",B956=""),"",B956-C956)</f>
        <v/>
      </c>
    </row>
    <row r="957">
      <c r="A957" s="5" t="n"/>
      <c r="B957" s="6" t="n"/>
      <c r="C957" s="2">
        <f>IF(A957="","",SUMIFS('Input Transaksi'!$E$5:$E$5000,'Input Transaksi'!$D$5:$D$5000,A957))</f>
        <v/>
      </c>
      <c r="D957" s="2">
        <f>IF(OR(A957="",B957=""),"",B957-C957)</f>
        <v/>
      </c>
    </row>
    <row r="958">
      <c r="A958" s="5" t="n"/>
      <c r="B958" s="6" t="n"/>
      <c r="C958" s="2">
        <f>IF(A958="","",SUMIFS('Input Transaksi'!$E$5:$E$5000,'Input Transaksi'!$D$5:$D$5000,A958))</f>
        <v/>
      </c>
      <c r="D958" s="2">
        <f>IF(OR(A958="",B958=""),"",B958-C958)</f>
        <v/>
      </c>
    </row>
    <row r="959">
      <c r="A959" s="5" t="n"/>
      <c r="B959" s="6" t="n"/>
      <c r="C959" s="2">
        <f>IF(A959="","",SUMIFS('Input Transaksi'!$E$5:$E$5000,'Input Transaksi'!$D$5:$D$5000,A959))</f>
        <v/>
      </c>
      <c r="D959" s="2">
        <f>IF(OR(A959="",B959=""),"",B959-C959)</f>
        <v/>
      </c>
    </row>
    <row r="960">
      <c r="A960" s="5" t="n"/>
      <c r="B960" s="6" t="n"/>
      <c r="C960" s="2">
        <f>IF(A960="","",SUMIFS('Input Transaksi'!$E$5:$E$5000,'Input Transaksi'!$D$5:$D$5000,A960))</f>
        <v/>
      </c>
      <c r="D960" s="2">
        <f>IF(OR(A960="",B960=""),"",B960-C960)</f>
        <v/>
      </c>
    </row>
    <row r="961">
      <c r="A961" s="5" t="n"/>
      <c r="B961" s="6" t="n"/>
      <c r="C961" s="2">
        <f>IF(A961="","",SUMIFS('Input Transaksi'!$E$5:$E$5000,'Input Transaksi'!$D$5:$D$5000,A961))</f>
        <v/>
      </c>
      <c r="D961" s="2">
        <f>IF(OR(A961="",B961=""),"",B961-C961)</f>
        <v/>
      </c>
    </row>
    <row r="962">
      <c r="A962" s="5" t="n"/>
      <c r="B962" s="6" t="n"/>
      <c r="C962" s="2">
        <f>IF(A962="","",SUMIFS('Input Transaksi'!$E$5:$E$5000,'Input Transaksi'!$D$5:$D$5000,A962))</f>
        <v/>
      </c>
      <c r="D962" s="2">
        <f>IF(OR(A962="",B962=""),"",B962-C962)</f>
        <v/>
      </c>
    </row>
    <row r="963">
      <c r="A963" s="5" t="n"/>
      <c r="B963" s="6" t="n"/>
      <c r="C963" s="2">
        <f>IF(A963="","",SUMIFS('Input Transaksi'!$E$5:$E$5000,'Input Transaksi'!$D$5:$D$5000,A963))</f>
        <v/>
      </c>
      <c r="D963" s="2">
        <f>IF(OR(A963="",B963=""),"",B963-C963)</f>
        <v/>
      </c>
    </row>
    <row r="964">
      <c r="A964" s="5" t="n"/>
      <c r="B964" s="6" t="n"/>
      <c r="C964" s="2">
        <f>IF(A964="","",SUMIFS('Input Transaksi'!$E$5:$E$5000,'Input Transaksi'!$D$5:$D$5000,A964))</f>
        <v/>
      </c>
      <c r="D964" s="2">
        <f>IF(OR(A964="",B964=""),"",B964-C964)</f>
        <v/>
      </c>
    </row>
    <row r="965">
      <c r="A965" s="5" t="n"/>
      <c r="B965" s="6" t="n"/>
      <c r="C965" s="2">
        <f>IF(A965="","",SUMIFS('Input Transaksi'!$E$5:$E$5000,'Input Transaksi'!$D$5:$D$5000,A965))</f>
        <v/>
      </c>
      <c r="D965" s="2">
        <f>IF(OR(A965="",B965=""),"",B965-C965)</f>
        <v/>
      </c>
    </row>
    <row r="966">
      <c r="A966" s="5" t="n"/>
      <c r="B966" s="6" t="n"/>
      <c r="C966" s="2">
        <f>IF(A966="","",SUMIFS('Input Transaksi'!$E$5:$E$5000,'Input Transaksi'!$D$5:$D$5000,A966))</f>
        <v/>
      </c>
      <c r="D966" s="2">
        <f>IF(OR(A966="",B966=""),"",B966-C966)</f>
        <v/>
      </c>
    </row>
    <row r="967">
      <c r="A967" s="5" t="n"/>
      <c r="B967" s="6" t="n"/>
      <c r="C967" s="2">
        <f>IF(A967="","",SUMIFS('Input Transaksi'!$E$5:$E$5000,'Input Transaksi'!$D$5:$D$5000,A967))</f>
        <v/>
      </c>
      <c r="D967" s="2">
        <f>IF(OR(A967="",B967=""),"",B967-C967)</f>
        <v/>
      </c>
    </row>
    <row r="968">
      <c r="A968" s="5" t="n"/>
      <c r="B968" s="6" t="n"/>
      <c r="C968" s="2">
        <f>IF(A968="","",SUMIFS('Input Transaksi'!$E$5:$E$5000,'Input Transaksi'!$D$5:$D$5000,A968))</f>
        <v/>
      </c>
      <c r="D968" s="2">
        <f>IF(OR(A968="",B968=""),"",B968-C968)</f>
        <v/>
      </c>
    </row>
    <row r="969">
      <c r="A969" s="5" t="n"/>
      <c r="B969" s="6" t="n"/>
      <c r="C969" s="2">
        <f>IF(A969="","",SUMIFS('Input Transaksi'!$E$5:$E$5000,'Input Transaksi'!$D$5:$D$5000,A969))</f>
        <v/>
      </c>
      <c r="D969" s="2">
        <f>IF(OR(A969="",B969=""),"",B969-C969)</f>
        <v/>
      </c>
    </row>
    <row r="970">
      <c r="A970" s="5" t="n"/>
      <c r="B970" s="6" t="n"/>
      <c r="C970" s="2">
        <f>IF(A970="","",SUMIFS('Input Transaksi'!$E$5:$E$5000,'Input Transaksi'!$D$5:$D$5000,A970))</f>
        <v/>
      </c>
      <c r="D970" s="2">
        <f>IF(OR(A970="",B970=""),"",B970-C970)</f>
        <v/>
      </c>
    </row>
    <row r="971">
      <c r="A971" s="5" t="n"/>
      <c r="B971" s="6" t="n"/>
      <c r="C971" s="2">
        <f>IF(A971="","",SUMIFS('Input Transaksi'!$E$5:$E$5000,'Input Transaksi'!$D$5:$D$5000,A971))</f>
        <v/>
      </c>
      <c r="D971" s="2">
        <f>IF(OR(A971="",B971=""),"",B971-C971)</f>
        <v/>
      </c>
    </row>
    <row r="972">
      <c r="A972" s="5" t="n"/>
      <c r="B972" s="6" t="n"/>
      <c r="C972" s="2">
        <f>IF(A972="","",SUMIFS('Input Transaksi'!$E$5:$E$5000,'Input Transaksi'!$D$5:$D$5000,A972))</f>
        <v/>
      </c>
      <c r="D972" s="2">
        <f>IF(OR(A972="",B972=""),"",B972-C972)</f>
        <v/>
      </c>
    </row>
    <row r="973">
      <c r="A973" s="5" t="n"/>
      <c r="B973" s="6" t="n"/>
      <c r="C973" s="2">
        <f>IF(A973="","",SUMIFS('Input Transaksi'!$E$5:$E$5000,'Input Transaksi'!$D$5:$D$5000,A973))</f>
        <v/>
      </c>
      <c r="D973" s="2">
        <f>IF(OR(A973="",B973=""),"",B973-C973)</f>
        <v/>
      </c>
    </row>
    <row r="974">
      <c r="A974" s="5" t="n"/>
      <c r="B974" s="6" t="n"/>
      <c r="C974" s="2">
        <f>IF(A974="","",SUMIFS('Input Transaksi'!$E$5:$E$5000,'Input Transaksi'!$D$5:$D$5000,A974))</f>
        <v/>
      </c>
      <c r="D974" s="2">
        <f>IF(OR(A974="",B974=""),"",B974-C974)</f>
        <v/>
      </c>
    </row>
    <row r="975">
      <c r="A975" s="5" t="n"/>
      <c r="B975" s="6" t="n"/>
      <c r="C975" s="2">
        <f>IF(A975="","",SUMIFS('Input Transaksi'!$E$5:$E$5000,'Input Transaksi'!$D$5:$D$5000,A975))</f>
        <v/>
      </c>
      <c r="D975" s="2">
        <f>IF(OR(A975="",B975=""),"",B975-C975)</f>
        <v/>
      </c>
    </row>
    <row r="976">
      <c r="A976" s="5" t="n"/>
      <c r="B976" s="6" t="n"/>
      <c r="C976" s="2">
        <f>IF(A976="","",SUMIFS('Input Transaksi'!$E$5:$E$5000,'Input Transaksi'!$D$5:$D$5000,A976))</f>
        <v/>
      </c>
      <c r="D976" s="2">
        <f>IF(OR(A976="",B976=""),"",B976-C976)</f>
        <v/>
      </c>
    </row>
    <row r="977">
      <c r="A977" s="5" t="n"/>
      <c r="B977" s="6" t="n"/>
      <c r="C977" s="2">
        <f>IF(A977="","",SUMIFS('Input Transaksi'!$E$5:$E$5000,'Input Transaksi'!$D$5:$D$5000,A977))</f>
        <v/>
      </c>
      <c r="D977" s="2">
        <f>IF(OR(A977="",B977=""),"",B977-C977)</f>
        <v/>
      </c>
    </row>
    <row r="978">
      <c r="A978" s="5" t="n"/>
      <c r="B978" s="6" t="n"/>
      <c r="C978" s="2">
        <f>IF(A978="","",SUMIFS('Input Transaksi'!$E$5:$E$5000,'Input Transaksi'!$D$5:$D$5000,A978))</f>
        <v/>
      </c>
      <c r="D978" s="2">
        <f>IF(OR(A978="",B978=""),"",B978-C978)</f>
        <v/>
      </c>
    </row>
    <row r="979">
      <c r="A979" s="5" t="n"/>
      <c r="B979" s="6" t="n"/>
      <c r="C979" s="2">
        <f>IF(A979="","",SUMIFS('Input Transaksi'!$E$5:$E$5000,'Input Transaksi'!$D$5:$D$5000,A979))</f>
        <v/>
      </c>
      <c r="D979" s="2">
        <f>IF(OR(A979="",B979=""),"",B979-C979)</f>
        <v/>
      </c>
    </row>
    <row r="980">
      <c r="A980" s="5" t="n"/>
      <c r="B980" s="6" t="n"/>
      <c r="C980" s="2">
        <f>IF(A980="","",SUMIFS('Input Transaksi'!$E$5:$E$5000,'Input Transaksi'!$D$5:$D$5000,A980))</f>
        <v/>
      </c>
      <c r="D980" s="2">
        <f>IF(OR(A980="",B980=""),"",B980-C980)</f>
        <v/>
      </c>
    </row>
    <row r="981">
      <c r="A981" s="5" t="n"/>
      <c r="B981" s="6" t="n"/>
      <c r="C981" s="2">
        <f>IF(A981="","",SUMIFS('Input Transaksi'!$E$5:$E$5000,'Input Transaksi'!$D$5:$D$5000,A981))</f>
        <v/>
      </c>
      <c r="D981" s="2">
        <f>IF(OR(A981="",B981=""),"",B981-C981)</f>
        <v/>
      </c>
    </row>
    <row r="982">
      <c r="A982" s="5" t="n"/>
      <c r="B982" s="6" t="n"/>
      <c r="C982" s="2">
        <f>IF(A982="","",SUMIFS('Input Transaksi'!$E$5:$E$5000,'Input Transaksi'!$D$5:$D$5000,A982))</f>
        <v/>
      </c>
      <c r="D982" s="2">
        <f>IF(OR(A982="",B982=""),"",B982-C982)</f>
        <v/>
      </c>
    </row>
    <row r="983">
      <c r="A983" s="5" t="n"/>
      <c r="B983" s="6" t="n"/>
      <c r="C983" s="2">
        <f>IF(A983="","",SUMIFS('Input Transaksi'!$E$5:$E$5000,'Input Transaksi'!$D$5:$D$5000,A983))</f>
        <v/>
      </c>
      <c r="D983" s="2">
        <f>IF(OR(A983="",B983=""),"",B983-C983)</f>
        <v/>
      </c>
    </row>
    <row r="984">
      <c r="A984" s="5" t="n"/>
      <c r="B984" s="6" t="n"/>
      <c r="C984" s="2">
        <f>IF(A984="","",SUMIFS('Input Transaksi'!$E$5:$E$5000,'Input Transaksi'!$D$5:$D$5000,A984))</f>
        <v/>
      </c>
      <c r="D984" s="2">
        <f>IF(OR(A984="",B984=""),"",B984-C984)</f>
        <v/>
      </c>
    </row>
    <row r="985">
      <c r="A985" s="5" t="n"/>
      <c r="B985" s="6" t="n"/>
      <c r="C985" s="2">
        <f>IF(A985="","",SUMIFS('Input Transaksi'!$E$5:$E$5000,'Input Transaksi'!$D$5:$D$5000,A985))</f>
        <v/>
      </c>
      <c r="D985" s="2">
        <f>IF(OR(A985="",B985=""),"",B985-C985)</f>
        <v/>
      </c>
    </row>
    <row r="986">
      <c r="A986" s="5" t="n"/>
      <c r="B986" s="6" t="n"/>
      <c r="C986" s="2">
        <f>IF(A986="","",SUMIFS('Input Transaksi'!$E$5:$E$5000,'Input Transaksi'!$D$5:$D$5000,A986))</f>
        <v/>
      </c>
      <c r="D986" s="2">
        <f>IF(OR(A986="",B986=""),"",B986-C986)</f>
        <v/>
      </c>
    </row>
    <row r="987">
      <c r="A987" s="5" t="n"/>
      <c r="B987" s="6" t="n"/>
      <c r="C987" s="2">
        <f>IF(A987="","",SUMIFS('Input Transaksi'!$E$5:$E$5000,'Input Transaksi'!$D$5:$D$5000,A987))</f>
        <v/>
      </c>
      <c r="D987" s="2">
        <f>IF(OR(A987="",B987=""),"",B987-C987)</f>
        <v/>
      </c>
    </row>
    <row r="988">
      <c r="A988" s="5" t="n"/>
      <c r="B988" s="6" t="n"/>
      <c r="C988" s="2">
        <f>IF(A988="","",SUMIFS('Input Transaksi'!$E$5:$E$5000,'Input Transaksi'!$D$5:$D$5000,A988))</f>
        <v/>
      </c>
      <c r="D988" s="2">
        <f>IF(OR(A988="",B988=""),"",B988-C988)</f>
        <v/>
      </c>
    </row>
    <row r="989">
      <c r="A989" s="5" t="n"/>
      <c r="B989" s="6" t="n"/>
      <c r="C989" s="2">
        <f>IF(A989="","",SUMIFS('Input Transaksi'!$E$5:$E$5000,'Input Transaksi'!$D$5:$D$5000,A989))</f>
        <v/>
      </c>
      <c r="D989" s="2">
        <f>IF(OR(A989="",B989=""),"",B989-C989)</f>
        <v/>
      </c>
    </row>
    <row r="990">
      <c r="A990" s="5" t="n"/>
      <c r="B990" s="6" t="n"/>
      <c r="C990" s="2">
        <f>IF(A990="","",SUMIFS('Input Transaksi'!$E$5:$E$5000,'Input Transaksi'!$D$5:$D$5000,A990))</f>
        <v/>
      </c>
      <c r="D990" s="2">
        <f>IF(OR(A990="",B990=""),"",B990-C990)</f>
        <v/>
      </c>
    </row>
    <row r="991">
      <c r="A991" s="5" t="n"/>
      <c r="B991" s="6" t="n"/>
      <c r="C991" s="2">
        <f>IF(A991="","",SUMIFS('Input Transaksi'!$E$5:$E$5000,'Input Transaksi'!$D$5:$D$5000,A991))</f>
        <v/>
      </c>
      <c r="D991" s="2">
        <f>IF(OR(A991="",B991=""),"",B991-C991)</f>
        <v/>
      </c>
    </row>
    <row r="992">
      <c r="A992" s="5" t="n"/>
      <c r="B992" s="6" t="n"/>
      <c r="C992" s="2">
        <f>IF(A992="","",SUMIFS('Input Transaksi'!$E$5:$E$5000,'Input Transaksi'!$D$5:$D$5000,A992))</f>
        <v/>
      </c>
      <c r="D992" s="2">
        <f>IF(OR(A992="",B992=""),"",B992-C992)</f>
        <v/>
      </c>
    </row>
    <row r="993">
      <c r="A993" s="5" t="n"/>
      <c r="B993" s="6" t="n"/>
      <c r="C993" s="2">
        <f>IF(A993="","",SUMIFS('Input Transaksi'!$E$5:$E$5000,'Input Transaksi'!$D$5:$D$5000,A993))</f>
        <v/>
      </c>
      <c r="D993" s="2">
        <f>IF(OR(A993="",B993=""),"",B993-C993)</f>
        <v/>
      </c>
    </row>
    <row r="994">
      <c r="A994" s="5" t="n"/>
      <c r="B994" s="6" t="n"/>
      <c r="C994" s="2">
        <f>IF(A994="","",SUMIFS('Input Transaksi'!$E$5:$E$5000,'Input Transaksi'!$D$5:$D$5000,A994))</f>
        <v/>
      </c>
      <c r="D994" s="2">
        <f>IF(OR(A994="",B994=""),"",B994-C994)</f>
        <v/>
      </c>
    </row>
    <row r="995">
      <c r="A995" s="5" t="n"/>
      <c r="B995" s="6" t="n"/>
      <c r="C995" s="2">
        <f>IF(A995="","",SUMIFS('Input Transaksi'!$E$5:$E$5000,'Input Transaksi'!$D$5:$D$5000,A995))</f>
        <v/>
      </c>
      <c r="D995" s="2">
        <f>IF(OR(A995="",B995=""),"",B995-C995)</f>
        <v/>
      </c>
    </row>
    <row r="996">
      <c r="A996" s="5" t="n"/>
      <c r="B996" s="6" t="n"/>
      <c r="C996" s="2">
        <f>IF(A996="","",SUMIFS('Input Transaksi'!$E$5:$E$5000,'Input Transaksi'!$D$5:$D$5000,A996))</f>
        <v/>
      </c>
      <c r="D996" s="2">
        <f>IF(OR(A996="",B996=""),"",B996-C996)</f>
        <v/>
      </c>
    </row>
    <row r="997">
      <c r="A997" s="5" t="n"/>
      <c r="B997" s="6" t="n"/>
      <c r="C997" s="2">
        <f>IF(A997="","",SUMIFS('Input Transaksi'!$E$5:$E$5000,'Input Transaksi'!$D$5:$D$5000,A997))</f>
        <v/>
      </c>
      <c r="D997" s="2">
        <f>IF(OR(A997="",B997=""),"",B997-C997)</f>
        <v/>
      </c>
    </row>
    <row r="998">
      <c r="A998" s="5" t="n"/>
      <c r="B998" s="6" t="n"/>
      <c r="C998" s="2">
        <f>IF(A998="","",SUMIFS('Input Transaksi'!$E$5:$E$5000,'Input Transaksi'!$D$5:$D$5000,A998))</f>
        <v/>
      </c>
      <c r="D998" s="2">
        <f>IF(OR(A998="",B998=""),"",B998-C998)</f>
        <v/>
      </c>
    </row>
    <row r="999">
      <c r="A999" s="5" t="n"/>
      <c r="B999" s="6" t="n"/>
      <c r="C999" s="2">
        <f>IF(A999="","",SUMIFS('Input Transaksi'!$E$5:$E$5000,'Input Transaksi'!$D$5:$D$5000,A999))</f>
        <v/>
      </c>
      <c r="D999" s="2">
        <f>IF(OR(A999="",B999=""),"",B999-C999)</f>
        <v/>
      </c>
    </row>
    <row r="1000">
      <c r="A1000" s="5" t="n"/>
      <c r="B1000" s="6" t="n"/>
      <c r="C1000" s="2">
        <f>IF(A1000="","",SUMIFS('Input Transaksi'!$E$5:$E$5000,'Input Transaksi'!$D$5:$D$5000,A1000))</f>
        <v/>
      </c>
      <c r="D1000" s="2">
        <f>IF(OR(A1000="",B1000=""),"",B1000-C1000)</f>
        <v/>
      </c>
    </row>
  </sheetData>
  <autoFilter ref="A4:D1000"/>
  <mergeCells count="2">
    <mergeCell ref="A1:D1"/>
    <mergeCell ref="A2: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000"/>
  <sheetViews>
    <sheetView tabSelected="1" workbookViewId="0">
      <pane ySplit="4" topLeftCell="A5" activePane="bottomLeft" state="frozen"/>
      <selection pane="bottomLeft" activeCell="B5" sqref="B5"/>
    </sheetView>
  </sheetViews>
  <sheetFormatPr baseColWidth="10" defaultColWidth="8.83203125" defaultRowHeight="15"/>
  <cols>
    <col width="16.6640625" customWidth="1" min="1" max="1"/>
    <col width="26.6640625" customWidth="1" min="2" max="2"/>
    <col width="16.6640625" customWidth="1" min="3" max="3"/>
    <col width="22.6640625" customWidth="1" min="4" max="4"/>
    <col width="14.33203125" bestFit="1" customWidth="1" min="5" max="5"/>
    <col width="28.6640625" customWidth="1" min="6" max="6"/>
  </cols>
  <sheetData>
    <row r="1" ht="24" customHeight="1">
      <c r="A1" s="11" t="inlineStr">
        <is>
          <t>INPUT TRANSAKSI</t>
        </is>
      </c>
    </row>
    <row r="2" ht="32" customHeight="1">
      <c r="A2" s="12" t="inlineStr">
        <is>
          <t>Isi tanggal, outlet, item, qty keluar, dan catatan seperlunya. Kolom wilayah terisi otomatis dari daftar outlet.</t>
        </is>
      </c>
      <c r="B2" s="14" t="n"/>
      <c r="C2" s="14" t="n"/>
      <c r="D2" s="14" t="n"/>
      <c r="E2" s="14" t="n"/>
      <c r="F2" s="15" t="n"/>
    </row>
    <row r="3"/>
    <row r="4">
      <c r="A4" s="4" t="inlineStr">
        <is>
          <t>Tanggal</t>
        </is>
      </c>
      <c r="B4" s="4" t="inlineStr">
        <is>
          <t>Outlet</t>
        </is>
      </c>
      <c r="C4" s="4" t="inlineStr">
        <is>
          <t>Wilayah</t>
        </is>
      </c>
      <c r="D4" s="4" t="inlineStr">
        <is>
          <t>Item</t>
        </is>
      </c>
      <c r="E4" s="4" t="inlineStr">
        <is>
          <t>Qty Keluar</t>
        </is>
      </c>
      <c r="F4" s="4" t="inlineStr">
        <is>
          <t>Catatan</t>
        </is>
      </c>
    </row>
    <row r="5">
      <c r="A5" s="7" t="n"/>
      <c r="B5" s="8" t="n"/>
      <c r="C5" s="9">
        <f>IF(B5="","",IFERROR(VLOOKUP(B5,'Daftar Outlet'!$A$4:$B$22,2,FALSE),""))</f>
        <v/>
      </c>
      <c r="D5" s="8" t="n"/>
      <c r="E5" s="6" t="n"/>
      <c r="F5" s="8" t="n"/>
    </row>
    <row r="6">
      <c r="A6" s="7" t="n"/>
      <c r="B6" s="8" t="n"/>
      <c r="C6" s="9">
        <f>IF(B6="","",IFERROR(VLOOKUP(B6,'Daftar Outlet'!$A$4:$B$22,2,FALSE),""))</f>
        <v/>
      </c>
      <c r="D6" s="8" t="n"/>
      <c r="E6" s="6" t="n"/>
      <c r="F6" s="8" t="n"/>
    </row>
    <row r="7">
      <c r="A7" s="7" t="n"/>
      <c r="B7" s="8" t="n"/>
      <c r="C7" s="9">
        <f>IF(B7="","",IFERROR(VLOOKUP(B7,'Daftar Outlet'!$A$4:$B$22,2,FALSE),""))</f>
        <v/>
      </c>
      <c r="D7" s="8" t="n"/>
      <c r="E7" s="6" t="n"/>
      <c r="F7" s="8" t="n"/>
    </row>
    <row r="8">
      <c r="A8" s="7" t="n"/>
      <c r="B8" s="8" t="n"/>
      <c r="C8" s="9">
        <f>IF(B8="","",IFERROR(VLOOKUP(B8,'Daftar Outlet'!$A$4:$B$22,2,FALSE),""))</f>
        <v/>
      </c>
      <c r="D8" s="8" t="n"/>
      <c r="E8" s="6" t="n"/>
      <c r="F8" s="8" t="n"/>
    </row>
    <row r="9">
      <c r="A9" s="7" t="n"/>
      <c r="B9" s="8" t="n"/>
      <c r="C9" s="9">
        <f>IF(B9="","",IFERROR(VLOOKUP(B9,'Daftar Outlet'!$A$4:$B$22,2,FALSE),""))</f>
        <v/>
      </c>
      <c r="D9" s="8" t="n"/>
      <c r="E9" s="6" t="n"/>
      <c r="F9" s="8" t="n"/>
    </row>
    <row r="10">
      <c r="A10" s="7" t="n"/>
      <c r="B10" s="8" t="n"/>
      <c r="C10" s="9">
        <f>IF(B10="","",IFERROR(VLOOKUP(B10,'Daftar Outlet'!$A$4:$B$22,2,FALSE),""))</f>
        <v/>
      </c>
      <c r="D10" s="8" t="n"/>
      <c r="E10" s="6" t="n"/>
      <c r="F10" s="8" t="n"/>
    </row>
    <row r="11">
      <c r="A11" s="7" t="n"/>
      <c r="B11" s="8" t="n"/>
      <c r="C11" s="9">
        <f>IF(B11="","",IFERROR(VLOOKUP(B11,'Daftar Outlet'!$A$4:$B$22,2,FALSE),""))</f>
        <v/>
      </c>
      <c r="D11" s="8" t="n"/>
      <c r="E11" s="6" t="n"/>
      <c r="F11" s="8" t="n"/>
    </row>
    <row r="12">
      <c r="A12" s="7" t="n"/>
      <c r="B12" s="8" t="n"/>
      <c r="C12" s="9">
        <f>IF(B12="","",IFERROR(VLOOKUP(B12,'Daftar Outlet'!$A$4:$B$22,2,FALSE),""))</f>
        <v/>
      </c>
      <c r="D12" s="8" t="n"/>
      <c r="E12" s="6" t="n"/>
      <c r="F12" s="8" t="n"/>
    </row>
    <row r="13">
      <c r="A13" s="7" t="n"/>
      <c r="B13" s="8" t="n"/>
      <c r="C13" s="9">
        <f>IF(B13="","",IFERROR(VLOOKUP(B13,'Daftar Outlet'!$A$4:$B$22,2,FALSE),""))</f>
        <v/>
      </c>
      <c r="D13" s="8" t="n"/>
      <c r="E13" s="6" t="n"/>
      <c r="F13" s="8" t="n"/>
    </row>
    <row r="14">
      <c r="A14" s="7" t="n"/>
      <c r="B14" s="8" t="n"/>
      <c r="C14" s="9">
        <f>IF(B14="","",IFERROR(VLOOKUP(B14,'Daftar Outlet'!$A$4:$B$22,2,FALSE),""))</f>
        <v/>
      </c>
      <c r="D14" s="8" t="n"/>
      <c r="E14" s="6" t="n"/>
      <c r="F14" s="8" t="n"/>
    </row>
    <row r="15">
      <c r="A15" s="7" t="n"/>
      <c r="B15" s="8" t="n"/>
      <c r="C15" s="9">
        <f>IF(B15="","",IFERROR(VLOOKUP(B15,'Daftar Outlet'!$A$4:$B$22,2,FALSE),""))</f>
        <v/>
      </c>
      <c r="D15" s="8" t="n"/>
      <c r="E15" s="6" t="n"/>
      <c r="F15" s="8" t="n"/>
    </row>
    <row r="16">
      <c r="A16" s="7" t="n"/>
      <c r="B16" s="8" t="n"/>
      <c r="C16" s="9">
        <f>IF(B16="","",IFERROR(VLOOKUP(B16,'Daftar Outlet'!$A$4:$B$22,2,FALSE),""))</f>
        <v/>
      </c>
      <c r="D16" s="8" t="n"/>
      <c r="E16" s="6" t="n"/>
      <c r="F16" s="8" t="n"/>
    </row>
    <row r="17">
      <c r="A17" s="7" t="n"/>
      <c r="B17" s="8" t="n"/>
      <c r="C17" s="9">
        <f>IF(B17="","",IFERROR(VLOOKUP(B17,'Daftar Outlet'!$A$4:$B$22,2,FALSE),""))</f>
        <v/>
      </c>
      <c r="D17" s="8" t="n"/>
      <c r="E17" s="6" t="n"/>
      <c r="F17" s="8" t="n"/>
    </row>
    <row r="18">
      <c r="A18" s="7" t="n"/>
      <c r="B18" s="8" t="n"/>
      <c r="C18" s="9">
        <f>IF(B18="","",IFERROR(VLOOKUP(B18,'Daftar Outlet'!$A$4:$B$22,2,FALSE),""))</f>
        <v/>
      </c>
      <c r="D18" s="8" t="n"/>
      <c r="E18" s="6" t="n"/>
      <c r="F18" s="8" t="n"/>
    </row>
    <row r="19">
      <c r="A19" s="7" t="n"/>
      <c r="B19" s="8" t="n"/>
      <c r="C19" s="9">
        <f>IF(B19="","",IFERROR(VLOOKUP(B19,'Daftar Outlet'!$A$4:$B$22,2,FALSE),""))</f>
        <v/>
      </c>
      <c r="D19" s="8" t="n"/>
      <c r="E19" s="6" t="n"/>
      <c r="F19" s="8" t="n"/>
    </row>
    <row r="20">
      <c r="A20" s="7" t="n"/>
      <c r="B20" s="8" t="n"/>
      <c r="C20" s="9">
        <f>IF(B20="","",IFERROR(VLOOKUP(B20,'Daftar Outlet'!$A$4:$B$22,2,FALSE),""))</f>
        <v/>
      </c>
      <c r="D20" s="8" t="n"/>
      <c r="E20" s="6" t="n"/>
      <c r="F20" s="8" t="n"/>
    </row>
    <row r="21">
      <c r="A21" s="7" t="n"/>
      <c r="B21" s="8" t="n"/>
      <c r="C21" s="9">
        <f>IF(B21="","",IFERROR(VLOOKUP(B21,'Daftar Outlet'!$A$4:$B$22,2,FALSE),""))</f>
        <v/>
      </c>
      <c r="D21" s="8" t="n"/>
      <c r="E21" s="6" t="n"/>
      <c r="F21" s="8" t="n"/>
    </row>
    <row r="22">
      <c r="A22" s="7" t="n"/>
      <c r="B22" s="8" t="n"/>
      <c r="C22" s="9">
        <f>IF(B22="","",IFERROR(VLOOKUP(B22,'Daftar Outlet'!$A$4:$B$22,2,FALSE),""))</f>
        <v/>
      </c>
      <c r="D22" s="8" t="n"/>
      <c r="E22" s="6" t="n"/>
      <c r="F22" s="8" t="n"/>
    </row>
    <row r="23">
      <c r="A23" s="7" t="n"/>
      <c r="B23" s="8" t="n"/>
      <c r="C23" s="9">
        <f>IF(B23="","",IFERROR(VLOOKUP(B23,'Daftar Outlet'!$A$4:$B$22,2,FALSE),""))</f>
        <v/>
      </c>
      <c r="D23" s="8" t="n"/>
      <c r="E23" s="6" t="n"/>
      <c r="F23" s="8" t="n"/>
    </row>
    <row r="24">
      <c r="A24" s="7" t="n"/>
      <c r="B24" s="8" t="n"/>
      <c r="C24" s="9">
        <f>IF(B24="","",IFERROR(VLOOKUP(B24,'Daftar Outlet'!$A$4:$B$22,2,FALSE),""))</f>
        <v/>
      </c>
      <c r="D24" s="8" t="n"/>
      <c r="E24" s="6" t="n"/>
      <c r="F24" s="8" t="n"/>
    </row>
    <row r="25">
      <c r="A25" s="7" t="n"/>
      <c r="B25" s="8" t="n"/>
      <c r="C25" s="9">
        <f>IF(B25="","",IFERROR(VLOOKUP(B25,'Daftar Outlet'!$A$4:$B$22,2,FALSE),""))</f>
        <v/>
      </c>
      <c r="D25" s="8" t="n"/>
      <c r="E25" s="6" t="n"/>
      <c r="F25" s="8" t="n"/>
    </row>
    <row r="26">
      <c r="A26" s="7" t="n"/>
      <c r="B26" s="8" t="n"/>
      <c r="C26" s="9">
        <f>IF(B26="","",IFERROR(VLOOKUP(B26,'Daftar Outlet'!$A$4:$B$22,2,FALSE),""))</f>
        <v/>
      </c>
      <c r="D26" s="8" t="n"/>
      <c r="E26" s="6" t="n"/>
      <c r="F26" s="8" t="n"/>
    </row>
    <row r="27">
      <c r="A27" s="7" t="n"/>
      <c r="B27" s="8" t="n"/>
      <c r="C27" s="9">
        <f>IF(B27="","",IFERROR(VLOOKUP(B27,'Daftar Outlet'!$A$4:$B$22,2,FALSE),""))</f>
        <v/>
      </c>
      <c r="D27" s="8" t="n"/>
      <c r="E27" s="6" t="n"/>
      <c r="F27" s="8" t="n"/>
    </row>
    <row r="28">
      <c r="A28" s="7" t="n"/>
      <c r="B28" s="8" t="n"/>
      <c r="C28" s="9">
        <f>IF(B28="","",IFERROR(VLOOKUP(B28,'Daftar Outlet'!$A$4:$B$22,2,FALSE),""))</f>
        <v/>
      </c>
      <c r="D28" s="8" t="n"/>
      <c r="E28" s="6" t="n"/>
      <c r="F28" s="8" t="n"/>
    </row>
    <row r="29">
      <c r="A29" s="7" t="n"/>
      <c r="B29" s="8" t="n"/>
      <c r="C29" s="9">
        <f>IF(B29="","",IFERROR(VLOOKUP(B29,'Daftar Outlet'!$A$4:$B$22,2,FALSE),""))</f>
        <v/>
      </c>
      <c r="D29" s="8" t="n"/>
      <c r="E29" s="6" t="n"/>
      <c r="F29" s="8" t="n"/>
    </row>
    <row r="30">
      <c r="A30" s="7" t="n"/>
      <c r="B30" s="8" t="n"/>
      <c r="C30" s="9">
        <f>IF(B30="","",IFERROR(VLOOKUP(B30,'Daftar Outlet'!$A$4:$B$22,2,FALSE),""))</f>
        <v/>
      </c>
      <c r="D30" s="8" t="n"/>
      <c r="E30" s="6" t="n"/>
      <c r="F30" s="8" t="n"/>
    </row>
    <row r="31">
      <c r="A31" s="7" t="n"/>
      <c r="B31" s="8" t="n"/>
      <c r="C31" s="9">
        <f>IF(B31="","",IFERROR(VLOOKUP(B31,'Daftar Outlet'!$A$4:$B$22,2,FALSE),""))</f>
        <v/>
      </c>
      <c r="D31" s="8" t="n"/>
      <c r="E31" s="6" t="n"/>
      <c r="F31" s="8" t="n"/>
    </row>
    <row r="32">
      <c r="A32" s="7" t="n"/>
      <c r="B32" s="8" t="n"/>
      <c r="C32" s="9">
        <f>IF(B32="","",IFERROR(VLOOKUP(B32,'Daftar Outlet'!$A$4:$B$22,2,FALSE),""))</f>
        <v/>
      </c>
      <c r="D32" s="8" t="n"/>
      <c r="E32" s="6" t="n"/>
      <c r="F32" s="8" t="n"/>
    </row>
    <row r="33">
      <c r="A33" s="7" t="n"/>
      <c r="B33" s="8" t="n"/>
      <c r="C33" s="9">
        <f>IF(B33="","",IFERROR(VLOOKUP(B33,'Daftar Outlet'!$A$4:$B$22,2,FALSE),""))</f>
        <v/>
      </c>
      <c r="D33" s="8" t="n"/>
      <c r="E33" s="6" t="n"/>
      <c r="F33" s="8" t="n"/>
    </row>
    <row r="34">
      <c r="A34" s="7" t="n"/>
      <c r="B34" s="8" t="n"/>
      <c r="C34" s="9">
        <f>IF(B34="","",IFERROR(VLOOKUP(B34,'Daftar Outlet'!$A$4:$B$22,2,FALSE),""))</f>
        <v/>
      </c>
      <c r="D34" s="8" t="n"/>
      <c r="E34" s="6" t="n"/>
      <c r="F34" s="8" t="n"/>
    </row>
    <row r="35">
      <c r="A35" s="7" t="n"/>
      <c r="B35" s="8" t="n"/>
      <c r="C35" s="9">
        <f>IF(B35="","",IFERROR(VLOOKUP(B35,'Daftar Outlet'!$A$4:$B$22,2,FALSE),""))</f>
        <v/>
      </c>
      <c r="D35" s="8" t="n"/>
      <c r="E35" s="6" t="n"/>
      <c r="F35" s="8" t="n"/>
    </row>
    <row r="36">
      <c r="A36" s="7" t="n"/>
      <c r="B36" s="8" t="n"/>
      <c r="C36" s="9">
        <f>IF(B36="","",IFERROR(VLOOKUP(B36,'Daftar Outlet'!$A$4:$B$22,2,FALSE),""))</f>
        <v/>
      </c>
      <c r="D36" s="8" t="n"/>
      <c r="E36" s="6" t="n"/>
      <c r="F36" s="8" t="n"/>
    </row>
    <row r="37">
      <c r="A37" s="7" t="n"/>
      <c r="B37" s="8" t="n"/>
      <c r="C37" s="9">
        <f>IF(B37="","",IFERROR(VLOOKUP(B37,'Daftar Outlet'!$A$4:$B$22,2,FALSE),""))</f>
        <v/>
      </c>
      <c r="D37" s="8" t="n"/>
      <c r="E37" s="6" t="n"/>
      <c r="F37" s="8" t="n"/>
    </row>
    <row r="38">
      <c r="A38" s="7" t="n"/>
      <c r="B38" s="8" t="n"/>
      <c r="C38" s="9">
        <f>IF(B38="","",IFERROR(VLOOKUP(B38,'Daftar Outlet'!$A$4:$B$22,2,FALSE),""))</f>
        <v/>
      </c>
      <c r="D38" s="8" t="n"/>
      <c r="E38" s="6" t="n"/>
      <c r="F38" s="8" t="n"/>
    </row>
    <row r="39">
      <c r="A39" s="7" t="n"/>
      <c r="B39" s="8" t="n"/>
      <c r="C39" s="9">
        <f>IF(B39="","",IFERROR(VLOOKUP(B39,'Daftar Outlet'!$A$4:$B$22,2,FALSE),""))</f>
        <v/>
      </c>
      <c r="D39" s="8" t="n"/>
      <c r="E39" s="6" t="n"/>
      <c r="F39" s="8" t="n"/>
    </row>
    <row r="40">
      <c r="A40" s="7" t="n"/>
      <c r="B40" s="8" t="n"/>
      <c r="C40" s="9">
        <f>IF(B40="","",IFERROR(VLOOKUP(B40,'Daftar Outlet'!$A$4:$B$22,2,FALSE),""))</f>
        <v/>
      </c>
      <c r="D40" s="8" t="n"/>
      <c r="E40" s="6" t="n"/>
      <c r="F40" s="8" t="n"/>
    </row>
    <row r="41">
      <c r="A41" s="7" t="n"/>
      <c r="B41" s="8" t="n"/>
      <c r="C41" s="9">
        <f>IF(B41="","",IFERROR(VLOOKUP(B41,'Daftar Outlet'!$A$4:$B$22,2,FALSE),""))</f>
        <v/>
      </c>
      <c r="D41" s="8" t="n"/>
      <c r="E41" s="6" t="n"/>
      <c r="F41" s="8" t="n"/>
    </row>
    <row r="42">
      <c r="A42" s="7" t="n"/>
      <c r="B42" s="8" t="n"/>
      <c r="C42" s="9">
        <f>IF(B42="","",IFERROR(VLOOKUP(B42,'Daftar Outlet'!$A$4:$B$22,2,FALSE),""))</f>
        <v/>
      </c>
      <c r="D42" s="8" t="n"/>
      <c r="E42" s="6" t="n"/>
      <c r="F42" s="8" t="n"/>
    </row>
    <row r="43">
      <c r="A43" s="7" t="n"/>
      <c r="B43" s="8" t="n"/>
      <c r="C43" s="9">
        <f>IF(B43="","",IFERROR(VLOOKUP(B43,'Daftar Outlet'!$A$4:$B$22,2,FALSE),""))</f>
        <v/>
      </c>
      <c r="D43" s="8" t="n"/>
      <c r="E43" s="6" t="n"/>
      <c r="F43" s="8" t="n"/>
    </row>
    <row r="44">
      <c r="A44" s="7" t="n"/>
      <c r="B44" s="8" t="n"/>
      <c r="C44" s="9">
        <f>IF(B44="","",IFERROR(VLOOKUP(B44,'Daftar Outlet'!$A$4:$B$22,2,FALSE),""))</f>
        <v/>
      </c>
      <c r="D44" s="8" t="n"/>
      <c r="E44" s="6" t="n"/>
      <c r="F44" s="8" t="n"/>
    </row>
    <row r="45">
      <c r="A45" s="7" t="n"/>
      <c r="B45" s="8" t="n"/>
      <c r="C45" s="9">
        <f>IF(B45="","",IFERROR(VLOOKUP(B45,'Daftar Outlet'!$A$4:$B$22,2,FALSE),""))</f>
        <v/>
      </c>
      <c r="D45" s="8" t="n"/>
      <c r="E45" s="6" t="n"/>
      <c r="F45" s="8" t="n"/>
    </row>
    <row r="46">
      <c r="A46" s="7" t="n"/>
      <c r="B46" s="8" t="n"/>
      <c r="C46" s="9">
        <f>IF(B46="","",IFERROR(VLOOKUP(B46,'Daftar Outlet'!$A$4:$B$22,2,FALSE),""))</f>
        <v/>
      </c>
      <c r="D46" s="8" t="n"/>
      <c r="E46" s="6" t="n"/>
      <c r="F46" s="8" t="n"/>
    </row>
    <row r="47">
      <c r="A47" s="7" t="n"/>
      <c r="B47" s="8" t="n"/>
      <c r="C47" s="9">
        <f>IF(B47="","",IFERROR(VLOOKUP(B47,'Daftar Outlet'!$A$4:$B$22,2,FALSE),""))</f>
        <v/>
      </c>
      <c r="D47" s="8" t="n"/>
      <c r="E47" s="6" t="n"/>
      <c r="F47" s="8" t="n"/>
    </row>
    <row r="48">
      <c r="A48" s="7" t="n"/>
      <c r="B48" s="8" t="n"/>
      <c r="C48" s="9">
        <f>IF(B48="","",IFERROR(VLOOKUP(B48,'Daftar Outlet'!$A$4:$B$22,2,FALSE),""))</f>
        <v/>
      </c>
      <c r="D48" s="8" t="n"/>
      <c r="E48" s="6" t="n"/>
      <c r="F48" s="8" t="n"/>
    </row>
    <row r="49">
      <c r="A49" s="7" t="n"/>
      <c r="B49" s="8" t="n"/>
      <c r="C49" s="9">
        <f>IF(B49="","",IFERROR(VLOOKUP(B49,'Daftar Outlet'!$A$4:$B$22,2,FALSE),""))</f>
        <v/>
      </c>
      <c r="D49" s="8" t="n"/>
      <c r="E49" s="6" t="n"/>
      <c r="F49" s="8" t="n"/>
    </row>
    <row r="50">
      <c r="A50" s="7" t="n"/>
      <c r="B50" s="8" t="n"/>
      <c r="C50" s="9">
        <f>IF(B50="","",IFERROR(VLOOKUP(B50,'Daftar Outlet'!$A$4:$B$22,2,FALSE),""))</f>
        <v/>
      </c>
      <c r="D50" s="8" t="n"/>
      <c r="E50" s="6" t="n"/>
      <c r="F50" s="8" t="n"/>
    </row>
    <row r="51">
      <c r="A51" s="7" t="n"/>
      <c r="B51" s="8" t="n"/>
      <c r="C51" s="9">
        <f>IF(B51="","",IFERROR(VLOOKUP(B51,'Daftar Outlet'!$A$4:$B$22,2,FALSE),""))</f>
        <v/>
      </c>
      <c r="D51" s="8" t="n"/>
      <c r="E51" s="6" t="n"/>
      <c r="F51" s="8" t="n"/>
    </row>
    <row r="52">
      <c r="A52" s="7" t="n"/>
      <c r="B52" s="8" t="n"/>
      <c r="C52" s="9">
        <f>IF(B52="","",IFERROR(VLOOKUP(B52,'Daftar Outlet'!$A$4:$B$22,2,FALSE),""))</f>
        <v/>
      </c>
      <c r="D52" s="8" t="n"/>
      <c r="E52" s="6" t="n"/>
      <c r="F52" s="8" t="n"/>
    </row>
    <row r="53">
      <c r="A53" s="7" t="n"/>
      <c r="B53" s="8" t="n"/>
      <c r="C53" s="9">
        <f>IF(B53="","",IFERROR(VLOOKUP(B53,'Daftar Outlet'!$A$4:$B$22,2,FALSE),""))</f>
        <v/>
      </c>
      <c r="D53" s="8" t="n"/>
      <c r="E53" s="6" t="n"/>
      <c r="F53" s="8" t="n"/>
    </row>
    <row r="54">
      <c r="A54" s="7" t="n"/>
      <c r="B54" s="8" t="n"/>
      <c r="C54" s="9">
        <f>IF(B54="","",IFERROR(VLOOKUP(B54,'Daftar Outlet'!$A$4:$B$22,2,FALSE),""))</f>
        <v/>
      </c>
      <c r="D54" s="8" t="n"/>
      <c r="E54" s="6" t="n"/>
      <c r="F54" s="8" t="n"/>
    </row>
    <row r="55">
      <c r="A55" s="7" t="n"/>
      <c r="B55" s="8" t="n"/>
      <c r="C55" s="9">
        <f>IF(B55="","",IFERROR(VLOOKUP(B55,'Daftar Outlet'!$A$4:$B$22,2,FALSE),""))</f>
        <v/>
      </c>
      <c r="D55" s="8" t="n"/>
      <c r="E55" s="6" t="n"/>
      <c r="F55" s="8" t="n"/>
    </row>
    <row r="56">
      <c r="A56" s="7" t="n"/>
      <c r="B56" s="8" t="n"/>
      <c r="C56" s="9">
        <f>IF(B56="","",IFERROR(VLOOKUP(B56,'Daftar Outlet'!$A$4:$B$22,2,FALSE),""))</f>
        <v/>
      </c>
      <c r="D56" s="8" t="n"/>
      <c r="E56" s="6" t="n"/>
      <c r="F56" s="8" t="n"/>
    </row>
    <row r="57">
      <c r="A57" s="7" t="n"/>
      <c r="B57" s="8" t="n"/>
      <c r="C57" s="9">
        <f>IF(B57="","",IFERROR(VLOOKUP(B57,'Daftar Outlet'!$A$4:$B$22,2,FALSE),""))</f>
        <v/>
      </c>
      <c r="D57" s="8" t="n"/>
      <c r="E57" s="6" t="n"/>
      <c r="F57" s="8" t="n"/>
    </row>
    <row r="58">
      <c r="A58" s="7" t="n"/>
      <c r="B58" s="8" t="n"/>
      <c r="C58" s="9">
        <f>IF(B58="","",IFERROR(VLOOKUP(B58,'Daftar Outlet'!$A$4:$B$22,2,FALSE),""))</f>
        <v/>
      </c>
      <c r="D58" s="8" t="n"/>
      <c r="E58" s="6" t="n"/>
      <c r="F58" s="8" t="n"/>
    </row>
    <row r="59">
      <c r="A59" s="7" t="n"/>
      <c r="B59" s="8" t="n"/>
      <c r="C59" s="9">
        <f>IF(B59="","",IFERROR(VLOOKUP(B59,'Daftar Outlet'!$A$4:$B$22,2,FALSE),""))</f>
        <v/>
      </c>
      <c r="D59" s="8" t="n"/>
      <c r="E59" s="6" t="n"/>
      <c r="F59" s="8" t="n"/>
    </row>
    <row r="60">
      <c r="A60" s="7" t="n"/>
      <c r="B60" s="8" t="n"/>
      <c r="C60" s="9">
        <f>IF(B60="","",IFERROR(VLOOKUP(B60,'Daftar Outlet'!$A$4:$B$22,2,FALSE),""))</f>
        <v/>
      </c>
      <c r="D60" s="8" t="n"/>
      <c r="E60" s="6" t="n"/>
      <c r="F60" s="8" t="n"/>
    </row>
    <row r="61">
      <c r="A61" s="7" t="n"/>
      <c r="B61" s="8" t="n"/>
      <c r="C61" s="9">
        <f>IF(B61="","",IFERROR(VLOOKUP(B61,'Daftar Outlet'!$A$4:$B$22,2,FALSE),""))</f>
        <v/>
      </c>
      <c r="D61" s="8" t="n"/>
      <c r="E61" s="6" t="n"/>
      <c r="F61" s="8" t="n"/>
    </row>
    <row r="62">
      <c r="A62" s="7" t="n"/>
      <c r="B62" s="8" t="n"/>
      <c r="C62" s="9">
        <f>IF(B62="","",IFERROR(VLOOKUP(B62,'Daftar Outlet'!$A$4:$B$22,2,FALSE),""))</f>
        <v/>
      </c>
      <c r="D62" s="8" t="n"/>
      <c r="E62" s="6" t="n"/>
      <c r="F62" s="8" t="n"/>
    </row>
    <row r="63">
      <c r="A63" s="7" t="n"/>
      <c r="B63" s="8" t="n"/>
      <c r="C63" s="9">
        <f>IF(B63="","",IFERROR(VLOOKUP(B63,'Daftar Outlet'!$A$4:$B$22,2,FALSE),""))</f>
        <v/>
      </c>
      <c r="D63" s="8" t="n"/>
      <c r="E63" s="6" t="n"/>
      <c r="F63" s="8" t="n"/>
    </row>
    <row r="64">
      <c r="A64" s="7" t="n"/>
      <c r="B64" s="8" t="n"/>
      <c r="C64" s="9">
        <f>IF(B64="","",IFERROR(VLOOKUP(B64,'Daftar Outlet'!$A$4:$B$22,2,FALSE),""))</f>
        <v/>
      </c>
      <c r="D64" s="8" t="n"/>
      <c r="E64" s="6" t="n"/>
      <c r="F64" s="8" t="n"/>
    </row>
    <row r="65">
      <c r="A65" s="7" t="n"/>
      <c r="B65" s="8" t="n"/>
      <c r="C65" s="9">
        <f>IF(B65="","",IFERROR(VLOOKUP(B65,'Daftar Outlet'!$A$4:$B$22,2,FALSE),""))</f>
        <v/>
      </c>
      <c r="D65" s="8" t="n"/>
      <c r="E65" s="6" t="n"/>
      <c r="F65" s="8" t="n"/>
    </row>
    <row r="66">
      <c r="A66" s="7" t="n"/>
      <c r="B66" s="8" t="n"/>
      <c r="C66" s="9">
        <f>IF(B66="","",IFERROR(VLOOKUP(B66,'Daftar Outlet'!$A$4:$B$22,2,FALSE),""))</f>
        <v/>
      </c>
      <c r="D66" s="8" t="n"/>
      <c r="E66" s="6" t="n"/>
      <c r="F66" s="8" t="n"/>
    </row>
    <row r="67">
      <c r="A67" s="7" t="n"/>
      <c r="B67" s="8" t="n"/>
      <c r="C67" s="9">
        <f>IF(B67="","",IFERROR(VLOOKUP(B67,'Daftar Outlet'!$A$4:$B$22,2,FALSE),""))</f>
        <v/>
      </c>
      <c r="D67" s="8" t="n"/>
      <c r="E67" s="6" t="n"/>
      <c r="F67" s="8" t="n"/>
    </row>
    <row r="68">
      <c r="A68" s="7" t="n"/>
      <c r="B68" s="8" t="n"/>
      <c r="C68" s="9">
        <f>IF(B68="","",IFERROR(VLOOKUP(B68,'Daftar Outlet'!$A$4:$B$22,2,FALSE),""))</f>
        <v/>
      </c>
      <c r="D68" s="8" t="n"/>
      <c r="E68" s="6" t="n"/>
      <c r="F68" s="8" t="n"/>
    </row>
    <row r="69">
      <c r="A69" s="7" t="n"/>
      <c r="B69" s="8" t="n"/>
      <c r="C69" s="9">
        <f>IF(B69="","",IFERROR(VLOOKUP(B69,'Daftar Outlet'!$A$4:$B$22,2,FALSE),""))</f>
        <v/>
      </c>
      <c r="D69" s="8" t="n"/>
      <c r="E69" s="6" t="n"/>
      <c r="F69" s="8" t="n"/>
    </row>
    <row r="70">
      <c r="A70" s="7" t="n"/>
      <c r="B70" s="8" t="n"/>
      <c r="C70" s="9">
        <f>IF(B70="","",IFERROR(VLOOKUP(B70,'Daftar Outlet'!$A$4:$B$22,2,FALSE),""))</f>
        <v/>
      </c>
      <c r="D70" s="8" t="n"/>
      <c r="E70" s="6" t="n"/>
      <c r="F70" s="8" t="n"/>
    </row>
    <row r="71">
      <c r="A71" s="7" t="n"/>
      <c r="B71" s="8" t="n"/>
      <c r="C71" s="9">
        <f>IF(B71="","",IFERROR(VLOOKUP(B71,'Daftar Outlet'!$A$4:$B$22,2,FALSE),""))</f>
        <v/>
      </c>
      <c r="D71" s="8" t="n"/>
      <c r="E71" s="6" t="n"/>
      <c r="F71" s="8" t="n"/>
    </row>
    <row r="72">
      <c r="A72" s="7" t="n"/>
      <c r="B72" s="8" t="n"/>
      <c r="C72" s="9">
        <f>IF(B72="","",IFERROR(VLOOKUP(B72,'Daftar Outlet'!$A$4:$B$22,2,FALSE),""))</f>
        <v/>
      </c>
      <c r="D72" s="8" t="n"/>
      <c r="E72" s="6" t="n"/>
      <c r="F72" s="8" t="n"/>
    </row>
    <row r="73">
      <c r="A73" s="7" t="n"/>
      <c r="B73" s="8" t="n"/>
      <c r="C73" s="9">
        <f>IF(B73="","",IFERROR(VLOOKUP(B73,'Daftar Outlet'!$A$4:$B$22,2,FALSE),""))</f>
        <v/>
      </c>
      <c r="D73" s="8" t="n"/>
      <c r="E73" s="6" t="n"/>
      <c r="F73" s="8" t="n"/>
    </row>
    <row r="74">
      <c r="A74" s="7" t="n"/>
      <c r="B74" s="8" t="n"/>
      <c r="C74" s="9">
        <f>IF(B74="","",IFERROR(VLOOKUP(B74,'Daftar Outlet'!$A$4:$B$22,2,FALSE),""))</f>
        <v/>
      </c>
      <c r="D74" s="8" t="n"/>
      <c r="E74" s="6" t="n"/>
      <c r="F74" s="8" t="n"/>
    </row>
    <row r="75">
      <c r="A75" s="7" t="n"/>
      <c r="B75" s="8" t="n"/>
      <c r="C75" s="9">
        <f>IF(B75="","",IFERROR(VLOOKUP(B75,'Daftar Outlet'!$A$4:$B$22,2,FALSE),""))</f>
        <v/>
      </c>
      <c r="D75" s="8" t="n"/>
      <c r="E75" s="6" t="n"/>
      <c r="F75" s="8" t="n"/>
    </row>
    <row r="76">
      <c r="A76" s="7" t="n"/>
      <c r="B76" s="8" t="n"/>
      <c r="C76" s="9">
        <f>IF(B76="","",IFERROR(VLOOKUP(B76,'Daftar Outlet'!$A$4:$B$22,2,FALSE),""))</f>
        <v/>
      </c>
      <c r="D76" s="8" t="n"/>
      <c r="E76" s="6" t="n"/>
      <c r="F76" s="8" t="n"/>
    </row>
    <row r="77">
      <c r="A77" s="7" t="n"/>
      <c r="B77" s="8" t="n"/>
      <c r="C77" s="9">
        <f>IF(B77="","",IFERROR(VLOOKUP(B77,'Daftar Outlet'!$A$4:$B$22,2,FALSE),""))</f>
        <v/>
      </c>
      <c r="D77" s="8" t="n"/>
      <c r="E77" s="6" t="n"/>
      <c r="F77" s="8" t="n"/>
    </row>
    <row r="78">
      <c r="A78" s="7" t="n"/>
      <c r="B78" s="8" t="n"/>
      <c r="C78" s="9">
        <f>IF(B78="","",IFERROR(VLOOKUP(B78,'Daftar Outlet'!$A$4:$B$22,2,FALSE),""))</f>
        <v/>
      </c>
      <c r="D78" s="8" t="n"/>
      <c r="E78" s="6" t="n"/>
      <c r="F78" s="8" t="n"/>
    </row>
    <row r="79">
      <c r="A79" s="7" t="n"/>
      <c r="B79" s="8" t="n"/>
      <c r="C79" s="9">
        <f>IF(B79="","",IFERROR(VLOOKUP(B79,'Daftar Outlet'!$A$4:$B$22,2,FALSE),""))</f>
        <v/>
      </c>
      <c r="D79" s="8" t="n"/>
      <c r="E79" s="6" t="n"/>
      <c r="F79" s="8" t="n"/>
    </row>
    <row r="80">
      <c r="A80" s="7" t="n"/>
      <c r="B80" s="8" t="n"/>
      <c r="C80" s="9">
        <f>IF(B80="","",IFERROR(VLOOKUP(B80,'Daftar Outlet'!$A$4:$B$22,2,FALSE),""))</f>
        <v/>
      </c>
      <c r="D80" s="8" t="n"/>
      <c r="E80" s="6" t="n"/>
      <c r="F80" s="8" t="n"/>
    </row>
    <row r="81">
      <c r="A81" s="7" t="n"/>
      <c r="B81" s="8" t="n"/>
      <c r="C81" s="9">
        <f>IF(B81="","",IFERROR(VLOOKUP(B81,'Daftar Outlet'!$A$4:$B$22,2,FALSE),""))</f>
        <v/>
      </c>
      <c r="D81" s="8" t="n"/>
      <c r="E81" s="6" t="n"/>
      <c r="F81" s="8" t="n"/>
    </row>
    <row r="82">
      <c r="A82" s="7" t="n"/>
      <c r="B82" s="8" t="n"/>
      <c r="C82" s="9">
        <f>IF(B82="","",IFERROR(VLOOKUP(B82,'Daftar Outlet'!$A$4:$B$22,2,FALSE),""))</f>
        <v/>
      </c>
      <c r="D82" s="8" t="n"/>
      <c r="E82" s="6" t="n"/>
      <c r="F82" s="8" t="n"/>
    </row>
    <row r="83">
      <c r="A83" s="7" t="n"/>
      <c r="B83" s="8" t="n"/>
      <c r="C83" s="9">
        <f>IF(B83="","",IFERROR(VLOOKUP(B83,'Daftar Outlet'!$A$4:$B$22,2,FALSE),""))</f>
        <v/>
      </c>
      <c r="D83" s="8" t="n"/>
      <c r="E83" s="6" t="n"/>
      <c r="F83" s="8" t="n"/>
    </row>
    <row r="84">
      <c r="A84" s="7" t="n"/>
      <c r="B84" s="8" t="n"/>
      <c r="C84" s="9">
        <f>IF(B84="","",IFERROR(VLOOKUP(B84,'Daftar Outlet'!$A$4:$B$22,2,FALSE),""))</f>
        <v/>
      </c>
      <c r="D84" s="8" t="n"/>
      <c r="E84" s="6" t="n"/>
      <c r="F84" s="8" t="n"/>
    </row>
    <row r="85">
      <c r="A85" s="7" t="n"/>
      <c r="B85" s="8" t="n"/>
      <c r="C85" s="9">
        <f>IF(B85="","",IFERROR(VLOOKUP(B85,'Daftar Outlet'!$A$4:$B$22,2,FALSE),""))</f>
        <v/>
      </c>
      <c r="D85" s="8" t="n"/>
      <c r="E85" s="6" t="n"/>
      <c r="F85" s="8" t="n"/>
    </row>
    <row r="86">
      <c r="A86" s="7" t="n"/>
      <c r="B86" s="8" t="n"/>
      <c r="C86" s="9">
        <f>IF(B86="","",IFERROR(VLOOKUP(B86,'Daftar Outlet'!$A$4:$B$22,2,FALSE),""))</f>
        <v/>
      </c>
      <c r="D86" s="8" t="n"/>
      <c r="E86" s="6" t="n"/>
      <c r="F86" s="8" t="n"/>
    </row>
    <row r="87">
      <c r="A87" s="7" t="n"/>
      <c r="B87" s="8" t="n"/>
      <c r="C87" s="9">
        <f>IF(B87="","",IFERROR(VLOOKUP(B87,'Daftar Outlet'!$A$4:$B$22,2,FALSE),""))</f>
        <v/>
      </c>
      <c r="D87" s="8" t="n"/>
      <c r="E87" s="6" t="n"/>
      <c r="F87" s="8" t="n"/>
    </row>
    <row r="88">
      <c r="A88" s="7" t="n"/>
      <c r="B88" s="8" t="n"/>
      <c r="C88" s="9">
        <f>IF(B88="","",IFERROR(VLOOKUP(B88,'Daftar Outlet'!$A$4:$B$22,2,FALSE),""))</f>
        <v/>
      </c>
      <c r="D88" s="8" t="n"/>
      <c r="E88" s="6" t="n"/>
      <c r="F88" s="8" t="n"/>
    </row>
    <row r="89">
      <c r="A89" s="7" t="n"/>
      <c r="B89" s="8" t="n"/>
      <c r="C89" s="9">
        <f>IF(B89="","",IFERROR(VLOOKUP(B89,'Daftar Outlet'!$A$4:$B$22,2,FALSE),""))</f>
        <v/>
      </c>
      <c r="D89" s="8" t="n"/>
      <c r="E89" s="6" t="n"/>
      <c r="F89" s="8" t="n"/>
    </row>
    <row r="90">
      <c r="A90" s="7" t="n"/>
      <c r="B90" s="8" t="n"/>
      <c r="C90" s="9">
        <f>IF(B90="","",IFERROR(VLOOKUP(B90,'Daftar Outlet'!$A$4:$B$22,2,FALSE),""))</f>
        <v/>
      </c>
      <c r="D90" s="8" t="n"/>
      <c r="E90" s="6" t="n"/>
      <c r="F90" s="8" t="n"/>
    </row>
    <row r="91">
      <c r="A91" s="7" t="n"/>
      <c r="B91" s="8" t="n"/>
      <c r="C91" s="9">
        <f>IF(B91="","",IFERROR(VLOOKUP(B91,'Daftar Outlet'!$A$4:$B$22,2,FALSE),""))</f>
        <v/>
      </c>
      <c r="D91" s="8" t="n"/>
      <c r="E91" s="6" t="n"/>
      <c r="F91" s="8" t="n"/>
    </row>
    <row r="92">
      <c r="A92" s="7" t="n"/>
      <c r="B92" s="8" t="n"/>
      <c r="C92" s="9">
        <f>IF(B92="","",IFERROR(VLOOKUP(B92,'Daftar Outlet'!$A$4:$B$22,2,FALSE),""))</f>
        <v/>
      </c>
      <c r="D92" s="8" t="n"/>
      <c r="E92" s="6" t="n"/>
      <c r="F92" s="8" t="n"/>
    </row>
    <row r="93">
      <c r="A93" s="7" t="n"/>
      <c r="B93" s="8" t="n"/>
      <c r="C93" s="9">
        <f>IF(B93="","",IFERROR(VLOOKUP(B93,'Daftar Outlet'!$A$4:$B$22,2,FALSE),""))</f>
        <v/>
      </c>
      <c r="D93" s="8" t="n"/>
      <c r="E93" s="6" t="n"/>
      <c r="F93" s="8" t="n"/>
    </row>
    <row r="94">
      <c r="A94" s="7" t="n"/>
      <c r="B94" s="8" t="n"/>
      <c r="C94" s="9">
        <f>IF(B94="","",IFERROR(VLOOKUP(B94,'Daftar Outlet'!$A$4:$B$22,2,FALSE),""))</f>
        <v/>
      </c>
      <c r="D94" s="8" t="n"/>
      <c r="E94" s="6" t="n"/>
      <c r="F94" s="8" t="n"/>
    </row>
    <row r="95">
      <c r="A95" s="7" t="n"/>
      <c r="B95" s="8" t="n"/>
      <c r="C95" s="9">
        <f>IF(B95="","",IFERROR(VLOOKUP(B95,'Daftar Outlet'!$A$4:$B$22,2,FALSE),""))</f>
        <v/>
      </c>
      <c r="D95" s="8" t="n"/>
      <c r="E95" s="6" t="n"/>
      <c r="F95" s="8" t="n"/>
    </row>
    <row r="96">
      <c r="A96" s="7" t="n"/>
      <c r="B96" s="8" t="n"/>
      <c r="C96" s="9">
        <f>IF(B96="","",IFERROR(VLOOKUP(B96,'Daftar Outlet'!$A$4:$B$22,2,FALSE),""))</f>
        <v/>
      </c>
      <c r="D96" s="8" t="n"/>
      <c r="E96" s="6" t="n"/>
      <c r="F96" s="8" t="n"/>
    </row>
    <row r="97">
      <c r="A97" s="7" t="n"/>
      <c r="B97" s="8" t="n"/>
      <c r="C97" s="9">
        <f>IF(B97="","",IFERROR(VLOOKUP(B97,'Daftar Outlet'!$A$4:$B$22,2,FALSE),""))</f>
        <v/>
      </c>
      <c r="D97" s="8" t="n"/>
      <c r="E97" s="6" t="n"/>
      <c r="F97" s="8" t="n"/>
    </row>
    <row r="98">
      <c r="A98" s="7" t="n"/>
      <c r="B98" s="8" t="n"/>
      <c r="C98" s="9">
        <f>IF(B98="","",IFERROR(VLOOKUP(B98,'Daftar Outlet'!$A$4:$B$22,2,FALSE),""))</f>
        <v/>
      </c>
      <c r="D98" s="8" t="n"/>
      <c r="E98" s="6" t="n"/>
      <c r="F98" s="8" t="n"/>
    </row>
    <row r="99">
      <c r="A99" s="7" t="n"/>
      <c r="B99" s="8" t="n"/>
      <c r="C99" s="9">
        <f>IF(B99="","",IFERROR(VLOOKUP(B99,'Daftar Outlet'!$A$4:$B$22,2,FALSE),""))</f>
        <v/>
      </c>
      <c r="D99" s="8" t="n"/>
      <c r="E99" s="6" t="n"/>
      <c r="F99" s="8" t="n"/>
    </row>
    <row r="100">
      <c r="A100" s="7" t="n"/>
      <c r="B100" s="8" t="n"/>
      <c r="C100" s="9">
        <f>IF(B100="","",IFERROR(VLOOKUP(B100,'Daftar Outlet'!$A$4:$B$22,2,FALSE),""))</f>
        <v/>
      </c>
      <c r="D100" s="8" t="n"/>
      <c r="E100" s="6" t="n"/>
      <c r="F100" s="8" t="n"/>
    </row>
    <row r="101">
      <c r="A101" s="7" t="n"/>
      <c r="B101" s="8" t="n"/>
      <c r="C101" s="9">
        <f>IF(B101="","",IFERROR(VLOOKUP(B101,'Daftar Outlet'!$A$4:$B$22,2,FALSE),""))</f>
        <v/>
      </c>
      <c r="D101" s="8" t="n"/>
      <c r="E101" s="6" t="n"/>
      <c r="F101" s="8" t="n"/>
    </row>
    <row r="102">
      <c r="A102" s="7" t="n"/>
      <c r="B102" s="8" t="n"/>
      <c r="C102" s="9">
        <f>IF(B102="","",IFERROR(VLOOKUP(B102,'Daftar Outlet'!$A$4:$B$22,2,FALSE),""))</f>
        <v/>
      </c>
      <c r="D102" s="8" t="n"/>
      <c r="E102" s="6" t="n"/>
      <c r="F102" s="8" t="n"/>
    </row>
    <row r="103">
      <c r="A103" s="7" t="n"/>
      <c r="B103" s="8" t="n"/>
      <c r="C103" s="9">
        <f>IF(B103="","",IFERROR(VLOOKUP(B103,'Daftar Outlet'!$A$4:$B$22,2,FALSE),""))</f>
        <v/>
      </c>
      <c r="D103" s="8" t="n"/>
      <c r="E103" s="6" t="n"/>
      <c r="F103" s="8" t="n"/>
    </row>
    <row r="104">
      <c r="A104" s="7" t="n"/>
      <c r="B104" s="8" t="n"/>
      <c r="C104" s="9">
        <f>IF(B104="","",IFERROR(VLOOKUP(B104,'Daftar Outlet'!$A$4:$B$22,2,FALSE),""))</f>
        <v/>
      </c>
      <c r="D104" s="8" t="n"/>
      <c r="E104" s="6" t="n"/>
      <c r="F104" s="8" t="n"/>
    </row>
    <row r="105">
      <c r="A105" s="7" t="n"/>
      <c r="B105" s="8" t="n"/>
      <c r="C105" s="9">
        <f>IF(B105="","",IFERROR(VLOOKUP(B105,'Daftar Outlet'!$A$4:$B$22,2,FALSE),""))</f>
        <v/>
      </c>
      <c r="D105" s="8" t="n"/>
      <c r="E105" s="6" t="n"/>
      <c r="F105" s="8" t="n"/>
    </row>
    <row r="106">
      <c r="A106" s="7" t="n"/>
      <c r="B106" s="8" t="n"/>
      <c r="C106" s="9">
        <f>IF(B106="","",IFERROR(VLOOKUP(B106,'Daftar Outlet'!$A$4:$B$22,2,FALSE),""))</f>
        <v/>
      </c>
      <c r="D106" s="8" t="n"/>
      <c r="E106" s="6" t="n"/>
      <c r="F106" s="8" t="n"/>
    </row>
    <row r="107">
      <c r="A107" s="7" t="n"/>
      <c r="B107" s="8" t="n"/>
      <c r="C107" s="9">
        <f>IF(B107="","",IFERROR(VLOOKUP(B107,'Daftar Outlet'!$A$4:$B$22,2,FALSE),""))</f>
        <v/>
      </c>
      <c r="D107" s="8" t="n"/>
      <c r="E107" s="6" t="n"/>
      <c r="F107" s="8" t="n"/>
    </row>
    <row r="108">
      <c r="A108" s="7" t="n"/>
      <c r="B108" s="8" t="n"/>
      <c r="C108" s="9">
        <f>IF(B108="","",IFERROR(VLOOKUP(B108,'Daftar Outlet'!$A$4:$B$22,2,FALSE),""))</f>
        <v/>
      </c>
      <c r="D108" s="8" t="n"/>
      <c r="E108" s="6" t="n"/>
      <c r="F108" s="8" t="n"/>
    </row>
    <row r="109">
      <c r="A109" s="7" t="n"/>
      <c r="B109" s="8" t="n"/>
      <c r="C109" s="9">
        <f>IF(B109="","",IFERROR(VLOOKUP(B109,'Daftar Outlet'!$A$4:$B$22,2,FALSE),""))</f>
        <v/>
      </c>
      <c r="D109" s="8" t="n"/>
      <c r="E109" s="6" t="n"/>
      <c r="F109" s="8" t="n"/>
    </row>
    <row r="110">
      <c r="A110" s="7" t="n"/>
      <c r="B110" s="8" t="n"/>
      <c r="C110" s="9">
        <f>IF(B110="","",IFERROR(VLOOKUP(B110,'Daftar Outlet'!$A$4:$B$22,2,FALSE),""))</f>
        <v/>
      </c>
      <c r="D110" s="8" t="n"/>
      <c r="E110" s="6" t="n"/>
      <c r="F110" s="8" t="n"/>
    </row>
    <row r="111">
      <c r="A111" s="7" t="n"/>
      <c r="B111" s="8" t="n"/>
      <c r="C111" s="9">
        <f>IF(B111="","",IFERROR(VLOOKUP(B111,'Daftar Outlet'!$A$4:$B$22,2,FALSE),""))</f>
        <v/>
      </c>
      <c r="D111" s="8" t="n"/>
      <c r="E111" s="6" t="n"/>
      <c r="F111" s="8" t="n"/>
    </row>
    <row r="112">
      <c r="A112" s="7" t="n"/>
      <c r="B112" s="8" t="n"/>
      <c r="C112" s="9">
        <f>IF(B112="","",IFERROR(VLOOKUP(B112,'Daftar Outlet'!$A$4:$B$22,2,FALSE),""))</f>
        <v/>
      </c>
      <c r="D112" s="8" t="n"/>
      <c r="E112" s="6" t="n"/>
      <c r="F112" s="8" t="n"/>
    </row>
    <row r="113">
      <c r="A113" s="7" t="n"/>
      <c r="B113" s="8" t="n"/>
      <c r="C113" s="9">
        <f>IF(B113="","",IFERROR(VLOOKUP(B113,'Daftar Outlet'!$A$4:$B$22,2,FALSE),""))</f>
        <v/>
      </c>
      <c r="D113" s="8" t="n"/>
      <c r="E113" s="6" t="n"/>
      <c r="F113" s="8" t="n"/>
    </row>
    <row r="114">
      <c r="A114" s="7" t="n"/>
      <c r="B114" s="8" t="n"/>
      <c r="C114" s="9">
        <f>IF(B114="","",IFERROR(VLOOKUP(B114,'Daftar Outlet'!$A$4:$B$22,2,FALSE),""))</f>
        <v/>
      </c>
      <c r="D114" s="8" t="n"/>
      <c r="E114" s="6" t="n"/>
      <c r="F114" s="8" t="n"/>
    </row>
    <row r="115">
      <c r="A115" s="7" t="n"/>
      <c r="B115" s="8" t="n"/>
      <c r="C115" s="9">
        <f>IF(B115="","",IFERROR(VLOOKUP(B115,'Daftar Outlet'!$A$4:$B$22,2,FALSE),""))</f>
        <v/>
      </c>
      <c r="D115" s="8" t="n"/>
      <c r="E115" s="6" t="n"/>
      <c r="F115" s="8" t="n"/>
    </row>
    <row r="116">
      <c r="A116" s="7" t="n"/>
      <c r="B116" s="8" t="n"/>
      <c r="C116" s="9">
        <f>IF(B116="","",IFERROR(VLOOKUP(B116,'Daftar Outlet'!$A$4:$B$22,2,FALSE),""))</f>
        <v/>
      </c>
      <c r="D116" s="8" t="n"/>
      <c r="E116" s="6" t="n"/>
      <c r="F116" s="8" t="n"/>
    </row>
    <row r="117">
      <c r="A117" s="7" t="n"/>
      <c r="B117" s="8" t="n"/>
      <c r="C117" s="9">
        <f>IF(B117="","",IFERROR(VLOOKUP(B117,'Daftar Outlet'!$A$4:$B$22,2,FALSE),""))</f>
        <v/>
      </c>
      <c r="D117" s="8" t="n"/>
      <c r="E117" s="6" t="n"/>
      <c r="F117" s="8" t="n"/>
    </row>
    <row r="118">
      <c r="A118" s="7" t="n"/>
      <c r="B118" s="8" t="n"/>
      <c r="C118" s="9">
        <f>IF(B118="","",IFERROR(VLOOKUP(B118,'Daftar Outlet'!$A$4:$B$22,2,FALSE),""))</f>
        <v/>
      </c>
      <c r="D118" s="8" t="n"/>
      <c r="E118" s="6" t="n"/>
      <c r="F118" s="8" t="n"/>
    </row>
    <row r="119">
      <c r="A119" s="7" t="n"/>
      <c r="B119" s="8" t="n"/>
      <c r="C119" s="9">
        <f>IF(B119="","",IFERROR(VLOOKUP(B119,'Daftar Outlet'!$A$4:$B$22,2,FALSE),""))</f>
        <v/>
      </c>
      <c r="D119" s="8" t="n"/>
      <c r="E119" s="6" t="n"/>
      <c r="F119" s="8" t="n"/>
    </row>
    <row r="120">
      <c r="A120" s="7" t="n"/>
      <c r="B120" s="8" t="n"/>
      <c r="C120" s="9">
        <f>IF(B120="","",IFERROR(VLOOKUP(B120,'Daftar Outlet'!$A$4:$B$22,2,FALSE),""))</f>
        <v/>
      </c>
      <c r="D120" s="8" t="n"/>
      <c r="E120" s="6" t="n"/>
      <c r="F120" s="8" t="n"/>
    </row>
    <row r="121">
      <c r="A121" s="7" t="n"/>
      <c r="B121" s="8" t="n"/>
      <c r="C121" s="9">
        <f>IF(B121="","",IFERROR(VLOOKUP(B121,'Daftar Outlet'!$A$4:$B$22,2,FALSE),""))</f>
        <v/>
      </c>
      <c r="D121" s="8" t="n"/>
      <c r="E121" s="6" t="n"/>
      <c r="F121" s="8" t="n"/>
    </row>
    <row r="122">
      <c r="A122" s="7" t="n"/>
      <c r="B122" s="8" t="n"/>
      <c r="C122" s="9">
        <f>IF(B122="","",IFERROR(VLOOKUP(B122,'Daftar Outlet'!$A$4:$B$22,2,FALSE),""))</f>
        <v/>
      </c>
      <c r="D122" s="8" t="n"/>
      <c r="E122" s="6" t="n"/>
      <c r="F122" s="8" t="n"/>
    </row>
    <row r="123">
      <c r="A123" s="7" t="n"/>
      <c r="B123" s="8" t="n"/>
      <c r="C123" s="9">
        <f>IF(B123="","",IFERROR(VLOOKUP(B123,'Daftar Outlet'!$A$4:$B$22,2,FALSE),""))</f>
        <v/>
      </c>
      <c r="D123" s="8" t="n"/>
      <c r="E123" s="6" t="n"/>
      <c r="F123" s="8" t="n"/>
    </row>
    <row r="124">
      <c r="A124" s="7" t="n"/>
      <c r="B124" s="8" t="n"/>
      <c r="C124" s="9">
        <f>IF(B124="","",IFERROR(VLOOKUP(B124,'Daftar Outlet'!$A$4:$B$22,2,FALSE),""))</f>
        <v/>
      </c>
      <c r="D124" s="8" t="n"/>
      <c r="E124" s="6" t="n"/>
      <c r="F124" s="8" t="n"/>
    </row>
    <row r="125">
      <c r="A125" s="7" t="n"/>
      <c r="B125" s="8" t="n"/>
      <c r="C125" s="9">
        <f>IF(B125="","",IFERROR(VLOOKUP(B125,'Daftar Outlet'!$A$4:$B$22,2,FALSE),""))</f>
        <v/>
      </c>
      <c r="D125" s="8" t="n"/>
      <c r="E125" s="6" t="n"/>
      <c r="F125" s="8" t="n"/>
    </row>
    <row r="126">
      <c r="A126" s="7" t="n"/>
      <c r="B126" s="8" t="n"/>
      <c r="C126" s="9">
        <f>IF(B126="","",IFERROR(VLOOKUP(B126,'Daftar Outlet'!$A$4:$B$22,2,FALSE),""))</f>
        <v/>
      </c>
      <c r="D126" s="8" t="n"/>
      <c r="E126" s="6" t="n"/>
      <c r="F126" s="8" t="n"/>
    </row>
    <row r="127">
      <c r="A127" s="7" t="n"/>
      <c r="B127" s="8" t="n"/>
      <c r="C127" s="9">
        <f>IF(B127="","",IFERROR(VLOOKUP(B127,'Daftar Outlet'!$A$4:$B$22,2,FALSE),""))</f>
        <v/>
      </c>
      <c r="D127" s="8" t="n"/>
      <c r="E127" s="6" t="n"/>
      <c r="F127" s="8" t="n"/>
    </row>
    <row r="128">
      <c r="A128" s="7" t="n"/>
      <c r="B128" s="8" t="n"/>
      <c r="C128" s="9">
        <f>IF(B128="","",IFERROR(VLOOKUP(B128,'Daftar Outlet'!$A$4:$B$22,2,FALSE),""))</f>
        <v/>
      </c>
      <c r="D128" s="8" t="n"/>
      <c r="E128" s="6" t="n"/>
      <c r="F128" s="8" t="n"/>
    </row>
    <row r="129">
      <c r="A129" s="7" t="n"/>
      <c r="B129" s="8" t="n"/>
      <c r="C129" s="9">
        <f>IF(B129="","",IFERROR(VLOOKUP(B129,'Daftar Outlet'!$A$4:$B$22,2,FALSE),""))</f>
        <v/>
      </c>
      <c r="D129" s="8" t="n"/>
      <c r="E129" s="6" t="n"/>
      <c r="F129" s="8" t="n"/>
    </row>
    <row r="130">
      <c r="A130" s="7" t="n"/>
      <c r="B130" s="8" t="n"/>
      <c r="C130" s="9">
        <f>IF(B130="","",IFERROR(VLOOKUP(B130,'Daftar Outlet'!$A$4:$B$22,2,FALSE),""))</f>
        <v/>
      </c>
      <c r="D130" s="8" t="n"/>
      <c r="E130" s="6" t="n"/>
      <c r="F130" s="8" t="n"/>
    </row>
    <row r="131">
      <c r="A131" s="7" t="n"/>
      <c r="B131" s="8" t="n"/>
      <c r="C131" s="9">
        <f>IF(B131="","",IFERROR(VLOOKUP(B131,'Daftar Outlet'!$A$4:$B$22,2,FALSE),""))</f>
        <v/>
      </c>
      <c r="D131" s="8" t="n"/>
      <c r="E131" s="6" t="n"/>
      <c r="F131" s="8" t="n"/>
    </row>
    <row r="132">
      <c r="A132" s="7" t="n"/>
      <c r="B132" s="8" t="n"/>
      <c r="C132" s="9">
        <f>IF(B132="","",IFERROR(VLOOKUP(B132,'Daftar Outlet'!$A$4:$B$22,2,FALSE),""))</f>
        <v/>
      </c>
      <c r="D132" s="8" t="n"/>
      <c r="E132" s="6" t="n"/>
      <c r="F132" s="8" t="n"/>
    </row>
    <row r="133">
      <c r="A133" s="7" t="n"/>
      <c r="B133" s="8" t="n"/>
      <c r="C133" s="9">
        <f>IF(B133="","",IFERROR(VLOOKUP(B133,'Daftar Outlet'!$A$4:$B$22,2,FALSE),""))</f>
        <v/>
      </c>
      <c r="D133" s="8" t="n"/>
      <c r="E133" s="6" t="n"/>
      <c r="F133" s="8" t="n"/>
    </row>
    <row r="134">
      <c r="A134" s="7" t="n"/>
      <c r="B134" s="8" t="n"/>
      <c r="C134" s="9">
        <f>IF(B134="","",IFERROR(VLOOKUP(B134,'Daftar Outlet'!$A$4:$B$22,2,FALSE),""))</f>
        <v/>
      </c>
      <c r="D134" s="8" t="n"/>
      <c r="E134" s="6" t="n"/>
      <c r="F134" s="8" t="n"/>
    </row>
    <row r="135">
      <c r="A135" s="7" t="n"/>
      <c r="B135" s="8" t="n"/>
      <c r="C135" s="9">
        <f>IF(B135="","",IFERROR(VLOOKUP(B135,'Daftar Outlet'!$A$4:$B$22,2,FALSE),""))</f>
        <v/>
      </c>
      <c r="D135" s="8" t="n"/>
      <c r="E135" s="6" t="n"/>
      <c r="F135" s="8" t="n"/>
    </row>
    <row r="136">
      <c r="A136" s="7" t="n"/>
      <c r="B136" s="8" t="n"/>
      <c r="C136" s="9">
        <f>IF(B136="","",IFERROR(VLOOKUP(B136,'Daftar Outlet'!$A$4:$B$22,2,FALSE),""))</f>
        <v/>
      </c>
      <c r="D136" s="8" t="n"/>
      <c r="E136" s="6" t="n"/>
      <c r="F136" s="8" t="n"/>
    </row>
    <row r="137">
      <c r="A137" s="7" t="n"/>
      <c r="B137" s="8" t="n"/>
      <c r="C137" s="9">
        <f>IF(B137="","",IFERROR(VLOOKUP(B137,'Daftar Outlet'!$A$4:$B$22,2,FALSE),""))</f>
        <v/>
      </c>
      <c r="D137" s="8" t="n"/>
      <c r="E137" s="6" t="n"/>
      <c r="F137" s="8" t="n"/>
    </row>
    <row r="138">
      <c r="A138" s="7" t="n"/>
      <c r="B138" s="8" t="n"/>
      <c r="C138" s="9">
        <f>IF(B138="","",IFERROR(VLOOKUP(B138,'Daftar Outlet'!$A$4:$B$22,2,FALSE),""))</f>
        <v/>
      </c>
      <c r="D138" s="8" t="n"/>
      <c r="E138" s="6" t="n"/>
      <c r="F138" s="8" t="n"/>
    </row>
    <row r="139">
      <c r="A139" s="7" t="n"/>
      <c r="B139" s="8" t="n"/>
      <c r="C139" s="9">
        <f>IF(B139="","",IFERROR(VLOOKUP(B139,'Daftar Outlet'!$A$4:$B$22,2,FALSE),""))</f>
        <v/>
      </c>
      <c r="D139" s="8" t="n"/>
      <c r="E139" s="6" t="n"/>
      <c r="F139" s="8" t="n"/>
    </row>
    <row r="140">
      <c r="A140" s="7" t="n"/>
      <c r="B140" s="8" t="n"/>
      <c r="C140" s="9">
        <f>IF(B140="","",IFERROR(VLOOKUP(B140,'Daftar Outlet'!$A$4:$B$22,2,FALSE),""))</f>
        <v/>
      </c>
      <c r="D140" s="8" t="n"/>
      <c r="E140" s="6" t="n"/>
      <c r="F140" s="8" t="n"/>
    </row>
    <row r="141">
      <c r="A141" s="7" t="n"/>
      <c r="B141" s="8" t="n"/>
      <c r="C141" s="9">
        <f>IF(B141="","",IFERROR(VLOOKUP(B141,'Daftar Outlet'!$A$4:$B$22,2,FALSE),""))</f>
        <v/>
      </c>
      <c r="D141" s="8" t="n"/>
      <c r="E141" s="6" t="n"/>
      <c r="F141" s="8" t="n"/>
    </row>
    <row r="142">
      <c r="A142" s="7" t="n"/>
      <c r="B142" s="8" t="n"/>
      <c r="C142" s="9">
        <f>IF(B142="","",IFERROR(VLOOKUP(B142,'Daftar Outlet'!$A$4:$B$22,2,FALSE),""))</f>
        <v/>
      </c>
      <c r="D142" s="8" t="n"/>
      <c r="E142" s="6" t="n"/>
      <c r="F142" s="8" t="n"/>
    </row>
    <row r="143">
      <c r="A143" s="7" t="n"/>
      <c r="B143" s="8" t="n"/>
      <c r="C143" s="9">
        <f>IF(B143="","",IFERROR(VLOOKUP(B143,'Daftar Outlet'!$A$4:$B$22,2,FALSE),""))</f>
        <v/>
      </c>
      <c r="D143" s="8" t="n"/>
      <c r="E143" s="6" t="n"/>
      <c r="F143" s="8" t="n"/>
    </row>
    <row r="144">
      <c r="A144" s="7" t="n"/>
      <c r="B144" s="8" t="n"/>
      <c r="C144" s="9">
        <f>IF(B144="","",IFERROR(VLOOKUP(B144,'Daftar Outlet'!$A$4:$B$22,2,FALSE),""))</f>
        <v/>
      </c>
      <c r="D144" s="8" t="n"/>
      <c r="E144" s="6" t="n"/>
      <c r="F144" s="8" t="n"/>
    </row>
    <row r="145">
      <c r="A145" s="7" t="n"/>
      <c r="B145" s="8" t="n"/>
      <c r="C145" s="9">
        <f>IF(B145="","",IFERROR(VLOOKUP(B145,'Daftar Outlet'!$A$4:$B$22,2,FALSE),""))</f>
        <v/>
      </c>
      <c r="D145" s="8" t="n"/>
      <c r="E145" s="6" t="n"/>
      <c r="F145" s="8" t="n"/>
    </row>
    <row r="146">
      <c r="A146" s="7" t="n"/>
      <c r="B146" s="8" t="n"/>
      <c r="C146" s="9">
        <f>IF(B146="","",IFERROR(VLOOKUP(B146,'Daftar Outlet'!$A$4:$B$22,2,FALSE),""))</f>
        <v/>
      </c>
      <c r="D146" s="8" t="n"/>
      <c r="E146" s="6" t="n"/>
      <c r="F146" s="8" t="n"/>
    </row>
    <row r="147">
      <c r="A147" s="7" t="n"/>
      <c r="B147" s="8" t="n"/>
      <c r="C147" s="9">
        <f>IF(B147="","",IFERROR(VLOOKUP(B147,'Daftar Outlet'!$A$4:$B$22,2,FALSE),""))</f>
        <v/>
      </c>
      <c r="D147" s="8" t="n"/>
      <c r="E147" s="6" t="n"/>
      <c r="F147" s="8" t="n"/>
    </row>
    <row r="148">
      <c r="A148" s="7" t="n"/>
      <c r="B148" s="8" t="n"/>
      <c r="C148" s="9">
        <f>IF(B148="","",IFERROR(VLOOKUP(B148,'Daftar Outlet'!$A$4:$B$22,2,FALSE),""))</f>
        <v/>
      </c>
      <c r="D148" s="8" t="n"/>
      <c r="E148" s="6" t="n"/>
      <c r="F148" s="8" t="n"/>
    </row>
    <row r="149">
      <c r="A149" s="7" t="n"/>
      <c r="B149" s="8" t="n"/>
      <c r="C149" s="9">
        <f>IF(B149="","",IFERROR(VLOOKUP(B149,'Daftar Outlet'!$A$4:$B$22,2,FALSE),""))</f>
        <v/>
      </c>
      <c r="D149" s="8" t="n"/>
      <c r="E149" s="6" t="n"/>
      <c r="F149" s="8" t="n"/>
    </row>
    <row r="150">
      <c r="A150" s="7" t="n"/>
      <c r="B150" s="8" t="n"/>
      <c r="C150" s="9">
        <f>IF(B150="","",IFERROR(VLOOKUP(B150,'Daftar Outlet'!$A$4:$B$22,2,FALSE),""))</f>
        <v/>
      </c>
      <c r="D150" s="8" t="n"/>
      <c r="E150" s="6" t="n"/>
      <c r="F150" s="8" t="n"/>
    </row>
    <row r="151">
      <c r="A151" s="7" t="n"/>
      <c r="B151" s="8" t="n"/>
      <c r="C151" s="9">
        <f>IF(B151="","",IFERROR(VLOOKUP(B151,'Daftar Outlet'!$A$4:$B$22,2,FALSE),""))</f>
        <v/>
      </c>
      <c r="D151" s="8" t="n"/>
      <c r="E151" s="6" t="n"/>
      <c r="F151" s="8" t="n"/>
    </row>
    <row r="152">
      <c r="A152" s="7" t="n"/>
      <c r="B152" s="8" t="n"/>
      <c r="C152" s="9">
        <f>IF(B152="","",IFERROR(VLOOKUP(B152,'Daftar Outlet'!$A$4:$B$22,2,FALSE),""))</f>
        <v/>
      </c>
      <c r="D152" s="8" t="n"/>
      <c r="E152" s="6" t="n"/>
      <c r="F152" s="8" t="n"/>
    </row>
    <row r="153">
      <c r="A153" s="7" t="n"/>
      <c r="B153" s="8" t="n"/>
      <c r="C153" s="9">
        <f>IF(B153="","",IFERROR(VLOOKUP(B153,'Daftar Outlet'!$A$4:$B$22,2,FALSE),""))</f>
        <v/>
      </c>
      <c r="D153" s="8" t="n"/>
      <c r="E153" s="6" t="n"/>
      <c r="F153" s="8" t="n"/>
    </row>
    <row r="154">
      <c r="A154" s="7" t="n"/>
      <c r="B154" s="8" t="n"/>
      <c r="C154" s="9">
        <f>IF(B154="","",IFERROR(VLOOKUP(B154,'Daftar Outlet'!$A$4:$B$22,2,FALSE),""))</f>
        <v/>
      </c>
      <c r="D154" s="8" t="n"/>
      <c r="E154" s="6" t="n"/>
      <c r="F154" s="8" t="n"/>
    </row>
    <row r="155">
      <c r="A155" s="7" t="n"/>
      <c r="B155" s="8" t="n"/>
      <c r="C155" s="9">
        <f>IF(B155="","",IFERROR(VLOOKUP(B155,'Daftar Outlet'!$A$4:$B$22,2,FALSE),""))</f>
        <v/>
      </c>
      <c r="D155" s="8" t="n"/>
      <c r="E155" s="6" t="n"/>
      <c r="F155" s="8" t="n"/>
    </row>
    <row r="156">
      <c r="A156" s="7" t="n"/>
      <c r="B156" s="8" t="n"/>
      <c r="C156" s="9">
        <f>IF(B156="","",IFERROR(VLOOKUP(B156,'Daftar Outlet'!$A$4:$B$22,2,FALSE),""))</f>
        <v/>
      </c>
      <c r="D156" s="8" t="n"/>
      <c r="E156" s="6" t="n"/>
      <c r="F156" s="8" t="n"/>
    </row>
    <row r="157">
      <c r="A157" s="7" t="n"/>
      <c r="B157" s="8" t="n"/>
      <c r="C157" s="9">
        <f>IF(B157="","",IFERROR(VLOOKUP(B157,'Daftar Outlet'!$A$4:$B$22,2,FALSE),""))</f>
        <v/>
      </c>
      <c r="D157" s="8" t="n"/>
      <c r="E157" s="6" t="n"/>
      <c r="F157" s="8" t="n"/>
    </row>
    <row r="158">
      <c r="A158" s="7" t="n"/>
      <c r="B158" s="8" t="n"/>
      <c r="C158" s="9">
        <f>IF(B158="","",IFERROR(VLOOKUP(B158,'Daftar Outlet'!$A$4:$B$22,2,FALSE),""))</f>
        <v/>
      </c>
      <c r="D158" s="8" t="n"/>
      <c r="E158" s="6" t="n"/>
      <c r="F158" s="8" t="n"/>
    </row>
    <row r="159">
      <c r="A159" s="7" t="n"/>
      <c r="B159" s="8" t="n"/>
      <c r="C159" s="9">
        <f>IF(B159="","",IFERROR(VLOOKUP(B159,'Daftar Outlet'!$A$4:$B$22,2,FALSE),""))</f>
        <v/>
      </c>
      <c r="D159" s="8" t="n"/>
      <c r="E159" s="6" t="n"/>
      <c r="F159" s="8" t="n"/>
    </row>
    <row r="160">
      <c r="A160" s="7" t="n"/>
      <c r="B160" s="8" t="n"/>
      <c r="C160" s="9">
        <f>IF(B160="","",IFERROR(VLOOKUP(B160,'Daftar Outlet'!$A$4:$B$22,2,FALSE),""))</f>
        <v/>
      </c>
      <c r="D160" s="8" t="n"/>
      <c r="E160" s="6" t="n"/>
      <c r="F160" s="8" t="n"/>
    </row>
    <row r="161">
      <c r="A161" s="7" t="n"/>
      <c r="B161" s="8" t="n"/>
      <c r="C161" s="9">
        <f>IF(B161="","",IFERROR(VLOOKUP(B161,'Daftar Outlet'!$A$4:$B$22,2,FALSE),""))</f>
        <v/>
      </c>
      <c r="D161" s="8" t="n"/>
      <c r="E161" s="6" t="n"/>
      <c r="F161" s="8" t="n"/>
    </row>
    <row r="162">
      <c r="A162" s="7" t="n"/>
      <c r="B162" s="8" t="n"/>
      <c r="C162" s="9">
        <f>IF(B162="","",IFERROR(VLOOKUP(B162,'Daftar Outlet'!$A$4:$B$22,2,FALSE),""))</f>
        <v/>
      </c>
      <c r="D162" s="8" t="n"/>
      <c r="E162" s="6" t="n"/>
      <c r="F162" s="8" t="n"/>
    </row>
    <row r="163">
      <c r="A163" s="7" t="n"/>
      <c r="B163" s="8" t="n"/>
      <c r="C163" s="9">
        <f>IF(B163="","",IFERROR(VLOOKUP(B163,'Daftar Outlet'!$A$4:$B$22,2,FALSE),""))</f>
        <v/>
      </c>
      <c r="D163" s="8" t="n"/>
      <c r="E163" s="6" t="n"/>
      <c r="F163" s="8" t="n"/>
    </row>
    <row r="164">
      <c r="A164" s="7" t="n"/>
      <c r="B164" s="8" t="n"/>
      <c r="C164" s="9">
        <f>IF(B164="","",IFERROR(VLOOKUP(B164,'Daftar Outlet'!$A$4:$B$22,2,FALSE),""))</f>
        <v/>
      </c>
      <c r="D164" s="8" t="n"/>
      <c r="E164" s="6" t="n"/>
      <c r="F164" s="8" t="n"/>
    </row>
    <row r="165">
      <c r="A165" s="7" t="n"/>
      <c r="B165" s="8" t="n"/>
      <c r="C165" s="9">
        <f>IF(B165="","",IFERROR(VLOOKUP(B165,'Daftar Outlet'!$A$4:$B$22,2,FALSE),""))</f>
        <v/>
      </c>
      <c r="D165" s="8" t="n"/>
      <c r="E165" s="6" t="n"/>
      <c r="F165" s="8" t="n"/>
    </row>
    <row r="166">
      <c r="A166" s="7" t="n"/>
      <c r="B166" s="8" t="n"/>
      <c r="C166" s="9">
        <f>IF(B166="","",IFERROR(VLOOKUP(B166,'Daftar Outlet'!$A$4:$B$22,2,FALSE),""))</f>
        <v/>
      </c>
      <c r="D166" s="8" t="n"/>
      <c r="E166" s="6" t="n"/>
      <c r="F166" s="8" t="n"/>
    </row>
    <row r="167">
      <c r="A167" s="7" t="n"/>
      <c r="B167" s="8" t="n"/>
      <c r="C167" s="9">
        <f>IF(B167="","",IFERROR(VLOOKUP(B167,'Daftar Outlet'!$A$4:$B$22,2,FALSE),""))</f>
        <v/>
      </c>
      <c r="D167" s="8" t="n"/>
      <c r="E167" s="6" t="n"/>
      <c r="F167" s="8" t="n"/>
    </row>
    <row r="168">
      <c r="A168" s="7" t="n"/>
      <c r="B168" s="8" t="n"/>
      <c r="C168" s="9">
        <f>IF(B168="","",IFERROR(VLOOKUP(B168,'Daftar Outlet'!$A$4:$B$22,2,FALSE),""))</f>
        <v/>
      </c>
      <c r="D168" s="8" t="n"/>
      <c r="E168" s="6" t="n"/>
      <c r="F168" s="8" t="n"/>
    </row>
    <row r="169">
      <c r="A169" s="7" t="n"/>
      <c r="B169" s="8" t="n"/>
      <c r="C169" s="9">
        <f>IF(B169="","",IFERROR(VLOOKUP(B169,'Daftar Outlet'!$A$4:$B$22,2,FALSE),""))</f>
        <v/>
      </c>
      <c r="D169" s="8" t="n"/>
      <c r="E169" s="6" t="n"/>
      <c r="F169" s="8" t="n"/>
    </row>
    <row r="170">
      <c r="A170" s="7" t="n"/>
      <c r="B170" s="8" t="n"/>
      <c r="C170" s="9">
        <f>IF(B170="","",IFERROR(VLOOKUP(B170,'Daftar Outlet'!$A$4:$B$22,2,FALSE),""))</f>
        <v/>
      </c>
      <c r="D170" s="8" t="n"/>
      <c r="E170" s="6" t="n"/>
      <c r="F170" s="8" t="n"/>
    </row>
    <row r="171">
      <c r="A171" s="7" t="n"/>
      <c r="B171" s="8" t="n"/>
      <c r="C171" s="9">
        <f>IF(B171="","",IFERROR(VLOOKUP(B171,'Daftar Outlet'!$A$4:$B$22,2,FALSE),""))</f>
        <v/>
      </c>
      <c r="D171" s="8" t="n"/>
      <c r="E171" s="6" t="n"/>
      <c r="F171" s="8" t="n"/>
    </row>
    <row r="172">
      <c r="A172" s="7" t="n"/>
      <c r="B172" s="8" t="n"/>
      <c r="C172" s="9">
        <f>IF(B172="","",IFERROR(VLOOKUP(B172,'Daftar Outlet'!$A$4:$B$22,2,FALSE),""))</f>
        <v/>
      </c>
      <c r="D172" s="8" t="n"/>
      <c r="E172" s="6" t="n"/>
      <c r="F172" s="8" t="n"/>
    </row>
    <row r="173">
      <c r="A173" s="7" t="n"/>
      <c r="B173" s="8" t="n"/>
      <c r="C173" s="9">
        <f>IF(B173="","",IFERROR(VLOOKUP(B173,'Daftar Outlet'!$A$4:$B$22,2,FALSE),""))</f>
        <v/>
      </c>
      <c r="D173" s="8" t="n"/>
      <c r="E173" s="6" t="n"/>
      <c r="F173" s="8" t="n"/>
    </row>
    <row r="174">
      <c r="A174" s="7" t="n"/>
      <c r="B174" s="8" t="n"/>
      <c r="C174" s="9">
        <f>IF(B174="","",IFERROR(VLOOKUP(B174,'Daftar Outlet'!$A$4:$B$22,2,FALSE),""))</f>
        <v/>
      </c>
      <c r="D174" s="8" t="n"/>
      <c r="E174" s="6" t="n"/>
      <c r="F174" s="8" t="n"/>
    </row>
    <row r="175">
      <c r="A175" s="7" t="n"/>
      <c r="B175" s="8" t="n"/>
      <c r="C175" s="9">
        <f>IF(B175="","",IFERROR(VLOOKUP(B175,'Daftar Outlet'!$A$4:$B$22,2,FALSE),""))</f>
        <v/>
      </c>
      <c r="D175" s="8" t="n"/>
      <c r="E175" s="6" t="n"/>
      <c r="F175" s="8" t="n"/>
    </row>
    <row r="176">
      <c r="A176" s="7" t="n"/>
      <c r="B176" s="8" t="n"/>
      <c r="C176" s="9">
        <f>IF(B176="","",IFERROR(VLOOKUP(B176,'Daftar Outlet'!$A$4:$B$22,2,FALSE),""))</f>
        <v/>
      </c>
      <c r="D176" s="8" t="n"/>
      <c r="E176" s="6" t="n"/>
      <c r="F176" s="8" t="n"/>
    </row>
    <row r="177">
      <c r="A177" s="7" t="n"/>
      <c r="B177" s="8" t="n"/>
      <c r="C177" s="9">
        <f>IF(B177="","",IFERROR(VLOOKUP(B177,'Daftar Outlet'!$A$4:$B$22,2,FALSE),""))</f>
        <v/>
      </c>
      <c r="D177" s="8" t="n"/>
      <c r="E177" s="6" t="n"/>
      <c r="F177" s="8" t="n"/>
    </row>
    <row r="178">
      <c r="A178" s="7" t="n"/>
      <c r="B178" s="8" t="n"/>
      <c r="C178" s="9">
        <f>IF(B178="","",IFERROR(VLOOKUP(B178,'Daftar Outlet'!$A$4:$B$22,2,FALSE),""))</f>
        <v/>
      </c>
      <c r="D178" s="8" t="n"/>
      <c r="E178" s="6" t="n"/>
      <c r="F178" s="8" t="n"/>
    </row>
    <row r="179">
      <c r="A179" s="7" t="n"/>
      <c r="B179" s="8" t="n"/>
      <c r="C179" s="9">
        <f>IF(B179="","",IFERROR(VLOOKUP(B179,'Daftar Outlet'!$A$4:$B$22,2,FALSE),""))</f>
        <v/>
      </c>
      <c r="D179" s="8" t="n"/>
      <c r="E179" s="6" t="n"/>
      <c r="F179" s="8" t="n"/>
    </row>
    <row r="180">
      <c r="A180" s="7" t="n"/>
      <c r="B180" s="8" t="n"/>
      <c r="C180" s="9">
        <f>IF(B180="","",IFERROR(VLOOKUP(B180,'Daftar Outlet'!$A$4:$B$22,2,FALSE),""))</f>
        <v/>
      </c>
      <c r="D180" s="8" t="n"/>
      <c r="E180" s="6" t="n"/>
      <c r="F180" s="8" t="n"/>
    </row>
    <row r="181">
      <c r="A181" s="7" t="n"/>
      <c r="B181" s="8" t="n"/>
      <c r="C181" s="9">
        <f>IF(B181="","",IFERROR(VLOOKUP(B181,'Daftar Outlet'!$A$4:$B$22,2,FALSE),""))</f>
        <v/>
      </c>
      <c r="D181" s="8" t="n"/>
      <c r="E181" s="6" t="n"/>
      <c r="F181" s="8" t="n"/>
    </row>
    <row r="182">
      <c r="A182" s="7" t="n"/>
      <c r="B182" s="8" t="n"/>
      <c r="C182" s="9">
        <f>IF(B182="","",IFERROR(VLOOKUP(B182,'Daftar Outlet'!$A$4:$B$22,2,FALSE),""))</f>
        <v/>
      </c>
      <c r="D182" s="8" t="n"/>
      <c r="E182" s="6" t="n"/>
      <c r="F182" s="8" t="n"/>
    </row>
    <row r="183">
      <c r="A183" s="7" t="n"/>
      <c r="B183" s="8" t="n"/>
      <c r="C183" s="9">
        <f>IF(B183="","",IFERROR(VLOOKUP(B183,'Daftar Outlet'!$A$4:$B$22,2,FALSE),""))</f>
        <v/>
      </c>
      <c r="D183" s="8" t="n"/>
      <c r="E183" s="6" t="n"/>
      <c r="F183" s="8" t="n"/>
    </row>
    <row r="184">
      <c r="A184" s="7" t="n"/>
      <c r="B184" s="8" t="n"/>
      <c r="C184" s="9">
        <f>IF(B184="","",IFERROR(VLOOKUP(B184,'Daftar Outlet'!$A$4:$B$22,2,FALSE),""))</f>
        <v/>
      </c>
      <c r="D184" s="8" t="n"/>
      <c r="E184" s="6" t="n"/>
      <c r="F184" s="8" t="n"/>
    </row>
    <row r="185">
      <c r="A185" s="7" t="n"/>
      <c r="B185" s="8" t="n"/>
      <c r="C185" s="9">
        <f>IF(B185="","",IFERROR(VLOOKUP(B185,'Daftar Outlet'!$A$4:$B$22,2,FALSE),""))</f>
        <v/>
      </c>
      <c r="D185" s="8" t="n"/>
      <c r="E185" s="6" t="n"/>
      <c r="F185" s="8" t="n"/>
    </row>
    <row r="186">
      <c r="A186" s="7" t="n"/>
      <c r="B186" s="8" t="n"/>
      <c r="C186" s="9">
        <f>IF(B186="","",IFERROR(VLOOKUP(B186,'Daftar Outlet'!$A$4:$B$22,2,FALSE),""))</f>
        <v/>
      </c>
      <c r="D186" s="8" t="n"/>
      <c r="E186" s="6" t="n"/>
      <c r="F186" s="8" t="n"/>
    </row>
    <row r="187">
      <c r="A187" s="7" t="n"/>
      <c r="B187" s="8" t="n"/>
      <c r="C187" s="9">
        <f>IF(B187="","",IFERROR(VLOOKUP(B187,'Daftar Outlet'!$A$4:$B$22,2,FALSE),""))</f>
        <v/>
      </c>
      <c r="D187" s="8" t="n"/>
      <c r="E187" s="6" t="n"/>
      <c r="F187" s="8" t="n"/>
    </row>
    <row r="188">
      <c r="A188" s="7" t="n"/>
      <c r="B188" s="8" t="n"/>
      <c r="C188" s="9">
        <f>IF(B188="","",IFERROR(VLOOKUP(B188,'Daftar Outlet'!$A$4:$B$22,2,FALSE),""))</f>
        <v/>
      </c>
      <c r="D188" s="8" t="n"/>
      <c r="E188" s="6" t="n"/>
      <c r="F188" s="8" t="n"/>
    </row>
    <row r="189">
      <c r="A189" s="7" t="n"/>
      <c r="B189" s="8" t="n"/>
      <c r="C189" s="9">
        <f>IF(B189="","",IFERROR(VLOOKUP(B189,'Daftar Outlet'!$A$4:$B$22,2,FALSE),""))</f>
        <v/>
      </c>
      <c r="D189" s="8" t="n"/>
      <c r="E189" s="6" t="n"/>
      <c r="F189" s="8" t="n"/>
    </row>
    <row r="190">
      <c r="A190" s="7" t="n"/>
      <c r="B190" s="8" t="n"/>
      <c r="C190" s="9">
        <f>IF(B190="","",IFERROR(VLOOKUP(B190,'Daftar Outlet'!$A$4:$B$22,2,FALSE),""))</f>
        <v/>
      </c>
      <c r="D190" s="8" t="n"/>
      <c r="E190" s="6" t="n"/>
      <c r="F190" s="8" t="n"/>
    </row>
    <row r="191">
      <c r="A191" s="7" t="n"/>
      <c r="B191" s="8" t="n"/>
      <c r="C191" s="9">
        <f>IF(B191="","",IFERROR(VLOOKUP(B191,'Daftar Outlet'!$A$4:$B$22,2,FALSE),""))</f>
        <v/>
      </c>
      <c r="D191" s="8" t="n"/>
      <c r="E191" s="6" t="n"/>
      <c r="F191" s="8" t="n"/>
    </row>
    <row r="192">
      <c r="A192" s="7" t="n"/>
      <c r="B192" s="8" t="n"/>
      <c r="C192" s="9">
        <f>IF(B192="","",IFERROR(VLOOKUP(B192,'Daftar Outlet'!$A$4:$B$22,2,FALSE),""))</f>
        <v/>
      </c>
      <c r="D192" s="8" t="n"/>
      <c r="E192" s="6" t="n"/>
      <c r="F192" s="8" t="n"/>
    </row>
    <row r="193">
      <c r="A193" s="7" t="n"/>
      <c r="B193" s="8" t="n"/>
      <c r="C193" s="9">
        <f>IF(B193="","",IFERROR(VLOOKUP(B193,'Daftar Outlet'!$A$4:$B$22,2,FALSE),""))</f>
        <v/>
      </c>
      <c r="D193" s="8" t="n"/>
      <c r="E193" s="6" t="n"/>
      <c r="F193" s="8" t="n"/>
    </row>
    <row r="194">
      <c r="A194" s="7" t="n"/>
      <c r="B194" s="8" t="n"/>
      <c r="C194" s="9">
        <f>IF(B194="","",IFERROR(VLOOKUP(B194,'Daftar Outlet'!$A$4:$B$22,2,FALSE),""))</f>
        <v/>
      </c>
      <c r="D194" s="8" t="n"/>
      <c r="E194" s="6" t="n"/>
      <c r="F194" s="8" t="n"/>
    </row>
    <row r="195">
      <c r="A195" s="7" t="n"/>
      <c r="B195" s="8" t="n"/>
      <c r="C195" s="9">
        <f>IF(B195="","",IFERROR(VLOOKUP(B195,'Daftar Outlet'!$A$4:$B$22,2,FALSE),""))</f>
        <v/>
      </c>
      <c r="D195" s="8" t="n"/>
      <c r="E195" s="6" t="n"/>
      <c r="F195" s="8" t="n"/>
    </row>
    <row r="196">
      <c r="A196" s="7" t="n"/>
      <c r="B196" s="8" t="n"/>
      <c r="C196" s="9">
        <f>IF(B196="","",IFERROR(VLOOKUP(B196,'Daftar Outlet'!$A$4:$B$22,2,FALSE),""))</f>
        <v/>
      </c>
      <c r="D196" s="8" t="n"/>
      <c r="E196" s="6" t="n"/>
      <c r="F196" s="8" t="n"/>
    </row>
    <row r="197">
      <c r="A197" s="7" t="n"/>
      <c r="B197" s="8" t="n"/>
      <c r="C197" s="9">
        <f>IF(B197="","",IFERROR(VLOOKUP(B197,'Daftar Outlet'!$A$4:$B$22,2,FALSE),""))</f>
        <v/>
      </c>
      <c r="D197" s="8" t="n"/>
      <c r="E197" s="6" t="n"/>
      <c r="F197" s="8" t="n"/>
    </row>
    <row r="198">
      <c r="A198" s="7" t="n"/>
      <c r="B198" s="8" t="n"/>
      <c r="C198" s="9">
        <f>IF(B198="","",IFERROR(VLOOKUP(B198,'Daftar Outlet'!$A$4:$B$22,2,FALSE),""))</f>
        <v/>
      </c>
      <c r="D198" s="8" t="n"/>
      <c r="E198" s="6" t="n"/>
      <c r="F198" s="8" t="n"/>
    </row>
    <row r="199">
      <c r="A199" s="7" t="n"/>
      <c r="B199" s="8" t="n"/>
      <c r="C199" s="9">
        <f>IF(B199="","",IFERROR(VLOOKUP(B199,'Daftar Outlet'!$A$4:$B$22,2,FALSE),""))</f>
        <v/>
      </c>
      <c r="D199" s="8" t="n"/>
      <c r="E199" s="6" t="n"/>
      <c r="F199" s="8" t="n"/>
    </row>
    <row r="200">
      <c r="A200" s="7" t="n"/>
      <c r="B200" s="8" t="n"/>
      <c r="C200" s="9">
        <f>IF(B200="","",IFERROR(VLOOKUP(B200,'Daftar Outlet'!$A$4:$B$22,2,FALSE),""))</f>
        <v/>
      </c>
      <c r="D200" s="8" t="n"/>
      <c r="E200" s="6" t="n"/>
      <c r="F200" s="8" t="n"/>
    </row>
    <row r="201">
      <c r="A201" s="7" t="n"/>
      <c r="B201" s="8" t="n"/>
      <c r="C201" s="9">
        <f>IF(B201="","",IFERROR(VLOOKUP(B201,'Daftar Outlet'!$A$4:$B$22,2,FALSE),""))</f>
        <v/>
      </c>
      <c r="D201" s="8" t="n"/>
      <c r="E201" s="6" t="n"/>
      <c r="F201" s="8" t="n"/>
    </row>
    <row r="202">
      <c r="A202" s="7" t="n"/>
      <c r="B202" s="8" t="n"/>
      <c r="C202" s="9">
        <f>IF(B202="","",IFERROR(VLOOKUP(B202,'Daftar Outlet'!$A$4:$B$22,2,FALSE),""))</f>
        <v/>
      </c>
      <c r="D202" s="8" t="n"/>
      <c r="E202" s="6" t="n"/>
      <c r="F202" s="8" t="n"/>
    </row>
    <row r="203">
      <c r="A203" s="7" t="n"/>
      <c r="B203" s="8" t="n"/>
      <c r="C203" s="9">
        <f>IF(B203="","",IFERROR(VLOOKUP(B203,'Daftar Outlet'!$A$4:$B$22,2,FALSE),""))</f>
        <v/>
      </c>
      <c r="D203" s="8" t="n"/>
      <c r="E203" s="6" t="n"/>
      <c r="F203" s="8" t="n"/>
    </row>
    <row r="204">
      <c r="A204" s="7" t="n"/>
      <c r="B204" s="8" t="n"/>
      <c r="C204" s="9">
        <f>IF(B204="","",IFERROR(VLOOKUP(B204,'Daftar Outlet'!$A$4:$B$22,2,FALSE),""))</f>
        <v/>
      </c>
      <c r="D204" s="8" t="n"/>
      <c r="E204" s="6" t="n"/>
      <c r="F204" s="8" t="n"/>
    </row>
    <row r="205">
      <c r="A205" s="7" t="n"/>
      <c r="B205" s="8" t="n"/>
      <c r="C205" s="9">
        <f>IF(B205="","",IFERROR(VLOOKUP(B205,'Daftar Outlet'!$A$4:$B$22,2,FALSE),""))</f>
        <v/>
      </c>
      <c r="D205" s="8" t="n"/>
      <c r="E205" s="6" t="n"/>
      <c r="F205" s="8" t="n"/>
    </row>
    <row r="206">
      <c r="A206" s="7" t="n"/>
      <c r="B206" s="8" t="n"/>
      <c r="C206" s="9">
        <f>IF(B206="","",IFERROR(VLOOKUP(B206,'Daftar Outlet'!$A$4:$B$22,2,FALSE),""))</f>
        <v/>
      </c>
      <c r="D206" s="8" t="n"/>
      <c r="E206" s="6" t="n"/>
      <c r="F206" s="8" t="n"/>
    </row>
    <row r="207">
      <c r="A207" s="7" t="n"/>
      <c r="B207" s="8" t="n"/>
      <c r="C207" s="9">
        <f>IF(B207="","",IFERROR(VLOOKUP(B207,'Daftar Outlet'!$A$4:$B$22,2,FALSE),""))</f>
        <v/>
      </c>
      <c r="D207" s="8" t="n"/>
      <c r="E207" s="6" t="n"/>
      <c r="F207" s="8" t="n"/>
    </row>
    <row r="208">
      <c r="A208" s="7" t="n"/>
      <c r="B208" s="8" t="n"/>
      <c r="C208" s="9">
        <f>IF(B208="","",IFERROR(VLOOKUP(B208,'Daftar Outlet'!$A$4:$B$22,2,FALSE),""))</f>
        <v/>
      </c>
      <c r="D208" s="8" t="n"/>
      <c r="E208" s="6" t="n"/>
      <c r="F208" s="8" t="n"/>
    </row>
    <row r="209">
      <c r="A209" s="7" t="n"/>
      <c r="B209" s="8" t="n"/>
      <c r="C209" s="9">
        <f>IF(B209="","",IFERROR(VLOOKUP(B209,'Daftar Outlet'!$A$4:$B$22,2,FALSE),""))</f>
        <v/>
      </c>
      <c r="D209" s="8" t="n"/>
      <c r="E209" s="6" t="n"/>
      <c r="F209" s="8" t="n"/>
    </row>
    <row r="210">
      <c r="A210" s="7" t="n"/>
      <c r="B210" s="8" t="n"/>
      <c r="C210" s="9">
        <f>IF(B210="","",IFERROR(VLOOKUP(B210,'Daftar Outlet'!$A$4:$B$22,2,FALSE),""))</f>
        <v/>
      </c>
      <c r="D210" s="8" t="n"/>
      <c r="E210" s="6" t="n"/>
      <c r="F210" s="8" t="n"/>
    </row>
    <row r="211">
      <c r="A211" s="7" t="n"/>
      <c r="B211" s="8" t="n"/>
      <c r="C211" s="9">
        <f>IF(B211="","",IFERROR(VLOOKUP(B211,'Daftar Outlet'!$A$4:$B$22,2,FALSE),""))</f>
        <v/>
      </c>
      <c r="D211" s="8" t="n"/>
      <c r="E211" s="6" t="n"/>
      <c r="F211" s="8" t="n"/>
    </row>
    <row r="212">
      <c r="A212" s="7" t="n"/>
      <c r="B212" s="8" t="n"/>
      <c r="C212" s="9">
        <f>IF(B212="","",IFERROR(VLOOKUP(B212,'Daftar Outlet'!$A$4:$B$22,2,FALSE),""))</f>
        <v/>
      </c>
      <c r="D212" s="8" t="n"/>
      <c r="E212" s="6" t="n"/>
      <c r="F212" s="8" t="n"/>
    </row>
    <row r="213">
      <c r="A213" s="7" t="n"/>
      <c r="B213" s="8" t="n"/>
      <c r="C213" s="9">
        <f>IF(B213="","",IFERROR(VLOOKUP(B213,'Daftar Outlet'!$A$4:$B$22,2,FALSE),""))</f>
        <v/>
      </c>
      <c r="D213" s="8" t="n"/>
      <c r="E213" s="6" t="n"/>
      <c r="F213" s="8" t="n"/>
    </row>
    <row r="214">
      <c r="A214" s="7" t="n"/>
      <c r="B214" s="8" t="n"/>
      <c r="C214" s="9">
        <f>IF(B214="","",IFERROR(VLOOKUP(B214,'Daftar Outlet'!$A$4:$B$22,2,FALSE),""))</f>
        <v/>
      </c>
      <c r="D214" s="8" t="n"/>
      <c r="E214" s="6" t="n"/>
      <c r="F214" s="8" t="n"/>
    </row>
    <row r="215">
      <c r="A215" s="7" t="n"/>
      <c r="B215" s="8" t="n"/>
      <c r="C215" s="9">
        <f>IF(B215="","",IFERROR(VLOOKUP(B215,'Daftar Outlet'!$A$4:$B$22,2,FALSE),""))</f>
        <v/>
      </c>
      <c r="D215" s="8" t="n"/>
      <c r="E215" s="6" t="n"/>
      <c r="F215" s="8" t="n"/>
    </row>
    <row r="216">
      <c r="A216" s="7" t="n"/>
      <c r="B216" s="8" t="n"/>
      <c r="C216" s="9">
        <f>IF(B216="","",IFERROR(VLOOKUP(B216,'Daftar Outlet'!$A$4:$B$22,2,FALSE),""))</f>
        <v/>
      </c>
      <c r="D216" s="8" t="n"/>
      <c r="E216" s="6" t="n"/>
      <c r="F216" s="8" t="n"/>
    </row>
    <row r="217">
      <c r="A217" s="7" t="n"/>
      <c r="B217" s="8" t="n"/>
      <c r="C217" s="9">
        <f>IF(B217="","",IFERROR(VLOOKUP(B217,'Daftar Outlet'!$A$4:$B$22,2,FALSE),""))</f>
        <v/>
      </c>
      <c r="D217" s="8" t="n"/>
      <c r="E217" s="6" t="n"/>
      <c r="F217" s="8" t="n"/>
    </row>
    <row r="218">
      <c r="A218" s="7" t="n"/>
      <c r="B218" s="8" t="n"/>
      <c r="C218" s="9">
        <f>IF(B218="","",IFERROR(VLOOKUP(B218,'Daftar Outlet'!$A$4:$B$22,2,FALSE),""))</f>
        <v/>
      </c>
      <c r="D218" s="8" t="n"/>
      <c r="E218" s="6" t="n"/>
      <c r="F218" s="8" t="n"/>
    </row>
    <row r="219">
      <c r="A219" s="7" t="n"/>
      <c r="B219" s="8" t="n"/>
      <c r="C219" s="9">
        <f>IF(B219="","",IFERROR(VLOOKUP(B219,'Daftar Outlet'!$A$4:$B$22,2,FALSE),""))</f>
        <v/>
      </c>
      <c r="D219" s="8" t="n"/>
      <c r="E219" s="6" t="n"/>
      <c r="F219" s="8" t="n"/>
    </row>
    <row r="220">
      <c r="A220" s="7" t="n"/>
      <c r="B220" s="8" t="n"/>
      <c r="C220" s="9">
        <f>IF(B220="","",IFERROR(VLOOKUP(B220,'Daftar Outlet'!$A$4:$B$22,2,FALSE),""))</f>
        <v/>
      </c>
      <c r="D220" s="8" t="n"/>
      <c r="E220" s="6" t="n"/>
      <c r="F220" s="8" t="n"/>
    </row>
    <row r="221">
      <c r="A221" s="7" t="n"/>
      <c r="B221" s="8" t="n"/>
      <c r="C221" s="9">
        <f>IF(B221="","",IFERROR(VLOOKUP(B221,'Daftar Outlet'!$A$4:$B$22,2,FALSE),""))</f>
        <v/>
      </c>
      <c r="D221" s="8" t="n"/>
      <c r="E221" s="6" t="n"/>
      <c r="F221" s="8" t="n"/>
    </row>
    <row r="222">
      <c r="A222" s="7" t="n"/>
      <c r="B222" s="8" t="n"/>
      <c r="C222" s="9">
        <f>IF(B222="","",IFERROR(VLOOKUP(B222,'Daftar Outlet'!$A$4:$B$22,2,FALSE),""))</f>
        <v/>
      </c>
      <c r="D222" s="8" t="n"/>
      <c r="E222" s="6" t="n"/>
      <c r="F222" s="8" t="n"/>
    </row>
    <row r="223">
      <c r="A223" s="7" t="n"/>
      <c r="B223" s="8" t="n"/>
      <c r="C223" s="9">
        <f>IF(B223="","",IFERROR(VLOOKUP(B223,'Daftar Outlet'!$A$4:$B$22,2,FALSE),""))</f>
        <v/>
      </c>
      <c r="D223" s="8" t="n"/>
      <c r="E223" s="6" t="n"/>
      <c r="F223" s="8" t="n"/>
    </row>
    <row r="224">
      <c r="A224" s="7" t="n"/>
      <c r="B224" s="8" t="n"/>
      <c r="C224" s="9">
        <f>IF(B224="","",IFERROR(VLOOKUP(B224,'Daftar Outlet'!$A$4:$B$22,2,FALSE),""))</f>
        <v/>
      </c>
      <c r="D224" s="8" t="n"/>
      <c r="E224" s="6" t="n"/>
      <c r="F224" s="8" t="n"/>
    </row>
    <row r="225">
      <c r="A225" s="7" t="n"/>
      <c r="B225" s="8" t="n"/>
      <c r="C225" s="9">
        <f>IF(B225="","",IFERROR(VLOOKUP(B225,'Daftar Outlet'!$A$4:$B$22,2,FALSE),""))</f>
        <v/>
      </c>
      <c r="D225" s="8" t="n"/>
      <c r="E225" s="6" t="n"/>
      <c r="F225" s="8" t="n"/>
    </row>
    <row r="226">
      <c r="A226" s="7" t="n"/>
      <c r="B226" s="8" t="n"/>
      <c r="C226" s="9">
        <f>IF(B226="","",IFERROR(VLOOKUP(B226,'Daftar Outlet'!$A$4:$B$22,2,FALSE),""))</f>
        <v/>
      </c>
      <c r="D226" s="8" t="n"/>
      <c r="E226" s="6" t="n"/>
      <c r="F226" s="8" t="n"/>
    </row>
    <row r="227">
      <c r="A227" s="7" t="n"/>
      <c r="B227" s="8" t="n"/>
      <c r="C227" s="9">
        <f>IF(B227="","",IFERROR(VLOOKUP(B227,'Daftar Outlet'!$A$4:$B$22,2,FALSE),""))</f>
        <v/>
      </c>
      <c r="D227" s="8" t="n"/>
      <c r="E227" s="6" t="n"/>
      <c r="F227" s="8" t="n"/>
    </row>
    <row r="228">
      <c r="A228" s="7" t="n"/>
      <c r="B228" s="8" t="n"/>
      <c r="C228" s="9">
        <f>IF(B228="","",IFERROR(VLOOKUP(B228,'Daftar Outlet'!$A$4:$B$22,2,FALSE),""))</f>
        <v/>
      </c>
      <c r="D228" s="8" t="n"/>
      <c r="E228" s="6" t="n"/>
      <c r="F228" s="8" t="n"/>
    </row>
    <row r="229">
      <c r="A229" s="7" t="n"/>
      <c r="B229" s="8" t="n"/>
      <c r="C229" s="9">
        <f>IF(B229="","",IFERROR(VLOOKUP(B229,'Daftar Outlet'!$A$4:$B$22,2,FALSE),""))</f>
        <v/>
      </c>
      <c r="D229" s="8" t="n"/>
      <c r="E229" s="6" t="n"/>
      <c r="F229" s="8" t="n"/>
    </row>
    <row r="230">
      <c r="A230" s="7" t="n"/>
      <c r="B230" s="8" t="n"/>
      <c r="C230" s="9">
        <f>IF(B230="","",IFERROR(VLOOKUP(B230,'Daftar Outlet'!$A$4:$B$22,2,FALSE),""))</f>
        <v/>
      </c>
      <c r="D230" s="8" t="n"/>
      <c r="E230" s="6" t="n"/>
      <c r="F230" s="8" t="n"/>
    </row>
    <row r="231">
      <c r="A231" s="7" t="n"/>
      <c r="B231" s="8" t="n"/>
      <c r="C231" s="9">
        <f>IF(B231="","",IFERROR(VLOOKUP(B231,'Daftar Outlet'!$A$4:$B$22,2,FALSE),""))</f>
        <v/>
      </c>
      <c r="D231" s="8" t="n"/>
      <c r="E231" s="6" t="n"/>
      <c r="F231" s="8" t="n"/>
    </row>
    <row r="232">
      <c r="A232" s="7" t="n"/>
      <c r="B232" s="8" t="n"/>
      <c r="C232" s="9">
        <f>IF(B232="","",IFERROR(VLOOKUP(B232,'Daftar Outlet'!$A$4:$B$22,2,FALSE),""))</f>
        <v/>
      </c>
      <c r="D232" s="8" t="n"/>
      <c r="E232" s="6" t="n"/>
      <c r="F232" s="8" t="n"/>
    </row>
    <row r="233">
      <c r="A233" s="7" t="n"/>
      <c r="B233" s="8" t="n"/>
      <c r="C233" s="9">
        <f>IF(B233="","",IFERROR(VLOOKUP(B233,'Daftar Outlet'!$A$4:$B$22,2,FALSE),""))</f>
        <v/>
      </c>
      <c r="D233" s="8" t="n"/>
      <c r="E233" s="6" t="n"/>
      <c r="F233" s="8" t="n"/>
    </row>
    <row r="234">
      <c r="A234" s="7" t="n"/>
      <c r="B234" s="8" t="n"/>
      <c r="C234" s="9">
        <f>IF(B234="","",IFERROR(VLOOKUP(B234,'Daftar Outlet'!$A$4:$B$22,2,FALSE),""))</f>
        <v/>
      </c>
      <c r="D234" s="8" t="n"/>
      <c r="E234" s="6" t="n"/>
      <c r="F234" s="8" t="n"/>
    </row>
    <row r="235">
      <c r="A235" s="7" t="n"/>
      <c r="B235" s="8" t="n"/>
      <c r="C235" s="9">
        <f>IF(B235="","",IFERROR(VLOOKUP(B235,'Daftar Outlet'!$A$4:$B$22,2,FALSE),""))</f>
        <v/>
      </c>
      <c r="D235" s="8" t="n"/>
      <c r="E235" s="6" t="n"/>
      <c r="F235" s="8" t="n"/>
    </row>
    <row r="236">
      <c r="A236" s="7" t="n"/>
      <c r="B236" s="8" t="n"/>
      <c r="C236" s="9">
        <f>IF(B236="","",IFERROR(VLOOKUP(B236,'Daftar Outlet'!$A$4:$B$22,2,FALSE),""))</f>
        <v/>
      </c>
      <c r="D236" s="8" t="n"/>
      <c r="E236" s="6" t="n"/>
      <c r="F236" s="8" t="n"/>
    </row>
    <row r="237">
      <c r="A237" s="7" t="n"/>
      <c r="B237" s="8" t="n"/>
      <c r="C237" s="9">
        <f>IF(B237="","",IFERROR(VLOOKUP(B237,'Daftar Outlet'!$A$4:$B$22,2,FALSE),""))</f>
        <v/>
      </c>
      <c r="D237" s="8" t="n"/>
      <c r="E237" s="6" t="n"/>
      <c r="F237" s="8" t="n"/>
    </row>
    <row r="238">
      <c r="A238" s="7" t="n"/>
      <c r="B238" s="8" t="n"/>
      <c r="C238" s="9">
        <f>IF(B238="","",IFERROR(VLOOKUP(B238,'Daftar Outlet'!$A$4:$B$22,2,FALSE),""))</f>
        <v/>
      </c>
      <c r="D238" s="8" t="n"/>
      <c r="E238" s="6" t="n"/>
      <c r="F238" s="8" t="n"/>
    </row>
    <row r="239">
      <c r="A239" s="7" t="n"/>
      <c r="B239" s="8" t="n"/>
      <c r="C239" s="9">
        <f>IF(B239="","",IFERROR(VLOOKUP(B239,'Daftar Outlet'!$A$4:$B$22,2,FALSE),""))</f>
        <v/>
      </c>
      <c r="D239" s="8" t="n"/>
      <c r="E239" s="6" t="n"/>
      <c r="F239" s="8" t="n"/>
    </row>
    <row r="240">
      <c r="A240" s="7" t="n"/>
      <c r="B240" s="8" t="n"/>
      <c r="C240" s="9">
        <f>IF(B240="","",IFERROR(VLOOKUP(B240,'Daftar Outlet'!$A$4:$B$22,2,FALSE),""))</f>
        <v/>
      </c>
      <c r="D240" s="8" t="n"/>
      <c r="E240" s="6" t="n"/>
      <c r="F240" s="8" t="n"/>
    </row>
    <row r="241">
      <c r="A241" s="7" t="n"/>
      <c r="B241" s="8" t="n"/>
      <c r="C241" s="9">
        <f>IF(B241="","",IFERROR(VLOOKUP(B241,'Daftar Outlet'!$A$4:$B$22,2,FALSE),""))</f>
        <v/>
      </c>
      <c r="D241" s="8" t="n"/>
      <c r="E241" s="6" t="n"/>
      <c r="F241" s="8" t="n"/>
    </row>
    <row r="242">
      <c r="A242" s="7" t="n"/>
      <c r="B242" s="8" t="n"/>
      <c r="C242" s="9">
        <f>IF(B242="","",IFERROR(VLOOKUP(B242,'Daftar Outlet'!$A$4:$B$22,2,FALSE),""))</f>
        <v/>
      </c>
      <c r="D242" s="8" t="n"/>
      <c r="E242" s="6" t="n"/>
      <c r="F242" s="8" t="n"/>
    </row>
    <row r="243">
      <c r="A243" s="7" t="n"/>
      <c r="B243" s="8" t="n"/>
      <c r="C243" s="9">
        <f>IF(B243="","",IFERROR(VLOOKUP(B243,'Daftar Outlet'!$A$4:$B$22,2,FALSE),""))</f>
        <v/>
      </c>
      <c r="D243" s="8" t="n"/>
      <c r="E243" s="6" t="n"/>
      <c r="F243" s="8" t="n"/>
    </row>
    <row r="244">
      <c r="A244" s="7" t="n"/>
      <c r="B244" s="8" t="n"/>
      <c r="C244" s="9">
        <f>IF(B244="","",IFERROR(VLOOKUP(B244,'Daftar Outlet'!$A$4:$B$22,2,FALSE),""))</f>
        <v/>
      </c>
      <c r="D244" s="8" t="n"/>
      <c r="E244" s="6" t="n"/>
      <c r="F244" s="8" t="n"/>
    </row>
    <row r="245">
      <c r="A245" s="7" t="n"/>
      <c r="B245" s="8" t="n"/>
      <c r="C245" s="9">
        <f>IF(B245="","",IFERROR(VLOOKUP(B245,'Daftar Outlet'!$A$4:$B$22,2,FALSE),""))</f>
        <v/>
      </c>
      <c r="D245" s="8" t="n"/>
      <c r="E245" s="6" t="n"/>
      <c r="F245" s="8" t="n"/>
    </row>
    <row r="246">
      <c r="A246" s="7" t="n"/>
      <c r="B246" s="8" t="n"/>
      <c r="C246" s="9">
        <f>IF(B246="","",IFERROR(VLOOKUP(B246,'Daftar Outlet'!$A$4:$B$22,2,FALSE),""))</f>
        <v/>
      </c>
      <c r="D246" s="8" t="n"/>
      <c r="E246" s="6" t="n"/>
      <c r="F246" s="8" t="n"/>
    </row>
    <row r="247">
      <c r="A247" s="7" t="n"/>
      <c r="B247" s="8" t="n"/>
      <c r="C247" s="9">
        <f>IF(B247="","",IFERROR(VLOOKUP(B247,'Daftar Outlet'!$A$4:$B$22,2,FALSE),""))</f>
        <v/>
      </c>
      <c r="D247" s="8" t="n"/>
      <c r="E247" s="6" t="n"/>
      <c r="F247" s="8" t="n"/>
    </row>
    <row r="248">
      <c r="A248" s="7" t="n"/>
      <c r="B248" s="8" t="n"/>
      <c r="C248" s="9">
        <f>IF(B248="","",IFERROR(VLOOKUP(B248,'Daftar Outlet'!$A$4:$B$22,2,FALSE),""))</f>
        <v/>
      </c>
      <c r="D248" s="8" t="n"/>
      <c r="E248" s="6" t="n"/>
      <c r="F248" s="8" t="n"/>
    </row>
    <row r="249">
      <c r="A249" s="7" t="n"/>
      <c r="B249" s="8" t="n"/>
      <c r="C249" s="9">
        <f>IF(B249="","",IFERROR(VLOOKUP(B249,'Daftar Outlet'!$A$4:$B$22,2,FALSE),""))</f>
        <v/>
      </c>
      <c r="D249" s="8" t="n"/>
      <c r="E249" s="6" t="n"/>
      <c r="F249" s="8" t="n"/>
    </row>
    <row r="250">
      <c r="A250" s="7" t="n"/>
      <c r="B250" s="8" t="n"/>
      <c r="C250" s="9">
        <f>IF(B250="","",IFERROR(VLOOKUP(B250,'Daftar Outlet'!$A$4:$B$22,2,FALSE),""))</f>
        <v/>
      </c>
      <c r="D250" s="8" t="n"/>
      <c r="E250" s="6" t="n"/>
      <c r="F250" s="8" t="n"/>
    </row>
    <row r="251">
      <c r="A251" s="7" t="n"/>
      <c r="B251" s="8" t="n"/>
      <c r="C251" s="9">
        <f>IF(B251="","",IFERROR(VLOOKUP(B251,'Daftar Outlet'!$A$4:$B$22,2,FALSE),""))</f>
        <v/>
      </c>
      <c r="D251" s="8" t="n"/>
      <c r="E251" s="6" t="n"/>
      <c r="F251" s="8" t="n"/>
    </row>
    <row r="252">
      <c r="A252" s="7" t="n"/>
      <c r="B252" s="8" t="n"/>
      <c r="C252" s="9">
        <f>IF(B252="","",IFERROR(VLOOKUP(B252,'Daftar Outlet'!$A$4:$B$22,2,FALSE),""))</f>
        <v/>
      </c>
      <c r="D252" s="8" t="n"/>
      <c r="E252" s="6" t="n"/>
      <c r="F252" s="8" t="n"/>
    </row>
    <row r="253">
      <c r="A253" s="7" t="n"/>
      <c r="B253" s="8" t="n"/>
      <c r="C253" s="9">
        <f>IF(B253="","",IFERROR(VLOOKUP(B253,'Daftar Outlet'!$A$4:$B$22,2,FALSE),""))</f>
        <v/>
      </c>
      <c r="D253" s="8" t="n"/>
      <c r="E253" s="6" t="n"/>
      <c r="F253" s="8" t="n"/>
    </row>
    <row r="254">
      <c r="A254" s="7" t="n"/>
      <c r="B254" s="8" t="n"/>
      <c r="C254" s="9">
        <f>IF(B254="","",IFERROR(VLOOKUP(B254,'Daftar Outlet'!$A$4:$B$22,2,FALSE),""))</f>
        <v/>
      </c>
      <c r="D254" s="8" t="n"/>
      <c r="E254" s="6" t="n"/>
      <c r="F254" s="8" t="n"/>
    </row>
    <row r="255">
      <c r="A255" s="7" t="n"/>
      <c r="B255" s="8" t="n"/>
      <c r="C255" s="9">
        <f>IF(B255="","",IFERROR(VLOOKUP(B255,'Daftar Outlet'!$A$4:$B$22,2,FALSE),""))</f>
        <v/>
      </c>
      <c r="D255" s="8" t="n"/>
      <c r="E255" s="6" t="n"/>
      <c r="F255" s="8" t="n"/>
    </row>
    <row r="256">
      <c r="A256" s="7" t="n"/>
      <c r="B256" s="8" t="n"/>
      <c r="C256" s="9">
        <f>IF(B256="","",IFERROR(VLOOKUP(B256,'Daftar Outlet'!$A$4:$B$22,2,FALSE),""))</f>
        <v/>
      </c>
      <c r="D256" s="8" t="n"/>
      <c r="E256" s="6" t="n"/>
      <c r="F256" s="8" t="n"/>
    </row>
    <row r="257">
      <c r="A257" s="7" t="n"/>
      <c r="B257" s="8" t="n"/>
      <c r="C257" s="9">
        <f>IF(B257="","",IFERROR(VLOOKUP(B257,'Daftar Outlet'!$A$4:$B$22,2,FALSE),""))</f>
        <v/>
      </c>
      <c r="D257" s="8" t="n"/>
      <c r="E257" s="6" t="n"/>
      <c r="F257" s="8" t="n"/>
    </row>
    <row r="258">
      <c r="A258" s="7" t="n"/>
      <c r="B258" s="8" t="n"/>
      <c r="C258" s="9">
        <f>IF(B258="","",IFERROR(VLOOKUP(B258,'Daftar Outlet'!$A$4:$B$22,2,FALSE),""))</f>
        <v/>
      </c>
      <c r="D258" s="8" t="n"/>
      <c r="E258" s="6" t="n"/>
      <c r="F258" s="8" t="n"/>
    </row>
    <row r="259">
      <c r="A259" s="7" t="n"/>
      <c r="B259" s="8" t="n"/>
      <c r="C259" s="9">
        <f>IF(B259="","",IFERROR(VLOOKUP(B259,'Daftar Outlet'!$A$4:$B$22,2,FALSE),""))</f>
        <v/>
      </c>
      <c r="D259" s="8" t="n"/>
      <c r="E259" s="6" t="n"/>
      <c r="F259" s="8" t="n"/>
    </row>
    <row r="260">
      <c r="A260" s="7" t="n"/>
      <c r="B260" s="8" t="n"/>
      <c r="C260" s="9">
        <f>IF(B260="","",IFERROR(VLOOKUP(B260,'Daftar Outlet'!$A$4:$B$22,2,FALSE),""))</f>
        <v/>
      </c>
      <c r="D260" s="8" t="n"/>
      <c r="E260" s="6" t="n"/>
      <c r="F260" s="8" t="n"/>
    </row>
    <row r="261">
      <c r="A261" s="7" t="n"/>
      <c r="B261" s="8" t="n"/>
      <c r="C261" s="9">
        <f>IF(B261="","",IFERROR(VLOOKUP(B261,'Daftar Outlet'!$A$4:$B$22,2,FALSE),""))</f>
        <v/>
      </c>
      <c r="D261" s="8" t="n"/>
      <c r="E261" s="6" t="n"/>
      <c r="F261" s="8" t="n"/>
    </row>
    <row r="262">
      <c r="A262" s="7" t="n"/>
      <c r="B262" s="8" t="n"/>
      <c r="C262" s="9">
        <f>IF(B262="","",IFERROR(VLOOKUP(B262,'Daftar Outlet'!$A$4:$B$22,2,FALSE),""))</f>
        <v/>
      </c>
      <c r="D262" s="8" t="n"/>
      <c r="E262" s="6" t="n"/>
      <c r="F262" s="8" t="n"/>
    </row>
    <row r="263">
      <c r="A263" s="7" t="n"/>
      <c r="B263" s="8" t="n"/>
      <c r="C263" s="9">
        <f>IF(B263="","",IFERROR(VLOOKUP(B263,'Daftar Outlet'!$A$4:$B$22,2,FALSE),""))</f>
        <v/>
      </c>
      <c r="D263" s="8" t="n"/>
      <c r="E263" s="6" t="n"/>
      <c r="F263" s="8" t="n"/>
    </row>
    <row r="264">
      <c r="A264" s="7" t="n"/>
      <c r="B264" s="8" t="n"/>
      <c r="C264" s="9">
        <f>IF(B264="","",IFERROR(VLOOKUP(B264,'Daftar Outlet'!$A$4:$B$22,2,FALSE),""))</f>
        <v/>
      </c>
      <c r="D264" s="8" t="n"/>
      <c r="E264" s="6" t="n"/>
      <c r="F264" s="8" t="n"/>
    </row>
    <row r="265">
      <c r="A265" s="7" t="n"/>
      <c r="B265" s="8" t="n"/>
      <c r="C265" s="9">
        <f>IF(B265="","",IFERROR(VLOOKUP(B265,'Daftar Outlet'!$A$4:$B$22,2,FALSE),""))</f>
        <v/>
      </c>
      <c r="D265" s="8" t="n"/>
      <c r="E265" s="6" t="n"/>
      <c r="F265" s="8" t="n"/>
    </row>
    <row r="266">
      <c r="A266" s="7" t="n"/>
      <c r="B266" s="8" t="n"/>
      <c r="C266" s="9">
        <f>IF(B266="","",IFERROR(VLOOKUP(B266,'Daftar Outlet'!$A$4:$B$22,2,FALSE),""))</f>
        <v/>
      </c>
      <c r="D266" s="8" t="n"/>
      <c r="E266" s="6" t="n"/>
      <c r="F266" s="8" t="n"/>
    </row>
    <row r="267">
      <c r="A267" s="7" t="n"/>
      <c r="B267" s="8" t="n"/>
      <c r="C267" s="9">
        <f>IF(B267="","",IFERROR(VLOOKUP(B267,'Daftar Outlet'!$A$4:$B$22,2,FALSE),""))</f>
        <v/>
      </c>
      <c r="D267" s="8" t="n"/>
      <c r="E267" s="6" t="n"/>
      <c r="F267" s="8" t="n"/>
    </row>
    <row r="268">
      <c r="A268" s="7" t="n"/>
      <c r="B268" s="8" t="n"/>
      <c r="C268" s="9">
        <f>IF(B268="","",IFERROR(VLOOKUP(B268,'Daftar Outlet'!$A$4:$B$22,2,FALSE),""))</f>
        <v/>
      </c>
      <c r="D268" s="8" t="n"/>
      <c r="E268" s="6" t="n"/>
      <c r="F268" s="8" t="n"/>
    </row>
    <row r="269">
      <c r="A269" s="7" t="n"/>
      <c r="B269" s="8" t="n"/>
      <c r="C269" s="9">
        <f>IF(B269="","",IFERROR(VLOOKUP(B269,'Daftar Outlet'!$A$4:$B$22,2,FALSE),""))</f>
        <v/>
      </c>
      <c r="D269" s="8" t="n"/>
      <c r="E269" s="6" t="n"/>
      <c r="F269" s="8" t="n"/>
    </row>
    <row r="270">
      <c r="A270" s="7" t="n"/>
      <c r="B270" s="8" t="n"/>
      <c r="C270" s="9">
        <f>IF(B270="","",IFERROR(VLOOKUP(B270,'Daftar Outlet'!$A$4:$B$22,2,FALSE),""))</f>
        <v/>
      </c>
      <c r="D270" s="8" t="n"/>
      <c r="E270" s="6" t="n"/>
      <c r="F270" s="8" t="n"/>
    </row>
    <row r="271">
      <c r="A271" s="7" t="n"/>
      <c r="B271" s="8" t="n"/>
      <c r="C271" s="9">
        <f>IF(B271="","",IFERROR(VLOOKUP(B271,'Daftar Outlet'!$A$4:$B$22,2,FALSE),""))</f>
        <v/>
      </c>
      <c r="D271" s="8" t="n"/>
      <c r="E271" s="6" t="n"/>
      <c r="F271" s="8" t="n"/>
    </row>
    <row r="272">
      <c r="A272" s="7" t="n"/>
      <c r="B272" s="8" t="n"/>
      <c r="C272" s="9">
        <f>IF(B272="","",IFERROR(VLOOKUP(B272,'Daftar Outlet'!$A$4:$B$22,2,FALSE),""))</f>
        <v/>
      </c>
      <c r="D272" s="8" t="n"/>
      <c r="E272" s="6" t="n"/>
      <c r="F272" s="8" t="n"/>
    </row>
    <row r="273">
      <c r="A273" s="7" t="n"/>
      <c r="B273" s="8" t="n"/>
      <c r="C273" s="9">
        <f>IF(B273="","",IFERROR(VLOOKUP(B273,'Daftar Outlet'!$A$4:$B$22,2,FALSE),""))</f>
        <v/>
      </c>
      <c r="D273" s="8" t="n"/>
      <c r="E273" s="6" t="n"/>
      <c r="F273" s="8" t="n"/>
    </row>
    <row r="274">
      <c r="A274" s="7" t="n"/>
      <c r="B274" s="8" t="n"/>
      <c r="C274" s="9">
        <f>IF(B274="","",IFERROR(VLOOKUP(B274,'Daftar Outlet'!$A$4:$B$22,2,FALSE),""))</f>
        <v/>
      </c>
      <c r="D274" s="8" t="n"/>
      <c r="E274" s="6" t="n"/>
      <c r="F274" s="8" t="n"/>
    </row>
    <row r="275">
      <c r="A275" s="7" t="n"/>
      <c r="B275" s="8" t="n"/>
      <c r="C275" s="9">
        <f>IF(B275="","",IFERROR(VLOOKUP(B275,'Daftar Outlet'!$A$4:$B$22,2,FALSE),""))</f>
        <v/>
      </c>
      <c r="D275" s="8" t="n"/>
      <c r="E275" s="6" t="n"/>
      <c r="F275" s="8" t="n"/>
    </row>
    <row r="276">
      <c r="A276" s="7" t="n"/>
      <c r="B276" s="8" t="n"/>
      <c r="C276" s="9">
        <f>IF(B276="","",IFERROR(VLOOKUP(B276,'Daftar Outlet'!$A$4:$B$22,2,FALSE),""))</f>
        <v/>
      </c>
      <c r="D276" s="8" t="n"/>
      <c r="E276" s="6" t="n"/>
      <c r="F276" s="8" t="n"/>
    </row>
    <row r="277">
      <c r="A277" s="7" t="n"/>
      <c r="B277" s="8" t="n"/>
      <c r="C277" s="9">
        <f>IF(B277="","",IFERROR(VLOOKUP(B277,'Daftar Outlet'!$A$4:$B$22,2,FALSE),""))</f>
        <v/>
      </c>
      <c r="D277" s="8" t="n"/>
      <c r="E277" s="6" t="n"/>
      <c r="F277" s="8" t="n"/>
    </row>
    <row r="278">
      <c r="A278" s="7" t="n"/>
      <c r="B278" s="8" t="n"/>
      <c r="C278" s="9">
        <f>IF(B278="","",IFERROR(VLOOKUP(B278,'Daftar Outlet'!$A$4:$B$22,2,FALSE),""))</f>
        <v/>
      </c>
      <c r="D278" s="8" t="n"/>
      <c r="E278" s="6" t="n"/>
      <c r="F278" s="8" t="n"/>
    </row>
    <row r="279">
      <c r="A279" s="7" t="n"/>
      <c r="B279" s="8" t="n"/>
      <c r="C279" s="9">
        <f>IF(B279="","",IFERROR(VLOOKUP(B279,'Daftar Outlet'!$A$4:$B$22,2,FALSE),""))</f>
        <v/>
      </c>
      <c r="D279" s="8" t="n"/>
      <c r="E279" s="6" t="n"/>
      <c r="F279" s="8" t="n"/>
    </row>
    <row r="280">
      <c r="A280" s="7" t="n"/>
      <c r="B280" s="8" t="n"/>
      <c r="C280" s="9">
        <f>IF(B280="","",IFERROR(VLOOKUP(B280,'Daftar Outlet'!$A$4:$B$22,2,FALSE),""))</f>
        <v/>
      </c>
      <c r="D280" s="8" t="n"/>
      <c r="E280" s="6" t="n"/>
      <c r="F280" s="8" t="n"/>
    </row>
    <row r="281">
      <c r="A281" s="7" t="n"/>
      <c r="B281" s="8" t="n"/>
      <c r="C281" s="9">
        <f>IF(B281="","",IFERROR(VLOOKUP(B281,'Daftar Outlet'!$A$4:$B$22,2,FALSE),""))</f>
        <v/>
      </c>
      <c r="D281" s="8" t="n"/>
      <c r="E281" s="6" t="n"/>
      <c r="F281" s="8" t="n"/>
    </row>
    <row r="282">
      <c r="A282" s="7" t="n"/>
      <c r="B282" s="8" t="n"/>
      <c r="C282" s="9">
        <f>IF(B282="","",IFERROR(VLOOKUP(B282,'Daftar Outlet'!$A$4:$B$22,2,FALSE),""))</f>
        <v/>
      </c>
      <c r="D282" s="8" t="n"/>
      <c r="E282" s="6" t="n"/>
      <c r="F282" s="8" t="n"/>
    </row>
    <row r="283">
      <c r="A283" s="7" t="n"/>
      <c r="B283" s="8" t="n"/>
      <c r="C283" s="9">
        <f>IF(B283="","",IFERROR(VLOOKUP(B283,'Daftar Outlet'!$A$4:$B$22,2,FALSE),""))</f>
        <v/>
      </c>
      <c r="D283" s="8" t="n"/>
      <c r="E283" s="6" t="n"/>
      <c r="F283" s="8" t="n"/>
    </row>
    <row r="284">
      <c r="A284" s="7" t="n"/>
      <c r="B284" s="8" t="n"/>
      <c r="C284" s="9">
        <f>IF(B284="","",IFERROR(VLOOKUP(B284,'Daftar Outlet'!$A$4:$B$22,2,FALSE),""))</f>
        <v/>
      </c>
      <c r="D284" s="8" t="n"/>
      <c r="E284" s="6" t="n"/>
      <c r="F284" s="8" t="n"/>
    </row>
    <row r="285">
      <c r="A285" s="7" t="n"/>
      <c r="B285" s="8" t="n"/>
      <c r="C285" s="9">
        <f>IF(B285="","",IFERROR(VLOOKUP(B285,'Daftar Outlet'!$A$4:$B$22,2,FALSE),""))</f>
        <v/>
      </c>
      <c r="D285" s="8" t="n"/>
      <c r="E285" s="6" t="n"/>
      <c r="F285" s="8" t="n"/>
    </row>
    <row r="286">
      <c r="A286" s="7" t="n"/>
      <c r="B286" s="8" t="n"/>
      <c r="C286" s="9">
        <f>IF(B286="","",IFERROR(VLOOKUP(B286,'Daftar Outlet'!$A$4:$B$22,2,FALSE),""))</f>
        <v/>
      </c>
      <c r="D286" s="8" t="n"/>
      <c r="E286" s="6" t="n"/>
      <c r="F286" s="8" t="n"/>
    </row>
    <row r="287">
      <c r="A287" s="7" t="n"/>
      <c r="B287" s="8" t="n"/>
      <c r="C287" s="9">
        <f>IF(B287="","",IFERROR(VLOOKUP(B287,'Daftar Outlet'!$A$4:$B$22,2,FALSE),""))</f>
        <v/>
      </c>
      <c r="D287" s="8" t="n"/>
      <c r="E287" s="6" t="n"/>
      <c r="F287" s="8" t="n"/>
    </row>
    <row r="288">
      <c r="A288" s="7" t="n"/>
      <c r="B288" s="8" t="n"/>
      <c r="C288" s="9">
        <f>IF(B288="","",IFERROR(VLOOKUP(B288,'Daftar Outlet'!$A$4:$B$22,2,FALSE),""))</f>
        <v/>
      </c>
      <c r="D288" s="8" t="n"/>
      <c r="E288" s="6" t="n"/>
      <c r="F288" s="8" t="n"/>
    </row>
    <row r="289">
      <c r="A289" s="7" t="n"/>
      <c r="B289" s="8" t="n"/>
      <c r="C289" s="9">
        <f>IF(B289="","",IFERROR(VLOOKUP(B289,'Daftar Outlet'!$A$4:$B$22,2,FALSE),""))</f>
        <v/>
      </c>
      <c r="D289" s="8" t="n"/>
      <c r="E289" s="6" t="n"/>
      <c r="F289" s="8" t="n"/>
    </row>
    <row r="290">
      <c r="A290" s="7" t="n"/>
      <c r="B290" s="8" t="n"/>
      <c r="C290" s="9">
        <f>IF(B290="","",IFERROR(VLOOKUP(B290,'Daftar Outlet'!$A$4:$B$22,2,FALSE),""))</f>
        <v/>
      </c>
      <c r="D290" s="8" t="n"/>
      <c r="E290" s="6" t="n"/>
      <c r="F290" s="8" t="n"/>
    </row>
    <row r="291">
      <c r="A291" s="7" t="n"/>
      <c r="B291" s="8" t="n"/>
      <c r="C291" s="9">
        <f>IF(B291="","",IFERROR(VLOOKUP(B291,'Daftar Outlet'!$A$4:$B$22,2,FALSE),""))</f>
        <v/>
      </c>
      <c r="D291" s="8" t="n"/>
      <c r="E291" s="6" t="n"/>
      <c r="F291" s="8" t="n"/>
    </row>
    <row r="292">
      <c r="A292" s="7" t="n"/>
      <c r="B292" s="8" t="n"/>
      <c r="C292" s="9">
        <f>IF(B292="","",IFERROR(VLOOKUP(B292,'Daftar Outlet'!$A$4:$B$22,2,FALSE),""))</f>
        <v/>
      </c>
      <c r="D292" s="8" t="n"/>
      <c r="E292" s="6" t="n"/>
      <c r="F292" s="8" t="n"/>
    </row>
    <row r="293">
      <c r="A293" s="7" t="n"/>
      <c r="B293" s="8" t="n"/>
      <c r="C293" s="9">
        <f>IF(B293="","",IFERROR(VLOOKUP(B293,'Daftar Outlet'!$A$4:$B$22,2,FALSE),""))</f>
        <v/>
      </c>
      <c r="D293" s="8" t="n"/>
      <c r="E293" s="6" t="n"/>
      <c r="F293" s="8" t="n"/>
    </row>
    <row r="294">
      <c r="A294" s="7" t="n"/>
      <c r="B294" s="8" t="n"/>
      <c r="C294" s="9">
        <f>IF(B294="","",IFERROR(VLOOKUP(B294,'Daftar Outlet'!$A$4:$B$22,2,FALSE),""))</f>
        <v/>
      </c>
      <c r="D294" s="8" t="n"/>
      <c r="E294" s="6" t="n"/>
      <c r="F294" s="8" t="n"/>
    </row>
    <row r="295">
      <c r="A295" s="7" t="n"/>
      <c r="B295" s="8" t="n"/>
      <c r="C295" s="9">
        <f>IF(B295="","",IFERROR(VLOOKUP(B295,'Daftar Outlet'!$A$4:$B$22,2,FALSE),""))</f>
        <v/>
      </c>
      <c r="D295" s="8" t="n"/>
      <c r="E295" s="6" t="n"/>
      <c r="F295" s="8" t="n"/>
    </row>
    <row r="296">
      <c r="A296" s="7" t="n"/>
      <c r="B296" s="8" t="n"/>
      <c r="C296" s="9">
        <f>IF(B296="","",IFERROR(VLOOKUP(B296,'Daftar Outlet'!$A$4:$B$22,2,FALSE),""))</f>
        <v/>
      </c>
      <c r="D296" s="8" t="n"/>
      <c r="E296" s="6" t="n"/>
      <c r="F296" s="8" t="n"/>
    </row>
    <row r="297">
      <c r="A297" s="7" t="n"/>
      <c r="B297" s="8" t="n"/>
      <c r="C297" s="9">
        <f>IF(B297="","",IFERROR(VLOOKUP(B297,'Daftar Outlet'!$A$4:$B$22,2,FALSE),""))</f>
        <v/>
      </c>
      <c r="D297" s="8" t="n"/>
      <c r="E297" s="6" t="n"/>
      <c r="F297" s="8" t="n"/>
    </row>
    <row r="298">
      <c r="A298" s="7" t="n"/>
      <c r="B298" s="8" t="n"/>
      <c r="C298" s="9">
        <f>IF(B298="","",IFERROR(VLOOKUP(B298,'Daftar Outlet'!$A$4:$B$22,2,FALSE),""))</f>
        <v/>
      </c>
      <c r="D298" s="8" t="n"/>
      <c r="E298" s="6" t="n"/>
      <c r="F298" s="8" t="n"/>
    </row>
    <row r="299">
      <c r="A299" s="7" t="n"/>
      <c r="B299" s="8" t="n"/>
      <c r="C299" s="9">
        <f>IF(B299="","",IFERROR(VLOOKUP(B299,'Daftar Outlet'!$A$4:$B$22,2,FALSE),""))</f>
        <v/>
      </c>
      <c r="D299" s="8" t="n"/>
      <c r="E299" s="6" t="n"/>
      <c r="F299" s="8" t="n"/>
    </row>
    <row r="300">
      <c r="A300" s="7" t="n"/>
      <c r="B300" s="8" t="n"/>
      <c r="C300" s="9">
        <f>IF(B300="","",IFERROR(VLOOKUP(B300,'Daftar Outlet'!$A$4:$B$22,2,FALSE),""))</f>
        <v/>
      </c>
      <c r="D300" s="8" t="n"/>
      <c r="E300" s="6" t="n"/>
      <c r="F300" s="8" t="n"/>
    </row>
    <row r="301">
      <c r="A301" s="7" t="n"/>
      <c r="B301" s="8" t="n"/>
      <c r="C301" s="9">
        <f>IF(B301="","",IFERROR(VLOOKUP(B301,'Daftar Outlet'!$A$4:$B$22,2,FALSE),""))</f>
        <v/>
      </c>
      <c r="D301" s="8" t="n"/>
      <c r="E301" s="6" t="n"/>
      <c r="F301" s="8" t="n"/>
    </row>
    <row r="302">
      <c r="A302" s="7" t="n"/>
      <c r="B302" s="8" t="n"/>
      <c r="C302" s="9">
        <f>IF(B302="","",IFERROR(VLOOKUP(B302,'Daftar Outlet'!$A$4:$B$22,2,FALSE),""))</f>
        <v/>
      </c>
      <c r="D302" s="8" t="n"/>
      <c r="E302" s="6" t="n"/>
      <c r="F302" s="8" t="n"/>
    </row>
    <row r="303">
      <c r="A303" s="7" t="n"/>
      <c r="B303" s="8" t="n"/>
      <c r="C303" s="9">
        <f>IF(B303="","",IFERROR(VLOOKUP(B303,'Daftar Outlet'!$A$4:$B$22,2,FALSE),""))</f>
        <v/>
      </c>
      <c r="D303" s="8" t="n"/>
      <c r="E303" s="6" t="n"/>
      <c r="F303" s="8" t="n"/>
    </row>
    <row r="304">
      <c r="A304" s="7" t="n"/>
      <c r="B304" s="8" t="n"/>
      <c r="C304" s="9">
        <f>IF(B304="","",IFERROR(VLOOKUP(B304,'Daftar Outlet'!$A$4:$B$22,2,FALSE),""))</f>
        <v/>
      </c>
      <c r="D304" s="8" t="n"/>
      <c r="E304" s="6" t="n"/>
      <c r="F304" s="8" t="n"/>
    </row>
    <row r="305">
      <c r="A305" s="7" t="n"/>
      <c r="B305" s="8" t="n"/>
      <c r="C305" s="9">
        <f>IF(B305="","",IFERROR(VLOOKUP(B305,'Daftar Outlet'!$A$4:$B$22,2,FALSE),""))</f>
        <v/>
      </c>
      <c r="D305" s="8" t="n"/>
      <c r="E305" s="6" t="n"/>
      <c r="F305" s="8" t="n"/>
    </row>
    <row r="306">
      <c r="A306" s="7" t="n"/>
      <c r="B306" s="8" t="n"/>
      <c r="C306" s="9">
        <f>IF(B306="","",IFERROR(VLOOKUP(B306,'Daftar Outlet'!$A$4:$B$22,2,FALSE),""))</f>
        <v/>
      </c>
      <c r="D306" s="8" t="n"/>
      <c r="E306" s="6" t="n"/>
      <c r="F306" s="8" t="n"/>
    </row>
    <row r="307">
      <c r="A307" s="7" t="n"/>
      <c r="B307" s="8" t="n"/>
      <c r="C307" s="9">
        <f>IF(B307="","",IFERROR(VLOOKUP(B307,'Daftar Outlet'!$A$4:$B$22,2,FALSE),""))</f>
        <v/>
      </c>
      <c r="D307" s="8" t="n"/>
      <c r="E307" s="6" t="n"/>
      <c r="F307" s="8" t="n"/>
    </row>
    <row r="308">
      <c r="A308" s="7" t="n"/>
      <c r="B308" s="8" t="n"/>
      <c r="C308" s="9">
        <f>IF(B308="","",IFERROR(VLOOKUP(B308,'Daftar Outlet'!$A$4:$B$22,2,FALSE),""))</f>
        <v/>
      </c>
      <c r="D308" s="8" t="n"/>
      <c r="E308" s="6" t="n"/>
      <c r="F308" s="8" t="n"/>
    </row>
    <row r="309">
      <c r="A309" s="7" t="n"/>
      <c r="B309" s="8" t="n"/>
      <c r="C309" s="9">
        <f>IF(B309="","",IFERROR(VLOOKUP(B309,'Daftar Outlet'!$A$4:$B$22,2,FALSE),""))</f>
        <v/>
      </c>
      <c r="D309" s="8" t="n"/>
      <c r="E309" s="6" t="n"/>
      <c r="F309" s="8" t="n"/>
    </row>
    <row r="310">
      <c r="A310" s="7" t="n"/>
      <c r="B310" s="8" t="n"/>
      <c r="C310" s="9">
        <f>IF(B310="","",IFERROR(VLOOKUP(B310,'Daftar Outlet'!$A$4:$B$22,2,FALSE),""))</f>
        <v/>
      </c>
      <c r="D310" s="8" t="n"/>
      <c r="E310" s="6" t="n"/>
      <c r="F310" s="8" t="n"/>
    </row>
    <row r="311">
      <c r="A311" s="7" t="n"/>
      <c r="B311" s="8" t="n"/>
      <c r="C311" s="9">
        <f>IF(B311="","",IFERROR(VLOOKUP(B311,'Daftar Outlet'!$A$4:$B$22,2,FALSE),""))</f>
        <v/>
      </c>
      <c r="D311" s="8" t="n"/>
      <c r="E311" s="6" t="n"/>
      <c r="F311" s="8" t="n"/>
    </row>
    <row r="312">
      <c r="A312" s="7" t="n"/>
      <c r="B312" s="8" t="n"/>
      <c r="C312" s="9">
        <f>IF(B312="","",IFERROR(VLOOKUP(B312,'Daftar Outlet'!$A$4:$B$22,2,FALSE),""))</f>
        <v/>
      </c>
      <c r="D312" s="8" t="n"/>
      <c r="E312" s="6" t="n"/>
      <c r="F312" s="8" t="n"/>
    </row>
    <row r="313">
      <c r="A313" s="7" t="n"/>
      <c r="B313" s="8" t="n"/>
      <c r="C313" s="9">
        <f>IF(B313="","",IFERROR(VLOOKUP(B313,'Daftar Outlet'!$A$4:$B$22,2,FALSE),""))</f>
        <v/>
      </c>
      <c r="D313" s="8" t="n"/>
      <c r="E313" s="6" t="n"/>
      <c r="F313" s="8" t="n"/>
    </row>
    <row r="314">
      <c r="A314" s="7" t="n"/>
      <c r="B314" s="8" t="n"/>
      <c r="C314" s="9">
        <f>IF(B314="","",IFERROR(VLOOKUP(B314,'Daftar Outlet'!$A$4:$B$22,2,FALSE),""))</f>
        <v/>
      </c>
      <c r="D314" s="8" t="n"/>
      <c r="E314" s="6" t="n"/>
      <c r="F314" s="8" t="n"/>
    </row>
    <row r="315">
      <c r="A315" s="7" t="n"/>
      <c r="B315" s="8" t="n"/>
      <c r="C315" s="9">
        <f>IF(B315="","",IFERROR(VLOOKUP(B315,'Daftar Outlet'!$A$4:$B$22,2,FALSE),""))</f>
        <v/>
      </c>
      <c r="D315" s="8" t="n"/>
      <c r="E315" s="6" t="n"/>
      <c r="F315" s="8" t="n"/>
    </row>
    <row r="316">
      <c r="A316" s="7" t="n"/>
      <c r="B316" s="8" t="n"/>
      <c r="C316" s="9">
        <f>IF(B316="","",IFERROR(VLOOKUP(B316,'Daftar Outlet'!$A$4:$B$22,2,FALSE),""))</f>
        <v/>
      </c>
      <c r="D316" s="8" t="n"/>
      <c r="E316" s="6" t="n"/>
      <c r="F316" s="8" t="n"/>
    </row>
    <row r="317">
      <c r="A317" s="7" t="n"/>
      <c r="B317" s="8" t="n"/>
      <c r="C317" s="9">
        <f>IF(B317="","",IFERROR(VLOOKUP(B317,'Daftar Outlet'!$A$4:$B$22,2,FALSE),""))</f>
        <v/>
      </c>
      <c r="D317" s="8" t="n"/>
      <c r="E317" s="6" t="n"/>
      <c r="F317" s="8" t="n"/>
    </row>
    <row r="318">
      <c r="A318" s="7" t="n"/>
      <c r="B318" s="8" t="n"/>
      <c r="C318" s="9">
        <f>IF(B318="","",IFERROR(VLOOKUP(B318,'Daftar Outlet'!$A$4:$B$22,2,FALSE),""))</f>
        <v/>
      </c>
      <c r="D318" s="8" t="n"/>
      <c r="E318" s="6" t="n"/>
      <c r="F318" s="8" t="n"/>
    </row>
    <row r="319">
      <c r="A319" s="7" t="n"/>
      <c r="B319" s="8" t="n"/>
      <c r="C319" s="9">
        <f>IF(B319="","",IFERROR(VLOOKUP(B319,'Daftar Outlet'!$A$4:$B$22,2,FALSE),""))</f>
        <v/>
      </c>
      <c r="D319" s="8" t="n"/>
      <c r="E319" s="6" t="n"/>
      <c r="F319" s="8" t="n"/>
    </row>
    <row r="320">
      <c r="A320" s="7" t="n"/>
      <c r="B320" s="8" t="n"/>
      <c r="C320" s="9">
        <f>IF(B320="","",IFERROR(VLOOKUP(B320,'Daftar Outlet'!$A$4:$B$22,2,FALSE),""))</f>
        <v/>
      </c>
      <c r="D320" s="8" t="n"/>
      <c r="E320" s="6" t="n"/>
      <c r="F320" s="8" t="n"/>
    </row>
    <row r="321">
      <c r="A321" s="7" t="n"/>
      <c r="B321" s="8" t="n"/>
      <c r="C321" s="9">
        <f>IF(B321="","",IFERROR(VLOOKUP(B321,'Daftar Outlet'!$A$4:$B$22,2,FALSE),""))</f>
        <v/>
      </c>
      <c r="D321" s="8" t="n"/>
      <c r="E321" s="6" t="n"/>
      <c r="F321" s="8" t="n"/>
    </row>
    <row r="322">
      <c r="A322" s="7" t="n"/>
      <c r="B322" s="8" t="n"/>
      <c r="C322" s="9">
        <f>IF(B322="","",IFERROR(VLOOKUP(B322,'Daftar Outlet'!$A$4:$B$22,2,FALSE),""))</f>
        <v/>
      </c>
      <c r="D322" s="8" t="n"/>
      <c r="E322" s="6" t="n"/>
      <c r="F322" s="8" t="n"/>
    </row>
    <row r="323">
      <c r="A323" s="7" t="n"/>
      <c r="B323" s="8" t="n"/>
      <c r="C323" s="9">
        <f>IF(B323="","",IFERROR(VLOOKUP(B323,'Daftar Outlet'!$A$4:$B$22,2,FALSE),""))</f>
        <v/>
      </c>
      <c r="D323" s="8" t="n"/>
      <c r="E323" s="6" t="n"/>
      <c r="F323" s="8" t="n"/>
    </row>
    <row r="324">
      <c r="A324" s="7" t="n"/>
      <c r="B324" s="8" t="n"/>
      <c r="C324" s="9">
        <f>IF(B324="","",IFERROR(VLOOKUP(B324,'Daftar Outlet'!$A$4:$B$22,2,FALSE),""))</f>
        <v/>
      </c>
      <c r="D324" s="8" t="n"/>
      <c r="E324" s="6" t="n"/>
      <c r="F324" s="8" t="n"/>
    </row>
    <row r="325">
      <c r="A325" s="7" t="n"/>
      <c r="B325" s="8" t="n"/>
      <c r="C325" s="9">
        <f>IF(B325="","",IFERROR(VLOOKUP(B325,'Daftar Outlet'!$A$4:$B$22,2,FALSE),""))</f>
        <v/>
      </c>
      <c r="D325" s="8" t="n"/>
      <c r="E325" s="6" t="n"/>
      <c r="F325" s="8" t="n"/>
    </row>
    <row r="326">
      <c r="A326" s="7" t="n"/>
      <c r="B326" s="8" t="n"/>
      <c r="C326" s="9">
        <f>IF(B326="","",IFERROR(VLOOKUP(B326,'Daftar Outlet'!$A$4:$B$22,2,FALSE),""))</f>
        <v/>
      </c>
      <c r="D326" s="8" t="n"/>
      <c r="E326" s="6" t="n"/>
      <c r="F326" s="8" t="n"/>
    </row>
    <row r="327">
      <c r="A327" s="7" t="n"/>
      <c r="B327" s="8" t="n"/>
      <c r="C327" s="9">
        <f>IF(B327="","",IFERROR(VLOOKUP(B327,'Daftar Outlet'!$A$4:$B$22,2,FALSE),""))</f>
        <v/>
      </c>
      <c r="D327" s="8" t="n"/>
      <c r="E327" s="6" t="n"/>
      <c r="F327" s="8" t="n"/>
    </row>
    <row r="328">
      <c r="A328" s="7" t="n"/>
      <c r="B328" s="8" t="n"/>
      <c r="C328" s="9">
        <f>IF(B328="","",IFERROR(VLOOKUP(B328,'Daftar Outlet'!$A$4:$B$22,2,FALSE),""))</f>
        <v/>
      </c>
      <c r="D328" s="8" t="n"/>
      <c r="E328" s="6" t="n"/>
      <c r="F328" s="8" t="n"/>
    </row>
    <row r="329">
      <c r="A329" s="7" t="n"/>
      <c r="B329" s="8" t="n"/>
      <c r="C329" s="9">
        <f>IF(B329="","",IFERROR(VLOOKUP(B329,'Daftar Outlet'!$A$4:$B$22,2,FALSE),""))</f>
        <v/>
      </c>
      <c r="D329" s="8" t="n"/>
      <c r="E329" s="6" t="n"/>
      <c r="F329" s="8" t="n"/>
    </row>
    <row r="330">
      <c r="A330" s="7" t="n"/>
      <c r="B330" s="8" t="n"/>
      <c r="C330" s="9">
        <f>IF(B330="","",IFERROR(VLOOKUP(B330,'Daftar Outlet'!$A$4:$B$22,2,FALSE),""))</f>
        <v/>
      </c>
      <c r="D330" s="8" t="n"/>
      <c r="E330" s="6" t="n"/>
      <c r="F330" s="8" t="n"/>
    </row>
    <row r="331">
      <c r="A331" s="7" t="n"/>
      <c r="B331" s="8" t="n"/>
      <c r="C331" s="9">
        <f>IF(B331="","",IFERROR(VLOOKUP(B331,'Daftar Outlet'!$A$4:$B$22,2,FALSE),""))</f>
        <v/>
      </c>
      <c r="D331" s="8" t="n"/>
      <c r="E331" s="6" t="n"/>
      <c r="F331" s="8" t="n"/>
    </row>
    <row r="332">
      <c r="A332" s="7" t="n"/>
      <c r="B332" s="8" t="n"/>
      <c r="C332" s="9">
        <f>IF(B332="","",IFERROR(VLOOKUP(B332,'Daftar Outlet'!$A$4:$B$22,2,FALSE),""))</f>
        <v/>
      </c>
      <c r="D332" s="8" t="n"/>
      <c r="E332" s="6" t="n"/>
      <c r="F332" s="8" t="n"/>
    </row>
    <row r="333">
      <c r="A333" s="7" t="n"/>
      <c r="B333" s="8" t="n"/>
      <c r="C333" s="9">
        <f>IF(B333="","",IFERROR(VLOOKUP(B333,'Daftar Outlet'!$A$4:$B$22,2,FALSE),""))</f>
        <v/>
      </c>
      <c r="D333" s="8" t="n"/>
      <c r="E333" s="6" t="n"/>
      <c r="F333" s="8" t="n"/>
    </row>
    <row r="334">
      <c r="A334" s="7" t="n"/>
      <c r="B334" s="8" t="n"/>
      <c r="C334" s="9">
        <f>IF(B334="","",IFERROR(VLOOKUP(B334,'Daftar Outlet'!$A$4:$B$22,2,FALSE),""))</f>
        <v/>
      </c>
      <c r="D334" s="8" t="n"/>
      <c r="E334" s="6" t="n"/>
      <c r="F334" s="8" t="n"/>
    </row>
    <row r="335">
      <c r="A335" s="7" t="n"/>
      <c r="B335" s="8" t="n"/>
      <c r="C335" s="9">
        <f>IF(B335="","",IFERROR(VLOOKUP(B335,'Daftar Outlet'!$A$4:$B$22,2,FALSE),""))</f>
        <v/>
      </c>
      <c r="D335" s="8" t="n"/>
      <c r="E335" s="6" t="n"/>
      <c r="F335" s="8" t="n"/>
    </row>
    <row r="336">
      <c r="A336" s="7" t="n"/>
      <c r="B336" s="8" t="n"/>
      <c r="C336" s="9">
        <f>IF(B336="","",IFERROR(VLOOKUP(B336,'Daftar Outlet'!$A$4:$B$22,2,FALSE),""))</f>
        <v/>
      </c>
      <c r="D336" s="8" t="n"/>
      <c r="E336" s="6" t="n"/>
      <c r="F336" s="8" t="n"/>
    </row>
    <row r="337">
      <c r="A337" s="7" t="n"/>
      <c r="B337" s="8" t="n"/>
      <c r="C337" s="9">
        <f>IF(B337="","",IFERROR(VLOOKUP(B337,'Daftar Outlet'!$A$4:$B$22,2,FALSE),""))</f>
        <v/>
      </c>
      <c r="D337" s="8" t="n"/>
      <c r="E337" s="6" t="n"/>
      <c r="F337" s="8" t="n"/>
    </row>
    <row r="338">
      <c r="A338" s="7" t="n"/>
      <c r="B338" s="8" t="n"/>
      <c r="C338" s="9">
        <f>IF(B338="","",IFERROR(VLOOKUP(B338,'Daftar Outlet'!$A$4:$B$22,2,FALSE),""))</f>
        <v/>
      </c>
      <c r="D338" s="8" t="n"/>
      <c r="E338" s="6" t="n"/>
      <c r="F338" s="8" t="n"/>
    </row>
    <row r="339">
      <c r="A339" s="7" t="n"/>
      <c r="B339" s="8" t="n"/>
      <c r="C339" s="9">
        <f>IF(B339="","",IFERROR(VLOOKUP(B339,'Daftar Outlet'!$A$4:$B$22,2,FALSE),""))</f>
        <v/>
      </c>
      <c r="D339" s="8" t="n"/>
      <c r="E339" s="6" t="n"/>
      <c r="F339" s="8" t="n"/>
    </row>
    <row r="340">
      <c r="A340" s="7" t="n"/>
      <c r="B340" s="8" t="n"/>
      <c r="C340" s="9">
        <f>IF(B340="","",IFERROR(VLOOKUP(B340,'Daftar Outlet'!$A$4:$B$22,2,FALSE),""))</f>
        <v/>
      </c>
      <c r="D340" s="8" t="n"/>
      <c r="E340" s="6" t="n"/>
      <c r="F340" s="8" t="n"/>
    </row>
    <row r="341">
      <c r="A341" s="7" t="n"/>
      <c r="B341" s="8" t="n"/>
      <c r="C341" s="9">
        <f>IF(B341="","",IFERROR(VLOOKUP(B341,'Daftar Outlet'!$A$4:$B$22,2,FALSE),""))</f>
        <v/>
      </c>
      <c r="D341" s="8" t="n"/>
      <c r="E341" s="6" t="n"/>
      <c r="F341" s="8" t="n"/>
    </row>
    <row r="342">
      <c r="A342" s="7" t="n"/>
      <c r="B342" s="8" t="n"/>
      <c r="C342" s="9">
        <f>IF(B342="","",IFERROR(VLOOKUP(B342,'Daftar Outlet'!$A$4:$B$22,2,FALSE),""))</f>
        <v/>
      </c>
      <c r="D342" s="8" t="n"/>
      <c r="E342" s="6" t="n"/>
      <c r="F342" s="8" t="n"/>
    </row>
    <row r="343">
      <c r="A343" s="7" t="n"/>
      <c r="B343" s="8" t="n"/>
      <c r="C343" s="9">
        <f>IF(B343="","",IFERROR(VLOOKUP(B343,'Daftar Outlet'!$A$4:$B$22,2,FALSE),""))</f>
        <v/>
      </c>
      <c r="D343" s="8" t="n"/>
      <c r="E343" s="6" t="n"/>
      <c r="F343" s="8" t="n"/>
    </row>
    <row r="344">
      <c r="A344" s="7" t="n"/>
      <c r="B344" s="8" t="n"/>
      <c r="C344" s="9">
        <f>IF(B344="","",IFERROR(VLOOKUP(B344,'Daftar Outlet'!$A$4:$B$22,2,FALSE),""))</f>
        <v/>
      </c>
      <c r="D344" s="8" t="n"/>
      <c r="E344" s="6" t="n"/>
      <c r="F344" s="8" t="n"/>
    </row>
    <row r="345">
      <c r="A345" s="7" t="n"/>
      <c r="B345" s="8" t="n"/>
      <c r="C345" s="9">
        <f>IF(B345="","",IFERROR(VLOOKUP(B345,'Daftar Outlet'!$A$4:$B$22,2,FALSE),""))</f>
        <v/>
      </c>
      <c r="D345" s="8" t="n"/>
      <c r="E345" s="6" t="n"/>
      <c r="F345" s="8" t="n"/>
    </row>
    <row r="346">
      <c r="A346" s="7" t="n"/>
      <c r="B346" s="8" t="n"/>
      <c r="C346" s="9">
        <f>IF(B346="","",IFERROR(VLOOKUP(B346,'Daftar Outlet'!$A$4:$B$22,2,FALSE),""))</f>
        <v/>
      </c>
      <c r="D346" s="8" t="n"/>
      <c r="E346" s="6" t="n"/>
      <c r="F346" s="8" t="n"/>
    </row>
    <row r="347">
      <c r="A347" s="7" t="n"/>
      <c r="B347" s="8" t="n"/>
      <c r="C347" s="9">
        <f>IF(B347="","",IFERROR(VLOOKUP(B347,'Daftar Outlet'!$A$4:$B$22,2,FALSE),""))</f>
        <v/>
      </c>
      <c r="D347" s="8" t="n"/>
      <c r="E347" s="6" t="n"/>
      <c r="F347" s="8" t="n"/>
    </row>
    <row r="348">
      <c r="A348" s="7" t="n"/>
      <c r="B348" s="8" t="n"/>
      <c r="C348" s="9">
        <f>IF(B348="","",IFERROR(VLOOKUP(B348,'Daftar Outlet'!$A$4:$B$22,2,FALSE),""))</f>
        <v/>
      </c>
      <c r="D348" s="8" t="n"/>
      <c r="E348" s="6" t="n"/>
      <c r="F348" s="8" t="n"/>
    </row>
    <row r="349">
      <c r="A349" s="7" t="n"/>
      <c r="B349" s="8" t="n"/>
      <c r="C349" s="9">
        <f>IF(B349="","",IFERROR(VLOOKUP(B349,'Daftar Outlet'!$A$4:$B$22,2,FALSE),""))</f>
        <v/>
      </c>
      <c r="D349" s="8" t="n"/>
      <c r="E349" s="6" t="n"/>
      <c r="F349" s="8" t="n"/>
    </row>
    <row r="350">
      <c r="A350" s="7" t="n"/>
      <c r="B350" s="8" t="n"/>
      <c r="C350" s="9">
        <f>IF(B350="","",IFERROR(VLOOKUP(B350,'Daftar Outlet'!$A$4:$B$22,2,FALSE),""))</f>
        <v/>
      </c>
      <c r="D350" s="8" t="n"/>
      <c r="E350" s="6" t="n"/>
      <c r="F350" s="8" t="n"/>
    </row>
    <row r="351">
      <c r="A351" s="7" t="n"/>
      <c r="B351" s="8" t="n"/>
      <c r="C351" s="9">
        <f>IF(B351="","",IFERROR(VLOOKUP(B351,'Daftar Outlet'!$A$4:$B$22,2,FALSE),""))</f>
        <v/>
      </c>
      <c r="D351" s="8" t="n"/>
      <c r="E351" s="6" t="n"/>
      <c r="F351" s="8" t="n"/>
    </row>
    <row r="352">
      <c r="A352" s="7" t="n"/>
      <c r="B352" s="8" t="n"/>
      <c r="C352" s="9">
        <f>IF(B352="","",IFERROR(VLOOKUP(B352,'Daftar Outlet'!$A$4:$B$22,2,FALSE),""))</f>
        <v/>
      </c>
      <c r="D352" s="8" t="n"/>
      <c r="E352" s="6" t="n"/>
      <c r="F352" s="8" t="n"/>
    </row>
    <row r="353">
      <c r="A353" s="7" t="n"/>
      <c r="B353" s="8" t="n"/>
      <c r="C353" s="9">
        <f>IF(B353="","",IFERROR(VLOOKUP(B353,'Daftar Outlet'!$A$4:$B$22,2,FALSE),""))</f>
        <v/>
      </c>
      <c r="D353" s="8" t="n"/>
      <c r="E353" s="6" t="n"/>
      <c r="F353" s="8" t="n"/>
    </row>
    <row r="354">
      <c r="A354" s="7" t="n"/>
      <c r="B354" s="8" t="n"/>
      <c r="C354" s="9">
        <f>IF(B354="","",IFERROR(VLOOKUP(B354,'Daftar Outlet'!$A$4:$B$22,2,FALSE),""))</f>
        <v/>
      </c>
      <c r="D354" s="8" t="n"/>
      <c r="E354" s="6" t="n"/>
      <c r="F354" s="8" t="n"/>
    </row>
    <row r="355">
      <c r="A355" s="7" t="n"/>
      <c r="B355" s="8" t="n"/>
      <c r="C355" s="9">
        <f>IF(B355="","",IFERROR(VLOOKUP(B355,'Daftar Outlet'!$A$4:$B$22,2,FALSE),""))</f>
        <v/>
      </c>
      <c r="D355" s="8" t="n"/>
      <c r="E355" s="6" t="n"/>
      <c r="F355" s="8" t="n"/>
    </row>
    <row r="356">
      <c r="A356" s="7" t="n"/>
      <c r="B356" s="8" t="n"/>
      <c r="C356" s="9">
        <f>IF(B356="","",IFERROR(VLOOKUP(B356,'Daftar Outlet'!$A$4:$B$22,2,FALSE),""))</f>
        <v/>
      </c>
      <c r="D356" s="8" t="n"/>
      <c r="E356" s="6" t="n"/>
      <c r="F356" s="8" t="n"/>
    </row>
    <row r="357">
      <c r="A357" s="7" t="n"/>
      <c r="B357" s="8" t="n"/>
      <c r="C357" s="9">
        <f>IF(B357="","",IFERROR(VLOOKUP(B357,'Daftar Outlet'!$A$4:$B$22,2,FALSE),""))</f>
        <v/>
      </c>
      <c r="D357" s="8" t="n"/>
      <c r="E357" s="6" t="n"/>
      <c r="F357" s="8" t="n"/>
    </row>
    <row r="358">
      <c r="A358" s="7" t="n"/>
      <c r="B358" s="8" t="n"/>
      <c r="C358" s="9">
        <f>IF(B358="","",IFERROR(VLOOKUP(B358,'Daftar Outlet'!$A$4:$B$22,2,FALSE),""))</f>
        <v/>
      </c>
      <c r="D358" s="8" t="n"/>
      <c r="E358" s="6" t="n"/>
      <c r="F358" s="8" t="n"/>
    </row>
    <row r="359">
      <c r="A359" s="7" t="n"/>
      <c r="B359" s="8" t="n"/>
      <c r="C359" s="9">
        <f>IF(B359="","",IFERROR(VLOOKUP(B359,'Daftar Outlet'!$A$4:$B$22,2,FALSE),""))</f>
        <v/>
      </c>
      <c r="D359" s="8" t="n"/>
      <c r="E359" s="6" t="n"/>
      <c r="F359" s="8" t="n"/>
    </row>
    <row r="360">
      <c r="A360" s="7" t="n"/>
      <c r="B360" s="8" t="n"/>
      <c r="C360" s="9">
        <f>IF(B360="","",IFERROR(VLOOKUP(B360,'Daftar Outlet'!$A$4:$B$22,2,FALSE),""))</f>
        <v/>
      </c>
      <c r="D360" s="8" t="n"/>
      <c r="E360" s="6" t="n"/>
      <c r="F360" s="8" t="n"/>
    </row>
    <row r="361">
      <c r="A361" s="7" t="n"/>
      <c r="B361" s="8" t="n"/>
      <c r="C361" s="9">
        <f>IF(B361="","",IFERROR(VLOOKUP(B361,'Daftar Outlet'!$A$4:$B$22,2,FALSE),""))</f>
        <v/>
      </c>
      <c r="D361" s="8" t="n"/>
      <c r="E361" s="6" t="n"/>
      <c r="F361" s="8" t="n"/>
    </row>
    <row r="362">
      <c r="A362" s="7" t="n"/>
      <c r="B362" s="8" t="n"/>
      <c r="C362" s="9">
        <f>IF(B362="","",IFERROR(VLOOKUP(B362,'Daftar Outlet'!$A$4:$B$22,2,FALSE),""))</f>
        <v/>
      </c>
      <c r="D362" s="8" t="n"/>
      <c r="E362" s="6" t="n"/>
      <c r="F362" s="8" t="n"/>
    </row>
    <row r="363">
      <c r="A363" s="7" t="n"/>
      <c r="B363" s="8" t="n"/>
      <c r="C363" s="9">
        <f>IF(B363="","",IFERROR(VLOOKUP(B363,'Daftar Outlet'!$A$4:$B$22,2,FALSE),""))</f>
        <v/>
      </c>
      <c r="D363" s="8" t="n"/>
      <c r="E363" s="6" t="n"/>
      <c r="F363" s="8" t="n"/>
    </row>
    <row r="364">
      <c r="A364" s="7" t="n"/>
      <c r="B364" s="8" t="n"/>
      <c r="C364" s="9">
        <f>IF(B364="","",IFERROR(VLOOKUP(B364,'Daftar Outlet'!$A$4:$B$22,2,FALSE),""))</f>
        <v/>
      </c>
      <c r="D364" s="8" t="n"/>
      <c r="E364" s="6" t="n"/>
      <c r="F364" s="8" t="n"/>
    </row>
    <row r="365">
      <c r="A365" s="7" t="n"/>
      <c r="B365" s="8" t="n"/>
      <c r="C365" s="9">
        <f>IF(B365="","",IFERROR(VLOOKUP(B365,'Daftar Outlet'!$A$4:$B$22,2,FALSE),""))</f>
        <v/>
      </c>
      <c r="D365" s="8" t="n"/>
      <c r="E365" s="6" t="n"/>
      <c r="F365" s="8" t="n"/>
    </row>
    <row r="366">
      <c r="A366" s="7" t="n"/>
      <c r="B366" s="8" t="n"/>
      <c r="C366" s="9">
        <f>IF(B366="","",IFERROR(VLOOKUP(B366,'Daftar Outlet'!$A$4:$B$22,2,FALSE),""))</f>
        <v/>
      </c>
      <c r="D366" s="8" t="n"/>
      <c r="E366" s="6" t="n"/>
      <c r="F366" s="8" t="n"/>
    </row>
    <row r="367">
      <c r="A367" s="7" t="n"/>
      <c r="B367" s="8" t="n"/>
      <c r="C367" s="9">
        <f>IF(B367="","",IFERROR(VLOOKUP(B367,'Daftar Outlet'!$A$4:$B$22,2,FALSE),""))</f>
        <v/>
      </c>
      <c r="D367" s="8" t="n"/>
      <c r="E367" s="6" t="n"/>
      <c r="F367" s="8" t="n"/>
    </row>
    <row r="368">
      <c r="A368" s="7" t="n"/>
      <c r="B368" s="8" t="n"/>
      <c r="C368" s="9">
        <f>IF(B368="","",IFERROR(VLOOKUP(B368,'Daftar Outlet'!$A$4:$B$22,2,FALSE),""))</f>
        <v/>
      </c>
      <c r="D368" s="8" t="n"/>
      <c r="E368" s="6" t="n"/>
      <c r="F368" s="8" t="n"/>
    </row>
    <row r="369">
      <c r="A369" s="7" t="n"/>
      <c r="B369" s="8" t="n"/>
      <c r="C369" s="9">
        <f>IF(B369="","",IFERROR(VLOOKUP(B369,'Daftar Outlet'!$A$4:$B$22,2,FALSE),""))</f>
        <v/>
      </c>
      <c r="D369" s="8" t="n"/>
      <c r="E369" s="6" t="n"/>
      <c r="F369" s="8" t="n"/>
    </row>
    <row r="370">
      <c r="A370" s="7" t="n"/>
      <c r="B370" s="8" t="n"/>
      <c r="C370" s="9">
        <f>IF(B370="","",IFERROR(VLOOKUP(B370,'Daftar Outlet'!$A$4:$B$22,2,FALSE),""))</f>
        <v/>
      </c>
      <c r="D370" s="8" t="n"/>
      <c r="E370" s="6" t="n"/>
      <c r="F370" s="8" t="n"/>
    </row>
    <row r="371">
      <c r="A371" s="7" t="n"/>
      <c r="B371" s="8" t="n"/>
      <c r="C371" s="9">
        <f>IF(B371="","",IFERROR(VLOOKUP(B371,'Daftar Outlet'!$A$4:$B$22,2,FALSE),""))</f>
        <v/>
      </c>
      <c r="D371" s="8" t="n"/>
      <c r="E371" s="6" t="n"/>
      <c r="F371" s="8" t="n"/>
    </row>
    <row r="372">
      <c r="A372" s="7" t="n"/>
      <c r="B372" s="8" t="n"/>
      <c r="C372" s="9">
        <f>IF(B372="","",IFERROR(VLOOKUP(B372,'Daftar Outlet'!$A$4:$B$22,2,FALSE),""))</f>
        <v/>
      </c>
      <c r="D372" s="8" t="n"/>
      <c r="E372" s="6" t="n"/>
      <c r="F372" s="8" t="n"/>
    </row>
    <row r="373">
      <c r="A373" s="7" t="n"/>
      <c r="B373" s="8" t="n"/>
      <c r="C373" s="9">
        <f>IF(B373="","",IFERROR(VLOOKUP(B373,'Daftar Outlet'!$A$4:$B$22,2,FALSE),""))</f>
        <v/>
      </c>
      <c r="D373" s="8" t="n"/>
      <c r="E373" s="6" t="n"/>
      <c r="F373" s="8" t="n"/>
    </row>
    <row r="374">
      <c r="A374" s="7" t="n"/>
      <c r="B374" s="8" t="n"/>
      <c r="C374" s="9">
        <f>IF(B374="","",IFERROR(VLOOKUP(B374,'Daftar Outlet'!$A$4:$B$22,2,FALSE),""))</f>
        <v/>
      </c>
      <c r="D374" s="8" t="n"/>
      <c r="E374" s="6" t="n"/>
      <c r="F374" s="8" t="n"/>
    </row>
    <row r="375">
      <c r="A375" s="7" t="n"/>
      <c r="B375" s="8" t="n"/>
      <c r="C375" s="9">
        <f>IF(B375="","",IFERROR(VLOOKUP(B375,'Daftar Outlet'!$A$4:$B$22,2,FALSE),""))</f>
        <v/>
      </c>
      <c r="D375" s="8" t="n"/>
      <c r="E375" s="6" t="n"/>
      <c r="F375" s="8" t="n"/>
    </row>
    <row r="376">
      <c r="A376" s="7" t="n"/>
      <c r="B376" s="8" t="n"/>
      <c r="C376" s="9">
        <f>IF(B376="","",IFERROR(VLOOKUP(B376,'Daftar Outlet'!$A$4:$B$22,2,FALSE),""))</f>
        <v/>
      </c>
      <c r="D376" s="8" t="n"/>
      <c r="E376" s="6" t="n"/>
      <c r="F376" s="8" t="n"/>
    </row>
    <row r="377">
      <c r="A377" s="7" t="n"/>
      <c r="B377" s="8" t="n"/>
      <c r="C377" s="9">
        <f>IF(B377="","",IFERROR(VLOOKUP(B377,'Daftar Outlet'!$A$4:$B$22,2,FALSE),""))</f>
        <v/>
      </c>
      <c r="D377" s="8" t="n"/>
      <c r="E377" s="6" t="n"/>
      <c r="F377" s="8" t="n"/>
    </row>
    <row r="378">
      <c r="A378" s="7" t="n"/>
      <c r="B378" s="8" t="n"/>
      <c r="C378" s="9">
        <f>IF(B378="","",IFERROR(VLOOKUP(B378,'Daftar Outlet'!$A$4:$B$22,2,FALSE),""))</f>
        <v/>
      </c>
      <c r="D378" s="8" t="n"/>
      <c r="E378" s="6" t="n"/>
      <c r="F378" s="8" t="n"/>
    </row>
    <row r="379">
      <c r="A379" s="7" t="n"/>
      <c r="B379" s="8" t="n"/>
      <c r="C379" s="9">
        <f>IF(B379="","",IFERROR(VLOOKUP(B379,'Daftar Outlet'!$A$4:$B$22,2,FALSE),""))</f>
        <v/>
      </c>
      <c r="D379" s="8" t="n"/>
      <c r="E379" s="6" t="n"/>
      <c r="F379" s="8" t="n"/>
    </row>
    <row r="380">
      <c r="A380" s="7" t="n"/>
      <c r="B380" s="8" t="n"/>
      <c r="C380" s="9">
        <f>IF(B380="","",IFERROR(VLOOKUP(B380,'Daftar Outlet'!$A$4:$B$22,2,FALSE),""))</f>
        <v/>
      </c>
      <c r="D380" s="8" t="n"/>
      <c r="E380" s="6" t="n"/>
      <c r="F380" s="8" t="n"/>
    </row>
    <row r="381">
      <c r="A381" s="7" t="n"/>
      <c r="B381" s="8" t="n"/>
      <c r="C381" s="9">
        <f>IF(B381="","",IFERROR(VLOOKUP(B381,'Daftar Outlet'!$A$4:$B$22,2,FALSE),""))</f>
        <v/>
      </c>
      <c r="D381" s="8" t="n"/>
      <c r="E381" s="6" t="n"/>
      <c r="F381" s="8" t="n"/>
    </row>
    <row r="382">
      <c r="A382" s="7" t="n"/>
      <c r="B382" s="8" t="n"/>
      <c r="C382" s="9">
        <f>IF(B382="","",IFERROR(VLOOKUP(B382,'Daftar Outlet'!$A$4:$B$22,2,FALSE),""))</f>
        <v/>
      </c>
      <c r="D382" s="8" t="n"/>
      <c r="E382" s="6" t="n"/>
      <c r="F382" s="8" t="n"/>
    </row>
    <row r="383">
      <c r="A383" s="7" t="n"/>
      <c r="B383" s="8" t="n"/>
      <c r="C383" s="9">
        <f>IF(B383="","",IFERROR(VLOOKUP(B383,'Daftar Outlet'!$A$4:$B$22,2,FALSE),""))</f>
        <v/>
      </c>
      <c r="D383" s="8" t="n"/>
      <c r="E383" s="6" t="n"/>
      <c r="F383" s="8" t="n"/>
    </row>
    <row r="384">
      <c r="A384" s="7" t="n"/>
      <c r="B384" s="8" t="n"/>
      <c r="C384" s="9">
        <f>IF(B384="","",IFERROR(VLOOKUP(B384,'Daftar Outlet'!$A$4:$B$22,2,FALSE),""))</f>
        <v/>
      </c>
      <c r="D384" s="8" t="n"/>
      <c r="E384" s="6" t="n"/>
      <c r="F384" s="8" t="n"/>
    </row>
    <row r="385">
      <c r="A385" s="7" t="n"/>
      <c r="B385" s="8" t="n"/>
      <c r="C385" s="9">
        <f>IF(B385="","",IFERROR(VLOOKUP(B385,'Daftar Outlet'!$A$4:$B$22,2,FALSE),""))</f>
        <v/>
      </c>
      <c r="D385" s="8" t="n"/>
      <c r="E385" s="6" t="n"/>
      <c r="F385" s="8" t="n"/>
    </row>
    <row r="386">
      <c r="A386" s="7" t="n"/>
      <c r="B386" s="8" t="n"/>
      <c r="C386" s="9">
        <f>IF(B386="","",IFERROR(VLOOKUP(B386,'Daftar Outlet'!$A$4:$B$22,2,FALSE),""))</f>
        <v/>
      </c>
      <c r="D386" s="8" t="n"/>
      <c r="E386" s="6" t="n"/>
      <c r="F386" s="8" t="n"/>
    </row>
    <row r="387">
      <c r="A387" s="7" t="n"/>
      <c r="B387" s="8" t="n"/>
      <c r="C387" s="9">
        <f>IF(B387="","",IFERROR(VLOOKUP(B387,'Daftar Outlet'!$A$4:$B$22,2,FALSE),""))</f>
        <v/>
      </c>
      <c r="D387" s="8" t="n"/>
      <c r="E387" s="6" t="n"/>
      <c r="F387" s="8" t="n"/>
    </row>
    <row r="388">
      <c r="A388" s="7" t="n"/>
      <c r="B388" s="8" t="n"/>
      <c r="C388" s="9">
        <f>IF(B388="","",IFERROR(VLOOKUP(B388,'Daftar Outlet'!$A$4:$B$22,2,FALSE),""))</f>
        <v/>
      </c>
      <c r="D388" s="8" t="n"/>
      <c r="E388" s="6" t="n"/>
      <c r="F388" s="8" t="n"/>
    </row>
    <row r="389">
      <c r="A389" s="7" t="n"/>
      <c r="B389" s="8" t="n"/>
      <c r="C389" s="9">
        <f>IF(B389="","",IFERROR(VLOOKUP(B389,'Daftar Outlet'!$A$4:$B$22,2,FALSE),""))</f>
        <v/>
      </c>
      <c r="D389" s="8" t="n"/>
      <c r="E389" s="6" t="n"/>
      <c r="F389" s="8" t="n"/>
    </row>
    <row r="390">
      <c r="A390" s="7" t="n"/>
      <c r="B390" s="8" t="n"/>
      <c r="C390" s="9">
        <f>IF(B390="","",IFERROR(VLOOKUP(B390,'Daftar Outlet'!$A$4:$B$22,2,FALSE),""))</f>
        <v/>
      </c>
      <c r="D390" s="8" t="n"/>
      <c r="E390" s="6" t="n"/>
      <c r="F390" s="8" t="n"/>
    </row>
    <row r="391">
      <c r="A391" s="7" t="n"/>
      <c r="B391" s="8" t="n"/>
      <c r="C391" s="9">
        <f>IF(B391="","",IFERROR(VLOOKUP(B391,'Daftar Outlet'!$A$4:$B$22,2,FALSE),""))</f>
        <v/>
      </c>
      <c r="D391" s="8" t="n"/>
      <c r="E391" s="6" t="n"/>
      <c r="F391" s="8" t="n"/>
    </row>
    <row r="392">
      <c r="A392" s="7" t="n"/>
      <c r="B392" s="8" t="n"/>
      <c r="C392" s="9">
        <f>IF(B392="","",IFERROR(VLOOKUP(B392,'Daftar Outlet'!$A$4:$B$22,2,FALSE),""))</f>
        <v/>
      </c>
      <c r="D392" s="8" t="n"/>
      <c r="E392" s="6" t="n"/>
      <c r="F392" s="8" t="n"/>
    </row>
    <row r="393">
      <c r="A393" s="7" t="n"/>
      <c r="B393" s="8" t="n"/>
      <c r="C393" s="9">
        <f>IF(B393="","",IFERROR(VLOOKUP(B393,'Daftar Outlet'!$A$4:$B$22,2,FALSE),""))</f>
        <v/>
      </c>
      <c r="D393" s="8" t="n"/>
      <c r="E393" s="6" t="n"/>
      <c r="F393" s="8" t="n"/>
    </row>
    <row r="394">
      <c r="A394" s="7" t="n"/>
      <c r="B394" s="8" t="n"/>
      <c r="C394" s="9">
        <f>IF(B394="","",IFERROR(VLOOKUP(B394,'Daftar Outlet'!$A$4:$B$22,2,FALSE),""))</f>
        <v/>
      </c>
      <c r="D394" s="8" t="n"/>
      <c r="E394" s="6" t="n"/>
      <c r="F394" s="8" t="n"/>
    </row>
    <row r="395">
      <c r="A395" s="7" t="n"/>
      <c r="B395" s="8" t="n"/>
      <c r="C395" s="9">
        <f>IF(B395="","",IFERROR(VLOOKUP(B395,'Daftar Outlet'!$A$4:$B$22,2,FALSE),""))</f>
        <v/>
      </c>
      <c r="D395" s="8" t="n"/>
      <c r="E395" s="6" t="n"/>
      <c r="F395" s="8" t="n"/>
    </row>
    <row r="396">
      <c r="A396" s="7" t="n"/>
      <c r="B396" s="8" t="n"/>
      <c r="C396" s="9">
        <f>IF(B396="","",IFERROR(VLOOKUP(B396,'Daftar Outlet'!$A$4:$B$22,2,FALSE),""))</f>
        <v/>
      </c>
      <c r="D396" s="8" t="n"/>
      <c r="E396" s="6" t="n"/>
      <c r="F396" s="8" t="n"/>
    </row>
    <row r="397">
      <c r="A397" s="7" t="n"/>
      <c r="B397" s="8" t="n"/>
      <c r="C397" s="9">
        <f>IF(B397="","",IFERROR(VLOOKUP(B397,'Daftar Outlet'!$A$4:$B$22,2,FALSE),""))</f>
        <v/>
      </c>
      <c r="D397" s="8" t="n"/>
      <c r="E397" s="6" t="n"/>
      <c r="F397" s="8" t="n"/>
    </row>
    <row r="398">
      <c r="A398" s="7" t="n"/>
      <c r="B398" s="8" t="n"/>
      <c r="C398" s="9">
        <f>IF(B398="","",IFERROR(VLOOKUP(B398,'Daftar Outlet'!$A$4:$B$22,2,FALSE),""))</f>
        <v/>
      </c>
      <c r="D398" s="8" t="n"/>
      <c r="E398" s="6" t="n"/>
      <c r="F398" s="8" t="n"/>
    </row>
    <row r="399">
      <c r="A399" s="7" t="n"/>
      <c r="B399" s="8" t="n"/>
      <c r="C399" s="9">
        <f>IF(B399="","",IFERROR(VLOOKUP(B399,'Daftar Outlet'!$A$4:$B$22,2,FALSE),""))</f>
        <v/>
      </c>
      <c r="D399" s="8" t="n"/>
      <c r="E399" s="6" t="n"/>
      <c r="F399" s="8" t="n"/>
    </row>
    <row r="400">
      <c r="A400" s="7" t="n"/>
      <c r="B400" s="8" t="n"/>
      <c r="C400" s="9">
        <f>IF(B400="","",IFERROR(VLOOKUP(B400,'Daftar Outlet'!$A$4:$B$22,2,FALSE),""))</f>
        <v/>
      </c>
      <c r="D400" s="8" t="n"/>
      <c r="E400" s="6" t="n"/>
      <c r="F400" s="8" t="n"/>
    </row>
    <row r="401">
      <c r="A401" s="7" t="n"/>
      <c r="B401" s="8" t="n"/>
      <c r="C401" s="9">
        <f>IF(B401="","",IFERROR(VLOOKUP(B401,'Daftar Outlet'!$A$4:$B$22,2,FALSE),""))</f>
        <v/>
      </c>
      <c r="D401" s="8" t="n"/>
      <c r="E401" s="6" t="n"/>
      <c r="F401" s="8" t="n"/>
    </row>
    <row r="402">
      <c r="A402" s="7" t="n"/>
      <c r="B402" s="8" t="n"/>
      <c r="C402" s="9">
        <f>IF(B402="","",IFERROR(VLOOKUP(B402,'Daftar Outlet'!$A$4:$B$22,2,FALSE),""))</f>
        <v/>
      </c>
      <c r="D402" s="8" t="n"/>
      <c r="E402" s="6" t="n"/>
      <c r="F402" s="8" t="n"/>
    </row>
    <row r="403">
      <c r="A403" s="7" t="n"/>
      <c r="B403" s="8" t="n"/>
      <c r="C403" s="9">
        <f>IF(B403="","",IFERROR(VLOOKUP(B403,'Daftar Outlet'!$A$4:$B$22,2,FALSE),""))</f>
        <v/>
      </c>
      <c r="D403" s="8" t="n"/>
      <c r="E403" s="6" t="n"/>
      <c r="F403" s="8" t="n"/>
    </row>
    <row r="404">
      <c r="A404" s="7" t="n"/>
      <c r="B404" s="8" t="n"/>
      <c r="C404" s="9">
        <f>IF(B404="","",IFERROR(VLOOKUP(B404,'Daftar Outlet'!$A$4:$B$22,2,FALSE),""))</f>
        <v/>
      </c>
      <c r="D404" s="8" t="n"/>
      <c r="E404" s="6" t="n"/>
      <c r="F404" s="8" t="n"/>
    </row>
    <row r="405">
      <c r="A405" s="7" t="n"/>
      <c r="B405" s="8" t="n"/>
      <c r="C405" s="9">
        <f>IF(B405="","",IFERROR(VLOOKUP(B405,'Daftar Outlet'!$A$4:$B$22,2,FALSE),""))</f>
        <v/>
      </c>
      <c r="D405" s="8" t="n"/>
      <c r="E405" s="6" t="n"/>
      <c r="F405" s="8" t="n"/>
    </row>
    <row r="406">
      <c r="A406" s="7" t="n"/>
      <c r="B406" s="8" t="n"/>
      <c r="C406" s="9">
        <f>IF(B406="","",IFERROR(VLOOKUP(B406,'Daftar Outlet'!$A$4:$B$22,2,FALSE),""))</f>
        <v/>
      </c>
      <c r="D406" s="8" t="n"/>
      <c r="E406" s="6" t="n"/>
      <c r="F406" s="8" t="n"/>
    </row>
    <row r="407">
      <c r="A407" s="7" t="n"/>
      <c r="B407" s="8" t="n"/>
      <c r="C407" s="9">
        <f>IF(B407="","",IFERROR(VLOOKUP(B407,'Daftar Outlet'!$A$4:$B$22,2,FALSE),""))</f>
        <v/>
      </c>
      <c r="D407" s="8" t="n"/>
      <c r="E407" s="6" t="n"/>
      <c r="F407" s="8" t="n"/>
    </row>
    <row r="408">
      <c r="A408" s="7" t="n"/>
      <c r="B408" s="8" t="n"/>
      <c r="C408" s="9">
        <f>IF(B408="","",IFERROR(VLOOKUP(B408,'Daftar Outlet'!$A$4:$B$22,2,FALSE),""))</f>
        <v/>
      </c>
      <c r="D408" s="8" t="n"/>
      <c r="E408" s="6" t="n"/>
      <c r="F408" s="8" t="n"/>
    </row>
    <row r="409">
      <c r="A409" s="7" t="n"/>
      <c r="B409" s="8" t="n"/>
      <c r="C409" s="9">
        <f>IF(B409="","",IFERROR(VLOOKUP(B409,'Daftar Outlet'!$A$4:$B$22,2,FALSE),""))</f>
        <v/>
      </c>
      <c r="D409" s="8" t="n"/>
      <c r="E409" s="6" t="n"/>
      <c r="F409" s="8" t="n"/>
    </row>
    <row r="410">
      <c r="A410" s="7" t="n"/>
      <c r="B410" s="8" t="n"/>
      <c r="C410" s="9">
        <f>IF(B410="","",IFERROR(VLOOKUP(B410,'Daftar Outlet'!$A$4:$B$22,2,FALSE),""))</f>
        <v/>
      </c>
      <c r="D410" s="8" t="n"/>
      <c r="E410" s="6" t="n"/>
      <c r="F410" s="8" t="n"/>
    </row>
    <row r="411">
      <c r="A411" s="7" t="n"/>
      <c r="B411" s="8" t="n"/>
      <c r="C411" s="9">
        <f>IF(B411="","",IFERROR(VLOOKUP(B411,'Daftar Outlet'!$A$4:$B$22,2,FALSE),""))</f>
        <v/>
      </c>
      <c r="D411" s="8" t="n"/>
      <c r="E411" s="6" t="n"/>
      <c r="F411" s="8" t="n"/>
    </row>
    <row r="412">
      <c r="A412" s="7" t="n"/>
      <c r="B412" s="8" t="n"/>
      <c r="C412" s="9">
        <f>IF(B412="","",IFERROR(VLOOKUP(B412,'Daftar Outlet'!$A$4:$B$22,2,FALSE),""))</f>
        <v/>
      </c>
      <c r="D412" s="8" t="n"/>
      <c r="E412" s="6" t="n"/>
      <c r="F412" s="8" t="n"/>
    </row>
    <row r="413">
      <c r="A413" s="7" t="n"/>
      <c r="B413" s="8" t="n"/>
      <c r="C413" s="9">
        <f>IF(B413="","",IFERROR(VLOOKUP(B413,'Daftar Outlet'!$A$4:$B$22,2,FALSE),""))</f>
        <v/>
      </c>
      <c r="D413" s="8" t="n"/>
      <c r="E413" s="6" t="n"/>
      <c r="F413" s="8" t="n"/>
    </row>
    <row r="414">
      <c r="A414" s="7" t="n"/>
      <c r="B414" s="8" t="n"/>
      <c r="C414" s="9">
        <f>IF(B414="","",IFERROR(VLOOKUP(B414,'Daftar Outlet'!$A$4:$B$22,2,FALSE),""))</f>
        <v/>
      </c>
      <c r="D414" s="8" t="n"/>
      <c r="E414" s="6" t="n"/>
      <c r="F414" s="8" t="n"/>
    </row>
    <row r="415">
      <c r="A415" s="7" t="n"/>
      <c r="B415" s="8" t="n"/>
      <c r="C415" s="9">
        <f>IF(B415="","",IFERROR(VLOOKUP(B415,'Daftar Outlet'!$A$4:$B$22,2,FALSE),""))</f>
        <v/>
      </c>
      <c r="D415" s="8" t="n"/>
      <c r="E415" s="6" t="n"/>
      <c r="F415" s="8" t="n"/>
    </row>
    <row r="416">
      <c r="A416" s="7" t="n"/>
      <c r="B416" s="8" t="n"/>
      <c r="C416" s="9">
        <f>IF(B416="","",IFERROR(VLOOKUP(B416,'Daftar Outlet'!$A$4:$B$22,2,FALSE),""))</f>
        <v/>
      </c>
      <c r="D416" s="8" t="n"/>
      <c r="E416" s="6" t="n"/>
      <c r="F416" s="8" t="n"/>
    </row>
    <row r="417">
      <c r="A417" s="7" t="n"/>
      <c r="B417" s="8" t="n"/>
      <c r="C417" s="9">
        <f>IF(B417="","",IFERROR(VLOOKUP(B417,'Daftar Outlet'!$A$4:$B$22,2,FALSE),""))</f>
        <v/>
      </c>
      <c r="D417" s="8" t="n"/>
      <c r="E417" s="6" t="n"/>
      <c r="F417" s="8" t="n"/>
    </row>
    <row r="418">
      <c r="A418" s="7" t="n"/>
      <c r="B418" s="8" t="n"/>
      <c r="C418" s="9">
        <f>IF(B418="","",IFERROR(VLOOKUP(B418,'Daftar Outlet'!$A$4:$B$22,2,FALSE),""))</f>
        <v/>
      </c>
      <c r="D418" s="8" t="n"/>
      <c r="E418" s="6" t="n"/>
      <c r="F418" s="8" t="n"/>
    </row>
    <row r="419">
      <c r="A419" s="7" t="n"/>
      <c r="B419" s="8" t="n"/>
      <c r="C419" s="9">
        <f>IF(B419="","",IFERROR(VLOOKUP(B419,'Daftar Outlet'!$A$4:$B$22,2,FALSE),""))</f>
        <v/>
      </c>
      <c r="D419" s="8" t="n"/>
      <c r="E419" s="6" t="n"/>
      <c r="F419" s="8" t="n"/>
    </row>
    <row r="420">
      <c r="A420" s="7" t="n"/>
      <c r="B420" s="8" t="n"/>
      <c r="C420" s="9">
        <f>IF(B420="","",IFERROR(VLOOKUP(B420,'Daftar Outlet'!$A$4:$B$22,2,FALSE),""))</f>
        <v/>
      </c>
      <c r="D420" s="8" t="n"/>
      <c r="E420" s="6" t="n"/>
      <c r="F420" s="8" t="n"/>
    </row>
    <row r="421">
      <c r="A421" s="7" t="n"/>
      <c r="B421" s="8" t="n"/>
      <c r="C421" s="9">
        <f>IF(B421="","",IFERROR(VLOOKUP(B421,'Daftar Outlet'!$A$4:$B$22,2,FALSE),""))</f>
        <v/>
      </c>
      <c r="D421" s="8" t="n"/>
      <c r="E421" s="6" t="n"/>
      <c r="F421" s="8" t="n"/>
    </row>
    <row r="422">
      <c r="A422" s="7" t="n"/>
      <c r="B422" s="8" t="n"/>
      <c r="C422" s="9">
        <f>IF(B422="","",IFERROR(VLOOKUP(B422,'Daftar Outlet'!$A$4:$B$22,2,FALSE),""))</f>
        <v/>
      </c>
      <c r="D422" s="8" t="n"/>
      <c r="E422" s="6" t="n"/>
      <c r="F422" s="8" t="n"/>
    </row>
    <row r="423">
      <c r="A423" s="7" t="n"/>
      <c r="B423" s="8" t="n"/>
      <c r="C423" s="9">
        <f>IF(B423="","",IFERROR(VLOOKUP(B423,'Daftar Outlet'!$A$4:$B$22,2,FALSE),""))</f>
        <v/>
      </c>
      <c r="D423" s="8" t="n"/>
      <c r="E423" s="6" t="n"/>
      <c r="F423" s="8" t="n"/>
    </row>
    <row r="424">
      <c r="A424" s="7" t="n"/>
      <c r="B424" s="8" t="n"/>
      <c r="C424" s="9">
        <f>IF(B424="","",IFERROR(VLOOKUP(B424,'Daftar Outlet'!$A$4:$B$22,2,FALSE),""))</f>
        <v/>
      </c>
      <c r="D424" s="8" t="n"/>
      <c r="E424" s="6" t="n"/>
      <c r="F424" s="8" t="n"/>
    </row>
    <row r="425">
      <c r="A425" s="7" t="n"/>
      <c r="B425" s="8" t="n"/>
      <c r="C425" s="9">
        <f>IF(B425="","",IFERROR(VLOOKUP(B425,'Daftar Outlet'!$A$4:$B$22,2,FALSE),""))</f>
        <v/>
      </c>
      <c r="D425" s="8" t="n"/>
      <c r="E425" s="6" t="n"/>
      <c r="F425" s="8" t="n"/>
    </row>
    <row r="426">
      <c r="A426" s="7" t="n"/>
      <c r="B426" s="8" t="n"/>
      <c r="C426" s="9">
        <f>IF(B426="","",IFERROR(VLOOKUP(B426,'Daftar Outlet'!$A$4:$B$22,2,FALSE),""))</f>
        <v/>
      </c>
      <c r="D426" s="8" t="n"/>
      <c r="E426" s="6" t="n"/>
      <c r="F426" s="8" t="n"/>
    </row>
    <row r="427">
      <c r="A427" s="7" t="n"/>
      <c r="B427" s="8" t="n"/>
      <c r="C427" s="9">
        <f>IF(B427="","",IFERROR(VLOOKUP(B427,'Daftar Outlet'!$A$4:$B$22,2,FALSE),""))</f>
        <v/>
      </c>
      <c r="D427" s="8" t="n"/>
      <c r="E427" s="6" t="n"/>
      <c r="F427" s="8" t="n"/>
    </row>
    <row r="428">
      <c r="A428" s="7" t="n"/>
      <c r="B428" s="8" t="n"/>
      <c r="C428" s="9">
        <f>IF(B428="","",IFERROR(VLOOKUP(B428,'Daftar Outlet'!$A$4:$B$22,2,FALSE),""))</f>
        <v/>
      </c>
      <c r="D428" s="8" t="n"/>
      <c r="E428" s="6" t="n"/>
      <c r="F428" s="8" t="n"/>
    </row>
    <row r="429">
      <c r="A429" s="7" t="n"/>
      <c r="B429" s="8" t="n"/>
      <c r="C429" s="9">
        <f>IF(B429="","",IFERROR(VLOOKUP(B429,'Daftar Outlet'!$A$4:$B$22,2,FALSE),""))</f>
        <v/>
      </c>
      <c r="D429" s="8" t="n"/>
      <c r="E429" s="6" t="n"/>
      <c r="F429" s="8" t="n"/>
    </row>
    <row r="430">
      <c r="A430" s="7" t="n"/>
      <c r="B430" s="8" t="n"/>
      <c r="C430" s="9">
        <f>IF(B430="","",IFERROR(VLOOKUP(B430,'Daftar Outlet'!$A$4:$B$22,2,FALSE),""))</f>
        <v/>
      </c>
      <c r="D430" s="8" t="n"/>
      <c r="E430" s="6" t="n"/>
      <c r="F430" s="8" t="n"/>
    </row>
    <row r="431">
      <c r="A431" s="7" t="n"/>
      <c r="B431" s="8" t="n"/>
      <c r="C431" s="9">
        <f>IF(B431="","",IFERROR(VLOOKUP(B431,'Daftar Outlet'!$A$4:$B$22,2,FALSE),""))</f>
        <v/>
      </c>
      <c r="D431" s="8" t="n"/>
      <c r="E431" s="6" t="n"/>
      <c r="F431" s="8" t="n"/>
    </row>
    <row r="432">
      <c r="A432" s="7" t="n"/>
      <c r="B432" s="8" t="n"/>
      <c r="C432" s="9">
        <f>IF(B432="","",IFERROR(VLOOKUP(B432,'Daftar Outlet'!$A$4:$B$22,2,FALSE),""))</f>
        <v/>
      </c>
      <c r="D432" s="8" t="n"/>
      <c r="E432" s="6" t="n"/>
      <c r="F432" s="8" t="n"/>
    </row>
    <row r="433">
      <c r="A433" s="7" t="n"/>
      <c r="B433" s="8" t="n"/>
      <c r="C433" s="9">
        <f>IF(B433="","",IFERROR(VLOOKUP(B433,'Daftar Outlet'!$A$4:$B$22,2,FALSE),""))</f>
        <v/>
      </c>
      <c r="D433" s="8" t="n"/>
      <c r="E433" s="6" t="n"/>
      <c r="F433" s="8" t="n"/>
    </row>
    <row r="434">
      <c r="A434" s="7" t="n"/>
      <c r="B434" s="8" t="n"/>
      <c r="C434" s="9">
        <f>IF(B434="","",IFERROR(VLOOKUP(B434,'Daftar Outlet'!$A$4:$B$22,2,FALSE),""))</f>
        <v/>
      </c>
      <c r="D434" s="8" t="n"/>
      <c r="E434" s="6" t="n"/>
      <c r="F434" s="8" t="n"/>
    </row>
    <row r="435">
      <c r="A435" s="7" t="n"/>
      <c r="B435" s="8" t="n"/>
      <c r="C435" s="9">
        <f>IF(B435="","",IFERROR(VLOOKUP(B435,'Daftar Outlet'!$A$4:$B$22,2,FALSE),""))</f>
        <v/>
      </c>
      <c r="D435" s="8" t="n"/>
      <c r="E435" s="6" t="n"/>
      <c r="F435" s="8" t="n"/>
    </row>
    <row r="436">
      <c r="A436" s="7" t="n"/>
      <c r="B436" s="8" t="n"/>
      <c r="C436" s="9">
        <f>IF(B436="","",IFERROR(VLOOKUP(B436,'Daftar Outlet'!$A$4:$B$22,2,FALSE),""))</f>
        <v/>
      </c>
      <c r="D436" s="8" t="n"/>
      <c r="E436" s="6" t="n"/>
      <c r="F436" s="8" t="n"/>
    </row>
    <row r="437">
      <c r="A437" s="7" t="n"/>
      <c r="B437" s="8" t="n"/>
      <c r="C437" s="9">
        <f>IF(B437="","",IFERROR(VLOOKUP(B437,'Daftar Outlet'!$A$4:$B$22,2,FALSE),""))</f>
        <v/>
      </c>
      <c r="D437" s="8" t="n"/>
      <c r="E437" s="6" t="n"/>
      <c r="F437" s="8" t="n"/>
    </row>
    <row r="438">
      <c r="A438" s="7" t="n"/>
      <c r="B438" s="8" t="n"/>
      <c r="C438" s="9">
        <f>IF(B438="","",IFERROR(VLOOKUP(B438,'Daftar Outlet'!$A$4:$B$22,2,FALSE),""))</f>
        <v/>
      </c>
      <c r="D438" s="8" t="n"/>
      <c r="E438" s="6" t="n"/>
      <c r="F438" s="8" t="n"/>
    </row>
    <row r="439">
      <c r="A439" s="7" t="n"/>
      <c r="B439" s="8" t="n"/>
      <c r="C439" s="9">
        <f>IF(B439="","",IFERROR(VLOOKUP(B439,'Daftar Outlet'!$A$4:$B$22,2,FALSE),""))</f>
        <v/>
      </c>
      <c r="D439" s="8" t="n"/>
      <c r="E439" s="6" t="n"/>
      <c r="F439" s="8" t="n"/>
    </row>
    <row r="440">
      <c r="A440" s="7" t="n"/>
      <c r="B440" s="8" t="n"/>
      <c r="C440" s="9">
        <f>IF(B440="","",IFERROR(VLOOKUP(B440,'Daftar Outlet'!$A$4:$B$22,2,FALSE),""))</f>
        <v/>
      </c>
      <c r="D440" s="8" t="n"/>
      <c r="E440" s="6" t="n"/>
      <c r="F440" s="8" t="n"/>
    </row>
    <row r="441">
      <c r="A441" s="7" t="n"/>
      <c r="B441" s="8" t="n"/>
      <c r="C441" s="9">
        <f>IF(B441="","",IFERROR(VLOOKUP(B441,'Daftar Outlet'!$A$4:$B$22,2,FALSE),""))</f>
        <v/>
      </c>
      <c r="D441" s="8" t="n"/>
      <c r="E441" s="6" t="n"/>
      <c r="F441" s="8" t="n"/>
    </row>
    <row r="442">
      <c r="A442" s="7" t="n"/>
      <c r="B442" s="8" t="n"/>
      <c r="C442" s="9">
        <f>IF(B442="","",IFERROR(VLOOKUP(B442,'Daftar Outlet'!$A$4:$B$22,2,FALSE),""))</f>
        <v/>
      </c>
      <c r="D442" s="8" t="n"/>
      <c r="E442" s="6" t="n"/>
      <c r="F442" s="8" t="n"/>
    </row>
    <row r="443">
      <c r="A443" s="7" t="n"/>
      <c r="B443" s="8" t="n"/>
      <c r="C443" s="9">
        <f>IF(B443="","",IFERROR(VLOOKUP(B443,'Daftar Outlet'!$A$4:$B$22,2,FALSE),""))</f>
        <v/>
      </c>
      <c r="D443" s="8" t="n"/>
      <c r="E443" s="6" t="n"/>
      <c r="F443" s="8" t="n"/>
    </row>
    <row r="444">
      <c r="A444" s="7" t="n"/>
      <c r="B444" s="8" t="n"/>
      <c r="C444" s="9">
        <f>IF(B444="","",IFERROR(VLOOKUP(B444,'Daftar Outlet'!$A$4:$B$22,2,FALSE),""))</f>
        <v/>
      </c>
      <c r="D444" s="8" t="n"/>
      <c r="E444" s="6" t="n"/>
      <c r="F444" s="8" t="n"/>
    </row>
    <row r="445">
      <c r="A445" s="7" t="n"/>
      <c r="B445" s="8" t="n"/>
      <c r="C445" s="9">
        <f>IF(B445="","",IFERROR(VLOOKUP(B445,'Daftar Outlet'!$A$4:$B$22,2,FALSE),""))</f>
        <v/>
      </c>
      <c r="D445" s="8" t="n"/>
      <c r="E445" s="6" t="n"/>
      <c r="F445" s="8" t="n"/>
    </row>
    <row r="446">
      <c r="A446" s="7" t="n"/>
      <c r="B446" s="8" t="n"/>
      <c r="C446" s="9">
        <f>IF(B446="","",IFERROR(VLOOKUP(B446,'Daftar Outlet'!$A$4:$B$22,2,FALSE),""))</f>
        <v/>
      </c>
      <c r="D446" s="8" t="n"/>
      <c r="E446" s="6" t="n"/>
      <c r="F446" s="8" t="n"/>
    </row>
    <row r="447">
      <c r="A447" s="7" t="n"/>
      <c r="B447" s="8" t="n"/>
      <c r="C447" s="9">
        <f>IF(B447="","",IFERROR(VLOOKUP(B447,'Daftar Outlet'!$A$4:$B$22,2,FALSE),""))</f>
        <v/>
      </c>
      <c r="D447" s="8" t="n"/>
      <c r="E447" s="6" t="n"/>
      <c r="F447" s="8" t="n"/>
    </row>
    <row r="448">
      <c r="A448" s="7" t="n"/>
      <c r="B448" s="8" t="n"/>
      <c r="C448" s="9">
        <f>IF(B448="","",IFERROR(VLOOKUP(B448,'Daftar Outlet'!$A$4:$B$22,2,FALSE),""))</f>
        <v/>
      </c>
      <c r="D448" s="8" t="n"/>
      <c r="E448" s="6" t="n"/>
      <c r="F448" s="8" t="n"/>
    </row>
    <row r="449">
      <c r="A449" s="7" t="n"/>
      <c r="B449" s="8" t="n"/>
      <c r="C449" s="9">
        <f>IF(B449="","",IFERROR(VLOOKUP(B449,'Daftar Outlet'!$A$4:$B$22,2,FALSE),""))</f>
        <v/>
      </c>
      <c r="D449" s="8" t="n"/>
      <c r="E449" s="6" t="n"/>
      <c r="F449" s="8" t="n"/>
    </row>
    <row r="450">
      <c r="A450" s="7" t="n"/>
      <c r="B450" s="8" t="n"/>
      <c r="C450" s="9">
        <f>IF(B450="","",IFERROR(VLOOKUP(B450,'Daftar Outlet'!$A$4:$B$22,2,FALSE),""))</f>
        <v/>
      </c>
      <c r="D450" s="8" t="n"/>
      <c r="E450" s="6" t="n"/>
      <c r="F450" s="8" t="n"/>
    </row>
    <row r="451">
      <c r="A451" s="7" t="n"/>
      <c r="B451" s="8" t="n"/>
      <c r="C451" s="9">
        <f>IF(B451="","",IFERROR(VLOOKUP(B451,'Daftar Outlet'!$A$4:$B$22,2,FALSE),""))</f>
        <v/>
      </c>
      <c r="D451" s="8" t="n"/>
      <c r="E451" s="6" t="n"/>
      <c r="F451" s="8" t="n"/>
    </row>
    <row r="452">
      <c r="A452" s="7" t="n"/>
      <c r="B452" s="8" t="n"/>
      <c r="C452" s="9">
        <f>IF(B452="","",IFERROR(VLOOKUP(B452,'Daftar Outlet'!$A$4:$B$22,2,FALSE),""))</f>
        <v/>
      </c>
      <c r="D452" s="8" t="n"/>
      <c r="E452" s="6" t="n"/>
      <c r="F452" s="8" t="n"/>
    </row>
    <row r="453">
      <c r="A453" s="7" t="n"/>
      <c r="B453" s="8" t="n"/>
      <c r="C453" s="9">
        <f>IF(B453="","",IFERROR(VLOOKUP(B453,'Daftar Outlet'!$A$4:$B$22,2,FALSE),""))</f>
        <v/>
      </c>
      <c r="D453" s="8" t="n"/>
      <c r="E453" s="6" t="n"/>
      <c r="F453" s="8" t="n"/>
    </row>
    <row r="454">
      <c r="A454" s="7" t="n"/>
      <c r="B454" s="8" t="n"/>
      <c r="C454" s="9">
        <f>IF(B454="","",IFERROR(VLOOKUP(B454,'Daftar Outlet'!$A$4:$B$22,2,FALSE),""))</f>
        <v/>
      </c>
      <c r="D454" s="8" t="n"/>
      <c r="E454" s="6" t="n"/>
      <c r="F454" s="8" t="n"/>
    </row>
    <row r="455">
      <c r="A455" s="7" t="n"/>
      <c r="B455" s="8" t="n"/>
      <c r="C455" s="9">
        <f>IF(B455="","",IFERROR(VLOOKUP(B455,'Daftar Outlet'!$A$4:$B$22,2,FALSE),""))</f>
        <v/>
      </c>
      <c r="D455" s="8" t="n"/>
      <c r="E455" s="6" t="n"/>
      <c r="F455" s="8" t="n"/>
    </row>
    <row r="456">
      <c r="A456" s="7" t="n"/>
      <c r="B456" s="8" t="n"/>
      <c r="C456" s="9">
        <f>IF(B456="","",IFERROR(VLOOKUP(B456,'Daftar Outlet'!$A$4:$B$22,2,FALSE),""))</f>
        <v/>
      </c>
      <c r="D456" s="8" t="n"/>
      <c r="E456" s="6" t="n"/>
      <c r="F456" s="8" t="n"/>
    </row>
    <row r="457">
      <c r="A457" s="7" t="n"/>
      <c r="B457" s="8" t="n"/>
      <c r="C457" s="9">
        <f>IF(B457="","",IFERROR(VLOOKUP(B457,'Daftar Outlet'!$A$4:$B$22,2,FALSE),""))</f>
        <v/>
      </c>
      <c r="D457" s="8" t="n"/>
      <c r="E457" s="6" t="n"/>
      <c r="F457" s="8" t="n"/>
    </row>
    <row r="458">
      <c r="A458" s="7" t="n"/>
      <c r="B458" s="8" t="n"/>
      <c r="C458" s="9">
        <f>IF(B458="","",IFERROR(VLOOKUP(B458,'Daftar Outlet'!$A$4:$B$22,2,FALSE),""))</f>
        <v/>
      </c>
      <c r="D458" s="8" t="n"/>
      <c r="E458" s="6" t="n"/>
      <c r="F458" s="8" t="n"/>
    </row>
    <row r="459">
      <c r="A459" s="7" t="n"/>
      <c r="B459" s="8" t="n"/>
      <c r="C459" s="9">
        <f>IF(B459="","",IFERROR(VLOOKUP(B459,'Daftar Outlet'!$A$4:$B$22,2,FALSE),""))</f>
        <v/>
      </c>
      <c r="D459" s="8" t="n"/>
      <c r="E459" s="6" t="n"/>
      <c r="F459" s="8" t="n"/>
    </row>
    <row r="460">
      <c r="A460" s="7" t="n"/>
      <c r="B460" s="8" t="n"/>
      <c r="C460" s="9">
        <f>IF(B460="","",IFERROR(VLOOKUP(B460,'Daftar Outlet'!$A$4:$B$22,2,FALSE),""))</f>
        <v/>
      </c>
      <c r="D460" s="8" t="n"/>
      <c r="E460" s="6" t="n"/>
      <c r="F460" s="8" t="n"/>
    </row>
    <row r="461">
      <c r="A461" s="7" t="n"/>
      <c r="B461" s="8" t="n"/>
      <c r="C461" s="9">
        <f>IF(B461="","",IFERROR(VLOOKUP(B461,'Daftar Outlet'!$A$4:$B$22,2,FALSE),""))</f>
        <v/>
      </c>
      <c r="D461" s="8" t="n"/>
      <c r="E461" s="6" t="n"/>
      <c r="F461" s="8" t="n"/>
    </row>
    <row r="462">
      <c r="A462" s="7" t="n"/>
      <c r="B462" s="8" t="n"/>
      <c r="C462" s="9">
        <f>IF(B462="","",IFERROR(VLOOKUP(B462,'Daftar Outlet'!$A$4:$B$22,2,FALSE),""))</f>
        <v/>
      </c>
      <c r="D462" s="8" t="n"/>
      <c r="E462" s="6" t="n"/>
      <c r="F462" s="8" t="n"/>
    </row>
    <row r="463">
      <c r="A463" s="7" t="n"/>
      <c r="B463" s="8" t="n"/>
      <c r="C463" s="9">
        <f>IF(B463="","",IFERROR(VLOOKUP(B463,'Daftar Outlet'!$A$4:$B$22,2,FALSE),""))</f>
        <v/>
      </c>
      <c r="D463" s="8" t="n"/>
      <c r="E463" s="6" t="n"/>
      <c r="F463" s="8" t="n"/>
    </row>
    <row r="464">
      <c r="A464" s="7" t="n"/>
      <c r="B464" s="8" t="n"/>
      <c r="C464" s="9">
        <f>IF(B464="","",IFERROR(VLOOKUP(B464,'Daftar Outlet'!$A$4:$B$22,2,FALSE),""))</f>
        <v/>
      </c>
      <c r="D464" s="8" t="n"/>
      <c r="E464" s="6" t="n"/>
      <c r="F464" s="8" t="n"/>
    </row>
    <row r="465">
      <c r="A465" s="7" t="n"/>
      <c r="B465" s="8" t="n"/>
      <c r="C465" s="9">
        <f>IF(B465="","",IFERROR(VLOOKUP(B465,'Daftar Outlet'!$A$4:$B$22,2,FALSE),""))</f>
        <v/>
      </c>
      <c r="D465" s="8" t="n"/>
      <c r="E465" s="6" t="n"/>
      <c r="F465" s="8" t="n"/>
    </row>
    <row r="466">
      <c r="A466" s="7" t="n"/>
      <c r="B466" s="8" t="n"/>
      <c r="C466" s="9">
        <f>IF(B466="","",IFERROR(VLOOKUP(B466,'Daftar Outlet'!$A$4:$B$22,2,FALSE),""))</f>
        <v/>
      </c>
      <c r="D466" s="8" t="n"/>
      <c r="E466" s="6" t="n"/>
      <c r="F466" s="8" t="n"/>
    </row>
    <row r="467">
      <c r="A467" s="7" t="n"/>
      <c r="B467" s="8" t="n"/>
      <c r="C467" s="9">
        <f>IF(B467="","",IFERROR(VLOOKUP(B467,'Daftar Outlet'!$A$4:$B$22,2,FALSE),""))</f>
        <v/>
      </c>
      <c r="D467" s="8" t="n"/>
      <c r="E467" s="6" t="n"/>
      <c r="F467" s="8" t="n"/>
    </row>
    <row r="468">
      <c r="A468" s="7" t="n"/>
      <c r="B468" s="8" t="n"/>
      <c r="C468" s="9">
        <f>IF(B468="","",IFERROR(VLOOKUP(B468,'Daftar Outlet'!$A$4:$B$22,2,FALSE),""))</f>
        <v/>
      </c>
      <c r="D468" s="8" t="n"/>
      <c r="E468" s="6" t="n"/>
      <c r="F468" s="8" t="n"/>
    </row>
    <row r="469">
      <c r="A469" s="7" t="n"/>
      <c r="B469" s="8" t="n"/>
      <c r="C469" s="9">
        <f>IF(B469="","",IFERROR(VLOOKUP(B469,'Daftar Outlet'!$A$4:$B$22,2,FALSE),""))</f>
        <v/>
      </c>
      <c r="D469" s="8" t="n"/>
      <c r="E469" s="6" t="n"/>
      <c r="F469" s="8" t="n"/>
    </row>
    <row r="470">
      <c r="A470" s="7" t="n"/>
      <c r="B470" s="8" t="n"/>
      <c r="C470" s="9">
        <f>IF(B470="","",IFERROR(VLOOKUP(B470,'Daftar Outlet'!$A$4:$B$22,2,FALSE),""))</f>
        <v/>
      </c>
      <c r="D470" s="8" t="n"/>
      <c r="E470" s="6" t="n"/>
      <c r="F470" s="8" t="n"/>
    </row>
    <row r="471">
      <c r="A471" s="7" t="n"/>
      <c r="B471" s="8" t="n"/>
      <c r="C471" s="9">
        <f>IF(B471="","",IFERROR(VLOOKUP(B471,'Daftar Outlet'!$A$4:$B$22,2,FALSE),""))</f>
        <v/>
      </c>
      <c r="D471" s="8" t="n"/>
      <c r="E471" s="6" t="n"/>
      <c r="F471" s="8" t="n"/>
    </row>
    <row r="472">
      <c r="A472" s="7" t="n"/>
      <c r="B472" s="8" t="n"/>
      <c r="C472" s="9">
        <f>IF(B472="","",IFERROR(VLOOKUP(B472,'Daftar Outlet'!$A$4:$B$22,2,FALSE),""))</f>
        <v/>
      </c>
      <c r="D472" s="8" t="n"/>
      <c r="E472" s="6" t="n"/>
      <c r="F472" s="8" t="n"/>
    </row>
    <row r="473">
      <c r="A473" s="7" t="n"/>
      <c r="B473" s="8" t="n"/>
      <c r="C473" s="9">
        <f>IF(B473="","",IFERROR(VLOOKUP(B473,'Daftar Outlet'!$A$4:$B$22,2,FALSE),""))</f>
        <v/>
      </c>
      <c r="D473" s="8" t="n"/>
      <c r="E473" s="6" t="n"/>
      <c r="F473" s="8" t="n"/>
    </row>
    <row r="474">
      <c r="A474" s="7" t="n"/>
      <c r="B474" s="8" t="n"/>
      <c r="C474" s="9">
        <f>IF(B474="","",IFERROR(VLOOKUP(B474,'Daftar Outlet'!$A$4:$B$22,2,FALSE),""))</f>
        <v/>
      </c>
      <c r="D474" s="8" t="n"/>
      <c r="E474" s="6" t="n"/>
      <c r="F474" s="8" t="n"/>
    </row>
    <row r="475">
      <c r="A475" s="7" t="n"/>
      <c r="B475" s="8" t="n"/>
      <c r="C475" s="9">
        <f>IF(B475="","",IFERROR(VLOOKUP(B475,'Daftar Outlet'!$A$4:$B$22,2,FALSE),""))</f>
        <v/>
      </c>
      <c r="D475" s="8" t="n"/>
      <c r="E475" s="6" t="n"/>
      <c r="F475" s="8" t="n"/>
    </row>
    <row r="476">
      <c r="A476" s="7" t="n"/>
      <c r="B476" s="8" t="n"/>
      <c r="C476" s="9">
        <f>IF(B476="","",IFERROR(VLOOKUP(B476,'Daftar Outlet'!$A$4:$B$22,2,FALSE),""))</f>
        <v/>
      </c>
      <c r="D476" s="8" t="n"/>
      <c r="E476" s="6" t="n"/>
      <c r="F476" s="8" t="n"/>
    </row>
    <row r="477">
      <c r="A477" s="7" t="n"/>
      <c r="B477" s="8" t="n"/>
      <c r="C477" s="9">
        <f>IF(B477="","",IFERROR(VLOOKUP(B477,'Daftar Outlet'!$A$4:$B$22,2,FALSE),""))</f>
        <v/>
      </c>
      <c r="D477" s="8" t="n"/>
      <c r="E477" s="6" t="n"/>
      <c r="F477" s="8" t="n"/>
    </row>
    <row r="478">
      <c r="A478" s="7" t="n"/>
      <c r="B478" s="8" t="n"/>
      <c r="C478" s="9">
        <f>IF(B478="","",IFERROR(VLOOKUP(B478,'Daftar Outlet'!$A$4:$B$22,2,FALSE),""))</f>
        <v/>
      </c>
      <c r="D478" s="8" t="n"/>
      <c r="E478" s="6" t="n"/>
      <c r="F478" s="8" t="n"/>
    </row>
    <row r="479">
      <c r="A479" s="7" t="n"/>
      <c r="B479" s="8" t="n"/>
      <c r="C479" s="9">
        <f>IF(B479="","",IFERROR(VLOOKUP(B479,'Daftar Outlet'!$A$4:$B$22,2,FALSE),""))</f>
        <v/>
      </c>
      <c r="D479" s="8" t="n"/>
      <c r="E479" s="6" t="n"/>
      <c r="F479" s="8" t="n"/>
    </row>
    <row r="480">
      <c r="A480" s="7" t="n"/>
      <c r="B480" s="8" t="n"/>
      <c r="C480" s="9">
        <f>IF(B480="","",IFERROR(VLOOKUP(B480,'Daftar Outlet'!$A$4:$B$22,2,FALSE),""))</f>
        <v/>
      </c>
      <c r="D480" s="8" t="n"/>
      <c r="E480" s="6" t="n"/>
      <c r="F480" s="8" t="n"/>
    </row>
    <row r="481">
      <c r="A481" s="7" t="n"/>
      <c r="B481" s="8" t="n"/>
      <c r="C481" s="9">
        <f>IF(B481="","",IFERROR(VLOOKUP(B481,'Daftar Outlet'!$A$4:$B$22,2,FALSE),""))</f>
        <v/>
      </c>
      <c r="D481" s="8" t="n"/>
      <c r="E481" s="6" t="n"/>
      <c r="F481" s="8" t="n"/>
    </row>
    <row r="482">
      <c r="A482" s="7" t="n"/>
      <c r="B482" s="8" t="n"/>
      <c r="C482" s="9">
        <f>IF(B482="","",IFERROR(VLOOKUP(B482,'Daftar Outlet'!$A$4:$B$22,2,FALSE),""))</f>
        <v/>
      </c>
      <c r="D482" s="8" t="n"/>
      <c r="E482" s="6" t="n"/>
      <c r="F482" s="8" t="n"/>
    </row>
    <row r="483">
      <c r="A483" s="7" t="n"/>
      <c r="B483" s="8" t="n"/>
      <c r="C483" s="9">
        <f>IF(B483="","",IFERROR(VLOOKUP(B483,'Daftar Outlet'!$A$4:$B$22,2,FALSE),""))</f>
        <v/>
      </c>
      <c r="D483" s="8" t="n"/>
      <c r="E483" s="6" t="n"/>
      <c r="F483" s="8" t="n"/>
    </row>
    <row r="484">
      <c r="A484" s="7" t="n"/>
      <c r="B484" s="8" t="n"/>
      <c r="C484" s="9">
        <f>IF(B484="","",IFERROR(VLOOKUP(B484,'Daftar Outlet'!$A$4:$B$22,2,FALSE),""))</f>
        <v/>
      </c>
      <c r="D484" s="8" t="n"/>
      <c r="E484" s="6" t="n"/>
      <c r="F484" s="8" t="n"/>
    </row>
    <row r="485">
      <c r="A485" s="7" t="n"/>
      <c r="B485" s="8" t="n"/>
      <c r="C485" s="9">
        <f>IF(B485="","",IFERROR(VLOOKUP(B485,'Daftar Outlet'!$A$4:$B$22,2,FALSE),""))</f>
        <v/>
      </c>
      <c r="D485" s="8" t="n"/>
      <c r="E485" s="6" t="n"/>
      <c r="F485" s="8" t="n"/>
    </row>
    <row r="486">
      <c r="A486" s="7" t="n"/>
      <c r="B486" s="8" t="n"/>
      <c r="C486" s="9">
        <f>IF(B486="","",IFERROR(VLOOKUP(B486,'Daftar Outlet'!$A$4:$B$22,2,FALSE),""))</f>
        <v/>
      </c>
      <c r="D486" s="8" t="n"/>
      <c r="E486" s="6" t="n"/>
      <c r="F486" s="8" t="n"/>
    </row>
    <row r="487">
      <c r="A487" s="7" t="n"/>
      <c r="B487" s="8" t="n"/>
      <c r="C487" s="9">
        <f>IF(B487="","",IFERROR(VLOOKUP(B487,'Daftar Outlet'!$A$4:$B$22,2,FALSE),""))</f>
        <v/>
      </c>
      <c r="D487" s="8" t="n"/>
      <c r="E487" s="6" t="n"/>
      <c r="F487" s="8" t="n"/>
    </row>
    <row r="488">
      <c r="A488" s="7" t="n"/>
      <c r="B488" s="8" t="n"/>
      <c r="C488" s="9">
        <f>IF(B488="","",IFERROR(VLOOKUP(B488,'Daftar Outlet'!$A$4:$B$22,2,FALSE),""))</f>
        <v/>
      </c>
      <c r="D488" s="8" t="n"/>
      <c r="E488" s="6" t="n"/>
      <c r="F488" s="8" t="n"/>
    </row>
    <row r="489">
      <c r="A489" s="7" t="n"/>
      <c r="B489" s="8" t="n"/>
      <c r="C489" s="9">
        <f>IF(B489="","",IFERROR(VLOOKUP(B489,'Daftar Outlet'!$A$4:$B$22,2,FALSE),""))</f>
        <v/>
      </c>
      <c r="D489" s="8" t="n"/>
      <c r="E489" s="6" t="n"/>
      <c r="F489" s="8" t="n"/>
    </row>
    <row r="490">
      <c r="A490" s="7" t="n"/>
      <c r="B490" s="8" t="n"/>
      <c r="C490" s="9">
        <f>IF(B490="","",IFERROR(VLOOKUP(B490,'Daftar Outlet'!$A$4:$B$22,2,FALSE),""))</f>
        <v/>
      </c>
      <c r="D490" s="8" t="n"/>
      <c r="E490" s="6" t="n"/>
      <c r="F490" s="8" t="n"/>
    </row>
    <row r="491">
      <c r="A491" s="7" t="n"/>
      <c r="B491" s="8" t="n"/>
      <c r="C491" s="9">
        <f>IF(B491="","",IFERROR(VLOOKUP(B491,'Daftar Outlet'!$A$4:$B$22,2,FALSE),""))</f>
        <v/>
      </c>
      <c r="D491" s="8" t="n"/>
      <c r="E491" s="6" t="n"/>
      <c r="F491" s="8" t="n"/>
    </row>
    <row r="492">
      <c r="A492" s="7" t="n"/>
      <c r="B492" s="8" t="n"/>
      <c r="C492" s="9">
        <f>IF(B492="","",IFERROR(VLOOKUP(B492,'Daftar Outlet'!$A$4:$B$22,2,FALSE),""))</f>
        <v/>
      </c>
      <c r="D492" s="8" t="n"/>
      <c r="E492" s="6" t="n"/>
      <c r="F492" s="8" t="n"/>
    </row>
    <row r="493">
      <c r="A493" s="7" t="n"/>
      <c r="B493" s="8" t="n"/>
      <c r="C493" s="9">
        <f>IF(B493="","",IFERROR(VLOOKUP(B493,'Daftar Outlet'!$A$4:$B$22,2,FALSE),""))</f>
        <v/>
      </c>
      <c r="D493" s="8" t="n"/>
      <c r="E493" s="6" t="n"/>
      <c r="F493" s="8" t="n"/>
    </row>
    <row r="494">
      <c r="A494" s="7" t="n"/>
      <c r="B494" s="8" t="n"/>
      <c r="C494" s="9">
        <f>IF(B494="","",IFERROR(VLOOKUP(B494,'Daftar Outlet'!$A$4:$B$22,2,FALSE),""))</f>
        <v/>
      </c>
      <c r="D494" s="8" t="n"/>
      <c r="E494" s="6" t="n"/>
      <c r="F494" s="8" t="n"/>
    </row>
    <row r="495">
      <c r="A495" s="7" t="n"/>
      <c r="B495" s="8" t="n"/>
      <c r="C495" s="9">
        <f>IF(B495="","",IFERROR(VLOOKUP(B495,'Daftar Outlet'!$A$4:$B$22,2,FALSE),""))</f>
        <v/>
      </c>
      <c r="D495" s="8" t="n"/>
      <c r="E495" s="6" t="n"/>
      <c r="F495" s="8" t="n"/>
    </row>
    <row r="496">
      <c r="A496" s="7" t="n"/>
      <c r="B496" s="8" t="n"/>
      <c r="C496" s="9">
        <f>IF(B496="","",IFERROR(VLOOKUP(B496,'Daftar Outlet'!$A$4:$B$22,2,FALSE),""))</f>
        <v/>
      </c>
      <c r="D496" s="8" t="n"/>
      <c r="E496" s="6" t="n"/>
      <c r="F496" s="8" t="n"/>
    </row>
    <row r="497">
      <c r="A497" s="7" t="n"/>
      <c r="B497" s="8" t="n"/>
      <c r="C497" s="9">
        <f>IF(B497="","",IFERROR(VLOOKUP(B497,'Daftar Outlet'!$A$4:$B$22,2,FALSE),""))</f>
        <v/>
      </c>
      <c r="D497" s="8" t="n"/>
      <c r="E497" s="6" t="n"/>
      <c r="F497" s="8" t="n"/>
    </row>
    <row r="498">
      <c r="A498" s="7" t="n"/>
      <c r="B498" s="8" t="n"/>
      <c r="C498" s="9">
        <f>IF(B498="","",IFERROR(VLOOKUP(B498,'Daftar Outlet'!$A$4:$B$22,2,FALSE),""))</f>
        <v/>
      </c>
      <c r="D498" s="8" t="n"/>
      <c r="E498" s="6" t="n"/>
      <c r="F498" s="8" t="n"/>
    </row>
    <row r="499">
      <c r="A499" s="7" t="n"/>
      <c r="B499" s="8" t="n"/>
      <c r="C499" s="9">
        <f>IF(B499="","",IFERROR(VLOOKUP(B499,'Daftar Outlet'!$A$4:$B$22,2,FALSE),""))</f>
        <v/>
      </c>
      <c r="D499" s="8" t="n"/>
      <c r="E499" s="6" t="n"/>
      <c r="F499" s="8" t="n"/>
    </row>
    <row r="500">
      <c r="A500" s="7" t="n"/>
      <c r="B500" s="8" t="n"/>
      <c r="C500" s="9">
        <f>IF(B500="","",IFERROR(VLOOKUP(B500,'Daftar Outlet'!$A$4:$B$22,2,FALSE),""))</f>
        <v/>
      </c>
      <c r="D500" s="8" t="n"/>
      <c r="E500" s="6" t="n"/>
      <c r="F500" s="8" t="n"/>
    </row>
    <row r="501">
      <c r="A501" s="7" t="n"/>
      <c r="B501" s="8" t="n"/>
      <c r="C501" s="9">
        <f>IF(B501="","",IFERROR(VLOOKUP(B501,'Daftar Outlet'!$A$4:$B$22,2,FALSE),""))</f>
        <v/>
      </c>
      <c r="D501" s="8" t="n"/>
      <c r="E501" s="6" t="n"/>
      <c r="F501" s="8" t="n"/>
    </row>
    <row r="502">
      <c r="A502" s="7" t="n"/>
      <c r="B502" s="8" t="n"/>
      <c r="C502" s="9">
        <f>IF(B502="","",IFERROR(VLOOKUP(B502,'Daftar Outlet'!$A$4:$B$22,2,FALSE),""))</f>
        <v/>
      </c>
      <c r="D502" s="8" t="n"/>
      <c r="E502" s="6" t="n"/>
      <c r="F502" s="8" t="n"/>
    </row>
    <row r="503">
      <c r="A503" s="7" t="n"/>
      <c r="B503" s="8" t="n"/>
      <c r="C503" s="9">
        <f>IF(B503="","",IFERROR(VLOOKUP(B503,'Daftar Outlet'!$A$4:$B$22,2,FALSE),""))</f>
        <v/>
      </c>
      <c r="D503" s="8" t="n"/>
      <c r="E503" s="6" t="n"/>
      <c r="F503" s="8" t="n"/>
    </row>
    <row r="504">
      <c r="A504" s="7" t="n"/>
      <c r="B504" s="8" t="n"/>
      <c r="C504" s="9">
        <f>IF(B504="","",IFERROR(VLOOKUP(B504,'Daftar Outlet'!$A$4:$B$22,2,FALSE),""))</f>
        <v/>
      </c>
      <c r="D504" s="8" t="n"/>
      <c r="E504" s="6" t="n"/>
      <c r="F504" s="8" t="n"/>
    </row>
    <row r="505">
      <c r="A505" s="7" t="n"/>
      <c r="B505" s="8" t="n"/>
      <c r="C505" s="9">
        <f>IF(B505="","",IFERROR(VLOOKUP(B505,'Daftar Outlet'!$A$4:$B$22,2,FALSE),""))</f>
        <v/>
      </c>
      <c r="D505" s="8" t="n"/>
      <c r="E505" s="6" t="n"/>
      <c r="F505" s="8" t="n"/>
    </row>
    <row r="506">
      <c r="A506" s="7" t="n"/>
      <c r="B506" s="8" t="n"/>
      <c r="C506" s="9">
        <f>IF(B506="","",IFERROR(VLOOKUP(B506,'Daftar Outlet'!$A$4:$B$22,2,FALSE),""))</f>
        <v/>
      </c>
      <c r="D506" s="8" t="n"/>
      <c r="E506" s="6" t="n"/>
      <c r="F506" s="8" t="n"/>
    </row>
    <row r="507">
      <c r="A507" s="7" t="n"/>
      <c r="B507" s="8" t="n"/>
      <c r="C507" s="9">
        <f>IF(B507="","",IFERROR(VLOOKUP(B507,'Daftar Outlet'!$A$4:$B$22,2,FALSE),""))</f>
        <v/>
      </c>
      <c r="D507" s="8" t="n"/>
      <c r="E507" s="6" t="n"/>
      <c r="F507" s="8" t="n"/>
    </row>
    <row r="508">
      <c r="A508" s="7" t="n"/>
      <c r="B508" s="8" t="n"/>
      <c r="C508" s="9">
        <f>IF(B508="","",IFERROR(VLOOKUP(B508,'Daftar Outlet'!$A$4:$B$22,2,FALSE),""))</f>
        <v/>
      </c>
      <c r="D508" s="8" t="n"/>
      <c r="E508" s="6" t="n"/>
      <c r="F508" s="8" t="n"/>
    </row>
    <row r="509">
      <c r="A509" s="7" t="n"/>
      <c r="B509" s="8" t="n"/>
      <c r="C509" s="9">
        <f>IF(B509="","",IFERROR(VLOOKUP(B509,'Daftar Outlet'!$A$4:$B$22,2,FALSE),""))</f>
        <v/>
      </c>
      <c r="D509" s="8" t="n"/>
      <c r="E509" s="6" t="n"/>
      <c r="F509" s="8" t="n"/>
    </row>
    <row r="510">
      <c r="A510" s="7" t="n"/>
      <c r="B510" s="8" t="n"/>
      <c r="C510" s="9">
        <f>IF(B510="","",IFERROR(VLOOKUP(B510,'Daftar Outlet'!$A$4:$B$22,2,FALSE),""))</f>
        <v/>
      </c>
      <c r="D510" s="8" t="n"/>
      <c r="E510" s="6" t="n"/>
      <c r="F510" s="8" t="n"/>
    </row>
    <row r="511">
      <c r="A511" s="7" t="n"/>
      <c r="B511" s="8" t="n"/>
      <c r="C511" s="9">
        <f>IF(B511="","",IFERROR(VLOOKUP(B511,'Daftar Outlet'!$A$4:$B$22,2,FALSE),""))</f>
        <v/>
      </c>
      <c r="D511" s="8" t="n"/>
      <c r="E511" s="6" t="n"/>
      <c r="F511" s="8" t="n"/>
    </row>
    <row r="512">
      <c r="A512" s="7" t="n"/>
      <c r="B512" s="8" t="n"/>
      <c r="C512" s="9">
        <f>IF(B512="","",IFERROR(VLOOKUP(B512,'Daftar Outlet'!$A$4:$B$22,2,FALSE),""))</f>
        <v/>
      </c>
      <c r="D512" s="8" t="n"/>
      <c r="E512" s="6" t="n"/>
      <c r="F512" s="8" t="n"/>
    </row>
    <row r="513">
      <c r="A513" s="7" t="n"/>
      <c r="B513" s="8" t="n"/>
      <c r="C513" s="9">
        <f>IF(B513="","",IFERROR(VLOOKUP(B513,'Daftar Outlet'!$A$4:$B$22,2,FALSE),""))</f>
        <v/>
      </c>
      <c r="D513" s="8" t="n"/>
      <c r="E513" s="6" t="n"/>
      <c r="F513" s="8" t="n"/>
    </row>
    <row r="514">
      <c r="A514" s="7" t="n"/>
      <c r="B514" s="8" t="n"/>
      <c r="C514" s="9">
        <f>IF(B514="","",IFERROR(VLOOKUP(B514,'Daftar Outlet'!$A$4:$B$22,2,FALSE),""))</f>
        <v/>
      </c>
      <c r="D514" s="8" t="n"/>
      <c r="E514" s="6" t="n"/>
      <c r="F514" s="8" t="n"/>
    </row>
    <row r="515">
      <c r="A515" s="7" t="n"/>
      <c r="B515" s="8" t="n"/>
      <c r="C515" s="9">
        <f>IF(B515="","",IFERROR(VLOOKUP(B515,'Daftar Outlet'!$A$4:$B$22,2,FALSE),""))</f>
        <v/>
      </c>
      <c r="D515" s="8" t="n"/>
      <c r="E515" s="6" t="n"/>
      <c r="F515" s="8" t="n"/>
    </row>
    <row r="516">
      <c r="A516" s="7" t="n"/>
      <c r="B516" s="8" t="n"/>
      <c r="C516" s="9">
        <f>IF(B516="","",IFERROR(VLOOKUP(B516,'Daftar Outlet'!$A$4:$B$22,2,FALSE),""))</f>
        <v/>
      </c>
      <c r="D516" s="8" t="n"/>
      <c r="E516" s="6" t="n"/>
      <c r="F516" s="8" t="n"/>
    </row>
    <row r="517">
      <c r="A517" s="7" t="n"/>
      <c r="B517" s="8" t="n"/>
      <c r="C517" s="9">
        <f>IF(B517="","",IFERROR(VLOOKUP(B517,'Daftar Outlet'!$A$4:$B$22,2,FALSE),""))</f>
        <v/>
      </c>
      <c r="D517" s="8" t="n"/>
      <c r="E517" s="6" t="n"/>
      <c r="F517" s="8" t="n"/>
    </row>
    <row r="518">
      <c r="A518" s="7" t="n"/>
      <c r="B518" s="8" t="n"/>
      <c r="C518" s="9">
        <f>IF(B518="","",IFERROR(VLOOKUP(B518,'Daftar Outlet'!$A$4:$B$22,2,FALSE),""))</f>
        <v/>
      </c>
      <c r="D518" s="8" t="n"/>
      <c r="E518" s="6" t="n"/>
      <c r="F518" s="8" t="n"/>
    </row>
    <row r="519">
      <c r="A519" s="7" t="n"/>
      <c r="B519" s="8" t="n"/>
      <c r="C519" s="9">
        <f>IF(B519="","",IFERROR(VLOOKUP(B519,'Daftar Outlet'!$A$4:$B$22,2,FALSE),""))</f>
        <v/>
      </c>
      <c r="D519" s="8" t="n"/>
      <c r="E519" s="6" t="n"/>
      <c r="F519" s="8" t="n"/>
    </row>
    <row r="520">
      <c r="A520" s="7" t="n"/>
      <c r="B520" s="8" t="n"/>
      <c r="C520" s="9">
        <f>IF(B520="","",IFERROR(VLOOKUP(B520,'Daftar Outlet'!$A$4:$B$22,2,FALSE),""))</f>
        <v/>
      </c>
      <c r="D520" s="8" t="n"/>
      <c r="E520" s="6" t="n"/>
      <c r="F520" s="8" t="n"/>
    </row>
    <row r="521">
      <c r="A521" s="7" t="n"/>
      <c r="B521" s="8" t="n"/>
      <c r="C521" s="9">
        <f>IF(B521="","",IFERROR(VLOOKUP(B521,'Daftar Outlet'!$A$4:$B$22,2,FALSE),""))</f>
        <v/>
      </c>
      <c r="D521" s="8" t="n"/>
      <c r="E521" s="6" t="n"/>
      <c r="F521" s="8" t="n"/>
    </row>
    <row r="522">
      <c r="A522" s="7" t="n"/>
      <c r="B522" s="8" t="n"/>
      <c r="C522" s="9">
        <f>IF(B522="","",IFERROR(VLOOKUP(B522,'Daftar Outlet'!$A$4:$B$22,2,FALSE),""))</f>
        <v/>
      </c>
      <c r="D522" s="8" t="n"/>
      <c r="E522" s="6" t="n"/>
      <c r="F522" s="8" t="n"/>
    </row>
    <row r="523">
      <c r="A523" s="7" t="n"/>
      <c r="B523" s="8" t="n"/>
      <c r="C523" s="9">
        <f>IF(B523="","",IFERROR(VLOOKUP(B523,'Daftar Outlet'!$A$4:$B$22,2,FALSE),""))</f>
        <v/>
      </c>
      <c r="D523" s="8" t="n"/>
      <c r="E523" s="6" t="n"/>
      <c r="F523" s="8" t="n"/>
    </row>
    <row r="524">
      <c r="A524" s="7" t="n"/>
      <c r="B524" s="8" t="n"/>
      <c r="C524" s="9">
        <f>IF(B524="","",IFERROR(VLOOKUP(B524,'Daftar Outlet'!$A$4:$B$22,2,FALSE),""))</f>
        <v/>
      </c>
      <c r="D524" s="8" t="n"/>
      <c r="E524" s="6" t="n"/>
      <c r="F524" s="8" t="n"/>
    </row>
    <row r="525">
      <c r="A525" s="7" t="n"/>
      <c r="B525" s="8" t="n"/>
      <c r="C525" s="9">
        <f>IF(B525="","",IFERROR(VLOOKUP(B525,'Daftar Outlet'!$A$4:$B$22,2,FALSE),""))</f>
        <v/>
      </c>
      <c r="D525" s="8" t="n"/>
      <c r="E525" s="6" t="n"/>
      <c r="F525" s="8" t="n"/>
    </row>
    <row r="526">
      <c r="A526" s="7" t="n"/>
      <c r="B526" s="8" t="n"/>
      <c r="C526" s="9">
        <f>IF(B526="","",IFERROR(VLOOKUP(B526,'Daftar Outlet'!$A$4:$B$22,2,FALSE),""))</f>
        <v/>
      </c>
      <c r="D526" s="8" t="n"/>
      <c r="E526" s="6" t="n"/>
      <c r="F526" s="8" t="n"/>
    </row>
    <row r="527">
      <c r="A527" s="7" t="n"/>
      <c r="B527" s="8" t="n"/>
      <c r="C527" s="9">
        <f>IF(B527="","",IFERROR(VLOOKUP(B527,'Daftar Outlet'!$A$4:$B$22,2,FALSE),""))</f>
        <v/>
      </c>
      <c r="D527" s="8" t="n"/>
      <c r="E527" s="6" t="n"/>
      <c r="F527" s="8" t="n"/>
    </row>
    <row r="528">
      <c r="A528" s="7" t="n"/>
      <c r="B528" s="8" t="n"/>
      <c r="C528" s="9">
        <f>IF(B528="","",IFERROR(VLOOKUP(B528,'Daftar Outlet'!$A$4:$B$22,2,FALSE),""))</f>
        <v/>
      </c>
      <c r="D528" s="8" t="n"/>
      <c r="E528" s="6" t="n"/>
      <c r="F528" s="8" t="n"/>
    </row>
    <row r="529">
      <c r="A529" s="7" t="n"/>
      <c r="B529" s="8" t="n"/>
      <c r="C529" s="9">
        <f>IF(B529="","",IFERROR(VLOOKUP(B529,'Daftar Outlet'!$A$4:$B$22,2,FALSE),""))</f>
        <v/>
      </c>
      <c r="D529" s="8" t="n"/>
      <c r="E529" s="6" t="n"/>
      <c r="F529" s="8" t="n"/>
    </row>
    <row r="530">
      <c r="A530" s="7" t="n"/>
      <c r="B530" s="8" t="n"/>
      <c r="C530" s="9">
        <f>IF(B530="","",IFERROR(VLOOKUP(B530,'Daftar Outlet'!$A$4:$B$22,2,FALSE),""))</f>
        <v/>
      </c>
      <c r="D530" s="8" t="n"/>
      <c r="E530" s="6" t="n"/>
      <c r="F530" s="8" t="n"/>
    </row>
    <row r="531">
      <c r="A531" s="7" t="n"/>
      <c r="B531" s="8" t="n"/>
      <c r="C531" s="9">
        <f>IF(B531="","",IFERROR(VLOOKUP(B531,'Daftar Outlet'!$A$4:$B$22,2,FALSE),""))</f>
        <v/>
      </c>
      <c r="D531" s="8" t="n"/>
      <c r="E531" s="6" t="n"/>
      <c r="F531" s="8" t="n"/>
    </row>
    <row r="532">
      <c r="A532" s="7" t="n"/>
      <c r="B532" s="8" t="n"/>
      <c r="C532" s="9">
        <f>IF(B532="","",IFERROR(VLOOKUP(B532,'Daftar Outlet'!$A$4:$B$22,2,FALSE),""))</f>
        <v/>
      </c>
      <c r="D532" s="8" t="n"/>
      <c r="E532" s="6" t="n"/>
      <c r="F532" s="8" t="n"/>
    </row>
    <row r="533">
      <c r="A533" s="7" t="n"/>
      <c r="B533" s="8" t="n"/>
      <c r="C533" s="9">
        <f>IF(B533="","",IFERROR(VLOOKUP(B533,'Daftar Outlet'!$A$4:$B$22,2,FALSE),""))</f>
        <v/>
      </c>
      <c r="D533" s="8" t="n"/>
      <c r="E533" s="6" t="n"/>
      <c r="F533" s="8" t="n"/>
    </row>
    <row r="534">
      <c r="A534" s="7" t="n"/>
      <c r="B534" s="8" t="n"/>
      <c r="C534" s="9">
        <f>IF(B534="","",IFERROR(VLOOKUP(B534,'Daftar Outlet'!$A$4:$B$22,2,FALSE),""))</f>
        <v/>
      </c>
      <c r="D534" s="8" t="n"/>
      <c r="E534" s="6" t="n"/>
      <c r="F534" s="8" t="n"/>
    </row>
    <row r="535">
      <c r="A535" s="7" t="n"/>
      <c r="B535" s="8" t="n"/>
      <c r="C535" s="9">
        <f>IF(B535="","",IFERROR(VLOOKUP(B535,'Daftar Outlet'!$A$4:$B$22,2,FALSE),""))</f>
        <v/>
      </c>
      <c r="D535" s="8" t="n"/>
      <c r="E535" s="6" t="n"/>
      <c r="F535" s="8" t="n"/>
    </row>
    <row r="536">
      <c r="A536" s="7" t="n"/>
      <c r="B536" s="8" t="n"/>
      <c r="C536" s="9">
        <f>IF(B536="","",IFERROR(VLOOKUP(B536,'Daftar Outlet'!$A$4:$B$22,2,FALSE),""))</f>
        <v/>
      </c>
      <c r="D536" s="8" t="n"/>
      <c r="E536" s="6" t="n"/>
      <c r="F536" s="8" t="n"/>
    </row>
    <row r="537">
      <c r="A537" s="7" t="n"/>
      <c r="B537" s="8" t="n"/>
      <c r="C537" s="9">
        <f>IF(B537="","",IFERROR(VLOOKUP(B537,'Daftar Outlet'!$A$4:$B$22,2,FALSE),""))</f>
        <v/>
      </c>
      <c r="D537" s="8" t="n"/>
      <c r="E537" s="6" t="n"/>
      <c r="F537" s="8" t="n"/>
    </row>
    <row r="538">
      <c r="A538" s="7" t="n"/>
      <c r="B538" s="8" t="n"/>
      <c r="C538" s="9">
        <f>IF(B538="","",IFERROR(VLOOKUP(B538,'Daftar Outlet'!$A$4:$B$22,2,FALSE),""))</f>
        <v/>
      </c>
      <c r="D538" s="8" t="n"/>
      <c r="E538" s="6" t="n"/>
      <c r="F538" s="8" t="n"/>
    </row>
    <row r="539">
      <c r="A539" s="7" t="n"/>
      <c r="B539" s="8" t="n"/>
      <c r="C539" s="9">
        <f>IF(B539="","",IFERROR(VLOOKUP(B539,'Daftar Outlet'!$A$4:$B$22,2,FALSE),""))</f>
        <v/>
      </c>
      <c r="D539" s="8" t="n"/>
      <c r="E539" s="6" t="n"/>
      <c r="F539" s="8" t="n"/>
    </row>
    <row r="540">
      <c r="A540" s="7" t="n"/>
      <c r="B540" s="8" t="n"/>
      <c r="C540" s="9">
        <f>IF(B540="","",IFERROR(VLOOKUP(B540,'Daftar Outlet'!$A$4:$B$22,2,FALSE),""))</f>
        <v/>
      </c>
      <c r="D540" s="8" t="n"/>
      <c r="E540" s="6" t="n"/>
      <c r="F540" s="8" t="n"/>
    </row>
    <row r="541">
      <c r="A541" s="7" t="n"/>
      <c r="B541" s="8" t="n"/>
      <c r="C541" s="9">
        <f>IF(B541="","",IFERROR(VLOOKUP(B541,'Daftar Outlet'!$A$4:$B$22,2,FALSE),""))</f>
        <v/>
      </c>
      <c r="D541" s="8" t="n"/>
      <c r="E541" s="6" t="n"/>
      <c r="F541" s="8" t="n"/>
    </row>
    <row r="542">
      <c r="A542" s="7" t="n"/>
      <c r="B542" s="8" t="n"/>
      <c r="C542" s="9">
        <f>IF(B542="","",IFERROR(VLOOKUP(B542,'Daftar Outlet'!$A$4:$B$22,2,FALSE),""))</f>
        <v/>
      </c>
      <c r="D542" s="8" t="n"/>
      <c r="E542" s="6" t="n"/>
      <c r="F542" s="8" t="n"/>
    </row>
    <row r="543">
      <c r="A543" s="7" t="n"/>
      <c r="B543" s="8" t="n"/>
      <c r="C543" s="9">
        <f>IF(B543="","",IFERROR(VLOOKUP(B543,'Daftar Outlet'!$A$4:$B$22,2,FALSE),""))</f>
        <v/>
      </c>
      <c r="D543" s="8" t="n"/>
      <c r="E543" s="6" t="n"/>
      <c r="F543" s="8" t="n"/>
    </row>
    <row r="544">
      <c r="A544" s="7" t="n"/>
      <c r="B544" s="8" t="n"/>
      <c r="C544" s="9">
        <f>IF(B544="","",IFERROR(VLOOKUP(B544,'Daftar Outlet'!$A$4:$B$22,2,FALSE),""))</f>
        <v/>
      </c>
      <c r="D544" s="8" t="n"/>
      <c r="E544" s="6" t="n"/>
      <c r="F544" s="8" t="n"/>
    </row>
    <row r="545">
      <c r="A545" s="7" t="n"/>
      <c r="B545" s="8" t="n"/>
      <c r="C545" s="9">
        <f>IF(B545="","",IFERROR(VLOOKUP(B545,'Daftar Outlet'!$A$4:$B$22,2,FALSE),""))</f>
        <v/>
      </c>
      <c r="D545" s="8" t="n"/>
      <c r="E545" s="6" t="n"/>
      <c r="F545" s="8" t="n"/>
    </row>
    <row r="546">
      <c r="A546" s="7" t="n"/>
      <c r="B546" s="8" t="n"/>
      <c r="C546" s="9">
        <f>IF(B546="","",IFERROR(VLOOKUP(B546,'Daftar Outlet'!$A$4:$B$22,2,FALSE),""))</f>
        <v/>
      </c>
      <c r="D546" s="8" t="n"/>
      <c r="E546" s="6" t="n"/>
      <c r="F546" s="8" t="n"/>
    </row>
    <row r="547">
      <c r="A547" s="7" t="n"/>
      <c r="B547" s="8" t="n"/>
      <c r="C547" s="9">
        <f>IF(B547="","",IFERROR(VLOOKUP(B547,'Daftar Outlet'!$A$4:$B$22,2,FALSE),""))</f>
        <v/>
      </c>
      <c r="D547" s="8" t="n"/>
      <c r="E547" s="6" t="n"/>
      <c r="F547" s="8" t="n"/>
    </row>
    <row r="548">
      <c r="A548" s="7" t="n"/>
      <c r="B548" s="8" t="n"/>
      <c r="C548" s="9">
        <f>IF(B548="","",IFERROR(VLOOKUP(B548,'Daftar Outlet'!$A$4:$B$22,2,FALSE),""))</f>
        <v/>
      </c>
      <c r="D548" s="8" t="n"/>
      <c r="E548" s="6" t="n"/>
      <c r="F548" s="8" t="n"/>
    </row>
    <row r="549">
      <c r="A549" s="7" t="n"/>
      <c r="B549" s="8" t="n"/>
      <c r="C549" s="9">
        <f>IF(B549="","",IFERROR(VLOOKUP(B549,'Daftar Outlet'!$A$4:$B$22,2,FALSE),""))</f>
        <v/>
      </c>
      <c r="D549" s="8" t="n"/>
      <c r="E549" s="6" t="n"/>
      <c r="F549" s="8" t="n"/>
    </row>
    <row r="550">
      <c r="A550" s="7" t="n"/>
      <c r="B550" s="8" t="n"/>
      <c r="C550" s="9">
        <f>IF(B550="","",IFERROR(VLOOKUP(B550,'Daftar Outlet'!$A$4:$B$22,2,FALSE),""))</f>
        <v/>
      </c>
      <c r="D550" s="8" t="n"/>
      <c r="E550" s="6" t="n"/>
      <c r="F550" s="8" t="n"/>
    </row>
    <row r="551">
      <c r="A551" s="7" t="n"/>
      <c r="B551" s="8" t="n"/>
      <c r="C551" s="9">
        <f>IF(B551="","",IFERROR(VLOOKUP(B551,'Daftar Outlet'!$A$4:$B$22,2,FALSE),""))</f>
        <v/>
      </c>
      <c r="D551" s="8" t="n"/>
      <c r="E551" s="6" t="n"/>
      <c r="F551" s="8" t="n"/>
    </row>
    <row r="552">
      <c r="A552" s="7" t="n"/>
      <c r="B552" s="8" t="n"/>
      <c r="C552" s="9">
        <f>IF(B552="","",IFERROR(VLOOKUP(B552,'Daftar Outlet'!$A$4:$B$22,2,FALSE),""))</f>
        <v/>
      </c>
      <c r="D552" s="8" t="n"/>
      <c r="E552" s="6" t="n"/>
      <c r="F552" s="8" t="n"/>
    </row>
    <row r="553">
      <c r="A553" s="7" t="n"/>
      <c r="B553" s="8" t="n"/>
      <c r="C553" s="9">
        <f>IF(B553="","",IFERROR(VLOOKUP(B553,'Daftar Outlet'!$A$4:$B$22,2,FALSE),""))</f>
        <v/>
      </c>
      <c r="D553" s="8" t="n"/>
      <c r="E553" s="6" t="n"/>
      <c r="F553" s="8" t="n"/>
    </row>
    <row r="554">
      <c r="A554" s="7" t="n"/>
      <c r="B554" s="8" t="n"/>
      <c r="C554" s="9">
        <f>IF(B554="","",IFERROR(VLOOKUP(B554,'Daftar Outlet'!$A$4:$B$22,2,FALSE),""))</f>
        <v/>
      </c>
      <c r="D554" s="8" t="n"/>
      <c r="E554" s="6" t="n"/>
      <c r="F554" s="8" t="n"/>
    </row>
    <row r="555">
      <c r="A555" s="7" t="n"/>
      <c r="B555" s="8" t="n"/>
      <c r="C555" s="9">
        <f>IF(B555="","",IFERROR(VLOOKUP(B555,'Daftar Outlet'!$A$4:$B$22,2,FALSE),""))</f>
        <v/>
      </c>
      <c r="D555" s="8" t="n"/>
      <c r="E555" s="6" t="n"/>
      <c r="F555" s="8" t="n"/>
    </row>
    <row r="556">
      <c r="A556" s="7" t="n"/>
      <c r="B556" s="8" t="n"/>
      <c r="C556" s="9">
        <f>IF(B556="","",IFERROR(VLOOKUP(B556,'Daftar Outlet'!$A$4:$B$22,2,FALSE),""))</f>
        <v/>
      </c>
      <c r="D556" s="8" t="n"/>
      <c r="E556" s="6" t="n"/>
      <c r="F556" s="8" t="n"/>
    </row>
    <row r="557">
      <c r="A557" s="7" t="n"/>
      <c r="B557" s="8" t="n"/>
      <c r="C557" s="9">
        <f>IF(B557="","",IFERROR(VLOOKUP(B557,'Daftar Outlet'!$A$4:$B$22,2,FALSE),""))</f>
        <v/>
      </c>
      <c r="D557" s="8" t="n"/>
      <c r="E557" s="6" t="n"/>
      <c r="F557" s="8" t="n"/>
    </row>
    <row r="558">
      <c r="A558" s="7" t="n"/>
      <c r="B558" s="8" t="n"/>
      <c r="C558" s="9">
        <f>IF(B558="","",IFERROR(VLOOKUP(B558,'Daftar Outlet'!$A$4:$B$22,2,FALSE),""))</f>
        <v/>
      </c>
      <c r="D558" s="8" t="n"/>
      <c r="E558" s="6" t="n"/>
      <c r="F558" s="8" t="n"/>
    </row>
    <row r="559">
      <c r="A559" s="7" t="n"/>
      <c r="B559" s="8" t="n"/>
      <c r="C559" s="9">
        <f>IF(B559="","",IFERROR(VLOOKUP(B559,'Daftar Outlet'!$A$4:$B$22,2,FALSE),""))</f>
        <v/>
      </c>
      <c r="D559" s="8" t="n"/>
      <c r="E559" s="6" t="n"/>
      <c r="F559" s="8" t="n"/>
    </row>
    <row r="560">
      <c r="A560" s="7" t="n"/>
      <c r="B560" s="8" t="n"/>
      <c r="C560" s="9">
        <f>IF(B560="","",IFERROR(VLOOKUP(B560,'Daftar Outlet'!$A$4:$B$22,2,FALSE),""))</f>
        <v/>
      </c>
      <c r="D560" s="8" t="n"/>
      <c r="E560" s="6" t="n"/>
      <c r="F560" s="8" t="n"/>
    </row>
    <row r="561">
      <c r="A561" s="7" t="n"/>
      <c r="B561" s="8" t="n"/>
      <c r="C561" s="9">
        <f>IF(B561="","",IFERROR(VLOOKUP(B561,'Daftar Outlet'!$A$4:$B$22,2,FALSE),""))</f>
        <v/>
      </c>
      <c r="D561" s="8" t="n"/>
      <c r="E561" s="6" t="n"/>
      <c r="F561" s="8" t="n"/>
    </row>
    <row r="562">
      <c r="A562" s="7" t="n"/>
      <c r="B562" s="8" t="n"/>
      <c r="C562" s="9">
        <f>IF(B562="","",IFERROR(VLOOKUP(B562,'Daftar Outlet'!$A$4:$B$22,2,FALSE),""))</f>
        <v/>
      </c>
      <c r="D562" s="8" t="n"/>
      <c r="E562" s="6" t="n"/>
      <c r="F562" s="8" t="n"/>
    </row>
    <row r="563">
      <c r="A563" s="7" t="n"/>
      <c r="B563" s="8" t="n"/>
      <c r="C563" s="9">
        <f>IF(B563="","",IFERROR(VLOOKUP(B563,'Daftar Outlet'!$A$4:$B$22,2,FALSE),""))</f>
        <v/>
      </c>
      <c r="D563" s="8" t="n"/>
      <c r="E563" s="6" t="n"/>
      <c r="F563" s="8" t="n"/>
    </row>
    <row r="564">
      <c r="A564" s="7" t="n"/>
      <c r="B564" s="8" t="n"/>
      <c r="C564" s="9">
        <f>IF(B564="","",IFERROR(VLOOKUP(B564,'Daftar Outlet'!$A$4:$B$22,2,FALSE),""))</f>
        <v/>
      </c>
      <c r="D564" s="8" t="n"/>
      <c r="E564" s="6" t="n"/>
      <c r="F564" s="8" t="n"/>
    </row>
    <row r="565">
      <c r="A565" s="7" t="n"/>
      <c r="B565" s="8" t="n"/>
      <c r="C565" s="9">
        <f>IF(B565="","",IFERROR(VLOOKUP(B565,'Daftar Outlet'!$A$4:$B$22,2,FALSE),""))</f>
        <v/>
      </c>
      <c r="D565" s="8" t="n"/>
      <c r="E565" s="6" t="n"/>
      <c r="F565" s="8" t="n"/>
    </row>
    <row r="566">
      <c r="A566" s="7" t="n"/>
      <c r="B566" s="8" t="n"/>
      <c r="C566" s="9">
        <f>IF(B566="","",IFERROR(VLOOKUP(B566,'Daftar Outlet'!$A$4:$B$22,2,FALSE),""))</f>
        <v/>
      </c>
      <c r="D566" s="8" t="n"/>
      <c r="E566" s="6" t="n"/>
      <c r="F566" s="8" t="n"/>
    </row>
    <row r="567">
      <c r="A567" s="7" t="n"/>
      <c r="B567" s="8" t="n"/>
      <c r="C567" s="9">
        <f>IF(B567="","",IFERROR(VLOOKUP(B567,'Daftar Outlet'!$A$4:$B$22,2,FALSE),""))</f>
        <v/>
      </c>
      <c r="D567" s="8" t="n"/>
      <c r="E567" s="6" t="n"/>
      <c r="F567" s="8" t="n"/>
    </row>
    <row r="568">
      <c r="A568" s="7" t="n"/>
      <c r="B568" s="8" t="n"/>
      <c r="C568" s="9">
        <f>IF(B568="","",IFERROR(VLOOKUP(B568,'Daftar Outlet'!$A$4:$B$22,2,FALSE),""))</f>
        <v/>
      </c>
      <c r="D568" s="8" t="n"/>
      <c r="E568" s="6" t="n"/>
      <c r="F568" s="8" t="n"/>
    </row>
    <row r="569">
      <c r="A569" s="7" t="n"/>
      <c r="B569" s="8" t="n"/>
      <c r="C569" s="9">
        <f>IF(B569="","",IFERROR(VLOOKUP(B569,'Daftar Outlet'!$A$4:$B$22,2,FALSE),""))</f>
        <v/>
      </c>
      <c r="D569" s="8" t="n"/>
      <c r="E569" s="6" t="n"/>
      <c r="F569" s="8" t="n"/>
    </row>
    <row r="570">
      <c r="A570" s="7" t="n"/>
      <c r="B570" s="8" t="n"/>
      <c r="C570" s="9">
        <f>IF(B570="","",IFERROR(VLOOKUP(B570,'Daftar Outlet'!$A$4:$B$22,2,FALSE),""))</f>
        <v/>
      </c>
      <c r="D570" s="8" t="n"/>
      <c r="E570" s="6" t="n"/>
      <c r="F570" s="8" t="n"/>
    </row>
    <row r="571">
      <c r="A571" s="7" t="n"/>
      <c r="B571" s="8" t="n"/>
      <c r="C571" s="9">
        <f>IF(B571="","",IFERROR(VLOOKUP(B571,'Daftar Outlet'!$A$4:$B$22,2,FALSE),""))</f>
        <v/>
      </c>
      <c r="D571" s="8" t="n"/>
      <c r="E571" s="6" t="n"/>
      <c r="F571" s="8" t="n"/>
    </row>
    <row r="572">
      <c r="A572" s="7" t="n"/>
      <c r="B572" s="8" t="n"/>
      <c r="C572" s="9">
        <f>IF(B572="","",IFERROR(VLOOKUP(B572,'Daftar Outlet'!$A$4:$B$22,2,FALSE),""))</f>
        <v/>
      </c>
      <c r="D572" s="8" t="n"/>
      <c r="E572" s="6" t="n"/>
      <c r="F572" s="8" t="n"/>
    </row>
    <row r="573">
      <c r="A573" s="7" t="n"/>
      <c r="B573" s="8" t="n"/>
      <c r="C573" s="9">
        <f>IF(B573="","",IFERROR(VLOOKUP(B573,'Daftar Outlet'!$A$4:$B$22,2,FALSE),""))</f>
        <v/>
      </c>
      <c r="D573" s="8" t="n"/>
      <c r="E573" s="6" t="n"/>
      <c r="F573" s="8" t="n"/>
    </row>
    <row r="574">
      <c r="A574" s="7" t="n"/>
      <c r="B574" s="8" t="n"/>
      <c r="C574" s="9">
        <f>IF(B574="","",IFERROR(VLOOKUP(B574,'Daftar Outlet'!$A$4:$B$22,2,FALSE),""))</f>
        <v/>
      </c>
      <c r="D574" s="8" t="n"/>
      <c r="E574" s="6" t="n"/>
      <c r="F574" s="8" t="n"/>
    </row>
    <row r="575">
      <c r="A575" s="7" t="n"/>
      <c r="B575" s="8" t="n"/>
      <c r="C575" s="9">
        <f>IF(B575="","",IFERROR(VLOOKUP(B575,'Daftar Outlet'!$A$4:$B$22,2,FALSE),""))</f>
        <v/>
      </c>
      <c r="D575" s="8" t="n"/>
      <c r="E575" s="6" t="n"/>
      <c r="F575" s="8" t="n"/>
    </row>
    <row r="576">
      <c r="A576" s="7" t="n"/>
      <c r="B576" s="8" t="n"/>
      <c r="C576" s="9">
        <f>IF(B576="","",IFERROR(VLOOKUP(B576,'Daftar Outlet'!$A$4:$B$22,2,FALSE),""))</f>
        <v/>
      </c>
      <c r="D576" s="8" t="n"/>
      <c r="E576" s="6" t="n"/>
      <c r="F576" s="8" t="n"/>
    </row>
    <row r="577">
      <c r="A577" s="7" t="n"/>
      <c r="B577" s="8" t="n"/>
      <c r="C577" s="9">
        <f>IF(B577="","",IFERROR(VLOOKUP(B577,'Daftar Outlet'!$A$4:$B$22,2,FALSE),""))</f>
        <v/>
      </c>
      <c r="D577" s="8" t="n"/>
      <c r="E577" s="6" t="n"/>
      <c r="F577" s="8" t="n"/>
    </row>
    <row r="578">
      <c r="A578" s="7" t="n"/>
      <c r="B578" s="8" t="n"/>
      <c r="C578" s="9">
        <f>IF(B578="","",IFERROR(VLOOKUP(B578,'Daftar Outlet'!$A$4:$B$22,2,FALSE),""))</f>
        <v/>
      </c>
      <c r="D578" s="8" t="n"/>
      <c r="E578" s="6" t="n"/>
      <c r="F578" s="8" t="n"/>
    </row>
    <row r="579">
      <c r="A579" s="7" t="n"/>
      <c r="B579" s="8" t="n"/>
      <c r="C579" s="9">
        <f>IF(B579="","",IFERROR(VLOOKUP(B579,'Daftar Outlet'!$A$4:$B$22,2,FALSE),""))</f>
        <v/>
      </c>
      <c r="D579" s="8" t="n"/>
      <c r="E579" s="6" t="n"/>
      <c r="F579" s="8" t="n"/>
    </row>
    <row r="580">
      <c r="A580" s="7" t="n"/>
      <c r="B580" s="8" t="n"/>
      <c r="C580" s="9">
        <f>IF(B580="","",IFERROR(VLOOKUP(B580,'Daftar Outlet'!$A$4:$B$22,2,FALSE),""))</f>
        <v/>
      </c>
      <c r="D580" s="8" t="n"/>
      <c r="E580" s="6" t="n"/>
      <c r="F580" s="8" t="n"/>
    </row>
    <row r="581">
      <c r="A581" s="7" t="n"/>
      <c r="B581" s="8" t="n"/>
      <c r="C581" s="9">
        <f>IF(B581="","",IFERROR(VLOOKUP(B581,'Daftar Outlet'!$A$4:$B$22,2,FALSE),""))</f>
        <v/>
      </c>
      <c r="D581" s="8" t="n"/>
      <c r="E581" s="6" t="n"/>
      <c r="F581" s="8" t="n"/>
    </row>
    <row r="582">
      <c r="A582" s="7" t="n"/>
      <c r="B582" s="8" t="n"/>
      <c r="C582" s="9">
        <f>IF(B582="","",IFERROR(VLOOKUP(B582,'Daftar Outlet'!$A$4:$B$22,2,FALSE),""))</f>
        <v/>
      </c>
      <c r="D582" s="8" t="n"/>
      <c r="E582" s="6" t="n"/>
      <c r="F582" s="8" t="n"/>
    </row>
    <row r="583">
      <c r="A583" s="7" t="n"/>
      <c r="B583" s="8" t="n"/>
      <c r="C583" s="9">
        <f>IF(B583="","",IFERROR(VLOOKUP(B583,'Daftar Outlet'!$A$4:$B$22,2,FALSE),""))</f>
        <v/>
      </c>
      <c r="D583" s="8" t="n"/>
      <c r="E583" s="6" t="n"/>
      <c r="F583" s="8" t="n"/>
    </row>
    <row r="584">
      <c r="A584" s="7" t="n"/>
      <c r="B584" s="8" t="n"/>
      <c r="C584" s="9">
        <f>IF(B584="","",IFERROR(VLOOKUP(B584,'Daftar Outlet'!$A$4:$B$22,2,FALSE),""))</f>
        <v/>
      </c>
      <c r="D584" s="8" t="n"/>
      <c r="E584" s="6" t="n"/>
      <c r="F584" s="8" t="n"/>
    </row>
    <row r="585">
      <c r="A585" s="7" t="n"/>
      <c r="B585" s="8" t="n"/>
      <c r="C585" s="9">
        <f>IF(B585="","",IFERROR(VLOOKUP(B585,'Daftar Outlet'!$A$4:$B$22,2,FALSE),""))</f>
        <v/>
      </c>
      <c r="D585" s="8" t="n"/>
      <c r="E585" s="6" t="n"/>
      <c r="F585" s="8" t="n"/>
    </row>
    <row r="586">
      <c r="A586" s="7" t="n"/>
      <c r="B586" s="8" t="n"/>
      <c r="C586" s="9">
        <f>IF(B586="","",IFERROR(VLOOKUP(B586,'Daftar Outlet'!$A$4:$B$22,2,FALSE),""))</f>
        <v/>
      </c>
      <c r="D586" s="8" t="n"/>
      <c r="E586" s="6" t="n"/>
      <c r="F586" s="8" t="n"/>
    </row>
    <row r="587">
      <c r="A587" s="7" t="n"/>
      <c r="B587" s="8" t="n"/>
      <c r="C587" s="9">
        <f>IF(B587="","",IFERROR(VLOOKUP(B587,'Daftar Outlet'!$A$4:$B$22,2,FALSE),""))</f>
        <v/>
      </c>
      <c r="D587" s="8" t="n"/>
      <c r="E587" s="6" t="n"/>
      <c r="F587" s="8" t="n"/>
    </row>
    <row r="588">
      <c r="A588" s="7" t="n"/>
      <c r="B588" s="8" t="n"/>
      <c r="C588" s="9">
        <f>IF(B588="","",IFERROR(VLOOKUP(B588,'Daftar Outlet'!$A$4:$B$22,2,FALSE),""))</f>
        <v/>
      </c>
      <c r="D588" s="8" t="n"/>
      <c r="E588" s="6" t="n"/>
      <c r="F588" s="8" t="n"/>
    </row>
    <row r="589">
      <c r="A589" s="7" t="n"/>
      <c r="B589" s="8" t="n"/>
      <c r="C589" s="9">
        <f>IF(B589="","",IFERROR(VLOOKUP(B589,'Daftar Outlet'!$A$4:$B$22,2,FALSE),""))</f>
        <v/>
      </c>
      <c r="D589" s="8" t="n"/>
      <c r="E589" s="6" t="n"/>
      <c r="F589" s="8" t="n"/>
    </row>
    <row r="590">
      <c r="A590" s="7" t="n"/>
      <c r="B590" s="8" t="n"/>
      <c r="C590" s="9">
        <f>IF(B590="","",IFERROR(VLOOKUP(B590,'Daftar Outlet'!$A$4:$B$22,2,FALSE),""))</f>
        <v/>
      </c>
      <c r="D590" s="8" t="n"/>
      <c r="E590" s="6" t="n"/>
      <c r="F590" s="8" t="n"/>
    </row>
    <row r="591">
      <c r="A591" s="7" t="n"/>
      <c r="B591" s="8" t="n"/>
      <c r="C591" s="9">
        <f>IF(B591="","",IFERROR(VLOOKUP(B591,'Daftar Outlet'!$A$4:$B$22,2,FALSE),""))</f>
        <v/>
      </c>
      <c r="D591" s="8" t="n"/>
      <c r="E591" s="6" t="n"/>
      <c r="F591" s="8" t="n"/>
    </row>
    <row r="592">
      <c r="A592" s="7" t="n"/>
      <c r="B592" s="8" t="n"/>
      <c r="C592" s="9">
        <f>IF(B592="","",IFERROR(VLOOKUP(B592,'Daftar Outlet'!$A$4:$B$22,2,FALSE),""))</f>
        <v/>
      </c>
      <c r="D592" s="8" t="n"/>
      <c r="E592" s="6" t="n"/>
      <c r="F592" s="8" t="n"/>
    </row>
    <row r="593">
      <c r="A593" s="7" t="n"/>
      <c r="B593" s="8" t="n"/>
      <c r="C593" s="9">
        <f>IF(B593="","",IFERROR(VLOOKUP(B593,'Daftar Outlet'!$A$4:$B$22,2,FALSE),""))</f>
        <v/>
      </c>
      <c r="D593" s="8" t="n"/>
      <c r="E593" s="6" t="n"/>
      <c r="F593" s="8" t="n"/>
    </row>
    <row r="594">
      <c r="A594" s="7" t="n"/>
      <c r="B594" s="8" t="n"/>
      <c r="C594" s="9">
        <f>IF(B594="","",IFERROR(VLOOKUP(B594,'Daftar Outlet'!$A$4:$B$22,2,FALSE),""))</f>
        <v/>
      </c>
      <c r="D594" s="8" t="n"/>
      <c r="E594" s="6" t="n"/>
      <c r="F594" s="8" t="n"/>
    </row>
    <row r="595">
      <c r="A595" s="7" t="n"/>
      <c r="B595" s="8" t="n"/>
      <c r="C595" s="9">
        <f>IF(B595="","",IFERROR(VLOOKUP(B595,'Daftar Outlet'!$A$4:$B$22,2,FALSE),""))</f>
        <v/>
      </c>
      <c r="D595" s="8" t="n"/>
      <c r="E595" s="6" t="n"/>
      <c r="F595" s="8" t="n"/>
    </row>
    <row r="596">
      <c r="A596" s="7" t="n"/>
      <c r="B596" s="8" t="n"/>
      <c r="C596" s="9">
        <f>IF(B596="","",IFERROR(VLOOKUP(B596,'Daftar Outlet'!$A$4:$B$22,2,FALSE),""))</f>
        <v/>
      </c>
      <c r="D596" s="8" t="n"/>
      <c r="E596" s="6" t="n"/>
      <c r="F596" s="8" t="n"/>
    </row>
    <row r="597">
      <c r="A597" s="7" t="n"/>
      <c r="B597" s="8" t="n"/>
      <c r="C597" s="9">
        <f>IF(B597="","",IFERROR(VLOOKUP(B597,'Daftar Outlet'!$A$4:$B$22,2,FALSE),""))</f>
        <v/>
      </c>
      <c r="D597" s="8" t="n"/>
      <c r="E597" s="6" t="n"/>
      <c r="F597" s="8" t="n"/>
    </row>
    <row r="598">
      <c r="A598" s="7" t="n"/>
      <c r="B598" s="8" t="n"/>
      <c r="C598" s="9">
        <f>IF(B598="","",IFERROR(VLOOKUP(B598,'Daftar Outlet'!$A$4:$B$22,2,FALSE),""))</f>
        <v/>
      </c>
      <c r="D598" s="8" t="n"/>
      <c r="E598" s="6" t="n"/>
      <c r="F598" s="8" t="n"/>
    </row>
    <row r="599">
      <c r="A599" s="7" t="n"/>
      <c r="B599" s="8" t="n"/>
      <c r="C599" s="9">
        <f>IF(B599="","",IFERROR(VLOOKUP(B599,'Daftar Outlet'!$A$4:$B$22,2,FALSE),""))</f>
        <v/>
      </c>
      <c r="D599" s="8" t="n"/>
      <c r="E599" s="6" t="n"/>
      <c r="F599" s="8" t="n"/>
    </row>
    <row r="600">
      <c r="A600" s="7" t="n"/>
      <c r="B600" s="8" t="n"/>
      <c r="C600" s="9">
        <f>IF(B600="","",IFERROR(VLOOKUP(B600,'Daftar Outlet'!$A$4:$B$22,2,FALSE),""))</f>
        <v/>
      </c>
      <c r="D600" s="8" t="n"/>
      <c r="E600" s="6" t="n"/>
      <c r="F600" s="8" t="n"/>
    </row>
    <row r="601">
      <c r="A601" s="7" t="n"/>
      <c r="B601" s="8" t="n"/>
      <c r="C601" s="9">
        <f>IF(B601="","",IFERROR(VLOOKUP(B601,'Daftar Outlet'!$A$4:$B$22,2,FALSE),""))</f>
        <v/>
      </c>
      <c r="D601" s="8" t="n"/>
      <c r="E601" s="6" t="n"/>
      <c r="F601" s="8" t="n"/>
    </row>
    <row r="602">
      <c r="A602" s="7" t="n"/>
      <c r="B602" s="8" t="n"/>
      <c r="C602" s="9">
        <f>IF(B602="","",IFERROR(VLOOKUP(B602,'Daftar Outlet'!$A$4:$B$22,2,FALSE),""))</f>
        <v/>
      </c>
      <c r="D602" s="8" t="n"/>
      <c r="E602" s="6" t="n"/>
      <c r="F602" s="8" t="n"/>
    </row>
    <row r="603">
      <c r="A603" s="7" t="n"/>
      <c r="B603" s="8" t="n"/>
      <c r="C603" s="9">
        <f>IF(B603="","",IFERROR(VLOOKUP(B603,'Daftar Outlet'!$A$4:$B$22,2,FALSE),""))</f>
        <v/>
      </c>
      <c r="D603" s="8" t="n"/>
      <c r="E603" s="6" t="n"/>
      <c r="F603" s="8" t="n"/>
    </row>
    <row r="604">
      <c r="A604" s="7" t="n"/>
      <c r="B604" s="8" t="n"/>
      <c r="C604" s="9">
        <f>IF(B604="","",IFERROR(VLOOKUP(B604,'Daftar Outlet'!$A$4:$B$22,2,FALSE),""))</f>
        <v/>
      </c>
      <c r="D604" s="8" t="n"/>
      <c r="E604" s="6" t="n"/>
      <c r="F604" s="8" t="n"/>
    </row>
    <row r="605">
      <c r="A605" s="7" t="n"/>
      <c r="B605" s="8" t="n"/>
      <c r="C605" s="9">
        <f>IF(B605="","",IFERROR(VLOOKUP(B605,'Daftar Outlet'!$A$4:$B$22,2,FALSE),""))</f>
        <v/>
      </c>
      <c r="D605" s="8" t="n"/>
      <c r="E605" s="6" t="n"/>
      <c r="F605" s="8" t="n"/>
    </row>
    <row r="606">
      <c r="A606" s="7" t="n"/>
      <c r="B606" s="8" t="n"/>
      <c r="C606" s="9">
        <f>IF(B606="","",IFERROR(VLOOKUP(B606,'Daftar Outlet'!$A$4:$B$22,2,FALSE),""))</f>
        <v/>
      </c>
      <c r="D606" s="8" t="n"/>
      <c r="E606" s="6" t="n"/>
      <c r="F606" s="8" t="n"/>
    </row>
    <row r="607">
      <c r="A607" s="7" t="n"/>
      <c r="B607" s="8" t="n"/>
      <c r="C607" s="9">
        <f>IF(B607="","",IFERROR(VLOOKUP(B607,'Daftar Outlet'!$A$4:$B$22,2,FALSE),""))</f>
        <v/>
      </c>
      <c r="D607" s="8" t="n"/>
      <c r="E607" s="6" t="n"/>
      <c r="F607" s="8" t="n"/>
    </row>
    <row r="608">
      <c r="A608" s="7" t="n"/>
      <c r="B608" s="8" t="n"/>
      <c r="C608" s="9">
        <f>IF(B608="","",IFERROR(VLOOKUP(B608,'Daftar Outlet'!$A$4:$B$22,2,FALSE),""))</f>
        <v/>
      </c>
      <c r="D608" s="8" t="n"/>
      <c r="E608" s="6" t="n"/>
      <c r="F608" s="8" t="n"/>
    </row>
    <row r="609">
      <c r="A609" s="7" t="n"/>
      <c r="B609" s="8" t="n"/>
      <c r="C609" s="9">
        <f>IF(B609="","",IFERROR(VLOOKUP(B609,'Daftar Outlet'!$A$4:$B$22,2,FALSE),""))</f>
        <v/>
      </c>
      <c r="D609" s="8" t="n"/>
      <c r="E609" s="6" t="n"/>
      <c r="F609" s="8" t="n"/>
    </row>
    <row r="610">
      <c r="A610" s="7" t="n"/>
      <c r="B610" s="8" t="n"/>
      <c r="C610" s="9">
        <f>IF(B610="","",IFERROR(VLOOKUP(B610,'Daftar Outlet'!$A$4:$B$22,2,FALSE),""))</f>
        <v/>
      </c>
      <c r="D610" s="8" t="n"/>
      <c r="E610" s="6" t="n"/>
      <c r="F610" s="8" t="n"/>
    </row>
    <row r="611">
      <c r="A611" s="7" t="n"/>
      <c r="B611" s="8" t="n"/>
      <c r="C611" s="9">
        <f>IF(B611="","",IFERROR(VLOOKUP(B611,'Daftar Outlet'!$A$4:$B$22,2,FALSE),""))</f>
        <v/>
      </c>
      <c r="D611" s="8" t="n"/>
      <c r="E611" s="6" t="n"/>
      <c r="F611" s="8" t="n"/>
    </row>
    <row r="612">
      <c r="A612" s="7" t="n"/>
      <c r="B612" s="8" t="n"/>
      <c r="C612" s="9">
        <f>IF(B612="","",IFERROR(VLOOKUP(B612,'Daftar Outlet'!$A$4:$B$22,2,FALSE),""))</f>
        <v/>
      </c>
      <c r="D612" s="8" t="n"/>
      <c r="E612" s="6" t="n"/>
      <c r="F612" s="8" t="n"/>
    </row>
    <row r="613">
      <c r="A613" s="7" t="n"/>
      <c r="B613" s="8" t="n"/>
      <c r="C613" s="9">
        <f>IF(B613="","",IFERROR(VLOOKUP(B613,'Daftar Outlet'!$A$4:$B$22,2,FALSE),""))</f>
        <v/>
      </c>
      <c r="D613" s="8" t="n"/>
      <c r="E613" s="6" t="n"/>
      <c r="F613" s="8" t="n"/>
    </row>
    <row r="614">
      <c r="A614" s="7" t="n"/>
      <c r="B614" s="8" t="n"/>
      <c r="C614" s="9">
        <f>IF(B614="","",IFERROR(VLOOKUP(B614,'Daftar Outlet'!$A$4:$B$22,2,FALSE),""))</f>
        <v/>
      </c>
      <c r="D614" s="8" t="n"/>
      <c r="E614" s="6" t="n"/>
      <c r="F614" s="8" t="n"/>
    </row>
    <row r="615">
      <c r="A615" s="7" t="n"/>
      <c r="B615" s="8" t="n"/>
      <c r="C615" s="9">
        <f>IF(B615="","",IFERROR(VLOOKUP(B615,'Daftar Outlet'!$A$4:$B$22,2,FALSE),""))</f>
        <v/>
      </c>
      <c r="D615" s="8" t="n"/>
      <c r="E615" s="6" t="n"/>
      <c r="F615" s="8" t="n"/>
    </row>
    <row r="616">
      <c r="A616" s="7" t="n"/>
      <c r="B616" s="8" t="n"/>
      <c r="C616" s="9">
        <f>IF(B616="","",IFERROR(VLOOKUP(B616,'Daftar Outlet'!$A$4:$B$22,2,FALSE),""))</f>
        <v/>
      </c>
      <c r="D616" s="8" t="n"/>
      <c r="E616" s="6" t="n"/>
      <c r="F616" s="8" t="n"/>
    </row>
    <row r="617">
      <c r="A617" s="7" t="n"/>
      <c r="B617" s="8" t="n"/>
      <c r="C617" s="9">
        <f>IF(B617="","",IFERROR(VLOOKUP(B617,'Daftar Outlet'!$A$4:$B$22,2,FALSE),""))</f>
        <v/>
      </c>
      <c r="D617" s="8" t="n"/>
      <c r="E617" s="6" t="n"/>
      <c r="F617" s="8" t="n"/>
    </row>
    <row r="618">
      <c r="A618" s="7" t="n"/>
      <c r="B618" s="8" t="n"/>
      <c r="C618" s="9">
        <f>IF(B618="","",IFERROR(VLOOKUP(B618,'Daftar Outlet'!$A$4:$B$22,2,FALSE),""))</f>
        <v/>
      </c>
      <c r="D618" s="8" t="n"/>
      <c r="E618" s="6" t="n"/>
      <c r="F618" s="8" t="n"/>
    </row>
    <row r="619">
      <c r="A619" s="7" t="n"/>
      <c r="B619" s="8" t="n"/>
      <c r="C619" s="9">
        <f>IF(B619="","",IFERROR(VLOOKUP(B619,'Daftar Outlet'!$A$4:$B$22,2,FALSE),""))</f>
        <v/>
      </c>
      <c r="D619" s="8" t="n"/>
      <c r="E619" s="6" t="n"/>
      <c r="F619" s="8" t="n"/>
    </row>
    <row r="620">
      <c r="A620" s="7" t="n"/>
      <c r="B620" s="8" t="n"/>
      <c r="C620" s="9">
        <f>IF(B620="","",IFERROR(VLOOKUP(B620,'Daftar Outlet'!$A$4:$B$22,2,FALSE),""))</f>
        <v/>
      </c>
      <c r="D620" s="8" t="n"/>
      <c r="E620" s="6" t="n"/>
      <c r="F620" s="8" t="n"/>
    </row>
    <row r="621">
      <c r="A621" s="7" t="n"/>
      <c r="B621" s="8" t="n"/>
      <c r="C621" s="9">
        <f>IF(B621="","",IFERROR(VLOOKUP(B621,'Daftar Outlet'!$A$4:$B$22,2,FALSE),""))</f>
        <v/>
      </c>
      <c r="D621" s="8" t="n"/>
      <c r="E621" s="6" t="n"/>
      <c r="F621" s="8" t="n"/>
    </row>
    <row r="622">
      <c r="A622" s="7" t="n"/>
      <c r="B622" s="8" t="n"/>
      <c r="C622" s="9">
        <f>IF(B622="","",IFERROR(VLOOKUP(B622,'Daftar Outlet'!$A$4:$B$22,2,FALSE),""))</f>
        <v/>
      </c>
      <c r="D622" s="8" t="n"/>
      <c r="E622" s="6" t="n"/>
      <c r="F622" s="8" t="n"/>
    </row>
    <row r="623">
      <c r="A623" s="7" t="n"/>
      <c r="B623" s="8" t="n"/>
      <c r="C623" s="9">
        <f>IF(B623="","",IFERROR(VLOOKUP(B623,'Daftar Outlet'!$A$4:$B$22,2,FALSE),""))</f>
        <v/>
      </c>
      <c r="D623" s="8" t="n"/>
      <c r="E623" s="6" t="n"/>
      <c r="F623" s="8" t="n"/>
    </row>
    <row r="624">
      <c r="A624" s="7" t="n"/>
      <c r="B624" s="8" t="n"/>
      <c r="C624" s="9">
        <f>IF(B624="","",IFERROR(VLOOKUP(B624,'Daftar Outlet'!$A$4:$B$22,2,FALSE),""))</f>
        <v/>
      </c>
      <c r="D624" s="8" t="n"/>
      <c r="E624" s="6" t="n"/>
      <c r="F624" s="8" t="n"/>
    </row>
    <row r="625">
      <c r="A625" s="7" t="n"/>
      <c r="B625" s="8" t="n"/>
      <c r="C625" s="9">
        <f>IF(B625="","",IFERROR(VLOOKUP(B625,'Daftar Outlet'!$A$4:$B$22,2,FALSE),""))</f>
        <v/>
      </c>
      <c r="D625" s="8" t="n"/>
      <c r="E625" s="6" t="n"/>
      <c r="F625" s="8" t="n"/>
    </row>
    <row r="626">
      <c r="A626" s="7" t="n"/>
      <c r="B626" s="8" t="n"/>
      <c r="C626" s="9">
        <f>IF(B626="","",IFERROR(VLOOKUP(B626,'Daftar Outlet'!$A$4:$B$22,2,FALSE),""))</f>
        <v/>
      </c>
      <c r="D626" s="8" t="n"/>
      <c r="E626" s="6" t="n"/>
      <c r="F626" s="8" t="n"/>
    </row>
    <row r="627">
      <c r="A627" s="7" t="n"/>
      <c r="B627" s="8" t="n"/>
      <c r="C627" s="9">
        <f>IF(B627="","",IFERROR(VLOOKUP(B627,'Daftar Outlet'!$A$4:$B$22,2,FALSE),""))</f>
        <v/>
      </c>
      <c r="D627" s="8" t="n"/>
      <c r="E627" s="6" t="n"/>
      <c r="F627" s="8" t="n"/>
    </row>
    <row r="628">
      <c r="A628" s="7" t="n"/>
      <c r="B628" s="8" t="n"/>
      <c r="C628" s="9">
        <f>IF(B628="","",IFERROR(VLOOKUP(B628,'Daftar Outlet'!$A$4:$B$22,2,FALSE),""))</f>
        <v/>
      </c>
      <c r="D628" s="8" t="n"/>
      <c r="E628" s="6" t="n"/>
      <c r="F628" s="8" t="n"/>
    </row>
    <row r="629">
      <c r="A629" s="7" t="n"/>
      <c r="B629" s="8" t="n"/>
      <c r="C629" s="9">
        <f>IF(B629="","",IFERROR(VLOOKUP(B629,'Daftar Outlet'!$A$4:$B$22,2,FALSE),""))</f>
        <v/>
      </c>
      <c r="D629" s="8" t="n"/>
      <c r="E629" s="6" t="n"/>
      <c r="F629" s="8" t="n"/>
    </row>
    <row r="630">
      <c r="A630" s="7" t="n"/>
      <c r="B630" s="8" t="n"/>
      <c r="C630" s="9">
        <f>IF(B630="","",IFERROR(VLOOKUP(B630,'Daftar Outlet'!$A$4:$B$22,2,FALSE),""))</f>
        <v/>
      </c>
      <c r="D630" s="8" t="n"/>
      <c r="E630" s="6" t="n"/>
      <c r="F630" s="8" t="n"/>
    </row>
    <row r="631">
      <c r="A631" s="7" t="n"/>
      <c r="B631" s="8" t="n"/>
      <c r="C631" s="9">
        <f>IF(B631="","",IFERROR(VLOOKUP(B631,'Daftar Outlet'!$A$4:$B$22,2,FALSE),""))</f>
        <v/>
      </c>
      <c r="D631" s="8" t="n"/>
      <c r="E631" s="6" t="n"/>
      <c r="F631" s="8" t="n"/>
    </row>
    <row r="632">
      <c r="A632" s="7" t="n"/>
      <c r="B632" s="8" t="n"/>
      <c r="C632" s="9">
        <f>IF(B632="","",IFERROR(VLOOKUP(B632,'Daftar Outlet'!$A$4:$B$22,2,FALSE),""))</f>
        <v/>
      </c>
      <c r="D632" s="8" t="n"/>
      <c r="E632" s="6" t="n"/>
      <c r="F632" s="8" t="n"/>
    </row>
    <row r="633">
      <c r="A633" s="7" t="n"/>
      <c r="B633" s="8" t="n"/>
      <c r="C633" s="9">
        <f>IF(B633="","",IFERROR(VLOOKUP(B633,'Daftar Outlet'!$A$4:$B$22,2,FALSE),""))</f>
        <v/>
      </c>
      <c r="D633" s="8" t="n"/>
      <c r="E633" s="6" t="n"/>
      <c r="F633" s="8" t="n"/>
    </row>
    <row r="634">
      <c r="A634" s="7" t="n"/>
      <c r="B634" s="8" t="n"/>
      <c r="C634" s="9">
        <f>IF(B634="","",IFERROR(VLOOKUP(B634,'Daftar Outlet'!$A$4:$B$22,2,FALSE),""))</f>
        <v/>
      </c>
      <c r="D634" s="8" t="n"/>
      <c r="E634" s="6" t="n"/>
      <c r="F634" s="8" t="n"/>
    </row>
    <row r="635">
      <c r="A635" s="7" t="n"/>
      <c r="B635" s="8" t="n"/>
      <c r="C635" s="9">
        <f>IF(B635="","",IFERROR(VLOOKUP(B635,'Daftar Outlet'!$A$4:$B$22,2,FALSE),""))</f>
        <v/>
      </c>
      <c r="D635" s="8" t="n"/>
      <c r="E635" s="6" t="n"/>
      <c r="F635" s="8" t="n"/>
    </row>
    <row r="636">
      <c r="A636" s="7" t="n"/>
      <c r="B636" s="8" t="n"/>
      <c r="C636" s="9">
        <f>IF(B636="","",IFERROR(VLOOKUP(B636,'Daftar Outlet'!$A$4:$B$22,2,FALSE),""))</f>
        <v/>
      </c>
      <c r="D636" s="8" t="n"/>
      <c r="E636" s="6" t="n"/>
      <c r="F636" s="8" t="n"/>
    </row>
    <row r="637">
      <c r="A637" s="7" t="n"/>
      <c r="B637" s="8" t="n"/>
      <c r="C637" s="9">
        <f>IF(B637="","",IFERROR(VLOOKUP(B637,'Daftar Outlet'!$A$4:$B$22,2,FALSE),""))</f>
        <v/>
      </c>
      <c r="D637" s="8" t="n"/>
      <c r="E637" s="6" t="n"/>
      <c r="F637" s="8" t="n"/>
    </row>
    <row r="638">
      <c r="A638" s="7" t="n"/>
      <c r="B638" s="8" t="n"/>
      <c r="C638" s="9">
        <f>IF(B638="","",IFERROR(VLOOKUP(B638,'Daftar Outlet'!$A$4:$B$22,2,FALSE),""))</f>
        <v/>
      </c>
      <c r="D638" s="8" t="n"/>
      <c r="E638" s="6" t="n"/>
      <c r="F638" s="8" t="n"/>
    </row>
    <row r="639">
      <c r="A639" s="7" t="n"/>
      <c r="B639" s="8" t="n"/>
      <c r="C639" s="9">
        <f>IF(B639="","",IFERROR(VLOOKUP(B639,'Daftar Outlet'!$A$4:$B$22,2,FALSE),""))</f>
        <v/>
      </c>
      <c r="D639" s="8" t="n"/>
      <c r="E639" s="6" t="n"/>
      <c r="F639" s="8" t="n"/>
    </row>
    <row r="640">
      <c r="A640" s="7" t="n"/>
      <c r="B640" s="8" t="n"/>
      <c r="C640" s="9">
        <f>IF(B640="","",IFERROR(VLOOKUP(B640,'Daftar Outlet'!$A$4:$B$22,2,FALSE),""))</f>
        <v/>
      </c>
      <c r="D640" s="8" t="n"/>
      <c r="E640" s="6" t="n"/>
      <c r="F640" s="8" t="n"/>
    </row>
    <row r="641">
      <c r="A641" s="7" t="n"/>
      <c r="B641" s="8" t="n"/>
      <c r="C641" s="9">
        <f>IF(B641="","",IFERROR(VLOOKUP(B641,'Daftar Outlet'!$A$4:$B$22,2,FALSE),""))</f>
        <v/>
      </c>
      <c r="D641" s="8" t="n"/>
      <c r="E641" s="6" t="n"/>
      <c r="F641" s="8" t="n"/>
    </row>
    <row r="642">
      <c r="A642" s="7" t="n"/>
      <c r="B642" s="8" t="n"/>
      <c r="C642" s="9">
        <f>IF(B642="","",IFERROR(VLOOKUP(B642,'Daftar Outlet'!$A$4:$B$22,2,FALSE),""))</f>
        <v/>
      </c>
      <c r="D642" s="8" t="n"/>
      <c r="E642" s="6" t="n"/>
      <c r="F642" s="8" t="n"/>
    </row>
    <row r="643">
      <c r="A643" s="7" t="n"/>
      <c r="B643" s="8" t="n"/>
      <c r="C643" s="9">
        <f>IF(B643="","",IFERROR(VLOOKUP(B643,'Daftar Outlet'!$A$4:$B$22,2,FALSE),""))</f>
        <v/>
      </c>
      <c r="D643" s="8" t="n"/>
      <c r="E643" s="6" t="n"/>
      <c r="F643" s="8" t="n"/>
    </row>
    <row r="644">
      <c r="A644" s="7" t="n"/>
      <c r="B644" s="8" t="n"/>
      <c r="C644" s="9">
        <f>IF(B644="","",IFERROR(VLOOKUP(B644,'Daftar Outlet'!$A$4:$B$22,2,FALSE),""))</f>
        <v/>
      </c>
      <c r="D644" s="8" t="n"/>
      <c r="E644" s="6" t="n"/>
      <c r="F644" s="8" t="n"/>
    </row>
    <row r="645">
      <c r="A645" s="7" t="n"/>
      <c r="B645" s="8" t="n"/>
      <c r="C645" s="9">
        <f>IF(B645="","",IFERROR(VLOOKUP(B645,'Daftar Outlet'!$A$4:$B$22,2,FALSE),""))</f>
        <v/>
      </c>
      <c r="D645" s="8" t="n"/>
      <c r="E645" s="6" t="n"/>
      <c r="F645" s="8" t="n"/>
    </row>
    <row r="646">
      <c r="A646" s="7" t="n"/>
      <c r="B646" s="8" t="n"/>
      <c r="C646" s="9">
        <f>IF(B646="","",IFERROR(VLOOKUP(B646,'Daftar Outlet'!$A$4:$B$22,2,FALSE),""))</f>
        <v/>
      </c>
      <c r="D646" s="8" t="n"/>
      <c r="E646" s="6" t="n"/>
      <c r="F646" s="8" t="n"/>
    </row>
    <row r="647">
      <c r="A647" s="7" t="n"/>
      <c r="B647" s="8" t="n"/>
      <c r="C647" s="9">
        <f>IF(B647="","",IFERROR(VLOOKUP(B647,'Daftar Outlet'!$A$4:$B$22,2,FALSE),""))</f>
        <v/>
      </c>
      <c r="D647" s="8" t="n"/>
      <c r="E647" s="6" t="n"/>
      <c r="F647" s="8" t="n"/>
    </row>
    <row r="648">
      <c r="A648" s="7" t="n"/>
      <c r="B648" s="8" t="n"/>
      <c r="C648" s="9">
        <f>IF(B648="","",IFERROR(VLOOKUP(B648,'Daftar Outlet'!$A$4:$B$22,2,FALSE),""))</f>
        <v/>
      </c>
      <c r="D648" s="8" t="n"/>
      <c r="E648" s="6" t="n"/>
      <c r="F648" s="8" t="n"/>
    </row>
    <row r="649">
      <c r="A649" s="7" t="n"/>
      <c r="B649" s="8" t="n"/>
      <c r="C649" s="9">
        <f>IF(B649="","",IFERROR(VLOOKUP(B649,'Daftar Outlet'!$A$4:$B$22,2,FALSE),""))</f>
        <v/>
      </c>
      <c r="D649" s="8" t="n"/>
      <c r="E649" s="6" t="n"/>
      <c r="F649" s="8" t="n"/>
    </row>
    <row r="650">
      <c r="A650" s="7" t="n"/>
      <c r="B650" s="8" t="n"/>
      <c r="C650" s="9">
        <f>IF(B650="","",IFERROR(VLOOKUP(B650,'Daftar Outlet'!$A$4:$B$22,2,FALSE),""))</f>
        <v/>
      </c>
      <c r="D650" s="8" t="n"/>
      <c r="E650" s="6" t="n"/>
      <c r="F650" s="8" t="n"/>
    </row>
    <row r="651">
      <c r="A651" s="7" t="n"/>
      <c r="B651" s="8" t="n"/>
      <c r="C651" s="9">
        <f>IF(B651="","",IFERROR(VLOOKUP(B651,'Daftar Outlet'!$A$4:$B$22,2,FALSE),""))</f>
        <v/>
      </c>
      <c r="D651" s="8" t="n"/>
      <c r="E651" s="6" t="n"/>
      <c r="F651" s="8" t="n"/>
    </row>
    <row r="652">
      <c r="A652" s="7" t="n"/>
      <c r="B652" s="8" t="n"/>
      <c r="C652" s="9">
        <f>IF(B652="","",IFERROR(VLOOKUP(B652,'Daftar Outlet'!$A$4:$B$22,2,FALSE),""))</f>
        <v/>
      </c>
      <c r="D652" s="8" t="n"/>
      <c r="E652" s="6" t="n"/>
      <c r="F652" s="8" t="n"/>
    </row>
    <row r="653">
      <c r="A653" s="7" t="n"/>
      <c r="B653" s="8" t="n"/>
      <c r="C653" s="9">
        <f>IF(B653="","",IFERROR(VLOOKUP(B653,'Daftar Outlet'!$A$4:$B$22,2,FALSE),""))</f>
        <v/>
      </c>
      <c r="D653" s="8" t="n"/>
      <c r="E653" s="6" t="n"/>
      <c r="F653" s="8" t="n"/>
    </row>
    <row r="654">
      <c r="A654" s="7" t="n"/>
      <c r="B654" s="8" t="n"/>
      <c r="C654" s="9">
        <f>IF(B654="","",IFERROR(VLOOKUP(B654,'Daftar Outlet'!$A$4:$B$22,2,FALSE),""))</f>
        <v/>
      </c>
      <c r="D654" s="8" t="n"/>
      <c r="E654" s="6" t="n"/>
      <c r="F654" s="8" t="n"/>
    </row>
    <row r="655">
      <c r="A655" s="7" t="n"/>
      <c r="B655" s="8" t="n"/>
      <c r="C655" s="9">
        <f>IF(B655="","",IFERROR(VLOOKUP(B655,'Daftar Outlet'!$A$4:$B$22,2,FALSE),""))</f>
        <v/>
      </c>
      <c r="D655" s="8" t="n"/>
      <c r="E655" s="6" t="n"/>
      <c r="F655" s="8" t="n"/>
    </row>
    <row r="656">
      <c r="A656" s="7" t="n"/>
      <c r="B656" s="8" t="n"/>
      <c r="C656" s="9">
        <f>IF(B656="","",IFERROR(VLOOKUP(B656,'Daftar Outlet'!$A$4:$B$22,2,FALSE),""))</f>
        <v/>
      </c>
      <c r="D656" s="8" t="n"/>
      <c r="E656" s="6" t="n"/>
      <c r="F656" s="8" t="n"/>
    </row>
    <row r="657">
      <c r="A657" s="7" t="n"/>
      <c r="B657" s="8" t="n"/>
      <c r="C657" s="9">
        <f>IF(B657="","",IFERROR(VLOOKUP(B657,'Daftar Outlet'!$A$4:$B$22,2,FALSE),""))</f>
        <v/>
      </c>
      <c r="D657" s="8" t="n"/>
      <c r="E657" s="6" t="n"/>
      <c r="F657" s="8" t="n"/>
    </row>
    <row r="658">
      <c r="A658" s="7" t="n"/>
      <c r="B658" s="8" t="n"/>
      <c r="C658" s="9">
        <f>IF(B658="","",IFERROR(VLOOKUP(B658,'Daftar Outlet'!$A$4:$B$22,2,FALSE),""))</f>
        <v/>
      </c>
      <c r="D658" s="8" t="n"/>
      <c r="E658" s="6" t="n"/>
      <c r="F658" s="8" t="n"/>
    </row>
    <row r="659">
      <c r="A659" s="7" t="n"/>
      <c r="B659" s="8" t="n"/>
      <c r="C659" s="9">
        <f>IF(B659="","",IFERROR(VLOOKUP(B659,'Daftar Outlet'!$A$4:$B$22,2,FALSE),""))</f>
        <v/>
      </c>
      <c r="D659" s="8" t="n"/>
      <c r="E659" s="6" t="n"/>
      <c r="F659" s="8" t="n"/>
    </row>
    <row r="660">
      <c r="A660" s="7" t="n"/>
      <c r="B660" s="8" t="n"/>
      <c r="C660" s="9">
        <f>IF(B660="","",IFERROR(VLOOKUP(B660,'Daftar Outlet'!$A$4:$B$22,2,FALSE),""))</f>
        <v/>
      </c>
      <c r="D660" s="8" t="n"/>
      <c r="E660" s="6" t="n"/>
      <c r="F660" s="8" t="n"/>
    </row>
    <row r="661">
      <c r="A661" s="7" t="n"/>
      <c r="B661" s="8" t="n"/>
      <c r="C661" s="9">
        <f>IF(B661="","",IFERROR(VLOOKUP(B661,'Daftar Outlet'!$A$4:$B$22,2,FALSE),""))</f>
        <v/>
      </c>
      <c r="D661" s="8" t="n"/>
      <c r="E661" s="6" t="n"/>
      <c r="F661" s="8" t="n"/>
    </row>
    <row r="662">
      <c r="A662" s="7" t="n"/>
      <c r="B662" s="8" t="n"/>
      <c r="C662" s="9">
        <f>IF(B662="","",IFERROR(VLOOKUP(B662,'Daftar Outlet'!$A$4:$B$22,2,FALSE),""))</f>
        <v/>
      </c>
      <c r="D662" s="8" t="n"/>
      <c r="E662" s="6" t="n"/>
      <c r="F662" s="8" t="n"/>
    </row>
    <row r="663">
      <c r="A663" s="7" t="n"/>
      <c r="B663" s="8" t="n"/>
      <c r="C663" s="9">
        <f>IF(B663="","",IFERROR(VLOOKUP(B663,'Daftar Outlet'!$A$4:$B$22,2,FALSE),""))</f>
        <v/>
      </c>
      <c r="D663" s="8" t="n"/>
      <c r="E663" s="6" t="n"/>
      <c r="F663" s="8" t="n"/>
    </row>
    <row r="664">
      <c r="A664" s="7" t="n"/>
      <c r="B664" s="8" t="n"/>
      <c r="C664" s="9">
        <f>IF(B664="","",IFERROR(VLOOKUP(B664,'Daftar Outlet'!$A$4:$B$22,2,FALSE),""))</f>
        <v/>
      </c>
      <c r="D664" s="8" t="n"/>
      <c r="E664" s="6" t="n"/>
      <c r="F664" s="8" t="n"/>
    </row>
    <row r="665">
      <c r="A665" s="7" t="n"/>
      <c r="B665" s="8" t="n"/>
      <c r="C665" s="9">
        <f>IF(B665="","",IFERROR(VLOOKUP(B665,'Daftar Outlet'!$A$4:$B$22,2,FALSE),""))</f>
        <v/>
      </c>
      <c r="D665" s="8" t="n"/>
      <c r="E665" s="6" t="n"/>
      <c r="F665" s="8" t="n"/>
    </row>
    <row r="666">
      <c r="A666" s="7" t="n"/>
      <c r="B666" s="8" t="n"/>
      <c r="C666" s="9">
        <f>IF(B666="","",IFERROR(VLOOKUP(B666,'Daftar Outlet'!$A$4:$B$22,2,FALSE),""))</f>
        <v/>
      </c>
      <c r="D666" s="8" t="n"/>
      <c r="E666" s="6" t="n"/>
      <c r="F666" s="8" t="n"/>
    </row>
    <row r="667">
      <c r="A667" s="7" t="n"/>
      <c r="B667" s="8" t="n"/>
      <c r="C667" s="9">
        <f>IF(B667="","",IFERROR(VLOOKUP(B667,'Daftar Outlet'!$A$4:$B$22,2,FALSE),""))</f>
        <v/>
      </c>
      <c r="D667" s="8" t="n"/>
      <c r="E667" s="6" t="n"/>
      <c r="F667" s="8" t="n"/>
    </row>
    <row r="668">
      <c r="A668" s="7" t="n"/>
      <c r="B668" s="8" t="n"/>
      <c r="C668" s="9">
        <f>IF(B668="","",IFERROR(VLOOKUP(B668,'Daftar Outlet'!$A$4:$B$22,2,FALSE),""))</f>
        <v/>
      </c>
      <c r="D668" s="8" t="n"/>
      <c r="E668" s="6" t="n"/>
      <c r="F668" s="8" t="n"/>
    </row>
    <row r="669">
      <c r="A669" s="7" t="n"/>
      <c r="B669" s="8" t="n"/>
      <c r="C669" s="9">
        <f>IF(B669="","",IFERROR(VLOOKUP(B669,'Daftar Outlet'!$A$4:$B$22,2,FALSE),""))</f>
        <v/>
      </c>
      <c r="D669" s="8" t="n"/>
      <c r="E669" s="6" t="n"/>
      <c r="F669" s="8" t="n"/>
    </row>
    <row r="670">
      <c r="A670" s="7" t="n"/>
      <c r="B670" s="8" t="n"/>
      <c r="C670" s="9">
        <f>IF(B670="","",IFERROR(VLOOKUP(B670,'Daftar Outlet'!$A$4:$B$22,2,FALSE),""))</f>
        <v/>
      </c>
      <c r="D670" s="8" t="n"/>
      <c r="E670" s="6" t="n"/>
      <c r="F670" s="8" t="n"/>
    </row>
    <row r="671">
      <c r="A671" s="7" t="n"/>
      <c r="B671" s="8" t="n"/>
      <c r="C671" s="9">
        <f>IF(B671="","",IFERROR(VLOOKUP(B671,'Daftar Outlet'!$A$4:$B$22,2,FALSE),""))</f>
        <v/>
      </c>
      <c r="D671" s="8" t="n"/>
      <c r="E671" s="6" t="n"/>
      <c r="F671" s="8" t="n"/>
    </row>
    <row r="672">
      <c r="A672" s="7" t="n"/>
      <c r="B672" s="8" t="n"/>
      <c r="C672" s="9">
        <f>IF(B672="","",IFERROR(VLOOKUP(B672,'Daftar Outlet'!$A$4:$B$22,2,FALSE),""))</f>
        <v/>
      </c>
      <c r="D672" s="8" t="n"/>
      <c r="E672" s="6" t="n"/>
      <c r="F672" s="8" t="n"/>
    </row>
    <row r="673">
      <c r="A673" s="7" t="n"/>
      <c r="B673" s="8" t="n"/>
      <c r="C673" s="9">
        <f>IF(B673="","",IFERROR(VLOOKUP(B673,'Daftar Outlet'!$A$4:$B$22,2,FALSE),""))</f>
        <v/>
      </c>
      <c r="D673" s="8" t="n"/>
      <c r="E673" s="6" t="n"/>
      <c r="F673" s="8" t="n"/>
    </row>
    <row r="674">
      <c r="A674" s="7" t="n"/>
      <c r="B674" s="8" t="n"/>
      <c r="C674" s="9">
        <f>IF(B674="","",IFERROR(VLOOKUP(B674,'Daftar Outlet'!$A$4:$B$22,2,FALSE),""))</f>
        <v/>
      </c>
      <c r="D674" s="8" t="n"/>
      <c r="E674" s="6" t="n"/>
      <c r="F674" s="8" t="n"/>
    </row>
    <row r="675">
      <c r="A675" s="7" t="n"/>
      <c r="B675" s="8" t="n"/>
      <c r="C675" s="9">
        <f>IF(B675="","",IFERROR(VLOOKUP(B675,'Daftar Outlet'!$A$4:$B$22,2,FALSE),""))</f>
        <v/>
      </c>
      <c r="D675" s="8" t="n"/>
      <c r="E675" s="6" t="n"/>
      <c r="F675" s="8" t="n"/>
    </row>
    <row r="676">
      <c r="A676" s="7" t="n"/>
      <c r="B676" s="8" t="n"/>
      <c r="C676" s="9">
        <f>IF(B676="","",IFERROR(VLOOKUP(B676,'Daftar Outlet'!$A$4:$B$22,2,FALSE),""))</f>
        <v/>
      </c>
      <c r="D676" s="8" t="n"/>
      <c r="E676" s="6" t="n"/>
      <c r="F676" s="8" t="n"/>
    </row>
    <row r="677">
      <c r="A677" s="7" t="n"/>
      <c r="B677" s="8" t="n"/>
      <c r="C677" s="9">
        <f>IF(B677="","",IFERROR(VLOOKUP(B677,'Daftar Outlet'!$A$4:$B$22,2,FALSE),""))</f>
        <v/>
      </c>
      <c r="D677" s="8" t="n"/>
      <c r="E677" s="6" t="n"/>
      <c r="F677" s="8" t="n"/>
    </row>
    <row r="678">
      <c r="A678" s="7" t="n"/>
      <c r="B678" s="8" t="n"/>
      <c r="C678" s="9">
        <f>IF(B678="","",IFERROR(VLOOKUP(B678,'Daftar Outlet'!$A$4:$B$22,2,FALSE),""))</f>
        <v/>
      </c>
      <c r="D678" s="8" t="n"/>
      <c r="E678" s="6" t="n"/>
      <c r="F678" s="8" t="n"/>
    </row>
    <row r="679">
      <c r="A679" s="7" t="n"/>
      <c r="B679" s="8" t="n"/>
      <c r="C679" s="9">
        <f>IF(B679="","",IFERROR(VLOOKUP(B679,'Daftar Outlet'!$A$4:$B$22,2,FALSE),""))</f>
        <v/>
      </c>
      <c r="D679" s="8" t="n"/>
      <c r="E679" s="6" t="n"/>
      <c r="F679" s="8" t="n"/>
    </row>
    <row r="680">
      <c r="A680" s="7" t="n"/>
      <c r="B680" s="8" t="n"/>
      <c r="C680" s="9">
        <f>IF(B680="","",IFERROR(VLOOKUP(B680,'Daftar Outlet'!$A$4:$B$22,2,FALSE),""))</f>
        <v/>
      </c>
      <c r="D680" s="8" t="n"/>
      <c r="E680" s="6" t="n"/>
      <c r="F680" s="8" t="n"/>
    </row>
    <row r="681">
      <c r="A681" s="7" t="n"/>
      <c r="B681" s="8" t="n"/>
      <c r="C681" s="9">
        <f>IF(B681="","",IFERROR(VLOOKUP(B681,'Daftar Outlet'!$A$4:$B$22,2,FALSE),""))</f>
        <v/>
      </c>
      <c r="D681" s="8" t="n"/>
      <c r="E681" s="6" t="n"/>
      <c r="F681" s="8" t="n"/>
    </row>
    <row r="682">
      <c r="A682" s="7" t="n"/>
      <c r="B682" s="8" t="n"/>
      <c r="C682" s="9">
        <f>IF(B682="","",IFERROR(VLOOKUP(B682,'Daftar Outlet'!$A$4:$B$22,2,FALSE),""))</f>
        <v/>
      </c>
      <c r="D682" s="8" t="n"/>
      <c r="E682" s="6" t="n"/>
      <c r="F682" s="8" t="n"/>
    </row>
    <row r="683">
      <c r="A683" s="7" t="n"/>
      <c r="B683" s="8" t="n"/>
      <c r="C683" s="9">
        <f>IF(B683="","",IFERROR(VLOOKUP(B683,'Daftar Outlet'!$A$4:$B$22,2,FALSE),""))</f>
        <v/>
      </c>
      <c r="D683" s="8" t="n"/>
      <c r="E683" s="6" t="n"/>
      <c r="F683" s="8" t="n"/>
    </row>
    <row r="684">
      <c r="A684" s="7" t="n"/>
      <c r="B684" s="8" t="n"/>
      <c r="C684" s="9">
        <f>IF(B684="","",IFERROR(VLOOKUP(B684,'Daftar Outlet'!$A$4:$B$22,2,FALSE),""))</f>
        <v/>
      </c>
      <c r="D684" s="8" t="n"/>
      <c r="E684" s="6" t="n"/>
      <c r="F684" s="8" t="n"/>
    </row>
    <row r="685">
      <c r="A685" s="7" t="n"/>
      <c r="B685" s="8" t="n"/>
      <c r="C685" s="9">
        <f>IF(B685="","",IFERROR(VLOOKUP(B685,'Daftar Outlet'!$A$4:$B$22,2,FALSE),""))</f>
        <v/>
      </c>
      <c r="D685" s="8" t="n"/>
      <c r="E685" s="6" t="n"/>
      <c r="F685" s="8" t="n"/>
    </row>
    <row r="686">
      <c r="A686" s="7" t="n"/>
      <c r="B686" s="8" t="n"/>
      <c r="C686" s="9">
        <f>IF(B686="","",IFERROR(VLOOKUP(B686,'Daftar Outlet'!$A$4:$B$22,2,FALSE),""))</f>
        <v/>
      </c>
      <c r="D686" s="8" t="n"/>
      <c r="E686" s="6" t="n"/>
      <c r="F686" s="8" t="n"/>
    </row>
    <row r="687">
      <c r="A687" s="7" t="n"/>
      <c r="B687" s="8" t="n"/>
      <c r="C687" s="9">
        <f>IF(B687="","",IFERROR(VLOOKUP(B687,'Daftar Outlet'!$A$4:$B$22,2,FALSE),""))</f>
        <v/>
      </c>
      <c r="D687" s="8" t="n"/>
      <c r="E687" s="6" t="n"/>
      <c r="F687" s="8" t="n"/>
    </row>
    <row r="688">
      <c r="A688" s="7" t="n"/>
      <c r="B688" s="8" t="n"/>
      <c r="C688" s="9">
        <f>IF(B688="","",IFERROR(VLOOKUP(B688,'Daftar Outlet'!$A$4:$B$22,2,FALSE),""))</f>
        <v/>
      </c>
      <c r="D688" s="8" t="n"/>
      <c r="E688" s="6" t="n"/>
      <c r="F688" s="8" t="n"/>
    </row>
    <row r="689">
      <c r="A689" s="7" t="n"/>
      <c r="B689" s="8" t="n"/>
      <c r="C689" s="9">
        <f>IF(B689="","",IFERROR(VLOOKUP(B689,'Daftar Outlet'!$A$4:$B$22,2,FALSE),""))</f>
        <v/>
      </c>
      <c r="D689" s="8" t="n"/>
      <c r="E689" s="6" t="n"/>
      <c r="F689" s="8" t="n"/>
    </row>
    <row r="690">
      <c r="A690" s="7" t="n"/>
      <c r="B690" s="8" t="n"/>
      <c r="C690" s="9">
        <f>IF(B690="","",IFERROR(VLOOKUP(B690,'Daftar Outlet'!$A$4:$B$22,2,FALSE),""))</f>
        <v/>
      </c>
      <c r="D690" s="8" t="n"/>
      <c r="E690" s="6" t="n"/>
      <c r="F690" s="8" t="n"/>
    </row>
    <row r="691">
      <c r="A691" s="7" t="n"/>
      <c r="B691" s="8" t="n"/>
      <c r="C691" s="9">
        <f>IF(B691="","",IFERROR(VLOOKUP(B691,'Daftar Outlet'!$A$4:$B$22,2,FALSE),""))</f>
        <v/>
      </c>
      <c r="D691" s="8" t="n"/>
      <c r="E691" s="6" t="n"/>
      <c r="F691" s="8" t="n"/>
    </row>
    <row r="692">
      <c r="A692" s="7" t="n"/>
      <c r="B692" s="8" t="n"/>
      <c r="C692" s="9">
        <f>IF(B692="","",IFERROR(VLOOKUP(B692,'Daftar Outlet'!$A$4:$B$22,2,FALSE),""))</f>
        <v/>
      </c>
      <c r="D692" s="8" t="n"/>
      <c r="E692" s="6" t="n"/>
      <c r="F692" s="8" t="n"/>
    </row>
    <row r="693">
      <c r="A693" s="7" t="n"/>
      <c r="B693" s="8" t="n"/>
      <c r="C693" s="9">
        <f>IF(B693="","",IFERROR(VLOOKUP(B693,'Daftar Outlet'!$A$4:$B$22,2,FALSE),""))</f>
        <v/>
      </c>
      <c r="D693" s="8" t="n"/>
      <c r="E693" s="6" t="n"/>
      <c r="F693" s="8" t="n"/>
    </row>
    <row r="694">
      <c r="A694" s="7" t="n"/>
      <c r="B694" s="8" t="n"/>
      <c r="C694" s="9">
        <f>IF(B694="","",IFERROR(VLOOKUP(B694,'Daftar Outlet'!$A$4:$B$22,2,FALSE),""))</f>
        <v/>
      </c>
      <c r="D694" s="8" t="n"/>
      <c r="E694" s="6" t="n"/>
      <c r="F694" s="8" t="n"/>
    </row>
    <row r="695">
      <c r="A695" s="7" t="n"/>
      <c r="B695" s="8" t="n"/>
      <c r="C695" s="9">
        <f>IF(B695="","",IFERROR(VLOOKUP(B695,'Daftar Outlet'!$A$4:$B$22,2,FALSE),""))</f>
        <v/>
      </c>
      <c r="D695" s="8" t="n"/>
      <c r="E695" s="6" t="n"/>
      <c r="F695" s="8" t="n"/>
    </row>
    <row r="696">
      <c r="A696" s="7" t="n"/>
      <c r="B696" s="8" t="n"/>
      <c r="C696" s="9">
        <f>IF(B696="","",IFERROR(VLOOKUP(B696,'Daftar Outlet'!$A$4:$B$22,2,FALSE),""))</f>
        <v/>
      </c>
      <c r="D696" s="8" t="n"/>
      <c r="E696" s="6" t="n"/>
      <c r="F696" s="8" t="n"/>
    </row>
    <row r="697">
      <c r="A697" s="7" t="n"/>
      <c r="B697" s="8" t="n"/>
      <c r="C697" s="9">
        <f>IF(B697="","",IFERROR(VLOOKUP(B697,'Daftar Outlet'!$A$4:$B$22,2,FALSE),""))</f>
        <v/>
      </c>
      <c r="D697" s="8" t="n"/>
      <c r="E697" s="6" t="n"/>
      <c r="F697" s="8" t="n"/>
    </row>
    <row r="698">
      <c r="A698" s="7" t="n"/>
      <c r="B698" s="8" t="n"/>
      <c r="C698" s="9">
        <f>IF(B698="","",IFERROR(VLOOKUP(B698,'Daftar Outlet'!$A$4:$B$22,2,FALSE),""))</f>
        <v/>
      </c>
      <c r="D698" s="8" t="n"/>
      <c r="E698" s="6" t="n"/>
      <c r="F698" s="8" t="n"/>
    </row>
    <row r="699">
      <c r="A699" s="7" t="n"/>
      <c r="B699" s="8" t="n"/>
      <c r="C699" s="9">
        <f>IF(B699="","",IFERROR(VLOOKUP(B699,'Daftar Outlet'!$A$4:$B$22,2,FALSE),""))</f>
        <v/>
      </c>
      <c r="D699" s="8" t="n"/>
      <c r="E699" s="6" t="n"/>
      <c r="F699" s="8" t="n"/>
    </row>
    <row r="700">
      <c r="A700" s="7" t="n"/>
      <c r="B700" s="8" t="n"/>
      <c r="C700" s="9">
        <f>IF(B700="","",IFERROR(VLOOKUP(B700,'Daftar Outlet'!$A$4:$B$22,2,FALSE),""))</f>
        <v/>
      </c>
      <c r="D700" s="8" t="n"/>
      <c r="E700" s="6" t="n"/>
      <c r="F700" s="8" t="n"/>
    </row>
    <row r="701">
      <c r="A701" s="7" t="n"/>
      <c r="B701" s="8" t="n"/>
      <c r="C701" s="9">
        <f>IF(B701="","",IFERROR(VLOOKUP(B701,'Daftar Outlet'!$A$4:$B$22,2,FALSE),""))</f>
        <v/>
      </c>
      <c r="D701" s="8" t="n"/>
      <c r="E701" s="6" t="n"/>
      <c r="F701" s="8" t="n"/>
    </row>
    <row r="702">
      <c r="A702" s="7" t="n"/>
      <c r="B702" s="8" t="n"/>
      <c r="C702" s="9">
        <f>IF(B702="","",IFERROR(VLOOKUP(B702,'Daftar Outlet'!$A$4:$B$22,2,FALSE),""))</f>
        <v/>
      </c>
      <c r="D702" s="8" t="n"/>
      <c r="E702" s="6" t="n"/>
      <c r="F702" s="8" t="n"/>
    </row>
    <row r="703">
      <c r="A703" s="7" t="n"/>
      <c r="B703" s="8" t="n"/>
      <c r="C703" s="9">
        <f>IF(B703="","",IFERROR(VLOOKUP(B703,'Daftar Outlet'!$A$4:$B$22,2,FALSE),""))</f>
        <v/>
      </c>
      <c r="D703" s="8" t="n"/>
      <c r="E703" s="6" t="n"/>
      <c r="F703" s="8" t="n"/>
    </row>
    <row r="704">
      <c r="A704" s="7" t="n"/>
      <c r="B704" s="8" t="n"/>
      <c r="C704" s="9">
        <f>IF(B704="","",IFERROR(VLOOKUP(B704,'Daftar Outlet'!$A$4:$B$22,2,FALSE),""))</f>
        <v/>
      </c>
      <c r="D704" s="8" t="n"/>
      <c r="E704" s="6" t="n"/>
      <c r="F704" s="8" t="n"/>
    </row>
    <row r="705">
      <c r="A705" s="7" t="n"/>
      <c r="B705" s="8" t="n"/>
      <c r="C705" s="9">
        <f>IF(B705="","",IFERROR(VLOOKUP(B705,'Daftar Outlet'!$A$4:$B$22,2,FALSE),""))</f>
        <v/>
      </c>
      <c r="D705" s="8" t="n"/>
      <c r="E705" s="6" t="n"/>
      <c r="F705" s="8" t="n"/>
    </row>
    <row r="706">
      <c r="A706" s="7" t="n"/>
      <c r="B706" s="8" t="n"/>
      <c r="C706" s="9">
        <f>IF(B706="","",IFERROR(VLOOKUP(B706,'Daftar Outlet'!$A$4:$B$22,2,FALSE),""))</f>
        <v/>
      </c>
      <c r="D706" s="8" t="n"/>
      <c r="E706" s="6" t="n"/>
      <c r="F706" s="8" t="n"/>
    </row>
    <row r="707">
      <c r="A707" s="7" t="n"/>
      <c r="B707" s="8" t="n"/>
      <c r="C707" s="9">
        <f>IF(B707="","",IFERROR(VLOOKUP(B707,'Daftar Outlet'!$A$4:$B$22,2,FALSE),""))</f>
        <v/>
      </c>
      <c r="D707" s="8" t="n"/>
      <c r="E707" s="6" t="n"/>
      <c r="F707" s="8" t="n"/>
    </row>
    <row r="708">
      <c r="A708" s="7" t="n"/>
      <c r="B708" s="8" t="n"/>
      <c r="C708" s="9">
        <f>IF(B708="","",IFERROR(VLOOKUP(B708,'Daftar Outlet'!$A$4:$B$22,2,FALSE),""))</f>
        <v/>
      </c>
      <c r="D708" s="8" t="n"/>
      <c r="E708" s="6" t="n"/>
      <c r="F708" s="8" t="n"/>
    </row>
    <row r="709">
      <c r="A709" s="7" t="n"/>
      <c r="B709" s="8" t="n"/>
      <c r="C709" s="9">
        <f>IF(B709="","",IFERROR(VLOOKUP(B709,'Daftar Outlet'!$A$4:$B$22,2,FALSE),""))</f>
        <v/>
      </c>
      <c r="D709" s="8" t="n"/>
      <c r="E709" s="6" t="n"/>
      <c r="F709" s="8" t="n"/>
    </row>
    <row r="710">
      <c r="A710" s="7" t="n"/>
      <c r="B710" s="8" t="n"/>
      <c r="C710" s="9">
        <f>IF(B710="","",IFERROR(VLOOKUP(B710,'Daftar Outlet'!$A$4:$B$22,2,FALSE),""))</f>
        <v/>
      </c>
      <c r="D710" s="8" t="n"/>
      <c r="E710" s="6" t="n"/>
      <c r="F710" s="8" t="n"/>
    </row>
    <row r="711">
      <c r="A711" s="7" t="n"/>
      <c r="B711" s="8" t="n"/>
      <c r="C711" s="9">
        <f>IF(B711="","",IFERROR(VLOOKUP(B711,'Daftar Outlet'!$A$4:$B$22,2,FALSE),""))</f>
        <v/>
      </c>
      <c r="D711" s="8" t="n"/>
      <c r="E711" s="6" t="n"/>
      <c r="F711" s="8" t="n"/>
    </row>
    <row r="712">
      <c r="A712" s="7" t="n"/>
      <c r="B712" s="8" t="n"/>
      <c r="C712" s="9">
        <f>IF(B712="","",IFERROR(VLOOKUP(B712,'Daftar Outlet'!$A$4:$B$22,2,FALSE),""))</f>
        <v/>
      </c>
      <c r="D712" s="8" t="n"/>
      <c r="E712" s="6" t="n"/>
      <c r="F712" s="8" t="n"/>
    </row>
    <row r="713">
      <c r="A713" s="7" t="n"/>
      <c r="B713" s="8" t="n"/>
      <c r="C713" s="9">
        <f>IF(B713="","",IFERROR(VLOOKUP(B713,'Daftar Outlet'!$A$4:$B$22,2,FALSE),""))</f>
        <v/>
      </c>
      <c r="D713" s="8" t="n"/>
      <c r="E713" s="6" t="n"/>
      <c r="F713" s="8" t="n"/>
    </row>
    <row r="714">
      <c r="A714" s="7" t="n"/>
      <c r="B714" s="8" t="n"/>
      <c r="C714" s="9">
        <f>IF(B714="","",IFERROR(VLOOKUP(B714,'Daftar Outlet'!$A$4:$B$22,2,FALSE),""))</f>
        <v/>
      </c>
      <c r="D714" s="8" t="n"/>
      <c r="E714" s="6" t="n"/>
      <c r="F714" s="8" t="n"/>
    </row>
    <row r="715">
      <c r="A715" s="7" t="n"/>
      <c r="B715" s="8" t="n"/>
      <c r="C715" s="9">
        <f>IF(B715="","",IFERROR(VLOOKUP(B715,'Daftar Outlet'!$A$4:$B$22,2,FALSE),""))</f>
        <v/>
      </c>
      <c r="D715" s="8" t="n"/>
      <c r="E715" s="6" t="n"/>
      <c r="F715" s="8" t="n"/>
    </row>
    <row r="716">
      <c r="A716" s="7" t="n"/>
      <c r="B716" s="8" t="n"/>
      <c r="C716" s="9">
        <f>IF(B716="","",IFERROR(VLOOKUP(B716,'Daftar Outlet'!$A$4:$B$22,2,FALSE),""))</f>
        <v/>
      </c>
      <c r="D716" s="8" t="n"/>
      <c r="E716" s="6" t="n"/>
      <c r="F716" s="8" t="n"/>
    </row>
    <row r="717">
      <c r="A717" s="7" t="n"/>
      <c r="B717" s="8" t="n"/>
      <c r="C717" s="9">
        <f>IF(B717="","",IFERROR(VLOOKUP(B717,'Daftar Outlet'!$A$4:$B$22,2,FALSE),""))</f>
        <v/>
      </c>
      <c r="D717" s="8" t="n"/>
      <c r="E717" s="6" t="n"/>
      <c r="F717" s="8" t="n"/>
    </row>
    <row r="718">
      <c r="A718" s="7" t="n"/>
      <c r="B718" s="8" t="n"/>
      <c r="C718" s="9">
        <f>IF(B718="","",IFERROR(VLOOKUP(B718,'Daftar Outlet'!$A$4:$B$22,2,FALSE),""))</f>
        <v/>
      </c>
      <c r="D718" s="8" t="n"/>
      <c r="E718" s="6" t="n"/>
      <c r="F718" s="8" t="n"/>
    </row>
    <row r="719">
      <c r="A719" s="7" t="n"/>
      <c r="B719" s="8" t="n"/>
      <c r="C719" s="9">
        <f>IF(B719="","",IFERROR(VLOOKUP(B719,'Daftar Outlet'!$A$4:$B$22,2,FALSE),""))</f>
        <v/>
      </c>
      <c r="D719" s="8" t="n"/>
      <c r="E719" s="6" t="n"/>
      <c r="F719" s="8" t="n"/>
    </row>
    <row r="720">
      <c r="A720" s="7" t="n"/>
      <c r="B720" s="8" t="n"/>
      <c r="C720" s="9">
        <f>IF(B720="","",IFERROR(VLOOKUP(B720,'Daftar Outlet'!$A$4:$B$22,2,FALSE),""))</f>
        <v/>
      </c>
      <c r="D720" s="8" t="n"/>
      <c r="E720" s="6" t="n"/>
      <c r="F720" s="8" t="n"/>
    </row>
    <row r="721">
      <c r="A721" s="7" t="n"/>
      <c r="B721" s="8" t="n"/>
      <c r="C721" s="9">
        <f>IF(B721="","",IFERROR(VLOOKUP(B721,'Daftar Outlet'!$A$4:$B$22,2,FALSE),""))</f>
        <v/>
      </c>
      <c r="D721" s="8" t="n"/>
      <c r="E721" s="6" t="n"/>
      <c r="F721" s="8" t="n"/>
    </row>
    <row r="722">
      <c r="A722" s="7" t="n"/>
      <c r="B722" s="8" t="n"/>
      <c r="C722" s="9">
        <f>IF(B722="","",IFERROR(VLOOKUP(B722,'Daftar Outlet'!$A$4:$B$22,2,FALSE),""))</f>
        <v/>
      </c>
      <c r="D722" s="8" t="n"/>
      <c r="E722" s="6" t="n"/>
      <c r="F722" s="8" t="n"/>
    </row>
    <row r="723">
      <c r="A723" s="7" t="n"/>
      <c r="B723" s="8" t="n"/>
      <c r="C723" s="9">
        <f>IF(B723="","",IFERROR(VLOOKUP(B723,'Daftar Outlet'!$A$4:$B$22,2,FALSE),""))</f>
        <v/>
      </c>
      <c r="D723" s="8" t="n"/>
      <c r="E723" s="6" t="n"/>
      <c r="F723" s="8" t="n"/>
    </row>
    <row r="724">
      <c r="A724" s="7" t="n"/>
      <c r="B724" s="8" t="n"/>
      <c r="C724" s="9">
        <f>IF(B724="","",IFERROR(VLOOKUP(B724,'Daftar Outlet'!$A$4:$B$22,2,FALSE),""))</f>
        <v/>
      </c>
      <c r="D724" s="8" t="n"/>
      <c r="E724" s="6" t="n"/>
      <c r="F724" s="8" t="n"/>
    </row>
    <row r="725">
      <c r="A725" s="7" t="n"/>
      <c r="B725" s="8" t="n"/>
      <c r="C725" s="9">
        <f>IF(B725="","",IFERROR(VLOOKUP(B725,'Daftar Outlet'!$A$4:$B$22,2,FALSE),""))</f>
        <v/>
      </c>
      <c r="D725" s="8" t="n"/>
      <c r="E725" s="6" t="n"/>
      <c r="F725" s="8" t="n"/>
    </row>
    <row r="726">
      <c r="A726" s="7" t="n"/>
      <c r="B726" s="8" t="n"/>
      <c r="C726" s="9">
        <f>IF(B726="","",IFERROR(VLOOKUP(B726,'Daftar Outlet'!$A$4:$B$22,2,FALSE),""))</f>
        <v/>
      </c>
      <c r="D726" s="8" t="n"/>
      <c r="E726" s="6" t="n"/>
      <c r="F726" s="8" t="n"/>
    </row>
    <row r="727">
      <c r="A727" s="7" t="n"/>
      <c r="B727" s="8" t="n"/>
      <c r="C727" s="9">
        <f>IF(B727="","",IFERROR(VLOOKUP(B727,'Daftar Outlet'!$A$4:$B$22,2,FALSE),""))</f>
        <v/>
      </c>
      <c r="D727" s="8" t="n"/>
      <c r="E727" s="6" t="n"/>
      <c r="F727" s="8" t="n"/>
    </row>
    <row r="728">
      <c r="A728" s="7" t="n"/>
      <c r="B728" s="8" t="n"/>
      <c r="C728" s="9">
        <f>IF(B728="","",IFERROR(VLOOKUP(B728,'Daftar Outlet'!$A$4:$B$22,2,FALSE),""))</f>
        <v/>
      </c>
      <c r="D728" s="8" t="n"/>
      <c r="E728" s="6" t="n"/>
      <c r="F728" s="8" t="n"/>
    </row>
    <row r="729">
      <c r="A729" s="7" t="n"/>
      <c r="B729" s="8" t="n"/>
      <c r="C729" s="9">
        <f>IF(B729="","",IFERROR(VLOOKUP(B729,'Daftar Outlet'!$A$4:$B$22,2,FALSE),""))</f>
        <v/>
      </c>
      <c r="D729" s="8" t="n"/>
      <c r="E729" s="6" t="n"/>
      <c r="F729" s="8" t="n"/>
    </row>
    <row r="730">
      <c r="A730" s="7" t="n"/>
      <c r="B730" s="8" t="n"/>
      <c r="C730" s="9">
        <f>IF(B730="","",IFERROR(VLOOKUP(B730,'Daftar Outlet'!$A$4:$B$22,2,FALSE),""))</f>
        <v/>
      </c>
      <c r="D730" s="8" t="n"/>
      <c r="E730" s="6" t="n"/>
      <c r="F730" s="8" t="n"/>
    </row>
    <row r="731">
      <c r="A731" s="7" t="n"/>
      <c r="B731" s="8" t="n"/>
      <c r="C731" s="9">
        <f>IF(B731="","",IFERROR(VLOOKUP(B731,'Daftar Outlet'!$A$4:$B$22,2,FALSE),""))</f>
        <v/>
      </c>
      <c r="D731" s="8" t="n"/>
      <c r="E731" s="6" t="n"/>
      <c r="F731" s="8" t="n"/>
    </row>
    <row r="732">
      <c r="A732" s="7" t="n"/>
      <c r="B732" s="8" t="n"/>
      <c r="C732" s="9">
        <f>IF(B732="","",IFERROR(VLOOKUP(B732,'Daftar Outlet'!$A$4:$B$22,2,FALSE),""))</f>
        <v/>
      </c>
      <c r="D732" s="8" t="n"/>
      <c r="E732" s="6" t="n"/>
      <c r="F732" s="8" t="n"/>
    </row>
    <row r="733">
      <c r="A733" s="7" t="n"/>
      <c r="B733" s="8" t="n"/>
      <c r="C733" s="9">
        <f>IF(B733="","",IFERROR(VLOOKUP(B733,'Daftar Outlet'!$A$4:$B$22,2,FALSE),""))</f>
        <v/>
      </c>
      <c r="D733" s="8" t="n"/>
      <c r="E733" s="6" t="n"/>
      <c r="F733" s="8" t="n"/>
    </row>
    <row r="734">
      <c r="A734" s="7" t="n"/>
      <c r="B734" s="8" t="n"/>
      <c r="C734" s="9">
        <f>IF(B734="","",IFERROR(VLOOKUP(B734,'Daftar Outlet'!$A$4:$B$22,2,FALSE),""))</f>
        <v/>
      </c>
      <c r="D734" s="8" t="n"/>
      <c r="E734" s="6" t="n"/>
      <c r="F734" s="8" t="n"/>
    </row>
    <row r="735">
      <c r="A735" s="7" t="n"/>
      <c r="B735" s="8" t="n"/>
      <c r="C735" s="9">
        <f>IF(B735="","",IFERROR(VLOOKUP(B735,'Daftar Outlet'!$A$4:$B$22,2,FALSE),""))</f>
        <v/>
      </c>
      <c r="D735" s="8" t="n"/>
      <c r="E735" s="6" t="n"/>
      <c r="F735" s="8" t="n"/>
    </row>
    <row r="736">
      <c r="A736" s="7" t="n"/>
      <c r="B736" s="8" t="n"/>
      <c r="C736" s="9">
        <f>IF(B736="","",IFERROR(VLOOKUP(B736,'Daftar Outlet'!$A$4:$B$22,2,FALSE),""))</f>
        <v/>
      </c>
      <c r="D736" s="8" t="n"/>
      <c r="E736" s="6" t="n"/>
      <c r="F736" s="8" t="n"/>
    </row>
    <row r="737">
      <c r="A737" s="7" t="n"/>
      <c r="B737" s="8" t="n"/>
      <c r="C737" s="9">
        <f>IF(B737="","",IFERROR(VLOOKUP(B737,'Daftar Outlet'!$A$4:$B$22,2,FALSE),""))</f>
        <v/>
      </c>
      <c r="D737" s="8" t="n"/>
      <c r="E737" s="6" t="n"/>
      <c r="F737" s="8" t="n"/>
    </row>
    <row r="738">
      <c r="A738" s="7" t="n"/>
      <c r="B738" s="8" t="n"/>
      <c r="C738" s="9">
        <f>IF(B738="","",IFERROR(VLOOKUP(B738,'Daftar Outlet'!$A$4:$B$22,2,FALSE),""))</f>
        <v/>
      </c>
      <c r="D738" s="8" t="n"/>
      <c r="E738" s="6" t="n"/>
      <c r="F738" s="8" t="n"/>
    </row>
    <row r="739">
      <c r="A739" s="7" t="n"/>
      <c r="B739" s="8" t="n"/>
      <c r="C739" s="9">
        <f>IF(B739="","",IFERROR(VLOOKUP(B739,'Daftar Outlet'!$A$4:$B$22,2,FALSE),""))</f>
        <v/>
      </c>
      <c r="D739" s="8" t="n"/>
      <c r="E739" s="6" t="n"/>
      <c r="F739" s="8" t="n"/>
    </row>
    <row r="740">
      <c r="A740" s="7" t="n"/>
      <c r="B740" s="8" t="n"/>
      <c r="C740" s="9">
        <f>IF(B740="","",IFERROR(VLOOKUP(B740,'Daftar Outlet'!$A$4:$B$22,2,FALSE),""))</f>
        <v/>
      </c>
      <c r="D740" s="8" t="n"/>
      <c r="E740" s="6" t="n"/>
      <c r="F740" s="8" t="n"/>
    </row>
    <row r="741">
      <c r="A741" s="7" t="n"/>
      <c r="B741" s="8" t="n"/>
      <c r="C741" s="9">
        <f>IF(B741="","",IFERROR(VLOOKUP(B741,'Daftar Outlet'!$A$4:$B$22,2,FALSE),""))</f>
        <v/>
      </c>
      <c r="D741" s="8" t="n"/>
      <c r="E741" s="6" t="n"/>
      <c r="F741" s="8" t="n"/>
    </row>
    <row r="742">
      <c r="A742" s="7" t="n"/>
      <c r="B742" s="8" t="n"/>
      <c r="C742" s="9">
        <f>IF(B742="","",IFERROR(VLOOKUP(B742,'Daftar Outlet'!$A$4:$B$22,2,FALSE),""))</f>
        <v/>
      </c>
      <c r="D742" s="8" t="n"/>
      <c r="E742" s="6" t="n"/>
      <c r="F742" s="8" t="n"/>
    </row>
    <row r="743">
      <c r="A743" s="7" t="n"/>
      <c r="B743" s="8" t="n"/>
      <c r="C743" s="9">
        <f>IF(B743="","",IFERROR(VLOOKUP(B743,'Daftar Outlet'!$A$4:$B$22,2,FALSE),""))</f>
        <v/>
      </c>
      <c r="D743" s="8" t="n"/>
      <c r="E743" s="6" t="n"/>
      <c r="F743" s="8" t="n"/>
    </row>
    <row r="744">
      <c r="A744" s="7" t="n"/>
      <c r="B744" s="8" t="n"/>
      <c r="C744" s="9">
        <f>IF(B744="","",IFERROR(VLOOKUP(B744,'Daftar Outlet'!$A$4:$B$22,2,FALSE),""))</f>
        <v/>
      </c>
      <c r="D744" s="8" t="n"/>
      <c r="E744" s="6" t="n"/>
      <c r="F744" s="8" t="n"/>
    </row>
    <row r="745">
      <c r="A745" s="7" t="n"/>
      <c r="B745" s="8" t="n"/>
      <c r="C745" s="9">
        <f>IF(B745="","",IFERROR(VLOOKUP(B745,'Daftar Outlet'!$A$4:$B$22,2,FALSE),""))</f>
        <v/>
      </c>
      <c r="D745" s="8" t="n"/>
      <c r="E745" s="6" t="n"/>
      <c r="F745" s="8" t="n"/>
    </row>
    <row r="746">
      <c r="A746" s="7" t="n"/>
      <c r="B746" s="8" t="n"/>
      <c r="C746" s="9">
        <f>IF(B746="","",IFERROR(VLOOKUP(B746,'Daftar Outlet'!$A$4:$B$22,2,FALSE),""))</f>
        <v/>
      </c>
      <c r="D746" s="8" t="n"/>
      <c r="E746" s="6" t="n"/>
      <c r="F746" s="8" t="n"/>
    </row>
    <row r="747">
      <c r="A747" s="7" t="n"/>
      <c r="B747" s="8" t="n"/>
      <c r="C747" s="9">
        <f>IF(B747="","",IFERROR(VLOOKUP(B747,'Daftar Outlet'!$A$4:$B$22,2,FALSE),""))</f>
        <v/>
      </c>
      <c r="D747" s="8" t="n"/>
      <c r="E747" s="6" t="n"/>
      <c r="F747" s="8" t="n"/>
    </row>
    <row r="748">
      <c r="A748" s="7" t="n"/>
      <c r="B748" s="8" t="n"/>
      <c r="C748" s="9">
        <f>IF(B748="","",IFERROR(VLOOKUP(B748,'Daftar Outlet'!$A$4:$B$22,2,FALSE),""))</f>
        <v/>
      </c>
      <c r="D748" s="8" t="n"/>
      <c r="E748" s="6" t="n"/>
      <c r="F748" s="8" t="n"/>
    </row>
    <row r="749">
      <c r="A749" s="7" t="n"/>
      <c r="B749" s="8" t="n"/>
      <c r="C749" s="9">
        <f>IF(B749="","",IFERROR(VLOOKUP(B749,'Daftar Outlet'!$A$4:$B$22,2,FALSE),""))</f>
        <v/>
      </c>
      <c r="D749" s="8" t="n"/>
      <c r="E749" s="6" t="n"/>
      <c r="F749" s="8" t="n"/>
    </row>
    <row r="750">
      <c r="A750" s="7" t="n"/>
      <c r="B750" s="8" t="n"/>
      <c r="C750" s="9">
        <f>IF(B750="","",IFERROR(VLOOKUP(B750,'Daftar Outlet'!$A$4:$B$22,2,FALSE),""))</f>
        <v/>
      </c>
      <c r="D750" s="8" t="n"/>
      <c r="E750" s="6" t="n"/>
      <c r="F750" s="8" t="n"/>
    </row>
    <row r="751">
      <c r="A751" s="7" t="n"/>
      <c r="B751" s="8" t="n"/>
      <c r="C751" s="9">
        <f>IF(B751="","",IFERROR(VLOOKUP(B751,'Daftar Outlet'!$A$4:$B$22,2,FALSE),""))</f>
        <v/>
      </c>
      <c r="D751" s="8" t="n"/>
      <c r="E751" s="6" t="n"/>
      <c r="F751" s="8" t="n"/>
    </row>
    <row r="752">
      <c r="A752" s="7" t="n"/>
      <c r="B752" s="8" t="n"/>
      <c r="C752" s="9">
        <f>IF(B752="","",IFERROR(VLOOKUP(B752,'Daftar Outlet'!$A$4:$B$22,2,FALSE),""))</f>
        <v/>
      </c>
      <c r="D752" s="8" t="n"/>
      <c r="E752" s="6" t="n"/>
      <c r="F752" s="8" t="n"/>
    </row>
    <row r="753">
      <c r="A753" s="7" t="n"/>
      <c r="B753" s="8" t="n"/>
      <c r="C753" s="9">
        <f>IF(B753="","",IFERROR(VLOOKUP(B753,'Daftar Outlet'!$A$4:$B$22,2,FALSE),""))</f>
        <v/>
      </c>
      <c r="D753" s="8" t="n"/>
      <c r="E753" s="6" t="n"/>
      <c r="F753" s="8" t="n"/>
    </row>
    <row r="754">
      <c r="A754" s="7" t="n"/>
      <c r="B754" s="8" t="n"/>
      <c r="C754" s="9">
        <f>IF(B754="","",IFERROR(VLOOKUP(B754,'Daftar Outlet'!$A$4:$B$22,2,FALSE),""))</f>
        <v/>
      </c>
      <c r="D754" s="8" t="n"/>
      <c r="E754" s="6" t="n"/>
      <c r="F754" s="8" t="n"/>
    </row>
    <row r="755">
      <c r="A755" s="7" t="n"/>
      <c r="B755" s="8" t="n"/>
      <c r="C755" s="9">
        <f>IF(B755="","",IFERROR(VLOOKUP(B755,'Daftar Outlet'!$A$4:$B$22,2,FALSE),""))</f>
        <v/>
      </c>
      <c r="D755" s="8" t="n"/>
      <c r="E755" s="6" t="n"/>
      <c r="F755" s="8" t="n"/>
    </row>
    <row r="756">
      <c r="A756" s="7" t="n"/>
      <c r="B756" s="8" t="n"/>
      <c r="C756" s="9">
        <f>IF(B756="","",IFERROR(VLOOKUP(B756,'Daftar Outlet'!$A$4:$B$22,2,FALSE),""))</f>
        <v/>
      </c>
      <c r="D756" s="8" t="n"/>
      <c r="E756" s="6" t="n"/>
      <c r="F756" s="8" t="n"/>
    </row>
    <row r="757">
      <c r="A757" s="7" t="n"/>
      <c r="B757" s="8" t="n"/>
      <c r="C757" s="9">
        <f>IF(B757="","",IFERROR(VLOOKUP(B757,'Daftar Outlet'!$A$4:$B$22,2,FALSE),""))</f>
        <v/>
      </c>
      <c r="D757" s="8" t="n"/>
      <c r="E757" s="6" t="n"/>
      <c r="F757" s="8" t="n"/>
    </row>
    <row r="758">
      <c r="A758" s="7" t="n"/>
      <c r="B758" s="8" t="n"/>
      <c r="C758" s="9">
        <f>IF(B758="","",IFERROR(VLOOKUP(B758,'Daftar Outlet'!$A$4:$B$22,2,FALSE),""))</f>
        <v/>
      </c>
      <c r="D758" s="8" t="n"/>
      <c r="E758" s="6" t="n"/>
      <c r="F758" s="8" t="n"/>
    </row>
    <row r="759">
      <c r="A759" s="7" t="n"/>
      <c r="B759" s="8" t="n"/>
      <c r="C759" s="9">
        <f>IF(B759="","",IFERROR(VLOOKUP(B759,'Daftar Outlet'!$A$4:$B$22,2,FALSE),""))</f>
        <v/>
      </c>
      <c r="D759" s="8" t="n"/>
      <c r="E759" s="6" t="n"/>
      <c r="F759" s="8" t="n"/>
    </row>
    <row r="760">
      <c r="A760" s="7" t="n"/>
      <c r="B760" s="8" t="n"/>
      <c r="C760" s="9">
        <f>IF(B760="","",IFERROR(VLOOKUP(B760,'Daftar Outlet'!$A$4:$B$22,2,FALSE),""))</f>
        <v/>
      </c>
      <c r="D760" s="8" t="n"/>
      <c r="E760" s="6" t="n"/>
      <c r="F760" s="8" t="n"/>
    </row>
    <row r="761">
      <c r="A761" s="7" t="n"/>
      <c r="B761" s="8" t="n"/>
      <c r="C761" s="9">
        <f>IF(B761="","",IFERROR(VLOOKUP(B761,'Daftar Outlet'!$A$4:$B$22,2,FALSE),""))</f>
        <v/>
      </c>
      <c r="D761" s="8" t="n"/>
      <c r="E761" s="6" t="n"/>
      <c r="F761" s="8" t="n"/>
    </row>
    <row r="762">
      <c r="A762" s="7" t="n"/>
      <c r="B762" s="8" t="n"/>
      <c r="C762" s="9">
        <f>IF(B762="","",IFERROR(VLOOKUP(B762,'Daftar Outlet'!$A$4:$B$22,2,FALSE),""))</f>
        <v/>
      </c>
      <c r="D762" s="8" t="n"/>
      <c r="E762" s="6" t="n"/>
      <c r="F762" s="8" t="n"/>
    </row>
    <row r="763">
      <c r="A763" s="7" t="n"/>
      <c r="B763" s="8" t="n"/>
      <c r="C763" s="9">
        <f>IF(B763="","",IFERROR(VLOOKUP(B763,'Daftar Outlet'!$A$4:$B$22,2,FALSE),""))</f>
        <v/>
      </c>
      <c r="D763" s="8" t="n"/>
      <c r="E763" s="6" t="n"/>
      <c r="F763" s="8" t="n"/>
    </row>
    <row r="764">
      <c r="A764" s="7" t="n"/>
      <c r="B764" s="8" t="n"/>
      <c r="C764" s="9">
        <f>IF(B764="","",IFERROR(VLOOKUP(B764,'Daftar Outlet'!$A$4:$B$22,2,FALSE),""))</f>
        <v/>
      </c>
      <c r="D764" s="8" t="n"/>
      <c r="E764" s="6" t="n"/>
      <c r="F764" s="8" t="n"/>
    </row>
    <row r="765">
      <c r="A765" s="7" t="n"/>
      <c r="B765" s="8" t="n"/>
      <c r="C765" s="9">
        <f>IF(B765="","",IFERROR(VLOOKUP(B765,'Daftar Outlet'!$A$4:$B$22,2,FALSE),""))</f>
        <v/>
      </c>
      <c r="D765" s="8" t="n"/>
      <c r="E765" s="6" t="n"/>
      <c r="F765" s="8" t="n"/>
    </row>
    <row r="766">
      <c r="A766" s="7" t="n"/>
      <c r="B766" s="8" t="n"/>
      <c r="C766" s="9">
        <f>IF(B766="","",IFERROR(VLOOKUP(B766,'Daftar Outlet'!$A$4:$B$22,2,FALSE),""))</f>
        <v/>
      </c>
      <c r="D766" s="8" t="n"/>
      <c r="E766" s="6" t="n"/>
      <c r="F766" s="8" t="n"/>
    </row>
    <row r="767">
      <c r="A767" s="7" t="n"/>
      <c r="B767" s="8" t="n"/>
      <c r="C767" s="9">
        <f>IF(B767="","",IFERROR(VLOOKUP(B767,'Daftar Outlet'!$A$4:$B$22,2,FALSE),""))</f>
        <v/>
      </c>
      <c r="D767" s="8" t="n"/>
      <c r="E767" s="6" t="n"/>
      <c r="F767" s="8" t="n"/>
    </row>
    <row r="768">
      <c r="A768" s="7" t="n"/>
      <c r="B768" s="8" t="n"/>
      <c r="C768" s="9">
        <f>IF(B768="","",IFERROR(VLOOKUP(B768,'Daftar Outlet'!$A$4:$B$22,2,FALSE),""))</f>
        <v/>
      </c>
      <c r="D768" s="8" t="n"/>
      <c r="E768" s="6" t="n"/>
      <c r="F768" s="8" t="n"/>
    </row>
    <row r="769">
      <c r="A769" s="7" t="n"/>
      <c r="B769" s="8" t="n"/>
      <c r="C769" s="9">
        <f>IF(B769="","",IFERROR(VLOOKUP(B769,'Daftar Outlet'!$A$4:$B$22,2,FALSE),""))</f>
        <v/>
      </c>
      <c r="D769" s="8" t="n"/>
      <c r="E769" s="6" t="n"/>
      <c r="F769" s="8" t="n"/>
    </row>
    <row r="770">
      <c r="A770" s="7" t="n"/>
      <c r="B770" s="8" t="n"/>
      <c r="C770" s="9">
        <f>IF(B770="","",IFERROR(VLOOKUP(B770,'Daftar Outlet'!$A$4:$B$22,2,FALSE),""))</f>
        <v/>
      </c>
      <c r="D770" s="8" t="n"/>
      <c r="E770" s="6" t="n"/>
      <c r="F770" s="8" t="n"/>
    </row>
    <row r="771">
      <c r="A771" s="7" t="n"/>
      <c r="B771" s="8" t="n"/>
      <c r="C771" s="9">
        <f>IF(B771="","",IFERROR(VLOOKUP(B771,'Daftar Outlet'!$A$4:$B$22,2,FALSE),""))</f>
        <v/>
      </c>
      <c r="D771" s="8" t="n"/>
      <c r="E771" s="6" t="n"/>
      <c r="F771" s="8" t="n"/>
    </row>
    <row r="772">
      <c r="A772" s="7" t="n"/>
      <c r="B772" s="8" t="n"/>
      <c r="C772" s="9">
        <f>IF(B772="","",IFERROR(VLOOKUP(B772,'Daftar Outlet'!$A$4:$B$22,2,FALSE),""))</f>
        <v/>
      </c>
      <c r="D772" s="8" t="n"/>
      <c r="E772" s="6" t="n"/>
      <c r="F772" s="8" t="n"/>
    </row>
    <row r="773">
      <c r="A773" s="7" t="n"/>
      <c r="B773" s="8" t="n"/>
      <c r="C773" s="9">
        <f>IF(B773="","",IFERROR(VLOOKUP(B773,'Daftar Outlet'!$A$4:$B$22,2,FALSE),""))</f>
        <v/>
      </c>
      <c r="D773" s="8" t="n"/>
      <c r="E773" s="6" t="n"/>
      <c r="F773" s="8" t="n"/>
    </row>
    <row r="774">
      <c r="A774" s="7" t="n"/>
      <c r="B774" s="8" t="n"/>
      <c r="C774" s="9">
        <f>IF(B774="","",IFERROR(VLOOKUP(B774,'Daftar Outlet'!$A$4:$B$22,2,FALSE),""))</f>
        <v/>
      </c>
      <c r="D774" s="8" t="n"/>
      <c r="E774" s="6" t="n"/>
      <c r="F774" s="8" t="n"/>
    </row>
    <row r="775">
      <c r="A775" s="7" t="n"/>
      <c r="B775" s="8" t="n"/>
      <c r="C775" s="9">
        <f>IF(B775="","",IFERROR(VLOOKUP(B775,'Daftar Outlet'!$A$4:$B$22,2,FALSE),""))</f>
        <v/>
      </c>
      <c r="D775" s="8" t="n"/>
      <c r="E775" s="6" t="n"/>
      <c r="F775" s="8" t="n"/>
    </row>
    <row r="776">
      <c r="A776" s="7" t="n"/>
      <c r="B776" s="8" t="n"/>
      <c r="C776" s="9">
        <f>IF(B776="","",IFERROR(VLOOKUP(B776,'Daftar Outlet'!$A$4:$B$22,2,FALSE),""))</f>
        <v/>
      </c>
      <c r="D776" s="8" t="n"/>
      <c r="E776" s="6" t="n"/>
      <c r="F776" s="8" t="n"/>
    </row>
    <row r="777">
      <c r="A777" s="7" t="n"/>
      <c r="B777" s="8" t="n"/>
      <c r="C777" s="9">
        <f>IF(B777="","",IFERROR(VLOOKUP(B777,'Daftar Outlet'!$A$4:$B$22,2,FALSE),""))</f>
        <v/>
      </c>
      <c r="D777" s="8" t="n"/>
      <c r="E777" s="6" t="n"/>
      <c r="F777" s="8" t="n"/>
    </row>
    <row r="778">
      <c r="A778" s="7" t="n"/>
      <c r="B778" s="8" t="n"/>
      <c r="C778" s="9">
        <f>IF(B778="","",IFERROR(VLOOKUP(B778,'Daftar Outlet'!$A$4:$B$22,2,FALSE),""))</f>
        <v/>
      </c>
      <c r="D778" s="8" t="n"/>
      <c r="E778" s="6" t="n"/>
      <c r="F778" s="8" t="n"/>
    </row>
    <row r="779">
      <c r="A779" s="7" t="n"/>
      <c r="B779" s="8" t="n"/>
      <c r="C779" s="9">
        <f>IF(B779="","",IFERROR(VLOOKUP(B779,'Daftar Outlet'!$A$4:$B$22,2,FALSE),""))</f>
        <v/>
      </c>
      <c r="D779" s="8" t="n"/>
      <c r="E779" s="6" t="n"/>
      <c r="F779" s="8" t="n"/>
    </row>
    <row r="780">
      <c r="A780" s="7" t="n"/>
      <c r="B780" s="8" t="n"/>
      <c r="C780" s="9">
        <f>IF(B780="","",IFERROR(VLOOKUP(B780,'Daftar Outlet'!$A$4:$B$22,2,FALSE),""))</f>
        <v/>
      </c>
      <c r="D780" s="8" t="n"/>
      <c r="E780" s="6" t="n"/>
      <c r="F780" s="8" t="n"/>
    </row>
    <row r="781">
      <c r="A781" s="7" t="n"/>
      <c r="B781" s="8" t="n"/>
      <c r="C781" s="9">
        <f>IF(B781="","",IFERROR(VLOOKUP(B781,'Daftar Outlet'!$A$4:$B$22,2,FALSE),""))</f>
        <v/>
      </c>
      <c r="D781" s="8" t="n"/>
      <c r="E781" s="6" t="n"/>
      <c r="F781" s="8" t="n"/>
    </row>
    <row r="782">
      <c r="A782" s="7" t="n"/>
      <c r="B782" s="8" t="n"/>
      <c r="C782" s="9">
        <f>IF(B782="","",IFERROR(VLOOKUP(B782,'Daftar Outlet'!$A$4:$B$22,2,FALSE),""))</f>
        <v/>
      </c>
      <c r="D782" s="8" t="n"/>
      <c r="E782" s="6" t="n"/>
      <c r="F782" s="8" t="n"/>
    </row>
    <row r="783">
      <c r="A783" s="7" t="n"/>
      <c r="B783" s="8" t="n"/>
      <c r="C783" s="9">
        <f>IF(B783="","",IFERROR(VLOOKUP(B783,'Daftar Outlet'!$A$4:$B$22,2,FALSE),""))</f>
        <v/>
      </c>
      <c r="D783" s="8" t="n"/>
      <c r="E783" s="6" t="n"/>
      <c r="F783" s="8" t="n"/>
    </row>
    <row r="784">
      <c r="A784" s="7" t="n"/>
      <c r="B784" s="8" t="n"/>
      <c r="C784" s="9">
        <f>IF(B784="","",IFERROR(VLOOKUP(B784,'Daftar Outlet'!$A$4:$B$22,2,FALSE),""))</f>
        <v/>
      </c>
      <c r="D784" s="8" t="n"/>
      <c r="E784" s="6" t="n"/>
      <c r="F784" s="8" t="n"/>
    </row>
    <row r="785">
      <c r="A785" s="7" t="n"/>
      <c r="B785" s="8" t="n"/>
      <c r="C785" s="9">
        <f>IF(B785="","",IFERROR(VLOOKUP(B785,'Daftar Outlet'!$A$4:$B$22,2,FALSE),""))</f>
        <v/>
      </c>
      <c r="D785" s="8" t="n"/>
      <c r="E785" s="6" t="n"/>
      <c r="F785" s="8" t="n"/>
    </row>
    <row r="786">
      <c r="A786" s="7" t="n"/>
      <c r="B786" s="8" t="n"/>
      <c r="C786" s="9">
        <f>IF(B786="","",IFERROR(VLOOKUP(B786,'Daftar Outlet'!$A$4:$B$22,2,FALSE),""))</f>
        <v/>
      </c>
      <c r="D786" s="8" t="n"/>
      <c r="E786" s="6" t="n"/>
      <c r="F786" s="8" t="n"/>
    </row>
    <row r="787">
      <c r="A787" s="7" t="n"/>
      <c r="B787" s="8" t="n"/>
      <c r="C787" s="9">
        <f>IF(B787="","",IFERROR(VLOOKUP(B787,'Daftar Outlet'!$A$4:$B$22,2,FALSE),""))</f>
        <v/>
      </c>
      <c r="D787" s="8" t="n"/>
      <c r="E787" s="6" t="n"/>
      <c r="F787" s="8" t="n"/>
    </row>
    <row r="788">
      <c r="A788" s="7" t="n"/>
      <c r="B788" s="8" t="n"/>
      <c r="C788" s="9">
        <f>IF(B788="","",IFERROR(VLOOKUP(B788,'Daftar Outlet'!$A$4:$B$22,2,FALSE),""))</f>
        <v/>
      </c>
      <c r="D788" s="8" t="n"/>
      <c r="E788" s="6" t="n"/>
      <c r="F788" s="8" t="n"/>
    </row>
    <row r="789">
      <c r="A789" s="7" t="n"/>
      <c r="B789" s="8" t="n"/>
      <c r="C789" s="9">
        <f>IF(B789="","",IFERROR(VLOOKUP(B789,'Daftar Outlet'!$A$4:$B$22,2,FALSE),""))</f>
        <v/>
      </c>
      <c r="D789" s="8" t="n"/>
      <c r="E789" s="6" t="n"/>
      <c r="F789" s="8" t="n"/>
    </row>
    <row r="790">
      <c r="A790" s="7" t="n"/>
      <c r="B790" s="8" t="n"/>
      <c r="C790" s="9">
        <f>IF(B790="","",IFERROR(VLOOKUP(B790,'Daftar Outlet'!$A$4:$B$22,2,FALSE),""))</f>
        <v/>
      </c>
      <c r="D790" s="8" t="n"/>
      <c r="E790" s="6" t="n"/>
      <c r="F790" s="8" t="n"/>
    </row>
    <row r="791">
      <c r="A791" s="7" t="n"/>
      <c r="B791" s="8" t="n"/>
      <c r="C791" s="9">
        <f>IF(B791="","",IFERROR(VLOOKUP(B791,'Daftar Outlet'!$A$4:$B$22,2,FALSE),""))</f>
        <v/>
      </c>
      <c r="D791" s="8" t="n"/>
      <c r="E791" s="6" t="n"/>
      <c r="F791" s="8" t="n"/>
    </row>
    <row r="792">
      <c r="A792" s="7" t="n"/>
      <c r="B792" s="8" t="n"/>
      <c r="C792" s="9">
        <f>IF(B792="","",IFERROR(VLOOKUP(B792,'Daftar Outlet'!$A$4:$B$22,2,FALSE),""))</f>
        <v/>
      </c>
      <c r="D792" s="8" t="n"/>
      <c r="E792" s="6" t="n"/>
      <c r="F792" s="8" t="n"/>
    </row>
    <row r="793">
      <c r="A793" s="7" t="n"/>
      <c r="B793" s="8" t="n"/>
      <c r="C793" s="9">
        <f>IF(B793="","",IFERROR(VLOOKUP(B793,'Daftar Outlet'!$A$4:$B$22,2,FALSE),""))</f>
        <v/>
      </c>
      <c r="D793" s="8" t="n"/>
      <c r="E793" s="6" t="n"/>
      <c r="F793" s="8" t="n"/>
    </row>
    <row r="794">
      <c r="A794" s="7" t="n"/>
      <c r="B794" s="8" t="n"/>
      <c r="C794" s="9">
        <f>IF(B794="","",IFERROR(VLOOKUP(B794,'Daftar Outlet'!$A$4:$B$22,2,FALSE),""))</f>
        <v/>
      </c>
      <c r="D794" s="8" t="n"/>
      <c r="E794" s="6" t="n"/>
      <c r="F794" s="8" t="n"/>
    </row>
    <row r="795">
      <c r="A795" s="7" t="n"/>
      <c r="B795" s="8" t="n"/>
      <c r="C795" s="9">
        <f>IF(B795="","",IFERROR(VLOOKUP(B795,'Daftar Outlet'!$A$4:$B$22,2,FALSE),""))</f>
        <v/>
      </c>
      <c r="D795" s="8" t="n"/>
      <c r="E795" s="6" t="n"/>
      <c r="F795" s="8" t="n"/>
    </row>
    <row r="796">
      <c r="A796" s="7" t="n"/>
      <c r="B796" s="8" t="n"/>
      <c r="C796" s="9">
        <f>IF(B796="","",IFERROR(VLOOKUP(B796,'Daftar Outlet'!$A$4:$B$22,2,FALSE),""))</f>
        <v/>
      </c>
      <c r="D796" s="8" t="n"/>
      <c r="E796" s="6" t="n"/>
      <c r="F796" s="8" t="n"/>
    </row>
    <row r="797">
      <c r="A797" s="7" t="n"/>
      <c r="B797" s="8" t="n"/>
      <c r="C797" s="9">
        <f>IF(B797="","",IFERROR(VLOOKUP(B797,'Daftar Outlet'!$A$4:$B$22,2,FALSE),""))</f>
        <v/>
      </c>
      <c r="D797" s="8" t="n"/>
      <c r="E797" s="6" t="n"/>
      <c r="F797" s="8" t="n"/>
    </row>
    <row r="798">
      <c r="A798" s="7" t="n"/>
      <c r="B798" s="8" t="n"/>
      <c r="C798" s="9">
        <f>IF(B798="","",IFERROR(VLOOKUP(B798,'Daftar Outlet'!$A$4:$B$22,2,FALSE),""))</f>
        <v/>
      </c>
      <c r="D798" s="8" t="n"/>
      <c r="E798" s="6" t="n"/>
      <c r="F798" s="8" t="n"/>
    </row>
    <row r="799">
      <c r="A799" s="7" t="n"/>
      <c r="B799" s="8" t="n"/>
      <c r="C799" s="9">
        <f>IF(B799="","",IFERROR(VLOOKUP(B799,'Daftar Outlet'!$A$4:$B$22,2,FALSE),""))</f>
        <v/>
      </c>
      <c r="D799" s="8" t="n"/>
      <c r="E799" s="6" t="n"/>
      <c r="F799" s="8" t="n"/>
    </row>
    <row r="800">
      <c r="A800" s="7" t="n"/>
      <c r="B800" s="8" t="n"/>
      <c r="C800" s="9">
        <f>IF(B800="","",IFERROR(VLOOKUP(B800,'Daftar Outlet'!$A$4:$B$22,2,FALSE),""))</f>
        <v/>
      </c>
      <c r="D800" s="8" t="n"/>
      <c r="E800" s="6" t="n"/>
      <c r="F800" s="8" t="n"/>
    </row>
    <row r="801">
      <c r="A801" s="7" t="n"/>
      <c r="B801" s="8" t="n"/>
      <c r="C801" s="9">
        <f>IF(B801="","",IFERROR(VLOOKUP(B801,'Daftar Outlet'!$A$4:$B$22,2,FALSE),""))</f>
        <v/>
      </c>
      <c r="D801" s="8" t="n"/>
      <c r="E801" s="6" t="n"/>
      <c r="F801" s="8" t="n"/>
    </row>
    <row r="802">
      <c r="A802" s="7" t="n"/>
      <c r="B802" s="8" t="n"/>
      <c r="C802" s="9">
        <f>IF(B802="","",IFERROR(VLOOKUP(B802,'Daftar Outlet'!$A$4:$B$22,2,FALSE),""))</f>
        <v/>
      </c>
      <c r="D802" s="8" t="n"/>
      <c r="E802" s="6" t="n"/>
      <c r="F802" s="8" t="n"/>
    </row>
    <row r="803">
      <c r="A803" s="7" t="n"/>
      <c r="B803" s="8" t="n"/>
      <c r="C803" s="9">
        <f>IF(B803="","",IFERROR(VLOOKUP(B803,'Daftar Outlet'!$A$4:$B$22,2,FALSE),""))</f>
        <v/>
      </c>
      <c r="D803" s="8" t="n"/>
      <c r="E803" s="6" t="n"/>
      <c r="F803" s="8" t="n"/>
    </row>
    <row r="804">
      <c r="A804" s="7" t="n"/>
      <c r="B804" s="8" t="n"/>
      <c r="C804" s="9">
        <f>IF(B804="","",IFERROR(VLOOKUP(B804,'Daftar Outlet'!$A$4:$B$22,2,FALSE),""))</f>
        <v/>
      </c>
      <c r="D804" s="8" t="n"/>
      <c r="E804" s="6" t="n"/>
      <c r="F804" s="8" t="n"/>
    </row>
    <row r="805">
      <c r="A805" s="7" t="n"/>
      <c r="B805" s="8" t="n"/>
      <c r="C805" s="9">
        <f>IF(B805="","",IFERROR(VLOOKUP(B805,'Daftar Outlet'!$A$4:$B$22,2,FALSE),""))</f>
        <v/>
      </c>
      <c r="D805" s="8" t="n"/>
      <c r="E805" s="6" t="n"/>
      <c r="F805" s="8" t="n"/>
    </row>
    <row r="806">
      <c r="A806" s="7" t="n"/>
      <c r="B806" s="8" t="n"/>
      <c r="C806" s="9">
        <f>IF(B806="","",IFERROR(VLOOKUP(B806,'Daftar Outlet'!$A$4:$B$22,2,FALSE),""))</f>
        <v/>
      </c>
      <c r="D806" s="8" t="n"/>
      <c r="E806" s="6" t="n"/>
      <c r="F806" s="8" t="n"/>
    </row>
    <row r="807">
      <c r="A807" s="7" t="n"/>
      <c r="B807" s="8" t="n"/>
      <c r="C807" s="9">
        <f>IF(B807="","",IFERROR(VLOOKUP(B807,'Daftar Outlet'!$A$4:$B$22,2,FALSE),""))</f>
        <v/>
      </c>
      <c r="D807" s="8" t="n"/>
      <c r="E807" s="6" t="n"/>
      <c r="F807" s="8" t="n"/>
    </row>
    <row r="808">
      <c r="A808" s="7" t="n"/>
      <c r="B808" s="8" t="n"/>
      <c r="C808" s="9">
        <f>IF(B808="","",IFERROR(VLOOKUP(B808,'Daftar Outlet'!$A$4:$B$22,2,FALSE),""))</f>
        <v/>
      </c>
      <c r="D808" s="8" t="n"/>
      <c r="E808" s="6" t="n"/>
      <c r="F808" s="8" t="n"/>
    </row>
    <row r="809">
      <c r="A809" s="7" t="n"/>
      <c r="B809" s="8" t="n"/>
      <c r="C809" s="9">
        <f>IF(B809="","",IFERROR(VLOOKUP(B809,'Daftar Outlet'!$A$4:$B$22,2,FALSE),""))</f>
        <v/>
      </c>
      <c r="D809" s="8" t="n"/>
      <c r="E809" s="6" t="n"/>
      <c r="F809" s="8" t="n"/>
    </row>
    <row r="810">
      <c r="A810" s="7" t="n"/>
      <c r="B810" s="8" t="n"/>
      <c r="C810" s="9">
        <f>IF(B810="","",IFERROR(VLOOKUP(B810,'Daftar Outlet'!$A$4:$B$22,2,FALSE),""))</f>
        <v/>
      </c>
      <c r="D810" s="8" t="n"/>
      <c r="E810" s="6" t="n"/>
      <c r="F810" s="8" t="n"/>
    </row>
    <row r="811">
      <c r="A811" s="7" t="n"/>
      <c r="B811" s="8" t="n"/>
      <c r="C811" s="9">
        <f>IF(B811="","",IFERROR(VLOOKUP(B811,'Daftar Outlet'!$A$4:$B$22,2,FALSE),""))</f>
        <v/>
      </c>
      <c r="D811" s="8" t="n"/>
      <c r="E811" s="6" t="n"/>
      <c r="F811" s="8" t="n"/>
    </row>
    <row r="812">
      <c r="A812" s="7" t="n"/>
      <c r="B812" s="8" t="n"/>
      <c r="C812" s="9">
        <f>IF(B812="","",IFERROR(VLOOKUP(B812,'Daftar Outlet'!$A$4:$B$22,2,FALSE),""))</f>
        <v/>
      </c>
      <c r="D812" s="8" t="n"/>
      <c r="E812" s="6" t="n"/>
      <c r="F812" s="8" t="n"/>
    </row>
    <row r="813">
      <c r="A813" s="7" t="n"/>
      <c r="B813" s="8" t="n"/>
      <c r="C813" s="9">
        <f>IF(B813="","",IFERROR(VLOOKUP(B813,'Daftar Outlet'!$A$4:$B$22,2,FALSE),""))</f>
        <v/>
      </c>
      <c r="D813" s="8" t="n"/>
      <c r="E813" s="6" t="n"/>
      <c r="F813" s="8" t="n"/>
    </row>
    <row r="814">
      <c r="A814" s="7" t="n"/>
      <c r="B814" s="8" t="n"/>
      <c r="C814" s="9">
        <f>IF(B814="","",IFERROR(VLOOKUP(B814,'Daftar Outlet'!$A$4:$B$22,2,FALSE),""))</f>
        <v/>
      </c>
      <c r="D814" s="8" t="n"/>
      <c r="E814" s="6" t="n"/>
      <c r="F814" s="8" t="n"/>
    </row>
    <row r="815">
      <c r="A815" s="7" t="n"/>
      <c r="B815" s="8" t="n"/>
      <c r="C815" s="9">
        <f>IF(B815="","",IFERROR(VLOOKUP(B815,'Daftar Outlet'!$A$4:$B$22,2,FALSE),""))</f>
        <v/>
      </c>
      <c r="D815" s="8" t="n"/>
      <c r="E815" s="6" t="n"/>
      <c r="F815" s="8" t="n"/>
    </row>
    <row r="816">
      <c r="A816" s="7" t="n"/>
      <c r="B816" s="8" t="n"/>
      <c r="C816" s="9">
        <f>IF(B816="","",IFERROR(VLOOKUP(B816,'Daftar Outlet'!$A$4:$B$22,2,FALSE),""))</f>
        <v/>
      </c>
      <c r="D816" s="8" t="n"/>
      <c r="E816" s="6" t="n"/>
      <c r="F816" s="8" t="n"/>
    </row>
    <row r="817">
      <c r="A817" s="7" t="n"/>
      <c r="B817" s="8" t="n"/>
      <c r="C817" s="9">
        <f>IF(B817="","",IFERROR(VLOOKUP(B817,'Daftar Outlet'!$A$4:$B$22,2,FALSE),""))</f>
        <v/>
      </c>
      <c r="D817" s="8" t="n"/>
      <c r="E817" s="6" t="n"/>
      <c r="F817" s="8" t="n"/>
    </row>
    <row r="818">
      <c r="A818" s="7" t="n"/>
      <c r="B818" s="8" t="n"/>
      <c r="C818" s="9">
        <f>IF(B818="","",IFERROR(VLOOKUP(B818,'Daftar Outlet'!$A$4:$B$22,2,FALSE),""))</f>
        <v/>
      </c>
      <c r="D818" s="8" t="n"/>
      <c r="E818" s="6" t="n"/>
      <c r="F818" s="8" t="n"/>
    </row>
    <row r="819">
      <c r="A819" s="7" t="n"/>
      <c r="B819" s="8" t="n"/>
      <c r="C819" s="9">
        <f>IF(B819="","",IFERROR(VLOOKUP(B819,'Daftar Outlet'!$A$4:$B$22,2,FALSE),""))</f>
        <v/>
      </c>
      <c r="D819" s="8" t="n"/>
      <c r="E819" s="6" t="n"/>
      <c r="F819" s="8" t="n"/>
    </row>
    <row r="820">
      <c r="A820" s="7" t="n"/>
      <c r="B820" s="8" t="n"/>
      <c r="C820" s="9">
        <f>IF(B820="","",IFERROR(VLOOKUP(B820,'Daftar Outlet'!$A$4:$B$22,2,FALSE),""))</f>
        <v/>
      </c>
      <c r="D820" s="8" t="n"/>
      <c r="E820" s="6" t="n"/>
      <c r="F820" s="8" t="n"/>
    </row>
    <row r="821">
      <c r="A821" s="7" t="n"/>
      <c r="B821" s="8" t="n"/>
      <c r="C821" s="9">
        <f>IF(B821="","",IFERROR(VLOOKUP(B821,'Daftar Outlet'!$A$4:$B$22,2,FALSE),""))</f>
        <v/>
      </c>
      <c r="D821" s="8" t="n"/>
      <c r="E821" s="6" t="n"/>
      <c r="F821" s="8" t="n"/>
    </row>
    <row r="822">
      <c r="A822" s="7" t="n"/>
      <c r="B822" s="8" t="n"/>
      <c r="C822" s="9">
        <f>IF(B822="","",IFERROR(VLOOKUP(B822,'Daftar Outlet'!$A$4:$B$22,2,FALSE),""))</f>
        <v/>
      </c>
      <c r="D822" s="8" t="n"/>
      <c r="E822" s="6" t="n"/>
      <c r="F822" s="8" t="n"/>
    </row>
    <row r="823">
      <c r="A823" s="7" t="n"/>
      <c r="B823" s="8" t="n"/>
      <c r="C823" s="9">
        <f>IF(B823="","",IFERROR(VLOOKUP(B823,'Daftar Outlet'!$A$4:$B$22,2,FALSE),""))</f>
        <v/>
      </c>
      <c r="D823" s="8" t="n"/>
      <c r="E823" s="6" t="n"/>
      <c r="F823" s="8" t="n"/>
    </row>
    <row r="824">
      <c r="A824" s="7" t="n"/>
      <c r="B824" s="8" t="n"/>
      <c r="C824" s="9">
        <f>IF(B824="","",IFERROR(VLOOKUP(B824,'Daftar Outlet'!$A$4:$B$22,2,FALSE),""))</f>
        <v/>
      </c>
      <c r="D824" s="8" t="n"/>
      <c r="E824" s="6" t="n"/>
      <c r="F824" s="8" t="n"/>
    </row>
    <row r="825">
      <c r="A825" s="7" t="n"/>
      <c r="B825" s="8" t="n"/>
      <c r="C825" s="9">
        <f>IF(B825="","",IFERROR(VLOOKUP(B825,'Daftar Outlet'!$A$4:$B$22,2,FALSE),""))</f>
        <v/>
      </c>
      <c r="D825" s="8" t="n"/>
      <c r="E825" s="6" t="n"/>
      <c r="F825" s="8" t="n"/>
    </row>
    <row r="826">
      <c r="A826" s="7" t="n"/>
      <c r="B826" s="8" t="n"/>
      <c r="C826" s="9">
        <f>IF(B826="","",IFERROR(VLOOKUP(B826,'Daftar Outlet'!$A$4:$B$22,2,FALSE),""))</f>
        <v/>
      </c>
      <c r="D826" s="8" t="n"/>
      <c r="E826" s="6" t="n"/>
      <c r="F826" s="8" t="n"/>
    </row>
    <row r="827">
      <c r="A827" s="7" t="n"/>
      <c r="B827" s="8" t="n"/>
      <c r="C827" s="9">
        <f>IF(B827="","",IFERROR(VLOOKUP(B827,'Daftar Outlet'!$A$4:$B$22,2,FALSE),""))</f>
        <v/>
      </c>
      <c r="D827" s="8" t="n"/>
      <c r="E827" s="6" t="n"/>
      <c r="F827" s="8" t="n"/>
    </row>
    <row r="828">
      <c r="A828" s="7" t="n"/>
      <c r="B828" s="8" t="n"/>
      <c r="C828" s="9">
        <f>IF(B828="","",IFERROR(VLOOKUP(B828,'Daftar Outlet'!$A$4:$B$22,2,FALSE),""))</f>
        <v/>
      </c>
      <c r="D828" s="8" t="n"/>
      <c r="E828" s="6" t="n"/>
      <c r="F828" s="8" t="n"/>
    </row>
    <row r="829">
      <c r="A829" s="7" t="n"/>
      <c r="B829" s="8" t="n"/>
      <c r="C829" s="9">
        <f>IF(B829="","",IFERROR(VLOOKUP(B829,'Daftar Outlet'!$A$4:$B$22,2,FALSE),""))</f>
        <v/>
      </c>
      <c r="D829" s="8" t="n"/>
      <c r="E829" s="6" t="n"/>
      <c r="F829" s="8" t="n"/>
    </row>
    <row r="830">
      <c r="A830" s="7" t="n"/>
      <c r="B830" s="8" t="n"/>
      <c r="C830" s="9">
        <f>IF(B830="","",IFERROR(VLOOKUP(B830,'Daftar Outlet'!$A$4:$B$22,2,FALSE),""))</f>
        <v/>
      </c>
      <c r="D830" s="8" t="n"/>
      <c r="E830" s="6" t="n"/>
      <c r="F830" s="8" t="n"/>
    </row>
    <row r="831">
      <c r="A831" s="7" t="n"/>
      <c r="B831" s="8" t="n"/>
      <c r="C831" s="9">
        <f>IF(B831="","",IFERROR(VLOOKUP(B831,'Daftar Outlet'!$A$4:$B$22,2,FALSE),""))</f>
        <v/>
      </c>
      <c r="D831" s="8" t="n"/>
      <c r="E831" s="6" t="n"/>
      <c r="F831" s="8" t="n"/>
    </row>
    <row r="832">
      <c r="A832" s="7" t="n"/>
      <c r="B832" s="8" t="n"/>
      <c r="C832" s="9">
        <f>IF(B832="","",IFERROR(VLOOKUP(B832,'Daftar Outlet'!$A$4:$B$22,2,FALSE),""))</f>
        <v/>
      </c>
      <c r="D832" s="8" t="n"/>
      <c r="E832" s="6" t="n"/>
      <c r="F832" s="8" t="n"/>
    </row>
    <row r="833">
      <c r="A833" s="7" t="n"/>
      <c r="B833" s="8" t="n"/>
      <c r="C833" s="9">
        <f>IF(B833="","",IFERROR(VLOOKUP(B833,'Daftar Outlet'!$A$4:$B$22,2,FALSE),""))</f>
        <v/>
      </c>
      <c r="D833" s="8" t="n"/>
      <c r="E833" s="6" t="n"/>
      <c r="F833" s="8" t="n"/>
    </row>
    <row r="834">
      <c r="A834" s="7" t="n"/>
      <c r="B834" s="8" t="n"/>
      <c r="C834" s="9">
        <f>IF(B834="","",IFERROR(VLOOKUP(B834,'Daftar Outlet'!$A$4:$B$22,2,FALSE),""))</f>
        <v/>
      </c>
      <c r="D834" s="8" t="n"/>
      <c r="E834" s="6" t="n"/>
      <c r="F834" s="8" t="n"/>
    </row>
    <row r="835">
      <c r="A835" s="7" t="n"/>
      <c r="B835" s="8" t="n"/>
      <c r="C835" s="9">
        <f>IF(B835="","",IFERROR(VLOOKUP(B835,'Daftar Outlet'!$A$4:$B$22,2,FALSE),""))</f>
        <v/>
      </c>
      <c r="D835" s="8" t="n"/>
      <c r="E835" s="6" t="n"/>
      <c r="F835" s="8" t="n"/>
    </row>
    <row r="836">
      <c r="A836" s="7" t="n"/>
      <c r="B836" s="8" t="n"/>
      <c r="C836" s="9">
        <f>IF(B836="","",IFERROR(VLOOKUP(B836,'Daftar Outlet'!$A$4:$B$22,2,FALSE),""))</f>
        <v/>
      </c>
      <c r="D836" s="8" t="n"/>
      <c r="E836" s="6" t="n"/>
      <c r="F836" s="8" t="n"/>
    </row>
    <row r="837">
      <c r="A837" s="7" t="n"/>
      <c r="B837" s="8" t="n"/>
      <c r="C837" s="9">
        <f>IF(B837="","",IFERROR(VLOOKUP(B837,'Daftar Outlet'!$A$4:$B$22,2,FALSE),""))</f>
        <v/>
      </c>
      <c r="D837" s="8" t="n"/>
      <c r="E837" s="6" t="n"/>
      <c r="F837" s="8" t="n"/>
    </row>
    <row r="838">
      <c r="A838" s="7" t="n"/>
      <c r="B838" s="8" t="n"/>
      <c r="C838" s="9">
        <f>IF(B838="","",IFERROR(VLOOKUP(B838,'Daftar Outlet'!$A$4:$B$22,2,FALSE),""))</f>
        <v/>
      </c>
      <c r="D838" s="8" t="n"/>
      <c r="E838" s="6" t="n"/>
      <c r="F838" s="8" t="n"/>
    </row>
    <row r="839">
      <c r="A839" s="7" t="n"/>
      <c r="B839" s="8" t="n"/>
      <c r="C839" s="9">
        <f>IF(B839="","",IFERROR(VLOOKUP(B839,'Daftar Outlet'!$A$4:$B$22,2,FALSE),""))</f>
        <v/>
      </c>
      <c r="D839" s="8" t="n"/>
      <c r="E839" s="6" t="n"/>
      <c r="F839" s="8" t="n"/>
    </row>
    <row r="840">
      <c r="A840" s="7" t="n"/>
      <c r="B840" s="8" t="n"/>
      <c r="C840" s="9">
        <f>IF(B840="","",IFERROR(VLOOKUP(B840,'Daftar Outlet'!$A$4:$B$22,2,FALSE),""))</f>
        <v/>
      </c>
      <c r="D840" s="8" t="n"/>
      <c r="E840" s="6" t="n"/>
      <c r="F840" s="8" t="n"/>
    </row>
    <row r="841">
      <c r="A841" s="7" t="n"/>
      <c r="B841" s="8" t="n"/>
      <c r="C841" s="9">
        <f>IF(B841="","",IFERROR(VLOOKUP(B841,'Daftar Outlet'!$A$4:$B$22,2,FALSE),""))</f>
        <v/>
      </c>
      <c r="D841" s="8" t="n"/>
      <c r="E841" s="6" t="n"/>
      <c r="F841" s="8" t="n"/>
    </row>
    <row r="842">
      <c r="A842" s="7" t="n"/>
      <c r="B842" s="8" t="n"/>
      <c r="C842" s="9">
        <f>IF(B842="","",IFERROR(VLOOKUP(B842,'Daftar Outlet'!$A$4:$B$22,2,FALSE),""))</f>
        <v/>
      </c>
      <c r="D842" s="8" t="n"/>
      <c r="E842" s="6" t="n"/>
      <c r="F842" s="8" t="n"/>
    </row>
    <row r="843">
      <c r="A843" s="7" t="n"/>
      <c r="B843" s="8" t="n"/>
      <c r="C843" s="9">
        <f>IF(B843="","",IFERROR(VLOOKUP(B843,'Daftar Outlet'!$A$4:$B$22,2,FALSE),""))</f>
        <v/>
      </c>
      <c r="D843" s="8" t="n"/>
      <c r="E843" s="6" t="n"/>
      <c r="F843" s="8" t="n"/>
    </row>
    <row r="844">
      <c r="A844" s="7" t="n"/>
      <c r="B844" s="8" t="n"/>
      <c r="C844" s="9">
        <f>IF(B844="","",IFERROR(VLOOKUP(B844,'Daftar Outlet'!$A$4:$B$22,2,FALSE),""))</f>
        <v/>
      </c>
      <c r="D844" s="8" t="n"/>
      <c r="E844" s="6" t="n"/>
      <c r="F844" s="8" t="n"/>
    </row>
    <row r="845">
      <c r="A845" s="7" t="n"/>
      <c r="B845" s="8" t="n"/>
      <c r="C845" s="9">
        <f>IF(B845="","",IFERROR(VLOOKUP(B845,'Daftar Outlet'!$A$4:$B$22,2,FALSE),""))</f>
        <v/>
      </c>
      <c r="D845" s="8" t="n"/>
      <c r="E845" s="6" t="n"/>
      <c r="F845" s="8" t="n"/>
    </row>
    <row r="846">
      <c r="A846" s="7" t="n"/>
      <c r="B846" s="8" t="n"/>
      <c r="C846" s="9">
        <f>IF(B846="","",IFERROR(VLOOKUP(B846,'Daftar Outlet'!$A$4:$B$22,2,FALSE),""))</f>
        <v/>
      </c>
      <c r="D846" s="8" t="n"/>
      <c r="E846" s="6" t="n"/>
      <c r="F846" s="8" t="n"/>
    </row>
    <row r="847">
      <c r="A847" s="7" t="n"/>
      <c r="B847" s="8" t="n"/>
      <c r="C847" s="9">
        <f>IF(B847="","",IFERROR(VLOOKUP(B847,'Daftar Outlet'!$A$4:$B$22,2,FALSE),""))</f>
        <v/>
      </c>
      <c r="D847" s="8" t="n"/>
      <c r="E847" s="6" t="n"/>
      <c r="F847" s="8" t="n"/>
    </row>
    <row r="848">
      <c r="A848" s="7" t="n"/>
      <c r="B848" s="8" t="n"/>
      <c r="C848" s="9">
        <f>IF(B848="","",IFERROR(VLOOKUP(B848,'Daftar Outlet'!$A$4:$B$22,2,FALSE),""))</f>
        <v/>
      </c>
      <c r="D848" s="8" t="n"/>
      <c r="E848" s="6" t="n"/>
      <c r="F848" s="8" t="n"/>
    </row>
    <row r="849">
      <c r="A849" s="7" t="n"/>
      <c r="B849" s="8" t="n"/>
      <c r="C849" s="9">
        <f>IF(B849="","",IFERROR(VLOOKUP(B849,'Daftar Outlet'!$A$4:$B$22,2,FALSE),""))</f>
        <v/>
      </c>
      <c r="D849" s="8" t="n"/>
      <c r="E849" s="6" t="n"/>
      <c r="F849" s="8" t="n"/>
    </row>
    <row r="850">
      <c r="A850" s="7" t="n"/>
      <c r="B850" s="8" t="n"/>
      <c r="C850" s="9">
        <f>IF(B850="","",IFERROR(VLOOKUP(B850,'Daftar Outlet'!$A$4:$B$22,2,FALSE),""))</f>
        <v/>
      </c>
      <c r="D850" s="8" t="n"/>
      <c r="E850" s="6" t="n"/>
      <c r="F850" s="8" t="n"/>
    </row>
    <row r="851">
      <c r="A851" s="7" t="n"/>
      <c r="B851" s="8" t="n"/>
      <c r="C851" s="9">
        <f>IF(B851="","",IFERROR(VLOOKUP(B851,'Daftar Outlet'!$A$4:$B$22,2,FALSE),""))</f>
        <v/>
      </c>
      <c r="D851" s="8" t="n"/>
      <c r="E851" s="6" t="n"/>
      <c r="F851" s="8" t="n"/>
    </row>
    <row r="852">
      <c r="A852" s="7" t="n"/>
      <c r="B852" s="8" t="n"/>
      <c r="C852" s="9">
        <f>IF(B852="","",IFERROR(VLOOKUP(B852,'Daftar Outlet'!$A$4:$B$22,2,FALSE),""))</f>
        <v/>
      </c>
      <c r="D852" s="8" t="n"/>
      <c r="E852" s="6" t="n"/>
      <c r="F852" s="8" t="n"/>
    </row>
    <row r="853">
      <c r="A853" s="7" t="n"/>
      <c r="B853" s="8" t="n"/>
      <c r="C853" s="9">
        <f>IF(B853="","",IFERROR(VLOOKUP(B853,'Daftar Outlet'!$A$4:$B$22,2,FALSE),""))</f>
        <v/>
      </c>
      <c r="D853" s="8" t="n"/>
      <c r="E853" s="6" t="n"/>
      <c r="F853" s="8" t="n"/>
    </row>
    <row r="854">
      <c r="A854" s="7" t="n"/>
      <c r="B854" s="8" t="n"/>
      <c r="C854" s="9">
        <f>IF(B854="","",IFERROR(VLOOKUP(B854,'Daftar Outlet'!$A$4:$B$22,2,FALSE),""))</f>
        <v/>
      </c>
      <c r="D854" s="8" t="n"/>
      <c r="E854" s="6" t="n"/>
      <c r="F854" s="8" t="n"/>
    </row>
    <row r="855">
      <c r="A855" s="7" t="n"/>
      <c r="B855" s="8" t="n"/>
      <c r="C855" s="9">
        <f>IF(B855="","",IFERROR(VLOOKUP(B855,'Daftar Outlet'!$A$4:$B$22,2,FALSE),""))</f>
        <v/>
      </c>
      <c r="D855" s="8" t="n"/>
      <c r="E855" s="6" t="n"/>
      <c r="F855" s="8" t="n"/>
    </row>
    <row r="856">
      <c r="A856" s="7" t="n"/>
      <c r="B856" s="8" t="n"/>
      <c r="C856" s="9">
        <f>IF(B856="","",IFERROR(VLOOKUP(B856,'Daftar Outlet'!$A$4:$B$22,2,FALSE),""))</f>
        <v/>
      </c>
      <c r="D856" s="8" t="n"/>
      <c r="E856" s="6" t="n"/>
      <c r="F856" s="8" t="n"/>
    </row>
    <row r="857">
      <c r="A857" s="7" t="n"/>
      <c r="B857" s="8" t="n"/>
      <c r="C857" s="9">
        <f>IF(B857="","",IFERROR(VLOOKUP(B857,'Daftar Outlet'!$A$4:$B$22,2,FALSE),""))</f>
        <v/>
      </c>
      <c r="D857" s="8" t="n"/>
      <c r="E857" s="6" t="n"/>
      <c r="F857" s="8" t="n"/>
    </row>
    <row r="858">
      <c r="A858" s="7" t="n"/>
      <c r="B858" s="8" t="n"/>
      <c r="C858" s="9">
        <f>IF(B858="","",IFERROR(VLOOKUP(B858,'Daftar Outlet'!$A$4:$B$22,2,FALSE),""))</f>
        <v/>
      </c>
      <c r="D858" s="8" t="n"/>
      <c r="E858" s="6" t="n"/>
      <c r="F858" s="8" t="n"/>
    </row>
    <row r="859">
      <c r="A859" s="7" t="n"/>
      <c r="B859" s="8" t="n"/>
      <c r="C859" s="9">
        <f>IF(B859="","",IFERROR(VLOOKUP(B859,'Daftar Outlet'!$A$4:$B$22,2,FALSE),""))</f>
        <v/>
      </c>
      <c r="D859" s="8" t="n"/>
      <c r="E859" s="6" t="n"/>
      <c r="F859" s="8" t="n"/>
    </row>
    <row r="860">
      <c r="A860" s="7" t="n"/>
      <c r="B860" s="8" t="n"/>
      <c r="C860" s="9">
        <f>IF(B860="","",IFERROR(VLOOKUP(B860,'Daftar Outlet'!$A$4:$B$22,2,FALSE),""))</f>
        <v/>
      </c>
      <c r="D860" s="8" t="n"/>
      <c r="E860" s="6" t="n"/>
      <c r="F860" s="8" t="n"/>
    </row>
    <row r="861">
      <c r="A861" s="7" t="n"/>
      <c r="B861" s="8" t="n"/>
      <c r="C861" s="9">
        <f>IF(B861="","",IFERROR(VLOOKUP(B861,'Daftar Outlet'!$A$4:$B$22,2,FALSE),""))</f>
        <v/>
      </c>
      <c r="D861" s="8" t="n"/>
      <c r="E861" s="6" t="n"/>
      <c r="F861" s="8" t="n"/>
    </row>
    <row r="862">
      <c r="A862" s="7" t="n"/>
      <c r="B862" s="8" t="n"/>
      <c r="C862" s="9">
        <f>IF(B862="","",IFERROR(VLOOKUP(B862,'Daftar Outlet'!$A$4:$B$22,2,FALSE),""))</f>
        <v/>
      </c>
      <c r="D862" s="8" t="n"/>
      <c r="E862" s="6" t="n"/>
      <c r="F862" s="8" t="n"/>
    </row>
    <row r="863">
      <c r="A863" s="7" t="n"/>
      <c r="B863" s="8" t="n"/>
      <c r="C863" s="9">
        <f>IF(B863="","",IFERROR(VLOOKUP(B863,'Daftar Outlet'!$A$4:$B$22,2,FALSE),""))</f>
        <v/>
      </c>
      <c r="D863" s="8" t="n"/>
      <c r="E863" s="6" t="n"/>
      <c r="F863" s="8" t="n"/>
    </row>
    <row r="864">
      <c r="A864" s="7" t="n"/>
      <c r="B864" s="8" t="n"/>
      <c r="C864" s="9">
        <f>IF(B864="","",IFERROR(VLOOKUP(B864,'Daftar Outlet'!$A$4:$B$22,2,FALSE),""))</f>
        <v/>
      </c>
      <c r="D864" s="8" t="n"/>
      <c r="E864" s="6" t="n"/>
      <c r="F864" s="8" t="n"/>
    </row>
    <row r="865">
      <c r="A865" s="7" t="n"/>
      <c r="B865" s="8" t="n"/>
      <c r="C865" s="9">
        <f>IF(B865="","",IFERROR(VLOOKUP(B865,'Daftar Outlet'!$A$4:$B$22,2,FALSE),""))</f>
        <v/>
      </c>
      <c r="D865" s="8" t="n"/>
      <c r="E865" s="6" t="n"/>
      <c r="F865" s="8" t="n"/>
    </row>
    <row r="866">
      <c r="A866" s="7" t="n"/>
      <c r="B866" s="8" t="n"/>
      <c r="C866" s="9">
        <f>IF(B866="","",IFERROR(VLOOKUP(B866,'Daftar Outlet'!$A$4:$B$22,2,FALSE),""))</f>
        <v/>
      </c>
      <c r="D866" s="8" t="n"/>
      <c r="E866" s="6" t="n"/>
      <c r="F866" s="8" t="n"/>
    </row>
    <row r="867">
      <c r="A867" s="7" t="n"/>
      <c r="B867" s="8" t="n"/>
      <c r="C867" s="9">
        <f>IF(B867="","",IFERROR(VLOOKUP(B867,'Daftar Outlet'!$A$4:$B$22,2,FALSE),""))</f>
        <v/>
      </c>
      <c r="D867" s="8" t="n"/>
      <c r="E867" s="6" t="n"/>
      <c r="F867" s="8" t="n"/>
    </row>
    <row r="868">
      <c r="A868" s="7" t="n"/>
      <c r="B868" s="8" t="n"/>
      <c r="C868" s="9">
        <f>IF(B868="","",IFERROR(VLOOKUP(B868,'Daftar Outlet'!$A$4:$B$22,2,FALSE),""))</f>
        <v/>
      </c>
      <c r="D868" s="8" t="n"/>
      <c r="E868" s="6" t="n"/>
      <c r="F868" s="8" t="n"/>
    </row>
    <row r="869">
      <c r="A869" s="7" t="n"/>
      <c r="B869" s="8" t="n"/>
      <c r="C869" s="9">
        <f>IF(B869="","",IFERROR(VLOOKUP(B869,'Daftar Outlet'!$A$4:$B$22,2,FALSE),""))</f>
        <v/>
      </c>
      <c r="D869" s="8" t="n"/>
      <c r="E869" s="6" t="n"/>
      <c r="F869" s="8" t="n"/>
    </row>
    <row r="870">
      <c r="A870" s="7" t="n"/>
      <c r="B870" s="8" t="n"/>
      <c r="C870" s="9">
        <f>IF(B870="","",IFERROR(VLOOKUP(B870,'Daftar Outlet'!$A$4:$B$22,2,FALSE),""))</f>
        <v/>
      </c>
      <c r="D870" s="8" t="n"/>
      <c r="E870" s="6" t="n"/>
      <c r="F870" s="8" t="n"/>
    </row>
    <row r="871">
      <c r="A871" s="7" t="n"/>
      <c r="B871" s="8" t="n"/>
      <c r="C871" s="9">
        <f>IF(B871="","",IFERROR(VLOOKUP(B871,'Daftar Outlet'!$A$4:$B$22,2,FALSE),""))</f>
        <v/>
      </c>
      <c r="D871" s="8" t="n"/>
      <c r="E871" s="6" t="n"/>
      <c r="F871" s="8" t="n"/>
    </row>
    <row r="872">
      <c r="A872" s="7" t="n"/>
      <c r="B872" s="8" t="n"/>
      <c r="C872" s="9">
        <f>IF(B872="","",IFERROR(VLOOKUP(B872,'Daftar Outlet'!$A$4:$B$22,2,FALSE),""))</f>
        <v/>
      </c>
      <c r="D872" s="8" t="n"/>
      <c r="E872" s="6" t="n"/>
      <c r="F872" s="8" t="n"/>
    </row>
    <row r="873">
      <c r="A873" s="7" t="n"/>
      <c r="B873" s="8" t="n"/>
      <c r="C873" s="9">
        <f>IF(B873="","",IFERROR(VLOOKUP(B873,'Daftar Outlet'!$A$4:$B$22,2,FALSE),""))</f>
        <v/>
      </c>
      <c r="D873" s="8" t="n"/>
      <c r="E873" s="6" t="n"/>
      <c r="F873" s="8" t="n"/>
    </row>
    <row r="874">
      <c r="A874" s="7" t="n"/>
      <c r="B874" s="8" t="n"/>
      <c r="C874" s="9">
        <f>IF(B874="","",IFERROR(VLOOKUP(B874,'Daftar Outlet'!$A$4:$B$22,2,FALSE),""))</f>
        <v/>
      </c>
      <c r="D874" s="8" t="n"/>
      <c r="E874" s="6" t="n"/>
      <c r="F874" s="8" t="n"/>
    </row>
    <row r="875">
      <c r="A875" s="7" t="n"/>
      <c r="B875" s="8" t="n"/>
      <c r="C875" s="9">
        <f>IF(B875="","",IFERROR(VLOOKUP(B875,'Daftar Outlet'!$A$4:$B$22,2,FALSE),""))</f>
        <v/>
      </c>
      <c r="D875" s="8" t="n"/>
      <c r="E875" s="6" t="n"/>
      <c r="F875" s="8" t="n"/>
    </row>
    <row r="876">
      <c r="A876" s="7" t="n"/>
      <c r="B876" s="8" t="n"/>
      <c r="C876" s="9">
        <f>IF(B876="","",IFERROR(VLOOKUP(B876,'Daftar Outlet'!$A$4:$B$22,2,FALSE),""))</f>
        <v/>
      </c>
      <c r="D876" s="8" t="n"/>
      <c r="E876" s="6" t="n"/>
      <c r="F876" s="8" t="n"/>
    </row>
    <row r="877">
      <c r="A877" s="7" t="n"/>
      <c r="B877" s="8" t="n"/>
      <c r="C877" s="9">
        <f>IF(B877="","",IFERROR(VLOOKUP(B877,'Daftar Outlet'!$A$4:$B$22,2,FALSE),""))</f>
        <v/>
      </c>
      <c r="D877" s="8" t="n"/>
      <c r="E877" s="6" t="n"/>
      <c r="F877" s="8" t="n"/>
    </row>
    <row r="878">
      <c r="A878" s="7" t="n"/>
      <c r="B878" s="8" t="n"/>
      <c r="C878" s="9">
        <f>IF(B878="","",IFERROR(VLOOKUP(B878,'Daftar Outlet'!$A$4:$B$22,2,FALSE),""))</f>
        <v/>
      </c>
      <c r="D878" s="8" t="n"/>
      <c r="E878" s="6" t="n"/>
      <c r="F878" s="8" t="n"/>
    </row>
    <row r="879">
      <c r="A879" s="7" t="n"/>
      <c r="B879" s="8" t="n"/>
      <c r="C879" s="9">
        <f>IF(B879="","",IFERROR(VLOOKUP(B879,'Daftar Outlet'!$A$4:$B$22,2,FALSE),""))</f>
        <v/>
      </c>
      <c r="D879" s="8" t="n"/>
      <c r="E879" s="6" t="n"/>
      <c r="F879" s="8" t="n"/>
    </row>
    <row r="880">
      <c r="A880" s="7" t="n"/>
      <c r="B880" s="8" t="n"/>
      <c r="C880" s="9">
        <f>IF(B880="","",IFERROR(VLOOKUP(B880,'Daftar Outlet'!$A$4:$B$22,2,FALSE),""))</f>
        <v/>
      </c>
      <c r="D880" s="8" t="n"/>
      <c r="E880" s="6" t="n"/>
      <c r="F880" s="8" t="n"/>
    </row>
    <row r="881">
      <c r="A881" s="7" t="n"/>
      <c r="B881" s="8" t="n"/>
      <c r="C881" s="9">
        <f>IF(B881="","",IFERROR(VLOOKUP(B881,'Daftar Outlet'!$A$4:$B$22,2,FALSE),""))</f>
        <v/>
      </c>
      <c r="D881" s="8" t="n"/>
      <c r="E881" s="6" t="n"/>
      <c r="F881" s="8" t="n"/>
    </row>
    <row r="882">
      <c r="A882" s="7" t="n"/>
      <c r="B882" s="8" t="n"/>
      <c r="C882" s="9">
        <f>IF(B882="","",IFERROR(VLOOKUP(B882,'Daftar Outlet'!$A$4:$B$22,2,FALSE),""))</f>
        <v/>
      </c>
      <c r="D882" s="8" t="n"/>
      <c r="E882" s="6" t="n"/>
      <c r="F882" s="8" t="n"/>
    </row>
    <row r="883">
      <c r="A883" s="7" t="n"/>
      <c r="B883" s="8" t="n"/>
      <c r="C883" s="9">
        <f>IF(B883="","",IFERROR(VLOOKUP(B883,'Daftar Outlet'!$A$4:$B$22,2,FALSE),""))</f>
        <v/>
      </c>
      <c r="D883" s="8" t="n"/>
      <c r="E883" s="6" t="n"/>
      <c r="F883" s="8" t="n"/>
    </row>
    <row r="884">
      <c r="A884" s="7" t="n"/>
      <c r="B884" s="8" t="n"/>
      <c r="C884" s="9">
        <f>IF(B884="","",IFERROR(VLOOKUP(B884,'Daftar Outlet'!$A$4:$B$22,2,FALSE),""))</f>
        <v/>
      </c>
      <c r="D884" s="8" t="n"/>
      <c r="E884" s="6" t="n"/>
      <c r="F884" s="8" t="n"/>
    </row>
    <row r="885">
      <c r="A885" s="7" t="n"/>
      <c r="B885" s="8" t="n"/>
      <c r="C885" s="9">
        <f>IF(B885="","",IFERROR(VLOOKUP(B885,'Daftar Outlet'!$A$4:$B$22,2,FALSE),""))</f>
        <v/>
      </c>
      <c r="D885" s="8" t="n"/>
      <c r="E885" s="6" t="n"/>
      <c r="F885" s="8" t="n"/>
    </row>
    <row r="886">
      <c r="A886" s="7" t="n"/>
      <c r="B886" s="8" t="n"/>
      <c r="C886" s="9">
        <f>IF(B886="","",IFERROR(VLOOKUP(B886,'Daftar Outlet'!$A$4:$B$22,2,FALSE),""))</f>
        <v/>
      </c>
      <c r="D886" s="8" t="n"/>
      <c r="E886" s="6" t="n"/>
      <c r="F886" s="8" t="n"/>
    </row>
    <row r="887">
      <c r="A887" s="7" t="n"/>
      <c r="B887" s="8" t="n"/>
      <c r="C887" s="9">
        <f>IF(B887="","",IFERROR(VLOOKUP(B887,'Daftar Outlet'!$A$4:$B$22,2,FALSE),""))</f>
        <v/>
      </c>
      <c r="D887" s="8" t="n"/>
      <c r="E887" s="6" t="n"/>
      <c r="F887" s="8" t="n"/>
    </row>
    <row r="888">
      <c r="A888" s="7" t="n"/>
      <c r="B888" s="8" t="n"/>
      <c r="C888" s="9">
        <f>IF(B888="","",IFERROR(VLOOKUP(B888,'Daftar Outlet'!$A$4:$B$22,2,FALSE),""))</f>
        <v/>
      </c>
      <c r="D888" s="8" t="n"/>
      <c r="E888" s="6" t="n"/>
      <c r="F888" s="8" t="n"/>
    </row>
    <row r="889">
      <c r="A889" s="7" t="n"/>
      <c r="B889" s="8" t="n"/>
      <c r="C889" s="9">
        <f>IF(B889="","",IFERROR(VLOOKUP(B889,'Daftar Outlet'!$A$4:$B$22,2,FALSE),""))</f>
        <v/>
      </c>
      <c r="D889" s="8" t="n"/>
      <c r="E889" s="6" t="n"/>
      <c r="F889" s="8" t="n"/>
    </row>
    <row r="890">
      <c r="A890" s="7" t="n"/>
      <c r="B890" s="8" t="n"/>
      <c r="C890" s="9">
        <f>IF(B890="","",IFERROR(VLOOKUP(B890,'Daftar Outlet'!$A$4:$B$22,2,FALSE),""))</f>
        <v/>
      </c>
      <c r="D890" s="8" t="n"/>
      <c r="E890" s="6" t="n"/>
      <c r="F890" s="8" t="n"/>
    </row>
    <row r="891">
      <c r="A891" s="7" t="n"/>
      <c r="B891" s="8" t="n"/>
      <c r="C891" s="9">
        <f>IF(B891="","",IFERROR(VLOOKUP(B891,'Daftar Outlet'!$A$4:$B$22,2,FALSE),""))</f>
        <v/>
      </c>
      <c r="D891" s="8" t="n"/>
      <c r="E891" s="6" t="n"/>
      <c r="F891" s="8" t="n"/>
    </row>
    <row r="892">
      <c r="A892" s="7" t="n"/>
      <c r="B892" s="8" t="n"/>
      <c r="C892" s="9">
        <f>IF(B892="","",IFERROR(VLOOKUP(B892,'Daftar Outlet'!$A$4:$B$22,2,FALSE),""))</f>
        <v/>
      </c>
      <c r="D892" s="8" t="n"/>
      <c r="E892" s="6" t="n"/>
      <c r="F892" s="8" t="n"/>
    </row>
    <row r="893">
      <c r="A893" s="7" t="n"/>
      <c r="B893" s="8" t="n"/>
      <c r="C893" s="9">
        <f>IF(B893="","",IFERROR(VLOOKUP(B893,'Daftar Outlet'!$A$4:$B$22,2,FALSE),""))</f>
        <v/>
      </c>
      <c r="D893" s="8" t="n"/>
      <c r="E893" s="6" t="n"/>
      <c r="F893" s="8" t="n"/>
    </row>
    <row r="894">
      <c r="A894" s="7" t="n"/>
      <c r="B894" s="8" t="n"/>
      <c r="C894" s="9">
        <f>IF(B894="","",IFERROR(VLOOKUP(B894,'Daftar Outlet'!$A$4:$B$22,2,FALSE),""))</f>
        <v/>
      </c>
      <c r="D894" s="8" t="n"/>
      <c r="E894" s="6" t="n"/>
      <c r="F894" s="8" t="n"/>
    </row>
    <row r="895">
      <c r="A895" s="7" t="n"/>
      <c r="B895" s="8" t="n"/>
      <c r="C895" s="9">
        <f>IF(B895="","",IFERROR(VLOOKUP(B895,'Daftar Outlet'!$A$4:$B$22,2,FALSE),""))</f>
        <v/>
      </c>
      <c r="D895" s="8" t="n"/>
      <c r="E895" s="6" t="n"/>
      <c r="F895" s="8" t="n"/>
    </row>
    <row r="896">
      <c r="A896" s="7" t="n"/>
      <c r="B896" s="8" t="n"/>
      <c r="C896" s="9">
        <f>IF(B896="","",IFERROR(VLOOKUP(B896,'Daftar Outlet'!$A$4:$B$22,2,FALSE),""))</f>
        <v/>
      </c>
      <c r="D896" s="8" t="n"/>
      <c r="E896" s="6" t="n"/>
      <c r="F896" s="8" t="n"/>
    </row>
    <row r="897">
      <c r="A897" s="7" t="n"/>
      <c r="B897" s="8" t="n"/>
      <c r="C897" s="9">
        <f>IF(B897="","",IFERROR(VLOOKUP(B897,'Daftar Outlet'!$A$4:$B$22,2,FALSE),""))</f>
        <v/>
      </c>
      <c r="D897" s="8" t="n"/>
      <c r="E897" s="6" t="n"/>
      <c r="F897" s="8" t="n"/>
    </row>
    <row r="898">
      <c r="A898" s="7" t="n"/>
      <c r="B898" s="8" t="n"/>
      <c r="C898" s="9">
        <f>IF(B898="","",IFERROR(VLOOKUP(B898,'Daftar Outlet'!$A$4:$B$22,2,FALSE),""))</f>
        <v/>
      </c>
      <c r="D898" s="8" t="n"/>
      <c r="E898" s="6" t="n"/>
      <c r="F898" s="8" t="n"/>
    </row>
    <row r="899">
      <c r="A899" s="7" t="n"/>
      <c r="B899" s="8" t="n"/>
      <c r="C899" s="9">
        <f>IF(B899="","",IFERROR(VLOOKUP(B899,'Daftar Outlet'!$A$4:$B$22,2,FALSE),""))</f>
        <v/>
      </c>
      <c r="D899" s="8" t="n"/>
      <c r="E899" s="6" t="n"/>
      <c r="F899" s="8" t="n"/>
    </row>
    <row r="900">
      <c r="A900" s="7" t="n"/>
      <c r="B900" s="8" t="n"/>
      <c r="C900" s="9">
        <f>IF(B900="","",IFERROR(VLOOKUP(B900,'Daftar Outlet'!$A$4:$B$22,2,FALSE),""))</f>
        <v/>
      </c>
      <c r="D900" s="8" t="n"/>
      <c r="E900" s="6" t="n"/>
      <c r="F900" s="8" t="n"/>
    </row>
    <row r="901">
      <c r="A901" s="7" t="n"/>
      <c r="B901" s="8" t="n"/>
      <c r="C901" s="9">
        <f>IF(B901="","",IFERROR(VLOOKUP(B901,'Daftar Outlet'!$A$4:$B$22,2,FALSE),""))</f>
        <v/>
      </c>
      <c r="D901" s="8" t="n"/>
      <c r="E901" s="6" t="n"/>
      <c r="F901" s="8" t="n"/>
    </row>
    <row r="902">
      <c r="A902" s="7" t="n"/>
      <c r="B902" s="8" t="n"/>
      <c r="C902" s="9">
        <f>IF(B902="","",IFERROR(VLOOKUP(B902,'Daftar Outlet'!$A$4:$B$22,2,FALSE),""))</f>
        <v/>
      </c>
      <c r="D902" s="8" t="n"/>
      <c r="E902" s="6" t="n"/>
      <c r="F902" s="8" t="n"/>
    </row>
    <row r="903">
      <c r="A903" s="7" t="n"/>
      <c r="B903" s="8" t="n"/>
      <c r="C903" s="9">
        <f>IF(B903="","",IFERROR(VLOOKUP(B903,'Daftar Outlet'!$A$4:$B$22,2,FALSE),""))</f>
        <v/>
      </c>
      <c r="D903" s="8" t="n"/>
      <c r="E903" s="6" t="n"/>
      <c r="F903" s="8" t="n"/>
    </row>
    <row r="904">
      <c r="A904" s="7" t="n"/>
      <c r="B904" s="8" t="n"/>
      <c r="C904" s="9">
        <f>IF(B904="","",IFERROR(VLOOKUP(B904,'Daftar Outlet'!$A$4:$B$22,2,FALSE),""))</f>
        <v/>
      </c>
      <c r="D904" s="8" t="n"/>
      <c r="E904" s="6" t="n"/>
      <c r="F904" s="8" t="n"/>
    </row>
    <row r="905">
      <c r="A905" s="7" t="n"/>
      <c r="B905" s="8" t="n"/>
      <c r="C905" s="9">
        <f>IF(B905="","",IFERROR(VLOOKUP(B905,'Daftar Outlet'!$A$4:$B$22,2,FALSE),""))</f>
        <v/>
      </c>
      <c r="D905" s="8" t="n"/>
      <c r="E905" s="6" t="n"/>
      <c r="F905" s="8" t="n"/>
    </row>
    <row r="906">
      <c r="A906" s="7" t="n"/>
      <c r="B906" s="8" t="n"/>
      <c r="C906" s="9">
        <f>IF(B906="","",IFERROR(VLOOKUP(B906,'Daftar Outlet'!$A$4:$B$22,2,FALSE),""))</f>
        <v/>
      </c>
      <c r="D906" s="8" t="n"/>
      <c r="E906" s="6" t="n"/>
      <c r="F906" s="8" t="n"/>
    </row>
    <row r="907">
      <c r="A907" s="7" t="n"/>
      <c r="B907" s="8" t="n"/>
      <c r="C907" s="9">
        <f>IF(B907="","",IFERROR(VLOOKUP(B907,'Daftar Outlet'!$A$4:$B$22,2,FALSE),""))</f>
        <v/>
      </c>
      <c r="D907" s="8" t="n"/>
      <c r="E907" s="6" t="n"/>
      <c r="F907" s="8" t="n"/>
    </row>
    <row r="908">
      <c r="A908" s="7" t="n"/>
      <c r="B908" s="8" t="n"/>
      <c r="C908" s="9">
        <f>IF(B908="","",IFERROR(VLOOKUP(B908,'Daftar Outlet'!$A$4:$B$22,2,FALSE),""))</f>
        <v/>
      </c>
      <c r="D908" s="8" t="n"/>
      <c r="E908" s="6" t="n"/>
      <c r="F908" s="8" t="n"/>
    </row>
    <row r="909">
      <c r="A909" s="7" t="n"/>
      <c r="B909" s="8" t="n"/>
      <c r="C909" s="9">
        <f>IF(B909="","",IFERROR(VLOOKUP(B909,'Daftar Outlet'!$A$4:$B$22,2,FALSE),""))</f>
        <v/>
      </c>
      <c r="D909" s="8" t="n"/>
      <c r="E909" s="6" t="n"/>
      <c r="F909" s="8" t="n"/>
    </row>
    <row r="910">
      <c r="A910" s="7" t="n"/>
      <c r="B910" s="8" t="n"/>
      <c r="C910" s="9">
        <f>IF(B910="","",IFERROR(VLOOKUP(B910,'Daftar Outlet'!$A$4:$B$22,2,FALSE),""))</f>
        <v/>
      </c>
      <c r="D910" s="8" t="n"/>
      <c r="E910" s="6" t="n"/>
      <c r="F910" s="8" t="n"/>
    </row>
    <row r="911">
      <c r="A911" s="7" t="n"/>
      <c r="B911" s="8" t="n"/>
      <c r="C911" s="9">
        <f>IF(B911="","",IFERROR(VLOOKUP(B911,'Daftar Outlet'!$A$4:$B$22,2,FALSE),""))</f>
        <v/>
      </c>
      <c r="D911" s="8" t="n"/>
      <c r="E911" s="6" t="n"/>
      <c r="F911" s="8" t="n"/>
    </row>
    <row r="912">
      <c r="A912" s="7" t="n"/>
      <c r="B912" s="8" t="n"/>
      <c r="C912" s="9">
        <f>IF(B912="","",IFERROR(VLOOKUP(B912,'Daftar Outlet'!$A$4:$B$22,2,FALSE),""))</f>
        <v/>
      </c>
      <c r="D912" s="8" t="n"/>
      <c r="E912" s="6" t="n"/>
      <c r="F912" s="8" t="n"/>
    </row>
    <row r="913">
      <c r="A913" s="7" t="n"/>
      <c r="B913" s="8" t="n"/>
      <c r="C913" s="9">
        <f>IF(B913="","",IFERROR(VLOOKUP(B913,'Daftar Outlet'!$A$4:$B$22,2,FALSE),""))</f>
        <v/>
      </c>
      <c r="D913" s="8" t="n"/>
      <c r="E913" s="6" t="n"/>
      <c r="F913" s="8" t="n"/>
    </row>
    <row r="914">
      <c r="A914" s="7" t="n"/>
      <c r="B914" s="8" t="n"/>
      <c r="C914" s="9">
        <f>IF(B914="","",IFERROR(VLOOKUP(B914,'Daftar Outlet'!$A$4:$B$22,2,FALSE),""))</f>
        <v/>
      </c>
      <c r="D914" s="8" t="n"/>
      <c r="E914" s="6" t="n"/>
      <c r="F914" s="8" t="n"/>
    </row>
    <row r="915">
      <c r="A915" s="7" t="n"/>
      <c r="B915" s="8" t="n"/>
      <c r="C915" s="9">
        <f>IF(B915="","",IFERROR(VLOOKUP(B915,'Daftar Outlet'!$A$4:$B$22,2,FALSE),""))</f>
        <v/>
      </c>
      <c r="D915" s="8" t="n"/>
      <c r="E915" s="6" t="n"/>
      <c r="F915" s="8" t="n"/>
    </row>
    <row r="916">
      <c r="A916" s="7" t="n"/>
      <c r="B916" s="8" t="n"/>
      <c r="C916" s="9">
        <f>IF(B916="","",IFERROR(VLOOKUP(B916,'Daftar Outlet'!$A$4:$B$22,2,FALSE),""))</f>
        <v/>
      </c>
      <c r="D916" s="8" t="n"/>
      <c r="E916" s="6" t="n"/>
      <c r="F916" s="8" t="n"/>
    </row>
    <row r="917">
      <c r="A917" s="7" t="n"/>
      <c r="B917" s="8" t="n"/>
      <c r="C917" s="9">
        <f>IF(B917="","",IFERROR(VLOOKUP(B917,'Daftar Outlet'!$A$4:$B$22,2,FALSE),""))</f>
        <v/>
      </c>
      <c r="D917" s="8" t="n"/>
      <c r="E917" s="6" t="n"/>
      <c r="F917" s="8" t="n"/>
    </row>
    <row r="918">
      <c r="A918" s="7" t="n"/>
      <c r="B918" s="8" t="n"/>
      <c r="C918" s="9">
        <f>IF(B918="","",IFERROR(VLOOKUP(B918,'Daftar Outlet'!$A$4:$B$22,2,FALSE),""))</f>
        <v/>
      </c>
      <c r="D918" s="8" t="n"/>
      <c r="E918" s="6" t="n"/>
      <c r="F918" s="8" t="n"/>
    </row>
    <row r="919">
      <c r="A919" s="7" t="n"/>
      <c r="B919" s="8" t="n"/>
      <c r="C919" s="9">
        <f>IF(B919="","",IFERROR(VLOOKUP(B919,'Daftar Outlet'!$A$4:$B$22,2,FALSE),""))</f>
        <v/>
      </c>
      <c r="D919" s="8" t="n"/>
      <c r="E919" s="6" t="n"/>
      <c r="F919" s="8" t="n"/>
    </row>
    <row r="920">
      <c r="A920" s="7" t="n"/>
      <c r="B920" s="8" t="n"/>
      <c r="C920" s="9">
        <f>IF(B920="","",IFERROR(VLOOKUP(B920,'Daftar Outlet'!$A$4:$B$22,2,FALSE),""))</f>
        <v/>
      </c>
      <c r="D920" s="8" t="n"/>
      <c r="E920" s="6" t="n"/>
      <c r="F920" s="8" t="n"/>
    </row>
    <row r="921">
      <c r="A921" s="7" t="n"/>
      <c r="B921" s="8" t="n"/>
      <c r="C921" s="9">
        <f>IF(B921="","",IFERROR(VLOOKUP(B921,'Daftar Outlet'!$A$4:$B$22,2,FALSE),""))</f>
        <v/>
      </c>
      <c r="D921" s="8" t="n"/>
      <c r="E921" s="6" t="n"/>
      <c r="F921" s="8" t="n"/>
    </row>
    <row r="922">
      <c r="A922" s="7" t="n"/>
      <c r="B922" s="8" t="n"/>
      <c r="C922" s="9">
        <f>IF(B922="","",IFERROR(VLOOKUP(B922,'Daftar Outlet'!$A$4:$B$22,2,FALSE),""))</f>
        <v/>
      </c>
      <c r="D922" s="8" t="n"/>
      <c r="E922" s="6" t="n"/>
      <c r="F922" s="8" t="n"/>
    </row>
    <row r="923">
      <c r="A923" s="7" t="n"/>
      <c r="B923" s="8" t="n"/>
      <c r="C923" s="9">
        <f>IF(B923="","",IFERROR(VLOOKUP(B923,'Daftar Outlet'!$A$4:$B$22,2,FALSE),""))</f>
        <v/>
      </c>
      <c r="D923" s="8" t="n"/>
      <c r="E923" s="6" t="n"/>
      <c r="F923" s="8" t="n"/>
    </row>
    <row r="924">
      <c r="A924" s="7" t="n"/>
      <c r="B924" s="8" t="n"/>
      <c r="C924" s="9">
        <f>IF(B924="","",IFERROR(VLOOKUP(B924,'Daftar Outlet'!$A$4:$B$22,2,FALSE),""))</f>
        <v/>
      </c>
      <c r="D924" s="8" t="n"/>
      <c r="E924" s="6" t="n"/>
      <c r="F924" s="8" t="n"/>
    </row>
    <row r="925">
      <c r="A925" s="7" t="n"/>
      <c r="B925" s="8" t="n"/>
      <c r="C925" s="9">
        <f>IF(B925="","",IFERROR(VLOOKUP(B925,'Daftar Outlet'!$A$4:$B$22,2,FALSE),""))</f>
        <v/>
      </c>
      <c r="D925" s="8" t="n"/>
      <c r="E925" s="6" t="n"/>
      <c r="F925" s="8" t="n"/>
    </row>
    <row r="926">
      <c r="A926" s="7" t="n"/>
      <c r="B926" s="8" t="n"/>
      <c r="C926" s="9">
        <f>IF(B926="","",IFERROR(VLOOKUP(B926,'Daftar Outlet'!$A$4:$B$22,2,FALSE),""))</f>
        <v/>
      </c>
      <c r="D926" s="8" t="n"/>
      <c r="E926" s="6" t="n"/>
      <c r="F926" s="8" t="n"/>
    </row>
    <row r="927">
      <c r="A927" s="7" t="n"/>
      <c r="B927" s="8" t="n"/>
      <c r="C927" s="9">
        <f>IF(B927="","",IFERROR(VLOOKUP(B927,'Daftar Outlet'!$A$4:$B$22,2,FALSE),""))</f>
        <v/>
      </c>
      <c r="D927" s="8" t="n"/>
      <c r="E927" s="6" t="n"/>
      <c r="F927" s="8" t="n"/>
    </row>
    <row r="928">
      <c r="A928" s="7" t="n"/>
      <c r="B928" s="8" t="n"/>
      <c r="C928" s="9">
        <f>IF(B928="","",IFERROR(VLOOKUP(B928,'Daftar Outlet'!$A$4:$B$22,2,FALSE),""))</f>
        <v/>
      </c>
      <c r="D928" s="8" t="n"/>
      <c r="E928" s="6" t="n"/>
      <c r="F928" s="8" t="n"/>
    </row>
    <row r="929">
      <c r="A929" s="7" t="n"/>
      <c r="B929" s="8" t="n"/>
      <c r="C929" s="9">
        <f>IF(B929="","",IFERROR(VLOOKUP(B929,'Daftar Outlet'!$A$4:$B$22,2,FALSE),""))</f>
        <v/>
      </c>
      <c r="D929" s="8" t="n"/>
      <c r="E929" s="6" t="n"/>
      <c r="F929" s="8" t="n"/>
    </row>
    <row r="930">
      <c r="A930" s="7" t="n"/>
      <c r="B930" s="8" t="n"/>
      <c r="C930" s="9">
        <f>IF(B930="","",IFERROR(VLOOKUP(B930,'Daftar Outlet'!$A$4:$B$22,2,FALSE),""))</f>
        <v/>
      </c>
      <c r="D930" s="8" t="n"/>
      <c r="E930" s="6" t="n"/>
      <c r="F930" s="8" t="n"/>
    </row>
    <row r="931">
      <c r="A931" s="7" t="n"/>
      <c r="B931" s="8" t="n"/>
      <c r="C931" s="9">
        <f>IF(B931="","",IFERROR(VLOOKUP(B931,'Daftar Outlet'!$A$4:$B$22,2,FALSE),""))</f>
        <v/>
      </c>
      <c r="D931" s="8" t="n"/>
      <c r="E931" s="6" t="n"/>
      <c r="F931" s="8" t="n"/>
    </row>
    <row r="932">
      <c r="A932" s="7" t="n"/>
      <c r="B932" s="8" t="n"/>
      <c r="C932" s="9">
        <f>IF(B932="","",IFERROR(VLOOKUP(B932,'Daftar Outlet'!$A$4:$B$22,2,FALSE),""))</f>
        <v/>
      </c>
      <c r="D932" s="8" t="n"/>
      <c r="E932" s="6" t="n"/>
      <c r="F932" s="8" t="n"/>
    </row>
    <row r="933">
      <c r="A933" s="7" t="n"/>
      <c r="B933" s="8" t="n"/>
      <c r="C933" s="9">
        <f>IF(B933="","",IFERROR(VLOOKUP(B933,'Daftar Outlet'!$A$4:$B$22,2,FALSE),""))</f>
        <v/>
      </c>
      <c r="D933" s="8" t="n"/>
      <c r="E933" s="6" t="n"/>
      <c r="F933" s="8" t="n"/>
    </row>
    <row r="934">
      <c r="A934" s="7" t="n"/>
      <c r="B934" s="8" t="n"/>
      <c r="C934" s="9">
        <f>IF(B934="","",IFERROR(VLOOKUP(B934,'Daftar Outlet'!$A$4:$B$22,2,FALSE),""))</f>
        <v/>
      </c>
      <c r="D934" s="8" t="n"/>
      <c r="E934" s="6" t="n"/>
      <c r="F934" s="8" t="n"/>
    </row>
    <row r="935">
      <c r="A935" s="7" t="n"/>
      <c r="B935" s="8" t="n"/>
      <c r="C935" s="9">
        <f>IF(B935="","",IFERROR(VLOOKUP(B935,'Daftar Outlet'!$A$4:$B$22,2,FALSE),""))</f>
        <v/>
      </c>
      <c r="D935" s="8" t="n"/>
      <c r="E935" s="6" t="n"/>
      <c r="F935" s="8" t="n"/>
    </row>
    <row r="936">
      <c r="A936" s="7" t="n"/>
      <c r="B936" s="8" t="n"/>
      <c r="C936" s="9">
        <f>IF(B936="","",IFERROR(VLOOKUP(B936,'Daftar Outlet'!$A$4:$B$22,2,FALSE),""))</f>
        <v/>
      </c>
      <c r="D936" s="8" t="n"/>
      <c r="E936" s="6" t="n"/>
      <c r="F936" s="8" t="n"/>
    </row>
    <row r="937">
      <c r="A937" s="7" t="n"/>
      <c r="B937" s="8" t="n"/>
      <c r="C937" s="9">
        <f>IF(B937="","",IFERROR(VLOOKUP(B937,'Daftar Outlet'!$A$4:$B$22,2,FALSE),""))</f>
        <v/>
      </c>
      <c r="D937" s="8" t="n"/>
      <c r="E937" s="6" t="n"/>
      <c r="F937" s="8" t="n"/>
    </row>
    <row r="938">
      <c r="A938" s="7" t="n"/>
      <c r="B938" s="8" t="n"/>
      <c r="C938" s="9">
        <f>IF(B938="","",IFERROR(VLOOKUP(B938,'Daftar Outlet'!$A$4:$B$22,2,FALSE),""))</f>
        <v/>
      </c>
      <c r="D938" s="8" t="n"/>
      <c r="E938" s="6" t="n"/>
      <c r="F938" s="8" t="n"/>
    </row>
    <row r="939">
      <c r="A939" s="7" t="n"/>
      <c r="B939" s="8" t="n"/>
      <c r="C939" s="9">
        <f>IF(B939="","",IFERROR(VLOOKUP(B939,'Daftar Outlet'!$A$4:$B$22,2,FALSE),""))</f>
        <v/>
      </c>
      <c r="D939" s="8" t="n"/>
      <c r="E939" s="6" t="n"/>
      <c r="F939" s="8" t="n"/>
    </row>
    <row r="940">
      <c r="A940" s="7" t="n"/>
      <c r="B940" s="8" t="n"/>
      <c r="C940" s="9">
        <f>IF(B940="","",IFERROR(VLOOKUP(B940,'Daftar Outlet'!$A$4:$B$22,2,FALSE),""))</f>
        <v/>
      </c>
      <c r="D940" s="8" t="n"/>
      <c r="E940" s="6" t="n"/>
      <c r="F940" s="8" t="n"/>
    </row>
    <row r="941">
      <c r="A941" s="7" t="n"/>
      <c r="B941" s="8" t="n"/>
      <c r="C941" s="9">
        <f>IF(B941="","",IFERROR(VLOOKUP(B941,'Daftar Outlet'!$A$4:$B$22,2,FALSE),""))</f>
        <v/>
      </c>
      <c r="D941" s="8" t="n"/>
      <c r="E941" s="6" t="n"/>
      <c r="F941" s="8" t="n"/>
    </row>
    <row r="942">
      <c r="A942" s="7" t="n"/>
      <c r="B942" s="8" t="n"/>
      <c r="C942" s="9">
        <f>IF(B942="","",IFERROR(VLOOKUP(B942,'Daftar Outlet'!$A$4:$B$22,2,FALSE),""))</f>
        <v/>
      </c>
      <c r="D942" s="8" t="n"/>
      <c r="E942" s="6" t="n"/>
      <c r="F942" s="8" t="n"/>
    </row>
    <row r="943">
      <c r="A943" s="7" t="n"/>
      <c r="B943" s="8" t="n"/>
      <c r="C943" s="9">
        <f>IF(B943="","",IFERROR(VLOOKUP(B943,'Daftar Outlet'!$A$4:$B$22,2,FALSE),""))</f>
        <v/>
      </c>
      <c r="D943" s="8" t="n"/>
      <c r="E943" s="6" t="n"/>
      <c r="F943" s="8" t="n"/>
    </row>
    <row r="944">
      <c r="A944" s="7" t="n"/>
      <c r="B944" s="8" t="n"/>
      <c r="C944" s="9">
        <f>IF(B944="","",IFERROR(VLOOKUP(B944,'Daftar Outlet'!$A$4:$B$22,2,FALSE),""))</f>
        <v/>
      </c>
      <c r="D944" s="8" t="n"/>
      <c r="E944" s="6" t="n"/>
      <c r="F944" s="8" t="n"/>
    </row>
    <row r="945">
      <c r="A945" s="7" t="n"/>
      <c r="B945" s="8" t="n"/>
      <c r="C945" s="9">
        <f>IF(B945="","",IFERROR(VLOOKUP(B945,'Daftar Outlet'!$A$4:$B$22,2,FALSE),""))</f>
        <v/>
      </c>
      <c r="D945" s="8" t="n"/>
      <c r="E945" s="6" t="n"/>
      <c r="F945" s="8" t="n"/>
    </row>
    <row r="946">
      <c r="A946" s="7" t="n"/>
      <c r="B946" s="8" t="n"/>
      <c r="C946" s="9">
        <f>IF(B946="","",IFERROR(VLOOKUP(B946,'Daftar Outlet'!$A$4:$B$22,2,FALSE),""))</f>
        <v/>
      </c>
      <c r="D946" s="8" t="n"/>
      <c r="E946" s="6" t="n"/>
      <c r="F946" s="8" t="n"/>
    </row>
    <row r="947">
      <c r="A947" s="7" t="n"/>
      <c r="B947" s="8" t="n"/>
      <c r="C947" s="9">
        <f>IF(B947="","",IFERROR(VLOOKUP(B947,'Daftar Outlet'!$A$4:$B$22,2,FALSE),""))</f>
        <v/>
      </c>
      <c r="D947" s="8" t="n"/>
      <c r="E947" s="6" t="n"/>
      <c r="F947" s="8" t="n"/>
    </row>
    <row r="948">
      <c r="A948" s="7" t="n"/>
      <c r="B948" s="8" t="n"/>
      <c r="C948" s="9">
        <f>IF(B948="","",IFERROR(VLOOKUP(B948,'Daftar Outlet'!$A$4:$B$22,2,FALSE),""))</f>
        <v/>
      </c>
      <c r="D948" s="8" t="n"/>
      <c r="E948" s="6" t="n"/>
      <c r="F948" s="8" t="n"/>
    </row>
    <row r="949">
      <c r="A949" s="7" t="n"/>
      <c r="B949" s="8" t="n"/>
      <c r="C949" s="9">
        <f>IF(B949="","",IFERROR(VLOOKUP(B949,'Daftar Outlet'!$A$4:$B$22,2,FALSE),""))</f>
        <v/>
      </c>
      <c r="D949" s="8" t="n"/>
      <c r="E949" s="6" t="n"/>
      <c r="F949" s="8" t="n"/>
    </row>
    <row r="950">
      <c r="A950" s="7" t="n"/>
      <c r="B950" s="8" t="n"/>
      <c r="C950" s="9">
        <f>IF(B950="","",IFERROR(VLOOKUP(B950,'Daftar Outlet'!$A$4:$B$22,2,FALSE),""))</f>
        <v/>
      </c>
      <c r="D950" s="8" t="n"/>
      <c r="E950" s="6" t="n"/>
      <c r="F950" s="8" t="n"/>
    </row>
    <row r="951">
      <c r="A951" s="7" t="n"/>
      <c r="B951" s="8" t="n"/>
      <c r="C951" s="9">
        <f>IF(B951="","",IFERROR(VLOOKUP(B951,'Daftar Outlet'!$A$4:$B$22,2,FALSE),""))</f>
        <v/>
      </c>
      <c r="D951" s="8" t="n"/>
      <c r="E951" s="6" t="n"/>
      <c r="F951" s="8" t="n"/>
    </row>
    <row r="952">
      <c r="A952" s="7" t="n"/>
      <c r="B952" s="8" t="n"/>
      <c r="C952" s="9">
        <f>IF(B952="","",IFERROR(VLOOKUP(B952,'Daftar Outlet'!$A$4:$B$22,2,FALSE),""))</f>
        <v/>
      </c>
      <c r="D952" s="8" t="n"/>
      <c r="E952" s="6" t="n"/>
      <c r="F952" s="8" t="n"/>
    </row>
    <row r="953">
      <c r="A953" s="7" t="n"/>
      <c r="B953" s="8" t="n"/>
      <c r="C953" s="9">
        <f>IF(B953="","",IFERROR(VLOOKUP(B953,'Daftar Outlet'!$A$4:$B$22,2,FALSE),""))</f>
        <v/>
      </c>
      <c r="D953" s="8" t="n"/>
      <c r="E953" s="6" t="n"/>
      <c r="F953" s="8" t="n"/>
    </row>
    <row r="954">
      <c r="A954" s="7" t="n"/>
      <c r="B954" s="8" t="n"/>
      <c r="C954" s="9">
        <f>IF(B954="","",IFERROR(VLOOKUP(B954,'Daftar Outlet'!$A$4:$B$22,2,FALSE),""))</f>
        <v/>
      </c>
      <c r="D954" s="8" t="n"/>
      <c r="E954" s="6" t="n"/>
      <c r="F954" s="8" t="n"/>
    </row>
    <row r="955">
      <c r="A955" s="7" t="n"/>
      <c r="B955" s="8" t="n"/>
      <c r="C955" s="9">
        <f>IF(B955="","",IFERROR(VLOOKUP(B955,'Daftar Outlet'!$A$4:$B$22,2,FALSE),""))</f>
        <v/>
      </c>
      <c r="D955" s="8" t="n"/>
      <c r="E955" s="6" t="n"/>
      <c r="F955" s="8" t="n"/>
    </row>
    <row r="956">
      <c r="A956" s="7" t="n"/>
      <c r="B956" s="8" t="n"/>
      <c r="C956" s="9">
        <f>IF(B956="","",IFERROR(VLOOKUP(B956,'Daftar Outlet'!$A$4:$B$22,2,FALSE),""))</f>
        <v/>
      </c>
      <c r="D956" s="8" t="n"/>
      <c r="E956" s="6" t="n"/>
      <c r="F956" s="8" t="n"/>
    </row>
    <row r="957">
      <c r="A957" s="7" t="n"/>
      <c r="B957" s="8" t="n"/>
      <c r="C957" s="9">
        <f>IF(B957="","",IFERROR(VLOOKUP(B957,'Daftar Outlet'!$A$4:$B$22,2,FALSE),""))</f>
        <v/>
      </c>
      <c r="D957" s="8" t="n"/>
      <c r="E957" s="6" t="n"/>
      <c r="F957" s="8" t="n"/>
    </row>
    <row r="958">
      <c r="A958" s="7" t="n"/>
      <c r="B958" s="8" t="n"/>
      <c r="C958" s="9">
        <f>IF(B958="","",IFERROR(VLOOKUP(B958,'Daftar Outlet'!$A$4:$B$22,2,FALSE),""))</f>
        <v/>
      </c>
      <c r="D958" s="8" t="n"/>
      <c r="E958" s="6" t="n"/>
      <c r="F958" s="8" t="n"/>
    </row>
    <row r="959">
      <c r="A959" s="7" t="n"/>
      <c r="B959" s="8" t="n"/>
      <c r="C959" s="9">
        <f>IF(B959="","",IFERROR(VLOOKUP(B959,'Daftar Outlet'!$A$4:$B$22,2,FALSE),""))</f>
        <v/>
      </c>
      <c r="D959" s="8" t="n"/>
      <c r="E959" s="6" t="n"/>
      <c r="F959" s="8" t="n"/>
    </row>
    <row r="960">
      <c r="A960" s="7" t="n"/>
      <c r="B960" s="8" t="n"/>
      <c r="C960" s="9">
        <f>IF(B960="","",IFERROR(VLOOKUP(B960,'Daftar Outlet'!$A$4:$B$22,2,FALSE),""))</f>
        <v/>
      </c>
      <c r="D960" s="8" t="n"/>
      <c r="E960" s="6" t="n"/>
      <c r="F960" s="8" t="n"/>
    </row>
    <row r="961">
      <c r="A961" s="7" t="n"/>
      <c r="B961" s="8" t="n"/>
      <c r="C961" s="9">
        <f>IF(B961="","",IFERROR(VLOOKUP(B961,'Daftar Outlet'!$A$4:$B$22,2,FALSE),""))</f>
        <v/>
      </c>
      <c r="D961" s="8" t="n"/>
      <c r="E961" s="6" t="n"/>
      <c r="F961" s="8" t="n"/>
    </row>
    <row r="962">
      <c r="A962" s="7" t="n"/>
      <c r="B962" s="8" t="n"/>
      <c r="C962" s="9">
        <f>IF(B962="","",IFERROR(VLOOKUP(B962,'Daftar Outlet'!$A$4:$B$22,2,FALSE),""))</f>
        <v/>
      </c>
      <c r="D962" s="8" t="n"/>
      <c r="E962" s="6" t="n"/>
      <c r="F962" s="8" t="n"/>
    </row>
    <row r="963">
      <c r="A963" s="7" t="n"/>
      <c r="B963" s="8" t="n"/>
      <c r="C963" s="9">
        <f>IF(B963="","",IFERROR(VLOOKUP(B963,'Daftar Outlet'!$A$4:$B$22,2,FALSE),""))</f>
        <v/>
      </c>
      <c r="D963" s="8" t="n"/>
      <c r="E963" s="6" t="n"/>
      <c r="F963" s="8" t="n"/>
    </row>
    <row r="964">
      <c r="A964" s="7" t="n"/>
      <c r="B964" s="8" t="n"/>
      <c r="C964" s="9">
        <f>IF(B964="","",IFERROR(VLOOKUP(B964,'Daftar Outlet'!$A$4:$B$22,2,FALSE),""))</f>
        <v/>
      </c>
      <c r="D964" s="8" t="n"/>
      <c r="E964" s="6" t="n"/>
      <c r="F964" s="8" t="n"/>
    </row>
    <row r="965">
      <c r="A965" s="7" t="n"/>
      <c r="B965" s="8" t="n"/>
      <c r="C965" s="9">
        <f>IF(B965="","",IFERROR(VLOOKUP(B965,'Daftar Outlet'!$A$4:$B$22,2,FALSE),""))</f>
        <v/>
      </c>
      <c r="D965" s="8" t="n"/>
      <c r="E965" s="6" t="n"/>
      <c r="F965" s="8" t="n"/>
    </row>
    <row r="966">
      <c r="A966" s="7" t="n"/>
      <c r="B966" s="8" t="n"/>
      <c r="C966" s="9">
        <f>IF(B966="","",IFERROR(VLOOKUP(B966,'Daftar Outlet'!$A$4:$B$22,2,FALSE),""))</f>
        <v/>
      </c>
      <c r="D966" s="8" t="n"/>
      <c r="E966" s="6" t="n"/>
      <c r="F966" s="8" t="n"/>
    </row>
    <row r="967">
      <c r="A967" s="7" t="n"/>
      <c r="B967" s="8" t="n"/>
      <c r="C967" s="9">
        <f>IF(B967="","",IFERROR(VLOOKUP(B967,'Daftar Outlet'!$A$4:$B$22,2,FALSE),""))</f>
        <v/>
      </c>
      <c r="D967" s="8" t="n"/>
      <c r="E967" s="6" t="n"/>
      <c r="F967" s="8" t="n"/>
    </row>
    <row r="968">
      <c r="A968" s="7" t="n"/>
      <c r="B968" s="8" t="n"/>
      <c r="C968" s="9">
        <f>IF(B968="","",IFERROR(VLOOKUP(B968,'Daftar Outlet'!$A$4:$B$22,2,FALSE),""))</f>
        <v/>
      </c>
      <c r="D968" s="8" t="n"/>
      <c r="E968" s="6" t="n"/>
      <c r="F968" s="8" t="n"/>
    </row>
    <row r="969">
      <c r="A969" s="7" t="n"/>
      <c r="B969" s="8" t="n"/>
      <c r="C969" s="9">
        <f>IF(B969="","",IFERROR(VLOOKUP(B969,'Daftar Outlet'!$A$4:$B$22,2,FALSE),""))</f>
        <v/>
      </c>
      <c r="D969" s="8" t="n"/>
      <c r="E969" s="6" t="n"/>
      <c r="F969" s="8" t="n"/>
    </row>
    <row r="970">
      <c r="A970" s="7" t="n"/>
      <c r="B970" s="8" t="n"/>
      <c r="C970" s="9">
        <f>IF(B970="","",IFERROR(VLOOKUP(B970,'Daftar Outlet'!$A$4:$B$22,2,FALSE),""))</f>
        <v/>
      </c>
      <c r="D970" s="8" t="n"/>
      <c r="E970" s="6" t="n"/>
      <c r="F970" s="8" t="n"/>
    </row>
    <row r="971">
      <c r="A971" s="7" t="n"/>
      <c r="B971" s="8" t="n"/>
      <c r="C971" s="9">
        <f>IF(B971="","",IFERROR(VLOOKUP(B971,'Daftar Outlet'!$A$4:$B$22,2,FALSE),""))</f>
        <v/>
      </c>
      <c r="D971" s="8" t="n"/>
      <c r="E971" s="6" t="n"/>
      <c r="F971" s="8" t="n"/>
    </row>
    <row r="972">
      <c r="A972" s="7" t="n"/>
      <c r="B972" s="8" t="n"/>
      <c r="C972" s="9">
        <f>IF(B972="","",IFERROR(VLOOKUP(B972,'Daftar Outlet'!$A$4:$B$22,2,FALSE),""))</f>
        <v/>
      </c>
      <c r="D972" s="8" t="n"/>
      <c r="E972" s="6" t="n"/>
      <c r="F972" s="8" t="n"/>
    </row>
    <row r="973">
      <c r="A973" s="7" t="n"/>
      <c r="B973" s="8" t="n"/>
      <c r="C973" s="9">
        <f>IF(B973="","",IFERROR(VLOOKUP(B973,'Daftar Outlet'!$A$4:$B$22,2,FALSE),""))</f>
        <v/>
      </c>
      <c r="D973" s="8" t="n"/>
      <c r="E973" s="6" t="n"/>
      <c r="F973" s="8" t="n"/>
    </row>
    <row r="974">
      <c r="A974" s="7" t="n"/>
      <c r="B974" s="8" t="n"/>
      <c r="C974" s="9">
        <f>IF(B974="","",IFERROR(VLOOKUP(B974,'Daftar Outlet'!$A$4:$B$22,2,FALSE),""))</f>
        <v/>
      </c>
      <c r="D974" s="8" t="n"/>
      <c r="E974" s="6" t="n"/>
      <c r="F974" s="8" t="n"/>
    </row>
    <row r="975">
      <c r="A975" s="7" t="n"/>
      <c r="B975" s="8" t="n"/>
      <c r="C975" s="9">
        <f>IF(B975="","",IFERROR(VLOOKUP(B975,'Daftar Outlet'!$A$4:$B$22,2,FALSE),""))</f>
        <v/>
      </c>
      <c r="D975" s="8" t="n"/>
      <c r="E975" s="6" t="n"/>
      <c r="F975" s="8" t="n"/>
    </row>
    <row r="976">
      <c r="A976" s="7" t="n"/>
      <c r="B976" s="8" t="n"/>
      <c r="C976" s="9">
        <f>IF(B976="","",IFERROR(VLOOKUP(B976,'Daftar Outlet'!$A$4:$B$22,2,FALSE),""))</f>
        <v/>
      </c>
      <c r="D976" s="8" t="n"/>
      <c r="E976" s="6" t="n"/>
      <c r="F976" s="8" t="n"/>
    </row>
    <row r="977">
      <c r="A977" s="7" t="n"/>
      <c r="B977" s="8" t="n"/>
      <c r="C977" s="9">
        <f>IF(B977="","",IFERROR(VLOOKUP(B977,'Daftar Outlet'!$A$4:$B$22,2,FALSE),""))</f>
        <v/>
      </c>
      <c r="D977" s="8" t="n"/>
      <c r="E977" s="6" t="n"/>
      <c r="F977" s="8" t="n"/>
    </row>
    <row r="978">
      <c r="A978" s="7" t="n"/>
      <c r="B978" s="8" t="n"/>
      <c r="C978" s="9">
        <f>IF(B978="","",IFERROR(VLOOKUP(B978,'Daftar Outlet'!$A$4:$B$22,2,FALSE),""))</f>
        <v/>
      </c>
      <c r="D978" s="8" t="n"/>
      <c r="E978" s="6" t="n"/>
      <c r="F978" s="8" t="n"/>
    </row>
    <row r="979">
      <c r="A979" s="7" t="n"/>
      <c r="B979" s="8" t="n"/>
      <c r="C979" s="9">
        <f>IF(B979="","",IFERROR(VLOOKUP(B979,'Daftar Outlet'!$A$4:$B$22,2,FALSE),""))</f>
        <v/>
      </c>
      <c r="D979" s="8" t="n"/>
      <c r="E979" s="6" t="n"/>
      <c r="F979" s="8" t="n"/>
    </row>
    <row r="980">
      <c r="A980" s="7" t="n"/>
      <c r="B980" s="8" t="n"/>
      <c r="C980" s="9">
        <f>IF(B980="","",IFERROR(VLOOKUP(B980,'Daftar Outlet'!$A$4:$B$22,2,FALSE),""))</f>
        <v/>
      </c>
      <c r="D980" s="8" t="n"/>
      <c r="E980" s="6" t="n"/>
      <c r="F980" s="8" t="n"/>
    </row>
    <row r="981">
      <c r="A981" s="7" t="n"/>
      <c r="B981" s="8" t="n"/>
      <c r="C981" s="9">
        <f>IF(B981="","",IFERROR(VLOOKUP(B981,'Daftar Outlet'!$A$4:$B$22,2,FALSE),""))</f>
        <v/>
      </c>
      <c r="D981" s="8" t="n"/>
      <c r="E981" s="6" t="n"/>
      <c r="F981" s="8" t="n"/>
    </row>
    <row r="982">
      <c r="A982" s="7" t="n"/>
      <c r="B982" s="8" t="n"/>
      <c r="C982" s="9">
        <f>IF(B982="","",IFERROR(VLOOKUP(B982,'Daftar Outlet'!$A$4:$B$22,2,FALSE),""))</f>
        <v/>
      </c>
      <c r="D982" s="8" t="n"/>
      <c r="E982" s="6" t="n"/>
      <c r="F982" s="8" t="n"/>
    </row>
    <row r="983">
      <c r="A983" s="7" t="n"/>
      <c r="B983" s="8" t="n"/>
      <c r="C983" s="9">
        <f>IF(B983="","",IFERROR(VLOOKUP(B983,'Daftar Outlet'!$A$4:$B$22,2,FALSE),""))</f>
        <v/>
      </c>
      <c r="D983" s="8" t="n"/>
      <c r="E983" s="6" t="n"/>
      <c r="F983" s="8" t="n"/>
    </row>
    <row r="984">
      <c r="A984" s="7" t="n"/>
      <c r="B984" s="8" t="n"/>
      <c r="C984" s="9">
        <f>IF(B984="","",IFERROR(VLOOKUP(B984,'Daftar Outlet'!$A$4:$B$22,2,FALSE),""))</f>
        <v/>
      </c>
      <c r="D984" s="8" t="n"/>
      <c r="E984" s="6" t="n"/>
      <c r="F984" s="8" t="n"/>
    </row>
    <row r="985">
      <c r="A985" s="7" t="n"/>
      <c r="B985" s="8" t="n"/>
      <c r="C985" s="9">
        <f>IF(B985="","",IFERROR(VLOOKUP(B985,'Daftar Outlet'!$A$4:$B$22,2,FALSE),""))</f>
        <v/>
      </c>
      <c r="D985" s="8" t="n"/>
      <c r="E985" s="6" t="n"/>
      <c r="F985" s="8" t="n"/>
    </row>
    <row r="986">
      <c r="A986" s="7" t="n"/>
      <c r="B986" s="8" t="n"/>
      <c r="C986" s="9">
        <f>IF(B986="","",IFERROR(VLOOKUP(B986,'Daftar Outlet'!$A$4:$B$22,2,FALSE),""))</f>
        <v/>
      </c>
      <c r="D986" s="8" t="n"/>
      <c r="E986" s="6" t="n"/>
      <c r="F986" s="8" t="n"/>
    </row>
    <row r="987">
      <c r="A987" s="7" t="n"/>
      <c r="B987" s="8" t="n"/>
      <c r="C987" s="9">
        <f>IF(B987="","",IFERROR(VLOOKUP(B987,'Daftar Outlet'!$A$4:$B$22,2,FALSE),""))</f>
        <v/>
      </c>
      <c r="D987" s="8" t="n"/>
      <c r="E987" s="6" t="n"/>
      <c r="F987" s="8" t="n"/>
    </row>
    <row r="988">
      <c r="A988" s="7" t="n"/>
      <c r="B988" s="8" t="n"/>
      <c r="C988" s="9">
        <f>IF(B988="","",IFERROR(VLOOKUP(B988,'Daftar Outlet'!$A$4:$B$22,2,FALSE),""))</f>
        <v/>
      </c>
      <c r="D988" s="8" t="n"/>
      <c r="E988" s="6" t="n"/>
      <c r="F988" s="8" t="n"/>
    </row>
    <row r="989">
      <c r="A989" s="7" t="n"/>
      <c r="B989" s="8" t="n"/>
      <c r="C989" s="9">
        <f>IF(B989="","",IFERROR(VLOOKUP(B989,'Daftar Outlet'!$A$4:$B$22,2,FALSE),""))</f>
        <v/>
      </c>
      <c r="D989" s="8" t="n"/>
      <c r="E989" s="6" t="n"/>
      <c r="F989" s="8" t="n"/>
    </row>
    <row r="990">
      <c r="A990" s="7" t="n"/>
      <c r="B990" s="8" t="n"/>
      <c r="C990" s="9">
        <f>IF(B990="","",IFERROR(VLOOKUP(B990,'Daftar Outlet'!$A$4:$B$22,2,FALSE),""))</f>
        <v/>
      </c>
      <c r="D990" s="8" t="n"/>
      <c r="E990" s="6" t="n"/>
      <c r="F990" s="8" t="n"/>
    </row>
    <row r="991">
      <c r="A991" s="7" t="n"/>
      <c r="B991" s="8" t="n"/>
      <c r="C991" s="9">
        <f>IF(B991="","",IFERROR(VLOOKUP(B991,'Daftar Outlet'!$A$4:$B$22,2,FALSE),""))</f>
        <v/>
      </c>
      <c r="D991" s="8" t="n"/>
      <c r="E991" s="6" t="n"/>
      <c r="F991" s="8" t="n"/>
    </row>
    <row r="992">
      <c r="A992" s="7" t="n"/>
      <c r="B992" s="8" t="n"/>
      <c r="C992" s="9">
        <f>IF(B992="","",IFERROR(VLOOKUP(B992,'Daftar Outlet'!$A$4:$B$22,2,FALSE),""))</f>
        <v/>
      </c>
      <c r="D992" s="8" t="n"/>
      <c r="E992" s="6" t="n"/>
      <c r="F992" s="8" t="n"/>
    </row>
    <row r="993">
      <c r="A993" s="7" t="n"/>
      <c r="B993" s="8" t="n"/>
      <c r="C993" s="9">
        <f>IF(B993="","",IFERROR(VLOOKUP(B993,'Daftar Outlet'!$A$4:$B$22,2,FALSE),""))</f>
        <v/>
      </c>
      <c r="D993" s="8" t="n"/>
      <c r="E993" s="6" t="n"/>
      <c r="F993" s="8" t="n"/>
    </row>
    <row r="994">
      <c r="A994" s="7" t="n"/>
      <c r="B994" s="8" t="n"/>
      <c r="C994" s="9">
        <f>IF(B994="","",IFERROR(VLOOKUP(B994,'Daftar Outlet'!$A$4:$B$22,2,FALSE),""))</f>
        <v/>
      </c>
      <c r="D994" s="8" t="n"/>
      <c r="E994" s="6" t="n"/>
      <c r="F994" s="8" t="n"/>
    </row>
    <row r="995">
      <c r="A995" s="7" t="n"/>
      <c r="B995" s="8" t="n"/>
      <c r="C995" s="9">
        <f>IF(B995="","",IFERROR(VLOOKUP(B995,'Daftar Outlet'!$A$4:$B$22,2,FALSE),""))</f>
        <v/>
      </c>
      <c r="D995" s="8" t="n"/>
      <c r="E995" s="6" t="n"/>
      <c r="F995" s="8" t="n"/>
    </row>
    <row r="996">
      <c r="A996" s="7" t="n"/>
      <c r="B996" s="8" t="n"/>
      <c r="C996" s="9">
        <f>IF(B996="","",IFERROR(VLOOKUP(B996,'Daftar Outlet'!$A$4:$B$22,2,FALSE),""))</f>
        <v/>
      </c>
      <c r="D996" s="8" t="n"/>
      <c r="E996" s="6" t="n"/>
      <c r="F996" s="8" t="n"/>
    </row>
    <row r="997">
      <c r="A997" s="7" t="n"/>
      <c r="B997" s="8" t="n"/>
      <c r="C997" s="9">
        <f>IF(B997="","",IFERROR(VLOOKUP(B997,'Daftar Outlet'!$A$4:$B$22,2,FALSE),""))</f>
        <v/>
      </c>
      <c r="D997" s="8" t="n"/>
      <c r="E997" s="6" t="n"/>
      <c r="F997" s="8" t="n"/>
    </row>
    <row r="998">
      <c r="A998" s="7" t="n"/>
      <c r="B998" s="8" t="n"/>
      <c r="C998" s="9">
        <f>IF(B998="","",IFERROR(VLOOKUP(B998,'Daftar Outlet'!$A$4:$B$22,2,FALSE),""))</f>
        <v/>
      </c>
      <c r="D998" s="8" t="n"/>
      <c r="E998" s="6" t="n"/>
      <c r="F998" s="8" t="n"/>
    </row>
    <row r="999">
      <c r="A999" s="7" t="n"/>
      <c r="B999" s="8" t="n"/>
      <c r="C999" s="9">
        <f>IF(B999="","",IFERROR(VLOOKUP(B999,'Daftar Outlet'!$A$4:$B$22,2,FALSE),""))</f>
        <v/>
      </c>
      <c r="D999" s="8" t="n"/>
      <c r="E999" s="6" t="n"/>
      <c r="F999" s="8" t="n"/>
    </row>
    <row r="1000">
      <c r="A1000" s="7" t="n"/>
      <c r="B1000" s="8" t="n"/>
      <c r="C1000" s="9">
        <f>IF(B1000="","",IFERROR(VLOOKUP(B1000,'Daftar Outlet'!$A$4:$B$22,2,FALSE),""))</f>
        <v/>
      </c>
      <c r="D1000" s="8" t="n"/>
      <c r="E1000" s="6" t="n"/>
      <c r="F1000" s="8" t="n"/>
    </row>
    <row r="1001">
      <c r="A1001" s="7" t="n"/>
      <c r="B1001" s="8" t="n"/>
      <c r="C1001" s="9">
        <f>IF(B1001="","",IFERROR(VLOOKUP(B1001,'Daftar Outlet'!$A$4:$B$22,2,FALSE),""))</f>
        <v/>
      </c>
      <c r="D1001" s="8" t="n"/>
      <c r="E1001" s="6" t="n"/>
      <c r="F1001" s="8" t="n"/>
    </row>
    <row r="1002">
      <c r="A1002" s="7" t="n"/>
      <c r="B1002" s="8" t="n"/>
      <c r="C1002" s="9">
        <f>IF(B1002="","",IFERROR(VLOOKUP(B1002,'Daftar Outlet'!$A$4:$B$22,2,FALSE),""))</f>
        <v/>
      </c>
      <c r="D1002" s="8" t="n"/>
      <c r="E1002" s="6" t="n"/>
      <c r="F1002" s="8" t="n"/>
    </row>
    <row r="1003">
      <c r="A1003" s="7" t="n"/>
      <c r="B1003" s="8" t="n"/>
      <c r="C1003" s="9">
        <f>IF(B1003="","",IFERROR(VLOOKUP(B1003,'Daftar Outlet'!$A$4:$B$22,2,FALSE),""))</f>
        <v/>
      </c>
      <c r="D1003" s="8" t="n"/>
      <c r="E1003" s="6" t="n"/>
      <c r="F1003" s="8" t="n"/>
    </row>
    <row r="1004">
      <c r="A1004" s="7" t="n"/>
      <c r="B1004" s="8" t="n"/>
      <c r="C1004" s="9">
        <f>IF(B1004="","",IFERROR(VLOOKUP(B1004,'Daftar Outlet'!$A$4:$B$22,2,FALSE),""))</f>
        <v/>
      </c>
      <c r="D1004" s="8" t="n"/>
      <c r="E1004" s="6" t="n"/>
      <c r="F1004" s="8" t="n"/>
    </row>
    <row r="1005">
      <c r="A1005" s="7" t="n"/>
      <c r="B1005" s="8" t="n"/>
      <c r="C1005" s="9">
        <f>IF(B1005="","",IFERROR(VLOOKUP(B1005,'Daftar Outlet'!$A$4:$B$22,2,FALSE),""))</f>
        <v/>
      </c>
      <c r="D1005" s="8" t="n"/>
      <c r="E1005" s="6" t="n"/>
      <c r="F1005" s="8" t="n"/>
    </row>
    <row r="1006">
      <c r="A1006" s="7" t="n"/>
      <c r="B1006" s="8" t="n"/>
      <c r="C1006" s="9">
        <f>IF(B1006="","",IFERROR(VLOOKUP(B1006,'Daftar Outlet'!$A$4:$B$22,2,FALSE),""))</f>
        <v/>
      </c>
      <c r="D1006" s="8" t="n"/>
      <c r="E1006" s="6" t="n"/>
      <c r="F1006" s="8" t="n"/>
    </row>
    <row r="1007">
      <c r="A1007" s="7" t="n"/>
      <c r="B1007" s="8" t="n"/>
      <c r="C1007" s="9">
        <f>IF(B1007="","",IFERROR(VLOOKUP(B1007,'Daftar Outlet'!$A$4:$B$22,2,FALSE),""))</f>
        <v/>
      </c>
      <c r="D1007" s="8" t="n"/>
      <c r="E1007" s="6" t="n"/>
      <c r="F1007" s="8" t="n"/>
    </row>
    <row r="1008">
      <c r="A1008" s="7" t="n"/>
      <c r="B1008" s="8" t="n"/>
      <c r="C1008" s="9">
        <f>IF(B1008="","",IFERROR(VLOOKUP(B1008,'Daftar Outlet'!$A$4:$B$22,2,FALSE),""))</f>
        <v/>
      </c>
      <c r="D1008" s="8" t="n"/>
      <c r="E1008" s="6" t="n"/>
      <c r="F1008" s="8" t="n"/>
    </row>
    <row r="1009">
      <c r="A1009" s="7" t="n"/>
      <c r="B1009" s="8" t="n"/>
      <c r="C1009" s="9">
        <f>IF(B1009="","",IFERROR(VLOOKUP(B1009,'Daftar Outlet'!$A$4:$B$22,2,FALSE),""))</f>
        <v/>
      </c>
      <c r="D1009" s="8" t="n"/>
      <c r="E1009" s="6" t="n"/>
      <c r="F1009" s="8" t="n"/>
    </row>
    <row r="1010">
      <c r="A1010" s="7" t="n"/>
      <c r="B1010" s="8" t="n"/>
      <c r="C1010" s="9">
        <f>IF(B1010="","",IFERROR(VLOOKUP(B1010,'Daftar Outlet'!$A$4:$B$22,2,FALSE),""))</f>
        <v/>
      </c>
      <c r="D1010" s="8" t="n"/>
      <c r="E1010" s="6" t="n"/>
      <c r="F1010" s="8" t="n"/>
    </row>
    <row r="1011">
      <c r="A1011" s="7" t="n"/>
      <c r="B1011" s="8" t="n"/>
      <c r="C1011" s="9">
        <f>IF(B1011="","",IFERROR(VLOOKUP(B1011,'Daftar Outlet'!$A$4:$B$22,2,FALSE),""))</f>
        <v/>
      </c>
      <c r="D1011" s="8" t="n"/>
      <c r="E1011" s="6" t="n"/>
      <c r="F1011" s="8" t="n"/>
    </row>
    <row r="1012">
      <c r="A1012" s="7" t="n"/>
      <c r="B1012" s="8" t="n"/>
      <c r="C1012" s="9">
        <f>IF(B1012="","",IFERROR(VLOOKUP(B1012,'Daftar Outlet'!$A$4:$B$22,2,FALSE),""))</f>
        <v/>
      </c>
      <c r="D1012" s="8" t="n"/>
      <c r="E1012" s="6" t="n"/>
      <c r="F1012" s="8" t="n"/>
    </row>
    <row r="1013">
      <c r="A1013" s="7" t="n"/>
      <c r="B1013" s="8" t="n"/>
      <c r="C1013" s="9">
        <f>IF(B1013="","",IFERROR(VLOOKUP(B1013,'Daftar Outlet'!$A$4:$B$22,2,FALSE),""))</f>
        <v/>
      </c>
      <c r="D1013" s="8" t="n"/>
      <c r="E1013" s="6" t="n"/>
      <c r="F1013" s="8" t="n"/>
    </row>
    <row r="1014">
      <c r="A1014" s="7" t="n"/>
      <c r="B1014" s="8" t="n"/>
      <c r="C1014" s="9">
        <f>IF(B1014="","",IFERROR(VLOOKUP(B1014,'Daftar Outlet'!$A$4:$B$22,2,FALSE),""))</f>
        <v/>
      </c>
      <c r="D1014" s="8" t="n"/>
      <c r="E1014" s="6" t="n"/>
      <c r="F1014" s="8" t="n"/>
    </row>
    <row r="1015">
      <c r="A1015" s="7" t="n"/>
      <c r="B1015" s="8" t="n"/>
      <c r="C1015" s="9">
        <f>IF(B1015="","",IFERROR(VLOOKUP(B1015,'Daftar Outlet'!$A$4:$B$22,2,FALSE),""))</f>
        <v/>
      </c>
      <c r="D1015" s="8" t="n"/>
      <c r="E1015" s="6" t="n"/>
      <c r="F1015" s="8" t="n"/>
    </row>
    <row r="1016">
      <c r="A1016" s="7" t="n"/>
      <c r="B1016" s="8" t="n"/>
      <c r="C1016" s="9">
        <f>IF(B1016="","",IFERROR(VLOOKUP(B1016,'Daftar Outlet'!$A$4:$B$22,2,FALSE),""))</f>
        <v/>
      </c>
      <c r="D1016" s="8" t="n"/>
      <c r="E1016" s="6" t="n"/>
      <c r="F1016" s="8" t="n"/>
    </row>
    <row r="1017">
      <c r="A1017" s="7" t="n"/>
      <c r="B1017" s="8" t="n"/>
      <c r="C1017" s="9">
        <f>IF(B1017="","",IFERROR(VLOOKUP(B1017,'Daftar Outlet'!$A$4:$B$22,2,FALSE),""))</f>
        <v/>
      </c>
      <c r="D1017" s="8" t="n"/>
      <c r="E1017" s="6" t="n"/>
      <c r="F1017" s="8" t="n"/>
    </row>
    <row r="1018">
      <c r="A1018" s="7" t="n"/>
      <c r="B1018" s="8" t="n"/>
      <c r="C1018" s="9">
        <f>IF(B1018="","",IFERROR(VLOOKUP(B1018,'Daftar Outlet'!$A$4:$B$22,2,FALSE),""))</f>
        <v/>
      </c>
      <c r="D1018" s="8" t="n"/>
      <c r="E1018" s="6" t="n"/>
      <c r="F1018" s="8" t="n"/>
    </row>
    <row r="1019">
      <c r="A1019" s="7" t="n"/>
      <c r="B1019" s="8" t="n"/>
      <c r="C1019" s="9">
        <f>IF(B1019="","",IFERROR(VLOOKUP(B1019,'Daftar Outlet'!$A$4:$B$22,2,FALSE),""))</f>
        <v/>
      </c>
      <c r="D1019" s="8" t="n"/>
      <c r="E1019" s="6" t="n"/>
      <c r="F1019" s="8" t="n"/>
    </row>
    <row r="1020">
      <c r="A1020" s="7" t="n"/>
      <c r="B1020" s="8" t="n"/>
      <c r="C1020" s="9">
        <f>IF(B1020="","",IFERROR(VLOOKUP(B1020,'Daftar Outlet'!$A$4:$B$22,2,FALSE),""))</f>
        <v/>
      </c>
      <c r="D1020" s="8" t="n"/>
      <c r="E1020" s="6" t="n"/>
      <c r="F1020" s="8" t="n"/>
    </row>
    <row r="1021">
      <c r="A1021" s="7" t="n"/>
      <c r="B1021" s="8" t="n"/>
      <c r="C1021" s="9">
        <f>IF(B1021="","",IFERROR(VLOOKUP(B1021,'Daftar Outlet'!$A$4:$B$22,2,FALSE),""))</f>
        <v/>
      </c>
      <c r="D1021" s="8" t="n"/>
      <c r="E1021" s="6" t="n"/>
      <c r="F1021" s="8" t="n"/>
    </row>
    <row r="1022">
      <c r="A1022" s="7" t="n"/>
      <c r="B1022" s="8" t="n"/>
      <c r="C1022" s="9">
        <f>IF(B1022="","",IFERROR(VLOOKUP(B1022,'Daftar Outlet'!$A$4:$B$22,2,FALSE),""))</f>
        <v/>
      </c>
      <c r="D1022" s="8" t="n"/>
      <c r="E1022" s="6" t="n"/>
      <c r="F1022" s="8" t="n"/>
    </row>
    <row r="1023">
      <c r="A1023" s="7" t="n"/>
      <c r="B1023" s="8" t="n"/>
      <c r="C1023" s="9">
        <f>IF(B1023="","",IFERROR(VLOOKUP(B1023,'Daftar Outlet'!$A$4:$B$22,2,FALSE),""))</f>
        <v/>
      </c>
      <c r="D1023" s="8" t="n"/>
      <c r="E1023" s="6" t="n"/>
      <c r="F1023" s="8" t="n"/>
    </row>
    <row r="1024">
      <c r="A1024" s="7" t="n"/>
      <c r="B1024" s="8" t="n"/>
      <c r="C1024" s="9">
        <f>IF(B1024="","",IFERROR(VLOOKUP(B1024,'Daftar Outlet'!$A$4:$B$22,2,FALSE),""))</f>
        <v/>
      </c>
      <c r="D1024" s="8" t="n"/>
      <c r="E1024" s="6" t="n"/>
      <c r="F1024" s="8" t="n"/>
    </row>
    <row r="1025">
      <c r="A1025" s="7" t="n"/>
      <c r="B1025" s="8" t="n"/>
      <c r="C1025" s="9">
        <f>IF(B1025="","",IFERROR(VLOOKUP(B1025,'Daftar Outlet'!$A$4:$B$22,2,FALSE),""))</f>
        <v/>
      </c>
      <c r="D1025" s="8" t="n"/>
      <c r="E1025" s="6" t="n"/>
      <c r="F1025" s="8" t="n"/>
    </row>
    <row r="1026">
      <c r="A1026" s="7" t="n"/>
      <c r="B1026" s="8" t="n"/>
      <c r="C1026" s="9">
        <f>IF(B1026="","",IFERROR(VLOOKUP(B1026,'Daftar Outlet'!$A$4:$B$22,2,FALSE),""))</f>
        <v/>
      </c>
      <c r="D1026" s="8" t="n"/>
      <c r="E1026" s="6" t="n"/>
      <c r="F1026" s="8" t="n"/>
    </row>
    <row r="1027">
      <c r="A1027" s="7" t="n"/>
      <c r="B1027" s="8" t="n"/>
      <c r="C1027" s="9">
        <f>IF(B1027="","",IFERROR(VLOOKUP(B1027,'Daftar Outlet'!$A$4:$B$22,2,FALSE),""))</f>
        <v/>
      </c>
      <c r="D1027" s="8" t="n"/>
      <c r="E1027" s="6" t="n"/>
      <c r="F1027" s="8" t="n"/>
    </row>
    <row r="1028">
      <c r="A1028" s="7" t="n"/>
      <c r="B1028" s="8" t="n"/>
      <c r="C1028" s="9">
        <f>IF(B1028="","",IFERROR(VLOOKUP(B1028,'Daftar Outlet'!$A$4:$B$22,2,FALSE),""))</f>
        <v/>
      </c>
      <c r="D1028" s="8" t="n"/>
      <c r="E1028" s="6" t="n"/>
      <c r="F1028" s="8" t="n"/>
    </row>
    <row r="1029">
      <c r="A1029" s="7" t="n"/>
      <c r="B1029" s="8" t="n"/>
      <c r="C1029" s="9">
        <f>IF(B1029="","",IFERROR(VLOOKUP(B1029,'Daftar Outlet'!$A$4:$B$22,2,FALSE),""))</f>
        <v/>
      </c>
      <c r="D1029" s="8" t="n"/>
      <c r="E1029" s="6" t="n"/>
      <c r="F1029" s="8" t="n"/>
    </row>
    <row r="1030">
      <c r="A1030" s="7" t="n"/>
      <c r="B1030" s="8" t="n"/>
      <c r="C1030" s="9">
        <f>IF(B1030="","",IFERROR(VLOOKUP(B1030,'Daftar Outlet'!$A$4:$B$22,2,FALSE),""))</f>
        <v/>
      </c>
      <c r="D1030" s="8" t="n"/>
      <c r="E1030" s="6" t="n"/>
      <c r="F1030" s="8" t="n"/>
    </row>
    <row r="1031">
      <c r="A1031" s="7" t="n"/>
      <c r="B1031" s="8" t="n"/>
      <c r="C1031" s="9">
        <f>IF(B1031="","",IFERROR(VLOOKUP(B1031,'Daftar Outlet'!$A$4:$B$22,2,FALSE),""))</f>
        <v/>
      </c>
      <c r="D1031" s="8" t="n"/>
      <c r="E1031" s="6" t="n"/>
      <c r="F1031" s="8" t="n"/>
    </row>
    <row r="1032">
      <c r="A1032" s="7" t="n"/>
      <c r="B1032" s="8" t="n"/>
      <c r="C1032" s="9">
        <f>IF(B1032="","",IFERROR(VLOOKUP(B1032,'Daftar Outlet'!$A$4:$B$22,2,FALSE),""))</f>
        <v/>
      </c>
      <c r="D1032" s="8" t="n"/>
      <c r="E1032" s="6" t="n"/>
      <c r="F1032" s="8" t="n"/>
    </row>
    <row r="1033">
      <c r="A1033" s="7" t="n"/>
      <c r="B1033" s="8" t="n"/>
      <c r="C1033" s="9">
        <f>IF(B1033="","",IFERROR(VLOOKUP(B1033,'Daftar Outlet'!$A$4:$B$22,2,FALSE),""))</f>
        <v/>
      </c>
      <c r="D1033" s="8" t="n"/>
      <c r="E1033" s="6" t="n"/>
      <c r="F1033" s="8" t="n"/>
    </row>
    <row r="1034">
      <c r="A1034" s="7" t="n"/>
      <c r="B1034" s="8" t="n"/>
      <c r="C1034" s="9">
        <f>IF(B1034="","",IFERROR(VLOOKUP(B1034,'Daftar Outlet'!$A$4:$B$22,2,FALSE),""))</f>
        <v/>
      </c>
      <c r="D1034" s="8" t="n"/>
      <c r="E1034" s="6" t="n"/>
      <c r="F1034" s="8" t="n"/>
    </row>
    <row r="1035">
      <c r="A1035" s="7" t="n"/>
      <c r="B1035" s="8" t="n"/>
      <c r="C1035" s="9">
        <f>IF(B1035="","",IFERROR(VLOOKUP(B1035,'Daftar Outlet'!$A$4:$B$22,2,FALSE),""))</f>
        <v/>
      </c>
      <c r="D1035" s="8" t="n"/>
      <c r="E1035" s="6" t="n"/>
      <c r="F1035" s="8" t="n"/>
    </row>
    <row r="1036">
      <c r="A1036" s="7" t="n"/>
      <c r="B1036" s="8" t="n"/>
      <c r="C1036" s="9">
        <f>IF(B1036="","",IFERROR(VLOOKUP(B1036,'Daftar Outlet'!$A$4:$B$22,2,FALSE),""))</f>
        <v/>
      </c>
      <c r="D1036" s="8" t="n"/>
      <c r="E1036" s="6" t="n"/>
      <c r="F1036" s="8" t="n"/>
    </row>
    <row r="1037">
      <c r="A1037" s="7" t="n"/>
      <c r="B1037" s="8" t="n"/>
      <c r="C1037" s="9">
        <f>IF(B1037="","",IFERROR(VLOOKUP(B1037,'Daftar Outlet'!$A$4:$B$22,2,FALSE),""))</f>
        <v/>
      </c>
      <c r="D1037" s="8" t="n"/>
      <c r="E1037" s="6" t="n"/>
      <c r="F1037" s="8" t="n"/>
    </row>
    <row r="1038">
      <c r="A1038" s="7" t="n"/>
      <c r="B1038" s="8" t="n"/>
      <c r="C1038" s="9">
        <f>IF(B1038="","",IFERROR(VLOOKUP(B1038,'Daftar Outlet'!$A$4:$B$22,2,FALSE),""))</f>
        <v/>
      </c>
      <c r="D1038" s="8" t="n"/>
      <c r="E1038" s="6" t="n"/>
      <c r="F1038" s="8" t="n"/>
    </row>
    <row r="1039">
      <c r="A1039" s="7" t="n"/>
      <c r="B1039" s="8" t="n"/>
      <c r="C1039" s="9">
        <f>IF(B1039="","",IFERROR(VLOOKUP(B1039,'Daftar Outlet'!$A$4:$B$22,2,FALSE),""))</f>
        <v/>
      </c>
      <c r="D1039" s="8" t="n"/>
      <c r="E1039" s="6" t="n"/>
      <c r="F1039" s="8" t="n"/>
    </row>
    <row r="1040">
      <c r="A1040" s="7" t="n"/>
      <c r="B1040" s="8" t="n"/>
      <c r="C1040" s="9">
        <f>IF(B1040="","",IFERROR(VLOOKUP(B1040,'Daftar Outlet'!$A$4:$B$22,2,FALSE),""))</f>
        <v/>
      </c>
      <c r="D1040" s="8" t="n"/>
      <c r="E1040" s="6" t="n"/>
      <c r="F1040" s="8" t="n"/>
    </row>
    <row r="1041">
      <c r="A1041" s="7" t="n"/>
      <c r="B1041" s="8" t="n"/>
      <c r="C1041" s="9">
        <f>IF(B1041="","",IFERROR(VLOOKUP(B1041,'Daftar Outlet'!$A$4:$B$22,2,FALSE),""))</f>
        <v/>
      </c>
      <c r="D1041" s="8" t="n"/>
      <c r="E1041" s="6" t="n"/>
      <c r="F1041" s="8" t="n"/>
    </row>
    <row r="1042">
      <c r="A1042" s="7" t="n"/>
      <c r="B1042" s="8" t="n"/>
      <c r="C1042" s="9">
        <f>IF(B1042="","",IFERROR(VLOOKUP(B1042,'Daftar Outlet'!$A$4:$B$22,2,FALSE),""))</f>
        <v/>
      </c>
      <c r="D1042" s="8" t="n"/>
      <c r="E1042" s="6" t="n"/>
      <c r="F1042" s="8" t="n"/>
    </row>
    <row r="1043">
      <c r="A1043" s="7" t="n"/>
      <c r="B1043" s="8" t="n"/>
      <c r="C1043" s="9">
        <f>IF(B1043="","",IFERROR(VLOOKUP(B1043,'Daftar Outlet'!$A$4:$B$22,2,FALSE),""))</f>
        <v/>
      </c>
      <c r="D1043" s="8" t="n"/>
      <c r="E1043" s="6" t="n"/>
      <c r="F1043" s="8" t="n"/>
    </row>
    <row r="1044">
      <c r="A1044" s="7" t="n"/>
      <c r="B1044" s="8" t="n"/>
      <c r="C1044" s="9">
        <f>IF(B1044="","",IFERROR(VLOOKUP(B1044,'Daftar Outlet'!$A$4:$B$22,2,FALSE),""))</f>
        <v/>
      </c>
      <c r="D1044" s="8" t="n"/>
      <c r="E1044" s="6" t="n"/>
      <c r="F1044" s="8" t="n"/>
    </row>
    <row r="1045">
      <c r="A1045" s="7" t="n"/>
      <c r="B1045" s="8" t="n"/>
      <c r="C1045" s="9">
        <f>IF(B1045="","",IFERROR(VLOOKUP(B1045,'Daftar Outlet'!$A$4:$B$22,2,FALSE),""))</f>
        <v/>
      </c>
      <c r="D1045" s="8" t="n"/>
      <c r="E1045" s="6" t="n"/>
      <c r="F1045" s="8" t="n"/>
    </row>
    <row r="1046">
      <c r="A1046" s="7" t="n"/>
      <c r="B1046" s="8" t="n"/>
      <c r="C1046" s="9">
        <f>IF(B1046="","",IFERROR(VLOOKUP(B1046,'Daftar Outlet'!$A$4:$B$22,2,FALSE),""))</f>
        <v/>
      </c>
      <c r="D1046" s="8" t="n"/>
      <c r="E1046" s="6" t="n"/>
      <c r="F1046" s="8" t="n"/>
    </row>
    <row r="1047">
      <c r="A1047" s="7" t="n"/>
      <c r="B1047" s="8" t="n"/>
      <c r="C1047" s="9">
        <f>IF(B1047="","",IFERROR(VLOOKUP(B1047,'Daftar Outlet'!$A$4:$B$22,2,FALSE),""))</f>
        <v/>
      </c>
      <c r="D1047" s="8" t="n"/>
      <c r="E1047" s="6" t="n"/>
      <c r="F1047" s="8" t="n"/>
    </row>
    <row r="1048">
      <c r="A1048" s="7" t="n"/>
      <c r="B1048" s="8" t="n"/>
      <c r="C1048" s="9">
        <f>IF(B1048="","",IFERROR(VLOOKUP(B1048,'Daftar Outlet'!$A$4:$B$22,2,FALSE),""))</f>
        <v/>
      </c>
      <c r="D1048" s="8" t="n"/>
      <c r="E1048" s="6" t="n"/>
      <c r="F1048" s="8" t="n"/>
    </row>
    <row r="1049">
      <c r="A1049" s="7" t="n"/>
      <c r="B1049" s="8" t="n"/>
      <c r="C1049" s="9">
        <f>IF(B1049="","",IFERROR(VLOOKUP(B1049,'Daftar Outlet'!$A$4:$B$22,2,FALSE),""))</f>
        <v/>
      </c>
      <c r="D1049" s="8" t="n"/>
      <c r="E1049" s="6" t="n"/>
      <c r="F1049" s="8" t="n"/>
    </row>
    <row r="1050">
      <c r="A1050" s="7" t="n"/>
      <c r="B1050" s="8" t="n"/>
      <c r="C1050" s="9">
        <f>IF(B1050="","",IFERROR(VLOOKUP(B1050,'Daftar Outlet'!$A$4:$B$22,2,FALSE),""))</f>
        <v/>
      </c>
      <c r="D1050" s="8" t="n"/>
      <c r="E1050" s="6" t="n"/>
      <c r="F1050" s="8" t="n"/>
    </row>
    <row r="1051">
      <c r="A1051" s="7" t="n"/>
      <c r="B1051" s="8" t="n"/>
      <c r="C1051" s="9">
        <f>IF(B1051="","",IFERROR(VLOOKUP(B1051,'Daftar Outlet'!$A$4:$B$22,2,FALSE),""))</f>
        <v/>
      </c>
      <c r="D1051" s="8" t="n"/>
      <c r="E1051" s="6" t="n"/>
      <c r="F1051" s="8" t="n"/>
    </row>
    <row r="1052">
      <c r="A1052" s="7" t="n"/>
      <c r="B1052" s="8" t="n"/>
      <c r="C1052" s="9">
        <f>IF(B1052="","",IFERROR(VLOOKUP(B1052,'Daftar Outlet'!$A$4:$B$22,2,FALSE),""))</f>
        <v/>
      </c>
      <c r="D1052" s="8" t="n"/>
      <c r="E1052" s="6" t="n"/>
      <c r="F1052" s="8" t="n"/>
    </row>
    <row r="1053">
      <c r="A1053" s="7" t="n"/>
      <c r="B1053" s="8" t="n"/>
      <c r="C1053" s="9">
        <f>IF(B1053="","",IFERROR(VLOOKUP(B1053,'Daftar Outlet'!$A$4:$B$22,2,FALSE),""))</f>
        <v/>
      </c>
      <c r="D1053" s="8" t="n"/>
      <c r="E1053" s="6" t="n"/>
      <c r="F1053" s="8" t="n"/>
    </row>
    <row r="1054">
      <c r="A1054" s="7" t="n"/>
      <c r="B1054" s="8" t="n"/>
      <c r="C1054" s="9">
        <f>IF(B1054="","",IFERROR(VLOOKUP(B1054,'Daftar Outlet'!$A$4:$B$22,2,FALSE),""))</f>
        <v/>
      </c>
      <c r="D1054" s="8" t="n"/>
      <c r="E1054" s="6" t="n"/>
      <c r="F1054" s="8" t="n"/>
    </row>
    <row r="1055">
      <c r="A1055" s="7" t="n"/>
      <c r="B1055" s="8" t="n"/>
      <c r="C1055" s="9">
        <f>IF(B1055="","",IFERROR(VLOOKUP(B1055,'Daftar Outlet'!$A$4:$B$22,2,FALSE),""))</f>
        <v/>
      </c>
      <c r="D1055" s="8" t="n"/>
      <c r="E1055" s="6" t="n"/>
      <c r="F1055" s="8" t="n"/>
    </row>
    <row r="1056">
      <c r="A1056" s="7" t="n"/>
      <c r="B1056" s="8" t="n"/>
      <c r="C1056" s="9">
        <f>IF(B1056="","",IFERROR(VLOOKUP(B1056,'Daftar Outlet'!$A$4:$B$22,2,FALSE),""))</f>
        <v/>
      </c>
      <c r="D1056" s="8" t="n"/>
      <c r="E1056" s="6" t="n"/>
      <c r="F1056" s="8" t="n"/>
    </row>
    <row r="1057">
      <c r="A1057" s="7" t="n"/>
      <c r="B1057" s="8" t="n"/>
      <c r="C1057" s="9">
        <f>IF(B1057="","",IFERROR(VLOOKUP(B1057,'Daftar Outlet'!$A$4:$B$22,2,FALSE),""))</f>
        <v/>
      </c>
      <c r="D1057" s="8" t="n"/>
      <c r="E1057" s="6" t="n"/>
      <c r="F1057" s="8" t="n"/>
    </row>
    <row r="1058">
      <c r="A1058" s="7" t="n"/>
      <c r="B1058" s="8" t="n"/>
      <c r="C1058" s="9">
        <f>IF(B1058="","",IFERROR(VLOOKUP(B1058,'Daftar Outlet'!$A$4:$B$22,2,FALSE),""))</f>
        <v/>
      </c>
      <c r="D1058" s="8" t="n"/>
      <c r="E1058" s="6" t="n"/>
      <c r="F1058" s="8" t="n"/>
    </row>
    <row r="1059">
      <c r="A1059" s="7" t="n"/>
      <c r="B1059" s="8" t="n"/>
      <c r="C1059" s="9">
        <f>IF(B1059="","",IFERROR(VLOOKUP(B1059,'Daftar Outlet'!$A$4:$B$22,2,FALSE),""))</f>
        <v/>
      </c>
      <c r="D1059" s="8" t="n"/>
      <c r="E1059" s="6" t="n"/>
      <c r="F1059" s="8" t="n"/>
    </row>
    <row r="1060">
      <c r="A1060" s="7" t="n"/>
      <c r="B1060" s="8" t="n"/>
      <c r="C1060" s="9">
        <f>IF(B1060="","",IFERROR(VLOOKUP(B1060,'Daftar Outlet'!$A$4:$B$22,2,FALSE),""))</f>
        <v/>
      </c>
      <c r="D1060" s="8" t="n"/>
      <c r="E1060" s="6" t="n"/>
      <c r="F1060" s="8" t="n"/>
    </row>
    <row r="1061">
      <c r="A1061" s="7" t="n"/>
      <c r="B1061" s="8" t="n"/>
      <c r="C1061" s="9">
        <f>IF(B1061="","",IFERROR(VLOOKUP(B1061,'Daftar Outlet'!$A$4:$B$22,2,FALSE),""))</f>
        <v/>
      </c>
      <c r="D1061" s="8" t="n"/>
      <c r="E1061" s="6" t="n"/>
      <c r="F1061" s="8" t="n"/>
    </row>
    <row r="1062">
      <c r="A1062" s="7" t="n"/>
      <c r="B1062" s="8" t="n"/>
      <c r="C1062" s="9">
        <f>IF(B1062="","",IFERROR(VLOOKUP(B1062,'Daftar Outlet'!$A$4:$B$22,2,FALSE),""))</f>
        <v/>
      </c>
      <c r="D1062" s="8" t="n"/>
      <c r="E1062" s="6" t="n"/>
      <c r="F1062" s="8" t="n"/>
    </row>
    <row r="1063">
      <c r="A1063" s="7" t="n"/>
      <c r="B1063" s="8" t="n"/>
      <c r="C1063" s="9">
        <f>IF(B1063="","",IFERROR(VLOOKUP(B1063,'Daftar Outlet'!$A$4:$B$22,2,FALSE),""))</f>
        <v/>
      </c>
      <c r="D1063" s="8" t="n"/>
      <c r="E1063" s="6" t="n"/>
      <c r="F1063" s="8" t="n"/>
    </row>
    <row r="1064">
      <c r="A1064" s="7" t="n"/>
      <c r="B1064" s="8" t="n"/>
      <c r="C1064" s="9">
        <f>IF(B1064="","",IFERROR(VLOOKUP(B1064,'Daftar Outlet'!$A$4:$B$22,2,FALSE),""))</f>
        <v/>
      </c>
      <c r="D1064" s="8" t="n"/>
      <c r="E1064" s="6" t="n"/>
      <c r="F1064" s="8" t="n"/>
    </row>
    <row r="1065">
      <c r="A1065" s="7" t="n"/>
      <c r="B1065" s="8" t="n"/>
      <c r="C1065" s="9">
        <f>IF(B1065="","",IFERROR(VLOOKUP(B1065,'Daftar Outlet'!$A$4:$B$22,2,FALSE),""))</f>
        <v/>
      </c>
      <c r="D1065" s="8" t="n"/>
      <c r="E1065" s="6" t="n"/>
      <c r="F1065" s="8" t="n"/>
    </row>
    <row r="1066">
      <c r="A1066" s="7" t="n"/>
      <c r="B1066" s="8" t="n"/>
      <c r="C1066" s="9">
        <f>IF(B1066="","",IFERROR(VLOOKUP(B1066,'Daftar Outlet'!$A$4:$B$22,2,FALSE),""))</f>
        <v/>
      </c>
      <c r="D1066" s="8" t="n"/>
      <c r="E1066" s="6" t="n"/>
      <c r="F1066" s="8" t="n"/>
    </row>
    <row r="1067">
      <c r="A1067" s="7" t="n"/>
      <c r="B1067" s="8" t="n"/>
      <c r="C1067" s="9">
        <f>IF(B1067="","",IFERROR(VLOOKUP(B1067,'Daftar Outlet'!$A$4:$B$22,2,FALSE),""))</f>
        <v/>
      </c>
      <c r="D1067" s="8" t="n"/>
      <c r="E1067" s="6" t="n"/>
      <c r="F1067" s="8" t="n"/>
    </row>
    <row r="1068">
      <c r="A1068" s="7" t="n"/>
      <c r="B1068" s="8" t="n"/>
      <c r="C1068" s="9">
        <f>IF(B1068="","",IFERROR(VLOOKUP(B1068,'Daftar Outlet'!$A$4:$B$22,2,FALSE),""))</f>
        <v/>
      </c>
      <c r="D1068" s="8" t="n"/>
      <c r="E1068" s="6" t="n"/>
      <c r="F1068" s="8" t="n"/>
    </row>
    <row r="1069">
      <c r="A1069" s="7" t="n"/>
      <c r="B1069" s="8" t="n"/>
      <c r="C1069" s="9">
        <f>IF(B1069="","",IFERROR(VLOOKUP(B1069,'Daftar Outlet'!$A$4:$B$22,2,FALSE),""))</f>
        <v/>
      </c>
      <c r="D1069" s="8" t="n"/>
      <c r="E1069" s="6" t="n"/>
      <c r="F1069" s="8" t="n"/>
    </row>
    <row r="1070">
      <c r="A1070" s="7" t="n"/>
      <c r="B1070" s="8" t="n"/>
      <c r="C1070" s="9">
        <f>IF(B1070="","",IFERROR(VLOOKUP(B1070,'Daftar Outlet'!$A$4:$B$22,2,FALSE),""))</f>
        <v/>
      </c>
      <c r="D1070" s="8" t="n"/>
      <c r="E1070" s="6" t="n"/>
      <c r="F1070" s="8" t="n"/>
    </row>
    <row r="1071">
      <c r="A1071" s="7" t="n"/>
      <c r="B1071" s="8" t="n"/>
      <c r="C1071" s="9">
        <f>IF(B1071="","",IFERROR(VLOOKUP(B1071,'Daftar Outlet'!$A$4:$B$22,2,FALSE),""))</f>
        <v/>
      </c>
      <c r="D1071" s="8" t="n"/>
      <c r="E1071" s="6" t="n"/>
      <c r="F1071" s="8" t="n"/>
    </row>
    <row r="1072">
      <c r="A1072" s="7" t="n"/>
      <c r="B1072" s="8" t="n"/>
      <c r="C1072" s="9">
        <f>IF(B1072="","",IFERROR(VLOOKUP(B1072,'Daftar Outlet'!$A$4:$B$22,2,FALSE),""))</f>
        <v/>
      </c>
      <c r="D1072" s="8" t="n"/>
      <c r="E1072" s="6" t="n"/>
      <c r="F1072" s="8" t="n"/>
    </row>
    <row r="1073">
      <c r="A1073" s="7" t="n"/>
      <c r="B1073" s="8" t="n"/>
      <c r="C1073" s="9">
        <f>IF(B1073="","",IFERROR(VLOOKUP(B1073,'Daftar Outlet'!$A$4:$B$22,2,FALSE),""))</f>
        <v/>
      </c>
      <c r="D1073" s="8" t="n"/>
      <c r="E1073" s="6" t="n"/>
      <c r="F1073" s="8" t="n"/>
    </row>
    <row r="1074">
      <c r="A1074" s="7" t="n"/>
      <c r="B1074" s="8" t="n"/>
      <c r="C1074" s="9">
        <f>IF(B1074="","",IFERROR(VLOOKUP(B1074,'Daftar Outlet'!$A$4:$B$22,2,FALSE),""))</f>
        <v/>
      </c>
      <c r="D1074" s="8" t="n"/>
      <c r="E1074" s="6" t="n"/>
      <c r="F1074" s="8" t="n"/>
    </row>
    <row r="1075">
      <c r="A1075" s="7" t="n"/>
      <c r="B1075" s="8" t="n"/>
      <c r="C1075" s="9">
        <f>IF(B1075="","",IFERROR(VLOOKUP(B1075,'Daftar Outlet'!$A$4:$B$22,2,FALSE),""))</f>
        <v/>
      </c>
      <c r="D1075" s="8" t="n"/>
      <c r="E1075" s="6" t="n"/>
      <c r="F1075" s="8" t="n"/>
    </row>
    <row r="1076">
      <c r="A1076" s="7" t="n"/>
      <c r="B1076" s="8" t="n"/>
      <c r="C1076" s="9">
        <f>IF(B1076="","",IFERROR(VLOOKUP(B1076,'Daftar Outlet'!$A$4:$B$22,2,FALSE),""))</f>
        <v/>
      </c>
      <c r="D1076" s="8" t="n"/>
      <c r="E1076" s="6" t="n"/>
      <c r="F1076" s="8" t="n"/>
    </row>
    <row r="1077">
      <c r="A1077" s="7" t="n"/>
      <c r="B1077" s="8" t="n"/>
      <c r="C1077" s="9">
        <f>IF(B1077="","",IFERROR(VLOOKUP(B1077,'Daftar Outlet'!$A$4:$B$22,2,FALSE),""))</f>
        <v/>
      </c>
      <c r="D1077" s="8" t="n"/>
      <c r="E1077" s="6" t="n"/>
      <c r="F1077" s="8" t="n"/>
    </row>
    <row r="1078">
      <c r="A1078" s="7" t="n"/>
      <c r="B1078" s="8" t="n"/>
      <c r="C1078" s="9">
        <f>IF(B1078="","",IFERROR(VLOOKUP(B1078,'Daftar Outlet'!$A$4:$B$22,2,FALSE),""))</f>
        <v/>
      </c>
      <c r="D1078" s="8" t="n"/>
      <c r="E1078" s="6" t="n"/>
      <c r="F1078" s="8" t="n"/>
    </row>
    <row r="1079">
      <c r="A1079" s="7" t="n"/>
      <c r="B1079" s="8" t="n"/>
      <c r="C1079" s="9">
        <f>IF(B1079="","",IFERROR(VLOOKUP(B1079,'Daftar Outlet'!$A$4:$B$22,2,FALSE),""))</f>
        <v/>
      </c>
      <c r="D1079" s="8" t="n"/>
      <c r="E1079" s="6" t="n"/>
      <c r="F1079" s="8" t="n"/>
    </row>
    <row r="1080">
      <c r="A1080" s="7" t="n"/>
      <c r="B1080" s="8" t="n"/>
      <c r="C1080" s="9">
        <f>IF(B1080="","",IFERROR(VLOOKUP(B1080,'Daftar Outlet'!$A$4:$B$22,2,FALSE),""))</f>
        <v/>
      </c>
      <c r="D1080" s="8" t="n"/>
      <c r="E1080" s="6" t="n"/>
      <c r="F1080" s="8" t="n"/>
    </row>
    <row r="1081">
      <c r="A1081" s="7" t="n"/>
      <c r="B1081" s="8" t="n"/>
      <c r="C1081" s="9">
        <f>IF(B1081="","",IFERROR(VLOOKUP(B1081,'Daftar Outlet'!$A$4:$B$22,2,FALSE),""))</f>
        <v/>
      </c>
      <c r="D1081" s="8" t="n"/>
      <c r="E1081" s="6" t="n"/>
      <c r="F1081" s="8" t="n"/>
    </row>
    <row r="1082">
      <c r="A1082" s="7" t="n"/>
      <c r="B1082" s="8" t="n"/>
      <c r="C1082" s="9">
        <f>IF(B1082="","",IFERROR(VLOOKUP(B1082,'Daftar Outlet'!$A$4:$B$22,2,FALSE),""))</f>
        <v/>
      </c>
      <c r="D1082" s="8" t="n"/>
      <c r="E1082" s="6" t="n"/>
      <c r="F1082" s="8" t="n"/>
    </row>
    <row r="1083">
      <c r="A1083" s="7" t="n"/>
      <c r="B1083" s="8" t="n"/>
      <c r="C1083" s="9">
        <f>IF(B1083="","",IFERROR(VLOOKUP(B1083,'Daftar Outlet'!$A$4:$B$22,2,FALSE),""))</f>
        <v/>
      </c>
      <c r="D1083" s="8" t="n"/>
      <c r="E1083" s="6" t="n"/>
      <c r="F1083" s="8" t="n"/>
    </row>
    <row r="1084">
      <c r="A1084" s="7" t="n"/>
      <c r="B1084" s="8" t="n"/>
      <c r="C1084" s="9">
        <f>IF(B1084="","",IFERROR(VLOOKUP(B1084,'Daftar Outlet'!$A$4:$B$22,2,FALSE),""))</f>
        <v/>
      </c>
      <c r="D1084" s="8" t="n"/>
      <c r="E1084" s="6" t="n"/>
      <c r="F1084" s="8" t="n"/>
    </row>
    <row r="1085">
      <c r="A1085" s="7" t="n"/>
      <c r="B1085" s="8" t="n"/>
      <c r="C1085" s="9">
        <f>IF(B1085="","",IFERROR(VLOOKUP(B1085,'Daftar Outlet'!$A$4:$B$22,2,FALSE),""))</f>
        <v/>
      </c>
      <c r="D1085" s="8" t="n"/>
      <c r="E1085" s="6" t="n"/>
      <c r="F1085" s="8" t="n"/>
    </row>
    <row r="1086">
      <c r="A1086" s="7" t="n"/>
      <c r="B1086" s="8" t="n"/>
      <c r="C1086" s="9">
        <f>IF(B1086="","",IFERROR(VLOOKUP(B1086,'Daftar Outlet'!$A$4:$B$22,2,FALSE),""))</f>
        <v/>
      </c>
      <c r="D1086" s="8" t="n"/>
      <c r="E1086" s="6" t="n"/>
      <c r="F1086" s="8" t="n"/>
    </row>
    <row r="1087">
      <c r="A1087" s="7" t="n"/>
      <c r="B1087" s="8" t="n"/>
      <c r="C1087" s="9">
        <f>IF(B1087="","",IFERROR(VLOOKUP(B1087,'Daftar Outlet'!$A$4:$B$22,2,FALSE),""))</f>
        <v/>
      </c>
      <c r="D1087" s="8" t="n"/>
      <c r="E1087" s="6" t="n"/>
      <c r="F1087" s="8" t="n"/>
    </row>
    <row r="1088">
      <c r="A1088" s="7" t="n"/>
      <c r="B1088" s="8" t="n"/>
      <c r="C1088" s="9">
        <f>IF(B1088="","",IFERROR(VLOOKUP(B1088,'Daftar Outlet'!$A$4:$B$22,2,FALSE),""))</f>
        <v/>
      </c>
      <c r="D1088" s="8" t="n"/>
      <c r="E1088" s="6" t="n"/>
      <c r="F1088" s="8" t="n"/>
    </row>
    <row r="1089">
      <c r="A1089" s="7" t="n"/>
      <c r="B1089" s="8" t="n"/>
      <c r="C1089" s="9">
        <f>IF(B1089="","",IFERROR(VLOOKUP(B1089,'Daftar Outlet'!$A$4:$B$22,2,FALSE),""))</f>
        <v/>
      </c>
      <c r="D1089" s="8" t="n"/>
      <c r="E1089" s="6" t="n"/>
      <c r="F1089" s="8" t="n"/>
    </row>
    <row r="1090">
      <c r="A1090" s="7" t="n"/>
      <c r="B1090" s="8" t="n"/>
      <c r="C1090" s="9">
        <f>IF(B1090="","",IFERROR(VLOOKUP(B1090,'Daftar Outlet'!$A$4:$B$22,2,FALSE),""))</f>
        <v/>
      </c>
      <c r="D1090" s="8" t="n"/>
      <c r="E1090" s="6" t="n"/>
      <c r="F1090" s="8" t="n"/>
    </row>
    <row r="1091">
      <c r="A1091" s="7" t="n"/>
      <c r="B1091" s="8" t="n"/>
      <c r="C1091" s="9">
        <f>IF(B1091="","",IFERROR(VLOOKUP(B1091,'Daftar Outlet'!$A$4:$B$22,2,FALSE),""))</f>
        <v/>
      </c>
      <c r="D1091" s="8" t="n"/>
      <c r="E1091" s="6" t="n"/>
      <c r="F1091" s="8" t="n"/>
    </row>
    <row r="1092">
      <c r="A1092" s="7" t="n"/>
      <c r="B1092" s="8" t="n"/>
      <c r="C1092" s="9">
        <f>IF(B1092="","",IFERROR(VLOOKUP(B1092,'Daftar Outlet'!$A$4:$B$22,2,FALSE),""))</f>
        <v/>
      </c>
      <c r="D1092" s="8" t="n"/>
      <c r="E1092" s="6" t="n"/>
      <c r="F1092" s="8" t="n"/>
    </row>
    <row r="1093">
      <c r="A1093" s="7" t="n"/>
      <c r="B1093" s="8" t="n"/>
      <c r="C1093" s="9">
        <f>IF(B1093="","",IFERROR(VLOOKUP(B1093,'Daftar Outlet'!$A$4:$B$22,2,FALSE),""))</f>
        <v/>
      </c>
      <c r="D1093" s="8" t="n"/>
      <c r="E1093" s="6" t="n"/>
      <c r="F1093" s="8" t="n"/>
    </row>
    <row r="1094">
      <c r="A1094" s="7" t="n"/>
      <c r="B1094" s="8" t="n"/>
      <c r="C1094" s="9">
        <f>IF(B1094="","",IFERROR(VLOOKUP(B1094,'Daftar Outlet'!$A$4:$B$22,2,FALSE),""))</f>
        <v/>
      </c>
      <c r="D1094" s="8" t="n"/>
      <c r="E1094" s="6" t="n"/>
      <c r="F1094" s="8" t="n"/>
    </row>
    <row r="1095">
      <c r="A1095" s="7" t="n"/>
      <c r="B1095" s="8" t="n"/>
      <c r="C1095" s="9">
        <f>IF(B1095="","",IFERROR(VLOOKUP(B1095,'Daftar Outlet'!$A$4:$B$22,2,FALSE),""))</f>
        <v/>
      </c>
      <c r="D1095" s="8" t="n"/>
      <c r="E1095" s="6" t="n"/>
      <c r="F1095" s="8" t="n"/>
    </row>
    <row r="1096">
      <c r="A1096" s="7" t="n"/>
      <c r="B1096" s="8" t="n"/>
      <c r="C1096" s="9">
        <f>IF(B1096="","",IFERROR(VLOOKUP(B1096,'Daftar Outlet'!$A$4:$B$22,2,FALSE),""))</f>
        <v/>
      </c>
      <c r="D1096" s="8" t="n"/>
      <c r="E1096" s="6" t="n"/>
      <c r="F1096" s="8" t="n"/>
    </row>
    <row r="1097">
      <c r="A1097" s="7" t="n"/>
      <c r="B1097" s="8" t="n"/>
      <c r="C1097" s="9">
        <f>IF(B1097="","",IFERROR(VLOOKUP(B1097,'Daftar Outlet'!$A$4:$B$22,2,FALSE),""))</f>
        <v/>
      </c>
      <c r="D1097" s="8" t="n"/>
      <c r="E1097" s="6" t="n"/>
      <c r="F1097" s="8" t="n"/>
    </row>
    <row r="1098">
      <c r="A1098" s="7" t="n"/>
      <c r="B1098" s="8" t="n"/>
      <c r="C1098" s="9">
        <f>IF(B1098="","",IFERROR(VLOOKUP(B1098,'Daftar Outlet'!$A$4:$B$22,2,FALSE),""))</f>
        <v/>
      </c>
      <c r="D1098" s="8" t="n"/>
      <c r="E1098" s="6" t="n"/>
      <c r="F1098" s="8" t="n"/>
    </row>
    <row r="1099">
      <c r="A1099" s="7" t="n"/>
      <c r="B1099" s="8" t="n"/>
      <c r="C1099" s="9">
        <f>IF(B1099="","",IFERROR(VLOOKUP(B1099,'Daftar Outlet'!$A$4:$B$22,2,FALSE),""))</f>
        <v/>
      </c>
      <c r="D1099" s="8" t="n"/>
      <c r="E1099" s="6" t="n"/>
      <c r="F1099" s="8" t="n"/>
    </row>
    <row r="1100">
      <c r="A1100" s="7" t="n"/>
      <c r="B1100" s="8" t="n"/>
      <c r="C1100" s="9">
        <f>IF(B1100="","",IFERROR(VLOOKUP(B1100,'Daftar Outlet'!$A$4:$B$22,2,FALSE),""))</f>
        <v/>
      </c>
      <c r="D1100" s="8" t="n"/>
      <c r="E1100" s="6" t="n"/>
      <c r="F1100" s="8" t="n"/>
    </row>
    <row r="1101">
      <c r="A1101" s="7" t="n"/>
      <c r="B1101" s="8" t="n"/>
      <c r="C1101" s="9">
        <f>IF(B1101="","",IFERROR(VLOOKUP(B1101,'Daftar Outlet'!$A$4:$B$22,2,FALSE),""))</f>
        <v/>
      </c>
      <c r="D1101" s="8" t="n"/>
      <c r="E1101" s="6" t="n"/>
      <c r="F1101" s="8" t="n"/>
    </row>
    <row r="1102">
      <c r="A1102" s="7" t="n"/>
      <c r="B1102" s="8" t="n"/>
      <c r="C1102" s="9">
        <f>IF(B1102="","",IFERROR(VLOOKUP(B1102,'Daftar Outlet'!$A$4:$B$22,2,FALSE),""))</f>
        <v/>
      </c>
      <c r="D1102" s="8" t="n"/>
      <c r="E1102" s="6" t="n"/>
      <c r="F1102" s="8" t="n"/>
    </row>
    <row r="1103">
      <c r="A1103" s="7" t="n"/>
      <c r="B1103" s="8" t="n"/>
      <c r="C1103" s="9">
        <f>IF(B1103="","",IFERROR(VLOOKUP(B1103,'Daftar Outlet'!$A$4:$B$22,2,FALSE),""))</f>
        <v/>
      </c>
      <c r="D1103" s="8" t="n"/>
      <c r="E1103" s="6" t="n"/>
      <c r="F1103" s="8" t="n"/>
    </row>
    <row r="1104">
      <c r="A1104" s="7" t="n"/>
      <c r="B1104" s="8" t="n"/>
      <c r="C1104" s="9">
        <f>IF(B1104="","",IFERROR(VLOOKUP(B1104,'Daftar Outlet'!$A$4:$B$22,2,FALSE),""))</f>
        <v/>
      </c>
      <c r="D1104" s="8" t="n"/>
      <c r="E1104" s="6" t="n"/>
      <c r="F1104" s="8" t="n"/>
    </row>
    <row r="1105">
      <c r="A1105" s="7" t="n"/>
      <c r="B1105" s="8" t="n"/>
      <c r="C1105" s="9">
        <f>IF(B1105="","",IFERROR(VLOOKUP(B1105,'Daftar Outlet'!$A$4:$B$22,2,FALSE),""))</f>
        <v/>
      </c>
      <c r="D1105" s="8" t="n"/>
      <c r="E1105" s="6" t="n"/>
      <c r="F1105" s="8" t="n"/>
    </row>
    <row r="1106">
      <c r="A1106" s="7" t="n"/>
      <c r="B1106" s="8" t="n"/>
      <c r="C1106" s="9">
        <f>IF(B1106="","",IFERROR(VLOOKUP(B1106,'Daftar Outlet'!$A$4:$B$22,2,FALSE),""))</f>
        <v/>
      </c>
      <c r="D1106" s="8" t="n"/>
      <c r="E1106" s="6" t="n"/>
      <c r="F1106" s="8" t="n"/>
    </row>
    <row r="1107">
      <c r="A1107" s="7" t="n"/>
      <c r="B1107" s="8" t="n"/>
      <c r="C1107" s="9">
        <f>IF(B1107="","",IFERROR(VLOOKUP(B1107,'Daftar Outlet'!$A$4:$B$22,2,FALSE),""))</f>
        <v/>
      </c>
      <c r="D1107" s="8" t="n"/>
      <c r="E1107" s="6" t="n"/>
      <c r="F1107" s="8" t="n"/>
    </row>
    <row r="1108">
      <c r="A1108" s="7" t="n"/>
      <c r="B1108" s="8" t="n"/>
      <c r="C1108" s="9">
        <f>IF(B1108="","",IFERROR(VLOOKUP(B1108,'Daftar Outlet'!$A$4:$B$22,2,FALSE),""))</f>
        <v/>
      </c>
      <c r="D1108" s="8" t="n"/>
      <c r="E1108" s="6" t="n"/>
      <c r="F1108" s="8" t="n"/>
    </row>
    <row r="1109">
      <c r="A1109" s="7" t="n"/>
      <c r="B1109" s="8" t="n"/>
      <c r="C1109" s="9">
        <f>IF(B1109="","",IFERROR(VLOOKUP(B1109,'Daftar Outlet'!$A$4:$B$22,2,FALSE),""))</f>
        <v/>
      </c>
      <c r="D1109" s="8" t="n"/>
      <c r="E1109" s="6" t="n"/>
      <c r="F1109" s="8" t="n"/>
    </row>
    <row r="1110">
      <c r="A1110" s="7" t="n"/>
      <c r="B1110" s="8" t="n"/>
      <c r="C1110" s="9">
        <f>IF(B1110="","",IFERROR(VLOOKUP(B1110,'Daftar Outlet'!$A$4:$B$22,2,FALSE),""))</f>
        <v/>
      </c>
      <c r="D1110" s="8" t="n"/>
      <c r="E1110" s="6" t="n"/>
      <c r="F1110" s="8" t="n"/>
    </row>
    <row r="1111">
      <c r="A1111" s="7" t="n"/>
      <c r="B1111" s="8" t="n"/>
      <c r="C1111" s="9">
        <f>IF(B1111="","",IFERROR(VLOOKUP(B1111,'Daftar Outlet'!$A$4:$B$22,2,FALSE),""))</f>
        <v/>
      </c>
      <c r="D1111" s="8" t="n"/>
      <c r="E1111" s="6" t="n"/>
      <c r="F1111" s="8" t="n"/>
    </row>
    <row r="1112">
      <c r="A1112" s="7" t="n"/>
      <c r="B1112" s="8" t="n"/>
      <c r="C1112" s="9">
        <f>IF(B1112="","",IFERROR(VLOOKUP(B1112,'Daftar Outlet'!$A$4:$B$22,2,FALSE),""))</f>
        <v/>
      </c>
      <c r="D1112" s="8" t="n"/>
      <c r="E1112" s="6" t="n"/>
      <c r="F1112" s="8" t="n"/>
    </row>
    <row r="1113">
      <c r="A1113" s="7" t="n"/>
      <c r="B1113" s="8" t="n"/>
      <c r="C1113" s="9">
        <f>IF(B1113="","",IFERROR(VLOOKUP(B1113,'Daftar Outlet'!$A$4:$B$22,2,FALSE),""))</f>
        <v/>
      </c>
      <c r="D1113" s="8" t="n"/>
      <c r="E1113" s="6" t="n"/>
      <c r="F1113" s="8" t="n"/>
    </row>
    <row r="1114">
      <c r="A1114" s="7" t="n"/>
      <c r="B1114" s="8" t="n"/>
      <c r="C1114" s="9">
        <f>IF(B1114="","",IFERROR(VLOOKUP(B1114,'Daftar Outlet'!$A$4:$B$22,2,FALSE),""))</f>
        <v/>
      </c>
      <c r="D1114" s="8" t="n"/>
      <c r="E1114" s="6" t="n"/>
      <c r="F1114" s="8" t="n"/>
    </row>
    <row r="1115">
      <c r="A1115" s="7" t="n"/>
      <c r="B1115" s="8" t="n"/>
      <c r="C1115" s="9">
        <f>IF(B1115="","",IFERROR(VLOOKUP(B1115,'Daftar Outlet'!$A$4:$B$22,2,FALSE),""))</f>
        <v/>
      </c>
      <c r="D1115" s="8" t="n"/>
      <c r="E1115" s="6" t="n"/>
      <c r="F1115" s="8" t="n"/>
    </row>
    <row r="1116">
      <c r="A1116" s="7" t="n"/>
      <c r="B1116" s="8" t="n"/>
      <c r="C1116" s="9">
        <f>IF(B1116="","",IFERROR(VLOOKUP(B1116,'Daftar Outlet'!$A$4:$B$22,2,FALSE),""))</f>
        <v/>
      </c>
      <c r="D1116" s="8" t="n"/>
      <c r="E1116" s="6" t="n"/>
      <c r="F1116" s="8" t="n"/>
    </row>
    <row r="1117">
      <c r="A1117" s="7" t="n"/>
      <c r="B1117" s="8" t="n"/>
      <c r="C1117" s="9">
        <f>IF(B1117="","",IFERROR(VLOOKUP(B1117,'Daftar Outlet'!$A$4:$B$22,2,FALSE),""))</f>
        <v/>
      </c>
      <c r="D1117" s="8" t="n"/>
      <c r="E1117" s="6" t="n"/>
      <c r="F1117" s="8" t="n"/>
    </row>
    <row r="1118">
      <c r="A1118" s="7" t="n"/>
      <c r="B1118" s="8" t="n"/>
      <c r="C1118" s="9">
        <f>IF(B1118="","",IFERROR(VLOOKUP(B1118,'Daftar Outlet'!$A$4:$B$22,2,FALSE),""))</f>
        <v/>
      </c>
      <c r="D1118" s="8" t="n"/>
      <c r="E1118" s="6" t="n"/>
      <c r="F1118" s="8" t="n"/>
    </row>
    <row r="1119">
      <c r="A1119" s="7" t="n"/>
      <c r="B1119" s="8" t="n"/>
      <c r="C1119" s="9">
        <f>IF(B1119="","",IFERROR(VLOOKUP(B1119,'Daftar Outlet'!$A$4:$B$22,2,FALSE),""))</f>
        <v/>
      </c>
      <c r="D1119" s="8" t="n"/>
      <c r="E1119" s="6" t="n"/>
      <c r="F1119" s="8" t="n"/>
    </row>
    <row r="1120">
      <c r="A1120" s="7" t="n"/>
      <c r="B1120" s="8" t="n"/>
      <c r="C1120" s="9">
        <f>IF(B1120="","",IFERROR(VLOOKUP(B1120,'Daftar Outlet'!$A$4:$B$22,2,FALSE),""))</f>
        <v/>
      </c>
      <c r="D1120" s="8" t="n"/>
      <c r="E1120" s="6" t="n"/>
      <c r="F1120" s="8" t="n"/>
    </row>
    <row r="1121">
      <c r="A1121" s="7" t="n"/>
      <c r="B1121" s="8" t="n"/>
      <c r="C1121" s="9">
        <f>IF(B1121="","",IFERROR(VLOOKUP(B1121,'Daftar Outlet'!$A$4:$B$22,2,FALSE),""))</f>
        <v/>
      </c>
      <c r="D1121" s="8" t="n"/>
      <c r="E1121" s="6" t="n"/>
      <c r="F1121" s="8" t="n"/>
    </row>
    <row r="1122">
      <c r="A1122" s="7" t="n"/>
      <c r="B1122" s="8" t="n"/>
      <c r="C1122" s="9">
        <f>IF(B1122="","",IFERROR(VLOOKUP(B1122,'Daftar Outlet'!$A$4:$B$22,2,FALSE),""))</f>
        <v/>
      </c>
      <c r="D1122" s="8" t="n"/>
      <c r="E1122" s="6" t="n"/>
      <c r="F1122" s="8" t="n"/>
    </row>
    <row r="1123">
      <c r="A1123" s="7" t="n"/>
      <c r="B1123" s="8" t="n"/>
      <c r="C1123" s="9">
        <f>IF(B1123="","",IFERROR(VLOOKUP(B1123,'Daftar Outlet'!$A$4:$B$22,2,FALSE),""))</f>
        <v/>
      </c>
      <c r="D1123" s="8" t="n"/>
      <c r="E1123" s="6" t="n"/>
      <c r="F1123" s="8" t="n"/>
    </row>
    <row r="1124">
      <c r="A1124" s="7" t="n"/>
      <c r="B1124" s="8" t="n"/>
      <c r="C1124" s="9">
        <f>IF(B1124="","",IFERROR(VLOOKUP(B1124,'Daftar Outlet'!$A$4:$B$22,2,FALSE),""))</f>
        <v/>
      </c>
      <c r="D1124" s="8" t="n"/>
      <c r="E1124" s="6" t="n"/>
      <c r="F1124" s="8" t="n"/>
    </row>
    <row r="1125">
      <c r="A1125" s="7" t="n"/>
      <c r="B1125" s="8" t="n"/>
      <c r="C1125" s="9">
        <f>IF(B1125="","",IFERROR(VLOOKUP(B1125,'Daftar Outlet'!$A$4:$B$22,2,FALSE),""))</f>
        <v/>
      </c>
      <c r="D1125" s="8" t="n"/>
      <c r="E1125" s="6" t="n"/>
      <c r="F1125" s="8" t="n"/>
    </row>
    <row r="1126">
      <c r="A1126" s="7" t="n"/>
      <c r="B1126" s="8" t="n"/>
      <c r="C1126" s="9">
        <f>IF(B1126="","",IFERROR(VLOOKUP(B1126,'Daftar Outlet'!$A$4:$B$22,2,FALSE),""))</f>
        <v/>
      </c>
      <c r="D1126" s="8" t="n"/>
      <c r="E1126" s="6" t="n"/>
      <c r="F1126" s="8" t="n"/>
    </row>
    <row r="1127">
      <c r="A1127" s="7" t="n"/>
      <c r="B1127" s="8" t="n"/>
      <c r="C1127" s="9">
        <f>IF(B1127="","",IFERROR(VLOOKUP(B1127,'Daftar Outlet'!$A$4:$B$22,2,FALSE),""))</f>
        <v/>
      </c>
      <c r="D1127" s="8" t="n"/>
      <c r="E1127" s="6" t="n"/>
      <c r="F1127" s="8" t="n"/>
    </row>
    <row r="1128">
      <c r="A1128" s="7" t="n"/>
      <c r="B1128" s="8" t="n"/>
      <c r="C1128" s="9">
        <f>IF(B1128="","",IFERROR(VLOOKUP(B1128,'Daftar Outlet'!$A$4:$B$22,2,FALSE),""))</f>
        <v/>
      </c>
      <c r="D1128" s="8" t="n"/>
      <c r="E1128" s="6" t="n"/>
      <c r="F1128" s="8" t="n"/>
    </row>
    <row r="1129">
      <c r="A1129" s="7" t="n"/>
      <c r="B1129" s="8" t="n"/>
      <c r="C1129" s="9">
        <f>IF(B1129="","",IFERROR(VLOOKUP(B1129,'Daftar Outlet'!$A$4:$B$22,2,FALSE),""))</f>
        <v/>
      </c>
      <c r="D1129" s="8" t="n"/>
      <c r="E1129" s="6" t="n"/>
      <c r="F1129" s="8" t="n"/>
    </row>
    <row r="1130">
      <c r="A1130" s="7" t="n"/>
      <c r="B1130" s="8" t="n"/>
      <c r="C1130" s="9">
        <f>IF(B1130="","",IFERROR(VLOOKUP(B1130,'Daftar Outlet'!$A$4:$B$22,2,FALSE),""))</f>
        <v/>
      </c>
      <c r="D1130" s="8" t="n"/>
      <c r="E1130" s="6" t="n"/>
      <c r="F1130" s="8" t="n"/>
    </row>
    <row r="1131">
      <c r="A1131" s="7" t="n"/>
      <c r="B1131" s="8" t="n"/>
      <c r="C1131" s="9">
        <f>IF(B1131="","",IFERROR(VLOOKUP(B1131,'Daftar Outlet'!$A$4:$B$22,2,FALSE),""))</f>
        <v/>
      </c>
      <c r="D1131" s="8" t="n"/>
      <c r="E1131" s="6" t="n"/>
      <c r="F1131" s="8" t="n"/>
    </row>
    <row r="1132">
      <c r="A1132" s="7" t="n"/>
      <c r="B1132" s="8" t="n"/>
      <c r="C1132" s="9">
        <f>IF(B1132="","",IFERROR(VLOOKUP(B1132,'Daftar Outlet'!$A$4:$B$22,2,FALSE),""))</f>
        <v/>
      </c>
      <c r="D1132" s="8" t="n"/>
      <c r="E1132" s="6" t="n"/>
      <c r="F1132" s="8" t="n"/>
    </row>
    <row r="1133">
      <c r="A1133" s="7" t="n"/>
      <c r="B1133" s="8" t="n"/>
      <c r="C1133" s="9">
        <f>IF(B1133="","",IFERROR(VLOOKUP(B1133,'Daftar Outlet'!$A$4:$B$22,2,FALSE),""))</f>
        <v/>
      </c>
      <c r="D1133" s="8" t="n"/>
      <c r="E1133" s="6" t="n"/>
      <c r="F1133" s="8" t="n"/>
    </row>
    <row r="1134">
      <c r="A1134" s="7" t="n"/>
      <c r="B1134" s="8" t="n"/>
      <c r="C1134" s="9">
        <f>IF(B1134="","",IFERROR(VLOOKUP(B1134,'Daftar Outlet'!$A$4:$B$22,2,FALSE),""))</f>
        <v/>
      </c>
      <c r="D1134" s="8" t="n"/>
      <c r="E1134" s="6" t="n"/>
      <c r="F1134" s="8" t="n"/>
    </row>
    <row r="1135">
      <c r="A1135" s="7" t="n"/>
      <c r="B1135" s="8" t="n"/>
      <c r="C1135" s="9">
        <f>IF(B1135="","",IFERROR(VLOOKUP(B1135,'Daftar Outlet'!$A$4:$B$22,2,FALSE),""))</f>
        <v/>
      </c>
      <c r="D1135" s="8" t="n"/>
      <c r="E1135" s="6" t="n"/>
      <c r="F1135" s="8" t="n"/>
    </row>
    <row r="1136">
      <c r="A1136" s="7" t="n"/>
      <c r="B1136" s="8" t="n"/>
      <c r="C1136" s="9">
        <f>IF(B1136="","",IFERROR(VLOOKUP(B1136,'Daftar Outlet'!$A$4:$B$22,2,FALSE),""))</f>
        <v/>
      </c>
      <c r="D1136" s="8" t="n"/>
      <c r="E1136" s="6" t="n"/>
      <c r="F1136" s="8" t="n"/>
    </row>
    <row r="1137">
      <c r="A1137" s="7" t="n"/>
      <c r="B1137" s="8" t="n"/>
      <c r="C1137" s="9">
        <f>IF(B1137="","",IFERROR(VLOOKUP(B1137,'Daftar Outlet'!$A$4:$B$22,2,FALSE),""))</f>
        <v/>
      </c>
      <c r="D1137" s="8" t="n"/>
      <c r="E1137" s="6" t="n"/>
      <c r="F1137" s="8" t="n"/>
    </row>
    <row r="1138">
      <c r="A1138" s="7" t="n"/>
      <c r="B1138" s="8" t="n"/>
      <c r="C1138" s="9">
        <f>IF(B1138="","",IFERROR(VLOOKUP(B1138,'Daftar Outlet'!$A$4:$B$22,2,FALSE),""))</f>
        <v/>
      </c>
      <c r="D1138" s="8" t="n"/>
      <c r="E1138" s="6" t="n"/>
      <c r="F1138" s="8" t="n"/>
    </row>
    <row r="1139">
      <c r="A1139" s="7" t="n"/>
      <c r="B1139" s="8" t="n"/>
      <c r="C1139" s="9">
        <f>IF(B1139="","",IFERROR(VLOOKUP(B1139,'Daftar Outlet'!$A$4:$B$22,2,FALSE),""))</f>
        <v/>
      </c>
      <c r="D1139" s="8" t="n"/>
      <c r="E1139" s="6" t="n"/>
      <c r="F1139" s="8" t="n"/>
    </row>
    <row r="1140">
      <c r="A1140" s="7" t="n"/>
      <c r="B1140" s="8" t="n"/>
      <c r="C1140" s="9">
        <f>IF(B1140="","",IFERROR(VLOOKUP(B1140,'Daftar Outlet'!$A$4:$B$22,2,FALSE),""))</f>
        <v/>
      </c>
      <c r="D1140" s="8" t="n"/>
      <c r="E1140" s="6" t="n"/>
      <c r="F1140" s="8" t="n"/>
    </row>
    <row r="1141">
      <c r="A1141" s="7" t="n"/>
      <c r="B1141" s="8" t="n"/>
      <c r="C1141" s="9">
        <f>IF(B1141="","",IFERROR(VLOOKUP(B1141,'Daftar Outlet'!$A$4:$B$22,2,FALSE),""))</f>
        <v/>
      </c>
      <c r="D1141" s="8" t="n"/>
      <c r="E1141" s="6" t="n"/>
      <c r="F1141" s="8" t="n"/>
    </row>
    <row r="1142">
      <c r="A1142" s="7" t="n"/>
      <c r="B1142" s="8" t="n"/>
      <c r="C1142" s="9">
        <f>IF(B1142="","",IFERROR(VLOOKUP(B1142,'Daftar Outlet'!$A$4:$B$22,2,FALSE),""))</f>
        <v/>
      </c>
      <c r="D1142" s="8" t="n"/>
      <c r="E1142" s="6" t="n"/>
      <c r="F1142" s="8" t="n"/>
    </row>
    <row r="1143">
      <c r="A1143" s="7" t="n"/>
      <c r="B1143" s="8" t="n"/>
      <c r="C1143" s="9">
        <f>IF(B1143="","",IFERROR(VLOOKUP(B1143,'Daftar Outlet'!$A$4:$B$22,2,FALSE),""))</f>
        <v/>
      </c>
      <c r="D1143" s="8" t="n"/>
      <c r="E1143" s="6" t="n"/>
      <c r="F1143" s="8" t="n"/>
    </row>
    <row r="1144">
      <c r="A1144" s="7" t="n"/>
      <c r="B1144" s="8" t="n"/>
      <c r="C1144" s="9">
        <f>IF(B1144="","",IFERROR(VLOOKUP(B1144,'Daftar Outlet'!$A$4:$B$22,2,FALSE),""))</f>
        <v/>
      </c>
      <c r="D1144" s="8" t="n"/>
      <c r="E1144" s="6" t="n"/>
      <c r="F1144" s="8" t="n"/>
    </row>
    <row r="1145">
      <c r="A1145" s="7" t="n"/>
      <c r="B1145" s="8" t="n"/>
      <c r="C1145" s="9">
        <f>IF(B1145="","",IFERROR(VLOOKUP(B1145,'Daftar Outlet'!$A$4:$B$22,2,FALSE),""))</f>
        <v/>
      </c>
      <c r="D1145" s="8" t="n"/>
      <c r="E1145" s="6" t="n"/>
      <c r="F1145" s="8" t="n"/>
    </row>
    <row r="1146">
      <c r="A1146" s="7" t="n"/>
      <c r="B1146" s="8" t="n"/>
      <c r="C1146" s="9">
        <f>IF(B1146="","",IFERROR(VLOOKUP(B1146,'Daftar Outlet'!$A$4:$B$22,2,FALSE),""))</f>
        <v/>
      </c>
      <c r="D1146" s="8" t="n"/>
      <c r="E1146" s="6" t="n"/>
      <c r="F1146" s="8" t="n"/>
    </row>
    <row r="1147">
      <c r="A1147" s="7" t="n"/>
      <c r="B1147" s="8" t="n"/>
      <c r="C1147" s="9">
        <f>IF(B1147="","",IFERROR(VLOOKUP(B1147,'Daftar Outlet'!$A$4:$B$22,2,FALSE),""))</f>
        <v/>
      </c>
      <c r="D1147" s="8" t="n"/>
      <c r="E1147" s="6" t="n"/>
      <c r="F1147" s="8" t="n"/>
    </row>
    <row r="1148">
      <c r="A1148" s="7" t="n"/>
      <c r="B1148" s="8" t="n"/>
      <c r="C1148" s="9">
        <f>IF(B1148="","",IFERROR(VLOOKUP(B1148,'Daftar Outlet'!$A$4:$B$22,2,FALSE),""))</f>
        <v/>
      </c>
      <c r="D1148" s="8" t="n"/>
      <c r="E1148" s="6" t="n"/>
      <c r="F1148" s="8" t="n"/>
    </row>
    <row r="1149">
      <c r="A1149" s="7" t="n"/>
      <c r="B1149" s="8" t="n"/>
      <c r="C1149" s="9">
        <f>IF(B1149="","",IFERROR(VLOOKUP(B1149,'Daftar Outlet'!$A$4:$B$22,2,FALSE),""))</f>
        <v/>
      </c>
      <c r="D1149" s="8" t="n"/>
      <c r="E1149" s="6" t="n"/>
      <c r="F1149" s="8" t="n"/>
    </row>
    <row r="1150">
      <c r="A1150" s="7" t="n"/>
      <c r="B1150" s="8" t="n"/>
      <c r="C1150" s="9">
        <f>IF(B1150="","",IFERROR(VLOOKUP(B1150,'Daftar Outlet'!$A$4:$B$22,2,FALSE),""))</f>
        <v/>
      </c>
      <c r="D1150" s="8" t="n"/>
      <c r="E1150" s="6" t="n"/>
      <c r="F1150" s="8" t="n"/>
    </row>
    <row r="1151">
      <c r="A1151" s="7" t="n"/>
      <c r="B1151" s="8" t="n"/>
      <c r="C1151" s="9">
        <f>IF(B1151="","",IFERROR(VLOOKUP(B1151,'Daftar Outlet'!$A$4:$B$22,2,FALSE),""))</f>
        <v/>
      </c>
      <c r="D1151" s="8" t="n"/>
      <c r="E1151" s="6" t="n"/>
      <c r="F1151" s="8" t="n"/>
    </row>
    <row r="1152">
      <c r="A1152" s="7" t="n"/>
      <c r="B1152" s="8" t="n"/>
      <c r="C1152" s="9">
        <f>IF(B1152="","",IFERROR(VLOOKUP(B1152,'Daftar Outlet'!$A$4:$B$22,2,FALSE),""))</f>
        <v/>
      </c>
      <c r="D1152" s="8" t="n"/>
      <c r="E1152" s="6" t="n"/>
      <c r="F1152" s="8" t="n"/>
    </row>
    <row r="1153">
      <c r="A1153" s="7" t="n"/>
      <c r="B1153" s="8" t="n"/>
      <c r="C1153" s="9">
        <f>IF(B1153="","",IFERROR(VLOOKUP(B1153,'Daftar Outlet'!$A$4:$B$22,2,FALSE),""))</f>
        <v/>
      </c>
      <c r="D1153" s="8" t="n"/>
      <c r="E1153" s="6" t="n"/>
      <c r="F1153" s="8" t="n"/>
    </row>
    <row r="1154">
      <c r="A1154" s="7" t="n"/>
      <c r="B1154" s="8" t="n"/>
      <c r="C1154" s="9">
        <f>IF(B1154="","",IFERROR(VLOOKUP(B1154,'Daftar Outlet'!$A$4:$B$22,2,FALSE),""))</f>
        <v/>
      </c>
      <c r="D1154" s="8" t="n"/>
      <c r="E1154" s="6" t="n"/>
      <c r="F1154" s="8" t="n"/>
    </row>
    <row r="1155">
      <c r="A1155" s="7" t="n"/>
      <c r="B1155" s="8" t="n"/>
      <c r="C1155" s="9">
        <f>IF(B1155="","",IFERROR(VLOOKUP(B1155,'Daftar Outlet'!$A$4:$B$22,2,FALSE),""))</f>
        <v/>
      </c>
      <c r="D1155" s="8" t="n"/>
      <c r="E1155" s="6" t="n"/>
      <c r="F1155" s="8" t="n"/>
    </row>
    <row r="1156">
      <c r="A1156" s="7" t="n"/>
      <c r="B1156" s="8" t="n"/>
      <c r="C1156" s="9">
        <f>IF(B1156="","",IFERROR(VLOOKUP(B1156,'Daftar Outlet'!$A$4:$B$22,2,FALSE),""))</f>
        <v/>
      </c>
      <c r="D1156" s="8" t="n"/>
      <c r="E1156" s="6" t="n"/>
      <c r="F1156" s="8" t="n"/>
    </row>
    <row r="1157">
      <c r="A1157" s="7" t="n"/>
      <c r="B1157" s="8" t="n"/>
      <c r="C1157" s="9">
        <f>IF(B1157="","",IFERROR(VLOOKUP(B1157,'Daftar Outlet'!$A$4:$B$22,2,FALSE),""))</f>
        <v/>
      </c>
      <c r="D1157" s="8" t="n"/>
      <c r="E1157" s="6" t="n"/>
      <c r="F1157" s="8" t="n"/>
    </row>
    <row r="1158">
      <c r="A1158" s="7" t="n"/>
      <c r="B1158" s="8" t="n"/>
      <c r="C1158" s="9">
        <f>IF(B1158="","",IFERROR(VLOOKUP(B1158,'Daftar Outlet'!$A$4:$B$22,2,FALSE),""))</f>
        <v/>
      </c>
      <c r="D1158" s="8" t="n"/>
      <c r="E1158" s="6" t="n"/>
      <c r="F1158" s="8" t="n"/>
    </row>
    <row r="1159">
      <c r="A1159" s="7" t="n"/>
      <c r="B1159" s="8" t="n"/>
      <c r="C1159" s="9">
        <f>IF(B1159="","",IFERROR(VLOOKUP(B1159,'Daftar Outlet'!$A$4:$B$22,2,FALSE),""))</f>
        <v/>
      </c>
      <c r="D1159" s="8" t="n"/>
      <c r="E1159" s="6" t="n"/>
      <c r="F1159" s="8" t="n"/>
    </row>
    <row r="1160">
      <c r="A1160" s="7" t="n"/>
      <c r="B1160" s="8" t="n"/>
      <c r="C1160" s="9">
        <f>IF(B1160="","",IFERROR(VLOOKUP(B1160,'Daftar Outlet'!$A$4:$B$22,2,FALSE),""))</f>
        <v/>
      </c>
      <c r="D1160" s="8" t="n"/>
      <c r="E1160" s="6" t="n"/>
      <c r="F1160" s="8" t="n"/>
    </row>
    <row r="1161">
      <c r="A1161" s="7" t="n"/>
      <c r="B1161" s="8" t="n"/>
      <c r="C1161" s="9">
        <f>IF(B1161="","",IFERROR(VLOOKUP(B1161,'Daftar Outlet'!$A$4:$B$22,2,FALSE),""))</f>
        <v/>
      </c>
      <c r="D1161" s="8" t="n"/>
      <c r="E1161" s="6" t="n"/>
      <c r="F1161" s="8" t="n"/>
    </row>
    <row r="1162">
      <c r="A1162" s="7" t="n"/>
      <c r="B1162" s="8" t="n"/>
      <c r="C1162" s="9">
        <f>IF(B1162="","",IFERROR(VLOOKUP(B1162,'Daftar Outlet'!$A$4:$B$22,2,FALSE),""))</f>
        <v/>
      </c>
      <c r="D1162" s="8" t="n"/>
      <c r="E1162" s="6" t="n"/>
      <c r="F1162" s="8" t="n"/>
    </row>
    <row r="1163">
      <c r="A1163" s="7" t="n"/>
      <c r="B1163" s="8" t="n"/>
      <c r="C1163" s="9">
        <f>IF(B1163="","",IFERROR(VLOOKUP(B1163,'Daftar Outlet'!$A$4:$B$22,2,FALSE),""))</f>
        <v/>
      </c>
      <c r="D1163" s="8" t="n"/>
      <c r="E1163" s="6" t="n"/>
      <c r="F1163" s="8" t="n"/>
    </row>
    <row r="1164">
      <c r="A1164" s="7" t="n"/>
      <c r="B1164" s="8" t="n"/>
      <c r="C1164" s="9">
        <f>IF(B1164="","",IFERROR(VLOOKUP(B1164,'Daftar Outlet'!$A$4:$B$22,2,FALSE),""))</f>
        <v/>
      </c>
      <c r="D1164" s="8" t="n"/>
      <c r="E1164" s="6" t="n"/>
      <c r="F1164" s="8" t="n"/>
    </row>
    <row r="1165">
      <c r="A1165" s="7" t="n"/>
      <c r="B1165" s="8" t="n"/>
      <c r="C1165" s="9">
        <f>IF(B1165="","",IFERROR(VLOOKUP(B1165,'Daftar Outlet'!$A$4:$B$22,2,FALSE),""))</f>
        <v/>
      </c>
      <c r="D1165" s="8" t="n"/>
      <c r="E1165" s="6" t="n"/>
      <c r="F1165" s="8" t="n"/>
    </row>
    <row r="1166">
      <c r="A1166" s="7" t="n"/>
      <c r="B1166" s="8" t="n"/>
      <c r="C1166" s="9">
        <f>IF(B1166="","",IFERROR(VLOOKUP(B1166,'Daftar Outlet'!$A$4:$B$22,2,FALSE),""))</f>
        <v/>
      </c>
      <c r="D1166" s="8" t="n"/>
      <c r="E1166" s="6" t="n"/>
      <c r="F1166" s="8" t="n"/>
    </row>
    <row r="1167">
      <c r="A1167" s="7" t="n"/>
      <c r="B1167" s="8" t="n"/>
      <c r="C1167" s="9">
        <f>IF(B1167="","",IFERROR(VLOOKUP(B1167,'Daftar Outlet'!$A$4:$B$22,2,FALSE),""))</f>
        <v/>
      </c>
      <c r="D1167" s="8" t="n"/>
      <c r="E1167" s="6" t="n"/>
      <c r="F1167" s="8" t="n"/>
    </row>
    <row r="1168">
      <c r="A1168" s="7" t="n"/>
      <c r="B1168" s="8" t="n"/>
      <c r="C1168" s="9">
        <f>IF(B1168="","",IFERROR(VLOOKUP(B1168,'Daftar Outlet'!$A$4:$B$22,2,FALSE),""))</f>
        <v/>
      </c>
      <c r="D1168" s="8" t="n"/>
      <c r="E1168" s="6" t="n"/>
      <c r="F1168" s="8" t="n"/>
    </row>
    <row r="1169">
      <c r="A1169" s="7" t="n"/>
      <c r="B1169" s="8" t="n"/>
      <c r="C1169" s="9">
        <f>IF(B1169="","",IFERROR(VLOOKUP(B1169,'Daftar Outlet'!$A$4:$B$22,2,FALSE),""))</f>
        <v/>
      </c>
      <c r="D1169" s="8" t="n"/>
      <c r="E1169" s="6" t="n"/>
      <c r="F1169" s="8" t="n"/>
    </row>
    <row r="1170">
      <c r="A1170" s="7" t="n"/>
      <c r="B1170" s="8" t="n"/>
      <c r="C1170" s="9">
        <f>IF(B1170="","",IFERROR(VLOOKUP(B1170,'Daftar Outlet'!$A$4:$B$22,2,FALSE),""))</f>
        <v/>
      </c>
      <c r="D1170" s="8" t="n"/>
      <c r="E1170" s="6" t="n"/>
      <c r="F1170" s="8" t="n"/>
    </row>
    <row r="1171">
      <c r="A1171" s="7" t="n"/>
      <c r="B1171" s="8" t="n"/>
      <c r="C1171" s="9">
        <f>IF(B1171="","",IFERROR(VLOOKUP(B1171,'Daftar Outlet'!$A$4:$B$22,2,FALSE),""))</f>
        <v/>
      </c>
      <c r="D1171" s="8" t="n"/>
      <c r="E1171" s="6" t="n"/>
      <c r="F1171" s="8" t="n"/>
    </row>
    <row r="1172">
      <c r="A1172" s="7" t="n"/>
      <c r="B1172" s="8" t="n"/>
      <c r="C1172" s="9">
        <f>IF(B1172="","",IFERROR(VLOOKUP(B1172,'Daftar Outlet'!$A$4:$B$22,2,FALSE),""))</f>
        <v/>
      </c>
      <c r="D1172" s="8" t="n"/>
      <c r="E1172" s="6" t="n"/>
      <c r="F1172" s="8" t="n"/>
    </row>
    <row r="1173">
      <c r="A1173" s="7" t="n"/>
      <c r="B1173" s="8" t="n"/>
      <c r="C1173" s="9">
        <f>IF(B1173="","",IFERROR(VLOOKUP(B1173,'Daftar Outlet'!$A$4:$B$22,2,FALSE),""))</f>
        <v/>
      </c>
      <c r="D1173" s="8" t="n"/>
      <c r="E1173" s="6" t="n"/>
      <c r="F1173" s="8" t="n"/>
    </row>
    <row r="1174">
      <c r="A1174" s="7" t="n"/>
      <c r="B1174" s="8" t="n"/>
      <c r="C1174" s="9">
        <f>IF(B1174="","",IFERROR(VLOOKUP(B1174,'Daftar Outlet'!$A$4:$B$22,2,FALSE),""))</f>
        <v/>
      </c>
      <c r="D1174" s="8" t="n"/>
      <c r="E1174" s="6" t="n"/>
      <c r="F1174" s="8" t="n"/>
    </row>
    <row r="1175">
      <c r="A1175" s="7" t="n"/>
      <c r="B1175" s="8" t="n"/>
      <c r="C1175" s="9">
        <f>IF(B1175="","",IFERROR(VLOOKUP(B1175,'Daftar Outlet'!$A$4:$B$22,2,FALSE),""))</f>
        <v/>
      </c>
      <c r="D1175" s="8" t="n"/>
      <c r="E1175" s="6" t="n"/>
      <c r="F1175" s="8" t="n"/>
    </row>
    <row r="1176">
      <c r="A1176" s="7" t="n"/>
      <c r="B1176" s="8" t="n"/>
      <c r="C1176" s="9">
        <f>IF(B1176="","",IFERROR(VLOOKUP(B1176,'Daftar Outlet'!$A$4:$B$22,2,FALSE),""))</f>
        <v/>
      </c>
      <c r="D1176" s="8" t="n"/>
      <c r="E1176" s="6" t="n"/>
      <c r="F1176" s="8" t="n"/>
    </row>
    <row r="1177">
      <c r="A1177" s="7" t="n"/>
      <c r="B1177" s="8" t="n"/>
      <c r="C1177" s="9">
        <f>IF(B1177="","",IFERROR(VLOOKUP(B1177,'Daftar Outlet'!$A$4:$B$22,2,FALSE),""))</f>
        <v/>
      </c>
      <c r="D1177" s="8" t="n"/>
      <c r="E1177" s="6" t="n"/>
      <c r="F1177" s="8" t="n"/>
    </row>
    <row r="1178">
      <c r="A1178" s="7" t="n"/>
      <c r="B1178" s="8" t="n"/>
      <c r="C1178" s="9">
        <f>IF(B1178="","",IFERROR(VLOOKUP(B1178,'Daftar Outlet'!$A$4:$B$22,2,FALSE),""))</f>
        <v/>
      </c>
      <c r="D1178" s="8" t="n"/>
      <c r="E1178" s="6" t="n"/>
      <c r="F1178" s="8" t="n"/>
    </row>
    <row r="1179">
      <c r="A1179" s="7" t="n"/>
      <c r="B1179" s="8" t="n"/>
      <c r="C1179" s="9">
        <f>IF(B1179="","",IFERROR(VLOOKUP(B1179,'Daftar Outlet'!$A$4:$B$22,2,FALSE),""))</f>
        <v/>
      </c>
      <c r="D1179" s="8" t="n"/>
      <c r="E1179" s="6" t="n"/>
      <c r="F1179" s="8" t="n"/>
    </row>
    <row r="1180">
      <c r="A1180" s="7" t="n"/>
      <c r="B1180" s="8" t="n"/>
      <c r="C1180" s="9">
        <f>IF(B1180="","",IFERROR(VLOOKUP(B1180,'Daftar Outlet'!$A$4:$B$22,2,FALSE),""))</f>
        <v/>
      </c>
      <c r="D1180" s="8" t="n"/>
      <c r="E1180" s="6" t="n"/>
      <c r="F1180" s="8" t="n"/>
    </row>
    <row r="1181">
      <c r="A1181" s="7" t="n"/>
      <c r="B1181" s="8" t="n"/>
      <c r="C1181" s="9">
        <f>IF(B1181="","",IFERROR(VLOOKUP(B1181,'Daftar Outlet'!$A$4:$B$22,2,FALSE),""))</f>
        <v/>
      </c>
      <c r="D1181" s="8" t="n"/>
      <c r="E1181" s="6" t="n"/>
      <c r="F1181" s="8" t="n"/>
    </row>
    <row r="1182">
      <c r="A1182" s="7" t="n"/>
      <c r="B1182" s="8" t="n"/>
      <c r="C1182" s="9">
        <f>IF(B1182="","",IFERROR(VLOOKUP(B1182,'Daftar Outlet'!$A$4:$B$22,2,FALSE),""))</f>
        <v/>
      </c>
      <c r="D1182" s="8" t="n"/>
      <c r="E1182" s="6" t="n"/>
      <c r="F1182" s="8" t="n"/>
    </row>
    <row r="1183">
      <c r="A1183" s="7" t="n"/>
      <c r="B1183" s="8" t="n"/>
      <c r="C1183" s="9">
        <f>IF(B1183="","",IFERROR(VLOOKUP(B1183,'Daftar Outlet'!$A$4:$B$22,2,FALSE),""))</f>
        <v/>
      </c>
      <c r="D1183" s="8" t="n"/>
      <c r="E1183" s="6" t="n"/>
      <c r="F1183" s="8" t="n"/>
    </row>
    <row r="1184">
      <c r="A1184" s="7" t="n"/>
      <c r="B1184" s="8" t="n"/>
      <c r="C1184" s="9">
        <f>IF(B1184="","",IFERROR(VLOOKUP(B1184,'Daftar Outlet'!$A$4:$B$22,2,FALSE),""))</f>
        <v/>
      </c>
      <c r="D1184" s="8" t="n"/>
      <c r="E1184" s="6" t="n"/>
      <c r="F1184" s="8" t="n"/>
    </row>
    <row r="1185">
      <c r="A1185" s="7" t="n"/>
      <c r="B1185" s="8" t="n"/>
      <c r="C1185" s="9">
        <f>IF(B1185="","",IFERROR(VLOOKUP(B1185,'Daftar Outlet'!$A$4:$B$22,2,FALSE),""))</f>
        <v/>
      </c>
      <c r="D1185" s="8" t="n"/>
      <c r="E1185" s="6" t="n"/>
      <c r="F1185" s="8" t="n"/>
    </row>
    <row r="1186">
      <c r="A1186" s="7" t="n"/>
      <c r="B1186" s="8" t="n"/>
      <c r="C1186" s="9">
        <f>IF(B1186="","",IFERROR(VLOOKUP(B1186,'Daftar Outlet'!$A$4:$B$22,2,FALSE),""))</f>
        <v/>
      </c>
      <c r="D1186" s="8" t="n"/>
      <c r="E1186" s="6" t="n"/>
      <c r="F1186" s="8" t="n"/>
    </row>
    <row r="1187">
      <c r="A1187" s="7" t="n"/>
      <c r="B1187" s="8" t="n"/>
      <c r="C1187" s="9">
        <f>IF(B1187="","",IFERROR(VLOOKUP(B1187,'Daftar Outlet'!$A$4:$B$22,2,FALSE),""))</f>
        <v/>
      </c>
      <c r="D1187" s="8" t="n"/>
      <c r="E1187" s="6" t="n"/>
      <c r="F1187" s="8" t="n"/>
    </row>
    <row r="1188">
      <c r="A1188" s="7" t="n"/>
      <c r="B1188" s="8" t="n"/>
      <c r="C1188" s="9">
        <f>IF(B1188="","",IFERROR(VLOOKUP(B1188,'Daftar Outlet'!$A$4:$B$22,2,FALSE),""))</f>
        <v/>
      </c>
      <c r="D1188" s="8" t="n"/>
      <c r="E1188" s="6" t="n"/>
      <c r="F1188" s="8" t="n"/>
    </row>
    <row r="1189">
      <c r="A1189" s="7" t="n"/>
      <c r="B1189" s="8" t="n"/>
      <c r="C1189" s="9">
        <f>IF(B1189="","",IFERROR(VLOOKUP(B1189,'Daftar Outlet'!$A$4:$B$22,2,FALSE),""))</f>
        <v/>
      </c>
      <c r="D1189" s="8" t="n"/>
      <c r="E1189" s="6" t="n"/>
      <c r="F1189" s="8" t="n"/>
    </row>
    <row r="1190">
      <c r="A1190" s="7" t="n"/>
      <c r="B1190" s="8" t="n"/>
      <c r="C1190" s="9">
        <f>IF(B1190="","",IFERROR(VLOOKUP(B1190,'Daftar Outlet'!$A$4:$B$22,2,FALSE),""))</f>
        <v/>
      </c>
      <c r="D1190" s="8" t="n"/>
      <c r="E1190" s="6" t="n"/>
      <c r="F1190" s="8" t="n"/>
    </row>
    <row r="1191">
      <c r="A1191" s="7" t="n"/>
      <c r="B1191" s="8" t="n"/>
      <c r="C1191" s="9">
        <f>IF(B1191="","",IFERROR(VLOOKUP(B1191,'Daftar Outlet'!$A$4:$B$22,2,FALSE),""))</f>
        <v/>
      </c>
      <c r="D1191" s="8" t="n"/>
      <c r="E1191" s="6" t="n"/>
      <c r="F1191" s="8" t="n"/>
    </row>
    <row r="1192">
      <c r="A1192" s="7" t="n"/>
      <c r="B1192" s="8" t="n"/>
      <c r="C1192" s="9">
        <f>IF(B1192="","",IFERROR(VLOOKUP(B1192,'Daftar Outlet'!$A$4:$B$22,2,FALSE),""))</f>
        <v/>
      </c>
      <c r="D1192" s="8" t="n"/>
      <c r="E1192" s="6" t="n"/>
      <c r="F1192" s="8" t="n"/>
    </row>
    <row r="1193">
      <c r="A1193" s="7" t="n"/>
      <c r="B1193" s="8" t="n"/>
      <c r="C1193" s="9">
        <f>IF(B1193="","",IFERROR(VLOOKUP(B1193,'Daftar Outlet'!$A$4:$B$22,2,FALSE),""))</f>
        <v/>
      </c>
      <c r="D1193" s="8" t="n"/>
      <c r="E1193" s="6" t="n"/>
      <c r="F1193" s="8" t="n"/>
    </row>
    <row r="1194">
      <c r="A1194" s="7" t="n"/>
      <c r="B1194" s="8" t="n"/>
      <c r="C1194" s="9">
        <f>IF(B1194="","",IFERROR(VLOOKUP(B1194,'Daftar Outlet'!$A$4:$B$22,2,FALSE),""))</f>
        <v/>
      </c>
      <c r="D1194" s="8" t="n"/>
      <c r="E1194" s="6" t="n"/>
      <c r="F1194" s="8" t="n"/>
    </row>
    <row r="1195">
      <c r="A1195" s="7" t="n"/>
      <c r="B1195" s="8" t="n"/>
      <c r="C1195" s="9">
        <f>IF(B1195="","",IFERROR(VLOOKUP(B1195,'Daftar Outlet'!$A$4:$B$22,2,FALSE),""))</f>
        <v/>
      </c>
      <c r="D1195" s="8" t="n"/>
      <c r="E1195" s="6" t="n"/>
      <c r="F1195" s="8" t="n"/>
    </row>
    <row r="1196">
      <c r="A1196" s="7" t="n"/>
      <c r="B1196" s="8" t="n"/>
      <c r="C1196" s="9">
        <f>IF(B1196="","",IFERROR(VLOOKUP(B1196,'Daftar Outlet'!$A$4:$B$22,2,FALSE),""))</f>
        <v/>
      </c>
      <c r="D1196" s="8" t="n"/>
      <c r="E1196" s="6" t="n"/>
      <c r="F1196" s="8" t="n"/>
    </row>
    <row r="1197">
      <c r="A1197" s="7" t="n"/>
      <c r="B1197" s="8" t="n"/>
      <c r="C1197" s="9">
        <f>IF(B1197="","",IFERROR(VLOOKUP(B1197,'Daftar Outlet'!$A$4:$B$22,2,FALSE),""))</f>
        <v/>
      </c>
      <c r="D1197" s="8" t="n"/>
      <c r="E1197" s="6" t="n"/>
      <c r="F1197" s="8" t="n"/>
    </row>
    <row r="1198">
      <c r="A1198" s="7" t="n"/>
      <c r="B1198" s="8" t="n"/>
      <c r="C1198" s="9">
        <f>IF(B1198="","",IFERROR(VLOOKUP(B1198,'Daftar Outlet'!$A$4:$B$22,2,FALSE),""))</f>
        <v/>
      </c>
      <c r="D1198" s="8" t="n"/>
      <c r="E1198" s="6" t="n"/>
      <c r="F1198" s="8" t="n"/>
    </row>
    <row r="1199">
      <c r="A1199" s="7" t="n"/>
      <c r="B1199" s="8" t="n"/>
      <c r="C1199" s="9">
        <f>IF(B1199="","",IFERROR(VLOOKUP(B1199,'Daftar Outlet'!$A$4:$B$22,2,FALSE),""))</f>
        <v/>
      </c>
      <c r="D1199" s="8" t="n"/>
      <c r="E1199" s="6" t="n"/>
      <c r="F1199" s="8" t="n"/>
    </row>
    <row r="1200">
      <c r="A1200" s="7" t="n"/>
      <c r="B1200" s="8" t="n"/>
      <c r="C1200" s="9">
        <f>IF(B1200="","",IFERROR(VLOOKUP(B1200,'Daftar Outlet'!$A$4:$B$22,2,FALSE),""))</f>
        <v/>
      </c>
      <c r="D1200" s="8" t="n"/>
      <c r="E1200" s="6" t="n"/>
      <c r="F1200" s="8" t="n"/>
    </row>
    <row r="1201">
      <c r="A1201" s="7" t="n"/>
      <c r="B1201" s="8" t="n"/>
      <c r="C1201" s="9">
        <f>IF(B1201="","",IFERROR(VLOOKUP(B1201,'Daftar Outlet'!$A$4:$B$22,2,FALSE),""))</f>
        <v/>
      </c>
      <c r="D1201" s="8" t="n"/>
      <c r="E1201" s="6" t="n"/>
      <c r="F1201" s="8" t="n"/>
    </row>
    <row r="1202">
      <c r="A1202" s="7" t="n"/>
      <c r="B1202" s="8" t="n"/>
      <c r="C1202" s="9">
        <f>IF(B1202="","",IFERROR(VLOOKUP(B1202,'Daftar Outlet'!$A$4:$B$22,2,FALSE),""))</f>
        <v/>
      </c>
      <c r="D1202" s="8" t="n"/>
      <c r="E1202" s="6" t="n"/>
      <c r="F1202" s="8" t="n"/>
    </row>
    <row r="1203">
      <c r="A1203" s="7" t="n"/>
      <c r="B1203" s="8" t="n"/>
      <c r="C1203" s="9">
        <f>IF(B1203="","",IFERROR(VLOOKUP(B1203,'Daftar Outlet'!$A$4:$B$22,2,FALSE),""))</f>
        <v/>
      </c>
      <c r="D1203" s="8" t="n"/>
      <c r="E1203" s="6" t="n"/>
      <c r="F1203" s="8" t="n"/>
    </row>
    <row r="1204">
      <c r="A1204" s="7" t="n"/>
      <c r="B1204" s="8" t="n"/>
      <c r="C1204" s="9">
        <f>IF(B1204="","",IFERROR(VLOOKUP(B1204,'Daftar Outlet'!$A$4:$B$22,2,FALSE),""))</f>
        <v/>
      </c>
      <c r="D1204" s="8" t="n"/>
      <c r="E1204" s="6" t="n"/>
      <c r="F1204" s="8" t="n"/>
    </row>
    <row r="1205">
      <c r="A1205" s="7" t="n"/>
      <c r="B1205" s="8" t="n"/>
      <c r="C1205" s="9">
        <f>IF(B1205="","",IFERROR(VLOOKUP(B1205,'Daftar Outlet'!$A$4:$B$22,2,FALSE),""))</f>
        <v/>
      </c>
      <c r="D1205" s="8" t="n"/>
      <c r="E1205" s="6" t="n"/>
      <c r="F1205" s="8" t="n"/>
    </row>
    <row r="1206">
      <c r="A1206" s="7" t="n"/>
      <c r="B1206" s="8" t="n"/>
      <c r="C1206" s="9">
        <f>IF(B1206="","",IFERROR(VLOOKUP(B1206,'Daftar Outlet'!$A$4:$B$22,2,FALSE),""))</f>
        <v/>
      </c>
      <c r="D1206" s="8" t="n"/>
      <c r="E1206" s="6" t="n"/>
      <c r="F1206" s="8" t="n"/>
    </row>
    <row r="1207">
      <c r="A1207" s="7" t="n"/>
      <c r="B1207" s="8" t="n"/>
      <c r="C1207" s="9">
        <f>IF(B1207="","",IFERROR(VLOOKUP(B1207,'Daftar Outlet'!$A$4:$B$22,2,FALSE),""))</f>
        <v/>
      </c>
      <c r="D1207" s="8" t="n"/>
      <c r="E1207" s="6" t="n"/>
      <c r="F1207" s="8" t="n"/>
    </row>
    <row r="1208">
      <c r="A1208" s="7" t="n"/>
      <c r="B1208" s="8" t="n"/>
      <c r="C1208" s="9">
        <f>IF(B1208="","",IFERROR(VLOOKUP(B1208,'Daftar Outlet'!$A$4:$B$22,2,FALSE),""))</f>
        <v/>
      </c>
      <c r="D1208" s="8" t="n"/>
      <c r="E1208" s="6" t="n"/>
      <c r="F1208" s="8" t="n"/>
    </row>
    <row r="1209">
      <c r="A1209" s="7" t="n"/>
      <c r="B1209" s="8" t="n"/>
      <c r="C1209" s="9">
        <f>IF(B1209="","",IFERROR(VLOOKUP(B1209,'Daftar Outlet'!$A$4:$B$22,2,FALSE),""))</f>
        <v/>
      </c>
      <c r="D1209" s="8" t="n"/>
      <c r="E1209" s="6" t="n"/>
      <c r="F1209" s="8" t="n"/>
    </row>
    <row r="1210">
      <c r="A1210" s="7" t="n"/>
      <c r="B1210" s="8" t="n"/>
      <c r="C1210" s="9">
        <f>IF(B1210="","",IFERROR(VLOOKUP(B1210,'Daftar Outlet'!$A$4:$B$22,2,FALSE),""))</f>
        <v/>
      </c>
      <c r="D1210" s="8" t="n"/>
      <c r="E1210" s="6" t="n"/>
      <c r="F1210" s="8" t="n"/>
    </row>
    <row r="1211">
      <c r="A1211" s="7" t="n"/>
      <c r="B1211" s="8" t="n"/>
      <c r="C1211" s="9">
        <f>IF(B1211="","",IFERROR(VLOOKUP(B1211,'Daftar Outlet'!$A$4:$B$22,2,FALSE),""))</f>
        <v/>
      </c>
      <c r="D1211" s="8" t="n"/>
      <c r="E1211" s="6" t="n"/>
      <c r="F1211" s="8" t="n"/>
    </row>
    <row r="1212">
      <c r="A1212" s="7" t="n"/>
      <c r="B1212" s="8" t="n"/>
      <c r="C1212" s="9">
        <f>IF(B1212="","",IFERROR(VLOOKUP(B1212,'Daftar Outlet'!$A$4:$B$22,2,FALSE),""))</f>
        <v/>
      </c>
      <c r="D1212" s="8" t="n"/>
      <c r="E1212" s="6" t="n"/>
      <c r="F1212" s="8" t="n"/>
    </row>
    <row r="1213">
      <c r="A1213" s="7" t="n"/>
      <c r="B1213" s="8" t="n"/>
      <c r="C1213" s="9">
        <f>IF(B1213="","",IFERROR(VLOOKUP(B1213,'Daftar Outlet'!$A$4:$B$22,2,FALSE),""))</f>
        <v/>
      </c>
      <c r="D1213" s="8" t="n"/>
      <c r="E1213" s="6" t="n"/>
      <c r="F1213" s="8" t="n"/>
    </row>
    <row r="1214">
      <c r="A1214" s="7" t="n"/>
      <c r="B1214" s="8" t="n"/>
      <c r="C1214" s="9">
        <f>IF(B1214="","",IFERROR(VLOOKUP(B1214,'Daftar Outlet'!$A$4:$B$22,2,FALSE),""))</f>
        <v/>
      </c>
      <c r="D1214" s="8" t="n"/>
      <c r="E1214" s="6" t="n"/>
      <c r="F1214" s="8" t="n"/>
    </row>
    <row r="1215">
      <c r="A1215" s="7" t="n"/>
      <c r="B1215" s="8" t="n"/>
      <c r="C1215" s="9">
        <f>IF(B1215="","",IFERROR(VLOOKUP(B1215,'Daftar Outlet'!$A$4:$B$22,2,FALSE),""))</f>
        <v/>
      </c>
      <c r="D1215" s="8" t="n"/>
      <c r="E1215" s="6" t="n"/>
      <c r="F1215" s="8" t="n"/>
    </row>
    <row r="1216">
      <c r="A1216" s="7" t="n"/>
      <c r="B1216" s="8" t="n"/>
      <c r="C1216" s="9">
        <f>IF(B1216="","",IFERROR(VLOOKUP(B1216,'Daftar Outlet'!$A$4:$B$22,2,FALSE),""))</f>
        <v/>
      </c>
      <c r="D1216" s="8" t="n"/>
      <c r="E1216" s="6" t="n"/>
      <c r="F1216" s="8" t="n"/>
    </row>
    <row r="1217">
      <c r="A1217" s="7" t="n"/>
      <c r="B1217" s="8" t="n"/>
      <c r="C1217" s="9">
        <f>IF(B1217="","",IFERROR(VLOOKUP(B1217,'Daftar Outlet'!$A$4:$B$22,2,FALSE),""))</f>
        <v/>
      </c>
      <c r="D1217" s="8" t="n"/>
      <c r="E1217" s="6" t="n"/>
      <c r="F1217" s="8" t="n"/>
    </row>
    <row r="1218">
      <c r="A1218" s="7" t="n"/>
      <c r="B1218" s="8" t="n"/>
      <c r="C1218" s="9">
        <f>IF(B1218="","",IFERROR(VLOOKUP(B1218,'Daftar Outlet'!$A$4:$B$22,2,FALSE),""))</f>
        <v/>
      </c>
      <c r="D1218" s="8" t="n"/>
      <c r="E1218" s="6" t="n"/>
      <c r="F1218" s="8" t="n"/>
    </row>
    <row r="1219">
      <c r="A1219" s="7" t="n"/>
      <c r="B1219" s="8" t="n"/>
      <c r="C1219" s="9">
        <f>IF(B1219="","",IFERROR(VLOOKUP(B1219,'Daftar Outlet'!$A$4:$B$22,2,FALSE),""))</f>
        <v/>
      </c>
      <c r="D1219" s="8" t="n"/>
      <c r="E1219" s="6" t="n"/>
      <c r="F1219" s="8" t="n"/>
    </row>
    <row r="1220">
      <c r="A1220" s="7" t="n"/>
      <c r="B1220" s="8" t="n"/>
      <c r="C1220" s="9">
        <f>IF(B1220="","",IFERROR(VLOOKUP(B1220,'Daftar Outlet'!$A$4:$B$22,2,FALSE),""))</f>
        <v/>
      </c>
      <c r="D1220" s="8" t="n"/>
      <c r="E1220" s="6" t="n"/>
      <c r="F1220" s="8" t="n"/>
    </row>
    <row r="1221">
      <c r="A1221" s="7" t="n"/>
      <c r="B1221" s="8" t="n"/>
      <c r="C1221" s="9">
        <f>IF(B1221="","",IFERROR(VLOOKUP(B1221,'Daftar Outlet'!$A$4:$B$22,2,FALSE),""))</f>
        <v/>
      </c>
      <c r="D1221" s="8" t="n"/>
      <c r="E1221" s="6" t="n"/>
      <c r="F1221" s="8" t="n"/>
    </row>
    <row r="1222">
      <c r="A1222" s="7" t="n"/>
      <c r="B1222" s="8" t="n"/>
      <c r="C1222" s="9">
        <f>IF(B1222="","",IFERROR(VLOOKUP(B1222,'Daftar Outlet'!$A$4:$B$22,2,FALSE),""))</f>
        <v/>
      </c>
      <c r="D1222" s="8" t="n"/>
      <c r="E1222" s="6" t="n"/>
      <c r="F1222" s="8" t="n"/>
    </row>
    <row r="1223">
      <c r="A1223" s="7" t="n"/>
      <c r="B1223" s="8" t="n"/>
      <c r="C1223" s="9">
        <f>IF(B1223="","",IFERROR(VLOOKUP(B1223,'Daftar Outlet'!$A$4:$B$22,2,FALSE),""))</f>
        <v/>
      </c>
      <c r="D1223" s="8" t="n"/>
      <c r="E1223" s="6" t="n"/>
      <c r="F1223" s="8" t="n"/>
    </row>
    <row r="1224">
      <c r="A1224" s="7" t="n"/>
      <c r="B1224" s="8" t="n"/>
      <c r="C1224" s="9">
        <f>IF(B1224="","",IFERROR(VLOOKUP(B1224,'Daftar Outlet'!$A$4:$B$22,2,FALSE),""))</f>
        <v/>
      </c>
      <c r="D1224" s="8" t="n"/>
      <c r="E1224" s="6" t="n"/>
      <c r="F1224" s="8" t="n"/>
    </row>
    <row r="1225">
      <c r="A1225" s="7" t="n"/>
      <c r="B1225" s="8" t="n"/>
      <c r="C1225" s="9">
        <f>IF(B1225="","",IFERROR(VLOOKUP(B1225,'Daftar Outlet'!$A$4:$B$22,2,FALSE),""))</f>
        <v/>
      </c>
      <c r="D1225" s="8" t="n"/>
      <c r="E1225" s="6" t="n"/>
      <c r="F1225" s="8" t="n"/>
    </row>
    <row r="1226">
      <c r="A1226" s="7" t="n"/>
      <c r="B1226" s="8" t="n"/>
      <c r="C1226" s="9">
        <f>IF(B1226="","",IFERROR(VLOOKUP(B1226,'Daftar Outlet'!$A$4:$B$22,2,FALSE),""))</f>
        <v/>
      </c>
      <c r="D1226" s="8" t="n"/>
      <c r="E1226" s="6" t="n"/>
      <c r="F1226" s="8" t="n"/>
    </row>
    <row r="1227">
      <c r="A1227" s="7" t="n"/>
      <c r="B1227" s="8" t="n"/>
      <c r="C1227" s="9">
        <f>IF(B1227="","",IFERROR(VLOOKUP(B1227,'Daftar Outlet'!$A$4:$B$22,2,FALSE),""))</f>
        <v/>
      </c>
      <c r="D1227" s="8" t="n"/>
      <c r="E1227" s="6" t="n"/>
      <c r="F1227" s="8" t="n"/>
    </row>
    <row r="1228">
      <c r="A1228" s="7" t="n"/>
      <c r="B1228" s="8" t="n"/>
      <c r="C1228" s="9">
        <f>IF(B1228="","",IFERROR(VLOOKUP(B1228,'Daftar Outlet'!$A$4:$B$22,2,FALSE),""))</f>
        <v/>
      </c>
      <c r="D1228" s="8" t="n"/>
      <c r="E1228" s="6" t="n"/>
      <c r="F1228" s="8" t="n"/>
    </row>
    <row r="1229">
      <c r="A1229" s="7" t="n"/>
      <c r="B1229" s="8" t="n"/>
      <c r="C1229" s="9">
        <f>IF(B1229="","",IFERROR(VLOOKUP(B1229,'Daftar Outlet'!$A$4:$B$22,2,FALSE),""))</f>
        <v/>
      </c>
      <c r="D1229" s="8" t="n"/>
      <c r="E1229" s="6" t="n"/>
      <c r="F1229" s="8" t="n"/>
    </row>
    <row r="1230">
      <c r="A1230" s="7" t="n"/>
      <c r="B1230" s="8" t="n"/>
      <c r="C1230" s="9">
        <f>IF(B1230="","",IFERROR(VLOOKUP(B1230,'Daftar Outlet'!$A$4:$B$22,2,FALSE),""))</f>
        <v/>
      </c>
      <c r="D1230" s="8" t="n"/>
      <c r="E1230" s="6" t="n"/>
      <c r="F1230" s="8" t="n"/>
    </row>
    <row r="1231">
      <c r="A1231" s="7" t="n"/>
      <c r="B1231" s="8" t="n"/>
      <c r="C1231" s="9">
        <f>IF(B1231="","",IFERROR(VLOOKUP(B1231,'Daftar Outlet'!$A$4:$B$22,2,FALSE),""))</f>
        <v/>
      </c>
      <c r="D1231" s="8" t="n"/>
      <c r="E1231" s="6" t="n"/>
      <c r="F1231" s="8" t="n"/>
    </row>
    <row r="1232">
      <c r="A1232" s="7" t="n"/>
      <c r="B1232" s="8" t="n"/>
      <c r="C1232" s="9">
        <f>IF(B1232="","",IFERROR(VLOOKUP(B1232,'Daftar Outlet'!$A$4:$B$22,2,FALSE),""))</f>
        <v/>
      </c>
      <c r="D1232" s="8" t="n"/>
      <c r="E1232" s="6" t="n"/>
      <c r="F1232" s="8" t="n"/>
    </row>
    <row r="1233">
      <c r="A1233" s="7" t="n"/>
      <c r="B1233" s="8" t="n"/>
      <c r="C1233" s="9">
        <f>IF(B1233="","",IFERROR(VLOOKUP(B1233,'Daftar Outlet'!$A$4:$B$22,2,FALSE),""))</f>
        <v/>
      </c>
      <c r="D1233" s="8" t="n"/>
      <c r="E1233" s="6" t="n"/>
      <c r="F1233" s="8" t="n"/>
    </row>
    <row r="1234">
      <c r="A1234" s="7" t="n"/>
      <c r="B1234" s="8" t="n"/>
      <c r="C1234" s="9">
        <f>IF(B1234="","",IFERROR(VLOOKUP(B1234,'Daftar Outlet'!$A$4:$B$22,2,FALSE),""))</f>
        <v/>
      </c>
      <c r="D1234" s="8" t="n"/>
      <c r="E1234" s="6" t="n"/>
      <c r="F1234" s="8" t="n"/>
    </row>
    <row r="1235">
      <c r="A1235" s="7" t="n"/>
      <c r="B1235" s="8" t="n"/>
      <c r="C1235" s="9">
        <f>IF(B1235="","",IFERROR(VLOOKUP(B1235,'Daftar Outlet'!$A$4:$B$22,2,FALSE),""))</f>
        <v/>
      </c>
      <c r="D1235" s="8" t="n"/>
      <c r="E1235" s="6" t="n"/>
      <c r="F1235" s="8" t="n"/>
    </row>
    <row r="1236">
      <c r="A1236" s="7" t="n"/>
      <c r="B1236" s="8" t="n"/>
      <c r="C1236" s="9">
        <f>IF(B1236="","",IFERROR(VLOOKUP(B1236,'Daftar Outlet'!$A$4:$B$22,2,FALSE),""))</f>
        <v/>
      </c>
      <c r="D1236" s="8" t="n"/>
      <c r="E1236" s="6" t="n"/>
      <c r="F1236" s="8" t="n"/>
    </row>
    <row r="1237">
      <c r="A1237" s="7" t="n"/>
      <c r="B1237" s="8" t="n"/>
      <c r="C1237" s="9">
        <f>IF(B1237="","",IFERROR(VLOOKUP(B1237,'Daftar Outlet'!$A$4:$B$22,2,FALSE),""))</f>
        <v/>
      </c>
      <c r="D1237" s="8" t="n"/>
      <c r="E1237" s="6" t="n"/>
      <c r="F1237" s="8" t="n"/>
    </row>
    <row r="1238">
      <c r="A1238" s="7" t="n"/>
      <c r="B1238" s="8" t="n"/>
      <c r="C1238" s="9">
        <f>IF(B1238="","",IFERROR(VLOOKUP(B1238,'Daftar Outlet'!$A$4:$B$22,2,FALSE),""))</f>
        <v/>
      </c>
      <c r="D1238" s="8" t="n"/>
      <c r="E1238" s="6" t="n"/>
      <c r="F1238" s="8" t="n"/>
    </row>
    <row r="1239">
      <c r="A1239" s="7" t="n"/>
      <c r="B1239" s="8" t="n"/>
      <c r="C1239" s="9">
        <f>IF(B1239="","",IFERROR(VLOOKUP(B1239,'Daftar Outlet'!$A$4:$B$22,2,FALSE),""))</f>
        <v/>
      </c>
      <c r="D1239" s="8" t="n"/>
      <c r="E1239" s="6" t="n"/>
      <c r="F1239" s="8" t="n"/>
    </row>
    <row r="1240">
      <c r="A1240" s="7" t="n"/>
      <c r="B1240" s="8" t="n"/>
      <c r="C1240" s="9">
        <f>IF(B1240="","",IFERROR(VLOOKUP(B1240,'Daftar Outlet'!$A$4:$B$22,2,FALSE),""))</f>
        <v/>
      </c>
      <c r="D1240" s="8" t="n"/>
      <c r="E1240" s="6" t="n"/>
      <c r="F1240" s="8" t="n"/>
    </row>
    <row r="1241">
      <c r="A1241" s="7" t="n"/>
      <c r="B1241" s="8" t="n"/>
      <c r="C1241" s="9">
        <f>IF(B1241="","",IFERROR(VLOOKUP(B1241,'Daftar Outlet'!$A$4:$B$22,2,FALSE),""))</f>
        <v/>
      </c>
      <c r="D1241" s="8" t="n"/>
      <c r="E1241" s="6" t="n"/>
      <c r="F1241" s="8" t="n"/>
    </row>
    <row r="1242">
      <c r="A1242" s="7" t="n"/>
      <c r="B1242" s="8" t="n"/>
      <c r="C1242" s="9">
        <f>IF(B1242="","",IFERROR(VLOOKUP(B1242,'Daftar Outlet'!$A$4:$B$22,2,FALSE),""))</f>
        <v/>
      </c>
      <c r="D1242" s="8" t="n"/>
      <c r="E1242" s="6" t="n"/>
      <c r="F1242" s="8" t="n"/>
    </row>
    <row r="1243">
      <c r="A1243" s="7" t="n"/>
      <c r="B1243" s="8" t="n"/>
      <c r="C1243" s="9">
        <f>IF(B1243="","",IFERROR(VLOOKUP(B1243,'Daftar Outlet'!$A$4:$B$22,2,FALSE),""))</f>
        <v/>
      </c>
      <c r="D1243" s="8" t="n"/>
      <c r="E1243" s="6" t="n"/>
      <c r="F1243" s="8" t="n"/>
    </row>
    <row r="1244">
      <c r="A1244" s="7" t="n"/>
      <c r="B1244" s="8" t="n"/>
      <c r="C1244" s="9">
        <f>IF(B1244="","",IFERROR(VLOOKUP(B1244,'Daftar Outlet'!$A$4:$B$22,2,FALSE),""))</f>
        <v/>
      </c>
      <c r="D1244" s="8" t="n"/>
      <c r="E1244" s="6" t="n"/>
      <c r="F1244" s="8" t="n"/>
    </row>
    <row r="1245">
      <c r="A1245" s="7" t="n"/>
      <c r="B1245" s="8" t="n"/>
      <c r="C1245" s="9">
        <f>IF(B1245="","",IFERROR(VLOOKUP(B1245,'Daftar Outlet'!$A$4:$B$22,2,FALSE),""))</f>
        <v/>
      </c>
      <c r="D1245" s="8" t="n"/>
      <c r="E1245" s="6" t="n"/>
      <c r="F1245" s="8" t="n"/>
    </row>
    <row r="1246">
      <c r="A1246" s="7" t="n"/>
      <c r="B1246" s="8" t="n"/>
      <c r="C1246" s="9">
        <f>IF(B1246="","",IFERROR(VLOOKUP(B1246,'Daftar Outlet'!$A$4:$B$22,2,FALSE),""))</f>
        <v/>
      </c>
      <c r="D1246" s="8" t="n"/>
      <c r="E1246" s="6" t="n"/>
      <c r="F1246" s="8" t="n"/>
    </row>
    <row r="1247">
      <c r="A1247" s="7" t="n"/>
      <c r="B1247" s="8" t="n"/>
      <c r="C1247" s="9">
        <f>IF(B1247="","",IFERROR(VLOOKUP(B1247,'Daftar Outlet'!$A$4:$B$22,2,FALSE),""))</f>
        <v/>
      </c>
      <c r="D1247" s="8" t="n"/>
      <c r="E1247" s="6" t="n"/>
      <c r="F1247" s="8" t="n"/>
    </row>
    <row r="1248">
      <c r="A1248" s="7" t="n"/>
      <c r="B1248" s="8" t="n"/>
      <c r="C1248" s="9">
        <f>IF(B1248="","",IFERROR(VLOOKUP(B1248,'Daftar Outlet'!$A$4:$B$22,2,FALSE),""))</f>
        <v/>
      </c>
      <c r="D1248" s="8" t="n"/>
      <c r="E1248" s="6" t="n"/>
      <c r="F1248" s="8" t="n"/>
    </row>
    <row r="1249">
      <c r="A1249" s="7" t="n"/>
      <c r="B1249" s="8" t="n"/>
      <c r="C1249" s="9">
        <f>IF(B1249="","",IFERROR(VLOOKUP(B1249,'Daftar Outlet'!$A$4:$B$22,2,FALSE),""))</f>
        <v/>
      </c>
      <c r="D1249" s="8" t="n"/>
      <c r="E1249" s="6" t="n"/>
      <c r="F1249" s="8" t="n"/>
    </row>
    <row r="1250">
      <c r="A1250" s="7" t="n"/>
      <c r="B1250" s="8" t="n"/>
      <c r="C1250" s="9">
        <f>IF(B1250="","",IFERROR(VLOOKUP(B1250,'Daftar Outlet'!$A$4:$B$22,2,FALSE),""))</f>
        <v/>
      </c>
      <c r="D1250" s="8" t="n"/>
      <c r="E1250" s="6" t="n"/>
      <c r="F1250" s="8" t="n"/>
    </row>
    <row r="1251">
      <c r="A1251" s="7" t="n"/>
      <c r="B1251" s="8" t="n"/>
      <c r="C1251" s="9">
        <f>IF(B1251="","",IFERROR(VLOOKUP(B1251,'Daftar Outlet'!$A$4:$B$22,2,FALSE),""))</f>
        <v/>
      </c>
      <c r="D1251" s="8" t="n"/>
      <c r="E1251" s="6" t="n"/>
      <c r="F1251" s="8" t="n"/>
    </row>
    <row r="1252">
      <c r="A1252" s="7" t="n"/>
      <c r="B1252" s="8" t="n"/>
      <c r="C1252" s="9">
        <f>IF(B1252="","",IFERROR(VLOOKUP(B1252,'Daftar Outlet'!$A$4:$B$22,2,FALSE),""))</f>
        <v/>
      </c>
      <c r="D1252" s="8" t="n"/>
      <c r="E1252" s="6" t="n"/>
      <c r="F1252" s="8" t="n"/>
    </row>
    <row r="1253">
      <c r="A1253" s="7" t="n"/>
      <c r="B1253" s="8" t="n"/>
      <c r="C1253" s="9">
        <f>IF(B1253="","",IFERROR(VLOOKUP(B1253,'Daftar Outlet'!$A$4:$B$22,2,FALSE),""))</f>
        <v/>
      </c>
      <c r="D1253" s="8" t="n"/>
      <c r="E1253" s="6" t="n"/>
      <c r="F1253" s="8" t="n"/>
    </row>
    <row r="1254">
      <c r="A1254" s="7" t="n"/>
      <c r="B1254" s="8" t="n"/>
      <c r="C1254" s="9">
        <f>IF(B1254="","",IFERROR(VLOOKUP(B1254,'Daftar Outlet'!$A$4:$B$22,2,FALSE),""))</f>
        <v/>
      </c>
      <c r="D1254" s="8" t="n"/>
      <c r="E1254" s="6" t="n"/>
      <c r="F1254" s="8" t="n"/>
    </row>
    <row r="1255">
      <c r="A1255" s="7" t="n"/>
      <c r="B1255" s="8" t="n"/>
      <c r="C1255" s="9">
        <f>IF(B1255="","",IFERROR(VLOOKUP(B1255,'Daftar Outlet'!$A$4:$B$22,2,FALSE),""))</f>
        <v/>
      </c>
      <c r="D1255" s="8" t="n"/>
      <c r="E1255" s="6" t="n"/>
      <c r="F1255" s="8" t="n"/>
    </row>
    <row r="1256">
      <c r="A1256" s="7" t="n"/>
      <c r="B1256" s="8" t="n"/>
      <c r="C1256" s="9">
        <f>IF(B1256="","",IFERROR(VLOOKUP(B1256,'Daftar Outlet'!$A$4:$B$22,2,FALSE),""))</f>
        <v/>
      </c>
      <c r="D1256" s="8" t="n"/>
      <c r="E1256" s="6" t="n"/>
      <c r="F1256" s="8" t="n"/>
    </row>
    <row r="1257">
      <c r="A1257" s="7" t="n"/>
      <c r="B1257" s="8" t="n"/>
      <c r="C1257" s="9">
        <f>IF(B1257="","",IFERROR(VLOOKUP(B1257,'Daftar Outlet'!$A$4:$B$22,2,FALSE),""))</f>
        <v/>
      </c>
      <c r="D1257" s="8" t="n"/>
      <c r="E1257" s="6" t="n"/>
      <c r="F1257" s="8" t="n"/>
    </row>
    <row r="1258">
      <c r="A1258" s="7" t="n"/>
      <c r="B1258" s="8" t="n"/>
      <c r="C1258" s="9">
        <f>IF(B1258="","",IFERROR(VLOOKUP(B1258,'Daftar Outlet'!$A$4:$B$22,2,FALSE),""))</f>
        <v/>
      </c>
      <c r="D1258" s="8" t="n"/>
      <c r="E1258" s="6" t="n"/>
      <c r="F1258" s="8" t="n"/>
    </row>
    <row r="1259">
      <c r="A1259" s="7" t="n"/>
      <c r="B1259" s="8" t="n"/>
      <c r="C1259" s="9">
        <f>IF(B1259="","",IFERROR(VLOOKUP(B1259,'Daftar Outlet'!$A$4:$B$22,2,FALSE),""))</f>
        <v/>
      </c>
      <c r="D1259" s="8" t="n"/>
      <c r="E1259" s="6" t="n"/>
      <c r="F1259" s="8" t="n"/>
    </row>
    <row r="1260">
      <c r="A1260" s="7" t="n"/>
      <c r="B1260" s="8" t="n"/>
      <c r="C1260" s="9">
        <f>IF(B1260="","",IFERROR(VLOOKUP(B1260,'Daftar Outlet'!$A$4:$B$22,2,FALSE),""))</f>
        <v/>
      </c>
      <c r="D1260" s="8" t="n"/>
      <c r="E1260" s="6" t="n"/>
      <c r="F1260" s="8" t="n"/>
    </row>
    <row r="1261">
      <c r="A1261" s="7" t="n"/>
      <c r="B1261" s="8" t="n"/>
      <c r="C1261" s="9">
        <f>IF(B1261="","",IFERROR(VLOOKUP(B1261,'Daftar Outlet'!$A$4:$B$22,2,FALSE),""))</f>
        <v/>
      </c>
      <c r="D1261" s="8" t="n"/>
      <c r="E1261" s="6" t="n"/>
      <c r="F1261" s="8" t="n"/>
    </row>
    <row r="1262">
      <c r="A1262" s="7" t="n"/>
      <c r="B1262" s="8" t="n"/>
      <c r="C1262" s="9">
        <f>IF(B1262="","",IFERROR(VLOOKUP(B1262,'Daftar Outlet'!$A$4:$B$22,2,FALSE),""))</f>
        <v/>
      </c>
      <c r="D1262" s="8" t="n"/>
      <c r="E1262" s="6" t="n"/>
      <c r="F1262" s="8" t="n"/>
    </row>
    <row r="1263">
      <c r="A1263" s="7" t="n"/>
      <c r="B1263" s="8" t="n"/>
      <c r="C1263" s="9">
        <f>IF(B1263="","",IFERROR(VLOOKUP(B1263,'Daftar Outlet'!$A$4:$B$22,2,FALSE),""))</f>
        <v/>
      </c>
      <c r="D1263" s="8" t="n"/>
      <c r="E1263" s="6" t="n"/>
      <c r="F1263" s="8" t="n"/>
    </row>
    <row r="1264">
      <c r="A1264" s="7" t="n"/>
      <c r="B1264" s="8" t="n"/>
      <c r="C1264" s="9">
        <f>IF(B1264="","",IFERROR(VLOOKUP(B1264,'Daftar Outlet'!$A$4:$B$22,2,FALSE),""))</f>
        <v/>
      </c>
      <c r="D1264" s="8" t="n"/>
      <c r="E1264" s="6" t="n"/>
      <c r="F1264" s="8" t="n"/>
    </row>
    <row r="1265">
      <c r="A1265" s="7" t="n"/>
      <c r="B1265" s="8" t="n"/>
      <c r="C1265" s="9">
        <f>IF(B1265="","",IFERROR(VLOOKUP(B1265,'Daftar Outlet'!$A$4:$B$22,2,FALSE),""))</f>
        <v/>
      </c>
      <c r="D1265" s="8" t="n"/>
      <c r="E1265" s="6" t="n"/>
      <c r="F1265" s="8" t="n"/>
    </row>
    <row r="1266">
      <c r="A1266" s="7" t="n"/>
      <c r="B1266" s="8" t="n"/>
      <c r="C1266" s="9">
        <f>IF(B1266="","",IFERROR(VLOOKUP(B1266,'Daftar Outlet'!$A$4:$B$22,2,FALSE),""))</f>
        <v/>
      </c>
      <c r="D1266" s="8" t="n"/>
      <c r="E1266" s="6" t="n"/>
      <c r="F1266" s="8" t="n"/>
    </row>
    <row r="1267">
      <c r="A1267" s="7" t="n"/>
      <c r="B1267" s="8" t="n"/>
      <c r="C1267" s="9">
        <f>IF(B1267="","",IFERROR(VLOOKUP(B1267,'Daftar Outlet'!$A$4:$B$22,2,FALSE),""))</f>
        <v/>
      </c>
      <c r="D1267" s="8" t="n"/>
      <c r="E1267" s="6" t="n"/>
      <c r="F1267" s="8" t="n"/>
    </row>
    <row r="1268">
      <c r="A1268" s="7" t="n"/>
      <c r="B1268" s="8" t="n"/>
      <c r="C1268" s="9">
        <f>IF(B1268="","",IFERROR(VLOOKUP(B1268,'Daftar Outlet'!$A$4:$B$22,2,FALSE),""))</f>
        <v/>
      </c>
      <c r="D1268" s="8" t="n"/>
      <c r="E1268" s="6" t="n"/>
      <c r="F1268" s="8" t="n"/>
    </row>
    <row r="1269">
      <c r="A1269" s="7" t="n"/>
      <c r="B1269" s="8" t="n"/>
      <c r="C1269" s="9">
        <f>IF(B1269="","",IFERROR(VLOOKUP(B1269,'Daftar Outlet'!$A$4:$B$22,2,FALSE),""))</f>
        <v/>
      </c>
      <c r="D1269" s="8" t="n"/>
      <c r="E1269" s="6" t="n"/>
      <c r="F1269" s="8" t="n"/>
    </row>
    <row r="1270">
      <c r="A1270" s="7" t="n"/>
      <c r="B1270" s="8" t="n"/>
      <c r="C1270" s="9">
        <f>IF(B1270="","",IFERROR(VLOOKUP(B1270,'Daftar Outlet'!$A$4:$B$22,2,FALSE),""))</f>
        <v/>
      </c>
      <c r="D1270" s="8" t="n"/>
      <c r="E1270" s="6" t="n"/>
      <c r="F1270" s="8" t="n"/>
    </row>
    <row r="1271">
      <c r="A1271" s="7" t="n"/>
      <c r="B1271" s="8" t="n"/>
      <c r="C1271" s="9">
        <f>IF(B1271="","",IFERROR(VLOOKUP(B1271,'Daftar Outlet'!$A$4:$B$22,2,FALSE),""))</f>
        <v/>
      </c>
      <c r="D1271" s="8" t="n"/>
      <c r="E1271" s="6" t="n"/>
      <c r="F1271" s="8" t="n"/>
    </row>
    <row r="1272">
      <c r="A1272" s="7" t="n"/>
      <c r="B1272" s="8" t="n"/>
      <c r="C1272" s="9">
        <f>IF(B1272="","",IFERROR(VLOOKUP(B1272,'Daftar Outlet'!$A$4:$B$22,2,FALSE),""))</f>
        <v/>
      </c>
      <c r="D1272" s="8" t="n"/>
      <c r="E1272" s="6" t="n"/>
      <c r="F1272" s="8" t="n"/>
    </row>
    <row r="1273">
      <c r="A1273" s="7" t="n"/>
      <c r="B1273" s="8" t="n"/>
      <c r="C1273" s="9">
        <f>IF(B1273="","",IFERROR(VLOOKUP(B1273,'Daftar Outlet'!$A$4:$B$22,2,FALSE),""))</f>
        <v/>
      </c>
      <c r="D1273" s="8" t="n"/>
      <c r="E1273" s="6" t="n"/>
      <c r="F1273" s="8" t="n"/>
    </row>
    <row r="1274">
      <c r="A1274" s="7" t="n"/>
      <c r="B1274" s="8" t="n"/>
      <c r="C1274" s="9">
        <f>IF(B1274="","",IFERROR(VLOOKUP(B1274,'Daftar Outlet'!$A$4:$B$22,2,FALSE),""))</f>
        <v/>
      </c>
      <c r="D1274" s="8" t="n"/>
      <c r="E1274" s="6" t="n"/>
      <c r="F1274" s="8" t="n"/>
    </row>
    <row r="1275">
      <c r="A1275" s="7" t="n"/>
      <c r="B1275" s="8" t="n"/>
      <c r="C1275" s="9">
        <f>IF(B1275="","",IFERROR(VLOOKUP(B1275,'Daftar Outlet'!$A$4:$B$22,2,FALSE),""))</f>
        <v/>
      </c>
      <c r="D1275" s="8" t="n"/>
      <c r="E1275" s="6" t="n"/>
      <c r="F1275" s="8" t="n"/>
    </row>
    <row r="1276">
      <c r="A1276" s="7" t="n"/>
      <c r="B1276" s="8" t="n"/>
      <c r="C1276" s="9">
        <f>IF(B1276="","",IFERROR(VLOOKUP(B1276,'Daftar Outlet'!$A$4:$B$22,2,FALSE),""))</f>
        <v/>
      </c>
      <c r="D1276" s="8" t="n"/>
      <c r="E1276" s="6" t="n"/>
      <c r="F1276" s="8" t="n"/>
    </row>
    <row r="1277">
      <c r="A1277" s="7" t="n"/>
      <c r="B1277" s="8" t="n"/>
      <c r="C1277" s="9">
        <f>IF(B1277="","",IFERROR(VLOOKUP(B1277,'Daftar Outlet'!$A$4:$B$22,2,FALSE),""))</f>
        <v/>
      </c>
      <c r="D1277" s="8" t="n"/>
      <c r="E1277" s="6" t="n"/>
      <c r="F1277" s="8" t="n"/>
    </row>
    <row r="1278">
      <c r="A1278" s="7" t="n"/>
      <c r="B1278" s="8" t="n"/>
      <c r="C1278" s="9">
        <f>IF(B1278="","",IFERROR(VLOOKUP(B1278,'Daftar Outlet'!$A$4:$B$22,2,FALSE),""))</f>
        <v/>
      </c>
      <c r="D1278" s="8" t="n"/>
      <c r="E1278" s="6" t="n"/>
      <c r="F1278" s="8" t="n"/>
    </row>
    <row r="1279">
      <c r="A1279" s="7" t="n"/>
      <c r="B1279" s="8" t="n"/>
      <c r="C1279" s="9">
        <f>IF(B1279="","",IFERROR(VLOOKUP(B1279,'Daftar Outlet'!$A$4:$B$22,2,FALSE),""))</f>
        <v/>
      </c>
      <c r="D1279" s="8" t="n"/>
      <c r="E1279" s="6" t="n"/>
      <c r="F1279" s="8" t="n"/>
    </row>
    <row r="1280">
      <c r="A1280" s="7" t="n"/>
      <c r="B1280" s="8" t="n"/>
      <c r="C1280" s="9">
        <f>IF(B1280="","",IFERROR(VLOOKUP(B1280,'Daftar Outlet'!$A$4:$B$22,2,FALSE),""))</f>
        <v/>
      </c>
      <c r="D1280" s="8" t="n"/>
      <c r="E1280" s="6" t="n"/>
      <c r="F1280" s="8" t="n"/>
    </row>
    <row r="1281">
      <c r="A1281" s="7" t="n"/>
      <c r="B1281" s="8" t="n"/>
      <c r="C1281" s="9">
        <f>IF(B1281="","",IFERROR(VLOOKUP(B1281,'Daftar Outlet'!$A$4:$B$22,2,FALSE),""))</f>
        <v/>
      </c>
      <c r="D1281" s="8" t="n"/>
      <c r="E1281" s="6" t="n"/>
      <c r="F1281" s="8" t="n"/>
    </row>
    <row r="1282">
      <c r="A1282" s="7" t="n"/>
      <c r="B1282" s="8" t="n"/>
      <c r="C1282" s="9">
        <f>IF(B1282="","",IFERROR(VLOOKUP(B1282,'Daftar Outlet'!$A$4:$B$22,2,FALSE),""))</f>
        <v/>
      </c>
      <c r="D1282" s="8" t="n"/>
      <c r="E1282" s="6" t="n"/>
      <c r="F1282" s="8" t="n"/>
    </row>
    <row r="1283">
      <c r="A1283" s="7" t="n"/>
      <c r="B1283" s="8" t="n"/>
      <c r="C1283" s="9">
        <f>IF(B1283="","",IFERROR(VLOOKUP(B1283,'Daftar Outlet'!$A$4:$B$22,2,FALSE),""))</f>
        <v/>
      </c>
      <c r="D1283" s="8" t="n"/>
      <c r="E1283" s="6" t="n"/>
      <c r="F1283" s="8" t="n"/>
    </row>
    <row r="1284">
      <c r="A1284" s="7" t="n"/>
      <c r="B1284" s="8" t="n"/>
      <c r="C1284" s="9">
        <f>IF(B1284="","",IFERROR(VLOOKUP(B1284,'Daftar Outlet'!$A$4:$B$22,2,FALSE),""))</f>
        <v/>
      </c>
      <c r="D1284" s="8" t="n"/>
      <c r="E1284" s="6" t="n"/>
      <c r="F1284" s="8" t="n"/>
    </row>
    <row r="1285">
      <c r="A1285" s="7" t="n"/>
      <c r="B1285" s="8" t="n"/>
      <c r="C1285" s="9">
        <f>IF(B1285="","",IFERROR(VLOOKUP(B1285,'Daftar Outlet'!$A$4:$B$22,2,FALSE),""))</f>
        <v/>
      </c>
      <c r="D1285" s="8" t="n"/>
      <c r="E1285" s="6" t="n"/>
      <c r="F1285" s="8" t="n"/>
    </row>
    <row r="1286">
      <c r="A1286" s="7" t="n"/>
      <c r="B1286" s="8" t="n"/>
      <c r="C1286" s="9">
        <f>IF(B1286="","",IFERROR(VLOOKUP(B1286,'Daftar Outlet'!$A$4:$B$22,2,FALSE),""))</f>
        <v/>
      </c>
      <c r="D1286" s="8" t="n"/>
      <c r="E1286" s="6" t="n"/>
      <c r="F1286" s="8" t="n"/>
    </row>
    <row r="1287">
      <c r="A1287" s="7" t="n"/>
      <c r="B1287" s="8" t="n"/>
      <c r="C1287" s="9">
        <f>IF(B1287="","",IFERROR(VLOOKUP(B1287,'Daftar Outlet'!$A$4:$B$22,2,FALSE),""))</f>
        <v/>
      </c>
      <c r="D1287" s="8" t="n"/>
      <c r="E1287" s="6" t="n"/>
      <c r="F1287" s="8" t="n"/>
    </row>
    <row r="1288">
      <c r="A1288" s="7" t="n"/>
      <c r="B1288" s="8" t="n"/>
      <c r="C1288" s="9">
        <f>IF(B1288="","",IFERROR(VLOOKUP(B1288,'Daftar Outlet'!$A$4:$B$22,2,FALSE),""))</f>
        <v/>
      </c>
      <c r="D1288" s="8" t="n"/>
      <c r="E1288" s="6" t="n"/>
      <c r="F1288" s="8" t="n"/>
    </row>
    <row r="1289">
      <c r="A1289" s="7" t="n"/>
      <c r="B1289" s="8" t="n"/>
      <c r="C1289" s="9">
        <f>IF(B1289="","",IFERROR(VLOOKUP(B1289,'Daftar Outlet'!$A$4:$B$22,2,FALSE),""))</f>
        <v/>
      </c>
      <c r="D1289" s="8" t="n"/>
      <c r="E1289" s="6" t="n"/>
      <c r="F1289" s="8" t="n"/>
    </row>
    <row r="1290">
      <c r="A1290" s="7" t="n"/>
      <c r="B1290" s="8" t="n"/>
      <c r="C1290" s="9">
        <f>IF(B1290="","",IFERROR(VLOOKUP(B1290,'Daftar Outlet'!$A$4:$B$22,2,FALSE),""))</f>
        <v/>
      </c>
      <c r="D1290" s="8" t="n"/>
      <c r="E1290" s="6" t="n"/>
      <c r="F1290" s="8" t="n"/>
    </row>
    <row r="1291">
      <c r="A1291" s="7" t="n"/>
      <c r="B1291" s="8" t="n"/>
      <c r="C1291" s="9">
        <f>IF(B1291="","",IFERROR(VLOOKUP(B1291,'Daftar Outlet'!$A$4:$B$22,2,FALSE),""))</f>
        <v/>
      </c>
      <c r="D1291" s="8" t="n"/>
      <c r="E1291" s="6" t="n"/>
      <c r="F1291" s="8" t="n"/>
    </row>
    <row r="1292">
      <c r="A1292" s="7" t="n"/>
      <c r="B1292" s="8" t="n"/>
      <c r="C1292" s="9">
        <f>IF(B1292="","",IFERROR(VLOOKUP(B1292,'Daftar Outlet'!$A$4:$B$22,2,FALSE),""))</f>
        <v/>
      </c>
      <c r="D1292" s="8" t="n"/>
      <c r="E1292" s="6" t="n"/>
      <c r="F1292" s="8" t="n"/>
    </row>
    <row r="1293">
      <c r="A1293" s="7" t="n"/>
      <c r="B1293" s="8" t="n"/>
      <c r="C1293" s="9">
        <f>IF(B1293="","",IFERROR(VLOOKUP(B1293,'Daftar Outlet'!$A$4:$B$22,2,FALSE),""))</f>
        <v/>
      </c>
      <c r="D1293" s="8" t="n"/>
      <c r="E1293" s="6" t="n"/>
      <c r="F1293" s="8" t="n"/>
    </row>
    <row r="1294">
      <c r="A1294" s="7" t="n"/>
      <c r="B1294" s="8" t="n"/>
      <c r="C1294" s="9">
        <f>IF(B1294="","",IFERROR(VLOOKUP(B1294,'Daftar Outlet'!$A$4:$B$22,2,FALSE),""))</f>
        <v/>
      </c>
      <c r="D1294" s="8" t="n"/>
      <c r="E1294" s="6" t="n"/>
      <c r="F1294" s="8" t="n"/>
    </row>
    <row r="1295">
      <c r="A1295" s="7" t="n"/>
      <c r="B1295" s="8" t="n"/>
      <c r="C1295" s="9">
        <f>IF(B1295="","",IFERROR(VLOOKUP(B1295,'Daftar Outlet'!$A$4:$B$22,2,FALSE),""))</f>
        <v/>
      </c>
      <c r="D1295" s="8" t="n"/>
      <c r="E1295" s="6" t="n"/>
      <c r="F1295" s="8" t="n"/>
    </row>
    <row r="1296">
      <c r="A1296" s="7" t="n"/>
      <c r="B1296" s="8" t="n"/>
      <c r="C1296" s="9">
        <f>IF(B1296="","",IFERROR(VLOOKUP(B1296,'Daftar Outlet'!$A$4:$B$22,2,FALSE),""))</f>
        <v/>
      </c>
      <c r="D1296" s="8" t="n"/>
      <c r="E1296" s="6" t="n"/>
      <c r="F1296" s="8" t="n"/>
    </row>
    <row r="1297">
      <c r="A1297" s="7" t="n"/>
      <c r="B1297" s="8" t="n"/>
      <c r="C1297" s="9">
        <f>IF(B1297="","",IFERROR(VLOOKUP(B1297,'Daftar Outlet'!$A$4:$B$22,2,FALSE),""))</f>
        <v/>
      </c>
      <c r="D1297" s="8" t="n"/>
      <c r="E1297" s="6" t="n"/>
      <c r="F1297" s="8" t="n"/>
    </row>
    <row r="1298">
      <c r="A1298" s="7" t="n"/>
      <c r="B1298" s="8" t="n"/>
      <c r="C1298" s="9">
        <f>IF(B1298="","",IFERROR(VLOOKUP(B1298,'Daftar Outlet'!$A$4:$B$22,2,FALSE),""))</f>
        <v/>
      </c>
      <c r="D1298" s="8" t="n"/>
      <c r="E1298" s="6" t="n"/>
      <c r="F1298" s="8" t="n"/>
    </row>
    <row r="1299">
      <c r="A1299" s="7" t="n"/>
      <c r="B1299" s="8" t="n"/>
      <c r="C1299" s="9">
        <f>IF(B1299="","",IFERROR(VLOOKUP(B1299,'Daftar Outlet'!$A$4:$B$22,2,FALSE),""))</f>
        <v/>
      </c>
      <c r="D1299" s="8" t="n"/>
      <c r="E1299" s="6" t="n"/>
      <c r="F1299" s="8" t="n"/>
    </row>
    <row r="1300">
      <c r="A1300" s="7" t="n"/>
      <c r="B1300" s="8" t="n"/>
      <c r="C1300" s="9">
        <f>IF(B1300="","",IFERROR(VLOOKUP(B1300,'Daftar Outlet'!$A$4:$B$22,2,FALSE),""))</f>
        <v/>
      </c>
      <c r="D1300" s="8" t="n"/>
      <c r="E1300" s="6" t="n"/>
      <c r="F1300" s="8" t="n"/>
    </row>
    <row r="1301">
      <c r="A1301" s="7" t="n"/>
      <c r="B1301" s="8" t="n"/>
      <c r="C1301" s="9">
        <f>IF(B1301="","",IFERROR(VLOOKUP(B1301,'Daftar Outlet'!$A$4:$B$22,2,FALSE),""))</f>
        <v/>
      </c>
      <c r="D1301" s="8" t="n"/>
      <c r="E1301" s="6" t="n"/>
      <c r="F1301" s="8" t="n"/>
    </row>
    <row r="1302">
      <c r="A1302" s="7" t="n"/>
      <c r="B1302" s="8" t="n"/>
      <c r="C1302" s="9">
        <f>IF(B1302="","",IFERROR(VLOOKUP(B1302,'Daftar Outlet'!$A$4:$B$22,2,FALSE),""))</f>
        <v/>
      </c>
      <c r="D1302" s="8" t="n"/>
      <c r="E1302" s="6" t="n"/>
      <c r="F1302" s="8" t="n"/>
    </row>
    <row r="1303">
      <c r="A1303" s="7" t="n"/>
      <c r="B1303" s="8" t="n"/>
      <c r="C1303" s="9">
        <f>IF(B1303="","",IFERROR(VLOOKUP(B1303,'Daftar Outlet'!$A$4:$B$22,2,FALSE),""))</f>
        <v/>
      </c>
      <c r="D1303" s="8" t="n"/>
      <c r="E1303" s="6" t="n"/>
      <c r="F1303" s="8" t="n"/>
    </row>
    <row r="1304">
      <c r="A1304" s="7" t="n"/>
      <c r="B1304" s="8" t="n"/>
      <c r="C1304" s="9">
        <f>IF(B1304="","",IFERROR(VLOOKUP(B1304,'Daftar Outlet'!$A$4:$B$22,2,FALSE),""))</f>
        <v/>
      </c>
      <c r="D1304" s="8" t="n"/>
      <c r="E1304" s="6" t="n"/>
      <c r="F1304" s="8" t="n"/>
    </row>
    <row r="1305">
      <c r="A1305" s="7" t="n"/>
      <c r="B1305" s="8" t="n"/>
      <c r="C1305" s="9">
        <f>IF(B1305="","",IFERROR(VLOOKUP(B1305,'Daftar Outlet'!$A$4:$B$22,2,FALSE),""))</f>
        <v/>
      </c>
      <c r="D1305" s="8" t="n"/>
      <c r="E1305" s="6" t="n"/>
      <c r="F1305" s="8" t="n"/>
    </row>
    <row r="1306">
      <c r="A1306" s="7" t="n"/>
      <c r="B1306" s="8" t="n"/>
      <c r="C1306" s="9">
        <f>IF(B1306="","",IFERROR(VLOOKUP(B1306,'Daftar Outlet'!$A$4:$B$22,2,FALSE),""))</f>
        <v/>
      </c>
      <c r="D1306" s="8" t="n"/>
      <c r="E1306" s="6" t="n"/>
      <c r="F1306" s="8" t="n"/>
    </row>
    <row r="1307">
      <c r="A1307" s="7" t="n"/>
      <c r="B1307" s="8" t="n"/>
      <c r="C1307" s="9">
        <f>IF(B1307="","",IFERROR(VLOOKUP(B1307,'Daftar Outlet'!$A$4:$B$22,2,FALSE),""))</f>
        <v/>
      </c>
      <c r="D1307" s="8" t="n"/>
      <c r="E1307" s="6" t="n"/>
      <c r="F1307" s="8" t="n"/>
    </row>
    <row r="1308">
      <c r="A1308" s="7" t="n"/>
      <c r="B1308" s="8" t="n"/>
      <c r="C1308" s="9">
        <f>IF(B1308="","",IFERROR(VLOOKUP(B1308,'Daftar Outlet'!$A$4:$B$22,2,FALSE),""))</f>
        <v/>
      </c>
      <c r="D1308" s="8" t="n"/>
      <c r="E1308" s="6" t="n"/>
      <c r="F1308" s="8" t="n"/>
    </row>
    <row r="1309">
      <c r="A1309" s="7" t="n"/>
      <c r="B1309" s="8" t="n"/>
      <c r="C1309" s="9">
        <f>IF(B1309="","",IFERROR(VLOOKUP(B1309,'Daftar Outlet'!$A$4:$B$22,2,FALSE),""))</f>
        <v/>
      </c>
      <c r="D1309" s="8" t="n"/>
      <c r="E1309" s="6" t="n"/>
      <c r="F1309" s="8" t="n"/>
    </row>
    <row r="1310">
      <c r="A1310" s="7" t="n"/>
      <c r="B1310" s="8" t="n"/>
      <c r="C1310" s="9">
        <f>IF(B1310="","",IFERROR(VLOOKUP(B1310,'Daftar Outlet'!$A$4:$B$22,2,FALSE),""))</f>
        <v/>
      </c>
      <c r="D1310" s="8" t="n"/>
      <c r="E1310" s="6" t="n"/>
      <c r="F1310" s="8" t="n"/>
    </row>
    <row r="1311">
      <c r="A1311" s="7" t="n"/>
      <c r="B1311" s="8" t="n"/>
      <c r="C1311" s="9">
        <f>IF(B1311="","",IFERROR(VLOOKUP(B1311,'Daftar Outlet'!$A$4:$B$22,2,FALSE),""))</f>
        <v/>
      </c>
      <c r="D1311" s="8" t="n"/>
      <c r="E1311" s="6" t="n"/>
      <c r="F1311" s="8" t="n"/>
    </row>
    <row r="1312">
      <c r="A1312" s="7" t="n"/>
      <c r="B1312" s="8" t="n"/>
      <c r="C1312" s="9">
        <f>IF(B1312="","",IFERROR(VLOOKUP(B1312,'Daftar Outlet'!$A$4:$B$22,2,FALSE),""))</f>
        <v/>
      </c>
      <c r="D1312" s="8" t="n"/>
      <c r="E1312" s="6" t="n"/>
      <c r="F1312" s="8" t="n"/>
    </row>
    <row r="1313">
      <c r="A1313" s="7" t="n"/>
      <c r="B1313" s="8" t="n"/>
      <c r="C1313" s="9">
        <f>IF(B1313="","",IFERROR(VLOOKUP(B1313,'Daftar Outlet'!$A$4:$B$22,2,FALSE),""))</f>
        <v/>
      </c>
      <c r="D1313" s="8" t="n"/>
      <c r="E1313" s="6" t="n"/>
      <c r="F1313" s="8" t="n"/>
    </row>
    <row r="1314">
      <c r="A1314" s="7" t="n"/>
      <c r="B1314" s="8" t="n"/>
      <c r="C1314" s="9">
        <f>IF(B1314="","",IFERROR(VLOOKUP(B1314,'Daftar Outlet'!$A$4:$B$22,2,FALSE),""))</f>
        <v/>
      </c>
      <c r="D1314" s="8" t="n"/>
      <c r="E1314" s="6" t="n"/>
      <c r="F1314" s="8" t="n"/>
    </row>
    <row r="1315">
      <c r="A1315" s="7" t="n"/>
      <c r="B1315" s="8" t="n"/>
      <c r="C1315" s="9">
        <f>IF(B1315="","",IFERROR(VLOOKUP(B1315,'Daftar Outlet'!$A$4:$B$22,2,FALSE),""))</f>
        <v/>
      </c>
      <c r="D1315" s="8" t="n"/>
      <c r="E1315" s="6" t="n"/>
      <c r="F1315" s="8" t="n"/>
    </row>
    <row r="1316">
      <c r="A1316" s="7" t="n"/>
      <c r="B1316" s="8" t="n"/>
      <c r="C1316" s="9">
        <f>IF(B1316="","",IFERROR(VLOOKUP(B1316,'Daftar Outlet'!$A$4:$B$22,2,FALSE),""))</f>
        <v/>
      </c>
      <c r="D1316" s="8" t="n"/>
      <c r="E1316" s="6" t="n"/>
      <c r="F1316" s="8" t="n"/>
    </row>
    <row r="1317">
      <c r="A1317" s="7" t="n"/>
      <c r="B1317" s="8" t="n"/>
      <c r="C1317" s="9">
        <f>IF(B1317="","",IFERROR(VLOOKUP(B1317,'Daftar Outlet'!$A$4:$B$22,2,FALSE),""))</f>
        <v/>
      </c>
      <c r="D1317" s="8" t="n"/>
      <c r="E1317" s="6" t="n"/>
      <c r="F1317" s="8" t="n"/>
    </row>
    <row r="1318">
      <c r="A1318" s="7" t="n"/>
      <c r="B1318" s="8" t="n"/>
      <c r="C1318" s="9">
        <f>IF(B1318="","",IFERROR(VLOOKUP(B1318,'Daftar Outlet'!$A$4:$B$22,2,FALSE),""))</f>
        <v/>
      </c>
      <c r="D1318" s="8" t="n"/>
      <c r="E1318" s="6" t="n"/>
      <c r="F1318" s="8" t="n"/>
    </row>
    <row r="1319">
      <c r="A1319" s="7" t="n"/>
      <c r="B1319" s="8" t="n"/>
      <c r="C1319" s="9">
        <f>IF(B1319="","",IFERROR(VLOOKUP(B1319,'Daftar Outlet'!$A$4:$B$22,2,FALSE),""))</f>
        <v/>
      </c>
      <c r="D1319" s="8" t="n"/>
      <c r="E1319" s="6" t="n"/>
      <c r="F1319" s="8" t="n"/>
    </row>
    <row r="1320">
      <c r="A1320" s="7" t="n"/>
      <c r="B1320" s="8" t="n"/>
      <c r="C1320" s="9">
        <f>IF(B1320="","",IFERROR(VLOOKUP(B1320,'Daftar Outlet'!$A$4:$B$22,2,FALSE),""))</f>
        <v/>
      </c>
      <c r="D1320" s="8" t="n"/>
      <c r="E1320" s="6" t="n"/>
      <c r="F1320" s="8" t="n"/>
    </row>
    <row r="1321">
      <c r="A1321" s="7" t="n"/>
      <c r="B1321" s="8" t="n"/>
      <c r="C1321" s="9">
        <f>IF(B1321="","",IFERROR(VLOOKUP(B1321,'Daftar Outlet'!$A$4:$B$22,2,FALSE),""))</f>
        <v/>
      </c>
      <c r="D1321" s="8" t="n"/>
      <c r="E1321" s="6" t="n"/>
      <c r="F1321" s="8" t="n"/>
    </row>
    <row r="1322">
      <c r="A1322" s="7" t="n"/>
      <c r="B1322" s="8" t="n"/>
      <c r="C1322" s="9">
        <f>IF(B1322="","",IFERROR(VLOOKUP(B1322,'Daftar Outlet'!$A$4:$B$22,2,FALSE),""))</f>
        <v/>
      </c>
      <c r="D1322" s="8" t="n"/>
      <c r="E1322" s="6" t="n"/>
      <c r="F1322" s="8" t="n"/>
    </row>
    <row r="1323">
      <c r="A1323" s="7" t="n"/>
      <c r="B1323" s="8" t="n"/>
      <c r="C1323" s="9">
        <f>IF(B1323="","",IFERROR(VLOOKUP(B1323,'Daftar Outlet'!$A$4:$B$22,2,FALSE),""))</f>
        <v/>
      </c>
      <c r="D1323" s="8" t="n"/>
      <c r="E1323" s="6" t="n"/>
      <c r="F1323" s="8" t="n"/>
    </row>
    <row r="1324">
      <c r="A1324" s="7" t="n"/>
      <c r="B1324" s="8" t="n"/>
      <c r="C1324" s="9">
        <f>IF(B1324="","",IFERROR(VLOOKUP(B1324,'Daftar Outlet'!$A$4:$B$22,2,FALSE),""))</f>
        <v/>
      </c>
      <c r="D1324" s="8" t="n"/>
      <c r="E1324" s="6" t="n"/>
      <c r="F1324" s="8" t="n"/>
    </row>
    <row r="1325">
      <c r="A1325" s="7" t="n"/>
      <c r="B1325" s="8" t="n"/>
      <c r="C1325" s="9">
        <f>IF(B1325="","",IFERROR(VLOOKUP(B1325,'Daftar Outlet'!$A$4:$B$22,2,FALSE),""))</f>
        <v/>
      </c>
      <c r="D1325" s="8" t="n"/>
      <c r="E1325" s="6" t="n"/>
      <c r="F1325" s="8" t="n"/>
    </row>
    <row r="1326">
      <c r="A1326" s="7" t="n"/>
      <c r="B1326" s="8" t="n"/>
      <c r="C1326" s="9">
        <f>IF(B1326="","",IFERROR(VLOOKUP(B1326,'Daftar Outlet'!$A$4:$B$22,2,FALSE),""))</f>
        <v/>
      </c>
      <c r="D1326" s="8" t="n"/>
      <c r="E1326" s="6" t="n"/>
      <c r="F1326" s="8" t="n"/>
    </row>
    <row r="1327">
      <c r="A1327" s="7" t="n"/>
      <c r="B1327" s="8" t="n"/>
      <c r="C1327" s="9">
        <f>IF(B1327="","",IFERROR(VLOOKUP(B1327,'Daftar Outlet'!$A$4:$B$22,2,FALSE),""))</f>
        <v/>
      </c>
      <c r="D1327" s="8" t="n"/>
      <c r="E1327" s="6" t="n"/>
      <c r="F1327" s="8" t="n"/>
    </row>
    <row r="1328">
      <c r="A1328" s="7" t="n"/>
      <c r="B1328" s="8" t="n"/>
      <c r="C1328" s="9">
        <f>IF(B1328="","",IFERROR(VLOOKUP(B1328,'Daftar Outlet'!$A$4:$B$22,2,FALSE),""))</f>
        <v/>
      </c>
      <c r="D1328" s="8" t="n"/>
      <c r="E1328" s="6" t="n"/>
      <c r="F1328" s="8" t="n"/>
    </row>
    <row r="1329">
      <c r="A1329" s="7" t="n"/>
      <c r="B1329" s="8" t="n"/>
      <c r="C1329" s="9">
        <f>IF(B1329="","",IFERROR(VLOOKUP(B1329,'Daftar Outlet'!$A$4:$B$22,2,FALSE),""))</f>
        <v/>
      </c>
      <c r="D1329" s="8" t="n"/>
      <c r="E1329" s="6" t="n"/>
      <c r="F1329" s="8" t="n"/>
    </row>
    <row r="1330">
      <c r="A1330" s="7" t="n"/>
      <c r="B1330" s="8" t="n"/>
      <c r="C1330" s="9">
        <f>IF(B1330="","",IFERROR(VLOOKUP(B1330,'Daftar Outlet'!$A$4:$B$22,2,FALSE),""))</f>
        <v/>
      </c>
      <c r="D1330" s="8" t="n"/>
      <c r="E1330" s="6" t="n"/>
      <c r="F1330" s="8" t="n"/>
    </row>
    <row r="1331">
      <c r="A1331" s="7" t="n"/>
      <c r="B1331" s="8" t="n"/>
      <c r="C1331" s="9">
        <f>IF(B1331="","",IFERROR(VLOOKUP(B1331,'Daftar Outlet'!$A$4:$B$22,2,FALSE),""))</f>
        <v/>
      </c>
      <c r="D1331" s="8" t="n"/>
      <c r="E1331" s="6" t="n"/>
      <c r="F1331" s="8" t="n"/>
    </row>
    <row r="1332">
      <c r="A1332" s="7" t="n"/>
      <c r="B1332" s="8" t="n"/>
      <c r="C1332" s="9">
        <f>IF(B1332="","",IFERROR(VLOOKUP(B1332,'Daftar Outlet'!$A$4:$B$22,2,FALSE),""))</f>
        <v/>
      </c>
      <c r="D1332" s="8" t="n"/>
      <c r="E1332" s="6" t="n"/>
      <c r="F1332" s="8" t="n"/>
    </row>
    <row r="1333">
      <c r="A1333" s="7" t="n"/>
      <c r="B1333" s="8" t="n"/>
      <c r="C1333" s="9">
        <f>IF(B1333="","",IFERROR(VLOOKUP(B1333,'Daftar Outlet'!$A$4:$B$22,2,FALSE),""))</f>
        <v/>
      </c>
      <c r="D1333" s="8" t="n"/>
      <c r="E1333" s="6" t="n"/>
      <c r="F1333" s="8" t="n"/>
    </row>
    <row r="1334">
      <c r="A1334" s="7" t="n"/>
      <c r="B1334" s="8" t="n"/>
      <c r="C1334" s="9">
        <f>IF(B1334="","",IFERROR(VLOOKUP(B1334,'Daftar Outlet'!$A$4:$B$22,2,FALSE),""))</f>
        <v/>
      </c>
      <c r="D1334" s="8" t="n"/>
      <c r="E1334" s="6" t="n"/>
      <c r="F1334" s="8" t="n"/>
    </row>
    <row r="1335">
      <c r="A1335" s="7" t="n"/>
      <c r="B1335" s="8" t="n"/>
      <c r="C1335" s="9">
        <f>IF(B1335="","",IFERROR(VLOOKUP(B1335,'Daftar Outlet'!$A$4:$B$22,2,FALSE),""))</f>
        <v/>
      </c>
      <c r="D1335" s="8" t="n"/>
      <c r="E1335" s="6" t="n"/>
      <c r="F1335" s="8" t="n"/>
    </row>
    <row r="1336">
      <c r="A1336" s="7" t="n"/>
      <c r="B1336" s="8" t="n"/>
      <c r="C1336" s="9">
        <f>IF(B1336="","",IFERROR(VLOOKUP(B1336,'Daftar Outlet'!$A$4:$B$22,2,FALSE),""))</f>
        <v/>
      </c>
      <c r="D1336" s="8" t="n"/>
      <c r="E1336" s="6" t="n"/>
      <c r="F1336" s="8" t="n"/>
    </row>
    <row r="1337">
      <c r="A1337" s="7" t="n"/>
      <c r="B1337" s="8" t="n"/>
      <c r="C1337" s="9">
        <f>IF(B1337="","",IFERROR(VLOOKUP(B1337,'Daftar Outlet'!$A$4:$B$22,2,FALSE),""))</f>
        <v/>
      </c>
      <c r="D1337" s="8" t="n"/>
      <c r="E1337" s="6" t="n"/>
      <c r="F1337" s="8" t="n"/>
    </row>
    <row r="1338">
      <c r="A1338" s="7" t="n"/>
      <c r="B1338" s="8" t="n"/>
      <c r="C1338" s="9">
        <f>IF(B1338="","",IFERROR(VLOOKUP(B1338,'Daftar Outlet'!$A$4:$B$22,2,FALSE),""))</f>
        <v/>
      </c>
      <c r="D1338" s="8" t="n"/>
      <c r="E1338" s="6" t="n"/>
      <c r="F1338" s="8" t="n"/>
    </row>
    <row r="1339">
      <c r="A1339" s="7" t="n"/>
      <c r="B1339" s="8" t="n"/>
      <c r="C1339" s="9">
        <f>IF(B1339="","",IFERROR(VLOOKUP(B1339,'Daftar Outlet'!$A$4:$B$22,2,FALSE),""))</f>
        <v/>
      </c>
      <c r="D1339" s="8" t="n"/>
      <c r="E1339" s="6" t="n"/>
      <c r="F1339" s="8" t="n"/>
    </row>
    <row r="1340">
      <c r="A1340" s="7" t="n"/>
      <c r="B1340" s="8" t="n"/>
      <c r="C1340" s="9">
        <f>IF(B1340="","",IFERROR(VLOOKUP(B1340,'Daftar Outlet'!$A$4:$B$22,2,FALSE),""))</f>
        <v/>
      </c>
      <c r="D1340" s="8" t="n"/>
      <c r="E1340" s="6" t="n"/>
      <c r="F1340" s="8" t="n"/>
    </row>
    <row r="1341">
      <c r="A1341" s="7" t="n"/>
      <c r="B1341" s="8" t="n"/>
      <c r="C1341" s="9">
        <f>IF(B1341="","",IFERROR(VLOOKUP(B1341,'Daftar Outlet'!$A$4:$B$22,2,FALSE),""))</f>
        <v/>
      </c>
      <c r="D1341" s="8" t="n"/>
      <c r="E1341" s="6" t="n"/>
      <c r="F1341" s="8" t="n"/>
    </row>
    <row r="1342">
      <c r="A1342" s="7" t="n"/>
      <c r="B1342" s="8" t="n"/>
      <c r="C1342" s="9">
        <f>IF(B1342="","",IFERROR(VLOOKUP(B1342,'Daftar Outlet'!$A$4:$B$22,2,FALSE),""))</f>
        <v/>
      </c>
      <c r="D1342" s="8" t="n"/>
      <c r="E1342" s="6" t="n"/>
      <c r="F1342" s="8" t="n"/>
    </row>
    <row r="1343">
      <c r="A1343" s="7" t="n"/>
      <c r="B1343" s="8" t="n"/>
      <c r="C1343" s="9">
        <f>IF(B1343="","",IFERROR(VLOOKUP(B1343,'Daftar Outlet'!$A$4:$B$22,2,FALSE),""))</f>
        <v/>
      </c>
      <c r="D1343" s="8" t="n"/>
      <c r="E1343" s="6" t="n"/>
      <c r="F1343" s="8" t="n"/>
    </row>
    <row r="1344">
      <c r="A1344" s="7" t="n"/>
      <c r="B1344" s="8" t="n"/>
      <c r="C1344" s="9">
        <f>IF(B1344="","",IFERROR(VLOOKUP(B1344,'Daftar Outlet'!$A$4:$B$22,2,FALSE),""))</f>
        <v/>
      </c>
      <c r="D1344" s="8" t="n"/>
      <c r="E1344" s="6" t="n"/>
      <c r="F1344" s="8" t="n"/>
    </row>
    <row r="1345">
      <c r="A1345" s="7" t="n"/>
      <c r="B1345" s="8" t="n"/>
      <c r="C1345" s="9">
        <f>IF(B1345="","",IFERROR(VLOOKUP(B1345,'Daftar Outlet'!$A$4:$B$22,2,FALSE),""))</f>
        <v/>
      </c>
      <c r="D1345" s="8" t="n"/>
      <c r="E1345" s="6" t="n"/>
      <c r="F1345" s="8" t="n"/>
    </row>
    <row r="1346">
      <c r="A1346" s="7" t="n"/>
      <c r="B1346" s="8" t="n"/>
      <c r="C1346" s="9">
        <f>IF(B1346="","",IFERROR(VLOOKUP(B1346,'Daftar Outlet'!$A$4:$B$22,2,FALSE),""))</f>
        <v/>
      </c>
      <c r="D1346" s="8" t="n"/>
      <c r="E1346" s="6" t="n"/>
      <c r="F1346" s="8" t="n"/>
    </row>
    <row r="1347">
      <c r="A1347" s="7" t="n"/>
      <c r="B1347" s="8" t="n"/>
      <c r="C1347" s="9">
        <f>IF(B1347="","",IFERROR(VLOOKUP(B1347,'Daftar Outlet'!$A$4:$B$22,2,FALSE),""))</f>
        <v/>
      </c>
      <c r="D1347" s="8" t="n"/>
      <c r="E1347" s="6" t="n"/>
      <c r="F1347" s="8" t="n"/>
    </row>
    <row r="1348">
      <c r="A1348" s="7" t="n"/>
      <c r="B1348" s="8" t="n"/>
      <c r="C1348" s="9">
        <f>IF(B1348="","",IFERROR(VLOOKUP(B1348,'Daftar Outlet'!$A$4:$B$22,2,FALSE),""))</f>
        <v/>
      </c>
      <c r="D1348" s="8" t="n"/>
      <c r="E1348" s="6" t="n"/>
      <c r="F1348" s="8" t="n"/>
    </row>
    <row r="1349">
      <c r="A1349" s="7" t="n"/>
      <c r="B1349" s="8" t="n"/>
      <c r="C1349" s="9">
        <f>IF(B1349="","",IFERROR(VLOOKUP(B1349,'Daftar Outlet'!$A$4:$B$22,2,FALSE),""))</f>
        <v/>
      </c>
      <c r="D1349" s="8" t="n"/>
      <c r="E1349" s="6" t="n"/>
      <c r="F1349" s="8" t="n"/>
    </row>
    <row r="1350">
      <c r="A1350" s="7" t="n"/>
      <c r="B1350" s="8" t="n"/>
      <c r="C1350" s="9">
        <f>IF(B1350="","",IFERROR(VLOOKUP(B1350,'Daftar Outlet'!$A$4:$B$22,2,FALSE),""))</f>
        <v/>
      </c>
      <c r="D1350" s="8" t="n"/>
      <c r="E1350" s="6" t="n"/>
      <c r="F1350" s="8" t="n"/>
    </row>
    <row r="1351">
      <c r="A1351" s="7" t="n"/>
      <c r="B1351" s="8" t="n"/>
      <c r="C1351" s="9">
        <f>IF(B1351="","",IFERROR(VLOOKUP(B1351,'Daftar Outlet'!$A$4:$B$22,2,FALSE),""))</f>
        <v/>
      </c>
      <c r="D1351" s="8" t="n"/>
      <c r="E1351" s="6" t="n"/>
      <c r="F1351" s="8" t="n"/>
    </row>
    <row r="1352">
      <c r="A1352" s="7" t="n"/>
      <c r="B1352" s="8" t="n"/>
      <c r="C1352" s="9">
        <f>IF(B1352="","",IFERROR(VLOOKUP(B1352,'Daftar Outlet'!$A$4:$B$22,2,FALSE),""))</f>
        <v/>
      </c>
      <c r="D1352" s="8" t="n"/>
      <c r="E1352" s="6" t="n"/>
      <c r="F1352" s="8" t="n"/>
    </row>
    <row r="1353">
      <c r="A1353" s="7" t="n"/>
      <c r="B1353" s="8" t="n"/>
      <c r="C1353" s="9">
        <f>IF(B1353="","",IFERROR(VLOOKUP(B1353,'Daftar Outlet'!$A$4:$B$22,2,FALSE),""))</f>
        <v/>
      </c>
      <c r="D1353" s="8" t="n"/>
      <c r="E1353" s="6" t="n"/>
      <c r="F1353" s="8" t="n"/>
    </row>
    <row r="1354">
      <c r="A1354" s="7" t="n"/>
      <c r="B1354" s="8" t="n"/>
      <c r="C1354" s="9">
        <f>IF(B1354="","",IFERROR(VLOOKUP(B1354,'Daftar Outlet'!$A$4:$B$22,2,FALSE),""))</f>
        <v/>
      </c>
      <c r="D1354" s="8" t="n"/>
      <c r="E1354" s="6" t="n"/>
      <c r="F1354" s="8" t="n"/>
    </row>
    <row r="1355">
      <c r="A1355" s="7" t="n"/>
      <c r="B1355" s="8" t="n"/>
      <c r="C1355" s="9">
        <f>IF(B1355="","",IFERROR(VLOOKUP(B1355,'Daftar Outlet'!$A$4:$B$22,2,FALSE),""))</f>
        <v/>
      </c>
      <c r="D1355" s="8" t="n"/>
      <c r="E1355" s="6" t="n"/>
      <c r="F1355" s="8" t="n"/>
    </row>
    <row r="1356">
      <c r="A1356" s="7" t="n"/>
      <c r="B1356" s="8" t="n"/>
      <c r="C1356" s="9">
        <f>IF(B1356="","",IFERROR(VLOOKUP(B1356,'Daftar Outlet'!$A$4:$B$22,2,FALSE),""))</f>
        <v/>
      </c>
      <c r="D1356" s="8" t="n"/>
      <c r="E1356" s="6" t="n"/>
      <c r="F1356" s="8" t="n"/>
    </row>
    <row r="1357">
      <c r="A1357" s="7" t="n"/>
      <c r="B1357" s="8" t="n"/>
      <c r="C1357" s="9">
        <f>IF(B1357="","",IFERROR(VLOOKUP(B1357,'Daftar Outlet'!$A$4:$B$22,2,FALSE),""))</f>
        <v/>
      </c>
      <c r="D1357" s="8" t="n"/>
      <c r="E1357" s="6" t="n"/>
      <c r="F1357" s="8" t="n"/>
    </row>
    <row r="1358">
      <c r="A1358" s="7" t="n"/>
      <c r="B1358" s="8" t="n"/>
      <c r="C1358" s="9">
        <f>IF(B1358="","",IFERROR(VLOOKUP(B1358,'Daftar Outlet'!$A$4:$B$22,2,FALSE),""))</f>
        <v/>
      </c>
      <c r="D1358" s="8" t="n"/>
      <c r="E1358" s="6" t="n"/>
      <c r="F1358" s="8" t="n"/>
    </row>
    <row r="1359">
      <c r="A1359" s="7" t="n"/>
      <c r="B1359" s="8" t="n"/>
      <c r="C1359" s="9">
        <f>IF(B1359="","",IFERROR(VLOOKUP(B1359,'Daftar Outlet'!$A$4:$B$22,2,FALSE),""))</f>
        <v/>
      </c>
      <c r="D1359" s="8" t="n"/>
      <c r="E1359" s="6" t="n"/>
      <c r="F1359" s="8" t="n"/>
    </row>
    <row r="1360">
      <c r="A1360" s="7" t="n"/>
      <c r="B1360" s="8" t="n"/>
      <c r="C1360" s="9">
        <f>IF(B1360="","",IFERROR(VLOOKUP(B1360,'Daftar Outlet'!$A$4:$B$22,2,FALSE),""))</f>
        <v/>
      </c>
      <c r="D1360" s="8" t="n"/>
      <c r="E1360" s="6" t="n"/>
      <c r="F1360" s="8" t="n"/>
    </row>
    <row r="1361">
      <c r="A1361" s="7" t="n"/>
      <c r="B1361" s="8" t="n"/>
      <c r="C1361" s="9">
        <f>IF(B1361="","",IFERROR(VLOOKUP(B1361,'Daftar Outlet'!$A$4:$B$22,2,FALSE),""))</f>
        <v/>
      </c>
      <c r="D1361" s="8" t="n"/>
      <c r="E1361" s="6" t="n"/>
      <c r="F1361" s="8" t="n"/>
    </row>
    <row r="1362">
      <c r="A1362" s="7" t="n"/>
      <c r="B1362" s="8" t="n"/>
      <c r="C1362" s="9">
        <f>IF(B1362="","",IFERROR(VLOOKUP(B1362,'Daftar Outlet'!$A$4:$B$22,2,FALSE),""))</f>
        <v/>
      </c>
      <c r="D1362" s="8" t="n"/>
      <c r="E1362" s="6" t="n"/>
      <c r="F1362" s="8" t="n"/>
    </row>
    <row r="1363">
      <c r="A1363" s="7" t="n"/>
      <c r="B1363" s="8" t="n"/>
      <c r="C1363" s="9">
        <f>IF(B1363="","",IFERROR(VLOOKUP(B1363,'Daftar Outlet'!$A$4:$B$22,2,FALSE),""))</f>
        <v/>
      </c>
      <c r="D1363" s="8" t="n"/>
      <c r="E1363" s="6" t="n"/>
      <c r="F1363" s="8" t="n"/>
    </row>
    <row r="1364">
      <c r="A1364" s="7" t="n"/>
      <c r="B1364" s="8" t="n"/>
      <c r="C1364" s="9">
        <f>IF(B1364="","",IFERROR(VLOOKUP(B1364,'Daftar Outlet'!$A$4:$B$22,2,FALSE),""))</f>
        <v/>
      </c>
      <c r="D1364" s="8" t="n"/>
      <c r="E1364" s="6" t="n"/>
      <c r="F1364" s="8" t="n"/>
    </row>
    <row r="1365">
      <c r="A1365" s="7" t="n"/>
      <c r="B1365" s="8" t="n"/>
      <c r="C1365" s="9">
        <f>IF(B1365="","",IFERROR(VLOOKUP(B1365,'Daftar Outlet'!$A$4:$B$22,2,FALSE),""))</f>
        <v/>
      </c>
      <c r="D1365" s="8" t="n"/>
      <c r="E1365" s="6" t="n"/>
      <c r="F1365" s="8" t="n"/>
    </row>
    <row r="1366">
      <c r="A1366" s="7" t="n"/>
      <c r="B1366" s="8" t="n"/>
      <c r="C1366" s="9">
        <f>IF(B1366="","",IFERROR(VLOOKUP(B1366,'Daftar Outlet'!$A$4:$B$22,2,FALSE),""))</f>
        <v/>
      </c>
      <c r="D1366" s="8" t="n"/>
      <c r="E1366" s="6" t="n"/>
      <c r="F1366" s="8" t="n"/>
    </row>
    <row r="1367">
      <c r="A1367" s="7" t="n"/>
      <c r="B1367" s="8" t="n"/>
      <c r="C1367" s="9">
        <f>IF(B1367="","",IFERROR(VLOOKUP(B1367,'Daftar Outlet'!$A$4:$B$22,2,FALSE),""))</f>
        <v/>
      </c>
      <c r="D1367" s="8" t="n"/>
      <c r="E1367" s="6" t="n"/>
      <c r="F1367" s="8" t="n"/>
    </row>
    <row r="1368">
      <c r="A1368" s="7" t="n"/>
      <c r="B1368" s="8" t="n"/>
      <c r="C1368" s="9">
        <f>IF(B1368="","",IFERROR(VLOOKUP(B1368,'Daftar Outlet'!$A$4:$B$22,2,FALSE),""))</f>
        <v/>
      </c>
      <c r="D1368" s="8" t="n"/>
      <c r="E1368" s="6" t="n"/>
      <c r="F1368" s="8" t="n"/>
    </row>
    <row r="1369">
      <c r="A1369" s="7" t="n"/>
      <c r="B1369" s="8" t="n"/>
      <c r="C1369" s="9">
        <f>IF(B1369="","",IFERROR(VLOOKUP(B1369,'Daftar Outlet'!$A$4:$B$22,2,FALSE),""))</f>
        <v/>
      </c>
      <c r="D1369" s="8" t="n"/>
      <c r="E1369" s="6" t="n"/>
      <c r="F1369" s="8" t="n"/>
    </row>
    <row r="1370">
      <c r="A1370" s="7" t="n"/>
      <c r="B1370" s="8" t="n"/>
      <c r="C1370" s="9">
        <f>IF(B1370="","",IFERROR(VLOOKUP(B1370,'Daftar Outlet'!$A$4:$B$22,2,FALSE),""))</f>
        <v/>
      </c>
      <c r="D1370" s="8" t="n"/>
      <c r="E1370" s="6" t="n"/>
      <c r="F1370" s="8" t="n"/>
    </row>
    <row r="1371">
      <c r="A1371" s="7" t="n"/>
      <c r="B1371" s="8" t="n"/>
      <c r="C1371" s="9">
        <f>IF(B1371="","",IFERROR(VLOOKUP(B1371,'Daftar Outlet'!$A$4:$B$22,2,FALSE),""))</f>
        <v/>
      </c>
      <c r="D1371" s="8" t="n"/>
      <c r="E1371" s="6" t="n"/>
      <c r="F1371" s="8" t="n"/>
    </row>
    <row r="1372">
      <c r="A1372" s="7" t="n"/>
      <c r="B1372" s="8" t="n"/>
      <c r="C1372" s="9">
        <f>IF(B1372="","",IFERROR(VLOOKUP(B1372,'Daftar Outlet'!$A$4:$B$22,2,FALSE),""))</f>
        <v/>
      </c>
      <c r="D1372" s="8" t="n"/>
      <c r="E1372" s="6" t="n"/>
      <c r="F1372" s="8" t="n"/>
    </row>
    <row r="1373">
      <c r="A1373" s="7" t="n"/>
      <c r="B1373" s="8" t="n"/>
      <c r="C1373" s="9">
        <f>IF(B1373="","",IFERROR(VLOOKUP(B1373,'Daftar Outlet'!$A$4:$B$22,2,FALSE),""))</f>
        <v/>
      </c>
      <c r="D1373" s="8" t="n"/>
      <c r="E1373" s="6" t="n"/>
      <c r="F1373" s="8" t="n"/>
    </row>
    <row r="1374">
      <c r="A1374" s="7" t="n"/>
      <c r="B1374" s="8" t="n"/>
      <c r="C1374" s="9">
        <f>IF(B1374="","",IFERROR(VLOOKUP(B1374,'Daftar Outlet'!$A$4:$B$22,2,FALSE),""))</f>
        <v/>
      </c>
      <c r="D1374" s="8" t="n"/>
      <c r="E1374" s="6" t="n"/>
      <c r="F1374" s="8" t="n"/>
    </row>
    <row r="1375">
      <c r="A1375" s="7" t="n"/>
      <c r="B1375" s="8" t="n"/>
      <c r="C1375" s="9">
        <f>IF(B1375="","",IFERROR(VLOOKUP(B1375,'Daftar Outlet'!$A$4:$B$22,2,FALSE),""))</f>
        <v/>
      </c>
      <c r="D1375" s="8" t="n"/>
      <c r="E1375" s="6" t="n"/>
      <c r="F1375" s="8" t="n"/>
    </row>
    <row r="1376">
      <c r="A1376" s="7" t="n"/>
      <c r="B1376" s="8" t="n"/>
      <c r="C1376" s="9">
        <f>IF(B1376="","",IFERROR(VLOOKUP(B1376,'Daftar Outlet'!$A$4:$B$22,2,FALSE),""))</f>
        <v/>
      </c>
      <c r="D1376" s="8" t="n"/>
      <c r="E1376" s="6" t="n"/>
      <c r="F1376" s="8" t="n"/>
    </row>
    <row r="1377">
      <c r="A1377" s="7" t="n"/>
      <c r="B1377" s="8" t="n"/>
      <c r="C1377" s="9">
        <f>IF(B1377="","",IFERROR(VLOOKUP(B1377,'Daftar Outlet'!$A$4:$B$22,2,FALSE),""))</f>
        <v/>
      </c>
      <c r="D1377" s="8" t="n"/>
      <c r="E1377" s="6" t="n"/>
      <c r="F1377" s="8" t="n"/>
    </row>
    <row r="1378">
      <c r="A1378" s="7" t="n"/>
      <c r="B1378" s="8" t="n"/>
      <c r="C1378" s="9">
        <f>IF(B1378="","",IFERROR(VLOOKUP(B1378,'Daftar Outlet'!$A$4:$B$22,2,FALSE),""))</f>
        <v/>
      </c>
      <c r="D1378" s="8" t="n"/>
      <c r="E1378" s="6" t="n"/>
      <c r="F1378" s="8" t="n"/>
    </row>
    <row r="1379">
      <c r="A1379" s="7" t="n"/>
      <c r="B1379" s="8" t="n"/>
      <c r="C1379" s="9">
        <f>IF(B1379="","",IFERROR(VLOOKUP(B1379,'Daftar Outlet'!$A$4:$B$22,2,FALSE),""))</f>
        <v/>
      </c>
      <c r="D1379" s="8" t="n"/>
      <c r="E1379" s="6" t="n"/>
      <c r="F1379" s="8" t="n"/>
    </row>
    <row r="1380">
      <c r="A1380" s="7" t="n"/>
      <c r="B1380" s="8" t="n"/>
      <c r="C1380" s="9">
        <f>IF(B1380="","",IFERROR(VLOOKUP(B1380,'Daftar Outlet'!$A$4:$B$22,2,FALSE),""))</f>
        <v/>
      </c>
      <c r="D1380" s="8" t="n"/>
      <c r="E1380" s="6" t="n"/>
      <c r="F1380" s="8" t="n"/>
    </row>
    <row r="1381">
      <c r="A1381" s="7" t="n"/>
      <c r="B1381" s="8" t="n"/>
      <c r="C1381" s="9">
        <f>IF(B1381="","",IFERROR(VLOOKUP(B1381,'Daftar Outlet'!$A$4:$B$22,2,FALSE),""))</f>
        <v/>
      </c>
      <c r="D1381" s="8" t="n"/>
      <c r="E1381" s="6" t="n"/>
      <c r="F1381" s="8" t="n"/>
    </row>
    <row r="1382">
      <c r="A1382" s="7" t="n"/>
      <c r="B1382" s="8" t="n"/>
      <c r="C1382" s="9">
        <f>IF(B1382="","",IFERROR(VLOOKUP(B1382,'Daftar Outlet'!$A$4:$B$22,2,FALSE),""))</f>
        <v/>
      </c>
      <c r="D1382" s="8" t="n"/>
      <c r="E1382" s="6" t="n"/>
      <c r="F1382" s="8" t="n"/>
    </row>
    <row r="1383">
      <c r="A1383" s="7" t="n"/>
      <c r="B1383" s="8" t="n"/>
      <c r="C1383" s="9">
        <f>IF(B1383="","",IFERROR(VLOOKUP(B1383,'Daftar Outlet'!$A$4:$B$22,2,FALSE),""))</f>
        <v/>
      </c>
      <c r="D1383" s="8" t="n"/>
      <c r="E1383" s="6" t="n"/>
      <c r="F1383" s="8" t="n"/>
    </row>
    <row r="1384">
      <c r="A1384" s="7" t="n"/>
      <c r="B1384" s="8" t="n"/>
      <c r="C1384" s="9">
        <f>IF(B1384="","",IFERROR(VLOOKUP(B1384,'Daftar Outlet'!$A$4:$B$22,2,FALSE),""))</f>
        <v/>
      </c>
      <c r="D1384" s="8" t="n"/>
      <c r="E1384" s="6" t="n"/>
      <c r="F1384" s="8" t="n"/>
    </row>
    <row r="1385">
      <c r="A1385" s="7" t="n"/>
      <c r="B1385" s="8" t="n"/>
      <c r="C1385" s="9">
        <f>IF(B1385="","",IFERROR(VLOOKUP(B1385,'Daftar Outlet'!$A$4:$B$22,2,FALSE),""))</f>
        <v/>
      </c>
      <c r="D1385" s="8" t="n"/>
      <c r="E1385" s="6" t="n"/>
      <c r="F1385" s="8" t="n"/>
    </row>
    <row r="1386">
      <c r="A1386" s="7" t="n"/>
      <c r="B1386" s="8" t="n"/>
      <c r="C1386" s="9">
        <f>IF(B1386="","",IFERROR(VLOOKUP(B1386,'Daftar Outlet'!$A$4:$B$22,2,FALSE),""))</f>
        <v/>
      </c>
      <c r="D1386" s="8" t="n"/>
      <c r="E1386" s="6" t="n"/>
      <c r="F1386" s="8" t="n"/>
    </row>
    <row r="1387">
      <c r="A1387" s="7" t="n"/>
      <c r="B1387" s="8" t="n"/>
      <c r="C1387" s="9">
        <f>IF(B1387="","",IFERROR(VLOOKUP(B1387,'Daftar Outlet'!$A$4:$B$22,2,FALSE),""))</f>
        <v/>
      </c>
      <c r="D1387" s="8" t="n"/>
      <c r="E1387" s="6" t="n"/>
      <c r="F1387" s="8" t="n"/>
    </row>
    <row r="1388">
      <c r="A1388" s="7" t="n"/>
      <c r="B1388" s="8" t="n"/>
      <c r="C1388" s="9">
        <f>IF(B1388="","",IFERROR(VLOOKUP(B1388,'Daftar Outlet'!$A$4:$B$22,2,FALSE),""))</f>
        <v/>
      </c>
      <c r="D1388" s="8" t="n"/>
      <c r="E1388" s="6" t="n"/>
      <c r="F1388" s="8" t="n"/>
    </row>
    <row r="1389">
      <c r="A1389" s="7" t="n"/>
      <c r="B1389" s="8" t="n"/>
      <c r="C1389" s="9">
        <f>IF(B1389="","",IFERROR(VLOOKUP(B1389,'Daftar Outlet'!$A$4:$B$22,2,FALSE),""))</f>
        <v/>
      </c>
      <c r="D1389" s="8" t="n"/>
      <c r="E1389" s="6" t="n"/>
      <c r="F1389" s="8" t="n"/>
    </row>
    <row r="1390">
      <c r="A1390" s="7" t="n"/>
      <c r="B1390" s="8" t="n"/>
      <c r="C1390" s="9">
        <f>IF(B1390="","",IFERROR(VLOOKUP(B1390,'Daftar Outlet'!$A$4:$B$22,2,FALSE),""))</f>
        <v/>
      </c>
      <c r="D1390" s="8" t="n"/>
      <c r="E1390" s="6" t="n"/>
      <c r="F1390" s="8" t="n"/>
    </row>
    <row r="1391">
      <c r="A1391" s="7" t="n"/>
      <c r="B1391" s="8" t="n"/>
      <c r="C1391" s="9">
        <f>IF(B1391="","",IFERROR(VLOOKUP(B1391,'Daftar Outlet'!$A$4:$B$22,2,FALSE),""))</f>
        <v/>
      </c>
      <c r="D1391" s="8" t="n"/>
      <c r="E1391" s="6" t="n"/>
      <c r="F1391" s="8" t="n"/>
    </row>
    <row r="1392">
      <c r="A1392" s="7" t="n"/>
      <c r="B1392" s="8" t="n"/>
      <c r="C1392" s="9">
        <f>IF(B1392="","",IFERROR(VLOOKUP(B1392,'Daftar Outlet'!$A$4:$B$22,2,FALSE),""))</f>
        <v/>
      </c>
      <c r="D1392" s="8" t="n"/>
      <c r="E1392" s="6" t="n"/>
      <c r="F1392" s="8" t="n"/>
    </row>
    <row r="1393">
      <c r="A1393" s="7" t="n"/>
      <c r="B1393" s="8" t="n"/>
      <c r="C1393" s="9">
        <f>IF(B1393="","",IFERROR(VLOOKUP(B1393,'Daftar Outlet'!$A$4:$B$22,2,FALSE),""))</f>
        <v/>
      </c>
      <c r="D1393" s="8" t="n"/>
      <c r="E1393" s="6" t="n"/>
      <c r="F1393" s="8" t="n"/>
    </row>
    <row r="1394">
      <c r="A1394" s="7" t="n"/>
      <c r="B1394" s="8" t="n"/>
      <c r="C1394" s="9">
        <f>IF(B1394="","",IFERROR(VLOOKUP(B1394,'Daftar Outlet'!$A$4:$B$22,2,FALSE),""))</f>
        <v/>
      </c>
      <c r="D1394" s="8" t="n"/>
      <c r="E1394" s="6" t="n"/>
      <c r="F1394" s="8" t="n"/>
    </row>
    <row r="1395">
      <c r="A1395" s="7" t="n"/>
      <c r="B1395" s="8" t="n"/>
      <c r="C1395" s="9">
        <f>IF(B1395="","",IFERROR(VLOOKUP(B1395,'Daftar Outlet'!$A$4:$B$22,2,FALSE),""))</f>
        <v/>
      </c>
      <c r="D1395" s="8" t="n"/>
      <c r="E1395" s="6" t="n"/>
      <c r="F1395" s="8" t="n"/>
    </row>
    <row r="1396">
      <c r="A1396" s="7" t="n"/>
      <c r="B1396" s="8" t="n"/>
      <c r="C1396" s="9">
        <f>IF(B1396="","",IFERROR(VLOOKUP(B1396,'Daftar Outlet'!$A$4:$B$22,2,FALSE),""))</f>
        <v/>
      </c>
      <c r="D1396" s="8" t="n"/>
      <c r="E1396" s="6" t="n"/>
      <c r="F1396" s="8" t="n"/>
    </row>
    <row r="1397">
      <c r="A1397" s="7" t="n"/>
      <c r="B1397" s="8" t="n"/>
      <c r="C1397" s="9">
        <f>IF(B1397="","",IFERROR(VLOOKUP(B1397,'Daftar Outlet'!$A$4:$B$22,2,FALSE),""))</f>
        <v/>
      </c>
      <c r="D1397" s="8" t="n"/>
      <c r="E1397" s="6" t="n"/>
      <c r="F1397" s="8" t="n"/>
    </row>
    <row r="1398">
      <c r="A1398" s="7" t="n"/>
      <c r="B1398" s="8" t="n"/>
      <c r="C1398" s="9">
        <f>IF(B1398="","",IFERROR(VLOOKUP(B1398,'Daftar Outlet'!$A$4:$B$22,2,FALSE),""))</f>
        <v/>
      </c>
      <c r="D1398" s="8" t="n"/>
      <c r="E1398" s="6" t="n"/>
      <c r="F1398" s="8" t="n"/>
    </row>
    <row r="1399">
      <c r="A1399" s="7" t="n"/>
      <c r="B1399" s="8" t="n"/>
      <c r="C1399" s="9">
        <f>IF(B1399="","",IFERROR(VLOOKUP(B1399,'Daftar Outlet'!$A$4:$B$22,2,FALSE),""))</f>
        <v/>
      </c>
      <c r="D1399" s="8" t="n"/>
      <c r="E1399" s="6" t="n"/>
      <c r="F1399" s="8" t="n"/>
    </row>
    <row r="1400">
      <c r="A1400" s="7" t="n"/>
      <c r="B1400" s="8" t="n"/>
      <c r="C1400" s="9">
        <f>IF(B1400="","",IFERROR(VLOOKUP(B1400,'Daftar Outlet'!$A$4:$B$22,2,FALSE),""))</f>
        <v/>
      </c>
      <c r="D1400" s="8" t="n"/>
      <c r="E1400" s="6" t="n"/>
      <c r="F1400" s="8" t="n"/>
    </row>
    <row r="1401">
      <c r="A1401" s="7" t="n"/>
      <c r="B1401" s="8" t="n"/>
      <c r="C1401" s="9">
        <f>IF(B1401="","",IFERROR(VLOOKUP(B1401,'Daftar Outlet'!$A$4:$B$22,2,FALSE),""))</f>
        <v/>
      </c>
      <c r="D1401" s="8" t="n"/>
      <c r="E1401" s="6" t="n"/>
      <c r="F1401" s="8" t="n"/>
    </row>
    <row r="1402">
      <c r="A1402" s="7" t="n"/>
      <c r="B1402" s="8" t="n"/>
      <c r="C1402" s="9">
        <f>IF(B1402="","",IFERROR(VLOOKUP(B1402,'Daftar Outlet'!$A$4:$B$22,2,FALSE),""))</f>
        <v/>
      </c>
      <c r="D1402" s="8" t="n"/>
      <c r="E1402" s="6" t="n"/>
      <c r="F1402" s="8" t="n"/>
    </row>
    <row r="1403">
      <c r="A1403" s="7" t="n"/>
      <c r="B1403" s="8" t="n"/>
      <c r="C1403" s="9">
        <f>IF(B1403="","",IFERROR(VLOOKUP(B1403,'Daftar Outlet'!$A$4:$B$22,2,FALSE),""))</f>
        <v/>
      </c>
      <c r="D1403" s="8" t="n"/>
      <c r="E1403" s="6" t="n"/>
      <c r="F1403" s="8" t="n"/>
    </row>
    <row r="1404">
      <c r="A1404" s="7" t="n"/>
      <c r="B1404" s="8" t="n"/>
      <c r="C1404" s="9">
        <f>IF(B1404="","",IFERROR(VLOOKUP(B1404,'Daftar Outlet'!$A$4:$B$22,2,FALSE),""))</f>
        <v/>
      </c>
      <c r="D1404" s="8" t="n"/>
      <c r="E1404" s="6" t="n"/>
      <c r="F1404" s="8" t="n"/>
    </row>
    <row r="1405">
      <c r="A1405" s="7" t="n"/>
      <c r="B1405" s="8" t="n"/>
      <c r="C1405" s="9">
        <f>IF(B1405="","",IFERROR(VLOOKUP(B1405,'Daftar Outlet'!$A$4:$B$22,2,FALSE),""))</f>
        <v/>
      </c>
      <c r="D1405" s="8" t="n"/>
      <c r="E1405" s="6" t="n"/>
      <c r="F1405" s="8" t="n"/>
    </row>
    <row r="1406">
      <c r="A1406" s="7" t="n"/>
      <c r="B1406" s="8" t="n"/>
      <c r="C1406" s="9">
        <f>IF(B1406="","",IFERROR(VLOOKUP(B1406,'Daftar Outlet'!$A$4:$B$22,2,FALSE),""))</f>
        <v/>
      </c>
      <c r="D1406" s="8" t="n"/>
      <c r="E1406" s="6" t="n"/>
      <c r="F1406" s="8" t="n"/>
    </row>
    <row r="1407">
      <c r="A1407" s="7" t="n"/>
      <c r="B1407" s="8" t="n"/>
      <c r="C1407" s="9">
        <f>IF(B1407="","",IFERROR(VLOOKUP(B1407,'Daftar Outlet'!$A$4:$B$22,2,FALSE),""))</f>
        <v/>
      </c>
      <c r="D1407" s="8" t="n"/>
      <c r="E1407" s="6" t="n"/>
      <c r="F1407" s="8" t="n"/>
    </row>
    <row r="1408">
      <c r="A1408" s="7" t="n"/>
      <c r="B1408" s="8" t="n"/>
      <c r="C1408" s="9">
        <f>IF(B1408="","",IFERROR(VLOOKUP(B1408,'Daftar Outlet'!$A$4:$B$22,2,FALSE),""))</f>
        <v/>
      </c>
      <c r="D1408" s="8" t="n"/>
      <c r="E1408" s="6" t="n"/>
      <c r="F1408" s="8" t="n"/>
    </row>
    <row r="1409">
      <c r="A1409" s="7" t="n"/>
      <c r="B1409" s="8" t="n"/>
      <c r="C1409" s="9">
        <f>IF(B1409="","",IFERROR(VLOOKUP(B1409,'Daftar Outlet'!$A$4:$B$22,2,FALSE),""))</f>
        <v/>
      </c>
      <c r="D1409" s="8" t="n"/>
      <c r="E1409" s="6" t="n"/>
      <c r="F1409" s="8" t="n"/>
    </row>
    <row r="1410">
      <c r="A1410" s="7" t="n"/>
      <c r="B1410" s="8" t="n"/>
      <c r="C1410" s="9">
        <f>IF(B1410="","",IFERROR(VLOOKUP(B1410,'Daftar Outlet'!$A$4:$B$22,2,FALSE),""))</f>
        <v/>
      </c>
      <c r="D1410" s="8" t="n"/>
      <c r="E1410" s="6" t="n"/>
      <c r="F1410" s="8" t="n"/>
    </row>
    <row r="1411">
      <c r="A1411" s="7" t="n"/>
      <c r="B1411" s="8" t="n"/>
      <c r="C1411" s="9">
        <f>IF(B1411="","",IFERROR(VLOOKUP(B1411,'Daftar Outlet'!$A$4:$B$22,2,FALSE),""))</f>
        <v/>
      </c>
      <c r="D1411" s="8" t="n"/>
      <c r="E1411" s="6" t="n"/>
      <c r="F1411" s="8" t="n"/>
    </row>
    <row r="1412">
      <c r="A1412" s="7" t="n"/>
      <c r="B1412" s="8" t="n"/>
      <c r="C1412" s="9">
        <f>IF(B1412="","",IFERROR(VLOOKUP(B1412,'Daftar Outlet'!$A$4:$B$22,2,FALSE),""))</f>
        <v/>
      </c>
      <c r="D1412" s="8" t="n"/>
      <c r="E1412" s="6" t="n"/>
      <c r="F1412" s="8" t="n"/>
    </row>
    <row r="1413">
      <c r="A1413" s="7" t="n"/>
      <c r="B1413" s="8" t="n"/>
      <c r="C1413" s="9">
        <f>IF(B1413="","",IFERROR(VLOOKUP(B1413,'Daftar Outlet'!$A$4:$B$22,2,FALSE),""))</f>
        <v/>
      </c>
      <c r="D1413" s="8" t="n"/>
      <c r="E1413" s="6" t="n"/>
      <c r="F1413" s="8" t="n"/>
    </row>
    <row r="1414">
      <c r="A1414" s="7" t="n"/>
      <c r="B1414" s="8" t="n"/>
      <c r="C1414" s="9">
        <f>IF(B1414="","",IFERROR(VLOOKUP(B1414,'Daftar Outlet'!$A$4:$B$22,2,FALSE),""))</f>
        <v/>
      </c>
      <c r="D1414" s="8" t="n"/>
      <c r="E1414" s="6" t="n"/>
      <c r="F1414" s="8" t="n"/>
    </row>
    <row r="1415">
      <c r="A1415" s="7" t="n"/>
      <c r="B1415" s="8" t="n"/>
      <c r="C1415" s="9">
        <f>IF(B1415="","",IFERROR(VLOOKUP(B1415,'Daftar Outlet'!$A$4:$B$22,2,FALSE),""))</f>
        <v/>
      </c>
      <c r="D1415" s="8" t="n"/>
      <c r="E1415" s="6" t="n"/>
      <c r="F1415" s="8" t="n"/>
    </row>
    <row r="1416">
      <c r="A1416" s="7" t="n"/>
      <c r="B1416" s="8" t="n"/>
      <c r="C1416" s="9">
        <f>IF(B1416="","",IFERROR(VLOOKUP(B1416,'Daftar Outlet'!$A$4:$B$22,2,FALSE),""))</f>
        <v/>
      </c>
      <c r="D1416" s="8" t="n"/>
      <c r="E1416" s="6" t="n"/>
      <c r="F1416" s="8" t="n"/>
    </row>
    <row r="1417">
      <c r="A1417" s="7" t="n"/>
      <c r="B1417" s="8" t="n"/>
      <c r="C1417" s="9">
        <f>IF(B1417="","",IFERROR(VLOOKUP(B1417,'Daftar Outlet'!$A$4:$B$22,2,FALSE),""))</f>
        <v/>
      </c>
      <c r="D1417" s="8" t="n"/>
      <c r="E1417" s="6" t="n"/>
      <c r="F1417" s="8" t="n"/>
    </row>
    <row r="1418">
      <c r="A1418" s="7" t="n"/>
      <c r="B1418" s="8" t="n"/>
      <c r="C1418" s="9">
        <f>IF(B1418="","",IFERROR(VLOOKUP(B1418,'Daftar Outlet'!$A$4:$B$22,2,FALSE),""))</f>
        <v/>
      </c>
      <c r="D1418" s="8" t="n"/>
      <c r="E1418" s="6" t="n"/>
      <c r="F1418" s="8" t="n"/>
    </row>
    <row r="1419">
      <c r="A1419" s="7" t="n"/>
      <c r="B1419" s="8" t="n"/>
      <c r="C1419" s="9">
        <f>IF(B1419="","",IFERROR(VLOOKUP(B1419,'Daftar Outlet'!$A$4:$B$22,2,FALSE),""))</f>
        <v/>
      </c>
      <c r="D1419" s="8" t="n"/>
      <c r="E1419" s="6" t="n"/>
      <c r="F1419" s="8" t="n"/>
    </row>
    <row r="1420">
      <c r="A1420" s="7" t="n"/>
      <c r="B1420" s="8" t="n"/>
      <c r="C1420" s="9">
        <f>IF(B1420="","",IFERROR(VLOOKUP(B1420,'Daftar Outlet'!$A$4:$B$22,2,FALSE),""))</f>
        <v/>
      </c>
      <c r="D1420" s="8" t="n"/>
      <c r="E1420" s="6" t="n"/>
      <c r="F1420" s="8" t="n"/>
    </row>
    <row r="1421">
      <c r="A1421" s="7" t="n"/>
      <c r="B1421" s="8" t="n"/>
      <c r="C1421" s="9">
        <f>IF(B1421="","",IFERROR(VLOOKUP(B1421,'Daftar Outlet'!$A$4:$B$22,2,FALSE),""))</f>
        <v/>
      </c>
      <c r="D1421" s="8" t="n"/>
      <c r="E1421" s="6" t="n"/>
      <c r="F1421" s="8" t="n"/>
    </row>
    <row r="1422">
      <c r="A1422" s="7" t="n"/>
      <c r="B1422" s="8" t="n"/>
      <c r="C1422" s="9">
        <f>IF(B1422="","",IFERROR(VLOOKUP(B1422,'Daftar Outlet'!$A$4:$B$22,2,FALSE),""))</f>
        <v/>
      </c>
      <c r="D1422" s="8" t="n"/>
      <c r="E1422" s="6" t="n"/>
      <c r="F1422" s="8" t="n"/>
    </row>
    <row r="1423">
      <c r="A1423" s="7" t="n"/>
      <c r="B1423" s="8" t="n"/>
      <c r="C1423" s="9">
        <f>IF(B1423="","",IFERROR(VLOOKUP(B1423,'Daftar Outlet'!$A$4:$B$22,2,FALSE),""))</f>
        <v/>
      </c>
      <c r="D1423" s="8" t="n"/>
      <c r="E1423" s="6" t="n"/>
      <c r="F1423" s="8" t="n"/>
    </row>
    <row r="1424">
      <c r="A1424" s="7" t="n"/>
      <c r="B1424" s="8" t="n"/>
      <c r="C1424" s="9">
        <f>IF(B1424="","",IFERROR(VLOOKUP(B1424,'Daftar Outlet'!$A$4:$B$22,2,FALSE),""))</f>
        <v/>
      </c>
      <c r="D1424" s="8" t="n"/>
      <c r="E1424" s="6" t="n"/>
      <c r="F1424" s="8" t="n"/>
    </row>
    <row r="1425">
      <c r="A1425" s="7" t="n"/>
      <c r="B1425" s="8" t="n"/>
      <c r="C1425" s="9">
        <f>IF(B1425="","",IFERROR(VLOOKUP(B1425,'Daftar Outlet'!$A$4:$B$22,2,FALSE),""))</f>
        <v/>
      </c>
      <c r="D1425" s="8" t="n"/>
      <c r="E1425" s="6" t="n"/>
      <c r="F1425" s="8" t="n"/>
    </row>
    <row r="1426">
      <c r="A1426" s="7" t="n"/>
      <c r="B1426" s="8" t="n"/>
      <c r="C1426" s="9">
        <f>IF(B1426="","",IFERROR(VLOOKUP(B1426,'Daftar Outlet'!$A$4:$B$22,2,FALSE),""))</f>
        <v/>
      </c>
      <c r="D1426" s="8" t="n"/>
      <c r="E1426" s="6" t="n"/>
      <c r="F1426" s="8" t="n"/>
    </row>
    <row r="1427">
      <c r="A1427" s="7" t="n"/>
      <c r="B1427" s="8" t="n"/>
      <c r="C1427" s="9">
        <f>IF(B1427="","",IFERROR(VLOOKUP(B1427,'Daftar Outlet'!$A$4:$B$22,2,FALSE),""))</f>
        <v/>
      </c>
      <c r="D1427" s="8" t="n"/>
      <c r="E1427" s="6" t="n"/>
      <c r="F1427" s="8" t="n"/>
    </row>
    <row r="1428">
      <c r="A1428" s="7" t="n"/>
      <c r="B1428" s="8" t="n"/>
      <c r="C1428" s="9">
        <f>IF(B1428="","",IFERROR(VLOOKUP(B1428,'Daftar Outlet'!$A$4:$B$22,2,FALSE),""))</f>
        <v/>
      </c>
      <c r="D1428" s="8" t="n"/>
      <c r="E1428" s="6" t="n"/>
      <c r="F1428" s="8" t="n"/>
    </row>
    <row r="1429">
      <c r="A1429" s="7" t="n"/>
      <c r="B1429" s="8" t="n"/>
      <c r="C1429" s="9">
        <f>IF(B1429="","",IFERROR(VLOOKUP(B1429,'Daftar Outlet'!$A$4:$B$22,2,FALSE),""))</f>
        <v/>
      </c>
      <c r="D1429" s="8" t="n"/>
      <c r="E1429" s="6" t="n"/>
      <c r="F1429" s="8" t="n"/>
    </row>
    <row r="1430">
      <c r="A1430" s="7" t="n"/>
      <c r="B1430" s="8" t="n"/>
      <c r="C1430" s="9">
        <f>IF(B1430="","",IFERROR(VLOOKUP(B1430,'Daftar Outlet'!$A$4:$B$22,2,FALSE),""))</f>
        <v/>
      </c>
      <c r="D1430" s="8" t="n"/>
      <c r="E1430" s="6" t="n"/>
      <c r="F1430" s="8" t="n"/>
    </row>
    <row r="1431">
      <c r="A1431" s="7" t="n"/>
      <c r="B1431" s="8" t="n"/>
      <c r="C1431" s="9">
        <f>IF(B1431="","",IFERROR(VLOOKUP(B1431,'Daftar Outlet'!$A$4:$B$22,2,FALSE),""))</f>
        <v/>
      </c>
      <c r="D1431" s="8" t="n"/>
      <c r="E1431" s="6" t="n"/>
      <c r="F1431" s="8" t="n"/>
    </row>
    <row r="1432">
      <c r="A1432" s="7" t="n"/>
      <c r="B1432" s="8" t="n"/>
      <c r="C1432" s="9">
        <f>IF(B1432="","",IFERROR(VLOOKUP(B1432,'Daftar Outlet'!$A$4:$B$22,2,FALSE),""))</f>
        <v/>
      </c>
      <c r="D1432" s="8" t="n"/>
      <c r="E1432" s="6" t="n"/>
      <c r="F1432" s="8" t="n"/>
    </row>
    <row r="1433">
      <c r="A1433" s="7" t="n"/>
      <c r="B1433" s="8" t="n"/>
      <c r="C1433" s="9">
        <f>IF(B1433="","",IFERROR(VLOOKUP(B1433,'Daftar Outlet'!$A$4:$B$22,2,FALSE),""))</f>
        <v/>
      </c>
      <c r="D1433" s="8" t="n"/>
      <c r="E1433" s="6" t="n"/>
      <c r="F1433" s="8" t="n"/>
    </row>
    <row r="1434">
      <c r="A1434" s="7" t="n"/>
      <c r="B1434" s="8" t="n"/>
      <c r="C1434" s="9">
        <f>IF(B1434="","",IFERROR(VLOOKUP(B1434,'Daftar Outlet'!$A$4:$B$22,2,FALSE),""))</f>
        <v/>
      </c>
      <c r="D1434" s="8" t="n"/>
      <c r="E1434" s="6" t="n"/>
      <c r="F1434" s="8" t="n"/>
    </row>
    <row r="1435">
      <c r="A1435" s="7" t="n"/>
      <c r="B1435" s="8" t="n"/>
      <c r="C1435" s="9">
        <f>IF(B1435="","",IFERROR(VLOOKUP(B1435,'Daftar Outlet'!$A$4:$B$22,2,FALSE),""))</f>
        <v/>
      </c>
      <c r="D1435" s="8" t="n"/>
      <c r="E1435" s="6" t="n"/>
      <c r="F1435" s="8" t="n"/>
    </row>
    <row r="1436">
      <c r="A1436" s="7" t="n"/>
      <c r="B1436" s="8" t="n"/>
      <c r="C1436" s="9">
        <f>IF(B1436="","",IFERROR(VLOOKUP(B1436,'Daftar Outlet'!$A$4:$B$22,2,FALSE),""))</f>
        <v/>
      </c>
      <c r="D1436" s="8" t="n"/>
      <c r="E1436" s="6" t="n"/>
      <c r="F1436" s="8" t="n"/>
    </row>
    <row r="1437">
      <c r="A1437" s="7" t="n"/>
      <c r="B1437" s="8" t="n"/>
      <c r="C1437" s="9">
        <f>IF(B1437="","",IFERROR(VLOOKUP(B1437,'Daftar Outlet'!$A$4:$B$22,2,FALSE),""))</f>
        <v/>
      </c>
      <c r="D1437" s="8" t="n"/>
      <c r="E1437" s="6" t="n"/>
      <c r="F1437" s="8" t="n"/>
    </row>
    <row r="1438">
      <c r="A1438" s="7" t="n"/>
      <c r="B1438" s="8" t="n"/>
      <c r="C1438" s="9">
        <f>IF(B1438="","",IFERROR(VLOOKUP(B1438,'Daftar Outlet'!$A$4:$B$22,2,FALSE),""))</f>
        <v/>
      </c>
      <c r="D1438" s="8" t="n"/>
      <c r="E1438" s="6" t="n"/>
      <c r="F1438" s="8" t="n"/>
    </row>
    <row r="1439">
      <c r="A1439" s="7" t="n"/>
      <c r="B1439" s="8" t="n"/>
      <c r="C1439" s="9">
        <f>IF(B1439="","",IFERROR(VLOOKUP(B1439,'Daftar Outlet'!$A$4:$B$22,2,FALSE),""))</f>
        <v/>
      </c>
      <c r="D1439" s="8" t="n"/>
      <c r="E1439" s="6" t="n"/>
      <c r="F1439" s="8" t="n"/>
    </row>
    <row r="1440">
      <c r="A1440" s="7" t="n"/>
      <c r="B1440" s="8" t="n"/>
      <c r="C1440" s="9">
        <f>IF(B1440="","",IFERROR(VLOOKUP(B1440,'Daftar Outlet'!$A$4:$B$22,2,FALSE),""))</f>
        <v/>
      </c>
      <c r="D1440" s="8" t="n"/>
      <c r="E1440" s="6" t="n"/>
      <c r="F1440" s="8" t="n"/>
    </row>
    <row r="1441">
      <c r="A1441" s="7" t="n"/>
      <c r="B1441" s="8" t="n"/>
      <c r="C1441" s="9">
        <f>IF(B1441="","",IFERROR(VLOOKUP(B1441,'Daftar Outlet'!$A$4:$B$22,2,FALSE),""))</f>
        <v/>
      </c>
      <c r="D1441" s="8" t="n"/>
      <c r="E1441" s="6" t="n"/>
      <c r="F1441" s="8" t="n"/>
    </row>
    <row r="1442">
      <c r="A1442" s="7" t="n"/>
      <c r="B1442" s="8" t="n"/>
      <c r="C1442" s="9">
        <f>IF(B1442="","",IFERROR(VLOOKUP(B1442,'Daftar Outlet'!$A$4:$B$22,2,FALSE),""))</f>
        <v/>
      </c>
      <c r="D1442" s="8" t="n"/>
      <c r="E1442" s="6" t="n"/>
      <c r="F1442" s="8" t="n"/>
    </row>
    <row r="1443">
      <c r="A1443" s="7" t="n"/>
      <c r="B1443" s="8" t="n"/>
      <c r="C1443" s="9">
        <f>IF(B1443="","",IFERROR(VLOOKUP(B1443,'Daftar Outlet'!$A$4:$B$22,2,FALSE),""))</f>
        <v/>
      </c>
      <c r="D1443" s="8" t="n"/>
      <c r="E1443" s="6" t="n"/>
      <c r="F1443" s="8" t="n"/>
    </row>
    <row r="1444">
      <c r="A1444" s="7" t="n"/>
      <c r="B1444" s="8" t="n"/>
      <c r="C1444" s="9">
        <f>IF(B1444="","",IFERROR(VLOOKUP(B1444,'Daftar Outlet'!$A$4:$B$22,2,FALSE),""))</f>
        <v/>
      </c>
      <c r="D1444" s="8" t="n"/>
      <c r="E1444" s="6" t="n"/>
      <c r="F1444" s="8" t="n"/>
    </row>
    <row r="1445">
      <c r="A1445" s="7" t="n"/>
      <c r="B1445" s="8" t="n"/>
      <c r="C1445" s="9">
        <f>IF(B1445="","",IFERROR(VLOOKUP(B1445,'Daftar Outlet'!$A$4:$B$22,2,FALSE),""))</f>
        <v/>
      </c>
      <c r="D1445" s="8" t="n"/>
      <c r="E1445" s="6" t="n"/>
      <c r="F1445" s="8" t="n"/>
    </row>
    <row r="1446">
      <c r="A1446" s="7" t="n"/>
      <c r="B1446" s="8" t="n"/>
      <c r="C1446" s="9">
        <f>IF(B1446="","",IFERROR(VLOOKUP(B1446,'Daftar Outlet'!$A$4:$B$22,2,FALSE),""))</f>
        <v/>
      </c>
      <c r="D1446" s="8" t="n"/>
      <c r="E1446" s="6" t="n"/>
      <c r="F1446" s="8" t="n"/>
    </row>
    <row r="1447">
      <c r="A1447" s="7" t="n"/>
      <c r="B1447" s="8" t="n"/>
      <c r="C1447" s="9">
        <f>IF(B1447="","",IFERROR(VLOOKUP(B1447,'Daftar Outlet'!$A$4:$B$22,2,FALSE),""))</f>
        <v/>
      </c>
      <c r="D1447" s="8" t="n"/>
      <c r="E1447" s="6" t="n"/>
      <c r="F1447" s="8" t="n"/>
    </row>
    <row r="1448">
      <c r="A1448" s="7" t="n"/>
      <c r="B1448" s="8" t="n"/>
      <c r="C1448" s="9">
        <f>IF(B1448="","",IFERROR(VLOOKUP(B1448,'Daftar Outlet'!$A$4:$B$22,2,FALSE),""))</f>
        <v/>
      </c>
      <c r="D1448" s="8" t="n"/>
      <c r="E1448" s="6" t="n"/>
      <c r="F1448" s="8" t="n"/>
    </row>
    <row r="1449">
      <c r="A1449" s="7" t="n"/>
      <c r="B1449" s="8" t="n"/>
      <c r="C1449" s="9">
        <f>IF(B1449="","",IFERROR(VLOOKUP(B1449,'Daftar Outlet'!$A$4:$B$22,2,FALSE),""))</f>
        <v/>
      </c>
      <c r="D1449" s="8" t="n"/>
      <c r="E1449" s="6" t="n"/>
      <c r="F1449" s="8" t="n"/>
    </row>
    <row r="1450">
      <c r="A1450" s="7" t="n"/>
      <c r="B1450" s="8" t="n"/>
      <c r="C1450" s="9">
        <f>IF(B1450="","",IFERROR(VLOOKUP(B1450,'Daftar Outlet'!$A$4:$B$22,2,FALSE),""))</f>
        <v/>
      </c>
      <c r="D1450" s="8" t="n"/>
      <c r="E1450" s="6" t="n"/>
      <c r="F1450" s="8" t="n"/>
    </row>
    <row r="1451">
      <c r="A1451" s="7" t="n"/>
      <c r="B1451" s="8" t="n"/>
      <c r="C1451" s="9">
        <f>IF(B1451="","",IFERROR(VLOOKUP(B1451,'Daftar Outlet'!$A$4:$B$22,2,FALSE),""))</f>
        <v/>
      </c>
      <c r="D1451" s="8" t="n"/>
      <c r="E1451" s="6" t="n"/>
      <c r="F1451" s="8" t="n"/>
    </row>
    <row r="1452">
      <c r="A1452" s="7" t="n"/>
      <c r="B1452" s="8" t="n"/>
      <c r="C1452" s="9">
        <f>IF(B1452="","",IFERROR(VLOOKUP(B1452,'Daftar Outlet'!$A$4:$B$22,2,FALSE),""))</f>
        <v/>
      </c>
      <c r="D1452" s="8" t="n"/>
      <c r="E1452" s="6" t="n"/>
      <c r="F1452" s="8" t="n"/>
    </row>
    <row r="1453">
      <c r="A1453" s="7" t="n"/>
      <c r="B1453" s="8" t="n"/>
      <c r="C1453" s="9">
        <f>IF(B1453="","",IFERROR(VLOOKUP(B1453,'Daftar Outlet'!$A$4:$B$22,2,FALSE),""))</f>
        <v/>
      </c>
      <c r="D1453" s="8" t="n"/>
      <c r="E1453" s="6" t="n"/>
      <c r="F1453" s="8" t="n"/>
    </row>
    <row r="1454">
      <c r="A1454" s="7" t="n"/>
      <c r="B1454" s="8" t="n"/>
      <c r="C1454" s="9">
        <f>IF(B1454="","",IFERROR(VLOOKUP(B1454,'Daftar Outlet'!$A$4:$B$22,2,FALSE),""))</f>
        <v/>
      </c>
      <c r="D1454" s="8" t="n"/>
      <c r="E1454" s="6" t="n"/>
      <c r="F1454" s="8" t="n"/>
    </row>
    <row r="1455">
      <c r="A1455" s="7" t="n"/>
      <c r="B1455" s="8" t="n"/>
      <c r="C1455" s="9">
        <f>IF(B1455="","",IFERROR(VLOOKUP(B1455,'Daftar Outlet'!$A$4:$B$22,2,FALSE),""))</f>
        <v/>
      </c>
      <c r="D1455" s="8" t="n"/>
      <c r="E1455" s="6" t="n"/>
      <c r="F1455" s="8" t="n"/>
    </row>
    <row r="1456">
      <c r="A1456" s="7" t="n"/>
      <c r="B1456" s="8" t="n"/>
      <c r="C1456" s="9">
        <f>IF(B1456="","",IFERROR(VLOOKUP(B1456,'Daftar Outlet'!$A$4:$B$22,2,FALSE),""))</f>
        <v/>
      </c>
      <c r="D1456" s="8" t="n"/>
      <c r="E1456" s="6" t="n"/>
      <c r="F1456" s="8" t="n"/>
    </row>
    <row r="1457">
      <c r="A1457" s="7" t="n"/>
      <c r="B1457" s="8" t="n"/>
      <c r="C1457" s="9">
        <f>IF(B1457="","",IFERROR(VLOOKUP(B1457,'Daftar Outlet'!$A$4:$B$22,2,FALSE),""))</f>
        <v/>
      </c>
      <c r="D1457" s="8" t="n"/>
      <c r="E1457" s="6" t="n"/>
      <c r="F1457" s="8" t="n"/>
    </row>
    <row r="1458">
      <c r="A1458" s="7" t="n"/>
      <c r="B1458" s="8" t="n"/>
      <c r="C1458" s="9">
        <f>IF(B1458="","",IFERROR(VLOOKUP(B1458,'Daftar Outlet'!$A$4:$B$22,2,FALSE),""))</f>
        <v/>
      </c>
      <c r="D1458" s="8" t="n"/>
      <c r="E1458" s="6" t="n"/>
      <c r="F1458" s="8" t="n"/>
    </row>
    <row r="1459">
      <c r="A1459" s="7" t="n"/>
      <c r="B1459" s="8" t="n"/>
      <c r="C1459" s="9">
        <f>IF(B1459="","",IFERROR(VLOOKUP(B1459,'Daftar Outlet'!$A$4:$B$22,2,FALSE),""))</f>
        <v/>
      </c>
      <c r="D1459" s="8" t="n"/>
      <c r="E1459" s="6" t="n"/>
      <c r="F1459" s="8" t="n"/>
    </row>
    <row r="1460">
      <c r="A1460" s="7" t="n"/>
      <c r="B1460" s="8" t="n"/>
      <c r="C1460" s="9">
        <f>IF(B1460="","",IFERROR(VLOOKUP(B1460,'Daftar Outlet'!$A$4:$B$22,2,FALSE),""))</f>
        <v/>
      </c>
      <c r="D1460" s="8" t="n"/>
      <c r="E1460" s="6" t="n"/>
      <c r="F1460" s="8" t="n"/>
    </row>
    <row r="1461">
      <c r="A1461" s="7" t="n"/>
      <c r="B1461" s="8" t="n"/>
      <c r="C1461" s="9">
        <f>IF(B1461="","",IFERROR(VLOOKUP(B1461,'Daftar Outlet'!$A$4:$B$22,2,FALSE),""))</f>
        <v/>
      </c>
      <c r="D1461" s="8" t="n"/>
      <c r="E1461" s="6" t="n"/>
      <c r="F1461" s="8" t="n"/>
    </row>
    <row r="1462">
      <c r="A1462" s="7" t="n"/>
      <c r="B1462" s="8" t="n"/>
      <c r="C1462" s="9">
        <f>IF(B1462="","",IFERROR(VLOOKUP(B1462,'Daftar Outlet'!$A$4:$B$22,2,FALSE),""))</f>
        <v/>
      </c>
      <c r="D1462" s="8" t="n"/>
      <c r="E1462" s="6" t="n"/>
      <c r="F1462" s="8" t="n"/>
    </row>
    <row r="1463">
      <c r="A1463" s="7" t="n"/>
      <c r="B1463" s="8" t="n"/>
      <c r="C1463" s="9">
        <f>IF(B1463="","",IFERROR(VLOOKUP(B1463,'Daftar Outlet'!$A$4:$B$22,2,FALSE),""))</f>
        <v/>
      </c>
      <c r="D1463" s="8" t="n"/>
      <c r="E1463" s="6" t="n"/>
      <c r="F1463" s="8" t="n"/>
    </row>
    <row r="1464">
      <c r="A1464" s="7" t="n"/>
      <c r="B1464" s="8" t="n"/>
      <c r="C1464" s="9">
        <f>IF(B1464="","",IFERROR(VLOOKUP(B1464,'Daftar Outlet'!$A$4:$B$22,2,FALSE),""))</f>
        <v/>
      </c>
      <c r="D1464" s="8" t="n"/>
      <c r="E1464" s="6" t="n"/>
      <c r="F1464" s="8" t="n"/>
    </row>
    <row r="1465">
      <c r="A1465" s="7" t="n"/>
      <c r="B1465" s="8" t="n"/>
      <c r="C1465" s="9">
        <f>IF(B1465="","",IFERROR(VLOOKUP(B1465,'Daftar Outlet'!$A$4:$B$22,2,FALSE),""))</f>
        <v/>
      </c>
      <c r="D1465" s="8" t="n"/>
      <c r="E1465" s="6" t="n"/>
      <c r="F1465" s="8" t="n"/>
    </row>
    <row r="1466">
      <c r="A1466" s="7" t="n"/>
      <c r="B1466" s="8" t="n"/>
      <c r="C1466" s="9">
        <f>IF(B1466="","",IFERROR(VLOOKUP(B1466,'Daftar Outlet'!$A$4:$B$22,2,FALSE),""))</f>
        <v/>
      </c>
      <c r="D1466" s="8" t="n"/>
      <c r="E1466" s="6" t="n"/>
      <c r="F1466" s="8" t="n"/>
    </row>
    <row r="1467">
      <c r="A1467" s="7" t="n"/>
      <c r="B1467" s="8" t="n"/>
      <c r="C1467" s="9">
        <f>IF(B1467="","",IFERROR(VLOOKUP(B1467,'Daftar Outlet'!$A$4:$B$22,2,FALSE),""))</f>
        <v/>
      </c>
      <c r="D1467" s="8" t="n"/>
      <c r="E1467" s="6" t="n"/>
      <c r="F1467" s="8" t="n"/>
    </row>
    <row r="1468">
      <c r="A1468" s="7" t="n"/>
      <c r="B1468" s="8" t="n"/>
      <c r="C1468" s="9">
        <f>IF(B1468="","",IFERROR(VLOOKUP(B1468,'Daftar Outlet'!$A$4:$B$22,2,FALSE),""))</f>
        <v/>
      </c>
      <c r="D1468" s="8" t="n"/>
      <c r="E1468" s="6" t="n"/>
      <c r="F1468" s="8" t="n"/>
    </row>
    <row r="1469">
      <c r="A1469" s="7" t="n"/>
      <c r="B1469" s="8" t="n"/>
      <c r="C1469" s="9">
        <f>IF(B1469="","",IFERROR(VLOOKUP(B1469,'Daftar Outlet'!$A$4:$B$22,2,FALSE),""))</f>
        <v/>
      </c>
      <c r="D1469" s="8" t="n"/>
      <c r="E1469" s="6" t="n"/>
      <c r="F1469" s="8" t="n"/>
    </row>
    <row r="1470">
      <c r="A1470" s="7" t="n"/>
      <c r="B1470" s="8" t="n"/>
      <c r="C1470" s="9">
        <f>IF(B1470="","",IFERROR(VLOOKUP(B1470,'Daftar Outlet'!$A$4:$B$22,2,FALSE),""))</f>
        <v/>
      </c>
      <c r="D1470" s="8" t="n"/>
      <c r="E1470" s="6" t="n"/>
      <c r="F1470" s="8" t="n"/>
    </row>
    <row r="1471">
      <c r="A1471" s="7" t="n"/>
      <c r="B1471" s="8" t="n"/>
      <c r="C1471" s="9">
        <f>IF(B1471="","",IFERROR(VLOOKUP(B1471,'Daftar Outlet'!$A$4:$B$22,2,FALSE),""))</f>
        <v/>
      </c>
      <c r="D1471" s="8" t="n"/>
      <c r="E1471" s="6" t="n"/>
      <c r="F1471" s="8" t="n"/>
    </row>
    <row r="1472">
      <c r="A1472" s="7" t="n"/>
      <c r="B1472" s="8" t="n"/>
      <c r="C1472" s="9">
        <f>IF(B1472="","",IFERROR(VLOOKUP(B1472,'Daftar Outlet'!$A$4:$B$22,2,FALSE),""))</f>
        <v/>
      </c>
      <c r="D1472" s="8" t="n"/>
      <c r="E1472" s="6" t="n"/>
      <c r="F1472" s="8" t="n"/>
    </row>
    <row r="1473">
      <c r="A1473" s="7" t="n"/>
      <c r="B1473" s="8" t="n"/>
      <c r="C1473" s="9">
        <f>IF(B1473="","",IFERROR(VLOOKUP(B1473,'Daftar Outlet'!$A$4:$B$22,2,FALSE),""))</f>
        <v/>
      </c>
      <c r="D1473" s="8" t="n"/>
      <c r="E1473" s="6" t="n"/>
      <c r="F1473" s="8" t="n"/>
    </row>
    <row r="1474">
      <c r="A1474" s="7" t="n"/>
      <c r="B1474" s="8" t="n"/>
      <c r="C1474" s="9">
        <f>IF(B1474="","",IFERROR(VLOOKUP(B1474,'Daftar Outlet'!$A$4:$B$22,2,FALSE),""))</f>
        <v/>
      </c>
      <c r="D1474" s="8" t="n"/>
      <c r="E1474" s="6" t="n"/>
      <c r="F1474" s="8" t="n"/>
    </row>
    <row r="1475">
      <c r="A1475" s="7" t="n"/>
      <c r="B1475" s="8" t="n"/>
      <c r="C1475" s="9">
        <f>IF(B1475="","",IFERROR(VLOOKUP(B1475,'Daftar Outlet'!$A$4:$B$22,2,FALSE),""))</f>
        <v/>
      </c>
      <c r="D1475" s="8" t="n"/>
      <c r="E1475" s="6" t="n"/>
      <c r="F1475" s="8" t="n"/>
    </row>
    <row r="1476">
      <c r="A1476" s="7" t="n"/>
      <c r="B1476" s="8" t="n"/>
      <c r="C1476" s="9">
        <f>IF(B1476="","",IFERROR(VLOOKUP(B1476,'Daftar Outlet'!$A$4:$B$22,2,FALSE),""))</f>
        <v/>
      </c>
      <c r="D1476" s="8" t="n"/>
      <c r="E1476" s="6" t="n"/>
      <c r="F1476" s="8" t="n"/>
    </row>
    <row r="1477">
      <c r="A1477" s="7" t="n"/>
      <c r="B1477" s="8" t="n"/>
      <c r="C1477" s="9">
        <f>IF(B1477="","",IFERROR(VLOOKUP(B1477,'Daftar Outlet'!$A$4:$B$22,2,FALSE),""))</f>
        <v/>
      </c>
      <c r="D1477" s="8" t="n"/>
      <c r="E1477" s="6" t="n"/>
      <c r="F1477" s="8" t="n"/>
    </row>
    <row r="1478">
      <c r="A1478" s="7" t="n"/>
      <c r="B1478" s="8" t="n"/>
      <c r="C1478" s="9">
        <f>IF(B1478="","",IFERROR(VLOOKUP(B1478,'Daftar Outlet'!$A$4:$B$22,2,FALSE),""))</f>
        <v/>
      </c>
      <c r="D1478" s="8" t="n"/>
      <c r="E1478" s="6" t="n"/>
      <c r="F1478" s="8" t="n"/>
    </row>
    <row r="1479">
      <c r="A1479" s="7" t="n"/>
      <c r="B1479" s="8" t="n"/>
      <c r="C1479" s="9">
        <f>IF(B1479="","",IFERROR(VLOOKUP(B1479,'Daftar Outlet'!$A$4:$B$22,2,FALSE),""))</f>
        <v/>
      </c>
      <c r="D1479" s="8" t="n"/>
      <c r="E1479" s="6" t="n"/>
      <c r="F1479" s="8" t="n"/>
    </row>
    <row r="1480">
      <c r="A1480" s="7" t="n"/>
      <c r="B1480" s="8" t="n"/>
      <c r="C1480" s="9">
        <f>IF(B1480="","",IFERROR(VLOOKUP(B1480,'Daftar Outlet'!$A$4:$B$22,2,FALSE),""))</f>
        <v/>
      </c>
      <c r="D1480" s="8" t="n"/>
      <c r="E1480" s="6" t="n"/>
      <c r="F1480" s="8" t="n"/>
    </row>
    <row r="1481">
      <c r="A1481" s="7" t="n"/>
      <c r="B1481" s="8" t="n"/>
      <c r="C1481" s="9">
        <f>IF(B1481="","",IFERROR(VLOOKUP(B1481,'Daftar Outlet'!$A$4:$B$22,2,FALSE),""))</f>
        <v/>
      </c>
      <c r="D1481" s="8" t="n"/>
      <c r="E1481" s="6" t="n"/>
      <c r="F1481" s="8" t="n"/>
    </row>
    <row r="1482">
      <c r="A1482" s="7" t="n"/>
      <c r="B1482" s="8" t="n"/>
      <c r="C1482" s="9">
        <f>IF(B1482="","",IFERROR(VLOOKUP(B1482,'Daftar Outlet'!$A$4:$B$22,2,FALSE),""))</f>
        <v/>
      </c>
      <c r="D1482" s="8" t="n"/>
      <c r="E1482" s="6" t="n"/>
      <c r="F1482" s="8" t="n"/>
    </row>
    <row r="1483">
      <c r="A1483" s="7" t="n"/>
      <c r="B1483" s="8" t="n"/>
      <c r="C1483" s="9">
        <f>IF(B1483="","",IFERROR(VLOOKUP(B1483,'Daftar Outlet'!$A$4:$B$22,2,FALSE),""))</f>
        <v/>
      </c>
      <c r="D1483" s="8" t="n"/>
      <c r="E1483" s="6" t="n"/>
      <c r="F1483" s="8" t="n"/>
    </row>
    <row r="1484">
      <c r="A1484" s="7" t="n"/>
      <c r="B1484" s="8" t="n"/>
      <c r="C1484" s="9">
        <f>IF(B1484="","",IFERROR(VLOOKUP(B1484,'Daftar Outlet'!$A$4:$B$22,2,FALSE),""))</f>
        <v/>
      </c>
      <c r="D1484" s="8" t="n"/>
      <c r="E1484" s="6" t="n"/>
      <c r="F1484" s="8" t="n"/>
    </row>
    <row r="1485">
      <c r="A1485" s="7" t="n"/>
      <c r="B1485" s="8" t="n"/>
      <c r="C1485" s="9">
        <f>IF(B1485="","",IFERROR(VLOOKUP(B1485,'Daftar Outlet'!$A$4:$B$22,2,FALSE),""))</f>
        <v/>
      </c>
      <c r="D1485" s="8" t="n"/>
      <c r="E1485" s="6" t="n"/>
      <c r="F1485" s="8" t="n"/>
    </row>
    <row r="1486">
      <c r="A1486" s="7" t="n"/>
      <c r="B1486" s="8" t="n"/>
      <c r="C1486" s="9">
        <f>IF(B1486="","",IFERROR(VLOOKUP(B1486,'Daftar Outlet'!$A$4:$B$22,2,FALSE),""))</f>
        <v/>
      </c>
      <c r="D1486" s="8" t="n"/>
      <c r="E1486" s="6" t="n"/>
      <c r="F1486" s="8" t="n"/>
    </row>
    <row r="1487">
      <c r="A1487" s="7" t="n"/>
      <c r="B1487" s="8" t="n"/>
      <c r="C1487" s="9">
        <f>IF(B1487="","",IFERROR(VLOOKUP(B1487,'Daftar Outlet'!$A$4:$B$22,2,FALSE),""))</f>
        <v/>
      </c>
      <c r="D1487" s="8" t="n"/>
      <c r="E1487" s="6" t="n"/>
      <c r="F1487" s="8" t="n"/>
    </row>
    <row r="1488">
      <c r="A1488" s="7" t="n"/>
      <c r="B1488" s="8" t="n"/>
      <c r="C1488" s="9">
        <f>IF(B1488="","",IFERROR(VLOOKUP(B1488,'Daftar Outlet'!$A$4:$B$22,2,FALSE),""))</f>
        <v/>
      </c>
      <c r="D1488" s="8" t="n"/>
      <c r="E1488" s="6" t="n"/>
      <c r="F1488" s="8" t="n"/>
    </row>
    <row r="1489">
      <c r="A1489" s="7" t="n"/>
      <c r="B1489" s="8" t="n"/>
      <c r="C1489" s="9">
        <f>IF(B1489="","",IFERROR(VLOOKUP(B1489,'Daftar Outlet'!$A$4:$B$22,2,FALSE),""))</f>
        <v/>
      </c>
      <c r="D1489" s="8" t="n"/>
      <c r="E1489" s="6" t="n"/>
      <c r="F1489" s="8" t="n"/>
    </row>
    <row r="1490">
      <c r="A1490" s="7" t="n"/>
      <c r="B1490" s="8" t="n"/>
      <c r="C1490" s="9">
        <f>IF(B1490="","",IFERROR(VLOOKUP(B1490,'Daftar Outlet'!$A$4:$B$22,2,FALSE),""))</f>
        <v/>
      </c>
      <c r="D1490" s="8" t="n"/>
      <c r="E1490" s="6" t="n"/>
      <c r="F1490" s="8" t="n"/>
    </row>
    <row r="1491">
      <c r="A1491" s="7" t="n"/>
      <c r="B1491" s="8" t="n"/>
      <c r="C1491" s="9">
        <f>IF(B1491="","",IFERROR(VLOOKUP(B1491,'Daftar Outlet'!$A$4:$B$22,2,FALSE),""))</f>
        <v/>
      </c>
      <c r="D1491" s="8" t="n"/>
      <c r="E1491" s="6" t="n"/>
      <c r="F1491" s="8" t="n"/>
    </row>
    <row r="1492">
      <c r="A1492" s="7" t="n"/>
      <c r="B1492" s="8" t="n"/>
      <c r="C1492" s="9">
        <f>IF(B1492="","",IFERROR(VLOOKUP(B1492,'Daftar Outlet'!$A$4:$B$22,2,FALSE),""))</f>
        <v/>
      </c>
      <c r="D1492" s="8" t="n"/>
      <c r="E1492" s="6" t="n"/>
      <c r="F1492" s="8" t="n"/>
    </row>
    <row r="1493">
      <c r="A1493" s="7" t="n"/>
      <c r="B1493" s="8" t="n"/>
      <c r="C1493" s="9">
        <f>IF(B1493="","",IFERROR(VLOOKUP(B1493,'Daftar Outlet'!$A$4:$B$22,2,FALSE),""))</f>
        <v/>
      </c>
      <c r="D1493" s="8" t="n"/>
      <c r="E1493" s="6" t="n"/>
      <c r="F1493" s="8" t="n"/>
    </row>
    <row r="1494">
      <c r="A1494" s="7" t="n"/>
      <c r="B1494" s="8" t="n"/>
      <c r="C1494" s="9">
        <f>IF(B1494="","",IFERROR(VLOOKUP(B1494,'Daftar Outlet'!$A$4:$B$22,2,FALSE),""))</f>
        <v/>
      </c>
      <c r="D1494" s="8" t="n"/>
      <c r="E1494" s="6" t="n"/>
      <c r="F1494" s="8" t="n"/>
    </row>
    <row r="1495">
      <c r="A1495" s="7" t="n"/>
      <c r="B1495" s="8" t="n"/>
      <c r="C1495" s="9">
        <f>IF(B1495="","",IFERROR(VLOOKUP(B1495,'Daftar Outlet'!$A$4:$B$22,2,FALSE),""))</f>
        <v/>
      </c>
      <c r="D1495" s="8" t="n"/>
      <c r="E1495" s="6" t="n"/>
      <c r="F1495" s="8" t="n"/>
    </row>
    <row r="1496">
      <c r="A1496" s="7" t="n"/>
      <c r="B1496" s="8" t="n"/>
      <c r="C1496" s="9">
        <f>IF(B1496="","",IFERROR(VLOOKUP(B1496,'Daftar Outlet'!$A$4:$B$22,2,FALSE),""))</f>
        <v/>
      </c>
      <c r="D1496" s="8" t="n"/>
      <c r="E1496" s="6" t="n"/>
      <c r="F1496" s="8" t="n"/>
    </row>
    <row r="1497">
      <c r="A1497" s="7" t="n"/>
      <c r="B1497" s="8" t="n"/>
      <c r="C1497" s="9">
        <f>IF(B1497="","",IFERROR(VLOOKUP(B1497,'Daftar Outlet'!$A$4:$B$22,2,FALSE),""))</f>
        <v/>
      </c>
      <c r="D1497" s="8" t="n"/>
      <c r="E1497" s="6" t="n"/>
      <c r="F1497" s="8" t="n"/>
    </row>
    <row r="1498">
      <c r="A1498" s="7" t="n"/>
      <c r="B1498" s="8" t="n"/>
      <c r="C1498" s="9">
        <f>IF(B1498="","",IFERROR(VLOOKUP(B1498,'Daftar Outlet'!$A$4:$B$22,2,FALSE),""))</f>
        <v/>
      </c>
      <c r="D1498" s="8" t="n"/>
      <c r="E1498" s="6" t="n"/>
      <c r="F1498" s="8" t="n"/>
    </row>
    <row r="1499">
      <c r="A1499" s="7" t="n"/>
      <c r="B1499" s="8" t="n"/>
      <c r="C1499" s="9">
        <f>IF(B1499="","",IFERROR(VLOOKUP(B1499,'Daftar Outlet'!$A$4:$B$22,2,FALSE),""))</f>
        <v/>
      </c>
      <c r="D1499" s="8" t="n"/>
      <c r="E1499" s="6" t="n"/>
      <c r="F1499" s="8" t="n"/>
    </row>
    <row r="1500">
      <c r="A1500" s="7" t="n"/>
      <c r="B1500" s="8" t="n"/>
      <c r="C1500" s="9">
        <f>IF(B1500="","",IFERROR(VLOOKUP(B1500,'Daftar Outlet'!$A$4:$B$22,2,FALSE),""))</f>
        <v/>
      </c>
      <c r="D1500" s="8" t="n"/>
      <c r="E1500" s="6" t="n"/>
      <c r="F1500" s="8" t="n"/>
    </row>
    <row r="1501">
      <c r="A1501" s="7" t="n"/>
      <c r="B1501" s="8" t="n"/>
      <c r="C1501" s="9">
        <f>IF(B1501="","",IFERROR(VLOOKUP(B1501,'Daftar Outlet'!$A$4:$B$22,2,FALSE),""))</f>
        <v/>
      </c>
      <c r="D1501" s="8" t="n"/>
      <c r="E1501" s="6" t="n"/>
      <c r="F1501" s="8" t="n"/>
    </row>
    <row r="1502">
      <c r="A1502" s="7" t="n"/>
      <c r="B1502" s="8" t="n"/>
      <c r="C1502" s="9">
        <f>IF(B1502="","",IFERROR(VLOOKUP(B1502,'Daftar Outlet'!$A$4:$B$22,2,FALSE),""))</f>
        <v/>
      </c>
      <c r="D1502" s="8" t="n"/>
      <c r="E1502" s="6" t="n"/>
      <c r="F1502" s="8" t="n"/>
    </row>
    <row r="1503">
      <c r="A1503" s="7" t="n"/>
      <c r="B1503" s="8" t="n"/>
      <c r="C1503" s="9">
        <f>IF(B1503="","",IFERROR(VLOOKUP(B1503,'Daftar Outlet'!$A$4:$B$22,2,FALSE),""))</f>
        <v/>
      </c>
      <c r="D1503" s="8" t="n"/>
      <c r="E1503" s="6" t="n"/>
      <c r="F1503" s="8" t="n"/>
    </row>
    <row r="1504">
      <c r="A1504" s="7" t="n"/>
      <c r="B1504" s="8" t="n"/>
      <c r="C1504" s="9">
        <f>IF(B1504="","",IFERROR(VLOOKUP(B1504,'Daftar Outlet'!$A$4:$B$22,2,FALSE),""))</f>
        <v/>
      </c>
      <c r="D1504" s="8" t="n"/>
      <c r="E1504" s="6" t="n"/>
      <c r="F1504" s="8" t="n"/>
    </row>
    <row r="1505">
      <c r="A1505" s="7" t="n"/>
      <c r="B1505" s="8" t="n"/>
      <c r="C1505" s="9">
        <f>IF(B1505="","",IFERROR(VLOOKUP(B1505,'Daftar Outlet'!$A$4:$B$22,2,FALSE),""))</f>
        <v/>
      </c>
      <c r="D1505" s="8" t="n"/>
      <c r="E1505" s="6" t="n"/>
      <c r="F1505" s="8" t="n"/>
    </row>
    <row r="1506">
      <c r="A1506" s="7" t="n"/>
      <c r="B1506" s="8" t="n"/>
      <c r="C1506" s="9">
        <f>IF(B1506="","",IFERROR(VLOOKUP(B1506,'Daftar Outlet'!$A$4:$B$22,2,FALSE),""))</f>
        <v/>
      </c>
      <c r="D1506" s="8" t="n"/>
      <c r="E1506" s="6" t="n"/>
      <c r="F1506" s="8" t="n"/>
    </row>
    <row r="1507">
      <c r="A1507" s="7" t="n"/>
      <c r="B1507" s="8" t="n"/>
      <c r="C1507" s="9">
        <f>IF(B1507="","",IFERROR(VLOOKUP(B1507,'Daftar Outlet'!$A$4:$B$22,2,FALSE),""))</f>
        <v/>
      </c>
      <c r="D1507" s="8" t="n"/>
      <c r="E1507" s="6" t="n"/>
      <c r="F1507" s="8" t="n"/>
    </row>
    <row r="1508">
      <c r="A1508" s="7" t="n"/>
      <c r="B1508" s="8" t="n"/>
      <c r="C1508" s="9">
        <f>IF(B1508="","",IFERROR(VLOOKUP(B1508,'Daftar Outlet'!$A$4:$B$22,2,FALSE),""))</f>
        <v/>
      </c>
      <c r="D1508" s="8" t="n"/>
      <c r="E1508" s="6" t="n"/>
      <c r="F1508" s="8" t="n"/>
    </row>
    <row r="1509">
      <c r="A1509" s="7" t="n"/>
      <c r="B1509" s="8" t="n"/>
      <c r="C1509" s="9">
        <f>IF(B1509="","",IFERROR(VLOOKUP(B1509,'Daftar Outlet'!$A$4:$B$22,2,FALSE),""))</f>
        <v/>
      </c>
      <c r="D1509" s="8" t="n"/>
      <c r="E1509" s="6" t="n"/>
      <c r="F1509" s="8" t="n"/>
    </row>
    <row r="1510">
      <c r="A1510" s="7" t="n"/>
      <c r="B1510" s="8" t="n"/>
      <c r="C1510" s="9">
        <f>IF(B1510="","",IFERROR(VLOOKUP(B1510,'Daftar Outlet'!$A$4:$B$22,2,FALSE),""))</f>
        <v/>
      </c>
      <c r="D1510" s="8" t="n"/>
      <c r="E1510" s="6" t="n"/>
      <c r="F1510" s="8" t="n"/>
    </row>
    <row r="1511">
      <c r="A1511" s="7" t="n"/>
      <c r="B1511" s="8" t="n"/>
      <c r="C1511" s="9">
        <f>IF(B1511="","",IFERROR(VLOOKUP(B1511,'Daftar Outlet'!$A$4:$B$22,2,FALSE),""))</f>
        <v/>
      </c>
      <c r="D1511" s="8" t="n"/>
      <c r="E1511" s="6" t="n"/>
      <c r="F1511" s="8" t="n"/>
    </row>
    <row r="1512">
      <c r="A1512" s="7" t="n"/>
      <c r="B1512" s="8" t="n"/>
      <c r="C1512" s="9">
        <f>IF(B1512="","",IFERROR(VLOOKUP(B1512,'Daftar Outlet'!$A$4:$B$22,2,FALSE),""))</f>
        <v/>
      </c>
      <c r="D1512" s="8" t="n"/>
      <c r="E1512" s="6" t="n"/>
      <c r="F1512" s="8" t="n"/>
    </row>
    <row r="1513">
      <c r="A1513" s="7" t="n"/>
      <c r="B1513" s="8" t="n"/>
      <c r="C1513" s="9">
        <f>IF(B1513="","",IFERROR(VLOOKUP(B1513,'Daftar Outlet'!$A$4:$B$22,2,FALSE),""))</f>
        <v/>
      </c>
      <c r="D1513" s="8" t="n"/>
      <c r="E1513" s="6" t="n"/>
      <c r="F1513" s="8" t="n"/>
    </row>
    <row r="1514">
      <c r="A1514" s="7" t="n"/>
      <c r="B1514" s="8" t="n"/>
      <c r="C1514" s="9">
        <f>IF(B1514="","",IFERROR(VLOOKUP(B1514,'Daftar Outlet'!$A$4:$B$22,2,FALSE),""))</f>
        <v/>
      </c>
      <c r="D1514" s="8" t="n"/>
      <c r="E1514" s="6" t="n"/>
      <c r="F1514" s="8" t="n"/>
    </row>
    <row r="1515">
      <c r="A1515" s="7" t="n"/>
      <c r="B1515" s="8" t="n"/>
      <c r="C1515" s="9">
        <f>IF(B1515="","",IFERROR(VLOOKUP(B1515,'Daftar Outlet'!$A$4:$B$22,2,FALSE),""))</f>
        <v/>
      </c>
      <c r="D1515" s="8" t="n"/>
      <c r="E1515" s="6" t="n"/>
      <c r="F1515" s="8" t="n"/>
    </row>
    <row r="1516">
      <c r="A1516" s="7" t="n"/>
      <c r="B1516" s="8" t="n"/>
      <c r="C1516" s="9">
        <f>IF(B1516="","",IFERROR(VLOOKUP(B1516,'Daftar Outlet'!$A$4:$B$22,2,FALSE),""))</f>
        <v/>
      </c>
      <c r="D1516" s="8" t="n"/>
      <c r="E1516" s="6" t="n"/>
      <c r="F1516" s="8" t="n"/>
    </row>
    <row r="1517">
      <c r="A1517" s="7" t="n"/>
      <c r="B1517" s="8" t="n"/>
      <c r="C1517" s="9">
        <f>IF(B1517="","",IFERROR(VLOOKUP(B1517,'Daftar Outlet'!$A$4:$B$22,2,FALSE),""))</f>
        <v/>
      </c>
      <c r="D1517" s="8" t="n"/>
      <c r="E1517" s="6" t="n"/>
      <c r="F1517" s="8" t="n"/>
    </row>
    <row r="1518">
      <c r="A1518" s="7" t="n"/>
      <c r="B1518" s="8" t="n"/>
      <c r="C1518" s="9">
        <f>IF(B1518="","",IFERROR(VLOOKUP(B1518,'Daftar Outlet'!$A$4:$B$22,2,FALSE),""))</f>
        <v/>
      </c>
      <c r="D1518" s="8" t="n"/>
      <c r="E1518" s="6" t="n"/>
      <c r="F1518" s="8" t="n"/>
    </row>
    <row r="1519">
      <c r="A1519" s="7" t="n"/>
      <c r="B1519" s="8" t="n"/>
      <c r="C1519" s="9">
        <f>IF(B1519="","",IFERROR(VLOOKUP(B1519,'Daftar Outlet'!$A$4:$B$22,2,FALSE),""))</f>
        <v/>
      </c>
      <c r="D1519" s="8" t="n"/>
      <c r="E1519" s="6" t="n"/>
      <c r="F1519" s="8" t="n"/>
    </row>
    <row r="1520">
      <c r="A1520" s="7" t="n"/>
      <c r="B1520" s="8" t="n"/>
      <c r="C1520" s="9">
        <f>IF(B1520="","",IFERROR(VLOOKUP(B1520,'Daftar Outlet'!$A$4:$B$22,2,FALSE),""))</f>
        <v/>
      </c>
      <c r="D1520" s="8" t="n"/>
      <c r="E1520" s="6" t="n"/>
      <c r="F1520" s="8" t="n"/>
    </row>
    <row r="1521">
      <c r="A1521" s="7" t="n"/>
      <c r="B1521" s="8" t="n"/>
      <c r="C1521" s="9">
        <f>IF(B1521="","",IFERROR(VLOOKUP(B1521,'Daftar Outlet'!$A$4:$B$22,2,FALSE),""))</f>
        <v/>
      </c>
      <c r="D1521" s="8" t="n"/>
      <c r="E1521" s="6" t="n"/>
      <c r="F1521" s="8" t="n"/>
    </row>
    <row r="1522">
      <c r="A1522" s="7" t="n"/>
      <c r="B1522" s="8" t="n"/>
      <c r="C1522" s="9">
        <f>IF(B1522="","",IFERROR(VLOOKUP(B1522,'Daftar Outlet'!$A$4:$B$22,2,FALSE),""))</f>
        <v/>
      </c>
      <c r="D1522" s="8" t="n"/>
      <c r="E1522" s="6" t="n"/>
      <c r="F1522" s="8" t="n"/>
    </row>
    <row r="1523">
      <c r="A1523" s="7" t="n"/>
      <c r="B1523" s="8" t="n"/>
      <c r="C1523" s="9">
        <f>IF(B1523="","",IFERROR(VLOOKUP(B1523,'Daftar Outlet'!$A$4:$B$22,2,FALSE),""))</f>
        <v/>
      </c>
      <c r="D1523" s="8" t="n"/>
      <c r="E1523" s="6" t="n"/>
      <c r="F1523" s="8" t="n"/>
    </row>
    <row r="1524">
      <c r="A1524" s="7" t="n"/>
      <c r="B1524" s="8" t="n"/>
      <c r="C1524" s="9">
        <f>IF(B1524="","",IFERROR(VLOOKUP(B1524,'Daftar Outlet'!$A$4:$B$22,2,FALSE),""))</f>
        <v/>
      </c>
      <c r="D1524" s="8" t="n"/>
      <c r="E1524" s="6" t="n"/>
      <c r="F1524" s="8" t="n"/>
    </row>
    <row r="1525">
      <c r="A1525" s="7" t="n"/>
      <c r="B1525" s="8" t="n"/>
      <c r="C1525" s="9">
        <f>IF(B1525="","",IFERROR(VLOOKUP(B1525,'Daftar Outlet'!$A$4:$B$22,2,FALSE),""))</f>
        <v/>
      </c>
      <c r="D1525" s="8" t="n"/>
      <c r="E1525" s="6" t="n"/>
      <c r="F1525" s="8" t="n"/>
    </row>
    <row r="1526">
      <c r="A1526" s="7" t="n"/>
      <c r="B1526" s="8" t="n"/>
      <c r="C1526" s="9">
        <f>IF(B1526="","",IFERROR(VLOOKUP(B1526,'Daftar Outlet'!$A$4:$B$22,2,FALSE),""))</f>
        <v/>
      </c>
      <c r="D1526" s="8" t="n"/>
      <c r="E1526" s="6" t="n"/>
      <c r="F1526" s="8" t="n"/>
    </row>
    <row r="1527">
      <c r="A1527" s="7" t="n"/>
      <c r="B1527" s="8" t="n"/>
      <c r="C1527" s="9">
        <f>IF(B1527="","",IFERROR(VLOOKUP(B1527,'Daftar Outlet'!$A$4:$B$22,2,FALSE),""))</f>
        <v/>
      </c>
      <c r="D1527" s="8" t="n"/>
      <c r="E1527" s="6" t="n"/>
      <c r="F1527" s="8" t="n"/>
    </row>
    <row r="1528">
      <c r="A1528" s="7" t="n"/>
      <c r="B1528" s="8" t="n"/>
      <c r="C1528" s="9">
        <f>IF(B1528="","",IFERROR(VLOOKUP(B1528,'Daftar Outlet'!$A$4:$B$22,2,FALSE),""))</f>
        <v/>
      </c>
      <c r="D1528" s="8" t="n"/>
      <c r="E1528" s="6" t="n"/>
      <c r="F1528" s="8" t="n"/>
    </row>
    <row r="1529">
      <c r="A1529" s="7" t="n"/>
      <c r="B1529" s="8" t="n"/>
      <c r="C1529" s="9">
        <f>IF(B1529="","",IFERROR(VLOOKUP(B1529,'Daftar Outlet'!$A$4:$B$22,2,FALSE),""))</f>
        <v/>
      </c>
      <c r="D1529" s="8" t="n"/>
      <c r="E1529" s="6" t="n"/>
      <c r="F1529" s="8" t="n"/>
    </row>
    <row r="1530">
      <c r="A1530" s="7" t="n"/>
      <c r="B1530" s="8" t="n"/>
      <c r="C1530" s="9">
        <f>IF(B1530="","",IFERROR(VLOOKUP(B1530,'Daftar Outlet'!$A$4:$B$22,2,FALSE),""))</f>
        <v/>
      </c>
      <c r="D1530" s="8" t="n"/>
      <c r="E1530" s="6" t="n"/>
      <c r="F1530" s="8" t="n"/>
    </row>
    <row r="1531">
      <c r="A1531" s="7" t="n"/>
      <c r="B1531" s="8" t="n"/>
      <c r="C1531" s="9">
        <f>IF(B1531="","",IFERROR(VLOOKUP(B1531,'Daftar Outlet'!$A$4:$B$22,2,FALSE),""))</f>
        <v/>
      </c>
      <c r="D1531" s="8" t="n"/>
      <c r="E1531" s="6" t="n"/>
      <c r="F1531" s="8" t="n"/>
    </row>
    <row r="1532">
      <c r="A1532" s="7" t="n"/>
      <c r="B1532" s="8" t="n"/>
      <c r="C1532" s="9">
        <f>IF(B1532="","",IFERROR(VLOOKUP(B1532,'Daftar Outlet'!$A$4:$B$22,2,FALSE),""))</f>
        <v/>
      </c>
      <c r="D1532" s="8" t="n"/>
      <c r="E1532" s="6" t="n"/>
      <c r="F1532" s="8" t="n"/>
    </row>
    <row r="1533">
      <c r="A1533" s="7" t="n"/>
      <c r="B1533" s="8" t="n"/>
      <c r="C1533" s="9">
        <f>IF(B1533="","",IFERROR(VLOOKUP(B1533,'Daftar Outlet'!$A$4:$B$22,2,FALSE),""))</f>
        <v/>
      </c>
      <c r="D1533" s="8" t="n"/>
      <c r="E1533" s="6" t="n"/>
      <c r="F1533" s="8" t="n"/>
    </row>
    <row r="1534">
      <c r="A1534" s="7" t="n"/>
      <c r="B1534" s="8" t="n"/>
      <c r="C1534" s="9">
        <f>IF(B1534="","",IFERROR(VLOOKUP(B1534,'Daftar Outlet'!$A$4:$B$22,2,FALSE),""))</f>
        <v/>
      </c>
      <c r="D1534" s="8" t="n"/>
      <c r="E1534" s="6" t="n"/>
      <c r="F1534" s="8" t="n"/>
    </row>
    <row r="1535">
      <c r="A1535" s="7" t="n"/>
      <c r="B1535" s="8" t="n"/>
      <c r="C1535" s="9">
        <f>IF(B1535="","",IFERROR(VLOOKUP(B1535,'Daftar Outlet'!$A$4:$B$22,2,FALSE),""))</f>
        <v/>
      </c>
      <c r="D1535" s="8" t="n"/>
      <c r="E1535" s="6" t="n"/>
      <c r="F1535" s="8" t="n"/>
    </row>
    <row r="1536">
      <c r="A1536" s="7" t="n"/>
      <c r="B1536" s="8" t="n"/>
      <c r="C1536" s="9">
        <f>IF(B1536="","",IFERROR(VLOOKUP(B1536,'Daftar Outlet'!$A$4:$B$22,2,FALSE),""))</f>
        <v/>
      </c>
      <c r="D1536" s="8" t="n"/>
      <c r="E1536" s="6" t="n"/>
      <c r="F1536" s="8" t="n"/>
    </row>
    <row r="1537">
      <c r="A1537" s="7" t="n"/>
      <c r="B1537" s="8" t="n"/>
      <c r="C1537" s="9">
        <f>IF(B1537="","",IFERROR(VLOOKUP(B1537,'Daftar Outlet'!$A$4:$B$22,2,FALSE),""))</f>
        <v/>
      </c>
      <c r="D1537" s="8" t="n"/>
      <c r="E1537" s="6" t="n"/>
      <c r="F1537" s="8" t="n"/>
    </row>
    <row r="1538">
      <c r="A1538" s="7" t="n"/>
      <c r="B1538" s="8" t="n"/>
      <c r="C1538" s="9">
        <f>IF(B1538="","",IFERROR(VLOOKUP(B1538,'Daftar Outlet'!$A$4:$B$22,2,FALSE),""))</f>
        <v/>
      </c>
      <c r="D1538" s="8" t="n"/>
      <c r="E1538" s="6" t="n"/>
      <c r="F1538" s="8" t="n"/>
    </row>
    <row r="1539">
      <c r="A1539" s="7" t="n"/>
      <c r="B1539" s="8" t="n"/>
      <c r="C1539" s="9">
        <f>IF(B1539="","",IFERROR(VLOOKUP(B1539,'Daftar Outlet'!$A$4:$B$22,2,FALSE),""))</f>
        <v/>
      </c>
      <c r="D1539" s="8" t="n"/>
      <c r="E1539" s="6" t="n"/>
      <c r="F1539" s="8" t="n"/>
    </row>
    <row r="1540">
      <c r="A1540" s="7" t="n"/>
      <c r="B1540" s="8" t="n"/>
      <c r="C1540" s="9">
        <f>IF(B1540="","",IFERROR(VLOOKUP(B1540,'Daftar Outlet'!$A$4:$B$22,2,FALSE),""))</f>
        <v/>
      </c>
      <c r="D1540" s="8" t="n"/>
      <c r="E1540" s="6" t="n"/>
      <c r="F1540" s="8" t="n"/>
    </row>
    <row r="1541">
      <c r="A1541" s="7" t="n"/>
      <c r="B1541" s="8" t="n"/>
      <c r="C1541" s="9">
        <f>IF(B1541="","",IFERROR(VLOOKUP(B1541,'Daftar Outlet'!$A$4:$B$22,2,FALSE),""))</f>
        <v/>
      </c>
      <c r="D1541" s="8" t="n"/>
      <c r="E1541" s="6" t="n"/>
      <c r="F1541" s="8" t="n"/>
    </row>
    <row r="1542">
      <c r="A1542" s="7" t="n"/>
      <c r="B1542" s="8" t="n"/>
      <c r="C1542" s="9">
        <f>IF(B1542="","",IFERROR(VLOOKUP(B1542,'Daftar Outlet'!$A$4:$B$22,2,FALSE),""))</f>
        <v/>
      </c>
      <c r="D1542" s="8" t="n"/>
      <c r="E1542" s="6" t="n"/>
      <c r="F1542" s="8" t="n"/>
    </row>
    <row r="1543">
      <c r="A1543" s="7" t="n"/>
      <c r="B1543" s="8" t="n"/>
      <c r="C1543" s="9">
        <f>IF(B1543="","",IFERROR(VLOOKUP(B1543,'Daftar Outlet'!$A$4:$B$22,2,FALSE),""))</f>
        <v/>
      </c>
      <c r="D1543" s="8" t="n"/>
      <c r="E1543" s="6" t="n"/>
      <c r="F1543" s="8" t="n"/>
    </row>
    <row r="1544">
      <c r="A1544" s="7" t="n"/>
      <c r="B1544" s="8" t="n"/>
      <c r="C1544" s="9">
        <f>IF(B1544="","",IFERROR(VLOOKUP(B1544,'Daftar Outlet'!$A$4:$B$22,2,FALSE),""))</f>
        <v/>
      </c>
      <c r="D1544" s="8" t="n"/>
      <c r="E1544" s="6" t="n"/>
      <c r="F1544" s="8" t="n"/>
    </row>
    <row r="1545">
      <c r="A1545" s="7" t="n"/>
      <c r="B1545" s="8" t="n"/>
      <c r="C1545" s="9">
        <f>IF(B1545="","",IFERROR(VLOOKUP(B1545,'Daftar Outlet'!$A$4:$B$22,2,FALSE),""))</f>
        <v/>
      </c>
      <c r="D1545" s="8" t="n"/>
      <c r="E1545" s="6" t="n"/>
      <c r="F1545" s="8" t="n"/>
    </row>
    <row r="1546">
      <c r="A1546" s="7" t="n"/>
      <c r="B1546" s="8" t="n"/>
      <c r="C1546" s="9">
        <f>IF(B1546="","",IFERROR(VLOOKUP(B1546,'Daftar Outlet'!$A$4:$B$22,2,FALSE),""))</f>
        <v/>
      </c>
      <c r="D1546" s="8" t="n"/>
      <c r="E1546" s="6" t="n"/>
      <c r="F1546" s="8" t="n"/>
    </row>
    <row r="1547">
      <c r="A1547" s="7" t="n"/>
      <c r="B1547" s="8" t="n"/>
      <c r="C1547" s="9">
        <f>IF(B1547="","",IFERROR(VLOOKUP(B1547,'Daftar Outlet'!$A$4:$B$22,2,FALSE),""))</f>
        <v/>
      </c>
      <c r="D1547" s="8" t="n"/>
      <c r="E1547" s="6" t="n"/>
      <c r="F1547" s="8" t="n"/>
    </row>
    <row r="1548">
      <c r="A1548" s="7" t="n"/>
      <c r="B1548" s="8" t="n"/>
      <c r="C1548" s="9">
        <f>IF(B1548="","",IFERROR(VLOOKUP(B1548,'Daftar Outlet'!$A$4:$B$22,2,FALSE),""))</f>
        <v/>
      </c>
      <c r="D1548" s="8" t="n"/>
      <c r="E1548" s="6" t="n"/>
      <c r="F1548" s="8" t="n"/>
    </row>
    <row r="1549">
      <c r="A1549" s="7" t="n"/>
      <c r="B1549" s="8" t="n"/>
      <c r="C1549" s="9">
        <f>IF(B1549="","",IFERROR(VLOOKUP(B1549,'Daftar Outlet'!$A$4:$B$22,2,FALSE),""))</f>
        <v/>
      </c>
      <c r="D1549" s="8" t="n"/>
      <c r="E1549" s="6" t="n"/>
      <c r="F1549" s="8" t="n"/>
    </row>
    <row r="1550">
      <c r="A1550" s="7" t="n"/>
      <c r="B1550" s="8" t="n"/>
      <c r="C1550" s="9">
        <f>IF(B1550="","",IFERROR(VLOOKUP(B1550,'Daftar Outlet'!$A$4:$B$22,2,FALSE),""))</f>
        <v/>
      </c>
      <c r="D1550" s="8" t="n"/>
      <c r="E1550" s="6" t="n"/>
      <c r="F1550" s="8" t="n"/>
    </row>
    <row r="1551">
      <c r="A1551" s="7" t="n"/>
      <c r="B1551" s="8" t="n"/>
      <c r="C1551" s="9">
        <f>IF(B1551="","",IFERROR(VLOOKUP(B1551,'Daftar Outlet'!$A$4:$B$22,2,FALSE),""))</f>
        <v/>
      </c>
      <c r="D1551" s="8" t="n"/>
      <c r="E1551" s="6" t="n"/>
      <c r="F1551" s="8" t="n"/>
    </row>
    <row r="1552">
      <c r="A1552" s="7" t="n"/>
      <c r="B1552" s="8" t="n"/>
      <c r="C1552" s="9">
        <f>IF(B1552="","",IFERROR(VLOOKUP(B1552,'Daftar Outlet'!$A$4:$B$22,2,FALSE),""))</f>
        <v/>
      </c>
      <c r="D1552" s="8" t="n"/>
      <c r="E1552" s="6" t="n"/>
      <c r="F1552" s="8" t="n"/>
    </row>
    <row r="1553">
      <c r="A1553" s="7" t="n"/>
      <c r="B1553" s="8" t="n"/>
      <c r="C1553" s="9">
        <f>IF(B1553="","",IFERROR(VLOOKUP(B1553,'Daftar Outlet'!$A$4:$B$22,2,FALSE),""))</f>
        <v/>
      </c>
      <c r="D1553" s="8" t="n"/>
      <c r="E1553" s="6" t="n"/>
      <c r="F1553" s="8" t="n"/>
    </row>
    <row r="1554">
      <c r="A1554" s="7" t="n"/>
      <c r="B1554" s="8" t="n"/>
      <c r="C1554" s="9">
        <f>IF(B1554="","",IFERROR(VLOOKUP(B1554,'Daftar Outlet'!$A$4:$B$22,2,FALSE),""))</f>
        <v/>
      </c>
      <c r="D1554" s="8" t="n"/>
      <c r="E1554" s="6" t="n"/>
      <c r="F1554" s="8" t="n"/>
    </row>
    <row r="1555">
      <c r="A1555" s="7" t="n"/>
      <c r="B1555" s="8" t="n"/>
      <c r="C1555" s="9">
        <f>IF(B1555="","",IFERROR(VLOOKUP(B1555,'Daftar Outlet'!$A$4:$B$22,2,FALSE),""))</f>
        <v/>
      </c>
      <c r="D1555" s="8" t="n"/>
      <c r="E1555" s="6" t="n"/>
      <c r="F1555" s="8" t="n"/>
    </row>
    <row r="1556">
      <c r="A1556" s="7" t="n"/>
      <c r="B1556" s="8" t="n"/>
      <c r="C1556" s="9">
        <f>IF(B1556="","",IFERROR(VLOOKUP(B1556,'Daftar Outlet'!$A$4:$B$22,2,FALSE),""))</f>
        <v/>
      </c>
      <c r="D1556" s="8" t="n"/>
      <c r="E1556" s="6" t="n"/>
      <c r="F1556" s="8" t="n"/>
    </row>
    <row r="1557">
      <c r="A1557" s="7" t="n"/>
      <c r="B1557" s="8" t="n"/>
      <c r="C1557" s="9">
        <f>IF(B1557="","",IFERROR(VLOOKUP(B1557,'Daftar Outlet'!$A$4:$B$22,2,FALSE),""))</f>
        <v/>
      </c>
      <c r="D1557" s="8" t="n"/>
      <c r="E1557" s="6" t="n"/>
      <c r="F1557" s="8" t="n"/>
    </row>
    <row r="1558">
      <c r="A1558" s="7" t="n"/>
      <c r="B1558" s="8" t="n"/>
      <c r="C1558" s="9">
        <f>IF(B1558="","",IFERROR(VLOOKUP(B1558,'Daftar Outlet'!$A$4:$B$22,2,FALSE),""))</f>
        <v/>
      </c>
      <c r="D1558" s="8" t="n"/>
      <c r="E1558" s="6" t="n"/>
      <c r="F1558" s="8" t="n"/>
    </row>
    <row r="1559">
      <c r="A1559" s="7" t="n"/>
      <c r="B1559" s="8" t="n"/>
      <c r="C1559" s="9">
        <f>IF(B1559="","",IFERROR(VLOOKUP(B1559,'Daftar Outlet'!$A$4:$B$22,2,FALSE),""))</f>
        <v/>
      </c>
      <c r="D1559" s="8" t="n"/>
      <c r="E1559" s="6" t="n"/>
      <c r="F1559" s="8" t="n"/>
    </row>
    <row r="1560">
      <c r="A1560" s="7" t="n"/>
      <c r="B1560" s="8" t="n"/>
      <c r="C1560" s="9">
        <f>IF(B1560="","",IFERROR(VLOOKUP(B1560,'Daftar Outlet'!$A$4:$B$22,2,FALSE),""))</f>
        <v/>
      </c>
      <c r="D1560" s="8" t="n"/>
      <c r="E1560" s="6" t="n"/>
      <c r="F1560" s="8" t="n"/>
    </row>
    <row r="1561">
      <c r="A1561" s="7" t="n"/>
      <c r="B1561" s="8" t="n"/>
      <c r="C1561" s="9">
        <f>IF(B1561="","",IFERROR(VLOOKUP(B1561,'Daftar Outlet'!$A$4:$B$22,2,FALSE),""))</f>
        <v/>
      </c>
      <c r="D1561" s="8" t="n"/>
      <c r="E1561" s="6" t="n"/>
      <c r="F1561" s="8" t="n"/>
    </row>
    <row r="1562">
      <c r="A1562" s="7" t="n"/>
      <c r="B1562" s="8" t="n"/>
      <c r="C1562" s="9">
        <f>IF(B1562="","",IFERROR(VLOOKUP(B1562,'Daftar Outlet'!$A$4:$B$22,2,FALSE),""))</f>
        <v/>
      </c>
      <c r="D1562" s="8" t="n"/>
      <c r="E1562" s="6" t="n"/>
      <c r="F1562" s="8" t="n"/>
    </row>
    <row r="1563">
      <c r="A1563" s="7" t="n"/>
      <c r="B1563" s="8" t="n"/>
      <c r="C1563" s="9">
        <f>IF(B1563="","",IFERROR(VLOOKUP(B1563,'Daftar Outlet'!$A$4:$B$22,2,FALSE),""))</f>
        <v/>
      </c>
      <c r="D1563" s="8" t="n"/>
      <c r="E1563" s="6" t="n"/>
      <c r="F1563" s="8" t="n"/>
    </row>
    <row r="1564">
      <c r="A1564" s="7" t="n"/>
      <c r="B1564" s="8" t="n"/>
      <c r="C1564" s="9">
        <f>IF(B1564="","",IFERROR(VLOOKUP(B1564,'Daftar Outlet'!$A$4:$B$22,2,FALSE),""))</f>
        <v/>
      </c>
      <c r="D1564" s="8" t="n"/>
      <c r="E1564" s="6" t="n"/>
      <c r="F1564" s="8" t="n"/>
    </row>
    <row r="1565">
      <c r="A1565" s="7" t="n"/>
      <c r="B1565" s="8" t="n"/>
      <c r="C1565" s="9">
        <f>IF(B1565="","",IFERROR(VLOOKUP(B1565,'Daftar Outlet'!$A$4:$B$22,2,FALSE),""))</f>
        <v/>
      </c>
      <c r="D1565" s="8" t="n"/>
      <c r="E1565" s="6" t="n"/>
      <c r="F1565" s="8" t="n"/>
    </row>
    <row r="1566">
      <c r="A1566" s="7" t="n"/>
      <c r="B1566" s="8" t="n"/>
      <c r="C1566" s="9">
        <f>IF(B1566="","",IFERROR(VLOOKUP(B1566,'Daftar Outlet'!$A$4:$B$22,2,FALSE),""))</f>
        <v/>
      </c>
      <c r="D1566" s="8" t="n"/>
      <c r="E1566" s="6" t="n"/>
      <c r="F1566" s="8" t="n"/>
    </row>
    <row r="1567">
      <c r="A1567" s="7" t="n"/>
      <c r="B1567" s="8" t="n"/>
      <c r="C1567" s="9">
        <f>IF(B1567="","",IFERROR(VLOOKUP(B1567,'Daftar Outlet'!$A$4:$B$22,2,FALSE),""))</f>
        <v/>
      </c>
      <c r="D1567" s="8" t="n"/>
      <c r="E1567" s="6" t="n"/>
      <c r="F1567" s="8" t="n"/>
    </row>
    <row r="1568">
      <c r="A1568" s="7" t="n"/>
      <c r="B1568" s="8" t="n"/>
      <c r="C1568" s="9">
        <f>IF(B1568="","",IFERROR(VLOOKUP(B1568,'Daftar Outlet'!$A$4:$B$22,2,FALSE),""))</f>
        <v/>
      </c>
      <c r="D1568" s="8" t="n"/>
      <c r="E1568" s="6" t="n"/>
      <c r="F1568" s="8" t="n"/>
    </row>
    <row r="1569">
      <c r="A1569" s="7" t="n"/>
      <c r="B1569" s="8" t="n"/>
      <c r="C1569" s="9">
        <f>IF(B1569="","",IFERROR(VLOOKUP(B1569,'Daftar Outlet'!$A$4:$B$22,2,FALSE),""))</f>
        <v/>
      </c>
      <c r="D1569" s="8" t="n"/>
      <c r="E1569" s="6" t="n"/>
      <c r="F1569" s="8" t="n"/>
    </row>
    <row r="1570">
      <c r="A1570" s="7" t="n"/>
      <c r="B1570" s="8" t="n"/>
      <c r="C1570" s="9">
        <f>IF(B1570="","",IFERROR(VLOOKUP(B1570,'Daftar Outlet'!$A$4:$B$22,2,FALSE),""))</f>
        <v/>
      </c>
      <c r="D1570" s="8" t="n"/>
      <c r="E1570" s="6" t="n"/>
      <c r="F1570" s="8" t="n"/>
    </row>
    <row r="1571">
      <c r="A1571" s="7" t="n"/>
      <c r="B1571" s="8" t="n"/>
      <c r="C1571" s="9">
        <f>IF(B1571="","",IFERROR(VLOOKUP(B1571,'Daftar Outlet'!$A$4:$B$22,2,FALSE),""))</f>
        <v/>
      </c>
      <c r="D1571" s="8" t="n"/>
      <c r="E1571" s="6" t="n"/>
      <c r="F1571" s="8" t="n"/>
    </row>
    <row r="1572">
      <c r="A1572" s="7" t="n"/>
      <c r="B1572" s="8" t="n"/>
      <c r="C1572" s="9">
        <f>IF(B1572="","",IFERROR(VLOOKUP(B1572,'Daftar Outlet'!$A$4:$B$22,2,FALSE),""))</f>
        <v/>
      </c>
      <c r="D1572" s="8" t="n"/>
      <c r="E1572" s="6" t="n"/>
      <c r="F1572" s="8" t="n"/>
    </row>
    <row r="1573">
      <c r="A1573" s="7" t="n"/>
      <c r="B1573" s="8" t="n"/>
      <c r="C1573" s="9">
        <f>IF(B1573="","",IFERROR(VLOOKUP(B1573,'Daftar Outlet'!$A$4:$B$22,2,FALSE),""))</f>
        <v/>
      </c>
      <c r="D1573" s="8" t="n"/>
      <c r="E1573" s="6" t="n"/>
      <c r="F1573" s="8" t="n"/>
    </row>
    <row r="1574">
      <c r="A1574" s="7" t="n"/>
      <c r="B1574" s="8" t="n"/>
      <c r="C1574" s="9">
        <f>IF(B1574="","",IFERROR(VLOOKUP(B1574,'Daftar Outlet'!$A$4:$B$22,2,FALSE),""))</f>
        <v/>
      </c>
      <c r="D1574" s="8" t="n"/>
      <c r="E1574" s="6" t="n"/>
      <c r="F1574" s="8" t="n"/>
    </row>
    <row r="1575">
      <c r="A1575" s="7" t="n"/>
      <c r="B1575" s="8" t="n"/>
      <c r="C1575" s="9">
        <f>IF(B1575="","",IFERROR(VLOOKUP(B1575,'Daftar Outlet'!$A$4:$B$22,2,FALSE),""))</f>
        <v/>
      </c>
      <c r="D1575" s="8" t="n"/>
      <c r="E1575" s="6" t="n"/>
      <c r="F1575" s="8" t="n"/>
    </row>
    <row r="1576">
      <c r="A1576" s="7" t="n"/>
      <c r="B1576" s="8" t="n"/>
      <c r="C1576" s="9">
        <f>IF(B1576="","",IFERROR(VLOOKUP(B1576,'Daftar Outlet'!$A$4:$B$22,2,FALSE),""))</f>
        <v/>
      </c>
      <c r="D1576" s="8" t="n"/>
      <c r="E1576" s="6" t="n"/>
      <c r="F1576" s="8" t="n"/>
    </row>
    <row r="1577">
      <c r="A1577" s="7" t="n"/>
      <c r="B1577" s="8" t="n"/>
      <c r="C1577" s="9">
        <f>IF(B1577="","",IFERROR(VLOOKUP(B1577,'Daftar Outlet'!$A$4:$B$22,2,FALSE),""))</f>
        <v/>
      </c>
      <c r="D1577" s="8" t="n"/>
      <c r="E1577" s="6" t="n"/>
      <c r="F1577" s="8" t="n"/>
    </row>
    <row r="1578">
      <c r="A1578" s="7" t="n"/>
      <c r="B1578" s="8" t="n"/>
      <c r="C1578" s="9">
        <f>IF(B1578="","",IFERROR(VLOOKUP(B1578,'Daftar Outlet'!$A$4:$B$22,2,FALSE),""))</f>
        <v/>
      </c>
      <c r="D1578" s="8" t="n"/>
      <c r="E1578" s="6" t="n"/>
      <c r="F1578" s="8" t="n"/>
    </row>
    <row r="1579">
      <c r="A1579" s="7" t="n"/>
      <c r="B1579" s="8" t="n"/>
      <c r="C1579" s="9">
        <f>IF(B1579="","",IFERROR(VLOOKUP(B1579,'Daftar Outlet'!$A$4:$B$22,2,FALSE),""))</f>
        <v/>
      </c>
      <c r="D1579" s="8" t="n"/>
      <c r="E1579" s="6" t="n"/>
      <c r="F1579" s="8" t="n"/>
    </row>
    <row r="1580">
      <c r="A1580" s="7" t="n"/>
      <c r="B1580" s="8" t="n"/>
      <c r="C1580" s="9">
        <f>IF(B1580="","",IFERROR(VLOOKUP(B1580,'Daftar Outlet'!$A$4:$B$22,2,FALSE),""))</f>
        <v/>
      </c>
      <c r="D1580" s="8" t="n"/>
      <c r="E1580" s="6" t="n"/>
      <c r="F1580" s="8" t="n"/>
    </row>
    <row r="1581">
      <c r="A1581" s="7" t="n"/>
      <c r="B1581" s="8" t="n"/>
      <c r="C1581" s="9">
        <f>IF(B1581="","",IFERROR(VLOOKUP(B1581,'Daftar Outlet'!$A$4:$B$22,2,FALSE),""))</f>
        <v/>
      </c>
      <c r="D1581" s="8" t="n"/>
      <c r="E1581" s="6" t="n"/>
      <c r="F1581" s="8" t="n"/>
    </row>
    <row r="1582">
      <c r="A1582" s="7" t="n"/>
      <c r="B1582" s="8" t="n"/>
      <c r="C1582" s="9">
        <f>IF(B1582="","",IFERROR(VLOOKUP(B1582,'Daftar Outlet'!$A$4:$B$22,2,FALSE),""))</f>
        <v/>
      </c>
      <c r="D1582" s="8" t="n"/>
      <c r="E1582" s="6" t="n"/>
      <c r="F1582" s="8" t="n"/>
    </row>
    <row r="1583">
      <c r="A1583" s="7" t="n"/>
      <c r="B1583" s="8" t="n"/>
      <c r="C1583" s="9">
        <f>IF(B1583="","",IFERROR(VLOOKUP(B1583,'Daftar Outlet'!$A$4:$B$22,2,FALSE),""))</f>
        <v/>
      </c>
      <c r="D1583" s="8" t="n"/>
      <c r="E1583" s="6" t="n"/>
      <c r="F1583" s="8" t="n"/>
    </row>
    <row r="1584">
      <c r="A1584" s="7" t="n"/>
      <c r="B1584" s="8" t="n"/>
      <c r="C1584" s="9">
        <f>IF(B1584="","",IFERROR(VLOOKUP(B1584,'Daftar Outlet'!$A$4:$B$22,2,FALSE),""))</f>
        <v/>
      </c>
      <c r="D1584" s="8" t="n"/>
      <c r="E1584" s="6" t="n"/>
      <c r="F1584" s="8" t="n"/>
    </row>
    <row r="1585">
      <c r="A1585" s="7" t="n"/>
      <c r="B1585" s="8" t="n"/>
      <c r="C1585" s="9">
        <f>IF(B1585="","",IFERROR(VLOOKUP(B1585,'Daftar Outlet'!$A$4:$B$22,2,FALSE),""))</f>
        <v/>
      </c>
      <c r="D1585" s="8" t="n"/>
      <c r="E1585" s="6" t="n"/>
      <c r="F1585" s="8" t="n"/>
    </row>
    <row r="1586">
      <c r="A1586" s="7" t="n"/>
      <c r="B1586" s="8" t="n"/>
      <c r="C1586" s="9">
        <f>IF(B1586="","",IFERROR(VLOOKUP(B1586,'Daftar Outlet'!$A$4:$B$22,2,FALSE),""))</f>
        <v/>
      </c>
      <c r="D1586" s="8" t="n"/>
      <c r="E1586" s="6" t="n"/>
      <c r="F1586" s="8" t="n"/>
    </row>
    <row r="1587">
      <c r="A1587" s="7" t="n"/>
      <c r="B1587" s="8" t="n"/>
      <c r="C1587" s="9">
        <f>IF(B1587="","",IFERROR(VLOOKUP(B1587,'Daftar Outlet'!$A$4:$B$22,2,FALSE),""))</f>
        <v/>
      </c>
      <c r="D1587" s="8" t="n"/>
      <c r="E1587" s="6" t="n"/>
      <c r="F1587" s="8" t="n"/>
    </row>
    <row r="1588">
      <c r="A1588" s="7" t="n"/>
      <c r="B1588" s="8" t="n"/>
      <c r="C1588" s="9">
        <f>IF(B1588="","",IFERROR(VLOOKUP(B1588,'Daftar Outlet'!$A$4:$B$22,2,FALSE),""))</f>
        <v/>
      </c>
      <c r="D1588" s="8" t="n"/>
      <c r="E1588" s="6" t="n"/>
      <c r="F1588" s="8" t="n"/>
    </row>
    <row r="1589">
      <c r="A1589" s="7" t="n"/>
      <c r="B1589" s="8" t="n"/>
      <c r="C1589" s="9">
        <f>IF(B1589="","",IFERROR(VLOOKUP(B1589,'Daftar Outlet'!$A$4:$B$22,2,FALSE),""))</f>
        <v/>
      </c>
      <c r="D1589" s="8" t="n"/>
      <c r="E1589" s="6" t="n"/>
      <c r="F1589" s="8" t="n"/>
    </row>
    <row r="1590">
      <c r="A1590" s="7" t="n"/>
      <c r="B1590" s="8" t="n"/>
      <c r="C1590" s="9">
        <f>IF(B1590="","",IFERROR(VLOOKUP(B1590,'Daftar Outlet'!$A$4:$B$22,2,FALSE),""))</f>
        <v/>
      </c>
      <c r="D1590" s="8" t="n"/>
      <c r="E1590" s="6" t="n"/>
      <c r="F1590" s="8" t="n"/>
    </row>
    <row r="1591">
      <c r="A1591" s="7" t="n"/>
      <c r="B1591" s="8" t="n"/>
      <c r="C1591" s="9">
        <f>IF(B1591="","",IFERROR(VLOOKUP(B1591,'Daftar Outlet'!$A$4:$B$22,2,FALSE),""))</f>
        <v/>
      </c>
      <c r="D1591" s="8" t="n"/>
      <c r="E1591" s="6" t="n"/>
      <c r="F1591" s="8" t="n"/>
    </row>
    <row r="1592">
      <c r="A1592" s="7" t="n"/>
      <c r="B1592" s="8" t="n"/>
      <c r="C1592" s="9">
        <f>IF(B1592="","",IFERROR(VLOOKUP(B1592,'Daftar Outlet'!$A$4:$B$22,2,FALSE),""))</f>
        <v/>
      </c>
      <c r="D1592" s="8" t="n"/>
      <c r="E1592" s="6" t="n"/>
      <c r="F1592" s="8" t="n"/>
    </row>
    <row r="1593">
      <c r="A1593" s="7" t="n"/>
      <c r="B1593" s="8" t="n"/>
      <c r="C1593" s="9">
        <f>IF(B1593="","",IFERROR(VLOOKUP(B1593,'Daftar Outlet'!$A$4:$B$22,2,FALSE),""))</f>
        <v/>
      </c>
      <c r="D1593" s="8" t="n"/>
      <c r="E1593" s="6" t="n"/>
      <c r="F1593" s="8" t="n"/>
    </row>
    <row r="1594">
      <c r="A1594" s="7" t="n"/>
      <c r="B1594" s="8" t="n"/>
      <c r="C1594" s="9">
        <f>IF(B1594="","",IFERROR(VLOOKUP(B1594,'Daftar Outlet'!$A$4:$B$22,2,FALSE),""))</f>
        <v/>
      </c>
      <c r="D1594" s="8" t="n"/>
      <c r="E1594" s="6" t="n"/>
      <c r="F1594" s="8" t="n"/>
    </row>
    <row r="1595">
      <c r="A1595" s="7" t="n"/>
      <c r="B1595" s="8" t="n"/>
      <c r="C1595" s="9">
        <f>IF(B1595="","",IFERROR(VLOOKUP(B1595,'Daftar Outlet'!$A$4:$B$22,2,FALSE),""))</f>
        <v/>
      </c>
      <c r="D1595" s="8" t="n"/>
      <c r="E1595" s="6" t="n"/>
      <c r="F1595" s="8" t="n"/>
    </row>
    <row r="1596">
      <c r="A1596" s="7" t="n"/>
      <c r="B1596" s="8" t="n"/>
      <c r="C1596" s="9">
        <f>IF(B1596="","",IFERROR(VLOOKUP(B1596,'Daftar Outlet'!$A$4:$B$22,2,FALSE),""))</f>
        <v/>
      </c>
      <c r="D1596" s="8" t="n"/>
      <c r="E1596" s="6" t="n"/>
      <c r="F1596" s="8" t="n"/>
    </row>
    <row r="1597">
      <c r="A1597" s="7" t="n"/>
      <c r="B1597" s="8" t="n"/>
      <c r="C1597" s="9">
        <f>IF(B1597="","",IFERROR(VLOOKUP(B1597,'Daftar Outlet'!$A$4:$B$22,2,FALSE),""))</f>
        <v/>
      </c>
      <c r="D1597" s="8" t="n"/>
      <c r="E1597" s="6" t="n"/>
      <c r="F1597" s="8" t="n"/>
    </row>
    <row r="1598">
      <c r="A1598" s="7" t="n"/>
      <c r="B1598" s="8" t="n"/>
      <c r="C1598" s="9">
        <f>IF(B1598="","",IFERROR(VLOOKUP(B1598,'Daftar Outlet'!$A$4:$B$22,2,FALSE),""))</f>
        <v/>
      </c>
      <c r="D1598" s="8" t="n"/>
      <c r="E1598" s="6" t="n"/>
      <c r="F1598" s="8" t="n"/>
    </row>
    <row r="1599">
      <c r="A1599" s="7" t="n"/>
      <c r="B1599" s="8" t="n"/>
      <c r="C1599" s="9">
        <f>IF(B1599="","",IFERROR(VLOOKUP(B1599,'Daftar Outlet'!$A$4:$B$22,2,FALSE),""))</f>
        <v/>
      </c>
      <c r="D1599" s="8" t="n"/>
      <c r="E1599" s="6" t="n"/>
      <c r="F1599" s="8" t="n"/>
    </row>
    <row r="1600">
      <c r="A1600" s="7" t="n"/>
      <c r="B1600" s="8" t="n"/>
      <c r="C1600" s="9">
        <f>IF(B1600="","",IFERROR(VLOOKUP(B1600,'Daftar Outlet'!$A$4:$B$22,2,FALSE),""))</f>
        <v/>
      </c>
      <c r="D1600" s="8" t="n"/>
      <c r="E1600" s="6" t="n"/>
      <c r="F1600" s="8" t="n"/>
    </row>
    <row r="1601">
      <c r="A1601" s="7" t="n"/>
      <c r="B1601" s="8" t="n"/>
      <c r="C1601" s="9">
        <f>IF(B1601="","",IFERROR(VLOOKUP(B1601,'Daftar Outlet'!$A$4:$B$22,2,FALSE),""))</f>
        <v/>
      </c>
      <c r="D1601" s="8" t="n"/>
      <c r="E1601" s="6" t="n"/>
      <c r="F1601" s="8" t="n"/>
    </row>
    <row r="1602">
      <c r="A1602" s="7" t="n"/>
      <c r="B1602" s="8" t="n"/>
      <c r="C1602" s="9">
        <f>IF(B1602="","",IFERROR(VLOOKUP(B1602,'Daftar Outlet'!$A$4:$B$22,2,FALSE),""))</f>
        <v/>
      </c>
      <c r="D1602" s="8" t="n"/>
      <c r="E1602" s="6" t="n"/>
      <c r="F1602" s="8" t="n"/>
    </row>
    <row r="1603">
      <c r="A1603" s="7" t="n"/>
      <c r="B1603" s="8" t="n"/>
      <c r="C1603" s="9">
        <f>IF(B1603="","",IFERROR(VLOOKUP(B1603,'Daftar Outlet'!$A$4:$B$22,2,FALSE),""))</f>
        <v/>
      </c>
      <c r="D1603" s="8" t="n"/>
      <c r="E1603" s="6" t="n"/>
      <c r="F1603" s="8" t="n"/>
    </row>
    <row r="1604">
      <c r="A1604" s="7" t="n"/>
      <c r="B1604" s="8" t="n"/>
      <c r="C1604" s="9">
        <f>IF(B1604="","",IFERROR(VLOOKUP(B1604,'Daftar Outlet'!$A$4:$B$22,2,FALSE),""))</f>
        <v/>
      </c>
      <c r="D1604" s="8" t="n"/>
      <c r="E1604" s="6" t="n"/>
      <c r="F1604" s="8" t="n"/>
    </row>
    <row r="1605">
      <c r="A1605" s="7" t="n"/>
      <c r="B1605" s="8" t="n"/>
      <c r="C1605" s="9">
        <f>IF(B1605="","",IFERROR(VLOOKUP(B1605,'Daftar Outlet'!$A$4:$B$22,2,FALSE),""))</f>
        <v/>
      </c>
      <c r="D1605" s="8" t="n"/>
      <c r="E1605" s="6" t="n"/>
      <c r="F1605" s="8" t="n"/>
    </row>
    <row r="1606">
      <c r="A1606" s="7" t="n"/>
      <c r="B1606" s="8" t="n"/>
      <c r="C1606" s="9">
        <f>IF(B1606="","",IFERROR(VLOOKUP(B1606,'Daftar Outlet'!$A$4:$B$22,2,FALSE),""))</f>
        <v/>
      </c>
      <c r="D1606" s="8" t="n"/>
      <c r="E1606" s="6" t="n"/>
      <c r="F1606" s="8" t="n"/>
    </row>
    <row r="1607">
      <c r="A1607" s="7" t="n"/>
      <c r="B1607" s="8" t="n"/>
      <c r="C1607" s="9">
        <f>IF(B1607="","",IFERROR(VLOOKUP(B1607,'Daftar Outlet'!$A$4:$B$22,2,FALSE),""))</f>
        <v/>
      </c>
      <c r="D1607" s="8" t="n"/>
      <c r="E1607" s="6" t="n"/>
      <c r="F1607" s="8" t="n"/>
    </row>
    <row r="1608">
      <c r="A1608" s="7" t="n"/>
      <c r="B1608" s="8" t="n"/>
      <c r="C1608" s="9">
        <f>IF(B1608="","",IFERROR(VLOOKUP(B1608,'Daftar Outlet'!$A$4:$B$22,2,FALSE),""))</f>
        <v/>
      </c>
      <c r="D1608" s="8" t="n"/>
      <c r="E1608" s="6" t="n"/>
      <c r="F1608" s="8" t="n"/>
    </row>
    <row r="1609">
      <c r="A1609" s="7" t="n"/>
      <c r="B1609" s="8" t="n"/>
      <c r="C1609" s="9">
        <f>IF(B1609="","",IFERROR(VLOOKUP(B1609,'Daftar Outlet'!$A$4:$B$22,2,FALSE),""))</f>
        <v/>
      </c>
      <c r="D1609" s="8" t="n"/>
      <c r="E1609" s="6" t="n"/>
      <c r="F1609" s="8" t="n"/>
    </row>
    <row r="1610">
      <c r="A1610" s="7" t="n"/>
      <c r="B1610" s="8" t="n"/>
      <c r="C1610" s="9">
        <f>IF(B1610="","",IFERROR(VLOOKUP(B1610,'Daftar Outlet'!$A$4:$B$22,2,FALSE),""))</f>
        <v/>
      </c>
      <c r="D1610" s="8" t="n"/>
      <c r="E1610" s="6" t="n"/>
      <c r="F1610" s="8" t="n"/>
    </row>
    <row r="1611">
      <c r="A1611" s="7" t="n"/>
      <c r="B1611" s="8" t="n"/>
      <c r="C1611" s="9">
        <f>IF(B1611="","",IFERROR(VLOOKUP(B1611,'Daftar Outlet'!$A$4:$B$22,2,FALSE),""))</f>
        <v/>
      </c>
      <c r="D1611" s="8" t="n"/>
      <c r="E1611" s="6" t="n"/>
      <c r="F1611" s="8" t="n"/>
    </row>
    <row r="1612">
      <c r="A1612" s="7" t="n"/>
      <c r="B1612" s="8" t="n"/>
      <c r="C1612" s="9">
        <f>IF(B1612="","",IFERROR(VLOOKUP(B1612,'Daftar Outlet'!$A$4:$B$22,2,FALSE),""))</f>
        <v/>
      </c>
      <c r="D1612" s="8" t="n"/>
      <c r="E1612" s="6" t="n"/>
      <c r="F1612" s="8" t="n"/>
    </row>
    <row r="1613">
      <c r="A1613" s="7" t="n"/>
      <c r="B1613" s="8" t="n"/>
      <c r="C1613" s="9">
        <f>IF(B1613="","",IFERROR(VLOOKUP(B1613,'Daftar Outlet'!$A$4:$B$22,2,FALSE),""))</f>
        <v/>
      </c>
      <c r="D1613" s="8" t="n"/>
      <c r="E1613" s="6" t="n"/>
      <c r="F1613" s="8" t="n"/>
    </row>
    <row r="1614">
      <c r="A1614" s="7" t="n"/>
      <c r="B1614" s="8" t="n"/>
      <c r="C1614" s="9">
        <f>IF(B1614="","",IFERROR(VLOOKUP(B1614,'Daftar Outlet'!$A$4:$B$22,2,FALSE),""))</f>
        <v/>
      </c>
      <c r="D1614" s="8" t="n"/>
      <c r="E1614" s="6" t="n"/>
      <c r="F1614" s="8" t="n"/>
    </row>
    <row r="1615">
      <c r="A1615" s="7" t="n"/>
      <c r="B1615" s="8" t="n"/>
      <c r="C1615" s="9">
        <f>IF(B1615="","",IFERROR(VLOOKUP(B1615,'Daftar Outlet'!$A$4:$B$22,2,FALSE),""))</f>
        <v/>
      </c>
      <c r="D1615" s="8" t="n"/>
      <c r="E1615" s="6" t="n"/>
      <c r="F1615" s="8" t="n"/>
    </row>
    <row r="1616">
      <c r="A1616" s="7" t="n"/>
      <c r="B1616" s="8" t="n"/>
      <c r="C1616" s="9">
        <f>IF(B1616="","",IFERROR(VLOOKUP(B1616,'Daftar Outlet'!$A$4:$B$22,2,FALSE),""))</f>
        <v/>
      </c>
      <c r="D1616" s="8" t="n"/>
      <c r="E1616" s="6" t="n"/>
      <c r="F1616" s="8" t="n"/>
    </row>
    <row r="1617">
      <c r="A1617" s="7" t="n"/>
      <c r="B1617" s="8" t="n"/>
      <c r="C1617" s="9">
        <f>IF(B1617="","",IFERROR(VLOOKUP(B1617,'Daftar Outlet'!$A$4:$B$22,2,FALSE),""))</f>
        <v/>
      </c>
      <c r="D1617" s="8" t="n"/>
      <c r="E1617" s="6" t="n"/>
      <c r="F1617" s="8" t="n"/>
    </row>
    <row r="1618">
      <c r="A1618" s="7" t="n"/>
      <c r="B1618" s="8" t="n"/>
      <c r="C1618" s="9">
        <f>IF(B1618="","",IFERROR(VLOOKUP(B1618,'Daftar Outlet'!$A$4:$B$22,2,FALSE),""))</f>
        <v/>
      </c>
      <c r="D1618" s="8" t="n"/>
      <c r="E1618" s="6" t="n"/>
      <c r="F1618" s="8" t="n"/>
    </row>
    <row r="1619">
      <c r="A1619" s="7" t="n"/>
      <c r="B1619" s="8" t="n"/>
      <c r="C1619" s="9">
        <f>IF(B1619="","",IFERROR(VLOOKUP(B1619,'Daftar Outlet'!$A$4:$B$22,2,FALSE),""))</f>
        <v/>
      </c>
      <c r="D1619" s="8" t="n"/>
      <c r="E1619" s="6" t="n"/>
      <c r="F1619" s="8" t="n"/>
    </row>
    <row r="1620">
      <c r="A1620" s="7" t="n"/>
      <c r="B1620" s="8" t="n"/>
      <c r="C1620" s="9">
        <f>IF(B1620="","",IFERROR(VLOOKUP(B1620,'Daftar Outlet'!$A$4:$B$22,2,FALSE),""))</f>
        <v/>
      </c>
      <c r="D1620" s="8" t="n"/>
      <c r="E1620" s="6" t="n"/>
      <c r="F1620" s="8" t="n"/>
    </row>
    <row r="1621">
      <c r="A1621" s="7" t="n"/>
      <c r="B1621" s="8" t="n"/>
      <c r="C1621" s="9">
        <f>IF(B1621="","",IFERROR(VLOOKUP(B1621,'Daftar Outlet'!$A$4:$B$22,2,FALSE),""))</f>
        <v/>
      </c>
      <c r="D1621" s="8" t="n"/>
      <c r="E1621" s="6" t="n"/>
      <c r="F1621" s="8" t="n"/>
    </row>
    <row r="1622">
      <c r="A1622" s="7" t="n"/>
      <c r="B1622" s="8" t="n"/>
      <c r="C1622" s="9">
        <f>IF(B1622="","",IFERROR(VLOOKUP(B1622,'Daftar Outlet'!$A$4:$B$22,2,FALSE),""))</f>
        <v/>
      </c>
      <c r="D1622" s="8" t="n"/>
      <c r="E1622" s="6" t="n"/>
      <c r="F1622" s="8" t="n"/>
    </row>
    <row r="1623">
      <c r="A1623" s="7" t="n"/>
      <c r="B1623" s="8" t="n"/>
      <c r="C1623" s="9">
        <f>IF(B1623="","",IFERROR(VLOOKUP(B1623,'Daftar Outlet'!$A$4:$B$22,2,FALSE),""))</f>
        <v/>
      </c>
      <c r="D1623" s="8" t="n"/>
      <c r="E1623" s="6" t="n"/>
      <c r="F1623" s="8" t="n"/>
    </row>
    <row r="1624">
      <c r="A1624" s="7" t="n"/>
      <c r="B1624" s="8" t="n"/>
      <c r="C1624" s="9">
        <f>IF(B1624="","",IFERROR(VLOOKUP(B1624,'Daftar Outlet'!$A$4:$B$22,2,FALSE),""))</f>
        <v/>
      </c>
      <c r="D1624" s="8" t="n"/>
      <c r="E1624" s="6" t="n"/>
      <c r="F1624" s="8" t="n"/>
    </row>
    <row r="1625">
      <c r="A1625" s="7" t="n"/>
      <c r="B1625" s="8" t="n"/>
      <c r="C1625" s="9">
        <f>IF(B1625="","",IFERROR(VLOOKUP(B1625,'Daftar Outlet'!$A$4:$B$22,2,FALSE),""))</f>
        <v/>
      </c>
      <c r="D1625" s="8" t="n"/>
      <c r="E1625" s="6" t="n"/>
      <c r="F1625" s="8" t="n"/>
    </row>
    <row r="1626">
      <c r="A1626" s="7" t="n"/>
      <c r="B1626" s="8" t="n"/>
      <c r="C1626" s="9">
        <f>IF(B1626="","",IFERROR(VLOOKUP(B1626,'Daftar Outlet'!$A$4:$B$22,2,FALSE),""))</f>
        <v/>
      </c>
      <c r="D1626" s="8" t="n"/>
      <c r="E1626" s="6" t="n"/>
      <c r="F1626" s="8" t="n"/>
    </row>
    <row r="1627">
      <c r="A1627" s="7" t="n"/>
      <c r="B1627" s="8" t="n"/>
      <c r="C1627" s="9">
        <f>IF(B1627="","",IFERROR(VLOOKUP(B1627,'Daftar Outlet'!$A$4:$B$22,2,FALSE),""))</f>
        <v/>
      </c>
      <c r="D1627" s="8" t="n"/>
      <c r="E1627" s="6" t="n"/>
      <c r="F1627" s="8" t="n"/>
    </row>
    <row r="1628">
      <c r="A1628" s="7" t="n"/>
      <c r="B1628" s="8" t="n"/>
      <c r="C1628" s="9">
        <f>IF(B1628="","",IFERROR(VLOOKUP(B1628,'Daftar Outlet'!$A$4:$B$22,2,FALSE),""))</f>
        <v/>
      </c>
      <c r="D1628" s="8" t="n"/>
      <c r="E1628" s="6" t="n"/>
      <c r="F1628" s="8" t="n"/>
    </row>
    <row r="1629">
      <c r="A1629" s="7" t="n"/>
      <c r="B1629" s="8" t="n"/>
      <c r="C1629" s="9">
        <f>IF(B1629="","",IFERROR(VLOOKUP(B1629,'Daftar Outlet'!$A$4:$B$22,2,FALSE),""))</f>
        <v/>
      </c>
      <c r="D1629" s="8" t="n"/>
      <c r="E1629" s="6" t="n"/>
      <c r="F1629" s="8" t="n"/>
    </row>
    <row r="1630">
      <c r="A1630" s="7" t="n"/>
      <c r="B1630" s="8" t="n"/>
      <c r="C1630" s="9">
        <f>IF(B1630="","",IFERROR(VLOOKUP(B1630,'Daftar Outlet'!$A$4:$B$22,2,FALSE),""))</f>
        <v/>
      </c>
      <c r="D1630" s="8" t="n"/>
      <c r="E1630" s="6" t="n"/>
      <c r="F1630" s="8" t="n"/>
    </row>
    <row r="1631">
      <c r="A1631" s="7" t="n"/>
      <c r="B1631" s="8" t="n"/>
      <c r="C1631" s="9">
        <f>IF(B1631="","",IFERROR(VLOOKUP(B1631,'Daftar Outlet'!$A$4:$B$22,2,FALSE),""))</f>
        <v/>
      </c>
      <c r="D1631" s="8" t="n"/>
      <c r="E1631" s="6" t="n"/>
      <c r="F1631" s="8" t="n"/>
    </row>
    <row r="1632">
      <c r="A1632" s="7" t="n"/>
      <c r="B1632" s="8" t="n"/>
      <c r="C1632" s="9">
        <f>IF(B1632="","",IFERROR(VLOOKUP(B1632,'Daftar Outlet'!$A$4:$B$22,2,FALSE),""))</f>
        <v/>
      </c>
      <c r="D1632" s="8" t="n"/>
      <c r="E1632" s="6" t="n"/>
      <c r="F1632" s="8" t="n"/>
    </row>
    <row r="1633">
      <c r="A1633" s="7" t="n"/>
      <c r="B1633" s="8" t="n"/>
      <c r="C1633" s="9">
        <f>IF(B1633="","",IFERROR(VLOOKUP(B1633,'Daftar Outlet'!$A$4:$B$22,2,FALSE),""))</f>
        <v/>
      </c>
      <c r="D1633" s="8" t="n"/>
      <c r="E1633" s="6" t="n"/>
      <c r="F1633" s="8" t="n"/>
    </row>
    <row r="1634">
      <c r="A1634" s="7" t="n"/>
      <c r="B1634" s="8" t="n"/>
      <c r="C1634" s="9">
        <f>IF(B1634="","",IFERROR(VLOOKUP(B1634,'Daftar Outlet'!$A$4:$B$22,2,FALSE),""))</f>
        <v/>
      </c>
      <c r="D1634" s="8" t="n"/>
      <c r="E1634" s="6" t="n"/>
      <c r="F1634" s="8" t="n"/>
    </row>
    <row r="1635">
      <c r="A1635" s="7" t="n"/>
      <c r="B1635" s="8" t="n"/>
      <c r="C1635" s="9">
        <f>IF(B1635="","",IFERROR(VLOOKUP(B1635,'Daftar Outlet'!$A$4:$B$22,2,FALSE),""))</f>
        <v/>
      </c>
      <c r="D1635" s="8" t="n"/>
      <c r="E1635" s="6" t="n"/>
      <c r="F1635" s="8" t="n"/>
    </row>
    <row r="1636">
      <c r="A1636" s="7" t="n"/>
      <c r="B1636" s="8" t="n"/>
      <c r="C1636" s="9">
        <f>IF(B1636="","",IFERROR(VLOOKUP(B1636,'Daftar Outlet'!$A$4:$B$22,2,FALSE),""))</f>
        <v/>
      </c>
      <c r="D1636" s="8" t="n"/>
      <c r="E1636" s="6" t="n"/>
      <c r="F1636" s="8" t="n"/>
    </row>
    <row r="1637">
      <c r="A1637" s="7" t="n"/>
      <c r="B1637" s="8" t="n"/>
      <c r="C1637" s="9">
        <f>IF(B1637="","",IFERROR(VLOOKUP(B1637,'Daftar Outlet'!$A$4:$B$22,2,FALSE),""))</f>
        <v/>
      </c>
      <c r="D1637" s="8" t="n"/>
      <c r="E1637" s="6" t="n"/>
      <c r="F1637" s="8" t="n"/>
    </row>
    <row r="1638">
      <c r="A1638" s="7" t="n"/>
      <c r="B1638" s="8" t="n"/>
      <c r="C1638" s="9">
        <f>IF(B1638="","",IFERROR(VLOOKUP(B1638,'Daftar Outlet'!$A$4:$B$22,2,FALSE),""))</f>
        <v/>
      </c>
      <c r="D1638" s="8" t="n"/>
      <c r="E1638" s="6" t="n"/>
      <c r="F1638" s="8" t="n"/>
    </row>
    <row r="1639">
      <c r="A1639" s="7" t="n"/>
      <c r="B1639" s="8" t="n"/>
      <c r="C1639" s="9">
        <f>IF(B1639="","",IFERROR(VLOOKUP(B1639,'Daftar Outlet'!$A$4:$B$22,2,FALSE),""))</f>
        <v/>
      </c>
      <c r="D1639" s="8" t="n"/>
      <c r="E1639" s="6" t="n"/>
      <c r="F1639" s="8" t="n"/>
    </row>
    <row r="1640">
      <c r="A1640" s="7" t="n"/>
      <c r="B1640" s="8" t="n"/>
      <c r="C1640" s="9">
        <f>IF(B1640="","",IFERROR(VLOOKUP(B1640,'Daftar Outlet'!$A$4:$B$22,2,FALSE),""))</f>
        <v/>
      </c>
      <c r="D1640" s="8" t="n"/>
      <c r="E1640" s="6" t="n"/>
      <c r="F1640" s="8" t="n"/>
    </row>
    <row r="1641">
      <c r="A1641" s="7" t="n"/>
      <c r="B1641" s="8" t="n"/>
      <c r="C1641" s="9">
        <f>IF(B1641="","",IFERROR(VLOOKUP(B1641,'Daftar Outlet'!$A$4:$B$22,2,FALSE),""))</f>
        <v/>
      </c>
      <c r="D1641" s="8" t="n"/>
      <c r="E1641" s="6" t="n"/>
      <c r="F1641" s="8" t="n"/>
    </row>
    <row r="1642">
      <c r="A1642" s="7" t="n"/>
      <c r="B1642" s="8" t="n"/>
      <c r="C1642" s="9">
        <f>IF(B1642="","",IFERROR(VLOOKUP(B1642,'Daftar Outlet'!$A$4:$B$22,2,FALSE),""))</f>
        <v/>
      </c>
      <c r="D1642" s="8" t="n"/>
      <c r="E1642" s="6" t="n"/>
      <c r="F1642" s="8" t="n"/>
    </row>
    <row r="1643">
      <c r="A1643" s="7" t="n"/>
      <c r="B1643" s="8" t="n"/>
      <c r="C1643" s="9">
        <f>IF(B1643="","",IFERROR(VLOOKUP(B1643,'Daftar Outlet'!$A$4:$B$22,2,FALSE),""))</f>
        <v/>
      </c>
      <c r="D1643" s="8" t="n"/>
      <c r="E1643" s="6" t="n"/>
      <c r="F1643" s="8" t="n"/>
    </row>
    <row r="1644">
      <c r="A1644" s="7" t="n"/>
      <c r="B1644" s="8" t="n"/>
      <c r="C1644" s="9">
        <f>IF(B1644="","",IFERROR(VLOOKUP(B1644,'Daftar Outlet'!$A$4:$B$22,2,FALSE),""))</f>
        <v/>
      </c>
      <c r="D1644" s="8" t="n"/>
      <c r="E1644" s="6" t="n"/>
      <c r="F1644" s="8" t="n"/>
    </row>
    <row r="1645">
      <c r="A1645" s="7" t="n"/>
      <c r="B1645" s="8" t="n"/>
      <c r="C1645" s="9">
        <f>IF(B1645="","",IFERROR(VLOOKUP(B1645,'Daftar Outlet'!$A$4:$B$22,2,FALSE),""))</f>
        <v/>
      </c>
      <c r="D1645" s="8" t="n"/>
      <c r="E1645" s="6" t="n"/>
      <c r="F1645" s="8" t="n"/>
    </row>
    <row r="1646">
      <c r="A1646" s="7" t="n"/>
      <c r="B1646" s="8" t="n"/>
      <c r="C1646" s="9">
        <f>IF(B1646="","",IFERROR(VLOOKUP(B1646,'Daftar Outlet'!$A$4:$B$22,2,FALSE),""))</f>
        <v/>
      </c>
      <c r="D1646" s="8" t="n"/>
      <c r="E1646" s="6" t="n"/>
      <c r="F1646" s="8" t="n"/>
    </row>
    <row r="1647">
      <c r="A1647" s="7" t="n"/>
      <c r="B1647" s="8" t="n"/>
      <c r="C1647" s="9">
        <f>IF(B1647="","",IFERROR(VLOOKUP(B1647,'Daftar Outlet'!$A$4:$B$22,2,FALSE),""))</f>
        <v/>
      </c>
      <c r="D1647" s="8" t="n"/>
      <c r="E1647" s="6" t="n"/>
      <c r="F1647" s="8" t="n"/>
    </row>
    <row r="1648">
      <c r="A1648" s="7" t="n"/>
      <c r="B1648" s="8" t="n"/>
      <c r="C1648" s="9">
        <f>IF(B1648="","",IFERROR(VLOOKUP(B1648,'Daftar Outlet'!$A$4:$B$22,2,FALSE),""))</f>
        <v/>
      </c>
      <c r="D1648" s="8" t="n"/>
      <c r="E1648" s="6" t="n"/>
      <c r="F1648" s="8" t="n"/>
    </row>
    <row r="1649">
      <c r="A1649" s="7" t="n"/>
      <c r="B1649" s="8" t="n"/>
      <c r="C1649" s="9">
        <f>IF(B1649="","",IFERROR(VLOOKUP(B1649,'Daftar Outlet'!$A$4:$B$22,2,FALSE),""))</f>
        <v/>
      </c>
      <c r="D1649" s="8" t="n"/>
      <c r="E1649" s="6" t="n"/>
      <c r="F1649" s="8" t="n"/>
    </row>
    <row r="1650">
      <c r="A1650" s="7" t="n"/>
      <c r="B1650" s="8" t="n"/>
      <c r="C1650" s="9">
        <f>IF(B1650="","",IFERROR(VLOOKUP(B1650,'Daftar Outlet'!$A$4:$B$22,2,FALSE),""))</f>
        <v/>
      </c>
      <c r="D1650" s="8" t="n"/>
      <c r="E1650" s="6" t="n"/>
      <c r="F1650" s="8" t="n"/>
    </row>
    <row r="1651">
      <c r="A1651" s="7" t="n"/>
      <c r="B1651" s="8" t="n"/>
      <c r="C1651" s="9">
        <f>IF(B1651="","",IFERROR(VLOOKUP(B1651,'Daftar Outlet'!$A$4:$B$22,2,FALSE),""))</f>
        <v/>
      </c>
      <c r="D1651" s="8" t="n"/>
      <c r="E1651" s="6" t="n"/>
      <c r="F1651" s="8" t="n"/>
    </row>
    <row r="1652">
      <c r="A1652" s="7" t="n"/>
      <c r="B1652" s="8" t="n"/>
      <c r="C1652" s="9">
        <f>IF(B1652="","",IFERROR(VLOOKUP(B1652,'Daftar Outlet'!$A$4:$B$22,2,FALSE),""))</f>
        <v/>
      </c>
      <c r="D1652" s="8" t="n"/>
      <c r="E1652" s="6" t="n"/>
      <c r="F1652" s="8" t="n"/>
    </row>
    <row r="1653">
      <c r="A1653" s="7" t="n"/>
      <c r="B1653" s="8" t="n"/>
      <c r="C1653" s="9">
        <f>IF(B1653="","",IFERROR(VLOOKUP(B1653,'Daftar Outlet'!$A$4:$B$22,2,FALSE),""))</f>
        <v/>
      </c>
      <c r="D1653" s="8" t="n"/>
      <c r="E1653" s="6" t="n"/>
      <c r="F1653" s="8" t="n"/>
    </row>
    <row r="1654">
      <c r="A1654" s="7" t="n"/>
      <c r="B1654" s="8" t="n"/>
      <c r="C1654" s="9">
        <f>IF(B1654="","",IFERROR(VLOOKUP(B1654,'Daftar Outlet'!$A$4:$B$22,2,FALSE),""))</f>
        <v/>
      </c>
      <c r="D1654" s="8" t="n"/>
      <c r="E1654" s="6" t="n"/>
      <c r="F1654" s="8" t="n"/>
    </row>
    <row r="1655">
      <c r="A1655" s="7" t="n"/>
      <c r="B1655" s="8" t="n"/>
      <c r="C1655" s="9">
        <f>IF(B1655="","",IFERROR(VLOOKUP(B1655,'Daftar Outlet'!$A$4:$B$22,2,FALSE),""))</f>
        <v/>
      </c>
      <c r="D1655" s="8" t="n"/>
      <c r="E1655" s="6" t="n"/>
      <c r="F1655" s="8" t="n"/>
    </row>
    <row r="1656">
      <c r="A1656" s="7" t="n"/>
      <c r="B1656" s="8" t="n"/>
      <c r="C1656" s="9">
        <f>IF(B1656="","",IFERROR(VLOOKUP(B1656,'Daftar Outlet'!$A$4:$B$22,2,FALSE),""))</f>
        <v/>
      </c>
      <c r="D1656" s="8" t="n"/>
      <c r="E1656" s="6" t="n"/>
      <c r="F1656" s="8" t="n"/>
    </row>
    <row r="1657">
      <c r="A1657" s="7" t="n"/>
      <c r="B1657" s="8" t="n"/>
      <c r="C1657" s="9">
        <f>IF(B1657="","",IFERROR(VLOOKUP(B1657,'Daftar Outlet'!$A$4:$B$22,2,FALSE),""))</f>
        <v/>
      </c>
      <c r="D1657" s="8" t="n"/>
      <c r="E1657" s="6" t="n"/>
      <c r="F1657" s="8" t="n"/>
    </row>
    <row r="1658">
      <c r="A1658" s="7" t="n"/>
      <c r="B1658" s="8" t="n"/>
      <c r="C1658" s="9">
        <f>IF(B1658="","",IFERROR(VLOOKUP(B1658,'Daftar Outlet'!$A$4:$B$22,2,FALSE),""))</f>
        <v/>
      </c>
      <c r="D1658" s="8" t="n"/>
      <c r="E1658" s="6" t="n"/>
      <c r="F1658" s="8" t="n"/>
    </row>
    <row r="1659">
      <c r="A1659" s="7" t="n"/>
      <c r="B1659" s="8" t="n"/>
      <c r="C1659" s="9">
        <f>IF(B1659="","",IFERROR(VLOOKUP(B1659,'Daftar Outlet'!$A$4:$B$22,2,FALSE),""))</f>
        <v/>
      </c>
      <c r="D1659" s="8" t="n"/>
      <c r="E1659" s="6" t="n"/>
      <c r="F1659" s="8" t="n"/>
    </row>
    <row r="1660">
      <c r="A1660" s="7" t="n"/>
      <c r="B1660" s="8" t="n"/>
      <c r="C1660" s="9">
        <f>IF(B1660="","",IFERROR(VLOOKUP(B1660,'Daftar Outlet'!$A$4:$B$22,2,FALSE),""))</f>
        <v/>
      </c>
      <c r="D1660" s="8" t="n"/>
      <c r="E1660" s="6" t="n"/>
      <c r="F1660" s="8" t="n"/>
    </row>
    <row r="1661">
      <c r="A1661" s="7" t="n"/>
      <c r="B1661" s="8" t="n"/>
      <c r="C1661" s="9">
        <f>IF(B1661="","",IFERROR(VLOOKUP(B1661,'Daftar Outlet'!$A$4:$B$22,2,FALSE),""))</f>
        <v/>
      </c>
      <c r="D1661" s="8" t="n"/>
      <c r="E1661" s="6" t="n"/>
      <c r="F1661" s="8" t="n"/>
    </row>
    <row r="1662">
      <c r="A1662" s="7" t="n"/>
      <c r="B1662" s="8" t="n"/>
      <c r="C1662" s="9">
        <f>IF(B1662="","",IFERROR(VLOOKUP(B1662,'Daftar Outlet'!$A$4:$B$22,2,FALSE),""))</f>
        <v/>
      </c>
      <c r="D1662" s="8" t="n"/>
      <c r="E1662" s="6" t="n"/>
      <c r="F1662" s="8" t="n"/>
    </row>
    <row r="1663">
      <c r="A1663" s="7" t="n"/>
      <c r="B1663" s="8" t="n"/>
      <c r="C1663" s="9">
        <f>IF(B1663="","",IFERROR(VLOOKUP(B1663,'Daftar Outlet'!$A$4:$B$22,2,FALSE),""))</f>
        <v/>
      </c>
      <c r="D1663" s="8" t="n"/>
      <c r="E1663" s="6" t="n"/>
      <c r="F1663" s="8" t="n"/>
    </row>
    <row r="1664">
      <c r="A1664" s="7" t="n"/>
      <c r="B1664" s="8" t="n"/>
      <c r="C1664" s="9">
        <f>IF(B1664="","",IFERROR(VLOOKUP(B1664,'Daftar Outlet'!$A$4:$B$22,2,FALSE),""))</f>
        <v/>
      </c>
      <c r="D1664" s="8" t="n"/>
      <c r="E1664" s="6" t="n"/>
      <c r="F1664" s="8" t="n"/>
    </row>
    <row r="1665">
      <c r="A1665" s="7" t="n"/>
      <c r="B1665" s="8" t="n"/>
      <c r="C1665" s="9">
        <f>IF(B1665="","",IFERROR(VLOOKUP(B1665,'Daftar Outlet'!$A$4:$B$22,2,FALSE),""))</f>
        <v/>
      </c>
      <c r="D1665" s="8" t="n"/>
      <c r="E1665" s="6" t="n"/>
      <c r="F1665" s="8" t="n"/>
    </row>
    <row r="1666">
      <c r="A1666" s="7" t="n"/>
      <c r="B1666" s="8" t="n"/>
      <c r="C1666" s="9">
        <f>IF(B1666="","",IFERROR(VLOOKUP(B1666,'Daftar Outlet'!$A$4:$B$22,2,FALSE),""))</f>
        <v/>
      </c>
      <c r="D1666" s="8" t="n"/>
      <c r="E1666" s="6" t="n"/>
      <c r="F1666" s="8" t="n"/>
    </row>
    <row r="1667">
      <c r="A1667" s="7" t="n"/>
      <c r="B1667" s="8" t="n"/>
      <c r="C1667" s="9">
        <f>IF(B1667="","",IFERROR(VLOOKUP(B1667,'Daftar Outlet'!$A$4:$B$22,2,FALSE),""))</f>
        <v/>
      </c>
      <c r="D1667" s="8" t="n"/>
      <c r="E1667" s="6" t="n"/>
      <c r="F1667" s="8" t="n"/>
    </row>
    <row r="1668">
      <c r="A1668" s="7" t="n"/>
      <c r="B1668" s="8" t="n"/>
      <c r="C1668" s="9">
        <f>IF(B1668="","",IFERROR(VLOOKUP(B1668,'Daftar Outlet'!$A$4:$B$22,2,FALSE),""))</f>
        <v/>
      </c>
      <c r="D1668" s="8" t="n"/>
      <c r="E1668" s="6" t="n"/>
      <c r="F1668" s="8" t="n"/>
    </row>
    <row r="1669">
      <c r="A1669" s="7" t="n"/>
      <c r="B1669" s="8" t="n"/>
      <c r="C1669" s="9">
        <f>IF(B1669="","",IFERROR(VLOOKUP(B1669,'Daftar Outlet'!$A$4:$B$22,2,FALSE),""))</f>
        <v/>
      </c>
      <c r="D1669" s="8" t="n"/>
      <c r="E1669" s="6" t="n"/>
      <c r="F1669" s="8" t="n"/>
    </row>
    <row r="1670">
      <c r="A1670" s="7" t="n"/>
      <c r="B1670" s="8" t="n"/>
      <c r="C1670" s="9">
        <f>IF(B1670="","",IFERROR(VLOOKUP(B1670,'Daftar Outlet'!$A$4:$B$22,2,FALSE),""))</f>
        <v/>
      </c>
      <c r="D1670" s="8" t="n"/>
      <c r="E1670" s="6" t="n"/>
      <c r="F1670" s="8" t="n"/>
    </row>
    <row r="1671">
      <c r="A1671" s="7" t="n"/>
      <c r="B1671" s="8" t="n"/>
      <c r="C1671" s="9">
        <f>IF(B1671="","",IFERROR(VLOOKUP(B1671,'Daftar Outlet'!$A$4:$B$22,2,FALSE),""))</f>
        <v/>
      </c>
      <c r="D1671" s="8" t="n"/>
      <c r="E1671" s="6" t="n"/>
      <c r="F1671" s="8" t="n"/>
    </row>
    <row r="1672">
      <c r="A1672" s="7" t="n"/>
      <c r="B1672" s="8" t="n"/>
      <c r="C1672" s="9">
        <f>IF(B1672="","",IFERROR(VLOOKUP(B1672,'Daftar Outlet'!$A$4:$B$22,2,FALSE),""))</f>
        <v/>
      </c>
      <c r="D1672" s="8" t="n"/>
      <c r="E1672" s="6" t="n"/>
      <c r="F1672" s="8" t="n"/>
    </row>
    <row r="1673">
      <c r="A1673" s="7" t="n"/>
      <c r="B1673" s="8" t="n"/>
      <c r="C1673" s="9">
        <f>IF(B1673="","",IFERROR(VLOOKUP(B1673,'Daftar Outlet'!$A$4:$B$22,2,FALSE),""))</f>
        <v/>
      </c>
      <c r="D1673" s="8" t="n"/>
      <c r="E1673" s="6" t="n"/>
      <c r="F1673" s="8" t="n"/>
    </row>
    <row r="1674">
      <c r="A1674" s="7" t="n"/>
      <c r="B1674" s="8" t="n"/>
      <c r="C1674" s="9">
        <f>IF(B1674="","",IFERROR(VLOOKUP(B1674,'Daftar Outlet'!$A$4:$B$22,2,FALSE),""))</f>
        <v/>
      </c>
      <c r="D1674" s="8" t="n"/>
      <c r="E1674" s="6" t="n"/>
      <c r="F1674" s="8" t="n"/>
    </row>
    <row r="1675">
      <c r="A1675" s="7" t="n"/>
      <c r="B1675" s="8" t="n"/>
      <c r="C1675" s="9">
        <f>IF(B1675="","",IFERROR(VLOOKUP(B1675,'Daftar Outlet'!$A$4:$B$22,2,FALSE),""))</f>
        <v/>
      </c>
      <c r="D1675" s="8" t="n"/>
      <c r="E1675" s="6" t="n"/>
      <c r="F1675" s="8" t="n"/>
    </row>
    <row r="1676">
      <c r="A1676" s="7" t="n"/>
      <c r="B1676" s="8" t="n"/>
      <c r="C1676" s="9">
        <f>IF(B1676="","",IFERROR(VLOOKUP(B1676,'Daftar Outlet'!$A$4:$B$22,2,FALSE),""))</f>
        <v/>
      </c>
      <c r="D1676" s="8" t="n"/>
      <c r="E1676" s="6" t="n"/>
      <c r="F1676" s="8" t="n"/>
    </row>
    <row r="1677">
      <c r="A1677" s="7" t="n"/>
      <c r="B1677" s="8" t="n"/>
      <c r="C1677" s="9">
        <f>IF(B1677="","",IFERROR(VLOOKUP(B1677,'Daftar Outlet'!$A$4:$B$22,2,FALSE),""))</f>
        <v/>
      </c>
      <c r="D1677" s="8" t="n"/>
      <c r="E1677" s="6" t="n"/>
      <c r="F1677" s="8" t="n"/>
    </row>
    <row r="1678">
      <c r="A1678" s="7" t="n"/>
      <c r="B1678" s="8" t="n"/>
      <c r="C1678" s="9">
        <f>IF(B1678="","",IFERROR(VLOOKUP(B1678,'Daftar Outlet'!$A$4:$B$22,2,FALSE),""))</f>
        <v/>
      </c>
      <c r="D1678" s="8" t="n"/>
      <c r="E1678" s="6" t="n"/>
      <c r="F1678" s="8" t="n"/>
    </row>
    <row r="1679">
      <c r="A1679" s="7" t="n"/>
      <c r="B1679" s="8" t="n"/>
      <c r="C1679" s="9">
        <f>IF(B1679="","",IFERROR(VLOOKUP(B1679,'Daftar Outlet'!$A$4:$B$22,2,FALSE),""))</f>
        <v/>
      </c>
      <c r="D1679" s="8" t="n"/>
      <c r="E1679" s="6" t="n"/>
      <c r="F1679" s="8" t="n"/>
    </row>
    <row r="1680">
      <c r="A1680" s="7" t="n"/>
      <c r="B1680" s="8" t="n"/>
      <c r="C1680" s="9">
        <f>IF(B1680="","",IFERROR(VLOOKUP(B1680,'Daftar Outlet'!$A$4:$B$22,2,FALSE),""))</f>
        <v/>
      </c>
      <c r="D1680" s="8" t="n"/>
      <c r="E1680" s="6" t="n"/>
      <c r="F1680" s="8" t="n"/>
    </row>
    <row r="1681">
      <c r="A1681" s="7" t="n"/>
      <c r="B1681" s="8" t="n"/>
      <c r="C1681" s="9">
        <f>IF(B1681="","",IFERROR(VLOOKUP(B1681,'Daftar Outlet'!$A$4:$B$22,2,FALSE),""))</f>
        <v/>
      </c>
      <c r="D1681" s="8" t="n"/>
      <c r="E1681" s="6" t="n"/>
      <c r="F1681" s="8" t="n"/>
    </row>
    <row r="1682">
      <c r="A1682" s="7" t="n"/>
      <c r="B1682" s="8" t="n"/>
      <c r="C1682" s="9">
        <f>IF(B1682="","",IFERROR(VLOOKUP(B1682,'Daftar Outlet'!$A$4:$B$22,2,FALSE),""))</f>
        <v/>
      </c>
      <c r="D1682" s="8" t="n"/>
      <c r="E1682" s="6" t="n"/>
      <c r="F1682" s="8" t="n"/>
    </row>
    <row r="1683">
      <c r="A1683" s="7" t="n"/>
      <c r="B1683" s="8" t="n"/>
      <c r="C1683" s="9">
        <f>IF(B1683="","",IFERROR(VLOOKUP(B1683,'Daftar Outlet'!$A$4:$B$22,2,FALSE),""))</f>
        <v/>
      </c>
      <c r="D1683" s="8" t="n"/>
      <c r="E1683" s="6" t="n"/>
      <c r="F1683" s="8" t="n"/>
    </row>
    <row r="1684">
      <c r="A1684" s="7" t="n"/>
      <c r="B1684" s="8" t="n"/>
      <c r="C1684" s="9">
        <f>IF(B1684="","",IFERROR(VLOOKUP(B1684,'Daftar Outlet'!$A$4:$B$22,2,FALSE),""))</f>
        <v/>
      </c>
      <c r="D1684" s="8" t="n"/>
      <c r="E1684" s="6" t="n"/>
      <c r="F1684" s="8" t="n"/>
    </row>
    <row r="1685">
      <c r="A1685" s="7" t="n"/>
      <c r="B1685" s="8" t="n"/>
      <c r="C1685" s="9">
        <f>IF(B1685="","",IFERROR(VLOOKUP(B1685,'Daftar Outlet'!$A$4:$B$22,2,FALSE),""))</f>
        <v/>
      </c>
      <c r="D1685" s="8" t="n"/>
      <c r="E1685" s="6" t="n"/>
      <c r="F1685" s="8" t="n"/>
    </row>
    <row r="1686">
      <c r="A1686" s="7" t="n"/>
      <c r="B1686" s="8" t="n"/>
      <c r="C1686" s="9">
        <f>IF(B1686="","",IFERROR(VLOOKUP(B1686,'Daftar Outlet'!$A$4:$B$22,2,FALSE),""))</f>
        <v/>
      </c>
      <c r="D1686" s="8" t="n"/>
      <c r="E1686" s="6" t="n"/>
      <c r="F1686" s="8" t="n"/>
    </row>
    <row r="1687">
      <c r="A1687" s="7" t="n"/>
      <c r="B1687" s="8" t="n"/>
      <c r="C1687" s="9">
        <f>IF(B1687="","",IFERROR(VLOOKUP(B1687,'Daftar Outlet'!$A$4:$B$22,2,FALSE),""))</f>
        <v/>
      </c>
      <c r="D1687" s="8" t="n"/>
      <c r="E1687" s="6" t="n"/>
      <c r="F1687" s="8" t="n"/>
    </row>
    <row r="1688">
      <c r="A1688" s="7" t="n"/>
      <c r="B1688" s="8" t="n"/>
      <c r="C1688" s="9">
        <f>IF(B1688="","",IFERROR(VLOOKUP(B1688,'Daftar Outlet'!$A$4:$B$22,2,FALSE),""))</f>
        <v/>
      </c>
      <c r="D1688" s="8" t="n"/>
      <c r="E1688" s="6" t="n"/>
      <c r="F1688" s="8" t="n"/>
    </row>
    <row r="1689">
      <c r="A1689" s="7" t="n"/>
      <c r="B1689" s="8" t="n"/>
      <c r="C1689" s="9">
        <f>IF(B1689="","",IFERROR(VLOOKUP(B1689,'Daftar Outlet'!$A$4:$B$22,2,FALSE),""))</f>
        <v/>
      </c>
      <c r="D1689" s="8" t="n"/>
      <c r="E1689" s="6" t="n"/>
      <c r="F1689" s="8" t="n"/>
    </row>
    <row r="1690">
      <c r="A1690" s="7" t="n"/>
      <c r="B1690" s="8" t="n"/>
      <c r="C1690" s="9">
        <f>IF(B1690="","",IFERROR(VLOOKUP(B1690,'Daftar Outlet'!$A$4:$B$22,2,FALSE),""))</f>
        <v/>
      </c>
      <c r="D1690" s="8" t="n"/>
      <c r="E1690" s="6" t="n"/>
      <c r="F1690" s="8" t="n"/>
    </row>
    <row r="1691">
      <c r="A1691" s="7" t="n"/>
      <c r="B1691" s="8" t="n"/>
      <c r="C1691" s="9">
        <f>IF(B1691="","",IFERROR(VLOOKUP(B1691,'Daftar Outlet'!$A$4:$B$22,2,FALSE),""))</f>
        <v/>
      </c>
      <c r="D1691" s="8" t="n"/>
      <c r="E1691" s="6" t="n"/>
      <c r="F1691" s="8" t="n"/>
    </row>
    <row r="1692">
      <c r="A1692" s="7" t="n"/>
      <c r="B1692" s="8" t="n"/>
      <c r="C1692" s="9">
        <f>IF(B1692="","",IFERROR(VLOOKUP(B1692,'Daftar Outlet'!$A$4:$B$22,2,FALSE),""))</f>
        <v/>
      </c>
      <c r="D1692" s="8" t="n"/>
      <c r="E1692" s="6" t="n"/>
      <c r="F1692" s="8" t="n"/>
    </row>
    <row r="1693">
      <c r="A1693" s="7" t="n"/>
      <c r="B1693" s="8" t="n"/>
      <c r="C1693" s="9">
        <f>IF(B1693="","",IFERROR(VLOOKUP(B1693,'Daftar Outlet'!$A$4:$B$22,2,FALSE),""))</f>
        <v/>
      </c>
      <c r="D1693" s="8" t="n"/>
      <c r="E1693" s="6" t="n"/>
      <c r="F1693" s="8" t="n"/>
    </row>
    <row r="1694">
      <c r="A1694" s="7" t="n"/>
      <c r="B1694" s="8" t="n"/>
      <c r="C1694" s="9">
        <f>IF(B1694="","",IFERROR(VLOOKUP(B1694,'Daftar Outlet'!$A$4:$B$22,2,FALSE),""))</f>
        <v/>
      </c>
      <c r="D1694" s="8" t="n"/>
      <c r="E1694" s="6" t="n"/>
      <c r="F1694" s="8" t="n"/>
    </row>
    <row r="1695">
      <c r="A1695" s="7" t="n"/>
      <c r="B1695" s="8" t="n"/>
      <c r="C1695" s="9">
        <f>IF(B1695="","",IFERROR(VLOOKUP(B1695,'Daftar Outlet'!$A$4:$B$22,2,FALSE),""))</f>
        <v/>
      </c>
      <c r="D1695" s="8" t="n"/>
      <c r="E1695" s="6" t="n"/>
      <c r="F1695" s="8" t="n"/>
    </row>
    <row r="1696">
      <c r="A1696" s="7" t="n"/>
      <c r="B1696" s="8" t="n"/>
      <c r="C1696" s="9">
        <f>IF(B1696="","",IFERROR(VLOOKUP(B1696,'Daftar Outlet'!$A$4:$B$22,2,FALSE),""))</f>
        <v/>
      </c>
      <c r="D1696" s="8" t="n"/>
      <c r="E1696" s="6" t="n"/>
      <c r="F1696" s="8" t="n"/>
    </row>
    <row r="1697">
      <c r="A1697" s="7" t="n"/>
      <c r="B1697" s="8" t="n"/>
      <c r="C1697" s="9">
        <f>IF(B1697="","",IFERROR(VLOOKUP(B1697,'Daftar Outlet'!$A$4:$B$22,2,FALSE),""))</f>
        <v/>
      </c>
      <c r="D1697" s="8" t="n"/>
      <c r="E1697" s="6" t="n"/>
      <c r="F1697" s="8" t="n"/>
    </row>
    <row r="1698">
      <c r="A1698" s="7" t="n"/>
      <c r="B1698" s="8" t="n"/>
      <c r="C1698" s="9">
        <f>IF(B1698="","",IFERROR(VLOOKUP(B1698,'Daftar Outlet'!$A$4:$B$22,2,FALSE),""))</f>
        <v/>
      </c>
      <c r="D1698" s="8" t="n"/>
      <c r="E1698" s="6" t="n"/>
      <c r="F1698" s="8" t="n"/>
    </row>
    <row r="1699">
      <c r="A1699" s="7" t="n"/>
      <c r="B1699" s="8" t="n"/>
      <c r="C1699" s="9">
        <f>IF(B1699="","",IFERROR(VLOOKUP(B1699,'Daftar Outlet'!$A$4:$B$22,2,FALSE),""))</f>
        <v/>
      </c>
      <c r="D1699" s="8" t="n"/>
      <c r="E1699" s="6" t="n"/>
      <c r="F1699" s="8" t="n"/>
    </row>
    <row r="1700">
      <c r="A1700" s="7" t="n"/>
      <c r="B1700" s="8" t="n"/>
      <c r="C1700" s="9">
        <f>IF(B1700="","",IFERROR(VLOOKUP(B1700,'Daftar Outlet'!$A$4:$B$22,2,FALSE),""))</f>
        <v/>
      </c>
      <c r="D1700" s="8" t="n"/>
      <c r="E1700" s="6" t="n"/>
      <c r="F1700" s="8" t="n"/>
    </row>
    <row r="1701">
      <c r="A1701" s="7" t="n"/>
      <c r="B1701" s="8" t="n"/>
      <c r="C1701" s="9">
        <f>IF(B1701="","",IFERROR(VLOOKUP(B1701,'Daftar Outlet'!$A$4:$B$22,2,FALSE),""))</f>
        <v/>
      </c>
      <c r="D1701" s="8" t="n"/>
      <c r="E1701" s="6" t="n"/>
      <c r="F1701" s="8" t="n"/>
    </row>
    <row r="1702">
      <c r="A1702" s="7" t="n"/>
      <c r="B1702" s="8" t="n"/>
      <c r="C1702" s="9">
        <f>IF(B1702="","",IFERROR(VLOOKUP(B1702,'Daftar Outlet'!$A$4:$B$22,2,FALSE),""))</f>
        <v/>
      </c>
      <c r="D1702" s="8" t="n"/>
      <c r="E1702" s="6" t="n"/>
      <c r="F1702" s="8" t="n"/>
    </row>
    <row r="1703">
      <c r="A1703" s="7" t="n"/>
      <c r="B1703" s="8" t="n"/>
      <c r="C1703" s="9">
        <f>IF(B1703="","",IFERROR(VLOOKUP(B1703,'Daftar Outlet'!$A$4:$B$22,2,FALSE),""))</f>
        <v/>
      </c>
      <c r="D1703" s="8" t="n"/>
      <c r="E1703" s="6" t="n"/>
      <c r="F1703" s="8" t="n"/>
    </row>
    <row r="1704">
      <c r="A1704" s="7" t="n"/>
      <c r="B1704" s="8" t="n"/>
      <c r="C1704" s="9">
        <f>IF(B1704="","",IFERROR(VLOOKUP(B1704,'Daftar Outlet'!$A$4:$B$22,2,FALSE),""))</f>
        <v/>
      </c>
      <c r="D1704" s="8" t="n"/>
      <c r="E1704" s="6" t="n"/>
      <c r="F1704" s="8" t="n"/>
    </row>
    <row r="1705">
      <c r="A1705" s="7" t="n"/>
      <c r="B1705" s="8" t="n"/>
      <c r="C1705" s="9">
        <f>IF(B1705="","",IFERROR(VLOOKUP(B1705,'Daftar Outlet'!$A$4:$B$22,2,FALSE),""))</f>
        <v/>
      </c>
      <c r="D1705" s="8" t="n"/>
      <c r="E1705" s="6" t="n"/>
      <c r="F1705" s="8" t="n"/>
    </row>
    <row r="1706">
      <c r="A1706" s="7" t="n"/>
      <c r="B1706" s="8" t="n"/>
      <c r="C1706" s="9">
        <f>IF(B1706="","",IFERROR(VLOOKUP(B1706,'Daftar Outlet'!$A$4:$B$22,2,FALSE),""))</f>
        <v/>
      </c>
      <c r="D1706" s="8" t="n"/>
      <c r="E1706" s="6" t="n"/>
      <c r="F1706" s="8" t="n"/>
    </row>
    <row r="1707">
      <c r="A1707" s="7" t="n"/>
      <c r="B1707" s="8" t="n"/>
      <c r="C1707" s="9">
        <f>IF(B1707="","",IFERROR(VLOOKUP(B1707,'Daftar Outlet'!$A$4:$B$22,2,FALSE),""))</f>
        <v/>
      </c>
      <c r="D1707" s="8" t="n"/>
      <c r="E1707" s="6" t="n"/>
      <c r="F1707" s="8" t="n"/>
    </row>
    <row r="1708">
      <c r="A1708" s="7" t="n"/>
      <c r="B1708" s="8" t="n"/>
      <c r="C1708" s="9">
        <f>IF(B1708="","",IFERROR(VLOOKUP(B1708,'Daftar Outlet'!$A$4:$B$22,2,FALSE),""))</f>
        <v/>
      </c>
      <c r="D1708" s="8" t="n"/>
      <c r="E1708" s="6" t="n"/>
      <c r="F1708" s="8" t="n"/>
    </row>
    <row r="1709">
      <c r="A1709" s="7" t="n"/>
      <c r="B1709" s="8" t="n"/>
      <c r="C1709" s="9">
        <f>IF(B1709="","",IFERROR(VLOOKUP(B1709,'Daftar Outlet'!$A$4:$B$22,2,FALSE),""))</f>
        <v/>
      </c>
      <c r="D1709" s="8" t="n"/>
      <c r="E1709" s="6" t="n"/>
      <c r="F1709" s="8" t="n"/>
    </row>
    <row r="1710">
      <c r="A1710" s="7" t="n"/>
      <c r="B1710" s="8" t="n"/>
      <c r="C1710" s="9">
        <f>IF(B1710="","",IFERROR(VLOOKUP(B1710,'Daftar Outlet'!$A$4:$B$22,2,FALSE),""))</f>
        <v/>
      </c>
      <c r="D1710" s="8" t="n"/>
      <c r="E1710" s="6" t="n"/>
      <c r="F1710" s="8" t="n"/>
    </row>
    <row r="1711">
      <c r="A1711" s="7" t="n"/>
      <c r="B1711" s="8" t="n"/>
      <c r="C1711" s="9">
        <f>IF(B1711="","",IFERROR(VLOOKUP(B1711,'Daftar Outlet'!$A$4:$B$22,2,FALSE),""))</f>
        <v/>
      </c>
      <c r="D1711" s="8" t="n"/>
      <c r="E1711" s="6" t="n"/>
      <c r="F1711" s="8" t="n"/>
    </row>
    <row r="1712">
      <c r="A1712" s="7" t="n"/>
      <c r="B1712" s="8" t="n"/>
      <c r="C1712" s="9">
        <f>IF(B1712="","",IFERROR(VLOOKUP(B1712,'Daftar Outlet'!$A$4:$B$22,2,FALSE),""))</f>
        <v/>
      </c>
      <c r="D1712" s="8" t="n"/>
      <c r="E1712" s="6" t="n"/>
      <c r="F1712" s="8" t="n"/>
    </row>
    <row r="1713">
      <c r="A1713" s="7" t="n"/>
      <c r="B1713" s="8" t="n"/>
      <c r="C1713" s="9">
        <f>IF(B1713="","",IFERROR(VLOOKUP(B1713,'Daftar Outlet'!$A$4:$B$22,2,FALSE),""))</f>
        <v/>
      </c>
      <c r="D1713" s="8" t="n"/>
      <c r="E1713" s="6" t="n"/>
      <c r="F1713" s="8" t="n"/>
    </row>
    <row r="1714">
      <c r="A1714" s="7" t="n"/>
      <c r="B1714" s="8" t="n"/>
      <c r="C1714" s="9">
        <f>IF(B1714="","",IFERROR(VLOOKUP(B1714,'Daftar Outlet'!$A$4:$B$22,2,FALSE),""))</f>
        <v/>
      </c>
      <c r="D1714" s="8" t="n"/>
      <c r="E1714" s="6" t="n"/>
      <c r="F1714" s="8" t="n"/>
    </row>
    <row r="1715">
      <c r="A1715" s="7" t="n"/>
      <c r="B1715" s="8" t="n"/>
      <c r="C1715" s="9">
        <f>IF(B1715="","",IFERROR(VLOOKUP(B1715,'Daftar Outlet'!$A$4:$B$22,2,FALSE),""))</f>
        <v/>
      </c>
      <c r="D1715" s="8" t="n"/>
      <c r="E1715" s="6" t="n"/>
      <c r="F1715" s="8" t="n"/>
    </row>
    <row r="1716">
      <c r="A1716" s="7" t="n"/>
      <c r="B1716" s="8" t="n"/>
      <c r="C1716" s="9">
        <f>IF(B1716="","",IFERROR(VLOOKUP(B1716,'Daftar Outlet'!$A$4:$B$22,2,FALSE),""))</f>
        <v/>
      </c>
      <c r="D1716" s="8" t="n"/>
      <c r="E1716" s="6" t="n"/>
      <c r="F1716" s="8" t="n"/>
    </row>
    <row r="1717">
      <c r="A1717" s="7" t="n"/>
      <c r="B1717" s="8" t="n"/>
      <c r="C1717" s="9">
        <f>IF(B1717="","",IFERROR(VLOOKUP(B1717,'Daftar Outlet'!$A$4:$B$22,2,FALSE),""))</f>
        <v/>
      </c>
      <c r="D1717" s="8" t="n"/>
      <c r="E1717" s="6" t="n"/>
      <c r="F1717" s="8" t="n"/>
    </row>
    <row r="1718">
      <c r="A1718" s="7" t="n"/>
      <c r="B1718" s="8" t="n"/>
      <c r="C1718" s="9">
        <f>IF(B1718="","",IFERROR(VLOOKUP(B1718,'Daftar Outlet'!$A$4:$B$22,2,FALSE),""))</f>
        <v/>
      </c>
      <c r="D1718" s="8" t="n"/>
      <c r="E1718" s="6" t="n"/>
      <c r="F1718" s="8" t="n"/>
    </row>
    <row r="1719">
      <c r="A1719" s="7" t="n"/>
      <c r="B1719" s="8" t="n"/>
      <c r="C1719" s="9">
        <f>IF(B1719="","",IFERROR(VLOOKUP(B1719,'Daftar Outlet'!$A$4:$B$22,2,FALSE),""))</f>
        <v/>
      </c>
      <c r="D1719" s="8" t="n"/>
      <c r="E1719" s="6" t="n"/>
      <c r="F1719" s="8" t="n"/>
    </row>
    <row r="1720">
      <c r="A1720" s="7" t="n"/>
      <c r="B1720" s="8" t="n"/>
      <c r="C1720" s="9">
        <f>IF(B1720="","",IFERROR(VLOOKUP(B1720,'Daftar Outlet'!$A$4:$B$22,2,FALSE),""))</f>
        <v/>
      </c>
      <c r="D1720" s="8" t="n"/>
      <c r="E1720" s="6" t="n"/>
      <c r="F1720" s="8" t="n"/>
    </row>
    <row r="1721">
      <c r="A1721" s="7" t="n"/>
      <c r="B1721" s="8" t="n"/>
      <c r="C1721" s="9">
        <f>IF(B1721="","",IFERROR(VLOOKUP(B1721,'Daftar Outlet'!$A$4:$B$22,2,FALSE),""))</f>
        <v/>
      </c>
      <c r="D1721" s="8" t="n"/>
      <c r="E1721" s="6" t="n"/>
      <c r="F1721" s="8" t="n"/>
    </row>
    <row r="1722">
      <c r="A1722" s="7" t="n"/>
      <c r="B1722" s="8" t="n"/>
      <c r="C1722" s="9">
        <f>IF(B1722="","",IFERROR(VLOOKUP(B1722,'Daftar Outlet'!$A$4:$B$22,2,FALSE),""))</f>
        <v/>
      </c>
      <c r="D1722" s="8" t="n"/>
      <c r="E1722" s="6" t="n"/>
      <c r="F1722" s="8" t="n"/>
    </row>
    <row r="1723">
      <c r="A1723" s="7" t="n"/>
      <c r="B1723" s="8" t="n"/>
      <c r="C1723" s="9">
        <f>IF(B1723="","",IFERROR(VLOOKUP(B1723,'Daftar Outlet'!$A$4:$B$22,2,FALSE),""))</f>
        <v/>
      </c>
      <c r="D1723" s="8" t="n"/>
      <c r="E1723" s="6" t="n"/>
      <c r="F1723" s="8" t="n"/>
    </row>
    <row r="1724">
      <c r="A1724" s="7" t="n"/>
      <c r="B1724" s="8" t="n"/>
      <c r="C1724" s="9">
        <f>IF(B1724="","",IFERROR(VLOOKUP(B1724,'Daftar Outlet'!$A$4:$B$22,2,FALSE),""))</f>
        <v/>
      </c>
      <c r="D1724" s="8" t="n"/>
      <c r="E1724" s="6" t="n"/>
      <c r="F1724" s="8" t="n"/>
    </row>
    <row r="1725">
      <c r="A1725" s="7" t="n"/>
      <c r="B1725" s="8" t="n"/>
      <c r="C1725" s="9">
        <f>IF(B1725="","",IFERROR(VLOOKUP(B1725,'Daftar Outlet'!$A$4:$B$22,2,FALSE),""))</f>
        <v/>
      </c>
      <c r="D1725" s="8" t="n"/>
      <c r="E1725" s="6" t="n"/>
      <c r="F1725" s="8" t="n"/>
    </row>
    <row r="1726">
      <c r="A1726" s="7" t="n"/>
      <c r="B1726" s="8" t="n"/>
      <c r="C1726" s="9">
        <f>IF(B1726="","",IFERROR(VLOOKUP(B1726,'Daftar Outlet'!$A$4:$B$22,2,FALSE),""))</f>
        <v/>
      </c>
      <c r="D1726" s="8" t="n"/>
      <c r="E1726" s="6" t="n"/>
      <c r="F1726" s="8" t="n"/>
    </row>
    <row r="1727">
      <c r="A1727" s="7" t="n"/>
      <c r="B1727" s="8" t="n"/>
      <c r="C1727" s="9">
        <f>IF(B1727="","",IFERROR(VLOOKUP(B1727,'Daftar Outlet'!$A$4:$B$22,2,FALSE),""))</f>
        <v/>
      </c>
      <c r="D1727" s="8" t="n"/>
      <c r="E1727" s="6" t="n"/>
      <c r="F1727" s="8" t="n"/>
    </row>
    <row r="1728">
      <c r="A1728" s="7" t="n"/>
      <c r="B1728" s="8" t="n"/>
      <c r="C1728" s="9">
        <f>IF(B1728="","",IFERROR(VLOOKUP(B1728,'Daftar Outlet'!$A$4:$B$22,2,FALSE),""))</f>
        <v/>
      </c>
      <c r="D1728" s="8" t="n"/>
      <c r="E1728" s="6" t="n"/>
      <c r="F1728" s="8" t="n"/>
    </row>
    <row r="1729">
      <c r="A1729" s="7" t="n"/>
      <c r="B1729" s="8" t="n"/>
      <c r="C1729" s="9">
        <f>IF(B1729="","",IFERROR(VLOOKUP(B1729,'Daftar Outlet'!$A$4:$B$22,2,FALSE),""))</f>
        <v/>
      </c>
      <c r="D1729" s="8" t="n"/>
      <c r="E1729" s="6" t="n"/>
      <c r="F1729" s="8" t="n"/>
    </row>
    <row r="1730">
      <c r="A1730" s="7" t="n"/>
      <c r="B1730" s="8" t="n"/>
      <c r="C1730" s="9">
        <f>IF(B1730="","",IFERROR(VLOOKUP(B1730,'Daftar Outlet'!$A$4:$B$22,2,FALSE),""))</f>
        <v/>
      </c>
      <c r="D1730" s="8" t="n"/>
      <c r="E1730" s="6" t="n"/>
      <c r="F1730" s="8" t="n"/>
    </row>
    <row r="1731">
      <c r="A1731" s="7" t="n"/>
      <c r="B1731" s="8" t="n"/>
      <c r="C1731" s="9">
        <f>IF(B1731="","",IFERROR(VLOOKUP(B1731,'Daftar Outlet'!$A$4:$B$22,2,FALSE),""))</f>
        <v/>
      </c>
      <c r="D1731" s="8" t="n"/>
      <c r="E1731" s="6" t="n"/>
      <c r="F1731" s="8" t="n"/>
    </row>
    <row r="1732">
      <c r="A1732" s="7" t="n"/>
      <c r="B1732" s="8" t="n"/>
      <c r="C1732" s="9">
        <f>IF(B1732="","",IFERROR(VLOOKUP(B1732,'Daftar Outlet'!$A$4:$B$22,2,FALSE),""))</f>
        <v/>
      </c>
      <c r="D1732" s="8" t="n"/>
      <c r="E1732" s="6" t="n"/>
      <c r="F1732" s="8" t="n"/>
    </row>
    <row r="1733">
      <c r="A1733" s="7" t="n"/>
      <c r="B1733" s="8" t="n"/>
      <c r="C1733" s="9">
        <f>IF(B1733="","",IFERROR(VLOOKUP(B1733,'Daftar Outlet'!$A$4:$B$22,2,FALSE),""))</f>
        <v/>
      </c>
      <c r="D1733" s="8" t="n"/>
      <c r="E1733" s="6" t="n"/>
      <c r="F1733" s="8" t="n"/>
    </row>
    <row r="1734">
      <c r="A1734" s="7" t="n"/>
      <c r="B1734" s="8" t="n"/>
      <c r="C1734" s="9">
        <f>IF(B1734="","",IFERROR(VLOOKUP(B1734,'Daftar Outlet'!$A$4:$B$22,2,FALSE),""))</f>
        <v/>
      </c>
      <c r="D1734" s="8" t="n"/>
      <c r="E1734" s="6" t="n"/>
      <c r="F1734" s="8" t="n"/>
    </row>
    <row r="1735">
      <c r="A1735" s="7" t="n"/>
      <c r="B1735" s="8" t="n"/>
      <c r="C1735" s="9">
        <f>IF(B1735="","",IFERROR(VLOOKUP(B1735,'Daftar Outlet'!$A$4:$B$22,2,FALSE),""))</f>
        <v/>
      </c>
      <c r="D1735" s="8" t="n"/>
      <c r="E1735" s="6" t="n"/>
      <c r="F1735" s="8" t="n"/>
    </row>
    <row r="1736">
      <c r="A1736" s="7" t="n"/>
      <c r="B1736" s="8" t="n"/>
      <c r="C1736" s="9">
        <f>IF(B1736="","",IFERROR(VLOOKUP(B1736,'Daftar Outlet'!$A$4:$B$22,2,FALSE),""))</f>
        <v/>
      </c>
      <c r="D1736" s="8" t="n"/>
      <c r="E1736" s="6" t="n"/>
      <c r="F1736" s="8" t="n"/>
    </row>
    <row r="1737">
      <c r="A1737" s="7" t="n"/>
      <c r="B1737" s="8" t="n"/>
      <c r="C1737" s="9">
        <f>IF(B1737="","",IFERROR(VLOOKUP(B1737,'Daftar Outlet'!$A$4:$B$22,2,FALSE),""))</f>
        <v/>
      </c>
      <c r="D1737" s="8" t="n"/>
      <c r="E1737" s="6" t="n"/>
      <c r="F1737" s="8" t="n"/>
    </row>
    <row r="1738">
      <c r="A1738" s="7" t="n"/>
      <c r="B1738" s="8" t="n"/>
      <c r="C1738" s="9">
        <f>IF(B1738="","",IFERROR(VLOOKUP(B1738,'Daftar Outlet'!$A$4:$B$22,2,FALSE),""))</f>
        <v/>
      </c>
      <c r="D1738" s="8" t="n"/>
      <c r="E1738" s="6" t="n"/>
      <c r="F1738" s="8" t="n"/>
    </row>
    <row r="1739">
      <c r="A1739" s="7" t="n"/>
      <c r="B1739" s="8" t="n"/>
      <c r="C1739" s="9">
        <f>IF(B1739="","",IFERROR(VLOOKUP(B1739,'Daftar Outlet'!$A$4:$B$22,2,FALSE),""))</f>
        <v/>
      </c>
      <c r="D1739" s="8" t="n"/>
      <c r="E1739" s="6" t="n"/>
      <c r="F1739" s="8" t="n"/>
    </row>
    <row r="1740">
      <c r="A1740" s="7" t="n"/>
      <c r="B1740" s="8" t="n"/>
      <c r="C1740" s="9">
        <f>IF(B1740="","",IFERROR(VLOOKUP(B1740,'Daftar Outlet'!$A$4:$B$22,2,FALSE),""))</f>
        <v/>
      </c>
      <c r="D1740" s="8" t="n"/>
      <c r="E1740" s="6" t="n"/>
      <c r="F1740" s="8" t="n"/>
    </row>
    <row r="1741">
      <c r="A1741" s="7" t="n"/>
      <c r="B1741" s="8" t="n"/>
      <c r="C1741" s="9">
        <f>IF(B1741="","",IFERROR(VLOOKUP(B1741,'Daftar Outlet'!$A$4:$B$22,2,FALSE),""))</f>
        <v/>
      </c>
      <c r="D1741" s="8" t="n"/>
      <c r="E1741" s="6" t="n"/>
      <c r="F1741" s="8" t="n"/>
    </row>
    <row r="1742">
      <c r="A1742" s="7" t="n"/>
      <c r="B1742" s="8" t="n"/>
      <c r="C1742" s="9">
        <f>IF(B1742="","",IFERROR(VLOOKUP(B1742,'Daftar Outlet'!$A$4:$B$22,2,FALSE),""))</f>
        <v/>
      </c>
      <c r="D1742" s="8" t="n"/>
      <c r="E1742" s="6" t="n"/>
      <c r="F1742" s="8" t="n"/>
    </row>
    <row r="1743">
      <c r="A1743" s="7" t="n"/>
      <c r="B1743" s="8" t="n"/>
      <c r="C1743" s="9">
        <f>IF(B1743="","",IFERROR(VLOOKUP(B1743,'Daftar Outlet'!$A$4:$B$22,2,FALSE),""))</f>
        <v/>
      </c>
      <c r="D1743" s="8" t="n"/>
      <c r="E1743" s="6" t="n"/>
      <c r="F1743" s="8" t="n"/>
    </row>
    <row r="1744">
      <c r="A1744" s="7" t="n"/>
      <c r="B1744" s="8" t="n"/>
      <c r="C1744" s="9">
        <f>IF(B1744="","",IFERROR(VLOOKUP(B1744,'Daftar Outlet'!$A$4:$B$22,2,FALSE),""))</f>
        <v/>
      </c>
      <c r="D1744" s="8" t="n"/>
      <c r="E1744" s="6" t="n"/>
      <c r="F1744" s="8" t="n"/>
    </row>
    <row r="1745">
      <c r="A1745" s="7" t="n"/>
      <c r="B1745" s="8" t="n"/>
      <c r="C1745" s="9">
        <f>IF(B1745="","",IFERROR(VLOOKUP(B1745,'Daftar Outlet'!$A$4:$B$22,2,FALSE),""))</f>
        <v/>
      </c>
      <c r="D1745" s="8" t="n"/>
      <c r="E1745" s="6" t="n"/>
      <c r="F1745" s="8" t="n"/>
    </row>
    <row r="1746">
      <c r="A1746" s="7" t="n"/>
      <c r="B1746" s="8" t="n"/>
      <c r="C1746" s="9">
        <f>IF(B1746="","",IFERROR(VLOOKUP(B1746,'Daftar Outlet'!$A$4:$B$22,2,FALSE),""))</f>
        <v/>
      </c>
      <c r="D1746" s="8" t="n"/>
      <c r="E1746" s="6" t="n"/>
      <c r="F1746" s="8" t="n"/>
    </row>
    <row r="1747">
      <c r="A1747" s="7" t="n"/>
      <c r="B1747" s="8" t="n"/>
      <c r="C1747" s="9">
        <f>IF(B1747="","",IFERROR(VLOOKUP(B1747,'Daftar Outlet'!$A$4:$B$22,2,FALSE),""))</f>
        <v/>
      </c>
      <c r="D1747" s="8" t="n"/>
      <c r="E1747" s="6" t="n"/>
      <c r="F1747" s="8" t="n"/>
    </row>
    <row r="1748">
      <c r="A1748" s="7" t="n"/>
      <c r="B1748" s="8" t="n"/>
      <c r="C1748" s="9">
        <f>IF(B1748="","",IFERROR(VLOOKUP(B1748,'Daftar Outlet'!$A$4:$B$22,2,FALSE),""))</f>
        <v/>
      </c>
      <c r="D1748" s="8" t="n"/>
      <c r="E1748" s="6" t="n"/>
      <c r="F1748" s="8" t="n"/>
    </row>
    <row r="1749">
      <c r="A1749" s="7" t="n"/>
      <c r="B1749" s="8" t="n"/>
      <c r="C1749" s="9">
        <f>IF(B1749="","",IFERROR(VLOOKUP(B1749,'Daftar Outlet'!$A$4:$B$22,2,FALSE),""))</f>
        <v/>
      </c>
      <c r="D1749" s="8" t="n"/>
      <c r="E1749" s="6" t="n"/>
      <c r="F1749" s="8" t="n"/>
    </row>
    <row r="1750">
      <c r="A1750" s="7" t="n"/>
      <c r="B1750" s="8" t="n"/>
      <c r="C1750" s="9">
        <f>IF(B1750="","",IFERROR(VLOOKUP(B1750,'Daftar Outlet'!$A$4:$B$22,2,FALSE),""))</f>
        <v/>
      </c>
      <c r="D1750" s="8" t="n"/>
      <c r="E1750" s="6" t="n"/>
      <c r="F1750" s="8" t="n"/>
    </row>
    <row r="1751">
      <c r="A1751" s="7" t="n"/>
      <c r="B1751" s="8" t="n"/>
      <c r="C1751" s="9">
        <f>IF(B1751="","",IFERROR(VLOOKUP(B1751,'Daftar Outlet'!$A$4:$B$22,2,FALSE),""))</f>
        <v/>
      </c>
      <c r="D1751" s="8" t="n"/>
      <c r="E1751" s="6" t="n"/>
      <c r="F1751" s="8" t="n"/>
    </row>
    <row r="1752">
      <c r="A1752" s="7" t="n"/>
      <c r="B1752" s="8" t="n"/>
      <c r="C1752" s="9">
        <f>IF(B1752="","",IFERROR(VLOOKUP(B1752,'Daftar Outlet'!$A$4:$B$22,2,FALSE),""))</f>
        <v/>
      </c>
      <c r="D1752" s="8" t="n"/>
      <c r="E1752" s="6" t="n"/>
      <c r="F1752" s="8" t="n"/>
    </row>
    <row r="1753">
      <c r="A1753" s="7" t="n"/>
      <c r="B1753" s="8" t="n"/>
      <c r="C1753" s="9">
        <f>IF(B1753="","",IFERROR(VLOOKUP(B1753,'Daftar Outlet'!$A$4:$B$22,2,FALSE),""))</f>
        <v/>
      </c>
      <c r="D1753" s="8" t="n"/>
      <c r="E1753" s="6" t="n"/>
      <c r="F1753" s="8" t="n"/>
    </row>
    <row r="1754">
      <c r="A1754" s="7" t="n"/>
      <c r="B1754" s="8" t="n"/>
      <c r="C1754" s="9">
        <f>IF(B1754="","",IFERROR(VLOOKUP(B1754,'Daftar Outlet'!$A$4:$B$22,2,FALSE),""))</f>
        <v/>
      </c>
      <c r="D1754" s="8" t="n"/>
      <c r="E1754" s="6" t="n"/>
      <c r="F1754" s="8" t="n"/>
    </row>
    <row r="1755">
      <c r="A1755" s="7" t="n"/>
      <c r="B1755" s="8" t="n"/>
      <c r="C1755" s="9">
        <f>IF(B1755="","",IFERROR(VLOOKUP(B1755,'Daftar Outlet'!$A$4:$B$22,2,FALSE),""))</f>
        <v/>
      </c>
      <c r="D1755" s="8" t="n"/>
      <c r="E1755" s="6" t="n"/>
      <c r="F1755" s="8" t="n"/>
    </row>
    <row r="1756">
      <c r="A1756" s="7" t="n"/>
      <c r="B1756" s="8" t="n"/>
      <c r="C1756" s="9">
        <f>IF(B1756="","",IFERROR(VLOOKUP(B1756,'Daftar Outlet'!$A$4:$B$22,2,FALSE),""))</f>
        <v/>
      </c>
      <c r="D1756" s="8" t="n"/>
      <c r="E1756" s="6" t="n"/>
      <c r="F1756" s="8" t="n"/>
    </row>
    <row r="1757">
      <c r="A1757" s="7" t="n"/>
      <c r="B1757" s="8" t="n"/>
      <c r="C1757" s="9">
        <f>IF(B1757="","",IFERROR(VLOOKUP(B1757,'Daftar Outlet'!$A$4:$B$22,2,FALSE),""))</f>
        <v/>
      </c>
      <c r="D1757" s="8" t="n"/>
      <c r="E1757" s="6" t="n"/>
      <c r="F1757" s="8" t="n"/>
    </row>
    <row r="1758">
      <c r="A1758" s="7" t="n"/>
      <c r="B1758" s="8" t="n"/>
      <c r="C1758" s="9">
        <f>IF(B1758="","",IFERROR(VLOOKUP(B1758,'Daftar Outlet'!$A$4:$B$22,2,FALSE),""))</f>
        <v/>
      </c>
      <c r="D1758" s="8" t="n"/>
      <c r="E1758" s="6" t="n"/>
      <c r="F1758" s="8" t="n"/>
    </row>
    <row r="1759">
      <c r="A1759" s="7" t="n"/>
      <c r="B1759" s="8" t="n"/>
      <c r="C1759" s="9">
        <f>IF(B1759="","",IFERROR(VLOOKUP(B1759,'Daftar Outlet'!$A$4:$B$22,2,FALSE),""))</f>
        <v/>
      </c>
      <c r="D1759" s="8" t="n"/>
      <c r="E1759" s="6" t="n"/>
      <c r="F1759" s="8" t="n"/>
    </row>
    <row r="1760">
      <c r="A1760" s="7" t="n"/>
      <c r="B1760" s="8" t="n"/>
      <c r="C1760" s="9">
        <f>IF(B1760="","",IFERROR(VLOOKUP(B1760,'Daftar Outlet'!$A$4:$B$22,2,FALSE),""))</f>
        <v/>
      </c>
      <c r="D1760" s="8" t="n"/>
      <c r="E1760" s="6" t="n"/>
      <c r="F1760" s="8" t="n"/>
    </row>
    <row r="1761">
      <c r="A1761" s="7" t="n"/>
      <c r="B1761" s="8" t="n"/>
      <c r="C1761" s="9">
        <f>IF(B1761="","",IFERROR(VLOOKUP(B1761,'Daftar Outlet'!$A$4:$B$22,2,FALSE),""))</f>
        <v/>
      </c>
      <c r="D1761" s="8" t="n"/>
      <c r="E1761" s="6" t="n"/>
      <c r="F1761" s="8" t="n"/>
    </row>
    <row r="1762">
      <c r="A1762" s="7" t="n"/>
      <c r="B1762" s="8" t="n"/>
      <c r="C1762" s="9">
        <f>IF(B1762="","",IFERROR(VLOOKUP(B1762,'Daftar Outlet'!$A$4:$B$22,2,FALSE),""))</f>
        <v/>
      </c>
      <c r="D1762" s="8" t="n"/>
      <c r="E1762" s="6" t="n"/>
      <c r="F1762" s="8" t="n"/>
    </row>
    <row r="1763">
      <c r="A1763" s="7" t="n"/>
      <c r="B1763" s="8" t="n"/>
      <c r="C1763" s="9">
        <f>IF(B1763="","",IFERROR(VLOOKUP(B1763,'Daftar Outlet'!$A$4:$B$22,2,FALSE),""))</f>
        <v/>
      </c>
      <c r="D1763" s="8" t="n"/>
      <c r="E1763" s="6" t="n"/>
      <c r="F1763" s="8" t="n"/>
    </row>
    <row r="1764">
      <c r="A1764" s="7" t="n"/>
      <c r="B1764" s="8" t="n"/>
      <c r="C1764" s="9">
        <f>IF(B1764="","",IFERROR(VLOOKUP(B1764,'Daftar Outlet'!$A$4:$B$22,2,FALSE),""))</f>
        <v/>
      </c>
      <c r="D1764" s="8" t="n"/>
      <c r="E1764" s="6" t="n"/>
      <c r="F1764" s="8" t="n"/>
    </row>
    <row r="1765">
      <c r="A1765" s="7" t="n"/>
      <c r="B1765" s="8" t="n"/>
      <c r="C1765" s="9">
        <f>IF(B1765="","",IFERROR(VLOOKUP(B1765,'Daftar Outlet'!$A$4:$B$22,2,FALSE),""))</f>
        <v/>
      </c>
      <c r="D1765" s="8" t="n"/>
      <c r="E1765" s="6" t="n"/>
      <c r="F1765" s="8" t="n"/>
    </row>
    <row r="1766">
      <c r="A1766" s="7" t="n"/>
      <c r="B1766" s="8" t="n"/>
      <c r="C1766" s="9">
        <f>IF(B1766="","",IFERROR(VLOOKUP(B1766,'Daftar Outlet'!$A$4:$B$22,2,FALSE),""))</f>
        <v/>
      </c>
      <c r="D1766" s="8" t="n"/>
      <c r="E1766" s="6" t="n"/>
      <c r="F1766" s="8" t="n"/>
    </row>
    <row r="1767">
      <c r="A1767" s="7" t="n"/>
      <c r="B1767" s="8" t="n"/>
      <c r="C1767" s="9">
        <f>IF(B1767="","",IFERROR(VLOOKUP(B1767,'Daftar Outlet'!$A$4:$B$22,2,FALSE),""))</f>
        <v/>
      </c>
      <c r="D1767" s="8" t="n"/>
      <c r="E1767" s="6" t="n"/>
      <c r="F1767" s="8" t="n"/>
    </row>
    <row r="1768">
      <c r="A1768" s="7" t="n"/>
      <c r="B1768" s="8" t="n"/>
      <c r="C1768" s="9">
        <f>IF(B1768="","",IFERROR(VLOOKUP(B1768,'Daftar Outlet'!$A$4:$B$22,2,FALSE),""))</f>
        <v/>
      </c>
      <c r="D1768" s="8" t="n"/>
      <c r="E1768" s="6" t="n"/>
      <c r="F1768" s="8" t="n"/>
    </row>
    <row r="1769">
      <c r="A1769" s="7" t="n"/>
      <c r="B1769" s="8" t="n"/>
      <c r="C1769" s="9">
        <f>IF(B1769="","",IFERROR(VLOOKUP(B1769,'Daftar Outlet'!$A$4:$B$22,2,FALSE),""))</f>
        <v/>
      </c>
      <c r="D1769" s="8" t="n"/>
      <c r="E1769" s="6" t="n"/>
      <c r="F1769" s="8" t="n"/>
    </row>
    <row r="1770">
      <c r="A1770" s="7" t="n"/>
      <c r="B1770" s="8" t="n"/>
      <c r="C1770" s="9">
        <f>IF(B1770="","",IFERROR(VLOOKUP(B1770,'Daftar Outlet'!$A$4:$B$22,2,FALSE),""))</f>
        <v/>
      </c>
      <c r="D1770" s="8" t="n"/>
      <c r="E1770" s="6" t="n"/>
      <c r="F1770" s="8" t="n"/>
    </row>
    <row r="1771">
      <c r="A1771" s="7" t="n"/>
      <c r="B1771" s="8" t="n"/>
      <c r="C1771" s="9">
        <f>IF(B1771="","",IFERROR(VLOOKUP(B1771,'Daftar Outlet'!$A$4:$B$22,2,FALSE),""))</f>
        <v/>
      </c>
      <c r="D1771" s="8" t="n"/>
      <c r="E1771" s="6" t="n"/>
      <c r="F1771" s="8" t="n"/>
    </row>
    <row r="1772">
      <c r="A1772" s="7" t="n"/>
      <c r="B1772" s="8" t="n"/>
      <c r="C1772" s="9">
        <f>IF(B1772="","",IFERROR(VLOOKUP(B1772,'Daftar Outlet'!$A$4:$B$22,2,FALSE),""))</f>
        <v/>
      </c>
      <c r="D1772" s="8" t="n"/>
      <c r="E1772" s="6" t="n"/>
      <c r="F1772" s="8" t="n"/>
    </row>
    <row r="1773">
      <c r="A1773" s="7" t="n"/>
      <c r="B1773" s="8" t="n"/>
      <c r="C1773" s="9">
        <f>IF(B1773="","",IFERROR(VLOOKUP(B1773,'Daftar Outlet'!$A$4:$B$22,2,FALSE),""))</f>
        <v/>
      </c>
      <c r="D1773" s="8" t="n"/>
      <c r="E1773" s="6" t="n"/>
      <c r="F1773" s="8" t="n"/>
    </row>
    <row r="1774">
      <c r="A1774" s="7" t="n"/>
      <c r="B1774" s="8" t="n"/>
      <c r="C1774" s="9">
        <f>IF(B1774="","",IFERROR(VLOOKUP(B1774,'Daftar Outlet'!$A$4:$B$22,2,FALSE),""))</f>
        <v/>
      </c>
      <c r="D1774" s="8" t="n"/>
      <c r="E1774" s="6" t="n"/>
      <c r="F1774" s="8" t="n"/>
    </row>
    <row r="1775">
      <c r="A1775" s="7" t="n"/>
      <c r="B1775" s="8" t="n"/>
      <c r="C1775" s="9">
        <f>IF(B1775="","",IFERROR(VLOOKUP(B1775,'Daftar Outlet'!$A$4:$B$22,2,FALSE),""))</f>
        <v/>
      </c>
      <c r="D1775" s="8" t="n"/>
      <c r="E1775" s="6" t="n"/>
      <c r="F1775" s="8" t="n"/>
    </row>
    <row r="1776">
      <c r="A1776" s="7" t="n"/>
      <c r="B1776" s="8" t="n"/>
      <c r="C1776" s="9">
        <f>IF(B1776="","",IFERROR(VLOOKUP(B1776,'Daftar Outlet'!$A$4:$B$22,2,FALSE),""))</f>
        <v/>
      </c>
      <c r="D1776" s="8" t="n"/>
      <c r="E1776" s="6" t="n"/>
      <c r="F1776" s="8" t="n"/>
    </row>
    <row r="1777">
      <c r="A1777" s="7" t="n"/>
      <c r="B1777" s="8" t="n"/>
      <c r="C1777" s="9">
        <f>IF(B1777="","",IFERROR(VLOOKUP(B1777,'Daftar Outlet'!$A$4:$B$22,2,FALSE),""))</f>
        <v/>
      </c>
      <c r="D1777" s="8" t="n"/>
      <c r="E1777" s="6" t="n"/>
      <c r="F1777" s="8" t="n"/>
    </row>
    <row r="1778">
      <c r="A1778" s="7" t="n"/>
      <c r="B1778" s="8" t="n"/>
      <c r="C1778" s="9">
        <f>IF(B1778="","",IFERROR(VLOOKUP(B1778,'Daftar Outlet'!$A$4:$B$22,2,FALSE),""))</f>
        <v/>
      </c>
      <c r="D1778" s="8" t="n"/>
      <c r="E1778" s="6" t="n"/>
      <c r="F1778" s="8" t="n"/>
    </row>
    <row r="1779">
      <c r="A1779" s="7" t="n"/>
      <c r="B1779" s="8" t="n"/>
      <c r="C1779" s="9">
        <f>IF(B1779="","",IFERROR(VLOOKUP(B1779,'Daftar Outlet'!$A$4:$B$22,2,FALSE),""))</f>
        <v/>
      </c>
      <c r="D1779" s="8" t="n"/>
      <c r="E1779" s="6" t="n"/>
      <c r="F1779" s="8" t="n"/>
    </row>
    <row r="1780">
      <c r="A1780" s="7" t="n"/>
      <c r="B1780" s="8" t="n"/>
      <c r="C1780" s="9">
        <f>IF(B1780="","",IFERROR(VLOOKUP(B1780,'Daftar Outlet'!$A$4:$B$22,2,FALSE),""))</f>
        <v/>
      </c>
      <c r="D1780" s="8" t="n"/>
      <c r="E1780" s="6" t="n"/>
      <c r="F1780" s="8" t="n"/>
    </row>
    <row r="1781">
      <c r="A1781" s="7" t="n"/>
      <c r="B1781" s="8" t="n"/>
      <c r="C1781" s="9">
        <f>IF(B1781="","",IFERROR(VLOOKUP(B1781,'Daftar Outlet'!$A$4:$B$22,2,FALSE),""))</f>
        <v/>
      </c>
      <c r="D1781" s="8" t="n"/>
      <c r="E1781" s="6" t="n"/>
      <c r="F1781" s="8" t="n"/>
    </row>
    <row r="1782">
      <c r="A1782" s="7" t="n"/>
      <c r="B1782" s="8" t="n"/>
      <c r="C1782" s="9">
        <f>IF(B1782="","",IFERROR(VLOOKUP(B1782,'Daftar Outlet'!$A$4:$B$22,2,FALSE),""))</f>
        <v/>
      </c>
      <c r="D1782" s="8" t="n"/>
      <c r="E1782" s="6" t="n"/>
      <c r="F1782" s="8" t="n"/>
    </row>
    <row r="1783">
      <c r="A1783" s="7" t="n"/>
      <c r="B1783" s="8" t="n"/>
      <c r="C1783" s="9">
        <f>IF(B1783="","",IFERROR(VLOOKUP(B1783,'Daftar Outlet'!$A$4:$B$22,2,FALSE),""))</f>
        <v/>
      </c>
      <c r="D1783" s="8" t="n"/>
      <c r="E1783" s="6" t="n"/>
      <c r="F1783" s="8" t="n"/>
    </row>
    <row r="1784">
      <c r="A1784" s="7" t="n"/>
      <c r="B1784" s="8" t="n"/>
      <c r="C1784" s="9">
        <f>IF(B1784="","",IFERROR(VLOOKUP(B1784,'Daftar Outlet'!$A$4:$B$22,2,FALSE),""))</f>
        <v/>
      </c>
      <c r="D1784" s="8" t="n"/>
      <c r="E1784" s="6" t="n"/>
      <c r="F1784" s="8" t="n"/>
    </row>
    <row r="1785">
      <c r="A1785" s="7" t="n"/>
      <c r="B1785" s="8" t="n"/>
      <c r="C1785" s="9">
        <f>IF(B1785="","",IFERROR(VLOOKUP(B1785,'Daftar Outlet'!$A$4:$B$22,2,FALSE),""))</f>
        <v/>
      </c>
      <c r="D1785" s="8" t="n"/>
      <c r="E1785" s="6" t="n"/>
      <c r="F1785" s="8" t="n"/>
    </row>
    <row r="1786">
      <c r="A1786" s="7" t="n"/>
      <c r="B1786" s="8" t="n"/>
      <c r="C1786" s="9">
        <f>IF(B1786="","",IFERROR(VLOOKUP(B1786,'Daftar Outlet'!$A$4:$B$22,2,FALSE),""))</f>
        <v/>
      </c>
      <c r="D1786" s="8" t="n"/>
      <c r="E1786" s="6" t="n"/>
      <c r="F1786" s="8" t="n"/>
    </row>
    <row r="1787">
      <c r="A1787" s="7" t="n"/>
      <c r="B1787" s="8" t="n"/>
      <c r="C1787" s="9">
        <f>IF(B1787="","",IFERROR(VLOOKUP(B1787,'Daftar Outlet'!$A$4:$B$22,2,FALSE),""))</f>
        <v/>
      </c>
      <c r="D1787" s="8" t="n"/>
      <c r="E1787" s="6" t="n"/>
      <c r="F1787" s="8" t="n"/>
    </row>
    <row r="1788">
      <c r="A1788" s="7" t="n"/>
      <c r="B1788" s="8" t="n"/>
      <c r="C1788" s="9">
        <f>IF(B1788="","",IFERROR(VLOOKUP(B1788,'Daftar Outlet'!$A$4:$B$22,2,FALSE),""))</f>
        <v/>
      </c>
      <c r="D1788" s="8" t="n"/>
      <c r="E1788" s="6" t="n"/>
      <c r="F1788" s="8" t="n"/>
    </row>
    <row r="1789">
      <c r="A1789" s="7" t="n"/>
      <c r="B1789" s="8" t="n"/>
      <c r="C1789" s="9">
        <f>IF(B1789="","",IFERROR(VLOOKUP(B1789,'Daftar Outlet'!$A$4:$B$22,2,FALSE),""))</f>
        <v/>
      </c>
      <c r="D1789" s="8" t="n"/>
      <c r="E1789" s="6" t="n"/>
      <c r="F1789" s="8" t="n"/>
    </row>
    <row r="1790">
      <c r="A1790" s="7" t="n"/>
      <c r="B1790" s="8" t="n"/>
      <c r="C1790" s="9">
        <f>IF(B1790="","",IFERROR(VLOOKUP(B1790,'Daftar Outlet'!$A$4:$B$22,2,FALSE),""))</f>
        <v/>
      </c>
      <c r="D1790" s="8" t="n"/>
      <c r="E1790" s="6" t="n"/>
      <c r="F1790" s="8" t="n"/>
    </row>
    <row r="1791">
      <c r="A1791" s="7" t="n"/>
      <c r="B1791" s="8" t="n"/>
      <c r="C1791" s="9">
        <f>IF(B1791="","",IFERROR(VLOOKUP(B1791,'Daftar Outlet'!$A$4:$B$22,2,FALSE),""))</f>
        <v/>
      </c>
      <c r="D1791" s="8" t="n"/>
      <c r="E1791" s="6" t="n"/>
      <c r="F1791" s="8" t="n"/>
    </row>
    <row r="1792">
      <c r="A1792" s="7" t="n"/>
      <c r="B1792" s="8" t="n"/>
      <c r="C1792" s="9">
        <f>IF(B1792="","",IFERROR(VLOOKUP(B1792,'Daftar Outlet'!$A$4:$B$22,2,FALSE),""))</f>
        <v/>
      </c>
      <c r="D1792" s="8" t="n"/>
      <c r="E1792" s="6" t="n"/>
      <c r="F1792" s="8" t="n"/>
    </row>
    <row r="1793">
      <c r="A1793" s="7" t="n"/>
      <c r="B1793" s="8" t="n"/>
      <c r="C1793" s="9">
        <f>IF(B1793="","",IFERROR(VLOOKUP(B1793,'Daftar Outlet'!$A$4:$B$22,2,FALSE),""))</f>
        <v/>
      </c>
      <c r="D1793" s="8" t="n"/>
      <c r="E1793" s="6" t="n"/>
      <c r="F1793" s="8" t="n"/>
    </row>
    <row r="1794">
      <c r="A1794" s="7" t="n"/>
      <c r="B1794" s="8" t="n"/>
      <c r="C1794" s="9">
        <f>IF(B1794="","",IFERROR(VLOOKUP(B1794,'Daftar Outlet'!$A$4:$B$22,2,FALSE),""))</f>
        <v/>
      </c>
      <c r="D1794" s="8" t="n"/>
      <c r="E1794" s="6" t="n"/>
      <c r="F1794" s="8" t="n"/>
    </row>
    <row r="1795">
      <c r="A1795" s="7" t="n"/>
      <c r="B1795" s="8" t="n"/>
      <c r="C1795" s="9">
        <f>IF(B1795="","",IFERROR(VLOOKUP(B1795,'Daftar Outlet'!$A$4:$B$22,2,FALSE),""))</f>
        <v/>
      </c>
      <c r="D1795" s="8" t="n"/>
      <c r="E1795" s="6" t="n"/>
      <c r="F1795" s="8" t="n"/>
    </row>
    <row r="1796">
      <c r="A1796" s="7" t="n"/>
      <c r="B1796" s="8" t="n"/>
      <c r="C1796" s="9">
        <f>IF(B1796="","",IFERROR(VLOOKUP(B1796,'Daftar Outlet'!$A$4:$B$22,2,FALSE),""))</f>
        <v/>
      </c>
      <c r="D1796" s="8" t="n"/>
      <c r="E1796" s="6" t="n"/>
      <c r="F1796" s="8" t="n"/>
    </row>
    <row r="1797">
      <c r="A1797" s="7" t="n"/>
      <c r="B1797" s="8" t="n"/>
      <c r="C1797" s="9">
        <f>IF(B1797="","",IFERROR(VLOOKUP(B1797,'Daftar Outlet'!$A$4:$B$22,2,FALSE),""))</f>
        <v/>
      </c>
      <c r="D1797" s="8" t="n"/>
      <c r="E1797" s="6" t="n"/>
      <c r="F1797" s="8" t="n"/>
    </row>
    <row r="1798">
      <c r="A1798" s="7" t="n"/>
      <c r="B1798" s="8" t="n"/>
      <c r="C1798" s="9">
        <f>IF(B1798="","",IFERROR(VLOOKUP(B1798,'Daftar Outlet'!$A$4:$B$22,2,FALSE),""))</f>
        <v/>
      </c>
      <c r="D1798" s="8" t="n"/>
      <c r="E1798" s="6" t="n"/>
      <c r="F1798" s="8" t="n"/>
    </row>
    <row r="1799">
      <c r="A1799" s="7" t="n"/>
      <c r="B1799" s="8" t="n"/>
      <c r="C1799" s="9">
        <f>IF(B1799="","",IFERROR(VLOOKUP(B1799,'Daftar Outlet'!$A$4:$B$22,2,FALSE),""))</f>
        <v/>
      </c>
      <c r="D1799" s="8" t="n"/>
      <c r="E1799" s="6" t="n"/>
      <c r="F1799" s="8" t="n"/>
    </row>
    <row r="1800">
      <c r="A1800" s="7" t="n"/>
      <c r="B1800" s="8" t="n"/>
      <c r="C1800" s="9">
        <f>IF(B1800="","",IFERROR(VLOOKUP(B1800,'Daftar Outlet'!$A$4:$B$22,2,FALSE),""))</f>
        <v/>
      </c>
      <c r="D1800" s="8" t="n"/>
      <c r="E1800" s="6" t="n"/>
      <c r="F1800" s="8" t="n"/>
    </row>
    <row r="1801">
      <c r="A1801" s="7" t="n"/>
      <c r="B1801" s="8" t="n"/>
      <c r="C1801" s="9">
        <f>IF(B1801="","",IFERROR(VLOOKUP(B1801,'Daftar Outlet'!$A$4:$B$22,2,FALSE),""))</f>
        <v/>
      </c>
      <c r="D1801" s="8" t="n"/>
      <c r="E1801" s="6" t="n"/>
      <c r="F1801" s="8" t="n"/>
    </row>
    <row r="1802">
      <c r="A1802" s="7" t="n"/>
      <c r="B1802" s="8" t="n"/>
      <c r="C1802" s="9">
        <f>IF(B1802="","",IFERROR(VLOOKUP(B1802,'Daftar Outlet'!$A$4:$B$22,2,FALSE),""))</f>
        <v/>
      </c>
      <c r="D1802" s="8" t="n"/>
      <c r="E1802" s="6" t="n"/>
      <c r="F1802" s="8" t="n"/>
    </row>
    <row r="1803">
      <c r="A1803" s="7" t="n"/>
      <c r="B1803" s="8" t="n"/>
      <c r="C1803" s="9">
        <f>IF(B1803="","",IFERROR(VLOOKUP(B1803,'Daftar Outlet'!$A$4:$B$22,2,FALSE),""))</f>
        <v/>
      </c>
      <c r="D1803" s="8" t="n"/>
      <c r="E1803" s="6" t="n"/>
      <c r="F1803" s="8" t="n"/>
    </row>
    <row r="1804">
      <c r="A1804" s="7" t="n"/>
      <c r="B1804" s="8" t="n"/>
      <c r="C1804" s="9">
        <f>IF(B1804="","",IFERROR(VLOOKUP(B1804,'Daftar Outlet'!$A$4:$B$22,2,FALSE),""))</f>
        <v/>
      </c>
      <c r="D1804" s="8" t="n"/>
      <c r="E1804" s="6" t="n"/>
      <c r="F1804" s="8" t="n"/>
    </row>
    <row r="1805">
      <c r="A1805" s="7" t="n"/>
      <c r="B1805" s="8" t="n"/>
      <c r="C1805" s="9">
        <f>IF(B1805="","",IFERROR(VLOOKUP(B1805,'Daftar Outlet'!$A$4:$B$22,2,FALSE),""))</f>
        <v/>
      </c>
      <c r="D1805" s="8" t="n"/>
      <c r="E1805" s="6" t="n"/>
      <c r="F1805" s="8" t="n"/>
    </row>
    <row r="1806">
      <c r="A1806" s="7" t="n"/>
      <c r="B1806" s="8" t="n"/>
      <c r="C1806" s="9">
        <f>IF(B1806="","",IFERROR(VLOOKUP(B1806,'Daftar Outlet'!$A$4:$B$22,2,FALSE),""))</f>
        <v/>
      </c>
      <c r="D1806" s="8" t="n"/>
      <c r="E1806" s="6" t="n"/>
      <c r="F1806" s="8" t="n"/>
    </row>
    <row r="1807">
      <c r="A1807" s="7" t="n"/>
      <c r="B1807" s="8" t="n"/>
      <c r="C1807" s="9">
        <f>IF(B1807="","",IFERROR(VLOOKUP(B1807,'Daftar Outlet'!$A$4:$B$22,2,FALSE),""))</f>
        <v/>
      </c>
      <c r="D1807" s="8" t="n"/>
      <c r="E1807" s="6" t="n"/>
      <c r="F1807" s="8" t="n"/>
    </row>
    <row r="1808">
      <c r="A1808" s="7" t="n"/>
      <c r="B1808" s="8" t="n"/>
      <c r="C1808" s="9">
        <f>IF(B1808="","",IFERROR(VLOOKUP(B1808,'Daftar Outlet'!$A$4:$B$22,2,FALSE),""))</f>
        <v/>
      </c>
      <c r="D1808" s="8" t="n"/>
      <c r="E1808" s="6" t="n"/>
      <c r="F1808" s="8" t="n"/>
    </row>
    <row r="1809">
      <c r="A1809" s="7" t="n"/>
      <c r="B1809" s="8" t="n"/>
      <c r="C1809" s="9">
        <f>IF(B1809="","",IFERROR(VLOOKUP(B1809,'Daftar Outlet'!$A$4:$B$22,2,FALSE),""))</f>
        <v/>
      </c>
      <c r="D1809" s="8" t="n"/>
      <c r="E1809" s="6" t="n"/>
      <c r="F1809" s="8" t="n"/>
    </row>
    <row r="1810">
      <c r="A1810" s="7" t="n"/>
      <c r="B1810" s="8" t="n"/>
      <c r="C1810" s="9">
        <f>IF(B1810="","",IFERROR(VLOOKUP(B1810,'Daftar Outlet'!$A$4:$B$22,2,FALSE),""))</f>
        <v/>
      </c>
      <c r="D1810" s="8" t="n"/>
      <c r="E1810" s="6" t="n"/>
      <c r="F1810" s="8" t="n"/>
    </row>
    <row r="1811">
      <c r="A1811" s="7" t="n"/>
      <c r="B1811" s="8" t="n"/>
      <c r="C1811" s="9">
        <f>IF(B1811="","",IFERROR(VLOOKUP(B1811,'Daftar Outlet'!$A$4:$B$22,2,FALSE),""))</f>
        <v/>
      </c>
      <c r="D1811" s="8" t="n"/>
      <c r="E1811" s="6" t="n"/>
      <c r="F1811" s="8" t="n"/>
    </row>
    <row r="1812">
      <c r="A1812" s="7" t="n"/>
      <c r="B1812" s="8" t="n"/>
      <c r="C1812" s="9">
        <f>IF(B1812="","",IFERROR(VLOOKUP(B1812,'Daftar Outlet'!$A$4:$B$22,2,FALSE),""))</f>
        <v/>
      </c>
      <c r="D1812" s="8" t="n"/>
      <c r="E1812" s="6" t="n"/>
      <c r="F1812" s="8" t="n"/>
    </row>
    <row r="1813">
      <c r="A1813" s="7" t="n"/>
      <c r="B1813" s="8" t="n"/>
      <c r="C1813" s="9">
        <f>IF(B1813="","",IFERROR(VLOOKUP(B1813,'Daftar Outlet'!$A$4:$B$22,2,FALSE),""))</f>
        <v/>
      </c>
      <c r="D1813" s="8" t="n"/>
      <c r="E1813" s="6" t="n"/>
      <c r="F1813" s="8" t="n"/>
    </row>
    <row r="1814">
      <c r="A1814" s="7" t="n"/>
      <c r="B1814" s="8" t="n"/>
      <c r="C1814" s="9">
        <f>IF(B1814="","",IFERROR(VLOOKUP(B1814,'Daftar Outlet'!$A$4:$B$22,2,FALSE),""))</f>
        <v/>
      </c>
      <c r="D1814" s="8" t="n"/>
      <c r="E1814" s="6" t="n"/>
      <c r="F1814" s="8" t="n"/>
    </row>
    <row r="1815">
      <c r="A1815" s="7" t="n"/>
      <c r="B1815" s="8" t="n"/>
      <c r="C1815" s="9">
        <f>IF(B1815="","",IFERROR(VLOOKUP(B1815,'Daftar Outlet'!$A$4:$B$22,2,FALSE),""))</f>
        <v/>
      </c>
      <c r="D1815" s="8" t="n"/>
      <c r="E1815" s="6" t="n"/>
      <c r="F1815" s="8" t="n"/>
    </row>
    <row r="1816">
      <c r="A1816" s="7" t="n"/>
      <c r="B1816" s="8" t="n"/>
      <c r="C1816" s="9">
        <f>IF(B1816="","",IFERROR(VLOOKUP(B1816,'Daftar Outlet'!$A$4:$B$22,2,FALSE),""))</f>
        <v/>
      </c>
      <c r="D1816" s="8" t="n"/>
      <c r="E1816" s="6" t="n"/>
      <c r="F1816" s="8" t="n"/>
    </row>
    <row r="1817">
      <c r="A1817" s="7" t="n"/>
      <c r="B1817" s="8" t="n"/>
      <c r="C1817" s="9">
        <f>IF(B1817="","",IFERROR(VLOOKUP(B1817,'Daftar Outlet'!$A$4:$B$22,2,FALSE),""))</f>
        <v/>
      </c>
      <c r="D1817" s="8" t="n"/>
      <c r="E1817" s="6" t="n"/>
      <c r="F1817" s="8" t="n"/>
    </row>
    <row r="1818">
      <c r="A1818" s="7" t="n"/>
      <c r="B1818" s="8" t="n"/>
      <c r="C1818" s="9">
        <f>IF(B1818="","",IFERROR(VLOOKUP(B1818,'Daftar Outlet'!$A$4:$B$22,2,FALSE),""))</f>
        <v/>
      </c>
      <c r="D1818" s="8" t="n"/>
      <c r="E1818" s="6" t="n"/>
      <c r="F1818" s="8" t="n"/>
    </row>
    <row r="1819">
      <c r="A1819" s="7" t="n"/>
      <c r="B1819" s="8" t="n"/>
      <c r="C1819" s="9">
        <f>IF(B1819="","",IFERROR(VLOOKUP(B1819,'Daftar Outlet'!$A$4:$B$22,2,FALSE),""))</f>
        <v/>
      </c>
      <c r="D1819" s="8" t="n"/>
      <c r="E1819" s="6" t="n"/>
      <c r="F1819" s="8" t="n"/>
    </row>
    <row r="1820">
      <c r="A1820" s="7" t="n"/>
      <c r="B1820" s="8" t="n"/>
      <c r="C1820" s="9">
        <f>IF(B1820="","",IFERROR(VLOOKUP(B1820,'Daftar Outlet'!$A$4:$B$22,2,FALSE),""))</f>
        <v/>
      </c>
      <c r="D1820" s="8" t="n"/>
      <c r="E1820" s="6" t="n"/>
      <c r="F1820" s="8" t="n"/>
    </row>
    <row r="1821">
      <c r="A1821" s="7" t="n"/>
      <c r="B1821" s="8" t="n"/>
      <c r="C1821" s="9">
        <f>IF(B1821="","",IFERROR(VLOOKUP(B1821,'Daftar Outlet'!$A$4:$B$22,2,FALSE),""))</f>
        <v/>
      </c>
      <c r="D1821" s="8" t="n"/>
      <c r="E1821" s="6" t="n"/>
      <c r="F1821" s="8" t="n"/>
    </row>
    <row r="1822">
      <c r="A1822" s="7" t="n"/>
      <c r="B1822" s="8" t="n"/>
      <c r="C1822" s="9">
        <f>IF(B1822="","",IFERROR(VLOOKUP(B1822,'Daftar Outlet'!$A$4:$B$22,2,FALSE),""))</f>
        <v/>
      </c>
      <c r="D1822" s="8" t="n"/>
      <c r="E1822" s="6" t="n"/>
      <c r="F1822" s="8" t="n"/>
    </row>
    <row r="1823">
      <c r="A1823" s="7" t="n"/>
      <c r="B1823" s="8" t="n"/>
      <c r="C1823" s="9">
        <f>IF(B1823="","",IFERROR(VLOOKUP(B1823,'Daftar Outlet'!$A$4:$B$22,2,FALSE),""))</f>
        <v/>
      </c>
      <c r="D1823" s="8" t="n"/>
      <c r="E1823" s="6" t="n"/>
      <c r="F1823" s="8" t="n"/>
    </row>
    <row r="1824">
      <c r="A1824" s="7" t="n"/>
      <c r="B1824" s="8" t="n"/>
      <c r="C1824" s="9">
        <f>IF(B1824="","",IFERROR(VLOOKUP(B1824,'Daftar Outlet'!$A$4:$B$22,2,FALSE),""))</f>
        <v/>
      </c>
      <c r="D1824" s="8" t="n"/>
      <c r="E1824" s="6" t="n"/>
      <c r="F1824" s="8" t="n"/>
    </row>
    <row r="1825">
      <c r="A1825" s="7" t="n"/>
      <c r="B1825" s="8" t="n"/>
      <c r="C1825" s="9">
        <f>IF(B1825="","",IFERROR(VLOOKUP(B1825,'Daftar Outlet'!$A$4:$B$22,2,FALSE),""))</f>
        <v/>
      </c>
      <c r="D1825" s="8" t="n"/>
      <c r="E1825" s="6" t="n"/>
      <c r="F1825" s="8" t="n"/>
    </row>
    <row r="1826">
      <c r="A1826" s="7" t="n"/>
      <c r="B1826" s="8" t="n"/>
      <c r="C1826" s="9">
        <f>IF(B1826="","",IFERROR(VLOOKUP(B1826,'Daftar Outlet'!$A$4:$B$22,2,FALSE),""))</f>
        <v/>
      </c>
      <c r="D1826" s="8" t="n"/>
      <c r="E1826" s="6" t="n"/>
      <c r="F1826" s="8" t="n"/>
    </row>
    <row r="1827">
      <c r="A1827" s="7" t="n"/>
      <c r="B1827" s="8" t="n"/>
      <c r="C1827" s="9">
        <f>IF(B1827="","",IFERROR(VLOOKUP(B1827,'Daftar Outlet'!$A$4:$B$22,2,FALSE),""))</f>
        <v/>
      </c>
      <c r="D1827" s="8" t="n"/>
      <c r="E1827" s="6" t="n"/>
      <c r="F1827" s="8" t="n"/>
    </row>
    <row r="1828">
      <c r="A1828" s="7" t="n"/>
      <c r="B1828" s="8" t="n"/>
      <c r="C1828" s="9">
        <f>IF(B1828="","",IFERROR(VLOOKUP(B1828,'Daftar Outlet'!$A$4:$B$22,2,FALSE),""))</f>
        <v/>
      </c>
      <c r="D1828" s="8" t="n"/>
      <c r="E1828" s="6" t="n"/>
      <c r="F1828" s="8" t="n"/>
    </row>
    <row r="1829">
      <c r="A1829" s="7" t="n"/>
      <c r="B1829" s="8" t="n"/>
      <c r="C1829" s="9">
        <f>IF(B1829="","",IFERROR(VLOOKUP(B1829,'Daftar Outlet'!$A$4:$B$22,2,FALSE),""))</f>
        <v/>
      </c>
      <c r="D1829" s="8" t="n"/>
      <c r="E1829" s="6" t="n"/>
      <c r="F1829" s="8" t="n"/>
    </row>
    <row r="1830">
      <c r="A1830" s="7" t="n"/>
      <c r="B1830" s="8" t="n"/>
      <c r="C1830" s="9">
        <f>IF(B1830="","",IFERROR(VLOOKUP(B1830,'Daftar Outlet'!$A$4:$B$22,2,FALSE),""))</f>
        <v/>
      </c>
      <c r="D1830" s="8" t="n"/>
      <c r="E1830" s="6" t="n"/>
      <c r="F1830" s="8" t="n"/>
    </row>
    <row r="1831">
      <c r="A1831" s="7" t="n"/>
      <c r="B1831" s="8" t="n"/>
      <c r="C1831" s="9">
        <f>IF(B1831="","",IFERROR(VLOOKUP(B1831,'Daftar Outlet'!$A$4:$B$22,2,FALSE),""))</f>
        <v/>
      </c>
      <c r="D1831" s="8" t="n"/>
      <c r="E1831" s="6" t="n"/>
      <c r="F1831" s="8" t="n"/>
    </row>
    <row r="1832">
      <c r="A1832" s="7" t="n"/>
      <c r="B1832" s="8" t="n"/>
      <c r="C1832" s="9">
        <f>IF(B1832="","",IFERROR(VLOOKUP(B1832,'Daftar Outlet'!$A$4:$B$22,2,FALSE),""))</f>
        <v/>
      </c>
      <c r="D1832" s="8" t="n"/>
      <c r="E1832" s="6" t="n"/>
      <c r="F1832" s="8" t="n"/>
    </row>
    <row r="1833">
      <c r="A1833" s="7" t="n"/>
      <c r="B1833" s="8" t="n"/>
      <c r="C1833" s="9">
        <f>IF(B1833="","",IFERROR(VLOOKUP(B1833,'Daftar Outlet'!$A$4:$B$22,2,FALSE),""))</f>
        <v/>
      </c>
      <c r="D1833" s="8" t="n"/>
      <c r="E1833" s="6" t="n"/>
      <c r="F1833" s="8" t="n"/>
    </row>
    <row r="1834">
      <c r="A1834" s="7" t="n"/>
      <c r="B1834" s="8" t="n"/>
      <c r="C1834" s="9">
        <f>IF(B1834="","",IFERROR(VLOOKUP(B1834,'Daftar Outlet'!$A$4:$B$22,2,FALSE),""))</f>
        <v/>
      </c>
      <c r="D1834" s="8" t="n"/>
      <c r="E1834" s="6" t="n"/>
      <c r="F1834" s="8" t="n"/>
    </row>
    <row r="1835">
      <c r="A1835" s="7" t="n"/>
      <c r="B1835" s="8" t="n"/>
      <c r="C1835" s="9">
        <f>IF(B1835="","",IFERROR(VLOOKUP(B1835,'Daftar Outlet'!$A$4:$B$22,2,FALSE),""))</f>
        <v/>
      </c>
      <c r="D1835" s="8" t="n"/>
      <c r="E1835" s="6" t="n"/>
      <c r="F1835" s="8" t="n"/>
    </row>
    <row r="1836">
      <c r="A1836" s="7" t="n"/>
      <c r="B1836" s="8" t="n"/>
      <c r="C1836" s="9">
        <f>IF(B1836="","",IFERROR(VLOOKUP(B1836,'Daftar Outlet'!$A$4:$B$22,2,FALSE),""))</f>
        <v/>
      </c>
      <c r="D1836" s="8" t="n"/>
      <c r="E1836" s="6" t="n"/>
      <c r="F1836" s="8" t="n"/>
    </row>
    <row r="1837">
      <c r="A1837" s="7" t="n"/>
      <c r="B1837" s="8" t="n"/>
      <c r="C1837" s="9">
        <f>IF(B1837="","",IFERROR(VLOOKUP(B1837,'Daftar Outlet'!$A$4:$B$22,2,FALSE),""))</f>
        <v/>
      </c>
      <c r="D1837" s="8" t="n"/>
      <c r="E1837" s="6" t="n"/>
      <c r="F1837" s="8" t="n"/>
    </row>
    <row r="1838">
      <c r="A1838" s="7" t="n"/>
      <c r="B1838" s="8" t="n"/>
      <c r="C1838" s="9">
        <f>IF(B1838="","",IFERROR(VLOOKUP(B1838,'Daftar Outlet'!$A$4:$B$22,2,FALSE),""))</f>
        <v/>
      </c>
      <c r="D1838" s="8" t="n"/>
      <c r="E1838" s="6" t="n"/>
      <c r="F1838" s="8" t="n"/>
    </row>
    <row r="1839">
      <c r="A1839" s="7" t="n"/>
      <c r="B1839" s="8" t="n"/>
      <c r="C1839" s="9">
        <f>IF(B1839="","",IFERROR(VLOOKUP(B1839,'Daftar Outlet'!$A$4:$B$22,2,FALSE),""))</f>
        <v/>
      </c>
      <c r="D1839" s="8" t="n"/>
      <c r="E1839" s="6" t="n"/>
      <c r="F1839" s="8" t="n"/>
    </row>
    <row r="1840">
      <c r="A1840" s="7" t="n"/>
      <c r="B1840" s="8" t="n"/>
      <c r="C1840" s="9">
        <f>IF(B1840="","",IFERROR(VLOOKUP(B1840,'Daftar Outlet'!$A$4:$B$22,2,FALSE),""))</f>
        <v/>
      </c>
      <c r="D1840" s="8" t="n"/>
      <c r="E1840" s="6" t="n"/>
      <c r="F1840" s="8" t="n"/>
    </row>
    <row r="1841">
      <c r="A1841" s="7" t="n"/>
      <c r="B1841" s="8" t="n"/>
      <c r="C1841" s="9">
        <f>IF(B1841="","",IFERROR(VLOOKUP(B1841,'Daftar Outlet'!$A$4:$B$22,2,FALSE),""))</f>
        <v/>
      </c>
      <c r="D1841" s="8" t="n"/>
      <c r="E1841" s="6" t="n"/>
      <c r="F1841" s="8" t="n"/>
    </row>
    <row r="1842">
      <c r="A1842" s="7" t="n"/>
      <c r="B1842" s="8" t="n"/>
      <c r="C1842" s="9">
        <f>IF(B1842="","",IFERROR(VLOOKUP(B1842,'Daftar Outlet'!$A$4:$B$22,2,FALSE),""))</f>
        <v/>
      </c>
      <c r="D1842" s="8" t="n"/>
      <c r="E1842" s="6" t="n"/>
      <c r="F1842" s="8" t="n"/>
    </row>
    <row r="1843">
      <c r="A1843" s="7" t="n"/>
      <c r="B1843" s="8" t="n"/>
      <c r="C1843" s="9">
        <f>IF(B1843="","",IFERROR(VLOOKUP(B1843,'Daftar Outlet'!$A$4:$B$22,2,FALSE),""))</f>
        <v/>
      </c>
      <c r="D1843" s="8" t="n"/>
      <c r="E1843" s="6" t="n"/>
      <c r="F1843" s="8" t="n"/>
    </row>
    <row r="1844">
      <c r="A1844" s="7" t="n"/>
      <c r="B1844" s="8" t="n"/>
      <c r="C1844" s="9">
        <f>IF(B1844="","",IFERROR(VLOOKUP(B1844,'Daftar Outlet'!$A$4:$B$22,2,FALSE),""))</f>
        <v/>
      </c>
      <c r="D1844" s="8" t="n"/>
      <c r="E1844" s="6" t="n"/>
      <c r="F1844" s="8" t="n"/>
    </row>
    <row r="1845">
      <c r="A1845" s="7" t="n"/>
      <c r="B1845" s="8" t="n"/>
      <c r="C1845" s="9">
        <f>IF(B1845="","",IFERROR(VLOOKUP(B1845,'Daftar Outlet'!$A$4:$B$22,2,FALSE),""))</f>
        <v/>
      </c>
      <c r="D1845" s="8" t="n"/>
      <c r="E1845" s="6" t="n"/>
      <c r="F1845" s="8" t="n"/>
    </row>
    <row r="1846">
      <c r="A1846" s="7" t="n"/>
      <c r="B1846" s="8" t="n"/>
      <c r="C1846" s="9">
        <f>IF(B1846="","",IFERROR(VLOOKUP(B1846,'Daftar Outlet'!$A$4:$B$22,2,FALSE),""))</f>
        <v/>
      </c>
      <c r="D1846" s="8" t="n"/>
      <c r="E1846" s="6" t="n"/>
      <c r="F1846" s="8" t="n"/>
    </row>
    <row r="1847">
      <c r="A1847" s="7" t="n"/>
      <c r="B1847" s="8" t="n"/>
      <c r="C1847" s="9">
        <f>IF(B1847="","",IFERROR(VLOOKUP(B1847,'Daftar Outlet'!$A$4:$B$22,2,FALSE),""))</f>
        <v/>
      </c>
      <c r="D1847" s="8" t="n"/>
      <c r="E1847" s="6" t="n"/>
      <c r="F1847" s="8" t="n"/>
    </row>
    <row r="1848">
      <c r="A1848" s="7" t="n"/>
      <c r="B1848" s="8" t="n"/>
      <c r="C1848" s="9">
        <f>IF(B1848="","",IFERROR(VLOOKUP(B1848,'Daftar Outlet'!$A$4:$B$22,2,FALSE),""))</f>
        <v/>
      </c>
      <c r="D1848" s="8" t="n"/>
      <c r="E1848" s="6" t="n"/>
      <c r="F1848" s="8" t="n"/>
    </row>
    <row r="1849">
      <c r="A1849" s="7" t="n"/>
      <c r="B1849" s="8" t="n"/>
      <c r="C1849" s="9">
        <f>IF(B1849="","",IFERROR(VLOOKUP(B1849,'Daftar Outlet'!$A$4:$B$22,2,FALSE),""))</f>
        <v/>
      </c>
      <c r="D1849" s="8" t="n"/>
      <c r="E1849" s="6" t="n"/>
      <c r="F1849" s="8" t="n"/>
    </row>
    <row r="1850">
      <c r="A1850" s="7" t="n"/>
      <c r="B1850" s="8" t="n"/>
      <c r="C1850" s="9">
        <f>IF(B1850="","",IFERROR(VLOOKUP(B1850,'Daftar Outlet'!$A$4:$B$22,2,FALSE),""))</f>
        <v/>
      </c>
      <c r="D1850" s="8" t="n"/>
      <c r="E1850" s="6" t="n"/>
      <c r="F1850" s="8" t="n"/>
    </row>
    <row r="1851">
      <c r="A1851" s="7" t="n"/>
      <c r="B1851" s="8" t="n"/>
      <c r="C1851" s="9">
        <f>IF(B1851="","",IFERROR(VLOOKUP(B1851,'Daftar Outlet'!$A$4:$B$22,2,FALSE),""))</f>
        <v/>
      </c>
      <c r="D1851" s="8" t="n"/>
      <c r="E1851" s="6" t="n"/>
      <c r="F1851" s="8" t="n"/>
    </row>
    <row r="1852">
      <c r="A1852" s="7" t="n"/>
      <c r="B1852" s="8" t="n"/>
      <c r="C1852" s="9">
        <f>IF(B1852="","",IFERROR(VLOOKUP(B1852,'Daftar Outlet'!$A$4:$B$22,2,FALSE),""))</f>
        <v/>
      </c>
      <c r="D1852" s="8" t="n"/>
      <c r="E1852" s="6" t="n"/>
      <c r="F1852" s="8" t="n"/>
    </row>
    <row r="1853">
      <c r="A1853" s="7" t="n"/>
      <c r="B1853" s="8" t="n"/>
      <c r="C1853" s="9">
        <f>IF(B1853="","",IFERROR(VLOOKUP(B1853,'Daftar Outlet'!$A$4:$B$22,2,FALSE),""))</f>
        <v/>
      </c>
      <c r="D1853" s="8" t="n"/>
      <c r="E1853" s="6" t="n"/>
      <c r="F1853" s="8" t="n"/>
    </row>
    <row r="1854">
      <c r="A1854" s="7" t="n"/>
      <c r="B1854" s="8" t="n"/>
      <c r="C1854" s="9">
        <f>IF(B1854="","",IFERROR(VLOOKUP(B1854,'Daftar Outlet'!$A$4:$B$22,2,FALSE),""))</f>
        <v/>
      </c>
      <c r="D1854" s="8" t="n"/>
      <c r="E1854" s="6" t="n"/>
      <c r="F1854" s="8" t="n"/>
    </row>
    <row r="1855">
      <c r="A1855" s="7" t="n"/>
      <c r="B1855" s="8" t="n"/>
      <c r="C1855" s="9">
        <f>IF(B1855="","",IFERROR(VLOOKUP(B1855,'Daftar Outlet'!$A$4:$B$22,2,FALSE),""))</f>
        <v/>
      </c>
      <c r="D1855" s="8" t="n"/>
      <c r="E1855" s="6" t="n"/>
      <c r="F1855" s="8" t="n"/>
    </row>
    <row r="1856">
      <c r="A1856" s="7" t="n"/>
      <c r="B1856" s="8" t="n"/>
      <c r="C1856" s="9">
        <f>IF(B1856="","",IFERROR(VLOOKUP(B1856,'Daftar Outlet'!$A$4:$B$22,2,FALSE),""))</f>
        <v/>
      </c>
      <c r="D1856" s="8" t="n"/>
      <c r="E1856" s="6" t="n"/>
      <c r="F1856" s="8" t="n"/>
    </row>
    <row r="1857">
      <c r="A1857" s="7" t="n"/>
      <c r="B1857" s="8" t="n"/>
      <c r="C1857" s="9">
        <f>IF(B1857="","",IFERROR(VLOOKUP(B1857,'Daftar Outlet'!$A$4:$B$22,2,FALSE),""))</f>
        <v/>
      </c>
      <c r="D1857" s="8" t="n"/>
      <c r="E1857" s="6" t="n"/>
      <c r="F1857" s="8" t="n"/>
    </row>
    <row r="1858">
      <c r="A1858" s="7" t="n"/>
      <c r="B1858" s="8" t="n"/>
      <c r="C1858" s="9">
        <f>IF(B1858="","",IFERROR(VLOOKUP(B1858,'Daftar Outlet'!$A$4:$B$22,2,FALSE),""))</f>
        <v/>
      </c>
      <c r="D1858" s="8" t="n"/>
      <c r="E1858" s="6" t="n"/>
      <c r="F1858" s="8" t="n"/>
    </row>
    <row r="1859">
      <c r="A1859" s="7" t="n"/>
      <c r="B1859" s="8" t="n"/>
      <c r="C1859" s="9">
        <f>IF(B1859="","",IFERROR(VLOOKUP(B1859,'Daftar Outlet'!$A$4:$B$22,2,FALSE),""))</f>
        <v/>
      </c>
      <c r="D1859" s="8" t="n"/>
      <c r="E1859" s="6" t="n"/>
      <c r="F1859" s="8" t="n"/>
    </row>
    <row r="1860">
      <c r="A1860" s="7" t="n"/>
      <c r="B1860" s="8" t="n"/>
      <c r="C1860" s="9">
        <f>IF(B1860="","",IFERROR(VLOOKUP(B1860,'Daftar Outlet'!$A$4:$B$22,2,FALSE),""))</f>
        <v/>
      </c>
      <c r="D1860" s="8" t="n"/>
      <c r="E1860" s="6" t="n"/>
      <c r="F1860" s="8" t="n"/>
    </row>
    <row r="1861">
      <c r="A1861" s="7" t="n"/>
      <c r="B1861" s="8" t="n"/>
      <c r="C1861" s="9">
        <f>IF(B1861="","",IFERROR(VLOOKUP(B1861,'Daftar Outlet'!$A$4:$B$22,2,FALSE),""))</f>
        <v/>
      </c>
      <c r="D1861" s="8" t="n"/>
      <c r="E1861" s="6" t="n"/>
      <c r="F1861" s="8" t="n"/>
    </row>
    <row r="1862">
      <c r="A1862" s="7" t="n"/>
      <c r="B1862" s="8" t="n"/>
      <c r="C1862" s="9">
        <f>IF(B1862="","",IFERROR(VLOOKUP(B1862,'Daftar Outlet'!$A$4:$B$22,2,FALSE),""))</f>
        <v/>
      </c>
      <c r="D1862" s="8" t="n"/>
      <c r="E1862" s="6" t="n"/>
      <c r="F1862" s="8" t="n"/>
    </row>
    <row r="1863">
      <c r="A1863" s="7" t="n"/>
      <c r="B1863" s="8" t="n"/>
      <c r="C1863" s="9">
        <f>IF(B1863="","",IFERROR(VLOOKUP(B1863,'Daftar Outlet'!$A$4:$B$22,2,FALSE),""))</f>
        <v/>
      </c>
      <c r="D1863" s="8" t="n"/>
      <c r="E1863" s="6" t="n"/>
      <c r="F1863" s="8" t="n"/>
    </row>
    <row r="1864">
      <c r="A1864" s="7" t="n"/>
      <c r="B1864" s="8" t="n"/>
      <c r="C1864" s="9">
        <f>IF(B1864="","",IFERROR(VLOOKUP(B1864,'Daftar Outlet'!$A$4:$B$22,2,FALSE),""))</f>
        <v/>
      </c>
      <c r="D1864" s="8" t="n"/>
      <c r="E1864" s="6" t="n"/>
      <c r="F1864" s="8" t="n"/>
    </row>
    <row r="1865">
      <c r="A1865" s="7" t="n"/>
      <c r="B1865" s="8" t="n"/>
      <c r="C1865" s="9">
        <f>IF(B1865="","",IFERROR(VLOOKUP(B1865,'Daftar Outlet'!$A$4:$B$22,2,FALSE),""))</f>
        <v/>
      </c>
      <c r="D1865" s="8" t="n"/>
      <c r="E1865" s="6" t="n"/>
      <c r="F1865" s="8" t="n"/>
    </row>
    <row r="1866">
      <c r="A1866" s="7" t="n"/>
      <c r="B1866" s="8" t="n"/>
      <c r="C1866" s="9">
        <f>IF(B1866="","",IFERROR(VLOOKUP(B1866,'Daftar Outlet'!$A$4:$B$22,2,FALSE),""))</f>
        <v/>
      </c>
      <c r="D1866" s="8" t="n"/>
      <c r="E1866" s="6" t="n"/>
      <c r="F1866" s="8" t="n"/>
    </row>
    <row r="1867">
      <c r="A1867" s="7" t="n"/>
      <c r="B1867" s="8" t="n"/>
      <c r="C1867" s="9">
        <f>IF(B1867="","",IFERROR(VLOOKUP(B1867,'Daftar Outlet'!$A$4:$B$22,2,FALSE),""))</f>
        <v/>
      </c>
      <c r="D1867" s="8" t="n"/>
      <c r="E1867" s="6" t="n"/>
      <c r="F1867" s="8" t="n"/>
    </row>
    <row r="1868">
      <c r="A1868" s="7" t="n"/>
      <c r="B1868" s="8" t="n"/>
      <c r="C1868" s="9">
        <f>IF(B1868="","",IFERROR(VLOOKUP(B1868,'Daftar Outlet'!$A$4:$B$22,2,FALSE),""))</f>
        <v/>
      </c>
      <c r="D1868" s="8" t="n"/>
      <c r="E1868" s="6" t="n"/>
      <c r="F1868" s="8" t="n"/>
    </row>
    <row r="1869">
      <c r="A1869" s="7" t="n"/>
      <c r="B1869" s="8" t="n"/>
      <c r="C1869" s="9">
        <f>IF(B1869="","",IFERROR(VLOOKUP(B1869,'Daftar Outlet'!$A$4:$B$22,2,FALSE),""))</f>
        <v/>
      </c>
      <c r="D1869" s="8" t="n"/>
      <c r="E1869" s="6" t="n"/>
      <c r="F1869" s="8" t="n"/>
    </row>
    <row r="1870">
      <c r="A1870" s="7" t="n"/>
      <c r="B1870" s="8" t="n"/>
      <c r="C1870" s="9">
        <f>IF(B1870="","",IFERROR(VLOOKUP(B1870,'Daftar Outlet'!$A$4:$B$22,2,FALSE),""))</f>
        <v/>
      </c>
      <c r="D1870" s="8" t="n"/>
      <c r="E1870" s="6" t="n"/>
      <c r="F1870" s="8" t="n"/>
    </row>
    <row r="1871">
      <c r="A1871" s="7" t="n"/>
      <c r="B1871" s="8" t="n"/>
      <c r="C1871" s="9">
        <f>IF(B1871="","",IFERROR(VLOOKUP(B1871,'Daftar Outlet'!$A$4:$B$22,2,FALSE),""))</f>
        <v/>
      </c>
      <c r="D1871" s="8" t="n"/>
      <c r="E1871" s="6" t="n"/>
      <c r="F1871" s="8" t="n"/>
    </row>
    <row r="1872">
      <c r="A1872" s="7" t="n"/>
      <c r="B1872" s="8" t="n"/>
      <c r="C1872" s="9">
        <f>IF(B1872="","",IFERROR(VLOOKUP(B1872,'Daftar Outlet'!$A$4:$B$22,2,FALSE),""))</f>
        <v/>
      </c>
      <c r="D1872" s="8" t="n"/>
      <c r="E1872" s="6" t="n"/>
      <c r="F1872" s="8" t="n"/>
    </row>
    <row r="1873">
      <c r="A1873" s="7" t="n"/>
      <c r="B1873" s="8" t="n"/>
      <c r="C1873" s="9">
        <f>IF(B1873="","",IFERROR(VLOOKUP(B1873,'Daftar Outlet'!$A$4:$B$22,2,FALSE),""))</f>
        <v/>
      </c>
      <c r="D1873" s="8" t="n"/>
      <c r="E1873" s="6" t="n"/>
      <c r="F1873" s="8" t="n"/>
    </row>
    <row r="1874">
      <c r="A1874" s="7" t="n"/>
      <c r="B1874" s="8" t="n"/>
      <c r="C1874" s="9">
        <f>IF(B1874="","",IFERROR(VLOOKUP(B1874,'Daftar Outlet'!$A$4:$B$22,2,FALSE),""))</f>
        <v/>
      </c>
      <c r="D1874" s="8" t="n"/>
      <c r="E1874" s="6" t="n"/>
      <c r="F1874" s="8" t="n"/>
    </row>
    <row r="1875">
      <c r="A1875" s="7" t="n"/>
      <c r="B1875" s="8" t="n"/>
      <c r="C1875" s="9">
        <f>IF(B1875="","",IFERROR(VLOOKUP(B1875,'Daftar Outlet'!$A$4:$B$22,2,FALSE),""))</f>
        <v/>
      </c>
      <c r="D1875" s="8" t="n"/>
      <c r="E1875" s="6" t="n"/>
      <c r="F1875" s="8" t="n"/>
    </row>
    <row r="1876">
      <c r="A1876" s="7" t="n"/>
      <c r="B1876" s="8" t="n"/>
      <c r="C1876" s="9">
        <f>IF(B1876="","",IFERROR(VLOOKUP(B1876,'Daftar Outlet'!$A$4:$B$22,2,FALSE),""))</f>
        <v/>
      </c>
      <c r="D1876" s="8" t="n"/>
      <c r="E1876" s="6" t="n"/>
      <c r="F1876" s="8" t="n"/>
    </row>
    <row r="1877">
      <c r="A1877" s="7" t="n"/>
      <c r="B1877" s="8" t="n"/>
      <c r="C1877" s="9">
        <f>IF(B1877="","",IFERROR(VLOOKUP(B1877,'Daftar Outlet'!$A$4:$B$22,2,FALSE),""))</f>
        <v/>
      </c>
      <c r="D1877" s="8" t="n"/>
      <c r="E1877" s="6" t="n"/>
      <c r="F1877" s="8" t="n"/>
    </row>
    <row r="1878">
      <c r="A1878" s="7" t="n"/>
      <c r="B1878" s="8" t="n"/>
      <c r="C1878" s="9">
        <f>IF(B1878="","",IFERROR(VLOOKUP(B1878,'Daftar Outlet'!$A$4:$B$22,2,FALSE),""))</f>
        <v/>
      </c>
      <c r="D1878" s="8" t="n"/>
      <c r="E1878" s="6" t="n"/>
      <c r="F1878" s="8" t="n"/>
    </row>
    <row r="1879">
      <c r="A1879" s="7" t="n"/>
      <c r="B1879" s="8" t="n"/>
      <c r="C1879" s="9">
        <f>IF(B1879="","",IFERROR(VLOOKUP(B1879,'Daftar Outlet'!$A$4:$B$22,2,FALSE),""))</f>
        <v/>
      </c>
      <c r="D1879" s="8" t="n"/>
      <c r="E1879" s="6" t="n"/>
      <c r="F1879" s="8" t="n"/>
    </row>
    <row r="1880">
      <c r="A1880" s="7" t="n"/>
      <c r="B1880" s="8" t="n"/>
      <c r="C1880" s="9">
        <f>IF(B1880="","",IFERROR(VLOOKUP(B1880,'Daftar Outlet'!$A$4:$B$22,2,FALSE),""))</f>
        <v/>
      </c>
      <c r="D1880" s="8" t="n"/>
      <c r="E1880" s="6" t="n"/>
      <c r="F1880" s="8" t="n"/>
    </row>
    <row r="1881">
      <c r="A1881" s="7" t="n"/>
      <c r="B1881" s="8" t="n"/>
      <c r="C1881" s="9">
        <f>IF(B1881="","",IFERROR(VLOOKUP(B1881,'Daftar Outlet'!$A$4:$B$22,2,FALSE),""))</f>
        <v/>
      </c>
      <c r="D1881" s="8" t="n"/>
      <c r="E1881" s="6" t="n"/>
      <c r="F1881" s="8" t="n"/>
    </row>
    <row r="1882">
      <c r="A1882" s="7" t="n"/>
      <c r="B1882" s="8" t="n"/>
      <c r="C1882" s="9">
        <f>IF(B1882="","",IFERROR(VLOOKUP(B1882,'Daftar Outlet'!$A$4:$B$22,2,FALSE),""))</f>
        <v/>
      </c>
      <c r="D1882" s="8" t="n"/>
      <c r="E1882" s="6" t="n"/>
      <c r="F1882" s="8" t="n"/>
    </row>
    <row r="1883">
      <c r="A1883" s="7" t="n"/>
      <c r="B1883" s="8" t="n"/>
      <c r="C1883" s="9">
        <f>IF(B1883="","",IFERROR(VLOOKUP(B1883,'Daftar Outlet'!$A$4:$B$22,2,FALSE),""))</f>
        <v/>
      </c>
      <c r="D1883" s="8" t="n"/>
      <c r="E1883" s="6" t="n"/>
      <c r="F1883" s="8" t="n"/>
    </row>
    <row r="1884">
      <c r="A1884" s="7" t="n"/>
      <c r="B1884" s="8" t="n"/>
      <c r="C1884" s="9">
        <f>IF(B1884="","",IFERROR(VLOOKUP(B1884,'Daftar Outlet'!$A$4:$B$22,2,FALSE),""))</f>
        <v/>
      </c>
      <c r="D1884" s="8" t="n"/>
      <c r="E1884" s="6" t="n"/>
      <c r="F1884" s="8" t="n"/>
    </row>
    <row r="1885">
      <c r="A1885" s="7" t="n"/>
      <c r="B1885" s="8" t="n"/>
      <c r="C1885" s="9">
        <f>IF(B1885="","",IFERROR(VLOOKUP(B1885,'Daftar Outlet'!$A$4:$B$22,2,FALSE),""))</f>
        <v/>
      </c>
      <c r="D1885" s="8" t="n"/>
      <c r="E1885" s="6" t="n"/>
      <c r="F1885" s="8" t="n"/>
    </row>
    <row r="1886">
      <c r="A1886" s="7" t="n"/>
      <c r="B1886" s="8" t="n"/>
      <c r="C1886" s="9">
        <f>IF(B1886="","",IFERROR(VLOOKUP(B1886,'Daftar Outlet'!$A$4:$B$22,2,FALSE),""))</f>
        <v/>
      </c>
      <c r="D1886" s="8" t="n"/>
      <c r="E1886" s="6" t="n"/>
      <c r="F1886" s="8" t="n"/>
    </row>
    <row r="1887">
      <c r="A1887" s="7" t="n"/>
      <c r="B1887" s="8" t="n"/>
      <c r="C1887" s="9">
        <f>IF(B1887="","",IFERROR(VLOOKUP(B1887,'Daftar Outlet'!$A$4:$B$22,2,FALSE),""))</f>
        <v/>
      </c>
      <c r="D1887" s="8" t="n"/>
      <c r="E1887" s="6" t="n"/>
      <c r="F1887" s="8" t="n"/>
    </row>
    <row r="1888">
      <c r="A1888" s="7" t="n"/>
      <c r="B1888" s="8" t="n"/>
      <c r="C1888" s="9">
        <f>IF(B1888="","",IFERROR(VLOOKUP(B1888,'Daftar Outlet'!$A$4:$B$22,2,FALSE),""))</f>
        <v/>
      </c>
      <c r="D1888" s="8" t="n"/>
      <c r="E1888" s="6" t="n"/>
      <c r="F1888" s="8" t="n"/>
    </row>
    <row r="1889">
      <c r="A1889" s="7" t="n"/>
      <c r="B1889" s="8" t="n"/>
      <c r="C1889" s="9">
        <f>IF(B1889="","",IFERROR(VLOOKUP(B1889,'Daftar Outlet'!$A$4:$B$22,2,FALSE),""))</f>
        <v/>
      </c>
      <c r="D1889" s="8" t="n"/>
      <c r="E1889" s="6" t="n"/>
      <c r="F1889" s="8" t="n"/>
    </row>
    <row r="1890">
      <c r="A1890" s="7" t="n"/>
      <c r="B1890" s="8" t="n"/>
      <c r="C1890" s="9">
        <f>IF(B1890="","",IFERROR(VLOOKUP(B1890,'Daftar Outlet'!$A$4:$B$22,2,FALSE),""))</f>
        <v/>
      </c>
      <c r="D1890" s="8" t="n"/>
      <c r="E1890" s="6" t="n"/>
      <c r="F1890" s="8" t="n"/>
    </row>
    <row r="1891">
      <c r="A1891" s="7" t="n"/>
      <c r="B1891" s="8" t="n"/>
      <c r="C1891" s="9">
        <f>IF(B1891="","",IFERROR(VLOOKUP(B1891,'Daftar Outlet'!$A$4:$B$22,2,FALSE),""))</f>
        <v/>
      </c>
      <c r="D1891" s="8" t="n"/>
      <c r="E1891" s="6" t="n"/>
      <c r="F1891" s="8" t="n"/>
    </row>
    <row r="1892">
      <c r="A1892" s="7" t="n"/>
      <c r="B1892" s="8" t="n"/>
      <c r="C1892" s="9">
        <f>IF(B1892="","",IFERROR(VLOOKUP(B1892,'Daftar Outlet'!$A$4:$B$22,2,FALSE),""))</f>
        <v/>
      </c>
      <c r="D1892" s="8" t="n"/>
      <c r="E1892" s="6" t="n"/>
      <c r="F1892" s="8" t="n"/>
    </row>
    <row r="1893">
      <c r="A1893" s="7" t="n"/>
      <c r="B1893" s="8" t="n"/>
      <c r="C1893" s="9">
        <f>IF(B1893="","",IFERROR(VLOOKUP(B1893,'Daftar Outlet'!$A$4:$B$22,2,FALSE),""))</f>
        <v/>
      </c>
      <c r="D1893" s="8" t="n"/>
      <c r="E1893" s="6" t="n"/>
      <c r="F1893" s="8" t="n"/>
    </row>
    <row r="1894">
      <c r="A1894" s="7" t="n"/>
      <c r="B1894" s="8" t="n"/>
      <c r="C1894" s="9">
        <f>IF(B1894="","",IFERROR(VLOOKUP(B1894,'Daftar Outlet'!$A$4:$B$22,2,FALSE),""))</f>
        <v/>
      </c>
      <c r="D1894" s="8" t="n"/>
      <c r="E1894" s="6" t="n"/>
      <c r="F1894" s="8" t="n"/>
    </row>
    <row r="1895">
      <c r="A1895" s="7" t="n"/>
      <c r="B1895" s="8" t="n"/>
      <c r="C1895" s="9">
        <f>IF(B1895="","",IFERROR(VLOOKUP(B1895,'Daftar Outlet'!$A$4:$B$22,2,FALSE),""))</f>
        <v/>
      </c>
      <c r="D1895" s="8" t="n"/>
      <c r="E1895" s="6" t="n"/>
      <c r="F1895" s="8" t="n"/>
    </row>
    <row r="1896">
      <c r="A1896" s="7" t="n"/>
      <c r="B1896" s="8" t="n"/>
      <c r="C1896" s="9">
        <f>IF(B1896="","",IFERROR(VLOOKUP(B1896,'Daftar Outlet'!$A$4:$B$22,2,FALSE),""))</f>
        <v/>
      </c>
      <c r="D1896" s="8" t="n"/>
      <c r="E1896" s="6" t="n"/>
      <c r="F1896" s="8" t="n"/>
    </row>
    <row r="1897">
      <c r="A1897" s="7" t="n"/>
      <c r="B1897" s="8" t="n"/>
      <c r="C1897" s="9">
        <f>IF(B1897="","",IFERROR(VLOOKUP(B1897,'Daftar Outlet'!$A$4:$B$22,2,FALSE),""))</f>
        <v/>
      </c>
      <c r="D1897" s="8" t="n"/>
      <c r="E1897" s="6" t="n"/>
      <c r="F1897" s="8" t="n"/>
    </row>
    <row r="1898">
      <c r="A1898" s="7" t="n"/>
      <c r="B1898" s="8" t="n"/>
      <c r="C1898" s="9">
        <f>IF(B1898="","",IFERROR(VLOOKUP(B1898,'Daftar Outlet'!$A$4:$B$22,2,FALSE),""))</f>
        <v/>
      </c>
      <c r="D1898" s="8" t="n"/>
      <c r="E1898" s="6" t="n"/>
      <c r="F1898" s="8" t="n"/>
    </row>
    <row r="1899">
      <c r="A1899" s="7" t="n"/>
      <c r="B1899" s="8" t="n"/>
      <c r="C1899" s="9">
        <f>IF(B1899="","",IFERROR(VLOOKUP(B1899,'Daftar Outlet'!$A$4:$B$22,2,FALSE),""))</f>
        <v/>
      </c>
      <c r="D1899" s="8" t="n"/>
      <c r="E1899" s="6" t="n"/>
      <c r="F1899" s="8" t="n"/>
    </row>
    <row r="1900">
      <c r="A1900" s="7" t="n"/>
      <c r="B1900" s="8" t="n"/>
      <c r="C1900" s="9">
        <f>IF(B1900="","",IFERROR(VLOOKUP(B1900,'Daftar Outlet'!$A$4:$B$22,2,FALSE),""))</f>
        <v/>
      </c>
      <c r="D1900" s="8" t="n"/>
      <c r="E1900" s="6" t="n"/>
      <c r="F1900" s="8" t="n"/>
    </row>
    <row r="1901">
      <c r="A1901" s="7" t="n"/>
      <c r="B1901" s="8" t="n"/>
      <c r="C1901" s="9">
        <f>IF(B1901="","",IFERROR(VLOOKUP(B1901,'Daftar Outlet'!$A$4:$B$22,2,FALSE),""))</f>
        <v/>
      </c>
      <c r="D1901" s="8" t="n"/>
      <c r="E1901" s="6" t="n"/>
      <c r="F1901" s="8" t="n"/>
    </row>
    <row r="1902">
      <c r="A1902" s="7" t="n"/>
      <c r="B1902" s="8" t="n"/>
      <c r="C1902" s="9">
        <f>IF(B1902="","",IFERROR(VLOOKUP(B1902,'Daftar Outlet'!$A$4:$B$22,2,FALSE),""))</f>
        <v/>
      </c>
      <c r="D1902" s="8" t="n"/>
      <c r="E1902" s="6" t="n"/>
      <c r="F1902" s="8" t="n"/>
    </row>
    <row r="1903">
      <c r="A1903" s="7" t="n"/>
      <c r="B1903" s="8" t="n"/>
      <c r="C1903" s="9">
        <f>IF(B1903="","",IFERROR(VLOOKUP(B1903,'Daftar Outlet'!$A$4:$B$22,2,FALSE),""))</f>
        <v/>
      </c>
      <c r="D1903" s="8" t="n"/>
      <c r="E1903" s="6" t="n"/>
      <c r="F1903" s="8" t="n"/>
    </row>
    <row r="1904">
      <c r="A1904" s="7" t="n"/>
      <c r="B1904" s="8" t="n"/>
      <c r="C1904" s="9">
        <f>IF(B1904="","",IFERROR(VLOOKUP(B1904,'Daftar Outlet'!$A$4:$B$22,2,FALSE),""))</f>
        <v/>
      </c>
      <c r="D1904" s="8" t="n"/>
      <c r="E1904" s="6" t="n"/>
      <c r="F1904" s="8" t="n"/>
    </row>
    <row r="1905">
      <c r="A1905" s="7" t="n"/>
      <c r="B1905" s="8" t="n"/>
      <c r="C1905" s="9">
        <f>IF(B1905="","",IFERROR(VLOOKUP(B1905,'Daftar Outlet'!$A$4:$B$22,2,FALSE),""))</f>
        <v/>
      </c>
      <c r="D1905" s="8" t="n"/>
      <c r="E1905" s="6" t="n"/>
      <c r="F1905" s="8" t="n"/>
    </row>
    <row r="1906">
      <c r="A1906" s="7" t="n"/>
      <c r="B1906" s="8" t="n"/>
      <c r="C1906" s="9">
        <f>IF(B1906="","",IFERROR(VLOOKUP(B1906,'Daftar Outlet'!$A$4:$B$22,2,FALSE),""))</f>
        <v/>
      </c>
      <c r="D1906" s="8" t="n"/>
      <c r="E1906" s="6" t="n"/>
      <c r="F1906" s="8" t="n"/>
    </row>
    <row r="1907">
      <c r="A1907" s="7" t="n"/>
      <c r="B1907" s="8" t="n"/>
      <c r="C1907" s="9">
        <f>IF(B1907="","",IFERROR(VLOOKUP(B1907,'Daftar Outlet'!$A$4:$B$22,2,FALSE),""))</f>
        <v/>
      </c>
      <c r="D1907" s="8" t="n"/>
      <c r="E1907" s="6" t="n"/>
      <c r="F1907" s="8" t="n"/>
    </row>
    <row r="1908">
      <c r="A1908" s="7" t="n"/>
      <c r="B1908" s="8" t="n"/>
      <c r="C1908" s="9">
        <f>IF(B1908="","",IFERROR(VLOOKUP(B1908,'Daftar Outlet'!$A$4:$B$22,2,FALSE),""))</f>
        <v/>
      </c>
      <c r="D1908" s="8" t="n"/>
      <c r="E1908" s="6" t="n"/>
      <c r="F1908" s="8" t="n"/>
    </row>
    <row r="1909">
      <c r="A1909" s="7" t="n"/>
      <c r="B1909" s="8" t="n"/>
      <c r="C1909" s="9">
        <f>IF(B1909="","",IFERROR(VLOOKUP(B1909,'Daftar Outlet'!$A$4:$B$22,2,FALSE),""))</f>
        <v/>
      </c>
      <c r="D1909" s="8" t="n"/>
      <c r="E1909" s="6" t="n"/>
      <c r="F1909" s="8" t="n"/>
    </row>
    <row r="1910">
      <c r="A1910" s="7" t="n"/>
      <c r="B1910" s="8" t="n"/>
      <c r="C1910" s="9">
        <f>IF(B1910="","",IFERROR(VLOOKUP(B1910,'Daftar Outlet'!$A$4:$B$22,2,FALSE),""))</f>
        <v/>
      </c>
      <c r="D1910" s="8" t="n"/>
      <c r="E1910" s="6" t="n"/>
      <c r="F1910" s="8" t="n"/>
    </row>
    <row r="1911">
      <c r="A1911" s="7" t="n"/>
      <c r="B1911" s="8" t="n"/>
      <c r="C1911" s="9">
        <f>IF(B1911="","",IFERROR(VLOOKUP(B1911,'Daftar Outlet'!$A$4:$B$22,2,FALSE),""))</f>
        <v/>
      </c>
      <c r="D1911" s="8" t="n"/>
      <c r="E1911" s="6" t="n"/>
      <c r="F1911" s="8" t="n"/>
    </row>
    <row r="1912">
      <c r="A1912" s="7" t="n"/>
      <c r="B1912" s="8" t="n"/>
      <c r="C1912" s="9">
        <f>IF(B1912="","",IFERROR(VLOOKUP(B1912,'Daftar Outlet'!$A$4:$B$22,2,FALSE),""))</f>
        <v/>
      </c>
      <c r="D1912" s="8" t="n"/>
      <c r="E1912" s="6" t="n"/>
      <c r="F1912" s="8" t="n"/>
    </row>
    <row r="1913">
      <c r="A1913" s="7" t="n"/>
      <c r="B1913" s="8" t="n"/>
      <c r="C1913" s="9">
        <f>IF(B1913="","",IFERROR(VLOOKUP(B1913,'Daftar Outlet'!$A$4:$B$22,2,FALSE),""))</f>
        <v/>
      </c>
      <c r="D1913" s="8" t="n"/>
      <c r="E1913" s="6" t="n"/>
      <c r="F1913" s="8" t="n"/>
    </row>
    <row r="1914">
      <c r="A1914" s="7" t="n"/>
      <c r="B1914" s="8" t="n"/>
      <c r="C1914" s="9">
        <f>IF(B1914="","",IFERROR(VLOOKUP(B1914,'Daftar Outlet'!$A$4:$B$22,2,FALSE),""))</f>
        <v/>
      </c>
      <c r="D1914" s="8" t="n"/>
      <c r="E1914" s="6" t="n"/>
      <c r="F1914" s="8" t="n"/>
    </row>
    <row r="1915">
      <c r="A1915" s="7" t="n"/>
      <c r="B1915" s="8" t="n"/>
      <c r="C1915" s="9">
        <f>IF(B1915="","",IFERROR(VLOOKUP(B1915,'Daftar Outlet'!$A$4:$B$22,2,FALSE),""))</f>
        <v/>
      </c>
      <c r="D1915" s="8" t="n"/>
      <c r="E1915" s="6" t="n"/>
      <c r="F1915" s="8" t="n"/>
    </row>
    <row r="1916">
      <c r="A1916" s="7" t="n"/>
      <c r="B1916" s="8" t="n"/>
      <c r="C1916" s="9">
        <f>IF(B1916="","",IFERROR(VLOOKUP(B1916,'Daftar Outlet'!$A$4:$B$22,2,FALSE),""))</f>
        <v/>
      </c>
      <c r="D1916" s="8" t="n"/>
      <c r="E1916" s="6" t="n"/>
      <c r="F1916" s="8" t="n"/>
    </row>
    <row r="1917">
      <c r="A1917" s="7" t="n"/>
      <c r="B1917" s="8" t="n"/>
      <c r="C1917" s="9">
        <f>IF(B1917="","",IFERROR(VLOOKUP(B1917,'Daftar Outlet'!$A$4:$B$22,2,FALSE),""))</f>
        <v/>
      </c>
      <c r="D1917" s="8" t="n"/>
      <c r="E1917" s="6" t="n"/>
      <c r="F1917" s="8" t="n"/>
    </row>
    <row r="1918">
      <c r="A1918" s="7" t="n"/>
      <c r="B1918" s="8" t="n"/>
      <c r="C1918" s="9">
        <f>IF(B1918="","",IFERROR(VLOOKUP(B1918,'Daftar Outlet'!$A$4:$B$22,2,FALSE),""))</f>
        <v/>
      </c>
      <c r="D1918" s="8" t="n"/>
      <c r="E1918" s="6" t="n"/>
      <c r="F1918" s="8" t="n"/>
    </row>
    <row r="1919">
      <c r="A1919" s="7" t="n"/>
      <c r="B1919" s="8" t="n"/>
      <c r="C1919" s="9">
        <f>IF(B1919="","",IFERROR(VLOOKUP(B1919,'Daftar Outlet'!$A$4:$B$22,2,FALSE),""))</f>
        <v/>
      </c>
      <c r="D1919" s="8" t="n"/>
      <c r="E1919" s="6" t="n"/>
      <c r="F1919" s="8" t="n"/>
    </row>
    <row r="1920">
      <c r="A1920" s="7" t="n"/>
      <c r="B1920" s="8" t="n"/>
      <c r="C1920" s="9">
        <f>IF(B1920="","",IFERROR(VLOOKUP(B1920,'Daftar Outlet'!$A$4:$B$22,2,FALSE),""))</f>
        <v/>
      </c>
      <c r="D1920" s="8" t="n"/>
      <c r="E1920" s="6" t="n"/>
      <c r="F1920" s="8" t="n"/>
    </row>
    <row r="1921">
      <c r="A1921" s="7" t="n"/>
      <c r="B1921" s="8" t="n"/>
      <c r="C1921" s="9">
        <f>IF(B1921="","",IFERROR(VLOOKUP(B1921,'Daftar Outlet'!$A$4:$B$22,2,FALSE),""))</f>
        <v/>
      </c>
      <c r="D1921" s="8" t="n"/>
      <c r="E1921" s="6" t="n"/>
      <c r="F1921" s="8" t="n"/>
    </row>
    <row r="1922">
      <c r="A1922" s="7" t="n"/>
      <c r="B1922" s="8" t="n"/>
      <c r="C1922" s="9">
        <f>IF(B1922="","",IFERROR(VLOOKUP(B1922,'Daftar Outlet'!$A$4:$B$22,2,FALSE),""))</f>
        <v/>
      </c>
      <c r="D1922" s="8" t="n"/>
      <c r="E1922" s="6" t="n"/>
      <c r="F1922" s="8" t="n"/>
    </row>
    <row r="1923">
      <c r="A1923" s="7" t="n"/>
      <c r="B1923" s="8" t="n"/>
      <c r="C1923" s="9">
        <f>IF(B1923="","",IFERROR(VLOOKUP(B1923,'Daftar Outlet'!$A$4:$B$22,2,FALSE),""))</f>
        <v/>
      </c>
      <c r="D1923" s="8" t="n"/>
      <c r="E1923" s="6" t="n"/>
      <c r="F1923" s="8" t="n"/>
    </row>
    <row r="1924">
      <c r="A1924" s="7" t="n"/>
      <c r="B1924" s="8" t="n"/>
      <c r="C1924" s="9">
        <f>IF(B1924="","",IFERROR(VLOOKUP(B1924,'Daftar Outlet'!$A$4:$B$22,2,FALSE),""))</f>
        <v/>
      </c>
      <c r="D1924" s="8" t="n"/>
      <c r="E1924" s="6" t="n"/>
      <c r="F1924" s="8" t="n"/>
    </row>
    <row r="1925">
      <c r="A1925" s="7" t="n"/>
      <c r="B1925" s="8" t="n"/>
      <c r="C1925" s="9">
        <f>IF(B1925="","",IFERROR(VLOOKUP(B1925,'Daftar Outlet'!$A$4:$B$22,2,FALSE),""))</f>
        <v/>
      </c>
      <c r="D1925" s="8" t="n"/>
      <c r="E1925" s="6" t="n"/>
      <c r="F1925" s="8" t="n"/>
    </row>
    <row r="1926">
      <c r="A1926" s="7" t="n"/>
      <c r="B1926" s="8" t="n"/>
      <c r="C1926" s="9">
        <f>IF(B1926="","",IFERROR(VLOOKUP(B1926,'Daftar Outlet'!$A$4:$B$22,2,FALSE),""))</f>
        <v/>
      </c>
      <c r="D1926" s="8" t="n"/>
      <c r="E1926" s="6" t="n"/>
      <c r="F1926" s="8" t="n"/>
    </row>
    <row r="1927">
      <c r="A1927" s="7" t="n"/>
      <c r="B1927" s="8" t="n"/>
      <c r="C1927" s="9">
        <f>IF(B1927="","",IFERROR(VLOOKUP(B1927,'Daftar Outlet'!$A$4:$B$22,2,FALSE),""))</f>
        <v/>
      </c>
      <c r="D1927" s="8" t="n"/>
      <c r="E1927" s="6" t="n"/>
      <c r="F1927" s="8" t="n"/>
    </row>
    <row r="1928">
      <c r="A1928" s="7" t="n"/>
      <c r="B1928" s="8" t="n"/>
      <c r="C1928" s="9">
        <f>IF(B1928="","",IFERROR(VLOOKUP(B1928,'Daftar Outlet'!$A$4:$B$22,2,FALSE),""))</f>
        <v/>
      </c>
      <c r="D1928" s="8" t="n"/>
      <c r="E1928" s="6" t="n"/>
      <c r="F1928" s="8" t="n"/>
    </row>
    <row r="1929">
      <c r="A1929" s="7" t="n"/>
      <c r="B1929" s="8" t="n"/>
      <c r="C1929" s="9">
        <f>IF(B1929="","",IFERROR(VLOOKUP(B1929,'Daftar Outlet'!$A$4:$B$22,2,FALSE),""))</f>
        <v/>
      </c>
      <c r="D1929" s="8" t="n"/>
      <c r="E1929" s="6" t="n"/>
      <c r="F1929" s="8" t="n"/>
    </row>
    <row r="1930">
      <c r="A1930" s="7" t="n"/>
      <c r="B1930" s="8" t="n"/>
      <c r="C1930" s="9">
        <f>IF(B1930="","",IFERROR(VLOOKUP(B1930,'Daftar Outlet'!$A$4:$B$22,2,FALSE),""))</f>
        <v/>
      </c>
      <c r="D1930" s="8" t="n"/>
      <c r="E1930" s="6" t="n"/>
      <c r="F1930" s="8" t="n"/>
    </row>
    <row r="1931">
      <c r="A1931" s="7" t="n"/>
      <c r="B1931" s="8" t="n"/>
      <c r="C1931" s="9">
        <f>IF(B1931="","",IFERROR(VLOOKUP(B1931,'Daftar Outlet'!$A$4:$B$22,2,FALSE),""))</f>
        <v/>
      </c>
      <c r="D1931" s="8" t="n"/>
      <c r="E1931" s="6" t="n"/>
      <c r="F1931" s="8" t="n"/>
    </row>
    <row r="1932">
      <c r="A1932" s="7" t="n"/>
      <c r="B1932" s="8" t="n"/>
      <c r="C1932" s="9">
        <f>IF(B1932="","",IFERROR(VLOOKUP(B1932,'Daftar Outlet'!$A$4:$B$22,2,FALSE),""))</f>
        <v/>
      </c>
      <c r="D1932" s="8" t="n"/>
      <c r="E1932" s="6" t="n"/>
      <c r="F1932" s="8" t="n"/>
    </row>
    <row r="1933">
      <c r="A1933" s="7" t="n"/>
      <c r="B1933" s="8" t="n"/>
      <c r="C1933" s="9">
        <f>IF(B1933="","",IFERROR(VLOOKUP(B1933,'Daftar Outlet'!$A$4:$B$22,2,FALSE),""))</f>
        <v/>
      </c>
      <c r="D1933" s="8" t="n"/>
      <c r="E1933" s="6" t="n"/>
      <c r="F1933" s="8" t="n"/>
    </row>
    <row r="1934">
      <c r="A1934" s="7" t="n"/>
      <c r="B1934" s="8" t="n"/>
      <c r="C1934" s="9">
        <f>IF(B1934="","",IFERROR(VLOOKUP(B1934,'Daftar Outlet'!$A$4:$B$22,2,FALSE),""))</f>
        <v/>
      </c>
      <c r="D1934" s="8" t="n"/>
      <c r="E1934" s="6" t="n"/>
      <c r="F1934" s="8" t="n"/>
    </row>
    <row r="1935">
      <c r="A1935" s="7" t="n"/>
      <c r="B1935" s="8" t="n"/>
      <c r="C1935" s="9">
        <f>IF(B1935="","",IFERROR(VLOOKUP(B1935,'Daftar Outlet'!$A$4:$B$22,2,FALSE),""))</f>
        <v/>
      </c>
      <c r="D1935" s="8" t="n"/>
      <c r="E1935" s="6" t="n"/>
      <c r="F1935" s="8" t="n"/>
    </row>
    <row r="1936">
      <c r="A1936" s="7" t="n"/>
      <c r="B1936" s="8" t="n"/>
      <c r="C1936" s="9">
        <f>IF(B1936="","",IFERROR(VLOOKUP(B1936,'Daftar Outlet'!$A$4:$B$22,2,FALSE),""))</f>
        <v/>
      </c>
      <c r="D1936" s="8" t="n"/>
      <c r="E1936" s="6" t="n"/>
      <c r="F1936" s="8" t="n"/>
    </row>
    <row r="1937">
      <c r="A1937" s="7" t="n"/>
      <c r="B1937" s="8" t="n"/>
      <c r="C1937" s="9">
        <f>IF(B1937="","",IFERROR(VLOOKUP(B1937,'Daftar Outlet'!$A$4:$B$22,2,FALSE),""))</f>
        <v/>
      </c>
      <c r="D1937" s="8" t="n"/>
      <c r="E1937" s="6" t="n"/>
      <c r="F1937" s="8" t="n"/>
    </row>
    <row r="1938">
      <c r="A1938" s="7" t="n"/>
      <c r="B1938" s="8" t="n"/>
      <c r="C1938" s="9">
        <f>IF(B1938="","",IFERROR(VLOOKUP(B1938,'Daftar Outlet'!$A$4:$B$22,2,FALSE),""))</f>
        <v/>
      </c>
      <c r="D1938" s="8" t="n"/>
      <c r="E1938" s="6" t="n"/>
      <c r="F1938" s="8" t="n"/>
    </row>
    <row r="1939">
      <c r="A1939" s="7" t="n"/>
      <c r="B1939" s="8" t="n"/>
      <c r="C1939" s="9">
        <f>IF(B1939="","",IFERROR(VLOOKUP(B1939,'Daftar Outlet'!$A$4:$B$22,2,FALSE),""))</f>
        <v/>
      </c>
      <c r="D1939" s="8" t="n"/>
      <c r="E1939" s="6" t="n"/>
      <c r="F1939" s="8" t="n"/>
    </row>
    <row r="1940">
      <c r="A1940" s="7" t="n"/>
      <c r="B1940" s="8" t="n"/>
      <c r="C1940" s="9">
        <f>IF(B1940="","",IFERROR(VLOOKUP(B1940,'Daftar Outlet'!$A$4:$B$22,2,FALSE),""))</f>
        <v/>
      </c>
      <c r="D1940" s="8" t="n"/>
      <c r="E1940" s="6" t="n"/>
      <c r="F1940" s="8" t="n"/>
    </row>
    <row r="1941">
      <c r="A1941" s="7" t="n"/>
      <c r="B1941" s="8" t="n"/>
      <c r="C1941" s="9">
        <f>IF(B1941="","",IFERROR(VLOOKUP(B1941,'Daftar Outlet'!$A$4:$B$22,2,FALSE),""))</f>
        <v/>
      </c>
      <c r="D1941" s="8" t="n"/>
      <c r="E1941" s="6" t="n"/>
      <c r="F1941" s="8" t="n"/>
    </row>
    <row r="1942">
      <c r="A1942" s="7" t="n"/>
      <c r="B1942" s="8" t="n"/>
      <c r="C1942" s="9">
        <f>IF(B1942="","",IFERROR(VLOOKUP(B1942,'Daftar Outlet'!$A$4:$B$22,2,FALSE),""))</f>
        <v/>
      </c>
      <c r="D1942" s="8" t="n"/>
      <c r="E1942" s="6" t="n"/>
      <c r="F1942" s="8" t="n"/>
    </row>
    <row r="1943">
      <c r="A1943" s="7" t="n"/>
      <c r="B1943" s="8" t="n"/>
      <c r="C1943" s="9">
        <f>IF(B1943="","",IFERROR(VLOOKUP(B1943,'Daftar Outlet'!$A$4:$B$22,2,FALSE),""))</f>
        <v/>
      </c>
      <c r="D1943" s="8" t="n"/>
      <c r="E1943" s="6" t="n"/>
      <c r="F1943" s="8" t="n"/>
    </row>
    <row r="1944">
      <c r="A1944" s="7" t="n"/>
      <c r="B1944" s="8" t="n"/>
      <c r="C1944" s="9">
        <f>IF(B1944="","",IFERROR(VLOOKUP(B1944,'Daftar Outlet'!$A$4:$B$22,2,FALSE),""))</f>
        <v/>
      </c>
      <c r="D1944" s="8" t="n"/>
      <c r="E1944" s="6" t="n"/>
      <c r="F1944" s="8" t="n"/>
    </row>
    <row r="1945">
      <c r="A1945" s="7" t="n"/>
      <c r="B1945" s="8" t="n"/>
      <c r="C1945" s="9">
        <f>IF(B1945="","",IFERROR(VLOOKUP(B1945,'Daftar Outlet'!$A$4:$B$22,2,FALSE),""))</f>
        <v/>
      </c>
      <c r="D1945" s="8" t="n"/>
      <c r="E1945" s="6" t="n"/>
      <c r="F1945" s="8" t="n"/>
    </row>
    <row r="1946">
      <c r="A1946" s="7" t="n"/>
      <c r="B1946" s="8" t="n"/>
      <c r="C1946" s="9">
        <f>IF(B1946="","",IFERROR(VLOOKUP(B1946,'Daftar Outlet'!$A$4:$B$22,2,FALSE),""))</f>
        <v/>
      </c>
      <c r="D1946" s="8" t="n"/>
      <c r="E1946" s="6" t="n"/>
      <c r="F1946" s="8" t="n"/>
    </row>
    <row r="1947">
      <c r="A1947" s="7" t="n"/>
      <c r="B1947" s="8" t="n"/>
      <c r="C1947" s="9">
        <f>IF(B1947="","",IFERROR(VLOOKUP(B1947,'Daftar Outlet'!$A$4:$B$22,2,FALSE),""))</f>
        <v/>
      </c>
      <c r="D1947" s="8" t="n"/>
      <c r="E1947" s="6" t="n"/>
      <c r="F1947" s="8" t="n"/>
    </row>
    <row r="1948">
      <c r="A1948" s="7" t="n"/>
      <c r="B1948" s="8" t="n"/>
      <c r="C1948" s="9">
        <f>IF(B1948="","",IFERROR(VLOOKUP(B1948,'Daftar Outlet'!$A$4:$B$22,2,FALSE),""))</f>
        <v/>
      </c>
      <c r="D1948" s="8" t="n"/>
      <c r="E1948" s="6" t="n"/>
      <c r="F1948" s="8" t="n"/>
    </row>
    <row r="1949">
      <c r="A1949" s="7" t="n"/>
      <c r="B1949" s="8" t="n"/>
      <c r="C1949" s="9">
        <f>IF(B1949="","",IFERROR(VLOOKUP(B1949,'Daftar Outlet'!$A$4:$B$22,2,FALSE),""))</f>
        <v/>
      </c>
      <c r="D1949" s="8" t="n"/>
      <c r="E1949" s="6" t="n"/>
      <c r="F1949" s="8" t="n"/>
    </row>
    <row r="1950">
      <c r="A1950" s="7" t="n"/>
      <c r="B1950" s="8" t="n"/>
      <c r="C1950" s="9">
        <f>IF(B1950="","",IFERROR(VLOOKUP(B1950,'Daftar Outlet'!$A$4:$B$22,2,FALSE),""))</f>
        <v/>
      </c>
      <c r="D1950" s="8" t="n"/>
      <c r="E1950" s="6" t="n"/>
      <c r="F1950" s="8" t="n"/>
    </row>
    <row r="1951">
      <c r="A1951" s="7" t="n"/>
      <c r="B1951" s="8" t="n"/>
      <c r="C1951" s="9">
        <f>IF(B1951="","",IFERROR(VLOOKUP(B1951,'Daftar Outlet'!$A$4:$B$22,2,FALSE),""))</f>
        <v/>
      </c>
      <c r="D1951" s="8" t="n"/>
      <c r="E1951" s="6" t="n"/>
      <c r="F1951" s="8" t="n"/>
    </row>
    <row r="1952">
      <c r="A1952" s="7" t="n"/>
      <c r="B1952" s="8" t="n"/>
      <c r="C1952" s="9">
        <f>IF(B1952="","",IFERROR(VLOOKUP(B1952,'Daftar Outlet'!$A$4:$B$22,2,FALSE),""))</f>
        <v/>
      </c>
      <c r="D1952" s="8" t="n"/>
      <c r="E1952" s="6" t="n"/>
      <c r="F1952" s="8" t="n"/>
    </row>
    <row r="1953">
      <c r="A1953" s="7" t="n"/>
      <c r="B1953" s="8" t="n"/>
      <c r="C1953" s="9">
        <f>IF(B1953="","",IFERROR(VLOOKUP(B1953,'Daftar Outlet'!$A$4:$B$22,2,FALSE),""))</f>
        <v/>
      </c>
      <c r="D1953" s="8" t="n"/>
      <c r="E1953" s="6" t="n"/>
      <c r="F1953" s="8" t="n"/>
    </row>
    <row r="1954">
      <c r="A1954" s="7" t="n"/>
      <c r="B1954" s="8" t="n"/>
      <c r="C1954" s="9">
        <f>IF(B1954="","",IFERROR(VLOOKUP(B1954,'Daftar Outlet'!$A$4:$B$22,2,FALSE),""))</f>
        <v/>
      </c>
      <c r="D1954" s="8" t="n"/>
      <c r="E1954" s="6" t="n"/>
      <c r="F1954" s="8" t="n"/>
    </row>
    <row r="1955">
      <c r="A1955" s="7" t="n"/>
      <c r="B1955" s="8" t="n"/>
      <c r="C1955" s="9">
        <f>IF(B1955="","",IFERROR(VLOOKUP(B1955,'Daftar Outlet'!$A$4:$B$22,2,FALSE),""))</f>
        <v/>
      </c>
      <c r="D1955" s="8" t="n"/>
      <c r="E1955" s="6" t="n"/>
      <c r="F1955" s="8" t="n"/>
    </row>
    <row r="1956">
      <c r="A1956" s="7" t="n"/>
      <c r="B1956" s="8" t="n"/>
      <c r="C1956" s="9">
        <f>IF(B1956="","",IFERROR(VLOOKUP(B1956,'Daftar Outlet'!$A$4:$B$22,2,FALSE),""))</f>
        <v/>
      </c>
      <c r="D1956" s="8" t="n"/>
      <c r="E1956" s="6" t="n"/>
      <c r="F1956" s="8" t="n"/>
    </row>
    <row r="1957">
      <c r="A1957" s="7" t="n"/>
      <c r="B1957" s="8" t="n"/>
      <c r="C1957" s="9">
        <f>IF(B1957="","",IFERROR(VLOOKUP(B1957,'Daftar Outlet'!$A$4:$B$22,2,FALSE),""))</f>
        <v/>
      </c>
      <c r="D1957" s="8" t="n"/>
      <c r="E1957" s="6" t="n"/>
      <c r="F1957" s="8" t="n"/>
    </row>
    <row r="1958">
      <c r="A1958" s="7" t="n"/>
      <c r="B1958" s="8" t="n"/>
      <c r="C1958" s="9">
        <f>IF(B1958="","",IFERROR(VLOOKUP(B1958,'Daftar Outlet'!$A$4:$B$22,2,FALSE),""))</f>
        <v/>
      </c>
      <c r="D1958" s="8" t="n"/>
      <c r="E1958" s="6" t="n"/>
      <c r="F1958" s="8" t="n"/>
    </row>
    <row r="1959">
      <c r="A1959" s="7" t="n"/>
      <c r="B1959" s="8" t="n"/>
      <c r="C1959" s="9">
        <f>IF(B1959="","",IFERROR(VLOOKUP(B1959,'Daftar Outlet'!$A$4:$B$22,2,FALSE),""))</f>
        <v/>
      </c>
      <c r="D1959" s="8" t="n"/>
      <c r="E1959" s="6" t="n"/>
      <c r="F1959" s="8" t="n"/>
    </row>
    <row r="1960">
      <c r="A1960" s="7" t="n"/>
      <c r="B1960" s="8" t="n"/>
      <c r="C1960" s="9">
        <f>IF(B1960="","",IFERROR(VLOOKUP(B1960,'Daftar Outlet'!$A$4:$B$22,2,FALSE),""))</f>
        <v/>
      </c>
      <c r="D1960" s="8" t="n"/>
      <c r="E1960" s="6" t="n"/>
      <c r="F1960" s="8" t="n"/>
    </row>
    <row r="1961">
      <c r="A1961" s="7" t="n"/>
      <c r="B1961" s="8" t="n"/>
      <c r="C1961" s="9">
        <f>IF(B1961="","",IFERROR(VLOOKUP(B1961,'Daftar Outlet'!$A$4:$B$22,2,FALSE),""))</f>
        <v/>
      </c>
      <c r="D1961" s="8" t="n"/>
      <c r="E1961" s="6" t="n"/>
      <c r="F1961" s="8" t="n"/>
    </row>
    <row r="1962">
      <c r="A1962" s="7" t="n"/>
      <c r="B1962" s="8" t="n"/>
      <c r="C1962" s="9">
        <f>IF(B1962="","",IFERROR(VLOOKUP(B1962,'Daftar Outlet'!$A$4:$B$22,2,FALSE),""))</f>
        <v/>
      </c>
      <c r="D1962" s="8" t="n"/>
      <c r="E1962" s="6" t="n"/>
      <c r="F1962" s="8" t="n"/>
    </row>
    <row r="1963">
      <c r="A1963" s="7" t="n"/>
      <c r="B1963" s="8" t="n"/>
      <c r="C1963" s="9">
        <f>IF(B1963="","",IFERROR(VLOOKUP(B1963,'Daftar Outlet'!$A$4:$B$22,2,FALSE),""))</f>
        <v/>
      </c>
      <c r="D1963" s="8" t="n"/>
      <c r="E1963" s="6" t="n"/>
      <c r="F1963" s="8" t="n"/>
    </row>
    <row r="1964">
      <c r="A1964" s="7" t="n"/>
      <c r="B1964" s="8" t="n"/>
      <c r="C1964" s="9">
        <f>IF(B1964="","",IFERROR(VLOOKUP(B1964,'Daftar Outlet'!$A$4:$B$22,2,FALSE),""))</f>
        <v/>
      </c>
      <c r="D1964" s="8" t="n"/>
      <c r="E1964" s="6" t="n"/>
      <c r="F1964" s="8" t="n"/>
    </row>
    <row r="1965">
      <c r="A1965" s="7" t="n"/>
      <c r="B1965" s="8" t="n"/>
      <c r="C1965" s="9">
        <f>IF(B1965="","",IFERROR(VLOOKUP(B1965,'Daftar Outlet'!$A$4:$B$22,2,FALSE),""))</f>
        <v/>
      </c>
      <c r="D1965" s="8" t="n"/>
      <c r="E1965" s="6" t="n"/>
      <c r="F1965" s="8" t="n"/>
    </row>
    <row r="1966">
      <c r="A1966" s="7" t="n"/>
      <c r="B1966" s="8" t="n"/>
      <c r="C1966" s="9">
        <f>IF(B1966="","",IFERROR(VLOOKUP(B1966,'Daftar Outlet'!$A$4:$B$22,2,FALSE),""))</f>
        <v/>
      </c>
      <c r="D1966" s="8" t="n"/>
      <c r="E1966" s="6" t="n"/>
      <c r="F1966" s="8" t="n"/>
    </row>
    <row r="1967">
      <c r="A1967" s="7" t="n"/>
      <c r="B1967" s="8" t="n"/>
      <c r="C1967" s="9">
        <f>IF(B1967="","",IFERROR(VLOOKUP(B1967,'Daftar Outlet'!$A$4:$B$22,2,FALSE),""))</f>
        <v/>
      </c>
      <c r="D1967" s="8" t="n"/>
      <c r="E1967" s="6" t="n"/>
      <c r="F1967" s="8" t="n"/>
    </row>
    <row r="1968">
      <c r="A1968" s="7" t="n"/>
      <c r="B1968" s="8" t="n"/>
      <c r="C1968" s="9">
        <f>IF(B1968="","",IFERROR(VLOOKUP(B1968,'Daftar Outlet'!$A$4:$B$22,2,FALSE),""))</f>
        <v/>
      </c>
      <c r="D1968" s="8" t="n"/>
      <c r="E1968" s="6" t="n"/>
      <c r="F1968" s="8" t="n"/>
    </row>
    <row r="1969">
      <c r="A1969" s="7" t="n"/>
      <c r="B1969" s="8" t="n"/>
      <c r="C1969" s="9">
        <f>IF(B1969="","",IFERROR(VLOOKUP(B1969,'Daftar Outlet'!$A$4:$B$22,2,FALSE),""))</f>
        <v/>
      </c>
      <c r="D1969" s="8" t="n"/>
      <c r="E1969" s="6" t="n"/>
      <c r="F1969" s="8" t="n"/>
    </row>
    <row r="1970">
      <c r="A1970" s="7" t="n"/>
      <c r="B1970" s="8" t="n"/>
      <c r="C1970" s="9">
        <f>IF(B1970="","",IFERROR(VLOOKUP(B1970,'Daftar Outlet'!$A$4:$B$22,2,FALSE),""))</f>
        <v/>
      </c>
      <c r="D1970" s="8" t="n"/>
      <c r="E1970" s="6" t="n"/>
      <c r="F1970" s="8" t="n"/>
    </row>
    <row r="1971">
      <c r="A1971" s="7" t="n"/>
      <c r="B1971" s="8" t="n"/>
      <c r="C1971" s="9">
        <f>IF(B1971="","",IFERROR(VLOOKUP(B1971,'Daftar Outlet'!$A$4:$B$22,2,FALSE),""))</f>
        <v/>
      </c>
      <c r="D1971" s="8" t="n"/>
      <c r="E1971" s="6" t="n"/>
      <c r="F1971" s="8" t="n"/>
    </row>
    <row r="1972">
      <c r="A1972" s="7" t="n"/>
      <c r="B1972" s="8" t="n"/>
      <c r="C1972" s="9">
        <f>IF(B1972="","",IFERROR(VLOOKUP(B1972,'Daftar Outlet'!$A$4:$B$22,2,FALSE),""))</f>
        <v/>
      </c>
      <c r="D1972" s="8" t="n"/>
      <c r="E1972" s="6" t="n"/>
      <c r="F1972" s="8" t="n"/>
    </row>
    <row r="1973">
      <c r="A1973" s="7" t="n"/>
      <c r="B1973" s="8" t="n"/>
      <c r="C1973" s="9">
        <f>IF(B1973="","",IFERROR(VLOOKUP(B1973,'Daftar Outlet'!$A$4:$B$22,2,FALSE),""))</f>
        <v/>
      </c>
      <c r="D1973" s="8" t="n"/>
      <c r="E1973" s="6" t="n"/>
      <c r="F1973" s="8" t="n"/>
    </row>
    <row r="1974">
      <c r="A1974" s="7" t="n"/>
      <c r="B1974" s="8" t="n"/>
      <c r="C1974" s="9">
        <f>IF(B1974="","",IFERROR(VLOOKUP(B1974,'Daftar Outlet'!$A$4:$B$22,2,FALSE),""))</f>
        <v/>
      </c>
      <c r="D1974" s="8" t="n"/>
      <c r="E1974" s="6" t="n"/>
      <c r="F1974" s="8" t="n"/>
    </row>
    <row r="1975">
      <c r="A1975" s="7" t="n"/>
      <c r="B1975" s="8" t="n"/>
      <c r="C1975" s="9">
        <f>IF(B1975="","",IFERROR(VLOOKUP(B1975,'Daftar Outlet'!$A$4:$B$22,2,FALSE),""))</f>
        <v/>
      </c>
      <c r="D1975" s="8" t="n"/>
      <c r="E1975" s="6" t="n"/>
      <c r="F1975" s="8" t="n"/>
    </row>
    <row r="1976">
      <c r="A1976" s="7" t="n"/>
      <c r="B1976" s="8" t="n"/>
      <c r="C1976" s="9">
        <f>IF(B1976="","",IFERROR(VLOOKUP(B1976,'Daftar Outlet'!$A$4:$B$22,2,FALSE),""))</f>
        <v/>
      </c>
      <c r="D1976" s="8" t="n"/>
      <c r="E1976" s="6" t="n"/>
      <c r="F1976" s="8" t="n"/>
    </row>
    <row r="1977">
      <c r="A1977" s="7" t="n"/>
      <c r="B1977" s="8" t="n"/>
      <c r="C1977" s="9">
        <f>IF(B1977="","",IFERROR(VLOOKUP(B1977,'Daftar Outlet'!$A$4:$B$22,2,FALSE),""))</f>
        <v/>
      </c>
      <c r="D1977" s="8" t="n"/>
      <c r="E1977" s="6" t="n"/>
      <c r="F1977" s="8" t="n"/>
    </row>
    <row r="1978">
      <c r="A1978" s="7" t="n"/>
      <c r="B1978" s="8" t="n"/>
      <c r="C1978" s="9">
        <f>IF(B1978="","",IFERROR(VLOOKUP(B1978,'Daftar Outlet'!$A$4:$B$22,2,FALSE),""))</f>
        <v/>
      </c>
      <c r="D1978" s="8" t="n"/>
      <c r="E1978" s="6" t="n"/>
      <c r="F1978" s="8" t="n"/>
    </row>
    <row r="1979">
      <c r="A1979" s="7" t="n"/>
      <c r="B1979" s="8" t="n"/>
      <c r="C1979" s="9">
        <f>IF(B1979="","",IFERROR(VLOOKUP(B1979,'Daftar Outlet'!$A$4:$B$22,2,FALSE),""))</f>
        <v/>
      </c>
      <c r="D1979" s="8" t="n"/>
      <c r="E1979" s="6" t="n"/>
      <c r="F1979" s="8" t="n"/>
    </row>
    <row r="1980">
      <c r="A1980" s="7" t="n"/>
      <c r="B1980" s="8" t="n"/>
      <c r="C1980" s="9">
        <f>IF(B1980="","",IFERROR(VLOOKUP(B1980,'Daftar Outlet'!$A$4:$B$22,2,FALSE),""))</f>
        <v/>
      </c>
      <c r="D1980" s="8" t="n"/>
      <c r="E1980" s="6" t="n"/>
      <c r="F1980" s="8" t="n"/>
    </row>
    <row r="1981">
      <c r="A1981" s="7" t="n"/>
      <c r="B1981" s="8" t="n"/>
      <c r="C1981" s="9">
        <f>IF(B1981="","",IFERROR(VLOOKUP(B1981,'Daftar Outlet'!$A$4:$B$22,2,FALSE),""))</f>
        <v/>
      </c>
      <c r="D1981" s="8" t="n"/>
      <c r="E1981" s="6" t="n"/>
      <c r="F1981" s="8" t="n"/>
    </row>
    <row r="1982">
      <c r="A1982" s="7" t="n"/>
      <c r="B1982" s="8" t="n"/>
      <c r="C1982" s="9">
        <f>IF(B1982="","",IFERROR(VLOOKUP(B1982,'Daftar Outlet'!$A$4:$B$22,2,FALSE),""))</f>
        <v/>
      </c>
      <c r="D1982" s="8" t="n"/>
      <c r="E1982" s="6" t="n"/>
      <c r="F1982" s="8" t="n"/>
    </row>
    <row r="1983">
      <c r="A1983" s="7" t="n"/>
      <c r="B1983" s="8" t="n"/>
      <c r="C1983" s="9">
        <f>IF(B1983="","",IFERROR(VLOOKUP(B1983,'Daftar Outlet'!$A$4:$B$22,2,FALSE),""))</f>
        <v/>
      </c>
      <c r="D1983" s="8" t="n"/>
      <c r="E1983" s="6" t="n"/>
      <c r="F1983" s="8" t="n"/>
    </row>
    <row r="1984">
      <c r="A1984" s="7" t="n"/>
      <c r="B1984" s="8" t="n"/>
      <c r="C1984" s="9">
        <f>IF(B1984="","",IFERROR(VLOOKUP(B1984,'Daftar Outlet'!$A$4:$B$22,2,FALSE),""))</f>
        <v/>
      </c>
      <c r="D1984" s="8" t="n"/>
      <c r="E1984" s="6" t="n"/>
      <c r="F1984" s="8" t="n"/>
    </row>
    <row r="1985">
      <c r="A1985" s="7" t="n"/>
      <c r="B1985" s="8" t="n"/>
      <c r="C1985" s="9">
        <f>IF(B1985="","",IFERROR(VLOOKUP(B1985,'Daftar Outlet'!$A$4:$B$22,2,FALSE),""))</f>
        <v/>
      </c>
      <c r="D1985" s="8" t="n"/>
      <c r="E1985" s="6" t="n"/>
      <c r="F1985" s="8" t="n"/>
    </row>
    <row r="1986">
      <c r="A1986" s="7" t="n"/>
      <c r="B1986" s="8" t="n"/>
      <c r="C1986" s="9">
        <f>IF(B1986="","",IFERROR(VLOOKUP(B1986,'Daftar Outlet'!$A$4:$B$22,2,FALSE),""))</f>
        <v/>
      </c>
      <c r="D1986" s="8" t="n"/>
      <c r="E1986" s="6" t="n"/>
      <c r="F1986" s="8" t="n"/>
    </row>
    <row r="1987">
      <c r="A1987" s="7" t="n"/>
      <c r="B1987" s="8" t="n"/>
      <c r="C1987" s="9">
        <f>IF(B1987="","",IFERROR(VLOOKUP(B1987,'Daftar Outlet'!$A$4:$B$22,2,FALSE),""))</f>
        <v/>
      </c>
      <c r="D1987" s="8" t="n"/>
      <c r="E1987" s="6" t="n"/>
      <c r="F1987" s="8" t="n"/>
    </row>
    <row r="1988">
      <c r="A1988" s="7" t="n"/>
      <c r="B1988" s="8" t="n"/>
      <c r="C1988" s="9">
        <f>IF(B1988="","",IFERROR(VLOOKUP(B1988,'Daftar Outlet'!$A$4:$B$22,2,FALSE),""))</f>
        <v/>
      </c>
      <c r="D1988" s="8" t="n"/>
      <c r="E1988" s="6" t="n"/>
      <c r="F1988" s="8" t="n"/>
    </row>
    <row r="1989">
      <c r="A1989" s="7" t="n"/>
      <c r="B1989" s="8" t="n"/>
      <c r="C1989" s="9">
        <f>IF(B1989="","",IFERROR(VLOOKUP(B1989,'Daftar Outlet'!$A$4:$B$22,2,FALSE),""))</f>
        <v/>
      </c>
      <c r="D1989" s="8" t="n"/>
      <c r="E1989" s="6" t="n"/>
      <c r="F1989" s="8" t="n"/>
    </row>
    <row r="1990">
      <c r="A1990" s="7" t="n"/>
      <c r="B1990" s="8" t="n"/>
      <c r="C1990" s="9">
        <f>IF(B1990="","",IFERROR(VLOOKUP(B1990,'Daftar Outlet'!$A$4:$B$22,2,FALSE),""))</f>
        <v/>
      </c>
      <c r="D1990" s="8" t="n"/>
      <c r="E1990" s="6" t="n"/>
      <c r="F1990" s="8" t="n"/>
    </row>
    <row r="1991">
      <c r="A1991" s="7" t="n"/>
      <c r="B1991" s="8" t="n"/>
      <c r="C1991" s="9">
        <f>IF(B1991="","",IFERROR(VLOOKUP(B1991,'Daftar Outlet'!$A$4:$B$22,2,FALSE),""))</f>
        <v/>
      </c>
      <c r="D1991" s="8" t="n"/>
      <c r="E1991" s="6" t="n"/>
      <c r="F1991" s="8" t="n"/>
    </row>
    <row r="1992">
      <c r="A1992" s="7" t="n"/>
      <c r="B1992" s="8" t="n"/>
      <c r="C1992" s="9">
        <f>IF(B1992="","",IFERROR(VLOOKUP(B1992,'Daftar Outlet'!$A$4:$B$22,2,FALSE),""))</f>
        <v/>
      </c>
      <c r="D1992" s="8" t="n"/>
      <c r="E1992" s="6" t="n"/>
      <c r="F1992" s="8" t="n"/>
    </row>
    <row r="1993">
      <c r="A1993" s="7" t="n"/>
      <c r="B1993" s="8" t="n"/>
      <c r="C1993" s="9">
        <f>IF(B1993="","",IFERROR(VLOOKUP(B1993,'Daftar Outlet'!$A$4:$B$22,2,FALSE),""))</f>
        <v/>
      </c>
      <c r="D1993" s="8" t="n"/>
      <c r="E1993" s="6" t="n"/>
      <c r="F1993" s="8" t="n"/>
    </row>
    <row r="1994">
      <c r="A1994" s="7" t="n"/>
      <c r="B1994" s="8" t="n"/>
      <c r="C1994" s="9">
        <f>IF(B1994="","",IFERROR(VLOOKUP(B1994,'Daftar Outlet'!$A$4:$B$22,2,FALSE),""))</f>
        <v/>
      </c>
      <c r="D1994" s="8" t="n"/>
      <c r="E1994" s="6" t="n"/>
      <c r="F1994" s="8" t="n"/>
    </row>
    <row r="1995">
      <c r="A1995" s="7" t="n"/>
      <c r="B1995" s="8" t="n"/>
      <c r="C1995" s="9">
        <f>IF(B1995="","",IFERROR(VLOOKUP(B1995,'Daftar Outlet'!$A$4:$B$22,2,FALSE),""))</f>
        <v/>
      </c>
      <c r="D1995" s="8" t="n"/>
      <c r="E1995" s="6" t="n"/>
      <c r="F1995" s="8" t="n"/>
    </row>
    <row r="1996">
      <c r="A1996" s="7" t="n"/>
      <c r="B1996" s="8" t="n"/>
      <c r="C1996" s="9">
        <f>IF(B1996="","",IFERROR(VLOOKUP(B1996,'Daftar Outlet'!$A$4:$B$22,2,FALSE),""))</f>
        <v/>
      </c>
      <c r="D1996" s="8" t="n"/>
      <c r="E1996" s="6" t="n"/>
      <c r="F1996" s="8" t="n"/>
    </row>
    <row r="1997">
      <c r="A1997" s="7" t="n"/>
      <c r="B1997" s="8" t="n"/>
      <c r="C1997" s="9">
        <f>IF(B1997="","",IFERROR(VLOOKUP(B1997,'Daftar Outlet'!$A$4:$B$22,2,FALSE),""))</f>
        <v/>
      </c>
      <c r="D1997" s="8" t="n"/>
      <c r="E1997" s="6" t="n"/>
      <c r="F1997" s="8" t="n"/>
    </row>
    <row r="1998">
      <c r="A1998" s="7" t="n"/>
      <c r="B1998" s="8" t="n"/>
      <c r="C1998" s="9">
        <f>IF(B1998="","",IFERROR(VLOOKUP(B1998,'Daftar Outlet'!$A$4:$B$22,2,FALSE),""))</f>
        <v/>
      </c>
      <c r="D1998" s="8" t="n"/>
      <c r="E1998" s="6" t="n"/>
      <c r="F1998" s="8" t="n"/>
    </row>
    <row r="1999">
      <c r="A1999" s="7" t="n"/>
      <c r="B1999" s="8" t="n"/>
      <c r="C1999" s="9">
        <f>IF(B1999="","",IFERROR(VLOOKUP(B1999,'Daftar Outlet'!$A$4:$B$22,2,FALSE),""))</f>
        <v/>
      </c>
      <c r="D1999" s="8" t="n"/>
      <c r="E1999" s="6" t="n"/>
      <c r="F1999" s="8" t="n"/>
    </row>
    <row r="2000">
      <c r="A2000" s="7" t="n"/>
      <c r="B2000" s="8" t="n"/>
      <c r="C2000" s="9">
        <f>IF(B2000="","",IFERROR(VLOOKUP(B2000,'Daftar Outlet'!$A$4:$B$22,2,FALSE),""))</f>
        <v/>
      </c>
      <c r="D2000" s="8" t="n"/>
      <c r="E2000" s="6" t="n"/>
      <c r="F2000" s="8" t="n"/>
    </row>
    <row r="2001">
      <c r="A2001" s="7" t="n"/>
      <c r="B2001" s="8" t="n"/>
      <c r="C2001" s="9">
        <f>IF(B2001="","",IFERROR(VLOOKUP(B2001,'Daftar Outlet'!$A$4:$B$22,2,FALSE),""))</f>
        <v/>
      </c>
      <c r="D2001" s="8" t="n"/>
      <c r="E2001" s="6" t="n"/>
      <c r="F2001" s="8" t="n"/>
    </row>
    <row r="2002">
      <c r="A2002" s="7" t="n"/>
      <c r="B2002" s="8" t="n"/>
      <c r="C2002" s="9">
        <f>IF(B2002="","",IFERROR(VLOOKUP(B2002,'Daftar Outlet'!$A$4:$B$22,2,FALSE),""))</f>
        <v/>
      </c>
      <c r="D2002" s="8" t="n"/>
      <c r="E2002" s="6" t="n"/>
      <c r="F2002" s="8" t="n"/>
    </row>
    <row r="2003">
      <c r="A2003" s="7" t="n"/>
      <c r="B2003" s="8" t="n"/>
      <c r="C2003" s="9">
        <f>IF(B2003="","",IFERROR(VLOOKUP(B2003,'Daftar Outlet'!$A$4:$B$22,2,FALSE),""))</f>
        <v/>
      </c>
      <c r="D2003" s="8" t="n"/>
      <c r="E2003" s="6" t="n"/>
      <c r="F2003" s="8" t="n"/>
    </row>
    <row r="2004">
      <c r="A2004" s="7" t="n"/>
      <c r="B2004" s="8" t="n"/>
      <c r="C2004" s="9">
        <f>IF(B2004="","",IFERROR(VLOOKUP(B2004,'Daftar Outlet'!$A$4:$B$22,2,FALSE),""))</f>
        <v/>
      </c>
      <c r="D2004" s="8" t="n"/>
      <c r="E2004" s="6" t="n"/>
      <c r="F2004" s="8" t="n"/>
    </row>
    <row r="2005">
      <c r="A2005" s="7" t="n"/>
      <c r="B2005" s="8" t="n"/>
      <c r="C2005" s="9">
        <f>IF(B2005="","",IFERROR(VLOOKUP(B2005,'Daftar Outlet'!$A$4:$B$22,2,FALSE),""))</f>
        <v/>
      </c>
      <c r="D2005" s="8" t="n"/>
      <c r="E2005" s="6" t="n"/>
      <c r="F2005" s="8" t="n"/>
    </row>
    <row r="2006">
      <c r="A2006" s="7" t="n"/>
      <c r="B2006" s="8" t="n"/>
      <c r="C2006" s="9">
        <f>IF(B2006="","",IFERROR(VLOOKUP(B2006,'Daftar Outlet'!$A$4:$B$22,2,FALSE),""))</f>
        <v/>
      </c>
      <c r="D2006" s="8" t="n"/>
      <c r="E2006" s="6" t="n"/>
      <c r="F2006" s="8" t="n"/>
    </row>
    <row r="2007">
      <c r="A2007" s="7" t="n"/>
      <c r="B2007" s="8" t="n"/>
      <c r="C2007" s="9">
        <f>IF(B2007="","",IFERROR(VLOOKUP(B2007,'Daftar Outlet'!$A$4:$B$22,2,FALSE),""))</f>
        <v/>
      </c>
      <c r="D2007" s="8" t="n"/>
      <c r="E2007" s="6" t="n"/>
      <c r="F2007" s="8" t="n"/>
    </row>
    <row r="2008">
      <c r="A2008" s="7" t="n"/>
      <c r="B2008" s="8" t="n"/>
      <c r="C2008" s="9">
        <f>IF(B2008="","",IFERROR(VLOOKUP(B2008,'Daftar Outlet'!$A$4:$B$22,2,FALSE),""))</f>
        <v/>
      </c>
      <c r="D2008" s="8" t="n"/>
      <c r="E2008" s="6" t="n"/>
      <c r="F2008" s="8" t="n"/>
    </row>
    <row r="2009">
      <c r="A2009" s="7" t="n"/>
      <c r="B2009" s="8" t="n"/>
      <c r="C2009" s="9">
        <f>IF(B2009="","",IFERROR(VLOOKUP(B2009,'Daftar Outlet'!$A$4:$B$22,2,FALSE),""))</f>
        <v/>
      </c>
      <c r="D2009" s="8" t="n"/>
      <c r="E2009" s="6" t="n"/>
      <c r="F2009" s="8" t="n"/>
    </row>
    <row r="2010">
      <c r="A2010" s="7" t="n"/>
      <c r="B2010" s="8" t="n"/>
      <c r="C2010" s="9">
        <f>IF(B2010="","",IFERROR(VLOOKUP(B2010,'Daftar Outlet'!$A$4:$B$22,2,FALSE),""))</f>
        <v/>
      </c>
      <c r="D2010" s="8" t="n"/>
      <c r="E2010" s="6" t="n"/>
      <c r="F2010" s="8" t="n"/>
    </row>
    <row r="2011">
      <c r="A2011" s="7" t="n"/>
      <c r="B2011" s="8" t="n"/>
      <c r="C2011" s="9">
        <f>IF(B2011="","",IFERROR(VLOOKUP(B2011,'Daftar Outlet'!$A$4:$B$22,2,FALSE),""))</f>
        <v/>
      </c>
      <c r="D2011" s="8" t="n"/>
      <c r="E2011" s="6" t="n"/>
      <c r="F2011" s="8" t="n"/>
    </row>
    <row r="2012">
      <c r="A2012" s="7" t="n"/>
      <c r="B2012" s="8" t="n"/>
      <c r="C2012" s="9">
        <f>IF(B2012="","",IFERROR(VLOOKUP(B2012,'Daftar Outlet'!$A$4:$B$22,2,FALSE),""))</f>
        <v/>
      </c>
      <c r="D2012" s="8" t="n"/>
      <c r="E2012" s="6" t="n"/>
      <c r="F2012" s="8" t="n"/>
    </row>
    <row r="2013">
      <c r="A2013" s="7" t="n"/>
      <c r="B2013" s="8" t="n"/>
      <c r="C2013" s="9">
        <f>IF(B2013="","",IFERROR(VLOOKUP(B2013,'Daftar Outlet'!$A$4:$B$22,2,FALSE),""))</f>
        <v/>
      </c>
      <c r="D2013" s="8" t="n"/>
      <c r="E2013" s="6" t="n"/>
      <c r="F2013" s="8" t="n"/>
    </row>
    <row r="2014">
      <c r="A2014" s="7" t="n"/>
      <c r="B2014" s="8" t="n"/>
      <c r="C2014" s="9">
        <f>IF(B2014="","",IFERROR(VLOOKUP(B2014,'Daftar Outlet'!$A$4:$B$22,2,FALSE),""))</f>
        <v/>
      </c>
      <c r="D2014" s="8" t="n"/>
      <c r="E2014" s="6" t="n"/>
      <c r="F2014" s="8" t="n"/>
    </row>
    <row r="2015">
      <c r="A2015" s="7" t="n"/>
      <c r="B2015" s="8" t="n"/>
      <c r="C2015" s="9">
        <f>IF(B2015="","",IFERROR(VLOOKUP(B2015,'Daftar Outlet'!$A$4:$B$22,2,FALSE),""))</f>
        <v/>
      </c>
      <c r="D2015" s="8" t="n"/>
      <c r="E2015" s="6" t="n"/>
      <c r="F2015" s="8" t="n"/>
    </row>
    <row r="2016">
      <c r="A2016" s="7" t="n"/>
      <c r="B2016" s="8" t="n"/>
      <c r="C2016" s="9">
        <f>IF(B2016="","",IFERROR(VLOOKUP(B2016,'Daftar Outlet'!$A$4:$B$22,2,FALSE),""))</f>
        <v/>
      </c>
      <c r="D2016" s="8" t="n"/>
      <c r="E2016" s="6" t="n"/>
      <c r="F2016" s="8" t="n"/>
    </row>
    <row r="2017">
      <c r="A2017" s="7" t="n"/>
      <c r="B2017" s="8" t="n"/>
      <c r="C2017" s="9">
        <f>IF(B2017="","",IFERROR(VLOOKUP(B2017,'Daftar Outlet'!$A$4:$B$22,2,FALSE),""))</f>
        <v/>
      </c>
      <c r="D2017" s="8" t="n"/>
      <c r="E2017" s="6" t="n"/>
      <c r="F2017" s="8" t="n"/>
    </row>
    <row r="2018">
      <c r="A2018" s="7" t="n"/>
      <c r="B2018" s="8" t="n"/>
      <c r="C2018" s="9">
        <f>IF(B2018="","",IFERROR(VLOOKUP(B2018,'Daftar Outlet'!$A$4:$B$22,2,FALSE),""))</f>
        <v/>
      </c>
      <c r="D2018" s="8" t="n"/>
      <c r="E2018" s="6" t="n"/>
      <c r="F2018" s="8" t="n"/>
    </row>
    <row r="2019">
      <c r="A2019" s="7" t="n"/>
      <c r="B2019" s="8" t="n"/>
      <c r="C2019" s="9">
        <f>IF(B2019="","",IFERROR(VLOOKUP(B2019,'Daftar Outlet'!$A$4:$B$22,2,FALSE),""))</f>
        <v/>
      </c>
      <c r="D2019" s="8" t="n"/>
      <c r="E2019" s="6" t="n"/>
      <c r="F2019" s="8" t="n"/>
    </row>
    <row r="2020">
      <c r="A2020" s="7" t="n"/>
      <c r="B2020" s="8" t="n"/>
      <c r="C2020" s="9">
        <f>IF(B2020="","",IFERROR(VLOOKUP(B2020,'Daftar Outlet'!$A$4:$B$22,2,FALSE),""))</f>
        <v/>
      </c>
      <c r="D2020" s="8" t="n"/>
      <c r="E2020" s="6" t="n"/>
      <c r="F2020" s="8" t="n"/>
    </row>
    <row r="2021">
      <c r="A2021" s="7" t="n"/>
      <c r="B2021" s="8" t="n"/>
      <c r="C2021" s="9">
        <f>IF(B2021="","",IFERROR(VLOOKUP(B2021,'Daftar Outlet'!$A$4:$B$22,2,FALSE),""))</f>
        <v/>
      </c>
      <c r="D2021" s="8" t="n"/>
      <c r="E2021" s="6" t="n"/>
      <c r="F2021" s="8" t="n"/>
    </row>
    <row r="2022">
      <c r="A2022" s="7" t="n"/>
      <c r="B2022" s="8" t="n"/>
      <c r="C2022" s="9">
        <f>IF(B2022="","",IFERROR(VLOOKUP(B2022,'Daftar Outlet'!$A$4:$B$22,2,FALSE),""))</f>
        <v/>
      </c>
      <c r="D2022" s="8" t="n"/>
      <c r="E2022" s="6" t="n"/>
      <c r="F2022" s="8" t="n"/>
    </row>
    <row r="2023">
      <c r="A2023" s="7" t="n"/>
      <c r="B2023" s="8" t="n"/>
      <c r="C2023" s="9">
        <f>IF(B2023="","",IFERROR(VLOOKUP(B2023,'Daftar Outlet'!$A$4:$B$22,2,FALSE),""))</f>
        <v/>
      </c>
      <c r="D2023" s="8" t="n"/>
      <c r="E2023" s="6" t="n"/>
      <c r="F2023" s="8" t="n"/>
    </row>
    <row r="2024">
      <c r="A2024" s="7" t="n"/>
      <c r="B2024" s="8" t="n"/>
      <c r="C2024" s="9">
        <f>IF(B2024="","",IFERROR(VLOOKUP(B2024,'Daftar Outlet'!$A$4:$B$22,2,FALSE),""))</f>
        <v/>
      </c>
      <c r="D2024" s="8" t="n"/>
      <c r="E2024" s="6" t="n"/>
      <c r="F2024" s="8" t="n"/>
    </row>
    <row r="2025">
      <c r="A2025" s="7" t="n"/>
      <c r="B2025" s="8" t="n"/>
      <c r="C2025" s="9">
        <f>IF(B2025="","",IFERROR(VLOOKUP(B2025,'Daftar Outlet'!$A$4:$B$22,2,FALSE),""))</f>
        <v/>
      </c>
      <c r="D2025" s="8" t="n"/>
      <c r="E2025" s="6" t="n"/>
      <c r="F2025" s="8" t="n"/>
    </row>
    <row r="2026">
      <c r="A2026" s="7" t="n"/>
      <c r="B2026" s="8" t="n"/>
      <c r="C2026" s="9">
        <f>IF(B2026="","",IFERROR(VLOOKUP(B2026,'Daftar Outlet'!$A$4:$B$22,2,FALSE),""))</f>
        <v/>
      </c>
      <c r="D2026" s="8" t="n"/>
      <c r="E2026" s="6" t="n"/>
      <c r="F2026" s="8" t="n"/>
    </row>
    <row r="2027">
      <c r="A2027" s="7" t="n"/>
      <c r="B2027" s="8" t="n"/>
      <c r="C2027" s="9">
        <f>IF(B2027="","",IFERROR(VLOOKUP(B2027,'Daftar Outlet'!$A$4:$B$22,2,FALSE),""))</f>
        <v/>
      </c>
      <c r="D2027" s="8" t="n"/>
      <c r="E2027" s="6" t="n"/>
      <c r="F2027" s="8" t="n"/>
    </row>
    <row r="2028">
      <c r="A2028" s="7" t="n"/>
      <c r="B2028" s="8" t="n"/>
      <c r="C2028" s="9">
        <f>IF(B2028="","",IFERROR(VLOOKUP(B2028,'Daftar Outlet'!$A$4:$B$22,2,FALSE),""))</f>
        <v/>
      </c>
      <c r="D2028" s="8" t="n"/>
      <c r="E2028" s="6" t="n"/>
      <c r="F2028" s="8" t="n"/>
    </row>
    <row r="2029">
      <c r="A2029" s="7" t="n"/>
      <c r="B2029" s="8" t="n"/>
      <c r="C2029" s="9">
        <f>IF(B2029="","",IFERROR(VLOOKUP(B2029,'Daftar Outlet'!$A$4:$B$22,2,FALSE),""))</f>
        <v/>
      </c>
      <c r="D2029" s="8" t="n"/>
      <c r="E2029" s="6" t="n"/>
      <c r="F2029" s="8" t="n"/>
    </row>
    <row r="2030">
      <c r="A2030" s="7" t="n"/>
      <c r="B2030" s="8" t="n"/>
      <c r="C2030" s="9">
        <f>IF(B2030="","",IFERROR(VLOOKUP(B2030,'Daftar Outlet'!$A$4:$B$22,2,FALSE),""))</f>
        <v/>
      </c>
      <c r="D2030" s="8" t="n"/>
      <c r="E2030" s="6" t="n"/>
      <c r="F2030" s="8" t="n"/>
    </row>
    <row r="2031">
      <c r="A2031" s="7" t="n"/>
      <c r="B2031" s="8" t="n"/>
      <c r="C2031" s="9">
        <f>IF(B2031="","",IFERROR(VLOOKUP(B2031,'Daftar Outlet'!$A$4:$B$22,2,FALSE),""))</f>
        <v/>
      </c>
      <c r="D2031" s="8" t="n"/>
      <c r="E2031" s="6" t="n"/>
      <c r="F2031" s="8" t="n"/>
    </row>
    <row r="2032">
      <c r="A2032" s="7" t="n"/>
      <c r="B2032" s="8" t="n"/>
      <c r="C2032" s="9">
        <f>IF(B2032="","",IFERROR(VLOOKUP(B2032,'Daftar Outlet'!$A$4:$B$22,2,FALSE),""))</f>
        <v/>
      </c>
      <c r="D2032" s="8" t="n"/>
      <c r="E2032" s="6" t="n"/>
      <c r="F2032" s="8" t="n"/>
    </row>
    <row r="2033">
      <c r="A2033" s="7" t="n"/>
      <c r="B2033" s="8" t="n"/>
      <c r="C2033" s="9">
        <f>IF(B2033="","",IFERROR(VLOOKUP(B2033,'Daftar Outlet'!$A$4:$B$22,2,FALSE),""))</f>
        <v/>
      </c>
      <c r="D2033" s="8" t="n"/>
      <c r="E2033" s="6" t="n"/>
      <c r="F2033" s="8" t="n"/>
    </row>
    <row r="2034">
      <c r="A2034" s="7" t="n"/>
      <c r="B2034" s="8" t="n"/>
      <c r="C2034" s="9">
        <f>IF(B2034="","",IFERROR(VLOOKUP(B2034,'Daftar Outlet'!$A$4:$B$22,2,FALSE),""))</f>
        <v/>
      </c>
      <c r="D2034" s="8" t="n"/>
      <c r="E2034" s="6" t="n"/>
      <c r="F2034" s="8" t="n"/>
    </row>
    <row r="2035">
      <c r="A2035" s="7" t="n"/>
      <c r="B2035" s="8" t="n"/>
      <c r="C2035" s="9">
        <f>IF(B2035="","",IFERROR(VLOOKUP(B2035,'Daftar Outlet'!$A$4:$B$22,2,FALSE),""))</f>
        <v/>
      </c>
      <c r="D2035" s="8" t="n"/>
      <c r="E2035" s="6" t="n"/>
      <c r="F2035" s="8" t="n"/>
    </row>
    <row r="2036">
      <c r="A2036" s="7" t="n"/>
      <c r="B2036" s="8" t="n"/>
      <c r="C2036" s="9">
        <f>IF(B2036="","",IFERROR(VLOOKUP(B2036,'Daftar Outlet'!$A$4:$B$22,2,FALSE),""))</f>
        <v/>
      </c>
      <c r="D2036" s="8" t="n"/>
      <c r="E2036" s="6" t="n"/>
      <c r="F2036" s="8" t="n"/>
    </row>
    <row r="2037">
      <c r="A2037" s="7" t="n"/>
      <c r="B2037" s="8" t="n"/>
      <c r="C2037" s="9">
        <f>IF(B2037="","",IFERROR(VLOOKUP(B2037,'Daftar Outlet'!$A$4:$B$22,2,FALSE),""))</f>
        <v/>
      </c>
      <c r="D2037" s="8" t="n"/>
      <c r="E2037" s="6" t="n"/>
      <c r="F2037" s="8" t="n"/>
    </row>
    <row r="2038">
      <c r="A2038" s="7" t="n"/>
      <c r="B2038" s="8" t="n"/>
      <c r="C2038" s="9">
        <f>IF(B2038="","",IFERROR(VLOOKUP(B2038,'Daftar Outlet'!$A$4:$B$22,2,FALSE),""))</f>
        <v/>
      </c>
      <c r="D2038" s="8" t="n"/>
      <c r="E2038" s="6" t="n"/>
      <c r="F2038" s="8" t="n"/>
    </row>
    <row r="2039">
      <c r="A2039" s="7" t="n"/>
      <c r="B2039" s="8" t="n"/>
      <c r="C2039" s="9">
        <f>IF(B2039="","",IFERROR(VLOOKUP(B2039,'Daftar Outlet'!$A$4:$B$22,2,FALSE),""))</f>
        <v/>
      </c>
      <c r="D2039" s="8" t="n"/>
      <c r="E2039" s="6" t="n"/>
      <c r="F2039" s="8" t="n"/>
    </row>
    <row r="2040">
      <c r="A2040" s="7" t="n"/>
      <c r="B2040" s="8" t="n"/>
      <c r="C2040" s="9">
        <f>IF(B2040="","",IFERROR(VLOOKUP(B2040,'Daftar Outlet'!$A$4:$B$22,2,FALSE),""))</f>
        <v/>
      </c>
      <c r="D2040" s="8" t="n"/>
      <c r="E2040" s="6" t="n"/>
      <c r="F2040" s="8" t="n"/>
    </row>
    <row r="2041">
      <c r="A2041" s="7" t="n"/>
      <c r="B2041" s="8" t="n"/>
      <c r="C2041" s="9">
        <f>IF(B2041="","",IFERROR(VLOOKUP(B2041,'Daftar Outlet'!$A$4:$B$22,2,FALSE),""))</f>
        <v/>
      </c>
      <c r="D2041" s="8" t="n"/>
      <c r="E2041" s="6" t="n"/>
      <c r="F2041" s="8" t="n"/>
    </row>
    <row r="2042">
      <c r="A2042" s="7" t="n"/>
      <c r="B2042" s="8" t="n"/>
      <c r="C2042" s="9">
        <f>IF(B2042="","",IFERROR(VLOOKUP(B2042,'Daftar Outlet'!$A$4:$B$22,2,FALSE),""))</f>
        <v/>
      </c>
      <c r="D2042" s="8" t="n"/>
      <c r="E2042" s="6" t="n"/>
      <c r="F2042" s="8" t="n"/>
    </row>
    <row r="2043">
      <c r="A2043" s="7" t="n"/>
      <c r="B2043" s="8" t="n"/>
      <c r="C2043" s="9">
        <f>IF(B2043="","",IFERROR(VLOOKUP(B2043,'Daftar Outlet'!$A$4:$B$22,2,FALSE),""))</f>
        <v/>
      </c>
      <c r="D2043" s="8" t="n"/>
      <c r="E2043" s="6" t="n"/>
      <c r="F2043" s="8" t="n"/>
    </row>
    <row r="2044">
      <c r="A2044" s="7" t="n"/>
      <c r="B2044" s="8" t="n"/>
      <c r="C2044" s="9">
        <f>IF(B2044="","",IFERROR(VLOOKUP(B2044,'Daftar Outlet'!$A$4:$B$22,2,FALSE),""))</f>
        <v/>
      </c>
      <c r="D2044" s="8" t="n"/>
      <c r="E2044" s="6" t="n"/>
      <c r="F2044" s="8" t="n"/>
    </row>
    <row r="2045">
      <c r="A2045" s="7" t="n"/>
      <c r="B2045" s="8" t="n"/>
      <c r="C2045" s="9">
        <f>IF(B2045="","",IFERROR(VLOOKUP(B2045,'Daftar Outlet'!$A$4:$B$22,2,FALSE),""))</f>
        <v/>
      </c>
      <c r="D2045" s="8" t="n"/>
      <c r="E2045" s="6" t="n"/>
      <c r="F2045" s="8" t="n"/>
    </row>
    <row r="2046">
      <c r="A2046" s="7" t="n"/>
      <c r="B2046" s="8" t="n"/>
      <c r="C2046" s="9">
        <f>IF(B2046="","",IFERROR(VLOOKUP(B2046,'Daftar Outlet'!$A$4:$B$22,2,FALSE),""))</f>
        <v/>
      </c>
      <c r="D2046" s="8" t="n"/>
      <c r="E2046" s="6" t="n"/>
      <c r="F2046" s="8" t="n"/>
    </row>
    <row r="2047">
      <c r="A2047" s="7" t="n"/>
      <c r="B2047" s="8" t="n"/>
      <c r="C2047" s="9">
        <f>IF(B2047="","",IFERROR(VLOOKUP(B2047,'Daftar Outlet'!$A$4:$B$22,2,FALSE),""))</f>
        <v/>
      </c>
      <c r="D2047" s="8" t="n"/>
      <c r="E2047" s="6" t="n"/>
      <c r="F2047" s="8" t="n"/>
    </row>
    <row r="2048">
      <c r="A2048" s="7" t="n"/>
      <c r="B2048" s="8" t="n"/>
      <c r="C2048" s="9">
        <f>IF(B2048="","",IFERROR(VLOOKUP(B2048,'Daftar Outlet'!$A$4:$B$22,2,FALSE),""))</f>
        <v/>
      </c>
      <c r="D2048" s="8" t="n"/>
      <c r="E2048" s="6" t="n"/>
      <c r="F2048" s="8" t="n"/>
    </row>
    <row r="2049">
      <c r="A2049" s="7" t="n"/>
      <c r="B2049" s="8" t="n"/>
      <c r="C2049" s="9">
        <f>IF(B2049="","",IFERROR(VLOOKUP(B2049,'Daftar Outlet'!$A$4:$B$22,2,FALSE),""))</f>
        <v/>
      </c>
      <c r="D2049" s="8" t="n"/>
      <c r="E2049" s="6" t="n"/>
      <c r="F2049" s="8" t="n"/>
    </row>
    <row r="2050">
      <c r="A2050" s="7" t="n"/>
      <c r="B2050" s="8" t="n"/>
      <c r="C2050" s="9">
        <f>IF(B2050="","",IFERROR(VLOOKUP(B2050,'Daftar Outlet'!$A$4:$B$22,2,FALSE),""))</f>
        <v/>
      </c>
      <c r="D2050" s="8" t="n"/>
      <c r="E2050" s="6" t="n"/>
      <c r="F2050" s="8" t="n"/>
    </row>
    <row r="2051">
      <c r="A2051" s="7" t="n"/>
      <c r="B2051" s="8" t="n"/>
      <c r="C2051" s="9">
        <f>IF(B2051="","",IFERROR(VLOOKUP(B2051,'Daftar Outlet'!$A$4:$B$22,2,FALSE),""))</f>
        <v/>
      </c>
      <c r="D2051" s="8" t="n"/>
      <c r="E2051" s="6" t="n"/>
      <c r="F2051" s="8" t="n"/>
    </row>
    <row r="2052">
      <c r="A2052" s="7" t="n"/>
      <c r="B2052" s="8" t="n"/>
      <c r="C2052" s="9">
        <f>IF(B2052="","",IFERROR(VLOOKUP(B2052,'Daftar Outlet'!$A$4:$B$22,2,FALSE),""))</f>
        <v/>
      </c>
      <c r="D2052" s="8" t="n"/>
      <c r="E2052" s="6" t="n"/>
      <c r="F2052" s="8" t="n"/>
    </row>
    <row r="2053">
      <c r="A2053" s="7" t="n"/>
      <c r="B2053" s="8" t="n"/>
      <c r="C2053" s="9">
        <f>IF(B2053="","",IFERROR(VLOOKUP(B2053,'Daftar Outlet'!$A$4:$B$22,2,FALSE),""))</f>
        <v/>
      </c>
      <c r="D2053" s="8" t="n"/>
      <c r="E2053" s="6" t="n"/>
      <c r="F2053" s="8" t="n"/>
    </row>
    <row r="2054">
      <c r="A2054" s="7" t="n"/>
      <c r="B2054" s="8" t="n"/>
      <c r="C2054" s="9">
        <f>IF(B2054="","",IFERROR(VLOOKUP(B2054,'Daftar Outlet'!$A$4:$B$22,2,FALSE),""))</f>
        <v/>
      </c>
      <c r="D2054" s="8" t="n"/>
      <c r="E2054" s="6" t="n"/>
      <c r="F2054" s="8" t="n"/>
    </row>
    <row r="2055">
      <c r="A2055" s="7" t="n"/>
      <c r="B2055" s="8" t="n"/>
      <c r="C2055" s="9">
        <f>IF(B2055="","",IFERROR(VLOOKUP(B2055,'Daftar Outlet'!$A$4:$B$22,2,FALSE),""))</f>
        <v/>
      </c>
      <c r="D2055" s="8" t="n"/>
      <c r="E2055" s="6" t="n"/>
      <c r="F2055" s="8" t="n"/>
    </row>
    <row r="2056">
      <c r="A2056" s="7" t="n"/>
      <c r="B2056" s="8" t="n"/>
      <c r="C2056" s="9">
        <f>IF(B2056="","",IFERROR(VLOOKUP(B2056,'Daftar Outlet'!$A$4:$B$22,2,FALSE),""))</f>
        <v/>
      </c>
      <c r="D2056" s="8" t="n"/>
      <c r="E2056" s="6" t="n"/>
      <c r="F2056" s="8" t="n"/>
    </row>
    <row r="2057">
      <c r="A2057" s="7" t="n"/>
      <c r="B2057" s="8" t="n"/>
      <c r="C2057" s="9">
        <f>IF(B2057="","",IFERROR(VLOOKUP(B2057,'Daftar Outlet'!$A$4:$B$22,2,FALSE),""))</f>
        <v/>
      </c>
      <c r="D2057" s="8" t="n"/>
      <c r="E2057" s="6" t="n"/>
      <c r="F2057" s="8" t="n"/>
    </row>
    <row r="2058">
      <c r="A2058" s="7" t="n"/>
      <c r="B2058" s="8" t="n"/>
      <c r="C2058" s="9">
        <f>IF(B2058="","",IFERROR(VLOOKUP(B2058,'Daftar Outlet'!$A$4:$B$22,2,FALSE),""))</f>
        <v/>
      </c>
      <c r="D2058" s="8" t="n"/>
      <c r="E2058" s="6" t="n"/>
      <c r="F2058" s="8" t="n"/>
    </row>
    <row r="2059">
      <c r="A2059" s="7" t="n"/>
      <c r="B2059" s="8" t="n"/>
      <c r="C2059" s="9">
        <f>IF(B2059="","",IFERROR(VLOOKUP(B2059,'Daftar Outlet'!$A$4:$B$22,2,FALSE),""))</f>
        <v/>
      </c>
      <c r="D2059" s="8" t="n"/>
      <c r="E2059" s="6" t="n"/>
      <c r="F2059" s="8" t="n"/>
    </row>
    <row r="2060">
      <c r="A2060" s="7" t="n"/>
      <c r="B2060" s="8" t="n"/>
      <c r="C2060" s="9">
        <f>IF(B2060="","",IFERROR(VLOOKUP(B2060,'Daftar Outlet'!$A$4:$B$22,2,FALSE),""))</f>
        <v/>
      </c>
      <c r="D2060" s="8" t="n"/>
      <c r="E2060" s="6" t="n"/>
      <c r="F2060" s="8" t="n"/>
    </row>
    <row r="2061">
      <c r="A2061" s="7" t="n"/>
      <c r="B2061" s="8" t="n"/>
      <c r="C2061" s="9">
        <f>IF(B2061="","",IFERROR(VLOOKUP(B2061,'Daftar Outlet'!$A$4:$B$22,2,FALSE),""))</f>
        <v/>
      </c>
      <c r="D2061" s="8" t="n"/>
      <c r="E2061" s="6" t="n"/>
      <c r="F2061" s="8" t="n"/>
    </row>
    <row r="2062">
      <c r="A2062" s="7" t="n"/>
      <c r="B2062" s="8" t="n"/>
      <c r="C2062" s="9">
        <f>IF(B2062="","",IFERROR(VLOOKUP(B2062,'Daftar Outlet'!$A$4:$B$22,2,FALSE),""))</f>
        <v/>
      </c>
      <c r="D2062" s="8" t="n"/>
      <c r="E2062" s="6" t="n"/>
      <c r="F2062" s="8" t="n"/>
    </row>
    <row r="2063">
      <c r="A2063" s="7" t="n"/>
      <c r="B2063" s="8" t="n"/>
      <c r="C2063" s="9">
        <f>IF(B2063="","",IFERROR(VLOOKUP(B2063,'Daftar Outlet'!$A$4:$B$22,2,FALSE),""))</f>
        <v/>
      </c>
      <c r="D2063" s="8" t="n"/>
      <c r="E2063" s="6" t="n"/>
      <c r="F2063" s="8" t="n"/>
    </row>
    <row r="2064">
      <c r="A2064" s="7" t="n"/>
      <c r="B2064" s="8" t="n"/>
      <c r="C2064" s="9">
        <f>IF(B2064="","",IFERROR(VLOOKUP(B2064,'Daftar Outlet'!$A$4:$B$22,2,FALSE),""))</f>
        <v/>
      </c>
      <c r="D2064" s="8" t="n"/>
      <c r="E2064" s="6" t="n"/>
      <c r="F2064" s="8" t="n"/>
    </row>
    <row r="2065">
      <c r="A2065" s="7" t="n"/>
      <c r="B2065" s="8" t="n"/>
      <c r="C2065" s="9">
        <f>IF(B2065="","",IFERROR(VLOOKUP(B2065,'Daftar Outlet'!$A$4:$B$22,2,FALSE),""))</f>
        <v/>
      </c>
      <c r="D2065" s="8" t="n"/>
      <c r="E2065" s="6" t="n"/>
      <c r="F2065" s="8" t="n"/>
    </row>
    <row r="2066">
      <c r="A2066" s="7" t="n"/>
      <c r="B2066" s="8" t="n"/>
      <c r="C2066" s="9">
        <f>IF(B2066="","",IFERROR(VLOOKUP(B2066,'Daftar Outlet'!$A$4:$B$22,2,FALSE),""))</f>
        <v/>
      </c>
      <c r="D2066" s="8" t="n"/>
      <c r="E2066" s="6" t="n"/>
      <c r="F2066" s="8" t="n"/>
    </row>
    <row r="2067">
      <c r="A2067" s="7" t="n"/>
      <c r="B2067" s="8" t="n"/>
      <c r="C2067" s="9">
        <f>IF(B2067="","",IFERROR(VLOOKUP(B2067,'Daftar Outlet'!$A$4:$B$22,2,FALSE),""))</f>
        <v/>
      </c>
      <c r="D2067" s="8" t="n"/>
      <c r="E2067" s="6" t="n"/>
      <c r="F2067" s="8" t="n"/>
    </row>
    <row r="2068">
      <c r="A2068" s="7" t="n"/>
      <c r="B2068" s="8" t="n"/>
      <c r="C2068" s="9">
        <f>IF(B2068="","",IFERROR(VLOOKUP(B2068,'Daftar Outlet'!$A$4:$B$22,2,FALSE),""))</f>
        <v/>
      </c>
      <c r="D2068" s="8" t="n"/>
      <c r="E2068" s="6" t="n"/>
      <c r="F2068" s="8" t="n"/>
    </row>
    <row r="2069">
      <c r="A2069" s="7" t="n"/>
      <c r="B2069" s="8" t="n"/>
      <c r="C2069" s="9">
        <f>IF(B2069="","",IFERROR(VLOOKUP(B2069,'Daftar Outlet'!$A$4:$B$22,2,FALSE),""))</f>
        <v/>
      </c>
      <c r="D2069" s="8" t="n"/>
      <c r="E2069" s="6" t="n"/>
      <c r="F2069" s="8" t="n"/>
    </row>
    <row r="2070">
      <c r="A2070" s="7" t="n"/>
      <c r="B2070" s="8" t="n"/>
      <c r="C2070" s="9">
        <f>IF(B2070="","",IFERROR(VLOOKUP(B2070,'Daftar Outlet'!$A$4:$B$22,2,FALSE),""))</f>
        <v/>
      </c>
      <c r="D2070" s="8" t="n"/>
      <c r="E2070" s="6" t="n"/>
      <c r="F2070" s="8" t="n"/>
    </row>
    <row r="2071">
      <c r="A2071" s="7" t="n"/>
      <c r="B2071" s="8" t="n"/>
      <c r="C2071" s="9">
        <f>IF(B2071="","",IFERROR(VLOOKUP(B2071,'Daftar Outlet'!$A$4:$B$22,2,FALSE),""))</f>
        <v/>
      </c>
      <c r="D2071" s="8" t="n"/>
      <c r="E2071" s="6" t="n"/>
      <c r="F2071" s="8" t="n"/>
    </row>
    <row r="2072">
      <c r="A2072" s="7" t="n"/>
      <c r="B2072" s="8" t="n"/>
      <c r="C2072" s="9">
        <f>IF(B2072="","",IFERROR(VLOOKUP(B2072,'Daftar Outlet'!$A$4:$B$22,2,FALSE),""))</f>
        <v/>
      </c>
      <c r="D2072" s="8" t="n"/>
      <c r="E2072" s="6" t="n"/>
      <c r="F2072" s="8" t="n"/>
    </row>
    <row r="2073">
      <c r="A2073" s="7" t="n"/>
      <c r="B2073" s="8" t="n"/>
      <c r="C2073" s="9">
        <f>IF(B2073="","",IFERROR(VLOOKUP(B2073,'Daftar Outlet'!$A$4:$B$22,2,FALSE),""))</f>
        <v/>
      </c>
      <c r="D2073" s="8" t="n"/>
      <c r="E2073" s="6" t="n"/>
      <c r="F2073" s="8" t="n"/>
    </row>
    <row r="2074">
      <c r="A2074" s="7" t="n"/>
      <c r="B2074" s="8" t="n"/>
      <c r="C2074" s="9">
        <f>IF(B2074="","",IFERROR(VLOOKUP(B2074,'Daftar Outlet'!$A$4:$B$22,2,FALSE),""))</f>
        <v/>
      </c>
      <c r="D2074" s="8" t="n"/>
      <c r="E2074" s="6" t="n"/>
      <c r="F2074" s="8" t="n"/>
    </row>
    <row r="2075">
      <c r="A2075" s="7" t="n"/>
      <c r="B2075" s="8" t="n"/>
      <c r="C2075" s="9">
        <f>IF(B2075="","",IFERROR(VLOOKUP(B2075,'Daftar Outlet'!$A$4:$B$22,2,FALSE),""))</f>
        <v/>
      </c>
      <c r="D2075" s="8" t="n"/>
      <c r="E2075" s="6" t="n"/>
      <c r="F2075" s="8" t="n"/>
    </row>
    <row r="2076">
      <c r="A2076" s="7" t="n"/>
      <c r="B2076" s="8" t="n"/>
      <c r="C2076" s="9">
        <f>IF(B2076="","",IFERROR(VLOOKUP(B2076,'Daftar Outlet'!$A$4:$B$22,2,FALSE),""))</f>
        <v/>
      </c>
      <c r="D2076" s="8" t="n"/>
      <c r="E2076" s="6" t="n"/>
      <c r="F2076" s="8" t="n"/>
    </row>
    <row r="2077">
      <c r="A2077" s="7" t="n"/>
      <c r="B2077" s="8" t="n"/>
      <c r="C2077" s="9">
        <f>IF(B2077="","",IFERROR(VLOOKUP(B2077,'Daftar Outlet'!$A$4:$B$22,2,FALSE),""))</f>
        <v/>
      </c>
      <c r="D2077" s="8" t="n"/>
      <c r="E2077" s="6" t="n"/>
      <c r="F2077" s="8" t="n"/>
    </row>
    <row r="2078">
      <c r="A2078" s="7" t="n"/>
      <c r="B2078" s="8" t="n"/>
      <c r="C2078" s="9">
        <f>IF(B2078="","",IFERROR(VLOOKUP(B2078,'Daftar Outlet'!$A$4:$B$22,2,FALSE),""))</f>
        <v/>
      </c>
      <c r="D2078" s="8" t="n"/>
      <c r="E2078" s="6" t="n"/>
      <c r="F2078" s="8" t="n"/>
    </row>
    <row r="2079">
      <c r="A2079" s="7" t="n"/>
      <c r="B2079" s="8" t="n"/>
      <c r="C2079" s="9">
        <f>IF(B2079="","",IFERROR(VLOOKUP(B2079,'Daftar Outlet'!$A$4:$B$22,2,FALSE),""))</f>
        <v/>
      </c>
      <c r="D2079" s="8" t="n"/>
      <c r="E2079" s="6" t="n"/>
      <c r="F2079" s="8" t="n"/>
    </row>
    <row r="2080">
      <c r="A2080" s="7" t="n"/>
      <c r="B2080" s="8" t="n"/>
      <c r="C2080" s="9">
        <f>IF(B2080="","",IFERROR(VLOOKUP(B2080,'Daftar Outlet'!$A$4:$B$22,2,FALSE),""))</f>
        <v/>
      </c>
      <c r="D2080" s="8" t="n"/>
      <c r="E2080" s="6" t="n"/>
      <c r="F2080" s="8" t="n"/>
    </row>
    <row r="2081">
      <c r="A2081" s="7" t="n"/>
      <c r="B2081" s="8" t="n"/>
      <c r="C2081" s="9">
        <f>IF(B2081="","",IFERROR(VLOOKUP(B2081,'Daftar Outlet'!$A$4:$B$22,2,FALSE),""))</f>
        <v/>
      </c>
      <c r="D2081" s="8" t="n"/>
      <c r="E2081" s="6" t="n"/>
      <c r="F2081" s="8" t="n"/>
    </row>
    <row r="2082">
      <c r="A2082" s="7" t="n"/>
      <c r="B2082" s="8" t="n"/>
      <c r="C2082" s="9">
        <f>IF(B2082="","",IFERROR(VLOOKUP(B2082,'Daftar Outlet'!$A$4:$B$22,2,FALSE),""))</f>
        <v/>
      </c>
      <c r="D2082" s="8" t="n"/>
      <c r="E2082" s="6" t="n"/>
      <c r="F2082" s="8" t="n"/>
    </row>
    <row r="2083">
      <c r="A2083" s="7" t="n"/>
      <c r="B2083" s="8" t="n"/>
      <c r="C2083" s="9">
        <f>IF(B2083="","",IFERROR(VLOOKUP(B2083,'Daftar Outlet'!$A$4:$B$22,2,FALSE),""))</f>
        <v/>
      </c>
      <c r="D2083" s="8" t="n"/>
      <c r="E2083" s="6" t="n"/>
      <c r="F2083" s="8" t="n"/>
    </row>
    <row r="2084">
      <c r="A2084" s="7" t="n"/>
      <c r="B2084" s="8" t="n"/>
      <c r="C2084" s="9">
        <f>IF(B2084="","",IFERROR(VLOOKUP(B2084,'Daftar Outlet'!$A$4:$B$22,2,FALSE),""))</f>
        <v/>
      </c>
      <c r="D2084" s="8" t="n"/>
      <c r="E2084" s="6" t="n"/>
      <c r="F2084" s="8" t="n"/>
    </row>
    <row r="2085">
      <c r="A2085" s="7" t="n"/>
      <c r="B2085" s="8" t="n"/>
      <c r="C2085" s="9">
        <f>IF(B2085="","",IFERROR(VLOOKUP(B2085,'Daftar Outlet'!$A$4:$B$22,2,FALSE),""))</f>
        <v/>
      </c>
      <c r="D2085" s="8" t="n"/>
      <c r="E2085" s="6" t="n"/>
      <c r="F2085" s="8" t="n"/>
    </row>
    <row r="2086">
      <c r="A2086" s="7" t="n"/>
      <c r="B2086" s="8" t="n"/>
      <c r="C2086" s="9">
        <f>IF(B2086="","",IFERROR(VLOOKUP(B2086,'Daftar Outlet'!$A$4:$B$22,2,FALSE),""))</f>
        <v/>
      </c>
      <c r="D2086" s="8" t="n"/>
      <c r="E2086" s="6" t="n"/>
      <c r="F2086" s="8" t="n"/>
    </row>
    <row r="2087">
      <c r="A2087" s="7" t="n"/>
      <c r="B2087" s="8" t="n"/>
      <c r="C2087" s="9">
        <f>IF(B2087="","",IFERROR(VLOOKUP(B2087,'Daftar Outlet'!$A$4:$B$22,2,FALSE),""))</f>
        <v/>
      </c>
      <c r="D2087" s="8" t="n"/>
      <c r="E2087" s="6" t="n"/>
      <c r="F2087" s="8" t="n"/>
    </row>
    <row r="2088">
      <c r="A2088" s="7" t="n"/>
      <c r="B2088" s="8" t="n"/>
      <c r="C2088" s="9">
        <f>IF(B2088="","",IFERROR(VLOOKUP(B2088,'Daftar Outlet'!$A$4:$B$22,2,FALSE),""))</f>
        <v/>
      </c>
      <c r="D2088" s="8" t="n"/>
      <c r="E2088" s="6" t="n"/>
      <c r="F2088" s="8" t="n"/>
    </row>
    <row r="2089">
      <c r="A2089" s="7" t="n"/>
      <c r="B2089" s="8" t="n"/>
      <c r="C2089" s="9">
        <f>IF(B2089="","",IFERROR(VLOOKUP(B2089,'Daftar Outlet'!$A$4:$B$22,2,FALSE),""))</f>
        <v/>
      </c>
      <c r="D2089" s="8" t="n"/>
      <c r="E2089" s="6" t="n"/>
      <c r="F2089" s="8" t="n"/>
    </row>
    <row r="2090">
      <c r="A2090" s="7" t="n"/>
      <c r="B2090" s="8" t="n"/>
      <c r="C2090" s="9">
        <f>IF(B2090="","",IFERROR(VLOOKUP(B2090,'Daftar Outlet'!$A$4:$B$22,2,FALSE),""))</f>
        <v/>
      </c>
      <c r="D2090" s="8" t="n"/>
      <c r="E2090" s="6" t="n"/>
      <c r="F2090" s="8" t="n"/>
    </row>
    <row r="2091">
      <c r="A2091" s="7" t="n"/>
      <c r="B2091" s="8" t="n"/>
      <c r="C2091" s="9">
        <f>IF(B2091="","",IFERROR(VLOOKUP(B2091,'Daftar Outlet'!$A$4:$B$22,2,FALSE),""))</f>
        <v/>
      </c>
      <c r="D2091" s="8" t="n"/>
      <c r="E2091" s="6" t="n"/>
      <c r="F2091" s="8" t="n"/>
    </row>
    <row r="2092">
      <c r="A2092" s="7" t="n"/>
      <c r="B2092" s="8" t="n"/>
      <c r="C2092" s="9">
        <f>IF(B2092="","",IFERROR(VLOOKUP(B2092,'Daftar Outlet'!$A$4:$B$22,2,FALSE),""))</f>
        <v/>
      </c>
      <c r="D2092" s="8" t="n"/>
      <c r="E2092" s="6" t="n"/>
      <c r="F2092" s="8" t="n"/>
    </row>
    <row r="2093">
      <c r="A2093" s="7" t="n"/>
      <c r="B2093" s="8" t="n"/>
      <c r="C2093" s="9">
        <f>IF(B2093="","",IFERROR(VLOOKUP(B2093,'Daftar Outlet'!$A$4:$B$22,2,FALSE),""))</f>
        <v/>
      </c>
      <c r="D2093" s="8" t="n"/>
      <c r="E2093" s="6" t="n"/>
      <c r="F2093" s="8" t="n"/>
    </row>
    <row r="2094">
      <c r="A2094" s="7" t="n"/>
      <c r="B2094" s="8" t="n"/>
      <c r="C2094" s="9">
        <f>IF(B2094="","",IFERROR(VLOOKUP(B2094,'Daftar Outlet'!$A$4:$B$22,2,FALSE),""))</f>
        <v/>
      </c>
      <c r="D2094" s="8" t="n"/>
      <c r="E2094" s="6" t="n"/>
      <c r="F2094" s="8" t="n"/>
    </row>
    <row r="2095">
      <c r="A2095" s="7" t="n"/>
      <c r="B2095" s="8" t="n"/>
      <c r="C2095" s="9">
        <f>IF(B2095="","",IFERROR(VLOOKUP(B2095,'Daftar Outlet'!$A$4:$B$22,2,FALSE),""))</f>
        <v/>
      </c>
      <c r="D2095" s="8" t="n"/>
      <c r="E2095" s="6" t="n"/>
      <c r="F2095" s="8" t="n"/>
    </row>
    <row r="2096">
      <c r="A2096" s="7" t="n"/>
      <c r="B2096" s="8" t="n"/>
      <c r="C2096" s="9">
        <f>IF(B2096="","",IFERROR(VLOOKUP(B2096,'Daftar Outlet'!$A$4:$B$22,2,FALSE),""))</f>
        <v/>
      </c>
      <c r="D2096" s="8" t="n"/>
      <c r="E2096" s="6" t="n"/>
      <c r="F2096" s="8" t="n"/>
    </row>
    <row r="2097">
      <c r="A2097" s="7" t="n"/>
      <c r="B2097" s="8" t="n"/>
      <c r="C2097" s="9">
        <f>IF(B2097="","",IFERROR(VLOOKUP(B2097,'Daftar Outlet'!$A$4:$B$22,2,FALSE),""))</f>
        <v/>
      </c>
      <c r="D2097" s="8" t="n"/>
      <c r="E2097" s="6" t="n"/>
      <c r="F2097" s="8" t="n"/>
    </row>
    <row r="2098">
      <c r="A2098" s="7" t="n"/>
      <c r="B2098" s="8" t="n"/>
      <c r="C2098" s="9">
        <f>IF(B2098="","",IFERROR(VLOOKUP(B2098,'Daftar Outlet'!$A$4:$B$22,2,FALSE),""))</f>
        <v/>
      </c>
      <c r="D2098" s="8" t="n"/>
      <c r="E2098" s="6" t="n"/>
      <c r="F2098" s="8" t="n"/>
    </row>
    <row r="2099">
      <c r="A2099" s="7" t="n"/>
      <c r="B2099" s="8" t="n"/>
      <c r="C2099" s="9">
        <f>IF(B2099="","",IFERROR(VLOOKUP(B2099,'Daftar Outlet'!$A$4:$B$22,2,FALSE),""))</f>
        <v/>
      </c>
      <c r="D2099" s="8" t="n"/>
      <c r="E2099" s="6" t="n"/>
      <c r="F2099" s="8" t="n"/>
    </row>
    <row r="2100">
      <c r="A2100" s="7" t="n"/>
      <c r="B2100" s="8" t="n"/>
      <c r="C2100" s="9">
        <f>IF(B2100="","",IFERROR(VLOOKUP(B2100,'Daftar Outlet'!$A$4:$B$22,2,FALSE),""))</f>
        <v/>
      </c>
      <c r="D2100" s="8" t="n"/>
      <c r="E2100" s="6" t="n"/>
      <c r="F2100" s="8" t="n"/>
    </row>
    <row r="2101">
      <c r="A2101" s="7" t="n"/>
      <c r="B2101" s="8" t="n"/>
      <c r="C2101" s="9">
        <f>IF(B2101="","",IFERROR(VLOOKUP(B2101,'Daftar Outlet'!$A$4:$B$22,2,FALSE),""))</f>
        <v/>
      </c>
      <c r="D2101" s="8" t="n"/>
      <c r="E2101" s="6" t="n"/>
      <c r="F2101" s="8" t="n"/>
    </row>
    <row r="2102">
      <c r="A2102" s="7" t="n"/>
      <c r="B2102" s="8" t="n"/>
      <c r="C2102" s="9">
        <f>IF(B2102="","",IFERROR(VLOOKUP(B2102,'Daftar Outlet'!$A$4:$B$22,2,FALSE),""))</f>
        <v/>
      </c>
      <c r="D2102" s="8" t="n"/>
      <c r="E2102" s="6" t="n"/>
      <c r="F2102" s="8" t="n"/>
    </row>
    <row r="2103">
      <c r="A2103" s="7" t="n"/>
      <c r="B2103" s="8" t="n"/>
      <c r="C2103" s="9">
        <f>IF(B2103="","",IFERROR(VLOOKUP(B2103,'Daftar Outlet'!$A$4:$B$22,2,FALSE),""))</f>
        <v/>
      </c>
      <c r="D2103" s="8" t="n"/>
      <c r="E2103" s="6" t="n"/>
      <c r="F2103" s="8" t="n"/>
    </row>
    <row r="2104">
      <c r="A2104" s="7" t="n"/>
      <c r="B2104" s="8" t="n"/>
      <c r="C2104" s="9">
        <f>IF(B2104="","",IFERROR(VLOOKUP(B2104,'Daftar Outlet'!$A$4:$B$22,2,FALSE),""))</f>
        <v/>
      </c>
      <c r="D2104" s="8" t="n"/>
      <c r="E2104" s="6" t="n"/>
      <c r="F2104" s="8" t="n"/>
    </row>
    <row r="2105">
      <c r="A2105" s="7" t="n"/>
      <c r="B2105" s="8" t="n"/>
      <c r="C2105" s="9">
        <f>IF(B2105="","",IFERROR(VLOOKUP(B2105,'Daftar Outlet'!$A$4:$B$22,2,FALSE),""))</f>
        <v/>
      </c>
      <c r="D2105" s="8" t="n"/>
      <c r="E2105" s="6" t="n"/>
      <c r="F2105" s="8" t="n"/>
    </row>
    <row r="2106">
      <c r="A2106" s="7" t="n"/>
      <c r="B2106" s="8" t="n"/>
      <c r="C2106" s="9">
        <f>IF(B2106="","",IFERROR(VLOOKUP(B2106,'Daftar Outlet'!$A$4:$B$22,2,FALSE),""))</f>
        <v/>
      </c>
      <c r="D2106" s="8" t="n"/>
      <c r="E2106" s="6" t="n"/>
      <c r="F2106" s="8" t="n"/>
    </row>
    <row r="2107">
      <c r="A2107" s="7" t="n"/>
      <c r="B2107" s="8" t="n"/>
      <c r="C2107" s="9">
        <f>IF(B2107="","",IFERROR(VLOOKUP(B2107,'Daftar Outlet'!$A$4:$B$22,2,FALSE),""))</f>
        <v/>
      </c>
      <c r="D2107" s="8" t="n"/>
      <c r="E2107" s="6" t="n"/>
      <c r="F2107" s="8" t="n"/>
    </row>
    <row r="2108">
      <c r="A2108" s="7" t="n"/>
      <c r="B2108" s="8" t="n"/>
      <c r="C2108" s="9">
        <f>IF(B2108="","",IFERROR(VLOOKUP(B2108,'Daftar Outlet'!$A$4:$B$22,2,FALSE),""))</f>
        <v/>
      </c>
      <c r="D2108" s="8" t="n"/>
      <c r="E2108" s="6" t="n"/>
      <c r="F2108" s="8" t="n"/>
    </row>
    <row r="2109">
      <c r="A2109" s="7" t="n"/>
      <c r="B2109" s="8" t="n"/>
      <c r="C2109" s="9">
        <f>IF(B2109="","",IFERROR(VLOOKUP(B2109,'Daftar Outlet'!$A$4:$B$22,2,FALSE),""))</f>
        <v/>
      </c>
      <c r="D2109" s="8" t="n"/>
      <c r="E2109" s="6" t="n"/>
      <c r="F2109" s="8" t="n"/>
    </row>
    <row r="2110">
      <c r="A2110" s="7" t="n"/>
      <c r="B2110" s="8" t="n"/>
      <c r="C2110" s="9">
        <f>IF(B2110="","",IFERROR(VLOOKUP(B2110,'Daftar Outlet'!$A$4:$B$22,2,FALSE),""))</f>
        <v/>
      </c>
      <c r="D2110" s="8" t="n"/>
      <c r="E2110" s="6" t="n"/>
      <c r="F2110" s="8" t="n"/>
    </row>
    <row r="2111">
      <c r="A2111" s="7" t="n"/>
      <c r="B2111" s="8" t="n"/>
      <c r="C2111" s="9">
        <f>IF(B2111="","",IFERROR(VLOOKUP(B2111,'Daftar Outlet'!$A$4:$B$22,2,FALSE),""))</f>
        <v/>
      </c>
      <c r="D2111" s="8" t="n"/>
      <c r="E2111" s="6" t="n"/>
      <c r="F2111" s="8" t="n"/>
    </row>
    <row r="2112">
      <c r="A2112" s="7" t="n"/>
      <c r="B2112" s="8" t="n"/>
      <c r="C2112" s="9">
        <f>IF(B2112="","",IFERROR(VLOOKUP(B2112,'Daftar Outlet'!$A$4:$B$22,2,FALSE),""))</f>
        <v/>
      </c>
      <c r="D2112" s="8" t="n"/>
      <c r="E2112" s="6" t="n"/>
      <c r="F2112" s="8" t="n"/>
    </row>
    <row r="2113">
      <c r="A2113" s="7" t="n"/>
      <c r="B2113" s="8" t="n"/>
      <c r="C2113" s="9">
        <f>IF(B2113="","",IFERROR(VLOOKUP(B2113,'Daftar Outlet'!$A$4:$B$22,2,FALSE),""))</f>
        <v/>
      </c>
      <c r="D2113" s="8" t="n"/>
      <c r="E2113" s="6" t="n"/>
      <c r="F2113" s="8" t="n"/>
    </row>
    <row r="2114">
      <c r="A2114" s="7" t="n"/>
      <c r="B2114" s="8" t="n"/>
      <c r="C2114" s="9">
        <f>IF(B2114="","",IFERROR(VLOOKUP(B2114,'Daftar Outlet'!$A$4:$B$22,2,FALSE),""))</f>
        <v/>
      </c>
      <c r="D2114" s="8" t="n"/>
      <c r="E2114" s="6" t="n"/>
      <c r="F2114" s="8" t="n"/>
    </row>
    <row r="2115">
      <c r="A2115" s="7" t="n"/>
      <c r="B2115" s="8" t="n"/>
      <c r="C2115" s="9">
        <f>IF(B2115="","",IFERROR(VLOOKUP(B2115,'Daftar Outlet'!$A$4:$B$22,2,FALSE),""))</f>
        <v/>
      </c>
      <c r="D2115" s="8" t="n"/>
      <c r="E2115" s="6" t="n"/>
      <c r="F2115" s="8" t="n"/>
    </row>
    <row r="2116">
      <c r="A2116" s="7" t="n"/>
      <c r="B2116" s="8" t="n"/>
      <c r="C2116" s="9">
        <f>IF(B2116="","",IFERROR(VLOOKUP(B2116,'Daftar Outlet'!$A$4:$B$22,2,FALSE),""))</f>
        <v/>
      </c>
      <c r="D2116" s="8" t="n"/>
      <c r="E2116" s="6" t="n"/>
      <c r="F2116" s="8" t="n"/>
    </row>
    <row r="2117">
      <c r="A2117" s="7" t="n"/>
      <c r="B2117" s="8" t="n"/>
      <c r="C2117" s="9">
        <f>IF(B2117="","",IFERROR(VLOOKUP(B2117,'Daftar Outlet'!$A$4:$B$22,2,FALSE),""))</f>
        <v/>
      </c>
      <c r="D2117" s="8" t="n"/>
      <c r="E2117" s="6" t="n"/>
      <c r="F2117" s="8" t="n"/>
    </row>
    <row r="2118">
      <c r="A2118" s="7" t="n"/>
      <c r="B2118" s="8" t="n"/>
      <c r="C2118" s="9">
        <f>IF(B2118="","",IFERROR(VLOOKUP(B2118,'Daftar Outlet'!$A$4:$B$22,2,FALSE),""))</f>
        <v/>
      </c>
      <c r="D2118" s="8" t="n"/>
      <c r="E2118" s="6" t="n"/>
      <c r="F2118" s="8" t="n"/>
    </row>
    <row r="2119">
      <c r="A2119" s="7" t="n"/>
      <c r="B2119" s="8" t="n"/>
      <c r="C2119" s="9">
        <f>IF(B2119="","",IFERROR(VLOOKUP(B2119,'Daftar Outlet'!$A$4:$B$22,2,FALSE),""))</f>
        <v/>
      </c>
      <c r="D2119" s="8" t="n"/>
      <c r="E2119" s="6" t="n"/>
      <c r="F2119" s="8" t="n"/>
    </row>
    <row r="2120">
      <c r="A2120" s="7" t="n"/>
      <c r="B2120" s="8" t="n"/>
      <c r="C2120" s="9">
        <f>IF(B2120="","",IFERROR(VLOOKUP(B2120,'Daftar Outlet'!$A$4:$B$22,2,FALSE),""))</f>
        <v/>
      </c>
      <c r="D2120" s="8" t="n"/>
      <c r="E2120" s="6" t="n"/>
      <c r="F2120" s="8" t="n"/>
    </row>
    <row r="2121">
      <c r="A2121" s="7" t="n"/>
      <c r="B2121" s="8" t="n"/>
      <c r="C2121" s="9">
        <f>IF(B2121="","",IFERROR(VLOOKUP(B2121,'Daftar Outlet'!$A$4:$B$22,2,FALSE),""))</f>
        <v/>
      </c>
      <c r="D2121" s="8" t="n"/>
      <c r="E2121" s="6" t="n"/>
      <c r="F2121" s="8" t="n"/>
    </row>
    <row r="2122">
      <c r="A2122" s="7" t="n"/>
      <c r="B2122" s="8" t="n"/>
      <c r="C2122" s="9">
        <f>IF(B2122="","",IFERROR(VLOOKUP(B2122,'Daftar Outlet'!$A$4:$B$22,2,FALSE),""))</f>
        <v/>
      </c>
      <c r="D2122" s="8" t="n"/>
      <c r="E2122" s="6" t="n"/>
      <c r="F2122" s="8" t="n"/>
    </row>
    <row r="2123">
      <c r="A2123" s="7" t="n"/>
      <c r="B2123" s="8" t="n"/>
      <c r="C2123" s="9">
        <f>IF(B2123="","",IFERROR(VLOOKUP(B2123,'Daftar Outlet'!$A$4:$B$22,2,FALSE),""))</f>
        <v/>
      </c>
      <c r="D2123" s="8" t="n"/>
      <c r="E2123" s="6" t="n"/>
      <c r="F2123" s="8" t="n"/>
    </row>
    <row r="2124">
      <c r="A2124" s="7" t="n"/>
      <c r="B2124" s="8" t="n"/>
      <c r="C2124" s="9">
        <f>IF(B2124="","",IFERROR(VLOOKUP(B2124,'Daftar Outlet'!$A$4:$B$22,2,FALSE),""))</f>
        <v/>
      </c>
      <c r="D2124" s="8" t="n"/>
      <c r="E2124" s="6" t="n"/>
      <c r="F2124" s="8" t="n"/>
    </row>
    <row r="2125">
      <c r="A2125" s="7" t="n"/>
      <c r="B2125" s="8" t="n"/>
      <c r="C2125" s="9">
        <f>IF(B2125="","",IFERROR(VLOOKUP(B2125,'Daftar Outlet'!$A$4:$B$22,2,FALSE),""))</f>
        <v/>
      </c>
      <c r="D2125" s="8" t="n"/>
      <c r="E2125" s="6" t="n"/>
      <c r="F2125" s="8" t="n"/>
    </row>
    <row r="2126">
      <c r="A2126" s="7" t="n"/>
      <c r="B2126" s="8" t="n"/>
      <c r="C2126" s="9">
        <f>IF(B2126="","",IFERROR(VLOOKUP(B2126,'Daftar Outlet'!$A$4:$B$22,2,FALSE),""))</f>
        <v/>
      </c>
      <c r="D2126" s="8" t="n"/>
      <c r="E2126" s="6" t="n"/>
      <c r="F2126" s="8" t="n"/>
    </row>
    <row r="2127">
      <c r="A2127" s="7" t="n"/>
      <c r="B2127" s="8" t="n"/>
      <c r="C2127" s="9">
        <f>IF(B2127="","",IFERROR(VLOOKUP(B2127,'Daftar Outlet'!$A$4:$B$22,2,FALSE),""))</f>
        <v/>
      </c>
      <c r="D2127" s="8" t="n"/>
      <c r="E2127" s="6" t="n"/>
      <c r="F2127" s="8" t="n"/>
    </row>
    <row r="2128">
      <c r="A2128" s="7" t="n"/>
      <c r="B2128" s="8" t="n"/>
      <c r="C2128" s="9">
        <f>IF(B2128="","",IFERROR(VLOOKUP(B2128,'Daftar Outlet'!$A$4:$B$22,2,FALSE),""))</f>
        <v/>
      </c>
      <c r="D2128" s="8" t="n"/>
      <c r="E2128" s="6" t="n"/>
      <c r="F2128" s="8" t="n"/>
    </row>
    <row r="2129">
      <c r="A2129" s="7" t="n"/>
      <c r="B2129" s="8" t="n"/>
      <c r="C2129" s="9">
        <f>IF(B2129="","",IFERROR(VLOOKUP(B2129,'Daftar Outlet'!$A$4:$B$22,2,FALSE),""))</f>
        <v/>
      </c>
      <c r="D2129" s="8" t="n"/>
      <c r="E2129" s="6" t="n"/>
      <c r="F2129" s="8" t="n"/>
    </row>
    <row r="2130">
      <c r="A2130" s="7" t="n"/>
      <c r="B2130" s="8" t="n"/>
      <c r="C2130" s="9">
        <f>IF(B2130="","",IFERROR(VLOOKUP(B2130,'Daftar Outlet'!$A$4:$B$22,2,FALSE),""))</f>
        <v/>
      </c>
      <c r="D2130" s="8" t="n"/>
      <c r="E2130" s="6" t="n"/>
      <c r="F2130" s="8" t="n"/>
    </row>
    <row r="2131">
      <c r="A2131" s="7" t="n"/>
      <c r="B2131" s="8" t="n"/>
      <c r="C2131" s="9">
        <f>IF(B2131="","",IFERROR(VLOOKUP(B2131,'Daftar Outlet'!$A$4:$B$22,2,FALSE),""))</f>
        <v/>
      </c>
      <c r="D2131" s="8" t="n"/>
      <c r="E2131" s="6" t="n"/>
      <c r="F2131" s="8" t="n"/>
    </row>
    <row r="2132">
      <c r="A2132" s="7" t="n"/>
      <c r="B2132" s="8" t="n"/>
      <c r="C2132" s="9">
        <f>IF(B2132="","",IFERROR(VLOOKUP(B2132,'Daftar Outlet'!$A$4:$B$22,2,FALSE),""))</f>
        <v/>
      </c>
      <c r="D2132" s="8" t="n"/>
      <c r="E2132" s="6" t="n"/>
      <c r="F2132" s="8" t="n"/>
    </row>
    <row r="2133">
      <c r="A2133" s="7" t="n"/>
      <c r="B2133" s="8" t="n"/>
      <c r="C2133" s="9">
        <f>IF(B2133="","",IFERROR(VLOOKUP(B2133,'Daftar Outlet'!$A$4:$B$22,2,FALSE),""))</f>
        <v/>
      </c>
      <c r="D2133" s="8" t="n"/>
      <c r="E2133" s="6" t="n"/>
      <c r="F2133" s="8" t="n"/>
    </row>
    <row r="2134">
      <c r="A2134" s="7" t="n"/>
      <c r="B2134" s="8" t="n"/>
      <c r="C2134" s="9">
        <f>IF(B2134="","",IFERROR(VLOOKUP(B2134,'Daftar Outlet'!$A$4:$B$22,2,FALSE),""))</f>
        <v/>
      </c>
      <c r="D2134" s="8" t="n"/>
      <c r="E2134" s="6" t="n"/>
      <c r="F2134" s="8" t="n"/>
    </row>
    <row r="2135">
      <c r="A2135" s="7" t="n"/>
      <c r="B2135" s="8" t="n"/>
      <c r="C2135" s="9">
        <f>IF(B2135="","",IFERROR(VLOOKUP(B2135,'Daftar Outlet'!$A$4:$B$22,2,FALSE),""))</f>
        <v/>
      </c>
      <c r="D2135" s="8" t="n"/>
      <c r="E2135" s="6" t="n"/>
      <c r="F2135" s="8" t="n"/>
    </row>
    <row r="2136">
      <c r="A2136" s="7" t="n"/>
      <c r="B2136" s="8" t="n"/>
      <c r="C2136" s="9">
        <f>IF(B2136="","",IFERROR(VLOOKUP(B2136,'Daftar Outlet'!$A$4:$B$22,2,FALSE),""))</f>
        <v/>
      </c>
      <c r="D2136" s="8" t="n"/>
      <c r="E2136" s="6" t="n"/>
      <c r="F2136" s="8" t="n"/>
    </row>
    <row r="2137">
      <c r="A2137" s="7" t="n"/>
      <c r="B2137" s="8" t="n"/>
      <c r="C2137" s="9">
        <f>IF(B2137="","",IFERROR(VLOOKUP(B2137,'Daftar Outlet'!$A$4:$B$22,2,FALSE),""))</f>
        <v/>
      </c>
      <c r="D2137" s="8" t="n"/>
      <c r="E2137" s="6" t="n"/>
      <c r="F2137" s="8" t="n"/>
    </row>
    <row r="2138">
      <c r="A2138" s="7" t="n"/>
      <c r="B2138" s="8" t="n"/>
      <c r="C2138" s="9">
        <f>IF(B2138="","",IFERROR(VLOOKUP(B2138,'Daftar Outlet'!$A$4:$B$22,2,FALSE),""))</f>
        <v/>
      </c>
      <c r="D2138" s="8" t="n"/>
      <c r="E2138" s="6" t="n"/>
      <c r="F2138" s="8" t="n"/>
    </row>
    <row r="2139">
      <c r="A2139" s="7" t="n"/>
      <c r="B2139" s="8" t="n"/>
      <c r="C2139" s="9">
        <f>IF(B2139="","",IFERROR(VLOOKUP(B2139,'Daftar Outlet'!$A$4:$B$22,2,FALSE),""))</f>
        <v/>
      </c>
      <c r="D2139" s="8" t="n"/>
      <c r="E2139" s="6" t="n"/>
      <c r="F2139" s="8" t="n"/>
    </row>
    <row r="2140">
      <c r="A2140" s="7" t="n"/>
      <c r="B2140" s="8" t="n"/>
      <c r="C2140" s="9">
        <f>IF(B2140="","",IFERROR(VLOOKUP(B2140,'Daftar Outlet'!$A$4:$B$22,2,FALSE),""))</f>
        <v/>
      </c>
      <c r="D2140" s="8" t="n"/>
      <c r="E2140" s="6" t="n"/>
      <c r="F2140" s="8" t="n"/>
    </row>
    <row r="2141">
      <c r="A2141" s="7" t="n"/>
      <c r="B2141" s="8" t="n"/>
      <c r="C2141" s="9">
        <f>IF(B2141="","",IFERROR(VLOOKUP(B2141,'Daftar Outlet'!$A$4:$B$22,2,FALSE),""))</f>
        <v/>
      </c>
      <c r="D2141" s="8" t="n"/>
      <c r="E2141" s="6" t="n"/>
      <c r="F2141" s="8" t="n"/>
    </row>
    <row r="2142">
      <c r="A2142" s="7" t="n"/>
      <c r="B2142" s="8" t="n"/>
      <c r="C2142" s="9">
        <f>IF(B2142="","",IFERROR(VLOOKUP(B2142,'Daftar Outlet'!$A$4:$B$22,2,FALSE),""))</f>
        <v/>
      </c>
      <c r="D2142" s="8" t="n"/>
      <c r="E2142" s="6" t="n"/>
      <c r="F2142" s="8" t="n"/>
    </row>
    <row r="2143">
      <c r="A2143" s="7" t="n"/>
      <c r="B2143" s="8" t="n"/>
      <c r="C2143" s="9">
        <f>IF(B2143="","",IFERROR(VLOOKUP(B2143,'Daftar Outlet'!$A$4:$B$22,2,FALSE),""))</f>
        <v/>
      </c>
      <c r="D2143" s="8" t="n"/>
      <c r="E2143" s="6" t="n"/>
      <c r="F2143" s="8" t="n"/>
    </row>
    <row r="2144">
      <c r="A2144" s="7" t="n"/>
      <c r="B2144" s="8" t="n"/>
      <c r="C2144" s="9">
        <f>IF(B2144="","",IFERROR(VLOOKUP(B2144,'Daftar Outlet'!$A$4:$B$22,2,FALSE),""))</f>
        <v/>
      </c>
      <c r="D2144" s="8" t="n"/>
      <c r="E2144" s="6" t="n"/>
      <c r="F2144" s="8" t="n"/>
    </row>
    <row r="2145">
      <c r="A2145" s="7" t="n"/>
      <c r="B2145" s="8" t="n"/>
      <c r="C2145" s="9">
        <f>IF(B2145="","",IFERROR(VLOOKUP(B2145,'Daftar Outlet'!$A$4:$B$22,2,FALSE),""))</f>
        <v/>
      </c>
      <c r="D2145" s="8" t="n"/>
      <c r="E2145" s="6" t="n"/>
      <c r="F2145" s="8" t="n"/>
    </row>
    <row r="2146">
      <c r="A2146" s="7" t="n"/>
      <c r="B2146" s="8" t="n"/>
      <c r="C2146" s="9">
        <f>IF(B2146="","",IFERROR(VLOOKUP(B2146,'Daftar Outlet'!$A$4:$B$22,2,FALSE),""))</f>
        <v/>
      </c>
      <c r="D2146" s="8" t="n"/>
      <c r="E2146" s="6" t="n"/>
      <c r="F2146" s="8" t="n"/>
    </row>
    <row r="2147">
      <c r="A2147" s="7" t="n"/>
      <c r="B2147" s="8" t="n"/>
      <c r="C2147" s="9">
        <f>IF(B2147="","",IFERROR(VLOOKUP(B2147,'Daftar Outlet'!$A$4:$B$22,2,FALSE),""))</f>
        <v/>
      </c>
      <c r="D2147" s="8" t="n"/>
      <c r="E2147" s="6" t="n"/>
      <c r="F2147" s="8" t="n"/>
    </row>
    <row r="2148">
      <c r="A2148" s="7" t="n"/>
      <c r="B2148" s="8" t="n"/>
      <c r="C2148" s="9">
        <f>IF(B2148="","",IFERROR(VLOOKUP(B2148,'Daftar Outlet'!$A$4:$B$22,2,FALSE),""))</f>
        <v/>
      </c>
      <c r="D2148" s="8" t="n"/>
      <c r="E2148" s="6" t="n"/>
      <c r="F2148" s="8" t="n"/>
    </row>
    <row r="2149">
      <c r="A2149" s="7" t="n"/>
      <c r="B2149" s="8" t="n"/>
      <c r="C2149" s="9">
        <f>IF(B2149="","",IFERROR(VLOOKUP(B2149,'Daftar Outlet'!$A$4:$B$22,2,FALSE),""))</f>
        <v/>
      </c>
      <c r="D2149" s="8" t="n"/>
      <c r="E2149" s="6" t="n"/>
      <c r="F2149" s="8" t="n"/>
    </row>
    <row r="2150">
      <c r="A2150" s="7" t="n"/>
      <c r="B2150" s="8" t="n"/>
      <c r="C2150" s="9">
        <f>IF(B2150="","",IFERROR(VLOOKUP(B2150,'Daftar Outlet'!$A$4:$B$22,2,FALSE),""))</f>
        <v/>
      </c>
      <c r="D2150" s="8" t="n"/>
      <c r="E2150" s="6" t="n"/>
      <c r="F2150" s="8" t="n"/>
    </row>
    <row r="2151">
      <c r="A2151" s="7" t="n"/>
      <c r="B2151" s="8" t="n"/>
      <c r="C2151" s="9">
        <f>IF(B2151="","",IFERROR(VLOOKUP(B2151,'Daftar Outlet'!$A$4:$B$22,2,FALSE),""))</f>
        <v/>
      </c>
      <c r="D2151" s="8" t="n"/>
      <c r="E2151" s="6" t="n"/>
      <c r="F2151" s="8" t="n"/>
    </row>
    <row r="2152">
      <c r="A2152" s="7" t="n"/>
      <c r="B2152" s="8" t="n"/>
      <c r="C2152" s="9">
        <f>IF(B2152="","",IFERROR(VLOOKUP(B2152,'Daftar Outlet'!$A$4:$B$22,2,FALSE),""))</f>
        <v/>
      </c>
      <c r="D2152" s="8" t="n"/>
      <c r="E2152" s="6" t="n"/>
      <c r="F2152" s="8" t="n"/>
    </row>
    <row r="2153">
      <c r="A2153" s="7" t="n"/>
      <c r="B2153" s="8" t="n"/>
      <c r="C2153" s="9">
        <f>IF(B2153="","",IFERROR(VLOOKUP(B2153,'Daftar Outlet'!$A$4:$B$22,2,FALSE),""))</f>
        <v/>
      </c>
      <c r="D2153" s="8" t="n"/>
      <c r="E2153" s="6" t="n"/>
      <c r="F2153" s="8" t="n"/>
    </row>
    <row r="2154">
      <c r="A2154" s="7" t="n"/>
      <c r="B2154" s="8" t="n"/>
      <c r="C2154" s="9">
        <f>IF(B2154="","",IFERROR(VLOOKUP(B2154,'Daftar Outlet'!$A$4:$B$22,2,FALSE),""))</f>
        <v/>
      </c>
      <c r="D2154" s="8" t="n"/>
      <c r="E2154" s="6" t="n"/>
      <c r="F2154" s="8" t="n"/>
    </row>
    <row r="2155">
      <c r="A2155" s="7" t="n"/>
      <c r="B2155" s="8" t="n"/>
      <c r="C2155" s="9">
        <f>IF(B2155="","",IFERROR(VLOOKUP(B2155,'Daftar Outlet'!$A$4:$B$22,2,FALSE),""))</f>
        <v/>
      </c>
      <c r="D2155" s="8" t="n"/>
      <c r="E2155" s="6" t="n"/>
      <c r="F2155" s="8" t="n"/>
    </row>
    <row r="2156">
      <c r="A2156" s="7" t="n"/>
      <c r="B2156" s="8" t="n"/>
      <c r="C2156" s="9">
        <f>IF(B2156="","",IFERROR(VLOOKUP(B2156,'Daftar Outlet'!$A$4:$B$22,2,FALSE),""))</f>
        <v/>
      </c>
      <c r="D2156" s="8" t="n"/>
      <c r="E2156" s="6" t="n"/>
      <c r="F2156" s="8" t="n"/>
    </row>
    <row r="2157">
      <c r="A2157" s="7" t="n"/>
      <c r="B2157" s="8" t="n"/>
      <c r="C2157" s="9">
        <f>IF(B2157="","",IFERROR(VLOOKUP(B2157,'Daftar Outlet'!$A$4:$B$22,2,FALSE),""))</f>
        <v/>
      </c>
      <c r="D2157" s="8" t="n"/>
      <c r="E2157" s="6" t="n"/>
      <c r="F2157" s="8" t="n"/>
    </row>
    <row r="2158">
      <c r="A2158" s="7" t="n"/>
      <c r="B2158" s="8" t="n"/>
      <c r="C2158" s="9">
        <f>IF(B2158="","",IFERROR(VLOOKUP(B2158,'Daftar Outlet'!$A$4:$B$22,2,FALSE),""))</f>
        <v/>
      </c>
      <c r="D2158" s="8" t="n"/>
      <c r="E2158" s="6" t="n"/>
      <c r="F2158" s="8" t="n"/>
    </row>
    <row r="2159">
      <c r="A2159" s="7" t="n"/>
      <c r="B2159" s="8" t="n"/>
      <c r="C2159" s="9">
        <f>IF(B2159="","",IFERROR(VLOOKUP(B2159,'Daftar Outlet'!$A$4:$B$22,2,FALSE),""))</f>
        <v/>
      </c>
      <c r="D2159" s="8" t="n"/>
      <c r="E2159" s="6" t="n"/>
      <c r="F2159" s="8" t="n"/>
    </row>
    <row r="2160">
      <c r="A2160" s="7" t="n"/>
      <c r="B2160" s="8" t="n"/>
      <c r="C2160" s="9">
        <f>IF(B2160="","",IFERROR(VLOOKUP(B2160,'Daftar Outlet'!$A$4:$B$22,2,FALSE),""))</f>
        <v/>
      </c>
      <c r="D2160" s="8" t="n"/>
      <c r="E2160" s="6" t="n"/>
      <c r="F2160" s="8" t="n"/>
    </row>
    <row r="2161">
      <c r="A2161" s="7" t="n"/>
      <c r="B2161" s="8" t="n"/>
      <c r="C2161" s="9">
        <f>IF(B2161="","",IFERROR(VLOOKUP(B2161,'Daftar Outlet'!$A$4:$B$22,2,FALSE),""))</f>
        <v/>
      </c>
      <c r="D2161" s="8" t="n"/>
      <c r="E2161" s="6" t="n"/>
      <c r="F2161" s="8" t="n"/>
    </row>
    <row r="2162">
      <c r="A2162" s="7" t="n"/>
      <c r="B2162" s="8" t="n"/>
      <c r="C2162" s="9">
        <f>IF(B2162="","",IFERROR(VLOOKUP(B2162,'Daftar Outlet'!$A$4:$B$22,2,FALSE),""))</f>
        <v/>
      </c>
      <c r="D2162" s="8" t="n"/>
      <c r="E2162" s="6" t="n"/>
      <c r="F2162" s="8" t="n"/>
    </row>
    <row r="2163">
      <c r="A2163" s="7" t="n"/>
      <c r="B2163" s="8" t="n"/>
      <c r="C2163" s="9">
        <f>IF(B2163="","",IFERROR(VLOOKUP(B2163,'Daftar Outlet'!$A$4:$B$22,2,FALSE),""))</f>
        <v/>
      </c>
      <c r="D2163" s="8" t="n"/>
      <c r="E2163" s="6" t="n"/>
      <c r="F2163" s="8" t="n"/>
    </row>
    <row r="2164">
      <c r="A2164" s="7" t="n"/>
      <c r="B2164" s="8" t="n"/>
      <c r="C2164" s="9">
        <f>IF(B2164="","",IFERROR(VLOOKUP(B2164,'Daftar Outlet'!$A$4:$B$22,2,FALSE),""))</f>
        <v/>
      </c>
      <c r="D2164" s="8" t="n"/>
      <c r="E2164" s="6" t="n"/>
      <c r="F2164" s="8" t="n"/>
    </row>
    <row r="2165">
      <c r="A2165" s="7" t="n"/>
      <c r="B2165" s="8" t="n"/>
      <c r="C2165" s="9">
        <f>IF(B2165="","",IFERROR(VLOOKUP(B2165,'Daftar Outlet'!$A$4:$B$22,2,FALSE),""))</f>
        <v/>
      </c>
      <c r="D2165" s="8" t="n"/>
      <c r="E2165" s="6" t="n"/>
      <c r="F2165" s="8" t="n"/>
    </row>
    <row r="2166">
      <c r="A2166" s="7" t="n"/>
      <c r="B2166" s="8" t="n"/>
      <c r="C2166" s="9">
        <f>IF(B2166="","",IFERROR(VLOOKUP(B2166,'Daftar Outlet'!$A$4:$B$22,2,FALSE),""))</f>
        <v/>
      </c>
      <c r="D2166" s="8" t="n"/>
      <c r="E2166" s="6" t="n"/>
      <c r="F2166" s="8" t="n"/>
    </row>
    <row r="2167">
      <c r="A2167" s="7" t="n"/>
      <c r="B2167" s="8" t="n"/>
      <c r="C2167" s="9">
        <f>IF(B2167="","",IFERROR(VLOOKUP(B2167,'Daftar Outlet'!$A$4:$B$22,2,FALSE),""))</f>
        <v/>
      </c>
      <c r="D2167" s="8" t="n"/>
      <c r="E2167" s="6" t="n"/>
      <c r="F2167" s="8" t="n"/>
    </row>
    <row r="2168">
      <c r="A2168" s="7" t="n"/>
      <c r="B2168" s="8" t="n"/>
      <c r="C2168" s="9">
        <f>IF(B2168="","",IFERROR(VLOOKUP(B2168,'Daftar Outlet'!$A$4:$B$22,2,FALSE),""))</f>
        <v/>
      </c>
      <c r="D2168" s="8" t="n"/>
      <c r="E2168" s="6" t="n"/>
      <c r="F2168" s="8" t="n"/>
    </row>
    <row r="2169">
      <c r="A2169" s="7" t="n"/>
      <c r="B2169" s="8" t="n"/>
      <c r="C2169" s="9">
        <f>IF(B2169="","",IFERROR(VLOOKUP(B2169,'Daftar Outlet'!$A$4:$B$22,2,FALSE),""))</f>
        <v/>
      </c>
      <c r="D2169" s="8" t="n"/>
      <c r="E2169" s="6" t="n"/>
      <c r="F2169" s="8" t="n"/>
    </row>
    <row r="2170">
      <c r="A2170" s="7" t="n"/>
      <c r="B2170" s="8" t="n"/>
      <c r="C2170" s="9">
        <f>IF(B2170="","",IFERROR(VLOOKUP(B2170,'Daftar Outlet'!$A$4:$B$22,2,FALSE),""))</f>
        <v/>
      </c>
      <c r="D2170" s="8" t="n"/>
      <c r="E2170" s="6" t="n"/>
      <c r="F2170" s="8" t="n"/>
    </row>
    <row r="2171">
      <c r="A2171" s="7" t="n"/>
      <c r="B2171" s="8" t="n"/>
      <c r="C2171" s="9">
        <f>IF(B2171="","",IFERROR(VLOOKUP(B2171,'Daftar Outlet'!$A$4:$B$22,2,FALSE),""))</f>
        <v/>
      </c>
      <c r="D2171" s="8" t="n"/>
      <c r="E2171" s="6" t="n"/>
      <c r="F2171" s="8" t="n"/>
    </row>
    <row r="2172">
      <c r="A2172" s="7" t="n"/>
      <c r="B2172" s="8" t="n"/>
      <c r="C2172" s="9">
        <f>IF(B2172="","",IFERROR(VLOOKUP(B2172,'Daftar Outlet'!$A$4:$B$22,2,FALSE),""))</f>
        <v/>
      </c>
      <c r="D2172" s="8" t="n"/>
      <c r="E2172" s="6" t="n"/>
      <c r="F2172" s="8" t="n"/>
    </row>
    <row r="2173">
      <c r="A2173" s="7" t="n"/>
      <c r="B2173" s="8" t="n"/>
      <c r="C2173" s="9">
        <f>IF(B2173="","",IFERROR(VLOOKUP(B2173,'Daftar Outlet'!$A$4:$B$22,2,FALSE),""))</f>
        <v/>
      </c>
      <c r="D2173" s="8" t="n"/>
      <c r="E2173" s="6" t="n"/>
      <c r="F2173" s="8" t="n"/>
    </row>
    <row r="2174">
      <c r="A2174" s="7" t="n"/>
      <c r="B2174" s="8" t="n"/>
      <c r="C2174" s="9">
        <f>IF(B2174="","",IFERROR(VLOOKUP(B2174,'Daftar Outlet'!$A$4:$B$22,2,FALSE),""))</f>
        <v/>
      </c>
      <c r="D2174" s="8" t="n"/>
      <c r="E2174" s="6" t="n"/>
      <c r="F2174" s="8" t="n"/>
    </row>
    <row r="2175">
      <c r="A2175" s="7" t="n"/>
      <c r="B2175" s="8" t="n"/>
      <c r="C2175" s="9">
        <f>IF(B2175="","",IFERROR(VLOOKUP(B2175,'Daftar Outlet'!$A$4:$B$22,2,FALSE),""))</f>
        <v/>
      </c>
      <c r="D2175" s="8" t="n"/>
      <c r="E2175" s="6" t="n"/>
      <c r="F2175" s="8" t="n"/>
    </row>
    <row r="2176">
      <c r="A2176" s="7" t="n"/>
      <c r="B2176" s="8" t="n"/>
      <c r="C2176" s="9">
        <f>IF(B2176="","",IFERROR(VLOOKUP(B2176,'Daftar Outlet'!$A$4:$B$22,2,FALSE),""))</f>
        <v/>
      </c>
      <c r="D2176" s="8" t="n"/>
      <c r="E2176" s="6" t="n"/>
      <c r="F2176" s="8" t="n"/>
    </row>
    <row r="2177">
      <c r="A2177" s="7" t="n"/>
      <c r="B2177" s="8" t="n"/>
      <c r="C2177" s="9">
        <f>IF(B2177="","",IFERROR(VLOOKUP(B2177,'Daftar Outlet'!$A$4:$B$22,2,FALSE),""))</f>
        <v/>
      </c>
      <c r="D2177" s="8" t="n"/>
      <c r="E2177" s="6" t="n"/>
      <c r="F2177" s="8" t="n"/>
    </row>
    <row r="2178">
      <c r="A2178" s="7" t="n"/>
      <c r="B2178" s="8" t="n"/>
      <c r="C2178" s="9">
        <f>IF(B2178="","",IFERROR(VLOOKUP(B2178,'Daftar Outlet'!$A$4:$B$22,2,FALSE),""))</f>
        <v/>
      </c>
      <c r="D2178" s="8" t="n"/>
      <c r="E2178" s="6" t="n"/>
      <c r="F2178" s="8" t="n"/>
    </row>
    <row r="2179">
      <c r="A2179" s="7" t="n"/>
      <c r="B2179" s="8" t="n"/>
      <c r="C2179" s="9">
        <f>IF(B2179="","",IFERROR(VLOOKUP(B2179,'Daftar Outlet'!$A$4:$B$22,2,FALSE),""))</f>
        <v/>
      </c>
      <c r="D2179" s="8" t="n"/>
      <c r="E2179" s="6" t="n"/>
      <c r="F2179" s="8" t="n"/>
    </row>
    <row r="2180">
      <c r="A2180" s="7" t="n"/>
      <c r="B2180" s="8" t="n"/>
      <c r="C2180" s="9">
        <f>IF(B2180="","",IFERROR(VLOOKUP(B2180,'Daftar Outlet'!$A$4:$B$22,2,FALSE),""))</f>
        <v/>
      </c>
      <c r="D2180" s="8" t="n"/>
      <c r="E2180" s="6" t="n"/>
      <c r="F2180" s="8" t="n"/>
    </row>
    <row r="2181">
      <c r="A2181" s="7" t="n"/>
      <c r="B2181" s="8" t="n"/>
      <c r="C2181" s="9">
        <f>IF(B2181="","",IFERROR(VLOOKUP(B2181,'Daftar Outlet'!$A$4:$B$22,2,FALSE),""))</f>
        <v/>
      </c>
      <c r="D2181" s="8" t="n"/>
      <c r="E2181" s="6" t="n"/>
      <c r="F2181" s="8" t="n"/>
    </row>
    <row r="2182">
      <c r="A2182" s="7" t="n"/>
      <c r="B2182" s="8" t="n"/>
      <c r="C2182" s="9">
        <f>IF(B2182="","",IFERROR(VLOOKUP(B2182,'Daftar Outlet'!$A$4:$B$22,2,FALSE),""))</f>
        <v/>
      </c>
      <c r="D2182" s="8" t="n"/>
      <c r="E2182" s="6" t="n"/>
      <c r="F2182" s="8" t="n"/>
    </row>
    <row r="2183">
      <c r="A2183" s="7" t="n"/>
      <c r="B2183" s="8" t="n"/>
      <c r="C2183" s="9">
        <f>IF(B2183="","",IFERROR(VLOOKUP(B2183,'Daftar Outlet'!$A$4:$B$22,2,FALSE),""))</f>
        <v/>
      </c>
      <c r="D2183" s="8" t="n"/>
      <c r="E2183" s="6" t="n"/>
      <c r="F2183" s="8" t="n"/>
    </row>
    <row r="2184">
      <c r="A2184" s="7" t="n"/>
      <c r="B2184" s="8" t="n"/>
      <c r="C2184" s="9">
        <f>IF(B2184="","",IFERROR(VLOOKUP(B2184,'Daftar Outlet'!$A$4:$B$22,2,FALSE),""))</f>
        <v/>
      </c>
      <c r="D2184" s="8" t="n"/>
      <c r="E2184" s="6" t="n"/>
      <c r="F2184" s="8" t="n"/>
    </row>
    <row r="2185">
      <c r="A2185" s="7" t="n"/>
      <c r="B2185" s="8" t="n"/>
      <c r="C2185" s="9">
        <f>IF(B2185="","",IFERROR(VLOOKUP(B2185,'Daftar Outlet'!$A$4:$B$22,2,FALSE),""))</f>
        <v/>
      </c>
      <c r="D2185" s="8" t="n"/>
      <c r="E2185" s="6" t="n"/>
      <c r="F2185" s="8" t="n"/>
    </row>
    <row r="2186">
      <c r="A2186" s="7" t="n"/>
      <c r="B2186" s="8" t="n"/>
      <c r="C2186" s="9">
        <f>IF(B2186="","",IFERROR(VLOOKUP(B2186,'Daftar Outlet'!$A$4:$B$22,2,FALSE),""))</f>
        <v/>
      </c>
      <c r="D2186" s="8" t="n"/>
      <c r="E2186" s="6" t="n"/>
      <c r="F2186" s="8" t="n"/>
    </row>
    <row r="2187">
      <c r="A2187" s="7" t="n"/>
      <c r="B2187" s="8" t="n"/>
      <c r="C2187" s="9">
        <f>IF(B2187="","",IFERROR(VLOOKUP(B2187,'Daftar Outlet'!$A$4:$B$22,2,FALSE),""))</f>
        <v/>
      </c>
      <c r="D2187" s="8" t="n"/>
      <c r="E2187" s="6" t="n"/>
      <c r="F2187" s="8" t="n"/>
    </row>
    <row r="2188">
      <c r="A2188" s="7" t="n"/>
      <c r="B2188" s="8" t="n"/>
      <c r="C2188" s="9">
        <f>IF(B2188="","",IFERROR(VLOOKUP(B2188,'Daftar Outlet'!$A$4:$B$22,2,FALSE),""))</f>
        <v/>
      </c>
      <c r="D2188" s="8" t="n"/>
      <c r="E2188" s="6" t="n"/>
      <c r="F2188" s="8" t="n"/>
    </row>
    <row r="2189">
      <c r="A2189" s="7" t="n"/>
      <c r="B2189" s="8" t="n"/>
      <c r="C2189" s="9">
        <f>IF(B2189="","",IFERROR(VLOOKUP(B2189,'Daftar Outlet'!$A$4:$B$22,2,FALSE),""))</f>
        <v/>
      </c>
      <c r="D2189" s="8" t="n"/>
      <c r="E2189" s="6" t="n"/>
      <c r="F2189" s="8" t="n"/>
    </row>
    <row r="2190">
      <c r="A2190" s="7" t="n"/>
      <c r="B2190" s="8" t="n"/>
      <c r="C2190" s="9">
        <f>IF(B2190="","",IFERROR(VLOOKUP(B2190,'Daftar Outlet'!$A$4:$B$22,2,FALSE),""))</f>
        <v/>
      </c>
      <c r="D2190" s="8" t="n"/>
      <c r="E2190" s="6" t="n"/>
      <c r="F2190" s="8" t="n"/>
    </row>
    <row r="2191">
      <c r="A2191" s="7" t="n"/>
      <c r="B2191" s="8" t="n"/>
      <c r="C2191" s="9">
        <f>IF(B2191="","",IFERROR(VLOOKUP(B2191,'Daftar Outlet'!$A$4:$B$22,2,FALSE),""))</f>
        <v/>
      </c>
      <c r="D2191" s="8" t="n"/>
      <c r="E2191" s="6" t="n"/>
      <c r="F2191" s="8" t="n"/>
    </row>
    <row r="2192">
      <c r="A2192" s="7" t="n"/>
      <c r="B2192" s="8" t="n"/>
      <c r="C2192" s="9">
        <f>IF(B2192="","",IFERROR(VLOOKUP(B2192,'Daftar Outlet'!$A$4:$B$22,2,FALSE),""))</f>
        <v/>
      </c>
      <c r="D2192" s="8" t="n"/>
      <c r="E2192" s="6" t="n"/>
      <c r="F2192" s="8" t="n"/>
    </row>
    <row r="2193">
      <c r="A2193" s="7" t="n"/>
      <c r="B2193" s="8" t="n"/>
      <c r="C2193" s="9">
        <f>IF(B2193="","",IFERROR(VLOOKUP(B2193,'Daftar Outlet'!$A$4:$B$22,2,FALSE),""))</f>
        <v/>
      </c>
      <c r="D2193" s="8" t="n"/>
      <c r="E2193" s="6" t="n"/>
      <c r="F2193" s="8" t="n"/>
    </row>
    <row r="2194">
      <c r="A2194" s="7" t="n"/>
      <c r="B2194" s="8" t="n"/>
      <c r="C2194" s="9">
        <f>IF(B2194="","",IFERROR(VLOOKUP(B2194,'Daftar Outlet'!$A$4:$B$22,2,FALSE),""))</f>
        <v/>
      </c>
      <c r="D2194" s="8" t="n"/>
      <c r="E2194" s="6" t="n"/>
      <c r="F2194" s="8" t="n"/>
    </row>
    <row r="2195">
      <c r="A2195" s="7" t="n"/>
      <c r="B2195" s="8" t="n"/>
      <c r="C2195" s="9">
        <f>IF(B2195="","",IFERROR(VLOOKUP(B2195,'Daftar Outlet'!$A$4:$B$22,2,FALSE),""))</f>
        <v/>
      </c>
      <c r="D2195" s="8" t="n"/>
      <c r="E2195" s="6" t="n"/>
      <c r="F2195" s="8" t="n"/>
    </row>
    <row r="2196">
      <c r="A2196" s="7" t="n"/>
      <c r="B2196" s="8" t="n"/>
      <c r="C2196" s="9">
        <f>IF(B2196="","",IFERROR(VLOOKUP(B2196,'Daftar Outlet'!$A$4:$B$22,2,FALSE),""))</f>
        <v/>
      </c>
      <c r="D2196" s="8" t="n"/>
      <c r="E2196" s="6" t="n"/>
      <c r="F2196" s="8" t="n"/>
    </row>
    <row r="2197">
      <c r="A2197" s="7" t="n"/>
      <c r="B2197" s="8" t="n"/>
      <c r="C2197" s="9">
        <f>IF(B2197="","",IFERROR(VLOOKUP(B2197,'Daftar Outlet'!$A$4:$B$22,2,FALSE),""))</f>
        <v/>
      </c>
      <c r="D2197" s="8" t="n"/>
      <c r="E2197" s="6" t="n"/>
      <c r="F2197" s="8" t="n"/>
    </row>
    <row r="2198">
      <c r="A2198" s="7" t="n"/>
      <c r="B2198" s="8" t="n"/>
      <c r="C2198" s="9">
        <f>IF(B2198="","",IFERROR(VLOOKUP(B2198,'Daftar Outlet'!$A$4:$B$22,2,FALSE),""))</f>
        <v/>
      </c>
      <c r="D2198" s="8" t="n"/>
      <c r="E2198" s="6" t="n"/>
      <c r="F2198" s="8" t="n"/>
    </row>
    <row r="2199">
      <c r="A2199" s="7" t="n"/>
      <c r="B2199" s="8" t="n"/>
      <c r="C2199" s="9">
        <f>IF(B2199="","",IFERROR(VLOOKUP(B2199,'Daftar Outlet'!$A$4:$B$22,2,FALSE),""))</f>
        <v/>
      </c>
      <c r="D2199" s="8" t="n"/>
      <c r="E2199" s="6" t="n"/>
      <c r="F2199" s="8" t="n"/>
    </row>
    <row r="2200">
      <c r="A2200" s="7" t="n"/>
      <c r="B2200" s="8" t="n"/>
      <c r="C2200" s="9">
        <f>IF(B2200="","",IFERROR(VLOOKUP(B2200,'Daftar Outlet'!$A$4:$B$22,2,FALSE),""))</f>
        <v/>
      </c>
      <c r="D2200" s="8" t="n"/>
      <c r="E2200" s="6" t="n"/>
      <c r="F2200" s="8" t="n"/>
    </row>
    <row r="2201">
      <c r="A2201" s="7" t="n"/>
      <c r="B2201" s="8" t="n"/>
      <c r="C2201" s="9">
        <f>IF(B2201="","",IFERROR(VLOOKUP(B2201,'Daftar Outlet'!$A$4:$B$22,2,FALSE),""))</f>
        <v/>
      </c>
      <c r="D2201" s="8" t="n"/>
      <c r="E2201" s="6" t="n"/>
      <c r="F2201" s="8" t="n"/>
    </row>
    <row r="2202">
      <c r="A2202" s="7" t="n"/>
      <c r="B2202" s="8" t="n"/>
      <c r="C2202" s="9">
        <f>IF(B2202="","",IFERROR(VLOOKUP(B2202,'Daftar Outlet'!$A$4:$B$22,2,FALSE),""))</f>
        <v/>
      </c>
      <c r="D2202" s="8" t="n"/>
      <c r="E2202" s="6" t="n"/>
      <c r="F2202" s="8" t="n"/>
    </row>
    <row r="2203">
      <c r="A2203" s="7" t="n"/>
      <c r="B2203" s="8" t="n"/>
      <c r="C2203" s="9">
        <f>IF(B2203="","",IFERROR(VLOOKUP(B2203,'Daftar Outlet'!$A$4:$B$22,2,FALSE),""))</f>
        <v/>
      </c>
      <c r="D2203" s="8" t="n"/>
      <c r="E2203" s="6" t="n"/>
      <c r="F2203" s="8" t="n"/>
    </row>
    <row r="2204">
      <c r="A2204" s="7" t="n"/>
      <c r="B2204" s="8" t="n"/>
      <c r="C2204" s="9">
        <f>IF(B2204="","",IFERROR(VLOOKUP(B2204,'Daftar Outlet'!$A$4:$B$22,2,FALSE),""))</f>
        <v/>
      </c>
      <c r="D2204" s="8" t="n"/>
      <c r="E2204" s="6" t="n"/>
      <c r="F2204" s="8" t="n"/>
    </row>
    <row r="2205">
      <c r="A2205" s="7" t="n"/>
      <c r="B2205" s="8" t="n"/>
      <c r="C2205" s="9">
        <f>IF(B2205="","",IFERROR(VLOOKUP(B2205,'Daftar Outlet'!$A$4:$B$22,2,FALSE),""))</f>
        <v/>
      </c>
      <c r="D2205" s="8" t="n"/>
      <c r="E2205" s="6" t="n"/>
      <c r="F2205" s="8" t="n"/>
    </row>
    <row r="2206">
      <c r="A2206" s="7" t="n"/>
      <c r="B2206" s="8" t="n"/>
      <c r="C2206" s="9">
        <f>IF(B2206="","",IFERROR(VLOOKUP(B2206,'Daftar Outlet'!$A$4:$B$22,2,FALSE),""))</f>
        <v/>
      </c>
      <c r="D2206" s="8" t="n"/>
      <c r="E2206" s="6" t="n"/>
      <c r="F2206" s="8" t="n"/>
    </row>
    <row r="2207">
      <c r="A2207" s="7" t="n"/>
      <c r="B2207" s="8" t="n"/>
      <c r="C2207" s="9">
        <f>IF(B2207="","",IFERROR(VLOOKUP(B2207,'Daftar Outlet'!$A$4:$B$22,2,FALSE),""))</f>
        <v/>
      </c>
      <c r="D2207" s="8" t="n"/>
      <c r="E2207" s="6" t="n"/>
      <c r="F2207" s="8" t="n"/>
    </row>
    <row r="2208">
      <c r="A2208" s="7" t="n"/>
      <c r="B2208" s="8" t="n"/>
      <c r="C2208" s="9">
        <f>IF(B2208="","",IFERROR(VLOOKUP(B2208,'Daftar Outlet'!$A$4:$B$22,2,FALSE),""))</f>
        <v/>
      </c>
      <c r="D2208" s="8" t="n"/>
      <c r="E2208" s="6" t="n"/>
      <c r="F2208" s="8" t="n"/>
    </row>
    <row r="2209">
      <c r="A2209" s="7" t="n"/>
      <c r="B2209" s="8" t="n"/>
      <c r="C2209" s="9">
        <f>IF(B2209="","",IFERROR(VLOOKUP(B2209,'Daftar Outlet'!$A$4:$B$22,2,FALSE),""))</f>
        <v/>
      </c>
      <c r="D2209" s="8" t="n"/>
      <c r="E2209" s="6" t="n"/>
      <c r="F2209" s="8" t="n"/>
    </row>
    <row r="2210">
      <c r="A2210" s="7" t="n"/>
      <c r="B2210" s="8" t="n"/>
      <c r="C2210" s="9">
        <f>IF(B2210="","",IFERROR(VLOOKUP(B2210,'Daftar Outlet'!$A$4:$B$22,2,FALSE),""))</f>
        <v/>
      </c>
      <c r="D2210" s="8" t="n"/>
      <c r="E2210" s="6" t="n"/>
      <c r="F2210" s="8" t="n"/>
    </row>
    <row r="2211">
      <c r="A2211" s="7" t="n"/>
      <c r="B2211" s="8" t="n"/>
      <c r="C2211" s="9">
        <f>IF(B2211="","",IFERROR(VLOOKUP(B2211,'Daftar Outlet'!$A$4:$B$22,2,FALSE),""))</f>
        <v/>
      </c>
      <c r="D2211" s="8" t="n"/>
      <c r="E2211" s="6" t="n"/>
      <c r="F2211" s="8" t="n"/>
    </row>
    <row r="2212">
      <c r="A2212" s="7" t="n"/>
      <c r="B2212" s="8" t="n"/>
      <c r="C2212" s="9">
        <f>IF(B2212="","",IFERROR(VLOOKUP(B2212,'Daftar Outlet'!$A$4:$B$22,2,FALSE),""))</f>
        <v/>
      </c>
      <c r="D2212" s="8" t="n"/>
      <c r="E2212" s="6" t="n"/>
      <c r="F2212" s="8" t="n"/>
    </row>
    <row r="2213">
      <c r="A2213" s="7" t="n"/>
      <c r="B2213" s="8" t="n"/>
      <c r="C2213" s="9">
        <f>IF(B2213="","",IFERROR(VLOOKUP(B2213,'Daftar Outlet'!$A$4:$B$22,2,FALSE),""))</f>
        <v/>
      </c>
      <c r="D2213" s="8" t="n"/>
      <c r="E2213" s="6" t="n"/>
      <c r="F2213" s="8" t="n"/>
    </row>
    <row r="2214">
      <c r="A2214" s="7" t="n"/>
      <c r="B2214" s="8" t="n"/>
      <c r="C2214" s="9">
        <f>IF(B2214="","",IFERROR(VLOOKUP(B2214,'Daftar Outlet'!$A$4:$B$22,2,FALSE),""))</f>
        <v/>
      </c>
      <c r="D2214" s="8" t="n"/>
      <c r="E2214" s="6" t="n"/>
      <c r="F2214" s="8" t="n"/>
    </row>
    <row r="2215">
      <c r="A2215" s="7" t="n"/>
      <c r="B2215" s="8" t="n"/>
      <c r="C2215" s="9">
        <f>IF(B2215="","",IFERROR(VLOOKUP(B2215,'Daftar Outlet'!$A$4:$B$22,2,FALSE),""))</f>
        <v/>
      </c>
      <c r="D2215" s="8" t="n"/>
      <c r="E2215" s="6" t="n"/>
      <c r="F2215" s="8" t="n"/>
    </row>
    <row r="2216">
      <c r="A2216" s="7" t="n"/>
      <c r="B2216" s="8" t="n"/>
      <c r="C2216" s="9">
        <f>IF(B2216="","",IFERROR(VLOOKUP(B2216,'Daftar Outlet'!$A$4:$B$22,2,FALSE),""))</f>
        <v/>
      </c>
      <c r="D2216" s="8" t="n"/>
      <c r="E2216" s="6" t="n"/>
      <c r="F2216" s="8" t="n"/>
    </row>
    <row r="2217">
      <c r="A2217" s="7" t="n"/>
      <c r="B2217" s="8" t="n"/>
      <c r="C2217" s="9">
        <f>IF(B2217="","",IFERROR(VLOOKUP(B2217,'Daftar Outlet'!$A$4:$B$22,2,FALSE),""))</f>
        <v/>
      </c>
      <c r="D2217" s="8" t="n"/>
      <c r="E2217" s="6" t="n"/>
      <c r="F2217" s="8" t="n"/>
    </row>
    <row r="2218">
      <c r="A2218" s="7" t="n"/>
      <c r="B2218" s="8" t="n"/>
      <c r="C2218" s="9">
        <f>IF(B2218="","",IFERROR(VLOOKUP(B2218,'Daftar Outlet'!$A$4:$B$22,2,FALSE),""))</f>
        <v/>
      </c>
      <c r="D2218" s="8" t="n"/>
      <c r="E2218" s="6" t="n"/>
      <c r="F2218" s="8" t="n"/>
    </row>
    <row r="2219">
      <c r="A2219" s="7" t="n"/>
      <c r="B2219" s="8" t="n"/>
      <c r="C2219" s="9">
        <f>IF(B2219="","",IFERROR(VLOOKUP(B2219,'Daftar Outlet'!$A$4:$B$22,2,FALSE),""))</f>
        <v/>
      </c>
      <c r="D2219" s="8" t="n"/>
      <c r="E2219" s="6" t="n"/>
      <c r="F2219" s="8" t="n"/>
    </row>
    <row r="2220">
      <c r="A2220" s="7" t="n"/>
      <c r="B2220" s="8" t="n"/>
      <c r="C2220" s="9">
        <f>IF(B2220="","",IFERROR(VLOOKUP(B2220,'Daftar Outlet'!$A$4:$B$22,2,FALSE),""))</f>
        <v/>
      </c>
      <c r="D2220" s="8" t="n"/>
      <c r="E2220" s="6" t="n"/>
      <c r="F2220" s="8" t="n"/>
    </row>
    <row r="2221">
      <c r="A2221" s="7" t="n"/>
      <c r="B2221" s="8" t="n"/>
      <c r="C2221" s="9">
        <f>IF(B2221="","",IFERROR(VLOOKUP(B2221,'Daftar Outlet'!$A$4:$B$22,2,FALSE),""))</f>
        <v/>
      </c>
      <c r="D2221" s="8" t="n"/>
      <c r="E2221" s="6" t="n"/>
      <c r="F2221" s="8" t="n"/>
    </row>
    <row r="2222">
      <c r="A2222" s="7" t="n"/>
      <c r="B2222" s="8" t="n"/>
      <c r="C2222" s="9">
        <f>IF(B2222="","",IFERROR(VLOOKUP(B2222,'Daftar Outlet'!$A$4:$B$22,2,FALSE),""))</f>
        <v/>
      </c>
      <c r="D2222" s="8" t="n"/>
      <c r="E2222" s="6" t="n"/>
      <c r="F2222" s="8" t="n"/>
    </row>
    <row r="2223">
      <c r="A2223" s="7" t="n"/>
      <c r="B2223" s="8" t="n"/>
      <c r="C2223" s="9">
        <f>IF(B2223="","",IFERROR(VLOOKUP(B2223,'Daftar Outlet'!$A$4:$B$22,2,FALSE),""))</f>
        <v/>
      </c>
      <c r="D2223" s="8" t="n"/>
      <c r="E2223" s="6" t="n"/>
      <c r="F2223" s="8" t="n"/>
    </row>
    <row r="2224">
      <c r="A2224" s="7" t="n"/>
      <c r="B2224" s="8" t="n"/>
      <c r="C2224" s="9">
        <f>IF(B2224="","",IFERROR(VLOOKUP(B2224,'Daftar Outlet'!$A$4:$B$22,2,FALSE),""))</f>
        <v/>
      </c>
      <c r="D2224" s="8" t="n"/>
      <c r="E2224" s="6" t="n"/>
      <c r="F2224" s="8" t="n"/>
    </row>
    <row r="2225">
      <c r="A2225" s="7" t="n"/>
      <c r="B2225" s="8" t="n"/>
      <c r="C2225" s="9">
        <f>IF(B2225="","",IFERROR(VLOOKUP(B2225,'Daftar Outlet'!$A$4:$B$22,2,FALSE),""))</f>
        <v/>
      </c>
      <c r="D2225" s="8" t="n"/>
      <c r="E2225" s="6" t="n"/>
      <c r="F2225" s="8" t="n"/>
    </row>
    <row r="2226">
      <c r="A2226" s="7" t="n"/>
      <c r="B2226" s="8" t="n"/>
      <c r="C2226" s="9">
        <f>IF(B2226="","",IFERROR(VLOOKUP(B2226,'Daftar Outlet'!$A$4:$B$22,2,FALSE),""))</f>
        <v/>
      </c>
      <c r="D2226" s="8" t="n"/>
      <c r="E2226" s="6" t="n"/>
      <c r="F2226" s="8" t="n"/>
    </row>
    <row r="2227">
      <c r="A2227" s="7" t="n"/>
      <c r="B2227" s="8" t="n"/>
      <c r="C2227" s="9">
        <f>IF(B2227="","",IFERROR(VLOOKUP(B2227,'Daftar Outlet'!$A$4:$B$22,2,FALSE),""))</f>
        <v/>
      </c>
      <c r="D2227" s="8" t="n"/>
      <c r="E2227" s="6" t="n"/>
      <c r="F2227" s="8" t="n"/>
    </row>
    <row r="2228">
      <c r="A2228" s="7" t="n"/>
      <c r="B2228" s="8" t="n"/>
      <c r="C2228" s="9">
        <f>IF(B2228="","",IFERROR(VLOOKUP(B2228,'Daftar Outlet'!$A$4:$B$22,2,FALSE),""))</f>
        <v/>
      </c>
      <c r="D2228" s="8" t="n"/>
      <c r="E2228" s="6" t="n"/>
      <c r="F2228" s="8" t="n"/>
    </row>
    <row r="2229">
      <c r="A2229" s="7" t="n"/>
      <c r="B2229" s="8" t="n"/>
      <c r="C2229" s="9">
        <f>IF(B2229="","",IFERROR(VLOOKUP(B2229,'Daftar Outlet'!$A$4:$B$22,2,FALSE),""))</f>
        <v/>
      </c>
      <c r="D2229" s="8" t="n"/>
      <c r="E2229" s="6" t="n"/>
      <c r="F2229" s="8" t="n"/>
    </row>
    <row r="2230">
      <c r="A2230" s="7" t="n"/>
      <c r="B2230" s="8" t="n"/>
      <c r="C2230" s="9">
        <f>IF(B2230="","",IFERROR(VLOOKUP(B2230,'Daftar Outlet'!$A$4:$B$22,2,FALSE),""))</f>
        <v/>
      </c>
      <c r="D2230" s="8" t="n"/>
      <c r="E2230" s="6" t="n"/>
      <c r="F2230" s="8" t="n"/>
    </row>
    <row r="2231">
      <c r="A2231" s="7" t="n"/>
      <c r="B2231" s="8" t="n"/>
      <c r="C2231" s="9">
        <f>IF(B2231="","",IFERROR(VLOOKUP(B2231,'Daftar Outlet'!$A$4:$B$22,2,FALSE),""))</f>
        <v/>
      </c>
      <c r="D2231" s="8" t="n"/>
      <c r="E2231" s="6" t="n"/>
      <c r="F2231" s="8" t="n"/>
    </row>
    <row r="2232">
      <c r="A2232" s="7" t="n"/>
      <c r="B2232" s="8" t="n"/>
      <c r="C2232" s="9">
        <f>IF(B2232="","",IFERROR(VLOOKUP(B2232,'Daftar Outlet'!$A$4:$B$22,2,FALSE),""))</f>
        <v/>
      </c>
      <c r="D2232" s="8" t="n"/>
      <c r="E2232" s="6" t="n"/>
      <c r="F2232" s="8" t="n"/>
    </row>
    <row r="2233">
      <c r="A2233" s="7" t="n"/>
      <c r="B2233" s="8" t="n"/>
      <c r="C2233" s="9">
        <f>IF(B2233="","",IFERROR(VLOOKUP(B2233,'Daftar Outlet'!$A$4:$B$22,2,FALSE),""))</f>
        <v/>
      </c>
      <c r="D2233" s="8" t="n"/>
      <c r="E2233" s="6" t="n"/>
      <c r="F2233" s="8" t="n"/>
    </row>
    <row r="2234">
      <c r="A2234" s="7" t="n"/>
      <c r="B2234" s="8" t="n"/>
      <c r="C2234" s="9">
        <f>IF(B2234="","",IFERROR(VLOOKUP(B2234,'Daftar Outlet'!$A$4:$B$22,2,FALSE),""))</f>
        <v/>
      </c>
      <c r="D2234" s="8" t="n"/>
      <c r="E2234" s="6" t="n"/>
      <c r="F2234" s="8" t="n"/>
    </row>
    <row r="2235">
      <c r="A2235" s="7" t="n"/>
      <c r="B2235" s="8" t="n"/>
      <c r="C2235" s="9">
        <f>IF(B2235="","",IFERROR(VLOOKUP(B2235,'Daftar Outlet'!$A$4:$B$22,2,FALSE),""))</f>
        <v/>
      </c>
      <c r="D2235" s="8" t="n"/>
      <c r="E2235" s="6" t="n"/>
      <c r="F2235" s="8" t="n"/>
    </row>
    <row r="2236">
      <c r="A2236" s="7" t="n"/>
      <c r="B2236" s="8" t="n"/>
      <c r="C2236" s="9">
        <f>IF(B2236="","",IFERROR(VLOOKUP(B2236,'Daftar Outlet'!$A$4:$B$22,2,FALSE),""))</f>
        <v/>
      </c>
      <c r="D2236" s="8" t="n"/>
      <c r="E2236" s="6" t="n"/>
      <c r="F2236" s="8" t="n"/>
    </row>
    <row r="2237">
      <c r="A2237" s="7" t="n"/>
      <c r="B2237" s="8" t="n"/>
      <c r="C2237" s="9">
        <f>IF(B2237="","",IFERROR(VLOOKUP(B2237,'Daftar Outlet'!$A$4:$B$22,2,FALSE),""))</f>
        <v/>
      </c>
      <c r="D2237" s="8" t="n"/>
      <c r="E2237" s="6" t="n"/>
      <c r="F2237" s="8" t="n"/>
    </row>
    <row r="2238">
      <c r="A2238" s="7" t="n"/>
      <c r="B2238" s="8" t="n"/>
      <c r="C2238" s="9">
        <f>IF(B2238="","",IFERROR(VLOOKUP(B2238,'Daftar Outlet'!$A$4:$B$22,2,FALSE),""))</f>
        <v/>
      </c>
      <c r="D2238" s="8" t="n"/>
      <c r="E2238" s="6" t="n"/>
      <c r="F2238" s="8" t="n"/>
    </row>
    <row r="2239">
      <c r="A2239" s="7" t="n"/>
      <c r="B2239" s="8" t="n"/>
      <c r="C2239" s="9">
        <f>IF(B2239="","",IFERROR(VLOOKUP(B2239,'Daftar Outlet'!$A$4:$B$22,2,FALSE),""))</f>
        <v/>
      </c>
      <c r="D2239" s="8" t="n"/>
      <c r="E2239" s="6" t="n"/>
      <c r="F2239" s="8" t="n"/>
    </row>
    <row r="2240">
      <c r="A2240" s="7" t="n"/>
      <c r="B2240" s="8" t="n"/>
      <c r="C2240" s="9">
        <f>IF(B2240="","",IFERROR(VLOOKUP(B2240,'Daftar Outlet'!$A$4:$B$22,2,FALSE),""))</f>
        <v/>
      </c>
      <c r="D2240" s="8" t="n"/>
      <c r="E2240" s="6" t="n"/>
      <c r="F2240" s="8" t="n"/>
    </row>
    <row r="2241">
      <c r="A2241" s="7" t="n"/>
      <c r="B2241" s="8" t="n"/>
      <c r="C2241" s="9">
        <f>IF(B2241="","",IFERROR(VLOOKUP(B2241,'Daftar Outlet'!$A$4:$B$22,2,FALSE),""))</f>
        <v/>
      </c>
      <c r="D2241" s="8" t="n"/>
      <c r="E2241" s="6" t="n"/>
      <c r="F2241" s="8" t="n"/>
    </row>
    <row r="2242">
      <c r="A2242" s="7" t="n"/>
      <c r="B2242" s="8" t="n"/>
      <c r="C2242" s="9">
        <f>IF(B2242="","",IFERROR(VLOOKUP(B2242,'Daftar Outlet'!$A$4:$B$22,2,FALSE),""))</f>
        <v/>
      </c>
      <c r="D2242" s="8" t="n"/>
      <c r="E2242" s="6" t="n"/>
      <c r="F2242" s="8" t="n"/>
    </row>
    <row r="2243">
      <c r="A2243" s="7" t="n"/>
      <c r="B2243" s="8" t="n"/>
      <c r="C2243" s="9">
        <f>IF(B2243="","",IFERROR(VLOOKUP(B2243,'Daftar Outlet'!$A$4:$B$22,2,FALSE),""))</f>
        <v/>
      </c>
      <c r="D2243" s="8" t="n"/>
      <c r="E2243" s="6" t="n"/>
      <c r="F2243" s="8" t="n"/>
    </row>
    <row r="2244">
      <c r="A2244" s="7" t="n"/>
      <c r="B2244" s="8" t="n"/>
      <c r="C2244" s="9">
        <f>IF(B2244="","",IFERROR(VLOOKUP(B2244,'Daftar Outlet'!$A$4:$B$22,2,FALSE),""))</f>
        <v/>
      </c>
      <c r="D2244" s="8" t="n"/>
      <c r="E2244" s="6" t="n"/>
      <c r="F2244" s="8" t="n"/>
    </row>
    <row r="2245">
      <c r="A2245" s="7" t="n"/>
      <c r="B2245" s="8" t="n"/>
      <c r="C2245" s="9">
        <f>IF(B2245="","",IFERROR(VLOOKUP(B2245,'Daftar Outlet'!$A$4:$B$22,2,FALSE),""))</f>
        <v/>
      </c>
      <c r="D2245" s="8" t="n"/>
      <c r="E2245" s="6" t="n"/>
      <c r="F2245" s="8" t="n"/>
    </row>
    <row r="2246">
      <c r="A2246" s="7" t="n"/>
      <c r="B2246" s="8" t="n"/>
      <c r="C2246" s="9">
        <f>IF(B2246="","",IFERROR(VLOOKUP(B2246,'Daftar Outlet'!$A$4:$B$22,2,FALSE),""))</f>
        <v/>
      </c>
      <c r="D2246" s="8" t="n"/>
      <c r="E2246" s="6" t="n"/>
      <c r="F2246" s="8" t="n"/>
    </row>
    <row r="2247">
      <c r="A2247" s="7" t="n"/>
      <c r="B2247" s="8" t="n"/>
      <c r="C2247" s="9">
        <f>IF(B2247="","",IFERROR(VLOOKUP(B2247,'Daftar Outlet'!$A$4:$B$22,2,FALSE),""))</f>
        <v/>
      </c>
      <c r="D2247" s="8" t="n"/>
      <c r="E2247" s="6" t="n"/>
      <c r="F2247" s="8" t="n"/>
    </row>
    <row r="2248">
      <c r="A2248" s="7" t="n"/>
      <c r="B2248" s="8" t="n"/>
      <c r="C2248" s="9">
        <f>IF(B2248="","",IFERROR(VLOOKUP(B2248,'Daftar Outlet'!$A$4:$B$22,2,FALSE),""))</f>
        <v/>
      </c>
      <c r="D2248" s="8" t="n"/>
      <c r="E2248" s="6" t="n"/>
      <c r="F2248" s="8" t="n"/>
    </row>
    <row r="2249">
      <c r="A2249" s="7" t="n"/>
      <c r="B2249" s="8" t="n"/>
      <c r="C2249" s="9">
        <f>IF(B2249="","",IFERROR(VLOOKUP(B2249,'Daftar Outlet'!$A$4:$B$22,2,FALSE),""))</f>
        <v/>
      </c>
      <c r="D2249" s="8" t="n"/>
      <c r="E2249" s="6" t="n"/>
      <c r="F2249" s="8" t="n"/>
    </row>
    <row r="2250">
      <c r="A2250" s="7" t="n"/>
      <c r="B2250" s="8" t="n"/>
      <c r="C2250" s="9">
        <f>IF(B2250="","",IFERROR(VLOOKUP(B2250,'Daftar Outlet'!$A$4:$B$22,2,FALSE),""))</f>
        <v/>
      </c>
      <c r="D2250" s="8" t="n"/>
      <c r="E2250" s="6" t="n"/>
      <c r="F2250" s="8" t="n"/>
    </row>
    <row r="2251">
      <c r="A2251" s="7" t="n"/>
      <c r="B2251" s="8" t="n"/>
      <c r="C2251" s="9">
        <f>IF(B2251="","",IFERROR(VLOOKUP(B2251,'Daftar Outlet'!$A$4:$B$22,2,FALSE),""))</f>
        <v/>
      </c>
      <c r="D2251" s="8" t="n"/>
      <c r="E2251" s="6" t="n"/>
      <c r="F2251" s="8" t="n"/>
    </row>
    <row r="2252">
      <c r="A2252" s="7" t="n"/>
      <c r="B2252" s="8" t="n"/>
      <c r="C2252" s="9">
        <f>IF(B2252="","",IFERROR(VLOOKUP(B2252,'Daftar Outlet'!$A$4:$B$22,2,FALSE),""))</f>
        <v/>
      </c>
      <c r="D2252" s="8" t="n"/>
      <c r="E2252" s="6" t="n"/>
      <c r="F2252" s="8" t="n"/>
    </row>
    <row r="2253">
      <c r="A2253" s="7" t="n"/>
      <c r="B2253" s="8" t="n"/>
      <c r="C2253" s="9">
        <f>IF(B2253="","",IFERROR(VLOOKUP(B2253,'Daftar Outlet'!$A$4:$B$22,2,FALSE),""))</f>
        <v/>
      </c>
      <c r="D2253" s="8" t="n"/>
      <c r="E2253" s="6" t="n"/>
      <c r="F2253" s="8" t="n"/>
    </row>
    <row r="2254">
      <c r="A2254" s="7" t="n"/>
      <c r="B2254" s="8" t="n"/>
      <c r="C2254" s="9">
        <f>IF(B2254="","",IFERROR(VLOOKUP(B2254,'Daftar Outlet'!$A$4:$B$22,2,FALSE),""))</f>
        <v/>
      </c>
      <c r="D2254" s="8" t="n"/>
      <c r="E2254" s="6" t="n"/>
      <c r="F2254" s="8" t="n"/>
    </row>
    <row r="2255">
      <c r="A2255" s="7" t="n"/>
      <c r="B2255" s="8" t="n"/>
      <c r="C2255" s="9">
        <f>IF(B2255="","",IFERROR(VLOOKUP(B2255,'Daftar Outlet'!$A$4:$B$22,2,FALSE),""))</f>
        <v/>
      </c>
      <c r="D2255" s="8" t="n"/>
      <c r="E2255" s="6" t="n"/>
      <c r="F2255" s="8" t="n"/>
    </row>
    <row r="2256">
      <c r="A2256" s="7" t="n"/>
      <c r="B2256" s="8" t="n"/>
      <c r="C2256" s="9">
        <f>IF(B2256="","",IFERROR(VLOOKUP(B2256,'Daftar Outlet'!$A$4:$B$22,2,FALSE),""))</f>
        <v/>
      </c>
      <c r="D2256" s="8" t="n"/>
      <c r="E2256" s="6" t="n"/>
      <c r="F2256" s="8" t="n"/>
    </row>
    <row r="2257">
      <c r="A2257" s="7" t="n"/>
      <c r="B2257" s="8" t="n"/>
      <c r="C2257" s="9">
        <f>IF(B2257="","",IFERROR(VLOOKUP(B2257,'Daftar Outlet'!$A$4:$B$22,2,FALSE),""))</f>
        <v/>
      </c>
      <c r="D2257" s="8" t="n"/>
      <c r="E2257" s="6" t="n"/>
      <c r="F2257" s="8" t="n"/>
    </row>
    <row r="2258">
      <c r="A2258" s="7" t="n"/>
      <c r="B2258" s="8" t="n"/>
      <c r="C2258" s="9">
        <f>IF(B2258="","",IFERROR(VLOOKUP(B2258,'Daftar Outlet'!$A$4:$B$22,2,FALSE),""))</f>
        <v/>
      </c>
      <c r="D2258" s="8" t="n"/>
      <c r="E2258" s="6" t="n"/>
      <c r="F2258" s="8" t="n"/>
    </row>
    <row r="2259">
      <c r="A2259" s="7" t="n"/>
      <c r="B2259" s="8" t="n"/>
      <c r="C2259" s="9">
        <f>IF(B2259="","",IFERROR(VLOOKUP(B2259,'Daftar Outlet'!$A$4:$B$22,2,FALSE),""))</f>
        <v/>
      </c>
      <c r="D2259" s="8" t="n"/>
      <c r="E2259" s="6" t="n"/>
      <c r="F2259" s="8" t="n"/>
    </row>
    <row r="2260">
      <c r="A2260" s="7" t="n"/>
      <c r="B2260" s="8" t="n"/>
      <c r="C2260" s="9">
        <f>IF(B2260="","",IFERROR(VLOOKUP(B2260,'Daftar Outlet'!$A$4:$B$22,2,FALSE),""))</f>
        <v/>
      </c>
      <c r="D2260" s="8" t="n"/>
      <c r="E2260" s="6" t="n"/>
      <c r="F2260" s="8" t="n"/>
    </row>
    <row r="2261">
      <c r="A2261" s="7" t="n"/>
      <c r="B2261" s="8" t="n"/>
      <c r="C2261" s="9">
        <f>IF(B2261="","",IFERROR(VLOOKUP(B2261,'Daftar Outlet'!$A$4:$B$22,2,FALSE),""))</f>
        <v/>
      </c>
      <c r="D2261" s="8" t="n"/>
      <c r="E2261" s="6" t="n"/>
      <c r="F2261" s="8" t="n"/>
    </row>
    <row r="2262">
      <c r="A2262" s="7" t="n"/>
      <c r="B2262" s="8" t="n"/>
      <c r="C2262" s="9">
        <f>IF(B2262="","",IFERROR(VLOOKUP(B2262,'Daftar Outlet'!$A$4:$B$22,2,FALSE),""))</f>
        <v/>
      </c>
      <c r="D2262" s="8" t="n"/>
      <c r="E2262" s="6" t="n"/>
      <c r="F2262" s="8" t="n"/>
    </row>
    <row r="2263">
      <c r="A2263" s="7" t="n"/>
      <c r="B2263" s="8" t="n"/>
      <c r="C2263" s="9">
        <f>IF(B2263="","",IFERROR(VLOOKUP(B2263,'Daftar Outlet'!$A$4:$B$22,2,FALSE),""))</f>
        <v/>
      </c>
      <c r="D2263" s="8" t="n"/>
      <c r="E2263" s="6" t="n"/>
      <c r="F2263" s="8" t="n"/>
    </row>
    <row r="2264">
      <c r="A2264" s="7" t="n"/>
      <c r="B2264" s="8" t="n"/>
      <c r="C2264" s="9">
        <f>IF(B2264="","",IFERROR(VLOOKUP(B2264,'Daftar Outlet'!$A$4:$B$22,2,FALSE),""))</f>
        <v/>
      </c>
      <c r="D2264" s="8" t="n"/>
      <c r="E2264" s="6" t="n"/>
      <c r="F2264" s="8" t="n"/>
    </row>
    <row r="2265">
      <c r="A2265" s="7" t="n"/>
      <c r="B2265" s="8" t="n"/>
      <c r="C2265" s="9">
        <f>IF(B2265="","",IFERROR(VLOOKUP(B2265,'Daftar Outlet'!$A$4:$B$22,2,FALSE),""))</f>
        <v/>
      </c>
      <c r="D2265" s="8" t="n"/>
      <c r="E2265" s="6" t="n"/>
      <c r="F2265" s="8" t="n"/>
    </row>
    <row r="2266">
      <c r="A2266" s="7" t="n"/>
      <c r="B2266" s="8" t="n"/>
      <c r="C2266" s="9">
        <f>IF(B2266="","",IFERROR(VLOOKUP(B2266,'Daftar Outlet'!$A$4:$B$22,2,FALSE),""))</f>
        <v/>
      </c>
      <c r="D2266" s="8" t="n"/>
      <c r="E2266" s="6" t="n"/>
      <c r="F2266" s="8" t="n"/>
    </row>
    <row r="2267">
      <c r="A2267" s="7" t="n"/>
      <c r="B2267" s="8" t="n"/>
      <c r="C2267" s="9">
        <f>IF(B2267="","",IFERROR(VLOOKUP(B2267,'Daftar Outlet'!$A$4:$B$22,2,FALSE),""))</f>
        <v/>
      </c>
      <c r="D2267" s="8" t="n"/>
      <c r="E2267" s="6" t="n"/>
      <c r="F2267" s="8" t="n"/>
    </row>
    <row r="2268">
      <c r="A2268" s="7" t="n"/>
      <c r="B2268" s="8" t="n"/>
      <c r="C2268" s="9">
        <f>IF(B2268="","",IFERROR(VLOOKUP(B2268,'Daftar Outlet'!$A$4:$B$22,2,FALSE),""))</f>
        <v/>
      </c>
      <c r="D2268" s="8" t="n"/>
      <c r="E2268" s="6" t="n"/>
      <c r="F2268" s="8" t="n"/>
    </row>
    <row r="2269">
      <c r="A2269" s="7" t="n"/>
      <c r="B2269" s="8" t="n"/>
      <c r="C2269" s="9">
        <f>IF(B2269="","",IFERROR(VLOOKUP(B2269,'Daftar Outlet'!$A$4:$B$22,2,FALSE),""))</f>
        <v/>
      </c>
      <c r="D2269" s="8" t="n"/>
      <c r="E2269" s="6" t="n"/>
      <c r="F2269" s="8" t="n"/>
    </row>
    <row r="2270">
      <c r="A2270" s="7" t="n"/>
      <c r="B2270" s="8" t="n"/>
      <c r="C2270" s="9">
        <f>IF(B2270="","",IFERROR(VLOOKUP(B2270,'Daftar Outlet'!$A$4:$B$22,2,FALSE),""))</f>
        <v/>
      </c>
      <c r="D2270" s="8" t="n"/>
      <c r="E2270" s="6" t="n"/>
      <c r="F2270" s="8" t="n"/>
    </row>
    <row r="2271">
      <c r="A2271" s="7" t="n"/>
      <c r="B2271" s="8" t="n"/>
      <c r="C2271" s="9">
        <f>IF(B2271="","",IFERROR(VLOOKUP(B2271,'Daftar Outlet'!$A$4:$B$22,2,FALSE),""))</f>
        <v/>
      </c>
      <c r="D2271" s="8" t="n"/>
      <c r="E2271" s="6" t="n"/>
      <c r="F2271" s="8" t="n"/>
    </row>
    <row r="2272">
      <c r="A2272" s="7" t="n"/>
      <c r="B2272" s="8" t="n"/>
      <c r="C2272" s="9">
        <f>IF(B2272="","",IFERROR(VLOOKUP(B2272,'Daftar Outlet'!$A$4:$B$22,2,FALSE),""))</f>
        <v/>
      </c>
      <c r="D2272" s="8" t="n"/>
      <c r="E2272" s="6" t="n"/>
      <c r="F2272" s="8" t="n"/>
    </row>
    <row r="2273">
      <c r="A2273" s="7" t="n"/>
      <c r="B2273" s="8" t="n"/>
      <c r="C2273" s="9">
        <f>IF(B2273="","",IFERROR(VLOOKUP(B2273,'Daftar Outlet'!$A$4:$B$22,2,FALSE),""))</f>
        <v/>
      </c>
      <c r="D2273" s="8" t="n"/>
      <c r="E2273" s="6" t="n"/>
      <c r="F2273" s="8" t="n"/>
    </row>
    <row r="2274">
      <c r="A2274" s="7" t="n"/>
      <c r="B2274" s="8" t="n"/>
      <c r="C2274" s="9">
        <f>IF(B2274="","",IFERROR(VLOOKUP(B2274,'Daftar Outlet'!$A$4:$B$22,2,FALSE),""))</f>
        <v/>
      </c>
      <c r="D2274" s="8" t="n"/>
      <c r="E2274" s="6" t="n"/>
      <c r="F2274" s="8" t="n"/>
    </row>
    <row r="2275">
      <c r="A2275" s="7" t="n"/>
      <c r="B2275" s="8" t="n"/>
      <c r="C2275" s="9">
        <f>IF(B2275="","",IFERROR(VLOOKUP(B2275,'Daftar Outlet'!$A$4:$B$22,2,FALSE),""))</f>
        <v/>
      </c>
      <c r="D2275" s="8" t="n"/>
      <c r="E2275" s="6" t="n"/>
      <c r="F2275" s="8" t="n"/>
    </row>
    <row r="2276">
      <c r="A2276" s="7" t="n"/>
      <c r="B2276" s="8" t="n"/>
      <c r="C2276" s="9">
        <f>IF(B2276="","",IFERROR(VLOOKUP(B2276,'Daftar Outlet'!$A$4:$B$22,2,FALSE),""))</f>
        <v/>
      </c>
      <c r="D2276" s="8" t="n"/>
      <c r="E2276" s="6" t="n"/>
      <c r="F2276" s="8" t="n"/>
    </row>
    <row r="2277">
      <c r="A2277" s="7" t="n"/>
      <c r="B2277" s="8" t="n"/>
      <c r="C2277" s="9">
        <f>IF(B2277="","",IFERROR(VLOOKUP(B2277,'Daftar Outlet'!$A$4:$B$22,2,FALSE),""))</f>
        <v/>
      </c>
      <c r="D2277" s="8" t="n"/>
      <c r="E2277" s="6" t="n"/>
      <c r="F2277" s="8" t="n"/>
    </row>
    <row r="2278">
      <c r="A2278" s="7" t="n"/>
      <c r="B2278" s="8" t="n"/>
      <c r="C2278" s="9">
        <f>IF(B2278="","",IFERROR(VLOOKUP(B2278,'Daftar Outlet'!$A$4:$B$22,2,FALSE),""))</f>
        <v/>
      </c>
      <c r="D2278" s="8" t="n"/>
      <c r="E2278" s="6" t="n"/>
      <c r="F2278" s="8" t="n"/>
    </row>
    <row r="2279">
      <c r="A2279" s="7" t="n"/>
      <c r="B2279" s="8" t="n"/>
      <c r="C2279" s="9">
        <f>IF(B2279="","",IFERROR(VLOOKUP(B2279,'Daftar Outlet'!$A$4:$B$22,2,FALSE),""))</f>
        <v/>
      </c>
      <c r="D2279" s="8" t="n"/>
      <c r="E2279" s="6" t="n"/>
      <c r="F2279" s="8" t="n"/>
    </row>
    <row r="2280">
      <c r="A2280" s="7" t="n"/>
      <c r="B2280" s="8" t="n"/>
      <c r="C2280" s="9">
        <f>IF(B2280="","",IFERROR(VLOOKUP(B2280,'Daftar Outlet'!$A$4:$B$22,2,FALSE),""))</f>
        <v/>
      </c>
      <c r="D2280" s="8" t="n"/>
      <c r="E2280" s="6" t="n"/>
      <c r="F2280" s="8" t="n"/>
    </row>
    <row r="2281">
      <c r="A2281" s="7" t="n"/>
      <c r="B2281" s="8" t="n"/>
      <c r="C2281" s="9">
        <f>IF(B2281="","",IFERROR(VLOOKUP(B2281,'Daftar Outlet'!$A$4:$B$22,2,FALSE),""))</f>
        <v/>
      </c>
      <c r="D2281" s="8" t="n"/>
      <c r="E2281" s="6" t="n"/>
      <c r="F2281" s="8" t="n"/>
    </row>
    <row r="2282">
      <c r="A2282" s="7" t="n"/>
      <c r="B2282" s="8" t="n"/>
      <c r="C2282" s="9">
        <f>IF(B2282="","",IFERROR(VLOOKUP(B2282,'Daftar Outlet'!$A$4:$B$22,2,FALSE),""))</f>
        <v/>
      </c>
      <c r="D2282" s="8" t="n"/>
      <c r="E2282" s="6" t="n"/>
      <c r="F2282" s="8" t="n"/>
    </row>
    <row r="2283">
      <c r="A2283" s="7" t="n"/>
      <c r="B2283" s="8" t="n"/>
      <c r="C2283" s="9">
        <f>IF(B2283="","",IFERROR(VLOOKUP(B2283,'Daftar Outlet'!$A$4:$B$22,2,FALSE),""))</f>
        <v/>
      </c>
      <c r="D2283" s="8" t="n"/>
      <c r="E2283" s="6" t="n"/>
      <c r="F2283" s="8" t="n"/>
    </row>
    <row r="2284">
      <c r="A2284" s="7" t="n"/>
      <c r="B2284" s="8" t="n"/>
      <c r="C2284" s="9">
        <f>IF(B2284="","",IFERROR(VLOOKUP(B2284,'Daftar Outlet'!$A$4:$B$22,2,FALSE),""))</f>
        <v/>
      </c>
      <c r="D2284" s="8" t="n"/>
      <c r="E2284" s="6" t="n"/>
      <c r="F2284" s="8" t="n"/>
    </row>
    <row r="2285">
      <c r="A2285" s="7" t="n"/>
      <c r="B2285" s="8" t="n"/>
      <c r="C2285" s="9">
        <f>IF(B2285="","",IFERROR(VLOOKUP(B2285,'Daftar Outlet'!$A$4:$B$22,2,FALSE),""))</f>
        <v/>
      </c>
      <c r="D2285" s="8" t="n"/>
      <c r="E2285" s="6" t="n"/>
      <c r="F2285" s="8" t="n"/>
    </row>
    <row r="2286">
      <c r="A2286" s="7" t="n"/>
      <c r="B2286" s="8" t="n"/>
      <c r="C2286" s="9">
        <f>IF(B2286="","",IFERROR(VLOOKUP(B2286,'Daftar Outlet'!$A$4:$B$22,2,FALSE),""))</f>
        <v/>
      </c>
      <c r="D2286" s="8" t="n"/>
      <c r="E2286" s="6" t="n"/>
      <c r="F2286" s="8" t="n"/>
    </row>
    <row r="2287">
      <c r="A2287" s="7" t="n"/>
      <c r="B2287" s="8" t="n"/>
      <c r="C2287" s="9">
        <f>IF(B2287="","",IFERROR(VLOOKUP(B2287,'Daftar Outlet'!$A$4:$B$22,2,FALSE),""))</f>
        <v/>
      </c>
      <c r="D2287" s="8" t="n"/>
      <c r="E2287" s="6" t="n"/>
      <c r="F2287" s="8" t="n"/>
    </row>
    <row r="2288">
      <c r="A2288" s="7" t="n"/>
      <c r="B2288" s="8" t="n"/>
      <c r="C2288" s="9">
        <f>IF(B2288="","",IFERROR(VLOOKUP(B2288,'Daftar Outlet'!$A$4:$B$22,2,FALSE),""))</f>
        <v/>
      </c>
      <c r="D2288" s="8" t="n"/>
      <c r="E2288" s="6" t="n"/>
      <c r="F2288" s="8" t="n"/>
    </row>
    <row r="2289">
      <c r="A2289" s="7" t="n"/>
      <c r="B2289" s="8" t="n"/>
      <c r="C2289" s="9">
        <f>IF(B2289="","",IFERROR(VLOOKUP(B2289,'Daftar Outlet'!$A$4:$B$22,2,FALSE),""))</f>
        <v/>
      </c>
      <c r="D2289" s="8" t="n"/>
      <c r="E2289" s="6" t="n"/>
      <c r="F2289" s="8" t="n"/>
    </row>
    <row r="2290">
      <c r="A2290" s="7" t="n"/>
      <c r="B2290" s="8" t="n"/>
      <c r="C2290" s="9">
        <f>IF(B2290="","",IFERROR(VLOOKUP(B2290,'Daftar Outlet'!$A$4:$B$22,2,FALSE),""))</f>
        <v/>
      </c>
      <c r="D2290" s="8" t="n"/>
      <c r="E2290" s="6" t="n"/>
      <c r="F2290" s="8" t="n"/>
    </row>
    <row r="2291">
      <c r="A2291" s="7" t="n"/>
      <c r="B2291" s="8" t="n"/>
      <c r="C2291" s="9">
        <f>IF(B2291="","",IFERROR(VLOOKUP(B2291,'Daftar Outlet'!$A$4:$B$22,2,FALSE),""))</f>
        <v/>
      </c>
      <c r="D2291" s="8" t="n"/>
      <c r="E2291" s="6" t="n"/>
      <c r="F2291" s="8" t="n"/>
    </row>
    <row r="2292">
      <c r="A2292" s="7" t="n"/>
      <c r="B2292" s="8" t="n"/>
      <c r="C2292" s="9">
        <f>IF(B2292="","",IFERROR(VLOOKUP(B2292,'Daftar Outlet'!$A$4:$B$22,2,FALSE),""))</f>
        <v/>
      </c>
      <c r="D2292" s="8" t="n"/>
      <c r="E2292" s="6" t="n"/>
      <c r="F2292" s="8" t="n"/>
    </row>
    <row r="2293">
      <c r="A2293" s="7" t="n"/>
      <c r="B2293" s="8" t="n"/>
      <c r="C2293" s="9">
        <f>IF(B2293="","",IFERROR(VLOOKUP(B2293,'Daftar Outlet'!$A$4:$B$22,2,FALSE),""))</f>
        <v/>
      </c>
      <c r="D2293" s="8" t="n"/>
      <c r="E2293" s="6" t="n"/>
      <c r="F2293" s="8" t="n"/>
    </row>
    <row r="2294">
      <c r="A2294" s="7" t="n"/>
      <c r="B2294" s="8" t="n"/>
      <c r="C2294" s="9">
        <f>IF(B2294="","",IFERROR(VLOOKUP(B2294,'Daftar Outlet'!$A$4:$B$22,2,FALSE),""))</f>
        <v/>
      </c>
      <c r="D2294" s="8" t="n"/>
      <c r="E2294" s="6" t="n"/>
      <c r="F2294" s="8" t="n"/>
    </row>
    <row r="2295">
      <c r="A2295" s="7" t="n"/>
      <c r="B2295" s="8" t="n"/>
      <c r="C2295" s="9">
        <f>IF(B2295="","",IFERROR(VLOOKUP(B2295,'Daftar Outlet'!$A$4:$B$22,2,FALSE),""))</f>
        <v/>
      </c>
      <c r="D2295" s="8" t="n"/>
      <c r="E2295" s="6" t="n"/>
      <c r="F2295" s="8" t="n"/>
    </row>
    <row r="2296">
      <c r="A2296" s="7" t="n"/>
      <c r="B2296" s="8" t="n"/>
      <c r="C2296" s="9">
        <f>IF(B2296="","",IFERROR(VLOOKUP(B2296,'Daftar Outlet'!$A$4:$B$22,2,FALSE),""))</f>
        <v/>
      </c>
      <c r="D2296" s="8" t="n"/>
      <c r="E2296" s="6" t="n"/>
      <c r="F2296" s="8" t="n"/>
    </row>
    <row r="2297">
      <c r="A2297" s="7" t="n"/>
      <c r="B2297" s="8" t="n"/>
      <c r="C2297" s="9">
        <f>IF(B2297="","",IFERROR(VLOOKUP(B2297,'Daftar Outlet'!$A$4:$B$22,2,FALSE),""))</f>
        <v/>
      </c>
      <c r="D2297" s="8" t="n"/>
      <c r="E2297" s="6" t="n"/>
      <c r="F2297" s="8" t="n"/>
    </row>
    <row r="2298">
      <c r="A2298" s="7" t="n"/>
      <c r="B2298" s="8" t="n"/>
      <c r="C2298" s="9">
        <f>IF(B2298="","",IFERROR(VLOOKUP(B2298,'Daftar Outlet'!$A$4:$B$22,2,FALSE),""))</f>
        <v/>
      </c>
      <c r="D2298" s="8" t="n"/>
      <c r="E2298" s="6" t="n"/>
      <c r="F2298" s="8" t="n"/>
    </row>
    <row r="2299">
      <c r="A2299" s="7" t="n"/>
      <c r="B2299" s="8" t="n"/>
      <c r="C2299" s="9">
        <f>IF(B2299="","",IFERROR(VLOOKUP(B2299,'Daftar Outlet'!$A$4:$B$22,2,FALSE),""))</f>
        <v/>
      </c>
      <c r="D2299" s="8" t="n"/>
      <c r="E2299" s="6" t="n"/>
      <c r="F2299" s="8" t="n"/>
    </row>
    <row r="2300">
      <c r="A2300" s="7" t="n"/>
      <c r="B2300" s="8" t="n"/>
      <c r="C2300" s="9">
        <f>IF(B2300="","",IFERROR(VLOOKUP(B2300,'Daftar Outlet'!$A$4:$B$22,2,FALSE),""))</f>
        <v/>
      </c>
      <c r="D2300" s="8" t="n"/>
      <c r="E2300" s="6" t="n"/>
      <c r="F2300" s="8" t="n"/>
    </row>
    <row r="2301">
      <c r="A2301" s="7" t="n"/>
      <c r="B2301" s="8" t="n"/>
      <c r="C2301" s="9">
        <f>IF(B2301="","",IFERROR(VLOOKUP(B2301,'Daftar Outlet'!$A$4:$B$22,2,FALSE),""))</f>
        <v/>
      </c>
      <c r="D2301" s="8" t="n"/>
      <c r="E2301" s="6" t="n"/>
      <c r="F2301" s="8" t="n"/>
    </row>
    <row r="2302">
      <c r="A2302" s="7" t="n"/>
      <c r="B2302" s="8" t="n"/>
      <c r="C2302" s="9">
        <f>IF(B2302="","",IFERROR(VLOOKUP(B2302,'Daftar Outlet'!$A$4:$B$22,2,FALSE),""))</f>
        <v/>
      </c>
      <c r="D2302" s="8" t="n"/>
      <c r="E2302" s="6" t="n"/>
      <c r="F2302" s="8" t="n"/>
    </row>
    <row r="2303">
      <c r="A2303" s="7" t="n"/>
      <c r="B2303" s="8" t="n"/>
      <c r="C2303" s="9">
        <f>IF(B2303="","",IFERROR(VLOOKUP(B2303,'Daftar Outlet'!$A$4:$B$22,2,FALSE),""))</f>
        <v/>
      </c>
      <c r="D2303" s="8" t="n"/>
      <c r="E2303" s="6" t="n"/>
      <c r="F2303" s="8" t="n"/>
    </row>
    <row r="2304">
      <c r="A2304" s="7" t="n"/>
      <c r="B2304" s="8" t="n"/>
      <c r="C2304" s="9">
        <f>IF(B2304="","",IFERROR(VLOOKUP(B2304,'Daftar Outlet'!$A$4:$B$22,2,FALSE),""))</f>
        <v/>
      </c>
      <c r="D2304" s="8" t="n"/>
      <c r="E2304" s="6" t="n"/>
      <c r="F2304" s="8" t="n"/>
    </row>
    <row r="2305">
      <c r="A2305" s="7" t="n"/>
      <c r="B2305" s="8" t="n"/>
      <c r="C2305" s="9">
        <f>IF(B2305="","",IFERROR(VLOOKUP(B2305,'Daftar Outlet'!$A$4:$B$22,2,FALSE),""))</f>
        <v/>
      </c>
      <c r="D2305" s="8" t="n"/>
      <c r="E2305" s="6" t="n"/>
      <c r="F2305" s="8" t="n"/>
    </row>
    <row r="2306">
      <c r="A2306" s="7" t="n"/>
      <c r="B2306" s="8" t="n"/>
      <c r="C2306" s="9">
        <f>IF(B2306="","",IFERROR(VLOOKUP(B2306,'Daftar Outlet'!$A$4:$B$22,2,FALSE),""))</f>
        <v/>
      </c>
      <c r="D2306" s="8" t="n"/>
      <c r="E2306" s="6" t="n"/>
      <c r="F2306" s="8" t="n"/>
    </row>
    <row r="2307">
      <c r="A2307" s="7" t="n"/>
      <c r="B2307" s="8" t="n"/>
      <c r="C2307" s="9">
        <f>IF(B2307="","",IFERROR(VLOOKUP(B2307,'Daftar Outlet'!$A$4:$B$22,2,FALSE),""))</f>
        <v/>
      </c>
      <c r="D2307" s="8" t="n"/>
      <c r="E2307" s="6" t="n"/>
      <c r="F2307" s="8" t="n"/>
    </row>
    <row r="2308">
      <c r="A2308" s="7" t="n"/>
      <c r="B2308" s="8" t="n"/>
      <c r="C2308" s="9">
        <f>IF(B2308="","",IFERROR(VLOOKUP(B2308,'Daftar Outlet'!$A$4:$B$22,2,FALSE),""))</f>
        <v/>
      </c>
      <c r="D2308" s="8" t="n"/>
      <c r="E2308" s="6" t="n"/>
      <c r="F2308" s="8" t="n"/>
    </row>
    <row r="2309">
      <c r="A2309" s="7" t="n"/>
      <c r="B2309" s="8" t="n"/>
      <c r="C2309" s="9">
        <f>IF(B2309="","",IFERROR(VLOOKUP(B2309,'Daftar Outlet'!$A$4:$B$22,2,FALSE),""))</f>
        <v/>
      </c>
      <c r="D2309" s="8" t="n"/>
      <c r="E2309" s="6" t="n"/>
      <c r="F2309" s="8" t="n"/>
    </row>
    <row r="2310">
      <c r="A2310" s="7" t="n"/>
      <c r="B2310" s="8" t="n"/>
      <c r="C2310" s="9">
        <f>IF(B2310="","",IFERROR(VLOOKUP(B2310,'Daftar Outlet'!$A$4:$B$22,2,FALSE),""))</f>
        <v/>
      </c>
      <c r="D2310" s="8" t="n"/>
      <c r="E2310" s="6" t="n"/>
      <c r="F2310" s="8" t="n"/>
    </row>
    <row r="2311">
      <c r="A2311" s="7" t="n"/>
      <c r="B2311" s="8" t="n"/>
      <c r="C2311" s="9">
        <f>IF(B2311="","",IFERROR(VLOOKUP(B2311,'Daftar Outlet'!$A$4:$B$22,2,FALSE),""))</f>
        <v/>
      </c>
      <c r="D2311" s="8" t="n"/>
      <c r="E2311" s="6" t="n"/>
      <c r="F2311" s="8" t="n"/>
    </row>
    <row r="2312">
      <c r="A2312" s="7" t="n"/>
      <c r="B2312" s="8" t="n"/>
      <c r="C2312" s="9">
        <f>IF(B2312="","",IFERROR(VLOOKUP(B2312,'Daftar Outlet'!$A$4:$B$22,2,FALSE),""))</f>
        <v/>
      </c>
      <c r="D2312" s="8" t="n"/>
      <c r="E2312" s="6" t="n"/>
      <c r="F2312" s="8" t="n"/>
    </row>
    <row r="2313">
      <c r="A2313" s="7" t="n"/>
      <c r="B2313" s="8" t="n"/>
      <c r="C2313" s="9">
        <f>IF(B2313="","",IFERROR(VLOOKUP(B2313,'Daftar Outlet'!$A$4:$B$22,2,FALSE),""))</f>
        <v/>
      </c>
      <c r="D2313" s="8" t="n"/>
      <c r="E2313" s="6" t="n"/>
      <c r="F2313" s="8" t="n"/>
    </row>
    <row r="2314">
      <c r="A2314" s="7" t="n"/>
      <c r="B2314" s="8" t="n"/>
      <c r="C2314" s="9">
        <f>IF(B2314="","",IFERROR(VLOOKUP(B2314,'Daftar Outlet'!$A$4:$B$22,2,FALSE),""))</f>
        <v/>
      </c>
      <c r="D2314" s="8" t="n"/>
      <c r="E2314" s="6" t="n"/>
      <c r="F2314" s="8" t="n"/>
    </row>
    <row r="2315">
      <c r="A2315" s="7" t="n"/>
      <c r="B2315" s="8" t="n"/>
      <c r="C2315" s="9">
        <f>IF(B2315="","",IFERROR(VLOOKUP(B2315,'Daftar Outlet'!$A$4:$B$22,2,FALSE),""))</f>
        <v/>
      </c>
      <c r="D2315" s="8" t="n"/>
      <c r="E2315" s="6" t="n"/>
      <c r="F2315" s="8" t="n"/>
    </row>
    <row r="2316">
      <c r="A2316" s="7" t="n"/>
      <c r="B2316" s="8" t="n"/>
      <c r="C2316" s="9">
        <f>IF(B2316="","",IFERROR(VLOOKUP(B2316,'Daftar Outlet'!$A$4:$B$22,2,FALSE),""))</f>
        <v/>
      </c>
      <c r="D2316" s="8" t="n"/>
      <c r="E2316" s="6" t="n"/>
      <c r="F2316" s="8" t="n"/>
    </row>
    <row r="2317">
      <c r="A2317" s="7" t="n"/>
      <c r="B2317" s="8" t="n"/>
      <c r="C2317" s="9">
        <f>IF(B2317="","",IFERROR(VLOOKUP(B2317,'Daftar Outlet'!$A$4:$B$22,2,FALSE),""))</f>
        <v/>
      </c>
      <c r="D2317" s="8" t="n"/>
      <c r="E2317" s="6" t="n"/>
      <c r="F2317" s="8" t="n"/>
    </row>
    <row r="2318">
      <c r="A2318" s="7" t="n"/>
      <c r="B2318" s="8" t="n"/>
      <c r="C2318" s="9">
        <f>IF(B2318="","",IFERROR(VLOOKUP(B2318,'Daftar Outlet'!$A$4:$B$22,2,FALSE),""))</f>
        <v/>
      </c>
      <c r="D2318" s="8" t="n"/>
      <c r="E2318" s="6" t="n"/>
      <c r="F2318" s="8" t="n"/>
    </row>
    <row r="2319">
      <c r="A2319" s="7" t="n"/>
      <c r="B2319" s="8" t="n"/>
      <c r="C2319" s="9">
        <f>IF(B2319="","",IFERROR(VLOOKUP(B2319,'Daftar Outlet'!$A$4:$B$22,2,FALSE),""))</f>
        <v/>
      </c>
      <c r="D2319" s="8" t="n"/>
      <c r="E2319" s="6" t="n"/>
      <c r="F2319" s="8" t="n"/>
    </row>
    <row r="2320">
      <c r="A2320" s="7" t="n"/>
      <c r="B2320" s="8" t="n"/>
      <c r="C2320" s="9">
        <f>IF(B2320="","",IFERROR(VLOOKUP(B2320,'Daftar Outlet'!$A$4:$B$22,2,FALSE),""))</f>
        <v/>
      </c>
      <c r="D2320" s="8" t="n"/>
      <c r="E2320" s="6" t="n"/>
      <c r="F2320" s="8" t="n"/>
    </row>
    <row r="2321">
      <c r="A2321" s="7" t="n"/>
      <c r="B2321" s="8" t="n"/>
      <c r="C2321" s="9">
        <f>IF(B2321="","",IFERROR(VLOOKUP(B2321,'Daftar Outlet'!$A$4:$B$22,2,FALSE),""))</f>
        <v/>
      </c>
      <c r="D2321" s="8" t="n"/>
      <c r="E2321" s="6" t="n"/>
      <c r="F2321" s="8" t="n"/>
    </row>
    <row r="2322">
      <c r="A2322" s="7" t="n"/>
      <c r="B2322" s="8" t="n"/>
      <c r="C2322" s="9">
        <f>IF(B2322="","",IFERROR(VLOOKUP(B2322,'Daftar Outlet'!$A$4:$B$22,2,FALSE),""))</f>
        <v/>
      </c>
      <c r="D2322" s="8" t="n"/>
      <c r="E2322" s="6" t="n"/>
      <c r="F2322" s="8" t="n"/>
    </row>
    <row r="2323">
      <c r="A2323" s="7" t="n"/>
      <c r="B2323" s="8" t="n"/>
      <c r="C2323" s="9">
        <f>IF(B2323="","",IFERROR(VLOOKUP(B2323,'Daftar Outlet'!$A$4:$B$22,2,FALSE),""))</f>
        <v/>
      </c>
      <c r="D2323" s="8" t="n"/>
      <c r="E2323" s="6" t="n"/>
      <c r="F2323" s="8" t="n"/>
    </row>
    <row r="2324">
      <c r="A2324" s="7" t="n"/>
      <c r="B2324" s="8" t="n"/>
      <c r="C2324" s="9">
        <f>IF(B2324="","",IFERROR(VLOOKUP(B2324,'Daftar Outlet'!$A$4:$B$22,2,FALSE),""))</f>
        <v/>
      </c>
      <c r="D2324" s="8" t="n"/>
      <c r="E2324" s="6" t="n"/>
      <c r="F2324" s="8" t="n"/>
    </row>
    <row r="2325">
      <c r="A2325" s="7" t="n"/>
      <c r="B2325" s="8" t="n"/>
      <c r="C2325" s="9">
        <f>IF(B2325="","",IFERROR(VLOOKUP(B2325,'Daftar Outlet'!$A$4:$B$22,2,FALSE),""))</f>
        <v/>
      </c>
      <c r="D2325" s="8" t="n"/>
      <c r="E2325" s="6" t="n"/>
      <c r="F2325" s="8" t="n"/>
    </row>
    <row r="2326">
      <c r="A2326" s="7" t="n"/>
      <c r="B2326" s="8" t="n"/>
      <c r="C2326" s="9">
        <f>IF(B2326="","",IFERROR(VLOOKUP(B2326,'Daftar Outlet'!$A$4:$B$22,2,FALSE),""))</f>
        <v/>
      </c>
      <c r="D2326" s="8" t="n"/>
      <c r="E2326" s="6" t="n"/>
      <c r="F2326" s="8" t="n"/>
    </row>
    <row r="2327">
      <c r="A2327" s="7" t="n"/>
      <c r="B2327" s="8" t="n"/>
      <c r="C2327" s="9">
        <f>IF(B2327="","",IFERROR(VLOOKUP(B2327,'Daftar Outlet'!$A$4:$B$22,2,FALSE),""))</f>
        <v/>
      </c>
      <c r="D2327" s="8" t="n"/>
      <c r="E2327" s="6" t="n"/>
      <c r="F2327" s="8" t="n"/>
    </row>
    <row r="2328">
      <c r="A2328" s="7" t="n"/>
      <c r="B2328" s="8" t="n"/>
      <c r="C2328" s="9">
        <f>IF(B2328="","",IFERROR(VLOOKUP(B2328,'Daftar Outlet'!$A$4:$B$22,2,FALSE),""))</f>
        <v/>
      </c>
      <c r="D2328" s="8" t="n"/>
      <c r="E2328" s="6" t="n"/>
      <c r="F2328" s="8" t="n"/>
    </row>
    <row r="2329">
      <c r="A2329" s="7" t="n"/>
      <c r="B2329" s="8" t="n"/>
      <c r="C2329" s="9">
        <f>IF(B2329="","",IFERROR(VLOOKUP(B2329,'Daftar Outlet'!$A$4:$B$22,2,FALSE),""))</f>
        <v/>
      </c>
      <c r="D2329" s="8" t="n"/>
      <c r="E2329" s="6" t="n"/>
      <c r="F2329" s="8" t="n"/>
    </row>
    <row r="2330">
      <c r="A2330" s="7" t="n"/>
      <c r="B2330" s="8" t="n"/>
      <c r="C2330" s="9">
        <f>IF(B2330="","",IFERROR(VLOOKUP(B2330,'Daftar Outlet'!$A$4:$B$22,2,FALSE),""))</f>
        <v/>
      </c>
      <c r="D2330" s="8" t="n"/>
      <c r="E2330" s="6" t="n"/>
      <c r="F2330" s="8" t="n"/>
    </row>
    <row r="2331">
      <c r="A2331" s="7" t="n"/>
      <c r="B2331" s="8" t="n"/>
      <c r="C2331" s="9">
        <f>IF(B2331="","",IFERROR(VLOOKUP(B2331,'Daftar Outlet'!$A$4:$B$22,2,FALSE),""))</f>
        <v/>
      </c>
      <c r="D2331" s="8" t="n"/>
      <c r="E2331" s="6" t="n"/>
      <c r="F2331" s="8" t="n"/>
    </row>
    <row r="2332">
      <c r="A2332" s="7" t="n"/>
      <c r="B2332" s="8" t="n"/>
      <c r="C2332" s="9">
        <f>IF(B2332="","",IFERROR(VLOOKUP(B2332,'Daftar Outlet'!$A$4:$B$22,2,FALSE),""))</f>
        <v/>
      </c>
      <c r="D2332" s="8" t="n"/>
      <c r="E2332" s="6" t="n"/>
      <c r="F2332" s="8" t="n"/>
    </row>
    <row r="2333">
      <c r="A2333" s="7" t="n"/>
      <c r="B2333" s="8" t="n"/>
      <c r="C2333" s="9">
        <f>IF(B2333="","",IFERROR(VLOOKUP(B2333,'Daftar Outlet'!$A$4:$B$22,2,FALSE),""))</f>
        <v/>
      </c>
      <c r="D2333" s="8" t="n"/>
      <c r="E2333" s="6" t="n"/>
      <c r="F2333" s="8" t="n"/>
    </row>
    <row r="2334">
      <c r="A2334" s="7" t="n"/>
      <c r="B2334" s="8" t="n"/>
      <c r="C2334" s="9">
        <f>IF(B2334="","",IFERROR(VLOOKUP(B2334,'Daftar Outlet'!$A$4:$B$22,2,FALSE),""))</f>
        <v/>
      </c>
      <c r="D2334" s="8" t="n"/>
      <c r="E2334" s="6" t="n"/>
      <c r="F2334" s="8" t="n"/>
    </row>
    <row r="2335">
      <c r="A2335" s="7" t="n"/>
      <c r="B2335" s="8" t="n"/>
      <c r="C2335" s="9">
        <f>IF(B2335="","",IFERROR(VLOOKUP(B2335,'Daftar Outlet'!$A$4:$B$22,2,FALSE),""))</f>
        <v/>
      </c>
      <c r="D2335" s="8" t="n"/>
      <c r="E2335" s="6" t="n"/>
      <c r="F2335" s="8" t="n"/>
    </row>
    <row r="2336">
      <c r="A2336" s="7" t="n"/>
      <c r="B2336" s="8" t="n"/>
      <c r="C2336" s="9">
        <f>IF(B2336="","",IFERROR(VLOOKUP(B2336,'Daftar Outlet'!$A$4:$B$22,2,FALSE),""))</f>
        <v/>
      </c>
      <c r="D2336" s="8" t="n"/>
      <c r="E2336" s="6" t="n"/>
      <c r="F2336" s="8" t="n"/>
    </row>
    <row r="2337">
      <c r="A2337" s="7" t="n"/>
      <c r="B2337" s="8" t="n"/>
      <c r="C2337" s="9">
        <f>IF(B2337="","",IFERROR(VLOOKUP(B2337,'Daftar Outlet'!$A$4:$B$22,2,FALSE),""))</f>
        <v/>
      </c>
      <c r="D2337" s="8" t="n"/>
      <c r="E2337" s="6" t="n"/>
      <c r="F2337" s="8" t="n"/>
    </row>
    <row r="2338">
      <c r="A2338" s="7" t="n"/>
      <c r="B2338" s="8" t="n"/>
      <c r="C2338" s="9">
        <f>IF(B2338="","",IFERROR(VLOOKUP(B2338,'Daftar Outlet'!$A$4:$B$22,2,FALSE),""))</f>
        <v/>
      </c>
      <c r="D2338" s="8" t="n"/>
      <c r="E2338" s="6" t="n"/>
      <c r="F2338" s="8" t="n"/>
    </row>
    <row r="2339">
      <c r="A2339" s="7" t="n"/>
      <c r="B2339" s="8" t="n"/>
      <c r="C2339" s="9">
        <f>IF(B2339="","",IFERROR(VLOOKUP(B2339,'Daftar Outlet'!$A$4:$B$22,2,FALSE),""))</f>
        <v/>
      </c>
      <c r="D2339" s="8" t="n"/>
      <c r="E2339" s="6" t="n"/>
      <c r="F2339" s="8" t="n"/>
    </row>
    <row r="2340">
      <c r="A2340" s="7" t="n"/>
      <c r="B2340" s="8" t="n"/>
      <c r="C2340" s="9">
        <f>IF(B2340="","",IFERROR(VLOOKUP(B2340,'Daftar Outlet'!$A$4:$B$22,2,FALSE),""))</f>
        <v/>
      </c>
      <c r="D2340" s="8" t="n"/>
      <c r="E2340" s="6" t="n"/>
      <c r="F2340" s="8" t="n"/>
    </row>
    <row r="2341">
      <c r="A2341" s="7" t="n"/>
      <c r="B2341" s="8" t="n"/>
      <c r="C2341" s="9">
        <f>IF(B2341="","",IFERROR(VLOOKUP(B2341,'Daftar Outlet'!$A$4:$B$22,2,FALSE),""))</f>
        <v/>
      </c>
      <c r="D2341" s="8" t="n"/>
      <c r="E2341" s="6" t="n"/>
      <c r="F2341" s="8" t="n"/>
    </row>
    <row r="2342">
      <c r="A2342" s="7" t="n"/>
      <c r="B2342" s="8" t="n"/>
      <c r="C2342" s="9">
        <f>IF(B2342="","",IFERROR(VLOOKUP(B2342,'Daftar Outlet'!$A$4:$B$22,2,FALSE),""))</f>
        <v/>
      </c>
      <c r="D2342" s="8" t="n"/>
      <c r="E2342" s="6" t="n"/>
      <c r="F2342" s="8" t="n"/>
    </row>
    <row r="2343">
      <c r="A2343" s="7" t="n"/>
      <c r="B2343" s="8" t="n"/>
      <c r="C2343" s="9">
        <f>IF(B2343="","",IFERROR(VLOOKUP(B2343,'Daftar Outlet'!$A$4:$B$22,2,FALSE),""))</f>
        <v/>
      </c>
      <c r="D2343" s="8" t="n"/>
      <c r="E2343" s="6" t="n"/>
      <c r="F2343" s="8" t="n"/>
    </row>
    <row r="2344">
      <c r="A2344" s="7" t="n"/>
      <c r="B2344" s="8" t="n"/>
      <c r="C2344" s="9">
        <f>IF(B2344="","",IFERROR(VLOOKUP(B2344,'Daftar Outlet'!$A$4:$B$22,2,FALSE),""))</f>
        <v/>
      </c>
      <c r="D2344" s="8" t="n"/>
      <c r="E2344" s="6" t="n"/>
      <c r="F2344" s="8" t="n"/>
    </row>
    <row r="2345">
      <c r="A2345" s="7" t="n"/>
      <c r="B2345" s="8" t="n"/>
      <c r="C2345" s="9">
        <f>IF(B2345="","",IFERROR(VLOOKUP(B2345,'Daftar Outlet'!$A$4:$B$22,2,FALSE),""))</f>
        <v/>
      </c>
      <c r="D2345" s="8" t="n"/>
      <c r="E2345" s="6" t="n"/>
      <c r="F2345" s="8" t="n"/>
    </row>
    <row r="2346">
      <c r="A2346" s="7" t="n"/>
      <c r="B2346" s="8" t="n"/>
      <c r="C2346" s="9">
        <f>IF(B2346="","",IFERROR(VLOOKUP(B2346,'Daftar Outlet'!$A$4:$B$22,2,FALSE),""))</f>
        <v/>
      </c>
      <c r="D2346" s="8" t="n"/>
      <c r="E2346" s="6" t="n"/>
      <c r="F2346" s="8" t="n"/>
    </row>
    <row r="2347">
      <c r="A2347" s="7" t="n"/>
      <c r="B2347" s="8" t="n"/>
      <c r="C2347" s="9">
        <f>IF(B2347="","",IFERROR(VLOOKUP(B2347,'Daftar Outlet'!$A$4:$B$22,2,FALSE),""))</f>
        <v/>
      </c>
      <c r="D2347" s="8" t="n"/>
      <c r="E2347" s="6" t="n"/>
      <c r="F2347" s="8" t="n"/>
    </row>
    <row r="2348">
      <c r="A2348" s="7" t="n"/>
      <c r="B2348" s="8" t="n"/>
      <c r="C2348" s="9">
        <f>IF(B2348="","",IFERROR(VLOOKUP(B2348,'Daftar Outlet'!$A$4:$B$22,2,FALSE),""))</f>
        <v/>
      </c>
      <c r="D2348" s="8" t="n"/>
      <c r="E2348" s="6" t="n"/>
      <c r="F2348" s="8" t="n"/>
    </row>
    <row r="2349">
      <c r="A2349" s="7" t="n"/>
      <c r="B2349" s="8" t="n"/>
      <c r="C2349" s="9">
        <f>IF(B2349="","",IFERROR(VLOOKUP(B2349,'Daftar Outlet'!$A$4:$B$22,2,FALSE),""))</f>
        <v/>
      </c>
      <c r="D2349" s="8" t="n"/>
      <c r="E2349" s="6" t="n"/>
      <c r="F2349" s="8" t="n"/>
    </row>
    <row r="2350">
      <c r="A2350" s="7" t="n"/>
      <c r="B2350" s="8" t="n"/>
      <c r="C2350" s="9">
        <f>IF(B2350="","",IFERROR(VLOOKUP(B2350,'Daftar Outlet'!$A$4:$B$22,2,FALSE),""))</f>
        <v/>
      </c>
      <c r="D2350" s="8" t="n"/>
      <c r="E2350" s="6" t="n"/>
      <c r="F2350" s="8" t="n"/>
    </row>
    <row r="2351">
      <c r="A2351" s="7" t="n"/>
      <c r="B2351" s="8" t="n"/>
      <c r="C2351" s="9">
        <f>IF(B2351="","",IFERROR(VLOOKUP(B2351,'Daftar Outlet'!$A$4:$B$22,2,FALSE),""))</f>
        <v/>
      </c>
      <c r="D2351" s="8" t="n"/>
      <c r="E2351" s="6" t="n"/>
      <c r="F2351" s="8" t="n"/>
    </row>
    <row r="2352">
      <c r="A2352" s="7" t="n"/>
      <c r="B2352" s="8" t="n"/>
      <c r="C2352" s="9">
        <f>IF(B2352="","",IFERROR(VLOOKUP(B2352,'Daftar Outlet'!$A$4:$B$22,2,FALSE),""))</f>
        <v/>
      </c>
      <c r="D2352" s="8" t="n"/>
      <c r="E2352" s="6" t="n"/>
      <c r="F2352" s="8" t="n"/>
    </row>
    <row r="2353">
      <c r="A2353" s="7" t="n"/>
      <c r="B2353" s="8" t="n"/>
      <c r="C2353" s="9">
        <f>IF(B2353="","",IFERROR(VLOOKUP(B2353,'Daftar Outlet'!$A$4:$B$22,2,FALSE),""))</f>
        <v/>
      </c>
      <c r="D2353" s="8" t="n"/>
      <c r="E2353" s="6" t="n"/>
      <c r="F2353" s="8" t="n"/>
    </row>
    <row r="2354">
      <c r="A2354" s="7" t="n"/>
      <c r="B2354" s="8" t="n"/>
      <c r="C2354" s="9">
        <f>IF(B2354="","",IFERROR(VLOOKUP(B2354,'Daftar Outlet'!$A$4:$B$22,2,FALSE),""))</f>
        <v/>
      </c>
      <c r="D2354" s="8" t="n"/>
      <c r="E2354" s="6" t="n"/>
      <c r="F2354" s="8" t="n"/>
    </row>
    <row r="2355">
      <c r="A2355" s="7" t="n"/>
      <c r="B2355" s="8" t="n"/>
      <c r="C2355" s="9">
        <f>IF(B2355="","",IFERROR(VLOOKUP(B2355,'Daftar Outlet'!$A$4:$B$22,2,FALSE),""))</f>
        <v/>
      </c>
      <c r="D2355" s="8" t="n"/>
      <c r="E2355" s="6" t="n"/>
      <c r="F2355" s="8" t="n"/>
    </row>
    <row r="2356">
      <c r="A2356" s="7" t="n"/>
      <c r="B2356" s="8" t="n"/>
      <c r="C2356" s="9">
        <f>IF(B2356="","",IFERROR(VLOOKUP(B2356,'Daftar Outlet'!$A$4:$B$22,2,FALSE),""))</f>
        <v/>
      </c>
      <c r="D2356" s="8" t="n"/>
      <c r="E2356" s="6" t="n"/>
      <c r="F2356" s="8" t="n"/>
    </row>
    <row r="2357">
      <c r="A2357" s="7" t="n"/>
      <c r="B2357" s="8" t="n"/>
      <c r="C2357" s="9">
        <f>IF(B2357="","",IFERROR(VLOOKUP(B2357,'Daftar Outlet'!$A$4:$B$22,2,FALSE),""))</f>
        <v/>
      </c>
      <c r="D2357" s="8" t="n"/>
      <c r="E2357" s="6" t="n"/>
      <c r="F2357" s="8" t="n"/>
    </row>
    <row r="2358">
      <c r="A2358" s="7" t="n"/>
      <c r="B2358" s="8" t="n"/>
      <c r="C2358" s="9">
        <f>IF(B2358="","",IFERROR(VLOOKUP(B2358,'Daftar Outlet'!$A$4:$B$22,2,FALSE),""))</f>
        <v/>
      </c>
      <c r="D2358" s="8" t="n"/>
      <c r="E2358" s="6" t="n"/>
      <c r="F2358" s="8" t="n"/>
    </row>
    <row r="2359">
      <c r="A2359" s="7" t="n"/>
      <c r="B2359" s="8" t="n"/>
      <c r="C2359" s="9">
        <f>IF(B2359="","",IFERROR(VLOOKUP(B2359,'Daftar Outlet'!$A$4:$B$22,2,FALSE),""))</f>
        <v/>
      </c>
      <c r="D2359" s="8" t="n"/>
      <c r="E2359" s="6" t="n"/>
      <c r="F2359" s="8" t="n"/>
    </row>
    <row r="2360">
      <c r="A2360" s="7" t="n"/>
      <c r="B2360" s="8" t="n"/>
      <c r="C2360" s="9">
        <f>IF(B2360="","",IFERROR(VLOOKUP(B2360,'Daftar Outlet'!$A$4:$B$22,2,FALSE),""))</f>
        <v/>
      </c>
      <c r="D2360" s="8" t="n"/>
      <c r="E2360" s="6" t="n"/>
      <c r="F2360" s="8" t="n"/>
    </row>
    <row r="2361">
      <c r="A2361" s="7" t="n"/>
      <c r="B2361" s="8" t="n"/>
      <c r="C2361" s="9">
        <f>IF(B2361="","",IFERROR(VLOOKUP(B2361,'Daftar Outlet'!$A$4:$B$22,2,FALSE),""))</f>
        <v/>
      </c>
      <c r="D2361" s="8" t="n"/>
      <c r="E2361" s="6" t="n"/>
      <c r="F2361" s="8" t="n"/>
    </row>
    <row r="2362">
      <c r="A2362" s="7" t="n"/>
      <c r="B2362" s="8" t="n"/>
      <c r="C2362" s="9">
        <f>IF(B2362="","",IFERROR(VLOOKUP(B2362,'Daftar Outlet'!$A$4:$B$22,2,FALSE),""))</f>
        <v/>
      </c>
      <c r="D2362" s="8" t="n"/>
      <c r="E2362" s="6" t="n"/>
      <c r="F2362" s="8" t="n"/>
    </row>
    <row r="2363">
      <c r="A2363" s="7" t="n"/>
      <c r="B2363" s="8" t="n"/>
      <c r="C2363" s="9">
        <f>IF(B2363="","",IFERROR(VLOOKUP(B2363,'Daftar Outlet'!$A$4:$B$22,2,FALSE),""))</f>
        <v/>
      </c>
      <c r="D2363" s="8" t="n"/>
      <c r="E2363" s="6" t="n"/>
      <c r="F2363" s="8" t="n"/>
    </row>
    <row r="2364">
      <c r="A2364" s="7" t="n"/>
      <c r="B2364" s="8" t="n"/>
      <c r="C2364" s="9">
        <f>IF(B2364="","",IFERROR(VLOOKUP(B2364,'Daftar Outlet'!$A$4:$B$22,2,FALSE),""))</f>
        <v/>
      </c>
      <c r="D2364" s="8" t="n"/>
      <c r="E2364" s="6" t="n"/>
      <c r="F2364" s="8" t="n"/>
    </row>
    <row r="2365">
      <c r="A2365" s="7" t="n"/>
      <c r="B2365" s="8" t="n"/>
      <c r="C2365" s="9">
        <f>IF(B2365="","",IFERROR(VLOOKUP(B2365,'Daftar Outlet'!$A$4:$B$22,2,FALSE),""))</f>
        <v/>
      </c>
      <c r="D2365" s="8" t="n"/>
      <c r="E2365" s="6" t="n"/>
      <c r="F2365" s="8" t="n"/>
    </row>
    <row r="2366">
      <c r="A2366" s="7" t="n"/>
      <c r="B2366" s="8" t="n"/>
      <c r="C2366" s="9">
        <f>IF(B2366="","",IFERROR(VLOOKUP(B2366,'Daftar Outlet'!$A$4:$B$22,2,FALSE),""))</f>
        <v/>
      </c>
      <c r="D2366" s="8" t="n"/>
      <c r="E2366" s="6" t="n"/>
      <c r="F2366" s="8" t="n"/>
    </row>
    <row r="2367">
      <c r="A2367" s="7" t="n"/>
      <c r="B2367" s="8" t="n"/>
      <c r="C2367" s="9">
        <f>IF(B2367="","",IFERROR(VLOOKUP(B2367,'Daftar Outlet'!$A$4:$B$22,2,FALSE),""))</f>
        <v/>
      </c>
      <c r="D2367" s="8" t="n"/>
      <c r="E2367" s="6" t="n"/>
      <c r="F2367" s="8" t="n"/>
    </row>
    <row r="2368">
      <c r="A2368" s="7" t="n"/>
      <c r="B2368" s="8" t="n"/>
      <c r="C2368" s="9">
        <f>IF(B2368="","",IFERROR(VLOOKUP(B2368,'Daftar Outlet'!$A$4:$B$22,2,FALSE),""))</f>
        <v/>
      </c>
      <c r="D2368" s="8" t="n"/>
      <c r="E2368" s="6" t="n"/>
      <c r="F2368" s="8" t="n"/>
    </row>
    <row r="2369">
      <c r="A2369" s="7" t="n"/>
      <c r="B2369" s="8" t="n"/>
      <c r="C2369" s="9">
        <f>IF(B2369="","",IFERROR(VLOOKUP(B2369,'Daftar Outlet'!$A$4:$B$22,2,FALSE),""))</f>
        <v/>
      </c>
      <c r="D2369" s="8" t="n"/>
      <c r="E2369" s="6" t="n"/>
      <c r="F2369" s="8" t="n"/>
    </row>
    <row r="2370">
      <c r="A2370" s="7" t="n"/>
      <c r="B2370" s="8" t="n"/>
      <c r="C2370" s="9">
        <f>IF(B2370="","",IFERROR(VLOOKUP(B2370,'Daftar Outlet'!$A$4:$B$22,2,FALSE),""))</f>
        <v/>
      </c>
      <c r="D2370" s="8" t="n"/>
      <c r="E2370" s="6" t="n"/>
      <c r="F2370" s="8" t="n"/>
    </row>
    <row r="2371">
      <c r="A2371" s="7" t="n"/>
      <c r="B2371" s="8" t="n"/>
      <c r="C2371" s="9">
        <f>IF(B2371="","",IFERROR(VLOOKUP(B2371,'Daftar Outlet'!$A$4:$B$22,2,FALSE),""))</f>
        <v/>
      </c>
      <c r="D2371" s="8" t="n"/>
      <c r="E2371" s="6" t="n"/>
      <c r="F2371" s="8" t="n"/>
    </row>
    <row r="2372">
      <c r="A2372" s="7" t="n"/>
      <c r="B2372" s="8" t="n"/>
      <c r="C2372" s="9">
        <f>IF(B2372="","",IFERROR(VLOOKUP(B2372,'Daftar Outlet'!$A$4:$B$22,2,FALSE),""))</f>
        <v/>
      </c>
      <c r="D2372" s="8" t="n"/>
      <c r="E2372" s="6" t="n"/>
      <c r="F2372" s="8" t="n"/>
    </row>
    <row r="2373">
      <c r="A2373" s="7" t="n"/>
      <c r="B2373" s="8" t="n"/>
      <c r="C2373" s="9">
        <f>IF(B2373="","",IFERROR(VLOOKUP(B2373,'Daftar Outlet'!$A$4:$B$22,2,FALSE),""))</f>
        <v/>
      </c>
      <c r="D2373" s="8" t="n"/>
      <c r="E2373" s="6" t="n"/>
      <c r="F2373" s="8" t="n"/>
    </row>
    <row r="2374">
      <c r="A2374" s="7" t="n"/>
      <c r="B2374" s="8" t="n"/>
      <c r="C2374" s="9">
        <f>IF(B2374="","",IFERROR(VLOOKUP(B2374,'Daftar Outlet'!$A$4:$B$22,2,FALSE),""))</f>
        <v/>
      </c>
      <c r="D2374" s="8" t="n"/>
      <c r="E2374" s="6" t="n"/>
      <c r="F2374" s="8" t="n"/>
    </row>
    <row r="2375">
      <c r="A2375" s="7" t="n"/>
      <c r="B2375" s="8" t="n"/>
      <c r="C2375" s="9">
        <f>IF(B2375="","",IFERROR(VLOOKUP(B2375,'Daftar Outlet'!$A$4:$B$22,2,FALSE),""))</f>
        <v/>
      </c>
      <c r="D2375" s="8" t="n"/>
      <c r="E2375" s="6" t="n"/>
      <c r="F2375" s="8" t="n"/>
    </row>
    <row r="2376">
      <c r="A2376" s="7" t="n"/>
      <c r="B2376" s="8" t="n"/>
      <c r="C2376" s="9">
        <f>IF(B2376="","",IFERROR(VLOOKUP(B2376,'Daftar Outlet'!$A$4:$B$22,2,FALSE),""))</f>
        <v/>
      </c>
      <c r="D2376" s="8" t="n"/>
      <c r="E2376" s="6" t="n"/>
      <c r="F2376" s="8" t="n"/>
    </row>
    <row r="2377">
      <c r="A2377" s="7" t="n"/>
      <c r="B2377" s="8" t="n"/>
      <c r="C2377" s="9">
        <f>IF(B2377="","",IFERROR(VLOOKUP(B2377,'Daftar Outlet'!$A$4:$B$22,2,FALSE),""))</f>
        <v/>
      </c>
      <c r="D2377" s="8" t="n"/>
      <c r="E2377" s="6" t="n"/>
      <c r="F2377" s="8" t="n"/>
    </row>
    <row r="2378">
      <c r="A2378" s="7" t="n"/>
      <c r="B2378" s="8" t="n"/>
      <c r="C2378" s="9">
        <f>IF(B2378="","",IFERROR(VLOOKUP(B2378,'Daftar Outlet'!$A$4:$B$22,2,FALSE),""))</f>
        <v/>
      </c>
      <c r="D2378" s="8" t="n"/>
      <c r="E2378" s="6" t="n"/>
      <c r="F2378" s="8" t="n"/>
    </row>
    <row r="2379">
      <c r="A2379" s="7" t="n"/>
      <c r="B2379" s="8" t="n"/>
      <c r="C2379" s="9">
        <f>IF(B2379="","",IFERROR(VLOOKUP(B2379,'Daftar Outlet'!$A$4:$B$22,2,FALSE),""))</f>
        <v/>
      </c>
      <c r="D2379" s="8" t="n"/>
      <c r="E2379" s="6" t="n"/>
      <c r="F2379" s="8" t="n"/>
    </row>
    <row r="2380">
      <c r="A2380" s="7" t="n"/>
      <c r="B2380" s="8" t="n"/>
      <c r="C2380" s="9">
        <f>IF(B2380="","",IFERROR(VLOOKUP(B2380,'Daftar Outlet'!$A$4:$B$22,2,FALSE),""))</f>
        <v/>
      </c>
      <c r="D2380" s="8" t="n"/>
      <c r="E2380" s="6" t="n"/>
      <c r="F2380" s="8" t="n"/>
    </row>
    <row r="2381">
      <c r="A2381" s="7" t="n"/>
      <c r="B2381" s="8" t="n"/>
      <c r="C2381" s="9">
        <f>IF(B2381="","",IFERROR(VLOOKUP(B2381,'Daftar Outlet'!$A$4:$B$22,2,FALSE),""))</f>
        <v/>
      </c>
      <c r="D2381" s="8" t="n"/>
      <c r="E2381" s="6" t="n"/>
      <c r="F2381" s="8" t="n"/>
    </row>
    <row r="2382">
      <c r="A2382" s="7" t="n"/>
      <c r="B2382" s="8" t="n"/>
      <c r="C2382" s="9">
        <f>IF(B2382="","",IFERROR(VLOOKUP(B2382,'Daftar Outlet'!$A$4:$B$22,2,FALSE),""))</f>
        <v/>
      </c>
      <c r="D2382" s="8" t="n"/>
      <c r="E2382" s="6" t="n"/>
      <c r="F2382" s="8" t="n"/>
    </row>
    <row r="2383">
      <c r="A2383" s="7" t="n"/>
      <c r="B2383" s="8" t="n"/>
      <c r="C2383" s="9">
        <f>IF(B2383="","",IFERROR(VLOOKUP(B2383,'Daftar Outlet'!$A$4:$B$22,2,FALSE),""))</f>
        <v/>
      </c>
      <c r="D2383" s="8" t="n"/>
      <c r="E2383" s="6" t="n"/>
      <c r="F2383" s="8" t="n"/>
    </row>
    <row r="2384">
      <c r="A2384" s="7" t="n"/>
      <c r="B2384" s="8" t="n"/>
      <c r="C2384" s="9">
        <f>IF(B2384="","",IFERROR(VLOOKUP(B2384,'Daftar Outlet'!$A$4:$B$22,2,FALSE),""))</f>
        <v/>
      </c>
      <c r="D2384" s="8" t="n"/>
      <c r="E2384" s="6" t="n"/>
      <c r="F2384" s="8" t="n"/>
    </row>
    <row r="2385">
      <c r="A2385" s="7" t="n"/>
      <c r="B2385" s="8" t="n"/>
      <c r="C2385" s="9">
        <f>IF(B2385="","",IFERROR(VLOOKUP(B2385,'Daftar Outlet'!$A$4:$B$22,2,FALSE),""))</f>
        <v/>
      </c>
      <c r="D2385" s="8" t="n"/>
      <c r="E2385" s="6" t="n"/>
      <c r="F2385" s="8" t="n"/>
    </row>
    <row r="2386">
      <c r="A2386" s="7" t="n"/>
      <c r="B2386" s="8" t="n"/>
      <c r="C2386" s="9">
        <f>IF(B2386="","",IFERROR(VLOOKUP(B2386,'Daftar Outlet'!$A$4:$B$22,2,FALSE),""))</f>
        <v/>
      </c>
      <c r="D2386" s="8" t="n"/>
      <c r="E2386" s="6" t="n"/>
      <c r="F2386" s="8" t="n"/>
    </row>
    <row r="2387">
      <c r="A2387" s="7" t="n"/>
      <c r="B2387" s="8" t="n"/>
      <c r="C2387" s="9">
        <f>IF(B2387="","",IFERROR(VLOOKUP(B2387,'Daftar Outlet'!$A$4:$B$22,2,FALSE),""))</f>
        <v/>
      </c>
      <c r="D2387" s="8" t="n"/>
      <c r="E2387" s="6" t="n"/>
      <c r="F2387" s="8" t="n"/>
    </row>
    <row r="2388">
      <c r="A2388" s="7" t="n"/>
      <c r="B2388" s="8" t="n"/>
      <c r="C2388" s="9">
        <f>IF(B2388="","",IFERROR(VLOOKUP(B2388,'Daftar Outlet'!$A$4:$B$22,2,FALSE),""))</f>
        <v/>
      </c>
      <c r="D2388" s="8" t="n"/>
      <c r="E2388" s="6" t="n"/>
      <c r="F2388" s="8" t="n"/>
    </row>
    <row r="2389">
      <c r="A2389" s="7" t="n"/>
      <c r="B2389" s="8" t="n"/>
      <c r="C2389" s="9">
        <f>IF(B2389="","",IFERROR(VLOOKUP(B2389,'Daftar Outlet'!$A$4:$B$22,2,FALSE),""))</f>
        <v/>
      </c>
      <c r="D2389" s="8" t="n"/>
      <c r="E2389" s="6" t="n"/>
      <c r="F2389" s="8" t="n"/>
    </row>
    <row r="2390">
      <c r="A2390" s="7" t="n"/>
      <c r="B2390" s="8" t="n"/>
      <c r="C2390" s="9">
        <f>IF(B2390="","",IFERROR(VLOOKUP(B2390,'Daftar Outlet'!$A$4:$B$22,2,FALSE),""))</f>
        <v/>
      </c>
      <c r="D2390" s="8" t="n"/>
      <c r="E2390" s="6" t="n"/>
      <c r="F2390" s="8" t="n"/>
    </row>
    <row r="2391">
      <c r="A2391" s="7" t="n"/>
      <c r="B2391" s="8" t="n"/>
      <c r="C2391" s="9">
        <f>IF(B2391="","",IFERROR(VLOOKUP(B2391,'Daftar Outlet'!$A$4:$B$22,2,FALSE),""))</f>
        <v/>
      </c>
      <c r="D2391" s="8" t="n"/>
      <c r="E2391" s="6" t="n"/>
      <c r="F2391" s="8" t="n"/>
    </row>
    <row r="2392">
      <c r="A2392" s="7" t="n"/>
      <c r="B2392" s="8" t="n"/>
      <c r="C2392" s="9">
        <f>IF(B2392="","",IFERROR(VLOOKUP(B2392,'Daftar Outlet'!$A$4:$B$22,2,FALSE),""))</f>
        <v/>
      </c>
      <c r="D2392" s="8" t="n"/>
      <c r="E2392" s="6" t="n"/>
      <c r="F2392" s="8" t="n"/>
    </row>
    <row r="2393">
      <c r="A2393" s="7" t="n"/>
      <c r="B2393" s="8" t="n"/>
      <c r="C2393" s="9">
        <f>IF(B2393="","",IFERROR(VLOOKUP(B2393,'Daftar Outlet'!$A$4:$B$22,2,FALSE),""))</f>
        <v/>
      </c>
      <c r="D2393" s="8" t="n"/>
      <c r="E2393" s="6" t="n"/>
      <c r="F2393" s="8" t="n"/>
    </row>
    <row r="2394">
      <c r="A2394" s="7" t="n"/>
      <c r="B2394" s="8" t="n"/>
      <c r="C2394" s="9">
        <f>IF(B2394="","",IFERROR(VLOOKUP(B2394,'Daftar Outlet'!$A$4:$B$22,2,FALSE),""))</f>
        <v/>
      </c>
      <c r="D2394" s="8" t="n"/>
      <c r="E2394" s="6" t="n"/>
      <c r="F2394" s="8" t="n"/>
    </row>
    <row r="2395">
      <c r="A2395" s="7" t="n"/>
      <c r="B2395" s="8" t="n"/>
      <c r="C2395" s="9">
        <f>IF(B2395="","",IFERROR(VLOOKUP(B2395,'Daftar Outlet'!$A$4:$B$22,2,FALSE),""))</f>
        <v/>
      </c>
      <c r="D2395" s="8" t="n"/>
      <c r="E2395" s="6" t="n"/>
      <c r="F2395" s="8" t="n"/>
    </row>
    <row r="2396">
      <c r="A2396" s="7" t="n"/>
      <c r="B2396" s="8" t="n"/>
      <c r="C2396" s="9">
        <f>IF(B2396="","",IFERROR(VLOOKUP(B2396,'Daftar Outlet'!$A$4:$B$22,2,FALSE),""))</f>
        <v/>
      </c>
      <c r="D2396" s="8" t="n"/>
      <c r="E2396" s="6" t="n"/>
      <c r="F2396" s="8" t="n"/>
    </row>
    <row r="2397">
      <c r="A2397" s="7" t="n"/>
      <c r="B2397" s="8" t="n"/>
      <c r="C2397" s="9">
        <f>IF(B2397="","",IFERROR(VLOOKUP(B2397,'Daftar Outlet'!$A$4:$B$22,2,FALSE),""))</f>
        <v/>
      </c>
      <c r="D2397" s="8" t="n"/>
      <c r="E2397" s="6" t="n"/>
      <c r="F2397" s="8" t="n"/>
    </row>
    <row r="2398">
      <c r="A2398" s="7" t="n"/>
      <c r="B2398" s="8" t="n"/>
      <c r="C2398" s="9">
        <f>IF(B2398="","",IFERROR(VLOOKUP(B2398,'Daftar Outlet'!$A$4:$B$22,2,FALSE),""))</f>
        <v/>
      </c>
      <c r="D2398" s="8" t="n"/>
      <c r="E2398" s="6" t="n"/>
      <c r="F2398" s="8" t="n"/>
    </row>
    <row r="2399">
      <c r="A2399" s="7" t="n"/>
      <c r="B2399" s="8" t="n"/>
      <c r="C2399" s="9">
        <f>IF(B2399="","",IFERROR(VLOOKUP(B2399,'Daftar Outlet'!$A$4:$B$22,2,FALSE),""))</f>
        <v/>
      </c>
      <c r="D2399" s="8" t="n"/>
      <c r="E2399" s="6" t="n"/>
      <c r="F2399" s="8" t="n"/>
    </row>
    <row r="2400">
      <c r="A2400" s="7" t="n"/>
      <c r="B2400" s="8" t="n"/>
      <c r="C2400" s="9">
        <f>IF(B2400="","",IFERROR(VLOOKUP(B2400,'Daftar Outlet'!$A$4:$B$22,2,FALSE),""))</f>
        <v/>
      </c>
      <c r="D2400" s="8" t="n"/>
      <c r="E2400" s="6" t="n"/>
      <c r="F2400" s="8" t="n"/>
    </row>
    <row r="2401">
      <c r="A2401" s="7" t="n"/>
      <c r="B2401" s="8" t="n"/>
      <c r="C2401" s="9">
        <f>IF(B2401="","",IFERROR(VLOOKUP(B2401,'Daftar Outlet'!$A$4:$B$22,2,FALSE),""))</f>
        <v/>
      </c>
      <c r="D2401" s="8" t="n"/>
      <c r="E2401" s="6" t="n"/>
      <c r="F2401" s="8" t="n"/>
    </row>
    <row r="2402">
      <c r="A2402" s="7" t="n"/>
      <c r="B2402" s="8" t="n"/>
      <c r="C2402" s="9">
        <f>IF(B2402="","",IFERROR(VLOOKUP(B2402,'Daftar Outlet'!$A$4:$B$22,2,FALSE),""))</f>
        <v/>
      </c>
      <c r="D2402" s="8" t="n"/>
      <c r="E2402" s="6" t="n"/>
      <c r="F2402" s="8" t="n"/>
    </row>
    <row r="2403">
      <c r="A2403" s="7" t="n"/>
      <c r="B2403" s="8" t="n"/>
      <c r="C2403" s="9">
        <f>IF(B2403="","",IFERROR(VLOOKUP(B2403,'Daftar Outlet'!$A$4:$B$22,2,FALSE),""))</f>
        <v/>
      </c>
      <c r="D2403" s="8" t="n"/>
      <c r="E2403" s="6" t="n"/>
      <c r="F2403" s="8" t="n"/>
    </row>
    <row r="2404">
      <c r="A2404" s="7" t="n"/>
      <c r="B2404" s="8" t="n"/>
      <c r="C2404" s="9">
        <f>IF(B2404="","",IFERROR(VLOOKUP(B2404,'Daftar Outlet'!$A$4:$B$22,2,FALSE),""))</f>
        <v/>
      </c>
      <c r="D2404" s="8" t="n"/>
      <c r="E2404" s="6" t="n"/>
      <c r="F2404" s="8" t="n"/>
    </row>
    <row r="2405">
      <c r="A2405" s="7" t="n"/>
      <c r="B2405" s="8" t="n"/>
      <c r="C2405" s="9">
        <f>IF(B2405="","",IFERROR(VLOOKUP(B2405,'Daftar Outlet'!$A$4:$B$22,2,FALSE),""))</f>
        <v/>
      </c>
      <c r="D2405" s="8" t="n"/>
      <c r="E2405" s="6" t="n"/>
      <c r="F2405" s="8" t="n"/>
    </row>
    <row r="2406">
      <c r="A2406" s="7" t="n"/>
      <c r="B2406" s="8" t="n"/>
      <c r="C2406" s="9">
        <f>IF(B2406="","",IFERROR(VLOOKUP(B2406,'Daftar Outlet'!$A$4:$B$22,2,FALSE),""))</f>
        <v/>
      </c>
      <c r="D2406" s="8" t="n"/>
      <c r="E2406" s="6" t="n"/>
      <c r="F2406" s="8" t="n"/>
    </row>
    <row r="2407">
      <c r="A2407" s="7" t="n"/>
      <c r="B2407" s="8" t="n"/>
      <c r="C2407" s="9">
        <f>IF(B2407="","",IFERROR(VLOOKUP(B2407,'Daftar Outlet'!$A$4:$B$22,2,FALSE),""))</f>
        <v/>
      </c>
      <c r="D2407" s="8" t="n"/>
      <c r="E2407" s="6" t="n"/>
      <c r="F2407" s="8" t="n"/>
    </row>
    <row r="2408">
      <c r="A2408" s="7" t="n"/>
      <c r="B2408" s="8" t="n"/>
      <c r="C2408" s="9">
        <f>IF(B2408="","",IFERROR(VLOOKUP(B2408,'Daftar Outlet'!$A$4:$B$22,2,FALSE),""))</f>
        <v/>
      </c>
      <c r="D2408" s="8" t="n"/>
      <c r="E2408" s="6" t="n"/>
      <c r="F2408" s="8" t="n"/>
    </row>
    <row r="2409">
      <c r="A2409" s="7" t="n"/>
      <c r="B2409" s="8" t="n"/>
      <c r="C2409" s="9">
        <f>IF(B2409="","",IFERROR(VLOOKUP(B2409,'Daftar Outlet'!$A$4:$B$22,2,FALSE),""))</f>
        <v/>
      </c>
      <c r="D2409" s="8" t="n"/>
      <c r="E2409" s="6" t="n"/>
      <c r="F2409" s="8" t="n"/>
    </row>
    <row r="2410">
      <c r="A2410" s="7" t="n"/>
      <c r="B2410" s="8" t="n"/>
      <c r="C2410" s="9">
        <f>IF(B2410="","",IFERROR(VLOOKUP(B2410,'Daftar Outlet'!$A$4:$B$22,2,FALSE),""))</f>
        <v/>
      </c>
      <c r="D2410" s="8" t="n"/>
      <c r="E2410" s="6" t="n"/>
      <c r="F2410" s="8" t="n"/>
    </row>
    <row r="2411">
      <c r="A2411" s="7" t="n"/>
      <c r="B2411" s="8" t="n"/>
      <c r="C2411" s="9">
        <f>IF(B2411="","",IFERROR(VLOOKUP(B2411,'Daftar Outlet'!$A$4:$B$22,2,FALSE),""))</f>
        <v/>
      </c>
      <c r="D2411" s="8" t="n"/>
      <c r="E2411" s="6" t="n"/>
      <c r="F2411" s="8" t="n"/>
    </row>
    <row r="2412">
      <c r="A2412" s="7" t="n"/>
      <c r="B2412" s="8" t="n"/>
      <c r="C2412" s="9">
        <f>IF(B2412="","",IFERROR(VLOOKUP(B2412,'Daftar Outlet'!$A$4:$B$22,2,FALSE),""))</f>
        <v/>
      </c>
      <c r="D2412" s="8" t="n"/>
      <c r="E2412" s="6" t="n"/>
      <c r="F2412" s="8" t="n"/>
    </row>
    <row r="2413">
      <c r="A2413" s="7" t="n"/>
      <c r="B2413" s="8" t="n"/>
      <c r="C2413" s="9">
        <f>IF(B2413="","",IFERROR(VLOOKUP(B2413,'Daftar Outlet'!$A$4:$B$22,2,FALSE),""))</f>
        <v/>
      </c>
      <c r="D2413" s="8" t="n"/>
      <c r="E2413" s="6" t="n"/>
      <c r="F2413" s="8" t="n"/>
    </row>
    <row r="2414">
      <c r="A2414" s="7" t="n"/>
      <c r="B2414" s="8" t="n"/>
      <c r="C2414" s="9">
        <f>IF(B2414="","",IFERROR(VLOOKUP(B2414,'Daftar Outlet'!$A$4:$B$22,2,FALSE),""))</f>
        <v/>
      </c>
      <c r="D2414" s="8" t="n"/>
      <c r="E2414" s="6" t="n"/>
      <c r="F2414" s="8" t="n"/>
    </row>
    <row r="2415">
      <c r="A2415" s="7" t="n"/>
      <c r="B2415" s="8" t="n"/>
      <c r="C2415" s="9">
        <f>IF(B2415="","",IFERROR(VLOOKUP(B2415,'Daftar Outlet'!$A$4:$B$22,2,FALSE),""))</f>
        <v/>
      </c>
      <c r="D2415" s="8" t="n"/>
      <c r="E2415" s="6" t="n"/>
      <c r="F2415" s="8" t="n"/>
    </row>
    <row r="2416">
      <c r="A2416" s="7" t="n"/>
      <c r="B2416" s="8" t="n"/>
      <c r="C2416" s="9">
        <f>IF(B2416="","",IFERROR(VLOOKUP(B2416,'Daftar Outlet'!$A$4:$B$22,2,FALSE),""))</f>
        <v/>
      </c>
      <c r="D2416" s="8" t="n"/>
      <c r="E2416" s="6" t="n"/>
      <c r="F2416" s="8" t="n"/>
    </row>
    <row r="2417">
      <c r="A2417" s="7" t="n"/>
      <c r="B2417" s="8" t="n"/>
      <c r="C2417" s="9">
        <f>IF(B2417="","",IFERROR(VLOOKUP(B2417,'Daftar Outlet'!$A$4:$B$22,2,FALSE),""))</f>
        <v/>
      </c>
      <c r="D2417" s="8" t="n"/>
      <c r="E2417" s="6" t="n"/>
      <c r="F2417" s="8" t="n"/>
    </row>
    <row r="2418">
      <c r="A2418" s="7" t="n"/>
      <c r="B2418" s="8" t="n"/>
      <c r="C2418" s="9">
        <f>IF(B2418="","",IFERROR(VLOOKUP(B2418,'Daftar Outlet'!$A$4:$B$22,2,FALSE),""))</f>
        <v/>
      </c>
      <c r="D2418" s="8" t="n"/>
      <c r="E2418" s="6" t="n"/>
      <c r="F2418" s="8" t="n"/>
    </row>
    <row r="2419">
      <c r="A2419" s="7" t="n"/>
      <c r="B2419" s="8" t="n"/>
      <c r="C2419" s="9">
        <f>IF(B2419="","",IFERROR(VLOOKUP(B2419,'Daftar Outlet'!$A$4:$B$22,2,FALSE),""))</f>
        <v/>
      </c>
      <c r="D2419" s="8" t="n"/>
      <c r="E2419" s="6" t="n"/>
      <c r="F2419" s="8" t="n"/>
    </row>
    <row r="2420">
      <c r="A2420" s="7" t="n"/>
      <c r="B2420" s="8" t="n"/>
      <c r="C2420" s="9">
        <f>IF(B2420="","",IFERROR(VLOOKUP(B2420,'Daftar Outlet'!$A$4:$B$22,2,FALSE),""))</f>
        <v/>
      </c>
      <c r="D2420" s="8" t="n"/>
      <c r="E2420" s="6" t="n"/>
      <c r="F2420" s="8" t="n"/>
    </row>
    <row r="2421">
      <c r="A2421" s="7" t="n"/>
      <c r="B2421" s="8" t="n"/>
      <c r="C2421" s="9">
        <f>IF(B2421="","",IFERROR(VLOOKUP(B2421,'Daftar Outlet'!$A$4:$B$22,2,FALSE),""))</f>
        <v/>
      </c>
      <c r="D2421" s="8" t="n"/>
      <c r="E2421" s="6" t="n"/>
      <c r="F2421" s="8" t="n"/>
    </row>
    <row r="2422">
      <c r="A2422" s="7" t="n"/>
      <c r="B2422" s="8" t="n"/>
      <c r="C2422" s="9">
        <f>IF(B2422="","",IFERROR(VLOOKUP(B2422,'Daftar Outlet'!$A$4:$B$22,2,FALSE),""))</f>
        <v/>
      </c>
      <c r="D2422" s="8" t="n"/>
      <c r="E2422" s="6" t="n"/>
      <c r="F2422" s="8" t="n"/>
    </row>
    <row r="2423">
      <c r="A2423" s="7" t="n"/>
      <c r="B2423" s="8" t="n"/>
      <c r="C2423" s="9">
        <f>IF(B2423="","",IFERROR(VLOOKUP(B2423,'Daftar Outlet'!$A$4:$B$22,2,FALSE),""))</f>
        <v/>
      </c>
      <c r="D2423" s="8" t="n"/>
      <c r="E2423" s="6" t="n"/>
      <c r="F2423" s="8" t="n"/>
    </row>
    <row r="2424">
      <c r="A2424" s="7" t="n"/>
      <c r="B2424" s="8" t="n"/>
      <c r="C2424" s="9">
        <f>IF(B2424="","",IFERROR(VLOOKUP(B2424,'Daftar Outlet'!$A$4:$B$22,2,FALSE),""))</f>
        <v/>
      </c>
      <c r="D2424" s="8" t="n"/>
      <c r="E2424" s="6" t="n"/>
      <c r="F2424" s="8" t="n"/>
    </row>
    <row r="2425">
      <c r="A2425" s="7" t="n"/>
      <c r="B2425" s="8" t="n"/>
      <c r="C2425" s="9">
        <f>IF(B2425="","",IFERROR(VLOOKUP(B2425,'Daftar Outlet'!$A$4:$B$22,2,FALSE),""))</f>
        <v/>
      </c>
      <c r="D2425" s="8" t="n"/>
      <c r="E2425" s="6" t="n"/>
      <c r="F2425" s="8" t="n"/>
    </row>
    <row r="2426">
      <c r="A2426" s="7" t="n"/>
      <c r="B2426" s="8" t="n"/>
      <c r="C2426" s="9">
        <f>IF(B2426="","",IFERROR(VLOOKUP(B2426,'Daftar Outlet'!$A$4:$B$22,2,FALSE),""))</f>
        <v/>
      </c>
      <c r="D2426" s="8" t="n"/>
      <c r="E2426" s="6" t="n"/>
      <c r="F2426" s="8" t="n"/>
    </row>
    <row r="2427">
      <c r="A2427" s="7" t="n"/>
      <c r="B2427" s="8" t="n"/>
      <c r="C2427" s="9">
        <f>IF(B2427="","",IFERROR(VLOOKUP(B2427,'Daftar Outlet'!$A$4:$B$22,2,FALSE),""))</f>
        <v/>
      </c>
      <c r="D2427" s="8" t="n"/>
      <c r="E2427" s="6" t="n"/>
      <c r="F2427" s="8" t="n"/>
    </row>
    <row r="2428">
      <c r="A2428" s="7" t="n"/>
      <c r="B2428" s="8" t="n"/>
      <c r="C2428" s="9">
        <f>IF(B2428="","",IFERROR(VLOOKUP(B2428,'Daftar Outlet'!$A$4:$B$22,2,FALSE),""))</f>
        <v/>
      </c>
      <c r="D2428" s="8" t="n"/>
      <c r="E2428" s="6" t="n"/>
      <c r="F2428" s="8" t="n"/>
    </row>
    <row r="2429">
      <c r="A2429" s="7" t="n"/>
      <c r="B2429" s="8" t="n"/>
      <c r="C2429" s="9">
        <f>IF(B2429="","",IFERROR(VLOOKUP(B2429,'Daftar Outlet'!$A$4:$B$22,2,FALSE),""))</f>
        <v/>
      </c>
      <c r="D2429" s="8" t="n"/>
      <c r="E2429" s="6" t="n"/>
      <c r="F2429" s="8" t="n"/>
    </row>
    <row r="2430">
      <c r="A2430" s="7" t="n"/>
      <c r="B2430" s="8" t="n"/>
      <c r="C2430" s="9">
        <f>IF(B2430="","",IFERROR(VLOOKUP(B2430,'Daftar Outlet'!$A$4:$B$22,2,FALSE),""))</f>
        <v/>
      </c>
      <c r="D2430" s="8" t="n"/>
      <c r="E2430" s="6" t="n"/>
      <c r="F2430" s="8" t="n"/>
    </row>
    <row r="2431">
      <c r="A2431" s="7" t="n"/>
      <c r="B2431" s="8" t="n"/>
      <c r="C2431" s="9">
        <f>IF(B2431="","",IFERROR(VLOOKUP(B2431,'Daftar Outlet'!$A$4:$B$22,2,FALSE),""))</f>
        <v/>
      </c>
      <c r="D2431" s="8" t="n"/>
      <c r="E2431" s="6" t="n"/>
      <c r="F2431" s="8" t="n"/>
    </row>
    <row r="2432">
      <c r="A2432" s="7" t="n"/>
      <c r="B2432" s="8" t="n"/>
      <c r="C2432" s="9">
        <f>IF(B2432="","",IFERROR(VLOOKUP(B2432,'Daftar Outlet'!$A$4:$B$22,2,FALSE),""))</f>
        <v/>
      </c>
      <c r="D2432" s="8" t="n"/>
      <c r="E2432" s="6" t="n"/>
      <c r="F2432" s="8" t="n"/>
    </row>
    <row r="2433">
      <c r="A2433" s="7" t="n"/>
      <c r="B2433" s="8" t="n"/>
      <c r="C2433" s="9">
        <f>IF(B2433="","",IFERROR(VLOOKUP(B2433,'Daftar Outlet'!$A$4:$B$22,2,FALSE),""))</f>
        <v/>
      </c>
      <c r="D2433" s="8" t="n"/>
      <c r="E2433" s="6" t="n"/>
      <c r="F2433" s="8" t="n"/>
    </row>
    <row r="2434">
      <c r="A2434" s="7" t="n"/>
      <c r="B2434" s="8" t="n"/>
      <c r="C2434" s="9">
        <f>IF(B2434="","",IFERROR(VLOOKUP(B2434,'Daftar Outlet'!$A$4:$B$22,2,FALSE),""))</f>
        <v/>
      </c>
      <c r="D2434" s="8" t="n"/>
      <c r="E2434" s="6" t="n"/>
      <c r="F2434" s="8" t="n"/>
    </row>
    <row r="2435">
      <c r="A2435" s="7" t="n"/>
      <c r="B2435" s="8" t="n"/>
      <c r="C2435" s="9">
        <f>IF(B2435="","",IFERROR(VLOOKUP(B2435,'Daftar Outlet'!$A$4:$B$22,2,FALSE),""))</f>
        <v/>
      </c>
      <c r="D2435" s="8" t="n"/>
      <c r="E2435" s="6" t="n"/>
      <c r="F2435" s="8" t="n"/>
    </row>
    <row r="2436">
      <c r="A2436" s="7" t="n"/>
      <c r="B2436" s="8" t="n"/>
      <c r="C2436" s="9">
        <f>IF(B2436="","",IFERROR(VLOOKUP(B2436,'Daftar Outlet'!$A$4:$B$22,2,FALSE),""))</f>
        <v/>
      </c>
      <c r="D2436" s="8" t="n"/>
      <c r="E2436" s="6" t="n"/>
      <c r="F2436" s="8" t="n"/>
    </row>
    <row r="2437">
      <c r="A2437" s="7" t="n"/>
      <c r="B2437" s="8" t="n"/>
      <c r="C2437" s="9">
        <f>IF(B2437="","",IFERROR(VLOOKUP(B2437,'Daftar Outlet'!$A$4:$B$22,2,FALSE),""))</f>
        <v/>
      </c>
      <c r="D2437" s="8" t="n"/>
      <c r="E2437" s="6" t="n"/>
      <c r="F2437" s="8" t="n"/>
    </row>
    <row r="2438">
      <c r="A2438" s="7" t="n"/>
      <c r="B2438" s="8" t="n"/>
      <c r="C2438" s="9">
        <f>IF(B2438="","",IFERROR(VLOOKUP(B2438,'Daftar Outlet'!$A$4:$B$22,2,FALSE),""))</f>
        <v/>
      </c>
      <c r="D2438" s="8" t="n"/>
      <c r="E2438" s="6" t="n"/>
      <c r="F2438" s="8" t="n"/>
    </row>
    <row r="2439">
      <c r="A2439" s="7" t="n"/>
      <c r="B2439" s="8" t="n"/>
      <c r="C2439" s="9">
        <f>IF(B2439="","",IFERROR(VLOOKUP(B2439,'Daftar Outlet'!$A$4:$B$22,2,FALSE),""))</f>
        <v/>
      </c>
      <c r="D2439" s="8" t="n"/>
      <c r="E2439" s="6" t="n"/>
      <c r="F2439" s="8" t="n"/>
    </row>
    <row r="2440">
      <c r="A2440" s="7" t="n"/>
      <c r="B2440" s="8" t="n"/>
      <c r="C2440" s="9">
        <f>IF(B2440="","",IFERROR(VLOOKUP(B2440,'Daftar Outlet'!$A$4:$B$22,2,FALSE),""))</f>
        <v/>
      </c>
      <c r="D2440" s="8" t="n"/>
      <c r="E2440" s="6" t="n"/>
      <c r="F2440" s="8" t="n"/>
    </row>
    <row r="2441">
      <c r="A2441" s="7" t="n"/>
      <c r="B2441" s="8" t="n"/>
      <c r="C2441" s="9">
        <f>IF(B2441="","",IFERROR(VLOOKUP(B2441,'Daftar Outlet'!$A$4:$B$22,2,FALSE),""))</f>
        <v/>
      </c>
      <c r="D2441" s="8" t="n"/>
      <c r="E2441" s="6" t="n"/>
      <c r="F2441" s="8" t="n"/>
    </row>
    <row r="2442">
      <c r="A2442" s="7" t="n"/>
      <c r="B2442" s="8" t="n"/>
      <c r="C2442" s="9">
        <f>IF(B2442="","",IFERROR(VLOOKUP(B2442,'Daftar Outlet'!$A$4:$B$22,2,FALSE),""))</f>
        <v/>
      </c>
      <c r="D2442" s="8" t="n"/>
      <c r="E2442" s="6" t="n"/>
      <c r="F2442" s="8" t="n"/>
    </row>
    <row r="2443">
      <c r="A2443" s="7" t="n"/>
      <c r="B2443" s="8" t="n"/>
      <c r="C2443" s="9">
        <f>IF(B2443="","",IFERROR(VLOOKUP(B2443,'Daftar Outlet'!$A$4:$B$22,2,FALSE),""))</f>
        <v/>
      </c>
      <c r="D2443" s="8" t="n"/>
      <c r="E2443" s="6" t="n"/>
      <c r="F2443" s="8" t="n"/>
    </row>
    <row r="2444">
      <c r="A2444" s="7" t="n"/>
      <c r="B2444" s="8" t="n"/>
      <c r="C2444" s="9">
        <f>IF(B2444="","",IFERROR(VLOOKUP(B2444,'Daftar Outlet'!$A$4:$B$22,2,FALSE),""))</f>
        <v/>
      </c>
      <c r="D2444" s="8" t="n"/>
      <c r="E2444" s="6" t="n"/>
      <c r="F2444" s="8" t="n"/>
    </row>
    <row r="2445">
      <c r="A2445" s="7" t="n"/>
      <c r="B2445" s="8" t="n"/>
      <c r="C2445" s="9">
        <f>IF(B2445="","",IFERROR(VLOOKUP(B2445,'Daftar Outlet'!$A$4:$B$22,2,FALSE),""))</f>
        <v/>
      </c>
      <c r="D2445" s="8" t="n"/>
      <c r="E2445" s="6" t="n"/>
      <c r="F2445" s="8" t="n"/>
    </row>
    <row r="2446">
      <c r="A2446" s="7" t="n"/>
      <c r="B2446" s="8" t="n"/>
      <c r="C2446" s="9">
        <f>IF(B2446="","",IFERROR(VLOOKUP(B2446,'Daftar Outlet'!$A$4:$B$22,2,FALSE),""))</f>
        <v/>
      </c>
      <c r="D2446" s="8" t="n"/>
      <c r="E2446" s="6" t="n"/>
      <c r="F2446" s="8" t="n"/>
    </row>
    <row r="2447">
      <c r="A2447" s="7" t="n"/>
      <c r="B2447" s="8" t="n"/>
      <c r="C2447" s="9">
        <f>IF(B2447="","",IFERROR(VLOOKUP(B2447,'Daftar Outlet'!$A$4:$B$22,2,FALSE),""))</f>
        <v/>
      </c>
      <c r="D2447" s="8" t="n"/>
      <c r="E2447" s="6" t="n"/>
      <c r="F2447" s="8" t="n"/>
    </row>
    <row r="2448">
      <c r="A2448" s="7" t="n"/>
      <c r="B2448" s="8" t="n"/>
      <c r="C2448" s="9">
        <f>IF(B2448="","",IFERROR(VLOOKUP(B2448,'Daftar Outlet'!$A$4:$B$22,2,FALSE),""))</f>
        <v/>
      </c>
      <c r="D2448" s="8" t="n"/>
      <c r="E2448" s="6" t="n"/>
      <c r="F2448" s="8" t="n"/>
    </row>
    <row r="2449">
      <c r="A2449" s="7" t="n"/>
      <c r="B2449" s="8" t="n"/>
      <c r="C2449" s="9">
        <f>IF(B2449="","",IFERROR(VLOOKUP(B2449,'Daftar Outlet'!$A$4:$B$22,2,FALSE),""))</f>
        <v/>
      </c>
      <c r="D2449" s="8" t="n"/>
      <c r="E2449" s="6" t="n"/>
      <c r="F2449" s="8" t="n"/>
    </row>
    <row r="2450">
      <c r="A2450" s="7" t="n"/>
      <c r="B2450" s="8" t="n"/>
      <c r="C2450" s="9">
        <f>IF(B2450="","",IFERROR(VLOOKUP(B2450,'Daftar Outlet'!$A$4:$B$22,2,FALSE),""))</f>
        <v/>
      </c>
      <c r="D2450" s="8" t="n"/>
      <c r="E2450" s="6" t="n"/>
      <c r="F2450" s="8" t="n"/>
    </row>
    <row r="2451">
      <c r="A2451" s="7" t="n"/>
      <c r="B2451" s="8" t="n"/>
      <c r="C2451" s="9">
        <f>IF(B2451="","",IFERROR(VLOOKUP(B2451,'Daftar Outlet'!$A$4:$B$22,2,FALSE),""))</f>
        <v/>
      </c>
      <c r="D2451" s="8" t="n"/>
      <c r="E2451" s="6" t="n"/>
      <c r="F2451" s="8" t="n"/>
    </row>
    <row r="2452">
      <c r="A2452" s="7" t="n"/>
      <c r="B2452" s="8" t="n"/>
      <c r="C2452" s="9">
        <f>IF(B2452="","",IFERROR(VLOOKUP(B2452,'Daftar Outlet'!$A$4:$B$22,2,FALSE),""))</f>
        <v/>
      </c>
      <c r="D2452" s="8" t="n"/>
      <c r="E2452" s="6" t="n"/>
      <c r="F2452" s="8" t="n"/>
    </row>
    <row r="2453">
      <c r="A2453" s="7" t="n"/>
      <c r="B2453" s="8" t="n"/>
      <c r="C2453" s="9">
        <f>IF(B2453="","",IFERROR(VLOOKUP(B2453,'Daftar Outlet'!$A$4:$B$22,2,FALSE),""))</f>
        <v/>
      </c>
      <c r="D2453" s="8" t="n"/>
      <c r="E2453" s="6" t="n"/>
      <c r="F2453" s="8" t="n"/>
    </row>
    <row r="2454">
      <c r="A2454" s="7" t="n"/>
      <c r="B2454" s="8" t="n"/>
      <c r="C2454" s="9">
        <f>IF(B2454="","",IFERROR(VLOOKUP(B2454,'Daftar Outlet'!$A$4:$B$22,2,FALSE),""))</f>
        <v/>
      </c>
      <c r="D2454" s="8" t="n"/>
      <c r="E2454" s="6" t="n"/>
      <c r="F2454" s="8" t="n"/>
    </row>
    <row r="2455">
      <c r="A2455" s="7" t="n"/>
      <c r="B2455" s="8" t="n"/>
      <c r="C2455" s="9">
        <f>IF(B2455="","",IFERROR(VLOOKUP(B2455,'Daftar Outlet'!$A$4:$B$22,2,FALSE),""))</f>
        <v/>
      </c>
      <c r="D2455" s="8" t="n"/>
      <c r="E2455" s="6" t="n"/>
      <c r="F2455" s="8" t="n"/>
    </row>
    <row r="2456">
      <c r="A2456" s="7" t="n"/>
      <c r="B2456" s="8" t="n"/>
      <c r="C2456" s="9">
        <f>IF(B2456="","",IFERROR(VLOOKUP(B2456,'Daftar Outlet'!$A$4:$B$22,2,FALSE),""))</f>
        <v/>
      </c>
      <c r="D2456" s="8" t="n"/>
      <c r="E2456" s="6" t="n"/>
      <c r="F2456" s="8" t="n"/>
    </row>
    <row r="2457">
      <c r="A2457" s="7" t="n"/>
      <c r="B2457" s="8" t="n"/>
      <c r="C2457" s="9">
        <f>IF(B2457="","",IFERROR(VLOOKUP(B2457,'Daftar Outlet'!$A$4:$B$22,2,FALSE),""))</f>
        <v/>
      </c>
      <c r="D2457" s="8" t="n"/>
      <c r="E2457" s="6" t="n"/>
      <c r="F2457" s="8" t="n"/>
    </row>
    <row r="2458">
      <c r="A2458" s="7" t="n"/>
      <c r="B2458" s="8" t="n"/>
      <c r="C2458" s="9">
        <f>IF(B2458="","",IFERROR(VLOOKUP(B2458,'Daftar Outlet'!$A$4:$B$22,2,FALSE),""))</f>
        <v/>
      </c>
      <c r="D2458" s="8" t="n"/>
      <c r="E2458" s="6" t="n"/>
      <c r="F2458" s="8" t="n"/>
    </row>
    <row r="2459">
      <c r="A2459" s="7" t="n"/>
      <c r="B2459" s="8" t="n"/>
      <c r="C2459" s="9">
        <f>IF(B2459="","",IFERROR(VLOOKUP(B2459,'Daftar Outlet'!$A$4:$B$22,2,FALSE),""))</f>
        <v/>
      </c>
      <c r="D2459" s="8" t="n"/>
      <c r="E2459" s="6" t="n"/>
      <c r="F2459" s="8" t="n"/>
    </row>
    <row r="2460">
      <c r="A2460" s="7" t="n"/>
      <c r="B2460" s="8" t="n"/>
      <c r="C2460" s="9">
        <f>IF(B2460="","",IFERROR(VLOOKUP(B2460,'Daftar Outlet'!$A$4:$B$22,2,FALSE),""))</f>
        <v/>
      </c>
      <c r="D2460" s="8" t="n"/>
      <c r="E2460" s="6" t="n"/>
      <c r="F2460" s="8" t="n"/>
    </row>
    <row r="2461">
      <c r="A2461" s="7" t="n"/>
      <c r="B2461" s="8" t="n"/>
      <c r="C2461" s="9">
        <f>IF(B2461="","",IFERROR(VLOOKUP(B2461,'Daftar Outlet'!$A$4:$B$22,2,FALSE),""))</f>
        <v/>
      </c>
      <c r="D2461" s="8" t="n"/>
      <c r="E2461" s="6" t="n"/>
      <c r="F2461" s="8" t="n"/>
    </row>
    <row r="2462">
      <c r="A2462" s="7" t="n"/>
      <c r="B2462" s="8" t="n"/>
      <c r="C2462" s="9">
        <f>IF(B2462="","",IFERROR(VLOOKUP(B2462,'Daftar Outlet'!$A$4:$B$22,2,FALSE),""))</f>
        <v/>
      </c>
      <c r="D2462" s="8" t="n"/>
      <c r="E2462" s="6" t="n"/>
      <c r="F2462" s="8" t="n"/>
    </row>
    <row r="2463">
      <c r="A2463" s="7" t="n"/>
      <c r="B2463" s="8" t="n"/>
      <c r="C2463" s="9">
        <f>IF(B2463="","",IFERROR(VLOOKUP(B2463,'Daftar Outlet'!$A$4:$B$22,2,FALSE),""))</f>
        <v/>
      </c>
      <c r="D2463" s="8" t="n"/>
      <c r="E2463" s="6" t="n"/>
      <c r="F2463" s="8" t="n"/>
    </row>
    <row r="2464">
      <c r="A2464" s="7" t="n"/>
      <c r="B2464" s="8" t="n"/>
      <c r="C2464" s="9">
        <f>IF(B2464="","",IFERROR(VLOOKUP(B2464,'Daftar Outlet'!$A$4:$B$22,2,FALSE),""))</f>
        <v/>
      </c>
      <c r="D2464" s="8" t="n"/>
      <c r="E2464" s="6" t="n"/>
      <c r="F2464" s="8" t="n"/>
    </row>
    <row r="2465">
      <c r="A2465" s="7" t="n"/>
      <c r="B2465" s="8" t="n"/>
      <c r="C2465" s="9">
        <f>IF(B2465="","",IFERROR(VLOOKUP(B2465,'Daftar Outlet'!$A$4:$B$22,2,FALSE),""))</f>
        <v/>
      </c>
      <c r="D2465" s="8" t="n"/>
      <c r="E2465" s="6" t="n"/>
      <c r="F2465" s="8" t="n"/>
    </row>
    <row r="2466">
      <c r="A2466" s="7" t="n"/>
      <c r="B2466" s="8" t="n"/>
      <c r="C2466" s="9">
        <f>IF(B2466="","",IFERROR(VLOOKUP(B2466,'Daftar Outlet'!$A$4:$B$22,2,FALSE),""))</f>
        <v/>
      </c>
      <c r="D2466" s="8" t="n"/>
      <c r="E2466" s="6" t="n"/>
      <c r="F2466" s="8" t="n"/>
    </row>
    <row r="2467">
      <c r="A2467" s="7" t="n"/>
      <c r="B2467" s="8" t="n"/>
      <c r="C2467" s="9">
        <f>IF(B2467="","",IFERROR(VLOOKUP(B2467,'Daftar Outlet'!$A$4:$B$22,2,FALSE),""))</f>
        <v/>
      </c>
      <c r="D2467" s="8" t="n"/>
      <c r="E2467" s="6" t="n"/>
      <c r="F2467" s="8" t="n"/>
    </row>
    <row r="2468">
      <c r="A2468" s="7" t="n"/>
      <c r="B2468" s="8" t="n"/>
      <c r="C2468" s="9">
        <f>IF(B2468="","",IFERROR(VLOOKUP(B2468,'Daftar Outlet'!$A$4:$B$22,2,FALSE),""))</f>
        <v/>
      </c>
      <c r="D2468" s="8" t="n"/>
      <c r="E2468" s="6" t="n"/>
      <c r="F2468" s="8" t="n"/>
    </row>
    <row r="2469">
      <c r="A2469" s="7" t="n"/>
      <c r="B2469" s="8" t="n"/>
      <c r="C2469" s="9">
        <f>IF(B2469="","",IFERROR(VLOOKUP(B2469,'Daftar Outlet'!$A$4:$B$22,2,FALSE),""))</f>
        <v/>
      </c>
      <c r="D2469" s="8" t="n"/>
      <c r="E2469" s="6" t="n"/>
      <c r="F2469" s="8" t="n"/>
    </row>
    <row r="2470">
      <c r="A2470" s="7" t="n"/>
      <c r="B2470" s="8" t="n"/>
      <c r="C2470" s="9">
        <f>IF(B2470="","",IFERROR(VLOOKUP(B2470,'Daftar Outlet'!$A$4:$B$22,2,FALSE),""))</f>
        <v/>
      </c>
      <c r="D2470" s="8" t="n"/>
      <c r="E2470" s="6" t="n"/>
      <c r="F2470" s="8" t="n"/>
    </row>
    <row r="2471">
      <c r="A2471" s="7" t="n"/>
      <c r="B2471" s="8" t="n"/>
      <c r="C2471" s="9">
        <f>IF(B2471="","",IFERROR(VLOOKUP(B2471,'Daftar Outlet'!$A$4:$B$22,2,FALSE),""))</f>
        <v/>
      </c>
      <c r="D2471" s="8" t="n"/>
      <c r="E2471" s="6" t="n"/>
      <c r="F2471" s="8" t="n"/>
    </row>
    <row r="2472">
      <c r="A2472" s="7" t="n"/>
      <c r="B2472" s="8" t="n"/>
      <c r="C2472" s="9">
        <f>IF(B2472="","",IFERROR(VLOOKUP(B2472,'Daftar Outlet'!$A$4:$B$22,2,FALSE),""))</f>
        <v/>
      </c>
      <c r="D2472" s="8" t="n"/>
      <c r="E2472" s="6" t="n"/>
      <c r="F2472" s="8" t="n"/>
    </row>
    <row r="2473">
      <c r="A2473" s="7" t="n"/>
      <c r="B2473" s="8" t="n"/>
      <c r="C2473" s="9">
        <f>IF(B2473="","",IFERROR(VLOOKUP(B2473,'Daftar Outlet'!$A$4:$B$22,2,FALSE),""))</f>
        <v/>
      </c>
      <c r="D2473" s="8" t="n"/>
      <c r="E2473" s="6" t="n"/>
      <c r="F2473" s="8" t="n"/>
    </row>
    <row r="2474">
      <c r="A2474" s="7" t="n"/>
      <c r="B2474" s="8" t="n"/>
      <c r="C2474" s="9">
        <f>IF(B2474="","",IFERROR(VLOOKUP(B2474,'Daftar Outlet'!$A$4:$B$22,2,FALSE),""))</f>
        <v/>
      </c>
      <c r="D2474" s="8" t="n"/>
      <c r="E2474" s="6" t="n"/>
      <c r="F2474" s="8" t="n"/>
    </row>
    <row r="2475">
      <c r="A2475" s="7" t="n"/>
      <c r="B2475" s="8" t="n"/>
      <c r="C2475" s="9">
        <f>IF(B2475="","",IFERROR(VLOOKUP(B2475,'Daftar Outlet'!$A$4:$B$22,2,FALSE),""))</f>
        <v/>
      </c>
      <c r="D2475" s="8" t="n"/>
      <c r="E2475" s="6" t="n"/>
      <c r="F2475" s="8" t="n"/>
    </row>
    <row r="2476">
      <c r="A2476" s="7" t="n"/>
      <c r="B2476" s="8" t="n"/>
      <c r="C2476" s="9">
        <f>IF(B2476="","",IFERROR(VLOOKUP(B2476,'Daftar Outlet'!$A$4:$B$22,2,FALSE),""))</f>
        <v/>
      </c>
      <c r="D2476" s="8" t="n"/>
      <c r="E2476" s="6" t="n"/>
      <c r="F2476" s="8" t="n"/>
    </row>
    <row r="2477">
      <c r="A2477" s="7" t="n"/>
      <c r="B2477" s="8" t="n"/>
      <c r="C2477" s="9">
        <f>IF(B2477="","",IFERROR(VLOOKUP(B2477,'Daftar Outlet'!$A$4:$B$22,2,FALSE),""))</f>
        <v/>
      </c>
      <c r="D2477" s="8" t="n"/>
      <c r="E2477" s="6" t="n"/>
      <c r="F2477" s="8" t="n"/>
    </row>
    <row r="2478">
      <c r="A2478" s="7" t="n"/>
      <c r="B2478" s="8" t="n"/>
      <c r="C2478" s="9">
        <f>IF(B2478="","",IFERROR(VLOOKUP(B2478,'Daftar Outlet'!$A$4:$B$22,2,FALSE),""))</f>
        <v/>
      </c>
      <c r="D2478" s="8" t="n"/>
      <c r="E2478" s="6" t="n"/>
      <c r="F2478" s="8" t="n"/>
    </row>
    <row r="2479">
      <c r="A2479" s="7" t="n"/>
      <c r="B2479" s="8" t="n"/>
      <c r="C2479" s="9">
        <f>IF(B2479="","",IFERROR(VLOOKUP(B2479,'Daftar Outlet'!$A$4:$B$22,2,FALSE),""))</f>
        <v/>
      </c>
      <c r="D2479" s="8" t="n"/>
      <c r="E2479" s="6" t="n"/>
      <c r="F2479" s="8" t="n"/>
    </row>
    <row r="2480">
      <c r="A2480" s="7" t="n"/>
      <c r="B2480" s="8" t="n"/>
      <c r="C2480" s="9">
        <f>IF(B2480="","",IFERROR(VLOOKUP(B2480,'Daftar Outlet'!$A$4:$B$22,2,FALSE),""))</f>
        <v/>
      </c>
      <c r="D2480" s="8" t="n"/>
      <c r="E2480" s="6" t="n"/>
      <c r="F2480" s="8" t="n"/>
    </row>
    <row r="2481">
      <c r="A2481" s="7" t="n"/>
      <c r="B2481" s="8" t="n"/>
      <c r="C2481" s="9">
        <f>IF(B2481="","",IFERROR(VLOOKUP(B2481,'Daftar Outlet'!$A$4:$B$22,2,FALSE),""))</f>
        <v/>
      </c>
      <c r="D2481" s="8" t="n"/>
      <c r="E2481" s="6" t="n"/>
      <c r="F2481" s="8" t="n"/>
    </row>
    <row r="2482">
      <c r="A2482" s="7" t="n"/>
      <c r="B2482" s="8" t="n"/>
      <c r="C2482" s="9">
        <f>IF(B2482="","",IFERROR(VLOOKUP(B2482,'Daftar Outlet'!$A$4:$B$22,2,FALSE),""))</f>
        <v/>
      </c>
      <c r="D2482" s="8" t="n"/>
      <c r="E2482" s="6" t="n"/>
      <c r="F2482" s="8" t="n"/>
    </row>
    <row r="2483">
      <c r="A2483" s="7" t="n"/>
      <c r="B2483" s="8" t="n"/>
      <c r="C2483" s="9">
        <f>IF(B2483="","",IFERROR(VLOOKUP(B2483,'Daftar Outlet'!$A$4:$B$22,2,FALSE),""))</f>
        <v/>
      </c>
      <c r="D2483" s="8" t="n"/>
      <c r="E2483" s="6" t="n"/>
      <c r="F2483" s="8" t="n"/>
    </row>
    <row r="2484">
      <c r="A2484" s="7" t="n"/>
      <c r="B2484" s="8" t="n"/>
      <c r="C2484" s="9">
        <f>IF(B2484="","",IFERROR(VLOOKUP(B2484,'Daftar Outlet'!$A$4:$B$22,2,FALSE),""))</f>
        <v/>
      </c>
      <c r="D2484" s="8" t="n"/>
      <c r="E2484" s="6" t="n"/>
      <c r="F2484" s="8" t="n"/>
    </row>
    <row r="2485">
      <c r="A2485" s="7" t="n"/>
      <c r="B2485" s="8" t="n"/>
      <c r="C2485" s="9">
        <f>IF(B2485="","",IFERROR(VLOOKUP(B2485,'Daftar Outlet'!$A$4:$B$22,2,FALSE),""))</f>
        <v/>
      </c>
      <c r="D2485" s="8" t="n"/>
      <c r="E2485" s="6" t="n"/>
      <c r="F2485" s="8" t="n"/>
    </row>
    <row r="2486">
      <c r="A2486" s="7" t="n"/>
      <c r="B2486" s="8" t="n"/>
      <c r="C2486" s="9">
        <f>IF(B2486="","",IFERROR(VLOOKUP(B2486,'Daftar Outlet'!$A$4:$B$22,2,FALSE),""))</f>
        <v/>
      </c>
      <c r="D2486" s="8" t="n"/>
      <c r="E2486" s="6" t="n"/>
      <c r="F2486" s="8" t="n"/>
    </row>
    <row r="2487">
      <c r="A2487" s="7" t="n"/>
      <c r="B2487" s="8" t="n"/>
      <c r="C2487" s="9">
        <f>IF(B2487="","",IFERROR(VLOOKUP(B2487,'Daftar Outlet'!$A$4:$B$22,2,FALSE),""))</f>
        <v/>
      </c>
      <c r="D2487" s="8" t="n"/>
      <c r="E2487" s="6" t="n"/>
      <c r="F2487" s="8" t="n"/>
    </row>
    <row r="2488">
      <c r="A2488" s="7" t="n"/>
      <c r="B2488" s="8" t="n"/>
      <c r="C2488" s="9">
        <f>IF(B2488="","",IFERROR(VLOOKUP(B2488,'Daftar Outlet'!$A$4:$B$22,2,FALSE),""))</f>
        <v/>
      </c>
      <c r="D2488" s="8" t="n"/>
      <c r="E2488" s="6" t="n"/>
      <c r="F2488" s="8" t="n"/>
    </row>
    <row r="2489">
      <c r="A2489" s="7" t="n"/>
      <c r="B2489" s="8" t="n"/>
      <c r="C2489" s="9">
        <f>IF(B2489="","",IFERROR(VLOOKUP(B2489,'Daftar Outlet'!$A$4:$B$22,2,FALSE),""))</f>
        <v/>
      </c>
      <c r="D2489" s="8" t="n"/>
      <c r="E2489" s="6" t="n"/>
      <c r="F2489" s="8" t="n"/>
    </row>
    <row r="2490">
      <c r="A2490" s="7" t="n"/>
      <c r="B2490" s="8" t="n"/>
      <c r="C2490" s="9">
        <f>IF(B2490="","",IFERROR(VLOOKUP(B2490,'Daftar Outlet'!$A$4:$B$22,2,FALSE),""))</f>
        <v/>
      </c>
      <c r="D2490" s="8" t="n"/>
      <c r="E2490" s="6" t="n"/>
      <c r="F2490" s="8" t="n"/>
    </row>
    <row r="2491">
      <c r="A2491" s="7" t="n"/>
      <c r="B2491" s="8" t="n"/>
      <c r="C2491" s="9">
        <f>IF(B2491="","",IFERROR(VLOOKUP(B2491,'Daftar Outlet'!$A$4:$B$22,2,FALSE),""))</f>
        <v/>
      </c>
      <c r="D2491" s="8" t="n"/>
      <c r="E2491" s="6" t="n"/>
      <c r="F2491" s="8" t="n"/>
    </row>
    <row r="2492">
      <c r="A2492" s="7" t="n"/>
      <c r="B2492" s="8" t="n"/>
      <c r="C2492" s="9">
        <f>IF(B2492="","",IFERROR(VLOOKUP(B2492,'Daftar Outlet'!$A$4:$B$22,2,FALSE),""))</f>
        <v/>
      </c>
      <c r="D2492" s="8" t="n"/>
      <c r="E2492" s="6" t="n"/>
      <c r="F2492" s="8" t="n"/>
    </row>
    <row r="2493">
      <c r="A2493" s="7" t="n"/>
      <c r="B2493" s="8" t="n"/>
      <c r="C2493" s="9">
        <f>IF(B2493="","",IFERROR(VLOOKUP(B2493,'Daftar Outlet'!$A$4:$B$22,2,FALSE),""))</f>
        <v/>
      </c>
      <c r="D2493" s="8" t="n"/>
      <c r="E2493" s="6" t="n"/>
      <c r="F2493" s="8" t="n"/>
    </row>
    <row r="2494">
      <c r="A2494" s="7" t="n"/>
      <c r="B2494" s="8" t="n"/>
      <c r="C2494" s="9">
        <f>IF(B2494="","",IFERROR(VLOOKUP(B2494,'Daftar Outlet'!$A$4:$B$22,2,FALSE),""))</f>
        <v/>
      </c>
      <c r="D2494" s="8" t="n"/>
      <c r="E2494" s="6" t="n"/>
      <c r="F2494" s="8" t="n"/>
    </row>
    <row r="2495">
      <c r="A2495" s="7" t="n"/>
      <c r="B2495" s="8" t="n"/>
      <c r="C2495" s="9">
        <f>IF(B2495="","",IFERROR(VLOOKUP(B2495,'Daftar Outlet'!$A$4:$B$22,2,FALSE),""))</f>
        <v/>
      </c>
      <c r="D2495" s="8" t="n"/>
      <c r="E2495" s="6" t="n"/>
      <c r="F2495" s="8" t="n"/>
    </row>
    <row r="2496">
      <c r="A2496" s="7" t="n"/>
      <c r="B2496" s="8" t="n"/>
      <c r="C2496" s="9">
        <f>IF(B2496="","",IFERROR(VLOOKUP(B2496,'Daftar Outlet'!$A$4:$B$22,2,FALSE),""))</f>
        <v/>
      </c>
      <c r="D2496" s="8" t="n"/>
      <c r="E2496" s="6" t="n"/>
      <c r="F2496" s="8" t="n"/>
    </row>
    <row r="2497">
      <c r="A2497" s="7" t="n"/>
      <c r="B2497" s="8" t="n"/>
      <c r="C2497" s="9">
        <f>IF(B2497="","",IFERROR(VLOOKUP(B2497,'Daftar Outlet'!$A$4:$B$22,2,FALSE),""))</f>
        <v/>
      </c>
      <c r="D2497" s="8" t="n"/>
      <c r="E2497" s="6" t="n"/>
      <c r="F2497" s="8" t="n"/>
    </row>
    <row r="2498">
      <c r="A2498" s="7" t="n"/>
      <c r="B2498" s="8" t="n"/>
      <c r="C2498" s="9">
        <f>IF(B2498="","",IFERROR(VLOOKUP(B2498,'Daftar Outlet'!$A$4:$B$22,2,FALSE),""))</f>
        <v/>
      </c>
      <c r="D2498" s="8" t="n"/>
      <c r="E2498" s="6" t="n"/>
      <c r="F2498" s="8" t="n"/>
    </row>
    <row r="2499">
      <c r="A2499" s="7" t="n"/>
      <c r="B2499" s="8" t="n"/>
      <c r="C2499" s="9">
        <f>IF(B2499="","",IFERROR(VLOOKUP(B2499,'Daftar Outlet'!$A$4:$B$22,2,FALSE),""))</f>
        <v/>
      </c>
      <c r="D2499" s="8" t="n"/>
      <c r="E2499" s="6" t="n"/>
      <c r="F2499" s="8" t="n"/>
    </row>
    <row r="2500">
      <c r="A2500" s="7" t="n"/>
      <c r="B2500" s="8" t="n"/>
      <c r="C2500" s="9">
        <f>IF(B2500="","",IFERROR(VLOOKUP(B2500,'Daftar Outlet'!$A$4:$B$22,2,FALSE),""))</f>
        <v/>
      </c>
      <c r="D2500" s="8" t="n"/>
      <c r="E2500" s="6" t="n"/>
      <c r="F2500" s="8" t="n"/>
    </row>
    <row r="2501">
      <c r="A2501" s="7" t="n"/>
      <c r="B2501" s="8" t="n"/>
      <c r="C2501" s="9">
        <f>IF(B2501="","",IFERROR(VLOOKUP(B2501,'Daftar Outlet'!$A$4:$B$22,2,FALSE),""))</f>
        <v/>
      </c>
      <c r="D2501" s="8" t="n"/>
      <c r="E2501" s="6" t="n"/>
      <c r="F2501" s="8" t="n"/>
    </row>
    <row r="2502">
      <c r="A2502" s="7" t="n"/>
      <c r="B2502" s="8" t="n"/>
      <c r="C2502" s="9">
        <f>IF(B2502="","",IFERROR(VLOOKUP(B2502,'Daftar Outlet'!$A$4:$B$22,2,FALSE),""))</f>
        <v/>
      </c>
      <c r="D2502" s="8" t="n"/>
      <c r="E2502" s="6" t="n"/>
      <c r="F2502" s="8" t="n"/>
    </row>
    <row r="2503">
      <c r="A2503" s="7" t="n"/>
      <c r="B2503" s="8" t="n"/>
      <c r="C2503" s="9">
        <f>IF(B2503="","",IFERROR(VLOOKUP(B2503,'Daftar Outlet'!$A$4:$B$22,2,FALSE),""))</f>
        <v/>
      </c>
      <c r="D2503" s="8" t="n"/>
      <c r="E2503" s="6" t="n"/>
      <c r="F2503" s="8" t="n"/>
    </row>
    <row r="2504">
      <c r="A2504" s="7" t="n"/>
      <c r="B2504" s="8" t="n"/>
      <c r="C2504" s="9">
        <f>IF(B2504="","",IFERROR(VLOOKUP(B2504,'Daftar Outlet'!$A$4:$B$22,2,FALSE),""))</f>
        <v/>
      </c>
      <c r="D2504" s="8" t="n"/>
      <c r="E2504" s="6" t="n"/>
      <c r="F2504" s="8" t="n"/>
    </row>
    <row r="2505">
      <c r="A2505" s="7" t="n"/>
      <c r="B2505" s="8" t="n"/>
      <c r="C2505" s="9">
        <f>IF(B2505="","",IFERROR(VLOOKUP(B2505,'Daftar Outlet'!$A$4:$B$22,2,FALSE),""))</f>
        <v/>
      </c>
      <c r="D2505" s="8" t="n"/>
      <c r="E2505" s="6" t="n"/>
      <c r="F2505" s="8" t="n"/>
    </row>
    <row r="2506">
      <c r="A2506" s="7" t="n"/>
      <c r="B2506" s="8" t="n"/>
      <c r="C2506" s="9">
        <f>IF(B2506="","",IFERROR(VLOOKUP(B2506,'Daftar Outlet'!$A$4:$B$22,2,FALSE),""))</f>
        <v/>
      </c>
      <c r="D2506" s="8" t="n"/>
      <c r="E2506" s="6" t="n"/>
      <c r="F2506" s="8" t="n"/>
    </row>
    <row r="2507">
      <c r="A2507" s="7" t="n"/>
      <c r="B2507" s="8" t="n"/>
      <c r="C2507" s="9">
        <f>IF(B2507="","",IFERROR(VLOOKUP(B2507,'Daftar Outlet'!$A$4:$B$22,2,FALSE),""))</f>
        <v/>
      </c>
      <c r="D2507" s="8" t="n"/>
      <c r="E2507" s="6" t="n"/>
      <c r="F2507" s="8" t="n"/>
    </row>
    <row r="2508">
      <c r="A2508" s="7" t="n"/>
      <c r="B2508" s="8" t="n"/>
      <c r="C2508" s="9">
        <f>IF(B2508="","",IFERROR(VLOOKUP(B2508,'Daftar Outlet'!$A$4:$B$22,2,FALSE),""))</f>
        <v/>
      </c>
      <c r="D2508" s="8" t="n"/>
      <c r="E2508" s="6" t="n"/>
      <c r="F2508" s="8" t="n"/>
    </row>
    <row r="2509">
      <c r="A2509" s="7" t="n"/>
      <c r="B2509" s="8" t="n"/>
      <c r="C2509" s="9">
        <f>IF(B2509="","",IFERROR(VLOOKUP(B2509,'Daftar Outlet'!$A$4:$B$22,2,FALSE),""))</f>
        <v/>
      </c>
      <c r="D2509" s="8" t="n"/>
      <c r="E2509" s="6" t="n"/>
      <c r="F2509" s="8" t="n"/>
    </row>
    <row r="2510">
      <c r="A2510" s="7" t="n"/>
      <c r="B2510" s="8" t="n"/>
      <c r="C2510" s="9">
        <f>IF(B2510="","",IFERROR(VLOOKUP(B2510,'Daftar Outlet'!$A$4:$B$22,2,FALSE),""))</f>
        <v/>
      </c>
      <c r="D2510" s="8" t="n"/>
      <c r="E2510" s="6" t="n"/>
      <c r="F2510" s="8" t="n"/>
    </row>
    <row r="2511">
      <c r="A2511" s="7" t="n"/>
      <c r="B2511" s="8" t="n"/>
      <c r="C2511" s="9">
        <f>IF(B2511="","",IFERROR(VLOOKUP(B2511,'Daftar Outlet'!$A$4:$B$22,2,FALSE),""))</f>
        <v/>
      </c>
      <c r="D2511" s="8" t="n"/>
      <c r="E2511" s="6" t="n"/>
      <c r="F2511" s="8" t="n"/>
    </row>
    <row r="2512">
      <c r="A2512" s="7" t="n"/>
      <c r="B2512" s="8" t="n"/>
      <c r="C2512" s="9">
        <f>IF(B2512="","",IFERROR(VLOOKUP(B2512,'Daftar Outlet'!$A$4:$B$22,2,FALSE),""))</f>
        <v/>
      </c>
      <c r="D2512" s="8" t="n"/>
      <c r="E2512" s="6" t="n"/>
      <c r="F2512" s="8" t="n"/>
    </row>
    <row r="2513">
      <c r="A2513" s="7" t="n"/>
      <c r="B2513" s="8" t="n"/>
      <c r="C2513" s="9">
        <f>IF(B2513="","",IFERROR(VLOOKUP(B2513,'Daftar Outlet'!$A$4:$B$22,2,FALSE),""))</f>
        <v/>
      </c>
      <c r="D2513" s="8" t="n"/>
      <c r="E2513" s="6" t="n"/>
      <c r="F2513" s="8" t="n"/>
    </row>
    <row r="2514">
      <c r="A2514" s="7" t="n"/>
      <c r="B2514" s="8" t="n"/>
      <c r="C2514" s="9">
        <f>IF(B2514="","",IFERROR(VLOOKUP(B2514,'Daftar Outlet'!$A$4:$B$22,2,FALSE),""))</f>
        <v/>
      </c>
      <c r="D2514" s="8" t="n"/>
      <c r="E2514" s="6" t="n"/>
      <c r="F2514" s="8" t="n"/>
    </row>
    <row r="2515">
      <c r="A2515" s="7" t="n"/>
      <c r="B2515" s="8" t="n"/>
      <c r="C2515" s="9">
        <f>IF(B2515="","",IFERROR(VLOOKUP(B2515,'Daftar Outlet'!$A$4:$B$22,2,FALSE),""))</f>
        <v/>
      </c>
      <c r="D2515" s="8" t="n"/>
      <c r="E2515" s="6" t="n"/>
      <c r="F2515" s="8" t="n"/>
    </row>
    <row r="2516">
      <c r="A2516" s="7" t="n"/>
      <c r="B2516" s="8" t="n"/>
      <c r="C2516" s="9">
        <f>IF(B2516="","",IFERROR(VLOOKUP(B2516,'Daftar Outlet'!$A$4:$B$22,2,FALSE),""))</f>
        <v/>
      </c>
      <c r="D2516" s="8" t="n"/>
      <c r="E2516" s="6" t="n"/>
      <c r="F2516" s="8" t="n"/>
    </row>
    <row r="2517">
      <c r="A2517" s="7" t="n"/>
      <c r="B2517" s="8" t="n"/>
      <c r="C2517" s="9">
        <f>IF(B2517="","",IFERROR(VLOOKUP(B2517,'Daftar Outlet'!$A$4:$B$22,2,FALSE),""))</f>
        <v/>
      </c>
      <c r="D2517" s="8" t="n"/>
      <c r="E2517" s="6" t="n"/>
      <c r="F2517" s="8" t="n"/>
    </row>
    <row r="2518">
      <c r="A2518" s="7" t="n"/>
      <c r="B2518" s="8" t="n"/>
      <c r="C2518" s="9">
        <f>IF(B2518="","",IFERROR(VLOOKUP(B2518,'Daftar Outlet'!$A$4:$B$22,2,FALSE),""))</f>
        <v/>
      </c>
      <c r="D2518" s="8" t="n"/>
      <c r="E2518" s="6" t="n"/>
      <c r="F2518" s="8" t="n"/>
    </row>
    <row r="2519">
      <c r="A2519" s="7" t="n"/>
      <c r="B2519" s="8" t="n"/>
      <c r="C2519" s="9">
        <f>IF(B2519="","",IFERROR(VLOOKUP(B2519,'Daftar Outlet'!$A$4:$B$22,2,FALSE),""))</f>
        <v/>
      </c>
      <c r="D2519" s="8" t="n"/>
      <c r="E2519" s="6" t="n"/>
      <c r="F2519" s="8" t="n"/>
    </row>
    <row r="2520">
      <c r="A2520" s="7" t="n"/>
      <c r="B2520" s="8" t="n"/>
      <c r="C2520" s="9">
        <f>IF(B2520="","",IFERROR(VLOOKUP(B2520,'Daftar Outlet'!$A$4:$B$22,2,FALSE),""))</f>
        <v/>
      </c>
      <c r="D2520" s="8" t="n"/>
      <c r="E2520" s="6" t="n"/>
      <c r="F2520" s="8" t="n"/>
    </row>
    <row r="2521">
      <c r="A2521" s="7" t="n"/>
      <c r="B2521" s="8" t="n"/>
      <c r="C2521" s="9">
        <f>IF(B2521="","",IFERROR(VLOOKUP(B2521,'Daftar Outlet'!$A$4:$B$22,2,FALSE),""))</f>
        <v/>
      </c>
      <c r="D2521" s="8" t="n"/>
      <c r="E2521" s="6" t="n"/>
      <c r="F2521" s="8" t="n"/>
    </row>
    <row r="2522">
      <c r="A2522" s="7" t="n"/>
      <c r="B2522" s="8" t="n"/>
      <c r="C2522" s="9">
        <f>IF(B2522="","",IFERROR(VLOOKUP(B2522,'Daftar Outlet'!$A$4:$B$22,2,FALSE),""))</f>
        <v/>
      </c>
      <c r="D2522" s="8" t="n"/>
      <c r="E2522" s="6" t="n"/>
      <c r="F2522" s="8" t="n"/>
    </row>
    <row r="2523">
      <c r="A2523" s="7" t="n"/>
      <c r="B2523" s="8" t="n"/>
      <c r="C2523" s="9">
        <f>IF(B2523="","",IFERROR(VLOOKUP(B2523,'Daftar Outlet'!$A$4:$B$22,2,FALSE),""))</f>
        <v/>
      </c>
      <c r="D2523" s="8" t="n"/>
      <c r="E2523" s="6" t="n"/>
      <c r="F2523" s="8" t="n"/>
    </row>
    <row r="2524">
      <c r="A2524" s="7" t="n"/>
      <c r="B2524" s="8" t="n"/>
      <c r="C2524" s="9">
        <f>IF(B2524="","",IFERROR(VLOOKUP(B2524,'Daftar Outlet'!$A$4:$B$22,2,FALSE),""))</f>
        <v/>
      </c>
      <c r="D2524" s="8" t="n"/>
      <c r="E2524" s="6" t="n"/>
      <c r="F2524" s="8" t="n"/>
    </row>
    <row r="2525">
      <c r="A2525" s="7" t="n"/>
      <c r="B2525" s="8" t="n"/>
      <c r="C2525" s="9">
        <f>IF(B2525="","",IFERROR(VLOOKUP(B2525,'Daftar Outlet'!$A$4:$B$22,2,FALSE),""))</f>
        <v/>
      </c>
      <c r="D2525" s="8" t="n"/>
      <c r="E2525" s="6" t="n"/>
      <c r="F2525" s="8" t="n"/>
    </row>
    <row r="2526">
      <c r="A2526" s="7" t="n"/>
      <c r="B2526" s="8" t="n"/>
      <c r="C2526" s="9">
        <f>IF(B2526="","",IFERROR(VLOOKUP(B2526,'Daftar Outlet'!$A$4:$B$22,2,FALSE),""))</f>
        <v/>
      </c>
      <c r="D2526" s="8" t="n"/>
      <c r="E2526" s="6" t="n"/>
      <c r="F2526" s="8" t="n"/>
    </row>
    <row r="2527">
      <c r="A2527" s="7" t="n"/>
      <c r="B2527" s="8" t="n"/>
      <c r="C2527" s="9">
        <f>IF(B2527="","",IFERROR(VLOOKUP(B2527,'Daftar Outlet'!$A$4:$B$22,2,FALSE),""))</f>
        <v/>
      </c>
      <c r="D2527" s="8" t="n"/>
      <c r="E2527" s="6" t="n"/>
      <c r="F2527" s="8" t="n"/>
    </row>
    <row r="2528">
      <c r="A2528" s="7" t="n"/>
      <c r="B2528" s="8" t="n"/>
      <c r="C2528" s="9">
        <f>IF(B2528="","",IFERROR(VLOOKUP(B2528,'Daftar Outlet'!$A$4:$B$22,2,FALSE),""))</f>
        <v/>
      </c>
      <c r="D2528" s="8" t="n"/>
      <c r="E2528" s="6" t="n"/>
      <c r="F2528" s="8" t="n"/>
    </row>
    <row r="2529">
      <c r="A2529" s="7" t="n"/>
      <c r="B2529" s="8" t="n"/>
      <c r="C2529" s="9">
        <f>IF(B2529="","",IFERROR(VLOOKUP(B2529,'Daftar Outlet'!$A$4:$B$22,2,FALSE),""))</f>
        <v/>
      </c>
      <c r="D2529" s="8" t="n"/>
      <c r="E2529" s="6" t="n"/>
      <c r="F2529" s="8" t="n"/>
    </row>
    <row r="2530">
      <c r="A2530" s="7" t="n"/>
      <c r="B2530" s="8" t="n"/>
      <c r="C2530" s="9">
        <f>IF(B2530="","",IFERROR(VLOOKUP(B2530,'Daftar Outlet'!$A$4:$B$22,2,FALSE),""))</f>
        <v/>
      </c>
      <c r="D2530" s="8" t="n"/>
      <c r="E2530" s="6" t="n"/>
      <c r="F2530" s="8" t="n"/>
    </row>
    <row r="2531">
      <c r="A2531" s="7" t="n"/>
      <c r="B2531" s="8" t="n"/>
      <c r="C2531" s="9">
        <f>IF(B2531="","",IFERROR(VLOOKUP(B2531,'Daftar Outlet'!$A$4:$B$22,2,FALSE),""))</f>
        <v/>
      </c>
      <c r="D2531" s="8" t="n"/>
      <c r="E2531" s="6" t="n"/>
      <c r="F2531" s="8" t="n"/>
    </row>
    <row r="2532">
      <c r="A2532" s="7" t="n"/>
      <c r="B2532" s="8" t="n"/>
      <c r="C2532" s="9">
        <f>IF(B2532="","",IFERROR(VLOOKUP(B2532,'Daftar Outlet'!$A$4:$B$22,2,FALSE),""))</f>
        <v/>
      </c>
      <c r="D2532" s="8" t="n"/>
      <c r="E2532" s="6" t="n"/>
      <c r="F2532" s="8" t="n"/>
    </row>
    <row r="2533">
      <c r="A2533" s="7" t="n"/>
      <c r="B2533" s="8" t="n"/>
      <c r="C2533" s="9">
        <f>IF(B2533="","",IFERROR(VLOOKUP(B2533,'Daftar Outlet'!$A$4:$B$22,2,FALSE),""))</f>
        <v/>
      </c>
      <c r="D2533" s="8" t="n"/>
      <c r="E2533" s="6" t="n"/>
      <c r="F2533" s="8" t="n"/>
    </row>
    <row r="2534">
      <c r="A2534" s="7" t="n"/>
      <c r="B2534" s="8" t="n"/>
      <c r="C2534" s="9">
        <f>IF(B2534="","",IFERROR(VLOOKUP(B2534,'Daftar Outlet'!$A$4:$B$22,2,FALSE),""))</f>
        <v/>
      </c>
      <c r="D2534" s="8" t="n"/>
      <c r="E2534" s="6" t="n"/>
      <c r="F2534" s="8" t="n"/>
    </row>
    <row r="2535">
      <c r="A2535" s="7" t="n"/>
      <c r="B2535" s="8" t="n"/>
      <c r="C2535" s="9">
        <f>IF(B2535="","",IFERROR(VLOOKUP(B2535,'Daftar Outlet'!$A$4:$B$22,2,FALSE),""))</f>
        <v/>
      </c>
      <c r="D2535" s="8" t="n"/>
      <c r="E2535" s="6" t="n"/>
      <c r="F2535" s="8" t="n"/>
    </row>
    <row r="2536">
      <c r="A2536" s="7" t="n"/>
      <c r="B2536" s="8" t="n"/>
      <c r="C2536" s="9">
        <f>IF(B2536="","",IFERROR(VLOOKUP(B2536,'Daftar Outlet'!$A$4:$B$22,2,FALSE),""))</f>
        <v/>
      </c>
      <c r="D2536" s="8" t="n"/>
      <c r="E2536" s="6" t="n"/>
      <c r="F2536" s="8" t="n"/>
    </row>
    <row r="2537">
      <c r="A2537" s="7" t="n"/>
      <c r="B2537" s="8" t="n"/>
      <c r="C2537" s="9">
        <f>IF(B2537="","",IFERROR(VLOOKUP(B2537,'Daftar Outlet'!$A$4:$B$22,2,FALSE),""))</f>
        <v/>
      </c>
      <c r="D2537" s="8" t="n"/>
      <c r="E2537" s="6" t="n"/>
      <c r="F2537" s="8" t="n"/>
    </row>
    <row r="2538">
      <c r="A2538" s="7" t="n"/>
      <c r="B2538" s="8" t="n"/>
      <c r="C2538" s="9">
        <f>IF(B2538="","",IFERROR(VLOOKUP(B2538,'Daftar Outlet'!$A$4:$B$22,2,FALSE),""))</f>
        <v/>
      </c>
      <c r="D2538" s="8" t="n"/>
      <c r="E2538" s="6" t="n"/>
      <c r="F2538" s="8" t="n"/>
    </row>
    <row r="2539">
      <c r="A2539" s="7" t="n"/>
      <c r="B2539" s="8" t="n"/>
      <c r="C2539" s="9">
        <f>IF(B2539="","",IFERROR(VLOOKUP(B2539,'Daftar Outlet'!$A$4:$B$22,2,FALSE),""))</f>
        <v/>
      </c>
      <c r="D2539" s="8" t="n"/>
      <c r="E2539" s="6" t="n"/>
      <c r="F2539" s="8" t="n"/>
    </row>
    <row r="2540">
      <c r="A2540" s="7" t="n"/>
      <c r="B2540" s="8" t="n"/>
      <c r="C2540" s="9">
        <f>IF(B2540="","",IFERROR(VLOOKUP(B2540,'Daftar Outlet'!$A$4:$B$22,2,FALSE),""))</f>
        <v/>
      </c>
      <c r="D2540" s="8" t="n"/>
      <c r="E2540" s="6" t="n"/>
      <c r="F2540" s="8" t="n"/>
    </row>
    <row r="2541">
      <c r="A2541" s="7" t="n"/>
      <c r="B2541" s="8" t="n"/>
      <c r="C2541" s="9">
        <f>IF(B2541="","",IFERROR(VLOOKUP(B2541,'Daftar Outlet'!$A$4:$B$22,2,FALSE),""))</f>
        <v/>
      </c>
      <c r="D2541" s="8" t="n"/>
      <c r="E2541" s="6" t="n"/>
      <c r="F2541" s="8" t="n"/>
    </row>
    <row r="2542">
      <c r="A2542" s="7" t="n"/>
      <c r="B2542" s="8" t="n"/>
      <c r="C2542" s="9">
        <f>IF(B2542="","",IFERROR(VLOOKUP(B2542,'Daftar Outlet'!$A$4:$B$22,2,FALSE),""))</f>
        <v/>
      </c>
      <c r="D2542" s="8" t="n"/>
      <c r="E2542" s="6" t="n"/>
      <c r="F2542" s="8" t="n"/>
    </row>
    <row r="2543">
      <c r="A2543" s="7" t="n"/>
      <c r="B2543" s="8" t="n"/>
      <c r="C2543" s="9">
        <f>IF(B2543="","",IFERROR(VLOOKUP(B2543,'Daftar Outlet'!$A$4:$B$22,2,FALSE),""))</f>
        <v/>
      </c>
      <c r="D2543" s="8" t="n"/>
      <c r="E2543" s="6" t="n"/>
      <c r="F2543" s="8" t="n"/>
    </row>
    <row r="2544">
      <c r="A2544" s="7" t="n"/>
      <c r="B2544" s="8" t="n"/>
      <c r="C2544" s="9">
        <f>IF(B2544="","",IFERROR(VLOOKUP(B2544,'Daftar Outlet'!$A$4:$B$22,2,FALSE),""))</f>
        <v/>
      </c>
      <c r="D2544" s="8" t="n"/>
      <c r="E2544" s="6" t="n"/>
      <c r="F2544" s="8" t="n"/>
    </row>
    <row r="2545">
      <c r="A2545" s="7" t="n"/>
      <c r="B2545" s="8" t="n"/>
      <c r="C2545" s="9">
        <f>IF(B2545="","",IFERROR(VLOOKUP(B2545,'Daftar Outlet'!$A$4:$B$22,2,FALSE),""))</f>
        <v/>
      </c>
      <c r="D2545" s="8" t="n"/>
      <c r="E2545" s="6" t="n"/>
      <c r="F2545" s="8" t="n"/>
    </row>
    <row r="2546">
      <c r="A2546" s="7" t="n"/>
      <c r="B2546" s="8" t="n"/>
      <c r="C2546" s="9">
        <f>IF(B2546="","",IFERROR(VLOOKUP(B2546,'Daftar Outlet'!$A$4:$B$22,2,FALSE),""))</f>
        <v/>
      </c>
      <c r="D2546" s="8" t="n"/>
      <c r="E2546" s="6" t="n"/>
      <c r="F2546" s="8" t="n"/>
    </row>
    <row r="2547">
      <c r="A2547" s="7" t="n"/>
      <c r="B2547" s="8" t="n"/>
      <c r="C2547" s="9">
        <f>IF(B2547="","",IFERROR(VLOOKUP(B2547,'Daftar Outlet'!$A$4:$B$22,2,FALSE),""))</f>
        <v/>
      </c>
      <c r="D2547" s="8" t="n"/>
      <c r="E2547" s="6" t="n"/>
      <c r="F2547" s="8" t="n"/>
    </row>
    <row r="2548">
      <c r="A2548" s="7" t="n"/>
      <c r="B2548" s="8" t="n"/>
      <c r="C2548" s="9">
        <f>IF(B2548="","",IFERROR(VLOOKUP(B2548,'Daftar Outlet'!$A$4:$B$22,2,FALSE),""))</f>
        <v/>
      </c>
      <c r="D2548" s="8" t="n"/>
      <c r="E2548" s="6" t="n"/>
      <c r="F2548" s="8" t="n"/>
    </row>
    <row r="2549">
      <c r="A2549" s="7" t="n"/>
      <c r="B2549" s="8" t="n"/>
      <c r="C2549" s="9">
        <f>IF(B2549="","",IFERROR(VLOOKUP(B2549,'Daftar Outlet'!$A$4:$B$22,2,FALSE),""))</f>
        <v/>
      </c>
      <c r="D2549" s="8" t="n"/>
      <c r="E2549" s="6" t="n"/>
      <c r="F2549" s="8" t="n"/>
    </row>
    <row r="2550">
      <c r="A2550" s="7" t="n"/>
      <c r="B2550" s="8" t="n"/>
      <c r="C2550" s="9">
        <f>IF(B2550="","",IFERROR(VLOOKUP(B2550,'Daftar Outlet'!$A$4:$B$22,2,FALSE),""))</f>
        <v/>
      </c>
      <c r="D2550" s="8" t="n"/>
      <c r="E2550" s="6" t="n"/>
      <c r="F2550" s="8" t="n"/>
    </row>
    <row r="2551">
      <c r="A2551" s="7" t="n"/>
      <c r="B2551" s="8" t="n"/>
      <c r="C2551" s="9">
        <f>IF(B2551="","",IFERROR(VLOOKUP(B2551,'Daftar Outlet'!$A$4:$B$22,2,FALSE),""))</f>
        <v/>
      </c>
      <c r="D2551" s="8" t="n"/>
      <c r="E2551" s="6" t="n"/>
      <c r="F2551" s="8" t="n"/>
    </row>
    <row r="2552">
      <c r="A2552" s="7" t="n"/>
      <c r="B2552" s="8" t="n"/>
      <c r="C2552" s="9">
        <f>IF(B2552="","",IFERROR(VLOOKUP(B2552,'Daftar Outlet'!$A$4:$B$22,2,FALSE),""))</f>
        <v/>
      </c>
      <c r="D2552" s="8" t="n"/>
      <c r="E2552" s="6" t="n"/>
      <c r="F2552" s="8" t="n"/>
    </row>
    <row r="2553">
      <c r="A2553" s="7" t="n"/>
      <c r="B2553" s="8" t="n"/>
      <c r="C2553" s="9">
        <f>IF(B2553="","",IFERROR(VLOOKUP(B2553,'Daftar Outlet'!$A$4:$B$22,2,FALSE),""))</f>
        <v/>
      </c>
      <c r="D2553" s="8" t="n"/>
      <c r="E2553" s="6" t="n"/>
      <c r="F2553" s="8" t="n"/>
    </row>
    <row r="2554">
      <c r="A2554" s="7" t="n"/>
      <c r="B2554" s="8" t="n"/>
      <c r="C2554" s="9">
        <f>IF(B2554="","",IFERROR(VLOOKUP(B2554,'Daftar Outlet'!$A$4:$B$22,2,FALSE),""))</f>
        <v/>
      </c>
      <c r="D2554" s="8" t="n"/>
      <c r="E2554" s="6" t="n"/>
      <c r="F2554" s="8" t="n"/>
    </row>
    <row r="2555">
      <c r="A2555" s="7" t="n"/>
      <c r="B2555" s="8" t="n"/>
      <c r="C2555" s="9">
        <f>IF(B2555="","",IFERROR(VLOOKUP(B2555,'Daftar Outlet'!$A$4:$B$22,2,FALSE),""))</f>
        <v/>
      </c>
      <c r="D2555" s="8" t="n"/>
      <c r="E2555" s="6" t="n"/>
      <c r="F2555" s="8" t="n"/>
    </row>
    <row r="2556">
      <c r="A2556" s="7" t="n"/>
      <c r="B2556" s="8" t="n"/>
      <c r="C2556" s="9">
        <f>IF(B2556="","",IFERROR(VLOOKUP(B2556,'Daftar Outlet'!$A$4:$B$22,2,FALSE),""))</f>
        <v/>
      </c>
      <c r="D2556" s="8" t="n"/>
      <c r="E2556" s="6" t="n"/>
      <c r="F2556" s="8" t="n"/>
    </row>
    <row r="2557">
      <c r="A2557" s="7" t="n"/>
      <c r="B2557" s="8" t="n"/>
      <c r="C2557" s="9">
        <f>IF(B2557="","",IFERROR(VLOOKUP(B2557,'Daftar Outlet'!$A$4:$B$22,2,FALSE),""))</f>
        <v/>
      </c>
      <c r="D2557" s="8" t="n"/>
      <c r="E2557" s="6" t="n"/>
      <c r="F2557" s="8" t="n"/>
    </row>
    <row r="2558">
      <c r="A2558" s="7" t="n"/>
      <c r="B2558" s="8" t="n"/>
      <c r="C2558" s="9">
        <f>IF(B2558="","",IFERROR(VLOOKUP(B2558,'Daftar Outlet'!$A$4:$B$22,2,FALSE),""))</f>
        <v/>
      </c>
      <c r="D2558" s="8" t="n"/>
      <c r="E2558" s="6" t="n"/>
      <c r="F2558" s="8" t="n"/>
    </row>
    <row r="2559">
      <c r="A2559" s="7" t="n"/>
      <c r="B2559" s="8" t="n"/>
      <c r="C2559" s="9">
        <f>IF(B2559="","",IFERROR(VLOOKUP(B2559,'Daftar Outlet'!$A$4:$B$22,2,FALSE),""))</f>
        <v/>
      </c>
      <c r="D2559" s="8" t="n"/>
      <c r="E2559" s="6" t="n"/>
      <c r="F2559" s="8" t="n"/>
    </row>
    <row r="2560">
      <c r="A2560" s="7" t="n"/>
      <c r="B2560" s="8" t="n"/>
      <c r="C2560" s="9">
        <f>IF(B2560="","",IFERROR(VLOOKUP(B2560,'Daftar Outlet'!$A$4:$B$22,2,FALSE),""))</f>
        <v/>
      </c>
      <c r="D2560" s="8" t="n"/>
      <c r="E2560" s="6" t="n"/>
      <c r="F2560" s="8" t="n"/>
    </row>
    <row r="2561">
      <c r="A2561" s="7" t="n"/>
      <c r="B2561" s="8" t="n"/>
      <c r="C2561" s="9">
        <f>IF(B2561="","",IFERROR(VLOOKUP(B2561,'Daftar Outlet'!$A$4:$B$22,2,FALSE),""))</f>
        <v/>
      </c>
      <c r="D2561" s="8" t="n"/>
      <c r="E2561" s="6" t="n"/>
      <c r="F2561" s="8" t="n"/>
    </row>
    <row r="2562">
      <c r="A2562" s="7" t="n"/>
      <c r="B2562" s="8" t="n"/>
      <c r="C2562" s="9">
        <f>IF(B2562="","",IFERROR(VLOOKUP(B2562,'Daftar Outlet'!$A$4:$B$22,2,FALSE),""))</f>
        <v/>
      </c>
      <c r="D2562" s="8" t="n"/>
      <c r="E2562" s="6" t="n"/>
      <c r="F2562" s="8" t="n"/>
    </row>
    <row r="2563">
      <c r="A2563" s="7" t="n"/>
      <c r="B2563" s="8" t="n"/>
      <c r="C2563" s="9">
        <f>IF(B2563="","",IFERROR(VLOOKUP(B2563,'Daftar Outlet'!$A$4:$B$22,2,FALSE),""))</f>
        <v/>
      </c>
      <c r="D2563" s="8" t="n"/>
      <c r="E2563" s="6" t="n"/>
      <c r="F2563" s="8" t="n"/>
    </row>
    <row r="2564">
      <c r="A2564" s="7" t="n"/>
      <c r="B2564" s="8" t="n"/>
      <c r="C2564" s="9">
        <f>IF(B2564="","",IFERROR(VLOOKUP(B2564,'Daftar Outlet'!$A$4:$B$22,2,FALSE),""))</f>
        <v/>
      </c>
      <c r="D2564" s="8" t="n"/>
      <c r="E2564" s="6" t="n"/>
      <c r="F2564" s="8" t="n"/>
    </row>
    <row r="2565">
      <c r="A2565" s="7" t="n"/>
      <c r="B2565" s="8" t="n"/>
      <c r="C2565" s="9">
        <f>IF(B2565="","",IFERROR(VLOOKUP(B2565,'Daftar Outlet'!$A$4:$B$22,2,FALSE),""))</f>
        <v/>
      </c>
      <c r="D2565" s="8" t="n"/>
      <c r="E2565" s="6" t="n"/>
      <c r="F2565" s="8" t="n"/>
    </row>
    <row r="2566">
      <c r="A2566" s="7" t="n"/>
      <c r="B2566" s="8" t="n"/>
      <c r="C2566" s="9">
        <f>IF(B2566="","",IFERROR(VLOOKUP(B2566,'Daftar Outlet'!$A$4:$B$22,2,FALSE),""))</f>
        <v/>
      </c>
      <c r="D2566" s="8" t="n"/>
      <c r="E2566" s="6" t="n"/>
      <c r="F2566" s="8" t="n"/>
    </row>
    <row r="2567">
      <c r="A2567" s="7" t="n"/>
      <c r="B2567" s="8" t="n"/>
      <c r="C2567" s="9">
        <f>IF(B2567="","",IFERROR(VLOOKUP(B2567,'Daftar Outlet'!$A$4:$B$22,2,FALSE),""))</f>
        <v/>
      </c>
      <c r="D2567" s="8" t="n"/>
      <c r="E2567" s="6" t="n"/>
      <c r="F2567" s="8" t="n"/>
    </row>
    <row r="2568">
      <c r="A2568" s="7" t="n"/>
      <c r="B2568" s="8" t="n"/>
      <c r="C2568" s="9">
        <f>IF(B2568="","",IFERROR(VLOOKUP(B2568,'Daftar Outlet'!$A$4:$B$22,2,FALSE),""))</f>
        <v/>
      </c>
      <c r="D2568" s="8" t="n"/>
      <c r="E2568" s="6" t="n"/>
      <c r="F2568" s="8" t="n"/>
    </row>
    <row r="2569">
      <c r="A2569" s="7" t="n"/>
      <c r="B2569" s="8" t="n"/>
      <c r="C2569" s="9">
        <f>IF(B2569="","",IFERROR(VLOOKUP(B2569,'Daftar Outlet'!$A$4:$B$22,2,FALSE),""))</f>
        <v/>
      </c>
      <c r="D2569" s="8" t="n"/>
      <c r="E2569" s="6" t="n"/>
      <c r="F2569" s="8" t="n"/>
    </row>
    <row r="2570">
      <c r="A2570" s="7" t="n"/>
      <c r="B2570" s="8" t="n"/>
      <c r="C2570" s="9">
        <f>IF(B2570="","",IFERROR(VLOOKUP(B2570,'Daftar Outlet'!$A$4:$B$22,2,FALSE),""))</f>
        <v/>
      </c>
      <c r="D2570" s="8" t="n"/>
      <c r="E2570" s="6" t="n"/>
      <c r="F2570" s="8" t="n"/>
    </row>
    <row r="2571">
      <c r="A2571" s="7" t="n"/>
      <c r="B2571" s="8" t="n"/>
      <c r="C2571" s="9">
        <f>IF(B2571="","",IFERROR(VLOOKUP(B2571,'Daftar Outlet'!$A$4:$B$22,2,FALSE),""))</f>
        <v/>
      </c>
      <c r="D2571" s="8" t="n"/>
      <c r="E2571" s="6" t="n"/>
      <c r="F2571" s="8" t="n"/>
    </row>
    <row r="2572">
      <c r="A2572" s="7" t="n"/>
      <c r="B2572" s="8" t="n"/>
      <c r="C2572" s="9">
        <f>IF(B2572="","",IFERROR(VLOOKUP(B2572,'Daftar Outlet'!$A$4:$B$22,2,FALSE),""))</f>
        <v/>
      </c>
      <c r="D2572" s="8" t="n"/>
      <c r="E2572" s="6" t="n"/>
      <c r="F2572" s="8" t="n"/>
    </row>
    <row r="2573">
      <c r="A2573" s="7" t="n"/>
      <c r="B2573" s="8" t="n"/>
      <c r="C2573" s="9">
        <f>IF(B2573="","",IFERROR(VLOOKUP(B2573,'Daftar Outlet'!$A$4:$B$22,2,FALSE),""))</f>
        <v/>
      </c>
      <c r="D2573" s="8" t="n"/>
      <c r="E2573" s="6" t="n"/>
      <c r="F2573" s="8" t="n"/>
    </row>
    <row r="2574">
      <c r="A2574" s="7" t="n"/>
      <c r="B2574" s="8" t="n"/>
      <c r="C2574" s="9">
        <f>IF(B2574="","",IFERROR(VLOOKUP(B2574,'Daftar Outlet'!$A$4:$B$22,2,FALSE),""))</f>
        <v/>
      </c>
      <c r="D2574" s="8" t="n"/>
      <c r="E2574" s="6" t="n"/>
      <c r="F2574" s="8" t="n"/>
    </row>
    <row r="2575">
      <c r="A2575" s="7" t="n"/>
      <c r="B2575" s="8" t="n"/>
      <c r="C2575" s="9">
        <f>IF(B2575="","",IFERROR(VLOOKUP(B2575,'Daftar Outlet'!$A$4:$B$22,2,FALSE),""))</f>
        <v/>
      </c>
      <c r="D2575" s="8" t="n"/>
      <c r="E2575" s="6" t="n"/>
      <c r="F2575" s="8" t="n"/>
    </row>
    <row r="2576">
      <c r="A2576" s="7" t="n"/>
      <c r="B2576" s="8" t="n"/>
      <c r="C2576" s="9">
        <f>IF(B2576="","",IFERROR(VLOOKUP(B2576,'Daftar Outlet'!$A$4:$B$22,2,FALSE),""))</f>
        <v/>
      </c>
      <c r="D2576" s="8" t="n"/>
      <c r="E2576" s="6" t="n"/>
      <c r="F2576" s="8" t="n"/>
    </row>
    <row r="2577">
      <c r="A2577" s="7" t="n"/>
      <c r="B2577" s="8" t="n"/>
      <c r="C2577" s="9">
        <f>IF(B2577="","",IFERROR(VLOOKUP(B2577,'Daftar Outlet'!$A$4:$B$22,2,FALSE),""))</f>
        <v/>
      </c>
      <c r="D2577" s="8" t="n"/>
      <c r="E2577" s="6" t="n"/>
      <c r="F2577" s="8" t="n"/>
    </row>
    <row r="2578">
      <c r="A2578" s="7" t="n"/>
      <c r="B2578" s="8" t="n"/>
      <c r="C2578" s="9">
        <f>IF(B2578="","",IFERROR(VLOOKUP(B2578,'Daftar Outlet'!$A$4:$B$22,2,FALSE),""))</f>
        <v/>
      </c>
      <c r="D2578" s="8" t="n"/>
      <c r="E2578" s="6" t="n"/>
      <c r="F2578" s="8" t="n"/>
    </row>
    <row r="2579">
      <c r="A2579" s="7" t="n"/>
      <c r="B2579" s="8" t="n"/>
      <c r="C2579" s="9">
        <f>IF(B2579="","",IFERROR(VLOOKUP(B2579,'Daftar Outlet'!$A$4:$B$22,2,FALSE),""))</f>
        <v/>
      </c>
      <c r="D2579" s="8" t="n"/>
      <c r="E2579" s="6" t="n"/>
      <c r="F2579" s="8" t="n"/>
    </row>
    <row r="2580">
      <c r="A2580" s="7" t="n"/>
      <c r="B2580" s="8" t="n"/>
      <c r="C2580" s="9">
        <f>IF(B2580="","",IFERROR(VLOOKUP(B2580,'Daftar Outlet'!$A$4:$B$22,2,FALSE),""))</f>
        <v/>
      </c>
      <c r="D2580" s="8" t="n"/>
      <c r="E2580" s="6" t="n"/>
      <c r="F2580" s="8" t="n"/>
    </row>
    <row r="2581">
      <c r="A2581" s="7" t="n"/>
      <c r="B2581" s="8" t="n"/>
      <c r="C2581" s="9">
        <f>IF(B2581="","",IFERROR(VLOOKUP(B2581,'Daftar Outlet'!$A$4:$B$22,2,FALSE),""))</f>
        <v/>
      </c>
      <c r="D2581" s="8" t="n"/>
      <c r="E2581" s="6" t="n"/>
      <c r="F2581" s="8" t="n"/>
    </row>
    <row r="2582">
      <c r="A2582" s="7" t="n"/>
      <c r="B2582" s="8" t="n"/>
      <c r="C2582" s="9">
        <f>IF(B2582="","",IFERROR(VLOOKUP(B2582,'Daftar Outlet'!$A$4:$B$22,2,FALSE),""))</f>
        <v/>
      </c>
      <c r="D2582" s="8" t="n"/>
      <c r="E2582" s="6" t="n"/>
      <c r="F2582" s="8" t="n"/>
    </row>
    <row r="2583">
      <c r="A2583" s="7" t="n"/>
      <c r="B2583" s="8" t="n"/>
      <c r="C2583" s="9">
        <f>IF(B2583="","",IFERROR(VLOOKUP(B2583,'Daftar Outlet'!$A$4:$B$22,2,FALSE),""))</f>
        <v/>
      </c>
      <c r="D2583" s="8" t="n"/>
      <c r="E2583" s="6" t="n"/>
      <c r="F2583" s="8" t="n"/>
    </row>
    <row r="2584">
      <c r="A2584" s="7" t="n"/>
      <c r="B2584" s="8" t="n"/>
      <c r="C2584" s="9">
        <f>IF(B2584="","",IFERROR(VLOOKUP(B2584,'Daftar Outlet'!$A$4:$B$22,2,FALSE),""))</f>
        <v/>
      </c>
      <c r="D2584" s="8" t="n"/>
      <c r="E2584" s="6" t="n"/>
      <c r="F2584" s="8" t="n"/>
    </row>
    <row r="2585">
      <c r="A2585" s="7" t="n"/>
      <c r="B2585" s="8" t="n"/>
      <c r="C2585" s="9">
        <f>IF(B2585="","",IFERROR(VLOOKUP(B2585,'Daftar Outlet'!$A$4:$B$22,2,FALSE),""))</f>
        <v/>
      </c>
      <c r="D2585" s="8" t="n"/>
      <c r="E2585" s="6" t="n"/>
      <c r="F2585" s="8" t="n"/>
    </row>
    <row r="2586">
      <c r="A2586" s="7" t="n"/>
      <c r="B2586" s="8" t="n"/>
      <c r="C2586" s="9">
        <f>IF(B2586="","",IFERROR(VLOOKUP(B2586,'Daftar Outlet'!$A$4:$B$22,2,FALSE),""))</f>
        <v/>
      </c>
      <c r="D2586" s="8" t="n"/>
      <c r="E2586" s="6" t="n"/>
      <c r="F2586" s="8" t="n"/>
    </row>
    <row r="2587">
      <c r="A2587" s="7" t="n"/>
      <c r="B2587" s="8" t="n"/>
      <c r="C2587" s="9">
        <f>IF(B2587="","",IFERROR(VLOOKUP(B2587,'Daftar Outlet'!$A$4:$B$22,2,FALSE),""))</f>
        <v/>
      </c>
      <c r="D2587" s="8" t="n"/>
      <c r="E2587" s="6" t="n"/>
      <c r="F2587" s="8" t="n"/>
    </row>
    <row r="2588">
      <c r="A2588" s="7" t="n"/>
      <c r="B2588" s="8" t="n"/>
      <c r="C2588" s="9">
        <f>IF(B2588="","",IFERROR(VLOOKUP(B2588,'Daftar Outlet'!$A$4:$B$22,2,FALSE),""))</f>
        <v/>
      </c>
      <c r="D2588" s="8" t="n"/>
      <c r="E2588" s="6" t="n"/>
      <c r="F2588" s="8" t="n"/>
    </row>
    <row r="2589">
      <c r="A2589" s="7" t="n"/>
      <c r="B2589" s="8" t="n"/>
      <c r="C2589" s="9">
        <f>IF(B2589="","",IFERROR(VLOOKUP(B2589,'Daftar Outlet'!$A$4:$B$22,2,FALSE),""))</f>
        <v/>
      </c>
      <c r="D2589" s="8" t="n"/>
      <c r="E2589" s="6" t="n"/>
      <c r="F2589" s="8" t="n"/>
    </row>
    <row r="2590">
      <c r="A2590" s="7" t="n"/>
      <c r="B2590" s="8" t="n"/>
      <c r="C2590" s="9">
        <f>IF(B2590="","",IFERROR(VLOOKUP(B2590,'Daftar Outlet'!$A$4:$B$22,2,FALSE),""))</f>
        <v/>
      </c>
      <c r="D2590" s="8" t="n"/>
      <c r="E2590" s="6" t="n"/>
      <c r="F2590" s="8" t="n"/>
    </row>
    <row r="2591">
      <c r="A2591" s="7" t="n"/>
      <c r="B2591" s="8" t="n"/>
      <c r="C2591" s="9">
        <f>IF(B2591="","",IFERROR(VLOOKUP(B2591,'Daftar Outlet'!$A$4:$B$22,2,FALSE),""))</f>
        <v/>
      </c>
      <c r="D2591" s="8" t="n"/>
      <c r="E2591" s="6" t="n"/>
      <c r="F2591" s="8" t="n"/>
    </row>
    <row r="2592">
      <c r="A2592" s="7" t="n"/>
      <c r="B2592" s="8" t="n"/>
      <c r="C2592" s="9">
        <f>IF(B2592="","",IFERROR(VLOOKUP(B2592,'Daftar Outlet'!$A$4:$B$22,2,FALSE),""))</f>
        <v/>
      </c>
      <c r="D2592" s="8" t="n"/>
      <c r="E2592" s="6" t="n"/>
      <c r="F2592" s="8" t="n"/>
    </row>
    <row r="2593">
      <c r="A2593" s="7" t="n"/>
      <c r="B2593" s="8" t="n"/>
      <c r="C2593" s="9">
        <f>IF(B2593="","",IFERROR(VLOOKUP(B2593,'Daftar Outlet'!$A$4:$B$22,2,FALSE),""))</f>
        <v/>
      </c>
      <c r="D2593" s="8" t="n"/>
      <c r="E2593" s="6" t="n"/>
      <c r="F2593" s="8" t="n"/>
    </row>
    <row r="2594">
      <c r="A2594" s="7" t="n"/>
      <c r="B2594" s="8" t="n"/>
      <c r="C2594" s="9">
        <f>IF(B2594="","",IFERROR(VLOOKUP(B2594,'Daftar Outlet'!$A$4:$B$22,2,FALSE),""))</f>
        <v/>
      </c>
      <c r="D2594" s="8" t="n"/>
      <c r="E2594" s="6" t="n"/>
      <c r="F2594" s="8" t="n"/>
    </row>
    <row r="2595">
      <c r="A2595" s="7" t="n"/>
      <c r="B2595" s="8" t="n"/>
      <c r="C2595" s="9">
        <f>IF(B2595="","",IFERROR(VLOOKUP(B2595,'Daftar Outlet'!$A$4:$B$22,2,FALSE),""))</f>
        <v/>
      </c>
      <c r="D2595" s="8" t="n"/>
      <c r="E2595" s="6" t="n"/>
      <c r="F2595" s="8" t="n"/>
    </row>
    <row r="2596">
      <c r="A2596" s="7" t="n"/>
      <c r="B2596" s="8" t="n"/>
      <c r="C2596" s="9">
        <f>IF(B2596="","",IFERROR(VLOOKUP(B2596,'Daftar Outlet'!$A$4:$B$22,2,FALSE),""))</f>
        <v/>
      </c>
      <c r="D2596" s="8" t="n"/>
      <c r="E2596" s="6" t="n"/>
      <c r="F2596" s="8" t="n"/>
    </row>
    <row r="2597">
      <c r="A2597" s="7" t="n"/>
      <c r="B2597" s="8" t="n"/>
      <c r="C2597" s="9">
        <f>IF(B2597="","",IFERROR(VLOOKUP(B2597,'Daftar Outlet'!$A$4:$B$22,2,FALSE),""))</f>
        <v/>
      </c>
      <c r="D2597" s="8" t="n"/>
      <c r="E2597" s="6" t="n"/>
      <c r="F2597" s="8" t="n"/>
    </row>
    <row r="2598">
      <c r="A2598" s="7" t="n"/>
      <c r="B2598" s="8" t="n"/>
      <c r="C2598" s="9">
        <f>IF(B2598="","",IFERROR(VLOOKUP(B2598,'Daftar Outlet'!$A$4:$B$22,2,FALSE),""))</f>
        <v/>
      </c>
      <c r="D2598" s="8" t="n"/>
      <c r="E2598" s="6" t="n"/>
      <c r="F2598" s="8" t="n"/>
    </row>
    <row r="2599">
      <c r="A2599" s="7" t="n"/>
      <c r="B2599" s="8" t="n"/>
      <c r="C2599" s="9">
        <f>IF(B2599="","",IFERROR(VLOOKUP(B2599,'Daftar Outlet'!$A$4:$B$22,2,FALSE),""))</f>
        <v/>
      </c>
      <c r="D2599" s="8" t="n"/>
      <c r="E2599" s="6" t="n"/>
      <c r="F2599" s="8" t="n"/>
    </row>
    <row r="2600">
      <c r="A2600" s="7" t="n"/>
      <c r="B2600" s="8" t="n"/>
      <c r="C2600" s="9">
        <f>IF(B2600="","",IFERROR(VLOOKUP(B2600,'Daftar Outlet'!$A$4:$B$22,2,FALSE),""))</f>
        <v/>
      </c>
      <c r="D2600" s="8" t="n"/>
      <c r="E2600" s="6" t="n"/>
      <c r="F2600" s="8" t="n"/>
    </row>
    <row r="2601">
      <c r="A2601" s="7" t="n"/>
      <c r="B2601" s="8" t="n"/>
      <c r="C2601" s="9">
        <f>IF(B2601="","",IFERROR(VLOOKUP(B2601,'Daftar Outlet'!$A$4:$B$22,2,FALSE),""))</f>
        <v/>
      </c>
      <c r="D2601" s="8" t="n"/>
      <c r="E2601" s="6" t="n"/>
      <c r="F2601" s="8" t="n"/>
    </row>
    <row r="2602">
      <c r="A2602" s="7" t="n"/>
      <c r="B2602" s="8" t="n"/>
      <c r="C2602" s="9">
        <f>IF(B2602="","",IFERROR(VLOOKUP(B2602,'Daftar Outlet'!$A$4:$B$22,2,FALSE),""))</f>
        <v/>
      </c>
      <c r="D2602" s="8" t="n"/>
      <c r="E2602" s="6" t="n"/>
      <c r="F2602" s="8" t="n"/>
    </row>
    <row r="2603">
      <c r="A2603" s="7" t="n"/>
      <c r="B2603" s="8" t="n"/>
      <c r="C2603" s="9">
        <f>IF(B2603="","",IFERROR(VLOOKUP(B2603,'Daftar Outlet'!$A$4:$B$22,2,FALSE),""))</f>
        <v/>
      </c>
      <c r="D2603" s="8" t="n"/>
      <c r="E2603" s="6" t="n"/>
      <c r="F2603" s="8" t="n"/>
    </row>
    <row r="2604">
      <c r="A2604" s="7" t="n"/>
      <c r="B2604" s="8" t="n"/>
      <c r="C2604" s="9">
        <f>IF(B2604="","",IFERROR(VLOOKUP(B2604,'Daftar Outlet'!$A$4:$B$22,2,FALSE),""))</f>
        <v/>
      </c>
      <c r="D2604" s="8" t="n"/>
      <c r="E2604" s="6" t="n"/>
      <c r="F2604" s="8" t="n"/>
    </row>
    <row r="2605">
      <c r="A2605" s="7" t="n"/>
      <c r="B2605" s="8" t="n"/>
      <c r="C2605" s="9">
        <f>IF(B2605="","",IFERROR(VLOOKUP(B2605,'Daftar Outlet'!$A$4:$B$22,2,FALSE),""))</f>
        <v/>
      </c>
      <c r="D2605" s="8" t="n"/>
      <c r="E2605" s="6" t="n"/>
      <c r="F2605" s="8" t="n"/>
    </row>
    <row r="2606">
      <c r="A2606" s="7" t="n"/>
      <c r="B2606" s="8" t="n"/>
      <c r="C2606" s="9">
        <f>IF(B2606="","",IFERROR(VLOOKUP(B2606,'Daftar Outlet'!$A$4:$B$22,2,FALSE),""))</f>
        <v/>
      </c>
      <c r="D2606" s="8" t="n"/>
      <c r="E2606" s="6" t="n"/>
      <c r="F2606" s="8" t="n"/>
    </row>
    <row r="2607">
      <c r="A2607" s="7" t="n"/>
      <c r="B2607" s="8" t="n"/>
      <c r="C2607" s="9">
        <f>IF(B2607="","",IFERROR(VLOOKUP(B2607,'Daftar Outlet'!$A$4:$B$22,2,FALSE),""))</f>
        <v/>
      </c>
      <c r="D2607" s="8" t="n"/>
      <c r="E2607" s="6" t="n"/>
      <c r="F2607" s="8" t="n"/>
    </row>
    <row r="2608">
      <c r="A2608" s="7" t="n"/>
      <c r="B2608" s="8" t="n"/>
      <c r="C2608" s="9">
        <f>IF(B2608="","",IFERROR(VLOOKUP(B2608,'Daftar Outlet'!$A$4:$B$22,2,FALSE),""))</f>
        <v/>
      </c>
      <c r="D2608" s="8" t="n"/>
      <c r="E2608" s="6" t="n"/>
      <c r="F2608" s="8" t="n"/>
    </row>
    <row r="2609">
      <c r="A2609" s="7" t="n"/>
      <c r="B2609" s="8" t="n"/>
      <c r="C2609" s="9">
        <f>IF(B2609="","",IFERROR(VLOOKUP(B2609,'Daftar Outlet'!$A$4:$B$22,2,FALSE),""))</f>
        <v/>
      </c>
      <c r="D2609" s="8" t="n"/>
      <c r="E2609" s="6" t="n"/>
      <c r="F2609" s="8" t="n"/>
    </row>
    <row r="2610">
      <c r="A2610" s="7" t="n"/>
      <c r="B2610" s="8" t="n"/>
      <c r="C2610" s="9">
        <f>IF(B2610="","",IFERROR(VLOOKUP(B2610,'Daftar Outlet'!$A$4:$B$22,2,FALSE),""))</f>
        <v/>
      </c>
      <c r="D2610" s="8" t="n"/>
      <c r="E2610" s="6" t="n"/>
      <c r="F2610" s="8" t="n"/>
    </row>
    <row r="2611">
      <c r="A2611" s="7" t="n"/>
      <c r="B2611" s="8" t="n"/>
      <c r="C2611" s="9">
        <f>IF(B2611="","",IFERROR(VLOOKUP(B2611,'Daftar Outlet'!$A$4:$B$22,2,FALSE),""))</f>
        <v/>
      </c>
      <c r="D2611" s="8" t="n"/>
      <c r="E2611" s="6" t="n"/>
      <c r="F2611" s="8" t="n"/>
    </row>
    <row r="2612">
      <c r="A2612" s="7" t="n"/>
      <c r="B2612" s="8" t="n"/>
      <c r="C2612" s="9">
        <f>IF(B2612="","",IFERROR(VLOOKUP(B2612,'Daftar Outlet'!$A$4:$B$22,2,FALSE),""))</f>
        <v/>
      </c>
      <c r="D2612" s="8" t="n"/>
      <c r="E2612" s="6" t="n"/>
      <c r="F2612" s="8" t="n"/>
    </row>
    <row r="2613">
      <c r="A2613" s="7" t="n"/>
      <c r="B2613" s="8" t="n"/>
      <c r="C2613" s="9">
        <f>IF(B2613="","",IFERROR(VLOOKUP(B2613,'Daftar Outlet'!$A$4:$B$22,2,FALSE),""))</f>
        <v/>
      </c>
      <c r="D2613" s="8" t="n"/>
      <c r="E2613" s="6" t="n"/>
      <c r="F2613" s="8" t="n"/>
    </row>
    <row r="2614">
      <c r="A2614" s="7" t="n"/>
      <c r="B2614" s="8" t="n"/>
      <c r="C2614" s="9">
        <f>IF(B2614="","",IFERROR(VLOOKUP(B2614,'Daftar Outlet'!$A$4:$B$22,2,FALSE),""))</f>
        <v/>
      </c>
      <c r="D2614" s="8" t="n"/>
      <c r="E2614" s="6" t="n"/>
      <c r="F2614" s="8" t="n"/>
    </row>
    <row r="2615">
      <c r="A2615" s="7" t="n"/>
      <c r="B2615" s="8" t="n"/>
      <c r="C2615" s="9">
        <f>IF(B2615="","",IFERROR(VLOOKUP(B2615,'Daftar Outlet'!$A$4:$B$22,2,FALSE),""))</f>
        <v/>
      </c>
      <c r="D2615" s="8" t="n"/>
      <c r="E2615" s="6" t="n"/>
      <c r="F2615" s="8" t="n"/>
    </row>
    <row r="2616">
      <c r="A2616" s="7" t="n"/>
      <c r="B2616" s="8" t="n"/>
      <c r="C2616" s="9">
        <f>IF(B2616="","",IFERROR(VLOOKUP(B2616,'Daftar Outlet'!$A$4:$B$22,2,FALSE),""))</f>
        <v/>
      </c>
      <c r="D2616" s="8" t="n"/>
      <c r="E2616" s="6" t="n"/>
      <c r="F2616" s="8" t="n"/>
    </row>
    <row r="2617">
      <c r="A2617" s="7" t="n"/>
      <c r="B2617" s="8" t="n"/>
      <c r="C2617" s="9">
        <f>IF(B2617="","",IFERROR(VLOOKUP(B2617,'Daftar Outlet'!$A$4:$B$22,2,FALSE),""))</f>
        <v/>
      </c>
      <c r="D2617" s="8" t="n"/>
      <c r="E2617" s="6" t="n"/>
      <c r="F2617" s="8" t="n"/>
    </row>
    <row r="2618">
      <c r="A2618" s="7" t="n"/>
      <c r="B2618" s="8" t="n"/>
      <c r="C2618" s="9">
        <f>IF(B2618="","",IFERROR(VLOOKUP(B2618,'Daftar Outlet'!$A$4:$B$22,2,FALSE),""))</f>
        <v/>
      </c>
      <c r="D2618" s="8" t="n"/>
      <c r="E2618" s="6" t="n"/>
      <c r="F2618" s="8" t="n"/>
    </row>
    <row r="2619">
      <c r="A2619" s="7" t="n"/>
      <c r="B2619" s="8" t="n"/>
      <c r="C2619" s="9">
        <f>IF(B2619="","",IFERROR(VLOOKUP(B2619,'Daftar Outlet'!$A$4:$B$22,2,FALSE),""))</f>
        <v/>
      </c>
      <c r="D2619" s="8" t="n"/>
      <c r="E2619" s="6" t="n"/>
      <c r="F2619" s="8" t="n"/>
    </row>
    <row r="2620">
      <c r="A2620" s="7" t="n"/>
      <c r="B2620" s="8" t="n"/>
      <c r="C2620" s="9">
        <f>IF(B2620="","",IFERROR(VLOOKUP(B2620,'Daftar Outlet'!$A$4:$B$22,2,FALSE),""))</f>
        <v/>
      </c>
      <c r="D2620" s="8" t="n"/>
      <c r="E2620" s="6" t="n"/>
      <c r="F2620" s="8" t="n"/>
    </row>
    <row r="2621">
      <c r="A2621" s="7" t="n"/>
      <c r="B2621" s="8" t="n"/>
      <c r="C2621" s="9">
        <f>IF(B2621="","",IFERROR(VLOOKUP(B2621,'Daftar Outlet'!$A$4:$B$22,2,FALSE),""))</f>
        <v/>
      </c>
      <c r="D2621" s="8" t="n"/>
      <c r="E2621" s="6" t="n"/>
      <c r="F2621" s="8" t="n"/>
    </row>
    <row r="2622">
      <c r="A2622" s="7" t="n"/>
      <c r="B2622" s="8" t="n"/>
      <c r="C2622" s="9">
        <f>IF(B2622="","",IFERROR(VLOOKUP(B2622,'Daftar Outlet'!$A$4:$B$22,2,FALSE),""))</f>
        <v/>
      </c>
      <c r="D2622" s="8" t="n"/>
      <c r="E2622" s="6" t="n"/>
      <c r="F2622" s="8" t="n"/>
    </row>
    <row r="2623">
      <c r="A2623" s="7" t="n"/>
      <c r="B2623" s="8" t="n"/>
      <c r="C2623" s="9">
        <f>IF(B2623="","",IFERROR(VLOOKUP(B2623,'Daftar Outlet'!$A$4:$B$22,2,FALSE),""))</f>
        <v/>
      </c>
      <c r="D2623" s="8" t="n"/>
      <c r="E2623" s="6" t="n"/>
      <c r="F2623" s="8" t="n"/>
    </row>
    <row r="2624">
      <c r="A2624" s="7" t="n"/>
      <c r="B2624" s="8" t="n"/>
      <c r="C2624" s="9">
        <f>IF(B2624="","",IFERROR(VLOOKUP(B2624,'Daftar Outlet'!$A$4:$B$22,2,FALSE),""))</f>
        <v/>
      </c>
      <c r="D2624" s="8" t="n"/>
      <c r="E2624" s="6" t="n"/>
      <c r="F2624" s="8" t="n"/>
    </row>
    <row r="2625">
      <c r="A2625" s="7" t="n"/>
      <c r="B2625" s="8" t="n"/>
      <c r="C2625" s="9">
        <f>IF(B2625="","",IFERROR(VLOOKUP(B2625,'Daftar Outlet'!$A$4:$B$22,2,FALSE),""))</f>
        <v/>
      </c>
      <c r="D2625" s="8" t="n"/>
      <c r="E2625" s="6" t="n"/>
      <c r="F2625" s="8" t="n"/>
    </row>
    <row r="2626">
      <c r="A2626" s="7" t="n"/>
      <c r="B2626" s="8" t="n"/>
      <c r="C2626" s="9">
        <f>IF(B2626="","",IFERROR(VLOOKUP(B2626,'Daftar Outlet'!$A$4:$B$22,2,FALSE),""))</f>
        <v/>
      </c>
      <c r="D2626" s="8" t="n"/>
      <c r="E2626" s="6" t="n"/>
      <c r="F2626" s="8" t="n"/>
    </row>
    <row r="2627">
      <c r="A2627" s="7" t="n"/>
      <c r="B2627" s="8" t="n"/>
      <c r="C2627" s="9">
        <f>IF(B2627="","",IFERROR(VLOOKUP(B2627,'Daftar Outlet'!$A$4:$B$22,2,FALSE),""))</f>
        <v/>
      </c>
      <c r="D2627" s="8" t="n"/>
      <c r="E2627" s="6" t="n"/>
      <c r="F2627" s="8" t="n"/>
    </row>
    <row r="2628">
      <c r="A2628" s="7" t="n"/>
      <c r="B2628" s="8" t="n"/>
      <c r="C2628" s="9">
        <f>IF(B2628="","",IFERROR(VLOOKUP(B2628,'Daftar Outlet'!$A$4:$B$22,2,FALSE),""))</f>
        <v/>
      </c>
      <c r="D2628" s="8" t="n"/>
      <c r="E2628" s="6" t="n"/>
      <c r="F2628" s="8" t="n"/>
    </row>
    <row r="2629">
      <c r="A2629" s="7" t="n"/>
      <c r="B2629" s="8" t="n"/>
      <c r="C2629" s="9">
        <f>IF(B2629="","",IFERROR(VLOOKUP(B2629,'Daftar Outlet'!$A$4:$B$22,2,FALSE),""))</f>
        <v/>
      </c>
      <c r="D2629" s="8" t="n"/>
      <c r="E2629" s="6" t="n"/>
      <c r="F2629" s="8" t="n"/>
    </row>
    <row r="2630">
      <c r="A2630" s="7" t="n"/>
      <c r="B2630" s="8" t="n"/>
      <c r="C2630" s="9">
        <f>IF(B2630="","",IFERROR(VLOOKUP(B2630,'Daftar Outlet'!$A$4:$B$22,2,FALSE),""))</f>
        <v/>
      </c>
      <c r="D2630" s="8" t="n"/>
      <c r="E2630" s="6" t="n"/>
      <c r="F2630" s="8" t="n"/>
    </row>
    <row r="2631">
      <c r="A2631" s="7" t="n"/>
      <c r="B2631" s="8" t="n"/>
      <c r="C2631" s="9">
        <f>IF(B2631="","",IFERROR(VLOOKUP(B2631,'Daftar Outlet'!$A$4:$B$22,2,FALSE),""))</f>
        <v/>
      </c>
      <c r="D2631" s="8" t="n"/>
      <c r="E2631" s="6" t="n"/>
      <c r="F2631" s="8" t="n"/>
    </row>
    <row r="2632">
      <c r="A2632" s="7" t="n"/>
      <c r="B2632" s="8" t="n"/>
      <c r="C2632" s="9">
        <f>IF(B2632="","",IFERROR(VLOOKUP(B2632,'Daftar Outlet'!$A$4:$B$22,2,FALSE),""))</f>
        <v/>
      </c>
      <c r="D2632" s="8" t="n"/>
      <c r="E2632" s="6" t="n"/>
      <c r="F2632" s="8" t="n"/>
    </row>
    <row r="2633">
      <c r="A2633" s="7" t="n"/>
      <c r="B2633" s="8" t="n"/>
      <c r="C2633" s="9">
        <f>IF(B2633="","",IFERROR(VLOOKUP(B2633,'Daftar Outlet'!$A$4:$B$22,2,FALSE),""))</f>
        <v/>
      </c>
      <c r="D2633" s="8" t="n"/>
      <c r="E2633" s="6" t="n"/>
      <c r="F2633" s="8" t="n"/>
    </row>
    <row r="2634">
      <c r="A2634" s="7" t="n"/>
      <c r="B2634" s="8" t="n"/>
      <c r="C2634" s="9">
        <f>IF(B2634="","",IFERROR(VLOOKUP(B2634,'Daftar Outlet'!$A$4:$B$22,2,FALSE),""))</f>
        <v/>
      </c>
      <c r="D2634" s="8" t="n"/>
      <c r="E2634" s="6" t="n"/>
      <c r="F2634" s="8" t="n"/>
    </row>
    <row r="2635">
      <c r="A2635" s="7" t="n"/>
      <c r="B2635" s="8" t="n"/>
      <c r="C2635" s="9">
        <f>IF(B2635="","",IFERROR(VLOOKUP(B2635,'Daftar Outlet'!$A$4:$B$22,2,FALSE),""))</f>
        <v/>
      </c>
      <c r="D2635" s="8" t="n"/>
      <c r="E2635" s="6" t="n"/>
      <c r="F2635" s="8" t="n"/>
    </row>
    <row r="2636">
      <c r="A2636" s="7" t="n"/>
      <c r="B2636" s="8" t="n"/>
      <c r="C2636" s="9">
        <f>IF(B2636="","",IFERROR(VLOOKUP(B2636,'Daftar Outlet'!$A$4:$B$22,2,FALSE),""))</f>
        <v/>
      </c>
      <c r="D2636" s="8" t="n"/>
      <c r="E2636" s="6" t="n"/>
      <c r="F2636" s="8" t="n"/>
    </row>
    <row r="2637">
      <c r="A2637" s="7" t="n"/>
      <c r="B2637" s="8" t="n"/>
      <c r="C2637" s="9">
        <f>IF(B2637="","",IFERROR(VLOOKUP(B2637,'Daftar Outlet'!$A$4:$B$22,2,FALSE),""))</f>
        <v/>
      </c>
      <c r="D2637" s="8" t="n"/>
      <c r="E2637" s="6" t="n"/>
      <c r="F2637" s="8" t="n"/>
    </row>
    <row r="2638">
      <c r="A2638" s="7" t="n"/>
      <c r="B2638" s="8" t="n"/>
      <c r="C2638" s="9">
        <f>IF(B2638="","",IFERROR(VLOOKUP(B2638,'Daftar Outlet'!$A$4:$B$22,2,FALSE),""))</f>
        <v/>
      </c>
      <c r="D2638" s="8" t="n"/>
      <c r="E2638" s="6" t="n"/>
      <c r="F2638" s="8" t="n"/>
    </row>
    <row r="2639">
      <c r="A2639" s="7" t="n"/>
      <c r="B2639" s="8" t="n"/>
      <c r="C2639" s="9">
        <f>IF(B2639="","",IFERROR(VLOOKUP(B2639,'Daftar Outlet'!$A$4:$B$22,2,FALSE),""))</f>
        <v/>
      </c>
      <c r="D2639" s="8" t="n"/>
      <c r="E2639" s="6" t="n"/>
      <c r="F2639" s="8" t="n"/>
    </row>
    <row r="2640">
      <c r="A2640" s="7" t="n"/>
      <c r="B2640" s="8" t="n"/>
      <c r="C2640" s="9">
        <f>IF(B2640="","",IFERROR(VLOOKUP(B2640,'Daftar Outlet'!$A$4:$B$22,2,FALSE),""))</f>
        <v/>
      </c>
      <c r="D2640" s="8" t="n"/>
      <c r="E2640" s="6" t="n"/>
      <c r="F2640" s="8" t="n"/>
    </row>
    <row r="2641">
      <c r="A2641" s="7" t="n"/>
      <c r="B2641" s="8" t="n"/>
      <c r="C2641" s="9">
        <f>IF(B2641="","",IFERROR(VLOOKUP(B2641,'Daftar Outlet'!$A$4:$B$22,2,FALSE),""))</f>
        <v/>
      </c>
      <c r="D2641" s="8" t="n"/>
      <c r="E2641" s="6" t="n"/>
      <c r="F2641" s="8" t="n"/>
    </row>
    <row r="2642">
      <c r="A2642" s="7" t="n"/>
      <c r="B2642" s="8" t="n"/>
      <c r="C2642" s="9">
        <f>IF(B2642="","",IFERROR(VLOOKUP(B2642,'Daftar Outlet'!$A$4:$B$22,2,FALSE),""))</f>
        <v/>
      </c>
      <c r="D2642" s="8" t="n"/>
      <c r="E2642" s="6" t="n"/>
      <c r="F2642" s="8" t="n"/>
    </row>
    <row r="2643">
      <c r="A2643" s="7" t="n"/>
      <c r="B2643" s="8" t="n"/>
      <c r="C2643" s="9">
        <f>IF(B2643="","",IFERROR(VLOOKUP(B2643,'Daftar Outlet'!$A$4:$B$22,2,FALSE),""))</f>
        <v/>
      </c>
      <c r="D2643" s="8" t="n"/>
      <c r="E2643" s="6" t="n"/>
      <c r="F2643" s="8" t="n"/>
    </row>
    <row r="2644">
      <c r="A2644" s="7" t="n"/>
      <c r="B2644" s="8" t="n"/>
      <c r="C2644" s="9">
        <f>IF(B2644="","",IFERROR(VLOOKUP(B2644,'Daftar Outlet'!$A$4:$B$22,2,FALSE),""))</f>
        <v/>
      </c>
      <c r="D2644" s="8" t="n"/>
      <c r="E2644" s="6" t="n"/>
      <c r="F2644" s="8" t="n"/>
    </row>
    <row r="2645">
      <c r="A2645" s="7" t="n"/>
      <c r="B2645" s="8" t="n"/>
      <c r="C2645" s="9">
        <f>IF(B2645="","",IFERROR(VLOOKUP(B2645,'Daftar Outlet'!$A$4:$B$22,2,FALSE),""))</f>
        <v/>
      </c>
      <c r="D2645" s="8" t="n"/>
      <c r="E2645" s="6" t="n"/>
      <c r="F2645" s="8" t="n"/>
    </row>
    <row r="2646">
      <c r="A2646" s="7" t="n"/>
      <c r="B2646" s="8" t="n"/>
      <c r="C2646" s="9">
        <f>IF(B2646="","",IFERROR(VLOOKUP(B2646,'Daftar Outlet'!$A$4:$B$22,2,FALSE),""))</f>
        <v/>
      </c>
      <c r="D2646" s="8" t="n"/>
      <c r="E2646" s="6" t="n"/>
      <c r="F2646" s="8" t="n"/>
    </row>
    <row r="2647">
      <c r="A2647" s="7" t="n"/>
      <c r="B2647" s="8" t="n"/>
      <c r="C2647" s="9">
        <f>IF(B2647="","",IFERROR(VLOOKUP(B2647,'Daftar Outlet'!$A$4:$B$22,2,FALSE),""))</f>
        <v/>
      </c>
      <c r="D2647" s="8" t="n"/>
      <c r="E2647" s="6" t="n"/>
      <c r="F2647" s="8" t="n"/>
    </row>
    <row r="2648">
      <c r="A2648" s="7" t="n"/>
      <c r="B2648" s="8" t="n"/>
      <c r="C2648" s="9">
        <f>IF(B2648="","",IFERROR(VLOOKUP(B2648,'Daftar Outlet'!$A$4:$B$22,2,FALSE),""))</f>
        <v/>
      </c>
      <c r="D2648" s="8" t="n"/>
      <c r="E2648" s="6" t="n"/>
      <c r="F2648" s="8" t="n"/>
    </row>
    <row r="2649">
      <c r="A2649" s="7" t="n"/>
      <c r="B2649" s="8" t="n"/>
      <c r="C2649" s="9">
        <f>IF(B2649="","",IFERROR(VLOOKUP(B2649,'Daftar Outlet'!$A$4:$B$22,2,FALSE),""))</f>
        <v/>
      </c>
      <c r="D2649" s="8" t="n"/>
      <c r="E2649" s="6" t="n"/>
      <c r="F2649" s="8" t="n"/>
    </row>
    <row r="2650">
      <c r="A2650" s="7" t="n"/>
      <c r="B2650" s="8" t="n"/>
      <c r="C2650" s="9">
        <f>IF(B2650="","",IFERROR(VLOOKUP(B2650,'Daftar Outlet'!$A$4:$B$22,2,FALSE),""))</f>
        <v/>
      </c>
      <c r="D2650" s="8" t="n"/>
      <c r="E2650" s="6" t="n"/>
      <c r="F2650" s="8" t="n"/>
    </row>
    <row r="2651">
      <c r="A2651" s="7" t="n"/>
      <c r="B2651" s="8" t="n"/>
      <c r="C2651" s="9">
        <f>IF(B2651="","",IFERROR(VLOOKUP(B2651,'Daftar Outlet'!$A$4:$B$22,2,FALSE),""))</f>
        <v/>
      </c>
      <c r="D2651" s="8" t="n"/>
      <c r="E2651" s="6" t="n"/>
      <c r="F2651" s="8" t="n"/>
    </row>
    <row r="2652">
      <c r="A2652" s="7" t="n"/>
      <c r="B2652" s="8" t="n"/>
      <c r="C2652" s="9">
        <f>IF(B2652="","",IFERROR(VLOOKUP(B2652,'Daftar Outlet'!$A$4:$B$22,2,FALSE),""))</f>
        <v/>
      </c>
      <c r="D2652" s="8" t="n"/>
      <c r="E2652" s="6" t="n"/>
      <c r="F2652" s="8" t="n"/>
    </row>
    <row r="2653">
      <c r="A2653" s="7" t="n"/>
      <c r="B2653" s="8" t="n"/>
      <c r="C2653" s="9">
        <f>IF(B2653="","",IFERROR(VLOOKUP(B2653,'Daftar Outlet'!$A$4:$B$22,2,FALSE),""))</f>
        <v/>
      </c>
      <c r="D2653" s="8" t="n"/>
      <c r="E2653" s="6" t="n"/>
      <c r="F2653" s="8" t="n"/>
    </row>
    <row r="2654">
      <c r="A2654" s="7" t="n"/>
      <c r="B2654" s="8" t="n"/>
      <c r="C2654" s="9">
        <f>IF(B2654="","",IFERROR(VLOOKUP(B2654,'Daftar Outlet'!$A$4:$B$22,2,FALSE),""))</f>
        <v/>
      </c>
      <c r="D2654" s="8" t="n"/>
      <c r="E2654" s="6" t="n"/>
      <c r="F2654" s="8" t="n"/>
    </row>
    <row r="2655">
      <c r="A2655" s="7" t="n"/>
      <c r="B2655" s="8" t="n"/>
      <c r="C2655" s="9">
        <f>IF(B2655="","",IFERROR(VLOOKUP(B2655,'Daftar Outlet'!$A$4:$B$22,2,FALSE),""))</f>
        <v/>
      </c>
      <c r="D2655" s="8" t="n"/>
      <c r="E2655" s="6" t="n"/>
      <c r="F2655" s="8" t="n"/>
    </row>
    <row r="2656">
      <c r="A2656" s="7" t="n"/>
      <c r="B2656" s="8" t="n"/>
      <c r="C2656" s="9">
        <f>IF(B2656="","",IFERROR(VLOOKUP(B2656,'Daftar Outlet'!$A$4:$B$22,2,FALSE),""))</f>
        <v/>
      </c>
      <c r="D2656" s="8" t="n"/>
      <c r="E2656" s="6" t="n"/>
      <c r="F2656" s="8" t="n"/>
    </row>
    <row r="2657">
      <c r="A2657" s="7" t="n"/>
      <c r="B2657" s="8" t="n"/>
      <c r="C2657" s="9">
        <f>IF(B2657="","",IFERROR(VLOOKUP(B2657,'Daftar Outlet'!$A$4:$B$22,2,FALSE),""))</f>
        <v/>
      </c>
      <c r="D2657" s="8" t="n"/>
      <c r="E2657" s="6" t="n"/>
      <c r="F2657" s="8" t="n"/>
    </row>
    <row r="2658">
      <c r="A2658" s="7" t="n"/>
      <c r="B2658" s="8" t="n"/>
      <c r="C2658" s="9">
        <f>IF(B2658="","",IFERROR(VLOOKUP(B2658,'Daftar Outlet'!$A$4:$B$22,2,FALSE),""))</f>
        <v/>
      </c>
      <c r="D2658" s="8" t="n"/>
      <c r="E2658" s="6" t="n"/>
      <c r="F2658" s="8" t="n"/>
    </row>
    <row r="2659">
      <c r="A2659" s="7" t="n"/>
      <c r="B2659" s="8" t="n"/>
      <c r="C2659" s="9">
        <f>IF(B2659="","",IFERROR(VLOOKUP(B2659,'Daftar Outlet'!$A$4:$B$22,2,FALSE),""))</f>
        <v/>
      </c>
      <c r="D2659" s="8" t="n"/>
      <c r="E2659" s="6" t="n"/>
      <c r="F2659" s="8" t="n"/>
    </row>
    <row r="2660">
      <c r="A2660" s="7" t="n"/>
      <c r="B2660" s="8" t="n"/>
      <c r="C2660" s="9">
        <f>IF(B2660="","",IFERROR(VLOOKUP(B2660,'Daftar Outlet'!$A$4:$B$22,2,FALSE),""))</f>
        <v/>
      </c>
      <c r="D2660" s="8" t="n"/>
      <c r="E2660" s="6" t="n"/>
      <c r="F2660" s="8" t="n"/>
    </row>
    <row r="2661">
      <c r="A2661" s="7" t="n"/>
      <c r="B2661" s="8" t="n"/>
      <c r="C2661" s="9">
        <f>IF(B2661="","",IFERROR(VLOOKUP(B2661,'Daftar Outlet'!$A$4:$B$22,2,FALSE),""))</f>
        <v/>
      </c>
      <c r="D2661" s="8" t="n"/>
      <c r="E2661" s="6" t="n"/>
      <c r="F2661" s="8" t="n"/>
    </row>
    <row r="2662">
      <c r="A2662" s="7" t="n"/>
      <c r="B2662" s="8" t="n"/>
      <c r="C2662" s="9">
        <f>IF(B2662="","",IFERROR(VLOOKUP(B2662,'Daftar Outlet'!$A$4:$B$22,2,FALSE),""))</f>
        <v/>
      </c>
      <c r="D2662" s="8" t="n"/>
      <c r="E2662" s="6" t="n"/>
      <c r="F2662" s="8" t="n"/>
    </row>
    <row r="2663">
      <c r="A2663" s="7" t="n"/>
      <c r="B2663" s="8" t="n"/>
      <c r="C2663" s="9">
        <f>IF(B2663="","",IFERROR(VLOOKUP(B2663,'Daftar Outlet'!$A$4:$B$22,2,FALSE),""))</f>
        <v/>
      </c>
      <c r="D2663" s="8" t="n"/>
      <c r="E2663" s="6" t="n"/>
      <c r="F2663" s="8" t="n"/>
    </row>
    <row r="2664">
      <c r="A2664" s="7" t="n"/>
      <c r="B2664" s="8" t="n"/>
      <c r="C2664" s="9">
        <f>IF(B2664="","",IFERROR(VLOOKUP(B2664,'Daftar Outlet'!$A$4:$B$22,2,FALSE),""))</f>
        <v/>
      </c>
      <c r="D2664" s="8" t="n"/>
      <c r="E2664" s="6" t="n"/>
      <c r="F2664" s="8" t="n"/>
    </row>
    <row r="2665">
      <c r="A2665" s="7" t="n"/>
      <c r="B2665" s="8" t="n"/>
      <c r="C2665" s="9">
        <f>IF(B2665="","",IFERROR(VLOOKUP(B2665,'Daftar Outlet'!$A$4:$B$22,2,FALSE),""))</f>
        <v/>
      </c>
      <c r="D2665" s="8" t="n"/>
      <c r="E2665" s="6" t="n"/>
      <c r="F2665" s="8" t="n"/>
    </row>
    <row r="2666">
      <c r="A2666" s="7" t="n"/>
      <c r="B2666" s="8" t="n"/>
      <c r="C2666" s="9">
        <f>IF(B2666="","",IFERROR(VLOOKUP(B2666,'Daftar Outlet'!$A$4:$B$22,2,FALSE),""))</f>
        <v/>
      </c>
      <c r="D2666" s="8" t="n"/>
      <c r="E2666" s="6" t="n"/>
      <c r="F2666" s="8" t="n"/>
    </row>
    <row r="2667">
      <c r="A2667" s="7" t="n"/>
      <c r="B2667" s="8" t="n"/>
      <c r="C2667" s="9">
        <f>IF(B2667="","",IFERROR(VLOOKUP(B2667,'Daftar Outlet'!$A$4:$B$22,2,FALSE),""))</f>
        <v/>
      </c>
      <c r="D2667" s="8" t="n"/>
      <c r="E2667" s="6" t="n"/>
      <c r="F2667" s="8" t="n"/>
    </row>
    <row r="2668">
      <c r="A2668" s="7" t="n"/>
      <c r="B2668" s="8" t="n"/>
      <c r="C2668" s="9">
        <f>IF(B2668="","",IFERROR(VLOOKUP(B2668,'Daftar Outlet'!$A$4:$B$22,2,FALSE),""))</f>
        <v/>
      </c>
      <c r="D2668" s="8" t="n"/>
      <c r="E2668" s="6" t="n"/>
      <c r="F2668" s="8" t="n"/>
    </row>
    <row r="2669">
      <c r="A2669" s="7" t="n"/>
      <c r="B2669" s="8" t="n"/>
      <c r="C2669" s="9">
        <f>IF(B2669="","",IFERROR(VLOOKUP(B2669,'Daftar Outlet'!$A$4:$B$22,2,FALSE),""))</f>
        <v/>
      </c>
      <c r="D2669" s="8" t="n"/>
      <c r="E2669" s="6" t="n"/>
      <c r="F2669" s="8" t="n"/>
    </row>
    <row r="2670">
      <c r="A2670" s="7" t="n"/>
      <c r="B2670" s="8" t="n"/>
      <c r="C2670" s="9">
        <f>IF(B2670="","",IFERROR(VLOOKUP(B2670,'Daftar Outlet'!$A$4:$B$22,2,FALSE),""))</f>
        <v/>
      </c>
      <c r="D2670" s="8" t="n"/>
      <c r="E2670" s="6" t="n"/>
      <c r="F2670" s="8" t="n"/>
    </row>
    <row r="2671">
      <c r="A2671" s="7" t="n"/>
      <c r="B2671" s="8" t="n"/>
      <c r="C2671" s="9">
        <f>IF(B2671="","",IFERROR(VLOOKUP(B2671,'Daftar Outlet'!$A$4:$B$22,2,FALSE),""))</f>
        <v/>
      </c>
      <c r="D2671" s="8" t="n"/>
      <c r="E2671" s="6" t="n"/>
      <c r="F2671" s="8" t="n"/>
    </row>
    <row r="2672">
      <c r="A2672" s="7" t="n"/>
      <c r="B2672" s="8" t="n"/>
      <c r="C2672" s="9">
        <f>IF(B2672="","",IFERROR(VLOOKUP(B2672,'Daftar Outlet'!$A$4:$B$22,2,FALSE),""))</f>
        <v/>
      </c>
      <c r="D2672" s="8" t="n"/>
      <c r="E2672" s="6" t="n"/>
      <c r="F2672" s="8" t="n"/>
    </row>
    <row r="2673">
      <c r="A2673" s="7" t="n"/>
      <c r="B2673" s="8" t="n"/>
      <c r="C2673" s="9">
        <f>IF(B2673="","",IFERROR(VLOOKUP(B2673,'Daftar Outlet'!$A$4:$B$22,2,FALSE),""))</f>
        <v/>
      </c>
      <c r="D2673" s="8" t="n"/>
      <c r="E2673" s="6" t="n"/>
      <c r="F2673" s="8" t="n"/>
    </row>
    <row r="2674">
      <c r="A2674" s="7" t="n"/>
      <c r="B2674" s="8" t="n"/>
      <c r="C2674" s="9">
        <f>IF(B2674="","",IFERROR(VLOOKUP(B2674,'Daftar Outlet'!$A$4:$B$22,2,FALSE),""))</f>
        <v/>
      </c>
      <c r="D2674" s="8" t="n"/>
      <c r="E2674" s="6" t="n"/>
      <c r="F2674" s="8" t="n"/>
    </row>
    <row r="2675">
      <c r="A2675" s="7" t="n"/>
      <c r="B2675" s="8" t="n"/>
      <c r="C2675" s="9">
        <f>IF(B2675="","",IFERROR(VLOOKUP(B2675,'Daftar Outlet'!$A$4:$B$22,2,FALSE),""))</f>
        <v/>
      </c>
      <c r="D2675" s="8" t="n"/>
      <c r="E2675" s="6" t="n"/>
      <c r="F2675" s="8" t="n"/>
    </row>
    <row r="2676">
      <c r="A2676" s="7" t="n"/>
      <c r="B2676" s="8" t="n"/>
      <c r="C2676" s="9">
        <f>IF(B2676="","",IFERROR(VLOOKUP(B2676,'Daftar Outlet'!$A$4:$B$22,2,FALSE),""))</f>
        <v/>
      </c>
      <c r="D2676" s="8" t="n"/>
      <c r="E2676" s="6" t="n"/>
      <c r="F2676" s="8" t="n"/>
    </row>
    <row r="2677">
      <c r="A2677" s="7" t="n"/>
      <c r="B2677" s="8" t="n"/>
      <c r="C2677" s="9">
        <f>IF(B2677="","",IFERROR(VLOOKUP(B2677,'Daftar Outlet'!$A$4:$B$22,2,FALSE),""))</f>
        <v/>
      </c>
      <c r="D2677" s="8" t="n"/>
      <c r="E2677" s="6" t="n"/>
      <c r="F2677" s="8" t="n"/>
    </row>
    <row r="2678">
      <c r="A2678" s="7" t="n"/>
      <c r="B2678" s="8" t="n"/>
      <c r="C2678" s="9">
        <f>IF(B2678="","",IFERROR(VLOOKUP(B2678,'Daftar Outlet'!$A$4:$B$22,2,FALSE),""))</f>
        <v/>
      </c>
      <c r="D2678" s="8" t="n"/>
      <c r="E2678" s="6" t="n"/>
      <c r="F2678" s="8" t="n"/>
    </row>
    <row r="2679">
      <c r="A2679" s="7" t="n"/>
      <c r="B2679" s="8" t="n"/>
      <c r="C2679" s="9">
        <f>IF(B2679="","",IFERROR(VLOOKUP(B2679,'Daftar Outlet'!$A$4:$B$22,2,FALSE),""))</f>
        <v/>
      </c>
      <c r="D2679" s="8" t="n"/>
      <c r="E2679" s="6" t="n"/>
      <c r="F2679" s="8" t="n"/>
    </row>
    <row r="2680">
      <c r="A2680" s="7" t="n"/>
      <c r="B2680" s="8" t="n"/>
      <c r="C2680" s="9">
        <f>IF(B2680="","",IFERROR(VLOOKUP(B2680,'Daftar Outlet'!$A$4:$B$22,2,FALSE),""))</f>
        <v/>
      </c>
      <c r="D2680" s="8" t="n"/>
      <c r="E2680" s="6" t="n"/>
      <c r="F2680" s="8" t="n"/>
    </row>
    <row r="2681">
      <c r="A2681" s="7" t="n"/>
      <c r="B2681" s="8" t="n"/>
      <c r="C2681" s="9">
        <f>IF(B2681="","",IFERROR(VLOOKUP(B2681,'Daftar Outlet'!$A$4:$B$22,2,FALSE),""))</f>
        <v/>
      </c>
      <c r="D2681" s="8" t="n"/>
      <c r="E2681" s="6" t="n"/>
      <c r="F2681" s="8" t="n"/>
    </row>
    <row r="2682">
      <c r="A2682" s="7" t="n"/>
      <c r="B2682" s="8" t="n"/>
      <c r="C2682" s="9">
        <f>IF(B2682="","",IFERROR(VLOOKUP(B2682,'Daftar Outlet'!$A$4:$B$22,2,FALSE),""))</f>
        <v/>
      </c>
      <c r="D2682" s="8" t="n"/>
      <c r="E2682" s="6" t="n"/>
      <c r="F2682" s="8" t="n"/>
    </row>
    <row r="2683">
      <c r="A2683" s="7" t="n"/>
      <c r="B2683" s="8" t="n"/>
      <c r="C2683" s="9">
        <f>IF(B2683="","",IFERROR(VLOOKUP(B2683,'Daftar Outlet'!$A$4:$B$22,2,FALSE),""))</f>
        <v/>
      </c>
      <c r="D2683" s="8" t="n"/>
      <c r="E2683" s="6" t="n"/>
      <c r="F2683" s="8" t="n"/>
    </row>
    <row r="2684">
      <c r="A2684" s="7" t="n"/>
      <c r="B2684" s="8" t="n"/>
      <c r="C2684" s="9">
        <f>IF(B2684="","",IFERROR(VLOOKUP(B2684,'Daftar Outlet'!$A$4:$B$22,2,FALSE),""))</f>
        <v/>
      </c>
      <c r="D2684" s="8" t="n"/>
      <c r="E2684" s="6" t="n"/>
      <c r="F2684" s="8" t="n"/>
    </row>
    <row r="2685">
      <c r="A2685" s="7" t="n"/>
      <c r="B2685" s="8" t="n"/>
      <c r="C2685" s="9">
        <f>IF(B2685="","",IFERROR(VLOOKUP(B2685,'Daftar Outlet'!$A$4:$B$22,2,FALSE),""))</f>
        <v/>
      </c>
      <c r="D2685" s="8" t="n"/>
      <c r="E2685" s="6" t="n"/>
      <c r="F2685" s="8" t="n"/>
    </row>
    <row r="2686">
      <c r="A2686" s="7" t="n"/>
      <c r="B2686" s="8" t="n"/>
      <c r="C2686" s="9">
        <f>IF(B2686="","",IFERROR(VLOOKUP(B2686,'Daftar Outlet'!$A$4:$B$22,2,FALSE),""))</f>
        <v/>
      </c>
      <c r="D2686" s="8" t="n"/>
      <c r="E2686" s="6" t="n"/>
      <c r="F2686" s="8" t="n"/>
    </row>
    <row r="2687">
      <c r="A2687" s="7" t="n"/>
      <c r="B2687" s="8" t="n"/>
      <c r="C2687" s="9">
        <f>IF(B2687="","",IFERROR(VLOOKUP(B2687,'Daftar Outlet'!$A$4:$B$22,2,FALSE),""))</f>
        <v/>
      </c>
      <c r="D2687" s="8" t="n"/>
      <c r="E2687" s="6" t="n"/>
      <c r="F2687" s="8" t="n"/>
    </row>
    <row r="2688">
      <c r="A2688" s="7" t="n"/>
      <c r="B2688" s="8" t="n"/>
      <c r="C2688" s="9">
        <f>IF(B2688="","",IFERROR(VLOOKUP(B2688,'Daftar Outlet'!$A$4:$B$22,2,FALSE),""))</f>
        <v/>
      </c>
      <c r="D2688" s="8" t="n"/>
      <c r="E2688" s="6" t="n"/>
      <c r="F2688" s="8" t="n"/>
    </row>
    <row r="2689">
      <c r="A2689" s="7" t="n"/>
      <c r="B2689" s="8" t="n"/>
      <c r="C2689" s="9">
        <f>IF(B2689="","",IFERROR(VLOOKUP(B2689,'Daftar Outlet'!$A$4:$B$22,2,FALSE),""))</f>
        <v/>
      </c>
      <c r="D2689" s="8" t="n"/>
      <c r="E2689" s="6" t="n"/>
      <c r="F2689" s="8" t="n"/>
    </row>
    <row r="2690">
      <c r="A2690" s="7" t="n"/>
      <c r="B2690" s="8" t="n"/>
      <c r="C2690" s="9">
        <f>IF(B2690="","",IFERROR(VLOOKUP(B2690,'Daftar Outlet'!$A$4:$B$22,2,FALSE),""))</f>
        <v/>
      </c>
      <c r="D2690" s="8" t="n"/>
      <c r="E2690" s="6" t="n"/>
      <c r="F2690" s="8" t="n"/>
    </row>
    <row r="2691">
      <c r="A2691" s="7" t="n"/>
      <c r="B2691" s="8" t="n"/>
      <c r="C2691" s="9">
        <f>IF(B2691="","",IFERROR(VLOOKUP(B2691,'Daftar Outlet'!$A$4:$B$22,2,FALSE),""))</f>
        <v/>
      </c>
      <c r="D2691" s="8" t="n"/>
      <c r="E2691" s="6" t="n"/>
      <c r="F2691" s="8" t="n"/>
    </row>
    <row r="2692">
      <c r="A2692" s="7" t="n"/>
      <c r="B2692" s="8" t="n"/>
      <c r="C2692" s="9">
        <f>IF(B2692="","",IFERROR(VLOOKUP(B2692,'Daftar Outlet'!$A$4:$B$22,2,FALSE),""))</f>
        <v/>
      </c>
      <c r="D2692" s="8" t="n"/>
      <c r="E2692" s="6" t="n"/>
      <c r="F2692" s="8" t="n"/>
    </row>
    <row r="2693">
      <c r="A2693" s="7" t="n"/>
      <c r="B2693" s="8" t="n"/>
      <c r="C2693" s="9">
        <f>IF(B2693="","",IFERROR(VLOOKUP(B2693,'Daftar Outlet'!$A$4:$B$22,2,FALSE),""))</f>
        <v/>
      </c>
      <c r="D2693" s="8" t="n"/>
      <c r="E2693" s="6" t="n"/>
      <c r="F2693" s="8" t="n"/>
    </row>
    <row r="2694">
      <c r="A2694" s="7" t="n"/>
      <c r="B2694" s="8" t="n"/>
      <c r="C2694" s="9">
        <f>IF(B2694="","",IFERROR(VLOOKUP(B2694,'Daftar Outlet'!$A$4:$B$22,2,FALSE),""))</f>
        <v/>
      </c>
      <c r="D2694" s="8" t="n"/>
      <c r="E2694" s="6" t="n"/>
      <c r="F2694" s="8" t="n"/>
    </row>
    <row r="2695">
      <c r="A2695" s="7" t="n"/>
      <c r="B2695" s="8" t="n"/>
      <c r="C2695" s="9">
        <f>IF(B2695="","",IFERROR(VLOOKUP(B2695,'Daftar Outlet'!$A$4:$B$22,2,FALSE),""))</f>
        <v/>
      </c>
      <c r="D2695" s="8" t="n"/>
      <c r="E2695" s="6" t="n"/>
      <c r="F2695" s="8" t="n"/>
    </row>
    <row r="2696">
      <c r="A2696" s="7" t="n"/>
      <c r="B2696" s="8" t="n"/>
      <c r="C2696" s="9">
        <f>IF(B2696="","",IFERROR(VLOOKUP(B2696,'Daftar Outlet'!$A$4:$B$22,2,FALSE),""))</f>
        <v/>
      </c>
      <c r="D2696" s="8" t="n"/>
      <c r="E2696" s="6" t="n"/>
      <c r="F2696" s="8" t="n"/>
    </row>
    <row r="2697">
      <c r="A2697" s="7" t="n"/>
      <c r="B2697" s="8" t="n"/>
      <c r="C2697" s="9">
        <f>IF(B2697="","",IFERROR(VLOOKUP(B2697,'Daftar Outlet'!$A$4:$B$22,2,FALSE),""))</f>
        <v/>
      </c>
      <c r="D2697" s="8" t="n"/>
      <c r="E2697" s="6" t="n"/>
      <c r="F2697" s="8" t="n"/>
    </row>
    <row r="2698">
      <c r="A2698" s="7" t="n"/>
      <c r="B2698" s="8" t="n"/>
      <c r="C2698" s="9">
        <f>IF(B2698="","",IFERROR(VLOOKUP(B2698,'Daftar Outlet'!$A$4:$B$22,2,FALSE),""))</f>
        <v/>
      </c>
      <c r="D2698" s="8" t="n"/>
      <c r="E2698" s="6" t="n"/>
      <c r="F2698" s="8" t="n"/>
    </row>
    <row r="2699">
      <c r="A2699" s="7" t="n"/>
      <c r="B2699" s="8" t="n"/>
      <c r="C2699" s="9">
        <f>IF(B2699="","",IFERROR(VLOOKUP(B2699,'Daftar Outlet'!$A$4:$B$22,2,FALSE),""))</f>
        <v/>
      </c>
      <c r="D2699" s="8" t="n"/>
      <c r="E2699" s="6" t="n"/>
      <c r="F2699" s="8" t="n"/>
    </row>
    <row r="2700">
      <c r="A2700" s="7" t="n"/>
      <c r="B2700" s="8" t="n"/>
      <c r="C2700" s="9">
        <f>IF(B2700="","",IFERROR(VLOOKUP(B2700,'Daftar Outlet'!$A$4:$B$22,2,FALSE),""))</f>
        <v/>
      </c>
      <c r="D2700" s="8" t="n"/>
      <c r="E2700" s="6" t="n"/>
      <c r="F2700" s="8" t="n"/>
    </row>
    <row r="2701">
      <c r="A2701" s="7" t="n"/>
      <c r="B2701" s="8" t="n"/>
      <c r="C2701" s="9">
        <f>IF(B2701="","",IFERROR(VLOOKUP(B2701,'Daftar Outlet'!$A$4:$B$22,2,FALSE),""))</f>
        <v/>
      </c>
      <c r="D2701" s="8" t="n"/>
      <c r="E2701" s="6" t="n"/>
      <c r="F2701" s="8" t="n"/>
    </row>
    <row r="2702">
      <c r="A2702" s="7" t="n"/>
      <c r="B2702" s="8" t="n"/>
      <c r="C2702" s="9">
        <f>IF(B2702="","",IFERROR(VLOOKUP(B2702,'Daftar Outlet'!$A$4:$B$22,2,FALSE),""))</f>
        <v/>
      </c>
      <c r="D2702" s="8" t="n"/>
      <c r="E2702" s="6" t="n"/>
      <c r="F2702" s="8" t="n"/>
    </row>
    <row r="2703">
      <c r="A2703" s="7" t="n"/>
      <c r="B2703" s="8" t="n"/>
      <c r="C2703" s="9">
        <f>IF(B2703="","",IFERROR(VLOOKUP(B2703,'Daftar Outlet'!$A$4:$B$22,2,FALSE),""))</f>
        <v/>
      </c>
      <c r="D2703" s="8" t="n"/>
      <c r="E2703" s="6" t="n"/>
      <c r="F2703" s="8" t="n"/>
    </row>
    <row r="2704">
      <c r="A2704" s="7" t="n"/>
      <c r="B2704" s="8" t="n"/>
      <c r="C2704" s="9">
        <f>IF(B2704="","",IFERROR(VLOOKUP(B2704,'Daftar Outlet'!$A$4:$B$22,2,FALSE),""))</f>
        <v/>
      </c>
      <c r="D2704" s="8" t="n"/>
      <c r="E2704" s="6" t="n"/>
      <c r="F2704" s="8" t="n"/>
    </row>
    <row r="2705">
      <c r="A2705" s="7" t="n"/>
      <c r="B2705" s="8" t="n"/>
      <c r="C2705" s="9">
        <f>IF(B2705="","",IFERROR(VLOOKUP(B2705,'Daftar Outlet'!$A$4:$B$22,2,FALSE),""))</f>
        <v/>
      </c>
      <c r="D2705" s="8" t="n"/>
      <c r="E2705" s="6" t="n"/>
      <c r="F2705" s="8" t="n"/>
    </row>
    <row r="2706">
      <c r="A2706" s="7" t="n"/>
      <c r="B2706" s="8" t="n"/>
      <c r="C2706" s="9">
        <f>IF(B2706="","",IFERROR(VLOOKUP(B2706,'Daftar Outlet'!$A$4:$B$22,2,FALSE),""))</f>
        <v/>
      </c>
      <c r="D2706" s="8" t="n"/>
      <c r="E2706" s="6" t="n"/>
      <c r="F2706" s="8" t="n"/>
    </row>
    <row r="2707">
      <c r="A2707" s="7" t="n"/>
      <c r="B2707" s="8" t="n"/>
      <c r="C2707" s="9">
        <f>IF(B2707="","",IFERROR(VLOOKUP(B2707,'Daftar Outlet'!$A$4:$B$22,2,FALSE),""))</f>
        <v/>
      </c>
      <c r="D2707" s="8" t="n"/>
      <c r="E2707" s="6" t="n"/>
      <c r="F2707" s="8" t="n"/>
    </row>
    <row r="2708">
      <c r="A2708" s="7" t="n"/>
      <c r="B2708" s="8" t="n"/>
      <c r="C2708" s="9">
        <f>IF(B2708="","",IFERROR(VLOOKUP(B2708,'Daftar Outlet'!$A$4:$B$22,2,FALSE),""))</f>
        <v/>
      </c>
      <c r="D2708" s="8" t="n"/>
      <c r="E2708" s="6" t="n"/>
      <c r="F2708" s="8" t="n"/>
    </row>
    <row r="2709">
      <c r="A2709" s="7" t="n"/>
      <c r="B2709" s="8" t="n"/>
      <c r="C2709" s="9">
        <f>IF(B2709="","",IFERROR(VLOOKUP(B2709,'Daftar Outlet'!$A$4:$B$22,2,FALSE),""))</f>
        <v/>
      </c>
      <c r="D2709" s="8" t="n"/>
      <c r="E2709" s="6" t="n"/>
      <c r="F2709" s="8" t="n"/>
    </row>
    <row r="2710">
      <c r="A2710" s="7" t="n"/>
      <c r="B2710" s="8" t="n"/>
      <c r="C2710" s="9">
        <f>IF(B2710="","",IFERROR(VLOOKUP(B2710,'Daftar Outlet'!$A$4:$B$22,2,FALSE),""))</f>
        <v/>
      </c>
      <c r="D2710" s="8" t="n"/>
      <c r="E2710" s="6" t="n"/>
      <c r="F2710" s="8" t="n"/>
    </row>
    <row r="2711">
      <c r="A2711" s="7" t="n"/>
      <c r="B2711" s="8" t="n"/>
      <c r="C2711" s="9">
        <f>IF(B2711="","",IFERROR(VLOOKUP(B2711,'Daftar Outlet'!$A$4:$B$22,2,FALSE),""))</f>
        <v/>
      </c>
      <c r="D2711" s="8" t="n"/>
      <c r="E2711" s="6" t="n"/>
      <c r="F2711" s="8" t="n"/>
    </row>
    <row r="2712">
      <c r="A2712" s="7" t="n"/>
      <c r="B2712" s="8" t="n"/>
      <c r="C2712" s="9">
        <f>IF(B2712="","",IFERROR(VLOOKUP(B2712,'Daftar Outlet'!$A$4:$B$22,2,FALSE),""))</f>
        <v/>
      </c>
      <c r="D2712" s="8" t="n"/>
      <c r="E2712" s="6" t="n"/>
      <c r="F2712" s="8" t="n"/>
    </row>
    <row r="2713">
      <c r="A2713" s="7" t="n"/>
      <c r="B2713" s="8" t="n"/>
      <c r="C2713" s="9">
        <f>IF(B2713="","",IFERROR(VLOOKUP(B2713,'Daftar Outlet'!$A$4:$B$22,2,FALSE),""))</f>
        <v/>
      </c>
      <c r="D2713" s="8" t="n"/>
      <c r="E2713" s="6" t="n"/>
      <c r="F2713" s="8" t="n"/>
    </row>
    <row r="2714">
      <c r="A2714" s="7" t="n"/>
      <c r="B2714" s="8" t="n"/>
      <c r="C2714" s="9">
        <f>IF(B2714="","",IFERROR(VLOOKUP(B2714,'Daftar Outlet'!$A$4:$B$22,2,FALSE),""))</f>
        <v/>
      </c>
      <c r="D2714" s="8" t="n"/>
      <c r="E2714" s="6" t="n"/>
      <c r="F2714" s="8" t="n"/>
    </row>
    <row r="2715">
      <c r="A2715" s="7" t="n"/>
      <c r="B2715" s="8" t="n"/>
      <c r="C2715" s="9">
        <f>IF(B2715="","",IFERROR(VLOOKUP(B2715,'Daftar Outlet'!$A$4:$B$22,2,FALSE),""))</f>
        <v/>
      </c>
      <c r="D2715" s="8" t="n"/>
      <c r="E2715" s="6" t="n"/>
      <c r="F2715" s="8" t="n"/>
    </row>
    <row r="2716">
      <c r="A2716" s="7" t="n"/>
      <c r="B2716" s="8" t="n"/>
      <c r="C2716" s="9">
        <f>IF(B2716="","",IFERROR(VLOOKUP(B2716,'Daftar Outlet'!$A$4:$B$22,2,FALSE),""))</f>
        <v/>
      </c>
      <c r="D2716" s="8" t="n"/>
      <c r="E2716" s="6" t="n"/>
      <c r="F2716" s="8" t="n"/>
    </row>
    <row r="2717">
      <c r="A2717" s="7" t="n"/>
      <c r="B2717" s="8" t="n"/>
      <c r="C2717" s="9">
        <f>IF(B2717="","",IFERROR(VLOOKUP(B2717,'Daftar Outlet'!$A$4:$B$22,2,FALSE),""))</f>
        <v/>
      </c>
      <c r="D2717" s="8" t="n"/>
      <c r="E2717" s="6" t="n"/>
      <c r="F2717" s="8" t="n"/>
    </row>
    <row r="2718">
      <c r="A2718" s="7" t="n"/>
      <c r="B2718" s="8" t="n"/>
      <c r="C2718" s="9">
        <f>IF(B2718="","",IFERROR(VLOOKUP(B2718,'Daftar Outlet'!$A$4:$B$22,2,FALSE),""))</f>
        <v/>
      </c>
      <c r="D2718" s="8" t="n"/>
      <c r="E2718" s="6" t="n"/>
      <c r="F2718" s="8" t="n"/>
    </row>
    <row r="2719">
      <c r="A2719" s="7" t="n"/>
      <c r="B2719" s="8" t="n"/>
      <c r="C2719" s="9">
        <f>IF(B2719="","",IFERROR(VLOOKUP(B2719,'Daftar Outlet'!$A$4:$B$22,2,FALSE),""))</f>
        <v/>
      </c>
      <c r="D2719" s="8" t="n"/>
      <c r="E2719" s="6" t="n"/>
      <c r="F2719" s="8" t="n"/>
    </row>
    <row r="2720">
      <c r="A2720" s="7" t="n"/>
      <c r="B2720" s="8" t="n"/>
      <c r="C2720" s="9">
        <f>IF(B2720="","",IFERROR(VLOOKUP(B2720,'Daftar Outlet'!$A$4:$B$22,2,FALSE),""))</f>
        <v/>
      </c>
      <c r="D2720" s="8" t="n"/>
      <c r="E2720" s="6" t="n"/>
      <c r="F2720" s="8" t="n"/>
    </row>
    <row r="2721">
      <c r="A2721" s="7" t="n"/>
      <c r="B2721" s="8" t="n"/>
      <c r="C2721" s="9">
        <f>IF(B2721="","",IFERROR(VLOOKUP(B2721,'Daftar Outlet'!$A$4:$B$22,2,FALSE),""))</f>
        <v/>
      </c>
      <c r="D2721" s="8" t="n"/>
      <c r="E2721" s="6" t="n"/>
      <c r="F2721" s="8" t="n"/>
    </row>
    <row r="2722">
      <c r="A2722" s="7" t="n"/>
      <c r="B2722" s="8" t="n"/>
      <c r="C2722" s="9">
        <f>IF(B2722="","",IFERROR(VLOOKUP(B2722,'Daftar Outlet'!$A$4:$B$22,2,FALSE),""))</f>
        <v/>
      </c>
      <c r="D2722" s="8" t="n"/>
      <c r="E2722" s="6" t="n"/>
      <c r="F2722" s="8" t="n"/>
    </row>
    <row r="2723">
      <c r="A2723" s="7" t="n"/>
      <c r="B2723" s="8" t="n"/>
      <c r="C2723" s="9">
        <f>IF(B2723="","",IFERROR(VLOOKUP(B2723,'Daftar Outlet'!$A$4:$B$22,2,FALSE),""))</f>
        <v/>
      </c>
      <c r="D2723" s="8" t="n"/>
      <c r="E2723" s="6" t="n"/>
      <c r="F2723" s="8" t="n"/>
    </row>
    <row r="2724">
      <c r="A2724" s="7" t="n"/>
      <c r="B2724" s="8" t="n"/>
      <c r="C2724" s="9">
        <f>IF(B2724="","",IFERROR(VLOOKUP(B2724,'Daftar Outlet'!$A$4:$B$22,2,FALSE),""))</f>
        <v/>
      </c>
      <c r="D2724" s="8" t="n"/>
      <c r="E2724" s="6" t="n"/>
      <c r="F2724" s="8" t="n"/>
    </row>
    <row r="2725">
      <c r="A2725" s="7" t="n"/>
      <c r="B2725" s="8" t="n"/>
      <c r="C2725" s="9">
        <f>IF(B2725="","",IFERROR(VLOOKUP(B2725,'Daftar Outlet'!$A$4:$B$22,2,FALSE),""))</f>
        <v/>
      </c>
      <c r="D2725" s="8" t="n"/>
      <c r="E2725" s="6" t="n"/>
      <c r="F2725" s="8" t="n"/>
    </row>
    <row r="2726">
      <c r="A2726" s="7" t="n"/>
      <c r="B2726" s="8" t="n"/>
      <c r="C2726" s="9">
        <f>IF(B2726="","",IFERROR(VLOOKUP(B2726,'Daftar Outlet'!$A$4:$B$22,2,FALSE),""))</f>
        <v/>
      </c>
      <c r="D2726" s="8" t="n"/>
      <c r="E2726" s="6" t="n"/>
      <c r="F2726" s="8" t="n"/>
    </row>
    <row r="2727">
      <c r="A2727" s="7" t="n"/>
      <c r="B2727" s="8" t="n"/>
      <c r="C2727" s="9">
        <f>IF(B2727="","",IFERROR(VLOOKUP(B2727,'Daftar Outlet'!$A$4:$B$22,2,FALSE),""))</f>
        <v/>
      </c>
      <c r="D2727" s="8" t="n"/>
      <c r="E2727" s="6" t="n"/>
      <c r="F2727" s="8" t="n"/>
    </row>
    <row r="2728">
      <c r="A2728" s="7" t="n"/>
      <c r="B2728" s="8" t="n"/>
      <c r="C2728" s="9">
        <f>IF(B2728="","",IFERROR(VLOOKUP(B2728,'Daftar Outlet'!$A$4:$B$22,2,FALSE),""))</f>
        <v/>
      </c>
      <c r="D2728" s="8" t="n"/>
      <c r="E2728" s="6" t="n"/>
      <c r="F2728" s="8" t="n"/>
    </row>
    <row r="2729">
      <c r="A2729" s="7" t="n"/>
      <c r="B2729" s="8" t="n"/>
      <c r="C2729" s="9">
        <f>IF(B2729="","",IFERROR(VLOOKUP(B2729,'Daftar Outlet'!$A$4:$B$22,2,FALSE),""))</f>
        <v/>
      </c>
      <c r="D2729" s="8" t="n"/>
      <c r="E2729" s="6" t="n"/>
      <c r="F2729" s="8" t="n"/>
    </row>
    <row r="2730">
      <c r="A2730" s="7" t="n"/>
      <c r="B2730" s="8" t="n"/>
      <c r="C2730" s="9">
        <f>IF(B2730="","",IFERROR(VLOOKUP(B2730,'Daftar Outlet'!$A$4:$B$22,2,FALSE),""))</f>
        <v/>
      </c>
      <c r="D2730" s="8" t="n"/>
      <c r="E2730" s="6" t="n"/>
      <c r="F2730" s="8" t="n"/>
    </row>
    <row r="2731">
      <c r="A2731" s="7" t="n"/>
      <c r="B2731" s="8" t="n"/>
      <c r="C2731" s="9">
        <f>IF(B2731="","",IFERROR(VLOOKUP(B2731,'Daftar Outlet'!$A$4:$B$22,2,FALSE),""))</f>
        <v/>
      </c>
      <c r="D2731" s="8" t="n"/>
      <c r="E2731" s="6" t="n"/>
      <c r="F2731" s="8" t="n"/>
    </row>
    <row r="2732">
      <c r="A2732" s="7" t="n"/>
      <c r="B2732" s="8" t="n"/>
      <c r="C2732" s="9">
        <f>IF(B2732="","",IFERROR(VLOOKUP(B2732,'Daftar Outlet'!$A$4:$B$22,2,FALSE),""))</f>
        <v/>
      </c>
      <c r="D2732" s="8" t="n"/>
      <c r="E2732" s="6" t="n"/>
      <c r="F2732" s="8" t="n"/>
    </row>
    <row r="2733">
      <c r="A2733" s="7" t="n"/>
      <c r="B2733" s="8" t="n"/>
      <c r="C2733" s="9">
        <f>IF(B2733="","",IFERROR(VLOOKUP(B2733,'Daftar Outlet'!$A$4:$B$22,2,FALSE),""))</f>
        <v/>
      </c>
      <c r="D2733" s="8" t="n"/>
      <c r="E2733" s="6" t="n"/>
      <c r="F2733" s="8" t="n"/>
    </row>
    <row r="2734">
      <c r="A2734" s="7" t="n"/>
      <c r="B2734" s="8" t="n"/>
      <c r="C2734" s="9">
        <f>IF(B2734="","",IFERROR(VLOOKUP(B2734,'Daftar Outlet'!$A$4:$B$22,2,FALSE),""))</f>
        <v/>
      </c>
      <c r="D2734" s="8" t="n"/>
      <c r="E2734" s="6" t="n"/>
      <c r="F2734" s="8" t="n"/>
    </row>
    <row r="2735">
      <c r="A2735" s="7" t="n"/>
      <c r="B2735" s="8" t="n"/>
      <c r="C2735" s="9">
        <f>IF(B2735="","",IFERROR(VLOOKUP(B2735,'Daftar Outlet'!$A$4:$B$22,2,FALSE),""))</f>
        <v/>
      </c>
      <c r="D2735" s="8" t="n"/>
      <c r="E2735" s="6" t="n"/>
      <c r="F2735" s="8" t="n"/>
    </row>
    <row r="2736">
      <c r="A2736" s="7" t="n"/>
      <c r="B2736" s="8" t="n"/>
      <c r="C2736" s="9">
        <f>IF(B2736="","",IFERROR(VLOOKUP(B2736,'Daftar Outlet'!$A$4:$B$22,2,FALSE),""))</f>
        <v/>
      </c>
      <c r="D2736" s="8" t="n"/>
      <c r="E2736" s="6" t="n"/>
      <c r="F2736" s="8" t="n"/>
    </row>
    <row r="2737">
      <c r="A2737" s="7" t="n"/>
      <c r="B2737" s="8" t="n"/>
      <c r="C2737" s="9">
        <f>IF(B2737="","",IFERROR(VLOOKUP(B2737,'Daftar Outlet'!$A$4:$B$22,2,FALSE),""))</f>
        <v/>
      </c>
      <c r="D2737" s="8" t="n"/>
      <c r="E2737" s="6" t="n"/>
      <c r="F2737" s="8" t="n"/>
    </row>
    <row r="2738">
      <c r="A2738" s="7" t="n"/>
      <c r="B2738" s="8" t="n"/>
      <c r="C2738" s="9">
        <f>IF(B2738="","",IFERROR(VLOOKUP(B2738,'Daftar Outlet'!$A$4:$B$22,2,FALSE),""))</f>
        <v/>
      </c>
      <c r="D2738" s="8" t="n"/>
      <c r="E2738" s="6" t="n"/>
      <c r="F2738" s="8" t="n"/>
    </row>
    <row r="2739">
      <c r="A2739" s="7" t="n"/>
      <c r="B2739" s="8" t="n"/>
      <c r="C2739" s="9">
        <f>IF(B2739="","",IFERROR(VLOOKUP(B2739,'Daftar Outlet'!$A$4:$B$22,2,FALSE),""))</f>
        <v/>
      </c>
      <c r="D2739" s="8" t="n"/>
      <c r="E2739" s="6" t="n"/>
      <c r="F2739" s="8" t="n"/>
    </row>
    <row r="2740">
      <c r="A2740" s="7" t="n"/>
      <c r="B2740" s="8" t="n"/>
      <c r="C2740" s="9">
        <f>IF(B2740="","",IFERROR(VLOOKUP(B2740,'Daftar Outlet'!$A$4:$B$22,2,FALSE),""))</f>
        <v/>
      </c>
      <c r="D2740" s="8" t="n"/>
      <c r="E2740" s="6" t="n"/>
      <c r="F2740" s="8" t="n"/>
    </row>
    <row r="2741">
      <c r="A2741" s="7" t="n"/>
      <c r="B2741" s="8" t="n"/>
      <c r="C2741" s="9">
        <f>IF(B2741="","",IFERROR(VLOOKUP(B2741,'Daftar Outlet'!$A$4:$B$22,2,FALSE),""))</f>
        <v/>
      </c>
      <c r="D2741" s="8" t="n"/>
      <c r="E2741" s="6" t="n"/>
      <c r="F2741" s="8" t="n"/>
    </row>
    <row r="2742">
      <c r="A2742" s="7" t="n"/>
      <c r="B2742" s="8" t="n"/>
      <c r="C2742" s="9">
        <f>IF(B2742="","",IFERROR(VLOOKUP(B2742,'Daftar Outlet'!$A$4:$B$22,2,FALSE),""))</f>
        <v/>
      </c>
      <c r="D2742" s="8" t="n"/>
      <c r="E2742" s="6" t="n"/>
      <c r="F2742" s="8" t="n"/>
    </row>
    <row r="2743">
      <c r="A2743" s="7" t="n"/>
      <c r="B2743" s="8" t="n"/>
      <c r="C2743" s="9">
        <f>IF(B2743="","",IFERROR(VLOOKUP(B2743,'Daftar Outlet'!$A$4:$B$22,2,FALSE),""))</f>
        <v/>
      </c>
      <c r="D2743" s="8" t="n"/>
      <c r="E2743" s="6" t="n"/>
      <c r="F2743" s="8" t="n"/>
    </row>
    <row r="2744">
      <c r="A2744" s="7" t="n"/>
      <c r="B2744" s="8" t="n"/>
      <c r="C2744" s="9">
        <f>IF(B2744="","",IFERROR(VLOOKUP(B2744,'Daftar Outlet'!$A$4:$B$22,2,FALSE),""))</f>
        <v/>
      </c>
      <c r="D2744" s="8" t="n"/>
      <c r="E2744" s="6" t="n"/>
      <c r="F2744" s="8" t="n"/>
    </row>
    <row r="2745">
      <c r="A2745" s="7" t="n"/>
      <c r="B2745" s="8" t="n"/>
      <c r="C2745" s="9">
        <f>IF(B2745="","",IFERROR(VLOOKUP(B2745,'Daftar Outlet'!$A$4:$B$22,2,FALSE),""))</f>
        <v/>
      </c>
      <c r="D2745" s="8" t="n"/>
      <c r="E2745" s="6" t="n"/>
      <c r="F2745" s="8" t="n"/>
    </row>
    <row r="2746">
      <c r="A2746" s="7" t="n"/>
      <c r="B2746" s="8" t="n"/>
      <c r="C2746" s="9">
        <f>IF(B2746="","",IFERROR(VLOOKUP(B2746,'Daftar Outlet'!$A$4:$B$22,2,FALSE),""))</f>
        <v/>
      </c>
      <c r="D2746" s="8" t="n"/>
      <c r="E2746" s="6" t="n"/>
      <c r="F2746" s="8" t="n"/>
    </row>
    <row r="2747">
      <c r="A2747" s="7" t="n"/>
      <c r="B2747" s="8" t="n"/>
      <c r="C2747" s="9">
        <f>IF(B2747="","",IFERROR(VLOOKUP(B2747,'Daftar Outlet'!$A$4:$B$22,2,FALSE),""))</f>
        <v/>
      </c>
      <c r="D2747" s="8" t="n"/>
      <c r="E2747" s="6" t="n"/>
      <c r="F2747" s="8" t="n"/>
    </row>
    <row r="2748">
      <c r="A2748" s="7" t="n"/>
      <c r="B2748" s="8" t="n"/>
      <c r="C2748" s="9">
        <f>IF(B2748="","",IFERROR(VLOOKUP(B2748,'Daftar Outlet'!$A$4:$B$22,2,FALSE),""))</f>
        <v/>
      </c>
      <c r="D2748" s="8" t="n"/>
      <c r="E2748" s="6" t="n"/>
      <c r="F2748" s="8" t="n"/>
    </row>
    <row r="2749">
      <c r="A2749" s="7" t="n"/>
      <c r="B2749" s="8" t="n"/>
      <c r="C2749" s="9">
        <f>IF(B2749="","",IFERROR(VLOOKUP(B2749,'Daftar Outlet'!$A$4:$B$22,2,FALSE),""))</f>
        <v/>
      </c>
      <c r="D2749" s="8" t="n"/>
      <c r="E2749" s="6" t="n"/>
      <c r="F2749" s="8" t="n"/>
    </row>
    <row r="2750">
      <c r="A2750" s="7" t="n"/>
      <c r="B2750" s="8" t="n"/>
      <c r="C2750" s="9">
        <f>IF(B2750="","",IFERROR(VLOOKUP(B2750,'Daftar Outlet'!$A$4:$B$22,2,FALSE),""))</f>
        <v/>
      </c>
      <c r="D2750" s="8" t="n"/>
      <c r="E2750" s="6" t="n"/>
      <c r="F2750" s="8" t="n"/>
    </row>
    <row r="2751">
      <c r="A2751" s="7" t="n"/>
      <c r="B2751" s="8" t="n"/>
      <c r="C2751" s="9">
        <f>IF(B2751="","",IFERROR(VLOOKUP(B2751,'Daftar Outlet'!$A$4:$B$22,2,FALSE),""))</f>
        <v/>
      </c>
      <c r="D2751" s="8" t="n"/>
      <c r="E2751" s="6" t="n"/>
      <c r="F2751" s="8" t="n"/>
    </row>
    <row r="2752">
      <c r="A2752" s="7" t="n"/>
      <c r="B2752" s="8" t="n"/>
      <c r="C2752" s="9">
        <f>IF(B2752="","",IFERROR(VLOOKUP(B2752,'Daftar Outlet'!$A$4:$B$22,2,FALSE),""))</f>
        <v/>
      </c>
      <c r="D2752" s="8" t="n"/>
      <c r="E2752" s="6" t="n"/>
      <c r="F2752" s="8" t="n"/>
    </row>
    <row r="2753">
      <c r="A2753" s="7" t="n"/>
      <c r="B2753" s="8" t="n"/>
      <c r="C2753" s="9">
        <f>IF(B2753="","",IFERROR(VLOOKUP(B2753,'Daftar Outlet'!$A$4:$B$22,2,FALSE),""))</f>
        <v/>
      </c>
      <c r="D2753" s="8" t="n"/>
      <c r="E2753" s="6" t="n"/>
      <c r="F2753" s="8" t="n"/>
    </row>
    <row r="2754">
      <c r="A2754" s="7" t="n"/>
      <c r="B2754" s="8" t="n"/>
      <c r="C2754" s="9">
        <f>IF(B2754="","",IFERROR(VLOOKUP(B2754,'Daftar Outlet'!$A$4:$B$22,2,FALSE),""))</f>
        <v/>
      </c>
      <c r="D2754" s="8" t="n"/>
      <c r="E2754" s="6" t="n"/>
      <c r="F2754" s="8" t="n"/>
    </row>
    <row r="2755">
      <c r="A2755" s="7" t="n"/>
      <c r="B2755" s="8" t="n"/>
      <c r="C2755" s="9">
        <f>IF(B2755="","",IFERROR(VLOOKUP(B2755,'Daftar Outlet'!$A$4:$B$22,2,FALSE),""))</f>
        <v/>
      </c>
      <c r="D2755" s="8" t="n"/>
      <c r="E2755" s="6" t="n"/>
      <c r="F2755" s="8" t="n"/>
    </row>
    <row r="2756">
      <c r="A2756" s="7" t="n"/>
      <c r="B2756" s="8" t="n"/>
      <c r="C2756" s="9">
        <f>IF(B2756="","",IFERROR(VLOOKUP(B2756,'Daftar Outlet'!$A$4:$B$22,2,FALSE),""))</f>
        <v/>
      </c>
      <c r="D2756" s="8" t="n"/>
      <c r="E2756" s="6" t="n"/>
      <c r="F2756" s="8" t="n"/>
    </row>
    <row r="2757">
      <c r="A2757" s="7" t="n"/>
      <c r="B2757" s="8" t="n"/>
      <c r="C2757" s="9">
        <f>IF(B2757="","",IFERROR(VLOOKUP(B2757,'Daftar Outlet'!$A$4:$B$22,2,FALSE),""))</f>
        <v/>
      </c>
      <c r="D2757" s="8" t="n"/>
      <c r="E2757" s="6" t="n"/>
      <c r="F2757" s="8" t="n"/>
    </row>
    <row r="2758">
      <c r="A2758" s="7" t="n"/>
      <c r="B2758" s="8" t="n"/>
      <c r="C2758" s="9">
        <f>IF(B2758="","",IFERROR(VLOOKUP(B2758,'Daftar Outlet'!$A$4:$B$22,2,FALSE),""))</f>
        <v/>
      </c>
      <c r="D2758" s="8" t="n"/>
      <c r="E2758" s="6" t="n"/>
      <c r="F2758" s="8" t="n"/>
    </row>
    <row r="2759">
      <c r="A2759" s="7" t="n"/>
      <c r="B2759" s="8" t="n"/>
      <c r="C2759" s="9">
        <f>IF(B2759="","",IFERROR(VLOOKUP(B2759,'Daftar Outlet'!$A$4:$B$22,2,FALSE),""))</f>
        <v/>
      </c>
      <c r="D2759" s="8" t="n"/>
      <c r="E2759" s="6" t="n"/>
      <c r="F2759" s="8" t="n"/>
    </row>
    <row r="2760">
      <c r="A2760" s="7" t="n"/>
      <c r="B2760" s="8" t="n"/>
      <c r="C2760" s="9">
        <f>IF(B2760="","",IFERROR(VLOOKUP(B2760,'Daftar Outlet'!$A$4:$B$22,2,FALSE),""))</f>
        <v/>
      </c>
      <c r="D2760" s="8" t="n"/>
      <c r="E2760" s="6" t="n"/>
      <c r="F2760" s="8" t="n"/>
    </row>
    <row r="2761">
      <c r="A2761" s="7" t="n"/>
      <c r="B2761" s="8" t="n"/>
      <c r="C2761" s="9">
        <f>IF(B2761="","",IFERROR(VLOOKUP(B2761,'Daftar Outlet'!$A$4:$B$22,2,FALSE),""))</f>
        <v/>
      </c>
      <c r="D2761" s="8" t="n"/>
      <c r="E2761" s="6" t="n"/>
      <c r="F2761" s="8" t="n"/>
    </row>
    <row r="2762">
      <c r="A2762" s="7" t="n"/>
      <c r="B2762" s="8" t="n"/>
      <c r="C2762" s="9">
        <f>IF(B2762="","",IFERROR(VLOOKUP(B2762,'Daftar Outlet'!$A$4:$B$22,2,FALSE),""))</f>
        <v/>
      </c>
      <c r="D2762" s="8" t="n"/>
      <c r="E2762" s="6" t="n"/>
      <c r="F2762" s="8" t="n"/>
    </row>
    <row r="2763">
      <c r="A2763" s="7" t="n"/>
      <c r="B2763" s="8" t="n"/>
      <c r="C2763" s="9">
        <f>IF(B2763="","",IFERROR(VLOOKUP(B2763,'Daftar Outlet'!$A$4:$B$22,2,FALSE),""))</f>
        <v/>
      </c>
      <c r="D2763" s="8" t="n"/>
      <c r="E2763" s="6" t="n"/>
      <c r="F2763" s="8" t="n"/>
    </row>
    <row r="2764">
      <c r="A2764" s="7" t="n"/>
      <c r="B2764" s="8" t="n"/>
      <c r="C2764" s="9">
        <f>IF(B2764="","",IFERROR(VLOOKUP(B2764,'Daftar Outlet'!$A$4:$B$22,2,FALSE),""))</f>
        <v/>
      </c>
      <c r="D2764" s="8" t="n"/>
      <c r="E2764" s="6" t="n"/>
      <c r="F2764" s="8" t="n"/>
    </row>
    <row r="2765">
      <c r="A2765" s="7" t="n"/>
      <c r="B2765" s="8" t="n"/>
      <c r="C2765" s="9">
        <f>IF(B2765="","",IFERROR(VLOOKUP(B2765,'Daftar Outlet'!$A$4:$B$22,2,FALSE),""))</f>
        <v/>
      </c>
      <c r="D2765" s="8" t="n"/>
      <c r="E2765" s="6" t="n"/>
      <c r="F2765" s="8" t="n"/>
    </row>
    <row r="2766">
      <c r="A2766" s="7" t="n"/>
      <c r="B2766" s="8" t="n"/>
      <c r="C2766" s="9">
        <f>IF(B2766="","",IFERROR(VLOOKUP(B2766,'Daftar Outlet'!$A$4:$B$22,2,FALSE),""))</f>
        <v/>
      </c>
      <c r="D2766" s="8" t="n"/>
      <c r="E2766" s="6" t="n"/>
      <c r="F2766" s="8" t="n"/>
    </row>
    <row r="2767">
      <c r="A2767" s="7" t="n"/>
      <c r="B2767" s="8" t="n"/>
      <c r="C2767" s="9">
        <f>IF(B2767="","",IFERROR(VLOOKUP(B2767,'Daftar Outlet'!$A$4:$B$22,2,FALSE),""))</f>
        <v/>
      </c>
      <c r="D2767" s="8" t="n"/>
      <c r="E2767" s="6" t="n"/>
      <c r="F2767" s="8" t="n"/>
    </row>
    <row r="2768">
      <c r="A2768" s="7" t="n"/>
      <c r="B2768" s="8" t="n"/>
      <c r="C2768" s="9">
        <f>IF(B2768="","",IFERROR(VLOOKUP(B2768,'Daftar Outlet'!$A$4:$B$22,2,FALSE),""))</f>
        <v/>
      </c>
      <c r="D2768" s="8" t="n"/>
      <c r="E2768" s="6" t="n"/>
      <c r="F2768" s="8" t="n"/>
    </row>
    <row r="2769">
      <c r="A2769" s="7" t="n"/>
      <c r="B2769" s="8" t="n"/>
      <c r="C2769" s="9">
        <f>IF(B2769="","",IFERROR(VLOOKUP(B2769,'Daftar Outlet'!$A$4:$B$22,2,FALSE),""))</f>
        <v/>
      </c>
      <c r="D2769" s="8" t="n"/>
      <c r="E2769" s="6" t="n"/>
      <c r="F2769" s="8" t="n"/>
    </row>
    <row r="2770">
      <c r="A2770" s="7" t="n"/>
      <c r="B2770" s="8" t="n"/>
      <c r="C2770" s="9">
        <f>IF(B2770="","",IFERROR(VLOOKUP(B2770,'Daftar Outlet'!$A$4:$B$22,2,FALSE),""))</f>
        <v/>
      </c>
      <c r="D2770" s="8" t="n"/>
      <c r="E2770" s="6" t="n"/>
      <c r="F2770" s="8" t="n"/>
    </row>
    <row r="2771">
      <c r="A2771" s="7" t="n"/>
      <c r="B2771" s="8" t="n"/>
      <c r="C2771" s="9">
        <f>IF(B2771="","",IFERROR(VLOOKUP(B2771,'Daftar Outlet'!$A$4:$B$22,2,FALSE),""))</f>
        <v/>
      </c>
      <c r="D2771" s="8" t="n"/>
      <c r="E2771" s="6" t="n"/>
      <c r="F2771" s="8" t="n"/>
    </row>
    <row r="2772">
      <c r="A2772" s="7" t="n"/>
      <c r="B2772" s="8" t="n"/>
      <c r="C2772" s="9">
        <f>IF(B2772="","",IFERROR(VLOOKUP(B2772,'Daftar Outlet'!$A$4:$B$22,2,FALSE),""))</f>
        <v/>
      </c>
      <c r="D2772" s="8" t="n"/>
      <c r="E2772" s="6" t="n"/>
      <c r="F2772" s="8" t="n"/>
    </row>
    <row r="2773">
      <c r="A2773" s="7" t="n"/>
      <c r="B2773" s="8" t="n"/>
      <c r="C2773" s="9">
        <f>IF(B2773="","",IFERROR(VLOOKUP(B2773,'Daftar Outlet'!$A$4:$B$22,2,FALSE),""))</f>
        <v/>
      </c>
      <c r="D2773" s="8" t="n"/>
      <c r="E2773" s="6" t="n"/>
      <c r="F2773" s="8" t="n"/>
    </row>
    <row r="2774">
      <c r="A2774" s="7" t="n"/>
      <c r="B2774" s="8" t="n"/>
      <c r="C2774" s="9">
        <f>IF(B2774="","",IFERROR(VLOOKUP(B2774,'Daftar Outlet'!$A$4:$B$22,2,FALSE),""))</f>
        <v/>
      </c>
      <c r="D2774" s="8" t="n"/>
      <c r="E2774" s="6" t="n"/>
      <c r="F2774" s="8" t="n"/>
    </row>
    <row r="2775">
      <c r="A2775" s="7" t="n"/>
      <c r="B2775" s="8" t="n"/>
      <c r="C2775" s="9">
        <f>IF(B2775="","",IFERROR(VLOOKUP(B2775,'Daftar Outlet'!$A$4:$B$22,2,FALSE),""))</f>
        <v/>
      </c>
      <c r="D2775" s="8" t="n"/>
      <c r="E2775" s="6" t="n"/>
      <c r="F2775" s="8" t="n"/>
    </row>
    <row r="2776">
      <c r="A2776" s="7" t="n"/>
      <c r="B2776" s="8" t="n"/>
      <c r="C2776" s="9">
        <f>IF(B2776="","",IFERROR(VLOOKUP(B2776,'Daftar Outlet'!$A$4:$B$22,2,FALSE),""))</f>
        <v/>
      </c>
      <c r="D2776" s="8" t="n"/>
      <c r="E2776" s="6" t="n"/>
      <c r="F2776" s="8" t="n"/>
    </row>
    <row r="2777">
      <c r="A2777" s="7" t="n"/>
      <c r="B2777" s="8" t="n"/>
      <c r="C2777" s="9">
        <f>IF(B2777="","",IFERROR(VLOOKUP(B2777,'Daftar Outlet'!$A$4:$B$22,2,FALSE),""))</f>
        <v/>
      </c>
      <c r="D2777" s="8" t="n"/>
      <c r="E2777" s="6" t="n"/>
      <c r="F2777" s="8" t="n"/>
    </row>
    <row r="2778">
      <c r="A2778" s="7" t="n"/>
      <c r="B2778" s="8" t="n"/>
      <c r="C2778" s="9">
        <f>IF(B2778="","",IFERROR(VLOOKUP(B2778,'Daftar Outlet'!$A$4:$B$22,2,FALSE),""))</f>
        <v/>
      </c>
      <c r="D2778" s="8" t="n"/>
      <c r="E2778" s="6" t="n"/>
      <c r="F2778" s="8" t="n"/>
    </row>
    <row r="2779">
      <c r="A2779" s="7" t="n"/>
      <c r="B2779" s="8" t="n"/>
      <c r="C2779" s="9">
        <f>IF(B2779="","",IFERROR(VLOOKUP(B2779,'Daftar Outlet'!$A$4:$B$22,2,FALSE),""))</f>
        <v/>
      </c>
      <c r="D2779" s="8" t="n"/>
      <c r="E2779" s="6" t="n"/>
      <c r="F2779" s="8" t="n"/>
    </row>
    <row r="2780">
      <c r="A2780" s="7" t="n"/>
      <c r="B2780" s="8" t="n"/>
      <c r="C2780" s="9">
        <f>IF(B2780="","",IFERROR(VLOOKUP(B2780,'Daftar Outlet'!$A$4:$B$22,2,FALSE),""))</f>
        <v/>
      </c>
      <c r="D2780" s="8" t="n"/>
      <c r="E2780" s="6" t="n"/>
      <c r="F2780" s="8" t="n"/>
    </row>
    <row r="2781">
      <c r="A2781" s="7" t="n"/>
      <c r="B2781" s="8" t="n"/>
      <c r="C2781" s="9">
        <f>IF(B2781="","",IFERROR(VLOOKUP(B2781,'Daftar Outlet'!$A$4:$B$22,2,FALSE),""))</f>
        <v/>
      </c>
      <c r="D2781" s="8" t="n"/>
      <c r="E2781" s="6" t="n"/>
      <c r="F2781" s="8" t="n"/>
    </row>
    <row r="2782">
      <c r="A2782" s="7" t="n"/>
      <c r="B2782" s="8" t="n"/>
      <c r="C2782" s="9">
        <f>IF(B2782="","",IFERROR(VLOOKUP(B2782,'Daftar Outlet'!$A$4:$B$22,2,FALSE),""))</f>
        <v/>
      </c>
      <c r="D2782" s="8" t="n"/>
      <c r="E2782" s="6" t="n"/>
      <c r="F2782" s="8" t="n"/>
    </row>
    <row r="2783">
      <c r="A2783" s="7" t="n"/>
      <c r="B2783" s="8" t="n"/>
      <c r="C2783" s="9">
        <f>IF(B2783="","",IFERROR(VLOOKUP(B2783,'Daftar Outlet'!$A$4:$B$22,2,FALSE),""))</f>
        <v/>
      </c>
      <c r="D2783" s="8" t="n"/>
      <c r="E2783" s="6" t="n"/>
      <c r="F2783" s="8" t="n"/>
    </row>
    <row r="2784">
      <c r="A2784" s="7" t="n"/>
      <c r="B2784" s="8" t="n"/>
      <c r="C2784" s="9">
        <f>IF(B2784="","",IFERROR(VLOOKUP(B2784,'Daftar Outlet'!$A$4:$B$22,2,FALSE),""))</f>
        <v/>
      </c>
      <c r="D2784" s="8" t="n"/>
      <c r="E2784" s="6" t="n"/>
      <c r="F2784" s="8" t="n"/>
    </row>
    <row r="2785">
      <c r="A2785" s="7" t="n"/>
      <c r="B2785" s="8" t="n"/>
      <c r="C2785" s="9">
        <f>IF(B2785="","",IFERROR(VLOOKUP(B2785,'Daftar Outlet'!$A$4:$B$22,2,FALSE),""))</f>
        <v/>
      </c>
      <c r="D2785" s="8" t="n"/>
      <c r="E2785" s="6" t="n"/>
      <c r="F2785" s="8" t="n"/>
    </row>
    <row r="2786">
      <c r="A2786" s="7" t="n"/>
      <c r="B2786" s="8" t="n"/>
      <c r="C2786" s="9">
        <f>IF(B2786="","",IFERROR(VLOOKUP(B2786,'Daftar Outlet'!$A$4:$B$22,2,FALSE),""))</f>
        <v/>
      </c>
      <c r="D2786" s="8" t="n"/>
      <c r="E2786" s="6" t="n"/>
      <c r="F2786" s="8" t="n"/>
    </row>
    <row r="2787">
      <c r="A2787" s="7" t="n"/>
      <c r="B2787" s="8" t="n"/>
      <c r="C2787" s="9">
        <f>IF(B2787="","",IFERROR(VLOOKUP(B2787,'Daftar Outlet'!$A$4:$B$22,2,FALSE),""))</f>
        <v/>
      </c>
      <c r="D2787" s="8" t="n"/>
      <c r="E2787" s="6" t="n"/>
      <c r="F2787" s="8" t="n"/>
    </row>
    <row r="2788">
      <c r="A2788" s="7" t="n"/>
      <c r="B2788" s="8" t="n"/>
      <c r="C2788" s="9">
        <f>IF(B2788="","",IFERROR(VLOOKUP(B2788,'Daftar Outlet'!$A$4:$B$22,2,FALSE),""))</f>
        <v/>
      </c>
      <c r="D2788" s="8" t="n"/>
      <c r="E2788" s="6" t="n"/>
      <c r="F2788" s="8" t="n"/>
    </row>
    <row r="2789">
      <c r="A2789" s="7" t="n"/>
      <c r="B2789" s="8" t="n"/>
      <c r="C2789" s="9">
        <f>IF(B2789="","",IFERROR(VLOOKUP(B2789,'Daftar Outlet'!$A$4:$B$22,2,FALSE),""))</f>
        <v/>
      </c>
      <c r="D2789" s="8" t="n"/>
      <c r="E2789" s="6" t="n"/>
      <c r="F2789" s="8" t="n"/>
    </row>
    <row r="2790">
      <c r="A2790" s="7" t="n"/>
      <c r="B2790" s="8" t="n"/>
      <c r="C2790" s="9">
        <f>IF(B2790="","",IFERROR(VLOOKUP(B2790,'Daftar Outlet'!$A$4:$B$22,2,FALSE),""))</f>
        <v/>
      </c>
      <c r="D2790" s="8" t="n"/>
      <c r="E2790" s="6" t="n"/>
      <c r="F2790" s="8" t="n"/>
    </row>
    <row r="2791">
      <c r="A2791" s="7" t="n"/>
      <c r="B2791" s="8" t="n"/>
      <c r="C2791" s="9">
        <f>IF(B2791="","",IFERROR(VLOOKUP(B2791,'Daftar Outlet'!$A$4:$B$22,2,FALSE),""))</f>
        <v/>
      </c>
      <c r="D2791" s="8" t="n"/>
      <c r="E2791" s="6" t="n"/>
      <c r="F2791" s="8" t="n"/>
    </row>
    <row r="2792">
      <c r="A2792" s="7" t="n"/>
      <c r="B2792" s="8" t="n"/>
      <c r="C2792" s="9">
        <f>IF(B2792="","",IFERROR(VLOOKUP(B2792,'Daftar Outlet'!$A$4:$B$22,2,FALSE),""))</f>
        <v/>
      </c>
      <c r="D2792" s="8" t="n"/>
      <c r="E2792" s="6" t="n"/>
      <c r="F2792" s="8" t="n"/>
    </row>
    <row r="2793">
      <c r="A2793" s="7" t="n"/>
      <c r="B2793" s="8" t="n"/>
      <c r="C2793" s="9">
        <f>IF(B2793="","",IFERROR(VLOOKUP(B2793,'Daftar Outlet'!$A$4:$B$22,2,FALSE),""))</f>
        <v/>
      </c>
      <c r="D2793" s="8" t="n"/>
      <c r="E2793" s="6" t="n"/>
      <c r="F2793" s="8" t="n"/>
    </row>
    <row r="2794">
      <c r="A2794" s="7" t="n"/>
      <c r="B2794" s="8" t="n"/>
      <c r="C2794" s="9">
        <f>IF(B2794="","",IFERROR(VLOOKUP(B2794,'Daftar Outlet'!$A$4:$B$22,2,FALSE),""))</f>
        <v/>
      </c>
      <c r="D2794" s="8" t="n"/>
      <c r="E2794" s="6" t="n"/>
      <c r="F2794" s="8" t="n"/>
    </row>
    <row r="2795">
      <c r="A2795" s="7" t="n"/>
      <c r="B2795" s="8" t="n"/>
      <c r="C2795" s="9">
        <f>IF(B2795="","",IFERROR(VLOOKUP(B2795,'Daftar Outlet'!$A$4:$B$22,2,FALSE),""))</f>
        <v/>
      </c>
      <c r="D2795" s="8" t="n"/>
      <c r="E2795" s="6" t="n"/>
      <c r="F2795" s="8" t="n"/>
    </row>
    <row r="2796">
      <c r="A2796" s="7" t="n"/>
      <c r="B2796" s="8" t="n"/>
      <c r="C2796" s="9">
        <f>IF(B2796="","",IFERROR(VLOOKUP(B2796,'Daftar Outlet'!$A$4:$B$22,2,FALSE),""))</f>
        <v/>
      </c>
      <c r="D2796" s="8" t="n"/>
      <c r="E2796" s="6" t="n"/>
      <c r="F2796" s="8" t="n"/>
    </row>
    <row r="2797">
      <c r="A2797" s="7" t="n"/>
      <c r="B2797" s="8" t="n"/>
      <c r="C2797" s="9">
        <f>IF(B2797="","",IFERROR(VLOOKUP(B2797,'Daftar Outlet'!$A$4:$B$22,2,FALSE),""))</f>
        <v/>
      </c>
      <c r="D2797" s="8" t="n"/>
      <c r="E2797" s="6" t="n"/>
      <c r="F2797" s="8" t="n"/>
    </row>
    <row r="2798">
      <c r="A2798" s="7" t="n"/>
      <c r="B2798" s="8" t="n"/>
      <c r="C2798" s="9">
        <f>IF(B2798="","",IFERROR(VLOOKUP(B2798,'Daftar Outlet'!$A$4:$B$22,2,FALSE),""))</f>
        <v/>
      </c>
      <c r="D2798" s="8" t="n"/>
      <c r="E2798" s="6" t="n"/>
      <c r="F2798" s="8" t="n"/>
    </row>
    <row r="2799">
      <c r="A2799" s="7" t="n"/>
      <c r="B2799" s="8" t="n"/>
      <c r="C2799" s="9">
        <f>IF(B2799="","",IFERROR(VLOOKUP(B2799,'Daftar Outlet'!$A$4:$B$22,2,FALSE),""))</f>
        <v/>
      </c>
      <c r="D2799" s="8" t="n"/>
      <c r="E2799" s="6" t="n"/>
      <c r="F2799" s="8" t="n"/>
    </row>
    <row r="2800">
      <c r="A2800" s="7" t="n"/>
      <c r="B2800" s="8" t="n"/>
      <c r="C2800" s="9">
        <f>IF(B2800="","",IFERROR(VLOOKUP(B2800,'Daftar Outlet'!$A$4:$B$22,2,FALSE),""))</f>
        <v/>
      </c>
      <c r="D2800" s="8" t="n"/>
      <c r="E2800" s="6" t="n"/>
      <c r="F2800" s="8" t="n"/>
    </row>
    <row r="2801">
      <c r="A2801" s="7" t="n"/>
      <c r="B2801" s="8" t="n"/>
      <c r="C2801" s="9">
        <f>IF(B2801="","",IFERROR(VLOOKUP(B2801,'Daftar Outlet'!$A$4:$B$22,2,FALSE),""))</f>
        <v/>
      </c>
      <c r="D2801" s="8" t="n"/>
      <c r="E2801" s="6" t="n"/>
      <c r="F2801" s="8" t="n"/>
    </row>
    <row r="2802">
      <c r="A2802" s="7" t="n"/>
      <c r="B2802" s="8" t="n"/>
      <c r="C2802" s="9">
        <f>IF(B2802="","",IFERROR(VLOOKUP(B2802,'Daftar Outlet'!$A$4:$B$22,2,FALSE),""))</f>
        <v/>
      </c>
      <c r="D2802" s="8" t="n"/>
      <c r="E2802" s="6" t="n"/>
      <c r="F2802" s="8" t="n"/>
    </row>
    <row r="2803">
      <c r="A2803" s="7" t="n"/>
      <c r="B2803" s="8" t="n"/>
      <c r="C2803" s="9">
        <f>IF(B2803="","",IFERROR(VLOOKUP(B2803,'Daftar Outlet'!$A$4:$B$22,2,FALSE),""))</f>
        <v/>
      </c>
      <c r="D2803" s="8" t="n"/>
      <c r="E2803" s="6" t="n"/>
      <c r="F2803" s="8" t="n"/>
    </row>
    <row r="2804">
      <c r="A2804" s="7" t="n"/>
      <c r="B2804" s="8" t="n"/>
      <c r="C2804" s="9">
        <f>IF(B2804="","",IFERROR(VLOOKUP(B2804,'Daftar Outlet'!$A$4:$B$22,2,FALSE),""))</f>
        <v/>
      </c>
      <c r="D2804" s="8" t="n"/>
      <c r="E2804" s="6" t="n"/>
      <c r="F2804" s="8" t="n"/>
    </row>
    <row r="2805">
      <c r="A2805" s="7" t="n"/>
      <c r="B2805" s="8" t="n"/>
      <c r="C2805" s="9">
        <f>IF(B2805="","",IFERROR(VLOOKUP(B2805,'Daftar Outlet'!$A$4:$B$22,2,FALSE),""))</f>
        <v/>
      </c>
      <c r="D2805" s="8" t="n"/>
      <c r="E2805" s="6" t="n"/>
      <c r="F2805" s="8" t="n"/>
    </row>
    <row r="2806">
      <c r="A2806" s="7" t="n"/>
      <c r="B2806" s="8" t="n"/>
      <c r="C2806" s="9">
        <f>IF(B2806="","",IFERROR(VLOOKUP(B2806,'Daftar Outlet'!$A$4:$B$22,2,FALSE),""))</f>
        <v/>
      </c>
      <c r="D2806" s="8" t="n"/>
      <c r="E2806" s="6" t="n"/>
      <c r="F2806" s="8" t="n"/>
    </row>
    <row r="2807">
      <c r="A2807" s="7" t="n"/>
      <c r="B2807" s="8" t="n"/>
      <c r="C2807" s="9">
        <f>IF(B2807="","",IFERROR(VLOOKUP(B2807,'Daftar Outlet'!$A$4:$B$22,2,FALSE),""))</f>
        <v/>
      </c>
      <c r="D2807" s="8" t="n"/>
      <c r="E2807" s="6" t="n"/>
      <c r="F2807" s="8" t="n"/>
    </row>
    <row r="2808">
      <c r="A2808" s="7" t="n"/>
      <c r="B2808" s="8" t="n"/>
      <c r="C2808" s="9">
        <f>IF(B2808="","",IFERROR(VLOOKUP(B2808,'Daftar Outlet'!$A$4:$B$22,2,FALSE),""))</f>
        <v/>
      </c>
      <c r="D2808" s="8" t="n"/>
      <c r="E2808" s="6" t="n"/>
      <c r="F2808" s="8" t="n"/>
    </row>
    <row r="2809">
      <c r="A2809" s="7" t="n"/>
      <c r="B2809" s="8" t="n"/>
      <c r="C2809" s="9">
        <f>IF(B2809="","",IFERROR(VLOOKUP(B2809,'Daftar Outlet'!$A$4:$B$22,2,FALSE),""))</f>
        <v/>
      </c>
      <c r="D2809" s="8" t="n"/>
      <c r="E2809" s="6" t="n"/>
      <c r="F2809" s="8" t="n"/>
    </row>
    <row r="2810">
      <c r="A2810" s="7" t="n"/>
      <c r="B2810" s="8" t="n"/>
      <c r="C2810" s="9">
        <f>IF(B2810="","",IFERROR(VLOOKUP(B2810,'Daftar Outlet'!$A$4:$B$22,2,FALSE),""))</f>
        <v/>
      </c>
      <c r="D2810" s="8" t="n"/>
      <c r="E2810" s="6" t="n"/>
      <c r="F2810" s="8" t="n"/>
    </row>
    <row r="2811">
      <c r="A2811" s="7" t="n"/>
      <c r="B2811" s="8" t="n"/>
      <c r="C2811" s="9">
        <f>IF(B2811="","",IFERROR(VLOOKUP(B2811,'Daftar Outlet'!$A$4:$B$22,2,FALSE),""))</f>
        <v/>
      </c>
      <c r="D2811" s="8" t="n"/>
      <c r="E2811" s="6" t="n"/>
      <c r="F2811" s="8" t="n"/>
    </row>
    <row r="2812">
      <c r="A2812" s="7" t="n"/>
      <c r="B2812" s="8" t="n"/>
      <c r="C2812" s="9">
        <f>IF(B2812="","",IFERROR(VLOOKUP(B2812,'Daftar Outlet'!$A$4:$B$22,2,FALSE),""))</f>
        <v/>
      </c>
      <c r="D2812" s="8" t="n"/>
      <c r="E2812" s="6" t="n"/>
      <c r="F2812" s="8" t="n"/>
    </row>
    <row r="2813">
      <c r="A2813" s="7" t="n"/>
      <c r="B2813" s="8" t="n"/>
      <c r="C2813" s="9">
        <f>IF(B2813="","",IFERROR(VLOOKUP(B2813,'Daftar Outlet'!$A$4:$B$22,2,FALSE),""))</f>
        <v/>
      </c>
      <c r="D2813" s="8" t="n"/>
      <c r="E2813" s="6" t="n"/>
      <c r="F2813" s="8" t="n"/>
    </row>
    <row r="2814">
      <c r="A2814" s="7" t="n"/>
      <c r="B2814" s="8" t="n"/>
      <c r="C2814" s="9">
        <f>IF(B2814="","",IFERROR(VLOOKUP(B2814,'Daftar Outlet'!$A$4:$B$22,2,FALSE),""))</f>
        <v/>
      </c>
      <c r="D2814" s="8" t="n"/>
      <c r="E2814" s="6" t="n"/>
      <c r="F2814" s="8" t="n"/>
    </row>
    <row r="2815">
      <c r="A2815" s="7" t="n"/>
      <c r="B2815" s="8" t="n"/>
      <c r="C2815" s="9">
        <f>IF(B2815="","",IFERROR(VLOOKUP(B2815,'Daftar Outlet'!$A$4:$B$22,2,FALSE),""))</f>
        <v/>
      </c>
      <c r="D2815" s="8" t="n"/>
      <c r="E2815" s="6" t="n"/>
      <c r="F2815" s="8" t="n"/>
    </row>
    <row r="2816">
      <c r="A2816" s="7" t="n"/>
      <c r="B2816" s="8" t="n"/>
      <c r="C2816" s="9">
        <f>IF(B2816="","",IFERROR(VLOOKUP(B2816,'Daftar Outlet'!$A$4:$B$22,2,FALSE),""))</f>
        <v/>
      </c>
      <c r="D2816" s="8" t="n"/>
      <c r="E2816" s="6" t="n"/>
      <c r="F2816" s="8" t="n"/>
    </row>
    <row r="2817">
      <c r="A2817" s="7" t="n"/>
      <c r="B2817" s="8" t="n"/>
      <c r="C2817" s="9">
        <f>IF(B2817="","",IFERROR(VLOOKUP(B2817,'Daftar Outlet'!$A$4:$B$22,2,FALSE),""))</f>
        <v/>
      </c>
      <c r="D2817" s="8" t="n"/>
      <c r="E2817" s="6" t="n"/>
      <c r="F2817" s="8" t="n"/>
    </row>
    <row r="2818">
      <c r="A2818" s="7" t="n"/>
      <c r="B2818" s="8" t="n"/>
      <c r="C2818" s="9">
        <f>IF(B2818="","",IFERROR(VLOOKUP(B2818,'Daftar Outlet'!$A$4:$B$22,2,FALSE),""))</f>
        <v/>
      </c>
      <c r="D2818" s="8" t="n"/>
      <c r="E2818" s="6" t="n"/>
      <c r="F2818" s="8" t="n"/>
    </row>
    <row r="2819">
      <c r="A2819" s="7" t="n"/>
      <c r="B2819" s="8" t="n"/>
      <c r="C2819" s="9">
        <f>IF(B2819="","",IFERROR(VLOOKUP(B2819,'Daftar Outlet'!$A$4:$B$22,2,FALSE),""))</f>
        <v/>
      </c>
      <c r="D2819" s="8" t="n"/>
      <c r="E2819" s="6" t="n"/>
      <c r="F2819" s="8" t="n"/>
    </row>
    <row r="2820">
      <c r="A2820" s="7" t="n"/>
      <c r="B2820" s="8" t="n"/>
      <c r="C2820" s="9">
        <f>IF(B2820="","",IFERROR(VLOOKUP(B2820,'Daftar Outlet'!$A$4:$B$22,2,FALSE),""))</f>
        <v/>
      </c>
      <c r="D2820" s="8" t="n"/>
      <c r="E2820" s="6" t="n"/>
      <c r="F2820" s="8" t="n"/>
    </row>
    <row r="2821">
      <c r="A2821" s="7" t="n"/>
      <c r="B2821" s="8" t="n"/>
      <c r="C2821" s="9">
        <f>IF(B2821="","",IFERROR(VLOOKUP(B2821,'Daftar Outlet'!$A$4:$B$22,2,FALSE),""))</f>
        <v/>
      </c>
      <c r="D2821" s="8" t="n"/>
      <c r="E2821" s="6" t="n"/>
      <c r="F2821" s="8" t="n"/>
    </row>
    <row r="2822">
      <c r="A2822" s="7" t="n"/>
      <c r="B2822" s="8" t="n"/>
      <c r="C2822" s="9">
        <f>IF(B2822="","",IFERROR(VLOOKUP(B2822,'Daftar Outlet'!$A$4:$B$22,2,FALSE),""))</f>
        <v/>
      </c>
      <c r="D2822" s="8" t="n"/>
      <c r="E2822" s="6" t="n"/>
      <c r="F2822" s="8" t="n"/>
    </row>
    <row r="2823">
      <c r="A2823" s="7" t="n"/>
      <c r="B2823" s="8" t="n"/>
      <c r="C2823" s="9">
        <f>IF(B2823="","",IFERROR(VLOOKUP(B2823,'Daftar Outlet'!$A$4:$B$22,2,FALSE),""))</f>
        <v/>
      </c>
      <c r="D2823" s="8" t="n"/>
      <c r="E2823" s="6" t="n"/>
      <c r="F2823" s="8" t="n"/>
    </row>
    <row r="2824">
      <c r="A2824" s="7" t="n"/>
      <c r="B2824" s="8" t="n"/>
      <c r="C2824" s="9">
        <f>IF(B2824="","",IFERROR(VLOOKUP(B2824,'Daftar Outlet'!$A$4:$B$22,2,FALSE),""))</f>
        <v/>
      </c>
      <c r="D2824" s="8" t="n"/>
      <c r="E2824" s="6" t="n"/>
      <c r="F2824" s="8" t="n"/>
    </row>
    <row r="2825">
      <c r="A2825" s="7" t="n"/>
      <c r="B2825" s="8" t="n"/>
      <c r="C2825" s="9">
        <f>IF(B2825="","",IFERROR(VLOOKUP(B2825,'Daftar Outlet'!$A$4:$B$22,2,FALSE),""))</f>
        <v/>
      </c>
      <c r="D2825" s="8" t="n"/>
      <c r="E2825" s="6" t="n"/>
      <c r="F2825" s="8" t="n"/>
    </row>
    <row r="2826">
      <c r="A2826" s="7" t="n"/>
      <c r="B2826" s="8" t="n"/>
      <c r="C2826" s="9">
        <f>IF(B2826="","",IFERROR(VLOOKUP(B2826,'Daftar Outlet'!$A$4:$B$22,2,FALSE),""))</f>
        <v/>
      </c>
      <c r="D2826" s="8" t="n"/>
      <c r="E2826" s="6" t="n"/>
      <c r="F2826" s="8" t="n"/>
    </row>
    <row r="2827">
      <c r="A2827" s="7" t="n"/>
      <c r="B2827" s="8" t="n"/>
      <c r="C2827" s="9">
        <f>IF(B2827="","",IFERROR(VLOOKUP(B2827,'Daftar Outlet'!$A$4:$B$22,2,FALSE),""))</f>
        <v/>
      </c>
      <c r="D2827" s="8" t="n"/>
      <c r="E2827" s="6" t="n"/>
      <c r="F2827" s="8" t="n"/>
    </row>
    <row r="2828">
      <c r="A2828" s="7" t="n"/>
      <c r="B2828" s="8" t="n"/>
      <c r="C2828" s="9">
        <f>IF(B2828="","",IFERROR(VLOOKUP(B2828,'Daftar Outlet'!$A$4:$B$22,2,FALSE),""))</f>
        <v/>
      </c>
      <c r="D2828" s="8" t="n"/>
      <c r="E2828" s="6" t="n"/>
      <c r="F2828" s="8" t="n"/>
    </row>
    <row r="2829">
      <c r="A2829" s="7" t="n"/>
      <c r="B2829" s="8" t="n"/>
      <c r="C2829" s="9">
        <f>IF(B2829="","",IFERROR(VLOOKUP(B2829,'Daftar Outlet'!$A$4:$B$22,2,FALSE),""))</f>
        <v/>
      </c>
      <c r="D2829" s="8" t="n"/>
      <c r="E2829" s="6" t="n"/>
      <c r="F2829" s="8" t="n"/>
    </row>
    <row r="2830">
      <c r="A2830" s="7" t="n"/>
      <c r="B2830" s="8" t="n"/>
      <c r="C2830" s="9">
        <f>IF(B2830="","",IFERROR(VLOOKUP(B2830,'Daftar Outlet'!$A$4:$B$22,2,FALSE),""))</f>
        <v/>
      </c>
      <c r="D2830" s="8" t="n"/>
      <c r="E2830" s="6" t="n"/>
      <c r="F2830" s="8" t="n"/>
    </row>
    <row r="2831">
      <c r="A2831" s="7" t="n"/>
      <c r="B2831" s="8" t="n"/>
      <c r="C2831" s="9">
        <f>IF(B2831="","",IFERROR(VLOOKUP(B2831,'Daftar Outlet'!$A$4:$B$22,2,FALSE),""))</f>
        <v/>
      </c>
      <c r="D2831" s="8" t="n"/>
      <c r="E2831" s="6" t="n"/>
      <c r="F2831" s="8" t="n"/>
    </row>
    <row r="2832">
      <c r="A2832" s="7" t="n"/>
      <c r="B2832" s="8" t="n"/>
      <c r="C2832" s="9">
        <f>IF(B2832="","",IFERROR(VLOOKUP(B2832,'Daftar Outlet'!$A$4:$B$22,2,FALSE),""))</f>
        <v/>
      </c>
      <c r="D2832" s="8" t="n"/>
      <c r="E2832" s="6" t="n"/>
      <c r="F2832" s="8" t="n"/>
    </row>
    <row r="2833">
      <c r="A2833" s="7" t="n"/>
      <c r="B2833" s="8" t="n"/>
      <c r="C2833" s="9">
        <f>IF(B2833="","",IFERROR(VLOOKUP(B2833,'Daftar Outlet'!$A$4:$B$22,2,FALSE),""))</f>
        <v/>
      </c>
      <c r="D2833" s="8" t="n"/>
      <c r="E2833" s="6" t="n"/>
      <c r="F2833" s="8" t="n"/>
    </row>
    <row r="2834">
      <c r="A2834" s="7" t="n"/>
      <c r="B2834" s="8" t="n"/>
      <c r="C2834" s="9">
        <f>IF(B2834="","",IFERROR(VLOOKUP(B2834,'Daftar Outlet'!$A$4:$B$22,2,FALSE),""))</f>
        <v/>
      </c>
      <c r="D2834" s="8" t="n"/>
      <c r="E2834" s="6" t="n"/>
      <c r="F2834" s="8" t="n"/>
    </row>
    <row r="2835">
      <c r="A2835" s="7" t="n"/>
      <c r="B2835" s="8" t="n"/>
      <c r="C2835" s="9">
        <f>IF(B2835="","",IFERROR(VLOOKUP(B2835,'Daftar Outlet'!$A$4:$B$22,2,FALSE),""))</f>
        <v/>
      </c>
      <c r="D2835" s="8" t="n"/>
      <c r="E2835" s="6" t="n"/>
      <c r="F2835" s="8" t="n"/>
    </row>
    <row r="2836">
      <c r="A2836" s="7" t="n"/>
      <c r="B2836" s="8" t="n"/>
      <c r="C2836" s="9">
        <f>IF(B2836="","",IFERROR(VLOOKUP(B2836,'Daftar Outlet'!$A$4:$B$22,2,FALSE),""))</f>
        <v/>
      </c>
      <c r="D2836" s="8" t="n"/>
      <c r="E2836" s="6" t="n"/>
      <c r="F2836" s="8" t="n"/>
    </row>
    <row r="2837">
      <c r="A2837" s="7" t="n"/>
      <c r="B2837" s="8" t="n"/>
      <c r="C2837" s="9">
        <f>IF(B2837="","",IFERROR(VLOOKUP(B2837,'Daftar Outlet'!$A$4:$B$22,2,FALSE),""))</f>
        <v/>
      </c>
      <c r="D2837" s="8" t="n"/>
      <c r="E2837" s="6" t="n"/>
      <c r="F2837" s="8" t="n"/>
    </row>
    <row r="2838">
      <c r="A2838" s="7" t="n"/>
      <c r="B2838" s="8" t="n"/>
      <c r="C2838" s="9">
        <f>IF(B2838="","",IFERROR(VLOOKUP(B2838,'Daftar Outlet'!$A$4:$B$22,2,FALSE),""))</f>
        <v/>
      </c>
      <c r="D2838" s="8" t="n"/>
      <c r="E2838" s="6" t="n"/>
      <c r="F2838" s="8" t="n"/>
    </row>
    <row r="2839">
      <c r="A2839" s="7" t="n"/>
      <c r="B2839" s="8" t="n"/>
      <c r="C2839" s="9">
        <f>IF(B2839="","",IFERROR(VLOOKUP(B2839,'Daftar Outlet'!$A$4:$B$22,2,FALSE),""))</f>
        <v/>
      </c>
      <c r="D2839" s="8" t="n"/>
      <c r="E2839" s="6" t="n"/>
      <c r="F2839" s="8" t="n"/>
    </row>
    <row r="2840">
      <c r="A2840" s="7" t="n"/>
      <c r="B2840" s="8" t="n"/>
      <c r="C2840" s="9">
        <f>IF(B2840="","",IFERROR(VLOOKUP(B2840,'Daftar Outlet'!$A$4:$B$22,2,FALSE),""))</f>
        <v/>
      </c>
      <c r="D2840" s="8" t="n"/>
      <c r="E2840" s="6" t="n"/>
      <c r="F2840" s="8" t="n"/>
    </row>
    <row r="2841">
      <c r="A2841" s="7" t="n"/>
      <c r="B2841" s="8" t="n"/>
      <c r="C2841" s="9">
        <f>IF(B2841="","",IFERROR(VLOOKUP(B2841,'Daftar Outlet'!$A$4:$B$22,2,FALSE),""))</f>
        <v/>
      </c>
      <c r="D2841" s="8" t="n"/>
      <c r="E2841" s="6" t="n"/>
      <c r="F2841" s="8" t="n"/>
    </row>
    <row r="2842">
      <c r="A2842" s="7" t="n"/>
      <c r="B2842" s="8" t="n"/>
      <c r="C2842" s="9">
        <f>IF(B2842="","",IFERROR(VLOOKUP(B2842,'Daftar Outlet'!$A$4:$B$22,2,FALSE),""))</f>
        <v/>
      </c>
      <c r="D2842" s="8" t="n"/>
      <c r="E2842" s="6" t="n"/>
      <c r="F2842" s="8" t="n"/>
    </row>
    <row r="2843">
      <c r="A2843" s="7" t="n"/>
      <c r="B2843" s="8" t="n"/>
      <c r="C2843" s="9">
        <f>IF(B2843="","",IFERROR(VLOOKUP(B2843,'Daftar Outlet'!$A$4:$B$22,2,FALSE),""))</f>
        <v/>
      </c>
      <c r="D2843" s="8" t="n"/>
      <c r="E2843" s="6" t="n"/>
      <c r="F2843" s="8" t="n"/>
    </row>
    <row r="2844">
      <c r="A2844" s="7" t="n"/>
      <c r="B2844" s="8" t="n"/>
      <c r="C2844" s="9">
        <f>IF(B2844="","",IFERROR(VLOOKUP(B2844,'Daftar Outlet'!$A$4:$B$22,2,FALSE),""))</f>
        <v/>
      </c>
      <c r="D2844" s="8" t="n"/>
      <c r="E2844" s="6" t="n"/>
      <c r="F2844" s="8" t="n"/>
    </row>
    <row r="2845">
      <c r="A2845" s="7" t="n"/>
      <c r="B2845" s="8" t="n"/>
      <c r="C2845" s="9">
        <f>IF(B2845="","",IFERROR(VLOOKUP(B2845,'Daftar Outlet'!$A$4:$B$22,2,FALSE),""))</f>
        <v/>
      </c>
      <c r="D2845" s="8" t="n"/>
      <c r="E2845" s="6" t="n"/>
      <c r="F2845" s="8" t="n"/>
    </row>
    <row r="2846">
      <c r="A2846" s="7" t="n"/>
      <c r="B2846" s="8" t="n"/>
      <c r="C2846" s="9">
        <f>IF(B2846="","",IFERROR(VLOOKUP(B2846,'Daftar Outlet'!$A$4:$B$22,2,FALSE),""))</f>
        <v/>
      </c>
      <c r="D2846" s="8" t="n"/>
      <c r="E2846" s="6" t="n"/>
      <c r="F2846" s="8" t="n"/>
    </row>
    <row r="2847">
      <c r="A2847" s="7" t="n"/>
      <c r="B2847" s="8" t="n"/>
      <c r="C2847" s="9">
        <f>IF(B2847="","",IFERROR(VLOOKUP(B2847,'Daftar Outlet'!$A$4:$B$22,2,FALSE),""))</f>
        <v/>
      </c>
      <c r="D2847" s="8" t="n"/>
      <c r="E2847" s="6" t="n"/>
      <c r="F2847" s="8" t="n"/>
    </row>
    <row r="2848">
      <c r="A2848" s="7" t="n"/>
      <c r="B2848" s="8" t="n"/>
      <c r="C2848" s="9">
        <f>IF(B2848="","",IFERROR(VLOOKUP(B2848,'Daftar Outlet'!$A$4:$B$22,2,FALSE),""))</f>
        <v/>
      </c>
      <c r="D2848" s="8" t="n"/>
      <c r="E2848" s="6" t="n"/>
      <c r="F2848" s="8" t="n"/>
    </row>
    <row r="2849">
      <c r="A2849" s="7" t="n"/>
      <c r="B2849" s="8" t="n"/>
      <c r="C2849" s="9">
        <f>IF(B2849="","",IFERROR(VLOOKUP(B2849,'Daftar Outlet'!$A$4:$B$22,2,FALSE),""))</f>
        <v/>
      </c>
      <c r="D2849" s="8" t="n"/>
      <c r="E2849" s="6" t="n"/>
      <c r="F2849" s="8" t="n"/>
    </row>
    <row r="2850">
      <c r="A2850" s="7" t="n"/>
      <c r="B2850" s="8" t="n"/>
      <c r="C2850" s="9">
        <f>IF(B2850="","",IFERROR(VLOOKUP(B2850,'Daftar Outlet'!$A$4:$B$22,2,FALSE),""))</f>
        <v/>
      </c>
      <c r="D2850" s="8" t="n"/>
      <c r="E2850" s="6" t="n"/>
      <c r="F2850" s="8" t="n"/>
    </row>
    <row r="2851">
      <c r="A2851" s="7" t="n"/>
      <c r="B2851" s="8" t="n"/>
      <c r="C2851" s="9">
        <f>IF(B2851="","",IFERROR(VLOOKUP(B2851,'Daftar Outlet'!$A$4:$B$22,2,FALSE),""))</f>
        <v/>
      </c>
      <c r="D2851" s="8" t="n"/>
      <c r="E2851" s="6" t="n"/>
      <c r="F2851" s="8" t="n"/>
    </row>
    <row r="2852">
      <c r="A2852" s="7" t="n"/>
      <c r="B2852" s="8" t="n"/>
      <c r="C2852" s="9">
        <f>IF(B2852="","",IFERROR(VLOOKUP(B2852,'Daftar Outlet'!$A$4:$B$22,2,FALSE),""))</f>
        <v/>
      </c>
      <c r="D2852" s="8" t="n"/>
      <c r="E2852" s="6" t="n"/>
      <c r="F2852" s="8" t="n"/>
    </row>
    <row r="2853">
      <c r="A2853" s="7" t="n"/>
      <c r="B2853" s="8" t="n"/>
      <c r="C2853" s="9">
        <f>IF(B2853="","",IFERROR(VLOOKUP(B2853,'Daftar Outlet'!$A$4:$B$22,2,FALSE),""))</f>
        <v/>
      </c>
      <c r="D2853" s="8" t="n"/>
      <c r="E2853" s="6" t="n"/>
      <c r="F2853" s="8" t="n"/>
    </row>
    <row r="2854">
      <c r="A2854" s="7" t="n"/>
      <c r="B2854" s="8" t="n"/>
      <c r="C2854" s="9">
        <f>IF(B2854="","",IFERROR(VLOOKUP(B2854,'Daftar Outlet'!$A$4:$B$22,2,FALSE),""))</f>
        <v/>
      </c>
      <c r="D2854" s="8" t="n"/>
      <c r="E2854" s="6" t="n"/>
      <c r="F2854" s="8" t="n"/>
    </row>
    <row r="2855">
      <c r="A2855" s="7" t="n"/>
      <c r="B2855" s="8" t="n"/>
      <c r="C2855" s="9">
        <f>IF(B2855="","",IFERROR(VLOOKUP(B2855,'Daftar Outlet'!$A$4:$B$22,2,FALSE),""))</f>
        <v/>
      </c>
      <c r="D2855" s="8" t="n"/>
      <c r="E2855" s="6" t="n"/>
      <c r="F2855" s="8" t="n"/>
    </row>
    <row r="2856">
      <c r="A2856" s="7" t="n"/>
      <c r="B2856" s="8" t="n"/>
      <c r="C2856" s="9">
        <f>IF(B2856="","",IFERROR(VLOOKUP(B2856,'Daftar Outlet'!$A$4:$B$22,2,FALSE),""))</f>
        <v/>
      </c>
      <c r="D2856" s="8" t="n"/>
      <c r="E2856" s="6" t="n"/>
      <c r="F2856" s="8" t="n"/>
    </row>
    <row r="2857">
      <c r="A2857" s="7" t="n"/>
      <c r="B2857" s="8" t="n"/>
      <c r="C2857" s="9">
        <f>IF(B2857="","",IFERROR(VLOOKUP(B2857,'Daftar Outlet'!$A$4:$B$22,2,FALSE),""))</f>
        <v/>
      </c>
      <c r="D2857" s="8" t="n"/>
      <c r="E2857" s="6" t="n"/>
      <c r="F2857" s="8" t="n"/>
    </row>
    <row r="2858">
      <c r="A2858" s="7" t="n"/>
      <c r="B2858" s="8" t="n"/>
      <c r="C2858" s="9">
        <f>IF(B2858="","",IFERROR(VLOOKUP(B2858,'Daftar Outlet'!$A$4:$B$22,2,FALSE),""))</f>
        <v/>
      </c>
      <c r="D2858" s="8" t="n"/>
      <c r="E2858" s="6" t="n"/>
      <c r="F2858" s="8" t="n"/>
    </row>
    <row r="2859">
      <c r="A2859" s="7" t="n"/>
      <c r="B2859" s="8" t="n"/>
      <c r="C2859" s="9">
        <f>IF(B2859="","",IFERROR(VLOOKUP(B2859,'Daftar Outlet'!$A$4:$B$22,2,FALSE),""))</f>
        <v/>
      </c>
      <c r="D2859" s="8" t="n"/>
      <c r="E2859" s="6" t="n"/>
      <c r="F2859" s="8" t="n"/>
    </row>
    <row r="2860">
      <c r="A2860" s="7" t="n"/>
      <c r="B2860" s="8" t="n"/>
      <c r="C2860" s="9">
        <f>IF(B2860="","",IFERROR(VLOOKUP(B2860,'Daftar Outlet'!$A$4:$B$22,2,FALSE),""))</f>
        <v/>
      </c>
      <c r="D2860" s="8" t="n"/>
      <c r="E2860" s="6" t="n"/>
      <c r="F2860" s="8" t="n"/>
    </row>
    <row r="2861">
      <c r="A2861" s="7" t="n"/>
      <c r="B2861" s="8" t="n"/>
      <c r="C2861" s="9">
        <f>IF(B2861="","",IFERROR(VLOOKUP(B2861,'Daftar Outlet'!$A$4:$B$22,2,FALSE),""))</f>
        <v/>
      </c>
      <c r="D2861" s="8" t="n"/>
      <c r="E2861" s="6" t="n"/>
      <c r="F2861" s="8" t="n"/>
    </row>
    <row r="2862">
      <c r="A2862" s="7" t="n"/>
      <c r="B2862" s="8" t="n"/>
      <c r="C2862" s="9">
        <f>IF(B2862="","",IFERROR(VLOOKUP(B2862,'Daftar Outlet'!$A$4:$B$22,2,FALSE),""))</f>
        <v/>
      </c>
      <c r="D2862" s="8" t="n"/>
      <c r="E2862" s="6" t="n"/>
      <c r="F2862" s="8" t="n"/>
    </row>
    <row r="2863">
      <c r="A2863" s="7" t="n"/>
      <c r="B2863" s="8" t="n"/>
      <c r="C2863" s="9">
        <f>IF(B2863="","",IFERROR(VLOOKUP(B2863,'Daftar Outlet'!$A$4:$B$22,2,FALSE),""))</f>
        <v/>
      </c>
      <c r="D2863" s="8" t="n"/>
      <c r="E2863" s="6" t="n"/>
      <c r="F2863" s="8" t="n"/>
    </row>
    <row r="2864">
      <c r="A2864" s="7" t="n"/>
      <c r="B2864" s="8" t="n"/>
      <c r="C2864" s="9">
        <f>IF(B2864="","",IFERROR(VLOOKUP(B2864,'Daftar Outlet'!$A$4:$B$22,2,FALSE),""))</f>
        <v/>
      </c>
      <c r="D2864" s="8" t="n"/>
      <c r="E2864" s="6" t="n"/>
      <c r="F2864" s="8" t="n"/>
    </row>
    <row r="2865">
      <c r="A2865" s="7" t="n"/>
      <c r="B2865" s="8" t="n"/>
      <c r="C2865" s="9">
        <f>IF(B2865="","",IFERROR(VLOOKUP(B2865,'Daftar Outlet'!$A$4:$B$22,2,FALSE),""))</f>
        <v/>
      </c>
      <c r="D2865" s="8" t="n"/>
      <c r="E2865" s="6" t="n"/>
      <c r="F2865" s="8" t="n"/>
    </row>
    <row r="2866">
      <c r="A2866" s="7" t="n"/>
      <c r="B2866" s="8" t="n"/>
      <c r="C2866" s="9">
        <f>IF(B2866="","",IFERROR(VLOOKUP(B2866,'Daftar Outlet'!$A$4:$B$22,2,FALSE),""))</f>
        <v/>
      </c>
      <c r="D2866" s="8" t="n"/>
      <c r="E2866" s="6" t="n"/>
      <c r="F2866" s="8" t="n"/>
    </row>
    <row r="2867">
      <c r="A2867" s="7" t="n"/>
      <c r="B2867" s="8" t="n"/>
      <c r="C2867" s="9">
        <f>IF(B2867="","",IFERROR(VLOOKUP(B2867,'Daftar Outlet'!$A$4:$B$22,2,FALSE),""))</f>
        <v/>
      </c>
      <c r="D2867" s="8" t="n"/>
      <c r="E2867" s="6" t="n"/>
      <c r="F2867" s="8" t="n"/>
    </row>
    <row r="2868">
      <c r="A2868" s="7" t="n"/>
      <c r="B2868" s="8" t="n"/>
      <c r="C2868" s="9">
        <f>IF(B2868="","",IFERROR(VLOOKUP(B2868,'Daftar Outlet'!$A$4:$B$22,2,FALSE),""))</f>
        <v/>
      </c>
      <c r="D2868" s="8" t="n"/>
      <c r="E2868" s="6" t="n"/>
      <c r="F2868" s="8" t="n"/>
    </row>
    <row r="2869">
      <c r="A2869" s="7" t="n"/>
      <c r="B2869" s="8" t="n"/>
      <c r="C2869" s="9">
        <f>IF(B2869="","",IFERROR(VLOOKUP(B2869,'Daftar Outlet'!$A$4:$B$22,2,FALSE),""))</f>
        <v/>
      </c>
      <c r="D2869" s="8" t="n"/>
      <c r="E2869" s="6" t="n"/>
      <c r="F2869" s="8" t="n"/>
    </row>
    <row r="2870">
      <c r="A2870" s="7" t="n"/>
      <c r="B2870" s="8" t="n"/>
      <c r="C2870" s="9">
        <f>IF(B2870="","",IFERROR(VLOOKUP(B2870,'Daftar Outlet'!$A$4:$B$22,2,FALSE),""))</f>
        <v/>
      </c>
      <c r="D2870" s="8" t="n"/>
      <c r="E2870" s="6" t="n"/>
      <c r="F2870" s="8" t="n"/>
    </row>
    <row r="2871">
      <c r="A2871" s="7" t="n"/>
      <c r="B2871" s="8" t="n"/>
      <c r="C2871" s="9">
        <f>IF(B2871="","",IFERROR(VLOOKUP(B2871,'Daftar Outlet'!$A$4:$B$22,2,FALSE),""))</f>
        <v/>
      </c>
      <c r="D2871" s="8" t="n"/>
      <c r="E2871" s="6" t="n"/>
      <c r="F2871" s="8" t="n"/>
    </row>
    <row r="2872">
      <c r="A2872" s="7" t="n"/>
      <c r="B2872" s="8" t="n"/>
      <c r="C2872" s="9">
        <f>IF(B2872="","",IFERROR(VLOOKUP(B2872,'Daftar Outlet'!$A$4:$B$22,2,FALSE),""))</f>
        <v/>
      </c>
      <c r="D2872" s="8" t="n"/>
      <c r="E2872" s="6" t="n"/>
      <c r="F2872" s="8" t="n"/>
    </row>
    <row r="2873">
      <c r="A2873" s="7" t="n"/>
      <c r="B2873" s="8" t="n"/>
      <c r="C2873" s="9">
        <f>IF(B2873="","",IFERROR(VLOOKUP(B2873,'Daftar Outlet'!$A$4:$B$22,2,FALSE),""))</f>
        <v/>
      </c>
      <c r="D2873" s="8" t="n"/>
      <c r="E2873" s="6" t="n"/>
      <c r="F2873" s="8" t="n"/>
    </row>
    <row r="2874">
      <c r="A2874" s="7" t="n"/>
      <c r="B2874" s="8" t="n"/>
      <c r="C2874" s="9">
        <f>IF(B2874="","",IFERROR(VLOOKUP(B2874,'Daftar Outlet'!$A$4:$B$22,2,FALSE),""))</f>
        <v/>
      </c>
      <c r="D2874" s="8" t="n"/>
      <c r="E2874" s="6" t="n"/>
      <c r="F2874" s="8" t="n"/>
    </row>
    <row r="2875">
      <c r="A2875" s="7" t="n"/>
      <c r="B2875" s="8" t="n"/>
      <c r="C2875" s="9">
        <f>IF(B2875="","",IFERROR(VLOOKUP(B2875,'Daftar Outlet'!$A$4:$B$22,2,FALSE),""))</f>
        <v/>
      </c>
      <c r="D2875" s="8" t="n"/>
      <c r="E2875" s="6" t="n"/>
      <c r="F2875" s="8" t="n"/>
    </row>
    <row r="2876">
      <c r="A2876" s="7" t="n"/>
      <c r="B2876" s="8" t="n"/>
      <c r="C2876" s="9">
        <f>IF(B2876="","",IFERROR(VLOOKUP(B2876,'Daftar Outlet'!$A$4:$B$22,2,FALSE),""))</f>
        <v/>
      </c>
      <c r="D2876" s="8" t="n"/>
      <c r="E2876" s="6" t="n"/>
      <c r="F2876" s="8" t="n"/>
    </row>
    <row r="2877">
      <c r="A2877" s="7" t="n"/>
      <c r="B2877" s="8" t="n"/>
      <c r="C2877" s="9">
        <f>IF(B2877="","",IFERROR(VLOOKUP(B2877,'Daftar Outlet'!$A$4:$B$22,2,FALSE),""))</f>
        <v/>
      </c>
      <c r="D2877" s="8" t="n"/>
      <c r="E2877" s="6" t="n"/>
      <c r="F2877" s="8" t="n"/>
    </row>
    <row r="2878">
      <c r="A2878" s="7" t="n"/>
      <c r="B2878" s="8" t="n"/>
      <c r="C2878" s="9">
        <f>IF(B2878="","",IFERROR(VLOOKUP(B2878,'Daftar Outlet'!$A$4:$B$22,2,FALSE),""))</f>
        <v/>
      </c>
      <c r="D2878" s="8" t="n"/>
      <c r="E2878" s="6" t="n"/>
      <c r="F2878" s="8" t="n"/>
    </row>
    <row r="2879">
      <c r="A2879" s="7" t="n"/>
      <c r="B2879" s="8" t="n"/>
      <c r="C2879" s="9">
        <f>IF(B2879="","",IFERROR(VLOOKUP(B2879,'Daftar Outlet'!$A$4:$B$22,2,FALSE),""))</f>
        <v/>
      </c>
      <c r="D2879" s="8" t="n"/>
      <c r="E2879" s="6" t="n"/>
      <c r="F2879" s="8" t="n"/>
    </row>
    <row r="2880">
      <c r="A2880" s="7" t="n"/>
      <c r="B2880" s="8" t="n"/>
      <c r="C2880" s="9">
        <f>IF(B2880="","",IFERROR(VLOOKUP(B2880,'Daftar Outlet'!$A$4:$B$22,2,FALSE),""))</f>
        <v/>
      </c>
      <c r="D2880" s="8" t="n"/>
      <c r="E2880" s="6" t="n"/>
      <c r="F2880" s="8" t="n"/>
    </row>
    <row r="2881">
      <c r="A2881" s="7" t="n"/>
      <c r="B2881" s="8" t="n"/>
      <c r="C2881" s="9">
        <f>IF(B2881="","",IFERROR(VLOOKUP(B2881,'Daftar Outlet'!$A$4:$B$22,2,FALSE),""))</f>
        <v/>
      </c>
      <c r="D2881" s="8" t="n"/>
      <c r="E2881" s="6" t="n"/>
      <c r="F2881" s="8" t="n"/>
    </row>
    <row r="2882">
      <c r="A2882" s="7" t="n"/>
      <c r="B2882" s="8" t="n"/>
      <c r="C2882" s="9">
        <f>IF(B2882="","",IFERROR(VLOOKUP(B2882,'Daftar Outlet'!$A$4:$B$22,2,FALSE),""))</f>
        <v/>
      </c>
      <c r="D2882" s="8" t="n"/>
      <c r="E2882" s="6" t="n"/>
      <c r="F2882" s="8" t="n"/>
    </row>
    <row r="2883">
      <c r="A2883" s="7" t="n"/>
      <c r="B2883" s="8" t="n"/>
      <c r="C2883" s="9">
        <f>IF(B2883="","",IFERROR(VLOOKUP(B2883,'Daftar Outlet'!$A$4:$B$22,2,FALSE),""))</f>
        <v/>
      </c>
      <c r="D2883" s="8" t="n"/>
      <c r="E2883" s="6" t="n"/>
      <c r="F2883" s="8" t="n"/>
    </row>
    <row r="2884">
      <c r="A2884" s="7" t="n"/>
      <c r="B2884" s="8" t="n"/>
      <c r="C2884" s="9">
        <f>IF(B2884="","",IFERROR(VLOOKUP(B2884,'Daftar Outlet'!$A$4:$B$22,2,FALSE),""))</f>
        <v/>
      </c>
      <c r="D2884" s="8" t="n"/>
      <c r="E2884" s="6" t="n"/>
      <c r="F2884" s="8" t="n"/>
    </row>
    <row r="2885">
      <c r="A2885" s="7" t="n"/>
      <c r="B2885" s="8" t="n"/>
      <c r="C2885" s="9">
        <f>IF(B2885="","",IFERROR(VLOOKUP(B2885,'Daftar Outlet'!$A$4:$B$22,2,FALSE),""))</f>
        <v/>
      </c>
      <c r="D2885" s="8" t="n"/>
      <c r="E2885" s="6" t="n"/>
      <c r="F2885" s="8" t="n"/>
    </row>
    <row r="2886">
      <c r="A2886" s="7" t="n"/>
      <c r="B2886" s="8" t="n"/>
      <c r="C2886" s="9">
        <f>IF(B2886="","",IFERROR(VLOOKUP(B2886,'Daftar Outlet'!$A$4:$B$22,2,FALSE),""))</f>
        <v/>
      </c>
      <c r="D2886" s="8" t="n"/>
      <c r="E2886" s="6" t="n"/>
      <c r="F2886" s="8" t="n"/>
    </row>
    <row r="2887">
      <c r="A2887" s="7" t="n"/>
      <c r="B2887" s="8" t="n"/>
      <c r="C2887" s="9">
        <f>IF(B2887="","",IFERROR(VLOOKUP(B2887,'Daftar Outlet'!$A$4:$B$22,2,FALSE),""))</f>
        <v/>
      </c>
      <c r="D2887" s="8" t="n"/>
      <c r="E2887" s="6" t="n"/>
      <c r="F2887" s="8" t="n"/>
    </row>
    <row r="2888">
      <c r="A2888" s="7" t="n"/>
      <c r="B2888" s="8" t="n"/>
      <c r="C2888" s="9">
        <f>IF(B2888="","",IFERROR(VLOOKUP(B2888,'Daftar Outlet'!$A$4:$B$22,2,FALSE),""))</f>
        <v/>
      </c>
      <c r="D2888" s="8" t="n"/>
      <c r="E2888" s="6" t="n"/>
      <c r="F2888" s="8" t="n"/>
    </row>
    <row r="2889">
      <c r="A2889" s="7" t="n"/>
      <c r="B2889" s="8" t="n"/>
      <c r="C2889" s="9">
        <f>IF(B2889="","",IFERROR(VLOOKUP(B2889,'Daftar Outlet'!$A$4:$B$22,2,FALSE),""))</f>
        <v/>
      </c>
      <c r="D2889" s="8" t="n"/>
      <c r="E2889" s="6" t="n"/>
      <c r="F2889" s="8" t="n"/>
    </row>
    <row r="2890">
      <c r="A2890" s="7" t="n"/>
      <c r="B2890" s="8" t="n"/>
      <c r="C2890" s="9">
        <f>IF(B2890="","",IFERROR(VLOOKUP(B2890,'Daftar Outlet'!$A$4:$B$22,2,FALSE),""))</f>
        <v/>
      </c>
      <c r="D2890" s="8" t="n"/>
      <c r="E2890" s="6" t="n"/>
      <c r="F2890" s="8" t="n"/>
    </row>
    <row r="2891">
      <c r="A2891" s="7" t="n"/>
      <c r="B2891" s="8" t="n"/>
      <c r="C2891" s="9">
        <f>IF(B2891="","",IFERROR(VLOOKUP(B2891,'Daftar Outlet'!$A$4:$B$22,2,FALSE),""))</f>
        <v/>
      </c>
      <c r="D2891" s="8" t="n"/>
      <c r="E2891" s="6" t="n"/>
      <c r="F2891" s="8" t="n"/>
    </row>
    <row r="2892">
      <c r="A2892" s="7" t="n"/>
      <c r="B2892" s="8" t="n"/>
      <c r="C2892" s="9">
        <f>IF(B2892="","",IFERROR(VLOOKUP(B2892,'Daftar Outlet'!$A$4:$B$22,2,FALSE),""))</f>
        <v/>
      </c>
      <c r="D2892" s="8" t="n"/>
      <c r="E2892" s="6" t="n"/>
      <c r="F2892" s="8" t="n"/>
    </row>
    <row r="2893">
      <c r="A2893" s="7" t="n"/>
      <c r="B2893" s="8" t="n"/>
      <c r="C2893" s="9">
        <f>IF(B2893="","",IFERROR(VLOOKUP(B2893,'Daftar Outlet'!$A$4:$B$22,2,FALSE),""))</f>
        <v/>
      </c>
      <c r="D2893" s="8" t="n"/>
      <c r="E2893" s="6" t="n"/>
      <c r="F2893" s="8" t="n"/>
    </row>
    <row r="2894">
      <c r="A2894" s="7" t="n"/>
      <c r="B2894" s="8" t="n"/>
      <c r="C2894" s="9">
        <f>IF(B2894="","",IFERROR(VLOOKUP(B2894,'Daftar Outlet'!$A$4:$B$22,2,FALSE),""))</f>
        <v/>
      </c>
      <c r="D2894" s="8" t="n"/>
      <c r="E2894" s="6" t="n"/>
      <c r="F2894" s="8" t="n"/>
    </row>
    <row r="2895">
      <c r="A2895" s="7" t="n"/>
      <c r="B2895" s="8" t="n"/>
      <c r="C2895" s="9">
        <f>IF(B2895="","",IFERROR(VLOOKUP(B2895,'Daftar Outlet'!$A$4:$B$22,2,FALSE),""))</f>
        <v/>
      </c>
      <c r="D2895" s="8" t="n"/>
      <c r="E2895" s="6" t="n"/>
      <c r="F2895" s="8" t="n"/>
    </row>
    <row r="2896">
      <c r="A2896" s="7" t="n"/>
      <c r="B2896" s="8" t="n"/>
      <c r="C2896" s="9">
        <f>IF(B2896="","",IFERROR(VLOOKUP(B2896,'Daftar Outlet'!$A$4:$B$22,2,FALSE),""))</f>
        <v/>
      </c>
      <c r="D2896" s="8" t="n"/>
      <c r="E2896" s="6" t="n"/>
      <c r="F2896" s="8" t="n"/>
    </row>
    <row r="2897">
      <c r="A2897" s="7" t="n"/>
      <c r="B2897" s="8" t="n"/>
      <c r="C2897" s="9">
        <f>IF(B2897="","",IFERROR(VLOOKUP(B2897,'Daftar Outlet'!$A$4:$B$22,2,FALSE),""))</f>
        <v/>
      </c>
      <c r="D2897" s="8" t="n"/>
      <c r="E2897" s="6" t="n"/>
      <c r="F2897" s="8" t="n"/>
    </row>
    <row r="2898">
      <c r="A2898" s="7" t="n"/>
      <c r="B2898" s="8" t="n"/>
      <c r="C2898" s="9">
        <f>IF(B2898="","",IFERROR(VLOOKUP(B2898,'Daftar Outlet'!$A$4:$B$22,2,FALSE),""))</f>
        <v/>
      </c>
      <c r="D2898" s="8" t="n"/>
      <c r="E2898" s="6" t="n"/>
      <c r="F2898" s="8" t="n"/>
    </row>
    <row r="2899">
      <c r="A2899" s="7" t="n"/>
      <c r="B2899" s="8" t="n"/>
      <c r="C2899" s="9">
        <f>IF(B2899="","",IFERROR(VLOOKUP(B2899,'Daftar Outlet'!$A$4:$B$22,2,FALSE),""))</f>
        <v/>
      </c>
      <c r="D2899" s="8" t="n"/>
      <c r="E2899" s="6" t="n"/>
      <c r="F2899" s="8" t="n"/>
    </row>
    <row r="2900">
      <c r="A2900" s="7" t="n"/>
      <c r="B2900" s="8" t="n"/>
      <c r="C2900" s="9">
        <f>IF(B2900="","",IFERROR(VLOOKUP(B2900,'Daftar Outlet'!$A$4:$B$22,2,FALSE),""))</f>
        <v/>
      </c>
      <c r="D2900" s="8" t="n"/>
      <c r="E2900" s="6" t="n"/>
      <c r="F2900" s="8" t="n"/>
    </row>
    <row r="2901">
      <c r="A2901" s="7" t="n"/>
      <c r="B2901" s="8" t="n"/>
      <c r="C2901" s="9">
        <f>IF(B2901="","",IFERROR(VLOOKUP(B2901,'Daftar Outlet'!$A$4:$B$22,2,FALSE),""))</f>
        <v/>
      </c>
      <c r="D2901" s="8" t="n"/>
      <c r="E2901" s="6" t="n"/>
      <c r="F2901" s="8" t="n"/>
    </row>
    <row r="2902">
      <c r="A2902" s="7" t="n"/>
      <c r="B2902" s="8" t="n"/>
      <c r="C2902" s="9">
        <f>IF(B2902="","",IFERROR(VLOOKUP(B2902,'Daftar Outlet'!$A$4:$B$22,2,FALSE),""))</f>
        <v/>
      </c>
      <c r="D2902" s="8" t="n"/>
      <c r="E2902" s="6" t="n"/>
      <c r="F2902" s="8" t="n"/>
    </row>
    <row r="2903">
      <c r="A2903" s="7" t="n"/>
      <c r="B2903" s="8" t="n"/>
      <c r="C2903" s="9">
        <f>IF(B2903="","",IFERROR(VLOOKUP(B2903,'Daftar Outlet'!$A$4:$B$22,2,FALSE),""))</f>
        <v/>
      </c>
      <c r="D2903" s="8" t="n"/>
      <c r="E2903" s="6" t="n"/>
      <c r="F2903" s="8" t="n"/>
    </row>
    <row r="2904">
      <c r="A2904" s="7" t="n"/>
      <c r="B2904" s="8" t="n"/>
      <c r="C2904" s="9">
        <f>IF(B2904="","",IFERROR(VLOOKUP(B2904,'Daftar Outlet'!$A$4:$B$22,2,FALSE),""))</f>
        <v/>
      </c>
      <c r="D2904" s="8" t="n"/>
      <c r="E2904" s="6" t="n"/>
      <c r="F2904" s="8" t="n"/>
    </row>
    <row r="2905">
      <c r="A2905" s="7" t="n"/>
      <c r="B2905" s="8" t="n"/>
      <c r="C2905" s="9">
        <f>IF(B2905="","",IFERROR(VLOOKUP(B2905,'Daftar Outlet'!$A$4:$B$22,2,FALSE),""))</f>
        <v/>
      </c>
      <c r="D2905" s="8" t="n"/>
      <c r="E2905" s="6" t="n"/>
      <c r="F2905" s="8" t="n"/>
    </row>
    <row r="2906">
      <c r="A2906" s="7" t="n"/>
      <c r="B2906" s="8" t="n"/>
      <c r="C2906" s="9">
        <f>IF(B2906="","",IFERROR(VLOOKUP(B2906,'Daftar Outlet'!$A$4:$B$22,2,FALSE),""))</f>
        <v/>
      </c>
      <c r="D2906" s="8" t="n"/>
      <c r="E2906" s="6" t="n"/>
      <c r="F2906" s="8" t="n"/>
    </row>
    <row r="2907">
      <c r="A2907" s="7" t="n"/>
      <c r="B2907" s="8" t="n"/>
      <c r="C2907" s="9">
        <f>IF(B2907="","",IFERROR(VLOOKUP(B2907,'Daftar Outlet'!$A$4:$B$22,2,FALSE),""))</f>
        <v/>
      </c>
      <c r="D2907" s="8" t="n"/>
      <c r="E2907" s="6" t="n"/>
      <c r="F2907" s="8" t="n"/>
    </row>
    <row r="2908">
      <c r="A2908" s="7" t="n"/>
      <c r="B2908" s="8" t="n"/>
      <c r="C2908" s="9">
        <f>IF(B2908="","",IFERROR(VLOOKUP(B2908,'Daftar Outlet'!$A$4:$B$22,2,FALSE),""))</f>
        <v/>
      </c>
      <c r="D2908" s="8" t="n"/>
      <c r="E2908" s="6" t="n"/>
      <c r="F2908" s="8" t="n"/>
    </row>
    <row r="2909">
      <c r="A2909" s="7" t="n"/>
      <c r="B2909" s="8" t="n"/>
      <c r="C2909" s="9">
        <f>IF(B2909="","",IFERROR(VLOOKUP(B2909,'Daftar Outlet'!$A$4:$B$22,2,FALSE),""))</f>
        <v/>
      </c>
      <c r="D2909" s="8" t="n"/>
      <c r="E2909" s="6" t="n"/>
      <c r="F2909" s="8" t="n"/>
    </row>
    <row r="2910">
      <c r="A2910" s="7" t="n"/>
      <c r="B2910" s="8" t="n"/>
      <c r="C2910" s="9">
        <f>IF(B2910="","",IFERROR(VLOOKUP(B2910,'Daftar Outlet'!$A$4:$B$22,2,FALSE),""))</f>
        <v/>
      </c>
      <c r="D2910" s="8" t="n"/>
      <c r="E2910" s="6" t="n"/>
      <c r="F2910" s="8" t="n"/>
    </row>
    <row r="2911">
      <c r="A2911" s="7" t="n"/>
      <c r="B2911" s="8" t="n"/>
      <c r="C2911" s="9">
        <f>IF(B2911="","",IFERROR(VLOOKUP(B2911,'Daftar Outlet'!$A$4:$B$22,2,FALSE),""))</f>
        <v/>
      </c>
      <c r="D2911" s="8" t="n"/>
      <c r="E2911" s="6" t="n"/>
      <c r="F2911" s="8" t="n"/>
    </row>
    <row r="2912">
      <c r="A2912" s="7" t="n"/>
      <c r="B2912" s="8" t="n"/>
      <c r="C2912" s="9">
        <f>IF(B2912="","",IFERROR(VLOOKUP(B2912,'Daftar Outlet'!$A$4:$B$22,2,FALSE),""))</f>
        <v/>
      </c>
      <c r="D2912" s="8" t="n"/>
      <c r="E2912" s="6" t="n"/>
      <c r="F2912" s="8" t="n"/>
    </row>
    <row r="2913">
      <c r="A2913" s="7" t="n"/>
      <c r="B2913" s="8" t="n"/>
      <c r="C2913" s="9">
        <f>IF(B2913="","",IFERROR(VLOOKUP(B2913,'Daftar Outlet'!$A$4:$B$22,2,FALSE),""))</f>
        <v/>
      </c>
      <c r="D2913" s="8" t="n"/>
      <c r="E2913" s="6" t="n"/>
      <c r="F2913" s="8" t="n"/>
    </row>
    <row r="2914">
      <c r="A2914" s="7" t="n"/>
      <c r="B2914" s="8" t="n"/>
      <c r="C2914" s="9">
        <f>IF(B2914="","",IFERROR(VLOOKUP(B2914,'Daftar Outlet'!$A$4:$B$22,2,FALSE),""))</f>
        <v/>
      </c>
      <c r="D2914" s="8" t="n"/>
      <c r="E2914" s="6" t="n"/>
      <c r="F2914" s="8" t="n"/>
    </row>
    <row r="2915">
      <c r="A2915" s="7" t="n"/>
      <c r="B2915" s="8" t="n"/>
      <c r="C2915" s="9">
        <f>IF(B2915="","",IFERROR(VLOOKUP(B2915,'Daftar Outlet'!$A$4:$B$22,2,FALSE),""))</f>
        <v/>
      </c>
      <c r="D2915" s="8" t="n"/>
      <c r="E2915" s="6" t="n"/>
      <c r="F2915" s="8" t="n"/>
    </row>
    <row r="2916">
      <c r="A2916" s="7" t="n"/>
      <c r="B2916" s="8" t="n"/>
      <c r="C2916" s="9">
        <f>IF(B2916="","",IFERROR(VLOOKUP(B2916,'Daftar Outlet'!$A$4:$B$22,2,FALSE),""))</f>
        <v/>
      </c>
      <c r="D2916" s="8" t="n"/>
      <c r="E2916" s="6" t="n"/>
      <c r="F2916" s="8" t="n"/>
    </row>
    <row r="2917">
      <c r="A2917" s="7" t="n"/>
      <c r="B2917" s="8" t="n"/>
      <c r="C2917" s="9">
        <f>IF(B2917="","",IFERROR(VLOOKUP(B2917,'Daftar Outlet'!$A$4:$B$22,2,FALSE),""))</f>
        <v/>
      </c>
      <c r="D2917" s="8" t="n"/>
      <c r="E2917" s="6" t="n"/>
      <c r="F2917" s="8" t="n"/>
    </row>
    <row r="2918">
      <c r="A2918" s="7" t="n"/>
      <c r="B2918" s="8" t="n"/>
      <c r="C2918" s="9">
        <f>IF(B2918="","",IFERROR(VLOOKUP(B2918,'Daftar Outlet'!$A$4:$B$22,2,FALSE),""))</f>
        <v/>
      </c>
      <c r="D2918" s="8" t="n"/>
      <c r="E2918" s="6" t="n"/>
      <c r="F2918" s="8" t="n"/>
    </row>
    <row r="2919">
      <c r="A2919" s="7" t="n"/>
      <c r="B2919" s="8" t="n"/>
      <c r="C2919" s="9">
        <f>IF(B2919="","",IFERROR(VLOOKUP(B2919,'Daftar Outlet'!$A$4:$B$22,2,FALSE),""))</f>
        <v/>
      </c>
      <c r="D2919" s="8" t="n"/>
      <c r="E2919" s="6" t="n"/>
      <c r="F2919" s="8" t="n"/>
    </row>
    <row r="2920">
      <c r="A2920" s="7" t="n"/>
      <c r="B2920" s="8" t="n"/>
      <c r="C2920" s="9">
        <f>IF(B2920="","",IFERROR(VLOOKUP(B2920,'Daftar Outlet'!$A$4:$B$22,2,FALSE),""))</f>
        <v/>
      </c>
      <c r="D2920" s="8" t="n"/>
      <c r="E2920" s="6" t="n"/>
      <c r="F2920" s="8" t="n"/>
    </row>
    <row r="2921">
      <c r="A2921" s="7" t="n"/>
      <c r="B2921" s="8" t="n"/>
      <c r="C2921" s="9">
        <f>IF(B2921="","",IFERROR(VLOOKUP(B2921,'Daftar Outlet'!$A$4:$B$22,2,FALSE),""))</f>
        <v/>
      </c>
      <c r="D2921" s="8" t="n"/>
      <c r="E2921" s="6" t="n"/>
      <c r="F2921" s="8" t="n"/>
    </row>
    <row r="2922">
      <c r="A2922" s="7" t="n"/>
      <c r="B2922" s="8" t="n"/>
      <c r="C2922" s="9">
        <f>IF(B2922="","",IFERROR(VLOOKUP(B2922,'Daftar Outlet'!$A$4:$B$22,2,FALSE),""))</f>
        <v/>
      </c>
      <c r="D2922" s="8" t="n"/>
      <c r="E2922" s="6" t="n"/>
      <c r="F2922" s="8" t="n"/>
    </row>
    <row r="2923">
      <c r="A2923" s="7" t="n"/>
      <c r="B2923" s="8" t="n"/>
      <c r="C2923" s="9">
        <f>IF(B2923="","",IFERROR(VLOOKUP(B2923,'Daftar Outlet'!$A$4:$B$22,2,FALSE),""))</f>
        <v/>
      </c>
      <c r="D2923" s="8" t="n"/>
      <c r="E2923" s="6" t="n"/>
      <c r="F2923" s="8" t="n"/>
    </row>
    <row r="2924">
      <c r="A2924" s="7" t="n"/>
      <c r="B2924" s="8" t="n"/>
      <c r="C2924" s="9">
        <f>IF(B2924="","",IFERROR(VLOOKUP(B2924,'Daftar Outlet'!$A$4:$B$22,2,FALSE),""))</f>
        <v/>
      </c>
      <c r="D2924" s="8" t="n"/>
      <c r="E2924" s="6" t="n"/>
      <c r="F2924" s="8" t="n"/>
    </row>
    <row r="2925">
      <c r="A2925" s="7" t="n"/>
      <c r="B2925" s="8" t="n"/>
      <c r="C2925" s="9">
        <f>IF(B2925="","",IFERROR(VLOOKUP(B2925,'Daftar Outlet'!$A$4:$B$22,2,FALSE),""))</f>
        <v/>
      </c>
      <c r="D2925" s="8" t="n"/>
      <c r="E2925" s="6" t="n"/>
      <c r="F2925" s="8" t="n"/>
    </row>
    <row r="2926">
      <c r="A2926" s="7" t="n"/>
      <c r="B2926" s="8" t="n"/>
      <c r="C2926" s="9">
        <f>IF(B2926="","",IFERROR(VLOOKUP(B2926,'Daftar Outlet'!$A$4:$B$22,2,FALSE),""))</f>
        <v/>
      </c>
      <c r="D2926" s="8" t="n"/>
      <c r="E2926" s="6" t="n"/>
      <c r="F2926" s="8" t="n"/>
    </row>
    <row r="2927">
      <c r="A2927" s="7" t="n"/>
      <c r="B2927" s="8" t="n"/>
      <c r="C2927" s="9">
        <f>IF(B2927="","",IFERROR(VLOOKUP(B2927,'Daftar Outlet'!$A$4:$B$22,2,FALSE),""))</f>
        <v/>
      </c>
      <c r="D2927" s="8" t="n"/>
      <c r="E2927" s="6" t="n"/>
      <c r="F2927" s="8" t="n"/>
    </row>
    <row r="2928">
      <c r="A2928" s="7" t="n"/>
      <c r="B2928" s="8" t="n"/>
      <c r="C2928" s="9">
        <f>IF(B2928="","",IFERROR(VLOOKUP(B2928,'Daftar Outlet'!$A$4:$B$22,2,FALSE),""))</f>
        <v/>
      </c>
      <c r="D2928" s="8" t="n"/>
      <c r="E2928" s="6" t="n"/>
      <c r="F2928" s="8" t="n"/>
    </row>
    <row r="2929">
      <c r="A2929" s="7" t="n"/>
      <c r="B2929" s="8" t="n"/>
      <c r="C2929" s="9">
        <f>IF(B2929="","",IFERROR(VLOOKUP(B2929,'Daftar Outlet'!$A$4:$B$22,2,FALSE),""))</f>
        <v/>
      </c>
      <c r="D2929" s="8" t="n"/>
      <c r="E2929" s="6" t="n"/>
      <c r="F2929" s="8" t="n"/>
    </row>
    <row r="2930">
      <c r="A2930" s="7" t="n"/>
      <c r="B2930" s="8" t="n"/>
      <c r="C2930" s="9">
        <f>IF(B2930="","",IFERROR(VLOOKUP(B2930,'Daftar Outlet'!$A$4:$B$22,2,FALSE),""))</f>
        <v/>
      </c>
      <c r="D2930" s="8" t="n"/>
      <c r="E2930" s="6" t="n"/>
      <c r="F2930" s="8" t="n"/>
    </row>
    <row r="2931">
      <c r="A2931" s="7" t="n"/>
      <c r="B2931" s="8" t="n"/>
      <c r="C2931" s="9">
        <f>IF(B2931="","",IFERROR(VLOOKUP(B2931,'Daftar Outlet'!$A$4:$B$22,2,FALSE),""))</f>
        <v/>
      </c>
      <c r="D2931" s="8" t="n"/>
      <c r="E2931" s="6" t="n"/>
      <c r="F2931" s="8" t="n"/>
    </row>
    <row r="2932">
      <c r="A2932" s="7" t="n"/>
      <c r="B2932" s="8" t="n"/>
      <c r="C2932" s="9">
        <f>IF(B2932="","",IFERROR(VLOOKUP(B2932,'Daftar Outlet'!$A$4:$B$22,2,FALSE),""))</f>
        <v/>
      </c>
      <c r="D2932" s="8" t="n"/>
      <c r="E2932" s="6" t="n"/>
      <c r="F2932" s="8" t="n"/>
    </row>
    <row r="2933">
      <c r="A2933" s="7" t="n"/>
      <c r="B2933" s="8" t="n"/>
      <c r="C2933" s="9">
        <f>IF(B2933="","",IFERROR(VLOOKUP(B2933,'Daftar Outlet'!$A$4:$B$22,2,FALSE),""))</f>
        <v/>
      </c>
      <c r="D2933" s="8" t="n"/>
      <c r="E2933" s="6" t="n"/>
      <c r="F2933" s="8" t="n"/>
    </row>
    <row r="2934">
      <c r="A2934" s="7" t="n"/>
      <c r="B2934" s="8" t="n"/>
      <c r="C2934" s="9">
        <f>IF(B2934="","",IFERROR(VLOOKUP(B2934,'Daftar Outlet'!$A$4:$B$22,2,FALSE),""))</f>
        <v/>
      </c>
      <c r="D2934" s="8" t="n"/>
      <c r="E2934" s="6" t="n"/>
      <c r="F2934" s="8" t="n"/>
    </row>
    <row r="2935">
      <c r="A2935" s="7" t="n"/>
      <c r="B2935" s="8" t="n"/>
      <c r="C2935" s="9">
        <f>IF(B2935="","",IFERROR(VLOOKUP(B2935,'Daftar Outlet'!$A$4:$B$22,2,FALSE),""))</f>
        <v/>
      </c>
      <c r="D2935" s="8" t="n"/>
      <c r="E2935" s="6" t="n"/>
      <c r="F2935" s="8" t="n"/>
    </row>
    <row r="2936">
      <c r="A2936" s="7" t="n"/>
      <c r="B2936" s="8" t="n"/>
      <c r="C2936" s="9">
        <f>IF(B2936="","",IFERROR(VLOOKUP(B2936,'Daftar Outlet'!$A$4:$B$22,2,FALSE),""))</f>
        <v/>
      </c>
      <c r="D2936" s="8" t="n"/>
      <c r="E2936" s="6" t="n"/>
      <c r="F2936" s="8" t="n"/>
    </row>
    <row r="2937">
      <c r="A2937" s="7" t="n"/>
      <c r="B2937" s="8" t="n"/>
      <c r="C2937" s="9">
        <f>IF(B2937="","",IFERROR(VLOOKUP(B2937,'Daftar Outlet'!$A$4:$B$22,2,FALSE),""))</f>
        <v/>
      </c>
      <c r="D2937" s="8" t="n"/>
      <c r="E2937" s="6" t="n"/>
      <c r="F2937" s="8" t="n"/>
    </row>
    <row r="2938">
      <c r="A2938" s="7" t="n"/>
      <c r="B2938" s="8" t="n"/>
      <c r="C2938" s="9">
        <f>IF(B2938="","",IFERROR(VLOOKUP(B2938,'Daftar Outlet'!$A$4:$B$22,2,FALSE),""))</f>
        <v/>
      </c>
      <c r="D2938" s="8" t="n"/>
      <c r="E2938" s="6" t="n"/>
      <c r="F2938" s="8" t="n"/>
    </row>
    <row r="2939">
      <c r="A2939" s="7" t="n"/>
      <c r="B2939" s="8" t="n"/>
      <c r="C2939" s="9">
        <f>IF(B2939="","",IFERROR(VLOOKUP(B2939,'Daftar Outlet'!$A$4:$B$22,2,FALSE),""))</f>
        <v/>
      </c>
      <c r="D2939" s="8" t="n"/>
      <c r="E2939" s="6" t="n"/>
      <c r="F2939" s="8" t="n"/>
    </row>
    <row r="2940">
      <c r="A2940" s="7" t="n"/>
      <c r="B2940" s="8" t="n"/>
      <c r="C2940" s="9">
        <f>IF(B2940="","",IFERROR(VLOOKUP(B2940,'Daftar Outlet'!$A$4:$B$22,2,FALSE),""))</f>
        <v/>
      </c>
      <c r="D2940" s="8" t="n"/>
      <c r="E2940" s="6" t="n"/>
      <c r="F2940" s="8" t="n"/>
    </row>
    <row r="2941">
      <c r="A2941" s="7" t="n"/>
      <c r="B2941" s="8" t="n"/>
      <c r="C2941" s="9">
        <f>IF(B2941="","",IFERROR(VLOOKUP(B2941,'Daftar Outlet'!$A$4:$B$22,2,FALSE),""))</f>
        <v/>
      </c>
      <c r="D2941" s="8" t="n"/>
      <c r="E2941" s="6" t="n"/>
      <c r="F2941" s="8" t="n"/>
    </row>
    <row r="2942">
      <c r="A2942" s="7" t="n"/>
      <c r="B2942" s="8" t="n"/>
      <c r="C2942" s="9">
        <f>IF(B2942="","",IFERROR(VLOOKUP(B2942,'Daftar Outlet'!$A$4:$B$22,2,FALSE),""))</f>
        <v/>
      </c>
      <c r="D2942" s="8" t="n"/>
      <c r="E2942" s="6" t="n"/>
      <c r="F2942" s="8" t="n"/>
    </row>
    <row r="2943">
      <c r="A2943" s="7" t="n"/>
      <c r="B2943" s="8" t="n"/>
      <c r="C2943" s="9">
        <f>IF(B2943="","",IFERROR(VLOOKUP(B2943,'Daftar Outlet'!$A$4:$B$22,2,FALSE),""))</f>
        <v/>
      </c>
      <c r="D2943" s="8" t="n"/>
      <c r="E2943" s="6" t="n"/>
      <c r="F2943" s="8" t="n"/>
    </row>
    <row r="2944">
      <c r="A2944" s="7" t="n"/>
      <c r="B2944" s="8" t="n"/>
      <c r="C2944" s="9">
        <f>IF(B2944="","",IFERROR(VLOOKUP(B2944,'Daftar Outlet'!$A$4:$B$22,2,FALSE),""))</f>
        <v/>
      </c>
      <c r="D2944" s="8" t="n"/>
      <c r="E2944" s="6" t="n"/>
      <c r="F2944" s="8" t="n"/>
    </row>
    <row r="2945">
      <c r="A2945" s="7" t="n"/>
      <c r="B2945" s="8" t="n"/>
      <c r="C2945" s="9">
        <f>IF(B2945="","",IFERROR(VLOOKUP(B2945,'Daftar Outlet'!$A$4:$B$22,2,FALSE),""))</f>
        <v/>
      </c>
      <c r="D2945" s="8" t="n"/>
      <c r="E2945" s="6" t="n"/>
      <c r="F2945" s="8" t="n"/>
    </row>
    <row r="2946">
      <c r="A2946" s="7" t="n"/>
      <c r="B2946" s="8" t="n"/>
      <c r="C2946" s="9">
        <f>IF(B2946="","",IFERROR(VLOOKUP(B2946,'Daftar Outlet'!$A$4:$B$22,2,FALSE),""))</f>
        <v/>
      </c>
      <c r="D2946" s="8" t="n"/>
      <c r="E2946" s="6" t="n"/>
      <c r="F2946" s="8" t="n"/>
    </row>
    <row r="2947">
      <c r="A2947" s="7" t="n"/>
      <c r="B2947" s="8" t="n"/>
      <c r="C2947" s="9">
        <f>IF(B2947="","",IFERROR(VLOOKUP(B2947,'Daftar Outlet'!$A$4:$B$22,2,FALSE),""))</f>
        <v/>
      </c>
      <c r="D2947" s="8" t="n"/>
      <c r="E2947" s="6" t="n"/>
      <c r="F2947" s="8" t="n"/>
    </row>
    <row r="2948">
      <c r="A2948" s="7" t="n"/>
      <c r="B2948" s="8" t="n"/>
      <c r="C2948" s="9">
        <f>IF(B2948="","",IFERROR(VLOOKUP(B2948,'Daftar Outlet'!$A$4:$B$22,2,FALSE),""))</f>
        <v/>
      </c>
      <c r="D2948" s="8" t="n"/>
      <c r="E2948" s="6" t="n"/>
      <c r="F2948" s="8" t="n"/>
    </row>
    <row r="2949">
      <c r="A2949" s="7" t="n"/>
      <c r="B2949" s="8" t="n"/>
      <c r="C2949" s="9">
        <f>IF(B2949="","",IFERROR(VLOOKUP(B2949,'Daftar Outlet'!$A$4:$B$22,2,FALSE),""))</f>
        <v/>
      </c>
      <c r="D2949" s="8" t="n"/>
      <c r="E2949" s="6" t="n"/>
      <c r="F2949" s="8" t="n"/>
    </row>
    <row r="2950">
      <c r="A2950" s="7" t="n"/>
      <c r="B2950" s="8" t="n"/>
      <c r="C2950" s="9">
        <f>IF(B2950="","",IFERROR(VLOOKUP(B2950,'Daftar Outlet'!$A$4:$B$22,2,FALSE),""))</f>
        <v/>
      </c>
      <c r="D2950" s="8" t="n"/>
      <c r="E2950" s="6" t="n"/>
      <c r="F2950" s="8" t="n"/>
    </row>
    <row r="2951">
      <c r="A2951" s="7" t="n"/>
      <c r="B2951" s="8" t="n"/>
      <c r="C2951" s="9">
        <f>IF(B2951="","",IFERROR(VLOOKUP(B2951,'Daftar Outlet'!$A$4:$B$22,2,FALSE),""))</f>
        <v/>
      </c>
      <c r="D2951" s="8" t="n"/>
      <c r="E2951" s="6" t="n"/>
      <c r="F2951" s="8" t="n"/>
    </row>
    <row r="2952">
      <c r="A2952" s="7" t="n"/>
      <c r="B2952" s="8" t="n"/>
      <c r="C2952" s="9">
        <f>IF(B2952="","",IFERROR(VLOOKUP(B2952,'Daftar Outlet'!$A$4:$B$22,2,FALSE),""))</f>
        <v/>
      </c>
      <c r="D2952" s="8" t="n"/>
      <c r="E2952" s="6" t="n"/>
      <c r="F2952" s="8" t="n"/>
    </row>
    <row r="2953">
      <c r="A2953" s="7" t="n"/>
      <c r="B2953" s="8" t="n"/>
      <c r="C2953" s="9">
        <f>IF(B2953="","",IFERROR(VLOOKUP(B2953,'Daftar Outlet'!$A$4:$B$22,2,FALSE),""))</f>
        <v/>
      </c>
      <c r="D2953" s="8" t="n"/>
      <c r="E2953" s="6" t="n"/>
      <c r="F2953" s="8" t="n"/>
    </row>
    <row r="2954">
      <c r="A2954" s="7" t="n"/>
      <c r="B2954" s="8" t="n"/>
      <c r="C2954" s="9">
        <f>IF(B2954="","",IFERROR(VLOOKUP(B2954,'Daftar Outlet'!$A$4:$B$22,2,FALSE),""))</f>
        <v/>
      </c>
      <c r="D2954" s="8" t="n"/>
      <c r="E2954" s="6" t="n"/>
      <c r="F2954" s="8" t="n"/>
    </row>
    <row r="2955">
      <c r="A2955" s="7" t="n"/>
      <c r="B2955" s="8" t="n"/>
      <c r="C2955" s="9">
        <f>IF(B2955="","",IFERROR(VLOOKUP(B2955,'Daftar Outlet'!$A$4:$B$22,2,FALSE),""))</f>
        <v/>
      </c>
      <c r="D2955" s="8" t="n"/>
      <c r="E2955" s="6" t="n"/>
      <c r="F2955" s="8" t="n"/>
    </row>
    <row r="2956">
      <c r="A2956" s="7" t="n"/>
      <c r="B2956" s="8" t="n"/>
      <c r="C2956" s="9">
        <f>IF(B2956="","",IFERROR(VLOOKUP(B2956,'Daftar Outlet'!$A$4:$B$22,2,FALSE),""))</f>
        <v/>
      </c>
      <c r="D2956" s="8" t="n"/>
      <c r="E2956" s="6" t="n"/>
      <c r="F2956" s="8" t="n"/>
    </row>
    <row r="2957">
      <c r="A2957" s="7" t="n"/>
      <c r="B2957" s="8" t="n"/>
      <c r="C2957" s="9">
        <f>IF(B2957="","",IFERROR(VLOOKUP(B2957,'Daftar Outlet'!$A$4:$B$22,2,FALSE),""))</f>
        <v/>
      </c>
      <c r="D2957" s="8" t="n"/>
      <c r="E2957" s="6" t="n"/>
      <c r="F2957" s="8" t="n"/>
    </row>
    <row r="2958">
      <c r="A2958" s="7" t="n"/>
      <c r="B2958" s="8" t="n"/>
      <c r="C2958" s="9">
        <f>IF(B2958="","",IFERROR(VLOOKUP(B2958,'Daftar Outlet'!$A$4:$B$22,2,FALSE),""))</f>
        <v/>
      </c>
      <c r="D2958" s="8" t="n"/>
      <c r="E2958" s="6" t="n"/>
      <c r="F2958" s="8" t="n"/>
    </row>
    <row r="2959">
      <c r="A2959" s="7" t="n"/>
      <c r="B2959" s="8" t="n"/>
      <c r="C2959" s="9">
        <f>IF(B2959="","",IFERROR(VLOOKUP(B2959,'Daftar Outlet'!$A$4:$B$22,2,FALSE),""))</f>
        <v/>
      </c>
      <c r="D2959" s="8" t="n"/>
      <c r="E2959" s="6" t="n"/>
      <c r="F2959" s="8" t="n"/>
    </row>
    <row r="2960">
      <c r="A2960" s="7" t="n"/>
      <c r="B2960" s="8" t="n"/>
      <c r="C2960" s="9">
        <f>IF(B2960="","",IFERROR(VLOOKUP(B2960,'Daftar Outlet'!$A$4:$B$22,2,FALSE),""))</f>
        <v/>
      </c>
      <c r="D2960" s="8" t="n"/>
      <c r="E2960" s="6" t="n"/>
      <c r="F2960" s="8" t="n"/>
    </row>
    <row r="2961">
      <c r="A2961" s="7" t="n"/>
      <c r="B2961" s="8" t="n"/>
      <c r="C2961" s="9">
        <f>IF(B2961="","",IFERROR(VLOOKUP(B2961,'Daftar Outlet'!$A$4:$B$22,2,FALSE),""))</f>
        <v/>
      </c>
      <c r="D2961" s="8" t="n"/>
      <c r="E2961" s="6" t="n"/>
      <c r="F2961" s="8" t="n"/>
    </row>
    <row r="2962">
      <c r="A2962" s="7" t="n"/>
      <c r="B2962" s="8" t="n"/>
      <c r="C2962" s="9">
        <f>IF(B2962="","",IFERROR(VLOOKUP(B2962,'Daftar Outlet'!$A$4:$B$22,2,FALSE),""))</f>
        <v/>
      </c>
      <c r="D2962" s="8" t="n"/>
      <c r="E2962" s="6" t="n"/>
      <c r="F2962" s="8" t="n"/>
    </row>
    <row r="2963">
      <c r="A2963" s="7" t="n"/>
      <c r="B2963" s="8" t="n"/>
      <c r="C2963" s="9">
        <f>IF(B2963="","",IFERROR(VLOOKUP(B2963,'Daftar Outlet'!$A$4:$B$22,2,FALSE),""))</f>
        <v/>
      </c>
      <c r="D2963" s="8" t="n"/>
      <c r="E2963" s="6" t="n"/>
      <c r="F2963" s="8" t="n"/>
    </row>
    <row r="2964">
      <c r="A2964" s="7" t="n"/>
      <c r="B2964" s="8" t="n"/>
      <c r="C2964" s="9">
        <f>IF(B2964="","",IFERROR(VLOOKUP(B2964,'Daftar Outlet'!$A$4:$B$22,2,FALSE),""))</f>
        <v/>
      </c>
      <c r="D2964" s="8" t="n"/>
      <c r="E2964" s="6" t="n"/>
      <c r="F2964" s="8" t="n"/>
    </row>
    <row r="2965">
      <c r="A2965" s="7" t="n"/>
      <c r="B2965" s="8" t="n"/>
      <c r="C2965" s="9">
        <f>IF(B2965="","",IFERROR(VLOOKUP(B2965,'Daftar Outlet'!$A$4:$B$22,2,FALSE),""))</f>
        <v/>
      </c>
      <c r="D2965" s="8" t="n"/>
      <c r="E2965" s="6" t="n"/>
      <c r="F2965" s="8" t="n"/>
    </row>
    <row r="2966">
      <c r="A2966" s="7" t="n"/>
      <c r="B2966" s="8" t="n"/>
      <c r="C2966" s="9">
        <f>IF(B2966="","",IFERROR(VLOOKUP(B2966,'Daftar Outlet'!$A$4:$B$22,2,FALSE),""))</f>
        <v/>
      </c>
      <c r="D2966" s="8" t="n"/>
      <c r="E2966" s="6" t="n"/>
      <c r="F2966" s="8" t="n"/>
    </row>
    <row r="2967">
      <c r="A2967" s="7" t="n"/>
      <c r="B2967" s="8" t="n"/>
      <c r="C2967" s="9">
        <f>IF(B2967="","",IFERROR(VLOOKUP(B2967,'Daftar Outlet'!$A$4:$B$22,2,FALSE),""))</f>
        <v/>
      </c>
      <c r="D2967" s="8" t="n"/>
      <c r="E2967" s="6" t="n"/>
      <c r="F2967" s="8" t="n"/>
    </row>
    <row r="2968">
      <c r="A2968" s="7" t="n"/>
      <c r="B2968" s="8" t="n"/>
      <c r="C2968" s="9">
        <f>IF(B2968="","",IFERROR(VLOOKUP(B2968,'Daftar Outlet'!$A$4:$B$22,2,FALSE),""))</f>
        <v/>
      </c>
      <c r="D2968" s="8" t="n"/>
      <c r="E2968" s="6" t="n"/>
      <c r="F2968" s="8" t="n"/>
    </row>
    <row r="2969">
      <c r="A2969" s="7" t="n"/>
      <c r="B2969" s="8" t="n"/>
      <c r="C2969" s="9">
        <f>IF(B2969="","",IFERROR(VLOOKUP(B2969,'Daftar Outlet'!$A$4:$B$22,2,FALSE),""))</f>
        <v/>
      </c>
      <c r="D2969" s="8" t="n"/>
      <c r="E2969" s="6" t="n"/>
      <c r="F2969" s="8" t="n"/>
    </row>
    <row r="2970">
      <c r="A2970" s="7" t="n"/>
      <c r="B2970" s="8" t="n"/>
      <c r="C2970" s="9">
        <f>IF(B2970="","",IFERROR(VLOOKUP(B2970,'Daftar Outlet'!$A$4:$B$22,2,FALSE),""))</f>
        <v/>
      </c>
      <c r="D2970" s="8" t="n"/>
      <c r="E2970" s="6" t="n"/>
      <c r="F2970" s="8" t="n"/>
    </row>
    <row r="2971">
      <c r="A2971" s="7" t="n"/>
      <c r="B2971" s="8" t="n"/>
      <c r="C2971" s="9">
        <f>IF(B2971="","",IFERROR(VLOOKUP(B2971,'Daftar Outlet'!$A$4:$B$22,2,FALSE),""))</f>
        <v/>
      </c>
      <c r="D2971" s="8" t="n"/>
      <c r="E2971" s="6" t="n"/>
      <c r="F2971" s="8" t="n"/>
    </row>
    <row r="2972">
      <c r="A2972" s="7" t="n"/>
      <c r="B2972" s="8" t="n"/>
      <c r="C2972" s="9">
        <f>IF(B2972="","",IFERROR(VLOOKUP(B2972,'Daftar Outlet'!$A$4:$B$22,2,FALSE),""))</f>
        <v/>
      </c>
      <c r="D2972" s="8" t="n"/>
      <c r="E2972" s="6" t="n"/>
      <c r="F2972" s="8" t="n"/>
    </row>
    <row r="2973">
      <c r="A2973" s="7" t="n"/>
      <c r="B2973" s="8" t="n"/>
      <c r="C2973" s="9">
        <f>IF(B2973="","",IFERROR(VLOOKUP(B2973,'Daftar Outlet'!$A$4:$B$22,2,FALSE),""))</f>
        <v/>
      </c>
      <c r="D2973" s="8" t="n"/>
      <c r="E2973" s="6" t="n"/>
      <c r="F2973" s="8" t="n"/>
    </row>
    <row r="2974">
      <c r="A2974" s="7" t="n"/>
      <c r="B2974" s="8" t="n"/>
      <c r="C2974" s="9">
        <f>IF(B2974="","",IFERROR(VLOOKUP(B2974,'Daftar Outlet'!$A$4:$B$22,2,FALSE),""))</f>
        <v/>
      </c>
      <c r="D2974" s="8" t="n"/>
      <c r="E2974" s="6" t="n"/>
      <c r="F2974" s="8" t="n"/>
    </row>
    <row r="2975">
      <c r="A2975" s="7" t="n"/>
      <c r="B2975" s="8" t="n"/>
      <c r="C2975" s="9">
        <f>IF(B2975="","",IFERROR(VLOOKUP(B2975,'Daftar Outlet'!$A$4:$B$22,2,FALSE),""))</f>
        <v/>
      </c>
      <c r="D2975" s="8" t="n"/>
      <c r="E2975" s="6" t="n"/>
      <c r="F2975" s="8" t="n"/>
    </row>
    <row r="2976">
      <c r="A2976" s="7" t="n"/>
      <c r="B2976" s="8" t="n"/>
      <c r="C2976" s="9">
        <f>IF(B2976="","",IFERROR(VLOOKUP(B2976,'Daftar Outlet'!$A$4:$B$22,2,FALSE),""))</f>
        <v/>
      </c>
      <c r="D2976" s="8" t="n"/>
      <c r="E2976" s="6" t="n"/>
      <c r="F2976" s="8" t="n"/>
    </row>
    <row r="2977">
      <c r="A2977" s="7" t="n"/>
      <c r="B2977" s="8" t="n"/>
      <c r="C2977" s="9">
        <f>IF(B2977="","",IFERROR(VLOOKUP(B2977,'Daftar Outlet'!$A$4:$B$22,2,FALSE),""))</f>
        <v/>
      </c>
      <c r="D2977" s="8" t="n"/>
      <c r="E2977" s="6" t="n"/>
      <c r="F2977" s="8" t="n"/>
    </row>
    <row r="2978">
      <c r="A2978" s="7" t="n"/>
      <c r="B2978" s="8" t="n"/>
      <c r="C2978" s="9">
        <f>IF(B2978="","",IFERROR(VLOOKUP(B2978,'Daftar Outlet'!$A$4:$B$22,2,FALSE),""))</f>
        <v/>
      </c>
      <c r="D2978" s="8" t="n"/>
      <c r="E2978" s="6" t="n"/>
      <c r="F2978" s="8" t="n"/>
    </row>
    <row r="2979">
      <c r="A2979" s="7" t="n"/>
      <c r="B2979" s="8" t="n"/>
      <c r="C2979" s="9">
        <f>IF(B2979="","",IFERROR(VLOOKUP(B2979,'Daftar Outlet'!$A$4:$B$22,2,FALSE),""))</f>
        <v/>
      </c>
      <c r="D2979" s="8" t="n"/>
      <c r="E2979" s="6" t="n"/>
      <c r="F2979" s="8" t="n"/>
    </row>
    <row r="2980">
      <c r="A2980" s="7" t="n"/>
      <c r="B2980" s="8" t="n"/>
      <c r="C2980" s="9">
        <f>IF(B2980="","",IFERROR(VLOOKUP(B2980,'Daftar Outlet'!$A$4:$B$22,2,FALSE),""))</f>
        <v/>
      </c>
      <c r="D2980" s="8" t="n"/>
      <c r="E2980" s="6" t="n"/>
      <c r="F2980" s="8" t="n"/>
    </row>
    <row r="2981">
      <c r="A2981" s="7" t="n"/>
      <c r="B2981" s="8" t="n"/>
      <c r="C2981" s="9">
        <f>IF(B2981="","",IFERROR(VLOOKUP(B2981,'Daftar Outlet'!$A$4:$B$22,2,FALSE),""))</f>
        <v/>
      </c>
      <c r="D2981" s="8" t="n"/>
      <c r="E2981" s="6" t="n"/>
      <c r="F2981" s="8" t="n"/>
    </row>
    <row r="2982">
      <c r="A2982" s="7" t="n"/>
      <c r="B2982" s="8" t="n"/>
      <c r="C2982" s="9">
        <f>IF(B2982="","",IFERROR(VLOOKUP(B2982,'Daftar Outlet'!$A$4:$B$22,2,FALSE),""))</f>
        <v/>
      </c>
      <c r="D2982" s="8" t="n"/>
      <c r="E2982" s="6" t="n"/>
      <c r="F2982" s="8" t="n"/>
    </row>
    <row r="2983">
      <c r="A2983" s="7" t="n"/>
      <c r="B2983" s="8" t="n"/>
      <c r="C2983" s="9">
        <f>IF(B2983="","",IFERROR(VLOOKUP(B2983,'Daftar Outlet'!$A$4:$B$22,2,FALSE),""))</f>
        <v/>
      </c>
      <c r="D2983" s="8" t="n"/>
      <c r="E2983" s="6" t="n"/>
      <c r="F2983" s="8" t="n"/>
    </row>
    <row r="2984">
      <c r="A2984" s="7" t="n"/>
      <c r="B2984" s="8" t="n"/>
      <c r="C2984" s="9">
        <f>IF(B2984="","",IFERROR(VLOOKUP(B2984,'Daftar Outlet'!$A$4:$B$22,2,FALSE),""))</f>
        <v/>
      </c>
      <c r="D2984" s="8" t="n"/>
      <c r="E2984" s="6" t="n"/>
      <c r="F2984" s="8" t="n"/>
    </row>
    <row r="2985">
      <c r="A2985" s="7" t="n"/>
      <c r="B2985" s="8" t="n"/>
      <c r="C2985" s="9">
        <f>IF(B2985="","",IFERROR(VLOOKUP(B2985,'Daftar Outlet'!$A$4:$B$22,2,FALSE),""))</f>
        <v/>
      </c>
      <c r="D2985" s="8" t="n"/>
      <c r="E2985" s="6" t="n"/>
      <c r="F2985" s="8" t="n"/>
    </row>
    <row r="2986">
      <c r="A2986" s="7" t="n"/>
      <c r="B2986" s="8" t="n"/>
      <c r="C2986" s="9">
        <f>IF(B2986="","",IFERROR(VLOOKUP(B2986,'Daftar Outlet'!$A$4:$B$22,2,FALSE),""))</f>
        <v/>
      </c>
      <c r="D2986" s="8" t="n"/>
      <c r="E2986" s="6" t="n"/>
      <c r="F2986" s="8" t="n"/>
    </row>
    <row r="2987">
      <c r="A2987" s="7" t="n"/>
      <c r="B2987" s="8" t="n"/>
      <c r="C2987" s="9">
        <f>IF(B2987="","",IFERROR(VLOOKUP(B2987,'Daftar Outlet'!$A$4:$B$22,2,FALSE),""))</f>
        <v/>
      </c>
      <c r="D2987" s="8" t="n"/>
      <c r="E2987" s="6" t="n"/>
      <c r="F2987" s="8" t="n"/>
    </row>
    <row r="2988">
      <c r="A2988" s="7" t="n"/>
      <c r="B2988" s="8" t="n"/>
      <c r="C2988" s="9">
        <f>IF(B2988="","",IFERROR(VLOOKUP(B2988,'Daftar Outlet'!$A$4:$B$22,2,FALSE),""))</f>
        <v/>
      </c>
      <c r="D2988" s="8" t="n"/>
      <c r="E2988" s="6" t="n"/>
      <c r="F2988" s="8" t="n"/>
    </row>
    <row r="2989">
      <c r="A2989" s="7" t="n"/>
      <c r="B2989" s="8" t="n"/>
      <c r="C2989" s="9">
        <f>IF(B2989="","",IFERROR(VLOOKUP(B2989,'Daftar Outlet'!$A$4:$B$22,2,FALSE),""))</f>
        <v/>
      </c>
      <c r="D2989" s="8" t="n"/>
      <c r="E2989" s="6" t="n"/>
      <c r="F2989" s="8" t="n"/>
    </row>
    <row r="2990">
      <c r="A2990" s="7" t="n"/>
      <c r="B2990" s="8" t="n"/>
      <c r="C2990" s="9">
        <f>IF(B2990="","",IFERROR(VLOOKUP(B2990,'Daftar Outlet'!$A$4:$B$22,2,FALSE),""))</f>
        <v/>
      </c>
      <c r="D2990" s="8" t="n"/>
      <c r="E2990" s="6" t="n"/>
      <c r="F2990" s="8" t="n"/>
    </row>
    <row r="2991">
      <c r="A2991" s="7" t="n"/>
      <c r="B2991" s="8" t="n"/>
      <c r="C2991" s="9">
        <f>IF(B2991="","",IFERROR(VLOOKUP(B2991,'Daftar Outlet'!$A$4:$B$22,2,FALSE),""))</f>
        <v/>
      </c>
      <c r="D2991" s="8" t="n"/>
      <c r="E2991" s="6" t="n"/>
      <c r="F2991" s="8" t="n"/>
    </row>
    <row r="2992">
      <c r="A2992" s="7" t="n"/>
      <c r="B2992" s="8" t="n"/>
      <c r="C2992" s="9">
        <f>IF(B2992="","",IFERROR(VLOOKUP(B2992,'Daftar Outlet'!$A$4:$B$22,2,FALSE),""))</f>
        <v/>
      </c>
      <c r="D2992" s="8" t="n"/>
      <c r="E2992" s="6" t="n"/>
      <c r="F2992" s="8" t="n"/>
    </row>
    <row r="2993">
      <c r="A2993" s="7" t="n"/>
      <c r="B2993" s="8" t="n"/>
      <c r="C2993" s="9">
        <f>IF(B2993="","",IFERROR(VLOOKUP(B2993,'Daftar Outlet'!$A$4:$B$22,2,FALSE),""))</f>
        <v/>
      </c>
      <c r="D2993" s="8" t="n"/>
      <c r="E2993" s="6" t="n"/>
      <c r="F2993" s="8" t="n"/>
    </row>
    <row r="2994">
      <c r="A2994" s="7" t="n"/>
      <c r="B2994" s="8" t="n"/>
      <c r="C2994" s="9">
        <f>IF(B2994="","",IFERROR(VLOOKUP(B2994,'Daftar Outlet'!$A$4:$B$22,2,FALSE),""))</f>
        <v/>
      </c>
      <c r="D2994" s="8" t="n"/>
      <c r="E2994" s="6" t="n"/>
      <c r="F2994" s="8" t="n"/>
    </row>
    <row r="2995">
      <c r="A2995" s="7" t="n"/>
      <c r="B2995" s="8" t="n"/>
      <c r="C2995" s="9">
        <f>IF(B2995="","",IFERROR(VLOOKUP(B2995,'Daftar Outlet'!$A$4:$B$22,2,FALSE),""))</f>
        <v/>
      </c>
      <c r="D2995" s="8" t="n"/>
      <c r="E2995" s="6" t="n"/>
      <c r="F2995" s="8" t="n"/>
    </row>
    <row r="2996">
      <c r="A2996" s="7" t="n"/>
      <c r="B2996" s="8" t="n"/>
      <c r="C2996" s="9">
        <f>IF(B2996="","",IFERROR(VLOOKUP(B2996,'Daftar Outlet'!$A$4:$B$22,2,FALSE),""))</f>
        <v/>
      </c>
      <c r="D2996" s="8" t="n"/>
      <c r="E2996" s="6" t="n"/>
      <c r="F2996" s="8" t="n"/>
    </row>
    <row r="2997">
      <c r="A2997" s="7" t="n"/>
      <c r="B2997" s="8" t="n"/>
      <c r="C2997" s="9">
        <f>IF(B2997="","",IFERROR(VLOOKUP(B2997,'Daftar Outlet'!$A$4:$B$22,2,FALSE),""))</f>
        <v/>
      </c>
      <c r="D2997" s="8" t="n"/>
      <c r="E2997" s="6" t="n"/>
      <c r="F2997" s="8" t="n"/>
    </row>
    <row r="2998">
      <c r="A2998" s="7" t="n"/>
      <c r="B2998" s="8" t="n"/>
      <c r="C2998" s="9">
        <f>IF(B2998="","",IFERROR(VLOOKUP(B2998,'Daftar Outlet'!$A$4:$B$22,2,FALSE),""))</f>
        <v/>
      </c>
      <c r="D2998" s="8" t="n"/>
      <c r="E2998" s="6" t="n"/>
      <c r="F2998" s="8" t="n"/>
    </row>
    <row r="2999">
      <c r="A2999" s="7" t="n"/>
      <c r="B2999" s="8" t="n"/>
      <c r="C2999" s="9">
        <f>IF(B2999="","",IFERROR(VLOOKUP(B2999,'Daftar Outlet'!$A$4:$B$22,2,FALSE),""))</f>
        <v/>
      </c>
      <c r="D2999" s="8" t="n"/>
      <c r="E2999" s="6" t="n"/>
      <c r="F2999" s="8" t="n"/>
    </row>
    <row r="3000">
      <c r="A3000" s="7" t="n"/>
      <c r="B3000" s="8" t="n"/>
      <c r="C3000" s="9">
        <f>IF(B3000="","",IFERROR(VLOOKUP(B3000,'Daftar Outlet'!$A$4:$B$22,2,FALSE),""))</f>
        <v/>
      </c>
      <c r="D3000" s="8" t="n"/>
      <c r="E3000" s="6" t="n"/>
      <c r="F3000" s="8" t="n"/>
    </row>
    <row r="3001">
      <c r="A3001" s="7" t="n"/>
      <c r="B3001" s="8" t="n"/>
      <c r="C3001" s="9">
        <f>IF(B3001="","",IFERROR(VLOOKUP(B3001,'Daftar Outlet'!$A$4:$B$22,2,FALSE),""))</f>
        <v/>
      </c>
      <c r="D3001" s="8" t="n"/>
      <c r="E3001" s="6" t="n"/>
      <c r="F3001" s="8" t="n"/>
    </row>
    <row r="3002">
      <c r="A3002" s="7" t="n"/>
      <c r="B3002" s="8" t="n"/>
      <c r="C3002" s="9">
        <f>IF(B3002="","",IFERROR(VLOOKUP(B3002,'Daftar Outlet'!$A$4:$B$22,2,FALSE),""))</f>
        <v/>
      </c>
      <c r="D3002" s="8" t="n"/>
      <c r="E3002" s="6" t="n"/>
      <c r="F3002" s="8" t="n"/>
    </row>
    <row r="3003">
      <c r="A3003" s="7" t="n"/>
      <c r="B3003" s="8" t="n"/>
      <c r="C3003" s="9">
        <f>IF(B3003="","",IFERROR(VLOOKUP(B3003,'Daftar Outlet'!$A$4:$B$22,2,FALSE),""))</f>
        <v/>
      </c>
      <c r="D3003" s="8" t="n"/>
      <c r="E3003" s="6" t="n"/>
      <c r="F3003" s="8" t="n"/>
    </row>
    <row r="3004">
      <c r="A3004" s="7" t="n"/>
      <c r="B3004" s="8" t="n"/>
      <c r="C3004" s="9">
        <f>IF(B3004="","",IFERROR(VLOOKUP(B3004,'Daftar Outlet'!$A$4:$B$22,2,FALSE),""))</f>
        <v/>
      </c>
      <c r="D3004" s="8" t="n"/>
      <c r="E3004" s="6" t="n"/>
      <c r="F3004" s="8" t="n"/>
    </row>
    <row r="3005">
      <c r="A3005" s="7" t="n"/>
      <c r="B3005" s="8" t="n"/>
      <c r="C3005" s="9">
        <f>IF(B3005="","",IFERROR(VLOOKUP(B3005,'Daftar Outlet'!$A$4:$B$22,2,FALSE),""))</f>
        <v/>
      </c>
      <c r="D3005" s="8" t="n"/>
      <c r="E3005" s="6" t="n"/>
      <c r="F3005" s="8" t="n"/>
    </row>
    <row r="3006">
      <c r="A3006" s="7" t="n"/>
      <c r="B3006" s="8" t="n"/>
      <c r="C3006" s="9">
        <f>IF(B3006="","",IFERROR(VLOOKUP(B3006,'Daftar Outlet'!$A$4:$B$22,2,FALSE),""))</f>
        <v/>
      </c>
      <c r="D3006" s="8" t="n"/>
      <c r="E3006" s="6" t="n"/>
      <c r="F3006" s="8" t="n"/>
    </row>
    <row r="3007">
      <c r="A3007" s="7" t="n"/>
      <c r="B3007" s="8" t="n"/>
      <c r="C3007" s="9">
        <f>IF(B3007="","",IFERROR(VLOOKUP(B3007,'Daftar Outlet'!$A$4:$B$22,2,FALSE),""))</f>
        <v/>
      </c>
      <c r="D3007" s="8" t="n"/>
      <c r="E3007" s="6" t="n"/>
      <c r="F3007" s="8" t="n"/>
    </row>
    <row r="3008">
      <c r="A3008" s="7" t="n"/>
      <c r="B3008" s="8" t="n"/>
      <c r="C3008" s="9">
        <f>IF(B3008="","",IFERROR(VLOOKUP(B3008,'Daftar Outlet'!$A$4:$B$22,2,FALSE),""))</f>
        <v/>
      </c>
      <c r="D3008" s="8" t="n"/>
      <c r="E3008" s="6" t="n"/>
      <c r="F3008" s="8" t="n"/>
    </row>
    <row r="3009">
      <c r="A3009" s="7" t="n"/>
      <c r="B3009" s="8" t="n"/>
      <c r="C3009" s="9">
        <f>IF(B3009="","",IFERROR(VLOOKUP(B3009,'Daftar Outlet'!$A$4:$B$22,2,FALSE),""))</f>
        <v/>
      </c>
      <c r="D3009" s="8" t="n"/>
      <c r="E3009" s="6" t="n"/>
      <c r="F3009" s="8" t="n"/>
    </row>
    <row r="3010">
      <c r="A3010" s="7" t="n"/>
      <c r="B3010" s="8" t="n"/>
      <c r="C3010" s="9">
        <f>IF(B3010="","",IFERROR(VLOOKUP(B3010,'Daftar Outlet'!$A$4:$B$22,2,FALSE),""))</f>
        <v/>
      </c>
      <c r="D3010" s="8" t="n"/>
      <c r="E3010" s="6" t="n"/>
      <c r="F3010" s="8" t="n"/>
    </row>
    <row r="3011">
      <c r="A3011" s="7" t="n"/>
      <c r="B3011" s="8" t="n"/>
      <c r="C3011" s="9">
        <f>IF(B3011="","",IFERROR(VLOOKUP(B3011,'Daftar Outlet'!$A$4:$B$22,2,FALSE),""))</f>
        <v/>
      </c>
      <c r="D3011" s="8" t="n"/>
      <c r="E3011" s="6" t="n"/>
      <c r="F3011" s="8" t="n"/>
    </row>
    <row r="3012">
      <c r="A3012" s="7" t="n"/>
      <c r="B3012" s="8" t="n"/>
      <c r="C3012" s="9">
        <f>IF(B3012="","",IFERROR(VLOOKUP(B3012,'Daftar Outlet'!$A$4:$B$22,2,FALSE),""))</f>
        <v/>
      </c>
      <c r="D3012" s="8" t="n"/>
      <c r="E3012" s="6" t="n"/>
      <c r="F3012" s="8" t="n"/>
    </row>
    <row r="3013">
      <c r="A3013" s="7" t="n"/>
      <c r="B3013" s="8" t="n"/>
      <c r="C3013" s="9">
        <f>IF(B3013="","",IFERROR(VLOOKUP(B3013,'Daftar Outlet'!$A$4:$B$22,2,FALSE),""))</f>
        <v/>
      </c>
      <c r="D3013" s="8" t="n"/>
      <c r="E3013" s="6" t="n"/>
      <c r="F3013" s="8" t="n"/>
    </row>
    <row r="3014">
      <c r="A3014" s="7" t="n"/>
      <c r="B3014" s="8" t="n"/>
      <c r="C3014" s="9">
        <f>IF(B3014="","",IFERROR(VLOOKUP(B3014,'Daftar Outlet'!$A$4:$B$22,2,FALSE),""))</f>
        <v/>
      </c>
      <c r="D3014" s="8" t="n"/>
      <c r="E3014" s="6" t="n"/>
      <c r="F3014" s="8" t="n"/>
    </row>
    <row r="3015">
      <c r="A3015" s="7" t="n"/>
      <c r="B3015" s="8" t="n"/>
      <c r="C3015" s="9">
        <f>IF(B3015="","",IFERROR(VLOOKUP(B3015,'Daftar Outlet'!$A$4:$B$22,2,FALSE),""))</f>
        <v/>
      </c>
      <c r="D3015" s="8" t="n"/>
      <c r="E3015" s="6" t="n"/>
      <c r="F3015" s="8" t="n"/>
    </row>
    <row r="3016">
      <c r="A3016" s="7" t="n"/>
      <c r="B3016" s="8" t="n"/>
      <c r="C3016" s="9">
        <f>IF(B3016="","",IFERROR(VLOOKUP(B3016,'Daftar Outlet'!$A$4:$B$22,2,FALSE),""))</f>
        <v/>
      </c>
      <c r="D3016" s="8" t="n"/>
      <c r="E3016" s="6" t="n"/>
      <c r="F3016" s="8" t="n"/>
    </row>
    <row r="3017">
      <c r="A3017" s="7" t="n"/>
      <c r="B3017" s="8" t="n"/>
      <c r="C3017" s="9">
        <f>IF(B3017="","",IFERROR(VLOOKUP(B3017,'Daftar Outlet'!$A$4:$B$22,2,FALSE),""))</f>
        <v/>
      </c>
      <c r="D3017" s="8" t="n"/>
      <c r="E3017" s="6" t="n"/>
      <c r="F3017" s="8" t="n"/>
    </row>
    <row r="3018">
      <c r="A3018" s="7" t="n"/>
      <c r="B3018" s="8" t="n"/>
      <c r="C3018" s="9">
        <f>IF(B3018="","",IFERROR(VLOOKUP(B3018,'Daftar Outlet'!$A$4:$B$22,2,FALSE),""))</f>
        <v/>
      </c>
      <c r="D3018" s="8" t="n"/>
      <c r="E3018" s="6" t="n"/>
      <c r="F3018" s="8" t="n"/>
    </row>
    <row r="3019">
      <c r="A3019" s="7" t="n"/>
      <c r="B3019" s="8" t="n"/>
      <c r="C3019" s="9">
        <f>IF(B3019="","",IFERROR(VLOOKUP(B3019,'Daftar Outlet'!$A$4:$B$22,2,FALSE),""))</f>
        <v/>
      </c>
      <c r="D3019" s="8" t="n"/>
      <c r="E3019" s="6" t="n"/>
      <c r="F3019" s="8" t="n"/>
    </row>
    <row r="3020">
      <c r="A3020" s="7" t="n"/>
      <c r="B3020" s="8" t="n"/>
      <c r="C3020" s="9">
        <f>IF(B3020="","",IFERROR(VLOOKUP(B3020,'Daftar Outlet'!$A$4:$B$22,2,FALSE),""))</f>
        <v/>
      </c>
      <c r="D3020" s="8" t="n"/>
      <c r="E3020" s="6" t="n"/>
      <c r="F3020" s="8" t="n"/>
    </row>
    <row r="3021">
      <c r="A3021" s="7" t="n"/>
      <c r="B3021" s="8" t="n"/>
      <c r="C3021" s="9">
        <f>IF(B3021="","",IFERROR(VLOOKUP(B3021,'Daftar Outlet'!$A$4:$B$22,2,FALSE),""))</f>
        <v/>
      </c>
      <c r="D3021" s="8" t="n"/>
      <c r="E3021" s="6" t="n"/>
      <c r="F3021" s="8" t="n"/>
    </row>
    <row r="3022">
      <c r="A3022" s="7" t="n"/>
      <c r="B3022" s="8" t="n"/>
      <c r="C3022" s="9">
        <f>IF(B3022="","",IFERROR(VLOOKUP(B3022,'Daftar Outlet'!$A$4:$B$22,2,FALSE),""))</f>
        <v/>
      </c>
      <c r="D3022" s="8" t="n"/>
      <c r="E3022" s="6" t="n"/>
      <c r="F3022" s="8" t="n"/>
    </row>
    <row r="3023">
      <c r="A3023" s="7" t="n"/>
      <c r="B3023" s="8" t="n"/>
      <c r="C3023" s="9">
        <f>IF(B3023="","",IFERROR(VLOOKUP(B3023,'Daftar Outlet'!$A$4:$B$22,2,FALSE),""))</f>
        <v/>
      </c>
      <c r="D3023" s="8" t="n"/>
      <c r="E3023" s="6" t="n"/>
      <c r="F3023" s="8" t="n"/>
    </row>
    <row r="3024">
      <c r="A3024" s="7" t="n"/>
      <c r="B3024" s="8" t="n"/>
      <c r="C3024" s="9">
        <f>IF(B3024="","",IFERROR(VLOOKUP(B3024,'Daftar Outlet'!$A$4:$B$22,2,FALSE),""))</f>
        <v/>
      </c>
      <c r="D3024" s="8" t="n"/>
      <c r="E3024" s="6" t="n"/>
      <c r="F3024" s="8" t="n"/>
    </row>
    <row r="3025">
      <c r="A3025" s="7" t="n"/>
      <c r="B3025" s="8" t="n"/>
      <c r="C3025" s="9">
        <f>IF(B3025="","",IFERROR(VLOOKUP(B3025,'Daftar Outlet'!$A$4:$B$22,2,FALSE),""))</f>
        <v/>
      </c>
      <c r="D3025" s="8" t="n"/>
      <c r="E3025" s="6" t="n"/>
      <c r="F3025" s="8" t="n"/>
    </row>
    <row r="3026">
      <c r="A3026" s="7" t="n"/>
      <c r="B3026" s="8" t="n"/>
      <c r="C3026" s="9">
        <f>IF(B3026="","",IFERROR(VLOOKUP(B3026,'Daftar Outlet'!$A$4:$B$22,2,FALSE),""))</f>
        <v/>
      </c>
      <c r="D3026" s="8" t="n"/>
      <c r="E3026" s="6" t="n"/>
      <c r="F3026" s="8" t="n"/>
    </row>
    <row r="3027">
      <c r="A3027" s="7" t="n"/>
      <c r="B3027" s="8" t="n"/>
      <c r="C3027" s="9">
        <f>IF(B3027="","",IFERROR(VLOOKUP(B3027,'Daftar Outlet'!$A$4:$B$22,2,FALSE),""))</f>
        <v/>
      </c>
      <c r="D3027" s="8" t="n"/>
      <c r="E3027" s="6" t="n"/>
      <c r="F3027" s="8" t="n"/>
    </row>
    <row r="3028">
      <c r="A3028" s="7" t="n"/>
      <c r="B3028" s="8" t="n"/>
      <c r="C3028" s="9">
        <f>IF(B3028="","",IFERROR(VLOOKUP(B3028,'Daftar Outlet'!$A$4:$B$22,2,FALSE),""))</f>
        <v/>
      </c>
      <c r="D3028" s="8" t="n"/>
      <c r="E3028" s="6" t="n"/>
      <c r="F3028" s="8" t="n"/>
    </row>
    <row r="3029">
      <c r="A3029" s="7" t="n"/>
      <c r="B3029" s="8" t="n"/>
      <c r="C3029" s="9">
        <f>IF(B3029="","",IFERROR(VLOOKUP(B3029,'Daftar Outlet'!$A$4:$B$22,2,FALSE),""))</f>
        <v/>
      </c>
      <c r="D3029" s="8" t="n"/>
      <c r="E3029" s="6" t="n"/>
      <c r="F3029" s="8" t="n"/>
    </row>
    <row r="3030">
      <c r="A3030" s="7" t="n"/>
      <c r="B3030" s="8" t="n"/>
      <c r="C3030" s="9">
        <f>IF(B3030="","",IFERROR(VLOOKUP(B3030,'Daftar Outlet'!$A$4:$B$22,2,FALSE),""))</f>
        <v/>
      </c>
      <c r="D3030" s="8" t="n"/>
      <c r="E3030" s="6" t="n"/>
      <c r="F3030" s="8" t="n"/>
    </row>
    <row r="3031">
      <c r="A3031" s="7" t="n"/>
      <c r="B3031" s="8" t="n"/>
      <c r="C3031" s="9">
        <f>IF(B3031="","",IFERROR(VLOOKUP(B3031,'Daftar Outlet'!$A$4:$B$22,2,FALSE),""))</f>
        <v/>
      </c>
      <c r="D3031" s="8" t="n"/>
      <c r="E3031" s="6" t="n"/>
      <c r="F3031" s="8" t="n"/>
    </row>
    <row r="3032">
      <c r="A3032" s="7" t="n"/>
      <c r="B3032" s="8" t="n"/>
      <c r="C3032" s="9">
        <f>IF(B3032="","",IFERROR(VLOOKUP(B3032,'Daftar Outlet'!$A$4:$B$22,2,FALSE),""))</f>
        <v/>
      </c>
      <c r="D3032" s="8" t="n"/>
      <c r="E3032" s="6" t="n"/>
      <c r="F3032" s="8" t="n"/>
    </row>
    <row r="3033">
      <c r="A3033" s="7" t="n"/>
      <c r="B3033" s="8" t="n"/>
      <c r="C3033" s="9">
        <f>IF(B3033="","",IFERROR(VLOOKUP(B3033,'Daftar Outlet'!$A$4:$B$22,2,FALSE),""))</f>
        <v/>
      </c>
      <c r="D3033" s="8" t="n"/>
      <c r="E3033" s="6" t="n"/>
      <c r="F3033" s="8" t="n"/>
    </row>
    <row r="3034">
      <c r="A3034" s="7" t="n"/>
      <c r="B3034" s="8" t="n"/>
      <c r="C3034" s="9">
        <f>IF(B3034="","",IFERROR(VLOOKUP(B3034,'Daftar Outlet'!$A$4:$B$22,2,FALSE),""))</f>
        <v/>
      </c>
      <c r="D3034" s="8" t="n"/>
      <c r="E3034" s="6" t="n"/>
      <c r="F3034" s="8" t="n"/>
    </row>
    <row r="3035">
      <c r="A3035" s="7" t="n"/>
      <c r="B3035" s="8" t="n"/>
      <c r="C3035" s="9">
        <f>IF(B3035="","",IFERROR(VLOOKUP(B3035,'Daftar Outlet'!$A$4:$B$22,2,FALSE),""))</f>
        <v/>
      </c>
      <c r="D3035" s="8" t="n"/>
      <c r="E3035" s="6" t="n"/>
      <c r="F3035" s="8" t="n"/>
    </row>
    <row r="3036">
      <c r="A3036" s="7" t="n"/>
      <c r="B3036" s="8" t="n"/>
      <c r="C3036" s="9">
        <f>IF(B3036="","",IFERROR(VLOOKUP(B3036,'Daftar Outlet'!$A$4:$B$22,2,FALSE),""))</f>
        <v/>
      </c>
      <c r="D3036" s="8" t="n"/>
      <c r="E3036" s="6" t="n"/>
      <c r="F3036" s="8" t="n"/>
    </row>
    <row r="3037">
      <c r="A3037" s="7" t="n"/>
      <c r="B3037" s="8" t="n"/>
      <c r="C3037" s="9">
        <f>IF(B3037="","",IFERROR(VLOOKUP(B3037,'Daftar Outlet'!$A$4:$B$22,2,FALSE),""))</f>
        <v/>
      </c>
      <c r="D3037" s="8" t="n"/>
      <c r="E3037" s="6" t="n"/>
      <c r="F3037" s="8" t="n"/>
    </row>
    <row r="3038">
      <c r="A3038" s="7" t="n"/>
      <c r="B3038" s="8" t="n"/>
      <c r="C3038" s="9">
        <f>IF(B3038="","",IFERROR(VLOOKUP(B3038,'Daftar Outlet'!$A$4:$B$22,2,FALSE),""))</f>
        <v/>
      </c>
      <c r="D3038" s="8" t="n"/>
      <c r="E3038" s="6" t="n"/>
      <c r="F3038" s="8" t="n"/>
    </row>
    <row r="3039">
      <c r="A3039" s="7" t="n"/>
      <c r="B3039" s="8" t="n"/>
      <c r="C3039" s="9">
        <f>IF(B3039="","",IFERROR(VLOOKUP(B3039,'Daftar Outlet'!$A$4:$B$22,2,FALSE),""))</f>
        <v/>
      </c>
      <c r="D3039" s="8" t="n"/>
      <c r="E3039" s="6" t="n"/>
      <c r="F3039" s="8" t="n"/>
    </row>
    <row r="3040">
      <c r="A3040" s="7" t="n"/>
      <c r="B3040" s="8" t="n"/>
      <c r="C3040" s="9">
        <f>IF(B3040="","",IFERROR(VLOOKUP(B3040,'Daftar Outlet'!$A$4:$B$22,2,FALSE),""))</f>
        <v/>
      </c>
      <c r="D3040" s="8" t="n"/>
      <c r="E3040" s="6" t="n"/>
      <c r="F3040" s="8" t="n"/>
    </row>
    <row r="3041">
      <c r="A3041" s="7" t="n"/>
      <c r="B3041" s="8" t="n"/>
      <c r="C3041" s="9">
        <f>IF(B3041="","",IFERROR(VLOOKUP(B3041,'Daftar Outlet'!$A$4:$B$22,2,FALSE),""))</f>
        <v/>
      </c>
      <c r="D3041" s="8" t="n"/>
      <c r="E3041" s="6" t="n"/>
      <c r="F3041" s="8" t="n"/>
    </row>
    <row r="3042">
      <c r="A3042" s="7" t="n"/>
      <c r="B3042" s="8" t="n"/>
      <c r="C3042" s="9">
        <f>IF(B3042="","",IFERROR(VLOOKUP(B3042,'Daftar Outlet'!$A$4:$B$22,2,FALSE),""))</f>
        <v/>
      </c>
      <c r="D3042" s="8" t="n"/>
      <c r="E3042" s="6" t="n"/>
      <c r="F3042" s="8" t="n"/>
    </row>
    <row r="3043">
      <c r="A3043" s="7" t="n"/>
      <c r="B3043" s="8" t="n"/>
      <c r="C3043" s="9">
        <f>IF(B3043="","",IFERROR(VLOOKUP(B3043,'Daftar Outlet'!$A$4:$B$22,2,FALSE),""))</f>
        <v/>
      </c>
      <c r="D3043" s="8" t="n"/>
      <c r="E3043" s="6" t="n"/>
      <c r="F3043" s="8" t="n"/>
    </row>
    <row r="3044">
      <c r="A3044" s="7" t="n"/>
      <c r="B3044" s="8" t="n"/>
      <c r="C3044" s="9">
        <f>IF(B3044="","",IFERROR(VLOOKUP(B3044,'Daftar Outlet'!$A$4:$B$22,2,FALSE),""))</f>
        <v/>
      </c>
      <c r="D3044" s="8" t="n"/>
      <c r="E3044" s="6" t="n"/>
      <c r="F3044" s="8" t="n"/>
    </row>
    <row r="3045">
      <c r="A3045" s="7" t="n"/>
      <c r="B3045" s="8" t="n"/>
      <c r="C3045" s="9">
        <f>IF(B3045="","",IFERROR(VLOOKUP(B3045,'Daftar Outlet'!$A$4:$B$22,2,FALSE),""))</f>
        <v/>
      </c>
      <c r="D3045" s="8" t="n"/>
      <c r="E3045" s="6" t="n"/>
      <c r="F3045" s="8" t="n"/>
    </row>
    <row r="3046">
      <c r="A3046" s="7" t="n"/>
      <c r="B3046" s="8" t="n"/>
      <c r="C3046" s="9">
        <f>IF(B3046="","",IFERROR(VLOOKUP(B3046,'Daftar Outlet'!$A$4:$B$22,2,FALSE),""))</f>
        <v/>
      </c>
      <c r="D3046" s="8" t="n"/>
      <c r="E3046" s="6" t="n"/>
      <c r="F3046" s="8" t="n"/>
    </row>
    <row r="3047">
      <c r="A3047" s="7" t="n"/>
      <c r="B3047" s="8" t="n"/>
      <c r="C3047" s="9">
        <f>IF(B3047="","",IFERROR(VLOOKUP(B3047,'Daftar Outlet'!$A$4:$B$22,2,FALSE),""))</f>
        <v/>
      </c>
      <c r="D3047" s="8" t="n"/>
      <c r="E3047" s="6" t="n"/>
      <c r="F3047" s="8" t="n"/>
    </row>
    <row r="3048">
      <c r="A3048" s="7" t="n"/>
      <c r="B3048" s="8" t="n"/>
      <c r="C3048" s="9">
        <f>IF(B3048="","",IFERROR(VLOOKUP(B3048,'Daftar Outlet'!$A$4:$B$22,2,FALSE),""))</f>
        <v/>
      </c>
      <c r="D3048" s="8" t="n"/>
      <c r="E3048" s="6" t="n"/>
      <c r="F3048" s="8" t="n"/>
    </row>
    <row r="3049">
      <c r="A3049" s="7" t="n"/>
      <c r="B3049" s="8" t="n"/>
      <c r="C3049" s="9">
        <f>IF(B3049="","",IFERROR(VLOOKUP(B3049,'Daftar Outlet'!$A$4:$B$22,2,FALSE),""))</f>
        <v/>
      </c>
      <c r="D3049" s="8" t="n"/>
      <c r="E3049" s="6" t="n"/>
      <c r="F3049" s="8" t="n"/>
    </row>
    <row r="3050">
      <c r="A3050" s="7" t="n"/>
      <c r="B3050" s="8" t="n"/>
      <c r="C3050" s="9">
        <f>IF(B3050="","",IFERROR(VLOOKUP(B3050,'Daftar Outlet'!$A$4:$B$22,2,FALSE),""))</f>
        <v/>
      </c>
      <c r="D3050" s="8" t="n"/>
      <c r="E3050" s="6" t="n"/>
      <c r="F3050" s="8" t="n"/>
    </row>
    <row r="3051">
      <c r="A3051" s="7" t="n"/>
      <c r="B3051" s="8" t="n"/>
      <c r="C3051" s="9">
        <f>IF(B3051="","",IFERROR(VLOOKUP(B3051,'Daftar Outlet'!$A$4:$B$22,2,FALSE),""))</f>
        <v/>
      </c>
      <c r="D3051" s="8" t="n"/>
      <c r="E3051" s="6" t="n"/>
      <c r="F3051" s="8" t="n"/>
    </row>
    <row r="3052">
      <c r="A3052" s="7" t="n"/>
      <c r="B3052" s="8" t="n"/>
      <c r="C3052" s="9">
        <f>IF(B3052="","",IFERROR(VLOOKUP(B3052,'Daftar Outlet'!$A$4:$B$22,2,FALSE),""))</f>
        <v/>
      </c>
      <c r="D3052" s="8" t="n"/>
      <c r="E3052" s="6" t="n"/>
      <c r="F3052" s="8" t="n"/>
    </row>
    <row r="3053">
      <c r="A3053" s="7" t="n"/>
      <c r="B3053" s="8" t="n"/>
      <c r="C3053" s="9">
        <f>IF(B3053="","",IFERROR(VLOOKUP(B3053,'Daftar Outlet'!$A$4:$B$22,2,FALSE),""))</f>
        <v/>
      </c>
      <c r="D3053" s="8" t="n"/>
      <c r="E3053" s="6" t="n"/>
      <c r="F3053" s="8" t="n"/>
    </row>
    <row r="3054">
      <c r="A3054" s="7" t="n"/>
      <c r="B3054" s="8" t="n"/>
      <c r="C3054" s="9">
        <f>IF(B3054="","",IFERROR(VLOOKUP(B3054,'Daftar Outlet'!$A$4:$B$22,2,FALSE),""))</f>
        <v/>
      </c>
      <c r="D3054" s="8" t="n"/>
      <c r="E3054" s="6" t="n"/>
      <c r="F3054" s="8" t="n"/>
    </row>
    <row r="3055">
      <c r="A3055" s="7" t="n"/>
      <c r="B3055" s="8" t="n"/>
      <c r="C3055" s="9">
        <f>IF(B3055="","",IFERROR(VLOOKUP(B3055,'Daftar Outlet'!$A$4:$B$22,2,FALSE),""))</f>
        <v/>
      </c>
      <c r="D3055" s="8" t="n"/>
      <c r="E3055" s="6" t="n"/>
      <c r="F3055" s="8" t="n"/>
    </row>
    <row r="3056">
      <c r="A3056" s="7" t="n"/>
      <c r="B3056" s="8" t="n"/>
      <c r="C3056" s="9">
        <f>IF(B3056="","",IFERROR(VLOOKUP(B3056,'Daftar Outlet'!$A$4:$B$22,2,FALSE),""))</f>
        <v/>
      </c>
      <c r="D3056" s="8" t="n"/>
      <c r="E3056" s="6" t="n"/>
      <c r="F3056" s="8" t="n"/>
    </row>
    <row r="3057">
      <c r="A3057" s="7" t="n"/>
      <c r="B3057" s="8" t="n"/>
      <c r="C3057" s="9">
        <f>IF(B3057="","",IFERROR(VLOOKUP(B3057,'Daftar Outlet'!$A$4:$B$22,2,FALSE),""))</f>
        <v/>
      </c>
      <c r="D3057" s="8" t="n"/>
      <c r="E3057" s="6" t="n"/>
      <c r="F3057" s="8" t="n"/>
    </row>
    <row r="3058">
      <c r="A3058" s="7" t="n"/>
      <c r="B3058" s="8" t="n"/>
      <c r="C3058" s="9">
        <f>IF(B3058="","",IFERROR(VLOOKUP(B3058,'Daftar Outlet'!$A$4:$B$22,2,FALSE),""))</f>
        <v/>
      </c>
      <c r="D3058" s="8" t="n"/>
      <c r="E3058" s="6" t="n"/>
      <c r="F3058" s="8" t="n"/>
    </row>
    <row r="3059">
      <c r="A3059" s="7" t="n"/>
      <c r="B3059" s="8" t="n"/>
      <c r="C3059" s="9">
        <f>IF(B3059="","",IFERROR(VLOOKUP(B3059,'Daftar Outlet'!$A$4:$B$22,2,FALSE),""))</f>
        <v/>
      </c>
      <c r="D3059" s="8" t="n"/>
      <c r="E3059" s="6" t="n"/>
      <c r="F3059" s="8" t="n"/>
    </row>
    <row r="3060">
      <c r="A3060" s="7" t="n"/>
      <c r="B3060" s="8" t="n"/>
      <c r="C3060" s="9">
        <f>IF(B3060="","",IFERROR(VLOOKUP(B3060,'Daftar Outlet'!$A$4:$B$22,2,FALSE),""))</f>
        <v/>
      </c>
      <c r="D3060" s="8" t="n"/>
      <c r="E3060" s="6" t="n"/>
      <c r="F3060" s="8" t="n"/>
    </row>
    <row r="3061">
      <c r="A3061" s="7" t="n"/>
      <c r="B3061" s="8" t="n"/>
      <c r="C3061" s="9">
        <f>IF(B3061="","",IFERROR(VLOOKUP(B3061,'Daftar Outlet'!$A$4:$B$22,2,FALSE),""))</f>
        <v/>
      </c>
      <c r="D3061" s="8" t="n"/>
      <c r="E3061" s="6" t="n"/>
      <c r="F3061" s="8" t="n"/>
    </row>
    <row r="3062">
      <c r="A3062" s="7" t="n"/>
      <c r="B3062" s="8" t="n"/>
      <c r="C3062" s="9">
        <f>IF(B3062="","",IFERROR(VLOOKUP(B3062,'Daftar Outlet'!$A$4:$B$22,2,FALSE),""))</f>
        <v/>
      </c>
      <c r="D3062" s="8" t="n"/>
      <c r="E3062" s="6" t="n"/>
      <c r="F3062" s="8" t="n"/>
    </row>
    <row r="3063">
      <c r="A3063" s="7" t="n"/>
      <c r="B3063" s="8" t="n"/>
      <c r="C3063" s="9">
        <f>IF(B3063="","",IFERROR(VLOOKUP(B3063,'Daftar Outlet'!$A$4:$B$22,2,FALSE),""))</f>
        <v/>
      </c>
      <c r="D3063" s="8" t="n"/>
      <c r="E3063" s="6" t="n"/>
      <c r="F3063" s="8" t="n"/>
    </row>
    <row r="3064">
      <c r="A3064" s="7" t="n"/>
      <c r="B3064" s="8" t="n"/>
      <c r="C3064" s="9">
        <f>IF(B3064="","",IFERROR(VLOOKUP(B3064,'Daftar Outlet'!$A$4:$B$22,2,FALSE),""))</f>
        <v/>
      </c>
      <c r="D3064" s="8" t="n"/>
      <c r="E3064" s="6" t="n"/>
      <c r="F3064" s="8" t="n"/>
    </row>
    <row r="3065">
      <c r="A3065" s="7" t="n"/>
      <c r="B3065" s="8" t="n"/>
      <c r="C3065" s="9">
        <f>IF(B3065="","",IFERROR(VLOOKUP(B3065,'Daftar Outlet'!$A$4:$B$22,2,FALSE),""))</f>
        <v/>
      </c>
      <c r="D3065" s="8" t="n"/>
      <c r="E3065" s="6" t="n"/>
      <c r="F3065" s="8" t="n"/>
    </row>
    <row r="3066">
      <c r="A3066" s="7" t="n"/>
      <c r="B3066" s="8" t="n"/>
      <c r="C3066" s="9">
        <f>IF(B3066="","",IFERROR(VLOOKUP(B3066,'Daftar Outlet'!$A$4:$B$22,2,FALSE),""))</f>
        <v/>
      </c>
      <c r="D3066" s="8" t="n"/>
      <c r="E3066" s="6" t="n"/>
      <c r="F3066" s="8" t="n"/>
    </row>
    <row r="3067">
      <c r="A3067" s="7" t="n"/>
      <c r="B3067" s="8" t="n"/>
      <c r="C3067" s="9">
        <f>IF(B3067="","",IFERROR(VLOOKUP(B3067,'Daftar Outlet'!$A$4:$B$22,2,FALSE),""))</f>
        <v/>
      </c>
      <c r="D3067" s="8" t="n"/>
      <c r="E3067" s="6" t="n"/>
      <c r="F3067" s="8" t="n"/>
    </row>
    <row r="3068">
      <c r="A3068" s="7" t="n"/>
      <c r="B3068" s="8" t="n"/>
      <c r="C3068" s="9">
        <f>IF(B3068="","",IFERROR(VLOOKUP(B3068,'Daftar Outlet'!$A$4:$B$22,2,FALSE),""))</f>
        <v/>
      </c>
      <c r="D3068" s="8" t="n"/>
      <c r="E3068" s="6" t="n"/>
      <c r="F3068" s="8" t="n"/>
    </row>
    <row r="3069">
      <c r="A3069" s="7" t="n"/>
      <c r="B3069" s="8" t="n"/>
      <c r="C3069" s="9">
        <f>IF(B3069="","",IFERROR(VLOOKUP(B3069,'Daftar Outlet'!$A$4:$B$22,2,FALSE),""))</f>
        <v/>
      </c>
      <c r="D3069" s="8" t="n"/>
      <c r="E3069" s="6" t="n"/>
      <c r="F3069" s="8" t="n"/>
    </row>
    <row r="3070">
      <c r="A3070" s="7" t="n"/>
      <c r="B3070" s="8" t="n"/>
      <c r="C3070" s="9">
        <f>IF(B3070="","",IFERROR(VLOOKUP(B3070,'Daftar Outlet'!$A$4:$B$22,2,FALSE),""))</f>
        <v/>
      </c>
      <c r="D3070" s="8" t="n"/>
      <c r="E3070" s="6" t="n"/>
      <c r="F3070" s="8" t="n"/>
    </row>
    <row r="3071">
      <c r="A3071" s="7" t="n"/>
      <c r="B3071" s="8" t="n"/>
      <c r="C3071" s="9">
        <f>IF(B3071="","",IFERROR(VLOOKUP(B3071,'Daftar Outlet'!$A$4:$B$22,2,FALSE),""))</f>
        <v/>
      </c>
      <c r="D3071" s="8" t="n"/>
      <c r="E3071" s="6" t="n"/>
      <c r="F3071" s="8" t="n"/>
    </row>
    <row r="3072">
      <c r="A3072" s="7" t="n"/>
      <c r="B3072" s="8" t="n"/>
      <c r="C3072" s="9">
        <f>IF(B3072="","",IFERROR(VLOOKUP(B3072,'Daftar Outlet'!$A$4:$B$22,2,FALSE),""))</f>
        <v/>
      </c>
      <c r="D3072" s="8" t="n"/>
      <c r="E3072" s="6" t="n"/>
      <c r="F3072" s="8" t="n"/>
    </row>
    <row r="3073">
      <c r="A3073" s="7" t="n"/>
      <c r="B3073" s="8" t="n"/>
      <c r="C3073" s="9">
        <f>IF(B3073="","",IFERROR(VLOOKUP(B3073,'Daftar Outlet'!$A$4:$B$22,2,FALSE),""))</f>
        <v/>
      </c>
      <c r="D3073" s="8" t="n"/>
      <c r="E3073" s="6" t="n"/>
      <c r="F3073" s="8" t="n"/>
    </row>
    <row r="3074">
      <c r="A3074" s="7" t="n"/>
      <c r="B3074" s="8" t="n"/>
      <c r="C3074" s="9">
        <f>IF(B3074="","",IFERROR(VLOOKUP(B3074,'Daftar Outlet'!$A$4:$B$22,2,FALSE),""))</f>
        <v/>
      </c>
      <c r="D3074" s="8" t="n"/>
      <c r="E3074" s="6" t="n"/>
      <c r="F3074" s="8" t="n"/>
    </row>
    <row r="3075">
      <c r="A3075" s="7" t="n"/>
      <c r="B3075" s="8" t="n"/>
      <c r="C3075" s="9">
        <f>IF(B3075="","",IFERROR(VLOOKUP(B3075,'Daftar Outlet'!$A$4:$B$22,2,FALSE),""))</f>
        <v/>
      </c>
      <c r="D3075" s="8" t="n"/>
      <c r="E3075" s="6" t="n"/>
      <c r="F3075" s="8" t="n"/>
    </row>
    <row r="3076">
      <c r="A3076" s="7" t="n"/>
      <c r="B3076" s="8" t="n"/>
      <c r="C3076" s="9">
        <f>IF(B3076="","",IFERROR(VLOOKUP(B3076,'Daftar Outlet'!$A$4:$B$22,2,FALSE),""))</f>
        <v/>
      </c>
      <c r="D3076" s="8" t="n"/>
      <c r="E3076" s="6" t="n"/>
      <c r="F3076" s="8" t="n"/>
    </row>
    <row r="3077">
      <c r="A3077" s="7" t="n"/>
      <c r="B3077" s="8" t="n"/>
      <c r="C3077" s="9">
        <f>IF(B3077="","",IFERROR(VLOOKUP(B3077,'Daftar Outlet'!$A$4:$B$22,2,FALSE),""))</f>
        <v/>
      </c>
      <c r="D3077" s="8" t="n"/>
      <c r="E3077" s="6" t="n"/>
      <c r="F3077" s="8" t="n"/>
    </row>
    <row r="3078">
      <c r="A3078" s="7" t="n"/>
      <c r="B3078" s="8" t="n"/>
      <c r="C3078" s="9">
        <f>IF(B3078="","",IFERROR(VLOOKUP(B3078,'Daftar Outlet'!$A$4:$B$22,2,FALSE),""))</f>
        <v/>
      </c>
      <c r="D3078" s="8" t="n"/>
      <c r="E3078" s="6" t="n"/>
      <c r="F3078" s="8" t="n"/>
    </row>
    <row r="3079">
      <c r="A3079" s="7" t="n"/>
      <c r="B3079" s="8" t="n"/>
      <c r="C3079" s="9">
        <f>IF(B3079="","",IFERROR(VLOOKUP(B3079,'Daftar Outlet'!$A$4:$B$22,2,FALSE),""))</f>
        <v/>
      </c>
      <c r="D3079" s="8" t="n"/>
      <c r="E3079" s="6" t="n"/>
      <c r="F3079" s="8" t="n"/>
    </row>
    <row r="3080">
      <c r="A3080" s="7" t="n"/>
      <c r="B3080" s="8" t="n"/>
      <c r="C3080" s="9">
        <f>IF(B3080="","",IFERROR(VLOOKUP(B3080,'Daftar Outlet'!$A$4:$B$22,2,FALSE),""))</f>
        <v/>
      </c>
      <c r="D3080" s="8" t="n"/>
      <c r="E3080" s="6" t="n"/>
      <c r="F3080" s="8" t="n"/>
    </row>
    <row r="3081">
      <c r="A3081" s="7" t="n"/>
      <c r="B3081" s="8" t="n"/>
      <c r="C3081" s="9">
        <f>IF(B3081="","",IFERROR(VLOOKUP(B3081,'Daftar Outlet'!$A$4:$B$22,2,FALSE),""))</f>
        <v/>
      </c>
      <c r="D3081" s="8" t="n"/>
      <c r="E3081" s="6" t="n"/>
      <c r="F3081" s="8" t="n"/>
    </row>
    <row r="3082">
      <c r="A3082" s="7" t="n"/>
      <c r="B3082" s="8" t="n"/>
      <c r="C3082" s="9">
        <f>IF(B3082="","",IFERROR(VLOOKUP(B3082,'Daftar Outlet'!$A$4:$B$22,2,FALSE),""))</f>
        <v/>
      </c>
      <c r="D3082" s="8" t="n"/>
      <c r="E3082" s="6" t="n"/>
      <c r="F3082" s="8" t="n"/>
    </row>
    <row r="3083">
      <c r="A3083" s="7" t="n"/>
      <c r="B3083" s="8" t="n"/>
      <c r="C3083" s="9">
        <f>IF(B3083="","",IFERROR(VLOOKUP(B3083,'Daftar Outlet'!$A$4:$B$22,2,FALSE),""))</f>
        <v/>
      </c>
      <c r="D3083" s="8" t="n"/>
      <c r="E3083" s="6" t="n"/>
      <c r="F3083" s="8" t="n"/>
    </row>
    <row r="3084">
      <c r="A3084" s="7" t="n"/>
      <c r="B3084" s="8" t="n"/>
      <c r="C3084" s="9">
        <f>IF(B3084="","",IFERROR(VLOOKUP(B3084,'Daftar Outlet'!$A$4:$B$22,2,FALSE),""))</f>
        <v/>
      </c>
      <c r="D3084" s="8" t="n"/>
      <c r="E3084" s="6" t="n"/>
      <c r="F3084" s="8" t="n"/>
    </row>
    <row r="3085">
      <c r="A3085" s="7" t="n"/>
      <c r="B3085" s="8" t="n"/>
      <c r="C3085" s="9">
        <f>IF(B3085="","",IFERROR(VLOOKUP(B3085,'Daftar Outlet'!$A$4:$B$22,2,FALSE),""))</f>
        <v/>
      </c>
      <c r="D3085" s="8" t="n"/>
      <c r="E3085" s="6" t="n"/>
      <c r="F3085" s="8" t="n"/>
    </row>
    <row r="3086">
      <c r="A3086" s="7" t="n"/>
      <c r="B3086" s="8" t="n"/>
      <c r="C3086" s="9">
        <f>IF(B3086="","",IFERROR(VLOOKUP(B3086,'Daftar Outlet'!$A$4:$B$22,2,FALSE),""))</f>
        <v/>
      </c>
      <c r="D3086" s="8" t="n"/>
      <c r="E3086" s="6" t="n"/>
      <c r="F3086" s="8" t="n"/>
    </row>
    <row r="3087">
      <c r="A3087" s="7" t="n"/>
      <c r="B3087" s="8" t="n"/>
      <c r="C3087" s="9">
        <f>IF(B3087="","",IFERROR(VLOOKUP(B3087,'Daftar Outlet'!$A$4:$B$22,2,FALSE),""))</f>
        <v/>
      </c>
      <c r="D3087" s="8" t="n"/>
      <c r="E3087" s="6" t="n"/>
      <c r="F3087" s="8" t="n"/>
    </row>
    <row r="3088">
      <c r="A3088" s="7" t="n"/>
      <c r="B3088" s="8" t="n"/>
      <c r="C3088" s="9">
        <f>IF(B3088="","",IFERROR(VLOOKUP(B3088,'Daftar Outlet'!$A$4:$B$22,2,FALSE),""))</f>
        <v/>
      </c>
      <c r="D3088" s="8" t="n"/>
      <c r="E3088" s="6" t="n"/>
      <c r="F3088" s="8" t="n"/>
    </row>
    <row r="3089">
      <c r="A3089" s="7" t="n"/>
      <c r="B3089" s="8" t="n"/>
      <c r="C3089" s="9">
        <f>IF(B3089="","",IFERROR(VLOOKUP(B3089,'Daftar Outlet'!$A$4:$B$22,2,FALSE),""))</f>
        <v/>
      </c>
      <c r="D3089" s="8" t="n"/>
      <c r="E3089" s="6" t="n"/>
      <c r="F3089" s="8" t="n"/>
    </row>
    <row r="3090">
      <c r="A3090" s="7" t="n"/>
      <c r="B3090" s="8" t="n"/>
      <c r="C3090" s="9">
        <f>IF(B3090="","",IFERROR(VLOOKUP(B3090,'Daftar Outlet'!$A$4:$B$22,2,FALSE),""))</f>
        <v/>
      </c>
      <c r="D3090" s="8" t="n"/>
      <c r="E3090" s="6" t="n"/>
      <c r="F3090" s="8" t="n"/>
    </row>
    <row r="3091">
      <c r="A3091" s="7" t="n"/>
      <c r="B3091" s="8" t="n"/>
      <c r="C3091" s="9">
        <f>IF(B3091="","",IFERROR(VLOOKUP(B3091,'Daftar Outlet'!$A$4:$B$22,2,FALSE),""))</f>
        <v/>
      </c>
      <c r="D3091" s="8" t="n"/>
      <c r="E3091" s="6" t="n"/>
      <c r="F3091" s="8" t="n"/>
    </row>
    <row r="3092">
      <c r="A3092" s="7" t="n"/>
      <c r="B3092" s="8" t="n"/>
      <c r="C3092" s="9">
        <f>IF(B3092="","",IFERROR(VLOOKUP(B3092,'Daftar Outlet'!$A$4:$B$22,2,FALSE),""))</f>
        <v/>
      </c>
      <c r="D3092" s="8" t="n"/>
      <c r="E3092" s="6" t="n"/>
      <c r="F3092" s="8" t="n"/>
    </row>
    <row r="3093">
      <c r="A3093" s="7" t="n"/>
      <c r="B3093" s="8" t="n"/>
      <c r="C3093" s="9">
        <f>IF(B3093="","",IFERROR(VLOOKUP(B3093,'Daftar Outlet'!$A$4:$B$22,2,FALSE),""))</f>
        <v/>
      </c>
      <c r="D3093" s="8" t="n"/>
      <c r="E3093" s="6" t="n"/>
      <c r="F3093" s="8" t="n"/>
    </row>
    <row r="3094">
      <c r="A3094" s="7" t="n"/>
      <c r="B3094" s="8" t="n"/>
      <c r="C3094" s="9">
        <f>IF(B3094="","",IFERROR(VLOOKUP(B3094,'Daftar Outlet'!$A$4:$B$22,2,FALSE),""))</f>
        <v/>
      </c>
      <c r="D3094" s="8" t="n"/>
      <c r="E3094" s="6" t="n"/>
      <c r="F3094" s="8" t="n"/>
    </row>
    <row r="3095">
      <c r="A3095" s="7" t="n"/>
      <c r="B3095" s="8" t="n"/>
      <c r="C3095" s="9">
        <f>IF(B3095="","",IFERROR(VLOOKUP(B3095,'Daftar Outlet'!$A$4:$B$22,2,FALSE),""))</f>
        <v/>
      </c>
      <c r="D3095" s="8" t="n"/>
      <c r="E3095" s="6" t="n"/>
      <c r="F3095" s="8" t="n"/>
    </row>
    <row r="3096">
      <c r="A3096" s="7" t="n"/>
      <c r="B3096" s="8" t="n"/>
      <c r="C3096" s="9">
        <f>IF(B3096="","",IFERROR(VLOOKUP(B3096,'Daftar Outlet'!$A$4:$B$22,2,FALSE),""))</f>
        <v/>
      </c>
      <c r="D3096" s="8" t="n"/>
      <c r="E3096" s="6" t="n"/>
      <c r="F3096" s="8" t="n"/>
    </row>
    <row r="3097">
      <c r="A3097" s="7" t="n"/>
      <c r="B3097" s="8" t="n"/>
      <c r="C3097" s="9">
        <f>IF(B3097="","",IFERROR(VLOOKUP(B3097,'Daftar Outlet'!$A$4:$B$22,2,FALSE),""))</f>
        <v/>
      </c>
      <c r="D3097" s="8" t="n"/>
      <c r="E3097" s="6" t="n"/>
      <c r="F3097" s="8" t="n"/>
    </row>
    <row r="3098">
      <c r="A3098" s="7" t="n"/>
      <c r="B3098" s="8" t="n"/>
      <c r="C3098" s="9">
        <f>IF(B3098="","",IFERROR(VLOOKUP(B3098,'Daftar Outlet'!$A$4:$B$22,2,FALSE),""))</f>
        <v/>
      </c>
      <c r="D3098" s="8" t="n"/>
      <c r="E3098" s="6" t="n"/>
      <c r="F3098" s="8" t="n"/>
    </row>
    <row r="3099">
      <c r="A3099" s="7" t="n"/>
      <c r="B3099" s="8" t="n"/>
      <c r="C3099" s="9">
        <f>IF(B3099="","",IFERROR(VLOOKUP(B3099,'Daftar Outlet'!$A$4:$B$22,2,FALSE),""))</f>
        <v/>
      </c>
      <c r="D3099" s="8" t="n"/>
      <c r="E3099" s="6" t="n"/>
      <c r="F3099" s="8" t="n"/>
    </row>
    <row r="3100">
      <c r="A3100" s="7" t="n"/>
      <c r="B3100" s="8" t="n"/>
      <c r="C3100" s="9">
        <f>IF(B3100="","",IFERROR(VLOOKUP(B3100,'Daftar Outlet'!$A$4:$B$22,2,FALSE),""))</f>
        <v/>
      </c>
      <c r="D3100" s="8" t="n"/>
      <c r="E3100" s="6" t="n"/>
      <c r="F3100" s="8" t="n"/>
    </row>
    <row r="3101">
      <c r="A3101" s="7" t="n"/>
      <c r="B3101" s="8" t="n"/>
      <c r="C3101" s="9">
        <f>IF(B3101="","",IFERROR(VLOOKUP(B3101,'Daftar Outlet'!$A$4:$B$22,2,FALSE),""))</f>
        <v/>
      </c>
      <c r="D3101" s="8" t="n"/>
      <c r="E3101" s="6" t="n"/>
      <c r="F3101" s="8" t="n"/>
    </row>
    <row r="3102">
      <c r="A3102" s="7" t="n"/>
      <c r="B3102" s="8" t="n"/>
      <c r="C3102" s="9">
        <f>IF(B3102="","",IFERROR(VLOOKUP(B3102,'Daftar Outlet'!$A$4:$B$22,2,FALSE),""))</f>
        <v/>
      </c>
      <c r="D3102" s="8" t="n"/>
      <c r="E3102" s="6" t="n"/>
      <c r="F3102" s="8" t="n"/>
    </row>
    <row r="3103">
      <c r="A3103" s="7" t="n"/>
      <c r="B3103" s="8" t="n"/>
      <c r="C3103" s="9">
        <f>IF(B3103="","",IFERROR(VLOOKUP(B3103,'Daftar Outlet'!$A$4:$B$22,2,FALSE),""))</f>
        <v/>
      </c>
      <c r="D3103" s="8" t="n"/>
      <c r="E3103" s="6" t="n"/>
      <c r="F3103" s="8" t="n"/>
    </row>
    <row r="3104">
      <c r="A3104" s="7" t="n"/>
      <c r="B3104" s="8" t="n"/>
      <c r="C3104" s="9">
        <f>IF(B3104="","",IFERROR(VLOOKUP(B3104,'Daftar Outlet'!$A$4:$B$22,2,FALSE),""))</f>
        <v/>
      </c>
      <c r="D3104" s="8" t="n"/>
      <c r="E3104" s="6" t="n"/>
      <c r="F3104" s="8" t="n"/>
    </row>
    <row r="3105">
      <c r="A3105" s="7" t="n"/>
      <c r="B3105" s="8" t="n"/>
      <c r="C3105" s="9">
        <f>IF(B3105="","",IFERROR(VLOOKUP(B3105,'Daftar Outlet'!$A$4:$B$22,2,FALSE),""))</f>
        <v/>
      </c>
      <c r="D3105" s="8" t="n"/>
      <c r="E3105" s="6" t="n"/>
      <c r="F3105" s="8" t="n"/>
    </row>
    <row r="3106">
      <c r="A3106" s="7" t="n"/>
      <c r="B3106" s="8" t="n"/>
      <c r="C3106" s="9">
        <f>IF(B3106="","",IFERROR(VLOOKUP(B3106,'Daftar Outlet'!$A$4:$B$22,2,FALSE),""))</f>
        <v/>
      </c>
      <c r="D3106" s="8" t="n"/>
      <c r="E3106" s="6" t="n"/>
      <c r="F3106" s="8" t="n"/>
    </row>
    <row r="3107">
      <c r="A3107" s="7" t="n"/>
      <c r="B3107" s="8" t="n"/>
      <c r="C3107" s="9">
        <f>IF(B3107="","",IFERROR(VLOOKUP(B3107,'Daftar Outlet'!$A$4:$B$22,2,FALSE),""))</f>
        <v/>
      </c>
      <c r="D3107" s="8" t="n"/>
      <c r="E3107" s="6" t="n"/>
      <c r="F3107" s="8" t="n"/>
    </row>
    <row r="3108">
      <c r="A3108" s="7" t="n"/>
      <c r="B3108" s="8" t="n"/>
      <c r="C3108" s="9">
        <f>IF(B3108="","",IFERROR(VLOOKUP(B3108,'Daftar Outlet'!$A$4:$B$22,2,FALSE),""))</f>
        <v/>
      </c>
      <c r="D3108" s="8" t="n"/>
      <c r="E3108" s="6" t="n"/>
      <c r="F3108" s="8" t="n"/>
    </row>
    <row r="3109">
      <c r="A3109" s="7" t="n"/>
      <c r="B3109" s="8" t="n"/>
      <c r="C3109" s="9">
        <f>IF(B3109="","",IFERROR(VLOOKUP(B3109,'Daftar Outlet'!$A$4:$B$22,2,FALSE),""))</f>
        <v/>
      </c>
      <c r="D3109" s="8" t="n"/>
      <c r="E3109" s="6" t="n"/>
      <c r="F3109" s="8" t="n"/>
    </row>
    <row r="3110">
      <c r="A3110" s="7" t="n"/>
      <c r="B3110" s="8" t="n"/>
      <c r="C3110" s="9">
        <f>IF(B3110="","",IFERROR(VLOOKUP(B3110,'Daftar Outlet'!$A$4:$B$22,2,FALSE),""))</f>
        <v/>
      </c>
      <c r="D3110" s="8" t="n"/>
      <c r="E3110" s="6" t="n"/>
      <c r="F3110" s="8" t="n"/>
    </row>
    <row r="3111">
      <c r="A3111" s="7" t="n"/>
      <c r="B3111" s="8" t="n"/>
      <c r="C3111" s="9">
        <f>IF(B3111="","",IFERROR(VLOOKUP(B3111,'Daftar Outlet'!$A$4:$B$22,2,FALSE),""))</f>
        <v/>
      </c>
      <c r="D3111" s="8" t="n"/>
      <c r="E3111" s="6" t="n"/>
      <c r="F3111" s="8" t="n"/>
    </row>
    <row r="3112">
      <c r="A3112" s="7" t="n"/>
      <c r="B3112" s="8" t="n"/>
      <c r="C3112" s="9">
        <f>IF(B3112="","",IFERROR(VLOOKUP(B3112,'Daftar Outlet'!$A$4:$B$22,2,FALSE),""))</f>
        <v/>
      </c>
      <c r="D3112" s="8" t="n"/>
      <c r="E3112" s="6" t="n"/>
      <c r="F3112" s="8" t="n"/>
    </row>
    <row r="3113">
      <c r="A3113" s="7" t="n"/>
      <c r="B3113" s="8" t="n"/>
      <c r="C3113" s="9">
        <f>IF(B3113="","",IFERROR(VLOOKUP(B3113,'Daftar Outlet'!$A$4:$B$22,2,FALSE),""))</f>
        <v/>
      </c>
      <c r="D3113" s="8" t="n"/>
      <c r="E3113" s="6" t="n"/>
      <c r="F3113" s="8" t="n"/>
    </row>
    <row r="3114">
      <c r="A3114" s="7" t="n"/>
      <c r="B3114" s="8" t="n"/>
      <c r="C3114" s="9">
        <f>IF(B3114="","",IFERROR(VLOOKUP(B3114,'Daftar Outlet'!$A$4:$B$22,2,FALSE),""))</f>
        <v/>
      </c>
      <c r="D3114" s="8" t="n"/>
      <c r="E3114" s="6" t="n"/>
      <c r="F3114" s="8" t="n"/>
    </row>
    <row r="3115">
      <c r="A3115" s="7" t="n"/>
      <c r="B3115" s="8" t="n"/>
      <c r="C3115" s="9">
        <f>IF(B3115="","",IFERROR(VLOOKUP(B3115,'Daftar Outlet'!$A$4:$B$22,2,FALSE),""))</f>
        <v/>
      </c>
      <c r="D3115" s="8" t="n"/>
      <c r="E3115" s="6" t="n"/>
      <c r="F3115" s="8" t="n"/>
    </row>
    <row r="3116">
      <c r="A3116" s="7" t="n"/>
      <c r="B3116" s="8" t="n"/>
      <c r="C3116" s="9">
        <f>IF(B3116="","",IFERROR(VLOOKUP(B3116,'Daftar Outlet'!$A$4:$B$22,2,FALSE),""))</f>
        <v/>
      </c>
      <c r="D3116" s="8" t="n"/>
      <c r="E3116" s="6" t="n"/>
      <c r="F3116" s="8" t="n"/>
    </row>
    <row r="3117">
      <c r="A3117" s="7" t="n"/>
      <c r="B3117" s="8" t="n"/>
      <c r="C3117" s="9">
        <f>IF(B3117="","",IFERROR(VLOOKUP(B3117,'Daftar Outlet'!$A$4:$B$22,2,FALSE),""))</f>
        <v/>
      </c>
      <c r="D3117" s="8" t="n"/>
      <c r="E3117" s="6" t="n"/>
      <c r="F3117" s="8" t="n"/>
    </row>
    <row r="3118">
      <c r="A3118" s="7" t="n"/>
      <c r="B3118" s="8" t="n"/>
      <c r="C3118" s="9">
        <f>IF(B3118="","",IFERROR(VLOOKUP(B3118,'Daftar Outlet'!$A$4:$B$22,2,FALSE),""))</f>
        <v/>
      </c>
      <c r="D3118" s="8" t="n"/>
      <c r="E3118" s="6" t="n"/>
      <c r="F3118" s="8" t="n"/>
    </row>
    <row r="3119">
      <c r="A3119" s="7" t="n"/>
      <c r="B3119" s="8" t="n"/>
      <c r="C3119" s="9">
        <f>IF(B3119="","",IFERROR(VLOOKUP(B3119,'Daftar Outlet'!$A$4:$B$22,2,FALSE),""))</f>
        <v/>
      </c>
      <c r="D3119" s="8" t="n"/>
      <c r="E3119" s="6" t="n"/>
      <c r="F3119" s="8" t="n"/>
    </row>
    <row r="3120">
      <c r="A3120" s="7" t="n"/>
      <c r="B3120" s="8" t="n"/>
      <c r="C3120" s="9">
        <f>IF(B3120="","",IFERROR(VLOOKUP(B3120,'Daftar Outlet'!$A$4:$B$22,2,FALSE),""))</f>
        <v/>
      </c>
      <c r="D3120" s="8" t="n"/>
      <c r="E3120" s="6" t="n"/>
      <c r="F3120" s="8" t="n"/>
    </row>
    <row r="3121">
      <c r="A3121" s="7" t="n"/>
      <c r="B3121" s="8" t="n"/>
      <c r="C3121" s="9">
        <f>IF(B3121="","",IFERROR(VLOOKUP(B3121,'Daftar Outlet'!$A$4:$B$22,2,FALSE),""))</f>
        <v/>
      </c>
      <c r="D3121" s="8" t="n"/>
      <c r="E3121" s="6" t="n"/>
      <c r="F3121" s="8" t="n"/>
    </row>
    <row r="3122">
      <c r="A3122" s="7" t="n"/>
      <c r="B3122" s="8" t="n"/>
      <c r="C3122" s="9">
        <f>IF(B3122="","",IFERROR(VLOOKUP(B3122,'Daftar Outlet'!$A$4:$B$22,2,FALSE),""))</f>
        <v/>
      </c>
      <c r="D3122" s="8" t="n"/>
      <c r="E3122" s="6" t="n"/>
      <c r="F3122" s="8" t="n"/>
    </row>
    <row r="3123">
      <c r="A3123" s="7" t="n"/>
      <c r="B3123" s="8" t="n"/>
      <c r="C3123" s="9">
        <f>IF(B3123="","",IFERROR(VLOOKUP(B3123,'Daftar Outlet'!$A$4:$B$22,2,FALSE),""))</f>
        <v/>
      </c>
      <c r="D3123" s="8" t="n"/>
      <c r="E3123" s="6" t="n"/>
      <c r="F3123" s="8" t="n"/>
    </row>
    <row r="3124">
      <c r="A3124" s="7" t="n"/>
      <c r="B3124" s="8" t="n"/>
      <c r="C3124" s="9">
        <f>IF(B3124="","",IFERROR(VLOOKUP(B3124,'Daftar Outlet'!$A$4:$B$22,2,FALSE),""))</f>
        <v/>
      </c>
      <c r="D3124" s="8" t="n"/>
      <c r="E3124" s="6" t="n"/>
      <c r="F3124" s="8" t="n"/>
    </row>
    <row r="3125">
      <c r="A3125" s="7" t="n"/>
      <c r="B3125" s="8" t="n"/>
      <c r="C3125" s="9">
        <f>IF(B3125="","",IFERROR(VLOOKUP(B3125,'Daftar Outlet'!$A$4:$B$22,2,FALSE),""))</f>
        <v/>
      </c>
      <c r="D3125" s="8" t="n"/>
      <c r="E3125" s="6" t="n"/>
      <c r="F3125" s="8" t="n"/>
    </row>
    <row r="3126">
      <c r="A3126" s="7" t="n"/>
      <c r="B3126" s="8" t="n"/>
      <c r="C3126" s="9">
        <f>IF(B3126="","",IFERROR(VLOOKUP(B3126,'Daftar Outlet'!$A$4:$B$22,2,FALSE),""))</f>
        <v/>
      </c>
      <c r="D3126" s="8" t="n"/>
      <c r="E3126" s="6" t="n"/>
      <c r="F3126" s="8" t="n"/>
    </row>
    <row r="3127">
      <c r="A3127" s="7" t="n"/>
      <c r="B3127" s="8" t="n"/>
      <c r="C3127" s="9">
        <f>IF(B3127="","",IFERROR(VLOOKUP(B3127,'Daftar Outlet'!$A$4:$B$22,2,FALSE),""))</f>
        <v/>
      </c>
      <c r="D3127" s="8" t="n"/>
      <c r="E3127" s="6" t="n"/>
      <c r="F3127" s="8" t="n"/>
    </row>
    <row r="3128">
      <c r="A3128" s="7" t="n"/>
      <c r="B3128" s="8" t="n"/>
      <c r="C3128" s="9">
        <f>IF(B3128="","",IFERROR(VLOOKUP(B3128,'Daftar Outlet'!$A$4:$B$22,2,FALSE),""))</f>
        <v/>
      </c>
      <c r="D3128" s="8" t="n"/>
      <c r="E3128" s="6" t="n"/>
      <c r="F3128" s="8" t="n"/>
    </row>
    <row r="3129">
      <c r="A3129" s="7" t="n"/>
      <c r="B3129" s="8" t="n"/>
      <c r="C3129" s="9">
        <f>IF(B3129="","",IFERROR(VLOOKUP(B3129,'Daftar Outlet'!$A$4:$B$22,2,FALSE),""))</f>
        <v/>
      </c>
      <c r="D3129" s="8" t="n"/>
      <c r="E3129" s="6" t="n"/>
      <c r="F3129" s="8" t="n"/>
    </row>
    <row r="3130">
      <c r="A3130" s="7" t="n"/>
      <c r="B3130" s="8" t="n"/>
      <c r="C3130" s="9">
        <f>IF(B3130="","",IFERROR(VLOOKUP(B3130,'Daftar Outlet'!$A$4:$B$22,2,FALSE),""))</f>
        <v/>
      </c>
      <c r="D3130" s="8" t="n"/>
      <c r="E3130" s="6" t="n"/>
      <c r="F3130" s="8" t="n"/>
    </row>
    <row r="3131">
      <c r="A3131" s="7" t="n"/>
      <c r="B3131" s="8" t="n"/>
      <c r="C3131" s="9">
        <f>IF(B3131="","",IFERROR(VLOOKUP(B3131,'Daftar Outlet'!$A$4:$B$22,2,FALSE),""))</f>
        <v/>
      </c>
      <c r="D3131" s="8" t="n"/>
      <c r="E3131" s="6" t="n"/>
      <c r="F3131" s="8" t="n"/>
    </row>
    <row r="3132">
      <c r="A3132" s="7" t="n"/>
      <c r="B3132" s="8" t="n"/>
      <c r="C3132" s="9">
        <f>IF(B3132="","",IFERROR(VLOOKUP(B3132,'Daftar Outlet'!$A$4:$B$22,2,FALSE),""))</f>
        <v/>
      </c>
      <c r="D3132" s="8" t="n"/>
      <c r="E3132" s="6" t="n"/>
      <c r="F3132" s="8" t="n"/>
    </row>
    <row r="3133">
      <c r="A3133" s="7" t="n"/>
      <c r="B3133" s="8" t="n"/>
      <c r="C3133" s="9">
        <f>IF(B3133="","",IFERROR(VLOOKUP(B3133,'Daftar Outlet'!$A$4:$B$22,2,FALSE),""))</f>
        <v/>
      </c>
      <c r="D3133" s="8" t="n"/>
      <c r="E3133" s="6" t="n"/>
      <c r="F3133" s="8" t="n"/>
    </row>
    <row r="3134">
      <c r="A3134" s="7" t="n"/>
      <c r="B3134" s="8" t="n"/>
      <c r="C3134" s="9">
        <f>IF(B3134="","",IFERROR(VLOOKUP(B3134,'Daftar Outlet'!$A$4:$B$22,2,FALSE),""))</f>
        <v/>
      </c>
      <c r="D3134" s="8" t="n"/>
      <c r="E3134" s="6" t="n"/>
      <c r="F3134" s="8" t="n"/>
    </row>
    <row r="3135">
      <c r="A3135" s="7" t="n"/>
      <c r="B3135" s="8" t="n"/>
      <c r="C3135" s="9">
        <f>IF(B3135="","",IFERROR(VLOOKUP(B3135,'Daftar Outlet'!$A$4:$B$22,2,FALSE),""))</f>
        <v/>
      </c>
      <c r="D3135" s="8" t="n"/>
      <c r="E3135" s="6" t="n"/>
      <c r="F3135" s="8" t="n"/>
    </row>
    <row r="3136">
      <c r="A3136" s="7" t="n"/>
      <c r="B3136" s="8" t="n"/>
      <c r="C3136" s="9">
        <f>IF(B3136="","",IFERROR(VLOOKUP(B3136,'Daftar Outlet'!$A$4:$B$22,2,FALSE),""))</f>
        <v/>
      </c>
      <c r="D3136" s="8" t="n"/>
      <c r="E3136" s="6" t="n"/>
      <c r="F3136" s="8" t="n"/>
    </row>
    <row r="3137">
      <c r="A3137" s="7" t="n"/>
      <c r="B3137" s="8" t="n"/>
      <c r="C3137" s="9">
        <f>IF(B3137="","",IFERROR(VLOOKUP(B3137,'Daftar Outlet'!$A$4:$B$22,2,FALSE),""))</f>
        <v/>
      </c>
      <c r="D3137" s="8" t="n"/>
      <c r="E3137" s="6" t="n"/>
      <c r="F3137" s="8" t="n"/>
    </row>
    <row r="3138">
      <c r="A3138" s="7" t="n"/>
      <c r="B3138" s="8" t="n"/>
      <c r="C3138" s="9">
        <f>IF(B3138="","",IFERROR(VLOOKUP(B3138,'Daftar Outlet'!$A$4:$B$22,2,FALSE),""))</f>
        <v/>
      </c>
      <c r="D3138" s="8" t="n"/>
      <c r="E3138" s="6" t="n"/>
      <c r="F3138" s="8" t="n"/>
    </row>
    <row r="3139">
      <c r="A3139" s="7" t="n"/>
      <c r="B3139" s="8" t="n"/>
      <c r="C3139" s="9">
        <f>IF(B3139="","",IFERROR(VLOOKUP(B3139,'Daftar Outlet'!$A$4:$B$22,2,FALSE),""))</f>
        <v/>
      </c>
      <c r="D3139" s="8" t="n"/>
      <c r="E3139" s="6" t="n"/>
      <c r="F3139" s="8" t="n"/>
    </row>
    <row r="3140">
      <c r="A3140" s="7" t="n"/>
      <c r="B3140" s="8" t="n"/>
      <c r="C3140" s="9">
        <f>IF(B3140="","",IFERROR(VLOOKUP(B3140,'Daftar Outlet'!$A$4:$B$22,2,FALSE),""))</f>
        <v/>
      </c>
      <c r="D3140" s="8" t="n"/>
      <c r="E3140" s="6" t="n"/>
      <c r="F3140" s="8" t="n"/>
    </row>
    <row r="3141">
      <c r="A3141" s="7" t="n"/>
      <c r="B3141" s="8" t="n"/>
      <c r="C3141" s="9">
        <f>IF(B3141="","",IFERROR(VLOOKUP(B3141,'Daftar Outlet'!$A$4:$B$22,2,FALSE),""))</f>
        <v/>
      </c>
      <c r="D3141" s="8" t="n"/>
      <c r="E3141" s="6" t="n"/>
      <c r="F3141" s="8" t="n"/>
    </row>
    <row r="3142">
      <c r="A3142" s="7" t="n"/>
      <c r="B3142" s="8" t="n"/>
      <c r="C3142" s="9">
        <f>IF(B3142="","",IFERROR(VLOOKUP(B3142,'Daftar Outlet'!$A$4:$B$22,2,FALSE),""))</f>
        <v/>
      </c>
      <c r="D3142" s="8" t="n"/>
      <c r="E3142" s="6" t="n"/>
      <c r="F3142" s="8" t="n"/>
    </row>
    <row r="3143">
      <c r="A3143" s="7" t="n"/>
      <c r="B3143" s="8" t="n"/>
      <c r="C3143" s="9">
        <f>IF(B3143="","",IFERROR(VLOOKUP(B3143,'Daftar Outlet'!$A$4:$B$22,2,FALSE),""))</f>
        <v/>
      </c>
      <c r="D3143" s="8" t="n"/>
      <c r="E3143" s="6" t="n"/>
      <c r="F3143" s="8" t="n"/>
    </row>
    <row r="3144">
      <c r="A3144" s="7" t="n"/>
      <c r="B3144" s="8" t="n"/>
      <c r="C3144" s="9">
        <f>IF(B3144="","",IFERROR(VLOOKUP(B3144,'Daftar Outlet'!$A$4:$B$22,2,FALSE),""))</f>
        <v/>
      </c>
      <c r="D3144" s="8" t="n"/>
      <c r="E3144" s="6" t="n"/>
      <c r="F3144" s="8" t="n"/>
    </row>
    <row r="3145">
      <c r="A3145" s="7" t="n"/>
      <c r="B3145" s="8" t="n"/>
      <c r="C3145" s="9">
        <f>IF(B3145="","",IFERROR(VLOOKUP(B3145,'Daftar Outlet'!$A$4:$B$22,2,FALSE),""))</f>
        <v/>
      </c>
      <c r="D3145" s="8" t="n"/>
      <c r="E3145" s="6" t="n"/>
      <c r="F3145" s="8" t="n"/>
    </row>
    <row r="3146">
      <c r="A3146" s="7" t="n"/>
      <c r="B3146" s="8" t="n"/>
      <c r="C3146" s="9">
        <f>IF(B3146="","",IFERROR(VLOOKUP(B3146,'Daftar Outlet'!$A$4:$B$22,2,FALSE),""))</f>
        <v/>
      </c>
      <c r="D3146" s="8" t="n"/>
      <c r="E3146" s="6" t="n"/>
      <c r="F3146" s="8" t="n"/>
    </row>
    <row r="3147">
      <c r="A3147" s="7" t="n"/>
      <c r="B3147" s="8" t="n"/>
      <c r="C3147" s="9">
        <f>IF(B3147="","",IFERROR(VLOOKUP(B3147,'Daftar Outlet'!$A$4:$B$22,2,FALSE),""))</f>
        <v/>
      </c>
      <c r="D3147" s="8" t="n"/>
      <c r="E3147" s="6" t="n"/>
      <c r="F3147" s="8" t="n"/>
    </row>
    <row r="3148">
      <c r="A3148" s="7" t="n"/>
      <c r="B3148" s="8" t="n"/>
      <c r="C3148" s="9">
        <f>IF(B3148="","",IFERROR(VLOOKUP(B3148,'Daftar Outlet'!$A$4:$B$22,2,FALSE),""))</f>
        <v/>
      </c>
      <c r="D3148" s="8" t="n"/>
      <c r="E3148" s="6" t="n"/>
      <c r="F3148" s="8" t="n"/>
    </row>
    <row r="3149">
      <c r="A3149" s="7" t="n"/>
      <c r="B3149" s="8" t="n"/>
      <c r="C3149" s="9">
        <f>IF(B3149="","",IFERROR(VLOOKUP(B3149,'Daftar Outlet'!$A$4:$B$22,2,FALSE),""))</f>
        <v/>
      </c>
      <c r="D3149" s="8" t="n"/>
      <c r="E3149" s="6" t="n"/>
      <c r="F3149" s="8" t="n"/>
    </row>
    <row r="3150">
      <c r="A3150" s="7" t="n"/>
      <c r="B3150" s="8" t="n"/>
      <c r="C3150" s="9">
        <f>IF(B3150="","",IFERROR(VLOOKUP(B3150,'Daftar Outlet'!$A$4:$B$22,2,FALSE),""))</f>
        <v/>
      </c>
      <c r="D3150" s="8" t="n"/>
      <c r="E3150" s="6" t="n"/>
      <c r="F3150" s="8" t="n"/>
    </row>
    <row r="3151">
      <c r="A3151" s="7" t="n"/>
      <c r="B3151" s="8" t="n"/>
      <c r="C3151" s="9">
        <f>IF(B3151="","",IFERROR(VLOOKUP(B3151,'Daftar Outlet'!$A$4:$B$22,2,FALSE),""))</f>
        <v/>
      </c>
      <c r="D3151" s="8" t="n"/>
      <c r="E3151" s="6" t="n"/>
      <c r="F3151" s="8" t="n"/>
    </row>
    <row r="3152">
      <c r="A3152" s="7" t="n"/>
      <c r="B3152" s="8" t="n"/>
      <c r="C3152" s="9">
        <f>IF(B3152="","",IFERROR(VLOOKUP(B3152,'Daftar Outlet'!$A$4:$B$22,2,FALSE),""))</f>
        <v/>
      </c>
      <c r="D3152" s="8" t="n"/>
      <c r="E3152" s="6" t="n"/>
      <c r="F3152" s="8" t="n"/>
    </row>
    <row r="3153">
      <c r="A3153" s="7" t="n"/>
      <c r="B3153" s="8" t="n"/>
      <c r="C3153" s="9">
        <f>IF(B3153="","",IFERROR(VLOOKUP(B3153,'Daftar Outlet'!$A$4:$B$22,2,FALSE),""))</f>
        <v/>
      </c>
      <c r="D3153" s="8" t="n"/>
      <c r="E3153" s="6" t="n"/>
      <c r="F3153" s="8" t="n"/>
    </row>
    <row r="3154">
      <c r="A3154" s="7" t="n"/>
      <c r="B3154" s="8" t="n"/>
      <c r="C3154" s="9">
        <f>IF(B3154="","",IFERROR(VLOOKUP(B3154,'Daftar Outlet'!$A$4:$B$22,2,FALSE),""))</f>
        <v/>
      </c>
      <c r="D3154" s="8" t="n"/>
      <c r="E3154" s="6" t="n"/>
      <c r="F3154" s="8" t="n"/>
    </row>
    <row r="3155">
      <c r="A3155" s="7" t="n"/>
      <c r="B3155" s="8" t="n"/>
      <c r="C3155" s="9">
        <f>IF(B3155="","",IFERROR(VLOOKUP(B3155,'Daftar Outlet'!$A$4:$B$22,2,FALSE),""))</f>
        <v/>
      </c>
      <c r="D3155" s="8" t="n"/>
      <c r="E3155" s="6" t="n"/>
      <c r="F3155" s="8" t="n"/>
    </row>
    <row r="3156">
      <c r="A3156" s="7" t="n"/>
      <c r="B3156" s="8" t="n"/>
      <c r="C3156" s="9">
        <f>IF(B3156="","",IFERROR(VLOOKUP(B3156,'Daftar Outlet'!$A$4:$B$22,2,FALSE),""))</f>
        <v/>
      </c>
      <c r="D3156" s="8" t="n"/>
      <c r="E3156" s="6" t="n"/>
      <c r="F3156" s="8" t="n"/>
    </row>
    <row r="3157">
      <c r="A3157" s="7" t="n"/>
      <c r="B3157" s="8" t="n"/>
      <c r="C3157" s="9">
        <f>IF(B3157="","",IFERROR(VLOOKUP(B3157,'Daftar Outlet'!$A$4:$B$22,2,FALSE),""))</f>
        <v/>
      </c>
      <c r="D3157" s="8" t="n"/>
      <c r="E3157" s="6" t="n"/>
      <c r="F3157" s="8" t="n"/>
    </row>
    <row r="3158">
      <c r="A3158" s="7" t="n"/>
      <c r="B3158" s="8" t="n"/>
      <c r="C3158" s="9">
        <f>IF(B3158="","",IFERROR(VLOOKUP(B3158,'Daftar Outlet'!$A$4:$B$22,2,FALSE),""))</f>
        <v/>
      </c>
      <c r="D3158" s="8" t="n"/>
      <c r="E3158" s="6" t="n"/>
      <c r="F3158" s="8" t="n"/>
    </row>
    <row r="3159">
      <c r="A3159" s="7" t="n"/>
      <c r="B3159" s="8" t="n"/>
      <c r="C3159" s="9">
        <f>IF(B3159="","",IFERROR(VLOOKUP(B3159,'Daftar Outlet'!$A$4:$B$22,2,FALSE),""))</f>
        <v/>
      </c>
      <c r="D3159" s="8" t="n"/>
      <c r="E3159" s="6" t="n"/>
      <c r="F3159" s="8" t="n"/>
    </row>
    <row r="3160">
      <c r="A3160" s="7" t="n"/>
      <c r="B3160" s="8" t="n"/>
      <c r="C3160" s="9">
        <f>IF(B3160="","",IFERROR(VLOOKUP(B3160,'Daftar Outlet'!$A$4:$B$22,2,FALSE),""))</f>
        <v/>
      </c>
      <c r="D3160" s="8" t="n"/>
      <c r="E3160" s="6" t="n"/>
      <c r="F3160" s="8" t="n"/>
    </row>
    <row r="3161">
      <c r="A3161" s="7" t="n"/>
      <c r="B3161" s="8" t="n"/>
      <c r="C3161" s="9">
        <f>IF(B3161="","",IFERROR(VLOOKUP(B3161,'Daftar Outlet'!$A$4:$B$22,2,FALSE),""))</f>
        <v/>
      </c>
      <c r="D3161" s="8" t="n"/>
      <c r="E3161" s="6" t="n"/>
      <c r="F3161" s="8" t="n"/>
    </row>
    <row r="3162">
      <c r="A3162" s="7" t="n"/>
      <c r="B3162" s="8" t="n"/>
      <c r="C3162" s="9">
        <f>IF(B3162="","",IFERROR(VLOOKUP(B3162,'Daftar Outlet'!$A$4:$B$22,2,FALSE),""))</f>
        <v/>
      </c>
      <c r="D3162" s="8" t="n"/>
      <c r="E3162" s="6" t="n"/>
      <c r="F3162" s="8" t="n"/>
    </row>
    <row r="3163">
      <c r="A3163" s="7" t="n"/>
      <c r="B3163" s="8" t="n"/>
      <c r="C3163" s="9">
        <f>IF(B3163="","",IFERROR(VLOOKUP(B3163,'Daftar Outlet'!$A$4:$B$22,2,FALSE),""))</f>
        <v/>
      </c>
      <c r="D3163" s="8" t="n"/>
      <c r="E3163" s="6" t="n"/>
      <c r="F3163" s="8" t="n"/>
    </row>
    <row r="3164">
      <c r="A3164" s="7" t="n"/>
      <c r="B3164" s="8" t="n"/>
      <c r="C3164" s="9">
        <f>IF(B3164="","",IFERROR(VLOOKUP(B3164,'Daftar Outlet'!$A$4:$B$22,2,FALSE),""))</f>
        <v/>
      </c>
      <c r="D3164" s="8" t="n"/>
      <c r="E3164" s="6" t="n"/>
      <c r="F3164" s="8" t="n"/>
    </row>
    <row r="3165">
      <c r="A3165" s="7" t="n"/>
      <c r="B3165" s="8" t="n"/>
      <c r="C3165" s="9">
        <f>IF(B3165="","",IFERROR(VLOOKUP(B3165,'Daftar Outlet'!$A$4:$B$22,2,FALSE),""))</f>
        <v/>
      </c>
      <c r="D3165" s="8" t="n"/>
      <c r="E3165" s="6" t="n"/>
      <c r="F3165" s="8" t="n"/>
    </row>
    <row r="3166">
      <c r="A3166" s="7" t="n"/>
      <c r="B3166" s="8" t="n"/>
      <c r="C3166" s="9">
        <f>IF(B3166="","",IFERROR(VLOOKUP(B3166,'Daftar Outlet'!$A$4:$B$22,2,FALSE),""))</f>
        <v/>
      </c>
      <c r="D3166" s="8" t="n"/>
      <c r="E3166" s="6" t="n"/>
      <c r="F3166" s="8" t="n"/>
    </row>
    <row r="3167">
      <c r="A3167" s="7" t="n"/>
      <c r="B3167" s="8" t="n"/>
      <c r="C3167" s="9">
        <f>IF(B3167="","",IFERROR(VLOOKUP(B3167,'Daftar Outlet'!$A$4:$B$22,2,FALSE),""))</f>
        <v/>
      </c>
      <c r="D3167" s="8" t="n"/>
      <c r="E3167" s="6" t="n"/>
      <c r="F3167" s="8" t="n"/>
    </row>
    <row r="3168">
      <c r="A3168" s="7" t="n"/>
      <c r="B3168" s="8" t="n"/>
      <c r="C3168" s="9">
        <f>IF(B3168="","",IFERROR(VLOOKUP(B3168,'Daftar Outlet'!$A$4:$B$22,2,FALSE),""))</f>
        <v/>
      </c>
      <c r="D3168" s="8" t="n"/>
      <c r="E3168" s="6" t="n"/>
      <c r="F3168" s="8" t="n"/>
    </row>
    <row r="3169">
      <c r="A3169" s="7" t="n"/>
      <c r="B3169" s="8" t="n"/>
      <c r="C3169" s="9">
        <f>IF(B3169="","",IFERROR(VLOOKUP(B3169,'Daftar Outlet'!$A$4:$B$22,2,FALSE),""))</f>
        <v/>
      </c>
      <c r="D3169" s="8" t="n"/>
      <c r="E3169" s="6" t="n"/>
      <c r="F3169" s="8" t="n"/>
    </row>
    <row r="3170">
      <c r="A3170" s="7" t="n"/>
      <c r="B3170" s="8" t="n"/>
      <c r="C3170" s="9">
        <f>IF(B3170="","",IFERROR(VLOOKUP(B3170,'Daftar Outlet'!$A$4:$B$22,2,FALSE),""))</f>
        <v/>
      </c>
      <c r="D3170" s="8" t="n"/>
      <c r="E3170" s="6" t="n"/>
      <c r="F3170" s="8" t="n"/>
    </row>
    <row r="3171">
      <c r="A3171" s="7" t="n"/>
      <c r="B3171" s="8" t="n"/>
      <c r="C3171" s="9">
        <f>IF(B3171="","",IFERROR(VLOOKUP(B3171,'Daftar Outlet'!$A$4:$B$22,2,FALSE),""))</f>
        <v/>
      </c>
      <c r="D3171" s="8" t="n"/>
      <c r="E3171" s="6" t="n"/>
      <c r="F3171" s="8" t="n"/>
    </row>
    <row r="3172">
      <c r="A3172" s="7" t="n"/>
      <c r="B3172" s="8" t="n"/>
      <c r="C3172" s="9">
        <f>IF(B3172="","",IFERROR(VLOOKUP(B3172,'Daftar Outlet'!$A$4:$B$22,2,FALSE),""))</f>
        <v/>
      </c>
      <c r="D3172" s="8" t="n"/>
      <c r="E3172" s="6" t="n"/>
      <c r="F3172" s="8" t="n"/>
    </row>
    <row r="3173">
      <c r="A3173" s="7" t="n"/>
      <c r="B3173" s="8" t="n"/>
      <c r="C3173" s="9">
        <f>IF(B3173="","",IFERROR(VLOOKUP(B3173,'Daftar Outlet'!$A$4:$B$22,2,FALSE),""))</f>
        <v/>
      </c>
      <c r="D3173" s="8" t="n"/>
      <c r="E3173" s="6" t="n"/>
      <c r="F3173" s="8" t="n"/>
    </row>
    <row r="3174">
      <c r="A3174" s="7" t="n"/>
      <c r="B3174" s="8" t="n"/>
      <c r="C3174" s="9">
        <f>IF(B3174="","",IFERROR(VLOOKUP(B3174,'Daftar Outlet'!$A$4:$B$22,2,FALSE),""))</f>
        <v/>
      </c>
      <c r="D3174" s="8" t="n"/>
      <c r="E3174" s="6" t="n"/>
      <c r="F3174" s="8" t="n"/>
    </row>
    <row r="3175">
      <c r="A3175" s="7" t="n"/>
      <c r="B3175" s="8" t="n"/>
      <c r="C3175" s="9">
        <f>IF(B3175="","",IFERROR(VLOOKUP(B3175,'Daftar Outlet'!$A$4:$B$22,2,FALSE),""))</f>
        <v/>
      </c>
      <c r="D3175" s="8" t="n"/>
      <c r="E3175" s="6" t="n"/>
      <c r="F3175" s="8" t="n"/>
    </row>
    <row r="3176">
      <c r="A3176" s="7" t="n"/>
      <c r="B3176" s="8" t="n"/>
      <c r="C3176" s="9">
        <f>IF(B3176="","",IFERROR(VLOOKUP(B3176,'Daftar Outlet'!$A$4:$B$22,2,FALSE),""))</f>
        <v/>
      </c>
      <c r="D3176" s="8" t="n"/>
      <c r="E3176" s="6" t="n"/>
      <c r="F3176" s="8" t="n"/>
    </row>
    <row r="3177">
      <c r="A3177" s="7" t="n"/>
      <c r="B3177" s="8" t="n"/>
      <c r="C3177" s="9">
        <f>IF(B3177="","",IFERROR(VLOOKUP(B3177,'Daftar Outlet'!$A$4:$B$22,2,FALSE),""))</f>
        <v/>
      </c>
      <c r="D3177" s="8" t="n"/>
      <c r="E3177" s="6" t="n"/>
      <c r="F3177" s="8" t="n"/>
    </row>
    <row r="3178">
      <c r="A3178" s="7" t="n"/>
      <c r="B3178" s="8" t="n"/>
      <c r="C3178" s="9">
        <f>IF(B3178="","",IFERROR(VLOOKUP(B3178,'Daftar Outlet'!$A$4:$B$22,2,FALSE),""))</f>
        <v/>
      </c>
      <c r="D3178" s="8" t="n"/>
      <c r="E3178" s="6" t="n"/>
      <c r="F3178" s="8" t="n"/>
    </row>
    <row r="3179">
      <c r="A3179" s="7" t="n"/>
      <c r="B3179" s="8" t="n"/>
      <c r="C3179" s="9">
        <f>IF(B3179="","",IFERROR(VLOOKUP(B3179,'Daftar Outlet'!$A$4:$B$22,2,FALSE),""))</f>
        <v/>
      </c>
      <c r="D3179" s="8" t="n"/>
      <c r="E3179" s="6" t="n"/>
      <c r="F3179" s="8" t="n"/>
    </row>
    <row r="3180">
      <c r="A3180" s="7" t="n"/>
      <c r="B3180" s="8" t="n"/>
      <c r="C3180" s="9">
        <f>IF(B3180="","",IFERROR(VLOOKUP(B3180,'Daftar Outlet'!$A$4:$B$22,2,FALSE),""))</f>
        <v/>
      </c>
      <c r="D3180" s="8" t="n"/>
      <c r="E3180" s="6" t="n"/>
      <c r="F3180" s="8" t="n"/>
    </row>
    <row r="3181">
      <c r="A3181" s="7" t="n"/>
      <c r="B3181" s="8" t="n"/>
      <c r="C3181" s="9">
        <f>IF(B3181="","",IFERROR(VLOOKUP(B3181,'Daftar Outlet'!$A$4:$B$22,2,FALSE),""))</f>
        <v/>
      </c>
      <c r="D3181" s="8" t="n"/>
      <c r="E3181" s="6" t="n"/>
      <c r="F3181" s="8" t="n"/>
    </row>
    <row r="3182">
      <c r="A3182" s="7" t="n"/>
      <c r="B3182" s="8" t="n"/>
      <c r="C3182" s="9">
        <f>IF(B3182="","",IFERROR(VLOOKUP(B3182,'Daftar Outlet'!$A$4:$B$22,2,FALSE),""))</f>
        <v/>
      </c>
      <c r="D3182" s="8" t="n"/>
      <c r="E3182" s="6" t="n"/>
      <c r="F3182" s="8" t="n"/>
    </row>
    <row r="3183">
      <c r="A3183" s="7" t="n"/>
      <c r="B3183" s="8" t="n"/>
      <c r="C3183" s="9">
        <f>IF(B3183="","",IFERROR(VLOOKUP(B3183,'Daftar Outlet'!$A$4:$B$22,2,FALSE),""))</f>
        <v/>
      </c>
      <c r="D3183" s="8" t="n"/>
      <c r="E3183" s="6" t="n"/>
      <c r="F3183" s="8" t="n"/>
    </row>
    <row r="3184">
      <c r="A3184" s="7" t="n"/>
      <c r="B3184" s="8" t="n"/>
      <c r="C3184" s="9">
        <f>IF(B3184="","",IFERROR(VLOOKUP(B3184,'Daftar Outlet'!$A$4:$B$22,2,FALSE),""))</f>
        <v/>
      </c>
      <c r="D3184" s="8" t="n"/>
      <c r="E3184" s="6" t="n"/>
      <c r="F3184" s="8" t="n"/>
    </row>
    <row r="3185">
      <c r="A3185" s="7" t="n"/>
      <c r="B3185" s="8" t="n"/>
      <c r="C3185" s="9">
        <f>IF(B3185="","",IFERROR(VLOOKUP(B3185,'Daftar Outlet'!$A$4:$B$22,2,FALSE),""))</f>
        <v/>
      </c>
      <c r="D3185" s="8" t="n"/>
      <c r="E3185" s="6" t="n"/>
      <c r="F3185" s="8" t="n"/>
    </row>
    <row r="3186">
      <c r="A3186" s="7" t="n"/>
      <c r="B3186" s="8" t="n"/>
      <c r="C3186" s="9">
        <f>IF(B3186="","",IFERROR(VLOOKUP(B3186,'Daftar Outlet'!$A$4:$B$22,2,FALSE),""))</f>
        <v/>
      </c>
      <c r="D3186" s="8" t="n"/>
      <c r="E3186" s="6" t="n"/>
      <c r="F3186" s="8" t="n"/>
    </row>
    <row r="3187">
      <c r="A3187" s="7" t="n"/>
      <c r="B3187" s="8" t="n"/>
      <c r="C3187" s="9">
        <f>IF(B3187="","",IFERROR(VLOOKUP(B3187,'Daftar Outlet'!$A$4:$B$22,2,FALSE),""))</f>
        <v/>
      </c>
      <c r="D3187" s="8" t="n"/>
      <c r="E3187" s="6" t="n"/>
      <c r="F3187" s="8" t="n"/>
    </row>
    <row r="3188">
      <c r="A3188" s="7" t="n"/>
      <c r="B3188" s="8" t="n"/>
      <c r="C3188" s="9">
        <f>IF(B3188="","",IFERROR(VLOOKUP(B3188,'Daftar Outlet'!$A$4:$B$22,2,FALSE),""))</f>
        <v/>
      </c>
      <c r="D3188" s="8" t="n"/>
      <c r="E3188" s="6" t="n"/>
      <c r="F3188" s="8" t="n"/>
    </row>
    <row r="3189">
      <c r="A3189" s="7" t="n"/>
      <c r="B3189" s="8" t="n"/>
      <c r="C3189" s="9">
        <f>IF(B3189="","",IFERROR(VLOOKUP(B3189,'Daftar Outlet'!$A$4:$B$22,2,FALSE),""))</f>
        <v/>
      </c>
      <c r="D3189" s="8" t="n"/>
      <c r="E3189" s="6" t="n"/>
      <c r="F3189" s="8" t="n"/>
    </row>
    <row r="3190">
      <c r="A3190" s="7" t="n"/>
      <c r="B3190" s="8" t="n"/>
      <c r="C3190" s="9">
        <f>IF(B3190="","",IFERROR(VLOOKUP(B3190,'Daftar Outlet'!$A$4:$B$22,2,FALSE),""))</f>
        <v/>
      </c>
      <c r="D3190" s="8" t="n"/>
      <c r="E3190" s="6" t="n"/>
      <c r="F3190" s="8" t="n"/>
    </row>
    <row r="3191">
      <c r="A3191" s="7" t="n"/>
      <c r="B3191" s="8" t="n"/>
      <c r="C3191" s="9">
        <f>IF(B3191="","",IFERROR(VLOOKUP(B3191,'Daftar Outlet'!$A$4:$B$22,2,FALSE),""))</f>
        <v/>
      </c>
      <c r="D3191" s="8" t="n"/>
      <c r="E3191" s="6" t="n"/>
      <c r="F3191" s="8" t="n"/>
    </row>
    <row r="3192">
      <c r="A3192" s="7" t="n"/>
      <c r="B3192" s="8" t="n"/>
      <c r="C3192" s="9">
        <f>IF(B3192="","",IFERROR(VLOOKUP(B3192,'Daftar Outlet'!$A$4:$B$22,2,FALSE),""))</f>
        <v/>
      </c>
      <c r="D3192" s="8" t="n"/>
      <c r="E3192" s="6" t="n"/>
      <c r="F3192" s="8" t="n"/>
    </row>
    <row r="3193">
      <c r="A3193" s="7" t="n"/>
      <c r="B3193" s="8" t="n"/>
      <c r="C3193" s="9">
        <f>IF(B3193="","",IFERROR(VLOOKUP(B3193,'Daftar Outlet'!$A$4:$B$22,2,FALSE),""))</f>
        <v/>
      </c>
      <c r="D3193" s="8" t="n"/>
      <c r="E3193" s="6" t="n"/>
      <c r="F3193" s="8" t="n"/>
    </row>
    <row r="3194">
      <c r="A3194" s="7" t="n"/>
      <c r="B3194" s="8" t="n"/>
      <c r="C3194" s="9">
        <f>IF(B3194="","",IFERROR(VLOOKUP(B3194,'Daftar Outlet'!$A$4:$B$22,2,FALSE),""))</f>
        <v/>
      </c>
      <c r="D3194" s="8" t="n"/>
      <c r="E3194" s="6" t="n"/>
      <c r="F3194" s="8" t="n"/>
    </row>
    <row r="3195">
      <c r="A3195" s="7" t="n"/>
      <c r="B3195" s="8" t="n"/>
      <c r="C3195" s="9">
        <f>IF(B3195="","",IFERROR(VLOOKUP(B3195,'Daftar Outlet'!$A$4:$B$22,2,FALSE),""))</f>
        <v/>
      </c>
      <c r="D3195" s="8" t="n"/>
      <c r="E3195" s="6" t="n"/>
      <c r="F3195" s="8" t="n"/>
    </row>
    <row r="3196">
      <c r="A3196" s="7" t="n"/>
      <c r="B3196" s="8" t="n"/>
      <c r="C3196" s="9">
        <f>IF(B3196="","",IFERROR(VLOOKUP(B3196,'Daftar Outlet'!$A$4:$B$22,2,FALSE),""))</f>
        <v/>
      </c>
      <c r="D3196" s="8" t="n"/>
      <c r="E3196" s="6" t="n"/>
      <c r="F3196" s="8" t="n"/>
    </row>
    <row r="3197">
      <c r="A3197" s="7" t="n"/>
      <c r="B3197" s="8" t="n"/>
      <c r="C3197" s="9">
        <f>IF(B3197="","",IFERROR(VLOOKUP(B3197,'Daftar Outlet'!$A$4:$B$22,2,FALSE),""))</f>
        <v/>
      </c>
      <c r="D3197" s="8" t="n"/>
      <c r="E3197" s="6" t="n"/>
      <c r="F3197" s="8" t="n"/>
    </row>
    <row r="3198">
      <c r="A3198" s="7" t="n"/>
      <c r="B3198" s="8" t="n"/>
      <c r="C3198" s="9">
        <f>IF(B3198="","",IFERROR(VLOOKUP(B3198,'Daftar Outlet'!$A$4:$B$22,2,FALSE),""))</f>
        <v/>
      </c>
      <c r="D3198" s="8" t="n"/>
      <c r="E3198" s="6" t="n"/>
      <c r="F3198" s="8" t="n"/>
    </row>
    <row r="3199">
      <c r="A3199" s="7" t="n"/>
      <c r="B3199" s="8" t="n"/>
      <c r="C3199" s="9">
        <f>IF(B3199="","",IFERROR(VLOOKUP(B3199,'Daftar Outlet'!$A$4:$B$22,2,FALSE),""))</f>
        <v/>
      </c>
      <c r="D3199" s="8" t="n"/>
      <c r="E3199" s="6" t="n"/>
      <c r="F3199" s="8" t="n"/>
    </row>
    <row r="3200">
      <c r="A3200" s="7" t="n"/>
      <c r="B3200" s="8" t="n"/>
      <c r="C3200" s="9">
        <f>IF(B3200="","",IFERROR(VLOOKUP(B3200,'Daftar Outlet'!$A$4:$B$22,2,FALSE),""))</f>
        <v/>
      </c>
      <c r="D3200" s="8" t="n"/>
      <c r="E3200" s="6" t="n"/>
      <c r="F3200" s="8" t="n"/>
    </row>
    <row r="3201">
      <c r="A3201" s="7" t="n"/>
      <c r="B3201" s="8" t="n"/>
      <c r="C3201" s="9">
        <f>IF(B3201="","",IFERROR(VLOOKUP(B3201,'Daftar Outlet'!$A$4:$B$22,2,FALSE),""))</f>
        <v/>
      </c>
      <c r="D3201" s="8" t="n"/>
      <c r="E3201" s="6" t="n"/>
      <c r="F3201" s="8" t="n"/>
    </row>
    <row r="3202">
      <c r="A3202" s="7" t="n"/>
      <c r="B3202" s="8" t="n"/>
      <c r="C3202" s="9">
        <f>IF(B3202="","",IFERROR(VLOOKUP(B3202,'Daftar Outlet'!$A$4:$B$22,2,FALSE),""))</f>
        <v/>
      </c>
      <c r="D3202" s="8" t="n"/>
      <c r="E3202" s="6" t="n"/>
      <c r="F3202" s="8" t="n"/>
    </row>
    <row r="3203">
      <c r="A3203" s="7" t="n"/>
      <c r="B3203" s="8" t="n"/>
      <c r="C3203" s="9">
        <f>IF(B3203="","",IFERROR(VLOOKUP(B3203,'Daftar Outlet'!$A$4:$B$22,2,FALSE),""))</f>
        <v/>
      </c>
      <c r="D3203" s="8" t="n"/>
      <c r="E3203" s="6" t="n"/>
      <c r="F3203" s="8" t="n"/>
    </row>
    <row r="3204">
      <c r="A3204" s="7" t="n"/>
      <c r="B3204" s="8" t="n"/>
      <c r="C3204" s="9">
        <f>IF(B3204="","",IFERROR(VLOOKUP(B3204,'Daftar Outlet'!$A$4:$B$22,2,FALSE),""))</f>
        <v/>
      </c>
      <c r="D3204" s="8" t="n"/>
      <c r="E3204" s="6" t="n"/>
      <c r="F3204" s="8" t="n"/>
    </row>
    <row r="3205">
      <c r="A3205" s="7" t="n"/>
      <c r="B3205" s="8" t="n"/>
      <c r="C3205" s="9">
        <f>IF(B3205="","",IFERROR(VLOOKUP(B3205,'Daftar Outlet'!$A$4:$B$22,2,FALSE),""))</f>
        <v/>
      </c>
      <c r="D3205" s="8" t="n"/>
      <c r="E3205" s="6" t="n"/>
      <c r="F3205" s="8" t="n"/>
    </row>
    <row r="3206">
      <c r="A3206" s="7" t="n"/>
      <c r="B3206" s="8" t="n"/>
      <c r="C3206" s="9">
        <f>IF(B3206="","",IFERROR(VLOOKUP(B3206,'Daftar Outlet'!$A$4:$B$22,2,FALSE),""))</f>
        <v/>
      </c>
      <c r="D3206" s="8" t="n"/>
      <c r="E3206" s="6" t="n"/>
      <c r="F3206" s="8" t="n"/>
    </row>
    <row r="3207">
      <c r="A3207" s="7" t="n"/>
      <c r="B3207" s="8" t="n"/>
      <c r="C3207" s="9">
        <f>IF(B3207="","",IFERROR(VLOOKUP(B3207,'Daftar Outlet'!$A$4:$B$22,2,FALSE),""))</f>
        <v/>
      </c>
      <c r="D3207" s="8" t="n"/>
      <c r="E3207" s="6" t="n"/>
      <c r="F3207" s="8" t="n"/>
    </row>
    <row r="3208">
      <c r="A3208" s="7" t="n"/>
      <c r="B3208" s="8" t="n"/>
      <c r="C3208" s="9">
        <f>IF(B3208="","",IFERROR(VLOOKUP(B3208,'Daftar Outlet'!$A$4:$B$22,2,FALSE),""))</f>
        <v/>
      </c>
      <c r="D3208" s="8" t="n"/>
      <c r="E3208" s="6" t="n"/>
      <c r="F3208" s="8" t="n"/>
    </row>
    <row r="3209">
      <c r="A3209" s="7" t="n"/>
      <c r="B3209" s="8" t="n"/>
      <c r="C3209" s="9">
        <f>IF(B3209="","",IFERROR(VLOOKUP(B3209,'Daftar Outlet'!$A$4:$B$22,2,FALSE),""))</f>
        <v/>
      </c>
      <c r="D3209" s="8" t="n"/>
      <c r="E3209" s="6" t="n"/>
      <c r="F3209" s="8" t="n"/>
    </row>
    <row r="3210">
      <c r="A3210" s="7" t="n"/>
      <c r="B3210" s="8" t="n"/>
      <c r="C3210" s="9">
        <f>IF(B3210="","",IFERROR(VLOOKUP(B3210,'Daftar Outlet'!$A$4:$B$22,2,FALSE),""))</f>
        <v/>
      </c>
      <c r="D3210" s="8" t="n"/>
      <c r="E3210" s="6" t="n"/>
      <c r="F3210" s="8" t="n"/>
    </row>
    <row r="3211">
      <c r="A3211" s="7" t="n"/>
      <c r="B3211" s="8" t="n"/>
      <c r="C3211" s="9">
        <f>IF(B3211="","",IFERROR(VLOOKUP(B3211,'Daftar Outlet'!$A$4:$B$22,2,FALSE),""))</f>
        <v/>
      </c>
      <c r="D3211" s="8" t="n"/>
      <c r="E3211" s="6" t="n"/>
      <c r="F3211" s="8" t="n"/>
    </row>
    <row r="3212">
      <c r="A3212" s="7" t="n"/>
      <c r="B3212" s="8" t="n"/>
      <c r="C3212" s="9">
        <f>IF(B3212="","",IFERROR(VLOOKUP(B3212,'Daftar Outlet'!$A$4:$B$22,2,FALSE),""))</f>
        <v/>
      </c>
      <c r="D3212" s="8" t="n"/>
      <c r="E3212" s="6" t="n"/>
      <c r="F3212" s="8" t="n"/>
    </row>
    <row r="3213">
      <c r="A3213" s="7" t="n"/>
      <c r="B3213" s="8" t="n"/>
      <c r="C3213" s="9">
        <f>IF(B3213="","",IFERROR(VLOOKUP(B3213,'Daftar Outlet'!$A$4:$B$22,2,FALSE),""))</f>
        <v/>
      </c>
      <c r="D3213" s="8" t="n"/>
      <c r="E3213" s="6" t="n"/>
      <c r="F3213" s="8" t="n"/>
    </row>
    <row r="3214">
      <c r="A3214" s="7" t="n"/>
      <c r="B3214" s="8" t="n"/>
      <c r="C3214" s="9">
        <f>IF(B3214="","",IFERROR(VLOOKUP(B3214,'Daftar Outlet'!$A$4:$B$22,2,FALSE),""))</f>
        <v/>
      </c>
      <c r="D3214" s="8" t="n"/>
      <c r="E3214" s="6" t="n"/>
      <c r="F3214" s="8" t="n"/>
    </row>
    <row r="3215">
      <c r="A3215" s="7" t="n"/>
      <c r="B3215" s="8" t="n"/>
      <c r="C3215" s="9">
        <f>IF(B3215="","",IFERROR(VLOOKUP(B3215,'Daftar Outlet'!$A$4:$B$22,2,FALSE),""))</f>
        <v/>
      </c>
      <c r="D3215" s="8" t="n"/>
      <c r="E3215" s="6" t="n"/>
      <c r="F3215" s="8" t="n"/>
    </row>
    <row r="3216">
      <c r="A3216" s="7" t="n"/>
      <c r="B3216" s="8" t="n"/>
      <c r="C3216" s="9">
        <f>IF(B3216="","",IFERROR(VLOOKUP(B3216,'Daftar Outlet'!$A$4:$B$22,2,FALSE),""))</f>
        <v/>
      </c>
      <c r="D3216" s="8" t="n"/>
      <c r="E3216" s="6" t="n"/>
      <c r="F3216" s="8" t="n"/>
    </row>
    <row r="3217">
      <c r="A3217" s="7" t="n"/>
      <c r="B3217" s="8" t="n"/>
      <c r="C3217" s="9">
        <f>IF(B3217="","",IFERROR(VLOOKUP(B3217,'Daftar Outlet'!$A$4:$B$22,2,FALSE),""))</f>
        <v/>
      </c>
      <c r="D3217" s="8" t="n"/>
      <c r="E3217" s="6" t="n"/>
      <c r="F3217" s="8" t="n"/>
    </row>
    <row r="3218">
      <c r="A3218" s="7" t="n"/>
      <c r="B3218" s="8" t="n"/>
      <c r="C3218" s="9">
        <f>IF(B3218="","",IFERROR(VLOOKUP(B3218,'Daftar Outlet'!$A$4:$B$22,2,FALSE),""))</f>
        <v/>
      </c>
      <c r="D3218" s="8" t="n"/>
      <c r="E3218" s="6" t="n"/>
      <c r="F3218" s="8" t="n"/>
    </row>
    <row r="3219">
      <c r="A3219" s="7" t="n"/>
      <c r="B3219" s="8" t="n"/>
      <c r="C3219" s="9">
        <f>IF(B3219="","",IFERROR(VLOOKUP(B3219,'Daftar Outlet'!$A$4:$B$22,2,FALSE),""))</f>
        <v/>
      </c>
      <c r="D3219" s="8" t="n"/>
      <c r="E3219" s="6" t="n"/>
      <c r="F3219" s="8" t="n"/>
    </row>
    <row r="3220">
      <c r="A3220" s="7" t="n"/>
      <c r="B3220" s="8" t="n"/>
      <c r="C3220" s="9">
        <f>IF(B3220="","",IFERROR(VLOOKUP(B3220,'Daftar Outlet'!$A$4:$B$22,2,FALSE),""))</f>
        <v/>
      </c>
      <c r="D3220" s="8" t="n"/>
      <c r="E3220" s="6" t="n"/>
      <c r="F3220" s="8" t="n"/>
    </row>
    <row r="3221">
      <c r="A3221" s="7" t="n"/>
      <c r="B3221" s="8" t="n"/>
      <c r="C3221" s="9">
        <f>IF(B3221="","",IFERROR(VLOOKUP(B3221,'Daftar Outlet'!$A$4:$B$22,2,FALSE),""))</f>
        <v/>
      </c>
      <c r="D3221" s="8" t="n"/>
      <c r="E3221" s="6" t="n"/>
      <c r="F3221" s="8" t="n"/>
    </row>
    <row r="3222">
      <c r="A3222" s="7" t="n"/>
      <c r="B3222" s="8" t="n"/>
      <c r="C3222" s="9">
        <f>IF(B3222="","",IFERROR(VLOOKUP(B3222,'Daftar Outlet'!$A$4:$B$22,2,FALSE),""))</f>
        <v/>
      </c>
      <c r="D3222" s="8" t="n"/>
      <c r="E3222" s="6" t="n"/>
      <c r="F3222" s="8" t="n"/>
    </row>
    <row r="3223">
      <c r="A3223" s="7" t="n"/>
      <c r="B3223" s="8" t="n"/>
      <c r="C3223" s="9">
        <f>IF(B3223="","",IFERROR(VLOOKUP(B3223,'Daftar Outlet'!$A$4:$B$22,2,FALSE),""))</f>
        <v/>
      </c>
      <c r="D3223" s="8" t="n"/>
      <c r="E3223" s="6" t="n"/>
      <c r="F3223" s="8" t="n"/>
    </row>
    <row r="3224">
      <c r="A3224" s="7" t="n"/>
      <c r="B3224" s="8" t="n"/>
      <c r="C3224" s="9">
        <f>IF(B3224="","",IFERROR(VLOOKUP(B3224,'Daftar Outlet'!$A$4:$B$22,2,FALSE),""))</f>
        <v/>
      </c>
      <c r="D3224" s="8" t="n"/>
      <c r="E3224" s="6" t="n"/>
      <c r="F3224" s="8" t="n"/>
    </row>
    <row r="3225">
      <c r="A3225" s="7" t="n"/>
      <c r="B3225" s="8" t="n"/>
      <c r="C3225" s="9">
        <f>IF(B3225="","",IFERROR(VLOOKUP(B3225,'Daftar Outlet'!$A$4:$B$22,2,FALSE),""))</f>
        <v/>
      </c>
      <c r="D3225" s="8" t="n"/>
      <c r="E3225" s="6" t="n"/>
      <c r="F3225" s="8" t="n"/>
    </row>
    <row r="3226">
      <c r="A3226" s="7" t="n"/>
      <c r="B3226" s="8" t="n"/>
      <c r="C3226" s="9">
        <f>IF(B3226="","",IFERROR(VLOOKUP(B3226,'Daftar Outlet'!$A$4:$B$22,2,FALSE),""))</f>
        <v/>
      </c>
      <c r="D3226" s="8" t="n"/>
      <c r="E3226" s="6" t="n"/>
      <c r="F3226" s="8" t="n"/>
    </row>
    <row r="3227">
      <c r="A3227" s="7" t="n"/>
      <c r="B3227" s="8" t="n"/>
      <c r="C3227" s="9">
        <f>IF(B3227="","",IFERROR(VLOOKUP(B3227,'Daftar Outlet'!$A$4:$B$22,2,FALSE),""))</f>
        <v/>
      </c>
      <c r="D3227" s="8" t="n"/>
      <c r="E3227" s="6" t="n"/>
      <c r="F3227" s="8" t="n"/>
    </row>
    <row r="3228">
      <c r="A3228" s="7" t="n"/>
      <c r="B3228" s="8" t="n"/>
      <c r="C3228" s="9">
        <f>IF(B3228="","",IFERROR(VLOOKUP(B3228,'Daftar Outlet'!$A$4:$B$22,2,FALSE),""))</f>
        <v/>
      </c>
      <c r="D3228" s="8" t="n"/>
      <c r="E3228" s="6" t="n"/>
      <c r="F3228" s="8" t="n"/>
    </row>
    <row r="3229">
      <c r="A3229" s="7" t="n"/>
      <c r="B3229" s="8" t="n"/>
      <c r="C3229" s="9">
        <f>IF(B3229="","",IFERROR(VLOOKUP(B3229,'Daftar Outlet'!$A$4:$B$22,2,FALSE),""))</f>
        <v/>
      </c>
      <c r="D3229" s="8" t="n"/>
      <c r="E3229" s="6" t="n"/>
      <c r="F3229" s="8" t="n"/>
    </row>
    <row r="3230">
      <c r="A3230" s="7" t="n"/>
      <c r="B3230" s="8" t="n"/>
      <c r="C3230" s="9">
        <f>IF(B3230="","",IFERROR(VLOOKUP(B3230,'Daftar Outlet'!$A$4:$B$22,2,FALSE),""))</f>
        <v/>
      </c>
      <c r="D3230" s="8" t="n"/>
      <c r="E3230" s="6" t="n"/>
      <c r="F3230" s="8" t="n"/>
    </row>
    <row r="3231">
      <c r="A3231" s="7" t="n"/>
      <c r="B3231" s="8" t="n"/>
      <c r="C3231" s="9">
        <f>IF(B3231="","",IFERROR(VLOOKUP(B3231,'Daftar Outlet'!$A$4:$B$22,2,FALSE),""))</f>
        <v/>
      </c>
      <c r="D3231" s="8" t="n"/>
      <c r="E3231" s="6" t="n"/>
      <c r="F3231" s="8" t="n"/>
    </row>
    <row r="3232">
      <c r="A3232" s="7" t="n"/>
      <c r="B3232" s="8" t="n"/>
      <c r="C3232" s="9">
        <f>IF(B3232="","",IFERROR(VLOOKUP(B3232,'Daftar Outlet'!$A$4:$B$22,2,FALSE),""))</f>
        <v/>
      </c>
      <c r="D3232" s="8" t="n"/>
      <c r="E3232" s="6" t="n"/>
      <c r="F3232" s="8" t="n"/>
    </row>
    <row r="3233">
      <c r="A3233" s="7" t="n"/>
      <c r="B3233" s="8" t="n"/>
      <c r="C3233" s="9">
        <f>IF(B3233="","",IFERROR(VLOOKUP(B3233,'Daftar Outlet'!$A$4:$B$22,2,FALSE),""))</f>
        <v/>
      </c>
      <c r="D3233" s="8" t="n"/>
      <c r="E3233" s="6" t="n"/>
      <c r="F3233" s="8" t="n"/>
    </row>
    <row r="3234">
      <c r="A3234" s="7" t="n"/>
      <c r="B3234" s="8" t="n"/>
      <c r="C3234" s="9">
        <f>IF(B3234="","",IFERROR(VLOOKUP(B3234,'Daftar Outlet'!$A$4:$B$22,2,FALSE),""))</f>
        <v/>
      </c>
      <c r="D3234" s="8" t="n"/>
      <c r="E3234" s="6" t="n"/>
      <c r="F3234" s="8" t="n"/>
    </row>
    <row r="3235">
      <c r="A3235" s="7" t="n"/>
      <c r="B3235" s="8" t="n"/>
      <c r="C3235" s="9">
        <f>IF(B3235="","",IFERROR(VLOOKUP(B3235,'Daftar Outlet'!$A$4:$B$22,2,FALSE),""))</f>
        <v/>
      </c>
      <c r="D3235" s="8" t="n"/>
      <c r="E3235" s="6" t="n"/>
      <c r="F3235" s="8" t="n"/>
    </row>
    <row r="3236">
      <c r="A3236" s="7" t="n"/>
      <c r="B3236" s="8" t="n"/>
      <c r="C3236" s="9">
        <f>IF(B3236="","",IFERROR(VLOOKUP(B3236,'Daftar Outlet'!$A$4:$B$22,2,FALSE),""))</f>
        <v/>
      </c>
      <c r="D3236" s="8" t="n"/>
      <c r="E3236" s="6" t="n"/>
      <c r="F3236" s="8" t="n"/>
    </row>
    <row r="3237">
      <c r="A3237" s="7" t="n"/>
      <c r="B3237" s="8" t="n"/>
      <c r="C3237" s="9">
        <f>IF(B3237="","",IFERROR(VLOOKUP(B3237,'Daftar Outlet'!$A$4:$B$22,2,FALSE),""))</f>
        <v/>
      </c>
      <c r="D3237" s="8" t="n"/>
      <c r="E3237" s="6" t="n"/>
      <c r="F3237" s="8" t="n"/>
    </row>
    <row r="3238">
      <c r="A3238" s="7" t="n"/>
      <c r="B3238" s="8" t="n"/>
      <c r="C3238" s="9">
        <f>IF(B3238="","",IFERROR(VLOOKUP(B3238,'Daftar Outlet'!$A$4:$B$22,2,FALSE),""))</f>
        <v/>
      </c>
      <c r="D3238" s="8" t="n"/>
      <c r="E3238" s="6" t="n"/>
      <c r="F3238" s="8" t="n"/>
    </row>
    <row r="3239">
      <c r="A3239" s="7" t="n"/>
      <c r="B3239" s="8" t="n"/>
      <c r="C3239" s="9">
        <f>IF(B3239="","",IFERROR(VLOOKUP(B3239,'Daftar Outlet'!$A$4:$B$22,2,FALSE),""))</f>
        <v/>
      </c>
      <c r="D3239" s="8" t="n"/>
      <c r="E3239" s="6" t="n"/>
      <c r="F3239" s="8" t="n"/>
    </row>
    <row r="3240">
      <c r="A3240" s="7" t="n"/>
      <c r="B3240" s="8" t="n"/>
      <c r="C3240" s="9">
        <f>IF(B3240="","",IFERROR(VLOOKUP(B3240,'Daftar Outlet'!$A$4:$B$22,2,FALSE),""))</f>
        <v/>
      </c>
      <c r="D3240" s="8" t="n"/>
      <c r="E3240" s="6" t="n"/>
      <c r="F3240" s="8" t="n"/>
    </row>
    <row r="3241">
      <c r="A3241" s="7" t="n"/>
      <c r="B3241" s="8" t="n"/>
      <c r="C3241" s="9">
        <f>IF(B3241="","",IFERROR(VLOOKUP(B3241,'Daftar Outlet'!$A$4:$B$22,2,FALSE),""))</f>
        <v/>
      </c>
      <c r="D3241" s="8" t="n"/>
      <c r="E3241" s="6" t="n"/>
      <c r="F3241" s="8" t="n"/>
    </row>
    <row r="3242">
      <c r="A3242" s="7" t="n"/>
      <c r="B3242" s="8" t="n"/>
      <c r="C3242" s="9">
        <f>IF(B3242="","",IFERROR(VLOOKUP(B3242,'Daftar Outlet'!$A$4:$B$22,2,FALSE),""))</f>
        <v/>
      </c>
      <c r="D3242" s="8" t="n"/>
      <c r="E3242" s="6" t="n"/>
      <c r="F3242" s="8" t="n"/>
    </row>
    <row r="3243">
      <c r="A3243" s="7" t="n"/>
      <c r="B3243" s="8" t="n"/>
      <c r="C3243" s="9">
        <f>IF(B3243="","",IFERROR(VLOOKUP(B3243,'Daftar Outlet'!$A$4:$B$22,2,FALSE),""))</f>
        <v/>
      </c>
      <c r="D3243" s="8" t="n"/>
      <c r="E3243" s="6" t="n"/>
      <c r="F3243" s="8" t="n"/>
    </row>
    <row r="3244">
      <c r="A3244" s="7" t="n"/>
      <c r="B3244" s="8" t="n"/>
      <c r="C3244" s="9">
        <f>IF(B3244="","",IFERROR(VLOOKUP(B3244,'Daftar Outlet'!$A$4:$B$22,2,FALSE),""))</f>
        <v/>
      </c>
      <c r="D3244" s="8" t="n"/>
      <c r="E3244" s="6" t="n"/>
      <c r="F3244" s="8" t="n"/>
    </row>
    <row r="3245">
      <c r="A3245" s="7" t="n"/>
      <c r="B3245" s="8" t="n"/>
      <c r="C3245" s="9">
        <f>IF(B3245="","",IFERROR(VLOOKUP(B3245,'Daftar Outlet'!$A$4:$B$22,2,FALSE),""))</f>
        <v/>
      </c>
      <c r="D3245" s="8" t="n"/>
      <c r="E3245" s="6" t="n"/>
      <c r="F3245" s="8" t="n"/>
    </row>
    <row r="3246">
      <c r="A3246" s="7" t="n"/>
      <c r="B3246" s="8" t="n"/>
      <c r="C3246" s="9">
        <f>IF(B3246="","",IFERROR(VLOOKUP(B3246,'Daftar Outlet'!$A$4:$B$22,2,FALSE),""))</f>
        <v/>
      </c>
      <c r="D3246" s="8" t="n"/>
      <c r="E3246" s="6" t="n"/>
      <c r="F3246" s="8" t="n"/>
    </row>
    <row r="3247">
      <c r="A3247" s="7" t="n"/>
      <c r="B3247" s="8" t="n"/>
      <c r="C3247" s="9">
        <f>IF(B3247="","",IFERROR(VLOOKUP(B3247,'Daftar Outlet'!$A$4:$B$22,2,FALSE),""))</f>
        <v/>
      </c>
      <c r="D3247" s="8" t="n"/>
      <c r="E3247" s="6" t="n"/>
      <c r="F3247" s="8" t="n"/>
    </row>
    <row r="3248">
      <c r="A3248" s="7" t="n"/>
      <c r="B3248" s="8" t="n"/>
      <c r="C3248" s="9">
        <f>IF(B3248="","",IFERROR(VLOOKUP(B3248,'Daftar Outlet'!$A$4:$B$22,2,FALSE),""))</f>
        <v/>
      </c>
      <c r="D3248" s="8" t="n"/>
      <c r="E3248" s="6" t="n"/>
      <c r="F3248" s="8" t="n"/>
    </row>
    <row r="3249">
      <c r="A3249" s="7" t="n"/>
      <c r="B3249" s="8" t="n"/>
      <c r="C3249" s="9">
        <f>IF(B3249="","",IFERROR(VLOOKUP(B3249,'Daftar Outlet'!$A$4:$B$22,2,FALSE),""))</f>
        <v/>
      </c>
      <c r="D3249" s="8" t="n"/>
      <c r="E3249" s="6" t="n"/>
      <c r="F3249" s="8" t="n"/>
    </row>
    <row r="3250">
      <c r="A3250" s="7" t="n"/>
      <c r="B3250" s="8" t="n"/>
      <c r="C3250" s="9">
        <f>IF(B3250="","",IFERROR(VLOOKUP(B3250,'Daftar Outlet'!$A$4:$B$22,2,FALSE),""))</f>
        <v/>
      </c>
      <c r="D3250" s="8" t="n"/>
      <c r="E3250" s="6" t="n"/>
      <c r="F3250" s="8" t="n"/>
    </row>
    <row r="3251">
      <c r="A3251" s="7" t="n"/>
      <c r="B3251" s="8" t="n"/>
      <c r="C3251" s="9">
        <f>IF(B3251="","",IFERROR(VLOOKUP(B3251,'Daftar Outlet'!$A$4:$B$22,2,FALSE),""))</f>
        <v/>
      </c>
      <c r="D3251" s="8" t="n"/>
      <c r="E3251" s="6" t="n"/>
      <c r="F3251" s="8" t="n"/>
    </row>
    <row r="3252">
      <c r="A3252" s="7" t="n"/>
      <c r="B3252" s="8" t="n"/>
      <c r="C3252" s="9">
        <f>IF(B3252="","",IFERROR(VLOOKUP(B3252,'Daftar Outlet'!$A$4:$B$22,2,FALSE),""))</f>
        <v/>
      </c>
      <c r="D3252" s="8" t="n"/>
      <c r="E3252" s="6" t="n"/>
      <c r="F3252" s="8" t="n"/>
    </row>
    <row r="3253">
      <c r="A3253" s="7" t="n"/>
      <c r="B3253" s="8" t="n"/>
      <c r="C3253" s="9">
        <f>IF(B3253="","",IFERROR(VLOOKUP(B3253,'Daftar Outlet'!$A$4:$B$22,2,FALSE),""))</f>
        <v/>
      </c>
      <c r="D3253" s="8" t="n"/>
      <c r="E3253" s="6" t="n"/>
      <c r="F3253" s="8" t="n"/>
    </row>
    <row r="3254">
      <c r="A3254" s="7" t="n"/>
      <c r="B3254" s="8" t="n"/>
      <c r="C3254" s="9">
        <f>IF(B3254="","",IFERROR(VLOOKUP(B3254,'Daftar Outlet'!$A$4:$B$22,2,FALSE),""))</f>
        <v/>
      </c>
      <c r="D3254" s="8" t="n"/>
      <c r="E3254" s="6" t="n"/>
      <c r="F3254" s="8" t="n"/>
    </row>
    <row r="3255">
      <c r="A3255" s="7" t="n"/>
      <c r="B3255" s="8" t="n"/>
      <c r="C3255" s="9">
        <f>IF(B3255="","",IFERROR(VLOOKUP(B3255,'Daftar Outlet'!$A$4:$B$22,2,FALSE),""))</f>
        <v/>
      </c>
      <c r="D3255" s="8" t="n"/>
      <c r="E3255" s="6" t="n"/>
      <c r="F3255" s="8" t="n"/>
    </row>
    <row r="3256">
      <c r="A3256" s="7" t="n"/>
      <c r="B3256" s="8" t="n"/>
      <c r="C3256" s="9">
        <f>IF(B3256="","",IFERROR(VLOOKUP(B3256,'Daftar Outlet'!$A$4:$B$22,2,FALSE),""))</f>
        <v/>
      </c>
      <c r="D3256" s="8" t="n"/>
      <c r="E3256" s="6" t="n"/>
      <c r="F3256" s="8" t="n"/>
    </row>
    <row r="3257">
      <c r="A3257" s="7" t="n"/>
      <c r="B3257" s="8" t="n"/>
      <c r="C3257" s="9">
        <f>IF(B3257="","",IFERROR(VLOOKUP(B3257,'Daftar Outlet'!$A$4:$B$22,2,FALSE),""))</f>
        <v/>
      </c>
      <c r="D3257" s="8" t="n"/>
      <c r="E3257" s="6" t="n"/>
      <c r="F3257" s="8" t="n"/>
    </row>
    <row r="3258">
      <c r="A3258" s="7" t="n"/>
      <c r="B3258" s="8" t="n"/>
      <c r="C3258" s="9">
        <f>IF(B3258="","",IFERROR(VLOOKUP(B3258,'Daftar Outlet'!$A$4:$B$22,2,FALSE),""))</f>
        <v/>
      </c>
      <c r="D3258" s="8" t="n"/>
      <c r="E3258" s="6" t="n"/>
      <c r="F3258" s="8" t="n"/>
    </row>
    <row r="3259">
      <c r="A3259" s="7" t="n"/>
      <c r="B3259" s="8" t="n"/>
      <c r="C3259" s="9">
        <f>IF(B3259="","",IFERROR(VLOOKUP(B3259,'Daftar Outlet'!$A$4:$B$22,2,FALSE),""))</f>
        <v/>
      </c>
      <c r="D3259" s="8" t="n"/>
      <c r="E3259" s="6" t="n"/>
      <c r="F3259" s="8" t="n"/>
    </row>
    <row r="3260">
      <c r="A3260" s="7" t="n"/>
      <c r="B3260" s="8" t="n"/>
      <c r="C3260" s="9">
        <f>IF(B3260="","",IFERROR(VLOOKUP(B3260,'Daftar Outlet'!$A$4:$B$22,2,FALSE),""))</f>
        <v/>
      </c>
      <c r="D3260" s="8" t="n"/>
      <c r="E3260" s="6" t="n"/>
      <c r="F3260" s="8" t="n"/>
    </row>
    <row r="3261">
      <c r="A3261" s="7" t="n"/>
      <c r="B3261" s="8" t="n"/>
      <c r="C3261" s="9">
        <f>IF(B3261="","",IFERROR(VLOOKUP(B3261,'Daftar Outlet'!$A$4:$B$22,2,FALSE),""))</f>
        <v/>
      </c>
      <c r="D3261" s="8" t="n"/>
      <c r="E3261" s="6" t="n"/>
      <c r="F3261" s="8" t="n"/>
    </row>
    <row r="3262">
      <c r="A3262" s="7" t="n"/>
      <c r="B3262" s="8" t="n"/>
      <c r="C3262" s="9">
        <f>IF(B3262="","",IFERROR(VLOOKUP(B3262,'Daftar Outlet'!$A$4:$B$22,2,FALSE),""))</f>
        <v/>
      </c>
      <c r="D3262" s="8" t="n"/>
      <c r="E3262" s="6" t="n"/>
      <c r="F3262" s="8" t="n"/>
    </row>
    <row r="3263">
      <c r="A3263" s="7" t="n"/>
      <c r="B3263" s="8" t="n"/>
      <c r="C3263" s="9">
        <f>IF(B3263="","",IFERROR(VLOOKUP(B3263,'Daftar Outlet'!$A$4:$B$22,2,FALSE),""))</f>
        <v/>
      </c>
      <c r="D3263" s="8" t="n"/>
      <c r="E3263" s="6" t="n"/>
      <c r="F3263" s="8" t="n"/>
    </row>
    <row r="3264">
      <c r="A3264" s="7" t="n"/>
      <c r="B3264" s="8" t="n"/>
      <c r="C3264" s="9">
        <f>IF(B3264="","",IFERROR(VLOOKUP(B3264,'Daftar Outlet'!$A$4:$B$22,2,FALSE),""))</f>
        <v/>
      </c>
      <c r="D3264" s="8" t="n"/>
      <c r="E3264" s="6" t="n"/>
      <c r="F3264" s="8" t="n"/>
    </row>
    <row r="3265">
      <c r="A3265" s="7" t="n"/>
      <c r="B3265" s="8" t="n"/>
      <c r="C3265" s="9">
        <f>IF(B3265="","",IFERROR(VLOOKUP(B3265,'Daftar Outlet'!$A$4:$B$22,2,FALSE),""))</f>
        <v/>
      </c>
      <c r="D3265" s="8" t="n"/>
      <c r="E3265" s="6" t="n"/>
      <c r="F3265" s="8" t="n"/>
    </row>
    <row r="3266">
      <c r="A3266" s="7" t="n"/>
      <c r="B3266" s="8" t="n"/>
      <c r="C3266" s="9">
        <f>IF(B3266="","",IFERROR(VLOOKUP(B3266,'Daftar Outlet'!$A$4:$B$22,2,FALSE),""))</f>
        <v/>
      </c>
      <c r="D3266" s="8" t="n"/>
      <c r="E3266" s="6" t="n"/>
      <c r="F3266" s="8" t="n"/>
    </row>
    <row r="3267">
      <c r="A3267" s="7" t="n"/>
      <c r="B3267" s="8" t="n"/>
      <c r="C3267" s="9">
        <f>IF(B3267="","",IFERROR(VLOOKUP(B3267,'Daftar Outlet'!$A$4:$B$22,2,FALSE),""))</f>
        <v/>
      </c>
      <c r="D3267" s="8" t="n"/>
      <c r="E3267" s="6" t="n"/>
      <c r="F3267" s="8" t="n"/>
    </row>
    <row r="3268">
      <c r="A3268" s="7" t="n"/>
      <c r="B3268" s="8" t="n"/>
      <c r="C3268" s="9">
        <f>IF(B3268="","",IFERROR(VLOOKUP(B3268,'Daftar Outlet'!$A$4:$B$22,2,FALSE),""))</f>
        <v/>
      </c>
      <c r="D3268" s="8" t="n"/>
      <c r="E3268" s="6" t="n"/>
      <c r="F3268" s="8" t="n"/>
    </row>
    <row r="3269">
      <c r="A3269" s="7" t="n"/>
      <c r="B3269" s="8" t="n"/>
      <c r="C3269" s="9">
        <f>IF(B3269="","",IFERROR(VLOOKUP(B3269,'Daftar Outlet'!$A$4:$B$22,2,FALSE),""))</f>
        <v/>
      </c>
      <c r="D3269" s="8" t="n"/>
      <c r="E3269" s="6" t="n"/>
      <c r="F3269" s="8" t="n"/>
    </row>
    <row r="3270">
      <c r="A3270" s="7" t="n"/>
      <c r="B3270" s="8" t="n"/>
      <c r="C3270" s="9">
        <f>IF(B3270="","",IFERROR(VLOOKUP(B3270,'Daftar Outlet'!$A$4:$B$22,2,FALSE),""))</f>
        <v/>
      </c>
      <c r="D3270" s="8" t="n"/>
      <c r="E3270" s="6" t="n"/>
      <c r="F3270" s="8" t="n"/>
    </row>
    <row r="3271">
      <c r="A3271" s="7" t="n"/>
      <c r="B3271" s="8" t="n"/>
      <c r="C3271" s="9">
        <f>IF(B3271="","",IFERROR(VLOOKUP(B3271,'Daftar Outlet'!$A$4:$B$22,2,FALSE),""))</f>
        <v/>
      </c>
      <c r="D3271" s="8" t="n"/>
      <c r="E3271" s="6" t="n"/>
      <c r="F3271" s="8" t="n"/>
    </row>
    <row r="3272">
      <c r="A3272" s="7" t="n"/>
      <c r="B3272" s="8" t="n"/>
      <c r="C3272" s="9">
        <f>IF(B3272="","",IFERROR(VLOOKUP(B3272,'Daftar Outlet'!$A$4:$B$22,2,FALSE),""))</f>
        <v/>
      </c>
      <c r="D3272" s="8" t="n"/>
      <c r="E3272" s="6" t="n"/>
      <c r="F3272" s="8" t="n"/>
    </row>
    <row r="3273">
      <c r="A3273" s="7" t="n"/>
      <c r="B3273" s="8" t="n"/>
      <c r="C3273" s="9">
        <f>IF(B3273="","",IFERROR(VLOOKUP(B3273,'Daftar Outlet'!$A$4:$B$22,2,FALSE),""))</f>
        <v/>
      </c>
      <c r="D3273" s="8" t="n"/>
      <c r="E3273" s="6" t="n"/>
      <c r="F3273" s="8" t="n"/>
    </row>
    <row r="3274">
      <c r="A3274" s="7" t="n"/>
      <c r="B3274" s="8" t="n"/>
      <c r="C3274" s="9">
        <f>IF(B3274="","",IFERROR(VLOOKUP(B3274,'Daftar Outlet'!$A$4:$B$22,2,FALSE),""))</f>
        <v/>
      </c>
      <c r="D3274" s="8" t="n"/>
      <c r="E3274" s="6" t="n"/>
      <c r="F3274" s="8" t="n"/>
    </row>
    <row r="3275">
      <c r="A3275" s="7" t="n"/>
      <c r="B3275" s="8" t="n"/>
      <c r="C3275" s="9">
        <f>IF(B3275="","",IFERROR(VLOOKUP(B3275,'Daftar Outlet'!$A$4:$B$22,2,FALSE),""))</f>
        <v/>
      </c>
      <c r="D3275" s="8" t="n"/>
      <c r="E3275" s="6" t="n"/>
      <c r="F3275" s="8" t="n"/>
    </row>
    <row r="3276">
      <c r="A3276" s="7" t="n"/>
      <c r="B3276" s="8" t="n"/>
      <c r="C3276" s="9">
        <f>IF(B3276="","",IFERROR(VLOOKUP(B3276,'Daftar Outlet'!$A$4:$B$22,2,FALSE),""))</f>
        <v/>
      </c>
      <c r="D3276" s="8" t="n"/>
      <c r="E3276" s="6" t="n"/>
      <c r="F3276" s="8" t="n"/>
    </row>
    <row r="3277">
      <c r="A3277" s="7" t="n"/>
      <c r="B3277" s="8" t="n"/>
      <c r="C3277" s="9">
        <f>IF(B3277="","",IFERROR(VLOOKUP(B3277,'Daftar Outlet'!$A$4:$B$22,2,FALSE),""))</f>
        <v/>
      </c>
      <c r="D3277" s="8" t="n"/>
      <c r="E3277" s="6" t="n"/>
      <c r="F3277" s="8" t="n"/>
    </row>
    <row r="3278">
      <c r="A3278" s="7" t="n"/>
      <c r="B3278" s="8" t="n"/>
      <c r="C3278" s="9">
        <f>IF(B3278="","",IFERROR(VLOOKUP(B3278,'Daftar Outlet'!$A$4:$B$22,2,FALSE),""))</f>
        <v/>
      </c>
      <c r="D3278" s="8" t="n"/>
      <c r="E3278" s="6" t="n"/>
      <c r="F3278" s="8" t="n"/>
    </row>
    <row r="3279">
      <c r="A3279" s="7" t="n"/>
      <c r="B3279" s="8" t="n"/>
      <c r="C3279" s="9">
        <f>IF(B3279="","",IFERROR(VLOOKUP(B3279,'Daftar Outlet'!$A$4:$B$22,2,FALSE),""))</f>
        <v/>
      </c>
      <c r="D3279" s="8" t="n"/>
      <c r="E3279" s="6" t="n"/>
      <c r="F3279" s="8" t="n"/>
    </row>
    <row r="3280">
      <c r="A3280" s="7" t="n"/>
      <c r="B3280" s="8" t="n"/>
      <c r="C3280" s="9">
        <f>IF(B3280="","",IFERROR(VLOOKUP(B3280,'Daftar Outlet'!$A$4:$B$22,2,FALSE),""))</f>
        <v/>
      </c>
      <c r="D3280" s="8" t="n"/>
      <c r="E3280" s="6" t="n"/>
      <c r="F3280" s="8" t="n"/>
    </row>
    <row r="3281">
      <c r="A3281" s="7" t="n"/>
      <c r="B3281" s="8" t="n"/>
      <c r="C3281" s="9">
        <f>IF(B3281="","",IFERROR(VLOOKUP(B3281,'Daftar Outlet'!$A$4:$B$22,2,FALSE),""))</f>
        <v/>
      </c>
      <c r="D3281" s="8" t="n"/>
      <c r="E3281" s="6" t="n"/>
      <c r="F3281" s="8" t="n"/>
    </row>
    <row r="3282">
      <c r="A3282" s="7" t="n"/>
      <c r="B3282" s="8" t="n"/>
      <c r="C3282" s="9">
        <f>IF(B3282="","",IFERROR(VLOOKUP(B3282,'Daftar Outlet'!$A$4:$B$22,2,FALSE),""))</f>
        <v/>
      </c>
      <c r="D3282" s="8" t="n"/>
      <c r="E3282" s="6" t="n"/>
      <c r="F3282" s="8" t="n"/>
    </row>
    <row r="3283">
      <c r="A3283" s="7" t="n"/>
      <c r="B3283" s="8" t="n"/>
      <c r="C3283" s="9">
        <f>IF(B3283="","",IFERROR(VLOOKUP(B3283,'Daftar Outlet'!$A$4:$B$22,2,FALSE),""))</f>
        <v/>
      </c>
      <c r="D3283" s="8" t="n"/>
      <c r="E3283" s="6" t="n"/>
      <c r="F3283" s="8" t="n"/>
    </row>
    <row r="3284">
      <c r="A3284" s="7" t="n"/>
      <c r="B3284" s="8" t="n"/>
      <c r="C3284" s="9">
        <f>IF(B3284="","",IFERROR(VLOOKUP(B3284,'Daftar Outlet'!$A$4:$B$22,2,FALSE),""))</f>
        <v/>
      </c>
      <c r="D3284" s="8" t="n"/>
      <c r="E3284" s="6" t="n"/>
      <c r="F3284" s="8" t="n"/>
    </row>
    <row r="3285">
      <c r="A3285" s="7" t="n"/>
      <c r="B3285" s="8" t="n"/>
      <c r="C3285" s="9">
        <f>IF(B3285="","",IFERROR(VLOOKUP(B3285,'Daftar Outlet'!$A$4:$B$22,2,FALSE),""))</f>
        <v/>
      </c>
      <c r="D3285" s="8" t="n"/>
      <c r="E3285" s="6" t="n"/>
      <c r="F3285" s="8" t="n"/>
    </row>
    <row r="3286">
      <c r="A3286" s="7" t="n"/>
      <c r="B3286" s="8" t="n"/>
      <c r="C3286" s="9">
        <f>IF(B3286="","",IFERROR(VLOOKUP(B3286,'Daftar Outlet'!$A$4:$B$22,2,FALSE),""))</f>
        <v/>
      </c>
      <c r="D3286" s="8" t="n"/>
      <c r="E3286" s="6" t="n"/>
      <c r="F3286" s="8" t="n"/>
    </row>
    <row r="3287">
      <c r="A3287" s="7" t="n"/>
      <c r="B3287" s="8" t="n"/>
      <c r="C3287" s="9">
        <f>IF(B3287="","",IFERROR(VLOOKUP(B3287,'Daftar Outlet'!$A$4:$B$22,2,FALSE),""))</f>
        <v/>
      </c>
      <c r="D3287" s="8" t="n"/>
      <c r="E3287" s="6" t="n"/>
      <c r="F3287" s="8" t="n"/>
    </row>
    <row r="3288">
      <c r="A3288" s="7" t="n"/>
      <c r="B3288" s="8" t="n"/>
      <c r="C3288" s="9">
        <f>IF(B3288="","",IFERROR(VLOOKUP(B3288,'Daftar Outlet'!$A$4:$B$22,2,FALSE),""))</f>
        <v/>
      </c>
      <c r="D3288" s="8" t="n"/>
      <c r="E3288" s="6" t="n"/>
      <c r="F3288" s="8" t="n"/>
    </row>
    <row r="3289">
      <c r="A3289" s="7" t="n"/>
      <c r="B3289" s="8" t="n"/>
      <c r="C3289" s="9">
        <f>IF(B3289="","",IFERROR(VLOOKUP(B3289,'Daftar Outlet'!$A$4:$B$22,2,FALSE),""))</f>
        <v/>
      </c>
      <c r="D3289" s="8" t="n"/>
      <c r="E3289" s="6" t="n"/>
      <c r="F3289" s="8" t="n"/>
    </row>
    <row r="3290">
      <c r="A3290" s="7" t="n"/>
      <c r="B3290" s="8" t="n"/>
      <c r="C3290" s="9">
        <f>IF(B3290="","",IFERROR(VLOOKUP(B3290,'Daftar Outlet'!$A$4:$B$22,2,FALSE),""))</f>
        <v/>
      </c>
      <c r="D3290" s="8" t="n"/>
      <c r="E3290" s="6" t="n"/>
      <c r="F3290" s="8" t="n"/>
    </row>
    <row r="3291">
      <c r="A3291" s="7" t="n"/>
      <c r="B3291" s="8" t="n"/>
      <c r="C3291" s="9">
        <f>IF(B3291="","",IFERROR(VLOOKUP(B3291,'Daftar Outlet'!$A$4:$B$22,2,FALSE),""))</f>
        <v/>
      </c>
      <c r="D3291" s="8" t="n"/>
      <c r="E3291" s="6" t="n"/>
      <c r="F3291" s="8" t="n"/>
    </row>
    <row r="3292">
      <c r="A3292" s="7" t="n"/>
      <c r="B3292" s="8" t="n"/>
      <c r="C3292" s="9">
        <f>IF(B3292="","",IFERROR(VLOOKUP(B3292,'Daftar Outlet'!$A$4:$B$22,2,FALSE),""))</f>
        <v/>
      </c>
      <c r="D3292" s="8" t="n"/>
      <c r="E3292" s="6" t="n"/>
      <c r="F3292" s="8" t="n"/>
    </row>
    <row r="3293">
      <c r="A3293" s="7" t="n"/>
      <c r="B3293" s="8" t="n"/>
      <c r="C3293" s="9">
        <f>IF(B3293="","",IFERROR(VLOOKUP(B3293,'Daftar Outlet'!$A$4:$B$22,2,FALSE),""))</f>
        <v/>
      </c>
      <c r="D3293" s="8" t="n"/>
      <c r="E3293" s="6" t="n"/>
      <c r="F3293" s="8" t="n"/>
    </row>
    <row r="3294">
      <c r="A3294" s="7" t="n"/>
      <c r="B3294" s="8" t="n"/>
      <c r="C3294" s="9">
        <f>IF(B3294="","",IFERROR(VLOOKUP(B3294,'Daftar Outlet'!$A$4:$B$22,2,FALSE),""))</f>
        <v/>
      </c>
      <c r="D3294" s="8" t="n"/>
      <c r="E3294" s="6" t="n"/>
      <c r="F3294" s="8" t="n"/>
    </row>
    <row r="3295">
      <c r="A3295" s="7" t="n"/>
      <c r="B3295" s="8" t="n"/>
      <c r="C3295" s="9">
        <f>IF(B3295="","",IFERROR(VLOOKUP(B3295,'Daftar Outlet'!$A$4:$B$22,2,FALSE),""))</f>
        <v/>
      </c>
      <c r="D3295" s="8" t="n"/>
      <c r="E3295" s="6" t="n"/>
      <c r="F3295" s="8" t="n"/>
    </row>
    <row r="3296">
      <c r="A3296" s="7" t="n"/>
      <c r="B3296" s="8" t="n"/>
      <c r="C3296" s="9">
        <f>IF(B3296="","",IFERROR(VLOOKUP(B3296,'Daftar Outlet'!$A$4:$B$22,2,FALSE),""))</f>
        <v/>
      </c>
      <c r="D3296" s="8" t="n"/>
      <c r="E3296" s="6" t="n"/>
      <c r="F3296" s="8" t="n"/>
    </row>
    <row r="3297">
      <c r="A3297" s="7" t="n"/>
      <c r="B3297" s="8" t="n"/>
      <c r="C3297" s="9">
        <f>IF(B3297="","",IFERROR(VLOOKUP(B3297,'Daftar Outlet'!$A$4:$B$22,2,FALSE),""))</f>
        <v/>
      </c>
      <c r="D3297" s="8" t="n"/>
      <c r="E3297" s="6" t="n"/>
      <c r="F3297" s="8" t="n"/>
    </row>
    <row r="3298">
      <c r="A3298" s="7" t="n"/>
      <c r="B3298" s="8" t="n"/>
      <c r="C3298" s="9">
        <f>IF(B3298="","",IFERROR(VLOOKUP(B3298,'Daftar Outlet'!$A$4:$B$22,2,FALSE),""))</f>
        <v/>
      </c>
      <c r="D3298" s="8" t="n"/>
      <c r="E3298" s="6" t="n"/>
      <c r="F3298" s="8" t="n"/>
    </row>
    <row r="3299">
      <c r="A3299" s="7" t="n"/>
      <c r="B3299" s="8" t="n"/>
      <c r="C3299" s="9">
        <f>IF(B3299="","",IFERROR(VLOOKUP(B3299,'Daftar Outlet'!$A$4:$B$22,2,FALSE),""))</f>
        <v/>
      </c>
      <c r="D3299" s="8" t="n"/>
      <c r="E3299" s="6" t="n"/>
      <c r="F3299" s="8" t="n"/>
    </row>
    <row r="3300">
      <c r="A3300" s="7" t="n"/>
      <c r="B3300" s="8" t="n"/>
      <c r="C3300" s="9">
        <f>IF(B3300="","",IFERROR(VLOOKUP(B3300,'Daftar Outlet'!$A$4:$B$22,2,FALSE),""))</f>
        <v/>
      </c>
      <c r="D3300" s="8" t="n"/>
      <c r="E3300" s="6" t="n"/>
      <c r="F3300" s="8" t="n"/>
    </row>
    <row r="3301">
      <c r="A3301" s="7" t="n"/>
      <c r="B3301" s="8" t="n"/>
      <c r="C3301" s="9">
        <f>IF(B3301="","",IFERROR(VLOOKUP(B3301,'Daftar Outlet'!$A$4:$B$22,2,FALSE),""))</f>
        <v/>
      </c>
      <c r="D3301" s="8" t="n"/>
      <c r="E3301" s="6" t="n"/>
      <c r="F3301" s="8" t="n"/>
    </row>
    <row r="3302">
      <c r="A3302" s="7" t="n"/>
      <c r="B3302" s="8" t="n"/>
      <c r="C3302" s="9">
        <f>IF(B3302="","",IFERROR(VLOOKUP(B3302,'Daftar Outlet'!$A$4:$B$22,2,FALSE),""))</f>
        <v/>
      </c>
      <c r="D3302" s="8" t="n"/>
      <c r="E3302" s="6" t="n"/>
      <c r="F3302" s="8" t="n"/>
    </row>
    <row r="3303">
      <c r="A3303" s="7" t="n"/>
      <c r="B3303" s="8" t="n"/>
      <c r="C3303" s="9">
        <f>IF(B3303="","",IFERROR(VLOOKUP(B3303,'Daftar Outlet'!$A$4:$B$22,2,FALSE),""))</f>
        <v/>
      </c>
      <c r="D3303" s="8" t="n"/>
      <c r="E3303" s="6" t="n"/>
      <c r="F3303" s="8" t="n"/>
    </row>
    <row r="3304">
      <c r="A3304" s="7" t="n"/>
      <c r="B3304" s="8" t="n"/>
      <c r="C3304" s="9">
        <f>IF(B3304="","",IFERROR(VLOOKUP(B3304,'Daftar Outlet'!$A$4:$B$22,2,FALSE),""))</f>
        <v/>
      </c>
      <c r="D3304" s="8" t="n"/>
      <c r="E3304" s="6" t="n"/>
      <c r="F3304" s="8" t="n"/>
    </row>
    <row r="3305">
      <c r="A3305" s="7" t="n"/>
      <c r="B3305" s="8" t="n"/>
      <c r="C3305" s="9">
        <f>IF(B3305="","",IFERROR(VLOOKUP(B3305,'Daftar Outlet'!$A$4:$B$22,2,FALSE),""))</f>
        <v/>
      </c>
      <c r="D3305" s="8" t="n"/>
      <c r="E3305" s="6" t="n"/>
      <c r="F3305" s="8" t="n"/>
    </row>
    <row r="3306">
      <c r="A3306" s="7" t="n"/>
      <c r="B3306" s="8" t="n"/>
      <c r="C3306" s="9">
        <f>IF(B3306="","",IFERROR(VLOOKUP(B3306,'Daftar Outlet'!$A$4:$B$22,2,FALSE),""))</f>
        <v/>
      </c>
      <c r="D3306" s="8" t="n"/>
      <c r="E3306" s="6" t="n"/>
      <c r="F3306" s="8" t="n"/>
    </row>
    <row r="3307">
      <c r="A3307" s="7" t="n"/>
      <c r="B3307" s="8" t="n"/>
      <c r="C3307" s="9">
        <f>IF(B3307="","",IFERROR(VLOOKUP(B3307,'Daftar Outlet'!$A$4:$B$22,2,FALSE),""))</f>
        <v/>
      </c>
      <c r="D3307" s="8" t="n"/>
      <c r="E3307" s="6" t="n"/>
      <c r="F3307" s="8" t="n"/>
    </row>
    <row r="3308">
      <c r="A3308" s="7" t="n"/>
      <c r="B3308" s="8" t="n"/>
      <c r="C3308" s="9">
        <f>IF(B3308="","",IFERROR(VLOOKUP(B3308,'Daftar Outlet'!$A$4:$B$22,2,FALSE),""))</f>
        <v/>
      </c>
      <c r="D3308" s="8" t="n"/>
      <c r="E3308" s="6" t="n"/>
      <c r="F3308" s="8" t="n"/>
    </row>
    <row r="3309">
      <c r="A3309" s="7" t="n"/>
      <c r="B3309" s="8" t="n"/>
      <c r="C3309" s="9">
        <f>IF(B3309="","",IFERROR(VLOOKUP(B3309,'Daftar Outlet'!$A$4:$B$22,2,FALSE),""))</f>
        <v/>
      </c>
      <c r="D3309" s="8" t="n"/>
      <c r="E3309" s="6" t="n"/>
      <c r="F3309" s="8" t="n"/>
    </row>
    <row r="3310">
      <c r="A3310" s="7" t="n"/>
      <c r="B3310" s="8" t="n"/>
      <c r="C3310" s="9">
        <f>IF(B3310="","",IFERROR(VLOOKUP(B3310,'Daftar Outlet'!$A$4:$B$22,2,FALSE),""))</f>
        <v/>
      </c>
      <c r="D3310" s="8" t="n"/>
      <c r="E3310" s="6" t="n"/>
      <c r="F3310" s="8" t="n"/>
    </row>
    <row r="3311">
      <c r="A3311" s="7" t="n"/>
      <c r="B3311" s="8" t="n"/>
      <c r="C3311" s="9">
        <f>IF(B3311="","",IFERROR(VLOOKUP(B3311,'Daftar Outlet'!$A$4:$B$22,2,FALSE),""))</f>
        <v/>
      </c>
      <c r="D3311" s="8" t="n"/>
      <c r="E3311" s="6" t="n"/>
      <c r="F3311" s="8" t="n"/>
    </row>
    <row r="3312">
      <c r="A3312" s="7" t="n"/>
      <c r="B3312" s="8" t="n"/>
      <c r="C3312" s="9">
        <f>IF(B3312="","",IFERROR(VLOOKUP(B3312,'Daftar Outlet'!$A$4:$B$22,2,FALSE),""))</f>
        <v/>
      </c>
      <c r="D3312" s="8" t="n"/>
      <c r="E3312" s="6" t="n"/>
      <c r="F3312" s="8" t="n"/>
    </row>
    <row r="3313">
      <c r="A3313" s="7" t="n"/>
      <c r="B3313" s="8" t="n"/>
      <c r="C3313" s="9">
        <f>IF(B3313="","",IFERROR(VLOOKUP(B3313,'Daftar Outlet'!$A$4:$B$22,2,FALSE),""))</f>
        <v/>
      </c>
      <c r="D3313" s="8" t="n"/>
      <c r="E3313" s="6" t="n"/>
      <c r="F3313" s="8" t="n"/>
    </row>
    <row r="3314">
      <c r="A3314" s="7" t="n"/>
      <c r="B3314" s="8" t="n"/>
      <c r="C3314" s="9">
        <f>IF(B3314="","",IFERROR(VLOOKUP(B3314,'Daftar Outlet'!$A$4:$B$22,2,FALSE),""))</f>
        <v/>
      </c>
      <c r="D3314" s="8" t="n"/>
      <c r="E3314" s="6" t="n"/>
      <c r="F3314" s="8" t="n"/>
    </row>
    <row r="3315">
      <c r="A3315" s="7" t="n"/>
      <c r="B3315" s="8" t="n"/>
      <c r="C3315" s="9">
        <f>IF(B3315="","",IFERROR(VLOOKUP(B3315,'Daftar Outlet'!$A$4:$B$22,2,FALSE),""))</f>
        <v/>
      </c>
      <c r="D3315" s="8" t="n"/>
      <c r="E3315" s="6" t="n"/>
      <c r="F3315" s="8" t="n"/>
    </row>
    <row r="3316">
      <c r="A3316" s="7" t="n"/>
      <c r="B3316" s="8" t="n"/>
      <c r="C3316" s="9">
        <f>IF(B3316="","",IFERROR(VLOOKUP(B3316,'Daftar Outlet'!$A$4:$B$22,2,FALSE),""))</f>
        <v/>
      </c>
      <c r="D3316" s="8" t="n"/>
      <c r="E3316" s="6" t="n"/>
      <c r="F3316" s="8" t="n"/>
    </row>
    <row r="3317">
      <c r="A3317" s="7" t="n"/>
      <c r="B3317" s="8" t="n"/>
      <c r="C3317" s="9">
        <f>IF(B3317="","",IFERROR(VLOOKUP(B3317,'Daftar Outlet'!$A$4:$B$22,2,FALSE),""))</f>
        <v/>
      </c>
      <c r="D3317" s="8" t="n"/>
      <c r="E3317" s="6" t="n"/>
      <c r="F3317" s="8" t="n"/>
    </row>
    <row r="3318">
      <c r="A3318" s="7" t="n"/>
      <c r="B3318" s="8" t="n"/>
      <c r="C3318" s="9">
        <f>IF(B3318="","",IFERROR(VLOOKUP(B3318,'Daftar Outlet'!$A$4:$B$22,2,FALSE),""))</f>
        <v/>
      </c>
      <c r="D3318" s="8" t="n"/>
      <c r="E3318" s="6" t="n"/>
      <c r="F3318" s="8" t="n"/>
    </row>
    <row r="3319">
      <c r="A3319" s="7" t="n"/>
      <c r="B3319" s="8" t="n"/>
      <c r="C3319" s="9">
        <f>IF(B3319="","",IFERROR(VLOOKUP(B3319,'Daftar Outlet'!$A$4:$B$22,2,FALSE),""))</f>
        <v/>
      </c>
      <c r="D3319" s="8" t="n"/>
      <c r="E3319" s="6" t="n"/>
      <c r="F3319" s="8" t="n"/>
    </row>
    <row r="3320">
      <c r="A3320" s="7" t="n"/>
      <c r="B3320" s="8" t="n"/>
      <c r="C3320" s="9">
        <f>IF(B3320="","",IFERROR(VLOOKUP(B3320,'Daftar Outlet'!$A$4:$B$22,2,FALSE),""))</f>
        <v/>
      </c>
      <c r="D3320" s="8" t="n"/>
      <c r="E3320" s="6" t="n"/>
      <c r="F3320" s="8" t="n"/>
    </row>
    <row r="3321">
      <c r="A3321" s="7" t="n"/>
      <c r="B3321" s="8" t="n"/>
      <c r="C3321" s="9">
        <f>IF(B3321="","",IFERROR(VLOOKUP(B3321,'Daftar Outlet'!$A$4:$B$22,2,FALSE),""))</f>
        <v/>
      </c>
      <c r="D3321" s="8" t="n"/>
      <c r="E3321" s="6" t="n"/>
      <c r="F3321" s="8" t="n"/>
    </row>
    <row r="3322">
      <c r="A3322" s="7" t="n"/>
      <c r="B3322" s="8" t="n"/>
      <c r="C3322" s="9">
        <f>IF(B3322="","",IFERROR(VLOOKUP(B3322,'Daftar Outlet'!$A$4:$B$22,2,FALSE),""))</f>
        <v/>
      </c>
      <c r="D3322" s="8" t="n"/>
      <c r="E3322" s="6" t="n"/>
      <c r="F3322" s="8" t="n"/>
    </row>
    <row r="3323">
      <c r="A3323" s="7" t="n"/>
      <c r="B3323" s="8" t="n"/>
      <c r="C3323" s="9">
        <f>IF(B3323="","",IFERROR(VLOOKUP(B3323,'Daftar Outlet'!$A$4:$B$22,2,FALSE),""))</f>
        <v/>
      </c>
      <c r="D3323" s="8" t="n"/>
      <c r="E3323" s="6" t="n"/>
      <c r="F3323" s="8" t="n"/>
    </row>
    <row r="3324">
      <c r="A3324" s="7" t="n"/>
      <c r="B3324" s="8" t="n"/>
      <c r="C3324" s="9">
        <f>IF(B3324="","",IFERROR(VLOOKUP(B3324,'Daftar Outlet'!$A$4:$B$22,2,FALSE),""))</f>
        <v/>
      </c>
      <c r="D3324" s="8" t="n"/>
      <c r="E3324" s="6" t="n"/>
      <c r="F3324" s="8" t="n"/>
    </row>
    <row r="3325">
      <c r="A3325" s="7" t="n"/>
      <c r="B3325" s="8" t="n"/>
      <c r="C3325" s="9">
        <f>IF(B3325="","",IFERROR(VLOOKUP(B3325,'Daftar Outlet'!$A$4:$B$22,2,FALSE),""))</f>
        <v/>
      </c>
      <c r="D3325" s="8" t="n"/>
      <c r="E3325" s="6" t="n"/>
      <c r="F3325" s="8" t="n"/>
    </row>
    <row r="3326">
      <c r="A3326" s="7" t="n"/>
      <c r="B3326" s="8" t="n"/>
      <c r="C3326" s="9">
        <f>IF(B3326="","",IFERROR(VLOOKUP(B3326,'Daftar Outlet'!$A$4:$B$22,2,FALSE),""))</f>
        <v/>
      </c>
      <c r="D3326" s="8" t="n"/>
      <c r="E3326" s="6" t="n"/>
      <c r="F3326" s="8" t="n"/>
    </row>
    <row r="3327">
      <c r="A3327" s="7" t="n"/>
      <c r="B3327" s="8" t="n"/>
      <c r="C3327" s="9">
        <f>IF(B3327="","",IFERROR(VLOOKUP(B3327,'Daftar Outlet'!$A$4:$B$22,2,FALSE),""))</f>
        <v/>
      </c>
      <c r="D3327" s="8" t="n"/>
      <c r="E3327" s="6" t="n"/>
      <c r="F3327" s="8" t="n"/>
    </row>
    <row r="3328">
      <c r="A3328" s="7" t="n"/>
      <c r="B3328" s="8" t="n"/>
      <c r="C3328" s="9">
        <f>IF(B3328="","",IFERROR(VLOOKUP(B3328,'Daftar Outlet'!$A$4:$B$22,2,FALSE),""))</f>
        <v/>
      </c>
      <c r="D3328" s="8" t="n"/>
      <c r="E3328" s="6" t="n"/>
      <c r="F3328" s="8" t="n"/>
    </row>
    <row r="3329">
      <c r="A3329" s="7" t="n"/>
      <c r="B3329" s="8" t="n"/>
      <c r="C3329" s="9">
        <f>IF(B3329="","",IFERROR(VLOOKUP(B3329,'Daftar Outlet'!$A$4:$B$22,2,FALSE),""))</f>
        <v/>
      </c>
      <c r="D3329" s="8" t="n"/>
      <c r="E3329" s="6" t="n"/>
      <c r="F3329" s="8" t="n"/>
    </row>
    <row r="3330">
      <c r="A3330" s="7" t="n"/>
      <c r="B3330" s="8" t="n"/>
      <c r="C3330" s="9">
        <f>IF(B3330="","",IFERROR(VLOOKUP(B3330,'Daftar Outlet'!$A$4:$B$22,2,FALSE),""))</f>
        <v/>
      </c>
      <c r="D3330" s="8" t="n"/>
      <c r="E3330" s="6" t="n"/>
      <c r="F3330" s="8" t="n"/>
    </row>
    <row r="3331">
      <c r="A3331" s="7" t="n"/>
      <c r="B3331" s="8" t="n"/>
      <c r="C3331" s="9">
        <f>IF(B3331="","",IFERROR(VLOOKUP(B3331,'Daftar Outlet'!$A$4:$B$22,2,FALSE),""))</f>
        <v/>
      </c>
      <c r="D3331" s="8" t="n"/>
      <c r="E3331" s="6" t="n"/>
      <c r="F3331" s="8" t="n"/>
    </row>
    <row r="3332">
      <c r="A3332" s="7" t="n"/>
      <c r="B3332" s="8" t="n"/>
      <c r="C3332" s="9">
        <f>IF(B3332="","",IFERROR(VLOOKUP(B3332,'Daftar Outlet'!$A$4:$B$22,2,FALSE),""))</f>
        <v/>
      </c>
      <c r="D3332" s="8" t="n"/>
      <c r="E3332" s="6" t="n"/>
      <c r="F3332" s="8" t="n"/>
    </row>
    <row r="3333">
      <c r="A3333" s="7" t="n"/>
      <c r="B3333" s="8" t="n"/>
      <c r="C3333" s="9">
        <f>IF(B3333="","",IFERROR(VLOOKUP(B3333,'Daftar Outlet'!$A$4:$B$22,2,FALSE),""))</f>
        <v/>
      </c>
      <c r="D3333" s="8" t="n"/>
      <c r="E3333" s="6" t="n"/>
      <c r="F3333" s="8" t="n"/>
    </row>
    <row r="3334">
      <c r="A3334" s="7" t="n"/>
      <c r="B3334" s="8" t="n"/>
      <c r="C3334" s="9">
        <f>IF(B3334="","",IFERROR(VLOOKUP(B3334,'Daftar Outlet'!$A$4:$B$22,2,FALSE),""))</f>
        <v/>
      </c>
      <c r="D3334" s="8" t="n"/>
      <c r="E3334" s="6" t="n"/>
      <c r="F3334" s="8" t="n"/>
    </row>
    <row r="3335">
      <c r="A3335" s="7" t="n"/>
      <c r="B3335" s="8" t="n"/>
      <c r="C3335" s="9">
        <f>IF(B3335="","",IFERROR(VLOOKUP(B3335,'Daftar Outlet'!$A$4:$B$22,2,FALSE),""))</f>
        <v/>
      </c>
      <c r="D3335" s="8" t="n"/>
      <c r="E3335" s="6" t="n"/>
      <c r="F3335" s="8" t="n"/>
    </row>
    <row r="3336">
      <c r="A3336" s="7" t="n"/>
      <c r="B3336" s="8" t="n"/>
      <c r="C3336" s="9">
        <f>IF(B3336="","",IFERROR(VLOOKUP(B3336,'Daftar Outlet'!$A$4:$B$22,2,FALSE),""))</f>
        <v/>
      </c>
      <c r="D3336" s="8" t="n"/>
      <c r="E3336" s="6" t="n"/>
      <c r="F3336" s="8" t="n"/>
    </row>
    <row r="3337">
      <c r="A3337" s="7" t="n"/>
      <c r="B3337" s="8" t="n"/>
      <c r="C3337" s="9">
        <f>IF(B3337="","",IFERROR(VLOOKUP(B3337,'Daftar Outlet'!$A$4:$B$22,2,FALSE),""))</f>
        <v/>
      </c>
      <c r="D3337" s="8" t="n"/>
      <c r="E3337" s="6" t="n"/>
      <c r="F3337" s="8" t="n"/>
    </row>
    <row r="3338">
      <c r="A3338" s="7" t="n"/>
      <c r="B3338" s="8" t="n"/>
      <c r="C3338" s="9">
        <f>IF(B3338="","",IFERROR(VLOOKUP(B3338,'Daftar Outlet'!$A$4:$B$22,2,FALSE),""))</f>
        <v/>
      </c>
      <c r="D3338" s="8" t="n"/>
      <c r="E3338" s="6" t="n"/>
      <c r="F3338" s="8" t="n"/>
    </row>
    <row r="3339">
      <c r="A3339" s="7" t="n"/>
      <c r="B3339" s="8" t="n"/>
      <c r="C3339" s="9">
        <f>IF(B3339="","",IFERROR(VLOOKUP(B3339,'Daftar Outlet'!$A$4:$B$22,2,FALSE),""))</f>
        <v/>
      </c>
      <c r="D3339" s="8" t="n"/>
      <c r="E3339" s="6" t="n"/>
      <c r="F3339" s="8" t="n"/>
    </row>
    <row r="3340">
      <c r="A3340" s="7" t="n"/>
      <c r="B3340" s="8" t="n"/>
      <c r="C3340" s="9">
        <f>IF(B3340="","",IFERROR(VLOOKUP(B3340,'Daftar Outlet'!$A$4:$B$22,2,FALSE),""))</f>
        <v/>
      </c>
      <c r="D3340" s="8" t="n"/>
      <c r="E3340" s="6" t="n"/>
      <c r="F3340" s="8" t="n"/>
    </row>
    <row r="3341">
      <c r="A3341" s="7" t="n"/>
      <c r="B3341" s="8" t="n"/>
      <c r="C3341" s="9">
        <f>IF(B3341="","",IFERROR(VLOOKUP(B3341,'Daftar Outlet'!$A$4:$B$22,2,FALSE),""))</f>
        <v/>
      </c>
      <c r="D3341" s="8" t="n"/>
      <c r="E3341" s="6" t="n"/>
      <c r="F3341" s="8" t="n"/>
    </row>
    <row r="3342">
      <c r="A3342" s="7" t="n"/>
      <c r="B3342" s="8" t="n"/>
      <c r="C3342" s="9">
        <f>IF(B3342="","",IFERROR(VLOOKUP(B3342,'Daftar Outlet'!$A$4:$B$22,2,FALSE),""))</f>
        <v/>
      </c>
      <c r="D3342" s="8" t="n"/>
      <c r="E3342" s="6" t="n"/>
      <c r="F3342" s="8" t="n"/>
    </row>
    <row r="3343">
      <c r="A3343" s="7" t="n"/>
      <c r="B3343" s="8" t="n"/>
      <c r="C3343" s="9">
        <f>IF(B3343="","",IFERROR(VLOOKUP(B3343,'Daftar Outlet'!$A$4:$B$22,2,FALSE),""))</f>
        <v/>
      </c>
      <c r="D3343" s="8" t="n"/>
      <c r="E3343" s="6" t="n"/>
      <c r="F3343" s="8" t="n"/>
    </row>
    <row r="3344">
      <c r="A3344" s="7" t="n"/>
      <c r="B3344" s="8" t="n"/>
      <c r="C3344" s="9">
        <f>IF(B3344="","",IFERROR(VLOOKUP(B3344,'Daftar Outlet'!$A$4:$B$22,2,FALSE),""))</f>
        <v/>
      </c>
      <c r="D3344" s="8" t="n"/>
      <c r="E3344" s="6" t="n"/>
      <c r="F3344" s="8" t="n"/>
    </row>
    <row r="3345">
      <c r="A3345" s="7" t="n"/>
      <c r="B3345" s="8" t="n"/>
      <c r="C3345" s="9">
        <f>IF(B3345="","",IFERROR(VLOOKUP(B3345,'Daftar Outlet'!$A$4:$B$22,2,FALSE),""))</f>
        <v/>
      </c>
      <c r="D3345" s="8" t="n"/>
      <c r="E3345" s="6" t="n"/>
      <c r="F3345" s="8" t="n"/>
    </row>
    <row r="3346">
      <c r="A3346" s="7" t="n"/>
      <c r="B3346" s="8" t="n"/>
      <c r="C3346" s="9">
        <f>IF(B3346="","",IFERROR(VLOOKUP(B3346,'Daftar Outlet'!$A$4:$B$22,2,FALSE),""))</f>
        <v/>
      </c>
      <c r="D3346" s="8" t="n"/>
      <c r="E3346" s="6" t="n"/>
      <c r="F3346" s="8" t="n"/>
    </row>
    <row r="3347">
      <c r="A3347" s="7" t="n"/>
      <c r="B3347" s="8" t="n"/>
      <c r="C3347" s="9">
        <f>IF(B3347="","",IFERROR(VLOOKUP(B3347,'Daftar Outlet'!$A$4:$B$22,2,FALSE),""))</f>
        <v/>
      </c>
      <c r="D3347" s="8" t="n"/>
      <c r="E3347" s="6" t="n"/>
      <c r="F3347" s="8" t="n"/>
    </row>
    <row r="3348">
      <c r="A3348" s="7" t="n"/>
      <c r="B3348" s="8" t="n"/>
      <c r="C3348" s="9">
        <f>IF(B3348="","",IFERROR(VLOOKUP(B3348,'Daftar Outlet'!$A$4:$B$22,2,FALSE),""))</f>
        <v/>
      </c>
      <c r="D3348" s="8" t="n"/>
      <c r="E3348" s="6" t="n"/>
      <c r="F3348" s="8" t="n"/>
    </row>
    <row r="3349">
      <c r="A3349" s="7" t="n"/>
      <c r="B3349" s="8" t="n"/>
      <c r="C3349" s="9">
        <f>IF(B3349="","",IFERROR(VLOOKUP(B3349,'Daftar Outlet'!$A$4:$B$22,2,FALSE),""))</f>
        <v/>
      </c>
      <c r="D3349" s="8" t="n"/>
      <c r="E3349" s="6" t="n"/>
      <c r="F3349" s="8" t="n"/>
    </row>
    <row r="3350">
      <c r="A3350" s="7" t="n"/>
      <c r="B3350" s="8" t="n"/>
      <c r="C3350" s="9">
        <f>IF(B3350="","",IFERROR(VLOOKUP(B3350,'Daftar Outlet'!$A$4:$B$22,2,FALSE),""))</f>
        <v/>
      </c>
      <c r="D3350" s="8" t="n"/>
      <c r="E3350" s="6" t="n"/>
      <c r="F3350" s="8" t="n"/>
    </row>
    <row r="3351">
      <c r="A3351" s="7" t="n"/>
      <c r="B3351" s="8" t="n"/>
      <c r="C3351" s="9">
        <f>IF(B3351="","",IFERROR(VLOOKUP(B3351,'Daftar Outlet'!$A$4:$B$22,2,FALSE),""))</f>
        <v/>
      </c>
      <c r="D3351" s="8" t="n"/>
      <c r="E3351" s="6" t="n"/>
      <c r="F3351" s="8" t="n"/>
    </row>
    <row r="3352">
      <c r="A3352" s="7" t="n"/>
      <c r="B3352" s="8" t="n"/>
      <c r="C3352" s="9">
        <f>IF(B3352="","",IFERROR(VLOOKUP(B3352,'Daftar Outlet'!$A$4:$B$22,2,FALSE),""))</f>
        <v/>
      </c>
      <c r="D3352" s="8" t="n"/>
      <c r="E3352" s="6" t="n"/>
      <c r="F3352" s="8" t="n"/>
    </row>
    <row r="3353">
      <c r="A3353" s="7" t="n"/>
      <c r="B3353" s="8" t="n"/>
      <c r="C3353" s="9">
        <f>IF(B3353="","",IFERROR(VLOOKUP(B3353,'Daftar Outlet'!$A$4:$B$22,2,FALSE),""))</f>
        <v/>
      </c>
      <c r="D3353" s="8" t="n"/>
      <c r="E3353" s="6" t="n"/>
      <c r="F3353" s="8" t="n"/>
    </row>
    <row r="3354">
      <c r="A3354" s="7" t="n"/>
      <c r="B3354" s="8" t="n"/>
      <c r="C3354" s="9">
        <f>IF(B3354="","",IFERROR(VLOOKUP(B3354,'Daftar Outlet'!$A$4:$B$22,2,FALSE),""))</f>
        <v/>
      </c>
      <c r="D3354" s="8" t="n"/>
      <c r="E3354" s="6" t="n"/>
      <c r="F3354" s="8" t="n"/>
    </row>
    <row r="3355">
      <c r="A3355" s="7" t="n"/>
      <c r="B3355" s="8" t="n"/>
      <c r="C3355" s="9">
        <f>IF(B3355="","",IFERROR(VLOOKUP(B3355,'Daftar Outlet'!$A$4:$B$22,2,FALSE),""))</f>
        <v/>
      </c>
      <c r="D3355" s="8" t="n"/>
      <c r="E3355" s="6" t="n"/>
      <c r="F3355" s="8" t="n"/>
    </row>
    <row r="3356">
      <c r="A3356" s="7" t="n"/>
      <c r="B3356" s="8" t="n"/>
      <c r="C3356" s="9">
        <f>IF(B3356="","",IFERROR(VLOOKUP(B3356,'Daftar Outlet'!$A$4:$B$22,2,FALSE),""))</f>
        <v/>
      </c>
      <c r="D3356" s="8" t="n"/>
      <c r="E3356" s="6" t="n"/>
      <c r="F3356" s="8" t="n"/>
    </row>
    <row r="3357">
      <c r="A3357" s="7" t="n"/>
      <c r="B3357" s="8" t="n"/>
      <c r="C3357" s="9">
        <f>IF(B3357="","",IFERROR(VLOOKUP(B3357,'Daftar Outlet'!$A$4:$B$22,2,FALSE),""))</f>
        <v/>
      </c>
      <c r="D3357" s="8" t="n"/>
      <c r="E3357" s="6" t="n"/>
      <c r="F3357" s="8" t="n"/>
    </row>
    <row r="3358">
      <c r="A3358" s="7" t="n"/>
      <c r="B3358" s="8" t="n"/>
      <c r="C3358" s="9">
        <f>IF(B3358="","",IFERROR(VLOOKUP(B3358,'Daftar Outlet'!$A$4:$B$22,2,FALSE),""))</f>
        <v/>
      </c>
      <c r="D3358" s="8" t="n"/>
      <c r="E3358" s="6" t="n"/>
      <c r="F3358" s="8" t="n"/>
    </row>
    <row r="3359">
      <c r="A3359" s="7" t="n"/>
      <c r="B3359" s="8" t="n"/>
      <c r="C3359" s="9">
        <f>IF(B3359="","",IFERROR(VLOOKUP(B3359,'Daftar Outlet'!$A$4:$B$22,2,FALSE),""))</f>
        <v/>
      </c>
      <c r="D3359" s="8" t="n"/>
      <c r="E3359" s="6" t="n"/>
      <c r="F3359" s="8" t="n"/>
    </row>
    <row r="3360">
      <c r="A3360" s="7" t="n"/>
      <c r="B3360" s="8" t="n"/>
      <c r="C3360" s="9">
        <f>IF(B3360="","",IFERROR(VLOOKUP(B3360,'Daftar Outlet'!$A$4:$B$22,2,FALSE),""))</f>
        <v/>
      </c>
      <c r="D3360" s="8" t="n"/>
      <c r="E3360" s="6" t="n"/>
      <c r="F3360" s="8" t="n"/>
    </row>
    <row r="3361">
      <c r="A3361" s="7" t="n"/>
      <c r="B3361" s="8" t="n"/>
      <c r="C3361" s="9">
        <f>IF(B3361="","",IFERROR(VLOOKUP(B3361,'Daftar Outlet'!$A$4:$B$22,2,FALSE),""))</f>
        <v/>
      </c>
      <c r="D3361" s="8" t="n"/>
      <c r="E3361" s="6" t="n"/>
      <c r="F3361" s="8" t="n"/>
    </row>
    <row r="3362">
      <c r="A3362" s="7" t="n"/>
      <c r="B3362" s="8" t="n"/>
      <c r="C3362" s="9">
        <f>IF(B3362="","",IFERROR(VLOOKUP(B3362,'Daftar Outlet'!$A$4:$B$22,2,FALSE),""))</f>
        <v/>
      </c>
      <c r="D3362" s="8" t="n"/>
      <c r="E3362" s="6" t="n"/>
      <c r="F3362" s="8" t="n"/>
    </row>
    <row r="3363">
      <c r="A3363" s="7" t="n"/>
      <c r="B3363" s="8" t="n"/>
      <c r="C3363" s="9">
        <f>IF(B3363="","",IFERROR(VLOOKUP(B3363,'Daftar Outlet'!$A$4:$B$22,2,FALSE),""))</f>
        <v/>
      </c>
      <c r="D3363" s="8" t="n"/>
      <c r="E3363" s="6" t="n"/>
      <c r="F3363" s="8" t="n"/>
    </row>
    <row r="3364">
      <c r="A3364" s="7" t="n"/>
      <c r="B3364" s="8" t="n"/>
      <c r="C3364" s="9">
        <f>IF(B3364="","",IFERROR(VLOOKUP(B3364,'Daftar Outlet'!$A$4:$B$22,2,FALSE),""))</f>
        <v/>
      </c>
      <c r="D3364" s="8" t="n"/>
      <c r="E3364" s="6" t="n"/>
      <c r="F3364" s="8" t="n"/>
    </row>
    <row r="3365">
      <c r="A3365" s="7" t="n"/>
      <c r="B3365" s="8" t="n"/>
      <c r="C3365" s="9">
        <f>IF(B3365="","",IFERROR(VLOOKUP(B3365,'Daftar Outlet'!$A$4:$B$22,2,FALSE),""))</f>
        <v/>
      </c>
      <c r="D3365" s="8" t="n"/>
      <c r="E3365" s="6" t="n"/>
      <c r="F3365" s="8" t="n"/>
    </row>
    <row r="3366">
      <c r="A3366" s="7" t="n"/>
      <c r="B3366" s="8" t="n"/>
      <c r="C3366" s="9">
        <f>IF(B3366="","",IFERROR(VLOOKUP(B3366,'Daftar Outlet'!$A$4:$B$22,2,FALSE),""))</f>
        <v/>
      </c>
      <c r="D3366" s="8" t="n"/>
      <c r="E3366" s="6" t="n"/>
      <c r="F3366" s="8" t="n"/>
    </row>
    <row r="3367">
      <c r="A3367" s="7" t="n"/>
      <c r="B3367" s="8" t="n"/>
      <c r="C3367" s="9">
        <f>IF(B3367="","",IFERROR(VLOOKUP(B3367,'Daftar Outlet'!$A$4:$B$22,2,FALSE),""))</f>
        <v/>
      </c>
      <c r="D3367" s="8" t="n"/>
      <c r="E3367" s="6" t="n"/>
      <c r="F3367" s="8" t="n"/>
    </row>
    <row r="3368">
      <c r="A3368" s="7" t="n"/>
      <c r="B3368" s="8" t="n"/>
      <c r="C3368" s="9">
        <f>IF(B3368="","",IFERROR(VLOOKUP(B3368,'Daftar Outlet'!$A$4:$B$22,2,FALSE),""))</f>
        <v/>
      </c>
      <c r="D3368" s="8" t="n"/>
      <c r="E3368" s="6" t="n"/>
      <c r="F3368" s="8" t="n"/>
    </row>
    <row r="3369">
      <c r="A3369" s="7" t="n"/>
      <c r="B3369" s="8" t="n"/>
      <c r="C3369" s="9">
        <f>IF(B3369="","",IFERROR(VLOOKUP(B3369,'Daftar Outlet'!$A$4:$B$22,2,FALSE),""))</f>
        <v/>
      </c>
      <c r="D3369" s="8" t="n"/>
      <c r="E3369" s="6" t="n"/>
      <c r="F3369" s="8" t="n"/>
    </row>
    <row r="3370">
      <c r="A3370" s="7" t="n"/>
      <c r="B3370" s="8" t="n"/>
      <c r="C3370" s="9">
        <f>IF(B3370="","",IFERROR(VLOOKUP(B3370,'Daftar Outlet'!$A$4:$B$22,2,FALSE),""))</f>
        <v/>
      </c>
      <c r="D3370" s="8" t="n"/>
      <c r="E3370" s="6" t="n"/>
      <c r="F3370" s="8" t="n"/>
    </row>
    <row r="3371">
      <c r="A3371" s="7" t="n"/>
      <c r="B3371" s="8" t="n"/>
      <c r="C3371" s="9">
        <f>IF(B3371="","",IFERROR(VLOOKUP(B3371,'Daftar Outlet'!$A$4:$B$22,2,FALSE),""))</f>
        <v/>
      </c>
      <c r="D3371" s="8" t="n"/>
      <c r="E3371" s="6" t="n"/>
      <c r="F3371" s="8" t="n"/>
    </row>
    <row r="3372">
      <c r="A3372" s="7" t="n"/>
      <c r="B3372" s="8" t="n"/>
      <c r="C3372" s="9">
        <f>IF(B3372="","",IFERROR(VLOOKUP(B3372,'Daftar Outlet'!$A$4:$B$22,2,FALSE),""))</f>
        <v/>
      </c>
      <c r="D3372" s="8" t="n"/>
      <c r="E3372" s="6" t="n"/>
      <c r="F3372" s="8" t="n"/>
    </row>
    <row r="3373">
      <c r="A3373" s="7" t="n"/>
      <c r="B3373" s="8" t="n"/>
      <c r="C3373" s="9">
        <f>IF(B3373="","",IFERROR(VLOOKUP(B3373,'Daftar Outlet'!$A$4:$B$22,2,FALSE),""))</f>
        <v/>
      </c>
      <c r="D3373" s="8" t="n"/>
      <c r="E3373" s="6" t="n"/>
      <c r="F3373" s="8" t="n"/>
    </row>
    <row r="3374">
      <c r="A3374" s="7" t="n"/>
      <c r="B3374" s="8" t="n"/>
      <c r="C3374" s="9">
        <f>IF(B3374="","",IFERROR(VLOOKUP(B3374,'Daftar Outlet'!$A$4:$B$22,2,FALSE),""))</f>
        <v/>
      </c>
      <c r="D3374" s="8" t="n"/>
      <c r="E3374" s="6" t="n"/>
      <c r="F3374" s="8" t="n"/>
    </row>
    <row r="3375">
      <c r="A3375" s="7" t="n"/>
      <c r="B3375" s="8" t="n"/>
      <c r="C3375" s="9">
        <f>IF(B3375="","",IFERROR(VLOOKUP(B3375,'Daftar Outlet'!$A$4:$B$22,2,FALSE),""))</f>
        <v/>
      </c>
      <c r="D3375" s="8" t="n"/>
      <c r="E3375" s="6" t="n"/>
      <c r="F3375" s="8" t="n"/>
    </row>
    <row r="3376">
      <c r="A3376" s="7" t="n"/>
      <c r="B3376" s="8" t="n"/>
      <c r="C3376" s="9">
        <f>IF(B3376="","",IFERROR(VLOOKUP(B3376,'Daftar Outlet'!$A$4:$B$22,2,FALSE),""))</f>
        <v/>
      </c>
      <c r="D3376" s="8" t="n"/>
      <c r="E3376" s="6" t="n"/>
      <c r="F3376" s="8" t="n"/>
    </row>
    <row r="3377">
      <c r="A3377" s="7" t="n"/>
      <c r="B3377" s="8" t="n"/>
      <c r="C3377" s="9">
        <f>IF(B3377="","",IFERROR(VLOOKUP(B3377,'Daftar Outlet'!$A$4:$B$22,2,FALSE),""))</f>
        <v/>
      </c>
      <c r="D3377" s="8" t="n"/>
      <c r="E3377" s="6" t="n"/>
      <c r="F3377" s="8" t="n"/>
    </row>
    <row r="3378">
      <c r="A3378" s="7" t="n"/>
      <c r="B3378" s="8" t="n"/>
      <c r="C3378" s="9">
        <f>IF(B3378="","",IFERROR(VLOOKUP(B3378,'Daftar Outlet'!$A$4:$B$22,2,FALSE),""))</f>
        <v/>
      </c>
      <c r="D3378" s="8" t="n"/>
      <c r="E3378" s="6" t="n"/>
      <c r="F3378" s="8" t="n"/>
    </row>
    <row r="3379">
      <c r="A3379" s="7" t="n"/>
      <c r="B3379" s="8" t="n"/>
      <c r="C3379" s="9">
        <f>IF(B3379="","",IFERROR(VLOOKUP(B3379,'Daftar Outlet'!$A$4:$B$22,2,FALSE),""))</f>
        <v/>
      </c>
      <c r="D3379" s="8" t="n"/>
      <c r="E3379" s="6" t="n"/>
      <c r="F3379" s="8" t="n"/>
    </row>
    <row r="3380">
      <c r="A3380" s="7" t="n"/>
      <c r="B3380" s="8" t="n"/>
      <c r="C3380" s="9">
        <f>IF(B3380="","",IFERROR(VLOOKUP(B3380,'Daftar Outlet'!$A$4:$B$22,2,FALSE),""))</f>
        <v/>
      </c>
      <c r="D3380" s="8" t="n"/>
      <c r="E3380" s="6" t="n"/>
      <c r="F3380" s="8" t="n"/>
    </row>
    <row r="3381">
      <c r="A3381" s="7" t="n"/>
      <c r="B3381" s="8" t="n"/>
      <c r="C3381" s="9">
        <f>IF(B3381="","",IFERROR(VLOOKUP(B3381,'Daftar Outlet'!$A$4:$B$22,2,FALSE),""))</f>
        <v/>
      </c>
      <c r="D3381" s="8" t="n"/>
      <c r="E3381" s="6" t="n"/>
      <c r="F3381" s="8" t="n"/>
    </row>
    <row r="3382">
      <c r="A3382" s="7" t="n"/>
      <c r="B3382" s="8" t="n"/>
      <c r="C3382" s="9">
        <f>IF(B3382="","",IFERROR(VLOOKUP(B3382,'Daftar Outlet'!$A$4:$B$22,2,FALSE),""))</f>
        <v/>
      </c>
      <c r="D3382" s="8" t="n"/>
      <c r="E3382" s="6" t="n"/>
      <c r="F3382" s="8" t="n"/>
    </row>
    <row r="3383">
      <c r="A3383" s="7" t="n"/>
      <c r="B3383" s="8" t="n"/>
      <c r="C3383" s="9">
        <f>IF(B3383="","",IFERROR(VLOOKUP(B3383,'Daftar Outlet'!$A$4:$B$22,2,FALSE),""))</f>
        <v/>
      </c>
      <c r="D3383" s="8" t="n"/>
      <c r="E3383" s="6" t="n"/>
      <c r="F3383" s="8" t="n"/>
    </row>
    <row r="3384">
      <c r="A3384" s="7" t="n"/>
      <c r="B3384" s="8" t="n"/>
      <c r="C3384" s="9">
        <f>IF(B3384="","",IFERROR(VLOOKUP(B3384,'Daftar Outlet'!$A$4:$B$22,2,FALSE),""))</f>
        <v/>
      </c>
      <c r="D3384" s="8" t="n"/>
      <c r="E3384" s="6" t="n"/>
      <c r="F3384" s="8" t="n"/>
    </row>
    <row r="3385">
      <c r="A3385" s="7" t="n"/>
      <c r="B3385" s="8" t="n"/>
      <c r="C3385" s="9">
        <f>IF(B3385="","",IFERROR(VLOOKUP(B3385,'Daftar Outlet'!$A$4:$B$22,2,FALSE),""))</f>
        <v/>
      </c>
      <c r="D3385" s="8" t="n"/>
      <c r="E3385" s="6" t="n"/>
      <c r="F3385" s="8" t="n"/>
    </row>
    <row r="3386">
      <c r="A3386" s="7" t="n"/>
      <c r="B3386" s="8" t="n"/>
      <c r="C3386" s="9">
        <f>IF(B3386="","",IFERROR(VLOOKUP(B3386,'Daftar Outlet'!$A$4:$B$22,2,FALSE),""))</f>
        <v/>
      </c>
      <c r="D3386" s="8" t="n"/>
      <c r="E3386" s="6" t="n"/>
      <c r="F3386" s="8" t="n"/>
    </row>
    <row r="3387">
      <c r="A3387" s="7" t="n"/>
      <c r="B3387" s="8" t="n"/>
      <c r="C3387" s="9">
        <f>IF(B3387="","",IFERROR(VLOOKUP(B3387,'Daftar Outlet'!$A$4:$B$22,2,FALSE),""))</f>
        <v/>
      </c>
      <c r="D3387" s="8" t="n"/>
      <c r="E3387" s="6" t="n"/>
      <c r="F3387" s="8" t="n"/>
    </row>
    <row r="3388">
      <c r="A3388" s="7" t="n"/>
      <c r="B3388" s="8" t="n"/>
      <c r="C3388" s="9">
        <f>IF(B3388="","",IFERROR(VLOOKUP(B3388,'Daftar Outlet'!$A$4:$B$22,2,FALSE),""))</f>
        <v/>
      </c>
      <c r="D3388" s="8" t="n"/>
      <c r="E3388" s="6" t="n"/>
      <c r="F3388" s="8" t="n"/>
    </row>
    <row r="3389">
      <c r="A3389" s="7" t="n"/>
      <c r="B3389" s="8" t="n"/>
      <c r="C3389" s="9">
        <f>IF(B3389="","",IFERROR(VLOOKUP(B3389,'Daftar Outlet'!$A$4:$B$22,2,FALSE),""))</f>
        <v/>
      </c>
      <c r="D3389" s="8" t="n"/>
      <c r="E3389" s="6" t="n"/>
      <c r="F3389" s="8" t="n"/>
    </row>
    <row r="3390">
      <c r="A3390" s="7" t="n"/>
      <c r="B3390" s="8" t="n"/>
      <c r="C3390" s="9">
        <f>IF(B3390="","",IFERROR(VLOOKUP(B3390,'Daftar Outlet'!$A$4:$B$22,2,FALSE),""))</f>
        <v/>
      </c>
      <c r="D3390" s="8" t="n"/>
      <c r="E3390" s="6" t="n"/>
      <c r="F3390" s="8" t="n"/>
    </row>
    <row r="3391">
      <c r="A3391" s="7" t="n"/>
      <c r="B3391" s="8" t="n"/>
      <c r="C3391" s="9">
        <f>IF(B3391="","",IFERROR(VLOOKUP(B3391,'Daftar Outlet'!$A$4:$B$22,2,FALSE),""))</f>
        <v/>
      </c>
      <c r="D3391" s="8" t="n"/>
      <c r="E3391" s="6" t="n"/>
      <c r="F3391" s="8" t="n"/>
    </row>
    <row r="3392">
      <c r="A3392" s="7" t="n"/>
      <c r="B3392" s="8" t="n"/>
      <c r="C3392" s="9">
        <f>IF(B3392="","",IFERROR(VLOOKUP(B3392,'Daftar Outlet'!$A$4:$B$22,2,FALSE),""))</f>
        <v/>
      </c>
      <c r="D3392" s="8" t="n"/>
      <c r="E3392" s="6" t="n"/>
      <c r="F3392" s="8" t="n"/>
    </row>
    <row r="3393">
      <c r="A3393" s="7" t="n"/>
      <c r="B3393" s="8" t="n"/>
      <c r="C3393" s="9">
        <f>IF(B3393="","",IFERROR(VLOOKUP(B3393,'Daftar Outlet'!$A$4:$B$22,2,FALSE),""))</f>
        <v/>
      </c>
      <c r="D3393" s="8" t="n"/>
      <c r="E3393" s="6" t="n"/>
      <c r="F3393" s="8" t="n"/>
    </row>
    <row r="3394">
      <c r="A3394" s="7" t="n"/>
      <c r="B3394" s="8" t="n"/>
      <c r="C3394" s="9">
        <f>IF(B3394="","",IFERROR(VLOOKUP(B3394,'Daftar Outlet'!$A$4:$B$22,2,FALSE),""))</f>
        <v/>
      </c>
      <c r="D3394" s="8" t="n"/>
      <c r="E3394" s="6" t="n"/>
      <c r="F3394" s="8" t="n"/>
    </row>
    <row r="3395">
      <c r="A3395" s="7" t="n"/>
      <c r="B3395" s="8" t="n"/>
      <c r="C3395" s="9">
        <f>IF(B3395="","",IFERROR(VLOOKUP(B3395,'Daftar Outlet'!$A$4:$B$22,2,FALSE),""))</f>
        <v/>
      </c>
      <c r="D3395" s="8" t="n"/>
      <c r="E3395" s="6" t="n"/>
      <c r="F3395" s="8" t="n"/>
    </row>
    <row r="3396">
      <c r="A3396" s="7" t="n"/>
      <c r="B3396" s="8" t="n"/>
      <c r="C3396" s="9">
        <f>IF(B3396="","",IFERROR(VLOOKUP(B3396,'Daftar Outlet'!$A$4:$B$22,2,FALSE),""))</f>
        <v/>
      </c>
      <c r="D3396" s="8" t="n"/>
      <c r="E3396" s="6" t="n"/>
      <c r="F3396" s="8" t="n"/>
    </row>
    <row r="3397">
      <c r="A3397" s="7" t="n"/>
      <c r="B3397" s="8" t="n"/>
      <c r="C3397" s="9">
        <f>IF(B3397="","",IFERROR(VLOOKUP(B3397,'Daftar Outlet'!$A$4:$B$22,2,FALSE),""))</f>
        <v/>
      </c>
      <c r="D3397" s="8" t="n"/>
      <c r="E3397" s="6" t="n"/>
      <c r="F3397" s="8" t="n"/>
    </row>
    <row r="3398">
      <c r="A3398" s="7" t="n"/>
      <c r="B3398" s="8" t="n"/>
      <c r="C3398" s="9">
        <f>IF(B3398="","",IFERROR(VLOOKUP(B3398,'Daftar Outlet'!$A$4:$B$22,2,FALSE),""))</f>
        <v/>
      </c>
      <c r="D3398" s="8" t="n"/>
      <c r="E3398" s="6" t="n"/>
      <c r="F3398" s="8" t="n"/>
    </row>
    <row r="3399">
      <c r="A3399" s="7" t="n"/>
      <c r="B3399" s="8" t="n"/>
      <c r="C3399" s="9">
        <f>IF(B3399="","",IFERROR(VLOOKUP(B3399,'Daftar Outlet'!$A$4:$B$22,2,FALSE),""))</f>
        <v/>
      </c>
      <c r="D3399" s="8" t="n"/>
      <c r="E3399" s="6" t="n"/>
      <c r="F3399" s="8" t="n"/>
    </row>
    <row r="3400">
      <c r="A3400" s="7" t="n"/>
      <c r="B3400" s="8" t="n"/>
      <c r="C3400" s="9">
        <f>IF(B3400="","",IFERROR(VLOOKUP(B3400,'Daftar Outlet'!$A$4:$B$22,2,FALSE),""))</f>
        <v/>
      </c>
      <c r="D3400" s="8" t="n"/>
      <c r="E3400" s="6" t="n"/>
      <c r="F3400" s="8" t="n"/>
    </row>
    <row r="3401">
      <c r="A3401" s="7" t="n"/>
      <c r="B3401" s="8" t="n"/>
      <c r="C3401" s="9">
        <f>IF(B3401="","",IFERROR(VLOOKUP(B3401,'Daftar Outlet'!$A$4:$B$22,2,FALSE),""))</f>
        <v/>
      </c>
      <c r="D3401" s="8" t="n"/>
      <c r="E3401" s="6" t="n"/>
      <c r="F3401" s="8" t="n"/>
    </row>
    <row r="3402">
      <c r="A3402" s="7" t="n"/>
      <c r="B3402" s="8" t="n"/>
      <c r="C3402" s="9">
        <f>IF(B3402="","",IFERROR(VLOOKUP(B3402,'Daftar Outlet'!$A$4:$B$22,2,FALSE),""))</f>
        <v/>
      </c>
      <c r="D3402" s="8" t="n"/>
      <c r="E3402" s="6" t="n"/>
      <c r="F3402" s="8" t="n"/>
    </row>
    <row r="3403">
      <c r="A3403" s="7" t="n"/>
      <c r="B3403" s="8" t="n"/>
      <c r="C3403" s="9">
        <f>IF(B3403="","",IFERROR(VLOOKUP(B3403,'Daftar Outlet'!$A$4:$B$22,2,FALSE),""))</f>
        <v/>
      </c>
      <c r="D3403" s="8" t="n"/>
      <c r="E3403" s="6" t="n"/>
      <c r="F3403" s="8" t="n"/>
    </row>
    <row r="3404">
      <c r="A3404" s="7" t="n"/>
      <c r="B3404" s="8" t="n"/>
      <c r="C3404" s="9">
        <f>IF(B3404="","",IFERROR(VLOOKUP(B3404,'Daftar Outlet'!$A$4:$B$22,2,FALSE),""))</f>
        <v/>
      </c>
      <c r="D3404" s="8" t="n"/>
      <c r="E3404" s="6" t="n"/>
      <c r="F3404" s="8" t="n"/>
    </row>
    <row r="3405">
      <c r="A3405" s="7" t="n"/>
      <c r="B3405" s="8" t="n"/>
      <c r="C3405" s="9">
        <f>IF(B3405="","",IFERROR(VLOOKUP(B3405,'Daftar Outlet'!$A$4:$B$22,2,FALSE),""))</f>
        <v/>
      </c>
      <c r="D3405" s="8" t="n"/>
      <c r="E3405" s="6" t="n"/>
      <c r="F3405" s="8" t="n"/>
    </row>
    <row r="3406">
      <c r="A3406" s="7" t="n"/>
      <c r="B3406" s="8" t="n"/>
      <c r="C3406" s="9">
        <f>IF(B3406="","",IFERROR(VLOOKUP(B3406,'Daftar Outlet'!$A$4:$B$22,2,FALSE),""))</f>
        <v/>
      </c>
      <c r="D3406" s="8" t="n"/>
      <c r="E3406" s="6" t="n"/>
      <c r="F3406" s="8" t="n"/>
    </row>
    <row r="3407">
      <c r="A3407" s="7" t="n"/>
      <c r="B3407" s="8" t="n"/>
      <c r="C3407" s="9">
        <f>IF(B3407="","",IFERROR(VLOOKUP(B3407,'Daftar Outlet'!$A$4:$B$22,2,FALSE),""))</f>
        <v/>
      </c>
      <c r="D3407" s="8" t="n"/>
      <c r="E3407" s="6" t="n"/>
      <c r="F3407" s="8" t="n"/>
    </row>
    <row r="3408">
      <c r="A3408" s="7" t="n"/>
      <c r="B3408" s="8" t="n"/>
      <c r="C3408" s="9">
        <f>IF(B3408="","",IFERROR(VLOOKUP(B3408,'Daftar Outlet'!$A$4:$B$22,2,FALSE),""))</f>
        <v/>
      </c>
      <c r="D3408" s="8" t="n"/>
      <c r="E3408" s="6" t="n"/>
      <c r="F3408" s="8" t="n"/>
    </row>
    <row r="3409">
      <c r="A3409" s="7" t="n"/>
      <c r="B3409" s="8" t="n"/>
      <c r="C3409" s="9">
        <f>IF(B3409="","",IFERROR(VLOOKUP(B3409,'Daftar Outlet'!$A$4:$B$22,2,FALSE),""))</f>
        <v/>
      </c>
      <c r="D3409" s="8" t="n"/>
      <c r="E3409" s="6" t="n"/>
      <c r="F3409" s="8" t="n"/>
    </row>
    <row r="3410">
      <c r="A3410" s="7" t="n"/>
      <c r="B3410" s="8" t="n"/>
      <c r="C3410" s="9">
        <f>IF(B3410="","",IFERROR(VLOOKUP(B3410,'Daftar Outlet'!$A$4:$B$22,2,FALSE),""))</f>
        <v/>
      </c>
      <c r="D3410" s="8" t="n"/>
      <c r="E3410" s="6" t="n"/>
      <c r="F3410" s="8" t="n"/>
    </row>
    <row r="3411">
      <c r="A3411" s="7" t="n"/>
      <c r="B3411" s="8" t="n"/>
      <c r="C3411" s="9">
        <f>IF(B3411="","",IFERROR(VLOOKUP(B3411,'Daftar Outlet'!$A$4:$B$22,2,FALSE),""))</f>
        <v/>
      </c>
      <c r="D3411" s="8" t="n"/>
      <c r="E3411" s="6" t="n"/>
      <c r="F3411" s="8" t="n"/>
    </row>
    <row r="3412">
      <c r="A3412" s="7" t="n"/>
      <c r="B3412" s="8" t="n"/>
      <c r="C3412" s="9">
        <f>IF(B3412="","",IFERROR(VLOOKUP(B3412,'Daftar Outlet'!$A$4:$B$22,2,FALSE),""))</f>
        <v/>
      </c>
      <c r="D3412" s="8" t="n"/>
      <c r="E3412" s="6" t="n"/>
      <c r="F3412" s="8" t="n"/>
    </row>
    <row r="3413">
      <c r="A3413" s="7" t="n"/>
      <c r="B3413" s="8" t="n"/>
      <c r="C3413" s="9">
        <f>IF(B3413="","",IFERROR(VLOOKUP(B3413,'Daftar Outlet'!$A$4:$B$22,2,FALSE),""))</f>
        <v/>
      </c>
      <c r="D3413" s="8" t="n"/>
      <c r="E3413" s="6" t="n"/>
      <c r="F3413" s="8" t="n"/>
    </row>
    <row r="3414">
      <c r="A3414" s="7" t="n"/>
      <c r="B3414" s="8" t="n"/>
      <c r="C3414" s="9">
        <f>IF(B3414="","",IFERROR(VLOOKUP(B3414,'Daftar Outlet'!$A$4:$B$22,2,FALSE),""))</f>
        <v/>
      </c>
      <c r="D3414" s="8" t="n"/>
      <c r="E3414" s="6" t="n"/>
      <c r="F3414" s="8" t="n"/>
    </row>
    <row r="3415">
      <c r="A3415" s="7" t="n"/>
      <c r="B3415" s="8" t="n"/>
      <c r="C3415" s="9">
        <f>IF(B3415="","",IFERROR(VLOOKUP(B3415,'Daftar Outlet'!$A$4:$B$22,2,FALSE),""))</f>
        <v/>
      </c>
      <c r="D3415" s="8" t="n"/>
      <c r="E3415" s="6" t="n"/>
      <c r="F3415" s="8" t="n"/>
    </row>
    <row r="3416">
      <c r="A3416" s="7" t="n"/>
      <c r="B3416" s="8" t="n"/>
      <c r="C3416" s="9">
        <f>IF(B3416="","",IFERROR(VLOOKUP(B3416,'Daftar Outlet'!$A$4:$B$22,2,FALSE),""))</f>
        <v/>
      </c>
      <c r="D3416" s="8" t="n"/>
      <c r="E3416" s="6" t="n"/>
      <c r="F3416" s="8" t="n"/>
    </row>
    <row r="3417">
      <c r="A3417" s="7" t="n"/>
      <c r="B3417" s="8" t="n"/>
      <c r="C3417" s="9">
        <f>IF(B3417="","",IFERROR(VLOOKUP(B3417,'Daftar Outlet'!$A$4:$B$22,2,FALSE),""))</f>
        <v/>
      </c>
      <c r="D3417" s="8" t="n"/>
      <c r="E3417" s="6" t="n"/>
      <c r="F3417" s="8" t="n"/>
    </row>
    <row r="3418">
      <c r="A3418" s="7" t="n"/>
      <c r="B3418" s="8" t="n"/>
      <c r="C3418" s="9">
        <f>IF(B3418="","",IFERROR(VLOOKUP(B3418,'Daftar Outlet'!$A$4:$B$22,2,FALSE),""))</f>
        <v/>
      </c>
      <c r="D3418" s="8" t="n"/>
      <c r="E3418" s="6" t="n"/>
      <c r="F3418" s="8" t="n"/>
    </row>
    <row r="3419">
      <c r="A3419" s="7" t="n"/>
      <c r="B3419" s="8" t="n"/>
      <c r="C3419" s="9">
        <f>IF(B3419="","",IFERROR(VLOOKUP(B3419,'Daftar Outlet'!$A$4:$B$22,2,FALSE),""))</f>
        <v/>
      </c>
      <c r="D3419" s="8" t="n"/>
      <c r="E3419" s="6" t="n"/>
      <c r="F3419" s="8" t="n"/>
    </row>
    <row r="3420">
      <c r="A3420" s="7" t="n"/>
      <c r="B3420" s="8" t="n"/>
      <c r="C3420" s="9">
        <f>IF(B3420="","",IFERROR(VLOOKUP(B3420,'Daftar Outlet'!$A$4:$B$22,2,FALSE),""))</f>
        <v/>
      </c>
      <c r="D3420" s="8" t="n"/>
      <c r="E3420" s="6" t="n"/>
      <c r="F3420" s="8" t="n"/>
    </row>
    <row r="3421">
      <c r="A3421" s="7" t="n"/>
      <c r="B3421" s="8" t="n"/>
      <c r="C3421" s="9">
        <f>IF(B3421="","",IFERROR(VLOOKUP(B3421,'Daftar Outlet'!$A$4:$B$22,2,FALSE),""))</f>
        <v/>
      </c>
      <c r="D3421" s="8" t="n"/>
      <c r="E3421" s="6" t="n"/>
      <c r="F3421" s="8" t="n"/>
    </row>
    <row r="3422">
      <c r="A3422" s="7" t="n"/>
      <c r="B3422" s="8" t="n"/>
      <c r="C3422" s="9">
        <f>IF(B3422="","",IFERROR(VLOOKUP(B3422,'Daftar Outlet'!$A$4:$B$22,2,FALSE),""))</f>
        <v/>
      </c>
      <c r="D3422" s="8" t="n"/>
      <c r="E3422" s="6" t="n"/>
      <c r="F3422" s="8" t="n"/>
    </row>
    <row r="3423">
      <c r="A3423" s="7" t="n"/>
      <c r="B3423" s="8" t="n"/>
      <c r="C3423" s="9">
        <f>IF(B3423="","",IFERROR(VLOOKUP(B3423,'Daftar Outlet'!$A$4:$B$22,2,FALSE),""))</f>
        <v/>
      </c>
      <c r="D3423" s="8" t="n"/>
      <c r="E3423" s="6" t="n"/>
      <c r="F3423" s="8" t="n"/>
    </row>
    <row r="3424">
      <c r="A3424" s="7" t="n"/>
      <c r="B3424" s="8" t="n"/>
      <c r="C3424" s="9">
        <f>IF(B3424="","",IFERROR(VLOOKUP(B3424,'Daftar Outlet'!$A$4:$B$22,2,FALSE),""))</f>
        <v/>
      </c>
      <c r="D3424" s="8" t="n"/>
      <c r="E3424" s="6" t="n"/>
      <c r="F3424" s="8" t="n"/>
    </row>
    <row r="3425">
      <c r="A3425" s="7" t="n"/>
      <c r="B3425" s="8" t="n"/>
      <c r="C3425" s="9">
        <f>IF(B3425="","",IFERROR(VLOOKUP(B3425,'Daftar Outlet'!$A$4:$B$22,2,FALSE),""))</f>
        <v/>
      </c>
      <c r="D3425" s="8" t="n"/>
      <c r="E3425" s="6" t="n"/>
      <c r="F3425" s="8" t="n"/>
    </row>
    <row r="3426">
      <c r="A3426" s="7" t="n"/>
      <c r="B3426" s="8" t="n"/>
      <c r="C3426" s="9">
        <f>IF(B3426="","",IFERROR(VLOOKUP(B3426,'Daftar Outlet'!$A$4:$B$22,2,FALSE),""))</f>
        <v/>
      </c>
      <c r="D3426" s="8" t="n"/>
      <c r="E3426" s="6" t="n"/>
      <c r="F3426" s="8" t="n"/>
    </row>
    <row r="3427">
      <c r="A3427" s="7" t="n"/>
      <c r="B3427" s="8" t="n"/>
      <c r="C3427" s="9">
        <f>IF(B3427="","",IFERROR(VLOOKUP(B3427,'Daftar Outlet'!$A$4:$B$22,2,FALSE),""))</f>
        <v/>
      </c>
      <c r="D3427" s="8" t="n"/>
      <c r="E3427" s="6" t="n"/>
      <c r="F3427" s="8" t="n"/>
    </row>
    <row r="3428">
      <c r="A3428" s="7" t="n"/>
      <c r="B3428" s="8" t="n"/>
      <c r="C3428" s="9">
        <f>IF(B3428="","",IFERROR(VLOOKUP(B3428,'Daftar Outlet'!$A$4:$B$22,2,FALSE),""))</f>
        <v/>
      </c>
      <c r="D3428" s="8" t="n"/>
      <c r="E3428" s="6" t="n"/>
      <c r="F3428" s="8" t="n"/>
    </row>
    <row r="3429">
      <c r="A3429" s="7" t="n"/>
      <c r="B3429" s="8" t="n"/>
      <c r="C3429" s="9">
        <f>IF(B3429="","",IFERROR(VLOOKUP(B3429,'Daftar Outlet'!$A$4:$B$22,2,FALSE),""))</f>
        <v/>
      </c>
      <c r="D3429" s="8" t="n"/>
      <c r="E3429" s="6" t="n"/>
      <c r="F3429" s="8" t="n"/>
    </row>
    <row r="3430">
      <c r="A3430" s="7" t="n"/>
      <c r="B3430" s="8" t="n"/>
      <c r="C3430" s="9">
        <f>IF(B3430="","",IFERROR(VLOOKUP(B3430,'Daftar Outlet'!$A$4:$B$22,2,FALSE),""))</f>
        <v/>
      </c>
      <c r="D3430" s="8" t="n"/>
      <c r="E3430" s="6" t="n"/>
      <c r="F3430" s="8" t="n"/>
    </row>
    <row r="3431">
      <c r="A3431" s="7" t="n"/>
      <c r="B3431" s="8" t="n"/>
      <c r="C3431" s="9">
        <f>IF(B3431="","",IFERROR(VLOOKUP(B3431,'Daftar Outlet'!$A$4:$B$22,2,FALSE),""))</f>
        <v/>
      </c>
      <c r="D3431" s="8" t="n"/>
      <c r="E3431" s="6" t="n"/>
      <c r="F3431" s="8" t="n"/>
    </row>
    <row r="3432">
      <c r="A3432" s="7" t="n"/>
      <c r="B3432" s="8" t="n"/>
      <c r="C3432" s="9">
        <f>IF(B3432="","",IFERROR(VLOOKUP(B3432,'Daftar Outlet'!$A$4:$B$22,2,FALSE),""))</f>
        <v/>
      </c>
      <c r="D3432" s="8" t="n"/>
      <c r="E3432" s="6" t="n"/>
      <c r="F3432" s="8" t="n"/>
    </row>
    <row r="3433">
      <c r="A3433" s="7" t="n"/>
      <c r="B3433" s="8" t="n"/>
      <c r="C3433" s="9">
        <f>IF(B3433="","",IFERROR(VLOOKUP(B3433,'Daftar Outlet'!$A$4:$B$22,2,FALSE),""))</f>
        <v/>
      </c>
      <c r="D3433" s="8" t="n"/>
      <c r="E3433" s="6" t="n"/>
      <c r="F3433" s="8" t="n"/>
    </row>
    <row r="3434">
      <c r="A3434" s="7" t="n"/>
      <c r="B3434" s="8" t="n"/>
      <c r="C3434" s="9">
        <f>IF(B3434="","",IFERROR(VLOOKUP(B3434,'Daftar Outlet'!$A$4:$B$22,2,FALSE),""))</f>
        <v/>
      </c>
      <c r="D3434" s="8" t="n"/>
      <c r="E3434" s="6" t="n"/>
      <c r="F3434" s="8" t="n"/>
    </row>
    <row r="3435">
      <c r="A3435" s="7" t="n"/>
      <c r="B3435" s="8" t="n"/>
      <c r="C3435" s="9">
        <f>IF(B3435="","",IFERROR(VLOOKUP(B3435,'Daftar Outlet'!$A$4:$B$22,2,FALSE),""))</f>
        <v/>
      </c>
      <c r="D3435" s="8" t="n"/>
      <c r="E3435" s="6" t="n"/>
      <c r="F3435" s="8" t="n"/>
    </row>
    <row r="3436">
      <c r="A3436" s="7" t="n"/>
      <c r="B3436" s="8" t="n"/>
      <c r="C3436" s="9">
        <f>IF(B3436="","",IFERROR(VLOOKUP(B3436,'Daftar Outlet'!$A$4:$B$22,2,FALSE),""))</f>
        <v/>
      </c>
      <c r="D3436" s="8" t="n"/>
      <c r="E3436" s="6" t="n"/>
      <c r="F3436" s="8" t="n"/>
    </row>
    <row r="3437">
      <c r="A3437" s="7" t="n"/>
      <c r="B3437" s="8" t="n"/>
      <c r="C3437" s="9">
        <f>IF(B3437="","",IFERROR(VLOOKUP(B3437,'Daftar Outlet'!$A$4:$B$22,2,FALSE),""))</f>
        <v/>
      </c>
      <c r="D3437" s="8" t="n"/>
      <c r="E3437" s="6" t="n"/>
      <c r="F3437" s="8" t="n"/>
    </row>
    <row r="3438">
      <c r="A3438" s="7" t="n"/>
      <c r="B3438" s="8" t="n"/>
      <c r="C3438" s="9">
        <f>IF(B3438="","",IFERROR(VLOOKUP(B3438,'Daftar Outlet'!$A$4:$B$22,2,FALSE),""))</f>
        <v/>
      </c>
      <c r="D3438" s="8" t="n"/>
      <c r="E3438" s="6" t="n"/>
      <c r="F3438" s="8" t="n"/>
    </row>
    <row r="3439">
      <c r="A3439" s="7" t="n"/>
      <c r="B3439" s="8" t="n"/>
      <c r="C3439" s="9">
        <f>IF(B3439="","",IFERROR(VLOOKUP(B3439,'Daftar Outlet'!$A$4:$B$22,2,FALSE),""))</f>
        <v/>
      </c>
      <c r="D3439" s="8" t="n"/>
      <c r="E3439" s="6" t="n"/>
      <c r="F3439" s="8" t="n"/>
    </row>
    <row r="3440">
      <c r="A3440" s="7" t="n"/>
      <c r="B3440" s="8" t="n"/>
      <c r="C3440" s="9">
        <f>IF(B3440="","",IFERROR(VLOOKUP(B3440,'Daftar Outlet'!$A$4:$B$22,2,FALSE),""))</f>
        <v/>
      </c>
      <c r="D3440" s="8" t="n"/>
      <c r="E3440" s="6" t="n"/>
      <c r="F3440" s="8" t="n"/>
    </row>
    <row r="3441">
      <c r="A3441" s="7" t="n"/>
      <c r="B3441" s="8" t="n"/>
      <c r="C3441" s="9">
        <f>IF(B3441="","",IFERROR(VLOOKUP(B3441,'Daftar Outlet'!$A$4:$B$22,2,FALSE),""))</f>
        <v/>
      </c>
      <c r="D3441" s="8" t="n"/>
      <c r="E3441" s="6" t="n"/>
      <c r="F3441" s="8" t="n"/>
    </row>
    <row r="3442">
      <c r="A3442" s="7" t="n"/>
      <c r="B3442" s="8" t="n"/>
      <c r="C3442" s="9">
        <f>IF(B3442="","",IFERROR(VLOOKUP(B3442,'Daftar Outlet'!$A$4:$B$22,2,FALSE),""))</f>
        <v/>
      </c>
      <c r="D3442" s="8" t="n"/>
      <c r="E3442" s="6" t="n"/>
      <c r="F3442" s="8" t="n"/>
    </row>
    <row r="3443">
      <c r="A3443" s="7" t="n"/>
      <c r="B3443" s="8" t="n"/>
      <c r="C3443" s="9">
        <f>IF(B3443="","",IFERROR(VLOOKUP(B3443,'Daftar Outlet'!$A$4:$B$22,2,FALSE),""))</f>
        <v/>
      </c>
      <c r="D3443" s="8" t="n"/>
      <c r="E3443" s="6" t="n"/>
      <c r="F3443" s="8" t="n"/>
    </row>
    <row r="3444">
      <c r="A3444" s="7" t="n"/>
      <c r="B3444" s="8" t="n"/>
      <c r="C3444" s="9">
        <f>IF(B3444="","",IFERROR(VLOOKUP(B3444,'Daftar Outlet'!$A$4:$B$22,2,FALSE),""))</f>
        <v/>
      </c>
      <c r="D3444" s="8" t="n"/>
      <c r="E3444" s="6" t="n"/>
      <c r="F3444" s="8" t="n"/>
    </row>
    <row r="3445">
      <c r="A3445" s="7" t="n"/>
      <c r="B3445" s="8" t="n"/>
      <c r="C3445" s="9">
        <f>IF(B3445="","",IFERROR(VLOOKUP(B3445,'Daftar Outlet'!$A$4:$B$22,2,FALSE),""))</f>
        <v/>
      </c>
      <c r="D3445" s="8" t="n"/>
      <c r="E3445" s="6" t="n"/>
      <c r="F3445" s="8" t="n"/>
    </row>
    <row r="3446">
      <c r="A3446" s="7" t="n"/>
      <c r="B3446" s="8" t="n"/>
      <c r="C3446" s="9">
        <f>IF(B3446="","",IFERROR(VLOOKUP(B3446,'Daftar Outlet'!$A$4:$B$22,2,FALSE),""))</f>
        <v/>
      </c>
      <c r="D3446" s="8" t="n"/>
      <c r="E3446" s="6" t="n"/>
      <c r="F3446" s="8" t="n"/>
    </row>
    <row r="3447">
      <c r="A3447" s="7" t="n"/>
      <c r="B3447" s="8" t="n"/>
      <c r="C3447" s="9">
        <f>IF(B3447="","",IFERROR(VLOOKUP(B3447,'Daftar Outlet'!$A$4:$B$22,2,FALSE),""))</f>
        <v/>
      </c>
      <c r="D3447" s="8" t="n"/>
      <c r="E3447" s="6" t="n"/>
      <c r="F3447" s="8" t="n"/>
    </row>
    <row r="3448">
      <c r="A3448" s="7" t="n"/>
      <c r="B3448" s="8" t="n"/>
      <c r="C3448" s="9">
        <f>IF(B3448="","",IFERROR(VLOOKUP(B3448,'Daftar Outlet'!$A$4:$B$22,2,FALSE),""))</f>
        <v/>
      </c>
      <c r="D3448" s="8" t="n"/>
      <c r="E3448" s="6" t="n"/>
      <c r="F3448" s="8" t="n"/>
    </row>
    <row r="3449">
      <c r="A3449" s="7" t="n"/>
      <c r="B3449" s="8" t="n"/>
      <c r="C3449" s="9">
        <f>IF(B3449="","",IFERROR(VLOOKUP(B3449,'Daftar Outlet'!$A$4:$B$22,2,FALSE),""))</f>
        <v/>
      </c>
      <c r="D3449" s="8" t="n"/>
      <c r="E3449" s="6" t="n"/>
      <c r="F3449" s="8" t="n"/>
    </row>
    <row r="3450">
      <c r="A3450" s="7" t="n"/>
      <c r="B3450" s="8" t="n"/>
      <c r="C3450" s="9">
        <f>IF(B3450="","",IFERROR(VLOOKUP(B3450,'Daftar Outlet'!$A$4:$B$22,2,FALSE),""))</f>
        <v/>
      </c>
      <c r="D3450" s="8" t="n"/>
      <c r="E3450" s="6" t="n"/>
      <c r="F3450" s="8" t="n"/>
    </row>
    <row r="3451">
      <c r="A3451" s="7" t="n"/>
      <c r="B3451" s="8" t="n"/>
      <c r="C3451" s="9">
        <f>IF(B3451="","",IFERROR(VLOOKUP(B3451,'Daftar Outlet'!$A$4:$B$22,2,FALSE),""))</f>
        <v/>
      </c>
      <c r="D3451" s="8" t="n"/>
      <c r="E3451" s="6" t="n"/>
      <c r="F3451" s="8" t="n"/>
    </row>
    <row r="3452">
      <c r="A3452" s="7" t="n"/>
      <c r="B3452" s="8" t="n"/>
      <c r="C3452" s="9">
        <f>IF(B3452="","",IFERROR(VLOOKUP(B3452,'Daftar Outlet'!$A$4:$B$22,2,FALSE),""))</f>
        <v/>
      </c>
      <c r="D3452" s="8" t="n"/>
      <c r="E3452" s="6" t="n"/>
      <c r="F3452" s="8" t="n"/>
    </row>
    <row r="3453">
      <c r="A3453" s="7" t="n"/>
      <c r="B3453" s="8" t="n"/>
      <c r="C3453" s="9">
        <f>IF(B3453="","",IFERROR(VLOOKUP(B3453,'Daftar Outlet'!$A$4:$B$22,2,FALSE),""))</f>
        <v/>
      </c>
      <c r="D3453" s="8" t="n"/>
      <c r="E3453" s="6" t="n"/>
      <c r="F3453" s="8" t="n"/>
    </row>
    <row r="3454">
      <c r="A3454" s="7" t="n"/>
      <c r="B3454" s="8" t="n"/>
      <c r="C3454" s="9">
        <f>IF(B3454="","",IFERROR(VLOOKUP(B3454,'Daftar Outlet'!$A$4:$B$22,2,FALSE),""))</f>
        <v/>
      </c>
      <c r="D3454" s="8" t="n"/>
      <c r="E3454" s="6" t="n"/>
      <c r="F3454" s="8" t="n"/>
    </row>
    <row r="3455">
      <c r="A3455" s="7" t="n"/>
      <c r="B3455" s="8" t="n"/>
      <c r="C3455" s="9">
        <f>IF(B3455="","",IFERROR(VLOOKUP(B3455,'Daftar Outlet'!$A$4:$B$22,2,FALSE),""))</f>
        <v/>
      </c>
      <c r="D3455" s="8" t="n"/>
      <c r="E3455" s="6" t="n"/>
      <c r="F3455" s="8" t="n"/>
    </row>
    <row r="3456">
      <c r="A3456" s="7" t="n"/>
      <c r="B3456" s="8" t="n"/>
      <c r="C3456" s="9">
        <f>IF(B3456="","",IFERROR(VLOOKUP(B3456,'Daftar Outlet'!$A$4:$B$22,2,FALSE),""))</f>
        <v/>
      </c>
      <c r="D3456" s="8" t="n"/>
      <c r="E3456" s="6" t="n"/>
      <c r="F3456" s="8" t="n"/>
    </row>
    <row r="3457">
      <c r="A3457" s="7" t="n"/>
      <c r="B3457" s="8" t="n"/>
      <c r="C3457" s="9">
        <f>IF(B3457="","",IFERROR(VLOOKUP(B3457,'Daftar Outlet'!$A$4:$B$22,2,FALSE),""))</f>
        <v/>
      </c>
      <c r="D3457" s="8" t="n"/>
      <c r="E3457" s="6" t="n"/>
      <c r="F3457" s="8" t="n"/>
    </row>
    <row r="3458">
      <c r="A3458" s="7" t="n"/>
      <c r="B3458" s="8" t="n"/>
      <c r="C3458" s="9">
        <f>IF(B3458="","",IFERROR(VLOOKUP(B3458,'Daftar Outlet'!$A$4:$B$22,2,FALSE),""))</f>
        <v/>
      </c>
      <c r="D3458" s="8" t="n"/>
      <c r="E3458" s="6" t="n"/>
      <c r="F3458" s="8" t="n"/>
    </row>
    <row r="3459">
      <c r="A3459" s="7" t="n"/>
      <c r="B3459" s="8" t="n"/>
      <c r="C3459" s="9">
        <f>IF(B3459="","",IFERROR(VLOOKUP(B3459,'Daftar Outlet'!$A$4:$B$22,2,FALSE),""))</f>
        <v/>
      </c>
      <c r="D3459" s="8" t="n"/>
      <c r="E3459" s="6" t="n"/>
      <c r="F3459" s="8" t="n"/>
    </row>
    <row r="3460">
      <c r="A3460" s="7" t="n"/>
      <c r="B3460" s="8" t="n"/>
      <c r="C3460" s="9">
        <f>IF(B3460="","",IFERROR(VLOOKUP(B3460,'Daftar Outlet'!$A$4:$B$22,2,FALSE),""))</f>
        <v/>
      </c>
      <c r="D3460" s="8" t="n"/>
      <c r="E3460" s="6" t="n"/>
      <c r="F3460" s="8" t="n"/>
    </row>
    <row r="3461">
      <c r="A3461" s="7" t="n"/>
      <c r="B3461" s="8" t="n"/>
      <c r="C3461" s="9">
        <f>IF(B3461="","",IFERROR(VLOOKUP(B3461,'Daftar Outlet'!$A$4:$B$22,2,FALSE),""))</f>
        <v/>
      </c>
      <c r="D3461" s="8" t="n"/>
      <c r="E3461" s="6" t="n"/>
      <c r="F3461" s="8" t="n"/>
    </row>
    <row r="3462">
      <c r="A3462" s="7" t="n"/>
      <c r="B3462" s="8" t="n"/>
      <c r="C3462" s="9">
        <f>IF(B3462="","",IFERROR(VLOOKUP(B3462,'Daftar Outlet'!$A$4:$B$22,2,FALSE),""))</f>
        <v/>
      </c>
      <c r="D3462" s="8" t="n"/>
      <c r="E3462" s="6" t="n"/>
      <c r="F3462" s="8" t="n"/>
    </row>
    <row r="3463">
      <c r="A3463" s="7" t="n"/>
      <c r="B3463" s="8" t="n"/>
      <c r="C3463" s="9">
        <f>IF(B3463="","",IFERROR(VLOOKUP(B3463,'Daftar Outlet'!$A$4:$B$22,2,FALSE),""))</f>
        <v/>
      </c>
      <c r="D3463" s="8" t="n"/>
      <c r="E3463" s="6" t="n"/>
      <c r="F3463" s="8" t="n"/>
    </row>
    <row r="3464">
      <c r="A3464" s="7" t="n"/>
      <c r="B3464" s="8" t="n"/>
      <c r="C3464" s="9">
        <f>IF(B3464="","",IFERROR(VLOOKUP(B3464,'Daftar Outlet'!$A$4:$B$22,2,FALSE),""))</f>
        <v/>
      </c>
      <c r="D3464" s="8" t="n"/>
      <c r="E3464" s="6" t="n"/>
      <c r="F3464" s="8" t="n"/>
    </row>
    <row r="3465">
      <c r="A3465" s="7" t="n"/>
      <c r="B3465" s="8" t="n"/>
      <c r="C3465" s="9">
        <f>IF(B3465="","",IFERROR(VLOOKUP(B3465,'Daftar Outlet'!$A$4:$B$22,2,FALSE),""))</f>
        <v/>
      </c>
      <c r="D3465" s="8" t="n"/>
      <c r="E3465" s="6" t="n"/>
      <c r="F3465" s="8" t="n"/>
    </row>
    <row r="3466">
      <c r="A3466" s="7" t="n"/>
      <c r="B3466" s="8" t="n"/>
      <c r="C3466" s="9">
        <f>IF(B3466="","",IFERROR(VLOOKUP(B3466,'Daftar Outlet'!$A$4:$B$22,2,FALSE),""))</f>
        <v/>
      </c>
      <c r="D3466" s="8" t="n"/>
      <c r="E3466" s="6" t="n"/>
      <c r="F3466" s="8" t="n"/>
    </row>
    <row r="3467">
      <c r="A3467" s="7" t="n"/>
      <c r="B3467" s="8" t="n"/>
      <c r="C3467" s="9">
        <f>IF(B3467="","",IFERROR(VLOOKUP(B3467,'Daftar Outlet'!$A$4:$B$22,2,FALSE),""))</f>
        <v/>
      </c>
      <c r="D3467" s="8" t="n"/>
      <c r="E3467" s="6" t="n"/>
      <c r="F3467" s="8" t="n"/>
    </row>
    <row r="3468">
      <c r="A3468" s="7" t="n"/>
      <c r="B3468" s="8" t="n"/>
      <c r="C3468" s="9">
        <f>IF(B3468="","",IFERROR(VLOOKUP(B3468,'Daftar Outlet'!$A$4:$B$22,2,FALSE),""))</f>
        <v/>
      </c>
      <c r="D3468" s="8" t="n"/>
      <c r="E3468" s="6" t="n"/>
      <c r="F3468" s="8" t="n"/>
    </row>
    <row r="3469">
      <c r="A3469" s="7" t="n"/>
      <c r="B3469" s="8" t="n"/>
      <c r="C3469" s="9">
        <f>IF(B3469="","",IFERROR(VLOOKUP(B3469,'Daftar Outlet'!$A$4:$B$22,2,FALSE),""))</f>
        <v/>
      </c>
      <c r="D3469" s="8" t="n"/>
      <c r="E3469" s="6" t="n"/>
      <c r="F3469" s="8" t="n"/>
    </row>
    <row r="3470">
      <c r="A3470" s="7" t="n"/>
      <c r="B3470" s="8" t="n"/>
      <c r="C3470" s="9">
        <f>IF(B3470="","",IFERROR(VLOOKUP(B3470,'Daftar Outlet'!$A$4:$B$22,2,FALSE),""))</f>
        <v/>
      </c>
      <c r="D3470" s="8" t="n"/>
      <c r="E3470" s="6" t="n"/>
      <c r="F3470" s="8" t="n"/>
    </row>
    <row r="3471">
      <c r="A3471" s="7" t="n"/>
      <c r="B3471" s="8" t="n"/>
      <c r="C3471" s="9">
        <f>IF(B3471="","",IFERROR(VLOOKUP(B3471,'Daftar Outlet'!$A$4:$B$22,2,FALSE),""))</f>
        <v/>
      </c>
      <c r="D3471" s="8" t="n"/>
      <c r="E3471" s="6" t="n"/>
      <c r="F3471" s="8" t="n"/>
    </row>
    <row r="3472">
      <c r="A3472" s="7" t="n"/>
      <c r="B3472" s="8" t="n"/>
      <c r="C3472" s="9">
        <f>IF(B3472="","",IFERROR(VLOOKUP(B3472,'Daftar Outlet'!$A$4:$B$22,2,FALSE),""))</f>
        <v/>
      </c>
      <c r="D3472" s="8" t="n"/>
      <c r="E3472" s="6" t="n"/>
      <c r="F3472" s="8" t="n"/>
    </row>
    <row r="3473">
      <c r="A3473" s="7" t="n"/>
      <c r="B3473" s="8" t="n"/>
      <c r="C3473" s="9">
        <f>IF(B3473="","",IFERROR(VLOOKUP(B3473,'Daftar Outlet'!$A$4:$B$22,2,FALSE),""))</f>
        <v/>
      </c>
      <c r="D3473" s="8" t="n"/>
      <c r="E3473" s="6" t="n"/>
      <c r="F3473" s="8" t="n"/>
    </row>
    <row r="3474">
      <c r="A3474" s="7" t="n"/>
      <c r="B3474" s="8" t="n"/>
      <c r="C3474" s="9">
        <f>IF(B3474="","",IFERROR(VLOOKUP(B3474,'Daftar Outlet'!$A$4:$B$22,2,FALSE),""))</f>
        <v/>
      </c>
      <c r="D3474" s="8" t="n"/>
      <c r="E3474" s="6" t="n"/>
      <c r="F3474" s="8" t="n"/>
    </row>
    <row r="3475">
      <c r="A3475" s="7" t="n"/>
      <c r="B3475" s="8" t="n"/>
      <c r="C3475" s="9">
        <f>IF(B3475="","",IFERROR(VLOOKUP(B3475,'Daftar Outlet'!$A$4:$B$22,2,FALSE),""))</f>
        <v/>
      </c>
      <c r="D3475" s="8" t="n"/>
      <c r="E3475" s="6" t="n"/>
      <c r="F3475" s="8" t="n"/>
    </row>
    <row r="3476">
      <c r="A3476" s="7" t="n"/>
      <c r="B3476" s="8" t="n"/>
      <c r="C3476" s="9">
        <f>IF(B3476="","",IFERROR(VLOOKUP(B3476,'Daftar Outlet'!$A$4:$B$22,2,FALSE),""))</f>
        <v/>
      </c>
      <c r="D3476" s="8" t="n"/>
      <c r="E3476" s="6" t="n"/>
      <c r="F3476" s="8" t="n"/>
    </row>
    <row r="3477">
      <c r="A3477" s="7" t="n"/>
      <c r="B3477" s="8" t="n"/>
      <c r="C3477" s="9">
        <f>IF(B3477="","",IFERROR(VLOOKUP(B3477,'Daftar Outlet'!$A$4:$B$22,2,FALSE),""))</f>
        <v/>
      </c>
      <c r="D3477" s="8" t="n"/>
      <c r="E3477" s="6" t="n"/>
      <c r="F3477" s="8" t="n"/>
    </row>
    <row r="3478">
      <c r="A3478" s="7" t="n"/>
      <c r="B3478" s="8" t="n"/>
      <c r="C3478" s="9">
        <f>IF(B3478="","",IFERROR(VLOOKUP(B3478,'Daftar Outlet'!$A$4:$B$22,2,FALSE),""))</f>
        <v/>
      </c>
      <c r="D3478" s="8" t="n"/>
      <c r="E3478" s="6" t="n"/>
      <c r="F3478" s="8" t="n"/>
    </row>
    <row r="3479">
      <c r="A3479" s="7" t="n"/>
      <c r="B3479" s="8" t="n"/>
      <c r="C3479" s="9">
        <f>IF(B3479="","",IFERROR(VLOOKUP(B3479,'Daftar Outlet'!$A$4:$B$22,2,FALSE),""))</f>
        <v/>
      </c>
      <c r="D3479" s="8" t="n"/>
      <c r="E3479" s="6" t="n"/>
      <c r="F3479" s="8" t="n"/>
    </row>
    <row r="3480">
      <c r="A3480" s="7" t="n"/>
      <c r="B3480" s="8" t="n"/>
      <c r="C3480" s="9">
        <f>IF(B3480="","",IFERROR(VLOOKUP(B3480,'Daftar Outlet'!$A$4:$B$22,2,FALSE),""))</f>
        <v/>
      </c>
      <c r="D3480" s="8" t="n"/>
      <c r="E3480" s="6" t="n"/>
      <c r="F3480" s="8" t="n"/>
    </row>
    <row r="3481">
      <c r="A3481" s="7" t="n"/>
      <c r="B3481" s="8" t="n"/>
      <c r="C3481" s="9">
        <f>IF(B3481="","",IFERROR(VLOOKUP(B3481,'Daftar Outlet'!$A$4:$B$22,2,FALSE),""))</f>
        <v/>
      </c>
      <c r="D3481" s="8" t="n"/>
      <c r="E3481" s="6" t="n"/>
      <c r="F3481" s="8" t="n"/>
    </row>
    <row r="3482">
      <c r="A3482" s="7" t="n"/>
      <c r="B3482" s="8" t="n"/>
      <c r="C3482" s="9">
        <f>IF(B3482="","",IFERROR(VLOOKUP(B3482,'Daftar Outlet'!$A$4:$B$22,2,FALSE),""))</f>
        <v/>
      </c>
      <c r="D3482" s="8" t="n"/>
      <c r="E3482" s="6" t="n"/>
      <c r="F3482" s="8" t="n"/>
    </row>
    <row r="3483">
      <c r="A3483" s="7" t="n"/>
      <c r="B3483" s="8" t="n"/>
      <c r="C3483" s="9">
        <f>IF(B3483="","",IFERROR(VLOOKUP(B3483,'Daftar Outlet'!$A$4:$B$22,2,FALSE),""))</f>
        <v/>
      </c>
      <c r="D3483" s="8" t="n"/>
      <c r="E3483" s="6" t="n"/>
      <c r="F3483" s="8" t="n"/>
    </row>
    <row r="3484">
      <c r="A3484" s="7" t="n"/>
      <c r="B3484" s="8" t="n"/>
      <c r="C3484" s="9">
        <f>IF(B3484="","",IFERROR(VLOOKUP(B3484,'Daftar Outlet'!$A$4:$B$22,2,FALSE),""))</f>
        <v/>
      </c>
      <c r="D3484" s="8" t="n"/>
      <c r="E3484" s="6" t="n"/>
      <c r="F3484" s="8" t="n"/>
    </row>
    <row r="3485">
      <c r="A3485" s="7" t="n"/>
      <c r="B3485" s="8" t="n"/>
      <c r="C3485" s="9">
        <f>IF(B3485="","",IFERROR(VLOOKUP(B3485,'Daftar Outlet'!$A$4:$B$22,2,FALSE),""))</f>
        <v/>
      </c>
      <c r="D3485" s="8" t="n"/>
      <c r="E3485" s="6" t="n"/>
      <c r="F3485" s="8" t="n"/>
    </row>
    <row r="3486">
      <c r="A3486" s="7" t="n"/>
      <c r="B3486" s="8" t="n"/>
      <c r="C3486" s="9">
        <f>IF(B3486="","",IFERROR(VLOOKUP(B3486,'Daftar Outlet'!$A$4:$B$22,2,FALSE),""))</f>
        <v/>
      </c>
      <c r="D3486" s="8" t="n"/>
      <c r="E3486" s="6" t="n"/>
      <c r="F3486" s="8" t="n"/>
    </row>
    <row r="3487">
      <c r="A3487" s="7" t="n"/>
      <c r="B3487" s="8" t="n"/>
      <c r="C3487" s="9">
        <f>IF(B3487="","",IFERROR(VLOOKUP(B3487,'Daftar Outlet'!$A$4:$B$22,2,FALSE),""))</f>
        <v/>
      </c>
      <c r="D3487" s="8" t="n"/>
      <c r="E3487" s="6" t="n"/>
      <c r="F3487" s="8" t="n"/>
    </row>
    <row r="3488">
      <c r="A3488" s="7" t="n"/>
      <c r="B3488" s="8" t="n"/>
      <c r="C3488" s="9">
        <f>IF(B3488="","",IFERROR(VLOOKUP(B3488,'Daftar Outlet'!$A$4:$B$22,2,FALSE),""))</f>
        <v/>
      </c>
      <c r="D3488" s="8" t="n"/>
      <c r="E3488" s="6" t="n"/>
      <c r="F3488" s="8" t="n"/>
    </row>
    <row r="3489">
      <c r="A3489" s="7" t="n"/>
      <c r="B3489" s="8" t="n"/>
      <c r="C3489" s="9">
        <f>IF(B3489="","",IFERROR(VLOOKUP(B3489,'Daftar Outlet'!$A$4:$B$22,2,FALSE),""))</f>
        <v/>
      </c>
      <c r="D3489" s="8" t="n"/>
      <c r="E3489" s="6" t="n"/>
      <c r="F3489" s="8" t="n"/>
    </row>
    <row r="3490">
      <c r="A3490" s="7" t="n"/>
      <c r="B3490" s="8" t="n"/>
      <c r="C3490" s="9">
        <f>IF(B3490="","",IFERROR(VLOOKUP(B3490,'Daftar Outlet'!$A$4:$B$22,2,FALSE),""))</f>
        <v/>
      </c>
      <c r="D3490" s="8" t="n"/>
      <c r="E3490" s="6" t="n"/>
      <c r="F3490" s="8" t="n"/>
    </row>
    <row r="3491">
      <c r="A3491" s="7" t="n"/>
      <c r="B3491" s="8" t="n"/>
      <c r="C3491" s="9">
        <f>IF(B3491="","",IFERROR(VLOOKUP(B3491,'Daftar Outlet'!$A$4:$B$22,2,FALSE),""))</f>
        <v/>
      </c>
      <c r="D3491" s="8" t="n"/>
      <c r="E3491" s="6" t="n"/>
      <c r="F3491" s="8" t="n"/>
    </row>
    <row r="3492">
      <c r="A3492" s="7" t="n"/>
      <c r="B3492" s="8" t="n"/>
      <c r="C3492" s="9">
        <f>IF(B3492="","",IFERROR(VLOOKUP(B3492,'Daftar Outlet'!$A$4:$B$22,2,FALSE),""))</f>
        <v/>
      </c>
      <c r="D3492" s="8" t="n"/>
      <c r="E3492" s="6" t="n"/>
      <c r="F3492" s="8" t="n"/>
    </row>
    <row r="3493">
      <c r="A3493" s="7" t="n"/>
      <c r="B3493" s="8" t="n"/>
      <c r="C3493" s="9">
        <f>IF(B3493="","",IFERROR(VLOOKUP(B3493,'Daftar Outlet'!$A$4:$B$22,2,FALSE),""))</f>
        <v/>
      </c>
      <c r="D3493" s="8" t="n"/>
      <c r="E3493" s="6" t="n"/>
      <c r="F3493" s="8" t="n"/>
    </row>
    <row r="3494">
      <c r="A3494" s="7" t="n"/>
      <c r="B3494" s="8" t="n"/>
      <c r="C3494" s="9">
        <f>IF(B3494="","",IFERROR(VLOOKUP(B3494,'Daftar Outlet'!$A$4:$B$22,2,FALSE),""))</f>
        <v/>
      </c>
      <c r="D3494" s="8" t="n"/>
      <c r="E3494" s="6" t="n"/>
      <c r="F3494" s="8" t="n"/>
    </row>
    <row r="3495">
      <c r="A3495" s="7" t="n"/>
      <c r="B3495" s="8" t="n"/>
      <c r="C3495" s="9">
        <f>IF(B3495="","",IFERROR(VLOOKUP(B3495,'Daftar Outlet'!$A$4:$B$22,2,FALSE),""))</f>
        <v/>
      </c>
      <c r="D3495" s="8" t="n"/>
      <c r="E3495" s="6" t="n"/>
      <c r="F3495" s="8" t="n"/>
    </row>
    <row r="3496">
      <c r="A3496" s="7" t="n"/>
      <c r="B3496" s="8" t="n"/>
      <c r="C3496" s="9">
        <f>IF(B3496="","",IFERROR(VLOOKUP(B3496,'Daftar Outlet'!$A$4:$B$22,2,FALSE),""))</f>
        <v/>
      </c>
      <c r="D3496" s="8" t="n"/>
      <c r="E3496" s="6" t="n"/>
      <c r="F3496" s="8" t="n"/>
    </row>
    <row r="3497">
      <c r="A3497" s="7" t="n"/>
      <c r="B3497" s="8" t="n"/>
      <c r="C3497" s="9">
        <f>IF(B3497="","",IFERROR(VLOOKUP(B3497,'Daftar Outlet'!$A$4:$B$22,2,FALSE),""))</f>
        <v/>
      </c>
      <c r="D3497" s="8" t="n"/>
      <c r="E3497" s="6" t="n"/>
      <c r="F3497" s="8" t="n"/>
    </row>
    <row r="3498">
      <c r="A3498" s="7" t="n"/>
      <c r="B3498" s="8" t="n"/>
      <c r="C3498" s="9">
        <f>IF(B3498="","",IFERROR(VLOOKUP(B3498,'Daftar Outlet'!$A$4:$B$22,2,FALSE),""))</f>
        <v/>
      </c>
      <c r="D3498" s="8" t="n"/>
      <c r="E3498" s="6" t="n"/>
      <c r="F3498" s="8" t="n"/>
    </row>
    <row r="3499">
      <c r="A3499" s="7" t="n"/>
      <c r="B3499" s="8" t="n"/>
      <c r="C3499" s="9">
        <f>IF(B3499="","",IFERROR(VLOOKUP(B3499,'Daftar Outlet'!$A$4:$B$22,2,FALSE),""))</f>
        <v/>
      </c>
      <c r="D3499" s="8" t="n"/>
      <c r="E3499" s="6" t="n"/>
      <c r="F3499" s="8" t="n"/>
    </row>
    <row r="3500">
      <c r="A3500" s="7" t="n"/>
      <c r="B3500" s="8" t="n"/>
      <c r="C3500" s="9">
        <f>IF(B3500="","",IFERROR(VLOOKUP(B3500,'Daftar Outlet'!$A$4:$B$22,2,FALSE),""))</f>
        <v/>
      </c>
      <c r="D3500" s="8" t="n"/>
      <c r="E3500" s="6" t="n"/>
      <c r="F3500" s="8" t="n"/>
    </row>
    <row r="3501">
      <c r="A3501" s="7" t="n"/>
      <c r="B3501" s="8" t="n"/>
      <c r="C3501" s="9">
        <f>IF(B3501="","",IFERROR(VLOOKUP(B3501,'Daftar Outlet'!$A$4:$B$22,2,FALSE),""))</f>
        <v/>
      </c>
      <c r="D3501" s="8" t="n"/>
      <c r="E3501" s="6" t="n"/>
      <c r="F3501" s="8" t="n"/>
    </row>
    <row r="3502">
      <c r="A3502" s="7" t="n"/>
      <c r="B3502" s="8" t="n"/>
      <c r="C3502" s="9">
        <f>IF(B3502="","",IFERROR(VLOOKUP(B3502,'Daftar Outlet'!$A$4:$B$22,2,FALSE),""))</f>
        <v/>
      </c>
      <c r="D3502" s="8" t="n"/>
      <c r="E3502" s="6" t="n"/>
      <c r="F3502" s="8" t="n"/>
    </row>
    <row r="3503">
      <c r="A3503" s="7" t="n"/>
      <c r="B3503" s="8" t="n"/>
      <c r="C3503" s="9">
        <f>IF(B3503="","",IFERROR(VLOOKUP(B3503,'Daftar Outlet'!$A$4:$B$22,2,FALSE),""))</f>
        <v/>
      </c>
      <c r="D3503" s="8" t="n"/>
      <c r="E3503" s="6" t="n"/>
      <c r="F3503" s="8" t="n"/>
    </row>
    <row r="3504">
      <c r="A3504" s="7" t="n"/>
      <c r="B3504" s="8" t="n"/>
      <c r="C3504" s="9">
        <f>IF(B3504="","",IFERROR(VLOOKUP(B3504,'Daftar Outlet'!$A$4:$B$22,2,FALSE),""))</f>
        <v/>
      </c>
      <c r="D3504" s="8" t="n"/>
      <c r="E3504" s="6" t="n"/>
      <c r="F3504" s="8" t="n"/>
    </row>
    <row r="3505">
      <c r="A3505" s="7" t="n"/>
      <c r="B3505" s="8" t="n"/>
      <c r="C3505" s="9">
        <f>IF(B3505="","",IFERROR(VLOOKUP(B3505,'Daftar Outlet'!$A$4:$B$22,2,FALSE),""))</f>
        <v/>
      </c>
      <c r="D3505" s="8" t="n"/>
      <c r="E3505" s="6" t="n"/>
      <c r="F3505" s="8" t="n"/>
    </row>
    <row r="3506">
      <c r="A3506" s="7" t="n"/>
      <c r="B3506" s="8" t="n"/>
      <c r="C3506" s="9">
        <f>IF(B3506="","",IFERROR(VLOOKUP(B3506,'Daftar Outlet'!$A$4:$B$22,2,FALSE),""))</f>
        <v/>
      </c>
      <c r="D3506" s="8" t="n"/>
      <c r="E3506" s="6" t="n"/>
      <c r="F3506" s="8" t="n"/>
    </row>
    <row r="3507">
      <c r="A3507" s="7" t="n"/>
      <c r="B3507" s="8" t="n"/>
      <c r="C3507" s="9">
        <f>IF(B3507="","",IFERROR(VLOOKUP(B3507,'Daftar Outlet'!$A$4:$B$22,2,FALSE),""))</f>
        <v/>
      </c>
      <c r="D3507" s="8" t="n"/>
      <c r="E3507" s="6" t="n"/>
      <c r="F3507" s="8" t="n"/>
    </row>
    <row r="3508">
      <c r="A3508" s="7" t="n"/>
      <c r="B3508" s="8" t="n"/>
      <c r="C3508" s="9">
        <f>IF(B3508="","",IFERROR(VLOOKUP(B3508,'Daftar Outlet'!$A$4:$B$22,2,FALSE),""))</f>
        <v/>
      </c>
      <c r="D3508" s="8" t="n"/>
      <c r="E3508" s="6" t="n"/>
      <c r="F3508" s="8" t="n"/>
    </row>
    <row r="3509">
      <c r="A3509" s="7" t="n"/>
      <c r="B3509" s="8" t="n"/>
      <c r="C3509" s="9">
        <f>IF(B3509="","",IFERROR(VLOOKUP(B3509,'Daftar Outlet'!$A$4:$B$22,2,FALSE),""))</f>
        <v/>
      </c>
      <c r="D3509" s="8" t="n"/>
      <c r="E3509" s="6" t="n"/>
      <c r="F3509" s="8" t="n"/>
    </row>
    <row r="3510">
      <c r="A3510" s="7" t="n"/>
      <c r="B3510" s="8" t="n"/>
      <c r="C3510" s="9">
        <f>IF(B3510="","",IFERROR(VLOOKUP(B3510,'Daftar Outlet'!$A$4:$B$22,2,FALSE),""))</f>
        <v/>
      </c>
      <c r="D3510" s="8" t="n"/>
      <c r="E3510" s="6" t="n"/>
      <c r="F3510" s="8" t="n"/>
    </row>
    <row r="3511">
      <c r="A3511" s="7" t="n"/>
      <c r="B3511" s="8" t="n"/>
      <c r="C3511" s="9">
        <f>IF(B3511="","",IFERROR(VLOOKUP(B3511,'Daftar Outlet'!$A$4:$B$22,2,FALSE),""))</f>
        <v/>
      </c>
      <c r="D3511" s="8" t="n"/>
      <c r="E3511" s="6" t="n"/>
      <c r="F3511" s="8" t="n"/>
    </row>
    <row r="3512">
      <c r="A3512" s="7" t="n"/>
      <c r="B3512" s="8" t="n"/>
      <c r="C3512" s="9">
        <f>IF(B3512="","",IFERROR(VLOOKUP(B3512,'Daftar Outlet'!$A$4:$B$22,2,FALSE),""))</f>
        <v/>
      </c>
      <c r="D3512" s="8" t="n"/>
      <c r="E3512" s="6" t="n"/>
      <c r="F3512" s="8" t="n"/>
    </row>
    <row r="3513">
      <c r="A3513" s="7" t="n"/>
      <c r="B3513" s="8" t="n"/>
      <c r="C3513" s="9">
        <f>IF(B3513="","",IFERROR(VLOOKUP(B3513,'Daftar Outlet'!$A$4:$B$22,2,FALSE),""))</f>
        <v/>
      </c>
      <c r="D3513" s="8" t="n"/>
      <c r="E3513" s="6" t="n"/>
      <c r="F3513" s="8" t="n"/>
    </row>
    <row r="3514">
      <c r="A3514" s="7" t="n"/>
      <c r="B3514" s="8" t="n"/>
      <c r="C3514" s="9">
        <f>IF(B3514="","",IFERROR(VLOOKUP(B3514,'Daftar Outlet'!$A$4:$B$22,2,FALSE),""))</f>
        <v/>
      </c>
      <c r="D3514" s="8" t="n"/>
      <c r="E3514" s="6" t="n"/>
      <c r="F3514" s="8" t="n"/>
    </row>
    <row r="3515">
      <c r="A3515" s="7" t="n"/>
      <c r="B3515" s="8" t="n"/>
      <c r="C3515" s="9">
        <f>IF(B3515="","",IFERROR(VLOOKUP(B3515,'Daftar Outlet'!$A$4:$B$22,2,FALSE),""))</f>
        <v/>
      </c>
      <c r="D3515" s="8" t="n"/>
      <c r="E3515" s="6" t="n"/>
      <c r="F3515" s="8" t="n"/>
    </row>
    <row r="3516">
      <c r="A3516" s="7" t="n"/>
      <c r="B3516" s="8" t="n"/>
      <c r="C3516" s="9">
        <f>IF(B3516="","",IFERROR(VLOOKUP(B3516,'Daftar Outlet'!$A$4:$B$22,2,FALSE),""))</f>
        <v/>
      </c>
      <c r="D3516" s="8" t="n"/>
      <c r="E3516" s="6" t="n"/>
      <c r="F3516" s="8" t="n"/>
    </row>
    <row r="3517">
      <c r="A3517" s="7" t="n"/>
      <c r="B3517" s="8" t="n"/>
      <c r="C3517" s="9">
        <f>IF(B3517="","",IFERROR(VLOOKUP(B3517,'Daftar Outlet'!$A$4:$B$22,2,FALSE),""))</f>
        <v/>
      </c>
      <c r="D3517" s="8" t="n"/>
      <c r="E3517" s="6" t="n"/>
      <c r="F3517" s="8" t="n"/>
    </row>
    <row r="3518">
      <c r="A3518" s="7" t="n"/>
      <c r="B3518" s="8" t="n"/>
      <c r="C3518" s="9">
        <f>IF(B3518="","",IFERROR(VLOOKUP(B3518,'Daftar Outlet'!$A$4:$B$22,2,FALSE),""))</f>
        <v/>
      </c>
      <c r="D3518" s="8" t="n"/>
      <c r="E3518" s="6" t="n"/>
      <c r="F3518" s="8" t="n"/>
    </row>
    <row r="3519">
      <c r="A3519" s="7" t="n"/>
      <c r="B3519" s="8" t="n"/>
      <c r="C3519" s="9">
        <f>IF(B3519="","",IFERROR(VLOOKUP(B3519,'Daftar Outlet'!$A$4:$B$22,2,FALSE),""))</f>
        <v/>
      </c>
      <c r="D3519" s="8" t="n"/>
      <c r="E3519" s="6" t="n"/>
      <c r="F3519" s="8" t="n"/>
    </row>
    <row r="3520">
      <c r="A3520" s="7" t="n"/>
      <c r="B3520" s="8" t="n"/>
      <c r="C3520" s="9">
        <f>IF(B3520="","",IFERROR(VLOOKUP(B3520,'Daftar Outlet'!$A$4:$B$22,2,FALSE),""))</f>
        <v/>
      </c>
      <c r="D3520" s="8" t="n"/>
      <c r="E3520" s="6" t="n"/>
      <c r="F3520" s="8" t="n"/>
    </row>
    <row r="3521">
      <c r="A3521" s="7" t="n"/>
      <c r="B3521" s="8" t="n"/>
      <c r="C3521" s="9">
        <f>IF(B3521="","",IFERROR(VLOOKUP(B3521,'Daftar Outlet'!$A$4:$B$22,2,FALSE),""))</f>
        <v/>
      </c>
      <c r="D3521" s="8" t="n"/>
      <c r="E3521" s="6" t="n"/>
      <c r="F3521" s="8" t="n"/>
    </row>
    <row r="3522">
      <c r="A3522" s="7" t="n"/>
      <c r="B3522" s="8" t="n"/>
      <c r="C3522" s="9">
        <f>IF(B3522="","",IFERROR(VLOOKUP(B3522,'Daftar Outlet'!$A$4:$B$22,2,FALSE),""))</f>
        <v/>
      </c>
      <c r="D3522" s="8" t="n"/>
      <c r="E3522" s="6" t="n"/>
      <c r="F3522" s="8" t="n"/>
    </row>
    <row r="3523">
      <c r="A3523" s="7" t="n"/>
      <c r="B3523" s="8" t="n"/>
      <c r="C3523" s="9">
        <f>IF(B3523="","",IFERROR(VLOOKUP(B3523,'Daftar Outlet'!$A$4:$B$22,2,FALSE),""))</f>
        <v/>
      </c>
      <c r="D3523" s="8" t="n"/>
      <c r="E3523" s="6" t="n"/>
      <c r="F3523" s="8" t="n"/>
    </row>
    <row r="3524">
      <c r="A3524" s="7" t="n"/>
      <c r="B3524" s="8" t="n"/>
      <c r="C3524" s="9">
        <f>IF(B3524="","",IFERROR(VLOOKUP(B3524,'Daftar Outlet'!$A$4:$B$22,2,FALSE),""))</f>
        <v/>
      </c>
      <c r="D3524" s="8" t="n"/>
      <c r="E3524" s="6" t="n"/>
      <c r="F3524" s="8" t="n"/>
    </row>
    <row r="3525">
      <c r="A3525" s="7" t="n"/>
      <c r="B3525" s="8" t="n"/>
      <c r="C3525" s="9">
        <f>IF(B3525="","",IFERROR(VLOOKUP(B3525,'Daftar Outlet'!$A$4:$B$22,2,FALSE),""))</f>
        <v/>
      </c>
      <c r="D3525" s="8" t="n"/>
      <c r="E3525" s="6" t="n"/>
      <c r="F3525" s="8" t="n"/>
    </row>
    <row r="3526">
      <c r="A3526" s="7" t="n"/>
      <c r="B3526" s="8" t="n"/>
      <c r="C3526" s="9">
        <f>IF(B3526="","",IFERROR(VLOOKUP(B3526,'Daftar Outlet'!$A$4:$B$22,2,FALSE),""))</f>
        <v/>
      </c>
      <c r="D3526" s="8" t="n"/>
      <c r="E3526" s="6" t="n"/>
      <c r="F3526" s="8" t="n"/>
    </row>
    <row r="3527">
      <c r="A3527" s="7" t="n"/>
      <c r="B3527" s="8" t="n"/>
      <c r="C3527" s="9">
        <f>IF(B3527="","",IFERROR(VLOOKUP(B3527,'Daftar Outlet'!$A$4:$B$22,2,FALSE),""))</f>
        <v/>
      </c>
      <c r="D3527" s="8" t="n"/>
      <c r="E3527" s="6" t="n"/>
      <c r="F3527" s="8" t="n"/>
    </row>
    <row r="3528">
      <c r="A3528" s="7" t="n"/>
      <c r="B3528" s="8" t="n"/>
      <c r="C3528" s="9">
        <f>IF(B3528="","",IFERROR(VLOOKUP(B3528,'Daftar Outlet'!$A$4:$B$22,2,FALSE),""))</f>
        <v/>
      </c>
      <c r="D3528" s="8" t="n"/>
      <c r="E3528" s="6" t="n"/>
      <c r="F3528" s="8" t="n"/>
    </row>
    <row r="3529">
      <c r="A3529" s="7" t="n"/>
      <c r="B3529" s="8" t="n"/>
      <c r="C3529" s="9">
        <f>IF(B3529="","",IFERROR(VLOOKUP(B3529,'Daftar Outlet'!$A$4:$B$22,2,FALSE),""))</f>
        <v/>
      </c>
      <c r="D3529" s="8" t="n"/>
      <c r="E3529" s="6" t="n"/>
      <c r="F3529" s="8" t="n"/>
    </row>
    <row r="3530">
      <c r="A3530" s="7" t="n"/>
      <c r="B3530" s="8" t="n"/>
      <c r="C3530" s="9">
        <f>IF(B3530="","",IFERROR(VLOOKUP(B3530,'Daftar Outlet'!$A$4:$B$22,2,FALSE),""))</f>
        <v/>
      </c>
      <c r="D3530" s="8" t="n"/>
      <c r="E3530" s="6" t="n"/>
      <c r="F3530" s="8" t="n"/>
    </row>
    <row r="3531">
      <c r="A3531" s="7" t="n"/>
      <c r="B3531" s="8" t="n"/>
      <c r="C3531" s="9">
        <f>IF(B3531="","",IFERROR(VLOOKUP(B3531,'Daftar Outlet'!$A$4:$B$22,2,FALSE),""))</f>
        <v/>
      </c>
      <c r="D3531" s="8" t="n"/>
      <c r="E3531" s="6" t="n"/>
      <c r="F3531" s="8" t="n"/>
    </row>
    <row r="3532">
      <c r="A3532" s="7" t="n"/>
      <c r="B3532" s="8" t="n"/>
      <c r="C3532" s="9">
        <f>IF(B3532="","",IFERROR(VLOOKUP(B3532,'Daftar Outlet'!$A$4:$B$22,2,FALSE),""))</f>
        <v/>
      </c>
      <c r="D3532" s="8" t="n"/>
      <c r="E3532" s="6" t="n"/>
      <c r="F3532" s="8" t="n"/>
    </row>
    <row r="3533">
      <c r="A3533" s="7" t="n"/>
      <c r="B3533" s="8" t="n"/>
      <c r="C3533" s="9">
        <f>IF(B3533="","",IFERROR(VLOOKUP(B3533,'Daftar Outlet'!$A$4:$B$22,2,FALSE),""))</f>
        <v/>
      </c>
      <c r="D3533" s="8" t="n"/>
      <c r="E3533" s="6" t="n"/>
      <c r="F3533" s="8" t="n"/>
    </row>
    <row r="3534">
      <c r="A3534" s="7" t="n"/>
      <c r="B3534" s="8" t="n"/>
      <c r="C3534" s="9">
        <f>IF(B3534="","",IFERROR(VLOOKUP(B3534,'Daftar Outlet'!$A$4:$B$22,2,FALSE),""))</f>
        <v/>
      </c>
      <c r="D3534" s="8" t="n"/>
      <c r="E3534" s="6" t="n"/>
      <c r="F3534" s="8" t="n"/>
    </row>
    <row r="3535">
      <c r="A3535" s="7" t="n"/>
      <c r="B3535" s="8" t="n"/>
      <c r="C3535" s="9">
        <f>IF(B3535="","",IFERROR(VLOOKUP(B3535,'Daftar Outlet'!$A$4:$B$22,2,FALSE),""))</f>
        <v/>
      </c>
      <c r="D3535" s="8" t="n"/>
      <c r="E3535" s="6" t="n"/>
      <c r="F3535" s="8" t="n"/>
    </row>
    <row r="3536">
      <c r="A3536" s="7" t="n"/>
      <c r="B3536" s="8" t="n"/>
      <c r="C3536" s="9">
        <f>IF(B3536="","",IFERROR(VLOOKUP(B3536,'Daftar Outlet'!$A$4:$B$22,2,FALSE),""))</f>
        <v/>
      </c>
      <c r="D3536" s="8" t="n"/>
      <c r="E3536" s="6" t="n"/>
      <c r="F3536" s="8" t="n"/>
    </row>
    <row r="3537">
      <c r="A3537" s="7" t="n"/>
      <c r="B3537" s="8" t="n"/>
      <c r="C3537" s="9">
        <f>IF(B3537="","",IFERROR(VLOOKUP(B3537,'Daftar Outlet'!$A$4:$B$22,2,FALSE),""))</f>
        <v/>
      </c>
      <c r="D3537" s="8" t="n"/>
      <c r="E3537" s="6" t="n"/>
      <c r="F3537" s="8" t="n"/>
    </row>
    <row r="3538">
      <c r="A3538" s="7" t="n"/>
      <c r="B3538" s="8" t="n"/>
      <c r="C3538" s="9">
        <f>IF(B3538="","",IFERROR(VLOOKUP(B3538,'Daftar Outlet'!$A$4:$B$22,2,FALSE),""))</f>
        <v/>
      </c>
      <c r="D3538" s="8" t="n"/>
      <c r="E3538" s="6" t="n"/>
      <c r="F3538" s="8" t="n"/>
    </row>
    <row r="3539">
      <c r="A3539" s="7" t="n"/>
      <c r="B3539" s="8" t="n"/>
      <c r="C3539" s="9">
        <f>IF(B3539="","",IFERROR(VLOOKUP(B3539,'Daftar Outlet'!$A$4:$B$22,2,FALSE),""))</f>
        <v/>
      </c>
      <c r="D3539" s="8" t="n"/>
      <c r="E3539" s="6" t="n"/>
      <c r="F3539" s="8" t="n"/>
    </row>
    <row r="3540">
      <c r="A3540" s="7" t="n"/>
      <c r="B3540" s="8" t="n"/>
      <c r="C3540" s="9">
        <f>IF(B3540="","",IFERROR(VLOOKUP(B3540,'Daftar Outlet'!$A$4:$B$22,2,FALSE),""))</f>
        <v/>
      </c>
      <c r="D3540" s="8" t="n"/>
      <c r="E3540" s="6" t="n"/>
      <c r="F3540" s="8" t="n"/>
    </row>
    <row r="3541">
      <c r="A3541" s="7" t="n"/>
      <c r="B3541" s="8" t="n"/>
      <c r="C3541" s="9">
        <f>IF(B3541="","",IFERROR(VLOOKUP(B3541,'Daftar Outlet'!$A$4:$B$22,2,FALSE),""))</f>
        <v/>
      </c>
      <c r="D3541" s="8" t="n"/>
      <c r="E3541" s="6" t="n"/>
      <c r="F3541" s="8" t="n"/>
    </row>
    <row r="3542">
      <c r="A3542" s="7" t="n"/>
      <c r="B3542" s="8" t="n"/>
      <c r="C3542" s="9">
        <f>IF(B3542="","",IFERROR(VLOOKUP(B3542,'Daftar Outlet'!$A$4:$B$22,2,FALSE),""))</f>
        <v/>
      </c>
      <c r="D3542" s="8" t="n"/>
      <c r="E3542" s="6" t="n"/>
      <c r="F3542" s="8" t="n"/>
    </row>
    <row r="3543">
      <c r="A3543" s="7" t="n"/>
      <c r="B3543" s="8" t="n"/>
      <c r="C3543" s="9">
        <f>IF(B3543="","",IFERROR(VLOOKUP(B3543,'Daftar Outlet'!$A$4:$B$22,2,FALSE),""))</f>
        <v/>
      </c>
      <c r="D3543" s="8" t="n"/>
      <c r="E3543" s="6" t="n"/>
      <c r="F3543" s="8" t="n"/>
    </row>
    <row r="3544">
      <c r="A3544" s="7" t="n"/>
      <c r="B3544" s="8" t="n"/>
      <c r="C3544" s="9">
        <f>IF(B3544="","",IFERROR(VLOOKUP(B3544,'Daftar Outlet'!$A$4:$B$22,2,FALSE),""))</f>
        <v/>
      </c>
      <c r="D3544" s="8" t="n"/>
      <c r="E3544" s="6" t="n"/>
      <c r="F3544" s="8" t="n"/>
    </row>
    <row r="3545">
      <c r="A3545" s="7" t="n"/>
      <c r="B3545" s="8" t="n"/>
      <c r="C3545" s="9">
        <f>IF(B3545="","",IFERROR(VLOOKUP(B3545,'Daftar Outlet'!$A$4:$B$22,2,FALSE),""))</f>
        <v/>
      </c>
      <c r="D3545" s="8" t="n"/>
      <c r="E3545" s="6" t="n"/>
      <c r="F3545" s="8" t="n"/>
    </row>
    <row r="3546">
      <c r="A3546" s="7" t="n"/>
      <c r="B3546" s="8" t="n"/>
      <c r="C3546" s="9">
        <f>IF(B3546="","",IFERROR(VLOOKUP(B3546,'Daftar Outlet'!$A$4:$B$22,2,FALSE),""))</f>
        <v/>
      </c>
      <c r="D3546" s="8" t="n"/>
      <c r="E3546" s="6" t="n"/>
      <c r="F3546" s="8" t="n"/>
    </row>
    <row r="3547">
      <c r="A3547" s="7" t="n"/>
      <c r="B3547" s="8" t="n"/>
      <c r="C3547" s="9">
        <f>IF(B3547="","",IFERROR(VLOOKUP(B3547,'Daftar Outlet'!$A$4:$B$22,2,FALSE),""))</f>
        <v/>
      </c>
      <c r="D3547" s="8" t="n"/>
      <c r="E3547" s="6" t="n"/>
      <c r="F3547" s="8" t="n"/>
    </row>
    <row r="3548">
      <c r="A3548" s="7" t="n"/>
      <c r="B3548" s="8" t="n"/>
      <c r="C3548" s="9">
        <f>IF(B3548="","",IFERROR(VLOOKUP(B3548,'Daftar Outlet'!$A$4:$B$22,2,FALSE),""))</f>
        <v/>
      </c>
      <c r="D3548" s="8" t="n"/>
      <c r="E3548" s="6" t="n"/>
      <c r="F3548" s="8" t="n"/>
    </row>
    <row r="3549">
      <c r="A3549" s="7" t="n"/>
      <c r="B3549" s="8" t="n"/>
      <c r="C3549" s="9">
        <f>IF(B3549="","",IFERROR(VLOOKUP(B3549,'Daftar Outlet'!$A$4:$B$22,2,FALSE),""))</f>
        <v/>
      </c>
      <c r="D3549" s="8" t="n"/>
      <c r="E3549" s="6" t="n"/>
      <c r="F3549" s="8" t="n"/>
    </row>
    <row r="3550">
      <c r="A3550" s="7" t="n"/>
      <c r="B3550" s="8" t="n"/>
      <c r="C3550" s="9">
        <f>IF(B3550="","",IFERROR(VLOOKUP(B3550,'Daftar Outlet'!$A$4:$B$22,2,FALSE),""))</f>
        <v/>
      </c>
      <c r="D3550" s="8" t="n"/>
      <c r="E3550" s="6" t="n"/>
      <c r="F3550" s="8" t="n"/>
    </row>
    <row r="3551">
      <c r="A3551" s="7" t="n"/>
      <c r="B3551" s="8" t="n"/>
      <c r="C3551" s="9">
        <f>IF(B3551="","",IFERROR(VLOOKUP(B3551,'Daftar Outlet'!$A$4:$B$22,2,FALSE),""))</f>
        <v/>
      </c>
      <c r="D3551" s="8" t="n"/>
      <c r="E3551" s="6" t="n"/>
      <c r="F3551" s="8" t="n"/>
    </row>
    <row r="3552">
      <c r="A3552" s="7" t="n"/>
      <c r="B3552" s="8" t="n"/>
      <c r="C3552" s="9">
        <f>IF(B3552="","",IFERROR(VLOOKUP(B3552,'Daftar Outlet'!$A$4:$B$22,2,FALSE),""))</f>
        <v/>
      </c>
      <c r="D3552" s="8" t="n"/>
      <c r="E3552" s="6" t="n"/>
      <c r="F3552" s="8" t="n"/>
    </row>
    <row r="3553">
      <c r="A3553" s="7" t="n"/>
      <c r="B3553" s="8" t="n"/>
      <c r="C3553" s="9">
        <f>IF(B3553="","",IFERROR(VLOOKUP(B3553,'Daftar Outlet'!$A$4:$B$22,2,FALSE),""))</f>
        <v/>
      </c>
      <c r="D3553" s="8" t="n"/>
      <c r="E3553" s="6" t="n"/>
      <c r="F3553" s="8" t="n"/>
    </row>
    <row r="3554">
      <c r="A3554" s="7" t="n"/>
      <c r="B3554" s="8" t="n"/>
      <c r="C3554" s="9">
        <f>IF(B3554="","",IFERROR(VLOOKUP(B3554,'Daftar Outlet'!$A$4:$B$22,2,FALSE),""))</f>
        <v/>
      </c>
      <c r="D3554" s="8" t="n"/>
      <c r="E3554" s="6" t="n"/>
      <c r="F3554" s="8" t="n"/>
    </row>
    <row r="3555">
      <c r="A3555" s="7" t="n"/>
      <c r="B3555" s="8" t="n"/>
      <c r="C3555" s="9">
        <f>IF(B3555="","",IFERROR(VLOOKUP(B3555,'Daftar Outlet'!$A$4:$B$22,2,FALSE),""))</f>
        <v/>
      </c>
      <c r="D3555" s="8" t="n"/>
      <c r="E3555" s="6" t="n"/>
      <c r="F3555" s="8" t="n"/>
    </row>
    <row r="3556">
      <c r="A3556" s="7" t="n"/>
      <c r="B3556" s="8" t="n"/>
      <c r="C3556" s="9">
        <f>IF(B3556="","",IFERROR(VLOOKUP(B3556,'Daftar Outlet'!$A$4:$B$22,2,FALSE),""))</f>
        <v/>
      </c>
      <c r="D3556" s="8" t="n"/>
      <c r="E3556" s="6" t="n"/>
      <c r="F3556" s="8" t="n"/>
    </row>
    <row r="3557">
      <c r="A3557" s="7" t="n"/>
      <c r="B3557" s="8" t="n"/>
      <c r="C3557" s="9">
        <f>IF(B3557="","",IFERROR(VLOOKUP(B3557,'Daftar Outlet'!$A$4:$B$22,2,FALSE),""))</f>
        <v/>
      </c>
      <c r="D3557" s="8" t="n"/>
      <c r="E3557" s="6" t="n"/>
      <c r="F3557" s="8" t="n"/>
    </row>
    <row r="3558">
      <c r="A3558" s="7" t="n"/>
      <c r="B3558" s="8" t="n"/>
      <c r="C3558" s="9">
        <f>IF(B3558="","",IFERROR(VLOOKUP(B3558,'Daftar Outlet'!$A$4:$B$22,2,FALSE),""))</f>
        <v/>
      </c>
      <c r="D3558" s="8" t="n"/>
      <c r="E3558" s="6" t="n"/>
      <c r="F3558" s="8" t="n"/>
    </row>
    <row r="3559">
      <c r="A3559" s="7" t="n"/>
      <c r="B3559" s="8" t="n"/>
      <c r="C3559" s="9">
        <f>IF(B3559="","",IFERROR(VLOOKUP(B3559,'Daftar Outlet'!$A$4:$B$22,2,FALSE),""))</f>
        <v/>
      </c>
      <c r="D3559" s="8" t="n"/>
      <c r="E3559" s="6" t="n"/>
      <c r="F3559" s="8" t="n"/>
    </row>
    <row r="3560">
      <c r="A3560" s="7" t="n"/>
      <c r="B3560" s="8" t="n"/>
      <c r="C3560" s="9">
        <f>IF(B3560="","",IFERROR(VLOOKUP(B3560,'Daftar Outlet'!$A$4:$B$22,2,FALSE),""))</f>
        <v/>
      </c>
      <c r="D3560" s="8" t="n"/>
      <c r="E3560" s="6" t="n"/>
      <c r="F3560" s="8" t="n"/>
    </row>
    <row r="3561">
      <c r="A3561" s="7" t="n"/>
      <c r="B3561" s="8" t="n"/>
      <c r="C3561" s="9">
        <f>IF(B3561="","",IFERROR(VLOOKUP(B3561,'Daftar Outlet'!$A$4:$B$22,2,FALSE),""))</f>
        <v/>
      </c>
      <c r="D3561" s="8" t="n"/>
      <c r="E3561" s="6" t="n"/>
      <c r="F3561" s="8" t="n"/>
    </row>
    <row r="3562">
      <c r="A3562" s="7" t="n"/>
      <c r="B3562" s="8" t="n"/>
      <c r="C3562" s="9">
        <f>IF(B3562="","",IFERROR(VLOOKUP(B3562,'Daftar Outlet'!$A$4:$B$22,2,FALSE),""))</f>
        <v/>
      </c>
      <c r="D3562" s="8" t="n"/>
      <c r="E3562" s="6" t="n"/>
      <c r="F3562" s="8" t="n"/>
    </row>
    <row r="3563">
      <c r="A3563" s="7" t="n"/>
      <c r="B3563" s="8" t="n"/>
      <c r="C3563" s="9">
        <f>IF(B3563="","",IFERROR(VLOOKUP(B3563,'Daftar Outlet'!$A$4:$B$22,2,FALSE),""))</f>
        <v/>
      </c>
      <c r="D3563" s="8" t="n"/>
      <c r="E3563" s="6" t="n"/>
      <c r="F3563" s="8" t="n"/>
    </row>
    <row r="3564">
      <c r="A3564" s="7" t="n"/>
      <c r="B3564" s="8" t="n"/>
      <c r="C3564" s="9">
        <f>IF(B3564="","",IFERROR(VLOOKUP(B3564,'Daftar Outlet'!$A$4:$B$22,2,FALSE),""))</f>
        <v/>
      </c>
      <c r="D3564" s="8" t="n"/>
      <c r="E3564" s="6" t="n"/>
      <c r="F3564" s="8" t="n"/>
    </row>
    <row r="3565">
      <c r="A3565" s="7" t="n"/>
      <c r="B3565" s="8" t="n"/>
      <c r="C3565" s="9">
        <f>IF(B3565="","",IFERROR(VLOOKUP(B3565,'Daftar Outlet'!$A$4:$B$22,2,FALSE),""))</f>
        <v/>
      </c>
      <c r="D3565" s="8" t="n"/>
      <c r="E3565" s="6" t="n"/>
      <c r="F3565" s="8" t="n"/>
    </row>
    <row r="3566">
      <c r="A3566" s="7" t="n"/>
      <c r="B3566" s="8" t="n"/>
      <c r="C3566" s="9">
        <f>IF(B3566="","",IFERROR(VLOOKUP(B3566,'Daftar Outlet'!$A$4:$B$22,2,FALSE),""))</f>
        <v/>
      </c>
      <c r="D3566" s="8" t="n"/>
      <c r="E3566" s="6" t="n"/>
      <c r="F3566" s="8" t="n"/>
    </row>
    <row r="3567">
      <c r="A3567" s="7" t="n"/>
      <c r="B3567" s="8" t="n"/>
      <c r="C3567" s="9">
        <f>IF(B3567="","",IFERROR(VLOOKUP(B3567,'Daftar Outlet'!$A$4:$B$22,2,FALSE),""))</f>
        <v/>
      </c>
      <c r="D3567" s="8" t="n"/>
      <c r="E3567" s="6" t="n"/>
      <c r="F3567" s="8" t="n"/>
    </row>
    <row r="3568">
      <c r="A3568" s="7" t="n"/>
      <c r="B3568" s="8" t="n"/>
      <c r="C3568" s="9">
        <f>IF(B3568="","",IFERROR(VLOOKUP(B3568,'Daftar Outlet'!$A$4:$B$22,2,FALSE),""))</f>
        <v/>
      </c>
      <c r="D3568" s="8" t="n"/>
      <c r="E3568" s="6" t="n"/>
      <c r="F3568" s="8" t="n"/>
    </row>
    <row r="3569">
      <c r="A3569" s="7" t="n"/>
      <c r="B3569" s="8" t="n"/>
      <c r="C3569" s="9">
        <f>IF(B3569="","",IFERROR(VLOOKUP(B3569,'Daftar Outlet'!$A$4:$B$22,2,FALSE),""))</f>
        <v/>
      </c>
      <c r="D3569" s="8" t="n"/>
      <c r="E3569" s="6" t="n"/>
      <c r="F3569" s="8" t="n"/>
    </row>
    <row r="3570">
      <c r="A3570" s="7" t="n"/>
      <c r="B3570" s="8" t="n"/>
      <c r="C3570" s="9">
        <f>IF(B3570="","",IFERROR(VLOOKUP(B3570,'Daftar Outlet'!$A$4:$B$22,2,FALSE),""))</f>
        <v/>
      </c>
      <c r="D3570" s="8" t="n"/>
      <c r="E3570" s="6" t="n"/>
      <c r="F3570" s="8" t="n"/>
    </row>
    <row r="3571">
      <c r="A3571" s="7" t="n"/>
      <c r="B3571" s="8" t="n"/>
      <c r="C3571" s="9">
        <f>IF(B3571="","",IFERROR(VLOOKUP(B3571,'Daftar Outlet'!$A$4:$B$22,2,FALSE),""))</f>
        <v/>
      </c>
      <c r="D3571" s="8" t="n"/>
      <c r="E3571" s="6" t="n"/>
      <c r="F3571" s="8" t="n"/>
    </row>
    <row r="3572">
      <c r="A3572" s="7" t="n"/>
      <c r="B3572" s="8" t="n"/>
      <c r="C3572" s="9">
        <f>IF(B3572="","",IFERROR(VLOOKUP(B3572,'Daftar Outlet'!$A$4:$B$22,2,FALSE),""))</f>
        <v/>
      </c>
      <c r="D3572" s="8" t="n"/>
      <c r="E3572" s="6" t="n"/>
      <c r="F3572" s="8" t="n"/>
    </row>
    <row r="3573">
      <c r="A3573" s="7" t="n"/>
      <c r="B3573" s="8" t="n"/>
      <c r="C3573" s="9">
        <f>IF(B3573="","",IFERROR(VLOOKUP(B3573,'Daftar Outlet'!$A$4:$B$22,2,FALSE),""))</f>
        <v/>
      </c>
      <c r="D3573" s="8" t="n"/>
      <c r="E3573" s="6" t="n"/>
      <c r="F3573" s="8" t="n"/>
    </row>
    <row r="3574">
      <c r="A3574" s="7" t="n"/>
      <c r="B3574" s="8" t="n"/>
      <c r="C3574" s="9">
        <f>IF(B3574="","",IFERROR(VLOOKUP(B3574,'Daftar Outlet'!$A$4:$B$22,2,FALSE),""))</f>
        <v/>
      </c>
      <c r="D3574" s="8" t="n"/>
      <c r="E3574" s="6" t="n"/>
      <c r="F3574" s="8" t="n"/>
    </row>
    <row r="3575">
      <c r="A3575" s="7" t="n"/>
      <c r="B3575" s="8" t="n"/>
      <c r="C3575" s="9">
        <f>IF(B3575="","",IFERROR(VLOOKUP(B3575,'Daftar Outlet'!$A$4:$B$22,2,FALSE),""))</f>
        <v/>
      </c>
      <c r="D3575" s="8" t="n"/>
      <c r="E3575" s="6" t="n"/>
      <c r="F3575" s="8" t="n"/>
    </row>
    <row r="3576">
      <c r="A3576" s="7" t="n"/>
      <c r="B3576" s="8" t="n"/>
      <c r="C3576" s="9">
        <f>IF(B3576="","",IFERROR(VLOOKUP(B3576,'Daftar Outlet'!$A$4:$B$22,2,FALSE),""))</f>
        <v/>
      </c>
      <c r="D3576" s="8" t="n"/>
      <c r="E3576" s="6" t="n"/>
      <c r="F3576" s="8" t="n"/>
    </row>
    <row r="3577">
      <c r="A3577" s="7" t="n"/>
      <c r="B3577" s="8" t="n"/>
      <c r="C3577" s="9">
        <f>IF(B3577="","",IFERROR(VLOOKUP(B3577,'Daftar Outlet'!$A$4:$B$22,2,FALSE),""))</f>
        <v/>
      </c>
      <c r="D3577" s="8" t="n"/>
      <c r="E3577" s="6" t="n"/>
      <c r="F3577" s="8" t="n"/>
    </row>
    <row r="3578">
      <c r="A3578" s="7" t="n"/>
      <c r="B3578" s="8" t="n"/>
      <c r="C3578" s="9">
        <f>IF(B3578="","",IFERROR(VLOOKUP(B3578,'Daftar Outlet'!$A$4:$B$22,2,FALSE),""))</f>
        <v/>
      </c>
      <c r="D3578" s="8" t="n"/>
      <c r="E3578" s="6" t="n"/>
      <c r="F3578" s="8" t="n"/>
    </row>
    <row r="3579">
      <c r="A3579" s="7" t="n"/>
      <c r="B3579" s="8" t="n"/>
      <c r="C3579" s="9">
        <f>IF(B3579="","",IFERROR(VLOOKUP(B3579,'Daftar Outlet'!$A$4:$B$22,2,FALSE),""))</f>
        <v/>
      </c>
      <c r="D3579" s="8" t="n"/>
      <c r="E3579" s="6" t="n"/>
      <c r="F3579" s="8" t="n"/>
    </row>
    <row r="3580">
      <c r="A3580" s="7" t="n"/>
      <c r="B3580" s="8" t="n"/>
      <c r="C3580" s="9">
        <f>IF(B3580="","",IFERROR(VLOOKUP(B3580,'Daftar Outlet'!$A$4:$B$22,2,FALSE),""))</f>
        <v/>
      </c>
      <c r="D3580" s="8" t="n"/>
      <c r="E3580" s="6" t="n"/>
      <c r="F3580" s="8" t="n"/>
    </row>
    <row r="3581">
      <c r="A3581" s="7" t="n"/>
      <c r="B3581" s="8" t="n"/>
      <c r="C3581" s="9">
        <f>IF(B3581="","",IFERROR(VLOOKUP(B3581,'Daftar Outlet'!$A$4:$B$22,2,FALSE),""))</f>
        <v/>
      </c>
      <c r="D3581" s="8" t="n"/>
      <c r="E3581" s="6" t="n"/>
      <c r="F3581" s="8" t="n"/>
    </row>
    <row r="3582">
      <c r="A3582" s="7" t="n"/>
      <c r="B3582" s="8" t="n"/>
      <c r="C3582" s="9">
        <f>IF(B3582="","",IFERROR(VLOOKUP(B3582,'Daftar Outlet'!$A$4:$B$22,2,FALSE),""))</f>
        <v/>
      </c>
      <c r="D3582" s="8" t="n"/>
      <c r="E3582" s="6" t="n"/>
      <c r="F3582" s="8" t="n"/>
    </row>
    <row r="3583">
      <c r="A3583" s="7" t="n"/>
      <c r="B3583" s="8" t="n"/>
      <c r="C3583" s="9">
        <f>IF(B3583="","",IFERROR(VLOOKUP(B3583,'Daftar Outlet'!$A$4:$B$22,2,FALSE),""))</f>
        <v/>
      </c>
      <c r="D3583" s="8" t="n"/>
      <c r="E3583" s="6" t="n"/>
      <c r="F3583" s="8" t="n"/>
    </row>
    <row r="3584">
      <c r="A3584" s="7" t="n"/>
      <c r="B3584" s="8" t="n"/>
      <c r="C3584" s="9">
        <f>IF(B3584="","",IFERROR(VLOOKUP(B3584,'Daftar Outlet'!$A$4:$B$22,2,FALSE),""))</f>
        <v/>
      </c>
      <c r="D3584" s="8" t="n"/>
      <c r="E3584" s="6" t="n"/>
      <c r="F3584" s="8" t="n"/>
    </row>
    <row r="3585">
      <c r="A3585" s="7" t="n"/>
      <c r="B3585" s="8" t="n"/>
      <c r="C3585" s="9">
        <f>IF(B3585="","",IFERROR(VLOOKUP(B3585,'Daftar Outlet'!$A$4:$B$22,2,FALSE),""))</f>
        <v/>
      </c>
      <c r="D3585" s="8" t="n"/>
      <c r="E3585" s="6" t="n"/>
      <c r="F3585" s="8" t="n"/>
    </row>
    <row r="3586">
      <c r="A3586" s="7" t="n"/>
      <c r="B3586" s="8" t="n"/>
      <c r="C3586" s="9">
        <f>IF(B3586="","",IFERROR(VLOOKUP(B3586,'Daftar Outlet'!$A$4:$B$22,2,FALSE),""))</f>
        <v/>
      </c>
      <c r="D3586" s="8" t="n"/>
      <c r="E3586" s="6" t="n"/>
      <c r="F3586" s="8" t="n"/>
    </row>
    <row r="3587">
      <c r="A3587" s="7" t="n"/>
      <c r="B3587" s="8" t="n"/>
      <c r="C3587" s="9">
        <f>IF(B3587="","",IFERROR(VLOOKUP(B3587,'Daftar Outlet'!$A$4:$B$22,2,FALSE),""))</f>
        <v/>
      </c>
      <c r="D3587" s="8" t="n"/>
      <c r="E3587" s="6" t="n"/>
      <c r="F3587" s="8" t="n"/>
    </row>
    <row r="3588">
      <c r="A3588" s="7" t="n"/>
      <c r="B3588" s="8" t="n"/>
      <c r="C3588" s="9">
        <f>IF(B3588="","",IFERROR(VLOOKUP(B3588,'Daftar Outlet'!$A$4:$B$22,2,FALSE),""))</f>
        <v/>
      </c>
      <c r="D3588" s="8" t="n"/>
      <c r="E3588" s="6" t="n"/>
      <c r="F3588" s="8" t="n"/>
    </row>
    <row r="3589">
      <c r="A3589" s="7" t="n"/>
      <c r="B3589" s="8" t="n"/>
      <c r="C3589" s="9">
        <f>IF(B3589="","",IFERROR(VLOOKUP(B3589,'Daftar Outlet'!$A$4:$B$22,2,FALSE),""))</f>
        <v/>
      </c>
      <c r="D3589" s="8" t="n"/>
      <c r="E3589" s="6" t="n"/>
      <c r="F3589" s="8" t="n"/>
    </row>
    <row r="3590">
      <c r="A3590" s="7" t="n"/>
      <c r="B3590" s="8" t="n"/>
      <c r="C3590" s="9">
        <f>IF(B3590="","",IFERROR(VLOOKUP(B3590,'Daftar Outlet'!$A$4:$B$22,2,FALSE),""))</f>
        <v/>
      </c>
      <c r="D3590" s="8" t="n"/>
      <c r="E3590" s="6" t="n"/>
      <c r="F3590" s="8" t="n"/>
    </row>
    <row r="3591">
      <c r="A3591" s="7" t="n"/>
      <c r="B3591" s="8" t="n"/>
      <c r="C3591" s="9">
        <f>IF(B3591="","",IFERROR(VLOOKUP(B3591,'Daftar Outlet'!$A$4:$B$22,2,FALSE),""))</f>
        <v/>
      </c>
      <c r="D3591" s="8" t="n"/>
      <c r="E3591" s="6" t="n"/>
      <c r="F3591" s="8" t="n"/>
    </row>
    <row r="3592">
      <c r="A3592" s="7" t="n"/>
      <c r="B3592" s="8" t="n"/>
      <c r="C3592" s="9">
        <f>IF(B3592="","",IFERROR(VLOOKUP(B3592,'Daftar Outlet'!$A$4:$B$22,2,FALSE),""))</f>
        <v/>
      </c>
      <c r="D3592" s="8" t="n"/>
      <c r="E3592" s="6" t="n"/>
      <c r="F3592" s="8" t="n"/>
    </row>
    <row r="3593">
      <c r="A3593" s="7" t="n"/>
      <c r="B3593" s="8" t="n"/>
      <c r="C3593" s="9">
        <f>IF(B3593="","",IFERROR(VLOOKUP(B3593,'Daftar Outlet'!$A$4:$B$22,2,FALSE),""))</f>
        <v/>
      </c>
      <c r="D3593" s="8" t="n"/>
      <c r="E3593" s="6" t="n"/>
      <c r="F3593" s="8" t="n"/>
    </row>
    <row r="3594">
      <c r="A3594" s="7" t="n"/>
      <c r="B3594" s="8" t="n"/>
      <c r="C3594" s="9">
        <f>IF(B3594="","",IFERROR(VLOOKUP(B3594,'Daftar Outlet'!$A$4:$B$22,2,FALSE),""))</f>
        <v/>
      </c>
      <c r="D3594" s="8" t="n"/>
      <c r="E3594" s="6" t="n"/>
      <c r="F3594" s="8" t="n"/>
    </row>
    <row r="3595">
      <c r="A3595" s="7" t="n"/>
      <c r="B3595" s="8" t="n"/>
      <c r="C3595" s="9">
        <f>IF(B3595="","",IFERROR(VLOOKUP(B3595,'Daftar Outlet'!$A$4:$B$22,2,FALSE),""))</f>
        <v/>
      </c>
      <c r="D3595" s="8" t="n"/>
      <c r="E3595" s="6" t="n"/>
      <c r="F3595" s="8" t="n"/>
    </row>
    <row r="3596">
      <c r="A3596" s="7" t="n"/>
      <c r="B3596" s="8" t="n"/>
      <c r="C3596" s="9">
        <f>IF(B3596="","",IFERROR(VLOOKUP(B3596,'Daftar Outlet'!$A$4:$B$22,2,FALSE),""))</f>
        <v/>
      </c>
      <c r="D3596" s="8" t="n"/>
      <c r="E3596" s="6" t="n"/>
      <c r="F3596" s="8" t="n"/>
    </row>
    <row r="3597">
      <c r="A3597" s="7" t="n"/>
      <c r="B3597" s="8" t="n"/>
      <c r="C3597" s="9">
        <f>IF(B3597="","",IFERROR(VLOOKUP(B3597,'Daftar Outlet'!$A$4:$B$22,2,FALSE),""))</f>
        <v/>
      </c>
      <c r="D3597" s="8" t="n"/>
      <c r="E3597" s="6" t="n"/>
      <c r="F3597" s="8" t="n"/>
    </row>
    <row r="3598">
      <c r="A3598" s="7" t="n"/>
      <c r="B3598" s="8" t="n"/>
      <c r="C3598" s="9">
        <f>IF(B3598="","",IFERROR(VLOOKUP(B3598,'Daftar Outlet'!$A$4:$B$22,2,FALSE),""))</f>
        <v/>
      </c>
      <c r="D3598" s="8" t="n"/>
      <c r="E3598" s="6" t="n"/>
      <c r="F3598" s="8" t="n"/>
    </row>
    <row r="3599">
      <c r="A3599" s="7" t="n"/>
      <c r="B3599" s="8" t="n"/>
      <c r="C3599" s="9">
        <f>IF(B3599="","",IFERROR(VLOOKUP(B3599,'Daftar Outlet'!$A$4:$B$22,2,FALSE),""))</f>
        <v/>
      </c>
      <c r="D3599" s="8" t="n"/>
      <c r="E3599" s="6" t="n"/>
      <c r="F3599" s="8" t="n"/>
    </row>
    <row r="3600">
      <c r="A3600" s="7" t="n"/>
      <c r="B3600" s="8" t="n"/>
      <c r="C3600" s="9">
        <f>IF(B3600="","",IFERROR(VLOOKUP(B3600,'Daftar Outlet'!$A$4:$B$22,2,FALSE),""))</f>
        <v/>
      </c>
      <c r="D3600" s="8" t="n"/>
      <c r="E3600" s="6" t="n"/>
      <c r="F3600" s="8" t="n"/>
    </row>
    <row r="3601">
      <c r="A3601" s="7" t="n"/>
      <c r="B3601" s="8" t="n"/>
      <c r="C3601" s="9">
        <f>IF(B3601="","",IFERROR(VLOOKUP(B3601,'Daftar Outlet'!$A$4:$B$22,2,FALSE),""))</f>
        <v/>
      </c>
      <c r="D3601" s="8" t="n"/>
      <c r="E3601" s="6" t="n"/>
      <c r="F3601" s="8" t="n"/>
    </row>
    <row r="3602">
      <c r="A3602" s="7" t="n"/>
      <c r="B3602" s="8" t="n"/>
      <c r="C3602" s="9">
        <f>IF(B3602="","",IFERROR(VLOOKUP(B3602,'Daftar Outlet'!$A$4:$B$22,2,FALSE),""))</f>
        <v/>
      </c>
      <c r="D3602" s="8" t="n"/>
      <c r="E3602" s="6" t="n"/>
      <c r="F3602" s="8" t="n"/>
    </row>
    <row r="3603">
      <c r="A3603" s="7" t="n"/>
      <c r="B3603" s="8" t="n"/>
      <c r="C3603" s="9">
        <f>IF(B3603="","",IFERROR(VLOOKUP(B3603,'Daftar Outlet'!$A$4:$B$22,2,FALSE),""))</f>
        <v/>
      </c>
      <c r="D3603" s="8" t="n"/>
      <c r="E3603" s="6" t="n"/>
      <c r="F3603" s="8" t="n"/>
    </row>
    <row r="3604">
      <c r="A3604" s="7" t="n"/>
      <c r="B3604" s="8" t="n"/>
      <c r="C3604" s="9">
        <f>IF(B3604="","",IFERROR(VLOOKUP(B3604,'Daftar Outlet'!$A$4:$B$22,2,FALSE),""))</f>
        <v/>
      </c>
      <c r="D3604" s="8" t="n"/>
      <c r="E3604" s="6" t="n"/>
      <c r="F3604" s="8" t="n"/>
    </row>
    <row r="3605">
      <c r="A3605" s="7" t="n"/>
      <c r="B3605" s="8" t="n"/>
      <c r="C3605" s="9">
        <f>IF(B3605="","",IFERROR(VLOOKUP(B3605,'Daftar Outlet'!$A$4:$B$22,2,FALSE),""))</f>
        <v/>
      </c>
      <c r="D3605" s="8" t="n"/>
      <c r="E3605" s="6" t="n"/>
      <c r="F3605" s="8" t="n"/>
    </row>
    <row r="3606">
      <c r="A3606" s="7" t="n"/>
      <c r="B3606" s="8" t="n"/>
      <c r="C3606" s="9">
        <f>IF(B3606="","",IFERROR(VLOOKUP(B3606,'Daftar Outlet'!$A$4:$B$22,2,FALSE),""))</f>
        <v/>
      </c>
      <c r="D3606" s="8" t="n"/>
      <c r="E3606" s="6" t="n"/>
      <c r="F3606" s="8" t="n"/>
    </row>
    <row r="3607">
      <c r="A3607" s="7" t="n"/>
      <c r="B3607" s="8" t="n"/>
      <c r="C3607" s="9">
        <f>IF(B3607="","",IFERROR(VLOOKUP(B3607,'Daftar Outlet'!$A$4:$B$22,2,FALSE),""))</f>
        <v/>
      </c>
      <c r="D3607" s="8" t="n"/>
      <c r="E3607" s="6" t="n"/>
      <c r="F3607" s="8" t="n"/>
    </row>
    <row r="3608">
      <c r="A3608" s="7" t="n"/>
      <c r="B3608" s="8" t="n"/>
      <c r="C3608" s="9">
        <f>IF(B3608="","",IFERROR(VLOOKUP(B3608,'Daftar Outlet'!$A$4:$B$22,2,FALSE),""))</f>
        <v/>
      </c>
      <c r="D3608" s="8" t="n"/>
      <c r="E3608" s="6" t="n"/>
      <c r="F3608" s="8" t="n"/>
    </row>
    <row r="3609">
      <c r="A3609" s="7" t="n"/>
      <c r="B3609" s="8" t="n"/>
      <c r="C3609" s="9">
        <f>IF(B3609="","",IFERROR(VLOOKUP(B3609,'Daftar Outlet'!$A$4:$B$22,2,FALSE),""))</f>
        <v/>
      </c>
      <c r="D3609" s="8" t="n"/>
      <c r="E3609" s="6" t="n"/>
      <c r="F3609" s="8" t="n"/>
    </row>
    <row r="3610">
      <c r="A3610" s="7" t="n"/>
      <c r="B3610" s="8" t="n"/>
      <c r="C3610" s="9">
        <f>IF(B3610="","",IFERROR(VLOOKUP(B3610,'Daftar Outlet'!$A$4:$B$22,2,FALSE),""))</f>
        <v/>
      </c>
      <c r="D3610" s="8" t="n"/>
      <c r="E3610" s="6" t="n"/>
      <c r="F3610" s="8" t="n"/>
    </row>
    <row r="3611">
      <c r="A3611" s="7" t="n"/>
      <c r="B3611" s="8" t="n"/>
      <c r="C3611" s="9">
        <f>IF(B3611="","",IFERROR(VLOOKUP(B3611,'Daftar Outlet'!$A$4:$B$22,2,FALSE),""))</f>
        <v/>
      </c>
      <c r="D3611" s="8" t="n"/>
      <c r="E3611" s="6" t="n"/>
      <c r="F3611" s="8" t="n"/>
    </row>
    <row r="3612">
      <c r="A3612" s="7" t="n"/>
      <c r="B3612" s="8" t="n"/>
      <c r="C3612" s="9">
        <f>IF(B3612="","",IFERROR(VLOOKUP(B3612,'Daftar Outlet'!$A$4:$B$22,2,FALSE),""))</f>
        <v/>
      </c>
      <c r="D3612" s="8" t="n"/>
      <c r="E3612" s="6" t="n"/>
      <c r="F3612" s="8" t="n"/>
    </row>
    <row r="3613">
      <c r="A3613" s="7" t="n"/>
      <c r="B3613" s="8" t="n"/>
      <c r="C3613" s="9">
        <f>IF(B3613="","",IFERROR(VLOOKUP(B3613,'Daftar Outlet'!$A$4:$B$22,2,FALSE),""))</f>
        <v/>
      </c>
      <c r="D3613" s="8" t="n"/>
      <c r="E3613" s="6" t="n"/>
      <c r="F3613" s="8" t="n"/>
    </row>
    <row r="3614">
      <c r="A3614" s="7" t="n"/>
      <c r="B3614" s="8" t="n"/>
      <c r="C3614" s="9">
        <f>IF(B3614="","",IFERROR(VLOOKUP(B3614,'Daftar Outlet'!$A$4:$B$22,2,FALSE),""))</f>
        <v/>
      </c>
      <c r="D3614" s="8" t="n"/>
      <c r="E3614" s="6" t="n"/>
      <c r="F3614" s="8" t="n"/>
    </row>
    <row r="3615">
      <c r="A3615" s="7" t="n"/>
      <c r="B3615" s="8" t="n"/>
      <c r="C3615" s="9">
        <f>IF(B3615="","",IFERROR(VLOOKUP(B3615,'Daftar Outlet'!$A$4:$B$22,2,FALSE),""))</f>
        <v/>
      </c>
      <c r="D3615" s="8" t="n"/>
      <c r="E3615" s="6" t="n"/>
      <c r="F3615" s="8" t="n"/>
    </row>
    <row r="3616">
      <c r="A3616" s="7" t="n"/>
      <c r="B3616" s="8" t="n"/>
      <c r="C3616" s="9">
        <f>IF(B3616="","",IFERROR(VLOOKUP(B3616,'Daftar Outlet'!$A$4:$B$22,2,FALSE),""))</f>
        <v/>
      </c>
      <c r="D3616" s="8" t="n"/>
      <c r="E3616" s="6" t="n"/>
      <c r="F3616" s="8" t="n"/>
    </row>
    <row r="3617">
      <c r="A3617" s="7" t="n"/>
      <c r="B3617" s="8" t="n"/>
      <c r="C3617" s="9">
        <f>IF(B3617="","",IFERROR(VLOOKUP(B3617,'Daftar Outlet'!$A$4:$B$22,2,FALSE),""))</f>
        <v/>
      </c>
      <c r="D3617" s="8" t="n"/>
      <c r="E3617" s="6" t="n"/>
      <c r="F3617" s="8" t="n"/>
    </row>
    <row r="3618">
      <c r="A3618" s="7" t="n"/>
      <c r="B3618" s="8" t="n"/>
      <c r="C3618" s="9">
        <f>IF(B3618="","",IFERROR(VLOOKUP(B3618,'Daftar Outlet'!$A$4:$B$22,2,FALSE),""))</f>
        <v/>
      </c>
      <c r="D3618" s="8" t="n"/>
      <c r="E3618" s="6" t="n"/>
      <c r="F3618" s="8" t="n"/>
    </row>
    <row r="3619">
      <c r="A3619" s="7" t="n"/>
      <c r="B3619" s="8" t="n"/>
      <c r="C3619" s="9">
        <f>IF(B3619="","",IFERROR(VLOOKUP(B3619,'Daftar Outlet'!$A$4:$B$22,2,FALSE),""))</f>
        <v/>
      </c>
      <c r="D3619" s="8" t="n"/>
      <c r="E3619" s="6" t="n"/>
      <c r="F3619" s="8" t="n"/>
    </row>
    <row r="3620">
      <c r="A3620" s="7" t="n"/>
      <c r="B3620" s="8" t="n"/>
      <c r="C3620" s="9">
        <f>IF(B3620="","",IFERROR(VLOOKUP(B3620,'Daftar Outlet'!$A$4:$B$22,2,FALSE),""))</f>
        <v/>
      </c>
      <c r="D3620" s="8" t="n"/>
      <c r="E3620" s="6" t="n"/>
      <c r="F3620" s="8" t="n"/>
    </row>
    <row r="3621">
      <c r="A3621" s="7" t="n"/>
      <c r="B3621" s="8" t="n"/>
      <c r="C3621" s="9">
        <f>IF(B3621="","",IFERROR(VLOOKUP(B3621,'Daftar Outlet'!$A$4:$B$22,2,FALSE),""))</f>
        <v/>
      </c>
      <c r="D3621" s="8" t="n"/>
      <c r="E3621" s="6" t="n"/>
      <c r="F3621" s="8" t="n"/>
    </row>
    <row r="3622">
      <c r="A3622" s="7" t="n"/>
      <c r="B3622" s="8" t="n"/>
      <c r="C3622" s="9">
        <f>IF(B3622="","",IFERROR(VLOOKUP(B3622,'Daftar Outlet'!$A$4:$B$22,2,FALSE),""))</f>
        <v/>
      </c>
      <c r="D3622" s="8" t="n"/>
      <c r="E3622" s="6" t="n"/>
      <c r="F3622" s="8" t="n"/>
    </row>
    <row r="3623">
      <c r="A3623" s="7" t="n"/>
      <c r="B3623" s="8" t="n"/>
      <c r="C3623" s="9">
        <f>IF(B3623="","",IFERROR(VLOOKUP(B3623,'Daftar Outlet'!$A$4:$B$22,2,FALSE),""))</f>
        <v/>
      </c>
      <c r="D3623" s="8" t="n"/>
      <c r="E3623" s="6" t="n"/>
      <c r="F3623" s="8" t="n"/>
    </row>
    <row r="3624">
      <c r="A3624" s="7" t="n"/>
      <c r="B3624" s="8" t="n"/>
      <c r="C3624" s="9">
        <f>IF(B3624="","",IFERROR(VLOOKUP(B3624,'Daftar Outlet'!$A$4:$B$22,2,FALSE),""))</f>
        <v/>
      </c>
      <c r="D3624" s="8" t="n"/>
      <c r="E3624" s="6" t="n"/>
      <c r="F3624" s="8" t="n"/>
    </row>
    <row r="3625">
      <c r="A3625" s="7" t="n"/>
      <c r="B3625" s="8" t="n"/>
      <c r="C3625" s="9">
        <f>IF(B3625="","",IFERROR(VLOOKUP(B3625,'Daftar Outlet'!$A$4:$B$22,2,FALSE),""))</f>
        <v/>
      </c>
      <c r="D3625" s="8" t="n"/>
      <c r="E3625" s="6" t="n"/>
      <c r="F3625" s="8" t="n"/>
    </row>
    <row r="3626">
      <c r="A3626" s="7" t="n"/>
      <c r="B3626" s="8" t="n"/>
      <c r="C3626" s="9">
        <f>IF(B3626="","",IFERROR(VLOOKUP(B3626,'Daftar Outlet'!$A$4:$B$22,2,FALSE),""))</f>
        <v/>
      </c>
      <c r="D3626" s="8" t="n"/>
      <c r="E3626" s="6" t="n"/>
      <c r="F3626" s="8" t="n"/>
    </row>
    <row r="3627">
      <c r="A3627" s="7" t="n"/>
      <c r="B3627" s="8" t="n"/>
      <c r="C3627" s="9">
        <f>IF(B3627="","",IFERROR(VLOOKUP(B3627,'Daftar Outlet'!$A$4:$B$22,2,FALSE),""))</f>
        <v/>
      </c>
      <c r="D3627" s="8" t="n"/>
      <c r="E3627" s="6" t="n"/>
      <c r="F3627" s="8" t="n"/>
    </row>
    <row r="3628">
      <c r="A3628" s="7" t="n"/>
      <c r="B3628" s="8" t="n"/>
      <c r="C3628" s="9">
        <f>IF(B3628="","",IFERROR(VLOOKUP(B3628,'Daftar Outlet'!$A$4:$B$22,2,FALSE),""))</f>
        <v/>
      </c>
      <c r="D3628" s="8" t="n"/>
      <c r="E3628" s="6" t="n"/>
      <c r="F3628" s="8" t="n"/>
    </row>
    <row r="3629">
      <c r="A3629" s="7" t="n"/>
      <c r="B3629" s="8" t="n"/>
      <c r="C3629" s="9">
        <f>IF(B3629="","",IFERROR(VLOOKUP(B3629,'Daftar Outlet'!$A$4:$B$22,2,FALSE),""))</f>
        <v/>
      </c>
      <c r="D3629" s="8" t="n"/>
      <c r="E3629" s="6" t="n"/>
      <c r="F3629" s="8" t="n"/>
    </row>
    <row r="3630">
      <c r="A3630" s="7" t="n"/>
      <c r="B3630" s="8" t="n"/>
      <c r="C3630" s="9">
        <f>IF(B3630="","",IFERROR(VLOOKUP(B3630,'Daftar Outlet'!$A$4:$B$22,2,FALSE),""))</f>
        <v/>
      </c>
      <c r="D3630" s="8" t="n"/>
      <c r="E3630" s="6" t="n"/>
      <c r="F3630" s="8" t="n"/>
    </row>
    <row r="3631">
      <c r="A3631" s="7" t="n"/>
      <c r="B3631" s="8" t="n"/>
      <c r="C3631" s="9">
        <f>IF(B3631="","",IFERROR(VLOOKUP(B3631,'Daftar Outlet'!$A$4:$B$22,2,FALSE),""))</f>
        <v/>
      </c>
      <c r="D3631" s="8" t="n"/>
      <c r="E3631" s="6" t="n"/>
      <c r="F3631" s="8" t="n"/>
    </row>
    <row r="3632">
      <c r="A3632" s="7" t="n"/>
      <c r="B3632" s="8" t="n"/>
      <c r="C3632" s="9">
        <f>IF(B3632="","",IFERROR(VLOOKUP(B3632,'Daftar Outlet'!$A$4:$B$22,2,FALSE),""))</f>
        <v/>
      </c>
      <c r="D3632" s="8" t="n"/>
      <c r="E3632" s="6" t="n"/>
      <c r="F3632" s="8" t="n"/>
    </row>
    <row r="3633">
      <c r="A3633" s="7" t="n"/>
      <c r="B3633" s="8" t="n"/>
      <c r="C3633" s="9">
        <f>IF(B3633="","",IFERROR(VLOOKUP(B3633,'Daftar Outlet'!$A$4:$B$22,2,FALSE),""))</f>
        <v/>
      </c>
      <c r="D3633" s="8" t="n"/>
      <c r="E3633" s="6" t="n"/>
      <c r="F3633" s="8" t="n"/>
    </row>
    <row r="3634">
      <c r="A3634" s="7" t="n"/>
      <c r="B3634" s="8" t="n"/>
      <c r="C3634" s="9">
        <f>IF(B3634="","",IFERROR(VLOOKUP(B3634,'Daftar Outlet'!$A$4:$B$22,2,FALSE),""))</f>
        <v/>
      </c>
      <c r="D3634" s="8" t="n"/>
      <c r="E3634" s="6" t="n"/>
      <c r="F3634" s="8" t="n"/>
    </row>
    <row r="3635">
      <c r="A3635" s="7" t="n"/>
      <c r="B3635" s="8" t="n"/>
      <c r="C3635" s="9">
        <f>IF(B3635="","",IFERROR(VLOOKUP(B3635,'Daftar Outlet'!$A$4:$B$22,2,FALSE),""))</f>
        <v/>
      </c>
      <c r="D3635" s="8" t="n"/>
      <c r="E3635" s="6" t="n"/>
      <c r="F3635" s="8" t="n"/>
    </row>
    <row r="3636">
      <c r="A3636" s="7" t="n"/>
      <c r="B3636" s="8" t="n"/>
      <c r="C3636" s="9">
        <f>IF(B3636="","",IFERROR(VLOOKUP(B3636,'Daftar Outlet'!$A$4:$B$22,2,FALSE),""))</f>
        <v/>
      </c>
      <c r="D3636" s="8" t="n"/>
      <c r="E3636" s="6" t="n"/>
      <c r="F3636" s="8" t="n"/>
    </row>
    <row r="3637">
      <c r="A3637" s="7" t="n"/>
      <c r="B3637" s="8" t="n"/>
      <c r="C3637" s="9">
        <f>IF(B3637="","",IFERROR(VLOOKUP(B3637,'Daftar Outlet'!$A$4:$B$22,2,FALSE),""))</f>
        <v/>
      </c>
      <c r="D3637" s="8" t="n"/>
      <c r="E3637" s="6" t="n"/>
      <c r="F3637" s="8" t="n"/>
    </row>
    <row r="3638">
      <c r="A3638" s="7" t="n"/>
      <c r="B3638" s="8" t="n"/>
      <c r="C3638" s="9">
        <f>IF(B3638="","",IFERROR(VLOOKUP(B3638,'Daftar Outlet'!$A$4:$B$22,2,FALSE),""))</f>
        <v/>
      </c>
      <c r="D3638" s="8" t="n"/>
      <c r="E3638" s="6" t="n"/>
      <c r="F3638" s="8" t="n"/>
    </row>
    <row r="3639">
      <c r="A3639" s="7" t="n"/>
      <c r="B3639" s="8" t="n"/>
      <c r="C3639" s="9">
        <f>IF(B3639="","",IFERROR(VLOOKUP(B3639,'Daftar Outlet'!$A$4:$B$22,2,FALSE),""))</f>
        <v/>
      </c>
      <c r="D3639" s="8" t="n"/>
      <c r="E3639" s="6" t="n"/>
      <c r="F3639" s="8" t="n"/>
    </row>
    <row r="3640">
      <c r="A3640" s="7" t="n"/>
      <c r="B3640" s="8" t="n"/>
      <c r="C3640" s="9">
        <f>IF(B3640="","",IFERROR(VLOOKUP(B3640,'Daftar Outlet'!$A$4:$B$22,2,FALSE),""))</f>
        <v/>
      </c>
      <c r="D3640" s="8" t="n"/>
      <c r="E3640" s="6" t="n"/>
      <c r="F3640" s="8" t="n"/>
    </row>
    <row r="3641">
      <c r="A3641" s="7" t="n"/>
      <c r="B3641" s="8" t="n"/>
      <c r="C3641" s="9">
        <f>IF(B3641="","",IFERROR(VLOOKUP(B3641,'Daftar Outlet'!$A$4:$B$22,2,FALSE),""))</f>
        <v/>
      </c>
      <c r="D3641" s="8" t="n"/>
      <c r="E3641" s="6" t="n"/>
      <c r="F3641" s="8" t="n"/>
    </row>
    <row r="3642">
      <c r="A3642" s="7" t="n"/>
      <c r="B3642" s="8" t="n"/>
      <c r="C3642" s="9">
        <f>IF(B3642="","",IFERROR(VLOOKUP(B3642,'Daftar Outlet'!$A$4:$B$22,2,FALSE),""))</f>
        <v/>
      </c>
      <c r="D3642" s="8" t="n"/>
      <c r="E3642" s="6" t="n"/>
      <c r="F3642" s="8" t="n"/>
    </row>
    <row r="3643">
      <c r="A3643" s="7" t="n"/>
      <c r="B3643" s="8" t="n"/>
      <c r="C3643" s="9">
        <f>IF(B3643="","",IFERROR(VLOOKUP(B3643,'Daftar Outlet'!$A$4:$B$22,2,FALSE),""))</f>
        <v/>
      </c>
      <c r="D3643" s="8" t="n"/>
      <c r="E3643" s="6" t="n"/>
      <c r="F3643" s="8" t="n"/>
    </row>
    <row r="3644">
      <c r="A3644" s="7" t="n"/>
      <c r="B3644" s="8" t="n"/>
      <c r="C3644" s="9">
        <f>IF(B3644="","",IFERROR(VLOOKUP(B3644,'Daftar Outlet'!$A$4:$B$22,2,FALSE),""))</f>
        <v/>
      </c>
      <c r="D3644" s="8" t="n"/>
      <c r="E3644" s="6" t="n"/>
      <c r="F3644" s="8" t="n"/>
    </row>
    <row r="3645">
      <c r="A3645" s="7" t="n"/>
      <c r="B3645" s="8" t="n"/>
      <c r="C3645" s="9">
        <f>IF(B3645="","",IFERROR(VLOOKUP(B3645,'Daftar Outlet'!$A$4:$B$22,2,FALSE),""))</f>
        <v/>
      </c>
      <c r="D3645" s="8" t="n"/>
      <c r="E3645" s="6" t="n"/>
      <c r="F3645" s="8" t="n"/>
    </row>
    <row r="3646">
      <c r="A3646" s="7" t="n"/>
      <c r="B3646" s="8" t="n"/>
      <c r="C3646" s="9">
        <f>IF(B3646="","",IFERROR(VLOOKUP(B3646,'Daftar Outlet'!$A$4:$B$22,2,FALSE),""))</f>
        <v/>
      </c>
      <c r="D3646" s="8" t="n"/>
      <c r="E3646" s="6" t="n"/>
      <c r="F3646" s="8" t="n"/>
    </row>
    <row r="3647">
      <c r="A3647" s="7" t="n"/>
      <c r="B3647" s="8" t="n"/>
      <c r="C3647" s="9">
        <f>IF(B3647="","",IFERROR(VLOOKUP(B3647,'Daftar Outlet'!$A$4:$B$22,2,FALSE),""))</f>
        <v/>
      </c>
      <c r="D3647" s="8" t="n"/>
      <c r="E3647" s="6" t="n"/>
      <c r="F3647" s="8" t="n"/>
    </row>
    <row r="3648">
      <c r="A3648" s="7" t="n"/>
      <c r="B3648" s="8" t="n"/>
      <c r="C3648" s="9">
        <f>IF(B3648="","",IFERROR(VLOOKUP(B3648,'Daftar Outlet'!$A$4:$B$22,2,FALSE),""))</f>
        <v/>
      </c>
      <c r="D3648" s="8" t="n"/>
      <c r="E3648" s="6" t="n"/>
      <c r="F3648" s="8" t="n"/>
    </row>
    <row r="3649">
      <c r="A3649" s="7" t="n"/>
      <c r="B3649" s="8" t="n"/>
      <c r="C3649" s="9">
        <f>IF(B3649="","",IFERROR(VLOOKUP(B3649,'Daftar Outlet'!$A$4:$B$22,2,FALSE),""))</f>
        <v/>
      </c>
      <c r="D3649" s="8" t="n"/>
      <c r="E3649" s="6" t="n"/>
      <c r="F3649" s="8" t="n"/>
    </row>
    <row r="3650">
      <c r="A3650" s="7" t="n"/>
      <c r="B3650" s="8" t="n"/>
      <c r="C3650" s="9">
        <f>IF(B3650="","",IFERROR(VLOOKUP(B3650,'Daftar Outlet'!$A$4:$B$22,2,FALSE),""))</f>
        <v/>
      </c>
      <c r="D3650" s="8" t="n"/>
      <c r="E3650" s="6" t="n"/>
      <c r="F3650" s="8" t="n"/>
    </row>
    <row r="3651">
      <c r="A3651" s="7" t="n"/>
      <c r="B3651" s="8" t="n"/>
      <c r="C3651" s="9">
        <f>IF(B3651="","",IFERROR(VLOOKUP(B3651,'Daftar Outlet'!$A$4:$B$22,2,FALSE),""))</f>
        <v/>
      </c>
      <c r="D3651" s="8" t="n"/>
      <c r="E3651" s="6" t="n"/>
      <c r="F3651" s="8" t="n"/>
    </row>
    <row r="3652">
      <c r="A3652" s="7" t="n"/>
      <c r="B3652" s="8" t="n"/>
      <c r="C3652" s="9">
        <f>IF(B3652="","",IFERROR(VLOOKUP(B3652,'Daftar Outlet'!$A$4:$B$22,2,FALSE),""))</f>
        <v/>
      </c>
      <c r="D3652" s="8" t="n"/>
      <c r="E3652" s="6" t="n"/>
      <c r="F3652" s="8" t="n"/>
    </row>
    <row r="3653">
      <c r="A3653" s="7" t="n"/>
      <c r="B3653" s="8" t="n"/>
      <c r="C3653" s="9">
        <f>IF(B3653="","",IFERROR(VLOOKUP(B3653,'Daftar Outlet'!$A$4:$B$22,2,FALSE),""))</f>
        <v/>
      </c>
      <c r="D3653" s="8" t="n"/>
      <c r="E3653" s="6" t="n"/>
      <c r="F3653" s="8" t="n"/>
    </row>
    <row r="3654">
      <c r="A3654" s="7" t="n"/>
      <c r="B3654" s="8" t="n"/>
      <c r="C3654" s="9">
        <f>IF(B3654="","",IFERROR(VLOOKUP(B3654,'Daftar Outlet'!$A$4:$B$22,2,FALSE),""))</f>
        <v/>
      </c>
      <c r="D3654" s="8" t="n"/>
      <c r="E3654" s="6" t="n"/>
      <c r="F3654" s="8" t="n"/>
    </row>
    <row r="3655">
      <c r="A3655" s="7" t="n"/>
      <c r="B3655" s="8" t="n"/>
      <c r="C3655" s="9">
        <f>IF(B3655="","",IFERROR(VLOOKUP(B3655,'Daftar Outlet'!$A$4:$B$22,2,FALSE),""))</f>
        <v/>
      </c>
      <c r="D3655" s="8" t="n"/>
      <c r="E3655" s="6" t="n"/>
      <c r="F3655" s="8" t="n"/>
    </row>
    <row r="3656">
      <c r="A3656" s="7" t="n"/>
      <c r="B3656" s="8" t="n"/>
      <c r="C3656" s="9">
        <f>IF(B3656="","",IFERROR(VLOOKUP(B3656,'Daftar Outlet'!$A$4:$B$22,2,FALSE),""))</f>
        <v/>
      </c>
      <c r="D3656" s="8" t="n"/>
      <c r="E3656" s="6" t="n"/>
      <c r="F3656" s="8" t="n"/>
    </row>
    <row r="3657">
      <c r="A3657" s="7" t="n"/>
      <c r="B3657" s="8" t="n"/>
      <c r="C3657" s="9">
        <f>IF(B3657="","",IFERROR(VLOOKUP(B3657,'Daftar Outlet'!$A$4:$B$22,2,FALSE),""))</f>
        <v/>
      </c>
      <c r="D3657" s="8" t="n"/>
      <c r="E3657" s="6" t="n"/>
      <c r="F3657" s="8" t="n"/>
    </row>
    <row r="3658">
      <c r="A3658" s="7" t="n"/>
      <c r="B3658" s="8" t="n"/>
      <c r="C3658" s="9">
        <f>IF(B3658="","",IFERROR(VLOOKUP(B3658,'Daftar Outlet'!$A$4:$B$22,2,FALSE),""))</f>
        <v/>
      </c>
      <c r="D3658" s="8" t="n"/>
      <c r="E3658" s="6" t="n"/>
      <c r="F3658" s="8" t="n"/>
    </row>
    <row r="3659">
      <c r="A3659" s="7" t="n"/>
      <c r="B3659" s="8" t="n"/>
      <c r="C3659" s="9">
        <f>IF(B3659="","",IFERROR(VLOOKUP(B3659,'Daftar Outlet'!$A$4:$B$22,2,FALSE),""))</f>
        <v/>
      </c>
      <c r="D3659" s="8" t="n"/>
      <c r="E3659" s="6" t="n"/>
      <c r="F3659" s="8" t="n"/>
    </row>
    <row r="3660">
      <c r="A3660" s="7" t="n"/>
      <c r="B3660" s="8" t="n"/>
      <c r="C3660" s="9">
        <f>IF(B3660="","",IFERROR(VLOOKUP(B3660,'Daftar Outlet'!$A$4:$B$22,2,FALSE),""))</f>
        <v/>
      </c>
      <c r="D3660" s="8" t="n"/>
      <c r="E3660" s="6" t="n"/>
      <c r="F3660" s="8" t="n"/>
    </row>
    <row r="3661">
      <c r="A3661" s="7" t="n"/>
      <c r="B3661" s="8" t="n"/>
      <c r="C3661" s="9">
        <f>IF(B3661="","",IFERROR(VLOOKUP(B3661,'Daftar Outlet'!$A$4:$B$22,2,FALSE),""))</f>
        <v/>
      </c>
      <c r="D3661" s="8" t="n"/>
      <c r="E3661" s="6" t="n"/>
      <c r="F3661" s="8" t="n"/>
    </row>
    <row r="3662">
      <c r="A3662" s="7" t="n"/>
      <c r="B3662" s="8" t="n"/>
      <c r="C3662" s="9">
        <f>IF(B3662="","",IFERROR(VLOOKUP(B3662,'Daftar Outlet'!$A$4:$B$22,2,FALSE),""))</f>
        <v/>
      </c>
      <c r="D3662" s="8" t="n"/>
      <c r="E3662" s="6" t="n"/>
      <c r="F3662" s="8" t="n"/>
    </row>
    <row r="3663">
      <c r="A3663" s="7" t="n"/>
      <c r="B3663" s="8" t="n"/>
      <c r="C3663" s="9">
        <f>IF(B3663="","",IFERROR(VLOOKUP(B3663,'Daftar Outlet'!$A$4:$B$22,2,FALSE),""))</f>
        <v/>
      </c>
      <c r="D3663" s="8" t="n"/>
      <c r="E3663" s="6" t="n"/>
      <c r="F3663" s="8" t="n"/>
    </row>
    <row r="3664">
      <c r="A3664" s="7" t="n"/>
      <c r="B3664" s="8" t="n"/>
      <c r="C3664" s="9">
        <f>IF(B3664="","",IFERROR(VLOOKUP(B3664,'Daftar Outlet'!$A$4:$B$22,2,FALSE),""))</f>
        <v/>
      </c>
      <c r="D3664" s="8" t="n"/>
      <c r="E3664" s="6" t="n"/>
      <c r="F3664" s="8" t="n"/>
    </row>
    <row r="3665">
      <c r="A3665" s="7" t="n"/>
      <c r="B3665" s="8" t="n"/>
      <c r="C3665" s="9">
        <f>IF(B3665="","",IFERROR(VLOOKUP(B3665,'Daftar Outlet'!$A$4:$B$22,2,FALSE),""))</f>
        <v/>
      </c>
      <c r="D3665" s="8" t="n"/>
      <c r="E3665" s="6" t="n"/>
      <c r="F3665" s="8" t="n"/>
    </row>
    <row r="3666">
      <c r="A3666" s="7" t="n"/>
      <c r="B3666" s="8" t="n"/>
      <c r="C3666" s="9">
        <f>IF(B3666="","",IFERROR(VLOOKUP(B3666,'Daftar Outlet'!$A$4:$B$22,2,FALSE),""))</f>
        <v/>
      </c>
      <c r="D3666" s="8" t="n"/>
      <c r="E3666" s="6" t="n"/>
      <c r="F3666" s="8" t="n"/>
    </row>
    <row r="3667">
      <c r="A3667" s="7" t="n"/>
      <c r="B3667" s="8" t="n"/>
      <c r="C3667" s="9">
        <f>IF(B3667="","",IFERROR(VLOOKUP(B3667,'Daftar Outlet'!$A$4:$B$22,2,FALSE),""))</f>
        <v/>
      </c>
      <c r="D3667" s="8" t="n"/>
      <c r="E3667" s="6" t="n"/>
      <c r="F3667" s="8" t="n"/>
    </row>
    <row r="3668">
      <c r="A3668" s="7" t="n"/>
      <c r="B3668" s="8" t="n"/>
      <c r="C3668" s="9">
        <f>IF(B3668="","",IFERROR(VLOOKUP(B3668,'Daftar Outlet'!$A$4:$B$22,2,FALSE),""))</f>
        <v/>
      </c>
      <c r="D3668" s="8" t="n"/>
      <c r="E3668" s="6" t="n"/>
      <c r="F3668" s="8" t="n"/>
    </row>
    <row r="3669">
      <c r="A3669" s="7" t="n"/>
      <c r="B3669" s="8" t="n"/>
      <c r="C3669" s="9">
        <f>IF(B3669="","",IFERROR(VLOOKUP(B3669,'Daftar Outlet'!$A$4:$B$22,2,FALSE),""))</f>
        <v/>
      </c>
      <c r="D3669" s="8" t="n"/>
      <c r="E3669" s="6" t="n"/>
      <c r="F3669" s="8" t="n"/>
    </row>
    <row r="3670">
      <c r="A3670" s="7" t="n"/>
      <c r="B3670" s="8" t="n"/>
      <c r="C3670" s="9">
        <f>IF(B3670="","",IFERROR(VLOOKUP(B3670,'Daftar Outlet'!$A$4:$B$22,2,FALSE),""))</f>
        <v/>
      </c>
      <c r="D3670" s="8" t="n"/>
      <c r="E3670" s="6" t="n"/>
      <c r="F3670" s="8" t="n"/>
    </row>
    <row r="3671">
      <c r="A3671" s="7" t="n"/>
      <c r="B3671" s="8" t="n"/>
      <c r="C3671" s="9">
        <f>IF(B3671="","",IFERROR(VLOOKUP(B3671,'Daftar Outlet'!$A$4:$B$22,2,FALSE),""))</f>
        <v/>
      </c>
      <c r="D3671" s="8" t="n"/>
      <c r="E3671" s="6" t="n"/>
      <c r="F3671" s="8" t="n"/>
    </row>
    <row r="3672">
      <c r="A3672" s="7" t="n"/>
      <c r="B3672" s="8" t="n"/>
      <c r="C3672" s="9">
        <f>IF(B3672="","",IFERROR(VLOOKUP(B3672,'Daftar Outlet'!$A$4:$B$22,2,FALSE),""))</f>
        <v/>
      </c>
      <c r="D3672" s="8" t="n"/>
      <c r="E3672" s="6" t="n"/>
      <c r="F3672" s="8" t="n"/>
    </row>
    <row r="3673">
      <c r="A3673" s="7" t="n"/>
      <c r="B3673" s="8" t="n"/>
      <c r="C3673" s="9">
        <f>IF(B3673="","",IFERROR(VLOOKUP(B3673,'Daftar Outlet'!$A$4:$B$22,2,FALSE),""))</f>
        <v/>
      </c>
      <c r="D3673" s="8" t="n"/>
      <c r="E3673" s="6" t="n"/>
      <c r="F3673" s="8" t="n"/>
    </row>
    <row r="3674">
      <c r="A3674" s="7" t="n"/>
      <c r="B3674" s="8" t="n"/>
      <c r="C3674" s="9">
        <f>IF(B3674="","",IFERROR(VLOOKUP(B3674,'Daftar Outlet'!$A$4:$B$22,2,FALSE),""))</f>
        <v/>
      </c>
      <c r="D3674" s="8" t="n"/>
      <c r="E3674" s="6" t="n"/>
      <c r="F3674" s="8" t="n"/>
    </row>
    <row r="3675">
      <c r="A3675" s="7" t="n"/>
      <c r="B3675" s="8" t="n"/>
      <c r="C3675" s="9">
        <f>IF(B3675="","",IFERROR(VLOOKUP(B3675,'Daftar Outlet'!$A$4:$B$22,2,FALSE),""))</f>
        <v/>
      </c>
      <c r="D3675" s="8" t="n"/>
      <c r="E3675" s="6" t="n"/>
      <c r="F3675" s="8" t="n"/>
    </row>
    <row r="3676">
      <c r="A3676" s="7" t="n"/>
      <c r="B3676" s="8" t="n"/>
      <c r="C3676" s="9">
        <f>IF(B3676="","",IFERROR(VLOOKUP(B3676,'Daftar Outlet'!$A$4:$B$22,2,FALSE),""))</f>
        <v/>
      </c>
      <c r="D3676" s="8" t="n"/>
      <c r="E3676" s="6" t="n"/>
      <c r="F3676" s="8" t="n"/>
    </row>
    <row r="3677">
      <c r="A3677" s="7" t="n"/>
      <c r="B3677" s="8" t="n"/>
      <c r="C3677" s="9">
        <f>IF(B3677="","",IFERROR(VLOOKUP(B3677,'Daftar Outlet'!$A$4:$B$22,2,FALSE),""))</f>
        <v/>
      </c>
      <c r="D3677" s="8" t="n"/>
      <c r="E3677" s="6" t="n"/>
      <c r="F3677" s="8" t="n"/>
    </row>
    <row r="3678">
      <c r="A3678" s="7" t="n"/>
      <c r="B3678" s="8" t="n"/>
      <c r="C3678" s="9">
        <f>IF(B3678="","",IFERROR(VLOOKUP(B3678,'Daftar Outlet'!$A$4:$B$22,2,FALSE),""))</f>
        <v/>
      </c>
      <c r="D3678" s="8" t="n"/>
      <c r="E3678" s="6" t="n"/>
      <c r="F3678" s="8" t="n"/>
    </row>
    <row r="3679">
      <c r="A3679" s="7" t="n"/>
      <c r="B3679" s="8" t="n"/>
      <c r="C3679" s="9">
        <f>IF(B3679="","",IFERROR(VLOOKUP(B3679,'Daftar Outlet'!$A$4:$B$22,2,FALSE),""))</f>
        <v/>
      </c>
      <c r="D3679" s="8" t="n"/>
      <c r="E3679" s="6" t="n"/>
      <c r="F3679" s="8" t="n"/>
    </row>
    <row r="3680">
      <c r="A3680" s="7" t="n"/>
      <c r="B3680" s="8" t="n"/>
      <c r="C3680" s="9">
        <f>IF(B3680="","",IFERROR(VLOOKUP(B3680,'Daftar Outlet'!$A$4:$B$22,2,FALSE),""))</f>
        <v/>
      </c>
      <c r="D3680" s="8" t="n"/>
      <c r="E3680" s="6" t="n"/>
      <c r="F3680" s="8" t="n"/>
    </row>
    <row r="3681">
      <c r="A3681" s="7" t="n"/>
      <c r="B3681" s="8" t="n"/>
      <c r="C3681" s="9">
        <f>IF(B3681="","",IFERROR(VLOOKUP(B3681,'Daftar Outlet'!$A$4:$B$22,2,FALSE),""))</f>
        <v/>
      </c>
      <c r="D3681" s="8" t="n"/>
      <c r="E3681" s="6" t="n"/>
      <c r="F3681" s="8" t="n"/>
    </row>
    <row r="3682">
      <c r="A3682" s="7" t="n"/>
      <c r="B3682" s="8" t="n"/>
      <c r="C3682" s="9">
        <f>IF(B3682="","",IFERROR(VLOOKUP(B3682,'Daftar Outlet'!$A$4:$B$22,2,FALSE),""))</f>
        <v/>
      </c>
      <c r="D3682" s="8" t="n"/>
      <c r="E3682" s="6" t="n"/>
      <c r="F3682" s="8" t="n"/>
    </row>
    <row r="3683">
      <c r="A3683" s="7" t="n"/>
      <c r="B3683" s="8" t="n"/>
      <c r="C3683" s="9">
        <f>IF(B3683="","",IFERROR(VLOOKUP(B3683,'Daftar Outlet'!$A$4:$B$22,2,FALSE),""))</f>
        <v/>
      </c>
      <c r="D3683" s="8" t="n"/>
      <c r="E3683" s="6" t="n"/>
      <c r="F3683" s="8" t="n"/>
    </row>
    <row r="3684">
      <c r="A3684" s="7" t="n"/>
      <c r="B3684" s="8" t="n"/>
      <c r="C3684" s="9">
        <f>IF(B3684="","",IFERROR(VLOOKUP(B3684,'Daftar Outlet'!$A$4:$B$22,2,FALSE),""))</f>
        <v/>
      </c>
      <c r="D3684" s="8" t="n"/>
      <c r="E3684" s="6" t="n"/>
      <c r="F3684" s="8" t="n"/>
    </row>
    <row r="3685">
      <c r="A3685" s="7" t="n"/>
      <c r="B3685" s="8" t="n"/>
      <c r="C3685" s="9">
        <f>IF(B3685="","",IFERROR(VLOOKUP(B3685,'Daftar Outlet'!$A$4:$B$22,2,FALSE),""))</f>
        <v/>
      </c>
      <c r="D3685" s="8" t="n"/>
      <c r="E3685" s="6" t="n"/>
      <c r="F3685" s="8" t="n"/>
    </row>
    <row r="3686">
      <c r="A3686" s="7" t="n"/>
      <c r="B3686" s="8" t="n"/>
      <c r="C3686" s="9">
        <f>IF(B3686="","",IFERROR(VLOOKUP(B3686,'Daftar Outlet'!$A$4:$B$22,2,FALSE),""))</f>
        <v/>
      </c>
      <c r="D3686" s="8" t="n"/>
      <c r="E3686" s="6" t="n"/>
      <c r="F3686" s="8" t="n"/>
    </row>
    <row r="3687">
      <c r="A3687" s="7" t="n"/>
      <c r="B3687" s="8" t="n"/>
      <c r="C3687" s="9">
        <f>IF(B3687="","",IFERROR(VLOOKUP(B3687,'Daftar Outlet'!$A$4:$B$22,2,FALSE),""))</f>
        <v/>
      </c>
      <c r="D3687" s="8" t="n"/>
      <c r="E3687" s="6" t="n"/>
      <c r="F3687" s="8" t="n"/>
    </row>
    <row r="3688">
      <c r="A3688" s="7" t="n"/>
      <c r="B3688" s="8" t="n"/>
      <c r="C3688" s="9">
        <f>IF(B3688="","",IFERROR(VLOOKUP(B3688,'Daftar Outlet'!$A$4:$B$22,2,FALSE),""))</f>
        <v/>
      </c>
      <c r="D3688" s="8" t="n"/>
      <c r="E3688" s="6" t="n"/>
      <c r="F3688" s="8" t="n"/>
    </row>
    <row r="3689">
      <c r="A3689" s="7" t="n"/>
      <c r="B3689" s="8" t="n"/>
      <c r="C3689" s="9">
        <f>IF(B3689="","",IFERROR(VLOOKUP(B3689,'Daftar Outlet'!$A$4:$B$22,2,FALSE),""))</f>
        <v/>
      </c>
      <c r="D3689" s="8" t="n"/>
      <c r="E3689" s="6" t="n"/>
      <c r="F3689" s="8" t="n"/>
    </row>
    <row r="3690">
      <c r="A3690" s="7" t="n"/>
      <c r="B3690" s="8" t="n"/>
      <c r="C3690" s="9">
        <f>IF(B3690="","",IFERROR(VLOOKUP(B3690,'Daftar Outlet'!$A$4:$B$22,2,FALSE),""))</f>
        <v/>
      </c>
      <c r="D3690" s="8" t="n"/>
      <c r="E3690" s="6" t="n"/>
      <c r="F3690" s="8" t="n"/>
    </row>
    <row r="3691">
      <c r="A3691" s="7" t="n"/>
      <c r="B3691" s="8" t="n"/>
      <c r="C3691" s="9">
        <f>IF(B3691="","",IFERROR(VLOOKUP(B3691,'Daftar Outlet'!$A$4:$B$22,2,FALSE),""))</f>
        <v/>
      </c>
      <c r="D3691" s="8" t="n"/>
      <c r="E3691" s="6" t="n"/>
      <c r="F3691" s="8" t="n"/>
    </row>
    <row r="3692">
      <c r="A3692" s="7" t="n"/>
      <c r="B3692" s="8" t="n"/>
      <c r="C3692" s="9">
        <f>IF(B3692="","",IFERROR(VLOOKUP(B3692,'Daftar Outlet'!$A$4:$B$22,2,FALSE),""))</f>
        <v/>
      </c>
      <c r="D3692" s="8" t="n"/>
      <c r="E3692" s="6" t="n"/>
      <c r="F3692" s="8" t="n"/>
    </row>
    <row r="3693">
      <c r="A3693" s="7" t="n"/>
      <c r="B3693" s="8" t="n"/>
      <c r="C3693" s="9">
        <f>IF(B3693="","",IFERROR(VLOOKUP(B3693,'Daftar Outlet'!$A$4:$B$22,2,FALSE),""))</f>
        <v/>
      </c>
      <c r="D3693" s="8" t="n"/>
      <c r="E3693" s="6" t="n"/>
      <c r="F3693" s="8" t="n"/>
    </row>
    <row r="3694">
      <c r="A3694" s="7" t="n"/>
      <c r="B3694" s="8" t="n"/>
      <c r="C3694" s="9">
        <f>IF(B3694="","",IFERROR(VLOOKUP(B3694,'Daftar Outlet'!$A$4:$B$22,2,FALSE),""))</f>
        <v/>
      </c>
      <c r="D3694" s="8" t="n"/>
      <c r="E3694" s="6" t="n"/>
      <c r="F3694" s="8" t="n"/>
    </row>
    <row r="3695">
      <c r="A3695" s="7" t="n"/>
      <c r="B3695" s="8" t="n"/>
      <c r="C3695" s="9">
        <f>IF(B3695="","",IFERROR(VLOOKUP(B3695,'Daftar Outlet'!$A$4:$B$22,2,FALSE),""))</f>
        <v/>
      </c>
      <c r="D3695" s="8" t="n"/>
      <c r="E3695" s="6" t="n"/>
      <c r="F3695" s="8" t="n"/>
    </row>
    <row r="3696">
      <c r="A3696" s="7" t="n"/>
      <c r="B3696" s="8" t="n"/>
      <c r="C3696" s="9">
        <f>IF(B3696="","",IFERROR(VLOOKUP(B3696,'Daftar Outlet'!$A$4:$B$22,2,FALSE),""))</f>
        <v/>
      </c>
      <c r="D3696" s="8" t="n"/>
      <c r="E3696" s="6" t="n"/>
      <c r="F3696" s="8" t="n"/>
    </row>
    <row r="3697">
      <c r="A3697" s="7" t="n"/>
      <c r="B3697" s="8" t="n"/>
      <c r="C3697" s="9">
        <f>IF(B3697="","",IFERROR(VLOOKUP(B3697,'Daftar Outlet'!$A$4:$B$22,2,FALSE),""))</f>
        <v/>
      </c>
      <c r="D3697" s="8" t="n"/>
      <c r="E3697" s="6" t="n"/>
      <c r="F3697" s="8" t="n"/>
    </row>
    <row r="3698">
      <c r="A3698" s="7" t="n"/>
      <c r="B3698" s="8" t="n"/>
      <c r="C3698" s="9">
        <f>IF(B3698="","",IFERROR(VLOOKUP(B3698,'Daftar Outlet'!$A$4:$B$22,2,FALSE),""))</f>
        <v/>
      </c>
      <c r="D3698" s="8" t="n"/>
      <c r="E3698" s="6" t="n"/>
      <c r="F3698" s="8" t="n"/>
    </row>
    <row r="3699">
      <c r="A3699" s="7" t="n"/>
      <c r="B3699" s="8" t="n"/>
      <c r="C3699" s="9">
        <f>IF(B3699="","",IFERROR(VLOOKUP(B3699,'Daftar Outlet'!$A$4:$B$22,2,FALSE),""))</f>
        <v/>
      </c>
      <c r="D3699" s="8" t="n"/>
      <c r="E3699" s="6" t="n"/>
      <c r="F3699" s="8" t="n"/>
    </row>
    <row r="3700">
      <c r="A3700" s="7" t="n"/>
      <c r="B3700" s="8" t="n"/>
      <c r="C3700" s="9">
        <f>IF(B3700="","",IFERROR(VLOOKUP(B3700,'Daftar Outlet'!$A$4:$B$22,2,FALSE),""))</f>
        <v/>
      </c>
      <c r="D3700" s="8" t="n"/>
      <c r="E3700" s="6" t="n"/>
      <c r="F3700" s="8" t="n"/>
    </row>
    <row r="3701">
      <c r="A3701" s="7" t="n"/>
      <c r="B3701" s="8" t="n"/>
      <c r="C3701" s="9">
        <f>IF(B3701="","",IFERROR(VLOOKUP(B3701,'Daftar Outlet'!$A$4:$B$22,2,FALSE),""))</f>
        <v/>
      </c>
      <c r="D3701" s="8" t="n"/>
      <c r="E3701" s="6" t="n"/>
      <c r="F3701" s="8" t="n"/>
    </row>
    <row r="3702">
      <c r="A3702" s="7" t="n"/>
      <c r="B3702" s="8" t="n"/>
      <c r="C3702" s="9">
        <f>IF(B3702="","",IFERROR(VLOOKUP(B3702,'Daftar Outlet'!$A$4:$B$22,2,FALSE),""))</f>
        <v/>
      </c>
      <c r="D3702" s="8" t="n"/>
      <c r="E3702" s="6" t="n"/>
      <c r="F3702" s="8" t="n"/>
    </row>
    <row r="3703">
      <c r="A3703" s="7" t="n"/>
      <c r="B3703" s="8" t="n"/>
      <c r="C3703" s="9">
        <f>IF(B3703="","",IFERROR(VLOOKUP(B3703,'Daftar Outlet'!$A$4:$B$22,2,FALSE),""))</f>
        <v/>
      </c>
      <c r="D3703" s="8" t="n"/>
      <c r="E3703" s="6" t="n"/>
      <c r="F3703" s="8" t="n"/>
    </row>
    <row r="3704">
      <c r="A3704" s="7" t="n"/>
      <c r="B3704" s="8" t="n"/>
      <c r="C3704" s="9">
        <f>IF(B3704="","",IFERROR(VLOOKUP(B3704,'Daftar Outlet'!$A$4:$B$22,2,FALSE),""))</f>
        <v/>
      </c>
      <c r="D3704" s="8" t="n"/>
      <c r="E3704" s="6" t="n"/>
      <c r="F3704" s="8" t="n"/>
    </row>
    <row r="3705">
      <c r="A3705" s="7" t="n"/>
      <c r="B3705" s="8" t="n"/>
      <c r="C3705" s="9">
        <f>IF(B3705="","",IFERROR(VLOOKUP(B3705,'Daftar Outlet'!$A$4:$B$22,2,FALSE),""))</f>
        <v/>
      </c>
      <c r="D3705" s="8" t="n"/>
      <c r="E3705" s="6" t="n"/>
      <c r="F3705" s="8" t="n"/>
    </row>
    <row r="3706">
      <c r="A3706" s="7" t="n"/>
      <c r="B3706" s="8" t="n"/>
      <c r="C3706" s="9">
        <f>IF(B3706="","",IFERROR(VLOOKUP(B3706,'Daftar Outlet'!$A$4:$B$22,2,FALSE),""))</f>
        <v/>
      </c>
      <c r="D3706" s="8" t="n"/>
      <c r="E3706" s="6" t="n"/>
      <c r="F3706" s="8" t="n"/>
    </row>
    <row r="3707">
      <c r="A3707" s="7" t="n"/>
      <c r="B3707" s="8" t="n"/>
      <c r="C3707" s="9">
        <f>IF(B3707="","",IFERROR(VLOOKUP(B3707,'Daftar Outlet'!$A$4:$B$22,2,FALSE),""))</f>
        <v/>
      </c>
      <c r="D3707" s="8" t="n"/>
      <c r="E3707" s="6" t="n"/>
      <c r="F3707" s="8" t="n"/>
    </row>
    <row r="3708">
      <c r="A3708" s="7" t="n"/>
      <c r="B3708" s="8" t="n"/>
      <c r="C3708" s="9">
        <f>IF(B3708="","",IFERROR(VLOOKUP(B3708,'Daftar Outlet'!$A$4:$B$22,2,FALSE),""))</f>
        <v/>
      </c>
      <c r="D3708" s="8" t="n"/>
      <c r="E3708" s="6" t="n"/>
      <c r="F3708" s="8" t="n"/>
    </row>
    <row r="3709">
      <c r="A3709" s="7" t="n"/>
      <c r="B3709" s="8" t="n"/>
      <c r="C3709" s="9">
        <f>IF(B3709="","",IFERROR(VLOOKUP(B3709,'Daftar Outlet'!$A$4:$B$22,2,FALSE),""))</f>
        <v/>
      </c>
      <c r="D3709" s="8" t="n"/>
      <c r="E3709" s="6" t="n"/>
      <c r="F3709" s="8" t="n"/>
    </row>
    <row r="3710">
      <c r="A3710" s="7" t="n"/>
      <c r="B3710" s="8" t="n"/>
      <c r="C3710" s="9">
        <f>IF(B3710="","",IFERROR(VLOOKUP(B3710,'Daftar Outlet'!$A$4:$B$22,2,FALSE),""))</f>
        <v/>
      </c>
      <c r="D3710" s="8" t="n"/>
      <c r="E3710" s="6" t="n"/>
      <c r="F3710" s="8" t="n"/>
    </row>
    <row r="3711">
      <c r="A3711" s="7" t="n"/>
      <c r="B3711" s="8" t="n"/>
      <c r="C3711" s="9">
        <f>IF(B3711="","",IFERROR(VLOOKUP(B3711,'Daftar Outlet'!$A$4:$B$22,2,FALSE),""))</f>
        <v/>
      </c>
      <c r="D3711" s="8" t="n"/>
      <c r="E3711" s="6" t="n"/>
      <c r="F3711" s="8" t="n"/>
    </row>
    <row r="3712">
      <c r="A3712" s="7" t="n"/>
      <c r="B3712" s="8" t="n"/>
      <c r="C3712" s="9">
        <f>IF(B3712="","",IFERROR(VLOOKUP(B3712,'Daftar Outlet'!$A$4:$B$22,2,FALSE),""))</f>
        <v/>
      </c>
      <c r="D3712" s="8" t="n"/>
      <c r="E3712" s="6" t="n"/>
      <c r="F3712" s="8" t="n"/>
    </row>
    <row r="3713">
      <c r="A3713" s="7" t="n"/>
      <c r="B3713" s="8" t="n"/>
      <c r="C3713" s="9">
        <f>IF(B3713="","",IFERROR(VLOOKUP(B3713,'Daftar Outlet'!$A$4:$B$22,2,FALSE),""))</f>
        <v/>
      </c>
      <c r="D3713" s="8" t="n"/>
      <c r="E3713" s="6" t="n"/>
      <c r="F3713" s="8" t="n"/>
    </row>
    <row r="3714">
      <c r="A3714" s="7" t="n"/>
      <c r="B3714" s="8" t="n"/>
      <c r="C3714" s="9">
        <f>IF(B3714="","",IFERROR(VLOOKUP(B3714,'Daftar Outlet'!$A$4:$B$22,2,FALSE),""))</f>
        <v/>
      </c>
      <c r="D3714" s="8" t="n"/>
      <c r="E3714" s="6" t="n"/>
      <c r="F3714" s="8" t="n"/>
    </row>
    <row r="3715">
      <c r="A3715" s="7" t="n"/>
      <c r="B3715" s="8" t="n"/>
      <c r="C3715" s="9">
        <f>IF(B3715="","",IFERROR(VLOOKUP(B3715,'Daftar Outlet'!$A$4:$B$22,2,FALSE),""))</f>
        <v/>
      </c>
      <c r="D3715" s="8" t="n"/>
      <c r="E3715" s="6" t="n"/>
      <c r="F3715" s="8" t="n"/>
    </row>
    <row r="3716">
      <c r="A3716" s="7" t="n"/>
      <c r="B3716" s="8" t="n"/>
      <c r="C3716" s="9">
        <f>IF(B3716="","",IFERROR(VLOOKUP(B3716,'Daftar Outlet'!$A$4:$B$22,2,FALSE),""))</f>
        <v/>
      </c>
      <c r="D3716" s="8" t="n"/>
      <c r="E3716" s="6" t="n"/>
      <c r="F3716" s="8" t="n"/>
    </row>
    <row r="3717">
      <c r="A3717" s="7" t="n"/>
      <c r="B3717" s="8" t="n"/>
      <c r="C3717" s="9">
        <f>IF(B3717="","",IFERROR(VLOOKUP(B3717,'Daftar Outlet'!$A$4:$B$22,2,FALSE),""))</f>
        <v/>
      </c>
      <c r="D3717" s="8" t="n"/>
      <c r="E3717" s="6" t="n"/>
      <c r="F3717" s="8" t="n"/>
    </row>
    <row r="3718">
      <c r="A3718" s="7" t="n"/>
      <c r="B3718" s="8" t="n"/>
      <c r="C3718" s="9">
        <f>IF(B3718="","",IFERROR(VLOOKUP(B3718,'Daftar Outlet'!$A$4:$B$22,2,FALSE),""))</f>
        <v/>
      </c>
      <c r="D3718" s="8" t="n"/>
      <c r="E3718" s="6" t="n"/>
      <c r="F3718" s="8" t="n"/>
    </row>
    <row r="3719">
      <c r="A3719" s="7" t="n"/>
      <c r="B3719" s="8" t="n"/>
      <c r="C3719" s="9">
        <f>IF(B3719="","",IFERROR(VLOOKUP(B3719,'Daftar Outlet'!$A$4:$B$22,2,FALSE),""))</f>
        <v/>
      </c>
      <c r="D3719" s="8" t="n"/>
      <c r="E3719" s="6" t="n"/>
      <c r="F3719" s="8" t="n"/>
    </row>
    <row r="3720">
      <c r="A3720" s="7" t="n"/>
      <c r="B3720" s="8" t="n"/>
      <c r="C3720" s="9">
        <f>IF(B3720="","",IFERROR(VLOOKUP(B3720,'Daftar Outlet'!$A$4:$B$22,2,FALSE),""))</f>
        <v/>
      </c>
      <c r="D3720" s="8" t="n"/>
      <c r="E3720" s="6" t="n"/>
      <c r="F3720" s="8" t="n"/>
    </row>
    <row r="3721">
      <c r="A3721" s="7" t="n"/>
      <c r="B3721" s="8" t="n"/>
      <c r="C3721" s="9">
        <f>IF(B3721="","",IFERROR(VLOOKUP(B3721,'Daftar Outlet'!$A$4:$B$22,2,FALSE),""))</f>
        <v/>
      </c>
      <c r="D3721" s="8" t="n"/>
      <c r="E3721" s="6" t="n"/>
      <c r="F3721" s="8" t="n"/>
    </row>
    <row r="3722">
      <c r="A3722" s="7" t="n"/>
      <c r="B3722" s="8" t="n"/>
      <c r="C3722" s="9">
        <f>IF(B3722="","",IFERROR(VLOOKUP(B3722,'Daftar Outlet'!$A$4:$B$22,2,FALSE),""))</f>
        <v/>
      </c>
      <c r="D3722" s="8" t="n"/>
      <c r="E3722" s="6" t="n"/>
      <c r="F3722" s="8" t="n"/>
    </row>
    <row r="3723">
      <c r="A3723" s="7" t="n"/>
      <c r="B3723" s="8" t="n"/>
      <c r="C3723" s="9">
        <f>IF(B3723="","",IFERROR(VLOOKUP(B3723,'Daftar Outlet'!$A$4:$B$22,2,FALSE),""))</f>
        <v/>
      </c>
      <c r="D3723" s="8" t="n"/>
      <c r="E3723" s="6" t="n"/>
      <c r="F3723" s="8" t="n"/>
    </row>
    <row r="3724">
      <c r="A3724" s="7" t="n"/>
      <c r="B3724" s="8" t="n"/>
      <c r="C3724" s="9">
        <f>IF(B3724="","",IFERROR(VLOOKUP(B3724,'Daftar Outlet'!$A$4:$B$22,2,FALSE),""))</f>
        <v/>
      </c>
      <c r="D3724" s="8" t="n"/>
      <c r="E3724" s="6" t="n"/>
      <c r="F3724" s="8" t="n"/>
    </row>
    <row r="3725">
      <c r="A3725" s="7" t="n"/>
      <c r="B3725" s="8" t="n"/>
      <c r="C3725" s="9">
        <f>IF(B3725="","",IFERROR(VLOOKUP(B3725,'Daftar Outlet'!$A$4:$B$22,2,FALSE),""))</f>
        <v/>
      </c>
      <c r="D3725" s="8" t="n"/>
      <c r="E3725" s="6" t="n"/>
      <c r="F3725" s="8" t="n"/>
    </row>
    <row r="3726">
      <c r="A3726" s="7" t="n"/>
      <c r="B3726" s="8" t="n"/>
      <c r="C3726" s="9">
        <f>IF(B3726="","",IFERROR(VLOOKUP(B3726,'Daftar Outlet'!$A$4:$B$22,2,FALSE),""))</f>
        <v/>
      </c>
      <c r="D3726" s="8" t="n"/>
      <c r="E3726" s="6" t="n"/>
      <c r="F3726" s="8" t="n"/>
    </row>
    <row r="3727">
      <c r="A3727" s="7" t="n"/>
      <c r="B3727" s="8" t="n"/>
      <c r="C3727" s="9">
        <f>IF(B3727="","",IFERROR(VLOOKUP(B3727,'Daftar Outlet'!$A$4:$B$22,2,FALSE),""))</f>
        <v/>
      </c>
      <c r="D3727" s="8" t="n"/>
      <c r="E3727" s="6" t="n"/>
      <c r="F3727" s="8" t="n"/>
    </row>
    <row r="3728">
      <c r="A3728" s="7" t="n"/>
      <c r="B3728" s="8" t="n"/>
      <c r="C3728" s="9">
        <f>IF(B3728="","",IFERROR(VLOOKUP(B3728,'Daftar Outlet'!$A$4:$B$22,2,FALSE),""))</f>
        <v/>
      </c>
      <c r="D3728" s="8" t="n"/>
      <c r="E3728" s="6" t="n"/>
      <c r="F3728" s="8" t="n"/>
    </row>
    <row r="3729">
      <c r="A3729" s="7" t="n"/>
      <c r="B3729" s="8" t="n"/>
      <c r="C3729" s="9">
        <f>IF(B3729="","",IFERROR(VLOOKUP(B3729,'Daftar Outlet'!$A$4:$B$22,2,FALSE),""))</f>
        <v/>
      </c>
      <c r="D3729" s="8" t="n"/>
      <c r="E3729" s="6" t="n"/>
      <c r="F3729" s="8" t="n"/>
    </row>
    <row r="3730">
      <c r="A3730" s="7" t="n"/>
      <c r="B3730" s="8" t="n"/>
      <c r="C3730" s="9">
        <f>IF(B3730="","",IFERROR(VLOOKUP(B3730,'Daftar Outlet'!$A$4:$B$22,2,FALSE),""))</f>
        <v/>
      </c>
      <c r="D3730" s="8" t="n"/>
      <c r="E3730" s="6" t="n"/>
      <c r="F3730" s="8" t="n"/>
    </row>
    <row r="3731">
      <c r="A3731" s="7" t="n"/>
      <c r="B3731" s="8" t="n"/>
      <c r="C3731" s="9">
        <f>IF(B3731="","",IFERROR(VLOOKUP(B3731,'Daftar Outlet'!$A$4:$B$22,2,FALSE),""))</f>
        <v/>
      </c>
      <c r="D3731" s="8" t="n"/>
      <c r="E3731" s="6" t="n"/>
      <c r="F3731" s="8" t="n"/>
    </row>
    <row r="3732">
      <c r="A3732" s="7" t="n"/>
      <c r="B3732" s="8" t="n"/>
      <c r="C3732" s="9">
        <f>IF(B3732="","",IFERROR(VLOOKUP(B3732,'Daftar Outlet'!$A$4:$B$22,2,FALSE),""))</f>
        <v/>
      </c>
      <c r="D3732" s="8" t="n"/>
      <c r="E3732" s="6" t="n"/>
      <c r="F3732" s="8" t="n"/>
    </row>
    <row r="3733">
      <c r="A3733" s="7" t="n"/>
      <c r="B3733" s="8" t="n"/>
      <c r="C3733" s="9">
        <f>IF(B3733="","",IFERROR(VLOOKUP(B3733,'Daftar Outlet'!$A$4:$B$22,2,FALSE),""))</f>
        <v/>
      </c>
      <c r="D3733" s="8" t="n"/>
      <c r="E3733" s="6" t="n"/>
      <c r="F3733" s="8" t="n"/>
    </row>
    <row r="3734">
      <c r="A3734" s="7" t="n"/>
      <c r="B3734" s="8" t="n"/>
      <c r="C3734" s="9">
        <f>IF(B3734="","",IFERROR(VLOOKUP(B3734,'Daftar Outlet'!$A$4:$B$22,2,FALSE),""))</f>
        <v/>
      </c>
      <c r="D3734" s="8" t="n"/>
      <c r="E3734" s="6" t="n"/>
      <c r="F3734" s="8" t="n"/>
    </row>
    <row r="3735">
      <c r="A3735" s="7" t="n"/>
      <c r="B3735" s="8" t="n"/>
      <c r="C3735" s="9">
        <f>IF(B3735="","",IFERROR(VLOOKUP(B3735,'Daftar Outlet'!$A$4:$B$22,2,FALSE),""))</f>
        <v/>
      </c>
      <c r="D3735" s="8" t="n"/>
      <c r="E3735" s="6" t="n"/>
      <c r="F3735" s="8" t="n"/>
    </row>
    <row r="3736">
      <c r="A3736" s="7" t="n"/>
      <c r="B3736" s="8" t="n"/>
      <c r="C3736" s="9">
        <f>IF(B3736="","",IFERROR(VLOOKUP(B3736,'Daftar Outlet'!$A$4:$B$22,2,FALSE),""))</f>
        <v/>
      </c>
      <c r="D3736" s="8" t="n"/>
      <c r="E3736" s="6" t="n"/>
      <c r="F3736" s="8" t="n"/>
    </row>
    <row r="3737">
      <c r="A3737" s="7" t="n"/>
      <c r="B3737" s="8" t="n"/>
      <c r="C3737" s="9">
        <f>IF(B3737="","",IFERROR(VLOOKUP(B3737,'Daftar Outlet'!$A$4:$B$22,2,FALSE),""))</f>
        <v/>
      </c>
      <c r="D3737" s="8" t="n"/>
      <c r="E3737" s="6" t="n"/>
      <c r="F3737" s="8" t="n"/>
    </row>
    <row r="3738">
      <c r="A3738" s="7" t="n"/>
      <c r="B3738" s="8" t="n"/>
      <c r="C3738" s="9">
        <f>IF(B3738="","",IFERROR(VLOOKUP(B3738,'Daftar Outlet'!$A$4:$B$22,2,FALSE),""))</f>
        <v/>
      </c>
      <c r="D3738" s="8" t="n"/>
      <c r="E3738" s="6" t="n"/>
      <c r="F3738" s="8" t="n"/>
    </row>
    <row r="3739">
      <c r="A3739" s="7" t="n"/>
      <c r="B3739" s="8" t="n"/>
      <c r="C3739" s="9">
        <f>IF(B3739="","",IFERROR(VLOOKUP(B3739,'Daftar Outlet'!$A$4:$B$22,2,FALSE),""))</f>
        <v/>
      </c>
      <c r="D3739" s="8" t="n"/>
      <c r="E3739" s="6" t="n"/>
      <c r="F3739" s="8" t="n"/>
    </row>
    <row r="3740">
      <c r="A3740" s="7" t="n"/>
      <c r="B3740" s="8" t="n"/>
      <c r="C3740" s="9">
        <f>IF(B3740="","",IFERROR(VLOOKUP(B3740,'Daftar Outlet'!$A$4:$B$22,2,FALSE),""))</f>
        <v/>
      </c>
      <c r="D3740" s="8" t="n"/>
      <c r="E3740" s="6" t="n"/>
      <c r="F3740" s="8" t="n"/>
    </row>
    <row r="3741">
      <c r="A3741" s="7" t="n"/>
      <c r="B3741" s="8" t="n"/>
      <c r="C3741" s="9">
        <f>IF(B3741="","",IFERROR(VLOOKUP(B3741,'Daftar Outlet'!$A$4:$B$22,2,FALSE),""))</f>
        <v/>
      </c>
      <c r="D3741" s="8" t="n"/>
      <c r="E3741" s="6" t="n"/>
      <c r="F3741" s="8" t="n"/>
    </row>
    <row r="3742">
      <c r="A3742" s="7" t="n"/>
      <c r="B3742" s="8" t="n"/>
      <c r="C3742" s="9">
        <f>IF(B3742="","",IFERROR(VLOOKUP(B3742,'Daftar Outlet'!$A$4:$B$22,2,FALSE),""))</f>
        <v/>
      </c>
      <c r="D3742" s="8" t="n"/>
      <c r="E3742" s="6" t="n"/>
      <c r="F3742" s="8" t="n"/>
    </row>
    <row r="3743">
      <c r="A3743" s="7" t="n"/>
      <c r="B3743" s="8" t="n"/>
      <c r="C3743" s="9">
        <f>IF(B3743="","",IFERROR(VLOOKUP(B3743,'Daftar Outlet'!$A$4:$B$22,2,FALSE),""))</f>
        <v/>
      </c>
      <c r="D3743" s="8" t="n"/>
      <c r="E3743" s="6" t="n"/>
      <c r="F3743" s="8" t="n"/>
    </row>
    <row r="3744">
      <c r="A3744" s="7" t="n"/>
      <c r="B3744" s="8" t="n"/>
      <c r="C3744" s="9">
        <f>IF(B3744="","",IFERROR(VLOOKUP(B3744,'Daftar Outlet'!$A$4:$B$22,2,FALSE),""))</f>
        <v/>
      </c>
      <c r="D3744" s="8" t="n"/>
      <c r="E3744" s="6" t="n"/>
      <c r="F3744" s="8" t="n"/>
    </row>
    <row r="3745">
      <c r="A3745" s="7" t="n"/>
      <c r="B3745" s="8" t="n"/>
      <c r="C3745" s="9">
        <f>IF(B3745="","",IFERROR(VLOOKUP(B3745,'Daftar Outlet'!$A$4:$B$22,2,FALSE),""))</f>
        <v/>
      </c>
      <c r="D3745" s="8" t="n"/>
      <c r="E3745" s="6" t="n"/>
      <c r="F3745" s="8" t="n"/>
    </row>
    <row r="3746">
      <c r="A3746" s="7" t="n"/>
      <c r="B3746" s="8" t="n"/>
      <c r="C3746" s="9">
        <f>IF(B3746="","",IFERROR(VLOOKUP(B3746,'Daftar Outlet'!$A$4:$B$22,2,FALSE),""))</f>
        <v/>
      </c>
      <c r="D3746" s="8" t="n"/>
      <c r="E3746" s="6" t="n"/>
      <c r="F3746" s="8" t="n"/>
    </row>
    <row r="3747">
      <c r="A3747" s="7" t="n"/>
      <c r="B3747" s="8" t="n"/>
      <c r="C3747" s="9">
        <f>IF(B3747="","",IFERROR(VLOOKUP(B3747,'Daftar Outlet'!$A$4:$B$22,2,FALSE),""))</f>
        <v/>
      </c>
      <c r="D3747" s="8" t="n"/>
      <c r="E3747" s="6" t="n"/>
      <c r="F3747" s="8" t="n"/>
    </row>
    <row r="3748">
      <c r="A3748" s="7" t="n"/>
      <c r="B3748" s="8" t="n"/>
      <c r="C3748" s="9">
        <f>IF(B3748="","",IFERROR(VLOOKUP(B3748,'Daftar Outlet'!$A$4:$B$22,2,FALSE),""))</f>
        <v/>
      </c>
      <c r="D3748" s="8" t="n"/>
      <c r="E3748" s="6" t="n"/>
      <c r="F3748" s="8" t="n"/>
    </row>
    <row r="3749">
      <c r="A3749" s="7" t="n"/>
      <c r="B3749" s="8" t="n"/>
      <c r="C3749" s="9">
        <f>IF(B3749="","",IFERROR(VLOOKUP(B3749,'Daftar Outlet'!$A$4:$B$22,2,FALSE),""))</f>
        <v/>
      </c>
      <c r="D3749" s="8" t="n"/>
      <c r="E3749" s="6" t="n"/>
      <c r="F3749" s="8" t="n"/>
    </row>
    <row r="3750">
      <c r="A3750" s="7" t="n"/>
      <c r="B3750" s="8" t="n"/>
      <c r="C3750" s="9">
        <f>IF(B3750="","",IFERROR(VLOOKUP(B3750,'Daftar Outlet'!$A$4:$B$22,2,FALSE),""))</f>
        <v/>
      </c>
      <c r="D3750" s="8" t="n"/>
      <c r="E3750" s="6" t="n"/>
      <c r="F3750" s="8" t="n"/>
    </row>
    <row r="3751">
      <c r="A3751" s="7" t="n"/>
      <c r="B3751" s="8" t="n"/>
      <c r="C3751" s="9">
        <f>IF(B3751="","",IFERROR(VLOOKUP(B3751,'Daftar Outlet'!$A$4:$B$22,2,FALSE),""))</f>
        <v/>
      </c>
      <c r="D3751" s="8" t="n"/>
      <c r="E3751" s="6" t="n"/>
      <c r="F3751" s="8" t="n"/>
    </row>
    <row r="3752">
      <c r="A3752" s="7" t="n"/>
      <c r="B3752" s="8" t="n"/>
      <c r="C3752" s="9">
        <f>IF(B3752="","",IFERROR(VLOOKUP(B3752,'Daftar Outlet'!$A$4:$B$22,2,FALSE),""))</f>
        <v/>
      </c>
      <c r="D3752" s="8" t="n"/>
      <c r="E3752" s="6" t="n"/>
      <c r="F3752" s="8" t="n"/>
    </row>
    <row r="3753">
      <c r="A3753" s="7" t="n"/>
      <c r="B3753" s="8" t="n"/>
      <c r="C3753" s="9">
        <f>IF(B3753="","",IFERROR(VLOOKUP(B3753,'Daftar Outlet'!$A$4:$B$22,2,FALSE),""))</f>
        <v/>
      </c>
      <c r="D3753" s="8" t="n"/>
      <c r="E3753" s="6" t="n"/>
      <c r="F3753" s="8" t="n"/>
    </row>
    <row r="3754">
      <c r="A3754" s="7" t="n"/>
      <c r="B3754" s="8" t="n"/>
      <c r="C3754" s="9">
        <f>IF(B3754="","",IFERROR(VLOOKUP(B3754,'Daftar Outlet'!$A$4:$B$22,2,FALSE),""))</f>
        <v/>
      </c>
      <c r="D3754" s="8" t="n"/>
      <c r="E3754" s="6" t="n"/>
      <c r="F3754" s="8" t="n"/>
    </row>
    <row r="3755">
      <c r="A3755" s="7" t="n"/>
      <c r="B3755" s="8" t="n"/>
      <c r="C3755" s="9">
        <f>IF(B3755="","",IFERROR(VLOOKUP(B3755,'Daftar Outlet'!$A$4:$B$22,2,FALSE),""))</f>
        <v/>
      </c>
      <c r="D3755" s="8" t="n"/>
      <c r="E3755" s="6" t="n"/>
      <c r="F3755" s="8" t="n"/>
    </row>
    <row r="3756">
      <c r="A3756" s="7" t="n"/>
      <c r="B3756" s="8" t="n"/>
      <c r="C3756" s="9">
        <f>IF(B3756="","",IFERROR(VLOOKUP(B3756,'Daftar Outlet'!$A$4:$B$22,2,FALSE),""))</f>
        <v/>
      </c>
      <c r="D3756" s="8" t="n"/>
      <c r="E3756" s="6" t="n"/>
      <c r="F3756" s="8" t="n"/>
    </row>
    <row r="3757">
      <c r="A3757" s="7" t="n"/>
      <c r="B3757" s="8" t="n"/>
      <c r="C3757" s="9">
        <f>IF(B3757="","",IFERROR(VLOOKUP(B3757,'Daftar Outlet'!$A$4:$B$22,2,FALSE),""))</f>
        <v/>
      </c>
      <c r="D3757" s="8" t="n"/>
      <c r="E3757" s="6" t="n"/>
      <c r="F3757" s="8" t="n"/>
    </row>
    <row r="3758">
      <c r="A3758" s="7" t="n"/>
      <c r="B3758" s="8" t="n"/>
      <c r="C3758" s="9">
        <f>IF(B3758="","",IFERROR(VLOOKUP(B3758,'Daftar Outlet'!$A$4:$B$22,2,FALSE),""))</f>
        <v/>
      </c>
      <c r="D3758" s="8" t="n"/>
      <c r="E3758" s="6" t="n"/>
      <c r="F3758" s="8" t="n"/>
    </row>
    <row r="3759">
      <c r="A3759" s="7" t="n"/>
      <c r="B3759" s="8" t="n"/>
      <c r="C3759" s="9">
        <f>IF(B3759="","",IFERROR(VLOOKUP(B3759,'Daftar Outlet'!$A$4:$B$22,2,FALSE),""))</f>
        <v/>
      </c>
      <c r="D3759" s="8" t="n"/>
      <c r="E3759" s="6" t="n"/>
      <c r="F3759" s="8" t="n"/>
    </row>
    <row r="3760">
      <c r="A3760" s="7" t="n"/>
      <c r="B3760" s="8" t="n"/>
      <c r="C3760" s="9">
        <f>IF(B3760="","",IFERROR(VLOOKUP(B3760,'Daftar Outlet'!$A$4:$B$22,2,FALSE),""))</f>
        <v/>
      </c>
      <c r="D3760" s="8" t="n"/>
      <c r="E3760" s="6" t="n"/>
      <c r="F3760" s="8" t="n"/>
    </row>
    <row r="3761">
      <c r="A3761" s="7" t="n"/>
      <c r="B3761" s="8" t="n"/>
      <c r="C3761" s="9">
        <f>IF(B3761="","",IFERROR(VLOOKUP(B3761,'Daftar Outlet'!$A$4:$B$22,2,FALSE),""))</f>
        <v/>
      </c>
      <c r="D3761" s="8" t="n"/>
      <c r="E3761" s="6" t="n"/>
      <c r="F3761" s="8" t="n"/>
    </row>
    <row r="3762">
      <c r="A3762" s="7" t="n"/>
      <c r="B3762" s="8" t="n"/>
      <c r="C3762" s="9">
        <f>IF(B3762="","",IFERROR(VLOOKUP(B3762,'Daftar Outlet'!$A$4:$B$22,2,FALSE),""))</f>
        <v/>
      </c>
      <c r="D3762" s="8" t="n"/>
      <c r="E3762" s="6" t="n"/>
      <c r="F3762" s="8" t="n"/>
    </row>
    <row r="3763">
      <c r="A3763" s="7" t="n"/>
      <c r="B3763" s="8" t="n"/>
      <c r="C3763" s="9">
        <f>IF(B3763="","",IFERROR(VLOOKUP(B3763,'Daftar Outlet'!$A$4:$B$22,2,FALSE),""))</f>
        <v/>
      </c>
      <c r="D3763" s="8" t="n"/>
      <c r="E3763" s="6" t="n"/>
      <c r="F3763" s="8" t="n"/>
    </row>
    <row r="3764">
      <c r="A3764" s="7" t="n"/>
      <c r="B3764" s="8" t="n"/>
      <c r="C3764" s="9">
        <f>IF(B3764="","",IFERROR(VLOOKUP(B3764,'Daftar Outlet'!$A$4:$B$22,2,FALSE),""))</f>
        <v/>
      </c>
      <c r="D3764" s="8" t="n"/>
      <c r="E3764" s="6" t="n"/>
      <c r="F3764" s="8" t="n"/>
    </row>
    <row r="3765">
      <c r="A3765" s="7" t="n"/>
      <c r="B3765" s="8" t="n"/>
      <c r="C3765" s="9">
        <f>IF(B3765="","",IFERROR(VLOOKUP(B3765,'Daftar Outlet'!$A$4:$B$22,2,FALSE),""))</f>
        <v/>
      </c>
      <c r="D3765" s="8" t="n"/>
      <c r="E3765" s="6" t="n"/>
      <c r="F3765" s="8" t="n"/>
    </row>
    <row r="3766">
      <c r="A3766" s="7" t="n"/>
      <c r="B3766" s="8" t="n"/>
      <c r="C3766" s="9">
        <f>IF(B3766="","",IFERROR(VLOOKUP(B3766,'Daftar Outlet'!$A$4:$B$22,2,FALSE),""))</f>
        <v/>
      </c>
      <c r="D3766" s="8" t="n"/>
      <c r="E3766" s="6" t="n"/>
      <c r="F3766" s="8" t="n"/>
    </row>
    <row r="3767">
      <c r="A3767" s="7" t="n"/>
      <c r="B3767" s="8" t="n"/>
      <c r="C3767" s="9">
        <f>IF(B3767="","",IFERROR(VLOOKUP(B3767,'Daftar Outlet'!$A$4:$B$22,2,FALSE),""))</f>
        <v/>
      </c>
      <c r="D3767" s="8" t="n"/>
      <c r="E3767" s="6" t="n"/>
      <c r="F3767" s="8" t="n"/>
    </row>
    <row r="3768">
      <c r="A3768" s="7" t="n"/>
      <c r="B3768" s="8" t="n"/>
      <c r="C3768" s="9">
        <f>IF(B3768="","",IFERROR(VLOOKUP(B3768,'Daftar Outlet'!$A$4:$B$22,2,FALSE),""))</f>
        <v/>
      </c>
      <c r="D3768" s="8" t="n"/>
      <c r="E3768" s="6" t="n"/>
      <c r="F3768" s="8" t="n"/>
    </row>
    <row r="3769">
      <c r="A3769" s="7" t="n"/>
      <c r="B3769" s="8" t="n"/>
      <c r="C3769" s="9">
        <f>IF(B3769="","",IFERROR(VLOOKUP(B3769,'Daftar Outlet'!$A$4:$B$22,2,FALSE),""))</f>
        <v/>
      </c>
      <c r="D3769" s="8" t="n"/>
      <c r="E3769" s="6" t="n"/>
      <c r="F3769" s="8" t="n"/>
    </row>
    <row r="3770">
      <c r="A3770" s="7" t="n"/>
      <c r="B3770" s="8" t="n"/>
      <c r="C3770" s="9">
        <f>IF(B3770="","",IFERROR(VLOOKUP(B3770,'Daftar Outlet'!$A$4:$B$22,2,FALSE),""))</f>
        <v/>
      </c>
      <c r="D3770" s="8" t="n"/>
      <c r="E3770" s="6" t="n"/>
      <c r="F3770" s="8" t="n"/>
    </row>
    <row r="3771">
      <c r="A3771" s="7" t="n"/>
      <c r="B3771" s="8" t="n"/>
      <c r="C3771" s="9">
        <f>IF(B3771="","",IFERROR(VLOOKUP(B3771,'Daftar Outlet'!$A$4:$B$22,2,FALSE),""))</f>
        <v/>
      </c>
      <c r="D3771" s="8" t="n"/>
      <c r="E3771" s="6" t="n"/>
      <c r="F3771" s="8" t="n"/>
    </row>
    <row r="3772">
      <c r="A3772" s="7" t="n"/>
      <c r="B3772" s="8" t="n"/>
      <c r="C3772" s="9">
        <f>IF(B3772="","",IFERROR(VLOOKUP(B3772,'Daftar Outlet'!$A$4:$B$22,2,FALSE),""))</f>
        <v/>
      </c>
      <c r="D3772" s="8" t="n"/>
      <c r="E3772" s="6" t="n"/>
      <c r="F3772" s="8" t="n"/>
    </row>
    <row r="3773">
      <c r="A3773" s="7" t="n"/>
      <c r="B3773" s="8" t="n"/>
      <c r="C3773" s="9">
        <f>IF(B3773="","",IFERROR(VLOOKUP(B3773,'Daftar Outlet'!$A$4:$B$22,2,FALSE),""))</f>
        <v/>
      </c>
      <c r="D3773" s="8" t="n"/>
      <c r="E3773" s="6" t="n"/>
      <c r="F3773" s="8" t="n"/>
    </row>
    <row r="3774">
      <c r="A3774" s="7" t="n"/>
      <c r="B3774" s="8" t="n"/>
      <c r="C3774" s="9">
        <f>IF(B3774="","",IFERROR(VLOOKUP(B3774,'Daftar Outlet'!$A$4:$B$22,2,FALSE),""))</f>
        <v/>
      </c>
      <c r="D3774" s="8" t="n"/>
      <c r="E3774" s="6" t="n"/>
      <c r="F3774" s="8" t="n"/>
    </row>
    <row r="3775">
      <c r="A3775" s="7" t="n"/>
      <c r="B3775" s="8" t="n"/>
      <c r="C3775" s="9">
        <f>IF(B3775="","",IFERROR(VLOOKUP(B3775,'Daftar Outlet'!$A$4:$B$22,2,FALSE),""))</f>
        <v/>
      </c>
      <c r="D3775" s="8" t="n"/>
      <c r="E3775" s="6" t="n"/>
      <c r="F3775" s="8" t="n"/>
    </row>
    <row r="3776">
      <c r="A3776" s="7" t="n"/>
      <c r="B3776" s="8" t="n"/>
      <c r="C3776" s="9">
        <f>IF(B3776="","",IFERROR(VLOOKUP(B3776,'Daftar Outlet'!$A$4:$B$22,2,FALSE),""))</f>
        <v/>
      </c>
      <c r="D3776" s="8" t="n"/>
      <c r="E3776" s="6" t="n"/>
      <c r="F3776" s="8" t="n"/>
    </row>
    <row r="3777">
      <c r="A3777" s="7" t="n"/>
      <c r="B3777" s="8" t="n"/>
      <c r="C3777" s="9">
        <f>IF(B3777="","",IFERROR(VLOOKUP(B3777,'Daftar Outlet'!$A$4:$B$22,2,FALSE),""))</f>
        <v/>
      </c>
      <c r="D3777" s="8" t="n"/>
      <c r="E3777" s="6" t="n"/>
      <c r="F3777" s="8" t="n"/>
    </row>
    <row r="3778">
      <c r="A3778" s="7" t="n"/>
      <c r="B3778" s="8" t="n"/>
      <c r="C3778" s="9">
        <f>IF(B3778="","",IFERROR(VLOOKUP(B3778,'Daftar Outlet'!$A$4:$B$22,2,FALSE),""))</f>
        <v/>
      </c>
      <c r="D3778" s="8" t="n"/>
      <c r="E3778" s="6" t="n"/>
      <c r="F3778" s="8" t="n"/>
    </row>
    <row r="3779">
      <c r="A3779" s="7" t="n"/>
      <c r="B3779" s="8" t="n"/>
      <c r="C3779" s="9">
        <f>IF(B3779="","",IFERROR(VLOOKUP(B3779,'Daftar Outlet'!$A$4:$B$22,2,FALSE),""))</f>
        <v/>
      </c>
      <c r="D3779" s="8" t="n"/>
      <c r="E3779" s="6" t="n"/>
      <c r="F3779" s="8" t="n"/>
    </row>
    <row r="3780">
      <c r="A3780" s="7" t="n"/>
      <c r="B3780" s="8" t="n"/>
      <c r="C3780" s="9">
        <f>IF(B3780="","",IFERROR(VLOOKUP(B3780,'Daftar Outlet'!$A$4:$B$22,2,FALSE),""))</f>
        <v/>
      </c>
      <c r="D3780" s="8" t="n"/>
      <c r="E3780" s="6" t="n"/>
      <c r="F3780" s="8" t="n"/>
    </row>
    <row r="3781">
      <c r="A3781" s="7" t="n"/>
      <c r="B3781" s="8" t="n"/>
      <c r="C3781" s="9">
        <f>IF(B3781="","",IFERROR(VLOOKUP(B3781,'Daftar Outlet'!$A$4:$B$22,2,FALSE),""))</f>
        <v/>
      </c>
      <c r="D3781" s="8" t="n"/>
      <c r="E3781" s="6" t="n"/>
      <c r="F3781" s="8" t="n"/>
    </row>
    <row r="3782">
      <c r="A3782" s="7" t="n"/>
      <c r="B3782" s="8" t="n"/>
      <c r="C3782" s="9">
        <f>IF(B3782="","",IFERROR(VLOOKUP(B3782,'Daftar Outlet'!$A$4:$B$22,2,FALSE),""))</f>
        <v/>
      </c>
      <c r="D3782" s="8" t="n"/>
      <c r="E3782" s="6" t="n"/>
      <c r="F3782" s="8" t="n"/>
    </row>
    <row r="3783">
      <c r="A3783" s="7" t="n"/>
      <c r="B3783" s="8" t="n"/>
      <c r="C3783" s="9">
        <f>IF(B3783="","",IFERROR(VLOOKUP(B3783,'Daftar Outlet'!$A$4:$B$22,2,FALSE),""))</f>
        <v/>
      </c>
      <c r="D3783" s="8" t="n"/>
      <c r="E3783" s="6" t="n"/>
      <c r="F3783" s="8" t="n"/>
    </row>
    <row r="3784">
      <c r="A3784" s="7" t="n"/>
      <c r="B3784" s="8" t="n"/>
      <c r="C3784" s="9">
        <f>IF(B3784="","",IFERROR(VLOOKUP(B3784,'Daftar Outlet'!$A$4:$B$22,2,FALSE),""))</f>
        <v/>
      </c>
      <c r="D3784" s="8" t="n"/>
      <c r="E3784" s="6" t="n"/>
      <c r="F3784" s="8" t="n"/>
    </row>
    <row r="3785">
      <c r="A3785" s="7" t="n"/>
      <c r="B3785" s="8" t="n"/>
      <c r="C3785" s="9">
        <f>IF(B3785="","",IFERROR(VLOOKUP(B3785,'Daftar Outlet'!$A$4:$B$22,2,FALSE),""))</f>
        <v/>
      </c>
      <c r="D3785" s="8" t="n"/>
      <c r="E3785" s="6" t="n"/>
      <c r="F3785" s="8" t="n"/>
    </row>
    <row r="3786">
      <c r="A3786" s="7" t="n"/>
      <c r="B3786" s="8" t="n"/>
      <c r="C3786" s="9">
        <f>IF(B3786="","",IFERROR(VLOOKUP(B3786,'Daftar Outlet'!$A$4:$B$22,2,FALSE),""))</f>
        <v/>
      </c>
      <c r="D3786" s="8" t="n"/>
      <c r="E3786" s="6" t="n"/>
      <c r="F3786" s="8" t="n"/>
    </row>
    <row r="3787">
      <c r="A3787" s="7" t="n"/>
      <c r="B3787" s="8" t="n"/>
      <c r="C3787" s="9">
        <f>IF(B3787="","",IFERROR(VLOOKUP(B3787,'Daftar Outlet'!$A$4:$B$22,2,FALSE),""))</f>
        <v/>
      </c>
      <c r="D3787" s="8" t="n"/>
      <c r="E3787" s="6" t="n"/>
      <c r="F3787" s="8" t="n"/>
    </row>
    <row r="3788">
      <c r="A3788" s="7" t="n"/>
      <c r="B3788" s="8" t="n"/>
      <c r="C3788" s="9">
        <f>IF(B3788="","",IFERROR(VLOOKUP(B3788,'Daftar Outlet'!$A$4:$B$22,2,FALSE),""))</f>
        <v/>
      </c>
      <c r="D3788" s="8" t="n"/>
      <c r="E3788" s="6" t="n"/>
      <c r="F3788" s="8" t="n"/>
    </row>
    <row r="3789">
      <c r="A3789" s="7" t="n"/>
      <c r="B3789" s="8" t="n"/>
      <c r="C3789" s="9">
        <f>IF(B3789="","",IFERROR(VLOOKUP(B3789,'Daftar Outlet'!$A$4:$B$22,2,FALSE),""))</f>
        <v/>
      </c>
      <c r="D3789" s="8" t="n"/>
      <c r="E3789" s="6" t="n"/>
      <c r="F3789" s="8" t="n"/>
    </row>
    <row r="3790">
      <c r="A3790" s="7" t="n"/>
      <c r="B3790" s="8" t="n"/>
      <c r="C3790" s="9">
        <f>IF(B3790="","",IFERROR(VLOOKUP(B3790,'Daftar Outlet'!$A$4:$B$22,2,FALSE),""))</f>
        <v/>
      </c>
      <c r="D3790" s="8" t="n"/>
      <c r="E3790" s="6" t="n"/>
      <c r="F3790" s="8" t="n"/>
    </row>
    <row r="3791">
      <c r="A3791" s="7" t="n"/>
      <c r="B3791" s="8" t="n"/>
      <c r="C3791" s="9">
        <f>IF(B3791="","",IFERROR(VLOOKUP(B3791,'Daftar Outlet'!$A$4:$B$22,2,FALSE),""))</f>
        <v/>
      </c>
      <c r="D3791" s="8" t="n"/>
      <c r="E3791" s="6" t="n"/>
      <c r="F3791" s="8" t="n"/>
    </row>
    <row r="3792">
      <c r="A3792" s="7" t="n"/>
      <c r="B3792" s="8" t="n"/>
      <c r="C3792" s="9">
        <f>IF(B3792="","",IFERROR(VLOOKUP(B3792,'Daftar Outlet'!$A$4:$B$22,2,FALSE),""))</f>
        <v/>
      </c>
      <c r="D3792" s="8" t="n"/>
      <c r="E3792" s="6" t="n"/>
      <c r="F3792" s="8" t="n"/>
    </row>
    <row r="3793">
      <c r="A3793" s="7" t="n"/>
      <c r="B3793" s="8" t="n"/>
      <c r="C3793" s="9">
        <f>IF(B3793="","",IFERROR(VLOOKUP(B3793,'Daftar Outlet'!$A$4:$B$22,2,FALSE),""))</f>
        <v/>
      </c>
      <c r="D3793" s="8" t="n"/>
      <c r="E3793" s="6" t="n"/>
      <c r="F3793" s="8" t="n"/>
    </row>
    <row r="3794">
      <c r="A3794" s="7" t="n"/>
      <c r="B3794" s="8" t="n"/>
      <c r="C3794" s="9">
        <f>IF(B3794="","",IFERROR(VLOOKUP(B3794,'Daftar Outlet'!$A$4:$B$22,2,FALSE),""))</f>
        <v/>
      </c>
      <c r="D3794" s="8" t="n"/>
      <c r="E3794" s="6" t="n"/>
      <c r="F3794" s="8" t="n"/>
    </row>
    <row r="3795">
      <c r="A3795" s="7" t="n"/>
      <c r="B3795" s="8" t="n"/>
      <c r="C3795" s="9">
        <f>IF(B3795="","",IFERROR(VLOOKUP(B3795,'Daftar Outlet'!$A$4:$B$22,2,FALSE),""))</f>
        <v/>
      </c>
      <c r="D3795" s="8" t="n"/>
      <c r="E3795" s="6" t="n"/>
      <c r="F3795" s="8" t="n"/>
    </row>
    <row r="3796">
      <c r="A3796" s="7" t="n"/>
      <c r="B3796" s="8" t="n"/>
      <c r="C3796" s="9">
        <f>IF(B3796="","",IFERROR(VLOOKUP(B3796,'Daftar Outlet'!$A$4:$B$22,2,FALSE),""))</f>
        <v/>
      </c>
      <c r="D3796" s="8" t="n"/>
      <c r="E3796" s="6" t="n"/>
      <c r="F3796" s="8" t="n"/>
    </row>
    <row r="3797">
      <c r="A3797" s="7" t="n"/>
      <c r="B3797" s="8" t="n"/>
      <c r="C3797" s="9">
        <f>IF(B3797="","",IFERROR(VLOOKUP(B3797,'Daftar Outlet'!$A$4:$B$22,2,FALSE),""))</f>
        <v/>
      </c>
      <c r="D3797" s="8" t="n"/>
      <c r="E3797" s="6" t="n"/>
      <c r="F3797" s="8" t="n"/>
    </row>
    <row r="3798">
      <c r="A3798" s="7" t="n"/>
      <c r="B3798" s="8" t="n"/>
      <c r="C3798" s="9">
        <f>IF(B3798="","",IFERROR(VLOOKUP(B3798,'Daftar Outlet'!$A$4:$B$22,2,FALSE),""))</f>
        <v/>
      </c>
      <c r="D3798" s="8" t="n"/>
      <c r="E3798" s="6" t="n"/>
      <c r="F3798" s="8" t="n"/>
    </row>
    <row r="3799">
      <c r="A3799" s="7" t="n"/>
      <c r="B3799" s="8" t="n"/>
      <c r="C3799" s="9">
        <f>IF(B3799="","",IFERROR(VLOOKUP(B3799,'Daftar Outlet'!$A$4:$B$22,2,FALSE),""))</f>
        <v/>
      </c>
      <c r="D3799" s="8" t="n"/>
      <c r="E3799" s="6" t="n"/>
      <c r="F3799" s="8" t="n"/>
    </row>
    <row r="3800">
      <c r="A3800" s="7" t="n"/>
      <c r="B3800" s="8" t="n"/>
      <c r="C3800" s="9">
        <f>IF(B3800="","",IFERROR(VLOOKUP(B3800,'Daftar Outlet'!$A$4:$B$22,2,FALSE),""))</f>
        <v/>
      </c>
      <c r="D3800" s="8" t="n"/>
      <c r="E3800" s="6" t="n"/>
      <c r="F3800" s="8" t="n"/>
    </row>
    <row r="3801">
      <c r="A3801" s="7" t="n"/>
      <c r="B3801" s="8" t="n"/>
      <c r="C3801" s="9">
        <f>IF(B3801="","",IFERROR(VLOOKUP(B3801,'Daftar Outlet'!$A$4:$B$22,2,FALSE),""))</f>
        <v/>
      </c>
      <c r="D3801" s="8" t="n"/>
      <c r="E3801" s="6" t="n"/>
      <c r="F3801" s="8" t="n"/>
    </row>
    <row r="3802">
      <c r="A3802" s="7" t="n"/>
      <c r="B3802" s="8" t="n"/>
      <c r="C3802" s="9">
        <f>IF(B3802="","",IFERROR(VLOOKUP(B3802,'Daftar Outlet'!$A$4:$B$22,2,FALSE),""))</f>
        <v/>
      </c>
      <c r="D3802" s="8" t="n"/>
      <c r="E3802" s="6" t="n"/>
      <c r="F3802" s="8" t="n"/>
    </row>
    <row r="3803">
      <c r="A3803" s="7" t="n"/>
      <c r="B3803" s="8" t="n"/>
      <c r="C3803" s="9">
        <f>IF(B3803="","",IFERROR(VLOOKUP(B3803,'Daftar Outlet'!$A$4:$B$22,2,FALSE),""))</f>
        <v/>
      </c>
      <c r="D3803" s="8" t="n"/>
      <c r="E3803" s="6" t="n"/>
      <c r="F3803" s="8" t="n"/>
    </row>
    <row r="3804">
      <c r="A3804" s="7" t="n"/>
      <c r="B3804" s="8" t="n"/>
      <c r="C3804" s="9">
        <f>IF(B3804="","",IFERROR(VLOOKUP(B3804,'Daftar Outlet'!$A$4:$B$22,2,FALSE),""))</f>
        <v/>
      </c>
      <c r="D3804" s="8" t="n"/>
      <c r="E3804" s="6" t="n"/>
      <c r="F3804" s="8" t="n"/>
    </row>
    <row r="3805">
      <c r="A3805" s="7" t="n"/>
      <c r="B3805" s="8" t="n"/>
      <c r="C3805" s="9">
        <f>IF(B3805="","",IFERROR(VLOOKUP(B3805,'Daftar Outlet'!$A$4:$B$22,2,FALSE),""))</f>
        <v/>
      </c>
      <c r="D3805" s="8" t="n"/>
      <c r="E3805" s="6" t="n"/>
      <c r="F3805" s="8" t="n"/>
    </row>
    <row r="3806">
      <c r="A3806" s="7" t="n"/>
      <c r="B3806" s="8" t="n"/>
      <c r="C3806" s="9">
        <f>IF(B3806="","",IFERROR(VLOOKUP(B3806,'Daftar Outlet'!$A$4:$B$22,2,FALSE),""))</f>
        <v/>
      </c>
      <c r="D3806" s="8" t="n"/>
      <c r="E3806" s="6" t="n"/>
      <c r="F3806" s="8" t="n"/>
    </row>
    <row r="3807">
      <c r="A3807" s="7" t="n"/>
      <c r="B3807" s="8" t="n"/>
      <c r="C3807" s="9">
        <f>IF(B3807="","",IFERROR(VLOOKUP(B3807,'Daftar Outlet'!$A$4:$B$22,2,FALSE),""))</f>
        <v/>
      </c>
      <c r="D3807" s="8" t="n"/>
      <c r="E3807" s="6" t="n"/>
      <c r="F3807" s="8" t="n"/>
    </row>
    <row r="3808">
      <c r="A3808" s="7" t="n"/>
      <c r="B3808" s="8" t="n"/>
      <c r="C3808" s="9">
        <f>IF(B3808="","",IFERROR(VLOOKUP(B3808,'Daftar Outlet'!$A$4:$B$22,2,FALSE),""))</f>
        <v/>
      </c>
      <c r="D3808" s="8" t="n"/>
      <c r="E3808" s="6" t="n"/>
      <c r="F3808" s="8" t="n"/>
    </row>
    <row r="3809">
      <c r="A3809" s="7" t="n"/>
      <c r="B3809" s="8" t="n"/>
      <c r="C3809" s="9">
        <f>IF(B3809="","",IFERROR(VLOOKUP(B3809,'Daftar Outlet'!$A$4:$B$22,2,FALSE),""))</f>
        <v/>
      </c>
      <c r="D3809" s="8" t="n"/>
      <c r="E3809" s="6" t="n"/>
      <c r="F3809" s="8" t="n"/>
    </row>
    <row r="3810">
      <c r="A3810" s="7" t="n"/>
      <c r="B3810" s="8" t="n"/>
      <c r="C3810" s="9">
        <f>IF(B3810="","",IFERROR(VLOOKUP(B3810,'Daftar Outlet'!$A$4:$B$22,2,FALSE),""))</f>
        <v/>
      </c>
      <c r="D3810" s="8" t="n"/>
      <c r="E3810" s="6" t="n"/>
      <c r="F3810" s="8" t="n"/>
    </row>
    <row r="3811">
      <c r="A3811" s="7" t="n"/>
      <c r="B3811" s="8" t="n"/>
      <c r="C3811" s="9">
        <f>IF(B3811="","",IFERROR(VLOOKUP(B3811,'Daftar Outlet'!$A$4:$B$22,2,FALSE),""))</f>
        <v/>
      </c>
      <c r="D3811" s="8" t="n"/>
      <c r="E3811" s="6" t="n"/>
      <c r="F3811" s="8" t="n"/>
    </row>
    <row r="3812">
      <c r="A3812" s="7" t="n"/>
      <c r="B3812" s="8" t="n"/>
      <c r="C3812" s="9">
        <f>IF(B3812="","",IFERROR(VLOOKUP(B3812,'Daftar Outlet'!$A$4:$B$22,2,FALSE),""))</f>
        <v/>
      </c>
      <c r="D3812" s="8" t="n"/>
      <c r="E3812" s="6" t="n"/>
      <c r="F3812" s="8" t="n"/>
    </row>
    <row r="3813">
      <c r="A3813" s="7" t="n"/>
      <c r="B3813" s="8" t="n"/>
      <c r="C3813" s="9">
        <f>IF(B3813="","",IFERROR(VLOOKUP(B3813,'Daftar Outlet'!$A$4:$B$22,2,FALSE),""))</f>
        <v/>
      </c>
      <c r="D3813" s="8" t="n"/>
      <c r="E3813" s="6" t="n"/>
      <c r="F3813" s="8" t="n"/>
    </row>
    <row r="3814">
      <c r="A3814" s="7" t="n"/>
      <c r="B3814" s="8" t="n"/>
      <c r="C3814" s="9">
        <f>IF(B3814="","",IFERROR(VLOOKUP(B3814,'Daftar Outlet'!$A$4:$B$22,2,FALSE),""))</f>
        <v/>
      </c>
      <c r="D3814" s="8" t="n"/>
      <c r="E3814" s="6" t="n"/>
      <c r="F3814" s="8" t="n"/>
    </row>
    <row r="3815">
      <c r="A3815" s="7" t="n"/>
      <c r="B3815" s="8" t="n"/>
      <c r="C3815" s="9">
        <f>IF(B3815="","",IFERROR(VLOOKUP(B3815,'Daftar Outlet'!$A$4:$B$22,2,FALSE),""))</f>
        <v/>
      </c>
      <c r="D3815" s="8" t="n"/>
      <c r="E3815" s="6" t="n"/>
      <c r="F3815" s="8" t="n"/>
    </row>
    <row r="3816">
      <c r="A3816" s="7" t="n"/>
      <c r="B3816" s="8" t="n"/>
      <c r="C3816" s="9">
        <f>IF(B3816="","",IFERROR(VLOOKUP(B3816,'Daftar Outlet'!$A$4:$B$22,2,FALSE),""))</f>
        <v/>
      </c>
      <c r="D3816" s="8" t="n"/>
      <c r="E3816" s="6" t="n"/>
      <c r="F3816" s="8" t="n"/>
    </row>
    <row r="3817">
      <c r="A3817" s="7" t="n"/>
      <c r="B3817" s="8" t="n"/>
      <c r="C3817" s="9">
        <f>IF(B3817="","",IFERROR(VLOOKUP(B3817,'Daftar Outlet'!$A$4:$B$22,2,FALSE),""))</f>
        <v/>
      </c>
      <c r="D3817" s="8" t="n"/>
      <c r="E3817" s="6" t="n"/>
      <c r="F3817" s="8" t="n"/>
    </row>
    <row r="3818">
      <c r="A3818" s="7" t="n"/>
      <c r="B3818" s="8" t="n"/>
      <c r="C3818" s="9">
        <f>IF(B3818="","",IFERROR(VLOOKUP(B3818,'Daftar Outlet'!$A$4:$B$22,2,FALSE),""))</f>
        <v/>
      </c>
      <c r="D3818" s="8" t="n"/>
      <c r="E3818" s="6" t="n"/>
      <c r="F3818" s="8" t="n"/>
    </row>
    <row r="3819">
      <c r="A3819" s="7" t="n"/>
      <c r="B3819" s="8" t="n"/>
      <c r="C3819" s="9">
        <f>IF(B3819="","",IFERROR(VLOOKUP(B3819,'Daftar Outlet'!$A$4:$B$22,2,FALSE),""))</f>
        <v/>
      </c>
      <c r="D3819" s="8" t="n"/>
      <c r="E3819" s="6" t="n"/>
      <c r="F3819" s="8" t="n"/>
    </row>
    <row r="3820">
      <c r="A3820" s="7" t="n"/>
      <c r="B3820" s="8" t="n"/>
      <c r="C3820" s="9">
        <f>IF(B3820="","",IFERROR(VLOOKUP(B3820,'Daftar Outlet'!$A$4:$B$22,2,FALSE),""))</f>
        <v/>
      </c>
      <c r="D3820" s="8" t="n"/>
      <c r="E3820" s="6" t="n"/>
      <c r="F3820" s="8" t="n"/>
    </row>
    <row r="3821">
      <c r="A3821" s="7" t="n"/>
      <c r="B3821" s="8" t="n"/>
      <c r="C3821" s="9">
        <f>IF(B3821="","",IFERROR(VLOOKUP(B3821,'Daftar Outlet'!$A$4:$B$22,2,FALSE),""))</f>
        <v/>
      </c>
      <c r="D3821" s="8" t="n"/>
      <c r="E3821" s="6" t="n"/>
      <c r="F3821" s="8" t="n"/>
    </row>
    <row r="3822">
      <c r="A3822" s="7" t="n"/>
      <c r="B3822" s="8" t="n"/>
      <c r="C3822" s="9">
        <f>IF(B3822="","",IFERROR(VLOOKUP(B3822,'Daftar Outlet'!$A$4:$B$22,2,FALSE),""))</f>
        <v/>
      </c>
      <c r="D3822" s="8" t="n"/>
      <c r="E3822" s="6" t="n"/>
      <c r="F3822" s="8" t="n"/>
    </row>
    <row r="3823">
      <c r="A3823" s="7" t="n"/>
      <c r="B3823" s="8" t="n"/>
      <c r="C3823" s="9">
        <f>IF(B3823="","",IFERROR(VLOOKUP(B3823,'Daftar Outlet'!$A$4:$B$22,2,FALSE),""))</f>
        <v/>
      </c>
      <c r="D3823" s="8" t="n"/>
      <c r="E3823" s="6" t="n"/>
      <c r="F3823" s="8" t="n"/>
    </row>
    <row r="3824">
      <c r="A3824" s="7" t="n"/>
      <c r="B3824" s="8" t="n"/>
      <c r="C3824" s="9">
        <f>IF(B3824="","",IFERROR(VLOOKUP(B3824,'Daftar Outlet'!$A$4:$B$22,2,FALSE),""))</f>
        <v/>
      </c>
      <c r="D3824" s="8" t="n"/>
      <c r="E3824" s="6" t="n"/>
      <c r="F3824" s="8" t="n"/>
    </row>
    <row r="3825">
      <c r="A3825" s="7" t="n"/>
      <c r="B3825" s="8" t="n"/>
      <c r="C3825" s="9">
        <f>IF(B3825="","",IFERROR(VLOOKUP(B3825,'Daftar Outlet'!$A$4:$B$22,2,FALSE),""))</f>
        <v/>
      </c>
      <c r="D3825" s="8" t="n"/>
      <c r="E3825" s="6" t="n"/>
      <c r="F3825" s="8" t="n"/>
    </row>
    <row r="3826">
      <c r="A3826" s="7" t="n"/>
      <c r="B3826" s="8" t="n"/>
      <c r="C3826" s="9">
        <f>IF(B3826="","",IFERROR(VLOOKUP(B3826,'Daftar Outlet'!$A$4:$B$22,2,FALSE),""))</f>
        <v/>
      </c>
      <c r="D3826" s="8" t="n"/>
      <c r="E3826" s="6" t="n"/>
      <c r="F3826" s="8" t="n"/>
    </row>
    <row r="3827">
      <c r="A3827" s="7" t="n"/>
      <c r="B3827" s="8" t="n"/>
      <c r="C3827" s="9">
        <f>IF(B3827="","",IFERROR(VLOOKUP(B3827,'Daftar Outlet'!$A$4:$B$22,2,FALSE),""))</f>
        <v/>
      </c>
      <c r="D3827" s="8" t="n"/>
      <c r="E3827" s="6" t="n"/>
      <c r="F3827" s="8" t="n"/>
    </row>
    <row r="3828">
      <c r="A3828" s="7" t="n"/>
      <c r="B3828" s="8" t="n"/>
      <c r="C3828" s="9">
        <f>IF(B3828="","",IFERROR(VLOOKUP(B3828,'Daftar Outlet'!$A$4:$B$22,2,FALSE),""))</f>
        <v/>
      </c>
      <c r="D3828" s="8" t="n"/>
      <c r="E3828" s="6" t="n"/>
      <c r="F3828" s="8" t="n"/>
    </row>
    <row r="3829">
      <c r="A3829" s="7" t="n"/>
      <c r="B3829" s="8" t="n"/>
      <c r="C3829" s="9">
        <f>IF(B3829="","",IFERROR(VLOOKUP(B3829,'Daftar Outlet'!$A$4:$B$22,2,FALSE),""))</f>
        <v/>
      </c>
      <c r="D3829" s="8" t="n"/>
      <c r="E3829" s="6" t="n"/>
      <c r="F3829" s="8" t="n"/>
    </row>
    <row r="3830">
      <c r="A3830" s="7" t="n"/>
      <c r="B3830" s="8" t="n"/>
      <c r="C3830" s="9">
        <f>IF(B3830="","",IFERROR(VLOOKUP(B3830,'Daftar Outlet'!$A$4:$B$22,2,FALSE),""))</f>
        <v/>
      </c>
      <c r="D3830" s="8" t="n"/>
      <c r="E3830" s="6" t="n"/>
      <c r="F3830" s="8" t="n"/>
    </row>
    <row r="3831">
      <c r="A3831" s="7" t="n"/>
      <c r="B3831" s="8" t="n"/>
      <c r="C3831" s="9">
        <f>IF(B3831="","",IFERROR(VLOOKUP(B3831,'Daftar Outlet'!$A$4:$B$22,2,FALSE),""))</f>
        <v/>
      </c>
      <c r="D3831" s="8" t="n"/>
      <c r="E3831" s="6" t="n"/>
      <c r="F3831" s="8" t="n"/>
    </row>
    <row r="3832">
      <c r="A3832" s="7" t="n"/>
      <c r="B3832" s="8" t="n"/>
      <c r="C3832" s="9">
        <f>IF(B3832="","",IFERROR(VLOOKUP(B3832,'Daftar Outlet'!$A$4:$B$22,2,FALSE),""))</f>
        <v/>
      </c>
      <c r="D3832" s="8" t="n"/>
      <c r="E3832" s="6" t="n"/>
      <c r="F3832" s="8" t="n"/>
    </row>
    <row r="3833">
      <c r="A3833" s="7" t="n"/>
      <c r="B3833" s="8" t="n"/>
      <c r="C3833" s="9">
        <f>IF(B3833="","",IFERROR(VLOOKUP(B3833,'Daftar Outlet'!$A$4:$B$22,2,FALSE),""))</f>
        <v/>
      </c>
      <c r="D3833" s="8" t="n"/>
      <c r="E3833" s="6" t="n"/>
      <c r="F3833" s="8" t="n"/>
    </row>
    <row r="3834">
      <c r="A3834" s="7" t="n"/>
      <c r="B3834" s="8" t="n"/>
      <c r="C3834" s="9">
        <f>IF(B3834="","",IFERROR(VLOOKUP(B3834,'Daftar Outlet'!$A$4:$B$22,2,FALSE),""))</f>
        <v/>
      </c>
      <c r="D3834" s="8" t="n"/>
      <c r="E3834" s="6" t="n"/>
      <c r="F3834" s="8" t="n"/>
    </row>
    <row r="3835">
      <c r="A3835" s="7" t="n"/>
      <c r="B3835" s="8" t="n"/>
      <c r="C3835" s="9">
        <f>IF(B3835="","",IFERROR(VLOOKUP(B3835,'Daftar Outlet'!$A$4:$B$22,2,FALSE),""))</f>
        <v/>
      </c>
      <c r="D3835" s="8" t="n"/>
      <c r="E3835" s="6" t="n"/>
      <c r="F3835" s="8" t="n"/>
    </row>
    <row r="3836">
      <c r="A3836" s="7" t="n"/>
      <c r="B3836" s="8" t="n"/>
      <c r="C3836" s="9">
        <f>IF(B3836="","",IFERROR(VLOOKUP(B3836,'Daftar Outlet'!$A$4:$B$22,2,FALSE),""))</f>
        <v/>
      </c>
      <c r="D3836" s="8" t="n"/>
      <c r="E3836" s="6" t="n"/>
      <c r="F3836" s="8" t="n"/>
    </row>
    <row r="3837">
      <c r="A3837" s="7" t="n"/>
      <c r="B3837" s="8" t="n"/>
      <c r="C3837" s="9">
        <f>IF(B3837="","",IFERROR(VLOOKUP(B3837,'Daftar Outlet'!$A$4:$B$22,2,FALSE),""))</f>
        <v/>
      </c>
      <c r="D3837" s="8" t="n"/>
      <c r="E3837" s="6" t="n"/>
      <c r="F3837" s="8" t="n"/>
    </row>
    <row r="3838">
      <c r="A3838" s="7" t="n"/>
      <c r="B3838" s="8" t="n"/>
      <c r="C3838" s="9">
        <f>IF(B3838="","",IFERROR(VLOOKUP(B3838,'Daftar Outlet'!$A$4:$B$22,2,FALSE),""))</f>
        <v/>
      </c>
      <c r="D3838" s="8" t="n"/>
      <c r="E3838" s="6" t="n"/>
      <c r="F3838" s="8" t="n"/>
    </row>
    <row r="3839">
      <c r="A3839" s="7" t="n"/>
      <c r="B3839" s="8" t="n"/>
      <c r="C3839" s="9">
        <f>IF(B3839="","",IFERROR(VLOOKUP(B3839,'Daftar Outlet'!$A$4:$B$22,2,FALSE),""))</f>
        <v/>
      </c>
      <c r="D3839" s="8" t="n"/>
      <c r="E3839" s="6" t="n"/>
      <c r="F3839" s="8" t="n"/>
    </row>
    <row r="3840">
      <c r="A3840" s="7" t="n"/>
      <c r="B3840" s="8" t="n"/>
      <c r="C3840" s="9">
        <f>IF(B3840="","",IFERROR(VLOOKUP(B3840,'Daftar Outlet'!$A$4:$B$22,2,FALSE),""))</f>
        <v/>
      </c>
      <c r="D3840" s="8" t="n"/>
      <c r="E3840" s="6" t="n"/>
      <c r="F3840" s="8" t="n"/>
    </row>
    <row r="3841">
      <c r="A3841" s="7" t="n"/>
      <c r="B3841" s="8" t="n"/>
      <c r="C3841" s="9">
        <f>IF(B3841="","",IFERROR(VLOOKUP(B3841,'Daftar Outlet'!$A$4:$B$22,2,FALSE),""))</f>
        <v/>
      </c>
      <c r="D3841" s="8" t="n"/>
      <c r="E3841" s="6" t="n"/>
      <c r="F3841" s="8" t="n"/>
    </row>
    <row r="3842">
      <c r="A3842" s="7" t="n"/>
      <c r="B3842" s="8" t="n"/>
      <c r="C3842" s="9">
        <f>IF(B3842="","",IFERROR(VLOOKUP(B3842,'Daftar Outlet'!$A$4:$B$22,2,FALSE),""))</f>
        <v/>
      </c>
      <c r="D3842" s="8" t="n"/>
      <c r="E3842" s="6" t="n"/>
      <c r="F3842" s="8" t="n"/>
    </row>
    <row r="3843">
      <c r="A3843" s="7" t="n"/>
      <c r="B3843" s="8" t="n"/>
      <c r="C3843" s="9">
        <f>IF(B3843="","",IFERROR(VLOOKUP(B3843,'Daftar Outlet'!$A$4:$B$22,2,FALSE),""))</f>
        <v/>
      </c>
      <c r="D3843" s="8" t="n"/>
      <c r="E3843" s="6" t="n"/>
      <c r="F3843" s="8" t="n"/>
    </row>
    <row r="3844">
      <c r="A3844" s="7" t="n"/>
      <c r="B3844" s="8" t="n"/>
      <c r="C3844" s="9">
        <f>IF(B3844="","",IFERROR(VLOOKUP(B3844,'Daftar Outlet'!$A$4:$B$22,2,FALSE),""))</f>
        <v/>
      </c>
      <c r="D3844" s="8" t="n"/>
      <c r="E3844" s="6" t="n"/>
      <c r="F3844" s="8" t="n"/>
    </row>
    <row r="3845">
      <c r="A3845" s="7" t="n"/>
      <c r="B3845" s="8" t="n"/>
      <c r="C3845" s="9">
        <f>IF(B3845="","",IFERROR(VLOOKUP(B3845,'Daftar Outlet'!$A$4:$B$22,2,FALSE),""))</f>
        <v/>
      </c>
      <c r="D3845" s="8" t="n"/>
      <c r="E3845" s="6" t="n"/>
      <c r="F3845" s="8" t="n"/>
    </row>
    <row r="3846">
      <c r="A3846" s="7" t="n"/>
      <c r="B3846" s="8" t="n"/>
      <c r="C3846" s="9">
        <f>IF(B3846="","",IFERROR(VLOOKUP(B3846,'Daftar Outlet'!$A$4:$B$22,2,FALSE),""))</f>
        <v/>
      </c>
      <c r="D3846" s="8" t="n"/>
      <c r="E3846" s="6" t="n"/>
      <c r="F3846" s="8" t="n"/>
    </row>
    <row r="3847">
      <c r="A3847" s="7" t="n"/>
      <c r="B3847" s="8" t="n"/>
      <c r="C3847" s="9">
        <f>IF(B3847="","",IFERROR(VLOOKUP(B3847,'Daftar Outlet'!$A$4:$B$22,2,FALSE),""))</f>
        <v/>
      </c>
      <c r="D3847" s="8" t="n"/>
      <c r="E3847" s="6" t="n"/>
      <c r="F3847" s="8" t="n"/>
    </row>
    <row r="3848">
      <c r="A3848" s="7" t="n"/>
      <c r="B3848" s="8" t="n"/>
      <c r="C3848" s="9">
        <f>IF(B3848="","",IFERROR(VLOOKUP(B3848,'Daftar Outlet'!$A$4:$B$22,2,FALSE),""))</f>
        <v/>
      </c>
      <c r="D3848" s="8" t="n"/>
      <c r="E3848" s="6" t="n"/>
      <c r="F3848" s="8" t="n"/>
    </row>
    <row r="3849">
      <c r="A3849" s="7" t="n"/>
      <c r="B3849" s="8" t="n"/>
      <c r="C3849" s="9">
        <f>IF(B3849="","",IFERROR(VLOOKUP(B3849,'Daftar Outlet'!$A$4:$B$22,2,FALSE),""))</f>
        <v/>
      </c>
      <c r="D3849" s="8" t="n"/>
      <c r="E3849" s="6" t="n"/>
      <c r="F3849" s="8" t="n"/>
    </row>
    <row r="3850">
      <c r="A3850" s="7" t="n"/>
      <c r="B3850" s="8" t="n"/>
      <c r="C3850" s="9">
        <f>IF(B3850="","",IFERROR(VLOOKUP(B3850,'Daftar Outlet'!$A$4:$B$22,2,FALSE),""))</f>
        <v/>
      </c>
      <c r="D3850" s="8" t="n"/>
      <c r="E3850" s="6" t="n"/>
      <c r="F3850" s="8" t="n"/>
    </row>
    <row r="3851">
      <c r="A3851" s="7" t="n"/>
      <c r="B3851" s="8" t="n"/>
      <c r="C3851" s="9">
        <f>IF(B3851="","",IFERROR(VLOOKUP(B3851,'Daftar Outlet'!$A$4:$B$22,2,FALSE),""))</f>
        <v/>
      </c>
      <c r="D3851" s="8" t="n"/>
      <c r="E3851" s="6" t="n"/>
      <c r="F3851" s="8" t="n"/>
    </row>
    <row r="3852">
      <c r="A3852" s="7" t="n"/>
      <c r="B3852" s="8" t="n"/>
      <c r="C3852" s="9">
        <f>IF(B3852="","",IFERROR(VLOOKUP(B3852,'Daftar Outlet'!$A$4:$B$22,2,FALSE),""))</f>
        <v/>
      </c>
      <c r="D3852" s="8" t="n"/>
      <c r="E3852" s="6" t="n"/>
      <c r="F3852" s="8" t="n"/>
    </row>
    <row r="3853">
      <c r="A3853" s="7" t="n"/>
      <c r="B3853" s="8" t="n"/>
      <c r="C3853" s="9">
        <f>IF(B3853="","",IFERROR(VLOOKUP(B3853,'Daftar Outlet'!$A$4:$B$22,2,FALSE),""))</f>
        <v/>
      </c>
      <c r="D3853" s="8" t="n"/>
      <c r="E3853" s="6" t="n"/>
      <c r="F3853" s="8" t="n"/>
    </row>
    <row r="3854">
      <c r="A3854" s="7" t="n"/>
      <c r="B3854" s="8" t="n"/>
      <c r="C3854" s="9">
        <f>IF(B3854="","",IFERROR(VLOOKUP(B3854,'Daftar Outlet'!$A$4:$B$22,2,FALSE),""))</f>
        <v/>
      </c>
      <c r="D3854" s="8" t="n"/>
      <c r="E3854" s="6" t="n"/>
      <c r="F3854" s="8" t="n"/>
    </row>
    <row r="3855">
      <c r="A3855" s="7" t="n"/>
      <c r="B3855" s="8" t="n"/>
      <c r="C3855" s="9">
        <f>IF(B3855="","",IFERROR(VLOOKUP(B3855,'Daftar Outlet'!$A$4:$B$22,2,FALSE),""))</f>
        <v/>
      </c>
      <c r="D3855" s="8" t="n"/>
      <c r="E3855" s="6" t="n"/>
      <c r="F3855" s="8" t="n"/>
    </row>
    <row r="3856">
      <c r="A3856" s="7" t="n"/>
      <c r="B3856" s="8" t="n"/>
      <c r="C3856" s="9">
        <f>IF(B3856="","",IFERROR(VLOOKUP(B3856,'Daftar Outlet'!$A$4:$B$22,2,FALSE),""))</f>
        <v/>
      </c>
      <c r="D3856" s="8" t="n"/>
      <c r="E3856" s="6" t="n"/>
      <c r="F3856" s="8" t="n"/>
    </row>
    <row r="3857">
      <c r="A3857" s="7" t="n"/>
      <c r="B3857" s="8" t="n"/>
      <c r="C3857" s="9">
        <f>IF(B3857="","",IFERROR(VLOOKUP(B3857,'Daftar Outlet'!$A$4:$B$22,2,FALSE),""))</f>
        <v/>
      </c>
      <c r="D3857" s="8" t="n"/>
      <c r="E3857" s="6" t="n"/>
      <c r="F3857" s="8" t="n"/>
    </row>
    <row r="3858">
      <c r="A3858" s="7" t="n"/>
      <c r="B3858" s="8" t="n"/>
      <c r="C3858" s="9">
        <f>IF(B3858="","",IFERROR(VLOOKUP(B3858,'Daftar Outlet'!$A$4:$B$22,2,FALSE),""))</f>
        <v/>
      </c>
      <c r="D3858" s="8" t="n"/>
      <c r="E3858" s="6" t="n"/>
      <c r="F3858" s="8" t="n"/>
    </row>
    <row r="3859">
      <c r="A3859" s="7" t="n"/>
      <c r="B3859" s="8" t="n"/>
      <c r="C3859" s="9">
        <f>IF(B3859="","",IFERROR(VLOOKUP(B3859,'Daftar Outlet'!$A$4:$B$22,2,FALSE),""))</f>
        <v/>
      </c>
      <c r="D3859" s="8" t="n"/>
      <c r="E3859" s="6" t="n"/>
      <c r="F3859" s="8" t="n"/>
    </row>
    <row r="3860">
      <c r="A3860" s="7" t="n"/>
      <c r="B3860" s="8" t="n"/>
      <c r="C3860" s="9">
        <f>IF(B3860="","",IFERROR(VLOOKUP(B3860,'Daftar Outlet'!$A$4:$B$22,2,FALSE),""))</f>
        <v/>
      </c>
      <c r="D3860" s="8" t="n"/>
      <c r="E3860" s="6" t="n"/>
      <c r="F3860" s="8" t="n"/>
    </row>
    <row r="3861">
      <c r="A3861" s="7" t="n"/>
      <c r="B3861" s="8" t="n"/>
      <c r="C3861" s="9">
        <f>IF(B3861="","",IFERROR(VLOOKUP(B3861,'Daftar Outlet'!$A$4:$B$22,2,FALSE),""))</f>
        <v/>
      </c>
      <c r="D3861" s="8" t="n"/>
      <c r="E3861" s="6" t="n"/>
      <c r="F3861" s="8" t="n"/>
    </row>
    <row r="3862">
      <c r="A3862" s="7" t="n"/>
      <c r="B3862" s="8" t="n"/>
      <c r="C3862" s="9">
        <f>IF(B3862="","",IFERROR(VLOOKUP(B3862,'Daftar Outlet'!$A$4:$B$22,2,FALSE),""))</f>
        <v/>
      </c>
      <c r="D3862" s="8" t="n"/>
      <c r="E3862" s="6" t="n"/>
      <c r="F3862" s="8" t="n"/>
    </row>
    <row r="3863">
      <c r="A3863" s="7" t="n"/>
      <c r="B3863" s="8" t="n"/>
      <c r="C3863" s="9">
        <f>IF(B3863="","",IFERROR(VLOOKUP(B3863,'Daftar Outlet'!$A$4:$B$22,2,FALSE),""))</f>
        <v/>
      </c>
      <c r="D3863" s="8" t="n"/>
      <c r="E3863" s="6" t="n"/>
      <c r="F3863" s="8" t="n"/>
    </row>
    <row r="3864">
      <c r="A3864" s="7" t="n"/>
      <c r="B3864" s="8" t="n"/>
      <c r="C3864" s="9">
        <f>IF(B3864="","",IFERROR(VLOOKUP(B3864,'Daftar Outlet'!$A$4:$B$22,2,FALSE),""))</f>
        <v/>
      </c>
      <c r="D3864" s="8" t="n"/>
      <c r="E3864" s="6" t="n"/>
      <c r="F3864" s="8" t="n"/>
    </row>
    <row r="3865">
      <c r="A3865" s="7" t="n"/>
      <c r="B3865" s="8" t="n"/>
      <c r="C3865" s="9">
        <f>IF(B3865="","",IFERROR(VLOOKUP(B3865,'Daftar Outlet'!$A$4:$B$22,2,FALSE),""))</f>
        <v/>
      </c>
      <c r="D3865" s="8" t="n"/>
      <c r="E3865" s="6" t="n"/>
      <c r="F3865" s="8" t="n"/>
    </row>
    <row r="3866">
      <c r="A3866" s="7" t="n"/>
      <c r="B3866" s="8" t="n"/>
      <c r="C3866" s="9">
        <f>IF(B3866="","",IFERROR(VLOOKUP(B3866,'Daftar Outlet'!$A$4:$B$22,2,FALSE),""))</f>
        <v/>
      </c>
      <c r="D3866" s="8" t="n"/>
      <c r="E3866" s="6" t="n"/>
      <c r="F3866" s="8" t="n"/>
    </row>
    <row r="3867">
      <c r="A3867" s="7" t="n"/>
      <c r="B3867" s="8" t="n"/>
      <c r="C3867" s="9">
        <f>IF(B3867="","",IFERROR(VLOOKUP(B3867,'Daftar Outlet'!$A$4:$B$22,2,FALSE),""))</f>
        <v/>
      </c>
      <c r="D3867" s="8" t="n"/>
      <c r="E3867" s="6" t="n"/>
      <c r="F3867" s="8" t="n"/>
    </row>
    <row r="3868">
      <c r="A3868" s="7" t="n"/>
      <c r="B3868" s="8" t="n"/>
      <c r="C3868" s="9">
        <f>IF(B3868="","",IFERROR(VLOOKUP(B3868,'Daftar Outlet'!$A$4:$B$22,2,FALSE),""))</f>
        <v/>
      </c>
      <c r="D3868" s="8" t="n"/>
      <c r="E3868" s="6" t="n"/>
      <c r="F3868" s="8" t="n"/>
    </row>
    <row r="3869">
      <c r="A3869" s="7" t="n"/>
      <c r="B3869" s="8" t="n"/>
      <c r="C3869" s="9">
        <f>IF(B3869="","",IFERROR(VLOOKUP(B3869,'Daftar Outlet'!$A$4:$B$22,2,FALSE),""))</f>
        <v/>
      </c>
      <c r="D3869" s="8" t="n"/>
      <c r="E3869" s="6" t="n"/>
      <c r="F3869" s="8" t="n"/>
    </row>
    <row r="3870">
      <c r="A3870" s="7" t="n"/>
      <c r="B3870" s="8" t="n"/>
      <c r="C3870" s="9">
        <f>IF(B3870="","",IFERROR(VLOOKUP(B3870,'Daftar Outlet'!$A$4:$B$22,2,FALSE),""))</f>
        <v/>
      </c>
      <c r="D3870" s="8" t="n"/>
      <c r="E3870" s="6" t="n"/>
      <c r="F3870" s="8" t="n"/>
    </row>
    <row r="3871">
      <c r="A3871" s="7" t="n"/>
      <c r="B3871" s="8" t="n"/>
      <c r="C3871" s="9">
        <f>IF(B3871="","",IFERROR(VLOOKUP(B3871,'Daftar Outlet'!$A$4:$B$22,2,FALSE),""))</f>
        <v/>
      </c>
      <c r="D3871" s="8" t="n"/>
      <c r="E3871" s="6" t="n"/>
      <c r="F3871" s="8" t="n"/>
    </row>
    <row r="3872">
      <c r="A3872" s="7" t="n"/>
      <c r="B3872" s="8" t="n"/>
      <c r="C3872" s="9">
        <f>IF(B3872="","",IFERROR(VLOOKUP(B3872,'Daftar Outlet'!$A$4:$B$22,2,FALSE),""))</f>
        <v/>
      </c>
      <c r="D3872" s="8" t="n"/>
      <c r="E3872" s="6" t="n"/>
      <c r="F3872" s="8" t="n"/>
    </row>
    <row r="3873">
      <c r="A3873" s="7" t="n"/>
      <c r="B3873" s="8" t="n"/>
      <c r="C3873" s="9">
        <f>IF(B3873="","",IFERROR(VLOOKUP(B3873,'Daftar Outlet'!$A$4:$B$22,2,FALSE),""))</f>
        <v/>
      </c>
      <c r="D3873" s="8" t="n"/>
      <c r="E3873" s="6" t="n"/>
      <c r="F3873" s="8" t="n"/>
    </row>
    <row r="3874">
      <c r="A3874" s="7" t="n"/>
      <c r="B3874" s="8" t="n"/>
      <c r="C3874" s="9">
        <f>IF(B3874="","",IFERROR(VLOOKUP(B3874,'Daftar Outlet'!$A$4:$B$22,2,FALSE),""))</f>
        <v/>
      </c>
      <c r="D3874" s="8" t="n"/>
      <c r="E3874" s="6" t="n"/>
      <c r="F3874" s="8" t="n"/>
    </row>
    <row r="3875">
      <c r="A3875" s="7" t="n"/>
      <c r="B3875" s="8" t="n"/>
      <c r="C3875" s="9">
        <f>IF(B3875="","",IFERROR(VLOOKUP(B3875,'Daftar Outlet'!$A$4:$B$22,2,FALSE),""))</f>
        <v/>
      </c>
      <c r="D3875" s="8" t="n"/>
      <c r="E3875" s="6" t="n"/>
      <c r="F3875" s="8" t="n"/>
    </row>
    <row r="3876">
      <c r="A3876" s="7" t="n"/>
      <c r="B3876" s="8" t="n"/>
      <c r="C3876" s="9">
        <f>IF(B3876="","",IFERROR(VLOOKUP(B3876,'Daftar Outlet'!$A$4:$B$22,2,FALSE),""))</f>
        <v/>
      </c>
      <c r="D3876" s="8" t="n"/>
      <c r="E3876" s="6" t="n"/>
      <c r="F3876" s="8" t="n"/>
    </row>
    <row r="3877">
      <c r="A3877" s="7" t="n"/>
      <c r="B3877" s="8" t="n"/>
      <c r="C3877" s="9">
        <f>IF(B3877="","",IFERROR(VLOOKUP(B3877,'Daftar Outlet'!$A$4:$B$22,2,FALSE),""))</f>
        <v/>
      </c>
      <c r="D3877" s="8" t="n"/>
      <c r="E3877" s="6" t="n"/>
      <c r="F3877" s="8" t="n"/>
    </row>
    <row r="3878">
      <c r="A3878" s="7" t="n"/>
      <c r="B3878" s="8" t="n"/>
      <c r="C3878" s="9">
        <f>IF(B3878="","",IFERROR(VLOOKUP(B3878,'Daftar Outlet'!$A$4:$B$22,2,FALSE),""))</f>
        <v/>
      </c>
      <c r="D3878" s="8" t="n"/>
      <c r="E3878" s="6" t="n"/>
      <c r="F3878" s="8" t="n"/>
    </row>
    <row r="3879">
      <c r="A3879" s="7" t="n"/>
      <c r="B3879" s="8" t="n"/>
      <c r="C3879" s="9">
        <f>IF(B3879="","",IFERROR(VLOOKUP(B3879,'Daftar Outlet'!$A$4:$B$22,2,FALSE),""))</f>
        <v/>
      </c>
      <c r="D3879" s="8" t="n"/>
      <c r="E3879" s="6" t="n"/>
      <c r="F3879" s="8" t="n"/>
    </row>
    <row r="3880">
      <c r="A3880" s="7" t="n"/>
      <c r="B3880" s="8" t="n"/>
      <c r="C3880" s="9">
        <f>IF(B3880="","",IFERROR(VLOOKUP(B3880,'Daftar Outlet'!$A$4:$B$22,2,FALSE),""))</f>
        <v/>
      </c>
      <c r="D3880" s="8" t="n"/>
      <c r="E3880" s="6" t="n"/>
      <c r="F3880" s="8" t="n"/>
    </row>
    <row r="3881">
      <c r="A3881" s="7" t="n"/>
      <c r="B3881" s="8" t="n"/>
      <c r="C3881" s="9">
        <f>IF(B3881="","",IFERROR(VLOOKUP(B3881,'Daftar Outlet'!$A$4:$B$22,2,FALSE),""))</f>
        <v/>
      </c>
      <c r="D3881" s="8" t="n"/>
      <c r="E3881" s="6" t="n"/>
      <c r="F3881" s="8" t="n"/>
    </row>
    <row r="3882">
      <c r="A3882" s="7" t="n"/>
      <c r="B3882" s="8" t="n"/>
      <c r="C3882" s="9">
        <f>IF(B3882="","",IFERROR(VLOOKUP(B3882,'Daftar Outlet'!$A$4:$B$22,2,FALSE),""))</f>
        <v/>
      </c>
      <c r="D3882" s="8" t="n"/>
      <c r="E3882" s="6" t="n"/>
      <c r="F3882" s="8" t="n"/>
    </row>
    <row r="3883">
      <c r="A3883" s="7" t="n"/>
      <c r="B3883" s="8" t="n"/>
      <c r="C3883" s="9">
        <f>IF(B3883="","",IFERROR(VLOOKUP(B3883,'Daftar Outlet'!$A$4:$B$22,2,FALSE),""))</f>
        <v/>
      </c>
      <c r="D3883" s="8" t="n"/>
      <c r="E3883" s="6" t="n"/>
      <c r="F3883" s="8" t="n"/>
    </row>
    <row r="3884">
      <c r="A3884" s="7" t="n"/>
      <c r="B3884" s="8" t="n"/>
      <c r="C3884" s="9">
        <f>IF(B3884="","",IFERROR(VLOOKUP(B3884,'Daftar Outlet'!$A$4:$B$22,2,FALSE),""))</f>
        <v/>
      </c>
      <c r="D3884" s="8" t="n"/>
      <c r="E3884" s="6" t="n"/>
      <c r="F3884" s="8" t="n"/>
    </row>
    <row r="3885">
      <c r="A3885" s="7" t="n"/>
      <c r="B3885" s="8" t="n"/>
      <c r="C3885" s="9">
        <f>IF(B3885="","",IFERROR(VLOOKUP(B3885,'Daftar Outlet'!$A$4:$B$22,2,FALSE),""))</f>
        <v/>
      </c>
      <c r="D3885" s="8" t="n"/>
      <c r="E3885" s="6" t="n"/>
      <c r="F3885" s="8" t="n"/>
    </row>
    <row r="3886">
      <c r="A3886" s="7" t="n"/>
      <c r="B3886" s="8" t="n"/>
      <c r="C3886" s="9">
        <f>IF(B3886="","",IFERROR(VLOOKUP(B3886,'Daftar Outlet'!$A$4:$B$22,2,FALSE),""))</f>
        <v/>
      </c>
      <c r="D3886" s="8" t="n"/>
      <c r="E3886" s="6" t="n"/>
      <c r="F3886" s="8" t="n"/>
    </row>
    <row r="3887">
      <c r="A3887" s="7" t="n"/>
      <c r="B3887" s="8" t="n"/>
      <c r="C3887" s="9">
        <f>IF(B3887="","",IFERROR(VLOOKUP(B3887,'Daftar Outlet'!$A$4:$B$22,2,FALSE),""))</f>
        <v/>
      </c>
      <c r="D3887" s="8" t="n"/>
      <c r="E3887" s="6" t="n"/>
      <c r="F3887" s="8" t="n"/>
    </row>
    <row r="3888">
      <c r="A3888" s="7" t="n"/>
      <c r="B3888" s="8" t="n"/>
      <c r="C3888" s="9">
        <f>IF(B3888="","",IFERROR(VLOOKUP(B3888,'Daftar Outlet'!$A$4:$B$22,2,FALSE),""))</f>
        <v/>
      </c>
      <c r="D3888" s="8" t="n"/>
      <c r="E3888" s="6" t="n"/>
      <c r="F3888" s="8" t="n"/>
    </row>
    <row r="3889">
      <c r="A3889" s="7" t="n"/>
      <c r="B3889" s="8" t="n"/>
      <c r="C3889" s="9">
        <f>IF(B3889="","",IFERROR(VLOOKUP(B3889,'Daftar Outlet'!$A$4:$B$22,2,FALSE),""))</f>
        <v/>
      </c>
      <c r="D3889" s="8" t="n"/>
      <c r="E3889" s="6" t="n"/>
      <c r="F3889" s="8" t="n"/>
    </row>
    <row r="3890">
      <c r="A3890" s="7" t="n"/>
      <c r="B3890" s="8" t="n"/>
      <c r="C3890" s="9">
        <f>IF(B3890="","",IFERROR(VLOOKUP(B3890,'Daftar Outlet'!$A$4:$B$22,2,FALSE),""))</f>
        <v/>
      </c>
      <c r="D3890" s="8" t="n"/>
      <c r="E3890" s="6" t="n"/>
      <c r="F3890" s="8" t="n"/>
    </row>
    <row r="3891">
      <c r="A3891" s="7" t="n"/>
      <c r="B3891" s="8" t="n"/>
      <c r="C3891" s="9">
        <f>IF(B3891="","",IFERROR(VLOOKUP(B3891,'Daftar Outlet'!$A$4:$B$22,2,FALSE),""))</f>
        <v/>
      </c>
      <c r="D3891" s="8" t="n"/>
      <c r="E3891" s="6" t="n"/>
      <c r="F3891" s="8" t="n"/>
    </row>
    <row r="3892">
      <c r="A3892" s="7" t="n"/>
      <c r="B3892" s="8" t="n"/>
      <c r="C3892" s="9">
        <f>IF(B3892="","",IFERROR(VLOOKUP(B3892,'Daftar Outlet'!$A$4:$B$22,2,FALSE),""))</f>
        <v/>
      </c>
      <c r="D3892" s="8" t="n"/>
      <c r="E3892" s="6" t="n"/>
      <c r="F3892" s="8" t="n"/>
    </row>
    <row r="3893">
      <c r="A3893" s="7" t="n"/>
      <c r="B3893" s="8" t="n"/>
      <c r="C3893" s="9">
        <f>IF(B3893="","",IFERROR(VLOOKUP(B3893,'Daftar Outlet'!$A$4:$B$22,2,FALSE),""))</f>
        <v/>
      </c>
      <c r="D3893" s="8" t="n"/>
      <c r="E3893" s="6" t="n"/>
      <c r="F3893" s="8" t="n"/>
    </row>
    <row r="3894">
      <c r="A3894" s="7" t="n"/>
      <c r="B3894" s="8" t="n"/>
      <c r="C3894" s="9">
        <f>IF(B3894="","",IFERROR(VLOOKUP(B3894,'Daftar Outlet'!$A$4:$B$22,2,FALSE),""))</f>
        <v/>
      </c>
      <c r="D3894" s="8" t="n"/>
      <c r="E3894" s="6" t="n"/>
      <c r="F3894" s="8" t="n"/>
    </row>
    <row r="3895">
      <c r="A3895" s="7" t="n"/>
      <c r="B3895" s="8" t="n"/>
      <c r="C3895" s="9">
        <f>IF(B3895="","",IFERROR(VLOOKUP(B3895,'Daftar Outlet'!$A$4:$B$22,2,FALSE),""))</f>
        <v/>
      </c>
      <c r="D3895" s="8" t="n"/>
      <c r="E3895" s="6" t="n"/>
      <c r="F3895" s="8" t="n"/>
    </row>
    <row r="3896">
      <c r="A3896" s="7" t="n"/>
      <c r="B3896" s="8" t="n"/>
      <c r="C3896" s="9">
        <f>IF(B3896="","",IFERROR(VLOOKUP(B3896,'Daftar Outlet'!$A$4:$B$22,2,FALSE),""))</f>
        <v/>
      </c>
      <c r="D3896" s="8" t="n"/>
      <c r="E3896" s="6" t="n"/>
      <c r="F3896" s="8" t="n"/>
    </row>
    <row r="3897">
      <c r="A3897" s="7" t="n"/>
      <c r="B3897" s="8" t="n"/>
      <c r="C3897" s="9">
        <f>IF(B3897="","",IFERROR(VLOOKUP(B3897,'Daftar Outlet'!$A$4:$B$22,2,FALSE),""))</f>
        <v/>
      </c>
      <c r="D3897" s="8" t="n"/>
      <c r="E3897" s="6" t="n"/>
      <c r="F3897" s="8" t="n"/>
    </row>
    <row r="3898">
      <c r="A3898" s="7" t="n"/>
      <c r="B3898" s="8" t="n"/>
      <c r="C3898" s="9">
        <f>IF(B3898="","",IFERROR(VLOOKUP(B3898,'Daftar Outlet'!$A$4:$B$22,2,FALSE),""))</f>
        <v/>
      </c>
      <c r="D3898" s="8" t="n"/>
      <c r="E3898" s="6" t="n"/>
      <c r="F3898" s="8" t="n"/>
    </row>
    <row r="3899">
      <c r="A3899" s="7" t="n"/>
      <c r="B3899" s="8" t="n"/>
      <c r="C3899" s="9">
        <f>IF(B3899="","",IFERROR(VLOOKUP(B3899,'Daftar Outlet'!$A$4:$B$22,2,FALSE),""))</f>
        <v/>
      </c>
      <c r="D3899" s="8" t="n"/>
      <c r="E3899" s="6" t="n"/>
      <c r="F3899" s="8" t="n"/>
    </row>
    <row r="3900">
      <c r="A3900" s="7" t="n"/>
      <c r="B3900" s="8" t="n"/>
      <c r="C3900" s="9">
        <f>IF(B3900="","",IFERROR(VLOOKUP(B3900,'Daftar Outlet'!$A$4:$B$22,2,FALSE),""))</f>
        <v/>
      </c>
      <c r="D3900" s="8" t="n"/>
      <c r="E3900" s="6" t="n"/>
      <c r="F3900" s="8" t="n"/>
    </row>
    <row r="3901">
      <c r="A3901" s="7" t="n"/>
      <c r="B3901" s="8" t="n"/>
      <c r="C3901" s="9">
        <f>IF(B3901="","",IFERROR(VLOOKUP(B3901,'Daftar Outlet'!$A$4:$B$22,2,FALSE),""))</f>
        <v/>
      </c>
      <c r="D3901" s="8" t="n"/>
      <c r="E3901" s="6" t="n"/>
      <c r="F3901" s="8" t="n"/>
    </row>
    <row r="3902">
      <c r="A3902" s="7" t="n"/>
      <c r="B3902" s="8" t="n"/>
      <c r="C3902" s="9">
        <f>IF(B3902="","",IFERROR(VLOOKUP(B3902,'Daftar Outlet'!$A$4:$B$22,2,FALSE),""))</f>
        <v/>
      </c>
      <c r="D3902" s="8" t="n"/>
      <c r="E3902" s="6" t="n"/>
      <c r="F3902" s="8" t="n"/>
    </row>
    <row r="3903">
      <c r="A3903" s="7" t="n"/>
      <c r="B3903" s="8" t="n"/>
      <c r="C3903" s="9">
        <f>IF(B3903="","",IFERROR(VLOOKUP(B3903,'Daftar Outlet'!$A$4:$B$22,2,FALSE),""))</f>
        <v/>
      </c>
      <c r="D3903" s="8" t="n"/>
      <c r="E3903" s="6" t="n"/>
      <c r="F3903" s="8" t="n"/>
    </row>
    <row r="3904">
      <c r="A3904" s="7" t="n"/>
      <c r="B3904" s="8" t="n"/>
      <c r="C3904" s="9">
        <f>IF(B3904="","",IFERROR(VLOOKUP(B3904,'Daftar Outlet'!$A$4:$B$22,2,FALSE),""))</f>
        <v/>
      </c>
      <c r="D3904" s="8" t="n"/>
      <c r="E3904" s="6" t="n"/>
      <c r="F3904" s="8" t="n"/>
    </row>
    <row r="3905">
      <c r="A3905" s="7" t="n"/>
      <c r="B3905" s="8" t="n"/>
      <c r="C3905" s="9">
        <f>IF(B3905="","",IFERROR(VLOOKUP(B3905,'Daftar Outlet'!$A$4:$B$22,2,FALSE),""))</f>
        <v/>
      </c>
      <c r="D3905" s="8" t="n"/>
      <c r="E3905" s="6" t="n"/>
      <c r="F3905" s="8" t="n"/>
    </row>
    <row r="3906">
      <c r="A3906" s="7" t="n"/>
      <c r="B3906" s="8" t="n"/>
      <c r="C3906" s="9">
        <f>IF(B3906="","",IFERROR(VLOOKUP(B3906,'Daftar Outlet'!$A$4:$B$22,2,FALSE),""))</f>
        <v/>
      </c>
      <c r="D3906" s="8" t="n"/>
      <c r="E3906" s="6" t="n"/>
      <c r="F3906" s="8" t="n"/>
    </row>
    <row r="3907">
      <c r="A3907" s="7" t="n"/>
      <c r="B3907" s="8" t="n"/>
      <c r="C3907" s="9">
        <f>IF(B3907="","",IFERROR(VLOOKUP(B3907,'Daftar Outlet'!$A$4:$B$22,2,FALSE),""))</f>
        <v/>
      </c>
      <c r="D3907" s="8" t="n"/>
      <c r="E3907" s="6" t="n"/>
      <c r="F3907" s="8" t="n"/>
    </row>
    <row r="3908">
      <c r="A3908" s="7" t="n"/>
      <c r="B3908" s="8" t="n"/>
      <c r="C3908" s="9">
        <f>IF(B3908="","",IFERROR(VLOOKUP(B3908,'Daftar Outlet'!$A$4:$B$22,2,FALSE),""))</f>
        <v/>
      </c>
      <c r="D3908" s="8" t="n"/>
      <c r="E3908" s="6" t="n"/>
      <c r="F3908" s="8" t="n"/>
    </row>
    <row r="3909">
      <c r="A3909" s="7" t="n"/>
      <c r="B3909" s="8" t="n"/>
      <c r="C3909" s="9">
        <f>IF(B3909="","",IFERROR(VLOOKUP(B3909,'Daftar Outlet'!$A$4:$B$22,2,FALSE),""))</f>
        <v/>
      </c>
      <c r="D3909" s="8" t="n"/>
      <c r="E3909" s="6" t="n"/>
      <c r="F3909" s="8" t="n"/>
    </row>
    <row r="3910">
      <c r="A3910" s="7" t="n"/>
      <c r="B3910" s="8" t="n"/>
      <c r="C3910" s="9">
        <f>IF(B3910="","",IFERROR(VLOOKUP(B3910,'Daftar Outlet'!$A$4:$B$22,2,FALSE),""))</f>
        <v/>
      </c>
      <c r="D3910" s="8" t="n"/>
      <c r="E3910" s="6" t="n"/>
      <c r="F3910" s="8" t="n"/>
    </row>
    <row r="3911">
      <c r="A3911" s="7" t="n"/>
      <c r="B3911" s="8" t="n"/>
      <c r="C3911" s="9">
        <f>IF(B3911="","",IFERROR(VLOOKUP(B3911,'Daftar Outlet'!$A$4:$B$22,2,FALSE),""))</f>
        <v/>
      </c>
      <c r="D3911" s="8" t="n"/>
      <c r="E3911" s="6" t="n"/>
      <c r="F3911" s="8" t="n"/>
    </row>
    <row r="3912">
      <c r="A3912" s="7" t="n"/>
      <c r="B3912" s="8" t="n"/>
      <c r="C3912" s="9">
        <f>IF(B3912="","",IFERROR(VLOOKUP(B3912,'Daftar Outlet'!$A$4:$B$22,2,FALSE),""))</f>
        <v/>
      </c>
      <c r="D3912" s="8" t="n"/>
      <c r="E3912" s="6" t="n"/>
      <c r="F3912" s="8" t="n"/>
    </row>
    <row r="3913">
      <c r="A3913" s="7" t="n"/>
      <c r="B3913" s="8" t="n"/>
      <c r="C3913" s="9">
        <f>IF(B3913="","",IFERROR(VLOOKUP(B3913,'Daftar Outlet'!$A$4:$B$22,2,FALSE),""))</f>
        <v/>
      </c>
      <c r="D3913" s="8" t="n"/>
      <c r="E3913" s="6" t="n"/>
      <c r="F3913" s="8" t="n"/>
    </row>
    <row r="3914">
      <c r="A3914" s="7" t="n"/>
      <c r="B3914" s="8" t="n"/>
      <c r="C3914" s="9">
        <f>IF(B3914="","",IFERROR(VLOOKUP(B3914,'Daftar Outlet'!$A$4:$B$22,2,FALSE),""))</f>
        <v/>
      </c>
      <c r="D3914" s="8" t="n"/>
      <c r="E3914" s="6" t="n"/>
      <c r="F3914" s="8" t="n"/>
    </row>
    <row r="3915">
      <c r="A3915" s="7" t="n"/>
      <c r="B3915" s="8" t="n"/>
      <c r="C3915" s="9">
        <f>IF(B3915="","",IFERROR(VLOOKUP(B3915,'Daftar Outlet'!$A$4:$B$22,2,FALSE),""))</f>
        <v/>
      </c>
      <c r="D3915" s="8" t="n"/>
      <c r="E3915" s="6" t="n"/>
      <c r="F3915" s="8" t="n"/>
    </row>
    <row r="3916">
      <c r="A3916" s="7" t="n"/>
      <c r="B3916" s="8" t="n"/>
      <c r="C3916" s="9">
        <f>IF(B3916="","",IFERROR(VLOOKUP(B3916,'Daftar Outlet'!$A$4:$B$22,2,FALSE),""))</f>
        <v/>
      </c>
      <c r="D3916" s="8" t="n"/>
      <c r="E3916" s="6" t="n"/>
      <c r="F3916" s="8" t="n"/>
    </row>
    <row r="3917">
      <c r="A3917" s="7" t="n"/>
      <c r="B3917" s="8" t="n"/>
      <c r="C3917" s="9">
        <f>IF(B3917="","",IFERROR(VLOOKUP(B3917,'Daftar Outlet'!$A$4:$B$22,2,FALSE),""))</f>
        <v/>
      </c>
      <c r="D3917" s="8" t="n"/>
      <c r="E3917" s="6" t="n"/>
      <c r="F3917" s="8" t="n"/>
    </row>
    <row r="3918">
      <c r="A3918" s="7" t="n"/>
      <c r="B3918" s="8" t="n"/>
      <c r="C3918" s="9">
        <f>IF(B3918="","",IFERROR(VLOOKUP(B3918,'Daftar Outlet'!$A$4:$B$22,2,FALSE),""))</f>
        <v/>
      </c>
      <c r="D3918" s="8" t="n"/>
      <c r="E3918" s="6" t="n"/>
      <c r="F3918" s="8" t="n"/>
    </row>
    <row r="3919">
      <c r="A3919" s="7" t="n"/>
      <c r="B3919" s="8" t="n"/>
      <c r="C3919" s="9">
        <f>IF(B3919="","",IFERROR(VLOOKUP(B3919,'Daftar Outlet'!$A$4:$B$22,2,FALSE),""))</f>
        <v/>
      </c>
      <c r="D3919" s="8" t="n"/>
      <c r="E3919" s="6" t="n"/>
      <c r="F3919" s="8" t="n"/>
    </row>
    <row r="3920">
      <c r="A3920" s="7" t="n"/>
      <c r="B3920" s="8" t="n"/>
      <c r="C3920" s="9">
        <f>IF(B3920="","",IFERROR(VLOOKUP(B3920,'Daftar Outlet'!$A$4:$B$22,2,FALSE),""))</f>
        <v/>
      </c>
      <c r="D3920" s="8" t="n"/>
      <c r="E3920" s="6" t="n"/>
      <c r="F3920" s="8" t="n"/>
    </row>
    <row r="3921">
      <c r="A3921" s="7" t="n"/>
      <c r="B3921" s="8" t="n"/>
      <c r="C3921" s="9">
        <f>IF(B3921="","",IFERROR(VLOOKUP(B3921,'Daftar Outlet'!$A$4:$B$22,2,FALSE),""))</f>
        <v/>
      </c>
      <c r="D3921" s="8" t="n"/>
      <c r="E3921" s="6" t="n"/>
      <c r="F3921" s="8" t="n"/>
    </row>
    <row r="3922">
      <c r="A3922" s="7" t="n"/>
      <c r="B3922" s="8" t="n"/>
      <c r="C3922" s="9">
        <f>IF(B3922="","",IFERROR(VLOOKUP(B3922,'Daftar Outlet'!$A$4:$B$22,2,FALSE),""))</f>
        <v/>
      </c>
      <c r="D3922" s="8" t="n"/>
      <c r="E3922" s="6" t="n"/>
      <c r="F3922" s="8" t="n"/>
    </row>
    <row r="3923">
      <c r="A3923" s="7" t="n"/>
      <c r="B3923" s="8" t="n"/>
      <c r="C3923" s="9">
        <f>IF(B3923="","",IFERROR(VLOOKUP(B3923,'Daftar Outlet'!$A$4:$B$22,2,FALSE),""))</f>
        <v/>
      </c>
      <c r="D3923" s="8" t="n"/>
      <c r="E3923" s="6" t="n"/>
      <c r="F3923" s="8" t="n"/>
    </row>
    <row r="3924">
      <c r="A3924" s="7" t="n"/>
      <c r="B3924" s="8" t="n"/>
      <c r="C3924" s="9">
        <f>IF(B3924="","",IFERROR(VLOOKUP(B3924,'Daftar Outlet'!$A$4:$B$22,2,FALSE),""))</f>
        <v/>
      </c>
      <c r="D3924" s="8" t="n"/>
      <c r="E3924" s="6" t="n"/>
      <c r="F3924" s="8" t="n"/>
    </row>
    <row r="3925">
      <c r="A3925" s="7" t="n"/>
      <c r="B3925" s="8" t="n"/>
      <c r="C3925" s="9">
        <f>IF(B3925="","",IFERROR(VLOOKUP(B3925,'Daftar Outlet'!$A$4:$B$22,2,FALSE),""))</f>
        <v/>
      </c>
      <c r="D3925" s="8" t="n"/>
      <c r="E3925" s="6" t="n"/>
      <c r="F3925" s="8" t="n"/>
    </row>
    <row r="3926">
      <c r="A3926" s="7" t="n"/>
      <c r="B3926" s="8" t="n"/>
      <c r="C3926" s="9">
        <f>IF(B3926="","",IFERROR(VLOOKUP(B3926,'Daftar Outlet'!$A$4:$B$22,2,FALSE),""))</f>
        <v/>
      </c>
      <c r="D3926" s="8" t="n"/>
      <c r="E3926" s="6" t="n"/>
      <c r="F3926" s="8" t="n"/>
    </row>
    <row r="3927">
      <c r="A3927" s="7" t="n"/>
      <c r="B3927" s="8" t="n"/>
      <c r="C3927" s="9">
        <f>IF(B3927="","",IFERROR(VLOOKUP(B3927,'Daftar Outlet'!$A$4:$B$22,2,FALSE),""))</f>
        <v/>
      </c>
      <c r="D3927" s="8" t="n"/>
      <c r="E3927" s="6" t="n"/>
      <c r="F3927" s="8" t="n"/>
    </row>
    <row r="3928">
      <c r="A3928" s="7" t="n"/>
      <c r="B3928" s="8" t="n"/>
      <c r="C3928" s="9">
        <f>IF(B3928="","",IFERROR(VLOOKUP(B3928,'Daftar Outlet'!$A$4:$B$22,2,FALSE),""))</f>
        <v/>
      </c>
      <c r="D3928" s="8" t="n"/>
      <c r="E3928" s="6" t="n"/>
      <c r="F3928" s="8" t="n"/>
    </row>
    <row r="3929">
      <c r="A3929" s="7" t="n"/>
      <c r="B3929" s="8" t="n"/>
      <c r="C3929" s="9">
        <f>IF(B3929="","",IFERROR(VLOOKUP(B3929,'Daftar Outlet'!$A$4:$B$22,2,FALSE),""))</f>
        <v/>
      </c>
      <c r="D3929" s="8" t="n"/>
      <c r="E3929" s="6" t="n"/>
      <c r="F3929" s="8" t="n"/>
    </row>
    <row r="3930">
      <c r="A3930" s="7" t="n"/>
      <c r="B3930" s="8" t="n"/>
      <c r="C3930" s="9">
        <f>IF(B3930="","",IFERROR(VLOOKUP(B3930,'Daftar Outlet'!$A$4:$B$22,2,FALSE),""))</f>
        <v/>
      </c>
      <c r="D3930" s="8" t="n"/>
      <c r="E3930" s="6" t="n"/>
      <c r="F3930" s="8" t="n"/>
    </row>
    <row r="3931">
      <c r="A3931" s="7" t="n"/>
      <c r="B3931" s="8" t="n"/>
      <c r="C3931" s="9">
        <f>IF(B3931="","",IFERROR(VLOOKUP(B3931,'Daftar Outlet'!$A$4:$B$22,2,FALSE),""))</f>
        <v/>
      </c>
      <c r="D3931" s="8" t="n"/>
      <c r="E3931" s="6" t="n"/>
      <c r="F3931" s="8" t="n"/>
    </row>
    <row r="3932">
      <c r="A3932" s="7" t="n"/>
      <c r="B3932" s="8" t="n"/>
      <c r="C3932" s="9">
        <f>IF(B3932="","",IFERROR(VLOOKUP(B3932,'Daftar Outlet'!$A$4:$B$22,2,FALSE),""))</f>
        <v/>
      </c>
      <c r="D3932" s="8" t="n"/>
      <c r="E3932" s="6" t="n"/>
      <c r="F3932" s="8" t="n"/>
    </row>
    <row r="3933">
      <c r="A3933" s="7" t="n"/>
      <c r="B3933" s="8" t="n"/>
      <c r="C3933" s="9">
        <f>IF(B3933="","",IFERROR(VLOOKUP(B3933,'Daftar Outlet'!$A$4:$B$22,2,FALSE),""))</f>
        <v/>
      </c>
      <c r="D3933" s="8" t="n"/>
      <c r="E3933" s="6" t="n"/>
      <c r="F3933" s="8" t="n"/>
    </row>
    <row r="3934">
      <c r="A3934" s="7" t="n"/>
      <c r="B3934" s="8" t="n"/>
      <c r="C3934" s="9">
        <f>IF(B3934="","",IFERROR(VLOOKUP(B3934,'Daftar Outlet'!$A$4:$B$22,2,FALSE),""))</f>
        <v/>
      </c>
      <c r="D3934" s="8" t="n"/>
      <c r="E3934" s="6" t="n"/>
      <c r="F3934" s="8" t="n"/>
    </row>
    <row r="3935">
      <c r="A3935" s="7" t="n"/>
      <c r="B3935" s="8" t="n"/>
      <c r="C3935" s="9">
        <f>IF(B3935="","",IFERROR(VLOOKUP(B3935,'Daftar Outlet'!$A$4:$B$22,2,FALSE),""))</f>
        <v/>
      </c>
      <c r="D3935" s="8" t="n"/>
      <c r="E3935" s="6" t="n"/>
      <c r="F3935" s="8" t="n"/>
    </row>
    <row r="3936">
      <c r="A3936" s="7" t="n"/>
      <c r="B3936" s="8" t="n"/>
      <c r="C3936" s="9">
        <f>IF(B3936="","",IFERROR(VLOOKUP(B3936,'Daftar Outlet'!$A$4:$B$22,2,FALSE),""))</f>
        <v/>
      </c>
      <c r="D3936" s="8" t="n"/>
      <c r="E3936" s="6" t="n"/>
      <c r="F3936" s="8" t="n"/>
    </row>
    <row r="3937">
      <c r="A3937" s="7" t="n"/>
      <c r="B3937" s="8" t="n"/>
      <c r="C3937" s="9">
        <f>IF(B3937="","",IFERROR(VLOOKUP(B3937,'Daftar Outlet'!$A$4:$B$22,2,FALSE),""))</f>
        <v/>
      </c>
      <c r="D3937" s="8" t="n"/>
      <c r="E3937" s="6" t="n"/>
      <c r="F3937" s="8" t="n"/>
    </row>
    <row r="3938">
      <c r="A3938" s="7" t="n"/>
      <c r="B3938" s="8" t="n"/>
      <c r="C3938" s="9">
        <f>IF(B3938="","",IFERROR(VLOOKUP(B3938,'Daftar Outlet'!$A$4:$B$22,2,FALSE),""))</f>
        <v/>
      </c>
      <c r="D3938" s="8" t="n"/>
      <c r="E3938" s="6" t="n"/>
      <c r="F3938" s="8" t="n"/>
    </row>
    <row r="3939">
      <c r="A3939" s="7" t="n"/>
      <c r="B3939" s="8" t="n"/>
      <c r="C3939" s="9">
        <f>IF(B3939="","",IFERROR(VLOOKUP(B3939,'Daftar Outlet'!$A$4:$B$22,2,FALSE),""))</f>
        <v/>
      </c>
      <c r="D3939" s="8" t="n"/>
      <c r="E3939" s="6" t="n"/>
      <c r="F3939" s="8" t="n"/>
    </row>
    <row r="3940">
      <c r="A3940" s="7" t="n"/>
      <c r="B3940" s="8" t="n"/>
      <c r="C3940" s="9">
        <f>IF(B3940="","",IFERROR(VLOOKUP(B3940,'Daftar Outlet'!$A$4:$B$22,2,FALSE),""))</f>
        <v/>
      </c>
      <c r="D3940" s="8" t="n"/>
      <c r="E3940" s="6" t="n"/>
      <c r="F3940" s="8" t="n"/>
    </row>
    <row r="3941">
      <c r="A3941" s="7" t="n"/>
      <c r="B3941" s="8" t="n"/>
      <c r="C3941" s="9">
        <f>IF(B3941="","",IFERROR(VLOOKUP(B3941,'Daftar Outlet'!$A$4:$B$22,2,FALSE),""))</f>
        <v/>
      </c>
      <c r="D3941" s="8" t="n"/>
      <c r="E3941" s="6" t="n"/>
      <c r="F3941" s="8" t="n"/>
    </row>
    <row r="3942">
      <c r="A3942" s="7" t="n"/>
      <c r="B3942" s="8" t="n"/>
      <c r="C3942" s="9">
        <f>IF(B3942="","",IFERROR(VLOOKUP(B3942,'Daftar Outlet'!$A$4:$B$22,2,FALSE),""))</f>
        <v/>
      </c>
      <c r="D3942" s="8" t="n"/>
      <c r="E3942" s="6" t="n"/>
      <c r="F3942" s="8" t="n"/>
    </row>
    <row r="3943">
      <c r="A3943" s="7" t="n"/>
      <c r="B3943" s="8" t="n"/>
      <c r="C3943" s="9">
        <f>IF(B3943="","",IFERROR(VLOOKUP(B3943,'Daftar Outlet'!$A$4:$B$22,2,FALSE),""))</f>
        <v/>
      </c>
      <c r="D3943" s="8" t="n"/>
      <c r="E3943" s="6" t="n"/>
      <c r="F3943" s="8" t="n"/>
    </row>
    <row r="3944">
      <c r="A3944" s="7" t="n"/>
      <c r="B3944" s="8" t="n"/>
      <c r="C3944" s="9">
        <f>IF(B3944="","",IFERROR(VLOOKUP(B3944,'Daftar Outlet'!$A$4:$B$22,2,FALSE),""))</f>
        <v/>
      </c>
      <c r="D3944" s="8" t="n"/>
      <c r="E3944" s="6" t="n"/>
      <c r="F3944" s="8" t="n"/>
    </row>
    <row r="3945">
      <c r="A3945" s="7" t="n"/>
      <c r="B3945" s="8" t="n"/>
      <c r="C3945" s="9">
        <f>IF(B3945="","",IFERROR(VLOOKUP(B3945,'Daftar Outlet'!$A$4:$B$22,2,FALSE),""))</f>
        <v/>
      </c>
      <c r="D3945" s="8" t="n"/>
      <c r="E3945" s="6" t="n"/>
      <c r="F3945" s="8" t="n"/>
    </row>
    <row r="3946">
      <c r="A3946" s="7" t="n"/>
      <c r="B3946" s="8" t="n"/>
      <c r="C3946" s="9">
        <f>IF(B3946="","",IFERROR(VLOOKUP(B3946,'Daftar Outlet'!$A$4:$B$22,2,FALSE),""))</f>
        <v/>
      </c>
      <c r="D3946" s="8" t="n"/>
      <c r="E3946" s="6" t="n"/>
      <c r="F3946" s="8" t="n"/>
    </row>
    <row r="3947">
      <c r="A3947" s="7" t="n"/>
      <c r="B3947" s="8" t="n"/>
      <c r="C3947" s="9">
        <f>IF(B3947="","",IFERROR(VLOOKUP(B3947,'Daftar Outlet'!$A$4:$B$22,2,FALSE),""))</f>
        <v/>
      </c>
      <c r="D3947" s="8" t="n"/>
      <c r="E3947" s="6" t="n"/>
      <c r="F3947" s="8" t="n"/>
    </row>
    <row r="3948">
      <c r="A3948" s="7" t="n"/>
      <c r="B3948" s="8" t="n"/>
      <c r="C3948" s="9">
        <f>IF(B3948="","",IFERROR(VLOOKUP(B3948,'Daftar Outlet'!$A$4:$B$22,2,FALSE),""))</f>
        <v/>
      </c>
      <c r="D3948" s="8" t="n"/>
      <c r="E3948" s="6" t="n"/>
      <c r="F3948" s="8" t="n"/>
    </row>
    <row r="3949">
      <c r="A3949" s="7" t="n"/>
      <c r="B3949" s="8" t="n"/>
      <c r="C3949" s="9">
        <f>IF(B3949="","",IFERROR(VLOOKUP(B3949,'Daftar Outlet'!$A$4:$B$22,2,FALSE),""))</f>
        <v/>
      </c>
      <c r="D3949" s="8" t="n"/>
      <c r="E3949" s="6" t="n"/>
      <c r="F3949" s="8" t="n"/>
    </row>
    <row r="3950">
      <c r="A3950" s="7" t="n"/>
      <c r="B3950" s="8" t="n"/>
      <c r="C3950" s="9">
        <f>IF(B3950="","",IFERROR(VLOOKUP(B3950,'Daftar Outlet'!$A$4:$B$22,2,FALSE),""))</f>
        <v/>
      </c>
      <c r="D3950" s="8" t="n"/>
      <c r="E3950" s="6" t="n"/>
      <c r="F3950" s="8" t="n"/>
    </row>
    <row r="3951">
      <c r="A3951" s="7" t="n"/>
      <c r="B3951" s="8" t="n"/>
      <c r="C3951" s="9">
        <f>IF(B3951="","",IFERROR(VLOOKUP(B3951,'Daftar Outlet'!$A$4:$B$22,2,FALSE),""))</f>
        <v/>
      </c>
      <c r="D3951" s="8" t="n"/>
      <c r="E3951" s="6" t="n"/>
      <c r="F3951" s="8" t="n"/>
    </row>
    <row r="3952">
      <c r="A3952" s="7" t="n"/>
      <c r="B3952" s="8" t="n"/>
      <c r="C3952" s="9">
        <f>IF(B3952="","",IFERROR(VLOOKUP(B3952,'Daftar Outlet'!$A$4:$B$22,2,FALSE),""))</f>
        <v/>
      </c>
      <c r="D3952" s="8" t="n"/>
      <c r="E3952" s="6" t="n"/>
      <c r="F3952" s="8" t="n"/>
    </row>
    <row r="3953">
      <c r="A3953" s="7" t="n"/>
      <c r="B3953" s="8" t="n"/>
      <c r="C3953" s="9">
        <f>IF(B3953="","",IFERROR(VLOOKUP(B3953,'Daftar Outlet'!$A$4:$B$22,2,FALSE),""))</f>
        <v/>
      </c>
      <c r="D3953" s="8" t="n"/>
      <c r="E3953" s="6" t="n"/>
      <c r="F3953" s="8" t="n"/>
    </row>
    <row r="3954">
      <c r="A3954" s="7" t="n"/>
      <c r="B3954" s="8" t="n"/>
      <c r="C3954" s="9">
        <f>IF(B3954="","",IFERROR(VLOOKUP(B3954,'Daftar Outlet'!$A$4:$B$22,2,FALSE),""))</f>
        <v/>
      </c>
      <c r="D3954" s="8" t="n"/>
      <c r="E3954" s="6" t="n"/>
      <c r="F3954" s="8" t="n"/>
    </row>
    <row r="3955">
      <c r="A3955" s="7" t="n"/>
      <c r="B3955" s="8" t="n"/>
      <c r="C3955" s="9">
        <f>IF(B3955="","",IFERROR(VLOOKUP(B3955,'Daftar Outlet'!$A$4:$B$22,2,FALSE),""))</f>
        <v/>
      </c>
      <c r="D3955" s="8" t="n"/>
      <c r="E3955" s="6" t="n"/>
      <c r="F3955" s="8" t="n"/>
    </row>
    <row r="3956">
      <c r="A3956" s="7" t="n"/>
      <c r="B3956" s="8" t="n"/>
      <c r="C3956" s="9">
        <f>IF(B3956="","",IFERROR(VLOOKUP(B3956,'Daftar Outlet'!$A$4:$B$22,2,FALSE),""))</f>
        <v/>
      </c>
      <c r="D3956" s="8" t="n"/>
      <c r="E3956" s="6" t="n"/>
      <c r="F3956" s="8" t="n"/>
    </row>
    <row r="3957">
      <c r="A3957" s="7" t="n"/>
      <c r="B3957" s="8" t="n"/>
      <c r="C3957" s="9">
        <f>IF(B3957="","",IFERROR(VLOOKUP(B3957,'Daftar Outlet'!$A$4:$B$22,2,FALSE),""))</f>
        <v/>
      </c>
      <c r="D3957" s="8" t="n"/>
      <c r="E3957" s="6" t="n"/>
      <c r="F3957" s="8" t="n"/>
    </row>
    <row r="3958">
      <c r="A3958" s="7" t="n"/>
      <c r="B3958" s="8" t="n"/>
      <c r="C3958" s="9">
        <f>IF(B3958="","",IFERROR(VLOOKUP(B3958,'Daftar Outlet'!$A$4:$B$22,2,FALSE),""))</f>
        <v/>
      </c>
      <c r="D3958" s="8" t="n"/>
      <c r="E3958" s="6" t="n"/>
      <c r="F3958" s="8" t="n"/>
    </row>
    <row r="3959">
      <c r="A3959" s="7" t="n"/>
      <c r="B3959" s="8" t="n"/>
      <c r="C3959" s="9">
        <f>IF(B3959="","",IFERROR(VLOOKUP(B3959,'Daftar Outlet'!$A$4:$B$22,2,FALSE),""))</f>
        <v/>
      </c>
      <c r="D3959" s="8" t="n"/>
      <c r="E3959" s="6" t="n"/>
      <c r="F3959" s="8" t="n"/>
    </row>
    <row r="3960">
      <c r="A3960" s="7" t="n"/>
      <c r="B3960" s="8" t="n"/>
      <c r="C3960" s="9">
        <f>IF(B3960="","",IFERROR(VLOOKUP(B3960,'Daftar Outlet'!$A$4:$B$22,2,FALSE),""))</f>
        <v/>
      </c>
      <c r="D3960" s="8" t="n"/>
      <c r="E3960" s="6" t="n"/>
      <c r="F3960" s="8" t="n"/>
    </row>
    <row r="3961">
      <c r="A3961" s="7" t="n"/>
      <c r="B3961" s="8" t="n"/>
      <c r="C3961" s="9">
        <f>IF(B3961="","",IFERROR(VLOOKUP(B3961,'Daftar Outlet'!$A$4:$B$22,2,FALSE),""))</f>
        <v/>
      </c>
      <c r="D3961" s="8" t="n"/>
      <c r="E3961" s="6" t="n"/>
      <c r="F3961" s="8" t="n"/>
    </row>
    <row r="3962">
      <c r="A3962" s="7" t="n"/>
      <c r="B3962" s="8" t="n"/>
      <c r="C3962" s="9">
        <f>IF(B3962="","",IFERROR(VLOOKUP(B3962,'Daftar Outlet'!$A$4:$B$22,2,FALSE),""))</f>
        <v/>
      </c>
      <c r="D3962" s="8" t="n"/>
      <c r="E3962" s="6" t="n"/>
      <c r="F3962" s="8" t="n"/>
    </row>
    <row r="3963">
      <c r="A3963" s="7" t="n"/>
      <c r="B3963" s="8" t="n"/>
      <c r="C3963" s="9">
        <f>IF(B3963="","",IFERROR(VLOOKUP(B3963,'Daftar Outlet'!$A$4:$B$22,2,FALSE),""))</f>
        <v/>
      </c>
      <c r="D3963" s="8" t="n"/>
      <c r="E3963" s="6" t="n"/>
      <c r="F3963" s="8" t="n"/>
    </row>
    <row r="3964">
      <c r="A3964" s="7" t="n"/>
      <c r="B3964" s="8" t="n"/>
      <c r="C3964" s="9">
        <f>IF(B3964="","",IFERROR(VLOOKUP(B3964,'Daftar Outlet'!$A$4:$B$22,2,FALSE),""))</f>
        <v/>
      </c>
      <c r="D3964" s="8" t="n"/>
      <c r="E3964" s="6" t="n"/>
      <c r="F3964" s="8" t="n"/>
    </row>
    <row r="3965">
      <c r="A3965" s="7" t="n"/>
      <c r="B3965" s="8" t="n"/>
      <c r="C3965" s="9">
        <f>IF(B3965="","",IFERROR(VLOOKUP(B3965,'Daftar Outlet'!$A$4:$B$22,2,FALSE),""))</f>
        <v/>
      </c>
      <c r="D3965" s="8" t="n"/>
      <c r="E3965" s="6" t="n"/>
      <c r="F3965" s="8" t="n"/>
    </row>
    <row r="3966">
      <c r="A3966" s="7" t="n"/>
      <c r="B3966" s="8" t="n"/>
      <c r="C3966" s="9">
        <f>IF(B3966="","",IFERROR(VLOOKUP(B3966,'Daftar Outlet'!$A$4:$B$22,2,FALSE),""))</f>
        <v/>
      </c>
      <c r="D3966" s="8" t="n"/>
      <c r="E3966" s="6" t="n"/>
      <c r="F3966" s="8" t="n"/>
    </row>
    <row r="3967">
      <c r="A3967" s="7" t="n"/>
      <c r="B3967" s="8" t="n"/>
      <c r="C3967" s="9">
        <f>IF(B3967="","",IFERROR(VLOOKUP(B3967,'Daftar Outlet'!$A$4:$B$22,2,FALSE),""))</f>
        <v/>
      </c>
      <c r="D3967" s="8" t="n"/>
      <c r="E3967" s="6" t="n"/>
      <c r="F3967" s="8" t="n"/>
    </row>
    <row r="3968">
      <c r="A3968" s="7" t="n"/>
      <c r="B3968" s="8" t="n"/>
      <c r="C3968" s="9">
        <f>IF(B3968="","",IFERROR(VLOOKUP(B3968,'Daftar Outlet'!$A$4:$B$22,2,FALSE),""))</f>
        <v/>
      </c>
      <c r="D3968" s="8" t="n"/>
      <c r="E3968" s="6" t="n"/>
      <c r="F3968" s="8" t="n"/>
    </row>
    <row r="3969">
      <c r="A3969" s="7" t="n"/>
      <c r="B3969" s="8" t="n"/>
      <c r="C3969" s="9">
        <f>IF(B3969="","",IFERROR(VLOOKUP(B3969,'Daftar Outlet'!$A$4:$B$22,2,FALSE),""))</f>
        <v/>
      </c>
      <c r="D3969" s="8" t="n"/>
      <c r="E3969" s="6" t="n"/>
      <c r="F3969" s="8" t="n"/>
    </row>
    <row r="3970">
      <c r="A3970" s="7" t="n"/>
      <c r="B3970" s="8" t="n"/>
      <c r="C3970" s="9">
        <f>IF(B3970="","",IFERROR(VLOOKUP(B3970,'Daftar Outlet'!$A$4:$B$22,2,FALSE),""))</f>
        <v/>
      </c>
      <c r="D3970" s="8" t="n"/>
      <c r="E3970" s="6" t="n"/>
      <c r="F3970" s="8" t="n"/>
    </row>
    <row r="3971">
      <c r="A3971" s="7" t="n"/>
      <c r="B3971" s="8" t="n"/>
      <c r="C3971" s="9">
        <f>IF(B3971="","",IFERROR(VLOOKUP(B3971,'Daftar Outlet'!$A$4:$B$22,2,FALSE),""))</f>
        <v/>
      </c>
      <c r="D3971" s="8" t="n"/>
      <c r="E3971" s="6" t="n"/>
      <c r="F3971" s="8" t="n"/>
    </row>
    <row r="3972">
      <c r="A3972" s="7" t="n"/>
      <c r="B3972" s="8" t="n"/>
      <c r="C3972" s="9">
        <f>IF(B3972="","",IFERROR(VLOOKUP(B3972,'Daftar Outlet'!$A$4:$B$22,2,FALSE),""))</f>
        <v/>
      </c>
      <c r="D3972" s="8" t="n"/>
      <c r="E3972" s="6" t="n"/>
      <c r="F3972" s="8" t="n"/>
    </row>
    <row r="3973">
      <c r="A3973" s="7" t="n"/>
      <c r="B3973" s="8" t="n"/>
      <c r="C3973" s="9">
        <f>IF(B3973="","",IFERROR(VLOOKUP(B3973,'Daftar Outlet'!$A$4:$B$22,2,FALSE),""))</f>
        <v/>
      </c>
      <c r="D3973" s="8" t="n"/>
      <c r="E3973" s="6" t="n"/>
      <c r="F3973" s="8" t="n"/>
    </row>
    <row r="3974">
      <c r="A3974" s="7" t="n"/>
      <c r="B3974" s="8" t="n"/>
      <c r="C3974" s="9">
        <f>IF(B3974="","",IFERROR(VLOOKUP(B3974,'Daftar Outlet'!$A$4:$B$22,2,FALSE),""))</f>
        <v/>
      </c>
      <c r="D3974" s="8" t="n"/>
      <c r="E3974" s="6" t="n"/>
      <c r="F3974" s="8" t="n"/>
    </row>
    <row r="3975">
      <c r="A3975" s="7" t="n"/>
      <c r="B3975" s="8" t="n"/>
      <c r="C3975" s="9">
        <f>IF(B3975="","",IFERROR(VLOOKUP(B3975,'Daftar Outlet'!$A$4:$B$22,2,FALSE),""))</f>
        <v/>
      </c>
      <c r="D3975" s="8" t="n"/>
      <c r="E3975" s="6" t="n"/>
      <c r="F3975" s="8" t="n"/>
    </row>
    <row r="3976">
      <c r="A3976" s="7" t="n"/>
      <c r="B3976" s="8" t="n"/>
      <c r="C3976" s="9">
        <f>IF(B3976="","",IFERROR(VLOOKUP(B3976,'Daftar Outlet'!$A$4:$B$22,2,FALSE),""))</f>
        <v/>
      </c>
      <c r="D3976" s="8" t="n"/>
      <c r="E3976" s="6" t="n"/>
      <c r="F3976" s="8" t="n"/>
    </row>
    <row r="3977">
      <c r="A3977" s="7" t="n"/>
      <c r="B3977" s="8" t="n"/>
      <c r="C3977" s="9">
        <f>IF(B3977="","",IFERROR(VLOOKUP(B3977,'Daftar Outlet'!$A$4:$B$22,2,FALSE),""))</f>
        <v/>
      </c>
      <c r="D3977" s="8" t="n"/>
      <c r="E3977" s="6" t="n"/>
      <c r="F3977" s="8" t="n"/>
    </row>
    <row r="3978">
      <c r="A3978" s="7" t="n"/>
      <c r="B3978" s="8" t="n"/>
      <c r="C3978" s="9">
        <f>IF(B3978="","",IFERROR(VLOOKUP(B3978,'Daftar Outlet'!$A$4:$B$22,2,FALSE),""))</f>
        <v/>
      </c>
      <c r="D3978" s="8" t="n"/>
      <c r="E3978" s="6" t="n"/>
      <c r="F3978" s="8" t="n"/>
    </row>
    <row r="3979">
      <c r="A3979" s="7" t="n"/>
      <c r="B3979" s="8" t="n"/>
      <c r="C3979" s="9">
        <f>IF(B3979="","",IFERROR(VLOOKUP(B3979,'Daftar Outlet'!$A$4:$B$22,2,FALSE),""))</f>
        <v/>
      </c>
      <c r="D3979" s="8" t="n"/>
      <c r="E3979" s="6" t="n"/>
      <c r="F3979" s="8" t="n"/>
    </row>
    <row r="3980">
      <c r="A3980" s="7" t="n"/>
      <c r="B3980" s="8" t="n"/>
      <c r="C3980" s="9">
        <f>IF(B3980="","",IFERROR(VLOOKUP(B3980,'Daftar Outlet'!$A$4:$B$22,2,FALSE),""))</f>
        <v/>
      </c>
      <c r="D3980" s="8" t="n"/>
      <c r="E3980" s="6" t="n"/>
      <c r="F3980" s="8" t="n"/>
    </row>
    <row r="3981">
      <c r="A3981" s="7" t="n"/>
      <c r="B3981" s="8" t="n"/>
      <c r="C3981" s="9">
        <f>IF(B3981="","",IFERROR(VLOOKUP(B3981,'Daftar Outlet'!$A$4:$B$22,2,FALSE),""))</f>
        <v/>
      </c>
      <c r="D3981" s="8" t="n"/>
      <c r="E3981" s="6" t="n"/>
      <c r="F3981" s="8" t="n"/>
    </row>
    <row r="3982">
      <c r="A3982" s="7" t="n"/>
      <c r="B3982" s="8" t="n"/>
      <c r="C3982" s="9">
        <f>IF(B3982="","",IFERROR(VLOOKUP(B3982,'Daftar Outlet'!$A$4:$B$22,2,FALSE),""))</f>
        <v/>
      </c>
      <c r="D3982" s="8" t="n"/>
      <c r="E3982" s="6" t="n"/>
      <c r="F3982" s="8" t="n"/>
    </row>
    <row r="3983">
      <c r="A3983" s="7" t="n"/>
      <c r="B3983" s="8" t="n"/>
      <c r="C3983" s="9">
        <f>IF(B3983="","",IFERROR(VLOOKUP(B3983,'Daftar Outlet'!$A$4:$B$22,2,FALSE),""))</f>
        <v/>
      </c>
      <c r="D3983" s="8" t="n"/>
      <c r="E3983" s="6" t="n"/>
      <c r="F3983" s="8" t="n"/>
    </row>
    <row r="3984">
      <c r="A3984" s="7" t="n"/>
      <c r="B3984" s="8" t="n"/>
      <c r="C3984" s="9">
        <f>IF(B3984="","",IFERROR(VLOOKUP(B3984,'Daftar Outlet'!$A$4:$B$22,2,FALSE),""))</f>
        <v/>
      </c>
      <c r="D3984" s="8" t="n"/>
      <c r="E3984" s="6" t="n"/>
      <c r="F3984" s="8" t="n"/>
    </row>
    <row r="3985">
      <c r="A3985" s="7" t="n"/>
      <c r="B3985" s="8" t="n"/>
      <c r="C3985" s="9">
        <f>IF(B3985="","",IFERROR(VLOOKUP(B3985,'Daftar Outlet'!$A$4:$B$22,2,FALSE),""))</f>
        <v/>
      </c>
      <c r="D3985" s="8" t="n"/>
      <c r="E3985" s="6" t="n"/>
      <c r="F3985" s="8" t="n"/>
    </row>
    <row r="3986">
      <c r="A3986" s="7" t="n"/>
      <c r="B3986" s="8" t="n"/>
      <c r="C3986" s="9">
        <f>IF(B3986="","",IFERROR(VLOOKUP(B3986,'Daftar Outlet'!$A$4:$B$22,2,FALSE),""))</f>
        <v/>
      </c>
      <c r="D3986" s="8" t="n"/>
      <c r="E3986" s="6" t="n"/>
      <c r="F3986" s="8" t="n"/>
    </row>
    <row r="3987">
      <c r="A3987" s="7" t="n"/>
      <c r="B3987" s="8" t="n"/>
      <c r="C3987" s="9">
        <f>IF(B3987="","",IFERROR(VLOOKUP(B3987,'Daftar Outlet'!$A$4:$B$22,2,FALSE),""))</f>
        <v/>
      </c>
      <c r="D3987" s="8" t="n"/>
      <c r="E3987" s="6" t="n"/>
      <c r="F3987" s="8" t="n"/>
    </row>
    <row r="3988">
      <c r="A3988" s="7" t="n"/>
      <c r="B3988" s="8" t="n"/>
      <c r="C3988" s="9">
        <f>IF(B3988="","",IFERROR(VLOOKUP(B3988,'Daftar Outlet'!$A$4:$B$22,2,FALSE),""))</f>
        <v/>
      </c>
      <c r="D3988" s="8" t="n"/>
      <c r="E3988" s="6" t="n"/>
      <c r="F3988" s="8" t="n"/>
    </row>
    <row r="3989">
      <c r="A3989" s="7" t="n"/>
      <c r="B3989" s="8" t="n"/>
      <c r="C3989" s="9">
        <f>IF(B3989="","",IFERROR(VLOOKUP(B3989,'Daftar Outlet'!$A$4:$B$22,2,FALSE),""))</f>
        <v/>
      </c>
      <c r="D3989" s="8" t="n"/>
      <c r="E3989" s="6" t="n"/>
      <c r="F3989" s="8" t="n"/>
    </row>
    <row r="3990">
      <c r="A3990" s="7" t="n"/>
      <c r="B3990" s="8" t="n"/>
      <c r="C3990" s="9">
        <f>IF(B3990="","",IFERROR(VLOOKUP(B3990,'Daftar Outlet'!$A$4:$B$22,2,FALSE),""))</f>
        <v/>
      </c>
      <c r="D3990" s="8" t="n"/>
      <c r="E3990" s="6" t="n"/>
      <c r="F3990" s="8" t="n"/>
    </row>
    <row r="3991">
      <c r="A3991" s="7" t="n"/>
      <c r="B3991" s="8" t="n"/>
      <c r="C3991" s="9">
        <f>IF(B3991="","",IFERROR(VLOOKUP(B3991,'Daftar Outlet'!$A$4:$B$22,2,FALSE),""))</f>
        <v/>
      </c>
      <c r="D3991" s="8" t="n"/>
      <c r="E3991" s="6" t="n"/>
      <c r="F3991" s="8" t="n"/>
    </row>
    <row r="3992">
      <c r="A3992" s="7" t="n"/>
      <c r="B3992" s="8" t="n"/>
      <c r="C3992" s="9">
        <f>IF(B3992="","",IFERROR(VLOOKUP(B3992,'Daftar Outlet'!$A$4:$B$22,2,FALSE),""))</f>
        <v/>
      </c>
      <c r="D3992" s="8" t="n"/>
      <c r="E3992" s="6" t="n"/>
      <c r="F3992" s="8" t="n"/>
    </row>
    <row r="3993">
      <c r="A3993" s="7" t="n"/>
      <c r="B3993" s="8" t="n"/>
      <c r="C3993" s="9">
        <f>IF(B3993="","",IFERROR(VLOOKUP(B3993,'Daftar Outlet'!$A$4:$B$22,2,FALSE),""))</f>
        <v/>
      </c>
      <c r="D3993" s="8" t="n"/>
      <c r="E3993" s="6" t="n"/>
      <c r="F3993" s="8" t="n"/>
    </row>
    <row r="3994">
      <c r="A3994" s="7" t="n"/>
      <c r="B3994" s="8" t="n"/>
      <c r="C3994" s="9">
        <f>IF(B3994="","",IFERROR(VLOOKUP(B3994,'Daftar Outlet'!$A$4:$B$22,2,FALSE),""))</f>
        <v/>
      </c>
      <c r="D3994" s="8" t="n"/>
      <c r="E3994" s="6" t="n"/>
      <c r="F3994" s="8" t="n"/>
    </row>
    <row r="3995">
      <c r="A3995" s="7" t="n"/>
      <c r="B3995" s="8" t="n"/>
      <c r="C3995" s="9">
        <f>IF(B3995="","",IFERROR(VLOOKUP(B3995,'Daftar Outlet'!$A$4:$B$22,2,FALSE),""))</f>
        <v/>
      </c>
      <c r="D3995" s="8" t="n"/>
      <c r="E3995" s="6" t="n"/>
      <c r="F3995" s="8" t="n"/>
    </row>
    <row r="3996">
      <c r="A3996" s="7" t="n"/>
      <c r="B3996" s="8" t="n"/>
      <c r="C3996" s="9">
        <f>IF(B3996="","",IFERROR(VLOOKUP(B3996,'Daftar Outlet'!$A$4:$B$22,2,FALSE),""))</f>
        <v/>
      </c>
      <c r="D3996" s="8" t="n"/>
      <c r="E3996" s="6" t="n"/>
      <c r="F3996" s="8" t="n"/>
    </row>
    <row r="3997">
      <c r="A3997" s="7" t="n"/>
      <c r="B3997" s="8" t="n"/>
      <c r="C3997" s="9">
        <f>IF(B3997="","",IFERROR(VLOOKUP(B3997,'Daftar Outlet'!$A$4:$B$22,2,FALSE),""))</f>
        <v/>
      </c>
      <c r="D3997" s="8" t="n"/>
      <c r="E3997" s="6" t="n"/>
      <c r="F3997" s="8" t="n"/>
    </row>
    <row r="3998">
      <c r="A3998" s="7" t="n"/>
      <c r="B3998" s="8" t="n"/>
      <c r="C3998" s="9">
        <f>IF(B3998="","",IFERROR(VLOOKUP(B3998,'Daftar Outlet'!$A$4:$B$22,2,FALSE),""))</f>
        <v/>
      </c>
      <c r="D3998" s="8" t="n"/>
      <c r="E3998" s="6" t="n"/>
      <c r="F3998" s="8" t="n"/>
    </row>
    <row r="3999">
      <c r="A3999" s="7" t="n"/>
      <c r="B3999" s="8" t="n"/>
      <c r="C3999" s="9">
        <f>IF(B3999="","",IFERROR(VLOOKUP(B3999,'Daftar Outlet'!$A$4:$B$22,2,FALSE),""))</f>
        <v/>
      </c>
      <c r="D3999" s="8" t="n"/>
      <c r="E3999" s="6" t="n"/>
      <c r="F3999" s="8" t="n"/>
    </row>
    <row r="4000">
      <c r="A4000" s="7" t="n"/>
      <c r="B4000" s="8" t="n"/>
      <c r="C4000" s="9">
        <f>IF(B4000="","",IFERROR(VLOOKUP(B4000,'Daftar Outlet'!$A$4:$B$22,2,FALSE),""))</f>
        <v/>
      </c>
      <c r="D4000" s="8" t="n"/>
      <c r="E4000" s="6" t="n"/>
      <c r="F4000" s="8" t="n"/>
    </row>
    <row r="4001">
      <c r="A4001" s="7" t="n"/>
      <c r="B4001" s="8" t="n"/>
      <c r="C4001" s="9">
        <f>IF(B4001="","",IFERROR(VLOOKUP(B4001,'Daftar Outlet'!$A$4:$B$22,2,FALSE),""))</f>
        <v/>
      </c>
      <c r="D4001" s="8" t="n"/>
      <c r="E4001" s="6" t="n"/>
      <c r="F4001" s="8" t="n"/>
    </row>
    <row r="4002">
      <c r="A4002" s="7" t="n"/>
      <c r="B4002" s="8" t="n"/>
      <c r="C4002" s="9">
        <f>IF(B4002="","",IFERROR(VLOOKUP(B4002,'Daftar Outlet'!$A$4:$B$22,2,FALSE),""))</f>
        <v/>
      </c>
      <c r="D4002" s="8" t="n"/>
      <c r="E4002" s="6" t="n"/>
      <c r="F4002" s="8" t="n"/>
    </row>
    <row r="4003">
      <c r="A4003" s="7" t="n"/>
      <c r="B4003" s="8" t="n"/>
      <c r="C4003" s="9">
        <f>IF(B4003="","",IFERROR(VLOOKUP(B4003,'Daftar Outlet'!$A$4:$B$22,2,FALSE),""))</f>
        <v/>
      </c>
      <c r="D4003" s="8" t="n"/>
      <c r="E4003" s="6" t="n"/>
      <c r="F4003" s="8" t="n"/>
    </row>
    <row r="4004">
      <c r="A4004" s="7" t="n"/>
      <c r="B4004" s="8" t="n"/>
      <c r="C4004" s="9">
        <f>IF(B4004="","",IFERROR(VLOOKUP(B4004,'Daftar Outlet'!$A$4:$B$22,2,FALSE),""))</f>
        <v/>
      </c>
      <c r="D4004" s="8" t="n"/>
      <c r="E4004" s="6" t="n"/>
      <c r="F4004" s="8" t="n"/>
    </row>
    <row r="4005">
      <c r="A4005" s="7" t="n"/>
      <c r="B4005" s="8" t="n"/>
      <c r="C4005" s="9">
        <f>IF(B4005="","",IFERROR(VLOOKUP(B4005,'Daftar Outlet'!$A$4:$B$22,2,FALSE),""))</f>
        <v/>
      </c>
      <c r="D4005" s="8" t="n"/>
      <c r="E4005" s="6" t="n"/>
      <c r="F4005" s="8" t="n"/>
    </row>
    <row r="4006">
      <c r="A4006" s="7" t="n"/>
      <c r="B4006" s="8" t="n"/>
      <c r="C4006" s="9">
        <f>IF(B4006="","",IFERROR(VLOOKUP(B4006,'Daftar Outlet'!$A$4:$B$22,2,FALSE),""))</f>
        <v/>
      </c>
      <c r="D4006" s="8" t="n"/>
      <c r="E4006" s="6" t="n"/>
      <c r="F4006" s="8" t="n"/>
    </row>
    <row r="4007">
      <c r="A4007" s="7" t="n"/>
      <c r="B4007" s="8" t="n"/>
      <c r="C4007" s="9">
        <f>IF(B4007="","",IFERROR(VLOOKUP(B4007,'Daftar Outlet'!$A$4:$B$22,2,FALSE),""))</f>
        <v/>
      </c>
      <c r="D4007" s="8" t="n"/>
      <c r="E4007" s="6" t="n"/>
      <c r="F4007" s="8" t="n"/>
    </row>
    <row r="4008">
      <c r="A4008" s="7" t="n"/>
      <c r="B4008" s="8" t="n"/>
      <c r="C4008" s="9">
        <f>IF(B4008="","",IFERROR(VLOOKUP(B4008,'Daftar Outlet'!$A$4:$B$22,2,FALSE),""))</f>
        <v/>
      </c>
      <c r="D4008" s="8" t="n"/>
      <c r="E4008" s="6" t="n"/>
      <c r="F4008" s="8" t="n"/>
    </row>
    <row r="4009">
      <c r="A4009" s="7" t="n"/>
      <c r="B4009" s="8" t="n"/>
      <c r="C4009" s="9">
        <f>IF(B4009="","",IFERROR(VLOOKUP(B4009,'Daftar Outlet'!$A$4:$B$22,2,FALSE),""))</f>
        <v/>
      </c>
      <c r="D4009" s="8" t="n"/>
      <c r="E4009" s="6" t="n"/>
      <c r="F4009" s="8" t="n"/>
    </row>
    <row r="4010">
      <c r="A4010" s="7" t="n"/>
      <c r="B4010" s="8" t="n"/>
      <c r="C4010" s="9">
        <f>IF(B4010="","",IFERROR(VLOOKUP(B4010,'Daftar Outlet'!$A$4:$B$22,2,FALSE),""))</f>
        <v/>
      </c>
      <c r="D4010" s="8" t="n"/>
      <c r="E4010" s="6" t="n"/>
      <c r="F4010" s="8" t="n"/>
    </row>
    <row r="4011">
      <c r="A4011" s="7" t="n"/>
      <c r="B4011" s="8" t="n"/>
      <c r="C4011" s="9">
        <f>IF(B4011="","",IFERROR(VLOOKUP(B4011,'Daftar Outlet'!$A$4:$B$22,2,FALSE),""))</f>
        <v/>
      </c>
      <c r="D4011" s="8" t="n"/>
      <c r="E4011" s="6" t="n"/>
      <c r="F4011" s="8" t="n"/>
    </row>
    <row r="4012">
      <c r="A4012" s="7" t="n"/>
      <c r="B4012" s="8" t="n"/>
      <c r="C4012" s="9">
        <f>IF(B4012="","",IFERROR(VLOOKUP(B4012,'Daftar Outlet'!$A$4:$B$22,2,FALSE),""))</f>
        <v/>
      </c>
      <c r="D4012" s="8" t="n"/>
      <c r="E4012" s="6" t="n"/>
      <c r="F4012" s="8" t="n"/>
    </row>
    <row r="4013">
      <c r="A4013" s="7" t="n"/>
      <c r="B4013" s="8" t="n"/>
      <c r="C4013" s="9">
        <f>IF(B4013="","",IFERROR(VLOOKUP(B4013,'Daftar Outlet'!$A$4:$B$22,2,FALSE),""))</f>
        <v/>
      </c>
      <c r="D4013" s="8" t="n"/>
      <c r="E4013" s="6" t="n"/>
      <c r="F4013" s="8" t="n"/>
    </row>
    <row r="4014">
      <c r="A4014" s="7" t="n"/>
      <c r="B4014" s="8" t="n"/>
      <c r="C4014" s="9">
        <f>IF(B4014="","",IFERROR(VLOOKUP(B4014,'Daftar Outlet'!$A$4:$B$22,2,FALSE),""))</f>
        <v/>
      </c>
      <c r="D4014" s="8" t="n"/>
      <c r="E4014" s="6" t="n"/>
      <c r="F4014" s="8" t="n"/>
    </row>
    <row r="4015">
      <c r="A4015" s="7" t="n"/>
      <c r="B4015" s="8" t="n"/>
      <c r="C4015" s="9">
        <f>IF(B4015="","",IFERROR(VLOOKUP(B4015,'Daftar Outlet'!$A$4:$B$22,2,FALSE),""))</f>
        <v/>
      </c>
      <c r="D4015" s="8" t="n"/>
      <c r="E4015" s="6" t="n"/>
      <c r="F4015" s="8" t="n"/>
    </row>
    <row r="4016">
      <c r="A4016" s="7" t="n"/>
      <c r="B4016" s="8" t="n"/>
      <c r="C4016" s="9">
        <f>IF(B4016="","",IFERROR(VLOOKUP(B4016,'Daftar Outlet'!$A$4:$B$22,2,FALSE),""))</f>
        <v/>
      </c>
      <c r="D4016" s="8" t="n"/>
      <c r="E4016" s="6" t="n"/>
      <c r="F4016" s="8" t="n"/>
    </row>
    <row r="4017">
      <c r="A4017" s="7" t="n"/>
      <c r="B4017" s="8" t="n"/>
      <c r="C4017" s="9">
        <f>IF(B4017="","",IFERROR(VLOOKUP(B4017,'Daftar Outlet'!$A$4:$B$22,2,FALSE),""))</f>
        <v/>
      </c>
      <c r="D4017" s="8" t="n"/>
      <c r="E4017" s="6" t="n"/>
      <c r="F4017" s="8" t="n"/>
    </row>
    <row r="4018">
      <c r="A4018" s="7" t="n"/>
      <c r="B4018" s="8" t="n"/>
      <c r="C4018" s="9">
        <f>IF(B4018="","",IFERROR(VLOOKUP(B4018,'Daftar Outlet'!$A$4:$B$22,2,FALSE),""))</f>
        <v/>
      </c>
      <c r="D4018" s="8" t="n"/>
      <c r="E4018" s="6" t="n"/>
      <c r="F4018" s="8" t="n"/>
    </row>
    <row r="4019">
      <c r="A4019" s="7" t="n"/>
      <c r="B4019" s="8" t="n"/>
      <c r="C4019" s="9">
        <f>IF(B4019="","",IFERROR(VLOOKUP(B4019,'Daftar Outlet'!$A$4:$B$22,2,FALSE),""))</f>
        <v/>
      </c>
      <c r="D4019" s="8" t="n"/>
      <c r="E4019" s="6" t="n"/>
      <c r="F4019" s="8" t="n"/>
    </row>
    <row r="4020">
      <c r="A4020" s="7" t="n"/>
      <c r="B4020" s="8" t="n"/>
      <c r="C4020" s="9">
        <f>IF(B4020="","",IFERROR(VLOOKUP(B4020,'Daftar Outlet'!$A$4:$B$22,2,FALSE),""))</f>
        <v/>
      </c>
      <c r="D4020" s="8" t="n"/>
      <c r="E4020" s="6" t="n"/>
      <c r="F4020" s="8" t="n"/>
    </row>
    <row r="4021">
      <c r="A4021" s="7" t="n"/>
      <c r="B4021" s="8" t="n"/>
      <c r="C4021" s="9">
        <f>IF(B4021="","",IFERROR(VLOOKUP(B4021,'Daftar Outlet'!$A$4:$B$22,2,FALSE),""))</f>
        <v/>
      </c>
      <c r="D4021" s="8" t="n"/>
      <c r="E4021" s="6" t="n"/>
      <c r="F4021" s="8" t="n"/>
    </row>
    <row r="4022">
      <c r="A4022" s="7" t="n"/>
      <c r="B4022" s="8" t="n"/>
      <c r="C4022" s="9">
        <f>IF(B4022="","",IFERROR(VLOOKUP(B4022,'Daftar Outlet'!$A$4:$B$22,2,FALSE),""))</f>
        <v/>
      </c>
      <c r="D4022" s="8" t="n"/>
      <c r="E4022" s="6" t="n"/>
      <c r="F4022" s="8" t="n"/>
    </row>
    <row r="4023">
      <c r="A4023" s="7" t="n"/>
      <c r="B4023" s="8" t="n"/>
      <c r="C4023" s="9">
        <f>IF(B4023="","",IFERROR(VLOOKUP(B4023,'Daftar Outlet'!$A$4:$B$22,2,FALSE),""))</f>
        <v/>
      </c>
      <c r="D4023" s="8" t="n"/>
      <c r="E4023" s="6" t="n"/>
      <c r="F4023" s="8" t="n"/>
    </row>
    <row r="4024">
      <c r="A4024" s="7" t="n"/>
      <c r="B4024" s="8" t="n"/>
      <c r="C4024" s="9">
        <f>IF(B4024="","",IFERROR(VLOOKUP(B4024,'Daftar Outlet'!$A$4:$B$22,2,FALSE),""))</f>
        <v/>
      </c>
      <c r="D4024" s="8" t="n"/>
      <c r="E4024" s="6" t="n"/>
      <c r="F4024" s="8" t="n"/>
    </row>
    <row r="4025">
      <c r="A4025" s="7" t="n"/>
      <c r="B4025" s="8" t="n"/>
      <c r="C4025" s="9">
        <f>IF(B4025="","",IFERROR(VLOOKUP(B4025,'Daftar Outlet'!$A$4:$B$22,2,FALSE),""))</f>
        <v/>
      </c>
      <c r="D4025" s="8" t="n"/>
      <c r="E4025" s="6" t="n"/>
      <c r="F4025" s="8" t="n"/>
    </row>
    <row r="4026">
      <c r="A4026" s="7" t="n"/>
      <c r="B4026" s="8" t="n"/>
      <c r="C4026" s="9">
        <f>IF(B4026="","",IFERROR(VLOOKUP(B4026,'Daftar Outlet'!$A$4:$B$22,2,FALSE),""))</f>
        <v/>
      </c>
      <c r="D4026" s="8" t="n"/>
      <c r="E4026" s="6" t="n"/>
      <c r="F4026" s="8" t="n"/>
    </row>
    <row r="4027">
      <c r="A4027" s="7" t="n"/>
      <c r="B4027" s="8" t="n"/>
      <c r="C4027" s="9">
        <f>IF(B4027="","",IFERROR(VLOOKUP(B4027,'Daftar Outlet'!$A$4:$B$22,2,FALSE),""))</f>
        <v/>
      </c>
      <c r="D4027" s="8" t="n"/>
      <c r="E4027" s="6" t="n"/>
      <c r="F4027" s="8" t="n"/>
    </row>
    <row r="4028">
      <c r="A4028" s="7" t="n"/>
      <c r="B4028" s="8" t="n"/>
      <c r="C4028" s="9">
        <f>IF(B4028="","",IFERROR(VLOOKUP(B4028,'Daftar Outlet'!$A$4:$B$22,2,FALSE),""))</f>
        <v/>
      </c>
      <c r="D4028" s="8" t="n"/>
      <c r="E4028" s="6" t="n"/>
      <c r="F4028" s="8" t="n"/>
    </row>
    <row r="4029">
      <c r="A4029" s="7" t="n"/>
      <c r="B4029" s="8" t="n"/>
      <c r="C4029" s="9">
        <f>IF(B4029="","",IFERROR(VLOOKUP(B4029,'Daftar Outlet'!$A$4:$B$22,2,FALSE),""))</f>
        <v/>
      </c>
      <c r="D4029" s="8" t="n"/>
      <c r="E4029" s="6" t="n"/>
      <c r="F4029" s="8" t="n"/>
    </row>
    <row r="4030">
      <c r="A4030" s="7" t="n"/>
      <c r="B4030" s="8" t="n"/>
      <c r="C4030" s="9">
        <f>IF(B4030="","",IFERROR(VLOOKUP(B4030,'Daftar Outlet'!$A$4:$B$22,2,FALSE),""))</f>
        <v/>
      </c>
      <c r="D4030" s="8" t="n"/>
      <c r="E4030" s="6" t="n"/>
      <c r="F4030" s="8" t="n"/>
    </row>
    <row r="4031">
      <c r="A4031" s="7" t="n"/>
      <c r="B4031" s="8" t="n"/>
      <c r="C4031" s="9">
        <f>IF(B4031="","",IFERROR(VLOOKUP(B4031,'Daftar Outlet'!$A$4:$B$22,2,FALSE),""))</f>
        <v/>
      </c>
      <c r="D4031" s="8" t="n"/>
      <c r="E4031" s="6" t="n"/>
      <c r="F4031" s="8" t="n"/>
    </row>
    <row r="4032">
      <c r="A4032" s="7" t="n"/>
      <c r="B4032" s="8" t="n"/>
      <c r="C4032" s="9">
        <f>IF(B4032="","",IFERROR(VLOOKUP(B4032,'Daftar Outlet'!$A$4:$B$22,2,FALSE),""))</f>
        <v/>
      </c>
      <c r="D4032" s="8" t="n"/>
      <c r="E4032" s="6" t="n"/>
      <c r="F4032" s="8" t="n"/>
    </row>
    <row r="4033">
      <c r="A4033" s="7" t="n"/>
      <c r="B4033" s="8" t="n"/>
      <c r="C4033" s="9">
        <f>IF(B4033="","",IFERROR(VLOOKUP(B4033,'Daftar Outlet'!$A$4:$B$22,2,FALSE),""))</f>
        <v/>
      </c>
      <c r="D4033" s="8" t="n"/>
      <c r="E4033" s="6" t="n"/>
      <c r="F4033" s="8" t="n"/>
    </row>
    <row r="4034">
      <c r="A4034" s="7" t="n"/>
      <c r="B4034" s="8" t="n"/>
      <c r="C4034" s="9">
        <f>IF(B4034="","",IFERROR(VLOOKUP(B4034,'Daftar Outlet'!$A$4:$B$22,2,FALSE),""))</f>
        <v/>
      </c>
      <c r="D4034" s="8" t="n"/>
      <c r="E4034" s="6" t="n"/>
      <c r="F4034" s="8" t="n"/>
    </row>
    <row r="4035">
      <c r="A4035" s="7" t="n"/>
      <c r="B4035" s="8" t="n"/>
      <c r="C4035" s="9">
        <f>IF(B4035="","",IFERROR(VLOOKUP(B4035,'Daftar Outlet'!$A$4:$B$22,2,FALSE),""))</f>
        <v/>
      </c>
      <c r="D4035" s="8" t="n"/>
      <c r="E4035" s="6" t="n"/>
      <c r="F4035" s="8" t="n"/>
    </row>
    <row r="4036">
      <c r="A4036" s="7" t="n"/>
      <c r="B4036" s="8" t="n"/>
      <c r="C4036" s="9">
        <f>IF(B4036="","",IFERROR(VLOOKUP(B4036,'Daftar Outlet'!$A$4:$B$22,2,FALSE),""))</f>
        <v/>
      </c>
      <c r="D4036" s="8" t="n"/>
      <c r="E4036" s="6" t="n"/>
      <c r="F4036" s="8" t="n"/>
    </row>
    <row r="4037">
      <c r="A4037" s="7" t="n"/>
      <c r="B4037" s="8" t="n"/>
      <c r="C4037" s="9">
        <f>IF(B4037="","",IFERROR(VLOOKUP(B4037,'Daftar Outlet'!$A$4:$B$22,2,FALSE),""))</f>
        <v/>
      </c>
      <c r="D4037" s="8" t="n"/>
      <c r="E4037" s="6" t="n"/>
      <c r="F4037" s="8" t="n"/>
    </row>
    <row r="4038">
      <c r="A4038" s="7" t="n"/>
      <c r="B4038" s="8" t="n"/>
      <c r="C4038" s="9">
        <f>IF(B4038="","",IFERROR(VLOOKUP(B4038,'Daftar Outlet'!$A$4:$B$22,2,FALSE),""))</f>
        <v/>
      </c>
      <c r="D4038" s="8" t="n"/>
      <c r="E4038" s="6" t="n"/>
      <c r="F4038" s="8" t="n"/>
    </row>
    <row r="4039">
      <c r="A4039" s="7" t="n"/>
      <c r="B4039" s="8" t="n"/>
      <c r="C4039" s="9">
        <f>IF(B4039="","",IFERROR(VLOOKUP(B4039,'Daftar Outlet'!$A$4:$B$22,2,FALSE),""))</f>
        <v/>
      </c>
      <c r="D4039" s="8" t="n"/>
      <c r="E4039" s="6" t="n"/>
      <c r="F4039" s="8" t="n"/>
    </row>
    <row r="4040">
      <c r="A4040" s="7" t="n"/>
      <c r="B4040" s="8" t="n"/>
      <c r="C4040" s="9">
        <f>IF(B4040="","",IFERROR(VLOOKUP(B4040,'Daftar Outlet'!$A$4:$B$22,2,FALSE),""))</f>
        <v/>
      </c>
      <c r="D4040" s="8" t="n"/>
      <c r="E4040" s="6" t="n"/>
      <c r="F4040" s="8" t="n"/>
    </row>
    <row r="4041">
      <c r="A4041" s="7" t="n"/>
      <c r="B4041" s="8" t="n"/>
      <c r="C4041" s="9">
        <f>IF(B4041="","",IFERROR(VLOOKUP(B4041,'Daftar Outlet'!$A$4:$B$22,2,FALSE),""))</f>
        <v/>
      </c>
      <c r="D4041" s="8" t="n"/>
      <c r="E4041" s="6" t="n"/>
      <c r="F4041" s="8" t="n"/>
    </row>
    <row r="4042">
      <c r="A4042" s="7" t="n"/>
      <c r="B4042" s="8" t="n"/>
      <c r="C4042" s="9">
        <f>IF(B4042="","",IFERROR(VLOOKUP(B4042,'Daftar Outlet'!$A$4:$B$22,2,FALSE),""))</f>
        <v/>
      </c>
      <c r="D4042" s="8" t="n"/>
      <c r="E4042" s="6" t="n"/>
      <c r="F4042" s="8" t="n"/>
    </row>
    <row r="4043">
      <c r="A4043" s="7" t="n"/>
      <c r="B4043" s="8" t="n"/>
      <c r="C4043" s="9">
        <f>IF(B4043="","",IFERROR(VLOOKUP(B4043,'Daftar Outlet'!$A$4:$B$22,2,FALSE),""))</f>
        <v/>
      </c>
      <c r="D4043" s="8" t="n"/>
      <c r="E4043" s="6" t="n"/>
      <c r="F4043" s="8" t="n"/>
    </row>
    <row r="4044">
      <c r="A4044" s="7" t="n"/>
      <c r="B4044" s="8" t="n"/>
      <c r="C4044" s="9">
        <f>IF(B4044="","",IFERROR(VLOOKUP(B4044,'Daftar Outlet'!$A$4:$B$22,2,FALSE),""))</f>
        <v/>
      </c>
      <c r="D4044" s="8" t="n"/>
      <c r="E4044" s="6" t="n"/>
      <c r="F4044" s="8" t="n"/>
    </row>
    <row r="4045">
      <c r="A4045" s="7" t="n"/>
      <c r="B4045" s="8" t="n"/>
      <c r="C4045" s="9">
        <f>IF(B4045="","",IFERROR(VLOOKUP(B4045,'Daftar Outlet'!$A$4:$B$22,2,FALSE),""))</f>
        <v/>
      </c>
      <c r="D4045" s="8" t="n"/>
      <c r="E4045" s="6" t="n"/>
      <c r="F4045" s="8" t="n"/>
    </row>
    <row r="4046">
      <c r="A4046" s="7" t="n"/>
      <c r="B4046" s="8" t="n"/>
      <c r="C4046" s="9">
        <f>IF(B4046="","",IFERROR(VLOOKUP(B4046,'Daftar Outlet'!$A$4:$B$22,2,FALSE),""))</f>
        <v/>
      </c>
      <c r="D4046" s="8" t="n"/>
      <c r="E4046" s="6" t="n"/>
      <c r="F4046" s="8" t="n"/>
    </row>
    <row r="4047">
      <c r="A4047" s="7" t="n"/>
      <c r="B4047" s="8" t="n"/>
      <c r="C4047" s="9">
        <f>IF(B4047="","",IFERROR(VLOOKUP(B4047,'Daftar Outlet'!$A$4:$B$22,2,FALSE),""))</f>
        <v/>
      </c>
      <c r="D4047" s="8" t="n"/>
      <c r="E4047" s="6" t="n"/>
      <c r="F4047" s="8" t="n"/>
    </row>
    <row r="4048">
      <c r="A4048" s="7" t="n"/>
      <c r="B4048" s="8" t="n"/>
      <c r="C4048" s="9">
        <f>IF(B4048="","",IFERROR(VLOOKUP(B4048,'Daftar Outlet'!$A$4:$B$22,2,FALSE),""))</f>
        <v/>
      </c>
      <c r="D4048" s="8" t="n"/>
      <c r="E4048" s="6" t="n"/>
      <c r="F4048" s="8" t="n"/>
    </row>
    <row r="4049">
      <c r="A4049" s="7" t="n"/>
      <c r="B4049" s="8" t="n"/>
      <c r="C4049" s="9">
        <f>IF(B4049="","",IFERROR(VLOOKUP(B4049,'Daftar Outlet'!$A$4:$B$22,2,FALSE),""))</f>
        <v/>
      </c>
      <c r="D4049" s="8" t="n"/>
      <c r="E4049" s="6" t="n"/>
      <c r="F4049" s="8" t="n"/>
    </row>
    <row r="4050">
      <c r="A4050" s="7" t="n"/>
      <c r="B4050" s="8" t="n"/>
      <c r="C4050" s="9">
        <f>IF(B4050="","",IFERROR(VLOOKUP(B4050,'Daftar Outlet'!$A$4:$B$22,2,FALSE),""))</f>
        <v/>
      </c>
      <c r="D4050" s="8" t="n"/>
      <c r="E4050" s="6" t="n"/>
      <c r="F4050" s="8" t="n"/>
    </row>
    <row r="4051">
      <c r="A4051" s="7" t="n"/>
      <c r="B4051" s="8" t="n"/>
      <c r="C4051" s="9">
        <f>IF(B4051="","",IFERROR(VLOOKUP(B4051,'Daftar Outlet'!$A$4:$B$22,2,FALSE),""))</f>
        <v/>
      </c>
      <c r="D4051" s="8" t="n"/>
      <c r="E4051" s="6" t="n"/>
      <c r="F4051" s="8" t="n"/>
    </row>
    <row r="4052">
      <c r="A4052" s="7" t="n"/>
      <c r="B4052" s="8" t="n"/>
      <c r="C4052" s="9">
        <f>IF(B4052="","",IFERROR(VLOOKUP(B4052,'Daftar Outlet'!$A$4:$B$22,2,FALSE),""))</f>
        <v/>
      </c>
      <c r="D4052" s="8" t="n"/>
      <c r="E4052" s="6" t="n"/>
      <c r="F4052" s="8" t="n"/>
    </row>
    <row r="4053">
      <c r="A4053" s="7" t="n"/>
      <c r="B4053" s="8" t="n"/>
      <c r="C4053" s="9">
        <f>IF(B4053="","",IFERROR(VLOOKUP(B4053,'Daftar Outlet'!$A$4:$B$22,2,FALSE),""))</f>
        <v/>
      </c>
      <c r="D4053" s="8" t="n"/>
      <c r="E4053" s="6" t="n"/>
      <c r="F4053" s="8" t="n"/>
    </row>
    <row r="4054">
      <c r="A4054" s="7" t="n"/>
      <c r="B4054" s="8" t="n"/>
      <c r="C4054" s="9">
        <f>IF(B4054="","",IFERROR(VLOOKUP(B4054,'Daftar Outlet'!$A$4:$B$22,2,FALSE),""))</f>
        <v/>
      </c>
      <c r="D4054" s="8" t="n"/>
      <c r="E4054" s="6" t="n"/>
      <c r="F4054" s="8" t="n"/>
    </row>
    <row r="4055">
      <c r="A4055" s="7" t="n"/>
      <c r="B4055" s="8" t="n"/>
      <c r="C4055" s="9">
        <f>IF(B4055="","",IFERROR(VLOOKUP(B4055,'Daftar Outlet'!$A$4:$B$22,2,FALSE),""))</f>
        <v/>
      </c>
      <c r="D4055" s="8" t="n"/>
      <c r="E4055" s="6" t="n"/>
      <c r="F4055" s="8" t="n"/>
    </row>
    <row r="4056">
      <c r="A4056" s="7" t="n"/>
      <c r="B4056" s="8" t="n"/>
      <c r="C4056" s="9">
        <f>IF(B4056="","",IFERROR(VLOOKUP(B4056,'Daftar Outlet'!$A$4:$B$22,2,FALSE),""))</f>
        <v/>
      </c>
      <c r="D4056" s="8" t="n"/>
      <c r="E4056" s="6" t="n"/>
      <c r="F4056" s="8" t="n"/>
    </row>
    <row r="4057">
      <c r="A4057" s="7" t="n"/>
      <c r="B4057" s="8" t="n"/>
      <c r="C4057" s="9">
        <f>IF(B4057="","",IFERROR(VLOOKUP(B4057,'Daftar Outlet'!$A$4:$B$22,2,FALSE),""))</f>
        <v/>
      </c>
      <c r="D4057" s="8" t="n"/>
      <c r="E4057" s="6" t="n"/>
      <c r="F4057" s="8" t="n"/>
    </row>
    <row r="4058">
      <c r="A4058" s="7" t="n"/>
      <c r="B4058" s="8" t="n"/>
      <c r="C4058" s="9">
        <f>IF(B4058="","",IFERROR(VLOOKUP(B4058,'Daftar Outlet'!$A$4:$B$22,2,FALSE),""))</f>
        <v/>
      </c>
      <c r="D4058" s="8" t="n"/>
      <c r="E4058" s="6" t="n"/>
      <c r="F4058" s="8" t="n"/>
    </row>
    <row r="4059">
      <c r="A4059" s="7" t="n"/>
      <c r="B4059" s="8" t="n"/>
      <c r="C4059" s="9">
        <f>IF(B4059="","",IFERROR(VLOOKUP(B4059,'Daftar Outlet'!$A$4:$B$22,2,FALSE),""))</f>
        <v/>
      </c>
      <c r="D4059" s="8" t="n"/>
      <c r="E4059" s="6" t="n"/>
      <c r="F4059" s="8" t="n"/>
    </row>
    <row r="4060">
      <c r="A4060" s="7" t="n"/>
      <c r="B4060" s="8" t="n"/>
      <c r="C4060" s="9">
        <f>IF(B4060="","",IFERROR(VLOOKUP(B4060,'Daftar Outlet'!$A$4:$B$22,2,FALSE),""))</f>
        <v/>
      </c>
      <c r="D4060" s="8" t="n"/>
      <c r="E4060" s="6" t="n"/>
      <c r="F4060" s="8" t="n"/>
    </row>
    <row r="4061">
      <c r="A4061" s="7" t="n"/>
      <c r="B4061" s="8" t="n"/>
      <c r="C4061" s="9">
        <f>IF(B4061="","",IFERROR(VLOOKUP(B4061,'Daftar Outlet'!$A$4:$B$22,2,FALSE),""))</f>
        <v/>
      </c>
      <c r="D4061" s="8" t="n"/>
      <c r="E4061" s="6" t="n"/>
      <c r="F4061" s="8" t="n"/>
    </row>
    <row r="4062">
      <c r="A4062" s="7" t="n"/>
      <c r="B4062" s="8" t="n"/>
      <c r="C4062" s="9">
        <f>IF(B4062="","",IFERROR(VLOOKUP(B4062,'Daftar Outlet'!$A$4:$B$22,2,FALSE),""))</f>
        <v/>
      </c>
      <c r="D4062" s="8" t="n"/>
      <c r="E4062" s="6" t="n"/>
      <c r="F4062" s="8" t="n"/>
    </row>
    <row r="4063">
      <c r="A4063" s="7" t="n"/>
      <c r="B4063" s="8" t="n"/>
      <c r="C4063" s="9">
        <f>IF(B4063="","",IFERROR(VLOOKUP(B4063,'Daftar Outlet'!$A$4:$B$22,2,FALSE),""))</f>
        <v/>
      </c>
      <c r="D4063" s="8" t="n"/>
      <c r="E4063" s="6" t="n"/>
      <c r="F4063" s="8" t="n"/>
    </row>
    <row r="4064">
      <c r="A4064" s="7" t="n"/>
      <c r="B4064" s="8" t="n"/>
      <c r="C4064" s="9">
        <f>IF(B4064="","",IFERROR(VLOOKUP(B4064,'Daftar Outlet'!$A$4:$B$22,2,FALSE),""))</f>
        <v/>
      </c>
      <c r="D4064" s="8" t="n"/>
      <c r="E4064" s="6" t="n"/>
      <c r="F4064" s="8" t="n"/>
    </row>
    <row r="4065">
      <c r="A4065" s="7" t="n"/>
      <c r="B4065" s="8" t="n"/>
      <c r="C4065" s="9">
        <f>IF(B4065="","",IFERROR(VLOOKUP(B4065,'Daftar Outlet'!$A$4:$B$22,2,FALSE),""))</f>
        <v/>
      </c>
      <c r="D4065" s="8" t="n"/>
      <c r="E4065" s="6" t="n"/>
      <c r="F4065" s="8" t="n"/>
    </row>
    <row r="4066">
      <c r="A4066" s="7" t="n"/>
      <c r="B4066" s="8" t="n"/>
      <c r="C4066" s="9">
        <f>IF(B4066="","",IFERROR(VLOOKUP(B4066,'Daftar Outlet'!$A$4:$B$22,2,FALSE),""))</f>
        <v/>
      </c>
      <c r="D4066" s="8" t="n"/>
      <c r="E4066" s="6" t="n"/>
      <c r="F4066" s="8" t="n"/>
    </row>
    <row r="4067">
      <c r="A4067" s="7" t="n"/>
      <c r="B4067" s="8" t="n"/>
      <c r="C4067" s="9">
        <f>IF(B4067="","",IFERROR(VLOOKUP(B4067,'Daftar Outlet'!$A$4:$B$22,2,FALSE),""))</f>
        <v/>
      </c>
      <c r="D4067" s="8" t="n"/>
      <c r="E4067" s="6" t="n"/>
      <c r="F4067" s="8" t="n"/>
    </row>
    <row r="4068">
      <c r="A4068" s="7" t="n"/>
      <c r="B4068" s="8" t="n"/>
      <c r="C4068" s="9">
        <f>IF(B4068="","",IFERROR(VLOOKUP(B4068,'Daftar Outlet'!$A$4:$B$22,2,FALSE),""))</f>
        <v/>
      </c>
      <c r="D4068" s="8" t="n"/>
      <c r="E4068" s="6" t="n"/>
      <c r="F4068" s="8" t="n"/>
    </row>
    <row r="4069">
      <c r="A4069" s="7" t="n"/>
      <c r="B4069" s="8" t="n"/>
      <c r="C4069" s="9">
        <f>IF(B4069="","",IFERROR(VLOOKUP(B4069,'Daftar Outlet'!$A$4:$B$22,2,FALSE),""))</f>
        <v/>
      </c>
      <c r="D4069" s="8" t="n"/>
      <c r="E4069" s="6" t="n"/>
      <c r="F4069" s="8" t="n"/>
    </row>
    <row r="4070">
      <c r="A4070" s="7" t="n"/>
      <c r="B4070" s="8" t="n"/>
      <c r="C4070" s="9">
        <f>IF(B4070="","",IFERROR(VLOOKUP(B4070,'Daftar Outlet'!$A$4:$B$22,2,FALSE),""))</f>
        <v/>
      </c>
      <c r="D4070" s="8" t="n"/>
      <c r="E4070" s="6" t="n"/>
      <c r="F4070" s="8" t="n"/>
    </row>
    <row r="4071">
      <c r="A4071" s="7" t="n"/>
      <c r="B4071" s="8" t="n"/>
      <c r="C4071" s="9">
        <f>IF(B4071="","",IFERROR(VLOOKUP(B4071,'Daftar Outlet'!$A$4:$B$22,2,FALSE),""))</f>
        <v/>
      </c>
      <c r="D4071" s="8" t="n"/>
      <c r="E4071" s="6" t="n"/>
      <c r="F4071" s="8" t="n"/>
    </row>
    <row r="4072">
      <c r="A4072" s="7" t="n"/>
      <c r="B4072" s="8" t="n"/>
      <c r="C4072" s="9">
        <f>IF(B4072="","",IFERROR(VLOOKUP(B4072,'Daftar Outlet'!$A$4:$B$22,2,FALSE),""))</f>
        <v/>
      </c>
      <c r="D4072" s="8" t="n"/>
      <c r="E4072" s="6" t="n"/>
      <c r="F4072" s="8" t="n"/>
    </row>
    <row r="4073">
      <c r="A4073" s="7" t="n"/>
      <c r="B4073" s="8" t="n"/>
      <c r="C4073" s="9">
        <f>IF(B4073="","",IFERROR(VLOOKUP(B4073,'Daftar Outlet'!$A$4:$B$22,2,FALSE),""))</f>
        <v/>
      </c>
      <c r="D4073" s="8" t="n"/>
      <c r="E4073" s="6" t="n"/>
      <c r="F4073" s="8" t="n"/>
    </row>
    <row r="4074">
      <c r="A4074" s="7" t="n"/>
      <c r="B4074" s="8" t="n"/>
      <c r="C4074" s="9">
        <f>IF(B4074="","",IFERROR(VLOOKUP(B4074,'Daftar Outlet'!$A$4:$B$22,2,FALSE),""))</f>
        <v/>
      </c>
      <c r="D4074" s="8" t="n"/>
      <c r="E4074" s="6" t="n"/>
      <c r="F4074" s="8" t="n"/>
    </row>
    <row r="4075">
      <c r="A4075" s="7" t="n"/>
      <c r="B4075" s="8" t="n"/>
      <c r="C4075" s="9">
        <f>IF(B4075="","",IFERROR(VLOOKUP(B4075,'Daftar Outlet'!$A$4:$B$22,2,FALSE),""))</f>
        <v/>
      </c>
      <c r="D4075" s="8" t="n"/>
      <c r="E4075" s="6" t="n"/>
      <c r="F4075" s="8" t="n"/>
    </row>
    <row r="4076">
      <c r="A4076" s="7" t="n"/>
      <c r="B4076" s="8" t="n"/>
      <c r="C4076" s="9">
        <f>IF(B4076="","",IFERROR(VLOOKUP(B4076,'Daftar Outlet'!$A$4:$B$22,2,FALSE),""))</f>
        <v/>
      </c>
      <c r="D4076" s="8" t="n"/>
      <c r="E4076" s="6" t="n"/>
      <c r="F4076" s="8" t="n"/>
    </row>
    <row r="4077">
      <c r="A4077" s="7" t="n"/>
      <c r="B4077" s="8" t="n"/>
      <c r="C4077" s="9">
        <f>IF(B4077="","",IFERROR(VLOOKUP(B4077,'Daftar Outlet'!$A$4:$B$22,2,FALSE),""))</f>
        <v/>
      </c>
      <c r="D4077" s="8" t="n"/>
      <c r="E4077" s="6" t="n"/>
      <c r="F4077" s="8" t="n"/>
    </row>
    <row r="4078">
      <c r="A4078" s="7" t="n"/>
      <c r="B4078" s="8" t="n"/>
      <c r="C4078" s="9">
        <f>IF(B4078="","",IFERROR(VLOOKUP(B4078,'Daftar Outlet'!$A$4:$B$22,2,FALSE),""))</f>
        <v/>
      </c>
      <c r="D4078" s="8" t="n"/>
      <c r="E4078" s="6" t="n"/>
      <c r="F4078" s="8" t="n"/>
    </row>
    <row r="4079">
      <c r="A4079" s="7" t="n"/>
      <c r="B4079" s="8" t="n"/>
      <c r="C4079" s="9">
        <f>IF(B4079="","",IFERROR(VLOOKUP(B4079,'Daftar Outlet'!$A$4:$B$22,2,FALSE),""))</f>
        <v/>
      </c>
      <c r="D4079" s="8" t="n"/>
      <c r="E4079" s="6" t="n"/>
      <c r="F4079" s="8" t="n"/>
    </row>
    <row r="4080">
      <c r="A4080" s="7" t="n"/>
      <c r="B4080" s="8" t="n"/>
      <c r="C4080" s="9">
        <f>IF(B4080="","",IFERROR(VLOOKUP(B4080,'Daftar Outlet'!$A$4:$B$22,2,FALSE),""))</f>
        <v/>
      </c>
      <c r="D4080" s="8" t="n"/>
      <c r="E4080" s="6" t="n"/>
      <c r="F4080" s="8" t="n"/>
    </row>
    <row r="4081">
      <c r="A4081" s="7" t="n"/>
      <c r="B4081" s="8" t="n"/>
      <c r="C4081" s="9">
        <f>IF(B4081="","",IFERROR(VLOOKUP(B4081,'Daftar Outlet'!$A$4:$B$22,2,FALSE),""))</f>
        <v/>
      </c>
      <c r="D4081" s="8" t="n"/>
      <c r="E4081" s="6" t="n"/>
      <c r="F4081" s="8" t="n"/>
    </row>
    <row r="4082">
      <c r="A4082" s="7" t="n"/>
      <c r="B4082" s="8" t="n"/>
      <c r="C4082" s="9">
        <f>IF(B4082="","",IFERROR(VLOOKUP(B4082,'Daftar Outlet'!$A$4:$B$22,2,FALSE),""))</f>
        <v/>
      </c>
      <c r="D4082" s="8" t="n"/>
      <c r="E4082" s="6" t="n"/>
      <c r="F4082" s="8" t="n"/>
    </row>
    <row r="4083">
      <c r="A4083" s="7" t="n"/>
      <c r="B4083" s="8" t="n"/>
      <c r="C4083" s="9">
        <f>IF(B4083="","",IFERROR(VLOOKUP(B4083,'Daftar Outlet'!$A$4:$B$22,2,FALSE),""))</f>
        <v/>
      </c>
      <c r="D4083" s="8" t="n"/>
      <c r="E4083" s="6" t="n"/>
      <c r="F4083" s="8" t="n"/>
    </row>
    <row r="4084">
      <c r="A4084" s="7" t="n"/>
      <c r="B4084" s="8" t="n"/>
      <c r="C4084" s="9">
        <f>IF(B4084="","",IFERROR(VLOOKUP(B4084,'Daftar Outlet'!$A$4:$B$22,2,FALSE),""))</f>
        <v/>
      </c>
      <c r="D4084" s="8" t="n"/>
      <c r="E4084" s="6" t="n"/>
      <c r="F4084" s="8" t="n"/>
    </row>
    <row r="4085">
      <c r="A4085" s="7" t="n"/>
      <c r="B4085" s="8" t="n"/>
      <c r="C4085" s="9">
        <f>IF(B4085="","",IFERROR(VLOOKUP(B4085,'Daftar Outlet'!$A$4:$B$22,2,FALSE),""))</f>
        <v/>
      </c>
      <c r="D4085" s="8" t="n"/>
      <c r="E4085" s="6" t="n"/>
      <c r="F4085" s="8" t="n"/>
    </row>
    <row r="4086">
      <c r="A4086" s="7" t="n"/>
      <c r="B4086" s="8" t="n"/>
      <c r="C4086" s="9">
        <f>IF(B4086="","",IFERROR(VLOOKUP(B4086,'Daftar Outlet'!$A$4:$B$22,2,FALSE),""))</f>
        <v/>
      </c>
      <c r="D4086" s="8" t="n"/>
      <c r="E4086" s="6" t="n"/>
      <c r="F4086" s="8" t="n"/>
    </row>
    <row r="4087">
      <c r="A4087" s="7" t="n"/>
      <c r="B4087" s="8" t="n"/>
      <c r="C4087" s="9">
        <f>IF(B4087="","",IFERROR(VLOOKUP(B4087,'Daftar Outlet'!$A$4:$B$22,2,FALSE),""))</f>
        <v/>
      </c>
      <c r="D4087" s="8" t="n"/>
      <c r="E4087" s="6" t="n"/>
      <c r="F4087" s="8" t="n"/>
    </row>
    <row r="4088">
      <c r="A4088" s="7" t="n"/>
      <c r="B4088" s="8" t="n"/>
      <c r="C4088" s="9">
        <f>IF(B4088="","",IFERROR(VLOOKUP(B4088,'Daftar Outlet'!$A$4:$B$22,2,FALSE),""))</f>
        <v/>
      </c>
      <c r="D4088" s="8" t="n"/>
      <c r="E4088" s="6" t="n"/>
      <c r="F4088" s="8" t="n"/>
    </row>
    <row r="4089">
      <c r="A4089" s="7" t="n"/>
      <c r="B4089" s="8" t="n"/>
      <c r="C4089" s="9">
        <f>IF(B4089="","",IFERROR(VLOOKUP(B4089,'Daftar Outlet'!$A$4:$B$22,2,FALSE),""))</f>
        <v/>
      </c>
      <c r="D4089" s="8" t="n"/>
      <c r="E4089" s="6" t="n"/>
      <c r="F4089" s="8" t="n"/>
    </row>
    <row r="4090">
      <c r="A4090" s="7" t="n"/>
      <c r="B4090" s="8" t="n"/>
      <c r="C4090" s="9">
        <f>IF(B4090="","",IFERROR(VLOOKUP(B4090,'Daftar Outlet'!$A$4:$B$22,2,FALSE),""))</f>
        <v/>
      </c>
      <c r="D4090" s="8" t="n"/>
      <c r="E4090" s="6" t="n"/>
      <c r="F4090" s="8" t="n"/>
    </row>
    <row r="4091">
      <c r="A4091" s="7" t="n"/>
      <c r="B4091" s="8" t="n"/>
      <c r="C4091" s="9">
        <f>IF(B4091="","",IFERROR(VLOOKUP(B4091,'Daftar Outlet'!$A$4:$B$22,2,FALSE),""))</f>
        <v/>
      </c>
      <c r="D4091" s="8" t="n"/>
      <c r="E4091" s="6" t="n"/>
      <c r="F4091" s="8" t="n"/>
    </row>
    <row r="4092">
      <c r="A4092" s="7" t="n"/>
      <c r="B4092" s="8" t="n"/>
      <c r="C4092" s="9">
        <f>IF(B4092="","",IFERROR(VLOOKUP(B4092,'Daftar Outlet'!$A$4:$B$22,2,FALSE),""))</f>
        <v/>
      </c>
      <c r="D4092" s="8" t="n"/>
      <c r="E4092" s="6" t="n"/>
      <c r="F4092" s="8" t="n"/>
    </row>
    <row r="4093">
      <c r="A4093" s="7" t="n"/>
      <c r="B4093" s="8" t="n"/>
      <c r="C4093" s="9">
        <f>IF(B4093="","",IFERROR(VLOOKUP(B4093,'Daftar Outlet'!$A$4:$B$22,2,FALSE),""))</f>
        <v/>
      </c>
      <c r="D4093" s="8" t="n"/>
      <c r="E4093" s="6" t="n"/>
      <c r="F4093" s="8" t="n"/>
    </row>
    <row r="4094">
      <c r="A4094" s="7" t="n"/>
      <c r="B4094" s="8" t="n"/>
      <c r="C4094" s="9">
        <f>IF(B4094="","",IFERROR(VLOOKUP(B4094,'Daftar Outlet'!$A$4:$B$22,2,FALSE),""))</f>
        <v/>
      </c>
      <c r="D4094" s="8" t="n"/>
      <c r="E4094" s="6" t="n"/>
      <c r="F4094" s="8" t="n"/>
    </row>
    <row r="4095">
      <c r="A4095" s="7" t="n"/>
      <c r="B4095" s="8" t="n"/>
      <c r="C4095" s="9">
        <f>IF(B4095="","",IFERROR(VLOOKUP(B4095,'Daftar Outlet'!$A$4:$B$22,2,FALSE),""))</f>
        <v/>
      </c>
      <c r="D4095" s="8" t="n"/>
      <c r="E4095" s="6" t="n"/>
      <c r="F4095" s="8" t="n"/>
    </row>
    <row r="4096">
      <c r="A4096" s="7" t="n"/>
      <c r="B4096" s="8" t="n"/>
      <c r="C4096" s="9">
        <f>IF(B4096="","",IFERROR(VLOOKUP(B4096,'Daftar Outlet'!$A$4:$B$22,2,FALSE),""))</f>
        <v/>
      </c>
      <c r="D4096" s="8" t="n"/>
      <c r="E4096" s="6" t="n"/>
      <c r="F4096" s="8" t="n"/>
    </row>
    <row r="4097">
      <c r="A4097" s="7" t="n"/>
      <c r="B4097" s="8" t="n"/>
      <c r="C4097" s="9">
        <f>IF(B4097="","",IFERROR(VLOOKUP(B4097,'Daftar Outlet'!$A$4:$B$22,2,FALSE),""))</f>
        <v/>
      </c>
      <c r="D4097" s="8" t="n"/>
      <c r="E4097" s="6" t="n"/>
      <c r="F4097" s="8" t="n"/>
    </row>
    <row r="4098">
      <c r="A4098" s="7" t="n"/>
      <c r="B4098" s="8" t="n"/>
      <c r="C4098" s="9">
        <f>IF(B4098="","",IFERROR(VLOOKUP(B4098,'Daftar Outlet'!$A$4:$B$22,2,FALSE),""))</f>
        <v/>
      </c>
      <c r="D4098" s="8" t="n"/>
      <c r="E4098" s="6" t="n"/>
      <c r="F4098" s="8" t="n"/>
    </row>
    <row r="4099">
      <c r="A4099" s="7" t="n"/>
      <c r="B4099" s="8" t="n"/>
      <c r="C4099" s="9">
        <f>IF(B4099="","",IFERROR(VLOOKUP(B4099,'Daftar Outlet'!$A$4:$B$22,2,FALSE),""))</f>
        <v/>
      </c>
      <c r="D4099" s="8" t="n"/>
      <c r="E4099" s="6" t="n"/>
      <c r="F4099" s="8" t="n"/>
    </row>
    <row r="4100">
      <c r="A4100" s="7" t="n"/>
      <c r="B4100" s="8" t="n"/>
      <c r="C4100" s="9">
        <f>IF(B4100="","",IFERROR(VLOOKUP(B4100,'Daftar Outlet'!$A$4:$B$22,2,FALSE),""))</f>
        <v/>
      </c>
      <c r="D4100" s="8" t="n"/>
      <c r="E4100" s="6" t="n"/>
      <c r="F4100" s="8" t="n"/>
    </row>
    <row r="4101">
      <c r="A4101" s="7" t="n"/>
      <c r="B4101" s="8" t="n"/>
      <c r="C4101" s="9">
        <f>IF(B4101="","",IFERROR(VLOOKUP(B4101,'Daftar Outlet'!$A$4:$B$22,2,FALSE),""))</f>
        <v/>
      </c>
      <c r="D4101" s="8" t="n"/>
      <c r="E4101" s="6" t="n"/>
      <c r="F4101" s="8" t="n"/>
    </row>
    <row r="4102">
      <c r="A4102" s="7" t="n"/>
      <c r="B4102" s="8" t="n"/>
      <c r="C4102" s="9">
        <f>IF(B4102="","",IFERROR(VLOOKUP(B4102,'Daftar Outlet'!$A$4:$B$22,2,FALSE),""))</f>
        <v/>
      </c>
      <c r="D4102" s="8" t="n"/>
      <c r="E4102" s="6" t="n"/>
      <c r="F4102" s="8" t="n"/>
    </row>
    <row r="4103">
      <c r="A4103" s="7" t="n"/>
      <c r="B4103" s="8" t="n"/>
      <c r="C4103" s="9">
        <f>IF(B4103="","",IFERROR(VLOOKUP(B4103,'Daftar Outlet'!$A$4:$B$22,2,FALSE),""))</f>
        <v/>
      </c>
      <c r="D4103" s="8" t="n"/>
      <c r="E4103" s="6" t="n"/>
      <c r="F4103" s="8" t="n"/>
    </row>
    <row r="4104">
      <c r="A4104" s="7" t="n"/>
      <c r="B4104" s="8" t="n"/>
      <c r="C4104" s="9">
        <f>IF(B4104="","",IFERROR(VLOOKUP(B4104,'Daftar Outlet'!$A$4:$B$22,2,FALSE),""))</f>
        <v/>
      </c>
      <c r="D4104" s="8" t="n"/>
      <c r="E4104" s="6" t="n"/>
      <c r="F4104" s="8" t="n"/>
    </row>
    <row r="4105">
      <c r="A4105" s="7" t="n"/>
      <c r="B4105" s="8" t="n"/>
      <c r="C4105" s="9">
        <f>IF(B4105="","",IFERROR(VLOOKUP(B4105,'Daftar Outlet'!$A$4:$B$22,2,FALSE),""))</f>
        <v/>
      </c>
      <c r="D4105" s="8" t="n"/>
      <c r="E4105" s="6" t="n"/>
      <c r="F4105" s="8" t="n"/>
    </row>
    <row r="4106">
      <c r="A4106" s="7" t="n"/>
      <c r="B4106" s="8" t="n"/>
      <c r="C4106" s="9">
        <f>IF(B4106="","",IFERROR(VLOOKUP(B4106,'Daftar Outlet'!$A$4:$B$22,2,FALSE),""))</f>
        <v/>
      </c>
      <c r="D4106" s="8" t="n"/>
      <c r="E4106" s="6" t="n"/>
      <c r="F4106" s="8" t="n"/>
    </row>
    <row r="4107">
      <c r="A4107" s="7" t="n"/>
      <c r="B4107" s="8" t="n"/>
      <c r="C4107" s="9">
        <f>IF(B4107="","",IFERROR(VLOOKUP(B4107,'Daftar Outlet'!$A$4:$B$22,2,FALSE),""))</f>
        <v/>
      </c>
      <c r="D4107" s="8" t="n"/>
      <c r="E4107" s="6" t="n"/>
      <c r="F4107" s="8" t="n"/>
    </row>
    <row r="4108">
      <c r="A4108" s="7" t="n"/>
      <c r="B4108" s="8" t="n"/>
      <c r="C4108" s="9">
        <f>IF(B4108="","",IFERROR(VLOOKUP(B4108,'Daftar Outlet'!$A$4:$B$22,2,FALSE),""))</f>
        <v/>
      </c>
      <c r="D4108" s="8" t="n"/>
      <c r="E4108" s="6" t="n"/>
      <c r="F4108" s="8" t="n"/>
    </row>
    <row r="4109">
      <c r="A4109" s="7" t="n"/>
      <c r="B4109" s="8" t="n"/>
      <c r="C4109" s="9">
        <f>IF(B4109="","",IFERROR(VLOOKUP(B4109,'Daftar Outlet'!$A$4:$B$22,2,FALSE),""))</f>
        <v/>
      </c>
      <c r="D4109" s="8" t="n"/>
      <c r="E4109" s="6" t="n"/>
      <c r="F4109" s="8" t="n"/>
    </row>
    <row r="4110">
      <c r="A4110" s="7" t="n"/>
      <c r="B4110" s="8" t="n"/>
      <c r="C4110" s="9">
        <f>IF(B4110="","",IFERROR(VLOOKUP(B4110,'Daftar Outlet'!$A$4:$B$22,2,FALSE),""))</f>
        <v/>
      </c>
      <c r="D4110" s="8" t="n"/>
      <c r="E4110" s="6" t="n"/>
      <c r="F4110" s="8" t="n"/>
    </row>
    <row r="4111">
      <c r="A4111" s="7" t="n"/>
      <c r="B4111" s="8" t="n"/>
      <c r="C4111" s="9">
        <f>IF(B4111="","",IFERROR(VLOOKUP(B4111,'Daftar Outlet'!$A$4:$B$22,2,FALSE),""))</f>
        <v/>
      </c>
      <c r="D4111" s="8" t="n"/>
      <c r="E4111" s="6" t="n"/>
      <c r="F4111" s="8" t="n"/>
    </row>
    <row r="4112">
      <c r="A4112" s="7" t="n"/>
      <c r="B4112" s="8" t="n"/>
      <c r="C4112" s="9">
        <f>IF(B4112="","",IFERROR(VLOOKUP(B4112,'Daftar Outlet'!$A$4:$B$22,2,FALSE),""))</f>
        <v/>
      </c>
      <c r="D4112" s="8" t="n"/>
      <c r="E4112" s="6" t="n"/>
      <c r="F4112" s="8" t="n"/>
    </row>
    <row r="4113">
      <c r="A4113" s="7" t="n"/>
      <c r="B4113" s="8" t="n"/>
      <c r="C4113" s="9">
        <f>IF(B4113="","",IFERROR(VLOOKUP(B4113,'Daftar Outlet'!$A$4:$B$22,2,FALSE),""))</f>
        <v/>
      </c>
      <c r="D4113" s="8" t="n"/>
      <c r="E4113" s="6" t="n"/>
      <c r="F4113" s="8" t="n"/>
    </row>
    <row r="4114">
      <c r="A4114" s="7" t="n"/>
      <c r="B4114" s="8" t="n"/>
      <c r="C4114" s="9">
        <f>IF(B4114="","",IFERROR(VLOOKUP(B4114,'Daftar Outlet'!$A$4:$B$22,2,FALSE),""))</f>
        <v/>
      </c>
      <c r="D4114" s="8" t="n"/>
      <c r="E4114" s="6" t="n"/>
      <c r="F4114" s="8" t="n"/>
    </row>
    <row r="4115">
      <c r="A4115" s="7" t="n"/>
      <c r="B4115" s="8" t="n"/>
      <c r="C4115" s="9">
        <f>IF(B4115="","",IFERROR(VLOOKUP(B4115,'Daftar Outlet'!$A$4:$B$22,2,FALSE),""))</f>
        <v/>
      </c>
      <c r="D4115" s="8" t="n"/>
      <c r="E4115" s="6" t="n"/>
      <c r="F4115" s="8" t="n"/>
    </row>
    <row r="4116">
      <c r="A4116" s="7" t="n"/>
      <c r="B4116" s="8" t="n"/>
      <c r="C4116" s="9">
        <f>IF(B4116="","",IFERROR(VLOOKUP(B4116,'Daftar Outlet'!$A$4:$B$22,2,FALSE),""))</f>
        <v/>
      </c>
      <c r="D4116" s="8" t="n"/>
      <c r="E4116" s="6" t="n"/>
      <c r="F4116" s="8" t="n"/>
    </row>
    <row r="4117">
      <c r="A4117" s="7" t="n"/>
      <c r="B4117" s="8" t="n"/>
      <c r="C4117" s="9">
        <f>IF(B4117="","",IFERROR(VLOOKUP(B4117,'Daftar Outlet'!$A$4:$B$22,2,FALSE),""))</f>
        <v/>
      </c>
      <c r="D4117" s="8" t="n"/>
      <c r="E4117" s="6" t="n"/>
      <c r="F4117" s="8" t="n"/>
    </row>
    <row r="4118">
      <c r="A4118" s="7" t="n"/>
      <c r="B4118" s="8" t="n"/>
      <c r="C4118" s="9">
        <f>IF(B4118="","",IFERROR(VLOOKUP(B4118,'Daftar Outlet'!$A$4:$B$22,2,FALSE),""))</f>
        <v/>
      </c>
      <c r="D4118" s="8" t="n"/>
      <c r="E4118" s="6" t="n"/>
      <c r="F4118" s="8" t="n"/>
    </row>
    <row r="4119">
      <c r="A4119" s="7" t="n"/>
      <c r="B4119" s="8" t="n"/>
      <c r="C4119" s="9">
        <f>IF(B4119="","",IFERROR(VLOOKUP(B4119,'Daftar Outlet'!$A$4:$B$22,2,FALSE),""))</f>
        <v/>
      </c>
      <c r="D4119" s="8" t="n"/>
      <c r="E4119" s="6" t="n"/>
      <c r="F4119" s="8" t="n"/>
    </row>
    <row r="4120">
      <c r="A4120" s="7" t="n"/>
      <c r="B4120" s="8" t="n"/>
      <c r="C4120" s="9">
        <f>IF(B4120="","",IFERROR(VLOOKUP(B4120,'Daftar Outlet'!$A$4:$B$22,2,FALSE),""))</f>
        <v/>
      </c>
      <c r="D4120" s="8" t="n"/>
      <c r="E4120" s="6" t="n"/>
      <c r="F4120" s="8" t="n"/>
    </row>
    <row r="4121">
      <c r="A4121" s="7" t="n"/>
      <c r="B4121" s="8" t="n"/>
      <c r="C4121" s="9">
        <f>IF(B4121="","",IFERROR(VLOOKUP(B4121,'Daftar Outlet'!$A$4:$B$22,2,FALSE),""))</f>
        <v/>
      </c>
      <c r="D4121" s="8" t="n"/>
      <c r="E4121" s="6" t="n"/>
      <c r="F4121" s="8" t="n"/>
    </row>
    <row r="4122">
      <c r="A4122" s="7" t="n"/>
      <c r="B4122" s="8" t="n"/>
      <c r="C4122" s="9">
        <f>IF(B4122="","",IFERROR(VLOOKUP(B4122,'Daftar Outlet'!$A$4:$B$22,2,FALSE),""))</f>
        <v/>
      </c>
      <c r="D4122" s="8" t="n"/>
      <c r="E4122" s="6" t="n"/>
      <c r="F4122" s="8" t="n"/>
    </row>
    <row r="4123">
      <c r="A4123" s="7" t="n"/>
      <c r="B4123" s="8" t="n"/>
      <c r="C4123" s="9">
        <f>IF(B4123="","",IFERROR(VLOOKUP(B4123,'Daftar Outlet'!$A$4:$B$22,2,FALSE),""))</f>
        <v/>
      </c>
      <c r="D4123" s="8" t="n"/>
      <c r="E4123" s="6" t="n"/>
      <c r="F4123" s="8" t="n"/>
    </row>
    <row r="4124">
      <c r="A4124" s="7" t="n"/>
      <c r="B4124" s="8" t="n"/>
      <c r="C4124" s="9">
        <f>IF(B4124="","",IFERROR(VLOOKUP(B4124,'Daftar Outlet'!$A$4:$B$22,2,FALSE),""))</f>
        <v/>
      </c>
      <c r="D4124" s="8" t="n"/>
      <c r="E4124" s="6" t="n"/>
      <c r="F4124" s="8" t="n"/>
    </row>
    <row r="4125">
      <c r="A4125" s="7" t="n"/>
      <c r="B4125" s="8" t="n"/>
      <c r="C4125" s="9">
        <f>IF(B4125="","",IFERROR(VLOOKUP(B4125,'Daftar Outlet'!$A$4:$B$22,2,FALSE),""))</f>
        <v/>
      </c>
      <c r="D4125" s="8" t="n"/>
      <c r="E4125" s="6" t="n"/>
      <c r="F4125" s="8" t="n"/>
    </row>
    <row r="4126">
      <c r="A4126" s="7" t="n"/>
      <c r="B4126" s="8" t="n"/>
      <c r="C4126" s="9">
        <f>IF(B4126="","",IFERROR(VLOOKUP(B4126,'Daftar Outlet'!$A$4:$B$22,2,FALSE),""))</f>
        <v/>
      </c>
      <c r="D4126" s="8" t="n"/>
      <c r="E4126" s="6" t="n"/>
      <c r="F4126" s="8" t="n"/>
    </row>
    <row r="4127">
      <c r="A4127" s="7" t="n"/>
      <c r="B4127" s="8" t="n"/>
      <c r="C4127" s="9">
        <f>IF(B4127="","",IFERROR(VLOOKUP(B4127,'Daftar Outlet'!$A$4:$B$22,2,FALSE),""))</f>
        <v/>
      </c>
      <c r="D4127" s="8" t="n"/>
      <c r="E4127" s="6" t="n"/>
      <c r="F4127" s="8" t="n"/>
    </row>
    <row r="4128">
      <c r="A4128" s="7" t="n"/>
      <c r="B4128" s="8" t="n"/>
      <c r="C4128" s="9">
        <f>IF(B4128="","",IFERROR(VLOOKUP(B4128,'Daftar Outlet'!$A$4:$B$22,2,FALSE),""))</f>
        <v/>
      </c>
      <c r="D4128" s="8" t="n"/>
      <c r="E4128" s="6" t="n"/>
      <c r="F4128" s="8" t="n"/>
    </row>
    <row r="4129">
      <c r="A4129" s="7" t="n"/>
      <c r="B4129" s="8" t="n"/>
      <c r="C4129" s="9">
        <f>IF(B4129="","",IFERROR(VLOOKUP(B4129,'Daftar Outlet'!$A$4:$B$22,2,FALSE),""))</f>
        <v/>
      </c>
      <c r="D4129" s="8" t="n"/>
      <c r="E4129" s="6" t="n"/>
      <c r="F4129" s="8" t="n"/>
    </row>
    <row r="4130">
      <c r="A4130" s="7" t="n"/>
      <c r="B4130" s="8" t="n"/>
      <c r="C4130" s="9">
        <f>IF(B4130="","",IFERROR(VLOOKUP(B4130,'Daftar Outlet'!$A$4:$B$22,2,FALSE),""))</f>
        <v/>
      </c>
      <c r="D4130" s="8" t="n"/>
      <c r="E4130" s="6" t="n"/>
      <c r="F4130" s="8" t="n"/>
    </row>
    <row r="4131">
      <c r="A4131" s="7" t="n"/>
      <c r="B4131" s="8" t="n"/>
      <c r="C4131" s="9">
        <f>IF(B4131="","",IFERROR(VLOOKUP(B4131,'Daftar Outlet'!$A$4:$B$22,2,FALSE),""))</f>
        <v/>
      </c>
      <c r="D4131" s="8" t="n"/>
      <c r="E4131" s="6" t="n"/>
      <c r="F4131" s="8" t="n"/>
    </row>
    <row r="4132">
      <c r="A4132" s="7" t="n"/>
      <c r="B4132" s="8" t="n"/>
      <c r="C4132" s="9">
        <f>IF(B4132="","",IFERROR(VLOOKUP(B4132,'Daftar Outlet'!$A$4:$B$22,2,FALSE),""))</f>
        <v/>
      </c>
      <c r="D4132" s="8" t="n"/>
      <c r="E4132" s="6" t="n"/>
      <c r="F4132" s="8" t="n"/>
    </row>
    <row r="4133">
      <c r="A4133" s="7" t="n"/>
      <c r="B4133" s="8" t="n"/>
      <c r="C4133" s="9">
        <f>IF(B4133="","",IFERROR(VLOOKUP(B4133,'Daftar Outlet'!$A$4:$B$22,2,FALSE),""))</f>
        <v/>
      </c>
      <c r="D4133" s="8" t="n"/>
      <c r="E4133" s="6" t="n"/>
      <c r="F4133" s="8" t="n"/>
    </row>
    <row r="4134">
      <c r="A4134" s="7" t="n"/>
      <c r="B4134" s="8" t="n"/>
      <c r="C4134" s="9">
        <f>IF(B4134="","",IFERROR(VLOOKUP(B4134,'Daftar Outlet'!$A$4:$B$22,2,FALSE),""))</f>
        <v/>
      </c>
      <c r="D4134" s="8" t="n"/>
      <c r="E4134" s="6" t="n"/>
      <c r="F4134" s="8" t="n"/>
    </row>
    <row r="4135">
      <c r="A4135" s="7" t="n"/>
      <c r="B4135" s="8" t="n"/>
      <c r="C4135" s="9">
        <f>IF(B4135="","",IFERROR(VLOOKUP(B4135,'Daftar Outlet'!$A$4:$B$22,2,FALSE),""))</f>
        <v/>
      </c>
      <c r="D4135" s="8" t="n"/>
      <c r="E4135" s="6" t="n"/>
      <c r="F4135" s="8" t="n"/>
    </row>
    <row r="4136">
      <c r="A4136" s="7" t="n"/>
      <c r="B4136" s="8" t="n"/>
      <c r="C4136" s="9">
        <f>IF(B4136="","",IFERROR(VLOOKUP(B4136,'Daftar Outlet'!$A$4:$B$22,2,FALSE),""))</f>
        <v/>
      </c>
      <c r="D4136" s="8" t="n"/>
      <c r="E4136" s="6" t="n"/>
      <c r="F4136" s="8" t="n"/>
    </row>
    <row r="4137">
      <c r="A4137" s="7" t="n"/>
      <c r="B4137" s="8" t="n"/>
      <c r="C4137" s="9">
        <f>IF(B4137="","",IFERROR(VLOOKUP(B4137,'Daftar Outlet'!$A$4:$B$22,2,FALSE),""))</f>
        <v/>
      </c>
      <c r="D4137" s="8" t="n"/>
      <c r="E4137" s="6" t="n"/>
      <c r="F4137" s="8" t="n"/>
    </row>
    <row r="4138">
      <c r="A4138" s="7" t="n"/>
      <c r="B4138" s="8" t="n"/>
      <c r="C4138" s="9">
        <f>IF(B4138="","",IFERROR(VLOOKUP(B4138,'Daftar Outlet'!$A$4:$B$22,2,FALSE),""))</f>
        <v/>
      </c>
      <c r="D4138" s="8" t="n"/>
      <c r="E4138" s="6" t="n"/>
      <c r="F4138" s="8" t="n"/>
    </row>
    <row r="4139">
      <c r="A4139" s="7" t="n"/>
      <c r="B4139" s="8" t="n"/>
      <c r="C4139" s="9">
        <f>IF(B4139="","",IFERROR(VLOOKUP(B4139,'Daftar Outlet'!$A$4:$B$22,2,FALSE),""))</f>
        <v/>
      </c>
      <c r="D4139" s="8" t="n"/>
      <c r="E4139" s="6" t="n"/>
      <c r="F4139" s="8" t="n"/>
    </row>
    <row r="4140">
      <c r="A4140" s="7" t="n"/>
      <c r="B4140" s="8" t="n"/>
      <c r="C4140" s="9">
        <f>IF(B4140="","",IFERROR(VLOOKUP(B4140,'Daftar Outlet'!$A$4:$B$22,2,FALSE),""))</f>
        <v/>
      </c>
      <c r="D4140" s="8" t="n"/>
      <c r="E4140" s="6" t="n"/>
      <c r="F4140" s="8" t="n"/>
    </row>
    <row r="4141">
      <c r="A4141" s="7" t="n"/>
      <c r="B4141" s="8" t="n"/>
      <c r="C4141" s="9">
        <f>IF(B4141="","",IFERROR(VLOOKUP(B4141,'Daftar Outlet'!$A$4:$B$22,2,FALSE),""))</f>
        <v/>
      </c>
      <c r="D4141" s="8" t="n"/>
      <c r="E4141" s="6" t="n"/>
      <c r="F4141" s="8" t="n"/>
    </row>
    <row r="4142">
      <c r="A4142" s="7" t="n"/>
      <c r="B4142" s="8" t="n"/>
      <c r="C4142" s="9">
        <f>IF(B4142="","",IFERROR(VLOOKUP(B4142,'Daftar Outlet'!$A$4:$B$22,2,FALSE),""))</f>
        <v/>
      </c>
      <c r="D4142" s="8" t="n"/>
      <c r="E4142" s="6" t="n"/>
      <c r="F4142" s="8" t="n"/>
    </row>
    <row r="4143">
      <c r="A4143" s="7" t="n"/>
      <c r="B4143" s="8" t="n"/>
      <c r="C4143" s="9">
        <f>IF(B4143="","",IFERROR(VLOOKUP(B4143,'Daftar Outlet'!$A$4:$B$22,2,FALSE),""))</f>
        <v/>
      </c>
      <c r="D4143" s="8" t="n"/>
      <c r="E4143" s="6" t="n"/>
      <c r="F4143" s="8" t="n"/>
    </row>
    <row r="4144">
      <c r="A4144" s="7" t="n"/>
      <c r="B4144" s="8" t="n"/>
      <c r="C4144" s="9">
        <f>IF(B4144="","",IFERROR(VLOOKUP(B4144,'Daftar Outlet'!$A$4:$B$22,2,FALSE),""))</f>
        <v/>
      </c>
      <c r="D4144" s="8" t="n"/>
      <c r="E4144" s="6" t="n"/>
      <c r="F4144" s="8" t="n"/>
    </row>
    <row r="4145">
      <c r="A4145" s="7" t="n"/>
      <c r="B4145" s="8" t="n"/>
      <c r="C4145" s="9">
        <f>IF(B4145="","",IFERROR(VLOOKUP(B4145,'Daftar Outlet'!$A$4:$B$22,2,FALSE),""))</f>
        <v/>
      </c>
      <c r="D4145" s="8" t="n"/>
      <c r="E4145" s="6" t="n"/>
      <c r="F4145" s="8" t="n"/>
    </row>
    <row r="4146">
      <c r="A4146" s="7" t="n"/>
      <c r="B4146" s="8" t="n"/>
      <c r="C4146" s="9">
        <f>IF(B4146="","",IFERROR(VLOOKUP(B4146,'Daftar Outlet'!$A$4:$B$22,2,FALSE),""))</f>
        <v/>
      </c>
      <c r="D4146" s="8" t="n"/>
      <c r="E4146" s="6" t="n"/>
      <c r="F4146" s="8" t="n"/>
    </row>
    <row r="4147">
      <c r="A4147" s="7" t="n"/>
      <c r="B4147" s="8" t="n"/>
      <c r="C4147" s="9">
        <f>IF(B4147="","",IFERROR(VLOOKUP(B4147,'Daftar Outlet'!$A$4:$B$22,2,FALSE),""))</f>
        <v/>
      </c>
      <c r="D4147" s="8" t="n"/>
      <c r="E4147" s="6" t="n"/>
      <c r="F4147" s="8" t="n"/>
    </row>
    <row r="4148">
      <c r="A4148" s="7" t="n"/>
      <c r="B4148" s="8" t="n"/>
      <c r="C4148" s="9">
        <f>IF(B4148="","",IFERROR(VLOOKUP(B4148,'Daftar Outlet'!$A$4:$B$22,2,FALSE),""))</f>
        <v/>
      </c>
      <c r="D4148" s="8" t="n"/>
      <c r="E4148" s="6" t="n"/>
      <c r="F4148" s="8" t="n"/>
    </row>
    <row r="4149">
      <c r="A4149" s="7" t="n"/>
      <c r="B4149" s="8" t="n"/>
      <c r="C4149" s="9">
        <f>IF(B4149="","",IFERROR(VLOOKUP(B4149,'Daftar Outlet'!$A$4:$B$22,2,FALSE),""))</f>
        <v/>
      </c>
      <c r="D4149" s="8" t="n"/>
      <c r="E4149" s="6" t="n"/>
      <c r="F4149" s="8" t="n"/>
    </row>
    <row r="4150">
      <c r="A4150" s="7" t="n"/>
      <c r="B4150" s="8" t="n"/>
      <c r="C4150" s="9">
        <f>IF(B4150="","",IFERROR(VLOOKUP(B4150,'Daftar Outlet'!$A$4:$B$22,2,FALSE),""))</f>
        <v/>
      </c>
      <c r="D4150" s="8" t="n"/>
      <c r="E4150" s="6" t="n"/>
      <c r="F4150" s="8" t="n"/>
    </row>
    <row r="4151">
      <c r="A4151" s="7" t="n"/>
      <c r="B4151" s="8" t="n"/>
      <c r="C4151" s="9">
        <f>IF(B4151="","",IFERROR(VLOOKUP(B4151,'Daftar Outlet'!$A$4:$B$22,2,FALSE),""))</f>
        <v/>
      </c>
      <c r="D4151" s="8" t="n"/>
      <c r="E4151" s="6" t="n"/>
      <c r="F4151" s="8" t="n"/>
    </row>
    <row r="4152">
      <c r="A4152" s="7" t="n"/>
      <c r="B4152" s="8" t="n"/>
      <c r="C4152" s="9">
        <f>IF(B4152="","",IFERROR(VLOOKUP(B4152,'Daftar Outlet'!$A$4:$B$22,2,FALSE),""))</f>
        <v/>
      </c>
      <c r="D4152" s="8" t="n"/>
      <c r="E4152" s="6" t="n"/>
      <c r="F4152" s="8" t="n"/>
    </row>
    <row r="4153">
      <c r="A4153" s="7" t="n"/>
      <c r="B4153" s="8" t="n"/>
      <c r="C4153" s="9">
        <f>IF(B4153="","",IFERROR(VLOOKUP(B4153,'Daftar Outlet'!$A$4:$B$22,2,FALSE),""))</f>
        <v/>
      </c>
      <c r="D4153" s="8" t="n"/>
      <c r="E4153" s="6" t="n"/>
      <c r="F4153" s="8" t="n"/>
    </row>
    <row r="4154">
      <c r="A4154" s="7" t="n"/>
      <c r="B4154" s="8" t="n"/>
      <c r="C4154" s="9">
        <f>IF(B4154="","",IFERROR(VLOOKUP(B4154,'Daftar Outlet'!$A$4:$B$22,2,FALSE),""))</f>
        <v/>
      </c>
      <c r="D4154" s="8" t="n"/>
      <c r="E4154" s="6" t="n"/>
      <c r="F4154" s="8" t="n"/>
    </row>
    <row r="4155">
      <c r="A4155" s="7" t="n"/>
      <c r="B4155" s="8" t="n"/>
      <c r="C4155" s="9">
        <f>IF(B4155="","",IFERROR(VLOOKUP(B4155,'Daftar Outlet'!$A$4:$B$22,2,FALSE),""))</f>
        <v/>
      </c>
      <c r="D4155" s="8" t="n"/>
      <c r="E4155" s="6" t="n"/>
      <c r="F4155" s="8" t="n"/>
    </row>
    <row r="4156">
      <c r="A4156" s="7" t="n"/>
      <c r="B4156" s="8" t="n"/>
      <c r="C4156" s="9">
        <f>IF(B4156="","",IFERROR(VLOOKUP(B4156,'Daftar Outlet'!$A$4:$B$22,2,FALSE),""))</f>
        <v/>
      </c>
      <c r="D4156" s="8" t="n"/>
      <c r="E4156" s="6" t="n"/>
      <c r="F4156" s="8" t="n"/>
    </row>
    <row r="4157">
      <c r="A4157" s="7" t="n"/>
      <c r="B4157" s="8" t="n"/>
      <c r="C4157" s="9">
        <f>IF(B4157="","",IFERROR(VLOOKUP(B4157,'Daftar Outlet'!$A$4:$B$22,2,FALSE),""))</f>
        <v/>
      </c>
      <c r="D4157" s="8" t="n"/>
      <c r="E4157" s="6" t="n"/>
      <c r="F4157" s="8" t="n"/>
    </row>
    <row r="4158">
      <c r="A4158" s="7" t="n"/>
      <c r="B4158" s="8" t="n"/>
      <c r="C4158" s="9">
        <f>IF(B4158="","",IFERROR(VLOOKUP(B4158,'Daftar Outlet'!$A$4:$B$22,2,FALSE),""))</f>
        <v/>
      </c>
      <c r="D4158" s="8" t="n"/>
      <c r="E4158" s="6" t="n"/>
      <c r="F4158" s="8" t="n"/>
    </row>
    <row r="4159">
      <c r="A4159" s="7" t="n"/>
      <c r="B4159" s="8" t="n"/>
      <c r="C4159" s="9">
        <f>IF(B4159="","",IFERROR(VLOOKUP(B4159,'Daftar Outlet'!$A$4:$B$22,2,FALSE),""))</f>
        <v/>
      </c>
      <c r="D4159" s="8" t="n"/>
      <c r="E4159" s="6" t="n"/>
      <c r="F4159" s="8" t="n"/>
    </row>
    <row r="4160">
      <c r="A4160" s="7" t="n"/>
      <c r="B4160" s="8" t="n"/>
      <c r="C4160" s="9">
        <f>IF(B4160="","",IFERROR(VLOOKUP(B4160,'Daftar Outlet'!$A$4:$B$22,2,FALSE),""))</f>
        <v/>
      </c>
      <c r="D4160" s="8" t="n"/>
      <c r="E4160" s="6" t="n"/>
      <c r="F4160" s="8" t="n"/>
    </row>
    <row r="4161">
      <c r="A4161" s="7" t="n"/>
      <c r="B4161" s="8" t="n"/>
      <c r="C4161" s="9">
        <f>IF(B4161="","",IFERROR(VLOOKUP(B4161,'Daftar Outlet'!$A$4:$B$22,2,FALSE),""))</f>
        <v/>
      </c>
      <c r="D4161" s="8" t="n"/>
      <c r="E4161" s="6" t="n"/>
      <c r="F4161" s="8" t="n"/>
    </row>
    <row r="4162">
      <c r="A4162" s="7" t="n"/>
      <c r="B4162" s="8" t="n"/>
      <c r="C4162" s="9">
        <f>IF(B4162="","",IFERROR(VLOOKUP(B4162,'Daftar Outlet'!$A$4:$B$22,2,FALSE),""))</f>
        <v/>
      </c>
      <c r="D4162" s="8" t="n"/>
      <c r="E4162" s="6" t="n"/>
      <c r="F4162" s="8" t="n"/>
    </row>
    <row r="4163">
      <c r="A4163" s="7" t="n"/>
      <c r="B4163" s="8" t="n"/>
      <c r="C4163" s="9">
        <f>IF(B4163="","",IFERROR(VLOOKUP(B4163,'Daftar Outlet'!$A$4:$B$22,2,FALSE),""))</f>
        <v/>
      </c>
      <c r="D4163" s="8" t="n"/>
      <c r="E4163" s="6" t="n"/>
      <c r="F4163" s="8" t="n"/>
    </row>
    <row r="4164">
      <c r="A4164" s="7" t="n"/>
      <c r="B4164" s="8" t="n"/>
      <c r="C4164" s="9">
        <f>IF(B4164="","",IFERROR(VLOOKUP(B4164,'Daftar Outlet'!$A$4:$B$22,2,FALSE),""))</f>
        <v/>
      </c>
      <c r="D4164" s="8" t="n"/>
      <c r="E4164" s="6" t="n"/>
      <c r="F4164" s="8" t="n"/>
    </row>
    <row r="4165">
      <c r="A4165" s="7" t="n"/>
      <c r="B4165" s="8" t="n"/>
      <c r="C4165" s="9">
        <f>IF(B4165="","",IFERROR(VLOOKUP(B4165,'Daftar Outlet'!$A$4:$B$22,2,FALSE),""))</f>
        <v/>
      </c>
      <c r="D4165" s="8" t="n"/>
      <c r="E4165" s="6" t="n"/>
      <c r="F4165" s="8" t="n"/>
    </row>
    <row r="4166">
      <c r="A4166" s="7" t="n"/>
      <c r="B4166" s="8" t="n"/>
      <c r="C4166" s="9">
        <f>IF(B4166="","",IFERROR(VLOOKUP(B4166,'Daftar Outlet'!$A$4:$B$22,2,FALSE),""))</f>
        <v/>
      </c>
      <c r="D4166" s="8" t="n"/>
      <c r="E4166" s="6" t="n"/>
      <c r="F4166" s="8" t="n"/>
    </row>
    <row r="4167">
      <c r="A4167" s="7" t="n"/>
      <c r="B4167" s="8" t="n"/>
      <c r="C4167" s="9">
        <f>IF(B4167="","",IFERROR(VLOOKUP(B4167,'Daftar Outlet'!$A$4:$B$22,2,FALSE),""))</f>
        <v/>
      </c>
      <c r="D4167" s="8" t="n"/>
      <c r="E4167" s="6" t="n"/>
      <c r="F4167" s="8" t="n"/>
    </row>
    <row r="4168">
      <c r="A4168" s="7" t="n"/>
      <c r="B4168" s="8" t="n"/>
      <c r="C4168" s="9">
        <f>IF(B4168="","",IFERROR(VLOOKUP(B4168,'Daftar Outlet'!$A$4:$B$22,2,FALSE),""))</f>
        <v/>
      </c>
      <c r="D4168" s="8" t="n"/>
      <c r="E4168" s="6" t="n"/>
      <c r="F4168" s="8" t="n"/>
    </row>
    <row r="4169">
      <c r="A4169" s="7" t="n"/>
      <c r="B4169" s="8" t="n"/>
      <c r="C4169" s="9">
        <f>IF(B4169="","",IFERROR(VLOOKUP(B4169,'Daftar Outlet'!$A$4:$B$22,2,FALSE),""))</f>
        <v/>
      </c>
      <c r="D4169" s="8" t="n"/>
      <c r="E4169" s="6" t="n"/>
      <c r="F4169" s="8" t="n"/>
    </row>
    <row r="4170">
      <c r="A4170" s="7" t="n"/>
      <c r="B4170" s="8" t="n"/>
      <c r="C4170" s="9">
        <f>IF(B4170="","",IFERROR(VLOOKUP(B4170,'Daftar Outlet'!$A$4:$B$22,2,FALSE),""))</f>
        <v/>
      </c>
      <c r="D4170" s="8" t="n"/>
      <c r="E4170" s="6" t="n"/>
      <c r="F4170" s="8" t="n"/>
    </row>
    <row r="4171">
      <c r="A4171" s="7" t="n"/>
      <c r="B4171" s="8" t="n"/>
      <c r="C4171" s="9">
        <f>IF(B4171="","",IFERROR(VLOOKUP(B4171,'Daftar Outlet'!$A$4:$B$22,2,FALSE),""))</f>
        <v/>
      </c>
      <c r="D4171" s="8" t="n"/>
      <c r="E4171" s="6" t="n"/>
      <c r="F4171" s="8" t="n"/>
    </row>
    <row r="4172">
      <c r="A4172" s="7" t="n"/>
      <c r="B4172" s="8" t="n"/>
      <c r="C4172" s="9">
        <f>IF(B4172="","",IFERROR(VLOOKUP(B4172,'Daftar Outlet'!$A$4:$B$22,2,FALSE),""))</f>
        <v/>
      </c>
      <c r="D4172" s="8" t="n"/>
      <c r="E4172" s="6" t="n"/>
      <c r="F4172" s="8" t="n"/>
    </row>
    <row r="4173">
      <c r="A4173" s="7" t="n"/>
      <c r="B4173" s="8" t="n"/>
      <c r="C4173" s="9">
        <f>IF(B4173="","",IFERROR(VLOOKUP(B4173,'Daftar Outlet'!$A$4:$B$22,2,FALSE),""))</f>
        <v/>
      </c>
      <c r="D4173" s="8" t="n"/>
      <c r="E4173" s="6" t="n"/>
      <c r="F4173" s="8" t="n"/>
    </row>
    <row r="4174">
      <c r="A4174" s="7" t="n"/>
      <c r="B4174" s="8" t="n"/>
      <c r="C4174" s="9">
        <f>IF(B4174="","",IFERROR(VLOOKUP(B4174,'Daftar Outlet'!$A$4:$B$22,2,FALSE),""))</f>
        <v/>
      </c>
      <c r="D4174" s="8" t="n"/>
      <c r="E4174" s="6" t="n"/>
      <c r="F4174" s="8" t="n"/>
    </row>
    <row r="4175">
      <c r="A4175" s="7" t="n"/>
      <c r="B4175" s="8" t="n"/>
      <c r="C4175" s="9">
        <f>IF(B4175="","",IFERROR(VLOOKUP(B4175,'Daftar Outlet'!$A$4:$B$22,2,FALSE),""))</f>
        <v/>
      </c>
      <c r="D4175" s="8" t="n"/>
      <c r="E4175" s="6" t="n"/>
      <c r="F4175" s="8" t="n"/>
    </row>
    <row r="4176">
      <c r="A4176" s="7" t="n"/>
      <c r="B4176" s="8" t="n"/>
      <c r="C4176" s="9">
        <f>IF(B4176="","",IFERROR(VLOOKUP(B4176,'Daftar Outlet'!$A$4:$B$22,2,FALSE),""))</f>
        <v/>
      </c>
      <c r="D4176" s="8" t="n"/>
      <c r="E4176" s="6" t="n"/>
      <c r="F4176" s="8" t="n"/>
    </row>
    <row r="4177">
      <c r="A4177" s="7" t="n"/>
      <c r="B4177" s="8" t="n"/>
      <c r="C4177" s="9">
        <f>IF(B4177="","",IFERROR(VLOOKUP(B4177,'Daftar Outlet'!$A$4:$B$22,2,FALSE),""))</f>
        <v/>
      </c>
      <c r="D4177" s="8" t="n"/>
      <c r="E4177" s="6" t="n"/>
      <c r="F4177" s="8" t="n"/>
    </row>
    <row r="4178">
      <c r="A4178" s="7" t="n"/>
      <c r="B4178" s="8" t="n"/>
      <c r="C4178" s="9">
        <f>IF(B4178="","",IFERROR(VLOOKUP(B4178,'Daftar Outlet'!$A$4:$B$22,2,FALSE),""))</f>
        <v/>
      </c>
      <c r="D4178" s="8" t="n"/>
      <c r="E4178" s="6" t="n"/>
      <c r="F4178" s="8" t="n"/>
    </row>
    <row r="4179">
      <c r="A4179" s="7" t="n"/>
      <c r="B4179" s="8" t="n"/>
      <c r="C4179" s="9">
        <f>IF(B4179="","",IFERROR(VLOOKUP(B4179,'Daftar Outlet'!$A$4:$B$22,2,FALSE),""))</f>
        <v/>
      </c>
      <c r="D4179" s="8" t="n"/>
      <c r="E4179" s="6" t="n"/>
      <c r="F4179" s="8" t="n"/>
    </row>
    <row r="4180">
      <c r="A4180" s="7" t="n"/>
      <c r="B4180" s="8" t="n"/>
      <c r="C4180" s="9">
        <f>IF(B4180="","",IFERROR(VLOOKUP(B4180,'Daftar Outlet'!$A$4:$B$22,2,FALSE),""))</f>
        <v/>
      </c>
      <c r="D4180" s="8" t="n"/>
      <c r="E4180" s="6" t="n"/>
      <c r="F4180" s="8" t="n"/>
    </row>
    <row r="4181">
      <c r="A4181" s="7" t="n"/>
      <c r="B4181" s="8" t="n"/>
      <c r="C4181" s="9">
        <f>IF(B4181="","",IFERROR(VLOOKUP(B4181,'Daftar Outlet'!$A$4:$B$22,2,FALSE),""))</f>
        <v/>
      </c>
      <c r="D4181" s="8" t="n"/>
      <c r="E4181" s="6" t="n"/>
      <c r="F4181" s="8" t="n"/>
    </row>
    <row r="4182">
      <c r="A4182" s="7" t="n"/>
      <c r="B4182" s="8" t="n"/>
      <c r="C4182" s="9">
        <f>IF(B4182="","",IFERROR(VLOOKUP(B4182,'Daftar Outlet'!$A$4:$B$22,2,FALSE),""))</f>
        <v/>
      </c>
      <c r="D4182" s="8" t="n"/>
      <c r="E4182" s="6" t="n"/>
      <c r="F4182" s="8" t="n"/>
    </row>
    <row r="4183">
      <c r="A4183" s="7" t="n"/>
      <c r="B4183" s="8" t="n"/>
      <c r="C4183" s="9">
        <f>IF(B4183="","",IFERROR(VLOOKUP(B4183,'Daftar Outlet'!$A$4:$B$22,2,FALSE),""))</f>
        <v/>
      </c>
      <c r="D4183" s="8" t="n"/>
      <c r="E4183" s="6" t="n"/>
      <c r="F4183" s="8" t="n"/>
    </row>
    <row r="4184">
      <c r="A4184" s="7" t="n"/>
      <c r="B4184" s="8" t="n"/>
      <c r="C4184" s="9">
        <f>IF(B4184="","",IFERROR(VLOOKUP(B4184,'Daftar Outlet'!$A$4:$B$22,2,FALSE),""))</f>
        <v/>
      </c>
      <c r="D4184" s="8" t="n"/>
      <c r="E4184" s="6" t="n"/>
      <c r="F4184" s="8" t="n"/>
    </row>
    <row r="4185">
      <c r="A4185" s="7" t="n"/>
      <c r="B4185" s="8" t="n"/>
      <c r="C4185" s="9">
        <f>IF(B4185="","",IFERROR(VLOOKUP(B4185,'Daftar Outlet'!$A$4:$B$22,2,FALSE),""))</f>
        <v/>
      </c>
      <c r="D4185" s="8" t="n"/>
      <c r="E4185" s="6" t="n"/>
      <c r="F4185" s="8" t="n"/>
    </row>
    <row r="4186">
      <c r="A4186" s="7" t="n"/>
      <c r="B4186" s="8" t="n"/>
      <c r="C4186" s="9">
        <f>IF(B4186="","",IFERROR(VLOOKUP(B4186,'Daftar Outlet'!$A$4:$B$22,2,FALSE),""))</f>
        <v/>
      </c>
      <c r="D4186" s="8" t="n"/>
      <c r="E4186" s="6" t="n"/>
      <c r="F4186" s="8" t="n"/>
    </row>
    <row r="4187">
      <c r="A4187" s="7" t="n"/>
      <c r="B4187" s="8" t="n"/>
      <c r="C4187" s="9">
        <f>IF(B4187="","",IFERROR(VLOOKUP(B4187,'Daftar Outlet'!$A$4:$B$22,2,FALSE),""))</f>
        <v/>
      </c>
      <c r="D4187" s="8" t="n"/>
      <c r="E4187" s="6" t="n"/>
      <c r="F4187" s="8" t="n"/>
    </row>
    <row r="4188">
      <c r="A4188" s="7" t="n"/>
      <c r="B4188" s="8" t="n"/>
      <c r="C4188" s="9">
        <f>IF(B4188="","",IFERROR(VLOOKUP(B4188,'Daftar Outlet'!$A$4:$B$22,2,FALSE),""))</f>
        <v/>
      </c>
      <c r="D4188" s="8" t="n"/>
      <c r="E4188" s="6" t="n"/>
      <c r="F4188" s="8" t="n"/>
    </row>
    <row r="4189">
      <c r="A4189" s="7" t="n"/>
      <c r="B4189" s="8" t="n"/>
      <c r="C4189" s="9">
        <f>IF(B4189="","",IFERROR(VLOOKUP(B4189,'Daftar Outlet'!$A$4:$B$22,2,FALSE),""))</f>
        <v/>
      </c>
      <c r="D4189" s="8" t="n"/>
      <c r="E4189" s="6" t="n"/>
      <c r="F4189" s="8" t="n"/>
    </row>
    <row r="4190">
      <c r="A4190" s="7" t="n"/>
      <c r="B4190" s="8" t="n"/>
      <c r="C4190" s="9">
        <f>IF(B4190="","",IFERROR(VLOOKUP(B4190,'Daftar Outlet'!$A$4:$B$22,2,FALSE),""))</f>
        <v/>
      </c>
      <c r="D4190" s="8" t="n"/>
      <c r="E4190" s="6" t="n"/>
      <c r="F4190" s="8" t="n"/>
    </row>
    <row r="4191">
      <c r="A4191" s="7" t="n"/>
      <c r="B4191" s="8" t="n"/>
      <c r="C4191" s="9">
        <f>IF(B4191="","",IFERROR(VLOOKUP(B4191,'Daftar Outlet'!$A$4:$B$22,2,FALSE),""))</f>
        <v/>
      </c>
      <c r="D4191" s="8" t="n"/>
      <c r="E4191" s="6" t="n"/>
      <c r="F4191" s="8" t="n"/>
    </row>
    <row r="4192">
      <c r="A4192" s="7" t="n"/>
      <c r="B4192" s="8" t="n"/>
      <c r="C4192" s="9">
        <f>IF(B4192="","",IFERROR(VLOOKUP(B4192,'Daftar Outlet'!$A$4:$B$22,2,FALSE),""))</f>
        <v/>
      </c>
      <c r="D4192" s="8" t="n"/>
      <c r="E4192" s="6" t="n"/>
      <c r="F4192" s="8" t="n"/>
    </row>
    <row r="4193">
      <c r="A4193" s="7" t="n"/>
      <c r="B4193" s="8" t="n"/>
      <c r="C4193" s="9">
        <f>IF(B4193="","",IFERROR(VLOOKUP(B4193,'Daftar Outlet'!$A$4:$B$22,2,FALSE),""))</f>
        <v/>
      </c>
      <c r="D4193" s="8" t="n"/>
      <c r="E4193" s="6" t="n"/>
      <c r="F4193" s="8" t="n"/>
    </row>
    <row r="4194">
      <c r="A4194" s="7" t="n"/>
      <c r="B4194" s="8" t="n"/>
      <c r="C4194" s="9">
        <f>IF(B4194="","",IFERROR(VLOOKUP(B4194,'Daftar Outlet'!$A$4:$B$22,2,FALSE),""))</f>
        <v/>
      </c>
      <c r="D4194" s="8" t="n"/>
      <c r="E4194" s="6" t="n"/>
      <c r="F4194" s="8" t="n"/>
    </row>
    <row r="4195">
      <c r="A4195" s="7" t="n"/>
      <c r="B4195" s="8" t="n"/>
      <c r="C4195" s="9">
        <f>IF(B4195="","",IFERROR(VLOOKUP(B4195,'Daftar Outlet'!$A$4:$B$22,2,FALSE),""))</f>
        <v/>
      </c>
      <c r="D4195" s="8" t="n"/>
      <c r="E4195" s="6" t="n"/>
      <c r="F4195" s="8" t="n"/>
    </row>
    <row r="4196">
      <c r="A4196" s="7" t="n"/>
      <c r="B4196" s="8" t="n"/>
      <c r="C4196" s="9">
        <f>IF(B4196="","",IFERROR(VLOOKUP(B4196,'Daftar Outlet'!$A$4:$B$22,2,FALSE),""))</f>
        <v/>
      </c>
      <c r="D4196" s="8" t="n"/>
      <c r="E4196" s="6" t="n"/>
      <c r="F4196" s="8" t="n"/>
    </row>
    <row r="4197">
      <c r="A4197" s="7" t="n"/>
      <c r="B4197" s="8" t="n"/>
      <c r="C4197" s="9">
        <f>IF(B4197="","",IFERROR(VLOOKUP(B4197,'Daftar Outlet'!$A$4:$B$22,2,FALSE),""))</f>
        <v/>
      </c>
      <c r="D4197" s="8" t="n"/>
      <c r="E4197" s="6" t="n"/>
      <c r="F4197" s="8" t="n"/>
    </row>
    <row r="4198">
      <c r="A4198" s="7" t="n"/>
      <c r="B4198" s="8" t="n"/>
      <c r="C4198" s="9">
        <f>IF(B4198="","",IFERROR(VLOOKUP(B4198,'Daftar Outlet'!$A$4:$B$22,2,FALSE),""))</f>
        <v/>
      </c>
      <c r="D4198" s="8" t="n"/>
      <c r="E4198" s="6" t="n"/>
      <c r="F4198" s="8" t="n"/>
    </row>
    <row r="4199">
      <c r="A4199" s="7" t="n"/>
      <c r="B4199" s="8" t="n"/>
      <c r="C4199" s="9">
        <f>IF(B4199="","",IFERROR(VLOOKUP(B4199,'Daftar Outlet'!$A$4:$B$22,2,FALSE),""))</f>
        <v/>
      </c>
      <c r="D4199" s="8" t="n"/>
      <c r="E4199" s="6" t="n"/>
      <c r="F4199" s="8" t="n"/>
    </row>
    <row r="4200">
      <c r="A4200" s="7" t="n"/>
      <c r="B4200" s="8" t="n"/>
      <c r="C4200" s="9">
        <f>IF(B4200="","",IFERROR(VLOOKUP(B4200,'Daftar Outlet'!$A$4:$B$22,2,FALSE),""))</f>
        <v/>
      </c>
      <c r="D4200" s="8" t="n"/>
      <c r="E4200" s="6" t="n"/>
      <c r="F4200" s="8" t="n"/>
    </row>
    <row r="4201">
      <c r="A4201" s="7" t="n"/>
      <c r="B4201" s="8" t="n"/>
      <c r="C4201" s="9">
        <f>IF(B4201="","",IFERROR(VLOOKUP(B4201,'Daftar Outlet'!$A$4:$B$22,2,FALSE),""))</f>
        <v/>
      </c>
      <c r="D4201" s="8" t="n"/>
      <c r="E4201" s="6" t="n"/>
      <c r="F4201" s="8" t="n"/>
    </row>
    <row r="4202">
      <c r="A4202" s="7" t="n"/>
      <c r="B4202" s="8" t="n"/>
      <c r="C4202" s="9">
        <f>IF(B4202="","",IFERROR(VLOOKUP(B4202,'Daftar Outlet'!$A$4:$B$22,2,FALSE),""))</f>
        <v/>
      </c>
      <c r="D4202" s="8" t="n"/>
      <c r="E4202" s="6" t="n"/>
      <c r="F4202" s="8" t="n"/>
    </row>
    <row r="4203">
      <c r="A4203" s="7" t="n"/>
      <c r="B4203" s="8" t="n"/>
      <c r="C4203" s="9">
        <f>IF(B4203="","",IFERROR(VLOOKUP(B4203,'Daftar Outlet'!$A$4:$B$22,2,FALSE),""))</f>
        <v/>
      </c>
      <c r="D4203" s="8" t="n"/>
      <c r="E4203" s="6" t="n"/>
      <c r="F4203" s="8" t="n"/>
    </row>
    <row r="4204">
      <c r="A4204" s="7" t="n"/>
      <c r="B4204" s="8" t="n"/>
      <c r="C4204" s="9">
        <f>IF(B4204="","",IFERROR(VLOOKUP(B4204,'Daftar Outlet'!$A$4:$B$22,2,FALSE),""))</f>
        <v/>
      </c>
      <c r="D4204" s="8" t="n"/>
      <c r="E4204" s="6" t="n"/>
      <c r="F4204" s="8" t="n"/>
    </row>
    <row r="4205">
      <c r="A4205" s="7" t="n"/>
      <c r="B4205" s="8" t="n"/>
      <c r="C4205" s="9">
        <f>IF(B4205="","",IFERROR(VLOOKUP(B4205,'Daftar Outlet'!$A$4:$B$22,2,FALSE),""))</f>
        <v/>
      </c>
      <c r="D4205" s="8" t="n"/>
      <c r="E4205" s="6" t="n"/>
      <c r="F4205" s="8" t="n"/>
    </row>
    <row r="4206">
      <c r="A4206" s="7" t="n"/>
      <c r="B4206" s="8" t="n"/>
      <c r="C4206" s="9">
        <f>IF(B4206="","",IFERROR(VLOOKUP(B4206,'Daftar Outlet'!$A$4:$B$22,2,FALSE),""))</f>
        <v/>
      </c>
      <c r="D4206" s="8" t="n"/>
      <c r="E4206" s="6" t="n"/>
      <c r="F4206" s="8" t="n"/>
    </row>
    <row r="4207">
      <c r="A4207" s="7" t="n"/>
      <c r="B4207" s="8" t="n"/>
      <c r="C4207" s="9">
        <f>IF(B4207="","",IFERROR(VLOOKUP(B4207,'Daftar Outlet'!$A$4:$B$22,2,FALSE),""))</f>
        <v/>
      </c>
      <c r="D4207" s="8" t="n"/>
      <c r="E4207" s="6" t="n"/>
      <c r="F4207" s="8" t="n"/>
    </row>
    <row r="4208">
      <c r="A4208" s="7" t="n"/>
      <c r="B4208" s="8" t="n"/>
      <c r="C4208" s="9">
        <f>IF(B4208="","",IFERROR(VLOOKUP(B4208,'Daftar Outlet'!$A$4:$B$22,2,FALSE),""))</f>
        <v/>
      </c>
      <c r="D4208" s="8" t="n"/>
      <c r="E4208" s="6" t="n"/>
      <c r="F4208" s="8" t="n"/>
    </row>
    <row r="4209">
      <c r="A4209" s="7" t="n"/>
      <c r="B4209" s="8" t="n"/>
      <c r="C4209" s="9">
        <f>IF(B4209="","",IFERROR(VLOOKUP(B4209,'Daftar Outlet'!$A$4:$B$22,2,FALSE),""))</f>
        <v/>
      </c>
      <c r="D4209" s="8" t="n"/>
      <c r="E4209" s="6" t="n"/>
      <c r="F4209" s="8" t="n"/>
    </row>
    <row r="4210">
      <c r="A4210" s="7" t="n"/>
      <c r="B4210" s="8" t="n"/>
      <c r="C4210" s="9">
        <f>IF(B4210="","",IFERROR(VLOOKUP(B4210,'Daftar Outlet'!$A$4:$B$22,2,FALSE),""))</f>
        <v/>
      </c>
      <c r="D4210" s="8" t="n"/>
      <c r="E4210" s="6" t="n"/>
      <c r="F4210" s="8" t="n"/>
    </row>
    <row r="4211">
      <c r="A4211" s="7" t="n"/>
      <c r="B4211" s="8" t="n"/>
      <c r="C4211" s="9">
        <f>IF(B4211="","",IFERROR(VLOOKUP(B4211,'Daftar Outlet'!$A$4:$B$22,2,FALSE),""))</f>
        <v/>
      </c>
      <c r="D4211" s="8" t="n"/>
      <c r="E4211" s="6" t="n"/>
      <c r="F4211" s="8" t="n"/>
    </row>
    <row r="4212">
      <c r="A4212" s="7" t="n"/>
      <c r="B4212" s="8" t="n"/>
      <c r="C4212" s="9">
        <f>IF(B4212="","",IFERROR(VLOOKUP(B4212,'Daftar Outlet'!$A$4:$B$22,2,FALSE),""))</f>
        <v/>
      </c>
      <c r="D4212" s="8" t="n"/>
      <c r="E4212" s="6" t="n"/>
      <c r="F4212" s="8" t="n"/>
    </row>
    <row r="4213">
      <c r="A4213" s="7" t="n"/>
      <c r="B4213" s="8" t="n"/>
      <c r="C4213" s="9">
        <f>IF(B4213="","",IFERROR(VLOOKUP(B4213,'Daftar Outlet'!$A$4:$B$22,2,FALSE),""))</f>
        <v/>
      </c>
      <c r="D4213" s="8" t="n"/>
      <c r="E4213" s="6" t="n"/>
      <c r="F4213" s="8" t="n"/>
    </row>
    <row r="4214">
      <c r="A4214" s="7" t="n"/>
      <c r="B4214" s="8" t="n"/>
      <c r="C4214" s="9">
        <f>IF(B4214="","",IFERROR(VLOOKUP(B4214,'Daftar Outlet'!$A$4:$B$22,2,FALSE),""))</f>
        <v/>
      </c>
      <c r="D4214" s="8" t="n"/>
      <c r="E4214" s="6" t="n"/>
      <c r="F4214" s="8" t="n"/>
    </row>
    <row r="4215">
      <c r="A4215" s="7" t="n"/>
      <c r="B4215" s="8" t="n"/>
      <c r="C4215" s="9">
        <f>IF(B4215="","",IFERROR(VLOOKUP(B4215,'Daftar Outlet'!$A$4:$B$22,2,FALSE),""))</f>
        <v/>
      </c>
      <c r="D4215" s="8" t="n"/>
      <c r="E4215" s="6" t="n"/>
      <c r="F4215" s="8" t="n"/>
    </row>
    <row r="4216">
      <c r="A4216" s="7" t="n"/>
      <c r="B4216" s="8" t="n"/>
      <c r="C4216" s="9">
        <f>IF(B4216="","",IFERROR(VLOOKUP(B4216,'Daftar Outlet'!$A$4:$B$22,2,FALSE),""))</f>
        <v/>
      </c>
      <c r="D4216" s="8" t="n"/>
      <c r="E4216" s="6" t="n"/>
      <c r="F4216" s="8" t="n"/>
    </row>
    <row r="4217">
      <c r="A4217" s="7" t="n"/>
      <c r="B4217" s="8" t="n"/>
      <c r="C4217" s="9">
        <f>IF(B4217="","",IFERROR(VLOOKUP(B4217,'Daftar Outlet'!$A$4:$B$22,2,FALSE),""))</f>
        <v/>
      </c>
      <c r="D4217" s="8" t="n"/>
      <c r="E4217" s="6" t="n"/>
      <c r="F4217" s="8" t="n"/>
    </row>
    <row r="4218">
      <c r="A4218" s="7" t="n"/>
      <c r="B4218" s="8" t="n"/>
      <c r="C4218" s="9">
        <f>IF(B4218="","",IFERROR(VLOOKUP(B4218,'Daftar Outlet'!$A$4:$B$22,2,FALSE),""))</f>
        <v/>
      </c>
      <c r="D4218" s="8" t="n"/>
      <c r="E4218" s="6" t="n"/>
      <c r="F4218" s="8" t="n"/>
    </row>
    <row r="4219">
      <c r="A4219" s="7" t="n"/>
      <c r="B4219" s="8" t="n"/>
      <c r="C4219" s="9">
        <f>IF(B4219="","",IFERROR(VLOOKUP(B4219,'Daftar Outlet'!$A$4:$B$22,2,FALSE),""))</f>
        <v/>
      </c>
      <c r="D4219" s="8" t="n"/>
      <c r="E4219" s="6" t="n"/>
      <c r="F4219" s="8" t="n"/>
    </row>
    <row r="4220">
      <c r="A4220" s="7" t="n"/>
      <c r="B4220" s="8" t="n"/>
      <c r="C4220" s="9">
        <f>IF(B4220="","",IFERROR(VLOOKUP(B4220,'Daftar Outlet'!$A$4:$B$22,2,FALSE),""))</f>
        <v/>
      </c>
      <c r="D4220" s="8" t="n"/>
      <c r="E4220" s="6" t="n"/>
      <c r="F4220" s="8" t="n"/>
    </row>
    <row r="4221">
      <c r="A4221" s="7" t="n"/>
      <c r="B4221" s="8" t="n"/>
      <c r="C4221" s="9">
        <f>IF(B4221="","",IFERROR(VLOOKUP(B4221,'Daftar Outlet'!$A$4:$B$22,2,FALSE),""))</f>
        <v/>
      </c>
      <c r="D4221" s="8" t="n"/>
      <c r="E4221" s="6" t="n"/>
      <c r="F4221" s="8" t="n"/>
    </row>
    <row r="4222">
      <c r="A4222" s="7" t="n"/>
      <c r="B4222" s="8" t="n"/>
      <c r="C4222" s="9">
        <f>IF(B4222="","",IFERROR(VLOOKUP(B4222,'Daftar Outlet'!$A$4:$B$22,2,FALSE),""))</f>
        <v/>
      </c>
      <c r="D4222" s="8" t="n"/>
      <c r="E4222" s="6" t="n"/>
      <c r="F4222" s="8" t="n"/>
    </row>
    <row r="4223">
      <c r="A4223" s="7" t="n"/>
      <c r="B4223" s="8" t="n"/>
      <c r="C4223" s="9">
        <f>IF(B4223="","",IFERROR(VLOOKUP(B4223,'Daftar Outlet'!$A$4:$B$22,2,FALSE),""))</f>
        <v/>
      </c>
      <c r="D4223" s="8" t="n"/>
      <c r="E4223" s="6" t="n"/>
      <c r="F4223" s="8" t="n"/>
    </row>
    <row r="4224">
      <c r="A4224" s="7" t="n"/>
      <c r="B4224" s="8" t="n"/>
      <c r="C4224" s="9">
        <f>IF(B4224="","",IFERROR(VLOOKUP(B4224,'Daftar Outlet'!$A$4:$B$22,2,FALSE),""))</f>
        <v/>
      </c>
      <c r="D4224" s="8" t="n"/>
      <c r="E4224" s="6" t="n"/>
      <c r="F4224" s="8" t="n"/>
    </row>
    <row r="4225">
      <c r="A4225" s="7" t="n"/>
      <c r="B4225" s="8" t="n"/>
      <c r="C4225" s="9">
        <f>IF(B4225="","",IFERROR(VLOOKUP(B4225,'Daftar Outlet'!$A$4:$B$22,2,FALSE),""))</f>
        <v/>
      </c>
      <c r="D4225" s="8" t="n"/>
      <c r="E4225" s="6" t="n"/>
      <c r="F4225" s="8" t="n"/>
    </row>
    <row r="4226">
      <c r="A4226" s="7" t="n"/>
      <c r="B4226" s="8" t="n"/>
      <c r="C4226" s="9">
        <f>IF(B4226="","",IFERROR(VLOOKUP(B4226,'Daftar Outlet'!$A$4:$B$22,2,FALSE),""))</f>
        <v/>
      </c>
      <c r="D4226" s="8" t="n"/>
      <c r="E4226" s="6" t="n"/>
      <c r="F4226" s="8" t="n"/>
    </row>
    <row r="4227">
      <c r="A4227" s="7" t="n"/>
      <c r="B4227" s="8" t="n"/>
      <c r="C4227" s="9">
        <f>IF(B4227="","",IFERROR(VLOOKUP(B4227,'Daftar Outlet'!$A$4:$B$22,2,FALSE),""))</f>
        <v/>
      </c>
      <c r="D4227" s="8" t="n"/>
      <c r="E4227" s="6" t="n"/>
      <c r="F4227" s="8" t="n"/>
    </row>
    <row r="4228">
      <c r="A4228" s="7" t="n"/>
      <c r="B4228" s="8" t="n"/>
      <c r="C4228" s="9">
        <f>IF(B4228="","",IFERROR(VLOOKUP(B4228,'Daftar Outlet'!$A$4:$B$22,2,FALSE),""))</f>
        <v/>
      </c>
      <c r="D4228" s="8" t="n"/>
      <c r="E4228" s="6" t="n"/>
      <c r="F4228" s="8" t="n"/>
    </row>
    <row r="4229">
      <c r="A4229" s="7" t="n"/>
      <c r="B4229" s="8" t="n"/>
      <c r="C4229" s="9">
        <f>IF(B4229="","",IFERROR(VLOOKUP(B4229,'Daftar Outlet'!$A$4:$B$22,2,FALSE),""))</f>
        <v/>
      </c>
      <c r="D4229" s="8" t="n"/>
      <c r="E4229" s="6" t="n"/>
      <c r="F4229" s="8" t="n"/>
    </row>
    <row r="4230">
      <c r="A4230" s="7" t="n"/>
      <c r="B4230" s="8" t="n"/>
      <c r="C4230" s="9">
        <f>IF(B4230="","",IFERROR(VLOOKUP(B4230,'Daftar Outlet'!$A$4:$B$22,2,FALSE),""))</f>
        <v/>
      </c>
      <c r="D4230" s="8" t="n"/>
      <c r="E4230" s="6" t="n"/>
      <c r="F4230" s="8" t="n"/>
    </row>
    <row r="4231">
      <c r="A4231" s="7" t="n"/>
      <c r="B4231" s="8" t="n"/>
      <c r="C4231" s="9">
        <f>IF(B4231="","",IFERROR(VLOOKUP(B4231,'Daftar Outlet'!$A$4:$B$22,2,FALSE),""))</f>
        <v/>
      </c>
      <c r="D4231" s="8" t="n"/>
      <c r="E4231" s="6" t="n"/>
      <c r="F4231" s="8" t="n"/>
    </row>
    <row r="4232">
      <c r="A4232" s="7" t="n"/>
      <c r="B4232" s="8" t="n"/>
      <c r="C4232" s="9">
        <f>IF(B4232="","",IFERROR(VLOOKUP(B4232,'Daftar Outlet'!$A$4:$B$22,2,FALSE),""))</f>
        <v/>
      </c>
      <c r="D4232" s="8" t="n"/>
      <c r="E4232" s="6" t="n"/>
      <c r="F4232" s="8" t="n"/>
    </row>
    <row r="4233">
      <c r="A4233" s="7" t="n"/>
      <c r="B4233" s="8" t="n"/>
      <c r="C4233" s="9">
        <f>IF(B4233="","",IFERROR(VLOOKUP(B4233,'Daftar Outlet'!$A$4:$B$22,2,FALSE),""))</f>
        <v/>
      </c>
      <c r="D4233" s="8" t="n"/>
      <c r="E4233" s="6" t="n"/>
      <c r="F4233" s="8" t="n"/>
    </row>
    <row r="4234">
      <c r="A4234" s="7" t="n"/>
      <c r="B4234" s="8" t="n"/>
      <c r="C4234" s="9">
        <f>IF(B4234="","",IFERROR(VLOOKUP(B4234,'Daftar Outlet'!$A$4:$B$22,2,FALSE),""))</f>
        <v/>
      </c>
      <c r="D4234" s="8" t="n"/>
      <c r="E4234" s="6" t="n"/>
      <c r="F4234" s="8" t="n"/>
    </row>
    <row r="4235">
      <c r="A4235" s="7" t="n"/>
      <c r="B4235" s="8" t="n"/>
      <c r="C4235" s="9">
        <f>IF(B4235="","",IFERROR(VLOOKUP(B4235,'Daftar Outlet'!$A$4:$B$22,2,FALSE),""))</f>
        <v/>
      </c>
      <c r="D4235" s="8" t="n"/>
      <c r="E4235" s="6" t="n"/>
      <c r="F4235" s="8" t="n"/>
    </row>
    <row r="4236">
      <c r="A4236" s="7" t="n"/>
      <c r="B4236" s="8" t="n"/>
      <c r="C4236" s="9">
        <f>IF(B4236="","",IFERROR(VLOOKUP(B4236,'Daftar Outlet'!$A$4:$B$22,2,FALSE),""))</f>
        <v/>
      </c>
      <c r="D4236" s="8" t="n"/>
      <c r="E4236" s="6" t="n"/>
      <c r="F4236" s="8" t="n"/>
    </row>
    <row r="4237">
      <c r="A4237" s="7" t="n"/>
      <c r="B4237" s="8" t="n"/>
      <c r="C4237" s="9">
        <f>IF(B4237="","",IFERROR(VLOOKUP(B4237,'Daftar Outlet'!$A$4:$B$22,2,FALSE),""))</f>
        <v/>
      </c>
      <c r="D4237" s="8" t="n"/>
      <c r="E4237" s="6" t="n"/>
      <c r="F4237" s="8" t="n"/>
    </row>
    <row r="4238">
      <c r="A4238" s="7" t="n"/>
      <c r="B4238" s="8" t="n"/>
      <c r="C4238" s="9">
        <f>IF(B4238="","",IFERROR(VLOOKUP(B4238,'Daftar Outlet'!$A$4:$B$22,2,FALSE),""))</f>
        <v/>
      </c>
      <c r="D4238" s="8" t="n"/>
      <c r="E4238" s="6" t="n"/>
      <c r="F4238" s="8" t="n"/>
    </row>
    <row r="4239">
      <c r="A4239" s="7" t="n"/>
      <c r="B4239" s="8" t="n"/>
      <c r="C4239" s="9">
        <f>IF(B4239="","",IFERROR(VLOOKUP(B4239,'Daftar Outlet'!$A$4:$B$22,2,FALSE),""))</f>
        <v/>
      </c>
      <c r="D4239" s="8" t="n"/>
      <c r="E4239" s="6" t="n"/>
      <c r="F4239" s="8" t="n"/>
    </row>
    <row r="4240">
      <c r="A4240" s="7" t="n"/>
      <c r="B4240" s="8" t="n"/>
      <c r="C4240" s="9">
        <f>IF(B4240="","",IFERROR(VLOOKUP(B4240,'Daftar Outlet'!$A$4:$B$22,2,FALSE),""))</f>
        <v/>
      </c>
      <c r="D4240" s="8" t="n"/>
      <c r="E4240" s="6" t="n"/>
      <c r="F4240" s="8" t="n"/>
    </row>
    <row r="4241">
      <c r="A4241" s="7" t="n"/>
      <c r="B4241" s="8" t="n"/>
      <c r="C4241" s="9">
        <f>IF(B4241="","",IFERROR(VLOOKUP(B4241,'Daftar Outlet'!$A$4:$B$22,2,FALSE),""))</f>
        <v/>
      </c>
      <c r="D4241" s="8" t="n"/>
      <c r="E4241" s="6" t="n"/>
      <c r="F4241" s="8" t="n"/>
    </row>
    <row r="4242">
      <c r="A4242" s="7" t="n"/>
      <c r="B4242" s="8" t="n"/>
      <c r="C4242" s="9">
        <f>IF(B4242="","",IFERROR(VLOOKUP(B4242,'Daftar Outlet'!$A$4:$B$22,2,FALSE),""))</f>
        <v/>
      </c>
      <c r="D4242" s="8" t="n"/>
      <c r="E4242" s="6" t="n"/>
      <c r="F4242" s="8" t="n"/>
    </row>
    <row r="4243">
      <c r="A4243" s="7" t="n"/>
      <c r="B4243" s="8" t="n"/>
      <c r="C4243" s="9">
        <f>IF(B4243="","",IFERROR(VLOOKUP(B4243,'Daftar Outlet'!$A$4:$B$22,2,FALSE),""))</f>
        <v/>
      </c>
      <c r="D4243" s="8" t="n"/>
      <c r="E4243" s="6" t="n"/>
      <c r="F4243" s="8" t="n"/>
    </row>
    <row r="4244">
      <c r="A4244" s="7" t="n"/>
      <c r="B4244" s="8" t="n"/>
      <c r="C4244" s="9">
        <f>IF(B4244="","",IFERROR(VLOOKUP(B4244,'Daftar Outlet'!$A$4:$B$22,2,FALSE),""))</f>
        <v/>
      </c>
      <c r="D4244" s="8" t="n"/>
      <c r="E4244" s="6" t="n"/>
      <c r="F4244" s="8" t="n"/>
    </row>
    <row r="4245">
      <c r="A4245" s="7" t="n"/>
      <c r="B4245" s="8" t="n"/>
      <c r="C4245" s="9">
        <f>IF(B4245="","",IFERROR(VLOOKUP(B4245,'Daftar Outlet'!$A$4:$B$22,2,FALSE),""))</f>
        <v/>
      </c>
      <c r="D4245" s="8" t="n"/>
      <c r="E4245" s="6" t="n"/>
      <c r="F4245" s="8" t="n"/>
    </row>
    <row r="4246">
      <c r="A4246" s="7" t="n"/>
      <c r="B4246" s="8" t="n"/>
      <c r="C4246" s="9">
        <f>IF(B4246="","",IFERROR(VLOOKUP(B4246,'Daftar Outlet'!$A$4:$B$22,2,FALSE),""))</f>
        <v/>
      </c>
      <c r="D4246" s="8" t="n"/>
      <c r="E4246" s="6" t="n"/>
      <c r="F4246" s="8" t="n"/>
    </row>
    <row r="4247">
      <c r="A4247" s="7" t="n"/>
      <c r="B4247" s="8" t="n"/>
      <c r="C4247" s="9">
        <f>IF(B4247="","",IFERROR(VLOOKUP(B4247,'Daftar Outlet'!$A$4:$B$22,2,FALSE),""))</f>
        <v/>
      </c>
      <c r="D4247" s="8" t="n"/>
      <c r="E4247" s="6" t="n"/>
      <c r="F4247" s="8" t="n"/>
    </row>
    <row r="4248">
      <c r="A4248" s="7" t="n"/>
      <c r="B4248" s="8" t="n"/>
      <c r="C4248" s="9">
        <f>IF(B4248="","",IFERROR(VLOOKUP(B4248,'Daftar Outlet'!$A$4:$B$22,2,FALSE),""))</f>
        <v/>
      </c>
      <c r="D4248" s="8" t="n"/>
      <c r="E4248" s="6" t="n"/>
      <c r="F4248" s="8" t="n"/>
    </row>
    <row r="4249">
      <c r="A4249" s="7" t="n"/>
      <c r="B4249" s="8" t="n"/>
      <c r="C4249" s="9">
        <f>IF(B4249="","",IFERROR(VLOOKUP(B4249,'Daftar Outlet'!$A$4:$B$22,2,FALSE),""))</f>
        <v/>
      </c>
      <c r="D4249" s="8" t="n"/>
      <c r="E4249" s="6" t="n"/>
      <c r="F4249" s="8" t="n"/>
    </row>
    <row r="4250">
      <c r="A4250" s="7" t="n"/>
      <c r="B4250" s="8" t="n"/>
      <c r="C4250" s="9">
        <f>IF(B4250="","",IFERROR(VLOOKUP(B4250,'Daftar Outlet'!$A$4:$B$22,2,FALSE),""))</f>
        <v/>
      </c>
      <c r="D4250" s="8" t="n"/>
      <c r="E4250" s="6" t="n"/>
      <c r="F4250" s="8" t="n"/>
    </row>
    <row r="4251">
      <c r="A4251" s="7" t="n"/>
      <c r="B4251" s="8" t="n"/>
      <c r="C4251" s="9">
        <f>IF(B4251="","",IFERROR(VLOOKUP(B4251,'Daftar Outlet'!$A$4:$B$22,2,FALSE),""))</f>
        <v/>
      </c>
      <c r="D4251" s="8" t="n"/>
      <c r="E4251" s="6" t="n"/>
      <c r="F4251" s="8" t="n"/>
    </row>
    <row r="4252">
      <c r="A4252" s="7" t="n"/>
      <c r="B4252" s="8" t="n"/>
      <c r="C4252" s="9">
        <f>IF(B4252="","",IFERROR(VLOOKUP(B4252,'Daftar Outlet'!$A$4:$B$22,2,FALSE),""))</f>
        <v/>
      </c>
      <c r="D4252" s="8" t="n"/>
      <c r="E4252" s="6" t="n"/>
      <c r="F4252" s="8" t="n"/>
    </row>
    <row r="4253">
      <c r="A4253" s="7" t="n"/>
      <c r="B4253" s="8" t="n"/>
      <c r="C4253" s="9">
        <f>IF(B4253="","",IFERROR(VLOOKUP(B4253,'Daftar Outlet'!$A$4:$B$22,2,FALSE),""))</f>
        <v/>
      </c>
      <c r="D4253" s="8" t="n"/>
      <c r="E4253" s="6" t="n"/>
      <c r="F4253" s="8" t="n"/>
    </row>
    <row r="4254">
      <c r="A4254" s="7" t="n"/>
      <c r="B4254" s="8" t="n"/>
      <c r="C4254" s="9">
        <f>IF(B4254="","",IFERROR(VLOOKUP(B4254,'Daftar Outlet'!$A$4:$B$22,2,FALSE),""))</f>
        <v/>
      </c>
      <c r="D4254" s="8" t="n"/>
      <c r="E4254" s="6" t="n"/>
      <c r="F4254" s="8" t="n"/>
    </row>
    <row r="4255">
      <c r="A4255" s="7" t="n"/>
      <c r="B4255" s="8" t="n"/>
      <c r="C4255" s="9">
        <f>IF(B4255="","",IFERROR(VLOOKUP(B4255,'Daftar Outlet'!$A$4:$B$22,2,FALSE),""))</f>
        <v/>
      </c>
      <c r="D4255" s="8" t="n"/>
      <c r="E4255" s="6" t="n"/>
      <c r="F4255" s="8" t="n"/>
    </row>
    <row r="4256">
      <c r="A4256" s="7" t="n"/>
      <c r="B4256" s="8" t="n"/>
      <c r="C4256" s="9">
        <f>IF(B4256="","",IFERROR(VLOOKUP(B4256,'Daftar Outlet'!$A$4:$B$22,2,FALSE),""))</f>
        <v/>
      </c>
      <c r="D4256" s="8" t="n"/>
      <c r="E4256" s="6" t="n"/>
      <c r="F4256" s="8" t="n"/>
    </row>
    <row r="4257">
      <c r="A4257" s="7" t="n"/>
      <c r="B4257" s="8" t="n"/>
      <c r="C4257" s="9">
        <f>IF(B4257="","",IFERROR(VLOOKUP(B4257,'Daftar Outlet'!$A$4:$B$22,2,FALSE),""))</f>
        <v/>
      </c>
      <c r="D4257" s="8" t="n"/>
      <c r="E4257" s="6" t="n"/>
      <c r="F4257" s="8" t="n"/>
    </row>
    <row r="4258">
      <c r="A4258" s="7" t="n"/>
      <c r="B4258" s="8" t="n"/>
      <c r="C4258" s="9">
        <f>IF(B4258="","",IFERROR(VLOOKUP(B4258,'Daftar Outlet'!$A$4:$B$22,2,FALSE),""))</f>
        <v/>
      </c>
      <c r="D4258" s="8" t="n"/>
      <c r="E4258" s="6" t="n"/>
      <c r="F4258" s="8" t="n"/>
    </row>
    <row r="4259">
      <c r="A4259" s="7" t="n"/>
      <c r="B4259" s="8" t="n"/>
      <c r="C4259" s="9">
        <f>IF(B4259="","",IFERROR(VLOOKUP(B4259,'Daftar Outlet'!$A$4:$B$22,2,FALSE),""))</f>
        <v/>
      </c>
      <c r="D4259" s="8" t="n"/>
      <c r="E4259" s="6" t="n"/>
      <c r="F4259" s="8" t="n"/>
    </row>
    <row r="4260">
      <c r="A4260" s="7" t="n"/>
      <c r="B4260" s="8" t="n"/>
      <c r="C4260" s="9">
        <f>IF(B4260="","",IFERROR(VLOOKUP(B4260,'Daftar Outlet'!$A$4:$B$22,2,FALSE),""))</f>
        <v/>
      </c>
      <c r="D4260" s="8" t="n"/>
      <c r="E4260" s="6" t="n"/>
      <c r="F4260" s="8" t="n"/>
    </row>
    <row r="4261">
      <c r="A4261" s="7" t="n"/>
      <c r="B4261" s="8" t="n"/>
      <c r="C4261" s="9">
        <f>IF(B4261="","",IFERROR(VLOOKUP(B4261,'Daftar Outlet'!$A$4:$B$22,2,FALSE),""))</f>
        <v/>
      </c>
      <c r="D4261" s="8" t="n"/>
      <c r="E4261" s="6" t="n"/>
      <c r="F4261" s="8" t="n"/>
    </row>
    <row r="4262">
      <c r="A4262" s="7" t="n"/>
      <c r="B4262" s="8" t="n"/>
      <c r="C4262" s="9">
        <f>IF(B4262="","",IFERROR(VLOOKUP(B4262,'Daftar Outlet'!$A$4:$B$22,2,FALSE),""))</f>
        <v/>
      </c>
      <c r="D4262" s="8" t="n"/>
      <c r="E4262" s="6" t="n"/>
      <c r="F4262" s="8" t="n"/>
    </row>
    <row r="4263">
      <c r="A4263" s="7" t="n"/>
      <c r="B4263" s="8" t="n"/>
      <c r="C4263" s="9">
        <f>IF(B4263="","",IFERROR(VLOOKUP(B4263,'Daftar Outlet'!$A$4:$B$22,2,FALSE),""))</f>
        <v/>
      </c>
      <c r="D4263" s="8" t="n"/>
      <c r="E4263" s="6" t="n"/>
      <c r="F4263" s="8" t="n"/>
    </row>
    <row r="4264">
      <c r="A4264" s="7" t="n"/>
      <c r="B4264" s="8" t="n"/>
      <c r="C4264" s="9">
        <f>IF(B4264="","",IFERROR(VLOOKUP(B4264,'Daftar Outlet'!$A$4:$B$22,2,FALSE),""))</f>
        <v/>
      </c>
      <c r="D4264" s="8" t="n"/>
      <c r="E4264" s="6" t="n"/>
      <c r="F4264" s="8" t="n"/>
    </row>
    <row r="4265">
      <c r="A4265" s="7" t="n"/>
      <c r="B4265" s="8" t="n"/>
      <c r="C4265" s="9">
        <f>IF(B4265="","",IFERROR(VLOOKUP(B4265,'Daftar Outlet'!$A$4:$B$22,2,FALSE),""))</f>
        <v/>
      </c>
      <c r="D4265" s="8" t="n"/>
      <c r="E4265" s="6" t="n"/>
      <c r="F4265" s="8" t="n"/>
    </row>
    <row r="4266">
      <c r="A4266" s="7" t="n"/>
      <c r="B4266" s="8" t="n"/>
      <c r="C4266" s="9">
        <f>IF(B4266="","",IFERROR(VLOOKUP(B4266,'Daftar Outlet'!$A$4:$B$22,2,FALSE),""))</f>
        <v/>
      </c>
      <c r="D4266" s="8" t="n"/>
      <c r="E4266" s="6" t="n"/>
      <c r="F4266" s="8" t="n"/>
    </row>
    <row r="4267">
      <c r="A4267" s="7" t="n"/>
      <c r="B4267" s="8" t="n"/>
      <c r="C4267" s="9">
        <f>IF(B4267="","",IFERROR(VLOOKUP(B4267,'Daftar Outlet'!$A$4:$B$22,2,FALSE),""))</f>
        <v/>
      </c>
      <c r="D4267" s="8" t="n"/>
      <c r="E4267" s="6" t="n"/>
      <c r="F4267" s="8" t="n"/>
    </row>
    <row r="4268">
      <c r="A4268" s="7" t="n"/>
      <c r="B4268" s="8" t="n"/>
      <c r="C4268" s="9">
        <f>IF(B4268="","",IFERROR(VLOOKUP(B4268,'Daftar Outlet'!$A$4:$B$22,2,FALSE),""))</f>
        <v/>
      </c>
      <c r="D4268" s="8" t="n"/>
      <c r="E4268" s="6" t="n"/>
      <c r="F4268" s="8" t="n"/>
    </row>
    <row r="4269">
      <c r="A4269" s="7" t="n"/>
      <c r="B4269" s="8" t="n"/>
      <c r="C4269" s="9">
        <f>IF(B4269="","",IFERROR(VLOOKUP(B4269,'Daftar Outlet'!$A$4:$B$22,2,FALSE),""))</f>
        <v/>
      </c>
      <c r="D4269" s="8" t="n"/>
      <c r="E4269" s="6" t="n"/>
      <c r="F4269" s="8" t="n"/>
    </row>
    <row r="4270">
      <c r="A4270" s="7" t="n"/>
      <c r="B4270" s="8" t="n"/>
      <c r="C4270" s="9">
        <f>IF(B4270="","",IFERROR(VLOOKUP(B4270,'Daftar Outlet'!$A$4:$B$22,2,FALSE),""))</f>
        <v/>
      </c>
      <c r="D4270" s="8" t="n"/>
      <c r="E4270" s="6" t="n"/>
      <c r="F4270" s="8" t="n"/>
    </row>
    <row r="4271">
      <c r="A4271" s="7" t="n"/>
      <c r="B4271" s="8" t="n"/>
      <c r="C4271" s="9">
        <f>IF(B4271="","",IFERROR(VLOOKUP(B4271,'Daftar Outlet'!$A$4:$B$22,2,FALSE),""))</f>
        <v/>
      </c>
      <c r="D4271" s="8" t="n"/>
      <c r="E4271" s="6" t="n"/>
      <c r="F4271" s="8" t="n"/>
    </row>
    <row r="4272">
      <c r="A4272" s="7" t="n"/>
      <c r="B4272" s="8" t="n"/>
      <c r="C4272" s="9">
        <f>IF(B4272="","",IFERROR(VLOOKUP(B4272,'Daftar Outlet'!$A$4:$B$22,2,FALSE),""))</f>
        <v/>
      </c>
      <c r="D4272" s="8" t="n"/>
      <c r="E4272" s="6" t="n"/>
      <c r="F4272" s="8" t="n"/>
    </row>
    <row r="4273">
      <c r="A4273" s="7" t="n"/>
      <c r="B4273" s="8" t="n"/>
      <c r="C4273" s="9">
        <f>IF(B4273="","",IFERROR(VLOOKUP(B4273,'Daftar Outlet'!$A$4:$B$22,2,FALSE),""))</f>
        <v/>
      </c>
      <c r="D4273" s="8" t="n"/>
      <c r="E4273" s="6" t="n"/>
      <c r="F4273" s="8" t="n"/>
    </row>
    <row r="4274">
      <c r="A4274" s="7" t="n"/>
      <c r="B4274" s="8" t="n"/>
      <c r="C4274" s="9">
        <f>IF(B4274="","",IFERROR(VLOOKUP(B4274,'Daftar Outlet'!$A$4:$B$22,2,FALSE),""))</f>
        <v/>
      </c>
      <c r="D4274" s="8" t="n"/>
      <c r="E4274" s="6" t="n"/>
      <c r="F4274" s="8" t="n"/>
    </row>
    <row r="4275">
      <c r="A4275" s="7" t="n"/>
      <c r="B4275" s="8" t="n"/>
      <c r="C4275" s="9">
        <f>IF(B4275="","",IFERROR(VLOOKUP(B4275,'Daftar Outlet'!$A$4:$B$22,2,FALSE),""))</f>
        <v/>
      </c>
      <c r="D4275" s="8" t="n"/>
      <c r="E4275" s="6" t="n"/>
      <c r="F4275" s="8" t="n"/>
    </row>
    <row r="4276">
      <c r="A4276" s="7" t="n"/>
      <c r="B4276" s="8" t="n"/>
      <c r="C4276" s="9">
        <f>IF(B4276="","",IFERROR(VLOOKUP(B4276,'Daftar Outlet'!$A$4:$B$22,2,FALSE),""))</f>
        <v/>
      </c>
      <c r="D4276" s="8" t="n"/>
      <c r="E4276" s="6" t="n"/>
      <c r="F4276" s="8" t="n"/>
    </row>
    <row r="4277">
      <c r="A4277" s="7" t="n"/>
      <c r="B4277" s="8" t="n"/>
      <c r="C4277" s="9">
        <f>IF(B4277="","",IFERROR(VLOOKUP(B4277,'Daftar Outlet'!$A$4:$B$22,2,FALSE),""))</f>
        <v/>
      </c>
      <c r="D4277" s="8" t="n"/>
      <c r="E4277" s="6" t="n"/>
      <c r="F4277" s="8" t="n"/>
    </row>
    <row r="4278">
      <c r="A4278" s="7" t="n"/>
      <c r="B4278" s="8" t="n"/>
      <c r="C4278" s="9">
        <f>IF(B4278="","",IFERROR(VLOOKUP(B4278,'Daftar Outlet'!$A$4:$B$22,2,FALSE),""))</f>
        <v/>
      </c>
      <c r="D4278" s="8" t="n"/>
      <c r="E4278" s="6" t="n"/>
      <c r="F4278" s="8" t="n"/>
    </row>
    <row r="4279">
      <c r="A4279" s="7" t="n"/>
      <c r="B4279" s="8" t="n"/>
      <c r="C4279" s="9">
        <f>IF(B4279="","",IFERROR(VLOOKUP(B4279,'Daftar Outlet'!$A$4:$B$22,2,FALSE),""))</f>
        <v/>
      </c>
      <c r="D4279" s="8" t="n"/>
      <c r="E4279" s="6" t="n"/>
      <c r="F4279" s="8" t="n"/>
    </row>
    <row r="4280">
      <c r="A4280" s="7" t="n"/>
      <c r="B4280" s="8" t="n"/>
      <c r="C4280" s="9">
        <f>IF(B4280="","",IFERROR(VLOOKUP(B4280,'Daftar Outlet'!$A$4:$B$22,2,FALSE),""))</f>
        <v/>
      </c>
      <c r="D4280" s="8" t="n"/>
      <c r="E4280" s="6" t="n"/>
      <c r="F4280" s="8" t="n"/>
    </row>
    <row r="4281">
      <c r="A4281" s="7" t="n"/>
      <c r="B4281" s="8" t="n"/>
      <c r="C4281" s="9">
        <f>IF(B4281="","",IFERROR(VLOOKUP(B4281,'Daftar Outlet'!$A$4:$B$22,2,FALSE),""))</f>
        <v/>
      </c>
      <c r="D4281" s="8" t="n"/>
      <c r="E4281" s="6" t="n"/>
      <c r="F4281" s="8" t="n"/>
    </row>
    <row r="4282">
      <c r="A4282" s="7" t="n"/>
      <c r="B4282" s="8" t="n"/>
      <c r="C4282" s="9">
        <f>IF(B4282="","",IFERROR(VLOOKUP(B4282,'Daftar Outlet'!$A$4:$B$22,2,FALSE),""))</f>
        <v/>
      </c>
      <c r="D4282" s="8" t="n"/>
      <c r="E4282" s="6" t="n"/>
      <c r="F4282" s="8" t="n"/>
    </row>
    <row r="4283">
      <c r="A4283" s="7" t="n"/>
      <c r="B4283" s="8" t="n"/>
      <c r="C4283" s="9">
        <f>IF(B4283="","",IFERROR(VLOOKUP(B4283,'Daftar Outlet'!$A$4:$B$22,2,FALSE),""))</f>
        <v/>
      </c>
      <c r="D4283" s="8" t="n"/>
      <c r="E4283" s="6" t="n"/>
      <c r="F4283" s="8" t="n"/>
    </row>
    <row r="4284">
      <c r="A4284" s="7" t="n"/>
      <c r="B4284" s="8" t="n"/>
      <c r="C4284" s="9">
        <f>IF(B4284="","",IFERROR(VLOOKUP(B4284,'Daftar Outlet'!$A$4:$B$22,2,FALSE),""))</f>
        <v/>
      </c>
      <c r="D4284" s="8" t="n"/>
      <c r="E4284" s="6" t="n"/>
      <c r="F4284" s="8" t="n"/>
    </row>
    <row r="4285">
      <c r="A4285" s="7" t="n"/>
      <c r="B4285" s="8" t="n"/>
      <c r="C4285" s="9">
        <f>IF(B4285="","",IFERROR(VLOOKUP(B4285,'Daftar Outlet'!$A$4:$B$22,2,FALSE),""))</f>
        <v/>
      </c>
      <c r="D4285" s="8" t="n"/>
      <c r="E4285" s="6" t="n"/>
      <c r="F4285" s="8" t="n"/>
    </row>
    <row r="4286">
      <c r="A4286" s="7" t="n"/>
      <c r="B4286" s="8" t="n"/>
      <c r="C4286" s="9">
        <f>IF(B4286="","",IFERROR(VLOOKUP(B4286,'Daftar Outlet'!$A$4:$B$22,2,FALSE),""))</f>
        <v/>
      </c>
      <c r="D4286" s="8" t="n"/>
      <c r="E4286" s="6" t="n"/>
      <c r="F4286" s="8" t="n"/>
    </row>
    <row r="4287">
      <c r="A4287" s="7" t="n"/>
      <c r="B4287" s="8" t="n"/>
      <c r="C4287" s="9">
        <f>IF(B4287="","",IFERROR(VLOOKUP(B4287,'Daftar Outlet'!$A$4:$B$22,2,FALSE),""))</f>
        <v/>
      </c>
      <c r="D4287" s="8" t="n"/>
      <c r="E4287" s="6" t="n"/>
      <c r="F4287" s="8" t="n"/>
    </row>
    <row r="4288">
      <c r="A4288" s="7" t="n"/>
      <c r="B4288" s="8" t="n"/>
      <c r="C4288" s="9">
        <f>IF(B4288="","",IFERROR(VLOOKUP(B4288,'Daftar Outlet'!$A$4:$B$22,2,FALSE),""))</f>
        <v/>
      </c>
      <c r="D4288" s="8" t="n"/>
      <c r="E4288" s="6" t="n"/>
      <c r="F4288" s="8" t="n"/>
    </row>
    <row r="4289">
      <c r="A4289" s="7" t="n"/>
      <c r="B4289" s="8" t="n"/>
      <c r="C4289" s="9">
        <f>IF(B4289="","",IFERROR(VLOOKUP(B4289,'Daftar Outlet'!$A$4:$B$22,2,FALSE),""))</f>
        <v/>
      </c>
      <c r="D4289" s="8" t="n"/>
      <c r="E4289" s="6" t="n"/>
      <c r="F4289" s="8" t="n"/>
    </row>
    <row r="4290">
      <c r="A4290" s="7" t="n"/>
      <c r="B4290" s="8" t="n"/>
      <c r="C4290" s="9">
        <f>IF(B4290="","",IFERROR(VLOOKUP(B4290,'Daftar Outlet'!$A$4:$B$22,2,FALSE),""))</f>
        <v/>
      </c>
      <c r="D4290" s="8" t="n"/>
      <c r="E4290" s="6" t="n"/>
      <c r="F4290" s="8" t="n"/>
    </row>
    <row r="4291">
      <c r="A4291" s="7" t="n"/>
      <c r="B4291" s="8" t="n"/>
      <c r="C4291" s="9">
        <f>IF(B4291="","",IFERROR(VLOOKUP(B4291,'Daftar Outlet'!$A$4:$B$22,2,FALSE),""))</f>
        <v/>
      </c>
      <c r="D4291" s="8" t="n"/>
      <c r="E4291" s="6" t="n"/>
      <c r="F4291" s="8" t="n"/>
    </row>
    <row r="4292">
      <c r="A4292" s="7" t="n"/>
      <c r="B4292" s="8" t="n"/>
      <c r="C4292" s="9">
        <f>IF(B4292="","",IFERROR(VLOOKUP(B4292,'Daftar Outlet'!$A$4:$B$22,2,FALSE),""))</f>
        <v/>
      </c>
      <c r="D4292" s="8" t="n"/>
      <c r="E4292" s="6" t="n"/>
      <c r="F4292" s="8" t="n"/>
    </row>
    <row r="4293">
      <c r="A4293" s="7" t="n"/>
      <c r="B4293" s="8" t="n"/>
      <c r="C4293" s="9">
        <f>IF(B4293="","",IFERROR(VLOOKUP(B4293,'Daftar Outlet'!$A$4:$B$22,2,FALSE),""))</f>
        <v/>
      </c>
      <c r="D4293" s="8" t="n"/>
      <c r="E4293" s="6" t="n"/>
      <c r="F4293" s="8" t="n"/>
    </row>
    <row r="4294">
      <c r="A4294" s="7" t="n"/>
      <c r="B4294" s="8" t="n"/>
      <c r="C4294" s="9">
        <f>IF(B4294="","",IFERROR(VLOOKUP(B4294,'Daftar Outlet'!$A$4:$B$22,2,FALSE),""))</f>
        <v/>
      </c>
      <c r="D4294" s="8" t="n"/>
      <c r="E4294" s="6" t="n"/>
      <c r="F4294" s="8" t="n"/>
    </row>
    <row r="4295">
      <c r="A4295" s="7" t="n"/>
      <c r="B4295" s="8" t="n"/>
      <c r="C4295" s="9">
        <f>IF(B4295="","",IFERROR(VLOOKUP(B4295,'Daftar Outlet'!$A$4:$B$22,2,FALSE),""))</f>
        <v/>
      </c>
      <c r="D4295" s="8" t="n"/>
      <c r="E4295" s="6" t="n"/>
      <c r="F4295" s="8" t="n"/>
    </row>
    <row r="4296">
      <c r="A4296" s="7" t="n"/>
      <c r="B4296" s="8" t="n"/>
      <c r="C4296" s="9">
        <f>IF(B4296="","",IFERROR(VLOOKUP(B4296,'Daftar Outlet'!$A$4:$B$22,2,FALSE),""))</f>
        <v/>
      </c>
      <c r="D4296" s="8" t="n"/>
      <c r="E4296" s="6" t="n"/>
      <c r="F4296" s="8" t="n"/>
    </row>
    <row r="4297">
      <c r="A4297" s="7" t="n"/>
      <c r="B4297" s="8" t="n"/>
      <c r="C4297" s="9">
        <f>IF(B4297="","",IFERROR(VLOOKUP(B4297,'Daftar Outlet'!$A$4:$B$22,2,FALSE),""))</f>
        <v/>
      </c>
      <c r="D4297" s="8" t="n"/>
      <c r="E4297" s="6" t="n"/>
      <c r="F4297" s="8" t="n"/>
    </row>
    <row r="4298">
      <c r="A4298" s="7" t="n"/>
      <c r="B4298" s="8" t="n"/>
      <c r="C4298" s="9">
        <f>IF(B4298="","",IFERROR(VLOOKUP(B4298,'Daftar Outlet'!$A$4:$B$22,2,FALSE),""))</f>
        <v/>
      </c>
      <c r="D4298" s="8" t="n"/>
      <c r="E4298" s="6" t="n"/>
      <c r="F4298" s="8" t="n"/>
    </row>
    <row r="4299">
      <c r="A4299" s="7" t="n"/>
      <c r="B4299" s="8" t="n"/>
      <c r="C4299" s="9">
        <f>IF(B4299="","",IFERROR(VLOOKUP(B4299,'Daftar Outlet'!$A$4:$B$22,2,FALSE),""))</f>
        <v/>
      </c>
      <c r="D4299" s="8" t="n"/>
      <c r="E4299" s="6" t="n"/>
      <c r="F4299" s="8" t="n"/>
    </row>
    <row r="4300">
      <c r="A4300" s="7" t="n"/>
      <c r="B4300" s="8" t="n"/>
      <c r="C4300" s="9">
        <f>IF(B4300="","",IFERROR(VLOOKUP(B4300,'Daftar Outlet'!$A$4:$B$22,2,FALSE),""))</f>
        <v/>
      </c>
      <c r="D4300" s="8" t="n"/>
      <c r="E4300" s="6" t="n"/>
      <c r="F4300" s="8" t="n"/>
    </row>
    <row r="4301">
      <c r="A4301" s="7" t="n"/>
      <c r="B4301" s="8" t="n"/>
      <c r="C4301" s="9">
        <f>IF(B4301="","",IFERROR(VLOOKUP(B4301,'Daftar Outlet'!$A$4:$B$22,2,FALSE),""))</f>
        <v/>
      </c>
      <c r="D4301" s="8" t="n"/>
      <c r="E4301" s="6" t="n"/>
      <c r="F4301" s="8" t="n"/>
    </row>
    <row r="4302">
      <c r="A4302" s="7" t="n"/>
      <c r="B4302" s="8" t="n"/>
      <c r="C4302" s="9">
        <f>IF(B4302="","",IFERROR(VLOOKUP(B4302,'Daftar Outlet'!$A$4:$B$22,2,FALSE),""))</f>
        <v/>
      </c>
      <c r="D4302" s="8" t="n"/>
      <c r="E4302" s="6" t="n"/>
      <c r="F4302" s="8" t="n"/>
    </row>
    <row r="4303">
      <c r="A4303" s="7" t="n"/>
      <c r="B4303" s="8" t="n"/>
      <c r="C4303" s="9">
        <f>IF(B4303="","",IFERROR(VLOOKUP(B4303,'Daftar Outlet'!$A$4:$B$22,2,FALSE),""))</f>
        <v/>
      </c>
      <c r="D4303" s="8" t="n"/>
      <c r="E4303" s="6" t="n"/>
      <c r="F4303" s="8" t="n"/>
    </row>
    <row r="4304">
      <c r="A4304" s="7" t="n"/>
      <c r="B4304" s="8" t="n"/>
      <c r="C4304" s="9">
        <f>IF(B4304="","",IFERROR(VLOOKUP(B4304,'Daftar Outlet'!$A$4:$B$22,2,FALSE),""))</f>
        <v/>
      </c>
      <c r="D4304" s="8" t="n"/>
      <c r="E4304" s="6" t="n"/>
      <c r="F4304" s="8" t="n"/>
    </row>
    <row r="4305">
      <c r="A4305" s="7" t="n"/>
      <c r="B4305" s="8" t="n"/>
      <c r="C4305" s="9">
        <f>IF(B4305="","",IFERROR(VLOOKUP(B4305,'Daftar Outlet'!$A$4:$B$22,2,FALSE),""))</f>
        <v/>
      </c>
      <c r="D4305" s="8" t="n"/>
      <c r="E4305" s="6" t="n"/>
      <c r="F4305" s="8" t="n"/>
    </row>
    <row r="4306">
      <c r="A4306" s="7" t="n"/>
      <c r="B4306" s="8" t="n"/>
      <c r="C4306" s="9">
        <f>IF(B4306="","",IFERROR(VLOOKUP(B4306,'Daftar Outlet'!$A$4:$B$22,2,FALSE),""))</f>
        <v/>
      </c>
      <c r="D4306" s="8" t="n"/>
      <c r="E4306" s="6" t="n"/>
      <c r="F4306" s="8" t="n"/>
    </row>
    <row r="4307">
      <c r="A4307" s="7" t="n"/>
      <c r="B4307" s="8" t="n"/>
      <c r="C4307" s="9">
        <f>IF(B4307="","",IFERROR(VLOOKUP(B4307,'Daftar Outlet'!$A$4:$B$22,2,FALSE),""))</f>
        <v/>
      </c>
      <c r="D4307" s="8" t="n"/>
      <c r="E4307" s="6" t="n"/>
      <c r="F4307" s="8" t="n"/>
    </row>
    <row r="4308">
      <c r="A4308" s="7" t="n"/>
      <c r="B4308" s="8" t="n"/>
      <c r="C4308" s="9">
        <f>IF(B4308="","",IFERROR(VLOOKUP(B4308,'Daftar Outlet'!$A$4:$B$22,2,FALSE),""))</f>
        <v/>
      </c>
      <c r="D4308" s="8" t="n"/>
      <c r="E4308" s="6" t="n"/>
      <c r="F4308" s="8" t="n"/>
    </row>
    <row r="4309">
      <c r="A4309" s="7" t="n"/>
      <c r="B4309" s="8" t="n"/>
      <c r="C4309" s="9">
        <f>IF(B4309="","",IFERROR(VLOOKUP(B4309,'Daftar Outlet'!$A$4:$B$22,2,FALSE),""))</f>
        <v/>
      </c>
      <c r="D4309" s="8" t="n"/>
      <c r="E4309" s="6" t="n"/>
      <c r="F4309" s="8" t="n"/>
    </row>
    <row r="4310">
      <c r="A4310" s="7" t="n"/>
      <c r="B4310" s="8" t="n"/>
      <c r="C4310" s="9">
        <f>IF(B4310="","",IFERROR(VLOOKUP(B4310,'Daftar Outlet'!$A$4:$B$22,2,FALSE),""))</f>
        <v/>
      </c>
      <c r="D4310" s="8" t="n"/>
      <c r="E4310" s="6" t="n"/>
      <c r="F4310" s="8" t="n"/>
    </row>
    <row r="4311">
      <c r="A4311" s="7" t="n"/>
      <c r="B4311" s="8" t="n"/>
      <c r="C4311" s="9">
        <f>IF(B4311="","",IFERROR(VLOOKUP(B4311,'Daftar Outlet'!$A$4:$B$22,2,FALSE),""))</f>
        <v/>
      </c>
      <c r="D4311" s="8" t="n"/>
      <c r="E4311" s="6" t="n"/>
      <c r="F4311" s="8" t="n"/>
    </row>
    <row r="4312">
      <c r="A4312" s="7" t="n"/>
      <c r="B4312" s="8" t="n"/>
      <c r="C4312" s="9">
        <f>IF(B4312="","",IFERROR(VLOOKUP(B4312,'Daftar Outlet'!$A$4:$B$22,2,FALSE),""))</f>
        <v/>
      </c>
      <c r="D4312" s="8" t="n"/>
      <c r="E4312" s="6" t="n"/>
      <c r="F4312" s="8" t="n"/>
    </row>
    <row r="4313">
      <c r="A4313" s="7" t="n"/>
      <c r="B4313" s="8" t="n"/>
      <c r="C4313" s="9">
        <f>IF(B4313="","",IFERROR(VLOOKUP(B4313,'Daftar Outlet'!$A$4:$B$22,2,FALSE),""))</f>
        <v/>
      </c>
      <c r="D4313" s="8" t="n"/>
      <c r="E4313" s="6" t="n"/>
      <c r="F4313" s="8" t="n"/>
    </row>
    <row r="4314">
      <c r="A4314" s="7" t="n"/>
      <c r="B4314" s="8" t="n"/>
      <c r="C4314" s="9">
        <f>IF(B4314="","",IFERROR(VLOOKUP(B4314,'Daftar Outlet'!$A$4:$B$22,2,FALSE),""))</f>
        <v/>
      </c>
      <c r="D4314" s="8" t="n"/>
      <c r="E4314" s="6" t="n"/>
      <c r="F4314" s="8" t="n"/>
    </row>
    <row r="4315">
      <c r="A4315" s="7" t="n"/>
      <c r="B4315" s="8" t="n"/>
      <c r="C4315" s="9">
        <f>IF(B4315="","",IFERROR(VLOOKUP(B4315,'Daftar Outlet'!$A$4:$B$22,2,FALSE),""))</f>
        <v/>
      </c>
      <c r="D4315" s="8" t="n"/>
      <c r="E4315" s="6" t="n"/>
      <c r="F4315" s="8" t="n"/>
    </row>
    <row r="4316">
      <c r="A4316" s="7" t="n"/>
      <c r="B4316" s="8" t="n"/>
      <c r="C4316" s="9">
        <f>IF(B4316="","",IFERROR(VLOOKUP(B4316,'Daftar Outlet'!$A$4:$B$22,2,FALSE),""))</f>
        <v/>
      </c>
      <c r="D4316" s="8" t="n"/>
      <c r="E4316" s="6" t="n"/>
      <c r="F4316" s="8" t="n"/>
    </row>
    <row r="4317">
      <c r="A4317" s="7" t="n"/>
      <c r="B4317" s="8" t="n"/>
      <c r="C4317" s="9">
        <f>IF(B4317="","",IFERROR(VLOOKUP(B4317,'Daftar Outlet'!$A$4:$B$22,2,FALSE),""))</f>
        <v/>
      </c>
      <c r="D4317" s="8" t="n"/>
      <c r="E4317" s="6" t="n"/>
      <c r="F4317" s="8" t="n"/>
    </row>
    <row r="4318">
      <c r="A4318" s="7" t="n"/>
      <c r="B4318" s="8" t="n"/>
      <c r="C4318" s="9">
        <f>IF(B4318="","",IFERROR(VLOOKUP(B4318,'Daftar Outlet'!$A$4:$B$22,2,FALSE),""))</f>
        <v/>
      </c>
      <c r="D4318" s="8" t="n"/>
      <c r="E4318" s="6" t="n"/>
      <c r="F4318" s="8" t="n"/>
    </row>
    <row r="4319">
      <c r="A4319" s="7" t="n"/>
      <c r="B4319" s="8" t="n"/>
      <c r="C4319" s="9">
        <f>IF(B4319="","",IFERROR(VLOOKUP(B4319,'Daftar Outlet'!$A$4:$B$22,2,FALSE),""))</f>
        <v/>
      </c>
      <c r="D4319" s="8" t="n"/>
      <c r="E4319" s="6" t="n"/>
      <c r="F4319" s="8" t="n"/>
    </row>
    <row r="4320">
      <c r="A4320" s="7" t="n"/>
      <c r="B4320" s="8" t="n"/>
      <c r="C4320" s="9">
        <f>IF(B4320="","",IFERROR(VLOOKUP(B4320,'Daftar Outlet'!$A$4:$B$22,2,FALSE),""))</f>
        <v/>
      </c>
      <c r="D4320" s="8" t="n"/>
      <c r="E4320" s="6" t="n"/>
      <c r="F4320" s="8" t="n"/>
    </row>
    <row r="4321">
      <c r="A4321" s="7" t="n"/>
      <c r="B4321" s="8" t="n"/>
      <c r="C4321" s="9">
        <f>IF(B4321="","",IFERROR(VLOOKUP(B4321,'Daftar Outlet'!$A$4:$B$22,2,FALSE),""))</f>
        <v/>
      </c>
      <c r="D4321" s="8" t="n"/>
      <c r="E4321" s="6" t="n"/>
      <c r="F4321" s="8" t="n"/>
    </row>
    <row r="4322">
      <c r="A4322" s="7" t="n"/>
      <c r="B4322" s="8" t="n"/>
      <c r="C4322" s="9">
        <f>IF(B4322="","",IFERROR(VLOOKUP(B4322,'Daftar Outlet'!$A$4:$B$22,2,FALSE),""))</f>
        <v/>
      </c>
      <c r="D4322" s="8" t="n"/>
      <c r="E4322" s="6" t="n"/>
      <c r="F4322" s="8" t="n"/>
    </row>
    <row r="4323">
      <c r="A4323" s="7" t="n"/>
      <c r="B4323" s="8" t="n"/>
      <c r="C4323" s="9">
        <f>IF(B4323="","",IFERROR(VLOOKUP(B4323,'Daftar Outlet'!$A$4:$B$22,2,FALSE),""))</f>
        <v/>
      </c>
      <c r="D4323" s="8" t="n"/>
      <c r="E4323" s="6" t="n"/>
      <c r="F4323" s="8" t="n"/>
    </row>
    <row r="4324">
      <c r="A4324" s="7" t="n"/>
      <c r="B4324" s="8" t="n"/>
      <c r="C4324" s="9">
        <f>IF(B4324="","",IFERROR(VLOOKUP(B4324,'Daftar Outlet'!$A$4:$B$22,2,FALSE),""))</f>
        <v/>
      </c>
      <c r="D4324" s="8" t="n"/>
      <c r="E4324" s="6" t="n"/>
      <c r="F4324" s="8" t="n"/>
    </row>
    <row r="4325">
      <c r="A4325" s="7" t="n"/>
      <c r="B4325" s="8" t="n"/>
      <c r="C4325" s="9">
        <f>IF(B4325="","",IFERROR(VLOOKUP(B4325,'Daftar Outlet'!$A$4:$B$22,2,FALSE),""))</f>
        <v/>
      </c>
      <c r="D4325" s="8" t="n"/>
      <c r="E4325" s="6" t="n"/>
      <c r="F4325" s="8" t="n"/>
    </row>
    <row r="4326">
      <c r="A4326" s="7" t="n"/>
      <c r="B4326" s="8" t="n"/>
      <c r="C4326" s="9">
        <f>IF(B4326="","",IFERROR(VLOOKUP(B4326,'Daftar Outlet'!$A$4:$B$22,2,FALSE),""))</f>
        <v/>
      </c>
      <c r="D4326" s="8" t="n"/>
      <c r="E4326" s="6" t="n"/>
      <c r="F4326" s="8" t="n"/>
    </row>
    <row r="4327">
      <c r="A4327" s="7" t="n"/>
      <c r="B4327" s="8" t="n"/>
      <c r="C4327" s="9">
        <f>IF(B4327="","",IFERROR(VLOOKUP(B4327,'Daftar Outlet'!$A$4:$B$22,2,FALSE),""))</f>
        <v/>
      </c>
      <c r="D4327" s="8" t="n"/>
      <c r="E4327" s="6" t="n"/>
      <c r="F4327" s="8" t="n"/>
    </row>
    <row r="4328">
      <c r="A4328" s="7" t="n"/>
      <c r="B4328" s="8" t="n"/>
      <c r="C4328" s="9">
        <f>IF(B4328="","",IFERROR(VLOOKUP(B4328,'Daftar Outlet'!$A$4:$B$22,2,FALSE),""))</f>
        <v/>
      </c>
      <c r="D4328" s="8" t="n"/>
      <c r="E4328" s="6" t="n"/>
      <c r="F4328" s="8" t="n"/>
    </row>
    <row r="4329">
      <c r="A4329" s="7" t="n"/>
      <c r="B4329" s="8" t="n"/>
      <c r="C4329" s="9">
        <f>IF(B4329="","",IFERROR(VLOOKUP(B4329,'Daftar Outlet'!$A$4:$B$22,2,FALSE),""))</f>
        <v/>
      </c>
      <c r="D4329" s="8" t="n"/>
      <c r="E4329" s="6" t="n"/>
      <c r="F4329" s="8" t="n"/>
    </row>
    <row r="4330">
      <c r="A4330" s="7" t="n"/>
      <c r="B4330" s="8" t="n"/>
      <c r="C4330" s="9">
        <f>IF(B4330="","",IFERROR(VLOOKUP(B4330,'Daftar Outlet'!$A$4:$B$22,2,FALSE),""))</f>
        <v/>
      </c>
      <c r="D4330" s="8" t="n"/>
      <c r="E4330" s="6" t="n"/>
      <c r="F4330" s="8" t="n"/>
    </row>
    <row r="4331">
      <c r="A4331" s="7" t="n"/>
      <c r="B4331" s="8" t="n"/>
      <c r="C4331" s="9">
        <f>IF(B4331="","",IFERROR(VLOOKUP(B4331,'Daftar Outlet'!$A$4:$B$22,2,FALSE),""))</f>
        <v/>
      </c>
      <c r="D4331" s="8" t="n"/>
      <c r="E4331" s="6" t="n"/>
      <c r="F4331" s="8" t="n"/>
    </row>
    <row r="4332">
      <c r="A4332" s="7" t="n"/>
      <c r="B4332" s="8" t="n"/>
      <c r="C4332" s="9">
        <f>IF(B4332="","",IFERROR(VLOOKUP(B4332,'Daftar Outlet'!$A$4:$B$22,2,FALSE),""))</f>
        <v/>
      </c>
      <c r="D4332" s="8" t="n"/>
      <c r="E4332" s="6" t="n"/>
      <c r="F4332" s="8" t="n"/>
    </row>
    <row r="4333">
      <c r="A4333" s="7" t="n"/>
      <c r="B4333" s="8" t="n"/>
      <c r="C4333" s="9">
        <f>IF(B4333="","",IFERROR(VLOOKUP(B4333,'Daftar Outlet'!$A$4:$B$22,2,FALSE),""))</f>
        <v/>
      </c>
      <c r="D4333" s="8" t="n"/>
      <c r="E4333" s="6" t="n"/>
      <c r="F4333" s="8" t="n"/>
    </row>
    <row r="4334">
      <c r="A4334" s="7" t="n"/>
      <c r="B4334" s="8" t="n"/>
      <c r="C4334" s="9">
        <f>IF(B4334="","",IFERROR(VLOOKUP(B4334,'Daftar Outlet'!$A$4:$B$22,2,FALSE),""))</f>
        <v/>
      </c>
      <c r="D4334" s="8" t="n"/>
      <c r="E4334" s="6" t="n"/>
      <c r="F4334" s="8" t="n"/>
    </row>
    <row r="4335">
      <c r="A4335" s="7" t="n"/>
      <c r="B4335" s="8" t="n"/>
      <c r="C4335" s="9">
        <f>IF(B4335="","",IFERROR(VLOOKUP(B4335,'Daftar Outlet'!$A$4:$B$22,2,FALSE),""))</f>
        <v/>
      </c>
      <c r="D4335" s="8" t="n"/>
      <c r="E4335" s="6" t="n"/>
      <c r="F4335" s="8" t="n"/>
    </row>
    <row r="4336">
      <c r="A4336" s="7" t="n"/>
      <c r="B4336" s="8" t="n"/>
      <c r="C4336" s="9">
        <f>IF(B4336="","",IFERROR(VLOOKUP(B4336,'Daftar Outlet'!$A$4:$B$22,2,FALSE),""))</f>
        <v/>
      </c>
      <c r="D4336" s="8" t="n"/>
      <c r="E4336" s="6" t="n"/>
      <c r="F4336" s="8" t="n"/>
    </row>
    <row r="4337">
      <c r="A4337" s="7" t="n"/>
      <c r="B4337" s="8" t="n"/>
      <c r="C4337" s="9">
        <f>IF(B4337="","",IFERROR(VLOOKUP(B4337,'Daftar Outlet'!$A$4:$B$22,2,FALSE),""))</f>
        <v/>
      </c>
      <c r="D4337" s="8" t="n"/>
      <c r="E4337" s="6" t="n"/>
      <c r="F4337" s="8" t="n"/>
    </row>
    <row r="4338">
      <c r="A4338" s="7" t="n"/>
      <c r="B4338" s="8" t="n"/>
      <c r="C4338" s="9">
        <f>IF(B4338="","",IFERROR(VLOOKUP(B4338,'Daftar Outlet'!$A$4:$B$22,2,FALSE),""))</f>
        <v/>
      </c>
      <c r="D4338" s="8" t="n"/>
      <c r="E4338" s="6" t="n"/>
      <c r="F4338" s="8" t="n"/>
    </row>
    <row r="4339">
      <c r="A4339" s="7" t="n"/>
      <c r="B4339" s="8" t="n"/>
      <c r="C4339" s="9">
        <f>IF(B4339="","",IFERROR(VLOOKUP(B4339,'Daftar Outlet'!$A$4:$B$22,2,FALSE),""))</f>
        <v/>
      </c>
      <c r="D4339" s="8" t="n"/>
      <c r="E4339" s="6" t="n"/>
      <c r="F4339" s="8" t="n"/>
    </row>
    <row r="4340">
      <c r="A4340" s="7" t="n"/>
      <c r="B4340" s="8" t="n"/>
      <c r="C4340" s="9">
        <f>IF(B4340="","",IFERROR(VLOOKUP(B4340,'Daftar Outlet'!$A$4:$B$22,2,FALSE),""))</f>
        <v/>
      </c>
      <c r="D4340" s="8" t="n"/>
      <c r="E4340" s="6" t="n"/>
      <c r="F4340" s="8" t="n"/>
    </row>
    <row r="4341">
      <c r="A4341" s="7" t="n"/>
      <c r="B4341" s="8" t="n"/>
      <c r="C4341" s="9">
        <f>IF(B4341="","",IFERROR(VLOOKUP(B4341,'Daftar Outlet'!$A$4:$B$22,2,FALSE),""))</f>
        <v/>
      </c>
      <c r="D4341" s="8" t="n"/>
      <c r="E4341" s="6" t="n"/>
      <c r="F4341" s="8" t="n"/>
    </row>
    <row r="4342">
      <c r="A4342" s="7" t="n"/>
      <c r="B4342" s="8" t="n"/>
      <c r="C4342" s="9">
        <f>IF(B4342="","",IFERROR(VLOOKUP(B4342,'Daftar Outlet'!$A$4:$B$22,2,FALSE),""))</f>
        <v/>
      </c>
      <c r="D4342" s="8" t="n"/>
      <c r="E4342" s="6" t="n"/>
      <c r="F4342" s="8" t="n"/>
    </row>
    <row r="4343">
      <c r="A4343" s="7" t="n"/>
      <c r="B4343" s="8" t="n"/>
      <c r="C4343" s="9">
        <f>IF(B4343="","",IFERROR(VLOOKUP(B4343,'Daftar Outlet'!$A$4:$B$22,2,FALSE),""))</f>
        <v/>
      </c>
      <c r="D4343" s="8" t="n"/>
      <c r="E4343" s="6" t="n"/>
      <c r="F4343" s="8" t="n"/>
    </row>
    <row r="4344">
      <c r="A4344" s="7" t="n"/>
      <c r="B4344" s="8" t="n"/>
      <c r="C4344" s="9">
        <f>IF(B4344="","",IFERROR(VLOOKUP(B4344,'Daftar Outlet'!$A$4:$B$22,2,FALSE),""))</f>
        <v/>
      </c>
      <c r="D4344" s="8" t="n"/>
      <c r="E4344" s="6" t="n"/>
      <c r="F4344" s="8" t="n"/>
    </row>
    <row r="4345">
      <c r="A4345" s="7" t="n"/>
      <c r="B4345" s="8" t="n"/>
      <c r="C4345" s="9">
        <f>IF(B4345="","",IFERROR(VLOOKUP(B4345,'Daftar Outlet'!$A$4:$B$22,2,FALSE),""))</f>
        <v/>
      </c>
      <c r="D4345" s="8" t="n"/>
      <c r="E4345" s="6" t="n"/>
      <c r="F4345" s="8" t="n"/>
    </row>
    <row r="4346">
      <c r="A4346" s="7" t="n"/>
      <c r="B4346" s="8" t="n"/>
      <c r="C4346" s="9">
        <f>IF(B4346="","",IFERROR(VLOOKUP(B4346,'Daftar Outlet'!$A$4:$B$22,2,FALSE),""))</f>
        <v/>
      </c>
      <c r="D4346" s="8" t="n"/>
      <c r="E4346" s="6" t="n"/>
      <c r="F4346" s="8" t="n"/>
    </row>
    <row r="4347">
      <c r="A4347" s="7" t="n"/>
      <c r="B4347" s="8" t="n"/>
      <c r="C4347" s="9">
        <f>IF(B4347="","",IFERROR(VLOOKUP(B4347,'Daftar Outlet'!$A$4:$B$22,2,FALSE),""))</f>
        <v/>
      </c>
      <c r="D4347" s="8" t="n"/>
      <c r="E4347" s="6" t="n"/>
      <c r="F4347" s="8" t="n"/>
    </row>
    <row r="4348">
      <c r="A4348" s="7" t="n"/>
      <c r="B4348" s="8" t="n"/>
      <c r="C4348" s="9">
        <f>IF(B4348="","",IFERROR(VLOOKUP(B4348,'Daftar Outlet'!$A$4:$B$22,2,FALSE),""))</f>
        <v/>
      </c>
      <c r="D4348" s="8" t="n"/>
      <c r="E4348" s="6" t="n"/>
      <c r="F4348" s="8" t="n"/>
    </row>
    <row r="4349">
      <c r="A4349" s="7" t="n"/>
      <c r="B4349" s="8" t="n"/>
      <c r="C4349" s="9">
        <f>IF(B4349="","",IFERROR(VLOOKUP(B4349,'Daftar Outlet'!$A$4:$B$22,2,FALSE),""))</f>
        <v/>
      </c>
      <c r="D4349" s="8" t="n"/>
      <c r="E4349" s="6" t="n"/>
      <c r="F4349" s="8" t="n"/>
    </row>
    <row r="4350">
      <c r="A4350" s="7" t="n"/>
      <c r="B4350" s="8" t="n"/>
      <c r="C4350" s="9">
        <f>IF(B4350="","",IFERROR(VLOOKUP(B4350,'Daftar Outlet'!$A$4:$B$22,2,FALSE),""))</f>
        <v/>
      </c>
      <c r="D4350" s="8" t="n"/>
      <c r="E4350" s="6" t="n"/>
      <c r="F4350" s="8" t="n"/>
    </row>
    <row r="4351">
      <c r="A4351" s="7" t="n"/>
      <c r="B4351" s="8" t="n"/>
      <c r="C4351" s="9">
        <f>IF(B4351="","",IFERROR(VLOOKUP(B4351,'Daftar Outlet'!$A$4:$B$22,2,FALSE),""))</f>
        <v/>
      </c>
      <c r="D4351" s="8" t="n"/>
      <c r="E4351" s="6" t="n"/>
      <c r="F4351" s="8" t="n"/>
    </row>
    <row r="4352">
      <c r="A4352" s="7" t="n"/>
      <c r="B4352" s="8" t="n"/>
      <c r="C4352" s="9">
        <f>IF(B4352="","",IFERROR(VLOOKUP(B4352,'Daftar Outlet'!$A$4:$B$22,2,FALSE),""))</f>
        <v/>
      </c>
      <c r="D4352" s="8" t="n"/>
      <c r="E4352" s="6" t="n"/>
      <c r="F4352" s="8" t="n"/>
    </row>
    <row r="4353">
      <c r="A4353" s="7" t="n"/>
      <c r="B4353" s="8" t="n"/>
      <c r="C4353" s="9">
        <f>IF(B4353="","",IFERROR(VLOOKUP(B4353,'Daftar Outlet'!$A$4:$B$22,2,FALSE),""))</f>
        <v/>
      </c>
      <c r="D4353" s="8" t="n"/>
      <c r="E4353" s="6" t="n"/>
      <c r="F4353" s="8" t="n"/>
    </row>
    <row r="4354">
      <c r="A4354" s="7" t="n"/>
      <c r="B4354" s="8" t="n"/>
      <c r="C4354" s="9">
        <f>IF(B4354="","",IFERROR(VLOOKUP(B4354,'Daftar Outlet'!$A$4:$B$22,2,FALSE),""))</f>
        <v/>
      </c>
      <c r="D4354" s="8" t="n"/>
      <c r="E4354" s="6" t="n"/>
      <c r="F4354" s="8" t="n"/>
    </row>
    <row r="4355">
      <c r="A4355" s="7" t="n"/>
      <c r="B4355" s="8" t="n"/>
      <c r="C4355" s="9">
        <f>IF(B4355="","",IFERROR(VLOOKUP(B4355,'Daftar Outlet'!$A$4:$B$22,2,FALSE),""))</f>
        <v/>
      </c>
      <c r="D4355" s="8" t="n"/>
      <c r="E4355" s="6" t="n"/>
      <c r="F4355" s="8" t="n"/>
    </row>
    <row r="4356">
      <c r="A4356" s="7" t="n"/>
      <c r="B4356" s="8" t="n"/>
      <c r="C4356" s="9">
        <f>IF(B4356="","",IFERROR(VLOOKUP(B4356,'Daftar Outlet'!$A$4:$B$22,2,FALSE),""))</f>
        <v/>
      </c>
      <c r="D4356" s="8" t="n"/>
      <c r="E4356" s="6" t="n"/>
      <c r="F4356" s="8" t="n"/>
    </row>
    <row r="4357">
      <c r="A4357" s="7" t="n"/>
      <c r="B4357" s="8" t="n"/>
      <c r="C4357" s="9">
        <f>IF(B4357="","",IFERROR(VLOOKUP(B4357,'Daftar Outlet'!$A$4:$B$22,2,FALSE),""))</f>
        <v/>
      </c>
      <c r="D4357" s="8" t="n"/>
      <c r="E4357" s="6" t="n"/>
      <c r="F4357" s="8" t="n"/>
    </row>
    <row r="4358">
      <c r="A4358" s="7" t="n"/>
      <c r="B4358" s="8" t="n"/>
      <c r="C4358" s="9">
        <f>IF(B4358="","",IFERROR(VLOOKUP(B4358,'Daftar Outlet'!$A$4:$B$22,2,FALSE),""))</f>
        <v/>
      </c>
      <c r="D4358" s="8" t="n"/>
      <c r="E4358" s="6" t="n"/>
      <c r="F4358" s="8" t="n"/>
    </row>
    <row r="4359">
      <c r="A4359" s="7" t="n"/>
      <c r="B4359" s="8" t="n"/>
      <c r="C4359" s="9">
        <f>IF(B4359="","",IFERROR(VLOOKUP(B4359,'Daftar Outlet'!$A$4:$B$22,2,FALSE),""))</f>
        <v/>
      </c>
      <c r="D4359" s="8" t="n"/>
      <c r="E4359" s="6" t="n"/>
      <c r="F4359" s="8" t="n"/>
    </row>
    <row r="4360">
      <c r="A4360" s="7" t="n"/>
      <c r="B4360" s="8" t="n"/>
      <c r="C4360" s="9">
        <f>IF(B4360="","",IFERROR(VLOOKUP(B4360,'Daftar Outlet'!$A$4:$B$22,2,FALSE),""))</f>
        <v/>
      </c>
      <c r="D4360" s="8" t="n"/>
      <c r="E4360" s="6" t="n"/>
      <c r="F4360" s="8" t="n"/>
    </row>
    <row r="4361">
      <c r="A4361" s="7" t="n"/>
      <c r="B4361" s="8" t="n"/>
      <c r="C4361" s="9">
        <f>IF(B4361="","",IFERROR(VLOOKUP(B4361,'Daftar Outlet'!$A$4:$B$22,2,FALSE),""))</f>
        <v/>
      </c>
      <c r="D4361" s="8" t="n"/>
      <c r="E4361" s="6" t="n"/>
      <c r="F4361" s="8" t="n"/>
    </row>
    <row r="4362">
      <c r="A4362" s="7" t="n"/>
      <c r="B4362" s="8" t="n"/>
      <c r="C4362" s="9">
        <f>IF(B4362="","",IFERROR(VLOOKUP(B4362,'Daftar Outlet'!$A$4:$B$22,2,FALSE),""))</f>
        <v/>
      </c>
      <c r="D4362" s="8" t="n"/>
      <c r="E4362" s="6" t="n"/>
      <c r="F4362" s="8" t="n"/>
    </row>
    <row r="4363">
      <c r="A4363" s="7" t="n"/>
      <c r="B4363" s="8" t="n"/>
      <c r="C4363" s="9">
        <f>IF(B4363="","",IFERROR(VLOOKUP(B4363,'Daftar Outlet'!$A$4:$B$22,2,FALSE),""))</f>
        <v/>
      </c>
      <c r="D4363" s="8" t="n"/>
      <c r="E4363" s="6" t="n"/>
      <c r="F4363" s="8" t="n"/>
    </row>
    <row r="4364">
      <c r="A4364" s="7" t="n"/>
      <c r="B4364" s="8" t="n"/>
      <c r="C4364" s="9">
        <f>IF(B4364="","",IFERROR(VLOOKUP(B4364,'Daftar Outlet'!$A$4:$B$22,2,FALSE),""))</f>
        <v/>
      </c>
      <c r="D4364" s="8" t="n"/>
      <c r="E4364" s="6" t="n"/>
      <c r="F4364" s="8" t="n"/>
    </row>
    <row r="4365">
      <c r="A4365" s="7" t="n"/>
      <c r="B4365" s="8" t="n"/>
      <c r="C4365" s="9">
        <f>IF(B4365="","",IFERROR(VLOOKUP(B4365,'Daftar Outlet'!$A$4:$B$22,2,FALSE),""))</f>
        <v/>
      </c>
      <c r="D4365" s="8" t="n"/>
      <c r="E4365" s="6" t="n"/>
      <c r="F4365" s="8" t="n"/>
    </row>
    <row r="4366">
      <c r="A4366" s="7" t="n"/>
      <c r="B4366" s="8" t="n"/>
      <c r="C4366" s="9">
        <f>IF(B4366="","",IFERROR(VLOOKUP(B4366,'Daftar Outlet'!$A$4:$B$22,2,FALSE),""))</f>
        <v/>
      </c>
      <c r="D4366" s="8" t="n"/>
      <c r="E4366" s="6" t="n"/>
      <c r="F4366" s="8" t="n"/>
    </row>
    <row r="4367">
      <c r="A4367" s="7" t="n"/>
      <c r="B4367" s="8" t="n"/>
      <c r="C4367" s="9">
        <f>IF(B4367="","",IFERROR(VLOOKUP(B4367,'Daftar Outlet'!$A$4:$B$22,2,FALSE),""))</f>
        <v/>
      </c>
      <c r="D4367" s="8" t="n"/>
      <c r="E4367" s="6" t="n"/>
      <c r="F4367" s="8" t="n"/>
    </row>
    <row r="4368">
      <c r="A4368" s="7" t="n"/>
      <c r="B4368" s="8" t="n"/>
      <c r="C4368" s="9">
        <f>IF(B4368="","",IFERROR(VLOOKUP(B4368,'Daftar Outlet'!$A$4:$B$22,2,FALSE),""))</f>
        <v/>
      </c>
      <c r="D4368" s="8" t="n"/>
      <c r="E4368" s="6" t="n"/>
      <c r="F4368" s="8" t="n"/>
    </row>
    <row r="4369">
      <c r="A4369" s="7" t="n"/>
      <c r="B4369" s="8" t="n"/>
      <c r="C4369" s="9">
        <f>IF(B4369="","",IFERROR(VLOOKUP(B4369,'Daftar Outlet'!$A$4:$B$22,2,FALSE),""))</f>
        <v/>
      </c>
      <c r="D4369" s="8" t="n"/>
      <c r="E4369" s="6" t="n"/>
      <c r="F4369" s="8" t="n"/>
    </row>
    <row r="4370">
      <c r="A4370" s="7" t="n"/>
      <c r="B4370" s="8" t="n"/>
      <c r="C4370" s="9">
        <f>IF(B4370="","",IFERROR(VLOOKUP(B4370,'Daftar Outlet'!$A$4:$B$22,2,FALSE),""))</f>
        <v/>
      </c>
      <c r="D4370" s="8" t="n"/>
      <c r="E4370" s="6" t="n"/>
      <c r="F4370" s="8" t="n"/>
    </row>
    <row r="4371">
      <c r="A4371" s="7" t="n"/>
      <c r="B4371" s="8" t="n"/>
      <c r="C4371" s="9">
        <f>IF(B4371="","",IFERROR(VLOOKUP(B4371,'Daftar Outlet'!$A$4:$B$22,2,FALSE),""))</f>
        <v/>
      </c>
      <c r="D4371" s="8" t="n"/>
      <c r="E4371" s="6" t="n"/>
      <c r="F4371" s="8" t="n"/>
    </row>
    <row r="4372">
      <c r="A4372" s="7" t="n"/>
      <c r="B4372" s="8" t="n"/>
      <c r="C4372" s="9">
        <f>IF(B4372="","",IFERROR(VLOOKUP(B4372,'Daftar Outlet'!$A$4:$B$22,2,FALSE),""))</f>
        <v/>
      </c>
      <c r="D4372" s="8" t="n"/>
      <c r="E4372" s="6" t="n"/>
      <c r="F4372" s="8" t="n"/>
    </row>
    <row r="4373">
      <c r="A4373" s="7" t="n"/>
      <c r="B4373" s="8" t="n"/>
      <c r="C4373" s="9">
        <f>IF(B4373="","",IFERROR(VLOOKUP(B4373,'Daftar Outlet'!$A$4:$B$22,2,FALSE),""))</f>
        <v/>
      </c>
      <c r="D4373" s="8" t="n"/>
      <c r="E4373" s="6" t="n"/>
      <c r="F4373" s="8" t="n"/>
    </row>
    <row r="4374">
      <c r="A4374" s="7" t="n"/>
      <c r="B4374" s="8" t="n"/>
      <c r="C4374" s="9">
        <f>IF(B4374="","",IFERROR(VLOOKUP(B4374,'Daftar Outlet'!$A$4:$B$22,2,FALSE),""))</f>
        <v/>
      </c>
      <c r="D4374" s="8" t="n"/>
      <c r="E4374" s="6" t="n"/>
      <c r="F4374" s="8" t="n"/>
    </row>
    <row r="4375">
      <c r="A4375" s="7" t="n"/>
      <c r="B4375" s="8" t="n"/>
      <c r="C4375" s="9">
        <f>IF(B4375="","",IFERROR(VLOOKUP(B4375,'Daftar Outlet'!$A$4:$B$22,2,FALSE),""))</f>
        <v/>
      </c>
      <c r="D4375" s="8" t="n"/>
      <c r="E4375" s="6" t="n"/>
      <c r="F4375" s="8" t="n"/>
    </row>
    <row r="4376">
      <c r="A4376" s="7" t="n"/>
      <c r="B4376" s="8" t="n"/>
      <c r="C4376" s="9">
        <f>IF(B4376="","",IFERROR(VLOOKUP(B4376,'Daftar Outlet'!$A$4:$B$22,2,FALSE),""))</f>
        <v/>
      </c>
      <c r="D4376" s="8" t="n"/>
      <c r="E4376" s="6" t="n"/>
      <c r="F4376" s="8" t="n"/>
    </row>
    <row r="4377">
      <c r="A4377" s="7" t="n"/>
      <c r="B4377" s="8" t="n"/>
      <c r="C4377" s="9">
        <f>IF(B4377="","",IFERROR(VLOOKUP(B4377,'Daftar Outlet'!$A$4:$B$22,2,FALSE),""))</f>
        <v/>
      </c>
      <c r="D4377" s="8" t="n"/>
      <c r="E4377" s="6" t="n"/>
      <c r="F4377" s="8" t="n"/>
    </row>
    <row r="4378">
      <c r="A4378" s="7" t="n"/>
      <c r="B4378" s="8" t="n"/>
      <c r="C4378" s="9">
        <f>IF(B4378="","",IFERROR(VLOOKUP(B4378,'Daftar Outlet'!$A$4:$B$22,2,FALSE),""))</f>
        <v/>
      </c>
      <c r="D4378" s="8" t="n"/>
      <c r="E4378" s="6" t="n"/>
      <c r="F4378" s="8" t="n"/>
    </row>
    <row r="4379">
      <c r="A4379" s="7" t="n"/>
      <c r="B4379" s="8" t="n"/>
      <c r="C4379" s="9">
        <f>IF(B4379="","",IFERROR(VLOOKUP(B4379,'Daftar Outlet'!$A$4:$B$22,2,FALSE),""))</f>
        <v/>
      </c>
      <c r="D4379" s="8" t="n"/>
      <c r="E4379" s="6" t="n"/>
      <c r="F4379" s="8" t="n"/>
    </row>
    <row r="4380">
      <c r="A4380" s="7" t="n"/>
      <c r="B4380" s="8" t="n"/>
      <c r="C4380" s="9">
        <f>IF(B4380="","",IFERROR(VLOOKUP(B4380,'Daftar Outlet'!$A$4:$B$22,2,FALSE),""))</f>
        <v/>
      </c>
      <c r="D4380" s="8" t="n"/>
      <c r="E4380" s="6" t="n"/>
      <c r="F4380" s="8" t="n"/>
    </row>
    <row r="4381">
      <c r="A4381" s="7" t="n"/>
      <c r="B4381" s="8" t="n"/>
      <c r="C4381" s="9">
        <f>IF(B4381="","",IFERROR(VLOOKUP(B4381,'Daftar Outlet'!$A$4:$B$22,2,FALSE),""))</f>
        <v/>
      </c>
      <c r="D4381" s="8" t="n"/>
      <c r="E4381" s="6" t="n"/>
      <c r="F4381" s="8" t="n"/>
    </row>
    <row r="4382">
      <c r="A4382" s="7" t="n"/>
      <c r="B4382" s="8" t="n"/>
      <c r="C4382" s="9">
        <f>IF(B4382="","",IFERROR(VLOOKUP(B4382,'Daftar Outlet'!$A$4:$B$22,2,FALSE),""))</f>
        <v/>
      </c>
      <c r="D4382" s="8" t="n"/>
      <c r="E4382" s="6" t="n"/>
      <c r="F4382" s="8" t="n"/>
    </row>
    <row r="4383">
      <c r="A4383" s="7" t="n"/>
      <c r="B4383" s="8" t="n"/>
      <c r="C4383" s="9">
        <f>IF(B4383="","",IFERROR(VLOOKUP(B4383,'Daftar Outlet'!$A$4:$B$22,2,FALSE),""))</f>
        <v/>
      </c>
      <c r="D4383" s="8" t="n"/>
      <c r="E4383" s="6" t="n"/>
      <c r="F4383" s="8" t="n"/>
    </row>
    <row r="4384">
      <c r="A4384" s="7" t="n"/>
      <c r="B4384" s="8" t="n"/>
      <c r="C4384" s="9">
        <f>IF(B4384="","",IFERROR(VLOOKUP(B4384,'Daftar Outlet'!$A$4:$B$22,2,FALSE),""))</f>
        <v/>
      </c>
      <c r="D4384" s="8" t="n"/>
      <c r="E4384" s="6" t="n"/>
      <c r="F4384" s="8" t="n"/>
    </row>
    <row r="4385">
      <c r="A4385" s="7" t="n"/>
      <c r="B4385" s="8" t="n"/>
      <c r="C4385" s="9">
        <f>IF(B4385="","",IFERROR(VLOOKUP(B4385,'Daftar Outlet'!$A$4:$B$22,2,FALSE),""))</f>
        <v/>
      </c>
      <c r="D4385" s="8" t="n"/>
      <c r="E4385" s="6" t="n"/>
      <c r="F4385" s="8" t="n"/>
    </row>
    <row r="4386">
      <c r="A4386" s="7" t="n"/>
      <c r="B4386" s="8" t="n"/>
      <c r="C4386" s="9">
        <f>IF(B4386="","",IFERROR(VLOOKUP(B4386,'Daftar Outlet'!$A$4:$B$22,2,FALSE),""))</f>
        <v/>
      </c>
      <c r="D4386" s="8" t="n"/>
      <c r="E4386" s="6" t="n"/>
      <c r="F4386" s="8" t="n"/>
    </row>
    <row r="4387">
      <c r="A4387" s="7" t="n"/>
      <c r="B4387" s="8" t="n"/>
      <c r="C4387" s="9">
        <f>IF(B4387="","",IFERROR(VLOOKUP(B4387,'Daftar Outlet'!$A$4:$B$22,2,FALSE),""))</f>
        <v/>
      </c>
      <c r="D4387" s="8" t="n"/>
      <c r="E4387" s="6" t="n"/>
      <c r="F4387" s="8" t="n"/>
    </row>
    <row r="4388">
      <c r="A4388" s="7" t="n"/>
      <c r="B4388" s="8" t="n"/>
      <c r="C4388" s="9">
        <f>IF(B4388="","",IFERROR(VLOOKUP(B4388,'Daftar Outlet'!$A$4:$B$22,2,FALSE),""))</f>
        <v/>
      </c>
      <c r="D4388" s="8" t="n"/>
      <c r="E4388" s="6" t="n"/>
      <c r="F4388" s="8" t="n"/>
    </row>
    <row r="4389">
      <c r="A4389" s="7" t="n"/>
      <c r="B4389" s="8" t="n"/>
      <c r="C4389" s="9">
        <f>IF(B4389="","",IFERROR(VLOOKUP(B4389,'Daftar Outlet'!$A$4:$B$22,2,FALSE),""))</f>
        <v/>
      </c>
      <c r="D4389" s="8" t="n"/>
      <c r="E4389" s="6" t="n"/>
      <c r="F4389" s="8" t="n"/>
    </row>
    <row r="4390">
      <c r="A4390" s="7" t="n"/>
      <c r="B4390" s="8" t="n"/>
      <c r="C4390" s="9">
        <f>IF(B4390="","",IFERROR(VLOOKUP(B4390,'Daftar Outlet'!$A$4:$B$22,2,FALSE),""))</f>
        <v/>
      </c>
      <c r="D4390" s="8" t="n"/>
      <c r="E4390" s="6" t="n"/>
      <c r="F4390" s="8" t="n"/>
    </row>
    <row r="4391">
      <c r="A4391" s="7" t="n"/>
      <c r="B4391" s="8" t="n"/>
      <c r="C4391" s="9">
        <f>IF(B4391="","",IFERROR(VLOOKUP(B4391,'Daftar Outlet'!$A$4:$B$22,2,FALSE),""))</f>
        <v/>
      </c>
      <c r="D4391" s="8" t="n"/>
      <c r="E4391" s="6" t="n"/>
      <c r="F4391" s="8" t="n"/>
    </row>
    <row r="4392">
      <c r="A4392" s="7" t="n"/>
      <c r="B4392" s="8" t="n"/>
      <c r="C4392" s="9">
        <f>IF(B4392="","",IFERROR(VLOOKUP(B4392,'Daftar Outlet'!$A$4:$B$22,2,FALSE),""))</f>
        <v/>
      </c>
      <c r="D4392" s="8" t="n"/>
      <c r="E4392" s="6" t="n"/>
      <c r="F4392" s="8" t="n"/>
    </row>
    <row r="4393">
      <c r="A4393" s="7" t="n"/>
      <c r="B4393" s="8" t="n"/>
      <c r="C4393" s="9">
        <f>IF(B4393="","",IFERROR(VLOOKUP(B4393,'Daftar Outlet'!$A$4:$B$22,2,FALSE),""))</f>
        <v/>
      </c>
      <c r="D4393" s="8" t="n"/>
      <c r="E4393" s="6" t="n"/>
      <c r="F4393" s="8" t="n"/>
    </row>
    <row r="4394">
      <c r="A4394" s="7" t="n"/>
      <c r="B4394" s="8" t="n"/>
      <c r="C4394" s="9">
        <f>IF(B4394="","",IFERROR(VLOOKUP(B4394,'Daftar Outlet'!$A$4:$B$22,2,FALSE),""))</f>
        <v/>
      </c>
      <c r="D4394" s="8" t="n"/>
      <c r="E4394" s="6" t="n"/>
      <c r="F4394" s="8" t="n"/>
    </row>
    <row r="4395">
      <c r="A4395" s="7" t="n"/>
      <c r="B4395" s="8" t="n"/>
      <c r="C4395" s="9">
        <f>IF(B4395="","",IFERROR(VLOOKUP(B4395,'Daftar Outlet'!$A$4:$B$22,2,FALSE),""))</f>
        <v/>
      </c>
      <c r="D4395" s="8" t="n"/>
      <c r="E4395" s="6" t="n"/>
      <c r="F4395" s="8" t="n"/>
    </row>
    <row r="4396">
      <c r="A4396" s="7" t="n"/>
      <c r="B4396" s="8" t="n"/>
      <c r="C4396" s="9">
        <f>IF(B4396="","",IFERROR(VLOOKUP(B4396,'Daftar Outlet'!$A$4:$B$22,2,FALSE),""))</f>
        <v/>
      </c>
      <c r="D4396" s="8" t="n"/>
      <c r="E4396" s="6" t="n"/>
      <c r="F4396" s="8" t="n"/>
    </row>
    <row r="4397">
      <c r="A4397" s="7" t="n"/>
      <c r="B4397" s="8" t="n"/>
      <c r="C4397" s="9">
        <f>IF(B4397="","",IFERROR(VLOOKUP(B4397,'Daftar Outlet'!$A$4:$B$22,2,FALSE),""))</f>
        <v/>
      </c>
      <c r="D4397" s="8" t="n"/>
      <c r="E4397" s="6" t="n"/>
      <c r="F4397" s="8" t="n"/>
    </row>
    <row r="4398">
      <c r="A4398" s="7" t="n"/>
      <c r="B4398" s="8" t="n"/>
      <c r="C4398" s="9">
        <f>IF(B4398="","",IFERROR(VLOOKUP(B4398,'Daftar Outlet'!$A$4:$B$22,2,FALSE),""))</f>
        <v/>
      </c>
      <c r="D4398" s="8" t="n"/>
      <c r="E4398" s="6" t="n"/>
      <c r="F4398" s="8" t="n"/>
    </row>
    <row r="4399">
      <c r="A4399" s="7" t="n"/>
      <c r="B4399" s="8" t="n"/>
      <c r="C4399" s="9">
        <f>IF(B4399="","",IFERROR(VLOOKUP(B4399,'Daftar Outlet'!$A$4:$B$22,2,FALSE),""))</f>
        <v/>
      </c>
      <c r="D4399" s="8" t="n"/>
      <c r="E4399" s="6" t="n"/>
      <c r="F4399" s="8" t="n"/>
    </row>
    <row r="4400">
      <c r="A4400" s="7" t="n"/>
      <c r="B4400" s="8" t="n"/>
      <c r="C4400" s="9">
        <f>IF(B4400="","",IFERROR(VLOOKUP(B4400,'Daftar Outlet'!$A$4:$B$22,2,FALSE),""))</f>
        <v/>
      </c>
      <c r="D4400" s="8" t="n"/>
      <c r="E4400" s="6" t="n"/>
      <c r="F4400" s="8" t="n"/>
    </row>
    <row r="4401">
      <c r="A4401" s="7" t="n"/>
      <c r="B4401" s="8" t="n"/>
      <c r="C4401" s="9">
        <f>IF(B4401="","",IFERROR(VLOOKUP(B4401,'Daftar Outlet'!$A$4:$B$22,2,FALSE),""))</f>
        <v/>
      </c>
      <c r="D4401" s="8" t="n"/>
      <c r="E4401" s="6" t="n"/>
      <c r="F4401" s="8" t="n"/>
    </row>
    <row r="4402">
      <c r="A4402" s="7" t="n"/>
      <c r="B4402" s="8" t="n"/>
      <c r="C4402" s="9">
        <f>IF(B4402="","",IFERROR(VLOOKUP(B4402,'Daftar Outlet'!$A$4:$B$22,2,FALSE),""))</f>
        <v/>
      </c>
      <c r="D4402" s="8" t="n"/>
      <c r="E4402" s="6" t="n"/>
      <c r="F4402" s="8" t="n"/>
    </row>
    <row r="4403">
      <c r="A4403" s="7" t="n"/>
      <c r="B4403" s="8" t="n"/>
      <c r="C4403" s="9">
        <f>IF(B4403="","",IFERROR(VLOOKUP(B4403,'Daftar Outlet'!$A$4:$B$22,2,FALSE),""))</f>
        <v/>
      </c>
      <c r="D4403" s="8" t="n"/>
      <c r="E4403" s="6" t="n"/>
      <c r="F4403" s="8" t="n"/>
    </row>
    <row r="4404">
      <c r="A4404" s="7" t="n"/>
      <c r="B4404" s="8" t="n"/>
      <c r="C4404" s="9">
        <f>IF(B4404="","",IFERROR(VLOOKUP(B4404,'Daftar Outlet'!$A$4:$B$22,2,FALSE),""))</f>
        <v/>
      </c>
      <c r="D4404" s="8" t="n"/>
      <c r="E4404" s="6" t="n"/>
      <c r="F4404" s="8" t="n"/>
    </row>
    <row r="4405">
      <c r="A4405" s="7" t="n"/>
      <c r="B4405" s="8" t="n"/>
      <c r="C4405" s="9">
        <f>IF(B4405="","",IFERROR(VLOOKUP(B4405,'Daftar Outlet'!$A$4:$B$22,2,FALSE),""))</f>
        <v/>
      </c>
      <c r="D4405" s="8" t="n"/>
      <c r="E4405" s="6" t="n"/>
      <c r="F4405" s="8" t="n"/>
    </row>
    <row r="4406">
      <c r="A4406" s="7" t="n"/>
      <c r="B4406" s="8" t="n"/>
      <c r="C4406" s="9">
        <f>IF(B4406="","",IFERROR(VLOOKUP(B4406,'Daftar Outlet'!$A$4:$B$22,2,FALSE),""))</f>
        <v/>
      </c>
      <c r="D4406" s="8" t="n"/>
      <c r="E4406" s="6" t="n"/>
      <c r="F4406" s="8" t="n"/>
    </row>
    <row r="4407">
      <c r="A4407" s="7" t="n"/>
      <c r="B4407" s="8" t="n"/>
      <c r="C4407" s="9">
        <f>IF(B4407="","",IFERROR(VLOOKUP(B4407,'Daftar Outlet'!$A$4:$B$22,2,FALSE),""))</f>
        <v/>
      </c>
      <c r="D4407" s="8" t="n"/>
      <c r="E4407" s="6" t="n"/>
      <c r="F4407" s="8" t="n"/>
    </row>
    <row r="4408">
      <c r="A4408" s="7" t="n"/>
      <c r="B4408" s="8" t="n"/>
      <c r="C4408" s="9">
        <f>IF(B4408="","",IFERROR(VLOOKUP(B4408,'Daftar Outlet'!$A$4:$B$22,2,FALSE),""))</f>
        <v/>
      </c>
      <c r="D4408" s="8" t="n"/>
      <c r="E4408" s="6" t="n"/>
      <c r="F4408" s="8" t="n"/>
    </row>
    <row r="4409">
      <c r="A4409" s="7" t="n"/>
      <c r="B4409" s="8" t="n"/>
      <c r="C4409" s="9">
        <f>IF(B4409="","",IFERROR(VLOOKUP(B4409,'Daftar Outlet'!$A$4:$B$22,2,FALSE),""))</f>
        <v/>
      </c>
      <c r="D4409" s="8" t="n"/>
      <c r="E4409" s="6" t="n"/>
      <c r="F4409" s="8" t="n"/>
    </row>
    <row r="4410">
      <c r="A4410" s="7" t="n"/>
      <c r="B4410" s="8" t="n"/>
      <c r="C4410" s="9">
        <f>IF(B4410="","",IFERROR(VLOOKUP(B4410,'Daftar Outlet'!$A$4:$B$22,2,FALSE),""))</f>
        <v/>
      </c>
      <c r="D4410" s="8" t="n"/>
      <c r="E4410" s="6" t="n"/>
      <c r="F4410" s="8" t="n"/>
    </row>
    <row r="4411">
      <c r="A4411" s="7" t="n"/>
      <c r="B4411" s="8" t="n"/>
      <c r="C4411" s="9">
        <f>IF(B4411="","",IFERROR(VLOOKUP(B4411,'Daftar Outlet'!$A$4:$B$22,2,FALSE),""))</f>
        <v/>
      </c>
      <c r="D4411" s="8" t="n"/>
      <c r="E4411" s="6" t="n"/>
      <c r="F4411" s="8" t="n"/>
    </row>
    <row r="4412">
      <c r="A4412" s="7" t="n"/>
      <c r="B4412" s="8" t="n"/>
      <c r="C4412" s="9">
        <f>IF(B4412="","",IFERROR(VLOOKUP(B4412,'Daftar Outlet'!$A$4:$B$22,2,FALSE),""))</f>
        <v/>
      </c>
      <c r="D4412" s="8" t="n"/>
      <c r="E4412" s="6" t="n"/>
      <c r="F4412" s="8" t="n"/>
    </row>
    <row r="4413">
      <c r="A4413" s="7" t="n"/>
      <c r="B4413" s="8" t="n"/>
      <c r="C4413" s="9">
        <f>IF(B4413="","",IFERROR(VLOOKUP(B4413,'Daftar Outlet'!$A$4:$B$22,2,FALSE),""))</f>
        <v/>
      </c>
      <c r="D4413" s="8" t="n"/>
      <c r="E4413" s="6" t="n"/>
      <c r="F4413" s="8" t="n"/>
    </row>
    <row r="4414">
      <c r="A4414" s="7" t="n"/>
      <c r="B4414" s="8" t="n"/>
      <c r="C4414" s="9">
        <f>IF(B4414="","",IFERROR(VLOOKUP(B4414,'Daftar Outlet'!$A$4:$B$22,2,FALSE),""))</f>
        <v/>
      </c>
      <c r="D4414" s="8" t="n"/>
      <c r="E4414" s="6" t="n"/>
      <c r="F4414" s="8" t="n"/>
    </row>
    <row r="4415">
      <c r="A4415" s="7" t="n"/>
      <c r="B4415" s="8" t="n"/>
      <c r="C4415" s="9">
        <f>IF(B4415="","",IFERROR(VLOOKUP(B4415,'Daftar Outlet'!$A$4:$B$22,2,FALSE),""))</f>
        <v/>
      </c>
      <c r="D4415" s="8" t="n"/>
      <c r="E4415" s="6" t="n"/>
      <c r="F4415" s="8" t="n"/>
    </row>
    <row r="4416">
      <c r="A4416" s="7" t="n"/>
      <c r="B4416" s="8" t="n"/>
      <c r="C4416" s="9">
        <f>IF(B4416="","",IFERROR(VLOOKUP(B4416,'Daftar Outlet'!$A$4:$B$22,2,FALSE),""))</f>
        <v/>
      </c>
      <c r="D4416" s="8" t="n"/>
      <c r="E4416" s="6" t="n"/>
      <c r="F4416" s="8" t="n"/>
    </row>
    <row r="4417">
      <c r="A4417" s="7" t="n"/>
      <c r="B4417" s="8" t="n"/>
      <c r="C4417" s="9">
        <f>IF(B4417="","",IFERROR(VLOOKUP(B4417,'Daftar Outlet'!$A$4:$B$22,2,FALSE),""))</f>
        <v/>
      </c>
      <c r="D4417" s="8" t="n"/>
      <c r="E4417" s="6" t="n"/>
      <c r="F4417" s="8" t="n"/>
    </row>
    <row r="4418">
      <c r="A4418" s="7" t="n"/>
      <c r="B4418" s="8" t="n"/>
      <c r="C4418" s="9">
        <f>IF(B4418="","",IFERROR(VLOOKUP(B4418,'Daftar Outlet'!$A$4:$B$22,2,FALSE),""))</f>
        <v/>
      </c>
      <c r="D4418" s="8" t="n"/>
      <c r="E4418" s="6" t="n"/>
      <c r="F4418" s="8" t="n"/>
    </row>
    <row r="4419">
      <c r="A4419" s="7" t="n"/>
      <c r="B4419" s="8" t="n"/>
      <c r="C4419" s="9">
        <f>IF(B4419="","",IFERROR(VLOOKUP(B4419,'Daftar Outlet'!$A$4:$B$22,2,FALSE),""))</f>
        <v/>
      </c>
      <c r="D4419" s="8" t="n"/>
      <c r="E4419" s="6" t="n"/>
      <c r="F4419" s="8" t="n"/>
    </row>
    <row r="4420">
      <c r="A4420" s="7" t="n"/>
      <c r="B4420" s="8" t="n"/>
      <c r="C4420" s="9">
        <f>IF(B4420="","",IFERROR(VLOOKUP(B4420,'Daftar Outlet'!$A$4:$B$22,2,FALSE),""))</f>
        <v/>
      </c>
      <c r="D4420" s="8" t="n"/>
      <c r="E4420" s="6" t="n"/>
      <c r="F4420" s="8" t="n"/>
    </row>
    <row r="4421">
      <c r="A4421" s="7" t="n"/>
      <c r="B4421" s="8" t="n"/>
      <c r="C4421" s="9">
        <f>IF(B4421="","",IFERROR(VLOOKUP(B4421,'Daftar Outlet'!$A$4:$B$22,2,FALSE),""))</f>
        <v/>
      </c>
      <c r="D4421" s="8" t="n"/>
      <c r="E4421" s="6" t="n"/>
      <c r="F4421" s="8" t="n"/>
    </row>
    <row r="4422">
      <c r="A4422" s="7" t="n"/>
      <c r="B4422" s="8" t="n"/>
      <c r="C4422" s="9">
        <f>IF(B4422="","",IFERROR(VLOOKUP(B4422,'Daftar Outlet'!$A$4:$B$22,2,FALSE),""))</f>
        <v/>
      </c>
      <c r="D4422" s="8" t="n"/>
      <c r="E4422" s="6" t="n"/>
      <c r="F4422" s="8" t="n"/>
    </row>
    <row r="4423">
      <c r="A4423" s="7" t="n"/>
      <c r="B4423" s="8" t="n"/>
      <c r="C4423" s="9">
        <f>IF(B4423="","",IFERROR(VLOOKUP(B4423,'Daftar Outlet'!$A$4:$B$22,2,FALSE),""))</f>
        <v/>
      </c>
      <c r="D4423" s="8" t="n"/>
      <c r="E4423" s="6" t="n"/>
      <c r="F4423" s="8" t="n"/>
    </row>
    <row r="4424">
      <c r="A4424" s="7" t="n"/>
      <c r="B4424" s="8" t="n"/>
      <c r="C4424" s="9">
        <f>IF(B4424="","",IFERROR(VLOOKUP(B4424,'Daftar Outlet'!$A$4:$B$22,2,FALSE),""))</f>
        <v/>
      </c>
      <c r="D4424" s="8" t="n"/>
      <c r="E4424" s="6" t="n"/>
      <c r="F4424" s="8" t="n"/>
    </row>
    <row r="4425">
      <c r="A4425" s="7" t="n"/>
      <c r="B4425" s="8" t="n"/>
      <c r="C4425" s="9">
        <f>IF(B4425="","",IFERROR(VLOOKUP(B4425,'Daftar Outlet'!$A$4:$B$22,2,FALSE),""))</f>
        <v/>
      </c>
      <c r="D4425" s="8" t="n"/>
      <c r="E4425" s="6" t="n"/>
      <c r="F4425" s="8" t="n"/>
    </row>
    <row r="4426">
      <c r="A4426" s="7" t="n"/>
      <c r="B4426" s="8" t="n"/>
      <c r="C4426" s="9">
        <f>IF(B4426="","",IFERROR(VLOOKUP(B4426,'Daftar Outlet'!$A$4:$B$22,2,FALSE),""))</f>
        <v/>
      </c>
      <c r="D4426" s="8" t="n"/>
      <c r="E4426" s="6" t="n"/>
      <c r="F4426" s="8" t="n"/>
    </row>
    <row r="4427">
      <c r="A4427" s="7" t="n"/>
      <c r="B4427" s="8" t="n"/>
      <c r="C4427" s="9">
        <f>IF(B4427="","",IFERROR(VLOOKUP(B4427,'Daftar Outlet'!$A$4:$B$22,2,FALSE),""))</f>
        <v/>
      </c>
      <c r="D4427" s="8" t="n"/>
      <c r="E4427" s="6" t="n"/>
      <c r="F4427" s="8" t="n"/>
    </row>
    <row r="4428">
      <c r="A4428" s="7" t="n"/>
      <c r="B4428" s="8" t="n"/>
      <c r="C4428" s="9">
        <f>IF(B4428="","",IFERROR(VLOOKUP(B4428,'Daftar Outlet'!$A$4:$B$22,2,FALSE),""))</f>
        <v/>
      </c>
      <c r="D4428" s="8" t="n"/>
      <c r="E4428" s="6" t="n"/>
      <c r="F4428" s="8" t="n"/>
    </row>
    <row r="4429">
      <c r="A4429" s="7" t="n"/>
      <c r="B4429" s="8" t="n"/>
      <c r="C4429" s="9">
        <f>IF(B4429="","",IFERROR(VLOOKUP(B4429,'Daftar Outlet'!$A$4:$B$22,2,FALSE),""))</f>
        <v/>
      </c>
      <c r="D4429" s="8" t="n"/>
      <c r="E4429" s="6" t="n"/>
      <c r="F4429" s="8" t="n"/>
    </row>
    <row r="4430">
      <c r="A4430" s="7" t="n"/>
      <c r="B4430" s="8" t="n"/>
      <c r="C4430" s="9">
        <f>IF(B4430="","",IFERROR(VLOOKUP(B4430,'Daftar Outlet'!$A$4:$B$22,2,FALSE),""))</f>
        <v/>
      </c>
      <c r="D4430" s="8" t="n"/>
      <c r="E4430" s="6" t="n"/>
      <c r="F4430" s="8" t="n"/>
    </row>
    <row r="4431">
      <c r="A4431" s="7" t="n"/>
      <c r="B4431" s="8" t="n"/>
      <c r="C4431" s="9">
        <f>IF(B4431="","",IFERROR(VLOOKUP(B4431,'Daftar Outlet'!$A$4:$B$22,2,FALSE),""))</f>
        <v/>
      </c>
      <c r="D4431" s="8" t="n"/>
      <c r="E4431" s="6" t="n"/>
      <c r="F4431" s="8" t="n"/>
    </row>
    <row r="4432">
      <c r="A4432" s="7" t="n"/>
      <c r="B4432" s="8" t="n"/>
      <c r="C4432" s="9">
        <f>IF(B4432="","",IFERROR(VLOOKUP(B4432,'Daftar Outlet'!$A$4:$B$22,2,FALSE),""))</f>
        <v/>
      </c>
      <c r="D4432" s="8" t="n"/>
      <c r="E4432" s="6" t="n"/>
      <c r="F4432" s="8" t="n"/>
    </row>
    <row r="4433">
      <c r="A4433" s="7" t="n"/>
      <c r="B4433" s="8" t="n"/>
      <c r="C4433" s="9">
        <f>IF(B4433="","",IFERROR(VLOOKUP(B4433,'Daftar Outlet'!$A$4:$B$22,2,FALSE),""))</f>
        <v/>
      </c>
      <c r="D4433" s="8" t="n"/>
      <c r="E4433" s="6" t="n"/>
      <c r="F4433" s="8" t="n"/>
    </row>
    <row r="4434">
      <c r="A4434" s="7" t="n"/>
      <c r="B4434" s="8" t="n"/>
      <c r="C4434" s="9">
        <f>IF(B4434="","",IFERROR(VLOOKUP(B4434,'Daftar Outlet'!$A$4:$B$22,2,FALSE),""))</f>
        <v/>
      </c>
      <c r="D4434" s="8" t="n"/>
      <c r="E4434" s="6" t="n"/>
      <c r="F4434" s="8" t="n"/>
    </row>
    <row r="4435">
      <c r="A4435" s="7" t="n"/>
      <c r="B4435" s="8" t="n"/>
      <c r="C4435" s="9">
        <f>IF(B4435="","",IFERROR(VLOOKUP(B4435,'Daftar Outlet'!$A$4:$B$22,2,FALSE),""))</f>
        <v/>
      </c>
      <c r="D4435" s="8" t="n"/>
      <c r="E4435" s="6" t="n"/>
      <c r="F4435" s="8" t="n"/>
    </row>
    <row r="4436">
      <c r="A4436" s="7" t="n"/>
      <c r="B4436" s="8" t="n"/>
      <c r="C4436" s="9">
        <f>IF(B4436="","",IFERROR(VLOOKUP(B4436,'Daftar Outlet'!$A$4:$B$22,2,FALSE),""))</f>
        <v/>
      </c>
      <c r="D4436" s="8" t="n"/>
      <c r="E4436" s="6" t="n"/>
      <c r="F4436" s="8" t="n"/>
    </row>
    <row r="4437">
      <c r="A4437" s="7" t="n"/>
      <c r="B4437" s="8" t="n"/>
      <c r="C4437" s="9">
        <f>IF(B4437="","",IFERROR(VLOOKUP(B4437,'Daftar Outlet'!$A$4:$B$22,2,FALSE),""))</f>
        <v/>
      </c>
      <c r="D4437" s="8" t="n"/>
      <c r="E4437" s="6" t="n"/>
      <c r="F4437" s="8" t="n"/>
    </row>
    <row r="4438">
      <c r="A4438" s="7" t="n"/>
      <c r="B4438" s="8" t="n"/>
      <c r="C4438" s="9">
        <f>IF(B4438="","",IFERROR(VLOOKUP(B4438,'Daftar Outlet'!$A$4:$B$22,2,FALSE),""))</f>
        <v/>
      </c>
      <c r="D4438" s="8" t="n"/>
      <c r="E4438" s="6" t="n"/>
      <c r="F4438" s="8" t="n"/>
    </row>
    <row r="4439">
      <c r="A4439" s="7" t="n"/>
      <c r="B4439" s="8" t="n"/>
      <c r="C4439" s="9">
        <f>IF(B4439="","",IFERROR(VLOOKUP(B4439,'Daftar Outlet'!$A$4:$B$22,2,FALSE),""))</f>
        <v/>
      </c>
      <c r="D4439" s="8" t="n"/>
      <c r="E4439" s="6" t="n"/>
      <c r="F4439" s="8" t="n"/>
    </row>
    <row r="4440">
      <c r="A4440" s="7" t="n"/>
      <c r="B4440" s="8" t="n"/>
      <c r="C4440" s="9">
        <f>IF(B4440="","",IFERROR(VLOOKUP(B4440,'Daftar Outlet'!$A$4:$B$22,2,FALSE),""))</f>
        <v/>
      </c>
      <c r="D4440" s="8" t="n"/>
      <c r="E4440" s="6" t="n"/>
      <c r="F4440" s="8" t="n"/>
    </row>
    <row r="4441">
      <c r="A4441" s="7" t="n"/>
      <c r="B4441" s="8" t="n"/>
      <c r="C4441" s="9">
        <f>IF(B4441="","",IFERROR(VLOOKUP(B4441,'Daftar Outlet'!$A$4:$B$22,2,FALSE),""))</f>
        <v/>
      </c>
      <c r="D4441" s="8" t="n"/>
      <c r="E4441" s="6" t="n"/>
      <c r="F4441" s="8" t="n"/>
    </row>
    <row r="4442">
      <c r="A4442" s="7" t="n"/>
      <c r="B4442" s="8" t="n"/>
      <c r="C4442" s="9">
        <f>IF(B4442="","",IFERROR(VLOOKUP(B4442,'Daftar Outlet'!$A$4:$B$22,2,FALSE),""))</f>
        <v/>
      </c>
      <c r="D4442" s="8" t="n"/>
      <c r="E4442" s="6" t="n"/>
      <c r="F4442" s="8" t="n"/>
    </row>
    <row r="4443">
      <c r="A4443" s="7" t="n"/>
      <c r="B4443" s="8" t="n"/>
      <c r="C4443" s="9">
        <f>IF(B4443="","",IFERROR(VLOOKUP(B4443,'Daftar Outlet'!$A$4:$B$22,2,FALSE),""))</f>
        <v/>
      </c>
      <c r="D4443" s="8" t="n"/>
      <c r="E4443" s="6" t="n"/>
      <c r="F4443" s="8" t="n"/>
    </row>
    <row r="4444">
      <c r="A4444" s="7" t="n"/>
      <c r="B4444" s="8" t="n"/>
      <c r="C4444" s="9">
        <f>IF(B4444="","",IFERROR(VLOOKUP(B4444,'Daftar Outlet'!$A$4:$B$22,2,FALSE),""))</f>
        <v/>
      </c>
      <c r="D4444" s="8" t="n"/>
      <c r="E4444" s="6" t="n"/>
      <c r="F4444" s="8" t="n"/>
    </row>
    <row r="4445">
      <c r="A4445" s="7" t="n"/>
      <c r="B4445" s="8" t="n"/>
      <c r="C4445" s="9">
        <f>IF(B4445="","",IFERROR(VLOOKUP(B4445,'Daftar Outlet'!$A$4:$B$22,2,FALSE),""))</f>
        <v/>
      </c>
      <c r="D4445" s="8" t="n"/>
      <c r="E4445" s="6" t="n"/>
      <c r="F4445" s="8" t="n"/>
    </row>
    <row r="4446">
      <c r="A4446" s="7" t="n"/>
      <c r="B4446" s="8" t="n"/>
      <c r="C4446" s="9">
        <f>IF(B4446="","",IFERROR(VLOOKUP(B4446,'Daftar Outlet'!$A$4:$B$22,2,FALSE),""))</f>
        <v/>
      </c>
      <c r="D4446" s="8" t="n"/>
      <c r="E4446" s="6" t="n"/>
      <c r="F4446" s="8" t="n"/>
    </row>
    <row r="4447">
      <c r="A4447" s="7" t="n"/>
      <c r="B4447" s="8" t="n"/>
      <c r="C4447" s="9">
        <f>IF(B4447="","",IFERROR(VLOOKUP(B4447,'Daftar Outlet'!$A$4:$B$22,2,FALSE),""))</f>
        <v/>
      </c>
      <c r="D4447" s="8" t="n"/>
      <c r="E4447" s="6" t="n"/>
      <c r="F4447" s="8" t="n"/>
    </row>
    <row r="4448">
      <c r="A4448" s="7" t="n"/>
      <c r="B4448" s="8" t="n"/>
      <c r="C4448" s="9">
        <f>IF(B4448="","",IFERROR(VLOOKUP(B4448,'Daftar Outlet'!$A$4:$B$22,2,FALSE),""))</f>
        <v/>
      </c>
      <c r="D4448" s="8" t="n"/>
      <c r="E4448" s="6" t="n"/>
      <c r="F4448" s="8" t="n"/>
    </row>
    <row r="4449">
      <c r="A4449" s="7" t="n"/>
      <c r="B4449" s="8" t="n"/>
      <c r="C4449" s="9">
        <f>IF(B4449="","",IFERROR(VLOOKUP(B4449,'Daftar Outlet'!$A$4:$B$22,2,FALSE),""))</f>
        <v/>
      </c>
      <c r="D4449" s="8" t="n"/>
      <c r="E4449" s="6" t="n"/>
      <c r="F4449" s="8" t="n"/>
    </row>
    <row r="4450">
      <c r="A4450" s="7" t="n"/>
      <c r="B4450" s="8" t="n"/>
      <c r="C4450" s="9">
        <f>IF(B4450="","",IFERROR(VLOOKUP(B4450,'Daftar Outlet'!$A$4:$B$22,2,FALSE),""))</f>
        <v/>
      </c>
      <c r="D4450" s="8" t="n"/>
      <c r="E4450" s="6" t="n"/>
      <c r="F4450" s="8" t="n"/>
    </row>
    <row r="4451">
      <c r="A4451" s="7" t="n"/>
      <c r="B4451" s="8" t="n"/>
      <c r="C4451" s="9">
        <f>IF(B4451="","",IFERROR(VLOOKUP(B4451,'Daftar Outlet'!$A$4:$B$22,2,FALSE),""))</f>
        <v/>
      </c>
      <c r="D4451" s="8" t="n"/>
      <c r="E4451" s="6" t="n"/>
      <c r="F4451" s="8" t="n"/>
    </row>
    <row r="4452">
      <c r="A4452" s="7" t="n"/>
      <c r="B4452" s="8" t="n"/>
      <c r="C4452" s="9">
        <f>IF(B4452="","",IFERROR(VLOOKUP(B4452,'Daftar Outlet'!$A$4:$B$22,2,FALSE),""))</f>
        <v/>
      </c>
      <c r="D4452" s="8" t="n"/>
      <c r="E4452" s="6" t="n"/>
      <c r="F4452" s="8" t="n"/>
    </row>
    <row r="4453">
      <c r="A4453" s="7" t="n"/>
      <c r="B4453" s="8" t="n"/>
      <c r="C4453" s="9">
        <f>IF(B4453="","",IFERROR(VLOOKUP(B4453,'Daftar Outlet'!$A$4:$B$22,2,FALSE),""))</f>
        <v/>
      </c>
      <c r="D4453" s="8" t="n"/>
      <c r="E4453" s="6" t="n"/>
      <c r="F4453" s="8" t="n"/>
    </row>
    <row r="4454">
      <c r="A4454" s="7" t="n"/>
      <c r="B4454" s="8" t="n"/>
      <c r="C4454" s="9">
        <f>IF(B4454="","",IFERROR(VLOOKUP(B4454,'Daftar Outlet'!$A$4:$B$22,2,FALSE),""))</f>
        <v/>
      </c>
      <c r="D4454" s="8" t="n"/>
      <c r="E4454" s="6" t="n"/>
      <c r="F4454" s="8" t="n"/>
    </row>
    <row r="4455">
      <c r="A4455" s="7" t="n"/>
      <c r="B4455" s="8" t="n"/>
      <c r="C4455" s="9">
        <f>IF(B4455="","",IFERROR(VLOOKUP(B4455,'Daftar Outlet'!$A$4:$B$22,2,FALSE),""))</f>
        <v/>
      </c>
      <c r="D4455" s="8" t="n"/>
      <c r="E4455" s="6" t="n"/>
      <c r="F4455" s="8" t="n"/>
    </row>
    <row r="4456">
      <c r="A4456" s="7" t="n"/>
      <c r="B4456" s="8" t="n"/>
      <c r="C4456" s="9">
        <f>IF(B4456="","",IFERROR(VLOOKUP(B4456,'Daftar Outlet'!$A$4:$B$22,2,FALSE),""))</f>
        <v/>
      </c>
      <c r="D4456" s="8" t="n"/>
      <c r="E4456" s="6" t="n"/>
      <c r="F4456" s="8" t="n"/>
    </row>
    <row r="4457">
      <c r="A4457" s="7" t="n"/>
      <c r="B4457" s="8" t="n"/>
      <c r="C4457" s="9">
        <f>IF(B4457="","",IFERROR(VLOOKUP(B4457,'Daftar Outlet'!$A$4:$B$22,2,FALSE),""))</f>
        <v/>
      </c>
      <c r="D4457" s="8" t="n"/>
      <c r="E4457" s="6" t="n"/>
      <c r="F4457" s="8" t="n"/>
    </row>
    <row r="4458">
      <c r="A4458" s="7" t="n"/>
      <c r="B4458" s="8" t="n"/>
      <c r="C4458" s="9">
        <f>IF(B4458="","",IFERROR(VLOOKUP(B4458,'Daftar Outlet'!$A$4:$B$22,2,FALSE),""))</f>
        <v/>
      </c>
      <c r="D4458" s="8" t="n"/>
      <c r="E4458" s="6" t="n"/>
      <c r="F4458" s="8" t="n"/>
    </row>
    <row r="4459">
      <c r="A4459" s="7" t="n"/>
      <c r="B4459" s="8" t="n"/>
      <c r="C4459" s="9">
        <f>IF(B4459="","",IFERROR(VLOOKUP(B4459,'Daftar Outlet'!$A$4:$B$22,2,FALSE),""))</f>
        <v/>
      </c>
      <c r="D4459" s="8" t="n"/>
      <c r="E4459" s="6" t="n"/>
      <c r="F4459" s="8" t="n"/>
    </row>
    <row r="4460">
      <c r="A4460" s="7" t="n"/>
      <c r="B4460" s="8" t="n"/>
      <c r="C4460" s="9">
        <f>IF(B4460="","",IFERROR(VLOOKUP(B4460,'Daftar Outlet'!$A$4:$B$22,2,FALSE),""))</f>
        <v/>
      </c>
      <c r="D4460" s="8" t="n"/>
      <c r="E4460" s="6" t="n"/>
      <c r="F4460" s="8" t="n"/>
    </row>
    <row r="4461">
      <c r="A4461" s="7" t="n"/>
      <c r="B4461" s="8" t="n"/>
      <c r="C4461" s="9">
        <f>IF(B4461="","",IFERROR(VLOOKUP(B4461,'Daftar Outlet'!$A$4:$B$22,2,FALSE),""))</f>
        <v/>
      </c>
      <c r="D4461" s="8" t="n"/>
      <c r="E4461" s="6" t="n"/>
      <c r="F4461" s="8" t="n"/>
    </row>
    <row r="4462">
      <c r="A4462" s="7" t="n"/>
      <c r="B4462" s="8" t="n"/>
      <c r="C4462" s="9">
        <f>IF(B4462="","",IFERROR(VLOOKUP(B4462,'Daftar Outlet'!$A$4:$B$22,2,FALSE),""))</f>
        <v/>
      </c>
      <c r="D4462" s="8" t="n"/>
      <c r="E4462" s="6" t="n"/>
      <c r="F4462" s="8" t="n"/>
    </row>
    <row r="4463">
      <c r="A4463" s="7" t="n"/>
      <c r="B4463" s="8" t="n"/>
      <c r="C4463" s="9">
        <f>IF(B4463="","",IFERROR(VLOOKUP(B4463,'Daftar Outlet'!$A$4:$B$22,2,FALSE),""))</f>
        <v/>
      </c>
      <c r="D4463" s="8" t="n"/>
      <c r="E4463" s="6" t="n"/>
      <c r="F4463" s="8" t="n"/>
    </row>
    <row r="4464">
      <c r="A4464" s="7" t="n"/>
      <c r="B4464" s="8" t="n"/>
      <c r="C4464" s="9">
        <f>IF(B4464="","",IFERROR(VLOOKUP(B4464,'Daftar Outlet'!$A$4:$B$22,2,FALSE),""))</f>
        <v/>
      </c>
      <c r="D4464" s="8" t="n"/>
      <c r="E4464" s="6" t="n"/>
      <c r="F4464" s="8" t="n"/>
    </row>
    <row r="4465">
      <c r="A4465" s="7" t="n"/>
      <c r="B4465" s="8" t="n"/>
      <c r="C4465" s="9">
        <f>IF(B4465="","",IFERROR(VLOOKUP(B4465,'Daftar Outlet'!$A$4:$B$22,2,FALSE),""))</f>
        <v/>
      </c>
      <c r="D4465" s="8" t="n"/>
      <c r="E4465" s="6" t="n"/>
      <c r="F4465" s="8" t="n"/>
    </row>
    <row r="4466">
      <c r="A4466" s="7" t="n"/>
      <c r="B4466" s="8" t="n"/>
      <c r="C4466" s="9">
        <f>IF(B4466="","",IFERROR(VLOOKUP(B4466,'Daftar Outlet'!$A$4:$B$22,2,FALSE),""))</f>
        <v/>
      </c>
      <c r="D4466" s="8" t="n"/>
      <c r="E4466" s="6" t="n"/>
      <c r="F4466" s="8" t="n"/>
    </row>
    <row r="4467">
      <c r="A4467" s="7" t="n"/>
      <c r="B4467" s="8" t="n"/>
      <c r="C4467" s="9">
        <f>IF(B4467="","",IFERROR(VLOOKUP(B4467,'Daftar Outlet'!$A$4:$B$22,2,FALSE),""))</f>
        <v/>
      </c>
      <c r="D4467" s="8" t="n"/>
      <c r="E4467" s="6" t="n"/>
      <c r="F4467" s="8" t="n"/>
    </row>
    <row r="4468">
      <c r="A4468" s="7" t="n"/>
      <c r="B4468" s="8" t="n"/>
      <c r="C4468" s="9">
        <f>IF(B4468="","",IFERROR(VLOOKUP(B4468,'Daftar Outlet'!$A$4:$B$22,2,FALSE),""))</f>
        <v/>
      </c>
      <c r="D4468" s="8" t="n"/>
      <c r="E4468" s="6" t="n"/>
      <c r="F4468" s="8" t="n"/>
    </row>
    <row r="4469">
      <c r="A4469" s="7" t="n"/>
      <c r="B4469" s="8" t="n"/>
      <c r="C4469" s="9">
        <f>IF(B4469="","",IFERROR(VLOOKUP(B4469,'Daftar Outlet'!$A$4:$B$22,2,FALSE),""))</f>
        <v/>
      </c>
      <c r="D4469" s="8" t="n"/>
      <c r="E4469" s="6" t="n"/>
      <c r="F4469" s="8" t="n"/>
    </row>
    <row r="4470">
      <c r="A4470" s="7" t="n"/>
      <c r="B4470" s="8" t="n"/>
      <c r="C4470" s="9">
        <f>IF(B4470="","",IFERROR(VLOOKUP(B4470,'Daftar Outlet'!$A$4:$B$22,2,FALSE),""))</f>
        <v/>
      </c>
      <c r="D4470" s="8" t="n"/>
      <c r="E4470" s="6" t="n"/>
      <c r="F4470" s="8" t="n"/>
    </row>
    <row r="4471">
      <c r="A4471" s="7" t="n"/>
      <c r="B4471" s="8" t="n"/>
      <c r="C4471" s="9">
        <f>IF(B4471="","",IFERROR(VLOOKUP(B4471,'Daftar Outlet'!$A$4:$B$22,2,FALSE),""))</f>
        <v/>
      </c>
      <c r="D4471" s="8" t="n"/>
      <c r="E4471" s="6" t="n"/>
      <c r="F4471" s="8" t="n"/>
    </row>
    <row r="4472">
      <c r="A4472" s="7" t="n"/>
      <c r="B4472" s="8" t="n"/>
      <c r="C4472" s="9">
        <f>IF(B4472="","",IFERROR(VLOOKUP(B4472,'Daftar Outlet'!$A$4:$B$22,2,FALSE),""))</f>
        <v/>
      </c>
      <c r="D4472" s="8" t="n"/>
      <c r="E4472" s="6" t="n"/>
      <c r="F4472" s="8" t="n"/>
    </row>
    <row r="4473">
      <c r="A4473" s="7" t="n"/>
      <c r="B4473" s="8" t="n"/>
      <c r="C4473" s="9">
        <f>IF(B4473="","",IFERROR(VLOOKUP(B4473,'Daftar Outlet'!$A$4:$B$22,2,FALSE),""))</f>
        <v/>
      </c>
      <c r="D4473" s="8" t="n"/>
      <c r="E4473" s="6" t="n"/>
      <c r="F4473" s="8" t="n"/>
    </row>
    <row r="4474">
      <c r="A4474" s="7" t="n"/>
      <c r="B4474" s="8" t="n"/>
      <c r="C4474" s="9">
        <f>IF(B4474="","",IFERROR(VLOOKUP(B4474,'Daftar Outlet'!$A$4:$B$22,2,FALSE),""))</f>
        <v/>
      </c>
      <c r="D4474" s="8" t="n"/>
      <c r="E4474" s="6" t="n"/>
      <c r="F4474" s="8" t="n"/>
    </row>
    <row r="4475">
      <c r="A4475" s="7" t="n"/>
      <c r="B4475" s="8" t="n"/>
      <c r="C4475" s="9">
        <f>IF(B4475="","",IFERROR(VLOOKUP(B4475,'Daftar Outlet'!$A$4:$B$22,2,FALSE),""))</f>
        <v/>
      </c>
      <c r="D4475" s="8" t="n"/>
      <c r="E4475" s="6" t="n"/>
      <c r="F4475" s="8" t="n"/>
    </row>
    <row r="4476">
      <c r="A4476" s="7" t="n"/>
      <c r="B4476" s="8" t="n"/>
      <c r="C4476" s="9">
        <f>IF(B4476="","",IFERROR(VLOOKUP(B4476,'Daftar Outlet'!$A$4:$B$22,2,FALSE),""))</f>
        <v/>
      </c>
      <c r="D4476" s="8" t="n"/>
      <c r="E4476" s="6" t="n"/>
      <c r="F4476" s="8" t="n"/>
    </row>
    <row r="4477">
      <c r="A4477" s="7" t="n"/>
      <c r="B4477" s="8" t="n"/>
      <c r="C4477" s="9">
        <f>IF(B4477="","",IFERROR(VLOOKUP(B4477,'Daftar Outlet'!$A$4:$B$22,2,FALSE),""))</f>
        <v/>
      </c>
      <c r="D4477" s="8" t="n"/>
      <c r="E4477" s="6" t="n"/>
      <c r="F4477" s="8" t="n"/>
    </row>
    <row r="4478">
      <c r="A4478" s="7" t="n"/>
      <c r="B4478" s="8" t="n"/>
      <c r="C4478" s="9">
        <f>IF(B4478="","",IFERROR(VLOOKUP(B4478,'Daftar Outlet'!$A$4:$B$22,2,FALSE),""))</f>
        <v/>
      </c>
      <c r="D4478" s="8" t="n"/>
      <c r="E4478" s="6" t="n"/>
      <c r="F4478" s="8" t="n"/>
    </row>
    <row r="4479">
      <c r="A4479" s="7" t="n"/>
      <c r="B4479" s="8" t="n"/>
      <c r="C4479" s="9">
        <f>IF(B4479="","",IFERROR(VLOOKUP(B4479,'Daftar Outlet'!$A$4:$B$22,2,FALSE),""))</f>
        <v/>
      </c>
      <c r="D4479" s="8" t="n"/>
      <c r="E4479" s="6" t="n"/>
      <c r="F4479" s="8" t="n"/>
    </row>
    <row r="4480">
      <c r="A4480" s="7" t="n"/>
      <c r="B4480" s="8" t="n"/>
      <c r="C4480" s="9">
        <f>IF(B4480="","",IFERROR(VLOOKUP(B4480,'Daftar Outlet'!$A$4:$B$22,2,FALSE),""))</f>
        <v/>
      </c>
      <c r="D4480" s="8" t="n"/>
      <c r="E4480" s="6" t="n"/>
      <c r="F4480" s="8" t="n"/>
    </row>
    <row r="4481">
      <c r="A4481" s="7" t="n"/>
      <c r="B4481" s="8" t="n"/>
      <c r="C4481" s="9">
        <f>IF(B4481="","",IFERROR(VLOOKUP(B4481,'Daftar Outlet'!$A$4:$B$22,2,FALSE),""))</f>
        <v/>
      </c>
      <c r="D4481" s="8" t="n"/>
      <c r="E4481" s="6" t="n"/>
      <c r="F4481" s="8" t="n"/>
    </row>
    <row r="4482">
      <c r="A4482" s="7" t="n"/>
      <c r="B4482" s="8" t="n"/>
      <c r="C4482" s="9">
        <f>IF(B4482="","",IFERROR(VLOOKUP(B4482,'Daftar Outlet'!$A$4:$B$22,2,FALSE),""))</f>
        <v/>
      </c>
      <c r="D4482" s="8" t="n"/>
      <c r="E4482" s="6" t="n"/>
      <c r="F4482" s="8" t="n"/>
    </row>
    <row r="4483">
      <c r="A4483" s="7" t="n"/>
      <c r="B4483" s="8" t="n"/>
      <c r="C4483" s="9">
        <f>IF(B4483="","",IFERROR(VLOOKUP(B4483,'Daftar Outlet'!$A$4:$B$22,2,FALSE),""))</f>
        <v/>
      </c>
      <c r="D4483" s="8" t="n"/>
      <c r="E4483" s="6" t="n"/>
      <c r="F4483" s="8" t="n"/>
    </row>
    <row r="4484">
      <c r="A4484" s="7" t="n"/>
      <c r="B4484" s="8" t="n"/>
      <c r="C4484" s="9">
        <f>IF(B4484="","",IFERROR(VLOOKUP(B4484,'Daftar Outlet'!$A$4:$B$22,2,FALSE),""))</f>
        <v/>
      </c>
      <c r="D4484" s="8" t="n"/>
      <c r="E4484" s="6" t="n"/>
      <c r="F4484" s="8" t="n"/>
    </row>
    <row r="4485">
      <c r="A4485" s="7" t="n"/>
      <c r="B4485" s="8" t="n"/>
      <c r="C4485" s="9">
        <f>IF(B4485="","",IFERROR(VLOOKUP(B4485,'Daftar Outlet'!$A$4:$B$22,2,FALSE),""))</f>
        <v/>
      </c>
      <c r="D4485" s="8" t="n"/>
      <c r="E4485" s="6" t="n"/>
      <c r="F4485" s="8" t="n"/>
    </row>
    <row r="4486">
      <c r="A4486" s="7" t="n"/>
      <c r="B4486" s="8" t="n"/>
      <c r="C4486" s="9">
        <f>IF(B4486="","",IFERROR(VLOOKUP(B4486,'Daftar Outlet'!$A$4:$B$22,2,FALSE),""))</f>
        <v/>
      </c>
      <c r="D4486" s="8" t="n"/>
      <c r="E4486" s="6" t="n"/>
      <c r="F4486" s="8" t="n"/>
    </row>
    <row r="4487">
      <c r="A4487" s="7" t="n"/>
      <c r="B4487" s="8" t="n"/>
      <c r="C4487" s="9">
        <f>IF(B4487="","",IFERROR(VLOOKUP(B4487,'Daftar Outlet'!$A$4:$B$22,2,FALSE),""))</f>
        <v/>
      </c>
      <c r="D4487" s="8" t="n"/>
      <c r="E4487" s="6" t="n"/>
      <c r="F4487" s="8" t="n"/>
    </row>
    <row r="4488">
      <c r="A4488" s="7" t="n"/>
      <c r="B4488" s="8" t="n"/>
      <c r="C4488" s="9">
        <f>IF(B4488="","",IFERROR(VLOOKUP(B4488,'Daftar Outlet'!$A$4:$B$22,2,FALSE),""))</f>
        <v/>
      </c>
      <c r="D4488" s="8" t="n"/>
      <c r="E4488" s="6" t="n"/>
      <c r="F4488" s="8" t="n"/>
    </row>
    <row r="4489">
      <c r="A4489" s="7" t="n"/>
      <c r="B4489" s="8" t="n"/>
      <c r="C4489" s="9">
        <f>IF(B4489="","",IFERROR(VLOOKUP(B4489,'Daftar Outlet'!$A$4:$B$22,2,FALSE),""))</f>
        <v/>
      </c>
      <c r="D4489" s="8" t="n"/>
      <c r="E4489" s="6" t="n"/>
      <c r="F4489" s="8" t="n"/>
    </row>
    <row r="4490">
      <c r="A4490" s="7" t="n"/>
      <c r="B4490" s="8" t="n"/>
      <c r="C4490" s="9">
        <f>IF(B4490="","",IFERROR(VLOOKUP(B4490,'Daftar Outlet'!$A$4:$B$22,2,FALSE),""))</f>
        <v/>
      </c>
      <c r="D4490" s="8" t="n"/>
      <c r="E4490" s="6" t="n"/>
      <c r="F4490" s="8" t="n"/>
    </row>
    <row r="4491">
      <c r="A4491" s="7" t="n"/>
      <c r="B4491" s="8" t="n"/>
      <c r="C4491" s="9">
        <f>IF(B4491="","",IFERROR(VLOOKUP(B4491,'Daftar Outlet'!$A$4:$B$22,2,FALSE),""))</f>
        <v/>
      </c>
      <c r="D4491" s="8" t="n"/>
      <c r="E4491" s="6" t="n"/>
      <c r="F4491" s="8" t="n"/>
    </row>
    <row r="4492">
      <c r="A4492" s="7" t="n"/>
      <c r="B4492" s="8" t="n"/>
      <c r="C4492" s="9">
        <f>IF(B4492="","",IFERROR(VLOOKUP(B4492,'Daftar Outlet'!$A$4:$B$22,2,FALSE),""))</f>
        <v/>
      </c>
      <c r="D4492" s="8" t="n"/>
      <c r="E4492" s="6" t="n"/>
      <c r="F4492" s="8" t="n"/>
    </row>
    <row r="4493">
      <c r="A4493" s="7" t="n"/>
      <c r="B4493" s="8" t="n"/>
      <c r="C4493" s="9">
        <f>IF(B4493="","",IFERROR(VLOOKUP(B4493,'Daftar Outlet'!$A$4:$B$22,2,FALSE),""))</f>
        <v/>
      </c>
      <c r="D4493" s="8" t="n"/>
      <c r="E4493" s="6" t="n"/>
      <c r="F4493" s="8" t="n"/>
    </row>
    <row r="4494">
      <c r="A4494" s="7" t="n"/>
      <c r="B4494" s="8" t="n"/>
      <c r="C4494" s="9">
        <f>IF(B4494="","",IFERROR(VLOOKUP(B4494,'Daftar Outlet'!$A$4:$B$22,2,FALSE),""))</f>
        <v/>
      </c>
      <c r="D4494" s="8" t="n"/>
      <c r="E4494" s="6" t="n"/>
      <c r="F4494" s="8" t="n"/>
    </row>
    <row r="4495">
      <c r="A4495" s="7" t="n"/>
      <c r="B4495" s="8" t="n"/>
      <c r="C4495" s="9">
        <f>IF(B4495="","",IFERROR(VLOOKUP(B4495,'Daftar Outlet'!$A$4:$B$22,2,FALSE),""))</f>
        <v/>
      </c>
      <c r="D4495" s="8" t="n"/>
      <c r="E4495" s="6" t="n"/>
      <c r="F4495" s="8" t="n"/>
    </row>
    <row r="4496">
      <c r="A4496" s="7" t="n"/>
      <c r="B4496" s="8" t="n"/>
      <c r="C4496" s="9">
        <f>IF(B4496="","",IFERROR(VLOOKUP(B4496,'Daftar Outlet'!$A$4:$B$22,2,FALSE),""))</f>
        <v/>
      </c>
      <c r="D4496" s="8" t="n"/>
      <c r="E4496" s="6" t="n"/>
      <c r="F4496" s="8" t="n"/>
    </row>
    <row r="4497">
      <c r="A4497" s="7" t="n"/>
      <c r="B4497" s="8" t="n"/>
      <c r="C4497" s="9">
        <f>IF(B4497="","",IFERROR(VLOOKUP(B4497,'Daftar Outlet'!$A$4:$B$22,2,FALSE),""))</f>
        <v/>
      </c>
      <c r="D4497" s="8" t="n"/>
      <c r="E4497" s="6" t="n"/>
      <c r="F4497" s="8" t="n"/>
    </row>
    <row r="4498">
      <c r="A4498" s="7" t="n"/>
      <c r="B4498" s="8" t="n"/>
      <c r="C4498" s="9">
        <f>IF(B4498="","",IFERROR(VLOOKUP(B4498,'Daftar Outlet'!$A$4:$B$22,2,FALSE),""))</f>
        <v/>
      </c>
      <c r="D4498" s="8" t="n"/>
      <c r="E4498" s="6" t="n"/>
      <c r="F4498" s="8" t="n"/>
    </row>
    <row r="4499">
      <c r="A4499" s="7" t="n"/>
      <c r="B4499" s="8" t="n"/>
      <c r="C4499" s="9">
        <f>IF(B4499="","",IFERROR(VLOOKUP(B4499,'Daftar Outlet'!$A$4:$B$22,2,FALSE),""))</f>
        <v/>
      </c>
      <c r="D4499" s="8" t="n"/>
      <c r="E4499" s="6" t="n"/>
      <c r="F4499" s="8" t="n"/>
    </row>
    <row r="4500">
      <c r="A4500" s="7" t="n"/>
      <c r="B4500" s="8" t="n"/>
      <c r="C4500" s="9">
        <f>IF(B4500="","",IFERROR(VLOOKUP(B4500,'Daftar Outlet'!$A$4:$B$22,2,FALSE),""))</f>
        <v/>
      </c>
      <c r="D4500" s="8" t="n"/>
      <c r="E4500" s="6" t="n"/>
      <c r="F4500" s="8" t="n"/>
    </row>
    <row r="4501">
      <c r="A4501" s="7" t="n"/>
      <c r="B4501" s="8" t="n"/>
      <c r="C4501" s="9">
        <f>IF(B4501="","",IFERROR(VLOOKUP(B4501,'Daftar Outlet'!$A$4:$B$22,2,FALSE),""))</f>
        <v/>
      </c>
      <c r="D4501" s="8" t="n"/>
      <c r="E4501" s="6" t="n"/>
      <c r="F4501" s="8" t="n"/>
    </row>
    <row r="4502">
      <c r="A4502" s="7" t="n"/>
      <c r="B4502" s="8" t="n"/>
      <c r="C4502" s="9">
        <f>IF(B4502="","",IFERROR(VLOOKUP(B4502,'Daftar Outlet'!$A$4:$B$22,2,FALSE),""))</f>
        <v/>
      </c>
      <c r="D4502" s="8" t="n"/>
      <c r="E4502" s="6" t="n"/>
      <c r="F4502" s="8" t="n"/>
    </row>
    <row r="4503">
      <c r="A4503" s="7" t="n"/>
      <c r="B4503" s="8" t="n"/>
      <c r="C4503" s="9">
        <f>IF(B4503="","",IFERROR(VLOOKUP(B4503,'Daftar Outlet'!$A$4:$B$22,2,FALSE),""))</f>
        <v/>
      </c>
      <c r="D4503" s="8" t="n"/>
      <c r="E4503" s="6" t="n"/>
      <c r="F4503" s="8" t="n"/>
    </row>
    <row r="4504">
      <c r="A4504" s="7" t="n"/>
      <c r="B4504" s="8" t="n"/>
      <c r="C4504" s="9">
        <f>IF(B4504="","",IFERROR(VLOOKUP(B4504,'Daftar Outlet'!$A$4:$B$22,2,FALSE),""))</f>
        <v/>
      </c>
      <c r="D4504" s="8" t="n"/>
      <c r="E4504" s="6" t="n"/>
      <c r="F4504" s="8" t="n"/>
    </row>
    <row r="4505">
      <c r="A4505" s="7" t="n"/>
      <c r="B4505" s="8" t="n"/>
      <c r="C4505" s="9">
        <f>IF(B4505="","",IFERROR(VLOOKUP(B4505,'Daftar Outlet'!$A$4:$B$22,2,FALSE),""))</f>
        <v/>
      </c>
      <c r="D4505" s="8" t="n"/>
      <c r="E4505" s="6" t="n"/>
      <c r="F4505" s="8" t="n"/>
    </row>
    <row r="4506">
      <c r="A4506" s="7" t="n"/>
      <c r="B4506" s="8" t="n"/>
      <c r="C4506" s="9">
        <f>IF(B4506="","",IFERROR(VLOOKUP(B4506,'Daftar Outlet'!$A$4:$B$22,2,FALSE),""))</f>
        <v/>
      </c>
      <c r="D4506" s="8" t="n"/>
      <c r="E4506" s="6" t="n"/>
      <c r="F4506" s="8" t="n"/>
    </row>
    <row r="4507">
      <c r="A4507" s="7" t="n"/>
      <c r="B4507" s="8" t="n"/>
      <c r="C4507" s="9">
        <f>IF(B4507="","",IFERROR(VLOOKUP(B4507,'Daftar Outlet'!$A$4:$B$22,2,FALSE),""))</f>
        <v/>
      </c>
      <c r="D4507" s="8" t="n"/>
      <c r="E4507" s="6" t="n"/>
      <c r="F4507" s="8" t="n"/>
    </row>
    <row r="4508">
      <c r="A4508" s="7" t="n"/>
      <c r="B4508" s="8" t="n"/>
      <c r="C4508" s="9">
        <f>IF(B4508="","",IFERROR(VLOOKUP(B4508,'Daftar Outlet'!$A$4:$B$22,2,FALSE),""))</f>
        <v/>
      </c>
      <c r="D4508" s="8" t="n"/>
      <c r="E4508" s="6" t="n"/>
      <c r="F4508" s="8" t="n"/>
    </row>
    <row r="4509">
      <c r="A4509" s="7" t="n"/>
      <c r="B4509" s="8" t="n"/>
      <c r="C4509" s="9">
        <f>IF(B4509="","",IFERROR(VLOOKUP(B4509,'Daftar Outlet'!$A$4:$B$22,2,FALSE),""))</f>
        <v/>
      </c>
      <c r="D4509" s="8" t="n"/>
      <c r="E4509" s="6" t="n"/>
      <c r="F4509" s="8" t="n"/>
    </row>
    <row r="4510">
      <c r="A4510" s="7" t="n"/>
      <c r="B4510" s="8" t="n"/>
      <c r="C4510" s="9">
        <f>IF(B4510="","",IFERROR(VLOOKUP(B4510,'Daftar Outlet'!$A$4:$B$22,2,FALSE),""))</f>
        <v/>
      </c>
      <c r="D4510" s="8" t="n"/>
      <c r="E4510" s="6" t="n"/>
      <c r="F4510" s="8" t="n"/>
    </row>
    <row r="4511">
      <c r="A4511" s="7" t="n"/>
      <c r="B4511" s="8" t="n"/>
      <c r="C4511" s="9">
        <f>IF(B4511="","",IFERROR(VLOOKUP(B4511,'Daftar Outlet'!$A$4:$B$22,2,FALSE),""))</f>
        <v/>
      </c>
      <c r="D4511" s="8" t="n"/>
      <c r="E4511" s="6" t="n"/>
      <c r="F4511" s="8" t="n"/>
    </row>
    <row r="4512">
      <c r="A4512" s="7" t="n"/>
      <c r="B4512" s="8" t="n"/>
      <c r="C4512" s="9">
        <f>IF(B4512="","",IFERROR(VLOOKUP(B4512,'Daftar Outlet'!$A$4:$B$22,2,FALSE),""))</f>
        <v/>
      </c>
      <c r="D4512" s="8" t="n"/>
      <c r="E4512" s="6" t="n"/>
      <c r="F4512" s="8" t="n"/>
    </row>
    <row r="4513">
      <c r="A4513" s="7" t="n"/>
      <c r="B4513" s="8" t="n"/>
      <c r="C4513" s="9">
        <f>IF(B4513="","",IFERROR(VLOOKUP(B4513,'Daftar Outlet'!$A$4:$B$22,2,FALSE),""))</f>
        <v/>
      </c>
      <c r="D4513" s="8" t="n"/>
      <c r="E4513" s="6" t="n"/>
      <c r="F4513" s="8" t="n"/>
    </row>
    <row r="4514">
      <c r="A4514" s="7" t="n"/>
      <c r="B4514" s="8" t="n"/>
      <c r="C4514" s="9">
        <f>IF(B4514="","",IFERROR(VLOOKUP(B4514,'Daftar Outlet'!$A$4:$B$22,2,FALSE),""))</f>
        <v/>
      </c>
      <c r="D4514" s="8" t="n"/>
      <c r="E4514" s="6" t="n"/>
      <c r="F4514" s="8" t="n"/>
    </row>
    <row r="4515">
      <c r="A4515" s="7" t="n"/>
      <c r="B4515" s="8" t="n"/>
      <c r="C4515" s="9">
        <f>IF(B4515="","",IFERROR(VLOOKUP(B4515,'Daftar Outlet'!$A$4:$B$22,2,FALSE),""))</f>
        <v/>
      </c>
      <c r="D4515" s="8" t="n"/>
      <c r="E4515" s="6" t="n"/>
      <c r="F4515" s="8" t="n"/>
    </row>
    <row r="4516">
      <c r="A4516" s="7" t="n"/>
      <c r="B4516" s="8" t="n"/>
      <c r="C4516" s="9">
        <f>IF(B4516="","",IFERROR(VLOOKUP(B4516,'Daftar Outlet'!$A$4:$B$22,2,FALSE),""))</f>
        <v/>
      </c>
      <c r="D4516" s="8" t="n"/>
      <c r="E4516" s="6" t="n"/>
      <c r="F4516" s="8" t="n"/>
    </row>
    <row r="4517">
      <c r="A4517" s="7" t="n"/>
      <c r="B4517" s="8" t="n"/>
      <c r="C4517" s="9">
        <f>IF(B4517="","",IFERROR(VLOOKUP(B4517,'Daftar Outlet'!$A$4:$B$22,2,FALSE),""))</f>
        <v/>
      </c>
      <c r="D4517" s="8" t="n"/>
      <c r="E4517" s="6" t="n"/>
      <c r="F4517" s="8" t="n"/>
    </row>
    <row r="4518">
      <c r="A4518" s="7" t="n"/>
      <c r="B4518" s="8" t="n"/>
      <c r="C4518" s="9">
        <f>IF(B4518="","",IFERROR(VLOOKUP(B4518,'Daftar Outlet'!$A$4:$B$22,2,FALSE),""))</f>
        <v/>
      </c>
      <c r="D4518" s="8" t="n"/>
      <c r="E4518" s="6" t="n"/>
      <c r="F4518" s="8" t="n"/>
    </row>
    <row r="4519">
      <c r="A4519" s="7" t="n"/>
      <c r="B4519" s="8" t="n"/>
      <c r="C4519" s="9">
        <f>IF(B4519="","",IFERROR(VLOOKUP(B4519,'Daftar Outlet'!$A$4:$B$22,2,FALSE),""))</f>
        <v/>
      </c>
      <c r="D4519" s="8" t="n"/>
      <c r="E4519" s="6" t="n"/>
      <c r="F4519" s="8" t="n"/>
    </row>
    <row r="4520">
      <c r="A4520" s="7" t="n"/>
      <c r="B4520" s="8" t="n"/>
      <c r="C4520" s="9">
        <f>IF(B4520="","",IFERROR(VLOOKUP(B4520,'Daftar Outlet'!$A$4:$B$22,2,FALSE),""))</f>
        <v/>
      </c>
      <c r="D4520" s="8" t="n"/>
      <c r="E4520" s="6" t="n"/>
      <c r="F4520" s="8" t="n"/>
    </row>
    <row r="4521">
      <c r="A4521" s="7" t="n"/>
      <c r="B4521" s="8" t="n"/>
      <c r="C4521" s="9">
        <f>IF(B4521="","",IFERROR(VLOOKUP(B4521,'Daftar Outlet'!$A$4:$B$22,2,FALSE),""))</f>
        <v/>
      </c>
      <c r="D4521" s="8" t="n"/>
      <c r="E4521" s="6" t="n"/>
      <c r="F4521" s="8" t="n"/>
    </row>
    <row r="4522">
      <c r="A4522" s="7" t="n"/>
      <c r="B4522" s="8" t="n"/>
      <c r="C4522" s="9">
        <f>IF(B4522="","",IFERROR(VLOOKUP(B4522,'Daftar Outlet'!$A$4:$B$22,2,FALSE),""))</f>
        <v/>
      </c>
      <c r="D4522" s="8" t="n"/>
      <c r="E4522" s="6" t="n"/>
      <c r="F4522" s="8" t="n"/>
    </row>
    <row r="4523">
      <c r="A4523" s="7" t="n"/>
      <c r="B4523" s="8" t="n"/>
      <c r="C4523" s="9">
        <f>IF(B4523="","",IFERROR(VLOOKUP(B4523,'Daftar Outlet'!$A$4:$B$22,2,FALSE),""))</f>
        <v/>
      </c>
      <c r="D4523" s="8" t="n"/>
      <c r="E4523" s="6" t="n"/>
      <c r="F4523" s="8" t="n"/>
    </row>
    <row r="4524">
      <c r="A4524" s="7" t="n"/>
      <c r="B4524" s="8" t="n"/>
      <c r="C4524" s="9">
        <f>IF(B4524="","",IFERROR(VLOOKUP(B4524,'Daftar Outlet'!$A$4:$B$22,2,FALSE),""))</f>
        <v/>
      </c>
      <c r="D4524" s="8" t="n"/>
      <c r="E4524" s="6" t="n"/>
      <c r="F4524" s="8" t="n"/>
    </row>
    <row r="4525">
      <c r="A4525" s="7" t="n"/>
      <c r="B4525" s="8" t="n"/>
      <c r="C4525" s="9">
        <f>IF(B4525="","",IFERROR(VLOOKUP(B4525,'Daftar Outlet'!$A$4:$B$22,2,FALSE),""))</f>
        <v/>
      </c>
      <c r="D4525" s="8" t="n"/>
      <c r="E4525" s="6" t="n"/>
      <c r="F4525" s="8" t="n"/>
    </row>
    <row r="4526">
      <c r="A4526" s="7" t="n"/>
      <c r="B4526" s="8" t="n"/>
      <c r="C4526" s="9">
        <f>IF(B4526="","",IFERROR(VLOOKUP(B4526,'Daftar Outlet'!$A$4:$B$22,2,FALSE),""))</f>
        <v/>
      </c>
      <c r="D4526" s="8" t="n"/>
      <c r="E4526" s="6" t="n"/>
      <c r="F4526" s="8" t="n"/>
    </row>
    <row r="4527">
      <c r="A4527" s="7" t="n"/>
      <c r="B4527" s="8" t="n"/>
      <c r="C4527" s="9">
        <f>IF(B4527="","",IFERROR(VLOOKUP(B4527,'Daftar Outlet'!$A$4:$B$22,2,FALSE),""))</f>
        <v/>
      </c>
      <c r="D4527" s="8" t="n"/>
      <c r="E4527" s="6" t="n"/>
      <c r="F4527" s="8" t="n"/>
    </row>
    <row r="4528">
      <c r="A4528" s="7" t="n"/>
      <c r="B4528" s="8" t="n"/>
      <c r="C4528" s="9">
        <f>IF(B4528="","",IFERROR(VLOOKUP(B4528,'Daftar Outlet'!$A$4:$B$22,2,FALSE),""))</f>
        <v/>
      </c>
      <c r="D4528" s="8" t="n"/>
      <c r="E4528" s="6" t="n"/>
      <c r="F4528" s="8" t="n"/>
    </row>
    <row r="4529">
      <c r="A4529" s="7" t="n"/>
      <c r="B4529" s="8" t="n"/>
      <c r="C4529" s="9">
        <f>IF(B4529="","",IFERROR(VLOOKUP(B4529,'Daftar Outlet'!$A$4:$B$22,2,FALSE),""))</f>
        <v/>
      </c>
      <c r="D4529" s="8" t="n"/>
      <c r="E4529" s="6" t="n"/>
      <c r="F4529" s="8" t="n"/>
    </row>
    <row r="4530">
      <c r="A4530" s="7" t="n"/>
      <c r="B4530" s="8" t="n"/>
      <c r="C4530" s="9">
        <f>IF(B4530="","",IFERROR(VLOOKUP(B4530,'Daftar Outlet'!$A$4:$B$22,2,FALSE),""))</f>
        <v/>
      </c>
      <c r="D4530" s="8" t="n"/>
      <c r="E4530" s="6" t="n"/>
      <c r="F4530" s="8" t="n"/>
    </row>
    <row r="4531">
      <c r="A4531" s="7" t="n"/>
      <c r="B4531" s="8" t="n"/>
      <c r="C4531" s="9">
        <f>IF(B4531="","",IFERROR(VLOOKUP(B4531,'Daftar Outlet'!$A$4:$B$22,2,FALSE),""))</f>
        <v/>
      </c>
      <c r="D4531" s="8" t="n"/>
      <c r="E4531" s="6" t="n"/>
      <c r="F4531" s="8" t="n"/>
    </row>
    <row r="4532">
      <c r="A4532" s="7" t="n"/>
      <c r="B4532" s="8" t="n"/>
      <c r="C4532" s="9">
        <f>IF(B4532="","",IFERROR(VLOOKUP(B4532,'Daftar Outlet'!$A$4:$B$22,2,FALSE),""))</f>
        <v/>
      </c>
      <c r="D4532" s="8" t="n"/>
      <c r="E4532" s="6" t="n"/>
      <c r="F4532" s="8" t="n"/>
    </row>
    <row r="4533">
      <c r="A4533" s="7" t="n"/>
      <c r="B4533" s="8" t="n"/>
      <c r="C4533" s="9">
        <f>IF(B4533="","",IFERROR(VLOOKUP(B4533,'Daftar Outlet'!$A$4:$B$22,2,FALSE),""))</f>
        <v/>
      </c>
      <c r="D4533" s="8" t="n"/>
      <c r="E4533" s="6" t="n"/>
      <c r="F4533" s="8" t="n"/>
    </row>
    <row r="4534">
      <c r="A4534" s="7" t="n"/>
      <c r="B4534" s="8" t="n"/>
      <c r="C4534" s="9">
        <f>IF(B4534="","",IFERROR(VLOOKUP(B4534,'Daftar Outlet'!$A$4:$B$22,2,FALSE),""))</f>
        <v/>
      </c>
      <c r="D4534" s="8" t="n"/>
      <c r="E4534" s="6" t="n"/>
      <c r="F4534" s="8" t="n"/>
    </row>
    <row r="4535">
      <c r="A4535" s="7" t="n"/>
      <c r="B4535" s="8" t="n"/>
      <c r="C4535" s="9">
        <f>IF(B4535="","",IFERROR(VLOOKUP(B4535,'Daftar Outlet'!$A$4:$B$22,2,FALSE),""))</f>
        <v/>
      </c>
      <c r="D4535" s="8" t="n"/>
      <c r="E4535" s="6" t="n"/>
      <c r="F4535" s="8" t="n"/>
    </row>
    <row r="4536">
      <c r="A4536" s="7" t="n"/>
      <c r="B4536" s="8" t="n"/>
      <c r="C4536" s="9">
        <f>IF(B4536="","",IFERROR(VLOOKUP(B4536,'Daftar Outlet'!$A$4:$B$22,2,FALSE),""))</f>
        <v/>
      </c>
      <c r="D4536" s="8" t="n"/>
      <c r="E4536" s="6" t="n"/>
      <c r="F4536" s="8" t="n"/>
    </row>
    <row r="4537">
      <c r="A4537" s="7" t="n"/>
      <c r="B4537" s="8" t="n"/>
      <c r="C4537" s="9">
        <f>IF(B4537="","",IFERROR(VLOOKUP(B4537,'Daftar Outlet'!$A$4:$B$22,2,FALSE),""))</f>
        <v/>
      </c>
      <c r="D4537" s="8" t="n"/>
      <c r="E4537" s="6" t="n"/>
      <c r="F4537" s="8" t="n"/>
    </row>
    <row r="4538">
      <c r="A4538" s="7" t="n"/>
      <c r="B4538" s="8" t="n"/>
      <c r="C4538" s="9">
        <f>IF(B4538="","",IFERROR(VLOOKUP(B4538,'Daftar Outlet'!$A$4:$B$22,2,FALSE),""))</f>
        <v/>
      </c>
      <c r="D4538" s="8" t="n"/>
      <c r="E4538" s="6" t="n"/>
      <c r="F4538" s="8" t="n"/>
    </row>
    <row r="4539">
      <c r="A4539" s="7" t="n"/>
      <c r="B4539" s="8" t="n"/>
      <c r="C4539" s="9">
        <f>IF(B4539="","",IFERROR(VLOOKUP(B4539,'Daftar Outlet'!$A$4:$B$22,2,FALSE),""))</f>
        <v/>
      </c>
      <c r="D4539" s="8" t="n"/>
      <c r="E4539" s="6" t="n"/>
      <c r="F4539" s="8" t="n"/>
    </row>
    <row r="4540">
      <c r="A4540" s="7" t="n"/>
      <c r="B4540" s="8" t="n"/>
      <c r="C4540" s="9">
        <f>IF(B4540="","",IFERROR(VLOOKUP(B4540,'Daftar Outlet'!$A$4:$B$22,2,FALSE),""))</f>
        <v/>
      </c>
      <c r="D4540" s="8" t="n"/>
      <c r="E4540" s="6" t="n"/>
      <c r="F4540" s="8" t="n"/>
    </row>
    <row r="4541">
      <c r="A4541" s="7" t="n"/>
      <c r="B4541" s="8" t="n"/>
      <c r="C4541" s="9">
        <f>IF(B4541="","",IFERROR(VLOOKUP(B4541,'Daftar Outlet'!$A$4:$B$22,2,FALSE),""))</f>
        <v/>
      </c>
      <c r="D4541" s="8" t="n"/>
      <c r="E4541" s="6" t="n"/>
      <c r="F4541" s="8" t="n"/>
    </row>
    <row r="4542">
      <c r="A4542" s="7" t="n"/>
      <c r="B4542" s="8" t="n"/>
      <c r="C4542" s="9">
        <f>IF(B4542="","",IFERROR(VLOOKUP(B4542,'Daftar Outlet'!$A$4:$B$22,2,FALSE),""))</f>
        <v/>
      </c>
      <c r="D4542" s="8" t="n"/>
      <c r="E4542" s="6" t="n"/>
      <c r="F4542" s="8" t="n"/>
    </row>
    <row r="4543">
      <c r="A4543" s="7" t="n"/>
      <c r="B4543" s="8" t="n"/>
      <c r="C4543" s="9">
        <f>IF(B4543="","",IFERROR(VLOOKUP(B4543,'Daftar Outlet'!$A$4:$B$22,2,FALSE),""))</f>
        <v/>
      </c>
      <c r="D4543" s="8" t="n"/>
      <c r="E4543" s="6" t="n"/>
      <c r="F4543" s="8" t="n"/>
    </row>
    <row r="4544">
      <c r="A4544" s="7" t="n"/>
      <c r="B4544" s="8" t="n"/>
      <c r="C4544" s="9">
        <f>IF(B4544="","",IFERROR(VLOOKUP(B4544,'Daftar Outlet'!$A$4:$B$22,2,FALSE),""))</f>
        <v/>
      </c>
      <c r="D4544" s="8" t="n"/>
      <c r="E4544" s="6" t="n"/>
      <c r="F4544" s="8" t="n"/>
    </row>
    <row r="4545">
      <c r="A4545" s="7" t="n"/>
      <c r="B4545" s="8" t="n"/>
      <c r="C4545" s="9">
        <f>IF(B4545="","",IFERROR(VLOOKUP(B4545,'Daftar Outlet'!$A$4:$B$22,2,FALSE),""))</f>
        <v/>
      </c>
      <c r="D4545" s="8" t="n"/>
      <c r="E4545" s="6" t="n"/>
      <c r="F4545" s="8" t="n"/>
    </row>
    <row r="4546">
      <c r="A4546" s="7" t="n"/>
      <c r="B4546" s="8" t="n"/>
      <c r="C4546" s="9">
        <f>IF(B4546="","",IFERROR(VLOOKUP(B4546,'Daftar Outlet'!$A$4:$B$22,2,FALSE),""))</f>
        <v/>
      </c>
      <c r="D4546" s="8" t="n"/>
      <c r="E4546" s="6" t="n"/>
      <c r="F4546" s="8" t="n"/>
    </row>
    <row r="4547">
      <c r="A4547" s="7" t="n"/>
      <c r="B4547" s="8" t="n"/>
      <c r="C4547" s="9">
        <f>IF(B4547="","",IFERROR(VLOOKUP(B4547,'Daftar Outlet'!$A$4:$B$22,2,FALSE),""))</f>
        <v/>
      </c>
      <c r="D4547" s="8" t="n"/>
      <c r="E4547" s="6" t="n"/>
      <c r="F4547" s="8" t="n"/>
    </row>
    <row r="4548">
      <c r="A4548" s="7" t="n"/>
      <c r="B4548" s="8" t="n"/>
      <c r="C4548" s="9">
        <f>IF(B4548="","",IFERROR(VLOOKUP(B4548,'Daftar Outlet'!$A$4:$B$22,2,FALSE),""))</f>
        <v/>
      </c>
      <c r="D4548" s="8" t="n"/>
      <c r="E4548" s="6" t="n"/>
      <c r="F4548" s="8" t="n"/>
    </row>
    <row r="4549">
      <c r="A4549" s="7" t="n"/>
      <c r="B4549" s="8" t="n"/>
      <c r="C4549" s="9">
        <f>IF(B4549="","",IFERROR(VLOOKUP(B4549,'Daftar Outlet'!$A$4:$B$22,2,FALSE),""))</f>
        <v/>
      </c>
      <c r="D4549" s="8" t="n"/>
      <c r="E4549" s="6" t="n"/>
      <c r="F4549" s="8" t="n"/>
    </row>
    <row r="4550">
      <c r="A4550" s="7" t="n"/>
      <c r="B4550" s="8" t="n"/>
      <c r="C4550" s="9">
        <f>IF(B4550="","",IFERROR(VLOOKUP(B4550,'Daftar Outlet'!$A$4:$B$22,2,FALSE),""))</f>
        <v/>
      </c>
      <c r="D4550" s="8" t="n"/>
      <c r="E4550" s="6" t="n"/>
      <c r="F4550" s="8" t="n"/>
    </row>
    <row r="4551">
      <c r="A4551" s="7" t="n"/>
      <c r="B4551" s="8" t="n"/>
      <c r="C4551" s="9">
        <f>IF(B4551="","",IFERROR(VLOOKUP(B4551,'Daftar Outlet'!$A$4:$B$22,2,FALSE),""))</f>
        <v/>
      </c>
      <c r="D4551" s="8" t="n"/>
      <c r="E4551" s="6" t="n"/>
      <c r="F4551" s="8" t="n"/>
    </row>
    <row r="4552">
      <c r="A4552" s="7" t="n"/>
      <c r="B4552" s="8" t="n"/>
      <c r="C4552" s="9">
        <f>IF(B4552="","",IFERROR(VLOOKUP(B4552,'Daftar Outlet'!$A$4:$B$22,2,FALSE),""))</f>
        <v/>
      </c>
      <c r="D4552" s="8" t="n"/>
      <c r="E4552" s="6" t="n"/>
      <c r="F4552" s="8" t="n"/>
    </row>
    <row r="4553">
      <c r="A4553" s="7" t="n"/>
      <c r="B4553" s="8" t="n"/>
      <c r="C4553" s="9">
        <f>IF(B4553="","",IFERROR(VLOOKUP(B4553,'Daftar Outlet'!$A$4:$B$22,2,FALSE),""))</f>
        <v/>
      </c>
      <c r="D4553" s="8" t="n"/>
      <c r="E4553" s="6" t="n"/>
      <c r="F4553" s="8" t="n"/>
    </row>
    <row r="4554">
      <c r="A4554" s="7" t="n"/>
      <c r="B4554" s="8" t="n"/>
      <c r="C4554" s="9">
        <f>IF(B4554="","",IFERROR(VLOOKUP(B4554,'Daftar Outlet'!$A$4:$B$22,2,FALSE),""))</f>
        <v/>
      </c>
      <c r="D4554" s="8" t="n"/>
      <c r="E4554" s="6" t="n"/>
      <c r="F4554" s="8" t="n"/>
    </row>
    <row r="4555">
      <c r="A4555" s="7" t="n"/>
      <c r="B4555" s="8" t="n"/>
      <c r="C4555" s="9">
        <f>IF(B4555="","",IFERROR(VLOOKUP(B4555,'Daftar Outlet'!$A$4:$B$22,2,FALSE),""))</f>
        <v/>
      </c>
      <c r="D4555" s="8" t="n"/>
      <c r="E4555" s="6" t="n"/>
      <c r="F4555" s="8" t="n"/>
    </row>
    <row r="4556">
      <c r="A4556" s="7" t="n"/>
      <c r="B4556" s="8" t="n"/>
      <c r="C4556" s="9">
        <f>IF(B4556="","",IFERROR(VLOOKUP(B4556,'Daftar Outlet'!$A$4:$B$22,2,FALSE),""))</f>
        <v/>
      </c>
      <c r="D4556" s="8" t="n"/>
      <c r="E4556" s="6" t="n"/>
      <c r="F4556" s="8" t="n"/>
    </row>
    <row r="4557">
      <c r="A4557" s="7" t="n"/>
      <c r="B4557" s="8" t="n"/>
      <c r="C4557" s="9">
        <f>IF(B4557="","",IFERROR(VLOOKUP(B4557,'Daftar Outlet'!$A$4:$B$22,2,FALSE),""))</f>
        <v/>
      </c>
      <c r="D4557" s="8" t="n"/>
      <c r="E4557" s="6" t="n"/>
      <c r="F4557" s="8" t="n"/>
    </row>
    <row r="4558">
      <c r="A4558" s="7" t="n"/>
      <c r="B4558" s="8" t="n"/>
      <c r="C4558" s="9">
        <f>IF(B4558="","",IFERROR(VLOOKUP(B4558,'Daftar Outlet'!$A$4:$B$22,2,FALSE),""))</f>
        <v/>
      </c>
      <c r="D4558" s="8" t="n"/>
      <c r="E4558" s="6" t="n"/>
      <c r="F4558" s="8" t="n"/>
    </row>
    <row r="4559">
      <c r="A4559" s="7" t="n"/>
      <c r="B4559" s="8" t="n"/>
      <c r="C4559" s="9">
        <f>IF(B4559="","",IFERROR(VLOOKUP(B4559,'Daftar Outlet'!$A$4:$B$22,2,FALSE),""))</f>
        <v/>
      </c>
      <c r="D4559" s="8" t="n"/>
      <c r="E4559" s="6" t="n"/>
      <c r="F4559" s="8" t="n"/>
    </row>
    <row r="4560">
      <c r="A4560" s="7" t="n"/>
      <c r="B4560" s="8" t="n"/>
      <c r="C4560" s="9">
        <f>IF(B4560="","",IFERROR(VLOOKUP(B4560,'Daftar Outlet'!$A$4:$B$22,2,FALSE),""))</f>
        <v/>
      </c>
      <c r="D4560" s="8" t="n"/>
      <c r="E4560" s="6" t="n"/>
      <c r="F4560" s="8" t="n"/>
    </row>
    <row r="4561">
      <c r="A4561" s="7" t="n"/>
      <c r="B4561" s="8" t="n"/>
      <c r="C4561" s="9">
        <f>IF(B4561="","",IFERROR(VLOOKUP(B4561,'Daftar Outlet'!$A$4:$B$22,2,FALSE),""))</f>
        <v/>
      </c>
      <c r="D4561" s="8" t="n"/>
      <c r="E4561" s="6" t="n"/>
      <c r="F4561" s="8" t="n"/>
    </row>
    <row r="4562">
      <c r="A4562" s="7" t="n"/>
      <c r="B4562" s="8" t="n"/>
      <c r="C4562" s="9">
        <f>IF(B4562="","",IFERROR(VLOOKUP(B4562,'Daftar Outlet'!$A$4:$B$22,2,FALSE),""))</f>
        <v/>
      </c>
      <c r="D4562" s="8" t="n"/>
      <c r="E4562" s="6" t="n"/>
      <c r="F4562" s="8" t="n"/>
    </row>
    <row r="4563">
      <c r="A4563" s="7" t="n"/>
      <c r="B4563" s="8" t="n"/>
      <c r="C4563" s="9">
        <f>IF(B4563="","",IFERROR(VLOOKUP(B4563,'Daftar Outlet'!$A$4:$B$22,2,FALSE),""))</f>
        <v/>
      </c>
      <c r="D4563" s="8" t="n"/>
      <c r="E4563" s="6" t="n"/>
      <c r="F4563" s="8" t="n"/>
    </row>
    <row r="4564">
      <c r="A4564" s="7" t="n"/>
      <c r="B4564" s="8" t="n"/>
      <c r="C4564" s="9">
        <f>IF(B4564="","",IFERROR(VLOOKUP(B4564,'Daftar Outlet'!$A$4:$B$22,2,FALSE),""))</f>
        <v/>
      </c>
      <c r="D4564" s="8" t="n"/>
      <c r="E4564" s="6" t="n"/>
      <c r="F4564" s="8" t="n"/>
    </row>
    <row r="4565">
      <c r="A4565" s="7" t="n"/>
      <c r="B4565" s="8" t="n"/>
      <c r="C4565" s="9">
        <f>IF(B4565="","",IFERROR(VLOOKUP(B4565,'Daftar Outlet'!$A$4:$B$22,2,FALSE),""))</f>
        <v/>
      </c>
      <c r="D4565" s="8" t="n"/>
      <c r="E4565" s="6" t="n"/>
      <c r="F4565" s="8" t="n"/>
    </row>
    <row r="4566">
      <c r="A4566" s="7" t="n"/>
      <c r="B4566" s="8" t="n"/>
      <c r="C4566" s="9">
        <f>IF(B4566="","",IFERROR(VLOOKUP(B4566,'Daftar Outlet'!$A$4:$B$22,2,FALSE),""))</f>
        <v/>
      </c>
      <c r="D4566" s="8" t="n"/>
      <c r="E4566" s="6" t="n"/>
      <c r="F4566" s="8" t="n"/>
    </row>
    <row r="4567">
      <c r="A4567" s="7" t="n"/>
      <c r="B4567" s="8" t="n"/>
      <c r="C4567" s="9">
        <f>IF(B4567="","",IFERROR(VLOOKUP(B4567,'Daftar Outlet'!$A$4:$B$22,2,FALSE),""))</f>
        <v/>
      </c>
      <c r="D4567" s="8" t="n"/>
      <c r="E4567" s="6" t="n"/>
      <c r="F4567" s="8" t="n"/>
    </row>
    <row r="4568">
      <c r="A4568" s="7" t="n"/>
      <c r="B4568" s="8" t="n"/>
      <c r="C4568" s="9">
        <f>IF(B4568="","",IFERROR(VLOOKUP(B4568,'Daftar Outlet'!$A$4:$B$22,2,FALSE),""))</f>
        <v/>
      </c>
      <c r="D4568" s="8" t="n"/>
      <c r="E4568" s="6" t="n"/>
      <c r="F4568" s="8" t="n"/>
    </row>
    <row r="4569">
      <c r="A4569" s="7" t="n"/>
      <c r="B4569" s="8" t="n"/>
      <c r="C4569" s="9">
        <f>IF(B4569="","",IFERROR(VLOOKUP(B4569,'Daftar Outlet'!$A$4:$B$22,2,FALSE),""))</f>
        <v/>
      </c>
      <c r="D4569" s="8" t="n"/>
      <c r="E4569" s="6" t="n"/>
      <c r="F4569" s="8" t="n"/>
    </row>
    <row r="4570">
      <c r="A4570" s="7" t="n"/>
      <c r="B4570" s="8" t="n"/>
      <c r="C4570" s="9">
        <f>IF(B4570="","",IFERROR(VLOOKUP(B4570,'Daftar Outlet'!$A$4:$B$22,2,FALSE),""))</f>
        <v/>
      </c>
      <c r="D4570" s="8" t="n"/>
      <c r="E4570" s="6" t="n"/>
      <c r="F4570" s="8" t="n"/>
    </row>
    <row r="4571">
      <c r="A4571" s="7" t="n"/>
      <c r="B4571" s="8" t="n"/>
      <c r="C4571" s="9">
        <f>IF(B4571="","",IFERROR(VLOOKUP(B4571,'Daftar Outlet'!$A$4:$B$22,2,FALSE),""))</f>
        <v/>
      </c>
      <c r="D4571" s="8" t="n"/>
      <c r="E4571" s="6" t="n"/>
      <c r="F4571" s="8" t="n"/>
    </row>
    <row r="4572">
      <c r="A4572" s="7" t="n"/>
      <c r="B4572" s="8" t="n"/>
      <c r="C4572" s="9">
        <f>IF(B4572="","",IFERROR(VLOOKUP(B4572,'Daftar Outlet'!$A$4:$B$22,2,FALSE),""))</f>
        <v/>
      </c>
      <c r="D4572" s="8" t="n"/>
      <c r="E4572" s="6" t="n"/>
      <c r="F4572" s="8" t="n"/>
    </row>
    <row r="4573">
      <c r="A4573" s="7" t="n"/>
      <c r="B4573" s="8" t="n"/>
      <c r="C4573" s="9">
        <f>IF(B4573="","",IFERROR(VLOOKUP(B4573,'Daftar Outlet'!$A$4:$B$22,2,FALSE),""))</f>
        <v/>
      </c>
      <c r="D4573" s="8" t="n"/>
      <c r="E4573" s="6" t="n"/>
      <c r="F4573" s="8" t="n"/>
    </row>
    <row r="4574">
      <c r="A4574" s="7" t="n"/>
      <c r="B4574" s="8" t="n"/>
      <c r="C4574" s="9">
        <f>IF(B4574="","",IFERROR(VLOOKUP(B4574,'Daftar Outlet'!$A$4:$B$22,2,FALSE),""))</f>
        <v/>
      </c>
      <c r="D4574" s="8" t="n"/>
      <c r="E4574" s="6" t="n"/>
      <c r="F4574" s="8" t="n"/>
    </row>
    <row r="4575">
      <c r="A4575" s="7" t="n"/>
      <c r="B4575" s="8" t="n"/>
      <c r="C4575" s="9">
        <f>IF(B4575="","",IFERROR(VLOOKUP(B4575,'Daftar Outlet'!$A$4:$B$22,2,FALSE),""))</f>
        <v/>
      </c>
      <c r="D4575" s="8" t="n"/>
      <c r="E4575" s="6" t="n"/>
      <c r="F4575" s="8" t="n"/>
    </row>
    <row r="4576">
      <c r="A4576" s="7" t="n"/>
      <c r="B4576" s="8" t="n"/>
      <c r="C4576" s="9">
        <f>IF(B4576="","",IFERROR(VLOOKUP(B4576,'Daftar Outlet'!$A$4:$B$22,2,FALSE),""))</f>
        <v/>
      </c>
      <c r="D4576" s="8" t="n"/>
      <c r="E4576" s="6" t="n"/>
      <c r="F4576" s="8" t="n"/>
    </row>
    <row r="4577">
      <c r="A4577" s="7" t="n"/>
      <c r="B4577" s="8" t="n"/>
      <c r="C4577" s="9">
        <f>IF(B4577="","",IFERROR(VLOOKUP(B4577,'Daftar Outlet'!$A$4:$B$22,2,FALSE),""))</f>
        <v/>
      </c>
      <c r="D4577" s="8" t="n"/>
      <c r="E4577" s="6" t="n"/>
      <c r="F4577" s="8" t="n"/>
    </row>
    <row r="4578">
      <c r="A4578" s="7" t="n"/>
      <c r="B4578" s="8" t="n"/>
      <c r="C4578" s="9">
        <f>IF(B4578="","",IFERROR(VLOOKUP(B4578,'Daftar Outlet'!$A$4:$B$22,2,FALSE),""))</f>
        <v/>
      </c>
      <c r="D4578" s="8" t="n"/>
      <c r="E4578" s="6" t="n"/>
      <c r="F4578" s="8" t="n"/>
    </row>
    <row r="4579">
      <c r="A4579" s="7" t="n"/>
      <c r="B4579" s="8" t="n"/>
      <c r="C4579" s="9">
        <f>IF(B4579="","",IFERROR(VLOOKUP(B4579,'Daftar Outlet'!$A$4:$B$22,2,FALSE),""))</f>
        <v/>
      </c>
      <c r="D4579" s="8" t="n"/>
      <c r="E4579" s="6" t="n"/>
      <c r="F4579" s="8" t="n"/>
    </row>
    <row r="4580">
      <c r="A4580" s="7" t="n"/>
      <c r="B4580" s="8" t="n"/>
      <c r="C4580" s="9">
        <f>IF(B4580="","",IFERROR(VLOOKUP(B4580,'Daftar Outlet'!$A$4:$B$22,2,FALSE),""))</f>
        <v/>
      </c>
      <c r="D4580" s="8" t="n"/>
      <c r="E4580" s="6" t="n"/>
      <c r="F4580" s="8" t="n"/>
    </row>
    <row r="4581">
      <c r="A4581" s="7" t="n"/>
      <c r="B4581" s="8" t="n"/>
      <c r="C4581" s="9">
        <f>IF(B4581="","",IFERROR(VLOOKUP(B4581,'Daftar Outlet'!$A$4:$B$22,2,FALSE),""))</f>
        <v/>
      </c>
      <c r="D4581" s="8" t="n"/>
      <c r="E4581" s="6" t="n"/>
      <c r="F4581" s="8" t="n"/>
    </row>
    <row r="4582">
      <c r="A4582" s="7" t="n"/>
      <c r="B4582" s="8" t="n"/>
      <c r="C4582" s="9">
        <f>IF(B4582="","",IFERROR(VLOOKUP(B4582,'Daftar Outlet'!$A$4:$B$22,2,FALSE),""))</f>
        <v/>
      </c>
      <c r="D4582" s="8" t="n"/>
      <c r="E4582" s="6" t="n"/>
      <c r="F4582" s="8" t="n"/>
    </row>
    <row r="4583">
      <c r="A4583" s="7" t="n"/>
      <c r="B4583" s="8" t="n"/>
      <c r="C4583" s="9">
        <f>IF(B4583="","",IFERROR(VLOOKUP(B4583,'Daftar Outlet'!$A$4:$B$22,2,FALSE),""))</f>
        <v/>
      </c>
      <c r="D4583" s="8" t="n"/>
      <c r="E4583" s="6" t="n"/>
      <c r="F4583" s="8" t="n"/>
    </row>
    <row r="4584">
      <c r="A4584" s="7" t="n"/>
      <c r="B4584" s="8" t="n"/>
      <c r="C4584" s="9">
        <f>IF(B4584="","",IFERROR(VLOOKUP(B4584,'Daftar Outlet'!$A$4:$B$22,2,FALSE),""))</f>
        <v/>
      </c>
      <c r="D4584" s="8" t="n"/>
      <c r="E4584" s="6" t="n"/>
      <c r="F4584" s="8" t="n"/>
    </row>
    <row r="4585">
      <c r="A4585" s="7" t="n"/>
      <c r="B4585" s="8" t="n"/>
      <c r="C4585" s="9">
        <f>IF(B4585="","",IFERROR(VLOOKUP(B4585,'Daftar Outlet'!$A$4:$B$22,2,FALSE),""))</f>
        <v/>
      </c>
      <c r="D4585" s="8" t="n"/>
      <c r="E4585" s="6" t="n"/>
      <c r="F4585" s="8" t="n"/>
    </row>
    <row r="4586">
      <c r="A4586" s="7" t="n"/>
      <c r="B4586" s="8" t="n"/>
      <c r="C4586" s="9">
        <f>IF(B4586="","",IFERROR(VLOOKUP(B4586,'Daftar Outlet'!$A$4:$B$22,2,FALSE),""))</f>
        <v/>
      </c>
      <c r="D4586" s="8" t="n"/>
      <c r="E4586" s="6" t="n"/>
      <c r="F4586" s="8" t="n"/>
    </row>
    <row r="4587">
      <c r="A4587" s="7" t="n"/>
      <c r="B4587" s="8" t="n"/>
      <c r="C4587" s="9">
        <f>IF(B4587="","",IFERROR(VLOOKUP(B4587,'Daftar Outlet'!$A$4:$B$22,2,FALSE),""))</f>
        <v/>
      </c>
      <c r="D4587" s="8" t="n"/>
      <c r="E4587" s="6" t="n"/>
      <c r="F4587" s="8" t="n"/>
    </row>
    <row r="4588">
      <c r="A4588" s="7" t="n"/>
      <c r="B4588" s="8" t="n"/>
      <c r="C4588" s="9">
        <f>IF(B4588="","",IFERROR(VLOOKUP(B4588,'Daftar Outlet'!$A$4:$B$22,2,FALSE),""))</f>
        <v/>
      </c>
      <c r="D4588" s="8" t="n"/>
      <c r="E4588" s="6" t="n"/>
      <c r="F4588" s="8" t="n"/>
    </row>
    <row r="4589">
      <c r="A4589" s="7" t="n"/>
      <c r="B4589" s="8" t="n"/>
      <c r="C4589" s="9">
        <f>IF(B4589="","",IFERROR(VLOOKUP(B4589,'Daftar Outlet'!$A$4:$B$22,2,FALSE),""))</f>
        <v/>
      </c>
      <c r="D4589" s="8" t="n"/>
      <c r="E4589" s="6" t="n"/>
      <c r="F4589" s="8" t="n"/>
    </row>
    <row r="4590">
      <c r="A4590" s="7" t="n"/>
      <c r="B4590" s="8" t="n"/>
      <c r="C4590" s="9">
        <f>IF(B4590="","",IFERROR(VLOOKUP(B4590,'Daftar Outlet'!$A$4:$B$22,2,FALSE),""))</f>
        <v/>
      </c>
      <c r="D4590" s="8" t="n"/>
      <c r="E4590" s="6" t="n"/>
      <c r="F4590" s="8" t="n"/>
    </row>
    <row r="4591">
      <c r="A4591" s="7" t="n"/>
      <c r="B4591" s="8" t="n"/>
      <c r="C4591" s="9">
        <f>IF(B4591="","",IFERROR(VLOOKUP(B4591,'Daftar Outlet'!$A$4:$B$22,2,FALSE),""))</f>
        <v/>
      </c>
      <c r="D4591" s="8" t="n"/>
      <c r="E4591" s="6" t="n"/>
      <c r="F4591" s="8" t="n"/>
    </row>
    <row r="4592">
      <c r="A4592" s="7" t="n"/>
      <c r="B4592" s="8" t="n"/>
      <c r="C4592" s="9">
        <f>IF(B4592="","",IFERROR(VLOOKUP(B4592,'Daftar Outlet'!$A$4:$B$22,2,FALSE),""))</f>
        <v/>
      </c>
      <c r="D4592" s="8" t="n"/>
      <c r="E4592" s="6" t="n"/>
      <c r="F4592" s="8" t="n"/>
    </row>
    <row r="4593">
      <c r="A4593" s="7" t="n"/>
      <c r="B4593" s="8" t="n"/>
      <c r="C4593" s="9">
        <f>IF(B4593="","",IFERROR(VLOOKUP(B4593,'Daftar Outlet'!$A$4:$B$22,2,FALSE),""))</f>
        <v/>
      </c>
      <c r="D4593" s="8" t="n"/>
      <c r="E4593" s="6" t="n"/>
      <c r="F4593" s="8" t="n"/>
    </row>
    <row r="4594">
      <c r="A4594" s="7" t="n"/>
      <c r="B4594" s="8" t="n"/>
      <c r="C4594" s="9">
        <f>IF(B4594="","",IFERROR(VLOOKUP(B4594,'Daftar Outlet'!$A$4:$B$22,2,FALSE),""))</f>
        <v/>
      </c>
      <c r="D4594" s="8" t="n"/>
      <c r="E4594" s="6" t="n"/>
      <c r="F4594" s="8" t="n"/>
    </row>
    <row r="4595">
      <c r="A4595" s="7" t="n"/>
      <c r="B4595" s="8" t="n"/>
      <c r="C4595" s="9">
        <f>IF(B4595="","",IFERROR(VLOOKUP(B4595,'Daftar Outlet'!$A$4:$B$22,2,FALSE),""))</f>
        <v/>
      </c>
      <c r="D4595" s="8" t="n"/>
      <c r="E4595" s="6" t="n"/>
      <c r="F4595" s="8" t="n"/>
    </row>
    <row r="4596">
      <c r="A4596" s="7" t="n"/>
      <c r="B4596" s="8" t="n"/>
      <c r="C4596" s="9">
        <f>IF(B4596="","",IFERROR(VLOOKUP(B4596,'Daftar Outlet'!$A$4:$B$22,2,FALSE),""))</f>
        <v/>
      </c>
      <c r="D4596" s="8" t="n"/>
      <c r="E4596" s="6" t="n"/>
      <c r="F4596" s="8" t="n"/>
    </row>
    <row r="4597">
      <c r="A4597" s="7" t="n"/>
      <c r="B4597" s="8" t="n"/>
      <c r="C4597" s="9">
        <f>IF(B4597="","",IFERROR(VLOOKUP(B4597,'Daftar Outlet'!$A$4:$B$22,2,FALSE),""))</f>
        <v/>
      </c>
      <c r="D4597" s="8" t="n"/>
      <c r="E4597" s="6" t="n"/>
      <c r="F4597" s="8" t="n"/>
    </row>
    <row r="4598">
      <c r="A4598" s="7" t="n"/>
      <c r="B4598" s="8" t="n"/>
      <c r="C4598" s="9">
        <f>IF(B4598="","",IFERROR(VLOOKUP(B4598,'Daftar Outlet'!$A$4:$B$22,2,FALSE),""))</f>
        <v/>
      </c>
      <c r="D4598" s="8" t="n"/>
      <c r="E4598" s="6" t="n"/>
      <c r="F4598" s="8" t="n"/>
    </row>
    <row r="4599">
      <c r="A4599" s="7" t="n"/>
      <c r="B4599" s="8" t="n"/>
      <c r="C4599" s="9">
        <f>IF(B4599="","",IFERROR(VLOOKUP(B4599,'Daftar Outlet'!$A$4:$B$22,2,FALSE),""))</f>
        <v/>
      </c>
      <c r="D4599" s="8" t="n"/>
      <c r="E4599" s="6" t="n"/>
      <c r="F4599" s="8" t="n"/>
    </row>
    <row r="4600">
      <c r="A4600" s="7" t="n"/>
      <c r="B4600" s="8" t="n"/>
      <c r="C4600" s="9">
        <f>IF(B4600="","",IFERROR(VLOOKUP(B4600,'Daftar Outlet'!$A$4:$B$22,2,FALSE),""))</f>
        <v/>
      </c>
      <c r="D4600" s="8" t="n"/>
      <c r="E4600" s="6" t="n"/>
      <c r="F4600" s="8" t="n"/>
    </row>
    <row r="4601">
      <c r="A4601" s="7" t="n"/>
      <c r="B4601" s="8" t="n"/>
      <c r="C4601" s="9">
        <f>IF(B4601="","",IFERROR(VLOOKUP(B4601,'Daftar Outlet'!$A$4:$B$22,2,FALSE),""))</f>
        <v/>
      </c>
      <c r="D4601" s="8" t="n"/>
      <c r="E4601" s="6" t="n"/>
      <c r="F4601" s="8" t="n"/>
    </row>
    <row r="4602">
      <c r="A4602" s="7" t="n"/>
      <c r="B4602" s="8" t="n"/>
      <c r="C4602" s="9">
        <f>IF(B4602="","",IFERROR(VLOOKUP(B4602,'Daftar Outlet'!$A$4:$B$22,2,FALSE),""))</f>
        <v/>
      </c>
      <c r="D4602" s="8" t="n"/>
      <c r="E4602" s="6" t="n"/>
      <c r="F4602" s="8" t="n"/>
    </row>
    <row r="4603">
      <c r="A4603" s="7" t="n"/>
      <c r="B4603" s="8" t="n"/>
      <c r="C4603" s="9">
        <f>IF(B4603="","",IFERROR(VLOOKUP(B4603,'Daftar Outlet'!$A$4:$B$22,2,FALSE),""))</f>
        <v/>
      </c>
      <c r="D4603" s="8" t="n"/>
      <c r="E4603" s="6" t="n"/>
      <c r="F4603" s="8" t="n"/>
    </row>
    <row r="4604">
      <c r="A4604" s="7" t="n"/>
      <c r="B4604" s="8" t="n"/>
      <c r="C4604" s="9">
        <f>IF(B4604="","",IFERROR(VLOOKUP(B4604,'Daftar Outlet'!$A$4:$B$22,2,FALSE),""))</f>
        <v/>
      </c>
      <c r="D4604" s="8" t="n"/>
      <c r="E4604" s="6" t="n"/>
      <c r="F4604" s="8" t="n"/>
    </row>
    <row r="4605">
      <c r="A4605" s="7" t="n"/>
      <c r="B4605" s="8" t="n"/>
      <c r="C4605" s="9">
        <f>IF(B4605="","",IFERROR(VLOOKUP(B4605,'Daftar Outlet'!$A$4:$B$22,2,FALSE),""))</f>
        <v/>
      </c>
      <c r="D4605" s="8" t="n"/>
      <c r="E4605" s="6" t="n"/>
      <c r="F4605" s="8" t="n"/>
    </row>
    <row r="4606">
      <c r="A4606" s="7" t="n"/>
      <c r="B4606" s="8" t="n"/>
      <c r="C4606" s="9">
        <f>IF(B4606="","",IFERROR(VLOOKUP(B4606,'Daftar Outlet'!$A$4:$B$22,2,FALSE),""))</f>
        <v/>
      </c>
      <c r="D4606" s="8" t="n"/>
      <c r="E4606" s="6" t="n"/>
      <c r="F4606" s="8" t="n"/>
    </row>
    <row r="4607">
      <c r="A4607" s="7" t="n"/>
      <c r="B4607" s="8" t="n"/>
      <c r="C4607" s="9">
        <f>IF(B4607="","",IFERROR(VLOOKUP(B4607,'Daftar Outlet'!$A$4:$B$22,2,FALSE),""))</f>
        <v/>
      </c>
      <c r="D4607" s="8" t="n"/>
      <c r="E4607" s="6" t="n"/>
      <c r="F4607" s="8" t="n"/>
    </row>
    <row r="4608">
      <c r="A4608" s="7" t="n"/>
      <c r="B4608" s="8" t="n"/>
      <c r="C4608" s="9">
        <f>IF(B4608="","",IFERROR(VLOOKUP(B4608,'Daftar Outlet'!$A$4:$B$22,2,FALSE),""))</f>
        <v/>
      </c>
      <c r="D4608" s="8" t="n"/>
      <c r="E4608" s="6" t="n"/>
      <c r="F4608" s="8" t="n"/>
    </row>
    <row r="4609">
      <c r="A4609" s="7" t="n"/>
      <c r="B4609" s="8" t="n"/>
      <c r="C4609" s="9">
        <f>IF(B4609="","",IFERROR(VLOOKUP(B4609,'Daftar Outlet'!$A$4:$B$22,2,FALSE),""))</f>
        <v/>
      </c>
      <c r="D4609" s="8" t="n"/>
      <c r="E4609" s="6" t="n"/>
      <c r="F4609" s="8" t="n"/>
    </row>
    <row r="4610">
      <c r="A4610" s="7" t="n"/>
      <c r="B4610" s="8" t="n"/>
      <c r="C4610" s="9">
        <f>IF(B4610="","",IFERROR(VLOOKUP(B4610,'Daftar Outlet'!$A$4:$B$22,2,FALSE),""))</f>
        <v/>
      </c>
      <c r="D4610" s="8" t="n"/>
      <c r="E4610" s="6" t="n"/>
      <c r="F4610" s="8" t="n"/>
    </row>
    <row r="4611">
      <c r="A4611" s="7" t="n"/>
      <c r="B4611" s="8" t="n"/>
      <c r="C4611" s="9">
        <f>IF(B4611="","",IFERROR(VLOOKUP(B4611,'Daftar Outlet'!$A$4:$B$22,2,FALSE),""))</f>
        <v/>
      </c>
      <c r="D4611" s="8" t="n"/>
      <c r="E4611" s="6" t="n"/>
      <c r="F4611" s="8" t="n"/>
    </row>
    <row r="4612">
      <c r="A4612" s="7" t="n"/>
      <c r="B4612" s="8" t="n"/>
      <c r="C4612" s="9">
        <f>IF(B4612="","",IFERROR(VLOOKUP(B4612,'Daftar Outlet'!$A$4:$B$22,2,FALSE),""))</f>
        <v/>
      </c>
      <c r="D4612" s="8" t="n"/>
      <c r="E4612" s="6" t="n"/>
      <c r="F4612" s="8" t="n"/>
    </row>
    <row r="4613">
      <c r="A4613" s="7" t="n"/>
      <c r="B4613" s="8" t="n"/>
      <c r="C4613" s="9">
        <f>IF(B4613="","",IFERROR(VLOOKUP(B4613,'Daftar Outlet'!$A$4:$B$22,2,FALSE),""))</f>
        <v/>
      </c>
      <c r="D4613" s="8" t="n"/>
      <c r="E4613" s="6" t="n"/>
      <c r="F4613" s="8" t="n"/>
    </row>
    <row r="4614">
      <c r="A4614" s="7" t="n"/>
      <c r="B4614" s="8" t="n"/>
      <c r="C4614" s="9">
        <f>IF(B4614="","",IFERROR(VLOOKUP(B4614,'Daftar Outlet'!$A$4:$B$22,2,FALSE),""))</f>
        <v/>
      </c>
      <c r="D4614" s="8" t="n"/>
      <c r="E4614" s="6" t="n"/>
      <c r="F4614" s="8" t="n"/>
    </row>
    <row r="4615">
      <c r="A4615" s="7" t="n"/>
      <c r="B4615" s="8" t="n"/>
      <c r="C4615" s="9">
        <f>IF(B4615="","",IFERROR(VLOOKUP(B4615,'Daftar Outlet'!$A$4:$B$22,2,FALSE),""))</f>
        <v/>
      </c>
      <c r="D4615" s="8" t="n"/>
      <c r="E4615" s="6" t="n"/>
      <c r="F4615" s="8" t="n"/>
    </row>
    <row r="4616">
      <c r="A4616" s="7" t="n"/>
      <c r="B4616" s="8" t="n"/>
      <c r="C4616" s="9">
        <f>IF(B4616="","",IFERROR(VLOOKUP(B4616,'Daftar Outlet'!$A$4:$B$22,2,FALSE),""))</f>
        <v/>
      </c>
      <c r="D4616" s="8" t="n"/>
      <c r="E4616" s="6" t="n"/>
      <c r="F4616" s="8" t="n"/>
    </row>
    <row r="4617">
      <c r="A4617" s="7" t="n"/>
      <c r="B4617" s="8" t="n"/>
      <c r="C4617" s="9">
        <f>IF(B4617="","",IFERROR(VLOOKUP(B4617,'Daftar Outlet'!$A$4:$B$22,2,FALSE),""))</f>
        <v/>
      </c>
      <c r="D4617" s="8" t="n"/>
      <c r="E4617" s="6" t="n"/>
      <c r="F4617" s="8" t="n"/>
    </row>
    <row r="4618">
      <c r="A4618" s="7" t="n"/>
      <c r="B4618" s="8" t="n"/>
      <c r="C4618" s="9">
        <f>IF(B4618="","",IFERROR(VLOOKUP(B4618,'Daftar Outlet'!$A$4:$B$22,2,FALSE),""))</f>
        <v/>
      </c>
      <c r="D4618" s="8" t="n"/>
      <c r="E4618" s="6" t="n"/>
      <c r="F4618" s="8" t="n"/>
    </row>
    <row r="4619">
      <c r="A4619" s="7" t="n"/>
      <c r="B4619" s="8" t="n"/>
      <c r="C4619" s="9">
        <f>IF(B4619="","",IFERROR(VLOOKUP(B4619,'Daftar Outlet'!$A$4:$B$22,2,FALSE),""))</f>
        <v/>
      </c>
      <c r="D4619" s="8" t="n"/>
      <c r="E4619" s="6" t="n"/>
      <c r="F4619" s="8" t="n"/>
    </row>
    <row r="4620">
      <c r="A4620" s="7" t="n"/>
      <c r="B4620" s="8" t="n"/>
      <c r="C4620" s="9">
        <f>IF(B4620="","",IFERROR(VLOOKUP(B4620,'Daftar Outlet'!$A$4:$B$22,2,FALSE),""))</f>
        <v/>
      </c>
      <c r="D4620" s="8" t="n"/>
      <c r="E4620" s="6" t="n"/>
      <c r="F4620" s="8" t="n"/>
    </row>
    <row r="4621">
      <c r="A4621" s="7" t="n"/>
      <c r="B4621" s="8" t="n"/>
      <c r="C4621" s="9">
        <f>IF(B4621="","",IFERROR(VLOOKUP(B4621,'Daftar Outlet'!$A$4:$B$22,2,FALSE),""))</f>
        <v/>
      </c>
      <c r="D4621" s="8" t="n"/>
      <c r="E4621" s="6" t="n"/>
      <c r="F4621" s="8" t="n"/>
    </row>
    <row r="4622">
      <c r="A4622" s="7" t="n"/>
      <c r="B4622" s="8" t="n"/>
      <c r="C4622" s="9">
        <f>IF(B4622="","",IFERROR(VLOOKUP(B4622,'Daftar Outlet'!$A$4:$B$22,2,FALSE),""))</f>
        <v/>
      </c>
      <c r="D4622" s="8" t="n"/>
      <c r="E4622" s="6" t="n"/>
      <c r="F4622" s="8" t="n"/>
    </row>
    <row r="4623">
      <c r="A4623" s="7" t="n"/>
      <c r="B4623" s="8" t="n"/>
      <c r="C4623" s="9">
        <f>IF(B4623="","",IFERROR(VLOOKUP(B4623,'Daftar Outlet'!$A$4:$B$22,2,FALSE),""))</f>
        <v/>
      </c>
      <c r="D4623" s="8" t="n"/>
      <c r="E4623" s="6" t="n"/>
      <c r="F4623" s="8" t="n"/>
    </row>
    <row r="4624">
      <c r="A4624" s="7" t="n"/>
      <c r="B4624" s="8" t="n"/>
      <c r="C4624" s="9">
        <f>IF(B4624="","",IFERROR(VLOOKUP(B4624,'Daftar Outlet'!$A$4:$B$22,2,FALSE),""))</f>
        <v/>
      </c>
      <c r="D4624" s="8" t="n"/>
      <c r="E4624" s="6" t="n"/>
      <c r="F4624" s="8" t="n"/>
    </row>
    <row r="4625">
      <c r="A4625" s="7" t="n"/>
      <c r="B4625" s="8" t="n"/>
      <c r="C4625" s="9">
        <f>IF(B4625="","",IFERROR(VLOOKUP(B4625,'Daftar Outlet'!$A$4:$B$22,2,FALSE),""))</f>
        <v/>
      </c>
      <c r="D4625" s="8" t="n"/>
      <c r="E4625" s="6" t="n"/>
      <c r="F4625" s="8" t="n"/>
    </row>
    <row r="4626">
      <c r="A4626" s="7" t="n"/>
      <c r="B4626" s="8" t="n"/>
      <c r="C4626" s="9">
        <f>IF(B4626="","",IFERROR(VLOOKUP(B4626,'Daftar Outlet'!$A$4:$B$22,2,FALSE),""))</f>
        <v/>
      </c>
      <c r="D4626" s="8" t="n"/>
      <c r="E4626" s="6" t="n"/>
      <c r="F4626" s="8" t="n"/>
    </row>
    <row r="4627">
      <c r="A4627" s="7" t="n"/>
      <c r="B4627" s="8" t="n"/>
      <c r="C4627" s="9">
        <f>IF(B4627="","",IFERROR(VLOOKUP(B4627,'Daftar Outlet'!$A$4:$B$22,2,FALSE),""))</f>
        <v/>
      </c>
      <c r="D4627" s="8" t="n"/>
      <c r="E4627" s="6" t="n"/>
      <c r="F4627" s="8" t="n"/>
    </row>
    <row r="4628">
      <c r="A4628" s="7" t="n"/>
      <c r="B4628" s="8" t="n"/>
      <c r="C4628" s="9">
        <f>IF(B4628="","",IFERROR(VLOOKUP(B4628,'Daftar Outlet'!$A$4:$B$22,2,FALSE),""))</f>
        <v/>
      </c>
      <c r="D4628" s="8" t="n"/>
      <c r="E4628" s="6" t="n"/>
      <c r="F4628" s="8" t="n"/>
    </row>
    <row r="4629">
      <c r="A4629" s="7" t="n"/>
      <c r="B4629" s="8" t="n"/>
      <c r="C4629" s="9">
        <f>IF(B4629="","",IFERROR(VLOOKUP(B4629,'Daftar Outlet'!$A$4:$B$22,2,FALSE),""))</f>
        <v/>
      </c>
      <c r="D4629" s="8" t="n"/>
      <c r="E4629" s="6" t="n"/>
      <c r="F4629" s="8" t="n"/>
    </row>
    <row r="4630">
      <c r="A4630" s="7" t="n"/>
      <c r="B4630" s="8" t="n"/>
      <c r="C4630" s="9">
        <f>IF(B4630="","",IFERROR(VLOOKUP(B4630,'Daftar Outlet'!$A$4:$B$22,2,FALSE),""))</f>
        <v/>
      </c>
      <c r="D4630" s="8" t="n"/>
      <c r="E4630" s="6" t="n"/>
      <c r="F4630" s="8" t="n"/>
    </row>
    <row r="4631">
      <c r="A4631" s="7" t="n"/>
      <c r="B4631" s="8" t="n"/>
      <c r="C4631" s="9">
        <f>IF(B4631="","",IFERROR(VLOOKUP(B4631,'Daftar Outlet'!$A$4:$B$22,2,FALSE),""))</f>
        <v/>
      </c>
      <c r="D4631" s="8" t="n"/>
      <c r="E4631" s="6" t="n"/>
      <c r="F4631" s="8" t="n"/>
    </row>
    <row r="4632">
      <c r="A4632" s="7" t="n"/>
      <c r="B4632" s="8" t="n"/>
      <c r="C4632" s="9">
        <f>IF(B4632="","",IFERROR(VLOOKUP(B4632,'Daftar Outlet'!$A$4:$B$22,2,FALSE),""))</f>
        <v/>
      </c>
      <c r="D4632" s="8" t="n"/>
      <c r="E4632" s="6" t="n"/>
      <c r="F4632" s="8" t="n"/>
    </row>
    <row r="4633">
      <c r="A4633" s="7" t="n"/>
      <c r="B4633" s="8" t="n"/>
      <c r="C4633" s="9">
        <f>IF(B4633="","",IFERROR(VLOOKUP(B4633,'Daftar Outlet'!$A$4:$B$22,2,FALSE),""))</f>
        <v/>
      </c>
      <c r="D4633" s="8" t="n"/>
      <c r="E4633" s="6" t="n"/>
      <c r="F4633" s="8" t="n"/>
    </row>
    <row r="4634">
      <c r="A4634" s="7" t="n"/>
      <c r="B4634" s="8" t="n"/>
      <c r="C4634" s="9">
        <f>IF(B4634="","",IFERROR(VLOOKUP(B4634,'Daftar Outlet'!$A$4:$B$22,2,FALSE),""))</f>
        <v/>
      </c>
      <c r="D4634" s="8" t="n"/>
      <c r="E4634" s="6" t="n"/>
      <c r="F4634" s="8" t="n"/>
    </row>
    <row r="4635">
      <c r="A4635" s="7" t="n"/>
      <c r="B4635" s="8" t="n"/>
      <c r="C4635" s="9">
        <f>IF(B4635="","",IFERROR(VLOOKUP(B4635,'Daftar Outlet'!$A$4:$B$22,2,FALSE),""))</f>
        <v/>
      </c>
      <c r="D4635" s="8" t="n"/>
      <c r="E4635" s="6" t="n"/>
      <c r="F4635" s="8" t="n"/>
    </row>
    <row r="4636">
      <c r="A4636" s="7" t="n"/>
      <c r="B4636" s="8" t="n"/>
      <c r="C4636" s="9">
        <f>IF(B4636="","",IFERROR(VLOOKUP(B4636,'Daftar Outlet'!$A$4:$B$22,2,FALSE),""))</f>
        <v/>
      </c>
      <c r="D4636" s="8" t="n"/>
      <c r="E4636" s="6" t="n"/>
      <c r="F4636" s="8" t="n"/>
    </row>
    <row r="4637">
      <c r="A4637" s="7" t="n"/>
      <c r="B4637" s="8" t="n"/>
      <c r="C4637" s="9">
        <f>IF(B4637="","",IFERROR(VLOOKUP(B4637,'Daftar Outlet'!$A$4:$B$22,2,FALSE),""))</f>
        <v/>
      </c>
      <c r="D4637" s="8" t="n"/>
      <c r="E4637" s="6" t="n"/>
      <c r="F4637" s="8" t="n"/>
    </row>
    <row r="4638">
      <c r="A4638" s="7" t="n"/>
      <c r="B4638" s="8" t="n"/>
      <c r="C4638" s="9">
        <f>IF(B4638="","",IFERROR(VLOOKUP(B4638,'Daftar Outlet'!$A$4:$B$22,2,FALSE),""))</f>
        <v/>
      </c>
      <c r="D4638" s="8" t="n"/>
      <c r="E4638" s="6" t="n"/>
      <c r="F4638" s="8" t="n"/>
    </row>
    <row r="4639">
      <c r="A4639" s="7" t="n"/>
      <c r="B4639" s="8" t="n"/>
      <c r="C4639" s="9">
        <f>IF(B4639="","",IFERROR(VLOOKUP(B4639,'Daftar Outlet'!$A$4:$B$22,2,FALSE),""))</f>
        <v/>
      </c>
      <c r="D4639" s="8" t="n"/>
      <c r="E4639" s="6" t="n"/>
      <c r="F4639" s="8" t="n"/>
    </row>
    <row r="4640">
      <c r="A4640" s="7" t="n"/>
      <c r="B4640" s="8" t="n"/>
      <c r="C4640" s="9">
        <f>IF(B4640="","",IFERROR(VLOOKUP(B4640,'Daftar Outlet'!$A$4:$B$22,2,FALSE),""))</f>
        <v/>
      </c>
      <c r="D4640" s="8" t="n"/>
      <c r="E4640" s="6" t="n"/>
      <c r="F4640" s="8" t="n"/>
    </row>
    <row r="4641">
      <c r="A4641" s="7" t="n"/>
      <c r="B4641" s="8" t="n"/>
      <c r="C4641" s="9">
        <f>IF(B4641="","",IFERROR(VLOOKUP(B4641,'Daftar Outlet'!$A$4:$B$22,2,FALSE),""))</f>
        <v/>
      </c>
      <c r="D4641" s="8" t="n"/>
      <c r="E4641" s="6" t="n"/>
      <c r="F4641" s="8" t="n"/>
    </row>
    <row r="4642">
      <c r="A4642" s="7" t="n"/>
      <c r="B4642" s="8" t="n"/>
      <c r="C4642" s="9">
        <f>IF(B4642="","",IFERROR(VLOOKUP(B4642,'Daftar Outlet'!$A$4:$B$22,2,FALSE),""))</f>
        <v/>
      </c>
      <c r="D4642" s="8" t="n"/>
      <c r="E4642" s="6" t="n"/>
      <c r="F4642" s="8" t="n"/>
    </row>
    <row r="4643">
      <c r="A4643" s="7" t="n"/>
      <c r="B4643" s="8" t="n"/>
      <c r="C4643" s="9">
        <f>IF(B4643="","",IFERROR(VLOOKUP(B4643,'Daftar Outlet'!$A$4:$B$22,2,FALSE),""))</f>
        <v/>
      </c>
      <c r="D4643" s="8" t="n"/>
      <c r="E4643" s="6" t="n"/>
      <c r="F4643" s="8" t="n"/>
    </row>
    <row r="4644">
      <c r="A4644" s="7" t="n"/>
      <c r="B4644" s="8" t="n"/>
      <c r="C4644" s="9">
        <f>IF(B4644="","",IFERROR(VLOOKUP(B4644,'Daftar Outlet'!$A$4:$B$22,2,FALSE),""))</f>
        <v/>
      </c>
      <c r="D4644" s="8" t="n"/>
      <c r="E4644" s="6" t="n"/>
      <c r="F4644" s="8" t="n"/>
    </row>
    <row r="4645">
      <c r="A4645" s="7" t="n"/>
      <c r="B4645" s="8" t="n"/>
      <c r="C4645" s="9">
        <f>IF(B4645="","",IFERROR(VLOOKUP(B4645,'Daftar Outlet'!$A$4:$B$22,2,FALSE),""))</f>
        <v/>
      </c>
      <c r="D4645" s="8" t="n"/>
      <c r="E4645" s="6" t="n"/>
      <c r="F4645" s="8" t="n"/>
    </row>
    <row r="4646">
      <c r="A4646" s="7" t="n"/>
      <c r="B4646" s="8" t="n"/>
      <c r="C4646" s="9">
        <f>IF(B4646="","",IFERROR(VLOOKUP(B4646,'Daftar Outlet'!$A$4:$B$22,2,FALSE),""))</f>
        <v/>
      </c>
      <c r="D4646" s="8" t="n"/>
      <c r="E4646" s="6" t="n"/>
      <c r="F4646" s="8" t="n"/>
    </row>
    <row r="4647">
      <c r="A4647" s="7" t="n"/>
      <c r="B4647" s="8" t="n"/>
      <c r="C4647" s="9">
        <f>IF(B4647="","",IFERROR(VLOOKUP(B4647,'Daftar Outlet'!$A$4:$B$22,2,FALSE),""))</f>
        <v/>
      </c>
      <c r="D4647" s="8" t="n"/>
      <c r="E4647" s="6" t="n"/>
      <c r="F4647" s="8" t="n"/>
    </row>
    <row r="4648">
      <c r="A4648" s="7" t="n"/>
      <c r="B4648" s="8" t="n"/>
      <c r="C4648" s="9">
        <f>IF(B4648="","",IFERROR(VLOOKUP(B4648,'Daftar Outlet'!$A$4:$B$22,2,FALSE),""))</f>
        <v/>
      </c>
      <c r="D4648" s="8" t="n"/>
      <c r="E4648" s="6" t="n"/>
      <c r="F4648" s="8" t="n"/>
    </row>
    <row r="4649">
      <c r="A4649" s="7" t="n"/>
      <c r="B4649" s="8" t="n"/>
      <c r="C4649" s="9">
        <f>IF(B4649="","",IFERROR(VLOOKUP(B4649,'Daftar Outlet'!$A$4:$B$22,2,FALSE),""))</f>
        <v/>
      </c>
      <c r="D4649" s="8" t="n"/>
      <c r="E4649" s="6" t="n"/>
      <c r="F4649" s="8" t="n"/>
    </row>
    <row r="4650">
      <c r="A4650" s="7" t="n"/>
      <c r="B4650" s="8" t="n"/>
      <c r="C4650" s="9">
        <f>IF(B4650="","",IFERROR(VLOOKUP(B4650,'Daftar Outlet'!$A$4:$B$22,2,FALSE),""))</f>
        <v/>
      </c>
      <c r="D4650" s="8" t="n"/>
      <c r="E4650" s="6" t="n"/>
      <c r="F4650" s="8" t="n"/>
    </row>
    <row r="4651">
      <c r="A4651" s="7" t="n"/>
      <c r="B4651" s="8" t="n"/>
      <c r="C4651" s="9">
        <f>IF(B4651="","",IFERROR(VLOOKUP(B4651,'Daftar Outlet'!$A$4:$B$22,2,FALSE),""))</f>
        <v/>
      </c>
      <c r="D4651" s="8" t="n"/>
      <c r="E4651" s="6" t="n"/>
      <c r="F4651" s="8" t="n"/>
    </row>
    <row r="4652">
      <c r="A4652" s="7" t="n"/>
      <c r="B4652" s="8" t="n"/>
      <c r="C4652" s="9">
        <f>IF(B4652="","",IFERROR(VLOOKUP(B4652,'Daftar Outlet'!$A$4:$B$22,2,FALSE),""))</f>
        <v/>
      </c>
      <c r="D4652" s="8" t="n"/>
      <c r="E4652" s="6" t="n"/>
      <c r="F4652" s="8" t="n"/>
    </row>
    <row r="4653">
      <c r="A4653" s="7" t="n"/>
      <c r="B4653" s="8" t="n"/>
      <c r="C4653" s="9">
        <f>IF(B4653="","",IFERROR(VLOOKUP(B4653,'Daftar Outlet'!$A$4:$B$22,2,FALSE),""))</f>
        <v/>
      </c>
      <c r="D4653" s="8" t="n"/>
      <c r="E4653" s="6" t="n"/>
      <c r="F4653" s="8" t="n"/>
    </row>
    <row r="4654">
      <c r="A4654" s="7" t="n"/>
      <c r="B4654" s="8" t="n"/>
      <c r="C4654" s="9">
        <f>IF(B4654="","",IFERROR(VLOOKUP(B4654,'Daftar Outlet'!$A$4:$B$22,2,FALSE),""))</f>
        <v/>
      </c>
      <c r="D4654" s="8" t="n"/>
      <c r="E4654" s="6" t="n"/>
      <c r="F4654" s="8" t="n"/>
    </row>
    <row r="4655">
      <c r="A4655" s="7" t="n"/>
      <c r="B4655" s="8" t="n"/>
      <c r="C4655" s="9">
        <f>IF(B4655="","",IFERROR(VLOOKUP(B4655,'Daftar Outlet'!$A$4:$B$22,2,FALSE),""))</f>
        <v/>
      </c>
      <c r="D4655" s="8" t="n"/>
      <c r="E4655" s="6" t="n"/>
      <c r="F4655" s="8" t="n"/>
    </row>
    <row r="4656">
      <c r="A4656" s="7" t="n"/>
      <c r="B4656" s="8" t="n"/>
      <c r="C4656" s="9">
        <f>IF(B4656="","",IFERROR(VLOOKUP(B4656,'Daftar Outlet'!$A$4:$B$22,2,FALSE),""))</f>
        <v/>
      </c>
      <c r="D4656" s="8" t="n"/>
      <c r="E4656" s="6" t="n"/>
      <c r="F4656" s="8" t="n"/>
    </row>
    <row r="4657">
      <c r="A4657" s="7" t="n"/>
      <c r="B4657" s="8" t="n"/>
      <c r="C4657" s="9">
        <f>IF(B4657="","",IFERROR(VLOOKUP(B4657,'Daftar Outlet'!$A$4:$B$22,2,FALSE),""))</f>
        <v/>
      </c>
      <c r="D4657" s="8" t="n"/>
      <c r="E4657" s="6" t="n"/>
      <c r="F4657" s="8" t="n"/>
    </row>
    <row r="4658">
      <c r="A4658" s="7" t="n"/>
      <c r="B4658" s="8" t="n"/>
      <c r="C4658" s="9">
        <f>IF(B4658="","",IFERROR(VLOOKUP(B4658,'Daftar Outlet'!$A$4:$B$22,2,FALSE),""))</f>
        <v/>
      </c>
      <c r="D4658" s="8" t="n"/>
      <c r="E4658" s="6" t="n"/>
      <c r="F4658" s="8" t="n"/>
    </row>
    <row r="4659">
      <c r="A4659" s="7" t="n"/>
      <c r="B4659" s="8" t="n"/>
      <c r="C4659" s="9">
        <f>IF(B4659="","",IFERROR(VLOOKUP(B4659,'Daftar Outlet'!$A$4:$B$22,2,FALSE),""))</f>
        <v/>
      </c>
      <c r="D4659" s="8" t="n"/>
      <c r="E4659" s="6" t="n"/>
      <c r="F4659" s="8" t="n"/>
    </row>
    <row r="4660">
      <c r="A4660" s="7" t="n"/>
      <c r="B4660" s="8" t="n"/>
      <c r="C4660" s="9">
        <f>IF(B4660="","",IFERROR(VLOOKUP(B4660,'Daftar Outlet'!$A$4:$B$22,2,FALSE),""))</f>
        <v/>
      </c>
      <c r="D4660" s="8" t="n"/>
      <c r="E4660" s="6" t="n"/>
      <c r="F4660" s="8" t="n"/>
    </row>
    <row r="4661">
      <c r="A4661" s="7" t="n"/>
      <c r="B4661" s="8" t="n"/>
      <c r="C4661" s="9">
        <f>IF(B4661="","",IFERROR(VLOOKUP(B4661,'Daftar Outlet'!$A$4:$B$22,2,FALSE),""))</f>
        <v/>
      </c>
      <c r="D4661" s="8" t="n"/>
      <c r="E4661" s="6" t="n"/>
      <c r="F4661" s="8" t="n"/>
    </row>
    <row r="4662">
      <c r="A4662" s="7" t="n"/>
      <c r="B4662" s="8" t="n"/>
      <c r="C4662" s="9">
        <f>IF(B4662="","",IFERROR(VLOOKUP(B4662,'Daftar Outlet'!$A$4:$B$22,2,FALSE),""))</f>
        <v/>
      </c>
      <c r="D4662" s="8" t="n"/>
      <c r="E4662" s="6" t="n"/>
      <c r="F4662" s="8" t="n"/>
    </row>
    <row r="4663">
      <c r="A4663" s="7" t="n"/>
      <c r="B4663" s="8" t="n"/>
      <c r="C4663" s="9">
        <f>IF(B4663="","",IFERROR(VLOOKUP(B4663,'Daftar Outlet'!$A$4:$B$22,2,FALSE),""))</f>
        <v/>
      </c>
      <c r="D4663" s="8" t="n"/>
      <c r="E4663" s="6" t="n"/>
      <c r="F4663" s="8" t="n"/>
    </row>
    <row r="4664">
      <c r="A4664" s="7" t="n"/>
      <c r="B4664" s="8" t="n"/>
      <c r="C4664" s="9">
        <f>IF(B4664="","",IFERROR(VLOOKUP(B4664,'Daftar Outlet'!$A$4:$B$22,2,FALSE),""))</f>
        <v/>
      </c>
      <c r="D4664" s="8" t="n"/>
      <c r="E4664" s="6" t="n"/>
      <c r="F4664" s="8" t="n"/>
    </row>
    <row r="4665">
      <c r="A4665" s="7" t="n"/>
      <c r="B4665" s="8" t="n"/>
      <c r="C4665" s="9">
        <f>IF(B4665="","",IFERROR(VLOOKUP(B4665,'Daftar Outlet'!$A$4:$B$22,2,FALSE),""))</f>
        <v/>
      </c>
      <c r="D4665" s="8" t="n"/>
      <c r="E4665" s="6" t="n"/>
      <c r="F4665" s="8" t="n"/>
    </row>
    <row r="4666">
      <c r="A4666" s="7" t="n"/>
      <c r="B4666" s="8" t="n"/>
      <c r="C4666" s="9">
        <f>IF(B4666="","",IFERROR(VLOOKUP(B4666,'Daftar Outlet'!$A$4:$B$22,2,FALSE),""))</f>
        <v/>
      </c>
      <c r="D4666" s="8" t="n"/>
      <c r="E4666" s="6" t="n"/>
      <c r="F4666" s="8" t="n"/>
    </row>
    <row r="4667">
      <c r="A4667" s="7" t="n"/>
      <c r="B4667" s="8" t="n"/>
      <c r="C4667" s="9">
        <f>IF(B4667="","",IFERROR(VLOOKUP(B4667,'Daftar Outlet'!$A$4:$B$22,2,FALSE),""))</f>
        <v/>
      </c>
      <c r="D4667" s="8" t="n"/>
      <c r="E4667" s="6" t="n"/>
      <c r="F4667" s="8" t="n"/>
    </row>
    <row r="4668">
      <c r="A4668" s="7" t="n"/>
      <c r="B4668" s="8" t="n"/>
      <c r="C4668" s="9">
        <f>IF(B4668="","",IFERROR(VLOOKUP(B4668,'Daftar Outlet'!$A$4:$B$22,2,FALSE),""))</f>
        <v/>
      </c>
      <c r="D4668" s="8" t="n"/>
      <c r="E4668" s="6" t="n"/>
      <c r="F4668" s="8" t="n"/>
    </row>
    <row r="4669">
      <c r="A4669" s="7" t="n"/>
      <c r="B4669" s="8" t="n"/>
      <c r="C4669" s="9">
        <f>IF(B4669="","",IFERROR(VLOOKUP(B4669,'Daftar Outlet'!$A$4:$B$22,2,FALSE),""))</f>
        <v/>
      </c>
      <c r="D4669" s="8" t="n"/>
      <c r="E4669" s="6" t="n"/>
      <c r="F4669" s="8" t="n"/>
    </row>
    <row r="4670">
      <c r="A4670" s="7" t="n"/>
      <c r="B4670" s="8" t="n"/>
      <c r="C4670" s="9">
        <f>IF(B4670="","",IFERROR(VLOOKUP(B4670,'Daftar Outlet'!$A$4:$B$22,2,FALSE),""))</f>
        <v/>
      </c>
      <c r="D4670" s="8" t="n"/>
      <c r="E4670" s="6" t="n"/>
      <c r="F4670" s="8" t="n"/>
    </row>
    <row r="4671">
      <c r="A4671" s="7" t="n"/>
      <c r="B4671" s="8" t="n"/>
      <c r="C4671" s="9">
        <f>IF(B4671="","",IFERROR(VLOOKUP(B4671,'Daftar Outlet'!$A$4:$B$22,2,FALSE),""))</f>
        <v/>
      </c>
      <c r="D4671" s="8" t="n"/>
      <c r="E4671" s="6" t="n"/>
      <c r="F4671" s="8" t="n"/>
    </row>
    <row r="4672">
      <c r="A4672" s="7" t="n"/>
      <c r="B4672" s="8" t="n"/>
      <c r="C4672" s="9">
        <f>IF(B4672="","",IFERROR(VLOOKUP(B4672,'Daftar Outlet'!$A$4:$B$22,2,FALSE),""))</f>
        <v/>
      </c>
      <c r="D4672" s="8" t="n"/>
      <c r="E4672" s="6" t="n"/>
      <c r="F4672" s="8" t="n"/>
    </row>
    <row r="4673">
      <c r="A4673" s="7" t="n"/>
      <c r="B4673" s="8" t="n"/>
      <c r="C4673" s="9">
        <f>IF(B4673="","",IFERROR(VLOOKUP(B4673,'Daftar Outlet'!$A$4:$B$22,2,FALSE),""))</f>
        <v/>
      </c>
      <c r="D4673" s="8" t="n"/>
      <c r="E4673" s="6" t="n"/>
      <c r="F4673" s="8" t="n"/>
    </row>
    <row r="4674">
      <c r="A4674" s="7" t="n"/>
      <c r="B4674" s="8" t="n"/>
      <c r="C4674" s="9">
        <f>IF(B4674="","",IFERROR(VLOOKUP(B4674,'Daftar Outlet'!$A$4:$B$22,2,FALSE),""))</f>
        <v/>
      </c>
      <c r="D4674" s="8" t="n"/>
      <c r="E4674" s="6" t="n"/>
      <c r="F4674" s="8" t="n"/>
    </row>
    <row r="4675">
      <c r="A4675" s="7" t="n"/>
      <c r="B4675" s="8" t="n"/>
      <c r="C4675" s="9">
        <f>IF(B4675="","",IFERROR(VLOOKUP(B4675,'Daftar Outlet'!$A$4:$B$22,2,FALSE),""))</f>
        <v/>
      </c>
      <c r="D4675" s="8" t="n"/>
      <c r="E4675" s="6" t="n"/>
      <c r="F4675" s="8" t="n"/>
    </row>
    <row r="4676">
      <c r="A4676" s="7" t="n"/>
      <c r="B4676" s="8" t="n"/>
      <c r="C4676" s="9">
        <f>IF(B4676="","",IFERROR(VLOOKUP(B4676,'Daftar Outlet'!$A$4:$B$22,2,FALSE),""))</f>
        <v/>
      </c>
      <c r="D4676" s="8" t="n"/>
      <c r="E4676" s="6" t="n"/>
      <c r="F4676" s="8" t="n"/>
    </row>
    <row r="4677">
      <c r="A4677" s="7" t="n"/>
      <c r="B4677" s="8" t="n"/>
      <c r="C4677" s="9">
        <f>IF(B4677="","",IFERROR(VLOOKUP(B4677,'Daftar Outlet'!$A$4:$B$22,2,FALSE),""))</f>
        <v/>
      </c>
      <c r="D4677" s="8" t="n"/>
      <c r="E4677" s="6" t="n"/>
      <c r="F4677" s="8" t="n"/>
    </row>
    <row r="4678">
      <c r="A4678" s="7" t="n"/>
      <c r="B4678" s="8" t="n"/>
      <c r="C4678" s="9">
        <f>IF(B4678="","",IFERROR(VLOOKUP(B4678,'Daftar Outlet'!$A$4:$B$22,2,FALSE),""))</f>
        <v/>
      </c>
      <c r="D4678" s="8" t="n"/>
      <c r="E4678" s="6" t="n"/>
      <c r="F4678" s="8" t="n"/>
    </row>
    <row r="4679">
      <c r="A4679" s="7" t="n"/>
      <c r="B4679" s="8" t="n"/>
      <c r="C4679" s="9">
        <f>IF(B4679="","",IFERROR(VLOOKUP(B4679,'Daftar Outlet'!$A$4:$B$22,2,FALSE),""))</f>
        <v/>
      </c>
      <c r="D4679" s="8" t="n"/>
      <c r="E4679" s="6" t="n"/>
      <c r="F4679" s="8" t="n"/>
    </row>
    <row r="4680">
      <c r="A4680" s="7" t="n"/>
      <c r="B4680" s="8" t="n"/>
      <c r="C4680" s="9">
        <f>IF(B4680="","",IFERROR(VLOOKUP(B4680,'Daftar Outlet'!$A$4:$B$22,2,FALSE),""))</f>
        <v/>
      </c>
      <c r="D4680" s="8" t="n"/>
      <c r="E4680" s="6" t="n"/>
      <c r="F4680" s="8" t="n"/>
    </row>
    <row r="4681">
      <c r="A4681" s="7" t="n"/>
      <c r="B4681" s="8" t="n"/>
      <c r="C4681" s="9">
        <f>IF(B4681="","",IFERROR(VLOOKUP(B4681,'Daftar Outlet'!$A$4:$B$22,2,FALSE),""))</f>
        <v/>
      </c>
      <c r="D4681" s="8" t="n"/>
      <c r="E4681" s="6" t="n"/>
      <c r="F4681" s="8" t="n"/>
    </row>
    <row r="4682">
      <c r="A4682" s="7" t="n"/>
      <c r="B4682" s="8" t="n"/>
      <c r="C4682" s="9">
        <f>IF(B4682="","",IFERROR(VLOOKUP(B4682,'Daftar Outlet'!$A$4:$B$22,2,FALSE),""))</f>
        <v/>
      </c>
      <c r="D4682" s="8" t="n"/>
      <c r="E4682" s="6" t="n"/>
      <c r="F4682" s="8" t="n"/>
    </row>
    <row r="4683">
      <c r="A4683" s="7" t="n"/>
      <c r="B4683" s="8" t="n"/>
      <c r="C4683" s="9">
        <f>IF(B4683="","",IFERROR(VLOOKUP(B4683,'Daftar Outlet'!$A$4:$B$22,2,FALSE),""))</f>
        <v/>
      </c>
      <c r="D4683" s="8" t="n"/>
      <c r="E4683" s="6" t="n"/>
      <c r="F4683" s="8" t="n"/>
    </row>
    <row r="4684">
      <c r="A4684" s="7" t="n"/>
      <c r="B4684" s="8" t="n"/>
      <c r="C4684" s="9">
        <f>IF(B4684="","",IFERROR(VLOOKUP(B4684,'Daftar Outlet'!$A$4:$B$22,2,FALSE),""))</f>
        <v/>
      </c>
      <c r="D4684" s="8" t="n"/>
      <c r="E4684" s="6" t="n"/>
      <c r="F4684" s="8" t="n"/>
    </row>
    <row r="4685">
      <c r="A4685" s="7" t="n"/>
      <c r="B4685" s="8" t="n"/>
      <c r="C4685" s="9">
        <f>IF(B4685="","",IFERROR(VLOOKUP(B4685,'Daftar Outlet'!$A$4:$B$22,2,FALSE),""))</f>
        <v/>
      </c>
      <c r="D4685" s="8" t="n"/>
      <c r="E4685" s="6" t="n"/>
      <c r="F4685" s="8" t="n"/>
    </row>
    <row r="4686">
      <c r="A4686" s="7" t="n"/>
      <c r="B4686" s="8" t="n"/>
      <c r="C4686" s="9">
        <f>IF(B4686="","",IFERROR(VLOOKUP(B4686,'Daftar Outlet'!$A$4:$B$22,2,FALSE),""))</f>
        <v/>
      </c>
      <c r="D4686" s="8" t="n"/>
      <c r="E4686" s="6" t="n"/>
      <c r="F4686" s="8" t="n"/>
    </row>
    <row r="4687">
      <c r="A4687" s="7" t="n"/>
      <c r="B4687" s="8" t="n"/>
      <c r="C4687" s="9">
        <f>IF(B4687="","",IFERROR(VLOOKUP(B4687,'Daftar Outlet'!$A$4:$B$22,2,FALSE),""))</f>
        <v/>
      </c>
      <c r="D4687" s="8" t="n"/>
      <c r="E4687" s="6" t="n"/>
      <c r="F4687" s="8" t="n"/>
    </row>
    <row r="4688">
      <c r="A4688" s="7" t="n"/>
      <c r="B4688" s="8" t="n"/>
      <c r="C4688" s="9">
        <f>IF(B4688="","",IFERROR(VLOOKUP(B4688,'Daftar Outlet'!$A$4:$B$22,2,FALSE),""))</f>
        <v/>
      </c>
      <c r="D4688" s="8" t="n"/>
      <c r="E4688" s="6" t="n"/>
      <c r="F4688" s="8" t="n"/>
    </row>
    <row r="4689">
      <c r="A4689" s="7" t="n"/>
      <c r="B4689" s="8" t="n"/>
      <c r="C4689" s="9">
        <f>IF(B4689="","",IFERROR(VLOOKUP(B4689,'Daftar Outlet'!$A$4:$B$22,2,FALSE),""))</f>
        <v/>
      </c>
      <c r="D4689" s="8" t="n"/>
      <c r="E4689" s="6" t="n"/>
      <c r="F4689" s="8" t="n"/>
    </row>
    <row r="4690">
      <c r="A4690" s="7" t="n"/>
      <c r="B4690" s="8" t="n"/>
      <c r="C4690" s="9">
        <f>IF(B4690="","",IFERROR(VLOOKUP(B4690,'Daftar Outlet'!$A$4:$B$22,2,FALSE),""))</f>
        <v/>
      </c>
      <c r="D4690" s="8" t="n"/>
      <c r="E4690" s="6" t="n"/>
      <c r="F4690" s="8" t="n"/>
    </row>
    <row r="4691">
      <c r="A4691" s="7" t="n"/>
      <c r="B4691" s="8" t="n"/>
      <c r="C4691" s="9">
        <f>IF(B4691="","",IFERROR(VLOOKUP(B4691,'Daftar Outlet'!$A$4:$B$22,2,FALSE),""))</f>
        <v/>
      </c>
      <c r="D4691" s="8" t="n"/>
      <c r="E4691" s="6" t="n"/>
      <c r="F4691" s="8" t="n"/>
    </row>
    <row r="4692">
      <c r="A4692" s="7" t="n"/>
      <c r="B4692" s="8" t="n"/>
      <c r="C4692" s="9">
        <f>IF(B4692="","",IFERROR(VLOOKUP(B4692,'Daftar Outlet'!$A$4:$B$22,2,FALSE),""))</f>
        <v/>
      </c>
      <c r="D4692" s="8" t="n"/>
      <c r="E4692" s="6" t="n"/>
      <c r="F4692" s="8" t="n"/>
    </row>
    <row r="4693">
      <c r="A4693" s="7" t="n"/>
      <c r="B4693" s="8" t="n"/>
      <c r="C4693" s="9">
        <f>IF(B4693="","",IFERROR(VLOOKUP(B4693,'Daftar Outlet'!$A$4:$B$22,2,FALSE),""))</f>
        <v/>
      </c>
      <c r="D4693" s="8" t="n"/>
      <c r="E4693" s="6" t="n"/>
      <c r="F4693" s="8" t="n"/>
    </row>
    <row r="4694">
      <c r="A4694" s="7" t="n"/>
      <c r="B4694" s="8" t="n"/>
      <c r="C4694" s="9">
        <f>IF(B4694="","",IFERROR(VLOOKUP(B4694,'Daftar Outlet'!$A$4:$B$22,2,FALSE),""))</f>
        <v/>
      </c>
      <c r="D4694" s="8" t="n"/>
      <c r="E4694" s="6" t="n"/>
      <c r="F4694" s="8" t="n"/>
    </row>
    <row r="4695">
      <c r="A4695" s="7" t="n"/>
      <c r="B4695" s="8" t="n"/>
      <c r="C4695" s="9">
        <f>IF(B4695="","",IFERROR(VLOOKUP(B4695,'Daftar Outlet'!$A$4:$B$22,2,FALSE),""))</f>
        <v/>
      </c>
      <c r="D4695" s="8" t="n"/>
      <c r="E4695" s="6" t="n"/>
      <c r="F4695" s="8" t="n"/>
    </row>
    <row r="4696">
      <c r="A4696" s="7" t="n"/>
      <c r="B4696" s="8" t="n"/>
      <c r="C4696" s="9">
        <f>IF(B4696="","",IFERROR(VLOOKUP(B4696,'Daftar Outlet'!$A$4:$B$22,2,FALSE),""))</f>
        <v/>
      </c>
      <c r="D4696" s="8" t="n"/>
      <c r="E4696" s="6" t="n"/>
      <c r="F4696" s="8" t="n"/>
    </row>
    <row r="4697">
      <c r="A4697" s="7" t="n"/>
      <c r="B4697" s="8" t="n"/>
      <c r="C4697" s="9">
        <f>IF(B4697="","",IFERROR(VLOOKUP(B4697,'Daftar Outlet'!$A$4:$B$22,2,FALSE),""))</f>
        <v/>
      </c>
      <c r="D4697" s="8" t="n"/>
      <c r="E4697" s="6" t="n"/>
      <c r="F4697" s="8" t="n"/>
    </row>
    <row r="4698">
      <c r="A4698" s="7" t="n"/>
      <c r="B4698" s="8" t="n"/>
      <c r="C4698" s="9">
        <f>IF(B4698="","",IFERROR(VLOOKUP(B4698,'Daftar Outlet'!$A$4:$B$22,2,FALSE),""))</f>
        <v/>
      </c>
      <c r="D4698" s="8" t="n"/>
      <c r="E4698" s="6" t="n"/>
      <c r="F4698" s="8" t="n"/>
    </row>
    <row r="4699">
      <c r="A4699" s="7" t="n"/>
      <c r="B4699" s="8" t="n"/>
      <c r="C4699" s="9">
        <f>IF(B4699="","",IFERROR(VLOOKUP(B4699,'Daftar Outlet'!$A$4:$B$22,2,FALSE),""))</f>
        <v/>
      </c>
      <c r="D4699" s="8" t="n"/>
      <c r="E4699" s="6" t="n"/>
      <c r="F4699" s="8" t="n"/>
    </row>
    <row r="4700">
      <c r="A4700" s="7" t="n"/>
      <c r="B4700" s="8" t="n"/>
      <c r="C4700" s="9">
        <f>IF(B4700="","",IFERROR(VLOOKUP(B4700,'Daftar Outlet'!$A$4:$B$22,2,FALSE),""))</f>
        <v/>
      </c>
      <c r="D4700" s="8" t="n"/>
      <c r="E4700" s="6" t="n"/>
      <c r="F4700" s="8" t="n"/>
    </row>
    <row r="4701">
      <c r="A4701" s="7" t="n"/>
      <c r="B4701" s="8" t="n"/>
      <c r="C4701" s="9">
        <f>IF(B4701="","",IFERROR(VLOOKUP(B4701,'Daftar Outlet'!$A$4:$B$22,2,FALSE),""))</f>
        <v/>
      </c>
      <c r="D4701" s="8" t="n"/>
      <c r="E4701" s="6" t="n"/>
      <c r="F4701" s="8" t="n"/>
    </row>
    <row r="4702">
      <c r="A4702" s="7" t="n"/>
      <c r="B4702" s="8" t="n"/>
      <c r="C4702" s="9">
        <f>IF(B4702="","",IFERROR(VLOOKUP(B4702,'Daftar Outlet'!$A$4:$B$22,2,FALSE),""))</f>
        <v/>
      </c>
      <c r="D4702" s="8" t="n"/>
      <c r="E4702" s="6" t="n"/>
      <c r="F4702" s="8" t="n"/>
    </row>
    <row r="4703">
      <c r="A4703" s="7" t="n"/>
      <c r="B4703" s="8" t="n"/>
      <c r="C4703" s="9">
        <f>IF(B4703="","",IFERROR(VLOOKUP(B4703,'Daftar Outlet'!$A$4:$B$22,2,FALSE),""))</f>
        <v/>
      </c>
      <c r="D4703" s="8" t="n"/>
      <c r="E4703" s="6" t="n"/>
      <c r="F4703" s="8" t="n"/>
    </row>
    <row r="4704">
      <c r="A4704" s="7" t="n"/>
      <c r="B4704" s="8" t="n"/>
      <c r="C4704" s="9">
        <f>IF(B4704="","",IFERROR(VLOOKUP(B4704,'Daftar Outlet'!$A$4:$B$22,2,FALSE),""))</f>
        <v/>
      </c>
      <c r="D4704" s="8" t="n"/>
      <c r="E4704" s="6" t="n"/>
      <c r="F4704" s="8" t="n"/>
    </row>
    <row r="4705">
      <c r="A4705" s="7" t="n"/>
      <c r="B4705" s="8" t="n"/>
      <c r="C4705" s="9">
        <f>IF(B4705="","",IFERROR(VLOOKUP(B4705,'Daftar Outlet'!$A$4:$B$22,2,FALSE),""))</f>
        <v/>
      </c>
      <c r="D4705" s="8" t="n"/>
      <c r="E4705" s="6" t="n"/>
      <c r="F4705" s="8" t="n"/>
    </row>
    <row r="4706">
      <c r="A4706" s="7" t="n"/>
      <c r="B4706" s="8" t="n"/>
      <c r="C4706" s="9">
        <f>IF(B4706="","",IFERROR(VLOOKUP(B4706,'Daftar Outlet'!$A$4:$B$22,2,FALSE),""))</f>
        <v/>
      </c>
      <c r="D4706" s="8" t="n"/>
      <c r="E4706" s="6" t="n"/>
      <c r="F4706" s="8" t="n"/>
    </row>
    <row r="4707">
      <c r="A4707" s="7" t="n"/>
      <c r="B4707" s="8" t="n"/>
      <c r="C4707" s="9">
        <f>IF(B4707="","",IFERROR(VLOOKUP(B4707,'Daftar Outlet'!$A$4:$B$22,2,FALSE),""))</f>
        <v/>
      </c>
      <c r="D4707" s="8" t="n"/>
      <c r="E4707" s="6" t="n"/>
      <c r="F4707" s="8" t="n"/>
    </row>
    <row r="4708">
      <c r="A4708" s="7" t="n"/>
      <c r="B4708" s="8" t="n"/>
      <c r="C4708" s="9">
        <f>IF(B4708="","",IFERROR(VLOOKUP(B4708,'Daftar Outlet'!$A$4:$B$22,2,FALSE),""))</f>
        <v/>
      </c>
      <c r="D4708" s="8" t="n"/>
      <c r="E4708" s="6" t="n"/>
      <c r="F4708" s="8" t="n"/>
    </row>
    <row r="4709">
      <c r="A4709" s="7" t="n"/>
      <c r="B4709" s="8" t="n"/>
      <c r="C4709" s="9">
        <f>IF(B4709="","",IFERROR(VLOOKUP(B4709,'Daftar Outlet'!$A$4:$B$22,2,FALSE),""))</f>
        <v/>
      </c>
      <c r="D4709" s="8" t="n"/>
      <c r="E4709" s="6" t="n"/>
      <c r="F4709" s="8" t="n"/>
    </row>
    <row r="4710">
      <c r="A4710" s="7" t="n"/>
      <c r="B4710" s="8" t="n"/>
      <c r="C4710" s="9">
        <f>IF(B4710="","",IFERROR(VLOOKUP(B4710,'Daftar Outlet'!$A$4:$B$22,2,FALSE),""))</f>
        <v/>
      </c>
      <c r="D4710" s="8" t="n"/>
      <c r="E4710" s="6" t="n"/>
      <c r="F4710" s="8" t="n"/>
    </row>
    <row r="4711">
      <c r="A4711" s="7" t="n"/>
      <c r="B4711" s="8" t="n"/>
      <c r="C4711" s="9">
        <f>IF(B4711="","",IFERROR(VLOOKUP(B4711,'Daftar Outlet'!$A$4:$B$22,2,FALSE),""))</f>
        <v/>
      </c>
      <c r="D4711" s="8" t="n"/>
      <c r="E4711" s="6" t="n"/>
      <c r="F4711" s="8" t="n"/>
    </row>
    <row r="4712">
      <c r="A4712" s="7" t="n"/>
      <c r="B4712" s="8" t="n"/>
      <c r="C4712" s="9">
        <f>IF(B4712="","",IFERROR(VLOOKUP(B4712,'Daftar Outlet'!$A$4:$B$22,2,FALSE),""))</f>
        <v/>
      </c>
      <c r="D4712" s="8" t="n"/>
      <c r="E4712" s="6" t="n"/>
      <c r="F4712" s="8" t="n"/>
    </row>
    <row r="4713">
      <c r="A4713" s="7" t="n"/>
      <c r="B4713" s="8" t="n"/>
      <c r="C4713" s="9">
        <f>IF(B4713="","",IFERROR(VLOOKUP(B4713,'Daftar Outlet'!$A$4:$B$22,2,FALSE),""))</f>
        <v/>
      </c>
      <c r="D4713" s="8" t="n"/>
      <c r="E4713" s="6" t="n"/>
      <c r="F4713" s="8" t="n"/>
    </row>
    <row r="4714">
      <c r="A4714" s="7" t="n"/>
      <c r="B4714" s="8" t="n"/>
      <c r="C4714" s="9">
        <f>IF(B4714="","",IFERROR(VLOOKUP(B4714,'Daftar Outlet'!$A$4:$B$22,2,FALSE),""))</f>
        <v/>
      </c>
      <c r="D4714" s="8" t="n"/>
      <c r="E4714" s="6" t="n"/>
      <c r="F4714" s="8" t="n"/>
    </row>
    <row r="4715">
      <c r="A4715" s="7" t="n"/>
      <c r="B4715" s="8" t="n"/>
      <c r="C4715" s="9">
        <f>IF(B4715="","",IFERROR(VLOOKUP(B4715,'Daftar Outlet'!$A$4:$B$22,2,FALSE),""))</f>
        <v/>
      </c>
      <c r="D4715" s="8" t="n"/>
      <c r="E4715" s="6" t="n"/>
      <c r="F4715" s="8" t="n"/>
    </row>
    <row r="4716">
      <c r="A4716" s="7" t="n"/>
      <c r="B4716" s="8" t="n"/>
      <c r="C4716" s="9">
        <f>IF(B4716="","",IFERROR(VLOOKUP(B4716,'Daftar Outlet'!$A$4:$B$22,2,FALSE),""))</f>
        <v/>
      </c>
      <c r="D4716" s="8" t="n"/>
      <c r="E4716" s="6" t="n"/>
      <c r="F4716" s="8" t="n"/>
    </row>
    <row r="4717">
      <c r="A4717" s="7" t="n"/>
      <c r="B4717" s="8" t="n"/>
      <c r="C4717" s="9">
        <f>IF(B4717="","",IFERROR(VLOOKUP(B4717,'Daftar Outlet'!$A$4:$B$22,2,FALSE),""))</f>
        <v/>
      </c>
      <c r="D4717" s="8" t="n"/>
      <c r="E4717" s="6" t="n"/>
      <c r="F4717" s="8" t="n"/>
    </row>
    <row r="4718">
      <c r="A4718" s="7" t="n"/>
      <c r="B4718" s="8" t="n"/>
      <c r="C4718" s="9">
        <f>IF(B4718="","",IFERROR(VLOOKUP(B4718,'Daftar Outlet'!$A$4:$B$22,2,FALSE),""))</f>
        <v/>
      </c>
      <c r="D4718" s="8" t="n"/>
      <c r="E4718" s="6" t="n"/>
      <c r="F4718" s="8" t="n"/>
    </row>
    <row r="4719">
      <c r="A4719" s="7" t="n"/>
      <c r="B4719" s="8" t="n"/>
      <c r="C4719" s="9">
        <f>IF(B4719="","",IFERROR(VLOOKUP(B4719,'Daftar Outlet'!$A$4:$B$22,2,FALSE),""))</f>
        <v/>
      </c>
      <c r="D4719" s="8" t="n"/>
      <c r="E4719" s="6" t="n"/>
      <c r="F4719" s="8" t="n"/>
    </row>
    <row r="4720">
      <c r="A4720" s="7" t="n"/>
      <c r="B4720" s="8" t="n"/>
      <c r="C4720" s="9">
        <f>IF(B4720="","",IFERROR(VLOOKUP(B4720,'Daftar Outlet'!$A$4:$B$22,2,FALSE),""))</f>
        <v/>
      </c>
      <c r="D4720" s="8" t="n"/>
      <c r="E4720" s="6" t="n"/>
      <c r="F4720" s="8" t="n"/>
    </row>
    <row r="4721">
      <c r="A4721" s="7" t="n"/>
      <c r="B4721" s="8" t="n"/>
      <c r="C4721" s="9">
        <f>IF(B4721="","",IFERROR(VLOOKUP(B4721,'Daftar Outlet'!$A$4:$B$22,2,FALSE),""))</f>
        <v/>
      </c>
      <c r="D4721" s="8" t="n"/>
      <c r="E4721" s="6" t="n"/>
      <c r="F4721" s="8" t="n"/>
    </row>
    <row r="4722">
      <c r="A4722" s="7" t="n"/>
      <c r="B4722" s="8" t="n"/>
      <c r="C4722" s="9">
        <f>IF(B4722="","",IFERROR(VLOOKUP(B4722,'Daftar Outlet'!$A$4:$B$22,2,FALSE),""))</f>
        <v/>
      </c>
      <c r="D4722" s="8" t="n"/>
      <c r="E4722" s="6" t="n"/>
      <c r="F4722" s="8" t="n"/>
    </row>
    <row r="4723">
      <c r="A4723" s="7" t="n"/>
      <c r="B4723" s="8" t="n"/>
      <c r="C4723" s="9">
        <f>IF(B4723="","",IFERROR(VLOOKUP(B4723,'Daftar Outlet'!$A$4:$B$22,2,FALSE),""))</f>
        <v/>
      </c>
      <c r="D4723" s="8" t="n"/>
      <c r="E4723" s="6" t="n"/>
      <c r="F4723" s="8" t="n"/>
    </row>
    <row r="4724">
      <c r="A4724" s="7" t="n"/>
      <c r="B4724" s="8" t="n"/>
      <c r="C4724" s="9">
        <f>IF(B4724="","",IFERROR(VLOOKUP(B4724,'Daftar Outlet'!$A$4:$B$22,2,FALSE),""))</f>
        <v/>
      </c>
      <c r="D4724" s="8" t="n"/>
      <c r="E4724" s="6" t="n"/>
      <c r="F4724" s="8" t="n"/>
    </row>
    <row r="4725">
      <c r="A4725" s="7" t="n"/>
      <c r="B4725" s="8" t="n"/>
      <c r="C4725" s="9">
        <f>IF(B4725="","",IFERROR(VLOOKUP(B4725,'Daftar Outlet'!$A$4:$B$22,2,FALSE),""))</f>
        <v/>
      </c>
      <c r="D4725" s="8" t="n"/>
      <c r="E4725" s="6" t="n"/>
      <c r="F4725" s="8" t="n"/>
    </row>
    <row r="4726">
      <c r="A4726" s="7" t="n"/>
      <c r="B4726" s="8" t="n"/>
      <c r="C4726" s="9">
        <f>IF(B4726="","",IFERROR(VLOOKUP(B4726,'Daftar Outlet'!$A$4:$B$22,2,FALSE),""))</f>
        <v/>
      </c>
      <c r="D4726" s="8" t="n"/>
      <c r="E4726" s="6" t="n"/>
      <c r="F4726" s="8" t="n"/>
    </row>
    <row r="4727">
      <c r="A4727" s="7" t="n"/>
      <c r="B4727" s="8" t="n"/>
      <c r="C4727" s="9">
        <f>IF(B4727="","",IFERROR(VLOOKUP(B4727,'Daftar Outlet'!$A$4:$B$22,2,FALSE),""))</f>
        <v/>
      </c>
      <c r="D4727" s="8" t="n"/>
      <c r="E4727" s="6" t="n"/>
      <c r="F4727" s="8" t="n"/>
    </row>
    <row r="4728">
      <c r="A4728" s="7" t="n"/>
      <c r="B4728" s="8" t="n"/>
      <c r="C4728" s="9">
        <f>IF(B4728="","",IFERROR(VLOOKUP(B4728,'Daftar Outlet'!$A$4:$B$22,2,FALSE),""))</f>
        <v/>
      </c>
      <c r="D4728" s="8" t="n"/>
      <c r="E4728" s="6" t="n"/>
      <c r="F4728" s="8" t="n"/>
    </row>
    <row r="4729">
      <c r="A4729" s="7" t="n"/>
      <c r="B4729" s="8" t="n"/>
      <c r="C4729" s="9">
        <f>IF(B4729="","",IFERROR(VLOOKUP(B4729,'Daftar Outlet'!$A$4:$B$22,2,FALSE),""))</f>
        <v/>
      </c>
      <c r="D4729" s="8" t="n"/>
      <c r="E4729" s="6" t="n"/>
      <c r="F4729" s="8" t="n"/>
    </row>
    <row r="4730">
      <c r="A4730" s="7" t="n"/>
      <c r="B4730" s="8" t="n"/>
      <c r="C4730" s="9">
        <f>IF(B4730="","",IFERROR(VLOOKUP(B4730,'Daftar Outlet'!$A$4:$B$22,2,FALSE),""))</f>
        <v/>
      </c>
      <c r="D4730" s="8" t="n"/>
      <c r="E4730" s="6" t="n"/>
      <c r="F4730" s="8" t="n"/>
    </row>
    <row r="4731">
      <c r="A4731" s="7" t="n"/>
      <c r="B4731" s="8" t="n"/>
      <c r="C4731" s="9">
        <f>IF(B4731="","",IFERROR(VLOOKUP(B4731,'Daftar Outlet'!$A$4:$B$22,2,FALSE),""))</f>
        <v/>
      </c>
      <c r="D4731" s="8" t="n"/>
      <c r="E4731" s="6" t="n"/>
      <c r="F4731" s="8" t="n"/>
    </row>
    <row r="4732">
      <c r="A4732" s="7" t="n"/>
      <c r="B4732" s="8" t="n"/>
      <c r="C4732" s="9">
        <f>IF(B4732="","",IFERROR(VLOOKUP(B4732,'Daftar Outlet'!$A$4:$B$22,2,FALSE),""))</f>
        <v/>
      </c>
      <c r="D4732" s="8" t="n"/>
      <c r="E4732" s="6" t="n"/>
      <c r="F4732" s="8" t="n"/>
    </row>
    <row r="4733">
      <c r="A4733" s="7" t="n"/>
      <c r="B4733" s="8" t="n"/>
      <c r="C4733" s="9">
        <f>IF(B4733="","",IFERROR(VLOOKUP(B4733,'Daftar Outlet'!$A$4:$B$22,2,FALSE),""))</f>
        <v/>
      </c>
      <c r="D4733" s="8" t="n"/>
      <c r="E4733" s="6" t="n"/>
      <c r="F4733" s="8" t="n"/>
    </row>
    <row r="4734">
      <c r="A4734" s="7" t="n"/>
      <c r="B4734" s="8" t="n"/>
      <c r="C4734" s="9">
        <f>IF(B4734="","",IFERROR(VLOOKUP(B4734,'Daftar Outlet'!$A$4:$B$22,2,FALSE),""))</f>
        <v/>
      </c>
      <c r="D4734" s="8" t="n"/>
      <c r="E4734" s="6" t="n"/>
      <c r="F4734" s="8" t="n"/>
    </row>
    <row r="4735">
      <c r="A4735" s="7" t="n"/>
      <c r="B4735" s="8" t="n"/>
      <c r="C4735" s="9">
        <f>IF(B4735="","",IFERROR(VLOOKUP(B4735,'Daftar Outlet'!$A$4:$B$22,2,FALSE),""))</f>
        <v/>
      </c>
      <c r="D4735" s="8" t="n"/>
      <c r="E4735" s="6" t="n"/>
      <c r="F4735" s="8" t="n"/>
    </row>
    <row r="4736">
      <c r="A4736" s="7" t="n"/>
      <c r="B4736" s="8" t="n"/>
      <c r="C4736" s="9">
        <f>IF(B4736="","",IFERROR(VLOOKUP(B4736,'Daftar Outlet'!$A$4:$B$22,2,FALSE),""))</f>
        <v/>
      </c>
      <c r="D4736" s="8" t="n"/>
      <c r="E4736" s="6" t="n"/>
      <c r="F4736" s="8" t="n"/>
    </row>
    <row r="4737">
      <c r="A4737" s="7" t="n"/>
      <c r="B4737" s="8" t="n"/>
      <c r="C4737" s="9">
        <f>IF(B4737="","",IFERROR(VLOOKUP(B4737,'Daftar Outlet'!$A$4:$B$22,2,FALSE),""))</f>
        <v/>
      </c>
      <c r="D4737" s="8" t="n"/>
      <c r="E4737" s="6" t="n"/>
      <c r="F4737" s="8" t="n"/>
    </row>
    <row r="4738">
      <c r="A4738" s="7" t="n"/>
      <c r="B4738" s="8" t="n"/>
      <c r="C4738" s="9">
        <f>IF(B4738="","",IFERROR(VLOOKUP(B4738,'Daftar Outlet'!$A$4:$B$22,2,FALSE),""))</f>
        <v/>
      </c>
      <c r="D4738" s="8" t="n"/>
      <c r="E4738" s="6" t="n"/>
      <c r="F4738" s="8" t="n"/>
    </row>
    <row r="4739">
      <c r="A4739" s="7" t="n"/>
      <c r="B4739" s="8" t="n"/>
      <c r="C4739" s="9">
        <f>IF(B4739="","",IFERROR(VLOOKUP(B4739,'Daftar Outlet'!$A$4:$B$22,2,FALSE),""))</f>
        <v/>
      </c>
      <c r="D4739" s="8" t="n"/>
      <c r="E4739" s="6" t="n"/>
      <c r="F4739" s="8" t="n"/>
    </row>
    <row r="4740">
      <c r="A4740" s="7" t="n"/>
      <c r="B4740" s="8" t="n"/>
      <c r="C4740" s="9">
        <f>IF(B4740="","",IFERROR(VLOOKUP(B4740,'Daftar Outlet'!$A$4:$B$22,2,FALSE),""))</f>
        <v/>
      </c>
      <c r="D4740" s="8" t="n"/>
      <c r="E4740" s="6" t="n"/>
      <c r="F4740" s="8" t="n"/>
    </row>
    <row r="4741">
      <c r="A4741" s="7" t="n"/>
      <c r="B4741" s="8" t="n"/>
      <c r="C4741" s="9">
        <f>IF(B4741="","",IFERROR(VLOOKUP(B4741,'Daftar Outlet'!$A$4:$B$22,2,FALSE),""))</f>
        <v/>
      </c>
      <c r="D4741" s="8" t="n"/>
      <c r="E4741" s="6" t="n"/>
      <c r="F4741" s="8" t="n"/>
    </row>
    <row r="4742">
      <c r="A4742" s="7" t="n"/>
      <c r="B4742" s="8" t="n"/>
      <c r="C4742" s="9">
        <f>IF(B4742="","",IFERROR(VLOOKUP(B4742,'Daftar Outlet'!$A$4:$B$22,2,FALSE),""))</f>
        <v/>
      </c>
      <c r="D4742" s="8" t="n"/>
      <c r="E4742" s="6" t="n"/>
      <c r="F4742" s="8" t="n"/>
    </row>
    <row r="4743">
      <c r="A4743" s="7" t="n"/>
      <c r="B4743" s="8" t="n"/>
      <c r="C4743" s="9">
        <f>IF(B4743="","",IFERROR(VLOOKUP(B4743,'Daftar Outlet'!$A$4:$B$22,2,FALSE),""))</f>
        <v/>
      </c>
      <c r="D4743" s="8" t="n"/>
      <c r="E4743" s="6" t="n"/>
      <c r="F4743" s="8" t="n"/>
    </row>
    <row r="4744">
      <c r="A4744" s="7" t="n"/>
      <c r="B4744" s="8" t="n"/>
      <c r="C4744" s="9">
        <f>IF(B4744="","",IFERROR(VLOOKUP(B4744,'Daftar Outlet'!$A$4:$B$22,2,FALSE),""))</f>
        <v/>
      </c>
      <c r="D4744" s="8" t="n"/>
      <c r="E4744" s="6" t="n"/>
      <c r="F4744" s="8" t="n"/>
    </row>
    <row r="4745">
      <c r="A4745" s="7" t="n"/>
      <c r="B4745" s="8" t="n"/>
      <c r="C4745" s="9">
        <f>IF(B4745="","",IFERROR(VLOOKUP(B4745,'Daftar Outlet'!$A$4:$B$22,2,FALSE),""))</f>
        <v/>
      </c>
      <c r="D4745" s="8" t="n"/>
      <c r="E4745" s="6" t="n"/>
      <c r="F4745" s="8" t="n"/>
    </row>
    <row r="4746">
      <c r="A4746" s="7" t="n"/>
      <c r="B4746" s="8" t="n"/>
      <c r="C4746" s="9">
        <f>IF(B4746="","",IFERROR(VLOOKUP(B4746,'Daftar Outlet'!$A$4:$B$22,2,FALSE),""))</f>
        <v/>
      </c>
      <c r="D4746" s="8" t="n"/>
      <c r="E4746" s="6" t="n"/>
      <c r="F4746" s="8" t="n"/>
    </row>
    <row r="4747">
      <c r="A4747" s="7" t="n"/>
      <c r="B4747" s="8" t="n"/>
      <c r="C4747" s="9">
        <f>IF(B4747="","",IFERROR(VLOOKUP(B4747,'Daftar Outlet'!$A$4:$B$22,2,FALSE),""))</f>
        <v/>
      </c>
      <c r="D4747" s="8" t="n"/>
      <c r="E4747" s="6" t="n"/>
      <c r="F4747" s="8" t="n"/>
    </row>
    <row r="4748">
      <c r="A4748" s="7" t="n"/>
      <c r="B4748" s="8" t="n"/>
      <c r="C4748" s="9">
        <f>IF(B4748="","",IFERROR(VLOOKUP(B4748,'Daftar Outlet'!$A$4:$B$22,2,FALSE),""))</f>
        <v/>
      </c>
      <c r="D4748" s="8" t="n"/>
      <c r="E4748" s="6" t="n"/>
      <c r="F4748" s="8" t="n"/>
    </row>
    <row r="4749">
      <c r="A4749" s="7" t="n"/>
      <c r="B4749" s="8" t="n"/>
      <c r="C4749" s="9">
        <f>IF(B4749="","",IFERROR(VLOOKUP(B4749,'Daftar Outlet'!$A$4:$B$22,2,FALSE),""))</f>
        <v/>
      </c>
      <c r="D4749" s="8" t="n"/>
      <c r="E4749" s="6" t="n"/>
      <c r="F4749" s="8" t="n"/>
    </row>
    <row r="4750">
      <c r="A4750" s="7" t="n"/>
      <c r="B4750" s="8" t="n"/>
      <c r="C4750" s="9">
        <f>IF(B4750="","",IFERROR(VLOOKUP(B4750,'Daftar Outlet'!$A$4:$B$22,2,FALSE),""))</f>
        <v/>
      </c>
      <c r="D4750" s="8" t="n"/>
      <c r="E4750" s="6" t="n"/>
      <c r="F4750" s="8" t="n"/>
    </row>
    <row r="4751">
      <c r="A4751" s="7" t="n"/>
      <c r="B4751" s="8" t="n"/>
      <c r="C4751" s="9">
        <f>IF(B4751="","",IFERROR(VLOOKUP(B4751,'Daftar Outlet'!$A$4:$B$22,2,FALSE),""))</f>
        <v/>
      </c>
      <c r="D4751" s="8" t="n"/>
      <c r="E4751" s="6" t="n"/>
      <c r="F4751" s="8" t="n"/>
    </row>
    <row r="4752">
      <c r="A4752" s="7" t="n"/>
      <c r="B4752" s="8" t="n"/>
      <c r="C4752" s="9">
        <f>IF(B4752="","",IFERROR(VLOOKUP(B4752,'Daftar Outlet'!$A$4:$B$22,2,FALSE),""))</f>
        <v/>
      </c>
      <c r="D4752" s="8" t="n"/>
      <c r="E4752" s="6" t="n"/>
      <c r="F4752" s="8" t="n"/>
    </row>
    <row r="4753">
      <c r="A4753" s="7" t="n"/>
      <c r="B4753" s="8" t="n"/>
      <c r="C4753" s="9">
        <f>IF(B4753="","",IFERROR(VLOOKUP(B4753,'Daftar Outlet'!$A$4:$B$22,2,FALSE),""))</f>
        <v/>
      </c>
      <c r="D4753" s="8" t="n"/>
      <c r="E4753" s="6" t="n"/>
      <c r="F4753" s="8" t="n"/>
    </row>
    <row r="4754">
      <c r="A4754" s="7" t="n"/>
      <c r="B4754" s="8" t="n"/>
      <c r="C4754" s="9">
        <f>IF(B4754="","",IFERROR(VLOOKUP(B4754,'Daftar Outlet'!$A$4:$B$22,2,FALSE),""))</f>
        <v/>
      </c>
      <c r="D4754" s="8" t="n"/>
      <c r="E4754" s="6" t="n"/>
      <c r="F4754" s="8" t="n"/>
    </row>
    <row r="4755">
      <c r="A4755" s="7" t="n"/>
      <c r="B4755" s="8" t="n"/>
      <c r="C4755" s="9">
        <f>IF(B4755="","",IFERROR(VLOOKUP(B4755,'Daftar Outlet'!$A$4:$B$22,2,FALSE),""))</f>
        <v/>
      </c>
      <c r="D4755" s="8" t="n"/>
      <c r="E4755" s="6" t="n"/>
      <c r="F4755" s="8" t="n"/>
    </row>
    <row r="4756">
      <c r="A4756" s="7" t="n"/>
      <c r="B4756" s="8" t="n"/>
      <c r="C4756" s="9">
        <f>IF(B4756="","",IFERROR(VLOOKUP(B4756,'Daftar Outlet'!$A$4:$B$22,2,FALSE),""))</f>
        <v/>
      </c>
      <c r="D4756" s="8" t="n"/>
      <c r="E4756" s="6" t="n"/>
      <c r="F4756" s="8" t="n"/>
    </row>
    <row r="4757">
      <c r="A4757" s="7" t="n"/>
      <c r="B4757" s="8" t="n"/>
      <c r="C4757" s="9">
        <f>IF(B4757="","",IFERROR(VLOOKUP(B4757,'Daftar Outlet'!$A$4:$B$22,2,FALSE),""))</f>
        <v/>
      </c>
      <c r="D4757" s="8" t="n"/>
      <c r="E4757" s="6" t="n"/>
      <c r="F4757" s="8" t="n"/>
    </row>
    <row r="4758">
      <c r="A4758" s="7" t="n"/>
      <c r="B4758" s="8" t="n"/>
      <c r="C4758" s="9">
        <f>IF(B4758="","",IFERROR(VLOOKUP(B4758,'Daftar Outlet'!$A$4:$B$22,2,FALSE),""))</f>
        <v/>
      </c>
      <c r="D4758" s="8" t="n"/>
      <c r="E4758" s="6" t="n"/>
      <c r="F4758" s="8" t="n"/>
    </row>
    <row r="4759">
      <c r="A4759" s="7" t="n"/>
      <c r="B4759" s="8" t="n"/>
      <c r="C4759" s="9">
        <f>IF(B4759="","",IFERROR(VLOOKUP(B4759,'Daftar Outlet'!$A$4:$B$22,2,FALSE),""))</f>
        <v/>
      </c>
      <c r="D4759" s="8" t="n"/>
      <c r="E4759" s="6" t="n"/>
      <c r="F4759" s="8" t="n"/>
    </row>
    <row r="4760">
      <c r="A4760" s="7" t="n"/>
      <c r="B4760" s="8" t="n"/>
      <c r="C4760" s="9">
        <f>IF(B4760="","",IFERROR(VLOOKUP(B4760,'Daftar Outlet'!$A$4:$B$22,2,FALSE),""))</f>
        <v/>
      </c>
      <c r="D4760" s="8" t="n"/>
      <c r="E4760" s="6" t="n"/>
      <c r="F4760" s="8" t="n"/>
    </row>
    <row r="4761">
      <c r="A4761" s="7" t="n"/>
      <c r="B4761" s="8" t="n"/>
      <c r="C4761" s="9">
        <f>IF(B4761="","",IFERROR(VLOOKUP(B4761,'Daftar Outlet'!$A$4:$B$22,2,FALSE),""))</f>
        <v/>
      </c>
      <c r="D4761" s="8" t="n"/>
      <c r="E4761" s="6" t="n"/>
      <c r="F4761" s="8" t="n"/>
    </row>
    <row r="4762">
      <c r="A4762" s="7" t="n"/>
      <c r="B4762" s="8" t="n"/>
      <c r="C4762" s="9">
        <f>IF(B4762="","",IFERROR(VLOOKUP(B4762,'Daftar Outlet'!$A$4:$B$22,2,FALSE),""))</f>
        <v/>
      </c>
      <c r="D4762" s="8" t="n"/>
      <c r="E4762" s="6" t="n"/>
      <c r="F4762" s="8" t="n"/>
    </row>
    <row r="4763">
      <c r="A4763" s="7" t="n"/>
      <c r="B4763" s="8" t="n"/>
      <c r="C4763" s="9">
        <f>IF(B4763="","",IFERROR(VLOOKUP(B4763,'Daftar Outlet'!$A$4:$B$22,2,FALSE),""))</f>
        <v/>
      </c>
      <c r="D4763" s="8" t="n"/>
      <c r="E4763" s="6" t="n"/>
      <c r="F4763" s="8" t="n"/>
    </row>
    <row r="4764">
      <c r="A4764" s="7" t="n"/>
      <c r="B4764" s="8" t="n"/>
      <c r="C4764" s="9">
        <f>IF(B4764="","",IFERROR(VLOOKUP(B4764,'Daftar Outlet'!$A$4:$B$22,2,FALSE),""))</f>
        <v/>
      </c>
      <c r="D4764" s="8" t="n"/>
      <c r="E4764" s="6" t="n"/>
      <c r="F4764" s="8" t="n"/>
    </row>
    <row r="4765">
      <c r="A4765" s="7" t="n"/>
      <c r="B4765" s="8" t="n"/>
      <c r="C4765" s="9">
        <f>IF(B4765="","",IFERROR(VLOOKUP(B4765,'Daftar Outlet'!$A$4:$B$22,2,FALSE),""))</f>
        <v/>
      </c>
      <c r="D4765" s="8" t="n"/>
      <c r="E4765" s="6" t="n"/>
      <c r="F4765" s="8" t="n"/>
    </row>
    <row r="4766">
      <c r="A4766" s="7" t="n"/>
      <c r="B4766" s="8" t="n"/>
      <c r="C4766" s="9">
        <f>IF(B4766="","",IFERROR(VLOOKUP(B4766,'Daftar Outlet'!$A$4:$B$22,2,FALSE),""))</f>
        <v/>
      </c>
      <c r="D4766" s="8" t="n"/>
      <c r="E4766" s="6" t="n"/>
      <c r="F4766" s="8" t="n"/>
    </row>
    <row r="4767">
      <c r="A4767" s="7" t="n"/>
      <c r="B4767" s="8" t="n"/>
      <c r="C4767" s="9">
        <f>IF(B4767="","",IFERROR(VLOOKUP(B4767,'Daftar Outlet'!$A$4:$B$22,2,FALSE),""))</f>
        <v/>
      </c>
      <c r="D4767" s="8" t="n"/>
      <c r="E4767" s="6" t="n"/>
      <c r="F4767" s="8" t="n"/>
    </row>
    <row r="4768">
      <c r="A4768" s="7" t="n"/>
      <c r="B4768" s="8" t="n"/>
      <c r="C4768" s="9">
        <f>IF(B4768="","",IFERROR(VLOOKUP(B4768,'Daftar Outlet'!$A$4:$B$22,2,FALSE),""))</f>
        <v/>
      </c>
      <c r="D4768" s="8" t="n"/>
      <c r="E4768" s="6" t="n"/>
      <c r="F4768" s="8" t="n"/>
    </row>
    <row r="4769">
      <c r="A4769" s="7" t="n"/>
      <c r="B4769" s="8" t="n"/>
      <c r="C4769" s="9">
        <f>IF(B4769="","",IFERROR(VLOOKUP(B4769,'Daftar Outlet'!$A$4:$B$22,2,FALSE),""))</f>
        <v/>
      </c>
      <c r="D4769" s="8" t="n"/>
      <c r="E4769" s="6" t="n"/>
      <c r="F4769" s="8" t="n"/>
    </row>
    <row r="4770">
      <c r="A4770" s="7" t="n"/>
      <c r="B4770" s="8" t="n"/>
      <c r="C4770" s="9">
        <f>IF(B4770="","",IFERROR(VLOOKUP(B4770,'Daftar Outlet'!$A$4:$B$22,2,FALSE),""))</f>
        <v/>
      </c>
      <c r="D4770" s="8" t="n"/>
      <c r="E4770" s="6" t="n"/>
      <c r="F4770" s="8" t="n"/>
    </row>
    <row r="4771">
      <c r="A4771" s="7" t="n"/>
      <c r="B4771" s="8" t="n"/>
      <c r="C4771" s="9">
        <f>IF(B4771="","",IFERROR(VLOOKUP(B4771,'Daftar Outlet'!$A$4:$B$22,2,FALSE),""))</f>
        <v/>
      </c>
      <c r="D4771" s="8" t="n"/>
      <c r="E4771" s="6" t="n"/>
      <c r="F4771" s="8" t="n"/>
    </row>
    <row r="4772">
      <c r="A4772" s="7" t="n"/>
      <c r="B4772" s="8" t="n"/>
      <c r="C4772" s="9">
        <f>IF(B4772="","",IFERROR(VLOOKUP(B4772,'Daftar Outlet'!$A$4:$B$22,2,FALSE),""))</f>
        <v/>
      </c>
      <c r="D4772" s="8" t="n"/>
      <c r="E4772" s="6" t="n"/>
      <c r="F4772" s="8" t="n"/>
    </row>
    <row r="4773">
      <c r="A4773" s="7" t="n"/>
      <c r="B4773" s="8" t="n"/>
      <c r="C4773" s="9">
        <f>IF(B4773="","",IFERROR(VLOOKUP(B4773,'Daftar Outlet'!$A$4:$B$22,2,FALSE),""))</f>
        <v/>
      </c>
      <c r="D4773" s="8" t="n"/>
      <c r="E4773" s="6" t="n"/>
      <c r="F4773" s="8" t="n"/>
    </row>
    <row r="4774">
      <c r="A4774" s="7" t="n"/>
      <c r="B4774" s="8" t="n"/>
      <c r="C4774" s="9">
        <f>IF(B4774="","",IFERROR(VLOOKUP(B4774,'Daftar Outlet'!$A$4:$B$22,2,FALSE),""))</f>
        <v/>
      </c>
      <c r="D4774" s="8" t="n"/>
      <c r="E4774" s="6" t="n"/>
      <c r="F4774" s="8" t="n"/>
    </row>
    <row r="4775">
      <c r="A4775" s="7" t="n"/>
      <c r="B4775" s="8" t="n"/>
      <c r="C4775" s="9">
        <f>IF(B4775="","",IFERROR(VLOOKUP(B4775,'Daftar Outlet'!$A$4:$B$22,2,FALSE),""))</f>
        <v/>
      </c>
      <c r="D4775" s="8" t="n"/>
      <c r="E4775" s="6" t="n"/>
      <c r="F4775" s="8" t="n"/>
    </row>
    <row r="4776">
      <c r="A4776" s="7" t="n"/>
      <c r="B4776" s="8" t="n"/>
      <c r="C4776" s="9">
        <f>IF(B4776="","",IFERROR(VLOOKUP(B4776,'Daftar Outlet'!$A$4:$B$22,2,FALSE),""))</f>
        <v/>
      </c>
      <c r="D4776" s="8" t="n"/>
      <c r="E4776" s="6" t="n"/>
      <c r="F4776" s="8" t="n"/>
    </row>
    <row r="4777">
      <c r="A4777" s="7" t="n"/>
      <c r="B4777" s="8" t="n"/>
      <c r="C4777" s="9">
        <f>IF(B4777="","",IFERROR(VLOOKUP(B4777,'Daftar Outlet'!$A$4:$B$22,2,FALSE),""))</f>
        <v/>
      </c>
      <c r="D4777" s="8" t="n"/>
      <c r="E4777" s="6" t="n"/>
      <c r="F4777" s="8" t="n"/>
    </row>
    <row r="4778">
      <c r="A4778" s="7" t="n"/>
      <c r="B4778" s="8" t="n"/>
      <c r="C4778" s="9">
        <f>IF(B4778="","",IFERROR(VLOOKUP(B4778,'Daftar Outlet'!$A$4:$B$22,2,FALSE),""))</f>
        <v/>
      </c>
      <c r="D4778" s="8" t="n"/>
      <c r="E4778" s="6" t="n"/>
      <c r="F4778" s="8" t="n"/>
    </row>
    <row r="4779">
      <c r="A4779" s="7" t="n"/>
      <c r="B4779" s="8" t="n"/>
      <c r="C4779" s="9">
        <f>IF(B4779="","",IFERROR(VLOOKUP(B4779,'Daftar Outlet'!$A$4:$B$22,2,FALSE),""))</f>
        <v/>
      </c>
      <c r="D4779" s="8" t="n"/>
      <c r="E4779" s="6" t="n"/>
      <c r="F4779" s="8" t="n"/>
    </row>
    <row r="4780">
      <c r="A4780" s="7" t="n"/>
      <c r="B4780" s="8" t="n"/>
      <c r="C4780" s="9">
        <f>IF(B4780="","",IFERROR(VLOOKUP(B4780,'Daftar Outlet'!$A$4:$B$22,2,FALSE),""))</f>
        <v/>
      </c>
      <c r="D4780" s="8" t="n"/>
      <c r="E4780" s="6" t="n"/>
      <c r="F4780" s="8" t="n"/>
    </row>
    <row r="4781">
      <c r="A4781" s="7" t="n"/>
      <c r="B4781" s="8" t="n"/>
      <c r="C4781" s="9">
        <f>IF(B4781="","",IFERROR(VLOOKUP(B4781,'Daftar Outlet'!$A$4:$B$22,2,FALSE),""))</f>
        <v/>
      </c>
      <c r="D4781" s="8" t="n"/>
      <c r="E4781" s="6" t="n"/>
      <c r="F4781" s="8" t="n"/>
    </row>
    <row r="4782">
      <c r="A4782" s="7" t="n"/>
      <c r="B4782" s="8" t="n"/>
      <c r="C4782" s="9">
        <f>IF(B4782="","",IFERROR(VLOOKUP(B4782,'Daftar Outlet'!$A$4:$B$22,2,FALSE),""))</f>
        <v/>
      </c>
      <c r="D4782" s="8" t="n"/>
      <c r="E4782" s="6" t="n"/>
      <c r="F4782" s="8" t="n"/>
    </row>
    <row r="4783">
      <c r="A4783" s="7" t="n"/>
      <c r="B4783" s="8" t="n"/>
      <c r="C4783" s="9">
        <f>IF(B4783="","",IFERROR(VLOOKUP(B4783,'Daftar Outlet'!$A$4:$B$22,2,FALSE),""))</f>
        <v/>
      </c>
      <c r="D4783" s="8" t="n"/>
      <c r="E4783" s="6" t="n"/>
      <c r="F4783" s="8" t="n"/>
    </row>
    <row r="4784">
      <c r="A4784" s="7" t="n"/>
      <c r="B4784" s="8" t="n"/>
      <c r="C4784" s="9">
        <f>IF(B4784="","",IFERROR(VLOOKUP(B4784,'Daftar Outlet'!$A$4:$B$22,2,FALSE),""))</f>
        <v/>
      </c>
      <c r="D4784" s="8" t="n"/>
      <c r="E4784" s="6" t="n"/>
      <c r="F4784" s="8" t="n"/>
    </row>
    <row r="4785">
      <c r="A4785" s="7" t="n"/>
      <c r="B4785" s="8" t="n"/>
      <c r="C4785" s="9">
        <f>IF(B4785="","",IFERROR(VLOOKUP(B4785,'Daftar Outlet'!$A$4:$B$22,2,FALSE),""))</f>
        <v/>
      </c>
      <c r="D4785" s="8" t="n"/>
      <c r="E4785" s="6" t="n"/>
      <c r="F4785" s="8" t="n"/>
    </row>
    <row r="4786">
      <c r="A4786" s="7" t="n"/>
      <c r="B4786" s="8" t="n"/>
      <c r="C4786" s="9">
        <f>IF(B4786="","",IFERROR(VLOOKUP(B4786,'Daftar Outlet'!$A$4:$B$22,2,FALSE),""))</f>
        <v/>
      </c>
      <c r="D4786" s="8" t="n"/>
      <c r="E4786" s="6" t="n"/>
      <c r="F4786" s="8" t="n"/>
    </row>
    <row r="4787">
      <c r="A4787" s="7" t="n"/>
      <c r="B4787" s="8" t="n"/>
      <c r="C4787" s="9">
        <f>IF(B4787="","",IFERROR(VLOOKUP(B4787,'Daftar Outlet'!$A$4:$B$22,2,FALSE),""))</f>
        <v/>
      </c>
      <c r="D4787" s="8" t="n"/>
      <c r="E4787" s="6" t="n"/>
      <c r="F4787" s="8" t="n"/>
    </row>
    <row r="4788">
      <c r="A4788" s="7" t="n"/>
      <c r="B4788" s="8" t="n"/>
      <c r="C4788" s="9">
        <f>IF(B4788="","",IFERROR(VLOOKUP(B4788,'Daftar Outlet'!$A$4:$B$22,2,FALSE),""))</f>
        <v/>
      </c>
      <c r="D4788" s="8" t="n"/>
      <c r="E4788" s="6" t="n"/>
      <c r="F4788" s="8" t="n"/>
    </row>
    <row r="4789">
      <c r="A4789" s="7" t="n"/>
      <c r="B4789" s="8" t="n"/>
      <c r="C4789" s="9">
        <f>IF(B4789="","",IFERROR(VLOOKUP(B4789,'Daftar Outlet'!$A$4:$B$22,2,FALSE),""))</f>
        <v/>
      </c>
      <c r="D4789" s="8" t="n"/>
      <c r="E4789" s="6" t="n"/>
      <c r="F4789" s="8" t="n"/>
    </row>
    <row r="4790">
      <c r="A4790" s="7" t="n"/>
      <c r="B4790" s="8" t="n"/>
      <c r="C4790" s="9">
        <f>IF(B4790="","",IFERROR(VLOOKUP(B4790,'Daftar Outlet'!$A$4:$B$22,2,FALSE),""))</f>
        <v/>
      </c>
      <c r="D4790" s="8" t="n"/>
      <c r="E4790" s="6" t="n"/>
      <c r="F4790" s="8" t="n"/>
    </row>
    <row r="4791">
      <c r="A4791" s="7" t="n"/>
      <c r="B4791" s="8" t="n"/>
      <c r="C4791" s="9">
        <f>IF(B4791="","",IFERROR(VLOOKUP(B4791,'Daftar Outlet'!$A$4:$B$22,2,FALSE),""))</f>
        <v/>
      </c>
      <c r="D4791" s="8" t="n"/>
      <c r="E4791" s="6" t="n"/>
      <c r="F4791" s="8" t="n"/>
    </row>
    <row r="4792">
      <c r="A4792" s="7" t="n"/>
      <c r="B4792" s="8" t="n"/>
      <c r="C4792" s="9">
        <f>IF(B4792="","",IFERROR(VLOOKUP(B4792,'Daftar Outlet'!$A$4:$B$22,2,FALSE),""))</f>
        <v/>
      </c>
      <c r="D4792" s="8" t="n"/>
      <c r="E4792" s="6" t="n"/>
      <c r="F4792" s="8" t="n"/>
    </row>
    <row r="4793">
      <c r="A4793" s="7" t="n"/>
      <c r="B4793" s="8" t="n"/>
      <c r="C4793" s="9">
        <f>IF(B4793="","",IFERROR(VLOOKUP(B4793,'Daftar Outlet'!$A$4:$B$22,2,FALSE),""))</f>
        <v/>
      </c>
      <c r="D4793" s="8" t="n"/>
      <c r="E4793" s="6" t="n"/>
      <c r="F4793" s="8" t="n"/>
    </row>
    <row r="4794">
      <c r="A4794" s="7" t="n"/>
      <c r="B4794" s="8" t="n"/>
      <c r="C4794" s="9">
        <f>IF(B4794="","",IFERROR(VLOOKUP(B4794,'Daftar Outlet'!$A$4:$B$22,2,FALSE),""))</f>
        <v/>
      </c>
      <c r="D4794" s="8" t="n"/>
      <c r="E4794" s="6" t="n"/>
      <c r="F4794" s="8" t="n"/>
    </row>
    <row r="4795">
      <c r="A4795" s="7" t="n"/>
      <c r="B4795" s="8" t="n"/>
      <c r="C4795" s="9">
        <f>IF(B4795="","",IFERROR(VLOOKUP(B4795,'Daftar Outlet'!$A$4:$B$22,2,FALSE),""))</f>
        <v/>
      </c>
      <c r="D4795" s="8" t="n"/>
      <c r="E4795" s="6" t="n"/>
      <c r="F4795" s="8" t="n"/>
    </row>
    <row r="4796">
      <c r="A4796" s="7" t="n"/>
      <c r="B4796" s="8" t="n"/>
      <c r="C4796" s="9">
        <f>IF(B4796="","",IFERROR(VLOOKUP(B4796,'Daftar Outlet'!$A$4:$B$22,2,FALSE),""))</f>
        <v/>
      </c>
      <c r="D4796" s="8" t="n"/>
      <c r="E4796" s="6" t="n"/>
      <c r="F4796" s="8" t="n"/>
    </row>
    <row r="4797">
      <c r="A4797" s="7" t="n"/>
      <c r="B4797" s="8" t="n"/>
      <c r="C4797" s="9">
        <f>IF(B4797="","",IFERROR(VLOOKUP(B4797,'Daftar Outlet'!$A$4:$B$22,2,FALSE),""))</f>
        <v/>
      </c>
      <c r="D4797" s="8" t="n"/>
      <c r="E4797" s="6" t="n"/>
      <c r="F4797" s="8" t="n"/>
    </row>
    <row r="4798">
      <c r="A4798" s="7" t="n"/>
      <c r="B4798" s="8" t="n"/>
      <c r="C4798" s="9">
        <f>IF(B4798="","",IFERROR(VLOOKUP(B4798,'Daftar Outlet'!$A$4:$B$22,2,FALSE),""))</f>
        <v/>
      </c>
      <c r="D4798" s="8" t="n"/>
      <c r="E4798" s="6" t="n"/>
      <c r="F4798" s="8" t="n"/>
    </row>
    <row r="4799">
      <c r="A4799" s="7" t="n"/>
      <c r="B4799" s="8" t="n"/>
      <c r="C4799" s="9">
        <f>IF(B4799="","",IFERROR(VLOOKUP(B4799,'Daftar Outlet'!$A$4:$B$22,2,FALSE),""))</f>
        <v/>
      </c>
      <c r="D4799" s="8" t="n"/>
      <c r="E4799" s="6" t="n"/>
      <c r="F4799" s="8" t="n"/>
    </row>
    <row r="4800">
      <c r="A4800" s="7" t="n"/>
      <c r="B4800" s="8" t="n"/>
      <c r="C4800" s="9">
        <f>IF(B4800="","",IFERROR(VLOOKUP(B4800,'Daftar Outlet'!$A$4:$B$22,2,FALSE),""))</f>
        <v/>
      </c>
      <c r="D4800" s="8" t="n"/>
      <c r="E4800" s="6" t="n"/>
      <c r="F4800" s="8" t="n"/>
    </row>
    <row r="4801">
      <c r="A4801" s="7" t="n"/>
      <c r="B4801" s="8" t="n"/>
      <c r="C4801" s="9">
        <f>IF(B4801="","",IFERROR(VLOOKUP(B4801,'Daftar Outlet'!$A$4:$B$22,2,FALSE),""))</f>
        <v/>
      </c>
      <c r="D4801" s="8" t="n"/>
      <c r="E4801" s="6" t="n"/>
      <c r="F4801" s="8" t="n"/>
    </row>
    <row r="4802">
      <c r="A4802" s="7" t="n"/>
      <c r="B4802" s="8" t="n"/>
      <c r="C4802" s="9">
        <f>IF(B4802="","",IFERROR(VLOOKUP(B4802,'Daftar Outlet'!$A$4:$B$22,2,FALSE),""))</f>
        <v/>
      </c>
      <c r="D4802" s="8" t="n"/>
      <c r="E4802" s="6" t="n"/>
      <c r="F4802" s="8" t="n"/>
    </row>
    <row r="4803">
      <c r="A4803" s="7" t="n"/>
      <c r="B4803" s="8" t="n"/>
      <c r="C4803" s="9">
        <f>IF(B4803="","",IFERROR(VLOOKUP(B4803,'Daftar Outlet'!$A$4:$B$22,2,FALSE),""))</f>
        <v/>
      </c>
      <c r="D4803" s="8" t="n"/>
      <c r="E4803" s="6" t="n"/>
      <c r="F4803" s="8" t="n"/>
    </row>
    <row r="4804">
      <c r="A4804" s="7" t="n"/>
      <c r="B4804" s="8" t="n"/>
      <c r="C4804" s="9">
        <f>IF(B4804="","",IFERROR(VLOOKUP(B4804,'Daftar Outlet'!$A$4:$B$22,2,FALSE),""))</f>
        <v/>
      </c>
      <c r="D4804" s="8" t="n"/>
      <c r="E4804" s="6" t="n"/>
      <c r="F4804" s="8" t="n"/>
    </row>
    <row r="4805">
      <c r="A4805" s="7" t="n"/>
      <c r="B4805" s="8" t="n"/>
      <c r="C4805" s="9">
        <f>IF(B4805="","",IFERROR(VLOOKUP(B4805,'Daftar Outlet'!$A$4:$B$22,2,FALSE),""))</f>
        <v/>
      </c>
      <c r="D4805" s="8" t="n"/>
      <c r="E4805" s="6" t="n"/>
      <c r="F4805" s="8" t="n"/>
    </row>
    <row r="4806">
      <c r="A4806" s="7" t="n"/>
      <c r="B4806" s="8" t="n"/>
      <c r="C4806" s="9">
        <f>IF(B4806="","",IFERROR(VLOOKUP(B4806,'Daftar Outlet'!$A$4:$B$22,2,FALSE),""))</f>
        <v/>
      </c>
      <c r="D4806" s="8" t="n"/>
      <c r="E4806" s="6" t="n"/>
      <c r="F4806" s="8" t="n"/>
    </row>
    <row r="4807">
      <c r="A4807" s="7" t="n"/>
      <c r="B4807" s="8" t="n"/>
      <c r="C4807" s="9">
        <f>IF(B4807="","",IFERROR(VLOOKUP(B4807,'Daftar Outlet'!$A$4:$B$22,2,FALSE),""))</f>
        <v/>
      </c>
      <c r="D4807" s="8" t="n"/>
      <c r="E4807" s="6" t="n"/>
      <c r="F4807" s="8" t="n"/>
    </row>
    <row r="4808">
      <c r="A4808" s="7" t="n"/>
      <c r="B4808" s="8" t="n"/>
      <c r="C4808" s="9">
        <f>IF(B4808="","",IFERROR(VLOOKUP(B4808,'Daftar Outlet'!$A$4:$B$22,2,FALSE),""))</f>
        <v/>
      </c>
      <c r="D4808" s="8" t="n"/>
      <c r="E4808" s="6" t="n"/>
      <c r="F4808" s="8" t="n"/>
    </row>
    <row r="4809">
      <c r="A4809" s="7" t="n"/>
      <c r="B4809" s="8" t="n"/>
      <c r="C4809" s="9">
        <f>IF(B4809="","",IFERROR(VLOOKUP(B4809,'Daftar Outlet'!$A$4:$B$22,2,FALSE),""))</f>
        <v/>
      </c>
      <c r="D4809" s="8" t="n"/>
      <c r="E4809" s="6" t="n"/>
      <c r="F4809" s="8" t="n"/>
    </row>
    <row r="4810">
      <c r="A4810" s="7" t="n"/>
      <c r="B4810" s="8" t="n"/>
      <c r="C4810" s="9">
        <f>IF(B4810="","",IFERROR(VLOOKUP(B4810,'Daftar Outlet'!$A$4:$B$22,2,FALSE),""))</f>
        <v/>
      </c>
      <c r="D4810" s="8" t="n"/>
      <c r="E4810" s="6" t="n"/>
      <c r="F4810" s="8" t="n"/>
    </row>
    <row r="4811">
      <c r="A4811" s="7" t="n"/>
      <c r="B4811" s="8" t="n"/>
      <c r="C4811" s="9">
        <f>IF(B4811="","",IFERROR(VLOOKUP(B4811,'Daftar Outlet'!$A$4:$B$22,2,FALSE),""))</f>
        <v/>
      </c>
      <c r="D4811" s="8" t="n"/>
      <c r="E4811" s="6" t="n"/>
      <c r="F4811" s="8" t="n"/>
    </row>
    <row r="4812">
      <c r="A4812" s="7" t="n"/>
      <c r="B4812" s="8" t="n"/>
      <c r="C4812" s="9">
        <f>IF(B4812="","",IFERROR(VLOOKUP(B4812,'Daftar Outlet'!$A$4:$B$22,2,FALSE),""))</f>
        <v/>
      </c>
      <c r="D4812" s="8" t="n"/>
      <c r="E4812" s="6" t="n"/>
      <c r="F4812" s="8" t="n"/>
    </row>
    <row r="4813">
      <c r="A4813" s="7" t="n"/>
      <c r="B4813" s="8" t="n"/>
      <c r="C4813" s="9">
        <f>IF(B4813="","",IFERROR(VLOOKUP(B4813,'Daftar Outlet'!$A$4:$B$22,2,FALSE),""))</f>
        <v/>
      </c>
      <c r="D4813" s="8" t="n"/>
      <c r="E4813" s="6" t="n"/>
      <c r="F4813" s="8" t="n"/>
    </row>
    <row r="4814">
      <c r="A4814" s="7" t="n"/>
      <c r="B4814" s="8" t="n"/>
      <c r="C4814" s="9">
        <f>IF(B4814="","",IFERROR(VLOOKUP(B4814,'Daftar Outlet'!$A$4:$B$22,2,FALSE),""))</f>
        <v/>
      </c>
      <c r="D4814" s="8" t="n"/>
      <c r="E4814" s="6" t="n"/>
      <c r="F4814" s="8" t="n"/>
    </row>
    <row r="4815">
      <c r="A4815" s="7" t="n"/>
      <c r="B4815" s="8" t="n"/>
      <c r="C4815" s="9">
        <f>IF(B4815="","",IFERROR(VLOOKUP(B4815,'Daftar Outlet'!$A$4:$B$22,2,FALSE),""))</f>
        <v/>
      </c>
      <c r="D4815" s="8" t="n"/>
      <c r="E4815" s="6" t="n"/>
      <c r="F4815" s="8" t="n"/>
    </row>
    <row r="4816">
      <c r="A4816" s="7" t="n"/>
      <c r="B4816" s="8" t="n"/>
      <c r="C4816" s="9">
        <f>IF(B4816="","",IFERROR(VLOOKUP(B4816,'Daftar Outlet'!$A$4:$B$22,2,FALSE),""))</f>
        <v/>
      </c>
      <c r="D4816" s="8" t="n"/>
      <c r="E4816" s="6" t="n"/>
      <c r="F4816" s="8" t="n"/>
    </row>
    <row r="4817">
      <c r="A4817" s="7" t="n"/>
      <c r="B4817" s="8" t="n"/>
      <c r="C4817" s="9">
        <f>IF(B4817="","",IFERROR(VLOOKUP(B4817,'Daftar Outlet'!$A$4:$B$22,2,FALSE),""))</f>
        <v/>
      </c>
      <c r="D4817" s="8" t="n"/>
      <c r="E4817" s="6" t="n"/>
      <c r="F4817" s="8" t="n"/>
    </row>
    <row r="4818">
      <c r="A4818" s="7" t="n"/>
      <c r="B4818" s="8" t="n"/>
      <c r="C4818" s="9">
        <f>IF(B4818="","",IFERROR(VLOOKUP(B4818,'Daftar Outlet'!$A$4:$B$22,2,FALSE),""))</f>
        <v/>
      </c>
      <c r="D4818" s="8" t="n"/>
      <c r="E4818" s="6" t="n"/>
      <c r="F4818" s="8" t="n"/>
    </row>
    <row r="4819">
      <c r="A4819" s="7" t="n"/>
      <c r="B4819" s="8" t="n"/>
      <c r="C4819" s="9">
        <f>IF(B4819="","",IFERROR(VLOOKUP(B4819,'Daftar Outlet'!$A$4:$B$22,2,FALSE),""))</f>
        <v/>
      </c>
      <c r="D4819" s="8" t="n"/>
      <c r="E4819" s="6" t="n"/>
      <c r="F4819" s="8" t="n"/>
    </row>
    <row r="4820">
      <c r="A4820" s="7" t="n"/>
      <c r="B4820" s="8" t="n"/>
      <c r="C4820" s="9">
        <f>IF(B4820="","",IFERROR(VLOOKUP(B4820,'Daftar Outlet'!$A$4:$B$22,2,FALSE),""))</f>
        <v/>
      </c>
      <c r="D4820" s="8" t="n"/>
      <c r="E4820" s="6" t="n"/>
      <c r="F4820" s="8" t="n"/>
    </row>
    <row r="4821">
      <c r="A4821" s="7" t="n"/>
      <c r="B4821" s="8" t="n"/>
      <c r="C4821" s="9">
        <f>IF(B4821="","",IFERROR(VLOOKUP(B4821,'Daftar Outlet'!$A$4:$B$22,2,FALSE),""))</f>
        <v/>
      </c>
      <c r="D4821" s="8" t="n"/>
      <c r="E4821" s="6" t="n"/>
      <c r="F4821" s="8" t="n"/>
    </row>
    <row r="4822">
      <c r="A4822" s="7" t="n"/>
      <c r="B4822" s="8" t="n"/>
      <c r="C4822" s="9">
        <f>IF(B4822="","",IFERROR(VLOOKUP(B4822,'Daftar Outlet'!$A$4:$B$22,2,FALSE),""))</f>
        <v/>
      </c>
      <c r="D4822" s="8" t="n"/>
      <c r="E4822" s="6" t="n"/>
      <c r="F4822" s="8" t="n"/>
    </row>
    <row r="4823">
      <c r="A4823" s="7" t="n"/>
      <c r="B4823" s="8" t="n"/>
      <c r="C4823" s="9">
        <f>IF(B4823="","",IFERROR(VLOOKUP(B4823,'Daftar Outlet'!$A$4:$B$22,2,FALSE),""))</f>
        <v/>
      </c>
      <c r="D4823" s="8" t="n"/>
      <c r="E4823" s="6" t="n"/>
      <c r="F4823" s="8" t="n"/>
    </row>
    <row r="4824">
      <c r="A4824" s="7" t="n"/>
      <c r="B4824" s="8" t="n"/>
      <c r="C4824" s="9">
        <f>IF(B4824="","",IFERROR(VLOOKUP(B4824,'Daftar Outlet'!$A$4:$B$22,2,FALSE),""))</f>
        <v/>
      </c>
      <c r="D4824" s="8" t="n"/>
      <c r="E4824" s="6" t="n"/>
      <c r="F4824" s="8" t="n"/>
    </row>
    <row r="4825">
      <c r="A4825" s="7" t="n"/>
      <c r="B4825" s="8" t="n"/>
      <c r="C4825" s="9">
        <f>IF(B4825="","",IFERROR(VLOOKUP(B4825,'Daftar Outlet'!$A$4:$B$22,2,FALSE),""))</f>
        <v/>
      </c>
      <c r="D4825" s="8" t="n"/>
      <c r="E4825" s="6" t="n"/>
      <c r="F4825" s="8" t="n"/>
    </row>
    <row r="4826">
      <c r="A4826" s="7" t="n"/>
      <c r="B4826" s="8" t="n"/>
      <c r="C4826" s="9">
        <f>IF(B4826="","",IFERROR(VLOOKUP(B4826,'Daftar Outlet'!$A$4:$B$22,2,FALSE),""))</f>
        <v/>
      </c>
      <c r="D4826" s="8" t="n"/>
      <c r="E4826" s="6" t="n"/>
      <c r="F4826" s="8" t="n"/>
    </row>
    <row r="4827">
      <c r="A4827" s="7" t="n"/>
      <c r="B4827" s="8" t="n"/>
      <c r="C4827" s="9">
        <f>IF(B4827="","",IFERROR(VLOOKUP(B4827,'Daftar Outlet'!$A$4:$B$22,2,FALSE),""))</f>
        <v/>
      </c>
      <c r="D4827" s="8" t="n"/>
      <c r="E4827" s="6" t="n"/>
      <c r="F4827" s="8" t="n"/>
    </row>
    <row r="4828">
      <c r="A4828" s="7" t="n"/>
      <c r="B4828" s="8" t="n"/>
      <c r="C4828" s="9">
        <f>IF(B4828="","",IFERROR(VLOOKUP(B4828,'Daftar Outlet'!$A$4:$B$22,2,FALSE),""))</f>
        <v/>
      </c>
      <c r="D4828" s="8" t="n"/>
      <c r="E4828" s="6" t="n"/>
      <c r="F4828" s="8" t="n"/>
    </row>
    <row r="4829">
      <c r="A4829" s="7" t="n"/>
      <c r="B4829" s="8" t="n"/>
      <c r="C4829" s="9">
        <f>IF(B4829="","",IFERROR(VLOOKUP(B4829,'Daftar Outlet'!$A$4:$B$22,2,FALSE),""))</f>
        <v/>
      </c>
      <c r="D4829" s="8" t="n"/>
      <c r="E4829" s="6" t="n"/>
      <c r="F4829" s="8" t="n"/>
    </row>
    <row r="4830">
      <c r="A4830" s="7" t="n"/>
      <c r="B4830" s="8" t="n"/>
      <c r="C4830" s="9">
        <f>IF(B4830="","",IFERROR(VLOOKUP(B4830,'Daftar Outlet'!$A$4:$B$22,2,FALSE),""))</f>
        <v/>
      </c>
      <c r="D4830" s="8" t="n"/>
      <c r="E4830" s="6" t="n"/>
      <c r="F4830" s="8" t="n"/>
    </row>
    <row r="4831">
      <c r="A4831" s="7" t="n"/>
      <c r="B4831" s="8" t="n"/>
      <c r="C4831" s="9">
        <f>IF(B4831="","",IFERROR(VLOOKUP(B4831,'Daftar Outlet'!$A$4:$B$22,2,FALSE),""))</f>
        <v/>
      </c>
      <c r="D4831" s="8" t="n"/>
      <c r="E4831" s="6" t="n"/>
      <c r="F4831" s="8" t="n"/>
    </row>
    <row r="4832">
      <c r="A4832" s="7" t="n"/>
      <c r="B4832" s="8" t="n"/>
      <c r="C4832" s="9">
        <f>IF(B4832="","",IFERROR(VLOOKUP(B4832,'Daftar Outlet'!$A$4:$B$22,2,FALSE),""))</f>
        <v/>
      </c>
      <c r="D4832" s="8" t="n"/>
      <c r="E4832" s="6" t="n"/>
      <c r="F4832" s="8" t="n"/>
    </row>
    <row r="4833">
      <c r="A4833" s="7" t="n"/>
      <c r="B4833" s="8" t="n"/>
      <c r="C4833" s="9">
        <f>IF(B4833="","",IFERROR(VLOOKUP(B4833,'Daftar Outlet'!$A$4:$B$22,2,FALSE),""))</f>
        <v/>
      </c>
      <c r="D4833" s="8" t="n"/>
      <c r="E4833" s="6" t="n"/>
      <c r="F4833" s="8" t="n"/>
    </row>
    <row r="4834">
      <c r="A4834" s="7" t="n"/>
      <c r="B4834" s="8" t="n"/>
      <c r="C4834" s="9">
        <f>IF(B4834="","",IFERROR(VLOOKUP(B4834,'Daftar Outlet'!$A$4:$B$22,2,FALSE),""))</f>
        <v/>
      </c>
      <c r="D4834" s="8" t="n"/>
      <c r="E4834" s="6" t="n"/>
      <c r="F4834" s="8" t="n"/>
    </row>
    <row r="4835">
      <c r="A4835" s="7" t="n"/>
      <c r="B4835" s="8" t="n"/>
      <c r="C4835" s="9">
        <f>IF(B4835="","",IFERROR(VLOOKUP(B4835,'Daftar Outlet'!$A$4:$B$22,2,FALSE),""))</f>
        <v/>
      </c>
      <c r="D4835" s="8" t="n"/>
      <c r="E4835" s="6" t="n"/>
      <c r="F4835" s="8" t="n"/>
    </row>
    <row r="4836">
      <c r="A4836" s="7" t="n"/>
      <c r="B4836" s="8" t="n"/>
      <c r="C4836" s="9">
        <f>IF(B4836="","",IFERROR(VLOOKUP(B4836,'Daftar Outlet'!$A$4:$B$22,2,FALSE),""))</f>
        <v/>
      </c>
      <c r="D4836" s="8" t="n"/>
      <c r="E4836" s="6" t="n"/>
      <c r="F4836" s="8" t="n"/>
    </row>
    <row r="4837">
      <c r="A4837" s="7" t="n"/>
      <c r="B4837" s="8" t="n"/>
      <c r="C4837" s="9">
        <f>IF(B4837="","",IFERROR(VLOOKUP(B4837,'Daftar Outlet'!$A$4:$B$22,2,FALSE),""))</f>
        <v/>
      </c>
      <c r="D4837" s="8" t="n"/>
      <c r="E4837" s="6" t="n"/>
      <c r="F4837" s="8" t="n"/>
    </row>
    <row r="4838">
      <c r="A4838" s="7" t="n"/>
      <c r="B4838" s="8" t="n"/>
      <c r="C4838" s="9">
        <f>IF(B4838="","",IFERROR(VLOOKUP(B4838,'Daftar Outlet'!$A$4:$B$22,2,FALSE),""))</f>
        <v/>
      </c>
      <c r="D4838" s="8" t="n"/>
      <c r="E4838" s="6" t="n"/>
      <c r="F4838" s="8" t="n"/>
    </row>
    <row r="4839">
      <c r="A4839" s="7" t="n"/>
      <c r="B4839" s="8" t="n"/>
      <c r="C4839" s="9">
        <f>IF(B4839="","",IFERROR(VLOOKUP(B4839,'Daftar Outlet'!$A$4:$B$22,2,FALSE),""))</f>
        <v/>
      </c>
      <c r="D4839" s="8" t="n"/>
      <c r="E4839" s="6" t="n"/>
      <c r="F4839" s="8" t="n"/>
    </row>
    <row r="4840">
      <c r="A4840" s="7" t="n"/>
      <c r="B4840" s="8" t="n"/>
      <c r="C4840" s="9">
        <f>IF(B4840="","",IFERROR(VLOOKUP(B4840,'Daftar Outlet'!$A$4:$B$22,2,FALSE),""))</f>
        <v/>
      </c>
      <c r="D4840" s="8" t="n"/>
      <c r="E4840" s="6" t="n"/>
      <c r="F4840" s="8" t="n"/>
    </row>
    <row r="4841">
      <c r="A4841" s="7" t="n"/>
      <c r="B4841" s="8" t="n"/>
      <c r="C4841" s="9">
        <f>IF(B4841="","",IFERROR(VLOOKUP(B4841,'Daftar Outlet'!$A$4:$B$22,2,FALSE),""))</f>
        <v/>
      </c>
      <c r="D4841" s="8" t="n"/>
      <c r="E4841" s="6" t="n"/>
      <c r="F4841" s="8" t="n"/>
    </row>
    <row r="4842">
      <c r="A4842" s="7" t="n"/>
      <c r="B4842" s="8" t="n"/>
      <c r="C4842" s="9">
        <f>IF(B4842="","",IFERROR(VLOOKUP(B4842,'Daftar Outlet'!$A$4:$B$22,2,FALSE),""))</f>
        <v/>
      </c>
      <c r="D4842" s="8" t="n"/>
      <c r="E4842" s="6" t="n"/>
      <c r="F4842" s="8" t="n"/>
    </row>
    <row r="4843">
      <c r="A4843" s="7" t="n"/>
      <c r="B4843" s="8" t="n"/>
      <c r="C4843" s="9">
        <f>IF(B4843="","",IFERROR(VLOOKUP(B4843,'Daftar Outlet'!$A$4:$B$22,2,FALSE),""))</f>
        <v/>
      </c>
      <c r="D4843" s="8" t="n"/>
      <c r="E4843" s="6" t="n"/>
      <c r="F4843" s="8" t="n"/>
    </row>
    <row r="4844">
      <c r="A4844" s="7" t="n"/>
      <c r="B4844" s="8" t="n"/>
      <c r="C4844" s="9">
        <f>IF(B4844="","",IFERROR(VLOOKUP(B4844,'Daftar Outlet'!$A$4:$B$22,2,FALSE),""))</f>
        <v/>
      </c>
      <c r="D4844" s="8" t="n"/>
      <c r="E4844" s="6" t="n"/>
      <c r="F4844" s="8" t="n"/>
    </row>
    <row r="4845">
      <c r="A4845" s="7" t="n"/>
      <c r="B4845" s="8" t="n"/>
      <c r="C4845" s="9">
        <f>IF(B4845="","",IFERROR(VLOOKUP(B4845,'Daftar Outlet'!$A$4:$B$22,2,FALSE),""))</f>
        <v/>
      </c>
      <c r="D4845" s="8" t="n"/>
      <c r="E4845" s="6" t="n"/>
      <c r="F4845" s="8" t="n"/>
    </row>
    <row r="4846">
      <c r="A4846" s="7" t="n"/>
      <c r="B4846" s="8" t="n"/>
      <c r="C4846" s="9">
        <f>IF(B4846="","",IFERROR(VLOOKUP(B4846,'Daftar Outlet'!$A$4:$B$22,2,FALSE),""))</f>
        <v/>
      </c>
      <c r="D4846" s="8" t="n"/>
      <c r="E4846" s="6" t="n"/>
      <c r="F4846" s="8" t="n"/>
    </row>
    <row r="4847">
      <c r="A4847" s="7" t="n"/>
      <c r="B4847" s="8" t="n"/>
      <c r="C4847" s="9">
        <f>IF(B4847="","",IFERROR(VLOOKUP(B4847,'Daftar Outlet'!$A$4:$B$22,2,FALSE),""))</f>
        <v/>
      </c>
      <c r="D4847" s="8" t="n"/>
      <c r="E4847" s="6" t="n"/>
      <c r="F4847" s="8" t="n"/>
    </row>
    <row r="4848">
      <c r="A4848" s="7" t="n"/>
      <c r="B4848" s="8" t="n"/>
      <c r="C4848" s="9">
        <f>IF(B4848="","",IFERROR(VLOOKUP(B4848,'Daftar Outlet'!$A$4:$B$22,2,FALSE),""))</f>
        <v/>
      </c>
      <c r="D4848" s="8" t="n"/>
      <c r="E4848" s="6" t="n"/>
      <c r="F4848" s="8" t="n"/>
    </row>
    <row r="4849">
      <c r="A4849" s="7" t="n"/>
      <c r="B4849" s="8" t="n"/>
      <c r="C4849" s="9">
        <f>IF(B4849="","",IFERROR(VLOOKUP(B4849,'Daftar Outlet'!$A$4:$B$22,2,FALSE),""))</f>
        <v/>
      </c>
      <c r="D4849" s="8" t="n"/>
      <c r="E4849" s="6" t="n"/>
      <c r="F4849" s="8" t="n"/>
    </row>
    <row r="4850">
      <c r="A4850" s="7" t="n"/>
      <c r="B4850" s="8" t="n"/>
      <c r="C4850" s="9">
        <f>IF(B4850="","",IFERROR(VLOOKUP(B4850,'Daftar Outlet'!$A$4:$B$22,2,FALSE),""))</f>
        <v/>
      </c>
      <c r="D4850" s="8" t="n"/>
      <c r="E4850" s="6" t="n"/>
      <c r="F4850" s="8" t="n"/>
    </row>
    <row r="4851">
      <c r="A4851" s="7" t="n"/>
      <c r="B4851" s="8" t="n"/>
      <c r="C4851" s="9">
        <f>IF(B4851="","",IFERROR(VLOOKUP(B4851,'Daftar Outlet'!$A$4:$B$22,2,FALSE),""))</f>
        <v/>
      </c>
      <c r="D4851" s="8" t="n"/>
      <c r="E4851" s="6" t="n"/>
      <c r="F4851" s="8" t="n"/>
    </row>
    <row r="4852">
      <c r="A4852" s="7" t="n"/>
      <c r="B4852" s="8" t="n"/>
      <c r="C4852" s="9">
        <f>IF(B4852="","",IFERROR(VLOOKUP(B4852,'Daftar Outlet'!$A$4:$B$22,2,FALSE),""))</f>
        <v/>
      </c>
      <c r="D4852" s="8" t="n"/>
      <c r="E4852" s="6" t="n"/>
      <c r="F4852" s="8" t="n"/>
    </row>
    <row r="4853">
      <c r="A4853" s="7" t="n"/>
      <c r="B4853" s="8" t="n"/>
      <c r="C4853" s="9">
        <f>IF(B4853="","",IFERROR(VLOOKUP(B4853,'Daftar Outlet'!$A$4:$B$22,2,FALSE),""))</f>
        <v/>
      </c>
      <c r="D4853" s="8" t="n"/>
      <c r="E4853" s="6" t="n"/>
      <c r="F4853" s="8" t="n"/>
    </row>
    <row r="4854">
      <c r="A4854" s="7" t="n"/>
      <c r="B4854" s="8" t="n"/>
      <c r="C4854" s="9">
        <f>IF(B4854="","",IFERROR(VLOOKUP(B4854,'Daftar Outlet'!$A$4:$B$22,2,FALSE),""))</f>
        <v/>
      </c>
      <c r="D4854" s="8" t="n"/>
      <c r="E4854" s="6" t="n"/>
      <c r="F4854" s="8" t="n"/>
    </row>
    <row r="4855">
      <c r="A4855" s="7" t="n"/>
      <c r="B4855" s="8" t="n"/>
      <c r="C4855" s="9">
        <f>IF(B4855="","",IFERROR(VLOOKUP(B4855,'Daftar Outlet'!$A$4:$B$22,2,FALSE),""))</f>
        <v/>
      </c>
      <c r="D4855" s="8" t="n"/>
      <c r="E4855" s="6" t="n"/>
      <c r="F4855" s="8" t="n"/>
    </row>
    <row r="4856">
      <c r="A4856" s="7" t="n"/>
      <c r="B4856" s="8" t="n"/>
      <c r="C4856" s="9">
        <f>IF(B4856="","",IFERROR(VLOOKUP(B4856,'Daftar Outlet'!$A$4:$B$22,2,FALSE),""))</f>
        <v/>
      </c>
      <c r="D4856" s="8" t="n"/>
      <c r="E4856" s="6" t="n"/>
      <c r="F4856" s="8" t="n"/>
    </row>
    <row r="4857">
      <c r="A4857" s="7" t="n"/>
      <c r="B4857" s="8" t="n"/>
      <c r="C4857" s="9">
        <f>IF(B4857="","",IFERROR(VLOOKUP(B4857,'Daftar Outlet'!$A$4:$B$22,2,FALSE),""))</f>
        <v/>
      </c>
      <c r="D4857" s="8" t="n"/>
      <c r="E4857" s="6" t="n"/>
      <c r="F4857" s="8" t="n"/>
    </row>
    <row r="4858">
      <c r="A4858" s="7" t="n"/>
      <c r="B4858" s="8" t="n"/>
      <c r="C4858" s="9">
        <f>IF(B4858="","",IFERROR(VLOOKUP(B4858,'Daftar Outlet'!$A$4:$B$22,2,FALSE),""))</f>
        <v/>
      </c>
      <c r="D4858" s="8" t="n"/>
      <c r="E4858" s="6" t="n"/>
      <c r="F4858" s="8" t="n"/>
    </row>
    <row r="4859">
      <c r="A4859" s="7" t="n"/>
      <c r="B4859" s="8" t="n"/>
      <c r="C4859" s="9">
        <f>IF(B4859="","",IFERROR(VLOOKUP(B4859,'Daftar Outlet'!$A$4:$B$22,2,FALSE),""))</f>
        <v/>
      </c>
      <c r="D4859" s="8" t="n"/>
      <c r="E4859" s="6" t="n"/>
      <c r="F4859" s="8" t="n"/>
    </row>
    <row r="4860">
      <c r="A4860" s="7" t="n"/>
      <c r="B4860" s="8" t="n"/>
      <c r="C4860" s="9">
        <f>IF(B4860="","",IFERROR(VLOOKUP(B4860,'Daftar Outlet'!$A$4:$B$22,2,FALSE),""))</f>
        <v/>
      </c>
      <c r="D4860" s="8" t="n"/>
      <c r="E4860" s="6" t="n"/>
      <c r="F4860" s="8" t="n"/>
    </row>
    <row r="4861">
      <c r="A4861" s="7" t="n"/>
      <c r="B4861" s="8" t="n"/>
      <c r="C4861" s="9">
        <f>IF(B4861="","",IFERROR(VLOOKUP(B4861,'Daftar Outlet'!$A$4:$B$22,2,FALSE),""))</f>
        <v/>
      </c>
      <c r="D4861" s="8" t="n"/>
      <c r="E4861" s="6" t="n"/>
      <c r="F4861" s="8" t="n"/>
    </row>
    <row r="4862">
      <c r="A4862" s="7" t="n"/>
      <c r="B4862" s="8" t="n"/>
      <c r="C4862" s="9">
        <f>IF(B4862="","",IFERROR(VLOOKUP(B4862,'Daftar Outlet'!$A$4:$B$22,2,FALSE),""))</f>
        <v/>
      </c>
      <c r="D4862" s="8" t="n"/>
      <c r="E4862" s="6" t="n"/>
      <c r="F4862" s="8" t="n"/>
    </row>
    <row r="4863">
      <c r="A4863" s="7" t="n"/>
      <c r="B4863" s="8" t="n"/>
      <c r="C4863" s="9">
        <f>IF(B4863="","",IFERROR(VLOOKUP(B4863,'Daftar Outlet'!$A$4:$B$22,2,FALSE),""))</f>
        <v/>
      </c>
      <c r="D4863" s="8" t="n"/>
      <c r="E4863" s="6" t="n"/>
      <c r="F4863" s="8" t="n"/>
    </row>
    <row r="4864">
      <c r="A4864" s="7" t="n"/>
      <c r="B4864" s="8" t="n"/>
      <c r="C4864" s="9">
        <f>IF(B4864="","",IFERROR(VLOOKUP(B4864,'Daftar Outlet'!$A$4:$B$22,2,FALSE),""))</f>
        <v/>
      </c>
      <c r="D4864" s="8" t="n"/>
      <c r="E4864" s="6" t="n"/>
      <c r="F4864" s="8" t="n"/>
    </row>
    <row r="4865">
      <c r="A4865" s="7" t="n"/>
      <c r="B4865" s="8" t="n"/>
      <c r="C4865" s="9">
        <f>IF(B4865="","",IFERROR(VLOOKUP(B4865,'Daftar Outlet'!$A$4:$B$22,2,FALSE),""))</f>
        <v/>
      </c>
      <c r="D4865" s="8" t="n"/>
      <c r="E4865" s="6" t="n"/>
      <c r="F4865" s="8" t="n"/>
    </row>
    <row r="4866">
      <c r="A4866" s="7" t="n"/>
      <c r="B4866" s="8" t="n"/>
      <c r="C4866" s="9">
        <f>IF(B4866="","",IFERROR(VLOOKUP(B4866,'Daftar Outlet'!$A$4:$B$22,2,FALSE),""))</f>
        <v/>
      </c>
      <c r="D4866" s="8" t="n"/>
      <c r="E4866" s="6" t="n"/>
      <c r="F4866" s="8" t="n"/>
    </row>
    <row r="4867">
      <c r="A4867" s="7" t="n"/>
      <c r="B4867" s="8" t="n"/>
      <c r="C4867" s="9">
        <f>IF(B4867="","",IFERROR(VLOOKUP(B4867,'Daftar Outlet'!$A$4:$B$22,2,FALSE),""))</f>
        <v/>
      </c>
      <c r="D4867" s="8" t="n"/>
      <c r="E4867" s="6" t="n"/>
      <c r="F4867" s="8" t="n"/>
    </row>
    <row r="4868">
      <c r="A4868" s="7" t="n"/>
      <c r="B4868" s="8" t="n"/>
      <c r="C4868" s="9">
        <f>IF(B4868="","",IFERROR(VLOOKUP(B4868,'Daftar Outlet'!$A$4:$B$22,2,FALSE),""))</f>
        <v/>
      </c>
      <c r="D4868" s="8" t="n"/>
      <c r="E4868" s="6" t="n"/>
      <c r="F4868" s="8" t="n"/>
    </row>
    <row r="4869">
      <c r="A4869" s="7" t="n"/>
      <c r="B4869" s="8" t="n"/>
      <c r="C4869" s="9">
        <f>IF(B4869="","",IFERROR(VLOOKUP(B4869,'Daftar Outlet'!$A$4:$B$22,2,FALSE),""))</f>
        <v/>
      </c>
      <c r="D4869" s="8" t="n"/>
      <c r="E4869" s="6" t="n"/>
      <c r="F4869" s="8" t="n"/>
    </row>
    <row r="4870">
      <c r="A4870" s="7" t="n"/>
      <c r="B4870" s="8" t="n"/>
      <c r="C4870" s="9">
        <f>IF(B4870="","",IFERROR(VLOOKUP(B4870,'Daftar Outlet'!$A$4:$B$22,2,FALSE),""))</f>
        <v/>
      </c>
      <c r="D4870" s="8" t="n"/>
      <c r="E4870" s="6" t="n"/>
      <c r="F4870" s="8" t="n"/>
    </row>
    <row r="4871">
      <c r="A4871" s="7" t="n"/>
      <c r="B4871" s="8" t="n"/>
      <c r="C4871" s="9">
        <f>IF(B4871="","",IFERROR(VLOOKUP(B4871,'Daftar Outlet'!$A$4:$B$22,2,FALSE),""))</f>
        <v/>
      </c>
      <c r="D4871" s="8" t="n"/>
      <c r="E4871" s="6" t="n"/>
      <c r="F4871" s="8" t="n"/>
    </row>
    <row r="4872">
      <c r="A4872" s="7" t="n"/>
      <c r="B4872" s="8" t="n"/>
      <c r="C4872" s="9">
        <f>IF(B4872="","",IFERROR(VLOOKUP(B4872,'Daftar Outlet'!$A$4:$B$22,2,FALSE),""))</f>
        <v/>
      </c>
      <c r="D4872" s="8" t="n"/>
      <c r="E4872" s="6" t="n"/>
      <c r="F4872" s="8" t="n"/>
    </row>
    <row r="4873">
      <c r="A4873" s="7" t="n"/>
      <c r="B4873" s="8" t="n"/>
      <c r="C4873" s="9">
        <f>IF(B4873="","",IFERROR(VLOOKUP(B4873,'Daftar Outlet'!$A$4:$B$22,2,FALSE),""))</f>
        <v/>
      </c>
      <c r="D4873" s="8" t="n"/>
      <c r="E4873" s="6" t="n"/>
      <c r="F4873" s="8" t="n"/>
    </row>
    <row r="4874">
      <c r="A4874" s="7" t="n"/>
      <c r="B4874" s="8" t="n"/>
      <c r="C4874" s="9">
        <f>IF(B4874="","",IFERROR(VLOOKUP(B4874,'Daftar Outlet'!$A$4:$B$22,2,FALSE),""))</f>
        <v/>
      </c>
      <c r="D4874" s="8" t="n"/>
      <c r="E4874" s="6" t="n"/>
      <c r="F4874" s="8" t="n"/>
    </row>
    <row r="4875">
      <c r="A4875" s="7" t="n"/>
      <c r="B4875" s="8" t="n"/>
      <c r="C4875" s="9">
        <f>IF(B4875="","",IFERROR(VLOOKUP(B4875,'Daftar Outlet'!$A$4:$B$22,2,FALSE),""))</f>
        <v/>
      </c>
      <c r="D4875" s="8" t="n"/>
      <c r="E4875" s="6" t="n"/>
      <c r="F4875" s="8" t="n"/>
    </row>
    <row r="4876">
      <c r="A4876" s="7" t="n"/>
      <c r="B4876" s="8" t="n"/>
      <c r="C4876" s="9">
        <f>IF(B4876="","",IFERROR(VLOOKUP(B4876,'Daftar Outlet'!$A$4:$B$22,2,FALSE),""))</f>
        <v/>
      </c>
      <c r="D4876" s="8" t="n"/>
      <c r="E4876" s="6" t="n"/>
      <c r="F4876" s="8" t="n"/>
    </row>
    <row r="4877">
      <c r="A4877" s="7" t="n"/>
      <c r="B4877" s="8" t="n"/>
      <c r="C4877" s="9">
        <f>IF(B4877="","",IFERROR(VLOOKUP(B4877,'Daftar Outlet'!$A$4:$B$22,2,FALSE),""))</f>
        <v/>
      </c>
      <c r="D4877" s="8" t="n"/>
      <c r="E4877" s="6" t="n"/>
      <c r="F4877" s="8" t="n"/>
    </row>
    <row r="4878">
      <c r="A4878" s="7" t="n"/>
      <c r="B4878" s="8" t="n"/>
      <c r="C4878" s="9">
        <f>IF(B4878="","",IFERROR(VLOOKUP(B4878,'Daftar Outlet'!$A$4:$B$22,2,FALSE),""))</f>
        <v/>
      </c>
      <c r="D4878" s="8" t="n"/>
      <c r="E4878" s="6" t="n"/>
      <c r="F4878" s="8" t="n"/>
    </row>
    <row r="4879">
      <c r="A4879" s="7" t="n"/>
      <c r="B4879" s="8" t="n"/>
      <c r="C4879" s="9">
        <f>IF(B4879="","",IFERROR(VLOOKUP(B4879,'Daftar Outlet'!$A$4:$B$22,2,FALSE),""))</f>
        <v/>
      </c>
      <c r="D4879" s="8" t="n"/>
      <c r="E4879" s="6" t="n"/>
      <c r="F4879" s="8" t="n"/>
    </row>
    <row r="4880">
      <c r="A4880" s="7" t="n"/>
      <c r="B4880" s="8" t="n"/>
      <c r="C4880" s="9">
        <f>IF(B4880="","",IFERROR(VLOOKUP(B4880,'Daftar Outlet'!$A$4:$B$22,2,FALSE),""))</f>
        <v/>
      </c>
      <c r="D4880" s="8" t="n"/>
      <c r="E4880" s="6" t="n"/>
      <c r="F4880" s="8" t="n"/>
    </row>
    <row r="4881">
      <c r="A4881" s="7" t="n"/>
      <c r="B4881" s="8" t="n"/>
      <c r="C4881" s="9">
        <f>IF(B4881="","",IFERROR(VLOOKUP(B4881,'Daftar Outlet'!$A$4:$B$22,2,FALSE),""))</f>
        <v/>
      </c>
      <c r="D4881" s="8" t="n"/>
      <c r="E4881" s="6" t="n"/>
      <c r="F4881" s="8" t="n"/>
    </row>
    <row r="4882">
      <c r="A4882" s="7" t="n"/>
      <c r="B4882" s="8" t="n"/>
      <c r="C4882" s="9">
        <f>IF(B4882="","",IFERROR(VLOOKUP(B4882,'Daftar Outlet'!$A$4:$B$22,2,FALSE),""))</f>
        <v/>
      </c>
      <c r="D4882" s="8" t="n"/>
      <c r="E4882" s="6" t="n"/>
      <c r="F4882" s="8" t="n"/>
    </row>
    <row r="4883">
      <c r="A4883" s="7" t="n"/>
      <c r="B4883" s="8" t="n"/>
      <c r="C4883" s="9">
        <f>IF(B4883="","",IFERROR(VLOOKUP(B4883,'Daftar Outlet'!$A$4:$B$22,2,FALSE),""))</f>
        <v/>
      </c>
      <c r="D4883" s="8" t="n"/>
      <c r="E4883" s="6" t="n"/>
      <c r="F4883" s="8" t="n"/>
    </row>
    <row r="4884">
      <c r="A4884" s="7" t="n"/>
      <c r="B4884" s="8" t="n"/>
      <c r="C4884" s="9">
        <f>IF(B4884="","",IFERROR(VLOOKUP(B4884,'Daftar Outlet'!$A$4:$B$22,2,FALSE),""))</f>
        <v/>
      </c>
      <c r="D4884" s="8" t="n"/>
      <c r="E4884" s="6" t="n"/>
      <c r="F4884" s="8" t="n"/>
    </row>
    <row r="4885">
      <c r="A4885" s="7" t="n"/>
      <c r="B4885" s="8" t="n"/>
      <c r="C4885" s="9">
        <f>IF(B4885="","",IFERROR(VLOOKUP(B4885,'Daftar Outlet'!$A$4:$B$22,2,FALSE),""))</f>
        <v/>
      </c>
      <c r="D4885" s="8" t="n"/>
      <c r="E4885" s="6" t="n"/>
      <c r="F4885" s="8" t="n"/>
    </row>
    <row r="4886">
      <c r="A4886" s="7" t="n"/>
      <c r="B4886" s="8" t="n"/>
      <c r="C4886" s="9">
        <f>IF(B4886="","",IFERROR(VLOOKUP(B4886,'Daftar Outlet'!$A$4:$B$22,2,FALSE),""))</f>
        <v/>
      </c>
      <c r="D4886" s="8" t="n"/>
      <c r="E4886" s="6" t="n"/>
      <c r="F4886" s="8" t="n"/>
    </row>
    <row r="4887">
      <c r="A4887" s="7" t="n"/>
      <c r="B4887" s="8" t="n"/>
      <c r="C4887" s="9">
        <f>IF(B4887="","",IFERROR(VLOOKUP(B4887,'Daftar Outlet'!$A$4:$B$22,2,FALSE),""))</f>
        <v/>
      </c>
      <c r="D4887" s="8" t="n"/>
      <c r="E4887" s="6" t="n"/>
      <c r="F4887" s="8" t="n"/>
    </row>
    <row r="4888">
      <c r="A4888" s="7" t="n"/>
      <c r="B4888" s="8" t="n"/>
      <c r="C4888" s="9">
        <f>IF(B4888="","",IFERROR(VLOOKUP(B4888,'Daftar Outlet'!$A$4:$B$22,2,FALSE),""))</f>
        <v/>
      </c>
      <c r="D4888" s="8" t="n"/>
      <c r="E4888" s="6" t="n"/>
      <c r="F4888" s="8" t="n"/>
    </row>
    <row r="4889">
      <c r="A4889" s="7" t="n"/>
      <c r="B4889" s="8" t="n"/>
      <c r="C4889" s="9">
        <f>IF(B4889="","",IFERROR(VLOOKUP(B4889,'Daftar Outlet'!$A$4:$B$22,2,FALSE),""))</f>
        <v/>
      </c>
      <c r="D4889" s="8" t="n"/>
      <c r="E4889" s="6" t="n"/>
      <c r="F4889" s="8" t="n"/>
    </row>
    <row r="4890">
      <c r="A4890" s="7" t="n"/>
      <c r="B4890" s="8" t="n"/>
      <c r="C4890" s="9">
        <f>IF(B4890="","",IFERROR(VLOOKUP(B4890,'Daftar Outlet'!$A$4:$B$22,2,FALSE),""))</f>
        <v/>
      </c>
      <c r="D4890" s="8" t="n"/>
      <c r="E4890" s="6" t="n"/>
      <c r="F4890" s="8" t="n"/>
    </row>
    <row r="4891">
      <c r="A4891" s="7" t="n"/>
      <c r="B4891" s="8" t="n"/>
      <c r="C4891" s="9">
        <f>IF(B4891="","",IFERROR(VLOOKUP(B4891,'Daftar Outlet'!$A$4:$B$22,2,FALSE),""))</f>
        <v/>
      </c>
      <c r="D4891" s="8" t="n"/>
      <c r="E4891" s="6" t="n"/>
      <c r="F4891" s="8" t="n"/>
    </row>
    <row r="4892">
      <c r="A4892" s="7" t="n"/>
      <c r="B4892" s="8" t="n"/>
      <c r="C4892" s="9">
        <f>IF(B4892="","",IFERROR(VLOOKUP(B4892,'Daftar Outlet'!$A$4:$B$22,2,FALSE),""))</f>
        <v/>
      </c>
      <c r="D4892" s="8" t="n"/>
      <c r="E4892" s="6" t="n"/>
      <c r="F4892" s="8" t="n"/>
    </row>
    <row r="4893">
      <c r="A4893" s="7" t="n"/>
      <c r="B4893" s="8" t="n"/>
      <c r="C4893" s="9">
        <f>IF(B4893="","",IFERROR(VLOOKUP(B4893,'Daftar Outlet'!$A$4:$B$22,2,FALSE),""))</f>
        <v/>
      </c>
      <c r="D4893" s="8" t="n"/>
      <c r="E4893" s="6" t="n"/>
      <c r="F4893" s="8" t="n"/>
    </row>
    <row r="4894">
      <c r="A4894" s="7" t="n"/>
      <c r="B4894" s="8" t="n"/>
      <c r="C4894" s="9">
        <f>IF(B4894="","",IFERROR(VLOOKUP(B4894,'Daftar Outlet'!$A$4:$B$22,2,FALSE),""))</f>
        <v/>
      </c>
      <c r="D4894" s="8" t="n"/>
      <c r="E4894" s="6" t="n"/>
      <c r="F4894" s="8" t="n"/>
    </row>
    <row r="4895">
      <c r="A4895" s="7" t="n"/>
      <c r="B4895" s="8" t="n"/>
      <c r="C4895" s="9">
        <f>IF(B4895="","",IFERROR(VLOOKUP(B4895,'Daftar Outlet'!$A$4:$B$22,2,FALSE),""))</f>
        <v/>
      </c>
      <c r="D4895" s="8" t="n"/>
      <c r="E4895" s="6" t="n"/>
      <c r="F4895" s="8" t="n"/>
    </row>
    <row r="4896">
      <c r="A4896" s="7" t="n"/>
      <c r="B4896" s="8" t="n"/>
      <c r="C4896" s="9">
        <f>IF(B4896="","",IFERROR(VLOOKUP(B4896,'Daftar Outlet'!$A$4:$B$22,2,FALSE),""))</f>
        <v/>
      </c>
      <c r="D4896" s="8" t="n"/>
      <c r="E4896" s="6" t="n"/>
      <c r="F4896" s="8" t="n"/>
    </row>
    <row r="4897">
      <c r="A4897" s="7" t="n"/>
      <c r="B4897" s="8" t="n"/>
      <c r="C4897" s="9">
        <f>IF(B4897="","",IFERROR(VLOOKUP(B4897,'Daftar Outlet'!$A$4:$B$22,2,FALSE),""))</f>
        <v/>
      </c>
      <c r="D4897" s="8" t="n"/>
      <c r="E4897" s="6" t="n"/>
      <c r="F4897" s="8" t="n"/>
    </row>
    <row r="4898">
      <c r="A4898" s="7" t="n"/>
      <c r="B4898" s="8" t="n"/>
      <c r="C4898" s="9">
        <f>IF(B4898="","",IFERROR(VLOOKUP(B4898,'Daftar Outlet'!$A$4:$B$22,2,FALSE),""))</f>
        <v/>
      </c>
      <c r="D4898" s="8" t="n"/>
      <c r="E4898" s="6" t="n"/>
      <c r="F4898" s="8" t="n"/>
    </row>
    <row r="4899">
      <c r="A4899" s="7" t="n"/>
      <c r="B4899" s="8" t="n"/>
      <c r="C4899" s="9">
        <f>IF(B4899="","",IFERROR(VLOOKUP(B4899,'Daftar Outlet'!$A$4:$B$22,2,FALSE),""))</f>
        <v/>
      </c>
      <c r="D4899" s="8" t="n"/>
      <c r="E4899" s="6" t="n"/>
      <c r="F4899" s="8" t="n"/>
    </row>
    <row r="4900">
      <c r="A4900" s="7" t="n"/>
      <c r="B4900" s="8" t="n"/>
      <c r="C4900" s="9">
        <f>IF(B4900="","",IFERROR(VLOOKUP(B4900,'Daftar Outlet'!$A$4:$B$22,2,FALSE),""))</f>
        <v/>
      </c>
      <c r="D4900" s="8" t="n"/>
      <c r="E4900" s="6" t="n"/>
      <c r="F4900" s="8" t="n"/>
    </row>
    <row r="4901">
      <c r="A4901" s="7" t="n"/>
      <c r="B4901" s="8" t="n"/>
      <c r="C4901" s="9">
        <f>IF(B4901="","",IFERROR(VLOOKUP(B4901,'Daftar Outlet'!$A$4:$B$22,2,FALSE),""))</f>
        <v/>
      </c>
      <c r="D4901" s="8" t="n"/>
      <c r="E4901" s="6" t="n"/>
      <c r="F4901" s="8" t="n"/>
    </row>
    <row r="4902">
      <c r="A4902" s="7" t="n"/>
      <c r="B4902" s="8" t="n"/>
      <c r="C4902" s="9">
        <f>IF(B4902="","",IFERROR(VLOOKUP(B4902,'Daftar Outlet'!$A$4:$B$22,2,FALSE),""))</f>
        <v/>
      </c>
      <c r="D4902" s="8" t="n"/>
      <c r="E4902" s="6" t="n"/>
      <c r="F4902" s="8" t="n"/>
    </row>
    <row r="4903">
      <c r="A4903" s="7" t="n"/>
      <c r="B4903" s="8" t="n"/>
      <c r="C4903" s="9">
        <f>IF(B4903="","",IFERROR(VLOOKUP(B4903,'Daftar Outlet'!$A$4:$B$22,2,FALSE),""))</f>
        <v/>
      </c>
      <c r="D4903" s="8" t="n"/>
      <c r="E4903" s="6" t="n"/>
      <c r="F4903" s="8" t="n"/>
    </row>
    <row r="4904">
      <c r="A4904" s="7" t="n"/>
      <c r="B4904" s="8" t="n"/>
      <c r="C4904" s="9">
        <f>IF(B4904="","",IFERROR(VLOOKUP(B4904,'Daftar Outlet'!$A$4:$B$22,2,FALSE),""))</f>
        <v/>
      </c>
      <c r="D4904" s="8" t="n"/>
      <c r="E4904" s="6" t="n"/>
      <c r="F4904" s="8" t="n"/>
    </row>
    <row r="4905">
      <c r="A4905" s="7" t="n"/>
      <c r="B4905" s="8" t="n"/>
      <c r="C4905" s="9">
        <f>IF(B4905="","",IFERROR(VLOOKUP(B4905,'Daftar Outlet'!$A$4:$B$22,2,FALSE),""))</f>
        <v/>
      </c>
      <c r="D4905" s="8" t="n"/>
      <c r="E4905" s="6" t="n"/>
      <c r="F4905" s="8" t="n"/>
    </row>
    <row r="4906">
      <c r="A4906" s="7" t="n"/>
      <c r="B4906" s="8" t="n"/>
      <c r="C4906" s="9">
        <f>IF(B4906="","",IFERROR(VLOOKUP(B4906,'Daftar Outlet'!$A$4:$B$22,2,FALSE),""))</f>
        <v/>
      </c>
      <c r="D4906" s="8" t="n"/>
      <c r="E4906" s="6" t="n"/>
      <c r="F4906" s="8" t="n"/>
    </row>
    <row r="4907">
      <c r="A4907" s="7" t="n"/>
      <c r="B4907" s="8" t="n"/>
      <c r="C4907" s="9">
        <f>IF(B4907="","",IFERROR(VLOOKUP(B4907,'Daftar Outlet'!$A$4:$B$22,2,FALSE),""))</f>
        <v/>
      </c>
      <c r="D4907" s="8" t="n"/>
      <c r="E4907" s="6" t="n"/>
      <c r="F4907" s="8" t="n"/>
    </row>
    <row r="4908">
      <c r="A4908" s="7" t="n"/>
      <c r="B4908" s="8" t="n"/>
      <c r="C4908" s="9">
        <f>IF(B4908="","",IFERROR(VLOOKUP(B4908,'Daftar Outlet'!$A$4:$B$22,2,FALSE),""))</f>
        <v/>
      </c>
      <c r="D4908" s="8" t="n"/>
      <c r="E4908" s="6" t="n"/>
      <c r="F4908" s="8" t="n"/>
    </row>
    <row r="4909">
      <c r="A4909" s="7" t="n"/>
      <c r="B4909" s="8" t="n"/>
      <c r="C4909" s="9">
        <f>IF(B4909="","",IFERROR(VLOOKUP(B4909,'Daftar Outlet'!$A$4:$B$22,2,FALSE),""))</f>
        <v/>
      </c>
      <c r="D4909" s="8" t="n"/>
      <c r="E4909" s="6" t="n"/>
      <c r="F4909" s="8" t="n"/>
    </row>
    <row r="4910">
      <c r="A4910" s="7" t="n"/>
      <c r="B4910" s="8" t="n"/>
      <c r="C4910" s="9">
        <f>IF(B4910="","",IFERROR(VLOOKUP(B4910,'Daftar Outlet'!$A$4:$B$22,2,FALSE),""))</f>
        <v/>
      </c>
      <c r="D4910" s="8" t="n"/>
      <c r="E4910" s="6" t="n"/>
      <c r="F4910" s="8" t="n"/>
    </row>
    <row r="4911">
      <c r="A4911" s="7" t="n"/>
      <c r="B4911" s="8" t="n"/>
      <c r="C4911" s="9">
        <f>IF(B4911="","",IFERROR(VLOOKUP(B4911,'Daftar Outlet'!$A$4:$B$22,2,FALSE),""))</f>
        <v/>
      </c>
      <c r="D4911" s="8" t="n"/>
      <c r="E4911" s="6" t="n"/>
      <c r="F4911" s="8" t="n"/>
    </row>
    <row r="4912">
      <c r="A4912" s="7" t="n"/>
      <c r="B4912" s="8" t="n"/>
      <c r="C4912" s="9">
        <f>IF(B4912="","",IFERROR(VLOOKUP(B4912,'Daftar Outlet'!$A$4:$B$22,2,FALSE),""))</f>
        <v/>
      </c>
      <c r="D4912" s="8" t="n"/>
      <c r="E4912" s="6" t="n"/>
      <c r="F4912" s="8" t="n"/>
    </row>
    <row r="4913">
      <c r="A4913" s="7" t="n"/>
      <c r="B4913" s="8" t="n"/>
      <c r="C4913" s="9">
        <f>IF(B4913="","",IFERROR(VLOOKUP(B4913,'Daftar Outlet'!$A$4:$B$22,2,FALSE),""))</f>
        <v/>
      </c>
      <c r="D4913" s="8" t="n"/>
      <c r="E4913" s="6" t="n"/>
      <c r="F4913" s="8" t="n"/>
    </row>
    <row r="4914">
      <c r="A4914" s="7" t="n"/>
      <c r="B4914" s="8" t="n"/>
      <c r="C4914" s="9">
        <f>IF(B4914="","",IFERROR(VLOOKUP(B4914,'Daftar Outlet'!$A$4:$B$22,2,FALSE),""))</f>
        <v/>
      </c>
      <c r="D4914" s="8" t="n"/>
      <c r="E4914" s="6" t="n"/>
      <c r="F4914" s="8" t="n"/>
    </row>
    <row r="4915">
      <c r="A4915" s="7" t="n"/>
      <c r="B4915" s="8" t="n"/>
      <c r="C4915" s="9">
        <f>IF(B4915="","",IFERROR(VLOOKUP(B4915,'Daftar Outlet'!$A$4:$B$22,2,FALSE),""))</f>
        <v/>
      </c>
      <c r="D4915" s="8" t="n"/>
      <c r="E4915" s="6" t="n"/>
      <c r="F4915" s="8" t="n"/>
    </row>
    <row r="4916">
      <c r="A4916" s="7" t="n"/>
      <c r="B4916" s="8" t="n"/>
      <c r="C4916" s="9">
        <f>IF(B4916="","",IFERROR(VLOOKUP(B4916,'Daftar Outlet'!$A$4:$B$22,2,FALSE),""))</f>
        <v/>
      </c>
      <c r="D4916" s="8" t="n"/>
      <c r="E4916" s="6" t="n"/>
      <c r="F4916" s="8" t="n"/>
    </row>
    <row r="4917">
      <c r="A4917" s="7" t="n"/>
      <c r="B4917" s="8" t="n"/>
      <c r="C4917" s="9">
        <f>IF(B4917="","",IFERROR(VLOOKUP(B4917,'Daftar Outlet'!$A$4:$B$22,2,FALSE),""))</f>
        <v/>
      </c>
      <c r="D4917" s="8" t="n"/>
      <c r="E4917" s="6" t="n"/>
      <c r="F4917" s="8" t="n"/>
    </row>
    <row r="4918">
      <c r="A4918" s="7" t="n"/>
      <c r="B4918" s="8" t="n"/>
      <c r="C4918" s="9">
        <f>IF(B4918="","",IFERROR(VLOOKUP(B4918,'Daftar Outlet'!$A$4:$B$22,2,FALSE),""))</f>
        <v/>
      </c>
      <c r="D4918" s="8" t="n"/>
      <c r="E4918" s="6" t="n"/>
      <c r="F4918" s="8" t="n"/>
    </row>
    <row r="4919">
      <c r="A4919" s="7" t="n"/>
      <c r="B4919" s="8" t="n"/>
      <c r="C4919" s="9">
        <f>IF(B4919="","",IFERROR(VLOOKUP(B4919,'Daftar Outlet'!$A$4:$B$22,2,FALSE),""))</f>
        <v/>
      </c>
      <c r="D4919" s="8" t="n"/>
      <c r="E4919" s="6" t="n"/>
      <c r="F4919" s="8" t="n"/>
    </row>
    <row r="4920">
      <c r="A4920" s="7" t="n"/>
      <c r="B4920" s="8" t="n"/>
      <c r="C4920" s="9">
        <f>IF(B4920="","",IFERROR(VLOOKUP(B4920,'Daftar Outlet'!$A$4:$B$22,2,FALSE),""))</f>
        <v/>
      </c>
      <c r="D4920" s="8" t="n"/>
      <c r="E4920" s="6" t="n"/>
      <c r="F4920" s="8" t="n"/>
    </row>
    <row r="4921">
      <c r="A4921" s="7" t="n"/>
      <c r="B4921" s="8" t="n"/>
      <c r="C4921" s="9">
        <f>IF(B4921="","",IFERROR(VLOOKUP(B4921,'Daftar Outlet'!$A$4:$B$22,2,FALSE),""))</f>
        <v/>
      </c>
      <c r="D4921" s="8" t="n"/>
      <c r="E4921" s="6" t="n"/>
      <c r="F4921" s="8" t="n"/>
    </row>
    <row r="4922">
      <c r="A4922" s="7" t="n"/>
      <c r="B4922" s="8" t="n"/>
      <c r="C4922" s="9">
        <f>IF(B4922="","",IFERROR(VLOOKUP(B4922,'Daftar Outlet'!$A$4:$B$22,2,FALSE),""))</f>
        <v/>
      </c>
      <c r="D4922" s="8" t="n"/>
      <c r="E4922" s="6" t="n"/>
      <c r="F4922" s="8" t="n"/>
    </row>
    <row r="4923">
      <c r="A4923" s="7" t="n"/>
      <c r="B4923" s="8" t="n"/>
      <c r="C4923" s="9">
        <f>IF(B4923="","",IFERROR(VLOOKUP(B4923,'Daftar Outlet'!$A$4:$B$22,2,FALSE),""))</f>
        <v/>
      </c>
      <c r="D4923" s="8" t="n"/>
      <c r="E4923" s="6" t="n"/>
      <c r="F4923" s="8" t="n"/>
    </row>
    <row r="4924">
      <c r="A4924" s="7" t="n"/>
      <c r="B4924" s="8" t="n"/>
      <c r="C4924" s="9">
        <f>IF(B4924="","",IFERROR(VLOOKUP(B4924,'Daftar Outlet'!$A$4:$B$22,2,FALSE),""))</f>
        <v/>
      </c>
      <c r="D4924" s="8" t="n"/>
      <c r="E4924" s="6" t="n"/>
      <c r="F4924" s="8" t="n"/>
    </row>
    <row r="4925">
      <c r="A4925" s="7" t="n"/>
      <c r="B4925" s="8" t="n"/>
      <c r="C4925" s="9">
        <f>IF(B4925="","",IFERROR(VLOOKUP(B4925,'Daftar Outlet'!$A$4:$B$22,2,FALSE),""))</f>
        <v/>
      </c>
      <c r="D4925" s="8" t="n"/>
      <c r="E4925" s="6" t="n"/>
      <c r="F4925" s="8" t="n"/>
    </row>
    <row r="4926">
      <c r="A4926" s="7" t="n"/>
      <c r="B4926" s="8" t="n"/>
      <c r="C4926" s="9">
        <f>IF(B4926="","",IFERROR(VLOOKUP(B4926,'Daftar Outlet'!$A$4:$B$22,2,FALSE),""))</f>
        <v/>
      </c>
      <c r="D4926" s="8" t="n"/>
      <c r="E4926" s="6" t="n"/>
      <c r="F4926" s="8" t="n"/>
    </row>
    <row r="4927">
      <c r="A4927" s="7" t="n"/>
      <c r="B4927" s="8" t="n"/>
      <c r="C4927" s="9">
        <f>IF(B4927="","",IFERROR(VLOOKUP(B4927,'Daftar Outlet'!$A$4:$B$22,2,FALSE),""))</f>
        <v/>
      </c>
      <c r="D4927" s="8" t="n"/>
      <c r="E4927" s="6" t="n"/>
      <c r="F4927" s="8" t="n"/>
    </row>
    <row r="4928">
      <c r="A4928" s="7" t="n"/>
      <c r="B4928" s="8" t="n"/>
      <c r="C4928" s="9">
        <f>IF(B4928="","",IFERROR(VLOOKUP(B4928,'Daftar Outlet'!$A$4:$B$22,2,FALSE),""))</f>
        <v/>
      </c>
      <c r="D4928" s="8" t="n"/>
      <c r="E4928" s="6" t="n"/>
      <c r="F4928" s="8" t="n"/>
    </row>
    <row r="4929">
      <c r="A4929" s="7" t="n"/>
      <c r="B4929" s="8" t="n"/>
      <c r="C4929" s="9">
        <f>IF(B4929="","",IFERROR(VLOOKUP(B4929,'Daftar Outlet'!$A$4:$B$22,2,FALSE),""))</f>
        <v/>
      </c>
      <c r="D4929" s="8" t="n"/>
      <c r="E4929" s="6" t="n"/>
      <c r="F4929" s="8" t="n"/>
    </row>
    <row r="4930">
      <c r="A4930" s="7" t="n"/>
      <c r="B4930" s="8" t="n"/>
      <c r="C4930" s="9">
        <f>IF(B4930="","",IFERROR(VLOOKUP(B4930,'Daftar Outlet'!$A$4:$B$22,2,FALSE),""))</f>
        <v/>
      </c>
      <c r="D4930" s="8" t="n"/>
      <c r="E4930" s="6" t="n"/>
      <c r="F4930" s="8" t="n"/>
    </row>
    <row r="4931">
      <c r="A4931" s="7" t="n"/>
      <c r="B4931" s="8" t="n"/>
      <c r="C4931" s="9">
        <f>IF(B4931="","",IFERROR(VLOOKUP(B4931,'Daftar Outlet'!$A$4:$B$22,2,FALSE),""))</f>
        <v/>
      </c>
      <c r="D4931" s="8" t="n"/>
      <c r="E4931" s="6" t="n"/>
      <c r="F4931" s="8" t="n"/>
    </row>
    <row r="4932">
      <c r="A4932" s="7" t="n"/>
      <c r="B4932" s="8" t="n"/>
      <c r="C4932" s="9">
        <f>IF(B4932="","",IFERROR(VLOOKUP(B4932,'Daftar Outlet'!$A$4:$B$22,2,FALSE),""))</f>
        <v/>
      </c>
      <c r="D4932" s="8" t="n"/>
      <c r="E4932" s="6" t="n"/>
      <c r="F4932" s="8" t="n"/>
    </row>
    <row r="4933">
      <c r="A4933" s="7" t="n"/>
      <c r="B4933" s="8" t="n"/>
      <c r="C4933" s="9">
        <f>IF(B4933="","",IFERROR(VLOOKUP(B4933,'Daftar Outlet'!$A$4:$B$22,2,FALSE),""))</f>
        <v/>
      </c>
      <c r="D4933" s="8" t="n"/>
      <c r="E4933" s="6" t="n"/>
      <c r="F4933" s="8" t="n"/>
    </row>
    <row r="4934">
      <c r="A4934" s="7" t="n"/>
      <c r="B4934" s="8" t="n"/>
      <c r="C4934" s="9">
        <f>IF(B4934="","",IFERROR(VLOOKUP(B4934,'Daftar Outlet'!$A$4:$B$22,2,FALSE),""))</f>
        <v/>
      </c>
      <c r="D4934" s="8" t="n"/>
      <c r="E4934" s="6" t="n"/>
      <c r="F4934" s="8" t="n"/>
    </row>
    <row r="4935">
      <c r="A4935" s="7" t="n"/>
      <c r="B4935" s="8" t="n"/>
      <c r="C4935" s="9">
        <f>IF(B4935="","",IFERROR(VLOOKUP(B4935,'Daftar Outlet'!$A$4:$B$22,2,FALSE),""))</f>
        <v/>
      </c>
      <c r="D4935" s="8" t="n"/>
      <c r="E4935" s="6" t="n"/>
      <c r="F4935" s="8" t="n"/>
    </row>
    <row r="4936">
      <c r="A4936" s="7" t="n"/>
      <c r="B4936" s="8" t="n"/>
      <c r="C4936" s="9">
        <f>IF(B4936="","",IFERROR(VLOOKUP(B4936,'Daftar Outlet'!$A$4:$B$22,2,FALSE),""))</f>
        <v/>
      </c>
      <c r="D4936" s="8" t="n"/>
      <c r="E4936" s="6" t="n"/>
      <c r="F4936" s="8" t="n"/>
    </row>
    <row r="4937">
      <c r="A4937" s="7" t="n"/>
      <c r="B4937" s="8" t="n"/>
      <c r="C4937" s="9">
        <f>IF(B4937="","",IFERROR(VLOOKUP(B4937,'Daftar Outlet'!$A$4:$B$22,2,FALSE),""))</f>
        <v/>
      </c>
      <c r="D4937" s="8" t="n"/>
      <c r="E4937" s="6" t="n"/>
      <c r="F4937" s="8" t="n"/>
    </row>
    <row r="4938">
      <c r="A4938" s="7" t="n"/>
      <c r="B4938" s="8" t="n"/>
      <c r="C4938" s="9">
        <f>IF(B4938="","",IFERROR(VLOOKUP(B4938,'Daftar Outlet'!$A$4:$B$22,2,FALSE),""))</f>
        <v/>
      </c>
      <c r="D4938" s="8" t="n"/>
      <c r="E4938" s="6" t="n"/>
      <c r="F4938" s="8" t="n"/>
    </row>
    <row r="4939">
      <c r="A4939" s="7" t="n"/>
      <c r="B4939" s="8" t="n"/>
      <c r="C4939" s="9">
        <f>IF(B4939="","",IFERROR(VLOOKUP(B4939,'Daftar Outlet'!$A$4:$B$22,2,FALSE),""))</f>
        <v/>
      </c>
      <c r="D4939" s="8" t="n"/>
      <c r="E4939" s="6" t="n"/>
      <c r="F4939" s="8" t="n"/>
    </row>
    <row r="4940">
      <c r="A4940" s="7" t="n"/>
      <c r="B4940" s="8" t="n"/>
      <c r="C4940" s="9">
        <f>IF(B4940="","",IFERROR(VLOOKUP(B4940,'Daftar Outlet'!$A$4:$B$22,2,FALSE),""))</f>
        <v/>
      </c>
      <c r="D4940" s="8" t="n"/>
      <c r="E4940" s="6" t="n"/>
      <c r="F4940" s="8" t="n"/>
    </row>
    <row r="4941">
      <c r="A4941" s="7" t="n"/>
      <c r="B4941" s="8" t="n"/>
      <c r="C4941" s="9">
        <f>IF(B4941="","",IFERROR(VLOOKUP(B4941,'Daftar Outlet'!$A$4:$B$22,2,FALSE),""))</f>
        <v/>
      </c>
      <c r="D4941" s="8" t="n"/>
      <c r="E4941" s="6" t="n"/>
      <c r="F4941" s="8" t="n"/>
    </row>
    <row r="4942">
      <c r="A4942" s="7" t="n"/>
      <c r="B4942" s="8" t="n"/>
      <c r="C4942" s="9">
        <f>IF(B4942="","",IFERROR(VLOOKUP(B4942,'Daftar Outlet'!$A$4:$B$22,2,FALSE),""))</f>
        <v/>
      </c>
      <c r="D4942" s="8" t="n"/>
      <c r="E4942" s="6" t="n"/>
      <c r="F4942" s="8" t="n"/>
    </row>
    <row r="4943">
      <c r="A4943" s="7" t="n"/>
      <c r="B4943" s="8" t="n"/>
      <c r="C4943" s="9">
        <f>IF(B4943="","",IFERROR(VLOOKUP(B4943,'Daftar Outlet'!$A$4:$B$22,2,FALSE),""))</f>
        <v/>
      </c>
      <c r="D4943" s="8" t="n"/>
      <c r="E4943" s="6" t="n"/>
      <c r="F4943" s="8" t="n"/>
    </row>
    <row r="4944">
      <c r="A4944" s="7" t="n"/>
      <c r="B4944" s="8" t="n"/>
      <c r="C4944" s="9">
        <f>IF(B4944="","",IFERROR(VLOOKUP(B4944,'Daftar Outlet'!$A$4:$B$22,2,FALSE),""))</f>
        <v/>
      </c>
      <c r="D4944" s="8" t="n"/>
      <c r="E4944" s="6" t="n"/>
      <c r="F4944" s="8" t="n"/>
    </row>
    <row r="4945">
      <c r="A4945" s="7" t="n"/>
      <c r="B4945" s="8" t="n"/>
      <c r="C4945" s="9">
        <f>IF(B4945="","",IFERROR(VLOOKUP(B4945,'Daftar Outlet'!$A$4:$B$22,2,FALSE),""))</f>
        <v/>
      </c>
      <c r="D4945" s="8" t="n"/>
      <c r="E4945" s="6" t="n"/>
      <c r="F4945" s="8" t="n"/>
    </row>
    <row r="4946">
      <c r="A4946" s="7" t="n"/>
      <c r="B4946" s="8" t="n"/>
      <c r="C4946" s="9">
        <f>IF(B4946="","",IFERROR(VLOOKUP(B4946,'Daftar Outlet'!$A$4:$B$22,2,FALSE),""))</f>
        <v/>
      </c>
      <c r="D4946" s="8" t="n"/>
      <c r="E4946" s="6" t="n"/>
      <c r="F4946" s="8" t="n"/>
    </row>
    <row r="4947">
      <c r="A4947" s="7" t="n"/>
      <c r="B4947" s="8" t="n"/>
      <c r="C4947" s="9">
        <f>IF(B4947="","",IFERROR(VLOOKUP(B4947,'Daftar Outlet'!$A$4:$B$22,2,FALSE),""))</f>
        <v/>
      </c>
      <c r="D4947" s="8" t="n"/>
      <c r="E4947" s="6" t="n"/>
      <c r="F4947" s="8" t="n"/>
    </row>
    <row r="4948">
      <c r="A4948" s="7" t="n"/>
      <c r="B4948" s="8" t="n"/>
      <c r="C4948" s="9">
        <f>IF(B4948="","",IFERROR(VLOOKUP(B4948,'Daftar Outlet'!$A$4:$B$22,2,FALSE),""))</f>
        <v/>
      </c>
      <c r="D4948" s="8" t="n"/>
      <c r="E4948" s="6" t="n"/>
      <c r="F4948" s="8" t="n"/>
    </row>
    <row r="4949">
      <c r="A4949" s="7" t="n"/>
      <c r="B4949" s="8" t="n"/>
      <c r="C4949" s="9">
        <f>IF(B4949="","",IFERROR(VLOOKUP(B4949,'Daftar Outlet'!$A$4:$B$22,2,FALSE),""))</f>
        <v/>
      </c>
      <c r="D4949" s="8" t="n"/>
      <c r="E4949" s="6" t="n"/>
      <c r="F4949" s="8" t="n"/>
    </row>
    <row r="4950">
      <c r="A4950" s="7" t="n"/>
      <c r="B4950" s="8" t="n"/>
      <c r="C4950" s="9">
        <f>IF(B4950="","",IFERROR(VLOOKUP(B4950,'Daftar Outlet'!$A$4:$B$22,2,FALSE),""))</f>
        <v/>
      </c>
      <c r="D4950" s="8" t="n"/>
      <c r="E4950" s="6" t="n"/>
      <c r="F4950" s="8" t="n"/>
    </row>
    <row r="4951">
      <c r="A4951" s="7" t="n"/>
      <c r="B4951" s="8" t="n"/>
      <c r="C4951" s="9">
        <f>IF(B4951="","",IFERROR(VLOOKUP(B4951,'Daftar Outlet'!$A$4:$B$22,2,FALSE),""))</f>
        <v/>
      </c>
      <c r="D4951" s="8" t="n"/>
      <c r="E4951" s="6" t="n"/>
      <c r="F4951" s="8" t="n"/>
    </row>
    <row r="4952">
      <c r="A4952" s="7" t="n"/>
      <c r="B4952" s="8" t="n"/>
      <c r="C4952" s="9">
        <f>IF(B4952="","",IFERROR(VLOOKUP(B4952,'Daftar Outlet'!$A$4:$B$22,2,FALSE),""))</f>
        <v/>
      </c>
      <c r="D4952" s="8" t="n"/>
      <c r="E4952" s="6" t="n"/>
      <c r="F4952" s="8" t="n"/>
    </row>
    <row r="4953">
      <c r="A4953" s="7" t="n"/>
      <c r="B4953" s="8" t="n"/>
      <c r="C4953" s="9">
        <f>IF(B4953="","",IFERROR(VLOOKUP(B4953,'Daftar Outlet'!$A$4:$B$22,2,FALSE),""))</f>
        <v/>
      </c>
      <c r="D4953" s="8" t="n"/>
      <c r="E4953" s="6" t="n"/>
      <c r="F4953" s="8" t="n"/>
    </row>
    <row r="4954">
      <c r="A4954" s="7" t="n"/>
      <c r="B4954" s="8" t="n"/>
      <c r="C4954" s="9">
        <f>IF(B4954="","",IFERROR(VLOOKUP(B4954,'Daftar Outlet'!$A$4:$B$22,2,FALSE),""))</f>
        <v/>
      </c>
      <c r="D4954" s="8" t="n"/>
      <c r="E4954" s="6" t="n"/>
      <c r="F4954" s="8" t="n"/>
    </row>
    <row r="4955">
      <c r="A4955" s="7" t="n"/>
      <c r="B4955" s="8" t="n"/>
      <c r="C4955" s="9">
        <f>IF(B4955="","",IFERROR(VLOOKUP(B4955,'Daftar Outlet'!$A$4:$B$22,2,FALSE),""))</f>
        <v/>
      </c>
      <c r="D4955" s="8" t="n"/>
      <c r="E4955" s="6" t="n"/>
      <c r="F4955" s="8" t="n"/>
    </row>
    <row r="4956">
      <c r="A4956" s="7" t="n"/>
      <c r="B4956" s="8" t="n"/>
      <c r="C4956" s="9">
        <f>IF(B4956="","",IFERROR(VLOOKUP(B4956,'Daftar Outlet'!$A$4:$B$22,2,FALSE),""))</f>
        <v/>
      </c>
      <c r="D4956" s="8" t="n"/>
      <c r="E4956" s="6" t="n"/>
      <c r="F4956" s="8" t="n"/>
    </row>
    <row r="4957">
      <c r="A4957" s="7" t="n"/>
      <c r="B4957" s="8" t="n"/>
      <c r="C4957" s="9">
        <f>IF(B4957="","",IFERROR(VLOOKUP(B4957,'Daftar Outlet'!$A$4:$B$22,2,FALSE),""))</f>
        <v/>
      </c>
      <c r="D4957" s="8" t="n"/>
      <c r="E4957" s="6" t="n"/>
      <c r="F4957" s="8" t="n"/>
    </row>
    <row r="4958">
      <c r="A4958" s="7" t="n"/>
      <c r="B4958" s="8" t="n"/>
      <c r="C4958" s="9">
        <f>IF(B4958="","",IFERROR(VLOOKUP(B4958,'Daftar Outlet'!$A$4:$B$22,2,FALSE),""))</f>
        <v/>
      </c>
      <c r="D4958" s="8" t="n"/>
      <c r="E4958" s="6" t="n"/>
      <c r="F4958" s="8" t="n"/>
    </row>
    <row r="4959">
      <c r="A4959" s="7" t="n"/>
      <c r="B4959" s="8" t="n"/>
      <c r="C4959" s="9">
        <f>IF(B4959="","",IFERROR(VLOOKUP(B4959,'Daftar Outlet'!$A$4:$B$22,2,FALSE),""))</f>
        <v/>
      </c>
      <c r="D4959" s="8" t="n"/>
      <c r="E4959" s="6" t="n"/>
      <c r="F4959" s="8" t="n"/>
    </row>
    <row r="4960">
      <c r="A4960" s="7" t="n"/>
      <c r="B4960" s="8" t="n"/>
      <c r="C4960" s="9">
        <f>IF(B4960="","",IFERROR(VLOOKUP(B4960,'Daftar Outlet'!$A$4:$B$22,2,FALSE),""))</f>
        <v/>
      </c>
      <c r="D4960" s="8" t="n"/>
      <c r="E4960" s="6" t="n"/>
      <c r="F4960" s="8" t="n"/>
    </row>
    <row r="4961">
      <c r="A4961" s="7" t="n"/>
      <c r="B4961" s="8" t="n"/>
      <c r="C4961" s="9">
        <f>IF(B4961="","",IFERROR(VLOOKUP(B4961,'Daftar Outlet'!$A$4:$B$22,2,FALSE),""))</f>
        <v/>
      </c>
      <c r="D4961" s="8" t="n"/>
      <c r="E4961" s="6" t="n"/>
      <c r="F4961" s="8" t="n"/>
    </row>
    <row r="4962">
      <c r="A4962" s="7" t="n"/>
      <c r="B4962" s="8" t="n"/>
      <c r="C4962" s="9">
        <f>IF(B4962="","",IFERROR(VLOOKUP(B4962,'Daftar Outlet'!$A$4:$B$22,2,FALSE),""))</f>
        <v/>
      </c>
      <c r="D4962" s="8" t="n"/>
      <c r="E4962" s="6" t="n"/>
      <c r="F4962" s="8" t="n"/>
    </row>
    <row r="4963">
      <c r="A4963" s="7" t="n"/>
      <c r="B4963" s="8" t="n"/>
      <c r="C4963" s="9">
        <f>IF(B4963="","",IFERROR(VLOOKUP(B4963,'Daftar Outlet'!$A$4:$B$22,2,FALSE),""))</f>
        <v/>
      </c>
      <c r="D4963" s="8" t="n"/>
      <c r="E4963" s="6" t="n"/>
      <c r="F4963" s="8" t="n"/>
    </row>
    <row r="4964">
      <c r="A4964" s="7" t="n"/>
      <c r="B4964" s="8" t="n"/>
      <c r="C4964" s="9">
        <f>IF(B4964="","",IFERROR(VLOOKUP(B4964,'Daftar Outlet'!$A$4:$B$22,2,FALSE),""))</f>
        <v/>
      </c>
      <c r="D4964" s="8" t="n"/>
      <c r="E4964" s="6" t="n"/>
      <c r="F4964" s="8" t="n"/>
    </row>
    <row r="4965">
      <c r="A4965" s="7" t="n"/>
      <c r="B4965" s="8" t="n"/>
      <c r="C4965" s="9">
        <f>IF(B4965="","",IFERROR(VLOOKUP(B4965,'Daftar Outlet'!$A$4:$B$22,2,FALSE),""))</f>
        <v/>
      </c>
      <c r="D4965" s="8" t="n"/>
      <c r="E4965" s="6" t="n"/>
      <c r="F4965" s="8" t="n"/>
    </row>
    <row r="4966">
      <c r="A4966" s="7" t="n"/>
      <c r="B4966" s="8" t="n"/>
      <c r="C4966" s="9">
        <f>IF(B4966="","",IFERROR(VLOOKUP(B4966,'Daftar Outlet'!$A$4:$B$22,2,FALSE),""))</f>
        <v/>
      </c>
      <c r="D4966" s="8" t="n"/>
      <c r="E4966" s="6" t="n"/>
      <c r="F4966" s="8" t="n"/>
    </row>
    <row r="4967">
      <c r="A4967" s="7" t="n"/>
      <c r="B4967" s="8" t="n"/>
      <c r="C4967" s="9">
        <f>IF(B4967="","",IFERROR(VLOOKUP(B4967,'Daftar Outlet'!$A$4:$B$22,2,FALSE),""))</f>
        <v/>
      </c>
      <c r="D4967" s="8" t="n"/>
      <c r="E4967" s="6" t="n"/>
      <c r="F4967" s="8" t="n"/>
    </row>
    <row r="4968">
      <c r="A4968" s="7" t="n"/>
      <c r="B4968" s="8" t="n"/>
      <c r="C4968" s="9">
        <f>IF(B4968="","",IFERROR(VLOOKUP(B4968,'Daftar Outlet'!$A$4:$B$22,2,FALSE),""))</f>
        <v/>
      </c>
      <c r="D4968" s="8" t="n"/>
      <c r="E4968" s="6" t="n"/>
      <c r="F4968" s="8" t="n"/>
    </row>
    <row r="4969">
      <c r="A4969" s="7" t="n"/>
      <c r="B4969" s="8" t="n"/>
      <c r="C4969" s="9">
        <f>IF(B4969="","",IFERROR(VLOOKUP(B4969,'Daftar Outlet'!$A$4:$B$22,2,FALSE),""))</f>
        <v/>
      </c>
      <c r="D4969" s="8" t="n"/>
      <c r="E4969" s="6" t="n"/>
      <c r="F4969" s="8" t="n"/>
    </row>
    <row r="4970">
      <c r="A4970" s="7" t="n"/>
      <c r="B4970" s="8" t="n"/>
      <c r="C4970" s="9">
        <f>IF(B4970="","",IFERROR(VLOOKUP(B4970,'Daftar Outlet'!$A$4:$B$22,2,FALSE),""))</f>
        <v/>
      </c>
      <c r="D4970" s="8" t="n"/>
      <c r="E4970" s="6" t="n"/>
      <c r="F4970" s="8" t="n"/>
    </row>
    <row r="4971">
      <c r="A4971" s="7" t="n"/>
      <c r="B4971" s="8" t="n"/>
      <c r="C4971" s="9">
        <f>IF(B4971="","",IFERROR(VLOOKUP(B4971,'Daftar Outlet'!$A$4:$B$22,2,FALSE),""))</f>
        <v/>
      </c>
      <c r="D4971" s="8" t="n"/>
      <c r="E4971" s="6" t="n"/>
      <c r="F4971" s="8" t="n"/>
    </row>
    <row r="4972">
      <c r="A4972" s="7" t="n"/>
      <c r="B4972" s="8" t="n"/>
      <c r="C4972" s="9">
        <f>IF(B4972="","",IFERROR(VLOOKUP(B4972,'Daftar Outlet'!$A$4:$B$22,2,FALSE),""))</f>
        <v/>
      </c>
      <c r="D4972" s="8" t="n"/>
      <c r="E4972" s="6" t="n"/>
      <c r="F4972" s="8" t="n"/>
    </row>
    <row r="4973">
      <c r="A4973" s="7" t="n"/>
      <c r="B4973" s="8" t="n"/>
      <c r="C4973" s="9">
        <f>IF(B4973="","",IFERROR(VLOOKUP(B4973,'Daftar Outlet'!$A$4:$B$22,2,FALSE),""))</f>
        <v/>
      </c>
      <c r="D4973" s="8" t="n"/>
      <c r="E4973" s="6" t="n"/>
      <c r="F4973" s="8" t="n"/>
    </row>
    <row r="4974">
      <c r="A4974" s="7" t="n"/>
      <c r="B4974" s="8" t="n"/>
      <c r="C4974" s="9">
        <f>IF(B4974="","",IFERROR(VLOOKUP(B4974,'Daftar Outlet'!$A$4:$B$22,2,FALSE),""))</f>
        <v/>
      </c>
      <c r="D4974" s="8" t="n"/>
      <c r="E4974" s="6" t="n"/>
      <c r="F4974" s="8" t="n"/>
    </row>
    <row r="4975">
      <c r="A4975" s="7" t="n"/>
      <c r="B4975" s="8" t="n"/>
      <c r="C4975" s="9">
        <f>IF(B4975="","",IFERROR(VLOOKUP(B4975,'Daftar Outlet'!$A$4:$B$22,2,FALSE),""))</f>
        <v/>
      </c>
      <c r="D4975" s="8" t="n"/>
      <c r="E4975" s="6" t="n"/>
      <c r="F4975" s="8" t="n"/>
    </row>
    <row r="4976">
      <c r="A4976" s="7" t="n"/>
      <c r="B4976" s="8" t="n"/>
      <c r="C4976" s="9">
        <f>IF(B4976="","",IFERROR(VLOOKUP(B4976,'Daftar Outlet'!$A$4:$B$22,2,FALSE),""))</f>
        <v/>
      </c>
      <c r="D4976" s="8" t="n"/>
      <c r="E4976" s="6" t="n"/>
      <c r="F4976" s="8" t="n"/>
    </row>
    <row r="4977">
      <c r="A4977" s="7" t="n"/>
      <c r="B4977" s="8" t="n"/>
      <c r="C4977" s="9">
        <f>IF(B4977="","",IFERROR(VLOOKUP(B4977,'Daftar Outlet'!$A$4:$B$22,2,FALSE),""))</f>
        <v/>
      </c>
      <c r="D4977" s="8" t="n"/>
      <c r="E4977" s="6" t="n"/>
      <c r="F4977" s="8" t="n"/>
    </row>
    <row r="4978">
      <c r="A4978" s="7" t="n"/>
      <c r="B4978" s="8" t="n"/>
      <c r="C4978" s="9">
        <f>IF(B4978="","",IFERROR(VLOOKUP(B4978,'Daftar Outlet'!$A$4:$B$22,2,FALSE),""))</f>
        <v/>
      </c>
      <c r="D4978" s="8" t="n"/>
      <c r="E4978" s="6" t="n"/>
      <c r="F4978" s="8" t="n"/>
    </row>
    <row r="4979">
      <c r="A4979" s="7" t="n"/>
      <c r="B4979" s="8" t="n"/>
      <c r="C4979" s="9">
        <f>IF(B4979="","",IFERROR(VLOOKUP(B4979,'Daftar Outlet'!$A$4:$B$22,2,FALSE),""))</f>
        <v/>
      </c>
      <c r="D4979" s="8" t="n"/>
      <c r="E4979" s="6" t="n"/>
      <c r="F4979" s="8" t="n"/>
    </row>
    <row r="4980">
      <c r="A4980" s="7" t="n"/>
      <c r="B4980" s="8" t="n"/>
      <c r="C4980" s="9">
        <f>IF(B4980="","",IFERROR(VLOOKUP(B4980,'Daftar Outlet'!$A$4:$B$22,2,FALSE),""))</f>
        <v/>
      </c>
      <c r="D4980" s="8" t="n"/>
      <c r="E4980" s="6" t="n"/>
      <c r="F4980" s="8" t="n"/>
    </row>
    <row r="4981">
      <c r="A4981" s="7" t="n"/>
      <c r="B4981" s="8" t="n"/>
      <c r="C4981" s="9">
        <f>IF(B4981="","",IFERROR(VLOOKUP(B4981,'Daftar Outlet'!$A$4:$B$22,2,FALSE),""))</f>
        <v/>
      </c>
      <c r="D4981" s="8" t="n"/>
      <c r="E4981" s="6" t="n"/>
      <c r="F4981" s="8" t="n"/>
    </row>
    <row r="4982">
      <c r="A4982" s="7" t="n"/>
      <c r="B4982" s="8" t="n"/>
      <c r="C4982" s="9">
        <f>IF(B4982="","",IFERROR(VLOOKUP(B4982,'Daftar Outlet'!$A$4:$B$22,2,FALSE),""))</f>
        <v/>
      </c>
      <c r="D4982" s="8" t="n"/>
      <c r="E4982" s="6" t="n"/>
      <c r="F4982" s="8" t="n"/>
    </row>
    <row r="4983">
      <c r="A4983" s="7" t="n"/>
      <c r="B4983" s="8" t="n"/>
      <c r="C4983" s="9">
        <f>IF(B4983="","",IFERROR(VLOOKUP(B4983,'Daftar Outlet'!$A$4:$B$22,2,FALSE),""))</f>
        <v/>
      </c>
      <c r="D4983" s="8" t="n"/>
      <c r="E4983" s="6" t="n"/>
      <c r="F4983" s="8" t="n"/>
    </row>
    <row r="4984">
      <c r="A4984" s="7" t="n"/>
      <c r="B4984" s="8" t="n"/>
      <c r="C4984" s="9">
        <f>IF(B4984="","",IFERROR(VLOOKUP(B4984,'Daftar Outlet'!$A$4:$B$22,2,FALSE),""))</f>
        <v/>
      </c>
      <c r="D4984" s="8" t="n"/>
      <c r="E4984" s="6" t="n"/>
      <c r="F4984" s="8" t="n"/>
    </row>
    <row r="4985">
      <c r="A4985" s="7" t="n"/>
      <c r="B4985" s="8" t="n"/>
      <c r="C4985" s="9">
        <f>IF(B4985="","",IFERROR(VLOOKUP(B4985,'Daftar Outlet'!$A$4:$B$22,2,FALSE),""))</f>
        <v/>
      </c>
      <c r="D4985" s="8" t="n"/>
      <c r="E4985" s="6" t="n"/>
      <c r="F4985" s="8" t="n"/>
    </row>
    <row r="4986">
      <c r="A4986" s="7" t="n"/>
      <c r="B4986" s="8" t="n"/>
      <c r="C4986" s="9">
        <f>IF(B4986="","",IFERROR(VLOOKUP(B4986,'Daftar Outlet'!$A$4:$B$22,2,FALSE),""))</f>
        <v/>
      </c>
      <c r="D4986" s="8" t="n"/>
      <c r="E4986" s="6" t="n"/>
      <c r="F4986" s="8" t="n"/>
    </row>
    <row r="4987">
      <c r="A4987" s="7" t="n"/>
      <c r="B4987" s="8" t="n"/>
      <c r="C4987" s="9">
        <f>IF(B4987="","",IFERROR(VLOOKUP(B4987,'Daftar Outlet'!$A$4:$B$22,2,FALSE),""))</f>
        <v/>
      </c>
      <c r="D4987" s="8" t="n"/>
      <c r="E4987" s="6" t="n"/>
      <c r="F4987" s="8" t="n"/>
    </row>
    <row r="4988">
      <c r="A4988" s="7" t="n"/>
      <c r="B4988" s="8" t="n"/>
      <c r="C4988" s="9">
        <f>IF(B4988="","",IFERROR(VLOOKUP(B4988,'Daftar Outlet'!$A$4:$B$22,2,FALSE),""))</f>
        <v/>
      </c>
      <c r="D4988" s="8" t="n"/>
      <c r="E4988" s="6" t="n"/>
      <c r="F4988" s="8" t="n"/>
    </row>
    <row r="4989">
      <c r="A4989" s="7" t="n"/>
      <c r="B4989" s="8" t="n"/>
      <c r="C4989" s="9">
        <f>IF(B4989="","",IFERROR(VLOOKUP(B4989,'Daftar Outlet'!$A$4:$B$22,2,FALSE),""))</f>
        <v/>
      </c>
      <c r="D4989" s="8" t="n"/>
      <c r="E4989" s="6" t="n"/>
      <c r="F4989" s="8" t="n"/>
    </row>
    <row r="4990">
      <c r="A4990" s="7" t="n"/>
      <c r="B4990" s="8" t="n"/>
      <c r="C4990" s="9">
        <f>IF(B4990="","",IFERROR(VLOOKUP(B4990,'Daftar Outlet'!$A$4:$B$22,2,FALSE),""))</f>
        <v/>
      </c>
      <c r="D4990" s="8" t="n"/>
      <c r="E4990" s="6" t="n"/>
      <c r="F4990" s="8" t="n"/>
    </row>
    <row r="4991">
      <c r="A4991" s="7" t="n"/>
      <c r="B4991" s="8" t="n"/>
      <c r="C4991" s="9">
        <f>IF(B4991="","",IFERROR(VLOOKUP(B4991,'Daftar Outlet'!$A$4:$B$22,2,FALSE),""))</f>
        <v/>
      </c>
      <c r="D4991" s="8" t="n"/>
      <c r="E4991" s="6" t="n"/>
      <c r="F4991" s="8" t="n"/>
    </row>
    <row r="4992">
      <c r="A4992" s="7" t="n"/>
      <c r="B4992" s="8" t="n"/>
      <c r="C4992" s="9">
        <f>IF(B4992="","",IFERROR(VLOOKUP(B4992,'Daftar Outlet'!$A$4:$B$22,2,FALSE),""))</f>
        <v/>
      </c>
      <c r="D4992" s="8" t="n"/>
      <c r="E4992" s="6" t="n"/>
      <c r="F4992" s="8" t="n"/>
    </row>
    <row r="4993">
      <c r="A4993" s="7" t="n"/>
      <c r="B4993" s="8" t="n"/>
      <c r="C4993" s="9">
        <f>IF(B4993="","",IFERROR(VLOOKUP(B4993,'Daftar Outlet'!$A$4:$B$22,2,FALSE),""))</f>
        <v/>
      </c>
      <c r="D4993" s="8" t="n"/>
      <c r="E4993" s="6" t="n"/>
      <c r="F4993" s="8" t="n"/>
    </row>
    <row r="4994">
      <c r="A4994" s="7" t="n"/>
      <c r="B4994" s="8" t="n"/>
      <c r="C4994" s="9">
        <f>IF(B4994="","",IFERROR(VLOOKUP(B4994,'Daftar Outlet'!$A$4:$B$22,2,FALSE),""))</f>
        <v/>
      </c>
      <c r="D4994" s="8" t="n"/>
      <c r="E4994" s="6" t="n"/>
      <c r="F4994" s="8" t="n"/>
    </row>
    <row r="4995">
      <c r="A4995" s="7" t="n"/>
      <c r="B4995" s="8" t="n"/>
      <c r="C4995" s="9">
        <f>IF(B4995="","",IFERROR(VLOOKUP(B4995,'Daftar Outlet'!$A$4:$B$22,2,FALSE),""))</f>
        <v/>
      </c>
      <c r="D4995" s="8" t="n"/>
      <c r="E4995" s="6" t="n"/>
      <c r="F4995" s="8" t="n"/>
    </row>
    <row r="4996">
      <c r="A4996" s="7" t="n"/>
      <c r="B4996" s="8" t="n"/>
      <c r="C4996" s="9">
        <f>IF(B4996="","",IFERROR(VLOOKUP(B4996,'Daftar Outlet'!$A$4:$B$22,2,FALSE),""))</f>
        <v/>
      </c>
      <c r="D4996" s="8" t="n"/>
      <c r="E4996" s="6" t="n"/>
      <c r="F4996" s="8" t="n"/>
    </row>
    <row r="4997">
      <c r="A4997" s="7" t="n"/>
      <c r="B4997" s="8" t="n"/>
      <c r="C4997" s="9">
        <f>IF(B4997="","",IFERROR(VLOOKUP(B4997,'Daftar Outlet'!$A$4:$B$22,2,FALSE),""))</f>
        <v/>
      </c>
      <c r="D4997" s="8" t="n"/>
      <c r="E4997" s="6" t="n"/>
      <c r="F4997" s="8" t="n"/>
    </row>
    <row r="4998">
      <c r="A4998" s="7" t="n"/>
      <c r="B4998" s="8" t="n"/>
      <c r="C4998" s="9">
        <f>IF(B4998="","",IFERROR(VLOOKUP(B4998,'Daftar Outlet'!$A$4:$B$22,2,FALSE),""))</f>
        <v/>
      </c>
      <c r="D4998" s="8" t="n"/>
      <c r="E4998" s="6" t="n"/>
      <c r="F4998" s="8" t="n"/>
    </row>
    <row r="4999">
      <c r="A4999" s="7" t="n"/>
      <c r="B4999" s="8" t="n"/>
      <c r="C4999" s="9">
        <f>IF(B4999="","",IFERROR(VLOOKUP(B4999,'Daftar Outlet'!$A$4:$B$22,2,FALSE),""))</f>
        <v/>
      </c>
      <c r="D4999" s="8" t="n"/>
      <c r="E4999" s="6" t="n"/>
      <c r="F4999" s="8" t="n"/>
    </row>
    <row r="5000">
      <c r="A5000" s="7" t="n"/>
      <c r="B5000" s="8" t="n"/>
      <c r="C5000" s="9">
        <f>IF(B5000="","",IFERROR(VLOOKUP(B5000,'Daftar Outlet'!$A$4:$B$22,2,FALSE),""))</f>
        <v/>
      </c>
      <c r="D5000" s="8" t="n"/>
      <c r="E5000" s="6" t="n"/>
      <c r="F5000" s="8" t="n"/>
    </row>
  </sheetData>
  <autoFilter ref="A4:F5000"/>
  <mergeCells count="2">
    <mergeCell ref="A2:F2"/>
    <mergeCell ref="A1:F1"/>
  </mergeCells>
  <dataValidations count="3">
    <dataValidation sqref="B5:B5000" showDropDown="0" showInputMessage="1" showErrorMessage="1" allowBlank="1" type="list">
      <formula1>OutletList</formula1>
    </dataValidation>
    <dataValidation sqref="D5:D5000" showDropDown="0" showInputMessage="1" showErrorMessage="1" allowBlank="1" type="list">
      <formula1>ItemList</formula1>
    </dataValidation>
    <dataValidation sqref="E5:E5000" showDropDown="0" showInputMessage="1" showErrorMessage="1" allowBlank="1" type="whole" operator="greaterThan">
      <formula1>0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3" topLeftCell="A4" activePane="bottomLeft" state="frozen"/>
      <selection pane="bottomLeft" activeCell="A1" sqref="A1"/>
    </sheetView>
  </sheetViews>
  <sheetFormatPr baseColWidth="10" defaultColWidth="8.83203125" defaultRowHeight="15"/>
  <cols>
    <col width="28.6640625" customWidth="1" min="1" max="1"/>
    <col width="14.6640625" customWidth="1" min="2" max="2"/>
    <col width="12.6640625" customWidth="1" min="3" max="3"/>
  </cols>
  <sheetData>
    <row r="1" ht="24" customHeight="1">
      <c r="A1" s="11" t="inlineStr">
        <is>
          <t>DAFTAR OUTLET</t>
        </is>
      </c>
    </row>
    <row r="2" ht="32" customHeight="1">
      <c r="A2" s="12" t="inlineStr">
        <is>
          <t>Daftar ini dipakai untuk dropdown outlet dan penentuan wilayah otomatis.</t>
        </is>
      </c>
      <c r="B2" s="14" t="n"/>
      <c r="C2" s="15" t="n"/>
    </row>
    <row r="3">
      <c r="A3" s="4" t="inlineStr">
        <is>
          <t>Outlet</t>
        </is>
      </c>
      <c r="B3" s="4" t="inlineStr">
        <is>
          <t>Wilayah</t>
        </is>
      </c>
      <c r="C3" s="4" t="inlineStr">
        <is>
          <t>Buka Sheet</t>
        </is>
      </c>
    </row>
    <row r="4">
      <c r="A4" s="5" t="inlineStr">
        <is>
          <t>JCL SIDAKARYA</t>
        </is>
      </c>
      <c r="B4" s="5" t="inlineStr">
        <is>
          <t>SELATAN</t>
        </is>
      </c>
      <c r="C4" s="22" t="inlineStr">
        <is>
          <t>Buka</t>
        </is>
      </c>
    </row>
    <row r="5">
      <c r="A5" s="5" t="inlineStr">
        <is>
          <t>BALI WASH GALANG</t>
        </is>
      </c>
      <c r="B5" s="5" t="inlineStr">
        <is>
          <t>SELATAN</t>
        </is>
      </c>
      <c r="C5" s="22" t="inlineStr">
        <is>
          <t>Buka</t>
        </is>
      </c>
    </row>
    <row r="6">
      <c r="A6" s="5" t="inlineStr">
        <is>
          <t>JCL BYPASS</t>
        </is>
      </c>
      <c r="B6" s="5" t="inlineStr">
        <is>
          <t>SELATAN</t>
        </is>
      </c>
      <c r="C6" s="22" t="inlineStr">
        <is>
          <t>Buka</t>
        </is>
      </c>
    </row>
    <row r="7">
      <c r="A7" s="5" t="inlineStr">
        <is>
          <t>JCL SESETAN</t>
        </is>
      </c>
      <c r="B7" s="5" t="inlineStr">
        <is>
          <t>SELATAN</t>
        </is>
      </c>
      <c r="C7" s="22" t="inlineStr">
        <is>
          <t>Buka</t>
        </is>
      </c>
    </row>
    <row r="8">
      <c r="A8" s="5" t="inlineStr">
        <is>
          <t>CL SESETAN</t>
        </is>
      </c>
      <c r="B8" s="5" t="inlineStr">
        <is>
          <t>SELATAN</t>
        </is>
      </c>
      <c r="C8" s="22" t="inlineStr">
        <is>
          <t>Buka</t>
        </is>
      </c>
    </row>
    <row r="9">
      <c r="A9" s="5" t="inlineStr">
        <is>
          <t>GRIYA ANYAR</t>
        </is>
      </c>
      <c r="B9" s="5" t="inlineStr">
        <is>
          <t>SELATAN</t>
        </is>
      </c>
      <c r="C9" s="22" t="inlineStr">
        <is>
          <t>Buka</t>
        </is>
      </c>
    </row>
    <row r="10">
      <c r="A10" s="5" t="inlineStr">
        <is>
          <t>KLIN WASH</t>
        </is>
      </c>
      <c r="B10" s="5" t="inlineStr">
        <is>
          <t>SELATAN</t>
        </is>
      </c>
      <c r="C10" s="22" t="inlineStr">
        <is>
          <t>Buka</t>
        </is>
      </c>
    </row>
    <row r="11">
      <c r="A11" s="5" t="inlineStr">
        <is>
          <t>LONDRI DEWE</t>
        </is>
      </c>
      <c r="B11" s="5" t="inlineStr">
        <is>
          <t>SELATAN</t>
        </is>
      </c>
      <c r="C11" s="22" t="inlineStr">
        <is>
          <t>Buka</t>
        </is>
      </c>
    </row>
    <row r="12">
      <c r="A12" s="5" t="inlineStr">
        <is>
          <t>DIY</t>
        </is>
      </c>
      <c r="B12" s="5" t="inlineStr">
        <is>
          <t>SELATAN</t>
        </is>
      </c>
      <c r="C12" s="22" t="inlineStr">
        <is>
          <t>Buka</t>
        </is>
      </c>
    </row>
    <row r="13">
      <c r="A13" s="5" t="inlineStr">
        <is>
          <t>JCL PEMOGAN</t>
        </is>
      </c>
      <c r="B13" s="5" t="inlineStr">
        <is>
          <t>SELATAN</t>
        </is>
      </c>
      <c r="C13" s="22" t="inlineStr">
        <is>
          <t>Buka</t>
        </is>
      </c>
    </row>
    <row r="14">
      <c r="A14" s="5" t="inlineStr">
        <is>
          <t>JCL AYANI</t>
        </is>
      </c>
      <c r="B14" s="5" t="inlineStr">
        <is>
          <t>UTARA</t>
        </is>
      </c>
      <c r="C14" s="22" t="inlineStr">
        <is>
          <t>Buka</t>
        </is>
      </c>
    </row>
    <row r="15">
      <c r="A15" s="5" t="inlineStr">
        <is>
          <t>CUCI DEWE</t>
        </is>
      </c>
      <c r="B15" s="5" t="inlineStr">
        <is>
          <t>UTARA</t>
        </is>
      </c>
      <c r="C15" s="22" t="inlineStr">
        <is>
          <t>Buka</t>
        </is>
      </c>
    </row>
    <row r="16">
      <c r="A16" s="5" t="inlineStr">
        <is>
          <t>LONDRI DEWE ANTASURA</t>
        </is>
      </c>
      <c r="B16" s="5" t="inlineStr">
        <is>
          <t>UTARA</t>
        </is>
      </c>
      <c r="C16" s="22" t="inlineStr">
        <is>
          <t>Buka</t>
        </is>
      </c>
    </row>
    <row r="17">
      <c r="A17" s="5" t="inlineStr">
        <is>
          <t>GEDE LONDRI</t>
        </is>
      </c>
      <c r="B17" s="5" t="inlineStr">
        <is>
          <t>UTARA</t>
        </is>
      </c>
      <c r="C17" s="22" t="inlineStr">
        <is>
          <t>Buka</t>
        </is>
      </c>
    </row>
    <row r="18">
      <c r="A18" s="5" t="inlineStr">
        <is>
          <t>JCL NUSA KAMBANGAN</t>
        </is>
      </c>
      <c r="B18" s="5" t="inlineStr">
        <is>
          <t>BARAT</t>
        </is>
      </c>
      <c r="C18" s="22" t="inlineStr">
        <is>
          <t>Buka</t>
        </is>
      </c>
    </row>
    <row r="19">
      <c r="A19" s="5" t="inlineStr">
        <is>
          <t>JCL MERPATI</t>
        </is>
      </c>
      <c r="B19" s="5" t="inlineStr">
        <is>
          <t>BARAT</t>
        </is>
      </c>
      <c r="C19" s="22" t="inlineStr">
        <is>
          <t>Buka</t>
        </is>
      </c>
    </row>
    <row r="20">
      <c r="A20" s="5" t="inlineStr">
        <is>
          <t>BALI WASH</t>
        </is>
      </c>
      <c r="B20" s="5" t="inlineStr">
        <is>
          <t>BARAT</t>
        </is>
      </c>
      <c r="C20" s="22" t="inlineStr">
        <is>
          <t>Buka</t>
        </is>
      </c>
    </row>
    <row r="21">
      <c r="A21" s="5" t="inlineStr">
        <is>
          <t>RINJANI WASH</t>
        </is>
      </c>
      <c r="B21" s="5" t="inlineStr">
        <is>
          <t>BARAT</t>
        </is>
      </c>
      <c r="C21" s="22" t="inlineStr">
        <is>
          <t>Buka</t>
        </is>
      </c>
    </row>
    <row r="22">
      <c r="A22" s="5" t="inlineStr">
        <is>
          <t>MONANG MANING</t>
        </is>
      </c>
      <c r="B22" s="5" t="inlineStr">
        <is>
          <t>BARAT</t>
        </is>
      </c>
      <c r="C22" s="22" t="inlineStr">
        <is>
          <t>Buka</t>
        </is>
      </c>
    </row>
  </sheetData>
  <autoFilter ref="A3:C22"/>
  <mergeCells count="2">
    <mergeCell ref="A1:C1"/>
    <mergeCell ref="A2:C2"/>
  </mergeCells>
  <hyperlinks>
    <hyperlink ref="C4" location="'JCL SIDAKARYA'!A1" display="Buka"/>
    <hyperlink ref="C5" location="'BALI WASH GALANG'!A1" display="Buka"/>
    <hyperlink ref="C6" location="'JCL BYPASS'!A1" display="Buka"/>
    <hyperlink ref="C7" location="'JCL SESETAN'!A1" display="Buka"/>
    <hyperlink ref="C8" location="'CL SESETAN'!A1" display="Buka"/>
    <hyperlink ref="C9" location="'GRIYA ANYAR'!A1" display="Buka"/>
    <hyperlink ref="C10" location="'KLIN WASH'!A1" display="Buka"/>
    <hyperlink ref="C11" location="'LONDRI DEWE'!A1" display="Buka"/>
    <hyperlink ref="C12" location="'DIY'!A1" display="Buka"/>
    <hyperlink ref="C13" location="'JCL PEMOGAN'!A1" display="Buka"/>
    <hyperlink ref="C14" location="'JCL AYANI'!A1" display="Buka"/>
    <hyperlink ref="C15" location="'CUCI DEWE'!A1" display="Buka"/>
    <hyperlink ref="C16" location="'LONDRI DEWE ANTASURA'!A1" display="Buka"/>
    <hyperlink ref="C17" location="'GEDE LONDRI'!A1" display="Buka"/>
    <hyperlink ref="C18" location="'JCL NUSA KAMBANGAN'!A1" display="Buka"/>
    <hyperlink ref="C19" location="'JCL MERPATI'!A1" display="Buka"/>
    <hyperlink ref="C20" location="'BALI WASH'!A1" display="Buka"/>
    <hyperlink ref="C21" location="'RINJANI WASH'!A1" display="Buka"/>
    <hyperlink ref="C22" location="'MONANG MANING'!A1" display="Buka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00"/>
  <sheetViews>
    <sheetView workbookViewId="0">
      <pane ySplit="4" topLeftCell="A5" activePane="bottomLeft" state="frozen"/>
      <selection pane="bottomLeft" activeCell="A1" sqref="A1"/>
    </sheetView>
  </sheetViews>
  <sheetFormatPr baseColWidth="10" defaultColWidth="8.83203125" defaultRowHeight="15"/>
  <cols>
    <col width="16" customWidth="1" min="1" max="1"/>
    <col width="22" customWidth="1" min="2" max="2"/>
    <col width="12" customWidth="1" min="3" max="3"/>
    <col width="26" customWidth="1" min="4" max="4"/>
    <col hidden="1" width="12.6640625" customWidth="1" min="5" max="5"/>
    <col width="16" customWidth="1" min="6" max="6"/>
    <col hidden="1" width="13" customWidth="1" min="7" max="7"/>
  </cols>
  <sheetData>
    <row r="1" ht="24" customHeight="1">
      <c r="A1" s="11" t="inlineStr">
        <is>
          <t>JCL SIDAKARYA</t>
        </is>
      </c>
      <c r="F1" s="3" t="inlineStr">
        <is>
          <t>Kembali ke Beranda</t>
        </is>
      </c>
    </row>
    <row r="2">
      <c r="A2" s="13" t="inlineStr">
        <is>
          <t>Wilayah</t>
        </is>
      </c>
      <c r="B2" s="13" t="inlineStr">
        <is>
          <t>SELATAN</t>
        </is>
      </c>
      <c r="C2" s="13" t="inlineStr">
        <is>
          <t>Total Qty</t>
        </is>
      </c>
      <c r="D2" s="2">
        <f>SUMIFS('Input Transaksi'!$E$5:$E$5000,'Input Transaksi'!$B$5:$B$5000,"JCL SIDAKARYA")</f>
        <v/>
      </c>
      <c r="E2" s="13" t="inlineStr">
        <is>
          <t>Jumlah Transaksi</t>
        </is>
      </c>
      <c r="F2" s="2">
        <f>COUNTIF('Input Transaksi'!$B$5:$B$5000,"JCL SIDAKARYA")</f>
        <v/>
      </c>
    </row>
    <row r="3"/>
    <row r="4">
      <c r="A4" s="4" t="inlineStr">
        <is>
          <t>Tanggal</t>
        </is>
      </c>
      <c r="B4" s="4" t="inlineStr">
        <is>
          <t>Item</t>
        </is>
      </c>
      <c r="C4" s="4" t="inlineStr">
        <is>
          <t>Qty Keluar</t>
        </is>
      </c>
      <c r="D4" s="4" t="inlineStr">
        <is>
          <t>Catatan</t>
        </is>
      </c>
      <c r="E4" t="inlineStr">
        <is>
          <t>RowRef</t>
        </is>
      </c>
      <c r="F4" s="4" t="n"/>
    </row>
    <row r="5">
      <c r="A5" s="10">
        <f>IF($E5="","",INDEX('Input Transaksi'!$A:$A,$E5))</f>
        <v/>
      </c>
      <c r="B5" s="5">
        <f>IF($E5="","",INDEX('Input Transaksi'!$D:$D,$E5))</f>
        <v/>
      </c>
      <c r="C5">
        <f>IF($E5="","",INDEX('Input Transaksi'!$E:$E,$E5))</f>
        <v/>
      </c>
      <c r="D5" s="5">
        <f>IF($E5="","",INDEX('Input Transaksi'!$F:$F,$E5))</f>
        <v/>
      </c>
      <c r="E5">
        <f>IFERROR(AGGREGATE(15,6,ROW('Input Transaksi'!$B$5:$B$5000)/('Input Transaksi'!$B$5:$B$5000="JCL SIDAKARYA"),ROWS($E$5:E5)),"")</f>
        <v/>
      </c>
      <c r="F5" s="5" t="n"/>
    </row>
    <row r="6">
      <c r="A6" s="10">
        <f>IF($E6="","",INDEX('Input Transaksi'!$A:$A,$E6))</f>
        <v/>
      </c>
      <c r="B6" s="5">
        <f>IF($E6="","",INDEX('Input Transaksi'!$D:$D,$E6))</f>
        <v/>
      </c>
      <c r="C6">
        <f>IF($E6="","",INDEX('Input Transaksi'!$E:$E,$E6))</f>
        <v/>
      </c>
      <c r="D6" s="5">
        <f>IF($E6="","",INDEX('Input Transaksi'!$F:$F,$E6))</f>
        <v/>
      </c>
      <c r="E6">
        <f>IFERROR(AGGREGATE(15,6,ROW('Input Transaksi'!$B$5:$B$5000)/('Input Transaksi'!$B$5:$B$5000="JCL SIDAKARYA"),ROWS($E$5:E6)),"")</f>
        <v/>
      </c>
      <c r="F6" s="5" t="n"/>
    </row>
    <row r="7">
      <c r="A7" s="10">
        <f>IF($E7="","",INDEX('Input Transaksi'!$A:$A,$E7))</f>
        <v/>
      </c>
      <c r="B7" s="5">
        <f>IF($E7="","",INDEX('Input Transaksi'!$D:$D,$E7))</f>
        <v/>
      </c>
      <c r="C7">
        <f>IF($E7="","",INDEX('Input Transaksi'!$E:$E,$E7))</f>
        <v/>
      </c>
      <c r="D7" s="5">
        <f>IF($E7="","",INDEX('Input Transaksi'!$F:$F,$E7))</f>
        <v/>
      </c>
      <c r="E7">
        <f>IFERROR(AGGREGATE(15,6,ROW('Input Transaksi'!$B$5:$B$5000)/('Input Transaksi'!$B$5:$B$5000="JCL SIDAKARYA"),ROWS($E$5:E7)),"")</f>
        <v/>
      </c>
      <c r="F7" s="5" t="n"/>
    </row>
    <row r="8">
      <c r="A8" s="10">
        <f>IF($E8="","",INDEX('Input Transaksi'!$A:$A,$E8))</f>
        <v/>
      </c>
      <c r="B8" s="5">
        <f>IF($E8="","",INDEX('Input Transaksi'!$D:$D,$E8))</f>
        <v/>
      </c>
      <c r="C8">
        <f>IF($E8="","",INDEX('Input Transaksi'!$E:$E,$E8))</f>
        <v/>
      </c>
      <c r="D8" s="5">
        <f>IF($E8="","",INDEX('Input Transaksi'!$F:$F,$E8))</f>
        <v/>
      </c>
      <c r="E8">
        <f>IFERROR(AGGREGATE(15,6,ROW('Input Transaksi'!$B$5:$B$5000)/('Input Transaksi'!$B$5:$B$5000="JCL SIDAKARYA"),ROWS($E$5:E8)),"")</f>
        <v/>
      </c>
      <c r="F8" s="5" t="n"/>
    </row>
    <row r="9">
      <c r="A9" s="10">
        <f>IF($E9="","",INDEX('Input Transaksi'!$A:$A,$E9))</f>
        <v/>
      </c>
      <c r="B9" s="5">
        <f>IF($E9="","",INDEX('Input Transaksi'!$D:$D,$E9))</f>
        <v/>
      </c>
      <c r="C9">
        <f>IF($E9="","",INDEX('Input Transaksi'!$E:$E,$E9))</f>
        <v/>
      </c>
      <c r="D9" s="5">
        <f>IF($E9="","",INDEX('Input Transaksi'!$F:$F,$E9))</f>
        <v/>
      </c>
      <c r="E9">
        <f>IFERROR(AGGREGATE(15,6,ROW('Input Transaksi'!$B$5:$B$5000)/('Input Transaksi'!$B$5:$B$5000="JCL SIDAKARYA"),ROWS($E$5:E9)),"")</f>
        <v/>
      </c>
      <c r="F9" s="5" t="n"/>
    </row>
    <row r="10">
      <c r="A10" s="10">
        <f>IF($E10="","",INDEX('Input Transaksi'!$A:$A,$E10))</f>
        <v/>
      </c>
      <c r="B10" s="5">
        <f>IF($E10="","",INDEX('Input Transaksi'!$D:$D,$E10))</f>
        <v/>
      </c>
      <c r="C10">
        <f>IF($E10="","",INDEX('Input Transaksi'!$E:$E,$E10))</f>
        <v/>
      </c>
      <c r="D10" s="5">
        <f>IF($E10="","",INDEX('Input Transaksi'!$F:$F,$E10))</f>
        <v/>
      </c>
      <c r="E10">
        <f>IFERROR(AGGREGATE(15,6,ROW('Input Transaksi'!$B$5:$B$5000)/('Input Transaksi'!$B$5:$B$5000="JCL SIDAKARYA"),ROWS($E$5:E10)),"")</f>
        <v/>
      </c>
      <c r="F10" s="5" t="n"/>
    </row>
    <row r="11">
      <c r="A11" s="10">
        <f>IF($E11="","",INDEX('Input Transaksi'!$A:$A,$E11))</f>
        <v/>
      </c>
      <c r="B11" s="5">
        <f>IF($E11="","",INDEX('Input Transaksi'!$D:$D,$E11))</f>
        <v/>
      </c>
      <c r="C11">
        <f>IF($E11="","",INDEX('Input Transaksi'!$E:$E,$E11))</f>
        <v/>
      </c>
      <c r="D11" s="5">
        <f>IF($E11="","",INDEX('Input Transaksi'!$F:$F,$E11))</f>
        <v/>
      </c>
      <c r="E11">
        <f>IFERROR(AGGREGATE(15,6,ROW('Input Transaksi'!$B$5:$B$5000)/('Input Transaksi'!$B$5:$B$5000="JCL SIDAKARYA"),ROWS($E$5:E11)),"")</f>
        <v/>
      </c>
      <c r="F11" s="5" t="n"/>
    </row>
    <row r="12">
      <c r="A12" s="10">
        <f>IF($E12="","",INDEX('Input Transaksi'!$A:$A,$E12))</f>
        <v/>
      </c>
      <c r="B12" s="5">
        <f>IF($E12="","",INDEX('Input Transaksi'!$D:$D,$E12))</f>
        <v/>
      </c>
      <c r="C12">
        <f>IF($E12="","",INDEX('Input Transaksi'!$E:$E,$E12))</f>
        <v/>
      </c>
      <c r="D12" s="5">
        <f>IF($E12="","",INDEX('Input Transaksi'!$F:$F,$E12))</f>
        <v/>
      </c>
      <c r="E12">
        <f>IFERROR(AGGREGATE(15,6,ROW('Input Transaksi'!$B$5:$B$5000)/('Input Transaksi'!$B$5:$B$5000="JCL SIDAKARYA"),ROWS($E$5:E12)),"")</f>
        <v/>
      </c>
      <c r="F12" s="5" t="n"/>
    </row>
    <row r="13">
      <c r="A13" s="10">
        <f>IF($E13="","",INDEX('Input Transaksi'!$A:$A,$E13))</f>
        <v/>
      </c>
      <c r="B13" s="5">
        <f>IF($E13="","",INDEX('Input Transaksi'!$D:$D,$E13))</f>
        <v/>
      </c>
      <c r="C13">
        <f>IF($E13="","",INDEX('Input Transaksi'!$E:$E,$E13))</f>
        <v/>
      </c>
      <c r="D13" s="5">
        <f>IF($E13="","",INDEX('Input Transaksi'!$F:$F,$E13))</f>
        <v/>
      </c>
      <c r="E13">
        <f>IFERROR(AGGREGATE(15,6,ROW('Input Transaksi'!$B$5:$B$5000)/('Input Transaksi'!$B$5:$B$5000="JCL SIDAKARYA"),ROWS($E$5:E13)),"")</f>
        <v/>
      </c>
      <c r="F13" s="5" t="n"/>
    </row>
    <row r="14">
      <c r="A14" s="10">
        <f>IF($E14="","",INDEX('Input Transaksi'!$A:$A,$E14))</f>
        <v/>
      </c>
      <c r="B14" s="5">
        <f>IF($E14="","",INDEX('Input Transaksi'!$D:$D,$E14))</f>
        <v/>
      </c>
      <c r="C14">
        <f>IF($E14="","",INDEX('Input Transaksi'!$E:$E,$E14))</f>
        <v/>
      </c>
      <c r="D14" s="5">
        <f>IF($E14="","",INDEX('Input Transaksi'!$F:$F,$E14))</f>
        <v/>
      </c>
      <c r="E14">
        <f>IFERROR(AGGREGATE(15,6,ROW('Input Transaksi'!$B$5:$B$5000)/('Input Transaksi'!$B$5:$B$5000="JCL SIDAKARYA"),ROWS($E$5:E14)),"")</f>
        <v/>
      </c>
      <c r="F14" s="5" t="n"/>
    </row>
    <row r="15">
      <c r="A15" s="10">
        <f>IF($E15="","",INDEX('Input Transaksi'!$A:$A,$E15))</f>
        <v/>
      </c>
      <c r="B15" s="5">
        <f>IF($E15="","",INDEX('Input Transaksi'!$D:$D,$E15))</f>
        <v/>
      </c>
      <c r="C15">
        <f>IF($E15="","",INDEX('Input Transaksi'!$E:$E,$E15))</f>
        <v/>
      </c>
      <c r="D15" s="5">
        <f>IF($E15="","",INDEX('Input Transaksi'!$F:$F,$E15))</f>
        <v/>
      </c>
      <c r="E15">
        <f>IFERROR(AGGREGATE(15,6,ROW('Input Transaksi'!$B$5:$B$5000)/('Input Transaksi'!$B$5:$B$5000="JCL SIDAKARYA"),ROWS($E$5:E15)),"")</f>
        <v/>
      </c>
      <c r="F15" s="5" t="n"/>
    </row>
    <row r="16">
      <c r="A16" s="10">
        <f>IF($E16="","",INDEX('Input Transaksi'!$A:$A,$E16))</f>
        <v/>
      </c>
      <c r="B16" s="5">
        <f>IF($E16="","",INDEX('Input Transaksi'!$D:$D,$E16))</f>
        <v/>
      </c>
      <c r="C16">
        <f>IF($E16="","",INDEX('Input Transaksi'!$E:$E,$E16))</f>
        <v/>
      </c>
      <c r="D16" s="5">
        <f>IF($E16="","",INDEX('Input Transaksi'!$F:$F,$E16))</f>
        <v/>
      </c>
      <c r="E16">
        <f>IFERROR(AGGREGATE(15,6,ROW('Input Transaksi'!$B$5:$B$5000)/('Input Transaksi'!$B$5:$B$5000="JCL SIDAKARYA"),ROWS($E$5:E16)),"")</f>
        <v/>
      </c>
      <c r="F16" s="5" t="n"/>
    </row>
    <row r="17">
      <c r="A17" s="10">
        <f>IF($E17="","",INDEX('Input Transaksi'!$A:$A,$E17))</f>
        <v/>
      </c>
      <c r="B17" s="5">
        <f>IF($E17="","",INDEX('Input Transaksi'!$D:$D,$E17))</f>
        <v/>
      </c>
      <c r="C17">
        <f>IF($E17="","",INDEX('Input Transaksi'!$E:$E,$E17))</f>
        <v/>
      </c>
      <c r="D17" s="5">
        <f>IF($E17="","",INDEX('Input Transaksi'!$F:$F,$E17))</f>
        <v/>
      </c>
      <c r="E17">
        <f>IFERROR(AGGREGATE(15,6,ROW('Input Transaksi'!$B$5:$B$5000)/('Input Transaksi'!$B$5:$B$5000="JCL SIDAKARYA"),ROWS($E$5:E17)),"")</f>
        <v/>
      </c>
      <c r="F17" s="5" t="n"/>
    </row>
    <row r="18">
      <c r="A18" s="10">
        <f>IF($E18="","",INDEX('Input Transaksi'!$A:$A,$E18))</f>
        <v/>
      </c>
      <c r="B18" s="5">
        <f>IF($E18="","",INDEX('Input Transaksi'!$D:$D,$E18))</f>
        <v/>
      </c>
      <c r="C18">
        <f>IF($E18="","",INDEX('Input Transaksi'!$E:$E,$E18))</f>
        <v/>
      </c>
      <c r="D18" s="5">
        <f>IF($E18="","",INDEX('Input Transaksi'!$F:$F,$E18))</f>
        <v/>
      </c>
      <c r="E18">
        <f>IFERROR(AGGREGATE(15,6,ROW('Input Transaksi'!$B$5:$B$5000)/('Input Transaksi'!$B$5:$B$5000="JCL SIDAKARYA"),ROWS($E$5:E18)),"")</f>
        <v/>
      </c>
      <c r="F18" s="5" t="n"/>
    </row>
    <row r="19">
      <c r="A19" s="10">
        <f>IF($E19="","",INDEX('Input Transaksi'!$A:$A,$E19))</f>
        <v/>
      </c>
      <c r="B19" s="5">
        <f>IF($E19="","",INDEX('Input Transaksi'!$D:$D,$E19))</f>
        <v/>
      </c>
      <c r="C19">
        <f>IF($E19="","",INDEX('Input Transaksi'!$E:$E,$E19))</f>
        <v/>
      </c>
      <c r="D19" s="5">
        <f>IF($E19="","",INDEX('Input Transaksi'!$F:$F,$E19))</f>
        <v/>
      </c>
      <c r="E19">
        <f>IFERROR(AGGREGATE(15,6,ROW('Input Transaksi'!$B$5:$B$5000)/('Input Transaksi'!$B$5:$B$5000="JCL SIDAKARYA"),ROWS($E$5:E19)),"")</f>
        <v/>
      </c>
      <c r="F19" s="5" t="n"/>
    </row>
    <row r="20">
      <c r="A20" s="10">
        <f>IF($E20="","",INDEX('Input Transaksi'!$A:$A,$E20))</f>
        <v/>
      </c>
      <c r="B20" s="5">
        <f>IF($E20="","",INDEX('Input Transaksi'!$D:$D,$E20))</f>
        <v/>
      </c>
      <c r="C20">
        <f>IF($E20="","",INDEX('Input Transaksi'!$E:$E,$E20))</f>
        <v/>
      </c>
      <c r="D20" s="5">
        <f>IF($E20="","",INDEX('Input Transaksi'!$F:$F,$E20))</f>
        <v/>
      </c>
      <c r="E20">
        <f>IFERROR(AGGREGATE(15,6,ROW('Input Transaksi'!$B$5:$B$5000)/('Input Transaksi'!$B$5:$B$5000="JCL SIDAKARYA"),ROWS($E$5:E20)),"")</f>
        <v/>
      </c>
      <c r="F20" s="5" t="n"/>
    </row>
    <row r="21">
      <c r="A21" s="10">
        <f>IF($E21="","",INDEX('Input Transaksi'!$A:$A,$E21))</f>
        <v/>
      </c>
      <c r="B21" s="5">
        <f>IF($E21="","",INDEX('Input Transaksi'!$D:$D,$E21))</f>
        <v/>
      </c>
      <c r="C21">
        <f>IF($E21="","",INDEX('Input Transaksi'!$E:$E,$E21))</f>
        <v/>
      </c>
      <c r="D21" s="5">
        <f>IF($E21="","",INDEX('Input Transaksi'!$F:$F,$E21))</f>
        <v/>
      </c>
      <c r="E21">
        <f>IFERROR(AGGREGATE(15,6,ROW('Input Transaksi'!$B$5:$B$5000)/('Input Transaksi'!$B$5:$B$5000="JCL SIDAKARYA"),ROWS($E$5:E21)),"")</f>
        <v/>
      </c>
      <c r="F21" s="5" t="n"/>
    </row>
    <row r="22">
      <c r="A22" s="10">
        <f>IF($E22="","",INDEX('Input Transaksi'!$A:$A,$E22))</f>
        <v/>
      </c>
      <c r="B22" s="5">
        <f>IF($E22="","",INDEX('Input Transaksi'!$D:$D,$E22))</f>
        <v/>
      </c>
      <c r="C22">
        <f>IF($E22="","",INDEX('Input Transaksi'!$E:$E,$E22))</f>
        <v/>
      </c>
      <c r="D22" s="5">
        <f>IF($E22="","",INDEX('Input Transaksi'!$F:$F,$E22))</f>
        <v/>
      </c>
      <c r="E22">
        <f>IFERROR(AGGREGATE(15,6,ROW('Input Transaksi'!$B$5:$B$5000)/('Input Transaksi'!$B$5:$B$5000="JCL SIDAKARYA"),ROWS($E$5:E22)),"")</f>
        <v/>
      </c>
      <c r="F22" s="5" t="n"/>
    </row>
    <row r="23">
      <c r="A23" s="10">
        <f>IF($E23="","",INDEX('Input Transaksi'!$A:$A,$E23))</f>
        <v/>
      </c>
      <c r="B23" s="5">
        <f>IF($E23="","",INDEX('Input Transaksi'!$D:$D,$E23))</f>
        <v/>
      </c>
      <c r="C23">
        <f>IF($E23="","",INDEX('Input Transaksi'!$E:$E,$E23))</f>
        <v/>
      </c>
      <c r="D23" s="5">
        <f>IF($E23="","",INDEX('Input Transaksi'!$F:$F,$E23))</f>
        <v/>
      </c>
      <c r="E23">
        <f>IFERROR(AGGREGATE(15,6,ROW('Input Transaksi'!$B$5:$B$5000)/('Input Transaksi'!$B$5:$B$5000="JCL SIDAKARYA"),ROWS($E$5:E23)),"")</f>
        <v/>
      </c>
      <c r="F23" s="5" t="n"/>
    </row>
    <row r="24">
      <c r="A24" s="10">
        <f>IF($E24="","",INDEX('Input Transaksi'!$A:$A,$E24))</f>
        <v/>
      </c>
      <c r="B24" s="5">
        <f>IF($E24="","",INDEX('Input Transaksi'!$D:$D,$E24))</f>
        <v/>
      </c>
      <c r="C24">
        <f>IF($E24="","",INDEX('Input Transaksi'!$E:$E,$E24))</f>
        <v/>
      </c>
      <c r="D24" s="5">
        <f>IF($E24="","",INDEX('Input Transaksi'!$F:$F,$E24))</f>
        <v/>
      </c>
      <c r="E24">
        <f>IFERROR(AGGREGATE(15,6,ROW('Input Transaksi'!$B$5:$B$5000)/('Input Transaksi'!$B$5:$B$5000="JCL SIDAKARYA"),ROWS($E$5:E24)),"")</f>
        <v/>
      </c>
      <c r="F24" s="5" t="n"/>
    </row>
    <row r="25">
      <c r="A25" s="10">
        <f>IF($E25="","",INDEX('Input Transaksi'!$A:$A,$E25))</f>
        <v/>
      </c>
      <c r="B25" s="5">
        <f>IF($E25="","",INDEX('Input Transaksi'!$D:$D,$E25))</f>
        <v/>
      </c>
      <c r="C25">
        <f>IF($E25="","",INDEX('Input Transaksi'!$E:$E,$E25))</f>
        <v/>
      </c>
      <c r="D25" s="5">
        <f>IF($E25="","",INDEX('Input Transaksi'!$F:$F,$E25))</f>
        <v/>
      </c>
      <c r="E25">
        <f>IFERROR(AGGREGATE(15,6,ROW('Input Transaksi'!$B$5:$B$5000)/('Input Transaksi'!$B$5:$B$5000="JCL SIDAKARYA"),ROWS($E$5:E25)),"")</f>
        <v/>
      </c>
      <c r="F25" s="5" t="n"/>
    </row>
    <row r="26">
      <c r="A26" s="10">
        <f>IF($E26="","",INDEX('Input Transaksi'!$A:$A,$E26))</f>
        <v/>
      </c>
      <c r="B26" s="5">
        <f>IF($E26="","",INDEX('Input Transaksi'!$D:$D,$E26))</f>
        <v/>
      </c>
      <c r="C26">
        <f>IF($E26="","",INDEX('Input Transaksi'!$E:$E,$E26))</f>
        <v/>
      </c>
      <c r="D26" s="5">
        <f>IF($E26="","",INDEX('Input Transaksi'!$F:$F,$E26))</f>
        <v/>
      </c>
      <c r="E26">
        <f>IFERROR(AGGREGATE(15,6,ROW('Input Transaksi'!$B$5:$B$5000)/('Input Transaksi'!$B$5:$B$5000="JCL SIDAKARYA"),ROWS($E$5:E26)),"")</f>
        <v/>
      </c>
      <c r="F26" s="5" t="n"/>
    </row>
    <row r="27">
      <c r="A27" s="10">
        <f>IF($E27="","",INDEX('Input Transaksi'!$A:$A,$E27))</f>
        <v/>
      </c>
      <c r="B27" s="5">
        <f>IF($E27="","",INDEX('Input Transaksi'!$D:$D,$E27))</f>
        <v/>
      </c>
      <c r="C27">
        <f>IF($E27="","",INDEX('Input Transaksi'!$E:$E,$E27))</f>
        <v/>
      </c>
      <c r="D27" s="5">
        <f>IF($E27="","",INDEX('Input Transaksi'!$F:$F,$E27))</f>
        <v/>
      </c>
      <c r="E27">
        <f>IFERROR(AGGREGATE(15,6,ROW('Input Transaksi'!$B$5:$B$5000)/('Input Transaksi'!$B$5:$B$5000="JCL SIDAKARYA"),ROWS($E$5:E27)),"")</f>
        <v/>
      </c>
      <c r="F27" s="5" t="n"/>
    </row>
    <row r="28">
      <c r="A28" s="10">
        <f>IF($E28="","",INDEX('Input Transaksi'!$A:$A,$E28))</f>
        <v/>
      </c>
      <c r="B28" s="5">
        <f>IF($E28="","",INDEX('Input Transaksi'!$D:$D,$E28))</f>
        <v/>
      </c>
      <c r="C28">
        <f>IF($E28="","",INDEX('Input Transaksi'!$E:$E,$E28))</f>
        <v/>
      </c>
      <c r="D28" s="5">
        <f>IF($E28="","",INDEX('Input Transaksi'!$F:$F,$E28))</f>
        <v/>
      </c>
      <c r="E28">
        <f>IFERROR(AGGREGATE(15,6,ROW('Input Transaksi'!$B$5:$B$5000)/('Input Transaksi'!$B$5:$B$5000="JCL SIDAKARYA"),ROWS($E$5:E28)),"")</f>
        <v/>
      </c>
      <c r="F28" s="5" t="n"/>
    </row>
    <row r="29">
      <c r="A29" s="10">
        <f>IF($E29="","",INDEX('Input Transaksi'!$A:$A,$E29))</f>
        <v/>
      </c>
      <c r="B29" s="5">
        <f>IF($E29="","",INDEX('Input Transaksi'!$D:$D,$E29))</f>
        <v/>
      </c>
      <c r="C29">
        <f>IF($E29="","",INDEX('Input Transaksi'!$E:$E,$E29))</f>
        <v/>
      </c>
      <c r="D29" s="5">
        <f>IF($E29="","",INDEX('Input Transaksi'!$F:$F,$E29))</f>
        <v/>
      </c>
      <c r="E29">
        <f>IFERROR(AGGREGATE(15,6,ROW('Input Transaksi'!$B$5:$B$5000)/('Input Transaksi'!$B$5:$B$5000="JCL SIDAKARYA"),ROWS($E$5:E29)),"")</f>
        <v/>
      </c>
      <c r="F29" s="5" t="n"/>
    </row>
    <row r="30">
      <c r="A30" s="10">
        <f>IF($E30="","",INDEX('Input Transaksi'!$A:$A,$E30))</f>
        <v/>
      </c>
      <c r="B30" s="5">
        <f>IF($E30="","",INDEX('Input Transaksi'!$D:$D,$E30))</f>
        <v/>
      </c>
      <c r="C30">
        <f>IF($E30="","",INDEX('Input Transaksi'!$E:$E,$E30))</f>
        <v/>
      </c>
      <c r="D30" s="5">
        <f>IF($E30="","",INDEX('Input Transaksi'!$F:$F,$E30))</f>
        <v/>
      </c>
      <c r="E30">
        <f>IFERROR(AGGREGATE(15,6,ROW('Input Transaksi'!$B$5:$B$5000)/('Input Transaksi'!$B$5:$B$5000="JCL SIDAKARYA"),ROWS($E$5:E30)),"")</f>
        <v/>
      </c>
      <c r="F30" s="5" t="n"/>
    </row>
    <row r="31">
      <c r="A31" s="10">
        <f>IF($E31="","",INDEX('Input Transaksi'!$A:$A,$E31))</f>
        <v/>
      </c>
      <c r="B31" s="5">
        <f>IF($E31="","",INDEX('Input Transaksi'!$D:$D,$E31))</f>
        <v/>
      </c>
      <c r="C31">
        <f>IF($E31="","",INDEX('Input Transaksi'!$E:$E,$E31))</f>
        <v/>
      </c>
      <c r="D31" s="5">
        <f>IF($E31="","",INDEX('Input Transaksi'!$F:$F,$E31))</f>
        <v/>
      </c>
      <c r="E31">
        <f>IFERROR(AGGREGATE(15,6,ROW('Input Transaksi'!$B$5:$B$5000)/('Input Transaksi'!$B$5:$B$5000="JCL SIDAKARYA"),ROWS($E$5:E31)),"")</f>
        <v/>
      </c>
      <c r="F31" s="5" t="n"/>
    </row>
    <row r="32">
      <c r="A32" s="10">
        <f>IF($E32="","",INDEX('Input Transaksi'!$A:$A,$E32))</f>
        <v/>
      </c>
      <c r="B32" s="5">
        <f>IF($E32="","",INDEX('Input Transaksi'!$D:$D,$E32))</f>
        <v/>
      </c>
      <c r="C32">
        <f>IF($E32="","",INDEX('Input Transaksi'!$E:$E,$E32))</f>
        <v/>
      </c>
      <c r="D32" s="5">
        <f>IF($E32="","",INDEX('Input Transaksi'!$F:$F,$E32))</f>
        <v/>
      </c>
      <c r="E32">
        <f>IFERROR(AGGREGATE(15,6,ROW('Input Transaksi'!$B$5:$B$5000)/('Input Transaksi'!$B$5:$B$5000="JCL SIDAKARYA"),ROWS($E$5:E32)),"")</f>
        <v/>
      </c>
      <c r="F32" s="5" t="n"/>
    </row>
    <row r="33">
      <c r="A33" s="10">
        <f>IF($E33="","",INDEX('Input Transaksi'!$A:$A,$E33))</f>
        <v/>
      </c>
      <c r="B33" s="5">
        <f>IF($E33="","",INDEX('Input Transaksi'!$D:$D,$E33))</f>
        <v/>
      </c>
      <c r="C33">
        <f>IF($E33="","",INDEX('Input Transaksi'!$E:$E,$E33))</f>
        <v/>
      </c>
      <c r="D33" s="5">
        <f>IF($E33="","",INDEX('Input Transaksi'!$F:$F,$E33))</f>
        <v/>
      </c>
      <c r="E33">
        <f>IFERROR(AGGREGATE(15,6,ROW('Input Transaksi'!$B$5:$B$5000)/('Input Transaksi'!$B$5:$B$5000="JCL SIDAKARYA"),ROWS($E$5:E33)),"")</f>
        <v/>
      </c>
      <c r="F33" s="5" t="n"/>
    </row>
    <row r="34">
      <c r="A34" s="10">
        <f>IF($E34="","",INDEX('Input Transaksi'!$A:$A,$E34))</f>
        <v/>
      </c>
      <c r="B34" s="5">
        <f>IF($E34="","",INDEX('Input Transaksi'!$D:$D,$E34))</f>
        <v/>
      </c>
      <c r="C34">
        <f>IF($E34="","",INDEX('Input Transaksi'!$E:$E,$E34))</f>
        <v/>
      </c>
      <c r="D34" s="5">
        <f>IF($E34="","",INDEX('Input Transaksi'!$F:$F,$E34))</f>
        <v/>
      </c>
      <c r="E34">
        <f>IFERROR(AGGREGATE(15,6,ROW('Input Transaksi'!$B$5:$B$5000)/('Input Transaksi'!$B$5:$B$5000="JCL SIDAKARYA"),ROWS($E$5:E34)),"")</f>
        <v/>
      </c>
      <c r="F34" s="5" t="n"/>
    </row>
    <row r="35">
      <c r="A35" s="10">
        <f>IF($E35="","",INDEX('Input Transaksi'!$A:$A,$E35))</f>
        <v/>
      </c>
      <c r="B35" s="5">
        <f>IF($E35="","",INDEX('Input Transaksi'!$D:$D,$E35))</f>
        <v/>
      </c>
      <c r="C35">
        <f>IF($E35="","",INDEX('Input Transaksi'!$E:$E,$E35))</f>
        <v/>
      </c>
      <c r="D35" s="5">
        <f>IF($E35="","",INDEX('Input Transaksi'!$F:$F,$E35))</f>
        <v/>
      </c>
      <c r="E35">
        <f>IFERROR(AGGREGATE(15,6,ROW('Input Transaksi'!$B$5:$B$5000)/('Input Transaksi'!$B$5:$B$5000="JCL SIDAKARYA"),ROWS($E$5:E35)),"")</f>
        <v/>
      </c>
      <c r="F35" s="5" t="n"/>
    </row>
    <row r="36">
      <c r="A36" s="10">
        <f>IF($E36="","",INDEX('Input Transaksi'!$A:$A,$E36))</f>
        <v/>
      </c>
      <c r="B36" s="5">
        <f>IF($E36="","",INDEX('Input Transaksi'!$D:$D,$E36))</f>
        <v/>
      </c>
      <c r="C36">
        <f>IF($E36="","",INDEX('Input Transaksi'!$E:$E,$E36))</f>
        <v/>
      </c>
      <c r="D36" s="5">
        <f>IF($E36="","",INDEX('Input Transaksi'!$F:$F,$E36))</f>
        <v/>
      </c>
      <c r="E36">
        <f>IFERROR(AGGREGATE(15,6,ROW('Input Transaksi'!$B$5:$B$5000)/('Input Transaksi'!$B$5:$B$5000="JCL SIDAKARYA"),ROWS($E$5:E36)),"")</f>
        <v/>
      </c>
      <c r="F36" s="5" t="n"/>
    </row>
    <row r="37">
      <c r="A37" s="10">
        <f>IF($E37="","",INDEX('Input Transaksi'!$A:$A,$E37))</f>
        <v/>
      </c>
      <c r="B37" s="5">
        <f>IF($E37="","",INDEX('Input Transaksi'!$D:$D,$E37))</f>
        <v/>
      </c>
      <c r="C37">
        <f>IF($E37="","",INDEX('Input Transaksi'!$E:$E,$E37))</f>
        <v/>
      </c>
      <c r="D37" s="5">
        <f>IF($E37="","",INDEX('Input Transaksi'!$F:$F,$E37))</f>
        <v/>
      </c>
      <c r="E37">
        <f>IFERROR(AGGREGATE(15,6,ROW('Input Transaksi'!$B$5:$B$5000)/('Input Transaksi'!$B$5:$B$5000="JCL SIDAKARYA"),ROWS($E$5:E37)),"")</f>
        <v/>
      </c>
      <c r="F37" s="5" t="n"/>
    </row>
    <row r="38">
      <c r="A38" s="10">
        <f>IF($E38="","",INDEX('Input Transaksi'!$A:$A,$E38))</f>
        <v/>
      </c>
      <c r="B38" s="5">
        <f>IF($E38="","",INDEX('Input Transaksi'!$D:$D,$E38))</f>
        <v/>
      </c>
      <c r="C38">
        <f>IF($E38="","",INDEX('Input Transaksi'!$E:$E,$E38))</f>
        <v/>
      </c>
      <c r="D38" s="5">
        <f>IF($E38="","",INDEX('Input Transaksi'!$F:$F,$E38))</f>
        <v/>
      </c>
      <c r="E38">
        <f>IFERROR(AGGREGATE(15,6,ROW('Input Transaksi'!$B$5:$B$5000)/('Input Transaksi'!$B$5:$B$5000="JCL SIDAKARYA"),ROWS($E$5:E38)),"")</f>
        <v/>
      </c>
      <c r="F38" s="5" t="n"/>
    </row>
    <row r="39">
      <c r="A39" s="10">
        <f>IF($E39="","",INDEX('Input Transaksi'!$A:$A,$E39))</f>
        <v/>
      </c>
      <c r="B39" s="5">
        <f>IF($E39="","",INDEX('Input Transaksi'!$D:$D,$E39))</f>
        <v/>
      </c>
      <c r="C39">
        <f>IF($E39="","",INDEX('Input Transaksi'!$E:$E,$E39))</f>
        <v/>
      </c>
      <c r="D39" s="5">
        <f>IF($E39="","",INDEX('Input Transaksi'!$F:$F,$E39))</f>
        <v/>
      </c>
      <c r="E39">
        <f>IFERROR(AGGREGATE(15,6,ROW('Input Transaksi'!$B$5:$B$5000)/('Input Transaksi'!$B$5:$B$5000="JCL SIDAKARYA"),ROWS($E$5:E39)),"")</f>
        <v/>
      </c>
      <c r="F39" s="5" t="n"/>
    </row>
    <row r="40">
      <c r="A40" s="10">
        <f>IF($E40="","",INDEX('Input Transaksi'!$A:$A,$E40))</f>
        <v/>
      </c>
      <c r="B40" s="5">
        <f>IF($E40="","",INDEX('Input Transaksi'!$D:$D,$E40))</f>
        <v/>
      </c>
      <c r="C40">
        <f>IF($E40="","",INDEX('Input Transaksi'!$E:$E,$E40))</f>
        <v/>
      </c>
      <c r="D40" s="5">
        <f>IF($E40="","",INDEX('Input Transaksi'!$F:$F,$E40))</f>
        <v/>
      </c>
      <c r="E40">
        <f>IFERROR(AGGREGATE(15,6,ROW('Input Transaksi'!$B$5:$B$5000)/('Input Transaksi'!$B$5:$B$5000="JCL SIDAKARYA"),ROWS($E$5:E40)),"")</f>
        <v/>
      </c>
      <c r="F40" s="5" t="n"/>
    </row>
    <row r="41">
      <c r="A41" s="10">
        <f>IF($E41="","",INDEX('Input Transaksi'!$A:$A,$E41))</f>
        <v/>
      </c>
      <c r="B41" s="5">
        <f>IF($E41="","",INDEX('Input Transaksi'!$D:$D,$E41))</f>
        <v/>
      </c>
      <c r="C41">
        <f>IF($E41="","",INDEX('Input Transaksi'!$E:$E,$E41))</f>
        <v/>
      </c>
      <c r="D41" s="5">
        <f>IF($E41="","",INDEX('Input Transaksi'!$F:$F,$E41))</f>
        <v/>
      </c>
      <c r="E41">
        <f>IFERROR(AGGREGATE(15,6,ROW('Input Transaksi'!$B$5:$B$5000)/('Input Transaksi'!$B$5:$B$5000="JCL SIDAKARYA"),ROWS($E$5:E41)),"")</f>
        <v/>
      </c>
      <c r="F41" s="5" t="n"/>
    </row>
    <row r="42">
      <c r="A42" s="10">
        <f>IF($E42="","",INDEX('Input Transaksi'!$A:$A,$E42))</f>
        <v/>
      </c>
      <c r="B42" s="5">
        <f>IF($E42="","",INDEX('Input Transaksi'!$D:$D,$E42))</f>
        <v/>
      </c>
      <c r="C42">
        <f>IF($E42="","",INDEX('Input Transaksi'!$E:$E,$E42))</f>
        <v/>
      </c>
      <c r="D42" s="5">
        <f>IF($E42="","",INDEX('Input Transaksi'!$F:$F,$E42))</f>
        <v/>
      </c>
      <c r="E42">
        <f>IFERROR(AGGREGATE(15,6,ROW('Input Transaksi'!$B$5:$B$5000)/('Input Transaksi'!$B$5:$B$5000="JCL SIDAKARYA"),ROWS($E$5:E42)),"")</f>
        <v/>
      </c>
      <c r="F42" s="5" t="n"/>
    </row>
    <row r="43">
      <c r="A43" s="10">
        <f>IF($E43="","",INDEX('Input Transaksi'!$A:$A,$E43))</f>
        <v/>
      </c>
      <c r="B43" s="5">
        <f>IF($E43="","",INDEX('Input Transaksi'!$D:$D,$E43))</f>
        <v/>
      </c>
      <c r="C43">
        <f>IF($E43="","",INDEX('Input Transaksi'!$E:$E,$E43))</f>
        <v/>
      </c>
      <c r="D43" s="5">
        <f>IF($E43="","",INDEX('Input Transaksi'!$F:$F,$E43))</f>
        <v/>
      </c>
      <c r="E43">
        <f>IFERROR(AGGREGATE(15,6,ROW('Input Transaksi'!$B$5:$B$5000)/('Input Transaksi'!$B$5:$B$5000="JCL SIDAKARYA"),ROWS($E$5:E43)),"")</f>
        <v/>
      </c>
      <c r="F43" s="5" t="n"/>
    </row>
    <row r="44">
      <c r="A44" s="10">
        <f>IF($E44="","",INDEX('Input Transaksi'!$A:$A,$E44))</f>
        <v/>
      </c>
      <c r="B44" s="5">
        <f>IF($E44="","",INDEX('Input Transaksi'!$D:$D,$E44))</f>
        <v/>
      </c>
      <c r="C44">
        <f>IF($E44="","",INDEX('Input Transaksi'!$E:$E,$E44))</f>
        <v/>
      </c>
      <c r="D44" s="5">
        <f>IF($E44="","",INDEX('Input Transaksi'!$F:$F,$E44))</f>
        <v/>
      </c>
      <c r="E44">
        <f>IFERROR(AGGREGATE(15,6,ROW('Input Transaksi'!$B$5:$B$5000)/('Input Transaksi'!$B$5:$B$5000="JCL SIDAKARYA"),ROWS($E$5:E44)),"")</f>
        <v/>
      </c>
      <c r="F44" s="5" t="n"/>
    </row>
    <row r="45">
      <c r="A45" s="10">
        <f>IF($E45="","",INDEX('Input Transaksi'!$A:$A,$E45))</f>
        <v/>
      </c>
      <c r="B45" s="5">
        <f>IF($E45="","",INDEX('Input Transaksi'!$D:$D,$E45))</f>
        <v/>
      </c>
      <c r="C45">
        <f>IF($E45="","",INDEX('Input Transaksi'!$E:$E,$E45))</f>
        <v/>
      </c>
      <c r="D45" s="5">
        <f>IF($E45="","",INDEX('Input Transaksi'!$F:$F,$E45))</f>
        <v/>
      </c>
      <c r="E45">
        <f>IFERROR(AGGREGATE(15,6,ROW('Input Transaksi'!$B$5:$B$5000)/('Input Transaksi'!$B$5:$B$5000="JCL SIDAKARYA"),ROWS($E$5:E45)),"")</f>
        <v/>
      </c>
      <c r="F45" s="5" t="n"/>
    </row>
    <row r="46">
      <c r="A46" s="10">
        <f>IF($E46="","",INDEX('Input Transaksi'!$A:$A,$E46))</f>
        <v/>
      </c>
      <c r="B46" s="5">
        <f>IF($E46="","",INDEX('Input Transaksi'!$D:$D,$E46))</f>
        <v/>
      </c>
      <c r="C46">
        <f>IF($E46="","",INDEX('Input Transaksi'!$E:$E,$E46))</f>
        <v/>
      </c>
      <c r="D46" s="5">
        <f>IF($E46="","",INDEX('Input Transaksi'!$F:$F,$E46))</f>
        <v/>
      </c>
      <c r="E46">
        <f>IFERROR(AGGREGATE(15,6,ROW('Input Transaksi'!$B$5:$B$5000)/('Input Transaksi'!$B$5:$B$5000="JCL SIDAKARYA"),ROWS($E$5:E46)),"")</f>
        <v/>
      </c>
      <c r="F46" s="5" t="n"/>
    </row>
    <row r="47">
      <c r="A47" s="10">
        <f>IF($E47="","",INDEX('Input Transaksi'!$A:$A,$E47))</f>
        <v/>
      </c>
      <c r="B47" s="5">
        <f>IF($E47="","",INDEX('Input Transaksi'!$D:$D,$E47))</f>
        <v/>
      </c>
      <c r="C47">
        <f>IF($E47="","",INDEX('Input Transaksi'!$E:$E,$E47))</f>
        <v/>
      </c>
      <c r="D47" s="5">
        <f>IF($E47="","",INDEX('Input Transaksi'!$F:$F,$E47))</f>
        <v/>
      </c>
      <c r="E47">
        <f>IFERROR(AGGREGATE(15,6,ROW('Input Transaksi'!$B$5:$B$5000)/('Input Transaksi'!$B$5:$B$5000="JCL SIDAKARYA"),ROWS($E$5:E47)),"")</f>
        <v/>
      </c>
      <c r="F47" s="5" t="n"/>
    </row>
    <row r="48">
      <c r="A48" s="10">
        <f>IF($E48="","",INDEX('Input Transaksi'!$A:$A,$E48))</f>
        <v/>
      </c>
      <c r="B48" s="5">
        <f>IF($E48="","",INDEX('Input Transaksi'!$D:$D,$E48))</f>
        <v/>
      </c>
      <c r="C48">
        <f>IF($E48="","",INDEX('Input Transaksi'!$E:$E,$E48))</f>
        <v/>
      </c>
      <c r="D48" s="5">
        <f>IF($E48="","",INDEX('Input Transaksi'!$F:$F,$E48))</f>
        <v/>
      </c>
      <c r="E48">
        <f>IFERROR(AGGREGATE(15,6,ROW('Input Transaksi'!$B$5:$B$5000)/('Input Transaksi'!$B$5:$B$5000="JCL SIDAKARYA"),ROWS($E$5:E48)),"")</f>
        <v/>
      </c>
      <c r="F48" s="5" t="n"/>
    </row>
    <row r="49">
      <c r="A49" s="10">
        <f>IF($E49="","",INDEX('Input Transaksi'!$A:$A,$E49))</f>
        <v/>
      </c>
      <c r="B49" s="5">
        <f>IF($E49="","",INDEX('Input Transaksi'!$D:$D,$E49))</f>
        <v/>
      </c>
      <c r="C49">
        <f>IF($E49="","",INDEX('Input Transaksi'!$E:$E,$E49))</f>
        <v/>
      </c>
      <c r="D49" s="5">
        <f>IF($E49="","",INDEX('Input Transaksi'!$F:$F,$E49))</f>
        <v/>
      </c>
      <c r="E49">
        <f>IFERROR(AGGREGATE(15,6,ROW('Input Transaksi'!$B$5:$B$5000)/('Input Transaksi'!$B$5:$B$5000="JCL SIDAKARYA"),ROWS($E$5:E49)),"")</f>
        <v/>
      </c>
      <c r="F49" s="5" t="n"/>
    </row>
    <row r="50">
      <c r="A50" s="10">
        <f>IF($E50="","",INDEX('Input Transaksi'!$A:$A,$E50))</f>
        <v/>
      </c>
      <c r="B50" s="5">
        <f>IF($E50="","",INDEX('Input Transaksi'!$D:$D,$E50))</f>
        <v/>
      </c>
      <c r="C50">
        <f>IF($E50="","",INDEX('Input Transaksi'!$E:$E,$E50))</f>
        <v/>
      </c>
      <c r="D50" s="5">
        <f>IF($E50="","",INDEX('Input Transaksi'!$F:$F,$E50))</f>
        <v/>
      </c>
      <c r="E50">
        <f>IFERROR(AGGREGATE(15,6,ROW('Input Transaksi'!$B$5:$B$5000)/('Input Transaksi'!$B$5:$B$5000="JCL SIDAKARYA"),ROWS($E$5:E50)),"")</f>
        <v/>
      </c>
      <c r="F50" s="5" t="n"/>
    </row>
    <row r="51">
      <c r="A51" s="10">
        <f>IF($E51="","",INDEX('Input Transaksi'!$A:$A,$E51))</f>
        <v/>
      </c>
      <c r="B51" s="5">
        <f>IF($E51="","",INDEX('Input Transaksi'!$D:$D,$E51))</f>
        <v/>
      </c>
      <c r="C51">
        <f>IF($E51="","",INDEX('Input Transaksi'!$E:$E,$E51))</f>
        <v/>
      </c>
      <c r="D51" s="5">
        <f>IF($E51="","",INDEX('Input Transaksi'!$F:$F,$E51))</f>
        <v/>
      </c>
      <c r="E51">
        <f>IFERROR(AGGREGATE(15,6,ROW('Input Transaksi'!$B$5:$B$5000)/('Input Transaksi'!$B$5:$B$5000="JCL SIDAKARYA"),ROWS($E$5:E51)),"")</f>
        <v/>
      </c>
      <c r="F51" s="5" t="n"/>
    </row>
    <row r="52">
      <c r="A52" s="10">
        <f>IF($E52="","",INDEX('Input Transaksi'!$A:$A,$E52))</f>
        <v/>
      </c>
      <c r="B52" s="5">
        <f>IF($E52="","",INDEX('Input Transaksi'!$D:$D,$E52))</f>
        <v/>
      </c>
      <c r="C52">
        <f>IF($E52="","",INDEX('Input Transaksi'!$E:$E,$E52))</f>
        <v/>
      </c>
      <c r="D52" s="5">
        <f>IF($E52="","",INDEX('Input Transaksi'!$F:$F,$E52))</f>
        <v/>
      </c>
      <c r="E52">
        <f>IFERROR(AGGREGATE(15,6,ROW('Input Transaksi'!$B$5:$B$5000)/('Input Transaksi'!$B$5:$B$5000="JCL SIDAKARYA"),ROWS($E$5:E52)),"")</f>
        <v/>
      </c>
      <c r="F52" s="5" t="n"/>
    </row>
    <row r="53">
      <c r="A53" s="10">
        <f>IF($E53="","",INDEX('Input Transaksi'!$A:$A,$E53))</f>
        <v/>
      </c>
      <c r="B53" s="5">
        <f>IF($E53="","",INDEX('Input Transaksi'!$D:$D,$E53))</f>
        <v/>
      </c>
      <c r="C53">
        <f>IF($E53="","",INDEX('Input Transaksi'!$E:$E,$E53))</f>
        <v/>
      </c>
      <c r="D53" s="5">
        <f>IF($E53="","",INDEX('Input Transaksi'!$F:$F,$E53))</f>
        <v/>
      </c>
      <c r="E53">
        <f>IFERROR(AGGREGATE(15,6,ROW('Input Transaksi'!$B$5:$B$5000)/('Input Transaksi'!$B$5:$B$5000="JCL SIDAKARYA"),ROWS($E$5:E53)),"")</f>
        <v/>
      </c>
      <c r="F53" s="5" t="n"/>
    </row>
    <row r="54">
      <c r="A54" s="10">
        <f>IF($E54="","",INDEX('Input Transaksi'!$A:$A,$E54))</f>
        <v/>
      </c>
      <c r="B54" s="5">
        <f>IF($E54="","",INDEX('Input Transaksi'!$D:$D,$E54))</f>
        <v/>
      </c>
      <c r="C54">
        <f>IF($E54="","",INDEX('Input Transaksi'!$E:$E,$E54))</f>
        <v/>
      </c>
      <c r="D54" s="5">
        <f>IF($E54="","",INDEX('Input Transaksi'!$F:$F,$E54))</f>
        <v/>
      </c>
      <c r="E54">
        <f>IFERROR(AGGREGATE(15,6,ROW('Input Transaksi'!$B$5:$B$5000)/('Input Transaksi'!$B$5:$B$5000="JCL SIDAKARYA"),ROWS($E$5:E54)),"")</f>
        <v/>
      </c>
      <c r="F54" s="5" t="n"/>
    </row>
    <row r="55">
      <c r="A55" s="10">
        <f>IF($E55="","",INDEX('Input Transaksi'!$A:$A,$E55))</f>
        <v/>
      </c>
      <c r="B55" s="5">
        <f>IF($E55="","",INDEX('Input Transaksi'!$D:$D,$E55))</f>
        <v/>
      </c>
      <c r="C55">
        <f>IF($E55="","",INDEX('Input Transaksi'!$E:$E,$E55))</f>
        <v/>
      </c>
      <c r="D55" s="5">
        <f>IF($E55="","",INDEX('Input Transaksi'!$F:$F,$E55))</f>
        <v/>
      </c>
      <c r="E55">
        <f>IFERROR(AGGREGATE(15,6,ROW('Input Transaksi'!$B$5:$B$5000)/('Input Transaksi'!$B$5:$B$5000="JCL SIDAKARYA"),ROWS($E$5:E55)),"")</f>
        <v/>
      </c>
      <c r="F55" s="5" t="n"/>
    </row>
    <row r="56">
      <c r="A56" s="10">
        <f>IF($E56="","",INDEX('Input Transaksi'!$A:$A,$E56))</f>
        <v/>
      </c>
      <c r="B56" s="5">
        <f>IF($E56="","",INDEX('Input Transaksi'!$D:$D,$E56))</f>
        <v/>
      </c>
      <c r="C56">
        <f>IF($E56="","",INDEX('Input Transaksi'!$E:$E,$E56))</f>
        <v/>
      </c>
      <c r="D56" s="5">
        <f>IF($E56="","",INDEX('Input Transaksi'!$F:$F,$E56))</f>
        <v/>
      </c>
      <c r="E56">
        <f>IFERROR(AGGREGATE(15,6,ROW('Input Transaksi'!$B$5:$B$5000)/('Input Transaksi'!$B$5:$B$5000="JCL SIDAKARYA"),ROWS($E$5:E56)),"")</f>
        <v/>
      </c>
      <c r="F56" s="5" t="n"/>
    </row>
    <row r="57">
      <c r="A57" s="10">
        <f>IF($E57="","",INDEX('Input Transaksi'!$A:$A,$E57))</f>
        <v/>
      </c>
      <c r="B57" s="5">
        <f>IF($E57="","",INDEX('Input Transaksi'!$D:$D,$E57))</f>
        <v/>
      </c>
      <c r="C57">
        <f>IF($E57="","",INDEX('Input Transaksi'!$E:$E,$E57))</f>
        <v/>
      </c>
      <c r="D57" s="5">
        <f>IF($E57="","",INDEX('Input Transaksi'!$F:$F,$E57))</f>
        <v/>
      </c>
      <c r="E57">
        <f>IFERROR(AGGREGATE(15,6,ROW('Input Transaksi'!$B$5:$B$5000)/('Input Transaksi'!$B$5:$B$5000="JCL SIDAKARYA"),ROWS($E$5:E57)),"")</f>
        <v/>
      </c>
      <c r="F57" s="5" t="n"/>
    </row>
    <row r="58">
      <c r="A58" s="10">
        <f>IF($E58="","",INDEX('Input Transaksi'!$A:$A,$E58))</f>
        <v/>
      </c>
      <c r="B58" s="5">
        <f>IF($E58="","",INDEX('Input Transaksi'!$D:$D,$E58))</f>
        <v/>
      </c>
      <c r="C58">
        <f>IF($E58="","",INDEX('Input Transaksi'!$E:$E,$E58))</f>
        <v/>
      </c>
      <c r="D58" s="5">
        <f>IF($E58="","",INDEX('Input Transaksi'!$F:$F,$E58))</f>
        <v/>
      </c>
      <c r="E58">
        <f>IFERROR(AGGREGATE(15,6,ROW('Input Transaksi'!$B$5:$B$5000)/('Input Transaksi'!$B$5:$B$5000="JCL SIDAKARYA"),ROWS($E$5:E58)),"")</f>
        <v/>
      </c>
      <c r="F58" s="5" t="n"/>
    </row>
    <row r="59">
      <c r="A59" s="10">
        <f>IF($E59="","",INDEX('Input Transaksi'!$A:$A,$E59))</f>
        <v/>
      </c>
      <c r="B59" s="5">
        <f>IF($E59="","",INDEX('Input Transaksi'!$D:$D,$E59))</f>
        <v/>
      </c>
      <c r="C59">
        <f>IF($E59="","",INDEX('Input Transaksi'!$E:$E,$E59))</f>
        <v/>
      </c>
      <c r="D59" s="5">
        <f>IF($E59="","",INDEX('Input Transaksi'!$F:$F,$E59))</f>
        <v/>
      </c>
      <c r="E59">
        <f>IFERROR(AGGREGATE(15,6,ROW('Input Transaksi'!$B$5:$B$5000)/('Input Transaksi'!$B$5:$B$5000="JCL SIDAKARYA"),ROWS($E$5:E59)),"")</f>
        <v/>
      </c>
      <c r="F59" s="5" t="n"/>
    </row>
    <row r="60">
      <c r="A60" s="10">
        <f>IF($E60="","",INDEX('Input Transaksi'!$A:$A,$E60))</f>
        <v/>
      </c>
      <c r="B60" s="5">
        <f>IF($E60="","",INDEX('Input Transaksi'!$D:$D,$E60))</f>
        <v/>
      </c>
      <c r="C60">
        <f>IF($E60="","",INDEX('Input Transaksi'!$E:$E,$E60))</f>
        <v/>
      </c>
      <c r="D60" s="5">
        <f>IF($E60="","",INDEX('Input Transaksi'!$F:$F,$E60))</f>
        <v/>
      </c>
      <c r="E60">
        <f>IFERROR(AGGREGATE(15,6,ROW('Input Transaksi'!$B$5:$B$5000)/('Input Transaksi'!$B$5:$B$5000="JCL SIDAKARYA"),ROWS($E$5:E60)),"")</f>
        <v/>
      </c>
      <c r="F60" s="5" t="n"/>
    </row>
    <row r="61">
      <c r="A61" s="10">
        <f>IF($E61="","",INDEX('Input Transaksi'!$A:$A,$E61))</f>
        <v/>
      </c>
      <c r="B61" s="5">
        <f>IF($E61="","",INDEX('Input Transaksi'!$D:$D,$E61))</f>
        <v/>
      </c>
      <c r="C61">
        <f>IF($E61="","",INDEX('Input Transaksi'!$E:$E,$E61))</f>
        <v/>
      </c>
      <c r="D61" s="5">
        <f>IF($E61="","",INDEX('Input Transaksi'!$F:$F,$E61))</f>
        <v/>
      </c>
      <c r="E61">
        <f>IFERROR(AGGREGATE(15,6,ROW('Input Transaksi'!$B$5:$B$5000)/('Input Transaksi'!$B$5:$B$5000="JCL SIDAKARYA"),ROWS($E$5:E61)),"")</f>
        <v/>
      </c>
      <c r="F61" s="5" t="n"/>
    </row>
    <row r="62">
      <c r="A62" s="10">
        <f>IF($E62="","",INDEX('Input Transaksi'!$A:$A,$E62))</f>
        <v/>
      </c>
      <c r="B62" s="5">
        <f>IF($E62="","",INDEX('Input Transaksi'!$D:$D,$E62))</f>
        <v/>
      </c>
      <c r="C62">
        <f>IF($E62="","",INDEX('Input Transaksi'!$E:$E,$E62))</f>
        <v/>
      </c>
      <c r="D62" s="5">
        <f>IF($E62="","",INDEX('Input Transaksi'!$F:$F,$E62))</f>
        <v/>
      </c>
      <c r="E62">
        <f>IFERROR(AGGREGATE(15,6,ROW('Input Transaksi'!$B$5:$B$5000)/('Input Transaksi'!$B$5:$B$5000="JCL SIDAKARYA"),ROWS($E$5:E62)),"")</f>
        <v/>
      </c>
      <c r="F62" s="5" t="n"/>
    </row>
    <row r="63">
      <c r="A63" s="10">
        <f>IF($E63="","",INDEX('Input Transaksi'!$A:$A,$E63))</f>
        <v/>
      </c>
      <c r="B63" s="5">
        <f>IF($E63="","",INDEX('Input Transaksi'!$D:$D,$E63))</f>
        <v/>
      </c>
      <c r="C63">
        <f>IF($E63="","",INDEX('Input Transaksi'!$E:$E,$E63))</f>
        <v/>
      </c>
      <c r="D63" s="5">
        <f>IF($E63="","",INDEX('Input Transaksi'!$F:$F,$E63))</f>
        <v/>
      </c>
      <c r="E63">
        <f>IFERROR(AGGREGATE(15,6,ROW('Input Transaksi'!$B$5:$B$5000)/('Input Transaksi'!$B$5:$B$5000="JCL SIDAKARYA"),ROWS($E$5:E63)),"")</f>
        <v/>
      </c>
      <c r="F63" s="5" t="n"/>
    </row>
    <row r="64">
      <c r="A64" s="10">
        <f>IF($E64="","",INDEX('Input Transaksi'!$A:$A,$E64))</f>
        <v/>
      </c>
      <c r="B64" s="5">
        <f>IF($E64="","",INDEX('Input Transaksi'!$D:$D,$E64))</f>
        <v/>
      </c>
      <c r="C64">
        <f>IF($E64="","",INDEX('Input Transaksi'!$E:$E,$E64))</f>
        <v/>
      </c>
      <c r="D64" s="5">
        <f>IF($E64="","",INDEX('Input Transaksi'!$F:$F,$E64))</f>
        <v/>
      </c>
      <c r="E64">
        <f>IFERROR(AGGREGATE(15,6,ROW('Input Transaksi'!$B$5:$B$5000)/('Input Transaksi'!$B$5:$B$5000="JCL SIDAKARYA"),ROWS($E$5:E64)),"")</f>
        <v/>
      </c>
      <c r="F64" s="5" t="n"/>
    </row>
    <row r="65">
      <c r="A65" s="10">
        <f>IF($E65="","",INDEX('Input Transaksi'!$A:$A,$E65))</f>
        <v/>
      </c>
      <c r="B65" s="5">
        <f>IF($E65="","",INDEX('Input Transaksi'!$D:$D,$E65))</f>
        <v/>
      </c>
      <c r="C65">
        <f>IF($E65="","",INDEX('Input Transaksi'!$E:$E,$E65))</f>
        <v/>
      </c>
      <c r="D65" s="5">
        <f>IF($E65="","",INDEX('Input Transaksi'!$F:$F,$E65))</f>
        <v/>
      </c>
      <c r="E65">
        <f>IFERROR(AGGREGATE(15,6,ROW('Input Transaksi'!$B$5:$B$5000)/('Input Transaksi'!$B$5:$B$5000="JCL SIDAKARYA"),ROWS($E$5:E65)),"")</f>
        <v/>
      </c>
      <c r="F65" s="5" t="n"/>
    </row>
    <row r="66">
      <c r="A66" s="10">
        <f>IF($E66="","",INDEX('Input Transaksi'!$A:$A,$E66))</f>
        <v/>
      </c>
      <c r="B66" s="5">
        <f>IF($E66="","",INDEX('Input Transaksi'!$D:$D,$E66))</f>
        <v/>
      </c>
      <c r="C66">
        <f>IF($E66="","",INDEX('Input Transaksi'!$E:$E,$E66))</f>
        <v/>
      </c>
      <c r="D66" s="5">
        <f>IF($E66="","",INDEX('Input Transaksi'!$F:$F,$E66))</f>
        <v/>
      </c>
      <c r="E66">
        <f>IFERROR(AGGREGATE(15,6,ROW('Input Transaksi'!$B$5:$B$5000)/('Input Transaksi'!$B$5:$B$5000="JCL SIDAKARYA"),ROWS($E$5:E66)),"")</f>
        <v/>
      </c>
      <c r="F66" s="5" t="n"/>
    </row>
    <row r="67">
      <c r="A67" s="10">
        <f>IF($E67="","",INDEX('Input Transaksi'!$A:$A,$E67))</f>
        <v/>
      </c>
      <c r="B67" s="5">
        <f>IF($E67="","",INDEX('Input Transaksi'!$D:$D,$E67))</f>
        <v/>
      </c>
      <c r="C67">
        <f>IF($E67="","",INDEX('Input Transaksi'!$E:$E,$E67))</f>
        <v/>
      </c>
      <c r="D67" s="5">
        <f>IF($E67="","",INDEX('Input Transaksi'!$F:$F,$E67))</f>
        <v/>
      </c>
      <c r="E67">
        <f>IFERROR(AGGREGATE(15,6,ROW('Input Transaksi'!$B$5:$B$5000)/('Input Transaksi'!$B$5:$B$5000="JCL SIDAKARYA"),ROWS($E$5:E67)),"")</f>
        <v/>
      </c>
      <c r="F67" s="5" t="n"/>
    </row>
    <row r="68">
      <c r="A68" s="10">
        <f>IF($E68="","",INDEX('Input Transaksi'!$A:$A,$E68))</f>
        <v/>
      </c>
      <c r="B68" s="5">
        <f>IF($E68="","",INDEX('Input Transaksi'!$D:$D,$E68))</f>
        <v/>
      </c>
      <c r="C68">
        <f>IF($E68="","",INDEX('Input Transaksi'!$E:$E,$E68))</f>
        <v/>
      </c>
      <c r="D68" s="5">
        <f>IF($E68="","",INDEX('Input Transaksi'!$F:$F,$E68))</f>
        <v/>
      </c>
      <c r="E68">
        <f>IFERROR(AGGREGATE(15,6,ROW('Input Transaksi'!$B$5:$B$5000)/('Input Transaksi'!$B$5:$B$5000="JCL SIDAKARYA"),ROWS($E$5:E68)),"")</f>
        <v/>
      </c>
      <c r="F68" s="5" t="n"/>
    </row>
    <row r="69">
      <c r="A69" s="10">
        <f>IF($E69="","",INDEX('Input Transaksi'!$A:$A,$E69))</f>
        <v/>
      </c>
      <c r="B69" s="5">
        <f>IF($E69="","",INDEX('Input Transaksi'!$D:$D,$E69))</f>
        <v/>
      </c>
      <c r="C69">
        <f>IF($E69="","",INDEX('Input Transaksi'!$E:$E,$E69))</f>
        <v/>
      </c>
      <c r="D69" s="5">
        <f>IF($E69="","",INDEX('Input Transaksi'!$F:$F,$E69))</f>
        <v/>
      </c>
      <c r="E69">
        <f>IFERROR(AGGREGATE(15,6,ROW('Input Transaksi'!$B$5:$B$5000)/('Input Transaksi'!$B$5:$B$5000="JCL SIDAKARYA"),ROWS($E$5:E69)),"")</f>
        <v/>
      </c>
      <c r="F69" s="5" t="n"/>
    </row>
    <row r="70">
      <c r="A70" s="10">
        <f>IF($E70="","",INDEX('Input Transaksi'!$A:$A,$E70))</f>
        <v/>
      </c>
      <c r="B70" s="5">
        <f>IF($E70="","",INDEX('Input Transaksi'!$D:$D,$E70))</f>
        <v/>
      </c>
      <c r="C70">
        <f>IF($E70="","",INDEX('Input Transaksi'!$E:$E,$E70))</f>
        <v/>
      </c>
      <c r="D70" s="5">
        <f>IF($E70="","",INDEX('Input Transaksi'!$F:$F,$E70))</f>
        <v/>
      </c>
      <c r="E70">
        <f>IFERROR(AGGREGATE(15,6,ROW('Input Transaksi'!$B$5:$B$5000)/('Input Transaksi'!$B$5:$B$5000="JCL SIDAKARYA"),ROWS($E$5:E70)),"")</f>
        <v/>
      </c>
      <c r="F70" s="5" t="n"/>
    </row>
    <row r="71">
      <c r="A71" s="10">
        <f>IF($E71="","",INDEX('Input Transaksi'!$A:$A,$E71))</f>
        <v/>
      </c>
      <c r="B71" s="5">
        <f>IF($E71="","",INDEX('Input Transaksi'!$D:$D,$E71))</f>
        <v/>
      </c>
      <c r="C71">
        <f>IF($E71="","",INDEX('Input Transaksi'!$E:$E,$E71))</f>
        <v/>
      </c>
      <c r="D71" s="5">
        <f>IF($E71="","",INDEX('Input Transaksi'!$F:$F,$E71))</f>
        <v/>
      </c>
      <c r="E71">
        <f>IFERROR(AGGREGATE(15,6,ROW('Input Transaksi'!$B$5:$B$5000)/('Input Transaksi'!$B$5:$B$5000="JCL SIDAKARYA"),ROWS($E$5:E71)),"")</f>
        <v/>
      </c>
      <c r="F71" s="5" t="n"/>
    </row>
    <row r="72">
      <c r="A72" s="10">
        <f>IF($E72="","",INDEX('Input Transaksi'!$A:$A,$E72))</f>
        <v/>
      </c>
      <c r="B72" s="5">
        <f>IF($E72="","",INDEX('Input Transaksi'!$D:$D,$E72))</f>
        <v/>
      </c>
      <c r="C72">
        <f>IF($E72="","",INDEX('Input Transaksi'!$E:$E,$E72))</f>
        <v/>
      </c>
      <c r="D72" s="5">
        <f>IF($E72="","",INDEX('Input Transaksi'!$F:$F,$E72))</f>
        <v/>
      </c>
      <c r="E72">
        <f>IFERROR(AGGREGATE(15,6,ROW('Input Transaksi'!$B$5:$B$5000)/('Input Transaksi'!$B$5:$B$5000="JCL SIDAKARYA"),ROWS($E$5:E72)),"")</f>
        <v/>
      </c>
      <c r="F72" s="5" t="n"/>
    </row>
    <row r="73">
      <c r="A73" s="10">
        <f>IF($E73="","",INDEX('Input Transaksi'!$A:$A,$E73))</f>
        <v/>
      </c>
      <c r="B73" s="5">
        <f>IF($E73="","",INDEX('Input Transaksi'!$D:$D,$E73))</f>
        <v/>
      </c>
      <c r="C73">
        <f>IF($E73="","",INDEX('Input Transaksi'!$E:$E,$E73))</f>
        <v/>
      </c>
      <c r="D73" s="5">
        <f>IF($E73="","",INDEX('Input Transaksi'!$F:$F,$E73))</f>
        <v/>
      </c>
      <c r="E73">
        <f>IFERROR(AGGREGATE(15,6,ROW('Input Transaksi'!$B$5:$B$5000)/('Input Transaksi'!$B$5:$B$5000="JCL SIDAKARYA"),ROWS($E$5:E73)),"")</f>
        <v/>
      </c>
      <c r="F73" s="5" t="n"/>
    </row>
    <row r="74">
      <c r="A74" s="10">
        <f>IF($E74="","",INDEX('Input Transaksi'!$A:$A,$E74))</f>
        <v/>
      </c>
      <c r="B74" s="5">
        <f>IF($E74="","",INDEX('Input Transaksi'!$D:$D,$E74))</f>
        <v/>
      </c>
      <c r="C74">
        <f>IF($E74="","",INDEX('Input Transaksi'!$E:$E,$E74))</f>
        <v/>
      </c>
      <c r="D74" s="5">
        <f>IF($E74="","",INDEX('Input Transaksi'!$F:$F,$E74))</f>
        <v/>
      </c>
      <c r="E74">
        <f>IFERROR(AGGREGATE(15,6,ROW('Input Transaksi'!$B$5:$B$5000)/('Input Transaksi'!$B$5:$B$5000="JCL SIDAKARYA"),ROWS($E$5:E74)),"")</f>
        <v/>
      </c>
      <c r="F74" s="5" t="n"/>
    </row>
    <row r="75">
      <c r="A75" s="10">
        <f>IF($E75="","",INDEX('Input Transaksi'!$A:$A,$E75))</f>
        <v/>
      </c>
      <c r="B75" s="5">
        <f>IF($E75="","",INDEX('Input Transaksi'!$D:$D,$E75))</f>
        <v/>
      </c>
      <c r="C75">
        <f>IF($E75="","",INDEX('Input Transaksi'!$E:$E,$E75))</f>
        <v/>
      </c>
      <c r="D75" s="5">
        <f>IF($E75="","",INDEX('Input Transaksi'!$F:$F,$E75))</f>
        <v/>
      </c>
      <c r="E75">
        <f>IFERROR(AGGREGATE(15,6,ROW('Input Transaksi'!$B$5:$B$5000)/('Input Transaksi'!$B$5:$B$5000="JCL SIDAKARYA"),ROWS($E$5:E75)),"")</f>
        <v/>
      </c>
      <c r="F75" s="5" t="n"/>
    </row>
    <row r="76">
      <c r="A76" s="10">
        <f>IF($E76="","",INDEX('Input Transaksi'!$A:$A,$E76))</f>
        <v/>
      </c>
      <c r="B76" s="5">
        <f>IF($E76="","",INDEX('Input Transaksi'!$D:$D,$E76))</f>
        <v/>
      </c>
      <c r="C76">
        <f>IF($E76="","",INDEX('Input Transaksi'!$E:$E,$E76))</f>
        <v/>
      </c>
      <c r="D76" s="5">
        <f>IF($E76="","",INDEX('Input Transaksi'!$F:$F,$E76))</f>
        <v/>
      </c>
      <c r="E76">
        <f>IFERROR(AGGREGATE(15,6,ROW('Input Transaksi'!$B$5:$B$5000)/('Input Transaksi'!$B$5:$B$5000="JCL SIDAKARYA"),ROWS($E$5:E76)),"")</f>
        <v/>
      </c>
      <c r="F76" s="5" t="n"/>
    </row>
    <row r="77">
      <c r="A77" s="10">
        <f>IF($E77="","",INDEX('Input Transaksi'!$A:$A,$E77))</f>
        <v/>
      </c>
      <c r="B77" s="5">
        <f>IF($E77="","",INDEX('Input Transaksi'!$D:$D,$E77))</f>
        <v/>
      </c>
      <c r="C77">
        <f>IF($E77="","",INDEX('Input Transaksi'!$E:$E,$E77))</f>
        <v/>
      </c>
      <c r="D77" s="5">
        <f>IF($E77="","",INDEX('Input Transaksi'!$F:$F,$E77))</f>
        <v/>
      </c>
      <c r="E77">
        <f>IFERROR(AGGREGATE(15,6,ROW('Input Transaksi'!$B$5:$B$5000)/('Input Transaksi'!$B$5:$B$5000="JCL SIDAKARYA"),ROWS($E$5:E77)),"")</f>
        <v/>
      </c>
      <c r="F77" s="5" t="n"/>
    </row>
    <row r="78">
      <c r="A78" s="10">
        <f>IF($E78="","",INDEX('Input Transaksi'!$A:$A,$E78))</f>
        <v/>
      </c>
      <c r="B78" s="5">
        <f>IF($E78="","",INDEX('Input Transaksi'!$D:$D,$E78))</f>
        <v/>
      </c>
      <c r="C78">
        <f>IF($E78="","",INDEX('Input Transaksi'!$E:$E,$E78))</f>
        <v/>
      </c>
      <c r="D78" s="5">
        <f>IF($E78="","",INDEX('Input Transaksi'!$F:$F,$E78))</f>
        <v/>
      </c>
      <c r="E78">
        <f>IFERROR(AGGREGATE(15,6,ROW('Input Transaksi'!$B$5:$B$5000)/('Input Transaksi'!$B$5:$B$5000="JCL SIDAKARYA"),ROWS($E$5:E78)),"")</f>
        <v/>
      </c>
      <c r="F78" s="5" t="n"/>
    </row>
    <row r="79">
      <c r="A79" s="10">
        <f>IF($E79="","",INDEX('Input Transaksi'!$A:$A,$E79))</f>
        <v/>
      </c>
      <c r="B79" s="5">
        <f>IF($E79="","",INDEX('Input Transaksi'!$D:$D,$E79))</f>
        <v/>
      </c>
      <c r="C79">
        <f>IF($E79="","",INDEX('Input Transaksi'!$E:$E,$E79))</f>
        <v/>
      </c>
      <c r="D79" s="5">
        <f>IF($E79="","",INDEX('Input Transaksi'!$F:$F,$E79))</f>
        <v/>
      </c>
      <c r="E79">
        <f>IFERROR(AGGREGATE(15,6,ROW('Input Transaksi'!$B$5:$B$5000)/('Input Transaksi'!$B$5:$B$5000="JCL SIDAKARYA"),ROWS($E$5:E79)),"")</f>
        <v/>
      </c>
      <c r="F79" s="5" t="n"/>
    </row>
    <row r="80">
      <c r="A80" s="10">
        <f>IF($E80="","",INDEX('Input Transaksi'!$A:$A,$E80))</f>
        <v/>
      </c>
      <c r="B80" s="5">
        <f>IF($E80="","",INDEX('Input Transaksi'!$D:$D,$E80))</f>
        <v/>
      </c>
      <c r="C80">
        <f>IF($E80="","",INDEX('Input Transaksi'!$E:$E,$E80))</f>
        <v/>
      </c>
      <c r="D80" s="5">
        <f>IF($E80="","",INDEX('Input Transaksi'!$F:$F,$E80))</f>
        <v/>
      </c>
      <c r="E80">
        <f>IFERROR(AGGREGATE(15,6,ROW('Input Transaksi'!$B$5:$B$5000)/('Input Transaksi'!$B$5:$B$5000="JCL SIDAKARYA"),ROWS($E$5:E80)),"")</f>
        <v/>
      </c>
      <c r="F80" s="5" t="n"/>
    </row>
    <row r="81">
      <c r="A81" s="10">
        <f>IF($E81="","",INDEX('Input Transaksi'!$A:$A,$E81))</f>
        <v/>
      </c>
      <c r="B81" s="5">
        <f>IF($E81="","",INDEX('Input Transaksi'!$D:$D,$E81))</f>
        <v/>
      </c>
      <c r="C81">
        <f>IF($E81="","",INDEX('Input Transaksi'!$E:$E,$E81))</f>
        <v/>
      </c>
      <c r="D81" s="5">
        <f>IF($E81="","",INDEX('Input Transaksi'!$F:$F,$E81))</f>
        <v/>
      </c>
      <c r="E81">
        <f>IFERROR(AGGREGATE(15,6,ROW('Input Transaksi'!$B$5:$B$5000)/('Input Transaksi'!$B$5:$B$5000="JCL SIDAKARYA"),ROWS($E$5:E81)),"")</f>
        <v/>
      </c>
      <c r="F81" s="5" t="n"/>
    </row>
    <row r="82">
      <c r="A82" s="10">
        <f>IF($E82="","",INDEX('Input Transaksi'!$A:$A,$E82))</f>
        <v/>
      </c>
      <c r="B82" s="5">
        <f>IF($E82="","",INDEX('Input Transaksi'!$D:$D,$E82))</f>
        <v/>
      </c>
      <c r="C82">
        <f>IF($E82="","",INDEX('Input Transaksi'!$E:$E,$E82))</f>
        <v/>
      </c>
      <c r="D82" s="5">
        <f>IF($E82="","",INDEX('Input Transaksi'!$F:$F,$E82))</f>
        <v/>
      </c>
      <c r="E82">
        <f>IFERROR(AGGREGATE(15,6,ROW('Input Transaksi'!$B$5:$B$5000)/('Input Transaksi'!$B$5:$B$5000="JCL SIDAKARYA"),ROWS($E$5:E82)),"")</f>
        <v/>
      </c>
      <c r="F82" s="5" t="n"/>
    </row>
    <row r="83">
      <c r="A83" s="10">
        <f>IF($E83="","",INDEX('Input Transaksi'!$A:$A,$E83))</f>
        <v/>
      </c>
      <c r="B83" s="5">
        <f>IF($E83="","",INDEX('Input Transaksi'!$D:$D,$E83))</f>
        <v/>
      </c>
      <c r="C83">
        <f>IF($E83="","",INDEX('Input Transaksi'!$E:$E,$E83))</f>
        <v/>
      </c>
      <c r="D83" s="5">
        <f>IF($E83="","",INDEX('Input Transaksi'!$F:$F,$E83))</f>
        <v/>
      </c>
      <c r="E83">
        <f>IFERROR(AGGREGATE(15,6,ROW('Input Transaksi'!$B$5:$B$5000)/('Input Transaksi'!$B$5:$B$5000="JCL SIDAKARYA"),ROWS($E$5:E83)),"")</f>
        <v/>
      </c>
      <c r="F83" s="5" t="n"/>
    </row>
    <row r="84">
      <c r="A84" s="10">
        <f>IF($E84="","",INDEX('Input Transaksi'!$A:$A,$E84))</f>
        <v/>
      </c>
      <c r="B84" s="5">
        <f>IF($E84="","",INDEX('Input Transaksi'!$D:$D,$E84))</f>
        <v/>
      </c>
      <c r="C84">
        <f>IF($E84="","",INDEX('Input Transaksi'!$E:$E,$E84))</f>
        <v/>
      </c>
      <c r="D84" s="5">
        <f>IF($E84="","",INDEX('Input Transaksi'!$F:$F,$E84))</f>
        <v/>
      </c>
      <c r="E84">
        <f>IFERROR(AGGREGATE(15,6,ROW('Input Transaksi'!$B$5:$B$5000)/('Input Transaksi'!$B$5:$B$5000="JCL SIDAKARYA"),ROWS($E$5:E84)),"")</f>
        <v/>
      </c>
      <c r="F84" s="5" t="n"/>
    </row>
    <row r="85">
      <c r="A85" s="10">
        <f>IF($E85="","",INDEX('Input Transaksi'!$A:$A,$E85))</f>
        <v/>
      </c>
      <c r="B85" s="5">
        <f>IF($E85="","",INDEX('Input Transaksi'!$D:$D,$E85))</f>
        <v/>
      </c>
      <c r="C85">
        <f>IF($E85="","",INDEX('Input Transaksi'!$E:$E,$E85))</f>
        <v/>
      </c>
      <c r="D85" s="5">
        <f>IF($E85="","",INDEX('Input Transaksi'!$F:$F,$E85))</f>
        <v/>
      </c>
      <c r="E85">
        <f>IFERROR(AGGREGATE(15,6,ROW('Input Transaksi'!$B$5:$B$5000)/('Input Transaksi'!$B$5:$B$5000="JCL SIDAKARYA"),ROWS($E$5:E85)),"")</f>
        <v/>
      </c>
      <c r="F85" s="5" t="n"/>
    </row>
    <row r="86">
      <c r="A86" s="10">
        <f>IF($E86="","",INDEX('Input Transaksi'!$A:$A,$E86))</f>
        <v/>
      </c>
      <c r="B86" s="5">
        <f>IF($E86="","",INDEX('Input Transaksi'!$D:$D,$E86))</f>
        <v/>
      </c>
      <c r="C86">
        <f>IF($E86="","",INDEX('Input Transaksi'!$E:$E,$E86))</f>
        <v/>
      </c>
      <c r="D86" s="5">
        <f>IF($E86="","",INDEX('Input Transaksi'!$F:$F,$E86))</f>
        <v/>
      </c>
      <c r="E86">
        <f>IFERROR(AGGREGATE(15,6,ROW('Input Transaksi'!$B$5:$B$5000)/('Input Transaksi'!$B$5:$B$5000="JCL SIDAKARYA"),ROWS($E$5:E86)),"")</f>
        <v/>
      </c>
      <c r="F86" s="5" t="n"/>
    </row>
    <row r="87">
      <c r="A87" s="10">
        <f>IF($E87="","",INDEX('Input Transaksi'!$A:$A,$E87))</f>
        <v/>
      </c>
      <c r="B87" s="5">
        <f>IF($E87="","",INDEX('Input Transaksi'!$D:$D,$E87))</f>
        <v/>
      </c>
      <c r="C87">
        <f>IF($E87="","",INDEX('Input Transaksi'!$E:$E,$E87))</f>
        <v/>
      </c>
      <c r="D87" s="5">
        <f>IF($E87="","",INDEX('Input Transaksi'!$F:$F,$E87))</f>
        <v/>
      </c>
      <c r="E87">
        <f>IFERROR(AGGREGATE(15,6,ROW('Input Transaksi'!$B$5:$B$5000)/('Input Transaksi'!$B$5:$B$5000="JCL SIDAKARYA"),ROWS($E$5:E87)),"")</f>
        <v/>
      </c>
      <c r="F87" s="5" t="n"/>
    </row>
    <row r="88">
      <c r="A88" s="10">
        <f>IF($E88="","",INDEX('Input Transaksi'!$A:$A,$E88))</f>
        <v/>
      </c>
      <c r="B88" s="5">
        <f>IF($E88="","",INDEX('Input Transaksi'!$D:$D,$E88))</f>
        <v/>
      </c>
      <c r="C88">
        <f>IF($E88="","",INDEX('Input Transaksi'!$E:$E,$E88))</f>
        <v/>
      </c>
      <c r="D88" s="5">
        <f>IF($E88="","",INDEX('Input Transaksi'!$F:$F,$E88))</f>
        <v/>
      </c>
      <c r="E88">
        <f>IFERROR(AGGREGATE(15,6,ROW('Input Transaksi'!$B$5:$B$5000)/('Input Transaksi'!$B$5:$B$5000="JCL SIDAKARYA"),ROWS($E$5:E88)),"")</f>
        <v/>
      </c>
      <c r="F88" s="5" t="n"/>
    </row>
    <row r="89">
      <c r="A89" s="10">
        <f>IF($E89="","",INDEX('Input Transaksi'!$A:$A,$E89))</f>
        <v/>
      </c>
      <c r="B89" s="5">
        <f>IF($E89="","",INDEX('Input Transaksi'!$D:$D,$E89))</f>
        <v/>
      </c>
      <c r="C89">
        <f>IF($E89="","",INDEX('Input Transaksi'!$E:$E,$E89))</f>
        <v/>
      </c>
      <c r="D89" s="5">
        <f>IF($E89="","",INDEX('Input Transaksi'!$F:$F,$E89))</f>
        <v/>
      </c>
      <c r="E89">
        <f>IFERROR(AGGREGATE(15,6,ROW('Input Transaksi'!$B$5:$B$5000)/('Input Transaksi'!$B$5:$B$5000="JCL SIDAKARYA"),ROWS($E$5:E89)),"")</f>
        <v/>
      </c>
      <c r="F89" s="5" t="n"/>
    </row>
    <row r="90">
      <c r="A90" s="10">
        <f>IF($E90="","",INDEX('Input Transaksi'!$A:$A,$E90))</f>
        <v/>
      </c>
      <c r="B90" s="5">
        <f>IF($E90="","",INDEX('Input Transaksi'!$D:$D,$E90))</f>
        <v/>
      </c>
      <c r="C90">
        <f>IF($E90="","",INDEX('Input Transaksi'!$E:$E,$E90))</f>
        <v/>
      </c>
      <c r="D90" s="5">
        <f>IF($E90="","",INDEX('Input Transaksi'!$F:$F,$E90))</f>
        <v/>
      </c>
      <c r="E90">
        <f>IFERROR(AGGREGATE(15,6,ROW('Input Transaksi'!$B$5:$B$5000)/('Input Transaksi'!$B$5:$B$5000="JCL SIDAKARYA"),ROWS($E$5:E90)),"")</f>
        <v/>
      </c>
      <c r="F90" s="5" t="n"/>
    </row>
    <row r="91">
      <c r="A91" s="10">
        <f>IF($E91="","",INDEX('Input Transaksi'!$A:$A,$E91))</f>
        <v/>
      </c>
      <c r="B91" s="5">
        <f>IF($E91="","",INDEX('Input Transaksi'!$D:$D,$E91))</f>
        <v/>
      </c>
      <c r="C91">
        <f>IF($E91="","",INDEX('Input Transaksi'!$E:$E,$E91))</f>
        <v/>
      </c>
      <c r="D91" s="5">
        <f>IF($E91="","",INDEX('Input Transaksi'!$F:$F,$E91))</f>
        <v/>
      </c>
      <c r="E91">
        <f>IFERROR(AGGREGATE(15,6,ROW('Input Transaksi'!$B$5:$B$5000)/('Input Transaksi'!$B$5:$B$5000="JCL SIDAKARYA"),ROWS($E$5:E91)),"")</f>
        <v/>
      </c>
      <c r="F91" s="5" t="n"/>
    </row>
    <row r="92">
      <c r="A92" s="10">
        <f>IF($E92="","",INDEX('Input Transaksi'!$A:$A,$E92))</f>
        <v/>
      </c>
      <c r="B92" s="5">
        <f>IF($E92="","",INDEX('Input Transaksi'!$D:$D,$E92))</f>
        <v/>
      </c>
      <c r="C92">
        <f>IF($E92="","",INDEX('Input Transaksi'!$E:$E,$E92))</f>
        <v/>
      </c>
      <c r="D92" s="5">
        <f>IF($E92="","",INDEX('Input Transaksi'!$F:$F,$E92))</f>
        <v/>
      </c>
      <c r="E92">
        <f>IFERROR(AGGREGATE(15,6,ROW('Input Transaksi'!$B$5:$B$5000)/('Input Transaksi'!$B$5:$B$5000="JCL SIDAKARYA"),ROWS($E$5:E92)),"")</f>
        <v/>
      </c>
      <c r="F92" s="5" t="n"/>
    </row>
    <row r="93">
      <c r="A93" s="10">
        <f>IF($E93="","",INDEX('Input Transaksi'!$A:$A,$E93))</f>
        <v/>
      </c>
      <c r="B93" s="5">
        <f>IF($E93="","",INDEX('Input Transaksi'!$D:$D,$E93))</f>
        <v/>
      </c>
      <c r="C93">
        <f>IF($E93="","",INDEX('Input Transaksi'!$E:$E,$E93))</f>
        <v/>
      </c>
      <c r="D93" s="5">
        <f>IF($E93="","",INDEX('Input Transaksi'!$F:$F,$E93))</f>
        <v/>
      </c>
      <c r="E93">
        <f>IFERROR(AGGREGATE(15,6,ROW('Input Transaksi'!$B$5:$B$5000)/('Input Transaksi'!$B$5:$B$5000="JCL SIDAKARYA"),ROWS($E$5:E93)),"")</f>
        <v/>
      </c>
      <c r="F93" s="5" t="n"/>
    </row>
    <row r="94">
      <c r="A94" s="10">
        <f>IF($E94="","",INDEX('Input Transaksi'!$A:$A,$E94))</f>
        <v/>
      </c>
      <c r="B94" s="5">
        <f>IF($E94="","",INDEX('Input Transaksi'!$D:$D,$E94))</f>
        <v/>
      </c>
      <c r="C94">
        <f>IF($E94="","",INDEX('Input Transaksi'!$E:$E,$E94))</f>
        <v/>
      </c>
      <c r="D94" s="5">
        <f>IF($E94="","",INDEX('Input Transaksi'!$F:$F,$E94))</f>
        <v/>
      </c>
      <c r="E94">
        <f>IFERROR(AGGREGATE(15,6,ROW('Input Transaksi'!$B$5:$B$5000)/('Input Transaksi'!$B$5:$B$5000="JCL SIDAKARYA"),ROWS($E$5:E94)),"")</f>
        <v/>
      </c>
      <c r="F94" s="5" t="n"/>
    </row>
    <row r="95">
      <c r="A95" s="10">
        <f>IF($E95="","",INDEX('Input Transaksi'!$A:$A,$E95))</f>
        <v/>
      </c>
      <c r="B95" s="5">
        <f>IF($E95="","",INDEX('Input Transaksi'!$D:$D,$E95))</f>
        <v/>
      </c>
      <c r="C95">
        <f>IF($E95="","",INDEX('Input Transaksi'!$E:$E,$E95))</f>
        <v/>
      </c>
      <c r="D95" s="5">
        <f>IF($E95="","",INDEX('Input Transaksi'!$F:$F,$E95))</f>
        <v/>
      </c>
      <c r="E95">
        <f>IFERROR(AGGREGATE(15,6,ROW('Input Transaksi'!$B$5:$B$5000)/('Input Transaksi'!$B$5:$B$5000="JCL SIDAKARYA"),ROWS($E$5:E95)),"")</f>
        <v/>
      </c>
      <c r="F95" s="5" t="n"/>
    </row>
    <row r="96">
      <c r="A96" s="10">
        <f>IF($E96="","",INDEX('Input Transaksi'!$A:$A,$E96))</f>
        <v/>
      </c>
      <c r="B96" s="5">
        <f>IF($E96="","",INDEX('Input Transaksi'!$D:$D,$E96))</f>
        <v/>
      </c>
      <c r="C96">
        <f>IF($E96="","",INDEX('Input Transaksi'!$E:$E,$E96))</f>
        <v/>
      </c>
      <c r="D96" s="5">
        <f>IF($E96="","",INDEX('Input Transaksi'!$F:$F,$E96))</f>
        <v/>
      </c>
      <c r="E96">
        <f>IFERROR(AGGREGATE(15,6,ROW('Input Transaksi'!$B$5:$B$5000)/('Input Transaksi'!$B$5:$B$5000="JCL SIDAKARYA"),ROWS($E$5:E96)),"")</f>
        <v/>
      </c>
      <c r="F96" s="5" t="n"/>
    </row>
    <row r="97">
      <c r="A97" s="10">
        <f>IF($E97="","",INDEX('Input Transaksi'!$A:$A,$E97))</f>
        <v/>
      </c>
      <c r="B97" s="5">
        <f>IF($E97="","",INDEX('Input Transaksi'!$D:$D,$E97))</f>
        <v/>
      </c>
      <c r="C97">
        <f>IF($E97="","",INDEX('Input Transaksi'!$E:$E,$E97))</f>
        <v/>
      </c>
      <c r="D97" s="5">
        <f>IF($E97="","",INDEX('Input Transaksi'!$F:$F,$E97))</f>
        <v/>
      </c>
      <c r="E97">
        <f>IFERROR(AGGREGATE(15,6,ROW('Input Transaksi'!$B$5:$B$5000)/('Input Transaksi'!$B$5:$B$5000="JCL SIDAKARYA"),ROWS($E$5:E97)),"")</f>
        <v/>
      </c>
      <c r="F97" s="5" t="n"/>
    </row>
    <row r="98">
      <c r="A98" s="10">
        <f>IF($E98="","",INDEX('Input Transaksi'!$A:$A,$E98))</f>
        <v/>
      </c>
      <c r="B98" s="5">
        <f>IF($E98="","",INDEX('Input Transaksi'!$D:$D,$E98))</f>
        <v/>
      </c>
      <c r="C98">
        <f>IF($E98="","",INDEX('Input Transaksi'!$E:$E,$E98))</f>
        <v/>
      </c>
      <c r="D98" s="5">
        <f>IF($E98="","",INDEX('Input Transaksi'!$F:$F,$E98))</f>
        <v/>
      </c>
      <c r="E98">
        <f>IFERROR(AGGREGATE(15,6,ROW('Input Transaksi'!$B$5:$B$5000)/('Input Transaksi'!$B$5:$B$5000="JCL SIDAKARYA"),ROWS($E$5:E98)),"")</f>
        <v/>
      </c>
      <c r="F98" s="5" t="n"/>
    </row>
    <row r="99">
      <c r="A99" s="10">
        <f>IF($E99="","",INDEX('Input Transaksi'!$A:$A,$E99))</f>
        <v/>
      </c>
      <c r="B99" s="5">
        <f>IF($E99="","",INDEX('Input Transaksi'!$D:$D,$E99))</f>
        <v/>
      </c>
      <c r="C99">
        <f>IF($E99="","",INDEX('Input Transaksi'!$E:$E,$E99))</f>
        <v/>
      </c>
      <c r="D99" s="5">
        <f>IF($E99="","",INDEX('Input Transaksi'!$F:$F,$E99))</f>
        <v/>
      </c>
      <c r="E99">
        <f>IFERROR(AGGREGATE(15,6,ROW('Input Transaksi'!$B$5:$B$5000)/('Input Transaksi'!$B$5:$B$5000="JCL SIDAKARYA"),ROWS($E$5:E99)),"")</f>
        <v/>
      </c>
      <c r="F99" s="5" t="n"/>
    </row>
    <row r="100">
      <c r="A100" s="10">
        <f>IF($E100="","",INDEX('Input Transaksi'!$A:$A,$E100))</f>
        <v/>
      </c>
      <c r="B100" s="5">
        <f>IF($E100="","",INDEX('Input Transaksi'!$D:$D,$E100))</f>
        <v/>
      </c>
      <c r="C100">
        <f>IF($E100="","",INDEX('Input Transaksi'!$E:$E,$E100))</f>
        <v/>
      </c>
      <c r="D100" s="5">
        <f>IF($E100="","",INDEX('Input Transaksi'!$F:$F,$E100))</f>
        <v/>
      </c>
      <c r="E100">
        <f>IFERROR(AGGREGATE(15,6,ROW('Input Transaksi'!$B$5:$B$5000)/('Input Transaksi'!$B$5:$B$5000="JCL SIDAKARYA"),ROWS($E$5:E100)),"")</f>
        <v/>
      </c>
      <c r="F100" s="5" t="n"/>
    </row>
    <row r="101">
      <c r="A101" s="10">
        <f>IF($E101="","",INDEX('Input Transaksi'!$A:$A,$E101))</f>
        <v/>
      </c>
      <c r="B101" s="5">
        <f>IF($E101="","",INDEX('Input Transaksi'!$D:$D,$E101))</f>
        <v/>
      </c>
      <c r="C101">
        <f>IF($E101="","",INDEX('Input Transaksi'!$E:$E,$E101))</f>
        <v/>
      </c>
      <c r="D101" s="5">
        <f>IF($E101="","",INDEX('Input Transaksi'!$F:$F,$E101))</f>
        <v/>
      </c>
      <c r="E101">
        <f>IFERROR(AGGREGATE(15,6,ROW('Input Transaksi'!$B$5:$B$5000)/('Input Transaksi'!$B$5:$B$5000="JCL SIDAKARYA"),ROWS($E$5:E101)),"")</f>
        <v/>
      </c>
      <c r="F101" s="5" t="n"/>
    </row>
    <row r="102">
      <c r="A102" s="10">
        <f>IF($E102="","",INDEX('Input Transaksi'!$A:$A,$E102))</f>
        <v/>
      </c>
      <c r="B102" s="5">
        <f>IF($E102="","",INDEX('Input Transaksi'!$D:$D,$E102))</f>
        <v/>
      </c>
      <c r="C102">
        <f>IF($E102="","",INDEX('Input Transaksi'!$E:$E,$E102))</f>
        <v/>
      </c>
      <c r="D102" s="5">
        <f>IF($E102="","",INDEX('Input Transaksi'!$F:$F,$E102))</f>
        <v/>
      </c>
      <c r="E102">
        <f>IFERROR(AGGREGATE(15,6,ROW('Input Transaksi'!$B$5:$B$5000)/('Input Transaksi'!$B$5:$B$5000="JCL SIDAKARYA"),ROWS($E$5:E102)),"")</f>
        <v/>
      </c>
      <c r="F102" s="5" t="n"/>
    </row>
    <row r="103">
      <c r="A103" s="10">
        <f>IF($E103="","",INDEX('Input Transaksi'!$A:$A,$E103))</f>
        <v/>
      </c>
      <c r="B103" s="5">
        <f>IF($E103="","",INDEX('Input Transaksi'!$D:$D,$E103))</f>
        <v/>
      </c>
      <c r="C103">
        <f>IF($E103="","",INDEX('Input Transaksi'!$E:$E,$E103))</f>
        <v/>
      </c>
      <c r="D103" s="5">
        <f>IF($E103="","",INDEX('Input Transaksi'!$F:$F,$E103))</f>
        <v/>
      </c>
      <c r="E103">
        <f>IFERROR(AGGREGATE(15,6,ROW('Input Transaksi'!$B$5:$B$5000)/('Input Transaksi'!$B$5:$B$5000="JCL SIDAKARYA"),ROWS($E$5:E103)),"")</f>
        <v/>
      </c>
      <c r="F103" s="5" t="n"/>
    </row>
    <row r="104">
      <c r="A104" s="10">
        <f>IF($E104="","",INDEX('Input Transaksi'!$A:$A,$E104))</f>
        <v/>
      </c>
      <c r="B104" s="5">
        <f>IF($E104="","",INDEX('Input Transaksi'!$D:$D,$E104))</f>
        <v/>
      </c>
      <c r="C104">
        <f>IF($E104="","",INDEX('Input Transaksi'!$E:$E,$E104))</f>
        <v/>
      </c>
      <c r="D104" s="5">
        <f>IF($E104="","",INDEX('Input Transaksi'!$F:$F,$E104))</f>
        <v/>
      </c>
      <c r="E104">
        <f>IFERROR(AGGREGATE(15,6,ROW('Input Transaksi'!$B$5:$B$5000)/('Input Transaksi'!$B$5:$B$5000="JCL SIDAKARYA"),ROWS($E$5:E104)),"")</f>
        <v/>
      </c>
      <c r="F104" s="5" t="n"/>
    </row>
    <row r="105">
      <c r="A105" s="10">
        <f>IF($E105="","",INDEX('Input Transaksi'!$A:$A,$E105))</f>
        <v/>
      </c>
      <c r="B105" s="5">
        <f>IF($E105="","",INDEX('Input Transaksi'!$D:$D,$E105))</f>
        <v/>
      </c>
      <c r="C105">
        <f>IF($E105="","",INDEX('Input Transaksi'!$E:$E,$E105))</f>
        <v/>
      </c>
      <c r="D105" s="5">
        <f>IF($E105="","",INDEX('Input Transaksi'!$F:$F,$E105))</f>
        <v/>
      </c>
      <c r="E105">
        <f>IFERROR(AGGREGATE(15,6,ROW('Input Transaksi'!$B$5:$B$5000)/('Input Transaksi'!$B$5:$B$5000="JCL SIDAKARYA"),ROWS($E$5:E105)),"")</f>
        <v/>
      </c>
      <c r="F105" s="5" t="n"/>
    </row>
    <row r="106">
      <c r="A106" s="10">
        <f>IF($E106="","",INDEX('Input Transaksi'!$A:$A,$E106))</f>
        <v/>
      </c>
      <c r="B106" s="5">
        <f>IF($E106="","",INDEX('Input Transaksi'!$D:$D,$E106))</f>
        <v/>
      </c>
      <c r="C106">
        <f>IF($E106="","",INDEX('Input Transaksi'!$E:$E,$E106))</f>
        <v/>
      </c>
      <c r="D106" s="5">
        <f>IF($E106="","",INDEX('Input Transaksi'!$F:$F,$E106))</f>
        <v/>
      </c>
      <c r="E106">
        <f>IFERROR(AGGREGATE(15,6,ROW('Input Transaksi'!$B$5:$B$5000)/('Input Transaksi'!$B$5:$B$5000="JCL SIDAKARYA"),ROWS($E$5:E106)),"")</f>
        <v/>
      </c>
      <c r="F106" s="5" t="n"/>
    </row>
    <row r="107">
      <c r="A107" s="10">
        <f>IF($E107="","",INDEX('Input Transaksi'!$A:$A,$E107))</f>
        <v/>
      </c>
      <c r="B107" s="5">
        <f>IF($E107="","",INDEX('Input Transaksi'!$D:$D,$E107))</f>
        <v/>
      </c>
      <c r="C107">
        <f>IF($E107="","",INDEX('Input Transaksi'!$E:$E,$E107))</f>
        <v/>
      </c>
      <c r="D107" s="5">
        <f>IF($E107="","",INDEX('Input Transaksi'!$F:$F,$E107))</f>
        <v/>
      </c>
      <c r="E107">
        <f>IFERROR(AGGREGATE(15,6,ROW('Input Transaksi'!$B$5:$B$5000)/('Input Transaksi'!$B$5:$B$5000="JCL SIDAKARYA"),ROWS($E$5:E107)),"")</f>
        <v/>
      </c>
      <c r="F107" s="5" t="n"/>
    </row>
    <row r="108">
      <c r="A108" s="10">
        <f>IF($E108="","",INDEX('Input Transaksi'!$A:$A,$E108))</f>
        <v/>
      </c>
      <c r="B108" s="5">
        <f>IF($E108="","",INDEX('Input Transaksi'!$D:$D,$E108))</f>
        <v/>
      </c>
      <c r="C108">
        <f>IF($E108="","",INDEX('Input Transaksi'!$E:$E,$E108))</f>
        <v/>
      </c>
      <c r="D108" s="5">
        <f>IF($E108="","",INDEX('Input Transaksi'!$F:$F,$E108))</f>
        <v/>
      </c>
      <c r="E108">
        <f>IFERROR(AGGREGATE(15,6,ROW('Input Transaksi'!$B$5:$B$5000)/('Input Transaksi'!$B$5:$B$5000="JCL SIDAKARYA"),ROWS($E$5:E108)),"")</f>
        <v/>
      </c>
      <c r="F108" s="5" t="n"/>
    </row>
    <row r="109">
      <c r="A109" s="10">
        <f>IF($E109="","",INDEX('Input Transaksi'!$A:$A,$E109))</f>
        <v/>
      </c>
      <c r="B109" s="5">
        <f>IF($E109="","",INDEX('Input Transaksi'!$D:$D,$E109))</f>
        <v/>
      </c>
      <c r="C109">
        <f>IF($E109="","",INDEX('Input Transaksi'!$E:$E,$E109))</f>
        <v/>
      </c>
      <c r="D109" s="5">
        <f>IF($E109="","",INDEX('Input Transaksi'!$F:$F,$E109))</f>
        <v/>
      </c>
      <c r="E109">
        <f>IFERROR(AGGREGATE(15,6,ROW('Input Transaksi'!$B$5:$B$5000)/('Input Transaksi'!$B$5:$B$5000="JCL SIDAKARYA"),ROWS($E$5:E109)),"")</f>
        <v/>
      </c>
      <c r="F109" s="5" t="n"/>
    </row>
    <row r="110">
      <c r="A110" s="10">
        <f>IF($E110="","",INDEX('Input Transaksi'!$A:$A,$E110))</f>
        <v/>
      </c>
      <c r="B110" s="5">
        <f>IF($E110="","",INDEX('Input Transaksi'!$D:$D,$E110))</f>
        <v/>
      </c>
      <c r="C110">
        <f>IF($E110="","",INDEX('Input Transaksi'!$E:$E,$E110))</f>
        <v/>
      </c>
      <c r="D110" s="5">
        <f>IF($E110="","",INDEX('Input Transaksi'!$F:$F,$E110))</f>
        <v/>
      </c>
      <c r="E110">
        <f>IFERROR(AGGREGATE(15,6,ROW('Input Transaksi'!$B$5:$B$5000)/('Input Transaksi'!$B$5:$B$5000="JCL SIDAKARYA"),ROWS($E$5:E110)),"")</f>
        <v/>
      </c>
      <c r="F110" s="5" t="n"/>
    </row>
    <row r="111">
      <c r="A111" s="10">
        <f>IF($E111="","",INDEX('Input Transaksi'!$A:$A,$E111))</f>
        <v/>
      </c>
      <c r="B111" s="5">
        <f>IF($E111="","",INDEX('Input Transaksi'!$D:$D,$E111))</f>
        <v/>
      </c>
      <c r="C111">
        <f>IF($E111="","",INDEX('Input Transaksi'!$E:$E,$E111))</f>
        <v/>
      </c>
      <c r="D111" s="5">
        <f>IF($E111="","",INDEX('Input Transaksi'!$F:$F,$E111))</f>
        <v/>
      </c>
      <c r="E111">
        <f>IFERROR(AGGREGATE(15,6,ROW('Input Transaksi'!$B$5:$B$5000)/('Input Transaksi'!$B$5:$B$5000="JCL SIDAKARYA"),ROWS($E$5:E111)),"")</f>
        <v/>
      </c>
      <c r="F111" s="5" t="n"/>
    </row>
    <row r="112">
      <c r="A112" s="10">
        <f>IF($E112="","",INDEX('Input Transaksi'!$A:$A,$E112))</f>
        <v/>
      </c>
      <c r="B112" s="5">
        <f>IF($E112="","",INDEX('Input Transaksi'!$D:$D,$E112))</f>
        <v/>
      </c>
      <c r="C112">
        <f>IF($E112="","",INDEX('Input Transaksi'!$E:$E,$E112))</f>
        <v/>
      </c>
      <c r="D112" s="5">
        <f>IF($E112="","",INDEX('Input Transaksi'!$F:$F,$E112))</f>
        <v/>
      </c>
      <c r="E112">
        <f>IFERROR(AGGREGATE(15,6,ROW('Input Transaksi'!$B$5:$B$5000)/('Input Transaksi'!$B$5:$B$5000="JCL SIDAKARYA"),ROWS($E$5:E112)),"")</f>
        <v/>
      </c>
      <c r="F112" s="5" t="n"/>
    </row>
    <row r="113">
      <c r="A113" s="10">
        <f>IF($E113="","",INDEX('Input Transaksi'!$A:$A,$E113))</f>
        <v/>
      </c>
      <c r="B113" s="5">
        <f>IF($E113="","",INDEX('Input Transaksi'!$D:$D,$E113))</f>
        <v/>
      </c>
      <c r="C113">
        <f>IF($E113="","",INDEX('Input Transaksi'!$E:$E,$E113))</f>
        <v/>
      </c>
      <c r="D113" s="5">
        <f>IF($E113="","",INDEX('Input Transaksi'!$F:$F,$E113))</f>
        <v/>
      </c>
      <c r="E113">
        <f>IFERROR(AGGREGATE(15,6,ROW('Input Transaksi'!$B$5:$B$5000)/('Input Transaksi'!$B$5:$B$5000="JCL SIDAKARYA"),ROWS($E$5:E113)),"")</f>
        <v/>
      </c>
      <c r="F113" s="5" t="n"/>
    </row>
    <row r="114">
      <c r="A114" s="10">
        <f>IF($E114="","",INDEX('Input Transaksi'!$A:$A,$E114))</f>
        <v/>
      </c>
      <c r="B114" s="5">
        <f>IF($E114="","",INDEX('Input Transaksi'!$D:$D,$E114))</f>
        <v/>
      </c>
      <c r="C114">
        <f>IF($E114="","",INDEX('Input Transaksi'!$E:$E,$E114))</f>
        <v/>
      </c>
      <c r="D114" s="5">
        <f>IF($E114="","",INDEX('Input Transaksi'!$F:$F,$E114))</f>
        <v/>
      </c>
      <c r="E114">
        <f>IFERROR(AGGREGATE(15,6,ROW('Input Transaksi'!$B$5:$B$5000)/('Input Transaksi'!$B$5:$B$5000="JCL SIDAKARYA"),ROWS($E$5:E114)),"")</f>
        <v/>
      </c>
      <c r="F114" s="5" t="n"/>
    </row>
    <row r="115">
      <c r="A115" s="10">
        <f>IF($E115="","",INDEX('Input Transaksi'!$A:$A,$E115))</f>
        <v/>
      </c>
      <c r="B115" s="5">
        <f>IF($E115="","",INDEX('Input Transaksi'!$D:$D,$E115))</f>
        <v/>
      </c>
      <c r="C115">
        <f>IF($E115="","",INDEX('Input Transaksi'!$E:$E,$E115))</f>
        <v/>
      </c>
      <c r="D115" s="5">
        <f>IF($E115="","",INDEX('Input Transaksi'!$F:$F,$E115))</f>
        <v/>
      </c>
      <c r="E115">
        <f>IFERROR(AGGREGATE(15,6,ROW('Input Transaksi'!$B$5:$B$5000)/('Input Transaksi'!$B$5:$B$5000="JCL SIDAKARYA"),ROWS($E$5:E115)),"")</f>
        <v/>
      </c>
      <c r="F115" s="5" t="n"/>
    </row>
    <row r="116">
      <c r="A116" s="10">
        <f>IF($E116="","",INDEX('Input Transaksi'!$A:$A,$E116))</f>
        <v/>
      </c>
      <c r="B116" s="5">
        <f>IF($E116="","",INDEX('Input Transaksi'!$D:$D,$E116))</f>
        <v/>
      </c>
      <c r="C116">
        <f>IF($E116="","",INDEX('Input Transaksi'!$E:$E,$E116))</f>
        <v/>
      </c>
      <c r="D116" s="5">
        <f>IF($E116="","",INDEX('Input Transaksi'!$F:$F,$E116))</f>
        <v/>
      </c>
      <c r="E116">
        <f>IFERROR(AGGREGATE(15,6,ROW('Input Transaksi'!$B$5:$B$5000)/('Input Transaksi'!$B$5:$B$5000="JCL SIDAKARYA"),ROWS($E$5:E116)),"")</f>
        <v/>
      </c>
      <c r="F116" s="5" t="n"/>
    </row>
    <row r="117">
      <c r="A117" s="10">
        <f>IF($E117="","",INDEX('Input Transaksi'!$A:$A,$E117))</f>
        <v/>
      </c>
      <c r="B117" s="5">
        <f>IF($E117="","",INDEX('Input Transaksi'!$D:$D,$E117))</f>
        <v/>
      </c>
      <c r="C117">
        <f>IF($E117="","",INDEX('Input Transaksi'!$E:$E,$E117))</f>
        <v/>
      </c>
      <c r="D117" s="5">
        <f>IF($E117="","",INDEX('Input Transaksi'!$F:$F,$E117))</f>
        <v/>
      </c>
      <c r="E117">
        <f>IFERROR(AGGREGATE(15,6,ROW('Input Transaksi'!$B$5:$B$5000)/('Input Transaksi'!$B$5:$B$5000="JCL SIDAKARYA"),ROWS($E$5:E117)),"")</f>
        <v/>
      </c>
      <c r="F117" s="5" t="n"/>
    </row>
    <row r="118">
      <c r="A118" s="10">
        <f>IF($E118="","",INDEX('Input Transaksi'!$A:$A,$E118))</f>
        <v/>
      </c>
      <c r="B118" s="5">
        <f>IF($E118="","",INDEX('Input Transaksi'!$D:$D,$E118))</f>
        <v/>
      </c>
      <c r="C118">
        <f>IF($E118="","",INDEX('Input Transaksi'!$E:$E,$E118))</f>
        <v/>
      </c>
      <c r="D118" s="5">
        <f>IF($E118="","",INDEX('Input Transaksi'!$F:$F,$E118))</f>
        <v/>
      </c>
      <c r="E118">
        <f>IFERROR(AGGREGATE(15,6,ROW('Input Transaksi'!$B$5:$B$5000)/('Input Transaksi'!$B$5:$B$5000="JCL SIDAKARYA"),ROWS($E$5:E118)),"")</f>
        <v/>
      </c>
      <c r="F118" s="5" t="n"/>
    </row>
    <row r="119">
      <c r="A119" s="10">
        <f>IF($E119="","",INDEX('Input Transaksi'!$A:$A,$E119))</f>
        <v/>
      </c>
      <c r="B119" s="5">
        <f>IF($E119="","",INDEX('Input Transaksi'!$D:$D,$E119))</f>
        <v/>
      </c>
      <c r="C119">
        <f>IF($E119="","",INDEX('Input Transaksi'!$E:$E,$E119))</f>
        <v/>
      </c>
      <c r="D119" s="5">
        <f>IF($E119="","",INDEX('Input Transaksi'!$F:$F,$E119))</f>
        <v/>
      </c>
      <c r="E119">
        <f>IFERROR(AGGREGATE(15,6,ROW('Input Transaksi'!$B$5:$B$5000)/('Input Transaksi'!$B$5:$B$5000="JCL SIDAKARYA"),ROWS($E$5:E119)),"")</f>
        <v/>
      </c>
      <c r="F119" s="5" t="n"/>
    </row>
    <row r="120">
      <c r="A120" s="10">
        <f>IF($E120="","",INDEX('Input Transaksi'!$A:$A,$E120))</f>
        <v/>
      </c>
      <c r="B120" s="5">
        <f>IF($E120="","",INDEX('Input Transaksi'!$D:$D,$E120))</f>
        <v/>
      </c>
      <c r="C120">
        <f>IF($E120="","",INDEX('Input Transaksi'!$E:$E,$E120))</f>
        <v/>
      </c>
      <c r="D120" s="5">
        <f>IF($E120="","",INDEX('Input Transaksi'!$F:$F,$E120))</f>
        <v/>
      </c>
      <c r="E120">
        <f>IFERROR(AGGREGATE(15,6,ROW('Input Transaksi'!$B$5:$B$5000)/('Input Transaksi'!$B$5:$B$5000="JCL SIDAKARYA"),ROWS($E$5:E120)),"")</f>
        <v/>
      </c>
      <c r="F120" s="5" t="n"/>
    </row>
    <row r="121">
      <c r="A121" s="10">
        <f>IF($E121="","",INDEX('Input Transaksi'!$A:$A,$E121))</f>
        <v/>
      </c>
      <c r="B121" s="5">
        <f>IF($E121="","",INDEX('Input Transaksi'!$D:$D,$E121))</f>
        <v/>
      </c>
      <c r="C121">
        <f>IF($E121="","",INDEX('Input Transaksi'!$E:$E,$E121))</f>
        <v/>
      </c>
      <c r="D121" s="5">
        <f>IF($E121="","",INDEX('Input Transaksi'!$F:$F,$E121))</f>
        <v/>
      </c>
      <c r="E121">
        <f>IFERROR(AGGREGATE(15,6,ROW('Input Transaksi'!$B$5:$B$5000)/('Input Transaksi'!$B$5:$B$5000="JCL SIDAKARYA"),ROWS($E$5:E121)),"")</f>
        <v/>
      </c>
      <c r="F121" s="5" t="n"/>
    </row>
    <row r="122">
      <c r="A122" s="10">
        <f>IF($E122="","",INDEX('Input Transaksi'!$A:$A,$E122))</f>
        <v/>
      </c>
      <c r="B122" s="5">
        <f>IF($E122="","",INDEX('Input Transaksi'!$D:$D,$E122))</f>
        <v/>
      </c>
      <c r="C122">
        <f>IF($E122="","",INDEX('Input Transaksi'!$E:$E,$E122))</f>
        <v/>
      </c>
      <c r="D122" s="5">
        <f>IF($E122="","",INDEX('Input Transaksi'!$F:$F,$E122))</f>
        <v/>
      </c>
      <c r="E122">
        <f>IFERROR(AGGREGATE(15,6,ROW('Input Transaksi'!$B$5:$B$5000)/('Input Transaksi'!$B$5:$B$5000="JCL SIDAKARYA"),ROWS($E$5:E122)),"")</f>
        <v/>
      </c>
      <c r="F122" s="5" t="n"/>
    </row>
    <row r="123">
      <c r="A123" s="10">
        <f>IF($E123="","",INDEX('Input Transaksi'!$A:$A,$E123))</f>
        <v/>
      </c>
      <c r="B123" s="5">
        <f>IF($E123="","",INDEX('Input Transaksi'!$D:$D,$E123))</f>
        <v/>
      </c>
      <c r="C123">
        <f>IF($E123="","",INDEX('Input Transaksi'!$E:$E,$E123))</f>
        <v/>
      </c>
      <c r="D123" s="5">
        <f>IF($E123="","",INDEX('Input Transaksi'!$F:$F,$E123))</f>
        <v/>
      </c>
      <c r="E123">
        <f>IFERROR(AGGREGATE(15,6,ROW('Input Transaksi'!$B$5:$B$5000)/('Input Transaksi'!$B$5:$B$5000="JCL SIDAKARYA"),ROWS($E$5:E123)),"")</f>
        <v/>
      </c>
      <c r="F123" s="5" t="n"/>
    </row>
    <row r="124">
      <c r="A124" s="10">
        <f>IF($E124="","",INDEX('Input Transaksi'!$A:$A,$E124))</f>
        <v/>
      </c>
      <c r="B124" s="5">
        <f>IF($E124="","",INDEX('Input Transaksi'!$D:$D,$E124))</f>
        <v/>
      </c>
      <c r="C124">
        <f>IF($E124="","",INDEX('Input Transaksi'!$E:$E,$E124))</f>
        <v/>
      </c>
      <c r="D124" s="5">
        <f>IF($E124="","",INDEX('Input Transaksi'!$F:$F,$E124))</f>
        <v/>
      </c>
      <c r="E124">
        <f>IFERROR(AGGREGATE(15,6,ROW('Input Transaksi'!$B$5:$B$5000)/('Input Transaksi'!$B$5:$B$5000="JCL SIDAKARYA"),ROWS($E$5:E124)),"")</f>
        <v/>
      </c>
      <c r="F124" s="5" t="n"/>
    </row>
    <row r="125">
      <c r="A125" s="10">
        <f>IF($E125="","",INDEX('Input Transaksi'!$A:$A,$E125))</f>
        <v/>
      </c>
      <c r="B125" s="5">
        <f>IF($E125="","",INDEX('Input Transaksi'!$D:$D,$E125))</f>
        <v/>
      </c>
      <c r="C125">
        <f>IF($E125="","",INDEX('Input Transaksi'!$E:$E,$E125))</f>
        <v/>
      </c>
      <c r="D125" s="5">
        <f>IF($E125="","",INDEX('Input Transaksi'!$F:$F,$E125))</f>
        <v/>
      </c>
      <c r="E125">
        <f>IFERROR(AGGREGATE(15,6,ROW('Input Transaksi'!$B$5:$B$5000)/('Input Transaksi'!$B$5:$B$5000="JCL SIDAKARYA"),ROWS($E$5:E125)),"")</f>
        <v/>
      </c>
      <c r="F125" s="5" t="n"/>
    </row>
    <row r="126">
      <c r="A126" s="10">
        <f>IF($E126="","",INDEX('Input Transaksi'!$A:$A,$E126))</f>
        <v/>
      </c>
      <c r="B126" s="5">
        <f>IF($E126="","",INDEX('Input Transaksi'!$D:$D,$E126))</f>
        <v/>
      </c>
      <c r="C126">
        <f>IF($E126="","",INDEX('Input Transaksi'!$E:$E,$E126))</f>
        <v/>
      </c>
      <c r="D126" s="5">
        <f>IF($E126="","",INDEX('Input Transaksi'!$F:$F,$E126))</f>
        <v/>
      </c>
      <c r="E126">
        <f>IFERROR(AGGREGATE(15,6,ROW('Input Transaksi'!$B$5:$B$5000)/('Input Transaksi'!$B$5:$B$5000="JCL SIDAKARYA"),ROWS($E$5:E126)),"")</f>
        <v/>
      </c>
      <c r="F126" s="5" t="n"/>
    </row>
    <row r="127">
      <c r="A127" s="10">
        <f>IF($E127="","",INDEX('Input Transaksi'!$A:$A,$E127))</f>
        <v/>
      </c>
      <c r="B127" s="5">
        <f>IF($E127="","",INDEX('Input Transaksi'!$D:$D,$E127))</f>
        <v/>
      </c>
      <c r="C127">
        <f>IF($E127="","",INDEX('Input Transaksi'!$E:$E,$E127))</f>
        <v/>
      </c>
      <c r="D127" s="5">
        <f>IF($E127="","",INDEX('Input Transaksi'!$F:$F,$E127))</f>
        <v/>
      </c>
      <c r="E127">
        <f>IFERROR(AGGREGATE(15,6,ROW('Input Transaksi'!$B$5:$B$5000)/('Input Transaksi'!$B$5:$B$5000="JCL SIDAKARYA"),ROWS($E$5:E127)),"")</f>
        <v/>
      </c>
      <c r="F127" s="5" t="n"/>
    </row>
    <row r="128">
      <c r="A128" s="10">
        <f>IF($E128="","",INDEX('Input Transaksi'!$A:$A,$E128))</f>
        <v/>
      </c>
      <c r="B128" s="5">
        <f>IF($E128="","",INDEX('Input Transaksi'!$D:$D,$E128))</f>
        <v/>
      </c>
      <c r="C128">
        <f>IF($E128="","",INDEX('Input Transaksi'!$E:$E,$E128))</f>
        <v/>
      </c>
      <c r="D128" s="5">
        <f>IF($E128="","",INDEX('Input Transaksi'!$F:$F,$E128))</f>
        <v/>
      </c>
      <c r="E128">
        <f>IFERROR(AGGREGATE(15,6,ROW('Input Transaksi'!$B$5:$B$5000)/('Input Transaksi'!$B$5:$B$5000="JCL SIDAKARYA"),ROWS($E$5:E128)),"")</f>
        <v/>
      </c>
      <c r="F128" s="5" t="n"/>
    </row>
    <row r="129">
      <c r="A129" s="10">
        <f>IF($E129="","",INDEX('Input Transaksi'!$A:$A,$E129))</f>
        <v/>
      </c>
      <c r="B129" s="5">
        <f>IF($E129="","",INDEX('Input Transaksi'!$D:$D,$E129))</f>
        <v/>
      </c>
      <c r="C129">
        <f>IF($E129="","",INDEX('Input Transaksi'!$E:$E,$E129))</f>
        <v/>
      </c>
      <c r="D129" s="5">
        <f>IF($E129="","",INDEX('Input Transaksi'!$F:$F,$E129))</f>
        <v/>
      </c>
      <c r="E129">
        <f>IFERROR(AGGREGATE(15,6,ROW('Input Transaksi'!$B$5:$B$5000)/('Input Transaksi'!$B$5:$B$5000="JCL SIDAKARYA"),ROWS($E$5:E129)),"")</f>
        <v/>
      </c>
      <c r="F129" s="5" t="n"/>
    </row>
    <row r="130">
      <c r="A130" s="10">
        <f>IF($E130="","",INDEX('Input Transaksi'!$A:$A,$E130))</f>
        <v/>
      </c>
      <c r="B130" s="5">
        <f>IF($E130="","",INDEX('Input Transaksi'!$D:$D,$E130))</f>
        <v/>
      </c>
      <c r="C130">
        <f>IF($E130="","",INDEX('Input Transaksi'!$E:$E,$E130))</f>
        <v/>
      </c>
      <c r="D130" s="5">
        <f>IF($E130="","",INDEX('Input Transaksi'!$F:$F,$E130))</f>
        <v/>
      </c>
      <c r="E130">
        <f>IFERROR(AGGREGATE(15,6,ROW('Input Transaksi'!$B$5:$B$5000)/('Input Transaksi'!$B$5:$B$5000="JCL SIDAKARYA"),ROWS($E$5:E130)),"")</f>
        <v/>
      </c>
      <c r="F130" s="5" t="n"/>
    </row>
    <row r="131">
      <c r="A131" s="10">
        <f>IF($E131="","",INDEX('Input Transaksi'!$A:$A,$E131))</f>
        <v/>
      </c>
      <c r="B131" s="5">
        <f>IF($E131="","",INDEX('Input Transaksi'!$D:$D,$E131))</f>
        <v/>
      </c>
      <c r="C131">
        <f>IF($E131="","",INDEX('Input Transaksi'!$E:$E,$E131))</f>
        <v/>
      </c>
      <c r="D131" s="5">
        <f>IF($E131="","",INDEX('Input Transaksi'!$F:$F,$E131))</f>
        <v/>
      </c>
      <c r="E131">
        <f>IFERROR(AGGREGATE(15,6,ROW('Input Transaksi'!$B$5:$B$5000)/('Input Transaksi'!$B$5:$B$5000="JCL SIDAKARYA"),ROWS($E$5:E131)),"")</f>
        <v/>
      </c>
      <c r="F131" s="5" t="n"/>
    </row>
    <row r="132">
      <c r="A132" s="10">
        <f>IF($E132="","",INDEX('Input Transaksi'!$A:$A,$E132))</f>
        <v/>
      </c>
      <c r="B132" s="5">
        <f>IF($E132="","",INDEX('Input Transaksi'!$D:$D,$E132))</f>
        <v/>
      </c>
      <c r="C132">
        <f>IF($E132="","",INDEX('Input Transaksi'!$E:$E,$E132))</f>
        <v/>
      </c>
      <c r="D132" s="5">
        <f>IF($E132="","",INDEX('Input Transaksi'!$F:$F,$E132))</f>
        <v/>
      </c>
      <c r="E132">
        <f>IFERROR(AGGREGATE(15,6,ROW('Input Transaksi'!$B$5:$B$5000)/('Input Transaksi'!$B$5:$B$5000="JCL SIDAKARYA"),ROWS($E$5:E132)),"")</f>
        <v/>
      </c>
      <c r="F132" s="5" t="n"/>
    </row>
    <row r="133">
      <c r="A133" s="10">
        <f>IF($E133="","",INDEX('Input Transaksi'!$A:$A,$E133))</f>
        <v/>
      </c>
      <c r="B133" s="5">
        <f>IF($E133="","",INDEX('Input Transaksi'!$D:$D,$E133))</f>
        <v/>
      </c>
      <c r="C133">
        <f>IF($E133="","",INDEX('Input Transaksi'!$E:$E,$E133))</f>
        <v/>
      </c>
      <c r="D133" s="5">
        <f>IF($E133="","",INDEX('Input Transaksi'!$F:$F,$E133))</f>
        <v/>
      </c>
      <c r="E133">
        <f>IFERROR(AGGREGATE(15,6,ROW('Input Transaksi'!$B$5:$B$5000)/('Input Transaksi'!$B$5:$B$5000="JCL SIDAKARYA"),ROWS($E$5:E133)),"")</f>
        <v/>
      </c>
      <c r="F133" s="5" t="n"/>
    </row>
    <row r="134">
      <c r="A134" s="10">
        <f>IF($E134="","",INDEX('Input Transaksi'!$A:$A,$E134))</f>
        <v/>
      </c>
      <c r="B134" s="5">
        <f>IF($E134="","",INDEX('Input Transaksi'!$D:$D,$E134))</f>
        <v/>
      </c>
      <c r="C134">
        <f>IF($E134="","",INDEX('Input Transaksi'!$E:$E,$E134))</f>
        <v/>
      </c>
      <c r="D134" s="5">
        <f>IF($E134="","",INDEX('Input Transaksi'!$F:$F,$E134))</f>
        <v/>
      </c>
      <c r="E134">
        <f>IFERROR(AGGREGATE(15,6,ROW('Input Transaksi'!$B$5:$B$5000)/('Input Transaksi'!$B$5:$B$5000="JCL SIDAKARYA"),ROWS($E$5:E134)),"")</f>
        <v/>
      </c>
      <c r="F134" s="5" t="n"/>
    </row>
    <row r="135">
      <c r="A135" s="10">
        <f>IF($E135="","",INDEX('Input Transaksi'!$A:$A,$E135))</f>
        <v/>
      </c>
      <c r="B135" s="5">
        <f>IF($E135="","",INDEX('Input Transaksi'!$D:$D,$E135))</f>
        <v/>
      </c>
      <c r="C135">
        <f>IF($E135="","",INDEX('Input Transaksi'!$E:$E,$E135))</f>
        <v/>
      </c>
      <c r="D135" s="5">
        <f>IF($E135="","",INDEX('Input Transaksi'!$F:$F,$E135))</f>
        <v/>
      </c>
      <c r="E135">
        <f>IFERROR(AGGREGATE(15,6,ROW('Input Transaksi'!$B$5:$B$5000)/('Input Transaksi'!$B$5:$B$5000="JCL SIDAKARYA"),ROWS($E$5:E135)),"")</f>
        <v/>
      </c>
      <c r="F135" s="5" t="n"/>
    </row>
    <row r="136">
      <c r="A136" s="10">
        <f>IF($E136="","",INDEX('Input Transaksi'!$A:$A,$E136))</f>
        <v/>
      </c>
      <c r="B136" s="5">
        <f>IF($E136="","",INDEX('Input Transaksi'!$D:$D,$E136))</f>
        <v/>
      </c>
      <c r="C136">
        <f>IF($E136="","",INDEX('Input Transaksi'!$E:$E,$E136))</f>
        <v/>
      </c>
      <c r="D136" s="5">
        <f>IF($E136="","",INDEX('Input Transaksi'!$F:$F,$E136))</f>
        <v/>
      </c>
      <c r="E136">
        <f>IFERROR(AGGREGATE(15,6,ROW('Input Transaksi'!$B$5:$B$5000)/('Input Transaksi'!$B$5:$B$5000="JCL SIDAKARYA"),ROWS($E$5:E136)),"")</f>
        <v/>
      </c>
      <c r="F136" s="5" t="n"/>
    </row>
    <row r="137">
      <c r="A137" s="10">
        <f>IF($E137="","",INDEX('Input Transaksi'!$A:$A,$E137))</f>
        <v/>
      </c>
      <c r="B137" s="5">
        <f>IF($E137="","",INDEX('Input Transaksi'!$D:$D,$E137))</f>
        <v/>
      </c>
      <c r="C137">
        <f>IF($E137="","",INDEX('Input Transaksi'!$E:$E,$E137))</f>
        <v/>
      </c>
      <c r="D137" s="5">
        <f>IF($E137="","",INDEX('Input Transaksi'!$F:$F,$E137))</f>
        <v/>
      </c>
      <c r="E137">
        <f>IFERROR(AGGREGATE(15,6,ROW('Input Transaksi'!$B$5:$B$5000)/('Input Transaksi'!$B$5:$B$5000="JCL SIDAKARYA"),ROWS($E$5:E137)),"")</f>
        <v/>
      </c>
      <c r="F137" s="5" t="n"/>
    </row>
    <row r="138">
      <c r="A138" s="10">
        <f>IF($E138="","",INDEX('Input Transaksi'!$A:$A,$E138))</f>
        <v/>
      </c>
      <c r="B138" s="5">
        <f>IF($E138="","",INDEX('Input Transaksi'!$D:$D,$E138))</f>
        <v/>
      </c>
      <c r="C138">
        <f>IF($E138="","",INDEX('Input Transaksi'!$E:$E,$E138))</f>
        <v/>
      </c>
      <c r="D138" s="5">
        <f>IF($E138="","",INDEX('Input Transaksi'!$F:$F,$E138))</f>
        <v/>
      </c>
      <c r="E138">
        <f>IFERROR(AGGREGATE(15,6,ROW('Input Transaksi'!$B$5:$B$5000)/('Input Transaksi'!$B$5:$B$5000="JCL SIDAKARYA"),ROWS($E$5:E138)),"")</f>
        <v/>
      </c>
      <c r="F138" s="5" t="n"/>
    </row>
    <row r="139">
      <c r="A139" s="10">
        <f>IF($E139="","",INDEX('Input Transaksi'!$A:$A,$E139))</f>
        <v/>
      </c>
      <c r="B139" s="5">
        <f>IF($E139="","",INDEX('Input Transaksi'!$D:$D,$E139))</f>
        <v/>
      </c>
      <c r="C139">
        <f>IF($E139="","",INDEX('Input Transaksi'!$E:$E,$E139))</f>
        <v/>
      </c>
      <c r="D139" s="5">
        <f>IF($E139="","",INDEX('Input Transaksi'!$F:$F,$E139))</f>
        <v/>
      </c>
      <c r="E139">
        <f>IFERROR(AGGREGATE(15,6,ROW('Input Transaksi'!$B$5:$B$5000)/('Input Transaksi'!$B$5:$B$5000="JCL SIDAKARYA"),ROWS($E$5:E139)),"")</f>
        <v/>
      </c>
      <c r="F139" s="5" t="n"/>
    </row>
    <row r="140">
      <c r="A140" s="10">
        <f>IF($E140="","",INDEX('Input Transaksi'!$A:$A,$E140))</f>
        <v/>
      </c>
      <c r="B140" s="5">
        <f>IF($E140="","",INDEX('Input Transaksi'!$D:$D,$E140))</f>
        <v/>
      </c>
      <c r="C140">
        <f>IF($E140="","",INDEX('Input Transaksi'!$E:$E,$E140))</f>
        <v/>
      </c>
      <c r="D140" s="5">
        <f>IF($E140="","",INDEX('Input Transaksi'!$F:$F,$E140))</f>
        <v/>
      </c>
      <c r="E140">
        <f>IFERROR(AGGREGATE(15,6,ROW('Input Transaksi'!$B$5:$B$5000)/('Input Transaksi'!$B$5:$B$5000="JCL SIDAKARYA"),ROWS($E$5:E140)),"")</f>
        <v/>
      </c>
      <c r="F140" s="5" t="n"/>
    </row>
    <row r="141">
      <c r="A141" s="10">
        <f>IF($E141="","",INDEX('Input Transaksi'!$A:$A,$E141))</f>
        <v/>
      </c>
      <c r="B141" s="5">
        <f>IF($E141="","",INDEX('Input Transaksi'!$D:$D,$E141))</f>
        <v/>
      </c>
      <c r="C141">
        <f>IF($E141="","",INDEX('Input Transaksi'!$E:$E,$E141))</f>
        <v/>
      </c>
      <c r="D141" s="5">
        <f>IF($E141="","",INDEX('Input Transaksi'!$F:$F,$E141))</f>
        <v/>
      </c>
      <c r="E141">
        <f>IFERROR(AGGREGATE(15,6,ROW('Input Transaksi'!$B$5:$B$5000)/('Input Transaksi'!$B$5:$B$5000="JCL SIDAKARYA"),ROWS($E$5:E141)),"")</f>
        <v/>
      </c>
      <c r="F141" s="5" t="n"/>
    </row>
    <row r="142">
      <c r="A142" s="10">
        <f>IF($E142="","",INDEX('Input Transaksi'!$A:$A,$E142))</f>
        <v/>
      </c>
      <c r="B142" s="5">
        <f>IF($E142="","",INDEX('Input Transaksi'!$D:$D,$E142))</f>
        <v/>
      </c>
      <c r="C142">
        <f>IF($E142="","",INDEX('Input Transaksi'!$E:$E,$E142))</f>
        <v/>
      </c>
      <c r="D142" s="5">
        <f>IF($E142="","",INDEX('Input Transaksi'!$F:$F,$E142))</f>
        <v/>
      </c>
      <c r="E142">
        <f>IFERROR(AGGREGATE(15,6,ROW('Input Transaksi'!$B$5:$B$5000)/('Input Transaksi'!$B$5:$B$5000="JCL SIDAKARYA"),ROWS($E$5:E142)),"")</f>
        <v/>
      </c>
      <c r="F142" s="5" t="n"/>
    </row>
    <row r="143">
      <c r="A143" s="10">
        <f>IF($E143="","",INDEX('Input Transaksi'!$A:$A,$E143))</f>
        <v/>
      </c>
      <c r="B143" s="5">
        <f>IF($E143="","",INDEX('Input Transaksi'!$D:$D,$E143))</f>
        <v/>
      </c>
      <c r="C143">
        <f>IF($E143="","",INDEX('Input Transaksi'!$E:$E,$E143))</f>
        <v/>
      </c>
      <c r="D143" s="5">
        <f>IF($E143="","",INDEX('Input Transaksi'!$F:$F,$E143))</f>
        <v/>
      </c>
      <c r="E143">
        <f>IFERROR(AGGREGATE(15,6,ROW('Input Transaksi'!$B$5:$B$5000)/('Input Transaksi'!$B$5:$B$5000="JCL SIDAKARYA"),ROWS($E$5:E143)),"")</f>
        <v/>
      </c>
      <c r="F143" s="5" t="n"/>
    </row>
    <row r="144">
      <c r="A144" s="10">
        <f>IF($E144="","",INDEX('Input Transaksi'!$A:$A,$E144))</f>
        <v/>
      </c>
      <c r="B144" s="5">
        <f>IF($E144="","",INDEX('Input Transaksi'!$D:$D,$E144))</f>
        <v/>
      </c>
      <c r="C144">
        <f>IF($E144="","",INDEX('Input Transaksi'!$E:$E,$E144))</f>
        <v/>
      </c>
      <c r="D144" s="5">
        <f>IF($E144="","",INDEX('Input Transaksi'!$F:$F,$E144))</f>
        <v/>
      </c>
      <c r="E144">
        <f>IFERROR(AGGREGATE(15,6,ROW('Input Transaksi'!$B$5:$B$5000)/('Input Transaksi'!$B$5:$B$5000="JCL SIDAKARYA"),ROWS($E$5:E144)),"")</f>
        <v/>
      </c>
      <c r="F144" s="5" t="n"/>
    </row>
    <row r="145">
      <c r="A145" s="10">
        <f>IF($E145="","",INDEX('Input Transaksi'!$A:$A,$E145))</f>
        <v/>
      </c>
      <c r="B145" s="5">
        <f>IF($E145="","",INDEX('Input Transaksi'!$D:$D,$E145))</f>
        <v/>
      </c>
      <c r="C145">
        <f>IF($E145="","",INDEX('Input Transaksi'!$E:$E,$E145))</f>
        <v/>
      </c>
      <c r="D145" s="5">
        <f>IF($E145="","",INDEX('Input Transaksi'!$F:$F,$E145))</f>
        <v/>
      </c>
      <c r="E145">
        <f>IFERROR(AGGREGATE(15,6,ROW('Input Transaksi'!$B$5:$B$5000)/('Input Transaksi'!$B$5:$B$5000="JCL SIDAKARYA"),ROWS($E$5:E145)),"")</f>
        <v/>
      </c>
      <c r="F145" s="5" t="n"/>
    </row>
    <row r="146">
      <c r="A146" s="10">
        <f>IF($E146="","",INDEX('Input Transaksi'!$A:$A,$E146))</f>
        <v/>
      </c>
      <c r="B146" s="5">
        <f>IF($E146="","",INDEX('Input Transaksi'!$D:$D,$E146))</f>
        <v/>
      </c>
      <c r="C146">
        <f>IF($E146="","",INDEX('Input Transaksi'!$E:$E,$E146))</f>
        <v/>
      </c>
      <c r="D146" s="5">
        <f>IF($E146="","",INDEX('Input Transaksi'!$F:$F,$E146))</f>
        <v/>
      </c>
      <c r="E146">
        <f>IFERROR(AGGREGATE(15,6,ROW('Input Transaksi'!$B$5:$B$5000)/('Input Transaksi'!$B$5:$B$5000="JCL SIDAKARYA"),ROWS($E$5:E146)),"")</f>
        <v/>
      </c>
      <c r="F146" s="5" t="n"/>
    </row>
    <row r="147">
      <c r="A147" s="10">
        <f>IF($E147="","",INDEX('Input Transaksi'!$A:$A,$E147))</f>
        <v/>
      </c>
      <c r="B147" s="5">
        <f>IF($E147="","",INDEX('Input Transaksi'!$D:$D,$E147))</f>
        <v/>
      </c>
      <c r="C147">
        <f>IF($E147="","",INDEX('Input Transaksi'!$E:$E,$E147))</f>
        <v/>
      </c>
      <c r="D147" s="5">
        <f>IF($E147="","",INDEX('Input Transaksi'!$F:$F,$E147))</f>
        <v/>
      </c>
      <c r="E147">
        <f>IFERROR(AGGREGATE(15,6,ROW('Input Transaksi'!$B$5:$B$5000)/('Input Transaksi'!$B$5:$B$5000="JCL SIDAKARYA"),ROWS($E$5:E147)),"")</f>
        <v/>
      </c>
      <c r="F147" s="5" t="n"/>
    </row>
    <row r="148">
      <c r="A148" s="10">
        <f>IF($E148="","",INDEX('Input Transaksi'!$A:$A,$E148))</f>
        <v/>
      </c>
      <c r="B148" s="5">
        <f>IF($E148="","",INDEX('Input Transaksi'!$D:$D,$E148))</f>
        <v/>
      </c>
      <c r="C148">
        <f>IF($E148="","",INDEX('Input Transaksi'!$E:$E,$E148))</f>
        <v/>
      </c>
      <c r="D148" s="5">
        <f>IF($E148="","",INDEX('Input Transaksi'!$F:$F,$E148))</f>
        <v/>
      </c>
      <c r="E148">
        <f>IFERROR(AGGREGATE(15,6,ROW('Input Transaksi'!$B$5:$B$5000)/('Input Transaksi'!$B$5:$B$5000="JCL SIDAKARYA"),ROWS($E$5:E148)),"")</f>
        <v/>
      </c>
      <c r="F148" s="5" t="n"/>
    </row>
    <row r="149">
      <c r="A149" s="10">
        <f>IF($E149="","",INDEX('Input Transaksi'!$A:$A,$E149))</f>
        <v/>
      </c>
      <c r="B149" s="5">
        <f>IF($E149="","",INDEX('Input Transaksi'!$D:$D,$E149))</f>
        <v/>
      </c>
      <c r="C149">
        <f>IF($E149="","",INDEX('Input Transaksi'!$E:$E,$E149))</f>
        <v/>
      </c>
      <c r="D149" s="5">
        <f>IF($E149="","",INDEX('Input Transaksi'!$F:$F,$E149))</f>
        <v/>
      </c>
      <c r="E149">
        <f>IFERROR(AGGREGATE(15,6,ROW('Input Transaksi'!$B$5:$B$5000)/('Input Transaksi'!$B$5:$B$5000="JCL SIDAKARYA"),ROWS($E$5:E149)),"")</f>
        <v/>
      </c>
      <c r="F149" s="5" t="n"/>
    </row>
    <row r="150">
      <c r="A150" s="10">
        <f>IF($E150="","",INDEX('Input Transaksi'!$A:$A,$E150))</f>
        <v/>
      </c>
      <c r="B150" s="5">
        <f>IF($E150="","",INDEX('Input Transaksi'!$D:$D,$E150))</f>
        <v/>
      </c>
      <c r="C150">
        <f>IF($E150="","",INDEX('Input Transaksi'!$E:$E,$E150))</f>
        <v/>
      </c>
      <c r="D150" s="5">
        <f>IF($E150="","",INDEX('Input Transaksi'!$F:$F,$E150))</f>
        <v/>
      </c>
      <c r="E150">
        <f>IFERROR(AGGREGATE(15,6,ROW('Input Transaksi'!$B$5:$B$5000)/('Input Transaksi'!$B$5:$B$5000="JCL SIDAKARYA"),ROWS($E$5:E150)),"")</f>
        <v/>
      </c>
      <c r="F150" s="5" t="n"/>
    </row>
    <row r="151">
      <c r="A151" s="10">
        <f>IF($E151="","",INDEX('Input Transaksi'!$A:$A,$E151))</f>
        <v/>
      </c>
      <c r="B151" s="5">
        <f>IF($E151="","",INDEX('Input Transaksi'!$D:$D,$E151))</f>
        <v/>
      </c>
      <c r="C151">
        <f>IF($E151="","",INDEX('Input Transaksi'!$E:$E,$E151))</f>
        <v/>
      </c>
      <c r="D151" s="5">
        <f>IF($E151="","",INDEX('Input Transaksi'!$F:$F,$E151))</f>
        <v/>
      </c>
      <c r="E151">
        <f>IFERROR(AGGREGATE(15,6,ROW('Input Transaksi'!$B$5:$B$5000)/('Input Transaksi'!$B$5:$B$5000="JCL SIDAKARYA"),ROWS($E$5:E151)),"")</f>
        <v/>
      </c>
      <c r="F151" s="5" t="n"/>
    </row>
    <row r="152">
      <c r="A152" s="10">
        <f>IF($E152="","",INDEX('Input Transaksi'!$A:$A,$E152))</f>
        <v/>
      </c>
      <c r="B152" s="5">
        <f>IF($E152="","",INDEX('Input Transaksi'!$D:$D,$E152))</f>
        <v/>
      </c>
      <c r="C152">
        <f>IF($E152="","",INDEX('Input Transaksi'!$E:$E,$E152))</f>
        <v/>
      </c>
      <c r="D152" s="5">
        <f>IF($E152="","",INDEX('Input Transaksi'!$F:$F,$E152))</f>
        <v/>
      </c>
      <c r="E152">
        <f>IFERROR(AGGREGATE(15,6,ROW('Input Transaksi'!$B$5:$B$5000)/('Input Transaksi'!$B$5:$B$5000="JCL SIDAKARYA"),ROWS($E$5:E152)),"")</f>
        <v/>
      </c>
      <c r="F152" s="5" t="n"/>
    </row>
    <row r="153">
      <c r="A153" s="10">
        <f>IF($E153="","",INDEX('Input Transaksi'!$A:$A,$E153))</f>
        <v/>
      </c>
      <c r="B153" s="5">
        <f>IF($E153="","",INDEX('Input Transaksi'!$D:$D,$E153))</f>
        <v/>
      </c>
      <c r="C153">
        <f>IF($E153="","",INDEX('Input Transaksi'!$E:$E,$E153))</f>
        <v/>
      </c>
      <c r="D153" s="5">
        <f>IF($E153="","",INDEX('Input Transaksi'!$F:$F,$E153))</f>
        <v/>
      </c>
      <c r="E153">
        <f>IFERROR(AGGREGATE(15,6,ROW('Input Transaksi'!$B$5:$B$5000)/('Input Transaksi'!$B$5:$B$5000="JCL SIDAKARYA"),ROWS($E$5:E153)),"")</f>
        <v/>
      </c>
      <c r="F153" s="5" t="n"/>
    </row>
    <row r="154">
      <c r="A154" s="10">
        <f>IF($E154="","",INDEX('Input Transaksi'!$A:$A,$E154))</f>
        <v/>
      </c>
      <c r="B154" s="5">
        <f>IF($E154="","",INDEX('Input Transaksi'!$D:$D,$E154))</f>
        <v/>
      </c>
      <c r="C154">
        <f>IF($E154="","",INDEX('Input Transaksi'!$E:$E,$E154))</f>
        <v/>
      </c>
      <c r="D154" s="5">
        <f>IF($E154="","",INDEX('Input Transaksi'!$F:$F,$E154))</f>
        <v/>
      </c>
      <c r="E154">
        <f>IFERROR(AGGREGATE(15,6,ROW('Input Transaksi'!$B$5:$B$5000)/('Input Transaksi'!$B$5:$B$5000="JCL SIDAKARYA"),ROWS($E$5:E154)),"")</f>
        <v/>
      </c>
      <c r="F154" s="5" t="n"/>
    </row>
    <row r="155">
      <c r="A155" s="10">
        <f>IF($E155="","",INDEX('Input Transaksi'!$A:$A,$E155))</f>
        <v/>
      </c>
      <c r="B155" s="5">
        <f>IF($E155="","",INDEX('Input Transaksi'!$D:$D,$E155))</f>
        <v/>
      </c>
      <c r="C155">
        <f>IF($E155="","",INDEX('Input Transaksi'!$E:$E,$E155))</f>
        <v/>
      </c>
      <c r="D155" s="5">
        <f>IF($E155="","",INDEX('Input Transaksi'!$F:$F,$E155))</f>
        <v/>
      </c>
      <c r="E155">
        <f>IFERROR(AGGREGATE(15,6,ROW('Input Transaksi'!$B$5:$B$5000)/('Input Transaksi'!$B$5:$B$5000="JCL SIDAKARYA"),ROWS($E$5:E155)),"")</f>
        <v/>
      </c>
      <c r="F155" s="5" t="n"/>
    </row>
    <row r="156">
      <c r="A156" s="10">
        <f>IF($E156="","",INDEX('Input Transaksi'!$A:$A,$E156))</f>
        <v/>
      </c>
      <c r="B156" s="5">
        <f>IF($E156="","",INDEX('Input Transaksi'!$D:$D,$E156))</f>
        <v/>
      </c>
      <c r="C156">
        <f>IF($E156="","",INDEX('Input Transaksi'!$E:$E,$E156))</f>
        <v/>
      </c>
      <c r="D156" s="5">
        <f>IF($E156="","",INDEX('Input Transaksi'!$F:$F,$E156))</f>
        <v/>
      </c>
      <c r="E156">
        <f>IFERROR(AGGREGATE(15,6,ROW('Input Transaksi'!$B$5:$B$5000)/('Input Transaksi'!$B$5:$B$5000="JCL SIDAKARYA"),ROWS($E$5:E156)),"")</f>
        <v/>
      </c>
      <c r="F156" s="5" t="n"/>
    </row>
    <row r="157">
      <c r="A157" s="10">
        <f>IF($E157="","",INDEX('Input Transaksi'!$A:$A,$E157))</f>
        <v/>
      </c>
      <c r="B157" s="5">
        <f>IF($E157="","",INDEX('Input Transaksi'!$D:$D,$E157))</f>
        <v/>
      </c>
      <c r="C157">
        <f>IF($E157="","",INDEX('Input Transaksi'!$E:$E,$E157))</f>
        <v/>
      </c>
      <c r="D157" s="5">
        <f>IF($E157="","",INDEX('Input Transaksi'!$F:$F,$E157))</f>
        <v/>
      </c>
      <c r="E157">
        <f>IFERROR(AGGREGATE(15,6,ROW('Input Transaksi'!$B$5:$B$5000)/('Input Transaksi'!$B$5:$B$5000="JCL SIDAKARYA"),ROWS($E$5:E157)),"")</f>
        <v/>
      </c>
      <c r="F157" s="5" t="n"/>
    </row>
    <row r="158">
      <c r="A158" s="10">
        <f>IF($E158="","",INDEX('Input Transaksi'!$A:$A,$E158))</f>
        <v/>
      </c>
      <c r="B158" s="5">
        <f>IF($E158="","",INDEX('Input Transaksi'!$D:$D,$E158))</f>
        <v/>
      </c>
      <c r="C158">
        <f>IF($E158="","",INDEX('Input Transaksi'!$E:$E,$E158))</f>
        <v/>
      </c>
      <c r="D158" s="5">
        <f>IF($E158="","",INDEX('Input Transaksi'!$F:$F,$E158))</f>
        <v/>
      </c>
      <c r="E158">
        <f>IFERROR(AGGREGATE(15,6,ROW('Input Transaksi'!$B$5:$B$5000)/('Input Transaksi'!$B$5:$B$5000="JCL SIDAKARYA"),ROWS($E$5:E158)),"")</f>
        <v/>
      </c>
      <c r="F158" s="5" t="n"/>
    </row>
    <row r="159">
      <c r="A159" s="10">
        <f>IF($E159="","",INDEX('Input Transaksi'!$A:$A,$E159))</f>
        <v/>
      </c>
      <c r="B159" s="5">
        <f>IF($E159="","",INDEX('Input Transaksi'!$D:$D,$E159))</f>
        <v/>
      </c>
      <c r="C159">
        <f>IF($E159="","",INDEX('Input Transaksi'!$E:$E,$E159))</f>
        <v/>
      </c>
      <c r="D159" s="5">
        <f>IF($E159="","",INDEX('Input Transaksi'!$F:$F,$E159))</f>
        <v/>
      </c>
      <c r="E159">
        <f>IFERROR(AGGREGATE(15,6,ROW('Input Transaksi'!$B$5:$B$5000)/('Input Transaksi'!$B$5:$B$5000="JCL SIDAKARYA"),ROWS($E$5:E159)),"")</f>
        <v/>
      </c>
      <c r="F159" s="5" t="n"/>
    </row>
    <row r="160">
      <c r="A160" s="10">
        <f>IF($E160="","",INDEX('Input Transaksi'!$A:$A,$E160))</f>
        <v/>
      </c>
      <c r="B160" s="5">
        <f>IF($E160="","",INDEX('Input Transaksi'!$D:$D,$E160))</f>
        <v/>
      </c>
      <c r="C160">
        <f>IF($E160="","",INDEX('Input Transaksi'!$E:$E,$E160))</f>
        <v/>
      </c>
      <c r="D160" s="5">
        <f>IF($E160="","",INDEX('Input Transaksi'!$F:$F,$E160))</f>
        <v/>
      </c>
      <c r="E160">
        <f>IFERROR(AGGREGATE(15,6,ROW('Input Transaksi'!$B$5:$B$5000)/('Input Transaksi'!$B$5:$B$5000="JCL SIDAKARYA"),ROWS($E$5:E160)),"")</f>
        <v/>
      </c>
      <c r="F160" s="5" t="n"/>
    </row>
    <row r="161">
      <c r="A161" s="10">
        <f>IF($E161="","",INDEX('Input Transaksi'!$A:$A,$E161))</f>
        <v/>
      </c>
      <c r="B161" s="5">
        <f>IF($E161="","",INDEX('Input Transaksi'!$D:$D,$E161))</f>
        <v/>
      </c>
      <c r="C161">
        <f>IF($E161="","",INDEX('Input Transaksi'!$E:$E,$E161))</f>
        <v/>
      </c>
      <c r="D161" s="5">
        <f>IF($E161="","",INDEX('Input Transaksi'!$F:$F,$E161))</f>
        <v/>
      </c>
      <c r="E161">
        <f>IFERROR(AGGREGATE(15,6,ROW('Input Transaksi'!$B$5:$B$5000)/('Input Transaksi'!$B$5:$B$5000="JCL SIDAKARYA"),ROWS($E$5:E161)),"")</f>
        <v/>
      </c>
      <c r="F161" s="5" t="n"/>
    </row>
    <row r="162">
      <c r="A162" s="10">
        <f>IF($E162="","",INDEX('Input Transaksi'!$A:$A,$E162))</f>
        <v/>
      </c>
      <c r="B162" s="5">
        <f>IF($E162="","",INDEX('Input Transaksi'!$D:$D,$E162))</f>
        <v/>
      </c>
      <c r="C162">
        <f>IF($E162="","",INDEX('Input Transaksi'!$E:$E,$E162))</f>
        <v/>
      </c>
      <c r="D162" s="5">
        <f>IF($E162="","",INDEX('Input Transaksi'!$F:$F,$E162))</f>
        <v/>
      </c>
      <c r="E162">
        <f>IFERROR(AGGREGATE(15,6,ROW('Input Transaksi'!$B$5:$B$5000)/('Input Transaksi'!$B$5:$B$5000="JCL SIDAKARYA"),ROWS($E$5:E162)),"")</f>
        <v/>
      </c>
      <c r="F162" s="5" t="n"/>
    </row>
    <row r="163">
      <c r="A163" s="10">
        <f>IF($E163="","",INDEX('Input Transaksi'!$A:$A,$E163))</f>
        <v/>
      </c>
      <c r="B163" s="5">
        <f>IF($E163="","",INDEX('Input Transaksi'!$D:$D,$E163))</f>
        <v/>
      </c>
      <c r="C163">
        <f>IF($E163="","",INDEX('Input Transaksi'!$E:$E,$E163))</f>
        <v/>
      </c>
      <c r="D163" s="5">
        <f>IF($E163="","",INDEX('Input Transaksi'!$F:$F,$E163))</f>
        <v/>
      </c>
      <c r="E163">
        <f>IFERROR(AGGREGATE(15,6,ROW('Input Transaksi'!$B$5:$B$5000)/('Input Transaksi'!$B$5:$B$5000="JCL SIDAKARYA"),ROWS($E$5:E163)),"")</f>
        <v/>
      </c>
      <c r="F163" s="5" t="n"/>
    </row>
    <row r="164">
      <c r="A164" s="10">
        <f>IF($E164="","",INDEX('Input Transaksi'!$A:$A,$E164))</f>
        <v/>
      </c>
      <c r="B164" s="5">
        <f>IF($E164="","",INDEX('Input Transaksi'!$D:$D,$E164))</f>
        <v/>
      </c>
      <c r="C164">
        <f>IF($E164="","",INDEX('Input Transaksi'!$E:$E,$E164))</f>
        <v/>
      </c>
      <c r="D164" s="5">
        <f>IF($E164="","",INDEX('Input Transaksi'!$F:$F,$E164))</f>
        <v/>
      </c>
      <c r="E164">
        <f>IFERROR(AGGREGATE(15,6,ROW('Input Transaksi'!$B$5:$B$5000)/('Input Transaksi'!$B$5:$B$5000="JCL SIDAKARYA"),ROWS($E$5:E164)),"")</f>
        <v/>
      </c>
      <c r="F164" s="5" t="n"/>
    </row>
    <row r="165">
      <c r="A165" s="10">
        <f>IF($E165="","",INDEX('Input Transaksi'!$A:$A,$E165))</f>
        <v/>
      </c>
      <c r="B165" s="5">
        <f>IF($E165="","",INDEX('Input Transaksi'!$D:$D,$E165))</f>
        <v/>
      </c>
      <c r="C165">
        <f>IF($E165="","",INDEX('Input Transaksi'!$E:$E,$E165))</f>
        <v/>
      </c>
      <c r="D165" s="5">
        <f>IF($E165="","",INDEX('Input Transaksi'!$F:$F,$E165))</f>
        <v/>
      </c>
      <c r="E165">
        <f>IFERROR(AGGREGATE(15,6,ROW('Input Transaksi'!$B$5:$B$5000)/('Input Transaksi'!$B$5:$B$5000="JCL SIDAKARYA"),ROWS($E$5:E165)),"")</f>
        <v/>
      </c>
      <c r="F165" s="5" t="n"/>
    </row>
    <row r="166">
      <c r="A166" s="10">
        <f>IF($E166="","",INDEX('Input Transaksi'!$A:$A,$E166))</f>
        <v/>
      </c>
      <c r="B166" s="5">
        <f>IF($E166="","",INDEX('Input Transaksi'!$D:$D,$E166))</f>
        <v/>
      </c>
      <c r="C166">
        <f>IF($E166="","",INDEX('Input Transaksi'!$E:$E,$E166))</f>
        <v/>
      </c>
      <c r="D166" s="5">
        <f>IF($E166="","",INDEX('Input Transaksi'!$F:$F,$E166))</f>
        <v/>
      </c>
      <c r="E166">
        <f>IFERROR(AGGREGATE(15,6,ROW('Input Transaksi'!$B$5:$B$5000)/('Input Transaksi'!$B$5:$B$5000="JCL SIDAKARYA"),ROWS($E$5:E166)),"")</f>
        <v/>
      </c>
      <c r="F166" s="5" t="n"/>
    </row>
    <row r="167">
      <c r="A167" s="10">
        <f>IF($E167="","",INDEX('Input Transaksi'!$A:$A,$E167))</f>
        <v/>
      </c>
      <c r="B167" s="5">
        <f>IF($E167="","",INDEX('Input Transaksi'!$D:$D,$E167))</f>
        <v/>
      </c>
      <c r="C167">
        <f>IF($E167="","",INDEX('Input Transaksi'!$E:$E,$E167))</f>
        <v/>
      </c>
      <c r="D167" s="5">
        <f>IF($E167="","",INDEX('Input Transaksi'!$F:$F,$E167))</f>
        <v/>
      </c>
      <c r="E167">
        <f>IFERROR(AGGREGATE(15,6,ROW('Input Transaksi'!$B$5:$B$5000)/('Input Transaksi'!$B$5:$B$5000="JCL SIDAKARYA"),ROWS($E$5:E167)),"")</f>
        <v/>
      </c>
      <c r="F167" s="5" t="n"/>
    </row>
    <row r="168">
      <c r="A168" s="10">
        <f>IF($E168="","",INDEX('Input Transaksi'!$A:$A,$E168))</f>
        <v/>
      </c>
      <c r="B168" s="5">
        <f>IF($E168="","",INDEX('Input Transaksi'!$D:$D,$E168))</f>
        <v/>
      </c>
      <c r="C168">
        <f>IF($E168="","",INDEX('Input Transaksi'!$E:$E,$E168))</f>
        <v/>
      </c>
      <c r="D168" s="5">
        <f>IF($E168="","",INDEX('Input Transaksi'!$F:$F,$E168))</f>
        <v/>
      </c>
      <c r="E168">
        <f>IFERROR(AGGREGATE(15,6,ROW('Input Transaksi'!$B$5:$B$5000)/('Input Transaksi'!$B$5:$B$5000="JCL SIDAKARYA"),ROWS($E$5:E168)),"")</f>
        <v/>
      </c>
      <c r="F168" s="5" t="n"/>
    </row>
    <row r="169">
      <c r="A169" s="10">
        <f>IF($E169="","",INDEX('Input Transaksi'!$A:$A,$E169))</f>
        <v/>
      </c>
      <c r="B169" s="5">
        <f>IF($E169="","",INDEX('Input Transaksi'!$D:$D,$E169))</f>
        <v/>
      </c>
      <c r="C169">
        <f>IF($E169="","",INDEX('Input Transaksi'!$E:$E,$E169))</f>
        <v/>
      </c>
      <c r="D169" s="5">
        <f>IF($E169="","",INDEX('Input Transaksi'!$F:$F,$E169))</f>
        <v/>
      </c>
      <c r="E169">
        <f>IFERROR(AGGREGATE(15,6,ROW('Input Transaksi'!$B$5:$B$5000)/('Input Transaksi'!$B$5:$B$5000="JCL SIDAKARYA"),ROWS($E$5:E169)),"")</f>
        <v/>
      </c>
      <c r="F169" s="5" t="n"/>
    </row>
    <row r="170">
      <c r="A170" s="10">
        <f>IF($E170="","",INDEX('Input Transaksi'!$A:$A,$E170))</f>
        <v/>
      </c>
      <c r="B170" s="5">
        <f>IF($E170="","",INDEX('Input Transaksi'!$D:$D,$E170))</f>
        <v/>
      </c>
      <c r="C170">
        <f>IF($E170="","",INDEX('Input Transaksi'!$E:$E,$E170))</f>
        <v/>
      </c>
      <c r="D170" s="5">
        <f>IF($E170="","",INDEX('Input Transaksi'!$F:$F,$E170))</f>
        <v/>
      </c>
      <c r="E170">
        <f>IFERROR(AGGREGATE(15,6,ROW('Input Transaksi'!$B$5:$B$5000)/('Input Transaksi'!$B$5:$B$5000="JCL SIDAKARYA"),ROWS($E$5:E170)),"")</f>
        <v/>
      </c>
      <c r="F170" s="5" t="n"/>
    </row>
    <row r="171">
      <c r="A171" s="10">
        <f>IF($E171="","",INDEX('Input Transaksi'!$A:$A,$E171))</f>
        <v/>
      </c>
      <c r="B171" s="5">
        <f>IF($E171="","",INDEX('Input Transaksi'!$D:$D,$E171))</f>
        <v/>
      </c>
      <c r="C171">
        <f>IF($E171="","",INDEX('Input Transaksi'!$E:$E,$E171))</f>
        <v/>
      </c>
      <c r="D171" s="5">
        <f>IF($E171="","",INDEX('Input Transaksi'!$F:$F,$E171))</f>
        <v/>
      </c>
      <c r="E171">
        <f>IFERROR(AGGREGATE(15,6,ROW('Input Transaksi'!$B$5:$B$5000)/('Input Transaksi'!$B$5:$B$5000="JCL SIDAKARYA"),ROWS($E$5:E171)),"")</f>
        <v/>
      </c>
      <c r="F171" s="5" t="n"/>
    </row>
    <row r="172">
      <c r="A172" s="10">
        <f>IF($E172="","",INDEX('Input Transaksi'!$A:$A,$E172))</f>
        <v/>
      </c>
      <c r="B172" s="5">
        <f>IF($E172="","",INDEX('Input Transaksi'!$D:$D,$E172))</f>
        <v/>
      </c>
      <c r="C172">
        <f>IF($E172="","",INDEX('Input Transaksi'!$E:$E,$E172))</f>
        <v/>
      </c>
      <c r="D172" s="5">
        <f>IF($E172="","",INDEX('Input Transaksi'!$F:$F,$E172))</f>
        <v/>
      </c>
      <c r="E172">
        <f>IFERROR(AGGREGATE(15,6,ROW('Input Transaksi'!$B$5:$B$5000)/('Input Transaksi'!$B$5:$B$5000="JCL SIDAKARYA"),ROWS($E$5:E172)),"")</f>
        <v/>
      </c>
      <c r="F172" s="5" t="n"/>
    </row>
    <row r="173">
      <c r="A173" s="10">
        <f>IF($E173="","",INDEX('Input Transaksi'!$A:$A,$E173))</f>
        <v/>
      </c>
      <c r="B173" s="5">
        <f>IF($E173="","",INDEX('Input Transaksi'!$D:$D,$E173))</f>
        <v/>
      </c>
      <c r="C173">
        <f>IF($E173="","",INDEX('Input Transaksi'!$E:$E,$E173))</f>
        <v/>
      </c>
      <c r="D173" s="5">
        <f>IF($E173="","",INDEX('Input Transaksi'!$F:$F,$E173))</f>
        <v/>
      </c>
      <c r="E173">
        <f>IFERROR(AGGREGATE(15,6,ROW('Input Transaksi'!$B$5:$B$5000)/('Input Transaksi'!$B$5:$B$5000="JCL SIDAKARYA"),ROWS($E$5:E173)),"")</f>
        <v/>
      </c>
      <c r="F173" s="5" t="n"/>
    </row>
    <row r="174">
      <c r="A174" s="10">
        <f>IF($E174="","",INDEX('Input Transaksi'!$A:$A,$E174))</f>
        <v/>
      </c>
      <c r="B174" s="5">
        <f>IF($E174="","",INDEX('Input Transaksi'!$D:$D,$E174))</f>
        <v/>
      </c>
      <c r="C174">
        <f>IF($E174="","",INDEX('Input Transaksi'!$E:$E,$E174))</f>
        <v/>
      </c>
      <c r="D174" s="5">
        <f>IF($E174="","",INDEX('Input Transaksi'!$F:$F,$E174))</f>
        <v/>
      </c>
      <c r="E174">
        <f>IFERROR(AGGREGATE(15,6,ROW('Input Transaksi'!$B$5:$B$5000)/('Input Transaksi'!$B$5:$B$5000="JCL SIDAKARYA"),ROWS($E$5:E174)),"")</f>
        <v/>
      </c>
      <c r="F174" s="5" t="n"/>
    </row>
    <row r="175">
      <c r="A175" s="10">
        <f>IF($E175="","",INDEX('Input Transaksi'!$A:$A,$E175))</f>
        <v/>
      </c>
      <c r="B175" s="5">
        <f>IF($E175="","",INDEX('Input Transaksi'!$D:$D,$E175))</f>
        <v/>
      </c>
      <c r="C175">
        <f>IF($E175="","",INDEX('Input Transaksi'!$E:$E,$E175))</f>
        <v/>
      </c>
      <c r="D175" s="5">
        <f>IF($E175="","",INDEX('Input Transaksi'!$F:$F,$E175))</f>
        <v/>
      </c>
      <c r="E175">
        <f>IFERROR(AGGREGATE(15,6,ROW('Input Transaksi'!$B$5:$B$5000)/('Input Transaksi'!$B$5:$B$5000="JCL SIDAKARYA"),ROWS($E$5:E175)),"")</f>
        <v/>
      </c>
      <c r="F175" s="5" t="n"/>
    </row>
    <row r="176">
      <c r="A176" s="10">
        <f>IF($E176="","",INDEX('Input Transaksi'!$A:$A,$E176))</f>
        <v/>
      </c>
      <c r="B176" s="5">
        <f>IF($E176="","",INDEX('Input Transaksi'!$D:$D,$E176))</f>
        <v/>
      </c>
      <c r="C176">
        <f>IF($E176="","",INDEX('Input Transaksi'!$E:$E,$E176))</f>
        <v/>
      </c>
      <c r="D176" s="5">
        <f>IF($E176="","",INDEX('Input Transaksi'!$F:$F,$E176))</f>
        <v/>
      </c>
      <c r="E176">
        <f>IFERROR(AGGREGATE(15,6,ROW('Input Transaksi'!$B$5:$B$5000)/('Input Transaksi'!$B$5:$B$5000="JCL SIDAKARYA"),ROWS($E$5:E176)),"")</f>
        <v/>
      </c>
      <c r="F176" s="5" t="n"/>
    </row>
    <row r="177">
      <c r="A177" s="10">
        <f>IF($E177="","",INDEX('Input Transaksi'!$A:$A,$E177))</f>
        <v/>
      </c>
      <c r="B177" s="5">
        <f>IF($E177="","",INDEX('Input Transaksi'!$D:$D,$E177))</f>
        <v/>
      </c>
      <c r="C177">
        <f>IF($E177="","",INDEX('Input Transaksi'!$E:$E,$E177))</f>
        <v/>
      </c>
      <c r="D177" s="5">
        <f>IF($E177="","",INDEX('Input Transaksi'!$F:$F,$E177))</f>
        <v/>
      </c>
      <c r="E177">
        <f>IFERROR(AGGREGATE(15,6,ROW('Input Transaksi'!$B$5:$B$5000)/('Input Transaksi'!$B$5:$B$5000="JCL SIDAKARYA"),ROWS($E$5:E177)),"")</f>
        <v/>
      </c>
      <c r="F177" s="5" t="n"/>
    </row>
    <row r="178">
      <c r="A178" s="10">
        <f>IF($E178="","",INDEX('Input Transaksi'!$A:$A,$E178))</f>
        <v/>
      </c>
      <c r="B178" s="5">
        <f>IF($E178="","",INDEX('Input Transaksi'!$D:$D,$E178))</f>
        <v/>
      </c>
      <c r="C178">
        <f>IF($E178="","",INDEX('Input Transaksi'!$E:$E,$E178))</f>
        <v/>
      </c>
      <c r="D178" s="5">
        <f>IF($E178="","",INDEX('Input Transaksi'!$F:$F,$E178))</f>
        <v/>
      </c>
      <c r="E178">
        <f>IFERROR(AGGREGATE(15,6,ROW('Input Transaksi'!$B$5:$B$5000)/('Input Transaksi'!$B$5:$B$5000="JCL SIDAKARYA"),ROWS($E$5:E178)),"")</f>
        <v/>
      </c>
      <c r="F178" s="5" t="n"/>
    </row>
    <row r="179">
      <c r="A179" s="10">
        <f>IF($E179="","",INDEX('Input Transaksi'!$A:$A,$E179))</f>
        <v/>
      </c>
      <c r="B179" s="5">
        <f>IF($E179="","",INDEX('Input Transaksi'!$D:$D,$E179))</f>
        <v/>
      </c>
      <c r="C179">
        <f>IF($E179="","",INDEX('Input Transaksi'!$E:$E,$E179))</f>
        <v/>
      </c>
      <c r="D179" s="5">
        <f>IF($E179="","",INDEX('Input Transaksi'!$F:$F,$E179))</f>
        <v/>
      </c>
      <c r="E179">
        <f>IFERROR(AGGREGATE(15,6,ROW('Input Transaksi'!$B$5:$B$5000)/('Input Transaksi'!$B$5:$B$5000="JCL SIDAKARYA"),ROWS($E$5:E179)),"")</f>
        <v/>
      </c>
      <c r="F179" s="5" t="n"/>
    </row>
    <row r="180">
      <c r="A180" s="10">
        <f>IF($E180="","",INDEX('Input Transaksi'!$A:$A,$E180))</f>
        <v/>
      </c>
      <c r="B180" s="5">
        <f>IF($E180="","",INDEX('Input Transaksi'!$D:$D,$E180))</f>
        <v/>
      </c>
      <c r="C180">
        <f>IF($E180="","",INDEX('Input Transaksi'!$E:$E,$E180))</f>
        <v/>
      </c>
      <c r="D180" s="5">
        <f>IF($E180="","",INDEX('Input Transaksi'!$F:$F,$E180))</f>
        <v/>
      </c>
      <c r="E180">
        <f>IFERROR(AGGREGATE(15,6,ROW('Input Transaksi'!$B$5:$B$5000)/('Input Transaksi'!$B$5:$B$5000="JCL SIDAKARYA"),ROWS($E$5:E180)),"")</f>
        <v/>
      </c>
      <c r="F180" s="5" t="n"/>
    </row>
    <row r="181">
      <c r="A181" s="10">
        <f>IF($E181="","",INDEX('Input Transaksi'!$A:$A,$E181))</f>
        <v/>
      </c>
      <c r="B181" s="5">
        <f>IF($E181="","",INDEX('Input Transaksi'!$D:$D,$E181))</f>
        <v/>
      </c>
      <c r="C181">
        <f>IF($E181="","",INDEX('Input Transaksi'!$E:$E,$E181))</f>
        <v/>
      </c>
      <c r="D181" s="5">
        <f>IF($E181="","",INDEX('Input Transaksi'!$F:$F,$E181))</f>
        <v/>
      </c>
      <c r="E181">
        <f>IFERROR(AGGREGATE(15,6,ROW('Input Transaksi'!$B$5:$B$5000)/('Input Transaksi'!$B$5:$B$5000="JCL SIDAKARYA"),ROWS($E$5:E181)),"")</f>
        <v/>
      </c>
      <c r="F181" s="5" t="n"/>
    </row>
    <row r="182">
      <c r="A182" s="10">
        <f>IF($E182="","",INDEX('Input Transaksi'!$A:$A,$E182))</f>
        <v/>
      </c>
      <c r="B182" s="5">
        <f>IF($E182="","",INDEX('Input Transaksi'!$D:$D,$E182))</f>
        <v/>
      </c>
      <c r="C182">
        <f>IF($E182="","",INDEX('Input Transaksi'!$E:$E,$E182))</f>
        <v/>
      </c>
      <c r="D182" s="5">
        <f>IF($E182="","",INDEX('Input Transaksi'!$F:$F,$E182))</f>
        <v/>
      </c>
      <c r="E182">
        <f>IFERROR(AGGREGATE(15,6,ROW('Input Transaksi'!$B$5:$B$5000)/('Input Transaksi'!$B$5:$B$5000="JCL SIDAKARYA"),ROWS($E$5:E182)),"")</f>
        <v/>
      </c>
      <c r="F182" s="5" t="n"/>
    </row>
    <row r="183">
      <c r="A183" s="10">
        <f>IF($E183="","",INDEX('Input Transaksi'!$A:$A,$E183))</f>
        <v/>
      </c>
      <c r="B183" s="5">
        <f>IF($E183="","",INDEX('Input Transaksi'!$D:$D,$E183))</f>
        <v/>
      </c>
      <c r="C183">
        <f>IF($E183="","",INDEX('Input Transaksi'!$E:$E,$E183))</f>
        <v/>
      </c>
      <c r="D183" s="5">
        <f>IF($E183="","",INDEX('Input Transaksi'!$F:$F,$E183))</f>
        <v/>
      </c>
      <c r="E183">
        <f>IFERROR(AGGREGATE(15,6,ROW('Input Transaksi'!$B$5:$B$5000)/('Input Transaksi'!$B$5:$B$5000="JCL SIDAKARYA"),ROWS($E$5:E183)),"")</f>
        <v/>
      </c>
      <c r="F183" s="5" t="n"/>
    </row>
    <row r="184">
      <c r="A184" s="10">
        <f>IF($E184="","",INDEX('Input Transaksi'!$A:$A,$E184))</f>
        <v/>
      </c>
      <c r="B184" s="5">
        <f>IF($E184="","",INDEX('Input Transaksi'!$D:$D,$E184))</f>
        <v/>
      </c>
      <c r="C184">
        <f>IF($E184="","",INDEX('Input Transaksi'!$E:$E,$E184))</f>
        <v/>
      </c>
      <c r="D184" s="5">
        <f>IF($E184="","",INDEX('Input Transaksi'!$F:$F,$E184))</f>
        <v/>
      </c>
      <c r="E184">
        <f>IFERROR(AGGREGATE(15,6,ROW('Input Transaksi'!$B$5:$B$5000)/('Input Transaksi'!$B$5:$B$5000="JCL SIDAKARYA"),ROWS($E$5:E184)),"")</f>
        <v/>
      </c>
      <c r="F184" s="5" t="n"/>
    </row>
    <row r="185">
      <c r="A185" s="10">
        <f>IF($E185="","",INDEX('Input Transaksi'!$A:$A,$E185))</f>
        <v/>
      </c>
      <c r="B185" s="5">
        <f>IF($E185="","",INDEX('Input Transaksi'!$D:$D,$E185))</f>
        <v/>
      </c>
      <c r="C185">
        <f>IF($E185="","",INDEX('Input Transaksi'!$E:$E,$E185))</f>
        <v/>
      </c>
      <c r="D185" s="5">
        <f>IF($E185="","",INDEX('Input Transaksi'!$F:$F,$E185))</f>
        <v/>
      </c>
      <c r="E185">
        <f>IFERROR(AGGREGATE(15,6,ROW('Input Transaksi'!$B$5:$B$5000)/('Input Transaksi'!$B$5:$B$5000="JCL SIDAKARYA"),ROWS($E$5:E185)),"")</f>
        <v/>
      </c>
      <c r="F185" s="5" t="n"/>
    </row>
    <row r="186">
      <c r="A186" s="10">
        <f>IF($E186="","",INDEX('Input Transaksi'!$A:$A,$E186))</f>
        <v/>
      </c>
      <c r="B186" s="5">
        <f>IF($E186="","",INDEX('Input Transaksi'!$D:$D,$E186))</f>
        <v/>
      </c>
      <c r="C186">
        <f>IF($E186="","",INDEX('Input Transaksi'!$E:$E,$E186))</f>
        <v/>
      </c>
      <c r="D186" s="5">
        <f>IF($E186="","",INDEX('Input Transaksi'!$F:$F,$E186))</f>
        <v/>
      </c>
      <c r="E186">
        <f>IFERROR(AGGREGATE(15,6,ROW('Input Transaksi'!$B$5:$B$5000)/('Input Transaksi'!$B$5:$B$5000="JCL SIDAKARYA"),ROWS($E$5:E186)),"")</f>
        <v/>
      </c>
      <c r="F186" s="5" t="n"/>
    </row>
    <row r="187">
      <c r="A187" s="10">
        <f>IF($E187="","",INDEX('Input Transaksi'!$A:$A,$E187))</f>
        <v/>
      </c>
      <c r="B187" s="5">
        <f>IF($E187="","",INDEX('Input Transaksi'!$D:$D,$E187))</f>
        <v/>
      </c>
      <c r="C187">
        <f>IF($E187="","",INDEX('Input Transaksi'!$E:$E,$E187))</f>
        <v/>
      </c>
      <c r="D187" s="5">
        <f>IF($E187="","",INDEX('Input Transaksi'!$F:$F,$E187))</f>
        <v/>
      </c>
      <c r="E187">
        <f>IFERROR(AGGREGATE(15,6,ROW('Input Transaksi'!$B$5:$B$5000)/('Input Transaksi'!$B$5:$B$5000="JCL SIDAKARYA"),ROWS($E$5:E187)),"")</f>
        <v/>
      </c>
      <c r="F187" s="5" t="n"/>
    </row>
    <row r="188">
      <c r="A188" s="10">
        <f>IF($E188="","",INDEX('Input Transaksi'!$A:$A,$E188))</f>
        <v/>
      </c>
      <c r="B188" s="5">
        <f>IF($E188="","",INDEX('Input Transaksi'!$D:$D,$E188))</f>
        <v/>
      </c>
      <c r="C188">
        <f>IF($E188="","",INDEX('Input Transaksi'!$E:$E,$E188))</f>
        <v/>
      </c>
      <c r="D188" s="5">
        <f>IF($E188="","",INDEX('Input Transaksi'!$F:$F,$E188))</f>
        <v/>
      </c>
      <c r="E188">
        <f>IFERROR(AGGREGATE(15,6,ROW('Input Transaksi'!$B$5:$B$5000)/('Input Transaksi'!$B$5:$B$5000="JCL SIDAKARYA"),ROWS($E$5:E188)),"")</f>
        <v/>
      </c>
      <c r="F188" s="5" t="n"/>
    </row>
    <row r="189">
      <c r="A189" s="10">
        <f>IF($E189="","",INDEX('Input Transaksi'!$A:$A,$E189))</f>
        <v/>
      </c>
      <c r="B189" s="5">
        <f>IF($E189="","",INDEX('Input Transaksi'!$D:$D,$E189))</f>
        <v/>
      </c>
      <c r="C189">
        <f>IF($E189="","",INDEX('Input Transaksi'!$E:$E,$E189))</f>
        <v/>
      </c>
      <c r="D189" s="5">
        <f>IF($E189="","",INDEX('Input Transaksi'!$F:$F,$E189))</f>
        <v/>
      </c>
      <c r="E189">
        <f>IFERROR(AGGREGATE(15,6,ROW('Input Transaksi'!$B$5:$B$5000)/('Input Transaksi'!$B$5:$B$5000="JCL SIDAKARYA"),ROWS($E$5:E189)),"")</f>
        <v/>
      </c>
      <c r="F189" s="5" t="n"/>
    </row>
    <row r="190">
      <c r="A190" s="10">
        <f>IF($E190="","",INDEX('Input Transaksi'!$A:$A,$E190))</f>
        <v/>
      </c>
      <c r="B190" s="5">
        <f>IF($E190="","",INDEX('Input Transaksi'!$D:$D,$E190))</f>
        <v/>
      </c>
      <c r="C190">
        <f>IF($E190="","",INDEX('Input Transaksi'!$E:$E,$E190))</f>
        <v/>
      </c>
      <c r="D190" s="5">
        <f>IF($E190="","",INDEX('Input Transaksi'!$F:$F,$E190))</f>
        <v/>
      </c>
      <c r="E190">
        <f>IFERROR(AGGREGATE(15,6,ROW('Input Transaksi'!$B$5:$B$5000)/('Input Transaksi'!$B$5:$B$5000="JCL SIDAKARYA"),ROWS($E$5:E190)),"")</f>
        <v/>
      </c>
      <c r="F190" s="5" t="n"/>
    </row>
    <row r="191">
      <c r="A191" s="10">
        <f>IF($E191="","",INDEX('Input Transaksi'!$A:$A,$E191))</f>
        <v/>
      </c>
      <c r="B191" s="5">
        <f>IF($E191="","",INDEX('Input Transaksi'!$D:$D,$E191))</f>
        <v/>
      </c>
      <c r="C191">
        <f>IF($E191="","",INDEX('Input Transaksi'!$E:$E,$E191))</f>
        <v/>
      </c>
      <c r="D191" s="5">
        <f>IF($E191="","",INDEX('Input Transaksi'!$F:$F,$E191))</f>
        <v/>
      </c>
      <c r="E191">
        <f>IFERROR(AGGREGATE(15,6,ROW('Input Transaksi'!$B$5:$B$5000)/('Input Transaksi'!$B$5:$B$5000="JCL SIDAKARYA"),ROWS($E$5:E191)),"")</f>
        <v/>
      </c>
      <c r="F191" s="5" t="n"/>
    </row>
    <row r="192">
      <c r="A192" s="10">
        <f>IF($E192="","",INDEX('Input Transaksi'!$A:$A,$E192))</f>
        <v/>
      </c>
      <c r="B192" s="5">
        <f>IF($E192="","",INDEX('Input Transaksi'!$D:$D,$E192))</f>
        <v/>
      </c>
      <c r="C192">
        <f>IF($E192="","",INDEX('Input Transaksi'!$E:$E,$E192))</f>
        <v/>
      </c>
      <c r="D192" s="5">
        <f>IF($E192="","",INDEX('Input Transaksi'!$F:$F,$E192))</f>
        <v/>
      </c>
      <c r="E192">
        <f>IFERROR(AGGREGATE(15,6,ROW('Input Transaksi'!$B$5:$B$5000)/('Input Transaksi'!$B$5:$B$5000="JCL SIDAKARYA"),ROWS($E$5:E192)),"")</f>
        <v/>
      </c>
      <c r="F192" s="5" t="n"/>
    </row>
    <row r="193">
      <c r="A193" s="10">
        <f>IF($E193="","",INDEX('Input Transaksi'!$A:$A,$E193))</f>
        <v/>
      </c>
      <c r="B193" s="5">
        <f>IF($E193="","",INDEX('Input Transaksi'!$D:$D,$E193))</f>
        <v/>
      </c>
      <c r="C193">
        <f>IF($E193="","",INDEX('Input Transaksi'!$E:$E,$E193))</f>
        <v/>
      </c>
      <c r="D193" s="5">
        <f>IF($E193="","",INDEX('Input Transaksi'!$F:$F,$E193))</f>
        <v/>
      </c>
      <c r="E193">
        <f>IFERROR(AGGREGATE(15,6,ROW('Input Transaksi'!$B$5:$B$5000)/('Input Transaksi'!$B$5:$B$5000="JCL SIDAKARYA"),ROWS($E$5:E193)),"")</f>
        <v/>
      </c>
      <c r="F193" s="5" t="n"/>
    </row>
    <row r="194">
      <c r="A194" s="10">
        <f>IF($E194="","",INDEX('Input Transaksi'!$A:$A,$E194))</f>
        <v/>
      </c>
      <c r="B194" s="5">
        <f>IF($E194="","",INDEX('Input Transaksi'!$D:$D,$E194))</f>
        <v/>
      </c>
      <c r="C194">
        <f>IF($E194="","",INDEX('Input Transaksi'!$E:$E,$E194))</f>
        <v/>
      </c>
      <c r="D194" s="5">
        <f>IF($E194="","",INDEX('Input Transaksi'!$F:$F,$E194))</f>
        <v/>
      </c>
      <c r="E194">
        <f>IFERROR(AGGREGATE(15,6,ROW('Input Transaksi'!$B$5:$B$5000)/('Input Transaksi'!$B$5:$B$5000="JCL SIDAKARYA"),ROWS($E$5:E194)),"")</f>
        <v/>
      </c>
      <c r="F194" s="5" t="n"/>
    </row>
    <row r="195">
      <c r="A195" s="10">
        <f>IF($E195="","",INDEX('Input Transaksi'!$A:$A,$E195))</f>
        <v/>
      </c>
      <c r="B195" s="5">
        <f>IF($E195="","",INDEX('Input Transaksi'!$D:$D,$E195))</f>
        <v/>
      </c>
      <c r="C195">
        <f>IF($E195="","",INDEX('Input Transaksi'!$E:$E,$E195))</f>
        <v/>
      </c>
      <c r="D195" s="5">
        <f>IF($E195="","",INDEX('Input Transaksi'!$F:$F,$E195))</f>
        <v/>
      </c>
      <c r="E195">
        <f>IFERROR(AGGREGATE(15,6,ROW('Input Transaksi'!$B$5:$B$5000)/('Input Transaksi'!$B$5:$B$5000="JCL SIDAKARYA"),ROWS($E$5:E195)),"")</f>
        <v/>
      </c>
      <c r="F195" s="5" t="n"/>
    </row>
    <row r="196">
      <c r="A196" s="10">
        <f>IF($E196="","",INDEX('Input Transaksi'!$A:$A,$E196))</f>
        <v/>
      </c>
      <c r="B196" s="5">
        <f>IF($E196="","",INDEX('Input Transaksi'!$D:$D,$E196))</f>
        <v/>
      </c>
      <c r="C196">
        <f>IF($E196="","",INDEX('Input Transaksi'!$E:$E,$E196))</f>
        <v/>
      </c>
      <c r="D196" s="5">
        <f>IF($E196="","",INDEX('Input Transaksi'!$F:$F,$E196))</f>
        <v/>
      </c>
      <c r="E196">
        <f>IFERROR(AGGREGATE(15,6,ROW('Input Transaksi'!$B$5:$B$5000)/('Input Transaksi'!$B$5:$B$5000="JCL SIDAKARYA"),ROWS($E$5:E196)),"")</f>
        <v/>
      </c>
      <c r="F196" s="5" t="n"/>
    </row>
    <row r="197">
      <c r="A197" s="10">
        <f>IF($E197="","",INDEX('Input Transaksi'!$A:$A,$E197))</f>
        <v/>
      </c>
      <c r="B197" s="5">
        <f>IF($E197="","",INDEX('Input Transaksi'!$D:$D,$E197))</f>
        <v/>
      </c>
      <c r="C197">
        <f>IF($E197="","",INDEX('Input Transaksi'!$E:$E,$E197))</f>
        <v/>
      </c>
      <c r="D197" s="5">
        <f>IF($E197="","",INDEX('Input Transaksi'!$F:$F,$E197))</f>
        <v/>
      </c>
      <c r="E197">
        <f>IFERROR(AGGREGATE(15,6,ROW('Input Transaksi'!$B$5:$B$5000)/('Input Transaksi'!$B$5:$B$5000="JCL SIDAKARYA"),ROWS($E$5:E197)),"")</f>
        <v/>
      </c>
      <c r="F197" s="5" t="n"/>
    </row>
    <row r="198">
      <c r="A198" s="10">
        <f>IF($E198="","",INDEX('Input Transaksi'!$A:$A,$E198))</f>
        <v/>
      </c>
      <c r="B198" s="5">
        <f>IF($E198="","",INDEX('Input Transaksi'!$D:$D,$E198))</f>
        <v/>
      </c>
      <c r="C198">
        <f>IF($E198="","",INDEX('Input Transaksi'!$E:$E,$E198))</f>
        <v/>
      </c>
      <c r="D198" s="5">
        <f>IF($E198="","",INDEX('Input Transaksi'!$F:$F,$E198))</f>
        <v/>
      </c>
      <c r="E198">
        <f>IFERROR(AGGREGATE(15,6,ROW('Input Transaksi'!$B$5:$B$5000)/('Input Transaksi'!$B$5:$B$5000="JCL SIDAKARYA"),ROWS($E$5:E198)),"")</f>
        <v/>
      </c>
      <c r="F198" s="5" t="n"/>
    </row>
    <row r="199">
      <c r="A199" s="10">
        <f>IF($E199="","",INDEX('Input Transaksi'!$A:$A,$E199))</f>
        <v/>
      </c>
      <c r="B199" s="5">
        <f>IF($E199="","",INDEX('Input Transaksi'!$D:$D,$E199))</f>
        <v/>
      </c>
      <c r="C199">
        <f>IF($E199="","",INDEX('Input Transaksi'!$E:$E,$E199))</f>
        <v/>
      </c>
      <c r="D199" s="5">
        <f>IF($E199="","",INDEX('Input Transaksi'!$F:$F,$E199))</f>
        <v/>
      </c>
      <c r="E199">
        <f>IFERROR(AGGREGATE(15,6,ROW('Input Transaksi'!$B$5:$B$5000)/('Input Transaksi'!$B$5:$B$5000="JCL SIDAKARYA"),ROWS($E$5:E199)),"")</f>
        <v/>
      </c>
      <c r="F199" s="5" t="n"/>
    </row>
    <row r="200">
      <c r="A200" s="10">
        <f>IF($E200="","",INDEX('Input Transaksi'!$A:$A,$E200))</f>
        <v/>
      </c>
      <c r="B200" s="5">
        <f>IF($E200="","",INDEX('Input Transaksi'!$D:$D,$E200))</f>
        <v/>
      </c>
      <c r="C200">
        <f>IF($E200="","",INDEX('Input Transaksi'!$E:$E,$E200))</f>
        <v/>
      </c>
      <c r="D200" s="5">
        <f>IF($E200="","",INDEX('Input Transaksi'!$F:$F,$E200))</f>
        <v/>
      </c>
      <c r="E200">
        <f>IFERROR(AGGREGATE(15,6,ROW('Input Transaksi'!$B$5:$B$5000)/('Input Transaksi'!$B$5:$B$5000="JCL SIDAKARYA"),ROWS($E$5:E200)),"")</f>
        <v/>
      </c>
      <c r="F200" s="5" t="n"/>
    </row>
    <row r="201">
      <c r="A201" s="10">
        <f>IF($E201="","",INDEX('Input Transaksi'!$A:$A,$E201))</f>
        <v/>
      </c>
      <c r="B201" s="5">
        <f>IF($E201="","",INDEX('Input Transaksi'!$D:$D,$E201))</f>
        <v/>
      </c>
      <c r="C201">
        <f>IF($E201="","",INDEX('Input Transaksi'!$E:$E,$E201))</f>
        <v/>
      </c>
      <c r="D201" s="5">
        <f>IF($E201="","",INDEX('Input Transaksi'!$F:$F,$E201))</f>
        <v/>
      </c>
      <c r="E201">
        <f>IFERROR(AGGREGATE(15,6,ROW('Input Transaksi'!$B$5:$B$5000)/('Input Transaksi'!$B$5:$B$5000="JCL SIDAKARYA"),ROWS($E$5:E201)),"")</f>
        <v/>
      </c>
      <c r="F201" s="5" t="n"/>
    </row>
    <row r="202">
      <c r="A202" s="10">
        <f>IF($E202="","",INDEX('Input Transaksi'!$A:$A,$E202))</f>
        <v/>
      </c>
      <c r="B202" s="5">
        <f>IF($E202="","",INDEX('Input Transaksi'!$D:$D,$E202))</f>
        <v/>
      </c>
      <c r="C202">
        <f>IF($E202="","",INDEX('Input Transaksi'!$E:$E,$E202))</f>
        <v/>
      </c>
      <c r="D202" s="5">
        <f>IF($E202="","",INDEX('Input Transaksi'!$F:$F,$E202))</f>
        <v/>
      </c>
      <c r="E202">
        <f>IFERROR(AGGREGATE(15,6,ROW('Input Transaksi'!$B$5:$B$5000)/('Input Transaksi'!$B$5:$B$5000="JCL SIDAKARYA"),ROWS($E$5:E202)),"")</f>
        <v/>
      </c>
      <c r="F202" s="5" t="n"/>
    </row>
    <row r="203">
      <c r="A203" s="10">
        <f>IF($E203="","",INDEX('Input Transaksi'!$A:$A,$E203))</f>
        <v/>
      </c>
      <c r="B203" s="5">
        <f>IF($E203="","",INDEX('Input Transaksi'!$D:$D,$E203))</f>
        <v/>
      </c>
      <c r="C203">
        <f>IF($E203="","",INDEX('Input Transaksi'!$E:$E,$E203))</f>
        <v/>
      </c>
      <c r="D203" s="5">
        <f>IF($E203="","",INDEX('Input Transaksi'!$F:$F,$E203))</f>
        <v/>
      </c>
      <c r="E203">
        <f>IFERROR(AGGREGATE(15,6,ROW('Input Transaksi'!$B$5:$B$5000)/('Input Transaksi'!$B$5:$B$5000="JCL SIDAKARYA"),ROWS($E$5:E203)),"")</f>
        <v/>
      </c>
      <c r="F203" s="5" t="n"/>
    </row>
    <row r="204">
      <c r="A204" s="10">
        <f>IF($E204="","",INDEX('Input Transaksi'!$A:$A,$E204))</f>
        <v/>
      </c>
      <c r="B204" s="5">
        <f>IF($E204="","",INDEX('Input Transaksi'!$D:$D,$E204))</f>
        <v/>
      </c>
      <c r="C204">
        <f>IF($E204="","",INDEX('Input Transaksi'!$E:$E,$E204))</f>
        <v/>
      </c>
      <c r="D204" s="5">
        <f>IF($E204="","",INDEX('Input Transaksi'!$F:$F,$E204))</f>
        <v/>
      </c>
      <c r="E204">
        <f>IFERROR(AGGREGATE(15,6,ROW('Input Transaksi'!$B$5:$B$5000)/('Input Transaksi'!$B$5:$B$5000="JCL SIDAKARYA"),ROWS($E$5:E204)),"")</f>
        <v/>
      </c>
      <c r="F204" s="5" t="n"/>
    </row>
    <row r="205">
      <c r="A205" s="10">
        <f>IF($E205="","",INDEX('Input Transaksi'!$A:$A,$E205))</f>
        <v/>
      </c>
      <c r="B205" s="5">
        <f>IF($E205="","",INDEX('Input Transaksi'!$D:$D,$E205))</f>
        <v/>
      </c>
      <c r="C205">
        <f>IF($E205="","",INDEX('Input Transaksi'!$E:$E,$E205))</f>
        <v/>
      </c>
      <c r="D205" s="5">
        <f>IF($E205="","",INDEX('Input Transaksi'!$F:$F,$E205))</f>
        <v/>
      </c>
      <c r="E205">
        <f>IFERROR(AGGREGATE(15,6,ROW('Input Transaksi'!$B$5:$B$5000)/('Input Transaksi'!$B$5:$B$5000="JCL SIDAKARYA"),ROWS($E$5:E205)),"")</f>
        <v/>
      </c>
      <c r="F205" s="5" t="n"/>
    </row>
    <row r="206">
      <c r="A206" s="10">
        <f>IF($E206="","",INDEX('Input Transaksi'!$A:$A,$E206))</f>
        <v/>
      </c>
      <c r="B206" s="5">
        <f>IF($E206="","",INDEX('Input Transaksi'!$D:$D,$E206))</f>
        <v/>
      </c>
      <c r="C206">
        <f>IF($E206="","",INDEX('Input Transaksi'!$E:$E,$E206))</f>
        <v/>
      </c>
      <c r="D206" s="5">
        <f>IF($E206="","",INDEX('Input Transaksi'!$F:$F,$E206))</f>
        <v/>
      </c>
      <c r="E206">
        <f>IFERROR(AGGREGATE(15,6,ROW('Input Transaksi'!$B$5:$B$5000)/('Input Transaksi'!$B$5:$B$5000="JCL SIDAKARYA"),ROWS($E$5:E206)),"")</f>
        <v/>
      </c>
      <c r="F206" s="5" t="n"/>
    </row>
    <row r="207">
      <c r="A207" s="10">
        <f>IF($E207="","",INDEX('Input Transaksi'!$A:$A,$E207))</f>
        <v/>
      </c>
      <c r="B207" s="5">
        <f>IF($E207="","",INDEX('Input Transaksi'!$D:$D,$E207))</f>
        <v/>
      </c>
      <c r="C207">
        <f>IF($E207="","",INDEX('Input Transaksi'!$E:$E,$E207))</f>
        <v/>
      </c>
      <c r="D207" s="5">
        <f>IF($E207="","",INDEX('Input Transaksi'!$F:$F,$E207))</f>
        <v/>
      </c>
      <c r="E207">
        <f>IFERROR(AGGREGATE(15,6,ROW('Input Transaksi'!$B$5:$B$5000)/('Input Transaksi'!$B$5:$B$5000="JCL SIDAKARYA"),ROWS($E$5:E207)),"")</f>
        <v/>
      </c>
      <c r="F207" s="5" t="n"/>
    </row>
    <row r="208">
      <c r="A208" s="10">
        <f>IF($E208="","",INDEX('Input Transaksi'!$A:$A,$E208))</f>
        <v/>
      </c>
      <c r="B208" s="5">
        <f>IF($E208="","",INDEX('Input Transaksi'!$D:$D,$E208))</f>
        <v/>
      </c>
      <c r="C208">
        <f>IF($E208="","",INDEX('Input Transaksi'!$E:$E,$E208))</f>
        <v/>
      </c>
      <c r="D208" s="5">
        <f>IF($E208="","",INDEX('Input Transaksi'!$F:$F,$E208))</f>
        <v/>
      </c>
      <c r="E208">
        <f>IFERROR(AGGREGATE(15,6,ROW('Input Transaksi'!$B$5:$B$5000)/('Input Transaksi'!$B$5:$B$5000="JCL SIDAKARYA"),ROWS($E$5:E208)),"")</f>
        <v/>
      </c>
      <c r="F208" s="5" t="n"/>
    </row>
    <row r="209">
      <c r="A209" s="10">
        <f>IF($E209="","",INDEX('Input Transaksi'!$A:$A,$E209))</f>
        <v/>
      </c>
      <c r="B209" s="5">
        <f>IF($E209="","",INDEX('Input Transaksi'!$D:$D,$E209))</f>
        <v/>
      </c>
      <c r="C209">
        <f>IF($E209="","",INDEX('Input Transaksi'!$E:$E,$E209))</f>
        <v/>
      </c>
      <c r="D209" s="5">
        <f>IF($E209="","",INDEX('Input Transaksi'!$F:$F,$E209))</f>
        <v/>
      </c>
      <c r="E209">
        <f>IFERROR(AGGREGATE(15,6,ROW('Input Transaksi'!$B$5:$B$5000)/('Input Transaksi'!$B$5:$B$5000="JCL SIDAKARYA"),ROWS($E$5:E209)),"")</f>
        <v/>
      </c>
      <c r="F209" s="5" t="n"/>
    </row>
    <row r="210">
      <c r="A210" s="10">
        <f>IF($E210="","",INDEX('Input Transaksi'!$A:$A,$E210))</f>
        <v/>
      </c>
      <c r="B210" s="5">
        <f>IF($E210="","",INDEX('Input Transaksi'!$D:$D,$E210))</f>
        <v/>
      </c>
      <c r="C210">
        <f>IF($E210="","",INDEX('Input Transaksi'!$E:$E,$E210))</f>
        <v/>
      </c>
      <c r="D210" s="5">
        <f>IF($E210="","",INDEX('Input Transaksi'!$F:$F,$E210))</f>
        <v/>
      </c>
      <c r="E210">
        <f>IFERROR(AGGREGATE(15,6,ROW('Input Transaksi'!$B$5:$B$5000)/('Input Transaksi'!$B$5:$B$5000="JCL SIDAKARYA"),ROWS($E$5:E210)),"")</f>
        <v/>
      </c>
      <c r="F210" s="5" t="n"/>
    </row>
    <row r="211">
      <c r="A211" s="10">
        <f>IF($E211="","",INDEX('Input Transaksi'!$A:$A,$E211))</f>
        <v/>
      </c>
      <c r="B211" s="5">
        <f>IF($E211="","",INDEX('Input Transaksi'!$D:$D,$E211))</f>
        <v/>
      </c>
      <c r="C211">
        <f>IF($E211="","",INDEX('Input Transaksi'!$E:$E,$E211))</f>
        <v/>
      </c>
      <c r="D211" s="5">
        <f>IF($E211="","",INDEX('Input Transaksi'!$F:$F,$E211))</f>
        <v/>
      </c>
      <c r="E211">
        <f>IFERROR(AGGREGATE(15,6,ROW('Input Transaksi'!$B$5:$B$5000)/('Input Transaksi'!$B$5:$B$5000="JCL SIDAKARYA"),ROWS($E$5:E211)),"")</f>
        <v/>
      </c>
      <c r="F211" s="5" t="n"/>
    </row>
    <row r="212">
      <c r="A212" s="10">
        <f>IF($E212="","",INDEX('Input Transaksi'!$A:$A,$E212))</f>
        <v/>
      </c>
      <c r="B212" s="5">
        <f>IF($E212="","",INDEX('Input Transaksi'!$D:$D,$E212))</f>
        <v/>
      </c>
      <c r="C212">
        <f>IF($E212="","",INDEX('Input Transaksi'!$E:$E,$E212))</f>
        <v/>
      </c>
      <c r="D212" s="5">
        <f>IF($E212="","",INDEX('Input Transaksi'!$F:$F,$E212))</f>
        <v/>
      </c>
      <c r="E212">
        <f>IFERROR(AGGREGATE(15,6,ROW('Input Transaksi'!$B$5:$B$5000)/('Input Transaksi'!$B$5:$B$5000="JCL SIDAKARYA"),ROWS($E$5:E212)),"")</f>
        <v/>
      </c>
      <c r="F212" s="5" t="n"/>
    </row>
    <row r="213">
      <c r="A213" s="10">
        <f>IF($E213="","",INDEX('Input Transaksi'!$A:$A,$E213))</f>
        <v/>
      </c>
      <c r="B213" s="5">
        <f>IF($E213="","",INDEX('Input Transaksi'!$D:$D,$E213))</f>
        <v/>
      </c>
      <c r="C213">
        <f>IF($E213="","",INDEX('Input Transaksi'!$E:$E,$E213))</f>
        <v/>
      </c>
      <c r="D213" s="5">
        <f>IF($E213="","",INDEX('Input Transaksi'!$F:$F,$E213))</f>
        <v/>
      </c>
      <c r="E213">
        <f>IFERROR(AGGREGATE(15,6,ROW('Input Transaksi'!$B$5:$B$5000)/('Input Transaksi'!$B$5:$B$5000="JCL SIDAKARYA"),ROWS($E$5:E213)),"")</f>
        <v/>
      </c>
      <c r="F213" s="5" t="n"/>
    </row>
    <row r="214">
      <c r="A214" s="10">
        <f>IF($E214="","",INDEX('Input Transaksi'!$A:$A,$E214))</f>
        <v/>
      </c>
      <c r="B214" s="5">
        <f>IF($E214="","",INDEX('Input Transaksi'!$D:$D,$E214))</f>
        <v/>
      </c>
      <c r="C214">
        <f>IF($E214="","",INDEX('Input Transaksi'!$E:$E,$E214))</f>
        <v/>
      </c>
      <c r="D214" s="5">
        <f>IF($E214="","",INDEX('Input Transaksi'!$F:$F,$E214))</f>
        <v/>
      </c>
      <c r="E214">
        <f>IFERROR(AGGREGATE(15,6,ROW('Input Transaksi'!$B$5:$B$5000)/('Input Transaksi'!$B$5:$B$5000="JCL SIDAKARYA"),ROWS($E$5:E214)),"")</f>
        <v/>
      </c>
      <c r="F214" s="5" t="n"/>
    </row>
    <row r="215">
      <c r="A215" s="10">
        <f>IF($E215="","",INDEX('Input Transaksi'!$A:$A,$E215))</f>
        <v/>
      </c>
      <c r="B215" s="5">
        <f>IF($E215="","",INDEX('Input Transaksi'!$D:$D,$E215))</f>
        <v/>
      </c>
      <c r="C215">
        <f>IF($E215="","",INDEX('Input Transaksi'!$E:$E,$E215))</f>
        <v/>
      </c>
      <c r="D215" s="5">
        <f>IF($E215="","",INDEX('Input Transaksi'!$F:$F,$E215))</f>
        <v/>
      </c>
      <c r="E215">
        <f>IFERROR(AGGREGATE(15,6,ROW('Input Transaksi'!$B$5:$B$5000)/('Input Transaksi'!$B$5:$B$5000="JCL SIDAKARYA"),ROWS($E$5:E215)),"")</f>
        <v/>
      </c>
      <c r="F215" s="5" t="n"/>
    </row>
    <row r="216">
      <c r="A216" s="10">
        <f>IF($E216="","",INDEX('Input Transaksi'!$A:$A,$E216))</f>
        <v/>
      </c>
      <c r="B216" s="5">
        <f>IF($E216="","",INDEX('Input Transaksi'!$D:$D,$E216))</f>
        <v/>
      </c>
      <c r="C216">
        <f>IF($E216="","",INDEX('Input Transaksi'!$E:$E,$E216))</f>
        <v/>
      </c>
      <c r="D216" s="5">
        <f>IF($E216="","",INDEX('Input Transaksi'!$F:$F,$E216))</f>
        <v/>
      </c>
      <c r="E216">
        <f>IFERROR(AGGREGATE(15,6,ROW('Input Transaksi'!$B$5:$B$5000)/('Input Transaksi'!$B$5:$B$5000="JCL SIDAKARYA"),ROWS($E$5:E216)),"")</f>
        <v/>
      </c>
      <c r="F216" s="5" t="n"/>
    </row>
    <row r="217">
      <c r="A217" s="10">
        <f>IF($E217="","",INDEX('Input Transaksi'!$A:$A,$E217))</f>
        <v/>
      </c>
      <c r="B217" s="5">
        <f>IF($E217="","",INDEX('Input Transaksi'!$D:$D,$E217))</f>
        <v/>
      </c>
      <c r="C217">
        <f>IF($E217="","",INDEX('Input Transaksi'!$E:$E,$E217))</f>
        <v/>
      </c>
      <c r="D217" s="5">
        <f>IF($E217="","",INDEX('Input Transaksi'!$F:$F,$E217))</f>
        <v/>
      </c>
      <c r="E217">
        <f>IFERROR(AGGREGATE(15,6,ROW('Input Transaksi'!$B$5:$B$5000)/('Input Transaksi'!$B$5:$B$5000="JCL SIDAKARYA"),ROWS($E$5:E217)),"")</f>
        <v/>
      </c>
      <c r="F217" s="5" t="n"/>
    </row>
    <row r="218">
      <c r="A218" s="10">
        <f>IF($E218="","",INDEX('Input Transaksi'!$A:$A,$E218))</f>
        <v/>
      </c>
      <c r="B218" s="5">
        <f>IF($E218="","",INDEX('Input Transaksi'!$D:$D,$E218))</f>
        <v/>
      </c>
      <c r="C218">
        <f>IF($E218="","",INDEX('Input Transaksi'!$E:$E,$E218))</f>
        <v/>
      </c>
      <c r="D218" s="5">
        <f>IF($E218="","",INDEX('Input Transaksi'!$F:$F,$E218))</f>
        <v/>
      </c>
      <c r="E218">
        <f>IFERROR(AGGREGATE(15,6,ROW('Input Transaksi'!$B$5:$B$5000)/('Input Transaksi'!$B$5:$B$5000="JCL SIDAKARYA"),ROWS($E$5:E218)),"")</f>
        <v/>
      </c>
      <c r="F218" s="5" t="n"/>
    </row>
    <row r="219">
      <c r="A219" s="10">
        <f>IF($E219="","",INDEX('Input Transaksi'!$A:$A,$E219))</f>
        <v/>
      </c>
      <c r="B219" s="5">
        <f>IF($E219="","",INDEX('Input Transaksi'!$D:$D,$E219))</f>
        <v/>
      </c>
      <c r="C219">
        <f>IF($E219="","",INDEX('Input Transaksi'!$E:$E,$E219))</f>
        <v/>
      </c>
      <c r="D219" s="5">
        <f>IF($E219="","",INDEX('Input Transaksi'!$F:$F,$E219))</f>
        <v/>
      </c>
      <c r="E219">
        <f>IFERROR(AGGREGATE(15,6,ROW('Input Transaksi'!$B$5:$B$5000)/('Input Transaksi'!$B$5:$B$5000="JCL SIDAKARYA"),ROWS($E$5:E219)),"")</f>
        <v/>
      </c>
      <c r="F219" s="5" t="n"/>
    </row>
    <row r="220">
      <c r="A220" s="10">
        <f>IF($E220="","",INDEX('Input Transaksi'!$A:$A,$E220))</f>
        <v/>
      </c>
      <c r="B220" s="5">
        <f>IF($E220="","",INDEX('Input Transaksi'!$D:$D,$E220))</f>
        <v/>
      </c>
      <c r="C220">
        <f>IF($E220="","",INDEX('Input Transaksi'!$E:$E,$E220))</f>
        <v/>
      </c>
      <c r="D220" s="5">
        <f>IF($E220="","",INDEX('Input Transaksi'!$F:$F,$E220))</f>
        <v/>
      </c>
      <c r="E220">
        <f>IFERROR(AGGREGATE(15,6,ROW('Input Transaksi'!$B$5:$B$5000)/('Input Transaksi'!$B$5:$B$5000="JCL SIDAKARYA"),ROWS($E$5:E220)),"")</f>
        <v/>
      </c>
      <c r="F220" s="5" t="n"/>
    </row>
    <row r="221">
      <c r="A221" s="10">
        <f>IF($E221="","",INDEX('Input Transaksi'!$A:$A,$E221))</f>
        <v/>
      </c>
      <c r="B221" s="5">
        <f>IF($E221="","",INDEX('Input Transaksi'!$D:$D,$E221))</f>
        <v/>
      </c>
      <c r="C221">
        <f>IF($E221="","",INDEX('Input Transaksi'!$E:$E,$E221))</f>
        <v/>
      </c>
      <c r="D221" s="5">
        <f>IF($E221="","",INDEX('Input Transaksi'!$F:$F,$E221))</f>
        <v/>
      </c>
      <c r="E221">
        <f>IFERROR(AGGREGATE(15,6,ROW('Input Transaksi'!$B$5:$B$5000)/('Input Transaksi'!$B$5:$B$5000="JCL SIDAKARYA"),ROWS($E$5:E221)),"")</f>
        <v/>
      </c>
      <c r="F221" s="5" t="n"/>
    </row>
    <row r="222">
      <c r="A222" s="10">
        <f>IF($E222="","",INDEX('Input Transaksi'!$A:$A,$E222))</f>
        <v/>
      </c>
      <c r="B222" s="5">
        <f>IF($E222="","",INDEX('Input Transaksi'!$D:$D,$E222))</f>
        <v/>
      </c>
      <c r="C222">
        <f>IF($E222="","",INDEX('Input Transaksi'!$E:$E,$E222))</f>
        <v/>
      </c>
      <c r="D222" s="5">
        <f>IF($E222="","",INDEX('Input Transaksi'!$F:$F,$E222))</f>
        <v/>
      </c>
      <c r="E222">
        <f>IFERROR(AGGREGATE(15,6,ROW('Input Transaksi'!$B$5:$B$5000)/('Input Transaksi'!$B$5:$B$5000="JCL SIDAKARYA"),ROWS($E$5:E222)),"")</f>
        <v/>
      </c>
      <c r="F222" s="5" t="n"/>
    </row>
    <row r="223">
      <c r="A223" s="10">
        <f>IF($E223="","",INDEX('Input Transaksi'!$A:$A,$E223))</f>
        <v/>
      </c>
      <c r="B223" s="5">
        <f>IF($E223="","",INDEX('Input Transaksi'!$D:$D,$E223))</f>
        <v/>
      </c>
      <c r="C223">
        <f>IF($E223="","",INDEX('Input Transaksi'!$E:$E,$E223))</f>
        <v/>
      </c>
      <c r="D223" s="5">
        <f>IF($E223="","",INDEX('Input Transaksi'!$F:$F,$E223))</f>
        <v/>
      </c>
      <c r="E223">
        <f>IFERROR(AGGREGATE(15,6,ROW('Input Transaksi'!$B$5:$B$5000)/('Input Transaksi'!$B$5:$B$5000="JCL SIDAKARYA"),ROWS($E$5:E223)),"")</f>
        <v/>
      </c>
      <c r="F223" s="5" t="n"/>
    </row>
    <row r="224">
      <c r="A224" s="10">
        <f>IF($E224="","",INDEX('Input Transaksi'!$A:$A,$E224))</f>
        <v/>
      </c>
      <c r="B224" s="5">
        <f>IF($E224="","",INDEX('Input Transaksi'!$D:$D,$E224))</f>
        <v/>
      </c>
      <c r="C224">
        <f>IF($E224="","",INDEX('Input Transaksi'!$E:$E,$E224))</f>
        <v/>
      </c>
      <c r="D224" s="5">
        <f>IF($E224="","",INDEX('Input Transaksi'!$F:$F,$E224))</f>
        <v/>
      </c>
      <c r="E224">
        <f>IFERROR(AGGREGATE(15,6,ROW('Input Transaksi'!$B$5:$B$5000)/('Input Transaksi'!$B$5:$B$5000="JCL SIDAKARYA"),ROWS($E$5:E224)),"")</f>
        <v/>
      </c>
      <c r="F224" s="5" t="n"/>
    </row>
    <row r="225">
      <c r="A225" s="10">
        <f>IF($E225="","",INDEX('Input Transaksi'!$A:$A,$E225))</f>
        <v/>
      </c>
      <c r="B225" s="5">
        <f>IF($E225="","",INDEX('Input Transaksi'!$D:$D,$E225))</f>
        <v/>
      </c>
      <c r="C225">
        <f>IF($E225="","",INDEX('Input Transaksi'!$E:$E,$E225))</f>
        <v/>
      </c>
      <c r="D225" s="5">
        <f>IF($E225="","",INDEX('Input Transaksi'!$F:$F,$E225))</f>
        <v/>
      </c>
      <c r="E225">
        <f>IFERROR(AGGREGATE(15,6,ROW('Input Transaksi'!$B$5:$B$5000)/('Input Transaksi'!$B$5:$B$5000="JCL SIDAKARYA"),ROWS($E$5:E225)),"")</f>
        <v/>
      </c>
      <c r="F225" s="5" t="n"/>
    </row>
    <row r="226">
      <c r="A226" s="10">
        <f>IF($E226="","",INDEX('Input Transaksi'!$A:$A,$E226))</f>
        <v/>
      </c>
      <c r="B226" s="5">
        <f>IF($E226="","",INDEX('Input Transaksi'!$D:$D,$E226))</f>
        <v/>
      </c>
      <c r="C226">
        <f>IF($E226="","",INDEX('Input Transaksi'!$E:$E,$E226))</f>
        <v/>
      </c>
      <c r="D226" s="5">
        <f>IF($E226="","",INDEX('Input Transaksi'!$F:$F,$E226))</f>
        <v/>
      </c>
      <c r="E226">
        <f>IFERROR(AGGREGATE(15,6,ROW('Input Transaksi'!$B$5:$B$5000)/('Input Transaksi'!$B$5:$B$5000="JCL SIDAKARYA"),ROWS($E$5:E226)),"")</f>
        <v/>
      </c>
      <c r="F226" s="5" t="n"/>
    </row>
    <row r="227">
      <c r="A227" s="10">
        <f>IF($E227="","",INDEX('Input Transaksi'!$A:$A,$E227))</f>
        <v/>
      </c>
      <c r="B227" s="5">
        <f>IF($E227="","",INDEX('Input Transaksi'!$D:$D,$E227))</f>
        <v/>
      </c>
      <c r="C227">
        <f>IF($E227="","",INDEX('Input Transaksi'!$E:$E,$E227))</f>
        <v/>
      </c>
      <c r="D227" s="5">
        <f>IF($E227="","",INDEX('Input Transaksi'!$F:$F,$E227))</f>
        <v/>
      </c>
      <c r="E227">
        <f>IFERROR(AGGREGATE(15,6,ROW('Input Transaksi'!$B$5:$B$5000)/('Input Transaksi'!$B$5:$B$5000="JCL SIDAKARYA"),ROWS($E$5:E227)),"")</f>
        <v/>
      </c>
      <c r="F227" s="5" t="n"/>
    </row>
    <row r="228">
      <c r="A228" s="10">
        <f>IF($E228="","",INDEX('Input Transaksi'!$A:$A,$E228))</f>
        <v/>
      </c>
      <c r="B228" s="5">
        <f>IF($E228="","",INDEX('Input Transaksi'!$D:$D,$E228))</f>
        <v/>
      </c>
      <c r="C228">
        <f>IF($E228="","",INDEX('Input Transaksi'!$E:$E,$E228))</f>
        <v/>
      </c>
      <c r="D228" s="5">
        <f>IF($E228="","",INDEX('Input Transaksi'!$F:$F,$E228))</f>
        <v/>
      </c>
      <c r="E228">
        <f>IFERROR(AGGREGATE(15,6,ROW('Input Transaksi'!$B$5:$B$5000)/('Input Transaksi'!$B$5:$B$5000="JCL SIDAKARYA"),ROWS($E$5:E228)),"")</f>
        <v/>
      </c>
      <c r="F228" s="5" t="n"/>
    </row>
    <row r="229">
      <c r="A229" s="10">
        <f>IF($E229="","",INDEX('Input Transaksi'!$A:$A,$E229))</f>
        <v/>
      </c>
      <c r="B229" s="5">
        <f>IF($E229="","",INDEX('Input Transaksi'!$D:$D,$E229))</f>
        <v/>
      </c>
      <c r="C229">
        <f>IF($E229="","",INDEX('Input Transaksi'!$E:$E,$E229))</f>
        <v/>
      </c>
      <c r="D229" s="5">
        <f>IF($E229="","",INDEX('Input Transaksi'!$F:$F,$E229))</f>
        <v/>
      </c>
      <c r="E229">
        <f>IFERROR(AGGREGATE(15,6,ROW('Input Transaksi'!$B$5:$B$5000)/('Input Transaksi'!$B$5:$B$5000="JCL SIDAKARYA"),ROWS($E$5:E229)),"")</f>
        <v/>
      </c>
      <c r="F229" s="5" t="n"/>
    </row>
    <row r="230">
      <c r="A230" s="10">
        <f>IF($E230="","",INDEX('Input Transaksi'!$A:$A,$E230))</f>
        <v/>
      </c>
      <c r="B230" s="5">
        <f>IF($E230="","",INDEX('Input Transaksi'!$D:$D,$E230))</f>
        <v/>
      </c>
      <c r="C230">
        <f>IF($E230="","",INDEX('Input Transaksi'!$E:$E,$E230))</f>
        <v/>
      </c>
      <c r="D230" s="5">
        <f>IF($E230="","",INDEX('Input Transaksi'!$F:$F,$E230))</f>
        <v/>
      </c>
      <c r="E230">
        <f>IFERROR(AGGREGATE(15,6,ROW('Input Transaksi'!$B$5:$B$5000)/('Input Transaksi'!$B$5:$B$5000="JCL SIDAKARYA"),ROWS($E$5:E230)),"")</f>
        <v/>
      </c>
      <c r="F230" s="5" t="n"/>
    </row>
    <row r="231">
      <c r="A231" s="10">
        <f>IF($E231="","",INDEX('Input Transaksi'!$A:$A,$E231))</f>
        <v/>
      </c>
      <c r="B231" s="5">
        <f>IF($E231="","",INDEX('Input Transaksi'!$D:$D,$E231))</f>
        <v/>
      </c>
      <c r="C231">
        <f>IF($E231="","",INDEX('Input Transaksi'!$E:$E,$E231))</f>
        <v/>
      </c>
      <c r="D231" s="5">
        <f>IF($E231="","",INDEX('Input Transaksi'!$F:$F,$E231))</f>
        <v/>
      </c>
      <c r="E231">
        <f>IFERROR(AGGREGATE(15,6,ROW('Input Transaksi'!$B$5:$B$5000)/('Input Transaksi'!$B$5:$B$5000="JCL SIDAKARYA"),ROWS($E$5:E231)),"")</f>
        <v/>
      </c>
      <c r="F231" s="5" t="n"/>
    </row>
    <row r="232">
      <c r="A232" s="10">
        <f>IF($E232="","",INDEX('Input Transaksi'!$A:$A,$E232))</f>
        <v/>
      </c>
      <c r="B232" s="5">
        <f>IF($E232="","",INDEX('Input Transaksi'!$D:$D,$E232))</f>
        <v/>
      </c>
      <c r="C232">
        <f>IF($E232="","",INDEX('Input Transaksi'!$E:$E,$E232))</f>
        <v/>
      </c>
      <c r="D232" s="5">
        <f>IF($E232="","",INDEX('Input Transaksi'!$F:$F,$E232))</f>
        <v/>
      </c>
      <c r="E232">
        <f>IFERROR(AGGREGATE(15,6,ROW('Input Transaksi'!$B$5:$B$5000)/('Input Transaksi'!$B$5:$B$5000="JCL SIDAKARYA"),ROWS($E$5:E232)),"")</f>
        <v/>
      </c>
      <c r="F232" s="5" t="n"/>
    </row>
    <row r="233">
      <c r="A233" s="10">
        <f>IF($E233="","",INDEX('Input Transaksi'!$A:$A,$E233))</f>
        <v/>
      </c>
      <c r="B233" s="5">
        <f>IF($E233="","",INDEX('Input Transaksi'!$D:$D,$E233))</f>
        <v/>
      </c>
      <c r="C233">
        <f>IF($E233="","",INDEX('Input Transaksi'!$E:$E,$E233))</f>
        <v/>
      </c>
      <c r="D233" s="5">
        <f>IF($E233="","",INDEX('Input Transaksi'!$F:$F,$E233))</f>
        <v/>
      </c>
      <c r="E233">
        <f>IFERROR(AGGREGATE(15,6,ROW('Input Transaksi'!$B$5:$B$5000)/('Input Transaksi'!$B$5:$B$5000="JCL SIDAKARYA"),ROWS($E$5:E233)),"")</f>
        <v/>
      </c>
      <c r="F233" s="5" t="n"/>
    </row>
    <row r="234">
      <c r="A234" s="10">
        <f>IF($E234="","",INDEX('Input Transaksi'!$A:$A,$E234))</f>
        <v/>
      </c>
      <c r="B234" s="5">
        <f>IF($E234="","",INDEX('Input Transaksi'!$D:$D,$E234))</f>
        <v/>
      </c>
      <c r="C234">
        <f>IF($E234="","",INDEX('Input Transaksi'!$E:$E,$E234))</f>
        <v/>
      </c>
      <c r="D234" s="5">
        <f>IF($E234="","",INDEX('Input Transaksi'!$F:$F,$E234))</f>
        <v/>
      </c>
      <c r="E234">
        <f>IFERROR(AGGREGATE(15,6,ROW('Input Transaksi'!$B$5:$B$5000)/('Input Transaksi'!$B$5:$B$5000="JCL SIDAKARYA"),ROWS($E$5:E234)),"")</f>
        <v/>
      </c>
      <c r="F234" s="5" t="n"/>
    </row>
    <row r="235">
      <c r="A235" s="10">
        <f>IF($E235="","",INDEX('Input Transaksi'!$A:$A,$E235))</f>
        <v/>
      </c>
      <c r="B235" s="5">
        <f>IF($E235="","",INDEX('Input Transaksi'!$D:$D,$E235))</f>
        <v/>
      </c>
      <c r="C235">
        <f>IF($E235="","",INDEX('Input Transaksi'!$E:$E,$E235))</f>
        <v/>
      </c>
      <c r="D235" s="5">
        <f>IF($E235="","",INDEX('Input Transaksi'!$F:$F,$E235))</f>
        <v/>
      </c>
      <c r="E235">
        <f>IFERROR(AGGREGATE(15,6,ROW('Input Transaksi'!$B$5:$B$5000)/('Input Transaksi'!$B$5:$B$5000="JCL SIDAKARYA"),ROWS($E$5:E235)),"")</f>
        <v/>
      </c>
      <c r="F235" s="5" t="n"/>
    </row>
    <row r="236">
      <c r="A236" s="10">
        <f>IF($E236="","",INDEX('Input Transaksi'!$A:$A,$E236))</f>
        <v/>
      </c>
      <c r="B236" s="5">
        <f>IF($E236="","",INDEX('Input Transaksi'!$D:$D,$E236))</f>
        <v/>
      </c>
      <c r="C236">
        <f>IF($E236="","",INDEX('Input Transaksi'!$E:$E,$E236))</f>
        <v/>
      </c>
      <c r="D236" s="5">
        <f>IF($E236="","",INDEX('Input Transaksi'!$F:$F,$E236))</f>
        <v/>
      </c>
      <c r="E236">
        <f>IFERROR(AGGREGATE(15,6,ROW('Input Transaksi'!$B$5:$B$5000)/('Input Transaksi'!$B$5:$B$5000="JCL SIDAKARYA"),ROWS($E$5:E236)),"")</f>
        <v/>
      </c>
      <c r="F236" s="5" t="n"/>
    </row>
    <row r="237">
      <c r="A237" s="10">
        <f>IF($E237="","",INDEX('Input Transaksi'!$A:$A,$E237))</f>
        <v/>
      </c>
      <c r="B237" s="5">
        <f>IF($E237="","",INDEX('Input Transaksi'!$D:$D,$E237))</f>
        <v/>
      </c>
      <c r="C237">
        <f>IF($E237="","",INDEX('Input Transaksi'!$E:$E,$E237))</f>
        <v/>
      </c>
      <c r="D237" s="5">
        <f>IF($E237="","",INDEX('Input Transaksi'!$F:$F,$E237))</f>
        <v/>
      </c>
      <c r="E237">
        <f>IFERROR(AGGREGATE(15,6,ROW('Input Transaksi'!$B$5:$B$5000)/('Input Transaksi'!$B$5:$B$5000="JCL SIDAKARYA"),ROWS($E$5:E237)),"")</f>
        <v/>
      </c>
      <c r="F237" s="5" t="n"/>
    </row>
    <row r="238">
      <c r="A238" s="10">
        <f>IF($E238="","",INDEX('Input Transaksi'!$A:$A,$E238))</f>
        <v/>
      </c>
      <c r="B238" s="5">
        <f>IF($E238="","",INDEX('Input Transaksi'!$D:$D,$E238))</f>
        <v/>
      </c>
      <c r="C238">
        <f>IF($E238="","",INDEX('Input Transaksi'!$E:$E,$E238))</f>
        <v/>
      </c>
      <c r="D238" s="5">
        <f>IF($E238="","",INDEX('Input Transaksi'!$F:$F,$E238))</f>
        <v/>
      </c>
      <c r="E238">
        <f>IFERROR(AGGREGATE(15,6,ROW('Input Transaksi'!$B$5:$B$5000)/('Input Transaksi'!$B$5:$B$5000="JCL SIDAKARYA"),ROWS($E$5:E238)),"")</f>
        <v/>
      </c>
      <c r="F238" s="5" t="n"/>
    </row>
    <row r="239">
      <c r="A239" s="10">
        <f>IF($E239="","",INDEX('Input Transaksi'!$A:$A,$E239))</f>
        <v/>
      </c>
      <c r="B239" s="5">
        <f>IF($E239="","",INDEX('Input Transaksi'!$D:$D,$E239))</f>
        <v/>
      </c>
      <c r="C239">
        <f>IF($E239="","",INDEX('Input Transaksi'!$E:$E,$E239))</f>
        <v/>
      </c>
      <c r="D239" s="5">
        <f>IF($E239="","",INDEX('Input Transaksi'!$F:$F,$E239))</f>
        <v/>
      </c>
      <c r="E239">
        <f>IFERROR(AGGREGATE(15,6,ROW('Input Transaksi'!$B$5:$B$5000)/('Input Transaksi'!$B$5:$B$5000="JCL SIDAKARYA"),ROWS($E$5:E239)),"")</f>
        <v/>
      </c>
      <c r="F239" s="5" t="n"/>
    </row>
    <row r="240">
      <c r="A240" s="10">
        <f>IF($E240="","",INDEX('Input Transaksi'!$A:$A,$E240))</f>
        <v/>
      </c>
      <c r="B240" s="5">
        <f>IF($E240="","",INDEX('Input Transaksi'!$D:$D,$E240))</f>
        <v/>
      </c>
      <c r="C240">
        <f>IF($E240="","",INDEX('Input Transaksi'!$E:$E,$E240))</f>
        <v/>
      </c>
      <c r="D240" s="5">
        <f>IF($E240="","",INDEX('Input Transaksi'!$F:$F,$E240))</f>
        <v/>
      </c>
      <c r="E240">
        <f>IFERROR(AGGREGATE(15,6,ROW('Input Transaksi'!$B$5:$B$5000)/('Input Transaksi'!$B$5:$B$5000="JCL SIDAKARYA"),ROWS($E$5:E240)),"")</f>
        <v/>
      </c>
      <c r="F240" s="5" t="n"/>
    </row>
    <row r="241">
      <c r="A241" s="10">
        <f>IF($E241="","",INDEX('Input Transaksi'!$A:$A,$E241))</f>
        <v/>
      </c>
      <c r="B241" s="5">
        <f>IF($E241="","",INDEX('Input Transaksi'!$D:$D,$E241))</f>
        <v/>
      </c>
      <c r="C241">
        <f>IF($E241="","",INDEX('Input Transaksi'!$E:$E,$E241))</f>
        <v/>
      </c>
      <c r="D241" s="5">
        <f>IF($E241="","",INDEX('Input Transaksi'!$F:$F,$E241))</f>
        <v/>
      </c>
      <c r="E241">
        <f>IFERROR(AGGREGATE(15,6,ROW('Input Transaksi'!$B$5:$B$5000)/('Input Transaksi'!$B$5:$B$5000="JCL SIDAKARYA"),ROWS($E$5:E241)),"")</f>
        <v/>
      </c>
      <c r="F241" s="5" t="n"/>
    </row>
    <row r="242">
      <c r="A242" s="10">
        <f>IF($E242="","",INDEX('Input Transaksi'!$A:$A,$E242))</f>
        <v/>
      </c>
      <c r="B242" s="5">
        <f>IF($E242="","",INDEX('Input Transaksi'!$D:$D,$E242))</f>
        <v/>
      </c>
      <c r="C242">
        <f>IF($E242="","",INDEX('Input Transaksi'!$E:$E,$E242))</f>
        <v/>
      </c>
      <c r="D242" s="5">
        <f>IF($E242="","",INDEX('Input Transaksi'!$F:$F,$E242))</f>
        <v/>
      </c>
      <c r="E242">
        <f>IFERROR(AGGREGATE(15,6,ROW('Input Transaksi'!$B$5:$B$5000)/('Input Transaksi'!$B$5:$B$5000="JCL SIDAKARYA"),ROWS($E$5:E242)),"")</f>
        <v/>
      </c>
      <c r="F242" s="5" t="n"/>
    </row>
    <row r="243">
      <c r="A243" s="10">
        <f>IF($E243="","",INDEX('Input Transaksi'!$A:$A,$E243))</f>
        <v/>
      </c>
      <c r="B243" s="5">
        <f>IF($E243="","",INDEX('Input Transaksi'!$D:$D,$E243))</f>
        <v/>
      </c>
      <c r="C243">
        <f>IF($E243="","",INDEX('Input Transaksi'!$E:$E,$E243))</f>
        <v/>
      </c>
      <c r="D243" s="5">
        <f>IF($E243="","",INDEX('Input Transaksi'!$F:$F,$E243))</f>
        <v/>
      </c>
      <c r="E243">
        <f>IFERROR(AGGREGATE(15,6,ROW('Input Transaksi'!$B$5:$B$5000)/('Input Transaksi'!$B$5:$B$5000="JCL SIDAKARYA"),ROWS($E$5:E243)),"")</f>
        <v/>
      </c>
      <c r="F243" s="5" t="n"/>
    </row>
    <row r="244">
      <c r="A244" s="10">
        <f>IF($E244="","",INDEX('Input Transaksi'!$A:$A,$E244))</f>
        <v/>
      </c>
      <c r="B244" s="5">
        <f>IF($E244="","",INDEX('Input Transaksi'!$D:$D,$E244))</f>
        <v/>
      </c>
      <c r="C244">
        <f>IF($E244="","",INDEX('Input Transaksi'!$E:$E,$E244))</f>
        <v/>
      </c>
      <c r="D244" s="5">
        <f>IF($E244="","",INDEX('Input Transaksi'!$F:$F,$E244))</f>
        <v/>
      </c>
      <c r="E244">
        <f>IFERROR(AGGREGATE(15,6,ROW('Input Transaksi'!$B$5:$B$5000)/('Input Transaksi'!$B$5:$B$5000="JCL SIDAKARYA"),ROWS($E$5:E244)),"")</f>
        <v/>
      </c>
      <c r="F244" s="5" t="n"/>
    </row>
    <row r="245">
      <c r="A245" s="10">
        <f>IF($E245="","",INDEX('Input Transaksi'!$A:$A,$E245))</f>
        <v/>
      </c>
      <c r="B245" s="5">
        <f>IF($E245="","",INDEX('Input Transaksi'!$D:$D,$E245))</f>
        <v/>
      </c>
      <c r="C245">
        <f>IF($E245="","",INDEX('Input Transaksi'!$E:$E,$E245))</f>
        <v/>
      </c>
      <c r="D245" s="5">
        <f>IF($E245="","",INDEX('Input Transaksi'!$F:$F,$E245))</f>
        <v/>
      </c>
      <c r="E245">
        <f>IFERROR(AGGREGATE(15,6,ROW('Input Transaksi'!$B$5:$B$5000)/('Input Transaksi'!$B$5:$B$5000="JCL SIDAKARYA"),ROWS($E$5:E245)),"")</f>
        <v/>
      </c>
      <c r="F245" s="5" t="n"/>
    </row>
    <row r="246">
      <c r="A246" s="10">
        <f>IF($E246="","",INDEX('Input Transaksi'!$A:$A,$E246))</f>
        <v/>
      </c>
      <c r="B246" s="5">
        <f>IF($E246="","",INDEX('Input Transaksi'!$D:$D,$E246))</f>
        <v/>
      </c>
      <c r="C246">
        <f>IF($E246="","",INDEX('Input Transaksi'!$E:$E,$E246))</f>
        <v/>
      </c>
      <c r="D246" s="5">
        <f>IF($E246="","",INDEX('Input Transaksi'!$F:$F,$E246))</f>
        <v/>
      </c>
      <c r="E246">
        <f>IFERROR(AGGREGATE(15,6,ROW('Input Transaksi'!$B$5:$B$5000)/('Input Transaksi'!$B$5:$B$5000="JCL SIDAKARYA"),ROWS($E$5:E246)),"")</f>
        <v/>
      </c>
      <c r="F246" s="5" t="n"/>
    </row>
    <row r="247">
      <c r="A247" s="10">
        <f>IF($E247="","",INDEX('Input Transaksi'!$A:$A,$E247))</f>
        <v/>
      </c>
      <c r="B247" s="5">
        <f>IF($E247="","",INDEX('Input Transaksi'!$D:$D,$E247))</f>
        <v/>
      </c>
      <c r="C247">
        <f>IF($E247="","",INDEX('Input Transaksi'!$E:$E,$E247))</f>
        <v/>
      </c>
      <c r="D247" s="5">
        <f>IF($E247="","",INDEX('Input Transaksi'!$F:$F,$E247))</f>
        <v/>
      </c>
      <c r="E247">
        <f>IFERROR(AGGREGATE(15,6,ROW('Input Transaksi'!$B$5:$B$5000)/('Input Transaksi'!$B$5:$B$5000="JCL SIDAKARYA"),ROWS($E$5:E247)),"")</f>
        <v/>
      </c>
      <c r="F247" s="5" t="n"/>
    </row>
    <row r="248">
      <c r="A248" s="10">
        <f>IF($E248="","",INDEX('Input Transaksi'!$A:$A,$E248))</f>
        <v/>
      </c>
      <c r="B248" s="5">
        <f>IF($E248="","",INDEX('Input Transaksi'!$D:$D,$E248))</f>
        <v/>
      </c>
      <c r="C248">
        <f>IF($E248="","",INDEX('Input Transaksi'!$E:$E,$E248))</f>
        <v/>
      </c>
      <c r="D248" s="5">
        <f>IF($E248="","",INDEX('Input Transaksi'!$F:$F,$E248))</f>
        <v/>
      </c>
      <c r="E248">
        <f>IFERROR(AGGREGATE(15,6,ROW('Input Transaksi'!$B$5:$B$5000)/('Input Transaksi'!$B$5:$B$5000="JCL SIDAKARYA"),ROWS($E$5:E248)),"")</f>
        <v/>
      </c>
      <c r="F248" s="5" t="n"/>
    </row>
    <row r="249">
      <c r="A249" s="10">
        <f>IF($E249="","",INDEX('Input Transaksi'!$A:$A,$E249))</f>
        <v/>
      </c>
      <c r="B249" s="5">
        <f>IF($E249="","",INDEX('Input Transaksi'!$D:$D,$E249))</f>
        <v/>
      </c>
      <c r="C249">
        <f>IF($E249="","",INDEX('Input Transaksi'!$E:$E,$E249))</f>
        <v/>
      </c>
      <c r="D249" s="5">
        <f>IF($E249="","",INDEX('Input Transaksi'!$F:$F,$E249))</f>
        <v/>
      </c>
      <c r="E249">
        <f>IFERROR(AGGREGATE(15,6,ROW('Input Transaksi'!$B$5:$B$5000)/('Input Transaksi'!$B$5:$B$5000="JCL SIDAKARYA"),ROWS($E$5:E249)),"")</f>
        <v/>
      </c>
      <c r="F249" s="5" t="n"/>
    </row>
    <row r="250">
      <c r="A250" s="10">
        <f>IF($E250="","",INDEX('Input Transaksi'!$A:$A,$E250))</f>
        <v/>
      </c>
      <c r="B250" s="5">
        <f>IF($E250="","",INDEX('Input Transaksi'!$D:$D,$E250))</f>
        <v/>
      </c>
      <c r="C250">
        <f>IF($E250="","",INDEX('Input Transaksi'!$E:$E,$E250))</f>
        <v/>
      </c>
      <c r="D250" s="5">
        <f>IF($E250="","",INDEX('Input Transaksi'!$F:$F,$E250))</f>
        <v/>
      </c>
      <c r="E250">
        <f>IFERROR(AGGREGATE(15,6,ROW('Input Transaksi'!$B$5:$B$5000)/('Input Transaksi'!$B$5:$B$5000="JCL SIDAKARYA"),ROWS($E$5:E250)),"")</f>
        <v/>
      </c>
      <c r="F250" s="5" t="n"/>
    </row>
    <row r="251">
      <c r="A251" s="10">
        <f>IF($E251="","",INDEX('Input Transaksi'!$A:$A,$E251))</f>
        <v/>
      </c>
      <c r="B251" s="5">
        <f>IF($E251="","",INDEX('Input Transaksi'!$D:$D,$E251))</f>
        <v/>
      </c>
      <c r="C251">
        <f>IF($E251="","",INDEX('Input Transaksi'!$E:$E,$E251))</f>
        <v/>
      </c>
      <c r="D251" s="5">
        <f>IF($E251="","",INDEX('Input Transaksi'!$F:$F,$E251))</f>
        <v/>
      </c>
      <c r="E251">
        <f>IFERROR(AGGREGATE(15,6,ROW('Input Transaksi'!$B$5:$B$5000)/('Input Transaksi'!$B$5:$B$5000="JCL SIDAKARYA"),ROWS($E$5:E251)),"")</f>
        <v/>
      </c>
      <c r="F251" s="5" t="n"/>
    </row>
    <row r="252">
      <c r="A252" s="10">
        <f>IF($E252="","",INDEX('Input Transaksi'!$A:$A,$E252))</f>
        <v/>
      </c>
      <c r="B252" s="5">
        <f>IF($E252="","",INDEX('Input Transaksi'!$D:$D,$E252))</f>
        <v/>
      </c>
      <c r="C252">
        <f>IF($E252="","",INDEX('Input Transaksi'!$E:$E,$E252))</f>
        <v/>
      </c>
      <c r="D252" s="5">
        <f>IF($E252="","",INDEX('Input Transaksi'!$F:$F,$E252))</f>
        <v/>
      </c>
      <c r="E252">
        <f>IFERROR(AGGREGATE(15,6,ROW('Input Transaksi'!$B$5:$B$5000)/('Input Transaksi'!$B$5:$B$5000="JCL SIDAKARYA"),ROWS($E$5:E252)),"")</f>
        <v/>
      </c>
      <c r="F252" s="5" t="n"/>
    </row>
    <row r="253">
      <c r="A253" s="10">
        <f>IF($E253="","",INDEX('Input Transaksi'!$A:$A,$E253))</f>
        <v/>
      </c>
      <c r="B253" s="5">
        <f>IF($E253="","",INDEX('Input Transaksi'!$D:$D,$E253))</f>
        <v/>
      </c>
      <c r="C253">
        <f>IF($E253="","",INDEX('Input Transaksi'!$E:$E,$E253))</f>
        <v/>
      </c>
      <c r="D253" s="5">
        <f>IF($E253="","",INDEX('Input Transaksi'!$F:$F,$E253))</f>
        <v/>
      </c>
      <c r="E253">
        <f>IFERROR(AGGREGATE(15,6,ROW('Input Transaksi'!$B$5:$B$5000)/('Input Transaksi'!$B$5:$B$5000="JCL SIDAKARYA"),ROWS($E$5:E253)),"")</f>
        <v/>
      </c>
      <c r="F253" s="5" t="n"/>
    </row>
    <row r="254">
      <c r="A254" s="10">
        <f>IF($E254="","",INDEX('Input Transaksi'!$A:$A,$E254))</f>
        <v/>
      </c>
      <c r="B254" s="5">
        <f>IF($E254="","",INDEX('Input Transaksi'!$D:$D,$E254))</f>
        <v/>
      </c>
      <c r="C254">
        <f>IF($E254="","",INDEX('Input Transaksi'!$E:$E,$E254))</f>
        <v/>
      </c>
      <c r="D254" s="5">
        <f>IF($E254="","",INDEX('Input Transaksi'!$F:$F,$E254))</f>
        <v/>
      </c>
      <c r="E254">
        <f>IFERROR(AGGREGATE(15,6,ROW('Input Transaksi'!$B$5:$B$5000)/('Input Transaksi'!$B$5:$B$5000="JCL SIDAKARYA"),ROWS($E$5:E254)),"")</f>
        <v/>
      </c>
      <c r="F254" s="5" t="n"/>
    </row>
    <row r="255">
      <c r="A255" s="10">
        <f>IF($E255="","",INDEX('Input Transaksi'!$A:$A,$E255))</f>
        <v/>
      </c>
      <c r="B255" s="5">
        <f>IF($E255="","",INDEX('Input Transaksi'!$D:$D,$E255))</f>
        <v/>
      </c>
      <c r="C255">
        <f>IF($E255="","",INDEX('Input Transaksi'!$E:$E,$E255))</f>
        <v/>
      </c>
      <c r="D255" s="5">
        <f>IF($E255="","",INDEX('Input Transaksi'!$F:$F,$E255))</f>
        <v/>
      </c>
      <c r="E255">
        <f>IFERROR(AGGREGATE(15,6,ROW('Input Transaksi'!$B$5:$B$5000)/('Input Transaksi'!$B$5:$B$5000="JCL SIDAKARYA"),ROWS($E$5:E255)),"")</f>
        <v/>
      </c>
      <c r="F255" s="5" t="n"/>
    </row>
    <row r="256">
      <c r="A256" s="10">
        <f>IF($E256="","",INDEX('Input Transaksi'!$A:$A,$E256))</f>
        <v/>
      </c>
      <c r="B256" s="5">
        <f>IF($E256="","",INDEX('Input Transaksi'!$D:$D,$E256))</f>
        <v/>
      </c>
      <c r="C256">
        <f>IF($E256="","",INDEX('Input Transaksi'!$E:$E,$E256))</f>
        <v/>
      </c>
      <c r="D256" s="5">
        <f>IF($E256="","",INDEX('Input Transaksi'!$F:$F,$E256))</f>
        <v/>
      </c>
      <c r="E256">
        <f>IFERROR(AGGREGATE(15,6,ROW('Input Transaksi'!$B$5:$B$5000)/('Input Transaksi'!$B$5:$B$5000="JCL SIDAKARYA"),ROWS($E$5:E256)),"")</f>
        <v/>
      </c>
      <c r="F256" s="5" t="n"/>
    </row>
    <row r="257">
      <c r="A257" s="10">
        <f>IF($E257="","",INDEX('Input Transaksi'!$A:$A,$E257))</f>
        <v/>
      </c>
      <c r="B257" s="5">
        <f>IF($E257="","",INDEX('Input Transaksi'!$D:$D,$E257))</f>
        <v/>
      </c>
      <c r="C257">
        <f>IF($E257="","",INDEX('Input Transaksi'!$E:$E,$E257))</f>
        <v/>
      </c>
      <c r="D257" s="5">
        <f>IF($E257="","",INDEX('Input Transaksi'!$F:$F,$E257))</f>
        <v/>
      </c>
      <c r="E257">
        <f>IFERROR(AGGREGATE(15,6,ROW('Input Transaksi'!$B$5:$B$5000)/('Input Transaksi'!$B$5:$B$5000="JCL SIDAKARYA"),ROWS($E$5:E257)),"")</f>
        <v/>
      </c>
      <c r="F257" s="5" t="n"/>
    </row>
    <row r="258">
      <c r="A258" s="10">
        <f>IF($E258="","",INDEX('Input Transaksi'!$A:$A,$E258))</f>
        <v/>
      </c>
      <c r="B258" s="5">
        <f>IF($E258="","",INDEX('Input Transaksi'!$D:$D,$E258))</f>
        <v/>
      </c>
      <c r="C258">
        <f>IF($E258="","",INDEX('Input Transaksi'!$E:$E,$E258))</f>
        <v/>
      </c>
      <c r="D258" s="5">
        <f>IF($E258="","",INDEX('Input Transaksi'!$F:$F,$E258))</f>
        <v/>
      </c>
      <c r="E258">
        <f>IFERROR(AGGREGATE(15,6,ROW('Input Transaksi'!$B$5:$B$5000)/('Input Transaksi'!$B$5:$B$5000="JCL SIDAKARYA"),ROWS($E$5:E258)),"")</f>
        <v/>
      </c>
      <c r="F258" s="5" t="n"/>
    </row>
    <row r="259">
      <c r="A259" s="10">
        <f>IF($E259="","",INDEX('Input Transaksi'!$A:$A,$E259))</f>
        <v/>
      </c>
      <c r="B259" s="5">
        <f>IF($E259="","",INDEX('Input Transaksi'!$D:$D,$E259))</f>
        <v/>
      </c>
      <c r="C259">
        <f>IF($E259="","",INDEX('Input Transaksi'!$E:$E,$E259))</f>
        <v/>
      </c>
      <c r="D259" s="5">
        <f>IF($E259="","",INDEX('Input Transaksi'!$F:$F,$E259))</f>
        <v/>
      </c>
      <c r="E259">
        <f>IFERROR(AGGREGATE(15,6,ROW('Input Transaksi'!$B$5:$B$5000)/('Input Transaksi'!$B$5:$B$5000="JCL SIDAKARYA"),ROWS($E$5:E259)),"")</f>
        <v/>
      </c>
      <c r="F259" s="5" t="n"/>
    </row>
    <row r="260">
      <c r="A260" s="10">
        <f>IF($E260="","",INDEX('Input Transaksi'!$A:$A,$E260))</f>
        <v/>
      </c>
      <c r="B260" s="5">
        <f>IF($E260="","",INDEX('Input Transaksi'!$D:$D,$E260))</f>
        <v/>
      </c>
      <c r="C260">
        <f>IF($E260="","",INDEX('Input Transaksi'!$E:$E,$E260))</f>
        <v/>
      </c>
      <c r="D260" s="5">
        <f>IF($E260="","",INDEX('Input Transaksi'!$F:$F,$E260))</f>
        <v/>
      </c>
      <c r="E260">
        <f>IFERROR(AGGREGATE(15,6,ROW('Input Transaksi'!$B$5:$B$5000)/('Input Transaksi'!$B$5:$B$5000="JCL SIDAKARYA"),ROWS($E$5:E260)),"")</f>
        <v/>
      </c>
      <c r="F260" s="5" t="n"/>
    </row>
    <row r="261">
      <c r="A261" s="10">
        <f>IF($E261="","",INDEX('Input Transaksi'!$A:$A,$E261))</f>
        <v/>
      </c>
      <c r="B261" s="5">
        <f>IF($E261="","",INDEX('Input Transaksi'!$D:$D,$E261))</f>
        <v/>
      </c>
      <c r="C261">
        <f>IF($E261="","",INDEX('Input Transaksi'!$E:$E,$E261))</f>
        <v/>
      </c>
      <c r="D261" s="5">
        <f>IF($E261="","",INDEX('Input Transaksi'!$F:$F,$E261))</f>
        <v/>
      </c>
      <c r="E261">
        <f>IFERROR(AGGREGATE(15,6,ROW('Input Transaksi'!$B$5:$B$5000)/('Input Transaksi'!$B$5:$B$5000="JCL SIDAKARYA"),ROWS($E$5:E261)),"")</f>
        <v/>
      </c>
      <c r="F261" s="5" t="n"/>
    </row>
    <row r="262">
      <c r="A262" s="10">
        <f>IF($E262="","",INDEX('Input Transaksi'!$A:$A,$E262))</f>
        <v/>
      </c>
      <c r="B262" s="5">
        <f>IF($E262="","",INDEX('Input Transaksi'!$D:$D,$E262))</f>
        <v/>
      </c>
      <c r="C262">
        <f>IF($E262="","",INDEX('Input Transaksi'!$E:$E,$E262))</f>
        <v/>
      </c>
      <c r="D262" s="5">
        <f>IF($E262="","",INDEX('Input Transaksi'!$F:$F,$E262))</f>
        <v/>
      </c>
      <c r="E262">
        <f>IFERROR(AGGREGATE(15,6,ROW('Input Transaksi'!$B$5:$B$5000)/('Input Transaksi'!$B$5:$B$5000="JCL SIDAKARYA"),ROWS($E$5:E262)),"")</f>
        <v/>
      </c>
      <c r="F262" s="5" t="n"/>
    </row>
    <row r="263">
      <c r="A263" s="10">
        <f>IF($E263="","",INDEX('Input Transaksi'!$A:$A,$E263))</f>
        <v/>
      </c>
      <c r="B263" s="5">
        <f>IF($E263="","",INDEX('Input Transaksi'!$D:$D,$E263))</f>
        <v/>
      </c>
      <c r="C263">
        <f>IF($E263="","",INDEX('Input Transaksi'!$E:$E,$E263))</f>
        <v/>
      </c>
      <c r="D263" s="5">
        <f>IF($E263="","",INDEX('Input Transaksi'!$F:$F,$E263))</f>
        <v/>
      </c>
      <c r="E263">
        <f>IFERROR(AGGREGATE(15,6,ROW('Input Transaksi'!$B$5:$B$5000)/('Input Transaksi'!$B$5:$B$5000="JCL SIDAKARYA"),ROWS($E$5:E263)),"")</f>
        <v/>
      </c>
      <c r="F263" s="5" t="n"/>
    </row>
    <row r="264">
      <c r="A264" s="10">
        <f>IF($E264="","",INDEX('Input Transaksi'!$A:$A,$E264))</f>
        <v/>
      </c>
      <c r="B264" s="5">
        <f>IF($E264="","",INDEX('Input Transaksi'!$D:$D,$E264))</f>
        <v/>
      </c>
      <c r="C264">
        <f>IF($E264="","",INDEX('Input Transaksi'!$E:$E,$E264))</f>
        <v/>
      </c>
      <c r="D264" s="5">
        <f>IF($E264="","",INDEX('Input Transaksi'!$F:$F,$E264))</f>
        <v/>
      </c>
      <c r="E264">
        <f>IFERROR(AGGREGATE(15,6,ROW('Input Transaksi'!$B$5:$B$5000)/('Input Transaksi'!$B$5:$B$5000="JCL SIDAKARYA"),ROWS($E$5:E264)),"")</f>
        <v/>
      </c>
      <c r="F264" s="5" t="n"/>
    </row>
    <row r="265">
      <c r="A265" s="10">
        <f>IF($E265="","",INDEX('Input Transaksi'!$A:$A,$E265))</f>
        <v/>
      </c>
      <c r="B265" s="5">
        <f>IF($E265="","",INDEX('Input Transaksi'!$D:$D,$E265))</f>
        <v/>
      </c>
      <c r="C265">
        <f>IF($E265="","",INDEX('Input Transaksi'!$E:$E,$E265))</f>
        <v/>
      </c>
      <c r="D265" s="5">
        <f>IF($E265="","",INDEX('Input Transaksi'!$F:$F,$E265))</f>
        <v/>
      </c>
      <c r="E265">
        <f>IFERROR(AGGREGATE(15,6,ROW('Input Transaksi'!$B$5:$B$5000)/('Input Transaksi'!$B$5:$B$5000="JCL SIDAKARYA"),ROWS($E$5:E265)),"")</f>
        <v/>
      </c>
      <c r="F265" s="5" t="n"/>
    </row>
    <row r="266">
      <c r="A266" s="10">
        <f>IF($E266="","",INDEX('Input Transaksi'!$A:$A,$E266))</f>
        <v/>
      </c>
      <c r="B266" s="5">
        <f>IF($E266="","",INDEX('Input Transaksi'!$D:$D,$E266))</f>
        <v/>
      </c>
      <c r="C266">
        <f>IF($E266="","",INDEX('Input Transaksi'!$E:$E,$E266))</f>
        <v/>
      </c>
      <c r="D266" s="5">
        <f>IF($E266="","",INDEX('Input Transaksi'!$F:$F,$E266))</f>
        <v/>
      </c>
      <c r="E266">
        <f>IFERROR(AGGREGATE(15,6,ROW('Input Transaksi'!$B$5:$B$5000)/('Input Transaksi'!$B$5:$B$5000="JCL SIDAKARYA"),ROWS($E$5:E266)),"")</f>
        <v/>
      </c>
      <c r="F266" s="5" t="n"/>
    </row>
    <row r="267">
      <c r="A267" s="10">
        <f>IF($E267="","",INDEX('Input Transaksi'!$A:$A,$E267))</f>
        <v/>
      </c>
      <c r="B267" s="5">
        <f>IF($E267="","",INDEX('Input Transaksi'!$D:$D,$E267))</f>
        <v/>
      </c>
      <c r="C267">
        <f>IF($E267="","",INDEX('Input Transaksi'!$E:$E,$E267))</f>
        <v/>
      </c>
      <c r="D267" s="5">
        <f>IF($E267="","",INDEX('Input Transaksi'!$F:$F,$E267))</f>
        <v/>
      </c>
      <c r="E267">
        <f>IFERROR(AGGREGATE(15,6,ROW('Input Transaksi'!$B$5:$B$5000)/('Input Transaksi'!$B$5:$B$5000="JCL SIDAKARYA"),ROWS($E$5:E267)),"")</f>
        <v/>
      </c>
      <c r="F267" s="5" t="n"/>
    </row>
    <row r="268">
      <c r="A268" s="10">
        <f>IF($E268="","",INDEX('Input Transaksi'!$A:$A,$E268))</f>
        <v/>
      </c>
      <c r="B268" s="5">
        <f>IF($E268="","",INDEX('Input Transaksi'!$D:$D,$E268))</f>
        <v/>
      </c>
      <c r="C268">
        <f>IF($E268="","",INDEX('Input Transaksi'!$E:$E,$E268))</f>
        <v/>
      </c>
      <c r="D268" s="5">
        <f>IF($E268="","",INDEX('Input Transaksi'!$F:$F,$E268))</f>
        <v/>
      </c>
      <c r="E268">
        <f>IFERROR(AGGREGATE(15,6,ROW('Input Transaksi'!$B$5:$B$5000)/('Input Transaksi'!$B$5:$B$5000="JCL SIDAKARYA"),ROWS($E$5:E268)),"")</f>
        <v/>
      </c>
      <c r="F268" s="5" t="n"/>
    </row>
    <row r="269">
      <c r="A269" s="10">
        <f>IF($E269="","",INDEX('Input Transaksi'!$A:$A,$E269))</f>
        <v/>
      </c>
      <c r="B269" s="5">
        <f>IF($E269="","",INDEX('Input Transaksi'!$D:$D,$E269))</f>
        <v/>
      </c>
      <c r="C269">
        <f>IF($E269="","",INDEX('Input Transaksi'!$E:$E,$E269))</f>
        <v/>
      </c>
      <c r="D269" s="5">
        <f>IF($E269="","",INDEX('Input Transaksi'!$F:$F,$E269))</f>
        <v/>
      </c>
      <c r="E269">
        <f>IFERROR(AGGREGATE(15,6,ROW('Input Transaksi'!$B$5:$B$5000)/('Input Transaksi'!$B$5:$B$5000="JCL SIDAKARYA"),ROWS($E$5:E269)),"")</f>
        <v/>
      </c>
      <c r="F269" s="5" t="n"/>
    </row>
    <row r="270">
      <c r="A270" s="10">
        <f>IF($E270="","",INDEX('Input Transaksi'!$A:$A,$E270))</f>
        <v/>
      </c>
      <c r="B270" s="5">
        <f>IF($E270="","",INDEX('Input Transaksi'!$D:$D,$E270))</f>
        <v/>
      </c>
      <c r="C270">
        <f>IF($E270="","",INDEX('Input Transaksi'!$E:$E,$E270))</f>
        <v/>
      </c>
      <c r="D270" s="5">
        <f>IF($E270="","",INDEX('Input Transaksi'!$F:$F,$E270))</f>
        <v/>
      </c>
      <c r="E270">
        <f>IFERROR(AGGREGATE(15,6,ROW('Input Transaksi'!$B$5:$B$5000)/('Input Transaksi'!$B$5:$B$5000="JCL SIDAKARYA"),ROWS($E$5:E270)),"")</f>
        <v/>
      </c>
      <c r="F270" s="5" t="n"/>
    </row>
    <row r="271">
      <c r="A271" s="10">
        <f>IF($E271="","",INDEX('Input Transaksi'!$A:$A,$E271))</f>
        <v/>
      </c>
      <c r="B271" s="5">
        <f>IF($E271="","",INDEX('Input Transaksi'!$D:$D,$E271))</f>
        <v/>
      </c>
      <c r="C271">
        <f>IF($E271="","",INDEX('Input Transaksi'!$E:$E,$E271))</f>
        <v/>
      </c>
      <c r="D271" s="5">
        <f>IF($E271="","",INDEX('Input Transaksi'!$F:$F,$E271))</f>
        <v/>
      </c>
      <c r="E271">
        <f>IFERROR(AGGREGATE(15,6,ROW('Input Transaksi'!$B$5:$B$5000)/('Input Transaksi'!$B$5:$B$5000="JCL SIDAKARYA"),ROWS($E$5:E271)),"")</f>
        <v/>
      </c>
      <c r="F271" s="5" t="n"/>
    </row>
    <row r="272">
      <c r="A272" s="10">
        <f>IF($E272="","",INDEX('Input Transaksi'!$A:$A,$E272))</f>
        <v/>
      </c>
      <c r="B272" s="5">
        <f>IF($E272="","",INDEX('Input Transaksi'!$D:$D,$E272))</f>
        <v/>
      </c>
      <c r="C272">
        <f>IF($E272="","",INDEX('Input Transaksi'!$E:$E,$E272))</f>
        <v/>
      </c>
      <c r="D272" s="5">
        <f>IF($E272="","",INDEX('Input Transaksi'!$F:$F,$E272))</f>
        <v/>
      </c>
      <c r="E272">
        <f>IFERROR(AGGREGATE(15,6,ROW('Input Transaksi'!$B$5:$B$5000)/('Input Transaksi'!$B$5:$B$5000="JCL SIDAKARYA"),ROWS($E$5:E272)),"")</f>
        <v/>
      </c>
      <c r="F272" s="5" t="n"/>
    </row>
    <row r="273">
      <c r="A273" s="10">
        <f>IF($E273="","",INDEX('Input Transaksi'!$A:$A,$E273))</f>
        <v/>
      </c>
      <c r="B273" s="5">
        <f>IF($E273="","",INDEX('Input Transaksi'!$D:$D,$E273))</f>
        <v/>
      </c>
      <c r="C273">
        <f>IF($E273="","",INDEX('Input Transaksi'!$E:$E,$E273))</f>
        <v/>
      </c>
      <c r="D273" s="5">
        <f>IF($E273="","",INDEX('Input Transaksi'!$F:$F,$E273))</f>
        <v/>
      </c>
      <c r="E273">
        <f>IFERROR(AGGREGATE(15,6,ROW('Input Transaksi'!$B$5:$B$5000)/('Input Transaksi'!$B$5:$B$5000="JCL SIDAKARYA"),ROWS($E$5:E273)),"")</f>
        <v/>
      </c>
      <c r="F273" s="5" t="n"/>
    </row>
    <row r="274">
      <c r="A274" s="10">
        <f>IF($E274="","",INDEX('Input Transaksi'!$A:$A,$E274))</f>
        <v/>
      </c>
      <c r="B274" s="5">
        <f>IF($E274="","",INDEX('Input Transaksi'!$D:$D,$E274))</f>
        <v/>
      </c>
      <c r="C274">
        <f>IF($E274="","",INDEX('Input Transaksi'!$E:$E,$E274))</f>
        <v/>
      </c>
      <c r="D274" s="5">
        <f>IF($E274="","",INDEX('Input Transaksi'!$F:$F,$E274))</f>
        <v/>
      </c>
      <c r="E274">
        <f>IFERROR(AGGREGATE(15,6,ROW('Input Transaksi'!$B$5:$B$5000)/('Input Transaksi'!$B$5:$B$5000="JCL SIDAKARYA"),ROWS($E$5:E274)),"")</f>
        <v/>
      </c>
      <c r="F274" s="5" t="n"/>
    </row>
    <row r="275">
      <c r="A275" s="10">
        <f>IF($E275="","",INDEX('Input Transaksi'!$A:$A,$E275))</f>
        <v/>
      </c>
      <c r="B275" s="5">
        <f>IF($E275="","",INDEX('Input Transaksi'!$D:$D,$E275))</f>
        <v/>
      </c>
      <c r="C275">
        <f>IF($E275="","",INDEX('Input Transaksi'!$E:$E,$E275))</f>
        <v/>
      </c>
      <c r="D275" s="5">
        <f>IF($E275="","",INDEX('Input Transaksi'!$F:$F,$E275))</f>
        <v/>
      </c>
      <c r="E275">
        <f>IFERROR(AGGREGATE(15,6,ROW('Input Transaksi'!$B$5:$B$5000)/('Input Transaksi'!$B$5:$B$5000="JCL SIDAKARYA"),ROWS($E$5:E275)),"")</f>
        <v/>
      </c>
      <c r="F275" s="5" t="n"/>
    </row>
    <row r="276">
      <c r="A276" s="10">
        <f>IF($E276="","",INDEX('Input Transaksi'!$A:$A,$E276))</f>
        <v/>
      </c>
      <c r="B276" s="5">
        <f>IF($E276="","",INDEX('Input Transaksi'!$D:$D,$E276))</f>
        <v/>
      </c>
      <c r="C276">
        <f>IF($E276="","",INDEX('Input Transaksi'!$E:$E,$E276))</f>
        <v/>
      </c>
      <c r="D276" s="5">
        <f>IF($E276="","",INDEX('Input Transaksi'!$F:$F,$E276))</f>
        <v/>
      </c>
      <c r="E276">
        <f>IFERROR(AGGREGATE(15,6,ROW('Input Transaksi'!$B$5:$B$5000)/('Input Transaksi'!$B$5:$B$5000="JCL SIDAKARYA"),ROWS($E$5:E276)),"")</f>
        <v/>
      </c>
      <c r="F276" s="5" t="n"/>
    </row>
    <row r="277">
      <c r="A277" s="10">
        <f>IF($E277="","",INDEX('Input Transaksi'!$A:$A,$E277))</f>
        <v/>
      </c>
      <c r="B277" s="5">
        <f>IF($E277="","",INDEX('Input Transaksi'!$D:$D,$E277))</f>
        <v/>
      </c>
      <c r="C277">
        <f>IF($E277="","",INDEX('Input Transaksi'!$E:$E,$E277))</f>
        <v/>
      </c>
      <c r="D277" s="5">
        <f>IF($E277="","",INDEX('Input Transaksi'!$F:$F,$E277))</f>
        <v/>
      </c>
      <c r="E277">
        <f>IFERROR(AGGREGATE(15,6,ROW('Input Transaksi'!$B$5:$B$5000)/('Input Transaksi'!$B$5:$B$5000="JCL SIDAKARYA"),ROWS($E$5:E277)),"")</f>
        <v/>
      </c>
      <c r="F277" s="5" t="n"/>
    </row>
    <row r="278">
      <c r="A278" s="10">
        <f>IF($E278="","",INDEX('Input Transaksi'!$A:$A,$E278))</f>
        <v/>
      </c>
      <c r="B278" s="5">
        <f>IF($E278="","",INDEX('Input Transaksi'!$D:$D,$E278))</f>
        <v/>
      </c>
      <c r="C278">
        <f>IF($E278="","",INDEX('Input Transaksi'!$E:$E,$E278))</f>
        <v/>
      </c>
      <c r="D278" s="5">
        <f>IF($E278="","",INDEX('Input Transaksi'!$F:$F,$E278))</f>
        <v/>
      </c>
      <c r="E278">
        <f>IFERROR(AGGREGATE(15,6,ROW('Input Transaksi'!$B$5:$B$5000)/('Input Transaksi'!$B$5:$B$5000="JCL SIDAKARYA"),ROWS($E$5:E278)),"")</f>
        <v/>
      </c>
      <c r="F278" s="5" t="n"/>
    </row>
    <row r="279">
      <c r="A279" s="10">
        <f>IF($E279="","",INDEX('Input Transaksi'!$A:$A,$E279))</f>
        <v/>
      </c>
      <c r="B279" s="5">
        <f>IF($E279="","",INDEX('Input Transaksi'!$D:$D,$E279))</f>
        <v/>
      </c>
      <c r="C279">
        <f>IF($E279="","",INDEX('Input Transaksi'!$E:$E,$E279))</f>
        <v/>
      </c>
      <c r="D279" s="5">
        <f>IF($E279="","",INDEX('Input Transaksi'!$F:$F,$E279))</f>
        <v/>
      </c>
      <c r="E279">
        <f>IFERROR(AGGREGATE(15,6,ROW('Input Transaksi'!$B$5:$B$5000)/('Input Transaksi'!$B$5:$B$5000="JCL SIDAKARYA"),ROWS($E$5:E279)),"")</f>
        <v/>
      </c>
      <c r="F279" s="5" t="n"/>
    </row>
    <row r="280">
      <c r="A280" s="10">
        <f>IF($E280="","",INDEX('Input Transaksi'!$A:$A,$E280))</f>
        <v/>
      </c>
      <c r="B280" s="5">
        <f>IF($E280="","",INDEX('Input Transaksi'!$D:$D,$E280))</f>
        <v/>
      </c>
      <c r="C280">
        <f>IF($E280="","",INDEX('Input Transaksi'!$E:$E,$E280))</f>
        <v/>
      </c>
      <c r="D280" s="5">
        <f>IF($E280="","",INDEX('Input Transaksi'!$F:$F,$E280))</f>
        <v/>
      </c>
      <c r="E280">
        <f>IFERROR(AGGREGATE(15,6,ROW('Input Transaksi'!$B$5:$B$5000)/('Input Transaksi'!$B$5:$B$5000="JCL SIDAKARYA"),ROWS($E$5:E280)),"")</f>
        <v/>
      </c>
      <c r="F280" s="5" t="n"/>
    </row>
    <row r="281">
      <c r="A281" s="10">
        <f>IF($E281="","",INDEX('Input Transaksi'!$A:$A,$E281))</f>
        <v/>
      </c>
      <c r="B281" s="5">
        <f>IF($E281="","",INDEX('Input Transaksi'!$D:$D,$E281))</f>
        <v/>
      </c>
      <c r="C281">
        <f>IF($E281="","",INDEX('Input Transaksi'!$E:$E,$E281))</f>
        <v/>
      </c>
      <c r="D281" s="5">
        <f>IF($E281="","",INDEX('Input Transaksi'!$F:$F,$E281))</f>
        <v/>
      </c>
      <c r="E281">
        <f>IFERROR(AGGREGATE(15,6,ROW('Input Transaksi'!$B$5:$B$5000)/('Input Transaksi'!$B$5:$B$5000="JCL SIDAKARYA"),ROWS($E$5:E281)),"")</f>
        <v/>
      </c>
      <c r="F281" s="5" t="n"/>
    </row>
    <row r="282">
      <c r="A282" s="10">
        <f>IF($E282="","",INDEX('Input Transaksi'!$A:$A,$E282))</f>
        <v/>
      </c>
      <c r="B282" s="5">
        <f>IF($E282="","",INDEX('Input Transaksi'!$D:$D,$E282))</f>
        <v/>
      </c>
      <c r="C282">
        <f>IF($E282="","",INDEX('Input Transaksi'!$E:$E,$E282))</f>
        <v/>
      </c>
      <c r="D282" s="5">
        <f>IF($E282="","",INDEX('Input Transaksi'!$F:$F,$E282))</f>
        <v/>
      </c>
      <c r="E282">
        <f>IFERROR(AGGREGATE(15,6,ROW('Input Transaksi'!$B$5:$B$5000)/('Input Transaksi'!$B$5:$B$5000="JCL SIDAKARYA"),ROWS($E$5:E282)),"")</f>
        <v/>
      </c>
      <c r="F282" s="5" t="n"/>
    </row>
    <row r="283">
      <c r="A283" s="10">
        <f>IF($E283="","",INDEX('Input Transaksi'!$A:$A,$E283))</f>
        <v/>
      </c>
      <c r="B283" s="5">
        <f>IF($E283="","",INDEX('Input Transaksi'!$D:$D,$E283))</f>
        <v/>
      </c>
      <c r="C283">
        <f>IF($E283="","",INDEX('Input Transaksi'!$E:$E,$E283))</f>
        <v/>
      </c>
      <c r="D283" s="5">
        <f>IF($E283="","",INDEX('Input Transaksi'!$F:$F,$E283))</f>
        <v/>
      </c>
      <c r="E283">
        <f>IFERROR(AGGREGATE(15,6,ROW('Input Transaksi'!$B$5:$B$5000)/('Input Transaksi'!$B$5:$B$5000="JCL SIDAKARYA"),ROWS($E$5:E283)),"")</f>
        <v/>
      </c>
      <c r="F283" s="5" t="n"/>
    </row>
    <row r="284">
      <c r="A284" s="10">
        <f>IF($E284="","",INDEX('Input Transaksi'!$A:$A,$E284))</f>
        <v/>
      </c>
      <c r="B284" s="5">
        <f>IF($E284="","",INDEX('Input Transaksi'!$D:$D,$E284))</f>
        <v/>
      </c>
      <c r="C284">
        <f>IF($E284="","",INDEX('Input Transaksi'!$E:$E,$E284))</f>
        <v/>
      </c>
      <c r="D284" s="5">
        <f>IF($E284="","",INDEX('Input Transaksi'!$F:$F,$E284))</f>
        <v/>
      </c>
      <c r="E284">
        <f>IFERROR(AGGREGATE(15,6,ROW('Input Transaksi'!$B$5:$B$5000)/('Input Transaksi'!$B$5:$B$5000="JCL SIDAKARYA"),ROWS($E$5:E284)),"")</f>
        <v/>
      </c>
      <c r="F284" s="5" t="n"/>
    </row>
    <row r="285">
      <c r="A285" s="10">
        <f>IF($E285="","",INDEX('Input Transaksi'!$A:$A,$E285))</f>
        <v/>
      </c>
      <c r="B285" s="5">
        <f>IF($E285="","",INDEX('Input Transaksi'!$D:$D,$E285))</f>
        <v/>
      </c>
      <c r="C285">
        <f>IF($E285="","",INDEX('Input Transaksi'!$E:$E,$E285))</f>
        <v/>
      </c>
      <c r="D285" s="5">
        <f>IF($E285="","",INDEX('Input Transaksi'!$F:$F,$E285))</f>
        <v/>
      </c>
      <c r="E285">
        <f>IFERROR(AGGREGATE(15,6,ROW('Input Transaksi'!$B$5:$B$5000)/('Input Transaksi'!$B$5:$B$5000="JCL SIDAKARYA"),ROWS($E$5:E285)),"")</f>
        <v/>
      </c>
      <c r="F285" s="5" t="n"/>
    </row>
    <row r="286">
      <c r="A286" s="10">
        <f>IF($E286="","",INDEX('Input Transaksi'!$A:$A,$E286))</f>
        <v/>
      </c>
      <c r="B286" s="5">
        <f>IF($E286="","",INDEX('Input Transaksi'!$D:$D,$E286))</f>
        <v/>
      </c>
      <c r="C286">
        <f>IF($E286="","",INDEX('Input Transaksi'!$E:$E,$E286))</f>
        <v/>
      </c>
      <c r="D286" s="5">
        <f>IF($E286="","",INDEX('Input Transaksi'!$F:$F,$E286))</f>
        <v/>
      </c>
      <c r="E286">
        <f>IFERROR(AGGREGATE(15,6,ROW('Input Transaksi'!$B$5:$B$5000)/('Input Transaksi'!$B$5:$B$5000="JCL SIDAKARYA"),ROWS($E$5:E286)),"")</f>
        <v/>
      </c>
      <c r="F286" s="5" t="n"/>
    </row>
    <row r="287">
      <c r="A287" s="10">
        <f>IF($E287="","",INDEX('Input Transaksi'!$A:$A,$E287))</f>
        <v/>
      </c>
      <c r="B287" s="5">
        <f>IF($E287="","",INDEX('Input Transaksi'!$D:$D,$E287))</f>
        <v/>
      </c>
      <c r="C287">
        <f>IF($E287="","",INDEX('Input Transaksi'!$E:$E,$E287))</f>
        <v/>
      </c>
      <c r="D287" s="5">
        <f>IF($E287="","",INDEX('Input Transaksi'!$F:$F,$E287))</f>
        <v/>
      </c>
      <c r="E287">
        <f>IFERROR(AGGREGATE(15,6,ROW('Input Transaksi'!$B$5:$B$5000)/('Input Transaksi'!$B$5:$B$5000="JCL SIDAKARYA"),ROWS($E$5:E287)),"")</f>
        <v/>
      </c>
      <c r="F287" s="5" t="n"/>
    </row>
    <row r="288">
      <c r="A288" s="10">
        <f>IF($E288="","",INDEX('Input Transaksi'!$A:$A,$E288))</f>
        <v/>
      </c>
      <c r="B288" s="5">
        <f>IF($E288="","",INDEX('Input Transaksi'!$D:$D,$E288))</f>
        <v/>
      </c>
      <c r="C288">
        <f>IF($E288="","",INDEX('Input Transaksi'!$E:$E,$E288))</f>
        <v/>
      </c>
      <c r="D288" s="5">
        <f>IF($E288="","",INDEX('Input Transaksi'!$F:$F,$E288))</f>
        <v/>
      </c>
      <c r="E288">
        <f>IFERROR(AGGREGATE(15,6,ROW('Input Transaksi'!$B$5:$B$5000)/('Input Transaksi'!$B$5:$B$5000="JCL SIDAKARYA"),ROWS($E$5:E288)),"")</f>
        <v/>
      </c>
      <c r="F288" s="5" t="n"/>
    </row>
    <row r="289">
      <c r="A289" s="10">
        <f>IF($E289="","",INDEX('Input Transaksi'!$A:$A,$E289))</f>
        <v/>
      </c>
      <c r="B289" s="5">
        <f>IF($E289="","",INDEX('Input Transaksi'!$D:$D,$E289))</f>
        <v/>
      </c>
      <c r="C289">
        <f>IF($E289="","",INDEX('Input Transaksi'!$E:$E,$E289))</f>
        <v/>
      </c>
      <c r="D289" s="5">
        <f>IF($E289="","",INDEX('Input Transaksi'!$F:$F,$E289))</f>
        <v/>
      </c>
      <c r="E289">
        <f>IFERROR(AGGREGATE(15,6,ROW('Input Transaksi'!$B$5:$B$5000)/('Input Transaksi'!$B$5:$B$5000="JCL SIDAKARYA"),ROWS($E$5:E289)),"")</f>
        <v/>
      </c>
      <c r="F289" s="5" t="n"/>
    </row>
    <row r="290">
      <c r="A290" s="10">
        <f>IF($E290="","",INDEX('Input Transaksi'!$A:$A,$E290))</f>
        <v/>
      </c>
      <c r="B290" s="5">
        <f>IF($E290="","",INDEX('Input Transaksi'!$D:$D,$E290))</f>
        <v/>
      </c>
      <c r="C290">
        <f>IF($E290="","",INDEX('Input Transaksi'!$E:$E,$E290))</f>
        <v/>
      </c>
      <c r="D290" s="5">
        <f>IF($E290="","",INDEX('Input Transaksi'!$F:$F,$E290))</f>
        <v/>
      </c>
      <c r="E290">
        <f>IFERROR(AGGREGATE(15,6,ROW('Input Transaksi'!$B$5:$B$5000)/('Input Transaksi'!$B$5:$B$5000="JCL SIDAKARYA"),ROWS($E$5:E290)),"")</f>
        <v/>
      </c>
      <c r="F290" s="5" t="n"/>
    </row>
    <row r="291">
      <c r="A291" s="10">
        <f>IF($E291="","",INDEX('Input Transaksi'!$A:$A,$E291))</f>
        <v/>
      </c>
      <c r="B291" s="5">
        <f>IF($E291="","",INDEX('Input Transaksi'!$D:$D,$E291))</f>
        <v/>
      </c>
      <c r="C291">
        <f>IF($E291="","",INDEX('Input Transaksi'!$E:$E,$E291))</f>
        <v/>
      </c>
      <c r="D291" s="5">
        <f>IF($E291="","",INDEX('Input Transaksi'!$F:$F,$E291))</f>
        <v/>
      </c>
      <c r="E291">
        <f>IFERROR(AGGREGATE(15,6,ROW('Input Transaksi'!$B$5:$B$5000)/('Input Transaksi'!$B$5:$B$5000="JCL SIDAKARYA"),ROWS($E$5:E291)),"")</f>
        <v/>
      </c>
      <c r="F291" s="5" t="n"/>
    </row>
    <row r="292">
      <c r="A292" s="10">
        <f>IF($E292="","",INDEX('Input Transaksi'!$A:$A,$E292))</f>
        <v/>
      </c>
      <c r="B292" s="5">
        <f>IF($E292="","",INDEX('Input Transaksi'!$D:$D,$E292))</f>
        <v/>
      </c>
      <c r="C292">
        <f>IF($E292="","",INDEX('Input Transaksi'!$E:$E,$E292))</f>
        <v/>
      </c>
      <c r="D292" s="5">
        <f>IF($E292="","",INDEX('Input Transaksi'!$F:$F,$E292))</f>
        <v/>
      </c>
      <c r="E292">
        <f>IFERROR(AGGREGATE(15,6,ROW('Input Transaksi'!$B$5:$B$5000)/('Input Transaksi'!$B$5:$B$5000="JCL SIDAKARYA"),ROWS($E$5:E292)),"")</f>
        <v/>
      </c>
      <c r="F292" s="5" t="n"/>
    </row>
    <row r="293">
      <c r="A293" s="10">
        <f>IF($E293="","",INDEX('Input Transaksi'!$A:$A,$E293))</f>
        <v/>
      </c>
      <c r="B293" s="5">
        <f>IF($E293="","",INDEX('Input Transaksi'!$D:$D,$E293))</f>
        <v/>
      </c>
      <c r="C293">
        <f>IF($E293="","",INDEX('Input Transaksi'!$E:$E,$E293))</f>
        <v/>
      </c>
      <c r="D293" s="5">
        <f>IF($E293="","",INDEX('Input Transaksi'!$F:$F,$E293))</f>
        <v/>
      </c>
      <c r="E293">
        <f>IFERROR(AGGREGATE(15,6,ROW('Input Transaksi'!$B$5:$B$5000)/('Input Transaksi'!$B$5:$B$5000="JCL SIDAKARYA"),ROWS($E$5:E293)),"")</f>
        <v/>
      </c>
      <c r="F293" s="5" t="n"/>
    </row>
    <row r="294">
      <c r="A294" s="10">
        <f>IF($E294="","",INDEX('Input Transaksi'!$A:$A,$E294))</f>
        <v/>
      </c>
      <c r="B294" s="5">
        <f>IF($E294="","",INDEX('Input Transaksi'!$D:$D,$E294))</f>
        <v/>
      </c>
      <c r="C294">
        <f>IF($E294="","",INDEX('Input Transaksi'!$E:$E,$E294))</f>
        <v/>
      </c>
      <c r="D294" s="5">
        <f>IF($E294="","",INDEX('Input Transaksi'!$F:$F,$E294))</f>
        <v/>
      </c>
      <c r="E294">
        <f>IFERROR(AGGREGATE(15,6,ROW('Input Transaksi'!$B$5:$B$5000)/('Input Transaksi'!$B$5:$B$5000="JCL SIDAKARYA"),ROWS($E$5:E294)),"")</f>
        <v/>
      </c>
      <c r="F294" s="5" t="n"/>
    </row>
    <row r="295">
      <c r="A295" s="10">
        <f>IF($E295="","",INDEX('Input Transaksi'!$A:$A,$E295))</f>
        <v/>
      </c>
      <c r="B295" s="5">
        <f>IF($E295="","",INDEX('Input Transaksi'!$D:$D,$E295))</f>
        <v/>
      </c>
      <c r="C295">
        <f>IF($E295="","",INDEX('Input Transaksi'!$E:$E,$E295))</f>
        <v/>
      </c>
      <c r="D295" s="5">
        <f>IF($E295="","",INDEX('Input Transaksi'!$F:$F,$E295))</f>
        <v/>
      </c>
      <c r="E295">
        <f>IFERROR(AGGREGATE(15,6,ROW('Input Transaksi'!$B$5:$B$5000)/('Input Transaksi'!$B$5:$B$5000="JCL SIDAKARYA"),ROWS($E$5:E295)),"")</f>
        <v/>
      </c>
      <c r="F295" s="5" t="n"/>
    </row>
    <row r="296">
      <c r="A296" s="10">
        <f>IF($E296="","",INDEX('Input Transaksi'!$A:$A,$E296))</f>
        <v/>
      </c>
      <c r="B296" s="5">
        <f>IF($E296="","",INDEX('Input Transaksi'!$D:$D,$E296))</f>
        <v/>
      </c>
      <c r="C296">
        <f>IF($E296="","",INDEX('Input Transaksi'!$E:$E,$E296))</f>
        <v/>
      </c>
      <c r="D296" s="5">
        <f>IF($E296="","",INDEX('Input Transaksi'!$F:$F,$E296))</f>
        <v/>
      </c>
      <c r="E296">
        <f>IFERROR(AGGREGATE(15,6,ROW('Input Transaksi'!$B$5:$B$5000)/('Input Transaksi'!$B$5:$B$5000="JCL SIDAKARYA"),ROWS($E$5:E296)),"")</f>
        <v/>
      </c>
      <c r="F296" s="5" t="n"/>
    </row>
    <row r="297">
      <c r="A297" s="10">
        <f>IF($E297="","",INDEX('Input Transaksi'!$A:$A,$E297))</f>
        <v/>
      </c>
      <c r="B297" s="5">
        <f>IF($E297="","",INDEX('Input Transaksi'!$D:$D,$E297))</f>
        <v/>
      </c>
      <c r="C297">
        <f>IF($E297="","",INDEX('Input Transaksi'!$E:$E,$E297))</f>
        <v/>
      </c>
      <c r="D297" s="5">
        <f>IF($E297="","",INDEX('Input Transaksi'!$F:$F,$E297))</f>
        <v/>
      </c>
      <c r="E297">
        <f>IFERROR(AGGREGATE(15,6,ROW('Input Transaksi'!$B$5:$B$5000)/('Input Transaksi'!$B$5:$B$5000="JCL SIDAKARYA"),ROWS($E$5:E297)),"")</f>
        <v/>
      </c>
      <c r="F297" s="5" t="n"/>
    </row>
    <row r="298">
      <c r="A298" s="10">
        <f>IF($E298="","",INDEX('Input Transaksi'!$A:$A,$E298))</f>
        <v/>
      </c>
      <c r="B298" s="5">
        <f>IF($E298="","",INDEX('Input Transaksi'!$D:$D,$E298))</f>
        <v/>
      </c>
      <c r="C298">
        <f>IF($E298="","",INDEX('Input Transaksi'!$E:$E,$E298))</f>
        <v/>
      </c>
      <c r="D298" s="5">
        <f>IF($E298="","",INDEX('Input Transaksi'!$F:$F,$E298))</f>
        <v/>
      </c>
      <c r="E298">
        <f>IFERROR(AGGREGATE(15,6,ROW('Input Transaksi'!$B$5:$B$5000)/('Input Transaksi'!$B$5:$B$5000="JCL SIDAKARYA"),ROWS($E$5:E298)),"")</f>
        <v/>
      </c>
      <c r="F298" s="5" t="n"/>
    </row>
    <row r="299">
      <c r="A299" s="10">
        <f>IF($E299="","",INDEX('Input Transaksi'!$A:$A,$E299))</f>
        <v/>
      </c>
      <c r="B299" s="5">
        <f>IF($E299="","",INDEX('Input Transaksi'!$D:$D,$E299))</f>
        <v/>
      </c>
      <c r="C299">
        <f>IF($E299="","",INDEX('Input Transaksi'!$E:$E,$E299))</f>
        <v/>
      </c>
      <c r="D299" s="5">
        <f>IF($E299="","",INDEX('Input Transaksi'!$F:$F,$E299))</f>
        <v/>
      </c>
      <c r="E299">
        <f>IFERROR(AGGREGATE(15,6,ROW('Input Transaksi'!$B$5:$B$5000)/('Input Transaksi'!$B$5:$B$5000="JCL SIDAKARYA"),ROWS($E$5:E299)),"")</f>
        <v/>
      </c>
      <c r="F299" s="5" t="n"/>
    </row>
    <row r="300">
      <c r="A300" s="10">
        <f>IF($E300="","",INDEX('Input Transaksi'!$A:$A,$E300))</f>
        <v/>
      </c>
      <c r="B300" s="5">
        <f>IF($E300="","",INDEX('Input Transaksi'!$D:$D,$E300))</f>
        <v/>
      </c>
      <c r="C300">
        <f>IF($E300="","",INDEX('Input Transaksi'!$E:$E,$E300))</f>
        <v/>
      </c>
      <c r="D300" s="5">
        <f>IF($E300="","",INDEX('Input Transaksi'!$F:$F,$E300))</f>
        <v/>
      </c>
      <c r="E300">
        <f>IFERROR(AGGREGATE(15,6,ROW('Input Transaksi'!$B$5:$B$5000)/('Input Transaksi'!$B$5:$B$5000="JCL SIDAKARYA"),ROWS($E$5:E300)),"")</f>
        <v/>
      </c>
      <c r="F300" s="5" t="n"/>
    </row>
    <row r="301">
      <c r="A301" s="10">
        <f>IF($E301="","",INDEX('Input Transaksi'!$A:$A,$E301))</f>
        <v/>
      </c>
      <c r="B301" s="5">
        <f>IF($E301="","",INDEX('Input Transaksi'!$D:$D,$E301))</f>
        <v/>
      </c>
      <c r="C301">
        <f>IF($E301="","",INDEX('Input Transaksi'!$E:$E,$E301))</f>
        <v/>
      </c>
      <c r="D301" s="5">
        <f>IF($E301="","",INDEX('Input Transaksi'!$F:$F,$E301))</f>
        <v/>
      </c>
      <c r="E301">
        <f>IFERROR(AGGREGATE(15,6,ROW('Input Transaksi'!$B$5:$B$5000)/('Input Transaksi'!$B$5:$B$5000="JCL SIDAKARYA"),ROWS($E$5:E301)),"")</f>
        <v/>
      </c>
      <c r="F301" s="5" t="n"/>
    </row>
    <row r="302">
      <c r="A302" s="10">
        <f>IF($E302="","",INDEX('Input Transaksi'!$A:$A,$E302))</f>
        <v/>
      </c>
      <c r="B302" s="5">
        <f>IF($E302="","",INDEX('Input Transaksi'!$D:$D,$E302))</f>
        <v/>
      </c>
      <c r="C302">
        <f>IF($E302="","",INDEX('Input Transaksi'!$E:$E,$E302))</f>
        <v/>
      </c>
      <c r="D302" s="5">
        <f>IF($E302="","",INDEX('Input Transaksi'!$F:$F,$E302))</f>
        <v/>
      </c>
      <c r="E302">
        <f>IFERROR(AGGREGATE(15,6,ROW('Input Transaksi'!$B$5:$B$5000)/('Input Transaksi'!$B$5:$B$5000="JCL SIDAKARYA"),ROWS($E$5:E302)),"")</f>
        <v/>
      </c>
      <c r="F302" s="5" t="n"/>
    </row>
    <row r="303">
      <c r="A303" s="10">
        <f>IF($E303="","",INDEX('Input Transaksi'!$A:$A,$E303))</f>
        <v/>
      </c>
      <c r="B303" s="5">
        <f>IF($E303="","",INDEX('Input Transaksi'!$D:$D,$E303))</f>
        <v/>
      </c>
      <c r="C303">
        <f>IF($E303="","",INDEX('Input Transaksi'!$E:$E,$E303))</f>
        <v/>
      </c>
      <c r="D303" s="5">
        <f>IF($E303="","",INDEX('Input Transaksi'!$F:$F,$E303))</f>
        <v/>
      </c>
      <c r="E303">
        <f>IFERROR(AGGREGATE(15,6,ROW('Input Transaksi'!$B$5:$B$5000)/('Input Transaksi'!$B$5:$B$5000="JCL SIDAKARYA"),ROWS($E$5:E303)),"")</f>
        <v/>
      </c>
      <c r="F303" s="5" t="n"/>
    </row>
    <row r="304">
      <c r="A304" s="10">
        <f>IF($E304="","",INDEX('Input Transaksi'!$A:$A,$E304))</f>
        <v/>
      </c>
      <c r="B304" s="5">
        <f>IF($E304="","",INDEX('Input Transaksi'!$D:$D,$E304))</f>
        <v/>
      </c>
      <c r="C304">
        <f>IF($E304="","",INDEX('Input Transaksi'!$E:$E,$E304))</f>
        <v/>
      </c>
      <c r="D304" s="5">
        <f>IF($E304="","",INDEX('Input Transaksi'!$F:$F,$E304))</f>
        <v/>
      </c>
      <c r="E304">
        <f>IFERROR(AGGREGATE(15,6,ROW('Input Transaksi'!$B$5:$B$5000)/('Input Transaksi'!$B$5:$B$5000="JCL SIDAKARYA"),ROWS($E$5:E304)),"")</f>
        <v/>
      </c>
      <c r="F304" s="5" t="n"/>
    </row>
    <row r="305">
      <c r="A305" s="10">
        <f>IF($E305="","",INDEX('Input Transaksi'!$A:$A,$E305))</f>
        <v/>
      </c>
      <c r="B305" s="5">
        <f>IF($E305="","",INDEX('Input Transaksi'!$D:$D,$E305))</f>
        <v/>
      </c>
      <c r="C305">
        <f>IF($E305="","",INDEX('Input Transaksi'!$E:$E,$E305))</f>
        <v/>
      </c>
      <c r="D305" s="5">
        <f>IF($E305="","",INDEX('Input Transaksi'!$F:$F,$E305))</f>
        <v/>
      </c>
      <c r="E305">
        <f>IFERROR(AGGREGATE(15,6,ROW('Input Transaksi'!$B$5:$B$5000)/('Input Transaksi'!$B$5:$B$5000="JCL SIDAKARYA"),ROWS($E$5:E305)),"")</f>
        <v/>
      </c>
      <c r="F305" s="5" t="n"/>
    </row>
    <row r="306">
      <c r="A306" s="10">
        <f>IF($E306="","",INDEX('Input Transaksi'!$A:$A,$E306))</f>
        <v/>
      </c>
      <c r="B306" s="5">
        <f>IF($E306="","",INDEX('Input Transaksi'!$D:$D,$E306))</f>
        <v/>
      </c>
      <c r="C306">
        <f>IF($E306="","",INDEX('Input Transaksi'!$E:$E,$E306))</f>
        <v/>
      </c>
      <c r="D306" s="5">
        <f>IF($E306="","",INDEX('Input Transaksi'!$F:$F,$E306))</f>
        <v/>
      </c>
      <c r="E306">
        <f>IFERROR(AGGREGATE(15,6,ROW('Input Transaksi'!$B$5:$B$5000)/('Input Transaksi'!$B$5:$B$5000="JCL SIDAKARYA"),ROWS($E$5:E306)),"")</f>
        <v/>
      </c>
      <c r="F306" s="5" t="n"/>
    </row>
    <row r="307">
      <c r="A307" s="10">
        <f>IF($E307="","",INDEX('Input Transaksi'!$A:$A,$E307))</f>
        <v/>
      </c>
      <c r="B307" s="5">
        <f>IF($E307="","",INDEX('Input Transaksi'!$D:$D,$E307))</f>
        <v/>
      </c>
      <c r="C307">
        <f>IF($E307="","",INDEX('Input Transaksi'!$E:$E,$E307))</f>
        <v/>
      </c>
      <c r="D307" s="5">
        <f>IF($E307="","",INDEX('Input Transaksi'!$F:$F,$E307))</f>
        <v/>
      </c>
      <c r="E307">
        <f>IFERROR(AGGREGATE(15,6,ROW('Input Transaksi'!$B$5:$B$5000)/('Input Transaksi'!$B$5:$B$5000="JCL SIDAKARYA"),ROWS($E$5:E307)),"")</f>
        <v/>
      </c>
      <c r="F307" s="5" t="n"/>
    </row>
    <row r="308">
      <c r="A308" s="10">
        <f>IF($E308="","",INDEX('Input Transaksi'!$A:$A,$E308))</f>
        <v/>
      </c>
      <c r="B308" s="5">
        <f>IF($E308="","",INDEX('Input Transaksi'!$D:$D,$E308))</f>
        <v/>
      </c>
      <c r="C308">
        <f>IF($E308="","",INDEX('Input Transaksi'!$E:$E,$E308))</f>
        <v/>
      </c>
      <c r="D308" s="5">
        <f>IF($E308="","",INDEX('Input Transaksi'!$F:$F,$E308))</f>
        <v/>
      </c>
      <c r="E308">
        <f>IFERROR(AGGREGATE(15,6,ROW('Input Transaksi'!$B$5:$B$5000)/('Input Transaksi'!$B$5:$B$5000="JCL SIDAKARYA"),ROWS($E$5:E308)),"")</f>
        <v/>
      </c>
      <c r="F308" s="5" t="n"/>
    </row>
    <row r="309">
      <c r="A309" s="10">
        <f>IF($E309="","",INDEX('Input Transaksi'!$A:$A,$E309))</f>
        <v/>
      </c>
      <c r="B309" s="5">
        <f>IF($E309="","",INDEX('Input Transaksi'!$D:$D,$E309))</f>
        <v/>
      </c>
      <c r="C309">
        <f>IF($E309="","",INDEX('Input Transaksi'!$E:$E,$E309))</f>
        <v/>
      </c>
      <c r="D309" s="5">
        <f>IF($E309="","",INDEX('Input Transaksi'!$F:$F,$E309))</f>
        <v/>
      </c>
      <c r="E309">
        <f>IFERROR(AGGREGATE(15,6,ROW('Input Transaksi'!$B$5:$B$5000)/('Input Transaksi'!$B$5:$B$5000="JCL SIDAKARYA"),ROWS($E$5:E309)),"")</f>
        <v/>
      </c>
      <c r="F309" s="5" t="n"/>
    </row>
    <row r="310">
      <c r="A310" s="10">
        <f>IF($E310="","",INDEX('Input Transaksi'!$A:$A,$E310))</f>
        <v/>
      </c>
      <c r="B310" s="5">
        <f>IF($E310="","",INDEX('Input Transaksi'!$D:$D,$E310))</f>
        <v/>
      </c>
      <c r="C310">
        <f>IF($E310="","",INDEX('Input Transaksi'!$E:$E,$E310))</f>
        <v/>
      </c>
      <c r="D310" s="5">
        <f>IF($E310="","",INDEX('Input Transaksi'!$F:$F,$E310))</f>
        <v/>
      </c>
      <c r="E310">
        <f>IFERROR(AGGREGATE(15,6,ROW('Input Transaksi'!$B$5:$B$5000)/('Input Transaksi'!$B$5:$B$5000="JCL SIDAKARYA"),ROWS($E$5:E310)),"")</f>
        <v/>
      </c>
      <c r="F310" s="5" t="n"/>
    </row>
    <row r="311">
      <c r="A311" s="10">
        <f>IF($E311="","",INDEX('Input Transaksi'!$A:$A,$E311))</f>
        <v/>
      </c>
      <c r="B311" s="5">
        <f>IF($E311="","",INDEX('Input Transaksi'!$D:$D,$E311))</f>
        <v/>
      </c>
      <c r="C311">
        <f>IF($E311="","",INDEX('Input Transaksi'!$E:$E,$E311))</f>
        <v/>
      </c>
      <c r="D311" s="5">
        <f>IF($E311="","",INDEX('Input Transaksi'!$F:$F,$E311))</f>
        <v/>
      </c>
      <c r="E311">
        <f>IFERROR(AGGREGATE(15,6,ROW('Input Transaksi'!$B$5:$B$5000)/('Input Transaksi'!$B$5:$B$5000="JCL SIDAKARYA"),ROWS($E$5:E311)),"")</f>
        <v/>
      </c>
      <c r="F311" s="5" t="n"/>
    </row>
    <row r="312">
      <c r="A312" s="10">
        <f>IF($E312="","",INDEX('Input Transaksi'!$A:$A,$E312))</f>
        <v/>
      </c>
      <c r="B312" s="5">
        <f>IF($E312="","",INDEX('Input Transaksi'!$D:$D,$E312))</f>
        <v/>
      </c>
      <c r="C312">
        <f>IF($E312="","",INDEX('Input Transaksi'!$E:$E,$E312))</f>
        <v/>
      </c>
      <c r="D312" s="5">
        <f>IF($E312="","",INDEX('Input Transaksi'!$F:$F,$E312))</f>
        <v/>
      </c>
      <c r="E312">
        <f>IFERROR(AGGREGATE(15,6,ROW('Input Transaksi'!$B$5:$B$5000)/('Input Transaksi'!$B$5:$B$5000="JCL SIDAKARYA"),ROWS($E$5:E312)),"")</f>
        <v/>
      </c>
      <c r="F312" s="5" t="n"/>
    </row>
    <row r="313">
      <c r="A313" s="10">
        <f>IF($E313="","",INDEX('Input Transaksi'!$A:$A,$E313))</f>
        <v/>
      </c>
      <c r="B313" s="5">
        <f>IF($E313="","",INDEX('Input Transaksi'!$D:$D,$E313))</f>
        <v/>
      </c>
      <c r="C313">
        <f>IF($E313="","",INDEX('Input Transaksi'!$E:$E,$E313))</f>
        <v/>
      </c>
      <c r="D313" s="5">
        <f>IF($E313="","",INDEX('Input Transaksi'!$F:$F,$E313))</f>
        <v/>
      </c>
      <c r="E313">
        <f>IFERROR(AGGREGATE(15,6,ROW('Input Transaksi'!$B$5:$B$5000)/('Input Transaksi'!$B$5:$B$5000="JCL SIDAKARYA"),ROWS($E$5:E313)),"")</f>
        <v/>
      </c>
      <c r="F313" s="5" t="n"/>
    </row>
    <row r="314">
      <c r="A314" s="10">
        <f>IF($E314="","",INDEX('Input Transaksi'!$A:$A,$E314))</f>
        <v/>
      </c>
      <c r="B314" s="5">
        <f>IF($E314="","",INDEX('Input Transaksi'!$D:$D,$E314))</f>
        <v/>
      </c>
      <c r="C314">
        <f>IF($E314="","",INDEX('Input Transaksi'!$E:$E,$E314))</f>
        <v/>
      </c>
      <c r="D314" s="5">
        <f>IF($E314="","",INDEX('Input Transaksi'!$F:$F,$E314))</f>
        <v/>
      </c>
      <c r="E314">
        <f>IFERROR(AGGREGATE(15,6,ROW('Input Transaksi'!$B$5:$B$5000)/('Input Transaksi'!$B$5:$B$5000="JCL SIDAKARYA"),ROWS($E$5:E314)),"")</f>
        <v/>
      </c>
      <c r="F314" s="5" t="n"/>
    </row>
    <row r="315">
      <c r="A315" s="10">
        <f>IF($E315="","",INDEX('Input Transaksi'!$A:$A,$E315))</f>
        <v/>
      </c>
      <c r="B315" s="5">
        <f>IF($E315="","",INDEX('Input Transaksi'!$D:$D,$E315))</f>
        <v/>
      </c>
      <c r="C315">
        <f>IF($E315="","",INDEX('Input Transaksi'!$E:$E,$E315))</f>
        <v/>
      </c>
      <c r="D315" s="5">
        <f>IF($E315="","",INDEX('Input Transaksi'!$F:$F,$E315))</f>
        <v/>
      </c>
      <c r="E315">
        <f>IFERROR(AGGREGATE(15,6,ROW('Input Transaksi'!$B$5:$B$5000)/('Input Transaksi'!$B$5:$B$5000="JCL SIDAKARYA"),ROWS($E$5:E315)),"")</f>
        <v/>
      </c>
      <c r="F315" s="5" t="n"/>
    </row>
    <row r="316">
      <c r="A316" s="10">
        <f>IF($E316="","",INDEX('Input Transaksi'!$A:$A,$E316))</f>
        <v/>
      </c>
      <c r="B316" s="5">
        <f>IF($E316="","",INDEX('Input Transaksi'!$D:$D,$E316))</f>
        <v/>
      </c>
      <c r="C316">
        <f>IF($E316="","",INDEX('Input Transaksi'!$E:$E,$E316))</f>
        <v/>
      </c>
      <c r="D316" s="5">
        <f>IF($E316="","",INDEX('Input Transaksi'!$F:$F,$E316))</f>
        <v/>
      </c>
      <c r="E316">
        <f>IFERROR(AGGREGATE(15,6,ROW('Input Transaksi'!$B$5:$B$5000)/('Input Transaksi'!$B$5:$B$5000="JCL SIDAKARYA"),ROWS($E$5:E316)),"")</f>
        <v/>
      </c>
      <c r="F316" s="5" t="n"/>
    </row>
    <row r="317">
      <c r="A317" s="10">
        <f>IF($E317="","",INDEX('Input Transaksi'!$A:$A,$E317))</f>
        <v/>
      </c>
      <c r="B317" s="5">
        <f>IF($E317="","",INDEX('Input Transaksi'!$D:$D,$E317))</f>
        <v/>
      </c>
      <c r="C317">
        <f>IF($E317="","",INDEX('Input Transaksi'!$E:$E,$E317))</f>
        <v/>
      </c>
      <c r="D317" s="5">
        <f>IF($E317="","",INDEX('Input Transaksi'!$F:$F,$E317))</f>
        <v/>
      </c>
      <c r="E317">
        <f>IFERROR(AGGREGATE(15,6,ROW('Input Transaksi'!$B$5:$B$5000)/('Input Transaksi'!$B$5:$B$5000="JCL SIDAKARYA"),ROWS($E$5:E317)),"")</f>
        <v/>
      </c>
      <c r="F317" s="5" t="n"/>
    </row>
    <row r="318">
      <c r="A318" s="10">
        <f>IF($E318="","",INDEX('Input Transaksi'!$A:$A,$E318))</f>
        <v/>
      </c>
      <c r="B318" s="5">
        <f>IF($E318="","",INDEX('Input Transaksi'!$D:$D,$E318))</f>
        <v/>
      </c>
      <c r="C318">
        <f>IF($E318="","",INDEX('Input Transaksi'!$E:$E,$E318))</f>
        <v/>
      </c>
      <c r="D318" s="5">
        <f>IF($E318="","",INDEX('Input Transaksi'!$F:$F,$E318))</f>
        <v/>
      </c>
      <c r="E318">
        <f>IFERROR(AGGREGATE(15,6,ROW('Input Transaksi'!$B$5:$B$5000)/('Input Transaksi'!$B$5:$B$5000="JCL SIDAKARYA"),ROWS($E$5:E318)),"")</f>
        <v/>
      </c>
      <c r="F318" s="5" t="n"/>
    </row>
    <row r="319">
      <c r="A319" s="10">
        <f>IF($E319="","",INDEX('Input Transaksi'!$A:$A,$E319))</f>
        <v/>
      </c>
      <c r="B319" s="5">
        <f>IF($E319="","",INDEX('Input Transaksi'!$D:$D,$E319))</f>
        <v/>
      </c>
      <c r="C319">
        <f>IF($E319="","",INDEX('Input Transaksi'!$E:$E,$E319))</f>
        <v/>
      </c>
      <c r="D319" s="5">
        <f>IF($E319="","",INDEX('Input Transaksi'!$F:$F,$E319))</f>
        <v/>
      </c>
      <c r="E319">
        <f>IFERROR(AGGREGATE(15,6,ROW('Input Transaksi'!$B$5:$B$5000)/('Input Transaksi'!$B$5:$B$5000="JCL SIDAKARYA"),ROWS($E$5:E319)),"")</f>
        <v/>
      </c>
      <c r="F319" s="5" t="n"/>
    </row>
    <row r="320">
      <c r="A320" s="10">
        <f>IF($E320="","",INDEX('Input Transaksi'!$A:$A,$E320))</f>
        <v/>
      </c>
      <c r="B320" s="5">
        <f>IF($E320="","",INDEX('Input Transaksi'!$D:$D,$E320))</f>
        <v/>
      </c>
      <c r="C320">
        <f>IF($E320="","",INDEX('Input Transaksi'!$E:$E,$E320))</f>
        <v/>
      </c>
      <c r="D320" s="5">
        <f>IF($E320="","",INDEX('Input Transaksi'!$F:$F,$E320))</f>
        <v/>
      </c>
      <c r="E320">
        <f>IFERROR(AGGREGATE(15,6,ROW('Input Transaksi'!$B$5:$B$5000)/('Input Transaksi'!$B$5:$B$5000="JCL SIDAKARYA"),ROWS($E$5:E320)),"")</f>
        <v/>
      </c>
      <c r="F320" s="5" t="n"/>
    </row>
    <row r="321">
      <c r="A321" s="10">
        <f>IF($E321="","",INDEX('Input Transaksi'!$A:$A,$E321))</f>
        <v/>
      </c>
      <c r="B321" s="5">
        <f>IF($E321="","",INDEX('Input Transaksi'!$D:$D,$E321))</f>
        <v/>
      </c>
      <c r="C321">
        <f>IF($E321="","",INDEX('Input Transaksi'!$E:$E,$E321))</f>
        <v/>
      </c>
      <c r="D321" s="5">
        <f>IF($E321="","",INDEX('Input Transaksi'!$F:$F,$E321))</f>
        <v/>
      </c>
      <c r="E321">
        <f>IFERROR(AGGREGATE(15,6,ROW('Input Transaksi'!$B$5:$B$5000)/('Input Transaksi'!$B$5:$B$5000="JCL SIDAKARYA"),ROWS($E$5:E321)),"")</f>
        <v/>
      </c>
      <c r="F321" s="5" t="n"/>
    </row>
    <row r="322">
      <c r="A322" s="10">
        <f>IF($E322="","",INDEX('Input Transaksi'!$A:$A,$E322))</f>
        <v/>
      </c>
      <c r="B322" s="5">
        <f>IF($E322="","",INDEX('Input Transaksi'!$D:$D,$E322))</f>
        <v/>
      </c>
      <c r="C322">
        <f>IF($E322="","",INDEX('Input Transaksi'!$E:$E,$E322))</f>
        <v/>
      </c>
      <c r="D322" s="5">
        <f>IF($E322="","",INDEX('Input Transaksi'!$F:$F,$E322))</f>
        <v/>
      </c>
      <c r="E322">
        <f>IFERROR(AGGREGATE(15,6,ROW('Input Transaksi'!$B$5:$B$5000)/('Input Transaksi'!$B$5:$B$5000="JCL SIDAKARYA"),ROWS($E$5:E322)),"")</f>
        <v/>
      </c>
      <c r="F322" s="5" t="n"/>
    </row>
    <row r="323">
      <c r="A323" s="10">
        <f>IF($E323="","",INDEX('Input Transaksi'!$A:$A,$E323))</f>
        <v/>
      </c>
      <c r="B323" s="5">
        <f>IF($E323="","",INDEX('Input Transaksi'!$D:$D,$E323))</f>
        <v/>
      </c>
      <c r="C323">
        <f>IF($E323="","",INDEX('Input Transaksi'!$E:$E,$E323))</f>
        <v/>
      </c>
      <c r="D323" s="5">
        <f>IF($E323="","",INDEX('Input Transaksi'!$F:$F,$E323))</f>
        <v/>
      </c>
      <c r="E323">
        <f>IFERROR(AGGREGATE(15,6,ROW('Input Transaksi'!$B$5:$B$5000)/('Input Transaksi'!$B$5:$B$5000="JCL SIDAKARYA"),ROWS($E$5:E323)),"")</f>
        <v/>
      </c>
      <c r="F323" s="5" t="n"/>
    </row>
    <row r="324">
      <c r="A324" s="10">
        <f>IF($E324="","",INDEX('Input Transaksi'!$A:$A,$E324))</f>
        <v/>
      </c>
      <c r="B324" s="5">
        <f>IF($E324="","",INDEX('Input Transaksi'!$D:$D,$E324))</f>
        <v/>
      </c>
      <c r="C324">
        <f>IF($E324="","",INDEX('Input Transaksi'!$E:$E,$E324))</f>
        <v/>
      </c>
      <c r="D324" s="5">
        <f>IF($E324="","",INDEX('Input Transaksi'!$F:$F,$E324))</f>
        <v/>
      </c>
      <c r="E324">
        <f>IFERROR(AGGREGATE(15,6,ROW('Input Transaksi'!$B$5:$B$5000)/('Input Transaksi'!$B$5:$B$5000="JCL SIDAKARYA"),ROWS($E$5:E324)),"")</f>
        <v/>
      </c>
      <c r="F324" s="5" t="n"/>
    </row>
    <row r="325">
      <c r="A325" s="10">
        <f>IF($E325="","",INDEX('Input Transaksi'!$A:$A,$E325))</f>
        <v/>
      </c>
      <c r="B325" s="5">
        <f>IF($E325="","",INDEX('Input Transaksi'!$D:$D,$E325))</f>
        <v/>
      </c>
      <c r="C325">
        <f>IF($E325="","",INDEX('Input Transaksi'!$E:$E,$E325))</f>
        <v/>
      </c>
      <c r="D325" s="5">
        <f>IF($E325="","",INDEX('Input Transaksi'!$F:$F,$E325))</f>
        <v/>
      </c>
      <c r="E325">
        <f>IFERROR(AGGREGATE(15,6,ROW('Input Transaksi'!$B$5:$B$5000)/('Input Transaksi'!$B$5:$B$5000="JCL SIDAKARYA"),ROWS($E$5:E325)),"")</f>
        <v/>
      </c>
      <c r="F325" s="5" t="n"/>
    </row>
    <row r="326">
      <c r="A326" s="10">
        <f>IF($E326="","",INDEX('Input Transaksi'!$A:$A,$E326))</f>
        <v/>
      </c>
      <c r="B326" s="5">
        <f>IF($E326="","",INDEX('Input Transaksi'!$D:$D,$E326))</f>
        <v/>
      </c>
      <c r="C326">
        <f>IF($E326="","",INDEX('Input Transaksi'!$E:$E,$E326))</f>
        <v/>
      </c>
      <c r="D326" s="5">
        <f>IF($E326="","",INDEX('Input Transaksi'!$F:$F,$E326))</f>
        <v/>
      </c>
      <c r="E326">
        <f>IFERROR(AGGREGATE(15,6,ROW('Input Transaksi'!$B$5:$B$5000)/('Input Transaksi'!$B$5:$B$5000="JCL SIDAKARYA"),ROWS($E$5:E326)),"")</f>
        <v/>
      </c>
      <c r="F326" s="5" t="n"/>
    </row>
    <row r="327">
      <c r="A327" s="10">
        <f>IF($E327="","",INDEX('Input Transaksi'!$A:$A,$E327))</f>
        <v/>
      </c>
      <c r="B327" s="5">
        <f>IF($E327="","",INDEX('Input Transaksi'!$D:$D,$E327))</f>
        <v/>
      </c>
      <c r="C327">
        <f>IF($E327="","",INDEX('Input Transaksi'!$E:$E,$E327))</f>
        <v/>
      </c>
      <c r="D327" s="5">
        <f>IF($E327="","",INDEX('Input Transaksi'!$F:$F,$E327))</f>
        <v/>
      </c>
      <c r="E327">
        <f>IFERROR(AGGREGATE(15,6,ROW('Input Transaksi'!$B$5:$B$5000)/('Input Transaksi'!$B$5:$B$5000="JCL SIDAKARYA"),ROWS($E$5:E327)),"")</f>
        <v/>
      </c>
      <c r="F327" s="5" t="n"/>
    </row>
    <row r="328">
      <c r="A328" s="10">
        <f>IF($E328="","",INDEX('Input Transaksi'!$A:$A,$E328))</f>
        <v/>
      </c>
      <c r="B328" s="5">
        <f>IF($E328="","",INDEX('Input Transaksi'!$D:$D,$E328))</f>
        <v/>
      </c>
      <c r="C328">
        <f>IF($E328="","",INDEX('Input Transaksi'!$E:$E,$E328))</f>
        <v/>
      </c>
      <c r="D328" s="5">
        <f>IF($E328="","",INDEX('Input Transaksi'!$F:$F,$E328))</f>
        <v/>
      </c>
      <c r="E328">
        <f>IFERROR(AGGREGATE(15,6,ROW('Input Transaksi'!$B$5:$B$5000)/('Input Transaksi'!$B$5:$B$5000="JCL SIDAKARYA"),ROWS($E$5:E328)),"")</f>
        <v/>
      </c>
      <c r="F328" s="5" t="n"/>
    </row>
    <row r="329">
      <c r="A329" s="10">
        <f>IF($E329="","",INDEX('Input Transaksi'!$A:$A,$E329))</f>
        <v/>
      </c>
      <c r="B329" s="5">
        <f>IF($E329="","",INDEX('Input Transaksi'!$D:$D,$E329))</f>
        <v/>
      </c>
      <c r="C329">
        <f>IF($E329="","",INDEX('Input Transaksi'!$E:$E,$E329))</f>
        <v/>
      </c>
      <c r="D329" s="5">
        <f>IF($E329="","",INDEX('Input Transaksi'!$F:$F,$E329))</f>
        <v/>
      </c>
      <c r="E329">
        <f>IFERROR(AGGREGATE(15,6,ROW('Input Transaksi'!$B$5:$B$5000)/('Input Transaksi'!$B$5:$B$5000="JCL SIDAKARYA"),ROWS($E$5:E329)),"")</f>
        <v/>
      </c>
      <c r="F329" s="5" t="n"/>
    </row>
    <row r="330">
      <c r="A330" s="10">
        <f>IF($E330="","",INDEX('Input Transaksi'!$A:$A,$E330))</f>
        <v/>
      </c>
      <c r="B330" s="5">
        <f>IF($E330="","",INDEX('Input Transaksi'!$D:$D,$E330))</f>
        <v/>
      </c>
      <c r="C330">
        <f>IF($E330="","",INDEX('Input Transaksi'!$E:$E,$E330))</f>
        <v/>
      </c>
      <c r="D330" s="5">
        <f>IF($E330="","",INDEX('Input Transaksi'!$F:$F,$E330))</f>
        <v/>
      </c>
      <c r="E330">
        <f>IFERROR(AGGREGATE(15,6,ROW('Input Transaksi'!$B$5:$B$5000)/('Input Transaksi'!$B$5:$B$5000="JCL SIDAKARYA"),ROWS($E$5:E330)),"")</f>
        <v/>
      </c>
      <c r="F330" s="5" t="n"/>
    </row>
    <row r="331">
      <c r="A331" s="10">
        <f>IF($E331="","",INDEX('Input Transaksi'!$A:$A,$E331))</f>
        <v/>
      </c>
      <c r="B331" s="5">
        <f>IF($E331="","",INDEX('Input Transaksi'!$D:$D,$E331))</f>
        <v/>
      </c>
      <c r="C331">
        <f>IF($E331="","",INDEX('Input Transaksi'!$E:$E,$E331))</f>
        <v/>
      </c>
      <c r="D331" s="5">
        <f>IF($E331="","",INDEX('Input Transaksi'!$F:$F,$E331))</f>
        <v/>
      </c>
      <c r="E331">
        <f>IFERROR(AGGREGATE(15,6,ROW('Input Transaksi'!$B$5:$B$5000)/('Input Transaksi'!$B$5:$B$5000="JCL SIDAKARYA"),ROWS($E$5:E331)),"")</f>
        <v/>
      </c>
      <c r="F331" s="5" t="n"/>
    </row>
    <row r="332">
      <c r="A332" s="10">
        <f>IF($E332="","",INDEX('Input Transaksi'!$A:$A,$E332))</f>
        <v/>
      </c>
      <c r="B332" s="5">
        <f>IF($E332="","",INDEX('Input Transaksi'!$D:$D,$E332))</f>
        <v/>
      </c>
      <c r="C332">
        <f>IF($E332="","",INDEX('Input Transaksi'!$E:$E,$E332))</f>
        <v/>
      </c>
      <c r="D332" s="5">
        <f>IF($E332="","",INDEX('Input Transaksi'!$F:$F,$E332))</f>
        <v/>
      </c>
      <c r="E332">
        <f>IFERROR(AGGREGATE(15,6,ROW('Input Transaksi'!$B$5:$B$5000)/('Input Transaksi'!$B$5:$B$5000="JCL SIDAKARYA"),ROWS($E$5:E332)),"")</f>
        <v/>
      </c>
      <c r="F332" s="5" t="n"/>
    </row>
    <row r="333">
      <c r="A333" s="10">
        <f>IF($E333="","",INDEX('Input Transaksi'!$A:$A,$E333))</f>
        <v/>
      </c>
      <c r="B333" s="5">
        <f>IF($E333="","",INDEX('Input Transaksi'!$D:$D,$E333))</f>
        <v/>
      </c>
      <c r="C333">
        <f>IF($E333="","",INDEX('Input Transaksi'!$E:$E,$E333))</f>
        <v/>
      </c>
      <c r="D333" s="5">
        <f>IF($E333="","",INDEX('Input Transaksi'!$F:$F,$E333))</f>
        <v/>
      </c>
      <c r="E333">
        <f>IFERROR(AGGREGATE(15,6,ROW('Input Transaksi'!$B$5:$B$5000)/('Input Transaksi'!$B$5:$B$5000="JCL SIDAKARYA"),ROWS($E$5:E333)),"")</f>
        <v/>
      </c>
      <c r="F333" s="5" t="n"/>
    </row>
    <row r="334">
      <c r="A334" s="10">
        <f>IF($E334="","",INDEX('Input Transaksi'!$A:$A,$E334))</f>
        <v/>
      </c>
      <c r="B334" s="5">
        <f>IF($E334="","",INDEX('Input Transaksi'!$D:$D,$E334))</f>
        <v/>
      </c>
      <c r="C334">
        <f>IF($E334="","",INDEX('Input Transaksi'!$E:$E,$E334))</f>
        <v/>
      </c>
      <c r="D334" s="5">
        <f>IF($E334="","",INDEX('Input Transaksi'!$F:$F,$E334))</f>
        <v/>
      </c>
      <c r="E334">
        <f>IFERROR(AGGREGATE(15,6,ROW('Input Transaksi'!$B$5:$B$5000)/('Input Transaksi'!$B$5:$B$5000="JCL SIDAKARYA"),ROWS($E$5:E334)),"")</f>
        <v/>
      </c>
      <c r="F334" s="5" t="n"/>
    </row>
    <row r="335">
      <c r="A335" s="10">
        <f>IF($E335="","",INDEX('Input Transaksi'!$A:$A,$E335))</f>
        <v/>
      </c>
      <c r="B335" s="5">
        <f>IF($E335="","",INDEX('Input Transaksi'!$D:$D,$E335))</f>
        <v/>
      </c>
      <c r="C335">
        <f>IF($E335="","",INDEX('Input Transaksi'!$E:$E,$E335))</f>
        <v/>
      </c>
      <c r="D335" s="5">
        <f>IF($E335="","",INDEX('Input Transaksi'!$F:$F,$E335))</f>
        <v/>
      </c>
      <c r="E335">
        <f>IFERROR(AGGREGATE(15,6,ROW('Input Transaksi'!$B$5:$B$5000)/('Input Transaksi'!$B$5:$B$5000="JCL SIDAKARYA"),ROWS($E$5:E335)),"")</f>
        <v/>
      </c>
      <c r="F335" s="5" t="n"/>
    </row>
    <row r="336">
      <c r="A336" s="10">
        <f>IF($E336="","",INDEX('Input Transaksi'!$A:$A,$E336))</f>
        <v/>
      </c>
      <c r="B336" s="5">
        <f>IF($E336="","",INDEX('Input Transaksi'!$D:$D,$E336))</f>
        <v/>
      </c>
      <c r="C336">
        <f>IF($E336="","",INDEX('Input Transaksi'!$E:$E,$E336))</f>
        <v/>
      </c>
      <c r="D336" s="5">
        <f>IF($E336="","",INDEX('Input Transaksi'!$F:$F,$E336))</f>
        <v/>
      </c>
      <c r="E336">
        <f>IFERROR(AGGREGATE(15,6,ROW('Input Transaksi'!$B$5:$B$5000)/('Input Transaksi'!$B$5:$B$5000="JCL SIDAKARYA"),ROWS($E$5:E336)),"")</f>
        <v/>
      </c>
      <c r="F336" s="5" t="n"/>
    </row>
    <row r="337">
      <c r="A337" s="10">
        <f>IF($E337="","",INDEX('Input Transaksi'!$A:$A,$E337))</f>
        <v/>
      </c>
      <c r="B337" s="5">
        <f>IF($E337="","",INDEX('Input Transaksi'!$D:$D,$E337))</f>
        <v/>
      </c>
      <c r="C337">
        <f>IF($E337="","",INDEX('Input Transaksi'!$E:$E,$E337))</f>
        <v/>
      </c>
      <c r="D337" s="5">
        <f>IF($E337="","",INDEX('Input Transaksi'!$F:$F,$E337))</f>
        <v/>
      </c>
      <c r="E337">
        <f>IFERROR(AGGREGATE(15,6,ROW('Input Transaksi'!$B$5:$B$5000)/('Input Transaksi'!$B$5:$B$5000="JCL SIDAKARYA"),ROWS($E$5:E337)),"")</f>
        <v/>
      </c>
      <c r="F337" s="5" t="n"/>
    </row>
    <row r="338">
      <c r="A338" s="10">
        <f>IF($E338="","",INDEX('Input Transaksi'!$A:$A,$E338))</f>
        <v/>
      </c>
      <c r="B338" s="5">
        <f>IF($E338="","",INDEX('Input Transaksi'!$D:$D,$E338))</f>
        <v/>
      </c>
      <c r="C338">
        <f>IF($E338="","",INDEX('Input Transaksi'!$E:$E,$E338))</f>
        <v/>
      </c>
      <c r="D338" s="5">
        <f>IF($E338="","",INDEX('Input Transaksi'!$F:$F,$E338))</f>
        <v/>
      </c>
      <c r="E338">
        <f>IFERROR(AGGREGATE(15,6,ROW('Input Transaksi'!$B$5:$B$5000)/('Input Transaksi'!$B$5:$B$5000="JCL SIDAKARYA"),ROWS($E$5:E338)),"")</f>
        <v/>
      </c>
      <c r="F338" s="5" t="n"/>
    </row>
    <row r="339">
      <c r="A339" s="10">
        <f>IF($E339="","",INDEX('Input Transaksi'!$A:$A,$E339))</f>
        <v/>
      </c>
      <c r="B339" s="5">
        <f>IF($E339="","",INDEX('Input Transaksi'!$D:$D,$E339))</f>
        <v/>
      </c>
      <c r="C339">
        <f>IF($E339="","",INDEX('Input Transaksi'!$E:$E,$E339))</f>
        <v/>
      </c>
      <c r="D339" s="5">
        <f>IF($E339="","",INDEX('Input Transaksi'!$F:$F,$E339))</f>
        <v/>
      </c>
      <c r="E339">
        <f>IFERROR(AGGREGATE(15,6,ROW('Input Transaksi'!$B$5:$B$5000)/('Input Transaksi'!$B$5:$B$5000="JCL SIDAKARYA"),ROWS($E$5:E339)),"")</f>
        <v/>
      </c>
      <c r="F339" s="5" t="n"/>
    </row>
    <row r="340">
      <c r="A340" s="10">
        <f>IF($E340="","",INDEX('Input Transaksi'!$A:$A,$E340))</f>
        <v/>
      </c>
      <c r="B340" s="5">
        <f>IF($E340="","",INDEX('Input Transaksi'!$D:$D,$E340))</f>
        <v/>
      </c>
      <c r="C340">
        <f>IF($E340="","",INDEX('Input Transaksi'!$E:$E,$E340))</f>
        <v/>
      </c>
      <c r="D340" s="5">
        <f>IF($E340="","",INDEX('Input Transaksi'!$F:$F,$E340))</f>
        <v/>
      </c>
      <c r="E340">
        <f>IFERROR(AGGREGATE(15,6,ROW('Input Transaksi'!$B$5:$B$5000)/('Input Transaksi'!$B$5:$B$5000="JCL SIDAKARYA"),ROWS($E$5:E340)),"")</f>
        <v/>
      </c>
      <c r="F340" s="5" t="n"/>
    </row>
    <row r="341">
      <c r="A341" s="10">
        <f>IF($E341="","",INDEX('Input Transaksi'!$A:$A,$E341))</f>
        <v/>
      </c>
      <c r="B341" s="5">
        <f>IF($E341="","",INDEX('Input Transaksi'!$D:$D,$E341))</f>
        <v/>
      </c>
      <c r="C341">
        <f>IF($E341="","",INDEX('Input Transaksi'!$E:$E,$E341))</f>
        <v/>
      </c>
      <c r="D341" s="5">
        <f>IF($E341="","",INDEX('Input Transaksi'!$F:$F,$E341))</f>
        <v/>
      </c>
      <c r="E341">
        <f>IFERROR(AGGREGATE(15,6,ROW('Input Transaksi'!$B$5:$B$5000)/('Input Transaksi'!$B$5:$B$5000="JCL SIDAKARYA"),ROWS($E$5:E341)),"")</f>
        <v/>
      </c>
      <c r="F341" s="5" t="n"/>
    </row>
    <row r="342">
      <c r="A342" s="10">
        <f>IF($E342="","",INDEX('Input Transaksi'!$A:$A,$E342))</f>
        <v/>
      </c>
      <c r="B342" s="5">
        <f>IF($E342="","",INDEX('Input Transaksi'!$D:$D,$E342))</f>
        <v/>
      </c>
      <c r="C342">
        <f>IF($E342="","",INDEX('Input Transaksi'!$E:$E,$E342))</f>
        <v/>
      </c>
      <c r="D342" s="5">
        <f>IF($E342="","",INDEX('Input Transaksi'!$F:$F,$E342))</f>
        <v/>
      </c>
      <c r="E342">
        <f>IFERROR(AGGREGATE(15,6,ROW('Input Transaksi'!$B$5:$B$5000)/('Input Transaksi'!$B$5:$B$5000="JCL SIDAKARYA"),ROWS($E$5:E342)),"")</f>
        <v/>
      </c>
      <c r="F342" s="5" t="n"/>
    </row>
    <row r="343">
      <c r="A343" s="10">
        <f>IF($E343="","",INDEX('Input Transaksi'!$A:$A,$E343))</f>
        <v/>
      </c>
      <c r="B343" s="5">
        <f>IF($E343="","",INDEX('Input Transaksi'!$D:$D,$E343))</f>
        <v/>
      </c>
      <c r="C343">
        <f>IF($E343="","",INDEX('Input Transaksi'!$E:$E,$E343))</f>
        <v/>
      </c>
      <c r="D343" s="5">
        <f>IF($E343="","",INDEX('Input Transaksi'!$F:$F,$E343))</f>
        <v/>
      </c>
      <c r="E343">
        <f>IFERROR(AGGREGATE(15,6,ROW('Input Transaksi'!$B$5:$B$5000)/('Input Transaksi'!$B$5:$B$5000="JCL SIDAKARYA"),ROWS($E$5:E343)),"")</f>
        <v/>
      </c>
      <c r="F343" s="5" t="n"/>
    </row>
    <row r="344">
      <c r="A344" s="10">
        <f>IF($E344="","",INDEX('Input Transaksi'!$A:$A,$E344))</f>
        <v/>
      </c>
      <c r="B344" s="5">
        <f>IF($E344="","",INDEX('Input Transaksi'!$D:$D,$E344))</f>
        <v/>
      </c>
      <c r="C344">
        <f>IF($E344="","",INDEX('Input Transaksi'!$E:$E,$E344))</f>
        <v/>
      </c>
      <c r="D344" s="5">
        <f>IF($E344="","",INDEX('Input Transaksi'!$F:$F,$E344))</f>
        <v/>
      </c>
      <c r="E344">
        <f>IFERROR(AGGREGATE(15,6,ROW('Input Transaksi'!$B$5:$B$5000)/('Input Transaksi'!$B$5:$B$5000="JCL SIDAKARYA"),ROWS($E$5:E344)),"")</f>
        <v/>
      </c>
      <c r="F344" s="5" t="n"/>
    </row>
    <row r="345">
      <c r="A345" s="10">
        <f>IF($E345="","",INDEX('Input Transaksi'!$A:$A,$E345))</f>
        <v/>
      </c>
      <c r="B345" s="5">
        <f>IF($E345="","",INDEX('Input Transaksi'!$D:$D,$E345))</f>
        <v/>
      </c>
      <c r="C345">
        <f>IF($E345="","",INDEX('Input Transaksi'!$E:$E,$E345))</f>
        <v/>
      </c>
      <c r="D345" s="5">
        <f>IF($E345="","",INDEX('Input Transaksi'!$F:$F,$E345))</f>
        <v/>
      </c>
      <c r="E345">
        <f>IFERROR(AGGREGATE(15,6,ROW('Input Transaksi'!$B$5:$B$5000)/('Input Transaksi'!$B$5:$B$5000="JCL SIDAKARYA"),ROWS($E$5:E345)),"")</f>
        <v/>
      </c>
      <c r="F345" s="5" t="n"/>
    </row>
    <row r="346">
      <c r="A346" s="10">
        <f>IF($E346="","",INDEX('Input Transaksi'!$A:$A,$E346))</f>
        <v/>
      </c>
      <c r="B346" s="5">
        <f>IF($E346="","",INDEX('Input Transaksi'!$D:$D,$E346))</f>
        <v/>
      </c>
      <c r="C346">
        <f>IF($E346="","",INDEX('Input Transaksi'!$E:$E,$E346))</f>
        <v/>
      </c>
      <c r="D346" s="5">
        <f>IF($E346="","",INDEX('Input Transaksi'!$F:$F,$E346))</f>
        <v/>
      </c>
      <c r="E346">
        <f>IFERROR(AGGREGATE(15,6,ROW('Input Transaksi'!$B$5:$B$5000)/('Input Transaksi'!$B$5:$B$5000="JCL SIDAKARYA"),ROWS($E$5:E346)),"")</f>
        <v/>
      </c>
      <c r="F346" s="5" t="n"/>
    </row>
    <row r="347">
      <c r="A347" s="10">
        <f>IF($E347="","",INDEX('Input Transaksi'!$A:$A,$E347))</f>
        <v/>
      </c>
      <c r="B347" s="5">
        <f>IF($E347="","",INDEX('Input Transaksi'!$D:$D,$E347))</f>
        <v/>
      </c>
      <c r="C347">
        <f>IF($E347="","",INDEX('Input Transaksi'!$E:$E,$E347))</f>
        <v/>
      </c>
      <c r="D347" s="5">
        <f>IF($E347="","",INDEX('Input Transaksi'!$F:$F,$E347))</f>
        <v/>
      </c>
      <c r="E347">
        <f>IFERROR(AGGREGATE(15,6,ROW('Input Transaksi'!$B$5:$B$5000)/('Input Transaksi'!$B$5:$B$5000="JCL SIDAKARYA"),ROWS($E$5:E347)),"")</f>
        <v/>
      </c>
      <c r="F347" s="5" t="n"/>
    </row>
    <row r="348">
      <c r="A348" s="10">
        <f>IF($E348="","",INDEX('Input Transaksi'!$A:$A,$E348))</f>
        <v/>
      </c>
      <c r="B348" s="5">
        <f>IF($E348="","",INDEX('Input Transaksi'!$D:$D,$E348))</f>
        <v/>
      </c>
      <c r="C348">
        <f>IF($E348="","",INDEX('Input Transaksi'!$E:$E,$E348))</f>
        <v/>
      </c>
      <c r="D348" s="5">
        <f>IF($E348="","",INDEX('Input Transaksi'!$F:$F,$E348))</f>
        <v/>
      </c>
      <c r="E348">
        <f>IFERROR(AGGREGATE(15,6,ROW('Input Transaksi'!$B$5:$B$5000)/('Input Transaksi'!$B$5:$B$5000="JCL SIDAKARYA"),ROWS($E$5:E348)),"")</f>
        <v/>
      </c>
      <c r="F348" s="5" t="n"/>
    </row>
    <row r="349">
      <c r="A349" s="10">
        <f>IF($E349="","",INDEX('Input Transaksi'!$A:$A,$E349))</f>
        <v/>
      </c>
      <c r="B349" s="5">
        <f>IF($E349="","",INDEX('Input Transaksi'!$D:$D,$E349))</f>
        <v/>
      </c>
      <c r="C349">
        <f>IF($E349="","",INDEX('Input Transaksi'!$E:$E,$E349))</f>
        <v/>
      </c>
      <c r="D349" s="5">
        <f>IF($E349="","",INDEX('Input Transaksi'!$F:$F,$E349))</f>
        <v/>
      </c>
      <c r="E349">
        <f>IFERROR(AGGREGATE(15,6,ROW('Input Transaksi'!$B$5:$B$5000)/('Input Transaksi'!$B$5:$B$5000="JCL SIDAKARYA"),ROWS($E$5:E349)),"")</f>
        <v/>
      </c>
      <c r="F349" s="5" t="n"/>
    </row>
    <row r="350">
      <c r="A350" s="10">
        <f>IF($E350="","",INDEX('Input Transaksi'!$A:$A,$E350))</f>
        <v/>
      </c>
      <c r="B350" s="5">
        <f>IF($E350="","",INDEX('Input Transaksi'!$D:$D,$E350))</f>
        <v/>
      </c>
      <c r="C350">
        <f>IF($E350="","",INDEX('Input Transaksi'!$E:$E,$E350))</f>
        <v/>
      </c>
      <c r="D350" s="5">
        <f>IF($E350="","",INDEX('Input Transaksi'!$F:$F,$E350))</f>
        <v/>
      </c>
      <c r="E350">
        <f>IFERROR(AGGREGATE(15,6,ROW('Input Transaksi'!$B$5:$B$5000)/('Input Transaksi'!$B$5:$B$5000="JCL SIDAKARYA"),ROWS($E$5:E350)),"")</f>
        <v/>
      </c>
      <c r="F350" s="5" t="n"/>
    </row>
    <row r="351">
      <c r="A351" s="10">
        <f>IF($E351="","",INDEX('Input Transaksi'!$A:$A,$E351))</f>
        <v/>
      </c>
      <c r="B351" s="5">
        <f>IF($E351="","",INDEX('Input Transaksi'!$D:$D,$E351))</f>
        <v/>
      </c>
      <c r="C351">
        <f>IF($E351="","",INDEX('Input Transaksi'!$E:$E,$E351))</f>
        <v/>
      </c>
      <c r="D351" s="5">
        <f>IF($E351="","",INDEX('Input Transaksi'!$F:$F,$E351))</f>
        <v/>
      </c>
      <c r="E351">
        <f>IFERROR(AGGREGATE(15,6,ROW('Input Transaksi'!$B$5:$B$5000)/('Input Transaksi'!$B$5:$B$5000="JCL SIDAKARYA"),ROWS($E$5:E351)),"")</f>
        <v/>
      </c>
      <c r="F351" s="5" t="n"/>
    </row>
    <row r="352">
      <c r="A352" s="10">
        <f>IF($E352="","",INDEX('Input Transaksi'!$A:$A,$E352))</f>
        <v/>
      </c>
      <c r="B352" s="5">
        <f>IF($E352="","",INDEX('Input Transaksi'!$D:$D,$E352))</f>
        <v/>
      </c>
      <c r="C352">
        <f>IF($E352="","",INDEX('Input Transaksi'!$E:$E,$E352))</f>
        <v/>
      </c>
      <c r="D352" s="5">
        <f>IF($E352="","",INDEX('Input Transaksi'!$F:$F,$E352))</f>
        <v/>
      </c>
      <c r="E352">
        <f>IFERROR(AGGREGATE(15,6,ROW('Input Transaksi'!$B$5:$B$5000)/('Input Transaksi'!$B$5:$B$5000="JCL SIDAKARYA"),ROWS($E$5:E352)),"")</f>
        <v/>
      </c>
      <c r="F352" s="5" t="n"/>
    </row>
    <row r="353">
      <c r="A353" s="10">
        <f>IF($E353="","",INDEX('Input Transaksi'!$A:$A,$E353))</f>
        <v/>
      </c>
      <c r="B353" s="5">
        <f>IF($E353="","",INDEX('Input Transaksi'!$D:$D,$E353))</f>
        <v/>
      </c>
      <c r="C353">
        <f>IF($E353="","",INDEX('Input Transaksi'!$E:$E,$E353))</f>
        <v/>
      </c>
      <c r="D353" s="5">
        <f>IF($E353="","",INDEX('Input Transaksi'!$F:$F,$E353))</f>
        <v/>
      </c>
      <c r="E353">
        <f>IFERROR(AGGREGATE(15,6,ROW('Input Transaksi'!$B$5:$B$5000)/('Input Transaksi'!$B$5:$B$5000="JCL SIDAKARYA"),ROWS($E$5:E353)),"")</f>
        <v/>
      </c>
      <c r="F353" s="5" t="n"/>
    </row>
    <row r="354">
      <c r="A354" s="10">
        <f>IF($E354="","",INDEX('Input Transaksi'!$A:$A,$E354))</f>
        <v/>
      </c>
      <c r="B354" s="5">
        <f>IF($E354="","",INDEX('Input Transaksi'!$D:$D,$E354))</f>
        <v/>
      </c>
      <c r="C354">
        <f>IF($E354="","",INDEX('Input Transaksi'!$E:$E,$E354))</f>
        <v/>
      </c>
      <c r="D354" s="5">
        <f>IF($E354="","",INDEX('Input Transaksi'!$F:$F,$E354))</f>
        <v/>
      </c>
      <c r="E354">
        <f>IFERROR(AGGREGATE(15,6,ROW('Input Transaksi'!$B$5:$B$5000)/('Input Transaksi'!$B$5:$B$5000="JCL SIDAKARYA"),ROWS($E$5:E354)),"")</f>
        <v/>
      </c>
      <c r="F354" s="5" t="n"/>
    </row>
    <row r="355">
      <c r="A355" s="10">
        <f>IF($E355="","",INDEX('Input Transaksi'!$A:$A,$E355))</f>
        <v/>
      </c>
      <c r="B355" s="5">
        <f>IF($E355="","",INDEX('Input Transaksi'!$D:$D,$E355))</f>
        <v/>
      </c>
      <c r="C355">
        <f>IF($E355="","",INDEX('Input Transaksi'!$E:$E,$E355))</f>
        <v/>
      </c>
      <c r="D355" s="5">
        <f>IF($E355="","",INDEX('Input Transaksi'!$F:$F,$E355))</f>
        <v/>
      </c>
      <c r="E355">
        <f>IFERROR(AGGREGATE(15,6,ROW('Input Transaksi'!$B$5:$B$5000)/('Input Transaksi'!$B$5:$B$5000="JCL SIDAKARYA"),ROWS($E$5:E355)),"")</f>
        <v/>
      </c>
      <c r="F355" s="5" t="n"/>
    </row>
    <row r="356">
      <c r="A356" s="10">
        <f>IF($E356="","",INDEX('Input Transaksi'!$A:$A,$E356))</f>
        <v/>
      </c>
      <c r="B356" s="5">
        <f>IF($E356="","",INDEX('Input Transaksi'!$D:$D,$E356))</f>
        <v/>
      </c>
      <c r="C356">
        <f>IF($E356="","",INDEX('Input Transaksi'!$E:$E,$E356))</f>
        <v/>
      </c>
      <c r="D356" s="5">
        <f>IF($E356="","",INDEX('Input Transaksi'!$F:$F,$E356))</f>
        <v/>
      </c>
      <c r="E356">
        <f>IFERROR(AGGREGATE(15,6,ROW('Input Transaksi'!$B$5:$B$5000)/('Input Transaksi'!$B$5:$B$5000="JCL SIDAKARYA"),ROWS($E$5:E356)),"")</f>
        <v/>
      </c>
      <c r="F356" s="5" t="n"/>
    </row>
    <row r="357">
      <c r="A357" s="10">
        <f>IF($E357="","",INDEX('Input Transaksi'!$A:$A,$E357))</f>
        <v/>
      </c>
      <c r="B357" s="5">
        <f>IF($E357="","",INDEX('Input Transaksi'!$D:$D,$E357))</f>
        <v/>
      </c>
      <c r="C357">
        <f>IF($E357="","",INDEX('Input Transaksi'!$E:$E,$E357))</f>
        <v/>
      </c>
      <c r="D357" s="5">
        <f>IF($E357="","",INDEX('Input Transaksi'!$F:$F,$E357))</f>
        <v/>
      </c>
      <c r="E357">
        <f>IFERROR(AGGREGATE(15,6,ROW('Input Transaksi'!$B$5:$B$5000)/('Input Transaksi'!$B$5:$B$5000="JCL SIDAKARYA"),ROWS($E$5:E357)),"")</f>
        <v/>
      </c>
      <c r="F357" s="5" t="n"/>
    </row>
    <row r="358">
      <c r="A358" s="10">
        <f>IF($E358="","",INDEX('Input Transaksi'!$A:$A,$E358))</f>
        <v/>
      </c>
      <c r="B358" s="5">
        <f>IF($E358="","",INDEX('Input Transaksi'!$D:$D,$E358))</f>
        <v/>
      </c>
      <c r="C358">
        <f>IF($E358="","",INDEX('Input Transaksi'!$E:$E,$E358))</f>
        <v/>
      </c>
      <c r="D358" s="5">
        <f>IF($E358="","",INDEX('Input Transaksi'!$F:$F,$E358))</f>
        <v/>
      </c>
      <c r="E358">
        <f>IFERROR(AGGREGATE(15,6,ROW('Input Transaksi'!$B$5:$B$5000)/('Input Transaksi'!$B$5:$B$5000="JCL SIDAKARYA"),ROWS($E$5:E358)),"")</f>
        <v/>
      </c>
      <c r="F358" s="5" t="n"/>
    </row>
    <row r="359">
      <c r="A359" s="10">
        <f>IF($E359="","",INDEX('Input Transaksi'!$A:$A,$E359))</f>
        <v/>
      </c>
      <c r="B359" s="5">
        <f>IF($E359="","",INDEX('Input Transaksi'!$D:$D,$E359))</f>
        <v/>
      </c>
      <c r="C359">
        <f>IF($E359="","",INDEX('Input Transaksi'!$E:$E,$E359))</f>
        <v/>
      </c>
      <c r="D359" s="5">
        <f>IF($E359="","",INDEX('Input Transaksi'!$F:$F,$E359))</f>
        <v/>
      </c>
      <c r="E359">
        <f>IFERROR(AGGREGATE(15,6,ROW('Input Transaksi'!$B$5:$B$5000)/('Input Transaksi'!$B$5:$B$5000="JCL SIDAKARYA"),ROWS($E$5:E359)),"")</f>
        <v/>
      </c>
      <c r="F359" s="5" t="n"/>
    </row>
    <row r="360">
      <c r="A360" s="10">
        <f>IF($E360="","",INDEX('Input Transaksi'!$A:$A,$E360))</f>
        <v/>
      </c>
      <c r="B360" s="5">
        <f>IF($E360="","",INDEX('Input Transaksi'!$D:$D,$E360))</f>
        <v/>
      </c>
      <c r="C360">
        <f>IF($E360="","",INDEX('Input Transaksi'!$E:$E,$E360))</f>
        <v/>
      </c>
      <c r="D360" s="5">
        <f>IF($E360="","",INDEX('Input Transaksi'!$F:$F,$E360))</f>
        <v/>
      </c>
      <c r="E360">
        <f>IFERROR(AGGREGATE(15,6,ROW('Input Transaksi'!$B$5:$B$5000)/('Input Transaksi'!$B$5:$B$5000="JCL SIDAKARYA"),ROWS($E$5:E360)),"")</f>
        <v/>
      </c>
      <c r="F360" s="5" t="n"/>
    </row>
    <row r="361">
      <c r="A361" s="10">
        <f>IF($E361="","",INDEX('Input Transaksi'!$A:$A,$E361))</f>
        <v/>
      </c>
      <c r="B361" s="5">
        <f>IF($E361="","",INDEX('Input Transaksi'!$D:$D,$E361))</f>
        <v/>
      </c>
      <c r="C361">
        <f>IF($E361="","",INDEX('Input Transaksi'!$E:$E,$E361))</f>
        <v/>
      </c>
      <c r="D361" s="5">
        <f>IF($E361="","",INDEX('Input Transaksi'!$F:$F,$E361))</f>
        <v/>
      </c>
      <c r="E361">
        <f>IFERROR(AGGREGATE(15,6,ROW('Input Transaksi'!$B$5:$B$5000)/('Input Transaksi'!$B$5:$B$5000="JCL SIDAKARYA"),ROWS($E$5:E361)),"")</f>
        <v/>
      </c>
      <c r="F361" s="5" t="n"/>
    </row>
    <row r="362">
      <c r="A362" s="10">
        <f>IF($E362="","",INDEX('Input Transaksi'!$A:$A,$E362))</f>
        <v/>
      </c>
      <c r="B362" s="5">
        <f>IF($E362="","",INDEX('Input Transaksi'!$D:$D,$E362))</f>
        <v/>
      </c>
      <c r="C362">
        <f>IF($E362="","",INDEX('Input Transaksi'!$E:$E,$E362))</f>
        <v/>
      </c>
      <c r="D362" s="5">
        <f>IF($E362="","",INDEX('Input Transaksi'!$F:$F,$E362))</f>
        <v/>
      </c>
      <c r="E362">
        <f>IFERROR(AGGREGATE(15,6,ROW('Input Transaksi'!$B$5:$B$5000)/('Input Transaksi'!$B$5:$B$5000="JCL SIDAKARYA"),ROWS($E$5:E362)),"")</f>
        <v/>
      </c>
      <c r="F362" s="5" t="n"/>
    </row>
    <row r="363">
      <c r="A363" s="10">
        <f>IF($E363="","",INDEX('Input Transaksi'!$A:$A,$E363))</f>
        <v/>
      </c>
      <c r="B363" s="5">
        <f>IF($E363="","",INDEX('Input Transaksi'!$D:$D,$E363))</f>
        <v/>
      </c>
      <c r="C363">
        <f>IF($E363="","",INDEX('Input Transaksi'!$E:$E,$E363))</f>
        <v/>
      </c>
      <c r="D363" s="5">
        <f>IF($E363="","",INDEX('Input Transaksi'!$F:$F,$E363))</f>
        <v/>
      </c>
      <c r="E363">
        <f>IFERROR(AGGREGATE(15,6,ROW('Input Transaksi'!$B$5:$B$5000)/('Input Transaksi'!$B$5:$B$5000="JCL SIDAKARYA"),ROWS($E$5:E363)),"")</f>
        <v/>
      </c>
      <c r="F363" s="5" t="n"/>
    </row>
    <row r="364">
      <c r="A364" s="10">
        <f>IF($E364="","",INDEX('Input Transaksi'!$A:$A,$E364))</f>
        <v/>
      </c>
      <c r="B364" s="5">
        <f>IF($E364="","",INDEX('Input Transaksi'!$D:$D,$E364))</f>
        <v/>
      </c>
      <c r="C364">
        <f>IF($E364="","",INDEX('Input Transaksi'!$E:$E,$E364))</f>
        <v/>
      </c>
      <c r="D364" s="5">
        <f>IF($E364="","",INDEX('Input Transaksi'!$F:$F,$E364))</f>
        <v/>
      </c>
      <c r="E364">
        <f>IFERROR(AGGREGATE(15,6,ROW('Input Transaksi'!$B$5:$B$5000)/('Input Transaksi'!$B$5:$B$5000="JCL SIDAKARYA"),ROWS($E$5:E364)),"")</f>
        <v/>
      </c>
      <c r="F364" s="5" t="n"/>
    </row>
    <row r="365">
      <c r="A365" s="10">
        <f>IF($E365="","",INDEX('Input Transaksi'!$A:$A,$E365))</f>
        <v/>
      </c>
      <c r="B365" s="5">
        <f>IF($E365="","",INDEX('Input Transaksi'!$D:$D,$E365))</f>
        <v/>
      </c>
      <c r="C365">
        <f>IF($E365="","",INDEX('Input Transaksi'!$E:$E,$E365))</f>
        <v/>
      </c>
      <c r="D365" s="5">
        <f>IF($E365="","",INDEX('Input Transaksi'!$F:$F,$E365))</f>
        <v/>
      </c>
      <c r="E365">
        <f>IFERROR(AGGREGATE(15,6,ROW('Input Transaksi'!$B$5:$B$5000)/('Input Transaksi'!$B$5:$B$5000="JCL SIDAKARYA"),ROWS($E$5:E365)),"")</f>
        <v/>
      </c>
      <c r="F365" s="5" t="n"/>
    </row>
    <row r="366">
      <c r="A366" s="10">
        <f>IF($E366="","",INDEX('Input Transaksi'!$A:$A,$E366))</f>
        <v/>
      </c>
      <c r="B366" s="5">
        <f>IF($E366="","",INDEX('Input Transaksi'!$D:$D,$E366))</f>
        <v/>
      </c>
      <c r="C366">
        <f>IF($E366="","",INDEX('Input Transaksi'!$E:$E,$E366))</f>
        <v/>
      </c>
      <c r="D366" s="5">
        <f>IF($E366="","",INDEX('Input Transaksi'!$F:$F,$E366))</f>
        <v/>
      </c>
      <c r="E366">
        <f>IFERROR(AGGREGATE(15,6,ROW('Input Transaksi'!$B$5:$B$5000)/('Input Transaksi'!$B$5:$B$5000="JCL SIDAKARYA"),ROWS($E$5:E366)),"")</f>
        <v/>
      </c>
      <c r="F366" s="5" t="n"/>
    </row>
    <row r="367">
      <c r="A367" s="10">
        <f>IF($E367="","",INDEX('Input Transaksi'!$A:$A,$E367))</f>
        <v/>
      </c>
      <c r="B367" s="5">
        <f>IF($E367="","",INDEX('Input Transaksi'!$D:$D,$E367))</f>
        <v/>
      </c>
      <c r="C367">
        <f>IF($E367="","",INDEX('Input Transaksi'!$E:$E,$E367))</f>
        <v/>
      </c>
      <c r="D367" s="5">
        <f>IF($E367="","",INDEX('Input Transaksi'!$F:$F,$E367))</f>
        <v/>
      </c>
      <c r="E367">
        <f>IFERROR(AGGREGATE(15,6,ROW('Input Transaksi'!$B$5:$B$5000)/('Input Transaksi'!$B$5:$B$5000="JCL SIDAKARYA"),ROWS($E$5:E367)),"")</f>
        <v/>
      </c>
      <c r="F367" s="5" t="n"/>
    </row>
    <row r="368">
      <c r="A368" s="10">
        <f>IF($E368="","",INDEX('Input Transaksi'!$A:$A,$E368))</f>
        <v/>
      </c>
      <c r="B368" s="5">
        <f>IF($E368="","",INDEX('Input Transaksi'!$D:$D,$E368))</f>
        <v/>
      </c>
      <c r="C368">
        <f>IF($E368="","",INDEX('Input Transaksi'!$E:$E,$E368))</f>
        <v/>
      </c>
      <c r="D368" s="5">
        <f>IF($E368="","",INDEX('Input Transaksi'!$F:$F,$E368))</f>
        <v/>
      </c>
      <c r="E368">
        <f>IFERROR(AGGREGATE(15,6,ROW('Input Transaksi'!$B$5:$B$5000)/('Input Transaksi'!$B$5:$B$5000="JCL SIDAKARYA"),ROWS($E$5:E368)),"")</f>
        <v/>
      </c>
      <c r="F368" s="5" t="n"/>
    </row>
    <row r="369">
      <c r="A369" s="10">
        <f>IF($E369="","",INDEX('Input Transaksi'!$A:$A,$E369))</f>
        <v/>
      </c>
      <c r="B369" s="5">
        <f>IF($E369="","",INDEX('Input Transaksi'!$D:$D,$E369))</f>
        <v/>
      </c>
      <c r="C369">
        <f>IF($E369="","",INDEX('Input Transaksi'!$E:$E,$E369))</f>
        <v/>
      </c>
      <c r="D369" s="5">
        <f>IF($E369="","",INDEX('Input Transaksi'!$F:$F,$E369))</f>
        <v/>
      </c>
      <c r="E369">
        <f>IFERROR(AGGREGATE(15,6,ROW('Input Transaksi'!$B$5:$B$5000)/('Input Transaksi'!$B$5:$B$5000="JCL SIDAKARYA"),ROWS($E$5:E369)),"")</f>
        <v/>
      </c>
      <c r="F369" s="5" t="n"/>
    </row>
    <row r="370">
      <c r="A370" s="10">
        <f>IF($E370="","",INDEX('Input Transaksi'!$A:$A,$E370))</f>
        <v/>
      </c>
      <c r="B370" s="5">
        <f>IF($E370="","",INDEX('Input Transaksi'!$D:$D,$E370))</f>
        <v/>
      </c>
      <c r="C370">
        <f>IF($E370="","",INDEX('Input Transaksi'!$E:$E,$E370))</f>
        <v/>
      </c>
      <c r="D370" s="5">
        <f>IF($E370="","",INDEX('Input Transaksi'!$F:$F,$E370))</f>
        <v/>
      </c>
      <c r="E370">
        <f>IFERROR(AGGREGATE(15,6,ROW('Input Transaksi'!$B$5:$B$5000)/('Input Transaksi'!$B$5:$B$5000="JCL SIDAKARYA"),ROWS($E$5:E370)),"")</f>
        <v/>
      </c>
      <c r="F370" s="5" t="n"/>
    </row>
    <row r="371">
      <c r="A371" s="10">
        <f>IF($E371="","",INDEX('Input Transaksi'!$A:$A,$E371))</f>
        <v/>
      </c>
      <c r="B371" s="5">
        <f>IF($E371="","",INDEX('Input Transaksi'!$D:$D,$E371))</f>
        <v/>
      </c>
      <c r="C371">
        <f>IF($E371="","",INDEX('Input Transaksi'!$E:$E,$E371))</f>
        <v/>
      </c>
      <c r="D371" s="5">
        <f>IF($E371="","",INDEX('Input Transaksi'!$F:$F,$E371))</f>
        <v/>
      </c>
      <c r="E371">
        <f>IFERROR(AGGREGATE(15,6,ROW('Input Transaksi'!$B$5:$B$5000)/('Input Transaksi'!$B$5:$B$5000="JCL SIDAKARYA"),ROWS($E$5:E371)),"")</f>
        <v/>
      </c>
      <c r="F371" s="5" t="n"/>
    </row>
    <row r="372">
      <c r="A372" s="10">
        <f>IF($E372="","",INDEX('Input Transaksi'!$A:$A,$E372))</f>
        <v/>
      </c>
      <c r="B372" s="5">
        <f>IF($E372="","",INDEX('Input Transaksi'!$D:$D,$E372))</f>
        <v/>
      </c>
      <c r="C372">
        <f>IF($E372="","",INDEX('Input Transaksi'!$E:$E,$E372))</f>
        <v/>
      </c>
      <c r="D372" s="5">
        <f>IF($E372="","",INDEX('Input Transaksi'!$F:$F,$E372))</f>
        <v/>
      </c>
      <c r="E372">
        <f>IFERROR(AGGREGATE(15,6,ROW('Input Transaksi'!$B$5:$B$5000)/('Input Transaksi'!$B$5:$B$5000="JCL SIDAKARYA"),ROWS($E$5:E372)),"")</f>
        <v/>
      </c>
      <c r="F372" s="5" t="n"/>
    </row>
    <row r="373">
      <c r="A373" s="10">
        <f>IF($E373="","",INDEX('Input Transaksi'!$A:$A,$E373))</f>
        <v/>
      </c>
      <c r="B373" s="5">
        <f>IF($E373="","",INDEX('Input Transaksi'!$D:$D,$E373))</f>
        <v/>
      </c>
      <c r="C373">
        <f>IF($E373="","",INDEX('Input Transaksi'!$E:$E,$E373))</f>
        <v/>
      </c>
      <c r="D373" s="5">
        <f>IF($E373="","",INDEX('Input Transaksi'!$F:$F,$E373))</f>
        <v/>
      </c>
      <c r="E373">
        <f>IFERROR(AGGREGATE(15,6,ROW('Input Transaksi'!$B$5:$B$5000)/('Input Transaksi'!$B$5:$B$5000="JCL SIDAKARYA"),ROWS($E$5:E373)),"")</f>
        <v/>
      </c>
      <c r="F373" s="5" t="n"/>
    </row>
    <row r="374">
      <c r="A374" s="10">
        <f>IF($E374="","",INDEX('Input Transaksi'!$A:$A,$E374))</f>
        <v/>
      </c>
      <c r="B374" s="5">
        <f>IF($E374="","",INDEX('Input Transaksi'!$D:$D,$E374))</f>
        <v/>
      </c>
      <c r="C374">
        <f>IF($E374="","",INDEX('Input Transaksi'!$E:$E,$E374))</f>
        <v/>
      </c>
      <c r="D374" s="5">
        <f>IF($E374="","",INDEX('Input Transaksi'!$F:$F,$E374))</f>
        <v/>
      </c>
      <c r="E374">
        <f>IFERROR(AGGREGATE(15,6,ROW('Input Transaksi'!$B$5:$B$5000)/('Input Transaksi'!$B$5:$B$5000="JCL SIDAKARYA"),ROWS($E$5:E374)),"")</f>
        <v/>
      </c>
      <c r="F374" s="5" t="n"/>
    </row>
    <row r="375">
      <c r="A375" s="10">
        <f>IF($E375="","",INDEX('Input Transaksi'!$A:$A,$E375))</f>
        <v/>
      </c>
      <c r="B375" s="5">
        <f>IF($E375="","",INDEX('Input Transaksi'!$D:$D,$E375))</f>
        <v/>
      </c>
      <c r="C375">
        <f>IF($E375="","",INDEX('Input Transaksi'!$E:$E,$E375))</f>
        <v/>
      </c>
      <c r="D375" s="5">
        <f>IF($E375="","",INDEX('Input Transaksi'!$F:$F,$E375))</f>
        <v/>
      </c>
      <c r="E375">
        <f>IFERROR(AGGREGATE(15,6,ROW('Input Transaksi'!$B$5:$B$5000)/('Input Transaksi'!$B$5:$B$5000="JCL SIDAKARYA"),ROWS($E$5:E375)),"")</f>
        <v/>
      </c>
      <c r="F375" s="5" t="n"/>
    </row>
    <row r="376">
      <c r="A376" s="10">
        <f>IF($E376="","",INDEX('Input Transaksi'!$A:$A,$E376))</f>
        <v/>
      </c>
      <c r="B376" s="5">
        <f>IF($E376="","",INDEX('Input Transaksi'!$D:$D,$E376))</f>
        <v/>
      </c>
      <c r="C376">
        <f>IF($E376="","",INDEX('Input Transaksi'!$E:$E,$E376))</f>
        <v/>
      </c>
      <c r="D376" s="5">
        <f>IF($E376="","",INDEX('Input Transaksi'!$F:$F,$E376))</f>
        <v/>
      </c>
      <c r="E376">
        <f>IFERROR(AGGREGATE(15,6,ROW('Input Transaksi'!$B$5:$B$5000)/('Input Transaksi'!$B$5:$B$5000="JCL SIDAKARYA"),ROWS($E$5:E376)),"")</f>
        <v/>
      </c>
      <c r="F376" s="5" t="n"/>
    </row>
    <row r="377">
      <c r="A377" s="10">
        <f>IF($E377="","",INDEX('Input Transaksi'!$A:$A,$E377))</f>
        <v/>
      </c>
      <c r="B377" s="5">
        <f>IF($E377="","",INDEX('Input Transaksi'!$D:$D,$E377))</f>
        <v/>
      </c>
      <c r="C377">
        <f>IF($E377="","",INDEX('Input Transaksi'!$E:$E,$E377))</f>
        <v/>
      </c>
      <c r="D377" s="5">
        <f>IF($E377="","",INDEX('Input Transaksi'!$F:$F,$E377))</f>
        <v/>
      </c>
      <c r="E377">
        <f>IFERROR(AGGREGATE(15,6,ROW('Input Transaksi'!$B$5:$B$5000)/('Input Transaksi'!$B$5:$B$5000="JCL SIDAKARYA"),ROWS($E$5:E377)),"")</f>
        <v/>
      </c>
      <c r="F377" s="5" t="n"/>
    </row>
    <row r="378">
      <c r="A378" s="10">
        <f>IF($E378="","",INDEX('Input Transaksi'!$A:$A,$E378))</f>
        <v/>
      </c>
      <c r="B378" s="5">
        <f>IF($E378="","",INDEX('Input Transaksi'!$D:$D,$E378))</f>
        <v/>
      </c>
      <c r="C378">
        <f>IF($E378="","",INDEX('Input Transaksi'!$E:$E,$E378))</f>
        <v/>
      </c>
      <c r="D378" s="5">
        <f>IF($E378="","",INDEX('Input Transaksi'!$F:$F,$E378))</f>
        <v/>
      </c>
      <c r="E378">
        <f>IFERROR(AGGREGATE(15,6,ROW('Input Transaksi'!$B$5:$B$5000)/('Input Transaksi'!$B$5:$B$5000="JCL SIDAKARYA"),ROWS($E$5:E378)),"")</f>
        <v/>
      </c>
      <c r="F378" s="5" t="n"/>
    </row>
    <row r="379">
      <c r="A379" s="10">
        <f>IF($E379="","",INDEX('Input Transaksi'!$A:$A,$E379))</f>
        <v/>
      </c>
      <c r="B379" s="5">
        <f>IF($E379="","",INDEX('Input Transaksi'!$D:$D,$E379))</f>
        <v/>
      </c>
      <c r="C379">
        <f>IF($E379="","",INDEX('Input Transaksi'!$E:$E,$E379))</f>
        <v/>
      </c>
      <c r="D379" s="5">
        <f>IF($E379="","",INDEX('Input Transaksi'!$F:$F,$E379))</f>
        <v/>
      </c>
      <c r="E379">
        <f>IFERROR(AGGREGATE(15,6,ROW('Input Transaksi'!$B$5:$B$5000)/('Input Transaksi'!$B$5:$B$5000="JCL SIDAKARYA"),ROWS($E$5:E379)),"")</f>
        <v/>
      </c>
      <c r="F379" s="5" t="n"/>
    </row>
    <row r="380">
      <c r="A380" s="10">
        <f>IF($E380="","",INDEX('Input Transaksi'!$A:$A,$E380))</f>
        <v/>
      </c>
      <c r="B380" s="5">
        <f>IF($E380="","",INDEX('Input Transaksi'!$D:$D,$E380))</f>
        <v/>
      </c>
      <c r="C380">
        <f>IF($E380="","",INDEX('Input Transaksi'!$E:$E,$E380))</f>
        <v/>
      </c>
      <c r="D380" s="5">
        <f>IF($E380="","",INDEX('Input Transaksi'!$F:$F,$E380))</f>
        <v/>
      </c>
      <c r="E380">
        <f>IFERROR(AGGREGATE(15,6,ROW('Input Transaksi'!$B$5:$B$5000)/('Input Transaksi'!$B$5:$B$5000="JCL SIDAKARYA"),ROWS($E$5:E380)),"")</f>
        <v/>
      </c>
      <c r="F380" s="5" t="n"/>
    </row>
    <row r="381">
      <c r="A381" s="10">
        <f>IF($E381="","",INDEX('Input Transaksi'!$A:$A,$E381))</f>
        <v/>
      </c>
      <c r="B381" s="5">
        <f>IF($E381="","",INDEX('Input Transaksi'!$D:$D,$E381))</f>
        <v/>
      </c>
      <c r="C381">
        <f>IF($E381="","",INDEX('Input Transaksi'!$E:$E,$E381))</f>
        <v/>
      </c>
      <c r="D381" s="5">
        <f>IF($E381="","",INDEX('Input Transaksi'!$F:$F,$E381))</f>
        <v/>
      </c>
      <c r="E381">
        <f>IFERROR(AGGREGATE(15,6,ROW('Input Transaksi'!$B$5:$B$5000)/('Input Transaksi'!$B$5:$B$5000="JCL SIDAKARYA"),ROWS($E$5:E381)),"")</f>
        <v/>
      </c>
      <c r="F381" s="5" t="n"/>
    </row>
    <row r="382">
      <c r="A382" s="10">
        <f>IF($E382="","",INDEX('Input Transaksi'!$A:$A,$E382))</f>
        <v/>
      </c>
      <c r="B382" s="5">
        <f>IF($E382="","",INDEX('Input Transaksi'!$D:$D,$E382))</f>
        <v/>
      </c>
      <c r="C382">
        <f>IF($E382="","",INDEX('Input Transaksi'!$E:$E,$E382))</f>
        <v/>
      </c>
      <c r="D382" s="5">
        <f>IF($E382="","",INDEX('Input Transaksi'!$F:$F,$E382))</f>
        <v/>
      </c>
      <c r="E382">
        <f>IFERROR(AGGREGATE(15,6,ROW('Input Transaksi'!$B$5:$B$5000)/('Input Transaksi'!$B$5:$B$5000="JCL SIDAKARYA"),ROWS($E$5:E382)),"")</f>
        <v/>
      </c>
      <c r="F382" s="5" t="n"/>
    </row>
    <row r="383">
      <c r="A383" s="10">
        <f>IF($E383="","",INDEX('Input Transaksi'!$A:$A,$E383))</f>
        <v/>
      </c>
      <c r="B383" s="5">
        <f>IF($E383="","",INDEX('Input Transaksi'!$D:$D,$E383))</f>
        <v/>
      </c>
      <c r="C383">
        <f>IF($E383="","",INDEX('Input Transaksi'!$E:$E,$E383))</f>
        <v/>
      </c>
      <c r="D383" s="5">
        <f>IF($E383="","",INDEX('Input Transaksi'!$F:$F,$E383))</f>
        <v/>
      </c>
      <c r="E383">
        <f>IFERROR(AGGREGATE(15,6,ROW('Input Transaksi'!$B$5:$B$5000)/('Input Transaksi'!$B$5:$B$5000="JCL SIDAKARYA"),ROWS($E$5:E383)),"")</f>
        <v/>
      </c>
      <c r="F383" s="5" t="n"/>
    </row>
    <row r="384">
      <c r="A384" s="10">
        <f>IF($E384="","",INDEX('Input Transaksi'!$A:$A,$E384))</f>
        <v/>
      </c>
      <c r="B384" s="5">
        <f>IF($E384="","",INDEX('Input Transaksi'!$D:$D,$E384))</f>
        <v/>
      </c>
      <c r="C384">
        <f>IF($E384="","",INDEX('Input Transaksi'!$E:$E,$E384))</f>
        <v/>
      </c>
      <c r="D384" s="5">
        <f>IF($E384="","",INDEX('Input Transaksi'!$F:$F,$E384))</f>
        <v/>
      </c>
      <c r="E384">
        <f>IFERROR(AGGREGATE(15,6,ROW('Input Transaksi'!$B$5:$B$5000)/('Input Transaksi'!$B$5:$B$5000="JCL SIDAKARYA"),ROWS($E$5:E384)),"")</f>
        <v/>
      </c>
      <c r="F384" s="5" t="n"/>
    </row>
    <row r="385">
      <c r="A385" s="10">
        <f>IF($E385="","",INDEX('Input Transaksi'!$A:$A,$E385))</f>
        <v/>
      </c>
      <c r="B385" s="5">
        <f>IF($E385="","",INDEX('Input Transaksi'!$D:$D,$E385))</f>
        <v/>
      </c>
      <c r="C385">
        <f>IF($E385="","",INDEX('Input Transaksi'!$E:$E,$E385))</f>
        <v/>
      </c>
      <c r="D385" s="5">
        <f>IF($E385="","",INDEX('Input Transaksi'!$F:$F,$E385))</f>
        <v/>
      </c>
      <c r="E385">
        <f>IFERROR(AGGREGATE(15,6,ROW('Input Transaksi'!$B$5:$B$5000)/('Input Transaksi'!$B$5:$B$5000="JCL SIDAKARYA"),ROWS($E$5:E385)),"")</f>
        <v/>
      </c>
      <c r="F385" s="5" t="n"/>
    </row>
    <row r="386">
      <c r="A386" s="10">
        <f>IF($E386="","",INDEX('Input Transaksi'!$A:$A,$E386))</f>
        <v/>
      </c>
      <c r="B386" s="5">
        <f>IF($E386="","",INDEX('Input Transaksi'!$D:$D,$E386))</f>
        <v/>
      </c>
      <c r="C386">
        <f>IF($E386="","",INDEX('Input Transaksi'!$E:$E,$E386))</f>
        <v/>
      </c>
      <c r="D386" s="5">
        <f>IF($E386="","",INDEX('Input Transaksi'!$F:$F,$E386))</f>
        <v/>
      </c>
      <c r="E386">
        <f>IFERROR(AGGREGATE(15,6,ROW('Input Transaksi'!$B$5:$B$5000)/('Input Transaksi'!$B$5:$B$5000="JCL SIDAKARYA"),ROWS($E$5:E386)),"")</f>
        <v/>
      </c>
      <c r="F386" s="5" t="n"/>
    </row>
    <row r="387">
      <c r="A387" s="10">
        <f>IF($E387="","",INDEX('Input Transaksi'!$A:$A,$E387))</f>
        <v/>
      </c>
      <c r="B387" s="5">
        <f>IF($E387="","",INDEX('Input Transaksi'!$D:$D,$E387))</f>
        <v/>
      </c>
      <c r="C387">
        <f>IF($E387="","",INDEX('Input Transaksi'!$E:$E,$E387))</f>
        <v/>
      </c>
      <c r="D387" s="5">
        <f>IF($E387="","",INDEX('Input Transaksi'!$F:$F,$E387))</f>
        <v/>
      </c>
      <c r="E387">
        <f>IFERROR(AGGREGATE(15,6,ROW('Input Transaksi'!$B$5:$B$5000)/('Input Transaksi'!$B$5:$B$5000="JCL SIDAKARYA"),ROWS($E$5:E387)),"")</f>
        <v/>
      </c>
      <c r="F387" s="5" t="n"/>
    </row>
    <row r="388">
      <c r="A388" s="10">
        <f>IF($E388="","",INDEX('Input Transaksi'!$A:$A,$E388))</f>
        <v/>
      </c>
      <c r="B388" s="5">
        <f>IF($E388="","",INDEX('Input Transaksi'!$D:$D,$E388))</f>
        <v/>
      </c>
      <c r="C388">
        <f>IF($E388="","",INDEX('Input Transaksi'!$E:$E,$E388))</f>
        <v/>
      </c>
      <c r="D388" s="5">
        <f>IF($E388="","",INDEX('Input Transaksi'!$F:$F,$E388))</f>
        <v/>
      </c>
      <c r="E388">
        <f>IFERROR(AGGREGATE(15,6,ROW('Input Transaksi'!$B$5:$B$5000)/('Input Transaksi'!$B$5:$B$5000="JCL SIDAKARYA"),ROWS($E$5:E388)),"")</f>
        <v/>
      </c>
      <c r="F388" s="5" t="n"/>
    </row>
    <row r="389">
      <c r="A389" s="10">
        <f>IF($E389="","",INDEX('Input Transaksi'!$A:$A,$E389))</f>
        <v/>
      </c>
      <c r="B389" s="5">
        <f>IF($E389="","",INDEX('Input Transaksi'!$D:$D,$E389))</f>
        <v/>
      </c>
      <c r="C389">
        <f>IF($E389="","",INDEX('Input Transaksi'!$E:$E,$E389))</f>
        <v/>
      </c>
      <c r="D389" s="5">
        <f>IF($E389="","",INDEX('Input Transaksi'!$F:$F,$E389))</f>
        <v/>
      </c>
      <c r="E389">
        <f>IFERROR(AGGREGATE(15,6,ROW('Input Transaksi'!$B$5:$B$5000)/('Input Transaksi'!$B$5:$B$5000="JCL SIDAKARYA"),ROWS($E$5:E389)),"")</f>
        <v/>
      </c>
      <c r="F389" s="5" t="n"/>
    </row>
    <row r="390">
      <c r="A390" s="10">
        <f>IF($E390="","",INDEX('Input Transaksi'!$A:$A,$E390))</f>
        <v/>
      </c>
      <c r="B390" s="5">
        <f>IF($E390="","",INDEX('Input Transaksi'!$D:$D,$E390))</f>
        <v/>
      </c>
      <c r="C390">
        <f>IF($E390="","",INDEX('Input Transaksi'!$E:$E,$E390))</f>
        <v/>
      </c>
      <c r="D390" s="5">
        <f>IF($E390="","",INDEX('Input Transaksi'!$F:$F,$E390))</f>
        <v/>
      </c>
      <c r="E390">
        <f>IFERROR(AGGREGATE(15,6,ROW('Input Transaksi'!$B$5:$B$5000)/('Input Transaksi'!$B$5:$B$5000="JCL SIDAKARYA"),ROWS($E$5:E390)),"")</f>
        <v/>
      </c>
      <c r="F390" s="5" t="n"/>
    </row>
    <row r="391">
      <c r="A391" s="10">
        <f>IF($E391="","",INDEX('Input Transaksi'!$A:$A,$E391))</f>
        <v/>
      </c>
      <c r="B391" s="5">
        <f>IF($E391="","",INDEX('Input Transaksi'!$D:$D,$E391))</f>
        <v/>
      </c>
      <c r="C391">
        <f>IF($E391="","",INDEX('Input Transaksi'!$E:$E,$E391))</f>
        <v/>
      </c>
      <c r="D391" s="5">
        <f>IF($E391="","",INDEX('Input Transaksi'!$F:$F,$E391))</f>
        <v/>
      </c>
      <c r="E391">
        <f>IFERROR(AGGREGATE(15,6,ROW('Input Transaksi'!$B$5:$B$5000)/('Input Transaksi'!$B$5:$B$5000="JCL SIDAKARYA"),ROWS($E$5:E391)),"")</f>
        <v/>
      </c>
      <c r="F391" s="5" t="n"/>
    </row>
    <row r="392">
      <c r="A392" s="10">
        <f>IF($E392="","",INDEX('Input Transaksi'!$A:$A,$E392))</f>
        <v/>
      </c>
      <c r="B392" s="5">
        <f>IF($E392="","",INDEX('Input Transaksi'!$D:$D,$E392))</f>
        <v/>
      </c>
      <c r="C392">
        <f>IF($E392="","",INDEX('Input Transaksi'!$E:$E,$E392))</f>
        <v/>
      </c>
      <c r="D392" s="5">
        <f>IF($E392="","",INDEX('Input Transaksi'!$F:$F,$E392))</f>
        <v/>
      </c>
      <c r="E392">
        <f>IFERROR(AGGREGATE(15,6,ROW('Input Transaksi'!$B$5:$B$5000)/('Input Transaksi'!$B$5:$B$5000="JCL SIDAKARYA"),ROWS($E$5:E392)),"")</f>
        <v/>
      </c>
      <c r="F392" s="5" t="n"/>
    </row>
    <row r="393">
      <c r="A393" s="10">
        <f>IF($E393="","",INDEX('Input Transaksi'!$A:$A,$E393))</f>
        <v/>
      </c>
      <c r="B393" s="5">
        <f>IF($E393="","",INDEX('Input Transaksi'!$D:$D,$E393))</f>
        <v/>
      </c>
      <c r="C393">
        <f>IF($E393="","",INDEX('Input Transaksi'!$E:$E,$E393))</f>
        <v/>
      </c>
      <c r="D393" s="5">
        <f>IF($E393="","",INDEX('Input Transaksi'!$F:$F,$E393))</f>
        <v/>
      </c>
      <c r="E393">
        <f>IFERROR(AGGREGATE(15,6,ROW('Input Transaksi'!$B$5:$B$5000)/('Input Transaksi'!$B$5:$B$5000="JCL SIDAKARYA"),ROWS($E$5:E393)),"")</f>
        <v/>
      </c>
      <c r="F393" s="5" t="n"/>
    </row>
    <row r="394">
      <c r="A394" s="10">
        <f>IF($E394="","",INDEX('Input Transaksi'!$A:$A,$E394))</f>
        <v/>
      </c>
      <c r="B394" s="5">
        <f>IF($E394="","",INDEX('Input Transaksi'!$D:$D,$E394))</f>
        <v/>
      </c>
      <c r="C394">
        <f>IF($E394="","",INDEX('Input Transaksi'!$E:$E,$E394))</f>
        <v/>
      </c>
      <c r="D394" s="5">
        <f>IF($E394="","",INDEX('Input Transaksi'!$F:$F,$E394))</f>
        <v/>
      </c>
      <c r="E394">
        <f>IFERROR(AGGREGATE(15,6,ROW('Input Transaksi'!$B$5:$B$5000)/('Input Transaksi'!$B$5:$B$5000="JCL SIDAKARYA"),ROWS($E$5:E394)),"")</f>
        <v/>
      </c>
      <c r="F394" s="5" t="n"/>
    </row>
    <row r="395">
      <c r="A395" s="10">
        <f>IF($E395="","",INDEX('Input Transaksi'!$A:$A,$E395))</f>
        <v/>
      </c>
      <c r="B395" s="5">
        <f>IF($E395="","",INDEX('Input Transaksi'!$D:$D,$E395))</f>
        <v/>
      </c>
      <c r="C395">
        <f>IF($E395="","",INDEX('Input Transaksi'!$E:$E,$E395))</f>
        <v/>
      </c>
      <c r="D395" s="5">
        <f>IF($E395="","",INDEX('Input Transaksi'!$F:$F,$E395))</f>
        <v/>
      </c>
      <c r="E395">
        <f>IFERROR(AGGREGATE(15,6,ROW('Input Transaksi'!$B$5:$B$5000)/('Input Transaksi'!$B$5:$B$5000="JCL SIDAKARYA"),ROWS($E$5:E395)),"")</f>
        <v/>
      </c>
      <c r="F395" s="5" t="n"/>
    </row>
    <row r="396">
      <c r="A396" s="10">
        <f>IF($E396="","",INDEX('Input Transaksi'!$A:$A,$E396))</f>
        <v/>
      </c>
      <c r="B396" s="5">
        <f>IF($E396="","",INDEX('Input Transaksi'!$D:$D,$E396))</f>
        <v/>
      </c>
      <c r="C396">
        <f>IF($E396="","",INDEX('Input Transaksi'!$E:$E,$E396))</f>
        <v/>
      </c>
      <c r="D396" s="5">
        <f>IF($E396="","",INDEX('Input Transaksi'!$F:$F,$E396))</f>
        <v/>
      </c>
      <c r="E396">
        <f>IFERROR(AGGREGATE(15,6,ROW('Input Transaksi'!$B$5:$B$5000)/('Input Transaksi'!$B$5:$B$5000="JCL SIDAKARYA"),ROWS($E$5:E396)),"")</f>
        <v/>
      </c>
      <c r="F396" s="5" t="n"/>
    </row>
    <row r="397">
      <c r="A397" s="10">
        <f>IF($E397="","",INDEX('Input Transaksi'!$A:$A,$E397))</f>
        <v/>
      </c>
      <c r="B397" s="5">
        <f>IF($E397="","",INDEX('Input Transaksi'!$D:$D,$E397))</f>
        <v/>
      </c>
      <c r="C397">
        <f>IF($E397="","",INDEX('Input Transaksi'!$E:$E,$E397))</f>
        <v/>
      </c>
      <c r="D397" s="5">
        <f>IF($E397="","",INDEX('Input Transaksi'!$F:$F,$E397))</f>
        <v/>
      </c>
      <c r="E397">
        <f>IFERROR(AGGREGATE(15,6,ROW('Input Transaksi'!$B$5:$B$5000)/('Input Transaksi'!$B$5:$B$5000="JCL SIDAKARYA"),ROWS($E$5:E397)),"")</f>
        <v/>
      </c>
      <c r="F397" s="5" t="n"/>
    </row>
    <row r="398">
      <c r="A398" s="10">
        <f>IF($E398="","",INDEX('Input Transaksi'!$A:$A,$E398))</f>
        <v/>
      </c>
      <c r="B398" s="5">
        <f>IF($E398="","",INDEX('Input Transaksi'!$D:$D,$E398))</f>
        <v/>
      </c>
      <c r="C398">
        <f>IF($E398="","",INDEX('Input Transaksi'!$E:$E,$E398))</f>
        <v/>
      </c>
      <c r="D398" s="5">
        <f>IF($E398="","",INDEX('Input Transaksi'!$F:$F,$E398))</f>
        <v/>
      </c>
      <c r="E398">
        <f>IFERROR(AGGREGATE(15,6,ROW('Input Transaksi'!$B$5:$B$5000)/('Input Transaksi'!$B$5:$B$5000="JCL SIDAKARYA"),ROWS($E$5:E398)),"")</f>
        <v/>
      </c>
      <c r="F398" s="5" t="n"/>
    </row>
    <row r="399">
      <c r="A399" s="10">
        <f>IF($E399="","",INDEX('Input Transaksi'!$A:$A,$E399))</f>
        <v/>
      </c>
      <c r="B399" s="5">
        <f>IF($E399="","",INDEX('Input Transaksi'!$D:$D,$E399))</f>
        <v/>
      </c>
      <c r="C399">
        <f>IF($E399="","",INDEX('Input Transaksi'!$E:$E,$E399))</f>
        <v/>
      </c>
      <c r="D399" s="5">
        <f>IF($E399="","",INDEX('Input Transaksi'!$F:$F,$E399))</f>
        <v/>
      </c>
      <c r="E399">
        <f>IFERROR(AGGREGATE(15,6,ROW('Input Transaksi'!$B$5:$B$5000)/('Input Transaksi'!$B$5:$B$5000="JCL SIDAKARYA"),ROWS($E$5:E399)),"")</f>
        <v/>
      </c>
      <c r="F399" s="5" t="n"/>
    </row>
    <row r="400">
      <c r="A400" s="10">
        <f>IF($E400="","",INDEX('Input Transaksi'!$A:$A,$E400))</f>
        <v/>
      </c>
      <c r="B400" s="5">
        <f>IF($E400="","",INDEX('Input Transaksi'!$D:$D,$E400))</f>
        <v/>
      </c>
      <c r="C400">
        <f>IF($E400="","",INDEX('Input Transaksi'!$E:$E,$E400))</f>
        <v/>
      </c>
      <c r="D400" s="5">
        <f>IF($E400="","",INDEX('Input Transaksi'!$F:$F,$E400))</f>
        <v/>
      </c>
      <c r="E400">
        <f>IFERROR(AGGREGATE(15,6,ROW('Input Transaksi'!$B$5:$B$5000)/('Input Transaksi'!$B$5:$B$5000="JCL SIDAKARYA"),ROWS($E$5:E400)),"")</f>
        <v/>
      </c>
      <c r="F400" s="5" t="n"/>
    </row>
    <row r="401">
      <c r="A401" s="10">
        <f>IF($E401="","",INDEX('Input Transaksi'!$A:$A,$E401))</f>
        <v/>
      </c>
      <c r="B401" s="5">
        <f>IF($E401="","",INDEX('Input Transaksi'!$D:$D,$E401))</f>
        <v/>
      </c>
      <c r="C401">
        <f>IF($E401="","",INDEX('Input Transaksi'!$E:$E,$E401))</f>
        <v/>
      </c>
      <c r="D401" s="5">
        <f>IF($E401="","",INDEX('Input Transaksi'!$F:$F,$E401))</f>
        <v/>
      </c>
      <c r="E401">
        <f>IFERROR(AGGREGATE(15,6,ROW('Input Transaksi'!$B$5:$B$5000)/('Input Transaksi'!$B$5:$B$5000="JCL SIDAKARYA"),ROWS($E$5:E401)),"")</f>
        <v/>
      </c>
      <c r="F401" s="5" t="n"/>
    </row>
    <row r="402">
      <c r="A402" s="10">
        <f>IF($E402="","",INDEX('Input Transaksi'!$A:$A,$E402))</f>
        <v/>
      </c>
      <c r="B402" s="5">
        <f>IF($E402="","",INDEX('Input Transaksi'!$D:$D,$E402))</f>
        <v/>
      </c>
      <c r="C402">
        <f>IF($E402="","",INDEX('Input Transaksi'!$E:$E,$E402))</f>
        <v/>
      </c>
      <c r="D402" s="5">
        <f>IF($E402="","",INDEX('Input Transaksi'!$F:$F,$E402))</f>
        <v/>
      </c>
      <c r="E402">
        <f>IFERROR(AGGREGATE(15,6,ROW('Input Transaksi'!$B$5:$B$5000)/('Input Transaksi'!$B$5:$B$5000="JCL SIDAKARYA"),ROWS($E$5:E402)),"")</f>
        <v/>
      </c>
      <c r="F402" s="5" t="n"/>
    </row>
    <row r="403">
      <c r="A403" s="10">
        <f>IF($E403="","",INDEX('Input Transaksi'!$A:$A,$E403))</f>
        <v/>
      </c>
      <c r="B403" s="5">
        <f>IF($E403="","",INDEX('Input Transaksi'!$D:$D,$E403))</f>
        <v/>
      </c>
      <c r="C403">
        <f>IF($E403="","",INDEX('Input Transaksi'!$E:$E,$E403))</f>
        <v/>
      </c>
      <c r="D403" s="5">
        <f>IF($E403="","",INDEX('Input Transaksi'!$F:$F,$E403))</f>
        <v/>
      </c>
      <c r="E403">
        <f>IFERROR(AGGREGATE(15,6,ROW('Input Transaksi'!$B$5:$B$5000)/('Input Transaksi'!$B$5:$B$5000="JCL SIDAKARYA"),ROWS($E$5:E403)),"")</f>
        <v/>
      </c>
      <c r="F403" s="5" t="n"/>
    </row>
    <row r="404">
      <c r="A404" s="10">
        <f>IF($E404="","",INDEX('Input Transaksi'!$A:$A,$E404))</f>
        <v/>
      </c>
      <c r="B404" s="5">
        <f>IF($E404="","",INDEX('Input Transaksi'!$D:$D,$E404))</f>
        <v/>
      </c>
      <c r="C404">
        <f>IF($E404="","",INDEX('Input Transaksi'!$E:$E,$E404))</f>
        <v/>
      </c>
      <c r="D404" s="5">
        <f>IF($E404="","",INDEX('Input Transaksi'!$F:$F,$E404))</f>
        <v/>
      </c>
      <c r="E404">
        <f>IFERROR(AGGREGATE(15,6,ROW('Input Transaksi'!$B$5:$B$5000)/('Input Transaksi'!$B$5:$B$5000="JCL SIDAKARYA"),ROWS($E$5:E404)),"")</f>
        <v/>
      </c>
      <c r="F404" s="5" t="n"/>
    </row>
    <row r="405">
      <c r="A405" s="10">
        <f>IF($E405="","",INDEX('Input Transaksi'!$A:$A,$E405))</f>
        <v/>
      </c>
      <c r="B405" s="5">
        <f>IF($E405="","",INDEX('Input Transaksi'!$D:$D,$E405))</f>
        <v/>
      </c>
      <c r="C405">
        <f>IF($E405="","",INDEX('Input Transaksi'!$E:$E,$E405))</f>
        <v/>
      </c>
      <c r="D405" s="5">
        <f>IF($E405="","",INDEX('Input Transaksi'!$F:$F,$E405))</f>
        <v/>
      </c>
      <c r="E405">
        <f>IFERROR(AGGREGATE(15,6,ROW('Input Transaksi'!$B$5:$B$5000)/('Input Transaksi'!$B$5:$B$5000="JCL SIDAKARYA"),ROWS($E$5:E405)),"")</f>
        <v/>
      </c>
      <c r="F405" s="5" t="n"/>
    </row>
    <row r="406">
      <c r="A406" s="10">
        <f>IF($E406="","",INDEX('Input Transaksi'!$A:$A,$E406))</f>
        <v/>
      </c>
      <c r="B406" s="5">
        <f>IF($E406="","",INDEX('Input Transaksi'!$D:$D,$E406))</f>
        <v/>
      </c>
      <c r="C406">
        <f>IF($E406="","",INDEX('Input Transaksi'!$E:$E,$E406))</f>
        <v/>
      </c>
      <c r="D406" s="5">
        <f>IF($E406="","",INDEX('Input Transaksi'!$F:$F,$E406))</f>
        <v/>
      </c>
      <c r="E406">
        <f>IFERROR(AGGREGATE(15,6,ROW('Input Transaksi'!$B$5:$B$5000)/('Input Transaksi'!$B$5:$B$5000="JCL SIDAKARYA"),ROWS($E$5:E406)),"")</f>
        <v/>
      </c>
      <c r="F406" s="5" t="n"/>
    </row>
    <row r="407">
      <c r="A407" s="10">
        <f>IF($E407="","",INDEX('Input Transaksi'!$A:$A,$E407))</f>
        <v/>
      </c>
      <c r="B407" s="5">
        <f>IF($E407="","",INDEX('Input Transaksi'!$D:$D,$E407))</f>
        <v/>
      </c>
      <c r="C407">
        <f>IF($E407="","",INDEX('Input Transaksi'!$E:$E,$E407))</f>
        <v/>
      </c>
      <c r="D407" s="5">
        <f>IF($E407="","",INDEX('Input Transaksi'!$F:$F,$E407))</f>
        <v/>
      </c>
      <c r="E407">
        <f>IFERROR(AGGREGATE(15,6,ROW('Input Transaksi'!$B$5:$B$5000)/('Input Transaksi'!$B$5:$B$5000="JCL SIDAKARYA"),ROWS($E$5:E407)),"")</f>
        <v/>
      </c>
      <c r="F407" s="5" t="n"/>
    </row>
    <row r="408">
      <c r="A408" s="10">
        <f>IF($E408="","",INDEX('Input Transaksi'!$A:$A,$E408))</f>
        <v/>
      </c>
      <c r="B408" s="5">
        <f>IF($E408="","",INDEX('Input Transaksi'!$D:$D,$E408))</f>
        <v/>
      </c>
      <c r="C408">
        <f>IF($E408="","",INDEX('Input Transaksi'!$E:$E,$E408))</f>
        <v/>
      </c>
      <c r="D408" s="5">
        <f>IF($E408="","",INDEX('Input Transaksi'!$F:$F,$E408))</f>
        <v/>
      </c>
      <c r="E408">
        <f>IFERROR(AGGREGATE(15,6,ROW('Input Transaksi'!$B$5:$B$5000)/('Input Transaksi'!$B$5:$B$5000="JCL SIDAKARYA"),ROWS($E$5:E408)),"")</f>
        <v/>
      </c>
      <c r="F408" s="5" t="n"/>
    </row>
    <row r="409">
      <c r="A409" s="10">
        <f>IF($E409="","",INDEX('Input Transaksi'!$A:$A,$E409))</f>
        <v/>
      </c>
      <c r="B409" s="5">
        <f>IF($E409="","",INDEX('Input Transaksi'!$D:$D,$E409))</f>
        <v/>
      </c>
      <c r="C409">
        <f>IF($E409="","",INDEX('Input Transaksi'!$E:$E,$E409))</f>
        <v/>
      </c>
      <c r="D409" s="5">
        <f>IF($E409="","",INDEX('Input Transaksi'!$F:$F,$E409))</f>
        <v/>
      </c>
      <c r="E409">
        <f>IFERROR(AGGREGATE(15,6,ROW('Input Transaksi'!$B$5:$B$5000)/('Input Transaksi'!$B$5:$B$5000="JCL SIDAKARYA"),ROWS($E$5:E409)),"")</f>
        <v/>
      </c>
      <c r="F409" s="5" t="n"/>
    </row>
    <row r="410">
      <c r="A410" s="10">
        <f>IF($E410="","",INDEX('Input Transaksi'!$A:$A,$E410))</f>
        <v/>
      </c>
      <c r="B410" s="5">
        <f>IF($E410="","",INDEX('Input Transaksi'!$D:$D,$E410))</f>
        <v/>
      </c>
      <c r="C410">
        <f>IF($E410="","",INDEX('Input Transaksi'!$E:$E,$E410))</f>
        <v/>
      </c>
      <c r="D410" s="5">
        <f>IF($E410="","",INDEX('Input Transaksi'!$F:$F,$E410))</f>
        <v/>
      </c>
      <c r="E410">
        <f>IFERROR(AGGREGATE(15,6,ROW('Input Transaksi'!$B$5:$B$5000)/('Input Transaksi'!$B$5:$B$5000="JCL SIDAKARYA"),ROWS($E$5:E410)),"")</f>
        <v/>
      </c>
      <c r="F410" s="5" t="n"/>
    </row>
    <row r="411">
      <c r="A411" s="10">
        <f>IF($E411="","",INDEX('Input Transaksi'!$A:$A,$E411))</f>
        <v/>
      </c>
      <c r="B411" s="5">
        <f>IF($E411="","",INDEX('Input Transaksi'!$D:$D,$E411))</f>
        <v/>
      </c>
      <c r="C411">
        <f>IF($E411="","",INDEX('Input Transaksi'!$E:$E,$E411))</f>
        <v/>
      </c>
      <c r="D411" s="5">
        <f>IF($E411="","",INDEX('Input Transaksi'!$F:$F,$E411))</f>
        <v/>
      </c>
      <c r="E411">
        <f>IFERROR(AGGREGATE(15,6,ROW('Input Transaksi'!$B$5:$B$5000)/('Input Transaksi'!$B$5:$B$5000="JCL SIDAKARYA"),ROWS($E$5:E411)),"")</f>
        <v/>
      </c>
      <c r="F411" s="5" t="n"/>
    </row>
    <row r="412">
      <c r="A412" s="10">
        <f>IF($E412="","",INDEX('Input Transaksi'!$A:$A,$E412))</f>
        <v/>
      </c>
      <c r="B412" s="5">
        <f>IF($E412="","",INDEX('Input Transaksi'!$D:$D,$E412))</f>
        <v/>
      </c>
      <c r="C412">
        <f>IF($E412="","",INDEX('Input Transaksi'!$E:$E,$E412))</f>
        <v/>
      </c>
      <c r="D412" s="5">
        <f>IF($E412="","",INDEX('Input Transaksi'!$F:$F,$E412))</f>
        <v/>
      </c>
      <c r="E412">
        <f>IFERROR(AGGREGATE(15,6,ROW('Input Transaksi'!$B$5:$B$5000)/('Input Transaksi'!$B$5:$B$5000="JCL SIDAKARYA"),ROWS($E$5:E412)),"")</f>
        <v/>
      </c>
      <c r="F412" s="5" t="n"/>
    </row>
    <row r="413">
      <c r="A413" s="10">
        <f>IF($E413="","",INDEX('Input Transaksi'!$A:$A,$E413))</f>
        <v/>
      </c>
      <c r="B413" s="5">
        <f>IF($E413="","",INDEX('Input Transaksi'!$D:$D,$E413))</f>
        <v/>
      </c>
      <c r="C413">
        <f>IF($E413="","",INDEX('Input Transaksi'!$E:$E,$E413))</f>
        <v/>
      </c>
      <c r="D413" s="5">
        <f>IF($E413="","",INDEX('Input Transaksi'!$F:$F,$E413))</f>
        <v/>
      </c>
      <c r="E413">
        <f>IFERROR(AGGREGATE(15,6,ROW('Input Transaksi'!$B$5:$B$5000)/('Input Transaksi'!$B$5:$B$5000="JCL SIDAKARYA"),ROWS($E$5:E413)),"")</f>
        <v/>
      </c>
      <c r="F413" s="5" t="n"/>
    </row>
    <row r="414">
      <c r="A414" s="10">
        <f>IF($E414="","",INDEX('Input Transaksi'!$A:$A,$E414))</f>
        <v/>
      </c>
      <c r="B414" s="5">
        <f>IF($E414="","",INDEX('Input Transaksi'!$D:$D,$E414))</f>
        <v/>
      </c>
      <c r="C414">
        <f>IF($E414="","",INDEX('Input Transaksi'!$E:$E,$E414))</f>
        <v/>
      </c>
      <c r="D414" s="5">
        <f>IF($E414="","",INDEX('Input Transaksi'!$F:$F,$E414))</f>
        <v/>
      </c>
      <c r="E414">
        <f>IFERROR(AGGREGATE(15,6,ROW('Input Transaksi'!$B$5:$B$5000)/('Input Transaksi'!$B$5:$B$5000="JCL SIDAKARYA"),ROWS($E$5:E414)),"")</f>
        <v/>
      </c>
      <c r="F414" s="5" t="n"/>
    </row>
    <row r="415">
      <c r="A415" s="10">
        <f>IF($E415="","",INDEX('Input Transaksi'!$A:$A,$E415))</f>
        <v/>
      </c>
      <c r="B415" s="5">
        <f>IF($E415="","",INDEX('Input Transaksi'!$D:$D,$E415))</f>
        <v/>
      </c>
      <c r="C415">
        <f>IF($E415="","",INDEX('Input Transaksi'!$E:$E,$E415))</f>
        <v/>
      </c>
      <c r="D415" s="5">
        <f>IF($E415="","",INDEX('Input Transaksi'!$F:$F,$E415))</f>
        <v/>
      </c>
      <c r="E415">
        <f>IFERROR(AGGREGATE(15,6,ROW('Input Transaksi'!$B$5:$B$5000)/('Input Transaksi'!$B$5:$B$5000="JCL SIDAKARYA"),ROWS($E$5:E415)),"")</f>
        <v/>
      </c>
      <c r="F415" s="5" t="n"/>
    </row>
    <row r="416">
      <c r="A416" s="10">
        <f>IF($E416="","",INDEX('Input Transaksi'!$A:$A,$E416))</f>
        <v/>
      </c>
      <c r="B416" s="5">
        <f>IF($E416="","",INDEX('Input Transaksi'!$D:$D,$E416))</f>
        <v/>
      </c>
      <c r="C416">
        <f>IF($E416="","",INDEX('Input Transaksi'!$E:$E,$E416))</f>
        <v/>
      </c>
      <c r="D416" s="5">
        <f>IF($E416="","",INDEX('Input Transaksi'!$F:$F,$E416))</f>
        <v/>
      </c>
      <c r="E416">
        <f>IFERROR(AGGREGATE(15,6,ROW('Input Transaksi'!$B$5:$B$5000)/('Input Transaksi'!$B$5:$B$5000="JCL SIDAKARYA"),ROWS($E$5:E416)),"")</f>
        <v/>
      </c>
      <c r="F416" s="5" t="n"/>
    </row>
    <row r="417">
      <c r="A417" s="10">
        <f>IF($E417="","",INDEX('Input Transaksi'!$A:$A,$E417))</f>
        <v/>
      </c>
      <c r="B417" s="5">
        <f>IF($E417="","",INDEX('Input Transaksi'!$D:$D,$E417))</f>
        <v/>
      </c>
      <c r="C417">
        <f>IF($E417="","",INDEX('Input Transaksi'!$E:$E,$E417))</f>
        <v/>
      </c>
      <c r="D417" s="5">
        <f>IF($E417="","",INDEX('Input Transaksi'!$F:$F,$E417))</f>
        <v/>
      </c>
      <c r="E417">
        <f>IFERROR(AGGREGATE(15,6,ROW('Input Transaksi'!$B$5:$B$5000)/('Input Transaksi'!$B$5:$B$5000="JCL SIDAKARYA"),ROWS($E$5:E417)),"")</f>
        <v/>
      </c>
      <c r="F417" s="5" t="n"/>
    </row>
    <row r="418">
      <c r="A418" s="10">
        <f>IF($E418="","",INDEX('Input Transaksi'!$A:$A,$E418))</f>
        <v/>
      </c>
      <c r="B418" s="5">
        <f>IF($E418="","",INDEX('Input Transaksi'!$D:$D,$E418))</f>
        <v/>
      </c>
      <c r="C418">
        <f>IF($E418="","",INDEX('Input Transaksi'!$E:$E,$E418))</f>
        <v/>
      </c>
      <c r="D418" s="5">
        <f>IF($E418="","",INDEX('Input Transaksi'!$F:$F,$E418))</f>
        <v/>
      </c>
      <c r="E418">
        <f>IFERROR(AGGREGATE(15,6,ROW('Input Transaksi'!$B$5:$B$5000)/('Input Transaksi'!$B$5:$B$5000="JCL SIDAKARYA"),ROWS($E$5:E418)),"")</f>
        <v/>
      </c>
      <c r="F418" s="5" t="n"/>
    </row>
    <row r="419">
      <c r="A419" s="10">
        <f>IF($E419="","",INDEX('Input Transaksi'!$A:$A,$E419))</f>
        <v/>
      </c>
      <c r="B419" s="5">
        <f>IF($E419="","",INDEX('Input Transaksi'!$D:$D,$E419))</f>
        <v/>
      </c>
      <c r="C419">
        <f>IF($E419="","",INDEX('Input Transaksi'!$E:$E,$E419))</f>
        <v/>
      </c>
      <c r="D419" s="5">
        <f>IF($E419="","",INDEX('Input Transaksi'!$F:$F,$E419))</f>
        <v/>
      </c>
      <c r="E419">
        <f>IFERROR(AGGREGATE(15,6,ROW('Input Transaksi'!$B$5:$B$5000)/('Input Transaksi'!$B$5:$B$5000="JCL SIDAKARYA"),ROWS($E$5:E419)),"")</f>
        <v/>
      </c>
      <c r="F419" s="5" t="n"/>
    </row>
    <row r="420">
      <c r="A420" s="10">
        <f>IF($E420="","",INDEX('Input Transaksi'!$A:$A,$E420))</f>
        <v/>
      </c>
      <c r="B420" s="5">
        <f>IF($E420="","",INDEX('Input Transaksi'!$D:$D,$E420))</f>
        <v/>
      </c>
      <c r="C420">
        <f>IF($E420="","",INDEX('Input Transaksi'!$E:$E,$E420))</f>
        <v/>
      </c>
      <c r="D420" s="5">
        <f>IF($E420="","",INDEX('Input Transaksi'!$F:$F,$E420))</f>
        <v/>
      </c>
      <c r="E420">
        <f>IFERROR(AGGREGATE(15,6,ROW('Input Transaksi'!$B$5:$B$5000)/('Input Transaksi'!$B$5:$B$5000="JCL SIDAKARYA"),ROWS($E$5:E420)),"")</f>
        <v/>
      </c>
      <c r="F420" s="5" t="n"/>
    </row>
    <row r="421">
      <c r="A421" s="10">
        <f>IF($E421="","",INDEX('Input Transaksi'!$A:$A,$E421))</f>
        <v/>
      </c>
      <c r="B421" s="5">
        <f>IF($E421="","",INDEX('Input Transaksi'!$D:$D,$E421))</f>
        <v/>
      </c>
      <c r="C421">
        <f>IF($E421="","",INDEX('Input Transaksi'!$E:$E,$E421))</f>
        <v/>
      </c>
      <c r="D421" s="5">
        <f>IF($E421="","",INDEX('Input Transaksi'!$F:$F,$E421))</f>
        <v/>
      </c>
      <c r="E421">
        <f>IFERROR(AGGREGATE(15,6,ROW('Input Transaksi'!$B$5:$B$5000)/('Input Transaksi'!$B$5:$B$5000="JCL SIDAKARYA"),ROWS($E$5:E421)),"")</f>
        <v/>
      </c>
      <c r="F421" s="5" t="n"/>
    </row>
    <row r="422">
      <c r="A422" s="10">
        <f>IF($E422="","",INDEX('Input Transaksi'!$A:$A,$E422))</f>
        <v/>
      </c>
      <c r="B422" s="5">
        <f>IF($E422="","",INDEX('Input Transaksi'!$D:$D,$E422))</f>
        <v/>
      </c>
      <c r="C422">
        <f>IF($E422="","",INDEX('Input Transaksi'!$E:$E,$E422))</f>
        <v/>
      </c>
      <c r="D422" s="5">
        <f>IF($E422="","",INDEX('Input Transaksi'!$F:$F,$E422))</f>
        <v/>
      </c>
      <c r="E422">
        <f>IFERROR(AGGREGATE(15,6,ROW('Input Transaksi'!$B$5:$B$5000)/('Input Transaksi'!$B$5:$B$5000="JCL SIDAKARYA"),ROWS($E$5:E422)),"")</f>
        <v/>
      </c>
      <c r="F422" s="5" t="n"/>
    </row>
    <row r="423">
      <c r="A423" s="10">
        <f>IF($E423="","",INDEX('Input Transaksi'!$A:$A,$E423))</f>
        <v/>
      </c>
      <c r="B423" s="5">
        <f>IF($E423="","",INDEX('Input Transaksi'!$D:$D,$E423))</f>
        <v/>
      </c>
      <c r="C423">
        <f>IF($E423="","",INDEX('Input Transaksi'!$E:$E,$E423))</f>
        <v/>
      </c>
      <c r="D423" s="5">
        <f>IF($E423="","",INDEX('Input Transaksi'!$F:$F,$E423))</f>
        <v/>
      </c>
      <c r="E423">
        <f>IFERROR(AGGREGATE(15,6,ROW('Input Transaksi'!$B$5:$B$5000)/('Input Transaksi'!$B$5:$B$5000="JCL SIDAKARYA"),ROWS($E$5:E423)),"")</f>
        <v/>
      </c>
      <c r="F423" s="5" t="n"/>
    </row>
    <row r="424">
      <c r="A424" s="10">
        <f>IF($E424="","",INDEX('Input Transaksi'!$A:$A,$E424))</f>
        <v/>
      </c>
      <c r="B424" s="5">
        <f>IF($E424="","",INDEX('Input Transaksi'!$D:$D,$E424))</f>
        <v/>
      </c>
      <c r="C424">
        <f>IF($E424="","",INDEX('Input Transaksi'!$E:$E,$E424))</f>
        <v/>
      </c>
      <c r="D424" s="5">
        <f>IF($E424="","",INDEX('Input Transaksi'!$F:$F,$E424))</f>
        <v/>
      </c>
      <c r="E424">
        <f>IFERROR(AGGREGATE(15,6,ROW('Input Transaksi'!$B$5:$B$5000)/('Input Transaksi'!$B$5:$B$5000="JCL SIDAKARYA"),ROWS($E$5:E424)),"")</f>
        <v/>
      </c>
      <c r="F424" s="5" t="n"/>
    </row>
    <row r="425">
      <c r="A425" s="10">
        <f>IF($E425="","",INDEX('Input Transaksi'!$A:$A,$E425))</f>
        <v/>
      </c>
      <c r="B425" s="5">
        <f>IF($E425="","",INDEX('Input Transaksi'!$D:$D,$E425))</f>
        <v/>
      </c>
      <c r="C425">
        <f>IF($E425="","",INDEX('Input Transaksi'!$E:$E,$E425))</f>
        <v/>
      </c>
      <c r="D425" s="5">
        <f>IF($E425="","",INDEX('Input Transaksi'!$F:$F,$E425))</f>
        <v/>
      </c>
      <c r="E425">
        <f>IFERROR(AGGREGATE(15,6,ROW('Input Transaksi'!$B$5:$B$5000)/('Input Transaksi'!$B$5:$B$5000="JCL SIDAKARYA"),ROWS($E$5:E425)),"")</f>
        <v/>
      </c>
      <c r="F425" s="5" t="n"/>
    </row>
    <row r="426">
      <c r="A426" s="10">
        <f>IF($E426="","",INDEX('Input Transaksi'!$A:$A,$E426))</f>
        <v/>
      </c>
      <c r="B426" s="5">
        <f>IF($E426="","",INDEX('Input Transaksi'!$D:$D,$E426))</f>
        <v/>
      </c>
      <c r="C426">
        <f>IF($E426="","",INDEX('Input Transaksi'!$E:$E,$E426))</f>
        <v/>
      </c>
      <c r="D426" s="5">
        <f>IF($E426="","",INDEX('Input Transaksi'!$F:$F,$E426))</f>
        <v/>
      </c>
      <c r="E426">
        <f>IFERROR(AGGREGATE(15,6,ROW('Input Transaksi'!$B$5:$B$5000)/('Input Transaksi'!$B$5:$B$5000="JCL SIDAKARYA"),ROWS($E$5:E426)),"")</f>
        <v/>
      </c>
      <c r="F426" s="5" t="n"/>
    </row>
    <row r="427">
      <c r="A427" s="10">
        <f>IF($E427="","",INDEX('Input Transaksi'!$A:$A,$E427))</f>
        <v/>
      </c>
      <c r="B427" s="5">
        <f>IF($E427="","",INDEX('Input Transaksi'!$D:$D,$E427))</f>
        <v/>
      </c>
      <c r="C427">
        <f>IF($E427="","",INDEX('Input Transaksi'!$E:$E,$E427))</f>
        <v/>
      </c>
      <c r="D427" s="5">
        <f>IF($E427="","",INDEX('Input Transaksi'!$F:$F,$E427))</f>
        <v/>
      </c>
      <c r="E427">
        <f>IFERROR(AGGREGATE(15,6,ROW('Input Transaksi'!$B$5:$B$5000)/('Input Transaksi'!$B$5:$B$5000="JCL SIDAKARYA"),ROWS($E$5:E427)),"")</f>
        <v/>
      </c>
      <c r="F427" s="5" t="n"/>
    </row>
    <row r="428">
      <c r="A428" s="10">
        <f>IF($E428="","",INDEX('Input Transaksi'!$A:$A,$E428))</f>
        <v/>
      </c>
      <c r="B428" s="5">
        <f>IF($E428="","",INDEX('Input Transaksi'!$D:$D,$E428))</f>
        <v/>
      </c>
      <c r="C428">
        <f>IF($E428="","",INDEX('Input Transaksi'!$E:$E,$E428))</f>
        <v/>
      </c>
      <c r="D428" s="5">
        <f>IF($E428="","",INDEX('Input Transaksi'!$F:$F,$E428))</f>
        <v/>
      </c>
      <c r="E428">
        <f>IFERROR(AGGREGATE(15,6,ROW('Input Transaksi'!$B$5:$B$5000)/('Input Transaksi'!$B$5:$B$5000="JCL SIDAKARYA"),ROWS($E$5:E428)),"")</f>
        <v/>
      </c>
      <c r="F428" s="5" t="n"/>
    </row>
    <row r="429">
      <c r="A429" s="10">
        <f>IF($E429="","",INDEX('Input Transaksi'!$A:$A,$E429))</f>
        <v/>
      </c>
      <c r="B429" s="5">
        <f>IF($E429="","",INDEX('Input Transaksi'!$D:$D,$E429))</f>
        <v/>
      </c>
      <c r="C429">
        <f>IF($E429="","",INDEX('Input Transaksi'!$E:$E,$E429))</f>
        <v/>
      </c>
      <c r="D429" s="5">
        <f>IF($E429="","",INDEX('Input Transaksi'!$F:$F,$E429))</f>
        <v/>
      </c>
      <c r="E429">
        <f>IFERROR(AGGREGATE(15,6,ROW('Input Transaksi'!$B$5:$B$5000)/('Input Transaksi'!$B$5:$B$5000="JCL SIDAKARYA"),ROWS($E$5:E429)),"")</f>
        <v/>
      </c>
      <c r="F429" s="5" t="n"/>
    </row>
    <row r="430">
      <c r="A430" s="10">
        <f>IF($E430="","",INDEX('Input Transaksi'!$A:$A,$E430))</f>
        <v/>
      </c>
      <c r="B430" s="5">
        <f>IF($E430="","",INDEX('Input Transaksi'!$D:$D,$E430))</f>
        <v/>
      </c>
      <c r="C430">
        <f>IF($E430="","",INDEX('Input Transaksi'!$E:$E,$E430))</f>
        <v/>
      </c>
      <c r="D430" s="5">
        <f>IF($E430="","",INDEX('Input Transaksi'!$F:$F,$E430))</f>
        <v/>
      </c>
      <c r="E430">
        <f>IFERROR(AGGREGATE(15,6,ROW('Input Transaksi'!$B$5:$B$5000)/('Input Transaksi'!$B$5:$B$5000="JCL SIDAKARYA"),ROWS($E$5:E430)),"")</f>
        <v/>
      </c>
      <c r="F430" s="5" t="n"/>
    </row>
    <row r="431">
      <c r="A431" s="10">
        <f>IF($E431="","",INDEX('Input Transaksi'!$A:$A,$E431))</f>
        <v/>
      </c>
      <c r="B431" s="5">
        <f>IF($E431="","",INDEX('Input Transaksi'!$D:$D,$E431))</f>
        <v/>
      </c>
      <c r="C431">
        <f>IF($E431="","",INDEX('Input Transaksi'!$E:$E,$E431))</f>
        <v/>
      </c>
      <c r="D431" s="5">
        <f>IF($E431="","",INDEX('Input Transaksi'!$F:$F,$E431))</f>
        <v/>
      </c>
      <c r="E431">
        <f>IFERROR(AGGREGATE(15,6,ROW('Input Transaksi'!$B$5:$B$5000)/('Input Transaksi'!$B$5:$B$5000="JCL SIDAKARYA"),ROWS($E$5:E431)),"")</f>
        <v/>
      </c>
      <c r="F431" s="5" t="n"/>
    </row>
    <row r="432">
      <c r="A432" s="10">
        <f>IF($E432="","",INDEX('Input Transaksi'!$A:$A,$E432))</f>
        <v/>
      </c>
      <c r="B432" s="5">
        <f>IF($E432="","",INDEX('Input Transaksi'!$D:$D,$E432))</f>
        <v/>
      </c>
      <c r="C432">
        <f>IF($E432="","",INDEX('Input Transaksi'!$E:$E,$E432))</f>
        <v/>
      </c>
      <c r="D432" s="5">
        <f>IF($E432="","",INDEX('Input Transaksi'!$F:$F,$E432))</f>
        <v/>
      </c>
      <c r="E432">
        <f>IFERROR(AGGREGATE(15,6,ROW('Input Transaksi'!$B$5:$B$5000)/('Input Transaksi'!$B$5:$B$5000="JCL SIDAKARYA"),ROWS($E$5:E432)),"")</f>
        <v/>
      </c>
      <c r="F432" s="5" t="n"/>
    </row>
    <row r="433">
      <c r="A433" s="10">
        <f>IF($E433="","",INDEX('Input Transaksi'!$A:$A,$E433))</f>
        <v/>
      </c>
      <c r="B433" s="5">
        <f>IF($E433="","",INDEX('Input Transaksi'!$D:$D,$E433))</f>
        <v/>
      </c>
      <c r="C433">
        <f>IF($E433="","",INDEX('Input Transaksi'!$E:$E,$E433))</f>
        <v/>
      </c>
      <c r="D433" s="5">
        <f>IF($E433="","",INDEX('Input Transaksi'!$F:$F,$E433))</f>
        <v/>
      </c>
      <c r="E433">
        <f>IFERROR(AGGREGATE(15,6,ROW('Input Transaksi'!$B$5:$B$5000)/('Input Transaksi'!$B$5:$B$5000="JCL SIDAKARYA"),ROWS($E$5:E433)),"")</f>
        <v/>
      </c>
      <c r="F433" s="5" t="n"/>
    </row>
    <row r="434">
      <c r="A434" s="10">
        <f>IF($E434="","",INDEX('Input Transaksi'!$A:$A,$E434))</f>
        <v/>
      </c>
      <c r="B434" s="5">
        <f>IF($E434="","",INDEX('Input Transaksi'!$D:$D,$E434))</f>
        <v/>
      </c>
      <c r="C434">
        <f>IF($E434="","",INDEX('Input Transaksi'!$E:$E,$E434))</f>
        <v/>
      </c>
      <c r="D434" s="5">
        <f>IF($E434="","",INDEX('Input Transaksi'!$F:$F,$E434))</f>
        <v/>
      </c>
      <c r="E434">
        <f>IFERROR(AGGREGATE(15,6,ROW('Input Transaksi'!$B$5:$B$5000)/('Input Transaksi'!$B$5:$B$5000="JCL SIDAKARYA"),ROWS($E$5:E434)),"")</f>
        <v/>
      </c>
      <c r="F434" s="5" t="n"/>
    </row>
    <row r="435">
      <c r="A435" s="10">
        <f>IF($E435="","",INDEX('Input Transaksi'!$A:$A,$E435))</f>
        <v/>
      </c>
      <c r="B435" s="5">
        <f>IF($E435="","",INDEX('Input Transaksi'!$D:$D,$E435))</f>
        <v/>
      </c>
      <c r="C435">
        <f>IF($E435="","",INDEX('Input Transaksi'!$E:$E,$E435))</f>
        <v/>
      </c>
      <c r="D435" s="5">
        <f>IF($E435="","",INDEX('Input Transaksi'!$F:$F,$E435))</f>
        <v/>
      </c>
      <c r="E435">
        <f>IFERROR(AGGREGATE(15,6,ROW('Input Transaksi'!$B$5:$B$5000)/('Input Transaksi'!$B$5:$B$5000="JCL SIDAKARYA"),ROWS($E$5:E435)),"")</f>
        <v/>
      </c>
      <c r="F435" s="5" t="n"/>
    </row>
    <row r="436">
      <c r="A436" s="10">
        <f>IF($E436="","",INDEX('Input Transaksi'!$A:$A,$E436))</f>
        <v/>
      </c>
      <c r="B436" s="5">
        <f>IF($E436="","",INDEX('Input Transaksi'!$D:$D,$E436))</f>
        <v/>
      </c>
      <c r="C436">
        <f>IF($E436="","",INDEX('Input Transaksi'!$E:$E,$E436))</f>
        <v/>
      </c>
      <c r="D436" s="5">
        <f>IF($E436="","",INDEX('Input Transaksi'!$F:$F,$E436))</f>
        <v/>
      </c>
      <c r="E436">
        <f>IFERROR(AGGREGATE(15,6,ROW('Input Transaksi'!$B$5:$B$5000)/('Input Transaksi'!$B$5:$B$5000="JCL SIDAKARYA"),ROWS($E$5:E436)),"")</f>
        <v/>
      </c>
      <c r="F436" s="5" t="n"/>
    </row>
    <row r="437">
      <c r="A437" s="10">
        <f>IF($E437="","",INDEX('Input Transaksi'!$A:$A,$E437))</f>
        <v/>
      </c>
      <c r="B437" s="5">
        <f>IF($E437="","",INDEX('Input Transaksi'!$D:$D,$E437))</f>
        <v/>
      </c>
      <c r="C437">
        <f>IF($E437="","",INDEX('Input Transaksi'!$E:$E,$E437))</f>
        <v/>
      </c>
      <c r="D437" s="5">
        <f>IF($E437="","",INDEX('Input Transaksi'!$F:$F,$E437))</f>
        <v/>
      </c>
      <c r="E437">
        <f>IFERROR(AGGREGATE(15,6,ROW('Input Transaksi'!$B$5:$B$5000)/('Input Transaksi'!$B$5:$B$5000="JCL SIDAKARYA"),ROWS($E$5:E437)),"")</f>
        <v/>
      </c>
      <c r="F437" s="5" t="n"/>
    </row>
    <row r="438">
      <c r="A438" s="10">
        <f>IF($E438="","",INDEX('Input Transaksi'!$A:$A,$E438))</f>
        <v/>
      </c>
      <c r="B438" s="5">
        <f>IF($E438="","",INDEX('Input Transaksi'!$D:$D,$E438))</f>
        <v/>
      </c>
      <c r="C438">
        <f>IF($E438="","",INDEX('Input Transaksi'!$E:$E,$E438))</f>
        <v/>
      </c>
      <c r="D438" s="5">
        <f>IF($E438="","",INDEX('Input Transaksi'!$F:$F,$E438))</f>
        <v/>
      </c>
      <c r="E438">
        <f>IFERROR(AGGREGATE(15,6,ROW('Input Transaksi'!$B$5:$B$5000)/('Input Transaksi'!$B$5:$B$5000="JCL SIDAKARYA"),ROWS($E$5:E438)),"")</f>
        <v/>
      </c>
      <c r="F438" s="5" t="n"/>
    </row>
    <row r="439">
      <c r="A439" s="10">
        <f>IF($E439="","",INDEX('Input Transaksi'!$A:$A,$E439))</f>
        <v/>
      </c>
      <c r="B439" s="5">
        <f>IF($E439="","",INDEX('Input Transaksi'!$D:$D,$E439))</f>
        <v/>
      </c>
      <c r="C439">
        <f>IF($E439="","",INDEX('Input Transaksi'!$E:$E,$E439))</f>
        <v/>
      </c>
      <c r="D439" s="5">
        <f>IF($E439="","",INDEX('Input Transaksi'!$F:$F,$E439))</f>
        <v/>
      </c>
      <c r="E439">
        <f>IFERROR(AGGREGATE(15,6,ROW('Input Transaksi'!$B$5:$B$5000)/('Input Transaksi'!$B$5:$B$5000="JCL SIDAKARYA"),ROWS($E$5:E439)),"")</f>
        <v/>
      </c>
      <c r="F439" s="5" t="n"/>
    </row>
    <row r="440">
      <c r="A440" s="10">
        <f>IF($E440="","",INDEX('Input Transaksi'!$A:$A,$E440))</f>
        <v/>
      </c>
      <c r="B440" s="5">
        <f>IF($E440="","",INDEX('Input Transaksi'!$D:$D,$E440))</f>
        <v/>
      </c>
      <c r="C440">
        <f>IF($E440="","",INDEX('Input Transaksi'!$E:$E,$E440))</f>
        <v/>
      </c>
      <c r="D440" s="5">
        <f>IF($E440="","",INDEX('Input Transaksi'!$F:$F,$E440))</f>
        <v/>
      </c>
      <c r="E440">
        <f>IFERROR(AGGREGATE(15,6,ROW('Input Transaksi'!$B$5:$B$5000)/('Input Transaksi'!$B$5:$B$5000="JCL SIDAKARYA"),ROWS($E$5:E440)),"")</f>
        <v/>
      </c>
      <c r="F440" s="5" t="n"/>
    </row>
    <row r="441">
      <c r="A441" s="10">
        <f>IF($E441="","",INDEX('Input Transaksi'!$A:$A,$E441))</f>
        <v/>
      </c>
      <c r="B441" s="5">
        <f>IF($E441="","",INDEX('Input Transaksi'!$D:$D,$E441))</f>
        <v/>
      </c>
      <c r="C441">
        <f>IF($E441="","",INDEX('Input Transaksi'!$E:$E,$E441))</f>
        <v/>
      </c>
      <c r="D441" s="5">
        <f>IF($E441="","",INDEX('Input Transaksi'!$F:$F,$E441))</f>
        <v/>
      </c>
      <c r="E441">
        <f>IFERROR(AGGREGATE(15,6,ROW('Input Transaksi'!$B$5:$B$5000)/('Input Transaksi'!$B$5:$B$5000="JCL SIDAKARYA"),ROWS($E$5:E441)),"")</f>
        <v/>
      </c>
      <c r="F441" s="5" t="n"/>
    </row>
    <row r="442">
      <c r="A442" s="10">
        <f>IF($E442="","",INDEX('Input Transaksi'!$A:$A,$E442))</f>
        <v/>
      </c>
      <c r="B442" s="5">
        <f>IF($E442="","",INDEX('Input Transaksi'!$D:$D,$E442))</f>
        <v/>
      </c>
      <c r="C442">
        <f>IF($E442="","",INDEX('Input Transaksi'!$E:$E,$E442))</f>
        <v/>
      </c>
      <c r="D442" s="5">
        <f>IF($E442="","",INDEX('Input Transaksi'!$F:$F,$E442))</f>
        <v/>
      </c>
      <c r="E442">
        <f>IFERROR(AGGREGATE(15,6,ROW('Input Transaksi'!$B$5:$B$5000)/('Input Transaksi'!$B$5:$B$5000="JCL SIDAKARYA"),ROWS($E$5:E442)),"")</f>
        <v/>
      </c>
      <c r="F442" s="5" t="n"/>
    </row>
    <row r="443">
      <c r="A443" s="10">
        <f>IF($E443="","",INDEX('Input Transaksi'!$A:$A,$E443))</f>
        <v/>
      </c>
      <c r="B443" s="5">
        <f>IF($E443="","",INDEX('Input Transaksi'!$D:$D,$E443))</f>
        <v/>
      </c>
      <c r="C443">
        <f>IF($E443="","",INDEX('Input Transaksi'!$E:$E,$E443))</f>
        <v/>
      </c>
      <c r="D443" s="5">
        <f>IF($E443="","",INDEX('Input Transaksi'!$F:$F,$E443))</f>
        <v/>
      </c>
      <c r="E443">
        <f>IFERROR(AGGREGATE(15,6,ROW('Input Transaksi'!$B$5:$B$5000)/('Input Transaksi'!$B$5:$B$5000="JCL SIDAKARYA"),ROWS($E$5:E443)),"")</f>
        <v/>
      </c>
      <c r="F443" s="5" t="n"/>
    </row>
    <row r="444">
      <c r="A444" s="10">
        <f>IF($E444="","",INDEX('Input Transaksi'!$A:$A,$E444))</f>
        <v/>
      </c>
      <c r="B444" s="5">
        <f>IF($E444="","",INDEX('Input Transaksi'!$D:$D,$E444))</f>
        <v/>
      </c>
      <c r="C444">
        <f>IF($E444="","",INDEX('Input Transaksi'!$E:$E,$E444))</f>
        <v/>
      </c>
      <c r="D444" s="5">
        <f>IF($E444="","",INDEX('Input Transaksi'!$F:$F,$E444))</f>
        <v/>
      </c>
      <c r="E444">
        <f>IFERROR(AGGREGATE(15,6,ROW('Input Transaksi'!$B$5:$B$5000)/('Input Transaksi'!$B$5:$B$5000="JCL SIDAKARYA"),ROWS($E$5:E444)),"")</f>
        <v/>
      </c>
      <c r="F444" s="5" t="n"/>
    </row>
    <row r="445">
      <c r="A445" s="10">
        <f>IF($E445="","",INDEX('Input Transaksi'!$A:$A,$E445))</f>
        <v/>
      </c>
      <c r="B445" s="5">
        <f>IF($E445="","",INDEX('Input Transaksi'!$D:$D,$E445))</f>
        <v/>
      </c>
      <c r="C445">
        <f>IF($E445="","",INDEX('Input Transaksi'!$E:$E,$E445))</f>
        <v/>
      </c>
      <c r="D445" s="5">
        <f>IF($E445="","",INDEX('Input Transaksi'!$F:$F,$E445))</f>
        <v/>
      </c>
      <c r="E445">
        <f>IFERROR(AGGREGATE(15,6,ROW('Input Transaksi'!$B$5:$B$5000)/('Input Transaksi'!$B$5:$B$5000="JCL SIDAKARYA"),ROWS($E$5:E445)),"")</f>
        <v/>
      </c>
      <c r="F445" s="5" t="n"/>
    </row>
    <row r="446">
      <c r="A446" s="10">
        <f>IF($E446="","",INDEX('Input Transaksi'!$A:$A,$E446))</f>
        <v/>
      </c>
      <c r="B446" s="5">
        <f>IF($E446="","",INDEX('Input Transaksi'!$D:$D,$E446))</f>
        <v/>
      </c>
      <c r="C446">
        <f>IF($E446="","",INDEX('Input Transaksi'!$E:$E,$E446))</f>
        <v/>
      </c>
      <c r="D446" s="5">
        <f>IF($E446="","",INDEX('Input Transaksi'!$F:$F,$E446))</f>
        <v/>
      </c>
      <c r="E446">
        <f>IFERROR(AGGREGATE(15,6,ROW('Input Transaksi'!$B$5:$B$5000)/('Input Transaksi'!$B$5:$B$5000="JCL SIDAKARYA"),ROWS($E$5:E446)),"")</f>
        <v/>
      </c>
      <c r="F446" s="5" t="n"/>
    </row>
    <row r="447">
      <c r="A447" s="10">
        <f>IF($E447="","",INDEX('Input Transaksi'!$A:$A,$E447))</f>
        <v/>
      </c>
      <c r="B447" s="5">
        <f>IF($E447="","",INDEX('Input Transaksi'!$D:$D,$E447))</f>
        <v/>
      </c>
      <c r="C447">
        <f>IF($E447="","",INDEX('Input Transaksi'!$E:$E,$E447))</f>
        <v/>
      </c>
      <c r="D447" s="5">
        <f>IF($E447="","",INDEX('Input Transaksi'!$F:$F,$E447))</f>
        <v/>
      </c>
      <c r="E447">
        <f>IFERROR(AGGREGATE(15,6,ROW('Input Transaksi'!$B$5:$B$5000)/('Input Transaksi'!$B$5:$B$5000="JCL SIDAKARYA"),ROWS($E$5:E447)),"")</f>
        <v/>
      </c>
      <c r="F447" s="5" t="n"/>
    </row>
    <row r="448">
      <c r="A448" s="10">
        <f>IF($E448="","",INDEX('Input Transaksi'!$A:$A,$E448))</f>
        <v/>
      </c>
      <c r="B448" s="5">
        <f>IF($E448="","",INDEX('Input Transaksi'!$D:$D,$E448))</f>
        <v/>
      </c>
      <c r="C448">
        <f>IF($E448="","",INDEX('Input Transaksi'!$E:$E,$E448))</f>
        <v/>
      </c>
      <c r="D448" s="5">
        <f>IF($E448="","",INDEX('Input Transaksi'!$F:$F,$E448))</f>
        <v/>
      </c>
      <c r="E448">
        <f>IFERROR(AGGREGATE(15,6,ROW('Input Transaksi'!$B$5:$B$5000)/('Input Transaksi'!$B$5:$B$5000="JCL SIDAKARYA"),ROWS($E$5:E448)),"")</f>
        <v/>
      </c>
      <c r="F448" s="5" t="n"/>
    </row>
    <row r="449">
      <c r="A449" s="10">
        <f>IF($E449="","",INDEX('Input Transaksi'!$A:$A,$E449))</f>
        <v/>
      </c>
      <c r="B449" s="5">
        <f>IF($E449="","",INDEX('Input Transaksi'!$D:$D,$E449))</f>
        <v/>
      </c>
      <c r="C449">
        <f>IF($E449="","",INDEX('Input Transaksi'!$E:$E,$E449))</f>
        <v/>
      </c>
      <c r="D449" s="5">
        <f>IF($E449="","",INDEX('Input Transaksi'!$F:$F,$E449))</f>
        <v/>
      </c>
      <c r="E449">
        <f>IFERROR(AGGREGATE(15,6,ROW('Input Transaksi'!$B$5:$B$5000)/('Input Transaksi'!$B$5:$B$5000="JCL SIDAKARYA"),ROWS($E$5:E449)),"")</f>
        <v/>
      </c>
      <c r="F449" s="5" t="n"/>
    </row>
    <row r="450">
      <c r="A450" s="10">
        <f>IF($E450="","",INDEX('Input Transaksi'!$A:$A,$E450))</f>
        <v/>
      </c>
      <c r="B450" s="5">
        <f>IF($E450="","",INDEX('Input Transaksi'!$D:$D,$E450))</f>
        <v/>
      </c>
      <c r="C450">
        <f>IF($E450="","",INDEX('Input Transaksi'!$E:$E,$E450))</f>
        <v/>
      </c>
      <c r="D450" s="5">
        <f>IF($E450="","",INDEX('Input Transaksi'!$F:$F,$E450))</f>
        <v/>
      </c>
      <c r="E450">
        <f>IFERROR(AGGREGATE(15,6,ROW('Input Transaksi'!$B$5:$B$5000)/('Input Transaksi'!$B$5:$B$5000="JCL SIDAKARYA"),ROWS($E$5:E450)),"")</f>
        <v/>
      </c>
      <c r="F450" s="5" t="n"/>
    </row>
    <row r="451">
      <c r="A451" s="10">
        <f>IF($E451="","",INDEX('Input Transaksi'!$A:$A,$E451))</f>
        <v/>
      </c>
      <c r="B451" s="5">
        <f>IF($E451="","",INDEX('Input Transaksi'!$D:$D,$E451))</f>
        <v/>
      </c>
      <c r="C451">
        <f>IF($E451="","",INDEX('Input Transaksi'!$E:$E,$E451))</f>
        <v/>
      </c>
      <c r="D451" s="5">
        <f>IF($E451="","",INDEX('Input Transaksi'!$F:$F,$E451))</f>
        <v/>
      </c>
      <c r="E451">
        <f>IFERROR(AGGREGATE(15,6,ROW('Input Transaksi'!$B$5:$B$5000)/('Input Transaksi'!$B$5:$B$5000="JCL SIDAKARYA"),ROWS($E$5:E451)),"")</f>
        <v/>
      </c>
      <c r="F451" s="5" t="n"/>
    </row>
    <row r="452">
      <c r="A452" s="10">
        <f>IF($E452="","",INDEX('Input Transaksi'!$A:$A,$E452))</f>
        <v/>
      </c>
      <c r="B452" s="5">
        <f>IF($E452="","",INDEX('Input Transaksi'!$D:$D,$E452))</f>
        <v/>
      </c>
      <c r="C452">
        <f>IF($E452="","",INDEX('Input Transaksi'!$E:$E,$E452))</f>
        <v/>
      </c>
      <c r="D452" s="5">
        <f>IF($E452="","",INDEX('Input Transaksi'!$F:$F,$E452))</f>
        <v/>
      </c>
      <c r="E452">
        <f>IFERROR(AGGREGATE(15,6,ROW('Input Transaksi'!$B$5:$B$5000)/('Input Transaksi'!$B$5:$B$5000="JCL SIDAKARYA"),ROWS($E$5:E452)),"")</f>
        <v/>
      </c>
      <c r="F452" s="5" t="n"/>
    </row>
    <row r="453">
      <c r="A453" s="10">
        <f>IF($E453="","",INDEX('Input Transaksi'!$A:$A,$E453))</f>
        <v/>
      </c>
      <c r="B453" s="5">
        <f>IF($E453="","",INDEX('Input Transaksi'!$D:$D,$E453))</f>
        <v/>
      </c>
      <c r="C453">
        <f>IF($E453="","",INDEX('Input Transaksi'!$E:$E,$E453))</f>
        <v/>
      </c>
      <c r="D453" s="5">
        <f>IF($E453="","",INDEX('Input Transaksi'!$F:$F,$E453))</f>
        <v/>
      </c>
      <c r="E453">
        <f>IFERROR(AGGREGATE(15,6,ROW('Input Transaksi'!$B$5:$B$5000)/('Input Transaksi'!$B$5:$B$5000="JCL SIDAKARYA"),ROWS($E$5:E453)),"")</f>
        <v/>
      </c>
      <c r="F453" s="5" t="n"/>
    </row>
    <row r="454">
      <c r="A454" s="10">
        <f>IF($E454="","",INDEX('Input Transaksi'!$A:$A,$E454))</f>
        <v/>
      </c>
      <c r="B454" s="5">
        <f>IF($E454="","",INDEX('Input Transaksi'!$D:$D,$E454))</f>
        <v/>
      </c>
      <c r="C454">
        <f>IF($E454="","",INDEX('Input Transaksi'!$E:$E,$E454))</f>
        <v/>
      </c>
      <c r="D454" s="5">
        <f>IF($E454="","",INDEX('Input Transaksi'!$F:$F,$E454))</f>
        <v/>
      </c>
      <c r="E454">
        <f>IFERROR(AGGREGATE(15,6,ROW('Input Transaksi'!$B$5:$B$5000)/('Input Transaksi'!$B$5:$B$5000="JCL SIDAKARYA"),ROWS($E$5:E454)),"")</f>
        <v/>
      </c>
      <c r="F454" s="5" t="n"/>
    </row>
    <row r="455">
      <c r="A455" s="10">
        <f>IF($E455="","",INDEX('Input Transaksi'!$A:$A,$E455))</f>
        <v/>
      </c>
      <c r="B455" s="5">
        <f>IF($E455="","",INDEX('Input Transaksi'!$D:$D,$E455))</f>
        <v/>
      </c>
      <c r="C455">
        <f>IF($E455="","",INDEX('Input Transaksi'!$E:$E,$E455))</f>
        <v/>
      </c>
      <c r="D455" s="5">
        <f>IF($E455="","",INDEX('Input Transaksi'!$F:$F,$E455))</f>
        <v/>
      </c>
      <c r="E455">
        <f>IFERROR(AGGREGATE(15,6,ROW('Input Transaksi'!$B$5:$B$5000)/('Input Transaksi'!$B$5:$B$5000="JCL SIDAKARYA"),ROWS($E$5:E455)),"")</f>
        <v/>
      </c>
      <c r="F455" s="5" t="n"/>
    </row>
    <row r="456">
      <c r="A456" s="10">
        <f>IF($E456="","",INDEX('Input Transaksi'!$A:$A,$E456))</f>
        <v/>
      </c>
      <c r="B456" s="5">
        <f>IF($E456="","",INDEX('Input Transaksi'!$D:$D,$E456))</f>
        <v/>
      </c>
      <c r="C456">
        <f>IF($E456="","",INDEX('Input Transaksi'!$E:$E,$E456))</f>
        <v/>
      </c>
      <c r="D456" s="5">
        <f>IF($E456="","",INDEX('Input Transaksi'!$F:$F,$E456))</f>
        <v/>
      </c>
      <c r="E456">
        <f>IFERROR(AGGREGATE(15,6,ROW('Input Transaksi'!$B$5:$B$5000)/('Input Transaksi'!$B$5:$B$5000="JCL SIDAKARYA"),ROWS($E$5:E456)),"")</f>
        <v/>
      </c>
      <c r="F456" s="5" t="n"/>
    </row>
    <row r="457">
      <c r="A457" s="10">
        <f>IF($E457="","",INDEX('Input Transaksi'!$A:$A,$E457))</f>
        <v/>
      </c>
      <c r="B457" s="5">
        <f>IF($E457="","",INDEX('Input Transaksi'!$D:$D,$E457))</f>
        <v/>
      </c>
      <c r="C457">
        <f>IF($E457="","",INDEX('Input Transaksi'!$E:$E,$E457))</f>
        <v/>
      </c>
      <c r="D457" s="5">
        <f>IF($E457="","",INDEX('Input Transaksi'!$F:$F,$E457))</f>
        <v/>
      </c>
      <c r="E457">
        <f>IFERROR(AGGREGATE(15,6,ROW('Input Transaksi'!$B$5:$B$5000)/('Input Transaksi'!$B$5:$B$5000="JCL SIDAKARYA"),ROWS($E$5:E457)),"")</f>
        <v/>
      </c>
      <c r="F457" s="5" t="n"/>
    </row>
    <row r="458">
      <c r="A458" s="10">
        <f>IF($E458="","",INDEX('Input Transaksi'!$A:$A,$E458))</f>
        <v/>
      </c>
      <c r="B458" s="5">
        <f>IF($E458="","",INDEX('Input Transaksi'!$D:$D,$E458))</f>
        <v/>
      </c>
      <c r="C458">
        <f>IF($E458="","",INDEX('Input Transaksi'!$E:$E,$E458))</f>
        <v/>
      </c>
      <c r="D458" s="5">
        <f>IF($E458="","",INDEX('Input Transaksi'!$F:$F,$E458))</f>
        <v/>
      </c>
      <c r="E458">
        <f>IFERROR(AGGREGATE(15,6,ROW('Input Transaksi'!$B$5:$B$5000)/('Input Transaksi'!$B$5:$B$5000="JCL SIDAKARYA"),ROWS($E$5:E458)),"")</f>
        <v/>
      </c>
      <c r="F458" s="5" t="n"/>
    </row>
    <row r="459">
      <c r="A459" s="10">
        <f>IF($E459="","",INDEX('Input Transaksi'!$A:$A,$E459))</f>
        <v/>
      </c>
      <c r="B459" s="5">
        <f>IF($E459="","",INDEX('Input Transaksi'!$D:$D,$E459))</f>
        <v/>
      </c>
      <c r="C459">
        <f>IF($E459="","",INDEX('Input Transaksi'!$E:$E,$E459))</f>
        <v/>
      </c>
      <c r="D459" s="5">
        <f>IF($E459="","",INDEX('Input Transaksi'!$F:$F,$E459))</f>
        <v/>
      </c>
      <c r="E459">
        <f>IFERROR(AGGREGATE(15,6,ROW('Input Transaksi'!$B$5:$B$5000)/('Input Transaksi'!$B$5:$B$5000="JCL SIDAKARYA"),ROWS($E$5:E459)),"")</f>
        <v/>
      </c>
      <c r="F459" s="5" t="n"/>
    </row>
    <row r="460">
      <c r="A460" s="10">
        <f>IF($E460="","",INDEX('Input Transaksi'!$A:$A,$E460))</f>
        <v/>
      </c>
      <c r="B460" s="5">
        <f>IF($E460="","",INDEX('Input Transaksi'!$D:$D,$E460))</f>
        <v/>
      </c>
      <c r="C460">
        <f>IF($E460="","",INDEX('Input Transaksi'!$E:$E,$E460))</f>
        <v/>
      </c>
      <c r="D460" s="5">
        <f>IF($E460="","",INDEX('Input Transaksi'!$F:$F,$E460))</f>
        <v/>
      </c>
      <c r="E460">
        <f>IFERROR(AGGREGATE(15,6,ROW('Input Transaksi'!$B$5:$B$5000)/('Input Transaksi'!$B$5:$B$5000="JCL SIDAKARYA"),ROWS($E$5:E460)),"")</f>
        <v/>
      </c>
      <c r="F460" s="5" t="n"/>
    </row>
    <row r="461">
      <c r="A461" s="10">
        <f>IF($E461="","",INDEX('Input Transaksi'!$A:$A,$E461))</f>
        <v/>
      </c>
      <c r="B461" s="5">
        <f>IF($E461="","",INDEX('Input Transaksi'!$D:$D,$E461))</f>
        <v/>
      </c>
      <c r="C461">
        <f>IF($E461="","",INDEX('Input Transaksi'!$E:$E,$E461))</f>
        <v/>
      </c>
      <c r="D461" s="5">
        <f>IF($E461="","",INDEX('Input Transaksi'!$F:$F,$E461))</f>
        <v/>
      </c>
      <c r="E461">
        <f>IFERROR(AGGREGATE(15,6,ROW('Input Transaksi'!$B$5:$B$5000)/('Input Transaksi'!$B$5:$B$5000="JCL SIDAKARYA"),ROWS($E$5:E461)),"")</f>
        <v/>
      </c>
      <c r="F461" s="5" t="n"/>
    </row>
    <row r="462">
      <c r="A462" s="10">
        <f>IF($E462="","",INDEX('Input Transaksi'!$A:$A,$E462))</f>
        <v/>
      </c>
      <c r="B462" s="5">
        <f>IF($E462="","",INDEX('Input Transaksi'!$D:$D,$E462))</f>
        <v/>
      </c>
      <c r="C462">
        <f>IF($E462="","",INDEX('Input Transaksi'!$E:$E,$E462))</f>
        <v/>
      </c>
      <c r="D462" s="5">
        <f>IF($E462="","",INDEX('Input Transaksi'!$F:$F,$E462))</f>
        <v/>
      </c>
      <c r="E462">
        <f>IFERROR(AGGREGATE(15,6,ROW('Input Transaksi'!$B$5:$B$5000)/('Input Transaksi'!$B$5:$B$5000="JCL SIDAKARYA"),ROWS($E$5:E462)),"")</f>
        <v/>
      </c>
      <c r="F462" s="5" t="n"/>
    </row>
    <row r="463">
      <c r="A463" s="10">
        <f>IF($E463="","",INDEX('Input Transaksi'!$A:$A,$E463))</f>
        <v/>
      </c>
      <c r="B463" s="5">
        <f>IF($E463="","",INDEX('Input Transaksi'!$D:$D,$E463))</f>
        <v/>
      </c>
      <c r="C463">
        <f>IF($E463="","",INDEX('Input Transaksi'!$E:$E,$E463))</f>
        <v/>
      </c>
      <c r="D463" s="5">
        <f>IF($E463="","",INDEX('Input Transaksi'!$F:$F,$E463))</f>
        <v/>
      </c>
      <c r="E463">
        <f>IFERROR(AGGREGATE(15,6,ROW('Input Transaksi'!$B$5:$B$5000)/('Input Transaksi'!$B$5:$B$5000="JCL SIDAKARYA"),ROWS($E$5:E463)),"")</f>
        <v/>
      </c>
      <c r="F463" s="5" t="n"/>
    </row>
    <row r="464">
      <c r="A464" s="10">
        <f>IF($E464="","",INDEX('Input Transaksi'!$A:$A,$E464))</f>
        <v/>
      </c>
      <c r="B464" s="5">
        <f>IF($E464="","",INDEX('Input Transaksi'!$D:$D,$E464))</f>
        <v/>
      </c>
      <c r="C464">
        <f>IF($E464="","",INDEX('Input Transaksi'!$E:$E,$E464))</f>
        <v/>
      </c>
      <c r="D464" s="5">
        <f>IF($E464="","",INDEX('Input Transaksi'!$F:$F,$E464))</f>
        <v/>
      </c>
      <c r="E464">
        <f>IFERROR(AGGREGATE(15,6,ROW('Input Transaksi'!$B$5:$B$5000)/('Input Transaksi'!$B$5:$B$5000="JCL SIDAKARYA"),ROWS($E$5:E464)),"")</f>
        <v/>
      </c>
      <c r="F464" s="5" t="n"/>
    </row>
    <row r="465">
      <c r="A465" s="10">
        <f>IF($E465="","",INDEX('Input Transaksi'!$A:$A,$E465))</f>
        <v/>
      </c>
      <c r="B465" s="5">
        <f>IF($E465="","",INDEX('Input Transaksi'!$D:$D,$E465))</f>
        <v/>
      </c>
      <c r="C465">
        <f>IF($E465="","",INDEX('Input Transaksi'!$E:$E,$E465))</f>
        <v/>
      </c>
      <c r="D465" s="5">
        <f>IF($E465="","",INDEX('Input Transaksi'!$F:$F,$E465))</f>
        <v/>
      </c>
      <c r="E465">
        <f>IFERROR(AGGREGATE(15,6,ROW('Input Transaksi'!$B$5:$B$5000)/('Input Transaksi'!$B$5:$B$5000="JCL SIDAKARYA"),ROWS($E$5:E465)),"")</f>
        <v/>
      </c>
      <c r="F465" s="5" t="n"/>
    </row>
    <row r="466">
      <c r="A466" s="10">
        <f>IF($E466="","",INDEX('Input Transaksi'!$A:$A,$E466))</f>
        <v/>
      </c>
      <c r="B466" s="5">
        <f>IF($E466="","",INDEX('Input Transaksi'!$D:$D,$E466))</f>
        <v/>
      </c>
      <c r="C466">
        <f>IF($E466="","",INDEX('Input Transaksi'!$E:$E,$E466))</f>
        <v/>
      </c>
      <c r="D466" s="5">
        <f>IF($E466="","",INDEX('Input Transaksi'!$F:$F,$E466))</f>
        <v/>
      </c>
      <c r="E466">
        <f>IFERROR(AGGREGATE(15,6,ROW('Input Transaksi'!$B$5:$B$5000)/('Input Transaksi'!$B$5:$B$5000="JCL SIDAKARYA"),ROWS($E$5:E466)),"")</f>
        <v/>
      </c>
      <c r="F466" s="5" t="n"/>
    </row>
    <row r="467">
      <c r="A467" s="10">
        <f>IF($E467="","",INDEX('Input Transaksi'!$A:$A,$E467))</f>
        <v/>
      </c>
      <c r="B467" s="5">
        <f>IF($E467="","",INDEX('Input Transaksi'!$D:$D,$E467))</f>
        <v/>
      </c>
      <c r="C467">
        <f>IF($E467="","",INDEX('Input Transaksi'!$E:$E,$E467))</f>
        <v/>
      </c>
      <c r="D467" s="5">
        <f>IF($E467="","",INDEX('Input Transaksi'!$F:$F,$E467))</f>
        <v/>
      </c>
      <c r="E467">
        <f>IFERROR(AGGREGATE(15,6,ROW('Input Transaksi'!$B$5:$B$5000)/('Input Transaksi'!$B$5:$B$5000="JCL SIDAKARYA"),ROWS($E$5:E467)),"")</f>
        <v/>
      </c>
      <c r="F467" s="5" t="n"/>
    </row>
    <row r="468">
      <c r="A468" s="10">
        <f>IF($E468="","",INDEX('Input Transaksi'!$A:$A,$E468))</f>
        <v/>
      </c>
      <c r="B468" s="5">
        <f>IF($E468="","",INDEX('Input Transaksi'!$D:$D,$E468))</f>
        <v/>
      </c>
      <c r="C468">
        <f>IF($E468="","",INDEX('Input Transaksi'!$E:$E,$E468))</f>
        <v/>
      </c>
      <c r="D468" s="5">
        <f>IF($E468="","",INDEX('Input Transaksi'!$F:$F,$E468))</f>
        <v/>
      </c>
      <c r="E468">
        <f>IFERROR(AGGREGATE(15,6,ROW('Input Transaksi'!$B$5:$B$5000)/('Input Transaksi'!$B$5:$B$5000="JCL SIDAKARYA"),ROWS($E$5:E468)),"")</f>
        <v/>
      </c>
      <c r="F468" s="5" t="n"/>
    </row>
    <row r="469">
      <c r="A469" s="10">
        <f>IF($E469="","",INDEX('Input Transaksi'!$A:$A,$E469))</f>
        <v/>
      </c>
      <c r="B469" s="5">
        <f>IF($E469="","",INDEX('Input Transaksi'!$D:$D,$E469))</f>
        <v/>
      </c>
      <c r="C469">
        <f>IF($E469="","",INDEX('Input Transaksi'!$E:$E,$E469))</f>
        <v/>
      </c>
      <c r="D469" s="5">
        <f>IF($E469="","",INDEX('Input Transaksi'!$F:$F,$E469))</f>
        <v/>
      </c>
      <c r="E469">
        <f>IFERROR(AGGREGATE(15,6,ROW('Input Transaksi'!$B$5:$B$5000)/('Input Transaksi'!$B$5:$B$5000="JCL SIDAKARYA"),ROWS($E$5:E469)),"")</f>
        <v/>
      </c>
      <c r="F469" s="5" t="n"/>
    </row>
    <row r="470">
      <c r="A470" s="10">
        <f>IF($E470="","",INDEX('Input Transaksi'!$A:$A,$E470))</f>
        <v/>
      </c>
      <c r="B470" s="5">
        <f>IF($E470="","",INDEX('Input Transaksi'!$D:$D,$E470))</f>
        <v/>
      </c>
      <c r="C470">
        <f>IF($E470="","",INDEX('Input Transaksi'!$E:$E,$E470))</f>
        <v/>
      </c>
      <c r="D470" s="5">
        <f>IF($E470="","",INDEX('Input Transaksi'!$F:$F,$E470))</f>
        <v/>
      </c>
      <c r="E470">
        <f>IFERROR(AGGREGATE(15,6,ROW('Input Transaksi'!$B$5:$B$5000)/('Input Transaksi'!$B$5:$B$5000="JCL SIDAKARYA"),ROWS($E$5:E470)),"")</f>
        <v/>
      </c>
      <c r="F470" s="5" t="n"/>
    </row>
    <row r="471">
      <c r="A471" s="10">
        <f>IF($E471="","",INDEX('Input Transaksi'!$A:$A,$E471))</f>
        <v/>
      </c>
      <c r="B471" s="5">
        <f>IF($E471="","",INDEX('Input Transaksi'!$D:$D,$E471))</f>
        <v/>
      </c>
      <c r="C471">
        <f>IF($E471="","",INDEX('Input Transaksi'!$E:$E,$E471))</f>
        <v/>
      </c>
      <c r="D471" s="5">
        <f>IF($E471="","",INDEX('Input Transaksi'!$F:$F,$E471))</f>
        <v/>
      </c>
      <c r="E471">
        <f>IFERROR(AGGREGATE(15,6,ROW('Input Transaksi'!$B$5:$B$5000)/('Input Transaksi'!$B$5:$B$5000="JCL SIDAKARYA"),ROWS($E$5:E471)),"")</f>
        <v/>
      </c>
      <c r="F471" s="5" t="n"/>
    </row>
    <row r="472">
      <c r="A472" s="10">
        <f>IF($E472="","",INDEX('Input Transaksi'!$A:$A,$E472))</f>
        <v/>
      </c>
      <c r="B472" s="5">
        <f>IF($E472="","",INDEX('Input Transaksi'!$D:$D,$E472))</f>
        <v/>
      </c>
      <c r="C472">
        <f>IF($E472="","",INDEX('Input Transaksi'!$E:$E,$E472))</f>
        <v/>
      </c>
      <c r="D472" s="5">
        <f>IF($E472="","",INDEX('Input Transaksi'!$F:$F,$E472))</f>
        <v/>
      </c>
      <c r="E472">
        <f>IFERROR(AGGREGATE(15,6,ROW('Input Transaksi'!$B$5:$B$5000)/('Input Transaksi'!$B$5:$B$5000="JCL SIDAKARYA"),ROWS($E$5:E472)),"")</f>
        <v/>
      </c>
      <c r="F472" s="5" t="n"/>
    </row>
    <row r="473">
      <c r="A473" s="10">
        <f>IF($E473="","",INDEX('Input Transaksi'!$A:$A,$E473))</f>
        <v/>
      </c>
      <c r="B473" s="5">
        <f>IF($E473="","",INDEX('Input Transaksi'!$D:$D,$E473))</f>
        <v/>
      </c>
      <c r="C473">
        <f>IF($E473="","",INDEX('Input Transaksi'!$E:$E,$E473))</f>
        <v/>
      </c>
      <c r="D473" s="5">
        <f>IF($E473="","",INDEX('Input Transaksi'!$F:$F,$E473))</f>
        <v/>
      </c>
      <c r="E473">
        <f>IFERROR(AGGREGATE(15,6,ROW('Input Transaksi'!$B$5:$B$5000)/('Input Transaksi'!$B$5:$B$5000="JCL SIDAKARYA"),ROWS($E$5:E473)),"")</f>
        <v/>
      </c>
      <c r="F473" s="5" t="n"/>
    </row>
    <row r="474">
      <c r="A474" s="10">
        <f>IF($E474="","",INDEX('Input Transaksi'!$A:$A,$E474))</f>
        <v/>
      </c>
      <c r="B474" s="5">
        <f>IF($E474="","",INDEX('Input Transaksi'!$D:$D,$E474))</f>
        <v/>
      </c>
      <c r="C474">
        <f>IF($E474="","",INDEX('Input Transaksi'!$E:$E,$E474))</f>
        <v/>
      </c>
      <c r="D474" s="5">
        <f>IF($E474="","",INDEX('Input Transaksi'!$F:$F,$E474))</f>
        <v/>
      </c>
      <c r="E474">
        <f>IFERROR(AGGREGATE(15,6,ROW('Input Transaksi'!$B$5:$B$5000)/('Input Transaksi'!$B$5:$B$5000="JCL SIDAKARYA"),ROWS($E$5:E474)),"")</f>
        <v/>
      </c>
      <c r="F474" s="5" t="n"/>
    </row>
    <row r="475">
      <c r="A475" s="10">
        <f>IF($E475="","",INDEX('Input Transaksi'!$A:$A,$E475))</f>
        <v/>
      </c>
      <c r="B475" s="5">
        <f>IF($E475="","",INDEX('Input Transaksi'!$D:$D,$E475))</f>
        <v/>
      </c>
      <c r="C475">
        <f>IF($E475="","",INDEX('Input Transaksi'!$E:$E,$E475))</f>
        <v/>
      </c>
      <c r="D475" s="5">
        <f>IF($E475="","",INDEX('Input Transaksi'!$F:$F,$E475))</f>
        <v/>
      </c>
      <c r="E475">
        <f>IFERROR(AGGREGATE(15,6,ROW('Input Transaksi'!$B$5:$B$5000)/('Input Transaksi'!$B$5:$B$5000="JCL SIDAKARYA"),ROWS($E$5:E475)),"")</f>
        <v/>
      </c>
      <c r="F475" s="5" t="n"/>
    </row>
    <row r="476">
      <c r="A476" s="10">
        <f>IF($E476="","",INDEX('Input Transaksi'!$A:$A,$E476))</f>
        <v/>
      </c>
      <c r="B476" s="5">
        <f>IF($E476="","",INDEX('Input Transaksi'!$D:$D,$E476))</f>
        <v/>
      </c>
      <c r="C476">
        <f>IF($E476="","",INDEX('Input Transaksi'!$E:$E,$E476))</f>
        <v/>
      </c>
      <c r="D476" s="5">
        <f>IF($E476="","",INDEX('Input Transaksi'!$F:$F,$E476))</f>
        <v/>
      </c>
      <c r="E476">
        <f>IFERROR(AGGREGATE(15,6,ROW('Input Transaksi'!$B$5:$B$5000)/('Input Transaksi'!$B$5:$B$5000="JCL SIDAKARYA"),ROWS($E$5:E476)),"")</f>
        <v/>
      </c>
      <c r="F476" s="5" t="n"/>
    </row>
    <row r="477">
      <c r="A477" s="10">
        <f>IF($E477="","",INDEX('Input Transaksi'!$A:$A,$E477))</f>
        <v/>
      </c>
      <c r="B477" s="5">
        <f>IF($E477="","",INDEX('Input Transaksi'!$D:$D,$E477))</f>
        <v/>
      </c>
      <c r="C477">
        <f>IF($E477="","",INDEX('Input Transaksi'!$E:$E,$E477))</f>
        <v/>
      </c>
      <c r="D477" s="5">
        <f>IF($E477="","",INDEX('Input Transaksi'!$F:$F,$E477))</f>
        <v/>
      </c>
      <c r="E477">
        <f>IFERROR(AGGREGATE(15,6,ROW('Input Transaksi'!$B$5:$B$5000)/('Input Transaksi'!$B$5:$B$5000="JCL SIDAKARYA"),ROWS($E$5:E477)),"")</f>
        <v/>
      </c>
      <c r="F477" s="5" t="n"/>
    </row>
    <row r="478">
      <c r="A478" s="10">
        <f>IF($E478="","",INDEX('Input Transaksi'!$A:$A,$E478))</f>
        <v/>
      </c>
      <c r="B478" s="5">
        <f>IF($E478="","",INDEX('Input Transaksi'!$D:$D,$E478))</f>
        <v/>
      </c>
      <c r="C478">
        <f>IF($E478="","",INDEX('Input Transaksi'!$E:$E,$E478))</f>
        <v/>
      </c>
      <c r="D478" s="5">
        <f>IF($E478="","",INDEX('Input Transaksi'!$F:$F,$E478))</f>
        <v/>
      </c>
      <c r="E478">
        <f>IFERROR(AGGREGATE(15,6,ROW('Input Transaksi'!$B$5:$B$5000)/('Input Transaksi'!$B$5:$B$5000="JCL SIDAKARYA"),ROWS($E$5:E478)),"")</f>
        <v/>
      </c>
      <c r="F478" s="5" t="n"/>
    </row>
    <row r="479">
      <c r="A479" s="10">
        <f>IF($E479="","",INDEX('Input Transaksi'!$A:$A,$E479))</f>
        <v/>
      </c>
      <c r="B479" s="5">
        <f>IF($E479="","",INDEX('Input Transaksi'!$D:$D,$E479))</f>
        <v/>
      </c>
      <c r="C479">
        <f>IF($E479="","",INDEX('Input Transaksi'!$E:$E,$E479))</f>
        <v/>
      </c>
      <c r="D479" s="5">
        <f>IF($E479="","",INDEX('Input Transaksi'!$F:$F,$E479))</f>
        <v/>
      </c>
      <c r="E479">
        <f>IFERROR(AGGREGATE(15,6,ROW('Input Transaksi'!$B$5:$B$5000)/('Input Transaksi'!$B$5:$B$5000="JCL SIDAKARYA"),ROWS($E$5:E479)),"")</f>
        <v/>
      </c>
      <c r="F479" s="5" t="n"/>
    </row>
    <row r="480">
      <c r="A480" s="10">
        <f>IF($E480="","",INDEX('Input Transaksi'!$A:$A,$E480))</f>
        <v/>
      </c>
      <c r="B480" s="5">
        <f>IF($E480="","",INDEX('Input Transaksi'!$D:$D,$E480))</f>
        <v/>
      </c>
      <c r="C480">
        <f>IF($E480="","",INDEX('Input Transaksi'!$E:$E,$E480))</f>
        <v/>
      </c>
      <c r="D480" s="5">
        <f>IF($E480="","",INDEX('Input Transaksi'!$F:$F,$E480))</f>
        <v/>
      </c>
      <c r="E480">
        <f>IFERROR(AGGREGATE(15,6,ROW('Input Transaksi'!$B$5:$B$5000)/('Input Transaksi'!$B$5:$B$5000="JCL SIDAKARYA"),ROWS($E$5:E480)),"")</f>
        <v/>
      </c>
      <c r="F480" s="5" t="n"/>
    </row>
    <row r="481">
      <c r="A481" s="10">
        <f>IF($E481="","",INDEX('Input Transaksi'!$A:$A,$E481))</f>
        <v/>
      </c>
      <c r="B481" s="5">
        <f>IF($E481="","",INDEX('Input Transaksi'!$D:$D,$E481))</f>
        <v/>
      </c>
      <c r="C481">
        <f>IF($E481="","",INDEX('Input Transaksi'!$E:$E,$E481))</f>
        <v/>
      </c>
      <c r="D481" s="5">
        <f>IF($E481="","",INDEX('Input Transaksi'!$F:$F,$E481))</f>
        <v/>
      </c>
      <c r="E481">
        <f>IFERROR(AGGREGATE(15,6,ROW('Input Transaksi'!$B$5:$B$5000)/('Input Transaksi'!$B$5:$B$5000="JCL SIDAKARYA"),ROWS($E$5:E481)),"")</f>
        <v/>
      </c>
      <c r="F481" s="5" t="n"/>
    </row>
    <row r="482">
      <c r="A482" s="10">
        <f>IF($E482="","",INDEX('Input Transaksi'!$A:$A,$E482))</f>
        <v/>
      </c>
      <c r="B482" s="5">
        <f>IF($E482="","",INDEX('Input Transaksi'!$D:$D,$E482))</f>
        <v/>
      </c>
      <c r="C482">
        <f>IF($E482="","",INDEX('Input Transaksi'!$E:$E,$E482))</f>
        <v/>
      </c>
      <c r="D482" s="5">
        <f>IF($E482="","",INDEX('Input Transaksi'!$F:$F,$E482))</f>
        <v/>
      </c>
      <c r="E482">
        <f>IFERROR(AGGREGATE(15,6,ROW('Input Transaksi'!$B$5:$B$5000)/('Input Transaksi'!$B$5:$B$5000="JCL SIDAKARYA"),ROWS($E$5:E482)),"")</f>
        <v/>
      </c>
      <c r="F482" s="5" t="n"/>
    </row>
    <row r="483">
      <c r="A483" s="10">
        <f>IF($E483="","",INDEX('Input Transaksi'!$A:$A,$E483))</f>
        <v/>
      </c>
      <c r="B483" s="5">
        <f>IF($E483="","",INDEX('Input Transaksi'!$D:$D,$E483))</f>
        <v/>
      </c>
      <c r="C483">
        <f>IF($E483="","",INDEX('Input Transaksi'!$E:$E,$E483))</f>
        <v/>
      </c>
      <c r="D483" s="5">
        <f>IF($E483="","",INDEX('Input Transaksi'!$F:$F,$E483))</f>
        <v/>
      </c>
      <c r="E483">
        <f>IFERROR(AGGREGATE(15,6,ROW('Input Transaksi'!$B$5:$B$5000)/('Input Transaksi'!$B$5:$B$5000="JCL SIDAKARYA"),ROWS($E$5:E483)),"")</f>
        <v/>
      </c>
      <c r="F483" s="5" t="n"/>
    </row>
    <row r="484">
      <c r="A484" s="10">
        <f>IF($E484="","",INDEX('Input Transaksi'!$A:$A,$E484))</f>
        <v/>
      </c>
      <c r="B484" s="5">
        <f>IF($E484="","",INDEX('Input Transaksi'!$D:$D,$E484))</f>
        <v/>
      </c>
      <c r="C484">
        <f>IF($E484="","",INDEX('Input Transaksi'!$E:$E,$E484))</f>
        <v/>
      </c>
      <c r="D484" s="5">
        <f>IF($E484="","",INDEX('Input Transaksi'!$F:$F,$E484))</f>
        <v/>
      </c>
      <c r="E484">
        <f>IFERROR(AGGREGATE(15,6,ROW('Input Transaksi'!$B$5:$B$5000)/('Input Transaksi'!$B$5:$B$5000="JCL SIDAKARYA"),ROWS($E$5:E484)),"")</f>
        <v/>
      </c>
      <c r="F484" s="5" t="n"/>
    </row>
    <row r="485">
      <c r="A485" s="10">
        <f>IF($E485="","",INDEX('Input Transaksi'!$A:$A,$E485))</f>
        <v/>
      </c>
      <c r="B485" s="5">
        <f>IF($E485="","",INDEX('Input Transaksi'!$D:$D,$E485))</f>
        <v/>
      </c>
      <c r="C485">
        <f>IF($E485="","",INDEX('Input Transaksi'!$E:$E,$E485))</f>
        <v/>
      </c>
      <c r="D485" s="5">
        <f>IF($E485="","",INDEX('Input Transaksi'!$F:$F,$E485))</f>
        <v/>
      </c>
      <c r="E485">
        <f>IFERROR(AGGREGATE(15,6,ROW('Input Transaksi'!$B$5:$B$5000)/('Input Transaksi'!$B$5:$B$5000="JCL SIDAKARYA"),ROWS($E$5:E485)),"")</f>
        <v/>
      </c>
      <c r="F485" s="5" t="n"/>
    </row>
    <row r="486">
      <c r="A486" s="10">
        <f>IF($E486="","",INDEX('Input Transaksi'!$A:$A,$E486))</f>
        <v/>
      </c>
      <c r="B486" s="5">
        <f>IF($E486="","",INDEX('Input Transaksi'!$D:$D,$E486))</f>
        <v/>
      </c>
      <c r="C486">
        <f>IF($E486="","",INDEX('Input Transaksi'!$E:$E,$E486))</f>
        <v/>
      </c>
      <c r="D486" s="5">
        <f>IF($E486="","",INDEX('Input Transaksi'!$F:$F,$E486))</f>
        <v/>
      </c>
      <c r="E486">
        <f>IFERROR(AGGREGATE(15,6,ROW('Input Transaksi'!$B$5:$B$5000)/('Input Transaksi'!$B$5:$B$5000="JCL SIDAKARYA"),ROWS($E$5:E486)),"")</f>
        <v/>
      </c>
      <c r="F486" s="5" t="n"/>
    </row>
    <row r="487">
      <c r="A487" s="10">
        <f>IF($E487="","",INDEX('Input Transaksi'!$A:$A,$E487))</f>
        <v/>
      </c>
      <c r="B487" s="5">
        <f>IF($E487="","",INDEX('Input Transaksi'!$D:$D,$E487))</f>
        <v/>
      </c>
      <c r="C487">
        <f>IF($E487="","",INDEX('Input Transaksi'!$E:$E,$E487))</f>
        <v/>
      </c>
      <c r="D487" s="5">
        <f>IF($E487="","",INDEX('Input Transaksi'!$F:$F,$E487))</f>
        <v/>
      </c>
      <c r="E487">
        <f>IFERROR(AGGREGATE(15,6,ROW('Input Transaksi'!$B$5:$B$5000)/('Input Transaksi'!$B$5:$B$5000="JCL SIDAKARYA"),ROWS($E$5:E487)),"")</f>
        <v/>
      </c>
      <c r="F487" s="5" t="n"/>
    </row>
    <row r="488">
      <c r="A488" s="10">
        <f>IF($E488="","",INDEX('Input Transaksi'!$A:$A,$E488))</f>
        <v/>
      </c>
      <c r="B488" s="5">
        <f>IF($E488="","",INDEX('Input Transaksi'!$D:$D,$E488))</f>
        <v/>
      </c>
      <c r="C488">
        <f>IF($E488="","",INDEX('Input Transaksi'!$E:$E,$E488))</f>
        <v/>
      </c>
      <c r="D488" s="5">
        <f>IF($E488="","",INDEX('Input Transaksi'!$F:$F,$E488))</f>
        <v/>
      </c>
      <c r="E488">
        <f>IFERROR(AGGREGATE(15,6,ROW('Input Transaksi'!$B$5:$B$5000)/('Input Transaksi'!$B$5:$B$5000="JCL SIDAKARYA"),ROWS($E$5:E488)),"")</f>
        <v/>
      </c>
      <c r="F488" s="5" t="n"/>
    </row>
    <row r="489">
      <c r="A489" s="10">
        <f>IF($E489="","",INDEX('Input Transaksi'!$A:$A,$E489))</f>
        <v/>
      </c>
      <c r="B489" s="5">
        <f>IF($E489="","",INDEX('Input Transaksi'!$D:$D,$E489))</f>
        <v/>
      </c>
      <c r="C489">
        <f>IF($E489="","",INDEX('Input Transaksi'!$E:$E,$E489))</f>
        <v/>
      </c>
      <c r="D489" s="5">
        <f>IF($E489="","",INDEX('Input Transaksi'!$F:$F,$E489))</f>
        <v/>
      </c>
      <c r="E489">
        <f>IFERROR(AGGREGATE(15,6,ROW('Input Transaksi'!$B$5:$B$5000)/('Input Transaksi'!$B$5:$B$5000="JCL SIDAKARYA"),ROWS($E$5:E489)),"")</f>
        <v/>
      </c>
      <c r="F489" s="5" t="n"/>
    </row>
    <row r="490">
      <c r="A490" s="10">
        <f>IF($E490="","",INDEX('Input Transaksi'!$A:$A,$E490))</f>
        <v/>
      </c>
      <c r="B490" s="5">
        <f>IF($E490="","",INDEX('Input Transaksi'!$D:$D,$E490))</f>
        <v/>
      </c>
      <c r="C490">
        <f>IF($E490="","",INDEX('Input Transaksi'!$E:$E,$E490))</f>
        <v/>
      </c>
      <c r="D490" s="5">
        <f>IF($E490="","",INDEX('Input Transaksi'!$F:$F,$E490))</f>
        <v/>
      </c>
      <c r="E490">
        <f>IFERROR(AGGREGATE(15,6,ROW('Input Transaksi'!$B$5:$B$5000)/('Input Transaksi'!$B$5:$B$5000="JCL SIDAKARYA"),ROWS($E$5:E490)),"")</f>
        <v/>
      </c>
      <c r="F490" s="5" t="n"/>
    </row>
    <row r="491">
      <c r="A491" s="10">
        <f>IF($E491="","",INDEX('Input Transaksi'!$A:$A,$E491))</f>
        <v/>
      </c>
      <c r="B491" s="5">
        <f>IF($E491="","",INDEX('Input Transaksi'!$D:$D,$E491))</f>
        <v/>
      </c>
      <c r="C491">
        <f>IF($E491="","",INDEX('Input Transaksi'!$E:$E,$E491))</f>
        <v/>
      </c>
      <c r="D491" s="5">
        <f>IF($E491="","",INDEX('Input Transaksi'!$F:$F,$E491))</f>
        <v/>
      </c>
      <c r="E491">
        <f>IFERROR(AGGREGATE(15,6,ROW('Input Transaksi'!$B$5:$B$5000)/('Input Transaksi'!$B$5:$B$5000="JCL SIDAKARYA"),ROWS($E$5:E491)),"")</f>
        <v/>
      </c>
      <c r="F491" s="5" t="n"/>
    </row>
    <row r="492">
      <c r="A492" s="10">
        <f>IF($E492="","",INDEX('Input Transaksi'!$A:$A,$E492))</f>
        <v/>
      </c>
      <c r="B492" s="5">
        <f>IF($E492="","",INDEX('Input Transaksi'!$D:$D,$E492))</f>
        <v/>
      </c>
      <c r="C492">
        <f>IF($E492="","",INDEX('Input Transaksi'!$E:$E,$E492))</f>
        <v/>
      </c>
      <c r="D492" s="5">
        <f>IF($E492="","",INDEX('Input Transaksi'!$F:$F,$E492))</f>
        <v/>
      </c>
      <c r="E492">
        <f>IFERROR(AGGREGATE(15,6,ROW('Input Transaksi'!$B$5:$B$5000)/('Input Transaksi'!$B$5:$B$5000="JCL SIDAKARYA"),ROWS($E$5:E492)),"")</f>
        <v/>
      </c>
      <c r="F492" s="5" t="n"/>
    </row>
    <row r="493">
      <c r="A493" s="10">
        <f>IF($E493="","",INDEX('Input Transaksi'!$A:$A,$E493))</f>
        <v/>
      </c>
      <c r="B493" s="5">
        <f>IF($E493="","",INDEX('Input Transaksi'!$D:$D,$E493))</f>
        <v/>
      </c>
      <c r="C493">
        <f>IF($E493="","",INDEX('Input Transaksi'!$E:$E,$E493))</f>
        <v/>
      </c>
      <c r="D493" s="5">
        <f>IF($E493="","",INDEX('Input Transaksi'!$F:$F,$E493))</f>
        <v/>
      </c>
      <c r="E493">
        <f>IFERROR(AGGREGATE(15,6,ROW('Input Transaksi'!$B$5:$B$5000)/('Input Transaksi'!$B$5:$B$5000="JCL SIDAKARYA"),ROWS($E$5:E493)),"")</f>
        <v/>
      </c>
      <c r="F493" s="5" t="n"/>
    </row>
    <row r="494">
      <c r="A494" s="10">
        <f>IF($E494="","",INDEX('Input Transaksi'!$A:$A,$E494))</f>
        <v/>
      </c>
      <c r="B494" s="5">
        <f>IF($E494="","",INDEX('Input Transaksi'!$D:$D,$E494))</f>
        <v/>
      </c>
      <c r="C494">
        <f>IF($E494="","",INDEX('Input Transaksi'!$E:$E,$E494))</f>
        <v/>
      </c>
      <c r="D494" s="5">
        <f>IF($E494="","",INDEX('Input Transaksi'!$F:$F,$E494))</f>
        <v/>
      </c>
      <c r="E494">
        <f>IFERROR(AGGREGATE(15,6,ROW('Input Transaksi'!$B$5:$B$5000)/('Input Transaksi'!$B$5:$B$5000="JCL SIDAKARYA"),ROWS($E$5:E494)),"")</f>
        <v/>
      </c>
      <c r="F494" s="5" t="n"/>
    </row>
    <row r="495">
      <c r="A495" s="10">
        <f>IF($E495="","",INDEX('Input Transaksi'!$A:$A,$E495))</f>
        <v/>
      </c>
      <c r="B495" s="5">
        <f>IF($E495="","",INDEX('Input Transaksi'!$D:$D,$E495))</f>
        <v/>
      </c>
      <c r="C495">
        <f>IF($E495="","",INDEX('Input Transaksi'!$E:$E,$E495))</f>
        <v/>
      </c>
      <c r="D495" s="5">
        <f>IF($E495="","",INDEX('Input Transaksi'!$F:$F,$E495))</f>
        <v/>
      </c>
      <c r="E495">
        <f>IFERROR(AGGREGATE(15,6,ROW('Input Transaksi'!$B$5:$B$5000)/('Input Transaksi'!$B$5:$B$5000="JCL SIDAKARYA"),ROWS($E$5:E495)),"")</f>
        <v/>
      </c>
      <c r="F495" s="5" t="n"/>
    </row>
    <row r="496">
      <c r="A496" s="10">
        <f>IF($E496="","",INDEX('Input Transaksi'!$A:$A,$E496))</f>
        <v/>
      </c>
      <c r="B496" s="5">
        <f>IF($E496="","",INDEX('Input Transaksi'!$D:$D,$E496))</f>
        <v/>
      </c>
      <c r="C496">
        <f>IF($E496="","",INDEX('Input Transaksi'!$E:$E,$E496))</f>
        <v/>
      </c>
      <c r="D496" s="5">
        <f>IF($E496="","",INDEX('Input Transaksi'!$F:$F,$E496))</f>
        <v/>
      </c>
      <c r="E496">
        <f>IFERROR(AGGREGATE(15,6,ROW('Input Transaksi'!$B$5:$B$5000)/('Input Transaksi'!$B$5:$B$5000="JCL SIDAKARYA"),ROWS($E$5:E496)),"")</f>
        <v/>
      </c>
      <c r="F496" s="5" t="n"/>
    </row>
    <row r="497">
      <c r="A497" s="10">
        <f>IF($E497="","",INDEX('Input Transaksi'!$A:$A,$E497))</f>
        <v/>
      </c>
      <c r="B497" s="5">
        <f>IF($E497="","",INDEX('Input Transaksi'!$D:$D,$E497))</f>
        <v/>
      </c>
      <c r="C497">
        <f>IF($E497="","",INDEX('Input Transaksi'!$E:$E,$E497))</f>
        <v/>
      </c>
      <c r="D497" s="5">
        <f>IF($E497="","",INDEX('Input Transaksi'!$F:$F,$E497))</f>
        <v/>
      </c>
      <c r="E497">
        <f>IFERROR(AGGREGATE(15,6,ROW('Input Transaksi'!$B$5:$B$5000)/('Input Transaksi'!$B$5:$B$5000="JCL SIDAKARYA"),ROWS($E$5:E497)),"")</f>
        <v/>
      </c>
      <c r="F497" s="5" t="n"/>
    </row>
    <row r="498">
      <c r="A498" s="10">
        <f>IF($E498="","",INDEX('Input Transaksi'!$A:$A,$E498))</f>
        <v/>
      </c>
      <c r="B498" s="5">
        <f>IF($E498="","",INDEX('Input Transaksi'!$D:$D,$E498))</f>
        <v/>
      </c>
      <c r="C498">
        <f>IF($E498="","",INDEX('Input Transaksi'!$E:$E,$E498))</f>
        <v/>
      </c>
      <c r="D498" s="5">
        <f>IF($E498="","",INDEX('Input Transaksi'!$F:$F,$E498))</f>
        <v/>
      </c>
      <c r="E498">
        <f>IFERROR(AGGREGATE(15,6,ROW('Input Transaksi'!$B$5:$B$5000)/('Input Transaksi'!$B$5:$B$5000="JCL SIDAKARYA"),ROWS($E$5:E498)),"")</f>
        <v/>
      </c>
      <c r="F498" s="5" t="n"/>
    </row>
    <row r="499">
      <c r="A499" s="10">
        <f>IF($E499="","",INDEX('Input Transaksi'!$A:$A,$E499))</f>
        <v/>
      </c>
      <c r="B499" s="5">
        <f>IF($E499="","",INDEX('Input Transaksi'!$D:$D,$E499))</f>
        <v/>
      </c>
      <c r="C499">
        <f>IF($E499="","",INDEX('Input Transaksi'!$E:$E,$E499))</f>
        <v/>
      </c>
      <c r="D499" s="5">
        <f>IF($E499="","",INDEX('Input Transaksi'!$F:$F,$E499))</f>
        <v/>
      </c>
      <c r="E499">
        <f>IFERROR(AGGREGATE(15,6,ROW('Input Transaksi'!$B$5:$B$5000)/('Input Transaksi'!$B$5:$B$5000="JCL SIDAKARYA"),ROWS($E$5:E499)),"")</f>
        <v/>
      </c>
      <c r="F499" s="5" t="n"/>
    </row>
    <row r="500">
      <c r="A500" s="10">
        <f>IF($E500="","",INDEX('Input Transaksi'!$A:$A,$E500))</f>
        <v/>
      </c>
      <c r="B500" s="5">
        <f>IF($E500="","",INDEX('Input Transaksi'!$D:$D,$E500))</f>
        <v/>
      </c>
      <c r="C500">
        <f>IF($E500="","",INDEX('Input Transaksi'!$E:$E,$E500))</f>
        <v/>
      </c>
      <c r="D500" s="5">
        <f>IF($E500="","",INDEX('Input Transaksi'!$F:$F,$E500))</f>
        <v/>
      </c>
      <c r="E500">
        <f>IFERROR(AGGREGATE(15,6,ROW('Input Transaksi'!$B$5:$B$5000)/('Input Transaksi'!$B$5:$B$5000="JCL SIDAKARYA"),ROWS($E$5:E500)),"")</f>
        <v/>
      </c>
      <c r="F500" s="5" t="n"/>
    </row>
    <row r="501">
      <c r="A501" s="10">
        <f>IF($E501="","",INDEX('Input Transaksi'!$A:$A,$E501))</f>
        <v/>
      </c>
      <c r="B501" s="5">
        <f>IF($E501="","",INDEX('Input Transaksi'!$D:$D,$E501))</f>
        <v/>
      </c>
      <c r="C501">
        <f>IF($E501="","",INDEX('Input Transaksi'!$E:$E,$E501))</f>
        <v/>
      </c>
      <c r="D501" s="5">
        <f>IF($E501="","",INDEX('Input Transaksi'!$F:$F,$E501))</f>
        <v/>
      </c>
      <c r="E501">
        <f>IFERROR(AGGREGATE(15,6,ROW('Input Transaksi'!$B$5:$B$5000)/('Input Transaksi'!$B$5:$B$5000="JCL SIDAKARYA"),ROWS($E$5:E501)),"")</f>
        <v/>
      </c>
      <c r="F501" s="5" t="n"/>
    </row>
    <row r="502">
      <c r="A502" s="10">
        <f>IF($E502="","",INDEX('Input Transaksi'!$A:$A,$E502))</f>
        <v/>
      </c>
      <c r="B502" s="5">
        <f>IF($E502="","",INDEX('Input Transaksi'!$D:$D,$E502))</f>
        <v/>
      </c>
      <c r="C502">
        <f>IF($E502="","",INDEX('Input Transaksi'!$E:$E,$E502))</f>
        <v/>
      </c>
      <c r="D502" s="5">
        <f>IF($E502="","",INDEX('Input Transaksi'!$F:$F,$E502))</f>
        <v/>
      </c>
      <c r="E502">
        <f>IFERROR(AGGREGATE(15,6,ROW('Input Transaksi'!$B$5:$B$5000)/('Input Transaksi'!$B$5:$B$5000="JCL SIDAKARYA"),ROWS($E$5:E502)),"")</f>
        <v/>
      </c>
      <c r="F502" s="5" t="n"/>
    </row>
    <row r="503">
      <c r="A503" s="10">
        <f>IF($E503="","",INDEX('Input Transaksi'!$A:$A,$E503))</f>
        <v/>
      </c>
      <c r="B503" s="5">
        <f>IF($E503="","",INDEX('Input Transaksi'!$D:$D,$E503))</f>
        <v/>
      </c>
      <c r="C503">
        <f>IF($E503="","",INDEX('Input Transaksi'!$E:$E,$E503))</f>
        <v/>
      </c>
      <c r="D503" s="5">
        <f>IF($E503="","",INDEX('Input Transaksi'!$F:$F,$E503))</f>
        <v/>
      </c>
      <c r="E503">
        <f>IFERROR(AGGREGATE(15,6,ROW('Input Transaksi'!$B$5:$B$5000)/('Input Transaksi'!$B$5:$B$5000="JCL SIDAKARYA"),ROWS($E$5:E503)),"")</f>
        <v/>
      </c>
      <c r="F503" s="5" t="n"/>
    </row>
    <row r="504">
      <c r="A504" s="10">
        <f>IF($E504="","",INDEX('Input Transaksi'!$A:$A,$E504))</f>
        <v/>
      </c>
      <c r="B504" s="5">
        <f>IF($E504="","",INDEX('Input Transaksi'!$D:$D,$E504))</f>
        <v/>
      </c>
      <c r="C504">
        <f>IF($E504="","",INDEX('Input Transaksi'!$E:$E,$E504))</f>
        <v/>
      </c>
      <c r="D504" s="5">
        <f>IF($E504="","",INDEX('Input Transaksi'!$F:$F,$E504))</f>
        <v/>
      </c>
      <c r="E504">
        <f>IFERROR(AGGREGATE(15,6,ROW('Input Transaksi'!$B$5:$B$5000)/('Input Transaksi'!$B$5:$B$5000="JCL SIDAKARYA"),ROWS($E$5:E504)),"")</f>
        <v/>
      </c>
      <c r="F504" s="5" t="n"/>
    </row>
    <row r="505">
      <c r="A505" s="10">
        <f>IF($E505="","",INDEX('Input Transaksi'!$A:$A,$E505))</f>
        <v/>
      </c>
      <c r="B505" s="5">
        <f>IF($E505="","",INDEX('Input Transaksi'!$D:$D,$E505))</f>
        <v/>
      </c>
      <c r="C505">
        <f>IF($E505="","",INDEX('Input Transaksi'!$E:$E,$E505))</f>
        <v/>
      </c>
      <c r="D505" s="5">
        <f>IF($E505="","",INDEX('Input Transaksi'!$F:$F,$E505))</f>
        <v/>
      </c>
      <c r="E505">
        <f>IFERROR(AGGREGATE(15,6,ROW('Input Transaksi'!$B$5:$B$5000)/('Input Transaksi'!$B$5:$B$5000="JCL SIDAKARYA"),ROWS($E$5:E505)),"")</f>
        <v/>
      </c>
      <c r="F505" s="5" t="n"/>
    </row>
    <row r="506">
      <c r="A506" s="10">
        <f>IF($E506="","",INDEX('Input Transaksi'!$A:$A,$E506))</f>
        <v/>
      </c>
      <c r="B506" s="5">
        <f>IF($E506="","",INDEX('Input Transaksi'!$D:$D,$E506))</f>
        <v/>
      </c>
      <c r="C506">
        <f>IF($E506="","",INDEX('Input Transaksi'!$E:$E,$E506))</f>
        <v/>
      </c>
      <c r="D506" s="5">
        <f>IF($E506="","",INDEX('Input Transaksi'!$F:$F,$E506))</f>
        <v/>
      </c>
      <c r="E506">
        <f>IFERROR(AGGREGATE(15,6,ROW('Input Transaksi'!$B$5:$B$5000)/('Input Transaksi'!$B$5:$B$5000="JCL SIDAKARYA"),ROWS($E$5:E506)),"")</f>
        <v/>
      </c>
      <c r="F506" s="5" t="n"/>
    </row>
    <row r="507">
      <c r="A507" s="10">
        <f>IF($E507="","",INDEX('Input Transaksi'!$A:$A,$E507))</f>
        <v/>
      </c>
      <c r="B507" s="5">
        <f>IF($E507="","",INDEX('Input Transaksi'!$D:$D,$E507))</f>
        <v/>
      </c>
      <c r="C507">
        <f>IF($E507="","",INDEX('Input Transaksi'!$E:$E,$E507))</f>
        <v/>
      </c>
      <c r="D507" s="5">
        <f>IF($E507="","",INDEX('Input Transaksi'!$F:$F,$E507))</f>
        <v/>
      </c>
      <c r="E507">
        <f>IFERROR(AGGREGATE(15,6,ROW('Input Transaksi'!$B$5:$B$5000)/('Input Transaksi'!$B$5:$B$5000="JCL SIDAKARYA"),ROWS($E$5:E507)),"")</f>
        <v/>
      </c>
      <c r="F507" s="5" t="n"/>
    </row>
    <row r="508">
      <c r="A508" s="10">
        <f>IF($E508="","",INDEX('Input Transaksi'!$A:$A,$E508))</f>
        <v/>
      </c>
      <c r="B508" s="5">
        <f>IF($E508="","",INDEX('Input Transaksi'!$D:$D,$E508))</f>
        <v/>
      </c>
      <c r="C508">
        <f>IF($E508="","",INDEX('Input Transaksi'!$E:$E,$E508))</f>
        <v/>
      </c>
      <c r="D508" s="5">
        <f>IF($E508="","",INDEX('Input Transaksi'!$F:$F,$E508))</f>
        <v/>
      </c>
      <c r="E508">
        <f>IFERROR(AGGREGATE(15,6,ROW('Input Transaksi'!$B$5:$B$5000)/('Input Transaksi'!$B$5:$B$5000="JCL SIDAKARYA"),ROWS($E$5:E508)),"")</f>
        <v/>
      </c>
      <c r="F508" s="5" t="n"/>
    </row>
    <row r="509">
      <c r="A509" s="10">
        <f>IF($E509="","",INDEX('Input Transaksi'!$A:$A,$E509))</f>
        <v/>
      </c>
      <c r="B509" s="5">
        <f>IF($E509="","",INDEX('Input Transaksi'!$D:$D,$E509))</f>
        <v/>
      </c>
      <c r="C509">
        <f>IF($E509="","",INDEX('Input Transaksi'!$E:$E,$E509))</f>
        <v/>
      </c>
      <c r="D509" s="5">
        <f>IF($E509="","",INDEX('Input Transaksi'!$F:$F,$E509))</f>
        <v/>
      </c>
      <c r="E509">
        <f>IFERROR(AGGREGATE(15,6,ROW('Input Transaksi'!$B$5:$B$5000)/('Input Transaksi'!$B$5:$B$5000="JCL SIDAKARYA"),ROWS($E$5:E509)),"")</f>
        <v/>
      </c>
      <c r="F509" s="5" t="n"/>
    </row>
    <row r="510">
      <c r="A510" s="10">
        <f>IF($E510="","",INDEX('Input Transaksi'!$A:$A,$E510))</f>
        <v/>
      </c>
      <c r="B510" s="5">
        <f>IF($E510="","",INDEX('Input Transaksi'!$D:$D,$E510))</f>
        <v/>
      </c>
      <c r="C510">
        <f>IF($E510="","",INDEX('Input Transaksi'!$E:$E,$E510))</f>
        <v/>
      </c>
      <c r="D510" s="5">
        <f>IF($E510="","",INDEX('Input Transaksi'!$F:$F,$E510))</f>
        <v/>
      </c>
      <c r="E510">
        <f>IFERROR(AGGREGATE(15,6,ROW('Input Transaksi'!$B$5:$B$5000)/('Input Transaksi'!$B$5:$B$5000="JCL SIDAKARYA"),ROWS($E$5:E510)),"")</f>
        <v/>
      </c>
      <c r="F510" s="5" t="n"/>
    </row>
    <row r="511">
      <c r="A511" s="10">
        <f>IF($E511="","",INDEX('Input Transaksi'!$A:$A,$E511))</f>
        <v/>
      </c>
      <c r="B511" s="5">
        <f>IF($E511="","",INDEX('Input Transaksi'!$D:$D,$E511))</f>
        <v/>
      </c>
      <c r="C511">
        <f>IF($E511="","",INDEX('Input Transaksi'!$E:$E,$E511))</f>
        <v/>
      </c>
      <c r="D511" s="5">
        <f>IF($E511="","",INDEX('Input Transaksi'!$F:$F,$E511))</f>
        <v/>
      </c>
      <c r="E511">
        <f>IFERROR(AGGREGATE(15,6,ROW('Input Transaksi'!$B$5:$B$5000)/('Input Transaksi'!$B$5:$B$5000="JCL SIDAKARYA"),ROWS($E$5:E511)),"")</f>
        <v/>
      </c>
      <c r="F511" s="5" t="n"/>
    </row>
    <row r="512">
      <c r="A512" s="10">
        <f>IF($E512="","",INDEX('Input Transaksi'!$A:$A,$E512))</f>
        <v/>
      </c>
      <c r="B512" s="5">
        <f>IF($E512="","",INDEX('Input Transaksi'!$D:$D,$E512))</f>
        <v/>
      </c>
      <c r="C512">
        <f>IF($E512="","",INDEX('Input Transaksi'!$E:$E,$E512))</f>
        <v/>
      </c>
      <c r="D512" s="5">
        <f>IF($E512="","",INDEX('Input Transaksi'!$F:$F,$E512))</f>
        <v/>
      </c>
      <c r="E512">
        <f>IFERROR(AGGREGATE(15,6,ROW('Input Transaksi'!$B$5:$B$5000)/('Input Transaksi'!$B$5:$B$5000="JCL SIDAKARYA"),ROWS($E$5:E512)),"")</f>
        <v/>
      </c>
      <c r="F512" s="5" t="n"/>
    </row>
    <row r="513">
      <c r="A513" s="10">
        <f>IF($E513="","",INDEX('Input Transaksi'!$A:$A,$E513))</f>
        <v/>
      </c>
      <c r="B513" s="5">
        <f>IF($E513="","",INDEX('Input Transaksi'!$D:$D,$E513))</f>
        <v/>
      </c>
      <c r="C513">
        <f>IF($E513="","",INDEX('Input Transaksi'!$E:$E,$E513))</f>
        <v/>
      </c>
      <c r="D513" s="5">
        <f>IF($E513="","",INDEX('Input Transaksi'!$F:$F,$E513))</f>
        <v/>
      </c>
      <c r="E513">
        <f>IFERROR(AGGREGATE(15,6,ROW('Input Transaksi'!$B$5:$B$5000)/('Input Transaksi'!$B$5:$B$5000="JCL SIDAKARYA"),ROWS($E$5:E513)),"")</f>
        <v/>
      </c>
      <c r="F513" s="5" t="n"/>
    </row>
    <row r="514">
      <c r="A514" s="10">
        <f>IF($E514="","",INDEX('Input Transaksi'!$A:$A,$E514))</f>
        <v/>
      </c>
      <c r="B514" s="5">
        <f>IF($E514="","",INDEX('Input Transaksi'!$D:$D,$E514))</f>
        <v/>
      </c>
      <c r="C514">
        <f>IF($E514="","",INDEX('Input Transaksi'!$E:$E,$E514))</f>
        <v/>
      </c>
      <c r="D514" s="5">
        <f>IF($E514="","",INDEX('Input Transaksi'!$F:$F,$E514))</f>
        <v/>
      </c>
      <c r="E514">
        <f>IFERROR(AGGREGATE(15,6,ROW('Input Transaksi'!$B$5:$B$5000)/('Input Transaksi'!$B$5:$B$5000="JCL SIDAKARYA"),ROWS($E$5:E514)),"")</f>
        <v/>
      </c>
      <c r="F514" s="5" t="n"/>
    </row>
    <row r="515">
      <c r="A515" s="10">
        <f>IF($E515="","",INDEX('Input Transaksi'!$A:$A,$E515))</f>
        <v/>
      </c>
      <c r="B515" s="5">
        <f>IF($E515="","",INDEX('Input Transaksi'!$D:$D,$E515))</f>
        <v/>
      </c>
      <c r="C515">
        <f>IF($E515="","",INDEX('Input Transaksi'!$E:$E,$E515))</f>
        <v/>
      </c>
      <c r="D515" s="5">
        <f>IF($E515="","",INDEX('Input Transaksi'!$F:$F,$E515))</f>
        <v/>
      </c>
      <c r="E515">
        <f>IFERROR(AGGREGATE(15,6,ROW('Input Transaksi'!$B$5:$B$5000)/('Input Transaksi'!$B$5:$B$5000="JCL SIDAKARYA"),ROWS($E$5:E515)),"")</f>
        <v/>
      </c>
      <c r="F515" s="5" t="n"/>
    </row>
    <row r="516">
      <c r="A516" s="10">
        <f>IF($E516="","",INDEX('Input Transaksi'!$A:$A,$E516))</f>
        <v/>
      </c>
      <c r="B516" s="5">
        <f>IF($E516="","",INDEX('Input Transaksi'!$D:$D,$E516))</f>
        <v/>
      </c>
      <c r="C516">
        <f>IF($E516="","",INDEX('Input Transaksi'!$E:$E,$E516))</f>
        <v/>
      </c>
      <c r="D516" s="5">
        <f>IF($E516="","",INDEX('Input Transaksi'!$F:$F,$E516))</f>
        <v/>
      </c>
      <c r="E516">
        <f>IFERROR(AGGREGATE(15,6,ROW('Input Transaksi'!$B$5:$B$5000)/('Input Transaksi'!$B$5:$B$5000="JCL SIDAKARYA"),ROWS($E$5:E516)),"")</f>
        <v/>
      </c>
      <c r="F516" s="5" t="n"/>
    </row>
    <row r="517">
      <c r="A517" s="10">
        <f>IF($E517="","",INDEX('Input Transaksi'!$A:$A,$E517))</f>
        <v/>
      </c>
      <c r="B517" s="5">
        <f>IF($E517="","",INDEX('Input Transaksi'!$D:$D,$E517))</f>
        <v/>
      </c>
      <c r="C517">
        <f>IF($E517="","",INDEX('Input Transaksi'!$E:$E,$E517))</f>
        <v/>
      </c>
      <c r="D517" s="5">
        <f>IF($E517="","",INDEX('Input Transaksi'!$F:$F,$E517))</f>
        <v/>
      </c>
      <c r="E517">
        <f>IFERROR(AGGREGATE(15,6,ROW('Input Transaksi'!$B$5:$B$5000)/('Input Transaksi'!$B$5:$B$5000="JCL SIDAKARYA"),ROWS($E$5:E517)),"")</f>
        <v/>
      </c>
      <c r="F517" s="5" t="n"/>
    </row>
    <row r="518">
      <c r="A518" s="10">
        <f>IF($E518="","",INDEX('Input Transaksi'!$A:$A,$E518))</f>
        <v/>
      </c>
      <c r="B518" s="5">
        <f>IF($E518="","",INDEX('Input Transaksi'!$D:$D,$E518))</f>
        <v/>
      </c>
      <c r="C518">
        <f>IF($E518="","",INDEX('Input Transaksi'!$E:$E,$E518))</f>
        <v/>
      </c>
      <c r="D518" s="5">
        <f>IF($E518="","",INDEX('Input Transaksi'!$F:$F,$E518))</f>
        <v/>
      </c>
      <c r="E518">
        <f>IFERROR(AGGREGATE(15,6,ROW('Input Transaksi'!$B$5:$B$5000)/('Input Transaksi'!$B$5:$B$5000="JCL SIDAKARYA"),ROWS($E$5:E518)),"")</f>
        <v/>
      </c>
      <c r="F518" s="5" t="n"/>
    </row>
    <row r="519">
      <c r="A519" s="10">
        <f>IF($E519="","",INDEX('Input Transaksi'!$A:$A,$E519))</f>
        <v/>
      </c>
      <c r="B519" s="5">
        <f>IF($E519="","",INDEX('Input Transaksi'!$D:$D,$E519))</f>
        <v/>
      </c>
      <c r="C519">
        <f>IF($E519="","",INDEX('Input Transaksi'!$E:$E,$E519))</f>
        <v/>
      </c>
      <c r="D519" s="5">
        <f>IF($E519="","",INDEX('Input Transaksi'!$F:$F,$E519))</f>
        <v/>
      </c>
      <c r="E519">
        <f>IFERROR(AGGREGATE(15,6,ROW('Input Transaksi'!$B$5:$B$5000)/('Input Transaksi'!$B$5:$B$5000="JCL SIDAKARYA"),ROWS($E$5:E519)),"")</f>
        <v/>
      </c>
      <c r="F519" s="5" t="n"/>
    </row>
    <row r="520">
      <c r="A520" s="10">
        <f>IF($E520="","",INDEX('Input Transaksi'!$A:$A,$E520))</f>
        <v/>
      </c>
      <c r="B520" s="5">
        <f>IF($E520="","",INDEX('Input Transaksi'!$D:$D,$E520))</f>
        <v/>
      </c>
      <c r="C520">
        <f>IF($E520="","",INDEX('Input Transaksi'!$E:$E,$E520))</f>
        <v/>
      </c>
      <c r="D520" s="5">
        <f>IF($E520="","",INDEX('Input Transaksi'!$F:$F,$E520))</f>
        <v/>
      </c>
      <c r="E520">
        <f>IFERROR(AGGREGATE(15,6,ROW('Input Transaksi'!$B$5:$B$5000)/('Input Transaksi'!$B$5:$B$5000="JCL SIDAKARYA"),ROWS($E$5:E520)),"")</f>
        <v/>
      </c>
      <c r="F520" s="5" t="n"/>
    </row>
    <row r="521">
      <c r="A521" s="10">
        <f>IF($E521="","",INDEX('Input Transaksi'!$A:$A,$E521))</f>
        <v/>
      </c>
      <c r="B521" s="5">
        <f>IF($E521="","",INDEX('Input Transaksi'!$D:$D,$E521))</f>
        <v/>
      </c>
      <c r="C521">
        <f>IF($E521="","",INDEX('Input Transaksi'!$E:$E,$E521))</f>
        <v/>
      </c>
      <c r="D521" s="5">
        <f>IF($E521="","",INDEX('Input Transaksi'!$F:$F,$E521))</f>
        <v/>
      </c>
      <c r="E521">
        <f>IFERROR(AGGREGATE(15,6,ROW('Input Transaksi'!$B$5:$B$5000)/('Input Transaksi'!$B$5:$B$5000="JCL SIDAKARYA"),ROWS($E$5:E521)),"")</f>
        <v/>
      </c>
      <c r="F521" s="5" t="n"/>
    </row>
    <row r="522">
      <c r="A522" s="10">
        <f>IF($E522="","",INDEX('Input Transaksi'!$A:$A,$E522))</f>
        <v/>
      </c>
      <c r="B522" s="5">
        <f>IF($E522="","",INDEX('Input Transaksi'!$D:$D,$E522))</f>
        <v/>
      </c>
      <c r="C522">
        <f>IF($E522="","",INDEX('Input Transaksi'!$E:$E,$E522))</f>
        <v/>
      </c>
      <c r="D522" s="5">
        <f>IF($E522="","",INDEX('Input Transaksi'!$F:$F,$E522))</f>
        <v/>
      </c>
      <c r="E522">
        <f>IFERROR(AGGREGATE(15,6,ROW('Input Transaksi'!$B$5:$B$5000)/('Input Transaksi'!$B$5:$B$5000="JCL SIDAKARYA"),ROWS($E$5:E522)),"")</f>
        <v/>
      </c>
      <c r="F522" s="5" t="n"/>
    </row>
    <row r="523">
      <c r="A523" s="10">
        <f>IF($E523="","",INDEX('Input Transaksi'!$A:$A,$E523))</f>
        <v/>
      </c>
      <c r="B523" s="5">
        <f>IF($E523="","",INDEX('Input Transaksi'!$D:$D,$E523))</f>
        <v/>
      </c>
      <c r="C523">
        <f>IF($E523="","",INDEX('Input Transaksi'!$E:$E,$E523))</f>
        <v/>
      </c>
      <c r="D523" s="5">
        <f>IF($E523="","",INDEX('Input Transaksi'!$F:$F,$E523))</f>
        <v/>
      </c>
      <c r="E523">
        <f>IFERROR(AGGREGATE(15,6,ROW('Input Transaksi'!$B$5:$B$5000)/('Input Transaksi'!$B$5:$B$5000="JCL SIDAKARYA"),ROWS($E$5:E523)),"")</f>
        <v/>
      </c>
      <c r="F523" s="5" t="n"/>
    </row>
    <row r="524">
      <c r="A524" s="10">
        <f>IF($E524="","",INDEX('Input Transaksi'!$A:$A,$E524))</f>
        <v/>
      </c>
      <c r="B524" s="5">
        <f>IF($E524="","",INDEX('Input Transaksi'!$D:$D,$E524))</f>
        <v/>
      </c>
      <c r="C524">
        <f>IF($E524="","",INDEX('Input Transaksi'!$E:$E,$E524))</f>
        <v/>
      </c>
      <c r="D524" s="5">
        <f>IF($E524="","",INDEX('Input Transaksi'!$F:$F,$E524))</f>
        <v/>
      </c>
      <c r="E524">
        <f>IFERROR(AGGREGATE(15,6,ROW('Input Transaksi'!$B$5:$B$5000)/('Input Transaksi'!$B$5:$B$5000="JCL SIDAKARYA"),ROWS($E$5:E524)),"")</f>
        <v/>
      </c>
      <c r="F524" s="5" t="n"/>
    </row>
    <row r="525">
      <c r="A525" s="10">
        <f>IF($E525="","",INDEX('Input Transaksi'!$A:$A,$E525))</f>
        <v/>
      </c>
      <c r="B525" s="5">
        <f>IF($E525="","",INDEX('Input Transaksi'!$D:$D,$E525))</f>
        <v/>
      </c>
      <c r="C525">
        <f>IF($E525="","",INDEX('Input Transaksi'!$E:$E,$E525))</f>
        <v/>
      </c>
      <c r="D525" s="5">
        <f>IF($E525="","",INDEX('Input Transaksi'!$F:$F,$E525))</f>
        <v/>
      </c>
      <c r="E525">
        <f>IFERROR(AGGREGATE(15,6,ROW('Input Transaksi'!$B$5:$B$5000)/('Input Transaksi'!$B$5:$B$5000="JCL SIDAKARYA"),ROWS($E$5:E525)),"")</f>
        <v/>
      </c>
      <c r="F525" s="5" t="n"/>
    </row>
    <row r="526">
      <c r="A526" s="10">
        <f>IF($E526="","",INDEX('Input Transaksi'!$A:$A,$E526))</f>
        <v/>
      </c>
      <c r="B526" s="5">
        <f>IF($E526="","",INDEX('Input Transaksi'!$D:$D,$E526))</f>
        <v/>
      </c>
      <c r="C526">
        <f>IF($E526="","",INDEX('Input Transaksi'!$E:$E,$E526))</f>
        <v/>
      </c>
      <c r="D526" s="5">
        <f>IF($E526="","",INDEX('Input Transaksi'!$F:$F,$E526))</f>
        <v/>
      </c>
      <c r="E526">
        <f>IFERROR(AGGREGATE(15,6,ROW('Input Transaksi'!$B$5:$B$5000)/('Input Transaksi'!$B$5:$B$5000="JCL SIDAKARYA"),ROWS($E$5:E526)),"")</f>
        <v/>
      </c>
      <c r="F526" s="5" t="n"/>
    </row>
    <row r="527">
      <c r="A527" s="10">
        <f>IF($E527="","",INDEX('Input Transaksi'!$A:$A,$E527))</f>
        <v/>
      </c>
      <c r="B527" s="5">
        <f>IF($E527="","",INDEX('Input Transaksi'!$D:$D,$E527))</f>
        <v/>
      </c>
      <c r="C527">
        <f>IF($E527="","",INDEX('Input Transaksi'!$E:$E,$E527))</f>
        <v/>
      </c>
      <c r="D527" s="5">
        <f>IF($E527="","",INDEX('Input Transaksi'!$F:$F,$E527))</f>
        <v/>
      </c>
      <c r="E527">
        <f>IFERROR(AGGREGATE(15,6,ROW('Input Transaksi'!$B$5:$B$5000)/('Input Transaksi'!$B$5:$B$5000="JCL SIDAKARYA"),ROWS($E$5:E527)),"")</f>
        <v/>
      </c>
      <c r="F527" s="5" t="n"/>
    </row>
    <row r="528">
      <c r="A528" s="10">
        <f>IF($E528="","",INDEX('Input Transaksi'!$A:$A,$E528))</f>
        <v/>
      </c>
      <c r="B528" s="5">
        <f>IF($E528="","",INDEX('Input Transaksi'!$D:$D,$E528))</f>
        <v/>
      </c>
      <c r="C528">
        <f>IF($E528="","",INDEX('Input Transaksi'!$E:$E,$E528))</f>
        <v/>
      </c>
      <c r="D528" s="5">
        <f>IF($E528="","",INDEX('Input Transaksi'!$F:$F,$E528))</f>
        <v/>
      </c>
      <c r="E528">
        <f>IFERROR(AGGREGATE(15,6,ROW('Input Transaksi'!$B$5:$B$5000)/('Input Transaksi'!$B$5:$B$5000="JCL SIDAKARYA"),ROWS($E$5:E528)),"")</f>
        <v/>
      </c>
      <c r="F528" s="5" t="n"/>
    </row>
    <row r="529">
      <c r="A529" s="10">
        <f>IF($E529="","",INDEX('Input Transaksi'!$A:$A,$E529))</f>
        <v/>
      </c>
      <c r="B529" s="5">
        <f>IF($E529="","",INDEX('Input Transaksi'!$D:$D,$E529))</f>
        <v/>
      </c>
      <c r="C529">
        <f>IF($E529="","",INDEX('Input Transaksi'!$E:$E,$E529))</f>
        <v/>
      </c>
      <c r="D529" s="5">
        <f>IF($E529="","",INDEX('Input Transaksi'!$F:$F,$E529))</f>
        <v/>
      </c>
      <c r="E529">
        <f>IFERROR(AGGREGATE(15,6,ROW('Input Transaksi'!$B$5:$B$5000)/('Input Transaksi'!$B$5:$B$5000="JCL SIDAKARYA"),ROWS($E$5:E529)),"")</f>
        <v/>
      </c>
      <c r="F529" s="5" t="n"/>
    </row>
    <row r="530">
      <c r="A530" s="10">
        <f>IF($E530="","",INDEX('Input Transaksi'!$A:$A,$E530))</f>
        <v/>
      </c>
      <c r="B530" s="5">
        <f>IF($E530="","",INDEX('Input Transaksi'!$D:$D,$E530))</f>
        <v/>
      </c>
      <c r="C530">
        <f>IF($E530="","",INDEX('Input Transaksi'!$E:$E,$E530))</f>
        <v/>
      </c>
      <c r="D530" s="5">
        <f>IF($E530="","",INDEX('Input Transaksi'!$F:$F,$E530))</f>
        <v/>
      </c>
      <c r="E530">
        <f>IFERROR(AGGREGATE(15,6,ROW('Input Transaksi'!$B$5:$B$5000)/('Input Transaksi'!$B$5:$B$5000="JCL SIDAKARYA"),ROWS($E$5:E530)),"")</f>
        <v/>
      </c>
      <c r="F530" s="5" t="n"/>
    </row>
    <row r="531">
      <c r="A531" s="10">
        <f>IF($E531="","",INDEX('Input Transaksi'!$A:$A,$E531))</f>
        <v/>
      </c>
      <c r="B531" s="5">
        <f>IF($E531="","",INDEX('Input Transaksi'!$D:$D,$E531))</f>
        <v/>
      </c>
      <c r="C531">
        <f>IF($E531="","",INDEX('Input Transaksi'!$E:$E,$E531))</f>
        <v/>
      </c>
      <c r="D531" s="5">
        <f>IF($E531="","",INDEX('Input Transaksi'!$F:$F,$E531))</f>
        <v/>
      </c>
      <c r="E531">
        <f>IFERROR(AGGREGATE(15,6,ROW('Input Transaksi'!$B$5:$B$5000)/('Input Transaksi'!$B$5:$B$5000="JCL SIDAKARYA"),ROWS($E$5:E531)),"")</f>
        <v/>
      </c>
      <c r="F531" s="5" t="n"/>
    </row>
    <row r="532">
      <c r="A532" s="10">
        <f>IF($E532="","",INDEX('Input Transaksi'!$A:$A,$E532))</f>
        <v/>
      </c>
      <c r="B532" s="5">
        <f>IF($E532="","",INDEX('Input Transaksi'!$D:$D,$E532))</f>
        <v/>
      </c>
      <c r="C532">
        <f>IF($E532="","",INDEX('Input Transaksi'!$E:$E,$E532))</f>
        <v/>
      </c>
      <c r="D532" s="5">
        <f>IF($E532="","",INDEX('Input Transaksi'!$F:$F,$E532))</f>
        <v/>
      </c>
      <c r="E532">
        <f>IFERROR(AGGREGATE(15,6,ROW('Input Transaksi'!$B$5:$B$5000)/('Input Transaksi'!$B$5:$B$5000="JCL SIDAKARYA"),ROWS($E$5:E532)),"")</f>
        <v/>
      </c>
      <c r="F532" s="5" t="n"/>
    </row>
    <row r="533">
      <c r="A533" s="10">
        <f>IF($E533="","",INDEX('Input Transaksi'!$A:$A,$E533))</f>
        <v/>
      </c>
      <c r="B533" s="5">
        <f>IF($E533="","",INDEX('Input Transaksi'!$D:$D,$E533))</f>
        <v/>
      </c>
      <c r="C533">
        <f>IF($E533="","",INDEX('Input Transaksi'!$E:$E,$E533))</f>
        <v/>
      </c>
      <c r="D533" s="5">
        <f>IF($E533="","",INDEX('Input Transaksi'!$F:$F,$E533))</f>
        <v/>
      </c>
      <c r="E533">
        <f>IFERROR(AGGREGATE(15,6,ROW('Input Transaksi'!$B$5:$B$5000)/('Input Transaksi'!$B$5:$B$5000="JCL SIDAKARYA"),ROWS($E$5:E533)),"")</f>
        <v/>
      </c>
      <c r="F533" s="5" t="n"/>
    </row>
    <row r="534">
      <c r="A534" s="10">
        <f>IF($E534="","",INDEX('Input Transaksi'!$A:$A,$E534))</f>
        <v/>
      </c>
      <c r="B534" s="5">
        <f>IF($E534="","",INDEX('Input Transaksi'!$D:$D,$E534))</f>
        <v/>
      </c>
      <c r="C534">
        <f>IF($E534="","",INDEX('Input Transaksi'!$E:$E,$E534))</f>
        <v/>
      </c>
      <c r="D534" s="5">
        <f>IF($E534="","",INDEX('Input Transaksi'!$F:$F,$E534))</f>
        <v/>
      </c>
      <c r="E534">
        <f>IFERROR(AGGREGATE(15,6,ROW('Input Transaksi'!$B$5:$B$5000)/('Input Transaksi'!$B$5:$B$5000="JCL SIDAKARYA"),ROWS($E$5:E534)),"")</f>
        <v/>
      </c>
      <c r="F534" s="5" t="n"/>
    </row>
    <row r="535">
      <c r="A535" s="10">
        <f>IF($E535="","",INDEX('Input Transaksi'!$A:$A,$E535))</f>
        <v/>
      </c>
      <c r="B535" s="5">
        <f>IF($E535="","",INDEX('Input Transaksi'!$D:$D,$E535))</f>
        <v/>
      </c>
      <c r="C535">
        <f>IF($E535="","",INDEX('Input Transaksi'!$E:$E,$E535))</f>
        <v/>
      </c>
      <c r="D535" s="5">
        <f>IF($E535="","",INDEX('Input Transaksi'!$F:$F,$E535))</f>
        <v/>
      </c>
      <c r="E535">
        <f>IFERROR(AGGREGATE(15,6,ROW('Input Transaksi'!$B$5:$B$5000)/('Input Transaksi'!$B$5:$B$5000="JCL SIDAKARYA"),ROWS($E$5:E535)),"")</f>
        <v/>
      </c>
      <c r="F535" s="5" t="n"/>
    </row>
    <row r="536">
      <c r="A536" s="10">
        <f>IF($E536="","",INDEX('Input Transaksi'!$A:$A,$E536))</f>
        <v/>
      </c>
      <c r="B536" s="5">
        <f>IF($E536="","",INDEX('Input Transaksi'!$D:$D,$E536))</f>
        <v/>
      </c>
      <c r="C536">
        <f>IF($E536="","",INDEX('Input Transaksi'!$E:$E,$E536))</f>
        <v/>
      </c>
      <c r="D536" s="5">
        <f>IF($E536="","",INDEX('Input Transaksi'!$F:$F,$E536))</f>
        <v/>
      </c>
      <c r="E536">
        <f>IFERROR(AGGREGATE(15,6,ROW('Input Transaksi'!$B$5:$B$5000)/('Input Transaksi'!$B$5:$B$5000="JCL SIDAKARYA"),ROWS($E$5:E536)),"")</f>
        <v/>
      </c>
      <c r="F536" s="5" t="n"/>
    </row>
    <row r="537">
      <c r="A537" s="10">
        <f>IF($E537="","",INDEX('Input Transaksi'!$A:$A,$E537))</f>
        <v/>
      </c>
      <c r="B537" s="5">
        <f>IF($E537="","",INDEX('Input Transaksi'!$D:$D,$E537))</f>
        <v/>
      </c>
      <c r="C537">
        <f>IF($E537="","",INDEX('Input Transaksi'!$E:$E,$E537))</f>
        <v/>
      </c>
      <c r="D537" s="5">
        <f>IF($E537="","",INDEX('Input Transaksi'!$F:$F,$E537))</f>
        <v/>
      </c>
      <c r="E537">
        <f>IFERROR(AGGREGATE(15,6,ROW('Input Transaksi'!$B$5:$B$5000)/('Input Transaksi'!$B$5:$B$5000="JCL SIDAKARYA"),ROWS($E$5:E537)),"")</f>
        <v/>
      </c>
      <c r="F537" s="5" t="n"/>
    </row>
    <row r="538">
      <c r="A538" s="10">
        <f>IF($E538="","",INDEX('Input Transaksi'!$A:$A,$E538))</f>
        <v/>
      </c>
      <c r="B538" s="5">
        <f>IF($E538="","",INDEX('Input Transaksi'!$D:$D,$E538))</f>
        <v/>
      </c>
      <c r="C538">
        <f>IF($E538="","",INDEX('Input Transaksi'!$E:$E,$E538))</f>
        <v/>
      </c>
      <c r="D538" s="5">
        <f>IF($E538="","",INDEX('Input Transaksi'!$F:$F,$E538))</f>
        <v/>
      </c>
      <c r="E538">
        <f>IFERROR(AGGREGATE(15,6,ROW('Input Transaksi'!$B$5:$B$5000)/('Input Transaksi'!$B$5:$B$5000="JCL SIDAKARYA"),ROWS($E$5:E538)),"")</f>
        <v/>
      </c>
      <c r="F538" s="5" t="n"/>
    </row>
    <row r="539">
      <c r="A539" s="10">
        <f>IF($E539="","",INDEX('Input Transaksi'!$A:$A,$E539))</f>
        <v/>
      </c>
      <c r="B539" s="5">
        <f>IF($E539="","",INDEX('Input Transaksi'!$D:$D,$E539))</f>
        <v/>
      </c>
      <c r="C539">
        <f>IF($E539="","",INDEX('Input Transaksi'!$E:$E,$E539))</f>
        <v/>
      </c>
      <c r="D539" s="5">
        <f>IF($E539="","",INDEX('Input Transaksi'!$F:$F,$E539))</f>
        <v/>
      </c>
      <c r="E539">
        <f>IFERROR(AGGREGATE(15,6,ROW('Input Transaksi'!$B$5:$B$5000)/('Input Transaksi'!$B$5:$B$5000="JCL SIDAKARYA"),ROWS($E$5:E539)),"")</f>
        <v/>
      </c>
      <c r="F539" s="5" t="n"/>
    </row>
    <row r="540">
      <c r="A540" s="10">
        <f>IF($E540="","",INDEX('Input Transaksi'!$A:$A,$E540))</f>
        <v/>
      </c>
      <c r="B540" s="5">
        <f>IF($E540="","",INDEX('Input Transaksi'!$D:$D,$E540))</f>
        <v/>
      </c>
      <c r="C540">
        <f>IF($E540="","",INDEX('Input Transaksi'!$E:$E,$E540))</f>
        <v/>
      </c>
      <c r="D540" s="5">
        <f>IF($E540="","",INDEX('Input Transaksi'!$F:$F,$E540))</f>
        <v/>
      </c>
      <c r="E540">
        <f>IFERROR(AGGREGATE(15,6,ROW('Input Transaksi'!$B$5:$B$5000)/('Input Transaksi'!$B$5:$B$5000="JCL SIDAKARYA"),ROWS($E$5:E540)),"")</f>
        <v/>
      </c>
      <c r="F540" s="5" t="n"/>
    </row>
    <row r="541">
      <c r="A541" s="10">
        <f>IF($E541="","",INDEX('Input Transaksi'!$A:$A,$E541))</f>
        <v/>
      </c>
      <c r="B541" s="5">
        <f>IF($E541="","",INDEX('Input Transaksi'!$D:$D,$E541))</f>
        <v/>
      </c>
      <c r="C541">
        <f>IF($E541="","",INDEX('Input Transaksi'!$E:$E,$E541))</f>
        <v/>
      </c>
      <c r="D541" s="5">
        <f>IF($E541="","",INDEX('Input Transaksi'!$F:$F,$E541))</f>
        <v/>
      </c>
      <c r="E541">
        <f>IFERROR(AGGREGATE(15,6,ROW('Input Transaksi'!$B$5:$B$5000)/('Input Transaksi'!$B$5:$B$5000="JCL SIDAKARYA"),ROWS($E$5:E541)),"")</f>
        <v/>
      </c>
      <c r="F541" s="5" t="n"/>
    </row>
    <row r="542">
      <c r="A542" s="10">
        <f>IF($E542="","",INDEX('Input Transaksi'!$A:$A,$E542))</f>
        <v/>
      </c>
      <c r="B542" s="5">
        <f>IF($E542="","",INDEX('Input Transaksi'!$D:$D,$E542))</f>
        <v/>
      </c>
      <c r="C542">
        <f>IF($E542="","",INDEX('Input Transaksi'!$E:$E,$E542))</f>
        <v/>
      </c>
      <c r="D542" s="5">
        <f>IF($E542="","",INDEX('Input Transaksi'!$F:$F,$E542))</f>
        <v/>
      </c>
      <c r="E542">
        <f>IFERROR(AGGREGATE(15,6,ROW('Input Transaksi'!$B$5:$B$5000)/('Input Transaksi'!$B$5:$B$5000="JCL SIDAKARYA"),ROWS($E$5:E542)),"")</f>
        <v/>
      </c>
      <c r="F542" s="5" t="n"/>
    </row>
    <row r="543">
      <c r="A543" s="10">
        <f>IF($E543="","",INDEX('Input Transaksi'!$A:$A,$E543))</f>
        <v/>
      </c>
      <c r="B543" s="5">
        <f>IF($E543="","",INDEX('Input Transaksi'!$D:$D,$E543))</f>
        <v/>
      </c>
      <c r="C543">
        <f>IF($E543="","",INDEX('Input Transaksi'!$E:$E,$E543))</f>
        <v/>
      </c>
      <c r="D543" s="5">
        <f>IF($E543="","",INDEX('Input Transaksi'!$F:$F,$E543))</f>
        <v/>
      </c>
      <c r="E543">
        <f>IFERROR(AGGREGATE(15,6,ROW('Input Transaksi'!$B$5:$B$5000)/('Input Transaksi'!$B$5:$B$5000="JCL SIDAKARYA"),ROWS($E$5:E543)),"")</f>
        <v/>
      </c>
      <c r="F543" s="5" t="n"/>
    </row>
    <row r="544">
      <c r="A544" s="10">
        <f>IF($E544="","",INDEX('Input Transaksi'!$A:$A,$E544))</f>
        <v/>
      </c>
      <c r="B544" s="5">
        <f>IF($E544="","",INDEX('Input Transaksi'!$D:$D,$E544))</f>
        <v/>
      </c>
      <c r="C544">
        <f>IF($E544="","",INDEX('Input Transaksi'!$E:$E,$E544))</f>
        <v/>
      </c>
      <c r="D544" s="5">
        <f>IF($E544="","",INDEX('Input Transaksi'!$F:$F,$E544))</f>
        <v/>
      </c>
      <c r="E544">
        <f>IFERROR(AGGREGATE(15,6,ROW('Input Transaksi'!$B$5:$B$5000)/('Input Transaksi'!$B$5:$B$5000="JCL SIDAKARYA"),ROWS($E$5:E544)),"")</f>
        <v/>
      </c>
      <c r="F544" s="5" t="n"/>
    </row>
    <row r="545">
      <c r="A545" s="10">
        <f>IF($E545="","",INDEX('Input Transaksi'!$A:$A,$E545))</f>
        <v/>
      </c>
      <c r="B545" s="5">
        <f>IF($E545="","",INDEX('Input Transaksi'!$D:$D,$E545))</f>
        <v/>
      </c>
      <c r="C545">
        <f>IF($E545="","",INDEX('Input Transaksi'!$E:$E,$E545))</f>
        <v/>
      </c>
      <c r="D545" s="5">
        <f>IF($E545="","",INDEX('Input Transaksi'!$F:$F,$E545))</f>
        <v/>
      </c>
      <c r="E545">
        <f>IFERROR(AGGREGATE(15,6,ROW('Input Transaksi'!$B$5:$B$5000)/('Input Transaksi'!$B$5:$B$5000="JCL SIDAKARYA"),ROWS($E$5:E545)),"")</f>
        <v/>
      </c>
      <c r="F545" s="5" t="n"/>
    </row>
    <row r="546">
      <c r="A546" s="10">
        <f>IF($E546="","",INDEX('Input Transaksi'!$A:$A,$E546))</f>
        <v/>
      </c>
      <c r="B546" s="5">
        <f>IF($E546="","",INDEX('Input Transaksi'!$D:$D,$E546))</f>
        <v/>
      </c>
      <c r="C546">
        <f>IF($E546="","",INDEX('Input Transaksi'!$E:$E,$E546))</f>
        <v/>
      </c>
      <c r="D546" s="5">
        <f>IF($E546="","",INDEX('Input Transaksi'!$F:$F,$E546))</f>
        <v/>
      </c>
      <c r="E546">
        <f>IFERROR(AGGREGATE(15,6,ROW('Input Transaksi'!$B$5:$B$5000)/('Input Transaksi'!$B$5:$B$5000="JCL SIDAKARYA"),ROWS($E$5:E546)),"")</f>
        <v/>
      </c>
      <c r="F546" s="5" t="n"/>
    </row>
    <row r="547">
      <c r="A547" s="10">
        <f>IF($E547="","",INDEX('Input Transaksi'!$A:$A,$E547))</f>
        <v/>
      </c>
      <c r="B547" s="5">
        <f>IF($E547="","",INDEX('Input Transaksi'!$D:$D,$E547))</f>
        <v/>
      </c>
      <c r="C547">
        <f>IF($E547="","",INDEX('Input Transaksi'!$E:$E,$E547))</f>
        <v/>
      </c>
      <c r="D547" s="5">
        <f>IF($E547="","",INDEX('Input Transaksi'!$F:$F,$E547))</f>
        <v/>
      </c>
      <c r="E547">
        <f>IFERROR(AGGREGATE(15,6,ROW('Input Transaksi'!$B$5:$B$5000)/('Input Transaksi'!$B$5:$B$5000="JCL SIDAKARYA"),ROWS($E$5:E547)),"")</f>
        <v/>
      </c>
      <c r="F547" s="5" t="n"/>
    </row>
    <row r="548">
      <c r="A548" s="10">
        <f>IF($E548="","",INDEX('Input Transaksi'!$A:$A,$E548))</f>
        <v/>
      </c>
      <c r="B548" s="5">
        <f>IF($E548="","",INDEX('Input Transaksi'!$D:$D,$E548))</f>
        <v/>
      </c>
      <c r="C548">
        <f>IF($E548="","",INDEX('Input Transaksi'!$E:$E,$E548))</f>
        <v/>
      </c>
      <c r="D548" s="5">
        <f>IF($E548="","",INDEX('Input Transaksi'!$F:$F,$E548))</f>
        <v/>
      </c>
      <c r="E548">
        <f>IFERROR(AGGREGATE(15,6,ROW('Input Transaksi'!$B$5:$B$5000)/('Input Transaksi'!$B$5:$B$5000="JCL SIDAKARYA"),ROWS($E$5:E548)),"")</f>
        <v/>
      </c>
      <c r="F548" s="5" t="n"/>
    </row>
    <row r="549">
      <c r="A549" s="10">
        <f>IF($E549="","",INDEX('Input Transaksi'!$A:$A,$E549))</f>
        <v/>
      </c>
      <c r="B549" s="5">
        <f>IF($E549="","",INDEX('Input Transaksi'!$D:$D,$E549))</f>
        <v/>
      </c>
      <c r="C549">
        <f>IF($E549="","",INDEX('Input Transaksi'!$E:$E,$E549))</f>
        <v/>
      </c>
      <c r="D549" s="5">
        <f>IF($E549="","",INDEX('Input Transaksi'!$F:$F,$E549))</f>
        <v/>
      </c>
      <c r="E549">
        <f>IFERROR(AGGREGATE(15,6,ROW('Input Transaksi'!$B$5:$B$5000)/('Input Transaksi'!$B$5:$B$5000="JCL SIDAKARYA"),ROWS($E$5:E549)),"")</f>
        <v/>
      </c>
      <c r="F549" s="5" t="n"/>
    </row>
    <row r="550">
      <c r="A550" s="10">
        <f>IF($E550="","",INDEX('Input Transaksi'!$A:$A,$E550))</f>
        <v/>
      </c>
      <c r="B550" s="5">
        <f>IF($E550="","",INDEX('Input Transaksi'!$D:$D,$E550))</f>
        <v/>
      </c>
      <c r="C550">
        <f>IF($E550="","",INDEX('Input Transaksi'!$E:$E,$E550))</f>
        <v/>
      </c>
      <c r="D550" s="5">
        <f>IF($E550="","",INDEX('Input Transaksi'!$F:$F,$E550))</f>
        <v/>
      </c>
      <c r="E550">
        <f>IFERROR(AGGREGATE(15,6,ROW('Input Transaksi'!$B$5:$B$5000)/('Input Transaksi'!$B$5:$B$5000="JCL SIDAKARYA"),ROWS($E$5:E550)),"")</f>
        <v/>
      </c>
      <c r="F550" s="5" t="n"/>
    </row>
    <row r="551">
      <c r="A551" s="10">
        <f>IF($E551="","",INDEX('Input Transaksi'!$A:$A,$E551))</f>
        <v/>
      </c>
      <c r="B551" s="5">
        <f>IF($E551="","",INDEX('Input Transaksi'!$D:$D,$E551))</f>
        <v/>
      </c>
      <c r="C551">
        <f>IF($E551="","",INDEX('Input Transaksi'!$E:$E,$E551))</f>
        <v/>
      </c>
      <c r="D551" s="5">
        <f>IF($E551="","",INDEX('Input Transaksi'!$F:$F,$E551))</f>
        <v/>
      </c>
      <c r="E551">
        <f>IFERROR(AGGREGATE(15,6,ROW('Input Transaksi'!$B$5:$B$5000)/('Input Transaksi'!$B$5:$B$5000="JCL SIDAKARYA"),ROWS($E$5:E551)),"")</f>
        <v/>
      </c>
      <c r="F551" s="5" t="n"/>
    </row>
    <row r="552">
      <c r="A552" s="10">
        <f>IF($E552="","",INDEX('Input Transaksi'!$A:$A,$E552))</f>
        <v/>
      </c>
      <c r="B552" s="5">
        <f>IF($E552="","",INDEX('Input Transaksi'!$D:$D,$E552))</f>
        <v/>
      </c>
      <c r="C552">
        <f>IF($E552="","",INDEX('Input Transaksi'!$E:$E,$E552))</f>
        <v/>
      </c>
      <c r="D552" s="5">
        <f>IF($E552="","",INDEX('Input Transaksi'!$F:$F,$E552))</f>
        <v/>
      </c>
      <c r="E552">
        <f>IFERROR(AGGREGATE(15,6,ROW('Input Transaksi'!$B$5:$B$5000)/('Input Transaksi'!$B$5:$B$5000="JCL SIDAKARYA"),ROWS($E$5:E552)),"")</f>
        <v/>
      </c>
      <c r="F552" s="5" t="n"/>
    </row>
    <row r="553">
      <c r="A553" s="10">
        <f>IF($E553="","",INDEX('Input Transaksi'!$A:$A,$E553))</f>
        <v/>
      </c>
      <c r="B553" s="5">
        <f>IF($E553="","",INDEX('Input Transaksi'!$D:$D,$E553))</f>
        <v/>
      </c>
      <c r="C553">
        <f>IF($E553="","",INDEX('Input Transaksi'!$E:$E,$E553))</f>
        <v/>
      </c>
      <c r="D553" s="5">
        <f>IF($E553="","",INDEX('Input Transaksi'!$F:$F,$E553))</f>
        <v/>
      </c>
      <c r="E553">
        <f>IFERROR(AGGREGATE(15,6,ROW('Input Transaksi'!$B$5:$B$5000)/('Input Transaksi'!$B$5:$B$5000="JCL SIDAKARYA"),ROWS($E$5:E553)),"")</f>
        <v/>
      </c>
      <c r="F553" s="5" t="n"/>
    </row>
    <row r="554">
      <c r="A554" s="10">
        <f>IF($E554="","",INDEX('Input Transaksi'!$A:$A,$E554))</f>
        <v/>
      </c>
      <c r="B554" s="5">
        <f>IF($E554="","",INDEX('Input Transaksi'!$D:$D,$E554))</f>
        <v/>
      </c>
      <c r="C554">
        <f>IF($E554="","",INDEX('Input Transaksi'!$E:$E,$E554))</f>
        <v/>
      </c>
      <c r="D554" s="5">
        <f>IF($E554="","",INDEX('Input Transaksi'!$F:$F,$E554))</f>
        <v/>
      </c>
      <c r="E554">
        <f>IFERROR(AGGREGATE(15,6,ROW('Input Transaksi'!$B$5:$B$5000)/('Input Transaksi'!$B$5:$B$5000="JCL SIDAKARYA"),ROWS($E$5:E554)),"")</f>
        <v/>
      </c>
      <c r="F554" s="5" t="n"/>
    </row>
    <row r="555">
      <c r="A555" s="10">
        <f>IF($E555="","",INDEX('Input Transaksi'!$A:$A,$E555))</f>
        <v/>
      </c>
      <c r="B555" s="5">
        <f>IF($E555="","",INDEX('Input Transaksi'!$D:$D,$E555))</f>
        <v/>
      </c>
      <c r="C555">
        <f>IF($E555="","",INDEX('Input Transaksi'!$E:$E,$E555))</f>
        <v/>
      </c>
      <c r="D555" s="5">
        <f>IF($E555="","",INDEX('Input Transaksi'!$F:$F,$E555))</f>
        <v/>
      </c>
      <c r="E555">
        <f>IFERROR(AGGREGATE(15,6,ROW('Input Transaksi'!$B$5:$B$5000)/('Input Transaksi'!$B$5:$B$5000="JCL SIDAKARYA"),ROWS($E$5:E555)),"")</f>
        <v/>
      </c>
      <c r="F555" s="5" t="n"/>
    </row>
    <row r="556">
      <c r="A556" s="10">
        <f>IF($E556="","",INDEX('Input Transaksi'!$A:$A,$E556))</f>
        <v/>
      </c>
      <c r="B556" s="5">
        <f>IF($E556="","",INDEX('Input Transaksi'!$D:$D,$E556))</f>
        <v/>
      </c>
      <c r="C556">
        <f>IF($E556="","",INDEX('Input Transaksi'!$E:$E,$E556))</f>
        <v/>
      </c>
      <c r="D556" s="5">
        <f>IF($E556="","",INDEX('Input Transaksi'!$F:$F,$E556))</f>
        <v/>
      </c>
      <c r="E556">
        <f>IFERROR(AGGREGATE(15,6,ROW('Input Transaksi'!$B$5:$B$5000)/('Input Transaksi'!$B$5:$B$5000="JCL SIDAKARYA"),ROWS($E$5:E556)),"")</f>
        <v/>
      </c>
      <c r="F556" s="5" t="n"/>
    </row>
    <row r="557">
      <c r="A557" s="10">
        <f>IF($E557="","",INDEX('Input Transaksi'!$A:$A,$E557))</f>
        <v/>
      </c>
      <c r="B557" s="5">
        <f>IF($E557="","",INDEX('Input Transaksi'!$D:$D,$E557))</f>
        <v/>
      </c>
      <c r="C557">
        <f>IF($E557="","",INDEX('Input Transaksi'!$E:$E,$E557))</f>
        <v/>
      </c>
      <c r="D557" s="5">
        <f>IF($E557="","",INDEX('Input Transaksi'!$F:$F,$E557))</f>
        <v/>
      </c>
      <c r="E557">
        <f>IFERROR(AGGREGATE(15,6,ROW('Input Transaksi'!$B$5:$B$5000)/('Input Transaksi'!$B$5:$B$5000="JCL SIDAKARYA"),ROWS($E$5:E557)),"")</f>
        <v/>
      </c>
      <c r="F557" s="5" t="n"/>
    </row>
    <row r="558">
      <c r="A558" s="10">
        <f>IF($E558="","",INDEX('Input Transaksi'!$A:$A,$E558))</f>
        <v/>
      </c>
      <c r="B558" s="5">
        <f>IF($E558="","",INDEX('Input Transaksi'!$D:$D,$E558))</f>
        <v/>
      </c>
      <c r="C558">
        <f>IF($E558="","",INDEX('Input Transaksi'!$E:$E,$E558))</f>
        <v/>
      </c>
      <c r="D558" s="5">
        <f>IF($E558="","",INDEX('Input Transaksi'!$F:$F,$E558))</f>
        <v/>
      </c>
      <c r="E558">
        <f>IFERROR(AGGREGATE(15,6,ROW('Input Transaksi'!$B$5:$B$5000)/('Input Transaksi'!$B$5:$B$5000="JCL SIDAKARYA"),ROWS($E$5:E558)),"")</f>
        <v/>
      </c>
      <c r="F558" s="5" t="n"/>
    </row>
    <row r="559">
      <c r="A559" s="10">
        <f>IF($E559="","",INDEX('Input Transaksi'!$A:$A,$E559))</f>
        <v/>
      </c>
      <c r="B559" s="5">
        <f>IF($E559="","",INDEX('Input Transaksi'!$D:$D,$E559))</f>
        <v/>
      </c>
      <c r="C559">
        <f>IF($E559="","",INDEX('Input Transaksi'!$E:$E,$E559))</f>
        <v/>
      </c>
      <c r="D559" s="5">
        <f>IF($E559="","",INDEX('Input Transaksi'!$F:$F,$E559))</f>
        <v/>
      </c>
      <c r="E559">
        <f>IFERROR(AGGREGATE(15,6,ROW('Input Transaksi'!$B$5:$B$5000)/('Input Transaksi'!$B$5:$B$5000="JCL SIDAKARYA"),ROWS($E$5:E559)),"")</f>
        <v/>
      </c>
      <c r="F559" s="5" t="n"/>
    </row>
    <row r="560">
      <c r="A560" s="10">
        <f>IF($E560="","",INDEX('Input Transaksi'!$A:$A,$E560))</f>
        <v/>
      </c>
      <c r="B560" s="5">
        <f>IF($E560="","",INDEX('Input Transaksi'!$D:$D,$E560))</f>
        <v/>
      </c>
      <c r="C560">
        <f>IF($E560="","",INDEX('Input Transaksi'!$E:$E,$E560))</f>
        <v/>
      </c>
      <c r="D560" s="5">
        <f>IF($E560="","",INDEX('Input Transaksi'!$F:$F,$E560))</f>
        <v/>
      </c>
      <c r="E560">
        <f>IFERROR(AGGREGATE(15,6,ROW('Input Transaksi'!$B$5:$B$5000)/('Input Transaksi'!$B$5:$B$5000="JCL SIDAKARYA"),ROWS($E$5:E560)),"")</f>
        <v/>
      </c>
      <c r="F560" s="5" t="n"/>
    </row>
    <row r="561">
      <c r="A561" s="10">
        <f>IF($E561="","",INDEX('Input Transaksi'!$A:$A,$E561))</f>
        <v/>
      </c>
      <c r="B561" s="5">
        <f>IF($E561="","",INDEX('Input Transaksi'!$D:$D,$E561))</f>
        <v/>
      </c>
      <c r="C561">
        <f>IF($E561="","",INDEX('Input Transaksi'!$E:$E,$E561))</f>
        <v/>
      </c>
      <c r="D561" s="5">
        <f>IF($E561="","",INDEX('Input Transaksi'!$F:$F,$E561))</f>
        <v/>
      </c>
      <c r="E561">
        <f>IFERROR(AGGREGATE(15,6,ROW('Input Transaksi'!$B$5:$B$5000)/('Input Transaksi'!$B$5:$B$5000="JCL SIDAKARYA"),ROWS($E$5:E561)),"")</f>
        <v/>
      </c>
      <c r="F561" s="5" t="n"/>
    </row>
    <row r="562">
      <c r="A562" s="10">
        <f>IF($E562="","",INDEX('Input Transaksi'!$A:$A,$E562))</f>
        <v/>
      </c>
      <c r="B562" s="5">
        <f>IF($E562="","",INDEX('Input Transaksi'!$D:$D,$E562))</f>
        <v/>
      </c>
      <c r="C562">
        <f>IF($E562="","",INDEX('Input Transaksi'!$E:$E,$E562))</f>
        <v/>
      </c>
      <c r="D562" s="5">
        <f>IF($E562="","",INDEX('Input Transaksi'!$F:$F,$E562))</f>
        <v/>
      </c>
      <c r="E562">
        <f>IFERROR(AGGREGATE(15,6,ROW('Input Transaksi'!$B$5:$B$5000)/('Input Transaksi'!$B$5:$B$5000="JCL SIDAKARYA"),ROWS($E$5:E562)),"")</f>
        <v/>
      </c>
      <c r="F562" s="5" t="n"/>
    </row>
    <row r="563">
      <c r="A563" s="10">
        <f>IF($E563="","",INDEX('Input Transaksi'!$A:$A,$E563))</f>
        <v/>
      </c>
      <c r="B563" s="5">
        <f>IF($E563="","",INDEX('Input Transaksi'!$D:$D,$E563))</f>
        <v/>
      </c>
      <c r="C563">
        <f>IF($E563="","",INDEX('Input Transaksi'!$E:$E,$E563))</f>
        <v/>
      </c>
      <c r="D563" s="5">
        <f>IF($E563="","",INDEX('Input Transaksi'!$F:$F,$E563))</f>
        <v/>
      </c>
      <c r="E563">
        <f>IFERROR(AGGREGATE(15,6,ROW('Input Transaksi'!$B$5:$B$5000)/('Input Transaksi'!$B$5:$B$5000="JCL SIDAKARYA"),ROWS($E$5:E563)),"")</f>
        <v/>
      </c>
      <c r="F563" s="5" t="n"/>
    </row>
    <row r="564">
      <c r="A564" s="10">
        <f>IF($E564="","",INDEX('Input Transaksi'!$A:$A,$E564))</f>
        <v/>
      </c>
      <c r="B564" s="5">
        <f>IF($E564="","",INDEX('Input Transaksi'!$D:$D,$E564))</f>
        <v/>
      </c>
      <c r="C564">
        <f>IF($E564="","",INDEX('Input Transaksi'!$E:$E,$E564))</f>
        <v/>
      </c>
      <c r="D564" s="5">
        <f>IF($E564="","",INDEX('Input Transaksi'!$F:$F,$E564))</f>
        <v/>
      </c>
      <c r="E564">
        <f>IFERROR(AGGREGATE(15,6,ROW('Input Transaksi'!$B$5:$B$5000)/('Input Transaksi'!$B$5:$B$5000="JCL SIDAKARYA"),ROWS($E$5:E564)),"")</f>
        <v/>
      </c>
      <c r="F564" s="5" t="n"/>
    </row>
    <row r="565">
      <c r="A565" s="10">
        <f>IF($E565="","",INDEX('Input Transaksi'!$A:$A,$E565))</f>
        <v/>
      </c>
      <c r="B565" s="5">
        <f>IF($E565="","",INDEX('Input Transaksi'!$D:$D,$E565))</f>
        <v/>
      </c>
      <c r="C565">
        <f>IF($E565="","",INDEX('Input Transaksi'!$E:$E,$E565))</f>
        <v/>
      </c>
      <c r="D565" s="5">
        <f>IF($E565="","",INDEX('Input Transaksi'!$F:$F,$E565))</f>
        <v/>
      </c>
      <c r="E565">
        <f>IFERROR(AGGREGATE(15,6,ROW('Input Transaksi'!$B$5:$B$5000)/('Input Transaksi'!$B$5:$B$5000="JCL SIDAKARYA"),ROWS($E$5:E565)),"")</f>
        <v/>
      </c>
      <c r="F565" s="5" t="n"/>
    </row>
    <row r="566">
      <c r="A566" s="10">
        <f>IF($E566="","",INDEX('Input Transaksi'!$A:$A,$E566))</f>
        <v/>
      </c>
      <c r="B566" s="5">
        <f>IF($E566="","",INDEX('Input Transaksi'!$D:$D,$E566))</f>
        <v/>
      </c>
      <c r="C566">
        <f>IF($E566="","",INDEX('Input Transaksi'!$E:$E,$E566))</f>
        <v/>
      </c>
      <c r="D566" s="5">
        <f>IF($E566="","",INDEX('Input Transaksi'!$F:$F,$E566))</f>
        <v/>
      </c>
      <c r="E566">
        <f>IFERROR(AGGREGATE(15,6,ROW('Input Transaksi'!$B$5:$B$5000)/('Input Transaksi'!$B$5:$B$5000="JCL SIDAKARYA"),ROWS($E$5:E566)),"")</f>
        <v/>
      </c>
      <c r="F566" s="5" t="n"/>
    </row>
    <row r="567">
      <c r="A567" s="10">
        <f>IF($E567="","",INDEX('Input Transaksi'!$A:$A,$E567))</f>
        <v/>
      </c>
      <c r="B567" s="5">
        <f>IF($E567="","",INDEX('Input Transaksi'!$D:$D,$E567))</f>
        <v/>
      </c>
      <c r="C567">
        <f>IF($E567="","",INDEX('Input Transaksi'!$E:$E,$E567))</f>
        <v/>
      </c>
      <c r="D567" s="5">
        <f>IF($E567="","",INDEX('Input Transaksi'!$F:$F,$E567))</f>
        <v/>
      </c>
      <c r="E567">
        <f>IFERROR(AGGREGATE(15,6,ROW('Input Transaksi'!$B$5:$B$5000)/('Input Transaksi'!$B$5:$B$5000="JCL SIDAKARYA"),ROWS($E$5:E567)),"")</f>
        <v/>
      </c>
      <c r="F567" s="5" t="n"/>
    </row>
    <row r="568">
      <c r="A568" s="10">
        <f>IF($E568="","",INDEX('Input Transaksi'!$A:$A,$E568))</f>
        <v/>
      </c>
      <c r="B568" s="5">
        <f>IF($E568="","",INDEX('Input Transaksi'!$D:$D,$E568))</f>
        <v/>
      </c>
      <c r="C568">
        <f>IF($E568="","",INDEX('Input Transaksi'!$E:$E,$E568))</f>
        <v/>
      </c>
      <c r="D568" s="5">
        <f>IF($E568="","",INDEX('Input Transaksi'!$F:$F,$E568))</f>
        <v/>
      </c>
      <c r="E568">
        <f>IFERROR(AGGREGATE(15,6,ROW('Input Transaksi'!$B$5:$B$5000)/('Input Transaksi'!$B$5:$B$5000="JCL SIDAKARYA"),ROWS($E$5:E568)),"")</f>
        <v/>
      </c>
      <c r="F568" s="5" t="n"/>
    </row>
    <row r="569">
      <c r="A569" s="10">
        <f>IF($E569="","",INDEX('Input Transaksi'!$A:$A,$E569))</f>
        <v/>
      </c>
      <c r="B569" s="5">
        <f>IF($E569="","",INDEX('Input Transaksi'!$D:$D,$E569))</f>
        <v/>
      </c>
      <c r="C569">
        <f>IF($E569="","",INDEX('Input Transaksi'!$E:$E,$E569))</f>
        <v/>
      </c>
      <c r="D569" s="5">
        <f>IF($E569="","",INDEX('Input Transaksi'!$F:$F,$E569))</f>
        <v/>
      </c>
      <c r="E569">
        <f>IFERROR(AGGREGATE(15,6,ROW('Input Transaksi'!$B$5:$B$5000)/('Input Transaksi'!$B$5:$B$5000="JCL SIDAKARYA"),ROWS($E$5:E569)),"")</f>
        <v/>
      </c>
      <c r="F569" s="5" t="n"/>
    </row>
    <row r="570">
      <c r="A570" s="10">
        <f>IF($E570="","",INDEX('Input Transaksi'!$A:$A,$E570))</f>
        <v/>
      </c>
      <c r="B570" s="5">
        <f>IF($E570="","",INDEX('Input Transaksi'!$D:$D,$E570))</f>
        <v/>
      </c>
      <c r="C570">
        <f>IF($E570="","",INDEX('Input Transaksi'!$E:$E,$E570))</f>
        <v/>
      </c>
      <c r="D570" s="5">
        <f>IF($E570="","",INDEX('Input Transaksi'!$F:$F,$E570))</f>
        <v/>
      </c>
      <c r="E570">
        <f>IFERROR(AGGREGATE(15,6,ROW('Input Transaksi'!$B$5:$B$5000)/('Input Transaksi'!$B$5:$B$5000="JCL SIDAKARYA"),ROWS($E$5:E570)),"")</f>
        <v/>
      </c>
      <c r="F570" s="5" t="n"/>
    </row>
    <row r="571">
      <c r="A571" s="10">
        <f>IF($E571="","",INDEX('Input Transaksi'!$A:$A,$E571))</f>
        <v/>
      </c>
      <c r="B571" s="5">
        <f>IF($E571="","",INDEX('Input Transaksi'!$D:$D,$E571))</f>
        <v/>
      </c>
      <c r="C571">
        <f>IF($E571="","",INDEX('Input Transaksi'!$E:$E,$E571))</f>
        <v/>
      </c>
      <c r="D571" s="5">
        <f>IF($E571="","",INDEX('Input Transaksi'!$F:$F,$E571))</f>
        <v/>
      </c>
      <c r="E571">
        <f>IFERROR(AGGREGATE(15,6,ROW('Input Transaksi'!$B$5:$B$5000)/('Input Transaksi'!$B$5:$B$5000="JCL SIDAKARYA"),ROWS($E$5:E571)),"")</f>
        <v/>
      </c>
      <c r="F571" s="5" t="n"/>
    </row>
    <row r="572">
      <c r="A572" s="10">
        <f>IF($E572="","",INDEX('Input Transaksi'!$A:$A,$E572))</f>
        <v/>
      </c>
      <c r="B572" s="5">
        <f>IF($E572="","",INDEX('Input Transaksi'!$D:$D,$E572))</f>
        <v/>
      </c>
      <c r="C572">
        <f>IF($E572="","",INDEX('Input Transaksi'!$E:$E,$E572))</f>
        <v/>
      </c>
      <c r="D572" s="5">
        <f>IF($E572="","",INDEX('Input Transaksi'!$F:$F,$E572))</f>
        <v/>
      </c>
      <c r="E572">
        <f>IFERROR(AGGREGATE(15,6,ROW('Input Transaksi'!$B$5:$B$5000)/('Input Transaksi'!$B$5:$B$5000="JCL SIDAKARYA"),ROWS($E$5:E572)),"")</f>
        <v/>
      </c>
      <c r="F572" s="5" t="n"/>
    </row>
    <row r="573">
      <c r="A573" s="10">
        <f>IF($E573="","",INDEX('Input Transaksi'!$A:$A,$E573))</f>
        <v/>
      </c>
      <c r="B573" s="5">
        <f>IF($E573="","",INDEX('Input Transaksi'!$D:$D,$E573))</f>
        <v/>
      </c>
      <c r="C573">
        <f>IF($E573="","",INDEX('Input Transaksi'!$E:$E,$E573))</f>
        <v/>
      </c>
      <c r="D573" s="5">
        <f>IF($E573="","",INDEX('Input Transaksi'!$F:$F,$E573))</f>
        <v/>
      </c>
      <c r="E573">
        <f>IFERROR(AGGREGATE(15,6,ROW('Input Transaksi'!$B$5:$B$5000)/('Input Transaksi'!$B$5:$B$5000="JCL SIDAKARYA"),ROWS($E$5:E573)),"")</f>
        <v/>
      </c>
      <c r="F573" s="5" t="n"/>
    </row>
    <row r="574">
      <c r="A574" s="10">
        <f>IF($E574="","",INDEX('Input Transaksi'!$A:$A,$E574))</f>
        <v/>
      </c>
      <c r="B574" s="5">
        <f>IF($E574="","",INDEX('Input Transaksi'!$D:$D,$E574))</f>
        <v/>
      </c>
      <c r="C574">
        <f>IF($E574="","",INDEX('Input Transaksi'!$E:$E,$E574))</f>
        <v/>
      </c>
      <c r="D574" s="5">
        <f>IF($E574="","",INDEX('Input Transaksi'!$F:$F,$E574))</f>
        <v/>
      </c>
      <c r="E574">
        <f>IFERROR(AGGREGATE(15,6,ROW('Input Transaksi'!$B$5:$B$5000)/('Input Transaksi'!$B$5:$B$5000="JCL SIDAKARYA"),ROWS($E$5:E574)),"")</f>
        <v/>
      </c>
      <c r="F574" s="5" t="n"/>
    </row>
    <row r="575">
      <c r="A575" s="10">
        <f>IF($E575="","",INDEX('Input Transaksi'!$A:$A,$E575))</f>
        <v/>
      </c>
      <c r="B575" s="5">
        <f>IF($E575="","",INDEX('Input Transaksi'!$D:$D,$E575))</f>
        <v/>
      </c>
      <c r="C575">
        <f>IF($E575="","",INDEX('Input Transaksi'!$E:$E,$E575))</f>
        <v/>
      </c>
      <c r="D575" s="5">
        <f>IF($E575="","",INDEX('Input Transaksi'!$F:$F,$E575))</f>
        <v/>
      </c>
      <c r="E575">
        <f>IFERROR(AGGREGATE(15,6,ROW('Input Transaksi'!$B$5:$B$5000)/('Input Transaksi'!$B$5:$B$5000="JCL SIDAKARYA"),ROWS($E$5:E575)),"")</f>
        <v/>
      </c>
      <c r="F575" s="5" t="n"/>
    </row>
    <row r="576">
      <c r="A576" s="10">
        <f>IF($E576="","",INDEX('Input Transaksi'!$A:$A,$E576))</f>
        <v/>
      </c>
      <c r="B576" s="5">
        <f>IF($E576="","",INDEX('Input Transaksi'!$D:$D,$E576))</f>
        <v/>
      </c>
      <c r="C576">
        <f>IF($E576="","",INDEX('Input Transaksi'!$E:$E,$E576))</f>
        <v/>
      </c>
      <c r="D576" s="5">
        <f>IF($E576="","",INDEX('Input Transaksi'!$F:$F,$E576))</f>
        <v/>
      </c>
      <c r="E576">
        <f>IFERROR(AGGREGATE(15,6,ROW('Input Transaksi'!$B$5:$B$5000)/('Input Transaksi'!$B$5:$B$5000="JCL SIDAKARYA"),ROWS($E$5:E576)),"")</f>
        <v/>
      </c>
      <c r="F576" s="5" t="n"/>
    </row>
    <row r="577">
      <c r="A577" s="10">
        <f>IF($E577="","",INDEX('Input Transaksi'!$A:$A,$E577))</f>
        <v/>
      </c>
      <c r="B577" s="5">
        <f>IF($E577="","",INDEX('Input Transaksi'!$D:$D,$E577))</f>
        <v/>
      </c>
      <c r="C577">
        <f>IF($E577="","",INDEX('Input Transaksi'!$E:$E,$E577))</f>
        <v/>
      </c>
      <c r="D577" s="5">
        <f>IF($E577="","",INDEX('Input Transaksi'!$F:$F,$E577))</f>
        <v/>
      </c>
      <c r="E577">
        <f>IFERROR(AGGREGATE(15,6,ROW('Input Transaksi'!$B$5:$B$5000)/('Input Transaksi'!$B$5:$B$5000="JCL SIDAKARYA"),ROWS($E$5:E577)),"")</f>
        <v/>
      </c>
      <c r="F577" s="5" t="n"/>
    </row>
    <row r="578">
      <c r="A578" s="10">
        <f>IF($E578="","",INDEX('Input Transaksi'!$A:$A,$E578))</f>
        <v/>
      </c>
      <c r="B578" s="5">
        <f>IF($E578="","",INDEX('Input Transaksi'!$D:$D,$E578))</f>
        <v/>
      </c>
      <c r="C578">
        <f>IF($E578="","",INDEX('Input Transaksi'!$E:$E,$E578))</f>
        <v/>
      </c>
      <c r="D578" s="5">
        <f>IF($E578="","",INDEX('Input Transaksi'!$F:$F,$E578))</f>
        <v/>
      </c>
      <c r="E578">
        <f>IFERROR(AGGREGATE(15,6,ROW('Input Transaksi'!$B$5:$B$5000)/('Input Transaksi'!$B$5:$B$5000="JCL SIDAKARYA"),ROWS($E$5:E578)),"")</f>
        <v/>
      </c>
      <c r="F578" s="5" t="n"/>
    </row>
    <row r="579">
      <c r="A579" s="10">
        <f>IF($E579="","",INDEX('Input Transaksi'!$A:$A,$E579))</f>
        <v/>
      </c>
      <c r="B579" s="5">
        <f>IF($E579="","",INDEX('Input Transaksi'!$D:$D,$E579))</f>
        <v/>
      </c>
      <c r="C579">
        <f>IF($E579="","",INDEX('Input Transaksi'!$E:$E,$E579))</f>
        <v/>
      </c>
      <c r="D579" s="5">
        <f>IF($E579="","",INDEX('Input Transaksi'!$F:$F,$E579))</f>
        <v/>
      </c>
      <c r="E579">
        <f>IFERROR(AGGREGATE(15,6,ROW('Input Transaksi'!$B$5:$B$5000)/('Input Transaksi'!$B$5:$B$5000="JCL SIDAKARYA"),ROWS($E$5:E579)),"")</f>
        <v/>
      </c>
      <c r="F579" s="5" t="n"/>
    </row>
    <row r="580">
      <c r="A580" s="10">
        <f>IF($E580="","",INDEX('Input Transaksi'!$A:$A,$E580))</f>
        <v/>
      </c>
      <c r="B580" s="5">
        <f>IF($E580="","",INDEX('Input Transaksi'!$D:$D,$E580))</f>
        <v/>
      </c>
      <c r="C580">
        <f>IF($E580="","",INDEX('Input Transaksi'!$E:$E,$E580))</f>
        <v/>
      </c>
      <c r="D580" s="5">
        <f>IF($E580="","",INDEX('Input Transaksi'!$F:$F,$E580))</f>
        <v/>
      </c>
      <c r="E580">
        <f>IFERROR(AGGREGATE(15,6,ROW('Input Transaksi'!$B$5:$B$5000)/('Input Transaksi'!$B$5:$B$5000="JCL SIDAKARYA"),ROWS($E$5:E580)),"")</f>
        <v/>
      </c>
      <c r="F580" s="5" t="n"/>
    </row>
    <row r="581">
      <c r="A581" s="10">
        <f>IF($E581="","",INDEX('Input Transaksi'!$A:$A,$E581))</f>
        <v/>
      </c>
      <c r="B581" s="5">
        <f>IF($E581="","",INDEX('Input Transaksi'!$D:$D,$E581))</f>
        <v/>
      </c>
      <c r="C581">
        <f>IF($E581="","",INDEX('Input Transaksi'!$E:$E,$E581))</f>
        <v/>
      </c>
      <c r="D581" s="5">
        <f>IF($E581="","",INDEX('Input Transaksi'!$F:$F,$E581))</f>
        <v/>
      </c>
      <c r="E581">
        <f>IFERROR(AGGREGATE(15,6,ROW('Input Transaksi'!$B$5:$B$5000)/('Input Transaksi'!$B$5:$B$5000="JCL SIDAKARYA"),ROWS($E$5:E581)),"")</f>
        <v/>
      </c>
      <c r="F581" s="5" t="n"/>
    </row>
    <row r="582">
      <c r="A582" s="10">
        <f>IF($E582="","",INDEX('Input Transaksi'!$A:$A,$E582))</f>
        <v/>
      </c>
      <c r="B582" s="5">
        <f>IF($E582="","",INDEX('Input Transaksi'!$D:$D,$E582))</f>
        <v/>
      </c>
      <c r="C582">
        <f>IF($E582="","",INDEX('Input Transaksi'!$E:$E,$E582))</f>
        <v/>
      </c>
      <c r="D582" s="5">
        <f>IF($E582="","",INDEX('Input Transaksi'!$F:$F,$E582))</f>
        <v/>
      </c>
      <c r="E582">
        <f>IFERROR(AGGREGATE(15,6,ROW('Input Transaksi'!$B$5:$B$5000)/('Input Transaksi'!$B$5:$B$5000="JCL SIDAKARYA"),ROWS($E$5:E582)),"")</f>
        <v/>
      </c>
      <c r="F582" s="5" t="n"/>
    </row>
    <row r="583">
      <c r="A583" s="10">
        <f>IF($E583="","",INDEX('Input Transaksi'!$A:$A,$E583))</f>
        <v/>
      </c>
      <c r="B583" s="5">
        <f>IF($E583="","",INDEX('Input Transaksi'!$D:$D,$E583))</f>
        <v/>
      </c>
      <c r="C583">
        <f>IF($E583="","",INDEX('Input Transaksi'!$E:$E,$E583))</f>
        <v/>
      </c>
      <c r="D583" s="5">
        <f>IF($E583="","",INDEX('Input Transaksi'!$F:$F,$E583))</f>
        <v/>
      </c>
      <c r="E583">
        <f>IFERROR(AGGREGATE(15,6,ROW('Input Transaksi'!$B$5:$B$5000)/('Input Transaksi'!$B$5:$B$5000="JCL SIDAKARYA"),ROWS($E$5:E583)),"")</f>
        <v/>
      </c>
      <c r="F583" s="5" t="n"/>
    </row>
    <row r="584">
      <c r="A584" s="10">
        <f>IF($E584="","",INDEX('Input Transaksi'!$A:$A,$E584))</f>
        <v/>
      </c>
      <c r="B584" s="5">
        <f>IF($E584="","",INDEX('Input Transaksi'!$D:$D,$E584))</f>
        <v/>
      </c>
      <c r="C584">
        <f>IF($E584="","",INDEX('Input Transaksi'!$E:$E,$E584))</f>
        <v/>
      </c>
      <c r="D584" s="5">
        <f>IF($E584="","",INDEX('Input Transaksi'!$F:$F,$E584))</f>
        <v/>
      </c>
      <c r="E584">
        <f>IFERROR(AGGREGATE(15,6,ROW('Input Transaksi'!$B$5:$B$5000)/('Input Transaksi'!$B$5:$B$5000="JCL SIDAKARYA"),ROWS($E$5:E584)),"")</f>
        <v/>
      </c>
      <c r="F584" s="5" t="n"/>
    </row>
    <row r="585">
      <c r="A585" s="10">
        <f>IF($E585="","",INDEX('Input Transaksi'!$A:$A,$E585))</f>
        <v/>
      </c>
      <c r="B585" s="5">
        <f>IF($E585="","",INDEX('Input Transaksi'!$D:$D,$E585))</f>
        <v/>
      </c>
      <c r="C585">
        <f>IF($E585="","",INDEX('Input Transaksi'!$E:$E,$E585))</f>
        <v/>
      </c>
      <c r="D585" s="5">
        <f>IF($E585="","",INDEX('Input Transaksi'!$F:$F,$E585))</f>
        <v/>
      </c>
      <c r="E585">
        <f>IFERROR(AGGREGATE(15,6,ROW('Input Transaksi'!$B$5:$B$5000)/('Input Transaksi'!$B$5:$B$5000="JCL SIDAKARYA"),ROWS($E$5:E585)),"")</f>
        <v/>
      </c>
      <c r="F585" s="5" t="n"/>
    </row>
    <row r="586">
      <c r="A586" s="10">
        <f>IF($E586="","",INDEX('Input Transaksi'!$A:$A,$E586))</f>
        <v/>
      </c>
      <c r="B586" s="5">
        <f>IF($E586="","",INDEX('Input Transaksi'!$D:$D,$E586))</f>
        <v/>
      </c>
      <c r="C586">
        <f>IF($E586="","",INDEX('Input Transaksi'!$E:$E,$E586))</f>
        <v/>
      </c>
      <c r="D586" s="5">
        <f>IF($E586="","",INDEX('Input Transaksi'!$F:$F,$E586))</f>
        <v/>
      </c>
      <c r="E586">
        <f>IFERROR(AGGREGATE(15,6,ROW('Input Transaksi'!$B$5:$B$5000)/('Input Transaksi'!$B$5:$B$5000="JCL SIDAKARYA"),ROWS($E$5:E586)),"")</f>
        <v/>
      </c>
      <c r="F586" s="5" t="n"/>
    </row>
    <row r="587">
      <c r="A587" s="10">
        <f>IF($E587="","",INDEX('Input Transaksi'!$A:$A,$E587))</f>
        <v/>
      </c>
      <c r="B587" s="5">
        <f>IF($E587="","",INDEX('Input Transaksi'!$D:$D,$E587))</f>
        <v/>
      </c>
      <c r="C587">
        <f>IF($E587="","",INDEX('Input Transaksi'!$E:$E,$E587))</f>
        <v/>
      </c>
      <c r="D587" s="5">
        <f>IF($E587="","",INDEX('Input Transaksi'!$F:$F,$E587))</f>
        <v/>
      </c>
      <c r="E587">
        <f>IFERROR(AGGREGATE(15,6,ROW('Input Transaksi'!$B$5:$B$5000)/('Input Transaksi'!$B$5:$B$5000="JCL SIDAKARYA"),ROWS($E$5:E587)),"")</f>
        <v/>
      </c>
      <c r="F587" s="5" t="n"/>
    </row>
    <row r="588">
      <c r="A588" s="10">
        <f>IF($E588="","",INDEX('Input Transaksi'!$A:$A,$E588))</f>
        <v/>
      </c>
      <c r="B588" s="5">
        <f>IF($E588="","",INDEX('Input Transaksi'!$D:$D,$E588))</f>
        <v/>
      </c>
      <c r="C588">
        <f>IF($E588="","",INDEX('Input Transaksi'!$E:$E,$E588))</f>
        <v/>
      </c>
      <c r="D588" s="5">
        <f>IF($E588="","",INDEX('Input Transaksi'!$F:$F,$E588))</f>
        <v/>
      </c>
      <c r="E588">
        <f>IFERROR(AGGREGATE(15,6,ROW('Input Transaksi'!$B$5:$B$5000)/('Input Transaksi'!$B$5:$B$5000="JCL SIDAKARYA"),ROWS($E$5:E588)),"")</f>
        <v/>
      </c>
      <c r="F588" s="5" t="n"/>
    </row>
    <row r="589">
      <c r="A589" s="10">
        <f>IF($E589="","",INDEX('Input Transaksi'!$A:$A,$E589))</f>
        <v/>
      </c>
      <c r="B589" s="5">
        <f>IF($E589="","",INDEX('Input Transaksi'!$D:$D,$E589))</f>
        <v/>
      </c>
      <c r="C589">
        <f>IF($E589="","",INDEX('Input Transaksi'!$E:$E,$E589))</f>
        <v/>
      </c>
      <c r="D589" s="5">
        <f>IF($E589="","",INDEX('Input Transaksi'!$F:$F,$E589))</f>
        <v/>
      </c>
      <c r="E589">
        <f>IFERROR(AGGREGATE(15,6,ROW('Input Transaksi'!$B$5:$B$5000)/('Input Transaksi'!$B$5:$B$5000="JCL SIDAKARYA"),ROWS($E$5:E589)),"")</f>
        <v/>
      </c>
      <c r="F589" s="5" t="n"/>
    </row>
    <row r="590">
      <c r="A590" s="10">
        <f>IF($E590="","",INDEX('Input Transaksi'!$A:$A,$E590))</f>
        <v/>
      </c>
      <c r="B590" s="5">
        <f>IF($E590="","",INDEX('Input Transaksi'!$D:$D,$E590))</f>
        <v/>
      </c>
      <c r="C590">
        <f>IF($E590="","",INDEX('Input Transaksi'!$E:$E,$E590))</f>
        <v/>
      </c>
      <c r="D590" s="5">
        <f>IF($E590="","",INDEX('Input Transaksi'!$F:$F,$E590))</f>
        <v/>
      </c>
      <c r="E590">
        <f>IFERROR(AGGREGATE(15,6,ROW('Input Transaksi'!$B$5:$B$5000)/('Input Transaksi'!$B$5:$B$5000="JCL SIDAKARYA"),ROWS($E$5:E590)),"")</f>
        <v/>
      </c>
      <c r="F590" s="5" t="n"/>
    </row>
    <row r="591">
      <c r="A591" s="10">
        <f>IF($E591="","",INDEX('Input Transaksi'!$A:$A,$E591))</f>
        <v/>
      </c>
      <c r="B591" s="5">
        <f>IF($E591="","",INDEX('Input Transaksi'!$D:$D,$E591))</f>
        <v/>
      </c>
      <c r="C591">
        <f>IF($E591="","",INDEX('Input Transaksi'!$E:$E,$E591))</f>
        <v/>
      </c>
      <c r="D591" s="5">
        <f>IF($E591="","",INDEX('Input Transaksi'!$F:$F,$E591))</f>
        <v/>
      </c>
      <c r="E591">
        <f>IFERROR(AGGREGATE(15,6,ROW('Input Transaksi'!$B$5:$B$5000)/('Input Transaksi'!$B$5:$B$5000="JCL SIDAKARYA"),ROWS($E$5:E591)),"")</f>
        <v/>
      </c>
      <c r="F591" s="5" t="n"/>
    </row>
    <row r="592">
      <c r="A592" s="10">
        <f>IF($E592="","",INDEX('Input Transaksi'!$A:$A,$E592))</f>
        <v/>
      </c>
      <c r="B592" s="5">
        <f>IF($E592="","",INDEX('Input Transaksi'!$D:$D,$E592))</f>
        <v/>
      </c>
      <c r="C592">
        <f>IF($E592="","",INDEX('Input Transaksi'!$E:$E,$E592))</f>
        <v/>
      </c>
      <c r="D592" s="5">
        <f>IF($E592="","",INDEX('Input Transaksi'!$F:$F,$E592))</f>
        <v/>
      </c>
      <c r="E592">
        <f>IFERROR(AGGREGATE(15,6,ROW('Input Transaksi'!$B$5:$B$5000)/('Input Transaksi'!$B$5:$B$5000="JCL SIDAKARYA"),ROWS($E$5:E592)),"")</f>
        <v/>
      </c>
      <c r="F592" s="5" t="n"/>
    </row>
    <row r="593">
      <c r="A593" s="10">
        <f>IF($E593="","",INDEX('Input Transaksi'!$A:$A,$E593))</f>
        <v/>
      </c>
      <c r="B593" s="5">
        <f>IF($E593="","",INDEX('Input Transaksi'!$D:$D,$E593))</f>
        <v/>
      </c>
      <c r="C593">
        <f>IF($E593="","",INDEX('Input Transaksi'!$E:$E,$E593))</f>
        <v/>
      </c>
      <c r="D593" s="5">
        <f>IF($E593="","",INDEX('Input Transaksi'!$F:$F,$E593))</f>
        <v/>
      </c>
      <c r="E593">
        <f>IFERROR(AGGREGATE(15,6,ROW('Input Transaksi'!$B$5:$B$5000)/('Input Transaksi'!$B$5:$B$5000="JCL SIDAKARYA"),ROWS($E$5:E593)),"")</f>
        <v/>
      </c>
      <c r="F593" s="5" t="n"/>
    </row>
    <row r="594">
      <c r="A594" s="10">
        <f>IF($E594="","",INDEX('Input Transaksi'!$A:$A,$E594))</f>
        <v/>
      </c>
      <c r="B594" s="5">
        <f>IF($E594="","",INDEX('Input Transaksi'!$D:$D,$E594))</f>
        <v/>
      </c>
      <c r="C594">
        <f>IF($E594="","",INDEX('Input Transaksi'!$E:$E,$E594))</f>
        <v/>
      </c>
      <c r="D594" s="5">
        <f>IF($E594="","",INDEX('Input Transaksi'!$F:$F,$E594))</f>
        <v/>
      </c>
      <c r="E594">
        <f>IFERROR(AGGREGATE(15,6,ROW('Input Transaksi'!$B$5:$B$5000)/('Input Transaksi'!$B$5:$B$5000="JCL SIDAKARYA"),ROWS($E$5:E594)),"")</f>
        <v/>
      </c>
      <c r="F594" s="5" t="n"/>
    </row>
    <row r="595">
      <c r="A595" s="10">
        <f>IF($E595="","",INDEX('Input Transaksi'!$A:$A,$E595))</f>
        <v/>
      </c>
      <c r="B595" s="5">
        <f>IF($E595="","",INDEX('Input Transaksi'!$D:$D,$E595))</f>
        <v/>
      </c>
      <c r="C595">
        <f>IF($E595="","",INDEX('Input Transaksi'!$E:$E,$E595))</f>
        <v/>
      </c>
      <c r="D595" s="5">
        <f>IF($E595="","",INDEX('Input Transaksi'!$F:$F,$E595))</f>
        <v/>
      </c>
      <c r="E595">
        <f>IFERROR(AGGREGATE(15,6,ROW('Input Transaksi'!$B$5:$B$5000)/('Input Transaksi'!$B$5:$B$5000="JCL SIDAKARYA"),ROWS($E$5:E595)),"")</f>
        <v/>
      </c>
      <c r="F595" s="5" t="n"/>
    </row>
    <row r="596">
      <c r="A596" s="10">
        <f>IF($E596="","",INDEX('Input Transaksi'!$A:$A,$E596))</f>
        <v/>
      </c>
      <c r="B596" s="5">
        <f>IF($E596="","",INDEX('Input Transaksi'!$D:$D,$E596))</f>
        <v/>
      </c>
      <c r="C596">
        <f>IF($E596="","",INDEX('Input Transaksi'!$E:$E,$E596))</f>
        <v/>
      </c>
      <c r="D596" s="5">
        <f>IF($E596="","",INDEX('Input Transaksi'!$F:$F,$E596))</f>
        <v/>
      </c>
      <c r="E596">
        <f>IFERROR(AGGREGATE(15,6,ROW('Input Transaksi'!$B$5:$B$5000)/('Input Transaksi'!$B$5:$B$5000="JCL SIDAKARYA"),ROWS($E$5:E596)),"")</f>
        <v/>
      </c>
      <c r="F596" s="5" t="n"/>
    </row>
    <row r="597">
      <c r="A597" s="10">
        <f>IF($E597="","",INDEX('Input Transaksi'!$A:$A,$E597))</f>
        <v/>
      </c>
      <c r="B597" s="5">
        <f>IF($E597="","",INDEX('Input Transaksi'!$D:$D,$E597))</f>
        <v/>
      </c>
      <c r="C597">
        <f>IF($E597="","",INDEX('Input Transaksi'!$E:$E,$E597))</f>
        <v/>
      </c>
      <c r="D597" s="5">
        <f>IF($E597="","",INDEX('Input Transaksi'!$F:$F,$E597))</f>
        <v/>
      </c>
      <c r="E597">
        <f>IFERROR(AGGREGATE(15,6,ROW('Input Transaksi'!$B$5:$B$5000)/('Input Transaksi'!$B$5:$B$5000="JCL SIDAKARYA"),ROWS($E$5:E597)),"")</f>
        <v/>
      </c>
      <c r="F597" s="5" t="n"/>
    </row>
    <row r="598">
      <c r="A598" s="10">
        <f>IF($E598="","",INDEX('Input Transaksi'!$A:$A,$E598))</f>
        <v/>
      </c>
      <c r="B598" s="5">
        <f>IF($E598="","",INDEX('Input Transaksi'!$D:$D,$E598))</f>
        <v/>
      </c>
      <c r="C598">
        <f>IF($E598="","",INDEX('Input Transaksi'!$E:$E,$E598))</f>
        <v/>
      </c>
      <c r="D598" s="5">
        <f>IF($E598="","",INDEX('Input Transaksi'!$F:$F,$E598))</f>
        <v/>
      </c>
      <c r="E598">
        <f>IFERROR(AGGREGATE(15,6,ROW('Input Transaksi'!$B$5:$B$5000)/('Input Transaksi'!$B$5:$B$5000="JCL SIDAKARYA"),ROWS($E$5:E598)),"")</f>
        <v/>
      </c>
      <c r="F598" s="5" t="n"/>
    </row>
    <row r="599">
      <c r="A599" s="10">
        <f>IF($E599="","",INDEX('Input Transaksi'!$A:$A,$E599))</f>
        <v/>
      </c>
      <c r="B599" s="5">
        <f>IF($E599="","",INDEX('Input Transaksi'!$D:$D,$E599))</f>
        <v/>
      </c>
      <c r="C599">
        <f>IF($E599="","",INDEX('Input Transaksi'!$E:$E,$E599))</f>
        <v/>
      </c>
      <c r="D599" s="5">
        <f>IF($E599="","",INDEX('Input Transaksi'!$F:$F,$E599))</f>
        <v/>
      </c>
      <c r="E599">
        <f>IFERROR(AGGREGATE(15,6,ROW('Input Transaksi'!$B$5:$B$5000)/('Input Transaksi'!$B$5:$B$5000="JCL SIDAKARYA"),ROWS($E$5:E599)),"")</f>
        <v/>
      </c>
      <c r="F599" s="5" t="n"/>
    </row>
    <row r="600">
      <c r="A600" s="10">
        <f>IF($E600="","",INDEX('Input Transaksi'!$A:$A,$E600))</f>
        <v/>
      </c>
      <c r="B600" s="5">
        <f>IF($E600="","",INDEX('Input Transaksi'!$D:$D,$E600))</f>
        <v/>
      </c>
      <c r="C600">
        <f>IF($E600="","",INDEX('Input Transaksi'!$E:$E,$E600))</f>
        <v/>
      </c>
      <c r="D600" s="5">
        <f>IF($E600="","",INDEX('Input Transaksi'!$F:$F,$E600))</f>
        <v/>
      </c>
      <c r="E600">
        <f>IFERROR(AGGREGATE(15,6,ROW('Input Transaksi'!$B$5:$B$5000)/('Input Transaksi'!$B$5:$B$5000="JCL SIDAKARYA"),ROWS($E$5:E600)),"")</f>
        <v/>
      </c>
      <c r="F600" s="5" t="n"/>
    </row>
    <row r="601">
      <c r="A601" s="10">
        <f>IF($E601="","",INDEX('Input Transaksi'!$A:$A,$E601))</f>
        <v/>
      </c>
      <c r="B601" s="5">
        <f>IF($E601="","",INDEX('Input Transaksi'!$D:$D,$E601))</f>
        <v/>
      </c>
      <c r="C601">
        <f>IF($E601="","",INDEX('Input Transaksi'!$E:$E,$E601))</f>
        <v/>
      </c>
      <c r="D601" s="5">
        <f>IF($E601="","",INDEX('Input Transaksi'!$F:$F,$E601))</f>
        <v/>
      </c>
      <c r="E601">
        <f>IFERROR(AGGREGATE(15,6,ROW('Input Transaksi'!$B$5:$B$5000)/('Input Transaksi'!$B$5:$B$5000="JCL SIDAKARYA"),ROWS($E$5:E601)),"")</f>
        <v/>
      </c>
      <c r="F601" s="5" t="n"/>
    </row>
    <row r="602">
      <c r="A602" s="10">
        <f>IF($E602="","",INDEX('Input Transaksi'!$A:$A,$E602))</f>
        <v/>
      </c>
      <c r="B602" s="5">
        <f>IF($E602="","",INDEX('Input Transaksi'!$D:$D,$E602))</f>
        <v/>
      </c>
      <c r="C602">
        <f>IF($E602="","",INDEX('Input Transaksi'!$E:$E,$E602))</f>
        <v/>
      </c>
      <c r="D602" s="5">
        <f>IF($E602="","",INDEX('Input Transaksi'!$F:$F,$E602))</f>
        <v/>
      </c>
      <c r="E602">
        <f>IFERROR(AGGREGATE(15,6,ROW('Input Transaksi'!$B$5:$B$5000)/('Input Transaksi'!$B$5:$B$5000="JCL SIDAKARYA"),ROWS($E$5:E602)),"")</f>
        <v/>
      </c>
      <c r="F602" s="5" t="n"/>
    </row>
    <row r="603">
      <c r="A603" s="10">
        <f>IF($E603="","",INDEX('Input Transaksi'!$A:$A,$E603))</f>
        <v/>
      </c>
      <c r="B603" s="5">
        <f>IF($E603="","",INDEX('Input Transaksi'!$D:$D,$E603))</f>
        <v/>
      </c>
      <c r="C603">
        <f>IF($E603="","",INDEX('Input Transaksi'!$E:$E,$E603))</f>
        <v/>
      </c>
      <c r="D603" s="5">
        <f>IF($E603="","",INDEX('Input Transaksi'!$F:$F,$E603))</f>
        <v/>
      </c>
      <c r="E603">
        <f>IFERROR(AGGREGATE(15,6,ROW('Input Transaksi'!$B$5:$B$5000)/('Input Transaksi'!$B$5:$B$5000="JCL SIDAKARYA"),ROWS($E$5:E603)),"")</f>
        <v/>
      </c>
      <c r="F603" s="5" t="n"/>
    </row>
    <row r="604">
      <c r="A604" s="10">
        <f>IF($E604="","",INDEX('Input Transaksi'!$A:$A,$E604))</f>
        <v/>
      </c>
      <c r="B604" s="5">
        <f>IF($E604="","",INDEX('Input Transaksi'!$D:$D,$E604))</f>
        <v/>
      </c>
      <c r="C604">
        <f>IF($E604="","",INDEX('Input Transaksi'!$E:$E,$E604))</f>
        <v/>
      </c>
      <c r="D604" s="5">
        <f>IF($E604="","",INDEX('Input Transaksi'!$F:$F,$E604))</f>
        <v/>
      </c>
      <c r="E604">
        <f>IFERROR(AGGREGATE(15,6,ROW('Input Transaksi'!$B$5:$B$5000)/('Input Transaksi'!$B$5:$B$5000="JCL SIDAKARYA"),ROWS($E$5:E604)),"")</f>
        <v/>
      </c>
      <c r="F604" s="5" t="n"/>
    </row>
    <row r="605">
      <c r="A605" s="10">
        <f>IF($E605="","",INDEX('Input Transaksi'!$A:$A,$E605))</f>
        <v/>
      </c>
      <c r="B605" s="5">
        <f>IF($E605="","",INDEX('Input Transaksi'!$D:$D,$E605))</f>
        <v/>
      </c>
      <c r="C605">
        <f>IF($E605="","",INDEX('Input Transaksi'!$E:$E,$E605))</f>
        <v/>
      </c>
      <c r="D605" s="5">
        <f>IF($E605="","",INDEX('Input Transaksi'!$F:$F,$E605))</f>
        <v/>
      </c>
      <c r="E605">
        <f>IFERROR(AGGREGATE(15,6,ROW('Input Transaksi'!$B$5:$B$5000)/('Input Transaksi'!$B$5:$B$5000="JCL SIDAKARYA"),ROWS($E$5:E605)),"")</f>
        <v/>
      </c>
      <c r="F605" s="5" t="n"/>
    </row>
    <row r="606">
      <c r="A606" s="10">
        <f>IF($E606="","",INDEX('Input Transaksi'!$A:$A,$E606))</f>
        <v/>
      </c>
      <c r="B606" s="5">
        <f>IF($E606="","",INDEX('Input Transaksi'!$D:$D,$E606))</f>
        <v/>
      </c>
      <c r="C606">
        <f>IF($E606="","",INDEX('Input Transaksi'!$E:$E,$E606))</f>
        <v/>
      </c>
      <c r="D606" s="5">
        <f>IF($E606="","",INDEX('Input Transaksi'!$F:$F,$E606))</f>
        <v/>
      </c>
      <c r="E606">
        <f>IFERROR(AGGREGATE(15,6,ROW('Input Transaksi'!$B$5:$B$5000)/('Input Transaksi'!$B$5:$B$5000="JCL SIDAKARYA"),ROWS($E$5:E606)),"")</f>
        <v/>
      </c>
      <c r="F606" s="5" t="n"/>
    </row>
    <row r="607">
      <c r="A607" s="10">
        <f>IF($E607="","",INDEX('Input Transaksi'!$A:$A,$E607))</f>
        <v/>
      </c>
      <c r="B607" s="5">
        <f>IF($E607="","",INDEX('Input Transaksi'!$D:$D,$E607))</f>
        <v/>
      </c>
      <c r="C607">
        <f>IF($E607="","",INDEX('Input Transaksi'!$E:$E,$E607))</f>
        <v/>
      </c>
      <c r="D607" s="5">
        <f>IF($E607="","",INDEX('Input Transaksi'!$F:$F,$E607))</f>
        <v/>
      </c>
      <c r="E607">
        <f>IFERROR(AGGREGATE(15,6,ROW('Input Transaksi'!$B$5:$B$5000)/('Input Transaksi'!$B$5:$B$5000="JCL SIDAKARYA"),ROWS($E$5:E607)),"")</f>
        <v/>
      </c>
      <c r="F607" s="5" t="n"/>
    </row>
    <row r="608">
      <c r="A608" s="10">
        <f>IF($E608="","",INDEX('Input Transaksi'!$A:$A,$E608))</f>
        <v/>
      </c>
      <c r="B608" s="5">
        <f>IF($E608="","",INDEX('Input Transaksi'!$D:$D,$E608))</f>
        <v/>
      </c>
      <c r="C608">
        <f>IF($E608="","",INDEX('Input Transaksi'!$E:$E,$E608))</f>
        <v/>
      </c>
      <c r="D608" s="5">
        <f>IF($E608="","",INDEX('Input Transaksi'!$F:$F,$E608))</f>
        <v/>
      </c>
      <c r="E608">
        <f>IFERROR(AGGREGATE(15,6,ROW('Input Transaksi'!$B$5:$B$5000)/('Input Transaksi'!$B$5:$B$5000="JCL SIDAKARYA"),ROWS($E$5:E608)),"")</f>
        <v/>
      </c>
      <c r="F608" s="5" t="n"/>
    </row>
    <row r="609">
      <c r="A609" s="10">
        <f>IF($E609="","",INDEX('Input Transaksi'!$A:$A,$E609))</f>
        <v/>
      </c>
      <c r="B609" s="5">
        <f>IF($E609="","",INDEX('Input Transaksi'!$D:$D,$E609))</f>
        <v/>
      </c>
      <c r="C609">
        <f>IF($E609="","",INDEX('Input Transaksi'!$E:$E,$E609))</f>
        <v/>
      </c>
      <c r="D609" s="5">
        <f>IF($E609="","",INDEX('Input Transaksi'!$F:$F,$E609))</f>
        <v/>
      </c>
      <c r="E609">
        <f>IFERROR(AGGREGATE(15,6,ROW('Input Transaksi'!$B$5:$B$5000)/('Input Transaksi'!$B$5:$B$5000="JCL SIDAKARYA"),ROWS($E$5:E609)),"")</f>
        <v/>
      </c>
      <c r="F609" s="5" t="n"/>
    </row>
    <row r="610">
      <c r="A610" s="10">
        <f>IF($E610="","",INDEX('Input Transaksi'!$A:$A,$E610))</f>
        <v/>
      </c>
      <c r="B610" s="5">
        <f>IF($E610="","",INDEX('Input Transaksi'!$D:$D,$E610))</f>
        <v/>
      </c>
      <c r="C610">
        <f>IF($E610="","",INDEX('Input Transaksi'!$E:$E,$E610))</f>
        <v/>
      </c>
      <c r="D610" s="5">
        <f>IF($E610="","",INDEX('Input Transaksi'!$F:$F,$E610))</f>
        <v/>
      </c>
      <c r="E610">
        <f>IFERROR(AGGREGATE(15,6,ROW('Input Transaksi'!$B$5:$B$5000)/('Input Transaksi'!$B$5:$B$5000="JCL SIDAKARYA"),ROWS($E$5:E610)),"")</f>
        <v/>
      </c>
      <c r="F610" s="5" t="n"/>
    </row>
    <row r="611">
      <c r="A611" s="10">
        <f>IF($E611="","",INDEX('Input Transaksi'!$A:$A,$E611))</f>
        <v/>
      </c>
      <c r="B611" s="5">
        <f>IF($E611="","",INDEX('Input Transaksi'!$D:$D,$E611))</f>
        <v/>
      </c>
      <c r="C611">
        <f>IF($E611="","",INDEX('Input Transaksi'!$E:$E,$E611))</f>
        <v/>
      </c>
      <c r="D611" s="5">
        <f>IF($E611="","",INDEX('Input Transaksi'!$F:$F,$E611))</f>
        <v/>
      </c>
      <c r="E611">
        <f>IFERROR(AGGREGATE(15,6,ROW('Input Transaksi'!$B$5:$B$5000)/('Input Transaksi'!$B$5:$B$5000="JCL SIDAKARYA"),ROWS($E$5:E611)),"")</f>
        <v/>
      </c>
      <c r="F611" s="5" t="n"/>
    </row>
    <row r="612">
      <c r="A612" s="10">
        <f>IF($E612="","",INDEX('Input Transaksi'!$A:$A,$E612))</f>
        <v/>
      </c>
      <c r="B612" s="5">
        <f>IF($E612="","",INDEX('Input Transaksi'!$D:$D,$E612))</f>
        <v/>
      </c>
      <c r="C612">
        <f>IF($E612="","",INDEX('Input Transaksi'!$E:$E,$E612))</f>
        <v/>
      </c>
      <c r="D612" s="5">
        <f>IF($E612="","",INDEX('Input Transaksi'!$F:$F,$E612))</f>
        <v/>
      </c>
      <c r="E612">
        <f>IFERROR(AGGREGATE(15,6,ROW('Input Transaksi'!$B$5:$B$5000)/('Input Transaksi'!$B$5:$B$5000="JCL SIDAKARYA"),ROWS($E$5:E612)),"")</f>
        <v/>
      </c>
      <c r="F612" s="5" t="n"/>
    </row>
    <row r="613">
      <c r="A613" s="10">
        <f>IF($E613="","",INDEX('Input Transaksi'!$A:$A,$E613))</f>
        <v/>
      </c>
      <c r="B613" s="5">
        <f>IF($E613="","",INDEX('Input Transaksi'!$D:$D,$E613))</f>
        <v/>
      </c>
      <c r="C613">
        <f>IF($E613="","",INDEX('Input Transaksi'!$E:$E,$E613))</f>
        <v/>
      </c>
      <c r="D613" s="5">
        <f>IF($E613="","",INDEX('Input Transaksi'!$F:$F,$E613))</f>
        <v/>
      </c>
      <c r="E613">
        <f>IFERROR(AGGREGATE(15,6,ROW('Input Transaksi'!$B$5:$B$5000)/('Input Transaksi'!$B$5:$B$5000="JCL SIDAKARYA"),ROWS($E$5:E613)),"")</f>
        <v/>
      </c>
      <c r="F613" s="5" t="n"/>
    </row>
    <row r="614">
      <c r="A614" s="10">
        <f>IF($E614="","",INDEX('Input Transaksi'!$A:$A,$E614))</f>
        <v/>
      </c>
      <c r="B614" s="5">
        <f>IF($E614="","",INDEX('Input Transaksi'!$D:$D,$E614))</f>
        <v/>
      </c>
      <c r="C614">
        <f>IF($E614="","",INDEX('Input Transaksi'!$E:$E,$E614))</f>
        <v/>
      </c>
      <c r="D614" s="5">
        <f>IF($E614="","",INDEX('Input Transaksi'!$F:$F,$E614))</f>
        <v/>
      </c>
      <c r="E614">
        <f>IFERROR(AGGREGATE(15,6,ROW('Input Transaksi'!$B$5:$B$5000)/('Input Transaksi'!$B$5:$B$5000="JCL SIDAKARYA"),ROWS($E$5:E614)),"")</f>
        <v/>
      </c>
      <c r="F614" s="5" t="n"/>
    </row>
    <row r="615">
      <c r="A615" s="10">
        <f>IF($E615="","",INDEX('Input Transaksi'!$A:$A,$E615))</f>
        <v/>
      </c>
      <c r="B615" s="5">
        <f>IF($E615="","",INDEX('Input Transaksi'!$D:$D,$E615))</f>
        <v/>
      </c>
      <c r="C615">
        <f>IF($E615="","",INDEX('Input Transaksi'!$E:$E,$E615))</f>
        <v/>
      </c>
      <c r="D615" s="5">
        <f>IF($E615="","",INDEX('Input Transaksi'!$F:$F,$E615))</f>
        <v/>
      </c>
      <c r="E615">
        <f>IFERROR(AGGREGATE(15,6,ROW('Input Transaksi'!$B$5:$B$5000)/('Input Transaksi'!$B$5:$B$5000="JCL SIDAKARYA"),ROWS($E$5:E615)),"")</f>
        <v/>
      </c>
      <c r="F615" s="5" t="n"/>
    </row>
    <row r="616">
      <c r="A616" s="10">
        <f>IF($E616="","",INDEX('Input Transaksi'!$A:$A,$E616))</f>
        <v/>
      </c>
      <c r="B616" s="5">
        <f>IF($E616="","",INDEX('Input Transaksi'!$D:$D,$E616))</f>
        <v/>
      </c>
      <c r="C616">
        <f>IF($E616="","",INDEX('Input Transaksi'!$E:$E,$E616))</f>
        <v/>
      </c>
      <c r="D616" s="5">
        <f>IF($E616="","",INDEX('Input Transaksi'!$F:$F,$E616))</f>
        <v/>
      </c>
      <c r="E616">
        <f>IFERROR(AGGREGATE(15,6,ROW('Input Transaksi'!$B$5:$B$5000)/('Input Transaksi'!$B$5:$B$5000="JCL SIDAKARYA"),ROWS($E$5:E616)),"")</f>
        <v/>
      </c>
      <c r="F616" s="5" t="n"/>
    </row>
    <row r="617">
      <c r="A617" s="10">
        <f>IF($E617="","",INDEX('Input Transaksi'!$A:$A,$E617))</f>
        <v/>
      </c>
      <c r="B617" s="5">
        <f>IF($E617="","",INDEX('Input Transaksi'!$D:$D,$E617))</f>
        <v/>
      </c>
      <c r="C617">
        <f>IF($E617="","",INDEX('Input Transaksi'!$E:$E,$E617))</f>
        <v/>
      </c>
      <c r="D617" s="5">
        <f>IF($E617="","",INDEX('Input Transaksi'!$F:$F,$E617))</f>
        <v/>
      </c>
      <c r="E617">
        <f>IFERROR(AGGREGATE(15,6,ROW('Input Transaksi'!$B$5:$B$5000)/('Input Transaksi'!$B$5:$B$5000="JCL SIDAKARYA"),ROWS($E$5:E617)),"")</f>
        <v/>
      </c>
      <c r="F617" s="5" t="n"/>
    </row>
    <row r="618">
      <c r="A618" s="10">
        <f>IF($E618="","",INDEX('Input Transaksi'!$A:$A,$E618))</f>
        <v/>
      </c>
      <c r="B618" s="5">
        <f>IF($E618="","",INDEX('Input Transaksi'!$D:$D,$E618))</f>
        <v/>
      </c>
      <c r="C618">
        <f>IF($E618="","",INDEX('Input Transaksi'!$E:$E,$E618))</f>
        <v/>
      </c>
      <c r="D618" s="5">
        <f>IF($E618="","",INDEX('Input Transaksi'!$F:$F,$E618))</f>
        <v/>
      </c>
      <c r="E618">
        <f>IFERROR(AGGREGATE(15,6,ROW('Input Transaksi'!$B$5:$B$5000)/('Input Transaksi'!$B$5:$B$5000="JCL SIDAKARYA"),ROWS($E$5:E618)),"")</f>
        <v/>
      </c>
      <c r="F618" s="5" t="n"/>
    </row>
    <row r="619">
      <c r="A619" s="10">
        <f>IF($E619="","",INDEX('Input Transaksi'!$A:$A,$E619))</f>
        <v/>
      </c>
      <c r="B619" s="5">
        <f>IF($E619="","",INDEX('Input Transaksi'!$D:$D,$E619))</f>
        <v/>
      </c>
      <c r="C619">
        <f>IF($E619="","",INDEX('Input Transaksi'!$E:$E,$E619))</f>
        <v/>
      </c>
      <c r="D619" s="5">
        <f>IF($E619="","",INDEX('Input Transaksi'!$F:$F,$E619))</f>
        <v/>
      </c>
      <c r="E619">
        <f>IFERROR(AGGREGATE(15,6,ROW('Input Transaksi'!$B$5:$B$5000)/('Input Transaksi'!$B$5:$B$5000="JCL SIDAKARYA"),ROWS($E$5:E619)),"")</f>
        <v/>
      </c>
      <c r="F619" s="5" t="n"/>
    </row>
    <row r="620">
      <c r="A620" s="10">
        <f>IF($E620="","",INDEX('Input Transaksi'!$A:$A,$E620))</f>
        <v/>
      </c>
      <c r="B620" s="5">
        <f>IF($E620="","",INDEX('Input Transaksi'!$D:$D,$E620))</f>
        <v/>
      </c>
      <c r="C620">
        <f>IF($E620="","",INDEX('Input Transaksi'!$E:$E,$E620))</f>
        <v/>
      </c>
      <c r="D620" s="5">
        <f>IF($E620="","",INDEX('Input Transaksi'!$F:$F,$E620))</f>
        <v/>
      </c>
      <c r="E620">
        <f>IFERROR(AGGREGATE(15,6,ROW('Input Transaksi'!$B$5:$B$5000)/('Input Transaksi'!$B$5:$B$5000="JCL SIDAKARYA"),ROWS($E$5:E620)),"")</f>
        <v/>
      </c>
      <c r="F620" s="5" t="n"/>
    </row>
    <row r="621">
      <c r="A621" s="10">
        <f>IF($E621="","",INDEX('Input Transaksi'!$A:$A,$E621))</f>
        <v/>
      </c>
      <c r="B621" s="5">
        <f>IF($E621="","",INDEX('Input Transaksi'!$D:$D,$E621))</f>
        <v/>
      </c>
      <c r="C621">
        <f>IF($E621="","",INDEX('Input Transaksi'!$E:$E,$E621))</f>
        <v/>
      </c>
      <c r="D621" s="5">
        <f>IF($E621="","",INDEX('Input Transaksi'!$F:$F,$E621))</f>
        <v/>
      </c>
      <c r="E621">
        <f>IFERROR(AGGREGATE(15,6,ROW('Input Transaksi'!$B$5:$B$5000)/('Input Transaksi'!$B$5:$B$5000="JCL SIDAKARYA"),ROWS($E$5:E621)),"")</f>
        <v/>
      </c>
      <c r="F621" s="5" t="n"/>
    </row>
    <row r="622">
      <c r="A622" s="10">
        <f>IF($E622="","",INDEX('Input Transaksi'!$A:$A,$E622))</f>
        <v/>
      </c>
      <c r="B622" s="5">
        <f>IF($E622="","",INDEX('Input Transaksi'!$D:$D,$E622))</f>
        <v/>
      </c>
      <c r="C622">
        <f>IF($E622="","",INDEX('Input Transaksi'!$E:$E,$E622))</f>
        <v/>
      </c>
      <c r="D622" s="5">
        <f>IF($E622="","",INDEX('Input Transaksi'!$F:$F,$E622))</f>
        <v/>
      </c>
      <c r="E622">
        <f>IFERROR(AGGREGATE(15,6,ROW('Input Transaksi'!$B$5:$B$5000)/('Input Transaksi'!$B$5:$B$5000="JCL SIDAKARYA"),ROWS($E$5:E622)),"")</f>
        <v/>
      </c>
      <c r="F622" s="5" t="n"/>
    </row>
    <row r="623">
      <c r="A623" s="10">
        <f>IF($E623="","",INDEX('Input Transaksi'!$A:$A,$E623))</f>
        <v/>
      </c>
      <c r="B623" s="5">
        <f>IF($E623="","",INDEX('Input Transaksi'!$D:$D,$E623))</f>
        <v/>
      </c>
      <c r="C623">
        <f>IF($E623="","",INDEX('Input Transaksi'!$E:$E,$E623))</f>
        <v/>
      </c>
      <c r="D623" s="5">
        <f>IF($E623="","",INDEX('Input Transaksi'!$F:$F,$E623))</f>
        <v/>
      </c>
      <c r="E623">
        <f>IFERROR(AGGREGATE(15,6,ROW('Input Transaksi'!$B$5:$B$5000)/('Input Transaksi'!$B$5:$B$5000="JCL SIDAKARYA"),ROWS($E$5:E623)),"")</f>
        <v/>
      </c>
      <c r="F623" s="5" t="n"/>
    </row>
    <row r="624">
      <c r="A624" s="10">
        <f>IF($E624="","",INDEX('Input Transaksi'!$A:$A,$E624))</f>
        <v/>
      </c>
      <c r="B624" s="5">
        <f>IF($E624="","",INDEX('Input Transaksi'!$D:$D,$E624))</f>
        <v/>
      </c>
      <c r="C624">
        <f>IF($E624="","",INDEX('Input Transaksi'!$E:$E,$E624))</f>
        <v/>
      </c>
      <c r="D624" s="5">
        <f>IF($E624="","",INDEX('Input Transaksi'!$F:$F,$E624))</f>
        <v/>
      </c>
      <c r="E624">
        <f>IFERROR(AGGREGATE(15,6,ROW('Input Transaksi'!$B$5:$B$5000)/('Input Transaksi'!$B$5:$B$5000="JCL SIDAKARYA"),ROWS($E$5:E624)),"")</f>
        <v/>
      </c>
      <c r="F624" s="5" t="n"/>
    </row>
    <row r="625">
      <c r="A625" s="10">
        <f>IF($E625="","",INDEX('Input Transaksi'!$A:$A,$E625))</f>
        <v/>
      </c>
      <c r="B625" s="5">
        <f>IF($E625="","",INDEX('Input Transaksi'!$D:$D,$E625))</f>
        <v/>
      </c>
      <c r="C625">
        <f>IF($E625="","",INDEX('Input Transaksi'!$E:$E,$E625))</f>
        <v/>
      </c>
      <c r="D625" s="5">
        <f>IF($E625="","",INDEX('Input Transaksi'!$F:$F,$E625))</f>
        <v/>
      </c>
      <c r="E625">
        <f>IFERROR(AGGREGATE(15,6,ROW('Input Transaksi'!$B$5:$B$5000)/('Input Transaksi'!$B$5:$B$5000="JCL SIDAKARYA"),ROWS($E$5:E625)),"")</f>
        <v/>
      </c>
      <c r="F625" s="5" t="n"/>
    </row>
    <row r="626">
      <c r="A626" s="10">
        <f>IF($E626="","",INDEX('Input Transaksi'!$A:$A,$E626))</f>
        <v/>
      </c>
      <c r="B626" s="5">
        <f>IF($E626="","",INDEX('Input Transaksi'!$D:$D,$E626))</f>
        <v/>
      </c>
      <c r="C626">
        <f>IF($E626="","",INDEX('Input Transaksi'!$E:$E,$E626))</f>
        <v/>
      </c>
      <c r="D626" s="5">
        <f>IF($E626="","",INDEX('Input Transaksi'!$F:$F,$E626))</f>
        <v/>
      </c>
      <c r="E626">
        <f>IFERROR(AGGREGATE(15,6,ROW('Input Transaksi'!$B$5:$B$5000)/('Input Transaksi'!$B$5:$B$5000="JCL SIDAKARYA"),ROWS($E$5:E626)),"")</f>
        <v/>
      </c>
      <c r="F626" s="5" t="n"/>
    </row>
    <row r="627">
      <c r="A627" s="10">
        <f>IF($E627="","",INDEX('Input Transaksi'!$A:$A,$E627))</f>
        <v/>
      </c>
      <c r="B627" s="5">
        <f>IF($E627="","",INDEX('Input Transaksi'!$D:$D,$E627))</f>
        <v/>
      </c>
      <c r="C627">
        <f>IF($E627="","",INDEX('Input Transaksi'!$E:$E,$E627))</f>
        <v/>
      </c>
      <c r="D627" s="5">
        <f>IF($E627="","",INDEX('Input Transaksi'!$F:$F,$E627))</f>
        <v/>
      </c>
      <c r="E627">
        <f>IFERROR(AGGREGATE(15,6,ROW('Input Transaksi'!$B$5:$B$5000)/('Input Transaksi'!$B$5:$B$5000="JCL SIDAKARYA"),ROWS($E$5:E627)),"")</f>
        <v/>
      </c>
      <c r="F627" s="5" t="n"/>
    </row>
    <row r="628">
      <c r="A628" s="10">
        <f>IF($E628="","",INDEX('Input Transaksi'!$A:$A,$E628))</f>
        <v/>
      </c>
      <c r="B628" s="5">
        <f>IF($E628="","",INDEX('Input Transaksi'!$D:$D,$E628))</f>
        <v/>
      </c>
      <c r="C628">
        <f>IF($E628="","",INDEX('Input Transaksi'!$E:$E,$E628))</f>
        <v/>
      </c>
      <c r="D628" s="5">
        <f>IF($E628="","",INDEX('Input Transaksi'!$F:$F,$E628))</f>
        <v/>
      </c>
      <c r="E628">
        <f>IFERROR(AGGREGATE(15,6,ROW('Input Transaksi'!$B$5:$B$5000)/('Input Transaksi'!$B$5:$B$5000="JCL SIDAKARYA"),ROWS($E$5:E628)),"")</f>
        <v/>
      </c>
      <c r="F628" s="5" t="n"/>
    </row>
    <row r="629">
      <c r="A629" s="10">
        <f>IF($E629="","",INDEX('Input Transaksi'!$A:$A,$E629))</f>
        <v/>
      </c>
      <c r="B629" s="5">
        <f>IF($E629="","",INDEX('Input Transaksi'!$D:$D,$E629))</f>
        <v/>
      </c>
      <c r="C629">
        <f>IF($E629="","",INDEX('Input Transaksi'!$E:$E,$E629))</f>
        <v/>
      </c>
      <c r="D629" s="5">
        <f>IF($E629="","",INDEX('Input Transaksi'!$F:$F,$E629))</f>
        <v/>
      </c>
      <c r="E629">
        <f>IFERROR(AGGREGATE(15,6,ROW('Input Transaksi'!$B$5:$B$5000)/('Input Transaksi'!$B$5:$B$5000="JCL SIDAKARYA"),ROWS($E$5:E629)),"")</f>
        <v/>
      </c>
      <c r="F629" s="5" t="n"/>
    </row>
    <row r="630">
      <c r="A630" s="10">
        <f>IF($E630="","",INDEX('Input Transaksi'!$A:$A,$E630))</f>
        <v/>
      </c>
      <c r="B630" s="5">
        <f>IF($E630="","",INDEX('Input Transaksi'!$D:$D,$E630))</f>
        <v/>
      </c>
      <c r="C630">
        <f>IF($E630="","",INDEX('Input Transaksi'!$E:$E,$E630))</f>
        <v/>
      </c>
      <c r="D630" s="5">
        <f>IF($E630="","",INDEX('Input Transaksi'!$F:$F,$E630))</f>
        <v/>
      </c>
      <c r="E630">
        <f>IFERROR(AGGREGATE(15,6,ROW('Input Transaksi'!$B$5:$B$5000)/('Input Transaksi'!$B$5:$B$5000="JCL SIDAKARYA"),ROWS($E$5:E630)),"")</f>
        <v/>
      </c>
      <c r="F630" s="5" t="n"/>
    </row>
    <row r="631">
      <c r="A631" s="10">
        <f>IF($E631="","",INDEX('Input Transaksi'!$A:$A,$E631))</f>
        <v/>
      </c>
      <c r="B631" s="5">
        <f>IF($E631="","",INDEX('Input Transaksi'!$D:$D,$E631))</f>
        <v/>
      </c>
      <c r="C631">
        <f>IF($E631="","",INDEX('Input Transaksi'!$E:$E,$E631))</f>
        <v/>
      </c>
      <c r="D631" s="5">
        <f>IF($E631="","",INDEX('Input Transaksi'!$F:$F,$E631))</f>
        <v/>
      </c>
      <c r="E631">
        <f>IFERROR(AGGREGATE(15,6,ROW('Input Transaksi'!$B$5:$B$5000)/('Input Transaksi'!$B$5:$B$5000="JCL SIDAKARYA"),ROWS($E$5:E631)),"")</f>
        <v/>
      </c>
      <c r="F631" s="5" t="n"/>
    </row>
    <row r="632">
      <c r="A632" s="10">
        <f>IF($E632="","",INDEX('Input Transaksi'!$A:$A,$E632))</f>
        <v/>
      </c>
      <c r="B632" s="5">
        <f>IF($E632="","",INDEX('Input Transaksi'!$D:$D,$E632))</f>
        <v/>
      </c>
      <c r="C632">
        <f>IF($E632="","",INDEX('Input Transaksi'!$E:$E,$E632))</f>
        <v/>
      </c>
      <c r="D632" s="5">
        <f>IF($E632="","",INDEX('Input Transaksi'!$F:$F,$E632))</f>
        <v/>
      </c>
      <c r="E632">
        <f>IFERROR(AGGREGATE(15,6,ROW('Input Transaksi'!$B$5:$B$5000)/('Input Transaksi'!$B$5:$B$5000="JCL SIDAKARYA"),ROWS($E$5:E632)),"")</f>
        <v/>
      </c>
      <c r="F632" s="5" t="n"/>
    </row>
    <row r="633">
      <c r="A633" s="10">
        <f>IF($E633="","",INDEX('Input Transaksi'!$A:$A,$E633))</f>
        <v/>
      </c>
      <c r="B633" s="5">
        <f>IF($E633="","",INDEX('Input Transaksi'!$D:$D,$E633))</f>
        <v/>
      </c>
      <c r="C633">
        <f>IF($E633="","",INDEX('Input Transaksi'!$E:$E,$E633))</f>
        <v/>
      </c>
      <c r="D633" s="5">
        <f>IF($E633="","",INDEX('Input Transaksi'!$F:$F,$E633))</f>
        <v/>
      </c>
      <c r="E633">
        <f>IFERROR(AGGREGATE(15,6,ROW('Input Transaksi'!$B$5:$B$5000)/('Input Transaksi'!$B$5:$B$5000="JCL SIDAKARYA"),ROWS($E$5:E633)),"")</f>
        <v/>
      </c>
      <c r="F633" s="5" t="n"/>
    </row>
    <row r="634">
      <c r="A634" s="10">
        <f>IF($E634="","",INDEX('Input Transaksi'!$A:$A,$E634))</f>
        <v/>
      </c>
      <c r="B634" s="5">
        <f>IF($E634="","",INDEX('Input Transaksi'!$D:$D,$E634))</f>
        <v/>
      </c>
      <c r="C634">
        <f>IF($E634="","",INDEX('Input Transaksi'!$E:$E,$E634))</f>
        <v/>
      </c>
      <c r="D634" s="5">
        <f>IF($E634="","",INDEX('Input Transaksi'!$F:$F,$E634))</f>
        <v/>
      </c>
      <c r="E634">
        <f>IFERROR(AGGREGATE(15,6,ROW('Input Transaksi'!$B$5:$B$5000)/('Input Transaksi'!$B$5:$B$5000="JCL SIDAKARYA"),ROWS($E$5:E634)),"")</f>
        <v/>
      </c>
      <c r="F634" s="5" t="n"/>
    </row>
    <row r="635">
      <c r="A635" s="10">
        <f>IF($E635="","",INDEX('Input Transaksi'!$A:$A,$E635))</f>
        <v/>
      </c>
      <c r="B635" s="5">
        <f>IF($E635="","",INDEX('Input Transaksi'!$D:$D,$E635))</f>
        <v/>
      </c>
      <c r="C635">
        <f>IF($E635="","",INDEX('Input Transaksi'!$E:$E,$E635))</f>
        <v/>
      </c>
      <c r="D635" s="5">
        <f>IF($E635="","",INDEX('Input Transaksi'!$F:$F,$E635))</f>
        <v/>
      </c>
      <c r="E635">
        <f>IFERROR(AGGREGATE(15,6,ROW('Input Transaksi'!$B$5:$B$5000)/('Input Transaksi'!$B$5:$B$5000="JCL SIDAKARYA"),ROWS($E$5:E635)),"")</f>
        <v/>
      </c>
      <c r="F635" s="5" t="n"/>
    </row>
    <row r="636">
      <c r="A636" s="10">
        <f>IF($E636="","",INDEX('Input Transaksi'!$A:$A,$E636))</f>
        <v/>
      </c>
      <c r="B636" s="5">
        <f>IF($E636="","",INDEX('Input Transaksi'!$D:$D,$E636))</f>
        <v/>
      </c>
      <c r="C636">
        <f>IF($E636="","",INDEX('Input Transaksi'!$E:$E,$E636))</f>
        <v/>
      </c>
      <c r="D636" s="5">
        <f>IF($E636="","",INDEX('Input Transaksi'!$F:$F,$E636))</f>
        <v/>
      </c>
      <c r="E636">
        <f>IFERROR(AGGREGATE(15,6,ROW('Input Transaksi'!$B$5:$B$5000)/('Input Transaksi'!$B$5:$B$5000="JCL SIDAKARYA"),ROWS($E$5:E636)),"")</f>
        <v/>
      </c>
      <c r="F636" s="5" t="n"/>
    </row>
    <row r="637">
      <c r="A637" s="10">
        <f>IF($E637="","",INDEX('Input Transaksi'!$A:$A,$E637))</f>
        <v/>
      </c>
      <c r="B637" s="5">
        <f>IF($E637="","",INDEX('Input Transaksi'!$D:$D,$E637))</f>
        <v/>
      </c>
      <c r="C637">
        <f>IF($E637="","",INDEX('Input Transaksi'!$E:$E,$E637))</f>
        <v/>
      </c>
      <c r="D637" s="5">
        <f>IF($E637="","",INDEX('Input Transaksi'!$F:$F,$E637))</f>
        <v/>
      </c>
      <c r="E637">
        <f>IFERROR(AGGREGATE(15,6,ROW('Input Transaksi'!$B$5:$B$5000)/('Input Transaksi'!$B$5:$B$5000="JCL SIDAKARYA"),ROWS($E$5:E637)),"")</f>
        <v/>
      </c>
      <c r="F637" s="5" t="n"/>
    </row>
    <row r="638">
      <c r="A638" s="10">
        <f>IF($E638="","",INDEX('Input Transaksi'!$A:$A,$E638))</f>
        <v/>
      </c>
      <c r="B638" s="5">
        <f>IF($E638="","",INDEX('Input Transaksi'!$D:$D,$E638))</f>
        <v/>
      </c>
      <c r="C638">
        <f>IF($E638="","",INDEX('Input Transaksi'!$E:$E,$E638))</f>
        <v/>
      </c>
      <c r="D638" s="5">
        <f>IF($E638="","",INDEX('Input Transaksi'!$F:$F,$E638))</f>
        <v/>
      </c>
      <c r="E638">
        <f>IFERROR(AGGREGATE(15,6,ROW('Input Transaksi'!$B$5:$B$5000)/('Input Transaksi'!$B$5:$B$5000="JCL SIDAKARYA"),ROWS($E$5:E638)),"")</f>
        <v/>
      </c>
      <c r="F638" s="5" t="n"/>
    </row>
    <row r="639">
      <c r="A639" s="10">
        <f>IF($E639="","",INDEX('Input Transaksi'!$A:$A,$E639))</f>
        <v/>
      </c>
      <c r="B639" s="5">
        <f>IF($E639="","",INDEX('Input Transaksi'!$D:$D,$E639))</f>
        <v/>
      </c>
      <c r="C639">
        <f>IF($E639="","",INDEX('Input Transaksi'!$E:$E,$E639))</f>
        <v/>
      </c>
      <c r="D639" s="5">
        <f>IF($E639="","",INDEX('Input Transaksi'!$F:$F,$E639))</f>
        <v/>
      </c>
      <c r="E639">
        <f>IFERROR(AGGREGATE(15,6,ROW('Input Transaksi'!$B$5:$B$5000)/('Input Transaksi'!$B$5:$B$5000="JCL SIDAKARYA"),ROWS($E$5:E639)),"")</f>
        <v/>
      </c>
      <c r="F639" s="5" t="n"/>
    </row>
    <row r="640">
      <c r="A640" s="10">
        <f>IF($E640="","",INDEX('Input Transaksi'!$A:$A,$E640))</f>
        <v/>
      </c>
      <c r="B640" s="5">
        <f>IF($E640="","",INDEX('Input Transaksi'!$D:$D,$E640))</f>
        <v/>
      </c>
      <c r="C640">
        <f>IF($E640="","",INDEX('Input Transaksi'!$E:$E,$E640))</f>
        <v/>
      </c>
      <c r="D640" s="5">
        <f>IF($E640="","",INDEX('Input Transaksi'!$F:$F,$E640))</f>
        <v/>
      </c>
      <c r="E640">
        <f>IFERROR(AGGREGATE(15,6,ROW('Input Transaksi'!$B$5:$B$5000)/('Input Transaksi'!$B$5:$B$5000="JCL SIDAKARYA"),ROWS($E$5:E640)),"")</f>
        <v/>
      </c>
      <c r="F640" s="5" t="n"/>
    </row>
    <row r="641">
      <c r="A641" s="10">
        <f>IF($E641="","",INDEX('Input Transaksi'!$A:$A,$E641))</f>
        <v/>
      </c>
      <c r="B641" s="5">
        <f>IF($E641="","",INDEX('Input Transaksi'!$D:$D,$E641))</f>
        <v/>
      </c>
      <c r="C641">
        <f>IF($E641="","",INDEX('Input Transaksi'!$E:$E,$E641))</f>
        <v/>
      </c>
      <c r="D641" s="5">
        <f>IF($E641="","",INDEX('Input Transaksi'!$F:$F,$E641))</f>
        <v/>
      </c>
      <c r="E641">
        <f>IFERROR(AGGREGATE(15,6,ROW('Input Transaksi'!$B$5:$B$5000)/('Input Transaksi'!$B$5:$B$5000="JCL SIDAKARYA"),ROWS($E$5:E641)),"")</f>
        <v/>
      </c>
      <c r="F641" s="5" t="n"/>
    </row>
    <row r="642">
      <c r="A642" s="10">
        <f>IF($E642="","",INDEX('Input Transaksi'!$A:$A,$E642))</f>
        <v/>
      </c>
      <c r="B642" s="5">
        <f>IF($E642="","",INDEX('Input Transaksi'!$D:$D,$E642))</f>
        <v/>
      </c>
      <c r="C642">
        <f>IF($E642="","",INDEX('Input Transaksi'!$E:$E,$E642))</f>
        <v/>
      </c>
      <c r="D642" s="5">
        <f>IF($E642="","",INDEX('Input Transaksi'!$F:$F,$E642))</f>
        <v/>
      </c>
      <c r="E642">
        <f>IFERROR(AGGREGATE(15,6,ROW('Input Transaksi'!$B$5:$B$5000)/('Input Transaksi'!$B$5:$B$5000="JCL SIDAKARYA"),ROWS($E$5:E642)),"")</f>
        <v/>
      </c>
      <c r="F642" s="5" t="n"/>
    </row>
    <row r="643">
      <c r="A643" s="10">
        <f>IF($E643="","",INDEX('Input Transaksi'!$A:$A,$E643))</f>
        <v/>
      </c>
      <c r="B643" s="5">
        <f>IF($E643="","",INDEX('Input Transaksi'!$D:$D,$E643))</f>
        <v/>
      </c>
      <c r="C643">
        <f>IF($E643="","",INDEX('Input Transaksi'!$E:$E,$E643))</f>
        <v/>
      </c>
      <c r="D643" s="5">
        <f>IF($E643="","",INDEX('Input Transaksi'!$F:$F,$E643))</f>
        <v/>
      </c>
      <c r="E643">
        <f>IFERROR(AGGREGATE(15,6,ROW('Input Transaksi'!$B$5:$B$5000)/('Input Transaksi'!$B$5:$B$5000="JCL SIDAKARYA"),ROWS($E$5:E643)),"")</f>
        <v/>
      </c>
      <c r="F643" s="5" t="n"/>
    </row>
    <row r="644">
      <c r="A644" s="10">
        <f>IF($E644="","",INDEX('Input Transaksi'!$A:$A,$E644))</f>
        <v/>
      </c>
      <c r="B644" s="5">
        <f>IF($E644="","",INDEX('Input Transaksi'!$D:$D,$E644))</f>
        <v/>
      </c>
      <c r="C644">
        <f>IF($E644="","",INDEX('Input Transaksi'!$E:$E,$E644))</f>
        <v/>
      </c>
      <c r="D644" s="5">
        <f>IF($E644="","",INDEX('Input Transaksi'!$F:$F,$E644))</f>
        <v/>
      </c>
      <c r="E644">
        <f>IFERROR(AGGREGATE(15,6,ROW('Input Transaksi'!$B$5:$B$5000)/('Input Transaksi'!$B$5:$B$5000="JCL SIDAKARYA"),ROWS($E$5:E644)),"")</f>
        <v/>
      </c>
      <c r="F644" s="5" t="n"/>
    </row>
    <row r="645">
      <c r="A645" s="10">
        <f>IF($E645="","",INDEX('Input Transaksi'!$A:$A,$E645))</f>
        <v/>
      </c>
      <c r="B645" s="5">
        <f>IF($E645="","",INDEX('Input Transaksi'!$D:$D,$E645))</f>
        <v/>
      </c>
      <c r="C645">
        <f>IF($E645="","",INDEX('Input Transaksi'!$E:$E,$E645))</f>
        <v/>
      </c>
      <c r="D645" s="5">
        <f>IF($E645="","",INDEX('Input Transaksi'!$F:$F,$E645))</f>
        <v/>
      </c>
      <c r="E645">
        <f>IFERROR(AGGREGATE(15,6,ROW('Input Transaksi'!$B$5:$B$5000)/('Input Transaksi'!$B$5:$B$5000="JCL SIDAKARYA"),ROWS($E$5:E645)),"")</f>
        <v/>
      </c>
      <c r="F645" s="5" t="n"/>
    </row>
    <row r="646">
      <c r="A646" s="10">
        <f>IF($E646="","",INDEX('Input Transaksi'!$A:$A,$E646))</f>
        <v/>
      </c>
      <c r="B646" s="5">
        <f>IF($E646="","",INDEX('Input Transaksi'!$D:$D,$E646))</f>
        <v/>
      </c>
      <c r="C646">
        <f>IF($E646="","",INDEX('Input Transaksi'!$E:$E,$E646))</f>
        <v/>
      </c>
      <c r="D646" s="5">
        <f>IF($E646="","",INDEX('Input Transaksi'!$F:$F,$E646))</f>
        <v/>
      </c>
      <c r="E646">
        <f>IFERROR(AGGREGATE(15,6,ROW('Input Transaksi'!$B$5:$B$5000)/('Input Transaksi'!$B$5:$B$5000="JCL SIDAKARYA"),ROWS($E$5:E646)),"")</f>
        <v/>
      </c>
      <c r="F646" s="5" t="n"/>
    </row>
    <row r="647">
      <c r="A647" s="10">
        <f>IF($E647="","",INDEX('Input Transaksi'!$A:$A,$E647))</f>
        <v/>
      </c>
      <c r="B647" s="5">
        <f>IF($E647="","",INDEX('Input Transaksi'!$D:$D,$E647))</f>
        <v/>
      </c>
      <c r="C647">
        <f>IF($E647="","",INDEX('Input Transaksi'!$E:$E,$E647))</f>
        <v/>
      </c>
      <c r="D647" s="5">
        <f>IF($E647="","",INDEX('Input Transaksi'!$F:$F,$E647))</f>
        <v/>
      </c>
      <c r="E647">
        <f>IFERROR(AGGREGATE(15,6,ROW('Input Transaksi'!$B$5:$B$5000)/('Input Transaksi'!$B$5:$B$5000="JCL SIDAKARYA"),ROWS($E$5:E647)),"")</f>
        <v/>
      </c>
      <c r="F647" s="5" t="n"/>
    </row>
    <row r="648">
      <c r="A648" s="10">
        <f>IF($E648="","",INDEX('Input Transaksi'!$A:$A,$E648))</f>
        <v/>
      </c>
      <c r="B648" s="5">
        <f>IF($E648="","",INDEX('Input Transaksi'!$D:$D,$E648))</f>
        <v/>
      </c>
      <c r="C648">
        <f>IF($E648="","",INDEX('Input Transaksi'!$E:$E,$E648))</f>
        <v/>
      </c>
      <c r="D648" s="5">
        <f>IF($E648="","",INDEX('Input Transaksi'!$F:$F,$E648))</f>
        <v/>
      </c>
      <c r="E648">
        <f>IFERROR(AGGREGATE(15,6,ROW('Input Transaksi'!$B$5:$B$5000)/('Input Transaksi'!$B$5:$B$5000="JCL SIDAKARYA"),ROWS($E$5:E648)),"")</f>
        <v/>
      </c>
      <c r="F648" s="5" t="n"/>
    </row>
    <row r="649">
      <c r="A649" s="10">
        <f>IF($E649="","",INDEX('Input Transaksi'!$A:$A,$E649))</f>
        <v/>
      </c>
      <c r="B649" s="5">
        <f>IF($E649="","",INDEX('Input Transaksi'!$D:$D,$E649))</f>
        <v/>
      </c>
      <c r="C649">
        <f>IF($E649="","",INDEX('Input Transaksi'!$E:$E,$E649))</f>
        <v/>
      </c>
      <c r="D649" s="5">
        <f>IF($E649="","",INDEX('Input Transaksi'!$F:$F,$E649))</f>
        <v/>
      </c>
      <c r="E649">
        <f>IFERROR(AGGREGATE(15,6,ROW('Input Transaksi'!$B$5:$B$5000)/('Input Transaksi'!$B$5:$B$5000="JCL SIDAKARYA"),ROWS($E$5:E649)),"")</f>
        <v/>
      </c>
      <c r="F649" s="5" t="n"/>
    </row>
    <row r="650">
      <c r="A650" s="10">
        <f>IF($E650="","",INDEX('Input Transaksi'!$A:$A,$E650))</f>
        <v/>
      </c>
      <c r="B650" s="5">
        <f>IF($E650="","",INDEX('Input Transaksi'!$D:$D,$E650))</f>
        <v/>
      </c>
      <c r="C650">
        <f>IF($E650="","",INDEX('Input Transaksi'!$E:$E,$E650))</f>
        <v/>
      </c>
      <c r="D650" s="5">
        <f>IF($E650="","",INDEX('Input Transaksi'!$F:$F,$E650))</f>
        <v/>
      </c>
      <c r="E650">
        <f>IFERROR(AGGREGATE(15,6,ROW('Input Transaksi'!$B$5:$B$5000)/('Input Transaksi'!$B$5:$B$5000="JCL SIDAKARYA"),ROWS($E$5:E650)),"")</f>
        <v/>
      </c>
      <c r="F650" s="5" t="n"/>
    </row>
    <row r="651">
      <c r="A651" s="10">
        <f>IF($E651="","",INDEX('Input Transaksi'!$A:$A,$E651))</f>
        <v/>
      </c>
      <c r="B651" s="5">
        <f>IF($E651="","",INDEX('Input Transaksi'!$D:$D,$E651))</f>
        <v/>
      </c>
      <c r="C651">
        <f>IF($E651="","",INDEX('Input Transaksi'!$E:$E,$E651))</f>
        <v/>
      </c>
      <c r="D651" s="5">
        <f>IF($E651="","",INDEX('Input Transaksi'!$F:$F,$E651))</f>
        <v/>
      </c>
      <c r="E651">
        <f>IFERROR(AGGREGATE(15,6,ROW('Input Transaksi'!$B$5:$B$5000)/('Input Transaksi'!$B$5:$B$5000="JCL SIDAKARYA"),ROWS($E$5:E651)),"")</f>
        <v/>
      </c>
      <c r="F651" s="5" t="n"/>
    </row>
    <row r="652">
      <c r="A652" s="10">
        <f>IF($E652="","",INDEX('Input Transaksi'!$A:$A,$E652))</f>
        <v/>
      </c>
      <c r="B652" s="5">
        <f>IF($E652="","",INDEX('Input Transaksi'!$D:$D,$E652))</f>
        <v/>
      </c>
      <c r="C652">
        <f>IF($E652="","",INDEX('Input Transaksi'!$E:$E,$E652))</f>
        <v/>
      </c>
      <c r="D652" s="5">
        <f>IF($E652="","",INDEX('Input Transaksi'!$F:$F,$E652))</f>
        <v/>
      </c>
      <c r="E652">
        <f>IFERROR(AGGREGATE(15,6,ROW('Input Transaksi'!$B$5:$B$5000)/('Input Transaksi'!$B$5:$B$5000="JCL SIDAKARYA"),ROWS($E$5:E652)),"")</f>
        <v/>
      </c>
      <c r="F652" s="5" t="n"/>
    </row>
    <row r="653">
      <c r="A653" s="10">
        <f>IF($E653="","",INDEX('Input Transaksi'!$A:$A,$E653))</f>
        <v/>
      </c>
      <c r="B653" s="5">
        <f>IF($E653="","",INDEX('Input Transaksi'!$D:$D,$E653))</f>
        <v/>
      </c>
      <c r="C653">
        <f>IF($E653="","",INDEX('Input Transaksi'!$E:$E,$E653))</f>
        <v/>
      </c>
      <c r="D653" s="5">
        <f>IF($E653="","",INDEX('Input Transaksi'!$F:$F,$E653))</f>
        <v/>
      </c>
      <c r="E653">
        <f>IFERROR(AGGREGATE(15,6,ROW('Input Transaksi'!$B$5:$B$5000)/('Input Transaksi'!$B$5:$B$5000="JCL SIDAKARYA"),ROWS($E$5:E653)),"")</f>
        <v/>
      </c>
      <c r="F653" s="5" t="n"/>
    </row>
    <row r="654">
      <c r="A654" s="10">
        <f>IF($E654="","",INDEX('Input Transaksi'!$A:$A,$E654))</f>
        <v/>
      </c>
      <c r="B654" s="5">
        <f>IF($E654="","",INDEX('Input Transaksi'!$D:$D,$E654))</f>
        <v/>
      </c>
      <c r="C654">
        <f>IF($E654="","",INDEX('Input Transaksi'!$E:$E,$E654))</f>
        <v/>
      </c>
      <c r="D654" s="5">
        <f>IF($E654="","",INDEX('Input Transaksi'!$F:$F,$E654))</f>
        <v/>
      </c>
      <c r="E654">
        <f>IFERROR(AGGREGATE(15,6,ROW('Input Transaksi'!$B$5:$B$5000)/('Input Transaksi'!$B$5:$B$5000="JCL SIDAKARYA"),ROWS($E$5:E654)),"")</f>
        <v/>
      </c>
      <c r="F654" s="5" t="n"/>
    </row>
    <row r="655">
      <c r="A655" s="10">
        <f>IF($E655="","",INDEX('Input Transaksi'!$A:$A,$E655))</f>
        <v/>
      </c>
      <c r="B655" s="5">
        <f>IF($E655="","",INDEX('Input Transaksi'!$D:$D,$E655))</f>
        <v/>
      </c>
      <c r="C655">
        <f>IF($E655="","",INDEX('Input Transaksi'!$E:$E,$E655))</f>
        <v/>
      </c>
      <c r="D655" s="5">
        <f>IF($E655="","",INDEX('Input Transaksi'!$F:$F,$E655))</f>
        <v/>
      </c>
      <c r="E655">
        <f>IFERROR(AGGREGATE(15,6,ROW('Input Transaksi'!$B$5:$B$5000)/('Input Transaksi'!$B$5:$B$5000="JCL SIDAKARYA"),ROWS($E$5:E655)),"")</f>
        <v/>
      </c>
      <c r="F655" s="5" t="n"/>
    </row>
    <row r="656">
      <c r="A656" s="10">
        <f>IF($E656="","",INDEX('Input Transaksi'!$A:$A,$E656))</f>
        <v/>
      </c>
      <c r="B656" s="5">
        <f>IF($E656="","",INDEX('Input Transaksi'!$D:$D,$E656))</f>
        <v/>
      </c>
      <c r="C656">
        <f>IF($E656="","",INDEX('Input Transaksi'!$E:$E,$E656))</f>
        <v/>
      </c>
      <c r="D656" s="5">
        <f>IF($E656="","",INDEX('Input Transaksi'!$F:$F,$E656))</f>
        <v/>
      </c>
      <c r="E656">
        <f>IFERROR(AGGREGATE(15,6,ROW('Input Transaksi'!$B$5:$B$5000)/('Input Transaksi'!$B$5:$B$5000="JCL SIDAKARYA"),ROWS($E$5:E656)),"")</f>
        <v/>
      </c>
      <c r="F656" s="5" t="n"/>
    </row>
    <row r="657">
      <c r="A657" s="10">
        <f>IF($E657="","",INDEX('Input Transaksi'!$A:$A,$E657))</f>
        <v/>
      </c>
      <c r="B657" s="5">
        <f>IF($E657="","",INDEX('Input Transaksi'!$D:$D,$E657))</f>
        <v/>
      </c>
      <c r="C657">
        <f>IF($E657="","",INDEX('Input Transaksi'!$E:$E,$E657))</f>
        <v/>
      </c>
      <c r="D657" s="5">
        <f>IF($E657="","",INDEX('Input Transaksi'!$F:$F,$E657))</f>
        <v/>
      </c>
      <c r="E657">
        <f>IFERROR(AGGREGATE(15,6,ROW('Input Transaksi'!$B$5:$B$5000)/('Input Transaksi'!$B$5:$B$5000="JCL SIDAKARYA"),ROWS($E$5:E657)),"")</f>
        <v/>
      </c>
      <c r="F657" s="5" t="n"/>
    </row>
    <row r="658">
      <c r="A658" s="10">
        <f>IF($E658="","",INDEX('Input Transaksi'!$A:$A,$E658))</f>
        <v/>
      </c>
      <c r="B658" s="5">
        <f>IF($E658="","",INDEX('Input Transaksi'!$D:$D,$E658))</f>
        <v/>
      </c>
      <c r="C658">
        <f>IF($E658="","",INDEX('Input Transaksi'!$E:$E,$E658))</f>
        <v/>
      </c>
      <c r="D658" s="5">
        <f>IF($E658="","",INDEX('Input Transaksi'!$F:$F,$E658))</f>
        <v/>
      </c>
      <c r="E658">
        <f>IFERROR(AGGREGATE(15,6,ROW('Input Transaksi'!$B$5:$B$5000)/('Input Transaksi'!$B$5:$B$5000="JCL SIDAKARYA"),ROWS($E$5:E658)),"")</f>
        <v/>
      </c>
      <c r="F658" s="5" t="n"/>
    </row>
    <row r="659">
      <c r="A659" s="10">
        <f>IF($E659="","",INDEX('Input Transaksi'!$A:$A,$E659))</f>
        <v/>
      </c>
      <c r="B659" s="5">
        <f>IF($E659="","",INDEX('Input Transaksi'!$D:$D,$E659))</f>
        <v/>
      </c>
      <c r="C659">
        <f>IF($E659="","",INDEX('Input Transaksi'!$E:$E,$E659))</f>
        <v/>
      </c>
      <c r="D659" s="5">
        <f>IF($E659="","",INDEX('Input Transaksi'!$F:$F,$E659))</f>
        <v/>
      </c>
      <c r="E659">
        <f>IFERROR(AGGREGATE(15,6,ROW('Input Transaksi'!$B$5:$B$5000)/('Input Transaksi'!$B$5:$B$5000="JCL SIDAKARYA"),ROWS($E$5:E659)),"")</f>
        <v/>
      </c>
      <c r="F659" s="5" t="n"/>
    </row>
    <row r="660">
      <c r="A660" s="10">
        <f>IF($E660="","",INDEX('Input Transaksi'!$A:$A,$E660))</f>
        <v/>
      </c>
      <c r="B660" s="5">
        <f>IF($E660="","",INDEX('Input Transaksi'!$D:$D,$E660))</f>
        <v/>
      </c>
      <c r="C660">
        <f>IF($E660="","",INDEX('Input Transaksi'!$E:$E,$E660))</f>
        <v/>
      </c>
      <c r="D660" s="5">
        <f>IF($E660="","",INDEX('Input Transaksi'!$F:$F,$E660))</f>
        <v/>
      </c>
      <c r="E660">
        <f>IFERROR(AGGREGATE(15,6,ROW('Input Transaksi'!$B$5:$B$5000)/('Input Transaksi'!$B$5:$B$5000="JCL SIDAKARYA"),ROWS($E$5:E660)),"")</f>
        <v/>
      </c>
      <c r="F660" s="5" t="n"/>
    </row>
    <row r="661">
      <c r="A661" s="10">
        <f>IF($E661="","",INDEX('Input Transaksi'!$A:$A,$E661))</f>
        <v/>
      </c>
      <c r="B661" s="5">
        <f>IF($E661="","",INDEX('Input Transaksi'!$D:$D,$E661))</f>
        <v/>
      </c>
      <c r="C661">
        <f>IF($E661="","",INDEX('Input Transaksi'!$E:$E,$E661))</f>
        <v/>
      </c>
      <c r="D661" s="5">
        <f>IF($E661="","",INDEX('Input Transaksi'!$F:$F,$E661))</f>
        <v/>
      </c>
      <c r="E661">
        <f>IFERROR(AGGREGATE(15,6,ROW('Input Transaksi'!$B$5:$B$5000)/('Input Transaksi'!$B$5:$B$5000="JCL SIDAKARYA"),ROWS($E$5:E661)),"")</f>
        <v/>
      </c>
      <c r="F661" s="5" t="n"/>
    </row>
    <row r="662">
      <c r="A662" s="10">
        <f>IF($E662="","",INDEX('Input Transaksi'!$A:$A,$E662))</f>
        <v/>
      </c>
      <c r="B662" s="5">
        <f>IF($E662="","",INDEX('Input Transaksi'!$D:$D,$E662))</f>
        <v/>
      </c>
      <c r="C662">
        <f>IF($E662="","",INDEX('Input Transaksi'!$E:$E,$E662))</f>
        <v/>
      </c>
      <c r="D662" s="5">
        <f>IF($E662="","",INDEX('Input Transaksi'!$F:$F,$E662))</f>
        <v/>
      </c>
      <c r="E662">
        <f>IFERROR(AGGREGATE(15,6,ROW('Input Transaksi'!$B$5:$B$5000)/('Input Transaksi'!$B$5:$B$5000="JCL SIDAKARYA"),ROWS($E$5:E662)),"")</f>
        <v/>
      </c>
      <c r="F662" s="5" t="n"/>
    </row>
    <row r="663">
      <c r="A663" s="10">
        <f>IF($E663="","",INDEX('Input Transaksi'!$A:$A,$E663))</f>
        <v/>
      </c>
      <c r="B663" s="5">
        <f>IF($E663="","",INDEX('Input Transaksi'!$D:$D,$E663))</f>
        <v/>
      </c>
      <c r="C663">
        <f>IF($E663="","",INDEX('Input Transaksi'!$E:$E,$E663))</f>
        <v/>
      </c>
      <c r="D663" s="5">
        <f>IF($E663="","",INDEX('Input Transaksi'!$F:$F,$E663))</f>
        <v/>
      </c>
      <c r="E663">
        <f>IFERROR(AGGREGATE(15,6,ROW('Input Transaksi'!$B$5:$B$5000)/('Input Transaksi'!$B$5:$B$5000="JCL SIDAKARYA"),ROWS($E$5:E663)),"")</f>
        <v/>
      </c>
      <c r="F663" s="5" t="n"/>
    </row>
    <row r="664">
      <c r="A664" s="10">
        <f>IF($E664="","",INDEX('Input Transaksi'!$A:$A,$E664))</f>
        <v/>
      </c>
      <c r="B664" s="5">
        <f>IF($E664="","",INDEX('Input Transaksi'!$D:$D,$E664))</f>
        <v/>
      </c>
      <c r="C664">
        <f>IF($E664="","",INDEX('Input Transaksi'!$E:$E,$E664))</f>
        <v/>
      </c>
      <c r="D664" s="5">
        <f>IF($E664="","",INDEX('Input Transaksi'!$F:$F,$E664))</f>
        <v/>
      </c>
      <c r="E664">
        <f>IFERROR(AGGREGATE(15,6,ROW('Input Transaksi'!$B$5:$B$5000)/('Input Transaksi'!$B$5:$B$5000="JCL SIDAKARYA"),ROWS($E$5:E664)),"")</f>
        <v/>
      </c>
      <c r="F664" s="5" t="n"/>
    </row>
    <row r="665">
      <c r="A665" s="10">
        <f>IF($E665="","",INDEX('Input Transaksi'!$A:$A,$E665))</f>
        <v/>
      </c>
      <c r="B665" s="5">
        <f>IF($E665="","",INDEX('Input Transaksi'!$D:$D,$E665))</f>
        <v/>
      </c>
      <c r="C665">
        <f>IF($E665="","",INDEX('Input Transaksi'!$E:$E,$E665))</f>
        <v/>
      </c>
      <c r="D665" s="5">
        <f>IF($E665="","",INDEX('Input Transaksi'!$F:$F,$E665))</f>
        <v/>
      </c>
      <c r="E665">
        <f>IFERROR(AGGREGATE(15,6,ROW('Input Transaksi'!$B$5:$B$5000)/('Input Transaksi'!$B$5:$B$5000="JCL SIDAKARYA"),ROWS($E$5:E665)),"")</f>
        <v/>
      </c>
      <c r="F665" s="5" t="n"/>
    </row>
    <row r="666">
      <c r="A666" s="10">
        <f>IF($E666="","",INDEX('Input Transaksi'!$A:$A,$E666))</f>
        <v/>
      </c>
      <c r="B666" s="5">
        <f>IF($E666="","",INDEX('Input Transaksi'!$D:$D,$E666))</f>
        <v/>
      </c>
      <c r="C666">
        <f>IF($E666="","",INDEX('Input Transaksi'!$E:$E,$E666))</f>
        <v/>
      </c>
      <c r="D666" s="5">
        <f>IF($E666="","",INDEX('Input Transaksi'!$F:$F,$E666))</f>
        <v/>
      </c>
      <c r="E666">
        <f>IFERROR(AGGREGATE(15,6,ROW('Input Transaksi'!$B$5:$B$5000)/('Input Transaksi'!$B$5:$B$5000="JCL SIDAKARYA"),ROWS($E$5:E666)),"")</f>
        <v/>
      </c>
      <c r="F666" s="5" t="n"/>
    </row>
    <row r="667">
      <c r="A667" s="10">
        <f>IF($E667="","",INDEX('Input Transaksi'!$A:$A,$E667))</f>
        <v/>
      </c>
      <c r="B667" s="5">
        <f>IF($E667="","",INDEX('Input Transaksi'!$D:$D,$E667))</f>
        <v/>
      </c>
      <c r="C667">
        <f>IF($E667="","",INDEX('Input Transaksi'!$E:$E,$E667))</f>
        <v/>
      </c>
      <c r="D667" s="5">
        <f>IF($E667="","",INDEX('Input Transaksi'!$F:$F,$E667))</f>
        <v/>
      </c>
      <c r="E667">
        <f>IFERROR(AGGREGATE(15,6,ROW('Input Transaksi'!$B$5:$B$5000)/('Input Transaksi'!$B$5:$B$5000="JCL SIDAKARYA"),ROWS($E$5:E667)),"")</f>
        <v/>
      </c>
      <c r="F667" s="5" t="n"/>
    </row>
    <row r="668">
      <c r="A668" s="10">
        <f>IF($E668="","",INDEX('Input Transaksi'!$A:$A,$E668))</f>
        <v/>
      </c>
      <c r="B668" s="5">
        <f>IF($E668="","",INDEX('Input Transaksi'!$D:$D,$E668))</f>
        <v/>
      </c>
      <c r="C668">
        <f>IF($E668="","",INDEX('Input Transaksi'!$E:$E,$E668))</f>
        <v/>
      </c>
      <c r="D668" s="5">
        <f>IF($E668="","",INDEX('Input Transaksi'!$F:$F,$E668))</f>
        <v/>
      </c>
      <c r="E668">
        <f>IFERROR(AGGREGATE(15,6,ROW('Input Transaksi'!$B$5:$B$5000)/('Input Transaksi'!$B$5:$B$5000="JCL SIDAKARYA"),ROWS($E$5:E668)),"")</f>
        <v/>
      </c>
      <c r="F668" s="5" t="n"/>
    </row>
    <row r="669">
      <c r="A669" s="10">
        <f>IF($E669="","",INDEX('Input Transaksi'!$A:$A,$E669))</f>
        <v/>
      </c>
      <c r="B669" s="5">
        <f>IF($E669="","",INDEX('Input Transaksi'!$D:$D,$E669))</f>
        <v/>
      </c>
      <c r="C669">
        <f>IF($E669="","",INDEX('Input Transaksi'!$E:$E,$E669))</f>
        <v/>
      </c>
      <c r="D669" s="5">
        <f>IF($E669="","",INDEX('Input Transaksi'!$F:$F,$E669))</f>
        <v/>
      </c>
      <c r="E669">
        <f>IFERROR(AGGREGATE(15,6,ROW('Input Transaksi'!$B$5:$B$5000)/('Input Transaksi'!$B$5:$B$5000="JCL SIDAKARYA"),ROWS($E$5:E669)),"")</f>
        <v/>
      </c>
      <c r="F669" s="5" t="n"/>
    </row>
    <row r="670">
      <c r="A670" s="10">
        <f>IF($E670="","",INDEX('Input Transaksi'!$A:$A,$E670))</f>
        <v/>
      </c>
      <c r="B670" s="5">
        <f>IF($E670="","",INDEX('Input Transaksi'!$D:$D,$E670))</f>
        <v/>
      </c>
      <c r="C670">
        <f>IF($E670="","",INDEX('Input Transaksi'!$E:$E,$E670))</f>
        <v/>
      </c>
      <c r="D670" s="5">
        <f>IF($E670="","",INDEX('Input Transaksi'!$F:$F,$E670))</f>
        <v/>
      </c>
      <c r="E670">
        <f>IFERROR(AGGREGATE(15,6,ROW('Input Transaksi'!$B$5:$B$5000)/('Input Transaksi'!$B$5:$B$5000="JCL SIDAKARYA"),ROWS($E$5:E670)),"")</f>
        <v/>
      </c>
      <c r="F670" s="5" t="n"/>
    </row>
    <row r="671">
      <c r="A671" s="10">
        <f>IF($E671="","",INDEX('Input Transaksi'!$A:$A,$E671))</f>
        <v/>
      </c>
      <c r="B671" s="5">
        <f>IF($E671="","",INDEX('Input Transaksi'!$D:$D,$E671))</f>
        <v/>
      </c>
      <c r="C671">
        <f>IF($E671="","",INDEX('Input Transaksi'!$E:$E,$E671))</f>
        <v/>
      </c>
      <c r="D671" s="5">
        <f>IF($E671="","",INDEX('Input Transaksi'!$F:$F,$E671))</f>
        <v/>
      </c>
      <c r="E671">
        <f>IFERROR(AGGREGATE(15,6,ROW('Input Transaksi'!$B$5:$B$5000)/('Input Transaksi'!$B$5:$B$5000="JCL SIDAKARYA"),ROWS($E$5:E671)),"")</f>
        <v/>
      </c>
      <c r="F671" s="5" t="n"/>
    </row>
    <row r="672">
      <c r="A672" s="10">
        <f>IF($E672="","",INDEX('Input Transaksi'!$A:$A,$E672))</f>
        <v/>
      </c>
      <c r="B672" s="5">
        <f>IF($E672="","",INDEX('Input Transaksi'!$D:$D,$E672))</f>
        <v/>
      </c>
      <c r="C672">
        <f>IF($E672="","",INDEX('Input Transaksi'!$E:$E,$E672))</f>
        <v/>
      </c>
      <c r="D672" s="5">
        <f>IF($E672="","",INDEX('Input Transaksi'!$F:$F,$E672))</f>
        <v/>
      </c>
      <c r="E672">
        <f>IFERROR(AGGREGATE(15,6,ROW('Input Transaksi'!$B$5:$B$5000)/('Input Transaksi'!$B$5:$B$5000="JCL SIDAKARYA"),ROWS($E$5:E672)),"")</f>
        <v/>
      </c>
      <c r="F672" s="5" t="n"/>
    </row>
    <row r="673">
      <c r="A673" s="10">
        <f>IF($E673="","",INDEX('Input Transaksi'!$A:$A,$E673))</f>
        <v/>
      </c>
      <c r="B673" s="5">
        <f>IF($E673="","",INDEX('Input Transaksi'!$D:$D,$E673))</f>
        <v/>
      </c>
      <c r="C673">
        <f>IF($E673="","",INDEX('Input Transaksi'!$E:$E,$E673))</f>
        <v/>
      </c>
      <c r="D673" s="5">
        <f>IF($E673="","",INDEX('Input Transaksi'!$F:$F,$E673))</f>
        <v/>
      </c>
      <c r="E673">
        <f>IFERROR(AGGREGATE(15,6,ROW('Input Transaksi'!$B$5:$B$5000)/('Input Transaksi'!$B$5:$B$5000="JCL SIDAKARYA"),ROWS($E$5:E673)),"")</f>
        <v/>
      </c>
      <c r="F673" s="5" t="n"/>
    </row>
    <row r="674">
      <c r="A674" s="10">
        <f>IF($E674="","",INDEX('Input Transaksi'!$A:$A,$E674))</f>
        <v/>
      </c>
      <c r="B674" s="5">
        <f>IF($E674="","",INDEX('Input Transaksi'!$D:$D,$E674))</f>
        <v/>
      </c>
      <c r="C674">
        <f>IF($E674="","",INDEX('Input Transaksi'!$E:$E,$E674))</f>
        <v/>
      </c>
      <c r="D674" s="5">
        <f>IF($E674="","",INDEX('Input Transaksi'!$F:$F,$E674))</f>
        <v/>
      </c>
      <c r="E674">
        <f>IFERROR(AGGREGATE(15,6,ROW('Input Transaksi'!$B$5:$B$5000)/('Input Transaksi'!$B$5:$B$5000="JCL SIDAKARYA"),ROWS($E$5:E674)),"")</f>
        <v/>
      </c>
      <c r="F674" s="5" t="n"/>
    </row>
    <row r="675">
      <c r="A675" s="10">
        <f>IF($E675="","",INDEX('Input Transaksi'!$A:$A,$E675))</f>
        <v/>
      </c>
      <c r="B675" s="5">
        <f>IF($E675="","",INDEX('Input Transaksi'!$D:$D,$E675))</f>
        <v/>
      </c>
      <c r="C675">
        <f>IF($E675="","",INDEX('Input Transaksi'!$E:$E,$E675))</f>
        <v/>
      </c>
      <c r="D675" s="5">
        <f>IF($E675="","",INDEX('Input Transaksi'!$F:$F,$E675))</f>
        <v/>
      </c>
      <c r="E675">
        <f>IFERROR(AGGREGATE(15,6,ROW('Input Transaksi'!$B$5:$B$5000)/('Input Transaksi'!$B$5:$B$5000="JCL SIDAKARYA"),ROWS($E$5:E675)),"")</f>
        <v/>
      </c>
      <c r="F675" s="5" t="n"/>
    </row>
    <row r="676">
      <c r="A676" s="10">
        <f>IF($E676="","",INDEX('Input Transaksi'!$A:$A,$E676))</f>
        <v/>
      </c>
      <c r="B676" s="5">
        <f>IF($E676="","",INDEX('Input Transaksi'!$D:$D,$E676))</f>
        <v/>
      </c>
      <c r="C676">
        <f>IF($E676="","",INDEX('Input Transaksi'!$E:$E,$E676))</f>
        <v/>
      </c>
      <c r="D676" s="5">
        <f>IF($E676="","",INDEX('Input Transaksi'!$F:$F,$E676))</f>
        <v/>
      </c>
      <c r="E676">
        <f>IFERROR(AGGREGATE(15,6,ROW('Input Transaksi'!$B$5:$B$5000)/('Input Transaksi'!$B$5:$B$5000="JCL SIDAKARYA"),ROWS($E$5:E676)),"")</f>
        <v/>
      </c>
      <c r="F676" s="5" t="n"/>
    </row>
    <row r="677">
      <c r="A677" s="10">
        <f>IF($E677="","",INDEX('Input Transaksi'!$A:$A,$E677))</f>
        <v/>
      </c>
      <c r="B677" s="5">
        <f>IF($E677="","",INDEX('Input Transaksi'!$D:$D,$E677))</f>
        <v/>
      </c>
      <c r="C677">
        <f>IF($E677="","",INDEX('Input Transaksi'!$E:$E,$E677))</f>
        <v/>
      </c>
      <c r="D677" s="5">
        <f>IF($E677="","",INDEX('Input Transaksi'!$F:$F,$E677))</f>
        <v/>
      </c>
      <c r="E677">
        <f>IFERROR(AGGREGATE(15,6,ROW('Input Transaksi'!$B$5:$B$5000)/('Input Transaksi'!$B$5:$B$5000="JCL SIDAKARYA"),ROWS($E$5:E677)),"")</f>
        <v/>
      </c>
      <c r="F677" s="5" t="n"/>
    </row>
    <row r="678">
      <c r="A678" s="10">
        <f>IF($E678="","",INDEX('Input Transaksi'!$A:$A,$E678))</f>
        <v/>
      </c>
      <c r="B678" s="5">
        <f>IF($E678="","",INDEX('Input Transaksi'!$D:$D,$E678))</f>
        <v/>
      </c>
      <c r="C678">
        <f>IF($E678="","",INDEX('Input Transaksi'!$E:$E,$E678))</f>
        <v/>
      </c>
      <c r="D678" s="5">
        <f>IF($E678="","",INDEX('Input Transaksi'!$F:$F,$E678))</f>
        <v/>
      </c>
      <c r="E678">
        <f>IFERROR(AGGREGATE(15,6,ROW('Input Transaksi'!$B$5:$B$5000)/('Input Transaksi'!$B$5:$B$5000="JCL SIDAKARYA"),ROWS($E$5:E678)),"")</f>
        <v/>
      </c>
      <c r="F678" s="5" t="n"/>
    </row>
    <row r="679">
      <c r="A679" s="10">
        <f>IF($E679="","",INDEX('Input Transaksi'!$A:$A,$E679))</f>
        <v/>
      </c>
      <c r="B679" s="5">
        <f>IF($E679="","",INDEX('Input Transaksi'!$D:$D,$E679))</f>
        <v/>
      </c>
      <c r="C679">
        <f>IF($E679="","",INDEX('Input Transaksi'!$E:$E,$E679))</f>
        <v/>
      </c>
      <c r="D679" s="5">
        <f>IF($E679="","",INDEX('Input Transaksi'!$F:$F,$E679))</f>
        <v/>
      </c>
      <c r="E679">
        <f>IFERROR(AGGREGATE(15,6,ROW('Input Transaksi'!$B$5:$B$5000)/('Input Transaksi'!$B$5:$B$5000="JCL SIDAKARYA"),ROWS($E$5:E679)),"")</f>
        <v/>
      </c>
      <c r="F679" s="5" t="n"/>
    </row>
    <row r="680">
      <c r="A680" s="10">
        <f>IF($E680="","",INDEX('Input Transaksi'!$A:$A,$E680))</f>
        <v/>
      </c>
      <c r="B680" s="5">
        <f>IF($E680="","",INDEX('Input Transaksi'!$D:$D,$E680))</f>
        <v/>
      </c>
      <c r="C680">
        <f>IF($E680="","",INDEX('Input Transaksi'!$E:$E,$E680))</f>
        <v/>
      </c>
      <c r="D680" s="5">
        <f>IF($E680="","",INDEX('Input Transaksi'!$F:$F,$E680))</f>
        <v/>
      </c>
      <c r="E680">
        <f>IFERROR(AGGREGATE(15,6,ROW('Input Transaksi'!$B$5:$B$5000)/('Input Transaksi'!$B$5:$B$5000="JCL SIDAKARYA"),ROWS($E$5:E680)),"")</f>
        <v/>
      </c>
      <c r="F680" s="5" t="n"/>
    </row>
    <row r="681">
      <c r="A681" s="10">
        <f>IF($E681="","",INDEX('Input Transaksi'!$A:$A,$E681))</f>
        <v/>
      </c>
      <c r="B681" s="5">
        <f>IF($E681="","",INDEX('Input Transaksi'!$D:$D,$E681))</f>
        <v/>
      </c>
      <c r="C681">
        <f>IF($E681="","",INDEX('Input Transaksi'!$E:$E,$E681))</f>
        <v/>
      </c>
      <c r="D681" s="5">
        <f>IF($E681="","",INDEX('Input Transaksi'!$F:$F,$E681))</f>
        <v/>
      </c>
      <c r="E681">
        <f>IFERROR(AGGREGATE(15,6,ROW('Input Transaksi'!$B$5:$B$5000)/('Input Transaksi'!$B$5:$B$5000="JCL SIDAKARYA"),ROWS($E$5:E681)),"")</f>
        <v/>
      </c>
      <c r="F681" s="5" t="n"/>
    </row>
    <row r="682">
      <c r="A682" s="10">
        <f>IF($E682="","",INDEX('Input Transaksi'!$A:$A,$E682))</f>
        <v/>
      </c>
      <c r="B682" s="5">
        <f>IF($E682="","",INDEX('Input Transaksi'!$D:$D,$E682))</f>
        <v/>
      </c>
      <c r="C682">
        <f>IF($E682="","",INDEX('Input Transaksi'!$E:$E,$E682))</f>
        <v/>
      </c>
      <c r="D682" s="5">
        <f>IF($E682="","",INDEX('Input Transaksi'!$F:$F,$E682))</f>
        <v/>
      </c>
      <c r="E682">
        <f>IFERROR(AGGREGATE(15,6,ROW('Input Transaksi'!$B$5:$B$5000)/('Input Transaksi'!$B$5:$B$5000="JCL SIDAKARYA"),ROWS($E$5:E682)),"")</f>
        <v/>
      </c>
      <c r="F682" s="5" t="n"/>
    </row>
    <row r="683">
      <c r="A683" s="10">
        <f>IF($E683="","",INDEX('Input Transaksi'!$A:$A,$E683))</f>
        <v/>
      </c>
      <c r="B683" s="5">
        <f>IF($E683="","",INDEX('Input Transaksi'!$D:$D,$E683))</f>
        <v/>
      </c>
      <c r="C683">
        <f>IF($E683="","",INDEX('Input Transaksi'!$E:$E,$E683))</f>
        <v/>
      </c>
      <c r="D683" s="5">
        <f>IF($E683="","",INDEX('Input Transaksi'!$F:$F,$E683))</f>
        <v/>
      </c>
      <c r="E683">
        <f>IFERROR(AGGREGATE(15,6,ROW('Input Transaksi'!$B$5:$B$5000)/('Input Transaksi'!$B$5:$B$5000="JCL SIDAKARYA"),ROWS($E$5:E683)),"")</f>
        <v/>
      </c>
      <c r="F683" s="5" t="n"/>
    </row>
    <row r="684">
      <c r="A684" s="10">
        <f>IF($E684="","",INDEX('Input Transaksi'!$A:$A,$E684))</f>
        <v/>
      </c>
      <c r="B684" s="5">
        <f>IF($E684="","",INDEX('Input Transaksi'!$D:$D,$E684))</f>
        <v/>
      </c>
      <c r="C684">
        <f>IF($E684="","",INDEX('Input Transaksi'!$E:$E,$E684))</f>
        <v/>
      </c>
      <c r="D684" s="5">
        <f>IF($E684="","",INDEX('Input Transaksi'!$F:$F,$E684))</f>
        <v/>
      </c>
      <c r="E684">
        <f>IFERROR(AGGREGATE(15,6,ROW('Input Transaksi'!$B$5:$B$5000)/('Input Transaksi'!$B$5:$B$5000="JCL SIDAKARYA"),ROWS($E$5:E684)),"")</f>
        <v/>
      </c>
      <c r="F684" s="5" t="n"/>
    </row>
    <row r="685">
      <c r="A685" s="10">
        <f>IF($E685="","",INDEX('Input Transaksi'!$A:$A,$E685))</f>
        <v/>
      </c>
      <c r="B685" s="5">
        <f>IF($E685="","",INDEX('Input Transaksi'!$D:$D,$E685))</f>
        <v/>
      </c>
      <c r="C685">
        <f>IF($E685="","",INDEX('Input Transaksi'!$E:$E,$E685))</f>
        <v/>
      </c>
      <c r="D685" s="5">
        <f>IF($E685="","",INDEX('Input Transaksi'!$F:$F,$E685))</f>
        <v/>
      </c>
      <c r="E685">
        <f>IFERROR(AGGREGATE(15,6,ROW('Input Transaksi'!$B$5:$B$5000)/('Input Transaksi'!$B$5:$B$5000="JCL SIDAKARYA"),ROWS($E$5:E685)),"")</f>
        <v/>
      </c>
      <c r="F685" s="5" t="n"/>
    </row>
    <row r="686">
      <c r="A686" s="10">
        <f>IF($E686="","",INDEX('Input Transaksi'!$A:$A,$E686))</f>
        <v/>
      </c>
      <c r="B686" s="5">
        <f>IF($E686="","",INDEX('Input Transaksi'!$D:$D,$E686))</f>
        <v/>
      </c>
      <c r="C686">
        <f>IF($E686="","",INDEX('Input Transaksi'!$E:$E,$E686))</f>
        <v/>
      </c>
      <c r="D686" s="5">
        <f>IF($E686="","",INDEX('Input Transaksi'!$F:$F,$E686))</f>
        <v/>
      </c>
      <c r="E686">
        <f>IFERROR(AGGREGATE(15,6,ROW('Input Transaksi'!$B$5:$B$5000)/('Input Transaksi'!$B$5:$B$5000="JCL SIDAKARYA"),ROWS($E$5:E686)),"")</f>
        <v/>
      </c>
      <c r="F686" s="5" t="n"/>
    </row>
    <row r="687">
      <c r="A687" s="10">
        <f>IF($E687="","",INDEX('Input Transaksi'!$A:$A,$E687))</f>
        <v/>
      </c>
      <c r="B687" s="5">
        <f>IF($E687="","",INDEX('Input Transaksi'!$D:$D,$E687))</f>
        <v/>
      </c>
      <c r="C687">
        <f>IF($E687="","",INDEX('Input Transaksi'!$E:$E,$E687))</f>
        <v/>
      </c>
      <c r="D687" s="5">
        <f>IF($E687="","",INDEX('Input Transaksi'!$F:$F,$E687))</f>
        <v/>
      </c>
      <c r="E687">
        <f>IFERROR(AGGREGATE(15,6,ROW('Input Transaksi'!$B$5:$B$5000)/('Input Transaksi'!$B$5:$B$5000="JCL SIDAKARYA"),ROWS($E$5:E687)),"")</f>
        <v/>
      </c>
      <c r="F687" s="5" t="n"/>
    </row>
    <row r="688">
      <c r="A688" s="10">
        <f>IF($E688="","",INDEX('Input Transaksi'!$A:$A,$E688))</f>
        <v/>
      </c>
      <c r="B688" s="5">
        <f>IF($E688="","",INDEX('Input Transaksi'!$D:$D,$E688))</f>
        <v/>
      </c>
      <c r="C688">
        <f>IF($E688="","",INDEX('Input Transaksi'!$E:$E,$E688))</f>
        <v/>
      </c>
      <c r="D688" s="5">
        <f>IF($E688="","",INDEX('Input Transaksi'!$F:$F,$E688))</f>
        <v/>
      </c>
      <c r="E688">
        <f>IFERROR(AGGREGATE(15,6,ROW('Input Transaksi'!$B$5:$B$5000)/('Input Transaksi'!$B$5:$B$5000="JCL SIDAKARYA"),ROWS($E$5:E688)),"")</f>
        <v/>
      </c>
      <c r="F688" s="5" t="n"/>
    </row>
    <row r="689">
      <c r="A689" s="10">
        <f>IF($E689="","",INDEX('Input Transaksi'!$A:$A,$E689))</f>
        <v/>
      </c>
      <c r="B689" s="5">
        <f>IF($E689="","",INDEX('Input Transaksi'!$D:$D,$E689))</f>
        <v/>
      </c>
      <c r="C689">
        <f>IF($E689="","",INDEX('Input Transaksi'!$E:$E,$E689))</f>
        <v/>
      </c>
      <c r="D689" s="5">
        <f>IF($E689="","",INDEX('Input Transaksi'!$F:$F,$E689))</f>
        <v/>
      </c>
      <c r="E689">
        <f>IFERROR(AGGREGATE(15,6,ROW('Input Transaksi'!$B$5:$B$5000)/('Input Transaksi'!$B$5:$B$5000="JCL SIDAKARYA"),ROWS($E$5:E689)),"")</f>
        <v/>
      </c>
      <c r="F689" s="5" t="n"/>
    </row>
    <row r="690">
      <c r="A690" s="10">
        <f>IF($E690="","",INDEX('Input Transaksi'!$A:$A,$E690))</f>
        <v/>
      </c>
      <c r="B690" s="5">
        <f>IF($E690="","",INDEX('Input Transaksi'!$D:$D,$E690))</f>
        <v/>
      </c>
      <c r="C690">
        <f>IF($E690="","",INDEX('Input Transaksi'!$E:$E,$E690))</f>
        <v/>
      </c>
      <c r="D690" s="5">
        <f>IF($E690="","",INDEX('Input Transaksi'!$F:$F,$E690))</f>
        <v/>
      </c>
      <c r="E690">
        <f>IFERROR(AGGREGATE(15,6,ROW('Input Transaksi'!$B$5:$B$5000)/('Input Transaksi'!$B$5:$B$5000="JCL SIDAKARYA"),ROWS($E$5:E690)),"")</f>
        <v/>
      </c>
      <c r="F690" s="5" t="n"/>
    </row>
    <row r="691">
      <c r="A691" s="10">
        <f>IF($E691="","",INDEX('Input Transaksi'!$A:$A,$E691))</f>
        <v/>
      </c>
      <c r="B691" s="5">
        <f>IF($E691="","",INDEX('Input Transaksi'!$D:$D,$E691))</f>
        <v/>
      </c>
      <c r="C691">
        <f>IF($E691="","",INDEX('Input Transaksi'!$E:$E,$E691))</f>
        <v/>
      </c>
      <c r="D691" s="5">
        <f>IF($E691="","",INDEX('Input Transaksi'!$F:$F,$E691))</f>
        <v/>
      </c>
      <c r="E691">
        <f>IFERROR(AGGREGATE(15,6,ROW('Input Transaksi'!$B$5:$B$5000)/('Input Transaksi'!$B$5:$B$5000="JCL SIDAKARYA"),ROWS($E$5:E691)),"")</f>
        <v/>
      </c>
      <c r="F691" s="5" t="n"/>
    </row>
    <row r="692">
      <c r="A692" s="10">
        <f>IF($E692="","",INDEX('Input Transaksi'!$A:$A,$E692))</f>
        <v/>
      </c>
      <c r="B692" s="5">
        <f>IF($E692="","",INDEX('Input Transaksi'!$D:$D,$E692))</f>
        <v/>
      </c>
      <c r="C692">
        <f>IF($E692="","",INDEX('Input Transaksi'!$E:$E,$E692))</f>
        <v/>
      </c>
      <c r="D692" s="5">
        <f>IF($E692="","",INDEX('Input Transaksi'!$F:$F,$E692))</f>
        <v/>
      </c>
      <c r="E692">
        <f>IFERROR(AGGREGATE(15,6,ROW('Input Transaksi'!$B$5:$B$5000)/('Input Transaksi'!$B$5:$B$5000="JCL SIDAKARYA"),ROWS($E$5:E692)),"")</f>
        <v/>
      </c>
      <c r="F692" s="5" t="n"/>
    </row>
    <row r="693">
      <c r="A693" s="10">
        <f>IF($E693="","",INDEX('Input Transaksi'!$A:$A,$E693))</f>
        <v/>
      </c>
      <c r="B693" s="5">
        <f>IF($E693="","",INDEX('Input Transaksi'!$D:$D,$E693))</f>
        <v/>
      </c>
      <c r="C693">
        <f>IF($E693="","",INDEX('Input Transaksi'!$E:$E,$E693))</f>
        <v/>
      </c>
      <c r="D693" s="5">
        <f>IF($E693="","",INDEX('Input Transaksi'!$F:$F,$E693))</f>
        <v/>
      </c>
      <c r="E693">
        <f>IFERROR(AGGREGATE(15,6,ROW('Input Transaksi'!$B$5:$B$5000)/('Input Transaksi'!$B$5:$B$5000="JCL SIDAKARYA"),ROWS($E$5:E693)),"")</f>
        <v/>
      </c>
      <c r="F693" s="5" t="n"/>
    </row>
    <row r="694">
      <c r="A694" s="10">
        <f>IF($E694="","",INDEX('Input Transaksi'!$A:$A,$E694))</f>
        <v/>
      </c>
      <c r="B694" s="5">
        <f>IF($E694="","",INDEX('Input Transaksi'!$D:$D,$E694))</f>
        <v/>
      </c>
      <c r="C694">
        <f>IF($E694="","",INDEX('Input Transaksi'!$E:$E,$E694))</f>
        <v/>
      </c>
      <c r="D694" s="5">
        <f>IF($E694="","",INDEX('Input Transaksi'!$F:$F,$E694))</f>
        <v/>
      </c>
      <c r="E694">
        <f>IFERROR(AGGREGATE(15,6,ROW('Input Transaksi'!$B$5:$B$5000)/('Input Transaksi'!$B$5:$B$5000="JCL SIDAKARYA"),ROWS($E$5:E694)),"")</f>
        <v/>
      </c>
      <c r="F694" s="5" t="n"/>
    </row>
    <row r="695">
      <c r="A695" s="10">
        <f>IF($E695="","",INDEX('Input Transaksi'!$A:$A,$E695))</f>
        <v/>
      </c>
      <c r="B695" s="5">
        <f>IF($E695="","",INDEX('Input Transaksi'!$D:$D,$E695))</f>
        <v/>
      </c>
      <c r="C695">
        <f>IF($E695="","",INDEX('Input Transaksi'!$E:$E,$E695))</f>
        <v/>
      </c>
      <c r="D695" s="5">
        <f>IF($E695="","",INDEX('Input Transaksi'!$F:$F,$E695))</f>
        <v/>
      </c>
      <c r="E695">
        <f>IFERROR(AGGREGATE(15,6,ROW('Input Transaksi'!$B$5:$B$5000)/('Input Transaksi'!$B$5:$B$5000="JCL SIDAKARYA"),ROWS($E$5:E695)),"")</f>
        <v/>
      </c>
      <c r="F695" s="5" t="n"/>
    </row>
    <row r="696">
      <c r="A696" s="10">
        <f>IF($E696="","",INDEX('Input Transaksi'!$A:$A,$E696))</f>
        <v/>
      </c>
      <c r="B696" s="5">
        <f>IF($E696="","",INDEX('Input Transaksi'!$D:$D,$E696))</f>
        <v/>
      </c>
      <c r="C696">
        <f>IF($E696="","",INDEX('Input Transaksi'!$E:$E,$E696))</f>
        <v/>
      </c>
      <c r="D696" s="5">
        <f>IF($E696="","",INDEX('Input Transaksi'!$F:$F,$E696))</f>
        <v/>
      </c>
      <c r="E696">
        <f>IFERROR(AGGREGATE(15,6,ROW('Input Transaksi'!$B$5:$B$5000)/('Input Transaksi'!$B$5:$B$5000="JCL SIDAKARYA"),ROWS($E$5:E696)),"")</f>
        <v/>
      </c>
      <c r="F696" s="5" t="n"/>
    </row>
    <row r="697">
      <c r="A697" s="10">
        <f>IF($E697="","",INDEX('Input Transaksi'!$A:$A,$E697))</f>
        <v/>
      </c>
      <c r="B697" s="5">
        <f>IF($E697="","",INDEX('Input Transaksi'!$D:$D,$E697))</f>
        <v/>
      </c>
      <c r="C697">
        <f>IF($E697="","",INDEX('Input Transaksi'!$E:$E,$E697))</f>
        <v/>
      </c>
      <c r="D697" s="5">
        <f>IF($E697="","",INDEX('Input Transaksi'!$F:$F,$E697))</f>
        <v/>
      </c>
      <c r="E697">
        <f>IFERROR(AGGREGATE(15,6,ROW('Input Transaksi'!$B$5:$B$5000)/('Input Transaksi'!$B$5:$B$5000="JCL SIDAKARYA"),ROWS($E$5:E697)),"")</f>
        <v/>
      </c>
      <c r="F697" s="5" t="n"/>
    </row>
    <row r="698">
      <c r="A698" s="10">
        <f>IF($E698="","",INDEX('Input Transaksi'!$A:$A,$E698))</f>
        <v/>
      </c>
      <c r="B698" s="5">
        <f>IF($E698="","",INDEX('Input Transaksi'!$D:$D,$E698))</f>
        <v/>
      </c>
      <c r="C698">
        <f>IF($E698="","",INDEX('Input Transaksi'!$E:$E,$E698))</f>
        <v/>
      </c>
      <c r="D698" s="5">
        <f>IF($E698="","",INDEX('Input Transaksi'!$F:$F,$E698))</f>
        <v/>
      </c>
      <c r="E698">
        <f>IFERROR(AGGREGATE(15,6,ROW('Input Transaksi'!$B$5:$B$5000)/('Input Transaksi'!$B$5:$B$5000="JCL SIDAKARYA"),ROWS($E$5:E698)),"")</f>
        <v/>
      </c>
      <c r="F698" s="5" t="n"/>
    </row>
    <row r="699">
      <c r="A699" s="10">
        <f>IF($E699="","",INDEX('Input Transaksi'!$A:$A,$E699))</f>
        <v/>
      </c>
      <c r="B699" s="5">
        <f>IF($E699="","",INDEX('Input Transaksi'!$D:$D,$E699))</f>
        <v/>
      </c>
      <c r="C699">
        <f>IF($E699="","",INDEX('Input Transaksi'!$E:$E,$E699))</f>
        <v/>
      </c>
      <c r="D699" s="5">
        <f>IF($E699="","",INDEX('Input Transaksi'!$F:$F,$E699))</f>
        <v/>
      </c>
      <c r="E699">
        <f>IFERROR(AGGREGATE(15,6,ROW('Input Transaksi'!$B$5:$B$5000)/('Input Transaksi'!$B$5:$B$5000="JCL SIDAKARYA"),ROWS($E$5:E699)),"")</f>
        <v/>
      </c>
      <c r="F699" s="5" t="n"/>
    </row>
    <row r="700">
      <c r="A700" s="10">
        <f>IF($E700="","",INDEX('Input Transaksi'!$A:$A,$E700))</f>
        <v/>
      </c>
      <c r="B700" s="5">
        <f>IF($E700="","",INDEX('Input Transaksi'!$D:$D,$E700))</f>
        <v/>
      </c>
      <c r="C700">
        <f>IF($E700="","",INDEX('Input Transaksi'!$E:$E,$E700))</f>
        <v/>
      </c>
      <c r="D700" s="5">
        <f>IF($E700="","",INDEX('Input Transaksi'!$F:$F,$E700))</f>
        <v/>
      </c>
      <c r="E700">
        <f>IFERROR(AGGREGATE(15,6,ROW('Input Transaksi'!$B$5:$B$5000)/('Input Transaksi'!$B$5:$B$5000="JCL SIDAKARYA"),ROWS($E$5:E700)),"")</f>
        <v/>
      </c>
      <c r="F700" s="5" t="n"/>
    </row>
    <row r="701">
      <c r="A701" s="10">
        <f>IF($E701="","",INDEX('Input Transaksi'!$A:$A,$E701))</f>
        <v/>
      </c>
      <c r="B701" s="5">
        <f>IF($E701="","",INDEX('Input Transaksi'!$D:$D,$E701))</f>
        <v/>
      </c>
      <c r="C701">
        <f>IF($E701="","",INDEX('Input Transaksi'!$E:$E,$E701))</f>
        <v/>
      </c>
      <c r="D701" s="5">
        <f>IF($E701="","",INDEX('Input Transaksi'!$F:$F,$E701))</f>
        <v/>
      </c>
      <c r="E701">
        <f>IFERROR(AGGREGATE(15,6,ROW('Input Transaksi'!$B$5:$B$5000)/('Input Transaksi'!$B$5:$B$5000="JCL SIDAKARYA"),ROWS($E$5:E701)),"")</f>
        <v/>
      </c>
      <c r="F701" s="5" t="n"/>
    </row>
    <row r="702">
      <c r="A702" s="10">
        <f>IF($E702="","",INDEX('Input Transaksi'!$A:$A,$E702))</f>
        <v/>
      </c>
      <c r="B702" s="5">
        <f>IF($E702="","",INDEX('Input Transaksi'!$D:$D,$E702))</f>
        <v/>
      </c>
      <c r="C702">
        <f>IF($E702="","",INDEX('Input Transaksi'!$E:$E,$E702))</f>
        <v/>
      </c>
      <c r="D702" s="5">
        <f>IF($E702="","",INDEX('Input Transaksi'!$F:$F,$E702))</f>
        <v/>
      </c>
      <c r="E702">
        <f>IFERROR(AGGREGATE(15,6,ROW('Input Transaksi'!$B$5:$B$5000)/('Input Transaksi'!$B$5:$B$5000="JCL SIDAKARYA"),ROWS($E$5:E702)),"")</f>
        <v/>
      </c>
      <c r="F702" s="5" t="n"/>
    </row>
    <row r="703">
      <c r="A703" s="10">
        <f>IF($E703="","",INDEX('Input Transaksi'!$A:$A,$E703))</f>
        <v/>
      </c>
      <c r="B703" s="5">
        <f>IF($E703="","",INDEX('Input Transaksi'!$D:$D,$E703))</f>
        <v/>
      </c>
      <c r="C703">
        <f>IF($E703="","",INDEX('Input Transaksi'!$E:$E,$E703))</f>
        <v/>
      </c>
      <c r="D703" s="5">
        <f>IF($E703="","",INDEX('Input Transaksi'!$F:$F,$E703))</f>
        <v/>
      </c>
      <c r="E703">
        <f>IFERROR(AGGREGATE(15,6,ROW('Input Transaksi'!$B$5:$B$5000)/('Input Transaksi'!$B$5:$B$5000="JCL SIDAKARYA"),ROWS($E$5:E703)),"")</f>
        <v/>
      </c>
      <c r="F703" s="5" t="n"/>
    </row>
    <row r="704">
      <c r="A704" s="10">
        <f>IF($E704="","",INDEX('Input Transaksi'!$A:$A,$E704))</f>
        <v/>
      </c>
      <c r="B704" s="5">
        <f>IF($E704="","",INDEX('Input Transaksi'!$D:$D,$E704))</f>
        <v/>
      </c>
      <c r="C704">
        <f>IF($E704="","",INDEX('Input Transaksi'!$E:$E,$E704))</f>
        <v/>
      </c>
      <c r="D704" s="5">
        <f>IF($E704="","",INDEX('Input Transaksi'!$F:$F,$E704))</f>
        <v/>
      </c>
      <c r="E704">
        <f>IFERROR(AGGREGATE(15,6,ROW('Input Transaksi'!$B$5:$B$5000)/('Input Transaksi'!$B$5:$B$5000="JCL SIDAKARYA"),ROWS($E$5:E704)),"")</f>
        <v/>
      </c>
      <c r="F704" s="5" t="n"/>
    </row>
    <row r="705">
      <c r="A705" s="10">
        <f>IF($E705="","",INDEX('Input Transaksi'!$A:$A,$E705))</f>
        <v/>
      </c>
      <c r="B705" s="5">
        <f>IF($E705="","",INDEX('Input Transaksi'!$D:$D,$E705))</f>
        <v/>
      </c>
      <c r="C705">
        <f>IF($E705="","",INDEX('Input Transaksi'!$E:$E,$E705))</f>
        <v/>
      </c>
      <c r="D705" s="5">
        <f>IF($E705="","",INDEX('Input Transaksi'!$F:$F,$E705))</f>
        <v/>
      </c>
      <c r="E705">
        <f>IFERROR(AGGREGATE(15,6,ROW('Input Transaksi'!$B$5:$B$5000)/('Input Transaksi'!$B$5:$B$5000="JCL SIDAKARYA"),ROWS($E$5:E705)),"")</f>
        <v/>
      </c>
      <c r="F705" s="5" t="n"/>
    </row>
    <row r="706">
      <c r="A706" s="10">
        <f>IF($E706="","",INDEX('Input Transaksi'!$A:$A,$E706))</f>
        <v/>
      </c>
      <c r="B706" s="5">
        <f>IF($E706="","",INDEX('Input Transaksi'!$D:$D,$E706))</f>
        <v/>
      </c>
      <c r="C706">
        <f>IF($E706="","",INDEX('Input Transaksi'!$E:$E,$E706))</f>
        <v/>
      </c>
      <c r="D706" s="5">
        <f>IF($E706="","",INDEX('Input Transaksi'!$F:$F,$E706))</f>
        <v/>
      </c>
      <c r="E706">
        <f>IFERROR(AGGREGATE(15,6,ROW('Input Transaksi'!$B$5:$B$5000)/('Input Transaksi'!$B$5:$B$5000="JCL SIDAKARYA"),ROWS($E$5:E706)),"")</f>
        <v/>
      </c>
      <c r="F706" s="5" t="n"/>
    </row>
    <row r="707">
      <c r="A707" s="10">
        <f>IF($E707="","",INDEX('Input Transaksi'!$A:$A,$E707))</f>
        <v/>
      </c>
      <c r="B707" s="5">
        <f>IF($E707="","",INDEX('Input Transaksi'!$D:$D,$E707))</f>
        <v/>
      </c>
      <c r="C707">
        <f>IF($E707="","",INDEX('Input Transaksi'!$E:$E,$E707))</f>
        <v/>
      </c>
      <c r="D707" s="5">
        <f>IF($E707="","",INDEX('Input Transaksi'!$F:$F,$E707))</f>
        <v/>
      </c>
      <c r="E707">
        <f>IFERROR(AGGREGATE(15,6,ROW('Input Transaksi'!$B$5:$B$5000)/('Input Transaksi'!$B$5:$B$5000="JCL SIDAKARYA"),ROWS($E$5:E707)),"")</f>
        <v/>
      </c>
      <c r="F707" s="5" t="n"/>
    </row>
    <row r="708">
      <c r="A708" s="10">
        <f>IF($E708="","",INDEX('Input Transaksi'!$A:$A,$E708))</f>
        <v/>
      </c>
      <c r="B708" s="5">
        <f>IF($E708="","",INDEX('Input Transaksi'!$D:$D,$E708))</f>
        <v/>
      </c>
      <c r="C708">
        <f>IF($E708="","",INDEX('Input Transaksi'!$E:$E,$E708))</f>
        <v/>
      </c>
      <c r="D708" s="5">
        <f>IF($E708="","",INDEX('Input Transaksi'!$F:$F,$E708))</f>
        <v/>
      </c>
      <c r="E708">
        <f>IFERROR(AGGREGATE(15,6,ROW('Input Transaksi'!$B$5:$B$5000)/('Input Transaksi'!$B$5:$B$5000="JCL SIDAKARYA"),ROWS($E$5:E708)),"")</f>
        <v/>
      </c>
      <c r="F708" s="5" t="n"/>
    </row>
    <row r="709">
      <c r="A709" s="10">
        <f>IF($E709="","",INDEX('Input Transaksi'!$A:$A,$E709))</f>
        <v/>
      </c>
      <c r="B709" s="5">
        <f>IF($E709="","",INDEX('Input Transaksi'!$D:$D,$E709))</f>
        <v/>
      </c>
      <c r="C709">
        <f>IF($E709="","",INDEX('Input Transaksi'!$E:$E,$E709))</f>
        <v/>
      </c>
      <c r="D709" s="5">
        <f>IF($E709="","",INDEX('Input Transaksi'!$F:$F,$E709))</f>
        <v/>
      </c>
      <c r="E709">
        <f>IFERROR(AGGREGATE(15,6,ROW('Input Transaksi'!$B$5:$B$5000)/('Input Transaksi'!$B$5:$B$5000="JCL SIDAKARYA"),ROWS($E$5:E709)),"")</f>
        <v/>
      </c>
      <c r="F709" s="5" t="n"/>
    </row>
    <row r="710">
      <c r="A710" s="10">
        <f>IF($E710="","",INDEX('Input Transaksi'!$A:$A,$E710))</f>
        <v/>
      </c>
      <c r="B710" s="5">
        <f>IF($E710="","",INDEX('Input Transaksi'!$D:$D,$E710))</f>
        <v/>
      </c>
      <c r="C710">
        <f>IF($E710="","",INDEX('Input Transaksi'!$E:$E,$E710))</f>
        <v/>
      </c>
      <c r="D710" s="5">
        <f>IF($E710="","",INDEX('Input Transaksi'!$F:$F,$E710))</f>
        <v/>
      </c>
      <c r="E710">
        <f>IFERROR(AGGREGATE(15,6,ROW('Input Transaksi'!$B$5:$B$5000)/('Input Transaksi'!$B$5:$B$5000="JCL SIDAKARYA"),ROWS($E$5:E710)),"")</f>
        <v/>
      </c>
      <c r="F710" s="5" t="n"/>
    </row>
    <row r="711">
      <c r="A711" s="10">
        <f>IF($E711="","",INDEX('Input Transaksi'!$A:$A,$E711))</f>
        <v/>
      </c>
      <c r="B711" s="5">
        <f>IF($E711="","",INDEX('Input Transaksi'!$D:$D,$E711))</f>
        <v/>
      </c>
      <c r="C711">
        <f>IF($E711="","",INDEX('Input Transaksi'!$E:$E,$E711))</f>
        <v/>
      </c>
      <c r="D711" s="5">
        <f>IF($E711="","",INDEX('Input Transaksi'!$F:$F,$E711))</f>
        <v/>
      </c>
      <c r="E711">
        <f>IFERROR(AGGREGATE(15,6,ROW('Input Transaksi'!$B$5:$B$5000)/('Input Transaksi'!$B$5:$B$5000="JCL SIDAKARYA"),ROWS($E$5:E711)),"")</f>
        <v/>
      </c>
      <c r="F711" s="5" t="n"/>
    </row>
    <row r="712">
      <c r="A712" s="10">
        <f>IF($E712="","",INDEX('Input Transaksi'!$A:$A,$E712))</f>
        <v/>
      </c>
      <c r="B712" s="5">
        <f>IF($E712="","",INDEX('Input Transaksi'!$D:$D,$E712))</f>
        <v/>
      </c>
      <c r="C712">
        <f>IF($E712="","",INDEX('Input Transaksi'!$E:$E,$E712))</f>
        <v/>
      </c>
      <c r="D712" s="5">
        <f>IF($E712="","",INDEX('Input Transaksi'!$F:$F,$E712))</f>
        <v/>
      </c>
      <c r="E712">
        <f>IFERROR(AGGREGATE(15,6,ROW('Input Transaksi'!$B$5:$B$5000)/('Input Transaksi'!$B$5:$B$5000="JCL SIDAKARYA"),ROWS($E$5:E712)),"")</f>
        <v/>
      </c>
      <c r="F712" s="5" t="n"/>
    </row>
    <row r="713">
      <c r="A713" s="10">
        <f>IF($E713="","",INDEX('Input Transaksi'!$A:$A,$E713))</f>
        <v/>
      </c>
      <c r="B713" s="5">
        <f>IF($E713="","",INDEX('Input Transaksi'!$D:$D,$E713))</f>
        <v/>
      </c>
      <c r="C713">
        <f>IF($E713="","",INDEX('Input Transaksi'!$E:$E,$E713))</f>
        <v/>
      </c>
      <c r="D713" s="5">
        <f>IF($E713="","",INDEX('Input Transaksi'!$F:$F,$E713))</f>
        <v/>
      </c>
      <c r="E713">
        <f>IFERROR(AGGREGATE(15,6,ROW('Input Transaksi'!$B$5:$B$5000)/('Input Transaksi'!$B$5:$B$5000="JCL SIDAKARYA"),ROWS($E$5:E713)),"")</f>
        <v/>
      </c>
      <c r="F713" s="5" t="n"/>
    </row>
    <row r="714">
      <c r="A714" s="10">
        <f>IF($E714="","",INDEX('Input Transaksi'!$A:$A,$E714))</f>
        <v/>
      </c>
      <c r="B714" s="5">
        <f>IF($E714="","",INDEX('Input Transaksi'!$D:$D,$E714))</f>
        <v/>
      </c>
      <c r="C714">
        <f>IF($E714="","",INDEX('Input Transaksi'!$E:$E,$E714))</f>
        <v/>
      </c>
      <c r="D714" s="5">
        <f>IF($E714="","",INDEX('Input Transaksi'!$F:$F,$E714))</f>
        <v/>
      </c>
      <c r="E714">
        <f>IFERROR(AGGREGATE(15,6,ROW('Input Transaksi'!$B$5:$B$5000)/('Input Transaksi'!$B$5:$B$5000="JCL SIDAKARYA"),ROWS($E$5:E714)),"")</f>
        <v/>
      </c>
      <c r="F714" s="5" t="n"/>
    </row>
    <row r="715">
      <c r="A715" s="10">
        <f>IF($E715="","",INDEX('Input Transaksi'!$A:$A,$E715))</f>
        <v/>
      </c>
      <c r="B715" s="5">
        <f>IF($E715="","",INDEX('Input Transaksi'!$D:$D,$E715))</f>
        <v/>
      </c>
      <c r="C715">
        <f>IF($E715="","",INDEX('Input Transaksi'!$E:$E,$E715))</f>
        <v/>
      </c>
      <c r="D715" s="5">
        <f>IF($E715="","",INDEX('Input Transaksi'!$F:$F,$E715))</f>
        <v/>
      </c>
      <c r="E715">
        <f>IFERROR(AGGREGATE(15,6,ROW('Input Transaksi'!$B$5:$B$5000)/('Input Transaksi'!$B$5:$B$5000="JCL SIDAKARYA"),ROWS($E$5:E715)),"")</f>
        <v/>
      </c>
      <c r="F715" s="5" t="n"/>
    </row>
    <row r="716">
      <c r="A716" s="10">
        <f>IF($E716="","",INDEX('Input Transaksi'!$A:$A,$E716))</f>
        <v/>
      </c>
      <c r="B716" s="5">
        <f>IF($E716="","",INDEX('Input Transaksi'!$D:$D,$E716))</f>
        <v/>
      </c>
      <c r="C716">
        <f>IF($E716="","",INDEX('Input Transaksi'!$E:$E,$E716))</f>
        <v/>
      </c>
      <c r="D716" s="5">
        <f>IF($E716="","",INDEX('Input Transaksi'!$F:$F,$E716))</f>
        <v/>
      </c>
      <c r="E716">
        <f>IFERROR(AGGREGATE(15,6,ROW('Input Transaksi'!$B$5:$B$5000)/('Input Transaksi'!$B$5:$B$5000="JCL SIDAKARYA"),ROWS($E$5:E716)),"")</f>
        <v/>
      </c>
      <c r="F716" s="5" t="n"/>
    </row>
    <row r="717">
      <c r="A717" s="10">
        <f>IF($E717="","",INDEX('Input Transaksi'!$A:$A,$E717))</f>
        <v/>
      </c>
      <c r="B717" s="5">
        <f>IF($E717="","",INDEX('Input Transaksi'!$D:$D,$E717))</f>
        <v/>
      </c>
      <c r="C717">
        <f>IF($E717="","",INDEX('Input Transaksi'!$E:$E,$E717))</f>
        <v/>
      </c>
      <c r="D717" s="5">
        <f>IF($E717="","",INDEX('Input Transaksi'!$F:$F,$E717))</f>
        <v/>
      </c>
      <c r="E717">
        <f>IFERROR(AGGREGATE(15,6,ROW('Input Transaksi'!$B$5:$B$5000)/('Input Transaksi'!$B$5:$B$5000="JCL SIDAKARYA"),ROWS($E$5:E717)),"")</f>
        <v/>
      </c>
      <c r="F717" s="5" t="n"/>
    </row>
    <row r="718">
      <c r="A718" s="10">
        <f>IF($E718="","",INDEX('Input Transaksi'!$A:$A,$E718))</f>
        <v/>
      </c>
      <c r="B718" s="5">
        <f>IF($E718="","",INDEX('Input Transaksi'!$D:$D,$E718))</f>
        <v/>
      </c>
      <c r="C718">
        <f>IF($E718="","",INDEX('Input Transaksi'!$E:$E,$E718))</f>
        <v/>
      </c>
      <c r="D718" s="5">
        <f>IF($E718="","",INDEX('Input Transaksi'!$F:$F,$E718))</f>
        <v/>
      </c>
      <c r="E718">
        <f>IFERROR(AGGREGATE(15,6,ROW('Input Transaksi'!$B$5:$B$5000)/('Input Transaksi'!$B$5:$B$5000="JCL SIDAKARYA"),ROWS($E$5:E718)),"")</f>
        <v/>
      </c>
      <c r="F718" s="5" t="n"/>
    </row>
    <row r="719">
      <c r="A719" s="10">
        <f>IF($E719="","",INDEX('Input Transaksi'!$A:$A,$E719))</f>
        <v/>
      </c>
      <c r="B719" s="5">
        <f>IF($E719="","",INDEX('Input Transaksi'!$D:$D,$E719))</f>
        <v/>
      </c>
      <c r="C719">
        <f>IF($E719="","",INDEX('Input Transaksi'!$E:$E,$E719))</f>
        <v/>
      </c>
      <c r="D719" s="5">
        <f>IF($E719="","",INDEX('Input Transaksi'!$F:$F,$E719))</f>
        <v/>
      </c>
      <c r="E719">
        <f>IFERROR(AGGREGATE(15,6,ROW('Input Transaksi'!$B$5:$B$5000)/('Input Transaksi'!$B$5:$B$5000="JCL SIDAKARYA"),ROWS($E$5:E719)),"")</f>
        <v/>
      </c>
      <c r="F719" s="5" t="n"/>
    </row>
    <row r="720">
      <c r="A720" s="10">
        <f>IF($E720="","",INDEX('Input Transaksi'!$A:$A,$E720))</f>
        <v/>
      </c>
      <c r="B720" s="5">
        <f>IF($E720="","",INDEX('Input Transaksi'!$D:$D,$E720))</f>
        <v/>
      </c>
      <c r="C720">
        <f>IF($E720="","",INDEX('Input Transaksi'!$E:$E,$E720))</f>
        <v/>
      </c>
      <c r="D720" s="5">
        <f>IF($E720="","",INDEX('Input Transaksi'!$F:$F,$E720))</f>
        <v/>
      </c>
      <c r="E720">
        <f>IFERROR(AGGREGATE(15,6,ROW('Input Transaksi'!$B$5:$B$5000)/('Input Transaksi'!$B$5:$B$5000="JCL SIDAKARYA"),ROWS($E$5:E720)),"")</f>
        <v/>
      </c>
      <c r="F720" s="5" t="n"/>
    </row>
    <row r="721">
      <c r="A721" s="10">
        <f>IF($E721="","",INDEX('Input Transaksi'!$A:$A,$E721))</f>
        <v/>
      </c>
      <c r="B721" s="5">
        <f>IF($E721="","",INDEX('Input Transaksi'!$D:$D,$E721))</f>
        <v/>
      </c>
      <c r="C721">
        <f>IF($E721="","",INDEX('Input Transaksi'!$E:$E,$E721))</f>
        <v/>
      </c>
      <c r="D721" s="5">
        <f>IF($E721="","",INDEX('Input Transaksi'!$F:$F,$E721))</f>
        <v/>
      </c>
      <c r="E721">
        <f>IFERROR(AGGREGATE(15,6,ROW('Input Transaksi'!$B$5:$B$5000)/('Input Transaksi'!$B$5:$B$5000="JCL SIDAKARYA"),ROWS($E$5:E721)),"")</f>
        <v/>
      </c>
      <c r="F721" s="5" t="n"/>
    </row>
    <row r="722">
      <c r="A722" s="10">
        <f>IF($E722="","",INDEX('Input Transaksi'!$A:$A,$E722))</f>
        <v/>
      </c>
      <c r="B722" s="5">
        <f>IF($E722="","",INDEX('Input Transaksi'!$D:$D,$E722))</f>
        <v/>
      </c>
      <c r="C722">
        <f>IF($E722="","",INDEX('Input Transaksi'!$E:$E,$E722))</f>
        <v/>
      </c>
      <c r="D722" s="5">
        <f>IF($E722="","",INDEX('Input Transaksi'!$F:$F,$E722))</f>
        <v/>
      </c>
      <c r="E722">
        <f>IFERROR(AGGREGATE(15,6,ROW('Input Transaksi'!$B$5:$B$5000)/('Input Transaksi'!$B$5:$B$5000="JCL SIDAKARYA"),ROWS($E$5:E722)),"")</f>
        <v/>
      </c>
      <c r="F722" s="5" t="n"/>
    </row>
    <row r="723">
      <c r="A723" s="10">
        <f>IF($E723="","",INDEX('Input Transaksi'!$A:$A,$E723))</f>
        <v/>
      </c>
      <c r="B723" s="5">
        <f>IF($E723="","",INDEX('Input Transaksi'!$D:$D,$E723))</f>
        <v/>
      </c>
      <c r="C723">
        <f>IF($E723="","",INDEX('Input Transaksi'!$E:$E,$E723))</f>
        <v/>
      </c>
      <c r="D723" s="5">
        <f>IF($E723="","",INDEX('Input Transaksi'!$F:$F,$E723))</f>
        <v/>
      </c>
      <c r="E723">
        <f>IFERROR(AGGREGATE(15,6,ROW('Input Transaksi'!$B$5:$B$5000)/('Input Transaksi'!$B$5:$B$5000="JCL SIDAKARYA"),ROWS($E$5:E723)),"")</f>
        <v/>
      </c>
      <c r="F723" s="5" t="n"/>
    </row>
    <row r="724">
      <c r="A724" s="10">
        <f>IF($E724="","",INDEX('Input Transaksi'!$A:$A,$E724))</f>
        <v/>
      </c>
      <c r="B724" s="5">
        <f>IF($E724="","",INDEX('Input Transaksi'!$D:$D,$E724))</f>
        <v/>
      </c>
      <c r="C724">
        <f>IF($E724="","",INDEX('Input Transaksi'!$E:$E,$E724))</f>
        <v/>
      </c>
      <c r="D724" s="5">
        <f>IF($E724="","",INDEX('Input Transaksi'!$F:$F,$E724))</f>
        <v/>
      </c>
      <c r="E724">
        <f>IFERROR(AGGREGATE(15,6,ROW('Input Transaksi'!$B$5:$B$5000)/('Input Transaksi'!$B$5:$B$5000="JCL SIDAKARYA"),ROWS($E$5:E724)),"")</f>
        <v/>
      </c>
      <c r="F724" s="5" t="n"/>
    </row>
    <row r="725">
      <c r="A725" s="10">
        <f>IF($E725="","",INDEX('Input Transaksi'!$A:$A,$E725))</f>
        <v/>
      </c>
      <c r="B725" s="5">
        <f>IF($E725="","",INDEX('Input Transaksi'!$D:$D,$E725))</f>
        <v/>
      </c>
      <c r="C725">
        <f>IF($E725="","",INDEX('Input Transaksi'!$E:$E,$E725))</f>
        <v/>
      </c>
      <c r="D725" s="5">
        <f>IF($E725="","",INDEX('Input Transaksi'!$F:$F,$E725))</f>
        <v/>
      </c>
      <c r="E725">
        <f>IFERROR(AGGREGATE(15,6,ROW('Input Transaksi'!$B$5:$B$5000)/('Input Transaksi'!$B$5:$B$5000="JCL SIDAKARYA"),ROWS($E$5:E725)),"")</f>
        <v/>
      </c>
      <c r="F725" s="5" t="n"/>
    </row>
    <row r="726">
      <c r="A726" s="10">
        <f>IF($E726="","",INDEX('Input Transaksi'!$A:$A,$E726))</f>
        <v/>
      </c>
      <c r="B726" s="5">
        <f>IF($E726="","",INDEX('Input Transaksi'!$D:$D,$E726))</f>
        <v/>
      </c>
      <c r="C726">
        <f>IF($E726="","",INDEX('Input Transaksi'!$E:$E,$E726))</f>
        <v/>
      </c>
      <c r="D726" s="5">
        <f>IF($E726="","",INDEX('Input Transaksi'!$F:$F,$E726))</f>
        <v/>
      </c>
      <c r="E726">
        <f>IFERROR(AGGREGATE(15,6,ROW('Input Transaksi'!$B$5:$B$5000)/('Input Transaksi'!$B$5:$B$5000="JCL SIDAKARYA"),ROWS($E$5:E726)),"")</f>
        <v/>
      </c>
      <c r="F726" s="5" t="n"/>
    </row>
    <row r="727">
      <c r="A727" s="10">
        <f>IF($E727="","",INDEX('Input Transaksi'!$A:$A,$E727))</f>
        <v/>
      </c>
      <c r="B727" s="5">
        <f>IF($E727="","",INDEX('Input Transaksi'!$D:$D,$E727))</f>
        <v/>
      </c>
      <c r="C727">
        <f>IF($E727="","",INDEX('Input Transaksi'!$E:$E,$E727))</f>
        <v/>
      </c>
      <c r="D727" s="5">
        <f>IF($E727="","",INDEX('Input Transaksi'!$F:$F,$E727))</f>
        <v/>
      </c>
      <c r="E727">
        <f>IFERROR(AGGREGATE(15,6,ROW('Input Transaksi'!$B$5:$B$5000)/('Input Transaksi'!$B$5:$B$5000="JCL SIDAKARYA"),ROWS($E$5:E727)),"")</f>
        <v/>
      </c>
      <c r="F727" s="5" t="n"/>
    </row>
    <row r="728">
      <c r="A728" s="10">
        <f>IF($E728="","",INDEX('Input Transaksi'!$A:$A,$E728))</f>
        <v/>
      </c>
      <c r="B728" s="5">
        <f>IF($E728="","",INDEX('Input Transaksi'!$D:$D,$E728))</f>
        <v/>
      </c>
      <c r="C728">
        <f>IF($E728="","",INDEX('Input Transaksi'!$E:$E,$E728))</f>
        <v/>
      </c>
      <c r="D728" s="5">
        <f>IF($E728="","",INDEX('Input Transaksi'!$F:$F,$E728))</f>
        <v/>
      </c>
      <c r="E728">
        <f>IFERROR(AGGREGATE(15,6,ROW('Input Transaksi'!$B$5:$B$5000)/('Input Transaksi'!$B$5:$B$5000="JCL SIDAKARYA"),ROWS($E$5:E728)),"")</f>
        <v/>
      </c>
      <c r="F728" s="5" t="n"/>
    </row>
    <row r="729">
      <c r="A729" s="10">
        <f>IF($E729="","",INDEX('Input Transaksi'!$A:$A,$E729))</f>
        <v/>
      </c>
      <c r="B729" s="5">
        <f>IF($E729="","",INDEX('Input Transaksi'!$D:$D,$E729))</f>
        <v/>
      </c>
      <c r="C729">
        <f>IF($E729="","",INDEX('Input Transaksi'!$E:$E,$E729))</f>
        <v/>
      </c>
      <c r="D729" s="5">
        <f>IF($E729="","",INDEX('Input Transaksi'!$F:$F,$E729))</f>
        <v/>
      </c>
      <c r="E729">
        <f>IFERROR(AGGREGATE(15,6,ROW('Input Transaksi'!$B$5:$B$5000)/('Input Transaksi'!$B$5:$B$5000="JCL SIDAKARYA"),ROWS($E$5:E729)),"")</f>
        <v/>
      </c>
      <c r="F729" s="5" t="n"/>
    </row>
    <row r="730">
      <c r="A730" s="10">
        <f>IF($E730="","",INDEX('Input Transaksi'!$A:$A,$E730))</f>
        <v/>
      </c>
      <c r="B730" s="5">
        <f>IF($E730="","",INDEX('Input Transaksi'!$D:$D,$E730))</f>
        <v/>
      </c>
      <c r="C730">
        <f>IF($E730="","",INDEX('Input Transaksi'!$E:$E,$E730))</f>
        <v/>
      </c>
      <c r="D730" s="5">
        <f>IF($E730="","",INDEX('Input Transaksi'!$F:$F,$E730))</f>
        <v/>
      </c>
      <c r="E730">
        <f>IFERROR(AGGREGATE(15,6,ROW('Input Transaksi'!$B$5:$B$5000)/('Input Transaksi'!$B$5:$B$5000="JCL SIDAKARYA"),ROWS($E$5:E730)),"")</f>
        <v/>
      </c>
      <c r="F730" s="5" t="n"/>
    </row>
    <row r="731">
      <c r="A731" s="10">
        <f>IF($E731="","",INDEX('Input Transaksi'!$A:$A,$E731))</f>
        <v/>
      </c>
      <c r="B731" s="5">
        <f>IF($E731="","",INDEX('Input Transaksi'!$D:$D,$E731))</f>
        <v/>
      </c>
      <c r="C731">
        <f>IF($E731="","",INDEX('Input Transaksi'!$E:$E,$E731))</f>
        <v/>
      </c>
      <c r="D731" s="5">
        <f>IF($E731="","",INDEX('Input Transaksi'!$F:$F,$E731))</f>
        <v/>
      </c>
      <c r="E731">
        <f>IFERROR(AGGREGATE(15,6,ROW('Input Transaksi'!$B$5:$B$5000)/('Input Transaksi'!$B$5:$B$5000="JCL SIDAKARYA"),ROWS($E$5:E731)),"")</f>
        <v/>
      </c>
      <c r="F731" s="5" t="n"/>
    </row>
    <row r="732">
      <c r="A732" s="10">
        <f>IF($E732="","",INDEX('Input Transaksi'!$A:$A,$E732))</f>
        <v/>
      </c>
      <c r="B732" s="5">
        <f>IF($E732="","",INDEX('Input Transaksi'!$D:$D,$E732))</f>
        <v/>
      </c>
      <c r="C732">
        <f>IF($E732="","",INDEX('Input Transaksi'!$E:$E,$E732))</f>
        <v/>
      </c>
      <c r="D732" s="5">
        <f>IF($E732="","",INDEX('Input Transaksi'!$F:$F,$E732))</f>
        <v/>
      </c>
      <c r="E732">
        <f>IFERROR(AGGREGATE(15,6,ROW('Input Transaksi'!$B$5:$B$5000)/('Input Transaksi'!$B$5:$B$5000="JCL SIDAKARYA"),ROWS($E$5:E732)),"")</f>
        <v/>
      </c>
      <c r="F732" s="5" t="n"/>
    </row>
    <row r="733">
      <c r="A733" s="10">
        <f>IF($E733="","",INDEX('Input Transaksi'!$A:$A,$E733))</f>
        <v/>
      </c>
      <c r="B733" s="5">
        <f>IF($E733="","",INDEX('Input Transaksi'!$D:$D,$E733))</f>
        <v/>
      </c>
      <c r="C733">
        <f>IF($E733="","",INDEX('Input Transaksi'!$E:$E,$E733))</f>
        <v/>
      </c>
      <c r="D733" s="5">
        <f>IF($E733="","",INDEX('Input Transaksi'!$F:$F,$E733))</f>
        <v/>
      </c>
      <c r="E733">
        <f>IFERROR(AGGREGATE(15,6,ROW('Input Transaksi'!$B$5:$B$5000)/('Input Transaksi'!$B$5:$B$5000="JCL SIDAKARYA"),ROWS($E$5:E733)),"")</f>
        <v/>
      </c>
      <c r="F733" s="5" t="n"/>
    </row>
    <row r="734">
      <c r="A734" s="10">
        <f>IF($E734="","",INDEX('Input Transaksi'!$A:$A,$E734))</f>
        <v/>
      </c>
      <c r="B734" s="5">
        <f>IF($E734="","",INDEX('Input Transaksi'!$D:$D,$E734))</f>
        <v/>
      </c>
      <c r="C734">
        <f>IF($E734="","",INDEX('Input Transaksi'!$E:$E,$E734))</f>
        <v/>
      </c>
      <c r="D734" s="5">
        <f>IF($E734="","",INDEX('Input Transaksi'!$F:$F,$E734))</f>
        <v/>
      </c>
      <c r="E734">
        <f>IFERROR(AGGREGATE(15,6,ROW('Input Transaksi'!$B$5:$B$5000)/('Input Transaksi'!$B$5:$B$5000="JCL SIDAKARYA"),ROWS($E$5:E734)),"")</f>
        <v/>
      </c>
      <c r="F734" s="5" t="n"/>
    </row>
    <row r="735">
      <c r="A735" s="10">
        <f>IF($E735="","",INDEX('Input Transaksi'!$A:$A,$E735))</f>
        <v/>
      </c>
      <c r="B735" s="5">
        <f>IF($E735="","",INDEX('Input Transaksi'!$D:$D,$E735))</f>
        <v/>
      </c>
      <c r="C735">
        <f>IF($E735="","",INDEX('Input Transaksi'!$E:$E,$E735))</f>
        <v/>
      </c>
      <c r="D735" s="5">
        <f>IF($E735="","",INDEX('Input Transaksi'!$F:$F,$E735))</f>
        <v/>
      </c>
      <c r="E735">
        <f>IFERROR(AGGREGATE(15,6,ROW('Input Transaksi'!$B$5:$B$5000)/('Input Transaksi'!$B$5:$B$5000="JCL SIDAKARYA"),ROWS($E$5:E735)),"")</f>
        <v/>
      </c>
      <c r="F735" s="5" t="n"/>
    </row>
    <row r="736">
      <c r="A736" s="10">
        <f>IF($E736="","",INDEX('Input Transaksi'!$A:$A,$E736))</f>
        <v/>
      </c>
      <c r="B736" s="5">
        <f>IF($E736="","",INDEX('Input Transaksi'!$D:$D,$E736))</f>
        <v/>
      </c>
      <c r="C736">
        <f>IF($E736="","",INDEX('Input Transaksi'!$E:$E,$E736))</f>
        <v/>
      </c>
      <c r="D736" s="5">
        <f>IF($E736="","",INDEX('Input Transaksi'!$F:$F,$E736))</f>
        <v/>
      </c>
      <c r="E736">
        <f>IFERROR(AGGREGATE(15,6,ROW('Input Transaksi'!$B$5:$B$5000)/('Input Transaksi'!$B$5:$B$5000="JCL SIDAKARYA"),ROWS($E$5:E736)),"")</f>
        <v/>
      </c>
      <c r="F736" s="5" t="n"/>
    </row>
    <row r="737">
      <c r="A737" s="10">
        <f>IF($E737="","",INDEX('Input Transaksi'!$A:$A,$E737))</f>
        <v/>
      </c>
      <c r="B737" s="5">
        <f>IF($E737="","",INDEX('Input Transaksi'!$D:$D,$E737))</f>
        <v/>
      </c>
      <c r="C737">
        <f>IF($E737="","",INDEX('Input Transaksi'!$E:$E,$E737))</f>
        <v/>
      </c>
      <c r="D737" s="5">
        <f>IF($E737="","",INDEX('Input Transaksi'!$F:$F,$E737))</f>
        <v/>
      </c>
      <c r="E737">
        <f>IFERROR(AGGREGATE(15,6,ROW('Input Transaksi'!$B$5:$B$5000)/('Input Transaksi'!$B$5:$B$5000="JCL SIDAKARYA"),ROWS($E$5:E737)),"")</f>
        <v/>
      </c>
      <c r="F737" s="5" t="n"/>
    </row>
    <row r="738">
      <c r="A738" s="10">
        <f>IF($E738="","",INDEX('Input Transaksi'!$A:$A,$E738))</f>
        <v/>
      </c>
      <c r="B738" s="5">
        <f>IF($E738="","",INDEX('Input Transaksi'!$D:$D,$E738))</f>
        <v/>
      </c>
      <c r="C738">
        <f>IF($E738="","",INDEX('Input Transaksi'!$E:$E,$E738))</f>
        <v/>
      </c>
      <c r="D738" s="5">
        <f>IF($E738="","",INDEX('Input Transaksi'!$F:$F,$E738))</f>
        <v/>
      </c>
      <c r="E738">
        <f>IFERROR(AGGREGATE(15,6,ROW('Input Transaksi'!$B$5:$B$5000)/('Input Transaksi'!$B$5:$B$5000="JCL SIDAKARYA"),ROWS($E$5:E738)),"")</f>
        <v/>
      </c>
      <c r="F738" s="5" t="n"/>
    </row>
    <row r="739">
      <c r="A739" s="10">
        <f>IF($E739="","",INDEX('Input Transaksi'!$A:$A,$E739))</f>
        <v/>
      </c>
      <c r="B739" s="5">
        <f>IF($E739="","",INDEX('Input Transaksi'!$D:$D,$E739))</f>
        <v/>
      </c>
      <c r="C739">
        <f>IF($E739="","",INDEX('Input Transaksi'!$E:$E,$E739))</f>
        <v/>
      </c>
      <c r="D739" s="5">
        <f>IF($E739="","",INDEX('Input Transaksi'!$F:$F,$E739))</f>
        <v/>
      </c>
      <c r="E739">
        <f>IFERROR(AGGREGATE(15,6,ROW('Input Transaksi'!$B$5:$B$5000)/('Input Transaksi'!$B$5:$B$5000="JCL SIDAKARYA"),ROWS($E$5:E739)),"")</f>
        <v/>
      </c>
      <c r="F739" s="5" t="n"/>
    </row>
    <row r="740">
      <c r="A740" s="10">
        <f>IF($E740="","",INDEX('Input Transaksi'!$A:$A,$E740))</f>
        <v/>
      </c>
      <c r="B740" s="5">
        <f>IF($E740="","",INDEX('Input Transaksi'!$D:$D,$E740))</f>
        <v/>
      </c>
      <c r="C740">
        <f>IF($E740="","",INDEX('Input Transaksi'!$E:$E,$E740))</f>
        <v/>
      </c>
      <c r="D740" s="5">
        <f>IF($E740="","",INDEX('Input Transaksi'!$F:$F,$E740))</f>
        <v/>
      </c>
      <c r="E740">
        <f>IFERROR(AGGREGATE(15,6,ROW('Input Transaksi'!$B$5:$B$5000)/('Input Transaksi'!$B$5:$B$5000="JCL SIDAKARYA"),ROWS($E$5:E740)),"")</f>
        <v/>
      </c>
      <c r="F740" s="5" t="n"/>
    </row>
    <row r="741">
      <c r="A741" s="10">
        <f>IF($E741="","",INDEX('Input Transaksi'!$A:$A,$E741))</f>
        <v/>
      </c>
      <c r="B741" s="5">
        <f>IF($E741="","",INDEX('Input Transaksi'!$D:$D,$E741))</f>
        <v/>
      </c>
      <c r="C741">
        <f>IF($E741="","",INDEX('Input Transaksi'!$E:$E,$E741))</f>
        <v/>
      </c>
      <c r="D741" s="5">
        <f>IF($E741="","",INDEX('Input Transaksi'!$F:$F,$E741))</f>
        <v/>
      </c>
      <c r="E741">
        <f>IFERROR(AGGREGATE(15,6,ROW('Input Transaksi'!$B$5:$B$5000)/('Input Transaksi'!$B$5:$B$5000="JCL SIDAKARYA"),ROWS($E$5:E741)),"")</f>
        <v/>
      </c>
      <c r="F741" s="5" t="n"/>
    </row>
    <row r="742">
      <c r="A742" s="10">
        <f>IF($E742="","",INDEX('Input Transaksi'!$A:$A,$E742))</f>
        <v/>
      </c>
      <c r="B742" s="5">
        <f>IF($E742="","",INDEX('Input Transaksi'!$D:$D,$E742))</f>
        <v/>
      </c>
      <c r="C742">
        <f>IF($E742="","",INDEX('Input Transaksi'!$E:$E,$E742))</f>
        <v/>
      </c>
      <c r="D742" s="5">
        <f>IF($E742="","",INDEX('Input Transaksi'!$F:$F,$E742))</f>
        <v/>
      </c>
      <c r="E742">
        <f>IFERROR(AGGREGATE(15,6,ROW('Input Transaksi'!$B$5:$B$5000)/('Input Transaksi'!$B$5:$B$5000="JCL SIDAKARYA"),ROWS($E$5:E742)),"")</f>
        <v/>
      </c>
      <c r="F742" s="5" t="n"/>
    </row>
    <row r="743">
      <c r="A743" s="10">
        <f>IF($E743="","",INDEX('Input Transaksi'!$A:$A,$E743))</f>
        <v/>
      </c>
      <c r="B743" s="5">
        <f>IF($E743="","",INDEX('Input Transaksi'!$D:$D,$E743))</f>
        <v/>
      </c>
      <c r="C743">
        <f>IF($E743="","",INDEX('Input Transaksi'!$E:$E,$E743))</f>
        <v/>
      </c>
      <c r="D743" s="5">
        <f>IF($E743="","",INDEX('Input Transaksi'!$F:$F,$E743))</f>
        <v/>
      </c>
      <c r="E743">
        <f>IFERROR(AGGREGATE(15,6,ROW('Input Transaksi'!$B$5:$B$5000)/('Input Transaksi'!$B$5:$B$5000="JCL SIDAKARYA"),ROWS($E$5:E743)),"")</f>
        <v/>
      </c>
      <c r="F743" s="5" t="n"/>
    </row>
    <row r="744">
      <c r="A744" s="10">
        <f>IF($E744="","",INDEX('Input Transaksi'!$A:$A,$E744))</f>
        <v/>
      </c>
      <c r="B744" s="5">
        <f>IF($E744="","",INDEX('Input Transaksi'!$D:$D,$E744))</f>
        <v/>
      </c>
      <c r="C744">
        <f>IF($E744="","",INDEX('Input Transaksi'!$E:$E,$E744))</f>
        <v/>
      </c>
      <c r="D744" s="5">
        <f>IF($E744="","",INDEX('Input Transaksi'!$F:$F,$E744))</f>
        <v/>
      </c>
      <c r="E744">
        <f>IFERROR(AGGREGATE(15,6,ROW('Input Transaksi'!$B$5:$B$5000)/('Input Transaksi'!$B$5:$B$5000="JCL SIDAKARYA"),ROWS($E$5:E744)),"")</f>
        <v/>
      </c>
      <c r="F744" s="5" t="n"/>
    </row>
    <row r="745">
      <c r="A745" s="10">
        <f>IF($E745="","",INDEX('Input Transaksi'!$A:$A,$E745))</f>
        <v/>
      </c>
      <c r="B745" s="5">
        <f>IF($E745="","",INDEX('Input Transaksi'!$D:$D,$E745))</f>
        <v/>
      </c>
      <c r="C745">
        <f>IF($E745="","",INDEX('Input Transaksi'!$E:$E,$E745))</f>
        <v/>
      </c>
      <c r="D745" s="5">
        <f>IF($E745="","",INDEX('Input Transaksi'!$F:$F,$E745))</f>
        <v/>
      </c>
      <c r="E745">
        <f>IFERROR(AGGREGATE(15,6,ROW('Input Transaksi'!$B$5:$B$5000)/('Input Transaksi'!$B$5:$B$5000="JCL SIDAKARYA"),ROWS($E$5:E745)),"")</f>
        <v/>
      </c>
      <c r="F745" s="5" t="n"/>
    </row>
    <row r="746">
      <c r="A746" s="10">
        <f>IF($E746="","",INDEX('Input Transaksi'!$A:$A,$E746))</f>
        <v/>
      </c>
      <c r="B746" s="5">
        <f>IF($E746="","",INDEX('Input Transaksi'!$D:$D,$E746))</f>
        <v/>
      </c>
      <c r="C746">
        <f>IF($E746="","",INDEX('Input Transaksi'!$E:$E,$E746))</f>
        <v/>
      </c>
      <c r="D746" s="5">
        <f>IF($E746="","",INDEX('Input Transaksi'!$F:$F,$E746))</f>
        <v/>
      </c>
      <c r="E746">
        <f>IFERROR(AGGREGATE(15,6,ROW('Input Transaksi'!$B$5:$B$5000)/('Input Transaksi'!$B$5:$B$5000="JCL SIDAKARYA"),ROWS($E$5:E746)),"")</f>
        <v/>
      </c>
      <c r="F746" s="5" t="n"/>
    </row>
    <row r="747">
      <c r="A747" s="10">
        <f>IF($E747="","",INDEX('Input Transaksi'!$A:$A,$E747))</f>
        <v/>
      </c>
      <c r="B747" s="5">
        <f>IF($E747="","",INDEX('Input Transaksi'!$D:$D,$E747))</f>
        <v/>
      </c>
      <c r="C747">
        <f>IF($E747="","",INDEX('Input Transaksi'!$E:$E,$E747))</f>
        <v/>
      </c>
      <c r="D747" s="5">
        <f>IF($E747="","",INDEX('Input Transaksi'!$F:$F,$E747))</f>
        <v/>
      </c>
      <c r="E747">
        <f>IFERROR(AGGREGATE(15,6,ROW('Input Transaksi'!$B$5:$B$5000)/('Input Transaksi'!$B$5:$B$5000="JCL SIDAKARYA"),ROWS($E$5:E747)),"")</f>
        <v/>
      </c>
      <c r="F747" s="5" t="n"/>
    </row>
    <row r="748">
      <c r="A748" s="10">
        <f>IF($E748="","",INDEX('Input Transaksi'!$A:$A,$E748))</f>
        <v/>
      </c>
      <c r="B748" s="5">
        <f>IF($E748="","",INDEX('Input Transaksi'!$D:$D,$E748))</f>
        <v/>
      </c>
      <c r="C748">
        <f>IF($E748="","",INDEX('Input Transaksi'!$E:$E,$E748))</f>
        <v/>
      </c>
      <c r="D748" s="5">
        <f>IF($E748="","",INDEX('Input Transaksi'!$F:$F,$E748))</f>
        <v/>
      </c>
      <c r="E748">
        <f>IFERROR(AGGREGATE(15,6,ROW('Input Transaksi'!$B$5:$B$5000)/('Input Transaksi'!$B$5:$B$5000="JCL SIDAKARYA"),ROWS($E$5:E748)),"")</f>
        <v/>
      </c>
      <c r="F748" s="5" t="n"/>
    </row>
    <row r="749">
      <c r="A749" s="10">
        <f>IF($E749="","",INDEX('Input Transaksi'!$A:$A,$E749))</f>
        <v/>
      </c>
      <c r="B749" s="5">
        <f>IF($E749="","",INDEX('Input Transaksi'!$D:$D,$E749))</f>
        <v/>
      </c>
      <c r="C749">
        <f>IF($E749="","",INDEX('Input Transaksi'!$E:$E,$E749))</f>
        <v/>
      </c>
      <c r="D749" s="5">
        <f>IF($E749="","",INDEX('Input Transaksi'!$F:$F,$E749))</f>
        <v/>
      </c>
      <c r="E749">
        <f>IFERROR(AGGREGATE(15,6,ROW('Input Transaksi'!$B$5:$B$5000)/('Input Transaksi'!$B$5:$B$5000="JCL SIDAKARYA"),ROWS($E$5:E749)),"")</f>
        <v/>
      </c>
      <c r="F749" s="5" t="n"/>
    </row>
    <row r="750">
      <c r="A750" s="10">
        <f>IF($E750="","",INDEX('Input Transaksi'!$A:$A,$E750))</f>
        <v/>
      </c>
      <c r="B750" s="5">
        <f>IF($E750="","",INDEX('Input Transaksi'!$D:$D,$E750))</f>
        <v/>
      </c>
      <c r="C750">
        <f>IF($E750="","",INDEX('Input Transaksi'!$E:$E,$E750))</f>
        <v/>
      </c>
      <c r="D750" s="5">
        <f>IF($E750="","",INDEX('Input Transaksi'!$F:$F,$E750))</f>
        <v/>
      </c>
      <c r="E750">
        <f>IFERROR(AGGREGATE(15,6,ROW('Input Transaksi'!$B$5:$B$5000)/('Input Transaksi'!$B$5:$B$5000="JCL SIDAKARYA"),ROWS($E$5:E750)),"")</f>
        <v/>
      </c>
      <c r="F750" s="5" t="n"/>
    </row>
    <row r="751">
      <c r="A751" s="10">
        <f>IF($E751="","",INDEX('Input Transaksi'!$A:$A,$E751))</f>
        <v/>
      </c>
      <c r="B751" s="5">
        <f>IF($E751="","",INDEX('Input Transaksi'!$D:$D,$E751))</f>
        <v/>
      </c>
      <c r="C751">
        <f>IF($E751="","",INDEX('Input Transaksi'!$E:$E,$E751))</f>
        <v/>
      </c>
      <c r="D751" s="5">
        <f>IF($E751="","",INDEX('Input Transaksi'!$F:$F,$E751))</f>
        <v/>
      </c>
      <c r="E751">
        <f>IFERROR(AGGREGATE(15,6,ROW('Input Transaksi'!$B$5:$B$5000)/('Input Transaksi'!$B$5:$B$5000="JCL SIDAKARYA"),ROWS($E$5:E751)),"")</f>
        <v/>
      </c>
      <c r="F751" s="5" t="n"/>
    </row>
    <row r="752">
      <c r="A752" s="10">
        <f>IF($E752="","",INDEX('Input Transaksi'!$A:$A,$E752))</f>
        <v/>
      </c>
      <c r="B752" s="5">
        <f>IF($E752="","",INDEX('Input Transaksi'!$D:$D,$E752))</f>
        <v/>
      </c>
      <c r="C752">
        <f>IF($E752="","",INDEX('Input Transaksi'!$E:$E,$E752))</f>
        <v/>
      </c>
      <c r="D752" s="5">
        <f>IF($E752="","",INDEX('Input Transaksi'!$F:$F,$E752))</f>
        <v/>
      </c>
      <c r="E752">
        <f>IFERROR(AGGREGATE(15,6,ROW('Input Transaksi'!$B$5:$B$5000)/('Input Transaksi'!$B$5:$B$5000="JCL SIDAKARYA"),ROWS($E$5:E752)),"")</f>
        <v/>
      </c>
      <c r="F752" s="5" t="n"/>
    </row>
    <row r="753">
      <c r="A753" s="10">
        <f>IF($E753="","",INDEX('Input Transaksi'!$A:$A,$E753))</f>
        <v/>
      </c>
      <c r="B753" s="5">
        <f>IF($E753="","",INDEX('Input Transaksi'!$D:$D,$E753))</f>
        <v/>
      </c>
      <c r="C753">
        <f>IF($E753="","",INDEX('Input Transaksi'!$E:$E,$E753))</f>
        <v/>
      </c>
      <c r="D753" s="5">
        <f>IF($E753="","",INDEX('Input Transaksi'!$F:$F,$E753))</f>
        <v/>
      </c>
      <c r="E753">
        <f>IFERROR(AGGREGATE(15,6,ROW('Input Transaksi'!$B$5:$B$5000)/('Input Transaksi'!$B$5:$B$5000="JCL SIDAKARYA"),ROWS($E$5:E753)),"")</f>
        <v/>
      </c>
      <c r="F753" s="5" t="n"/>
    </row>
    <row r="754">
      <c r="A754" s="10">
        <f>IF($E754="","",INDEX('Input Transaksi'!$A:$A,$E754))</f>
        <v/>
      </c>
      <c r="B754" s="5">
        <f>IF($E754="","",INDEX('Input Transaksi'!$D:$D,$E754))</f>
        <v/>
      </c>
      <c r="C754">
        <f>IF($E754="","",INDEX('Input Transaksi'!$E:$E,$E754))</f>
        <v/>
      </c>
      <c r="D754" s="5">
        <f>IF($E754="","",INDEX('Input Transaksi'!$F:$F,$E754))</f>
        <v/>
      </c>
      <c r="E754">
        <f>IFERROR(AGGREGATE(15,6,ROW('Input Transaksi'!$B$5:$B$5000)/('Input Transaksi'!$B$5:$B$5000="JCL SIDAKARYA"),ROWS($E$5:E754)),"")</f>
        <v/>
      </c>
      <c r="F754" s="5" t="n"/>
    </row>
    <row r="755">
      <c r="A755" s="10">
        <f>IF($E755="","",INDEX('Input Transaksi'!$A:$A,$E755))</f>
        <v/>
      </c>
      <c r="B755" s="5">
        <f>IF($E755="","",INDEX('Input Transaksi'!$D:$D,$E755))</f>
        <v/>
      </c>
      <c r="C755">
        <f>IF($E755="","",INDEX('Input Transaksi'!$E:$E,$E755))</f>
        <v/>
      </c>
      <c r="D755" s="5">
        <f>IF($E755="","",INDEX('Input Transaksi'!$F:$F,$E755))</f>
        <v/>
      </c>
      <c r="E755">
        <f>IFERROR(AGGREGATE(15,6,ROW('Input Transaksi'!$B$5:$B$5000)/('Input Transaksi'!$B$5:$B$5000="JCL SIDAKARYA"),ROWS($E$5:E755)),"")</f>
        <v/>
      </c>
      <c r="F755" s="5" t="n"/>
    </row>
    <row r="756">
      <c r="A756" s="10">
        <f>IF($E756="","",INDEX('Input Transaksi'!$A:$A,$E756))</f>
        <v/>
      </c>
      <c r="B756" s="5">
        <f>IF($E756="","",INDEX('Input Transaksi'!$D:$D,$E756))</f>
        <v/>
      </c>
      <c r="C756">
        <f>IF($E756="","",INDEX('Input Transaksi'!$E:$E,$E756))</f>
        <v/>
      </c>
      <c r="D756" s="5">
        <f>IF($E756="","",INDEX('Input Transaksi'!$F:$F,$E756))</f>
        <v/>
      </c>
      <c r="E756">
        <f>IFERROR(AGGREGATE(15,6,ROW('Input Transaksi'!$B$5:$B$5000)/('Input Transaksi'!$B$5:$B$5000="JCL SIDAKARYA"),ROWS($E$5:E756)),"")</f>
        <v/>
      </c>
      <c r="F756" s="5" t="n"/>
    </row>
    <row r="757">
      <c r="A757" s="10">
        <f>IF($E757="","",INDEX('Input Transaksi'!$A:$A,$E757))</f>
        <v/>
      </c>
      <c r="B757" s="5">
        <f>IF($E757="","",INDEX('Input Transaksi'!$D:$D,$E757))</f>
        <v/>
      </c>
      <c r="C757">
        <f>IF($E757="","",INDEX('Input Transaksi'!$E:$E,$E757))</f>
        <v/>
      </c>
      <c r="D757" s="5">
        <f>IF($E757="","",INDEX('Input Transaksi'!$F:$F,$E757))</f>
        <v/>
      </c>
      <c r="E757">
        <f>IFERROR(AGGREGATE(15,6,ROW('Input Transaksi'!$B$5:$B$5000)/('Input Transaksi'!$B$5:$B$5000="JCL SIDAKARYA"),ROWS($E$5:E757)),"")</f>
        <v/>
      </c>
      <c r="F757" s="5" t="n"/>
    </row>
    <row r="758">
      <c r="A758" s="10">
        <f>IF($E758="","",INDEX('Input Transaksi'!$A:$A,$E758))</f>
        <v/>
      </c>
      <c r="B758" s="5">
        <f>IF($E758="","",INDEX('Input Transaksi'!$D:$D,$E758))</f>
        <v/>
      </c>
      <c r="C758">
        <f>IF($E758="","",INDEX('Input Transaksi'!$E:$E,$E758))</f>
        <v/>
      </c>
      <c r="D758" s="5">
        <f>IF($E758="","",INDEX('Input Transaksi'!$F:$F,$E758))</f>
        <v/>
      </c>
      <c r="E758">
        <f>IFERROR(AGGREGATE(15,6,ROW('Input Transaksi'!$B$5:$B$5000)/('Input Transaksi'!$B$5:$B$5000="JCL SIDAKARYA"),ROWS($E$5:E758)),"")</f>
        <v/>
      </c>
      <c r="F758" s="5" t="n"/>
    </row>
    <row r="759">
      <c r="A759" s="10">
        <f>IF($E759="","",INDEX('Input Transaksi'!$A:$A,$E759))</f>
        <v/>
      </c>
      <c r="B759" s="5">
        <f>IF($E759="","",INDEX('Input Transaksi'!$D:$D,$E759))</f>
        <v/>
      </c>
      <c r="C759">
        <f>IF($E759="","",INDEX('Input Transaksi'!$E:$E,$E759))</f>
        <v/>
      </c>
      <c r="D759" s="5">
        <f>IF($E759="","",INDEX('Input Transaksi'!$F:$F,$E759))</f>
        <v/>
      </c>
      <c r="E759">
        <f>IFERROR(AGGREGATE(15,6,ROW('Input Transaksi'!$B$5:$B$5000)/('Input Transaksi'!$B$5:$B$5000="JCL SIDAKARYA"),ROWS($E$5:E759)),"")</f>
        <v/>
      </c>
      <c r="F759" s="5" t="n"/>
    </row>
    <row r="760">
      <c r="A760" s="10">
        <f>IF($E760="","",INDEX('Input Transaksi'!$A:$A,$E760))</f>
        <v/>
      </c>
      <c r="B760" s="5">
        <f>IF($E760="","",INDEX('Input Transaksi'!$D:$D,$E760))</f>
        <v/>
      </c>
      <c r="C760">
        <f>IF($E760="","",INDEX('Input Transaksi'!$E:$E,$E760))</f>
        <v/>
      </c>
      <c r="D760" s="5">
        <f>IF($E760="","",INDEX('Input Transaksi'!$F:$F,$E760))</f>
        <v/>
      </c>
      <c r="E760">
        <f>IFERROR(AGGREGATE(15,6,ROW('Input Transaksi'!$B$5:$B$5000)/('Input Transaksi'!$B$5:$B$5000="JCL SIDAKARYA"),ROWS($E$5:E760)),"")</f>
        <v/>
      </c>
      <c r="F760" s="5" t="n"/>
    </row>
    <row r="761">
      <c r="A761" s="10">
        <f>IF($E761="","",INDEX('Input Transaksi'!$A:$A,$E761))</f>
        <v/>
      </c>
      <c r="B761" s="5">
        <f>IF($E761="","",INDEX('Input Transaksi'!$D:$D,$E761))</f>
        <v/>
      </c>
      <c r="C761">
        <f>IF($E761="","",INDEX('Input Transaksi'!$E:$E,$E761))</f>
        <v/>
      </c>
      <c r="D761" s="5">
        <f>IF($E761="","",INDEX('Input Transaksi'!$F:$F,$E761))</f>
        <v/>
      </c>
      <c r="E761">
        <f>IFERROR(AGGREGATE(15,6,ROW('Input Transaksi'!$B$5:$B$5000)/('Input Transaksi'!$B$5:$B$5000="JCL SIDAKARYA"),ROWS($E$5:E761)),"")</f>
        <v/>
      </c>
      <c r="F761" s="5" t="n"/>
    </row>
    <row r="762">
      <c r="A762" s="10">
        <f>IF($E762="","",INDEX('Input Transaksi'!$A:$A,$E762))</f>
        <v/>
      </c>
      <c r="B762" s="5">
        <f>IF($E762="","",INDEX('Input Transaksi'!$D:$D,$E762))</f>
        <v/>
      </c>
      <c r="C762">
        <f>IF($E762="","",INDEX('Input Transaksi'!$E:$E,$E762))</f>
        <v/>
      </c>
      <c r="D762" s="5">
        <f>IF($E762="","",INDEX('Input Transaksi'!$F:$F,$E762))</f>
        <v/>
      </c>
      <c r="E762">
        <f>IFERROR(AGGREGATE(15,6,ROW('Input Transaksi'!$B$5:$B$5000)/('Input Transaksi'!$B$5:$B$5000="JCL SIDAKARYA"),ROWS($E$5:E762)),"")</f>
        <v/>
      </c>
      <c r="F762" s="5" t="n"/>
    </row>
    <row r="763">
      <c r="A763" s="10">
        <f>IF($E763="","",INDEX('Input Transaksi'!$A:$A,$E763))</f>
        <v/>
      </c>
      <c r="B763" s="5">
        <f>IF($E763="","",INDEX('Input Transaksi'!$D:$D,$E763))</f>
        <v/>
      </c>
      <c r="C763">
        <f>IF($E763="","",INDEX('Input Transaksi'!$E:$E,$E763))</f>
        <v/>
      </c>
      <c r="D763" s="5">
        <f>IF($E763="","",INDEX('Input Transaksi'!$F:$F,$E763))</f>
        <v/>
      </c>
      <c r="E763">
        <f>IFERROR(AGGREGATE(15,6,ROW('Input Transaksi'!$B$5:$B$5000)/('Input Transaksi'!$B$5:$B$5000="JCL SIDAKARYA"),ROWS($E$5:E763)),"")</f>
        <v/>
      </c>
      <c r="F763" s="5" t="n"/>
    </row>
    <row r="764">
      <c r="A764" s="10">
        <f>IF($E764="","",INDEX('Input Transaksi'!$A:$A,$E764))</f>
        <v/>
      </c>
      <c r="B764" s="5">
        <f>IF($E764="","",INDEX('Input Transaksi'!$D:$D,$E764))</f>
        <v/>
      </c>
      <c r="C764">
        <f>IF($E764="","",INDEX('Input Transaksi'!$E:$E,$E764))</f>
        <v/>
      </c>
      <c r="D764" s="5">
        <f>IF($E764="","",INDEX('Input Transaksi'!$F:$F,$E764))</f>
        <v/>
      </c>
      <c r="E764">
        <f>IFERROR(AGGREGATE(15,6,ROW('Input Transaksi'!$B$5:$B$5000)/('Input Transaksi'!$B$5:$B$5000="JCL SIDAKARYA"),ROWS($E$5:E764)),"")</f>
        <v/>
      </c>
      <c r="F764" s="5" t="n"/>
    </row>
    <row r="765">
      <c r="A765" s="10">
        <f>IF($E765="","",INDEX('Input Transaksi'!$A:$A,$E765))</f>
        <v/>
      </c>
      <c r="B765" s="5">
        <f>IF($E765="","",INDEX('Input Transaksi'!$D:$D,$E765))</f>
        <v/>
      </c>
      <c r="C765">
        <f>IF($E765="","",INDEX('Input Transaksi'!$E:$E,$E765))</f>
        <v/>
      </c>
      <c r="D765" s="5">
        <f>IF($E765="","",INDEX('Input Transaksi'!$F:$F,$E765))</f>
        <v/>
      </c>
      <c r="E765">
        <f>IFERROR(AGGREGATE(15,6,ROW('Input Transaksi'!$B$5:$B$5000)/('Input Transaksi'!$B$5:$B$5000="JCL SIDAKARYA"),ROWS($E$5:E765)),"")</f>
        <v/>
      </c>
      <c r="F765" s="5" t="n"/>
    </row>
    <row r="766">
      <c r="A766" s="10">
        <f>IF($E766="","",INDEX('Input Transaksi'!$A:$A,$E766))</f>
        <v/>
      </c>
      <c r="B766" s="5">
        <f>IF($E766="","",INDEX('Input Transaksi'!$D:$D,$E766))</f>
        <v/>
      </c>
      <c r="C766">
        <f>IF($E766="","",INDEX('Input Transaksi'!$E:$E,$E766))</f>
        <v/>
      </c>
      <c r="D766" s="5">
        <f>IF($E766="","",INDEX('Input Transaksi'!$F:$F,$E766))</f>
        <v/>
      </c>
      <c r="E766">
        <f>IFERROR(AGGREGATE(15,6,ROW('Input Transaksi'!$B$5:$B$5000)/('Input Transaksi'!$B$5:$B$5000="JCL SIDAKARYA"),ROWS($E$5:E766)),"")</f>
        <v/>
      </c>
      <c r="F766" s="5" t="n"/>
    </row>
    <row r="767">
      <c r="A767" s="10">
        <f>IF($E767="","",INDEX('Input Transaksi'!$A:$A,$E767))</f>
        <v/>
      </c>
      <c r="B767" s="5">
        <f>IF($E767="","",INDEX('Input Transaksi'!$D:$D,$E767))</f>
        <v/>
      </c>
      <c r="C767">
        <f>IF($E767="","",INDEX('Input Transaksi'!$E:$E,$E767))</f>
        <v/>
      </c>
      <c r="D767" s="5">
        <f>IF($E767="","",INDEX('Input Transaksi'!$F:$F,$E767))</f>
        <v/>
      </c>
      <c r="E767">
        <f>IFERROR(AGGREGATE(15,6,ROW('Input Transaksi'!$B$5:$B$5000)/('Input Transaksi'!$B$5:$B$5000="JCL SIDAKARYA"),ROWS($E$5:E767)),"")</f>
        <v/>
      </c>
      <c r="F767" s="5" t="n"/>
    </row>
    <row r="768">
      <c r="A768" s="10">
        <f>IF($E768="","",INDEX('Input Transaksi'!$A:$A,$E768))</f>
        <v/>
      </c>
      <c r="B768" s="5">
        <f>IF($E768="","",INDEX('Input Transaksi'!$D:$D,$E768))</f>
        <v/>
      </c>
      <c r="C768">
        <f>IF($E768="","",INDEX('Input Transaksi'!$E:$E,$E768))</f>
        <v/>
      </c>
      <c r="D768" s="5">
        <f>IF($E768="","",INDEX('Input Transaksi'!$F:$F,$E768))</f>
        <v/>
      </c>
      <c r="E768">
        <f>IFERROR(AGGREGATE(15,6,ROW('Input Transaksi'!$B$5:$B$5000)/('Input Transaksi'!$B$5:$B$5000="JCL SIDAKARYA"),ROWS($E$5:E768)),"")</f>
        <v/>
      </c>
      <c r="F768" s="5" t="n"/>
    </row>
    <row r="769">
      <c r="A769" s="10">
        <f>IF($E769="","",INDEX('Input Transaksi'!$A:$A,$E769))</f>
        <v/>
      </c>
      <c r="B769" s="5">
        <f>IF($E769="","",INDEX('Input Transaksi'!$D:$D,$E769))</f>
        <v/>
      </c>
      <c r="C769">
        <f>IF($E769="","",INDEX('Input Transaksi'!$E:$E,$E769))</f>
        <v/>
      </c>
      <c r="D769" s="5">
        <f>IF($E769="","",INDEX('Input Transaksi'!$F:$F,$E769))</f>
        <v/>
      </c>
      <c r="E769">
        <f>IFERROR(AGGREGATE(15,6,ROW('Input Transaksi'!$B$5:$B$5000)/('Input Transaksi'!$B$5:$B$5000="JCL SIDAKARYA"),ROWS($E$5:E769)),"")</f>
        <v/>
      </c>
      <c r="F769" s="5" t="n"/>
    </row>
    <row r="770">
      <c r="A770" s="10">
        <f>IF($E770="","",INDEX('Input Transaksi'!$A:$A,$E770))</f>
        <v/>
      </c>
      <c r="B770" s="5">
        <f>IF($E770="","",INDEX('Input Transaksi'!$D:$D,$E770))</f>
        <v/>
      </c>
      <c r="C770">
        <f>IF($E770="","",INDEX('Input Transaksi'!$E:$E,$E770))</f>
        <v/>
      </c>
      <c r="D770" s="5">
        <f>IF($E770="","",INDEX('Input Transaksi'!$F:$F,$E770))</f>
        <v/>
      </c>
      <c r="E770">
        <f>IFERROR(AGGREGATE(15,6,ROW('Input Transaksi'!$B$5:$B$5000)/('Input Transaksi'!$B$5:$B$5000="JCL SIDAKARYA"),ROWS($E$5:E770)),"")</f>
        <v/>
      </c>
      <c r="F770" s="5" t="n"/>
    </row>
    <row r="771">
      <c r="A771" s="10">
        <f>IF($E771="","",INDEX('Input Transaksi'!$A:$A,$E771))</f>
        <v/>
      </c>
      <c r="B771" s="5">
        <f>IF($E771="","",INDEX('Input Transaksi'!$D:$D,$E771))</f>
        <v/>
      </c>
      <c r="C771">
        <f>IF($E771="","",INDEX('Input Transaksi'!$E:$E,$E771))</f>
        <v/>
      </c>
      <c r="D771" s="5">
        <f>IF($E771="","",INDEX('Input Transaksi'!$F:$F,$E771))</f>
        <v/>
      </c>
      <c r="E771">
        <f>IFERROR(AGGREGATE(15,6,ROW('Input Transaksi'!$B$5:$B$5000)/('Input Transaksi'!$B$5:$B$5000="JCL SIDAKARYA"),ROWS($E$5:E771)),"")</f>
        <v/>
      </c>
      <c r="F771" s="5" t="n"/>
    </row>
    <row r="772">
      <c r="A772" s="10">
        <f>IF($E772="","",INDEX('Input Transaksi'!$A:$A,$E772))</f>
        <v/>
      </c>
      <c r="B772" s="5">
        <f>IF($E772="","",INDEX('Input Transaksi'!$D:$D,$E772))</f>
        <v/>
      </c>
      <c r="C772">
        <f>IF($E772="","",INDEX('Input Transaksi'!$E:$E,$E772))</f>
        <v/>
      </c>
      <c r="D772" s="5">
        <f>IF($E772="","",INDEX('Input Transaksi'!$F:$F,$E772))</f>
        <v/>
      </c>
      <c r="E772">
        <f>IFERROR(AGGREGATE(15,6,ROW('Input Transaksi'!$B$5:$B$5000)/('Input Transaksi'!$B$5:$B$5000="JCL SIDAKARYA"),ROWS($E$5:E772)),"")</f>
        <v/>
      </c>
      <c r="F772" s="5" t="n"/>
    </row>
    <row r="773">
      <c r="A773" s="10">
        <f>IF($E773="","",INDEX('Input Transaksi'!$A:$A,$E773))</f>
        <v/>
      </c>
      <c r="B773" s="5">
        <f>IF($E773="","",INDEX('Input Transaksi'!$D:$D,$E773))</f>
        <v/>
      </c>
      <c r="C773">
        <f>IF($E773="","",INDEX('Input Transaksi'!$E:$E,$E773))</f>
        <v/>
      </c>
      <c r="D773" s="5">
        <f>IF($E773="","",INDEX('Input Transaksi'!$F:$F,$E773))</f>
        <v/>
      </c>
      <c r="E773">
        <f>IFERROR(AGGREGATE(15,6,ROW('Input Transaksi'!$B$5:$B$5000)/('Input Transaksi'!$B$5:$B$5000="JCL SIDAKARYA"),ROWS($E$5:E773)),"")</f>
        <v/>
      </c>
      <c r="F773" s="5" t="n"/>
    </row>
    <row r="774">
      <c r="A774" s="10">
        <f>IF($E774="","",INDEX('Input Transaksi'!$A:$A,$E774))</f>
        <v/>
      </c>
      <c r="B774" s="5">
        <f>IF($E774="","",INDEX('Input Transaksi'!$D:$D,$E774))</f>
        <v/>
      </c>
      <c r="C774">
        <f>IF($E774="","",INDEX('Input Transaksi'!$E:$E,$E774))</f>
        <v/>
      </c>
      <c r="D774" s="5">
        <f>IF($E774="","",INDEX('Input Transaksi'!$F:$F,$E774))</f>
        <v/>
      </c>
      <c r="E774">
        <f>IFERROR(AGGREGATE(15,6,ROW('Input Transaksi'!$B$5:$B$5000)/('Input Transaksi'!$B$5:$B$5000="JCL SIDAKARYA"),ROWS($E$5:E774)),"")</f>
        <v/>
      </c>
      <c r="F774" s="5" t="n"/>
    </row>
    <row r="775">
      <c r="A775" s="10">
        <f>IF($E775="","",INDEX('Input Transaksi'!$A:$A,$E775))</f>
        <v/>
      </c>
      <c r="B775" s="5">
        <f>IF($E775="","",INDEX('Input Transaksi'!$D:$D,$E775))</f>
        <v/>
      </c>
      <c r="C775">
        <f>IF($E775="","",INDEX('Input Transaksi'!$E:$E,$E775))</f>
        <v/>
      </c>
      <c r="D775" s="5">
        <f>IF($E775="","",INDEX('Input Transaksi'!$F:$F,$E775))</f>
        <v/>
      </c>
      <c r="E775">
        <f>IFERROR(AGGREGATE(15,6,ROW('Input Transaksi'!$B$5:$B$5000)/('Input Transaksi'!$B$5:$B$5000="JCL SIDAKARYA"),ROWS($E$5:E775)),"")</f>
        <v/>
      </c>
      <c r="F775" s="5" t="n"/>
    </row>
    <row r="776">
      <c r="A776" s="10">
        <f>IF($E776="","",INDEX('Input Transaksi'!$A:$A,$E776))</f>
        <v/>
      </c>
      <c r="B776" s="5">
        <f>IF($E776="","",INDEX('Input Transaksi'!$D:$D,$E776))</f>
        <v/>
      </c>
      <c r="C776">
        <f>IF($E776="","",INDEX('Input Transaksi'!$E:$E,$E776))</f>
        <v/>
      </c>
      <c r="D776" s="5">
        <f>IF($E776="","",INDEX('Input Transaksi'!$F:$F,$E776))</f>
        <v/>
      </c>
      <c r="E776">
        <f>IFERROR(AGGREGATE(15,6,ROW('Input Transaksi'!$B$5:$B$5000)/('Input Transaksi'!$B$5:$B$5000="JCL SIDAKARYA"),ROWS($E$5:E776)),"")</f>
        <v/>
      </c>
      <c r="F776" s="5" t="n"/>
    </row>
    <row r="777">
      <c r="A777" s="10">
        <f>IF($E777="","",INDEX('Input Transaksi'!$A:$A,$E777))</f>
        <v/>
      </c>
      <c r="B777" s="5">
        <f>IF($E777="","",INDEX('Input Transaksi'!$D:$D,$E777))</f>
        <v/>
      </c>
      <c r="C777">
        <f>IF($E777="","",INDEX('Input Transaksi'!$E:$E,$E777))</f>
        <v/>
      </c>
      <c r="D777" s="5">
        <f>IF($E777="","",INDEX('Input Transaksi'!$F:$F,$E777))</f>
        <v/>
      </c>
      <c r="E777">
        <f>IFERROR(AGGREGATE(15,6,ROW('Input Transaksi'!$B$5:$B$5000)/('Input Transaksi'!$B$5:$B$5000="JCL SIDAKARYA"),ROWS($E$5:E777)),"")</f>
        <v/>
      </c>
      <c r="F777" s="5" t="n"/>
    </row>
    <row r="778">
      <c r="A778" s="10">
        <f>IF($E778="","",INDEX('Input Transaksi'!$A:$A,$E778))</f>
        <v/>
      </c>
      <c r="B778" s="5">
        <f>IF($E778="","",INDEX('Input Transaksi'!$D:$D,$E778))</f>
        <v/>
      </c>
      <c r="C778">
        <f>IF($E778="","",INDEX('Input Transaksi'!$E:$E,$E778))</f>
        <v/>
      </c>
      <c r="D778" s="5">
        <f>IF($E778="","",INDEX('Input Transaksi'!$F:$F,$E778))</f>
        <v/>
      </c>
      <c r="E778">
        <f>IFERROR(AGGREGATE(15,6,ROW('Input Transaksi'!$B$5:$B$5000)/('Input Transaksi'!$B$5:$B$5000="JCL SIDAKARYA"),ROWS($E$5:E778)),"")</f>
        <v/>
      </c>
      <c r="F778" s="5" t="n"/>
    </row>
    <row r="779">
      <c r="A779" s="10">
        <f>IF($E779="","",INDEX('Input Transaksi'!$A:$A,$E779))</f>
        <v/>
      </c>
      <c r="B779" s="5">
        <f>IF($E779="","",INDEX('Input Transaksi'!$D:$D,$E779))</f>
        <v/>
      </c>
      <c r="C779">
        <f>IF($E779="","",INDEX('Input Transaksi'!$E:$E,$E779))</f>
        <v/>
      </c>
      <c r="D779" s="5">
        <f>IF($E779="","",INDEX('Input Transaksi'!$F:$F,$E779))</f>
        <v/>
      </c>
      <c r="E779">
        <f>IFERROR(AGGREGATE(15,6,ROW('Input Transaksi'!$B$5:$B$5000)/('Input Transaksi'!$B$5:$B$5000="JCL SIDAKARYA"),ROWS($E$5:E779)),"")</f>
        <v/>
      </c>
      <c r="F779" s="5" t="n"/>
    </row>
    <row r="780">
      <c r="A780" s="10">
        <f>IF($E780="","",INDEX('Input Transaksi'!$A:$A,$E780))</f>
        <v/>
      </c>
      <c r="B780" s="5">
        <f>IF($E780="","",INDEX('Input Transaksi'!$D:$D,$E780))</f>
        <v/>
      </c>
      <c r="C780">
        <f>IF($E780="","",INDEX('Input Transaksi'!$E:$E,$E780))</f>
        <v/>
      </c>
      <c r="D780" s="5">
        <f>IF($E780="","",INDEX('Input Transaksi'!$F:$F,$E780))</f>
        <v/>
      </c>
      <c r="E780">
        <f>IFERROR(AGGREGATE(15,6,ROW('Input Transaksi'!$B$5:$B$5000)/('Input Transaksi'!$B$5:$B$5000="JCL SIDAKARYA"),ROWS($E$5:E780)),"")</f>
        <v/>
      </c>
      <c r="F780" s="5" t="n"/>
    </row>
    <row r="781">
      <c r="A781" s="10">
        <f>IF($E781="","",INDEX('Input Transaksi'!$A:$A,$E781))</f>
        <v/>
      </c>
      <c r="B781" s="5">
        <f>IF($E781="","",INDEX('Input Transaksi'!$D:$D,$E781))</f>
        <v/>
      </c>
      <c r="C781">
        <f>IF($E781="","",INDEX('Input Transaksi'!$E:$E,$E781))</f>
        <v/>
      </c>
      <c r="D781" s="5">
        <f>IF($E781="","",INDEX('Input Transaksi'!$F:$F,$E781))</f>
        <v/>
      </c>
      <c r="E781">
        <f>IFERROR(AGGREGATE(15,6,ROW('Input Transaksi'!$B$5:$B$5000)/('Input Transaksi'!$B$5:$B$5000="JCL SIDAKARYA"),ROWS($E$5:E781)),"")</f>
        <v/>
      </c>
      <c r="F781" s="5" t="n"/>
    </row>
    <row r="782">
      <c r="A782" s="10">
        <f>IF($E782="","",INDEX('Input Transaksi'!$A:$A,$E782))</f>
        <v/>
      </c>
      <c r="B782" s="5">
        <f>IF($E782="","",INDEX('Input Transaksi'!$D:$D,$E782))</f>
        <v/>
      </c>
      <c r="C782">
        <f>IF($E782="","",INDEX('Input Transaksi'!$E:$E,$E782))</f>
        <v/>
      </c>
      <c r="D782" s="5">
        <f>IF($E782="","",INDEX('Input Transaksi'!$F:$F,$E782))</f>
        <v/>
      </c>
      <c r="E782">
        <f>IFERROR(AGGREGATE(15,6,ROW('Input Transaksi'!$B$5:$B$5000)/('Input Transaksi'!$B$5:$B$5000="JCL SIDAKARYA"),ROWS($E$5:E782)),"")</f>
        <v/>
      </c>
      <c r="F782" s="5" t="n"/>
    </row>
    <row r="783">
      <c r="A783" s="10">
        <f>IF($E783="","",INDEX('Input Transaksi'!$A:$A,$E783))</f>
        <v/>
      </c>
      <c r="B783" s="5">
        <f>IF($E783="","",INDEX('Input Transaksi'!$D:$D,$E783))</f>
        <v/>
      </c>
      <c r="C783">
        <f>IF($E783="","",INDEX('Input Transaksi'!$E:$E,$E783))</f>
        <v/>
      </c>
      <c r="D783" s="5">
        <f>IF($E783="","",INDEX('Input Transaksi'!$F:$F,$E783))</f>
        <v/>
      </c>
      <c r="E783">
        <f>IFERROR(AGGREGATE(15,6,ROW('Input Transaksi'!$B$5:$B$5000)/('Input Transaksi'!$B$5:$B$5000="JCL SIDAKARYA"),ROWS($E$5:E783)),"")</f>
        <v/>
      </c>
      <c r="F783" s="5" t="n"/>
    </row>
    <row r="784">
      <c r="A784" s="10">
        <f>IF($E784="","",INDEX('Input Transaksi'!$A:$A,$E784))</f>
        <v/>
      </c>
      <c r="B784" s="5">
        <f>IF($E784="","",INDEX('Input Transaksi'!$D:$D,$E784))</f>
        <v/>
      </c>
      <c r="C784">
        <f>IF($E784="","",INDEX('Input Transaksi'!$E:$E,$E784))</f>
        <v/>
      </c>
      <c r="D784" s="5">
        <f>IF($E784="","",INDEX('Input Transaksi'!$F:$F,$E784))</f>
        <v/>
      </c>
      <c r="E784">
        <f>IFERROR(AGGREGATE(15,6,ROW('Input Transaksi'!$B$5:$B$5000)/('Input Transaksi'!$B$5:$B$5000="JCL SIDAKARYA"),ROWS($E$5:E784)),"")</f>
        <v/>
      </c>
      <c r="F784" s="5" t="n"/>
    </row>
    <row r="785">
      <c r="A785" s="10">
        <f>IF($E785="","",INDEX('Input Transaksi'!$A:$A,$E785))</f>
        <v/>
      </c>
      <c r="B785" s="5">
        <f>IF($E785="","",INDEX('Input Transaksi'!$D:$D,$E785))</f>
        <v/>
      </c>
      <c r="C785">
        <f>IF($E785="","",INDEX('Input Transaksi'!$E:$E,$E785))</f>
        <v/>
      </c>
      <c r="D785" s="5">
        <f>IF($E785="","",INDEX('Input Transaksi'!$F:$F,$E785))</f>
        <v/>
      </c>
      <c r="E785">
        <f>IFERROR(AGGREGATE(15,6,ROW('Input Transaksi'!$B$5:$B$5000)/('Input Transaksi'!$B$5:$B$5000="JCL SIDAKARYA"),ROWS($E$5:E785)),"")</f>
        <v/>
      </c>
      <c r="F785" s="5" t="n"/>
    </row>
    <row r="786">
      <c r="A786" s="10">
        <f>IF($E786="","",INDEX('Input Transaksi'!$A:$A,$E786))</f>
        <v/>
      </c>
      <c r="B786" s="5">
        <f>IF($E786="","",INDEX('Input Transaksi'!$D:$D,$E786))</f>
        <v/>
      </c>
      <c r="C786">
        <f>IF($E786="","",INDEX('Input Transaksi'!$E:$E,$E786))</f>
        <v/>
      </c>
      <c r="D786" s="5">
        <f>IF($E786="","",INDEX('Input Transaksi'!$F:$F,$E786))</f>
        <v/>
      </c>
      <c r="E786">
        <f>IFERROR(AGGREGATE(15,6,ROW('Input Transaksi'!$B$5:$B$5000)/('Input Transaksi'!$B$5:$B$5000="JCL SIDAKARYA"),ROWS($E$5:E786)),"")</f>
        <v/>
      </c>
      <c r="F786" s="5" t="n"/>
    </row>
    <row r="787">
      <c r="A787" s="10">
        <f>IF($E787="","",INDEX('Input Transaksi'!$A:$A,$E787))</f>
        <v/>
      </c>
      <c r="B787" s="5">
        <f>IF($E787="","",INDEX('Input Transaksi'!$D:$D,$E787))</f>
        <v/>
      </c>
      <c r="C787">
        <f>IF($E787="","",INDEX('Input Transaksi'!$E:$E,$E787))</f>
        <v/>
      </c>
      <c r="D787" s="5">
        <f>IF($E787="","",INDEX('Input Transaksi'!$F:$F,$E787))</f>
        <v/>
      </c>
      <c r="E787">
        <f>IFERROR(AGGREGATE(15,6,ROW('Input Transaksi'!$B$5:$B$5000)/('Input Transaksi'!$B$5:$B$5000="JCL SIDAKARYA"),ROWS($E$5:E787)),"")</f>
        <v/>
      </c>
      <c r="F787" s="5" t="n"/>
    </row>
    <row r="788">
      <c r="A788" s="10">
        <f>IF($E788="","",INDEX('Input Transaksi'!$A:$A,$E788))</f>
        <v/>
      </c>
      <c r="B788" s="5">
        <f>IF($E788="","",INDEX('Input Transaksi'!$D:$D,$E788))</f>
        <v/>
      </c>
      <c r="C788">
        <f>IF($E788="","",INDEX('Input Transaksi'!$E:$E,$E788))</f>
        <v/>
      </c>
      <c r="D788" s="5">
        <f>IF($E788="","",INDEX('Input Transaksi'!$F:$F,$E788))</f>
        <v/>
      </c>
      <c r="E788">
        <f>IFERROR(AGGREGATE(15,6,ROW('Input Transaksi'!$B$5:$B$5000)/('Input Transaksi'!$B$5:$B$5000="JCL SIDAKARYA"),ROWS($E$5:E788)),"")</f>
        <v/>
      </c>
      <c r="F788" s="5" t="n"/>
    </row>
    <row r="789">
      <c r="A789" s="10">
        <f>IF($E789="","",INDEX('Input Transaksi'!$A:$A,$E789))</f>
        <v/>
      </c>
      <c r="B789" s="5">
        <f>IF($E789="","",INDEX('Input Transaksi'!$D:$D,$E789))</f>
        <v/>
      </c>
      <c r="C789">
        <f>IF($E789="","",INDEX('Input Transaksi'!$E:$E,$E789))</f>
        <v/>
      </c>
      <c r="D789" s="5">
        <f>IF($E789="","",INDEX('Input Transaksi'!$F:$F,$E789))</f>
        <v/>
      </c>
      <c r="E789">
        <f>IFERROR(AGGREGATE(15,6,ROW('Input Transaksi'!$B$5:$B$5000)/('Input Transaksi'!$B$5:$B$5000="JCL SIDAKARYA"),ROWS($E$5:E789)),"")</f>
        <v/>
      </c>
      <c r="F789" s="5" t="n"/>
    </row>
    <row r="790">
      <c r="A790" s="10">
        <f>IF($E790="","",INDEX('Input Transaksi'!$A:$A,$E790))</f>
        <v/>
      </c>
      <c r="B790" s="5">
        <f>IF($E790="","",INDEX('Input Transaksi'!$D:$D,$E790))</f>
        <v/>
      </c>
      <c r="C790">
        <f>IF($E790="","",INDEX('Input Transaksi'!$E:$E,$E790))</f>
        <v/>
      </c>
      <c r="D790" s="5">
        <f>IF($E790="","",INDEX('Input Transaksi'!$F:$F,$E790))</f>
        <v/>
      </c>
      <c r="E790">
        <f>IFERROR(AGGREGATE(15,6,ROW('Input Transaksi'!$B$5:$B$5000)/('Input Transaksi'!$B$5:$B$5000="JCL SIDAKARYA"),ROWS($E$5:E790)),"")</f>
        <v/>
      </c>
      <c r="F790" s="5" t="n"/>
    </row>
    <row r="791">
      <c r="A791" s="10">
        <f>IF($E791="","",INDEX('Input Transaksi'!$A:$A,$E791))</f>
        <v/>
      </c>
      <c r="B791" s="5">
        <f>IF($E791="","",INDEX('Input Transaksi'!$D:$D,$E791))</f>
        <v/>
      </c>
      <c r="C791">
        <f>IF($E791="","",INDEX('Input Transaksi'!$E:$E,$E791))</f>
        <v/>
      </c>
      <c r="D791" s="5">
        <f>IF($E791="","",INDEX('Input Transaksi'!$F:$F,$E791))</f>
        <v/>
      </c>
      <c r="E791">
        <f>IFERROR(AGGREGATE(15,6,ROW('Input Transaksi'!$B$5:$B$5000)/('Input Transaksi'!$B$5:$B$5000="JCL SIDAKARYA"),ROWS($E$5:E791)),"")</f>
        <v/>
      </c>
      <c r="F791" s="5" t="n"/>
    </row>
    <row r="792">
      <c r="A792" s="10">
        <f>IF($E792="","",INDEX('Input Transaksi'!$A:$A,$E792))</f>
        <v/>
      </c>
      <c r="B792" s="5">
        <f>IF($E792="","",INDEX('Input Transaksi'!$D:$D,$E792))</f>
        <v/>
      </c>
      <c r="C792">
        <f>IF($E792="","",INDEX('Input Transaksi'!$E:$E,$E792))</f>
        <v/>
      </c>
      <c r="D792" s="5">
        <f>IF($E792="","",INDEX('Input Transaksi'!$F:$F,$E792))</f>
        <v/>
      </c>
      <c r="E792">
        <f>IFERROR(AGGREGATE(15,6,ROW('Input Transaksi'!$B$5:$B$5000)/('Input Transaksi'!$B$5:$B$5000="JCL SIDAKARYA"),ROWS($E$5:E792)),"")</f>
        <v/>
      </c>
      <c r="F792" s="5" t="n"/>
    </row>
    <row r="793">
      <c r="A793" s="10">
        <f>IF($E793="","",INDEX('Input Transaksi'!$A:$A,$E793))</f>
        <v/>
      </c>
      <c r="B793" s="5">
        <f>IF($E793="","",INDEX('Input Transaksi'!$D:$D,$E793))</f>
        <v/>
      </c>
      <c r="C793">
        <f>IF($E793="","",INDEX('Input Transaksi'!$E:$E,$E793))</f>
        <v/>
      </c>
      <c r="D793" s="5">
        <f>IF($E793="","",INDEX('Input Transaksi'!$F:$F,$E793))</f>
        <v/>
      </c>
      <c r="E793">
        <f>IFERROR(AGGREGATE(15,6,ROW('Input Transaksi'!$B$5:$B$5000)/('Input Transaksi'!$B$5:$B$5000="JCL SIDAKARYA"),ROWS($E$5:E793)),"")</f>
        <v/>
      </c>
      <c r="F793" s="5" t="n"/>
    </row>
    <row r="794">
      <c r="A794" s="10">
        <f>IF($E794="","",INDEX('Input Transaksi'!$A:$A,$E794))</f>
        <v/>
      </c>
      <c r="B794" s="5">
        <f>IF($E794="","",INDEX('Input Transaksi'!$D:$D,$E794))</f>
        <v/>
      </c>
      <c r="C794">
        <f>IF($E794="","",INDEX('Input Transaksi'!$E:$E,$E794))</f>
        <v/>
      </c>
      <c r="D794" s="5">
        <f>IF($E794="","",INDEX('Input Transaksi'!$F:$F,$E794))</f>
        <v/>
      </c>
      <c r="E794">
        <f>IFERROR(AGGREGATE(15,6,ROW('Input Transaksi'!$B$5:$B$5000)/('Input Transaksi'!$B$5:$B$5000="JCL SIDAKARYA"),ROWS($E$5:E794)),"")</f>
        <v/>
      </c>
      <c r="F794" s="5" t="n"/>
    </row>
    <row r="795">
      <c r="A795" s="10">
        <f>IF($E795="","",INDEX('Input Transaksi'!$A:$A,$E795))</f>
        <v/>
      </c>
      <c r="B795" s="5">
        <f>IF($E795="","",INDEX('Input Transaksi'!$D:$D,$E795))</f>
        <v/>
      </c>
      <c r="C795">
        <f>IF($E795="","",INDEX('Input Transaksi'!$E:$E,$E795))</f>
        <v/>
      </c>
      <c r="D795" s="5">
        <f>IF($E795="","",INDEX('Input Transaksi'!$F:$F,$E795))</f>
        <v/>
      </c>
      <c r="E795">
        <f>IFERROR(AGGREGATE(15,6,ROW('Input Transaksi'!$B$5:$B$5000)/('Input Transaksi'!$B$5:$B$5000="JCL SIDAKARYA"),ROWS($E$5:E795)),"")</f>
        <v/>
      </c>
      <c r="F795" s="5" t="n"/>
    </row>
    <row r="796">
      <c r="A796" s="10">
        <f>IF($E796="","",INDEX('Input Transaksi'!$A:$A,$E796))</f>
        <v/>
      </c>
      <c r="B796" s="5">
        <f>IF($E796="","",INDEX('Input Transaksi'!$D:$D,$E796))</f>
        <v/>
      </c>
      <c r="C796">
        <f>IF($E796="","",INDEX('Input Transaksi'!$E:$E,$E796))</f>
        <v/>
      </c>
      <c r="D796" s="5">
        <f>IF($E796="","",INDEX('Input Transaksi'!$F:$F,$E796))</f>
        <v/>
      </c>
      <c r="E796">
        <f>IFERROR(AGGREGATE(15,6,ROW('Input Transaksi'!$B$5:$B$5000)/('Input Transaksi'!$B$5:$B$5000="JCL SIDAKARYA"),ROWS($E$5:E796)),"")</f>
        <v/>
      </c>
      <c r="F796" s="5" t="n"/>
    </row>
    <row r="797">
      <c r="A797" s="10">
        <f>IF($E797="","",INDEX('Input Transaksi'!$A:$A,$E797))</f>
        <v/>
      </c>
      <c r="B797" s="5">
        <f>IF($E797="","",INDEX('Input Transaksi'!$D:$D,$E797))</f>
        <v/>
      </c>
      <c r="C797">
        <f>IF($E797="","",INDEX('Input Transaksi'!$E:$E,$E797))</f>
        <v/>
      </c>
      <c r="D797" s="5">
        <f>IF($E797="","",INDEX('Input Transaksi'!$F:$F,$E797))</f>
        <v/>
      </c>
      <c r="E797">
        <f>IFERROR(AGGREGATE(15,6,ROW('Input Transaksi'!$B$5:$B$5000)/('Input Transaksi'!$B$5:$B$5000="JCL SIDAKARYA"),ROWS($E$5:E797)),"")</f>
        <v/>
      </c>
      <c r="F797" s="5" t="n"/>
    </row>
    <row r="798">
      <c r="A798" s="10">
        <f>IF($E798="","",INDEX('Input Transaksi'!$A:$A,$E798))</f>
        <v/>
      </c>
      <c r="B798" s="5">
        <f>IF($E798="","",INDEX('Input Transaksi'!$D:$D,$E798))</f>
        <v/>
      </c>
      <c r="C798">
        <f>IF($E798="","",INDEX('Input Transaksi'!$E:$E,$E798))</f>
        <v/>
      </c>
      <c r="D798" s="5">
        <f>IF($E798="","",INDEX('Input Transaksi'!$F:$F,$E798))</f>
        <v/>
      </c>
      <c r="E798">
        <f>IFERROR(AGGREGATE(15,6,ROW('Input Transaksi'!$B$5:$B$5000)/('Input Transaksi'!$B$5:$B$5000="JCL SIDAKARYA"),ROWS($E$5:E798)),"")</f>
        <v/>
      </c>
      <c r="F798" s="5" t="n"/>
    </row>
    <row r="799">
      <c r="A799" s="10">
        <f>IF($E799="","",INDEX('Input Transaksi'!$A:$A,$E799))</f>
        <v/>
      </c>
      <c r="B799" s="5">
        <f>IF($E799="","",INDEX('Input Transaksi'!$D:$D,$E799))</f>
        <v/>
      </c>
      <c r="C799">
        <f>IF($E799="","",INDEX('Input Transaksi'!$E:$E,$E799))</f>
        <v/>
      </c>
      <c r="D799" s="5">
        <f>IF($E799="","",INDEX('Input Transaksi'!$F:$F,$E799))</f>
        <v/>
      </c>
      <c r="E799">
        <f>IFERROR(AGGREGATE(15,6,ROW('Input Transaksi'!$B$5:$B$5000)/('Input Transaksi'!$B$5:$B$5000="JCL SIDAKARYA"),ROWS($E$5:E799)),"")</f>
        <v/>
      </c>
      <c r="F799" s="5" t="n"/>
    </row>
    <row r="800">
      <c r="A800" s="10">
        <f>IF($E800="","",INDEX('Input Transaksi'!$A:$A,$E800))</f>
        <v/>
      </c>
      <c r="B800" s="5">
        <f>IF($E800="","",INDEX('Input Transaksi'!$D:$D,$E800))</f>
        <v/>
      </c>
      <c r="C800">
        <f>IF($E800="","",INDEX('Input Transaksi'!$E:$E,$E800))</f>
        <v/>
      </c>
      <c r="D800" s="5">
        <f>IF($E800="","",INDEX('Input Transaksi'!$F:$F,$E800))</f>
        <v/>
      </c>
      <c r="E800">
        <f>IFERROR(AGGREGATE(15,6,ROW('Input Transaksi'!$B$5:$B$5000)/('Input Transaksi'!$B$5:$B$5000="JCL SIDAKARYA"),ROWS($E$5:E800)),"")</f>
        <v/>
      </c>
      <c r="F800" s="5" t="n"/>
    </row>
    <row r="801">
      <c r="A801" s="10">
        <f>IF($E801="","",INDEX('Input Transaksi'!$A:$A,$E801))</f>
        <v/>
      </c>
      <c r="B801" s="5">
        <f>IF($E801="","",INDEX('Input Transaksi'!$D:$D,$E801))</f>
        <v/>
      </c>
      <c r="C801">
        <f>IF($E801="","",INDEX('Input Transaksi'!$E:$E,$E801))</f>
        <v/>
      </c>
      <c r="D801" s="5">
        <f>IF($E801="","",INDEX('Input Transaksi'!$F:$F,$E801))</f>
        <v/>
      </c>
      <c r="E801">
        <f>IFERROR(AGGREGATE(15,6,ROW('Input Transaksi'!$B$5:$B$5000)/('Input Transaksi'!$B$5:$B$5000="JCL SIDAKARYA"),ROWS($E$5:E801)),"")</f>
        <v/>
      </c>
      <c r="F801" s="5" t="n"/>
    </row>
    <row r="802">
      <c r="A802" s="10">
        <f>IF($E802="","",INDEX('Input Transaksi'!$A:$A,$E802))</f>
        <v/>
      </c>
      <c r="B802" s="5">
        <f>IF($E802="","",INDEX('Input Transaksi'!$D:$D,$E802))</f>
        <v/>
      </c>
      <c r="C802">
        <f>IF($E802="","",INDEX('Input Transaksi'!$E:$E,$E802))</f>
        <v/>
      </c>
      <c r="D802" s="5">
        <f>IF($E802="","",INDEX('Input Transaksi'!$F:$F,$E802))</f>
        <v/>
      </c>
      <c r="E802">
        <f>IFERROR(AGGREGATE(15,6,ROW('Input Transaksi'!$B$5:$B$5000)/('Input Transaksi'!$B$5:$B$5000="JCL SIDAKARYA"),ROWS($E$5:E802)),"")</f>
        <v/>
      </c>
      <c r="F802" s="5" t="n"/>
    </row>
    <row r="803">
      <c r="A803" s="10">
        <f>IF($E803="","",INDEX('Input Transaksi'!$A:$A,$E803))</f>
        <v/>
      </c>
      <c r="B803" s="5">
        <f>IF($E803="","",INDEX('Input Transaksi'!$D:$D,$E803))</f>
        <v/>
      </c>
      <c r="C803">
        <f>IF($E803="","",INDEX('Input Transaksi'!$E:$E,$E803))</f>
        <v/>
      </c>
      <c r="D803" s="5">
        <f>IF($E803="","",INDEX('Input Transaksi'!$F:$F,$E803))</f>
        <v/>
      </c>
      <c r="E803">
        <f>IFERROR(AGGREGATE(15,6,ROW('Input Transaksi'!$B$5:$B$5000)/('Input Transaksi'!$B$5:$B$5000="JCL SIDAKARYA"),ROWS($E$5:E803)),"")</f>
        <v/>
      </c>
      <c r="F803" s="5" t="n"/>
    </row>
    <row r="804">
      <c r="A804" s="10">
        <f>IF($E804="","",INDEX('Input Transaksi'!$A:$A,$E804))</f>
        <v/>
      </c>
      <c r="B804" s="5">
        <f>IF($E804="","",INDEX('Input Transaksi'!$D:$D,$E804))</f>
        <v/>
      </c>
      <c r="C804">
        <f>IF($E804="","",INDEX('Input Transaksi'!$E:$E,$E804))</f>
        <v/>
      </c>
      <c r="D804" s="5">
        <f>IF($E804="","",INDEX('Input Transaksi'!$F:$F,$E804))</f>
        <v/>
      </c>
      <c r="E804">
        <f>IFERROR(AGGREGATE(15,6,ROW('Input Transaksi'!$B$5:$B$5000)/('Input Transaksi'!$B$5:$B$5000="JCL SIDAKARYA"),ROWS($E$5:E804)),"")</f>
        <v/>
      </c>
      <c r="F804" s="5" t="n"/>
    </row>
    <row r="805">
      <c r="A805" s="10">
        <f>IF($E805="","",INDEX('Input Transaksi'!$A:$A,$E805))</f>
        <v/>
      </c>
      <c r="B805" s="5">
        <f>IF($E805="","",INDEX('Input Transaksi'!$D:$D,$E805))</f>
        <v/>
      </c>
      <c r="C805">
        <f>IF($E805="","",INDEX('Input Transaksi'!$E:$E,$E805))</f>
        <v/>
      </c>
      <c r="D805" s="5">
        <f>IF($E805="","",INDEX('Input Transaksi'!$F:$F,$E805))</f>
        <v/>
      </c>
      <c r="E805">
        <f>IFERROR(AGGREGATE(15,6,ROW('Input Transaksi'!$B$5:$B$5000)/('Input Transaksi'!$B$5:$B$5000="JCL SIDAKARYA"),ROWS($E$5:E805)),"")</f>
        <v/>
      </c>
      <c r="F805" s="5" t="n"/>
    </row>
    <row r="806">
      <c r="A806" s="10">
        <f>IF($E806="","",INDEX('Input Transaksi'!$A:$A,$E806))</f>
        <v/>
      </c>
      <c r="B806" s="5">
        <f>IF($E806="","",INDEX('Input Transaksi'!$D:$D,$E806))</f>
        <v/>
      </c>
      <c r="C806">
        <f>IF($E806="","",INDEX('Input Transaksi'!$E:$E,$E806))</f>
        <v/>
      </c>
      <c r="D806" s="5">
        <f>IF($E806="","",INDEX('Input Transaksi'!$F:$F,$E806))</f>
        <v/>
      </c>
      <c r="E806">
        <f>IFERROR(AGGREGATE(15,6,ROW('Input Transaksi'!$B$5:$B$5000)/('Input Transaksi'!$B$5:$B$5000="JCL SIDAKARYA"),ROWS($E$5:E806)),"")</f>
        <v/>
      </c>
      <c r="F806" s="5" t="n"/>
    </row>
    <row r="807">
      <c r="A807" s="10">
        <f>IF($E807="","",INDEX('Input Transaksi'!$A:$A,$E807))</f>
        <v/>
      </c>
      <c r="B807" s="5">
        <f>IF($E807="","",INDEX('Input Transaksi'!$D:$D,$E807))</f>
        <v/>
      </c>
      <c r="C807">
        <f>IF($E807="","",INDEX('Input Transaksi'!$E:$E,$E807))</f>
        <v/>
      </c>
      <c r="D807" s="5">
        <f>IF($E807="","",INDEX('Input Transaksi'!$F:$F,$E807))</f>
        <v/>
      </c>
      <c r="E807">
        <f>IFERROR(AGGREGATE(15,6,ROW('Input Transaksi'!$B$5:$B$5000)/('Input Transaksi'!$B$5:$B$5000="JCL SIDAKARYA"),ROWS($E$5:E807)),"")</f>
        <v/>
      </c>
      <c r="F807" s="5" t="n"/>
    </row>
    <row r="808">
      <c r="A808" s="10">
        <f>IF($E808="","",INDEX('Input Transaksi'!$A:$A,$E808))</f>
        <v/>
      </c>
      <c r="B808" s="5">
        <f>IF($E808="","",INDEX('Input Transaksi'!$D:$D,$E808))</f>
        <v/>
      </c>
      <c r="C808">
        <f>IF($E808="","",INDEX('Input Transaksi'!$E:$E,$E808))</f>
        <v/>
      </c>
      <c r="D808" s="5">
        <f>IF($E808="","",INDEX('Input Transaksi'!$F:$F,$E808))</f>
        <v/>
      </c>
      <c r="E808">
        <f>IFERROR(AGGREGATE(15,6,ROW('Input Transaksi'!$B$5:$B$5000)/('Input Transaksi'!$B$5:$B$5000="JCL SIDAKARYA"),ROWS($E$5:E808)),"")</f>
        <v/>
      </c>
      <c r="F808" s="5" t="n"/>
    </row>
    <row r="809">
      <c r="A809" s="10">
        <f>IF($E809="","",INDEX('Input Transaksi'!$A:$A,$E809))</f>
        <v/>
      </c>
      <c r="B809" s="5">
        <f>IF($E809="","",INDEX('Input Transaksi'!$D:$D,$E809))</f>
        <v/>
      </c>
      <c r="C809">
        <f>IF($E809="","",INDEX('Input Transaksi'!$E:$E,$E809))</f>
        <v/>
      </c>
      <c r="D809" s="5">
        <f>IF($E809="","",INDEX('Input Transaksi'!$F:$F,$E809))</f>
        <v/>
      </c>
      <c r="E809">
        <f>IFERROR(AGGREGATE(15,6,ROW('Input Transaksi'!$B$5:$B$5000)/('Input Transaksi'!$B$5:$B$5000="JCL SIDAKARYA"),ROWS($E$5:E809)),"")</f>
        <v/>
      </c>
      <c r="F809" s="5" t="n"/>
    </row>
    <row r="810">
      <c r="A810" s="10">
        <f>IF($E810="","",INDEX('Input Transaksi'!$A:$A,$E810))</f>
        <v/>
      </c>
      <c r="B810" s="5">
        <f>IF($E810="","",INDEX('Input Transaksi'!$D:$D,$E810))</f>
        <v/>
      </c>
      <c r="C810">
        <f>IF($E810="","",INDEX('Input Transaksi'!$E:$E,$E810))</f>
        <v/>
      </c>
      <c r="D810" s="5">
        <f>IF($E810="","",INDEX('Input Transaksi'!$F:$F,$E810))</f>
        <v/>
      </c>
      <c r="E810">
        <f>IFERROR(AGGREGATE(15,6,ROW('Input Transaksi'!$B$5:$B$5000)/('Input Transaksi'!$B$5:$B$5000="JCL SIDAKARYA"),ROWS($E$5:E810)),"")</f>
        <v/>
      </c>
      <c r="F810" s="5" t="n"/>
    </row>
    <row r="811">
      <c r="A811" s="10">
        <f>IF($E811="","",INDEX('Input Transaksi'!$A:$A,$E811))</f>
        <v/>
      </c>
      <c r="B811" s="5">
        <f>IF($E811="","",INDEX('Input Transaksi'!$D:$D,$E811))</f>
        <v/>
      </c>
      <c r="C811">
        <f>IF($E811="","",INDEX('Input Transaksi'!$E:$E,$E811))</f>
        <v/>
      </c>
      <c r="D811" s="5">
        <f>IF($E811="","",INDEX('Input Transaksi'!$F:$F,$E811))</f>
        <v/>
      </c>
      <c r="E811">
        <f>IFERROR(AGGREGATE(15,6,ROW('Input Transaksi'!$B$5:$B$5000)/('Input Transaksi'!$B$5:$B$5000="JCL SIDAKARYA"),ROWS($E$5:E811)),"")</f>
        <v/>
      </c>
      <c r="F811" s="5" t="n"/>
    </row>
    <row r="812">
      <c r="A812" s="10">
        <f>IF($E812="","",INDEX('Input Transaksi'!$A:$A,$E812))</f>
        <v/>
      </c>
      <c r="B812" s="5">
        <f>IF($E812="","",INDEX('Input Transaksi'!$D:$D,$E812))</f>
        <v/>
      </c>
      <c r="C812">
        <f>IF($E812="","",INDEX('Input Transaksi'!$E:$E,$E812))</f>
        <v/>
      </c>
      <c r="D812" s="5">
        <f>IF($E812="","",INDEX('Input Transaksi'!$F:$F,$E812))</f>
        <v/>
      </c>
      <c r="E812">
        <f>IFERROR(AGGREGATE(15,6,ROW('Input Transaksi'!$B$5:$B$5000)/('Input Transaksi'!$B$5:$B$5000="JCL SIDAKARYA"),ROWS($E$5:E812)),"")</f>
        <v/>
      </c>
      <c r="F812" s="5" t="n"/>
    </row>
    <row r="813">
      <c r="A813" s="10">
        <f>IF($E813="","",INDEX('Input Transaksi'!$A:$A,$E813))</f>
        <v/>
      </c>
      <c r="B813" s="5">
        <f>IF($E813="","",INDEX('Input Transaksi'!$D:$D,$E813))</f>
        <v/>
      </c>
      <c r="C813">
        <f>IF($E813="","",INDEX('Input Transaksi'!$E:$E,$E813))</f>
        <v/>
      </c>
      <c r="D813" s="5">
        <f>IF($E813="","",INDEX('Input Transaksi'!$F:$F,$E813))</f>
        <v/>
      </c>
      <c r="E813">
        <f>IFERROR(AGGREGATE(15,6,ROW('Input Transaksi'!$B$5:$B$5000)/('Input Transaksi'!$B$5:$B$5000="JCL SIDAKARYA"),ROWS($E$5:E813)),"")</f>
        <v/>
      </c>
      <c r="F813" s="5" t="n"/>
    </row>
    <row r="814">
      <c r="A814" s="10">
        <f>IF($E814="","",INDEX('Input Transaksi'!$A:$A,$E814))</f>
        <v/>
      </c>
      <c r="B814" s="5">
        <f>IF($E814="","",INDEX('Input Transaksi'!$D:$D,$E814))</f>
        <v/>
      </c>
      <c r="C814">
        <f>IF($E814="","",INDEX('Input Transaksi'!$E:$E,$E814))</f>
        <v/>
      </c>
      <c r="D814" s="5">
        <f>IF($E814="","",INDEX('Input Transaksi'!$F:$F,$E814))</f>
        <v/>
      </c>
      <c r="E814">
        <f>IFERROR(AGGREGATE(15,6,ROW('Input Transaksi'!$B$5:$B$5000)/('Input Transaksi'!$B$5:$B$5000="JCL SIDAKARYA"),ROWS($E$5:E814)),"")</f>
        <v/>
      </c>
      <c r="F814" s="5" t="n"/>
    </row>
    <row r="815">
      <c r="A815" s="10">
        <f>IF($E815="","",INDEX('Input Transaksi'!$A:$A,$E815))</f>
        <v/>
      </c>
      <c r="B815" s="5">
        <f>IF($E815="","",INDEX('Input Transaksi'!$D:$D,$E815))</f>
        <v/>
      </c>
      <c r="C815">
        <f>IF($E815="","",INDEX('Input Transaksi'!$E:$E,$E815))</f>
        <v/>
      </c>
      <c r="D815" s="5">
        <f>IF($E815="","",INDEX('Input Transaksi'!$F:$F,$E815))</f>
        <v/>
      </c>
      <c r="E815">
        <f>IFERROR(AGGREGATE(15,6,ROW('Input Transaksi'!$B$5:$B$5000)/('Input Transaksi'!$B$5:$B$5000="JCL SIDAKARYA"),ROWS($E$5:E815)),"")</f>
        <v/>
      </c>
      <c r="F815" s="5" t="n"/>
    </row>
    <row r="816">
      <c r="A816" s="10">
        <f>IF($E816="","",INDEX('Input Transaksi'!$A:$A,$E816))</f>
        <v/>
      </c>
      <c r="B816" s="5">
        <f>IF($E816="","",INDEX('Input Transaksi'!$D:$D,$E816))</f>
        <v/>
      </c>
      <c r="C816">
        <f>IF($E816="","",INDEX('Input Transaksi'!$E:$E,$E816))</f>
        <v/>
      </c>
      <c r="D816" s="5">
        <f>IF($E816="","",INDEX('Input Transaksi'!$F:$F,$E816))</f>
        <v/>
      </c>
      <c r="E816">
        <f>IFERROR(AGGREGATE(15,6,ROW('Input Transaksi'!$B$5:$B$5000)/('Input Transaksi'!$B$5:$B$5000="JCL SIDAKARYA"),ROWS($E$5:E816)),"")</f>
        <v/>
      </c>
      <c r="F816" s="5" t="n"/>
    </row>
    <row r="817">
      <c r="A817" s="10">
        <f>IF($E817="","",INDEX('Input Transaksi'!$A:$A,$E817))</f>
        <v/>
      </c>
      <c r="B817" s="5">
        <f>IF($E817="","",INDEX('Input Transaksi'!$D:$D,$E817))</f>
        <v/>
      </c>
      <c r="C817">
        <f>IF($E817="","",INDEX('Input Transaksi'!$E:$E,$E817))</f>
        <v/>
      </c>
      <c r="D817" s="5">
        <f>IF($E817="","",INDEX('Input Transaksi'!$F:$F,$E817))</f>
        <v/>
      </c>
      <c r="E817">
        <f>IFERROR(AGGREGATE(15,6,ROW('Input Transaksi'!$B$5:$B$5000)/('Input Transaksi'!$B$5:$B$5000="JCL SIDAKARYA"),ROWS($E$5:E817)),"")</f>
        <v/>
      </c>
      <c r="F817" s="5" t="n"/>
    </row>
    <row r="818">
      <c r="A818" s="10">
        <f>IF($E818="","",INDEX('Input Transaksi'!$A:$A,$E818))</f>
        <v/>
      </c>
      <c r="B818" s="5">
        <f>IF($E818="","",INDEX('Input Transaksi'!$D:$D,$E818))</f>
        <v/>
      </c>
      <c r="C818">
        <f>IF($E818="","",INDEX('Input Transaksi'!$E:$E,$E818))</f>
        <v/>
      </c>
      <c r="D818" s="5">
        <f>IF($E818="","",INDEX('Input Transaksi'!$F:$F,$E818))</f>
        <v/>
      </c>
      <c r="E818">
        <f>IFERROR(AGGREGATE(15,6,ROW('Input Transaksi'!$B$5:$B$5000)/('Input Transaksi'!$B$5:$B$5000="JCL SIDAKARYA"),ROWS($E$5:E818)),"")</f>
        <v/>
      </c>
      <c r="F818" s="5" t="n"/>
    </row>
    <row r="819">
      <c r="A819" s="10">
        <f>IF($E819="","",INDEX('Input Transaksi'!$A:$A,$E819))</f>
        <v/>
      </c>
      <c r="B819" s="5">
        <f>IF($E819="","",INDEX('Input Transaksi'!$D:$D,$E819))</f>
        <v/>
      </c>
      <c r="C819">
        <f>IF($E819="","",INDEX('Input Transaksi'!$E:$E,$E819))</f>
        <v/>
      </c>
      <c r="D819" s="5">
        <f>IF($E819="","",INDEX('Input Transaksi'!$F:$F,$E819))</f>
        <v/>
      </c>
      <c r="E819">
        <f>IFERROR(AGGREGATE(15,6,ROW('Input Transaksi'!$B$5:$B$5000)/('Input Transaksi'!$B$5:$B$5000="JCL SIDAKARYA"),ROWS($E$5:E819)),"")</f>
        <v/>
      </c>
      <c r="F819" s="5" t="n"/>
    </row>
    <row r="820">
      <c r="A820" s="10">
        <f>IF($E820="","",INDEX('Input Transaksi'!$A:$A,$E820))</f>
        <v/>
      </c>
      <c r="B820" s="5">
        <f>IF($E820="","",INDEX('Input Transaksi'!$D:$D,$E820))</f>
        <v/>
      </c>
      <c r="C820">
        <f>IF($E820="","",INDEX('Input Transaksi'!$E:$E,$E820))</f>
        <v/>
      </c>
      <c r="D820" s="5">
        <f>IF($E820="","",INDEX('Input Transaksi'!$F:$F,$E820))</f>
        <v/>
      </c>
      <c r="E820">
        <f>IFERROR(AGGREGATE(15,6,ROW('Input Transaksi'!$B$5:$B$5000)/('Input Transaksi'!$B$5:$B$5000="JCL SIDAKARYA"),ROWS($E$5:E820)),"")</f>
        <v/>
      </c>
      <c r="F820" s="5" t="n"/>
    </row>
    <row r="821">
      <c r="A821" s="10">
        <f>IF($E821="","",INDEX('Input Transaksi'!$A:$A,$E821))</f>
        <v/>
      </c>
      <c r="B821" s="5">
        <f>IF($E821="","",INDEX('Input Transaksi'!$D:$D,$E821))</f>
        <v/>
      </c>
      <c r="C821">
        <f>IF($E821="","",INDEX('Input Transaksi'!$E:$E,$E821))</f>
        <v/>
      </c>
      <c r="D821" s="5">
        <f>IF($E821="","",INDEX('Input Transaksi'!$F:$F,$E821))</f>
        <v/>
      </c>
      <c r="E821">
        <f>IFERROR(AGGREGATE(15,6,ROW('Input Transaksi'!$B$5:$B$5000)/('Input Transaksi'!$B$5:$B$5000="JCL SIDAKARYA"),ROWS($E$5:E821)),"")</f>
        <v/>
      </c>
      <c r="F821" s="5" t="n"/>
    </row>
    <row r="822">
      <c r="A822" s="10">
        <f>IF($E822="","",INDEX('Input Transaksi'!$A:$A,$E822))</f>
        <v/>
      </c>
      <c r="B822" s="5">
        <f>IF($E822="","",INDEX('Input Transaksi'!$D:$D,$E822))</f>
        <v/>
      </c>
      <c r="C822">
        <f>IF($E822="","",INDEX('Input Transaksi'!$E:$E,$E822))</f>
        <v/>
      </c>
      <c r="D822" s="5">
        <f>IF($E822="","",INDEX('Input Transaksi'!$F:$F,$E822))</f>
        <v/>
      </c>
      <c r="E822">
        <f>IFERROR(AGGREGATE(15,6,ROW('Input Transaksi'!$B$5:$B$5000)/('Input Transaksi'!$B$5:$B$5000="JCL SIDAKARYA"),ROWS($E$5:E822)),"")</f>
        <v/>
      </c>
      <c r="F822" s="5" t="n"/>
    </row>
    <row r="823">
      <c r="A823" s="10">
        <f>IF($E823="","",INDEX('Input Transaksi'!$A:$A,$E823))</f>
        <v/>
      </c>
      <c r="B823" s="5">
        <f>IF($E823="","",INDEX('Input Transaksi'!$D:$D,$E823))</f>
        <v/>
      </c>
      <c r="C823">
        <f>IF($E823="","",INDEX('Input Transaksi'!$E:$E,$E823))</f>
        <v/>
      </c>
      <c r="D823" s="5">
        <f>IF($E823="","",INDEX('Input Transaksi'!$F:$F,$E823))</f>
        <v/>
      </c>
      <c r="E823">
        <f>IFERROR(AGGREGATE(15,6,ROW('Input Transaksi'!$B$5:$B$5000)/('Input Transaksi'!$B$5:$B$5000="JCL SIDAKARYA"),ROWS($E$5:E823)),"")</f>
        <v/>
      </c>
      <c r="F823" s="5" t="n"/>
    </row>
    <row r="824">
      <c r="A824" s="10">
        <f>IF($E824="","",INDEX('Input Transaksi'!$A:$A,$E824))</f>
        <v/>
      </c>
      <c r="B824" s="5">
        <f>IF($E824="","",INDEX('Input Transaksi'!$D:$D,$E824))</f>
        <v/>
      </c>
      <c r="C824">
        <f>IF($E824="","",INDEX('Input Transaksi'!$E:$E,$E824))</f>
        <v/>
      </c>
      <c r="D824" s="5">
        <f>IF($E824="","",INDEX('Input Transaksi'!$F:$F,$E824))</f>
        <v/>
      </c>
      <c r="E824">
        <f>IFERROR(AGGREGATE(15,6,ROW('Input Transaksi'!$B$5:$B$5000)/('Input Transaksi'!$B$5:$B$5000="JCL SIDAKARYA"),ROWS($E$5:E824)),"")</f>
        <v/>
      </c>
      <c r="F824" s="5" t="n"/>
    </row>
    <row r="825">
      <c r="A825" s="10">
        <f>IF($E825="","",INDEX('Input Transaksi'!$A:$A,$E825))</f>
        <v/>
      </c>
      <c r="B825" s="5">
        <f>IF($E825="","",INDEX('Input Transaksi'!$D:$D,$E825))</f>
        <v/>
      </c>
      <c r="C825">
        <f>IF($E825="","",INDEX('Input Transaksi'!$E:$E,$E825))</f>
        <v/>
      </c>
      <c r="D825" s="5">
        <f>IF($E825="","",INDEX('Input Transaksi'!$F:$F,$E825))</f>
        <v/>
      </c>
      <c r="E825">
        <f>IFERROR(AGGREGATE(15,6,ROW('Input Transaksi'!$B$5:$B$5000)/('Input Transaksi'!$B$5:$B$5000="JCL SIDAKARYA"),ROWS($E$5:E825)),"")</f>
        <v/>
      </c>
      <c r="F825" s="5" t="n"/>
    </row>
    <row r="826">
      <c r="A826" s="10">
        <f>IF($E826="","",INDEX('Input Transaksi'!$A:$A,$E826))</f>
        <v/>
      </c>
      <c r="B826" s="5">
        <f>IF($E826="","",INDEX('Input Transaksi'!$D:$D,$E826))</f>
        <v/>
      </c>
      <c r="C826">
        <f>IF($E826="","",INDEX('Input Transaksi'!$E:$E,$E826))</f>
        <v/>
      </c>
      <c r="D826" s="5">
        <f>IF($E826="","",INDEX('Input Transaksi'!$F:$F,$E826))</f>
        <v/>
      </c>
      <c r="E826">
        <f>IFERROR(AGGREGATE(15,6,ROW('Input Transaksi'!$B$5:$B$5000)/('Input Transaksi'!$B$5:$B$5000="JCL SIDAKARYA"),ROWS($E$5:E826)),"")</f>
        <v/>
      </c>
      <c r="F826" s="5" t="n"/>
    </row>
    <row r="827">
      <c r="A827" s="10">
        <f>IF($E827="","",INDEX('Input Transaksi'!$A:$A,$E827))</f>
        <v/>
      </c>
      <c r="B827" s="5">
        <f>IF($E827="","",INDEX('Input Transaksi'!$D:$D,$E827))</f>
        <v/>
      </c>
      <c r="C827">
        <f>IF($E827="","",INDEX('Input Transaksi'!$E:$E,$E827))</f>
        <v/>
      </c>
      <c r="D827" s="5">
        <f>IF($E827="","",INDEX('Input Transaksi'!$F:$F,$E827))</f>
        <v/>
      </c>
      <c r="E827">
        <f>IFERROR(AGGREGATE(15,6,ROW('Input Transaksi'!$B$5:$B$5000)/('Input Transaksi'!$B$5:$B$5000="JCL SIDAKARYA"),ROWS($E$5:E827)),"")</f>
        <v/>
      </c>
      <c r="F827" s="5" t="n"/>
    </row>
    <row r="828">
      <c r="A828" s="10">
        <f>IF($E828="","",INDEX('Input Transaksi'!$A:$A,$E828))</f>
        <v/>
      </c>
      <c r="B828" s="5">
        <f>IF($E828="","",INDEX('Input Transaksi'!$D:$D,$E828))</f>
        <v/>
      </c>
      <c r="C828">
        <f>IF($E828="","",INDEX('Input Transaksi'!$E:$E,$E828))</f>
        <v/>
      </c>
      <c r="D828" s="5">
        <f>IF($E828="","",INDEX('Input Transaksi'!$F:$F,$E828))</f>
        <v/>
      </c>
      <c r="E828">
        <f>IFERROR(AGGREGATE(15,6,ROW('Input Transaksi'!$B$5:$B$5000)/('Input Transaksi'!$B$5:$B$5000="JCL SIDAKARYA"),ROWS($E$5:E828)),"")</f>
        <v/>
      </c>
      <c r="F828" s="5" t="n"/>
    </row>
    <row r="829">
      <c r="A829" s="10">
        <f>IF($E829="","",INDEX('Input Transaksi'!$A:$A,$E829))</f>
        <v/>
      </c>
      <c r="B829" s="5">
        <f>IF($E829="","",INDEX('Input Transaksi'!$D:$D,$E829))</f>
        <v/>
      </c>
      <c r="C829">
        <f>IF($E829="","",INDEX('Input Transaksi'!$E:$E,$E829))</f>
        <v/>
      </c>
      <c r="D829" s="5">
        <f>IF($E829="","",INDEX('Input Transaksi'!$F:$F,$E829))</f>
        <v/>
      </c>
      <c r="E829">
        <f>IFERROR(AGGREGATE(15,6,ROW('Input Transaksi'!$B$5:$B$5000)/('Input Transaksi'!$B$5:$B$5000="JCL SIDAKARYA"),ROWS($E$5:E829)),"")</f>
        <v/>
      </c>
      <c r="F829" s="5" t="n"/>
    </row>
    <row r="830">
      <c r="A830" s="10">
        <f>IF($E830="","",INDEX('Input Transaksi'!$A:$A,$E830))</f>
        <v/>
      </c>
      <c r="B830" s="5">
        <f>IF($E830="","",INDEX('Input Transaksi'!$D:$D,$E830))</f>
        <v/>
      </c>
      <c r="C830">
        <f>IF($E830="","",INDEX('Input Transaksi'!$E:$E,$E830))</f>
        <v/>
      </c>
      <c r="D830" s="5">
        <f>IF($E830="","",INDEX('Input Transaksi'!$F:$F,$E830))</f>
        <v/>
      </c>
      <c r="E830">
        <f>IFERROR(AGGREGATE(15,6,ROW('Input Transaksi'!$B$5:$B$5000)/('Input Transaksi'!$B$5:$B$5000="JCL SIDAKARYA"),ROWS($E$5:E830)),"")</f>
        <v/>
      </c>
      <c r="F830" s="5" t="n"/>
    </row>
    <row r="831">
      <c r="A831" s="10">
        <f>IF($E831="","",INDEX('Input Transaksi'!$A:$A,$E831))</f>
        <v/>
      </c>
      <c r="B831" s="5">
        <f>IF($E831="","",INDEX('Input Transaksi'!$D:$D,$E831))</f>
        <v/>
      </c>
      <c r="C831">
        <f>IF($E831="","",INDEX('Input Transaksi'!$E:$E,$E831))</f>
        <v/>
      </c>
      <c r="D831" s="5">
        <f>IF($E831="","",INDEX('Input Transaksi'!$F:$F,$E831))</f>
        <v/>
      </c>
      <c r="E831">
        <f>IFERROR(AGGREGATE(15,6,ROW('Input Transaksi'!$B$5:$B$5000)/('Input Transaksi'!$B$5:$B$5000="JCL SIDAKARYA"),ROWS($E$5:E831)),"")</f>
        <v/>
      </c>
      <c r="F831" s="5" t="n"/>
    </row>
    <row r="832">
      <c r="A832" s="10">
        <f>IF($E832="","",INDEX('Input Transaksi'!$A:$A,$E832))</f>
        <v/>
      </c>
      <c r="B832" s="5">
        <f>IF($E832="","",INDEX('Input Transaksi'!$D:$D,$E832))</f>
        <v/>
      </c>
      <c r="C832">
        <f>IF($E832="","",INDEX('Input Transaksi'!$E:$E,$E832))</f>
        <v/>
      </c>
      <c r="D832" s="5">
        <f>IF($E832="","",INDEX('Input Transaksi'!$F:$F,$E832))</f>
        <v/>
      </c>
      <c r="E832">
        <f>IFERROR(AGGREGATE(15,6,ROW('Input Transaksi'!$B$5:$B$5000)/('Input Transaksi'!$B$5:$B$5000="JCL SIDAKARYA"),ROWS($E$5:E832)),"")</f>
        <v/>
      </c>
      <c r="F832" s="5" t="n"/>
    </row>
    <row r="833">
      <c r="A833" s="10">
        <f>IF($E833="","",INDEX('Input Transaksi'!$A:$A,$E833))</f>
        <v/>
      </c>
      <c r="B833" s="5">
        <f>IF($E833="","",INDEX('Input Transaksi'!$D:$D,$E833))</f>
        <v/>
      </c>
      <c r="C833">
        <f>IF($E833="","",INDEX('Input Transaksi'!$E:$E,$E833))</f>
        <v/>
      </c>
      <c r="D833" s="5">
        <f>IF($E833="","",INDEX('Input Transaksi'!$F:$F,$E833))</f>
        <v/>
      </c>
      <c r="E833">
        <f>IFERROR(AGGREGATE(15,6,ROW('Input Transaksi'!$B$5:$B$5000)/('Input Transaksi'!$B$5:$B$5000="JCL SIDAKARYA"),ROWS($E$5:E833)),"")</f>
        <v/>
      </c>
      <c r="F833" s="5" t="n"/>
    </row>
    <row r="834">
      <c r="A834" s="10">
        <f>IF($E834="","",INDEX('Input Transaksi'!$A:$A,$E834))</f>
        <v/>
      </c>
      <c r="B834" s="5">
        <f>IF($E834="","",INDEX('Input Transaksi'!$D:$D,$E834))</f>
        <v/>
      </c>
      <c r="C834">
        <f>IF($E834="","",INDEX('Input Transaksi'!$E:$E,$E834))</f>
        <v/>
      </c>
      <c r="D834" s="5">
        <f>IF($E834="","",INDEX('Input Transaksi'!$F:$F,$E834))</f>
        <v/>
      </c>
      <c r="E834">
        <f>IFERROR(AGGREGATE(15,6,ROW('Input Transaksi'!$B$5:$B$5000)/('Input Transaksi'!$B$5:$B$5000="JCL SIDAKARYA"),ROWS($E$5:E834)),"")</f>
        <v/>
      </c>
      <c r="F834" s="5" t="n"/>
    </row>
    <row r="835">
      <c r="A835" s="10">
        <f>IF($E835="","",INDEX('Input Transaksi'!$A:$A,$E835))</f>
        <v/>
      </c>
      <c r="B835" s="5">
        <f>IF($E835="","",INDEX('Input Transaksi'!$D:$D,$E835))</f>
        <v/>
      </c>
      <c r="C835">
        <f>IF($E835="","",INDEX('Input Transaksi'!$E:$E,$E835))</f>
        <v/>
      </c>
      <c r="D835" s="5">
        <f>IF($E835="","",INDEX('Input Transaksi'!$F:$F,$E835))</f>
        <v/>
      </c>
      <c r="E835">
        <f>IFERROR(AGGREGATE(15,6,ROW('Input Transaksi'!$B$5:$B$5000)/('Input Transaksi'!$B$5:$B$5000="JCL SIDAKARYA"),ROWS($E$5:E835)),"")</f>
        <v/>
      </c>
      <c r="F835" s="5" t="n"/>
    </row>
    <row r="836">
      <c r="A836" s="10">
        <f>IF($E836="","",INDEX('Input Transaksi'!$A:$A,$E836))</f>
        <v/>
      </c>
      <c r="B836" s="5">
        <f>IF($E836="","",INDEX('Input Transaksi'!$D:$D,$E836))</f>
        <v/>
      </c>
      <c r="C836">
        <f>IF($E836="","",INDEX('Input Transaksi'!$E:$E,$E836))</f>
        <v/>
      </c>
      <c r="D836" s="5">
        <f>IF($E836="","",INDEX('Input Transaksi'!$F:$F,$E836))</f>
        <v/>
      </c>
      <c r="E836">
        <f>IFERROR(AGGREGATE(15,6,ROW('Input Transaksi'!$B$5:$B$5000)/('Input Transaksi'!$B$5:$B$5000="JCL SIDAKARYA"),ROWS($E$5:E836)),"")</f>
        <v/>
      </c>
      <c r="F836" s="5" t="n"/>
    </row>
    <row r="837">
      <c r="A837" s="10">
        <f>IF($E837="","",INDEX('Input Transaksi'!$A:$A,$E837))</f>
        <v/>
      </c>
      <c r="B837" s="5">
        <f>IF($E837="","",INDEX('Input Transaksi'!$D:$D,$E837))</f>
        <v/>
      </c>
      <c r="C837">
        <f>IF($E837="","",INDEX('Input Transaksi'!$E:$E,$E837))</f>
        <v/>
      </c>
      <c r="D837" s="5">
        <f>IF($E837="","",INDEX('Input Transaksi'!$F:$F,$E837))</f>
        <v/>
      </c>
      <c r="E837">
        <f>IFERROR(AGGREGATE(15,6,ROW('Input Transaksi'!$B$5:$B$5000)/('Input Transaksi'!$B$5:$B$5000="JCL SIDAKARYA"),ROWS($E$5:E837)),"")</f>
        <v/>
      </c>
      <c r="F837" s="5" t="n"/>
    </row>
    <row r="838">
      <c r="A838" s="10">
        <f>IF($E838="","",INDEX('Input Transaksi'!$A:$A,$E838))</f>
        <v/>
      </c>
      <c r="B838" s="5">
        <f>IF($E838="","",INDEX('Input Transaksi'!$D:$D,$E838))</f>
        <v/>
      </c>
      <c r="C838">
        <f>IF($E838="","",INDEX('Input Transaksi'!$E:$E,$E838))</f>
        <v/>
      </c>
      <c r="D838" s="5">
        <f>IF($E838="","",INDEX('Input Transaksi'!$F:$F,$E838))</f>
        <v/>
      </c>
      <c r="E838">
        <f>IFERROR(AGGREGATE(15,6,ROW('Input Transaksi'!$B$5:$B$5000)/('Input Transaksi'!$B$5:$B$5000="JCL SIDAKARYA"),ROWS($E$5:E838)),"")</f>
        <v/>
      </c>
      <c r="F838" s="5" t="n"/>
    </row>
    <row r="839">
      <c r="A839" s="10">
        <f>IF($E839="","",INDEX('Input Transaksi'!$A:$A,$E839))</f>
        <v/>
      </c>
      <c r="B839" s="5">
        <f>IF($E839="","",INDEX('Input Transaksi'!$D:$D,$E839))</f>
        <v/>
      </c>
      <c r="C839">
        <f>IF($E839="","",INDEX('Input Transaksi'!$E:$E,$E839))</f>
        <v/>
      </c>
      <c r="D839" s="5">
        <f>IF($E839="","",INDEX('Input Transaksi'!$F:$F,$E839))</f>
        <v/>
      </c>
      <c r="E839">
        <f>IFERROR(AGGREGATE(15,6,ROW('Input Transaksi'!$B$5:$B$5000)/('Input Transaksi'!$B$5:$B$5000="JCL SIDAKARYA"),ROWS($E$5:E839)),"")</f>
        <v/>
      </c>
      <c r="F839" s="5" t="n"/>
    </row>
    <row r="840">
      <c r="A840" s="10">
        <f>IF($E840="","",INDEX('Input Transaksi'!$A:$A,$E840))</f>
        <v/>
      </c>
      <c r="B840" s="5">
        <f>IF($E840="","",INDEX('Input Transaksi'!$D:$D,$E840))</f>
        <v/>
      </c>
      <c r="C840">
        <f>IF($E840="","",INDEX('Input Transaksi'!$E:$E,$E840))</f>
        <v/>
      </c>
      <c r="D840" s="5">
        <f>IF($E840="","",INDEX('Input Transaksi'!$F:$F,$E840))</f>
        <v/>
      </c>
      <c r="E840">
        <f>IFERROR(AGGREGATE(15,6,ROW('Input Transaksi'!$B$5:$B$5000)/('Input Transaksi'!$B$5:$B$5000="JCL SIDAKARYA"),ROWS($E$5:E840)),"")</f>
        <v/>
      </c>
      <c r="F840" s="5" t="n"/>
    </row>
    <row r="841">
      <c r="A841" s="10">
        <f>IF($E841="","",INDEX('Input Transaksi'!$A:$A,$E841))</f>
        <v/>
      </c>
      <c r="B841" s="5">
        <f>IF($E841="","",INDEX('Input Transaksi'!$D:$D,$E841))</f>
        <v/>
      </c>
      <c r="C841">
        <f>IF($E841="","",INDEX('Input Transaksi'!$E:$E,$E841))</f>
        <v/>
      </c>
      <c r="D841" s="5">
        <f>IF($E841="","",INDEX('Input Transaksi'!$F:$F,$E841))</f>
        <v/>
      </c>
      <c r="E841">
        <f>IFERROR(AGGREGATE(15,6,ROW('Input Transaksi'!$B$5:$B$5000)/('Input Transaksi'!$B$5:$B$5000="JCL SIDAKARYA"),ROWS($E$5:E841)),"")</f>
        <v/>
      </c>
      <c r="F841" s="5" t="n"/>
    </row>
    <row r="842">
      <c r="A842" s="10">
        <f>IF($E842="","",INDEX('Input Transaksi'!$A:$A,$E842))</f>
        <v/>
      </c>
      <c r="B842" s="5">
        <f>IF($E842="","",INDEX('Input Transaksi'!$D:$D,$E842))</f>
        <v/>
      </c>
      <c r="C842">
        <f>IF($E842="","",INDEX('Input Transaksi'!$E:$E,$E842))</f>
        <v/>
      </c>
      <c r="D842" s="5">
        <f>IF($E842="","",INDEX('Input Transaksi'!$F:$F,$E842))</f>
        <v/>
      </c>
      <c r="E842">
        <f>IFERROR(AGGREGATE(15,6,ROW('Input Transaksi'!$B$5:$B$5000)/('Input Transaksi'!$B$5:$B$5000="JCL SIDAKARYA"),ROWS($E$5:E842)),"")</f>
        <v/>
      </c>
      <c r="F842" s="5" t="n"/>
    </row>
    <row r="843">
      <c r="A843" s="10">
        <f>IF($E843="","",INDEX('Input Transaksi'!$A:$A,$E843))</f>
        <v/>
      </c>
      <c r="B843" s="5">
        <f>IF($E843="","",INDEX('Input Transaksi'!$D:$D,$E843))</f>
        <v/>
      </c>
      <c r="C843">
        <f>IF($E843="","",INDEX('Input Transaksi'!$E:$E,$E843))</f>
        <v/>
      </c>
      <c r="D843" s="5">
        <f>IF($E843="","",INDEX('Input Transaksi'!$F:$F,$E843))</f>
        <v/>
      </c>
      <c r="E843">
        <f>IFERROR(AGGREGATE(15,6,ROW('Input Transaksi'!$B$5:$B$5000)/('Input Transaksi'!$B$5:$B$5000="JCL SIDAKARYA"),ROWS($E$5:E843)),"")</f>
        <v/>
      </c>
      <c r="F843" s="5" t="n"/>
    </row>
    <row r="844">
      <c r="A844" s="10">
        <f>IF($E844="","",INDEX('Input Transaksi'!$A:$A,$E844))</f>
        <v/>
      </c>
      <c r="B844" s="5">
        <f>IF($E844="","",INDEX('Input Transaksi'!$D:$D,$E844))</f>
        <v/>
      </c>
      <c r="C844">
        <f>IF($E844="","",INDEX('Input Transaksi'!$E:$E,$E844))</f>
        <v/>
      </c>
      <c r="D844" s="5">
        <f>IF($E844="","",INDEX('Input Transaksi'!$F:$F,$E844))</f>
        <v/>
      </c>
      <c r="E844">
        <f>IFERROR(AGGREGATE(15,6,ROW('Input Transaksi'!$B$5:$B$5000)/('Input Transaksi'!$B$5:$B$5000="JCL SIDAKARYA"),ROWS($E$5:E844)),"")</f>
        <v/>
      </c>
      <c r="F844" s="5" t="n"/>
    </row>
    <row r="845">
      <c r="A845" s="10">
        <f>IF($E845="","",INDEX('Input Transaksi'!$A:$A,$E845))</f>
        <v/>
      </c>
      <c r="B845" s="5">
        <f>IF($E845="","",INDEX('Input Transaksi'!$D:$D,$E845))</f>
        <v/>
      </c>
      <c r="C845">
        <f>IF($E845="","",INDEX('Input Transaksi'!$E:$E,$E845))</f>
        <v/>
      </c>
      <c r="D845" s="5">
        <f>IF($E845="","",INDEX('Input Transaksi'!$F:$F,$E845))</f>
        <v/>
      </c>
      <c r="E845">
        <f>IFERROR(AGGREGATE(15,6,ROW('Input Transaksi'!$B$5:$B$5000)/('Input Transaksi'!$B$5:$B$5000="JCL SIDAKARYA"),ROWS($E$5:E845)),"")</f>
        <v/>
      </c>
      <c r="F845" s="5" t="n"/>
    </row>
    <row r="846">
      <c r="A846" s="10">
        <f>IF($E846="","",INDEX('Input Transaksi'!$A:$A,$E846))</f>
        <v/>
      </c>
      <c r="B846" s="5">
        <f>IF($E846="","",INDEX('Input Transaksi'!$D:$D,$E846))</f>
        <v/>
      </c>
      <c r="C846">
        <f>IF($E846="","",INDEX('Input Transaksi'!$E:$E,$E846))</f>
        <v/>
      </c>
      <c r="D846" s="5">
        <f>IF($E846="","",INDEX('Input Transaksi'!$F:$F,$E846))</f>
        <v/>
      </c>
      <c r="E846">
        <f>IFERROR(AGGREGATE(15,6,ROW('Input Transaksi'!$B$5:$B$5000)/('Input Transaksi'!$B$5:$B$5000="JCL SIDAKARYA"),ROWS($E$5:E846)),"")</f>
        <v/>
      </c>
      <c r="F846" s="5" t="n"/>
    </row>
    <row r="847">
      <c r="A847" s="10">
        <f>IF($E847="","",INDEX('Input Transaksi'!$A:$A,$E847))</f>
        <v/>
      </c>
      <c r="B847" s="5">
        <f>IF($E847="","",INDEX('Input Transaksi'!$D:$D,$E847))</f>
        <v/>
      </c>
      <c r="C847">
        <f>IF($E847="","",INDEX('Input Transaksi'!$E:$E,$E847))</f>
        <v/>
      </c>
      <c r="D847" s="5">
        <f>IF($E847="","",INDEX('Input Transaksi'!$F:$F,$E847))</f>
        <v/>
      </c>
      <c r="E847">
        <f>IFERROR(AGGREGATE(15,6,ROW('Input Transaksi'!$B$5:$B$5000)/('Input Transaksi'!$B$5:$B$5000="JCL SIDAKARYA"),ROWS($E$5:E847)),"")</f>
        <v/>
      </c>
      <c r="F847" s="5" t="n"/>
    </row>
    <row r="848">
      <c r="A848" s="10">
        <f>IF($E848="","",INDEX('Input Transaksi'!$A:$A,$E848))</f>
        <v/>
      </c>
      <c r="B848" s="5">
        <f>IF($E848="","",INDEX('Input Transaksi'!$D:$D,$E848))</f>
        <v/>
      </c>
      <c r="C848">
        <f>IF($E848="","",INDEX('Input Transaksi'!$E:$E,$E848))</f>
        <v/>
      </c>
      <c r="D848" s="5">
        <f>IF($E848="","",INDEX('Input Transaksi'!$F:$F,$E848))</f>
        <v/>
      </c>
      <c r="E848">
        <f>IFERROR(AGGREGATE(15,6,ROW('Input Transaksi'!$B$5:$B$5000)/('Input Transaksi'!$B$5:$B$5000="JCL SIDAKARYA"),ROWS($E$5:E848)),"")</f>
        <v/>
      </c>
      <c r="F848" s="5" t="n"/>
    </row>
    <row r="849">
      <c r="A849" s="10">
        <f>IF($E849="","",INDEX('Input Transaksi'!$A:$A,$E849))</f>
        <v/>
      </c>
      <c r="B849" s="5">
        <f>IF($E849="","",INDEX('Input Transaksi'!$D:$D,$E849))</f>
        <v/>
      </c>
      <c r="C849">
        <f>IF($E849="","",INDEX('Input Transaksi'!$E:$E,$E849))</f>
        <v/>
      </c>
      <c r="D849" s="5">
        <f>IF($E849="","",INDEX('Input Transaksi'!$F:$F,$E849))</f>
        <v/>
      </c>
      <c r="E849">
        <f>IFERROR(AGGREGATE(15,6,ROW('Input Transaksi'!$B$5:$B$5000)/('Input Transaksi'!$B$5:$B$5000="JCL SIDAKARYA"),ROWS($E$5:E849)),"")</f>
        <v/>
      </c>
      <c r="F849" s="5" t="n"/>
    </row>
    <row r="850">
      <c r="A850" s="10">
        <f>IF($E850="","",INDEX('Input Transaksi'!$A:$A,$E850))</f>
        <v/>
      </c>
      <c r="B850" s="5">
        <f>IF($E850="","",INDEX('Input Transaksi'!$D:$D,$E850))</f>
        <v/>
      </c>
      <c r="C850">
        <f>IF($E850="","",INDEX('Input Transaksi'!$E:$E,$E850))</f>
        <v/>
      </c>
      <c r="D850" s="5">
        <f>IF($E850="","",INDEX('Input Transaksi'!$F:$F,$E850))</f>
        <v/>
      </c>
      <c r="E850">
        <f>IFERROR(AGGREGATE(15,6,ROW('Input Transaksi'!$B$5:$B$5000)/('Input Transaksi'!$B$5:$B$5000="JCL SIDAKARYA"),ROWS($E$5:E850)),"")</f>
        <v/>
      </c>
      <c r="F850" s="5" t="n"/>
    </row>
    <row r="851">
      <c r="A851" s="10">
        <f>IF($E851="","",INDEX('Input Transaksi'!$A:$A,$E851))</f>
        <v/>
      </c>
      <c r="B851" s="5">
        <f>IF($E851="","",INDEX('Input Transaksi'!$D:$D,$E851))</f>
        <v/>
      </c>
      <c r="C851">
        <f>IF($E851="","",INDEX('Input Transaksi'!$E:$E,$E851))</f>
        <v/>
      </c>
      <c r="D851" s="5">
        <f>IF($E851="","",INDEX('Input Transaksi'!$F:$F,$E851))</f>
        <v/>
      </c>
      <c r="E851">
        <f>IFERROR(AGGREGATE(15,6,ROW('Input Transaksi'!$B$5:$B$5000)/('Input Transaksi'!$B$5:$B$5000="JCL SIDAKARYA"),ROWS($E$5:E851)),"")</f>
        <v/>
      </c>
      <c r="F851" s="5" t="n"/>
    </row>
    <row r="852">
      <c r="A852" s="10">
        <f>IF($E852="","",INDEX('Input Transaksi'!$A:$A,$E852))</f>
        <v/>
      </c>
      <c r="B852" s="5">
        <f>IF($E852="","",INDEX('Input Transaksi'!$D:$D,$E852))</f>
        <v/>
      </c>
      <c r="C852">
        <f>IF($E852="","",INDEX('Input Transaksi'!$E:$E,$E852))</f>
        <v/>
      </c>
      <c r="D852" s="5">
        <f>IF($E852="","",INDEX('Input Transaksi'!$F:$F,$E852))</f>
        <v/>
      </c>
      <c r="E852">
        <f>IFERROR(AGGREGATE(15,6,ROW('Input Transaksi'!$B$5:$B$5000)/('Input Transaksi'!$B$5:$B$5000="JCL SIDAKARYA"),ROWS($E$5:E852)),"")</f>
        <v/>
      </c>
      <c r="F852" s="5" t="n"/>
    </row>
    <row r="853">
      <c r="A853" s="10">
        <f>IF($E853="","",INDEX('Input Transaksi'!$A:$A,$E853))</f>
        <v/>
      </c>
      <c r="B853" s="5">
        <f>IF($E853="","",INDEX('Input Transaksi'!$D:$D,$E853))</f>
        <v/>
      </c>
      <c r="C853">
        <f>IF($E853="","",INDEX('Input Transaksi'!$E:$E,$E853))</f>
        <v/>
      </c>
      <c r="D853" s="5">
        <f>IF($E853="","",INDEX('Input Transaksi'!$F:$F,$E853))</f>
        <v/>
      </c>
      <c r="E853">
        <f>IFERROR(AGGREGATE(15,6,ROW('Input Transaksi'!$B$5:$B$5000)/('Input Transaksi'!$B$5:$B$5000="JCL SIDAKARYA"),ROWS($E$5:E853)),"")</f>
        <v/>
      </c>
      <c r="F853" s="5" t="n"/>
    </row>
    <row r="854">
      <c r="A854" s="10">
        <f>IF($E854="","",INDEX('Input Transaksi'!$A:$A,$E854))</f>
        <v/>
      </c>
      <c r="B854" s="5">
        <f>IF($E854="","",INDEX('Input Transaksi'!$D:$D,$E854))</f>
        <v/>
      </c>
      <c r="C854">
        <f>IF($E854="","",INDEX('Input Transaksi'!$E:$E,$E854))</f>
        <v/>
      </c>
      <c r="D854" s="5">
        <f>IF($E854="","",INDEX('Input Transaksi'!$F:$F,$E854))</f>
        <v/>
      </c>
      <c r="E854">
        <f>IFERROR(AGGREGATE(15,6,ROW('Input Transaksi'!$B$5:$B$5000)/('Input Transaksi'!$B$5:$B$5000="JCL SIDAKARYA"),ROWS($E$5:E854)),"")</f>
        <v/>
      </c>
      <c r="F854" s="5" t="n"/>
    </row>
    <row r="855">
      <c r="A855" s="10">
        <f>IF($E855="","",INDEX('Input Transaksi'!$A:$A,$E855))</f>
        <v/>
      </c>
      <c r="B855" s="5">
        <f>IF($E855="","",INDEX('Input Transaksi'!$D:$D,$E855))</f>
        <v/>
      </c>
      <c r="C855">
        <f>IF($E855="","",INDEX('Input Transaksi'!$E:$E,$E855))</f>
        <v/>
      </c>
      <c r="D855" s="5">
        <f>IF($E855="","",INDEX('Input Transaksi'!$F:$F,$E855))</f>
        <v/>
      </c>
      <c r="E855">
        <f>IFERROR(AGGREGATE(15,6,ROW('Input Transaksi'!$B$5:$B$5000)/('Input Transaksi'!$B$5:$B$5000="JCL SIDAKARYA"),ROWS($E$5:E855)),"")</f>
        <v/>
      </c>
      <c r="F855" s="5" t="n"/>
    </row>
    <row r="856">
      <c r="A856" s="10">
        <f>IF($E856="","",INDEX('Input Transaksi'!$A:$A,$E856))</f>
        <v/>
      </c>
      <c r="B856" s="5">
        <f>IF($E856="","",INDEX('Input Transaksi'!$D:$D,$E856))</f>
        <v/>
      </c>
      <c r="C856">
        <f>IF($E856="","",INDEX('Input Transaksi'!$E:$E,$E856))</f>
        <v/>
      </c>
      <c r="D856" s="5">
        <f>IF($E856="","",INDEX('Input Transaksi'!$F:$F,$E856))</f>
        <v/>
      </c>
      <c r="E856">
        <f>IFERROR(AGGREGATE(15,6,ROW('Input Transaksi'!$B$5:$B$5000)/('Input Transaksi'!$B$5:$B$5000="JCL SIDAKARYA"),ROWS($E$5:E856)),"")</f>
        <v/>
      </c>
      <c r="F856" s="5" t="n"/>
    </row>
    <row r="857">
      <c r="A857" s="10">
        <f>IF($E857="","",INDEX('Input Transaksi'!$A:$A,$E857))</f>
        <v/>
      </c>
      <c r="B857" s="5">
        <f>IF($E857="","",INDEX('Input Transaksi'!$D:$D,$E857))</f>
        <v/>
      </c>
      <c r="C857">
        <f>IF($E857="","",INDEX('Input Transaksi'!$E:$E,$E857))</f>
        <v/>
      </c>
      <c r="D857" s="5">
        <f>IF($E857="","",INDEX('Input Transaksi'!$F:$F,$E857))</f>
        <v/>
      </c>
      <c r="E857">
        <f>IFERROR(AGGREGATE(15,6,ROW('Input Transaksi'!$B$5:$B$5000)/('Input Transaksi'!$B$5:$B$5000="JCL SIDAKARYA"),ROWS($E$5:E857)),"")</f>
        <v/>
      </c>
      <c r="F857" s="5" t="n"/>
    </row>
    <row r="858">
      <c r="A858" s="10">
        <f>IF($E858="","",INDEX('Input Transaksi'!$A:$A,$E858))</f>
        <v/>
      </c>
      <c r="B858" s="5">
        <f>IF($E858="","",INDEX('Input Transaksi'!$D:$D,$E858))</f>
        <v/>
      </c>
      <c r="C858">
        <f>IF($E858="","",INDEX('Input Transaksi'!$E:$E,$E858))</f>
        <v/>
      </c>
      <c r="D858" s="5">
        <f>IF($E858="","",INDEX('Input Transaksi'!$F:$F,$E858))</f>
        <v/>
      </c>
      <c r="E858">
        <f>IFERROR(AGGREGATE(15,6,ROW('Input Transaksi'!$B$5:$B$5000)/('Input Transaksi'!$B$5:$B$5000="JCL SIDAKARYA"),ROWS($E$5:E858)),"")</f>
        <v/>
      </c>
      <c r="F858" s="5" t="n"/>
    </row>
    <row r="859">
      <c r="A859" s="10">
        <f>IF($E859="","",INDEX('Input Transaksi'!$A:$A,$E859))</f>
        <v/>
      </c>
      <c r="B859" s="5">
        <f>IF($E859="","",INDEX('Input Transaksi'!$D:$D,$E859))</f>
        <v/>
      </c>
      <c r="C859">
        <f>IF($E859="","",INDEX('Input Transaksi'!$E:$E,$E859))</f>
        <v/>
      </c>
      <c r="D859" s="5">
        <f>IF($E859="","",INDEX('Input Transaksi'!$F:$F,$E859))</f>
        <v/>
      </c>
      <c r="E859">
        <f>IFERROR(AGGREGATE(15,6,ROW('Input Transaksi'!$B$5:$B$5000)/('Input Transaksi'!$B$5:$B$5000="JCL SIDAKARYA"),ROWS($E$5:E859)),"")</f>
        <v/>
      </c>
      <c r="F859" s="5" t="n"/>
    </row>
    <row r="860">
      <c r="A860" s="10">
        <f>IF($E860="","",INDEX('Input Transaksi'!$A:$A,$E860))</f>
        <v/>
      </c>
      <c r="B860" s="5">
        <f>IF($E860="","",INDEX('Input Transaksi'!$D:$D,$E860))</f>
        <v/>
      </c>
      <c r="C860">
        <f>IF($E860="","",INDEX('Input Transaksi'!$E:$E,$E860))</f>
        <v/>
      </c>
      <c r="D860" s="5">
        <f>IF($E860="","",INDEX('Input Transaksi'!$F:$F,$E860))</f>
        <v/>
      </c>
      <c r="E860">
        <f>IFERROR(AGGREGATE(15,6,ROW('Input Transaksi'!$B$5:$B$5000)/('Input Transaksi'!$B$5:$B$5000="JCL SIDAKARYA"),ROWS($E$5:E860)),"")</f>
        <v/>
      </c>
      <c r="F860" s="5" t="n"/>
    </row>
    <row r="861">
      <c r="A861" s="10">
        <f>IF($E861="","",INDEX('Input Transaksi'!$A:$A,$E861))</f>
        <v/>
      </c>
      <c r="B861" s="5">
        <f>IF($E861="","",INDEX('Input Transaksi'!$D:$D,$E861))</f>
        <v/>
      </c>
      <c r="C861">
        <f>IF($E861="","",INDEX('Input Transaksi'!$E:$E,$E861))</f>
        <v/>
      </c>
      <c r="D861" s="5">
        <f>IF($E861="","",INDEX('Input Transaksi'!$F:$F,$E861))</f>
        <v/>
      </c>
      <c r="E861">
        <f>IFERROR(AGGREGATE(15,6,ROW('Input Transaksi'!$B$5:$B$5000)/('Input Transaksi'!$B$5:$B$5000="JCL SIDAKARYA"),ROWS($E$5:E861)),"")</f>
        <v/>
      </c>
      <c r="F861" s="5" t="n"/>
    </row>
    <row r="862">
      <c r="A862" s="10">
        <f>IF($E862="","",INDEX('Input Transaksi'!$A:$A,$E862))</f>
        <v/>
      </c>
      <c r="B862" s="5">
        <f>IF($E862="","",INDEX('Input Transaksi'!$D:$D,$E862))</f>
        <v/>
      </c>
      <c r="C862">
        <f>IF($E862="","",INDEX('Input Transaksi'!$E:$E,$E862))</f>
        <v/>
      </c>
      <c r="D862" s="5">
        <f>IF($E862="","",INDEX('Input Transaksi'!$F:$F,$E862))</f>
        <v/>
      </c>
      <c r="E862">
        <f>IFERROR(AGGREGATE(15,6,ROW('Input Transaksi'!$B$5:$B$5000)/('Input Transaksi'!$B$5:$B$5000="JCL SIDAKARYA"),ROWS($E$5:E862)),"")</f>
        <v/>
      </c>
      <c r="F862" s="5" t="n"/>
    </row>
    <row r="863">
      <c r="A863" s="10">
        <f>IF($E863="","",INDEX('Input Transaksi'!$A:$A,$E863))</f>
        <v/>
      </c>
      <c r="B863" s="5">
        <f>IF($E863="","",INDEX('Input Transaksi'!$D:$D,$E863))</f>
        <v/>
      </c>
      <c r="C863">
        <f>IF($E863="","",INDEX('Input Transaksi'!$E:$E,$E863))</f>
        <v/>
      </c>
      <c r="D863" s="5">
        <f>IF($E863="","",INDEX('Input Transaksi'!$F:$F,$E863))</f>
        <v/>
      </c>
      <c r="E863">
        <f>IFERROR(AGGREGATE(15,6,ROW('Input Transaksi'!$B$5:$B$5000)/('Input Transaksi'!$B$5:$B$5000="JCL SIDAKARYA"),ROWS($E$5:E863)),"")</f>
        <v/>
      </c>
      <c r="F863" s="5" t="n"/>
    </row>
    <row r="864">
      <c r="A864" s="10">
        <f>IF($E864="","",INDEX('Input Transaksi'!$A:$A,$E864))</f>
        <v/>
      </c>
      <c r="B864" s="5">
        <f>IF($E864="","",INDEX('Input Transaksi'!$D:$D,$E864))</f>
        <v/>
      </c>
      <c r="C864">
        <f>IF($E864="","",INDEX('Input Transaksi'!$E:$E,$E864))</f>
        <v/>
      </c>
      <c r="D864" s="5">
        <f>IF($E864="","",INDEX('Input Transaksi'!$F:$F,$E864))</f>
        <v/>
      </c>
      <c r="E864">
        <f>IFERROR(AGGREGATE(15,6,ROW('Input Transaksi'!$B$5:$B$5000)/('Input Transaksi'!$B$5:$B$5000="JCL SIDAKARYA"),ROWS($E$5:E864)),"")</f>
        <v/>
      </c>
      <c r="F864" s="5" t="n"/>
    </row>
    <row r="865">
      <c r="A865" s="10">
        <f>IF($E865="","",INDEX('Input Transaksi'!$A:$A,$E865))</f>
        <v/>
      </c>
      <c r="B865" s="5">
        <f>IF($E865="","",INDEX('Input Transaksi'!$D:$D,$E865))</f>
        <v/>
      </c>
      <c r="C865">
        <f>IF($E865="","",INDEX('Input Transaksi'!$E:$E,$E865))</f>
        <v/>
      </c>
      <c r="D865" s="5">
        <f>IF($E865="","",INDEX('Input Transaksi'!$F:$F,$E865))</f>
        <v/>
      </c>
      <c r="E865">
        <f>IFERROR(AGGREGATE(15,6,ROW('Input Transaksi'!$B$5:$B$5000)/('Input Transaksi'!$B$5:$B$5000="JCL SIDAKARYA"),ROWS($E$5:E865)),"")</f>
        <v/>
      </c>
      <c r="F865" s="5" t="n"/>
    </row>
    <row r="866">
      <c r="A866" s="10">
        <f>IF($E866="","",INDEX('Input Transaksi'!$A:$A,$E866))</f>
        <v/>
      </c>
      <c r="B866" s="5">
        <f>IF($E866="","",INDEX('Input Transaksi'!$D:$D,$E866))</f>
        <v/>
      </c>
      <c r="C866">
        <f>IF($E866="","",INDEX('Input Transaksi'!$E:$E,$E866))</f>
        <v/>
      </c>
      <c r="D866" s="5">
        <f>IF($E866="","",INDEX('Input Transaksi'!$F:$F,$E866))</f>
        <v/>
      </c>
      <c r="E866">
        <f>IFERROR(AGGREGATE(15,6,ROW('Input Transaksi'!$B$5:$B$5000)/('Input Transaksi'!$B$5:$B$5000="JCL SIDAKARYA"),ROWS($E$5:E866)),"")</f>
        <v/>
      </c>
      <c r="F866" s="5" t="n"/>
    </row>
    <row r="867">
      <c r="A867" s="10">
        <f>IF($E867="","",INDEX('Input Transaksi'!$A:$A,$E867))</f>
        <v/>
      </c>
      <c r="B867" s="5">
        <f>IF($E867="","",INDEX('Input Transaksi'!$D:$D,$E867))</f>
        <v/>
      </c>
      <c r="C867">
        <f>IF($E867="","",INDEX('Input Transaksi'!$E:$E,$E867))</f>
        <v/>
      </c>
      <c r="D867" s="5">
        <f>IF($E867="","",INDEX('Input Transaksi'!$F:$F,$E867))</f>
        <v/>
      </c>
      <c r="E867">
        <f>IFERROR(AGGREGATE(15,6,ROW('Input Transaksi'!$B$5:$B$5000)/('Input Transaksi'!$B$5:$B$5000="JCL SIDAKARYA"),ROWS($E$5:E867)),"")</f>
        <v/>
      </c>
      <c r="F867" s="5" t="n"/>
    </row>
    <row r="868">
      <c r="A868" s="10">
        <f>IF($E868="","",INDEX('Input Transaksi'!$A:$A,$E868))</f>
        <v/>
      </c>
      <c r="B868" s="5">
        <f>IF($E868="","",INDEX('Input Transaksi'!$D:$D,$E868))</f>
        <v/>
      </c>
      <c r="C868">
        <f>IF($E868="","",INDEX('Input Transaksi'!$E:$E,$E868))</f>
        <v/>
      </c>
      <c r="D868" s="5">
        <f>IF($E868="","",INDEX('Input Transaksi'!$F:$F,$E868))</f>
        <v/>
      </c>
      <c r="E868">
        <f>IFERROR(AGGREGATE(15,6,ROW('Input Transaksi'!$B$5:$B$5000)/('Input Transaksi'!$B$5:$B$5000="JCL SIDAKARYA"),ROWS($E$5:E868)),"")</f>
        <v/>
      </c>
      <c r="F868" s="5" t="n"/>
    </row>
    <row r="869">
      <c r="A869" s="10">
        <f>IF($E869="","",INDEX('Input Transaksi'!$A:$A,$E869))</f>
        <v/>
      </c>
      <c r="B869" s="5">
        <f>IF($E869="","",INDEX('Input Transaksi'!$D:$D,$E869))</f>
        <v/>
      </c>
      <c r="C869">
        <f>IF($E869="","",INDEX('Input Transaksi'!$E:$E,$E869))</f>
        <v/>
      </c>
      <c r="D869" s="5">
        <f>IF($E869="","",INDEX('Input Transaksi'!$F:$F,$E869))</f>
        <v/>
      </c>
      <c r="E869">
        <f>IFERROR(AGGREGATE(15,6,ROW('Input Transaksi'!$B$5:$B$5000)/('Input Transaksi'!$B$5:$B$5000="JCL SIDAKARYA"),ROWS($E$5:E869)),"")</f>
        <v/>
      </c>
      <c r="F869" s="5" t="n"/>
    </row>
    <row r="870">
      <c r="A870" s="10">
        <f>IF($E870="","",INDEX('Input Transaksi'!$A:$A,$E870))</f>
        <v/>
      </c>
      <c r="B870" s="5">
        <f>IF($E870="","",INDEX('Input Transaksi'!$D:$D,$E870))</f>
        <v/>
      </c>
      <c r="C870">
        <f>IF($E870="","",INDEX('Input Transaksi'!$E:$E,$E870))</f>
        <v/>
      </c>
      <c r="D870" s="5">
        <f>IF($E870="","",INDEX('Input Transaksi'!$F:$F,$E870))</f>
        <v/>
      </c>
      <c r="E870">
        <f>IFERROR(AGGREGATE(15,6,ROW('Input Transaksi'!$B$5:$B$5000)/('Input Transaksi'!$B$5:$B$5000="JCL SIDAKARYA"),ROWS($E$5:E870)),"")</f>
        <v/>
      </c>
      <c r="F870" s="5" t="n"/>
    </row>
    <row r="871">
      <c r="A871" s="10">
        <f>IF($E871="","",INDEX('Input Transaksi'!$A:$A,$E871))</f>
        <v/>
      </c>
      <c r="B871" s="5">
        <f>IF($E871="","",INDEX('Input Transaksi'!$D:$D,$E871))</f>
        <v/>
      </c>
      <c r="C871">
        <f>IF($E871="","",INDEX('Input Transaksi'!$E:$E,$E871))</f>
        <v/>
      </c>
      <c r="D871" s="5">
        <f>IF($E871="","",INDEX('Input Transaksi'!$F:$F,$E871))</f>
        <v/>
      </c>
      <c r="E871">
        <f>IFERROR(AGGREGATE(15,6,ROW('Input Transaksi'!$B$5:$B$5000)/('Input Transaksi'!$B$5:$B$5000="JCL SIDAKARYA"),ROWS($E$5:E871)),"")</f>
        <v/>
      </c>
      <c r="F871" s="5" t="n"/>
    </row>
    <row r="872">
      <c r="A872" s="10">
        <f>IF($E872="","",INDEX('Input Transaksi'!$A:$A,$E872))</f>
        <v/>
      </c>
      <c r="B872" s="5">
        <f>IF($E872="","",INDEX('Input Transaksi'!$D:$D,$E872))</f>
        <v/>
      </c>
      <c r="C872">
        <f>IF($E872="","",INDEX('Input Transaksi'!$E:$E,$E872))</f>
        <v/>
      </c>
      <c r="D872" s="5">
        <f>IF($E872="","",INDEX('Input Transaksi'!$F:$F,$E872))</f>
        <v/>
      </c>
      <c r="E872">
        <f>IFERROR(AGGREGATE(15,6,ROW('Input Transaksi'!$B$5:$B$5000)/('Input Transaksi'!$B$5:$B$5000="JCL SIDAKARYA"),ROWS($E$5:E872)),"")</f>
        <v/>
      </c>
      <c r="F872" s="5" t="n"/>
    </row>
    <row r="873">
      <c r="A873" s="10">
        <f>IF($E873="","",INDEX('Input Transaksi'!$A:$A,$E873))</f>
        <v/>
      </c>
      <c r="B873" s="5">
        <f>IF($E873="","",INDEX('Input Transaksi'!$D:$D,$E873))</f>
        <v/>
      </c>
      <c r="C873">
        <f>IF($E873="","",INDEX('Input Transaksi'!$E:$E,$E873))</f>
        <v/>
      </c>
      <c r="D873" s="5">
        <f>IF($E873="","",INDEX('Input Transaksi'!$F:$F,$E873))</f>
        <v/>
      </c>
      <c r="E873">
        <f>IFERROR(AGGREGATE(15,6,ROW('Input Transaksi'!$B$5:$B$5000)/('Input Transaksi'!$B$5:$B$5000="JCL SIDAKARYA"),ROWS($E$5:E873)),"")</f>
        <v/>
      </c>
      <c r="F873" s="5" t="n"/>
    </row>
    <row r="874">
      <c r="A874" s="10">
        <f>IF($E874="","",INDEX('Input Transaksi'!$A:$A,$E874))</f>
        <v/>
      </c>
      <c r="B874" s="5">
        <f>IF($E874="","",INDEX('Input Transaksi'!$D:$D,$E874))</f>
        <v/>
      </c>
      <c r="C874">
        <f>IF($E874="","",INDEX('Input Transaksi'!$E:$E,$E874))</f>
        <v/>
      </c>
      <c r="D874" s="5">
        <f>IF($E874="","",INDEX('Input Transaksi'!$F:$F,$E874))</f>
        <v/>
      </c>
      <c r="E874">
        <f>IFERROR(AGGREGATE(15,6,ROW('Input Transaksi'!$B$5:$B$5000)/('Input Transaksi'!$B$5:$B$5000="JCL SIDAKARYA"),ROWS($E$5:E874)),"")</f>
        <v/>
      </c>
      <c r="F874" s="5" t="n"/>
    </row>
    <row r="875">
      <c r="A875" s="10">
        <f>IF($E875="","",INDEX('Input Transaksi'!$A:$A,$E875))</f>
        <v/>
      </c>
      <c r="B875" s="5">
        <f>IF($E875="","",INDEX('Input Transaksi'!$D:$D,$E875))</f>
        <v/>
      </c>
      <c r="C875">
        <f>IF($E875="","",INDEX('Input Transaksi'!$E:$E,$E875))</f>
        <v/>
      </c>
      <c r="D875" s="5">
        <f>IF($E875="","",INDEX('Input Transaksi'!$F:$F,$E875))</f>
        <v/>
      </c>
      <c r="E875">
        <f>IFERROR(AGGREGATE(15,6,ROW('Input Transaksi'!$B$5:$B$5000)/('Input Transaksi'!$B$5:$B$5000="JCL SIDAKARYA"),ROWS($E$5:E875)),"")</f>
        <v/>
      </c>
      <c r="F875" s="5" t="n"/>
    </row>
    <row r="876">
      <c r="A876" s="10">
        <f>IF($E876="","",INDEX('Input Transaksi'!$A:$A,$E876))</f>
        <v/>
      </c>
      <c r="B876" s="5">
        <f>IF($E876="","",INDEX('Input Transaksi'!$D:$D,$E876))</f>
        <v/>
      </c>
      <c r="C876">
        <f>IF($E876="","",INDEX('Input Transaksi'!$E:$E,$E876))</f>
        <v/>
      </c>
      <c r="D876" s="5">
        <f>IF($E876="","",INDEX('Input Transaksi'!$F:$F,$E876))</f>
        <v/>
      </c>
      <c r="E876">
        <f>IFERROR(AGGREGATE(15,6,ROW('Input Transaksi'!$B$5:$B$5000)/('Input Transaksi'!$B$5:$B$5000="JCL SIDAKARYA"),ROWS($E$5:E876)),"")</f>
        <v/>
      </c>
      <c r="F876" s="5" t="n"/>
    </row>
    <row r="877">
      <c r="A877" s="10">
        <f>IF($E877="","",INDEX('Input Transaksi'!$A:$A,$E877))</f>
        <v/>
      </c>
      <c r="B877" s="5">
        <f>IF($E877="","",INDEX('Input Transaksi'!$D:$D,$E877))</f>
        <v/>
      </c>
      <c r="C877">
        <f>IF($E877="","",INDEX('Input Transaksi'!$E:$E,$E877))</f>
        <v/>
      </c>
      <c r="D877" s="5">
        <f>IF($E877="","",INDEX('Input Transaksi'!$F:$F,$E877))</f>
        <v/>
      </c>
      <c r="E877">
        <f>IFERROR(AGGREGATE(15,6,ROW('Input Transaksi'!$B$5:$B$5000)/('Input Transaksi'!$B$5:$B$5000="JCL SIDAKARYA"),ROWS($E$5:E877)),"")</f>
        <v/>
      </c>
      <c r="F877" s="5" t="n"/>
    </row>
    <row r="878">
      <c r="A878" s="10">
        <f>IF($E878="","",INDEX('Input Transaksi'!$A:$A,$E878))</f>
        <v/>
      </c>
      <c r="B878" s="5">
        <f>IF($E878="","",INDEX('Input Transaksi'!$D:$D,$E878))</f>
        <v/>
      </c>
      <c r="C878">
        <f>IF($E878="","",INDEX('Input Transaksi'!$E:$E,$E878))</f>
        <v/>
      </c>
      <c r="D878" s="5">
        <f>IF($E878="","",INDEX('Input Transaksi'!$F:$F,$E878))</f>
        <v/>
      </c>
      <c r="E878">
        <f>IFERROR(AGGREGATE(15,6,ROW('Input Transaksi'!$B$5:$B$5000)/('Input Transaksi'!$B$5:$B$5000="JCL SIDAKARYA"),ROWS($E$5:E878)),"")</f>
        <v/>
      </c>
      <c r="F878" s="5" t="n"/>
    </row>
    <row r="879">
      <c r="A879" s="10">
        <f>IF($E879="","",INDEX('Input Transaksi'!$A:$A,$E879))</f>
        <v/>
      </c>
      <c r="B879" s="5">
        <f>IF($E879="","",INDEX('Input Transaksi'!$D:$D,$E879))</f>
        <v/>
      </c>
      <c r="C879">
        <f>IF($E879="","",INDEX('Input Transaksi'!$E:$E,$E879))</f>
        <v/>
      </c>
      <c r="D879" s="5">
        <f>IF($E879="","",INDEX('Input Transaksi'!$F:$F,$E879))</f>
        <v/>
      </c>
      <c r="E879">
        <f>IFERROR(AGGREGATE(15,6,ROW('Input Transaksi'!$B$5:$B$5000)/('Input Transaksi'!$B$5:$B$5000="JCL SIDAKARYA"),ROWS($E$5:E879)),"")</f>
        <v/>
      </c>
      <c r="F879" s="5" t="n"/>
    </row>
    <row r="880">
      <c r="A880" s="10">
        <f>IF($E880="","",INDEX('Input Transaksi'!$A:$A,$E880))</f>
        <v/>
      </c>
      <c r="B880" s="5">
        <f>IF($E880="","",INDEX('Input Transaksi'!$D:$D,$E880))</f>
        <v/>
      </c>
      <c r="C880">
        <f>IF($E880="","",INDEX('Input Transaksi'!$E:$E,$E880))</f>
        <v/>
      </c>
      <c r="D880" s="5">
        <f>IF($E880="","",INDEX('Input Transaksi'!$F:$F,$E880))</f>
        <v/>
      </c>
      <c r="E880">
        <f>IFERROR(AGGREGATE(15,6,ROW('Input Transaksi'!$B$5:$B$5000)/('Input Transaksi'!$B$5:$B$5000="JCL SIDAKARYA"),ROWS($E$5:E880)),"")</f>
        <v/>
      </c>
      <c r="F880" s="5" t="n"/>
    </row>
    <row r="881">
      <c r="A881" s="10">
        <f>IF($E881="","",INDEX('Input Transaksi'!$A:$A,$E881))</f>
        <v/>
      </c>
      <c r="B881" s="5">
        <f>IF($E881="","",INDEX('Input Transaksi'!$D:$D,$E881))</f>
        <v/>
      </c>
      <c r="C881">
        <f>IF($E881="","",INDEX('Input Transaksi'!$E:$E,$E881))</f>
        <v/>
      </c>
      <c r="D881" s="5">
        <f>IF($E881="","",INDEX('Input Transaksi'!$F:$F,$E881))</f>
        <v/>
      </c>
      <c r="E881">
        <f>IFERROR(AGGREGATE(15,6,ROW('Input Transaksi'!$B$5:$B$5000)/('Input Transaksi'!$B$5:$B$5000="JCL SIDAKARYA"),ROWS($E$5:E881)),"")</f>
        <v/>
      </c>
      <c r="F881" s="5" t="n"/>
    </row>
    <row r="882">
      <c r="A882" s="10">
        <f>IF($E882="","",INDEX('Input Transaksi'!$A:$A,$E882))</f>
        <v/>
      </c>
      <c r="B882" s="5">
        <f>IF($E882="","",INDEX('Input Transaksi'!$D:$D,$E882))</f>
        <v/>
      </c>
      <c r="C882">
        <f>IF($E882="","",INDEX('Input Transaksi'!$E:$E,$E882))</f>
        <v/>
      </c>
      <c r="D882" s="5">
        <f>IF($E882="","",INDEX('Input Transaksi'!$F:$F,$E882))</f>
        <v/>
      </c>
      <c r="E882">
        <f>IFERROR(AGGREGATE(15,6,ROW('Input Transaksi'!$B$5:$B$5000)/('Input Transaksi'!$B$5:$B$5000="JCL SIDAKARYA"),ROWS($E$5:E882)),"")</f>
        <v/>
      </c>
      <c r="F882" s="5" t="n"/>
    </row>
    <row r="883">
      <c r="A883" s="10">
        <f>IF($E883="","",INDEX('Input Transaksi'!$A:$A,$E883))</f>
        <v/>
      </c>
      <c r="B883" s="5">
        <f>IF($E883="","",INDEX('Input Transaksi'!$D:$D,$E883))</f>
        <v/>
      </c>
      <c r="C883">
        <f>IF($E883="","",INDEX('Input Transaksi'!$E:$E,$E883))</f>
        <v/>
      </c>
      <c r="D883" s="5">
        <f>IF($E883="","",INDEX('Input Transaksi'!$F:$F,$E883))</f>
        <v/>
      </c>
      <c r="E883">
        <f>IFERROR(AGGREGATE(15,6,ROW('Input Transaksi'!$B$5:$B$5000)/('Input Transaksi'!$B$5:$B$5000="JCL SIDAKARYA"),ROWS($E$5:E883)),"")</f>
        <v/>
      </c>
      <c r="F883" s="5" t="n"/>
    </row>
    <row r="884">
      <c r="A884" s="10">
        <f>IF($E884="","",INDEX('Input Transaksi'!$A:$A,$E884))</f>
        <v/>
      </c>
      <c r="B884" s="5">
        <f>IF($E884="","",INDEX('Input Transaksi'!$D:$D,$E884))</f>
        <v/>
      </c>
      <c r="C884">
        <f>IF($E884="","",INDEX('Input Transaksi'!$E:$E,$E884))</f>
        <v/>
      </c>
      <c r="D884" s="5">
        <f>IF($E884="","",INDEX('Input Transaksi'!$F:$F,$E884))</f>
        <v/>
      </c>
      <c r="E884">
        <f>IFERROR(AGGREGATE(15,6,ROW('Input Transaksi'!$B$5:$B$5000)/('Input Transaksi'!$B$5:$B$5000="JCL SIDAKARYA"),ROWS($E$5:E884)),"")</f>
        <v/>
      </c>
      <c r="F884" s="5" t="n"/>
    </row>
    <row r="885">
      <c r="A885" s="10">
        <f>IF($E885="","",INDEX('Input Transaksi'!$A:$A,$E885))</f>
        <v/>
      </c>
      <c r="B885" s="5">
        <f>IF($E885="","",INDEX('Input Transaksi'!$D:$D,$E885))</f>
        <v/>
      </c>
      <c r="C885">
        <f>IF($E885="","",INDEX('Input Transaksi'!$E:$E,$E885))</f>
        <v/>
      </c>
      <c r="D885" s="5">
        <f>IF($E885="","",INDEX('Input Transaksi'!$F:$F,$E885))</f>
        <v/>
      </c>
      <c r="E885">
        <f>IFERROR(AGGREGATE(15,6,ROW('Input Transaksi'!$B$5:$B$5000)/('Input Transaksi'!$B$5:$B$5000="JCL SIDAKARYA"),ROWS($E$5:E885)),"")</f>
        <v/>
      </c>
      <c r="F885" s="5" t="n"/>
    </row>
    <row r="886">
      <c r="A886" s="10">
        <f>IF($E886="","",INDEX('Input Transaksi'!$A:$A,$E886))</f>
        <v/>
      </c>
      <c r="B886" s="5">
        <f>IF($E886="","",INDEX('Input Transaksi'!$D:$D,$E886))</f>
        <v/>
      </c>
      <c r="C886">
        <f>IF($E886="","",INDEX('Input Transaksi'!$E:$E,$E886))</f>
        <v/>
      </c>
      <c r="D886" s="5">
        <f>IF($E886="","",INDEX('Input Transaksi'!$F:$F,$E886))</f>
        <v/>
      </c>
      <c r="E886">
        <f>IFERROR(AGGREGATE(15,6,ROW('Input Transaksi'!$B$5:$B$5000)/('Input Transaksi'!$B$5:$B$5000="JCL SIDAKARYA"),ROWS($E$5:E886)),"")</f>
        <v/>
      </c>
      <c r="F886" s="5" t="n"/>
    </row>
    <row r="887">
      <c r="A887" s="10">
        <f>IF($E887="","",INDEX('Input Transaksi'!$A:$A,$E887))</f>
        <v/>
      </c>
      <c r="B887" s="5">
        <f>IF($E887="","",INDEX('Input Transaksi'!$D:$D,$E887))</f>
        <v/>
      </c>
      <c r="C887">
        <f>IF($E887="","",INDEX('Input Transaksi'!$E:$E,$E887))</f>
        <v/>
      </c>
      <c r="D887" s="5">
        <f>IF($E887="","",INDEX('Input Transaksi'!$F:$F,$E887))</f>
        <v/>
      </c>
      <c r="E887">
        <f>IFERROR(AGGREGATE(15,6,ROW('Input Transaksi'!$B$5:$B$5000)/('Input Transaksi'!$B$5:$B$5000="JCL SIDAKARYA"),ROWS($E$5:E887)),"")</f>
        <v/>
      </c>
      <c r="F887" s="5" t="n"/>
    </row>
    <row r="888">
      <c r="A888" s="10">
        <f>IF($E888="","",INDEX('Input Transaksi'!$A:$A,$E888))</f>
        <v/>
      </c>
      <c r="B888" s="5">
        <f>IF($E888="","",INDEX('Input Transaksi'!$D:$D,$E888))</f>
        <v/>
      </c>
      <c r="C888">
        <f>IF($E888="","",INDEX('Input Transaksi'!$E:$E,$E888))</f>
        <v/>
      </c>
      <c r="D888" s="5">
        <f>IF($E888="","",INDEX('Input Transaksi'!$F:$F,$E888))</f>
        <v/>
      </c>
      <c r="E888">
        <f>IFERROR(AGGREGATE(15,6,ROW('Input Transaksi'!$B$5:$B$5000)/('Input Transaksi'!$B$5:$B$5000="JCL SIDAKARYA"),ROWS($E$5:E888)),"")</f>
        <v/>
      </c>
      <c r="F888" s="5" t="n"/>
    </row>
    <row r="889">
      <c r="A889" s="10">
        <f>IF($E889="","",INDEX('Input Transaksi'!$A:$A,$E889))</f>
        <v/>
      </c>
      <c r="B889" s="5">
        <f>IF($E889="","",INDEX('Input Transaksi'!$D:$D,$E889))</f>
        <v/>
      </c>
      <c r="C889">
        <f>IF($E889="","",INDEX('Input Transaksi'!$E:$E,$E889))</f>
        <v/>
      </c>
      <c r="D889" s="5">
        <f>IF($E889="","",INDEX('Input Transaksi'!$F:$F,$E889))</f>
        <v/>
      </c>
      <c r="E889">
        <f>IFERROR(AGGREGATE(15,6,ROW('Input Transaksi'!$B$5:$B$5000)/('Input Transaksi'!$B$5:$B$5000="JCL SIDAKARYA"),ROWS($E$5:E889)),"")</f>
        <v/>
      </c>
      <c r="F889" s="5" t="n"/>
    </row>
    <row r="890">
      <c r="A890" s="10">
        <f>IF($E890="","",INDEX('Input Transaksi'!$A:$A,$E890))</f>
        <v/>
      </c>
      <c r="B890" s="5">
        <f>IF($E890="","",INDEX('Input Transaksi'!$D:$D,$E890))</f>
        <v/>
      </c>
      <c r="C890">
        <f>IF($E890="","",INDEX('Input Transaksi'!$E:$E,$E890))</f>
        <v/>
      </c>
      <c r="D890" s="5">
        <f>IF($E890="","",INDEX('Input Transaksi'!$F:$F,$E890))</f>
        <v/>
      </c>
      <c r="E890">
        <f>IFERROR(AGGREGATE(15,6,ROW('Input Transaksi'!$B$5:$B$5000)/('Input Transaksi'!$B$5:$B$5000="JCL SIDAKARYA"),ROWS($E$5:E890)),"")</f>
        <v/>
      </c>
      <c r="F890" s="5" t="n"/>
    </row>
    <row r="891">
      <c r="A891" s="10">
        <f>IF($E891="","",INDEX('Input Transaksi'!$A:$A,$E891))</f>
        <v/>
      </c>
      <c r="B891" s="5">
        <f>IF($E891="","",INDEX('Input Transaksi'!$D:$D,$E891))</f>
        <v/>
      </c>
      <c r="C891">
        <f>IF($E891="","",INDEX('Input Transaksi'!$E:$E,$E891))</f>
        <v/>
      </c>
      <c r="D891" s="5">
        <f>IF($E891="","",INDEX('Input Transaksi'!$F:$F,$E891))</f>
        <v/>
      </c>
      <c r="E891">
        <f>IFERROR(AGGREGATE(15,6,ROW('Input Transaksi'!$B$5:$B$5000)/('Input Transaksi'!$B$5:$B$5000="JCL SIDAKARYA"),ROWS($E$5:E891)),"")</f>
        <v/>
      </c>
      <c r="F891" s="5" t="n"/>
    </row>
    <row r="892">
      <c r="A892" s="10">
        <f>IF($E892="","",INDEX('Input Transaksi'!$A:$A,$E892))</f>
        <v/>
      </c>
      <c r="B892" s="5">
        <f>IF($E892="","",INDEX('Input Transaksi'!$D:$D,$E892))</f>
        <v/>
      </c>
      <c r="C892">
        <f>IF($E892="","",INDEX('Input Transaksi'!$E:$E,$E892))</f>
        <v/>
      </c>
      <c r="D892" s="5">
        <f>IF($E892="","",INDEX('Input Transaksi'!$F:$F,$E892))</f>
        <v/>
      </c>
      <c r="E892">
        <f>IFERROR(AGGREGATE(15,6,ROW('Input Transaksi'!$B$5:$B$5000)/('Input Transaksi'!$B$5:$B$5000="JCL SIDAKARYA"),ROWS($E$5:E892)),"")</f>
        <v/>
      </c>
      <c r="F892" s="5" t="n"/>
    </row>
    <row r="893">
      <c r="A893" s="10">
        <f>IF($E893="","",INDEX('Input Transaksi'!$A:$A,$E893))</f>
        <v/>
      </c>
      <c r="B893" s="5">
        <f>IF($E893="","",INDEX('Input Transaksi'!$D:$D,$E893))</f>
        <v/>
      </c>
      <c r="C893">
        <f>IF($E893="","",INDEX('Input Transaksi'!$E:$E,$E893))</f>
        <v/>
      </c>
      <c r="D893" s="5">
        <f>IF($E893="","",INDEX('Input Transaksi'!$F:$F,$E893))</f>
        <v/>
      </c>
      <c r="E893">
        <f>IFERROR(AGGREGATE(15,6,ROW('Input Transaksi'!$B$5:$B$5000)/('Input Transaksi'!$B$5:$B$5000="JCL SIDAKARYA"),ROWS($E$5:E893)),"")</f>
        <v/>
      </c>
      <c r="F893" s="5" t="n"/>
    </row>
    <row r="894">
      <c r="A894" s="10">
        <f>IF($E894="","",INDEX('Input Transaksi'!$A:$A,$E894))</f>
        <v/>
      </c>
      <c r="B894" s="5">
        <f>IF($E894="","",INDEX('Input Transaksi'!$D:$D,$E894))</f>
        <v/>
      </c>
      <c r="C894">
        <f>IF($E894="","",INDEX('Input Transaksi'!$E:$E,$E894))</f>
        <v/>
      </c>
      <c r="D894" s="5">
        <f>IF($E894="","",INDEX('Input Transaksi'!$F:$F,$E894))</f>
        <v/>
      </c>
      <c r="E894">
        <f>IFERROR(AGGREGATE(15,6,ROW('Input Transaksi'!$B$5:$B$5000)/('Input Transaksi'!$B$5:$B$5000="JCL SIDAKARYA"),ROWS($E$5:E894)),"")</f>
        <v/>
      </c>
      <c r="F894" s="5" t="n"/>
    </row>
    <row r="895">
      <c r="A895" s="10">
        <f>IF($E895="","",INDEX('Input Transaksi'!$A:$A,$E895))</f>
        <v/>
      </c>
      <c r="B895" s="5">
        <f>IF($E895="","",INDEX('Input Transaksi'!$D:$D,$E895))</f>
        <v/>
      </c>
      <c r="C895">
        <f>IF($E895="","",INDEX('Input Transaksi'!$E:$E,$E895))</f>
        <v/>
      </c>
      <c r="D895" s="5">
        <f>IF($E895="","",INDEX('Input Transaksi'!$F:$F,$E895))</f>
        <v/>
      </c>
      <c r="E895">
        <f>IFERROR(AGGREGATE(15,6,ROW('Input Transaksi'!$B$5:$B$5000)/('Input Transaksi'!$B$5:$B$5000="JCL SIDAKARYA"),ROWS($E$5:E895)),"")</f>
        <v/>
      </c>
      <c r="F895" s="5" t="n"/>
    </row>
    <row r="896">
      <c r="A896" s="10">
        <f>IF($E896="","",INDEX('Input Transaksi'!$A:$A,$E896))</f>
        <v/>
      </c>
      <c r="B896" s="5">
        <f>IF($E896="","",INDEX('Input Transaksi'!$D:$D,$E896))</f>
        <v/>
      </c>
      <c r="C896">
        <f>IF($E896="","",INDEX('Input Transaksi'!$E:$E,$E896))</f>
        <v/>
      </c>
      <c r="D896" s="5">
        <f>IF($E896="","",INDEX('Input Transaksi'!$F:$F,$E896))</f>
        <v/>
      </c>
      <c r="E896">
        <f>IFERROR(AGGREGATE(15,6,ROW('Input Transaksi'!$B$5:$B$5000)/('Input Transaksi'!$B$5:$B$5000="JCL SIDAKARYA"),ROWS($E$5:E896)),"")</f>
        <v/>
      </c>
      <c r="F896" s="5" t="n"/>
    </row>
    <row r="897">
      <c r="A897" s="10">
        <f>IF($E897="","",INDEX('Input Transaksi'!$A:$A,$E897))</f>
        <v/>
      </c>
      <c r="B897" s="5">
        <f>IF($E897="","",INDEX('Input Transaksi'!$D:$D,$E897))</f>
        <v/>
      </c>
      <c r="C897">
        <f>IF($E897="","",INDEX('Input Transaksi'!$E:$E,$E897))</f>
        <v/>
      </c>
      <c r="D897" s="5">
        <f>IF($E897="","",INDEX('Input Transaksi'!$F:$F,$E897))</f>
        <v/>
      </c>
      <c r="E897">
        <f>IFERROR(AGGREGATE(15,6,ROW('Input Transaksi'!$B$5:$B$5000)/('Input Transaksi'!$B$5:$B$5000="JCL SIDAKARYA"),ROWS($E$5:E897)),"")</f>
        <v/>
      </c>
      <c r="F897" s="5" t="n"/>
    </row>
    <row r="898">
      <c r="A898" s="10">
        <f>IF($E898="","",INDEX('Input Transaksi'!$A:$A,$E898))</f>
        <v/>
      </c>
      <c r="B898" s="5">
        <f>IF($E898="","",INDEX('Input Transaksi'!$D:$D,$E898))</f>
        <v/>
      </c>
      <c r="C898">
        <f>IF($E898="","",INDEX('Input Transaksi'!$E:$E,$E898))</f>
        <v/>
      </c>
      <c r="D898" s="5">
        <f>IF($E898="","",INDEX('Input Transaksi'!$F:$F,$E898))</f>
        <v/>
      </c>
      <c r="E898">
        <f>IFERROR(AGGREGATE(15,6,ROW('Input Transaksi'!$B$5:$B$5000)/('Input Transaksi'!$B$5:$B$5000="JCL SIDAKARYA"),ROWS($E$5:E898)),"")</f>
        <v/>
      </c>
      <c r="F898" s="5" t="n"/>
    </row>
    <row r="899">
      <c r="A899" s="10">
        <f>IF($E899="","",INDEX('Input Transaksi'!$A:$A,$E899))</f>
        <v/>
      </c>
      <c r="B899" s="5">
        <f>IF($E899="","",INDEX('Input Transaksi'!$D:$D,$E899))</f>
        <v/>
      </c>
      <c r="C899">
        <f>IF($E899="","",INDEX('Input Transaksi'!$E:$E,$E899))</f>
        <v/>
      </c>
      <c r="D899" s="5">
        <f>IF($E899="","",INDEX('Input Transaksi'!$F:$F,$E899))</f>
        <v/>
      </c>
      <c r="E899">
        <f>IFERROR(AGGREGATE(15,6,ROW('Input Transaksi'!$B$5:$B$5000)/('Input Transaksi'!$B$5:$B$5000="JCL SIDAKARYA"),ROWS($E$5:E899)),"")</f>
        <v/>
      </c>
      <c r="F899" s="5" t="n"/>
    </row>
    <row r="900">
      <c r="A900" s="10">
        <f>IF($E900="","",INDEX('Input Transaksi'!$A:$A,$E900))</f>
        <v/>
      </c>
      <c r="B900" s="5">
        <f>IF($E900="","",INDEX('Input Transaksi'!$D:$D,$E900))</f>
        <v/>
      </c>
      <c r="C900">
        <f>IF($E900="","",INDEX('Input Transaksi'!$E:$E,$E900))</f>
        <v/>
      </c>
      <c r="D900" s="5">
        <f>IF($E900="","",INDEX('Input Transaksi'!$F:$F,$E900))</f>
        <v/>
      </c>
      <c r="E900">
        <f>IFERROR(AGGREGATE(15,6,ROW('Input Transaksi'!$B$5:$B$5000)/('Input Transaksi'!$B$5:$B$5000="JCL SIDAKARYA"),ROWS($E$5:E900)),"")</f>
        <v/>
      </c>
      <c r="F900" s="5" t="n"/>
    </row>
    <row r="901">
      <c r="A901" s="10">
        <f>IF($E901="","",INDEX('Input Transaksi'!$A:$A,$E901))</f>
        <v/>
      </c>
      <c r="B901" s="5">
        <f>IF($E901="","",INDEX('Input Transaksi'!$D:$D,$E901))</f>
        <v/>
      </c>
      <c r="C901">
        <f>IF($E901="","",INDEX('Input Transaksi'!$E:$E,$E901))</f>
        <v/>
      </c>
      <c r="D901" s="5">
        <f>IF($E901="","",INDEX('Input Transaksi'!$F:$F,$E901))</f>
        <v/>
      </c>
      <c r="E901">
        <f>IFERROR(AGGREGATE(15,6,ROW('Input Transaksi'!$B$5:$B$5000)/('Input Transaksi'!$B$5:$B$5000="JCL SIDAKARYA"),ROWS($E$5:E901)),"")</f>
        <v/>
      </c>
      <c r="F901" s="5" t="n"/>
    </row>
    <row r="902">
      <c r="A902" s="10">
        <f>IF($E902="","",INDEX('Input Transaksi'!$A:$A,$E902))</f>
        <v/>
      </c>
      <c r="B902" s="5">
        <f>IF($E902="","",INDEX('Input Transaksi'!$D:$D,$E902))</f>
        <v/>
      </c>
      <c r="C902">
        <f>IF($E902="","",INDEX('Input Transaksi'!$E:$E,$E902))</f>
        <v/>
      </c>
      <c r="D902" s="5">
        <f>IF($E902="","",INDEX('Input Transaksi'!$F:$F,$E902))</f>
        <v/>
      </c>
      <c r="E902">
        <f>IFERROR(AGGREGATE(15,6,ROW('Input Transaksi'!$B$5:$B$5000)/('Input Transaksi'!$B$5:$B$5000="JCL SIDAKARYA"),ROWS($E$5:E902)),"")</f>
        <v/>
      </c>
      <c r="F902" s="5" t="n"/>
    </row>
    <row r="903">
      <c r="A903" s="10">
        <f>IF($E903="","",INDEX('Input Transaksi'!$A:$A,$E903))</f>
        <v/>
      </c>
      <c r="B903" s="5">
        <f>IF($E903="","",INDEX('Input Transaksi'!$D:$D,$E903))</f>
        <v/>
      </c>
      <c r="C903">
        <f>IF($E903="","",INDEX('Input Transaksi'!$E:$E,$E903))</f>
        <v/>
      </c>
      <c r="D903" s="5">
        <f>IF($E903="","",INDEX('Input Transaksi'!$F:$F,$E903))</f>
        <v/>
      </c>
      <c r="E903">
        <f>IFERROR(AGGREGATE(15,6,ROW('Input Transaksi'!$B$5:$B$5000)/('Input Transaksi'!$B$5:$B$5000="JCL SIDAKARYA"),ROWS($E$5:E903)),"")</f>
        <v/>
      </c>
      <c r="F903" s="5" t="n"/>
    </row>
    <row r="904">
      <c r="A904" s="10">
        <f>IF($E904="","",INDEX('Input Transaksi'!$A:$A,$E904))</f>
        <v/>
      </c>
      <c r="B904" s="5">
        <f>IF($E904="","",INDEX('Input Transaksi'!$D:$D,$E904))</f>
        <v/>
      </c>
      <c r="C904">
        <f>IF($E904="","",INDEX('Input Transaksi'!$E:$E,$E904))</f>
        <v/>
      </c>
      <c r="D904" s="5">
        <f>IF($E904="","",INDEX('Input Transaksi'!$F:$F,$E904))</f>
        <v/>
      </c>
      <c r="E904">
        <f>IFERROR(AGGREGATE(15,6,ROW('Input Transaksi'!$B$5:$B$5000)/('Input Transaksi'!$B$5:$B$5000="JCL SIDAKARYA"),ROWS($E$5:E904)),"")</f>
        <v/>
      </c>
      <c r="F904" s="5" t="n"/>
    </row>
    <row r="905">
      <c r="A905" s="10">
        <f>IF($E905="","",INDEX('Input Transaksi'!$A:$A,$E905))</f>
        <v/>
      </c>
      <c r="B905" s="5">
        <f>IF($E905="","",INDEX('Input Transaksi'!$D:$D,$E905))</f>
        <v/>
      </c>
      <c r="C905">
        <f>IF($E905="","",INDEX('Input Transaksi'!$E:$E,$E905))</f>
        <v/>
      </c>
      <c r="D905" s="5">
        <f>IF($E905="","",INDEX('Input Transaksi'!$F:$F,$E905))</f>
        <v/>
      </c>
      <c r="E905">
        <f>IFERROR(AGGREGATE(15,6,ROW('Input Transaksi'!$B$5:$B$5000)/('Input Transaksi'!$B$5:$B$5000="JCL SIDAKARYA"),ROWS($E$5:E905)),"")</f>
        <v/>
      </c>
      <c r="F905" s="5" t="n"/>
    </row>
    <row r="906">
      <c r="A906" s="10">
        <f>IF($E906="","",INDEX('Input Transaksi'!$A:$A,$E906))</f>
        <v/>
      </c>
      <c r="B906" s="5">
        <f>IF($E906="","",INDEX('Input Transaksi'!$D:$D,$E906))</f>
        <v/>
      </c>
      <c r="C906">
        <f>IF($E906="","",INDEX('Input Transaksi'!$E:$E,$E906))</f>
        <v/>
      </c>
      <c r="D906" s="5">
        <f>IF($E906="","",INDEX('Input Transaksi'!$F:$F,$E906))</f>
        <v/>
      </c>
      <c r="E906">
        <f>IFERROR(AGGREGATE(15,6,ROW('Input Transaksi'!$B$5:$B$5000)/('Input Transaksi'!$B$5:$B$5000="JCL SIDAKARYA"),ROWS($E$5:E906)),"")</f>
        <v/>
      </c>
      <c r="F906" s="5" t="n"/>
    </row>
    <row r="907">
      <c r="A907" s="10">
        <f>IF($E907="","",INDEX('Input Transaksi'!$A:$A,$E907))</f>
        <v/>
      </c>
      <c r="B907" s="5">
        <f>IF($E907="","",INDEX('Input Transaksi'!$D:$D,$E907))</f>
        <v/>
      </c>
      <c r="C907">
        <f>IF($E907="","",INDEX('Input Transaksi'!$E:$E,$E907))</f>
        <v/>
      </c>
      <c r="D907" s="5">
        <f>IF($E907="","",INDEX('Input Transaksi'!$F:$F,$E907))</f>
        <v/>
      </c>
      <c r="E907">
        <f>IFERROR(AGGREGATE(15,6,ROW('Input Transaksi'!$B$5:$B$5000)/('Input Transaksi'!$B$5:$B$5000="JCL SIDAKARYA"),ROWS($E$5:E907)),"")</f>
        <v/>
      </c>
      <c r="F907" s="5" t="n"/>
    </row>
    <row r="908">
      <c r="A908" s="10">
        <f>IF($E908="","",INDEX('Input Transaksi'!$A:$A,$E908))</f>
        <v/>
      </c>
      <c r="B908" s="5">
        <f>IF($E908="","",INDEX('Input Transaksi'!$D:$D,$E908))</f>
        <v/>
      </c>
      <c r="C908">
        <f>IF($E908="","",INDEX('Input Transaksi'!$E:$E,$E908))</f>
        <v/>
      </c>
      <c r="D908" s="5">
        <f>IF($E908="","",INDEX('Input Transaksi'!$F:$F,$E908))</f>
        <v/>
      </c>
      <c r="E908">
        <f>IFERROR(AGGREGATE(15,6,ROW('Input Transaksi'!$B$5:$B$5000)/('Input Transaksi'!$B$5:$B$5000="JCL SIDAKARYA"),ROWS($E$5:E908)),"")</f>
        <v/>
      </c>
      <c r="F908" s="5" t="n"/>
    </row>
    <row r="909">
      <c r="A909" s="10">
        <f>IF($E909="","",INDEX('Input Transaksi'!$A:$A,$E909))</f>
        <v/>
      </c>
      <c r="B909" s="5">
        <f>IF($E909="","",INDEX('Input Transaksi'!$D:$D,$E909))</f>
        <v/>
      </c>
      <c r="C909">
        <f>IF($E909="","",INDEX('Input Transaksi'!$E:$E,$E909))</f>
        <v/>
      </c>
      <c r="D909" s="5">
        <f>IF($E909="","",INDEX('Input Transaksi'!$F:$F,$E909))</f>
        <v/>
      </c>
      <c r="E909">
        <f>IFERROR(AGGREGATE(15,6,ROW('Input Transaksi'!$B$5:$B$5000)/('Input Transaksi'!$B$5:$B$5000="JCL SIDAKARYA"),ROWS($E$5:E909)),"")</f>
        <v/>
      </c>
      <c r="F909" s="5" t="n"/>
    </row>
    <row r="910">
      <c r="A910" s="10">
        <f>IF($E910="","",INDEX('Input Transaksi'!$A:$A,$E910))</f>
        <v/>
      </c>
      <c r="B910" s="5">
        <f>IF($E910="","",INDEX('Input Transaksi'!$D:$D,$E910))</f>
        <v/>
      </c>
      <c r="C910">
        <f>IF($E910="","",INDEX('Input Transaksi'!$E:$E,$E910))</f>
        <v/>
      </c>
      <c r="D910" s="5">
        <f>IF($E910="","",INDEX('Input Transaksi'!$F:$F,$E910))</f>
        <v/>
      </c>
      <c r="E910">
        <f>IFERROR(AGGREGATE(15,6,ROW('Input Transaksi'!$B$5:$B$5000)/('Input Transaksi'!$B$5:$B$5000="JCL SIDAKARYA"),ROWS($E$5:E910)),"")</f>
        <v/>
      </c>
      <c r="F910" s="5" t="n"/>
    </row>
    <row r="911">
      <c r="A911" s="10">
        <f>IF($E911="","",INDEX('Input Transaksi'!$A:$A,$E911))</f>
        <v/>
      </c>
      <c r="B911" s="5">
        <f>IF($E911="","",INDEX('Input Transaksi'!$D:$D,$E911))</f>
        <v/>
      </c>
      <c r="C911">
        <f>IF($E911="","",INDEX('Input Transaksi'!$E:$E,$E911))</f>
        <v/>
      </c>
      <c r="D911" s="5">
        <f>IF($E911="","",INDEX('Input Transaksi'!$F:$F,$E911))</f>
        <v/>
      </c>
      <c r="E911">
        <f>IFERROR(AGGREGATE(15,6,ROW('Input Transaksi'!$B$5:$B$5000)/('Input Transaksi'!$B$5:$B$5000="JCL SIDAKARYA"),ROWS($E$5:E911)),"")</f>
        <v/>
      </c>
      <c r="F911" s="5" t="n"/>
    </row>
    <row r="912">
      <c r="A912" s="10">
        <f>IF($E912="","",INDEX('Input Transaksi'!$A:$A,$E912))</f>
        <v/>
      </c>
      <c r="B912" s="5">
        <f>IF($E912="","",INDEX('Input Transaksi'!$D:$D,$E912))</f>
        <v/>
      </c>
      <c r="C912">
        <f>IF($E912="","",INDEX('Input Transaksi'!$E:$E,$E912))</f>
        <v/>
      </c>
      <c r="D912" s="5">
        <f>IF($E912="","",INDEX('Input Transaksi'!$F:$F,$E912))</f>
        <v/>
      </c>
      <c r="E912">
        <f>IFERROR(AGGREGATE(15,6,ROW('Input Transaksi'!$B$5:$B$5000)/('Input Transaksi'!$B$5:$B$5000="JCL SIDAKARYA"),ROWS($E$5:E912)),"")</f>
        <v/>
      </c>
      <c r="F912" s="5" t="n"/>
    </row>
    <row r="913">
      <c r="A913" s="10">
        <f>IF($E913="","",INDEX('Input Transaksi'!$A:$A,$E913))</f>
        <v/>
      </c>
      <c r="B913" s="5">
        <f>IF($E913="","",INDEX('Input Transaksi'!$D:$D,$E913))</f>
        <v/>
      </c>
      <c r="C913">
        <f>IF($E913="","",INDEX('Input Transaksi'!$E:$E,$E913))</f>
        <v/>
      </c>
      <c r="D913" s="5">
        <f>IF($E913="","",INDEX('Input Transaksi'!$F:$F,$E913))</f>
        <v/>
      </c>
      <c r="E913">
        <f>IFERROR(AGGREGATE(15,6,ROW('Input Transaksi'!$B$5:$B$5000)/('Input Transaksi'!$B$5:$B$5000="JCL SIDAKARYA"),ROWS($E$5:E913)),"")</f>
        <v/>
      </c>
      <c r="F913" s="5" t="n"/>
    </row>
    <row r="914">
      <c r="A914" s="10">
        <f>IF($E914="","",INDEX('Input Transaksi'!$A:$A,$E914))</f>
        <v/>
      </c>
      <c r="B914" s="5">
        <f>IF($E914="","",INDEX('Input Transaksi'!$D:$D,$E914))</f>
        <v/>
      </c>
      <c r="C914">
        <f>IF($E914="","",INDEX('Input Transaksi'!$E:$E,$E914))</f>
        <v/>
      </c>
      <c r="D914" s="5">
        <f>IF($E914="","",INDEX('Input Transaksi'!$F:$F,$E914))</f>
        <v/>
      </c>
      <c r="E914">
        <f>IFERROR(AGGREGATE(15,6,ROW('Input Transaksi'!$B$5:$B$5000)/('Input Transaksi'!$B$5:$B$5000="JCL SIDAKARYA"),ROWS($E$5:E914)),"")</f>
        <v/>
      </c>
      <c r="F914" s="5" t="n"/>
    </row>
    <row r="915">
      <c r="A915" s="10">
        <f>IF($E915="","",INDEX('Input Transaksi'!$A:$A,$E915))</f>
        <v/>
      </c>
      <c r="B915" s="5">
        <f>IF($E915="","",INDEX('Input Transaksi'!$D:$D,$E915))</f>
        <v/>
      </c>
      <c r="C915">
        <f>IF($E915="","",INDEX('Input Transaksi'!$E:$E,$E915))</f>
        <v/>
      </c>
      <c r="D915" s="5">
        <f>IF($E915="","",INDEX('Input Transaksi'!$F:$F,$E915))</f>
        <v/>
      </c>
      <c r="E915">
        <f>IFERROR(AGGREGATE(15,6,ROW('Input Transaksi'!$B$5:$B$5000)/('Input Transaksi'!$B$5:$B$5000="JCL SIDAKARYA"),ROWS($E$5:E915)),"")</f>
        <v/>
      </c>
      <c r="F915" s="5" t="n"/>
    </row>
    <row r="916">
      <c r="A916" s="10">
        <f>IF($E916="","",INDEX('Input Transaksi'!$A:$A,$E916))</f>
        <v/>
      </c>
      <c r="B916" s="5">
        <f>IF($E916="","",INDEX('Input Transaksi'!$D:$D,$E916))</f>
        <v/>
      </c>
      <c r="C916">
        <f>IF($E916="","",INDEX('Input Transaksi'!$E:$E,$E916))</f>
        <v/>
      </c>
      <c r="D916" s="5">
        <f>IF($E916="","",INDEX('Input Transaksi'!$F:$F,$E916))</f>
        <v/>
      </c>
      <c r="E916">
        <f>IFERROR(AGGREGATE(15,6,ROW('Input Transaksi'!$B$5:$B$5000)/('Input Transaksi'!$B$5:$B$5000="JCL SIDAKARYA"),ROWS($E$5:E916)),"")</f>
        <v/>
      </c>
      <c r="F916" s="5" t="n"/>
    </row>
    <row r="917">
      <c r="A917" s="10">
        <f>IF($E917="","",INDEX('Input Transaksi'!$A:$A,$E917))</f>
        <v/>
      </c>
      <c r="B917" s="5">
        <f>IF($E917="","",INDEX('Input Transaksi'!$D:$D,$E917))</f>
        <v/>
      </c>
      <c r="C917">
        <f>IF($E917="","",INDEX('Input Transaksi'!$E:$E,$E917))</f>
        <v/>
      </c>
      <c r="D917" s="5">
        <f>IF($E917="","",INDEX('Input Transaksi'!$F:$F,$E917))</f>
        <v/>
      </c>
      <c r="E917">
        <f>IFERROR(AGGREGATE(15,6,ROW('Input Transaksi'!$B$5:$B$5000)/('Input Transaksi'!$B$5:$B$5000="JCL SIDAKARYA"),ROWS($E$5:E917)),"")</f>
        <v/>
      </c>
      <c r="F917" s="5" t="n"/>
    </row>
    <row r="918">
      <c r="A918" s="10">
        <f>IF($E918="","",INDEX('Input Transaksi'!$A:$A,$E918))</f>
        <v/>
      </c>
      <c r="B918" s="5">
        <f>IF($E918="","",INDEX('Input Transaksi'!$D:$D,$E918))</f>
        <v/>
      </c>
      <c r="C918">
        <f>IF($E918="","",INDEX('Input Transaksi'!$E:$E,$E918))</f>
        <v/>
      </c>
      <c r="D918" s="5">
        <f>IF($E918="","",INDEX('Input Transaksi'!$F:$F,$E918))</f>
        <v/>
      </c>
      <c r="E918">
        <f>IFERROR(AGGREGATE(15,6,ROW('Input Transaksi'!$B$5:$B$5000)/('Input Transaksi'!$B$5:$B$5000="JCL SIDAKARYA"),ROWS($E$5:E918)),"")</f>
        <v/>
      </c>
      <c r="F918" s="5" t="n"/>
    </row>
    <row r="919">
      <c r="A919" s="10">
        <f>IF($E919="","",INDEX('Input Transaksi'!$A:$A,$E919))</f>
        <v/>
      </c>
      <c r="B919" s="5">
        <f>IF($E919="","",INDEX('Input Transaksi'!$D:$D,$E919))</f>
        <v/>
      </c>
      <c r="C919">
        <f>IF($E919="","",INDEX('Input Transaksi'!$E:$E,$E919))</f>
        <v/>
      </c>
      <c r="D919" s="5">
        <f>IF($E919="","",INDEX('Input Transaksi'!$F:$F,$E919))</f>
        <v/>
      </c>
      <c r="E919">
        <f>IFERROR(AGGREGATE(15,6,ROW('Input Transaksi'!$B$5:$B$5000)/('Input Transaksi'!$B$5:$B$5000="JCL SIDAKARYA"),ROWS($E$5:E919)),"")</f>
        <v/>
      </c>
      <c r="F919" s="5" t="n"/>
    </row>
    <row r="920">
      <c r="A920" s="10">
        <f>IF($E920="","",INDEX('Input Transaksi'!$A:$A,$E920))</f>
        <v/>
      </c>
      <c r="B920" s="5">
        <f>IF($E920="","",INDEX('Input Transaksi'!$D:$D,$E920))</f>
        <v/>
      </c>
      <c r="C920">
        <f>IF($E920="","",INDEX('Input Transaksi'!$E:$E,$E920))</f>
        <v/>
      </c>
      <c r="D920" s="5">
        <f>IF($E920="","",INDEX('Input Transaksi'!$F:$F,$E920))</f>
        <v/>
      </c>
      <c r="E920">
        <f>IFERROR(AGGREGATE(15,6,ROW('Input Transaksi'!$B$5:$B$5000)/('Input Transaksi'!$B$5:$B$5000="JCL SIDAKARYA"),ROWS($E$5:E920)),"")</f>
        <v/>
      </c>
      <c r="F920" s="5" t="n"/>
    </row>
    <row r="921">
      <c r="A921" s="10">
        <f>IF($E921="","",INDEX('Input Transaksi'!$A:$A,$E921))</f>
        <v/>
      </c>
      <c r="B921" s="5">
        <f>IF($E921="","",INDEX('Input Transaksi'!$D:$D,$E921))</f>
        <v/>
      </c>
      <c r="C921">
        <f>IF($E921="","",INDEX('Input Transaksi'!$E:$E,$E921))</f>
        <v/>
      </c>
      <c r="D921" s="5">
        <f>IF($E921="","",INDEX('Input Transaksi'!$F:$F,$E921))</f>
        <v/>
      </c>
      <c r="E921">
        <f>IFERROR(AGGREGATE(15,6,ROW('Input Transaksi'!$B$5:$B$5000)/('Input Transaksi'!$B$5:$B$5000="JCL SIDAKARYA"),ROWS($E$5:E921)),"")</f>
        <v/>
      </c>
      <c r="F921" s="5" t="n"/>
    </row>
    <row r="922">
      <c r="A922" s="10">
        <f>IF($E922="","",INDEX('Input Transaksi'!$A:$A,$E922))</f>
        <v/>
      </c>
      <c r="B922" s="5">
        <f>IF($E922="","",INDEX('Input Transaksi'!$D:$D,$E922))</f>
        <v/>
      </c>
      <c r="C922">
        <f>IF($E922="","",INDEX('Input Transaksi'!$E:$E,$E922))</f>
        <v/>
      </c>
      <c r="D922" s="5">
        <f>IF($E922="","",INDEX('Input Transaksi'!$F:$F,$E922))</f>
        <v/>
      </c>
      <c r="E922">
        <f>IFERROR(AGGREGATE(15,6,ROW('Input Transaksi'!$B$5:$B$5000)/('Input Transaksi'!$B$5:$B$5000="JCL SIDAKARYA"),ROWS($E$5:E922)),"")</f>
        <v/>
      </c>
      <c r="F922" s="5" t="n"/>
    </row>
    <row r="923">
      <c r="A923" s="10">
        <f>IF($E923="","",INDEX('Input Transaksi'!$A:$A,$E923))</f>
        <v/>
      </c>
      <c r="B923" s="5">
        <f>IF($E923="","",INDEX('Input Transaksi'!$D:$D,$E923))</f>
        <v/>
      </c>
      <c r="C923">
        <f>IF($E923="","",INDEX('Input Transaksi'!$E:$E,$E923))</f>
        <v/>
      </c>
      <c r="D923" s="5">
        <f>IF($E923="","",INDEX('Input Transaksi'!$F:$F,$E923))</f>
        <v/>
      </c>
      <c r="E923">
        <f>IFERROR(AGGREGATE(15,6,ROW('Input Transaksi'!$B$5:$B$5000)/('Input Transaksi'!$B$5:$B$5000="JCL SIDAKARYA"),ROWS($E$5:E923)),"")</f>
        <v/>
      </c>
      <c r="F923" s="5" t="n"/>
    </row>
    <row r="924">
      <c r="A924" s="10">
        <f>IF($E924="","",INDEX('Input Transaksi'!$A:$A,$E924))</f>
        <v/>
      </c>
      <c r="B924" s="5">
        <f>IF($E924="","",INDEX('Input Transaksi'!$D:$D,$E924))</f>
        <v/>
      </c>
      <c r="C924">
        <f>IF($E924="","",INDEX('Input Transaksi'!$E:$E,$E924))</f>
        <v/>
      </c>
      <c r="D924" s="5">
        <f>IF($E924="","",INDEX('Input Transaksi'!$F:$F,$E924))</f>
        <v/>
      </c>
      <c r="E924">
        <f>IFERROR(AGGREGATE(15,6,ROW('Input Transaksi'!$B$5:$B$5000)/('Input Transaksi'!$B$5:$B$5000="JCL SIDAKARYA"),ROWS($E$5:E924)),"")</f>
        <v/>
      </c>
      <c r="F924" s="5" t="n"/>
    </row>
    <row r="925">
      <c r="A925" s="10">
        <f>IF($E925="","",INDEX('Input Transaksi'!$A:$A,$E925))</f>
        <v/>
      </c>
      <c r="B925" s="5">
        <f>IF($E925="","",INDEX('Input Transaksi'!$D:$D,$E925))</f>
        <v/>
      </c>
      <c r="C925">
        <f>IF($E925="","",INDEX('Input Transaksi'!$E:$E,$E925))</f>
        <v/>
      </c>
      <c r="D925" s="5">
        <f>IF($E925="","",INDEX('Input Transaksi'!$F:$F,$E925))</f>
        <v/>
      </c>
      <c r="E925">
        <f>IFERROR(AGGREGATE(15,6,ROW('Input Transaksi'!$B$5:$B$5000)/('Input Transaksi'!$B$5:$B$5000="JCL SIDAKARYA"),ROWS($E$5:E925)),"")</f>
        <v/>
      </c>
      <c r="F925" s="5" t="n"/>
    </row>
    <row r="926">
      <c r="A926" s="10">
        <f>IF($E926="","",INDEX('Input Transaksi'!$A:$A,$E926))</f>
        <v/>
      </c>
      <c r="B926" s="5">
        <f>IF($E926="","",INDEX('Input Transaksi'!$D:$D,$E926))</f>
        <v/>
      </c>
      <c r="C926">
        <f>IF($E926="","",INDEX('Input Transaksi'!$E:$E,$E926))</f>
        <v/>
      </c>
      <c r="D926" s="5">
        <f>IF($E926="","",INDEX('Input Transaksi'!$F:$F,$E926))</f>
        <v/>
      </c>
      <c r="E926">
        <f>IFERROR(AGGREGATE(15,6,ROW('Input Transaksi'!$B$5:$B$5000)/('Input Transaksi'!$B$5:$B$5000="JCL SIDAKARYA"),ROWS($E$5:E926)),"")</f>
        <v/>
      </c>
      <c r="F926" s="5" t="n"/>
    </row>
    <row r="927">
      <c r="A927" s="10">
        <f>IF($E927="","",INDEX('Input Transaksi'!$A:$A,$E927))</f>
        <v/>
      </c>
      <c r="B927" s="5">
        <f>IF($E927="","",INDEX('Input Transaksi'!$D:$D,$E927))</f>
        <v/>
      </c>
      <c r="C927">
        <f>IF($E927="","",INDEX('Input Transaksi'!$E:$E,$E927))</f>
        <v/>
      </c>
      <c r="D927" s="5">
        <f>IF($E927="","",INDEX('Input Transaksi'!$F:$F,$E927))</f>
        <v/>
      </c>
      <c r="E927">
        <f>IFERROR(AGGREGATE(15,6,ROW('Input Transaksi'!$B$5:$B$5000)/('Input Transaksi'!$B$5:$B$5000="JCL SIDAKARYA"),ROWS($E$5:E927)),"")</f>
        <v/>
      </c>
      <c r="F927" s="5" t="n"/>
    </row>
    <row r="928">
      <c r="A928" s="10">
        <f>IF($E928="","",INDEX('Input Transaksi'!$A:$A,$E928))</f>
        <v/>
      </c>
      <c r="B928" s="5">
        <f>IF($E928="","",INDEX('Input Transaksi'!$D:$D,$E928))</f>
        <v/>
      </c>
      <c r="C928">
        <f>IF($E928="","",INDEX('Input Transaksi'!$E:$E,$E928))</f>
        <v/>
      </c>
      <c r="D928" s="5">
        <f>IF($E928="","",INDEX('Input Transaksi'!$F:$F,$E928))</f>
        <v/>
      </c>
      <c r="E928">
        <f>IFERROR(AGGREGATE(15,6,ROW('Input Transaksi'!$B$5:$B$5000)/('Input Transaksi'!$B$5:$B$5000="JCL SIDAKARYA"),ROWS($E$5:E928)),"")</f>
        <v/>
      </c>
      <c r="F928" s="5" t="n"/>
    </row>
    <row r="929">
      <c r="A929" s="10">
        <f>IF($E929="","",INDEX('Input Transaksi'!$A:$A,$E929))</f>
        <v/>
      </c>
      <c r="B929" s="5">
        <f>IF($E929="","",INDEX('Input Transaksi'!$D:$D,$E929))</f>
        <v/>
      </c>
      <c r="C929">
        <f>IF($E929="","",INDEX('Input Transaksi'!$E:$E,$E929))</f>
        <v/>
      </c>
      <c r="D929" s="5">
        <f>IF($E929="","",INDEX('Input Transaksi'!$F:$F,$E929))</f>
        <v/>
      </c>
      <c r="E929">
        <f>IFERROR(AGGREGATE(15,6,ROW('Input Transaksi'!$B$5:$B$5000)/('Input Transaksi'!$B$5:$B$5000="JCL SIDAKARYA"),ROWS($E$5:E929)),"")</f>
        <v/>
      </c>
      <c r="F929" s="5" t="n"/>
    </row>
    <row r="930">
      <c r="A930" s="10">
        <f>IF($E930="","",INDEX('Input Transaksi'!$A:$A,$E930))</f>
        <v/>
      </c>
      <c r="B930" s="5">
        <f>IF($E930="","",INDEX('Input Transaksi'!$D:$D,$E930))</f>
        <v/>
      </c>
      <c r="C930">
        <f>IF($E930="","",INDEX('Input Transaksi'!$E:$E,$E930))</f>
        <v/>
      </c>
      <c r="D930" s="5">
        <f>IF($E930="","",INDEX('Input Transaksi'!$F:$F,$E930))</f>
        <v/>
      </c>
      <c r="E930">
        <f>IFERROR(AGGREGATE(15,6,ROW('Input Transaksi'!$B$5:$B$5000)/('Input Transaksi'!$B$5:$B$5000="JCL SIDAKARYA"),ROWS($E$5:E930)),"")</f>
        <v/>
      </c>
      <c r="F930" s="5" t="n"/>
    </row>
    <row r="931">
      <c r="A931" s="10">
        <f>IF($E931="","",INDEX('Input Transaksi'!$A:$A,$E931))</f>
        <v/>
      </c>
      <c r="B931" s="5">
        <f>IF($E931="","",INDEX('Input Transaksi'!$D:$D,$E931))</f>
        <v/>
      </c>
      <c r="C931">
        <f>IF($E931="","",INDEX('Input Transaksi'!$E:$E,$E931))</f>
        <v/>
      </c>
      <c r="D931" s="5">
        <f>IF($E931="","",INDEX('Input Transaksi'!$F:$F,$E931))</f>
        <v/>
      </c>
      <c r="E931">
        <f>IFERROR(AGGREGATE(15,6,ROW('Input Transaksi'!$B$5:$B$5000)/('Input Transaksi'!$B$5:$B$5000="JCL SIDAKARYA"),ROWS($E$5:E931)),"")</f>
        <v/>
      </c>
      <c r="F931" s="5" t="n"/>
    </row>
    <row r="932">
      <c r="A932" s="10">
        <f>IF($E932="","",INDEX('Input Transaksi'!$A:$A,$E932))</f>
        <v/>
      </c>
      <c r="B932" s="5">
        <f>IF($E932="","",INDEX('Input Transaksi'!$D:$D,$E932))</f>
        <v/>
      </c>
      <c r="C932">
        <f>IF($E932="","",INDEX('Input Transaksi'!$E:$E,$E932))</f>
        <v/>
      </c>
      <c r="D932" s="5">
        <f>IF($E932="","",INDEX('Input Transaksi'!$F:$F,$E932))</f>
        <v/>
      </c>
      <c r="E932">
        <f>IFERROR(AGGREGATE(15,6,ROW('Input Transaksi'!$B$5:$B$5000)/('Input Transaksi'!$B$5:$B$5000="JCL SIDAKARYA"),ROWS($E$5:E932)),"")</f>
        <v/>
      </c>
      <c r="F932" s="5" t="n"/>
    </row>
    <row r="933">
      <c r="A933" s="10">
        <f>IF($E933="","",INDEX('Input Transaksi'!$A:$A,$E933))</f>
        <v/>
      </c>
      <c r="B933" s="5">
        <f>IF($E933="","",INDEX('Input Transaksi'!$D:$D,$E933))</f>
        <v/>
      </c>
      <c r="C933">
        <f>IF($E933="","",INDEX('Input Transaksi'!$E:$E,$E933))</f>
        <v/>
      </c>
      <c r="D933" s="5">
        <f>IF($E933="","",INDEX('Input Transaksi'!$F:$F,$E933))</f>
        <v/>
      </c>
      <c r="E933">
        <f>IFERROR(AGGREGATE(15,6,ROW('Input Transaksi'!$B$5:$B$5000)/('Input Transaksi'!$B$5:$B$5000="JCL SIDAKARYA"),ROWS($E$5:E933)),"")</f>
        <v/>
      </c>
      <c r="F933" s="5" t="n"/>
    </row>
    <row r="934">
      <c r="A934" s="10">
        <f>IF($E934="","",INDEX('Input Transaksi'!$A:$A,$E934))</f>
        <v/>
      </c>
      <c r="B934" s="5">
        <f>IF($E934="","",INDEX('Input Transaksi'!$D:$D,$E934))</f>
        <v/>
      </c>
      <c r="C934">
        <f>IF($E934="","",INDEX('Input Transaksi'!$E:$E,$E934))</f>
        <v/>
      </c>
      <c r="D934" s="5">
        <f>IF($E934="","",INDEX('Input Transaksi'!$F:$F,$E934))</f>
        <v/>
      </c>
      <c r="E934">
        <f>IFERROR(AGGREGATE(15,6,ROW('Input Transaksi'!$B$5:$B$5000)/('Input Transaksi'!$B$5:$B$5000="JCL SIDAKARYA"),ROWS($E$5:E934)),"")</f>
        <v/>
      </c>
      <c r="F934" s="5" t="n"/>
    </row>
    <row r="935">
      <c r="A935" s="10">
        <f>IF($E935="","",INDEX('Input Transaksi'!$A:$A,$E935))</f>
        <v/>
      </c>
      <c r="B935" s="5">
        <f>IF($E935="","",INDEX('Input Transaksi'!$D:$D,$E935))</f>
        <v/>
      </c>
      <c r="C935">
        <f>IF($E935="","",INDEX('Input Transaksi'!$E:$E,$E935))</f>
        <v/>
      </c>
      <c r="D935" s="5">
        <f>IF($E935="","",INDEX('Input Transaksi'!$F:$F,$E935))</f>
        <v/>
      </c>
      <c r="E935">
        <f>IFERROR(AGGREGATE(15,6,ROW('Input Transaksi'!$B$5:$B$5000)/('Input Transaksi'!$B$5:$B$5000="JCL SIDAKARYA"),ROWS($E$5:E935)),"")</f>
        <v/>
      </c>
      <c r="F935" s="5" t="n"/>
    </row>
    <row r="936">
      <c r="A936" s="10">
        <f>IF($E936="","",INDEX('Input Transaksi'!$A:$A,$E936))</f>
        <v/>
      </c>
      <c r="B936" s="5">
        <f>IF($E936="","",INDEX('Input Transaksi'!$D:$D,$E936))</f>
        <v/>
      </c>
      <c r="C936">
        <f>IF($E936="","",INDEX('Input Transaksi'!$E:$E,$E936))</f>
        <v/>
      </c>
      <c r="D936" s="5">
        <f>IF($E936="","",INDEX('Input Transaksi'!$F:$F,$E936))</f>
        <v/>
      </c>
      <c r="E936">
        <f>IFERROR(AGGREGATE(15,6,ROW('Input Transaksi'!$B$5:$B$5000)/('Input Transaksi'!$B$5:$B$5000="JCL SIDAKARYA"),ROWS($E$5:E936)),"")</f>
        <v/>
      </c>
      <c r="F936" s="5" t="n"/>
    </row>
    <row r="937">
      <c r="A937" s="10">
        <f>IF($E937="","",INDEX('Input Transaksi'!$A:$A,$E937))</f>
        <v/>
      </c>
      <c r="B937" s="5">
        <f>IF($E937="","",INDEX('Input Transaksi'!$D:$D,$E937))</f>
        <v/>
      </c>
      <c r="C937">
        <f>IF($E937="","",INDEX('Input Transaksi'!$E:$E,$E937))</f>
        <v/>
      </c>
      <c r="D937" s="5">
        <f>IF($E937="","",INDEX('Input Transaksi'!$F:$F,$E937))</f>
        <v/>
      </c>
      <c r="E937">
        <f>IFERROR(AGGREGATE(15,6,ROW('Input Transaksi'!$B$5:$B$5000)/('Input Transaksi'!$B$5:$B$5000="JCL SIDAKARYA"),ROWS($E$5:E937)),"")</f>
        <v/>
      </c>
      <c r="F937" s="5" t="n"/>
    </row>
    <row r="938">
      <c r="A938" s="10">
        <f>IF($E938="","",INDEX('Input Transaksi'!$A:$A,$E938))</f>
        <v/>
      </c>
      <c r="B938" s="5">
        <f>IF($E938="","",INDEX('Input Transaksi'!$D:$D,$E938))</f>
        <v/>
      </c>
      <c r="C938">
        <f>IF($E938="","",INDEX('Input Transaksi'!$E:$E,$E938))</f>
        <v/>
      </c>
      <c r="D938" s="5">
        <f>IF($E938="","",INDEX('Input Transaksi'!$F:$F,$E938))</f>
        <v/>
      </c>
      <c r="E938">
        <f>IFERROR(AGGREGATE(15,6,ROW('Input Transaksi'!$B$5:$B$5000)/('Input Transaksi'!$B$5:$B$5000="JCL SIDAKARYA"),ROWS($E$5:E938)),"")</f>
        <v/>
      </c>
      <c r="F938" s="5" t="n"/>
    </row>
    <row r="939">
      <c r="A939" s="10">
        <f>IF($E939="","",INDEX('Input Transaksi'!$A:$A,$E939))</f>
        <v/>
      </c>
      <c r="B939" s="5">
        <f>IF($E939="","",INDEX('Input Transaksi'!$D:$D,$E939))</f>
        <v/>
      </c>
      <c r="C939">
        <f>IF($E939="","",INDEX('Input Transaksi'!$E:$E,$E939))</f>
        <v/>
      </c>
      <c r="D939" s="5">
        <f>IF($E939="","",INDEX('Input Transaksi'!$F:$F,$E939))</f>
        <v/>
      </c>
      <c r="E939">
        <f>IFERROR(AGGREGATE(15,6,ROW('Input Transaksi'!$B$5:$B$5000)/('Input Transaksi'!$B$5:$B$5000="JCL SIDAKARYA"),ROWS($E$5:E939)),"")</f>
        <v/>
      </c>
      <c r="F939" s="5" t="n"/>
    </row>
    <row r="940">
      <c r="A940" s="10">
        <f>IF($E940="","",INDEX('Input Transaksi'!$A:$A,$E940))</f>
        <v/>
      </c>
      <c r="B940" s="5">
        <f>IF($E940="","",INDEX('Input Transaksi'!$D:$D,$E940))</f>
        <v/>
      </c>
      <c r="C940">
        <f>IF($E940="","",INDEX('Input Transaksi'!$E:$E,$E940))</f>
        <v/>
      </c>
      <c r="D940" s="5">
        <f>IF($E940="","",INDEX('Input Transaksi'!$F:$F,$E940))</f>
        <v/>
      </c>
      <c r="E940">
        <f>IFERROR(AGGREGATE(15,6,ROW('Input Transaksi'!$B$5:$B$5000)/('Input Transaksi'!$B$5:$B$5000="JCL SIDAKARYA"),ROWS($E$5:E940)),"")</f>
        <v/>
      </c>
      <c r="F940" s="5" t="n"/>
    </row>
    <row r="941">
      <c r="A941" s="10">
        <f>IF($E941="","",INDEX('Input Transaksi'!$A:$A,$E941))</f>
        <v/>
      </c>
      <c r="B941" s="5">
        <f>IF($E941="","",INDEX('Input Transaksi'!$D:$D,$E941))</f>
        <v/>
      </c>
      <c r="C941">
        <f>IF($E941="","",INDEX('Input Transaksi'!$E:$E,$E941))</f>
        <v/>
      </c>
      <c r="D941" s="5">
        <f>IF($E941="","",INDEX('Input Transaksi'!$F:$F,$E941))</f>
        <v/>
      </c>
      <c r="E941">
        <f>IFERROR(AGGREGATE(15,6,ROW('Input Transaksi'!$B$5:$B$5000)/('Input Transaksi'!$B$5:$B$5000="JCL SIDAKARYA"),ROWS($E$5:E941)),"")</f>
        <v/>
      </c>
      <c r="F941" s="5" t="n"/>
    </row>
    <row r="942">
      <c r="A942" s="10">
        <f>IF($E942="","",INDEX('Input Transaksi'!$A:$A,$E942))</f>
        <v/>
      </c>
      <c r="B942" s="5">
        <f>IF($E942="","",INDEX('Input Transaksi'!$D:$D,$E942))</f>
        <v/>
      </c>
      <c r="C942">
        <f>IF($E942="","",INDEX('Input Transaksi'!$E:$E,$E942))</f>
        <v/>
      </c>
      <c r="D942" s="5">
        <f>IF($E942="","",INDEX('Input Transaksi'!$F:$F,$E942))</f>
        <v/>
      </c>
      <c r="E942">
        <f>IFERROR(AGGREGATE(15,6,ROW('Input Transaksi'!$B$5:$B$5000)/('Input Transaksi'!$B$5:$B$5000="JCL SIDAKARYA"),ROWS($E$5:E942)),"")</f>
        <v/>
      </c>
      <c r="F942" s="5" t="n"/>
    </row>
    <row r="943">
      <c r="A943" s="10">
        <f>IF($E943="","",INDEX('Input Transaksi'!$A:$A,$E943))</f>
        <v/>
      </c>
      <c r="B943" s="5">
        <f>IF($E943="","",INDEX('Input Transaksi'!$D:$D,$E943))</f>
        <v/>
      </c>
      <c r="C943">
        <f>IF($E943="","",INDEX('Input Transaksi'!$E:$E,$E943))</f>
        <v/>
      </c>
      <c r="D943" s="5">
        <f>IF($E943="","",INDEX('Input Transaksi'!$F:$F,$E943))</f>
        <v/>
      </c>
      <c r="E943">
        <f>IFERROR(AGGREGATE(15,6,ROW('Input Transaksi'!$B$5:$B$5000)/('Input Transaksi'!$B$5:$B$5000="JCL SIDAKARYA"),ROWS($E$5:E943)),"")</f>
        <v/>
      </c>
      <c r="F943" s="5" t="n"/>
    </row>
    <row r="944">
      <c r="A944" s="10">
        <f>IF($E944="","",INDEX('Input Transaksi'!$A:$A,$E944))</f>
        <v/>
      </c>
      <c r="B944" s="5">
        <f>IF($E944="","",INDEX('Input Transaksi'!$D:$D,$E944))</f>
        <v/>
      </c>
      <c r="C944">
        <f>IF($E944="","",INDEX('Input Transaksi'!$E:$E,$E944))</f>
        <v/>
      </c>
      <c r="D944" s="5">
        <f>IF($E944="","",INDEX('Input Transaksi'!$F:$F,$E944))</f>
        <v/>
      </c>
      <c r="E944">
        <f>IFERROR(AGGREGATE(15,6,ROW('Input Transaksi'!$B$5:$B$5000)/('Input Transaksi'!$B$5:$B$5000="JCL SIDAKARYA"),ROWS($E$5:E944)),"")</f>
        <v/>
      </c>
      <c r="F944" s="5" t="n"/>
    </row>
    <row r="945">
      <c r="A945" s="10">
        <f>IF($E945="","",INDEX('Input Transaksi'!$A:$A,$E945))</f>
        <v/>
      </c>
      <c r="B945" s="5">
        <f>IF($E945="","",INDEX('Input Transaksi'!$D:$D,$E945))</f>
        <v/>
      </c>
      <c r="C945">
        <f>IF($E945="","",INDEX('Input Transaksi'!$E:$E,$E945))</f>
        <v/>
      </c>
      <c r="D945" s="5">
        <f>IF($E945="","",INDEX('Input Transaksi'!$F:$F,$E945))</f>
        <v/>
      </c>
      <c r="E945">
        <f>IFERROR(AGGREGATE(15,6,ROW('Input Transaksi'!$B$5:$B$5000)/('Input Transaksi'!$B$5:$B$5000="JCL SIDAKARYA"),ROWS($E$5:E945)),"")</f>
        <v/>
      </c>
      <c r="F945" s="5" t="n"/>
    </row>
    <row r="946">
      <c r="A946" s="10">
        <f>IF($E946="","",INDEX('Input Transaksi'!$A:$A,$E946))</f>
        <v/>
      </c>
      <c r="B946" s="5">
        <f>IF($E946="","",INDEX('Input Transaksi'!$D:$D,$E946))</f>
        <v/>
      </c>
      <c r="C946">
        <f>IF($E946="","",INDEX('Input Transaksi'!$E:$E,$E946))</f>
        <v/>
      </c>
      <c r="D946" s="5">
        <f>IF($E946="","",INDEX('Input Transaksi'!$F:$F,$E946))</f>
        <v/>
      </c>
      <c r="E946">
        <f>IFERROR(AGGREGATE(15,6,ROW('Input Transaksi'!$B$5:$B$5000)/('Input Transaksi'!$B$5:$B$5000="JCL SIDAKARYA"),ROWS($E$5:E946)),"")</f>
        <v/>
      </c>
      <c r="F946" s="5" t="n"/>
    </row>
    <row r="947">
      <c r="A947" s="10">
        <f>IF($E947="","",INDEX('Input Transaksi'!$A:$A,$E947))</f>
        <v/>
      </c>
      <c r="B947" s="5">
        <f>IF($E947="","",INDEX('Input Transaksi'!$D:$D,$E947))</f>
        <v/>
      </c>
      <c r="C947">
        <f>IF($E947="","",INDEX('Input Transaksi'!$E:$E,$E947))</f>
        <v/>
      </c>
      <c r="D947" s="5">
        <f>IF($E947="","",INDEX('Input Transaksi'!$F:$F,$E947))</f>
        <v/>
      </c>
      <c r="E947">
        <f>IFERROR(AGGREGATE(15,6,ROW('Input Transaksi'!$B$5:$B$5000)/('Input Transaksi'!$B$5:$B$5000="JCL SIDAKARYA"),ROWS($E$5:E947)),"")</f>
        <v/>
      </c>
      <c r="F947" s="5" t="n"/>
    </row>
    <row r="948">
      <c r="A948" s="10">
        <f>IF($E948="","",INDEX('Input Transaksi'!$A:$A,$E948))</f>
        <v/>
      </c>
      <c r="B948" s="5">
        <f>IF($E948="","",INDEX('Input Transaksi'!$D:$D,$E948))</f>
        <v/>
      </c>
      <c r="C948">
        <f>IF($E948="","",INDEX('Input Transaksi'!$E:$E,$E948))</f>
        <v/>
      </c>
      <c r="D948" s="5">
        <f>IF($E948="","",INDEX('Input Transaksi'!$F:$F,$E948))</f>
        <v/>
      </c>
      <c r="E948">
        <f>IFERROR(AGGREGATE(15,6,ROW('Input Transaksi'!$B$5:$B$5000)/('Input Transaksi'!$B$5:$B$5000="JCL SIDAKARYA"),ROWS($E$5:E948)),"")</f>
        <v/>
      </c>
      <c r="F948" s="5" t="n"/>
    </row>
    <row r="949">
      <c r="A949" s="10">
        <f>IF($E949="","",INDEX('Input Transaksi'!$A:$A,$E949))</f>
        <v/>
      </c>
      <c r="B949" s="5">
        <f>IF($E949="","",INDEX('Input Transaksi'!$D:$D,$E949))</f>
        <v/>
      </c>
      <c r="C949">
        <f>IF($E949="","",INDEX('Input Transaksi'!$E:$E,$E949))</f>
        <v/>
      </c>
      <c r="D949" s="5">
        <f>IF($E949="","",INDEX('Input Transaksi'!$F:$F,$E949))</f>
        <v/>
      </c>
      <c r="E949">
        <f>IFERROR(AGGREGATE(15,6,ROW('Input Transaksi'!$B$5:$B$5000)/('Input Transaksi'!$B$5:$B$5000="JCL SIDAKARYA"),ROWS($E$5:E949)),"")</f>
        <v/>
      </c>
      <c r="F949" s="5" t="n"/>
    </row>
    <row r="950">
      <c r="A950" s="10">
        <f>IF($E950="","",INDEX('Input Transaksi'!$A:$A,$E950))</f>
        <v/>
      </c>
      <c r="B950" s="5">
        <f>IF($E950="","",INDEX('Input Transaksi'!$D:$D,$E950))</f>
        <v/>
      </c>
      <c r="C950">
        <f>IF($E950="","",INDEX('Input Transaksi'!$E:$E,$E950))</f>
        <v/>
      </c>
      <c r="D950" s="5">
        <f>IF($E950="","",INDEX('Input Transaksi'!$F:$F,$E950))</f>
        <v/>
      </c>
      <c r="E950">
        <f>IFERROR(AGGREGATE(15,6,ROW('Input Transaksi'!$B$5:$B$5000)/('Input Transaksi'!$B$5:$B$5000="JCL SIDAKARYA"),ROWS($E$5:E950)),"")</f>
        <v/>
      </c>
      <c r="F950" s="5" t="n"/>
    </row>
    <row r="951">
      <c r="A951" s="10">
        <f>IF($E951="","",INDEX('Input Transaksi'!$A:$A,$E951))</f>
        <v/>
      </c>
      <c r="B951" s="5">
        <f>IF($E951="","",INDEX('Input Transaksi'!$D:$D,$E951))</f>
        <v/>
      </c>
      <c r="C951">
        <f>IF($E951="","",INDEX('Input Transaksi'!$E:$E,$E951))</f>
        <v/>
      </c>
      <c r="D951" s="5">
        <f>IF($E951="","",INDEX('Input Transaksi'!$F:$F,$E951))</f>
        <v/>
      </c>
      <c r="E951">
        <f>IFERROR(AGGREGATE(15,6,ROW('Input Transaksi'!$B$5:$B$5000)/('Input Transaksi'!$B$5:$B$5000="JCL SIDAKARYA"),ROWS($E$5:E951)),"")</f>
        <v/>
      </c>
      <c r="F951" s="5" t="n"/>
    </row>
    <row r="952">
      <c r="A952" s="10">
        <f>IF($E952="","",INDEX('Input Transaksi'!$A:$A,$E952))</f>
        <v/>
      </c>
      <c r="B952" s="5">
        <f>IF($E952="","",INDEX('Input Transaksi'!$D:$D,$E952))</f>
        <v/>
      </c>
      <c r="C952">
        <f>IF($E952="","",INDEX('Input Transaksi'!$E:$E,$E952))</f>
        <v/>
      </c>
      <c r="D952" s="5">
        <f>IF($E952="","",INDEX('Input Transaksi'!$F:$F,$E952))</f>
        <v/>
      </c>
      <c r="E952">
        <f>IFERROR(AGGREGATE(15,6,ROW('Input Transaksi'!$B$5:$B$5000)/('Input Transaksi'!$B$5:$B$5000="JCL SIDAKARYA"),ROWS($E$5:E952)),"")</f>
        <v/>
      </c>
      <c r="F952" s="5" t="n"/>
    </row>
    <row r="953">
      <c r="A953" s="10">
        <f>IF($E953="","",INDEX('Input Transaksi'!$A:$A,$E953))</f>
        <v/>
      </c>
      <c r="B953" s="5">
        <f>IF($E953="","",INDEX('Input Transaksi'!$D:$D,$E953))</f>
        <v/>
      </c>
      <c r="C953">
        <f>IF($E953="","",INDEX('Input Transaksi'!$E:$E,$E953))</f>
        <v/>
      </c>
      <c r="D953" s="5">
        <f>IF($E953="","",INDEX('Input Transaksi'!$F:$F,$E953))</f>
        <v/>
      </c>
      <c r="E953">
        <f>IFERROR(AGGREGATE(15,6,ROW('Input Transaksi'!$B$5:$B$5000)/('Input Transaksi'!$B$5:$B$5000="JCL SIDAKARYA"),ROWS($E$5:E953)),"")</f>
        <v/>
      </c>
      <c r="F953" s="5" t="n"/>
    </row>
    <row r="954">
      <c r="A954" s="10">
        <f>IF($E954="","",INDEX('Input Transaksi'!$A:$A,$E954))</f>
        <v/>
      </c>
      <c r="B954" s="5">
        <f>IF($E954="","",INDEX('Input Transaksi'!$D:$D,$E954))</f>
        <v/>
      </c>
      <c r="C954">
        <f>IF($E954="","",INDEX('Input Transaksi'!$E:$E,$E954))</f>
        <v/>
      </c>
      <c r="D954" s="5">
        <f>IF($E954="","",INDEX('Input Transaksi'!$F:$F,$E954))</f>
        <v/>
      </c>
      <c r="E954">
        <f>IFERROR(AGGREGATE(15,6,ROW('Input Transaksi'!$B$5:$B$5000)/('Input Transaksi'!$B$5:$B$5000="JCL SIDAKARYA"),ROWS($E$5:E954)),"")</f>
        <v/>
      </c>
      <c r="F954" s="5" t="n"/>
    </row>
    <row r="955">
      <c r="A955" s="10">
        <f>IF($E955="","",INDEX('Input Transaksi'!$A:$A,$E955))</f>
        <v/>
      </c>
      <c r="B955" s="5">
        <f>IF($E955="","",INDEX('Input Transaksi'!$D:$D,$E955))</f>
        <v/>
      </c>
      <c r="C955">
        <f>IF($E955="","",INDEX('Input Transaksi'!$E:$E,$E955))</f>
        <v/>
      </c>
      <c r="D955" s="5">
        <f>IF($E955="","",INDEX('Input Transaksi'!$F:$F,$E955))</f>
        <v/>
      </c>
      <c r="E955">
        <f>IFERROR(AGGREGATE(15,6,ROW('Input Transaksi'!$B$5:$B$5000)/('Input Transaksi'!$B$5:$B$5000="JCL SIDAKARYA"),ROWS($E$5:E955)),"")</f>
        <v/>
      </c>
      <c r="F955" s="5" t="n"/>
    </row>
    <row r="956">
      <c r="A956" s="10">
        <f>IF($E956="","",INDEX('Input Transaksi'!$A:$A,$E956))</f>
        <v/>
      </c>
      <c r="B956" s="5">
        <f>IF($E956="","",INDEX('Input Transaksi'!$D:$D,$E956))</f>
        <v/>
      </c>
      <c r="C956">
        <f>IF($E956="","",INDEX('Input Transaksi'!$E:$E,$E956))</f>
        <v/>
      </c>
      <c r="D956" s="5">
        <f>IF($E956="","",INDEX('Input Transaksi'!$F:$F,$E956))</f>
        <v/>
      </c>
      <c r="E956">
        <f>IFERROR(AGGREGATE(15,6,ROW('Input Transaksi'!$B$5:$B$5000)/('Input Transaksi'!$B$5:$B$5000="JCL SIDAKARYA"),ROWS($E$5:E956)),"")</f>
        <v/>
      </c>
      <c r="F956" s="5" t="n"/>
    </row>
    <row r="957">
      <c r="A957" s="10">
        <f>IF($E957="","",INDEX('Input Transaksi'!$A:$A,$E957))</f>
        <v/>
      </c>
      <c r="B957" s="5">
        <f>IF($E957="","",INDEX('Input Transaksi'!$D:$D,$E957))</f>
        <v/>
      </c>
      <c r="C957">
        <f>IF($E957="","",INDEX('Input Transaksi'!$E:$E,$E957))</f>
        <v/>
      </c>
      <c r="D957" s="5">
        <f>IF($E957="","",INDEX('Input Transaksi'!$F:$F,$E957))</f>
        <v/>
      </c>
      <c r="E957">
        <f>IFERROR(AGGREGATE(15,6,ROW('Input Transaksi'!$B$5:$B$5000)/('Input Transaksi'!$B$5:$B$5000="JCL SIDAKARYA"),ROWS($E$5:E957)),"")</f>
        <v/>
      </c>
      <c r="F957" s="5" t="n"/>
    </row>
    <row r="958">
      <c r="A958" s="10">
        <f>IF($E958="","",INDEX('Input Transaksi'!$A:$A,$E958))</f>
        <v/>
      </c>
      <c r="B958" s="5">
        <f>IF($E958="","",INDEX('Input Transaksi'!$D:$D,$E958))</f>
        <v/>
      </c>
      <c r="C958">
        <f>IF($E958="","",INDEX('Input Transaksi'!$E:$E,$E958))</f>
        <v/>
      </c>
      <c r="D958" s="5">
        <f>IF($E958="","",INDEX('Input Transaksi'!$F:$F,$E958))</f>
        <v/>
      </c>
      <c r="E958">
        <f>IFERROR(AGGREGATE(15,6,ROW('Input Transaksi'!$B$5:$B$5000)/('Input Transaksi'!$B$5:$B$5000="JCL SIDAKARYA"),ROWS($E$5:E958)),"")</f>
        <v/>
      </c>
      <c r="F958" s="5" t="n"/>
    </row>
    <row r="959">
      <c r="A959" s="10">
        <f>IF($E959="","",INDEX('Input Transaksi'!$A:$A,$E959))</f>
        <v/>
      </c>
      <c r="B959" s="5">
        <f>IF($E959="","",INDEX('Input Transaksi'!$D:$D,$E959))</f>
        <v/>
      </c>
      <c r="C959">
        <f>IF($E959="","",INDEX('Input Transaksi'!$E:$E,$E959))</f>
        <v/>
      </c>
      <c r="D959" s="5">
        <f>IF($E959="","",INDEX('Input Transaksi'!$F:$F,$E959))</f>
        <v/>
      </c>
      <c r="E959">
        <f>IFERROR(AGGREGATE(15,6,ROW('Input Transaksi'!$B$5:$B$5000)/('Input Transaksi'!$B$5:$B$5000="JCL SIDAKARYA"),ROWS($E$5:E959)),"")</f>
        <v/>
      </c>
      <c r="F959" s="5" t="n"/>
    </row>
    <row r="960">
      <c r="A960" s="10">
        <f>IF($E960="","",INDEX('Input Transaksi'!$A:$A,$E960))</f>
        <v/>
      </c>
      <c r="B960" s="5">
        <f>IF($E960="","",INDEX('Input Transaksi'!$D:$D,$E960))</f>
        <v/>
      </c>
      <c r="C960">
        <f>IF($E960="","",INDEX('Input Transaksi'!$E:$E,$E960))</f>
        <v/>
      </c>
      <c r="D960" s="5">
        <f>IF($E960="","",INDEX('Input Transaksi'!$F:$F,$E960))</f>
        <v/>
      </c>
      <c r="E960">
        <f>IFERROR(AGGREGATE(15,6,ROW('Input Transaksi'!$B$5:$B$5000)/('Input Transaksi'!$B$5:$B$5000="JCL SIDAKARYA"),ROWS($E$5:E960)),"")</f>
        <v/>
      </c>
      <c r="F960" s="5" t="n"/>
    </row>
    <row r="961">
      <c r="A961" s="10">
        <f>IF($E961="","",INDEX('Input Transaksi'!$A:$A,$E961))</f>
        <v/>
      </c>
      <c r="B961" s="5">
        <f>IF($E961="","",INDEX('Input Transaksi'!$D:$D,$E961))</f>
        <v/>
      </c>
      <c r="C961">
        <f>IF($E961="","",INDEX('Input Transaksi'!$E:$E,$E961))</f>
        <v/>
      </c>
      <c r="D961" s="5">
        <f>IF($E961="","",INDEX('Input Transaksi'!$F:$F,$E961))</f>
        <v/>
      </c>
      <c r="E961">
        <f>IFERROR(AGGREGATE(15,6,ROW('Input Transaksi'!$B$5:$B$5000)/('Input Transaksi'!$B$5:$B$5000="JCL SIDAKARYA"),ROWS($E$5:E961)),"")</f>
        <v/>
      </c>
      <c r="F961" s="5" t="n"/>
    </row>
    <row r="962">
      <c r="A962" s="10">
        <f>IF($E962="","",INDEX('Input Transaksi'!$A:$A,$E962))</f>
        <v/>
      </c>
      <c r="B962" s="5">
        <f>IF($E962="","",INDEX('Input Transaksi'!$D:$D,$E962))</f>
        <v/>
      </c>
      <c r="C962">
        <f>IF($E962="","",INDEX('Input Transaksi'!$E:$E,$E962))</f>
        <v/>
      </c>
      <c r="D962" s="5">
        <f>IF($E962="","",INDEX('Input Transaksi'!$F:$F,$E962))</f>
        <v/>
      </c>
      <c r="E962">
        <f>IFERROR(AGGREGATE(15,6,ROW('Input Transaksi'!$B$5:$B$5000)/('Input Transaksi'!$B$5:$B$5000="JCL SIDAKARYA"),ROWS($E$5:E962)),"")</f>
        <v/>
      </c>
      <c r="F962" s="5" t="n"/>
    </row>
    <row r="963">
      <c r="A963" s="10">
        <f>IF($E963="","",INDEX('Input Transaksi'!$A:$A,$E963))</f>
        <v/>
      </c>
      <c r="B963" s="5">
        <f>IF($E963="","",INDEX('Input Transaksi'!$D:$D,$E963))</f>
        <v/>
      </c>
      <c r="C963">
        <f>IF($E963="","",INDEX('Input Transaksi'!$E:$E,$E963))</f>
        <v/>
      </c>
      <c r="D963" s="5">
        <f>IF($E963="","",INDEX('Input Transaksi'!$F:$F,$E963))</f>
        <v/>
      </c>
      <c r="E963">
        <f>IFERROR(AGGREGATE(15,6,ROW('Input Transaksi'!$B$5:$B$5000)/('Input Transaksi'!$B$5:$B$5000="JCL SIDAKARYA"),ROWS($E$5:E963)),"")</f>
        <v/>
      </c>
      <c r="F963" s="5" t="n"/>
    </row>
    <row r="964">
      <c r="A964" s="10">
        <f>IF($E964="","",INDEX('Input Transaksi'!$A:$A,$E964))</f>
        <v/>
      </c>
      <c r="B964" s="5">
        <f>IF($E964="","",INDEX('Input Transaksi'!$D:$D,$E964))</f>
        <v/>
      </c>
      <c r="C964">
        <f>IF($E964="","",INDEX('Input Transaksi'!$E:$E,$E964))</f>
        <v/>
      </c>
      <c r="D964" s="5">
        <f>IF($E964="","",INDEX('Input Transaksi'!$F:$F,$E964))</f>
        <v/>
      </c>
      <c r="E964">
        <f>IFERROR(AGGREGATE(15,6,ROW('Input Transaksi'!$B$5:$B$5000)/('Input Transaksi'!$B$5:$B$5000="JCL SIDAKARYA"),ROWS($E$5:E964)),"")</f>
        <v/>
      </c>
      <c r="F964" s="5" t="n"/>
    </row>
    <row r="965">
      <c r="A965" s="10">
        <f>IF($E965="","",INDEX('Input Transaksi'!$A:$A,$E965))</f>
        <v/>
      </c>
      <c r="B965" s="5">
        <f>IF($E965="","",INDEX('Input Transaksi'!$D:$D,$E965))</f>
        <v/>
      </c>
      <c r="C965">
        <f>IF($E965="","",INDEX('Input Transaksi'!$E:$E,$E965))</f>
        <v/>
      </c>
      <c r="D965" s="5">
        <f>IF($E965="","",INDEX('Input Transaksi'!$F:$F,$E965))</f>
        <v/>
      </c>
      <c r="E965">
        <f>IFERROR(AGGREGATE(15,6,ROW('Input Transaksi'!$B$5:$B$5000)/('Input Transaksi'!$B$5:$B$5000="JCL SIDAKARYA"),ROWS($E$5:E965)),"")</f>
        <v/>
      </c>
      <c r="F965" s="5" t="n"/>
    </row>
    <row r="966">
      <c r="A966" s="10">
        <f>IF($E966="","",INDEX('Input Transaksi'!$A:$A,$E966))</f>
        <v/>
      </c>
      <c r="B966" s="5">
        <f>IF($E966="","",INDEX('Input Transaksi'!$D:$D,$E966))</f>
        <v/>
      </c>
      <c r="C966">
        <f>IF($E966="","",INDEX('Input Transaksi'!$E:$E,$E966))</f>
        <v/>
      </c>
      <c r="D966" s="5">
        <f>IF($E966="","",INDEX('Input Transaksi'!$F:$F,$E966))</f>
        <v/>
      </c>
      <c r="E966">
        <f>IFERROR(AGGREGATE(15,6,ROW('Input Transaksi'!$B$5:$B$5000)/('Input Transaksi'!$B$5:$B$5000="JCL SIDAKARYA"),ROWS($E$5:E966)),"")</f>
        <v/>
      </c>
      <c r="F966" s="5" t="n"/>
    </row>
    <row r="967">
      <c r="A967" s="10">
        <f>IF($E967="","",INDEX('Input Transaksi'!$A:$A,$E967))</f>
        <v/>
      </c>
      <c r="B967" s="5">
        <f>IF($E967="","",INDEX('Input Transaksi'!$D:$D,$E967))</f>
        <v/>
      </c>
      <c r="C967">
        <f>IF($E967="","",INDEX('Input Transaksi'!$E:$E,$E967))</f>
        <v/>
      </c>
      <c r="D967" s="5">
        <f>IF($E967="","",INDEX('Input Transaksi'!$F:$F,$E967))</f>
        <v/>
      </c>
      <c r="E967">
        <f>IFERROR(AGGREGATE(15,6,ROW('Input Transaksi'!$B$5:$B$5000)/('Input Transaksi'!$B$5:$B$5000="JCL SIDAKARYA"),ROWS($E$5:E967)),"")</f>
        <v/>
      </c>
      <c r="F967" s="5" t="n"/>
    </row>
    <row r="968">
      <c r="A968" s="10">
        <f>IF($E968="","",INDEX('Input Transaksi'!$A:$A,$E968))</f>
        <v/>
      </c>
      <c r="B968" s="5">
        <f>IF($E968="","",INDEX('Input Transaksi'!$D:$D,$E968))</f>
        <v/>
      </c>
      <c r="C968">
        <f>IF($E968="","",INDEX('Input Transaksi'!$E:$E,$E968))</f>
        <v/>
      </c>
      <c r="D968" s="5">
        <f>IF($E968="","",INDEX('Input Transaksi'!$F:$F,$E968))</f>
        <v/>
      </c>
      <c r="E968">
        <f>IFERROR(AGGREGATE(15,6,ROW('Input Transaksi'!$B$5:$B$5000)/('Input Transaksi'!$B$5:$B$5000="JCL SIDAKARYA"),ROWS($E$5:E968)),"")</f>
        <v/>
      </c>
      <c r="F968" s="5" t="n"/>
    </row>
    <row r="969">
      <c r="A969" s="10">
        <f>IF($E969="","",INDEX('Input Transaksi'!$A:$A,$E969))</f>
        <v/>
      </c>
      <c r="B969" s="5">
        <f>IF($E969="","",INDEX('Input Transaksi'!$D:$D,$E969))</f>
        <v/>
      </c>
      <c r="C969">
        <f>IF($E969="","",INDEX('Input Transaksi'!$E:$E,$E969))</f>
        <v/>
      </c>
      <c r="D969" s="5">
        <f>IF($E969="","",INDEX('Input Transaksi'!$F:$F,$E969))</f>
        <v/>
      </c>
      <c r="E969">
        <f>IFERROR(AGGREGATE(15,6,ROW('Input Transaksi'!$B$5:$B$5000)/('Input Transaksi'!$B$5:$B$5000="JCL SIDAKARYA"),ROWS($E$5:E969)),"")</f>
        <v/>
      </c>
      <c r="F969" s="5" t="n"/>
    </row>
    <row r="970">
      <c r="A970" s="10">
        <f>IF($E970="","",INDEX('Input Transaksi'!$A:$A,$E970))</f>
        <v/>
      </c>
      <c r="B970" s="5">
        <f>IF($E970="","",INDEX('Input Transaksi'!$D:$D,$E970))</f>
        <v/>
      </c>
      <c r="C970">
        <f>IF($E970="","",INDEX('Input Transaksi'!$E:$E,$E970))</f>
        <v/>
      </c>
      <c r="D970" s="5">
        <f>IF($E970="","",INDEX('Input Transaksi'!$F:$F,$E970))</f>
        <v/>
      </c>
      <c r="E970">
        <f>IFERROR(AGGREGATE(15,6,ROW('Input Transaksi'!$B$5:$B$5000)/('Input Transaksi'!$B$5:$B$5000="JCL SIDAKARYA"),ROWS($E$5:E970)),"")</f>
        <v/>
      </c>
      <c r="F970" s="5" t="n"/>
    </row>
    <row r="971">
      <c r="A971" s="10">
        <f>IF($E971="","",INDEX('Input Transaksi'!$A:$A,$E971))</f>
        <v/>
      </c>
      <c r="B971" s="5">
        <f>IF($E971="","",INDEX('Input Transaksi'!$D:$D,$E971))</f>
        <v/>
      </c>
      <c r="C971">
        <f>IF($E971="","",INDEX('Input Transaksi'!$E:$E,$E971))</f>
        <v/>
      </c>
      <c r="D971" s="5">
        <f>IF($E971="","",INDEX('Input Transaksi'!$F:$F,$E971))</f>
        <v/>
      </c>
      <c r="E971">
        <f>IFERROR(AGGREGATE(15,6,ROW('Input Transaksi'!$B$5:$B$5000)/('Input Transaksi'!$B$5:$B$5000="JCL SIDAKARYA"),ROWS($E$5:E971)),"")</f>
        <v/>
      </c>
      <c r="F971" s="5" t="n"/>
    </row>
    <row r="972">
      <c r="A972" s="10">
        <f>IF($E972="","",INDEX('Input Transaksi'!$A:$A,$E972))</f>
        <v/>
      </c>
      <c r="B972" s="5">
        <f>IF($E972="","",INDEX('Input Transaksi'!$D:$D,$E972))</f>
        <v/>
      </c>
      <c r="C972">
        <f>IF($E972="","",INDEX('Input Transaksi'!$E:$E,$E972))</f>
        <v/>
      </c>
      <c r="D972" s="5">
        <f>IF($E972="","",INDEX('Input Transaksi'!$F:$F,$E972))</f>
        <v/>
      </c>
      <c r="E972">
        <f>IFERROR(AGGREGATE(15,6,ROW('Input Transaksi'!$B$5:$B$5000)/('Input Transaksi'!$B$5:$B$5000="JCL SIDAKARYA"),ROWS($E$5:E972)),"")</f>
        <v/>
      </c>
      <c r="F972" s="5" t="n"/>
    </row>
    <row r="973">
      <c r="A973" s="10">
        <f>IF($E973="","",INDEX('Input Transaksi'!$A:$A,$E973))</f>
        <v/>
      </c>
      <c r="B973" s="5">
        <f>IF($E973="","",INDEX('Input Transaksi'!$D:$D,$E973))</f>
        <v/>
      </c>
      <c r="C973">
        <f>IF($E973="","",INDEX('Input Transaksi'!$E:$E,$E973))</f>
        <v/>
      </c>
      <c r="D973" s="5">
        <f>IF($E973="","",INDEX('Input Transaksi'!$F:$F,$E973))</f>
        <v/>
      </c>
      <c r="E973">
        <f>IFERROR(AGGREGATE(15,6,ROW('Input Transaksi'!$B$5:$B$5000)/('Input Transaksi'!$B$5:$B$5000="JCL SIDAKARYA"),ROWS($E$5:E973)),"")</f>
        <v/>
      </c>
      <c r="F973" s="5" t="n"/>
    </row>
    <row r="974">
      <c r="A974" s="10">
        <f>IF($E974="","",INDEX('Input Transaksi'!$A:$A,$E974))</f>
        <v/>
      </c>
      <c r="B974" s="5">
        <f>IF($E974="","",INDEX('Input Transaksi'!$D:$D,$E974))</f>
        <v/>
      </c>
      <c r="C974">
        <f>IF($E974="","",INDEX('Input Transaksi'!$E:$E,$E974))</f>
        <v/>
      </c>
      <c r="D974" s="5">
        <f>IF($E974="","",INDEX('Input Transaksi'!$F:$F,$E974))</f>
        <v/>
      </c>
      <c r="E974">
        <f>IFERROR(AGGREGATE(15,6,ROW('Input Transaksi'!$B$5:$B$5000)/('Input Transaksi'!$B$5:$B$5000="JCL SIDAKARYA"),ROWS($E$5:E974)),"")</f>
        <v/>
      </c>
      <c r="F974" s="5" t="n"/>
    </row>
    <row r="975">
      <c r="A975" s="10">
        <f>IF($E975="","",INDEX('Input Transaksi'!$A:$A,$E975))</f>
        <v/>
      </c>
      <c r="B975" s="5">
        <f>IF($E975="","",INDEX('Input Transaksi'!$D:$D,$E975))</f>
        <v/>
      </c>
      <c r="C975">
        <f>IF($E975="","",INDEX('Input Transaksi'!$E:$E,$E975))</f>
        <v/>
      </c>
      <c r="D975" s="5">
        <f>IF($E975="","",INDEX('Input Transaksi'!$F:$F,$E975))</f>
        <v/>
      </c>
      <c r="E975">
        <f>IFERROR(AGGREGATE(15,6,ROW('Input Transaksi'!$B$5:$B$5000)/('Input Transaksi'!$B$5:$B$5000="JCL SIDAKARYA"),ROWS($E$5:E975)),"")</f>
        <v/>
      </c>
      <c r="F975" s="5" t="n"/>
    </row>
    <row r="976">
      <c r="A976" s="10">
        <f>IF($E976="","",INDEX('Input Transaksi'!$A:$A,$E976))</f>
        <v/>
      </c>
      <c r="B976" s="5">
        <f>IF($E976="","",INDEX('Input Transaksi'!$D:$D,$E976))</f>
        <v/>
      </c>
      <c r="C976">
        <f>IF($E976="","",INDEX('Input Transaksi'!$E:$E,$E976))</f>
        <v/>
      </c>
      <c r="D976" s="5">
        <f>IF($E976="","",INDEX('Input Transaksi'!$F:$F,$E976))</f>
        <v/>
      </c>
      <c r="E976">
        <f>IFERROR(AGGREGATE(15,6,ROW('Input Transaksi'!$B$5:$B$5000)/('Input Transaksi'!$B$5:$B$5000="JCL SIDAKARYA"),ROWS($E$5:E976)),"")</f>
        <v/>
      </c>
      <c r="F976" s="5" t="n"/>
    </row>
    <row r="977">
      <c r="A977" s="10">
        <f>IF($E977="","",INDEX('Input Transaksi'!$A:$A,$E977))</f>
        <v/>
      </c>
      <c r="B977" s="5">
        <f>IF($E977="","",INDEX('Input Transaksi'!$D:$D,$E977))</f>
        <v/>
      </c>
      <c r="C977">
        <f>IF($E977="","",INDEX('Input Transaksi'!$E:$E,$E977))</f>
        <v/>
      </c>
      <c r="D977" s="5">
        <f>IF($E977="","",INDEX('Input Transaksi'!$F:$F,$E977))</f>
        <v/>
      </c>
      <c r="E977">
        <f>IFERROR(AGGREGATE(15,6,ROW('Input Transaksi'!$B$5:$B$5000)/('Input Transaksi'!$B$5:$B$5000="JCL SIDAKARYA"),ROWS($E$5:E977)),"")</f>
        <v/>
      </c>
      <c r="F977" s="5" t="n"/>
    </row>
    <row r="978">
      <c r="A978" s="10">
        <f>IF($E978="","",INDEX('Input Transaksi'!$A:$A,$E978))</f>
        <v/>
      </c>
      <c r="B978" s="5">
        <f>IF($E978="","",INDEX('Input Transaksi'!$D:$D,$E978))</f>
        <v/>
      </c>
      <c r="C978">
        <f>IF($E978="","",INDEX('Input Transaksi'!$E:$E,$E978))</f>
        <v/>
      </c>
      <c r="D978" s="5">
        <f>IF($E978="","",INDEX('Input Transaksi'!$F:$F,$E978))</f>
        <v/>
      </c>
      <c r="E978">
        <f>IFERROR(AGGREGATE(15,6,ROW('Input Transaksi'!$B$5:$B$5000)/('Input Transaksi'!$B$5:$B$5000="JCL SIDAKARYA"),ROWS($E$5:E978)),"")</f>
        <v/>
      </c>
      <c r="F978" s="5" t="n"/>
    </row>
    <row r="979">
      <c r="A979" s="10">
        <f>IF($E979="","",INDEX('Input Transaksi'!$A:$A,$E979))</f>
        <v/>
      </c>
      <c r="B979" s="5">
        <f>IF($E979="","",INDEX('Input Transaksi'!$D:$D,$E979))</f>
        <v/>
      </c>
      <c r="C979">
        <f>IF($E979="","",INDEX('Input Transaksi'!$E:$E,$E979))</f>
        <v/>
      </c>
      <c r="D979" s="5">
        <f>IF($E979="","",INDEX('Input Transaksi'!$F:$F,$E979))</f>
        <v/>
      </c>
      <c r="E979">
        <f>IFERROR(AGGREGATE(15,6,ROW('Input Transaksi'!$B$5:$B$5000)/('Input Transaksi'!$B$5:$B$5000="JCL SIDAKARYA"),ROWS($E$5:E979)),"")</f>
        <v/>
      </c>
      <c r="F979" s="5" t="n"/>
    </row>
    <row r="980">
      <c r="A980" s="10">
        <f>IF($E980="","",INDEX('Input Transaksi'!$A:$A,$E980))</f>
        <v/>
      </c>
      <c r="B980" s="5">
        <f>IF($E980="","",INDEX('Input Transaksi'!$D:$D,$E980))</f>
        <v/>
      </c>
      <c r="C980">
        <f>IF($E980="","",INDEX('Input Transaksi'!$E:$E,$E980))</f>
        <v/>
      </c>
      <c r="D980" s="5">
        <f>IF($E980="","",INDEX('Input Transaksi'!$F:$F,$E980))</f>
        <v/>
      </c>
      <c r="E980">
        <f>IFERROR(AGGREGATE(15,6,ROW('Input Transaksi'!$B$5:$B$5000)/('Input Transaksi'!$B$5:$B$5000="JCL SIDAKARYA"),ROWS($E$5:E980)),"")</f>
        <v/>
      </c>
      <c r="F980" s="5" t="n"/>
    </row>
    <row r="981">
      <c r="A981" s="10">
        <f>IF($E981="","",INDEX('Input Transaksi'!$A:$A,$E981))</f>
        <v/>
      </c>
      <c r="B981" s="5">
        <f>IF($E981="","",INDEX('Input Transaksi'!$D:$D,$E981))</f>
        <v/>
      </c>
      <c r="C981">
        <f>IF($E981="","",INDEX('Input Transaksi'!$E:$E,$E981))</f>
        <v/>
      </c>
      <c r="D981" s="5">
        <f>IF($E981="","",INDEX('Input Transaksi'!$F:$F,$E981))</f>
        <v/>
      </c>
      <c r="E981">
        <f>IFERROR(AGGREGATE(15,6,ROW('Input Transaksi'!$B$5:$B$5000)/('Input Transaksi'!$B$5:$B$5000="JCL SIDAKARYA"),ROWS($E$5:E981)),"")</f>
        <v/>
      </c>
      <c r="F981" s="5" t="n"/>
    </row>
    <row r="982">
      <c r="A982" s="10">
        <f>IF($E982="","",INDEX('Input Transaksi'!$A:$A,$E982))</f>
        <v/>
      </c>
      <c r="B982" s="5">
        <f>IF($E982="","",INDEX('Input Transaksi'!$D:$D,$E982))</f>
        <v/>
      </c>
      <c r="C982">
        <f>IF($E982="","",INDEX('Input Transaksi'!$E:$E,$E982))</f>
        <v/>
      </c>
      <c r="D982" s="5">
        <f>IF($E982="","",INDEX('Input Transaksi'!$F:$F,$E982))</f>
        <v/>
      </c>
      <c r="E982">
        <f>IFERROR(AGGREGATE(15,6,ROW('Input Transaksi'!$B$5:$B$5000)/('Input Transaksi'!$B$5:$B$5000="JCL SIDAKARYA"),ROWS($E$5:E982)),"")</f>
        <v/>
      </c>
      <c r="F982" s="5" t="n"/>
    </row>
    <row r="983">
      <c r="A983" s="10">
        <f>IF($E983="","",INDEX('Input Transaksi'!$A:$A,$E983))</f>
        <v/>
      </c>
      <c r="B983" s="5">
        <f>IF($E983="","",INDEX('Input Transaksi'!$D:$D,$E983))</f>
        <v/>
      </c>
      <c r="C983">
        <f>IF($E983="","",INDEX('Input Transaksi'!$E:$E,$E983))</f>
        <v/>
      </c>
      <c r="D983" s="5">
        <f>IF($E983="","",INDEX('Input Transaksi'!$F:$F,$E983))</f>
        <v/>
      </c>
      <c r="E983">
        <f>IFERROR(AGGREGATE(15,6,ROW('Input Transaksi'!$B$5:$B$5000)/('Input Transaksi'!$B$5:$B$5000="JCL SIDAKARYA"),ROWS($E$5:E983)),"")</f>
        <v/>
      </c>
      <c r="F983" s="5" t="n"/>
    </row>
    <row r="984">
      <c r="A984" s="10">
        <f>IF($E984="","",INDEX('Input Transaksi'!$A:$A,$E984))</f>
        <v/>
      </c>
      <c r="B984" s="5">
        <f>IF($E984="","",INDEX('Input Transaksi'!$D:$D,$E984))</f>
        <v/>
      </c>
      <c r="C984">
        <f>IF($E984="","",INDEX('Input Transaksi'!$E:$E,$E984))</f>
        <v/>
      </c>
      <c r="D984" s="5">
        <f>IF($E984="","",INDEX('Input Transaksi'!$F:$F,$E984))</f>
        <v/>
      </c>
      <c r="E984">
        <f>IFERROR(AGGREGATE(15,6,ROW('Input Transaksi'!$B$5:$B$5000)/('Input Transaksi'!$B$5:$B$5000="JCL SIDAKARYA"),ROWS($E$5:E984)),"")</f>
        <v/>
      </c>
      <c r="F984" s="5" t="n"/>
    </row>
    <row r="985">
      <c r="A985" s="10">
        <f>IF($E985="","",INDEX('Input Transaksi'!$A:$A,$E985))</f>
        <v/>
      </c>
      <c r="B985" s="5">
        <f>IF($E985="","",INDEX('Input Transaksi'!$D:$D,$E985))</f>
        <v/>
      </c>
      <c r="C985">
        <f>IF($E985="","",INDEX('Input Transaksi'!$E:$E,$E985))</f>
        <v/>
      </c>
      <c r="D985" s="5">
        <f>IF($E985="","",INDEX('Input Transaksi'!$F:$F,$E985))</f>
        <v/>
      </c>
      <c r="E985">
        <f>IFERROR(AGGREGATE(15,6,ROW('Input Transaksi'!$B$5:$B$5000)/('Input Transaksi'!$B$5:$B$5000="JCL SIDAKARYA"),ROWS($E$5:E985)),"")</f>
        <v/>
      </c>
      <c r="F985" s="5" t="n"/>
    </row>
    <row r="986">
      <c r="A986" s="10">
        <f>IF($E986="","",INDEX('Input Transaksi'!$A:$A,$E986))</f>
        <v/>
      </c>
      <c r="B986" s="5">
        <f>IF($E986="","",INDEX('Input Transaksi'!$D:$D,$E986))</f>
        <v/>
      </c>
      <c r="C986">
        <f>IF($E986="","",INDEX('Input Transaksi'!$E:$E,$E986))</f>
        <v/>
      </c>
      <c r="D986" s="5">
        <f>IF($E986="","",INDEX('Input Transaksi'!$F:$F,$E986))</f>
        <v/>
      </c>
      <c r="E986">
        <f>IFERROR(AGGREGATE(15,6,ROW('Input Transaksi'!$B$5:$B$5000)/('Input Transaksi'!$B$5:$B$5000="JCL SIDAKARYA"),ROWS($E$5:E986)),"")</f>
        <v/>
      </c>
      <c r="F986" s="5" t="n"/>
    </row>
    <row r="987">
      <c r="A987" s="10">
        <f>IF($E987="","",INDEX('Input Transaksi'!$A:$A,$E987))</f>
        <v/>
      </c>
      <c r="B987" s="5">
        <f>IF($E987="","",INDEX('Input Transaksi'!$D:$D,$E987))</f>
        <v/>
      </c>
      <c r="C987">
        <f>IF($E987="","",INDEX('Input Transaksi'!$E:$E,$E987))</f>
        <v/>
      </c>
      <c r="D987" s="5">
        <f>IF($E987="","",INDEX('Input Transaksi'!$F:$F,$E987))</f>
        <v/>
      </c>
      <c r="E987">
        <f>IFERROR(AGGREGATE(15,6,ROW('Input Transaksi'!$B$5:$B$5000)/('Input Transaksi'!$B$5:$B$5000="JCL SIDAKARYA"),ROWS($E$5:E987)),"")</f>
        <v/>
      </c>
      <c r="F987" s="5" t="n"/>
    </row>
    <row r="988">
      <c r="A988" s="10">
        <f>IF($E988="","",INDEX('Input Transaksi'!$A:$A,$E988))</f>
        <v/>
      </c>
      <c r="B988" s="5">
        <f>IF($E988="","",INDEX('Input Transaksi'!$D:$D,$E988))</f>
        <v/>
      </c>
      <c r="C988">
        <f>IF($E988="","",INDEX('Input Transaksi'!$E:$E,$E988))</f>
        <v/>
      </c>
      <c r="D988" s="5">
        <f>IF($E988="","",INDEX('Input Transaksi'!$F:$F,$E988))</f>
        <v/>
      </c>
      <c r="E988">
        <f>IFERROR(AGGREGATE(15,6,ROW('Input Transaksi'!$B$5:$B$5000)/('Input Transaksi'!$B$5:$B$5000="JCL SIDAKARYA"),ROWS($E$5:E988)),"")</f>
        <v/>
      </c>
      <c r="F988" s="5" t="n"/>
    </row>
    <row r="989">
      <c r="A989" s="10">
        <f>IF($E989="","",INDEX('Input Transaksi'!$A:$A,$E989))</f>
        <v/>
      </c>
      <c r="B989" s="5">
        <f>IF($E989="","",INDEX('Input Transaksi'!$D:$D,$E989))</f>
        <v/>
      </c>
      <c r="C989">
        <f>IF($E989="","",INDEX('Input Transaksi'!$E:$E,$E989))</f>
        <v/>
      </c>
      <c r="D989" s="5">
        <f>IF($E989="","",INDEX('Input Transaksi'!$F:$F,$E989))</f>
        <v/>
      </c>
      <c r="E989">
        <f>IFERROR(AGGREGATE(15,6,ROW('Input Transaksi'!$B$5:$B$5000)/('Input Transaksi'!$B$5:$B$5000="JCL SIDAKARYA"),ROWS($E$5:E989)),"")</f>
        <v/>
      </c>
      <c r="F989" s="5" t="n"/>
    </row>
    <row r="990">
      <c r="A990" s="10">
        <f>IF($E990="","",INDEX('Input Transaksi'!$A:$A,$E990))</f>
        <v/>
      </c>
      <c r="B990" s="5">
        <f>IF($E990="","",INDEX('Input Transaksi'!$D:$D,$E990))</f>
        <v/>
      </c>
      <c r="C990">
        <f>IF($E990="","",INDEX('Input Transaksi'!$E:$E,$E990))</f>
        <v/>
      </c>
      <c r="D990" s="5">
        <f>IF($E990="","",INDEX('Input Transaksi'!$F:$F,$E990))</f>
        <v/>
      </c>
      <c r="E990">
        <f>IFERROR(AGGREGATE(15,6,ROW('Input Transaksi'!$B$5:$B$5000)/('Input Transaksi'!$B$5:$B$5000="JCL SIDAKARYA"),ROWS($E$5:E990)),"")</f>
        <v/>
      </c>
      <c r="F990" s="5" t="n"/>
    </row>
    <row r="991">
      <c r="A991" s="10">
        <f>IF($E991="","",INDEX('Input Transaksi'!$A:$A,$E991))</f>
        <v/>
      </c>
      <c r="B991" s="5">
        <f>IF($E991="","",INDEX('Input Transaksi'!$D:$D,$E991))</f>
        <v/>
      </c>
      <c r="C991">
        <f>IF($E991="","",INDEX('Input Transaksi'!$E:$E,$E991))</f>
        <v/>
      </c>
      <c r="D991" s="5">
        <f>IF($E991="","",INDEX('Input Transaksi'!$F:$F,$E991))</f>
        <v/>
      </c>
      <c r="E991">
        <f>IFERROR(AGGREGATE(15,6,ROW('Input Transaksi'!$B$5:$B$5000)/('Input Transaksi'!$B$5:$B$5000="JCL SIDAKARYA"),ROWS($E$5:E991)),"")</f>
        <v/>
      </c>
      <c r="F991" s="5" t="n"/>
    </row>
    <row r="992">
      <c r="A992" s="10">
        <f>IF($E992="","",INDEX('Input Transaksi'!$A:$A,$E992))</f>
        <v/>
      </c>
      <c r="B992" s="5">
        <f>IF($E992="","",INDEX('Input Transaksi'!$D:$D,$E992))</f>
        <v/>
      </c>
      <c r="C992">
        <f>IF($E992="","",INDEX('Input Transaksi'!$E:$E,$E992))</f>
        <v/>
      </c>
      <c r="D992" s="5">
        <f>IF($E992="","",INDEX('Input Transaksi'!$F:$F,$E992))</f>
        <v/>
      </c>
      <c r="E992">
        <f>IFERROR(AGGREGATE(15,6,ROW('Input Transaksi'!$B$5:$B$5000)/('Input Transaksi'!$B$5:$B$5000="JCL SIDAKARYA"),ROWS($E$5:E992)),"")</f>
        <v/>
      </c>
      <c r="F992" s="5" t="n"/>
    </row>
    <row r="993">
      <c r="A993" s="10">
        <f>IF($E993="","",INDEX('Input Transaksi'!$A:$A,$E993))</f>
        <v/>
      </c>
      <c r="B993" s="5">
        <f>IF($E993="","",INDEX('Input Transaksi'!$D:$D,$E993))</f>
        <v/>
      </c>
      <c r="C993">
        <f>IF($E993="","",INDEX('Input Transaksi'!$E:$E,$E993))</f>
        <v/>
      </c>
      <c r="D993" s="5">
        <f>IF($E993="","",INDEX('Input Transaksi'!$F:$F,$E993))</f>
        <v/>
      </c>
      <c r="E993">
        <f>IFERROR(AGGREGATE(15,6,ROW('Input Transaksi'!$B$5:$B$5000)/('Input Transaksi'!$B$5:$B$5000="JCL SIDAKARYA"),ROWS($E$5:E993)),"")</f>
        <v/>
      </c>
      <c r="F993" s="5" t="n"/>
    </row>
    <row r="994">
      <c r="A994" s="10">
        <f>IF($E994="","",INDEX('Input Transaksi'!$A:$A,$E994))</f>
        <v/>
      </c>
      <c r="B994" s="5">
        <f>IF($E994="","",INDEX('Input Transaksi'!$D:$D,$E994))</f>
        <v/>
      </c>
      <c r="C994">
        <f>IF($E994="","",INDEX('Input Transaksi'!$E:$E,$E994))</f>
        <v/>
      </c>
      <c r="D994" s="5">
        <f>IF($E994="","",INDEX('Input Transaksi'!$F:$F,$E994))</f>
        <v/>
      </c>
      <c r="E994">
        <f>IFERROR(AGGREGATE(15,6,ROW('Input Transaksi'!$B$5:$B$5000)/('Input Transaksi'!$B$5:$B$5000="JCL SIDAKARYA"),ROWS($E$5:E994)),"")</f>
        <v/>
      </c>
      <c r="F994" s="5" t="n"/>
    </row>
    <row r="995">
      <c r="A995" s="10">
        <f>IF($E995="","",INDEX('Input Transaksi'!$A:$A,$E995))</f>
        <v/>
      </c>
      <c r="B995" s="5">
        <f>IF($E995="","",INDEX('Input Transaksi'!$D:$D,$E995))</f>
        <v/>
      </c>
      <c r="C995">
        <f>IF($E995="","",INDEX('Input Transaksi'!$E:$E,$E995))</f>
        <v/>
      </c>
      <c r="D995" s="5">
        <f>IF($E995="","",INDEX('Input Transaksi'!$F:$F,$E995))</f>
        <v/>
      </c>
      <c r="E995">
        <f>IFERROR(AGGREGATE(15,6,ROW('Input Transaksi'!$B$5:$B$5000)/('Input Transaksi'!$B$5:$B$5000="JCL SIDAKARYA"),ROWS($E$5:E995)),"")</f>
        <v/>
      </c>
      <c r="F995" s="5" t="n"/>
    </row>
    <row r="996">
      <c r="A996" s="10">
        <f>IF($E996="","",INDEX('Input Transaksi'!$A:$A,$E996))</f>
        <v/>
      </c>
      <c r="B996" s="5">
        <f>IF($E996="","",INDEX('Input Transaksi'!$D:$D,$E996))</f>
        <v/>
      </c>
      <c r="C996">
        <f>IF($E996="","",INDEX('Input Transaksi'!$E:$E,$E996))</f>
        <v/>
      </c>
      <c r="D996" s="5">
        <f>IF($E996="","",INDEX('Input Transaksi'!$F:$F,$E996))</f>
        <v/>
      </c>
      <c r="E996">
        <f>IFERROR(AGGREGATE(15,6,ROW('Input Transaksi'!$B$5:$B$5000)/('Input Transaksi'!$B$5:$B$5000="JCL SIDAKARYA"),ROWS($E$5:E996)),"")</f>
        <v/>
      </c>
      <c r="F996" s="5" t="n"/>
    </row>
    <row r="997">
      <c r="A997" s="10">
        <f>IF($E997="","",INDEX('Input Transaksi'!$A:$A,$E997))</f>
        <v/>
      </c>
      <c r="B997" s="5">
        <f>IF($E997="","",INDEX('Input Transaksi'!$D:$D,$E997))</f>
        <v/>
      </c>
      <c r="C997">
        <f>IF($E997="","",INDEX('Input Transaksi'!$E:$E,$E997))</f>
        <v/>
      </c>
      <c r="D997" s="5">
        <f>IF($E997="","",INDEX('Input Transaksi'!$F:$F,$E997))</f>
        <v/>
      </c>
      <c r="E997">
        <f>IFERROR(AGGREGATE(15,6,ROW('Input Transaksi'!$B$5:$B$5000)/('Input Transaksi'!$B$5:$B$5000="JCL SIDAKARYA"),ROWS($E$5:E997)),"")</f>
        <v/>
      </c>
      <c r="F997" s="5" t="n"/>
    </row>
    <row r="998">
      <c r="A998" s="10">
        <f>IF($E998="","",INDEX('Input Transaksi'!$A:$A,$E998))</f>
        <v/>
      </c>
      <c r="B998" s="5">
        <f>IF($E998="","",INDEX('Input Transaksi'!$D:$D,$E998))</f>
        <v/>
      </c>
      <c r="C998">
        <f>IF($E998="","",INDEX('Input Transaksi'!$E:$E,$E998))</f>
        <v/>
      </c>
      <c r="D998" s="5">
        <f>IF($E998="","",INDEX('Input Transaksi'!$F:$F,$E998))</f>
        <v/>
      </c>
      <c r="E998">
        <f>IFERROR(AGGREGATE(15,6,ROW('Input Transaksi'!$B$5:$B$5000)/('Input Transaksi'!$B$5:$B$5000="JCL SIDAKARYA"),ROWS($E$5:E998)),"")</f>
        <v/>
      </c>
      <c r="F998" s="5" t="n"/>
    </row>
    <row r="999">
      <c r="A999" s="10">
        <f>IF($E999="","",INDEX('Input Transaksi'!$A:$A,$E999))</f>
        <v/>
      </c>
      <c r="B999" s="5">
        <f>IF($E999="","",INDEX('Input Transaksi'!$D:$D,$E999))</f>
        <v/>
      </c>
      <c r="C999">
        <f>IF($E999="","",INDEX('Input Transaksi'!$E:$E,$E999))</f>
        <v/>
      </c>
      <c r="D999" s="5">
        <f>IF($E999="","",INDEX('Input Transaksi'!$F:$F,$E999))</f>
        <v/>
      </c>
      <c r="E999">
        <f>IFERROR(AGGREGATE(15,6,ROW('Input Transaksi'!$B$5:$B$5000)/('Input Transaksi'!$B$5:$B$5000="JCL SIDAKARYA"),ROWS($E$5:E999)),"")</f>
        <v/>
      </c>
      <c r="F999" s="5" t="n"/>
    </row>
    <row r="1000">
      <c r="A1000" s="10">
        <f>IF($E1000="","",INDEX('Input Transaksi'!$A:$A,$E1000))</f>
        <v/>
      </c>
      <c r="B1000" s="5">
        <f>IF($E1000="","",INDEX('Input Transaksi'!$D:$D,$E1000))</f>
        <v/>
      </c>
      <c r="C1000">
        <f>IF($E1000="","",INDEX('Input Transaksi'!$E:$E,$E1000))</f>
        <v/>
      </c>
      <c r="D1000" s="5">
        <f>IF($E1000="","",INDEX('Input Transaksi'!$F:$F,$E1000))</f>
        <v/>
      </c>
      <c r="E1000">
        <f>IFERROR(AGGREGATE(15,6,ROW('Input Transaksi'!$B$5:$B$5000)/('Input Transaksi'!$B$5:$B$5000="JCL SIDAKARYA"),ROWS($E$5:E1000)),"")</f>
        <v/>
      </c>
      <c r="F1000" s="5" t="n"/>
    </row>
  </sheetData>
  <autoFilter ref="A4:D1000"/>
  <mergeCells count="1">
    <mergeCell ref="A1:E1"/>
  </mergeCells>
  <hyperlinks>
    <hyperlink ref="F1" location="'Beranda'!A1" display="Kembali ke Beranda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00"/>
  <sheetViews>
    <sheetView workbookViewId="0">
      <pane ySplit="4" topLeftCell="A5" activePane="bottomLeft" state="frozen"/>
      <selection pane="bottomLeft" activeCell="C5" sqref="C5"/>
    </sheetView>
  </sheetViews>
  <sheetFormatPr baseColWidth="10" defaultColWidth="8.83203125" defaultRowHeight="15"/>
  <cols>
    <col width="16" customWidth="1" min="1" max="1"/>
    <col width="22" customWidth="1" min="2" max="2"/>
    <col width="12" customWidth="1" min="3" max="3"/>
    <col width="26" customWidth="1" min="4" max="4"/>
    <col hidden="1" width="12.6640625" customWidth="1" min="5" max="5"/>
    <col width="16" customWidth="1" min="6" max="6"/>
    <col hidden="1" width="13" customWidth="1" min="7" max="7"/>
  </cols>
  <sheetData>
    <row r="1" ht="24" customHeight="1">
      <c r="A1" s="11" t="inlineStr">
        <is>
          <t>BALI WASH GALANG</t>
        </is>
      </c>
      <c r="F1" s="3" t="inlineStr">
        <is>
          <t>Kembali ke Beranda</t>
        </is>
      </c>
    </row>
    <row r="2">
      <c r="A2" s="13" t="inlineStr">
        <is>
          <t>Wilayah</t>
        </is>
      </c>
      <c r="B2" s="13" t="inlineStr">
        <is>
          <t>SELATAN</t>
        </is>
      </c>
      <c r="C2" s="13" t="inlineStr">
        <is>
          <t>Total Qty</t>
        </is>
      </c>
      <c r="D2" s="2">
        <f>SUMIFS('Input Transaksi'!$E$5:$E$5000,'Input Transaksi'!$B$5:$B$5000,"BALI WASH GALANG")</f>
        <v/>
      </c>
      <c r="E2" s="13" t="inlineStr">
        <is>
          <t>Jumlah Transaksi</t>
        </is>
      </c>
      <c r="F2" s="2">
        <f>COUNTIF('Input Transaksi'!$B$5:$B$5000,"BALI WASH GALANG")</f>
        <v/>
      </c>
    </row>
    <row r="3"/>
    <row r="4">
      <c r="A4" s="4" t="inlineStr">
        <is>
          <t>Tanggal</t>
        </is>
      </c>
      <c r="B4" s="4" t="inlineStr">
        <is>
          <t>Item</t>
        </is>
      </c>
      <c r="C4" s="4" t="inlineStr">
        <is>
          <t>Qty Keluar</t>
        </is>
      </c>
      <c r="D4" s="4" t="inlineStr">
        <is>
          <t>Catatan</t>
        </is>
      </c>
      <c r="E4" t="inlineStr">
        <is>
          <t>RowRef</t>
        </is>
      </c>
      <c r="F4" s="4" t="n"/>
    </row>
    <row r="5">
      <c r="A5" s="10">
        <f>IF($E5="","",INDEX('Input Transaksi'!$A:$A,$E5))</f>
        <v/>
      </c>
      <c r="B5" s="5">
        <f>IF($E5="","",INDEX('Input Transaksi'!$D:$D,$E5))</f>
        <v/>
      </c>
      <c r="C5">
        <f>IF($E5="","",INDEX('Input Transaksi'!$E:$E,$E5))</f>
        <v/>
      </c>
      <c r="D5" s="5">
        <f>IF($E5="","",INDEX('Input Transaksi'!$F:$F,$E5))</f>
        <v/>
      </c>
      <c r="E5">
        <f>IFERROR(AGGREGATE(15,6,ROW('Input Transaksi'!$B$5:$B$5000)/('Input Transaksi'!$B$5:$B$5000="BALI WASH GALANG"),ROWS($E$5:E5)),"")</f>
        <v/>
      </c>
      <c r="F5" s="5" t="n"/>
    </row>
    <row r="6">
      <c r="A6" s="10">
        <f>IF($E6="","",INDEX('Input Transaksi'!$A:$A,$E6))</f>
        <v/>
      </c>
      <c r="B6" s="5">
        <f>IF($E6="","",INDEX('Input Transaksi'!$D:$D,$E6))</f>
        <v/>
      </c>
      <c r="C6">
        <f>IF($E6="","",INDEX('Input Transaksi'!$E:$E,$E6))</f>
        <v/>
      </c>
      <c r="D6" s="5">
        <f>IF($E6="","",INDEX('Input Transaksi'!$F:$F,$E6))</f>
        <v/>
      </c>
      <c r="E6">
        <f>IFERROR(AGGREGATE(15,6,ROW('Input Transaksi'!$B$5:$B$5000)/('Input Transaksi'!$B$5:$B$5000="BALI WASH GALANG"),ROWS($E$5:E6)),"")</f>
        <v/>
      </c>
      <c r="F6" s="5" t="n"/>
    </row>
    <row r="7">
      <c r="A7" s="10">
        <f>IF($E7="","",INDEX('Input Transaksi'!$A:$A,$E7))</f>
        <v/>
      </c>
      <c r="B7" s="5">
        <f>IF($E7="","",INDEX('Input Transaksi'!$D:$D,$E7))</f>
        <v/>
      </c>
      <c r="C7">
        <f>IF($E7="","",INDEX('Input Transaksi'!$E:$E,$E7))</f>
        <v/>
      </c>
      <c r="D7" s="5">
        <f>IF($E7="","",INDEX('Input Transaksi'!$F:$F,$E7))</f>
        <v/>
      </c>
      <c r="E7">
        <f>IFERROR(AGGREGATE(15,6,ROW('Input Transaksi'!$B$5:$B$5000)/('Input Transaksi'!$B$5:$B$5000="BALI WASH GALANG"),ROWS($E$5:E7)),"")</f>
        <v/>
      </c>
      <c r="F7" s="5" t="n"/>
    </row>
    <row r="8">
      <c r="A8" s="10">
        <f>IF($E8="","",INDEX('Input Transaksi'!$A:$A,$E8))</f>
        <v/>
      </c>
      <c r="B8" s="5">
        <f>IF($E8="","",INDEX('Input Transaksi'!$D:$D,$E8))</f>
        <v/>
      </c>
      <c r="C8">
        <f>IF($E8="","",INDEX('Input Transaksi'!$E:$E,$E8))</f>
        <v/>
      </c>
      <c r="D8" s="5">
        <f>IF($E8="","",INDEX('Input Transaksi'!$F:$F,$E8))</f>
        <v/>
      </c>
      <c r="E8">
        <f>IFERROR(AGGREGATE(15,6,ROW('Input Transaksi'!$B$5:$B$5000)/('Input Transaksi'!$B$5:$B$5000="BALI WASH GALANG"),ROWS($E$5:E8)),"")</f>
        <v/>
      </c>
      <c r="F8" s="5" t="n"/>
    </row>
    <row r="9">
      <c r="A9" s="10">
        <f>IF($E9="","",INDEX('Input Transaksi'!$A:$A,$E9))</f>
        <v/>
      </c>
      <c r="B9" s="5">
        <f>IF($E9="","",INDEX('Input Transaksi'!$D:$D,$E9))</f>
        <v/>
      </c>
      <c r="C9">
        <f>IF($E9="","",INDEX('Input Transaksi'!$E:$E,$E9))</f>
        <v/>
      </c>
      <c r="D9" s="5">
        <f>IF($E9="","",INDEX('Input Transaksi'!$F:$F,$E9))</f>
        <v/>
      </c>
      <c r="E9">
        <f>IFERROR(AGGREGATE(15,6,ROW('Input Transaksi'!$B$5:$B$5000)/('Input Transaksi'!$B$5:$B$5000="BALI WASH GALANG"),ROWS($E$5:E9)),"")</f>
        <v/>
      </c>
      <c r="F9" s="5" t="n"/>
    </row>
    <row r="10">
      <c r="A10" s="10">
        <f>IF($E10="","",INDEX('Input Transaksi'!$A:$A,$E10))</f>
        <v/>
      </c>
      <c r="B10" s="5">
        <f>IF($E10="","",INDEX('Input Transaksi'!$D:$D,$E10))</f>
        <v/>
      </c>
      <c r="C10">
        <f>IF($E10="","",INDEX('Input Transaksi'!$E:$E,$E10))</f>
        <v/>
      </c>
      <c r="D10" s="5">
        <f>IF($E10="","",INDEX('Input Transaksi'!$F:$F,$E10))</f>
        <v/>
      </c>
      <c r="E10">
        <f>IFERROR(AGGREGATE(15,6,ROW('Input Transaksi'!$B$5:$B$5000)/('Input Transaksi'!$B$5:$B$5000="BALI WASH GALANG"),ROWS($E$5:E10)),"")</f>
        <v/>
      </c>
      <c r="F10" s="5" t="n"/>
    </row>
    <row r="11">
      <c r="A11" s="10">
        <f>IF($E11="","",INDEX('Input Transaksi'!$A:$A,$E11))</f>
        <v/>
      </c>
      <c r="B11" s="5">
        <f>IF($E11="","",INDEX('Input Transaksi'!$D:$D,$E11))</f>
        <v/>
      </c>
      <c r="C11">
        <f>IF($E11="","",INDEX('Input Transaksi'!$E:$E,$E11))</f>
        <v/>
      </c>
      <c r="D11" s="5">
        <f>IF($E11="","",INDEX('Input Transaksi'!$F:$F,$E11))</f>
        <v/>
      </c>
      <c r="E11">
        <f>IFERROR(AGGREGATE(15,6,ROW('Input Transaksi'!$B$5:$B$5000)/('Input Transaksi'!$B$5:$B$5000="BALI WASH GALANG"),ROWS($E$5:E11)),"")</f>
        <v/>
      </c>
      <c r="F11" s="5" t="n"/>
    </row>
    <row r="12">
      <c r="A12" s="10">
        <f>IF($E12="","",INDEX('Input Transaksi'!$A:$A,$E12))</f>
        <v/>
      </c>
      <c r="B12" s="5">
        <f>IF($E12="","",INDEX('Input Transaksi'!$D:$D,$E12))</f>
        <v/>
      </c>
      <c r="C12">
        <f>IF($E12="","",INDEX('Input Transaksi'!$E:$E,$E12))</f>
        <v/>
      </c>
      <c r="D12" s="5">
        <f>IF($E12="","",INDEX('Input Transaksi'!$F:$F,$E12))</f>
        <v/>
      </c>
      <c r="E12">
        <f>IFERROR(AGGREGATE(15,6,ROW('Input Transaksi'!$B$5:$B$5000)/('Input Transaksi'!$B$5:$B$5000="BALI WASH GALANG"),ROWS($E$5:E12)),"")</f>
        <v/>
      </c>
      <c r="F12" s="5" t="n"/>
    </row>
    <row r="13">
      <c r="A13" s="10">
        <f>IF($E13="","",INDEX('Input Transaksi'!$A:$A,$E13))</f>
        <v/>
      </c>
      <c r="B13" s="5">
        <f>IF($E13="","",INDEX('Input Transaksi'!$D:$D,$E13))</f>
        <v/>
      </c>
      <c r="C13">
        <f>IF($E13="","",INDEX('Input Transaksi'!$E:$E,$E13))</f>
        <v/>
      </c>
      <c r="D13" s="5">
        <f>IF($E13="","",INDEX('Input Transaksi'!$F:$F,$E13))</f>
        <v/>
      </c>
      <c r="E13">
        <f>IFERROR(AGGREGATE(15,6,ROW('Input Transaksi'!$B$5:$B$5000)/('Input Transaksi'!$B$5:$B$5000="BALI WASH GALANG"),ROWS($E$5:E13)),"")</f>
        <v/>
      </c>
      <c r="F13" s="5" t="n"/>
    </row>
    <row r="14">
      <c r="A14" s="10">
        <f>IF($E14="","",INDEX('Input Transaksi'!$A:$A,$E14))</f>
        <v/>
      </c>
      <c r="B14" s="5">
        <f>IF($E14="","",INDEX('Input Transaksi'!$D:$D,$E14))</f>
        <v/>
      </c>
      <c r="C14">
        <f>IF($E14="","",INDEX('Input Transaksi'!$E:$E,$E14))</f>
        <v/>
      </c>
      <c r="D14" s="5">
        <f>IF($E14="","",INDEX('Input Transaksi'!$F:$F,$E14))</f>
        <v/>
      </c>
      <c r="E14">
        <f>IFERROR(AGGREGATE(15,6,ROW('Input Transaksi'!$B$5:$B$5000)/('Input Transaksi'!$B$5:$B$5000="BALI WASH GALANG"),ROWS($E$5:E14)),"")</f>
        <v/>
      </c>
      <c r="F14" s="5" t="n"/>
    </row>
    <row r="15">
      <c r="A15" s="10">
        <f>IF($E15="","",INDEX('Input Transaksi'!$A:$A,$E15))</f>
        <v/>
      </c>
      <c r="B15" s="5">
        <f>IF($E15="","",INDEX('Input Transaksi'!$D:$D,$E15))</f>
        <v/>
      </c>
      <c r="C15">
        <f>IF($E15="","",INDEX('Input Transaksi'!$E:$E,$E15))</f>
        <v/>
      </c>
      <c r="D15" s="5">
        <f>IF($E15="","",INDEX('Input Transaksi'!$F:$F,$E15))</f>
        <v/>
      </c>
      <c r="E15">
        <f>IFERROR(AGGREGATE(15,6,ROW('Input Transaksi'!$B$5:$B$5000)/('Input Transaksi'!$B$5:$B$5000="BALI WASH GALANG"),ROWS($E$5:E15)),"")</f>
        <v/>
      </c>
      <c r="F15" s="5" t="n"/>
    </row>
    <row r="16">
      <c r="A16" s="10">
        <f>IF($E16="","",INDEX('Input Transaksi'!$A:$A,$E16))</f>
        <v/>
      </c>
      <c r="B16" s="5">
        <f>IF($E16="","",INDEX('Input Transaksi'!$D:$D,$E16))</f>
        <v/>
      </c>
      <c r="C16">
        <f>IF($E16="","",INDEX('Input Transaksi'!$E:$E,$E16))</f>
        <v/>
      </c>
      <c r="D16" s="5">
        <f>IF($E16="","",INDEX('Input Transaksi'!$F:$F,$E16))</f>
        <v/>
      </c>
      <c r="E16">
        <f>IFERROR(AGGREGATE(15,6,ROW('Input Transaksi'!$B$5:$B$5000)/('Input Transaksi'!$B$5:$B$5000="BALI WASH GALANG"),ROWS($E$5:E16)),"")</f>
        <v/>
      </c>
      <c r="F16" s="5" t="n"/>
    </row>
    <row r="17">
      <c r="A17" s="10">
        <f>IF($E17="","",INDEX('Input Transaksi'!$A:$A,$E17))</f>
        <v/>
      </c>
      <c r="B17" s="5">
        <f>IF($E17="","",INDEX('Input Transaksi'!$D:$D,$E17))</f>
        <v/>
      </c>
      <c r="C17">
        <f>IF($E17="","",INDEX('Input Transaksi'!$E:$E,$E17))</f>
        <v/>
      </c>
      <c r="D17" s="5">
        <f>IF($E17="","",INDEX('Input Transaksi'!$F:$F,$E17))</f>
        <v/>
      </c>
      <c r="E17">
        <f>IFERROR(AGGREGATE(15,6,ROW('Input Transaksi'!$B$5:$B$5000)/('Input Transaksi'!$B$5:$B$5000="BALI WASH GALANG"),ROWS($E$5:E17)),"")</f>
        <v/>
      </c>
      <c r="F17" s="5" t="n"/>
    </row>
    <row r="18">
      <c r="A18" s="10">
        <f>IF($E18="","",INDEX('Input Transaksi'!$A:$A,$E18))</f>
        <v/>
      </c>
      <c r="B18" s="5">
        <f>IF($E18="","",INDEX('Input Transaksi'!$D:$D,$E18))</f>
        <v/>
      </c>
      <c r="C18">
        <f>IF($E18="","",INDEX('Input Transaksi'!$E:$E,$E18))</f>
        <v/>
      </c>
      <c r="D18" s="5">
        <f>IF($E18="","",INDEX('Input Transaksi'!$F:$F,$E18))</f>
        <v/>
      </c>
      <c r="E18">
        <f>IFERROR(AGGREGATE(15,6,ROW('Input Transaksi'!$B$5:$B$5000)/('Input Transaksi'!$B$5:$B$5000="BALI WASH GALANG"),ROWS($E$5:E18)),"")</f>
        <v/>
      </c>
      <c r="F18" s="5" t="n"/>
    </row>
    <row r="19">
      <c r="A19" s="10">
        <f>IF($E19="","",INDEX('Input Transaksi'!$A:$A,$E19))</f>
        <v/>
      </c>
      <c r="B19" s="5">
        <f>IF($E19="","",INDEX('Input Transaksi'!$D:$D,$E19))</f>
        <v/>
      </c>
      <c r="C19">
        <f>IF($E19="","",INDEX('Input Transaksi'!$E:$E,$E19))</f>
        <v/>
      </c>
      <c r="D19" s="5">
        <f>IF($E19="","",INDEX('Input Transaksi'!$F:$F,$E19))</f>
        <v/>
      </c>
      <c r="E19">
        <f>IFERROR(AGGREGATE(15,6,ROW('Input Transaksi'!$B$5:$B$5000)/('Input Transaksi'!$B$5:$B$5000="BALI WASH GALANG"),ROWS($E$5:E19)),"")</f>
        <v/>
      </c>
      <c r="F19" s="5" t="n"/>
    </row>
    <row r="20">
      <c r="A20" s="10">
        <f>IF($E20="","",INDEX('Input Transaksi'!$A:$A,$E20))</f>
        <v/>
      </c>
      <c r="B20" s="5">
        <f>IF($E20="","",INDEX('Input Transaksi'!$D:$D,$E20))</f>
        <v/>
      </c>
      <c r="C20">
        <f>IF($E20="","",INDEX('Input Transaksi'!$E:$E,$E20))</f>
        <v/>
      </c>
      <c r="D20" s="5">
        <f>IF($E20="","",INDEX('Input Transaksi'!$F:$F,$E20))</f>
        <v/>
      </c>
      <c r="E20">
        <f>IFERROR(AGGREGATE(15,6,ROW('Input Transaksi'!$B$5:$B$5000)/('Input Transaksi'!$B$5:$B$5000="BALI WASH GALANG"),ROWS($E$5:E20)),"")</f>
        <v/>
      </c>
      <c r="F20" s="5" t="n"/>
    </row>
    <row r="21">
      <c r="A21" s="10">
        <f>IF($E21="","",INDEX('Input Transaksi'!$A:$A,$E21))</f>
        <v/>
      </c>
      <c r="B21" s="5">
        <f>IF($E21="","",INDEX('Input Transaksi'!$D:$D,$E21))</f>
        <v/>
      </c>
      <c r="C21">
        <f>IF($E21="","",INDEX('Input Transaksi'!$E:$E,$E21))</f>
        <v/>
      </c>
      <c r="D21" s="5">
        <f>IF($E21="","",INDEX('Input Transaksi'!$F:$F,$E21))</f>
        <v/>
      </c>
      <c r="E21">
        <f>IFERROR(AGGREGATE(15,6,ROW('Input Transaksi'!$B$5:$B$5000)/('Input Transaksi'!$B$5:$B$5000="BALI WASH GALANG"),ROWS($E$5:E21)),"")</f>
        <v/>
      </c>
      <c r="F21" s="5" t="n"/>
    </row>
    <row r="22">
      <c r="A22" s="10">
        <f>IF($E22="","",INDEX('Input Transaksi'!$A:$A,$E22))</f>
        <v/>
      </c>
      <c r="B22" s="5">
        <f>IF($E22="","",INDEX('Input Transaksi'!$D:$D,$E22))</f>
        <v/>
      </c>
      <c r="C22">
        <f>IF($E22="","",INDEX('Input Transaksi'!$E:$E,$E22))</f>
        <v/>
      </c>
      <c r="D22" s="5">
        <f>IF($E22="","",INDEX('Input Transaksi'!$F:$F,$E22))</f>
        <v/>
      </c>
      <c r="E22">
        <f>IFERROR(AGGREGATE(15,6,ROW('Input Transaksi'!$B$5:$B$5000)/('Input Transaksi'!$B$5:$B$5000="BALI WASH GALANG"),ROWS($E$5:E22)),"")</f>
        <v/>
      </c>
      <c r="F22" s="5" t="n"/>
    </row>
    <row r="23">
      <c r="A23" s="10">
        <f>IF($E23="","",INDEX('Input Transaksi'!$A:$A,$E23))</f>
        <v/>
      </c>
      <c r="B23" s="5">
        <f>IF($E23="","",INDEX('Input Transaksi'!$D:$D,$E23))</f>
        <v/>
      </c>
      <c r="C23">
        <f>IF($E23="","",INDEX('Input Transaksi'!$E:$E,$E23))</f>
        <v/>
      </c>
      <c r="D23" s="5">
        <f>IF($E23="","",INDEX('Input Transaksi'!$F:$F,$E23))</f>
        <v/>
      </c>
      <c r="E23">
        <f>IFERROR(AGGREGATE(15,6,ROW('Input Transaksi'!$B$5:$B$5000)/('Input Transaksi'!$B$5:$B$5000="BALI WASH GALANG"),ROWS($E$5:E23)),"")</f>
        <v/>
      </c>
      <c r="F23" s="5" t="n"/>
    </row>
    <row r="24">
      <c r="A24" s="10">
        <f>IF($E24="","",INDEX('Input Transaksi'!$A:$A,$E24))</f>
        <v/>
      </c>
      <c r="B24" s="5">
        <f>IF($E24="","",INDEX('Input Transaksi'!$D:$D,$E24))</f>
        <v/>
      </c>
      <c r="C24">
        <f>IF($E24="","",INDEX('Input Transaksi'!$E:$E,$E24))</f>
        <v/>
      </c>
      <c r="D24" s="5">
        <f>IF($E24="","",INDEX('Input Transaksi'!$F:$F,$E24))</f>
        <v/>
      </c>
      <c r="E24">
        <f>IFERROR(AGGREGATE(15,6,ROW('Input Transaksi'!$B$5:$B$5000)/('Input Transaksi'!$B$5:$B$5000="BALI WASH GALANG"),ROWS($E$5:E24)),"")</f>
        <v/>
      </c>
      <c r="F24" s="5" t="n"/>
    </row>
    <row r="25">
      <c r="A25" s="10">
        <f>IF($E25="","",INDEX('Input Transaksi'!$A:$A,$E25))</f>
        <v/>
      </c>
      <c r="B25" s="5">
        <f>IF($E25="","",INDEX('Input Transaksi'!$D:$D,$E25))</f>
        <v/>
      </c>
      <c r="C25">
        <f>IF($E25="","",INDEX('Input Transaksi'!$E:$E,$E25))</f>
        <v/>
      </c>
      <c r="D25" s="5">
        <f>IF($E25="","",INDEX('Input Transaksi'!$F:$F,$E25))</f>
        <v/>
      </c>
      <c r="E25">
        <f>IFERROR(AGGREGATE(15,6,ROW('Input Transaksi'!$B$5:$B$5000)/('Input Transaksi'!$B$5:$B$5000="BALI WASH GALANG"),ROWS($E$5:E25)),"")</f>
        <v/>
      </c>
      <c r="F25" s="5" t="n"/>
    </row>
    <row r="26">
      <c r="A26" s="10">
        <f>IF($E26="","",INDEX('Input Transaksi'!$A:$A,$E26))</f>
        <v/>
      </c>
      <c r="B26" s="5">
        <f>IF($E26="","",INDEX('Input Transaksi'!$D:$D,$E26))</f>
        <v/>
      </c>
      <c r="C26">
        <f>IF($E26="","",INDEX('Input Transaksi'!$E:$E,$E26))</f>
        <v/>
      </c>
      <c r="D26" s="5">
        <f>IF($E26="","",INDEX('Input Transaksi'!$F:$F,$E26))</f>
        <v/>
      </c>
      <c r="E26">
        <f>IFERROR(AGGREGATE(15,6,ROW('Input Transaksi'!$B$5:$B$5000)/('Input Transaksi'!$B$5:$B$5000="BALI WASH GALANG"),ROWS($E$5:E26)),"")</f>
        <v/>
      </c>
      <c r="F26" s="5" t="n"/>
    </row>
    <row r="27">
      <c r="A27" s="10">
        <f>IF($E27="","",INDEX('Input Transaksi'!$A:$A,$E27))</f>
        <v/>
      </c>
      <c r="B27" s="5">
        <f>IF($E27="","",INDEX('Input Transaksi'!$D:$D,$E27))</f>
        <v/>
      </c>
      <c r="C27">
        <f>IF($E27="","",INDEX('Input Transaksi'!$E:$E,$E27))</f>
        <v/>
      </c>
      <c r="D27" s="5">
        <f>IF($E27="","",INDEX('Input Transaksi'!$F:$F,$E27))</f>
        <v/>
      </c>
      <c r="E27">
        <f>IFERROR(AGGREGATE(15,6,ROW('Input Transaksi'!$B$5:$B$5000)/('Input Transaksi'!$B$5:$B$5000="BALI WASH GALANG"),ROWS($E$5:E27)),"")</f>
        <v/>
      </c>
      <c r="F27" s="5" t="n"/>
    </row>
    <row r="28">
      <c r="A28" s="10">
        <f>IF($E28="","",INDEX('Input Transaksi'!$A:$A,$E28))</f>
        <v/>
      </c>
      <c r="B28" s="5">
        <f>IF($E28="","",INDEX('Input Transaksi'!$D:$D,$E28))</f>
        <v/>
      </c>
      <c r="C28">
        <f>IF($E28="","",INDEX('Input Transaksi'!$E:$E,$E28))</f>
        <v/>
      </c>
      <c r="D28" s="5">
        <f>IF($E28="","",INDEX('Input Transaksi'!$F:$F,$E28))</f>
        <v/>
      </c>
      <c r="E28">
        <f>IFERROR(AGGREGATE(15,6,ROW('Input Transaksi'!$B$5:$B$5000)/('Input Transaksi'!$B$5:$B$5000="BALI WASH GALANG"),ROWS($E$5:E28)),"")</f>
        <v/>
      </c>
      <c r="F28" s="5" t="n"/>
    </row>
    <row r="29">
      <c r="A29" s="10">
        <f>IF($E29="","",INDEX('Input Transaksi'!$A:$A,$E29))</f>
        <v/>
      </c>
      <c r="B29" s="5">
        <f>IF($E29="","",INDEX('Input Transaksi'!$D:$D,$E29))</f>
        <v/>
      </c>
      <c r="C29">
        <f>IF($E29="","",INDEX('Input Transaksi'!$E:$E,$E29))</f>
        <v/>
      </c>
      <c r="D29" s="5">
        <f>IF($E29="","",INDEX('Input Transaksi'!$F:$F,$E29))</f>
        <v/>
      </c>
      <c r="E29">
        <f>IFERROR(AGGREGATE(15,6,ROW('Input Transaksi'!$B$5:$B$5000)/('Input Transaksi'!$B$5:$B$5000="BALI WASH GALANG"),ROWS($E$5:E29)),"")</f>
        <v/>
      </c>
      <c r="F29" s="5" t="n"/>
    </row>
    <row r="30">
      <c r="A30" s="10">
        <f>IF($E30="","",INDEX('Input Transaksi'!$A:$A,$E30))</f>
        <v/>
      </c>
      <c r="B30" s="5">
        <f>IF($E30="","",INDEX('Input Transaksi'!$D:$D,$E30))</f>
        <v/>
      </c>
      <c r="C30">
        <f>IF($E30="","",INDEX('Input Transaksi'!$E:$E,$E30))</f>
        <v/>
      </c>
      <c r="D30" s="5">
        <f>IF($E30="","",INDEX('Input Transaksi'!$F:$F,$E30))</f>
        <v/>
      </c>
      <c r="E30">
        <f>IFERROR(AGGREGATE(15,6,ROW('Input Transaksi'!$B$5:$B$5000)/('Input Transaksi'!$B$5:$B$5000="BALI WASH GALANG"),ROWS($E$5:E30)),"")</f>
        <v/>
      </c>
      <c r="F30" s="5" t="n"/>
    </row>
    <row r="31">
      <c r="A31" s="10">
        <f>IF($E31="","",INDEX('Input Transaksi'!$A:$A,$E31))</f>
        <v/>
      </c>
      <c r="B31" s="5">
        <f>IF($E31="","",INDEX('Input Transaksi'!$D:$D,$E31))</f>
        <v/>
      </c>
      <c r="C31">
        <f>IF($E31="","",INDEX('Input Transaksi'!$E:$E,$E31))</f>
        <v/>
      </c>
      <c r="D31" s="5">
        <f>IF($E31="","",INDEX('Input Transaksi'!$F:$F,$E31))</f>
        <v/>
      </c>
      <c r="E31">
        <f>IFERROR(AGGREGATE(15,6,ROW('Input Transaksi'!$B$5:$B$5000)/('Input Transaksi'!$B$5:$B$5000="BALI WASH GALANG"),ROWS($E$5:E31)),"")</f>
        <v/>
      </c>
      <c r="F31" s="5" t="n"/>
    </row>
    <row r="32">
      <c r="A32" s="10">
        <f>IF($E32="","",INDEX('Input Transaksi'!$A:$A,$E32))</f>
        <v/>
      </c>
      <c r="B32" s="5">
        <f>IF($E32="","",INDEX('Input Transaksi'!$D:$D,$E32))</f>
        <v/>
      </c>
      <c r="C32">
        <f>IF($E32="","",INDEX('Input Transaksi'!$E:$E,$E32))</f>
        <v/>
      </c>
      <c r="D32" s="5">
        <f>IF($E32="","",INDEX('Input Transaksi'!$F:$F,$E32))</f>
        <v/>
      </c>
      <c r="E32">
        <f>IFERROR(AGGREGATE(15,6,ROW('Input Transaksi'!$B$5:$B$5000)/('Input Transaksi'!$B$5:$B$5000="BALI WASH GALANG"),ROWS($E$5:E32)),"")</f>
        <v/>
      </c>
      <c r="F32" s="5" t="n"/>
    </row>
    <row r="33">
      <c r="A33" s="10">
        <f>IF($E33="","",INDEX('Input Transaksi'!$A:$A,$E33))</f>
        <v/>
      </c>
      <c r="B33" s="5">
        <f>IF($E33="","",INDEX('Input Transaksi'!$D:$D,$E33))</f>
        <v/>
      </c>
      <c r="C33">
        <f>IF($E33="","",INDEX('Input Transaksi'!$E:$E,$E33))</f>
        <v/>
      </c>
      <c r="D33" s="5">
        <f>IF($E33="","",INDEX('Input Transaksi'!$F:$F,$E33))</f>
        <v/>
      </c>
      <c r="E33">
        <f>IFERROR(AGGREGATE(15,6,ROW('Input Transaksi'!$B$5:$B$5000)/('Input Transaksi'!$B$5:$B$5000="BALI WASH GALANG"),ROWS($E$5:E33)),"")</f>
        <v/>
      </c>
      <c r="F33" s="5" t="n"/>
    </row>
    <row r="34">
      <c r="A34" s="10">
        <f>IF($E34="","",INDEX('Input Transaksi'!$A:$A,$E34))</f>
        <v/>
      </c>
      <c r="B34" s="5">
        <f>IF($E34="","",INDEX('Input Transaksi'!$D:$D,$E34))</f>
        <v/>
      </c>
      <c r="C34">
        <f>IF($E34="","",INDEX('Input Transaksi'!$E:$E,$E34))</f>
        <v/>
      </c>
      <c r="D34" s="5">
        <f>IF($E34="","",INDEX('Input Transaksi'!$F:$F,$E34))</f>
        <v/>
      </c>
      <c r="E34">
        <f>IFERROR(AGGREGATE(15,6,ROW('Input Transaksi'!$B$5:$B$5000)/('Input Transaksi'!$B$5:$B$5000="BALI WASH GALANG"),ROWS($E$5:E34)),"")</f>
        <v/>
      </c>
      <c r="F34" s="5" t="n"/>
    </row>
    <row r="35">
      <c r="A35" s="10">
        <f>IF($E35="","",INDEX('Input Transaksi'!$A:$A,$E35))</f>
        <v/>
      </c>
      <c r="B35" s="5">
        <f>IF($E35="","",INDEX('Input Transaksi'!$D:$D,$E35))</f>
        <v/>
      </c>
      <c r="C35">
        <f>IF($E35="","",INDEX('Input Transaksi'!$E:$E,$E35))</f>
        <v/>
      </c>
      <c r="D35" s="5">
        <f>IF($E35="","",INDEX('Input Transaksi'!$F:$F,$E35))</f>
        <v/>
      </c>
      <c r="E35">
        <f>IFERROR(AGGREGATE(15,6,ROW('Input Transaksi'!$B$5:$B$5000)/('Input Transaksi'!$B$5:$B$5000="BALI WASH GALANG"),ROWS($E$5:E35)),"")</f>
        <v/>
      </c>
      <c r="F35" s="5" t="n"/>
    </row>
    <row r="36">
      <c r="A36" s="10">
        <f>IF($E36="","",INDEX('Input Transaksi'!$A:$A,$E36))</f>
        <v/>
      </c>
      <c r="B36" s="5">
        <f>IF($E36="","",INDEX('Input Transaksi'!$D:$D,$E36))</f>
        <v/>
      </c>
      <c r="C36">
        <f>IF($E36="","",INDEX('Input Transaksi'!$E:$E,$E36))</f>
        <v/>
      </c>
      <c r="D36" s="5">
        <f>IF($E36="","",INDEX('Input Transaksi'!$F:$F,$E36))</f>
        <v/>
      </c>
      <c r="E36">
        <f>IFERROR(AGGREGATE(15,6,ROW('Input Transaksi'!$B$5:$B$5000)/('Input Transaksi'!$B$5:$B$5000="BALI WASH GALANG"),ROWS($E$5:E36)),"")</f>
        <v/>
      </c>
      <c r="F36" s="5" t="n"/>
    </row>
    <row r="37">
      <c r="A37" s="10">
        <f>IF($E37="","",INDEX('Input Transaksi'!$A:$A,$E37))</f>
        <v/>
      </c>
      <c r="B37" s="5">
        <f>IF($E37="","",INDEX('Input Transaksi'!$D:$D,$E37))</f>
        <v/>
      </c>
      <c r="C37">
        <f>IF($E37="","",INDEX('Input Transaksi'!$E:$E,$E37))</f>
        <v/>
      </c>
      <c r="D37" s="5">
        <f>IF($E37="","",INDEX('Input Transaksi'!$F:$F,$E37))</f>
        <v/>
      </c>
      <c r="E37">
        <f>IFERROR(AGGREGATE(15,6,ROW('Input Transaksi'!$B$5:$B$5000)/('Input Transaksi'!$B$5:$B$5000="BALI WASH GALANG"),ROWS($E$5:E37)),"")</f>
        <v/>
      </c>
      <c r="F37" s="5" t="n"/>
    </row>
    <row r="38">
      <c r="A38" s="10">
        <f>IF($E38="","",INDEX('Input Transaksi'!$A:$A,$E38))</f>
        <v/>
      </c>
      <c r="B38" s="5">
        <f>IF($E38="","",INDEX('Input Transaksi'!$D:$D,$E38))</f>
        <v/>
      </c>
      <c r="C38">
        <f>IF($E38="","",INDEX('Input Transaksi'!$E:$E,$E38))</f>
        <v/>
      </c>
      <c r="D38" s="5">
        <f>IF($E38="","",INDEX('Input Transaksi'!$F:$F,$E38))</f>
        <v/>
      </c>
      <c r="E38">
        <f>IFERROR(AGGREGATE(15,6,ROW('Input Transaksi'!$B$5:$B$5000)/('Input Transaksi'!$B$5:$B$5000="BALI WASH GALANG"),ROWS($E$5:E38)),"")</f>
        <v/>
      </c>
      <c r="F38" s="5" t="n"/>
    </row>
    <row r="39">
      <c r="A39" s="10">
        <f>IF($E39="","",INDEX('Input Transaksi'!$A:$A,$E39))</f>
        <v/>
      </c>
      <c r="B39" s="5">
        <f>IF($E39="","",INDEX('Input Transaksi'!$D:$D,$E39))</f>
        <v/>
      </c>
      <c r="C39">
        <f>IF($E39="","",INDEX('Input Transaksi'!$E:$E,$E39))</f>
        <v/>
      </c>
      <c r="D39" s="5">
        <f>IF($E39="","",INDEX('Input Transaksi'!$F:$F,$E39))</f>
        <v/>
      </c>
      <c r="E39">
        <f>IFERROR(AGGREGATE(15,6,ROW('Input Transaksi'!$B$5:$B$5000)/('Input Transaksi'!$B$5:$B$5000="BALI WASH GALANG"),ROWS($E$5:E39)),"")</f>
        <v/>
      </c>
      <c r="F39" s="5" t="n"/>
    </row>
    <row r="40">
      <c r="A40" s="10">
        <f>IF($E40="","",INDEX('Input Transaksi'!$A:$A,$E40))</f>
        <v/>
      </c>
      <c r="B40" s="5">
        <f>IF($E40="","",INDEX('Input Transaksi'!$D:$D,$E40))</f>
        <v/>
      </c>
      <c r="C40">
        <f>IF($E40="","",INDEX('Input Transaksi'!$E:$E,$E40))</f>
        <v/>
      </c>
      <c r="D40" s="5">
        <f>IF($E40="","",INDEX('Input Transaksi'!$F:$F,$E40))</f>
        <v/>
      </c>
      <c r="E40">
        <f>IFERROR(AGGREGATE(15,6,ROW('Input Transaksi'!$B$5:$B$5000)/('Input Transaksi'!$B$5:$B$5000="BALI WASH GALANG"),ROWS($E$5:E40)),"")</f>
        <v/>
      </c>
      <c r="F40" s="5" t="n"/>
    </row>
    <row r="41">
      <c r="A41" s="10">
        <f>IF($E41="","",INDEX('Input Transaksi'!$A:$A,$E41))</f>
        <v/>
      </c>
      <c r="B41" s="5">
        <f>IF($E41="","",INDEX('Input Transaksi'!$D:$D,$E41))</f>
        <v/>
      </c>
      <c r="C41">
        <f>IF($E41="","",INDEX('Input Transaksi'!$E:$E,$E41))</f>
        <v/>
      </c>
      <c r="D41" s="5">
        <f>IF($E41="","",INDEX('Input Transaksi'!$F:$F,$E41))</f>
        <v/>
      </c>
      <c r="E41">
        <f>IFERROR(AGGREGATE(15,6,ROW('Input Transaksi'!$B$5:$B$5000)/('Input Transaksi'!$B$5:$B$5000="BALI WASH GALANG"),ROWS($E$5:E41)),"")</f>
        <v/>
      </c>
      <c r="F41" s="5" t="n"/>
    </row>
    <row r="42">
      <c r="A42" s="10">
        <f>IF($E42="","",INDEX('Input Transaksi'!$A:$A,$E42))</f>
        <v/>
      </c>
      <c r="B42" s="5">
        <f>IF($E42="","",INDEX('Input Transaksi'!$D:$D,$E42))</f>
        <v/>
      </c>
      <c r="C42">
        <f>IF($E42="","",INDEX('Input Transaksi'!$E:$E,$E42))</f>
        <v/>
      </c>
      <c r="D42" s="5">
        <f>IF($E42="","",INDEX('Input Transaksi'!$F:$F,$E42))</f>
        <v/>
      </c>
      <c r="E42">
        <f>IFERROR(AGGREGATE(15,6,ROW('Input Transaksi'!$B$5:$B$5000)/('Input Transaksi'!$B$5:$B$5000="BALI WASH GALANG"),ROWS($E$5:E42)),"")</f>
        <v/>
      </c>
      <c r="F42" s="5" t="n"/>
    </row>
    <row r="43">
      <c r="A43" s="10">
        <f>IF($E43="","",INDEX('Input Transaksi'!$A:$A,$E43))</f>
        <v/>
      </c>
      <c r="B43" s="5">
        <f>IF($E43="","",INDEX('Input Transaksi'!$D:$D,$E43))</f>
        <v/>
      </c>
      <c r="C43">
        <f>IF($E43="","",INDEX('Input Transaksi'!$E:$E,$E43))</f>
        <v/>
      </c>
      <c r="D43" s="5">
        <f>IF($E43="","",INDEX('Input Transaksi'!$F:$F,$E43))</f>
        <v/>
      </c>
      <c r="E43">
        <f>IFERROR(AGGREGATE(15,6,ROW('Input Transaksi'!$B$5:$B$5000)/('Input Transaksi'!$B$5:$B$5000="BALI WASH GALANG"),ROWS($E$5:E43)),"")</f>
        <v/>
      </c>
      <c r="F43" s="5" t="n"/>
    </row>
    <row r="44">
      <c r="A44" s="10">
        <f>IF($E44="","",INDEX('Input Transaksi'!$A:$A,$E44))</f>
        <v/>
      </c>
      <c r="B44" s="5">
        <f>IF($E44="","",INDEX('Input Transaksi'!$D:$D,$E44))</f>
        <v/>
      </c>
      <c r="C44">
        <f>IF($E44="","",INDEX('Input Transaksi'!$E:$E,$E44))</f>
        <v/>
      </c>
      <c r="D44" s="5">
        <f>IF($E44="","",INDEX('Input Transaksi'!$F:$F,$E44))</f>
        <v/>
      </c>
      <c r="E44">
        <f>IFERROR(AGGREGATE(15,6,ROW('Input Transaksi'!$B$5:$B$5000)/('Input Transaksi'!$B$5:$B$5000="BALI WASH GALANG"),ROWS($E$5:E44)),"")</f>
        <v/>
      </c>
      <c r="F44" s="5" t="n"/>
    </row>
    <row r="45">
      <c r="A45" s="10">
        <f>IF($E45="","",INDEX('Input Transaksi'!$A:$A,$E45))</f>
        <v/>
      </c>
      <c r="B45" s="5">
        <f>IF($E45="","",INDEX('Input Transaksi'!$D:$D,$E45))</f>
        <v/>
      </c>
      <c r="C45">
        <f>IF($E45="","",INDEX('Input Transaksi'!$E:$E,$E45))</f>
        <v/>
      </c>
      <c r="D45" s="5">
        <f>IF($E45="","",INDEX('Input Transaksi'!$F:$F,$E45))</f>
        <v/>
      </c>
      <c r="E45">
        <f>IFERROR(AGGREGATE(15,6,ROW('Input Transaksi'!$B$5:$B$5000)/('Input Transaksi'!$B$5:$B$5000="BALI WASH GALANG"),ROWS($E$5:E45)),"")</f>
        <v/>
      </c>
      <c r="F45" s="5" t="n"/>
    </row>
    <row r="46">
      <c r="A46" s="10">
        <f>IF($E46="","",INDEX('Input Transaksi'!$A:$A,$E46))</f>
        <v/>
      </c>
      <c r="B46" s="5">
        <f>IF($E46="","",INDEX('Input Transaksi'!$D:$D,$E46))</f>
        <v/>
      </c>
      <c r="C46">
        <f>IF($E46="","",INDEX('Input Transaksi'!$E:$E,$E46))</f>
        <v/>
      </c>
      <c r="D46" s="5">
        <f>IF($E46="","",INDEX('Input Transaksi'!$F:$F,$E46))</f>
        <v/>
      </c>
      <c r="E46">
        <f>IFERROR(AGGREGATE(15,6,ROW('Input Transaksi'!$B$5:$B$5000)/('Input Transaksi'!$B$5:$B$5000="BALI WASH GALANG"),ROWS($E$5:E46)),"")</f>
        <v/>
      </c>
      <c r="F46" s="5" t="n"/>
    </row>
    <row r="47">
      <c r="A47" s="10">
        <f>IF($E47="","",INDEX('Input Transaksi'!$A:$A,$E47))</f>
        <v/>
      </c>
      <c r="B47" s="5">
        <f>IF($E47="","",INDEX('Input Transaksi'!$D:$D,$E47))</f>
        <v/>
      </c>
      <c r="C47">
        <f>IF($E47="","",INDEX('Input Transaksi'!$E:$E,$E47))</f>
        <v/>
      </c>
      <c r="D47" s="5">
        <f>IF($E47="","",INDEX('Input Transaksi'!$F:$F,$E47))</f>
        <v/>
      </c>
      <c r="E47">
        <f>IFERROR(AGGREGATE(15,6,ROW('Input Transaksi'!$B$5:$B$5000)/('Input Transaksi'!$B$5:$B$5000="BALI WASH GALANG"),ROWS($E$5:E47)),"")</f>
        <v/>
      </c>
      <c r="F47" s="5" t="n"/>
    </row>
    <row r="48">
      <c r="A48" s="10">
        <f>IF($E48="","",INDEX('Input Transaksi'!$A:$A,$E48))</f>
        <v/>
      </c>
      <c r="B48" s="5">
        <f>IF($E48="","",INDEX('Input Transaksi'!$D:$D,$E48))</f>
        <v/>
      </c>
      <c r="C48">
        <f>IF($E48="","",INDEX('Input Transaksi'!$E:$E,$E48))</f>
        <v/>
      </c>
      <c r="D48" s="5">
        <f>IF($E48="","",INDEX('Input Transaksi'!$F:$F,$E48))</f>
        <v/>
      </c>
      <c r="E48">
        <f>IFERROR(AGGREGATE(15,6,ROW('Input Transaksi'!$B$5:$B$5000)/('Input Transaksi'!$B$5:$B$5000="BALI WASH GALANG"),ROWS($E$5:E48)),"")</f>
        <v/>
      </c>
      <c r="F48" s="5" t="n"/>
    </row>
    <row r="49">
      <c r="A49" s="10">
        <f>IF($E49="","",INDEX('Input Transaksi'!$A:$A,$E49))</f>
        <v/>
      </c>
      <c r="B49" s="5">
        <f>IF($E49="","",INDEX('Input Transaksi'!$D:$D,$E49))</f>
        <v/>
      </c>
      <c r="C49">
        <f>IF($E49="","",INDEX('Input Transaksi'!$E:$E,$E49))</f>
        <v/>
      </c>
      <c r="D49" s="5">
        <f>IF($E49="","",INDEX('Input Transaksi'!$F:$F,$E49))</f>
        <v/>
      </c>
      <c r="E49">
        <f>IFERROR(AGGREGATE(15,6,ROW('Input Transaksi'!$B$5:$B$5000)/('Input Transaksi'!$B$5:$B$5000="BALI WASH GALANG"),ROWS($E$5:E49)),"")</f>
        <v/>
      </c>
      <c r="F49" s="5" t="n"/>
    </row>
    <row r="50">
      <c r="A50" s="10">
        <f>IF($E50="","",INDEX('Input Transaksi'!$A:$A,$E50))</f>
        <v/>
      </c>
      <c r="B50" s="5">
        <f>IF($E50="","",INDEX('Input Transaksi'!$D:$D,$E50))</f>
        <v/>
      </c>
      <c r="C50">
        <f>IF($E50="","",INDEX('Input Transaksi'!$E:$E,$E50))</f>
        <v/>
      </c>
      <c r="D50" s="5">
        <f>IF($E50="","",INDEX('Input Transaksi'!$F:$F,$E50))</f>
        <v/>
      </c>
      <c r="E50">
        <f>IFERROR(AGGREGATE(15,6,ROW('Input Transaksi'!$B$5:$B$5000)/('Input Transaksi'!$B$5:$B$5000="BALI WASH GALANG"),ROWS($E$5:E50)),"")</f>
        <v/>
      </c>
      <c r="F50" s="5" t="n"/>
    </row>
    <row r="51">
      <c r="A51" s="10">
        <f>IF($E51="","",INDEX('Input Transaksi'!$A:$A,$E51))</f>
        <v/>
      </c>
      <c r="B51" s="5">
        <f>IF($E51="","",INDEX('Input Transaksi'!$D:$D,$E51))</f>
        <v/>
      </c>
      <c r="C51">
        <f>IF($E51="","",INDEX('Input Transaksi'!$E:$E,$E51))</f>
        <v/>
      </c>
      <c r="D51" s="5">
        <f>IF($E51="","",INDEX('Input Transaksi'!$F:$F,$E51))</f>
        <v/>
      </c>
      <c r="E51">
        <f>IFERROR(AGGREGATE(15,6,ROW('Input Transaksi'!$B$5:$B$5000)/('Input Transaksi'!$B$5:$B$5000="BALI WASH GALANG"),ROWS($E$5:E51)),"")</f>
        <v/>
      </c>
      <c r="F51" s="5" t="n"/>
    </row>
    <row r="52">
      <c r="A52" s="10">
        <f>IF($E52="","",INDEX('Input Transaksi'!$A:$A,$E52))</f>
        <v/>
      </c>
      <c r="B52" s="5">
        <f>IF($E52="","",INDEX('Input Transaksi'!$D:$D,$E52))</f>
        <v/>
      </c>
      <c r="C52">
        <f>IF($E52="","",INDEX('Input Transaksi'!$E:$E,$E52))</f>
        <v/>
      </c>
      <c r="D52" s="5">
        <f>IF($E52="","",INDEX('Input Transaksi'!$F:$F,$E52))</f>
        <v/>
      </c>
      <c r="E52">
        <f>IFERROR(AGGREGATE(15,6,ROW('Input Transaksi'!$B$5:$B$5000)/('Input Transaksi'!$B$5:$B$5000="BALI WASH GALANG"),ROWS($E$5:E52)),"")</f>
        <v/>
      </c>
      <c r="F52" s="5" t="n"/>
    </row>
    <row r="53">
      <c r="A53" s="10">
        <f>IF($E53="","",INDEX('Input Transaksi'!$A:$A,$E53))</f>
        <v/>
      </c>
      <c r="B53" s="5">
        <f>IF($E53="","",INDEX('Input Transaksi'!$D:$D,$E53))</f>
        <v/>
      </c>
      <c r="C53">
        <f>IF($E53="","",INDEX('Input Transaksi'!$E:$E,$E53))</f>
        <v/>
      </c>
      <c r="D53" s="5">
        <f>IF($E53="","",INDEX('Input Transaksi'!$F:$F,$E53))</f>
        <v/>
      </c>
      <c r="E53">
        <f>IFERROR(AGGREGATE(15,6,ROW('Input Transaksi'!$B$5:$B$5000)/('Input Transaksi'!$B$5:$B$5000="BALI WASH GALANG"),ROWS($E$5:E53)),"")</f>
        <v/>
      </c>
      <c r="F53" s="5" t="n"/>
    </row>
    <row r="54">
      <c r="A54" s="10">
        <f>IF($E54="","",INDEX('Input Transaksi'!$A:$A,$E54))</f>
        <v/>
      </c>
      <c r="B54" s="5">
        <f>IF($E54="","",INDEX('Input Transaksi'!$D:$D,$E54))</f>
        <v/>
      </c>
      <c r="C54">
        <f>IF($E54="","",INDEX('Input Transaksi'!$E:$E,$E54))</f>
        <v/>
      </c>
      <c r="D54" s="5">
        <f>IF($E54="","",INDEX('Input Transaksi'!$F:$F,$E54))</f>
        <v/>
      </c>
      <c r="E54">
        <f>IFERROR(AGGREGATE(15,6,ROW('Input Transaksi'!$B$5:$B$5000)/('Input Transaksi'!$B$5:$B$5000="BALI WASH GALANG"),ROWS($E$5:E54)),"")</f>
        <v/>
      </c>
      <c r="F54" s="5" t="n"/>
    </row>
    <row r="55">
      <c r="A55" s="10">
        <f>IF($E55="","",INDEX('Input Transaksi'!$A:$A,$E55))</f>
        <v/>
      </c>
      <c r="B55" s="5">
        <f>IF($E55="","",INDEX('Input Transaksi'!$D:$D,$E55))</f>
        <v/>
      </c>
      <c r="C55">
        <f>IF($E55="","",INDEX('Input Transaksi'!$E:$E,$E55))</f>
        <v/>
      </c>
      <c r="D55" s="5">
        <f>IF($E55="","",INDEX('Input Transaksi'!$F:$F,$E55))</f>
        <v/>
      </c>
      <c r="E55">
        <f>IFERROR(AGGREGATE(15,6,ROW('Input Transaksi'!$B$5:$B$5000)/('Input Transaksi'!$B$5:$B$5000="BALI WASH GALANG"),ROWS($E$5:E55)),"")</f>
        <v/>
      </c>
      <c r="F55" s="5" t="n"/>
    </row>
    <row r="56">
      <c r="A56" s="10">
        <f>IF($E56="","",INDEX('Input Transaksi'!$A:$A,$E56))</f>
        <v/>
      </c>
      <c r="B56" s="5">
        <f>IF($E56="","",INDEX('Input Transaksi'!$D:$D,$E56))</f>
        <v/>
      </c>
      <c r="C56">
        <f>IF($E56="","",INDEX('Input Transaksi'!$E:$E,$E56))</f>
        <v/>
      </c>
      <c r="D56" s="5">
        <f>IF($E56="","",INDEX('Input Transaksi'!$F:$F,$E56))</f>
        <v/>
      </c>
      <c r="E56">
        <f>IFERROR(AGGREGATE(15,6,ROW('Input Transaksi'!$B$5:$B$5000)/('Input Transaksi'!$B$5:$B$5000="BALI WASH GALANG"),ROWS($E$5:E56)),"")</f>
        <v/>
      </c>
      <c r="F56" s="5" t="n"/>
    </row>
    <row r="57">
      <c r="A57" s="10">
        <f>IF($E57="","",INDEX('Input Transaksi'!$A:$A,$E57))</f>
        <v/>
      </c>
      <c r="B57" s="5">
        <f>IF($E57="","",INDEX('Input Transaksi'!$D:$D,$E57))</f>
        <v/>
      </c>
      <c r="C57">
        <f>IF($E57="","",INDEX('Input Transaksi'!$E:$E,$E57))</f>
        <v/>
      </c>
      <c r="D57" s="5">
        <f>IF($E57="","",INDEX('Input Transaksi'!$F:$F,$E57))</f>
        <v/>
      </c>
      <c r="E57">
        <f>IFERROR(AGGREGATE(15,6,ROW('Input Transaksi'!$B$5:$B$5000)/('Input Transaksi'!$B$5:$B$5000="BALI WASH GALANG"),ROWS($E$5:E57)),"")</f>
        <v/>
      </c>
      <c r="F57" s="5" t="n"/>
    </row>
    <row r="58">
      <c r="A58" s="10">
        <f>IF($E58="","",INDEX('Input Transaksi'!$A:$A,$E58))</f>
        <v/>
      </c>
      <c r="B58" s="5">
        <f>IF($E58="","",INDEX('Input Transaksi'!$D:$D,$E58))</f>
        <v/>
      </c>
      <c r="C58">
        <f>IF($E58="","",INDEX('Input Transaksi'!$E:$E,$E58))</f>
        <v/>
      </c>
      <c r="D58" s="5">
        <f>IF($E58="","",INDEX('Input Transaksi'!$F:$F,$E58))</f>
        <v/>
      </c>
      <c r="E58">
        <f>IFERROR(AGGREGATE(15,6,ROW('Input Transaksi'!$B$5:$B$5000)/('Input Transaksi'!$B$5:$B$5000="BALI WASH GALANG"),ROWS($E$5:E58)),"")</f>
        <v/>
      </c>
      <c r="F58" s="5" t="n"/>
    </row>
    <row r="59">
      <c r="A59" s="10">
        <f>IF($E59="","",INDEX('Input Transaksi'!$A:$A,$E59))</f>
        <v/>
      </c>
      <c r="B59" s="5">
        <f>IF($E59="","",INDEX('Input Transaksi'!$D:$D,$E59))</f>
        <v/>
      </c>
      <c r="C59">
        <f>IF($E59="","",INDEX('Input Transaksi'!$E:$E,$E59))</f>
        <v/>
      </c>
      <c r="D59" s="5">
        <f>IF($E59="","",INDEX('Input Transaksi'!$F:$F,$E59))</f>
        <v/>
      </c>
      <c r="E59">
        <f>IFERROR(AGGREGATE(15,6,ROW('Input Transaksi'!$B$5:$B$5000)/('Input Transaksi'!$B$5:$B$5000="BALI WASH GALANG"),ROWS($E$5:E59)),"")</f>
        <v/>
      </c>
      <c r="F59" s="5" t="n"/>
    </row>
    <row r="60">
      <c r="A60" s="10">
        <f>IF($E60="","",INDEX('Input Transaksi'!$A:$A,$E60))</f>
        <v/>
      </c>
      <c r="B60" s="5">
        <f>IF($E60="","",INDEX('Input Transaksi'!$D:$D,$E60))</f>
        <v/>
      </c>
      <c r="C60">
        <f>IF($E60="","",INDEX('Input Transaksi'!$E:$E,$E60))</f>
        <v/>
      </c>
      <c r="D60" s="5">
        <f>IF($E60="","",INDEX('Input Transaksi'!$F:$F,$E60))</f>
        <v/>
      </c>
      <c r="E60">
        <f>IFERROR(AGGREGATE(15,6,ROW('Input Transaksi'!$B$5:$B$5000)/('Input Transaksi'!$B$5:$B$5000="BALI WASH GALANG"),ROWS($E$5:E60)),"")</f>
        <v/>
      </c>
      <c r="F60" s="5" t="n"/>
    </row>
    <row r="61">
      <c r="A61" s="10">
        <f>IF($E61="","",INDEX('Input Transaksi'!$A:$A,$E61))</f>
        <v/>
      </c>
      <c r="B61" s="5">
        <f>IF($E61="","",INDEX('Input Transaksi'!$D:$D,$E61))</f>
        <v/>
      </c>
      <c r="C61">
        <f>IF($E61="","",INDEX('Input Transaksi'!$E:$E,$E61))</f>
        <v/>
      </c>
      <c r="D61" s="5">
        <f>IF($E61="","",INDEX('Input Transaksi'!$F:$F,$E61))</f>
        <v/>
      </c>
      <c r="E61">
        <f>IFERROR(AGGREGATE(15,6,ROW('Input Transaksi'!$B$5:$B$5000)/('Input Transaksi'!$B$5:$B$5000="BALI WASH GALANG"),ROWS($E$5:E61)),"")</f>
        <v/>
      </c>
      <c r="F61" s="5" t="n"/>
    </row>
    <row r="62">
      <c r="A62" s="10">
        <f>IF($E62="","",INDEX('Input Transaksi'!$A:$A,$E62))</f>
        <v/>
      </c>
      <c r="B62" s="5">
        <f>IF($E62="","",INDEX('Input Transaksi'!$D:$D,$E62))</f>
        <v/>
      </c>
      <c r="C62">
        <f>IF($E62="","",INDEX('Input Transaksi'!$E:$E,$E62))</f>
        <v/>
      </c>
      <c r="D62" s="5">
        <f>IF($E62="","",INDEX('Input Transaksi'!$F:$F,$E62))</f>
        <v/>
      </c>
      <c r="E62">
        <f>IFERROR(AGGREGATE(15,6,ROW('Input Transaksi'!$B$5:$B$5000)/('Input Transaksi'!$B$5:$B$5000="BALI WASH GALANG"),ROWS($E$5:E62)),"")</f>
        <v/>
      </c>
      <c r="F62" s="5" t="n"/>
    </row>
    <row r="63">
      <c r="A63" s="10">
        <f>IF($E63="","",INDEX('Input Transaksi'!$A:$A,$E63))</f>
        <v/>
      </c>
      <c r="B63" s="5">
        <f>IF($E63="","",INDEX('Input Transaksi'!$D:$D,$E63))</f>
        <v/>
      </c>
      <c r="C63">
        <f>IF($E63="","",INDEX('Input Transaksi'!$E:$E,$E63))</f>
        <v/>
      </c>
      <c r="D63" s="5">
        <f>IF($E63="","",INDEX('Input Transaksi'!$F:$F,$E63))</f>
        <v/>
      </c>
      <c r="E63">
        <f>IFERROR(AGGREGATE(15,6,ROW('Input Transaksi'!$B$5:$B$5000)/('Input Transaksi'!$B$5:$B$5000="BALI WASH GALANG"),ROWS($E$5:E63)),"")</f>
        <v/>
      </c>
      <c r="F63" s="5" t="n"/>
    </row>
    <row r="64">
      <c r="A64" s="10">
        <f>IF($E64="","",INDEX('Input Transaksi'!$A:$A,$E64))</f>
        <v/>
      </c>
      <c r="B64" s="5">
        <f>IF($E64="","",INDEX('Input Transaksi'!$D:$D,$E64))</f>
        <v/>
      </c>
      <c r="C64">
        <f>IF($E64="","",INDEX('Input Transaksi'!$E:$E,$E64))</f>
        <v/>
      </c>
      <c r="D64" s="5">
        <f>IF($E64="","",INDEX('Input Transaksi'!$F:$F,$E64))</f>
        <v/>
      </c>
      <c r="E64">
        <f>IFERROR(AGGREGATE(15,6,ROW('Input Transaksi'!$B$5:$B$5000)/('Input Transaksi'!$B$5:$B$5000="BALI WASH GALANG"),ROWS($E$5:E64)),"")</f>
        <v/>
      </c>
      <c r="F64" s="5" t="n"/>
    </row>
    <row r="65">
      <c r="A65" s="10">
        <f>IF($E65="","",INDEX('Input Transaksi'!$A:$A,$E65))</f>
        <v/>
      </c>
      <c r="B65" s="5">
        <f>IF($E65="","",INDEX('Input Transaksi'!$D:$D,$E65))</f>
        <v/>
      </c>
      <c r="C65">
        <f>IF($E65="","",INDEX('Input Transaksi'!$E:$E,$E65))</f>
        <v/>
      </c>
      <c r="D65" s="5">
        <f>IF($E65="","",INDEX('Input Transaksi'!$F:$F,$E65))</f>
        <v/>
      </c>
      <c r="E65">
        <f>IFERROR(AGGREGATE(15,6,ROW('Input Transaksi'!$B$5:$B$5000)/('Input Transaksi'!$B$5:$B$5000="BALI WASH GALANG"),ROWS($E$5:E65)),"")</f>
        <v/>
      </c>
      <c r="F65" s="5" t="n"/>
    </row>
    <row r="66">
      <c r="A66" s="10">
        <f>IF($E66="","",INDEX('Input Transaksi'!$A:$A,$E66))</f>
        <v/>
      </c>
      <c r="B66" s="5">
        <f>IF($E66="","",INDEX('Input Transaksi'!$D:$D,$E66))</f>
        <v/>
      </c>
      <c r="C66">
        <f>IF($E66="","",INDEX('Input Transaksi'!$E:$E,$E66))</f>
        <v/>
      </c>
      <c r="D66" s="5">
        <f>IF($E66="","",INDEX('Input Transaksi'!$F:$F,$E66))</f>
        <v/>
      </c>
      <c r="E66">
        <f>IFERROR(AGGREGATE(15,6,ROW('Input Transaksi'!$B$5:$B$5000)/('Input Transaksi'!$B$5:$B$5000="BALI WASH GALANG"),ROWS($E$5:E66)),"")</f>
        <v/>
      </c>
      <c r="F66" s="5" t="n"/>
    </row>
    <row r="67">
      <c r="A67" s="10">
        <f>IF($E67="","",INDEX('Input Transaksi'!$A:$A,$E67))</f>
        <v/>
      </c>
      <c r="B67" s="5">
        <f>IF($E67="","",INDEX('Input Transaksi'!$D:$D,$E67))</f>
        <v/>
      </c>
      <c r="C67">
        <f>IF($E67="","",INDEX('Input Transaksi'!$E:$E,$E67))</f>
        <v/>
      </c>
      <c r="D67" s="5">
        <f>IF($E67="","",INDEX('Input Transaksi'!$F:$F,$E67))</f>
        <v/>
      </c>
      <c r="E67">
        <f>IFERROR(AGGREGATE(15,6,ROW('Input Transaksi'!$B$5:$B$5000)/('Input Transaksi'!$B$5:$B$5000="BALI WASH GALANG"),ROWS($E$5:E67)),"")</f>
        <v/>
      </c>
      <c r="F67" s="5" t="n"/>
    </row>
    <row r="68">
      <c r="A68" s="10">
        <f>IF($E68="","",INDEX('Input Transaksi'!$A:$A,$E68))</f>
        <v/>
      </c>
      <c r="B68" s="5">
        <f>IF($E68="","",INDEX('Input Transaksi'!$D:$D,$E68))</f>
        <v/>
      </c>
      <c r="C68">
        <f>IF($E68="","",INDEX('Input Transaksi'!$E:$E,$E68))</f>
        <v/>
      </c>
      <c r="D68" s="5">
        <f>IF($E68="","",INDEX('Input Transaksi'!$F:$F,$E68))</f>
        <v/>
      </c>
      <c r="E68">
        <f>IFERROR(AGGREGATE(15,6,ROW('Input Transaksi'!$B$5:$B$5000)/('Input Transaksi'!$B$5:$B$5000="BALI WASH GALANG"),ROWS($E$5:E68)),"")</f>
        <v/>
      </c>
      <c r="F68" s="5" t="n"/>
    </row>
    <row r="69">
      <c r="A69" s="10">
        <f>IF($E69="","",INDEX('Input Transaksi'!$A:$A,$E69))</f>
        <v/>
      </c>
      <c r="B69" s="5">
        <f>IF($E69="","",INDEX('Input Transaksi'!$D:$D,$E69))</f>
        <v/>
      </c>
      <c r="C69">
        <f>IF($E69="","",INDEX('Input Transaksi'!$E:$E,$E69))</f>
        <v/>
      </c>
      <c r="D69" s="5">
        <f>IF($E69="","",INDEX('Input Transaksi'!$F:$F,$E69))</f>
        <v/>
      </c>
      <c r="E69">
        <f>IFERROR(AGGREGATE(15,6,ROW('Input Transaksi'!$B$5:$B$5000)/('Input Transaksi'!$B$5:$B$5000="BALI WASH GALANG"),ROWS($E$5:E69)),"")</f>
        <v/>
      </c>
      <c r="F69" s="5" t="n"/>
    </row>
    <row r="70">
      <c r="A70" s="10">
        <f>IF($E70="","",INDEX('Input Transaksi'!$A:$A,$E70))</f>
        <v/>
      </c>
      <c r="B70" s="5">
        <f>IF($E70="","",INDEX('Input Transaksi'!$D:$D,$E70))</f>
        <v/>
      </c>
      <c r="C70">
        <f>IF($E70="","",INDEX('Input Transaksi'!$E:$E,$E70))</f>
        <v/>
      </c>
      <c r="D70" s="5">
        <f>IF($E70="","",INDEX('Input Transaksi'!$F:$F,$E70))</f>
        <v/>
      </c>
      <c r="E70">
        <f>IFERROR(AGGREGATE(15,6,ROW('Input Transaksi'!$B$5:$B$5000)/('Input Transaksi'!$B$5:$B$5000="BALI WASH GALANG"),ROWS($E$5:E70)),"")</f>
        <v/>
      </c>
      <c r="F70" s="5" t="n"/>
    </row>
    <row r="71">
      <c r="A71" s="10">
        <f>IF($E71="","",INDEX('Input Transaksi'!$A:$A,$E71))</f>
        <v/>
      </c>
      <c r="B71" s="5">
        <f>IF($E71="","",INDEX('Input Transaksi'!$D:$D,$E71))</f>
        <v/>
      </c>
      <c r="C71">
        <f>IF($E71="","",INDEX('Input Transaksi'!$E:$E,$E71))</f>
        <v/>
      </c>
      <c r="D71" s="5">
        <f>IF($E71="","",INDEX('Input Transaksi'!$F:$F,$E71))</f>
        <v/>
      </c>
      <c r="E71">
        <f>IFERROR(AGGREGATE(15,6,ROW('Input Transaksi'!$B$5:$B$5000)/('Input Transaksi'!$B$5:$B$5000="BALI WASH GALANG"),ROWS($E$5:E71)),"")</f>
        <v/>
      </c>
      <c r="F71" s="5" t="n"/>
    </row>
    <row r="72">
      <c r="A72" s="10">
        <f>IF($E72="","",INDEX('Input Transaksi'!$A:$A,$E72))</f>
        <v/>
      </c>
      <c r="B72" s="5">
        <f>IF($E72="","",INDEX('Input Transaksi'!$D:$D,$E72))</f>
        <v/>
      </c>
      <c r="C72">
        <f>IF($E72="","",INDEX('Input Transaksi'!$E:$E,$E72))</f>
        <v/>
      </c>
      <c r="D72" s="5">
        <f>IF($E72="","",INDEX('Input Transaksi'!$F:$F,$E72))</f>
        <v/>
      </c>
      <c r="E72">
        <f>IFERROR(AGGREGATE(15,6,ROW('Input Transaksi'!$B$5:$B$5000)/('Input Transaksi'!$B$5:$B$5000="BALI WASH GALANG"),ROWS($E$5:E72)),"")</f>
        <v/>
      </c>
      <c r="F72" s="5" t="n"/>
    </row>
    <row r="73">
      <c r="A73" s="10">
        <f>IF($E73="","",INDEX('Input Transaksi'!$A:$A,$E73))</f>
        <v/>
      </c>
      <c r="B73" s="5">
        <f>IF($E73="","",INDEX('Input Transaksi'!$D:$D,$E73))</f>
        <v/>
      </c>
      <c r="C73">
        <f>IF($E73="","",INDEX('Input Transaksi'!$E:$E,$E73))</f>
        <v/>
      </c>
      <c r="D73" s="5">
        <f>IF($E73="","",INDEX('Input Transaksi'!$F:$F,$E73))</f>
        <v/>
      </c>
      <c r="E73">
        <f>IFERROR(AGGREGATE(15,6,ROW('Input Transaksi'!$B$5:$B$5000)/('Input Transaksi'!$B$5:$B$5000="BALI WASH GALANG"),ROWS($E$5:E73)),"")</f>
        <v/>
      </c>
      <c r="F73" s="5" t="n"/>
    </row>
    <row r="74">
      <c r="A74" s="10">
        <f>IF($E74="","",INDEX('Input Transaksi'!$A:$A,$E74))</f>
        <v/>
      </c>
      <c r="B74" s="5">
        <f>IF($E74="","",INDEX('Input Transaksi'!$D:$D,$E74))</f>
        <v/>
      </c>
      <c r="C74">
        <f>IF($E74="","",INDEX('Input Transaksi'!$E:$E,$E74))</f>
        <v/>
      </c>
      <c r="D74" s="5">
        <f>IF($E74="","",INDEX('Input Transaksi'!$F:$F,$E74))</f>
        <v/>
      </c>
      <c r="E74">
        <f>IFERROR(AGGREGATE(15,6,ROW('Input Transaksi'!$B$5:$B$5000)/('Input Transaksi'!$B$5:$B$5000="BALI WASH GALANG"),ROWS($E$5:E74)),"")</f>
        <v/>
      </c>
      <c r="F74" s="5" t="n"/>
    </row>
    <row r="75">
      <c r="A75" s="10">
        <f>IF($E75="","",INDEX('Input Transaksi'!$A:$A,$E75))</f>
        <v/>
      </c>
      <c r="B75" s="5">
        <f>IF($E75="","",INDEX('Input Transaksi'!$D:$D,$E75))</f>
        <v/>
      </c>
      <c r="C75">
        <f>IF($E75="","",INDEX('Input Transaksi'!$E:$E,$E75))</f>
        <v/>
      </c>
      <c r="D75" s="5">
        <f>IF($E75="","",INDEX('Input Transaksi'!$F:$F,$E75))</f>
        <v/>
      </c>
      <c r="E75">
        <f>IFERROR(AGGREGATE(15,6,ROW('Input Transaksi'!$B$5:$B$5000)/('Input Transaksi'!$B$5:$B$5000="BALI WASH GALANG"),ROWS($E$5:E75)),"")</f>
        <v/>
      </c>
      <c r="F75" s="5" t="n"/>
    </row>
    <row r="76">
      <c r="A76" s="10">
        <f>IF($E76="","",INDEX('Input Transaksi'!$A:$A,$E76))</f>
        <v/>
      </c>
      <c r="B76" s="5">
        <f>IF($E76="","",INDEX('Input Transaksi'!$D:$D,$E76))</f>
        <v/>
      </c>
      <c r="C76">
        <f>IF($E76="","",INDEX('Input Transaksi'!$E:$E,$E76))</f>
        <v/>
      </c>
      <c r="D76" s="5">
        <f>IF($E76="","",INDEX('Input Transaksi'!$F:$F,$E76))</f>
        <v/>
      </c>
      <c r="E76">
        <f>IFERROR(AGGREGATE(15,6,ROW('Input Transaksi'!$B$5:$B$5000)/('Input Transaksi'!$B$5:$B$5000="BALI WASH GALANG"),ROWS($E$5:E76)),"")</f>
        <v/>
      </c>
      <c r="F76" s="5" t="n"/>
    </row>
    <row r="77">
      <c r="A77" s="10">
        <f>IF($E77="","",INDEX('Input Transaksi'!$A:$A,$E77))</f>
        <v/>
      </c>
      <c r="B77" s="5">
        <f>IF($E77="","",INDEX('Input Transaksi'!$D:$D,$E77))</f>
        <v/>
      </c>
      <c r="C77">
        <f>IF($E77="","",INDEX('Input Transaksi'!$E:$E,$E77))</f>
        <v/>
      </c>
      <c r="D77" s="5">
        <f>IF($E77="","",INDEX('Input Transaksi'!$F:$F,$E77))</f>
        <v/>
      </c>
      <c r="E77">
        <f>IFERROR(AGGREGATE(15,6,ROW('Input Transaksi'!$B$5:$B$5000)/('Input Transaksi'!$B$5:$B$5000="BALI WASH GALANG"),ROWS($E$5:E77)),"")</f>
        <v/>
      </c>
      <c r="F77" s="5" t="n"/>
    </row>
    <row r="78">
      <c r="A78" s="10">
        <f>IF($E78="","",INDEX('Input Transaksi'!$A:$A,$E78))</f>
        <v/>
      </c>
      <c r="B78" s="5">
        <f>IF($E78="","",INDEX('Input Transaksi'!$D:$D,$E78))</f>
        <v/>
      </c>
      <c r="C78">
        <f>IF($E78="","",INDEX('Input Transaksi'!$E:$E,$E78))</f>
        <v/>
      </c>
      <c r="D78" s="5">
        <f>IF($E78="","",INDEX('Input Transaksi'!$F:$F,$E78))</f>
        <v/>
      </c>
      <c r="E78">
        <f>IFERROR(AGGREGATE(15,6,ROW('Input Transaksi'!$B$5:$B$5000)/('Input Transaksi'!$B$5:$B$5000="BALI WASH GALANG"),ROWS($E$5:E78)),"")</f>
        <v/>
      </c>
      <c r="F78" s="5" t="n"/>
    </row>
    <row r="79">
      <c r="A79" s="10">
        <f>IF($E79="","",INDEX('Input Transaksi'!$A:$A,$E79))</f>
        <v/>
      </c>
      <c r="B79" s="5">
        <f>IF($E79="","",INDEX('Input Transaksi'!$D:$D,$E79))</f>
        <v/>
      </c>
      <c r="C79">
        <f>IF($E79="","",INDEX('Input Transaksi'!$E:$E,$E79))</f>
        <v/>
      </c>
      <c r="D79" s="5">
        <f>IF($E79="","",INDEX('Input Transaksi'!$F:$F,$E79))</f>
        <v/>
      </c>
      <c r="E79">
        <f>IFERROR(AGGREGATE(15,6,ROW('Input Transaksi'!$B$5:$B$5000)/('Input Transaksi'!$B$5:$B$5000="BALI WASH GALANG"),ROWS($E$5:E79)),"")</f>
        <v/>
      </c>
      <c r="F79" s="5" t="n"/>
    </row>
    <row r="80">
      <c r="A80" s="10">
        <f>IF($E80="","",INDEX('Input Transaksi'!$A:$A,$E80))</f>
        <v/>
      </c>
      <c r="B80" s="5">
        <f>IF($E80="","",INDEX('Input Transaksi'!$D:$D,$E80))</f>
        <v/>
      </c>
      <c r="C80">
        <f>IF($E80="","",INDEX('Input Transaksi'!$E:$E,$E80))</f>
        <v/>
      </c>
      <c r="D80" s="5">
        <f>IF($E80="","",INDEX('Input Transaksi'!$F:$F,$E80))</f>
        <v/>
      </c>
      <c r="E80">
        <f>IFERROR(AGGREGATE(15,6,ROW('Input Transaksi'!$B$5:$B$5000)/('Input Transaksi'!$B$5:$B$5000="BALI WASH GALANG"),ROWS($E$5:E80)),"")</f>
        <v/>
      </c>
      <c r="F80" s="5" t="n"/>
    </row>
    <row r="81">
      <c r="A81" s="10">
        <f>IF($E81="","",INDEX('Input Transaksi'!$A:$A,$E81))</f>
        <v/>
      </c>
      <c r="B81" s="5">
        <f>IF($E81="","",INDEX('Input Transaksi'!$D:$D,$E81))</f>
        <v/>
      </c>
      <c r="C81">
        <f>IF($E81="","",INDEX('Input Transaksi'!$E:$E,$E81))</f>
        <v/>
      </c>
      <c r="D81" s="5">
        <f>IF($E81="","",INDEX('Input Transaksi'!$F:$F,$E81))</f>
        <v/>
      </c>
      <c r="E81">
        <f>IFERROR(AGGREGATE(15,6,ROW('Input Transaksi'!$B$5:$B$5000)/('Input Transaksi'!$B$5:$B$5000="BALI WASH GALANG"),ROWS($E$5:E81)),"")</f>
        <v/>
      </c>
      <c r="F81" s="5" t="n"/>
    </row>
    <row r="82">
      <c r="A82" s="10">
        <f>IF($E82="","",INDEX('Input Transaksi'!$A:$A,$E82))</f>
        <v/>
      </c>
      <c r="B82" s="5">
        <f>IF($E82="","",INDEX('Input Transaksi'!$D:$D,$E82))</f>
        <v/>
      </c>
      <c r="C82">
        <f>IF($E82="","",INDEX('Input Transaksi'!$E:$E,$E82))</f>
        <v/>
      </c>
      <c r="D82" s="5">
        <f>IF($E82="","",INDEX('Input Transaksi'!$F:$F,$E82))</f>
        <v/>
      </c>
      <c r="E82">
        <f>IFERROR(AGGREGATE(15,6,ROW('Input Transaksi'!$B$5:$B$5000)/('Input Transaksi'!$B$5:$B$5000="BALI WASH GALANG"),ROWS($E$5:E82)),"")</f>
        <v/>
      </c>
      <c r="F82" s="5" t="n"/>
    </row>
    <row r="83">
      <c r="A83" s="10">
        <f>IF($E83="","",INDEX('Input Transaksi'!$A:$A,$E83))</f>
        <v/>
      </c>
      <c r="B83" s="5">
        <f>IF($E83="","",INDEX('Input Transaksi'!$D:$D,$E83))</f>
        <v/>
      </c>
      <c r="C83">
        <f>IF($E83="","",INDEX('Input Transaksi'!$E:$E,$E83))</f>
        <v/>
      </c>
      <c r="D83" s="5">
        <f>IF($E83="","",INDEX('Input Transaksi'!$F:$F,$E83))</f>
        <v/>
      </c>
      <c r="E83">
        <f>IFERROR(AGGREGATE(15,6,ROW('Input Transaksi'!$B$5:$B$5000)/('Input Transaksi'!$B$5:$B$5000="BALI WASH GALANG"),ROWS($E$5:E83)),"")</f>
        <v/>
      </c>
      <c r="F83" s="5" t="n"/>
    </row>
    <row r="84">
      <c r="A84" s="10">
        <f>IF($E84="","",INDEX('Input Transaksi'!$A:$A,$E84))</f>
        <v/>
      </c>
      <c r="B84" s="5">
        <f>IF($E84="","",INDEX('Input Transaksi'!$D:$D,$E84))</f>
        <v/>
      </c>
      <c r="C84">
        <f>IF($E84="","",INDEX('Input Transaksi'!$E:$E,$E84))</f>
        <v/>
      </c>
      <c r="D84" s="5">
        <f>IF($E84="","",INDEX('Input Transaksi'!$F:$F,$E84))</f>
        <v/>
      </c>
      <c r="E84">
        <f>IFERROR(AGGREGATE(15,6,ROW('Input Transaksi'!$B$5:$B$5000)/('Input Transaksi'!$B$5:$B$5000="BALI WASH GALANG"),ROWS($E$5:E84)),"")</f>
        <v/>
      </c>
      <c r="F84" s="5" t="n"/>
    </row>
    <row r="85">
      <c r="A85" s="10">
        <f>IF($E85="","",INDEX('Input Transaksi'!$A:$A,$E85))</f>
        <v/>
      </c>
      <c r="B85" s="5">
        <f>IF($E85="","",INDEX('Input Transaksi'!$D:$D,$E85))</f>
        <v/>
      </c>
      <c r="C85">
        <f>IF($E85="","",INDEX('Input Transaksi'!$E:$E,$E85))</f>
        <v/>
      </c>
      <c r="D85" s="5">
        <f>IF($E85="","",INDEX('Input Transaksi'!$F:$F,$E85))</f>
        <v/>
      </c>
      <c r="E85">
        <f>IFERROR(AGGREGATE(15,6,ROW('Input Transaksi'!$B$5:$B$5000)/('Input Transaksi'!$B$5:$B$5000="BALI WASH GALANG"),ROWS($E$5:E85)),"")</f>
        <v/>
      </c>
      <c r="F85" s="5" t="n"/>
    </row>
    <row r="86">
      <c r="A86" s="10">
        <f>IF($E86="","",INDEX('Input Transaksi'!$A:$A,$E86))</f>
        <v/>
      </c>
      <c r="B86" s="5">
        <f>IF($E86="","",INDEX('Input Transaksi'!$D:$D,$E86))</f>
        <v/>
      </c>
      <c r="C86">
        <f>IF($E86="","",INDEX('Input Transaksi'!$E:$E,$E86))</f>
        <v/>
      </c>
      <c r="D86" s="5">
        <f>IF($E86="","",INDEX('Input Transaksi'!$F:$F,$E86))</f>
        <v/>
      </c>
      <c r="E86">
        <f>IFERROR(AGGREGATE(15,6,ROW('Input Transaksi'!$B$5:$B$5000)/('Input Transaksi'!$B$5:$B$5000="BALI WASH GALANG"),ROWS($E$5:E86)),"")</f>
        <v/>
      </c>
      <c r="F86" s="5" t="n"/>
    </row>
    <row r="87">
      <c r="A87" s="10">
        <f>IF($E87="","",INDEX('Input Transaksi'!$A:$A,$E87))</f>
        <v/>
      </c>
      <c r="B87" s="5">
        <f>IF($E87="","",INDEX('Input Transaksi'!$D:$D,$E87))</f>
        <v/>
      </c>
      <c r="C87">
        <f>IF($E87="","",INDEX('Input Transaksi'!$E:$E,$E87))</f>
        <v/>
      </c>
      <c r="D87" s="5">
        <f>IF($E87="","",INDEX('Input Transaksi'!$F:$F,$E87))</f>
        <v/>
      </c>
      <c r="E87">
        <f>IFERROR(AGGREGATE(15,6,ROW('Input Transaksi'!$B$5:$B$5000)/('Input Transaksi'!$B$5:$B$5000="BALI WASH GALANG"),ROWS($E$5:E87)),"")</f>
        <v/>
      </c>
      <c r="F87" s="5" t="n"/>
    </row>
    <row r="88">
      <c r="A88" s="10">
        <f>IF($E88="","",INDEX('Input Transaksi'!$A:$A,$E88))</f>
        <v/>
      </c>
      <c r="B88" s="5">
        <f>IF($E88="","",INDEX('Input Transaksi'!$D:$D,$E88))</f>
        <v/>
      </c>
      <c r="C88">
        <f>IF($E88="","",INDEX('Input Transaksi'!$E:$E,$E88))</f>
        <v/>
      </c>
      <c r="D88" s="5">
        <f>IF($E88="","",INDEX('Input Transaksi'!$F:$F,$E88))</f>
        <v/>
      </c>
      <c r="E88">
        <f>IFERROR(AGGREGATE(15,6,ROW('Input Transaksi'!$B$5:$B$5000)/('Input Transaksi'!$B$5:$B$5000="BALI WASH GALANG"),ROWS($E$5:E88)),"")</f>
        <v/>
      </c>
      <c r="F88" s="5" t="n"/>
    </row>
    <row r="89">
      <c r="A89" s="10">
        <f>IF($E89="","",INDEX('Input Transaksi'!$A:$A,$E89))</f>
        <v/>
      </c>
      <c r="B89" s="5">
        <f>IF($E89="","",INDEX('Input Transaksi'!$D:$D,$E89))</f>
        <v/>
      </c>
      <c r="C89">
        <f>IF($E89="","",INDEX('Input Transaksi'!$E:$E,$E89))</f>
        <v/>
      </c>
      <c r="D89" s="5">
        <f>IF($E89="","",INDEX('Input Transaksi'!$F:$F,$E89))</f>
        <v/>
      </c>
      <c r="E89">
        <f>IFERROR(AGGREGATE(15,6,ROW('Input Transaksi'!$B$5:$B$5000)/('Input Transaksi'!$B$5:$B$5000="BALI WASH GALANG"),ROWS($E$5:E89)),"")</f>
        <v/>
      </c>
      <c r="F89" s="5" t="n"/>
    </row>
    <row r="90">
      <c r="A90" s="10">
        <f>IF($E90="","",INDEX('Input Transaksi'!$A:$A,$E90))</f>
        <v/>
      </c>
      <c r="B90" s="5">
        <f>IF($E90="","",INDEX('Input Transaksi'!$D:$D,$E90))</f>
        <v/>
      </c>
      <c r="C90">
        <f>IF($E90="","",INDEX('Input Transaksi'!$E:$E,$E90))</f>
        <v/>
      </c>
      <c r="D90" s="5">
        <f>IF($E90="","",INDEX('Input Transaksi'!$F:$F,$E90))</f>
        <v/>
      </c>
      <c r="E90">
        <f>IFERROR(AGGREGATE(15,6,ROW('Input Transaksi'!$B$5:$B$5000)/('Input Transaksi'!$B$5:$B$5000="BALI WASH GALANG"),ROWS($E$5:E90)),"")</f>
        <v/>
      </c>
      <c r="F90" s="5" t="n"/>
    </row>
    <row r="91">
      <c r="A91" s="10">
        <f>IF($E91="","",INDEX('Input Transaksi'!$A:$A,$E91))</f>
        <v/>
      </c>
      <c r="B91" s="5">
        <f>IF($E91="","",INDEX('Input Transaksi'!$D:$D,$E91))</f>
        <v/>
      </c>
      <c r="C91">
        <f>IF($E91="","",INDEX('Input Transaksi'!$E:$E,$E91))</f>
        <v/>
      </c>
      <c r="D91" s="5">
        <f>IF($E91="","",INDEX('Input Transaksi'!$F:$F,$E91))</f>
        <v/>
      </c>
      <c r="E91">
        <f>IFERROR(AGGREGATE(15,6,ROW('Input Transaksi'!$B$5:$B$5000)/('Input Transaksi'!$B$5:$B$5000="BALI WASH GALANG"),ROWS($E$5:E91)),"")</f>
        <v/>
      </c>
      <c r="F91" s="5" t="n"/>
    </row>
    <row r="92">
      <c r="A92" s="10">
        <f>IF($E92="","",INDEX('Input Transaksi'!$A:$A,$E92))</f>
        <v/>
      </c>
      <c r="B92" s="5">
        <f>IF($E92="","",INDEX('Input Transaksi'!$D:$D,$E92))</f>
        <v/>
      </c>
      <c r="C92">
        <f>IF($E92="","",INDEX('Input Transaksi'!$E:$E,$E92))</f>
        <v/>
      </c>
      <c r="D92" s="5">
        <f>IF($E92="","",INDEX('Input Transaksi'!$F:$F,$E92))</f>
        <v/>
      </c>
      <c r="E92">
        <f>IFERROR(AGGREGATE(15,6,ROW('Input Transaksi'!$B$5:$B$5000)/('Input Transaksi'!$B$5:$B$5000="BALI WASH GALANG"),ROWS($E$5:E92)),"")</f>
        <v/>
      </c>
      <c r="F92" s="5" t="n"/>
    </row>
    <row r="93">
      <c r="A93" s="10">
        <f>IF($E93="","",INDEX('Input Transaksi'!$A:$A,$E93))</f>
        <v/>
      </c>
      <c r="B93" s="5">
        <f>IF($E93="","",INDEX('Input Transaksi'!$D:$D,$E93))</f>
        <v/>
      </c>
      <c r="C93">
        <f>IF($E93="","",INDEX('Input Transaksi'!$E:$E,$E93))</f>
        <v/>
      </c>
      <c r="D93" s="5">
        <f>IF($E93="","",INDEX('Input Transaksi'!$F:$F,$E93))</f>
        <v/>
      </c>
      <c r="E93">
        <f>IFERROR(AGGREGATE(15,6,ROW('Input Transaksi'!$B$5:$B$5000)/('Input Transaksi'!$B$5:$B$5000="BALI WASH GALANG"),ROWS($E$5:E93)),"")</f>
        <v/>
      </c>
      <c r="F93" s="5" t="n"/>
    </row>
    <row r="94">
      <c r="A94" s="10">
        <f>IF($E94="","",INDEX('Input Transaksi'!$A:$A,$E94))</f>
        <v/>
      </c>
      <c r="B94" s="5">
        <f>IF($E94="","",INDEX('Input Transaksi'!$D:$D,$E94))</f>
        <v/>
      </c>
      <c r="C94">
        <f>IF($E94="","",INDEX('Input Transaksi'!$E:$E,$E94))</f>
        <v/>
      </c>
      <c r="D94" s="5">
        <f>IF($E94="","",INDEX('Input Transaksi'!$F:$F,$E94))</f>
        <v/>
      </c>
      <c r="E94">
        <f>IFERROR(AGGREGATE(15,6,ROW('Input Transaksi'!$B$5:$B$5000)/('Input Transaksi'!$B$5:$B$5000="BALI WASH GALANG"),ROWS($E$5:E94)),"")</f>
        <v/>
      </c>
      <c r="F94" s="5" t="n"/>
    </row>
    <row r="95">
      <c r="A95" s="10">
        <f>IF($E95="","",INDEX('Input Transaksi'!$A:$A,$E95))</f>
        <v/>
      </c>
      <c r="B95" s="5">
        <f>IF($E95="","",INDEX('Input Transaksi'!$D:$D,$E95))</f>
        <v/>
      </c>
      <c r="C95">
        <f>IF($E95="","",INDEX('Input Transaksi'!$E:$E,$E95))</f>
        <v/>
      </c>
      <c r="D95" s="5">
        <f>IF($E95="","",INDEX('Input Transaksi'!$F:$F,$E95))</f>
        <v/>
      </c>
      <c r="E95">
        <f>IFERROR(AGGREGATE(15,6,ROW('Input Transaksi'!$B$5:$B$5000)/('Input Transaksi'!$B$5:$B$5000="BALI WASH GALANG"),ROWS($E$5:E95)),"")</f>
        <v/>
      </c>
      <c r="F95" s="5" t="n"/>
    </row>
    <row r="96">
      <c r="A96" s="10">
        <f>IF($E96="","",INDEX('Input Transaksi'!$A:$A,$E96))</f>
        <v/>
      </c>
      <c r="B96" s="5">
        <f>IF($E96="","",INDEX('Input Transaksi'!$D:$D,$E96))</f>
        <v/>
      </c>
      <c r="C96">
        <f>IF($E96="","",INDEX('Input Transaksi'!$E:$E,$E96))</f>
        <v/>
      </c>
      <c r="D96" s="5">
        <f>IF($E96="","",INDEX('Input Transaksi'!$F:$F,$E96))</f>
        <v/>
      </c>
      <c r="E96">
        <f>IFERROR(AGGREGATE(15,6,ROW('Input Transaksi'!$B$5:$B$5000)/('Input Transaksi'!$B$5:$B$5000="BALI WASH GALANG"),ROWS($E$5:E96)),"")</f>
        <v/>
      </c>
      <c r="F96" s="5" t="n"/>
    </row>
    <row r="97">
      <c r="A97" s="10">
        <f>IF($E97="","",INDEX('Input Transaksi'!$A:$A,$E97))</f>
        <v/>
      </c>
      <c r="B97" s="5">
        <f>IF($E97="","",INDEX('Input Transaksi'!$D:$D,$E97))</f>
        <v/>
      </c>
      <c r="C97">
        <f>IF($E97="","",INDEX('Input Transaksi'!$E:$E,$E97))</f>
        <v/>
      </c>
      <c r="D97" s="5">
        <f>IF($E97="","",INDEX('Input Transaksi'!$F:$F,$E97))</f>
        <v/>
      </c>
      <c r="E97">
        <f>IFERROR(AGGREGATE(15,6,ROW('Input Transaksi'!$B$5:$B$5000)/('Input Transaksi'!$B$5:$B$5000="BALI WASH GALANG"),ROWS($E$5:E97)),"")</f>
        <v/>
      </c>
      <c r="F97" s="5" t="n"/>
    </row>
    <row r="98">
      <c r="A98" s="10">
        <f>IF($E98="","",INDEX('Input Transaksi'!$A:$A,$E98))</f>
        <v/>
      </c>
      <c r="B98" s="5">
        <f>IF($E98="","",INDEX('Input Transaksi'!$D:$D,$E98))</f>
        <v/>
      </c>
      <c r="C98">
        <f>IF($E98="","",INDEX('Input Transaksi'!$E:$E,$E98))</f>
        <v/>
      </c>
      <c r="D98" s="5">
        <f>IF($E98="","",INDEX('Input Transaksi'!$F:$F,$E98))</f>
        <v/>
      </c>
      <c r="E98">
        <f>IFERROR(AGGREGATE(15,6,ROW('Input Transaksi'!$B$5:$B$5000)/('Input Transaksi'!$B$5:$B$5000="BALI WASH GALANG"),ROWS($E$5:E98)),"")</f>
        <v/>
      </c>
      <c r="F98" s="5" t="n"/>
    </row>
    <row r="99">
      <c r="A99" s="10">
        <f>IF($E99="","",INDEX('Input Transaksi'!$A:$A,$E99))</f>
        <v/>
      </c>
      <c r="B99" s="5">
        <f>IF($E99="","",INDEX('Input Transaksi'!$D:$D,$E99))</f>
        <v/>
      </c>
      <c r="C99">
        <f>IF($E99="","",INDEX('Input Transaksi'!$E:$E,$E99))</f>
        <v/>
      </c>
      <c r="D99" s="5">
        <f>IF($E99="","",INDEX('Input Transaksi'!$F:$F,$E99))</f>
        <v/>
      </c>
      <c r="E99">
        <f>IFERROR(AGGREGATE(15,6,ROW('Input Transaksi'!$B$5:$B$5000)/('Input Transaksi'!$B$5:$B$5000="BALI WASH GALANG"),ROWS($E$5:E99)),"")</f>
        <v/>
      </c>
      <c r="F99" s="5" t="n"/>
    </row>
    <row r="100">
      <c r="A100" s="10">
        <f>IF($E100="","",INDEX('Input Transaksi'!$A:$A,$E100))</f>
        <v/>
      </c>
      <c r="B100" s="5">
        <f>IF($E100="","",INDEX('Input Transaksi'!$D:$D,$E100))</f>
        <v/>
      </c>
      <c r="C100">
        <f>IF($E100="","",INDEX('Input Transaksi'!$E:$E,$E100))</f>
        <v/>
      </c>
      <c r="D100" s="5">
        <f>IF($E100="","",INDEX('Input Transaksi'!$F:$F,$E100))</f>
        <v/>
      </c>
      <c r="E100">
        <f>IFERROR(AGGREGATE(15,6,ROW('Input Transaksi'!$B$5:$B$5000)/('Input Transaksi'!$B$5:$B$5000="BALI WASH GALANG"),ROWS($E$5:E100)),"")</f>
        <v/>
      </c>
      <c r="F100" s="5" t="n"/>
    </row>
    <row r="101">
      <c r="A101" s="10">
        <f>IF($E101="","",INDEX('Input Transaksi'!$A:$A,$E101))</f>
        <v/>
      </c>
      <c r="B101" s="5">
        <f>IF($E101="","",INDEX('Input Transaksi'!$D:$D,$E101))</f>
        <v/>
      </c>
      <c r="C101">
        <f>IF($E101="","",INDEX('Input Transaksi'!$E:$E,$E101))</f>
        <v/>
      </c>
      <c r="D101" s="5">
        <f>IF($E101="","",INDEX('Input Transaksi'!$F:$F,$E101))</f>
        <v/>
      </c>
      <c r="E101">
        <f>IFERROR(AGGREGATE(15,6,ROW('Input Transaksi'!$B$5:$B$5000)/('Input Transaksi'!$B$5:$B$5000="BALI WASH GALANG"),ROWS($E$5:E101)),"")</f>
        <v/>
      </c>
      <c r="F101" s="5" t="n"/>
    </row>
    <row r="102">
      <c r="A102" s="10">
        <f>IF($E102="","",INDEX('Input Transaksi'!$A:$A,$E102))</f>
        <v/>
      </c>
      <c r="B102" s="5">
        <f>IF($E102="","",INDEX('Input Transaksi'!$D:$D,$E102))</f>
        <v/>
      </c>
      <c r="C102">
        <f>IF($E102="","",INDEX('Input Transaksi'!$E:$E,$E102))</f>
        <v/>
      </c>
      <c r="D102" s="5">
        <f>IF($E102="","",INDEX('Input Transaksi'!$F:$F,$E102))</f>
        <v/>
      </c>
      <c r="E102">
        <f>IFERROR(AGGREGATE(15,6,ROW('Input Transaksi'!$B$5:$B$5000)/('Input Transaksi'!$B$5:$B$5000="BALI WASH GALANG"),ROWS($E$5:E102)),"")</f>
        <v/>
      </c>
      <c r="F102" s="5" t="n"/>
    </row>
    <row r="103">
      <c r="A103" s="10">
        <f>IF($E103="","",INDEX('Input Transaksi'!$A:$A,$E103))</f>
        <v/>
      </c>
      <c r="B103" s="5">
        <f>IF($E103="","",INDEX('Input Transaksi'!$D:$D,$E103))</f>
        <v/>
      </c>
      <c r="C103">
        <f>IF($E103="","",INDEX('Input Transaksi'!$E:$E,$E103))</f>
        <v/>
      </c>
      <c r="D103" s="5">
        <f>IF($E103="","",INDEX('Input Transaksi'!$F:$F,$E103))</f>
        <v/>
      </c>
      <c r="E103">
        <f>IFERROR(AGGREGATE(15,6,ROW('Input Transaksi'!$B$5:$B$5000)/('Input Transaksi'!$B$5:$B$5000="BALI WASH GALANG"),ROWS($E$5:E103)),"")</f>
        <v/>
      </c>
      <c r="F103" s="5" t="n"/>
    </row>
    <row r="104">
      <c r="A104" s="10">
        <f>IF($E104="","",INDEX('Input Transaksi'!$A:$A,$E104))</f>
        <v/>
      </c>
      <c r="B104" s="5">
        <f>IF($E104="","",INDEX('Input Transaksi'!$D:$D,$E104))</f>
        <v/>
      </c>
      <c r="C104">
        <f>IF($E104="","",INDEX('Input Transaksi'!$E:$E,$E104))</f>
        <v/>
      </c>
      <c r="D104" s="5">
        <f>IF($E104="","",INDEX('Input Transaksi'!$F:$F,$E104))</f>
        <v/>
      </c>
      <c r="E104">
        <f>IFERROR(AGGREGATE(15,6,ROW('Input Transaksi'!$B$5:$B$5000)/('Input Transaksi'!$B$5:$B$5000="BALI WASH GALANG"),ROWS($E$5:E104)),"")</f>
        <v/>
      </c>
      <c r="F104" s="5" t="n"/>
    </row>
    <row r="105">
      <c r="A105" s="10">
        <f>IF($E105="","",INDEX('Input Transaksi'!$A:$A,$E105))</f>
        <v/>
      </c>
      <c r="B105" s="5">
        <f>IF($E105="","",INDEX('Input Transaksi'!$D:$D,$E105))</f>
        <v/>
      </c>
      <c r="C105">
        <f>IF($E105="","",INDEX('Input Transaksi'!$E:$E,$E105))</f>
        <v/>
      </c>
      <c r="D105" s="5">
        <f>IF($E105="","",INDEX('Input Transaksi'!$F:$F,$E105))</f>
        <v/>
      </c>
      <c r="E105">
        <f>IFERROR(AGGREGATE(15,6,ROW('Input Transaksi'!$B$5:$B$5000)/('Input Transaksi'!$B$5:$B$5000="BALI WASH GALANG"),ROWS($E$5:E105)),"")</f>
        <v/>
      </c>
      <c r="F105" s="5" t="n"/>
    </row>
    <row r="106">
      <c r="A106" s="10">
        <f>IF($E106="","",INDEX('Input Transaksi'!$A:$A,$E106))</f>
        <v/>
      </c>
      <c r="B106" s="5">
        <f>IF($E106="","",INDEX('Input Transaksi'!$D:$D,$E106))</f>
        <v/>
      </c>
      <c r="C106">
        <f>IF($E106="","",INDEX('Input Transaksi'!$E:$E,$E106))</f>
        <v/>
      </c>
      <c r="D106" s="5">
        <f>IF($E106="","",INDEX('Input Transaksi'!$F:$F,$E106))</f>
        <v/>
      </c>
      <c r="E106">
        <f>IFERROR(AGGREGATE(15,6,ROW('Input Transaksi'!$B$5:$B$5000)/('Input Transaksi'!$B$5:$B$5000="BALI WASH GALANG"),ROWS($E$5:E106)),"")</f>
        <v/>
      </c>
      <c r="F106" s="5" t="n"/>
    </row>
    <row r="107">
      <c r="A107" s="10">
        <f>IF($E107="","",INDEX('Input Transaksi'!$A:$A,$E107))</f>
        <v/>
      </c>
      <c r="B107" s="5">
        <f>IF($E107="","",INDEX('Input Transaksi'!$D:$D,$E107))</f>
        <v/>
      </c>
      <c r="C107">
        <f>IF($E107="","",INDEX('Input Transaksi'!$E:$E,$E107))</f>
        <v/>
      </c>
      <c r="D107" s="5">
        <f>IF($E107="","",INDEX('Input Transaksi'!$F:$F,$E107))</f>
        <v/>
      </c>
      <c r="E107">
        <f>IFERROR(AGGREGATE(15,6,ROW('Input Transaksi'!$B$5:$B$5000)/('Input Transaksi'!$B$5:$B$5000="BALI WASH GALANG"),ROWS($E$5:E107)),"")</f>
        <v/>
      </c>
      <c r="F107" s="5" t="n"/>
    </row>
    <row r="108">
      <c r="A108" s="10">
        <f>IF($E108="","",INDEX('Input Transaksi'!$A:$A,$E108))</f>
        <v/>
      </c>
      <c r="B108" s="5">
        <f>IF($E108="","",INDEX('Input Transaksi'!$D:$D,$E108))</f>
        <v/>
      </c>
      <c r="C108">
        <f>IF($E108="","",INDEX('Input Transaksi'!$E:$E,$E108))</f>
        <v/>
      </c>
      <c r="D108" s="5">
        <f>IF($E108="","",INDEX('Input Transaksi'!$F:$F,$E108))</f>
        <v/>
      </c>
      <c r="E108">
        <f>IFERROR(AGGREGATE(15,6,ROW('Input Transaksi'!$B$5:$B$5000)/('Input Transaksi'!$B$5:$B$5000="BALI WASH GALANG"),ROWS($E$5:E108)),"")</f>
        <v/>
      </c>
      <c r="F108" s="5" t="n"/>
    </row>
    <row r="109">
      <c r="A109" s="10">
        <f>IF($E109="","",INDEX('Input Transaksi'!$A:$A,$E109))</f>
        <v/>
      </c>
      <c r="B109" s="5">
        <f>IF($E109="","",INDEX('Input Transaksi'!$D:$D,$E109))</f>
        <v/>
      </c>
      <c r="C109">
        <f>IF($E109="","",INDEX('Input Transaksi'!$E:$E,$E109))</f>
        <v/>
      </c>
      <c r="D109" s="5">
        <f>IF($E109="","",INDEX('Input Transaksi'!$F:$F,$E109))</f>
        <v/>
      </c>
      <c r="E109">
        <f>IFERROR(AGGREGATE(15,6,ROW('Input Transaksi'!$B$5:$B$5000)/('Input Transaksi'!$B$5:$B$5000="BALI WASH GALANG"),ROWS($E$5:E109)),"")</f>
        <v/>
      </c>
      <c r="F109" s="5" t="n"/>
    </row>
    <row r="110">
      <c r="A110" s="10">
        <f>IF($E110="","",INDEX('Input Transaksi'!$A:$A,$E110))</f>
        <v/>
      </c>
      <c r="B110" s="5">
        <f>IF($E110="","",INDEX('Input Transaksi'!$D:$D,$E110))</f>
        <v/>
      </c>
      <c r="C110">
        <f>IF($E110="","",INDEX('Input Transaksi'!$E:$E,$E110))</f>
        <v/>
      </c>
      <c r="D110" s="5">
        <f>IF($E110="","",INDEX('Input Transaksi'!$F:$F,$E110))</f>
        <v/>
      </c>
      <c r="E110">
        <f>IFERROR(AGGREGATE(15,6,ROW('Input Transaksi'!$B$5:$B$5000)/('Input Transaksi'!$B$5:$B$5000="BALI WASH GALANG"),ROWS($E$5:E110)),"")</f>
        <v/>
      </c>
      <c r="F110" s="5" t="n"/>
    </row>
    <row r="111">
      <c r="A111" s="10">
        <f>IF($E111="","",INDEX('Input Transaksi'!$A:$A,$E111))</f>
        <v/>
      </c>
      <c r="B111" s="5">
        <f>IF($E111="","",INDEX('Input Transaksi'!$D:$D,$E111))</f>
        <v/>
      </c>
      <c r="C111">
        <f>IF($E111="","",INDEX('Input Transaksi'!$E:$E,$E111))</f>
        <v/>
      </c>
      <c r="D111" s="5">
        <f>IF($E111="","",INDEX('Input Transaksi'!$F:$F,$E111))</f>
        <v/>
      </c>
      <c r="E111">
        <f>IFERROR(AGGREGATE(15,6,ROW('Input Transaksi'!$B$5:$B$5000)/('Input Transaksi'!$B$5:$B$5000="BALI WASH GALANG"),ROWS($E$5:E111)),"")</f>
        <v/>
      </c>
      <c r="F111" s="5" t="n"/>
    </row>
    <row r="112">
      <c r="A112" s="10">
        <f>IF($E112="","",INDEX('Input Transaksi'!$A:$A,$E112))</f>
        <v/>
      </c>
      <c r="B112" s="5">
        <f>IF($E112="","",INDEX('Input Transaksi'!$D:$D,$E112))</f>
        <v/>
      </c>
      <c r="C112">
        <f>IF($E112="","",INDEX('Input Transaksi'!$E:$E,$E112))</f>
        <v/>
      </c>
      <c r="D112" s="5">
        <f>IF($E112="","",INDEX('Input Transaksi'!$F:$F,$E112))</f>
        <v/>
      </c>
      <c r="E112">
        <f>IFERROR(AGGREGATE(15,6,ROW('Input Transaksi'!$B$5:$B$5000)/('Input Transaksi'!$B$5:$B$5000="BALI WASH GALANG"),ROWS($E$5:E112)),"")</f>
        <v/>
      </c>
      <c r="F112" s="5" t="n"/>
    </row>
    <row r="113">
      <c r="A113" s="10">
        <f>IF($E113="","",INDEX('Input Transaksi'!$A:$A,$E113))</f>
        <v/>
      </c>
      <c r="B113" s="5">
        <f>IF($E113="","",INDEX('Input Transaksi'!$D:$D,$E113))</f>
        <v/>
      </c>
      <c r="C113">
        <f>IF($E113="","",INDEX('Input Transaksi'!$E:$E,$E113))</f>
        <v/>
      </c>
      <c r="D113" s="5">
        <f>IF($E113="","",INDEX('Input Transaksi'!$F:$F,$E113))</f>
        <v/>
      </c>
      <c r="E113">
        <f>IFERROR(AGGREGATE(15,6,ROW('Input Transaksi'!$B$5:$B$5000)/('Input Transaksi'!$B$5:$B$5000="BALI WASH GALANG"),ROWS($E$5:E113)),"")</f>
        <v/>
      </c>
      <c r="F113" s="5" t="n"/>
    </row>
    <row r="114">
      <c r="A114" s="10">
        <f>IF($E114="","",INDEX('Input Transaksi'!$A:$A,$E114))</f>
        <v/>
      </c>
      <c r="B114" s="5">
        <f>IF($E114="","",INDEX('Input Transaksi'!$D:$D,$E114))</f>
        <v/>
      </c>
      <c r="C114">
        <f>IF($E114="","",INDEX('Input Transaksi'!$E:$E,$E114))</f>
        <v/>
      </c>
      <c r="D114" s="5">
        <f>IF($E114="","",INDEX('Input Transaksi'!$F:$F,$E114))</f>
        <v/>
      </c>
      <c r="E114">
        <f>IFERROR(AGGREGATE(15,6,ROW('Input Transaksi'!$B$5:$B$5000)/('Input Transaksi'!$B$5:$B$5000="BALI WASH GALANG"),ROWS($E$5:E114)),"")</f>
        <v/>
      </c>
      <c r="F114" s="5" t="n"/>
    </row>
    <row r="115">
      <c r="A115" s="10">
        <f>IF($E115="","",INDEX('Input Transaksi'!$A:$A,$E115))</f>
        <v/>
      </c>
      <c r="B115" s="5">
        <f>IF($E115="","",INDEX('Input Transaksi'!$D:$D,$E115))</f>
        <v/>
      </c>
      <c r="C115">
        <f>IF($E115="","",INDEX('Input Transaksi'!$E:$E,$E115))</f>
        <v/>
      </c>
      <c r="D115" s="5">
        <f>IF($E115="","",INDEX('Input Transaksi'!$F:$F,$E115))</f>
        <v/>
      </c>
      <c r="E115">
        <f>IFERROR(AGGREGATE(15,6,ROW('Input Transaksi'!$B$5:$B$5000)/('Input Transaksi'!$B$5:$B$5000="BALI WASH GALANG"),ROWS($E$5:E115)),"")</f>
        <v/>
      </c>
      <c r="F115" s="5" t="n"/>
    </row>
    <row r="116">
      <c r="A116" s="10">
        <f>IF($E116="","",INDEX('Input Transaksi'!$A:$A,$E116))</f>
        <v/>
      </c>
      <c r="B116" s="5">
        <f>IF($E116="","",INDEX('Input Transaksi'!$D:$D,$E116))</f>
        <v/>
      </c>
      <c r="C116">
        <f>IF($E116="","",INDEX('Input Transaksi'!$E:$E,$E116))</f>
        <v/>
      </c>
      <c r="D116" s="5">
        <f>IF($E116="","",INDEX('Input Transaksi'!$F:$F,$E116))</f>
        <v/>
      </c>
      <c r="E116">
        <f>IFERROR(AGGREGATE(15,6,ROW('Input Transaksi'!$B$5:$B$5000)/('Input Transaksi'!$B$5:$B$5000="BALI WASH GALANG"),ROWS($E$5:E116)),"")</f>
        <v/>
      </c>
      <c r="F116" s="5" t="n"/>
    </row>
    <row r="117">
      <c r="A117" s="10">
        <f>IF($E117="","",INDEX('Input Transaksi'!$A:$A,$E117))</f>
        <v/>
      </c>
      <c r="B117" s="5">
        <f>IF($E117="","",INDEX('Input Transaksi'!$D:$D,$E117))</f>
        <v/>
      </c>
      <c r="C117">
        <f>IF($E117="","",INDEX('Input Transaksi'!$E:$E,$E117))</f>
        <v/>
      </c>
      <c r="D117" s="5">
        <f>IF($E117="","",INDEX('Input Transaksi'!$F:$F,$E117))</f>
        <v/>
      </c>
      <c r="E117">
        <f>IFERROR(AGGREGATE(15,6,ROW('Input Transaksi'!$B$5:$B$5000)/('Input Transaksi'!$B$5:$B$5000="BALI WASH GALANG"),ROWS($E$5:E117)),"")</f>
        <v/>
      </c>
      <c r="F117" s="5" t="n"/>
    </row>
    <row r="118">
      <c r="A118" s="10">
        <f>IF($E118="","",INDEX('Input Transaksi'!$A:$A,$E118))</f>
        <v/>
      </c>
      <c r="B118" s="5">
        <f>IF($E118="","",INDEX('Input Transaksi'!$D:$D,$E118))</f>
        <v/>
      </c>
      <c r="C118">
        <f>IF($E118="","",INDEX('Input Transaksi'!$E:$E,$E118))</f>
        <v/>
      </c>
      <c r="D118" s="5">
        <f>IF($E118="","",INDEX('Input Transaksi'!$F:$F,$E118))</f>
        <v/>
      </c>
      <c r="E118">
        <f>IFERROR(AGGREGATE(15,6,ROW('Input Transaksi'!$B$5:$B$5000)/('Input Transaksi'!$B$5:$B$5000="BALI WASH GALANG"),ROWS($E$5:E118)),"")</f>
        <v/>
      </c>
      <c r="F118" s="5" t="n"/>
    </row>
    <row r="119">
      <c r="A119" s="10">
        <f>IF($E119="","",INDEX('Input Transaksi'!$A:$A,$E119))</f>
        <v/>
      </c>
      <c r="B119" s="5">
        <f>IF($E119="","",INDEX('Input Transaksi'!$D:$D,$E119))</f>
        <v/>
      </c>
      <c r="C119">
        <f>IF($E119="","",INDEX('Input Transaksi'!$E:$E,$E119))</f>
        <v/>
      </c>
      <c r="D119" s="5">
        <f>IF($E119="","",INDEX('Input Transaksi'!$F:$F,$E119))</f>
        <v/>
      </c>
      <c r="E119">
        <f>IFERROR(AGGREGATE(15,6,ROW('Input Transaksi'!$B$5:$B$5000)/('Input Transaksi'!$B$5:$B$5000="BALI WASH GALANG"),ROWS($E$5:E119)),"")</f>
        <v/>
      </c>
      <c r="F119" s="5" t="n"/>
    </row>
    <row r="120">
      <c r="A120" s="10">
        <f>IF($E120="","",INDEX('Input Transaksi'!$A:$A,$E120))</f>
        <v/>
      </c>
      <c r="B120" s="5">
        <f>IF($E120="","",INDEX('Input Transaksi'!$D:$D,$E120))</f>
        <v/>
      </c>
      <c r="C120">
        <f>IF($E120="","",INDEX('Input Transaksi'!$E:$E,$E120))</f>
        <v/>
      </c>
      <c r="D120" s="5">
        <f>IF($E120="","",INDEX('Input Transaksi'!$F:$F,$E120))</f>
        <v/>
      </c>
      <c r="E120">
        <f>IFERROR(AGGREGATE(15,6,ROW('Input Transaksi'!$B$5:$B$5000)/('Input Transaksi'!$B$5:$B$5000="BALI WASH GALANG"),ROWS($E$5:E120)),"")</f>
        <v/>
      </c>
      <c r="F120" s="5" t="n"/>
    </row>
    <row r="121">
      <c r="A121" s="10">
        <f>IF($E121="","",INDEX('Input Transaksi'!$A:$A,$E121))</f>
        <v/>
      </c>
      <c r="B121" s="5">
        <f>IF($E121="","",INDEX('Input Transaksi'!$D:$D,$E121))</f>
        <v/>
      </c>
      <c r="C121">
        <f>IF($E121="","",INDEX('Input Transaksi'!$E:$E,$E121))</f>
        <v/>
      </c>
      <c r="D121" s="5">
        <f>IF($E121="","",INDEX('Input Transaksi'!$F:$F,$E121))</f>
        <v/>
      </c>
      <c r="E121">
        <f>IFERROR(AGGREGATE(15,6,ROW('Input Transaksi'!$B$5:$B$5000)/('Input Transaksi'!$B$5:$B$5000="BALI WASH GALANG"),ROWS($E$5:E121)),"")</f>
        <v/>
      </c>
      <c r="F121" s="5" t="n"/>
    </row>
    <row r="122">
      <c r="A122" s="10">
        <f>IF($E122="","",INDEX('Input Transaksi'!$A:$A,$E122))</f>
        <v/>
      </c>
      <c r="B122" s="5">
        <f>IF($E122="","",INDEX('Input Transaksi'!$D:$D,$E122))</f>
        <v/>
      </c>
      <c r="C122">
        <f>IF($E122="","",INDEX('Input Transaksi'!$E:$E,$E122))</f>
        <v/>
      </c>
      <c r="D122" s="5">
        <f>IF($E122="","",INDEX('Input Transaksi'!$F:$F,$E122))</f>
        <v/>
      </c>
      <c r="E122">
        <f>IFERROR(AGGREGATE(15,6,ROW('Input Transaksi'!$B$5:$B$5000)/('Input Transaksi'!$B$5:$B$5000="BALI WASH GALANG"),ROWS($E$5:E122)),"")</f>
        <v/>
      </c>
      <c r="F122" s="5" t="n"/>
    </row>
    <row r="123">
      <c r="A123" s="10">
        <f>IF($E123="","",INDEX('Input Transaksi'!$A:$A,$E123))</f>
        <v/>
      </c>
      <c r="B123" s="5">
        <f>IF($E123="","",INDEX('Input Transaksi'!$D:$D,$E123))</f>
        <v/>
      </c>
      <c r="C123">
        <f>IF($E123="","",INDEX('Input Transaksi'!$E:$E,$E123))</f>
        <v/>
      </c>
      <c r="D123" s="5">
        <f>IF($E123="","",INDEX('Input Transaksi'!$F:$F,$E123))</f>
        <v/>
      </c>
      <c r="E123">
        <f>IFERROR(AGGREGATE(15,6,ROW('Input Transaksi'!$B$5:$B$5000)/('Input Transaksi'!$B$5:$B$5000="BALI WASH GALANG"),ROWS($E$5:E123)),"")</f>
        <v/>
      </c>
      <c r="F123" s="5" t="n"/>
    </row>
    <row r="124">
      <c r="A124" s="10">
        <f>IF($E124="","",INDEX('Input Transaksi'!$A:$A,$E124))</f>
        <v/>
      </c>
      <c r="B124" s="5">
        <f>IF($E124="","",INDEX('Input Transaksi'!$D:$D,$E124))</f>
        <v/>
      </c>
      <c r="C124">
        <f>IF($E124="","",INDEX('Input Transaksi'!$E:$E,$E124))</f>
        <v/>
      </c>
      <c r="D124" s="5">
        <f>IF($E124="","",INDEX('Input Transaksi'!$F:$F,$E124))</f>
        <v/>
      </c>
      <c r="E124">
        <f>IFERROR(AGGREGATE(15,6,ROW('Input Transaksi'!$B$5:$B$5000)/('Input Transaksi'!$B$5:$B$5000="BALI WASH GALANG"),ROWS($E$5:E124)),"")</f>
        <v/>
      </c>
      <c r="F124" s="5" t="n"/>
    </row>
    <row r="125">
      <c r="A125" s="10">
        <f>IF($E125="","",INDEX('Input Transaksi'!$A:$A,$E125))</f>
        <v/>
      </c>
      <c r="B125" s="5">
        <f>IF($E125="","",INDEX('Input Transaksi'!$D:$D,$E125))</f>
        <v/>
      </c>
      <c r="C125">
        <f>IF($E125="","",INDEX('Input Transaksi'!$E:$E,$E125))</f>
        <v/>
      </c>
      <c r="D125" s="5">
        <f>IF($E125="","",INDEX('Input Transaksi'!$F:$F,$E125))</f>
        <v/>
      </c>
      <c r="E125">
        <f>IFERROR(AGGREGATE(15,6,ROW('Input Transaksi'!$B$5:$B$5000)/('Input Transaksi'!$B$5:$B$5000="BALI WASH GALANG"),ROWS($E$5:E125)),"")</f>
        <v/>
      </c>
      <c r="F125" s="5" t="n"/>
    </row>
    <row r="126">
      <c r="A126" s="10">
        <f>IF($E126="","",INDEX('Input Transaksi'!$A:$A,$E126))</f>
        <v/>
      </c>
      <c r="B126" s="5">
        <f>IF($E126="","",INDEX('Input Transaksi'!$D:$D,$E126))</f>
        <v/>
      </c>
      <c r="C126">
        <f>IF($E126="","",INDEX('Input Transaksi'!$E:$E,$E126))</f>
        <v/>
      </c>
      <c r="D126" s="5">
        <f>IF($E126="","",INDEX('Input Transaksi'!$F:$F,$E126))</f>
        <v/>
      </c>
      <c r="E126">
        <f>IFERROR(AGGREGATE(15,6,ROW('Input Transaksi'!$B$5:$B$5000)/('Input Transaksi'!$B$5:$B$5000="BALI WASH GALANG"),ROWS($E$5:E126)),"")</f>
        <v/>
      </c>
      <c r="F126" s="5" t="n"/>
    </row>
    <row r="127">
      <c r="A127" s="10">
        <f>IF($E127="","",INDEX('Input Transaksi'!$A:$A,$E127))</f>
        <v/>
      </c>
      <c r="B127" s="5">
        <f>IF($E127="","",INDEX('Input Transaksi'!$D:$D,$E127))</f>
        <v/>
      </c>
      <c r="C127">
        <f>IF($E127="","",INDEX('Input Transaksi'!$E:$E,$E127))</f>
        <v/>
      </c>
      <c r="D127" s="5">
        <f>IF($E127="","",INDEX('Input Transaksi'!$F:$F,$E127))</f>
        <v/>
      </c>
      <c r="E127">
        <f>IFERROR(AGGREGATE(15,6,ROW('Input Transaksi'!$B$5:$B$5000)/('Input Transaksi'!$B$5:$B$5000="BALI WASH GALANG"),ROWS($E$5:E127)),"")</f>
        <v/>
      </c>
      <c r="F127" s="5" t="n"/>
    </row>
    <row r="128">
      <c r="A128" s="10">
        <f>IF($E128="","",INDEX('Input Transaksi'!$A:$A,$E128))</f>
        <v/>
      </c>
      <c r="B128" s="5">
        <f>IF($E128="","",INDEX('Input Transaksi'!$D:$D,$E128))</f>
        <v/>
      </c>
      <c r="C128">
        <f>IF($E128="","",INDEX('Input Transaksi'!$E:$E,$E128))</f>
        <v/>
      </c>
      <c r="D128" s="5">
        <f>IF($E128="","",INDEX('Input Transaksi'!$F:$F,$E128))</f>
        <v/>
      </c>
      <c r="E128">
        <f>IFERROR(AGGREGATE(15,6,ROW('Input Transaksi'!$B$5:$B$5000)/('Input Transaksi'!$B$5:$B$5000="BALI WASH GALANG"),ROWS($E$5:E128)),"")</f>
        <v/>
      </c>
      <c r="F128" s="5" t="n"/>
    </row>
    <row r="129">
      <c r="A129" s="10">
        <f>IF($E129="","",INDEX('Input Transaksi'!$A:$A,$E129))</f>
        <v/>
      </c>
      <c r="B129" s="5">
        <f>IF($E129="","",INDEX('Input Transaksi'!$D:$D,$E129))</f>
        <v/>
      </c>
      <c r="C129">
        <f>IF($E129="","",INDEX('Input Transaksi'!$E:$E,$E129))</f>
        <v/>
      </c>
      <c r="D129" s="5">
        <f>IF($E129="","",INDEX('Input Transaksi'!$F:$F,$E129))</f>
        <v/>
      </c>
      <c r="E129">
        <f>IFERROR(AGGREGATE(15,6,ROW('Input Transaksi'!$B$5:$B$5000)/('Input Transaksi'!$B$5:$B$5000="BALI WASH GALANG"),ROWS($E$5:E129)),"")</f>
        <v/>
      </c>
      <c r="F129" s="5" t="n"/>
    </row>
    <row r="130">
      <c r="A130" s="10">
        <f>IF($E130="","",INDEX('Input Transaksi'!$A:$A,$E130))</f>
        <v/>
      </c>
      <c r="B130" s="5">
        <f>IF($E130="","",INDEX('Input Transaksi'!$D:$D,$E130))</f>
        <v/>
      </c>
      <c r="C130">
        <f>IF($E130="","",INDEX('Input Transaksi'!$E:$E,$E130))</f>
        <v/>
      </c>
      <c r="D130" s="5">
        <f>IF($E130="","",INDEX('Input Transaksi'!$F:$F,$E130))</f>
        <v/>
      </c>
      <c r="E130">
        <f>IFERROR(AGGREGATE(15,6,ROW('Input Transaksi'!$B$5:$B$5000)/('Input Transaksi'!$B$5:$B$5000="BALI WASH GALANG"),ROWS($E$5:E130)),"")</f>
        <v/>
      </c>
      <c r="F130" s="5" t="n"/>
    </row>
    <row r="131">
      <c r="A131" s="10">
        <f>IF($E131="","",INDEX('Input Transaksi'!$A:$A,$E131))</f>
        <v/>
      </c>
      <c r="B131" s="5">
        <f>IF($E131="","",INDEX('Input Transaksi'!$D:$D,$E131))</f>
        <v/>
      </c>
      <c r="C131">
        <f>IF($E131="","",INDEX('Input Transaksi'!$E:$E,$E131))</f>
        <v/>
      </c>
      <c r="D131" s="5">
        <f>IF($E131="","",INDEX('Input Transaksi'!$F:$F,$E131))</f>
        <v/>
      </c>
      <c r="E131">
        <f>IFERROR(AGGREGATE(15,6,ROW('Input Transaksi'!$B$5:$B$5000)/('Input Transaksi'!$B$5:$B$5000="BALI WASH GALANG"),ROWS($E$5:E131)),"")</f>
        <v/>
      </c>
      <c r="F131" s="5" t="n"/>
    </row>
    <row r="132">
      <c r="A132" s="10">
        <f>IF($E132="","",INDEX('Input Transaksi'!$A:$A,$E132))</f>
        <v/>
      </c>
      <c r="B132" s="5">
        <f>IF($E132="","",INDEX('Input Transaksi'!$D:$D,$E132))</f>
        <v/>
      </c>
      <c r="C132">
        <f>IF($E132="","",INDEX('Input Transaksi'!$E:$E,$E132))</f>
        <v/>
      </c>
      <c r="D132" s="5">
        <f>IF($E132="","",INDEX('Input Transaksi'!$F:$F,$E132))</f>
        <v/>
      </c>
      <c r="E132">
        <f>IFERROR(AGGREGATE(15,6,ROW('Input Transaksi'!$B$5:$B$5000)/('Input Transaksi'!$B$5:$B$5000="BALI WASH GALANG"),ROWS($E$5:E132)),"")</f>
        <v/>
      </c>
      <c r="F132" s="5" t="n"/>
    </row>
    <row r="133">
      <c r="A133" s="10">
        <f>IF($E133="","",INDEX('Input Transaksi'!$A:$A,$E133))</f>
        <v/>
      </c>
      <c r="B133" s="5">
        <f>IF($E133="","",INDEX('Input Transaksi'!$D:$D,$E133))</f>
        <v/>
      </c>
      <c r="C133">
        <f>IF($E133="","",INDEX('Input Transaksi'!$E:$E,$E133))</f>
        <v/>
      </c>
      <c r="D133" s="5">
        <f>IF($E133="","",INDEX('Input Transaksi'!$F:$F,$E133))</f>
        <v/>
      </c>
      <c r="E133">
        <f>IFERROR(AGGREGATE(15,6,ROW('Input Transaksi'!$B$5:$B$5000)/('Input Transaksi'!$B$5:$B$5000="BALI WASH GALANG"),ROWS($E$5:E133)),"")</f>
        <v/>
      </c>
      <c r="F133" s="5" t="n"/>
    </row>
    <row r="134">
      <c r="A134" s="10">
        <f>IF($E134="","",INDEX('Input Transaksi'!$A:$A,$E134))</f>
        <v/>
      </c>
      <c r="B134" s="5">
        <f>IF($E134="","",INDEX('Input Transaksi'!$D:$D,$E134))</f>
        <v/>
      </c>
      <c r="C134">
        <f>IF($E134="","",INDEX('Input Transaksi'!$E:$E,$E134))</f>
        <v/>
      </c>
      <c r="D134" s="5">
        <f>IF($E134="","",INDEX('Input Transaksi'!$F:$F,$E134))</f>
        <v/>
      </c>
      <c r="E134">
        <f>IFERROR(AGGREGATE(15,6,ROW('Input Transaksi'!$B$5:$B$5000)/('Input Transaksi'!$B$5:$B$5000="BALI WASH GALANG"),ROWS($E$5:E134)),"")</f>
        <v/>
      </c>
      <c r="F134" s="5" t="n"/>
    </row>
    <row r="135">
      <c r="A135" s="10">
        <f>IF($E135="","",INDEX('Input Transaksi'!$A:$A,$E135))</f>
        <v/>
      </c>
      <c r="B135" s="5">
        <f>IF($E135="","",INDEX('Input Transaksi'!$D:$D,$E135))</f>
        <v/>
      </c>
      <c r="C135">
        <f>IF($E135="","",INDEX('Input Transaksi'!$E:$E,$E135))</f>
        <v/>
      </c>
      <c r="D135" s="5">
        <f>IF($E135="","",INDEX('Input Transaksi'!$F:$F,$E135))</f>
        <v/>
      </c>
      <c r="E135">
        <f>IFERROR(AGGREGATE(15,6,ROW('Input Transaksi'!$B$5:$B$5000)/('Input Transaksi'!$B$5:$B$5000="BALI WASH GALANG"),ROWS($E$5:E135)),"")</f>
        <v/>
      </c>
      <c r="F135" s="5" t="n"/>
    </row>
    <row r="136">
      <c r="A136" s="10">
        <f>IF($E136="","",INDEX('Input Transaksi'!$A:$A,$E136))</f>
        <v/>
      </c>
      <c r="B136" s="5">
        <f>IF($E136="","",INDEX('Input Transaksi'!$D:$D,$E136))</f>
        <v/>
      </c>
      <c r="C136">
        <f>IF($E136="","",INDEX('Input Transaksi'!$E:$E,$E136))</f>
        <v/>
      </c>
      <c r="D136" s="5">
        <f>IF($E136="","",INDEX('Input Transaksi'!$F:$F,$E136))</f>
        <v/>
      </c>
      <c r="E136">
        <f>IFERROR(AGGREGATE(15,6,ROW('Input Transaksi'!$B$5:$B$5000)/('Input Transaksi'!$B$5:$B$5000="BALI WASH GALANG"),ROWS($E$5:E136)),"")</f>
        <v/>
      </c>
      <c r="F136" s="5" t="n"/>
    </row>
    <row r="137">
      <c r="A137" s="10">
        <f>IF($E137="","",INDEX('Input Transaksi'!$A:$A,$E137))</f>
        <v/>
      </c>
      <c r="B137" s="5">
        <f>IF($E137="","",INDEX('Input Transaksi'!$D:$D,$E137))</f>
        <v/>
      </c>
      <c r="C137">
        <f>IF($E137="","",INDEX('Input Transaksi'!$E:$E,$E137))</f>
        <v/>
      </c>
      <c r="D137" s="5">
        <f>IF($E137="","",INDEX('Input Transaksi'!$F:$F,$E137))</f>
        <v/>
      </c>
      <c r="E137">
        <f>IFERROR(AGGREGATE(15,6,ROW('Input Transaksi'!$B$5:$B$5000)/('Input Transaksi'!$B$5:$B$5000="BALI WASH GALANG"),ROWS($E$5:E137)),"")</f>
        <v/>
      </c>
      <c r="F137" s="5" t="n"/>
    </row>
    <row r="138">
      <c r="A138" s="10">
        <f>IF($E138="","",INDEX('Input Transaksi'!$A:$A,$E138))</f>
        <v/>
      </c>
      <c r="B138" s="5">
        <f>IF($E138="","",INDEX('Input Transaksi'!$D:$D,$E138))</f>
        <v/>
      </c>
      <c r="C138">
        <f>IF($E138="","",INDEX('Input Transaksi'!$E:$E,$E138))</f>
        <v/>
      </c>
      <c r="D138" s="5">
        <f>IF($E138="","",INDEX('Input Transaksi'!$F:$F,$E138))</f>
        <v/>
      </c>
      <c r="E138">
        <f>IFERROR(AGGREGATE(15,6,ROW('Input Transaksi'!$B$5:$B$5000)/('Input Transaksi'!$B$5:$B$5000="BALI WASH GALANG"),ROWS($E$5:E138)),"")</f>
        <v/>
      </c>
      <c r="F138" s="5" t="n"/>
    </row>
    <row r="139">
      <c r="A139" s="10">
        <f>IF($E139="","",INDEX('Input Transaksi'!$A:$A,$E139))</f>
        <v/>
      </c>
      <c r="B139" s="5">
        <f>IF($E139="","",INDEX('Input Transaksi'!$D:$D,$E139))</f>
        <v/>
      </c>
      <c r="C139">
        <f>IF($E139="","",INDEX('Input Transaksi'!$E:$E,$E139))</f>
        <v/>
      </c>
      <c r="D139" s="5">
        <f>IF($E139="","",INDEX('Input Transaksi'!$F:$F,$E139))</f>
        <v/>
      </c>
      <c r="E139">
        <f>IFERROR(AGGREGATE(15,6,ROW('Input Transaksi'!$B$5:$B$5000)/('Input Transaksi'!$B$5:$B$5000="BALI WASH GALANG"),ROWS($E$5:E139)),"")</f>
        <v/>
      </c>
      <c r="F139" s="5" t="n"/>
    </row>
    <row r="140">
      <c r="A140" s="10">
        <f>IF($E140="","",INDEX('Input Transaksi'!$A:$A,$E140))</f>
        <v/>
      </c>
      <c r="B140" s="5">
        <f>IF($E140="","",INDEX('Input Transaksi'!$D:$D,$E140))</f>
        <v/>
      </c>
      <c r="C140">
        <f>IF($E140="","",INDEX('Input Transaksi'!$E:$E,$E140))</f>
        <v/>
      </c>
      <c r="D140" s="5">
        <f>IF($E140="","",INDEX('Input Transaksi'!$F:$F,$E140))</f>
        <v/>
      </c>
      <c r="E140">
        <f>IFERROR(AGGREGATE(15,6,ROW('Input Transaksi'!$B$5:$B$5000)/('Input Transaksi'!$B$5:$B$5000="BALI WASH GALANG"),ROWS($E$5:E140)),"")</f>
        <v/>
      </c>
      <c r="F140" s="5" t="n"/>
    </row>
    <row r="141">
      <c r="A141" s="10">
        <f>IF($E141="","",INDEX('Input Transaksi'!$A:$A,$E141))</f>
        <v/>
      </c>
      <c r="B141" s="5">
        <f>IF($E141="","",INDEX('Input Transaksi'!$D:$D,$E141))</f>
        <v/>
      </c>
      <c r="C141">
        <f>IF($E141="","",INDEX('Input Transaksi'!$E:$E,$E141))</f>
        <v/>
      </c>
      <c r="D141" s="5">
        <f>IF($E141="","",INDEX('Input Transaksi'!$F:$F,$E141))</f>
        <v/>
      </c>
      <c r="E141">
        <f>IFERROR(AGGREGATE(15,6,ROW('Input Transaksi'!$B$5:$B$5000)/('Input Transaksi'!$B$5:$B$5000="BALI WASH GALANG"),ROWS($E$5:E141)),"")</f>
        <v/>
      </c>
      <c r="F141" s="5" t="n"/>
    </row>
    <row r="142">
      <c r="A142" s="10">
        <f>IF($E142="","",INDEX('Input Transaksi'!$A:$A,$E142))</f>
        <v/>
      </c>
      <c r="B142" s="5">
        <f>IF($E142="","",INDEX('Input Transaksi'!$D:$D,$E142))</f>
        <v/>
      </c>
      <c r="C142">
        <f>IF($E142="","",INDEX('Input Transaksi'!$E:$E,$E142))</f>
        <v/>
      </c>
      <c r="D142" s="5">
        <f>IF($E142="","",INDEX('Input Transaksi'!$F:$F,$E142))</f>
        <v/>
      </c>
      <c r="E142">
        <f>IFERROR(AGGREGATE(15,6,ROW('Input Transaksi'!$B$5:$B$5000)/('Input Transaksi'!$B$5:$B$5000="BALI WASH GALANG"),ROWS($E$5:E142)),"")</f>
        <v/>
      </c>
      <c r="F142" s="5" t="n"/>
    </row>
    <row r="143">
      <c r="A143" s="10">
        <f>IF($E143="","",INDEX('Input Transaksi'!$A:$A,$E143))</f>
        <v/>
      </c>
      <c r="B143" s="5">
        <f>IF($E143="","",INDEX('Input Transaksi'!$D:$D,$E143))</f>
        <v/>
      </c>
      <c r="C143">
        <f>IF($E143="","",INDEX('Input Transaksi'!$E:$E,$E143))</f>
        <v/>
      </c>
      <c r="D143" s="5">
        <f>IF($E143="","",INDEX('Input Transaksi'!$F:$F,$E143))</f>
        <v/>
      </c>
      <c r="E143">
        <f>IFERROR(AGGREGATE(15,6,ROW('Input Transaksi'!$B$5:$B$5000)/('Input Transaksi'!$B$5:$B$5000="BALI WASH GALANG"),ROWS($E$5:E143)),"")</f>
        <v/>
      </c>
      <c r="F143" s="5" t="n"/>
    </row>
    <row r="144">
      <c r="A144" s="10">
        <f>IF($E144="","",INDEX('Input Transaksi'!$A:$A,$E144))</f>
        <v/>
      </c>
      <c r="B144" s="5">
        <f>IF($E144="","",INDEX('Input Transaksi'!$D:$D,$E144))</f>
        <v/>
      </c>
      <c r="C144">
        <f>IF($E144="","",INDEX('Input Transaksi'!$E:$E,$E144))</f>
        <v/>
      </c>
      <c r="D144" s="5">
        <f>IF($E144="","",INDEX('Input Transaksi'!$F:$F,$E144))</f>
        <v/>
      </c>
      <c r="E144">
        <f>IFERROR(AGGREGATE(15,6,ROW('Input Transaksi'!$B$5:$B$5000)/('Input Transaksi'!$B$5:$B$5000="BALI WASH GALANG"),ROWS($E$5:E144)),"")</f>
        <v/>
      </c>
      <c r="F144" s="5" t="n"/>
    </row>
    <row r="145">
      <c r="A145" s="10">
        <f>IF($E145="","",INDEX('Input Transaksi'!$A:$A,$E145))</f>
        <v/>
      </c>
      <c r="B145" s="5">
        <f>IF($E145="","",INDEX('Input Transaksi'!$D:$D,$E145))</f>
        <v/>
      </c>
      <c r="C145">
        <f>IF($E145="","",INDEX('Input Transaksi'!$E:$E,$E145))</f>
        <v/>
      </c>
      <c r="D145" s="5">
        <f>IF($E145="","",INDEX('Input Transaksi'!$F:$F,$E145))</f>
        <v/>
      </c>
      <c r="E145">
        <f>IFERROR(AGGREGATE(15,6,ROW('Input Transaksi'!$B$5:$B$5000)/('Input Transaksi'!$B$5:$B$5000="BALI WASH GALANG"),ROWS($E$5:E145)),"")</f>
        <v/>
      </c>
      <c r="F145" s="5" t="n"/>
    </row>
    <row r="146">
      <c r="A146" s="10">
        <f>IF($E146="","",INDEX('Input Transaksi'!$A:$A,$E146))</f>
        <v/>
      </c>
      <c r="B146" s="5">
        <f>IF($E146="","",INDEX('Input Transaksi'!$D:$D,$E146))</f>
        <v/>
      </c>
      <c r="C146">
        <f>IF($E146="","",INDEX('Input Transaksi'!$E:$E,$E146))</f>
        <v/>
      </c>
      <c r="D146" s="5">
        <f>IF($E146="","",INDEX('Input Transaksi'!$F:$F,$E146))</f>
        <v/>
      </c>
      <c r="E146">
        <f>IFERROR(AGGREGATE(15,6,ROW('Input Transaksi'!$B$5:$B$5000)/('Input Transaksi'!$B$5:$B$5000="BALI WASH GALANG"),ROWS($E$5:E146)),"")</f>
        <v/>
      </c>
      <c r="F146" s="5" t="n"/>
    </row>
    <row r="147">
      <c r="A147" s="10">
        <f>IF($E147="","",INDEX('Input Transaksi'!$A:$A,$E147))</f>
        <v/>
      </c>
      <c r="B147" s="5">
        <f>IF($E147="","",INDEX('Input Transaksi'!$D:$D,$E147))</f>
        <v/>
      </c>
      <c r="C147">
        <f>IF($E147="","",INDEX('Input Transaksi'!$E:$E,$E147))</f>
        <v/>
      </c>
      <c r="D147" s="5">
        <f>IF($E147="","",INDEX('Input Transaksi'!$F:$F,$E147))</f>
        <v/>
      </c>
      <c r="E147">
        <f>IFERROR(AGGREGATE(15,6,ROW('Input Transaksi'!$B$5:$B$5000)/('Input Transaksi'!$B$5:$B$5000="BALI WASH GALANG"),ROWS($E$5:E147)),"")</f>
        <v/>
      </c>
      <c r="F147" s="5" t="n"/>
    </row>
    <row r="148">
      <c r="A148" s="10">
        <f>IF($E148="","",INDEX('Input Transaksi'!$A:$A,$E148))</f>
        <v/>
      </c>
      <c r="B148" s="5">
        <f>IF($E148="","",INDEX('Input Transaksi'!$D:$D,$E148))</f>
        <v/>
      </c>
      <c r="C148">
        <f>IF($E148="","",INDEX('Input Transaksi'!$E:$E,$E148))</f>
        <v/>
      </c>
      <c r="D148" s="5">
        <f>IF($E148="","",INDEX('Input Transaksi'!$F:$F,$E148))</f>
        <v/>
      </c>
      <c r="E148">
        <f>IFERROR(AGGREGATE(15,6,ROW('Input Transaksi'!$B$5:$B$5000)/('Input Transaksi'!$B$5:$B$5000="BALI WASH GALANG"),ROWS($E$5:E148)),"")</f>
        <v/>
      </c>
      <c r="F148" s="5" t="n"/>
    </row>
    <row r="149">
      <c r="A149" s="10">
        <f>IF($E149="","",INDEX('Input Transaksi'!$A:$A,$E149))</f>
        <v/>
      </c>
      <c r="B149" s="5">
        <f>IF($E149="","",INDEX('Input Transaksi'!$D:$D,$E149))</f>
        <v/>
      </c>
      <c r="C149">
        <f>IF($E149="","",INDEX('Input Transaksi'!$E:$E,$E149))</f>
        <v/>
      </c>
      <c r="D149" s="5">
        <f>IF($E149="","",INDEX('Input Transaksi'!$F:$F,$E149))</f>
        <v/>
      </c>
      <c r="E149">
        <f>IFERROR(AGGREGATE(15,6,ROW('Input Transaksi'!$B$5:$B$5000)/('Input Transaksi'!$B$5:$B$5000="BALI WASH GALANG"),ROWS($E$5:E149)),"")</f>
        <v/>
      </c>
      <c r="F149" s="5" t="n"/>
    </row>
    <row r="150">
      <c r="A150" s="10">
        <f>IF($E150="","",INDEX('Input Transaksi'!$A:$A,$E150))</f>
        <v/>
      </c>
      <c r="B150" s="5">
        <f>IF($E150="","",INDEX('Input Transaksi'!$D:$D,$E150))</f>
        <v/>
      </c>
      <c r="C150">
        <f>IF($E150="","",INDEX('Input Transaksi'!$E:$E,$E150))</f>
        <v/>
      </c>
      <c r="D150" s="5">
        <f>IF($E150="","",INDEX('Input Transaksi'!$F:$F,$E150))</f>
        <v/>
      </c>
      <c r="E150">
        <f>IFERROR(AGGREGATE(15,6,ROW('Input Transaksi'!$B$5:$B$5000)/('Input Transaksi'!$B$5:$B$5000="BALI WASH GALANG"),ROWS($E$5:E150)),"")</f>
        <v/>
      </c>
      <c r="F150" s="5" t="n"/>
    </row>
    <row r="151">
      <c r="A151" s="10">
        <f>IF($E151="","",INDEX('Input Transaksi'!$A:$A,$E151))</f>
        <v/>
      </c>
      <c r="B151" s="5">
        <f>IF($E151="","",INDEX('Input Transaksi'!$D:$D,$E151))</f>
        <v/>
      </c>
      <c r="C151">
        <f>IF($E151="","",INDEX('Input Transaksi'!$E:$E,$E151))</f>
        <v/>
      </c>
      <c r="D151" s="5">
        <f>IF($E151="","",INDEX('Input Transaksi'!$F:$F,$E151))</f>
        <v/>
      </c>
      <c r="E151">
        <f>IFERROR(AGGREGATE(15,6,ROW('Input Transaksi'!$B$5:$B$5000)/('Input Transaksi'!$B$5:$B$5000="BALI WASH GALANG"),ROWS($E$5:E151)),"")</f>
        <v/>
      </c>
      <c r="F151" s="5" t="n"/>
    </row>
    <row r="152">
      <c r="A152" s="10">
        <f>IF($E152="","",INDEX('Input Transaksi'!$A:$A,$E152))</f>
        <v/>
      </c>
      <c r="B152" s="5">
        <f>IF($E152="","",INDEX('Input Transaksi'!$D:$D,$E152))</f>
        <v/>
      </c>
      <c r="C152">
        <f>IF($E152="","",INDEX('Input Transaksi'!$E:$E,$E152))</f>
        <v/>
      </c>
      <c r="D152" s="5">
        <f>IF($E152="","",INDEX('Input Transaksi'!$F:$F,$E152))</f>
        <v/>
      </c>
      <c r="E152">
        <f>IFERROR(AGGREGATE(15,6,ROW('Input Transaksi'!$B$5:$B$5000)/('Input Transaksi'!$B$5:$B$5000="BALI WASH GALANG"),ROWS($E$5:E152)),"")</f>
        <v/>
      </c>
      <c r="F152" s="5" t="n"/>
    </row>
    <row r="153">
      <c r="A153" s="10">
        <f>IF($E153="","",INDEX('Input Transaksi'!$A:$A,$E153))</f>
        <v/>
      </c>
      <c r="B153" s="5">
        <f>IF($E153="","",INDEX('Input Transaksi'!$D:$D,$E153))</f>
        <v/>
      </c>
      <c r="C153">
        <f>IF($E153="","",INDEX('Input Transaksi'!$E:$E,$E153))</f>
        <v/>
      </c>
      <c r="D153" s="5">
        <f>IF($E153="","",INDEX('Input Transaksi'!$F:$F,$E153))</f>
        <v/>
      </c>
      <c r="E153">
        <f>IFERROR(AGGREGATE(15,6,ROW('Input Transaksi'!$B$5:$B$5000)/('Input Transaksi'!$B$5:$B$5000="BALI WASH GALANG"),ROWS($E$5:E153)),"")</f>
        <v/>
      </c>
      <c r="F153" s="5" t="n"/>
    </row>
    <row r="154">
      <c r="A154" s="10">
        <f>IF($E154="","",INDEX('Input Transaksi'!$A:$A,$E154))</f>
        <v/>
      </c>
      <c r="B154" s="5">
        <f>IF($E154="","",INDEX('Input Transaksi'!$D:$D,$E154))</f>
        <v/>
      </c>
      <c r="C154">
        <f>IF($E154="","",INDEX('Input Transaksi'!$E:$E,$E154))</f>
        <v/>
      </c>
      <c r="D154" s="5">
        <f>IF($E154="","",INDEX('Input Transaksi'!$F:$F,$E154))</f>
        <v/>
      </c>
      <c r="E154">
        <f>IFERROR(AGGREGATE(15,6,ROW('Input Transaksi'!$B$5:$B$5000)/('Input Transaksi'!$B$5:$B$5000="BALI WASH GALANG"),ROWS($E$5:E154)),"")</f>
        <v/>
      </c>
      <c r="F154" s="5" t="n"/>
    </row>
    <row r="155">
      <c r="A155" s="10">
        <f>IF($E155="","",INDEX('Input Transaksi'!$A:$A,$E155))</f>
        <v/>
      </c>
      <c r="B155" s="5">
        <f>IF($E155="","",INDEX('Input Transaksi'!$D:$D,$E155))</f>
        <v/>
      </c>
      <c r="C155">
        <f>IF($E155="","",INDEX('Input Transaksi'!$E:$E,$E155))</f>
        <v/>
      </c>
      <c r="D155" s="5">
        <f>IF($E155="","",INDEX('Input Transaksi'!$F:$F,$E155))</f>
        <v/>
      </c>
      <c r="E155">
        <f>IFERROR(AGGREGATE(15,6,ROW('Input Transaksi'!$B$5:$B$5000)/('Input Transaksi'!$B$5:$B$5000="BALI WASH GALANG"),ROWS($E$5:E155)),"")</f>
        <v/>
      </c>
      <c r="F155" s="5" t="n"/>
    </row>
    <row r="156">
      <c r="A156" s="10">
        <f>IF($E156="","",INDEX('Input Transaksi'!$A:$A,$E156))</f>
        <v/>
      </c>
      <c r="B156" s="5">
        <f>IF($E156="","",INDEX('Input Transaksi'!$D:$D,$E156))</f>
        <v/>
      </c>
      <c r="C156">
        <f>IF($E156="","",INDEX('Input Transaksi'!$E:$E,$E156))</f>
        <v/>
      </c>
      <c r="D156" s="5">
        <f>IF($E156="","",INDEX('Input Transaksi'!$F:$F,$E156))</f>
        <v/>
      </c>
      <c r="E156">
        <f>IFERROR(AGGREGATE(15,6,ROW('Input Transaksi'!$B$5:$B$5000)/('Input Transaksi'!$B$5:$B$5000="BALI WASH GALANG"),ROWS($E$5:E156)),"")</f>
        <v/>
      </c>
      <c r="F156" s="5" t="n"/>
    </row>
    <row r="157">
      <c r="A157" s="10">
        <f>IF($E157="","",INDEX('Input Transaksi'!$A:$A,$E157))</f>
        <v/>
      </c>
      <c r="B157" s="5">
        <f>IF($E157="","",INDEX('Input Transaksi'!$D:$D,$E157))</f>
        <v/>
      </c>
      <c r="C157">
        <f>IF($E157="","",INDEX('Input Transaksi'!$E:$E,$E157))</f>
        <v/>
      </c>
      <c r="D157" s="5">
        <f>IF($E157="","",INDEX('Input Transaksi'!$F:$F,$E157))</f>
        <v/>
      </c>
      <c r="E157">
        <f>IFERROR(AGGREGATE(15,6,ROW('Input Transaksi'!$B$5:$B$5000)/('Input Transaksi'!$B$5:$B$5000="BALI WASH GALANG"),ROWS($E$5:E157)),"")</f>
        <v/>
      </c>
      <c r="F157" s="5" t="n"/>
    </row>
    <row r="158">
      <c r="A158" s="10">
        <f>IF($E158="","",INDEX('Input Transaksi'!$A:$A,$E158))</f>
        <v/>
      </c>
      <c r="B158" s="5">
        <f>IF($E158="","",INDEX('Input Transaksi'!$D:$D,$E158))</f>
        <v/>
      </c>
      <c r="C158">
        <f>IF($E158="","",INDEX('Input Transaksi'!$E:$E,$E158))</f>
        <v/>
      </c>
      <c r="D158" s="5">
        <f>IF($E158="","",INDEX('Input Transaksi'!$F:$F,$E158))</f>
        <v/>
      </c>
      <c r="E158">
        <f>IFERROR(AGGREGATE(15,6,ROW('Input Transaksi'!$B$5:$B$5000)/('Input Transaksi'!$B$5:$B$5000="BALI WASH GALANG"),ROWS($E$5:E158)),"")</f>
        <v/>
      </c>
      <c r="F158" s="5" t="n"/>
    </row>
    <row r="159">
      <c r="A159" s="10">
        <f>IF($E159="","",INDEX('Input Transaksi'!$A:$A,$E159))</f>
        <v/>
      </c>
      <c r="B159" s="5">
        <f>IF($E159="","",INDEX('Input Transaksi'!$D:$D,$E159))</f>
        <v/>
      </c>
      <c r="C159">
        <f>IF($E159="","",INDEX('Input Transaksi'!$E:$E,$E159))</f>
        <v/>
      </c>
      <c r="D159" s="5">
        <f>IF($E159="","",INDEX('Input Transaksi'!$F:$F,$E159))</f>
        <v/>
      </c>
      <c r="E159">
        <f>IFERROR(AGGREGATE(15,6,ROW('Input Transaksi'!$B$5:$B$5000)/('Input Transaksi'!$B$5:$B$5000="BALI WASH GALANG"),ROWS($E$5:E159)),"")</f>
        <v/>
      </c>
      <c r="F159" s="5" t="n"/>
    </row>
    <row r="160">
      <c r="A160" s="10">
        <f>IF($E160="","",INDEX('Input Transaksi'!$A:$A,$E160))</f>
        <v/>
      </c>
      <c r="B160" s="5">
        <f>IF($E160="","",INDEX('Input Transaksi'!$D:$D,$E160))</f>
        <v/>
      </c>
      <c r="C160">
        <f>IF($E160="","",INDEX('Input Transaksi'!$E:$E,$E160))</f>
        <v/>
      </c>
      <c r="D160" s="5">
        <f>IF($E160="","",INDEX('Input Transaksi'!$F:$F,$E160))</f>
        <v/>
      </c>
      <c r="E160">
        <f>IFERROR(AGGREGATE(15,6,ROW('Input Transaksi'!$B$5:$B$5000)/('Input Transaksi'!$B$5:$B$5000="BALI WASH GALANG"),ROWS($E$5:E160)),"")</f>
        <v/>
      </c>
      <c r="F160" s="5" t="n"/>
    </row>
    <row r="161">
      <c r="A161" s="10">
        <f>IF($E161="","",INDEX('Input Transaksi'!$A:$A,$E161))</f>
        <v/>
      </c>
      <c r="B161" s="5">
        <f>IF($E161="","",INDEX('Input Transaksi'!$D:$D,$E161))</f>
        <v/>
      </c>
      <c r="C161">
        <f>IF($E161="","",INDEX('Input Transaksi'!$E:$E,$E161))</f>
        <v/>
      </c>
      <c r="D161" s="5">
        <f>IF($E161="","",INDEX('Input Transaksi'!$F:$F,$E161))</f>
        <v/>
      </c>
      <c r="E161">
        <f>IFERROR(AGGREGATE(15,6,ROW('Input Transaksi'!$B$5:$B$5000)/('Input Transaksi'!$B$5:$B$5000="BALI WASH GALANG"),ROWS($E$5:E161)),"")</f>
        <v/>
      </c>
      <c r="F161" s="5" t="n"/>
    </row>
    <row r="162">
      <c r="A162" s="10">
        <f>IF($E162="","",INDEX('Input Transaksi'!$A:$A,$E162))</f>
        <v/>
      </c>
      <c r="B162" s="5">
        <f>IF($E162="","",INDEX('Input Transaksi'!$D:$D,$E162))</f>
        <v/>
      </c>
      <c r="C162">
        <f>IF($E162="","",INDEX('Input Transaksi'!$E:$E,$E162))</f>
        <v/>
      </c>
      <c r="D162" s="5">
        <f>IF($E162="","",INDEX('Input Transaksi'!$F:$F,$E162))</f>
        <v/>
      </c>
      <c r="E162">
        <f>IFERROR(AGGREGATE(15,6,ROW('Input Transaksi'!$B$5:$B$5000)/('Input Transaksi'!$B$5:$B$5000="BALI WASH GALANG"),ROWS($E$5:E162)),"")</f>
        <v/>
      </c>
      <c r="F162" s="5" t="n"/>
    </row>
    <row r="163">
      <c r="A163" s="10">
        <f>IF($E163="","",INDEX('Input Transaksi'!$A:$A,$E163))</f>
        <v/>
      </c>
      <c r="B163" s="5">
        <f>IF($E163="","",INDEX('Input Transaksi'!$D:$D,$E163))</f>
        <v/>
      </c>
      <c r="C163">
        <f>IF($E163="","",INDEX('Input Transaksi'!$E:$E,$E163))</f>
        <v/>
      </c>
      <c r="D163" s="5">
        <f>IF($E163="","",INDEX('Input Transaksi'!$F:$F,$E163))</f>
        <v/>
      </c>
      <c r="E163">
        <f>IFERROR(AGGREGATE(15,6,ROW('Input Transaksi'!$B$5:$B$5000)/('Input Transaksi'!$B$5:$B$5000="BALI WASH GALANG"),ROWS($E$5:E163)),"")</f>
        <v/>
      </c>
      <c r="F163" s="5" t="n"/>
    </row>
    <row r="164">
      <c r="A164" s="10">
        <f>IF($E164="","",INDEX('Input Transaksi'!$A:$A,$E164))</f>
        <v/>
      </c>
      <c r="B164" s="5">
        <f>IF($E164="","",INDEX('Input Transaksi'!$D:$D,$E164))</f>
        <v/>
      </c>
      <c r="C164">
        <f>IF($E164="","",INDEX('Input Transaksi'!$E:$E,$E164))</f>
        <v/>
      </c>
      <c r="D164" s="5">
        <f>IF($E164="","",INDEX('Input Transaksi'!$F:$F,$E164))</f>
        <v/>
      </c>
      <c r="E164">
        <f>IFERROR(AGGREGATE(15,6,ROW('Input Transaksi'!$B$5:$B$5000)/('Input Transaksi'!$B$5:$B$5000="BALI WASH GALANG"),ROWS($E$5:E164)),"")</f>
        <v/>
      </c>
      <c r="F164" s="5" t="n"/>
    </row>
    <row r="165">
      <c r="A165" s="10">
        <f>IF($E165="","",INDEX('Input Transaksi'!$A:$A,$E165))</f>
        <v/>
      </c>
      <c r="B165" s="5">
        <f>IF($E165="","",INDEX('Input Transaksi'!$D:$D,$E165))</f>
        <v/>
      </c>
      <c r="C165">
        <f>IF($E165="","",INDEX('Input Transaksi'!$E:$E,$E165))</f>
        <v/>
      </c>
      <c r="D165" s="5">
        <f>IF($E165="","",INDEX('Input Transaksi'!$F:$F,$E165))</f>
        <v/>
      </c>
      <c r="E165">
        <f>IFERROR(AGGREGATE(15,6,ROW('Input Transaksi'!$B$5:$B$5000)/('Input Transaksi'!$B$5:$B$5000="BALI WASH GALANG"),ROWS($E$5:E165)),"")</f>
        <v/>
      </c>
      <c r="F165" s="5" t="n"/>
    </row>
    <row r="166">
      <c r="A166" s="10">
        <f>IF($E166="","",INDEX('Input Transaksi'!$A:$A,$E166))</f>
        <v/>
      </c>
      <c r="B166" s="5">
        <f>IF($E166="","",INDEX('Input Transaksi'!$D:$D,$E166))</f>
        <v/>
      </c>
      <c r="C166">
        <f>IF($E166="","",INDEX('Input Transaksi'!$E:$E,$E166))</f>
        <v/>
      </c>
      <c r="D166" s="5">
        <f>IF($E166="","",INDEX('Input Transaksi'!$F:$F,$E166))</f>
        <v/>
      </c>
      <c r="E166">
        <f>IFERROR(AGGREGATE(15,6,ROW('Input Transaksi'!$B$5:$B$5000)/('Input Transaksi'!$B$5:$B$5000="BALI WASH GALANG"),ROWS($E$5:E166)),"")</f>
        <v/>
      </c>
      <c r="F166" s="5" t="n"/>
    </row>
    <row r="167">
      <c r="A167" s="10">
        <f>IF($E167="","",INDEX('Input Transaksi'!$A:$A,$E167))</f>
        <v/>
      </c>
      <c r="B167" s="5">
        <f>IF($E167="","",INDEX('Input Transaksi'!$D:$D,$E167))</f>
        <v/>
      </c>
      <c r="C167">
        <f>IF($E167="","",INDEX('Input Transaksi'!$E:$E,$E167))</f>
        <v/>
      </c>
      <c r="D167" s="5">
        <f>IF($E167="","",INDEX('Input Transaksi'!$F:$F,$E167))</f>
        <v/>
      </c>
      <c r="E167">
        <f>IFERROR(AGGREGATE(15,6,ROW('Input Transaksi'!$B$5:$B$5000)/('Input Transaksi'!$B$5:$B$5000="BALI WASH GALANG"),ROWS($E$5:E167)),"")</f>
        <v/>
      </c>
      <c r="F167" s="5" t="n"/>
    </row>
    <row r="168">
      <c r="A168" s="10">
        <f>IF($E168="","",INDEX('Input Transaksi'!$A:$A,$E168))</f>
        <v/>
      </c>
      <c r="B168" s="5">
        <f>IF($E168="","",INDEX('Input Transaksi'!$D:$D,$E168))</f>
        <v/>
      </c>
      <c r="C168">
        <f>IF($E168="","",INDEX('Input Transaksi'!$E:$E,$E168))</f>
        <v/>
      </c>
      <c r="D168" s="5">
        <f>IF($E168="","",INDEX('Input Transaksi'!$F:$F,$E168))</f>
        <v/>
      </c>
      <c r="E168">
        <f>IFERROR(AGGREGATE(15,6,ROW('Input Transaksi'!$B$5:$B$5000)/('Input Transaksi'!$B$5:$B$5000="BALI WASH GALANG"),ROWS($E$5:E168)),"")</f>
        <v/>
      </c>
      <c r="F168" s="5" t="n"/>
    </row>
    <row r="169">
      <c r="A169" s="10">
        <f>IF($E169="","",INDEX('Input Transaksi'!$A:$A,$E169))</f>
        <v/>
      </c>
      <c r="B169" s="5">
        <f>IF($E169="","",INDEX('Input Transaksi'!$D:$D,$E169))</f>
        <v/>
      </c>
      <c r="C169">
        <f>IF($E169="","",INDEX('Input Transaksi'!$E:$E,$E169))</f>
        <v/>
      </c>
      <c r="D169" s="5">
        <f>IF($E169="","",INDEX('Input Transaksi'!$F:$F,$E169))</f>
        <v/>
      </c>
      <c r="E169">
        <f>IFERROR(AGGREGATE(15,6,ROW('Input Transaksi'!$B$5:$B$5000)/('Input Transaksi'!$B$5:$B$5000="BALI WASH GALANG"),ROWS($E$5:E169)),"")</f>
        <v/>
      </c>
      <c r="F169" s="5" t="n"/>
    </row>
    <row r="170">
      <c r="A170" s="10">
        <f>IF($E170="","",INDEX('Input Transaksi'!$A:$A,$E170))</f>
        <v/>
      </c>
      <c r="B170" s="5">
        <f>IF($E170="","",INDEX('Input Transaksi'!$D:$D,$E170))</f>
        <v/>
      </c>
      <c r="C170">
        <f>IF($E170="","",INDEX('Input Transaksi'!$E:$E,$E170))</f>
        <v/>
      </c>
      <c r="D170" s="5">
        <f>IF($E170="","",INDEX('Input Transaksi'!$F:$F,$E170))</f>
        <v/>
      </c>
      <c r="E170">
        <f>IFERROR(AGGREGATE(15,6,ROW('Input Transaksi'!$B$5:$B$5000)/('Input Transaksi'!$B$5:$B$5000="BALI WASH GALANG"),ROWS($E$5:E170)),"")</f>
        <v/>
      </c>
      <c r="F170" s="5" t="n"/>
    </row>
    <row r="171">
      <c r="A171" s="10">
        <f>IF($E171="","",INDEX('Input Transaksi'!$A:$A,$E171))</f>
        <v/>
      </c>
      <c r="B171" s="5">
        <f>IF($E171="","",INDEX('Input Transaksi'!$D:$D,$E171))</f>
        <v/>
      </c>
      <c r="C171">
        <f>IF($E171="","",INDEX('Input Transaksi'!$E:$E,$E171))</f>
        <v/>
      </c>
      <c r="D171" s="5">
        <f>IF($E171="","",INDEX('Input Transaksi'!$F:$F,$E171))</f>
        <v/>
      </c>
      <c r="E171">
        <f>IFERROR(AGGREGATE(15,6,ROW('Input Transaksi'!$B$5:$B$5000)/('Input Transaksi'!$B$5:$B$5000="BALI WASH GALANG"),ROWS($E$5:E171)),"")</f>
        <v/>
      </c>
      <c r="F171" s="5" t="n"/>
    </row>
    <row r="172">
      <c r="A172" s="10">
        <f>IF($E172="","",INDEX('Input Transaksi'!$A:$A,$E172))</f>
        <v/>
      </c>
      <c r="B172" s="5">
        <f>IF($E172="","",INDEX('Input Transaksi'!$D:$D,$E172))</f>
        <v/>
      </c>
      <c r="C172">
        <f>IF($E172="","",INDEX('Input Transaksi'!$E:$E,$E172))</f>
        <v/>
      </c>
      <c r="D172" s="5">
        <f>IF($E172="","",INDEX('Input Transaksi'!$F:$F,$E172))</f>
        <v/>
      </c>
      <c r="E172">
        <f>IFERROR(AGGREGATE(15,6,ROW('Input Transaksi'!$B$5:$B$5000)/('Input Transaksi'!$B$5:$B$5000="BALI WASH GALANG"),ROWS($E$5:E172)),"")</f>
        <v/>
      </c>
      <c r="F172" s="5" t="n"/>
    </row>
    <row r="173">
      <c r="A173" s="10">
        <f>IF($E173="","",INDEX('Input Transaksi'!$A:$A,$E173))</f>
        <v/>
      </c>
      <c r="B173" s="5">
        <f>IF($E173="","",INDEX('Input Transaksi'!$D:$D,$E173))</f>
        <v/>
      </c>
      <c r="C173">
        <f>IF($E173="","",INDEX('Input Transaksi'!$E:$E,$E173))</f>
        <v/>
      </c>
      <c r="D173" s="5">
        <f>IF($E173="","",INDEX('Input Transaksi'!$F:$F,$E173))</f>
        <v/>
      </c>
      <c r="E173">
        <f>IFERROR(AGGREGATE(15,6,ROW('Input Transaksi'!$B$5:$B$5000)/('Input Transaksi'!$B$5:$B$5000="BALI WASH GALANG"),ROWS($E$5:E173)),"")</f>
        <v/>
      </c>
      <c r="F173" s="5" t="n"/>
    </row>
    <row r="174">
      <c r="A174" s="10">
        <f>IF($E174="","",INDEX('Input Transaksi'!$A:$A,$E174))</f>
        <v/>
      </c>
      <c r="B174" s="5">
        <f>IF($E174="","",INDEX('Input Transaksi'!$D:$D,$E174))</f>
        <v/>
      </c>
      <c r="C174">
        <f>IF($E174="","",INDEX('Input Transaksi'!$E:$E,$E174))</f>
        <v/>
      </c>
      <c r="D174" s="5">
        <f>IF($E174="","",INDEX('Input Transaksi'!$F:$F,$E174))</f>
        <v/>
      </c>
      <c r="E174">
        <f>IFERROR(AGGREGATE(15,6,ROW('Input Transaksi'!$B$5:$B$5000)/('Input Transaksi'!$B$5:$B$5000="BALI WASH GALANG"),ROWS($E$5:E174)),"")</f>
        <v/>
      </c>
      <c r="F174" s="5" t="n"/>
    </row>
    <row r="175">
      <c r="A175" s="10">
        <f>IF($E175="","",INDEX('Input Transaksi'!$A:$A,$E175))</f>
        <v/>
      </c>
      <c r="B175" s="5">
        <f>IF($E175="","",INDEX('Input Transaksi'!$D:$D,$E175))</f>
        <v/>
      </c>
      <c r="C175">
        <f>IF($E175="","",INDEX('Input Transaksi'!$E:$E,$E175))</f>
        <v/>
      </c>
      <c r="D175" s="5">
        <f>IF($E175="","",INDEX('Input Transaksi'!$F:$F,$E175))</f>
        <v/>
      </c>
      <c r="E175">
        <f>IFERROR(AGGREGATE(15,6,ROW('Input Transaksi'!$B$5:$B$5000)/('Input Transaksi'!$B$5:$B$5000="BALI WASH GALANG"),ROWS($E$5:E175)),"")</f>
        <v/>
      </c>
      <c r="F175" s="5" t="n"/>
    </row>
    <row r="176">
      <c r="A176" s="10">
        <f>IF($E176="","",INDEX('Input Transaksi'!$A:$A,$E176))</f>
        <v/>
      </c>
      <c r="B176" s="5">
        <f>IF($E176="","",INDEX('Input Transaksi'!$D:$D,$E176))</f>
        <v/>
      </c>
      <c r="C176">
        <f>IF($E176="","",INDEX('Input Transaksi'!$E:$E,$E176))</f>
        <v/>
      </c>
      <c r="D176" s="5">
        <f>IF($E176="","",INDEX('Input Transaksi'!$F:$F,$E176))</f>
        <v/>
      </c>
      <c r="E176">
        <f>IFERROR(AGGREGATE(15,6,ROW('Input Transaksi'!$B$5:$B$5000)/('Input Transaksi'!$B$5:$B$5000="BALI WASH GALANG"),ROWS($E$5:E176)),"")</f>
        <v/>
      </c>
      <c r="F176" s="5" t="n"/>
    </row>
    <row r="177">
      <c r="A177" s="10">
        <f>IF($E177="","",INDEX('Input Transaksi'!$A:$A,$E177))</f>
        <v/>
      </c>
      <c r="B177" s="5">
        <f>IF($E177="","",INDEX('Input Transaksi'!$D:$D,$E177))</f>
        <v/>
      </c>
      <c r="C177">
        <f>IF($E177="","",INDEX('Input Transaksi'!$E:$E,$E177))</f>
        <v/>
      </c>
      <c r="D177" s="5">
        <f>IF($E177="","",INDEX('Input Transaksi'!$F:$F,$E177))</f>
        <v/>
      </c>
      <c r="E177">
        <f>IFERROR(AGGREGATE(15,6,ROW('Input Transaksi'!$B$5:$B$5000)/('Input Transaksi'!$B$5:$B$5000="BALI WASH GALANG"),ROWS($E$5:E177)),"")</f>
        <v/>
      </c>
      <c r="F177" s="5" t="n"/>
    </row>
    <row r="178">
      <c r="A178" s="10">
        <f>IF($E178="","",INDEX('Input Transaksi'!$A:$A,$E178))</f>
        <v/>
      </c>
      <c r="B178" s="5">
        <f>IF($E178="","",INDEX('Input Transaksi'!$D:$D,$E178))</f>
        <v/>
      </c>
      <c r="C178">
        <f>IF($E178="","",INDEX('Input Transaksi'!$E:$E,$E178))</f>
        <v/>
      </c>
      <c r="D178" s="5">
        <f>IF($E178="","",INDEX('Input Transaksi'!$F:$F,$E178))</f>
        <v/>
      </c>
      <c r="E178">
        <f>IFERROR(AGGREGATE(15,6,ROW('Input Transaksi'!$B$5:$B$5000)/('Input Transaksi'!$B$5:$B$5000="BALI WASH GALANG"),ROWS($E$5:E178)),"")</f>
        <v/>
      </c>
      <c r="F178" s="5" t="n"/>
    </row>
    <row r="179">
      <c r="A179" s="10">
        <f>IF($E179="","",INDEX('Input Transaksi'!$A:$A,$E179))</f>
        <v/>
      </c>
      <c r="B179" s="5">
        <f>IF($E179="","",INDEX('Input Transaksi'!$D:$D,$E179))</f>
        <v/>
      </c>
      <c r="C179">
        <f>IF($E179="","",INDEX('Input Transaksi'!$E:$E,$E179))</f>
        <v/>
      </c>
      <c r="D179" s="5">
        <f>IF($E179="","",INDEX('Input Transaksi'!$F:$F,$E179))</f>
        <v/>
      </c>
      <c r="E179">
        <f>IFERROR(AGGREGATE(15,6,ROW('Input Transaksi'!$B$5:$B$5000)/('Input Transaksi'!$B$5:$B$5000="BALI WASH GALANG"),ROWS($E$5:E179)),"")</f>
        <v/>
      </c>
      <c r="F179" s="5" t="n"/>
    </row>
    <row r="180">
      <c r="A180" s="10">
        <f>IF($E180="","",INDEX('Input Transaksi'!$A:$A,$E180))</f>
        <v/>
      </c>
      <c r="B180" s="5">
        <f>IF($E180="","",INDEX('Input Transaksi'!$D:$D,$E180))</f>
        <v/>
      </c>
      <c r="C180">
        <f>IF($E180="","",INDEX('Input Transaksi'!$E:$E,$E180))</f>
        <v/>
      </c>
      <c r="D180" s="5">
        <f>IF($E180="","",INDEX('Input Transaksi'!$F:$F,$E180))</f>
        <v/>
      </c>
      <c r="E180">
        <f>IFERROR(AGGREGATE(15,6,ROW('Input Transaksi'!$B$5:$B$5000)/('Input Transaksi'!$B$5:$B$5000="BALI WASH GALANG"),ROWS($E$5:E180)),"")</f>
        <v/>
      </c>
      <c r="F180" s="5" t="n"/>
    </row>
    <row r="181">
      <c r="A181" s="10">
        <f>IF($E181="","",INDEX('Input Transaksi'!$A:$A,$E181))</f>
        <v/>
      </c>
      <c r="B181" s="5">
        <f>IF($E181="","",INDEX('Input Transaksi'!$D:$D,$E181))</f>
        <v/>
      </c>
      <c r="C181">
        <f>IF($E181="","",INDEX('Input Transaksi'!$E:$E,$E181))</f>
        <v/>
      </c>
      <c r="D181" s="5">
        <f>IF($E181="","",INDEX('Input Transaksi'!$F:$F,$E181))</f>
        <v/>
      </c>
      <c r="E181">
        <f>IFERROR(AGGREGATE(15,6,ROW('Input Transaksi'!$B$5:$B$5000)/('Input Transaksi'!$B$5:$B$5000="BALI WASH GALANG"),ROWS($E$5:E181)),"")</f>
        <v/>
      </c>
      <c r="F181" s="5" t="n"/>
    </row>
    <row r="182">
      <c r="A182" s="10">
        <f>IF($E182="","",INDEX('Input Transaksi'!$A:$A,$E182))</f>
        <v/>
      </c>
      <c r="B182" s="5">
        <f>IF($E182="","",INDEX('Input Transaksi'!$D:$D,$E182))</f>
        <v/>
      </c>
      <c r="C182">
        <f>IF($E182="","",INDEX('Input Transaksi'!$E:$E,$E182))</f>
        <v/>
      </c>
      <c r="D182" s="5">
        <f>IF($E182="","",INDEX('Input Transaksi'!$F:$F,$E182))</f>
        <v/>
      </c>
      <c r="E182">
        <f>IFERROR(AGGREGATE(15,6,ROW('Input Transaksi'!$B$5:$B$5000)/('Input Transaksi'!$B$5:$B$5000="BALI WASH GALANG"),ROWS($E$5:E182)),"")</f>
        <v/>
      </c>
      <c r="F182" s="5" t="n"/>
    </row>
    <row r="183">
      <c r="A183" s="10">
        <f>IF($E183="","",INDEX('Input Transaksi'!$A:$A,$E183))</f>
        <v/>
      </c>
      <c r="B183" s="5">
        <f>IF($E183="","",INDEX('Input Transaksi'!$D:$D,$E183))</f>
        <v/>
      </c>
      <c r="C183">
        <f>IF($E183="","",INDEX('Input Transaksi'!$E:$E,$E183))</f>
        <v/>
      </c>
      <c r="D183" s="5">
        <f>IF($E183="","",INDEX('Input Transaksi'!$F:$F,$E183))</f>
        <v/>
      </c>
      <c r="E183">
        <f>IFERROR(AGGREGATE(15,6,ROW('Input Transaksi'!$B$5:$B$5000)/('Input Transaksi'!$B$5:$B$5000="BALI WASH GALANG"),ROWS($E$5:E183)),"")</f>
        <v/>
      </c>
      <c r="F183" s="5" t="n"/>
    </row>
    <row r="184">
      <c r="A184" s="10">
        <f>IF($E184="","",INDEX('Input Transaksi'!$A:$A,$E184))</f>
        <v/>
      </c>
      <c r="B184" s="5">
        <f>IF($E184="","",INDEX('Input Transaksi'!$D:$D,$E184))</f>
        <v/>
      </c>
      <c r="C184">
        <f>IF($E184="","",INDEX('Input Transaksi'!$E:$E,$E184))</f>
        <v/>
      </c>
      <c r="D184" s="5">
        <f>IF($E184="","",INDEX('Input Transaksi'!$F:$F,$E184))</f>
        <v/>
      </c>
      <c r="E184">
        <f>IFERROR(AGGREGATE(15,6,ROW('Input Transaksi'!$B$5:$B$5000)/('Input Transaksi'!$B$5:$B$5000="BALI WASH GALANG"),ROWS($E$5:E184)),"")</f>
        <v/>
      </c>
      <c r="F184" s="5" t="n"/>
    </row>
    <row r="185">
      <c r="A185" s="10">
        <f>IF($E185="","",INDEX('Input Transaksi'!$A:$A,$E185))</f>
        <v/>
      </c>
      <c r="B185" s="5">
        <f>IF($E185="","",INDEX('Input Transaksi'!$D:$D,$E185))</f>
        <v/>
      </c>
      <c r="C185">
        <f>IF($E185="","",INDEX('Input Transaksi'!$E:$E,$E185))</f>
        <v/>
      </c>
      <c r="D185" s="5">
        <f>IF($E185="","",INDEX('Input Transaksi'!$F:$F,$E185))</f>
        <v/>
      </c>
      <c r="E185">
        <f>IFERROR(AGGREGATE(15,6,ROW('Input Transaksi'!$B$5:$B$5000)/('Input Transaksi'!$B$5:$B$5000="BALI WASH GALANG"),ROWS($E$5:E185)),"")</f>
        <v/>
      </c>
      <c r="F185" s="5" t="n"/>
    </row>
    <row r="186">
      <c r="A186" s="10">
        <f>IF($E186="","",INDEX('Input Transaksi'!$A:$A,$E186))</f>
        <v/>
      </c>
      <c r="B186" s="5">
        <f>IF($E186="","",INDEX('Input Transaksi'!$D:$D,$E186))</f>
        <v/>
      </c>
      <c r="C186">
        <f>IF($E186="","",INDEX('Input Transaksi'!$E:$E,$E186))</f>
        <v/>
      </c>
      <c r="D186" s="5">
        <f>IF($E186="","",INDEX('Input Transaksi'!$F:$F,$E186))</f>
        <v/>
      </c>
      <c r="E186">
        <f>IFERROR(AGGREGATE(15,6,ROW('Input Transaksi'!$B$5:$B$5000)/('Input Transaksi'!$B$5:$B$5000="BALI WASH GALANG"),ROWS($E$5:E186)),"")</f>
        <v/>
      </c>
      <c r="F186" s="5" t="n"/>
    </row>
    <row r="187">
      <c r="A187" s="10">
        <f>IF($E187="","",INDEX('Input Transaksi'!$A:$A,$E187))</f>
        <v/>
      </c>
      <c r="B187" s="5">
        <f>IF($E187="","",INDEX('Input Transaksi'!$D:$D,$E187))</f>
        <v/>
      </c>
      <c r="C187">
        <f>IF($E187="","",INDEX('Input Transaksi'!$E:$E,$E187))</f>
        <v/>
      </c>
      <c r="D187" s="5">
        <f>IF($E187="","",INDEX('Input Transaksi'!$F:$F,$E187))</f>
        <v/>
      </c>
      <c r="E187">
        <f>IFERROR(AGGREGATE(15,6,ROW('Input Transaksi'!$B$5:$B$5000)/('Input Transaksi'!$B$5:$B$5000="BALI WASH GALANG"),ROWS($E$5:E187)),"")</f>
        <v/>
      </c>
      <c r="F187" s="5" t="n"/>
    </row>
    <row r="188">
      <c r="A188" s="10">
        <f>IF($E188="","",INDEX('Input Transaksi'!$A:$A,$E188))</f>
        <v/>
      </c>
      <c r="B188" s="5">
        <f>IF($E188="","",INDEX('Input Transaksi'!$D:$D,$E188))</f>
        <v/>
      </c>
      <c r="C188">
        <f>IF($E188="","",INDEX('Input Transaksi'!$E:$E,$E188))</f>
        <v/>
      </c>
      <c r="D188" s="5">
        <f>IF($E188="","",INDEX('Input Transaksi'!$F:$F,$E188))</f>
        <v/>
      </c>
      <c r="E188">
        <f>IFERROR(AGGREGATE(15,6,ROW('Input Transaksi'!$B$5:$B$5000)/('Input Transaksi'!$B$5:$B$5000="BALI WASH GALANG"),ROWS($E$5:E188)),"")</f>
        <v/>
      </c>
      <c r="F188" s="5" t="n"/>
    </row>
    <row r="189">
      <c r="A189" s="10">
        <f>IF($E189="","",INDEX('Input Transaksi'!$A:$A,$E189))</f>
        <v/>
      </c>
      <c r="B189" s="5">
        <f>IF($E189="","",INDEX('Input Transaksi'!$D:$D,$E189))</f>
        <v/>
      </c>
      <c r="C189">
        <f>IF($E189="","",INDEX('Input Transaksi'!$E:$E,$E189))</f>
        <v/>
      </c>
      <c r="D189" s="5">
        <f>IF($E189="","",INDEX('Input Transaksi'!$F:$F,$E189))</f>
        <v/>
      </c>
      <c r="E189">
        <f>IFERROR(AGGREGATE(15,6,ROW('Input Transaksi'!$B$5:$B$5000)/('Input Transaksi'!$B$5:$B$5000="BALI WASH GALANG"),ROWS($E$5:E189)),"")</f>
        <v/>
      </c>
      <c r="F189" s="5" t="n"/>
    </row>
    <row r="190">
      <c r="A190" s="10">
        <f>IF($E190="","",INDEX('Input Transaksi'!$A:$A,$E190))</f>
        <v/>
      </c>
      <c r="B190" s="5">
        <f>IF($E190="","",INDEX('Input Transaksi'!$D:$D,$E190))</f>
        <v/>
      </c>
      <c r="C190">
        <f>IF($E190="","",INDEX('Input Transaksi'!$E:$E,$E190))</f>
        <v/>
      </c>
      <c r="D190" s="5">
        <f>IF($E190="","",INDEX('Input Transaksi'!$F:$F,$E190))</f>
        <v/>
      </c>
      <c r="E190">
        <f>IFERROR(AGGREGATE(15,6,ROW('Input Transaksi'!$B$5:$B$5000)/('Input Transaksi'!$B$5:$B$5000="BALI WASH GALANG"),ROWS($E$5:E190)),"")</f>
        <v/>
      </c>
      <c r="F190" s="5" t="n"/>
    </row>
    <row r="191">
      <c r="A191" s="10">
        <f>IF($E191="","",INDEX('Input Transaksi'!$A:$A,$E191))</f>
        <v/>
      </c>
      <c r="B191" s="5">
        <f>IF($E191="","",INDEX('Input Transaksi'!$D:$D,$E191))</f>
        <v/>
      </c>
      <c r="C191">
        <f>IF($E191="","",INDEX('Input Transaksi'!$E:$E,$E191))</f>
        <v/>
      </c>
      <c r="D191" s="5">
        <f>IF($E191="","",INDEX('Input Transaksi'!$F:$F,$E191))</f>
        <v/>
      </c>
      <c r="E191">
        <f>IFERROR(AGGREGATE(15,6,ROW('Input Transaksi'!$B$5:$B$5000)/('Input Transaksi'!$B$5:$B$5000="BALI WASH GALANG"),ROWS($E$5:E191)),"")</f>
        <v/>
      </c>
      <c r="F191" s="5" t="n"/>
    </row>
    <row r="192">
      <c r="A192" s="10">
        <f>IF($E192="","",INDEX('Input Transaksi'!$A:$A,$E192))</f>
        <v/>
      </c>
      <c r="B192" s="5">
        <f>IF($E192="","",INDEX('Input Transaksi'!$D:$D,$E192))</f>
        <v/>
      </c>
      <c r="C192">
        <f>IF($E192="","",INDEX('Input Transaksi'!$E:$E,$E192))</f>
        <v/>
      </c>
      <c r="D192" s="5">
        <f>IF($E192="","",INDEX('Input Transaksi'!$F:$F,$E192))</f>
        <v/>
      </c>
      <c r="E192">
        <f>IFERROR(AGGREGATE(15,6,ROW('Input Transaksi'!$B$5:$B$5000)/('Input Transaksi'!$B$5:$B$5000="BALI WASH GALANG"),ROWS($E$5:E192)),"")</f>
        <v/>
      </c>
      <c r="F192" s="5" t="n"/>
    </row>
    <row r="193">
      <c r="A193" s="10">
        <f>IF($E193="","",INDEX('Input Transaksi'!$A:$A,$E193))</f>
        <v/>
      </c>
      <c r="B193" s="5">
        <f>IF($E193="","",INDEX('Input Transaksi'!$D:$D,$E193))</f>
        <v/>
      </c>
      <c r="C193">
        <f>IF($E193="","",INDEX('Input Transaksi'!$E:$E,$E193))</f>
        <v/>
      </c>
      <c r="D193" s="5">
        <f>IF($E193="","",INDEX('Input Transaksi'!$F:$F,$E193))</f>
        <v/>
      </c>
      <c r="E193">
        <f>IFERROR(AGGREGATE(15,6,ROW('Input Transaksi'!$B$5:$B$5000)/('Input Transaksi'!$B$5:$B$5000="BALI WASH GALANG"),ROWS($E$5:E193)),"")</f>
        <v/>
      </c>
      <c r="F193" s="5" t="n"/>
    </row>
    <row r="194">
      <c r="A194" s="10">
        <f>IF($E194="","",INDEX('Input Transaksi'!$A:$A,$E194))</f>
        <v/>
      </c>
      <c r="B194" s="5">
        <f>IF($E194="","",INDEX('Input Transaksi'!$D:$D,$E194))</f>
        <v/>
      </c>
      <c r="C194">
        <f>IF($E194="","",INDEX('Input Transaksi'!$E:$E,$E194))</f>
        <v/>
      </c>
      <c r="D194" s="5">
        <f>IF($E194="","",INDEX('Input Transaksi'!$F:$F,$E194))</f>
        <v/>
      </c>
      <c r="E194">
        <f>IFERROR(AGGREGATE(15,6,ROW('Input Transaksi'!$B$5:$B$5000)/('Input Transaksi'!$B$5:$B$5000="BALI WASH GALANG"),ROWS($E$5:E194)),"")</f>
        <v/>
      </c>
      <c r="F194" s="5" t="n"/>
    </row>
    <row r="195">
      <c r="A195" s="10">
        <f>IF($E195="","",INDEX('Input Transaksi'!$A:$A,$E195))</f>
        <v/>
      </c>
      <c r="B195" s="5">
        <f>IF($E195="","",INDEX('Input Transaksi'!$D:$D,$E195))</f>
        <v/>
      </c>
      <c r="C195">
        <f>IF($E195="","",INDEX('Input Transaksi'!$E:$E,$E195))</f>
        <v/>
      </c>
      <c r="D195" s="5">
        <f>IF($E195="","",INDEX('Input Transaksi'!$F:$F,$E195))</f>
        <v/>
      </c>
      <c r="E195">
        <f>IFERROR(AGGREGATE(15,6,ROW('Input Transaksi'!$B$5:$B$5000)/('Input Transaksi'!$B$5:$B$5000="BALI WASH GALANG"),ROWS($E$5:E195)),"")</f>
        <v/>
      </c>
      <c r="F195" s="5" t="n"/>
    </row>
    <row r="196">
      <c r="A196" s="10">
        <f>IF($E196="","",INDEX('Input Transaksi'!$A:$A,$E196))</f>
        <v/>
      </c>
      <c r="B196" s="5">
        <f>IF($E196="","",INDEX('Input Transaksi'!$D:$D,$E196))</f>
        <v/>
      </c>
      <c r="C196">
        <f>IF($E196="","",INDEX('Input Transaksi'!$E:$E,$E196))</f>
        <v/>
      </c>
      <c r="D196" s="5">
        <f>IF($E196="","",INDEX('Input Transaksi'!$F:$F,$E196))</f>
        <v/>
      </c>
      <c r="E196">
        <f>IFERROR(AGGREGATE(15,6,ROW('Input Transaksi'!$B$5:$B$5000)/('Input Transaksi'!$B$5:$B$5000="BALI WASH GALANG"),ROWS($E$5:E196)),"")</f>
        <v/>
      </c>
      <c r="F196" s="5" t="n"/>
    </row>
    <row r="197">
      <c r="A197" s="10">
        <f>IF($E197="","",INDEX('Input Transaksi'!$A:$A,$E197))</f>
        <v/>
      </c>
      <c r="B197" s="5">
        <f>IF($E197="","",INDEX('Input Transaksi'!$D:$D,$E197))</f>
        <v/>
      </c>
      <c r="C197">
        <f>IF($E197="","",INDEX('Input Transaksi'!$E:$E,$E197))</f>
        <v/>
      </c>
      <c r="D197" s="5">
        <f>IF($E197="","",INDEX('Input Transaksi'!$F:$F,$E197))</f>
        <v/>
      </c>
      <c r="E197">
        <f>IFERROR(AGGREGATE(15,6,ROW('Input Transaksi'!$B$5:$B$5000)/('Input Transaksi'!$B$5:$B$5000="BALI WASH GALANG"),ROWS($E$5:E197)),"")</f>
        <v/>
      </c>
      <c r="F197" s="5" t="n"/>
    </row>
    <row r="198">
      <c r="A198" s="10">
        <f>IF($E198="","",INDEX('Input Transaksi'!$A:$A,$E198))</f>
        <v/>
      </c>
      <c r="B198" s="5">
        <f>IF($E198="","",INDEX('Input Transaksi'!$D:$D,$E198))</f>
        <v/>
      </c>
      <c r="C198">
        <f>IF($E198="","",INDEX('Input Transaksi'!$E:$E,$E198))</f>
        <v/>
      </c>
      <c r="D198" s="5">
        <f>IF($E198="","",INDEX('Input Transaksi'!$F:$F,$E198))</f>
        <v/>
      </c>
      <c r="E198">
        <f>IFERROR(AGGREGATE(15,6,ROW('Input Transaksi'!$B$5:$B$5000)/('Input Transaksi'!$B$5:$B$5000="BALI WASH GALANG"),ROWS($E$5:E198)),"")</f>
        <v/>
      </c>
      <c r="F198" s="5" t="n"/>
    </row>
    <row r="199">
      <c r="A199" s="10">
        <f>IF($E199="","",INDEX('Input Transaksi'!$A:$A,$E199))</f>
        <v/>
      </c>
      <c r="B199" s="5">
        <f>IF($E199="","",INDEX('Input Transaksi'!$D:$D,$E199))</f>
        <v/>
      </c>
      <c r="C199">
        <f>IF($E199="","",INDEX('Input Transaksi'!$E:$E,$E199))</f>
        <v/>
      </c>
      <c r="D199" s="5">
        <f>IF($E199="","",INDEX('Input Transaksi'!$F:$F,$E199))</f>
        <v/>
      </c>
      <c r="E199">
        <f>IFERROR(AGGREGATE(15,6,ROW('Input Transaksi'!$B$5:$B$5000)/('Input Transaksi'!$B$5:$B$5000="BALI WASH GALANG"),ROWS($E$5:E199)),"")</f>
        <v/>
      </c>
      <c r="F199" s="5" t="n"/>
    </row>
    <row r="200">
      <c r="A200" s="10">
        <f>IF($E200="","",INDEX('Input Transaksi'!$A:$A,$E200))</f>
        <v/>
      </c>
      <c r="B200" s="5">
        <f>IF($E200="","",INDEX('Input Transaksi'!$D:$D,$E200))</f>
        <v/>
      </c>
      <c r="C200">
        <f>IF($E200="","",INDEX('Input Transaksi'!$E:$E,$E200))</f>
        <v/>
      </c>
      <c r="D200" s="5">
        <f>IF($E200="","",INDEX('Input Transaksi'!$F:$F,$E200))</f>
        <v/>
      </c>
      <c r="E200">
        <f>IFERROR(AGGREGATE(15,6,ROW('Input Transaksi'!$B$5:$B$5000)/('Input Transaksi'!$B$5:$B$5000="BALI WASH GALANG"),ROWS($E$5:E200)),"")</f>
        <v/>
      </c>
      <c r="F200" s="5" t="n"/>
    </row>
    <row r="201">
      <c r="A201" s="10">
        <f>IF($E201="","",INDEX('Input Transaksi'!$A:$A,$E201))</f>
        <v/>
      </c>
      <c r="B201" s="5">
        <f>IF($E201="","",INDEX('Input Transaksi'!$D:$D,$E201))</f>
        <v/>
      </c>
      <c r="C201">
        <f>IF($E201="","",INDEX('Input Transaksi'!$E:$E,$E201))</f>
        <v/>
      </c>
      <c r="D201" s="5">
        <f>IF($E201="","",INDEX('Input Transaksi'!$F:$F,$E201))</f>
        <v/>
      </c>
      <c r="E201">
        <f>IFERROR(AGGREGATE(15,6,ROW('Input Transaksi'!$B$5:$B$5000)/('Input Transaksi'!$B$5:$B$5000="BALI WASH GALANG"),ROWS($E$5:E201)),"")</f>
        <v/>
      </c>
      <c r="F201" s="5" t="n"/>
    </row>
    <row r="202">
      <c r="A202" s="10">
        <f>IF($E202="","",INDEX('Input Transaksi'!$A:$A,$E202))</f>
        <v/>
      </c>
      <c r="B202" s="5">
        <f>IF($E202="","",INDEX('Input Transaksi'!$D:$D,$E202))</f>
        <v/>
      </c>
      <c r="C202">
        <f>IF($E202="","",INDEX('Input Transaksi'!$E:$E,$E202))</f>
        <v/>
      </c>
      <c r="D202" s="5">
        <f>IF($E202="","",INDEX('Input Transaksi'!$F:$F,$E202))</f>
        <v/>
      </c>
      <c r="E202">
        <f>IFERROR(AGGREGATE(15,6,ROW('Input Transaksi'!$B$5:$B$5000)/('Input Transaksi'!$B$5:$B$5000="BALI WASH GALANG"),ROWS($E$5:E202)),"")</f>
        <v/>
      </c>
      <c r="F202" s="5" t="n"/>
    </row>
    <row r="203">
      <c r="A203" s="10">
        <f>IF($E203="","",INDEX('Input Transaksi'!$A:$A,$E203))</f>
        <v/>
      </c>
      <c r="B203" s="5">
        <f>IF($E203="","",INDEX('Input Transaksi'!$D:$D,$E203))</f>
        <v/>
      </c>
      <c r="C203">
        <f>IF($E203="","",INDEX('Input Transaksi'!$E:$E,$E203))</f>
        <v/>
      </c>
      <c r="D203" s="5">
        <f>IF($E203="","",INDEX('Input Transaksi'!$F:$F,$E203))</f>
        <v/>
      </c>
      <c r="E203">
        <f>IFERROR(AGGREGATE(15,6,ROW('Input Transaksi'!$B$5:$B$5000)/('Input Transaksi'!$B$5:$B$5000="BALI WASH GALANG"),ROWS($E$5:E203)),"")</f>
        <v/>
      </c>
      <c r="F203" s="5" t="n"/>
    </row>
    <row r="204">
      <c r="A204" s="10">
        <f>IF($E204="","",INDEX('Input Transaksi'!$A:$A,$E204))</f>
        <v/>
      </c>
      <c r="B204" s="5">
        <f>IF($E204="","",INDEX('Input Transaksi'!$D:$D,$E204))</f>
        <v/>
      </c>
      <c r="C204">
        <f>IF($E204="","",INDEX('Input Transaksi'!$E:$E,$E204))</f>
        <v/>
      </c>
      <c r="D204" s="5">
        <f>IF($E204="","",INDEX('Input Transaksi'!$F:$F,$E204))</f>
        <v/>
      </c>
      <c r="E204">
        <f>IFERROR(AGGREGATE(15,6,ROW('Input Transaksi'!$B$5:$B$5000)/('Input Transaksi'!$B$5:$B$5000="BALI WASH GALANG"),ROWS($E$5:E204)),"")</f>
        <v/>
      </c>
      <c r="F204" s="5" t="n"/>
    </row>
    <row r="205">
      <c r="A205" s="10">
        <f>IF($E205="","",INDEX('Input Transaksi'!$A:$A,$E205))</f>
        <v/>
      </c>
      <c r="B205" s="5">
        <f>IF($E205="","",INDEX('Input Transaksi'!$D:$D,$E205))</f>
        <v/>
      </c>
      <c r="C205">
        <f>IF($E205="","",INDEX('Input Transaksi'!$E:$E,$E205))</f>
        <v/>
      </c>
      <c r="D205" s="5">
        <f>IF($E205="","",INDEX('Input Transaksi'!$F:$F,$E205))</f>
        <v/>
      </c>
      <c r="E205">
        <f>IFERROR(AGGREGATE(15,6,ROW('Input Transaksi'!$B$5:$B$5000)/('Input Transaksi'!$B$5:$B$5000="BALI WASH GALANG"),ROWS($E$5:E205)),"")</f>
        <v/>
      </c>
      <c r="F205" s="5" t="n"/>
    </row>
    <row r="206">
      <c r="A206" s="10">
        <f>IF($E206="","",INDEX('Input Transaksi'!$A:$A,$E206))</f>
        <v/>
      </c>
      <c r="B206" s="5">
        <f>IF($E206="","",INDEX('Input Transaksi'!$D:$D,$E206))</f>
        <v/>
      </c>
      <c r="C206">
        <f>IF($E206="","",INDEX('Input Transaksi'!$E:$E,$E206))</f>
        <v/>
      </c>
      <c r="D206" s="5">
        <f>IF($E206="","",INDEX('Input Transaksi'!$F:$F,$E206))</f>
        <v/>
      </c>
      <c r="E206">
        <f>IFERROR(AGGREGATE(15,6,ROW('Input Transaksi'!$B$5:$B$5000)/('Input Transaksi'!$B$5:$B$5000="BALI WASH GALANG"),ROWS($E$5:E206)),"")</f>
        <v/>
      </c>
      <c r="F206" s="5" t="n"/>
    </row>
    <row r="207">
      <c r="A207" s="10">
        <f>IF($E207="","",INDEX('Input Transaksi'!$A:$A,$E207))</f>
        <v/>
      </c>
      <c r="B207" s="5">
        <f>IF($E207="","",INDEX('Input Transaksi'!$D:$D,$E207))</f>
        <v/>
      </c>
      <c r="C207">
        <f>IF($E207="","",INDEX('Input Transaksi'!$E:$E,$E207))</f>
        <v/>
      </c>
      <c r="D207" s="5">
        <f>IF($E207="","",INDEX('Input Transaksi'!$F:$F,$E207))</f>
        <v/>
      </c>
      <c r="E207">
        <f>IFERROR(AGGREGATE(15,6,ROW('Input Transaksi'!$B$5:$B$5000)/('Input Transaksi'!$B$5:$B$5000="BALI WASH GALANG"),ROWS($E$5:E207)),"")</f>
        <v/>
      </c>
      <c r="F207" s="5" t="n"/>
    </row>
    <row r="208">
      <c r="A208" s="10">
        <f>IF($E208="","",INDEX('Input Transaksi'!$A:$A,$E208))</f>
        <v/>
      </c>
      <c r="B208" s="5">
        <f>IF($E208="","",INDEX('Input Transaksi'!$D:$D,$E208))</f>
        <v/>
      </c>
      <c r="C208">
        <f>IF($E208="","",INDEX('Input Transaksi'!$E:$E,$E208))</f>
        <v/>
      </c>
      <c r="D208" s="5">
        <f>IF($E208="","",INDEX('Input Transaksi'!$F:$F,$E208))</f>
        <v/>
      </c>
      <c r="E208">
        <f>IFERROR(AGGREGATE(15,6,ROW('Input Transaksi'!$B$5:$B$5000)/('Input Transaksi'!$B$5:$B$5000="BALI WASH GALANG"),ROWS($E$5:E208)),"")</f>
        <v/>
      </c>
      <c r="F208" s="5" t="n"/>
    </row>
    <row r="209">
      <c r="A209" s="10">
        <f>IF($E209="","",INDEX('Input Transaksi'!$A:$A,$E209))</f>
        <v/>
      </c>
      <c r="B209" s="5">
        <f>IF($E209="","",INDEX('Input Transaksi'!$D:$D,$E209))</f>
        <v/>
      </c>
      <c r="C209">
        <f>IF($E209="","",INDEX('Input Transaksi'!$E:$E,$E209))</f>
        <v/>
      </c>
      <c r="D209" s="5">
        <f>IF($E209="","",INDEX('Input Transaksi'!$F:$F,$E209))</f>
        <v/>
      </c>
      <c r="E209">
        <f>IFERROR(AGGREGATE(15,6,ROW('Input Transaksi'!$B$5:$B$5000)/('Input Transaksi'!$B$5:$B$5000="BALI WASH GALANG"),ROWS($E$5:E209)),"")</f>
        <v/>
      </c>
      <c r="F209" s="5" t="n"/>
    </row>
    <row r="210">
      <c r="A210" s="10">
        <f>IF($E210="","",INDEX('Input Transaksi'!$A:$A,$E210))</f>
        <v/>
      </c>
      <c r="B210" s="5">
        <f>IF($E210="","",INDEX('Input Transaksi'!$D:$D,$E210))</f>
        <v/>
      </c>
      <c r="C210">
        <f>IF($E210="","",INDEX('Input Transaksi'!$E:$E,$E210))</f>
        <v/>
      </c>
      <c r="D210" s="5">
        <f>IF($E210="","",INDEX('Input Transaksi'!$F:$F,$E210))</f>
        <v/>
      </c>
      <c r="E210">
        <f>IFERROR(AGGREGATE(15,6,ROW('Input Transaksi'!$B$5:$B$5000)/('Input Transaksi'!$B$5:$B$5000="BALI WASH GALANG"),ROWS($E$5:E210)),"")</f>
        <v/>
      </c>
      <c r="F210" s="5" t="n"/>
    </row>
    <row r="211">
      <c r="A211" s="10">
        <f>IF($E211="","",INDEX('Input Transaksi'!$A:$A,$E211))</f>
        <v/>
      </c>
      <c r="B211" s="5">
        <f>IF($E211="","",INDEX('Input Transaksi'!$D:$D,$E211))</f>
        <v/>
      </c>
      <c r="C211">
        <f>IF($E211="","",INDEX('Input Transaksi'!$E:$E,$E211))</f>
        <v/>
      </c>
      <c r="D211" s="5">
        <f>IF($E211="","",INDEX('Input Transaksi'!$F:$F,$E211))</f>
        <v/>
      </c>
      <c r="E211">
        <f>IFERROR(AGGREGATE(15,6,ROW('Input Transaksi'!$B$5:$B$5000)/('Input Transaksi'!$B$5:$B$5000="BALI WASH GALANG"),ROWS($E$5:E211)),"")</f>
        <v/>
      </c>
      <c r="F211" s="5" t="n"/>
    </row>
    <row r="212">
      <c r="A212" s="10">
        <f>IF($E212="","",INDEX('Input Transaksi'!$A:$A,$E212))</f>
        <v/>
      </c>
      <c r="B212" s="5">
        <f>IF($E212="","",INDEX('Input Transaksi'!$D:$D,$E212))</f>
        <v/>
      </c>
      <c r="C212">
        <f>IF($E212="","",INDEX('Input Transaksi'!$E:$E,$E212))</f>
        <v/>
      </c>
      <c r="D212" s="5">
        <f>IF($E212="","",INDEX('Input Transaksi'!$F:$F,$E212))</f>
        <v/>
      </c>
      <c r="E212">
        <f>IFERROR(AGGREGATE(15,6,ROW('Input Transaksi'!$B$5:$B$5000)/('Input Transaksi'!$B$5:$B$5000="BALI WASH GALANG"),ROWS($E$5:E212)),"")</f>
        <v/>
      </c>
      <c r="F212" s="5" t="n"/>
    </row>
    <row r="213">
      <c r="A213" s="10">
        <f>IF($E213="","",INDEX('Input Transaksi'!$A:$A,$E213))</f>
        <v/>
      </c>
      <c r="B213" s="5">
        <f>IF($E213="","",INDEX('Input Transaksi'!$D:$D,$E213))</f>
        <v/>
      </c>
      <c r="C213">
        <f>IF($E213="","",INDEX('Input Transaksi'!$E:$E,$E213))</f>
        <v/>
      </c>
      <c r="D213" s="5">
        <f>IF($E213="","",INDEX('Input Transaksi'!$F:$F,$E213))</f>
        <v/>
      </c>
      <c r="E213">
        <f>IFERROR(AGGREGATE(15,6,ROW('Input Transaksi'!$B$5:$B$5000)/('Input Transaksi'!$B$5:$B$5000="BALI WASH GALANG"),ROWS($E$5:E213)),"")</f>
        <v/>
      </c>
      <c r="F213" s="5" t="n"/>
    </row>
    <row r="214">
      <c r="A214" s="10">
        <f>IF($E214="","",INDEX('Input Transaksi'!$A:$A,$E214))</f>
        <v/>
      </c>
      <c r="B214" s="5">
        <f>IF($E214="","",INDEX('Input Transaksi'!$D:$D,$E214))</f>
        <v/>
      </c>
      <c r="C214">
        <f>IF($E214="","",INDEX('Input Transaksi'!$E:$E,$E214))</f>
        <v/>
      </c>
      <c r="D214" s="5">
        <f>IF($E214="","",INDEX('Input Transaksi'!$F:$F,$E214))</f>
        <v/>
      </c>
      <c r="E214">
        <f>IFERROR(AGGREGATE(15,6,ROW('Input Transaksi'!$B$5:$B$5000)/('Input Transaksi'!$B$5:$B$5000="BALI WASH GALANG"),ROWS($E$5:E214)),"")</f>
        <v/>
      </c>
      <c r="F214" s="5" t="n"/>
    </row>
    <row r="215">
      <c r="A215" s="10">
        <f>IF($E215="","",INDEX('Input Transaksi'!$A:$A,$E215))</f>
        <v/>
      </c>
      <c r="B215" s="5">
        <f>IF($E215="","",INDEX('Input Transaksi'!$D:$D,$E215))</f>
        <v/>
      </c>
      <c r="C215">
        <f>IF($E215="","",INDEX('Input Transaksi'!$E:$E,$E215))</f>
        <v/>
      </c>
      <c r="D215" s="5">
        <f>IF($E215="","",INDEX('Input Transaksi'!$F:$F,$E215))</f>
        <v/>
      </c>
      <c r="E215">
        <f>IFERROR(AGGREGATE(15,6,ROW('Input Transaksi'!$B$5:$B$5000)/('Input Transaksi'!$B$5:$B$5000="BALI WASH GALANG"),ROWS($E$5:E215)),"")</f>
        <v/>
      </c>
      <c r="F215" s="5" t="n"/>
    </row>
    <row r="216">
      <c r="A216" s="10">
        <f>IF($E216="","",INDEX('Input Transaksi'!$A:$A,$E216))</f>
        <v/>
      </c>
      <c r="B216" s="5">
        <f>IF($E216="","",INDEX('Input Transaksi'!$D:$D,$E216))</f>
        <v/>
      </c>
      <c r="C216">
        <f>IF($E216="","",INDEX('Input Transaksi'!$E:$E,$E216))</f>
        <v/>
      </c>
      <c r="D216" s="5">
        <f>IF($E216="","",INDEX('Input Transaksi'!$F:$F,$E216))</f>
        <v/>
      </c>
      <c r="E216">
        <f>IFERROR(AGGREGATE(15,6,ROW('Input Transaksi'!$B$5:$B$5000)/('Input Transaksi'!$B$5:$B$5000="BALI WASH GALANG"),ROWS($E$5:E216)),"")</f>
        <v/>
      </c>
      <c r="F216" s="5" t="n"/>
    </row>
    <row r="217">
      <c r="A217" s="10">
        <f>IF($E217="","",INDEX('Input Transaksi'!$A:$A,$E217))</f>
        <v/>
      </c>
      <c r="B217" s="5">
        <f>IF($E217="","",INDEX('Input Transaksi'!$D:$D,$E217))</f>
        <v/>
      </c>
      <c r="C217">
        <f>IF($E217="","",INDEX('Input Transaksi'!$E:$E,$E217))</f>
        <v/>
      </c>
      <c r="D217" s="5">
        <f>IF($E217="","",INDEX('Input Transaksi'!$F:$F,$E217))</f>
        <v/>
      </c>
      <c r="E217">
        <f>IFERROR(AGGREGATE(15,6,ROW('Input Transaksi'!$B$5:$B$5000)/('Input Transaksi'!$B$5:$B$5000="BALI WASH GALANG"),ROWS($E$5:E217)),"")</f>
        <v/>
      </c>
      <c r="F217" s="5" t="n"/>
    </row>
    <row r="218">
      <c r="A218" s="10">
        <f>IF($E218="","",INDEX('Input Transaksi'!$A:$A,$E218))</f>
        <v/>
      </c>
      <c r="B218" s="5">
        <f>IF($E218="","",INDEX('Input Transaksi'!$D:$D,$E218))</f>
        <v/>
      </c>
      <c r="C218">
        <f>IF($E218="","",INDEX('Input Transaksi'!$E:$E,$E218))</f>
        <v/>
      </c>
      <c r="D218" s="5">
        <f>IF($E218="","",INDEX('Input Transaksi'!$F:$F,$E218))</f>
        <v/>
      </c>
      <c r="E218">
        <f>IFERROR(AGGREGATE(15,6,ROW('Input Transaksi'!$B$5:$B$5000)/('Input Transaksi'!$B$5:$B$5000="BALI WASH GALANG"),ROWS($E$5:E218)),"")</f>
        <v/>
      </c>
      <c r="F218" s="5" t="n"/>
    </row>
    <row r="219">
      <c r="A219" s="10">
        <f>IF($E219="","",INDEX('Input Transaksi'!$A:$A,$E219))</f>
        <v/>
      </c>
      <c r="B219" s="5">
        <f>IF($E219="","",INDEX('Input Transaksi'!$D:$D,$E219))</f>
        <v/>
      </c>
      <c r="C219">
        <f>IF($E219="","",INDEX('Input Transaksi'!$E:$E,$E219))</f>
        <v/>
      </c>
      <c r="D219" s="5">
        <f>IF($E219="","",INDEX('Input Transaksi'!$F:$F,$E219))</f>
        <v/>
      </c>
      <c r="E219">
        <f>IFERROR(AGGREGATE(15,6,ROW('Input Transaksi'!$B$5:$B$5000)/('Input Transaksi'!$B$5:$B$5000="BALI WASH GALANG"),ROWS($E$5:E219)),"")</f>
        <v/>
      </c>
      <c r="F219" s="5" t="n"/>
    </row>
    <row r="220">
      <c r="A220" s="10">
        <f>IF($E220="","",INDEX('Input Transaksi'!$A:$A,$E220))</f>
        <v/>
      </c>
      <c r="B220" s="5">
        <f>IF($E220="","",INDEX('Input Transaksi'!$D:$D,$E220))</f>
        <v/>
      </c>
      <c r="C220">
        <f>IF($E220="","",INDEX('Input Transaksi'!$E:$E,$E220))</f>
        <v/>
      </c>
      <c r="D220" s="5">
        <f>IF($E220="","",INDEX('Input Transaksi'!$F:$F,$E220))</f>
        <v/>
      </c>
      <c r="E220">
        <f>IFERROR(AGGREGATE(15,6,ROW('Input Transaksi'!$B$5:$B$5000)/('Input Transaksi'!$B$5:$B$5000="BALI WASH GALANG"),ROWS($E$5:E220)),"")</f>
        <v/>
      </c>
      <c r="F220" s="5" t="n"/>
    </row>
    <row r="221">
      <c r="A221" s="10">
        <f>IF($E221="","",INDEX('Input Transaksi'!$A:$A,$E221))</f>
        <v/>
      </c>
      <c r="B221" s="5">
        <f>IF($E221="","",INDEX('Input Transaksi'!$D:$D,$E221))</f>
        <v/>
      </c>
      <c r="C221">
        <f>IF($E221="","",INDEX('Input Transaksi'!$E:$E,$E221))</f>
        <v/>
      </c>
      <c r="D221" s="5">
        <f>IF($E221="","",INDEX('Input Transaksi'!$F:$F,$E221))</f>
        <v/>
      </c>
      <c r="E221">
        <f>IFERROR(AGGREGATE(15,6,ROW('Input Transaksi'!$B$5:$B$5000)/('Input Transaksi'!$B$5:$B$5000="BALI WASH GALANG"),ROWS($E$5:E221)),"")</f>
        <v/>
      </c>
      <c r="F221" s="5" t="n"/>
    </row>
    <row r="222">
      <c r="A222" s="10">
        <f>IF($E222="","",INDEX('Input Transaksi'!$A:$A,$E222))</f>
        <v/>
      </c>
      <c r="B222" s="5">
        <f>IF($E222="","",INDEX('Input Transaksi'!$D:$D,$E222))</f>
        <v/>
      </c>
      <c r="C222">
        <f>IF($E222="","",INDEX('Input Transaksi'!$E:$E,$E222))</f>
        <v/>
      </c>
      <c r="D222" s="5">
        <f>IF($E222="","",INDEX('Input Transaksi'!$F:$F,$E222))</f>
        <v/>
      </c>
      <c r="E222">
        <f>IFERROR(AGGREGATE(15,6,ROW('Input Transaksi'!$B$5:$B$5000)/('Input Transaksi'!$B$5:$B$5000="BALI WASH GALANG"),ROWS($E$5:E222)),"")</f>
        <v/>
      </c>
      <c r="F222" s="5" t="n"/>
    </row>
    <row r="223">
      <c r="A223" s="10">
        <f>IF($E223="","",INDEX('Input Transaksi'!$A:$A,$E223))</f>
        <v/>
      </c>
      <c r="B223" s="5">
        <f>IF($E223="","",INDEX('Input Transaksi'!$D:$D,$E223))</f>
        <v/>
      </c>
      <c r="C223">
        <f>IF($E223="","",INDEX('Input Transaksi'!$E:$E,$E223))</f>
        <v/>
      </c>
      <c r="D223" s="5">
        <f>IF($E223="","",INDEX('Input Transaksi'!$F:$F,$E223))</f>
        <v/>
      </c>
      <c r="E223">
        <f>IFERROR(AGGREGATE(15,6,ROW('Input Transaksi'!$B$5:$B$5000)/('Input Transaksi'!$B$5:$B$5000="BALI WASH GALANG"),ROWS($E$5:E223)),"")</f>
        <v/>
      </c>
      <c r="F223" s="5" t="n"/>
    </row>
    <row r="224">
      <c r="A224" s="10">
        <f>IF($E224="","",INDEX('Input Transaksi'!$A:$A,$E224))</f>
        <v/>
      </c>
      <c r="B224" s="5">
        <f>IF($E224="","",INDEX('Input Transaksi'!$D:$D,$E224))</f>
        <v/>
      </c>
      <c r="C224">
        <f>IF($E224="","",INDEX('Input Transaksi'!$E:$E,$E224))</f>
        <v/>
      </c>
      <c r="D224" s="5">
        <f>IF($E224="","",INDEX('Input Transaksi'!$F:$F,$E224))</f>
        <v/>
      </c>
      <c r="E224">
        <f>IFERROR(AGGREGATE(15,6,ROW('Input Transaksi'!$B$5:$B$5000)/('Input Transaksi'!$B$5:$B$5000="BALI WASH GALANG"),ROWS($E$5:E224)),"")</f>
        <v/>
      </c>
      <c r="F224" s="5" t="n"/>
    </row>
    <row r="225">
      <c r="A225" s="10">
        <f>IF($E225="","",INDEX('Input Transaksi'!$A:$A,$E225))</f>
        <v/>
      </c>
      <c r="B225" s="5">
        <f>IF($E225="","",INDEX('Input Transaksi'!$D:$D,$E225))</f>
        <v/>
      </c>
      <c r="C225">
        <f>IF($E225="","",INDEX('Input Transaksi'!$E:$E,$E225))</f>
        <v/>
      </c>
      <c r="D225" s="5">
        <f>IF($E225="","",INDEX('Input Transaksi'!$F:$F,$E225))</f>
        <v/>
      </c>
      <c r="E225">
        <f>IFERROR(AGGREGATE(15,6,ROW('Input Transaksi'!$B$5:$B$5000)/('Input Transaksi'!$B$5:$B$5000="BALI WASH GALANG"),ROWS($E$5:E225)),"")</f>
        <v/>
      </c>
      <c r="F225" s="5" t="n"/>
    </row>
    <row r="226">
      <c r="A226" s="10">
        <f>IF($E226="","",INDEX('Input Transaksi'!$A:$A,$E226))</f>
        <v/>
      </c>
      <c r="B226" s="5">
        <f>IF($E226="","",INDEX('Input Transaksi'!$D:$D,$E226))</f>
        <v/>
      </c>
      <c r="C226">
        <f>IF($E226="","",INDEX('Input Transaksi'!$E:$E,$E226))</f>
        <v/>
      </c>
      <c r="D226" s="5">
        <f>IF($E226="","",INDEX('Input Transaksi'!$F:$F,$E226))</f>
        <v/>
      </c>
      <c r="E226">
        <f>IFERROR(AGGREGATE(15,6,ROW('Input Transaksi'!$B$5:$B$5000)/('Input Transaksi'!$B$5:$B$5000="BALI WASH GALANG"),ROWS($E$5:E226)),"")</f>
        <v/>
      </c>
      <c r="F226" s="5" t="n"/>
    </row>
    <row r="227">
      <c r="A227" s="10">
        <f>IF($E227="","",INDEX('Input Transaksi'!$A:$A,$E227))</f>
        <v/>
      </c>
      <c r="B227" s="5">
        <f>IF($E227="","",INDEX('Input Transaksi'!$D:$D,$E227))</f>
        <v/>
      </c>
      <c r="C227">
        <f>IF($E227="","",INDEX('Input Transaksi'!$E:$E,$E227))</f>
        <v/>
      </c>
      <c r="D227" s="5">
        <f>IF($E227="","",INDEX('Input Transaksi'!$F:$F,$E227))</f>
        <v/>
      </c>
      <c r="E227">
        <f>IFERROR(AGGREGATE(15,6,ROW('Input Transaksi'!$B$5:$B$5000)/('Input Transaksi'!$B$5:$B$5000="BALI WASH GALANG"),ROWS($E$5:E227)),"")</f>
        <v/>
      </c>
      <c r="F227" s="5" t="n"/>
    </row>
    <row r="228">
      <c r="A228" s="10">
        <f>IF($E228="","",INDEX('Input Transaksi'!$A:$A,$E228))</f>
        <v/>
      </c>
      <c r="B228" s="5">
        <f>IF($E228="","",INDEX('Input Transaksi'!$D:$D,$E228))</f>
        <v/>
      </c>
      <c r="C228">
        <f>IF($E228="","",INDEX('Input Transaksi'!$E:$E,$E228))</f>
        <v/>
      </c>
      <c r="D228" s="5">
        <f>IF($E228="","",INDEX('Input Transaksi'!$F:$F,$E228))</f>
        <v/>
      </c>
      <c r="E228">
        <f>IFERROR(AGGREGATE(15,6,ROW('Input Transaksi'!$B$5:$B$5000)/('Input Transaksi'!$B$5:$B$5000="BALI WASH GALANG"),ROWS($E$5:E228)),"")</f>
        <v/>
      </c>
      <c r="F228" s="5" t="n"/>
    </row>
    <row r="229">
      <c r="A229" s="10">
        <f>IF($E229="","",INDEX('Input Transaksi'!$A:$A,$E229))</f>
        <v/>
      </c>
      <c r="B229" s="5">
        <f>IF($E229="","",INDEX('Input Transaksi'!$D:$D,$E229))</f>
        <v/>
      </c>
      <c r="C229">
        <f>IF($E229="","",INDEX('Input Transaksi'!$E:$E,$E229))</f>
        <v/>
      </c>
      <c r="D229" s="5">
        <f>IF($E229="","",INDEX('Input Transaksi'!$F:$F,$E229))</f>
        <v/>
      </c>
      <c r="E229">
        <f>IFERROR(AGGREGATE(15,6,ROW('Input Transaksi'!$B$5:$B$5000)/('Input Transaksi'!$B$5:$B$5000="BALI WASH GALANG"),ROWS($E$5:E229)),"")</f>
        <v/>
      </c>
      <c r="F229" s="5" t="n"/>
    </row>
    <row r="230">
      <c r="A230" s="10">
        <f>IF($E230="","",INDEX('Input Transaksi'!$A:$A,$E230))</f>
        <v/>
      </c>
      <c r="B230" s="5">
        <f>IF($E230="","",INDEX('Input Transaksi'!$D:$D,$E230))</f>
        <v/>
      </c>
      <c r="C230">
        <f>IF($E230="","",INDEX('Input Transaksi'!$E:$E,$E230))</f>
        <v/>
      </c>
      <c r="D230" s="5">
        <f>IF($E230="","",INDEX('Input Transaksi'!$F:$F,$E230))</f>
        <v/>
      </c>
      <c r="E230">
        <f>IFERROR(AGGREGATE(15,6,ROW('Input Transaksi'!$B$5:$B$5000)/('Input Transaksi'!$B$5:$B$5000="BALI WASH GALANG"),ROWS($E$5:E230)),"")</f>
        <v/>
      </c>
      <c r="F230" s="5" t="n"/>
    </row>
    <row r="231">
      <c r="A231" s="10">
        <f>IF($E231="","",INDEX('Input Transaksi'!$A:$A,$E231))</f>
        <v/>
      </c>
      <c r="B231" s="5">
        <f>IF($E231="","",INDEX('Input Transaksi'!$D:$D,$E231))</f>
        <v/>
      </c>
      <c r="C231">
        <f>IF($E231="","",INDEX('Input Transaksi'!$E:$E,$E231))</f>
        <v/>
      </c>
      <c r="D231" s="5">
        <f>IF($E231="","",INDEX('Input Transaksi'!$F:$F,$E231))</f>
        <v/>
      </c>
      <c r="E231">
        <f>IFERROR(AGGREGATE(15,6,ROW('Input Transaksi'!$B$5:$B$5000)/('Input Transaksi'!$B$5:$B$5000="BALI WASH GALANG"),ROWS($E$5:E231)),"")</f>
        <v/>
      </c>
      <c r="F231" s="5" t="n"/>
    </row>
    <row r="232">
      <c r="A232" s="10">
        <f>IF($E232="","",INDEX('Input Transaksi'!$A:$A,$E232))</f>
        <v/>
      </c>
      <c r="B232" s="5">
        <f>IF($E232="","",INDEX('Input Transaksi'!$D:$D,$E232))</f>
        <v/>
      </c>
      <c r="C232">
        <f>IF($E232="","",INDEX('Input Transaksi'!$E:$E,$E232))</f>
        <v/>
      </c>
      <c r="D232" s="5">
        <f>IF($E232="","",INDEX('Input Transaksi'!$F:$F,$E232))</f>
        <v/>
      </c>
      <c r="E232">
        <f>IFERROR(AGGREGATE(15,6,ROW('Input Transaksi'!$B$5:$B$5000)/('Input Transaksi'!$B$5:$B$5000="BALI WASH GALANG"),ROWS($E$5:E232)),"")</f>
        <v/>
      </c>
      <c r="F232" s="5" t="n"/>
    </row>
    <row r="233">
      <c r="A233" s="10">
        <f>IF($E233="","",INDEX('Input Transaksi'!$A:$A,$E233))</f>
        <v/>
      </c>
      <c r="B233" s="5">
        <f>IF($E233="","",INDEX('Input Transaksi'!$D:$D,$E233))</f>
        <v/>
      </c>
      <c r="C233">
        <f>IF($E233="","",INDEX('Input Transaksi'!$E:$E,$E233))</f>
        <v/>
      </c>
      <c r="D233" s="5">
        <f>IF($E233="","",INDEX('Input Transaksi'!$F:$F,$E233))</f>
        <v/>
      </c>
      <c r="E233">
        <f>IFERROR(AGGREGATE(15,6,ROW('Input Transaksi'!$B$5:$B$5000)/('Input Transaksi'!$B$5:$B$5000="BALI WASH GALANG"),ROWS($E$5:E233)),"")</f>
        <v/>
      </c>
      <c r="F233" s="5" t="n"/>
    </row>
    <row r="234">
      <c r="A234" s="10">
        <f>IF($E234="","",INDEX('Input Transaksi'!$A:$A,$E234))</f>
        <v/>
      </c>
      <c r="B234" s="5">
        <f>IF($E234="","",INDEX('Input Transaksi'!$D:$D,$E234))</f>
        <v/>
      </c>
      <c r="C234">
        <f>IF($E234="","",INDEX('Input Transaksi'!$E:$E,$E234))</f>
        <v/>
      </c>
      <c r="D234" s="5">
        <f>IF($E234="","",INDEX('Input Transaksi'!$F:$F,$E234))</f>
        <v/>
      </c>
      <c r="E234">
        <f>IFERROR(AGGREGATE(15,6,ROW('Input Transaksi'!$B$5:$B$5000)/('Input Transaksi'!$B$5:$B$5000="BALI WASH GALANG"),ROWS($E$5:E234)),"")</f>
        <v/>
      </c>
      <c r="F234" s="5" t="n"/>
    </row>
    <row r="235">
      <c r="A235" s="10">
        <f>IF($E235="","",INDEX('Input Transaksi'!$A:$A,$E235))</f>
        <v/>
      </c>
      <c r="B235" s="5">
        <f>IF($E235="","",INDEX('Input Transaksi'!$D:$D,$E235))</f>
        <v/>
      </c>
      <c r="C235">
        <f>IF($E235="","",INDEX('Input Transaksi'!$E:$E,$E235))</f>
        <v/>
      </c>
      <c r="D235" s="5">
        <f>IF($E235="","",INDEX('Input Transaksi'!$F:$F,$E235))</f>
        <v/>
      </c>
      <c r="E235">
        <f>IFERROR(AGGREGATE(15,6,ROW('Input Transaksi'!$B$5:$B$5000)/('Input Transaksi'!$B$5:$B$5000="BALI WASH GALANG"),ROWS($E$5:E235)),"")</f>
        <v/>
      </c>
      <c r="F235" s="5" t="n"/>
    </row>
    <row r="236">
      <c r="A236" s="10">
        <f>IF($E236="","",INDEX('Input Transaksi'!$A:$A,$E236))</f>
        <v/>
      </c>
      <c r="B236" s="5">
        <f>IF($E236="","",INDEX('Input Transaksi'!$D:$D,$E236))</f>
        <v/>
      </c>
      <c r="C236">
        <f>IF($E236="","",INDEX('Input Transaksi'!$E:$E,$E236))</f>
        <v/>
      </c>
      <c r="D236" s="5">
        <f>IF($E236="","",INDEX('Input Transaksi'!$F:$F,$E236))</f>
        <v/>
      </c>
      <c r="E236">
        <f>IFERROR(AGGREGATE(15,6,ROW('Input Transaksi'!$B$5:$B$5000)/('Input Transaksi'!$B$5:$B$5000="BALI WASH GALANG"),ROWS($E$5:E236)),"")</f>
        <v/>
      </c>
      <c r="F236" s="5" t="n"/>
    </row>
    <row r="237">
      <c r="A237" s="10">
        <f>IF($E237="","",INDEX('Input Transaksi'!$A:$A,$E237))</f>
        <v/>
      </c>
      <c r="B237" s="5">
        <f>IF($E237="","",INDEX('Input Transaksi'!$D:$D,$E237))</f>
        <v/>
      </c>
      <c r="C237">
        <f>IF($E237="","",INDEX('Input Transaksi'!$E:$E,$E237))</f>
        <v/>
      </c>
      <c r="D237" s="5">
        <f>IF($E237="","",INDEX('Input Transaksi'!$F:$F,$E237))</f>
        <v/>
      </c>
      <c r="E237">
        <f>IFERROR(AGGREGATE(15,6,ROW('Input Transaksi'!$B$5:$B$5000)/('Input Transaksi'!$B$5:$B$5000="BALI WASH GALANG"),ROWS($E$5:E237)),"")</f>
        <v/>
      </c>
      <c r="F237" s="5" t="n"/>
    </row>
    <row r="238">
      <c r="A238" s="10">
        <f>IF($E238="","",INDEX('Input Transaksi'!$A:$A,$E238))</f>
        <v/>
      </c>
      <c r="B238" s="5">
        <f>IF($E238="","",INDEX('Input Transaksi'!$D:$D,$E238))</f>
        <v/>
      </c>
      <c r="C238">
        <f>IF($E238="","",INDEX('Input Transaksi'!$E:$E,$E238))</f>
        <v/>
      </c>
      <c r="D238" s="5">
        <f>IF($E238="","",INDEX('Input Transaksi'!$F:$F,$E238))</f>
        <v/>
      </c>
      <c r="E238">
        <f>IFERROR(AGGREGATE(15,6,ROW('Input Transaksi'!$B$5:$B$5000)/('Input Transaksi'!$B$5:$B$5000="BALI WASH GALANG"),ROWS($E$5:E238)),"")</f>
        <v/>
      </c>
      <c r="F238" s="5" t="n"/>
    </row>
    <row r="239">
      <c r="A239" s="10">
        <f>IF($E239="","",INDEX('Input Transaksi'!$A:$A,$E239))</f>
        <v/>
      </c>
      <c r="B239" s="5">
        <f>IF($E239="","",INDEX('Input Transaksi'!$D:$D,$E239))</f>
        <v/>
      </c>
      <c r="C239">
        <f>IF($E239="","",INDEX('Input Transaksi'!$E:$E,$E239))</f>
        <v/>
      </c>
      <c r="D239" s="5">
        <f>IF($E239="","",INDEX('Input Transaksi'!$F:$F,$E239))</f>
        <v/>
      </c>
      <c r="E239">
        <f>IFERROR(AGGREGATE(15,6,ROW('Input Transaksi'!$B$5:$B$5000)/('Input Transaksi'!$B$5:$B$5000="BALI WASH GALANG"),ROWS($E$5:E239)),"")</f>
        <v/>
      </c>
      <c r="F239" s="5" t="n"/>
    </row>
    <row r="240">
      <c r="A240" s="10">
        <f>IF($E240="","",INDEX('Input Transaksi'!$A:$A,$E240))</f>
        <v/>
      </c>
      <c r="B240" s="5">
        <f>IF($E240="","",INDEX('Input Transaksi'!$D:$D,$E240))</f>
        <v/>
      </c>
      <c r="C240">
        <f>IF($E240="","",INDEX('Input Transaksi'!$E:$E,$E240))</f>
        <v/>
      </c>
      <c r="D240" s="5">
        <f>IF($E240="","",INDEX('Input Transaksi'!$F:$F,$E240))</f>
        <v/>
      </c>
      <c r="E240">
        <f>IFERROR(AGGREGATE(15,6,ROW('Input Transaksi'!$B$5:$B$5000)/('Input Transaksi'!$B$5:$B$5000="BALI WASH GALANG"),ROWS($E$5:E240)),"")</f>
        <v/>
      </c>
      <c r="F240" s="5" t="n"/>
    </row>
    <row r="241">
      <c r="A241" s="10">
        <f>IF($E241="","",INDEX('Input Transaksi'!$A:$A,$E241))</f>
        <v/>
      </c>
      <c r="B241" s="5">
        <f>IF($E241="","",INDEX('Input Transaksi'!$D:$D,$E241))</f>
        <v/>
      </c>
      <c r="C241">
        <f>IF($E241="","",INDEX('Input Transaksi'!$E:$E,$E241))</f>
        <v/>
      </c>
      <c r="D241" s="5">
        <f>IF($E241="","",INDEX('Input Transaksi'!$F:$F,$E241))</f>
        <v/>
      </c>
      <c r="E241">
        <f>IFERROR(AGGREGATE(15,6,ROW('Input Transaksi'!$B$5:$B$5000)/('Input Transaksi'!$B$5:$B$5000="BALI WASH GALANG"),ROWS($E$5:E241)),"")</f>
        <v/>
      </c>
      <c r="F241" s="5" t="n"/>
    </row>
    <row r="242">
      <c r="A242" s="10">
        <f>IF($E242="","",INDEX('Input Transaksi'!$A:$A,$E242))</f>
        <v/>
      </c>
      <c r="B242" s="5">
        <f>IF($E242="","",INDEX('Input Transaksi'!$D:$D,$E242))</f>
        <v/>
      </c>
      <c r="C242">
        <f>IF($E242="","",INDEX('Input Transaksi'!$E:$E,$E242))</f>
        <v/>
      </c>
      <c r="D242" s="5">
        <f>IF($E242="","",INDEX('Input Transaksi'!$F:$F,$E242))</f>
        <v/>
      </c>
      <c r="E242">
        <f>IFERROR(AGGREGATE(15,6,ROW('Input Transaksi'!$B$5:$B$5000)/('Input Transaksi'!$B$5:$B$5000="BALI WASH GALANG"),ROWS($E$5:E242)),"")</f>
        <v/>
      </c>
      <c r="F242" s="5" t="n"/>
    </row>
    <row r="243">
      <c r="A243" s="10">
        <f>IF($E243="","",INDEX('Input Transaksi'!$A:$A,$E243))</f>
        <v/>
      </c>
      <c r="B243" s="5">
        <f>IF($E243="","",INDEX('Input Transaksi'!$D:$D,$E243))</f>
        <v/>
      </c>
      <c r="C243">
        <f>IF($E243="","",INDEX('Input Transaksi'!$E:$E,$E243))</f>
        <v/>
      </c>
      <c r="D243" s="5">
        <f>IF($E243="","",INDEX('Input Transaksi'!$F:$F,$E243))</f>
        <v/>
      </c>
      <c r="E243">
        <f>IFERROR(AGGREGATE(15,6,ROW('Input Transaksi'!$B$5:$B$5000)/('Input Transaksi'!$B$5:$B$5000="BALI WASH GALANG"),ROWS($E$5:E243)),"")</f>
        <v/>
      </c>
      <c r="F243" s="5" t="n"/>
    </row>
    <row r="244">
      <c r="A244" s="10">
        <f>IF($E244="","",INDEX('Input Transaksi'!$A:$A,$E244))</f>
        <v/>
      </c>
      <c r="B244" s="5">
        <f>IF($E244="","",INDEX('Input Transaksi'!$D:$D,$E244))</f>
        <v/>
      </c>
      <c r="C244">
        <f>IF($E244="","",INDEX('Input Transaksi'!$E:$E,$E244))</f>
        <v/>
      </c>
      <c r="D244" s="5">
        <f>IF($E244="","",INDEX('Input Transaksi'!$F:$F,$E244))</f>
        <v/>
      </c>
      <c r="E244">
        <f>IFERROR(AGGREGATE(15,6,ROW('Input Transaksi'!$B$5:$B$5000)/('Input Transaksi'!$B$5:$B$5000="BALI WASH GALANG"),ROWS($E$5:E244)),"")</f>
        <v/>
      </c>
      <c r="F244" s="5" t="n"/>
    </row>
    <row r="245">
      <c r="A245" s="10">
        <f>IF($E245="","",INDEX('Input Transaksi'!$A:$A,$E245))</f>
        <v/>
      </c>
      <c r="B245" s="5">
        <f>IF($E245="","",INDEX('Input Transaksi'!$D:$D,$E245))</f>
        <v/>
      </c>
      <c r="C245">
        <f>IF($E245="","",INDEX('Input Transaksi'!$E:$E,$E245))</f>
        <v/>
      </c>
      <c r="D245" s="5">
        <f>IF($E245="","",INDEX('Input Transaksi'!$F:$F,$E245))</f>
        <v/>
      </c>
      <c r="E245">
        <f>IFERROR(AGGREGATE(15,6,ROW('Input Transaksi'!$B$5:$B$5000)/('Input Transaksi'!$B$5:$B$5000="BALI WASH GALANG"),ROWS($E$5:E245)),"")</f>
        <v/>
      </c>
      <c r="F245" s="5" t="n"/>
    </row>
    <row r="246">
      <c r="A246" s="10">
        <f>IF($E246="","",INDEX('Input Transaksi'!$A:$A,$E246))</f>
        <v/>
      </c>
      <c r="B246" s="5">
        <f>IF($E246="","",INDEX('Input Transaksi'!$D:$D,$E246))</f>
        <v/>
      </c>
      <c r="C246">
        <f>IF($E246="","",INDEX('Input Transaksi'!$E:$E,$E246))</f>
        <v/>
      </c>
      <c r="D246" s="5">
        <f>IF($E246="","",INDEX('Input Transaksi'!$F:$F,$E246))</f>
        <v/>
      </c>
      <c r="E246">
        <f>IFERROR(AGGREGATE(15,6,ROW('Input Transaksi'!$B$5:$B$5000)/('Input Transaksi'!$B$5:$B$5000="BALI WASH GALANG"),ROWS($E$5:E246)),"")</f>
        <v/>
      </c>
      <c r="F246" s="5" t="n"/>
    </row>
    <row r="247">
      <c r="A247" s="10">
        <f>IF($E247="","",INDEX('Input Transaksi'!$A:$A,$E247))</f>
        <v/>
      </c>
      <c r="B247" s="5">
        <f>IF($E247="","",INDEX('Input Transaksi'!$D:$D,$E247))</f>
        <v/>
      </c>
      <c r="C247">
        <f>IF($E247="","",INDEX('Input Transaksi'!$E:$E,$E247))</f>
        <v/>
      </c>
      <c r="D247" s="5">
        <f>IF($E247="","",INDEX('Input Transaksi'!$F:$F,$E247))</f>
        <v/>
      </c>
      <c r="E247">
        <f>IFERROR(AGGREGATE(15,6,ROW('Input Transaksi'!$B$5:$B$5000)/('Input Transaksi'!$B$5:$B$5000="BALI WASH GALANG"),ROWS($E$5:E247)),"")</f>
        <v/>
      </c>
      <c r="F247" s="5" t="n"/>
    </row>
    <row r="248">
      <c r="A248" s="10">
        <f>IF($E248="","",INDEX('Input Transaksi'!$A:$A,$E248))</f>
        <v/>
      </c>
      <c r="B248" s="5">
        <f>IF($E248="","",INDEX('Input Transaksi'!$D:$D,$E248))</f>
        <v/>
      </c>
      <c r="C248">
        <f>IF($E248="","",INDEX('Input Transaksi'!$E:$E,$E248))</f>
        <v/>
      </c>
      <c r="D248" s="5">
        <f>IF($E248="","",INDEX('Input Transaksi'!$F:$F,$E248))</f>
        <v/>
      </c>
      <c r="E248">
        <f>IFERROR(AGGREGATE(15,6,ROW('Input Transaksi'!$B$5:$B$5000)/('Input Transaksi'!$B$5:$B$5000="BALI WASH GALANG"),ROWS($E$5:E248)),"")</f>
        <v/>
      </c>
      <c r="F248" s="5" t="n"/>
    </row>
    <row r="249">
      <c r="A249" s="10">
        <f>IF($E249="","",INDEX('Input Transaksi'!$A:$A,$E249))</f>
        <v/>
      </c>
      <c r="B249" s="5">
        <f>IF($E249="","",INDEX('Input Transaksi'!$D:$D,$E249))</f>
        <v/>
      </c>
      <c r="C249">
        <f>IF($E249="","",INDEX('Input Transaksi'!$E:$E,$E249))</f>
        <v/>
      </c>
      <c r="D249" s="5">
        <f>IF($E249="","",INDEX('Input Transaksi'!$F:$F,$E249))</f>
        <v/>
      </c>
      <c r="E249">
        <f>IFERROR(AGGREGATE(15,6,ROW('Input Transaksi'!$B$5:$B$5000)/('Input Transaksi'!$B$5:$B$5000="BALI WASH GALANG"),ROWS($E$5:E249)),"")</f>
        <v/>
      </c>
      <c r="F249" s="5" t="n"/>
    </row>
    <row r="250">
      <c r="A250" s="10">
        <f>IF($E250="","",INDEX('Input Transaksi'!$A:$A,$E250))</f>
        <v/>
      </c>
      <c r="B250" s="5">
        <f>IF($E250="","",INDEX('Input Transaksi'!$D:$D,$E250))</f>
        <v/>
      </c>
      <c r="C250">
        <f>IF($E250="","",INDEX('Input Transaksi'!$E:$E,$E250))</f>
        <v/>
      </c>
      <c r="D250" s="5">
        <f>IF($E250="","",INDEX('Input Transaksi'!$F:$F,$E250))</f>
        <v/>
      </c>
      <c r="E250">
        <f>IFERROR(AGGREGATE(15,6,ROW('Input Transaksi'!$B$5:$B$5000)/('Input Transaksi'!$B$5:$B$5000="BALI WASH GALANG"),ROWS($E$5:E250)),"")</f>
        <v/>
      </c>
      <c r="F250" s="5" t="n"/>
    </row>
    <row r="251">
      <c r="A251" s="10">
        <f>IF($E251="","",INDEX('Input Transaksi'!$A:$A,$E251))</f>
        <v/>
      </c>
      <c r="B251" s="5">
        <f>IF($E251="","",INDEX('Input Transaksi'!$D:$D,$E251))</f>
        <v/>
      </c>
      <c r="C251">
        <f>IF($E251="","",INDEX('Input Transaksi'!$E:$E,$E251))</f>
        <v/>
      </c>
      <c r="D251" s="5">
        <f>IF($E251="","",INDEX('Input Transaksi'!$F:$F,$E251))</f>
        <v/>
      </c>
      <c r="E251">
        <f>IFERROR(AGGREGATE(15,6,ROW('Input Transaksi'!$B$5:$B$5000)/('Input Transaksi'!$B$5:$B$5000="BALI WASH GALANG"),ROWS($E$5:E251)),"")</f>
        <v/>
      </c>
      <c r="F251" s="5" t="n"/>
    </row>
    <row r="252">
      <c r="A252" s="10">
        <f>IF($E252="","",INDEX('Input Transaksi'!$A:$A,$E252))</f>
        <v/>
      </c>
      <c r="B252" s="5">
        <f>IF($E252="","",INDEX('Input Transaksi'!$D:$D,$E252))</f>
        <v/>
      </c>
      <c r="C252">
        <f>IF($E252="","",INDEX('Input Transaksi'!$E:$E,$E252))</f>
        <v/>
      </c>
      <c r="D252" s="5">
        <f>IF($E252="","",INDEX('Input Transaksi'!$F:$F,$E252))</f>
        <v/>
      </c>
      <c r="E252">
        <f>IFERROR(AGGREGATE(15,6,ROW('Input Transaksi'!$B$5:$B$5000)/('Input Transaksi'!$B$5:$B$5000="BALI WASH GALANG"),ROWS($E$5:E252)),"")</f>
        <v/>
      </c>
      <c r="F252" s="5" t="n"/>
    </row>
    <row r="253">
      <c r="A253" s="10">
        <f>IF($E253="","",INDEX('Input Transaksi'!$A:$A,$E253))</f>
        <v/>
      </c>
      <c r="B253" s="5">
        <f>IF($E253="","",INDEX('Input Transaksi'!$D:$D,$E253))</f>
        <v/>
      </c>
      <c r="C253">
        <f>IF($E253="","",INDEX('Input Transaksi'!$E:$E,$E253))</f>
        <v/>
      </c>
      <c r="D253" s="5">
        <f>IF($E253="","",INDEX('Input Transaksi'!$F:$F,$E253))</f>
        <v/>
      </c>
      <c r="E253">
        <f>IFERROR(AGGREGATE(15,6,ROW('Input Transaksi'!$B$5:$B$5000)/('Input Transaksi'!$B$5:$B$5000="BALI WASH GALANG"),ROWS($E$5:E253)),"")</f>
        <v/>
      </c>
      <c r="F253" s="5" t="n"/>
    </row>
    <row r="254">
      <c r="A254" s="10">
        <f>IF($E254="","",INDEX('Input Transaksi'!$A:$A,$E254))</f>
        <v/>
      </c>
      <c r="B254" s="5">
        <f>IF($E254="","",INDEX('Input Transaksi'!$D:$D,$E254))</f>
        <v/>
      </c>
      <c r="C254">
        <f>IF($E254="","",INDEX('Input Transaksi'!$E:$E,$E254))</f>
        <v/>
      </c>
      <c r="D254" s="5">
        <f>IF($E254="","",INDEX('Input Transaksi'!$F:$F,$E254))</f>
        <v/>
      </c>
      <c r="E254">
        <f>IFERROR(AGGREGATE(15,6,ROW('Input Transaksi'!$B$5:$B$5000)/('Input Transaksi'!$B$5:$B$5000="BALI WASH GALANG"),ROWS($E$5:E254)),"")</f>
        <v/>
      </c>
      <c r="F254" s="5" t="n"/>
    </row>
    <row r="255">
      <c r="A255" s="10">
        <f>IF($E255="","",INDEX('Input Transaksi'!$A:$A,$E255))</f>
        <v/>
      </c>
      <c r="B255" s="5">
        <f>IF($E255="","",INDEX('Input Transaksi'!$D:$D,$E255))</f>
        <v/>
      </c>
      <c r="C255">
        <f>IF($E255="","",INDEX('Input Transaksi'!$E:$E,$E255))</f>
        <v/>
      </c>
      <c r="D255" s="5">
        <f>IF($E255="","",INDEX('Input Transaksi'!$F:$F,$E255))</f>
        <v/>
      </c>
      <c r="E255">
        <f>IFERROR(AGGREGATE(15,6,ROW('Input Transaksi'!$B$5:$B$5000)/('Input Transaksi'!$B$5:$B$5000="BALI WASH GALANG"),ROWS($E$5:E255)),"")</f>
        <v/>
      </c>
      <c r="F255" s="5" t="n"/>
    </row>
    <row r="256">
      <c r="A256" s="10">
        <f>IF($E256="","",INDEX('Input Transaksi'!$A:$A,$E256))</f>
        <v/>
      </c>
      <c r="B256" s="5">
        <f>IF($E256="","",INDEX('Input Transaksi'!$D:$D,$E256))</f>
        <v/>
      </c>
      <c r="C256">
        <f>IF($E256="","",INDEX('Input Transaksi'!$E:$E,$E256))</f>
        <v/>
      </c>
      <c r="D256" s="5">
        <f>IF($E256="","",INDEX('Input Transaksi'!$F:$F,$E256))</f>
        <v/>
      </c>
      <c r="E256">
        <f>IFERROR(AGGREGATE(15,6,ROW('Input Transaksi'!$B$5:$B$5000)/('Input Transaksi'!$B$5:$B$5000="BALI WASH GALANG"),ROWS($E$5:E256)),"")</f>
        <v/>
      </c>
      <c r="F256" s="5" t="n"/>
    </row>
    <row r="257">
      <c r="A257" s="10">
        <f>IF($E257="","",INDEX('Input Transaksi'!$A:$A,$E257))</f>
        <v/>
      </c>
      <c r="B257" s="5">
        <f>IF($E257="","",INDEX('Input Transaksi'!$D:$D,$E257))</f>
        <v/>
      </c>
      <c r="C257">
        <f>IF($E257="","",INDEX('Input Transaksi'!$E:$E,$E257))</f>
        <v/>
      </c>
      <c r="D257" s="5">
        <f>IF($E257="","",INDEX('Input Transaksi'!$F:$F,$E257))</f>
        <v/>
      </c>
      <c r="E257">
        <f>IFERROR(AGGREGATE(15,6,ROW('Input Transaksi'!$B$5:$B$5000)/('Input Transaksi'!$B$5:$B$5000="BALI WASH GALANG"),ROWS($E$5:E257)),"")</f>
        <v/>
      </c>
      <c r="F257" s="5" t="n"/>
    </row>
    <row r="258">
      <c r="A258" s="10">
        <f>IF($E258="","",INDEX('Input Transaksi'!$A:$A,$E258))</f>
        <v/>
      </c>
      <c r="B258" s="5">
        <f>IF($E258="","",INDEX('Input Transaksi'!$D:$D,$E258))</f>
        <v/>
      </c>
      <c r="C258">
        <f>IF($E258="","",INDEX('Input Transaksi'!$E:$E,$E258))</f>
        <v/>
      </c>
      <c r="D258" s="5">
        <f>IF($E258="","",INDEX('Input Transaksi'!$F:$F,$E258))</f>
        <v/>
      </c>
      <c r="E258">
        <f>IFERROR(AGGREGATE(15,6,ROW('Input Transaksi'!$B$5:$B$5000)/('Input Transaksi'!$B$5:$B$5000="BALI WASH GALANG"),ROWS($E$5:E258)),"")</f>
        <v/>
      </c>
      <c r="F258" s="5" t="n"/>
    </row>
    <row r="259">
      <c r="A259" s="10">
        <f>IF($E259="","",INDEX('Input Transaksi'!$A:$A,$E259))</f>
        <v/>
      </c>
      <c r="B259" s="5">
        <f>IF($E259="","",INDEX('Input Transaksi'!$D:$D,$E259))</f>
        <v/>
      </c>
      <c r="C259">
        <f>IF($E259="","",INDEX('Input Transaksi'!$E:$E,$E259))</f>
        <v/>
      </c>
      <c r="D259" s="5">
        <f>IF($E259="","",INDEX('Input Transaksi'!$F:$F,$E259))</f>
        <v/>
      </c>
      <c r="E259">
        <f>IFERROR(AGGREGATE(15,6,ROW('Input Transaksi'!$B$5:$B$5000)/('Input Transaksi'!$B$5:$B$5000="BALI WASH GALANG"),ROWS($E$5:E259)),"")</f>
        <v/>
      </c>
      <c r="F259" s="5" t="n"/>
    </row>
    <row r="260">
      <c r="A260" s="10">
        <f>IF($E260="","",INDEX('Input Transaksi'!$A:$A,$E260))</f>
        <v/>
      </c>
      <c r="B260" s="5">
        <f>IF($E260="","",INDEX('Input Transaksi'!$D:$D,$E260))</f>
        <v/>
      </c>
      <c r="C260">
        <f>IF($E260="","",INDEX('Input Transaksi'!$E:$E,$E260))</f>
        <v/>
      </c>
      <c r="D260" s="5">
        <f>IF($E260="","",INDEX('Input Transaksi'!$F:$F,$E260))</f>
        <v/>
      </c>
      <c r="E260">
        <f>IFERROR(AGGREGATE(15,6,ROW('Input Transaksi'!$B$5:$B$5000)/('Input Transaksi'!$B$5:$B$5000="BALI WASH GALANG"),ROWS($E$5:E260)),"")</f>
        <v/>
      </c>
      <c r="F260" s="5" t="n"/>
    </row>
    <row r="261">
      <c r="A261" s="10">
        <f>IF($E261="","",INDEX('Input Transaksi'!$A:$A,$E261))</f>
        <v/>
      </c>
      <c r="B261" s="5">
        <f>IF($E261="","",INDEX('Input Transaksi'!$D:$D,$E261))</f>
        <v/>
      </c>
      <c r="C261">
        <f>IF($E261="","",INDEX('Input Transaksi'!$E:$E,$E261))</f>
        <v/>
      </c>
      <c r="D261" s="5">
        <f>IF($E261="","",INDEX('Input Transaksi'!$F:$F,$E261))</f>
        <v/>
      </c>
      <c r="E261">
        <f>IFERROR(AGGREGATE(15,6,ROW('Input Transaksi'!$B$5:$B$5000)/('Input Transaksi'!$B$5:$B$5000="BALI WASH GALANG"),ROWS($E$5:E261)),"")</f>
        <v/>
      </c>
      <c r="F261" s="5" t="n"/>
    </row>
    <row r="262">
      <c r="A262" s="10">
        <f>IF($E262="","",INDEX('Input Transaksi'!$A:$A,$E262))</f>
        <v/>
      </c>
      <c r="B262" s="5">
        <f>IF($E262="","",INDEX('Input Transaksi'!$D:$D,$E262))</f>
        <v/>
      </c>
      <c r="C262">
        <f>IF($E262="","",INDEX('Input Transaksi'!$E:$E,$E262))</f>
        <v/>
      </c>
      <c r="D262" s="5">
        <f>IF($E262="","",INDEX('Input Transaksi'!$F:$F,$E262))</f>
        <v/>
      </c>
      <c r="E262">
        <f>IFERROR(AGGREGATE(15,6,ROW('Input Transaksi'!$B$5:$B$5000)/('Input Transaksi'!$B$5:$B$5000="BALI WASH GALANG"),ROWS($E$5:E262)),"")</f>
        <v/>
      </c>
      <c r="F262" s="5" t="n"/>
    </row>
    <row r="263">
      <c r="A263" s="10">
        <f>IF($E263="","",INDEX('Input Transaksi'!$A:$A,$E263))</f>
        <v/>
      </c>
      <c r="B263" s="5">
        <f>IF($E263="","",INDEX('Input Transaksi'!$D:$D,$E263))</f>
        <v/>
      </c>
      <c r="C263">
        <f>IF($E263="","",INDEX('Input Transaksi'!$E:$E,$E263))</f>
        <v/>
      </c>
      <c r="D263" s="5">
        <f>IF($E263="","",INDEX('Input Transaksi'!$F:$F,$E263))</f>
        <v/>
      </c>
      <c r="E263">
        <f>IFERROR(AGGREGATE(15,6,ROW('Input Transaksi'!$B$5:$B$5000)/('Input Transaksi'!$B$5:$B$5000="BALI WASH GALANG"),ROWS($E$5:E263)),"")</f>
        <v/>
      </c>
      <c r="F263" s="5" t="n"/>
    </row>
    <row r="264">
      <c r="A264" s="10">
        <f>IF($E264="","",INDEX('Input Transaksi'!$A:$A,$E264))</f>
        <v/>
      </c>
      <c r="B264" s="5">
        <f>IF($E264="","",INDEX('Input Transaksi'!$D:$D,$E264))</f>
        <v/>
      </c>
      <c r="C264">
        <f>IF($E264="","",INDEX('Input Transaksi'!$E:$E,$E264))</f>
        <v/>
      </c>
      <c r="D264" s="5">
        <f>IF($E264="","",INDEX('Input Transaksi'!$F:$F,$E264))</f>
        <v/>
      </c>
      <c r="E264">
        <f>IFERROR(AGGREGATE(15,6,ROW('Input Transaksi'!$B$5:$B$5000)/('Input Transaksi'!$B$5:$B$5000="BALI WASH GALANG"),ROWS($E$5:E264)),"")</f>
        <v/>
      </c>
      <c r="F264" s="5" t="n"/>
    </row>
    <row r="265">
      <c r="A265" s="10">
        <f>IF($E265="","",INDEX('Input Transaksi'!$A:$A,$E265))</f>
        <v/>
      </c>
      <c r="B265" s="5">
        <f>IF($E265="","",INDEX('Input Transaksi'!$D:$D,$E265))</f>
        <v/>
      </c>
      <c r="C265">
        <f>IF($E265="","",INDEX('Input Transaksi'!$E:$E,$E265))</f>
        <v/>
      </c>
      <c r="D265" s="5">
        <f>IF($E265="","",INDEX('Input Transaksi'!$F:$F,$E265))</f>
        <v/>
      </c>
      <c r="E265">
        <f>IFERROR(AGGREGATE(15,6,ROW('Input Transaksi'!$B$5:$B$5000)/('Input Transaksi'!$B$5:$B$5000="BALI WASH GALANG"),ROWS($E$5:E265)),"")</f>
        <v/>
      </c>
      <c r="F265" s="5" t="n"/>
    </row>
    <row r="266">
      <c r="A266" s="10">
        <f>IF($E266="","",INDEX('Input Transaksi'!$A:$A,$E266))</f>
        <v/>
      </c>
      <c r="B266" s="5">
        <f>IF($E266="","",INDEX('Input Transaksi'!$D:$D,$E266))</f>
        <v/>
      </c>
      <c r="C266">
        <f>IF($E266="","",INDEX('Input Transaksi'!$E:$E,$E266))</f>
        <v/>
      </c>
      <c r="D266" s="5">
        <f>IF($E266="","",INDEX('Input Transaksi'!$F:$F,$E266))</f>
        <v/>
      </c>
      <c r="E266">
        <f>IFERROR(AGGREGATE(15,6,ROW('Input Transaksi'!$B$5:$B$5000)/('Input Transaksi'!$B$5:$B$5000="BALI WASH GALANG"),ROWS($E$5:E266)),"")</f>
        <v/>
      </c>
      <c r="F266" s="5" t="n"/>
    </row>
    <row r="267">
      <c r="A267" s="10">
        <f>IF($E267="","",INDEX('Input Transaksi'!$A:$A,$E267))</f>
        <v/>
      </c>
      <c r="B267" s="5">
        <f>IF($E267="","",INDEX('Input Transaksi'!$D:$D,$E267))</f>
        <v/>
      </c>
      <c r="C267">
        <f>IF($E267="","",INDEX('Input Transaksi'!$E:$E,$E267))</f>
        <v/>
      </c>
      <c r="D267" s="5">
        <f>IF($E267="","",INDEX('Input Transaksi'!$F:$F,$E267))</f>
        <v/>
      </c>
      <c r="E267">
        <f>IFERROR(AGGREGATE(15,6,ROW('Input Transaksi'!$B$5:$B$5000)/('Input Transaksi'!$B$5:$B$5000="BALI WASH GALANG"),ROWS($E$5:E267)),"")</f>
        <v/>
      </c>
      <c r="F267" s="5" t="n"/>
    </row>
    <row r="268">
      <c r="A268" s="10">
        <f>IF($E268="","",INDEX('Input Transaksi'!$A:$A,$E268))</f>
        <v/>
      </c>
      <c r="B268" s="5">
        <f>IF($E268="","",INDEX('Input Transaksi'!$D:$D,$E268))</f>
        <v/>
      </c>
      <c r="C268">
        <f>IF($E268="","",INDEX('Input Transaksi'!$E:$E,$E268))</f>
        <v/>
      </c>
      <c r="D268" s="5">
        <f>IF($E268="","",INDEX('Input Transaksi'!$F:$F,$E268))</f>
        <v/>
      </c>
      <c r="E268">
        <f>IFERROR(AGGREGATE(15,6,ROW('Input Transaksi'!$B$5:$B$5000)/('Input Transaksi'!$B$5:$B$5000="BALI WASH GALANG"),ROWS($E$5:E268)),"")</f>
        <v/>
      </c>
      <c r="F268" s="5" t="n"/>
    </row>
    <row r="269">
      <c r="A269" s="10">
        <f>IF($E269="","",INDEX('Input Transaksi'!$A:$A,$E269))</f>
        <v/>
      </c>
      <c r="B269" s="5">
        <f>IF($E269="","",INDEX('Input Transaksi'!$D:$D,$E269))</f>
        <v/>
      </c>
      <c r="C269">
        <f>IF($E269="","",INDEX('Input Transaksi'!$E:$E,$E269))</f>
        <v/>
      </c>
      <c r="D269" s="5">
        <f>IF($E269="","",INDEX('Input Transaksi'!$F:$F,$E269))</f>
        <v/>
      </c>
      <c r="E269">
        <f>IFERROR(AGGREGATE(15,6,ROW('Input Transaksi'!$B$5:$B$5000)/('Input Transaksi'!$B$5:$B$5000="BALI WASH GALANG"),ROWS($E$5:E269)),"")</f>
        <v/>
      </c>
      <c r="F269" s="5" t="n"/>
    </row>
    <row r="270">
      <c r="A270" s="10">
        <f>IF($E270="","",INDEX('Input Transaksi'!$A:$A,$E270))</f>
        <v/>
      </c>
      <c r="B270" s="5">
        <f>IF($E270="","",INDEX('Input Transaksi'!$D:$D,$E270))</f>
        <v/>
      </c>
      <c r="C270">
        <f>IF($E270="","",INDEX('Input Transaksi'!$E:$E,$E270))</f>
        <v/>
      </c>
      <c r="D270" s="5">
        <f>IF($E270="","",INDEX('Input Transaksi'!$F:$F,$E270))</f>
        <v/>
      </c>
      <c r="E270">
        <f>IFERROR(AGGREGATE(15,6,ROW('Input Transaksi'!$B$5:$B$5000)/('Input Transaksi'!$B$5:$B$5000="BALI WASH GALANG"),ROWS($E$5:E270)),"")</f>
        <v/>
      </c>
      <c r="F270" s="5" t="n"/>
    </row>
    <row r="271">
      <c r="A271" s="10">
        <f>IF($E271="","",INDEX('Input Transaksi'!$A:$A,$E271))</f>
        <v/>
      </c>
      <c r="B271" s="5">
        <f>IF($E271="","",INDEX('Input Transaksi'!$D:$D,$E271))</f>
        <v/>
      </c>
      <c r="C271">
        <f>IF($E271="","",INDEX('Input Transaksi'!$E:$E,$E271))</f>
        <v/>
      </c>
      <c r="D271" s="5">
        <f>IF($E271="","",INDEX('Input Transaksi'!$F:$F,$E271))</f>
        <v/>
      </c>
      <c r="E271">
        <f>IFERROR(AGGREGATE(15,6,ROW('Input Transaksi'!$B$5:$B$5000)/('Input Transaksi'!$B$5:$B$5000="BALI WASH GALANG"),ROWS($E$5:E271)),"")</f>
        <v/>
      </c>
      <c r="F271" s="5" t="n"/>
    </row>
    <row r="272">
      <c r="A272" s="10">
        <f>IF($E272="","",INDEX('Input Transaksi'!$A:$A,$E272))</f>
        <v/>
      </c>
      <c r="B272" s="5">
        <f>IF($E272="","",INDEX('Input Transaksi'!$D:$D,$E272))</f>
        <v/>
      </c>
      <c r="C272">
        <f>IF($E272="","",INDEX('Input Transaksi'!$E:$E,$E272))</f>
        <v/>
      </c>
      <c r="D272" s="5">
        <f>IF($E272="","",INDEX('Input Transaksi'!$F:$F,$E272))</f>
        <v/>
      </c>
      <c r="E272">
        <f>IFERROR(AGGREGATE(15,6,ROW('Input Transaksi'!$B$5:$B$5000)/('Input Transaksi'!$B$5:$B$5000="BALI WASH GALANG"),ROWS($E$5:E272)),"")</f>
        <v/>
      </c>
      <c r="F272" s="5" t="n"/>
    </row>
    <row r="273">
      <c r="A273" s="10">
        <f>IF($E273="","",INDEX('Input Transaksi'!$A:$A,$E273))</f>
        <v/>
      </c>
      <c r="B273" s="5">
        <f>IF($E273="","",INDEX('Input Transaksi'!$D:$D,$E273))</f>
        <v/>
      </c>
      <c r="C273">
        <f>IF($E273="","",INDEX('Input Transaksi'!$E:$E,$E273))</f>
        <v/>
      </c>
      <c r="D273" s="5">
        <f>IF($E273="","",INDEX('Input Transaksi'!$F:$F,$E273))</f>
        <v/>
      </c>
      <c r="E273">
        <f>IFERROR(AGGREGATE(15,6,ROW('Input Transaksi'!$B$5:$B$5000)/('Input Transaksi'!$B$5:$B$5000="BALI WASH GALANG"),ROWS($E$5:E273)),"")</f>
        <v/>
      </c>
      <c r="F273" s="5" t="n"/>
    </row>
    <row r="274">
      <c r="A274" s="10">
        <f>IF($E274="","",INDEX('Input Transaksi'!$A:$A,$E274))</f>
        <v/>
      </c>
      <c r="B274" s="5">
        <f>IF($E274="","",INDEX('Input Transaksi'!$D:$D,$E274))</f>
        <v/>
      </c>
      <c r="C274">
        <f>IF($E274="","",INDEX('Input Transaksi'!$E:$E,$E274))</f>
        <v/>
      </c>
      <c r="D274" s="5">
        <f>IF($E274="","",INDEX('Input Transaksi'!$F:$F,$E274))</f>
        <v/>
      </c>
      <c r="E274">
        <f>IFERROR(AGGREGATE(15,6,ROW('Input Transaksi'!$B$5:$B$5000)/('Input Transaksi'!$B$5:$B$5000="BALI WASH GALANG"),ROWS($E$5:E274)),"")</f>
        <v/>
      </c>
      <c r="F274" s="5" t="n"/>
    </row>
    <row r="275">
      <c r="A275" s="10">
        <f>IF($E275="","",INDEX('Input Transaksi'!$A:$A,$E275))</f>
        <v/>
      </c>
      <c r="B275" s="5">
        <f>IF($E275="","",INDEX('Input Transaksi'!$D:$D,$E275))</f>
        <v/>
      </c>
      <c r="C275">
        <f>IF($E275="","",INDEX('Input Transaksi'!$E:$E,$E275))</f>
        <v/>
      </c>
      <c r="D275" s="5">
        <f>IF($E275="","",INDEX('Input Transaksi'!$F:$F,$E275))</f>
        <v/>
      </c>
      <c r="E275">
        <f>IFERROR(AGGREGATE(15,6,ROW('Input Transaksi'!$B$5:$B$5000)/('Input Transaksi'!$B$5:$B$5000="BALI WASH GALANG"),ROWS($E$5:E275)),"")</f>
        <v/>
      </c>
      <c r="F275" s="5" t="n"/>
    </row>
    <row r="276">
      <c r="A276" s="10">
        <f>IF($E276="","",INDEX('Input Transaksi'!$A:$A,$E276))</f>
        <v/>
      </c>
      <c r="B276" s="5">
        <f>IF($E276="","",INDEX('Input Transaksi'!$D:$D,$E276))</f>
        <v/>
      </c>
      <c r="C276">
        <f>IF($E276="","",INDEX('Input Transaksi'!$E:$E,$E276))</f>
        <v/>
      </c>
      <c r="D276" s="5">
        <f>IF($E276="","",INDEX('Input Transaksi'!$F:$F,$E276))</f>
        <v/>
      </c>
      <c r="E276">
        <f>IFERROR(AGGREGATE(15,6,ROW('Input Transaksi'!$B$5:$B$5000)/('Input Transaksi'!$B$5:$B$5000="BALI WASH GALANG"),ROWS($E$5:E276)),"")</f>
        <v/>
      </c>
      <c r="F276" s="5" t="n"/>
    </row>
    <row r="277">
      <c r="A277" s="10">
        <f>IF($E277="","",INDEX('Input Transaksi'!$A:$A,$E277))</f>
        <v/>
      </c>
      <c r="B277" s="5">
        <f>IF($E277="","",INDEX('Input Transaksi'!$D:$D,$E277))</f>
        <v/>
      </c>
      <c r="C277">
        <f>IF($E277="","",INDEX('Input Transaksi'!$E:$E,$E277))</f>
        <v/>
      </c>
      <c r="D277" s="5">
        <f>IF($E277="","",INDEX('Input Transaksi'!$F:$F,$E277))</f>
        <v/>
      </c>
      <c r="E277">
        <f>IFERROR(AGGREGATE(15,6,ROW('Input Transaksi'!$B$5:$B$5000)/('Input Transaksi'!$B$5:$B$5000="BALI WASH GALANG"),ROWS($E$5:E277)),"")</f>
        <v/>
      </c>
      <c r="F277" s="5" t="n"/>
    </row>
    <row r="278">
      <c r="A278" s="10">
        <f>IF($E278="","",INDEX('Input Transaksi'!$A:$A,$E278))</f>
        <v/>
      </c>
      <c r="B278" s="5">
        <f>IF($E278="","",INDEX('Input Transaksi'!$D:$D,$E278))</f>
        <v/>
      </c>
      <c r="C278">
        <f>IF($E278="","",INDEX('Input Transaksi'!$E:$E,$E278))</f>
        <v/>
      </c>
      <c r="D278" s="5">
        <f>IF($E278="","",INDEX('Input Transaksi'!$F:$F,$E278))</f>
        <v/>
      </c>
      <c r="E278">
        <f>IFERROR(AGGREGATE(15,6,ROW('Input Transaksi'!$B$5:$B$5000)/('Input Transaksi'!$B$5:$B$5000="BALI WASH GALANG"),ROWS($E$5:E278)),"")</f>
        <v/>
      </c>
      <c r="F278" s="5" t="n"/>
    </row>
    <row r="279">
      <c r="A279" s="10">
        <f>IF($E279="","",INDEX('Input Transaksi'!$A:$A,$E279))</f>
        <v/>
      </c>
      <c r="B279" s="5">
        <f>IF($E279="","",INDEX('Input Transaksi'!$D:$D,$E279))</f>
        <v/>
      </c>
      <c r="C279">
        <f>IF($E279="","",INDEX('Input Transaksi'!$E:$E,$E279))</f>
        <v/>
      </c>
      <c r="D279" s="5">
        <f>IF($E279="","",INDEX('Input Transaksi'!$F:$F,$E279))</f>
        <v/>
      </c>
      <c r="E279">
        <f>IFERROR(AGGREGATE(15,6,ROW('Input Transaksi'!$B$5:$B$5000)/('Input Transaksi'!$B$5:$B$5000="BALI WASH GALANG"),ROWS($E$5:E279)),"")</f>
        <v/>
      </c>
      <c r="F279" s="5" t="n"/>
    </row>
    <row r="280">
      <c r="A280" s="10">
        <f>IF($E280="","",INDEX('Input Transaksi'!$A:$A,$E280))</f>
        <v/>
      </c>
      <c r="B280" s="5">
        <f>IF($E280="","",INDEX('Input Transaksi'!$D:$D,$E280))</f>
        <v/>
      </c>
      <c r="C280">
        <f>IF($E280="","",INDEX('Input Transaksi'!$E:$E,$E280))</f>
        <v/>
      </c>
      <c r="D280" s="5">
        <f>IF($E280="","",INDEX('Input Transaksi'!$F:$F,$E280))</f>
        <v/>
      </c>
      <c r="E280">
        <f>IFERROR(AGGREGATE(15,6,ROW('Input Transaksi'!$B$5:$B$5000)/('Input Transaksi'!$B$5:$B$5000="BALI WASH GALANG"),ROWS($E$5:E280)),"")</f>
        <v/>
      </c>
      <c r="F280" s="5" t="n"/>
    </row>
    <row r="281">
      <c r="A281" s="10">
        <f>IF($E281="","",INDEX('Input Transaksi'!$A:$A,$E281))</f>
        <v/>
      </c>
      <c r="B281" s="5">
        <f>IF($E281="","",INDEX('Input Transaksi'!$D:$D,$E281))</f>
        <v/>
      </c>
      <c r="C281">
        <f>IF($E281="","",INDEX('Input Transaksi'!$E:$E,$E281))</f>
        <v/>
      </c>
      <c r="D281" s="5">
        <f>IF($E281="","",INDEX('Input Transaksi'!$F:$F,$E281))</f>
        <v/>
      </c>
      <c r="E281">
        <f>IFERROR(AGGREGATE(15,6,ROW('Input Transaksi'!$B$5:$B$5000)/('Input Transaksi'!$B$5:$B$5000="BALI WASH GALANG"),ROWS($E$5:E281)),"")</f>
        <v/>
      </c>
      <c r="F281" s="5" t="n"/>
    </row>
    <row r="282">
      <c r="A282" s="10">
        <f>IF($E282="","",INDEX('Input Transaksi'!$A:$A,$E282))</f>
        <v/>
      </c>
      <c r="B282" s="5">
        <f>IF($E282="","",INDEX('Input Transaksi'!$D:$D,$E282))</f>
        <v/>
      </c>
      <c r="C282">
        <f>IF($E282="","",INDEX('Input Transaksi'!$E:$E,$E282))</f>
        <v/>
      </c>
      <c r="D282" s="5">
        <f>IF($E282="","",INDEX('Input Transaksi'!$F:$F,$E282))</f>
        <v/>
      </c>
      <c r="E282">
        <f>IFERROR(AGGREGATE(15,6,ROW('Input Transaksi'!$B$5:$B$5000)/('Input Transaksi'!$B$5:$B$5000="BALI WASH GALANG"),ROWS($E$5:E282)),"")</f>
        <v/>
      </c>
      <c r="F282" s="5" t="n"/>
    </row>
    <row r="283">
      <c r="A283" s="10">
        <f>IF($E283="","",INDEX('Input Transaksi'!$A:$A,$E283))</f>
        <v/>
      </c>
      <c r="B283" s="5">
        <f>IF($E283="","",INDEX('Input Transaksi'!$D:$D,$E283))</f>
        <v/>
      </c>
      <c r="C283">
        <f>IF($E283="","",INDEX('Input Transaksi'!$E:$E,$E283))</f>
        <v/>
      </c>
      <c r="D283" s="5">
        <f>IF($E283="","",INDEX('Input Transaksi'!$F:$F,$E283))</f>
        <v/>
      </c>
      <c r="E283">
        <f>IFERROR(AGGREGATE(15,6,ROW('Input Transaksi'!$B$5:$B$5000)/('Input Transaksi'!$B$5:$B$5000="BALI WASH GALANG"),ROWS($E$5:E283)),"")</f>
        <v/>
      </c>
      <c r="F283" s="5" t="n"/>
    </row>
    <row r="284">
      <c r="A284" s="10">
        <f>IF($E284="","",INDEX('Input Transaksi'!$A:$A,$E284))</f>
        <v/>
      </c>
      <c r="B284" s="5">
        <f>IF($E284="","",INDEX('Input Transaksi'!$D:$D,$E284))</f>
        <v/>
      </c>
      <c r="C284">
        <f>IF($E284="","",INDEX('Input Transaksi'!$E:$E,$E284))</f>
        <v/>
      </c>
      <c r="D284" s="5">
        <f>IF($E284="","",INDEX('Input Transaksi'!$F:$F,$E284))</f>
        <v/>
      </c>
      <c r="E284">
        <f>IFERROR(AGGREGATE(15,6,ROW('Input Transaksi'!$B$5:$B$5000)/('Input Transaksi'!$B$5:$B$5000="BALI WASH GALANG"),ROWS($E$5:E284)),"")</f>
        <v/>
      </c>
      <c r="F284" s="5" t="n"/>
    </row>
    <row r="285">
      <c r="A285" s="10">
        <f>IF($E285="","",INDEX('Input Transaksi'!$A:$A,$E285))</f>
        <v/>
      </c>
      <c r="B285" s="5">
        <f>IF($E285="","",INDEX('Input Transaksi'!$D:$D,$E285))</f>
        <v/>
      </c>
      <c r="C285">
        <f>IF($E285="","",INDEX('Input Transaksi'!$E:$E,$E285))</f>
        <v/>
      </c>
      <c r="D285" s="5">
        <f>IF($E285="","",INDEX('Input Transaksi'!$F:$F,$E285))</f>
        <v/>
      </c>
      <c r="E285">
        <f>IFERROR(AGGREGATE(15,6,ROW('Input Transaksi'!$B$5:$B$5000)/('Input Transaksi'!$B$5:$B$5000="BALI WASH GALANG"),ROWS($E$5:E285)),"")</f>
        <v/>
      </c>
      <c r="F285" s="5" t="n"/>
    </row>
    <row r="286">
      <c r="A286" s="10">
        <f>IF($E286="","",INDEX('Input Transaksi'!$A:$A,$E286))</f>
        <v/>
      </c>
      <c r="B286" s="5">
        <f>IF($E286="","",INDEX('Input Transaksi'!$D:$D,$E286))</f>
        <v/>
      </c>
      <c r="C286">
        <f>IF($E286="","",INDEX('Input Transaksi'!$E:$E,$E286))</f>
        <v/>
      </c>
      <c r="D286" s="5">
        <f>IF($E286="","",INDEX('Input Transaksi'!$F:$F,$E286))</f>
        <v/>
      </c>
      <c r="E286">
        <f>IFERROR(AGGREGATE(15,6,ROW('Input Transaksi'!$B$5:$B$5000)/('Input Transaksi'!$B$5:$B$5000="BALI WASH GALANG"),ROWS($E$5:E286)),"")</f>
        <v/>
      </c>
      <c r="F286" s="5" t="n"/>
    </row>
    <row r="287">
      <c r="A287" s="10">
        <f>IF($E287="","",INDEX('Input Transaksi'!$A:$A,$E287))</f>
        <v/>
      </c>
      <c r="B287" s="5">
        <f>IF($E287="","",INDEX('Input Transaksi'!$D:$D,$E287))</f>
        <v/>
      </c>
      <c r="C287">
        <f>IF($E287="","",INDEX('Input Transaksi'!$E:$E,$E287))</f>
        <v/>
      </c>
      <c r="D287" s="5">
        <f>IF($E287="","",INDEX('Input Transaksi'!$F:$F,$E287))</f>
        <v/>
      </c>
      <c r="E287">
        <f>IFERROR(AGGREGATE(15,6,ROW('Input Transaksi'!$B$5:$B$5000)/('Input Transaksi'!$B$5:$B$5000="BALI WASH GALANG"),ROWS($E$5:E287)),"")</f>
        <v/>
      </c>
      <c r="F287" s="5" t="n"/>
    </row>
    <row r="288">
      <c r="A288" s="10">
        <f>IF($E288="","",INDEX('Input Transaksi'!$A:$A,$E288))</f>
        <v/>
      </c>
      <c r="B288" s="5">
        <f>IF($E288="","",INDEX('Input Transaksi'!$D:$D,$E288))</f>
        <v/>
      </c>
      <c r="C288">
        <f>IF($E288="","",INDEX('Input Transaksi'!$E:$E,$E288))</f>
        <v/>
      </c>
      <c r="D288" s="5">
        <f>IF($E288="","",INDEX('Input Transaksi'!$F:$F,$E288))</f>
        <v/>
      </c>
      <c r="E288">
        <f>IFERROR(AGGREGATE(15,6,ROW('Input Transaksi'!$B$5:$B$5000)/('Input Transaksi'!$B$5:$B$5000="BALI WASH GALANG"),ROWS($E$5:E288)),"")</f>
        <v/>
      </c>
      <c r="F288" s="5" t="n"/>
    </row>
    <row r="289">
      <c r="A289" s="10">
        <f>IF($E289="","",INDEX('Input Transaksi'!$A:$A,$E289))</f>
        <v/>
      </c>
      <c r="B289" s="5">
        <f>IF($E289="","",INDEX('Input Transaksi'!$D:$D,$E289))</f>
        <v/>
      </c>
      <c r="C289">
        <f>IF($E289="","",INDEX('Input Transaksi'!$E:$E,$E289))</f>
        <v/>
      </c>
      <c r="D289" s="5">
        <f>IF($E289="","",INDEX('Input Transaksi'!$F:$F,$E289))</f>
        <v/>
      </c>
      <c r="E289">
        <f>IFERROR(AGGREGATE(15,6,ROW('Input Transaksi'!$B$5:$B$5000)/('Input Transaksi'!$B$5:$B$5000="BALI WASH GALANG"),ROWS($E$5:E289)),"")</f>
        <v/>
      </c>
      <c r="F289" s="5" t="n"/>
    </row>
    <row r="290">
      <c r="A290" s="10">
        <f>IF($E290="","",INDEX('Input Transaksi'!$A:$A,$E290))</f>
        <v/>
      </c>
      <c r="B290" s="5">
        <f>IF($E290="","",INDEX('Input Transaksi'!$D:$D,$E290))</f>
        <v/>
      </c>
      <c r="C290">
        <f>IF($E290="","",INDEX('Input Transaksi'!$E:$E,$E290))</f>
        <v/>
      </c>
      <c r="D290" s="5">
        <f>IF($E290="","",INDEX('Input Transaksi'!$F:$F,$E290))</f>
        <v/>
      </c>
      <c r="E290">
        <f>IFERROR(AGGREGATE(15,6,ROW('Input Transaksi'!$B$5:$B$5000)/('Input Transaksi'!$B$5:$B$5000="BALI WASH GALANG"),ROWS($E$5:E290)),"")</f>
        <v/>
      </c>
      <c r="F290" s="5" t="n"/>
    </row>
    <row r="291">
      <c r="A291" s="10">
        <f>IF($E291="","",INDEX('Input Transaksi'!$A:$A,$E291))</f>
        <v/>
      </c>
      <c r="B291" s="5">
        <f>IF($E291="","",INDEX('Input Transaksi'!$D:$D,$E291))</f>
        <v/>
      </c>
      <c r="C291">
        <f>IF($E291="","",INDEX('Input Transaksi'!$E:$E,$E291))</f>
        <v/>
      </c>
      <c r="D291" s="5">
        <f>IF($E291="","",INDEX('Input Transaksi'!$F:$F,$E291))</f>
        <v/>
      </c>
      <c r="E291">
        <f>IFERROR(AGGREGATE(15,6,ROW('Input Transaksi'!$B$5:$B$5000)/('Input Transaksi'!$B$5:$B$5000="BALI WASH GALANG"),ROWS($E$5:E291)),"")</f>
        <v/>
      </c>
      <c r="F291" s="5" t="n"/>
    </row>
    <row r="292">
      <c r="A292" s="10">
        <f>IF($E292="","",INDEX('Input Transaksi'!$A:$A,$E292))</f>
        <v/>
      </c>
      <c r="B292" s="5">
        <f>IF($E292="","",INDEX('Input Transaksi'!$D:$D,$E292))</f>
        <v/>
      </c>
      <c r="C292">
        <f>IF($E292="","",INDEX('Input Transaksi'!$E:$E,$E292))</f>
        <v/>
      </c>
      <c r="D292" s="5">
        <f>IF($E292="","",INDEX('Input Transaksi'!$F:$F,$E292))</f>
        <v/>
      </c>
      <c r="E292">
        <f>IFERROR(AGGREGATE(15,6,ROW('Input Transaksi'!$B$5:$B$5000)/('Input Transaksi'!$B$5:$B$5000="BALI WASH GALANG"),ROWS($E$5:E292)),"")</f>
        <v/>
      </c>
      <c r="F292" s="5" t="n"/>
    </row>
    <row r="293">
      <c r="A293" s="10">
        <f>IF($E293="","",INDEX('Input Transaksi'!$A:$A,$E293))</f>
        <v/>
      </c>
      <c r="B293" s="5">
        <f>IF($E293="","",INDEX('Input Transaksi'!$D:$D,$E293))</f>
        <v/>
      </c>
      <c r="C293">
        <f>IF($E293="","",INDEX('Input Transaksi'!$E:$E,$E293))</f>
        <v/>
      </c>
      <c r="D293" s="5">
        <f>IF($E293="","",INDEX('Input Transaksi'!$F:$F,$E293))</f>
        <v/>
      </c>
      <c r="E293">
        <f>IFERROR(AGGREGATE(15,6,ROW('Input Transaksi'!$B$5:$B$5000)/('Input Transaksi'!$B$5:$B$5000="BALI WASH GALANG"),ROWS($E$5:E293)),"")</f>
        <v/>
      </c>
      <c r="F293" s="5" t="n"/>
    </row>
    <row r="294">
      <c r="A294" s="10">
        <f>IF($E294="","",INDEX('Input Transaksi'!$A:$A,$E294))</f>
        <v/>
      </c>
      <c r="B294" s="5">
        <f>IF($E294="","",INDEX('Input Transaksi'!$D:$D,$E294))</f>
        <v/>
      </c>
      <c r="C294">
        <f>IF($E294="","",INDEX('Input Transaksi'!$E:$E,$E294))</f>
        <v/>
      </c>
      <c r="D294" s="5">
        <f>IF($E294="","",INDEX('Input Transaksi'!$F:$F,$E294))</f>
        <v/>
      </c>
      <c r="E294">
        <f>IFERROR(AGGREGATE(15,6,ROW('Input Transaksi'!$B$5:$B$5000)/('Input Transaksi'!$B$5:$B$5000="BALI WASH GALANG"),ROWS($E$5:E294)),"")</f>
        <v/>
      </c>
      <c r="F294" s="5" t="n"/>
    </row>
    <row r="295">
      <c r="A295" s="10">
        <f>IF($E295="","",INDEX('Input Transaksi'!$A:$A,$E295))</f>
        <v/>
      </c>
      <c r="B295" s="5">
        <f>IF($E295="","",INDEX('Input Transaksi'!$D:$D,$E295))</f>
        <v/>
      </c>
      <c r="C295">
        <f>IF($E295="","",INDEX('Input Transaksi'!$E:$E,$E295))</f>
        <v/>
      </c>
      <c r="D295" s="5">
        <f>IF($E295="","",INDEX('Input Transaksi'!$F:$F,$E295))</f>
        <v/>
      </c>
      <c r="E295">
        <f>IFERROR(AGGREGATE(15,6,ROW('Input Transaksi'!$B$5:$B$5000)/('Input Transaksi'!$B$5:$B$5000="BALI WASH GALANG"),ROWS($E$5:E295)),"")</f>
        <v/>
      </c>
      <c r="F295" s="5" t="n"/>
    </row>
    <row r="296">
      <c r="A296" s="10">
        <f>IF($E296="","",INDEX('Input Transaksi'!$A:$A,$E296))</f>
        <v/>
      </c>
      <c r="B296" s="5">
        <f>IF($E296="","",INDEX('Input Transaksi'!$D:$D,$E296))</f>
        <v/>
      </c>
      <c r="C296">
        <f>IF($E296="","",INDEX('Input Transaksi'!$E:$E,$E296))</f>
        <v/>
      </c>
      <c r="D296" s="5">
        <f>IF($E296="","",INDEX('Input Transaksi'!$F:$F,$E296))</f>
        <v/>
      </c>
      <c r="E296">
        <f>IFERROR(AGGREGATE(15,6,ROW('Input Transaksi'!$B$5:$B$5000)/('Input Transaksi'!$B$5:$B$5000="BALI WASH GALANG"),ROWS($E$5:E296)),"")</f>
        <v/>
      </c>
      <c r="F296" s="5" t="n"/>
    </row>
    <row r="297">
      <c r="A297" s="10">
        <f>IF($E297="","",INDEX('Input Transaksi'!$A:$A,$E297))</f>
        <v/>
      </c>
      <c r="B297" s="5">
        <f>IF($E297="","",INDEX('Input Transaksi'!$D:$D,$E297))</f>
        <v/>
      </c>
      <c r="C297">
        <f>IF($E297="","",INDEX('Input Transaksi'!$E:$E,$E297))</f>
        <v/>
      </c>
      <c r="D297" s="5">
        <f>IF($E297="","",INDEX('Input Transaksi'!$F:$F,$E297))</f>
        <v/>
      </c>
      <c r="E297">
        <f>IFERROR(AGGREGATE(15,6,ROW('Input Transaksi'!$B$5:$B$5000)/('Input Transaksi'!$B$5:$B$5000="BALI WASH GALANG"),ROWS($E$5:E297)),"")</f>
        <v/>
      </c>
      <c r="F297" s="5" t="n"/>
    </row>
    <row r="298">
      <c r="A298" s="10">
        <f>IF($E298="","",INDEX('Input Transaksi'!$A:$A,$E298))</f>
        <v/>
      </c>
      <c r="B298" s="5">
        <f>IF($E298="","",INDEX('Input Transaksi'!$D:$D,$E298))</f>
        <v/>
      </c>
      <c r="C298">
        <f>IF($E298="","",INDEX('Input Transaksi'!$E:$E,$E298))</f>
        <v/>
      </c>
      <c r="D298" s="5">
        <f>IF($E298="","",INDEX('Input Transaksi'!$F:$F,$E298))</f>
        <v/>
      </c>
      <c r="E298">
        <f>IFERROR(AGGREGATE(15,6,ROW('Input Transaksi'!$B$5:$B$5000)/('Input Transaksi'!$B$5:$B$5000="BALI WASH GALANG"),ROWS($E$5:E298)),"")</f>
        <v/>
      </c>
      <c r="F298" s="5" t="n"/>
    </row>
    <row r="299">
      <c r="A299" s="10">
        <f>IF($E299="","",INDEX('Input Transaksi'!$A:$A,$E299))</f>
        <v/>
      </c>
      <c r="B299" s="5">
        <f>IF($E299="","",INDEX('Input Transaksi'!$D:$D,$E299))</f>
        <v/>
      </c>
      <c r="C299">
        <f>IF($E299="","",INDEX('Input Transaksi'!$E:$E,$E299))</f>
        <v/>
      </c>
      <c r="D299" s="5">
        <f>IF($E299="","",INDEX('Input Transaksi'!$F:$F,$E299))</f>
        <v/>
      </c>
      <c r="E299">
        <f>IFERROR(AGGREGATE(15,6,ROW('Input Transaksi'!$B$5:$B$5000)/('Input Transaksi'!$B$5:$B$5000="BALI WASH GALANG"),ROWS($E$5:E299)),"")</f>
        <v/>
      </c>
      <c r="F299" s="5" t="n"/>
    </row>
    <row r="300">
      <c r="A300" s="10">
        <f>IF($E300="","",INDEX('Input Transaksi'!$A:$A,$E300))</f>
        <v/>
      </c>
      <c r="B300" s="5">
        <f>IF($E300="","",INDEX('Input Transaksi'!$D:$D,$E300))</f>
        <v/>
      </c>
      <c r="C300">
        <f>IF($E300="","",INDEX('Input Transaksi'!$E:$E,$E300))</f>
        <v/>
      </c>
      <c r="D300" s="5">
        <f>IF($E300="","",INDEX('Input Transaksi'!$F:$F,$E300))</f>
        <v/>
      </c>
      <c r="E300">
        <f>IFERROR(AGGREGATE(15,6,ROW('Input Transaksi'!$B$5:$B$5000)/('Input Transaksi'!$B$5:$B$5000="BALI WASH GALANG"),ROWS($E$5:E300)),"")</f>
        <v/>
      </c>
      <c r="F300" s="5" t="n"/>
    </row>
    <row r="301">
      <c r="A301" s="10">
        <f>IF($E301="","",INDEX('Input Transaksi'!$A:$A,$E301))</f>
        <v/>
      </c>
      <c r="B301" s="5">
        <f>IF($E301="","",INDEX('Input Transaksi'!$D:$D,$E301))</f>
        <v/>
      </c>
      <c r="C301">
        <f>IF($E301="","",INDEX('Input Transaksi'!$E:$E,$E301))</f>
        <v/>
      </c>
      <c r="D301" s="5">
        <f>IF($E301="","",INDEX('Input Transaksi'!$F:$F,$E301))</f>
        <v/>
      </c>
      <c r="E301">
        <f>IFERROR(AGGREGATE(15,6,ROW('Input Transaksi'!$B$5:$B$5000)/('Input Transaksi'!$B$5:$B$5000="BALI WASH GALANG"),ROWS($E$5:E301)),"")</f>
        <v/>
      </c>
      <c r="F301" s="5" t="n"/>
    </row>
    <row r="302">
      <c r="A302" s="10">
        <f>IF($E302="","",INDEX('Input Transaksi'!$A:$A,$E302))</f>
        <v/>
      </c>
      <c r="B302" s="5">
        <f>IF($E302="","",INDEX('Input Transaksi'!$D:$D,$E302))</f>
        <v/>
      </c>
      <c r="C302">
        <f>IF($E302="","",INDEX('Input Transaksi'!$E:$E,$E302))</f>
        <v/>
      </c>
      <c r="D302" s="5">
        <f>IF($E302="","",INDEX('Input Transaksi'!$F:$F,$E302))</f>
        <v/>
      </c>
      <c r="E302">
        <f>IFERROR(AGGREGATE(15,6,ROW('Input Transaksi'!$B$5:$B$5000)/('Input Transaksi'!$B$5:$B$5000="BALI WASH GALANG"),ROWS($E$5:E302)),"")</f>
        <v/>
      </c>
      <c r="F302" s="5" t="n"/>
    </row>
    <row r="303">
      <c r="A303" s="10">
        <f>IF($E303="","",INDEX('Input Transaksi'!$A:$A,$E303))</f>
        <v/>
      </c>
      <c r="B303" s="5">
        <f>IF($E303="","",INDEX('Input Transaksi'!$D:$D,$E303))</f>
        <v/>
      </c>
      <c r="C303">
        <f>IF($E303="","",INDEX('Input Transaksi'!$E:$E,$E303))</f>
        <v/>
      </c>
      <c r="D303" s="5">
        <f>IF($E303="","",INDEX('Input Transaksi'!$F:$F,$E303))</f>
        <v/>
      </c>
      <c r="E303">
        <f>IFERROR(AGGREGATE(15,6,ROW('Input Transaksi'!$B$5:$B$5000)/('Input Transaksi'!$B$5:$B$5000="BALI WASH GALANG"),ROWS($E$5:E303)),"")</f>
        <v/>
      </c>
      <c r="F303" s="5" t="n"/>
    </row>
    <row r="304">
      <c r="A304" s="10">
        <f>IF($E304="","",INDEX('Input Transaksi'!$A:$A,$E304))</f>
        <v/>
      </c>
      <c r="B304" s="5">
        <f>IF($E304="","",INDEX('Input Transaksi'!$D:$D,$E304))</f>
        <v/>
      </c>
      <c r="C304">
        <f>IF($E304="","",INDEX('Input Transaksi'!$E:$E,$E304))</f>
        <v/>
      </c>
      <c r="D304" s="5">
        <f>IF($E304="","",INDEX('Input Transaksi'!$F:$F,$E304))</f>
        <v/>
      </c>
      <c r="E304">
        <f>IFERROR(AGGREGATE(15,6,ROW('Input Transaksi'!$B$5:$B$5000)/('Input Transaksi'!$B$5:$B$5000="BALI WASH GALANG"),ROWS($E$5:E304)),"")</f>
        <v/>
      </c>
      <c r="F304" s="5" t="n"/>
    </row>
    <row r="305">
      <c r="A305" s="10">
        <f>IF($E305="","",INDEX('Input Transaksi'!$A:$A,$E305))</f>
        <v/>
      </c>
      <c r="B305" s="5">
        <f>IF($E305="","",INDEX('Input Transaksi'!$D:$D,$E305))</f>
        <v/>
      </c>
      <c r="C305">
        <f>IF($E305="","",INDEX('Input Transaksi'!$E:$E,$E305))</f>
        <v/>
      </c>
      <c r="D305" s="5">
        <f>IF($E305="","",INDEX('Input Transaksi'!$F:$F,$E305))</f>
        <v/>
      </c>
      <c r="E305">
        <f>IFERROR(AGGREGATE(15,6,ROW('Input Transaksi'!$B$5:$B$5000)/('Input Transaksi'!$B$5:$B$5000="BALI WASH GALANG"),ROWS($E$5:E305)),"")</f>
        <v/>
      </c>
      <c r="F305" s="5" t="n"/>
    </row>
    <row r="306">
      <c r="A306" s="10">
        <f>IF($E306="","",INDEX('Input Transaksi'!$A:$A,$E306))</f>
        <v/>
      </c>
      <c r="B306" s="5">
        <f>IF($E306="","",INDEX('Input Transaksi'!$D:$D,$E306))</f>
        <v/>
      </c>
      <c r="C306">
        <f>IF($E306="","",INDEX('Input Transaksi'!$E:$E,$E306))</f>
        <v/>
      </c>
      <c r="D306" s="5">
        <f>IF($E306="","",INDEX('Input Transaksi'!$F:$F,$E306))</f>
        <v/>
      </c>
      <c r="E306">
        <f>IFERROR(AGGREGATE(15,6,ROW('Input Transaksi'!$B$5:$B$5000)/('Input Transaksi'!$B$5:$B$5000="BALI WASH GALANG"),ROWS($E$5:E306)),"")</f>
        <v/>
      </c>
      <c r="F306" s="5" t="n"/>
    </row>
    <row r="307">
      <c r="A307" s="10">
        <f>IF($E307="","",INDEX('Input Transaksi'!$A:$A,$E307))</f>
        <v/>
      </c>
      <c r="B307" s="5">
        <f>IF($E307="","",INDEX('Input Transaksi'!$D:$D,$E307))</f>
        <v/>
      </c>
      <c r="C307">
        <f>IF($E307="","",INDEX('Input Transaksi'!$E:$E,$E307))</f>
        <v/>
      </c>
      <c r="D307" s="5">
        <f>IF($E307="","",INDEX('Input Transaksi'!$F:$F,$E307))</f>
        <v/>
      </c>
      <c r="E307">
        <f>IFERROR(AGGREGATE(15,6,ROW('Input Transaksi'!$B$5:$B$5000)/('Input Transaksi'!$B$5:$B$5000="BALI WASH GALANG"),ROWS($E$5:E307)),"")</f>
        <v/>
      </c>
      <c r="F307" s="5" t="n"/>
    </row>
    <row r="308">
      <c r="A308" s="10">
        <f>IF($E308="","",INDEX('Input Transaksi'!$A:$A,$E308))</f>
        <v/>
      </c>
      <c r="B308" s="5">
        <f>IF($E308="","",INDEX('Input Transaksi'!$D:$D,$E308))</f>
        <v/>
      </c>
      <c r="C308">
        <f>IF($E308="","",INDEX('Input Transaksi'!$E:$E,$E308))</f>
        <v/>
      </c>
      <c r="D308" s="5">
        <f>IF($E308="","",INDEX('Input Transaksi'!$F:$F,$E308))</f>
        <v/>
      </c>
      <c r="E308">
        <f>IFERROR(AGGREGATE(15,6,ROW('Input Transaksi'!$B$5:$B$5000)/('Input Transaksi'!$B$5:$B$5000="BALI WASH GALANG"),ROWS($E$5:E308)),"")</f>
        <v/>
      </c>
      <c r="F308" s="5" t="n"/>
    </row>
    <row r="309">
      <c r="A309" s="10">
        <f>IF($E309="","",INDEX('Input Transaksi'!$A:$A,$E309))</f>
        <v/>
      </c>
      <c r="B309" s="5">
        <f>IF($E309="","",INDEX('Input Transaksi'!$D:$D,$E309))</f>
        <v/>
      </c>
      <c r="C309">
        <f>IF($E309="","",INDEX('Input Transaksi'!$E:$E,$E309))</f>
        <v/>
      </c>
      <c r="D309" s="5">
        <f>IF($E309="","",INDEX('Input Transaksi'!$F:$F,$E309))</f>
        <v/>
      </c>
      <c r="E309">
        <f>IFERROR(AGGREGATE(15,6,ROW('Input Transaksi'!$B$5:$B$5000)/('Input Transaksi'!$B$5:$B$5000="BALI WASH GALANG"),ROWS($E$5:E309)),"")</f>
        <v/>
      </c>
      <c r="F309" s="5" t="n"/>
    </row>
    <row r="310">
      <c r="A310" s="10">
        <f>IF($E310="","",INDEX('Input Transaksi'!$A:$A,$E310))</f>
        <v/>
      </c>
      <c r="B310" s="5">
        <f>IF($E310="","",INDEX('Input Transaksi'!$D:$D,$E310))</f>
        <v/>
      </c>
      <c r="C310">
        <f>IF($E310="","",INDEX('Input Transaksi'!$E:$E,$E310))</f>
        <v/>
      </c>
      <c r="D310" s="5">
        <f>IF($E310="","",INDEX('Input Transaksi'!$F:$F,$E310))</f>
        <v/>
      </c>
      <c r="E310">
        <f>IFERROR(AGGREGATE(15,6,ROW('Input Transaksi'!$B$5:$B$5000)/('Input Transaksi'!$B$5:$B$5000="BALI WASH GALANG"),ROWS($E$5:E310)),"")</f>
        <v/>
      </c>
      <c r="F310" s="5" t="n"/>
    </row>
    <row r="311">
      <c r="A311" s="10">
        <f>IF($E311="","",INDEX('Input Transaksi'!$A:$A,$E311))</f>
        <v/>
      </c>
      <c r="B311" s="5">
        <f>IF($E311="","",INDEX('Input Transaksi'!$D:$D,$E311))</f>
        <v/>
      </c>
      <c r="C311">
        <f>IF($E311="","",INDEX('Input Transaksi'!$E:$E,$E311))</f>
        <v/>
      </c>
      <c r="D311" s="5">
        <f>IF($E311="","",INDEX('Input Transaksi'!$F:$F,$E311))</f>
        <v/>
      </c>
      <c r="E311">
        <f>IFERROR(AGGREGATE(15,6,ROW('Input Transaksi'!$B$5:$B$5000)/('Input Transaksi'!$B$5:$B$5000="BALI WASH GALANG"),ROWS($E$5:E311)),"")</f>
        <v/>
      </c>
      <c r="F311" s="5" t="n"/>
    </row>
    <row r="312">
      <c r="A312" s="10">
        <f>IF($E312="","",INDEX('Input Transaksi'!$A:$A,$E312))</f>
        <v/>
      </c>
      <c r="B312" s="5">
        <f>IF($E312="","",INDEX('Input Transaksi'!$D:$D,$E312))</f>
        <v/>
      </c>
      <c r="C312">
        <f>IF($E312="","",INDEX('Input Transaksi'!$E:$E,$E312))</f>
        <v/>
      </c>
      <c r="D312" s="5">
        <f>IF($E312="","",INDEX('Input Transaksi'!$F:$F,$E312))</f>
        <v/>
      </c>
      <c r="E312">
        <f>IFERROR(AGGREGATE(15,6,ROW('Input Transaksi'!$B$5:$B$5000)/('Input Transaksi'!$B$5:$B$5000="BALI WASH GALANG"),ROWS($E$5:E312)),"")</f>
        <v/>
      </c>
      <c r="F312" s="5" t="n"/>
    </row>
    <row r="313">
      <c r="A313" s="10">
        <f>IF($E313="","",INDEX('Input Transaksi'!$A:$A,$E313))</f>
        <v/>
      </c>
      <c r="B313" s="5">
        <f>IF($E313="","",INDEX('Input Transaksi'!$D:$D,$E313))</f>
        <v/>
      </c>
      <c r="C313">
        <f>IF($E313="","",INDEX('Input Transaksi'!$E:$E,$E313))</f>
        <v/>
      </c>
      <c r="D313" s="5">
        <f>IF($E313="","",INDEX('Input Transaksi'!$F:$F,$E313))</f>
        <v/>
      </c>
      <c r="E313">
        <f>IFERROR(AGGREGATE(15,6,ROW('Input Transaksi'!$B$5:$B$5000)/('Input Transaksi'!$B$5:$B$5000="BALI WASH GALANG"),ROWS($E$5:E313)),"")</f>
        <v/>
      </c>
      <c r="F313" s="5" t="n"/>
    </row>
    <row r="314">
      <c r="A314" s="10">
        <f>IF($E314="","",INDEX('Input Transaksi'!$A:$A,$E314))</f>
        <v/>
      </c>
      <c r="B314" s="5">
        <f>IF($E314="","",INDEX('Input Transaksi'!$D:$D,$E314))</f>
        <v/>
      </c>
      <c r="C314">
        <f>IF($E314="","",INDEX('Input Transaksi'!$E:$E,$E314))</f>
        <v/>
      </c>
      <c r="D314" s="5">
        <f>IF($E314="","",INDEX('Input Transaksi'!$F:$F,$E314))</f>
        <v/>
      </c>
      <c r="E314">
        <f>IFERROR(AGGREGATE(15,6,ROW('Input Transaksi'!$B$5:$B$5000)/('Input Transaksi'!$B$5:$B$5000="BALI WASH GALANG"),ROWS($E$5:E314)),"")</f>
        <v/>
      </c>
      <c r="F314" s="5" t="n"/>
    </row>
    <row r="315">
      <c r="A315" s="10">
        <f>IF($E315="","",INDEX('Input Transaksi'!$A:$A,$E315))</f>
        <v/>
      </c>
      <c r="B315" s="5">
        <f>IF($E315="","",INDEX('Input Transaksi'!$D:$D,$E315))</f>
        <v/>
      </c>
      <c r="C315">
        <f>IF($E315="","",INDEX('Input Transaksi'!$E:$E,$E315))</f>
        <v/>
      </c>
      <c r="D315" s="5">
        <f>IF($E315="","",INDEX('Input Transaksi'!$F:$F,$E315))</f>
        <v/>
      </c>
      <c r="E315">
        <f>IFERROR(AGGREGATE(15,6,ROW('Input Transaksi'!$B$5:$B$5000)/('Input Transaksi'!$B$5:$B$5000="BALI WASH GALANG"),ROWS($E$5:E315)),"")</f>
        <v/>
      </c>
      <c r="F315" s="5" t="n"/>
    </row>
    <row r="316">
      <c r="A316" s="10">
        <f>IF($E316="","",INDEX('Input Transaksi'!$A:$A,$E316))</f>
        <v/>
      </c>
      <c r="B316" s="5">
        <f>IF($E316="","",INDEX('Input Transaksi'!$D:$D,$E316))</f>
        <v/>
      </c>
      <c r="C316">
        <f>IF($E316="","",INDEX('Input Transaksi'!$E:$E,$E316))</f>
        <v/>
      </c>
      <c r="D316" s="5">
        <f>IF($E316="","",INDEX('Input Transaksi'!$F:$F,$E316))</f>
        <v/>
      </c>
      <c r="E316">
        <f>IFERROR(AGGREGATE(15,6,ROW('Input Transaksi'!$B$5:$B$5000)/('Input Transaksi'!$B$5:$B$5000="BALI WASH GALANG"),ROWS($E$5:E316)),"")</f>
        <v/>
      </c>
      <c r="F316" s="5" t="n"/>
    </row>
    <row r="317">
      <c r="A317" s="10">
        <f>IF($E317="","",INDEX('Input Transaksi'!$A:$A,$E317))</f>
        <v/>
      </c>
      <c r="B317" s="5">
        <f>IF($E317="","",INDEX('Input Transaksi'!$D:$D,$E317))</f>
        <v/>
      </c>
      <c r="C317">
        <f>IF($E317="","",INDEX('Input Transaksi'!$E:$E,$E317))</f>
        <v/>
      </c>
      <c r="D317" s="5">
        <f>IF($E317="","",INDEX('Input Transaksi'!$F:$F,$E317))</f>
        <v/>
      </c>
      <c r="E317">
        <f>IFERROR(AGGREGATE(15,6,ROW('Input Transaksi'!$B$5:$B$5000)/('Input Transaksi'!$B$5:$B$5000="BALI WASH GALANG"),ROWS($E$5:E317)),"")</f>
        <v/>
      </c>
      <c r="F317" s="5" t="n"/>
    </row>
    <row r="318">
      <c r="A318" s="10">
        <f>IF($E318="","",INDEX('Input Transaksi'!$A:$A,$E318))</f>
        <v/>
      </c>
      <c r="B318" s="5">
        <f>IF($E318="","",INDEX('Input Transaksi'!$D:$D,$E318))</f>
        <v/>
      </c>
      <c r="C318">
        <f>IF($E318="","",INDEX('Input Transaksi'!$E:$E,$E318))</f>
        <v/>
      </c>
      <c r="D318" s="5">
        <f>IF($E318="","",INDEX('Input Transaksi'!$F:$F,$E318))</f>
        <v/>
      </c>
      <c r="E318">
        <f>IFERROR(AGGREGATE(15,6,ROW('Input Transaksi'!$B$5:$B$5000)/('Input Transaksi'!$B$5:$B$5000="BALI WASH GALANG"),ROWS($E$5:E318)),"")</f>
        <v/>
      </c>
      <c r="F318" s="5" t="n"/>
    </row>
    <row r="319">
      <c r="A319" s="10">
        <f>IF($E319="","",INDEX('Input Transaksi'!$A:$A,$E319))</f>
        <v/>
      </c>
      <c r="B319" s="5">
        <f>IF($E319="","",INDEX('Input Transaksi'!$D:$D,$E319))</f>
        <v/>
      </c>
      <c r="C319">
        <f>IF($E319="","",INDEX('Input Transaksi'!$E:$E,$E319))</f>
        <v/>
      </c>
      <c r="D319" s="5">
        <f>IF($E319="","",INDEX('Input Transaksi'!$F:$F,$E319))</f>
        <v/>
      </c>
      <c r="E319">
        <f>IFERROR(AGGREGATE(15,6,ROW('Input Transaksi'!$B$5:$B$5000)/('Input Transaksi'!$B$5:$B$5000="BALI WASH GALANG"),ROWS($E$5:E319)),"")</f>
        <v/>
      </c>
      <c r="F319" s="5" t="n"/>
    </row>
    <row r="320">
      <c r="A320" s="10">
        <f>IF($E320="","",INDEX('Input Transaksi'!$A:$A,$E320))</f>
        <v/>
      </c>
      <c r="B320" s="5">
        <f>IF($E320="","",INDEX('Input Transaksi'!$D:$D,$E320))</f>
        <v/>
      </c>
      <c r="C320">
        <f>IF($E320="","",INDEX('Input Transaksi'!$E:$E,$E320))</f>
        <v/>
      </c>
      <c r="D320" s="5">
        <f>IF($E320="","",INDEX('Input Transaksi'!$F:$F,$E320))</f>
        <v/>
      </c>
      <c r="E320">
        <f>IFERROR(AGGREGATE(15,6,ROW('Input Transaksi'!$B$5:$B$5000)/('Input Transaksi'!$B$5:$B$5000="BALI WASH GALANG"),ROWS($E$5:E320)),"")</f>
        <v/>
      </c>
      <c r="F320" s="5" t="n"/>
    </row>
    <row r="321">
      <c r="A321" s="10">
        <f>IF($E321="","",INDEX('Input Transaksi'!$A:$A,$E321))</f>
        <v/>
      </c>
      <c r="B321" s="5">
        <f>IF($E321="","",INDEX('Input Transaksi'!$D:$D,$E321))</f>
        <v/>
      </c>
      <c r="C321">
        <f>IF($E321="","",INDEX('Input Transaksi'!$E:$E,$E321))</f>
        <v/>
      </c>
      <c r="D321" s="5">
        <f>IF($E321="","",INDEX('Input Transaksi'!$F:$F,$E321))</f>
        <v/>
      </c>
      <c r="E321">
        <f>IFERROR(AGGREGATE(15,6,ROW('Input Transaksi'!$B$5:$B$5000)/('Input Transaksi'!$B$5:$B$5000="BALI WASH GALANG"),ROWS($E$5:E321)),"")</f>
        <v/>
      </c>
      <c r="F321" s="5" t="n"/>
    </row>
    <row r="322">
      <c r="A322" s="10">
        <f>IF($E322="","",INDEX('Input Transaksi'!$A:$A,$E322))</f>
        <v/>
      </c>
      <c r="B322" s="5">
        <f>IF($E322="","",INDEX('Input Transaksi'!$D:$D,$E322))</f>
        <v/>
      </c>
      <c r="C322">
        <f>IF($E322="","",INDEX('Input Transaksi'!$E:$E,$E322))</f>
        <v/>
      </c>
      <c r="D322" s="5">
        <f>IF($E322="","",INDEX('Input Transaksi'!$F:$F,$E322))</f>
        <v/>
      </c>
      <c r="E322">
        <f>IFERROR(AGGREGATE(15,6,ROW('Input Transaksi'!$B$5:$B$5000)/('Input Transaksi'!$B$5:$B$5000="BALI WASH GALANG"),ROWS($E$5:E322)),"")</f>
        <v/>
      </c>
      <c r="F322" s="5" t="n"/>
    </row>
    <row r="323">
      <c r="A323" s="10">
        <f>IF($E323="","",INDEX('Input Transaksi'!$A:$A,$E323))</f>
        <v/>
      </c>
      <c r="B323" s="5">
        <f>IF($E323="","",INDEX('Input Transaksi'!$D:$D,$E323))</f>
        <v/>
      </c>
      <c r="C323">
        <f>IF($E323="","",INDEX('Input Transaksi'!$E:$E,$E323))</f>
        <v/>
      </c>
      <c r="D323" s="5">
        <f>IF($E323="","",INDEX('Input Transaksi'!$F:$F,$E323))</f>
        <v/>
      </c>
      <c r="E323">
        <f>IFERROR(AGGREGATE(15,6,ROW('Input Transaksi'!$B$5:$B$5000)/('Input Transaksi'!$B$5:$B$5000="BALI WASH GALANG"),ROWS($E$5:E323)),"")</f>
        <v/>
      </c>
      <c r="F323" s="5" t="n"/>
    </row>
    <row r="324">
      <c r="A324" s="10">
        <f>IF($E324="","",INDEX('Input Transaksi'!$A:$A,$E324))</f>
        <v/>
      </c>
      <c r="B324" s="5">
        <f>IF($E324="","",INDEX('Input Transaksi'!$D:$D,$E324))</f>
        <v/>
      </c>
      <c r="C324">
        <f>IF($E324="","",INDEX('Input Transaksi'!$E:$E,$E324))</f>
        <v/>
      </c>
      <c r="D324" s="5">
        <f>IF($E324="","",INDEX('Input Transaksi'!$F:$F,$E324))</f>
        <v/>
      </c>
      <c r="E324">
        <f>IFERROR(AGGREGATE(15,6,ROW('Input Transaksi'!$B$5:$B$5000)/('Input Transaksi'!$B$5:$B$5000="BALI WASH GALANG"),ROWS($E$5:E324)),"")</f>
        <v/>
      </c>
      <c r="F324" s="5" t="n"/>
    </row>
    <row r="325">
      <c r="A325" s="10">
        <f>IF($E325="","",INDEX('Input Transaksi'!$A:$A,$E325))</f>
        <v/>
      </c>
      <c r="B325" s="5">
        <f>IF($E325="","",INDEX('Input Transaksi'!$D:$D,$E325))</f>
        <v/>
      </c>
      <c r="C325">
        <f>IF($E325="","",INDEX('Input Transaksi'!$E:$E,$E325))</f>
        <v/>
      </c>
      <c r="D325" s="5">
        <f>IF($E325="","",INDEX('Input Transaksi'!$F:$F,$E325))</f>
        <v/>
      </c>
      <c r="E325">
        <f>IFERROR(AGGREGATE(15,6,ROW('Input Transaksi'!$B$5:$B$5000)/('Input Transaksi'!$B$5:$B$5000="BALI WASH GALANG"),ROWS($E$5:E325)),"")</f>
        <v/>
      </c>
      <c r="F325" s="5" t="n"/>
    </row>
    <row r="326">
      <c r="A326" s="10">
        <f>IF($E326="","",INDEX('Input Transaksi'!$A:$A,$E326))</f>
        <v/>
      </c>
      <c r="B326" s="5">
        <f>IF($E326="","",INDEX('Input Transaksi'!$D:$D,$E326))</f>
        <v/>
      </c>
      <c r="C326">
        <f>IF($E326="","",INDEX('Input Transaksi'!$E:$E,$E326))</f>
        <v/>
      </c>
      <c r="D326" s="5">
        <f>IF($E326="","",INDEX('Input Transaksi'!$F:$F,$E326))</f>
        <v/>
      </c>
      <c r="E326">
        <f>IFERROR(AGGREGATE(15,6,ROW('Input Transaksi'!$B$5:$B$5000)/('Input Transaksi'!$B$5:$B$5000="BALI WASH GALANG"),ROWS($E$5:E326)),"")</f>
        <v/>
      </c>
      <c r="F326" s="5" t="n"/>
    </row>
    <row r="327">
      <c r="A327" s="10">
        <f>IF($E327="","",INDEX('Input Transaksi'!$A:$A,$E327))</f>
        <v/>
      </c>
      <c r="B327" s="5">
        <f>IF($E327="","",INDEX('Input Transaksi'!$D:$D,$E327))</f>
        <v/>
      </c>
      <c r="C327">
        <f>IF($E327="","",INDEX('Input Transaksi'!$E:$E,$E327))</f>
        <v/>
      </c>
      <c r="D327" s="5">
        <f>IF($E327="","",INDEX('Input Transaksi'!$F:$F,$E327))</f>
        <v/>
      </c>
      <c r="E327">
        <f>IFERROR(AGGREGATE(15,6,ROW('Input Transaksi'!$B$5:$B$5000)/('Input Transaksi'!$B$5:$B$5000="BALI WASH GALANG"),ROWS($E$5:E327)),"")</f>
        <v/>
      </c>
      <c r="F327" s="5" t="n"/>
    </row>
    <row r="328">
      <c r="A328" s="10">
        <f>IF($E328="","",INDEX('Input Transaksi'!$A:$A,$E328))</f>
        <v/>
      </c>
      <c r="B328" s="5">
        <f>IF($E328="","",INDEX('Input Transaksi'!$D:$D,$E328))</f>
        <v/>
      </c>
      <c r="C328">
        <f>IF($E328="","",INDEX('Input Transaksi'!$E:$E,$E328))</f>
        <v/>
      </c>
      <c r="D328" s="5">
        <f>IF($E328="","",INDEX('Input Transaksi'!$F:$F,$E328))</f>
        <v/>
      </c>
      <c r="E328">
        <f>IFERROR(AGGREGATE(15,6,ROW('Input Transaksi'!$B$5:$B$5000)/('Input Transaksi'!$B$5:$B$5000="BALI WASH GALANG"),ROWS($E$5:E328)),"")</f>
        <v/>
      </c>
      <c r="F328" s="5" t="n"/>
    </row>
    <row r="329">
      <c r="A329" s="10">
        <f>IF($E329="","",INDEX('Input Transaksi'!$A:$A,$E329))</f>
        <v/>
      </c>
      <c r="B329" s="5">
        <f>IF($E329="","",INDEX('Input Transaksi'!$D:$D,$E329))</f>
        <v/>
      </c>
      <c r="C329">
        <f>IF($E329="","",INDEX('Input Transaksi'!$E:$E,$E329))</f>
        <v/>
      </c>
      <c r="D329" s="5">
        <f>IF($E329="","",INDEX('Input Transaksi'!$F:$F,$E329))</f>
        <v/>
      </c>
      <c r="E329">
        <f>IFERROR(AGGREGATE(15,6,ROW('Input Transaksi'!$B$5:$B$5000)/('Input Transaksi'!$B$5:$B$5000="BALI WASH GALANG"),ROWS($E$5:E329)),"")</f>
        <v/>
      </c>
      <c r="F329" s="5" t="n"/>
    </row>
    <row r="330">
      <c r="A330" s="10">
        <f>IF($E330="","",INDEX('Input Transaksi'!$A:$A,$E330))</f>
        <v/>
      </c>
      <c r="B330" s="5">
        <f>IF($E330="","",INDEX('Input Transaksi'!$D:$D,$E330))</f>
        <v/>
      </c>
      <c r="C330">
        <f>IF($E330="","",INDEX('Input Transaksi'!$E:$E,$E330))</f>
        <v/>
      </c>
      <c r="D330" s="5">
        <f>IF($E330="","",INDEX('Input Transaksi'!$F:$F,$E330))</f>
        <v/>
      </c>
      <c r="E330">
        <f>IFERROR(AGGREGATE(15,6,ROW('Input Transaksi'!$B$5:$B$5000)/('Input Transaksi'!$B$5:$B$5000="BALI WASH GALANG"),ROWS($E$5:E330)),"")</f>
        <v/>
      </c>
      <c r="F330" s="5" t="n"/>
    </row>
    <row r="331">
      <c r="A331" s="10">
        <f>IF($E331="","",INDEX('Input Transaksi'!$A:$A,$E331))</f>
        <v/>
      </c>
      <c r="B331" s="5">
        <f>IF($E331="","",INDEX('Input Transaksi'!$D:$D,$E331))</f>
        <v/>
      </c>
      <c r="C331">
        <f>IF($E331="","",INDEX('Input Transaksi'!$E:$E,$E331))</f>
        <v/>
      </c>
      <c r="D331" s="5">
        <f>IF($E331="","",INDEX('Input Transaksi'!$F:$F,$E331))</f>
        <v/>
      </c>
      <c r="E331">
        <f>IFERROR(AGGREGATE(15,6,ROW('Input Transaksi'!$B$5:$B$5000)/('Input Transaksi'!$B$5:$B$5000="BALI WASH GALANG"),ROWS($E$5:E331)),"")</f>
        <v/>
      </c>
      <c r="F331" s="5" t="n"/>
    </row>
    <row r="332">
      <c r="A332" s="10">
        <f>IF($E332="","",INDEX('Input Transaksi'!$A:$A,$E332))</f>
        <v/>
      </c>
      <c r="B332" s="5">
        <f>IF($E332="","",INDEX('Input Transaksi'!$D:$D,$E332))</f>
        <v/>
      </c>
      <c r="C332">
        <f>IF($E332="","",INDEX('Input Transaksi'!$E:$E,$E332))</f>
        <v/>
      </c>
      <c r="D332" s="5">
        <f>IF($E332="","",INDEX('Input Transaksi'!$F:$F,$E332))</f>
        <v/>
      </c>
      <c r="E332">
        <f>IFERROR(AGGREGATE(15,6,ROW('Input Transaksi'!$B$5:$B$5000)/('Input Transaksi'!$B$5:$B$5000="BALI WASH GALANG"),ROWS($E$5:E332)),"")</f>
        <v/>
      </c>
      <c r="F332" s="5" t="n"/>
    </row>
    <row r="333">
      <c r="A333" s="10">
        <f>IF($E333="","",INDEX('Input Transaksi'!$A:$A,$E333))</f>
        <v/>
      </c>
      <c r="B333" s="5">
        <f>IF($E333="","",INDEX('Input Transaksi'!$D:$D,$E333))</f>
        <v/>
      </c>
      <c r="C333">
        <f>IF($E333="","",INDEX('Input Transaksi'!$E:$E,$E333))</f>
        <v/>
      </c>
      <c r="D333" s="5">
        <f>IF($E333="","",INDEX('Input Transaksi'!$F:$F,$E333))</f>
        <v/>
      </c>
      <c r="E333">
        <f>IFERROR(AGGREGATE(15,6,ROW('Input Transaksi'!$B$5:$B$5000)/('Input Transaksi'!$B$5:$B$5000="BALI WASH GALANG"),ROWS($E$5:E333)),"")</f>
        <v/>
      </c>
      <c r="F333" s="5" t="n"/>
    </row>
    <row r="334">
      <c r="A334" s="10">
        <f>IF($E334="","",INDEX('Input Transaksi'!$A:$A,$E334))</f>
        <v/>
      </c>
      <c r="B334" s="5">
        <f>IF($E334="","",INDEX('Input Transaksi'!$D:$D,$E334))</f>
        <v/>
      </c>
      <c r="C334">
        <f>IF($E334="","",INDEX('Input Transaksi'!$E:$E,$E334))</f>
        <v/>
      </c>
      <c r="D334" s="5">
        <f>IF($E334="","",INDEX('Input Transaksi'!$F:$F,$E334))</f>
        <v/>
      </c>
      <c r="E334">
        <f>IFERROR(AGGREGATE(15,6,ROW('Input Transaksi'!$B$5:$B$5000)/('Input Transaksi'!$B$5:$B$5000="BALI WASH GALANG"),ROWS($E$5:E334)),"")</f>
        <v/>
      </c>
      <c r="F334" s="5" t="n"/>
    </row>
    <row r="335">
      <c r="A335" s="10">
        <f>IF($E335="","",INDEX('Input Transaksi'!$A:$A,$E335))</f>
        <v/>
      </c>
      <c r="B335" s="5">
        <f>IF($E335="","",INDEX('Input Transaksi'!$D:$D,$E335))</f>
        <v/>
      </c>
      <c r="C335">
        <f>IF($E335="","",INDEX('Input Transaksi'!$E:$E,$E335))</f>
        <v/>
      </c>
      <c r="D335" s="5">
        <f>IF($E335="","",INDEX('Input Transaksi'!$F:$F,$E335))</f>
        <v/>
      </c>
      <c r="E335">
        <f>IFERROR(AGGREGATE(15,6,ROW('Input Transaksi'!$B$5:$B$5000)/('Input Transaksi'!$B$5:$B$5000="BALI WASH GALANG"),ROWS($E$5:E335)),"")</f>
        <v/>
      </c>
      <c r="F335" s="5" t="n"/>
    </row>
    <row r="336">
      <c r="A336" s="10">
        <f>IF($E336="","",INDEX('Input Transaksi'!$A:$A,$E336))</f>
        <v/>
      </c>
      <c r="B336" s="5">
        <f>IF($E336="","",INDEX('Input Transaksi'!$D:$D,$E336))</f>
        <v/>
      </c>
      <c r="C336">
        <f>IF($E336="","",INDEX('Input Transaksi'!$E:$E,$E336))</f>
        <v/>
      </c>
      <c r="D336" s="5">
        <f>IF($E336="","",INDEX('Input Transaksi'!$F:$F,$E336))</f>
        <v/>
      </c>
      <c r="E336">
        <f>IFERROR(AGGREGATE(15,6,ROW('Input Transaksi'!$B$5:$B$5000)/('Input Transaksi'!$B$5:$B$5000="BALI WASH GALANG"),ROWS($E$5:E336)),"")</f>
        <v/>
      </c>
      <c r="F336" s="5" t="n"/>
    </row>
    <row r="337">
      <c r="A337" s="10">
        <f>IF($E337="","",INDEX('Input Transaksi'!$A:$A,$E337))</f>
        <v/>
      </c>
      <c r="B337" s="5">
        <f>IF($E337="","",INDEX('Input Transaksi'!$D:$D,$E337))</f>
        <v/>
      </c>
      <c r="C337">
        <f>IF($E337="","",INDEX('Input Transaksi'!$E:$E,$E337))</f>
        <v/>
      </c>
      <c r="D337" s="5">
        <f>IF($E337="","",INDEX('Input Transaksi'!$F:$F,$E337))</f>
        <v/>
      </c>
      <c r="E337">
        <f>IFERROR(AGGREGATE(15,6,ROW('Input Transaksi'!$B$5:$B$5000)/('Input Transaksi'!$B$5:$B$5000="BALI WASH GALANG"),ROWS($E$5:E337)),"")</f>
        <v/>
      </c>
      <c r="F337" s="5" t="n"/>
    </row>
    <row r="338">
      <c r="A338" s="10">
        <f>IF($E338="","",INDEX('Input Transaksi'!$A:$A,$E338))</f>
        <v/>
      </c>
      <c r="B338" s="5">
        <f>IF($E338="","",INDEX('Input Transaksi'!$D:$D,$E338))</f>
        <v/>
      </c>
      <c r="C338">
        <f>IF($E338="","",INDEX('Input Transaksi'!$E:$E,$E338))</f>
        <v/>
      </c>
      <c r="D338" s="5">
        <f>IF($E338="","",INDEX('Input Transaksi'!$F:$F,$E338))</f>
        <v/>
      </c>
      <c r="E338">
        <f>IFERROR(AGGREGATE(15,6,ROW('Input Transaksi'!$B$5:$B$5000)/('Input Transaksi'!$B$5:$B$5000="BALI WASH GALANG"),ROWS($E$5:E338)),"")</f>
        <v/>
      </c>
      <c r="F338" s="5" t="n"/>
    </row>
    <row r="339">
      <c r="A339" s="10">
        <f>IF($E339="","",INDEX('Input Transaksi'!$A:$A,$E339))</f>
        <v/>
      </c>
      <c r="B339" s="5">
        <f>IF($E339="","",INDEX('Input Transaksi'!$D:$D,$E339))</f>
        <v/>
      </c>
      <c r="C339">
        <f>IF($E339="","",INDEX('Input Transaksi'!$E:$E,$E339))</f>
        <v/>
      </c>
      <c r="D339" s="5">
        <f>IF($E339="","",INDEX('Input Transaksi'!$F:$F,$E339))</f>
        <v/>
      </c>
      <c r="E339">
        <f>IFERROR(AGGREGATE(15,6,ROW('Input Transaksi'!$B$5:$B$5000)/('Input Transaksi'!$B$5:$B$5000="BALI WASH GALANG"),ROWS($E$5:E339)),"")</f>
        <v/>
      </c>
      <c r="F339" s="5" t="n"/>
    </row>
    <row r="340">
      <c r="A340" s="10">
        <f>IF($E340="","",INDEX('Input Transaksi'!$A:$A,$E340))</f>
        <v/>
      </c>
      <c r="B340" s="5">
        <f>IF($E340="","",INDEX('Input Transaksi'!$D:$D,$E340))</f>
        <v/>
      </c>
      <c r="C340">
        <f>IF($E340="","",INDEX('Input Transaksi'!$E:$E,$E340))</f>
        <v/>
      </c>
      <c r="D340" s="5">
        <f>IF($E340="","",INDEX('Input Transaksi'!$F:$F,$E340))</f>
        <v/>
      </c>
      <c r="E340">
        <f>IFERROR(AGGREGATE(15,6,ROW('Input Transaksi'!$B$5:$B$5000)/('Input Transaksi'!$B$5:$B$5000="BALI WASH GALANG"),ROWS($E$5:E340)),"")</f>
        <v/>
      </c>
      <c r="F340" s="5" t="n"/>
    </row>
    <row r="341">
      <c r="A341" s="10">
        <f>IF($E341="","",INDEX('Input Transaksi'!$A:$A,$E341))</f>
        <v/>
      </c>
      <c r="B341" s="5">
        <f>IF($E341="","",INDEX('Input Transaksi'!$D:$D,$E341))</f>
        <v/>
      </c>
      <c r="C341">
        <f>IF($E341="","",INDEX('Input Transaksi'!$E:$E,$E341))</f>
        <v/>
      </c>
      <c r="D341" s="5">
        <f>IF($E341="","",INDEX('Input Transaksi'!$F:$F,$E341))</f>
        <v/>
      </c>
      <c r="E341">
        <f>IFERROR(AGGREGATE(15,6,ROW('Input Transaksi'!$B$5:$B$5000)/('Input Transaksi'!$B$5:$B$5000="BALI WASH GALANG"),ROWS($E$5:E341)),"")</f>
        <v/>
      </c>
      <c r="F341" s="5" t="n"/>
    </row>
    <row r="342">
      <c r="A342" s="10">
        <f>IF($E342="","",INDEX('Input Transaksi'!$A:$A,$E342))</f>
        <v/>
      </c>
      <c r="B342" s="5">
        <f>IF($E342="","",INDEX('Input Transaksi'!$D:$D,$E342))</f>
        <v/>
      </c>
      <c r="C342">
        <f>IF($E342="","",INDEX('Input Transaksi'!$E:$E,$E342))</f>
        <v/>
      </c>
      <c r="D342" s="5">
        <f>IF($E342="","",INDEX('Input Transaksi'!$F:$F,$E342))</f>
        <v/>
      </c>
      <c r="E342">
        <f>IFERROR(AGGREGATE(15,6,ROW('Input Transaksi'!$B$5:$B$5000)/('Input Transaksi'!$B$5:$B$5000="BALI WASH GALANG"),ROWS($E$5:E342)),"")</f>
        <v/>
      </c>
      <c r="F342" s="5" t="n"/>
    </row>
    <row r="343">
      <c r="A343" s="10">
        <f>IF($E343="","",INDEX('Input Transaksi'!$A:$A,$E343))</f>
        <v/>
      </c>
      <c r="B343" s="5">
        <f>IF($E343="","",INDEX('Input Transaksi'!$D:$D,$E343))</f>
        <v/>
      </c>
      <c r="C343">
        <f>IF($E343="","",INDEX('Input Transaksi'!$E:$E,$E343))</f>
        <v/>
      </c>
      <c r="D343" s="5">
        <f>IF($E343="","",INDEX('Input Transaksi'!$F:$F,$E343))</f>
        <v/>
      </c>
      <c r="E343">
        <f>IFERROR(AGGREGATE(15,6,ROW('Input Transaksi'!$B$5:$B$5000)/('Input Transaksi'!$B$5:$B$5000="BALI WASH GALANG"),ROWS($E$5:E343)),"")</f>
        <v/>
      </c>
      <c r="F343" s="5" t="n"/>
    </row>
    <row r="344">
      <c r="A344" s="10">
        <f>IF($E344="","",INDEX('Input Transaksi'!$A:$A,$E344))</f>
        <v/>
      </c>
      <c r="B344" s="5">
        <f>IF($E344="","",INDEX('Input Transaksi'!$D:$D,$E344))</f>
        <v/>
      </c>
      <c r="C344">
        <f>IF($E344="","",INDEX('Input Transaksi'!$E:$E,$E344))</f>
        <v/>
      </c>
      <c r="D344" s="5">
        <f>IF($E344="","",INDEX('Input Transaksi'!$F:$F,$E344))</f>
        <v/>
      </c>
      <c r="E344">
        <f>IFERROR(AGGREGATE(15,6,ROW('Input Transaksi'!$B$5:$B$5000)/('Input Transaksi'!$B$5:$B$5000="BALI WASH GALANG"),ROWS($E$5:E344)),"")</f>
        <v/>
      </c>
      <c r="F344" s="5" t="n"/>
    </row>
    <row r="345">
      <c r="A345" s="10">
        <f>IF($E345="","",INDEX('Input Transaksi'!$A:$A,$E345))</f>
        <v/>
      </c>
      <c r="B345" s="5">
        <f>IF($E345="","",INDEX('Input Transaksi'!$D:$D,$E345))</f>
        <v/>
      </c>
      <c r="C345">
        <f>IF($E345="","",INDEX('Input Transaksi'!$E:$E,$E345))</f>
        <v/>
      </c>
      <c r="D345" s="5">
        <f>IF($E345="","",INDEX('Input Transaksi'!$F:$F,$E345))</f>
        <v/>
      </c>
      <c r="E345">
        <f>IFERROR(AGGREGATE(15,6,ROW('Input Transaksi'!$B$5:$B$5000)/('Input Transaksi'!$B$5:$B$5000="BALI WASH GALANG"),ROWS($E$5:E345)),"")</f>
        <v/>
      </c>
      <c r="F345" s="5" t="n"/>
    </row>
    <row r="346">
      <c r="A346" s="10">
        <f>IF($E346="","",INDEX('Input Transaksi'!$A:$A,$E346))</f>
        <v/>
      </c>
      <c r="B346" s="5">
        <f>IF($E346="","",INDEX('Input Transaksi'!$D:$D,$E346))</f>
        <v/>
      </c>
      <c r="C346">
        <f>IF($E346="","",INDEX('Input Transaksi'!$E:$E,$E346))</f>
        <v/>
      </c>
      <c r="D346" s="5">
        <f>IF($E346="","",INDEX('Input Transaksi'!$F:$F,$E346))</f>
        <v/>
      </c>
      <c r="E346">
        <f>IFERROR(AGGREGATE(15,6,ROW('Input Transaksi'!$B$5:$B$5000)/('Input Transaksi'!$B$5:$B$5000="BALI WASH GALANG"),ROWS($E$5:E346)),"")</f>
        <v/>
      </c>
      <c r="F346" s="5" t="n"/>
    </row>
    <row r="347">
      <c r="A347" s="10">
        <f>IF($E347="","",INDEX('Input Transaksi'!$A:$A,$E347))</f>
        <v/>
      </c>
      <c r="B347" s="5">
        <f>IF($E347="","",INDEX('Input Transaksi'!$D:$D,$E347))</f>
        <v/>
      </c>
      <c r="C347">
        <f>IF($E347="","",INDEX('Input Transaksi'!$E:$E,$E347))</f>
        <v/>
      </c>
      <c r="D347" s="5">
        <f>IF($E347="","",INDEX('Input Transaksi'!$F:$F,$E347))</f>
        <v/>
      </c>
      <c r="E347">
        <f>IFERROR(AGGREGATE(15,6,ROW('Input Transaksi'!$B$5:$B$5000)/('Input Transaksi'!$B$5:$B$5000="BALI WASH GALANG"),ROWS($E$5:E347)),"")</f>
        <v/>
      </c>
      <c r="F347" s="5" t="n"/>
    </row>
    <row r="348">
      <c r="A348" s="10">
        <f>IF($E348="","",INDEX('Input Transaksi'!$A:$A,$E348))</f>
        <v/>
      </c>
      <c r="B348" s="5">
        <f>IF($E348="","",INDEX('Input Transaksi'!$D:$D,$E348))</f>
        <v/>
      </c>
      <c r="C348">
        <f>IF($E348="","",INDEX('Input Transaksi'!$E:$E,$E348))</f>
        <v/>
      </c>
      <c r="D348" s="5">
        <f>IF($E348="","",INDEX('Input Transaksi'!$F:$F,$E348))</f>
        <v/>
      </c>
      <c r="E348">
        <f>IFERROR(AGGREGATE(15,6,ROW('Input Transaksi'!$B$5:$B$5000)/('Input Transaksi'!$B$5:$B$5000="BALI WASH GALANG"),ROWS($E$5:E348)),"")</f>
        <v/>
      </c>
      <c r="F348" s="5" t="n"/>
    </row>
    <row r="349">
      <c r="A349" s="10">
        <f>IF($E349="","",INDEX('Input Transaksi'!$A:$A,$E349))</f>
        <v/>
      </c>
      <c r="B349" s="5">
        <f>IF($E349="","",INDEX('Input Transaksi'!$D:$D,$E349))</f>
        <v/>
      </c>
      <c r="C349">
        <f>IF($E349="","",INDEX('Input Transaksi'!$E:$E,$E349))</f>
        <v/>
      </c>
      <c r="D349" s="5">
        <f>IF($E349="","",INDEX('Input Transaksi'!$F:$F,$E349))</f>
        <v/>
      </c>
      <c r="E349">
        <f>IFERROR(AGGREGATE(15,6,ROW('Input Transaksi'!$B$5:$B$5000)/('Input Transaksi'!$B$5:$B$5000="BALI WASH GALANG"),ROWS($E$5:E349)),"")</f>
        <v/>
      </c>
      <c r="F349" s="5" t="n"/>
    </row>
    <row r="350">
      <c r="A350" s="10">
        <f>IF($E350="","",INDEX('Input Transaksi'!$A:$A,$E350))</f>
        <v/>
      </c>
      <c r="B350" s="5">
        <f>IF($E350="","",INDEX('Input Transaksi'!$D:$D,$E350))</f>
        <v/>
      </c>
      <c r="C350">
        <f>IF($E350="","",INDEX('Input Transaksi'!$E:$E,$E350))</f>
        <v/>
      </c>
      <c r="D350" s="5">
        <f>IF($E350="","",INDEX('Input Transaksi'!$F:$F,$E350))</f>
        <v/>
      </c>
      <c r="E350">
        <f>IFERROR(AGGREGATE(15,6,ROW('Input Transaksi'!$B$5:$B$5000)/('Input Transaksi'!$B$5:$B$5000="BALI WASH GALANG"),ROWS($E$5:E350)),"")</f>
        <v/>
      </c>
      <c r="F350" s="5" t="n"/>
    </row>
    <row r="351">
      <c r="A351" s="10">
        <f>IF($E351="","",INDEX('Input Transaksi'!$A:$A,$E351))</f>
        <v/>
      </c>
      <c r="B351" s="5">
        <f>IF($E351="","",INDEX('Input Transaksi'!$D:$D,$E351))</f>
        <v/>
      </c>
      <c r="C351">
        <f>IF($E351="","",INDEX('Input Transaksi'!$E:$E,$E351))</f>
        <v/>
      </c>
      <c r="D351" s="5">
        <f>IF($E351="","",INDEX('Input Transaksi'!$F:$F,$E351))</f>
        <v/>
      </c>
      <c r="E351">
        <f>IFERROR(AGGREGATE(15,6,ROW('Input Transaksi'!$B$5:$B$5000)/('Input Transaksi'!$B$5:$B$5000="BALI WASH GALANG"),ROWS($E$5:E351)),"")</f>
        <v/>
      </c>
      <c r="F351" s="5" t="n"/>
    </row>
    <row r="352">
      <c r="A352" s="10">
        <f>IF($E352="","",INDEX('Input Transaksi'!$A:$A,$E352))</f>
        <v/>
      </c>
      <c r="B352" s="5">
        <f>IF($E352="","",INDEX('Input Transaksi'!$D:$D,$E352))</f>
        <v/>
      </c>
      <c r="C352">
        <f>IF($E352="","",INDEX('Input Transaksi'!$E:$E,$E352))</f>
        <v/>
      </c>
      <c r="D352" s="5">
        <f>IF($E352="","",INDEX('Input Transaksi'!$F:$F,$E352))</f>
        <v/>
      </c>
      <c r="E352">
        <f>IFERROR(AGGREGATE(15,6,ROW('Input Transaksi'!$B$5:$B$5000)/('Input Transaksi'!$B$5:$B$5000="BALI WASH GALANG"),ROWS($E$5:E352)),"")</f>
        <v/>
      </c>
      <c r="F352" s="5" t="n"/>
    </row>
    <row r="353">
      <c r="A353" s="10">
        <f>IF($E353="","",INDEX('Input Transaksi'!$A:$A,$E353))</f>
        <v/>
      </c>
      <c r="B353" s="5">
        <f>IF($E353="","",INDEX('Input Transaksi'!$D:$D,$E353))</f>
        <v/>
      </c>
      <c r="C353">
        <f>IF($E353="","",INDEX('Input Transaksi'!$E:$E,$E353))</f>
        <v/>
      </c>
      <c r="D353" s="5">
        <f>IF($E353="","",INDEX('Input Transaksi'!$F:$F,$E353))</f>
        <v/>
      </c>
      <c r="E353">
        <f>IFERROR(AGGREGATE(15,6,ROW('Input Transaksi'!$B$5:$B$5000)/('Input Transaksi'!$B$5:$B$5000="BALI WASH GALANG"),ROWS($E$5:E353)),"")</f>
        <v/>
      </c>
      <c r="F353" s="5" t="n"/>
    </row>
    <row r="354">
      <c r="A354" s="10">
        <f>IF($E354="","",INDEX('Input Transaksi'!$A:$A,$E354))</f>
        <v/>
      </c>
      <c r="B354" s="5">
        <f>IF($E354="","",INDEX('Input Transaksi'!$D:$D,$E354))</f>
        <v/>
      </c>
      <c r="C354">
        <f>IF($E354="","",INDEX('Input Transaksi'!$E:$E,$E354))</f>
        <v/>
      </c>
      <c r="D354" s="5">
        <f>IF($E354="","",INDEX('Input Transaksi'!$F:$F,$E354))</f>
        <v/>
      </c>
      <c r="E354">
        <f>IFERROR(AGGREGATE(15,6,ROW('Input Transaksi'!$B$5:$B$5000)/('Input Transaksi'!$B$5:$B$5000="BALI WASH GALANG"),ROWS($E$5:E354)),"")</f>
        <v/>
      </c>
      <c r="F354" s="5" t="n"/>
    </row>
    <row r="355">
      <c r="A355" s="10">
        <f>IF($E355="","",INDEX('Input Transaksi'!$A:$A,$E355))</f>
        <v/>
      </c>
      <c r="B355" s="5">
        <f>IF($E355="","",INDEX('Input Transaksi'!$D:$D,$E355))</f>
        <v/>
      </c>
      <c r="C355">
        <f>IF($E355="","",INDEX('Input Transaksi'!$E:$E,$E355))</f>
        <v/>
      </c>
      <c r="D355" s="5">
        <f>IF($E355="","",INDEX('Input Transaksi'!$F:$F,$E355))</f>
        <v/>
      </c>
      <c r="E355">
        <f>IFERROR(AGGREGATE(15,6,ROW('Input Transaksi'!$B$5:$B$5000)/('Input Transaksi'!$B$5:$B$5000="BALI WASH GALANG"),ROWS($E$5:E355)),"")</f>
        <v/>
      </c>
      <c r="F355" s="5" t="n"/>
    </row>
    <row r="356">
      <c r="A356" s="10">
        <f>IF($E356="","",INDEX('Input Transaksi'!$A:$A,$E356))</f>
        <v/>
      </c>
      <c r="B356" s="5">
        <f>IF($E356="","",INDEX('Input Transaksi'!$D:$D,$E356))</f>
        <v/>
      </c>
      <c r="C356">
        <f>IF($E356="","",INDEX('Input Transaksi'!$E:$E,$E356))</f>
        <v/>
      </c>
      <c r="D356" s="5">
        <f>IF($E356="","",INDEX('Input Transaksi'!$F:$F,$E356))</f>
        <v/>
      </c>
      <c r="E356">
        <f>IFERROR(AGGREGATE(15,6,ROW('Input Transaksi'!$B$5:$B$5000)/('Input Transaksi'!$B$5:$B$5000="BALI WASH GALANG"),ROWS($E$5:E356)),"")</f>
        <v/>
      </c>
      <c r="F356" s="5" t="n"/>
    </row>
    <row r="357">
      <c r="A357" s="10">
        <f>IF($E357="","",INDEX('Input Transaksi'!$A:$A,$E357))</f>
        <v/>
      </c>
      <c r="B357" s="5">
        <f>IF($E357="","",INDEX('Input Transaksi'!$D:$D,$E357))</f>
        <v/>
      </c>
      <c r="C357">
        <f>IF($E357="","",INDEX('Input Transaksi'!$E:$E,$E357))</f>
        <v/>
      </c>
      <c r="D357" s="5">
        <f>IF($E357="","",INDEX('Input Transaksi'!$F:$F,$E357))</f>
        <v/>
      </c>
      <c r="E357">
        <f>IFERROR(AGGREGATE(15,6,ROW('Input Transaksi'!$B$5:$B$5000)/('Input Transaksi'!$B$5:$B$5000="BALI WASH GALANG"),ROWS($E$5:E357)),"")</f>
        <v/>
      </c>
      <c r="F357" s="5" t="n"/>
    </row>
    <row r="358">
      <c r="A358" s="10">
        <f>IF($E358="","",INDEX('Input Transaksi'!$A:$A,$E358))</f>
        <v/>
      </c>
      <c r="B358" s="5">
        <f>IF($E358="","",INDEX('Input Transaksi'!$D:$D,$E358))</f>
        <v/>
      </c>
      <c r="C358">
        <f>IF($E358="","",INDEX('Input Transaksi'!$E:$E,$E358))</f>
        <v/>
      </c>
      <c r="D358" s="5">
        <f>IF($E358="","",INDEX('Input Transaksi'!$F:$F,$E358))</f>
        <v/>
      </c>
      <c r="E358">
        <f>IFERROR(AGGREGATE(15,6,ROW('Input Transaksi'!$B$5:$B$5000)/('Input Transaksi'!$B$5:$B$5000="BALI WASH GALANG"),ROWS($E$5:E358)),"")</f>
        <v/>
      </c>
      <c r="F358" s="5" t="n"/>
    </row>
    <row r="359">
      <c r="A359" s="10">
        <f>IF($E359="","",INDEX('Input Transaksi'!$A:$A,$E359))</f>
        <v/>
      </c>
      <c r="B359" s="5">
        <f>IF($E359="","",INDEX('Input Transaksi'!$D:$D,$E359))</f>
        <v/>
      </c>
      <c r="C359">
        <f>IF($E359="","",INDEX('Input Transaksi'!$E:$E,$E359))</f>
        <v/>
      </c>
      <c r="D359" s="5">
        <f>IF($E359="","",INDEX('Input Transaksi'!$F:$F,$E359))</f>
        <v/>
      </c>
      <c r="E359">
        <f>IFERROR(AGGREGATE(15,6,ROW('Input Transaksi'!$B$5:$B$5000)/('Input Transaksi'!$B$5:$B$5000="BALI WASH GALANG"),ROWS($E$5:E359)),"")</f>
        <v/>
      </c>
      <c r="F359" s="5" t="n"/>
    </row>
    <row r="360">
      <c r="A360" s="10">
        <f>IF($E360="","",INDEX('Input Transaksi'!$A:$A,$E360))</f>
        <v/>
      </c>
      <c r="B360" s="5">
        <f>IF($E360="","",INDEX('Input Transaksi'!$D:$D,$E360))</f>
        <v/>
      </c>
      <c r="C360">
        <f>IF($E360="","",INDEX('Input Transaksi'!$E:$E,$E360))</f>
        <v/>
      </c>
      <c r="D360" s="5">
        <f>IF($E360="","",INDEX('Input Transaksi'!$F:$F,$E360))</f>
        <v/>
      </c>
      <c r="E360">
        <f>IFERROR(AGGREGATE(15,6,ROW('Input Transaksi'!$B$5:$B$5000)/('Input Transaksi'!$B$5:$B$5000="BALI WASH GALANG"),ROWS($E$5:E360)),"")</f>
        <v/>
      </c>
      <c r="F360" s="5" t="n"/>
    </row>
    <row r="361">
      <c r="A361" s="10">
        <f>IF($E361="","",INDEX('Input Transaksi'!$A:$A,$E361))</f>
        <v/>
      </c>
      <c r="B361" s="5">
        <f>IF($E361="","",INDEX('Input Transaksi'!$D:$D,$E361))</f>
        <v/>
      </c>
      <c r="C361">
        <f>IF($E361="","",INDEX('Input Transaksi'!$E:$E,$E361))</f>
        <v/>
      </c>
      <c r="D361" s="5">
        <f>IF($E361="","",INDEX('Input Transaksi'!$F:$F,$E361))</f>
        <v/>
      </c>
      <c r="E361">
        <f>IFERROR(AGGREGATE(15,6,ROW('Input Transaksi'!$B$5:$B$5000)/('Input Transaksi'!$B$5:$B$5000="BALI WASH GALANG"),ROWS($E$5:E361)),"")</f>
        <v/>
      </c>
      <c r="F361" s="5" t="n"/>
    </row>
    <row r="362">
      <c r="A362" s="10">
        <f>IF($E362="","",INDEX('Input Transaksi'!$A:$A,$E362))</f>
        <v/>
      </c>
      <c r="B362" s="5">
        <f>IF($E362="","",INDEX('Input Transaksi'!$D:$D,$E362))</f>
        <v/>
      </c>
      <c r="C362">
        <f>IF($E362="","",INDEX('Input Transaksi'!$E:$E,$E362))</f>
        <v/>
      </c>
      <c r="D362" s="5">
        <f>IF($E362="","",INDEX('Input Transaksi'!$F:$F,$E362))</f>
        <v/>
      </c>
      <c r="E362">
        <f>IFERROR(AGGREGATE(15,6,ROW('Input Transaksi'!$B$5:$B$5000)/('Input Transaksi'!$B$5:$B$5000="BALI WASH GALANG"),ROWS($E$5:E362)),"")</f>
        <v/>
      </c>
      <c r="F362" s="5" t="n"/>
    </row>
    <row r="363">
      <c r="A363" s="10">
        <f>IF($E363="","",INDEX('Input Transaksi'!$A:$A,$E363))</f>
        <v/>
      </c>
      <c r="B363" s="5">
        <f>IF($E363="","",INDEX('Input Transaksi'!$D:$D,$E363))</f>
        <v/>
      </c>
      <c r="C363">
        <f>IF($E363="","",INDEX('Input Transaksi'!$E:$E,$E363))</f>
        <v/>
      </c>
      <c r="D363" s="5">
        <f>IF($E363="","",INDEX('Input Transaksi'!$F:$F,$E363))</f>
        <v/>
      </c>
      <c r="E363">
        <f>IFERROR(AGGREGATE(15,6,ROW('Input Transaksi'!$B$5:$B$5000)/('Input Transaksi'!$B$5:$B$5000="BALI WASH GALANG"),ROWS($E$5:E363)),"")</f>
        <v/>
      </c>
      <c r="F363" s="5" t="n"/>
    </row>
    <row r="364">
      <c r="A364" s="10">
        <f>IF($E364="","",INDEX('Input Transaksi'!$A:$A,$E364))</f>
        <v/>
      </c>
      <c r="B364" s="5">
        <f>IF($E364="","",INDEX('Input Transaksi'!$D:$D,$E364))</f>
        <v/>
      </c>
      <c r="C364">
        <f>IF($E364="","",INDEX('Input Transaksi'!$E:$E,$E364))</f>
        <v/>
      </c>
      <c r="D364" s="5">
        <f>IF($E364="","",INDEX('Input Transaksi'!$F:$F,$E364))</f>
        <v/>
      </c>
      <c r="E364">
        <f>IFERROR(AGGREGATE(15,6,ROW('Input Transaksi'!$B$5:$B$5000)/('Input Transaksi'!$B$5:$B$5000="BALI WASH GALANG"),ROWS($E$5:E364)),"")</f>
        <v/>
      </c>
      <c r="F364" s="5" t="n"/>
    </row>
    <row r="365">
      <c r="A365" s="10">
        <f>IF($E365="","",INDEX('Input Transaksi'!$A:$A,$E365))</f>
        <v/>
      </c>
      <c r="B365" s="5">
        <f>IF($E365="","",INDEX('Input Transaksi'!$D:$D,$E365))</f>
        <v/>
      </c>
      <c r="C365">
        <f>IF($E365="","",INDEX('Input Transaksi'!$E:$E,$E365))</f>
        <v/>
      </c>
      <c r="D365" s="5">
        <f>IF($E365="","",INDEX('Input Transaksi'!$F:$F,$E365))</f>
        <v/>
      </c>
      <c r="E365">
        <f>IFERROR(AGGREGATE(15,6,ROW('Input Transaksi'!$B$5:$B$5000)/('Input Transaksi'!$B$5:$B$5000="BALI WASH GALANG"),ROWS($E$5:E365)),"")</f>
        <v/>
      </c>
      <c r="F365" s="5" t="n"/>
    </row>
    <row r="366">
      <c r="A366" s="10">
        <f>IF($E366="","",INDEX('Input Transaksi'!$A:$A,$E366))</f>
        <v/>
      </c>
      <c r="B366" s="5">
        <f>IF($E366="","",INDEX('Input Transaksi'!$D:$D,$E366))</f>
        <v/>
      </c>
      <c r="C366">
        <f>IF($E366="","",INDEX('Input Transaksi'!$E:$E,$E366))</f>
        <v/>
      </c>
      <c r="D366" s="5">
        <f>IF($E366="","",INDEX('Input Transaksi'!$F:$F,$E366))</f>
        <v/>
      </c>
      <c r="E366">
        <f>IFERROR(AGGREGATE(15,6,ROW('Input Transaksi'!$B$5:$B$5000)/('Input Transaksi'!$B$5:$B$5000="BALI WASH GALANG"),ROWS($E$5:E366)),"")</f>
        <v/>
      </c>
      <c r="F366" s="5" t="n"/>
    </row>
    <row r="367">
      <c r="A367" s="10">
        <f>IF($E367="","",INDEX('Input Transaksi'!$A:$A,$E367))</f>
        <v/>
      </c>
      <c r="B367" s="5">
        <f>IF($E367="","",INDEX('Input Transaksi'!$D:$D,$E367))</f>
        <v/>
      </c>
      <c r="C367">
        <f>IF($E367="","",INDEX('Input Transaksi'!$E:$E,$E367))</f>
        <v/>
      </c>
      <c r="D367" s="5">
        <f>IF($E367="","",INDEX('Input Transaksi'!$F:$F,$E367))</f>
        <v/>
      </c>
      <c r="E367">
        <f>IFERROR(AGGREGATE(15,6,ROW('Input Transaksi'!$B$5:$B$5000)/('Input Transaksi'!$B$5:$B$5000="BALI WASH GALANG"),ROWS($E$5:E367)),"")</f>
        <v/>
      </c>
      <c r="F367" s="5" t="n"/>
    </row>
    <row r="368">
      <c r="A368" s="10">
        <f>IF($E368="","",INDEX('Input Transaksi'!$A:$A,$E368))</f>
        <v/>
      </c>
      <c r="B368" s="5">
        <f>IF($E368="","",INDEX('Input Transaksi'!$D:$D,$E368))</f>
        <v/>
      </c>
      <c r="C368">
        <f>IF($E368="","",INDEX('Input Transaksi'!$E:$E,$E368))</f>
        <v/>
      </c>
      <c r="D368" s="5">
        <f>IF($E368="","",INDEX('Input Transaksi'!$F:$F,$E368))</f>
        <v/>
      </c>
      <c r="E368">
        <f>IFERROR(AGGREGATE(15,6,ROW('Input Transaksi'!$B$5:$B$5000)/('Input Transaksi'!$B$5:$B$5000="BALI WASH GALANG"),ROWS($E$5:E368)),"")</f>
        <v/>
      </c>
      <c r="F368" s="5" t="n"/>
    </row>
    <row r="369">
      <c r="A369" s="10">
        <f>IF($E369="","",INDEX('Input Transaksi'!$A:$A,$E369))</f>
        <v/>
      </c>
      <c r="B369" s="5">
        <f>IF($E369="","",INDEX('Input Transaksi'!$D:$D,$E369))</f>
        <v/>
      </c>
      <c r="C369">
        <f>IF($E369="","",INDEX('Input Transaksi'!$E:$E,$E369))</f>
        <v/>
      </c>
      <c r="D369" s="5">
        <f>IF($E369="","",INDEX('Input Transaksi'!$F:$F,$E369))</f>
        <v/>
      </c>
      <c r="E369">
        <f>IFERROR(AGGREGATE(15,6,ROW('Input Transaksi'!$B$5:$B$5000)/('Input Transaksi'!$B$5:$B$5000="BALI WASH GALANG"),ROWS($E$5:E369)),"")</f>
        <v/>
      </c>
      <c r="F369" s="5" t="n"/>
    </row>
    <row r="370">
      <c r="A370" s="10">
        <f>IF($E370="","",INDEX('Input Transaksi'!$A:$A,$E370))</f>
        <v/>
      </c>
      <c r="B370" s="5">
        <f>IF($E370="","",INDEX('Input Transaksi'!$D:$D,$E370))</f>
        <v/>
      </c>
      <c r="C370">
        <f>IF($E370="","",INDEX('Input Transaksi'!$E:$E,$E370))</f>
        <v/>
      </c>
      <c r="D370" s="5">
        <f>IF($E370="","",INDEX('Input Transaksi'!$F:$F,$E370))</f>
        <v/>
      </c>
      <c r="E370">
        <f>IFERROR(AGGREGATE(15,6,ROW('Input Transaksi'!$B$5:$B$5000)/('Input Transaksi'!$B$5:$B$5000="BALI WASH GALANG"),ROWS($E$5:E370)),"")</f>
        <v/>
      </c>
      <c r="F370" s="5" t="n"/>
    </row>
    <row r="371">
      <c r="A371" s="10">
        <f>IF($E371="","",INDEX('Input Transaksi'!$A:$A,$E371))</f>
        <v/>
      </c>
      <c r="B371" s="5">
        <f>IF($E371="","",INDEX('Input Transaksi'!$D:$D,$E371))</f>
        <v/>
      </c>
      <c r="C371">
        <f>IF($E371="","",INDEX('Input Transaksi'!$E:$E,$E371))</f>
        <v/>
      </c>
      <c r="D371" s="5">
        <f>IF($E371="","",INDEX('Input Transaksi'!$F:$F,$E371))</f>
        <v/>
      </c>
      <c r="E371">
        <f>IFERROR(AGGREGATE(15,6,ROW('Input Transaksi'!$B$5:$B$5000)/('Input Transaksi'!$B$5:$B$5000="BALI WASH GALANG"),ROWS($E$5:E371)),"")</f>
        <v/>
      </c>
      <c r="F371" s="5" t="n"/>
    </row>
    <row r="372">
      <c r="A372" s="10">
        <f>IF($E372="","",INDEX('Input Transaksi'!$A:$A,$E372))</f>
        <v/>
      </c>
      <c r="B372" s="5">
        <f>IF($E372="","",INDEX('Input Transaksi'!$D:$D,$E372))</f>
        <v/>
      </c>
      <c r="C372">
        <f>IF($E372="","",INDEX('Input Transaksi'!$E:$E,$E372))</f>
        <v/>
      </c>
      <c r="D372" s="5">
        <f>IF($E372="","",INDEX('Input Transaksi'!$F:$F,$E372))</f>
        <v/>
      </c>
      <c r="E372">
        <f>IFERROR(AGGREGATE(15,6,ROW('Input Transaksi'!$B$5:$B$5000)/('Input Transaksi'!$B$5:$B$5000="BALI WASH GALANG"),ROWS($E$5:E372)),"")</f>
        <v/>
      </c>
      <c r="F372" s="5" t="n"/>
    </row>
    <row r="373">
      <c r="A373" s="10">
        <f>IF($E373="","",INDEX('Input Transaksi'!$A:$A,$E373))</f>
        <v/>
      </c>
      <c r="B373" s="5">
        <f>IF($E373="","",INDEX('Input Transaksi'!$D:$D,$E373))</f>
        <v/>
      </c>
      <c r="C373">
        <f>IF($E373="","",INDEX('Input Transaksi'!$E:$E,$E373))</f>
        <v/>
      </c>
      <c r="D373" s="5">
        <f>IF($E373="","",INDEX('Input Transaksi'!$F:$F,$E373))</f>
        <v/>
      </c>
      <c r="E373">
        <f>IFERROR(AGGREGATE(15,6,ROW('Input Transaksi'!$B$5:$B$5000)/('Input Transaksi'!$B$5:$B$5000="BALI WASH GALANG"),ROWS($E$5:E373)),"")</f>
        <v/>
      </c>
      <c r="F373" s="5" t="n"/>
    </row>
    <row r="374">
      <c r="A374" s="10">
        <f>IF($E374="","",INDEX('Input Transaksi'!$A:$A,$E374))</f>
        <v/>
      </c>
      <c r="B374" s="5">
        <f>IF($E374="","",INDEX('Input Transaksi'!$D:$D,$E374))</f>
        <v/>
      </c>
      <c r="C374">
        <f>IF($E374="","",INDEX('Input Transaksi'!$E:$E,$E374))</f>
        <v/>
      </c>
      <c r="D374" s="5">
        <f>IF($E374="","",INDEX('Input Transaksi'!$F:$F,$E374))</f>
        <v/>
      </c>
      <c r="E374">
        <f>IFERROR(AGGREGATE(15,6,ROW('Input Transaksi'!$B$5:$B$5000)/('Input Transaksi'!$B$5:$B$5000="BALI WASH GALANG"),ROWS($E$5:E374)),"")</f>
        <v/>
      </c>
      <c r="F374" s="5" t="n"/>
    </row>
    <row r="375">
      <c r="A375" s="10">
        <f>IF($E375="","",INDEX('Input Transaksi'!$A:$A,$E375))</f>
        <v/>
      </c>
      <c r="B375" s="5">
        <f>IF($E375="","",INDEX('Input Transaksi'!$D:$D,$E375))</f>
        <v/>
      </c>
      <c r="C375">
        <f>IF($E375="","",INDEX('Input Transaksi'!$E:$E,$E375))</f>
        <v/>
      </c>
      <c r="D375" s="5">
        <f>IF($E375="","",INDEX('Input Transaksi'!$F:$F,$E375))</f>
        <v/>
      </c>
      <c r="E375">
        <f>IFERROR(AGGREGATE(15,6,ROW('Input Transaksi'!$B$5:$B$5000)/('Input Transaksi'!$B$5:$B$5000="BALI WASH GALANG"),ROWS($E$5:E375)),"")</f>
        <v/>
      </c>
      <c r="F375" s="5" t="n"/>
    </row>
    <row r="376">
      <c r="A376" s="10">
        <f>IF($E376="","",INDEX('Input Transaksi'!$A:$A,$E376))</f>
        <v/>
      </c>
      <c r="B376" s="5">
        <f>IF($E376="","",INDEX('Input Transaksi'!$D:$D,$E376))</f>
        <v/>
      </c>
      <c r="C376">
        <f>IF($E376="","",INDEX('Input Transaksi'!$E:$E,$E376))</f>
        <v/>
      </c>
      <c r="D376" s="5">
        <f>IF($E376="","",INDEX('Input Transaksi'!$F:$F,$E376))</f>
        <v/>
      </c>
      <c r="E376">
        <f>IFERROR(AGGREGATE(15,6,ROW('Input Transaksi'!$B$5:$B$5000)/('Input Transaksi'!$B$5:$B$5000="BALI WASH GALANG"),ROWS($E$5:E376)),"")</f>
        <v/>
      </c>
      <c r="F376" s="5" t="n"/>
    </row>
    <row r="377">
      <c r="A377" s="10">
        <f>IF($E377="","",INDEX('Input Transaksi'!$A:$A,$E377))</f>
        <v/>
      </c>
      <c r="B377" s="5">
        <f>IF($E377="","",INDEX('Input Transaksi'!$D:$D,$E377))</f>
        <v/>
      </c>
      <c r="C377">
        <f>IF($E377="","",INDEX('Input Transaksi'!$E:$E,$E377))</f>
        <v/>
      </c>
      <c r="D377" s="5">
        <f>IF($E377="","",INDEX('Input Transaksi'!$F:$F,$E377))</f>
        <v/>
      </c>
      <c r="E377">
        <f>IFERROR(AGGREGATE(15,6,ROW('Input Transaksi'!$B$5:$B$5000)/('Input Transaksi'!$B$5:$B$5000="BALI WASH GALANG"),ROWS($E$5:E377)),"")</f>
        <v/>
      </c>
      <c r="F377" s="5" t="n"/>
    </row>
    <row r="378">
      <c r="A378" s="10">
        <f>IF($E378="","",INDEX('Input Transaksi'!$A:$A,$E378))</f>
        <v/>
      </c>
      <c r="B378" s="5">
        <f>IF($E378="","",INDEX('Input Transaksi'!$D:$D,$E378))</f>
        <v/>
      </c>
      <c r="C378">
        <f>IF($E378="","",INDEX('Input Transaksi'!$E:$E,$E378))</f>
        <v/>
      </c>
      <c r="D378" s="5">
        <f>IF($E378="","",INDEX('Input Transaksi'!$F:$F,$E378))</f>
        <v/>
      </c>
      <c r="E378">
        <f>IFERROR(AGGREGATE(15,6,ROW('Input Transaksi'!$B$5:$B$5000)/('Input Transaksi'!$B$5:$B$5000="BALI WASH GALANG"),ROWS($E$5:E378)),"")</f>
        <v/>
      </c>
      <c r="F378" s="5" t="n"/>
    </row>
    <row r="379">
      <c r="A379" s="10">
        <f>IF($E379="","",INDEX('Input Transaksi'!$A:$A,$E379))</f>
        <v/>
      </c>
      <c r="B379" s="5">
        <f>IF($E379="","",INDEX('Input Transaksi'!$D:$D,$E379))</f>
        <v/>
      </c>
      <c r="C379">
        <f>IF($E379="","",INDEX('Input Transaksi'!$E:$E,$E379))</f>
        <v/>
      </c>
      <c r="D379" s="5">
        <f>IF($E379="","",INDEX('Input Transaksi'!$F:$F,$E379))</f>
        <v/>
      </c>
      <c r="E379">
        <f>IFERROR(AGGREGATE(15,6,ROW('Input Transaksi'!$B$5:$B$5000)/('Input Transaksi'!$B$5:$B$5000="BALI WASH GALANG"),ROWS($E$5:E379)),"")</f>
        <v/>
      </c>
      <c r="F379" s="5" t="n"/>
    </row>
    <row r="380">
      <c r="A380" s="10">
        <f>IF($E380="","",INDEX('Input Transaksi'!$A:$A,$E380))</f>
        <v/>
      </c>
      <c r="B380" s="5">
        <f>IF($E380="","",INDEX('Input Transaksi'!$D:$D,$E380))</f>
        <v/>
      </c>
      <c r="C380">
        <f>IF($E380="","",INDEX('Input Transaksi'!$E:$E,$E380))</f>
        <v/>
      </c>
      <c r="D380" s="5">
        <f>IF($E380="","",INDEX('Input Transaksi'!$F:$F,$E380))</f>
        <v/>
      </c>
      <c r="E380">
        <f>IFERROR(AGGREGATE(15,6,ROW('Input Transaksi'!$B$5:$B$5000)/('Input Transaksi'!$B$5:$B$5000="BALI WASH GALANG"),ROWS($E$5:E380)),"")</f>
        <v/>
      </c>
      <c r="F380" s="5" t="n"/>
    </row>
    <row r="381">
      <c r="A381" s="10">
        <f>IF($E381="","",INDEX('Input Transaksi'!$A:$A,$E381))</f>
        <v/>
      </c>
      <c r="B381" s="5">
        <f>IF($E381="","",INDEX('Input Transaksi'!$D:$D,$E381))</f>
        <v/>
      </c>
      <c r="C381">
        <f>IF($E381="","",INDEX('Input Transaksi'!$E:$E,$E381))</f>
        <v/>
      </c>
      <c r="D381" s="5">
        <f>IF($E381="","",INDEX('Input Transaksi'!$F:$F,$E381))</f>
        <v/>
      </c>
      <c r="E381">
        <f>IFERROR(AGGREGATE(15,6,ROW('Input Transaksi'!$B$5:$B$5000)/('Input Transaksi'!$B$5:$B$5000="BALI WASH GALANG"),ROWS($E$5:E381)),"")</f>
        <v/>
      </c>
      <c r="F381" s="5" t="n"/>
    </row>
    <row r="382">
      <c r="A382" s="10">
        <f>IF($E382="","",INDEX('Input Transaksi'!$A:$A,$E382))</f>
        <v/>
      </c>
      <c r="B382" s="5">
        <f>IF($E382="","",INDEX('Input Transaksi'!$D:$D,$E382))</f>
        <v/>
      </c>
      <c r="C382">
        <f>IF($E382="","",INDEX('Input Transaksi'!$E:$E,$E382))</f>
        <v/>
      </c>
      <c r="D382" s="5">
        <f>IF($E382="","",INDEX('Input Transaksi'!$F:$F,$E382))</f>
        <v/>
      </c>
      <c r="E382">
        <f>IFERROR(AGGREGATE(15,6,ROW('Input Transaksi'!$B$5:$B$5000)/('Input Transaksi'!$B$5:$B$5000="BALI WASH GALANG"),ROWS($E$5:E382)),"")</f>
        <v/>
      </c>
      <c r="F382" s="5" t="n"/>
    </row>
    <row r="383">
      <c r="A383" s="10">
        <f>IF($E383="","",INDEX('Input Transaksi'!$A:$A,$E383))</f>
        <v/>
      </c>
      <c r="B383" s="5">
        <f>IF($E383="","",INDEX('Input Transaksi'!$D:$D,$E383))</f>
        <v/>
      </c>
      <c r="C383">
        <f>IF($E383="","",INDEX('Input Transaksi'!$E:$E,$E383))</f>
        <v/>
      </c>
      <c r="D383" s="5">
        <f>IF($E383="","",INDEX('Input Transaksi'!$F:$F,$E383))</f>
        <v/>
      </c>
      <c r="E383">
        <f>IFERROR(AGGREGATE(15,6,ROW('Input Transaksi'!$B$5:$B$5000)/('Input Transaksi'!$B$5:$B$5000="BALI WASH GALANG"),ROWS($E$5:E383)),"")</f>
        <v/>
      </c>
      <c r="F383" s="5" t="n"/>
    </row>
    <row r="384">
      <c r="A384" s="10">
        <f>IF($E384="","",INDEX('Input Transaksi'!$A:$A,$E384))</f>
        <v/>
      </c>
      <c r="B384" s="5">
        <f>IF($E384="","",INDEX('Input Transaksi'!$D:$D,$E384))</f>
        <v/>
      </c>
      <c r="C384">
        <f>IF($E384="","",INDEX('Input Transaksi'!$E:$E,$E384))</f>
        <v/>
      </c>
      <c r="D384" s="5">
        <f>IF($E384="","",INDEX('Input Transaksi'!$F:$F,$E384))</f>
        <v/>
      </c>
      <c r="E384">
        <f>IFERROR(AGGREGATE(15,6,ROW('Input Transaksi'!$B$5:$B$5000)/('Input Transaksi'!$B$5:$B$5000="BALI WASH GALANG"),ROWS($E$5:E384)),"")</f>
        <v/>
      </c>
      <c r="F384" s="5" t="n"/>
    </row>
    <row r="385">
      <c r="A385" s="10">
        <f>IF($E385="","",INDEX('Input Transaksi'!$A:$A,$E385))</f>
        <v/>
      </c>
      <c r="B385" s="5">
        <f>IF($E385="","",INDEX('Input Transaksi'!$D:$D,$E385))</f>
        <v/>
      </c>
      <c r="C385">
        <f>IF($E385="","",INDEX('Input Transaksi'!$E:$E,$E385))</f>
        <v/>
      </c>
      <c r="D385" s="5">
        <f>IF($E385="","",INDEX('Input Transaksi'!$F:$F,$E385))</f>
        <v/>
      </c>
      <c r="E385">
        <f>IFERROR(AGGREGATE(15,6,ROW('Input Transaksi'!$B$5:$B$5000)/('Input Transaksi'!$B$5:$B$5000="BALI WASH GALANG"),ROWS($E$5:E385)),"")</f>
        <v/>
      </c>
      <c r="F385" s="5" t="n"/>
    </row>
    <row r="386">
      <c r="A386" s="10">
        <f>IF($E386="","",INDEX('Input Transaksi'!$A:$A,$E386))</f>
        <v/>
      </c>
      <c r="B386" s="5">
        <f>IF($E386="","",INDEX('Input Transaksi'!$D:$D,$E386))</f>
        <v/>
      </c>
      <c r="C386">
        <f>IF($E386="","",INDEX('Input Transaksi'!$E:$E,$E386))</f>
        <v/>
      </c>
      <c r="D386" s="5">
        <f>IF($E386="","",INDEX('Input Transaksi'!$F:$F,$E386))</f>
        <v/>
      </c>
      <c r="E386">
        <f>IFERROR(AGGREGATE(15,6,ROW('Input Transaksi'!$B$5:$B$5000)/('Input Transaksi'!$B$5:$B$5000="BALI WASH GALANG"),ROWS($E$5:E386)),"")</f>
        <v/>
      </c>
      <c r="F386" s="5" t="n"/>
    </row>
    <row r="387">
      <c r="A387" s="10">
        <f>IF($E387="","",INDEX('Input Transaksi'!$A:$A,$E387))</f>
        <v/>
      </c>
      <c r="B387" s="5">
        <f>IF($E387="","",INDEX('Input Transaksi'!$D:$D,$E387))</f>
        <v/>
      </c>
      <c r="C387">
        <f>IF($E387="","",INDEX('Input Transaksi'!$E:$E,$E387))</f>
        <v/>
      </c>
      <c r="D387" s="5">
        <f>IF($E387="","",INDEX('Input Transaksi'!$F:$F,$E387))</f>
        <v/>
      </c>
      <c r="E387">
        <f>IFERROR(AGGREGATE(15,6,ROW('Input Transaksi'!$B$5:$B$5000)/('Input Transaksi'!$B$5:$B$5000="BALI WASH GALANG"),ROWS($E$5:E387)),"")</f>
        <v/>
      </c>
      <c r="F387" s="5" t="n"/>
    </row>
    <row r="388">
      <c r="A388" s="10">
        <f>IF($E388="","",INDEX('Input Transaksi'!$A:$A,$E388))</f>
        <v/>
      </c>
      <c r="B388" s="5">
        <f>IF($E388="","",INDEX('Input Transaksi'!$D:$D,$E388))</f>
        <v/>
      </c>
      <c r="C388">
        <f>IF($E388="","",INDEX('Input Transaksi'!$E:$E,$E388))</f>
        <v/>
      </c>
      <c r="D388" s="5">
        <f>IF($E388="","",INDEX('Input Transaksi'!$F:$F,$E388))</f>
        <v/>
      </c>
      <c r="E388">
        <f>IFERROR(AGGREGATE(15,6,ROW('Input Transaksi'!$B$5:$B$5000)/('Input Transaksi'!$B$5:$B$5000="BALI WASH GALANG"),ROWS($E$5:E388)),"")</f>
        <v/>
      </c>
      <c r="F388" s="5" t="n"/>
    </row>
    <row r="389">
      <c r="A389" s="10">
        <f>IF($E389="","",INDEX('Input Transaksi'!$A:$A,$E389))</f>
        <v/>
      </c>
      <c r="B389" s="5">
        <f>IF($E389="","",INDEX('Input Transaksi'!$D:$D,$E389))</f>
        <v/>
      </c>
      <c r="C389">
        <f>IF($E389="","",INDEX('Input Transaksi'!$E:$E,$E389))</f>
        <v/>
      </c>
      <c r="D389" s="5">
        <f>IF($E389="","",INDEX('Input Transaksi'!$F:$F,$E389))</f>
        <v/>
      </c>
      <c r="E389">
        <f>IFERROR(AGGREGATE(15,6,ROW('Input Transaksi'!$B$5:$B$5000)/('Input Transaksi'!$B$5:$B$5000="BALI WASH GALANG"),ROWS($E$5:E389)),"")</f>
        <v/>
      </c>
      <c r="F389" s="5" t="n"/>
    </row>
    <row r="390">
      <c r="A390" s="10">
        <f>IF($E390="","",INDEX('Input Transaksi'!$A:$A,$E390))</f>
        <v/>
      </c>
      <c r="B390" s="5">
        <f>IF($E390="","",INDEX('Input Transaksi'!$D:$D,$E390))</f>
        <v/>
      </c>
      <c r="C390">
        <f>IF($E390="","",INDEX('Input Transaksi'!$E:$E,$E390))</f>
        <v/>
      </c>
      <c r="D390" s="5">
        <f>IF($E390="","",INDEX('Input Transaksi'!$F:$F,$E390))</f>
        <v/>
      </c>
      <c r="E390">
        <f>IFERROR(AGGREGATE(15,6,ROW('Input Transaksi'!$B$5:$B$5000)/('Input Transaksi'!$B$5:$B$5000="BALI WASH GALANG"),ROWS($E$5:E390)),"")</f>
        <v/>
      </c>
      <c r="F390" s="5" t="n"/>
    </row>
    <row r="391">
      <c r="A391" s="10">
        <f>IF($E391="","",INDEX('Input Transaksi'!$A:$A,$E391))</f>
        <v/>
      </c>
      <c r="B391" s="5">
        <f>IF($E391="","",INDEX('Input Transaksi'!$D:$D,$E391))</f>
        <v/>
      </c>
      <c r="C391">
        <f>IF($E391="","",INDEX('Input Transaksi'!$E:$E,$E391))</f>
        <v/>
      </c>
      <c r="D391" s="5">
        <f>IF($E391="","",INDEX('Input Transaksi'!$F:$F,$E391))</f>
        <v/>
      </c>
      <c r="E391">
        <f>IFERROR(AGGREGATE(15,6,ROW('Input Transaksi'!$B$5:$B$5000)/('Input Transaksi'!$B$5:$B$5000="BALI WASH GALANG"),ROWS($E$5:E391)),"")</f>
        <v/>
      </c>
      <c r="F391" s="5" t="n"/>
    </row>
    <row r="392">
      <c r="A392" s="10">
        <f>IF($E392="","",INDEX('Input Transaksi'!$A:$A,$E392))</f>
        <v/>
      </c>
      <c r="B392" s="5">
        <f>IF($E392="","",INDEX('Input Transaksi'!$D:$D,$E392))</f>
        <v/>
      </c>
      <c r="C392">
        <f>IF($E392="","",INDEX('Input Transaksi'!$E:$E,$E392))</f>
        <v/>
      </c>
      <c r="D392" s="5">
        <f>IF($E392="","",INDEX('Input Transaksi'!$F:$F,$E392))</f>
        <v/>
      </c>
      <c r="E392">
        <f>IFERROR(AGGREGATE(15,6,ROW('Input Transaksi'!$B$5:$B$5000)/('Input Transaksi'!$B$5:$B$5000="BALI WASH GALANG"),ROWS($E$5:E392)),"")</f>
        <v/>
      </c>
      <c r="F392" s="5" t="n"/>
    </row>
    <row r="393">
      <c r="A393" s="10">
        <f>IF($E393="","",INDEX('Input Transaksi'!$A:$A,$E393))</f>
        <v/>
      </c>
      <c r="B393" s="5">
        <f>IF($E393="","",INDEX('Input Transaksi'!$D:$D,$E393))</f>
        <v/>
      </c>
      <c r="C393">
        <f>IF($E393="","",INDEX('Input Transaksi'!$E:$E,$E393))</f>
        <v/>
      </c>
      <c r="D393" s="5">
        <f>IF($E393="","",INDEX('Input Transaksi'!$F:$F,$E393))</f>
        <v/>
      </c>
      <c r="E393">
        <f>IFERROR(AGGREGATE(15,6,ROW('Input Transaksi'!$B$5:$B$5000)/('Input Transaksi'!$B$5:$B$5000="BALI WASH GALANG"),ROWS($E$5:E393)),"")</f>
        <v/>
      </c>
      <c r="F393" s="5" t="n"/>
    </row>
    <row r="394">
      <c r="A394" s="10">
        <f>IF($E394="","",INDEX('Input Transaksi'!$A:$A,$E394))</f>
        <v/>
      </c>
      <c r="B394" s="5">
        <f>IF($E394="","",INDEX('Input Transaksi'!$D:$D,$E394))</f>
        <v/>
      </c>
      <c r="C394">
        <f>IF($E394="","",INDEX('Input Transaksi'!$E:$E,$E394))</f>
        <v/>
      </c>
      <c r="D394" s="5">
        <f>IF($E394="","",INDEX('Input Transaksi'!$F:$F,$E394))</f>
        <v/>
      </c>
      <c r="E394">
        <f>IFERROR(AGGREGATE(15,6,ROW('Input Transaksi'!$B$5:$B$5000)/('Input Transaksi'!$B$5:$B$5000="BALI WASH GALANG"),ROWS($E$5:E394)),"")</f>
        <v/>
      </c>
      <c r="F394" s="5" t="n"/>
    </row>
    <row r="395">
      <c r="A395" s="10">
        <f>IF($E395="","",INDEX('Input Transaksi'!$A:$A,$E395))</f>
        <v/>
      </c>
      <c r="B395" s="5">
        <f>IF($E395="","",INDEX('Input Transaksi'!$D:$D,$E395))</f>
        <v/>
      </c>
      <c r="C395">
        <f>IF($E395="","",INDEX('Input Transaksi'!$E:$E,$E395))</f>
        <v/>
      </c>
      <c r="D395" s="5">
        <f>IF($E395="","",INDEX('Input Transaksi'!$F:$F,$E395))</f>
        <v/>
      </c>
      <c r="E395">
        <f>IFERROR(AGGREGATE(15,6,ROW('Input Transaksi'!$B$5:$B$5000)/('Input Transaksi'!$B$5:$B$5000="BALI WASH GALANG"),ROWS($E$5:E395)),"")</f>
        <v/>
      </c>
      <c r="F395" s="5" t="n"/>
    </row>
    <row r="396">
      <c r="A396" s="10">
        <f>IF($E396="","",INDEX('Input Transaksi'!$A:$A,$E396))</f>
        <v/>
      </c>
      <c r="B396" s="5">
        <f>IF($E396="","",INDEX('Input Transaksi'!$D:$D,$E396))</f>
        <v/>
      </c>
      <c r="C396">
        <f>IF($E396="","",INDEX('Input Transaksi'!$E:$E,$E396))</f>
        <v/>
      </c>
      <c r="D396" s="5">
        <f>IF($E396="","",INDEX('Input Transaksi'!$F:$F,$E396))</f>
        <v/>
      </c>
      <c r="E396">
        <f>IFERROR(AGGREGATE(15,6,ROW('Input Transaksi'!$B$5:$B$5000)/('Input Transaksi'!$B$5:$B$5000="BALI WASH GALANG"),ROWS($E$5:E396)),"")</f>
        <v/>
      </c>
      <c r="F396" s="5" t="n"/>
    </row>
    <row r="397">
      <c r="A397" s="10">
        <f>IF($E397="","",INDEX('Input Transaksi'!$A:$A,$E397))</f>
        <v/>
      </c>
      <c r="B397" s="5">
        <f>IF($E397="","",INDEX('Input Transaksi'!$D:$D,$E397))</f>
        <v/>
      </c>
      <c r="C397">
        <f>IF($E397="","",INDEX('Input Transaksi'!$E:$E,$E397))</f>
        <v/>
      </c>
      <c r="D397" s="5">
        <f>IF($E397="","",INDEX('Input Transaksi'!$F:$F,$E397))</f>
        <v/>
      </c>
      <c r="E397">
        <f>IFERROR(AGGREGATE(15,6,ROW('Input Transaksi'!$B$5:$B$5000)/('Input Transaksi'!$B$5:$B$5000="BALI WASH GALANG"),ROWS($E$5:E397)),"")</f>
        <v/>
      </c>
      <c r="F397" s="5" t="n"/>
    </row>
    <row r="398">
      <c r="A398" s="10">
        <f>IF($E398="","",INDEX('Input Transaksi'!$A:$A,$E398))</f>
        <v/>
      </c>
      <c r="B398" s="5">
        <f>IF($E398="","",INDEX('Input Transaksi'!$D:$D,$E398))</f>
        <v/>
      </c>
      <c r="C398">
        <f>IF($E398="","",INDEX('Input Transaksi'!$E:$E,$E398))</f>
        <v/>
      </c>
      <c r="D398" s="5">
        <f>IF($E398="","",INDEX('Input Transaksi'!$F:$F,$E398))</f>
        <v/>
      </c>
      <c r="E398">
        <f>IFERROR(AGGREGATE(15,6,ROW('Input Transaksi'!$B$5:$B$5000)/('Input Transaksi'!$B$5:$B$5000="BALI WASH GALANG"),ROWS($E$5:E398)),"")</f>
        <v/>
      </c>
      <c r="F398" s="5" t="n"/>
    </row>
    <row r="399">
      <c r="A399" s="10">
        <f>IF($E399="","",INDEX('Input Transaksi'!$A:$A,$E399))</f>
        <v/>
      </c>
      <c r="B399" s="5">
        <f>IF($E399="","",INDEX('Input Transaksi'!$D:$D,$E399))</f>
        <v/>
      </c>
      <c r="C399">
        <f>IF($E399="","",INDEX('Input Transaksi'!$E:$E,$E399))</f>
        <v/>
      </c>
      <c r="D399" s="5">
        <f>IF($E399="","",INDEX('Input Transaksi'!$F:$F,$E399))</f>
        <v/>
      </c>
      <c r="E399">
        <f>IFERROR(AGGREGATE(15,6,ROW('Input Transaksi'!$B$5:$B$5000)/('Input Transaksi'!$B$5:$B$5000="BALI WASH GALANG"),ROWS($E$5:E399)),"")</f>
        <v/>
      </c>
      <c r="F399" s="5" t="n"/>
    </row>
    <row r="400">
      <c r="A400" s="10">
        <f>IF($E400="","",INDEX('Input Transaksi'!$A:$A,$E400))</f>
        <v/>
      </c>
      <c r="B400" s="5">
        <f>IF($E400="","",INDEX('Input Transaksi'!$D:$D,$E400))</f>
        <v/>
      </c>
      <c r="C400">
        <f>IF($E400="","",INDEX('Input Transaksi'!$E:$E,$E400))</f>
        <v/>
      </c>
      <c r="D400" s="5">
        <f>IF($E400="","",INDEX('Input Transaksi'!$F:$F,$E400))</f>
        <v/>
      </c>
      <c r="E400">
        <f>IFERROR(AGGREGATE(15,6,ROW('Input Transaksi'!$B$5:$B$5000)/('Input Transaksi'!$B$5:$B$5000="BALI WASH GALANG"),ROWS($E$5:E400)),"")</f>
        <v/>
      </c>
      <c r="F400" s="5" t="n"/>
    </row>
    <row r="401">
      <c r="A401" s="10">
        <f>IF($E401="","",INDEX('Input Transaksi'!$A:$A,$E401))</f>
        <v/>
      </c>
      <c r="B401" s="5">
        <f>IF($E401="","",INDEX('Input Transaksi'!$D:$D,$E401))</f>
        <v/>
      </c>
      <c r="C401">
        <f>IF($E401="","",INDEX('Input Transaksi'!$E:$E,$E401))</f>
        <v/>
      </c>
      <c r="D401" s="5">
        <f>IF($E401="","",INDEX('Input Transaksi'!$F:$F,$E401))</f>
        <v/>
      </c>
      <c r="E401">
        <f>IFERROR(AGGREGATE(15,6,ROW('Input Transaksi'!$B$5:$B$5000)/('Input Transaksi'!$B$5:$B$5000="BALI WASH GALANG"),ROWS($E$5:E401)),"")</f>
        <v/>
      </c>
      <c r="F401" s="5" t="n"/>
    </row>
    <row r="402">
      <c r="A402" s="10">
        <f>IF($E402="","",INDEX('Input Transaksi'!$A:$A,$E402))</f>
        <v/>
      </c>
      <c r="B402" s="5">
        <f>IF($E402="","",INDEX('Input Transaksi'!$D:$D,$E402))</f>
        <v/>
      </c>
      <c r="C402">
        <f>IF($E402="","",INDEX('Input Transaksi'!$E:$E,$E402))</f>
        <v/>
      </c>
      <c r="D402" s="5">
        <f>IF($E402="","",INDEX('Input Transaksi'!$F:$F,$E402))</f>
        <v/>
      </c>
      <c r="E402">
        <f>IFERROR(AGGREGATE(15,6,ROW('Input Transaksi'!$B$5:$B$5000)/('Input Transaksi'!$B$5:$B$5000="BALI WASH GALANG"),ROWS($E$5:E402)),"")</f>
        <v/>
      </c>
      <c r="F402" s="5" t="n"/>
    </row>
    <row r="403">
      <c r="A403" s="10">
        <f>IF($E403="","",INDEX('Input Transaksi'!$A:$A,$E403))</f>
        <v/>
      </c>
      <c r="B403" s="5">
        <f>IF($E403="","",INDEX('Input Transaksi'!$D:$D,$E403))</f>
        <v/>
      </c>
      <c r="C403">
        <f>IF($E403="","",INDEX('Input Transaksi'!$E:$E,$E403))</f>
        <v/>
      </c>
      <c r="D403" s="5">
        <f>IF($E403="","",INDEX('Input Transaksi'!$F:$F,$E403))</f>
        <v/>
      </c>
      <c r="E403">
        <f>IFERROR(AGGREGATE(15,6,ROW('Input Transaksi'!$B$5:$B$5000)/('Input Transaksi'!$B$5:$B$5000="BALI WASH GALANG"),ROWS($E$5:E403)),"")</f>
        <v/>
      </c>
      <c r="F403" s="5" t="n"/>
    </row>
    <row r="404">
      <c r="A404" s="10">
        <f>IF($E404="","",INDEX('Input Transaksi'!$A:$A,$E404))</f>
        <v/>
      </c>
      <c r="B404" s="5">
        <f>IF($E404="","",INDEX('Input Transaksi'!$D:$D,$E404))</f>
        <v/>
      </c>
      <c r="C404">
        <f>IF($E404="","",INDEX('Input Transaksi'!$E:$E,$E404))</f>
        <v/>
      </c>
      <c r="D404" s="5">
        <f>IF($E404="","",INDEX('Input Transaksi'!$F:$F,$E404))</f>
        <v/>
      </c>
      <c r="E404">
        <f>IFERROR(AGGREGATE(15,6,ROW('Input Transaksi'!$B$5:$B$5000)/('Input Transaksi'!$B$5:$B$5000="BALI WASH GALANG"),ROWS($E$5:E404)),"")</f>
        <v/>
      </c>
      <c r="F404" s="5" t="n"/>
    </row>
    <row r="405">
      <c r="A405" s="10">
        <f>IF($E405="","",INDEX('Input Transaksi'!$A:$A,$E405))</f>
        <v/>
      </c>
      <c r="B405" s="5">
        <f>IF($E405="","",INDEX('Input Transaksi'!$D:$D,$E405))</f>
        <v/>
      </c>
      <c r="C405">
        <f>IF($E405="","",INDEX('Input Transaksi'!$E:$E,$E405))</f>
        <v/>
      </c>
      <c r="D405" s="5">
        <f>IF($E405="","",INDEX('Input Transaksi'!$F:$F,$E405))</f>
        <v/>
      </c>
      <c r="E405">
        <f>IFERROR(AGGREGATE(15,6,ROW('Input Transaksi'!$B$5:$B$5000)/('Input Transaksi'!$B$5:$B$5000="BALI WASH GALANG"),ROWS($E$5:E405)),"")</f>
        <v/>
      </c>
      <c r="F405" s="5" t="n"/>
    </row>
    <row r="406">
      <c r="A406" s="10">
        <f>IF($E406="","",INDEX('Input Transaksi'!$A:$A,$E406))</f>
        <v/>
      </c>
      <c r="B406" s="5">
        <f>IF($E406="","",INDEX('Input Transaksi'!$D:$D,$E406))</f>
        <v/>
      </c>
      <c r="C406">
        <f>IF($E406="","",INDEX('Input Transaksi'!$E:$E,$E406))</f>
        <v/>
      </c>
      <c r="D406" s="5">
        <f>IF($E406="","",INDEX('Input Transaksi'!$F:$F,$E406))</f>
        <v/>
      </c>
      <c r="E406">
        <f>IFERROR(AGGREGATE(15,6,ROW('Input Transaksi'!$B$5:$B$5000)/('Input Transaksi'!$B$5:$B$5000="BALI WASH GALANG"),ROWS($E$5:E406)),"")</f>
        <v/>
      </c>
      <c r="F406" s="5" t="n"/>
    </row>
    <row r="407">
      <c r="A407" s="10">
        <f>IF($E407="","",INDEX('Input Transaksi'!$A:$A,$E407))</f>
        <v/>
      </c>
      <c r="B407" s="5">
        <f>IF($E407="","",INDEX('Input Transaksi'!$D:$D,$E407))</f>
        <v/>
      </c>
      <c r="C407">
        <f>IF($E407="","",INDEX('Input Transaksi'!$E:$E,$E407))</f>
        <v/>
      </c>
      <c r="D407" s="5">
        <f>IF($E407="","",INDEX('Input Transaksi'!$F:$F,$E407))</f>
        <v/>
      </c>
      <c r="E407">
        <f>IFERROR(AGGREGATE(15,6,ROW('Input Transaksi'!$B$5:$B$5000)/('Input Transaksi'!$B$5:$B$5000="BALI WASH GALANG"),ROWS($E$5:E407)),"")</f>
        <v/>
      </c>
      <c r="F407" s="5" t="n"/>
    </row>
    <row r="408">
      <c r="A408" s="10">
        <f>IF($E408="","",INDEX('Input Transaksi'!$A:$A,$E408))</f>
        <v/>
      </c>
      <c r="B408" s="5">
        <f>IF($E408="","",INDEX('Input Transaksi'!$D:$D,$E408))</f>
        <v/>
      </c>
      <c r="C408">
        <f>IF($E408="","",INDEX('Input Transaksi'!$E:$E,$E408))</f>
        <v/>
      </c>
      <c r="D408" s="5">
        <f>IF($E408="","",INDEX('Input Transaksi'!$F:$F,$E408))</f>
        <v/>
      </c>
      <c r="E408">
        <f>IFERROR(AGGREGATE(15,6,ROW('Input Transaksi'!$B$5:$B$5000)/('Input Transaksi'!$B$5:$B$5000="BALI WASH GALANG"),ROWS($E$5:E408)),"")</f>
        <v/>
      </c>
      <c r="F408" s="5" t="n"/>
    </row>
    <row r="409">
      <c r="A409" s="10">
        <f>IF($E409="","",INDEX('Input Transaksi'!$A:$A,$E409))</f>
        <v/>
      </c>
      <c r="B409" s="5">
        <f>IF($E409="","",INDEX('Input Transaksi'!$D:$D,$E409))</f>
        <v/>
      </c>
      <c r="C409">
        <f>IF($E409="","",INDEX('Input Transaksi'!$E:$E,$E409))</f>
        <v/>
      </c>
      <c r="D409" s="5">
        <f>IF($E409="","",INDEX('Input Transaksi'!$F:$F,$E409))</f>
        <v/>
      </c>
      <c r="E409">
        <f>IFERROR(AGGREGATE(15,6,ROW('Input Transaksi'!$B$5:$B$5000)/('Input Transaksi'!$B$5:$B$5000="BALI WASH GALANG"),ROWS($E$5:E409)),"")</f>
        <v/>
      </c>
      <c r="F409" s="5" t="n"/>
    </row>
    <row r="410">
      <c r="A410" s="10">
        <f>IF($E410="","",INDEX('Input Transaksi'!$A:$A,$E410))</f>
        <v/>
      </c>
      <c r="B410" s="5">
        <f>IF($E410="","",INDEX('Input Transaksi'!$D:$D,$E410))</f>
        <v/>
      </c>
      <c r="C410">
        <f>IF($E410="","",INDEX('Input Transaksi'!$E:$E,$E410))</f>
        <v/>
      </c>
      <c r="D410" s="5">
        <f>IF($E410="","",INDEX('Input Transaksi'!$F:$F,$E410))</f>
        <v/>
      </c>
      <c r="E410">
        <f>IFERROR(AGGREGATE(15,6,ROW('Input Transaksi'!$B$5:$B$5000)/('Input Transaksi'!$B$5:$B$5000="BALI WASH GALANG"),ROWS($E$5:E410)),"")</f>
        <v/>
      </c>
      <c r="F410" s="5" t="n"/>
    </row>
    <row r="411">
      <c r="A411" s="10">
        <f>IF($E411="","",INDEX('Input Transaksi'!$A:$A,$E411))</f>
        <v/>
      </c>
      <c r="B411" s="5">
        <f>IF($E411="","",INDEX('Input Transaksi'!$D:$D,$E411))</f>
        <v/>
      </c>
      <c r="C411">
        <f>IF($E411="","",INDEX('Input Transaksi'!$E:$E,$E411))</f>
        <v/>
      </c>
      <c r="D411" s="5">
        <f>IF($E411="","",INDEX('Input Transaksi'!$F:$F,$E411))</f>
        <v/>
      </c>
      <c r="E411">
        <f>IFERROR(AGGREGATE(15,6,ROW('Input Transaksi'!$B$5:$B$5000)/('Input Transaksi'!$B$5:$B$5000="BALI WASH GALANG"),ROWS($E$5:E411)),"")</f>
        <v/>
      </c>
      <c r="F411" s="5" t="n"/>
    </row>
    <row r="412">
      <c r="A412" s="10">
        <f>IF($E412="","",INDEX('Input Transaksi'!$A:$A,$E412))</f>
        <v/>
      </c>
      <c r="B412" s="5">
        <f>IF($E412="","",INDEX('Input Transaksi'!$D:$D,$E412))</f>
        <v/>
      </c>
      <c r="C412">
        <f>IF($E412="","",INDEX('Input Transaksi'!$E:$E,$E412))</f>
        <v/>
      </c>
      <c r="D412" s="5">
        <f>IF($E412="","",INDEX('Input Transaksi'!$F:$F,$E412))</f>
        <v/>
      </c>
      <c r="E412">
        <f>IFERROR(AGGREGATE(15,6,ROW('Input Transaksi'!$B$5:$B$5000)/('Input Transaksi'!$B$5:$B$5000="BALI WASH GALANG"),ROWS($E$5:E412)),"")</f>
        <v/>
      </c>
      <c r="F412" s="5" t="n"/>
    </row>
    <row r="413">
      <c r="A413" s="10">
        <f>IF($E413="","",INDEX('Input Transaksi'!$A:$A,$E413))</f>
        <v/>
      </c>
      <c r="B413" s="5">
        <f>IF($E413="","",INDEX('Input Transaksi'!$D:$D,$E413))</f>
        <v/>
      </c>
      <c r="C413">
        <f>IF($E413="","",INDEX('Input Transaksi'!$E:$E,$E413))</f>
        <v/>
      </c>
      <c r="D413" s="5">
        <f>IF($E413="","",INDEX('Input Transaksi'!$F:$F,$E413))</f>
        <v/>
      </c>
      <c r="E413">
        <f>IFERROR(AGGREGATE(15,6,ROW('Input Transaksi'!$B$5:$B$5000)/('Input Transaksi'!$B$5:$B$5000="BALI WASH GALANG"),ROWS($E$5:E413)),"")</f>
        <v/>
      </c>
      <c r="F413" s="5" t="n"/>
    </row>
    <row r="414">
      <c r="A414" s="10">
        <f>IF($E414="","",INDEX('Input Transaksi'!$A:$A,$E414))</f>
        <v/>
      </c>
      <c r="B414" s="5">
        <f>IF($E414="","",INDEX('Input Transaksi'!$D:$D,$E414))</f>
        <v/>
      </c>
      <c r="C414">
        <f>IF($E414="","",INDEX('Input Transaksi'!$E:$E,$E414))</f>
        <v/>
      </c>
      <c r="D414" s="5">
        <f>IF($E414="","",INDEX('Input Transaksi'!$F:$F,$E414))</f>
        <v/>
      </c>
      <c r="E414">
        <f>IFERROR(AGGREGATE(15,6,ROW('Input Transaksi'!$B$5:$B$5000)/('Input Transaksi'!$B$5:$B$5000="BALI WASH GALANG"),ROWS($E$5:E414)),"")</f>
        <v/>
      </c>
      <c r="F414" s="5" t="n"/>
    </row>
    <row r="415">
      <c r="A415" s="10">
        <f>IF($E415="","",INDEX('Input Transaksi'!$A:$A,$E415))</f>
        <v/>
      </c>
      <c r="B415" s="5">
        <f>IF($E415="","",INDEX('Input Transaksi'!$D:$D,$E415))</f>
        <v/>
      </c>
      <c r="C415">
        <f>IF($E415="","",INDEX('Input Transaksi'!$E:$E,$E415))</f>
        <v/>
      </c>
      <c r="D415" s="5">
        <f>IF($E415="","",INDEX('Input Transaksi'!$F:$F,$E415))</f>
        <v/>
      </c>
      <c r="E415">
        <f>IFERROR(AGGREGATE(15,6,ROW('Input Transaksi'!$B$5:$B$5000)/('Input Transaksi'!$B$5:$B$5000="BALI WASH GALANG"),ROWS($E$5:E415)),"")</f>
        <v/>
      </c>
      <c r="F415" s="5" t="n"/>
    </row>
    <row r="416">
      <c r="A416" s="10">
        <f>IF($E416="","",INDEX('Input Transaksi'!$A:$A,$E416))</f>
        <v/>
      </c>
      <c r="B416" s="5">
        <f>IF($E416="","",INDEX('Input Transaksi'!$D:$D,$E416))</f>
        <v/>
      </c>
      <c r="C416">
        <f>IF($E416="","",INDEX('Input Transaksi'!$E:$E,$E416))</f>
        <v/>
      </c>
      <c r="D416" s="5">
        <f>IF($E416="","",INDEX('Input Transaksi'!$F:$F,$E416))</f>
        <v/>
      </c>
      <c r="E416">
        <f>IFERROR(AGGREGATE(15,6,ROW('Input Transaksi'!$B$5:$B$5000)/('Input Transaksi'!$B$5:$B$5000="BALI WASH GALANG"),ROWS($E$5:E416)),"")</f>
        <v/>
      </c>
      <c r="F416" s="5" t="n"/>
    </row>
    <row r="417">
      <c r="A417" s="10">
        <f>IF($E417="","",INDEX('Input Transaksi'!$A:$A,$E417))</f>
        <v/>
      </c>
      <c r="B417" s="5">
        <f>IF($E417="","",INDEX('Input Transaksi'!$D:$D,$E417))</f>
        <v/>
      </c>
      <c r="C417">
        <f>IF($E417="","",INDEX('Input Transaksi'!$E:$E,$E417))</f>
        <v/>
      </c>
      <c r="D417" s="5">
        <f>IF($E417="","",INDEX('Input Transaksi'!$F:$F,$E417))</f>
        <v/>
      </c>
      <c r="E417">
        <f>IFERROR(AGGREGATE(15,6,ROW('Input Transaksi'!$B$5:$B$5000)/('Input Transaksi'!$B$5:$B$5000="BALI WASH GALANG"),ROWS($E$5:E417)),"")</f>
        <v/>
      </c>
      <c r="F417" s="5" t="n"/>
    </row>
    <row r="418">
      <c r="A418" s="10">
        <f>IF($E418="","",INDEX('Input Transaksi'!$A:$A,$E418))</f>
        <v/>
      </c>
      <c r="B418" s="5">
        <f>IF($E418="","",INDEX('Input Transaksi'!$D:$D,$E418))</f>
        <v/>
      </c>
      <c r="C418">
        <f>IF($E418="","",INDEX('Input Transaksi'!$E:$E,$E418))</f>
        <v/>
      </c>
      <c r="D418" s="5">
        <f>IF($E418="","",INDEX('Input Transaksi'!$F:$F,$E418))</f>
        <v/>
      </c>
      <c r="E418">
        <f>IFERROR(AGGREGATE(15,6,ROW('Input Transaksi'!$B$5:$B$5000)/('Input Transaksi'!$B$5:$B$5000="BALI WASH GALANG"),ROWS($E$5:E418)),"")</f>
        <v/>
      </c>
      <c r="F418" s="5" t="n"/>
    </row>
    <row r="419">
      <c r="A419" s="10">
        <f>IF($E419="","",INDEX('Input Transaksi'!$A:$A,$E419))</f>
        <v/>
      </c>
      <c r="B419" s="5">
        <f>IF($E419="","",INDEX('Input Transaksi'!$D:$D,$E419))</f>
        <v/>
      </c>
      <c r="C419">
        <f>IF($E419="","",INDEX('Input Transaksi'!$E:$E,$E419))</f>
        <v/>
      </c>
      <c r="D419" s="5">
        <f>IF($E419="","",INDEX('Input Transaksi'!$F:$F,$E419))</f>
        <v/>
      </c>
      <c r="E419">
        <f>IFERROR(AGGREGATE(15,6,ROW('Input Transaksi'!$B$5:$B$5000)/('Input Transaksi'!$B$5:$B$5000="BALI WASH GALANG"),ROWS($E$5:E419)),"")</f>
        <v/>
      </c>
      <c r="F419" s="5" t="n"/>
    </row>
    <row r="420">
      <c r="A420" s="10">
        <f>IF($E420="","",INDEX('Input Transaksi'!$A:$A,$E420))</f>
        <v/>
      </c>
      <c r="B420" s="5">
        <f>IF($E420="","",INDEX('Input Transaksi'!$D:$D,$E420))</f>
        <v/>
      </c>
      <c r="C420">
        <f>IF($E420="","",INDEX('Input Transaksi'!$E:$E,$E420))</f>
        <v/>
      </c>
      <c r="D420" s="5">
        <f>IF($E420="","",INDEX('Input Transaksi'!$F:$F,$E420))</f>
        <v/>
      </c>
      <c r="E420">
        <f>IFERROR(AGGREGATE(15,6,ROW('Input Transaksi'!$B$5:$B$5000)/('Input Transaksi'!$B$5:$B$5000="BALI WASH GALANG"),ROWS($E$5:E420)),"")</f>
        <v/>
      </c>
      <c r="F420" s="5" t="n"/>
    </row>
    <row r="421">
      <c r="A421" s="10">
        <f>IF($E421="","",INDEX('Input Transaksi'!$A:$A,$E421))</f>
        <v/>
      </c>
      <c r="B421" s="5">
        <f>IF($E421="","",INDEX('Input Transaksi'!$D:$D,$E421))</f>
        <v/>
      </c>
      <c r="C421">
        <f>IF($E421="","",INDEX('Input Transaksi'!$E:$E,$E421))</f>
        <v/>
      </c>
      <c r="D421" s="5">
        <f>IF($E421="","",INDEX('Input Transaksi'!$F:$F,$E421))</f>
        <v/>
      </c>
      <c r="E421">
        <f>IFERROR(AGGREGATE(15,6,ROW('Input Transaksi'!$B$5:$B$5000)/('Input Transaksi'!$B$5:$B$5000="BALI WASH GALANG"),ROWS($E$5:E421)),"")</f>
        <v/>
      </c>
      <c r="F421" s="5" t="n"/>
    </row>
    <row r="422">
      <c r="A422" s="10">
        <f>IF($E422="","",INDEX('Input Transaksi'!$A:$A,$E422))</f>
        <v/>
      </c>
      <c r="B422" s="5">
        <f>IF($E422="","",INDEX('Input Transaksi'!$D:$D,$E422))</f>
        <v/>
      </c>
      <c r="C422">
        <f>IF($E422="","",INDEX('Input Transaksi'!$E:$E,$E422))</f>
        <v/>
      </c>
      <c r="D422" s="5">
        <f>IF($E422="","",INDEX('Input Transaksi'!$F:$F,$E422))</f>
        <v/>
      </c>
      <c r="E422">
        <f>IFERROR(AGGREGATE(15,6,ROW('Input Transaksi'!$B$5:$B$5000)/('Input Transaksi'!$B$5:$B$5000="BALI WASH GALANG"),ROWS($E$5:E422)),"")</f>
        <v/>
      </c>
      <c r="F422" s="5" t="n"/>
    </row>
    <row r="423">
      <c r="A423" s="10">
        <f>IF($E423="","",INDEX('Input Transaksi'!$A:$A,$E423))</f>
        <v/>
      </c>
      <c r="B423" s="5">
        <f>IF($E423="","",INDEX('Input Transaksi'!$D:$D,$E423))</f>
        <v/>
      </c>
      <c r="C423">
        <f>IF($E423="","",INDEX('Input Transaksi'!$E:$E,$E423))</f>
        <v/>
      </c>
      <c r="D423" s="5">
        <f>IF($E423="","",INDEX('Input Transaksi'!$F:$F,$E423))</f>
        <v/>
      </c>
      <c r="E423">
        <f>IFERROR(AGGREGATE(15,6,ROW('Input Transaksi'!$B$5:$B$5000)/('Input Transaksi'!$B$5:$B$5000="BALI WASH GALANG"),ROWS($E$5:E423)),"")</f>
        <v/>
      </c>
      <c r="F423" s="5" t="n"/>
    </row>
    <row r="424">
      <c r="A424" s="10">
        <f>IF($E424="","",INDEX('Input Transaksi'!$A:$A,$E424))</f>
        <v/>
      </c>
      <c r="B424" s="5">
        <f>IF($E424="","",INDEX('Input Transaksi'!$D:$D,$E424))</f>
        <v/>
      </c>
      <c r="C424">
        <f>IF($E424="","",INDEX('Input Transaksi'!$E:$E,$E424))</f>
        <v/>
      </c>
      <c r="D424" s="5">
        <f>IF($E424="","",INDEX('Input Transaksi'!$F:$F,$E424))</f>
        <v/>
      </c>
      <c r="E424">
        <f>IFERROR(AGGREGATE(15,6,ROW('Input Transaksi'!$B$5:$B$5000)/('Input Transaksi'!$B$5:$B$5000="BALI WASH GALANG"),ROWS($E$5:E424)),"")</f>
        <v/>
      </c>
      <c r="F424" s="5" t="n"/>
    </row>
    <row r="425">
      <c r="A425" s="10">
        <f>IF($E425="","",INDEX('Input Transaksi'!$A:$A,$E425))</f>
        <v/>
      </c>
      <c r="B425" s="5">
        <f>IF($E425="","",INDEX('Input Transaksi'!$D:$D,$E425))</f>
        <v/>
      </c>
      <c r="C425">
        <f>IF($E425="","",INDEX('Input Transaksi'!$E:$E,$E425))</f>
        <v/>
      </c>
      <c r="D425" s="5">
        <f>IF($E425="","",INDEX('Input Transaksi'!$F:$F,$E425))</f>
        <v/>
      </c>
      <c r="E425">
        <f>IFERROR(AGGREGATE(15,6,ROW('Input Transaksi'!$B$5:$B$5000)/('Input Transaksi'!$B$5:$B$5000="BALI WASH GALANG"),ROWS($E$5:E425)),"")</f>
        <v/>
      </c>
      <c r="F425" s="5" t="n"/>
    </row>
    <row r="426">
      <c r="A426" s="10">
        <f>IF($E426="","",INDEX('Input Transaksi'!$A:$A,$E426))</f>
        <v/>
      </c>
      <c r="B426" s="5">
        <f>IF($E426="","",INDEX('Input Transaksi'!$D:$D,$E426))</f>
        <v/>
      </c>
      <c r="C426">
        <f>IF($E426="","",INDEX('Input Transaksi'!$E:$E,$E426))</f>
        <v/>
      </c>
      <c r="D426" s="5">
        <f>IF($E426="","",INDEX('Input Transaksi'!$F:$F,$E426))</f>
        <v/>
      </c>
      <c r="E426">
        <f>IFERROR(AGGREGATE(15,6,ROW('Input Transaksi'!$B$5:$B$5000)/('Input Transaksi'!$B$5:$B$5000="BALI WASH GALANG"),ROWS($E$5:E426)),"")</f>
        <v/>
      </c>
      <c r="F426" s="5" t="n"/>
    </row>
    <row r="427">
      <c r="A427" s="10">
        <f>IF($E427="","",INDEX('Input Transaksi'!$A:$A,$E427))</f>
        <v/>
      </c>
      <c r="B427" s="5">
        <f>IF($E427="","",INDEX('Input Transaksi'!$D:$D,$E427))</f>
        <v/>
      </c>
      <c r="C427">
        <f>IF($E427="","",INDEX('Input Transaksi'!$E:$E,$E427))</f>
        <v/>
      </c>
      <c r="D427" s="5">
        <f>IF($E427="","",INDEX('Input Transaksi'!$F:$F,$E427))</f>
        <v/>
      </c>
      <c r="E427">
        <f>IFERROR(AGGREGATE(15,6,ROW('Input Transaksi'!$B$5:$B$5000)/('Input Transaksi'!$B$5:$B$5000="BALI WASH GALANG"),ROWS($E$5:E427)),"")</f>
        <v/>
      </c>
      <c r="F427" s="5" t="n"/>
    </row>
    <row r="428">
      <c r="A428" s="10">
        <f>IF($E428="","",INDEX('Input Transaksi'!$A:$A,$E428))</f>
        <v/>
      </c>
      <c r="B428" s="5">
        <f>IF($E428="","",INDEX('Input Transaksi'!$D:$D,$E428))</f>
        <v/>
      </c>
      <c r="C428">
        <f>IF($E428="","",INDEX('Input Transaksi'!$E:$E,$E428))</f>
        <v/>
      </c>
      <c r="D428" s="5">
        <f>IF($E428="","",INDEX('Input Transaksi'!$F:$F,$E428))</f>
        <v/>
      </c>
      <c r="E428">
        <f>IFERROR(AGGREGATE(15,6,ROW('Input Transaksi'!$B$5:$B$5000)/('Input Transaksi'!$B$5:$B$5000="BALI WASH GALANG"),ROWS($E$5:E428)),"")</f>
        <v/>
      </c>
      <c r="F428" s="5" t="n"/>
    </row>
    <row r="429">
      <c r="A429" s="10">
        <f>IF($E429="","",INDEX('Input Transaksi'!$A:$A,$E429))</f>
        <v/>
      </c>
      <c r="B429" s="5">
        <f>IF($E429="","",INDEX('Input Transaksi'!$D:$D,$E429))</f>
        <v/>
      </c>
      <c r="C429">
        <f>IF($E429="","",INDEX('Input Transaksi'!$E:$E,$E429))</f>
        <v/>
      </c>
      <c r="D429" s="5">
        <f>IF($E429="","",INDEX('Input Transaksi'!$F:$F,$E429))</f>
        <v/>
      </c>
      <c r="E429">
        <f>IFERROR(AGGREGATE(15,6,ROW('Input Transaksi'!$B$5:$B$5000)/('Input Transaksi'!$B$5:$B$5000="BALI WASH GALANG"),ROWS($E$5:E429)),"")</f>
        <v/>
      </c>
      <c r="F429" s="5" t="n"/>
    </row>
    <row r="430">
      <c r="A430" s="10">
        <f>IF($E430="","",INDEX('Input Transaksi'!$A:$A,$E430))</f>
        <v/>
      </c>
      <c r="B430" s="5">
        <f>IF($E430="","",INDEX('Input Transaksi'!$D:$D,$E430))</f>
        <v/>
      </c>
      <c r="C430">
        <f>IF($E430="","",INDEX('Input Transaksi'!$E:$E,$E430))</f>
        <v/>
      </c>
      <c r="D430" s="5">
        <f>IF($E430="","",INDEX('Input Transaksi'!$F:$F,$E430))</f>
        <v/>
      </c>
      <c r="E430">
        <f>IFERROR(AGGREGATE(15,6,ROW('Input Transaksi'!$B$5:$B$5000)/('Input Transaksi'!$B$5:$B$5000="BALI WASH GALANG"),ROWS($E$5:E430)),"")</f>
        <v/>
      </c>
      <c r="F430" s="5" t="n"/>
    </row>
    <row r="431">
      <c r="A431" s="10">
        <f>IF($E431="","",INDEX('Input Transaksi'!$A:$A,$E431))</f>
        <v/>
      </c>
      <c r="B431" s="5">
        <f>IF($E431="","",INDEX('Input Transaksi'!$D:$D,$E431))</f>
        <v/>
      </c>
      <c r="C431">
        <f>IF($E431="","",INDEX('Input Transaksi'!$E:$E,$E431))</f>
        <v/>
      </c>
      <c r="D431" s="5">
        <f>IF($E431="","",INDEX('Input Transaksi'!$F:$F,$E431))</f>
        <v/>
      </c>
      <c r="E431">
        <f>IFERROR(AGGREGATE(15,6,ROW('Input Transaksi'!$B$5:$B$5000)/('Input Transaksi'!$B$5:$B$5000="BALI WASH GALANG"),ROWS($E$5:E431)),"")</f>
        <v/>
      </c>
      <c r="F431" s="5" t="n"/>
    </row>
    <row r="432">
      <c r="A432" s="10">
        <f>IF($E432="","",INDEX('Input Transaksi'!$A:$A,$E432))</f>
        <v/>
      </c>
      <c r="B432" s="5">
        <f>IF($E432="","",INDEX('Input Transaksi'!$D:$D,$E432))</f>
        <v/>
      </c>
      <c r="C432">
        <f>IF($E432="","",INDEX('Input Transaksi'!$E:$E,$E432))</f>
        <v/>
      </c>
      <c r="D432" s="5">
        <f>IF($E432="","",INDEX('Input Transaksi'!$F:$F,$E432))</f>
        <v/>
      </c>
      <c r="E432">
        <f>IFERROR(AGGREGATE(15,6,ROW('Input Transaksi'!$B$5:$B$5000)/('Input Transaksi'!$B$5:$B$5000="BALI WASH GALANG"),ROWS($E$5:E432)),"")</f>
        <v/>
      </c>
      <c r="F432" s="5" t="n"/>
    </row>
    <row r="433">
      <c r="A433" s="10">
        <f>IF($E433="","",INDEX('Input Transaksi'!$A:$A,$E433))</f>
        <v/>
      </c>
      <c r="B433" s="5">
        <f>IF($E433="","",INDEX('Input Transaksi'!$D:$D,$E433))</f>
        <v/>
      </c>
      <c r="C433">
        <f>IF($E433="","",INDEX('Input Transaksi'!$E:$E,$E433))</f>
        <v/>
      </c>
      <c r="D433" s="5">
        <f>IF($E433="","",INDEX('Input Transaksi'!$F:$F,$E433))</f>
        <v/>
      </c>
      <c r="E433">
        <f>IFERROR(AGGREGATE(15,6,ROW('Input Transaksi'!$B$5:$B$5000)/('Input Transaksi'!$B$5:$B$5000="BALI WASH GALANG"),ROWS($E$5:E433)),"")</f>
        <v/>
      </c>
      <c r="F433" s="5" t="n"/>
    </row>
    <row r="434">
      <c r="A434" s="10">
        <f>IF($E434="","",INDEX('Input Transaksi'!$A:$A,$E434))</f>
        <v/>
      </c>
      <c r="B434" s="5">
        <f>IF($E434="","",INDEX('Input Transaksi'!$D:$D,$E434))</f>
        <v/>
      </c>
      <c r="C434">
        <f>IF($E434="","",INDEX('Input Transaksi'!$E:$E,$E434))</f>
        <v/>
      </c>
      <c r="D434" s="5">
        <f>IF($E434="","",INDEX('Input Transaksi'!$F:$F,$E434))</f>
        <v/>
      </c>
      <c r="E434">
        <f>IFERROR(AGGREGATE(15,6,ROW('Input Transaksi'!$B$5:$B$5000)/('Input Transaksi'!$B$5:$B$5000="BALI WASH GALANG"),ROWS($E$5:E434)),"")</f>
        <v/>
      </c>
      <c r="F434" s="5" t="n"/>
    </row>
    <row r="435">
      <c r="A435" s="10">
        <f>IF($E435="","",INDEX('Input Transaksi'!$A:$A,$E435))</f>
        <v/>
      </c>
      <c r="B435" s="5">
        <f>IF($E435="","",INDEX('Input Transaksi'!$D:$D,$E435))</f>
        <v/>
      </c>
      <c r="C435">
        <f>IF($E435="","",INDEX('Input Transaksi'!$E:$E,$E435))</f>
        <v/>
      </c>
      <c r="D435" s="5">
        <f>IF($E435="","",INDEX('Input Transaksi'!$F:$F,$E435))</f>
        <v/>
      </c>
      <c r="E435">
        <f>IFERROR(AGGREGATE(15,6,ROW('Input Transaksi'!$B$5:$B$5000)/('Input Transaksi'!$B$5:$B$5000="BALI WASH GALANG"),ROWS($E$5:E435)),"")</f>
        <v/>
      </c>
      <c r="F435" s="5" t="n"/>
    </row>
    <row r="436">
      <c r="A436" s="10">
        <f>IF($E436="","",INDEX('Input Transaksi'!$A:$A,$E436))</f>
        <v/>
      </c>
      <c r="B436" s="5">
        <f>IF($E436="","",INDEX('Input Transaksi'!$D:$D,$E436))</f>
        <v/>
      </c>
      <c r="C436">
        <f>IF($E436="","",INDEX('Input Transaksi'!$E:$E,$E436))</f>
        <v/>
      </c>
      <c r="D436" s="5">
        <f>IF($E436="","",INDEX('Input Transaksi'!$F:$F,$E436))</f>
        <v/>
      </c>
      <c r="E436">
        <f>IFERROR(AGGREGATE(15,6,ROW('Input Transaksi'!$B$5:$B$5000)/('Input Transaksi'!$B$5:$B$5000="BALI WASH GALANG"),ROWS($E$5:E436)),"")</f>
        <v/>
      </c>
      <c r="F436" s="5" t="n"/>
    </row>
    <row r="437">
      <c r="A437" s="10">
        <f>IF($E437="","",INDEX('Input Transaksi'!$A:$A,$E437))</f>
        <v/>
      </c>
      <c r="B437" s="5">
        <f>IF($E437="","",INDEX('Input Transaksi'!$D:$D,$E437))</f>
        <v/>
      </c>
      <c r="C437">
        <f>IF($E437="","",INDEX('Input Transaksi'!$E:$E,$E437))</f>
        <v/>
      </c>
      <c r="D437" s="5">
        <f>IF($E437="","",INDEX('Input Transaksi'!$F:$F,$E437))</f>
        <v/>
      </c>
      <c r="E437">
        <f>IFERROR(AGGREGATE(15,6,ROW('Input Transaksi'!$B$5:$B$5000)/('Input Transaksi'!$B$5:$B$5000="BALI WASH GALANG"),ROWS($E$5:E437)),"")</f>
        <v/>
      </c>
      <c r="F437" s="5" t="n"/>
    </row>
    <row r="438">
      <c r="A438" s="10">
        <f>IF($E438="","",INDEX('Input Transaksi'!$A:$A,$E438))</f>
        <v/>
      </c>
      <c r="B438" s="5">
        <f>IF($E438="","",INDEX('Input Transaksi'!$D:$D,$E438))</f>
        <v/>
      </c>
      <c r="C438">
        <f>IF($E438="","",INDEX('Input Transaksi'!$E:$E,$E438))</f>
        <v/>
      </c>
      <c r="D438" s="5">
        <f>IF($E438="","",INDEX('Input Transaksi'!$F:$F,$E438))</f>
        <v/>
      </c>
      <c r="E438">
        <f>IFERROR(AGGREGATE(15,6,ROW('Input Transaksi'!$B$5:$B$5000)/('Input Transaksi'!$B$5:$B$5000="BALI WASH GALANG"),ROWS($E$5:E438)),"")</f>
        <v/>
      </c>
      <c r="F438" s="5" t="n"/>
    </row>
    <row r="439">
      <c r="A439" s="10">
        <f>IF($E439="","",INDEX('Input Transaksi'!$A:$A,$E439))</f>
        <v/>
      </c>
      <c r="B439" s="5">
        <f>IF($E439="","",INDEX('Input Transaksi'!$D:$D,$E439))</f>
        <v/>
      </c>
      <c r="C439">
        <f>IF($E439="","",INDEX('Input Transaksi'!$E:$E,$E439))</f>
        <v/>
      </c>
      <c r="D439" s="5">
        <f>IF($E439="","",INDEX('Input Transaksi'!$F:$F,$E439))</f>
        <v/>
      </c>
      <c r="E439">
        <f>IFERROR(AGGREGATE(15,6,ROW('Input Transaksi'!$B$5:$B$5000)/('Input Transaksi'!$B$5:$B$5000="BALI WASH GALANG"),ROWS($E$5:E439)),"")</f>
        <v/>
      </c>
      <c r="F439" s="5" t="n"/>
    </row>
    <row r="440">
      <c r="A440" s="10">
        <f>IF($E440="","",INDEX('Input Transaksi'!$A:$A,$E440))</f>
        <v/>
      </c>
      <c r="B440" s="5">
        <f>IF($E440="","",INDEX('Input Transaksi'!$D:$D,$E440))</f>
        <v/>
      </c>
      <c r="C440">
        <f>IF($E440="","",INDEX('Input Transaksi'!$E:$E,$E440))</f>
        <v/>
      </c>
      <c r="D440" s="5">
        <f>IF($E440="","",INDEX('Input Transaksi'!$F:$F,$E440))</f>
        <v/>
      </c>
      <c r="E440">
        <f>IFERROR(AGGREGATE(15,6,ROW('Input Transaksi'!$B$5:$B$5000)/('Input Transaksi'!$B$5:$B$5000="BALI WASH GALANG"),ROWS($E$5:E440)),"")</f>
        <v/>
      </c>
      <c r="F440" s="5" t="n"/>
    </row>
    <row r="441">
      <c r="A441" s="10">
        <f>IF($E441="","",INDEX('Input Transaksi'!$A:$A,$E441))</f>
        <v/>
      </c>
      <c r="B441" s="5">
        <f>IF($E441="","",INDEX('Input Transaksi'!$D:$D,$E441))</f>
        <v/>
      </c>
      <c r="C441">
        <f>IF($E441="","",INDEX('Input Transaksi'!$E:$E,$E441))</f>
        <v/>
      </c>
      <c r="D441" s="5">
        <f>IF($E441="","",INDEX('Input Transaksi'!$F:$F,$E441))</f>
        <v/>
      </c>
      <c r="E441">
        <f>IFERROR(AGGREGATE(15,6,ROW('Input Transaksi'!$B$5:$B$5000)/('Input Transaksi'!$B$5:$B$5000="BALI WASH GALANG"),ROWS($E$5:E441)),"")</f>
        <v/>
      </c>
      <c r="F441" s="5" t="n"/>
    </row>
    <row r="442">
      <c r="A442" s="10">
        <f>IF($E442="","",INDEX('Input Transaksi'!$A:$A,$E442))</f>
        <v/>
      </c>
      <c r="B442" s="5">
        <f>IF($E442="","",INDEX('Input Transaksi'!$D:$D,$E442))</f>
        <v/>
      </c>
      <c r="C442">
        <f>IF($E442="","",INDEX('Input Transaksi'!$E:$E,$E442))</f>
        <v/>
      </c>
      <c r="D442" s="5">
        <f>IF($E442="","",INDEX('Input Transaksi'!$F:$F,$E442))</f>
        <v/>
      </c>
      <c r="E442">
        <f>IFERROR(AGGREGATE(15,6,ROW('Input Transaksi'!$B$5:$B$5000)/('Input Transaksi'!$B$5:$B$5000="BALI WASH GALANG"),ROWS($E$5:E442)),"")</f>
        <v/>
      </c>
      <c r="F442" s="5" t="n"/>
    </row>
    <row r="443">
      <c r="A443" s="10">
        <f>IF($E443="","",INDEX('Input Transaksi'!$A:$A,$E443))</f>
        <v/>
      </c>
      <c r="B443" s="5">
        <f>IF($E443="","",INDEX('Input Transaksi'!$D:$D,$E443))</f>
        <v/>
      </c>
      <c r="C443">
        <f>IF($E443="","",INDEX('Input Transaksi'!$E:$E,$E443))</f>
        <v/>
      </c>
      <c r="D443" s="5">
        <f>IF($E443="","",INDEX('Input Transaksi'!$F:$F,$E443))</f>
        <v/>
      </c>
      <c r="E443">
        <f>IFERROR(AGGREGATE(15,6,ROW('Input Transaksi'!$B$5:$B$5000)/('Input Transaksi'!$B$5:$B$5000="BALI WASH GALANG"),ROWS($E$5:E443)),"")</f>
        <v/>
      </c>
      <c r="F443" s="5" t="n"/>
    </row>
    <row r="444">
      <c r="A444" s="10">
        <f>IF($E444="","",INDEX('Input Transaksi'!$A:$A,$E444))</f>
        <v/>
      </c>
      <c r="B444" s="5">
        <f>IF($E444="","",INDEX('Input Transaksi'!$D:$D,$E444))</f>
        <v/>
      </c>
      <c r="C444">
        <f>IF($E444="","",INDEX('Input Transaksi'!$E:$E,$E444))</f>
        <v/>
      </c>
      <c r="D444" s="5">
        <f>IF($E444="","",INDEX('Input Transaksi'!$F:$F,$E444))</f>
        <v/>
      </c>
      <c r="E444">
        <f>IFERROR(AGGREGATE(15,6,ROW('Input Transaksi'!$B$5:$B$5000)/('Input Transaksi'!$B$5:$B$5000="BALI WASH GALANG"),ROWS($E$5:E444)),"")</f>
        <v/>
      </c>
      <c r="F444" s="5" t="n"/>
    </row>
    <row r="445">
      <c r="A445" s="10">
        <f>IF($E445="","",INDEX('Input Transaksi'!$A:$A,$E445))</f>
        <v/>
      </c>
      <c r="B445" s="5">
        <f>IF($E445="","",INDEX('Input Transaksi'!$D:$D,$E445))</f>
        <v/>
      </c>
      <c r="C445">
        <f>IF($E445="","",INDEX('Input Transaksi'!$E:$E,$E445))</f>
        <v/>
      </c>
      <c r="D445" s="5">
        <f>IF($E445="","",INDEX('Input Transaksi'!$F:$F,$E445))</f>
        <v/>
      </c>
      <c r="E445">
        <f>IFERROR(AGGREGATE(15,6,ROW('Input Transaksi'!$B$5:$B$5000)/('Input Transaksi'!$B$5:$B$5000="BALI WASH GALANG"),ROWS($E$5:E445)),"")</f>
        <v/>
      </c>
      <c r="F445" s="5" t="n"/>
    </row>
    <row r="446">
      <c r="A446" s="10">
        <f>IF($E446="","",INDEX('Input Transaksi'!$A:$A,$E446))</f>
        <v/>
      </c>
      <c r="B446" s="5">
        <f>IF($E446="","",INDEX('Input Transaksi'!$D:$D,$E446))</f>
        <v/>
      </c>
      <c r="C446">
        <f>IF($E446="","",INDEX('Input Transaksi'!$E:$E,$E446))</f>
        <v/>
      </c>
      <c r="D446" s="5">
        <f>IF($E446="","",INDEX('Input Transaksi'!$F:$F,$E446))</f>
        <v/>
      </c>
      <c r="E446">
        <f>IFERROR(AGGREGATE(15,6,ROW('Input Transaksi'!$B$5:$B$5000)/('Input Transaksi'!$B$5:$B$5000="BALI WASH GALANG"),ROWS($E$5:E446)),"")</f>
        <v/>
      </c>
      <c r="F446" s="5" t="n"/>
    </row>
    <row r="447">
      <c r="A447" s="10">
        <f>IF($E447="","",INDEX('Input Transaksi'!$A:$A,$E447))</f>
        <v/>
      </c>
      <c r="B447" s="5">
        <f>IF($E447="","",INDEX('Input Transaksi'!$D:$D,$E447))</f>
        <v/>
      </c>
      <c r="C447">
        <f>IF($E447="","",INDEX('Input Transaksi'!$E:$E,$E447))</f>
        <v/>
      </c>
      <c r="D447" s="5">
        <f>IF($E447="","",INDEX('Input Transaksi'!$F:$F,$E447))</f>
        <v/>
      </c>
      <c r="E447">
        <f>IFERROR(AGGREGATE(15,6,ROW('Input Transaksi'!$B$5:$B$5000)/('Input Transaksi'!$B$5:$B$5000="BALI WASH GALANG"),ROWS($E$5:E447)),"")</f>
        <v/>
      </c>
      <c r="F447" s="5" t="n"/>
    </row>
    <row r="448">
      <c r="A448" s="10">
        <f>IF($E448="","",INDEX('Input Transaksi'!$A:$A,$E448))</f>
        <v/>
      </c>
      <c r="B448" s="5">
        <f>IF($E448="","",INDEX('Input Transaksi'!$D:$D,$E448))</f>
        <v/>
      </c>
      <c r="C448">
        <f>IF($E448="","",INDEX('Input Transaksi'!$E:$E,$E448))</f>
        <v/>
      </c>
      <c r="D448" s="5">
        <f>IF($E448="","",INDEX('Input Transaksi'!$F:$F,$E448))</f>
        <v/>
      </c>
      <c r="E448">
        <f>IFERROR(AGGREGATE(15,6,ROW('Input Transaksi'!$B$5:$B$5000)/('Input Transaksi'!$B$5:$B$5000="BALI WASH GALANG"),ROWS($E$5:E448)),"")</f>
        <v/>
      </c>
      <c r="F448" s="5" t="n"/>
    </row>
    <row r="449">
      <c r="A449" s="10">
        <f>IF($E449="","",INDEX('Input Transaksi'!$A:$A,$E449))</f>
        <v/>
      </c>
      <c r="B449" s="5">
        <f>IF($E449="","",INDEX('Input Transaksi'!$D:$D,$E449))</f>
        <v/>
      </c>
      <c r="C449">
        <f>IF($E449="","",INDEX('Input Transaksi'!$E:$E,$E449))</f>
        <v/>
      </c>
      <c r="D449" s="5">
        <f>IF($E449="","",INDEX('Input Transaksi'!$F:$F,$E449))</f>
        <v/>
      </c>
      <c r="E449">
        <f>IFERROR(AGGREGATE(15,6,ROW('Input Transaksi'!$B$5:$B$5000)/('Input Transaksi'!$B$5:$B$5000="BALI WASH GALANG"),ROWS($E$5:E449)),"")</f>
        <v/>
      </c>
      <c r="F449" s="5" t="n"/>
    </row>
    <row r="450">
      <c r="A450" s="10">
        <f>IF($E450="","",INDEX('Input Transaksi'!$A:$A,$E450))</f>
        <v/>
      </c>
      <c r="B450" s="5">
        <f>IF($E450="","",INDEX('Input Transaksi'!$D:$D,$E450))</f>
        <v/>
      </c>
      <c r="C450">
        <f>IF($E450="","",INDEX('Input Transaksi'!$E:$E,$E450))</f>
        <v/>
      </c>
      <c r="D450" s="5">
        <f>IF($E450="","",INDEX('Input Transaksi'!$F:$F,$E450))</f>
        <v/>
      </c>
      <c r="E450">
        <f>IFERROR(AGGREGATE(15,6,ROW('Input Transaksi'!$B$5:$B$5000)/('Input Transaksi'!$B$5:$B$5000="BALI WASH GALANG"),ROWS($E$5:E450)),"")</f>
        <v/>
      </c>
      <c r="F450" s="5" t="n"/>
    </row>
    <row r="451">
      <c r="A451" s="10">
        <f>IF($E451="","",INDEX('Input Transaksi'!$A:$A,$E451))</f>
        <v/>
      </c>
      <c r="B451" s="5">
        <f>IF($E451="","",INDEX('Input Transaksi'!$D:$D,$E451))</f>
        <v/>
      </c>
      <c r="C451">
        <f>IF($E451="","",INDEX('Input Transaksi'!$E:$E,$E451))</f>
        <v/>
      </c>
      <c r="D451" s="5">
        <f>IF($E451="","",INDEX('Input Transaksi'!$F:$F,$E451))</f>
        <v/>
      </c>
      <c r="E451">
        <f>IFERROR(AGGREGATE(15,6,ROW('Input Transaksi'!$B$5:$B$5000)/('Input Transaksi'!$B$5:$B$5000="BALI WASH GALANG"),ROWS($E$5:E451)),"")</f>
        <v/>
      </c>
      <c r="F451" s="5" t="n"/>
    </row>
    <row r="452">
      <c r="A452" s="10">
        <f>IF($E452="","",INDEX('Input Transaksi'!$A:$A,$E452))</f>
        <v/>
      </c>
      <c r="B452" s="5">
        <f>IF($E452="","",INDEX('Input Transaksi'!$D:$D,$E452))</f>
        <v/>
      </c>
      <c r="C452">
        <f>IF($E452="","",INDEX('Input Transaksi'!$E:$E,$E452))</f>
        <v/>
      </c>
      <c r="D452" s="5">
        <f>IF($E452="","",INDEX('Input Transaksi'!$F:$F,$E452))</f>
        <v/>
      </c>
      <c r="E452">
        <f>IFERROR(AGGREGATE(15,6,ROW('Input Transaksi'!$B$5:$B$5000)/('Input Transaksi'!$B$5:$B$5000="BALI WASH GALANG"),ROWS($E$5:E452)),"")</f>
        <v/>
      </c>
      <c r="F452" s="5" t="n"/>
    </row>
    <row r="453">
      <c r="A453" s="10">
        <f>IF($E453="","",INDEX('Input Transaksi'!$A:$A,$E453))</f>
        <v/>
      </c>
      <c r="B453" s="5">
        <f>IF($E453="","",INDEX('Input Transaksi'!$D:$D,$E453))</f>
        <v/>
      </c>
      <c r="C453">
        <f>IF($E453="","",INDEX('Input Transaksi'!$E:$E,$E453))</f>
        <v/>
      </c>
      <c r="D453" s="5">
        <f>IF($E453="","",INDEX('Input Transaksi'!$F:$F,$E453))</f>
        <v/>
      </c>
      <c r="E453">
        <f>IFERROR(AGGREGATE(15,6,ROW('Input Transaksi'!$B$5:$B$5000)/('Input Transaksi'!$B$5:$B$5000="BALI WASH GALANG"),ROWS($E$5:E453)),"")</f>
        <v/>
      </c>
      <c r="F453" s="5" t="n"/>
    </row>
    <row r="454">
      <c r="A454" s="10">
        <f>IF($E454="","",INDEX('Input Transaksi'!$A:$A,$E454))</f>
        <v/>
      </c>
      <c r="B454" s="5">
        <f>IF($E454="","",INDEX('Input Transaksi'!$D:$D,$E454))</f>
        <v/>
      </c>
      <c r="C454">
        <f>IF($E454="","",INDEX('Input Transaksi'!$E:$E,$E454))</f>
        <v/>
      </c>
      <c r="D454" s="5">
        <f>IF($E454="","",INDEX('Input Transaksi'!$F:$F,$E454))</f>
        <v/>
      </c>
      <c r="E454">
        <f>IFERROR(AGGREGATE(15,6,ROW('Input Transaksi'!$B$5:$B$5000)/('Input Transaksi'!$B$5:$B$5000="BALI WASH GALANG"),ROWS($E$5:E454)),"")</f>
        <v/>
      </c>
      <c r="F454" s="5" t="n"/>
    </row>
    <row r="455">
      <c r="A455" s="10">
        <f>IF($E455="","",INDEX('Input Transaksi'!$A:$A,$E455))</f>
        <v/>
      </c>
      <c r="B455" s="5">
        <f>IF($E455="","",INDEX('Input Transaksi'!$D:$D,$E455))</f>
        <v/>
      </c>
      <c r="C455">
        <f>IF($E455="","",INDEX('Input Transaksi'!$E:$E,$E455))</f>
        <v/>
      </c>
      <c r="D455" s="5">
        <f>IF($E455="","",INDEX('Input Transaksi'!$F:$F,$E455))</f>
        <v/>
      </c>
      <c r="E455">
        <f>IFERROR(AGGREGATE(15,6,ROW('Input Transaksi'!$B$5:$B$5000)/('Input Transaksi'!$B$5:$B$5000="BALI WASH GALANG"),ROWS($E$5:E455)),"")</f>
        <v/>
      </c>
      <c r="F455" s="5" t="n"/>
    </row>
    <row r="456">
      <c r="A456" s="10">
        <f>IF($E456="","",INDEX('Input Transaksi'!$A:$A,$E456))</f>
        <v/>
      </c>
      <c r="B456" s="5">
        <f>IF($E456="","",INDEX('Input Transaksi'!$D:$D,$E456))</f>
        <v/>
      </c>
      <c r="C456">
        <f>IF($E456="","",INDEX('Input Transaksi'!$E:$E,$E456))</f>
        <v/>
      </c>
      <c r="D456" s="5">
        <f>IF($E456="","",INDEX('Input Transaksi'!$F:$F,$E456))</f>
        <v/>
      </c>
      <c r="E456">
        <f>IFERROR(AGGREGATE(15,6,ROW('Input Transaksi'!$B$5:$B$5000)/('Input Transaksi'!$B$5:$B$5000="BALI WASH GALANG"),ROWS($E$5:E456)),"")</f>
        <v/>
      </c>
      <c r="F456" s="5" t="n"/>
    </row>
    <row r="457">
      <c r="A457" s="10">
        <f>IF($E457="","",INDEX('Input Transaksi'!$A:$A,$E457))</f>
        <v/>
      </c>
      <c r="B457" s="5">
        <f>IF($E457="","",INDEX('Input Transaksi'!$D:$D,$E457))</f>
        <v/>
      </c>
      <c r="C457">
        <f>IF($E457="","",INDEX('Input Transaksi'!$E:$E,$E457))</f>
        <v/>
      </c>
      <c r="D457" s="5">
        <f>IF($E457="","",INDEX('Input Transaksi'!$F:$F,$E457))</f>
        <v/>
      </c>
      <c r="E457">
        <f>IFERROR(AGGREGATE(15,6,ROW('Input Transaksi'!$B$5:$B$5000)/('Input Transaksi'!$B$5:$B$5000="BALI WASH GALANG"),ROWS($E$5:E457)),"")</f>
        <v/>
      </c>
      <c r="F457" s="5" t="n"/>
    </row>
    <row r="458">
      <c r="A458" s="10">
        <f>IF($E458="","",INDEX('Input Transaksi'!$A:$A,$E458))</f>
        <v/>
      </c>
      <c r="B458" s="5">
        <f>IF($E458="","",INDEX('Input Transaksi'!$D:$D,$E458))</f>
        <v/>
      </c>
      <c r="C458">
        <f>IF($E458="","",INDEX('Input Transaksi'!$E:$E,$E458))</f>
        <v/>
      </c>
      <c r="D458" s="5">
        <f>IF($E458="","",INDEX('Input Transaksi'!$F:$F,$E458))</f>
        <v/>
      </c>
      <c r="E458">
        <f>IFERROR(AGGREGATE(15,6,ROW('Input Transaksi'!$B$5:$B$5000)/('Input Transaksi'!$B$5:$B$5000="BALI WASH GALANG"),ROWS($E$5:E458)),"")</f>
        <v/>
      </c>
      <c r="F458" s="5" t="n"/>
    </row>
    <row r="459">
      <c r="A459" s="10">
        <f>IF($E459="","",INDEX('Input Transaksi'!$A:$A,$E459))</f>
        <v/>
      </c>
      <c r="B459" s="5">
        <f>IF($E459="","",INDEX('Input Transaksi'!$D:$D,$E459))</f>
        <v/>
      </c>
      <c r="C459">
        <f>IF($E459="","",INDEX('Input Transaksi'!$E:$E,$E459))</f>
        <v/>
      </c>
      <c r="D459" s="5">
        <f>IF($E459="","",INDEX('Input Transaksi'!$F:$F,$E459))</f>
        <v/>
      </c>
      <c r="E459">
        <f>IFERROR(AGGREGATE(15,6,ROW('Input Transaksi'!$B$5:$B$5000)/('Input Transaksi'!$B$5:$B$5000="BALI WASH GALANG"),ROWS($E$5:E459)),"")</f>
        <v/>
      </c>
      <c r="F459" s="5" t="n"/>
    </row>
    <row r="460">
      <c r="A460" s="10">
        <f>IF($E460="","",INDEX('Input Transaksi'!$A:$A,$E460))</f>
        <v/>
      </c>
      <c r="B460" s="5">
        <f>IF($E460="","",INDEX('Input Transaksi'!$D:$D,$E460))</f>
        <v/>
      </c>
      <c r="C460">
        <f>IF($E460="","",INDEX('Input Transaksi'!$E:$E,$E460))</f>
        <v/>
      </c>
      <c r="D460" s="5">
        <f>IF($E460="","",INDEX('Input Transaksi'!$F:$F,$E460))</f>
        <v/>
      </c>
      <c r="E460">
        <f>IFERROR(AGGREGATE(15,6,ROW('Input Transaksi'!$B$5:$B$5000)/('Input Transaksi'!$B$5:$B$5000="BALI WASH GALANG"),ROWS($E$5:E460)),"")</f>
        <v/>
      </c>
      <c r="F460" s="5" t="n"/>
    </row>
    <row r="461">
      <c r="A461" s="10">
        <f>IF($E461="","",INDEX('Input Transaksi'!$A:$A,$E461))</f>
        <v/>
      </c>
      <c r="B461" s="5">
        <f>IF($E461="","",INDEX('Input Transaksi'!$D:$D,$E461))</f>
        <v/>
      </c>
      <c r="C461">
        <f>IF($E461="","",INDEX('Input Transaksi'!$E:$E,$E461))</f>
        <v/>
      </c>
      <c r="D461" s="5">
        <f>IF($E461="","",INDEX('Input Transaksi'!$F:$F,$E461))</f>
        <v/>
      </c>
      <c r="E461">
        <f>IFERROR(AGGREGATE(15,6,ROW('Input Transaksi'!$B$5:$B$5000)/('Input Transaksi'!$B$5:$B$5000="BALI WASH GALANG"),ROWS($E$5:E461)),"")</f>
        <v/>
      </c>
      <c r="F461" s="5" t="n"/>
    </row>
    <row r="462">
      <c r="A462" s="10">
        <f>IF($E462="","",INDEX('Input Transaksi'!$A:$A,$E462))</f>
        <v/>
      </c>
      <c r="B462" s="5">
        <f>IF($E462="","",INDEX('Input Transaksi'!$D:$D,$E462))</f>
        <v/>
      </c>
      <c r="C462">
        <f>IF($E462="","",INDEX('Input Transaksi'!$E:$E,$E462))</f>
        <v/>
      </c>
      <c r="D462" s="5">
        <f>IF($E462="","",INDEX('Input Transaksi'!$F:$F,$E462))</f>
        <v/>
      </c>
      <c r="E462">
        <f>IFERROR(AGGREGATE(15,6,ROW('Input Transaksi'!$B$5:$B$5000)/('Input Transaksi'!$B$5:$B$5000="BALI WASH GALANG"),ROWS($E$5:E462)),"")</f>
        <v/>
      </c>
      <c r="F462" s="5" t="n"/>
    </row>
    <row r="463">
      <c r="A463" s="10">
        <f>IF($E463="","",INDEX('Input Transaksi'!$A:$A,$E463))</f>
        <v/>
      </c>
      <c r="B463" s="5">
        <f>IF($E463="","",INDEX('Input Transaksi'!$D:$D,$E463))</f>
        <v/>
      </c>
      <c r="C463">
        <f>IF($E463="","",INDEX('Input Transaksi'!$E:$E,$E463))</f>
        <v/>
      </c>
      <c r="D463" s="5">
        <f>IF($E463="","",INDEX('Input Transaksi'!$F:$F,$E463))</f>
        <v/>
      </c>
      <c r="E463">
        <f>IFERROR(AGGREGATE(15,6,ROW('Input Transaksi'!$B$5:$B$5000)/('Input Transaksi'!$B$5:$B$5000="BALI WASH GALANG"),ROWS($E$5:E463)),"")</f>
        <v/>
      </c>
      <c r="F463" s="5" t="n"/>
    </row>
    <row r="464">
      <c r="A464" s="10">
        <f>IF($E464="","",INDEX('Input Transaksi'!$A:$A,$E464))</f>
        <v/>
      </c>
      <c r="B464" s="5">
        <f>IF($E464="","",INDEX('Input Transaksi'!$D:$D,$E464))</f>
        <v/>
      </c>
      <c r="C464">
        <f>IF($E464="","",INDEX('Input Transaksi'!$E:$E,$E464))</f>
        <v/>
      </c>
      <c r="D464" s="5">
        <f>IF($E464="","",INDEX('Input Transaksi'!$F:$F,$E464))</f>
        <v/>
      </c>
      <c r="E464">
        <f>IFERROR(AGGREGATE(15,6,ROW('Input Transaksi'!$B$5:$B$5000)/('Input Transaksi'!$B$5:$B$5000="BALI WASH GALANG"),ROWS($E$5:E464)),"")</f>
        <v/>
      </c>
      <c r="F464" s="5" t="n"/>
    </row>
    <row r="465">
      <c r="A465" s="10">
        <f>IF($E465="","",INDEX('Input Transaksi'!$A:$A,$E465))</f>
        <v/>
      </c>
      <c r="B465" s="5">
        <f>IF($E465="","",INDEX('Input Transaksi'!$D:$D,$E465))</f>
        <v/>
      </c>
      <c r="C465">
        <f>IF($E465="","",INDEX('Input Transaksi'!$E:$E,$E465))</f>
        <v/>
      </c>
      <c r="D465" s="5">
        <f>IF($E465="","",INDEX('Input Transaksi'!$F:$F,$E465))</f>
        <v/>
      </c>
      <c r="E465">
        <f>IFERROR(AGGREGATE(15,6,ROW('Input Transaksi'!$B$5:$B$5000)/('Input Transaksi'!$B$5:$B$5000="BALI WASH GALANG"),ROWS($E$5:E465)),"")</f>
        <v/>
      </c>
      <c r="F465" s="5" t="n"/>
    </row>
    <row r="466">
      <c r="A466" s="10">
        <f>IF($E466="","",INDEX('Input Transaksi'!$A:$A,$E466))</f>
        <v/>
      </c>
      <c r="B466" s="5">
        <f>IF($E466="","",INDEX('Input Transaksi'!$D:$D,$E466))</f>
        <v/>
      </c>
      <c r="C466">
        <f>IF($E466="","",INDEX('Input Transaksi'!$E:$E,$E466))</f>
        <v/>
      </c>
      <c r="D466" s="5">
        <f>IF($E466="","",INDEX('Input Transaksi'!$F:$F,$E466))</f>
        <v/>
      </c>
      <c r="E466">
        <f>IFERROR(AGGREGATE(15,6,ROW('Input Transaksi'!$B$5:$B$5000)/('Input Transaksi'!$B$5:$B$5000="BALI WASH GALANG"),ROWS($E$5:E466)),"")</f>
        <v/>
      </c>
      <c r="F466" s="5" t="n"/>
    </row>
    <row r="467">
      <c r="A467" s="10">
        <f>IF($E467="","",INDEX('Input Transaksi'!$A:$A,$E467))</f>
        <v/>
      </c>
      <c r="B467" s="5">
        <f>IF($E467="","",INDEX('Input Transaksi'!$D:$D,$E467))</f>
        <v/>
      </c>
      <c r="C467">
        <f>IF($E467="","",INDEX('Input Transaksi'!$E:$E,$E467))</f>
        <v/>
      </c>
      <c r="D467" s="5">
        <f>IF($E467="","",INDEX('Input Transaksi'!$F:$F,$E467))</f>
        <v/>
      </c>
      <c r="E467">
        <f>IFERROR(AGGREGATE(15,6,ROW('Input Transaksi'!$B$5:$B$5000)/('Input Transaksi'!$B$5:$B$5000="BALI WASH GALANG"),ROWS($E$5:E467)),"")</f>
        <v/>
      </c>
      <c r="F467" s="5" t="n"/>
    </row>
    <row r="468">
      <c r="A468" s="10">
        <f>IF($E468="","",INDEX('Input Transaksi'!$A:$A,$E468))</f>
        <v/>
      </c>
      <c r="B468" s="5">
        <f>IF($E468="","",INDEX('Input Transaksi'!$D:$D,$E468))</f>
        <v/>
      </c>
      <c r="C468">
        <f>IF($E468="","",INDEX('Input Transaksi'!$E:$E,$E468))</f>
        <v/>
      </c>
      <c r="D468" s="5">
        <f>IF($E468="","",INDEX('Input Transaksi'!$F:$F,$E468))</f>
        <v/>
      </c>
      <c r="E468">
        <f>IFERROR(AGGREGATE(15,6,ROW('Input Transaksi'!$B$5:$B$5000)/('Input Transaksi'!$B$5:$B$5000="BALI WASH GALANG"),ROWS($E$5:E468)),"")</f>
        <v/>
      </c>
      <c r="F468" s="5" t="n"/>
    </row>
    <row r="469">
      <c r="A469" s="10">
        <f>IF($E469="","",INDEX('Input Transaksi'!$A:$A,$E469))</f>
        <v/>
      </c>
      <c r="B469" s="5">
        <f>IF($E469="","",INDEX('Input Transaksi'!$D:$D,$E469))</f>
        <v/>
      </c>
      <c r="C469">
        <f>IF($E469="","",INDEX('Input Transaksi'!$E:$E,$E469))</f>
        <v/>
      </c>
      <c r="D469" s="5">
        <f>IF($E469="","",INDEX('Input Transaksi'!$F:$F,$E469))</f>
        <v/>
      </c>
      <c r="E469">
        <f>IFERROR(AGGREGATE(15,6,ROW('Input Transaksi'!$B$5:$B$5000)/('Input Transaksi'!$B$5:$B$5000="BALI WASH GALANG"),ROWS($E$5:E469)),"")</f>
        <v/>
      </c>
      <c r="F469" s="5" t="n"/>
    </row>
    <row r="470">
      <c r="A470" s="10">
        <f>IF($E470="","",INDEX('Input Transaksi'!$A:$A,$E470))</f>
        <v/>
      </c>
      <c r="B470" s="5">
        <f>IF($E470="","",INDEX('Input Transaksi'!$D:$D,$E470))</f>
        <v/>
      </c>
      <c r="C470">
        <f>IF($E470="","",INDEX('Input Transaksi'!$E:$E,$E470))</f>
        <v/>
      </c>
      <c r="D470" s="5">
        <f>IF($E470="","",INDEX('Input Transaksi'!$F:$F,$E470))</f>
        <v/>
      </c>
      <c r="E470">
        <f>IFERROR(AGGREGATE(15,6,ROW('Input Transaksi'!$B$5:$B$5000)/('Input Transaksi'!$B$5:$B$5000="BALI WASH GALANG"),ROWS($E$5:E470)),"")</f>
        <v/>
      </c>
      <c r="F470" s="5" t="n"/>
    </row>
    <row r="471">
      <c r="A471" s="10">
        <f>IF($E471="","",INDEX('Input Transaksi'!$A:$A,$E471))</f>
        <v/>
      </c>
      <c r="B471" s="5">
        <f>IF($E471="","",INDEX('Input Transaksi'!$D:$D,$E471))</f>
        <v/>
      </c>
      <c r="C471">
        <f>IF($E471="","",INDEX('Input Transaksi'!$E:$E,$E471))</f>
        <v/>
      </c>
      <c r="D471" s="5">
        <f>IF($E471="","",INDEX('Input Transaksi'!$F:$F,$E471))</f>
        <v/>
      </c>
      <c r="E471">
        <f>IFERROR(AGGREGATE(15,6,ROW('Input Transaksi'!$B$5:$B$5000)/('Input Transaksi'!$B$5:$B$5000="BALI WASH GALANG"),ROWS($E$5:E471)),"")</f>
        <v/>
      </c>
      <c r="F471" s="5" t="n"/>
    </row>
    <row r="472">
      <c r="A472" s="10">
        <f>IF($E472="","",INDEX('Input Transaksi'!$A:$A,$E472))</f>
        <v/>
      </c>
      <c r="B472" s="5">
        <f>IF($E472="","",INDEX('Input Transaksi'!$D:$D,$E472))</f>
        <v/>
      </c>
      <c r="C472">
        <f>IF($E472="","",INDEX('Input Transaksi'!$E:$E,$E472))</f>
        <v/>
      </c>
      <c r="D472" s="5">
        <f>IF($E472="","",INDEX('Input Transaksi'!$F:$F,$E472))</f>
        <v/>
      </c>
      <c r="E472">
        <f>IFERROR(AGGREGATE(15,6,ROW('Input Transaksi'!$B$5:$B$5000)/('Input Transaksi'!$B$5:$B$5000="BALI WASH GALANG"),ROWS($E$5:E472)),"")</f>
        <v/>
      </c>
      <c r="F472" s="5" t="n"/>
    </row>
    <row r="473">
      <c r="A473" s="10">
        <f>IF($E473="","",INDEX('Input Transaksi'!$A:$A,$E473))</f>
        <v/>
      </c>
      <c r="B473" s="5">
        <f>IF($E473="","",INDEX('Input Transaksi'!$D:$D,$E473))</f>
        <v/>
      </c>
      <c r="C473">
        <f>IF($E473="","",INDEX('Input Transaksi'!$E:$E,$E473))</f>
        <v/>
      </c>
      <c r="D473" s="5">
        <f>IF($E473="","",INDEX('Input Transaksi'!$F:$F,$E473))</f>
        <v/>
      </c>
      <c r="E473">
        <f>IFERROR(AGGREGATE(15,6,ROW('Input Transaksi'!$B$5:$B$5000)/('Input Transaksi'!$B$5:$B$5000="BALI WASH GALANG"),ROWS($E$5:E473)),"")</f>
        <v/>
      </c>
      <c r="F473" s="5" t="n"/>
    </row>
    <row r="474">
      <c r="A474" s="10">
        <f>IF($E474="","",INDEX('Input Transaksi'!$A:$A,$E474))</f>
        <v/>
      </c>
      <c r="B474" s="5">
        <f>IF($E474="","",INDEX('Input Transaksi'!$D:$D,$E474))</f>
        <v/>
      </c>
      <c r="C474">
        <f>IF($E474="","",INDEX('Input Transaksi'!$E:$E,$E474))</f>
        <v/>
      </c>
      <c r="D474" s="5">
        <f>IF($E474="","",INDEX('Input Transaksi'!$F:$F,$E474))</f>
        <v/>
      </c>
      <c r="E474">
        <f>IFERROR(AGGREGATE(15,6,ROW('Input Transaksi'!$B$5:$B$5000)/('Input Transaksi'!$B$5:$B$5000="BALI WASH GALANG"),ROWS($E$5:E474)),"")</f>
        <v/>
      </c>
      <c r="F474" s="5" t="n"/>
    </row>
    <row r="475">
      <c r="A475" s="10">
        <f>IF($E475="","",INDEX('Input Transaksi'!$A:$A,$E475))</f>
        <v/>
      </c>
      <c r="B475" s="5">
        <f>IF($E475="","",INDEX('Input Transaksi'!$D:$D,$E475))</f>
        <v/>
      </c>
      <c r="C475">
        <f>IF($E475="","",INDEX('Input Transaksi'!$E:$E,$E475))</f>
        <v/>
      </c>
      <c r="D475" s="5">
        <f>IF($E475="","",INDEX('Input Transaksi'!$F:$F,$E475))</f>
        <v/>
      </c>
      <c r="E475">
        <f>IFERROR(AGGREGATE(15,6,ROW('Input Transaksi'!$B$5:$B$5000)/('Input Transaksi'!$B$5:$B$5000="BALI WASH GALANG"),ROWS($E$5:E475)),"")</f>
        <v/>
      </c>
      <c r="F475" s="5" t="n"/>
    </row>
    <row r="476">
      <c r="A476" s="10">
        <f>IF($E476="","",INDEX('Input Transaksi'!$A:$A,$E476))</f>
        <v/>
      </c>
      <c r="B476" s="5">
        <f>IF($E476="","",INDEX('Input Transaksi'!$D:$D,$E476))</f>
        <v/>
      </c>
      <c r="C476">
        <f>IF($E476="","",INDEX('Input Transaksi'!$E:$E,$E476))</f>
        <v/>
      </c>
      <c r="D476" s="5">
        <f>IF($E476="","",INDEX('Input Transaksi'!$F:$F,$E476))</f>
        <v/>
      </c>
      <c r="E476">
        <f>IFERROR(AGGREGATE(15,6,ROW('Input Transaksi'!$B$5:$B$5000)/('Input Transaksi'!$B$5:$B$5000="BALI WASH GALANG"),ROWS($E$5:E476)),"")</f>
        <v/>
      </c>
      <c r="F476" s="5" t="n"/>
    </row>
    <row r="477">
      <c r="A477" s="10">
        <f>IF($E477="","",INDEX('Input Transaksi'!$A:$A,$E477))</f>
        <v/>
      </c>
      <c r="B477" s="5">
        <f>IF($E477="","",INDEX('Input Transaksi'!$D:$D,$E477))</f>
        <v/>
      </c>
      <c r="C477">
        <f>IF($E477="","",INDEX('Input Transaksi'!$E:$E,$E477))</f>
        <v/>
      </c>
      <c r="D477" s="5">
        <f>IF($E477="","",INDEX('Input Transaksi'!$F:$F,$E477))</f>
        <v/>
      </c>
      <c r="E477">
        <f>IFERROR(AGGREGATE(15,6,ROW('Input Transaksi'!$B$5:$B$5000)/('Input Transaksi'!$B$5:$B$5000="BALI WASH GALANG"),ROWS($E$5:E477)),"")</f>
        <v/>
      </c>
      <c r="F477" s="5" t="n"/>
    </row>
    <row r="478">
      <c r="A478" s="10">
        <f>IF($E478="","",INDEX('Input Transaksi'!$A:$A,$E478))</f>
        <v/>
      </c>
      <c r="B478" s="5">
        <f>IF($E478="","",INDEX('Input Transaksi'!$D:$D,$E478))</f>
        <v/>
      </c>
      <c r="C478">
        <f>IF($E478="","",INDEX('Input Transaksi'!$E:$E,$E478))</f>
        <v/>
      </c>
      <c r="D478" s="5">
        <f>IF($E478="","",INDEX('Input Transaksi'!$F:$F,$E478))</f>
        <v/>
      </c>
      <c r="E478">
        <f>IFERROR(AGGREGATE(15,6,ROW('Input Transaksi'!$B$5:$B$5000)/('Input Transaksi'!$B$5:$B$5000="BALI WASH GALANG"),ROWS($E$5:E478)),"")</f>
        <v/>
      </c>
      <c r="F478" s="5" t="n"/>
    </row>
    <row r="479">
      <c r="A479" s="10">
        <f>IF($E479="","",INDEX('Input Transaksi'!$A:$A,$E479))</f>
        <v/>
      </c>
      <c r="B479" s="5">
        <f>IF($E479="","",INDEX('Input Transaksi'!$D:$D,$E479))</f>
        <v/>
      </c>
      <c r="C479">
        <f>IF($E479="","",INDEX('Input Transaksi'!$E:$E,$E479))</f>
        <v/>
      </c>
      <c r="D479" s="5">
        <f>IF($E479="","",INDEX('Input Transaksi'!$F:$F,$E479))</f>
        <v/>
      </c>
      <c r="E479">
        <f>IFERROR(AGGREGATE(15,6,ROW('Input Transaksi'!$B$5:$B$5000)/('Input Transaksi'!$B$5:$B$5000="BALI WASH GALANG"),ROWS($E$5:E479)),"")</f>
        <v/>
      </c>
      <c r="F479" s="5" t="n"/>
    </row>
    <row r="480">
      <c r="A480" s="10">
        <f>IF($E480="","",INDEX('Input Transaksi'!$A:$A,$E480))</f>
        <v/>
      </c>
      <c r="B480" s="5">
        <f>IF($E480="","",INDEX('Input Transaksi'!$D:$D,$E480))</f>
        <v/>
      </c>
      <c r="C480">
        <f>IF($E480="","",INDEX('Input Transaksi'!$E:$E,$E480))</f>
        <v/>
      </c>
      <c r="D480" s="5">
        <f>IF($E480="","",INDEX('Input Transaksi'!$F:$F,$E480))</f>
        <v/>
      </c>
      <c r="E480">
        <f>IFERROR(AGGREGATE(15,6,ROW('Input Transaksi'!$B$5:$B$5000)/('Input Transaksi'!$B$5:$B$5000="BALI WASH GALANG"),ROWS($E$5:E480)),"")</f>
        <v/>
      </c>
      <c r="F480" s="5" t="n"/>
    </row>
    <row r="481">
      <c r="A481" s="10">
        <f>IF($E481="","",INDEX('Input Transaksi'!$A:$A,$E481))</f>
        <v/>
      </c>
      <c r="B481" s="5">
        <f>IF($E481="","",INDEX('Input Transaksi'!$D:$D,$E481))</f>
        <v/>
      </c>
      <c r="C481">
        <f>IF($E481="","",INDEX('Input Transaksi'!$E:$E,$E481))</f>
        <v/>
      </c>
      <c r="D481" s="5">
        <f>IF($E481="","",INDEX('Input Transaksi'!$F:$F,$E481))</f>
        <v/>
      </c>
      <c r="E481">
        <f>IFERROR(AGGREGATE(15,6,ROW('Input Transaksi'!$B$5:$B$5000)/('Input Transaksi'!$B$5:$B$5000="BALI WASH GALANG"),ROWS($E$5:E481)),"")</f>
        <v/>
      </c>
      <c r="F481" s="5" t="n"/>
    </row>
    <row r="482">
      <c r="A482" s="10">
        <f>IF($E482="","",INDEX('Input Transaksi'!$A:$A,$E482))</f>
        <v/>
      </c>
      <c r="B482" s="5">
        <f>IF($E482="","",INDEX('Input Transaksi'!$D:$D,$E482))</f>
        <v/>
      </c>
      <c r="C482">
        <f>IF($E482="","",INDEX('Input Transaksi'!$E:$E,$E482))</f>
        <v/>
      </c>
      <c r="D482" s="5">
        <f>IF($E482="","",INDEX('Input Transaksi'!$F:$F,$E482))</f>
        <v/>
      </c>
      <c r="E482">
        <f>IFERROR(AGGREGATE(15,6,ROW('Input Transaksi'!$B$5:$B$5000)/('Input Transaksi'!$B$5:$B$5000="BALI WASH GALANG"),ROWS($E$5:E482)),"")</f>
        <v/>
      </c>
      <c r="F482" s="5" t="n"/>
    </row>
    <row r="483">
      <c r="A483" s="10">
        <f>IF($E483="","",INDEX('Input Transaksi'!$A:$A,$E483))</f>
        <v/>
      </c>
      <c r="B483" s="5">
        <f>IF($E483="","",INDEX('Input Transaksi'!$D:$D,$E483))</f>
        <v/>
      </c>
      <c r="C483">
        <f>IF($E483="","",INDEX('Input Transaksi'!$E:$E,$E483))</f>
        <v/>
      </c>
      <c r="D483" s="5">
        <f>IF($E483="","",INDEX('Input Transaksi'!$F:$F,$E483))</f>
        <v/>
      </c>
      <c r="E483">
        <f>IFERROR(AGGREGATE(15,6,ROW('Input Transaksi'!$B$5:$B$5000)/('Input Transaksi'!$B$5:$B$5000="BALI WASH GALANG"),ROWS($E$5:E483)),"")</f>
        <v/>
      </c>
      <c r="F483" s="5" t="n"/>
    </row>
    <row r="484">
      <c r="A484" s="10">
        <f>IF($E484="","",INDEX('Input Transaksi'!$A:$A,$E484))</f>
        <v/>
      </c>
      <c r="B484" s="5">
        <f>IF($E484="","",INDEX('Input Transaksi'!$D:$D,$E484))</f>
        <v/>
      </c>
      <c r="C484">
        <f>IF($E484="","",INDEX('Input Transaksi'!$E:$E,$E484))</f>
        <v/>
      </c>
      <c r="D484" s="5">
        <f>IF($E484="","",INDEX('Input Transaksi'!$F:$F,$E484))</f>
        <v/>
      </c>
      <c r="E484">
        <f>IFERROR(AGGREGATE(15,6,ROW('Input Transaksi'!$B$5:$B$5000)/('Input Transaksi'!$B$5:$B$5000="BALI WASH GALANG"),ROWS($E$5:E484)),"")</f>
        <v/>
      </c>
      <c r="F484" s="5" t="n"/>
    </row>
    <row r="485">
      <c r="A485" s="10">
        <f>IF($E485="","",INDEX('Input Transaksi'!$A:$A,$E485))</f>
        <v/>
      </c>
      <c r="B485" s="5">
        <f>IF($E485="","",INDEX('Input Transaksi'!$D:$D,$E485))</f>
        <v/>
      </c>
      <c r="C485">
        <f>IF($E485="","",INDEX('Input Transaksi'!$E:$E,$E485))</f>
        <v/>
      </c>
      <c r="D485" s="5">
        <f>IF($E485="","",INDEX('Input Transaksi'!$F:$F,$E485))</f>
        <v/>
      </c>
      <c r="E485">
        <f>IFERROR(AGGREGATE(15,6,ROW('Input Transaksi'!$B$5:$B$5000)/('Input Transaksi'!$B$5:$B$5000="BALI WASH GALANG"),ROWS($E$5:E485)),"")</f>
        <v/>
      </c>
      <c r="F485" s="5" t="n"/>
    </row>
    <row r="486">
      <c r="A486" s="10">
        <f>IF($E486="","",INDEX('Input Transaksi'!$A:$A,$E486))</f>
        <v/>
      </c>
      <c r="B486" s="5">
        <f>IF($E486="","",INDEX('Input Transaksi'!$D:$D,$E486))</f>
        <v/>
      </c>
      <c r="C486">
        <f>IF($E486="","",INDEX('Input Transaksi'!$E:$E,$E486))</f>
        <v/>
      </c>
      <c r="D486" s="5">
        <f>IF($E486="","",INDEX('Input Transaksi'!$F:$F,$E486))</f>
        <v/>
      </c>
      <c r="E486">
        <f>IFERROR(AGGREGATE(15,6,ROW('Input Transaksi'!$B$5:$B$5000)/('Input Transaksi'!$B$5:$B$5000="BALI WASH GALANG"),ROWS($E$5:E486)),"")</f>
        <v/>
      </c>
      <c r="F486" s="5" t="n"/>
    </row>
    <row r="487">
      <c r="A487" s="10">
        <f>IF($E487="","",INDEX('Input Transaksi'!$A:$A,$E487))</f>
        <v/>
      </c>
      <c r="B487" s="5">
        <f>IF($E487="","",INDEX('Input Transaksi'!$D:$D,$E487))</f>
        <v/>
      </c>
      <c r="C487">
        <f>IF($E487="","",INDEX('Input Transaksi'!$E:$E,$E487))</f>
        <v/>
      </c>
      <c r="D487" s="5">
        <f>IF($E487="","",INDEX('Input Transaksi'!$F:$F,$E487))</f>
        <v/>
      </c>
      <c r="E487">
        <f>IFERROR(AGGREGATE(15,6,ROW('Input Transaksi'!$B$5:$B$5000)/('Input Transaksi'!$B$5:$B$5000="BALI WASH GALANG"),ROWS($E$5:E487)),"")</f>
        <v/>
      </c>
      <c r="F487" s="5" t="n"/>
    </row>
    <row r="488">
      <c r="A488" s="10">
        <f>IF($E488="","",INDEX('Input Transaksi'!$A:$A,$E488))</f>
        <v/>
      </c>
      <c r="B488" s="5">
        <f>IF($E488="","",INDEX('Input Transaksi'!$D:$D,$E488))</f>
        <v/>
      </c>
      <c r="C488">
        <f>IF($E488="","",INDEX('Input Transaksi'!$E:$E,$E488))</f>
        <v/>
      </c>
      <c r="D488" s="5">
        <f>IF($E488="","",INDEX('Input Transaksi'!$F:$F,$E488))</f>
        <v/>
      </c>
      <c r="E488">
        <f>IFERROR(AGGREGATE(15,6,ROW('Input Transaksi'!$B$5:$B$5000)/('Input Transaksi'!$B$5:$B$5000="BALI WASH GALANG"),ROWS($E$5:E488)),"")</f>
        <v/>
      </c>
      <c r="F488" s="5" t="n"/>
    </row>
    <row r="489">
      <c r="A489" s="10">
        <f>IF($E489="","",INDEX('Input Transaksi'!$A:$A,$E489))</f>
        <v/>
      </c>
      <c r="B489" s="5">
        <f>IF($E489="","",INDEX('Input Transaksi'!$D:$D,$E489))</f>
        <v/>
      </c>
      <c r="C489">
        <f>IF($E489="","",INDEX('Input Transaksi'!$E:$E,$E489))</f>
        <v/>
      </c>
      <c r="D489" s="5">
        <f>IF($E489="","",INDEX('Input Transaksi'!$F:$F,$E489))</f>
        <v/>
      </c>
      <c r="E489">
        <f>IFERROR(AGGREGATE(15,6,ROW('Input Transaksi'!$B$5:$B$5000)/('Input Transaksi'!$B$5:$B$5000="BALI WASH GALANG"),ROWS($E$5:E489)),"")</f>
        <v/>
      </c>
      <c r="F489" s="5" t="n"/>
    </row>
    <row r="490">
      <c r="A490" s="10">
        <f>IF($E490="","",INDEX('Input Transaksi'!$A:$A,$E490))</f>
        <v/>
      </c>
      <c r="B490" s="5">
        <f>IF($E490="","",INDEX('Input Transaksi'!$D:$D,$E490))</f>
        <v/>
      </c>
      <c r="C490">
        <f>IF($E490="","",INDEX('Input Transaksi'!$E:$E,$E490))</f>
        <v/>
      </c>
      <c r="D490" s="5">
        <f>IF($E490="","",INDEX('Input Transaksi'!$F:$F,$E490))</f>
        <v/>
      </c>
      <c r="E490">
        <f>IFERROR(AGGREGATE(15,6,ROW('Input Transaksi'!$B$5:$B$5000)/('Input Transaksi'!$B$5:$B$5000="BALI WASH GALANG"),ROWS($E$5:E490)),"")</f>
        <v/>
      </c>
      <c r="F490" s="5" t="n"/>
    </row>
    <row r="491">
      <c r="A491" s="10">
        <f>IF($E491="","",INDEX('Input Transaksi'!$A:$A,$E491))</f>
        <v/>
      </c>
      <c r="B491" s="5">
        <f>IF($E491="","",INDEX('Input Transaksi'!$D:$D,$E491))</f>
        <v/>
      </c>
      <c r="C491">
        <f>IF($E491="","",INDEX('Input Transaksi'!$E:$E,$E491))</f>
        <v/>
      </c>
      <c r="D491" s="5">
        <f>IF($E491="","",INDEX('Input Transaksi'!$F:$F,$E491))</f>
        <v/>
      </c>
      <c r="E491">
        <f>IFERROR(AGGREGATE(15,6,ROW('Input Transaksi'!$B$5:$B$5000)/('Input Transaksi'!$B$5:$B$5000="BALI WASH GALANG"),ROWS($E$5:E491)),"")</f>
        <v/>
      </c>
      <c r="F491" s="5" t="n"/>
    </row>
    <row r="492">
      <c r="A492" s="10">
        <f>IF($E492="","",INDEX('Input Transaksi'!$A:$A,$E492))</f>
        <v/>
      </c>
      <c r="B492" s="5">
        <f>IF($E492="","",INDEX('Input Transaksi'!$D:$D,$E492))</f>
        <v/>
      </c>
      <c r="C492">
        <f>IF($E492="","",INDEX('Input Transaksi'!$E:$E,$E492))</f>
        <v/>
      </c>
      <c r="D492" s="5">
        <f>IF($E492="","",INDEX('Input Transaksi'!$F:$F,$E492))</f>
        <v/>
      </c>
      <c r="E492">
        <f>IFERROR(AGGREGATE(15,6,ROW('Input Transaksi'!$B$5:$B$5000)/('Input Transaksi'!$B$5:$B$5000="BALI WASH GALANG"),ROWS($E$5:E492)),"")</f>
        <v/>
      </c>
      <c r="F492" s="5" t="n"/>
    </row>
    <row r="493">
      <c r="A493" s="10">
        <f>IF($E493="","",INDEX('Input Transaksi'!$A:$A,$E493))</f>
        <v/>
      </c>
      <c r="B493" s="5">
        <f>IF($E493="","",INDEX('Input Transaksi'!$D:$D,$E493))</f>
        <v/>
      </c>
      <c r="C493">
        <f>IF($E493="","",INDEX('Input Transaksi'!$E:$E,$E493))</f>
        <v/>
      </c>
      <c r="D493" s="5">
        <f>IF($E493="","",INDEX('Input Transaksi'!$F:$F,$E493))</f>
        <v/>
      </c>
      <c r="E493">
        <f>IFERROR(AGGREGATE(15,6,ROW('Input Transaksi'!$B$5:$B$5000)/('Input Transaksi'!$B$5:$B$5000="BALI WASH GALANG"),ROWS($E$5:E493)),"")</f>
        <v/>
      </c>
      <c r="F493" s="5" t="n"/>
    </row>
    <row r="494">
      <c r="A494" s="10">
        <f>IF($E494="","",INDEX('Input Transaksi'!$A:$A,$E494))</f>
        <v/>
      </c>
      <c r="B494" s="5">
        <f>IF($E494="","",INDEX('Input Transaksi'!$D:$D,$E494))</f>
        <v/>
      </c>
      <c r="C494">
        <f>IF($E494="","",INDEX('Input Transaksi'!$E:$E,$E494))</f>
        <v/>
      </c>
      <c r="D494" s="5">
        <f>IF($E494="","",INDEX('Input Transaksi'!$F:$F,$E494))</f>
        <v/>
      </c>
      <c r="E494">
        <f>IFERROR(AGGREGATE(15,6,ROW('Input Transaksi'!$B$5:$B$5000)/('Input Transaksi'!$B$5:$B$5000="BALI WASH GALANG"),ROWS($E$5:E494)),"")</f>
        <v/>
      </c>
      <c r="F494" s="5" t="n"/>
    </row>
    <row r="495">
      <c r="A495" s="10">
        <f>IF($E495="","",INDEX('Input Transaksi'!$A:$A,$E495))</f>
        <v/>
      </c>
      <c r="B495" s="5">
        <f>IF($E495="","",INDEX('Input Transaksi'!$D:$D,$E495))</f>
        <v/>
      </c>
      <c r="C495">
        <f>IF($E495="","",INDEX('Input Transaksi'!$E:$E,$E495))</f>
        <v/>
      </c>
      <c r="D495" s="5">
        <f>IF($E495="","",INDEX('Input Transaksi'!$F:$F,$E495))</f>
        <v/>
      </c>
      <c r="E495">
        <f>IFERROR(AGGREGATE(15,6,ROW('Input Transaksi'!$B$5:$B$5000)/('Input Transaksi'!$B$5:$B$5000="BALI WASH GALANG"),ROWS($E$5:E495)),"")</f>
        <v/>
      </c>
      <c r="F495" s="5" t="n"/>
    </row>
    <row r="496">
      <c r="A496" s="10">
        <f>IF($E496="","",INDEX('Input Transaksi'!$A:$A,$E496))</f>
        <v/>
      </c>
      <c r="B496" s="5">
        <f>IF($E496="","",INDEX('Input Transaksi'!$D:$D,$E496))</f>
        <v/>
      </c>
      <c r="C496">
        <f>IF($E496="","",INDEX('Input Transaksi'!$E:$E,$E496))</f>
        <v/>
      </c>
      <c r="D496" s="5">
        <f>IF($E496="","",INDEX('Input Transaksi'!$F:$F,$E496))</f>
        <v/>
      </c>
      <c r="E496">
        <f>IFERROR(AGGREGATE(15,6,ROW('Input Transaksi'!$B$5:$B$5000)/('Input Transaksi'!$B$5:$B$5000="BALI WASH GALANG"),ROWS($E$5:E496)),"")</f>
        <v/>
      </c>
      <c r="F496" s="5" t="n"/>
    </row>
    <row r="497">
      <c r="A497" s="10">
        <f>IF($E497="","",INDEX('Input Transaksi'!$A:$A,$E497))</f>
        <v/>
      </c>
      <c r="B497" s="5">
        <f>IF($E497="","",INDEX('Input Transaksi'!$D:$D,$E497))</f>
        <v/>
      </c>
      <c r="C497">
        <f>IF($E497="","",INDEX('Input Transaksi'!$E:$E,$E497))</f>
        <v/>
      </c>
      <c r="D497" s="5">
        <f>IF($E497="","",INDEX('Input Transaksi'!$F:$F,$E497))</f>
        <v/>
      </c>
      <c r="E497">
        <f>IFERROR(AGGREGATE(15,6,ROW('Input Transaksi'!$B$5:$B$5000)/('Input Transaksi'!$B$5:$B$5000="BALI WASH GALANG"),ROWS($E$5:E497)),"")</f>
        <v/>
      </c>
      <c r="F497" s="5" t="n"/>
    </row>
    <row r="498">
      <c r="A498" s="10">
        <f>IF($E498="","",INDEX('Input Transaksi'!$A:$A,$E498))</f>
        <v/>
      </c>
      <c r="B498" s="5">
        <f>IF($E498="","",INDEX('Input Transaksi'!$D:$D,$E498))</f>
        <v/>
      </c>
      <c r="C498">
        <f>IF($E498="","",INDEX('Input Transaksi'!$E:$E,$E498))</f>
        <v/>
      </c>
      <c r="D498" s="5">
        <f>IF($E498="","",INDEX('Input Transaksi'!$F:$F,$E498))</f>
        <v/>
      </c>
      <c r="E498">
        <f>IFERROR(AGGREGATE(15,6,ROW('Input Transaksi'!$B$5:$B$5000)/('Input Transaksi'!$B$5:$B$5000="BALI WASH GALANG"),ROWS($E$5:E498)),"")</f>
        <v/>
      </c>
      <c r="F498" s="5" t="n"/>
    </row>
    <row r="499">
      <c r="A499" s="10">
        <f>IF($E499="","",INDEX('Input Transaksi'!$A:$A,$E499))</f>
        <v/>
      </c>
      <c r="B499" s="5">
        <f>IF($E499="","",INDEX('Input Transaksi'!$D:$D,$E499))</f>
        <v/>
      </c>
      <c r="C499">
        <f>IF($E499="","",INDEX('Input Transaksi'!$E:$E,$E499))</f>
        <v/>
      </c>
      <c r="D499" s="5">
        <f>IF($E499="","",INDEX('Input Transaksi'!$F:$F,$E499))</f>
        <v/>
      </c>
      <c r="E499">
        <f>IFERROR(AGGREGATE(15,6,ROW('Input Transaksi'!$B$5:$B$5000)/('Input Transaksi'!$B$5:$B$5000="BALI WASH GALANG"),ROWS($E$5:E499)),"")</f>
        <v/>
      </c>
      <c r="F499" s="5" t="n"/>
    </row>
    <row r="500">
      <c r="A500" s="10">
        <f>IF($E500="","",INDEX('Input Transaksi'!$A:$A,$E500))</f>
        <v/>
      </c>
      <c r="B500" s="5">
        <f>IF($E500="","",INDEX('Input Transaksi'!$D:$D,$E500))</f>
        <v/>
      </c>
      <c r="C500">
        <f>IF($E500="","",INDEX('Input Transaksi'!$E:$E,$E500))</f>
        <v/>
      </c>
      <c r="D500" s="5">
        <f>IF($E500="","",INDEX('Input Transaksi'!$F:$F,$E500))</f>
        <v/>
      </c>
      <c r="E500">
        <f>IFERROR(AGGREGATE(15,6,ROW('Input Transaksi'!$B$5:$B$5000)/('Input Transaksi'!$B$5:$B$5000="BALI WASH GALANG"),ROWS($E$5:E500)),"")</f>
        <v/>
      </c>
      <c r="F500" s="5" t="n"/>
    </row>
    <row r="501">
      <c r="A501" s="10">
        <f>IF($E501="","",INDEX('Input Transaksi'!$A:$A,$E501))</f>
        <v/>
      </c>
      <c r="B501" s="5">
        <f>IF($E501="","",INDEX('Input Transaksi'!$D:$D,$E501))</f>
        <v/>
      </c>
      <c r="C501">
        <f>IF($E501="","",INDEX('Input Transaksi'!$E:$E,$E501))</f>
        <v/>
      </c>
      <c r="D501" s="5">
        <f>IF($E501="","",INDEX('Input Transaksi'!$F:$F,$E501))</f>
        <v/>
      </c>
      <c r="E501">
        <f>IFERROR(AGGREGATE(15,6,ROW('Input Transaksi'!$B$5:$B$5000)/('Input Transaksi'!$B$5:$B$5000="BALI WASH GALANG"),ROWS($E$5:E501)),"")</f>
        <v/>
      </c>
      <c r="F501" s="5" t="n"/>
    </row>
    <row r="502">
      <c r="A502" s="10">
        <f>IF($E502="","",INDEX('Input Transaksi'!$A:$A,$E502))</f>
        <v/>
      </c>
      <c r="B502" s="5">
        <f>IF($E502="","",INDEX('Input Transaksi'!$D:$D,$E502))</f>
        <v/>
      </c>
      <c r="C502">
        <f>IF($E502="","",INDEX('Input Transaksi'!$E:$E,$E502))</f>
        <v/>
      </c>
      <c r="D502" s="5">
        <f>IF($E502="","",INDEX('Input Transaksi'!$F:$F,$E502))</f>
        <v/>
      </c>
      <c r="E502">
        <f>IFERROR(AGGREGATE(15,6,ROW('Input Transaksi'!$B$5:$B$5000)/('Input Transaksi'!$B$5:$B$5000="BALI WASH GALANG"),ROWS($E$5:E502)),"")</f>
        <v/>
      </c>
      <c r="F502" s="5" t="n"/>
    </row>
    <row r="503">
      <c r="A503" s="10">
        <f>IF($E503="","",INDEX('Input Transaksi'!$A:$A,$E503))</f>
        <v/>
      </c>
      <c r="B503" s="5">
        <f>IF($E503="","",INDEX('Input Transaksi'!$D:$D,$E503))</f>
        <v/>
      </c>
      <c r="C503">
        <f>IF($E503="","",INDEX('Input Transaksi'!$E:$E,$E503))</f>
        <v/>
      </c>
      <c r="D503" s="5">
        <f>IF($E503="","",INDEX('Input Transaksi'!$F:$F,$E503))</f>
        <v/>
      </c>
      <c r="E503">
        <f>IFERROR(AGGREGATE(15,6,ROW('Input Transaksi'!$B$5:$B$5000)/('Input Transaksi'!$B$5:$B$5000="BALI WASH GALANG"),ROWS($E$5:E503)),"")</f>
        <v/>
      </c>
      <c r="F503" s="5" t="n"/>
    </row>
    <row r="504">
      <c r="A504" s="10">
        <f>IF($E504="","",INDEX('Input Transaksi'!$A:$A,$E504))</f>
        <v/>
      </c>
      <c r="B504" s="5">
        <f>IF($E504="","",INDEX('Input Transaksi'!$D:$D,$E504))</f>
        <v/>
      </c>
      <c r="C504">
        <f>IF($E504="","",INDEX('Input Transaksi'!$E:$E,$E504))</f>
        <v/>
      </c>
      <c r="D504" s="5">
        <f>IF($E504="","",INDEX('Input Transaksi'!$F:$F,$E504))</f>
        <v/>
      </c>
      <c r="E504">
        <f>IFERROR(AGGREGATE(15,6,ROW('Input Transaksi'!$B$5:$B$5000)/('Input Transaksi'!$B$5:$B$5000="BALI WASH GALANG"),ROWS($E$5:E504)),"")</f>
        <v/>
      </c>
      <c r="F504" s="5" t="n"/>
    </row>
    <row r="505">
      <c r="A505" s="10">
        <f>IF($E505="","",INDEX('Input Transaksi'!$A:$A,$E505))</f>
        <v/>
      </c>
      <c r="B505" s="5">
        <f>IF($E505="","",INDEX('Input Transaksi'!$D:$D,$E505))</f>
        <v/>
      </c>
      <c r="C505">
        <f>IF($E505="","",INDEX('Input Transaksi'!$E:$E,$E505))</f>
        <v/>
      </c>
      <c r="D505" s="5">
        <f>IF($E505="","",INDEX('Input Transaksi'!$F:$F,$E505))</f>
        <v/>
      </c>
      <c r="E505">
        <f>IFERROR(AGGREGATE(15,6,ROW('Input Transaksi'!$B$5:$B$5000)/('Input Transaksi'!$B$5:$B$5000="BALI WASH GALANG"),ROWS($E$5:E505)),"")</f>
        <v/>
      </c>
      <c r="F505" s="5" t="n"/>
    </row>
    <row r="506">
      <c r="A506" s="10">
        <f>IF($E506="","",INDEX('Input Transaksi'!$A:$A,$E506))</f>
        <v/>
      </c>
      <c r="B506" s="5">
        <f>IF($E506="","",INDEX('Input Transaksi'!$D:$D,$E506))</f>
        <v/>
      </c>
      <c r="C506">
        <f>IF($E506="","",INDEX('Input Transaksi'!$E:$E,$E506))</f>
        <v/>
      </c>
      <c r="D506" s="5">
        <f>IF($E506="","",INDEX('Input Transaksi'!$F:$F,$E506))</f>
        <v/>
      </c>
      <c r="E506">
        <f>IFERROR(AGGREGATE(15,6,ROW('Input Transaksi'!$B$5:$B$5000)/('Input Transaksi'!$B$5:$B$5000="BALI WASH GALANG"),ROWS($E$5:E506)),"")</f>
        <v/>
      </c>
      <c r="F506" s="5" t="n"/>
    </row>
    <row r="507">
      <c r="A507" s="10">
        <f>IF($E507="","",INDEX('Input Transaksi'!$A:$A,$E507))</f>
        <v/>
      </c>
      <c r="B507" s="5">
        <f>IF($E507="","",INDEX('Input Transaksi'!$D:$D,$E507))</f>
        <v/>
      </c>
      <c r="C507">
        <f>IF($E507="","",INDEX('Input Transaksi'!$E:$E,$E507))</f>
        <v/>
      </c>
      <c r="D507" s="5">
        <f>IF($E507="","",INDEX('Input Transaksi'!$F:$F,$E507))</f>
        <v/>
      </c>
      <c r="E507">
        <f>IFERROR(AGGREGATE(15,6,ROW('Input Transaksi'!$B$5:$B$5000)/('Input Transaksi'!$B$5:$B$5000="BALI WASH GALANG"),ROWS($E$5:E507)),"")</f>
        <v/>
      </c>
      <c r="F507" s="5" t="n"/>
    </row>
    <row r="508">
      <c r="A508" s="10">
        <f>IF($E508="","",INDEX('Input Transaksi'!$A:$A,$E508))</f>
        <v/>
      </c>
      <c r="B508" s="5">
        <f>IF($E508="","",INDEX('Input Transaksi'!$D:$D,$E508))</f>
        <v/>
      </c>
      <c r="C508">
        <f>IF($E508="","",INDEX('Input Transaksi'!$E:$E,$E508))</f>
        <v/>
      </c>
      <c r="D508" s="5">
        <f>IF($E508="","",INDEX('Input Transaksi'!$F:$F,$E508))</f>
        <v/>
      </c>
      <c r="E508">
        <f>IFERROR(AGGREGATE(15,6,ROW('Input Transaksi'!$B$5:$B$5000)/('Input Transaksi'!$B$5:$B$5000="BALI WASH GALANG"),ROWS($E$5:E508)),"")</f>
        <v/>
      </c>
      <c r="F508" s="5" t="n"/>
    </row>
    <row r="509">
      <c r="A509" s="10">
        <f>IF($E509="","",INDEX('Input Transaksi'!$A:$A,$E509))</f>
        <v/>
      </c>
      <c r="B509" s="5">
        <f>IF($E509="","",INDEX('Input Transaksi'!$D:$D,$E509))</f>
        <v/>
      </c>
      <c r="C509">
        <f>IF($E509="","",INDEX('Input Transaksi'!$E:$E,$E509))</f>
        <v/>
      </c>
      <c r="D509" s="5">
        <f>IF($E509="","",INDEX('Input Transaksi'!$F:$F,$E509))</f>
        <v/>
      </c>
      <c r="E509">
        <f>IFERROR(AGGREGATE(15,6,ROW('Input Transaksi'!$B$5:$B$5000)/('Input Transaksi'!$B$5:$B$5000="BALI WASH GALANG"),ROWS($E$5:E509)),"")</f>
        <v/>
      </c>
      <c r="F509" s="5" t="n"/>
    </row>
    <row r="510">
      <c r="A510" s="10">
        <f>IF($E510="","",INDEX('Input Transaksi'!$A:$A,$E510))</f>
        <v/>
      </c>
      <c r="B510" s="5">
        <f>IF($E510="","",INDEX('Input Transaksi'!$D:$D,$E510))</f>
        <v/>
      </c>
      <c r="C510">
        <f>IF($E510="","",INDEX('Input Transaksi'!$E:$E,$E510))</f>
        <v/>
      </c>
      <c r="D510" s="5">
        <f>IF($E510="","",INDEX('Input Transaksi'!$F:$F,$E510))</f>
        <v/>
      </c>
      <c r="E510">
        <f>IFERROR(AGGREGATE(15,6,ROW('Input Transaksi'!$B$5:$B$5000)/('Input Transaksi'!$B$5:$B$5000="BALI WASH GALANG"),ROWS($E$5:E510)),"")</f>
        <v/>
      </c>
      <c r="F510" s="5" t="n"/>
    </row>
    <row r="511">
      <c r="A511" s="10">
        <f>IF($E511="","",INDEX('Input Transaksi'!$A:$A,$E511))</f>
        <v/>
      </c>
      <c r="B511" s="5">
        <f>IF($E511="","",INDEX('Input Transaksi'!$D:$D,$E511))</f>
        <v/>
      </c>
      <c r="C511">
        <f>IF($E511="","",INDEX('Input Transaksi'!$E:$E,$E511))</f>
        <v/>
      </c>
      <c r="D511" s="5">
        <f>IF($E511="","",INDEX('Input Transaksi'!$F:$F,$E511))</f>
        <v/>
      </c>
      <c r="E511">
        <f>IFERROR(AGGREGATE(15,6,ROW('Input Transaksi'!$B$5:$B$5000)/('Input Transaksi'!$B$5:$B$5000="BALI WASH GALANG"),ROWS($E$5:E511)),"")</f>
        <v/>
      </c>
      <c r="F511" s="5" t="n"/>
    </row>
    <row r="512">
      <c r="A512" s="10">
        <f>IF($E512="","",INDEX('Input Transaksi'!$A:$A,$E512))</f>
        <v/>
      </c>
      <c r="B512" s="5">
        <f>IF($E512="","",INDEX('Input Transaksi'!$D:$D,$E512))</f>
        <v/>
      </c>
      <c r="C512">
        <f>IF($E512="","",INDEX('Input Transaksi'!$E:$E,$E512))</f>
        <v/>
      </c>
      <c r="D512" s="5">
        <f>IF($E512="","",INDEX('Input Transaksi'!$F:$F,$E512))</f>
        <v/>
      </c>
      <c r="E512">
        <f>IFERROR(AGGREGATE(15,6,ROW('Input Transaksi'!$B$5:$B$5000)/('Input Transaksi'!$B$5:$B$5000="BALI WASH GALANG"),ROWS($E$5:E512)),"")</f>
        <v/>
      </c>
      <c r="F512" s="5" t="n"/>
    </row>
    <row r="513">
      <c r="A513" s="10">
        <f>IF($E513="","",INDEX('Input Transaksi'!$A:$A,$E513))</f>
        <v/>
      </c>
      <c r="B513" s="5">
        <f>IF($E513="","",INDEX('Input Transaksi'!$D:$D,$E513))</f>
        <v/>
      </c>
      <c r="C513">
        <f>IF($E513="","",INDEX('Input Transaksi'!$E:$E,$E513))</f>
        <v/>
      </c>
      <c r="D513" s="5">
        <f>IF($E513="","",INDEX('Input Transaksi'!$F:$F,$E513))</f>
        <v/>
      </c>
      <c r="E513">
        <f>IFERROR(AGGREGATE(15,6,ROW('Input Transaksi'!$B$5:$B$5000)/('Input Transaksi'!$B$5:$B$5000="BALI WASH GALANG"),ROWS($E$5:E513)),"")</f>
        <v/>
      </c>
      <c r="F513" s="5" t="n"/>
    </row>
    <row r="514">
      <c r="A514" s="10">
        <f>IF($E514="","",INDEX('Input Transaksi'!$A:$A,$E514))</f>
        <v/>
      </c>
      <c r="B514" s="5">
        <f>IF($E514="","",INDEX('Input Transaksi'!$D:$D,$E514))</f>
        <v/>
      </c>
      <c r="C514">
        <f>IF($E514="","",INDEX('Input Transaksi'!$E:$E,$E514))</f>
        <v/>
      </c>
      <c r="D514" s="5">
        <f>IF($E514="","",INDEX('Input Transaksi'!$F:$F,$E514))</f>
        <v/>
      </c>
      <c r="E514">
        <f>IFERROR(AGGREGATE(15,6,ROW('Input Transaksi'!$B$5:$B$5000)/('Input Transaksi'!$B$5:$B$5000="BALI WASH GALANG"),ROWS($E$5:E514)),"")</f>
        <v/>
      </c>
      <c r="F514" s="5" t="n"/>
    </row>
    <row r="515">
      <c r="A515" s="10">
        <f>IF($E515="","",INDEX('Input Transaksi'!$A:$A,$E515))</f>
        <v/>
      </c>
      <c r="B515" s="5">
        <f>IF($E515="","",INDEX('Input Transaksi'!$D:$D,$E515))</f>
        <v/>
      </c>
      <c r="C515">
        <f>IF($E515="","",INDEX('Input Transaksi'!$E:$E,$E515))</f>
        <v/>
      </c>
      <c r="D515" s="5">
        <f>IF($E515="","",INDEX('Input Transaksi'!$F:$F,$E515))</f>
        <v/>
      </c>
      <c r="E515">
        <f>IFERROR(AGGREGATE(15,6,ROW('Input Transaksi'!$B$5:$B$5000)/('Input Transaksi'!$B$5:$B$5000="BALI WASH GALANG"),ROWS($E$5:E515)),"")</f>
        <v/>
      </c>
      <c r="F515" s="5" t="n"/>
    </row>
    <row r="516">
      <c r="A516" s="10">
        <f>IF($E516="","",INDEX('Input Transaksi'!$A:$A,$E516))</f>
        <v/>
      </c>
      <c r="B516" s="5">
        <f>IF($E516="","",INDEX('Input Transaksi'!$D:$D,$E516))</f>
        <v/>
      </c>
      <c r="C516">
        <f>IF($E516="","",INDEX('Input Transaksi'!$E:$E,$E516))</f>
        <v/>
      </c>
      <c r="D516" s="5">
        <f>IF($E516="","",INDEX('Input Transaksi'!$F:$F,$E516))</f>
        <v/>
      </c>
      <c r="E516">
        <f>IFERROR(AGGREGATE(15,6,ROW('Input Transaksi'!$B$5:$B$5000)/('Input Transaksi'!$B$5:$B$5000="BALI WASH GALANG"),ROWS($E$5:E516)),"")</f>
        <v/>
      </c>
      <c r="F516" s="5" t="n"/>
    </row>
    <row r="517">
      <c r="A517" s="10">
        <f>IF($E517="","",INDEX('Input Transaksi'!$A:$A,$E517))</f>
        <v/>
      </c>
      <c r="B517" s="5">
        <f>IF($E517="","",INDEX('Input Transaksi'!$D:$D,$E517))</f>
        <v/>
      </c>
      <c r="C517">
        <f>IF($E517="","",INDEX('Input Transaksi'!$E:$E,$E517))</f>
        <v/>
      </c>
      <c r="D517" s="5">
        <f>IF($E517="","",INDEX('Input Transaksi'!$F:$F,$E517))</f>
        <v/>
      </c>
      <c r="E517">
        <f>IFERROR(AGGREGATE(15,6,ROW('Input Transaksi'!$B$5:$B$5000)/('Input Transaksi'!$B$5:$B$5000="BALI WASH GALANG"),ROWS($E$5:E517)),"")</f>
        <v/>
      </c>
      <c r="F517" s="5" t="n"/>
    </row>
    <row r="518">
      <c r="A518" s="10">
        <f>IF($E518="","",INDEX('Input Transaksi'!$A:$A,$E518))</f>
        <v/>
      </c>
      <c r="B518" s="5">
        <f>IF($E518="","",INDEX('Input Transaksi'!$D:$D,$E518))</f>
        <v/>
      </c>
      <c r="C518">
        <f>IF($E518="","",INDEX('Input Transaksi'!$E:$E,$E518))</f>
        <v/>
      </c>
      <c r="D518" s="5">
        <f>IF($E518="","",INDEX('Input Transaksi'!$F:$F,$E518))</f>
        <v/>
      </c>
      <c r="E518">
        <f>IFERROR(AGGREGATE(15,6,ROW('Input Transaksi'!$B$5:$B$5000)/('Input Transaksi'!$B$5:$B$5000="BALI WASH GALANG"),ROWS($E$5:E518)),"")</f>
        <v/>
      </c>
      <c r="F518" s="5" t="n"/>
    </row>
    <row r="519">
      <c r="A519" s="10">
        <f>IF($E519="","",INDEX('Input Transaksi'!$A:$A,$E519))</f>
        <v/>
      </c>
      <c r="B519" s="5">
        <f>IF($E519="","",INDEX('Input Transaksi'!$D:$D,$E519))</f>
        <v/>
      </c>
      <c r="C519">
        <f>IF($E519="","",INDEX('Input Transaksi'!$E:$E,$E519))</f>
        <v/>
      </c>
      <c r="D519" s="5">
        <f>IF($E519="","",INDEX('Input Transaksi'!$F:$F,$E519))</f>
        <v/>
      </c>
      <c r="E519">
        <f>IFERROR(AGGREGATE(15,6,ROW('Input Transaksi'!$B$5:$B$5000)/('Input Transaksi'!$B$5:$B$5000="BALI WASH GALANG"),ROWS($E$5:E519)),"")</f>
        <v/>
      </c>
      <c r="F519" s="5" t="n"/>
    </row>
    <row r="520">
      <c r="A520" s="10">
        <f>IF($E520="","",INDEX('Input Transaksi'!$A:$A,$E520))</f>
        <v/>
      </c>
      <c r="B520" s="5">
        <f>IF($E520="","",INDEX('Input Transaksi'!$D:$D,$E520))</f>
        <v/>
      </c>
      <c r="C520">
        <f>IF($E520="","",INDEX('Input Transaksi'!$E:$E,$E520))</f>
        <v/>
      </c>
      <c r="D520" s="5">
        <f>IF($E520="","",INDEX('Input Transaksi'!$F:$F,$E520))</f>
        <v/>
      </c>
      <c r="E520">
        <f>IFERROR(AGGREGATE(15,6,ROW('Input Transaksi'!$B$5:$B$5000)/('Input Transaksi'!$B$5:$B$5000="BALI WASH GALANG"),ROWS($E$5:E520)),"")</f>
        <v/>
      </c>
      <c r="F520" s="5" t="n"/>
    </row>
    <row r="521">
      <c r="A521" s="10">
        <f>IF($E521="","",INDEX('Input Transaksi'!$A:$A,$E521))</f>
        <v/>
      </c>
      <c r="B521" s="5">
        <f>IF($E521="","",INDEX('Input Transaksi'!$D:$D,$E521))</f>
        <v/>
      </c>
      <c r="C521">
        <f>IF($E521="","",INDEX('Input Transaksi'!$E:$E,$E521))</f>
        <v/>
      </c>
      <c r="D521" s="5">
        <f>IF($E521="","",INDEX('Input Transaksi'!$F:$F,$E521))</f>
        <v/>
      </c>
      <c r="E521">
        <f>IFERROR(AGGREGATE(15,6,ROW('Input Transaksi'!$B$5:$B$5000)/('Input Transaksi'!$B$5:$B$5000="BALI WASH GALANG"),ROWS($E$5:E521)),"")</f>
        <v/>
      </c>
      <c r="F521" s="5" t="n"/>
    </row>
    <row r="522">
      <c r="A522" s="10">
        <f>IF($E522="","",INDEX('Input Transaksi'!$A:$A,$E522))</f>
        <v/>
      </c>
      <c r="B522" s="5">
        <f>IF($E522="","",INDEX('Input Transaksi'!$D:$D,$E522))</f>
        <v/>
      </c>
      <c r="C522">
        <f>IF($E522="","",INDEX('Input Transaksi'!$E:$E,$E522))</f>
        <v/>
      </c>
      <c r="D522" s="5">
        <f>IF($E522="","",INDEX('Input Transaksi'!$F:$F,$E522))</f>
        <v/>
      </c>
      <c r="E522">
        <f>IFERROR(AGGREGATE(15,6,ROW('Input Transaksi'!$B$5:$B$5000)/('Input Transaksi'!$B$5:$B$5000="BALI WASH GALANG"),ROWS($E$5:E522)),"")</f>
        <v/>
      </c>
      <c r="F522" s="5" t="n"/>
    </row>
    <row r="523">
      <c r="A523" s="10">
        <f>IF($E523="","",INDEX('Input Transaksi'!$A:$A,$E523))</f>
        <v/>
      </c>
      <c r="B523" s="5">
        <f>IF($E523="","",INDEX('Input Transaksi'!$D:$D,$E523))</f>
        <v/>
      </c>
      <c r="C523">
        <f>IF($E523="","",INDEX('Input Transaksi'!$E:$E,$E523))</f>
        <v/>
      </c>
      <c r="D523" s="5">
        <f>IF($E523="","",INDEX('Input Transaksi'!$F:$F,$E523))</f>
        <v/>
      </c>
      <c r="E523">
        <f>IFERROR(AGGREGATE(15,6,ROW('Input Transaksi'!$B$5:$B$5000)/('Input Transaksi'!$B$5:$B$5000="BALI WASH GALANG"),ROWS($E$5:E523)),"")</f>
        <v/>
      </c>
      <c r="F523" s="5" t="n"/>
    </row>
    <row r="524">
      <c r="A524" s="10">
        <f>IF($E524="","",INDEX('Input Transaksi'!$A:$A,$E524))</f>
        <v/>
      </c>
      <c r="B524" s="5">
        <f>IF($E524="","",INDEX('Input Transaksi'!$D:$D,$E524))</f>
        <v/>
      </c>
      <c r="C524">
        <f>IF($E524="","",INDEX('Input Transaksi'!$E:$E,$E524))</f>
        <v/>
      </c>
      <c r="D524" s="5">
        <f>IF($E524="","",INDEX('Input Transaksi'!$F:$F,$E524))</f>
        <v/>
      </c>
      <c r="E524">
        <f>IFERROR(AGGREGATE(15,6,ROW('Input Transaksi'!$B$5:$B$5000)/('Input Transaksi'!$B$5:$B$5000="BALI WASH GALANG"),ROWS($E$5:E524)),"")</f>
        <v/>
      </c>
      <c r="F524" s="5" t="n"/>
    </row>
    <row r="525">
      <c r="A525" s="10">
        <f>IF($E525="","",INDEX('Input Transaksi'!$A:$A,$E525))</f>
        <v/>
      </c>
      <c r="B525" s="5">
        <f>IF($E525="","",INDEX('Input Transaksi'!$D:$D,$E525))</f>
        <v/>
      </c>
      <c r="C525">
        <f>IF($E525="","",INDEX('Input Transaksi'!$E:$E,$E525))</f>
        <v/>
      </c>
      <c r="D525" s="5">
        <f>IF($E525="","",INDEX('Input Transaksi'!$F:$F,$E525))</f>
        <v/>
      </c>
      <c r="E525">
        <f>IFERROR(AGGREGATE(15,6,ROW('Input Transaksi'!$B$5:$B$5000)/('Input Transaksi'!$B$5:$B$5000="BALI WASH GALANG"),ROWS($E$5:E525)),"")</f>
        <v/>
      </c>
      <c r="F525" s="5" t="n"/>
    </row>
    <row r="526">
      <c r="A526" s="10">
        <f>IF($E526="","",INDEX('Input Transaksi'!$A:$A,$E526))</f>
        <v/>
      </c>
      <c r="B526" s="5">
        <f>IF($E526="","",INDEX('Input Transaksi'!$D:$D,$E526))</f>
        <v/>
      </c>
      <c r="C526">
        <f>IF($E526="","",INDEX('Input Transaksi'!$E:$E,$E526))</f>
        <v/>
      </c>
      <c r="D526" s="5">
        <f>IF($E526="","",INDEX('Input Transaksi'!$F:$F,$E526))</f>
        <v/>
      </c>
      <c r="E526">
        <f>IFERROR(AGGREGATE(15,6,ROW('Input Transaksi'!$B$5:$B$5000)/('Input Transaksi'!$B$5:$B$5000="BALI WASH GALANG"),ROWS($E$5:E526)),"")</f>
        <v/>
      </c>
      <c r="F526" s="5" t="n"/>
    </row>
    <row r="527">
      <c r="A527" s="10">
        <f>IF($E527="","",INDEX('Input Transaksi'!$A:$A,$E527))</f>
        <v/>
      </c>
      <c r="B527" s="5">
        <f>IF($E527="","",INDEX('Input Transaksi'!$D:$D,$E527))</f>
        <v/>
      </c>
      <c r="C527">
        <f>IF($E527="","",INDEX('Input Transaksi'!$E:$E,$E527))</f>
        <v/>
      </c>
      <c r="D527" s="5">
        <f>IF($E527="","",INDEX('Input Transaksi'!$F:$F,$E527))</f>
        <v/>
      </c>
      <c r="E527">
        <f>IFERROR(AGGREGATE(15,6,ROW('Input Transaksi'!$B$5:$B$5000)/('Input Transaksi'!$B$5:$B$5000="BALI WASH GALANG"),ROWS($E$5:E527)),"")</f>
        <v/>
      </c>
      <c r="F527" s="5" t="n"/>
    </row>
    <row r="528">
      <c r="A528" s="10">
        <f>IF($E528="","",INDEX('Input Transaksi'!$A:$A,$E528))</f>
        <v/>
      </c>
      <c r="B528" s="5">
        <f>IF($E528="","",INDEX('Input Transaksi'!$D:$D,$E528))</f>
        <v/>
      </c>
      <c r="C528">
        <f>IF($E528="","",INDEX('Input Transaksi'!$E:$E,$E528))</f>
        <v/>
      </c>
      <c r="D528" s="5">
        <f>IF($E528="","",INDEX('Input Transaksi'!$F:$F,$E528))</f>
        <v/>
      </c>
      <c r="E528">
        <f>IFERROR(AGGREGATE(15,6,ROW('Input Transaksi'!$B$5:$B$5000)/('Input Transaksi'!$B$5:$B$5000="BALI WASH GALANG"),ROWS($E$5:E528)),"")</f>
        <v/>
      </c>
      <c r="F528" s="5" t="n"/>
    </row>
    <row r="529">
      <c r="A529" s="10">
        <f>IF($E529="","",INDEX('Input Transaksi'!$A:$A,$E529))</f>
        <v/>
      </c>
      <c r="B529" s="5">
        <f>IF($E529="","",INDEX('Input Transaksi'!$D:$D,$E529))</f>
        <v/>
      </c>
      <c r="C529">
        <f>IF($E529="","",INDEX('Input Transaksi'!$E:$E,$E529))</f>
        <v/>
      </c>
      <c r="D529" s="5">
        <f>IF($E529="","",INDEX('Input Transaksi'!$F:$F,$E529))</f>
        <v/>
      </c>
      <c r="E529">
        <f>IFERROR(AGGREGATE(15,6,ROW('Input Transaksi'!$B$5:$B$5000)/('Input Transaksi'!$B$5:$B$5000="BALI WASH GALANG"),ROWS($E$5:E529)),"")</f>
        <v/>
      </c>
      <c r="F529" s="5" t="n"/>
    </row>
    <row r="530">
      <c r="A530" s="10">
        <f>IF($E530="","",INDEX('Input Transaksi'!$A:$A,$E530))</f>
        <v/>
      </c>
      <c r="B530" s="5">
        <f>IF($E530="","",INDEX('Input Transaksi'!$D:$D,$E530))</f>
        <v/>
      </c>
      <c r="C530">
        <f>IF($E530="","",INDEX('Input Transaksi'!$E:$E,$E530))</f>
        <v/>
      </c>
      <c r="D530" s="5">
        <f>IF($E530="","",INDEX('Input Transaksi'!$F:$F,$E530))</f>
        <v/>
      </c>
      <c r="E530">
        <f>IFERROR(AGGREGATE(15,6,ROW('Input Transaksi'!$B$5:$B$5000)/('Input Transaksi'!$B$5:$B$5000="BALI WASH GALANG"),ROWS($E$5:E530)),"")</f>
        <v/>
      </c>
      <c r="F530" s="5" t="n"/>
    </row>
    <row r="531">
      <c r="A531" s="10">
        <f>IF($E531="","",INDEX('Input Transaksi'!$A:$A,$E531))</f>
        <v/>
      </c>
      <c r="B531" s="5">
        <f>IF($E531="","",INDEX('Input Transaksi'!$D:$D,$E531))</f>
        <v/>
      </c>
      <c r="C531">
        <f>IF($E531="","",INDEX('Input Transaksi'!$E:$E,$E531))</f>
        <v/>
      </c>
      <c r="D531" s="5">
        <f>IF($E531="","",INDEX('Input Transaksi'!$F:$F,$E531))</f>
        <v/>
      </c>
      <c r="E531">
        <f>IFERROR(AGGREGATE(15,6,ROW('Input Transaksi'!$B$5:$B$5000)/('Input Transaksi'!$B$5:$B$5000="BALI WASH GALANG"),ROWS($E$5:E531)),"")</f>
        <v/>
      </c>
      <c r="F531" s="5" t="n"/>
    </row>
    <row r="532">
      <c r="A532" s="10">
        <f>IF($E532="","",INDEX('Input Transaksi'!$A:$A,$E532))</f>
        <v/>
      </c>
      <c r="B532" s="5">
        <f>IF($E532="","",INDEX('Input Transaksi'!$D:$D,$E532))</f>
        <v/>
      </c>
      <c r="C532">
        <f>IF($E532="","",INDEX('Input Transaksi'!$E:$E,$E532))</f>
        <v/>
      </c>
      <c r="D532" s="5">
        <f>IF($E532="","",INDEX('Input Transaksi'!$F:$F,$E532))</f>
        <v/>
      </c>
      <c r="E532">
        <f>IFERROR(AGGREGATE(15,6,ROW('Input Transaksi'!$B$5:$B$5000)/('Input Transaksi'!$B$5:$B$5000="BALI WASH GALANG"),ROWS($E$5:E532)),"")</f>
        <v/>
      </c>
      <c r="F532" s="5" t="n"/>
    </row>
    <row r="533">
      <c r="A533" s="10">
        <f>IF($E533="","",INDEX('Input Transaksi'!$A:$A,$E533))</f>
        <v/>
      </c>
      <c r="B533" s="5">
        <f>IF($E533="","",INDEX('Input Transaksi'!$D:$D,$E533))</f>
        <v/>
      </c>
      <c r="C533">
        <f>IF($E533="","",INDEX('Input Transaksi'!$E:$E,$E533))</f>
        <v/>
      </c>
      <c r="D533" s="5">
        <f>IF($E533="","",INDEX('Input Transaksi'!$F:$F,$E533))</f>
        <v/>
      </c>
      <c r="E533">
        <f>IFERROR(AGGREGATE(15,6,ROW('Input Transaksi'!$B$5:$B$5000)/('Input Transaksi'!$B$5:$B$5000="BALI WASH GALANG"),ROWS($E$5:E533)),"")</f>
        <v/>
      </c>
      <c r="F533" s="5" t="n"/>
    </row>
    <row r="534">
      <c r="A534" s="10">
        <f>IF($E534="","",INDEX('Input Transaksi'!$A:$A,$E534))</f>
        <v/>
      </c>
      <c r="B534" s="5">
        <f>IF($E534="","",INDEX('Input Transaksi'!$D:$D,$E534))</f>
        <v/>
      </c>
      <c r="C534">
        <f>IF($E534="","",INDEX('Input Transaksi'!$E:$E,$E534))</f>
        <v/>
      </c>
      <c r="D534" s="5">
        <f>IF($E534="","",INDEX('Input Transaksi'!$F:$F,$E534))</f>
        <v/>
      </c>
      <c r="E534">
        <f>IFERROR(AGGREGATE(15,6,ROW('Input Transaksi'!$B$5:$B$5000)/('Input Transaksi'!$B$5:$B$5000="BALI WASH GALANG"),ROWS($E$5:E534)),"")</f>
        <v/>
      </c>
      <c r="F534" s="5" t="n"/>
    </row>
    <row r="535">
      <c r="A535" s="10">
        <f>IF($E535="","",INDEX('Input Transaksi'!$A:$A,$E535))</f>
        <v/>
      </c>
      <c r="B535" s="5">
        <f>IF($E535="","",INDEX('Input Transaksi'!$D:$D,$E535))</f>
        <v/>
      </c>
      <c r="C535">
        <f>IF($E535="","",INDEX('Input Transaksi'!$E:$E,$E535))</f>
        <v/>
      </c>
      <c r="D535" s="5">
        <f>IF($E535="","",INDEX('Input Transaksi'!$F:$F,$E535))</f>
        <v/>
      </c>
      <c r="E535">
        <f>IFERROR(AGGREGATE(15,6,ROW('Input Transaksi'!$B$5:$B$5000)/('Input Transaksi'!$B$5:$B$5000="BALI WASH GALANG"),ROWS($E$5:E535)),"")</f>
        <v/>
      </c>
      <c r="F535" s="5" t="n"/>
    </row>
    <row r="536">
      <c r="A536" s="10">
        <f>IF($E536="","",INDEX('Input Transaksi'!$A:$A,$E536))</f>
        <v/>
      </c>
      <c r="B536" s="5">
        <f>IF($E536="","",INDEX('Input Transaksi'!$D:$D,$E536))</f>
        <v/>
      </c>
      <c r="C536">
        <f>IF($E536="","",INDEX('Input Transaksi'!$E:$E,$E536))</f>
        <v/>
      </c>
      <c r="D536" s="5">
        <f>IF($E536="","",INDEX('Input Transaksi'!$F:$F,$E536))</f>
        <v/>
      </c>
      <c r="E536">
        <f>IFERROR(AGGREGATE(15,6,ROW('Input Transaksi'!$B$5:$B$5000)/('Input Transaksi'!$B$5:$B$5000="BALI WASH GALANG"),ROWS($E$5:E536)),"")</f>
        <v/>
      </c>
      <c r="F536" s="5" t="n"/>
    </row>
    <row r="537">
      <c r="A537" s="10">
        <f>IF($E537="","",INDEX('Input Transaksi'!$A:$A,$E537))</f>
        <v/>
      </c>
      <c r="B537" s="5">
        <f>IF($E537="","",INDEX('Input Transaksi'!$D:$D,$E537))</f>
        <v/>
      </c>
      <c r="C537">
        <f>IF($E537="","",INDEX('Input Transaksi'!$E:$E,$E537))</f>
        <v/>
      </c>
      <c r="D537" s="5">
        <f>IF($E537="","",INDEX('Input Transaksi'!$F:$F,$E537))</f>
        <v/>
      </c>
      <c r="E537">
        <f>IFERROR(AGGREGATE(15,6,ROW('Input Transaksi'!$B$5:$B$5000)/('Input Transaksi'!$B$5:$B$5000="BALI WASH GALANG"),ROWS($E$5:E537)),"")</f>
        <v/>
      </c>
      <c r="F537" s="5" t="n"/>
    </row>
    <row r="538">
      <c r="A538" s="10">
        <f>IF($E538="","",INDEX('Input Transaksi'!$A:$A,$E538))</f>
        <v/>
      </c>
      <c r="B538" s="5">
        <f>IF($E538="","",INDEX('Input Transaksi'!$D:$D,$E538))</f>
        <v/>
      </c>
      <c r="C538">
        <f>IF($E538="","",INDEX('Input Transaksi'!$E:$E,$E538))</f>
        <v/>
      </c>
      <c r="D538" s="5">
        <f>IF($E538="","",INDEX('Input Transaksi'!$F:$F,$E538))</f>
        <v/>
      </c>
      <c r="E538">
        <f>IFERROR(AGGREGATE(15,6,ROW('Input Transaksi'!$B$5:$B$5000)/('Input Transaksi'!$B$5:$B$5000="BALI WASH GALANG"),ROWS($E$5:E538)),"")</f>
        <v/>
      </c>
      <c r="F538" s="5" t="n"/>
    </row>
    <row r="539">
      <c r="A539" s="10">
        <f>IF($E539="","",INDEX('Input Transaksi'!$A:$A,$E539))</f>
        <v/>
      </c>
      <c r="B539" s="5">
        <f>IF($E539="","",INDEX('Input Transaksi'!$D:$D,$E539))</f>
        <v/>
      </c>
      <c r="C539">
        <f>IF($E539="","",INDEX('Input Transaksi'!$E:$E,$E539))</f>
        <v/>
      </c>
      <c r="D539" s="5">
        <f>IF($E539="","",INDEX('Input Transaksi'!$F:$F,$E539))</f>
        <v/>
      </c>
      <c r="E539">
        <f>IFERROR(AGGREGATE(15,6,ROW('Input Transaksi'!$B$5:$B$5000)/('Input Transaksi'!$B$5:$B$5000="BALI WASH GALANG"),ROWS($E$5:E539)),"")</f>
        <v/>
      </c>
      <c r="F539" s="5" t="n"/>
    </row>
    <row r="540">
      <c r="A540" s="10">
        <f>IF($E540="","",INDEX('Input Transaksi'!$A:$A,$E540))</f>
        <v/>
      </c>
      <c r="B540" s="5">
        <f>IF($E540="","",INDEX('Input Transaksi'!$D:$D,$E540))</f>
        <v/>
      </c>
      <c r="C540">
        <f>IF($E540="","",INDEX('Input Transaksi'!$E:$E,$E540))</f>
        <v/>
      </c>
      <c r="D540" s="5">
        <f>IF($E540="","",INDEX('Input Transaksi'!$F:$F,$E540))</f>
        <v/>
      </c>
      <c r="E540">
        <f>IFERROR(AGGREGATE(15,6,ROW('Input Transaksi'!$B$5:$B$5000)/('Input Transaksi'!$B$5:$B$5000="BALI WASH GALANG"),ROWS($E$5:E540)),"")</f>
        <v/>
      </c>
      <c r="F540" s="5" t="n"/>
    </row>
    <row r="541">
      <c r="A541" s="10">
        <f>IF($E541="","",INDEX('Input Transaksi'!$A:$A,$E541))</f>
        <v/>
      </c>
      <c r="B541" s="5">
        <f>IF($E541="","",INDEX('Input Transaksi'!$D:$D,$E541))</f>
        <v/>
      </c>
      <c r="C541">
        <f>IF($E541="","",INDEX('Input Transaksi'!$E:$E,$E541))</f>
        <v/>
      </c>
      <c r="D541" s="5">
        <f>IF($E541="","",INDEX('Input Transaksi'!$F:$F,$E541))</f>
        <v/>
      </c>
      <c r="E541">
        <f>IFERROR(AGGREGATE(15,6,ROW('Input Transaksi'!$B$5:$B$5000)/('Input Transaksi'!$B$5:$B$5000="BALI WASH GALANG"),ROWS($E$5:E541)),"")</f>
        <v/>
      </c>
      <c r="F541" s="5" t="n"/>
    </row>
    <row r="542">
      <c r="A542" s="10">
        <f>IF($E542="","",INDEX('Input Transaksi'!$A:$A,$E542))</f>
        <v/>
      </c>
      <c r="B542" s="5">
        <f>IF($E542="","",INDEX('Input Transaksi'!$D:$D,$E542))</f>
        <v/>
      </c>
      <c r="C542">
        <f>IF($E542="","",INDEX('Input Transaksi'!$E:$E,$E542))</f>
        <v/>
      </c>
      <c r="D542" s="5">
        <f>IF($E542="","",INDEX('Input Transaksi'!$F:$F,$E542))</f>
        <v/>
      </c>
      <c r="E542">
        <f>IFERROR(AGGREGATE(15,6,ROW('Input Transaksi'!$B$5:$B$5000)/('Input Transaksi'!$B$5:$B$5000="BALI WASH GALANG"),ROWS($E$5:E542)),"")</f>
        <v/>
      </c>
      <c r="F542" s="5" t="n"/>
    </row>
    <row r="543">
      <c r="A543" s="10">
        <f>IF($E543="","",INDEX('Input Transaksi'!$A:$A,$E543))</f>
        <v/>
      </c>
      <c r="B543" s="5">
        <f>IF($E543="","",INDEX('Input Transaksi'!$D:$D,$E543))</f>
        <v/>
      </c>
      <c r="C543">
        <f>IF($E543="","",INDEX('Input Transaksi'!$E:$E,$E543))</f>
        <v/>
      </c>
      <c r="D543" s="5">
        <f>IF($E543="","",INDEX('Input Transaksi'!$F:$F,$E543))</f>
        <v/>
      </c>
      <c r="E543">
        <f>IFERROR(AGGREGATE(15,6,ROW('Input Transaksi'!$B$5:$B$5000)/('Input Transaksi'!$B$5:$B$5000="BALI WASH GALANG"),ROWS($E$5:E543)),"")</f>
        <v/>
      </c>
      <c r="F543" s="5" t="n"/>
    </row>
    <row r="544">
      <c r="A544" s="10">
        <f>IF($E544="","",INDEX('Input Transaksi'!$A:$A,$E544))</f>
        <v/>
      </c>
      <c r="B544" s="5">
        <f>IF($E544="","",INDEX('Input Transaksi'!$D:$D,$E544))</f>
        <v/>
      </c>
      <c r="C544">
        <f>IF($E544="","",INDEX('Input Transaksi'!$E:$E,$E544))</f>
        <v/>
      </c>
      <c r="D544" s="5">
        <f>IF($E544="","",INDEX('Input Transaksi'!$F:$F,$E544))</f>
        <v/>
      </c>
      <c r="E544">
        <f>IFERROR(AGGREGATE(15,6,ROW('Input Transaksi'!$B$5:$B$5000)/('Input Transaksi'!$B$5:$B$5000="BALI WASH GALANG"),ROWS($E$5:E544)),"")</f>
        <v/>
      </c>
      <c r="F544" s="5" t="n"/>
    </row>
    <row r="545">
      <c r="A545" s="10">
        <f>IF($E545="","",INDEX('Input Transaksi'!$A:$A,$E545))</f>
        <v/>
      </c>
      <c r="B545" s="5">
        <f>IF($E545="","",INDEX('Input Transaksi'!$D:$D,$E545))</f>
        <v/>
      </c>
      <c r="C545">
        <f>IF($E545="","",INDEX('Input Transaksi'!$E:$E,$E545))</f>
        <v/>
      </c>
      <c r="D545" s="5">
        <f>IF($E545="","",INDEX('Input Transaksi'!$F:$F,$E545))</f>
        <v/>
      </c>
      <c r="E545">
        <f>IFERROR(AGGREGATE(15,6,ROW('Input Transaksi'!$B$5:$B$5000)/('Input Transaksi'!$B$5:$B$5000="BALI WASH GALANG"),ROWS($E$5:E545)),"")</f>
        <v/>
      </c>
      <c r="F545" s="5" t="n"/>
    </row>
    <row r="546">
      <c r="A546" s="10">
        <f>IF($E546="","",INDEX('Input Transaksi'!$A:$A,$E546))</f>
        <v/>
      </c>
      <c r="B546" s="5">
        <f>IF($E546="","",INDEX('Input Transaksi'!$D:$D,$E546))</f>
        <v/>
      </c>
      <c r="C546">
        <f>IF($E546="","",INDEX('Input Transaksi'!$E:$E,$E546))</f>
        <v/>
      </c>
      <c r="D546" s="5">
        <f>IF($E546="","",INDEX('Input Transaksi'!$F:$F,$E546))</f>
        <v/>
      </c>
      <c r="E546">
        <f>IFERROR(AGGREGATE(15,6,ROW('Input Transaksi'!$B$5:$B$5000)/('Input Transaksi'!$B$5:$B$5000="BALI WASH GALANG"),ROWS($E$5:E546)),"")</f>
        <v/>
      </c>
      <c r="F546" s="5" t="n"/>
    </row>
    <row r="547">
      <c r="A547" s="10">
        <f>IF($E547="","",INDEX('Input Transaksi'!$A:$A,$E547))</f>
        <v/>
      </c>
      <c r="B547" s="5">
        <f>IF($E547="","",INDEX('Input Transaksi'!$D:$D,$E547))</f>
        <v/>
      </c>
      <c r="C547">
        <f>IF($E547="","",INDEX('Input Transaksi'!$E:$E,$E547))</f>
        <v/>
      </c>
      <c r="D547" s="5">
        <f>IF($E547="","",INDEX('Input Transaksi'!$F:$F,$E547))</f>
        <v/>
      </c>
      <c r="E547">
        <f>IFERROR(AGGREGATE(15,6,ROW('Input Transaksi'!$B$5:$B$5000)/('Input Transaksi'!$B$5:$B$5000="BALI WASH GALANG"),ROWS($E$5:E547)),"")</f>
        <v/>
      </c>
      <c r="F547" s="5" t="n"/>
    </row>
    <row r="548">
      <c r="A548" s="10">
        <f>IF($E548="","",INDEX('Input Transaksi'!$A:$A,$E548))</f>
        <v/>
      </c>
      <c r="B548" s="5">
        <f>IF($E548="","",INDEX('Input Transaksi'!$D:$D,$E548))</f>
        <v/>
      </c>
      <c r="C548">
        <f>IF($E548="","",INDEX('Input Transaksi'!$E:$E,$E548))</f>
        <v/>
      </c>
      <c r="D548" s="5">
        <f>IF($E548="","",INDEX('Input Transaksi'!$F:$F,$E548))</f>
        <v/>
      </c>
      <c r="E548">
        <f>IFERROR(AGGREGATE(15,6,ROW('Input Transaksi'!$B$5:$B$5000)/('Input Transaksi'!$B$5:$B$5000="BALI WASH GALANG"),ROWS($E$5:E548)),"")</f>
        <v/>
      </c>
      <c r="F548" s="5" t="n"/>
    </row>
    <row r="549">
      <c r="A549" s="10">
        <f>IF($E549="","",INDEX('Input Transaksi'!$A:$A,$E549))</f>
        <v/>
      </c>
      <c r="B549" s="5">
        <f>IF($E549="","",INDEX('Input Transaksi'!$D:$D,$E549))</f>
        <v/>
      </c>
      <c r="C549">
        <f>IF($E549="","",INDEX('Input Transaksi'!$E:$E,$E549))</f>
        <v/>
      </c>
      <c r="D549" s="5">
        <f>IF($E549="","",INDEX('Input Transaksi'!$F:$F,$E549))</f>
        <v/>
      </c>
      <c r="E549">
        <f>IFERROR(AGGREGATE(15,6,ROW('Input Transaksi'!$B$5:$B$5000)/('Input Transaksi'!$B$5:$B$5000="BALI WASH GALANG"),ROWS($E$5:E549)),"")</f>
        <v/>
      </c>
      <c r="F549" s="5" t="n"/>
    </row>
    <row r="550">
      <c r="A550" s="10">
        <f>IF($E550="","",INDEX('Input Transaksi'!$A:$A,$E550))</f>
        <v/>
      </c>
      <c r="B550" s="5">
        <f>IF($E550="","",INDEX('Input Transaksi'!$D:$D,$E550))</f>
        <v/>
      </c>
      <c r="C550">
        <f>IF($E550="","",INDEX('Input Transaksi'!$E:$E,$E550))</f>
        <v/>
      </c>
      <c r="D550" s="5">
        <f>IF($E550="","",INDEX('Input Transaksi'!$F:$F,$E550))</f>
        <v/>
      </c>
      <c r="E550">
        <f>IFERROR(AGGREGATE(15,6,ROW('Input Transaksi'!$B$5:$B$5000)/('Input Transaksi'!$B$5:$B$5000="BALI WASH GALANG"),ROWS($E$5:E550)),"")</f>
        <v/>
      </c>
      <c r="F550" s="5" t="n"/>
    </row>
    <row r="551">
      <c r="A551" s="10">
        <f>IF($E551="","",INDEX('Input Transaksi'!$A:$A,$E551))</f>
        <v/>
      </c>
      <c r="B551" s="5">
        <f>IF($E551="","",INDEX('Input Transaksi'!$D:$D,$E551))</f>
        <v/>
      </c>
      <c r="C551">
        <f>IF($E551="","",INDEX('Input Transaksi'!$E:$E,$E551))</f>
        <v/>
      </c>
      <c r="D551" s="5">
        <f>IF($E551="","",INDEX('Input Transaksi'!$F:$F,$E551))</f>
        <v/>
      </c>
      <c r="E551">
        <f>IFERROR(AGGREGATE(15,6,ROW('Input Transaksi'!$B$5:$B$5000)/('Input Transaksi'!$B$5:$B$5000="BALI WASH GALANG"),ROWS($E$5:E551)),"")</f>
        <v/>
      </c>
      <c r="F551" s="5" t="n"/>
    </row>
    <row r="552">
      <c r="A552" s="10">
        <f>IF($E552="","",INDEX('Input Transaksi'!$A:$A,$E552))</f>
        <v/>
      </c>
      <c r="B552" s="5">
        <f>IF($E552="","",INDEX('Input Transaksi'!$D:$D,$E552))</f>
        <v/>
      </c>
      <c r="C552">
        <f>IF($E552="","",INDEX('Input Transaksi'!$E:$E,$E552))</f>
        <v/>
      </c>
      <c r="D552" s="5">
        <f>IF($E552="","",INDEX('Input Transaksi'!$F:$F,$E552))</f>
        <v/>
      </c>
      <c r="E552">
        <f>IFERROR(AGGREGATE(15,6,ROW('Input Transaksi'!$B$5:$B$5000)/('Input Transaksi'!$B$5:$B$5000="BALI WASH GALANG"),ROWS($E$5:E552)),"")</f>
        <v/>
      </c>
      <c r="F552" s="5" t="n"/>
    </row>
    <row r="553">
      <c r="A553" s="10">
        <f>IF($E553="","",INDEX('Input Transaksi'!$A:$A,$E553))</f>
        <v/>
      </c>
      <c r="B553" s="5">
        <f>IF($E553="","",INDEX('Input Transaksi'!$D:$D,$E553))</f>
        <v/>
      </c>
      <c r="C553">
        <f>IF($E553="","",INDEX('Input Transaksi'!$E:$E,$E553))</f>
        <v/>
      </c>
      <c r="D553" s="5">
        <f>IF($E553="","",INDEX('Input Transaksi'!$F:$F,$E553))</f>
        <v/>
      </c>
      <c r="E553">
        <f>IFERROR(AGGREGATE(15,6,ROW('Input Transaksi'!$B$5:$B$5000)/('Input Transaksi'!$B$5:$B$5000="BALI WASH GALANG"),ROWS($E$5:E553)),"")</f>
        <v/>
      </c>
      <c r="F553" s="5" t="n"/>
    </row>
    <row r="554">
      <c r="A554" s="10">
        <f>IF($E554="","",INDEX('Input Transaksi'!$A:$A,$E554))</f>
        <v/>
      </c>
      <c r="B554" s="5">
        <f>IF($E554="","",INDEX('Input Transaksi'!$D:$D,$E554))</f>
        <v/>
      </c>
      <c r="C554">
        <f>IF($E554="","",INDEX('Input Transaksi'!$E:$E,$E554))</f>
        <v/>
      </c>
      <c r="D554" s="5">
        <f>IF($E554="","",INDEX('Input Transaksi'!$F:$F,$E554))</f>
        <v/>
      </c>
      <c r="E554">
        <f>IFERROR(AGGREGATE(15,6,ROW('Input Transaksi'!$B$5:$B$5000)/('Input Transaksi'!$B$5:$B$5000="BALI WASH GALANG"),ROWS($E$5:E554)),"")</f>
        <v/>
      </c>
      <c r="F554" s="5" t="n"/>
    </row>
    <row r="555">
      <c r="A555" s="10">
        <f>IF($E555="","",INDEX('Input Transaksi'!$A:$A,$E555))</f>
        <v/>
      </c>
      <c r="B555" s="5">
        <f>IF($E555="","",INDEX('Input Transaksi'!$D:$D,$E555))</f>
        <v/>
      </c>
      <c r="C555">
        <f>IF($E555="","",INDEX('Input Transaksi'!$E:$E,$E555))</f>
        <v/>
      </c>
      <c r="D555" s="5">
        <f>IF($E555="","",INDEX('Input Transaksi'!$F:$F,$E555))</f>
        <v/>
      </c>
      <c r="E555">
        <f>IFERROR(AGGREGATE(15,6,ROW('Input Transaksi'!$B$5:$B$5000)/('Input Transaksi'!$B$5:$B$5000="BALI WASH GALANG"),ROWS($E$5:E555)),"")</f>
        <v/>
      </c>
      <c r="F555" s="5" t="n"/>
    </row>
    <row r="556">
      <c r="A556" s="10">
        <f>IF($E556="","",INDEX('Input Transaksi'!$A:$A,$E556))</f>
        <v/>
      </c>
      <c r="B556" s="5">
        <f>IF($E556="","",INDEX('Input Transaksi'!$D:$D,$E556))</f>
        <v/>
      </c>
      <c r="C556">
        <f>IF($E556="","",INDEX('Input Transaksi'!$E:$E,$E556))</f>
        <v/>
      </c>
      <c r="D556" s="5">
        <f>IF($E556="","",INDEX('Input Transaksi'!$F:$F,$E556))</f>
        <v/>
      </c>
      <c r="E556">
        <f>IFERROR(AGGREGATE(15,6,ROW('Input Transaksi'!$B$5:$B$5000)/('Input Transaksi'!$B$5:$B$5000="BALI WASH GALANG"),ROWS($E$5:E556)),"")</f>
        <v/>
      </c>
      <c r="F556" s="5" t="n"/>
    </row>
    <row r="557">
      <c r="A557" s="10">
        <f>IF($E557="","",INDEX('Input Transaksi'!$A:$A,$E557))</f>
        <v/>
      </c>
      <c r="B557" s="5">
        <f>IF($E557="","",INDEX('Input Transaksi'!$D:$D,$E557))</f>
        <v/>
      </c>
      <c r="C557">
        <f>IF($E557="","",INDEX('Input Transaksi'!$E:$E,$E557))</f>
        <v/>
      </c>
      <c r="D557" s="5">
        <f>IF($E557="","",INDEX('Input Transaksi'!$F:$F,$E557))</f>
        <v/>
      </c>
      <c r="E557">
        <f>IFERROR(AGGREGATE(15,6,ROW('Input Transaksi'!$B$5:$B$5000)/('Input Transaksi'!$B$5:$B$5000="BALI WASH GALANG"),ROWS($E$5:E557)),"")</f>
        <v/>
      </c>
      <c r="F557" s="5" t="n"/>
    </row>
    <row r="558">
      <c r="A558" s="10">
        <f>IF($E558="","",INDEX('Input Transaksi'!$A:$A,$E558))</f>
        <v/>
      </c>
      <c r="B558" s="5">
        <f>IF($E558="","",INDEX('Input Transaksi'!$D:$D,$E558))</f>
        <v/>
      </c>
      <c r="C558">
        <f>IF($E558="","",INDEX('Input Transaksi'!$E:$E,$E558))</f>
        <v/>
      </c>
      <c r="D558" s="5">
        <f>IF($E558="","",INDEX('Input Transaksi'!$F:$F,$E558))</f>
        <v/>
      </c>
      <c r="E558">
        <f>IFERROR(AGGREGATE(15,6,ROW('Input Transaksi'!$B$5:$B$5000)/('Input Transaksi'!$B$5:$B$5000="BALI WASH GALANG"),ROWS($E$5:E558)),"")</f>
        <v/>
      </c>
      <c r="F558" s="5" t="n"/>
    </row>
    <row r="559">
      <c r="A559" s="10">
        <f>IF($E559="","",INDEX('Input Transaksi'!$A:$A,$E559))</f>
        <v/>
      </c>
      <c r="B559" s="5">
        <f>IF($E559="","",INDEX('Input Transaksi'!$D:$D,$E559))</f>
        <v/>
      </c>
      <c r="C559">
        <f>IF($E559="","",INDEX('Input Transaksi'!$E:$E,$E559))</f>
        <v/>
      </c>
      <c r="D559" s="5">
        <f>IF($E559="","",INDEX('Input Transaksi'!$F:$F,$E559))</f>
        <v/>
      </c>
      <c r="E559">
        <f>IFERROR(AGGREGATE(15,6,ROW('Input Transaksi'!$B$5:$B$5000)/('Input Transaksi'!$B$5:$B$5000="BALI WASH GALANG"),ROWS($E$5:E559)),"")</f>
        <v/>
      </c>
      <c r="F559" s="5" t="n"/>
    </row>
    <row r="560">
      <c r="A560" s="10">
        <f>IF($E560="","",INDEX('Input Transaksi'!$A:$A,$E560))</f>
        <v/>
      </c>
      <c r="B560" s="5">
        <f>IF($E560="","",INDEX('Input Transaksi'!$D:$D,$E560))</f>
        <v/>
      </c>
      <c r="C560">
        <f>IF($E560="","",INDEX('Input Transaksi'!$E:$E,$E560))</f>
        <v/>
      </c>
      <c r="D560" s="5">
        <f>IF($E560="","",INDEX('Input Transaksi'!$F:$F,$E560))</f>
        <v/>
      </c>
      <c r="E560">
        <f>IFERROR(AGGREGATE(15,6,ROW('Input Transaksi'!$B$5:$B$5000)/('Input Transaksi'!$B$5:$B$5000="BALI WASH GALANG"),ROWS($E$5:E560)),"")</f>
        <v/>
      </c>
      <c r="F560" s="5" t="n"/>
    </row>
    <row r="561">
      <c r="A561" s="10">
        <f>IF($E561="","",INDEX('Input Transaksi'!$A:$A,$E561))</f>
        <v/>
      </c>
      <c r="B561" s="5">
        <f>IF($E561="","",INDEX('Input Transaksi'!$D:$D,$E561))</f>
        <v/>
      </c>
      <c r="C561">
        <f>IF($E561="","",INDEX('Input Transaksi'!$E:$E,$E561))</f>
        <v/>
      </c>
      <c r="D561" s="5">
        <f>IF($E561="","",INDEX('Input Transaksi'!$F:$F,$E561))</f>
        <v/>
      </c>
      <c r="E561">
        <f>IFERROR(AGGREGATE(15,6,ROW('Input Transaksi'!$B$5:$B$5000)/('Input Transaksi'!$B$5:$B$5000="BALI WASH GALANG"),ROWS($E$5:E561)),"")</f>
        <v/>
      </c>
      <c r="F561" s="5" t="n"/>
    </row>
    <row r="562">
      <c r="A562" s="10">
        <f>IF($E562="","",INDEX('Input Transaksi'!$A:$A,$E562))</f>
        <v/>
      </c>
      <c r="B562" s="5">
        <f>IF($E562="","",INDEX('Input Transaksi'!$D:$D,$E562))</f>
        <v/>
      </c>
      <c r="C562">
        <f>IF($E562="","",INDEX('Input Transaksi'!$E:$E,$E562))</f>
        <v/>
      </c>
      <c r="D562" s="5">
        <f>IF($E562="","",INDEX('Input Transaksi'!$F:$F,$E562))</f>
        <v/>
      </c>
      <c r="E562">
        <f>IFERROR(AGGREGATE(15,6,ROW('Input Transaksi'!$B$5:$B$5000)/('Input Transaksi'!$B$5:$B$5000="BALI WASH GALANG"),ROWS($E$5:E562)),"")</f>
        <v/>
      </c>
      <c r="F562" s="5" t="n"/>
    </row>
    <row r="563">
      <c r="A563" s="10">
        <f>IF($E563="","",INDEX('Input Transaksi'!$A:$A,$E563))</f>
        <v/>
      </c>
      <c r="B563" s="5">
        <f>IF($E563="","",INDEX('Input Transaksi'!$D:$D,$E563))</f>
        <v/>
      </c>
      <c r="C563">
        <f>IF($E563="","",INDEX('Input Transaksi'!$E:$E,$E563))</f>
        <v/>
      </c>
      <c r="D563" s="5">
        <f>IF($E563="","",INDEX('Input Transaksi'!$F:$F,$E563))</f>
        <v/>
      </c>
      <c r="E563">
        <f>IFERROR(AGGREGATE(15,6,ROW('Input Transaksi'!$B$5:$B$5000)/('Input Transaksi'!$B$5:$B$5000="BALI WASH GALANG"),ROWS($E$5:E563)),"")</f>
        <v/>
      </c>
      <c r="F563" s="5" t="n"/>
    </row>
    <row r="564">
      <c r="A564" s="10">
        <f>IF($E564="","",INDEX('Input Transaksi'!$A:$A,$E564))</f>
        <v/>
      </c>
      <c r="B564" s="5">
        <f>IF($E564="","",INDEX('Input Transaksi'!$D:$D,$E564))</f>
        <v/>
      </c>
      <c r="C564">
        <f>IF($E564="","",INDEX('Input Transaksi'!$E:$E,$E564))</f>
        <v/>
      </c>
      <c r="D564" s="5">
        <f>IF($E564="","",INDEX('Input Transaksi'!$F:$F,$E564))</f>
        <v/>
      </c>
      <c r="E564">
        <f>IFERROR(AGGREGATE(15,6,ROW('Input Transaksi'!$B$5:$B$5000)/('Input Transaksi'!$B$5:$B$5000="BALI WASH GALANG"),ROWS($E$5:E564)),"")</f>
        <v/>
      </c>
      <c r="F564" s="5" t="n"/>
    </row>
    <row r="565">
      <c r="A565" s="10">
        <f>IF($E565="","",INDEX('Input Transaksi'!$A:$A,$E565))</f>
        <v/>
      </c>
      <c r="B565" s="5">
        <f>IF($E565="","",INDEX('Input Transaksi'!$D:$D,$E565))</f>
        <v/>
      </c>
      <c r="C565">
        <f>IF($E565="","",INDEX('Input Transaksi'!$E:$E,$E565))</f>
        <v/>
      </c>
      <c r="D565" s="5">
        <f>IF($E565="","",INDEX('Input Transaksi'!$F:$F,$E565))</f>
        <v/>
      </c>
      <c r="E565">
        <f>IFERROR(AGGREGATE(15,6,ROW('Input Transaksi'!$B$5:$B$5000)/('Input Transaksi'!$B$5:$B$5000="BALI WASH GALANG"),ROWS($E$5:E565)),"")</f>
        <v/>
      </c>
      <c r="F565" s="5" t="n"/>
    </row>
    <row r="566">
      <c r="A566" s="10">
        <f>IF($E566="","",INDEX('Input Transaksi'!$A:$A,$E566))</f>
        <v/>
      </c>
      <c r="B566" s="5">
        <f>IF($E566="","",INDEX('Input Transaksi'!$D:$D,$E566))</f>
        <v/>
      </c>
      <c r="C566">
        <f>IF($E566="","",INDEX('Input Transaksi'!$E:$E,$E566))</f>
        <v/>
      </c>
      <c r="D566" s="5">
        <f>IF($E566="","",INDEX('Input Transaksi'!$F:$F,$E566))</f>
        <v/>
      </c>
      <c r="E566">
        <f>IFERROR(AGGREGATE(15,6,ROW('Input Transaksi'!$B$5:$B$5000)/('Input Transaksi'!$B$5:$B$5000="BALI WASH GALANG"),ROWS($E$5:E566)),"")</f>
        <v/>
      </c>
      <c r="F566" s="5" t="n"/>
    </row>
    <row r="567">
      <c r="A567" s="10">
        <f>IF($E567="","",INDEX('Input Transaksi'!$A:$A,$E567))</f>
        <v/>
      </c>
      <c r="B567" s="5">
        <f>IF($E567="","",INDEX('Input Transaksi'!$D:$D,$E567))</f>
        <v/>
      </c>
      <c r="C567">
        <f>IF($E567="","",INDEX('Input Transaksi'!$E:$E,$E567))</f>
        <v/>
      </c>
      <c r="D567" s="5">
        <f>IF($E567="","",INDEX('Input Transaksi'!$F:$F,$E567))</f>
        <v/>
      </c>
      <c r="E567">
        <f>IFERROR(AGGREGATE(15,6,ROW('Input Transaksi'!$B$5:$B$5000)/('Input Transaksi'!$B$5:$B$5000="BALI WASH GALANG"),ROWS($E$5:E567)),"")</f>
        <v/>
      </c>
      <c r="F567" s="5" t="n"/>
    </row>
    <row r="568">
      <c r="A568" s="10">
        <f>IF($E568="","",INDEX('Input Transaksi'!$A:$A,$E568))</f>
        <v/>
      </c>
      <c r="B568" s="5">
        <f>IF($E568="","",INDEX('Input Transaksi'!$D:$D,$E568))</f>
        <v/>
      </c>
      <c r="C568">
        <f>IF($E568="","",INDEX('Input Transaksi'!$E:$E,$E568))</f>
        <v/>
      </c>
      <c r="D568" s="5">
        <f>IF($E568="","",INDEX('Input Transaksi'!$F:$F,$E568))</f>
        <v/>
      </c>
      <c r="E568">
        <f>IFERROR(AGGREGATE(15,6,ROW('Input Transaksi'!$B$5:$B$5000)/('Input Transaksi'!$B$5:$B$5000="BALI WASH GALANG"),ROWS($E$5:E568)),"")</f>
        <v/>
      </c>
      <c r="F568" s="5" t="n"/>
    </row>
    <row r="569">
      <c r="A569" s="10">
        <f>IF($E569="","",INDEX('Input Transaksi'!$A:$A,$E569))</f>
        <v/>
      </c>
      <c r="B569" s="5">
        <f>IF($E569="","",INDEX('Input Transaksi'!$D:$D,$E569))</f>
        <v/>
      </c>
      <c r="C569">
        <f>IF($E569="","",INDEX('Input Transaksi'!$E:$E,$E569))</f>
        <v/>
      </c>
      <c r="D569" s="5">
        <f>IF($E569="","",INDEX('Input Transaksi'!$F:$F,$E569))</f>
        <v/>
      </c>
      <c r="E569">
        <f>IFERROR(AGGREGATE(15,6,ROW('Input Transaksi'!$B$5:$B$5000)/('Input Transaksi'!$B$5:$B$5000="BALI WASH GALANG"),ROWS($E$5:E569)),"")</f>
        <v/>
      </c>
      <c r="F569" s="5" t="n"/>
    </row>
    <row r="570">
      <c r="A570" s="10">
        <f>IF($E570="","",INDEX('Input Transaksi'!$A:$A,$E570))</f>
        <v/>
      </c>
      <c r="B570" s="5">
        <f>IF($E570="","",INDEX('Input Transaksi'!$D:$D,$E570))</f>
        <v/>
      </c>
      <c r="C570">
        <f>IF($E570="","",INDEX('Input Transaksi'!$E:$E,$E570))</f>
        <v/>
      </c>
      <c r="D570" s="5">
        <f>IF($E570="","",INDEX('Input Transaksi'!$F:$F,$E570))</f>
        <v/>
      </c>
      <c r="E570">
        <f>IFERROR(AGGREGATE(15,6,ROW('Input Transaksi'!$B$5:$B$5000)/('Input Transaksi'!$B$5:$B$5000="BALI WASH GALANG"),ROWS($E$5:E570)),"")</f>
        <v/>
      </c>
      <c r="F570" s="5" t="n"/>
    </row>
    <row r="571">
      <c r="A571" s="10">
        <f>IF($E571="","",INDEX('Input Transaksi'!$A:$A,$E571))</f>
        <v/>
      </c>
      <c r="B571" s="5">
        <f>IF($E571="","",INDEX('Input Transaksi'!$D:$D,$E571))</f>
        <v/>
      </c>
      <c r="C571">
        <f>IF($E571="","",INDEX('Input Transaksi'!$E:$E,$E571))</f>
        <v/>
      </c>
      <c r="D571" s="5">
        <f>IF($E571="","",INDEX('Input Transaksi'!$F:$F,$E571))</f>
        <v/>
      </c>
      <c r="E571">
        <f>IFERROR(AGGREGATE(15,6,ROW('Input Transaksi'!$B$5:$B$5000)/('Input Transaksi'!$B$5:$B$5000="BALI WASH GALANG"),ROWS($E$5:E571)),"")</f>
        <v/>
      </c>
      <c r="F571" s="5" t="n"/>
    </row>
    <row r="572">
      <c r="A572" s="10">
        <f>IF($E572="","",INDEX('Input Transaksi'!$A:$A,$E572))</f>
        <v/>
      </c>
      <c r="B572" s="5">
        <f>IF($E572="","",INDEX('Input Transaksi'!$D:$D,$E572))</f>
        <v/>
      </c>
      <c r="C572">
        <f>IF($E572="","",INDEX('Input Transaksi'!$E:$E,$E572))</f>
        <v/>
      </c>
      <c r="D572" s="5">
        <f>IF($E572="","",INDEX('Input Transaksi'!$F:$F,$E572))</f>
        <v/>
      </c>
      <c r="E572">
        <f>IFERROR(AGGREGATE(15,6,ROW('Input Transaksi'!$B$5:$B$5000)/('Input Transaksi'!$B$5:$B$5000="BALI WASH GALANG"),ROWS($E$5:E572)),"")</f>
        <v/>
      </c>
      <c r="F572" s="5" t="n"/>
    </row>
    <row r="573">
      <c r="A573" s="10">
        <f>IF($E573="","",INDEX('Input Transaksi'!$A:$A,$E573))</f>
        <v/>
      </c>
      <c r="B573" s="5">
        <f>IF($E573="","",INDEX('Input Transaksi'!$D:$D,$E573))</f>
        <v/>
      </c>
      <c r="C573">
        <f>IF($E573="","",INDEX('Input Transaksi'!$E:$E,$E573))</f>
        <v/>
      </c>
      <c r="D573" s="5">
        <f>IF($E573="","",INDEX('Input Transaksi'!$F:$F,$E573))</f>
        <v/>
      </c>
      <c r="E573">
        <f>IFERROR(AGGREGATE(15,6,ROW('Input Transaksi'!$B$5:$B$5000)/('Input Transaksi'!$B$5:$B$5000="BALI WASH GALANG"),ROWS($E$5:E573)),"")</f>
        <v/>
      </c>
      <c r="F573" s="5" t="n"/>
    </row>
    <row r="574">
      <c r="A574" s="10">
        <f>IF($E574="","",INDEX('Input Transaksi'!$A:$A,$E574))</f>
        <v/>
      </c>
      <c r="B574" s="5">
        <f>IF($E574="","",INDEX('Input Transaksi'!$D:$D,$E574))</f>
        <v/>
      </c>
      <c r="C574">
        <f>IF($E574="","",INDEX('Input Transaksi'!$E:$E,$E574))</f>
        <v/>
      </c>
      <c r="D574" s="5">
        <f>IF($E574="","",INDEX('Input Transaksi'!$F:$F,$E574))</f>
        <v/>
      </c>
      <c r="E574">
        <f>IFERROR(AGGREGATE(15,6,ROW('Input Transaksi'!$B$5:$B$5000)/('Input Transaksi'!$B$5:$B$5000="BALI WASH GALANG"),ROWS($E$5:E574)),"")</f>
        <v/>
      </c>
      <c r="F574" s="5" t="n"/>
    </row>
    <row r="575">
      <c r="A575" s="10">
        <f>IF($E575="","",INDEX('Input Transaksi'!$A:$A,$E575))</f>
        <v/>
      </c>
      <c r="B575" s="5">
        <f>IF($E575="","",INDEX('Input Transaksi'!$D:$D,$E575))</f>
        <v/>
      </c>
      <c r="C575">
        <f>IF($E575="","",INDEX('Input Transaksi'!$E:$E,$E575))</f>
        <v/>
      </c>
      <c r="D575" s="5">
        <f>IF($E575="","",INDEX('Input Transaksi'!$F:$F,$E575))</f>
        <v/>
      </c>
      <c r="E575">
        <f>IFERROR(AGGREGATE(15,6,ROW('Input Transaksi'!$B$5:$B$5000)/('Input Transaksi'!$B$5:$B$5000="BALI WASH GALANG"),ROWS($E$5:E575)),"")</f>
        <v/>
      </c>
      <c r="F575" s="5" t="n"/>
    </row>
    <row r="576">
      <c r="A576" s="10">
        <f>IF($E576="","",INDEX('Input Transaksi'!$A:$A,$E576))</f>
        <v/>
      </c>
      <c r="B576" s="5">
        <f>IF($E576="","",INDEX('Input Transaksi'!$D:$D,$E576))</f>
        <v/>
      </c>
      <c r="C576">
        <f>IF($E576="","",INDEX('Input Transaksi'!$E:$E,$E576))</f>
        <v/>
      </c>
      <c r="D576" s="5">
        <f>IF($E576="","",INDEX('Input Transaksi'!$F:$F,$E576))</f>
        <v/>
      </c>
      <c r="E576">
        <f>IFERROR(AGGREGATE(15,6,ROW('Input Transaksi'!$B$5:$B$5000)/('Input Transaksi'!$B$5:$B$5000="BALI WASH GALANG"),ROWS($E$5:E576)),"")</f>
        <v/>
      </c>
      <c r="F576" s="5" t="n"/>
    </row>
    <row r="577">
      <c r="A577" s="10">
        <f>IF($E577="","",INDEX('Input Transaksi'!$A:$A,$E577))</f>
        <v/>
      </c>
      <c r="B577" s="5">
        <f>IF($E577="","",INDEX('Input Transaksi'!$D:$D,$E577))</f>
        <v/>
      </c>
      <c r="C577">
        <f>IF($E577="","",INDEX('Input Transaksi'!$E:$E,$E577))</f>
        <v/>
      </c>
      <c r="D577" s="5">
        <f>IF($E577="","",INDEX('Input Transaksi'!$F:$F,$E577))</f>
        <v/>
      </c>
      <c r="E577">
        <f>IFERROR(AGGREGATE(15,6,ROW('Input Transaksi'!$B$5:$B$5000)/('Input Transaksi'!$B$5:$B$5000="BALI WASH GALANG"),ROWS($E$5:E577)),"")</f>
        <v/>
      </c>
      <c r="F577" s="5" t="n"/>
    </row>
    <row r="578">
      <c r="A578" s="10">
        <f>IF($E578="","",INDEX('Input Transaksi'!$A:$A,$E578))</f>
        <v/>
      </c>
      <c r="B578" s="5">
        <f>IF($E578="","",INDEX('Input Transaksi'!$D:$D,$E578))</f>
        <v/>
      </c>
      <c r="C578">
        <f>IF($E578="","",INDEX('Input Transaksi'!$E:$E,$E578))</f>
        <v/>
      </c>
      <c r="D578" s="5">
        <f>IF($E578="","",INDEX('Input Transaksi'!$F:$F,$E578))</f>
        <v/>
      </c>
      <c r="E578">
        <f>IFERROR(AGGREGATE(15,6,ROW('Input Transaksi'!$B$5:$B$5000)/('Input Transaksi'!$B$5:$B$5000="BALI WASH GALANG"),ROWS($E$5:E578)),"")</f>
        <v/>
      </c>
      <c r="F578" s="5" t="n"/>
    </row>
    <row r="579">
      <c r="A579" s="10">
        <f>IF($E579="","",INDEX('Input Transaksi'!$A:$A,$E579))</f>
        <v/>
      </c>
      <c r="B579" s="5">
        <f>IF($E579="","",INDEX('Input Transaksi'!$D:$D,$E579))</f>
        <v/>
      </c>
      <c r="C579">
        <f>IF($E579="","",INDEX('Input Transaksi'!$E:$E,$E579))</f>
        <v/>
      </c>
      <c r="D579" s="5">
        <f>IF($E579="","",INDEX('Input Transaksi'!$F:$F,$E579))</f>
        <v/>
      </c>
      <c r="E579">
        <f>IFERROR(AGGREGATE(15,6,ROW('Input Transaksi'!$B$5:$B$5000)/('Input Transaksi'!$B$5:$B$5000="BALI WASH GALANG"),ROWS($E$5:E579)),"")</f>
        <v/>
      </c>
      <c r="F579" s="5" t="n"/>
    </row>
    <row r="580">
      <c r="A580" s="10">
        <f>IF($E580="","",INDEX('Input Transaksi'!$A:$A,$E580))</f>
        <v/>
      </c>
      <c r="B580" s="5">
        <f>IF($E580="","",INDEX('Input Transaksi'!$D:$D,$E580))</f>
        <v/>
      </c>
      <c r="C580">
        <f>IF($E580="","",INDEX('Input Transaksi'!$E:$E,$E580))</f>
        <v/>
      </c>
      <c r="D580" s="5">
        <f>IF($E580="","",INDEX('Input Transaksi'!$F:$F,$E580))</f>
        <v/>
      </c>
      <c r="E580">
        <f>IFERROR(AGGREGATE(15,6,ROW('Input Transaksi'!$B$5:$B$5000)/('Input Transaksi'!$B$5:$B$5000="BALI WASH GALANG"),ROWS($E$5:E580)),"")</f>
        <v/>
      </c>
      <c r="F580" s="5" t="n"/>
    </row>
    <row r="581">
      <c r="A581" s="10">
        <f>IF($E581="","",INDEX('Input Transaksi'!$A:$A,$E581))</f>
        <v/>
      </c>
      <c r="B581" s="5">
        <f>IF($E581="","",INDEX('Input Transaksi'!$D:$D,$E581))</f>
        <v/>
      </c>
      <c r="C581">
        <f>IF($E581="","",INDEX('Input Transaksi'!$E:$E,$E581))</f>
        <v/>
      </c>
      <c r="D581" s="5">
        <f>IF($E581="","",INDEX('Input Transaksi'!$F:$F,$E581))</f>
        <v/>
      </c>
      <c r="E581">
        <f>IFERROR(AGGREGATE(15,6,ROW('Input Transaksi'!$B$5:$B$5000)/('Input Transaksi'!$B$5:$B$5000="BALI WASH GALANG"),ROWS($E$5:E581)),"")</f>
        <v/>
      </c>
      <c r="F581" s="5" t="n"/>
    </row>
    <row r="582">
      <c r="A582" s="10">
        <f>IF($E582="","",INDEX('Input Transaksi'!$A:$A,$E582))</f>
        <v/>
      </c>
      <c r="B582" s="5">
        <f>IF($E582="","",INDEX('Input Transaksi'!$D:$D,$E582))</f>
        <v/>
      </c>
      <c r="C582">
        <f>IF($E582="","",INDEX('Input Transaksi'!$E:$E,$E582))</f>
        <v/>
      </c>
      <c r="D582" s="5">
        <f>IF($E582="","",INDEX('Input Transaksi'!$F:$F,$E582))</f>
        <v/>
      </c>
      <c r="E582">
        <f>IFERROR(AGGREGATE(15,6,ROW('Input Transaksi'!$B$5:$B$5000)/('Input Transaksi'!$B$5:$B$5000="BALI WASH GALANG"),ROWS($E$5:E582)),"")</f>
        <v/>
      </c>
      <c r="F582" s="5" t="n"/>
    </row>
    <row r="583">
      <c r="A583" s="10">
        <f>IF($E583="","",INDEX('Input Transaksi'!$A:$A,$E583))</f>
        <v/>
      </c>
      <c r="B583" s="5">
        <f>IF($E583="","",INDEX('Input Transaksi'!$D:$D,$E583))</f>
        <v/>
      </c>
      <c r="C583">
        <f>IF($E583="","",INDEX('Input Transaksi'!$E:$E,$E583))</f>
        <v/>
      </c>
      <c r="D583" s="5">
        <f>IF($E583="","",INDEX('Input Transaksi'!$F:$F,$E583))</f>
        <v/>
      </c>
      <c r="E583">
        <f>IFERROR(AGGREGATE(15,6,ROW('Input Transaksi'!$B$5:$B$5000)/('Input Transaksi'!$B$5:$B$5000="BALI WASH GALANG"),ROWS($E$5:E583)),"")</f>
        <v/>
      </c>
      <c r="F583" s="5" t="n"/>
    </row>
    <row r="584">
      <c r="A584" s="10">
        <f>IF($E584="","",INDEX('Input Transaksi'!$A:$A,$E584))</f>
        <v/>
      </c>
      <c r="B584" s="5">
        <f>IF($E584="","",INDEX('Input Transaksi'!$D:$D,$E584))</f>
        <v/>
      </c>
      <c r="C584">
        <f>IF($E584="","",INDEX('Input Transaksi'!$E:$E,$E584))</f>
        <v/>
      </c>
      <c r="D584" s="5">
        <f>IF($E584="","",INDEX('Input Transaksi'!$F:$F,$E584))</f>
        <v/>
      </c>
      <c r="E584">
        <f>IFERROR(AGGREGATE(15,6,ROW('Input Transaksi'!$B$5:$B$5000)/('Input Transaksi'!$B$5:$B$5000="BALI WASH GALANG"),ROWS($E$5:E584)),"")</f>
        <v/>
      </c>
      <c r="F584" s="5" t="n"/>
    </row>
    <row r="585">
      <c r="A585" s="10">
        <f>IF($E585="","",INDEX('Input Transaksi'!$A:$A,$E585))</f>
        <v/>
      </c>
      <c r="B585" s="5">
        <f>IF($E585="","",INDEX('Input Transaksi'!$D:$D,$E585))</f>
        <v/>
      </c>
      <c r="C585">
        <f>IF($E585="","",INDEX('Input Transaksi'!$E:$E,$E585))</f>
        <v/>
      </c>
      <c r="D585" s="5">
        <f>IF($E585="","",INDEX('Input Transaksi'!$F:$F,$E585))</f>
        <v/>
      </c>
      <c r="E585">
        <f>IFERROR(AGGREGATE(15,6,ROW('Input Transaksi'!$B$5:$B$5000)/('Input Transaksi'!$B$5:$B$5000="BALI WASH GALANG"),ROWS($E$5:E585)),"")</f>
        <v/>
      </c>
      <c r="F585" s="5" t="n"/>
    </row>
    <row r="586">
      <c r="A586" s="10">
        <f>IF($E586="","",INDEX('Input Transaksi'!$A:$A,$E586))</f>
        <v/>
      </c>
      <c r="B586" s="5">
        <f>IF($E586="","",INDEX('Input Transaksi'!$D:$D,$E586))</f>
        <v/>
      </c>
      <c r="C586">
        <f>IF($E586="","",INDEX('Input Transaksi'!$E:$E,$E586))</f>
        <v/>
      </c>
      <c r="D586" s="5">
        <f>IF($E586="","",INDEX('Input Transaksi'!$F:$F,$E586))</f>
        <v/>
      </c>
      <c r="E586">
        <f>IFERROR(AGGREGATE(15,6,ROW('Input Transaksi'!$B$5:$B$5000)/('Input Transaksi'!$B$5:$B$5000="BALI WASH GALANG"),ROWS($E$5:E586)),"")</f>
        <v/>
      </c>
      <c r="F586" s="5" t="n"/>
    </row>
    <row r="587">
      <c r="A587" s="10">
        <f>IF($E587="","",INDEX('Input Transaksi'!$A:$A,$E587))</f>
        <v/>
      </c>
      <c r="B587" s="5">
        <f>IF($E587="","",INDEX('Input Transaksi'!$D:$D,$E587))</f>
        <v/>
      </c>
      <c r="C587">
        <f>IF($E587="","",INDEX('Input Transaksi'!$E:$E,$E587))</f>
        <v/>
      </c>
      <c r="D587" s="5">
        <f>IF($E587="","",INDEX('Input Transaksi'!$F:$F,$E587))</f>
        <v/>
      </c>
      <c r="E587">
        <f>IFERROR(AGGREGATE(15,6,ROW('Input Transaksi'!$B$5:$B$5000)/('Input Transaksi'!$B$5:$B$5000="BALI WASH GALANG"),ROWS($E$5:E587)),"")</f>
        <v/>
      </c>
      <c r="F587" s="5" t="n"/>
    </row>
    <row r="588">
      <c r="A588" s="10">
        <f>IF($E588="","",INDEX('Input Transaksi'!$A:$A,$E588))</f>
        <v/>
      </c>
      <c r="B588" s="5">
        <f>IF($E588="","",INDEX('Input Transaksi'!$D:$D,$E588))</f>
        <v/>
      </c>
      <c r="C588">
        <f>IF($E588="","",INDEX('Input Transaksi'!$E:$E,$E588))</f>
        <v/>
      </c>
      <c r="D588" s="5">
        <f>IF($E588="","",INDEX('Input Transaksi'!$F:$F,$E588))</f>
        <v/>
      </c>
      <c r="E588">
        <f>IFERROR(AGGREGATE(15,6,ROW('Input Transaksi'!$B$5:$B$5000)/('Input Transaksi'!$B$5:$B$5000="BALI WASH GALANG"),ROWS($E$5:E588)),"")</f>
        <v/>
      </c>
      <c r="F588" s="5" t="n"/>
    </row>
    <row r="589">
      <c r="A589" s="10">
        <f>IF($E589="","",INDEX('Input Transaksi'!$A:$A,$E589))</f>
        <v/>
      </c>
      <c r="B589" s="5">
        <f>IF($E589="","",INDEX('Input Transaksi'!$D:$D,$E589))</f>
        <v/>
      </c>
      <c r="C589">
        <f>IF($E589="","",INDEX('Input Transaksi'!$E:$E,$E589))</f>
        <v/>
      </c>
      <c r="D589" s="5">
        <f>IF($E589="","",INDEX('Input Transaksi'!$F:$F,$E589))</f>
        <v/>
      </c>
      <c r="E589">
        <f>IFERROR(AGGREGATE(15,6,ROW('Input Transaksi'!$B$5:$B$5000)/('Input Transaksi'!$B$5:$B$5000="BALI WASH GALANG"),ROWS($E$5:E589)),"")</f>
        <v/>
      </c>
      <c r="F589" s="5" t="n"/>
    </row>
    <row r="590">
      <c r="A590" s="10">
        <f>IF($E590="","",INDEX('Input Transaksi'!$A:$A,$E590))</f>
        <v/>
      </c>
      <c r="B590" s="5">
        <f>IF($E590="","",INDEX('Input Transaksi'!$D:$D,$E590))</f>
        <v/>
      </c>
      <c r="C590">
        <f>IF($E590="","",INDEX('Input Transaksi'!$E:$E,$E590))</f>
        <v/>
      </c>
      <c r="D590" s="5">
        <f>IF($E590="","",INDEX('Input Transaksi'!$F:$F,$E590))</f>
        <v/>
      </c>
      <c r="E590">
        <f>IFERROR(AGGREGATE(15,6,ROW('Input Transaksi'!$B$5:$B$5000)/('Input Transaksi'!$B$5:$B$5000="BALI WASH GALANG"),ROWS($E$5:E590)),"")</f>
        <v/>
      </c>
      <c r="F590" s="5" t="n"/>
    </row>
    <row r="591">
      <c r="A591" s="10">
        <f>IF($E591="","",INDEX('Input Transaksi'!$A:$A,$E591))</f>
        <v/>
      </c>
      <c r="B591" s="5">
        <f>IF($E591="","",INDEX('Input Transaksi'!$D:$D,$E591))</f>
        <v/>
      </c>
      <c r="C591">
        <f>IF($E591="","",INDEX('Input Transaksi'!$E:$E,$E591))</f>
        <v/>
      </c>
      <c r="D591" s="5">
        <f>IF($E591="","",INDEX('Input Transaksi'!$F:$F,$E591))</f>
        <v/>
      </c>
      <c r="E591">
        <f>IFERROR(AGGREGATE(15,6,ROW('Input Transaksi'!$B$5:$B$5000)/('Input Transaksi'!$B$5:$B$5000="BALI WASH GALANG"),ROWS($E$5:E591)),"")</f>
        <v/>
      </c>
      <c r="F591" s="5" t="n"/>
    </row>
    <row r="592">
      <c r="A592" s="10">
        <f>IF($E592="","",INDEX('Input Transaksi'!$A:$A,$E592))</f>
        <v/>
      </c>
      <c r="B592" s="5">
        <f>IF($E592="","",INDEX('Input Transaksi'!$D:$D,$E592))</f>
        <v/>
      </c>
      <c r="C592">
        <f>IF($E592="","",INDEX('Input Transaksi'!$E:$E,$E592))</f>
        <v/>
      </c>
      <c r="D592" s="5">
        <f>IF($E592="","",INDEX('Input Transaksi'!$F:$F,$E592))</f>
        <v/>
      </c>
      <c r="E592">
        <f>IFERROR(AGGREGATE(15,6,ROW('Input Transaksi'!$B$5:$B$5000)/('Input Transaksi'!$B$5:$B$5000="BALI WASH GALANG"),ROWS($E$5:E592)),"")</f>
        <v/>
      </c>
      <c r="F592" s="5" t="n"/>
    </row>
    <row r="593">
      <c r="A593" s="10">
        <f>IF($E593="","",INDEX('Input Transaksi'!$A:$A,$E593))</f>
        <v/>
      </c>
      <c r="B593" s="5">
        <f>IF($E593="","",INDEX('Input Transaksi'!$D:$D,$E593))</f>
        <v/>
      </c>
      <c r="C593">
        <f>IF($E593="","",INDEX('Input Transaksi'!$E:$E,$E593))</f>
        <v/>
      </c>
      <c r="D593" s="5">
        <f>IF($E593="","",INDEX('Input Transaksi'!$F:$F,$E593))</f>
        <v/>
      </c>
      <c r="E593">
        <f>IFERROR(AGGREGATE(15,6,ROW('Input Transaksi'!$B$5:$B$5000)/('Input Transaksi'!$B$5:$B$5000="BALI WASH GALANG"),ROWS($E$5:E593)),"")</f>
        <v/>
      </c>
      <c r="F593" s="5" t="n"/>
    </row>
    <row r="594">
      <c r="A594" s="10">
        <f>IF($E594="","",INDEX('Input Transaksi'!$A:$A,$E594))</f>
        <v/>
      </c>
      <c r="B594" s="5">
        <f>IF($E594="","",INDEX('Input Transaksi'!$D:$D,$E594))</f>
        <v/>
      </c>
      <c r="C594">
        <f>IF($E594="","",INDEX('Input Transaksi'!$E:$E,$E594))</f>
        <v/>
      </c>
      <c r="D594" s="5">
        <f>IF($E594="","",INDEX('Input Transaksi'!$F:$F,$E594))</f>
        <v/>
      </c>
      <c r="E594">
        <f>IFERROR(AGGREGATE(15,6,ROW('Input Transaksi'!$B$5:$B$5000)/('Input Transaksi'!$B$5:$B$5000="BALI WASH GALANG"),ROWS($E$5:E594)),"")</f>
        <v/>
      </c>
      <c r="F594" s="5" t="n"/>
    </row>
    <row r="595">
      <c r="A595" s="10">
        <f>IF($E595="","",INDEX('Input Transaksi'!$A:$A,$E595))</f>
        <v/>
      </c>
      <c r="B595" s="5">
        <f>IF($E595="","",INDEX('Input Transaksi'!$D:$D,$E595))</f>
        <v/>
      </c>
      <c r="C595">
        <f>IF($E595="","",INDEX('Input Transaksi'!$E:$E,$E595))</f>
        <v/>
      </c>
      <c r="D595" s="5">
        <f>IF($E595="","",INDEX('Input Transaksi'!$F:$F,$E595))</f>
        <v/>
      </c>
      <c r="E595">
        <f>IFERROR(AGGREGATE(15,6,ROW('Input Transaksi'!$B$5:$B$5000)/('Input Transaksi'!$B$5:$B$5000="BALI WASH GALANG"),ROWS($E$5:E595)),"")</f>
        <v/>
      </c>
      <c r="F595" s="5" t="n"/>
    </row>
    <row r="596">
      <c r="A596" s="10">
        <f>IF($E596="","",INDEX('Input Transaksi'!$A:$A,$E596))</f>
        <v/>
      </c>
      <c r="B596" s="5">
        <f>IF($E596="","",INDEX('Input Transaksi'!$D:$D,$E596))</f>
        <v/>
      </c>
      <c r="C596">
        <f>IF($E596="","",INDEX('Input Transaksi'!$E:$E,$E596))</f>
        <v/>
      </c>
      <c r="D596" s="5">
        <f>IF($E596="","",INDEX('Input Transaksi'!$F:$F,$E596))</f>
        <v/>
      </c>
      <c r="E596">
        <f>IFERROR(AGGREGATE(15,6,ROW('Input Transaksi'!$B$5:$B$5000)/('Input Transaksi'!$B$5:$B$5000="BALI WASH GALANG"),ROWS($E$5:E596)),"")</f>
        <v/>
      </c>
      <c r="F596" s="5" t="n"/>
    </row>
    <row r="597">
      <c r="A597" s="10">
        <f>IF($E597="","",INDEX('Input Transaksi'!$A:$A,$E597))</f>
        <v/>
      </c>
      <c r="B597" s="5">
        <f>IF($E597="","",INDEX('Input Transaksi'!$D:$D,$E597))</f>
        <v/>
      </c>
      <c r="C597">
        <f>IF($E597="","",INDEX('Input Transaksi'!$E:$E,$E597))</f>
        <v/>
      </c>
      <c r="D597" s="5">
        <f>IF($E597="","",INDEX('Input Transaksi'!$F:$F,$E597))</f>
        <v/>
      </c>
      <c r="E597">
        <f>IFERROR(AGGREGATE(15,6,ROW('Input Transaksi'!$B$5:$B$5000)/('Input Transaksi'!$B$5:$B$5000="BALI WASH GALANG"),ROWS($E$5:E597)),"")</f>
        <v/>
      </c>
      <c r="F597" s="5" t="n"/>
    </row>
    <row r="598">
      <c r="A598" s="10">
        <f>IF($E598="","",INDEX('Input Transaksi'!$A:$A,$E598))</f>
        <v/>
      </c>
      <c r="B598" s="5">
        <f>IF($E598="","",INDEX('Input Transaksi'!$D:$D,$E598))</f>
        <v/>
      </c>
      <c r="C598">
        <f>IF($E598="","",INDEX('Input Transaksi'!$E:$E,$E598))</f>
        <v/>
      </c>
      <c r="D598" s="5">
        <f>IF($E598="","",INDEX('Input Transaksi'!$F:$F,$E598))</f>
        <v/>
      </c>
      <c r="E598">
        <f>IFERROR(AGGREGATE(15,6,ROW('Input Transaksi'!$B$5:$B$5000)/('Input Transaksi'!$B$5:$B$5000="BALI WASH GALANG"),ROWS($E$5:E598)),"")</f>
        <v/>
      </c>
      <c r="F598" s="5" t="n"/>
    </row>
    <row r="599">
      <c r="A599" s="10">
        <f>IF($E599="","",INDEX('Input Transaksi'!$A:$A,$E599))</f>
        <v/>
      </c>
      <c r="B599" s="5">
        <f>IF($E599="","",INDEX('Input Transaksi'!$D:$D,$E599))</f>
        <v/>
      </c>
      <c r="C599">
        <f>IF($E599="","",INDEX('Input Transaksi'!$E:$E,$E599))</f>
        <v/>
      </c>
      <c r="D599" s="5">
        <f>IF($E599="","",INDEX('Input Transaksi'!$F:$F,$E599))</f>
        <v/>
      </c>
      <c r="E599">
        <f>IFERROR(AGGREGATE(15,6,ROW('Input Transaksi'!$B$5:$B$5000)/('Input Transaksi'!$B$5:$B$5000="BALI WASH GALANG"),ROWS($E$5:E599)),"")</f>
        <v/>
      </c>
      <c r="F599" s="5" t="n"/>
    </row>
    <row r="600">
      <c r="A600" s="10">
        <f>IF($E600="","",INDEX('Input Transaksi'!$A:$A,$E600))</f>
        <v/>
      </c>
      <c r="B600" s="5">
        <f>IF($E600="","",INDEX('Input Transaksi'!$D:$D,$E600))</f>
        <v/>
      </c>
      <c r="C600">
        <f>IF($E600="","",INDEX('Input Transaksi'!$E:$E,$E600))</f>
        <v/>
      </c>
      <c r="D600" s="5">
        <f>IF($E600="","",INDEX('Input Transaksi'!$F:$F,$E600))</f>
        <v/>
      </c>
      <c r="E600">
        <f>IFERROR(AGGREGATE(15,6,ROW('Input Transaksi'!$B$5:$B$5000)/('Input Transaksi'!$B$5:$B$5000="BALI WASH GALANG"),ROWS($E$5:E600)),"")</f>
        <v/>
      </c>
      <c r="F600" s="5" t="n"/>
    </row>
    <row r="601">
      <c r="A601" s="10">
        <f>IF($E601="","",INDEX('Input Transaksi'!$A:$A,$E601))</f>
        <v/>
      </c>
      <c r="B601" s="5">
        <f>IF($E601="","",INDEX('Input Transaksi'!$D:$D,$E601))</f>
        <v/>
      </c>
      <c r="C601">
        <f>IF($E601="","",INDEX('Input Transaksi'!$E:$E,$E601))</f>
        <v/>
      </c>
      <c r="D601" s="5">
        <f>IF($E601="","",INDEX('Input Transaksi'!$F:$F,$E601))</f>
        <v/>
      </c>
      <c r="E601">
        <f>IFERROR(AGGREGATE(15,6,ROW('Input Transaksi'!$B$5:$B$5000)/('Input Transaksi'!$B$5:$B$5000="BALI WASH GALANG"),ROWS($E$5:E601)),"")</f>
        <v/>
      </c>
      <c r="F601" s="5" t="n"/>
    </row>
    <row r="602">
      <c r="A602" s="10">
        <f>IF($E602="","",INDEX('Input Transaksi'!$A:$A,$E602))</f>
        <v/>
      </c>
      <c r="B602" s="5">
        <f>IF($E602="","",INDEX('Input Transaksi'!$D:$D,$E602))</f>
        <v/>
      </c>
      <c r="C602">
        <f>IF($E602="","",INDEX('Input Transaksi'!$E:$E,$E602))</f>
        <v/>
      </c>
      <c r="D602" s="5">
        <f>IF($E602="","",INDEX('Input Transaksi'!$F:$F,$E602))</f>
        <v/>
      </c>
      <c r="E602">
        <f>IFERROR(AGGREGATE(15,6,ROW('Input Transaksi'!$B$5:$B$5000)/('Input Transaksi'!$B$5:$B$5000="BALI WASH GALANG"),ROWS($E$5:E602)),"")</f>
        <v/>
      </c>
      <c r="F602" s="5" t="n"/>
    </row>
    <row r="603">
      <c r="A603" s="10">
        <f>IF($E603="","",INDEX('Input Transaksi'!$A:$A,$E603))</f>
        <v/>
      </c>
      <c r="B603" s="5">
        <f>IF($E603="","",INDEX('Input Transaksi'!$D:$D,$E603))</f>
        <v/>
      </c>
      <c r="C603">
        <f>IF($E603="","",INDEX('Input Transaksi'!$E:$E,$E603))</f>
        <v/>
      </c>
      <c r="D603" s="5">
        <f>IF($E603="","",INDEX('Input Transaksi'!$F:$F,$E603))</f>
        <v/>
      </c>
      <c r="E603">
        <f>IFERROR(AGGREGATE(15,6,ROW('Input Transaksi'!$B$5:$B$5000)/('Input Transaksi'!$B$5:$B$5000="BALI WASH GALANG"),ROWS($E$5:E603)),"")</f>
        <v/>
      </c>
      <c r="F603" s="5" t="n"/>
    </row>
    <row r="604">
      <c r="A604" s="10">
        <f>IF($E604="","",INDEX('Input Transaksi'!$A:$A,$E604))</f>
        <v/>
      </c>
      <c r="B604" s="5">
        <f>IF($E604="","",INDEX('Input Transaksi'!$D:$D,$E604))</f>
        <v/>
      </c>
      <c r="C604">
        <f>IF($E604="","",INDEX('Input Transaksi'!$E:$E,$E604))</f>
        <v/>
      </c>
      <c r="D604" s="5">
        <f>IF($E604="","",INDEX('Input Transaksi'!$F:$F,$E604))</f>
        <v/>
      </c>
      <c r="E604">
        <f>IFERROR(AGGREGATE(15,6,ROW('Input Transaksi'!$B$5:$B$5000)/('Input Transaksi'!$B$5:$B$5000="BALI WASH GALANG"),ROWS($E$5:E604)),"")</f>
        <v/>
      </c>
      <c r="F604" s="5" t="n"/>
    </row>
    <row r="605">
      <c r="A605" s="10">
        <f>IF($E605="","",INDEX('Input Transaksi'!$A:$A,$E605))</f>
        <v/>
      </c>
      <c r="B605" s="5">
        <f>IF($E605="","",INDEX('Input Transaksi'!$D:$D,$E605))</f>
        <v/>
      </c>
      <c r="C605">
        <f>IF($E605="","",INDEX('Input Transaksi'!$E:$E,$E605))</f>
        <v/>
      </c>
      <c r="D605" s="5">
        <f>IF($E605="","",INDEX('Input Transaksi'!$F:$F,$E605))</f>
        <v/>
      </c>
      <c r="E605">
        <f>IFERROR(AGGREGATE(15,6,ROW('Input Transaksi'!$B$5:$B$5000)/('Input Transaksi'!$B$5:$B$5000="BALI WASH GALANG"),ROWS($E$5:E605)),"")</f>
        <v/>
      </c>
      <c r="F605" s="5" t="n"/>
    </row>
    <row r="606">
      <c r="A606" s="10">
        <f>IF($E606="","",INDEX('Input Transaksi'!$A:$A,$E606))</f>
        <v/>
      </c>
      <c r="B606" s="5">
        <f>IF($E606="","",INDEX('Input Transaksi'!$D:$D,$E606))</f>
        <v/>
      </c>
      <c r="C606">
        <f>IF($E606="","",INDEX('Input Transaksi'!$E:$E,$E606))</f>
        <v/>
      </c>
      <c r="D606" s="5">
        <f>IF($E606="","",INDEX('Input Transaksi'!$F:$F,$E606))</f>
        <v/>
      </c>
      <c r="E606">
        <f>IFERROR(AGGREGATE(15,6,ROW('Input Transaksi'!$B$5:$B$5000)/('Input Transaksi'!$B$5:$B$5000="BALI WASH GALANG"),ROWS($E$5:E606)),"")</f>
        <v/>
      </c>
      <c r="F606" s="5" t="n"/>
    </row>
    <row r="607">
      <c r="A607" s="10">
        <f>IF($E607="","",INDEX('Input Transaksi'!$A:$A,$E607))</f>
        <v/>
      </c>
      <c r="B607" s="5">
        <f>IF($E607="","",INDEX('Input Transaksi'!$D:$D,$E607))</f>
        <v/>
      </c>
      <c r="C607">
        <f>IF($E607="","",INDEX('Input Transaksi'!$E:$E,$E607))</f>
        <v/>
      </c>
      <c r="D607" s="5">
        <f>IF($E607="","",INDEX('Input Transaksi'!$F:$F,$E607))</f>
        <v/>
      </c>
      <c r="E607">
        <f>IFERROR(AGGREGATE(15,6,ROW('Input Transaksi'!$B$5:$B$5000)/('Input Transaksi'!$B$5:$B$5000="BALI WASH GALANG"),ROWS($E$5:E607)),"")</f>
        <v/>
      </c>
      <c r="F607" s="5" t="n"/>
    </row>
    <row r="608">
      <c r="A608" s="10">
        <f>IF($E608="","",INDEX('Input Transaksi'!$A:$A,$E608))</f>
        <v/>
      </c>
      <c r="B608" s="5">
        <f>IF($E608="","",INDEX('Input Transaksi'!$D:$D,$E608))</f>
        <v/>
      </c>
      <c r="C608">
        <f>IF($E608="","",INDEX('Input Transaksi'!$E:$E,$E608))</f>
        <v/>
      </c>
      <c r="D608" s="5">
        <f>IF($E608="","",INDEX('Input Transaksi'!$F:$F,$E608))</f>
        <v/>
      </c>
      <c r="E608">
        <f>IFERROR(AGGREGATE(15,6,ROW('Input Transaksi'!$B$5:$B$5000)/('Input Transaksi'!$B$5:$B$5000="BALI WASH GALANG"),ROWS($E$5:E608)),"")</f>
        <v/>
      </c>
      <c r="F608" s="5" t="n"/>
    </row>
    <row r="609">
      <c r="A609" s="10">
        <f>IF($E609="","",INDEX('Input Transaksi'!$A:$A,$E609))</f>
        <v/>
      </c>
      <c r="B609" s="5">
        <f>IF($E609="","",INDEX('Input Transaksi'!$D:$D,$E609))</f>
        <v/>
      </c>
      <c r="C609">
        <f>IF($E609="","",INDEX('Input Transaksi'!$E:$E,$E609))</f>
        <v/>
      </c>
      <c r="D609" s="5">
        <f>IF($E609="","",INDEX('Input Transaksi'!$F:$F,$E609))</f>
        <v/>
      </c>
      <c r="E609">
        <f>IFERROR(AGGREGATE(15,6,ROW('Input Transaksi'!$B$5:$B$5000)/('Input Transaksi'!$B$5:$B$5000="BALI WASH GALANG"),ROWS($E$5:E609)),"")</f>
        <v/>
      </c>
      <c r="F609" s="5" t="n"/>
    </row>
    <row r="610">
      <c r="A610" s="10">
        <f>IF($E610="","",INDEX('Input Transaksi'!$A:$A,$E610))</f>
        <v/>
      </c>
      <c r="B610" s="5">
        <f>IF($E610="","",INDEX('Input Transaksi'!$D:$D,$E610))</f>
        <v/>
      </c>
      <c r="C610">
        <f>IF($E610="","",INDEX('Input Transaksi'!$E:$E,$E610))</f>
        <v/>
      </c>
      <c r="D610" s="5">
        <f>IF($E610="","",INDEX('Input Transaksi'!$F:$F,$E610))</f>
        <v/>
      </c>
      <c r="E610">
        <f>IFERROR(AGGREGATE(15,6,ROW('Input Transaksi'!$B$5:$B$5000)/('Input Transaksi'!$B$5:$B$5000="BALI WASH GALANG"),ROWS($E$5:E610)),"")</f>
        <v/>
      </c>
      <c r="F610" s="5" t="n"/>
    </row>
    <row r="611">
      <c r="A611" s="10">
        <f>IF($E611="","",INDEX('Input Transaksi'!$A:$A,$E611))</f>
        <v/>
      </c>
      <c r="B611" s="5">
        <f>IF($E611="","",INDEX('Input Transaksi'!$D:$D,$E611))</f>
        <v/>
      </c>
      <c r="C611">
        <f>IF($E611="","",INDEX('Input Transaksi'!$E:$E,$E611))</f>
        <v/>
      </c>
      <c r="D611" s="5">
        <f>IF($E611="","",INDEX('Input Transaksi'!$F:$F,$E611))</f>
        <v/>
      </c>
      <c r="E611">
        <f>IFERROR(AGGREGATE(15,6,ROW('Input Transaksi'!$B$5:$B$5000)/('Input Transaksi'!$B$5:$B$5000="BALI WASH GALANG"),ROWS($E$5:E611)),"")</f>
        <v/>
      </c>
      <c r="F611" s="5" t="n"/>
    </row>
    <row r="612">
      <c r="A612" s="10">
        <f>IF($E612="","",INDEX('Input Transaksi'!$A:$A,$E612))</f>
        <v/>
      </c>
      <c r="B612" s="5">
        <f>IF($E612="","",INDEX('Input Transaksi'!$D:$D,$E612))</f>
        <v/>
      </c>
      <c r="C612">
        <f>IF($E612="","",INDEX('Input Transaksi'!$E:$E,$E612))</f>
        <v/>
      </c>
      <c r="D612" s="5">
        <f>IF($E612="","",INDEX('Input Transaksi'!$F:$F,$E612))</f>
        <v/>
      </c>
      <c r="E612">
        <f>IFERROR(AGGREGATE(15,6,ROW('Input Transaksi'!$B$5:$B$5000)/('Input Transaksi'!$B$5:$B$5000="BALI WASH GALANG"),ROWS($E$5:E612)),"")</f>
        <v/>
      </c>
      <c r="F612" s="5" t="n"/>
    </row>
    <row r="613">
      <c r="A613" s="10">
        <f>IF($E613="","",INDEX('Input Transaksi'!$A:$A,$E613))</f>
        <v/>
      </c>
      <c r="B613" s="5">
        <f>IF($E613="","",INDEX('Input Transaksi'!$D:$D,$E613))</f>
        <v/>
      </c>
      <c r="C613">
        <f>IF($E613="","",INDEX('Input Transaksi'!$E:$E,$E613))</f>
        <v/>
      </c>
      <c r="D613" s="5">
        <f>IF($E613="","",INDEX('Input Transaksi'!$F:$F,$E613))</f>
        <v/>
      </c>
      <c r="E613">
        <f>IFERROR(AGGREGATE(15,6,ROW('Input Transaksi'!$B$5:$B$5000)/('Input Transaksi'!$B$5:$B$5000="BALI WASH GALANG"),ROWS($E$5:E613)),"")</f>
        <v/>
      </c>
      <c r="F613" s="5" t="n"/>
    </row>
    <row r="614">
      <c r="A614" s="10">
        <f>IF($E614="","",INDEX('Input Transaksi'!$A:$A,$E614))</f>
        <v/>
      </c>
      <c r="B614" s="5">
        <f>IF($E614="","",INDEX('Input Transaksi'!$D:$D,$E614))</f>
        <v/>
      </c>
      <c r="C614">
        <f>IF($E614="","",INDEX('Input Transaksi'!$E:$E,$E614))</f>
        <v/>
      </c>
      <c r="D614" s="5">
        <f>IF($E614="","",INDEX('Input Transaksi'!$F:$F,$E614))</f>
        <v/>
      </c>
      <c r="E614">
        <f>IFERROR(AGGREGATE(15,6,ROW('Input Transaksi'!$B$5:$B$5000)/('Input Transaksi'!$B$5:$B$5000="BALI WASH GALANG"),ROWS($E$5:E614)),"")</f>
        <v/>
      </c>
      <c r="F614" s="5" t="n"/>
    </row>
    <row r="615">
      <c r="A615" s="10">
        <f>IF($E615="","",INDEX('Input Transaksi'!$A:$A,$E615))</f>
        <v/>
      </c>
      <c r="B615" s="5">
        <f>IF($E615="","",INDEX('Input Transaksi'!$D:$D,$E615))</f>
        <v/>
      </c>
      <c r="C615">
        <f>IF($E615="","",INDEX('Input Transaksi'!$E:$E,$E615))</f>
        <v/>
      </c>
      <c r="D615" s="5">
        <f>IF($E615="","",INDEX('Input Transaksi'!$F:$F,$E615))</f>
        <v/>
      </c>
      <c r="E615">
        <f>IFERROR(AGGREGATE(15,6,ROW('Input Transaksi'!$B$5:$B$5000)/('Input Transaksi'!$B$5:$B$5000="BALI WASH GALANG"),ROWS($E$5:E615)),"")</f>
        <v/>
      </c>
      <c r="F615" s="5" t="n"/>
    </row>
    <row r="616">
      <c r="A616" s="10">
        <f>IF($E616="","",INDEX('Input Transaksi'!$A:$A,$E616))</f>
        <v/>
      </c>
      <c r="B616" s="5">
        <f>IF($E616="","",INDEX('Input Transaksi'!$D:$D,$E616))</f>
        <v/>
      </c>
      <c r="C616">
        <f>IF($E616="","",INDEX('Input Transaksi'!$E:$E,$E616))</f>
        <v/>
      </c>
      <c r="D616" s="5">
        <f>IF($E616="","",INDEX('Input Transaksi'!$F:$F,$E616))</f>
        <v/>
      </c>
      <c r="E616">
        <f>IFERROR(AGGREGATE(15,6,ROW('Input Transaksi'!$B$5:$B$5000)/('Input Transaksi'!$B$5:$B$5000="BALI WASH GALANG"),ROWS($E$5:E616)),"")</f>
        <v/>
      </c>
      <c r="F616" s="5" t="n"/>
    </row>
    <row r="617">
      <c r="A617" s="10">
        <f>IF($E617="","",INDEX('Input Transaksi'!$A:$A,$E617))</f>
        <v/>
      </c>
      <c r="B617" s="5">
        <f>IF($E617="","",INDEX('Input Transaksi'!$D:$D,$E617))</f>
        <v/>
      </c>
      <c r="C617">
        <f>IF($E617="","",INDEX('Input Transaksi'!$E:$E,$E617))</f>
        <v/>
      </c>
      <c r="D617" s="5">
        <f>IF($E617="","",INDEX('Input Transaksi'!$F:$F,$E617))</f>
        <v/>
      </c>
      <c r="E617">
        <f>IFERROR(AGGREGATE(15,6,ROW('Input Transaksi'!$B$5:$B$5000)/('Input Transaksi'!$B$5:$B$5000="BALI WASH GALANG"),ROWS($E$5:E617)),"")</f>
        <v/>
      </c>
      <c r="F617" s="5" t="n"/>
    </row>
    <row r="618">
      <c r="A618" s="10">
        <f>IF($E618="","",INDEX('Input Transaksi'!$A:$A,$E618))</f>
        <v/>
      </c>
      <c r="B618" s="5">
        <f>IF($E618="","",INDEX('Input Transaksi'!$D:$D,$E618))</f>
        <v/>
      </c>
      <c r="C618">
        <f>IF($E618="","",INDEX('Input Transaksi'!$E:$E,$E618))</f>
        <v/>
      </c>
      <c r="D618" s="5">
        <f>IF($E618="","",INDEX('Input Transaksi'!$F:$F,$E618))</f>
        <v/>
      </c>
      <c r="E618">
        <f>IFERROR(AGGREGATE(15,6,ROW('Input Transaksi'!$B$5:$B$5000)/('Input Transaksi'!$B$5:$B$5000="BALI WASH GALANG"),ROWS($E$5:E618)),"")</f>
        <v/>
      </c>
      <c r="F618" s="5" t="n"/>
    </row>
    <row r="619">
      <c r="A619" s="10">
        <f>IF($E619="","",INDEX('Input Transaksi'!$A:$A,$E619))</f>
        <v/>
      </c>
      <c r="B619" s="5">
        <f>IF($E619="","",INDEX('Input Transaksi'!$D:$D,$E619))</f>
        <v/>
      </c>
      <c r="C619">
        <f>IF($E619="","",INDEX('Input Transaksi'!$E:$E,$E619))</f>
        <v/>
      </c>
      <c r="D619" s="5">
        <f>IF($E619="","",INDEX('Input Transaksi'!$F:$F,$E619))</f>
        <v/>
      </c>
      <c r="E619">
        <f>IFERROR(AGGREGATE(15,6,ROW('Input Transaksi'!$B$5:$B$5000)/('Input Transaksi'!$B$5:$B$5000="BALI WASH GALANG"),ROWS($E$5:E619)),"")</f>
        <v/>
      </c>
      <c r="F619" s="5" t="n"/>
    </row>
    <row r="620">
      <c r="A620" s="10">
        <f>IF($E620="","",INDEX('Input Transaksi'!$A:$A,$E620))</f>
        <v/>
      </c>
      <c r="B620" s="5">
        <f>IF($E620="","",INDEX('Input Transaksi'!$D:$D,$E620))</f>
        <v/>
      </c>
      <c r="C620">
        <f>IF($E620="","",INDEX('Input Transaksi'!$E:$E,$E620))</f>
        <v/>
      </c>
      <c r="D620" s="5">
        <f>IF($E620="","",INDEX('Input Transaksi'!$F:$F,$E620))</f>
        <v/>
      </c>
      <c r="E620">
        <f>IFERROR(AGGREGATE(15,6,ROW('Input Transaksi'!$B$5:$B$5000)/('Input Transaksi'!$B$5:$B$5000="BALI WASH GALANG"),ROWS($E$5:E620)),"")</f>
        <v/>
      </c>
      <c r="F620" s="5" t="n"/>
    </row>
    <row r="621">
      <c r="A621" s="10">
        <f>IF($E621="","",INDEX('Input Transaksi'!$A:$A,$E621))</f>
        <v/>
      </c>
      <c r="B621" s="5">
        <f>IF($E621="","",INDEX('Input Transaksi'!$D:$D,$E621))</f>
        <v/>
      </c>
      <c r="C621">
        <f>IF($E621="","",INDEX('Input Transaksi'!$E:$E,$E621))</f>
        <v/>
      </c>
      <c r="D621" s="5">
        <f>IF($E621="","",INDEX('Input Transaksi'!$F:$F,$E621))</f>
        <v/>
      </c>
      <c r="E621">
        <f>IFERROR(AGGREGATE(15,6,ROW('Input Transaksi'!$B$5:$B$5000)/('Input Transaksi'!$B$5:$B$5000="BALI WASH GALANG"),ROWS($E$5:E621)),"")</f>
        <v/>
      </c>
      <c r="F621" s="5" t="n"/>
    </row>
    <row r="622">
      <c r="A622" s="10">
        <f>IF($E622="","",INDEX('Input Transaksi'!$A:$A,$E622))</f>
        <v/>
      </c>
      <c r="B622" s="5">
        <f>IF($E622="","",INDEX('Input Transaksi'!$D:$D,$E622))</f>
        <v/>
      </c>
      <c r="C622">
        <f>IF($E622="","",INDEX('Input Transaksi'!$E:$E,$E622))</f>
        <v/>
      </c>
      <c r="D622" s="5">
        <f>IF($E622="","",INDEX('Input Transaksi'!$F:$F,$E622))</f>
        <v/>
      </c>
      <c r="E622">
        <f>IFERROR(AGGREGATE(15,6,ROW('Input Transaksi'!$B$5:$B$5000)/('Input Transaksi'!$B$5:$B$5000="BALI WASH GALANG"),ROWS($E$5:E622)),"")</f>
        <v/>
      </c>
      <c r="F622" s="5" t="n"/>
    </row>
    <row r="623">
      <c r="A623" s="10">
        <f>IF($E623="","",INDEX('Input Transaksi'!$A:$A,$E623))</f>
        <v/>
      </c>
      <c r="B623" s="5">
        <f>IF($E623="","",INDEX('Input Transaksi'!$D:$D,$E623))</f>
        <v/>
      </c>
      <c r="C623">
        <f>IF($E623="","",INDEX('Input Transaksi'!$E:$E,$E623))</f>
        <v/>
      </c>
      <c r="D623" s="5">
        <f>IF($E623="","",INDEX('Input Transaksi'!$F:$F,$E623))</f>
        <v/>
      </c>
      <c r="E623">
        <f>IFERROR(AGGREGATE(15,6,ROW('Input Transaksi'!$B$5:$B$5000)/('Input Transaksi'!$B$5:$B$5000="BALI WASH GALANG"),ROWS($E$5:E623)),"")</f>
        <v/>
      </c>
      <c r="F623" s="5" t="n"/>
    </row>
    <row r="624">
      <c r="A624" s="10">
        <f>IF($E624="","",INDEX('Input Transaksi'!$A:$A,$E624))</f>
        <v/>
      </c>
      <c r="B624" s="5">
        <f>IF($E624="","",INDEX('Input Transaksi'!$D:$D,$E624))</f>
        <v/>
      </c>
      <c r="C624">
        <f>IF($E624="","",INDEX('Input Transaksi'!$E:$E,$E624))</f>
        <v/>
      </c>
      <c r="D624" s="5">
        <f>IF($E624="","",INDEX('Input Transaksi'!$F:$F,$E624))</f>
        <v/>
      </c>
      <c r="E624">
        <f>IFERROR(AGGREGATE(15,6,ROW('Input Transaksi'!$B$5:$B$5000)/('Input Transaksi'!$B$5:$B$5000="BALI WASH GALANG"),ROWS($E$5:E624)),"")</f>
        <v/>
      </c>
      <c r="F624" s="5" t="n"/>
    </row>
    <row r="625">
      <c r="A625" s="10">
        <f>IF($E625="","",INDEX('Input Transaksi'!$A:$A,$E625))</f>
        <v/>
      </c>
      <c r="B625" s="5">
        <f>IF($E625="","",INDEX('Input Transaksi'!$D:$D,$E625))</f>
        <v/>
      </c>
      <c r="C625">
        <f>IF($E625="","",INDEX('Input Transaksi'!$E:$E,$E625))</f>
        <v/>
      </c>
      <c r="D625" s="5">
        <f>IF($E625="","",INDEX('Input Transaksi'!$F:$F,$E625))</f>
        <v/>
      </c>
      <c r="E625">
        <f>IFERROR(AGGREGATE(15,6,ROW('Input Transaksi'!$B$5:$B$5000)/('Input Transaksi'!$B$5:$B$5000="BALI WASH GALANG"),ROWS($E$5:E625)),"")</f>
        <v/>
      </c>
      <c r="F625" s="5" t="n"/>
    </row>
    <row r="626">
      <c r="A626" s="10">
        <f>IF($E626="","",INDEX('Input Transaksi'!$A:$A,$E626))</f>
        <v/>
      </c>
      <c r="B626" s="5">
        <f>IF($E626="","",INDEX('Input Transaksi'!$D:$D,$E626))</f>
        <v/>
      </c>
      <c r="C626">
        <f>IF($E626="","",INDEX('Input Transaksi'!$E:$E,$E626))</f>
        <v/>
      </c>
      <c r="D626" s="5">
        <f>IF($E626="","",INDEX('Input Transaksi'!$F:$F,$E626))</f>
        <v/>
      </c>
      <c r="E626">
        <f>IFERROR(AGGREGATE(15,6,ROW('Input Transaksi'!$B$5:$B$5000)/('Input Transaksi'!$B$5:$B$5000="BALI WASH GALANG"),ROWS($E$5:E626)),"")</f>
        <v/>
      </c>
      <c r="F626" s="5" t="n"/>
    </row>
    <row r="627">
      <c r="A627" s="10">
        <f>IF($E627="","",INDEX('Input Transaksi'!$A:$A,$E627))</f>
        <v/>
      </c>
      <c r="B627" s="5">
        <f>IF($E627="","",INDEX('Input Transaksi'!$D:$D,$E627))</f>
        <v/>
      </c>
      <c r="C627">
        <f>IF($E627="","",INDEX('Input Transaksi'!$E:$E,$E627))</f>
        <v/>
      </c>
      <c r="D627" s="5">
        <f>IF($E627="","",INDEX('Input Transaksi'!$F:$F,$E627))</f>
        <v/>
      </c>
      <c r="E627">
        <f>IFERROR(AGGREGATE(15,6,ROW('Input Transaksi'!$B$5:$B$5000)/('Input Transaksi'!$B$5:$B$5000="BALI WASH GALANG"),ROWS($E$5:E627)),"")</f>
        <v/>
      </c>
      <c r="F627" s="5" t="n"/>
    </row>
    <row r="628">
      <c r="A628" s="10">
        <f>IF($E628="","",INDEX('Input Transaksi'!$A:$A,$E628))</f>
        <v/>
      </c>
      <c r="B628" s="5">
        <f>IF($E628="","",INDEX('Input Transaksi'!$D:$D,$E628))</f>
        <v/>
      </c>
      <c r="C628">
        <f>IF($E628="","",INDEX('Input Transaksi'!$E:$E,$E628))</f>
        <v/>
      </c>
      <c r="D628" s="5">
        <f>IF($E628="","",INDEX('Input Transaksi'!$F:$F,$E628))</f>
        <v/>
      </c>
      <c r="E628">
        <f>IFERROR(AGGREGATE(15,6,ROW('Input Transaksi'!$B$5:$B$5000)/('Input Transaksi'!$B$5:$B$5000="BALI WASH GALANG"),ROWS($E$5:E628)),"")</f>
        <v/>
      </c>
      <c r="F628" s="5" t="n"/>
    </row>
    <row r="629">
      <c r="A629" s="10">
        <f>IF($E629="","",INDEX('Input Transaksi'!$A:$A,$E629))</f>
        <v/>
      </c>
      <c r="B629" s="5">
        <f>IF($E629="","",INDEX('Input Transaksi'!$D:$D,$E629))</f>
        <v/>
      </c>
      <c r="C629">
        <f>IF($E629="","",INDEX('Input Transaksi'!$E:$E,$E629))</f>
        <v/>
      </c>
      <c r="D629" s="5">
        <f>IF($E629="","",INDEX('Input Transaksi'!$F:$F,$E629))</f>
        <v/>
      </c>
      <c r="E629">
        <f>IFERROR(AGGREGATE(15,6,ROW('Input Transaksi'!$B$5:$B$5000)/('Input Transaksi'!$B$5:$B$5000="BALI WASH GALANG"),ROWS($E$5:E629)),"")</f>
        <v/>
      </c>
      <c r="F629" s="5" t="n"/>
    </row>
    <row r="630">
      <c r="A630" s="10">
        <f>IF($E630="","",INDEX('Input Transaksi'!$A:$A,$E630))</f>
        <v/>
      </c>
      <c r="B630" s="5">
        <f>IF($E630="","",INDEX('Input Transaksi'!$D:$D,$E630))</f>
        <v/>
      </c>
      <c r="C630">
        <f>IF($E630="","",INDEX('Input Transaksi'!$E:$E,$E630))</f>
        <v/>
      </c>
      <c r="D630" s="5">
        <f>IF($E630="","",INDEX('Input Transaksi'!$F:$F,$E630))</f>
        <v/>
      </c>
      <c r="E630">
        <f>IFERROR(AGGREGATE(15,6,ROW('Input Transaksi'!$B$5:$B$5000)/('Input Transaksi'!$B$5:$B$5000="BALI WASH GALANG"),ROWS($E$5:E630)),"")</f>
        <v/>
      </c>
      <c r="F630" s="5" t="n"/>
    </row>
    <row r="631">
      <c r="A631" s="10">
        <f>IF($E631="","",INDEX('Input Transaksi'!$A:$A,$E631))</f>
        <v/>
      </c>
      <c r="B631" s="5">
        <f>IF($E631="","",INDEX('Input Transaksi'!$D:$D,$E631))</f>
        <v/>
      </c>
      <c r="C631">
        <f>IF($E631="","",INDEX('Input Transaksi'!$E:$E,$E631))</f>
        <v/>
      </c>
      <c r="D631" s="5">
        <f>IF($E631="","",INDEX('Input Transaksi'!$F:$F,$E631))</f>
        <v/>
      </c>
      <c r="E631">
        <f>IFERROR(AGGREGATE(15,6,ROW('Input Transaksi'!$B$5:$B$5000)/('Input Transaksi'!$B$5:$B$5000="BALI WASH GALANG"),ROWS($E$5:E631)),"")</f>
        <v/>
      </c>
      <c r="F631" s="5" t="n"/>
    </row>
    <row r="632">
      <c r="A632" s="10">
        <f>IF($E632="","",INDEX('Input Transaksi'!$A:$A,$E632))</f>
        <v/>
      </c>
      <c r="B632" s="5">
        <f>IF($E632="","",INDEX('Input Transaksi'!$D:$D,$E632))</f>
        <v/>
      </c>
      <c r="C632">
        <f>IF($E632="","",INDEX('Input Transaksi'!$E:$E,$E632))</f>
        <v/>
      </c>
      <c r="D632" s="5">
        <f>IF($E632="","",INDEX('Input Transaksi'!$F:$F,$E632))</f>
        <v/>
      </c>
      <c r="E632">
        <f>IFERROR(AGGREGATE(15,6,ROW('Input Transaksi'!$B$5:$B$5000)/('Input Transaksi'!$B$5:$B$5000="BALI WASH GALANG"),ROWS($E$5:E632)),"")</f>
        <v/>
      </c>
      <c r="F632" s="5" t="n"/>
    </row>
    <row r="633">
      <c r="A633" s="10">
        <f>IF($E633="","",INDEX('Input Transaksi'!$A:$A,$E633))</f>
        <v/>
      </c>
      <c r="B633" s="5">
        <f>IF($E633="","",INDEX('Input Transaksi'!$D:$D,$E633))</f>
        <v/>
      </c>
      <c r="C633">
        <f>IF($E633="","",INDEX('Input Transaksi'!$E:$E,$E633))</f>
        <v/>
      </c>
      <c r="D633" s="5">
        <f>IF($E633="","",INDEX('Input Transaksi'!$F:$F,$E633))</f>
        <v/>
      </c>
      <c r="E633">
        <f>IFERROR(AGGREGATE(15,6,ROW('Input Transaksi'!$B$5:$B$5000)/('Input Transaksi'!$B$5:$B$5000="BALI WASH GALANG"),ROWS($E$5:E633)),"")</f>
        <v/>
      </c>
      <c r="F633" s="5" t="n"/>
    </row>
    <row r="634">
      <c r="A634" s="10">
        <f>IF($E634="","",INDEX('Input Transaksi'!$A:$A,$E634))</f>
        <v/>
      </c>
      <c r="B634" s="5">
        <f>IF($E634="","",INDEX('Input Transaksi'!$D:$D,$E634))</f>
        <v/>
      </c>
      <c r="C634">
        <f>IF($E634="","",INDEX('Input Transaksi'!$E:$E,$E634))</f>
        <v/>
      </c>
      <c r="D634" s="5">
        <f>IF($E634="","",INDEX('Input Transaksi'!$F:$F,$E634))</f>
        <v/>
      </c>
      <c r="E634">
        <f>IFERROR(AGGREGATE(15,6,ROW('Input Transaksi'!$B$5:$B$5000)/('Input Transaksi'!$B$5:$B$5000="BALI WASH GALANG"),ROWS($E$5:E634)),"")</f>
        <v/>
      </c>
      <c r="F634" s="5" t="n"/>
    </row>
    <row r="635">
      <c r="A635" s="10">
        <f>IF($E635="","",INDEX('Input Transaksi'!$A:$A,$E635))</f>
        <v/>
      </c>
      <c r="B635" s="5">
        <f>IF($E635="","",INDEX('Input Transaksi'!$D:$D,$E635))</f>
        <v/>
      </c>
      <c r="C635">
        <f>IF($E635="","",INDEX('Input Transaksi'!$E:$E,$E635))</f>
        <v/>
      </c>
      <c r="D635" s="5">
        <f>IF($E635="","",INDEX('Input Transaksi'!$F:$F,$E635))</f>
        <v/>
      </c>
      <c r="E635">
        <f>IFERROR(AGGREGATE(15,6,ROW('Input Transaksi'!$B$5:$B$5000)/('Input Transaksi'!$B$5:$B$5000="BALI WASH GALANG"),ROWS($E$5:E635)),"")</f>
        <v/>
      </c>
      <c r="F635" s="5" t="n"/>
    </row>
    <row r="636">
      <c r="A636" s="10">
        <f>IF($E636="","",INDEX('Input Transaksi'!$A:$A,$E636))</f>
        <v/>
      </c>
      <c r="B636" s="5">
        <f>IF($E636="","",INDEX('Input Transaksi'!$D:$D,$E636))</f>
        <v/>
      </c>
      <c r="C636">
        <f>IF($E636="","",INDEX('Input Transaksi'!$E:$E,$E636))</f>
        <v/>
      </c>
      <c r="D636" s="5">
        <f>IF($E636="","",INDEX('Input Transaksi'!$F:$F,$E636))</f>
        <v/>
      </c>
      <c r="E636">
        <f>IFERROR(AGGREGATE(15,6,ROW('Input Transaksi'!$B$5:$B$5000)/('Input Transaksi'!$B$5:$B$5000="BALI WASH GALANG"),ROWS($E$5:E636)),"")</f>
        <v/>
      </c>
      <c r="F636" s="5" t="n"/>
    </row>
    <row r="637">
      <c r="A637" s="10">
        <f>IF($E637="","",INDEX('Input Transaksi'!$A:$A,$E637))</f>
        <v/>
      </c>
      <c r="B637" s="5">
        <f>IF($E637="","",INDEX('Input Transaksi'!$D:$D,$E637))</f>
        <v/>
      </c>
      <c r="C637">
        <f>IF($E637="","",INDEX('Input Transaksi'!$E:$E,$E637))</f>
        <v/>
      </c>
      <c r="D637" s="5">
        <f>IF($E637="","",INDEX('Input Transaksi'!$F:$F,$E637))</f>
        <v/>
      </c>
      <c r="E637">
        <f>IFERROR(AGGREGATE(15,6,ROW('Input Transaksi'!$B$5:$B$5000)/('Input Transaksi'!$B$5:$B$5000="BALI WASH GALANG"),ROWS($E$5:E637)),"")</f>
        <v/>
      </c>
      <c r="F637" s="5" t="n"/>
    </row>
    <row r="638">
      <c r="A638" s="10">
        <f>IF($E638="","",INDEX('Input Transaksi'!$A:$A,$E638))</f>
        <v/>
      </c>
      <c r="B638" s="5">
        <f>IF($E638="","",INDEX('Input Transaksi'!$D:$D,$E638))</f>
        <v/>
      </c>
      <c r="C638">
        <f>IF($E638="","",INDEX('Input Transaksi'!$E:$E,$E638))</f>
        <v/>
      </c>
      <c r="D638" s="5">
        <f>IF($E638="","",INDEX('Input Transaksi'!$F:$F,$E638))</f>
        <v/>
      </c>
      <c r="E638">
        <f>IFERROR(AGGREGATE(15,6,ROW('Input Transaksi'!$B$5:$B$5000)/('Input Transaksi'!$B$5:$B$5000="BALI WASH GALANG"),ROWS($E$5:E638)),"")</f>
        <v/>
      </c>
      <c r="F638" s="5" t="n"/>
    </row>
    <row r="639">
      <c r="A639" s="10">
        <f>IF($E639="","",INDEX('Input Transaksi'!$A:$A,$E639))</f>
        <v/>
      </c>
      <c r="B639" s="5">
        <f>IF($E639="","",INDEX('Input Transaksi'!$D:$D,$E639))</f>
        <v/>
      </c>
      <c r="C639">
        <f>IF($E639="","",INDEX('Input Transaksi'!$E:$E,$E639))</f>
        <v/>
      </c>
      <c r="D639" s="5">
        <f>IF($E639="","",INDEX('Input Transaksi'!$F:$F,$E639))</f>
        <v/>
      </c>
      <c r="E639">
        <f>IFERROR(AGGREGATE(15,6,ROW('Input Transaksi'!$B$5:$B$5000)/('Input Transaksi'!$B$5:$B$5000="BALI WASH GALANG"),ROWS($E$5:E639)),"")</f>
        <v/>
      </c>
      <c r="F639" s="5" t="n"/>
    </row>
    <row r="640">
      <c r="A640" s="10">
        <f>IF($E640="","",INDEX('Input Transaksi'!$A:$A,$E640))</f>
        <v/>
      </c>
      <c r="B640" s="5">
        <f>IF($E640="","",INDEX('Input Transaksi'!$D:$D,$E640))</f>
        <v/>
      </c>
      <c r="C640">
        <f>IF($E640="","",INDEX('Input Transaksi'!$E:$E,$E640))</f>
        <v/>
      </c>
      <c r="D640" s="5">
        <f>IF($E640="","",INDEX('Input Transaksi'!$F:$F,$E640))</f>
        <v/>
      </c>
      <c r="E640">
        <f>IFERROR(AGGREGATE(15,6,ROW('Input Transaksi'!$B$5:$B$5000)/('Input Transaksi'!$B$5:$B$5000="BALI WASH GALANG"),ROWS($E$5:E640)),"")</f>
        <v/>
      </c>
      <c r="F640" s="5" t="n"/>
    </row>
    <row r="641">
      <c r="A641" s="10">
        <f>IF($E641="","",INDEX('Input Transaksi'!$A:$A,$E641))</f>
        <v/>
      </c>
      <c r="B641" s="5">
        <f>IF($E641="","",INDEX('Input Transaksi'!$D:$D,$E641))</f>
        <v/>
      </c>
      <c r="C641">
        <f>IF($E641="","",INDEX('Input Transaksi'!$E:$E,$E641))</f>
        <v/>
      </c>
      <c r="D641" s="5">
        <f>IF($E641="","",INDEX('Input Transaksi'!$F:$F,$E641))</f>
        <v/>
      </c>
      <c r="E641">
        <f>IFERROR(AGGREGATE(15,6,ROW('Input Transaksi'!$B$5:$B$5000)/('Input Transaksi'!$B$5:$B$5000="BALI WASH GALANG"),ROWS($E$5:E641)),"")</f>
        <v/>
      </c>
      <c r="F641" s="5" t="n"/>
    </row>
    <row r="642">
      <c r="A642" s="10">
        <f>IF($E642="","",INDEX('Input Transaksi'!$A:$A,$E642))</f>
        <v/>
      </c>
      <c r="B642" s="5">
        <f>IF($E642="","",INDEX('Input Transaksi'!$D:$D,$E642))</f>
        <v/>
      </c>
      <c r="C642">
        <f>IF($E642="","",INDEX('Input Transaksi'!$E:$E,$E642))</f>
        <v/>
      </c>
      <c r="D642" s="5">
        <f>IF($E642="","",INDEX('Input Transaksi'!$F:$F,$E642))</f>
        <v/>
      </c>
      <c r="E642">
        <f>IFERROR(AGGREGATE(15,6,ROW('Input Transaksi'!$B$5:$B$5000)/('Input Transaksi'!$B$5:$B$5000="BALI WASH GALANG"),ROWS($E$5:E642)),"")</f>
        <v/>
      </c>
      <c r="F642" s="5" t="n"/>
    </row>
    <row r="643">
      <c r="A643" s="10">
        <f>IF($E643="","",INDEX('Input Transaksi'!$A:$A,$E643))</f>
        <v/>
      </c>
      <c r="B643" s="5">
        <f>IF($E643="","",INDEX('Input Transaksi'!$D:$D,$E643))</f>
        <v/>
      </c>
      <c r="C643">
        <f>IF($E643="","",INDEX('Input Transaksi'!$E:$E,$E643))</f>
        <v/>
      </c>
      <c r="D643" s="5">
        <f>IF($E643="","",INDEX('Input Transaksi'!$F:$F,$E643))</f>
        <v/>
      </c>
      <c r="E643">
        <f>IFERROR(AGGREGATE(15,6,ROW('Input Transaksi'!$B$5:$B$5000)/('Input Transaksi'!$B$5:$B$5000="BALI WASH GALANG"),ROWS($E$5:E643)),"")</f>
        <v/>
      </c>
      <c r="F643" s="5" t="n"/>
    </row>
    <row r="644">
      <c r="A644" s="10">
        <f>IF($E644="","",INDEX('Input Transaksi'!$A:$A,$E644))</f>
        <v/>
      </c>
      <c r="B644" s="5">
        <f>IF($E644="","",INDEX('Input Transaksi'!$D:$D,$E644))</f>
        <v/>
      </c>
      <c r="C644">
        <f>IF($E644="","",INDEX('Input Transaksi'!$E:$E,$E644))</f>
        <v/>
      </c>
      <c r="D644" s="5">
        <f>IF($E644="","",INDEX('Input Transaksi'!$F:$F,$E644))</f>
        <v/>
      </c>
      <c r="E644">
        <f>IFERROR(AGGREGATE(15,6,ROW('Input Transaksi'!$B$5:$B$5000)/('Input Transaksi'!$B$5:$B$5000="BALI WASH GALANG"),ROWS($E$5:E644)),"")</f>
        <v/>
      </c>
      <c r="F644" s="5" t="n"/>
    </row>
    <row r="645">
      <c r="A645" s="10">
        <f>IF($E645="","",INDEX('Input Transaksi'!$A:$A,$E645))</f>
        <v/>
      </c>
      <c r="B645" s="5">
        <f>IF($E645="","",INDEX('Input Transaksi'!$D:$D,$E645))</f>
        <v/>
      </c>
      <c r="C645">
        <f>IF($E645="","",INDEX('Input Transaksi'!$E:$E,$E645))</f>
        <v/>
      </c>
      <c r="D645" s="5">
        <f>IF($E645="","",INDEX('Input Transaksi'!$F:$F,$E645))</f>
        <v/>
      </c>
      <c r="E645">
        <f>IFERROR(AGGREGATE(15,6,ROW('Input Transaksi'!$B$5:$B$5000)/('Input Transaksi'!$B$5:$B$5000="BALI WASH GALANG"),ROWS($E$5:E645)),"")</f>
        <v/>
      </c>
      <c r="F645" s="5" t="n"/>
    </row>
    <row r="646">
      <c r="A646" s="10">
        <f>IF($E646="","",INDEX('Input Transaksi'!$A:$A,$E646))</f>
        <v/>
      </c>
      <c r="B646" s="5">
        <f>IF($E646="","",INDEX('Input Transaksi'!$D:$D,$E646))</f>
        <v/>
      </c>
      <c r="C646">
        <f>IF($E646="","",INDEX('Input Transaksi'!$E:$E,$E646))</f>
        <v/>
      </c>
      <c r="D646" s="5">
        <f>IF($E646="","",INDEX('Input Transaksi'!$F:$F,$E646))</f>
        <v/>
      </c>
      <c r="E646">
        <f>IFERROR(AGGREGATE(15,6,ROW('Input Transaksi'!$B$5:$B$5000)/('Input Transaksi'!$B$5:$B$5000="BALI WASH GALANG"),ROWS($E$5:E646)),"")</f>
        <v/>
      </c>
      <c r="F646" s="5" t="n"/>
    </row>
    <row r="647">
      <c r="A647" s="10">
        <f>IF($E647="","",INDEX('Input Transaksi'!$A:$A,$E647))</f>
        <v/>
      </c>
      <c r="B647" s="5">
        <f>IF($E647="","",INDEX('Input Transaksi'!$D:$D,$E647))</f>
        <v/>
      </c>
      <c r="C647">
        <f>IF($E647="","",INDEX('Input Transaksi'!$E:$E,$E647))</f>
        <v/>
      </c>
      <c r="D647" s="5">
        <f>IF($E647="","",INDEX('Input Transaksi'!$F:$F,$E647))</f>
        <v/>
      </c>
      <c r="E647">
        <f>IFERROR(AGGREGATE(15,6,ROW('Input Transaksi'!$B$5:$B$5000)/('Input Transaksi'!$B$5:$B$5000="BALI WASH GALANG"),ROWS($E$5:E647)),"")</f>
        <v/>
      </c>
      <c r="F647" s="5" t="n"/>
    </row>
    <row r="648">
      <c r="A648" s="10">
        <f>IF($E648="","",INDEX('Input Transaksi'!$A:$A,$E648))</f>
        <v/>
      </c>
      <c r="B648" s="5">
        <f>IF($E648="","",INDEX('Input Transaksi'!$D:$D,$E648))</f>
        <v/>
      </c>
      <c r="C648">
        <f>IF($E648="","",INDEX('Input Transaksi'!$E:$E,$E648))</f>
        <v/>
      </c>
      <c r="D648" s="5">
        <f>IF($E648="","",INDEX('Input Transaksi'!$F:$F,$E648))</f>
        <v/>
      </c>
      <c r="E648">
        <f>IFERROR(AGGREGATE(15,6,ROW('Input Transaksi'!$B$5:$B$5000)/('Input Transaksi'!$B$5:$B$5000="BALI WASH GALANG"),ROWS($E$5:E648)),"")</f>
        <v/>
      </c>
      <c r="F648" s="5" t="n"/>
    </row>
    <row r="649">
      <c r="A649" s="10">
        <f>IF($E649="","",INDEX('Input Transaksi'!$A:$A,$E649))</f>
        <v/>
      </c>
      <c r="B649" s="5">
        <f>IF($E649="","",INDEX('Input Transaksi'!$D:$D,$E649))</f>
        <v/>
      </c>
      <c r="C649">
        <f>IF($E649="","",INDEX('Input Transaksi'!$E:$E,$E649))</f>
        <v/>
      </c>
      <c r="D649" s="5">
        <f>IF($E649="","",INDEX('Input Transaksi'!$F:$F,$E649))</f>
        <v/>
      </c>
      <c r="E649">
        <f>IFERROR(AGGREGATE(15,6,ROW('Input Transaksi'!$B$5:$B$5000)/('Input Transaksi'!$B$5:$B$5000="BALI WASH GALANG"),ROWS($E$5:E649)),"")</f>
        <v/>
      </c>
      <c r="F649" s="5" t="n"/>
    </row>
    <row r="650">
      <c r="A650" s="10">
        <f>IF($E650="","",INDEX('Input Transaksi'!$A:$A,$E650))</f>
        <v/>
      </c>
      <c r="B650" s="5">
        <f>IF($E650="","",INDEX('Input Transaksi'!$D:$D,$E650))</f>
        <v/>
      </c>
      <c r="C650">
        <f>IF($E650="","",INDEX('Input Transaksi'!$E:$E,$E650))</f>
        <v/>
      </c>
      <c r="D650" s="5">
        <f>IF($E650="","",INDEX('Input Transaksi'!$F:$F,$E650))</f>
        <v/>
      </c>
      <c r="E650">
        <f>IFERROR(AGGREGATE(15,6,ROW('Input Transaksi'!$B$5:$B$5000)/('Input Transaksi'!$B$5:$B$5000="BALI WASH GALANG"),ROWS($E$5:E650)),"")</f>
        <v/>
      </c>
      <c r="F650" s="5" t="n"/>
    </row>
    <row r="651">
      <c r="A651" s="10">
        <f>IF($E651="","",INDEX('Input Transaksi'!$A:$A,$E651))</f>
        <v/>
      </c>
      <c r="B651" s="5">
        <f>IF($E651="","",INDEX('Input Transaksi'!$D:$D,$E651))</f>
        <v/>
      </c>
      <c r="C651">
        <f>IF($E651="","",INDEX('Input Transaksi'!$E:$E,$E651))</f>
        <v/>
      </c>
      <c r="D651" s="5">
        <f>IF($E651="","",INDEX('Input Transaksi'!$F:$F,$E651))</f>
        <v/>
      </c>
      <c r="E651">
        <f>IFERROR(AGGREGATE(15,6,ROW('Input Transaksi'!$B$5:$B$5000)/('Input Transaksi'!$B$5:$B$5000="BALI WASH GALANG"),ROWS($E$5:E651)),"")</f>
        <v/>
      </c>
      <c r="F651" s="5" t="n"/>
    </row>
    <row r="652">
      <c r="A652" s="10">
        <f>IF($E652="","",INDEX('Input Transaksi'!$A:$A,$E652))</f>
        <v/>
      </c>
      <c r="B652" s="5">
        <f>IF($E652="","",INDEX('Input Transaksi'!$D:$D,$E652))</f>
        <v/>
      </c>
      <c r="C652">
        <f>IF($E652="","",INDEX('Input Transaksi'!$E:$E,$E652))</f>
        <v/>
      </c>
      <c r="D652" s="5">
        <f>IF($E652="","",INDEX('Input Transaksi'!$F:$F,$E652))</f>
        <v/>
      </c>
      <c r="E652">
        <f>IFERROR(AGGREGATE(15,6,ROW('Input Transaksi'!$B$5:$B$5000)/('Input Transaksi'!$B$5:$B$5000="BALI WASH GALANG"),ROWS($E$5:E652)),"")</f>
        <v/>
      </c>
      <c r="F652" s="5" t="n"/>
    </row>
    <row r="653">
      <c r="A653" s="10">
        <f>IF($E653="","",INDEX('Input Transaksi'!$A:$A,$E653))</f>
        <v/>
      </c>
      <c r="B653" s="5">
        <f>IF($E653="","",INDEX('Input Transaksi'!$D:$D,$E653))</f>
        <v/>
      </c>
      <c r="C653">
        <f>IF($E653="","",INDEX('Input Transaksi'!$E:$E,$E653))</f>
        <v/>
      </c>
      <c r="D653" s="5">
        <f>IF($E653="","",INDEX('Input Transaksi'!$F:$F,$E653))</f>
        <v/>
      </c>
      <c r="E653">
        <f>IFERROR(AGGREGATE(15,6,ROW('Input Transaksi'!$B$5:$B$5000)/('Input Transaksi'!$B$5:$B$5000="BALI WASH GALANG"),ROWS($E$5:E653)),"")</f>
        <v/>
      </c>
      <c r="F653" s="5" t="n"/>
    </row>
    <row r="654">
      <c r="A654" s="10">
        <f>IF($E654="","",INDEX('Input Transaksi'!$A:$A,$E654))</f>
        <v/>
      </c>
      <c r="B654" s="5">
        <f>IF($E654="","",INDEX('Input Transaksi'!$D:$D,$E654))</f>
        <v/>
      </c>
      <c r="C654">
        <f>IF($E654="","",INDEX('Input Transaksi'!$E:$E,$E654))</f>
        <v/>
      </c>
      <c r="D654" s="5">
        <f>IF($E654="","",INDEX('Input Transaksi'!$F:$F,$E654))</f>
        <v/>
      </c>
      <c r="E654">
        <f>IFERROR(AGGREGATE(15,6,ROW('Input Transaksi'!$B$5:$B$5000)/('Input Transaksi'!$B$5:$B$5000="BALI WASH GALANG"),ROWS($E$5:E654)),"")</f>
        <v/>
      </c>
      <c r="F654" s="5" t="n"/>
    </row>
    <row r="655">
      <c r="A655" s="10">
        <f>IF($E655="","",INDEX('Input Transaksi'!$A:$A,$E655))</f>
        <v/>
      </c>
      <c r="B655" s="5">
        <f>IF($E655="","",INDEX('Input Transaksi'!$D:$D,$E655))</f>
        <v/>
      </c>
      <c r="C655">
        <f>IF($E655="","",INDEX('Input Transaksi'!$E:$E,$E655))</f>
        <v/>
      </c>
      <c r="D655" s="5">
        <f>IF($E655="","",INDEX('Input Transaksi'!$F:$F,$E655))</f>
        <v/>
      </c>
      <c r="E655">
        <f>IFERROR(AGGREGATE(15,6,ROW('Input Transaksi'!$B$5:$B$5000)/('Input Transaksi'!$B$5:$B$5000="BALI WASH GALANG"),ROWS($E$5:E655)),"")</f>
        <v/>
      </c>
      <c r="F655" s="5" t="n"/>
    </row>
    <row r="656">
      <c r="A656" s="10">
        <f>IF($E656="","",INDEX('Input Transaksi'!$A:$A,$E656))</f>
        <v/>
      </c>
      <c r="B656" s="5">
        <f>IF($E656="","",INDEX('Input Transaksi'!$D:$D,$E656))</f>
        <v/>
      </c>
      <c r="C656">
        <f>IF($E656="","",INDEX('Input Transaksi'!$E:$E,$E656))</f>
        <v/>
      </c>
      <c r="D656" s="5">
        <f>IF($E656="","",INDEX('Input Transaksi'!$F:$F,$E656))</f>
        <v/>
      </c>
      <c r="E656">
        <f>IFERROR(AGGREGATE(15,6,ROW('Input Transaksi'!$B$5:$B$5000)/('Input Transaksi'!$B$5:$B$5000="BALI WASH GALANG"),ROWS($E$5:E656)),"")</f>
        <v/>
      </c>
      <c r="F656" s="5" t="n"/>
    </row>
    <row r="657">
      <c r="A657" s="10">
        <f>IF($E657="","",INDEX('Input Transaksi'!$A:$A,$E657))</f>
        <v/>
      </c>
      <c r="B657" s="5">
        <f>IF($E657="","",INDEX('Input Transaksi'!$D:$D,$E657))</f>
        <v/>
      </c>
      <c r="C657">
        <f>IF($E657="","",INDEX('Input Transaksi'!$E:$E,$E657))</f>
        <v/>
      </c>
      <c r="D657" s="5">
        <f>IF($E657="","",INDEX('Input Transaksi'!$F:$F,$E657))</f>
        <v/>
      </c>
      <c r="E657">
        <f>IFERROR(AGGREGATE(15,6,ROW('Input Transaksi'!$B$5:$B$5000)/('Input Transaksi'!$B$5:$B$5000="BALI WASH GALANG"),ROWS($E$5:E657)),"")</f>
        <v/>
      </c>
      <c r="F657" s="5" t="n"/>
    </row>
    <row r="658">
      <c r="A658" s="10">
        <f>IF($E658="","",INDEX('Input Transaksi'!$A:$A,$E658))</f>
        <v/>
      </c>
      <c r="B658" s="5">
        <f>IF($E658="","",INDEX('Input Transaksi'!$D:$D,$E658))</f>
        <v/>
      </c>
      <c r="C658">
        <f>IF($E658="","",INDEX('Input Transaksi'!$E:$E,$E658))</f>
        <v/>
      </c>
      <c r="D658" s="5">
        <f>IF($E658="","",INDEX('Input Transaksi'!$F:$F,$E658))</f>
        <v/>
      </c>
      <c r="E658">
        <f>IFERROR(AGGREGATE(15,6,ROW('Input Transaksi'!$B$5:$B$5000)/('Input Transaksi'!$B$5:$B$5000="BALI WASH GALANG"),ROWS($E$5:E658)),"")</f>
        <v/>
      </c>
      <c r="F658" s="5" t="n"/>
    </row>
    <row r="659">
      <c r="A659" s="10">
        <f>IF($E659="","",INDEX('Input Transaksi'!$A:$A,$E659))</f>
        <v/>
      </c>
      <c r="B659" s="5">
        <f>IF($E659="","",INDEX('Input Transaksi'!$D:$D,$E659))</f>
        <v/>
      </c>
      <c r="C659">
        <f>IF($E659="","",INDEX('Input Transaksi'!$E:$E,$E659))</f>
        <v/>
      </c>
      <c r="D659" s="5">
        <f>IF($E659="","",INDEX('Input Transaksi'!$F:$F,$E659))</f>
        <v/>
      </c>
      <c r="E659">
        <f>IFERROR(AGGREGATE(15,6,ROW('Input Transaksi'!$B$5:$B$5000)/('Input Transaksi'!$B$5:$B$5000="BALI WASH GALANG"),ROWS($E$5:E659)),"")</f>
        <v/>
      </c>
      <c r="F659" s="5" t="n"/>
    </row>
    <row r="660">
      <c r="A660" s="10">
        <f>IF($E660="","",INDEX('Input Transaksi'!$A:$A,$E660))</f>
        <v/>
      </c>
      <c r="B660" s="5">
        <f>IF($E660="","",INDEX('Input Transaksi'!$D:$D,$E660))</f>
        <v/>
      </c>
      <c r="C660">
        <f>IF($E660="","",INDEX('Input Transaksi'!$E:$E,$E660))</f>
        <v/>
      </c>
      <c r="D660" s="5">
        <f>IF($E660="","",INDEX('Input Transaksi'!$F:$F,$E660))</f>
        <v/>
      </c>
      <c r="E660">
        <f>IFERROR(AGGREGATE(15,6,ROW('Input Transaksi'!$B$5:$B$5000)/('Input Transaksi'!$B$5:$B$5000="BALI WASH GALANG"),ROWS($E$5:E660)),"")</f>
        <v/>
      </c>
      <c r="F660" s="5" t="n"/>
    </row>
    <row r="661">
      <c r="A661" s="10">
        <f>IF($E661="","",INDEX('Input Transaksi'!$A:$A,$E661))</f>
        <v/>
      </c>
      <c r="B661" s="5">
        <f>IF($E661="","",INDEX('Input Transaksi'!$D:$D,$E661))</f>
        <v/>
      </c>
      <c r="C661">
        <f>IF($E661="","",INDEX('Input Transaksi'!$E:$E,$E661))</f>
        <v/>
      </c>
      <c r="D661" s="5">
        <f>IF($E661="","",INDEX('Input Transaksi'!$F:$F,$E661))</f>
        <v/>
      </c>
      <c r="E661">
        <f>IFERROR(AGGREGATE(15,6,ROW('Input Transaksi'!$B$5:$B$5000)/('Input Transaksi'!$B$5:$B$5000="BALI WASH GALANG"),ROWS($E$5:E661)),"")</f>
        <v/>
      </c>
      <c r="F661" s="5" t="n"/>
    </row>
    <row r="662">
      <c r="A662" s="10">
        <f>IF($E662="","",INDEX('Input Transaksi'!$A:$A,$E662))</f>
        <v/>
      </c>
      <c r="B662" s="5">
        <f>IF($E662="","",INDEX('Input Transaksi'!$D:$D,$E662))</f>
        <v/>
      </c>
      <c r="C662">
        <f>IF($E662="","",INDEX('Input Transaksi'!$E:$E,$E662))</f>
        <v/>
      </c>
      <c r="D662" s="5">
        <f>IF($E662="","",INDEX('Input Transaksi'!$F:$F,$E662))</f>
        <v/>
      </c>
      <c r="E662">
        <f>IFERROR(AGGREGATE(15,6,ROW('Input Transaksi'!$B$5:$B$5000)/('Input Transaksi'!$B$5:$B$5000="BALI WASH GALANG"),ROWS($E$5:E662)),"")</f>
        <v/>
      </c>
      <c r="F662" s="5" t="n"/>
    </row>
    <row r="663">
      <c r="A663" s="10">
        <f>IF($E663="","",INDEX('Input Transaksi'!$A:$A,$E663))</f>
        <v/>
      </c>
      <c r="B663" s="5">
        <f>IF($E663="","",INDEX('Input Transaksi'!$D:$D,$E663))</f>
        <v/>
      </c>
      <c r="C663">
        <f>IF($E663="","",INDEX('Input Transaksi'!$E:$E,$E663))</f>
        <v/>
      </c>
      <c r="D663" s="5">
        <f>IF($E663="","",INDEX('Input Transaksi'!$F:$F,$E663))</f>
        <v/>
      </c>
      <c r="E663">
        <f>IFERROR(AGGREGATE(15,6,ROW('Input Transaksi'!$B$5:$B$5000)/('Input Transaksi'!$B$5:$B$5000="BALI WASH GALANG"),ROWS($E$5:E663)),"")</f>
        <v/>
      </c>
      <c r="F663" s="5" t="n"/>
    </row>
    <row r="664">
      <c r="A664" s="10">
        <f>IF($E664="","",INDEX('Input Transaksi'!$A:$A,$E664))</f>
        <v/>
      </c>
      <c r="B664" s="5">
        <f>IF($E664="","",INDEX('Input Transaksi'!$D:$D,$E664))</f>
        <v/>
      </c>
      <c r="C664">
        <f>IF($E664="","",INDEX('Input Transaksi'!$E:$E,$E664))</f>
        <v/>
      </c>
      <c r="D664" s="5">
        <f>IF($E664="","",INDEX('Input Transaksi'!$F:$F,$E664))</f>
        <v/>
      </c>
      <c r="E664">
        <f>IFERROR(AGGREGATE(15,6,ROW('Input Transaksi'!$B$5:$B$5000)/('Input Transaksi'!$B$5:$B$5000="BALI WASH GALANG"),ROWS($E$5:E664)),"")</f>
        <v/>
      </c>
      <c r="F664" s="5" t="n"/>
    </row>
    <row r="665">
      <c r="A665" s="10">
        <f>IF($E665="","",INDEX('Input Transaksi'!$A:$A,$E665))</f>
        <v/>
      </c>
      <c r="B665" s="5">
        <f>IF($E665="","",INDEX('Input Transaksi'!$D:$D,$E665))</f>
        <v/>
      </c>
      <c r="C665">
        <f>IF($E665="","",INDEX('Input Transaksi'!$E:$E,$E665))</f>
        <v/>
      </c>
      <c r="D665" s="5">
        <f>IF($E665="","",INDEX('Input Transaksi'!$F:$F,$E665))</f>
        <v/>
      </c>
      <c r="E665">
        <f>IFERROR(AGGREGATE(15,6,ROW('Input Transaksi'!$B$5:$B$5000)/('Input Transaksi'!$B$5:$B$5000="BALI WASH GALANG"),ROWS($E$5:E665)),"")</f>
        <v/>
      </c>
      <c r="F665" s="5" t="n"/>
    </row>
    <row r="666">
      <c r="A666" s="10">
        <f>IF($E666="","",INDEX('Input Transaksi'!$A:$A,$E666))</f>
        <v/>
      </c>
      <c r="B666" s="5">
        <f>IF($E666="","",INDEX('Input Transaksi'!$D:$D,$E666))</f>
        <v/>
      </c>
      <c r="C666">
        <f>IF($E666="","",INDEX('Input Transaksi'!$E:$E,$E666))</f>
        <v/>
      </c>
      <c r="D666" s="5">
        <f>IF($E666="","",INDEX('Input Transaksi'!$F:$F,$E666))</f>
        <v/>
      </c>
      <c r="E666">
        <f>IFERROR(AGGREGATE(15,6,ROW('Input Transaksi'!$B$5:$B$5000)/('Input Transaksi'!$B$5:$B$5000="BALI WASH GALANG"),ROWS($E$5:E666)),"")</f>
        <v/>
      </c>
      <c r="F666" s="5" t="n"/>
    </row>
    <row r="667">
      <c r="A667" s="10">
        <f>IF($E667="","",INDEX('Input Transaksi'!$A:$A,$E667))</f>
        <v/>
      </c>
      <c r="B667" s="5">
        <f>IF($E667="","",INDEX('Input Transaksi'!$D:$D,$E667))</f>
        <v/>
      </c>
      <c r="C667">
        <f>IF($E667="","",INDEX('Input Transaksi'!$E:$E,$E667))</f>
        <v/>
      </c>
      <c r="D667" s="5">
        <f>IF($E667="","",INDEX('Input Transaksi'!$F:$F,$E667))</f>
        <v/>
      </c>
      <c r="E667">
        <f>IFERROR(AGGREGATE(15,6,ROW('Input Transaksi'!$B$5:$B$5000)/('Input Transaksi'!$B$5:$B$5000="BALI WASH GALANG"),ROWS($E$5:E667)),"")</f>
        <v/>
      </c>
      <c r="F667" s="5" t="n"/>
    </row>
    <row r="668">
      <c r="A668" s="10">
        <f>IF($E668="","",INDEX('Input Transaksi'!$A:$A,$E668))</f>
        <v/>
      </c>
      <c r="B668" s="5">
        <f>IF($E668="","",INDEX('Input Transaksi'!$D:$D,$E668))</f>
        <v/>
      </c>
      <c r="C668">
        <f>IF($E668="","",INDEX('Input Transaksi'!$E:$E,$E668))</f>
        <v/>
      </c>
      <c r="D668" s="5">
        <f>IF($E668="","",INDEX('Input Transaksi'!$F:$F,$E668))</f>
        <v/>
      </c>
      <c r="E668">
        <f>IFERROR(AGGREGATE(15,6,ROW('Input Transaksi'!$B$5:$B$5000)/('Input Transaksi'!$B$5:$B$5000="BALI WASH GALANG"),ROWS($E$5:E668)),"")</f>
        <v/>
      </c>
      <c r="F668" s="5" t="n"/>
    </row>
    <row r="669">
      <c r="A669" s="10">
        <f>IF($E669="","",INDEX('Input Transaksi'!$A:$A,$E669))</f>
        <v/>
      </c>
      <c r="B669" s="5">
        <f>IF($E669="","",INDEX('Input Transaksi'!$D:$D,$E669))</f>
        <v/>
      </c>
      <c r="C669">
        <f>IF($E669="","",INDEX('Input Transaksi'!$E:$E,$E669))</f>
        <v/>
      </c>
      <c r="D669" s="5">
        <f>IF($E669="","",INDEX('Input Transaksi'!$F:$F,$E669))</f>
        <v/>
      </c>
      <c r="E669">
        <f>IFERROR(AGGREGATE(15,6,ROW('Input Transaksi'!$B$5:$B$5000)/('Input Transaksi'!$B$5:$B$5000="BALI WASH GALANG"),ROWS($E$5:E669)),"")</f>
        <v/>
      </c>
      <c r="F669" s="5" t="n"/>
    </row>
    <row r="670">
      <c r="A670" s="10">
        <f>IF($E670="","",INDEX('Input Transaksi'!$A:$A,$E670))</f>
        <v/>
      </c>
      <c r="B670" s="5">
        <f>IF($E670="","",INDEX('Input Transaksi'!$D:$D,$E670))</f>
        <v/>
      </c>
      <c r="C670">
        <f>IF($E670="","",INDEX('Input Transaksi'!$E:$E,$E670))</f>
        <v/>
      </c>
      <c r="D670" s="5">
        <f>IF($E670="","",INDEX('Input Transaksi'!$F:$F,$E670))</f>
        <v/>
      </c>
      <c r="E670">
        <f>IFERROR(AGGREGATE(15,6,ROW('Input Transaksi'!$B$5:$B$5000)/('Input Transaksi'!$B$5:$B$5000="BALI WASH GALANG"),ROWS($E$5:E670)),"")</f>
        <v/>
      </c>
      <c r="F670" s="5" t="n"/>
    </row>
    <row r="671">
      <c r="A671" s="10">
        <f>IF($E671="","",INDEX('Input Transaksi'!$A:$A,$E671))</f>
        <v/>
      </c>
      <c r="B671" s="5">
        <f>IF($E671="","",INDEX('Input Transaksi'!$D:$D,$E671))</f>
        <v/>
      </c>
      <c r="C671">
        <f>IF($E671="","",INDEX('Input Transaksi'!$E:$E,$E671))</f>
        <v/>
      </c>
      <c r="D671" s="5">
        <f>IF($E671="","",INDEX('Input Transaksi'!$F:$F,$E671))</f>
        <v/>
      </c>
      <c r="E671">
        <f>IFERROR(AGGREGATE(15,6,ROW('Input Transaksi'!$B$5:$B$5000)/('Input Transaksi'!$B$5:$B$5000="BALI WASH GALANG"),ROWS($E$5:E671)),"")</f>
        <v/>
      </c>
      <c r="F671" s="5" t="n"/>
    </row>
    <row r="672">
      <c r="A672" s="10">
        <f>IF($E672="","",INDEX('Input Transaksi'!$A:$A,$E672))</f>
        <v/>
      </c>
      <c r="B672" s="5">
        <f>IF($E672="","",INDEX('Input Transaksi'!$D:$D,$E672))</f>
        <v/>
      </c>
      <c r="C672">
        <f>IF($E672="","",INDEX('Input Transaksi'!$E:$E,$E672))</f>
        <v/>
      </c>
      <c r="D672" s="5">
        <f>IF($E672="","",INDEX('Input Transaksi'!$F:$F,$E672))</f>
        <v/>
      </c>
      <c r="E672">
        <f>IFERROR(AGGREGATE(15,6,ROW('Input Transaksi'!$B$5:$B$5000)/('Input Transaksi'!$B$5:$B$5000="BALI WASH GALANG"),ROWS($E$5:E672)),"")</f>
        <v/>
      </c>
      <c r="F672" s="5" t="n"/>
    </row>
    <row r="673">
      <c r="A673" s="10">
        <f>IF($E673="","",INDEX('Input Transaksi'!$A:$A,$E673))</f>
        <v/>
      </c>
      <c r="B673" s="5">
        <f>IF($E673="","",INDEX('Input Transaksi'!$D:$D,$E673))</f>
        <v/>
      </c>
      <c r="C673">
        <f>IF($E673="","",INDEX('Input Transaksi'!$E:$E,$E673))</f>
        <v/>
      </c>
      <c r="D673" s="5">
        <f>IF($E673="","",INDEX('Input Transaksi'!$F:$F,$E673))</f>
        <v/>
      </c>
      <c r="E673">
        <f>IFERROR(AGGREGATE(15,6,ROW('Input Transaksi'!$B$5:$B$5000)/('Input Transaksi'!$B$5:$B$5000="BALI WASH GALANG"),ROWS($E$5:E673)),"")</f>
        <v/>
      </c>
      <c r="F673" s="5" t="n"/>
    </row>
    <row r="674">
      <c r="A674" s="10">
        <f>IF($E674="","",INDEX('Input Transaksi'!$A:$A,$E674))</f>
        <v/>
      </c>
      <c r="B674" s="5">
        <f>IF($E674="","",INDEX('Input Transaksi'!$D:$D,$E674))</f>
        <v/>
      </c>
      <c r="C674">
        <f>IF($E674="","",INDEX('Input Transaksi'!$E:$E,$E674))</f>
        <v/>
      </c>
      <c r="D674" s="5">
        <f>IF($E674="","",INDEX('Input Transaksi'!$F:$F,$E674))</f>
        <v/>
      </c>
      <c r="E674">
        <f>IFERROR(AGGREGATE(15,6,ROW('Input Transaksi'!$B$5:$B$5000)/('Input Transaksi'!$B$5:$B$5000="BALI WASH GALANG"),ROWS($E$5:E674)),"")</f>
        <v/>
      </c>
      <c r="F674" s="5" t="n"/>
    </row>
    <row r="675">
      <c r="A675" s="10">
        <f>IF($E675="","",INDEX('Input Transaksi'!$A:$A,$E675))</f>
        <v/>
      </c>
      <c r="B675" s="5">
        <f>IF($E675="","",INDEX('Input Transaksi'!$D:$D,$E675))</f>
        <v/>
      </c>
      <c r="C675">
        <f>IF($E675="","",INDEX('Input Transaksi'!$E:$E,$E675))</f>
        <v/>
      </c>
      <c r="D675" s="5">
        <f>IF($E675="","",INDEX('Input Transaksi'!$F:$F,$E675))</f>
        <v/>
      </c>
      <c r="E675">
        <f>IFERROR(AGGREGATE(15,6,ROW('Input Transaksi'!$B$5:$B$5000)/('Input Transaksi'!$B$5:$B$5000="BALI WASH GALANG"),ROWS($E$5:E675)),"")</f>
        <v/>
      </c>
      <c r="F675" s="5" t="n"/>
    </row>
    <row r="676">
      <c r="A676" s="10">
        <f>IF($E676="","",INDEX('Input Transaksi'!$A:$A,$E676))</f>
        <v/>
      </c>
      <c r="B676" s="5">
        <f>IF($E676="","",INDEX('Input Transaksi'!$D:$D,$E676))</f>
        <v/>
      </c>
      <c r="C676">
        <f>IF($E676="","",INDEX('Input Transaksi'!$E:$E,$E676))</f>
        <v/>
      </c>
      <c r="D676" s="5">
        <f>IF($E676="","",INDEX('Input Transaksi'!$F:$F,$E676))</f>
        <v/>
      </c>
      <c r="E676">
        <f>IFERROR(AGGREGATE(15,6,ROW('Input Transaksi'!$B$5:$B$5000)/('Input Transaksi'!$B$5:$B$5000="BALI WASH GALANG"),ROWS($E$5:E676)),"")</f>
        <v/>
      </c>
      <c r="F676" s="5" t="n"/>
    </row>
    <row r="677">
      <c r="A677" s="10">
        <f>IF($E677="","",INDEX('Input Transaksi'!$A:$A,$E677))</f>
        <v/>
      </c>
      <c r="B677" s="5">
        <f>IF($E677="","",INDEX('Input Transaksi'!$D:$D,$E677))</f>
        <v/>
      </c>
      <c r="C677">
        <f>IF($E677="","",INDEX('Input Transaksi'!$E:$E,$E677))</f>
        <v/>
      </c>
      <c r="D677" s="5">
        <f>IF($E677="","",INDEX('Input Transaksi'!$F:$F,$E677))</f>
        <v/>
      </c>
      <c r="E677">
        <f>IFERROR(AGGREGATE(15,6,ROW('Input Transaksi'!$B$5:$B$5000)/('Input Transaksi'!$B$5:$B$5000="BALI WASH GALANG"),ROWS($E$5:E677)),"")</f>
        <v/>
      </c>
      <c r="F677" s="5" t="n"/>
    </row>
    <row r="678">
      <c r="A678" s="10">
        <f>IF($E678="","",INDEX('Input Transaksi'!$A:$A,$E678))</f>
        <v/>
      </c>
      <c r="B678" s="5">
        <f>IF($E678="","",INDEX('Input Transaksi'!$D:$D,$E678))</f>
        <v/>
      </c>
      <c r="C678">
        <f>IF($E678="","",INDEX('Input Transaksi'!$E:$E,$E678))</f>
        <v/>
      </c>
      <c r="D678" s="5">
        <f>IF($E678="","",INDEX('Input Transaksi'!$F:$F,$E678))</f>
        <v/>
      </c>
      <c r="E678">
        <f>IFERROR(AGGREGATE(15,6,ROW('Input Transaksi'!$B$5:$B$5000)/('Input Transaksi'!$B$5:$B$5000="BALI WASH GALANG"),ROWS($E$5:E678)),"")</f>
        <v/>
      </c>
      <c r="F678" s="5" t="n"/>
    </row>
    <row r="679">
      <c r="A679" s="10">
        <f>IF($E679="","",INDEX('Input Transaksi'!$A:$A,$E679))</f>
        <v/>
      </c>
      <c r="B679" s="5">
        <f>IF($E679="","",INDEX('Input Transaksi'!$D:$D,$E679))</f>
        <v/>
      </c>
      <c r="C679">
        <f>IF($E679="","",INDEX('Input Transaksi'!$E:$E,$E679))</f>
        <v/>
      </c>
      <c r="D679" s="5">
        <f>IF($E679="","",INDEX('Input Transaksi'!$F:$F,$E679))</f>
        <v/>
      </c>
      <c r="E679">
        <f>IFERROR(AGGREGATE(15,6,ROW('Input Transaksi'!$B$5:$B$5000)/('Input Transaksi'!$B$5:$B$5000="BALI WASH GALANG"),ROWS($E$5:E679)),"")</f>
        <v/>
      </c>
      <c r="F679" s="5" t="n"/>
    </row>
    <row r="680">
      <c r="A680" s="10">
        <f>IF($E680="","",INDEX('Input Transaksi'!$A:$A,$E680))</f>
        <v/>
      </c>
      <c r="B680" s="5">
        <f>IF($E680="","",INDEX('Input Transaksi'!$D:$D,$E680))</f>
        <v/>
      </c>
      <c r="C680">
        <f>IF($E680="","",INDEX('Input Transaksi'!$E:$E,$E680))</f>
        <v/>
      </c>
      <c r="D680" s="5">
        <f>IF($E680="","",INDEX('Input Transaksi'!$F:$F,$E680))</f>
        <v/>
      </c>
      <c r="E680">
        <f>IFERROR(AGGREGATE(15,6,ROW('Input Transaksi'!$B$5:$B$5000)/('Input Transaksi'!$B$5:$B$5000="BALI WASH GALANG"),ROWS($E$5:E680)),"")</f>
        <v/>
      </c>
      <c r="F680" s="5" t="n"/>
    </row>
    <row r="681">
      <c r="A681" s="10">
        <f>IF($E681="","",INDEX('Input Transaksi'!$A:$A,$E681))</f>
        <v/>
      </c>
      <c r="B681" s="5">
        <f>IF($E681="","",INDEX('Input Transaksi'!$D:$D,$E681))</f>
        <v/>
      </c>
      <c r="C681">
        <f>IF($E681="","",INDEX('Input Transaksi'!$E:$E,$E681))</f>
        <v/>
      </c>
      <c r="D681" s="5">
        <f>IF($E681="","",INDEX('Input Transaksi'!$F:$F,$E681))</f>
        <v/>
      </c>
      <c r="E681">
        <f>IFERROR(AGGREGATE(15,6,ROW('Input Transaksi'!$B$5:$B$5000)/('Input Transaksi'!$B$5:$B$5000="BALI WASH GALANG"),ROWS($E$5:E681)),"")</f>
        <v/>
      </c>
      <c r="F681" s="5" t="n"/>
    </row>
    <row r="682">
      <c r="A682" s="10">
        <f>IF($E682="","",INDEX('Input Transaksi'!$A:$A,$E682))</f>
        <v/>
      </c>
      <c r="B682" s="5">
        <f>IF($E682="","",INDEX('Input Transaksi'!$D:$D,$E682))</f>
        <v/>
      </c>
      <c r="C682">
        <f>IF($E682="","",INDEX('Input Transaksi'!$E:$E,$E682))</f>
        <v/>
      </c>
      <c r="D682" s="5">
        <f>IF($E682="","",INDEX('Input Transaksi'!$F:$F,$E682))</f>
        <v/>
      </c>
      <c r="E682">
        <f>IFERROR(AGGREGATE(15,6,ROW('Input Transaksi'!$B$5:$B$5000)/('Input Transaksi'!$B$5:$B$5000="BALI WASH GALANG"),ROWS($E$5:E682)),"")</f>
        <v/>
      </c>
      <c r="F682" s="5" t="n"/>
    </row>
    <row r="683">
      <c r="A683" s="10">
        <f>IF($E683="","",INDEX('Input Transaksi'!$A:$A,$E683))</f>
        <v/>
      </c>
      <c r="B683" s="5">
        <f>IF($E683="","",INDEX('Input Transaksi'!$D:$D,$E683))</f>
        <v/>
      </c>
      <c r="C683">
        <f>IF($E683="","",INDEX('Input Transaksi'!$E:$E,$E683))</f>
        <v/>
      </c>
      <c r="D683" s="5">
        <f>IF($E683="","",INDEX('Input Transaksi'!$F:$F,$E683))</f>
        <v/>
      </c>
      <c r="E683">
        <f>IFERROR(AGGREGATE(15,6,ROW('Input Transaksi'!$B$5:$B$5000)/('Input Transaksi'!$B$5:$B$5000="BALI WASH GALANG"),ROWS($E$5:E683)),"")</f>
        <v/>
      </c>
      <c r="F683" s="5" t="n"/>
    </row>
    <row r="684">
      <c r="A684" s="10">
        <f>IF($E684="","",INDEX('Input Transaksi'!$A:$A,$E684))</f>
        <v/>
      </c>
      <c r="B684" s="5">
        <f>IF($E684="","",INDEX('Input Transaksi'!$D:$D,$E684))</f>
        <v/>
      </c>
      <c r="C684">
        <f>IF($E684="","",INDEX('Input Transaksi'!$E:$E,$E684))</f>
        <v/>
      </c>
      <c r="D684" s="5">
        <f>IF($E684="","",INDEX('Input Transaksi'!$F:$F,$E684))</f>
        <v/>
      </c>
      <c r="E684">
        <f>IFERROR(AGGREGATE(15,6,ROW('Input Transaksi'!$B$5:$B$5000)/('Input Transaksi'!$B$5:$B$5000="BALI WASH GALANG"),ROWS($E$5:E684)),"")</f>
        <v/>
      </c>
      <c r="F684" s="5" t="n"/>
    </row>
    <row r="685">
      <c r="A685" s="10">
        <f>IF($E685="","",INDEX('Input Transaksi'!$A:$A,$E685))</f>
        <v/>
      </c>
      <c r="B685" s="5">
        <f>IF($E685="","",INDEX('Input Transaksi'!$D:$D,$E685))</f>
        <v/>
      </c>
      <c r="C685">
        <f>IF($E685="","",INDEX('Input Transaksi'!$E:$E,$E685))</f>
        <v/>
      </c>
      <c r="D685" s="5">
        <f>IF($E685="","",INDEX('Input Transaksi'!$F:$F,$E685))</f>
        <v/>
      </c>
      <c r="E685">
        <f>IFERROR(AGGREGATE(15,6,ROW('Input Transaksi'!$B$5:$B$5000)/('Input Transaksi'!$B$5:$B$5000="BALI WASH GALANG"),ROWS($E$5:E685)),"")</f>
        <v/>
      </c>
      <c r="F685" s="5" t="n"/>
    </row>
    <row r="686">
      <c r="A686" s="10">
        <f>IF($E686="","",INDEX('Input Transaksi'!$A:$A,$E686))</f>
        <v/>
      </c>
      <c r="B686" s="5">
        <f>IF($E686="","",INDEX('Input Transaksi'!$D:$D,$E686))</f>
        <v/>
      </c>
      <c r="C686">
        <f>IF($E686="","",INDEX('Input Transaksi'!$E:$E,$E686))</f>
        <v/>
      </c>
      <c r="D686" s="5">
        <f>IF($E686="","",INDEX('Input Transaksi'!$F:$F,$E686))</f>
        <v/>
      </c>
      <c r="E686">
        <f>IFERROR(AGGREGATE(15,6,ROW('Input Transaksi'!$B$5:$B$5000)/('Input Transaksi'!$B$5:$B$5000="BALI WASH GALANG"),ROWS($E$5:E686)),"")</f>
        <v/>
      </c>
      <c r="F686" s="5" t="n"/>
    </row>
    <row r="687">
      <c r="A687" s="10">
        <f>IF($E687="","",INDEX('Input Transaksi'!$A:$A,$E687))</f>
        <v/>
      </c>
      <c r="B687" s="5">
        <f>IF($E687="","",INDEX('Input Transaksi'!$D:$D,$E687))</f>
        <v/>
      </c>
      <c r="C687">
        <f>IF($E687="","",INDEX('Input Transaksi'!$E:$E,$E687))</f>
        <v/>
      </c>
      <c r="D687" s="5">
        <f>IF($E687="","",INDEX('Input Transaksi'!$F:$F,$E687))</f>
        <v/>
      </c>
      <c r="E687">
        <f>IFERROR(AGGREGATE(15,6,ROW('Input Transaksi'!$B$5:$B$5000)/('Input Transaksi'!$B$5:$B$5000="BALI WASH GALANG"),ROWS($E$5:E687)),"")</f>
        <v/>
      </c>
      <c r="F687" s="5" t="n"/>
    </row>
    <row r="688">
      <c r="A688" s="10">
        <f>IF($E688="","",INDEX('Input Transaksi'!$A:$A,$E688))</f>
        <v/>
      </c>
      <c r="B688" s="5">
        <f>IF($E688="","",INDEX('Input Transaksi'!$D:$D,$E688))</f>
        <v/>
      </c>
      <c r="C688">
        <f>IF($E688="","",INDEX('Input Transaksi'!$E:$E,$E688))</f>
        <v/>
      </c>
      <c r="D688" s="5">
        <f>IF($E688="","",INDEX('Input Transaksi'!$F:$F,$E688))</f>
        <v/>
      </c>
      <c r="E688">
        <f>IFERROR(AGGREGATE(15,6,ROW('Input Transaksi'!$B$5:$B$5000)/('Input Transaksi'!$B$5:$B$5000="BALI WASH GALANG"),ROWS($E$5:E688)),"")</f>
        <v/>
      </c>
      <c r="F688" s="5" t="n"/>
    </row>
    <row r="689">
      <c r="A689" s="10">
        <f>IF($E689="","",INDEX('Input Transaksi'!$A:$A,$E689))</f>
        <v/>
      </c>
      <c r="B689" s="5">
        <f>IF($E689="","",INDEX('Input Transaksi'!$D:$D,$E689))</f>
        <v/>
      </c>
      <c r="C689">
        <f>IF($E689="","",INDEX('Input Transaksi'!$E:$E,$E689))</f>
        <v/>
      </c>
      <c r="D689" s="5">
        <f>IF($E689="","",INDEX('Input Transaksi'!$F:$F,$E689))</f>
        <v/>
      </c>
      <c r="E689">
        <f>IFERROR(AGGREGATE(15,6,ROW('Input Transaksi'!$B$5:$B$5000)/('Input Transaksi'!$B$5:$B$5000="BALI WASH GALANG"),ROWS($E$5:E689)),"")</f>
        <v/>
      </c>
      <c r="F689" s="5" t="n"/>
    </row>
    <row r="690">
      <c r="A690" s="10">
        <f>IF($E690="","",INDEX('Input Transaksi'!$A:$A,$E690))</f>
        <v/>
      </c>
      <c r="B690" s="5">
        <f>IF($E690="","",INDEX('Input Transaksi'!$D:$D,$E690))</f>
        <v/>
      </c>
      <c r="C690">
        <f>IF($E690="","",INDEX('Input Transaksi'!$E:$E,$E690))</f>
        <v/>
      </c>
      <c r="D690" s="5">
        <f>IF($E690="","",INDEX('Input Transaksi'!$F:$F,$E690))</f>
        <v/>
      </c>
      <c r="E690">
        <f>IFERROR(AGGREGATE(15,6,ROW('Input Transaksi'!$B$5:$B$5000)/('Input Transaksi'!$B$5:$B$5000="BALI WASH GALANG"),ROWS($E$5:E690)),"")</f>
        <v/>
      </c>
      <c r="F690" s="5" t="n"/>
    </row>
    <row r="691">
      <c r="A691" s="10">
        <f>IF($E691="","",INDEX('Input Transaksi'!$A:$A,$E691))</f>
        <v/>
      </c>
      <c r="B691" s="5">
        <f>IF($E691="","",INDEX('Input Transaksi'!$D:$D,$E691))</f>
        <v/>
      </c>
      <c r="C691">
        <f>IF($E691="","",INDEX('Input Transaksi'!$E:$E,$E691))</f>
        <v/>
      </c>
      <c r="D691" s="5">
        <f>IF($E691="","",INDEX('Input Transaksi'!$F:$F,$E691))</f>
        <v/>
      </c>
      <c r="E691">
        <f>IFERROR(AGGREGATE(15,6,ROW('Input Transaksi'!$B$5:$B$5000)/('Input Transaksi'!$B$5:$B$5000="BALI WASH GALANG"),ROWS($E$5:E691)),"")</f>
        <v/>
      </c>
      <c r="F691" s="5" t="n"/>
    </row>
    <row r="692">
      <c r="A692" s="10">
        <f>IF($E692="","",INDEX('Input Transaksi'!$A:$A,$E692))</f>
        <v/>
      </c>
      <c r="B692" s="5">
        <f>IF($E692="","",INDEX('Input Transaksi'!$D:$D,$E692))</f>
        <v/>
      </c>
      <c r="C692">
        <f>IF($E692="","",INDEX('Input Transaksi'!$E:$E,$E692))</f>
        <v/>
      </c>
      <c r="D692" s="5">
        <f>IF($E692="","",INDEX('Input Transaksi'!$F:$F,$E692))</f>
        <v/>
      </c>
      <c r="E692">
        <f>IFERROR(AGGREGATE(15,6,ROW('Input Transaksi'!$B$5:$B$5000)/('Input Transaksi'!$B$5:$B$5000="BALI WASH GALANG"),ROWS($E$5:E692)),"")</f>
        <v/>
      </c>
      <c r="F692" s="5" t="n"/>
    </row>
    <row r="693">
      <c r="A693" s="10">
        <f>IF($E693="","",INDEX('Input Transaksi'!$A:$A,$E693))</f>
        <v/>
      </c>
      <c r="B693" s="5">
        <f>IF($E693="","",INDEX('Input Transaksi'!$D:$D,$E693))</f>
        <v/>
      </c>
      <c r="C693">
        <f>IF($E693="","",INDEX('Input Transaksi'!$E:$E,$E693))</f>
        <v/>
      </c>
      <c r="D693" s="5">
        <f>IF($E693="","",INDEX('Input Transaksi'!$F:$F,$E693))</f>
        <v/>
      </c>
      <c r="E693">
        <f>IFERROR(AGGREGATE(15,6,ROW('Input Transaksi'!$B$5:$B$5000)/('Input Transaksi'!$B$5:$B$5000="BALI WASH GALANG"),ROWS($E$5:E693)),"")</f>
        <v/>
      </c>
      <c r="F693" s="5" t="n"/>
    </row>
    <row r="694">
      <c r="A694" s="10">
        <f>IF($E694="","",INDEX('Input Transaksi'!$A:$A,$E694))</f>
        <v/>
      </c>
      <c r="B694" s="5">
        <f>IF($E694="","",INDEX('Input Transaksi'!$D:$D,$E694))</f>
        <v/>
      </c>
      <c r="C694">
        <f>IF($E694="","",INDEX('Input Transaksi'!$E:$E,$E694))</f>
        <v/>
      </c>
      <c r="D694" s="5">
        <f>IF($E694="","",INDEX('Input Transaksi'!$F:$F,$E694))</f>
        <v/>
      </c>
      <c r="E694">
        <f>IFERROR(AGGREGATE(15,6,ROW('Input Transaksi'!$B$5:$B$5000)/('Input Transaksi'!$B$5:$B$5000="BALI WASH GALANG"),ROWS($E$5:E694)),"")</f>
        <v/>
      </c>
      <c r="F694" s="5" t="n"/>
    </row>
    <row r="695">
      <c r="A695" s="10">
        <f>IF($E695="","",INDEX('Input Transaksi'!$A:$A,$E695))</f>
        <v/>
      </c>
      <c r="B695" s="5">
        <f>IF($E695="","",INDEX('Input Transaksi'!$D:$D,$E695))</f>
        <v/>
      </c>
      <c r="C695">
        <f>IF($E695="","",INDEX('Input Transaksi'!$E:$E,$E695))</f>
        <v/>
      </c>
      <c r="D695" s="5">
        <f>IF($E695="","",INDEX('Input Transaksi'!$F:$F,$E695))</f>
        <v/>
      </c>
      <c r="E695">
        <f>IFERROR(AGGREGATE(15,6,ROW('Input Transaksi'!$B$5:$B$5000)/('Input Transaksi'!$B$5:$B$5000="BALI WASH GALANG"),ROWS($E$5:E695)),"")</f>
        <v/>
      </c>
      <c r="F695" s="5" t="n"/>
    </row>
    <row r="696">
      <c r="A696" s="10">
        <f>IF($E696="","",INDEX('Input Transaksi'!$A:$A,$E696))</f>
        <v/>
      </c>
      <c r="B696" s="5">
        <f>IF($E696="","",INDEX('Input Transaksi'!$D:$D,$E696))</f>
        <v/>
      </c>
      <c r="C696">
        <f>IF($E696="","",INDEX('Input Transaksi'!$E:$E,$E696))</f>
        <v/>
      </c>
      <c r="D696" s="5">
        <f>IF($E696="","",INDEX('Input Transaksi'!$F:$F,$E696))</f>
        <v/>
      </c>
      <c r="E696">
        <f>IFERROR(AGGREGATE(15,6,ROW('Input Transaksi'!$B$5:$B$5000)/('Input Transaksi'!$B$5:$B$5000="BALI WASH GALANG"),ROWS($E$5:E696)),"")</f>
        <v/>
      </c>
      <c r="F696" s="5" t="n"/>
    </row>
    <row r="697">
      <c r="A697" s="10">
        <f>IF($E697="","",INDEX('Input Transaksi'!$A:$A,$E697))</f>
        <v/>
      </c>
      <c r="B697" s="5">
        <f>IF($E697="","",INDEX('Input Transaksi'!$D:$D,$E697))</f>
        <v/>
      </c>
      <c r="C697">
        <f>IF($E697="","",INDEX('Input Transaksi'!$E:$E,$E697))</f>
        <v/>
      </c>
      <c r="D697" s="5">
        <f>IF($E697="","",INDEX('Input Transaksi'!$F:$F,$E697))</f>
        <v/>
      </c>
      <c r="E697">
        <f>IFERROR(AGGREGATE(15,6,ROW('Input Transaksi'!$B$5:$B$5000)/('Input Transaksi'!$B$5:$B$5000="BALI WASH GALANG"),ROWS($E$5:E697)),"")</f>
        <v/>
      </c>
      <c r="F697" s="5" t="n"/>
    </row>
    <row r="698">
      <c r="A698" s="10">
        <f>IF($E698="","",INDEX('Input Transaksi'!$A:$A,$E698))</f>
        <v/>
      </c>
      <c r="B698" s="5">
        <f>IF($E698="","",INDEX('Input Transaksi'!$D:$D,$E698))</f>
        <v/>
      </c>
      <c r="C698">
        <f>IF($E698="","",INDEX('Input Transaksi'!$E:$E,$E698))</f>
        <v/>
      </c>
      <c r="D698" s="5">
        <f>IF($E698="","",INDEX('Input Transaksi'!$F:$F,$E698))</f>
        <v/>
      </c>
      <c r="E698">
        <f>IFERROR(AGGREGATE(15,6,ROW('Input Transaksi'!$B$5:$B$5000)/('Input Transaksi'!$B$5:$B$5000="BALI WASH GALANG"),ROWS($E$5:E698)),"")</f>
        <v/>
      </c>
      <c r="F698" s="5" t="n"/>
    </row>
    <row r="699">
      <c r="A699" s="10">
        <f>IF($E699="","",INDEX('Input Transaksi'!$A:$A,$E699))</f>
        <v/>
      </c>
      <c r="B699" s="5">
        <f>IF($E699="","",INDEX('Input Transaksi'!$D:$D,$E699))</f>
        <v/>
      </c>
      <c r="C699">
        <f>IF($E699="","",INDEX('Input Transaksi'!$E:$E,$E699))</f>
        <v/>
      </c>
      <c r="D699" s="5">
        <f>IF($E699="","",INDEX('Input Transaksi'!$F:$F,$E699))</f>
        <v/>
      </c>
      <c r="E699">
        <f>IFERROR(AGGREGATE(15,6,ROW('Input Transaksi'!$B$5:$B$5000)/('Input Transaksi'!$B$5:$B$5000="BALI WASH GALANG"),ROWS($E$5:E699)),"")</f>
        <v/>
      </c>
      <c r="F699" s="5" t="n"/>
    </row>
    <row r="700">
      <c r="A700" s="10">
        <f>IF($E700="","",INDEX('Input Transaksi'!$A:$A,$E700))</f>
        <v/>
      </c>
      <c r="B700" s="5">
        <f>IF($E700="","",INDEX('Input Transaksi'!$D:$D,$E700))</f>
        <v/>
      </c>
      <c r="C700">
        <f>IF($E700="","",INDEX('Input Transaksi'!$E:$E,$E700))</f>
        <v/>
      </c>
      <c r="D700" s="5">
        <f>IF($E700="","",INDEX('Input Transaksi'!$F:$F,$E700))</f>
        <v/>
      </c>
      <c r="E700">
        <f>IFERROR(AGGREGATE(15,6,ROW('Input Transaksi'!$B$5:$B$5000)/('Input Transaksi'!$B$5:$B$5000="BALI WASH GALANG"),ROWS($E$5:E700)),"")</f>
        <v/>
      </c>
      <c r="F700" s="5" t="n"/>
    </row>
    <row r="701">
      <c r="A701" s="10">
        <f>IF($E701="","",INDEX('Input Transaksi'!$A:$A,$E701))</f>
        <v/>
      </c>
      <c r="B701" s="5">
        <f>IF($E701="","",INDEX('Input Transaksi'!$D:$D,$E701))</f>
        <v/>
      </c>
      <c r="C701">
        <f>IF($E701="","",INDEX('Input Transaksi'!$E:$E,$E701))</f>
        <v/>
      </c>
      <c r="D701" s="5">
        <f>IF($E701="","",INDEX('Input Transaksi'!$F:$F,$E701))</f>
        <v/>
      </c>
      <c r="E701">
        <f>IFERROR(AGGREGATE(15,6,ROW('Input Transaksi'!$B$5:$B$5000)/('Input Transaksi'!$B$5:$B$5000="BALI WASH GALANG"),ROWS($E$5:E701)),"")</f>
        <v/>
      </c>
      <c r="F701" s="5" t="n"/>
    </row>
    <row r="702">
      <c r="A702" s="10">
        <f>IF($E702="","",INDEX('Input Transaksi'!$A:$A,$E702))</f>
        <v/>
      </c>
      <c r="B702" s="5">
        <f>IF($E702="","",INDEX('Input Transaksi'!$D:$D,$E702))</f>
        <v/>
      </c>
      <c r="C702">
        <f>IF($E702="","",INDEX('Input Transaksi'!$E:$E,$E702))</f>
        <v/>
      </c>
      <c r="D702" s="5">
        <f>IF($E702="","",INDEX('Input Transaksi'!$F:$F,$E702))</f>
        <v/>
      </c>
      <c r="E702">
        <f>IFERROR(AGGREGATE(15,6,ROW('Input Transaksi'!$B$5:$B$5000)/('Input Transaksi'!$B$5:$B$5000="BALI WASH GALANG"),ROWS($E$5:E702)),"")</f>
        <v/>
      </c>
      <c r="F702" s="5" t="n"/>
    </row>
    <row r="703">
      <c r="A703" s="10">
        <f>IF($E703="","",INDEX('Input Transaksi'!$A:$A,$E703))</f>
        <v/>
      </c>
      <c r="B703" s="5">
        <f>IF($E703="","",INDEX('Input Transaksi'!$D:$D,$E703))</f>
        <v/>
      </c>
      <c r="C703">
        <f>IF($E703="","",INDEX('Input Transaksi'!$E:$E,$E703))</f>
        <v/>
      </c>
      <c r="D703" s="5">
        <f>IF($E703="","",INDEX('Input Transaksi'!$F:$F,$E703))</f>
        <v/>
      </c>
      <c r="E703">
        <f>IFERROR(AGGREGATE(15,6,ROW('Input Transaksi'!$B$5:$B$5000)/('Input Transaksi'!$B$5:$B$5000="BALI WASH GALANG"),ROWS($E$5:E703)),"")</f>
        <v/>
      </c>
      <c r="F703" s="5" t="n"/>
    </row>
    <row r="704">
      <c r="A704" s="10">
        <f>IF($E704="","",INDEX('Input Transaksi'!$A:$A,$E704))</f>
        <v/>
      </c>
      <c r="B704" s="5">
        <f>IF($E704="","",INDEX('Input Transaksi'!$D:$D,$E704))</f>
        <v/>
      </c>
      <c r="C704">
        <f>IF($E704="","",INDEX('Input Transaksi'!$E:$E,$E704))</f>
        <v/>
      </c>
      <c r="D704" s="5">
        <f>IF($E704="","",INDEX('Input Transaksi'!$F:$F,$E704))</f>
        <v/>
      </c>
      <c r="E704">
        <f>IFERROR(AGGREGATE(15,6,ROW('Input Transaksi'!$B$5:$B$5000)/('Input Transaksi'!$B$5:$B$5000="BALI WASH GALANG"),ROWS($E$5:E704)),"")</f>
        <v/>
      </c>
      <c r="F704" s="5" t="n"/>
    </row>
    <row r="705">
      <c r="A705" s="10">
        <f>IF($E705="","",INDEX('Input Transaksi'!$A:$A,$E705))</f>
        <v/>
      </c>
      <c r="B705" s="5">
        <f>IF($E705="","",INDEX('Input Transaksi'!$D:$D,$E705))</f>
        <v/>
      </c>
      <c r="C705">
        <f>IF($E705="","",INDEX('Input Transaksi'!$E:$E,$E705))</f>
        <v/>
      </c>
      <c r="D705" s="5">
        <f>IF($E705="","",INDEX('Input Transaksi'!$F:$F,$E705))</f>
        <v/>
      </c>
      <c r="E705">
        <f>IFERROR(AGGREGATE(15,6,ROW('Input Transaksi'!$B$5:$B$5000)/('Input Transaksi'!$B$5:$B$5000="BALI WASH GALANG"),ROWS($E$5:E705)),"")</f>
        <v/>
      </c>
      <c r="F705" s="5" t="n"/>
    </row>
    <row r="706">
      <c r="A706" s="10">
        <f>IF($E706="","",INDEX('Input Transaksi'!$A:$A,$E706))</f>
        <v/>
      </c>
      <c r="B706" s="5">
        <f>IF($E706="","",INDEX('Input Transaksi'!$D:$D,$E706))</f>
        <v/>
      </c>
      <c r="C706">
        <f>IF($E706="","",INDEX('Input Transaksi'!$E:$E,$E706))</f>
        <v/>
      </c>
      <c r="D706" s="5">
        <f>IF($E706="","",INDEX('Input Transaksi'!$F:$F,$E706))</f>
        <v/>
      </c>
      <c r="E706">
        <f>IFERROR(AGGREGATE(15,6,ROW('Input Transaksi'!$B$5:$B$5000)/('Input Transaksi'!$B$5:$B$5000="BALI WASH GALANG"),ROWS($E$5:E706)),"")</f>
        <v/>
      </c>
      <c r="F706" s="5" t="n"/>
    </row>
    <row r="707">
      <c r="A707" s="10">
        <f>IF($E707="","",INDEX('Input Transaksi'!$A:$A,$E707))</f>
        <v/>
      </c>
      <c r="B707" s="5">
        <f>IF($E707="","",INDEX('Input Transaksi'!$D:$D,$E707))</f>
        <v/>
      </c>
      <c r="C707">
        <f>IF($E707="","",INDEX('Input Transaksi'!$E:$E,$E707))</f>
        <v/>
      </c>
      <c r="D707" s="5">
        <f>IF($E707="","",INDEX('Input Transaksi'!$F:$F,$E707))</f>
        <v/>
      </c>
      <c r="E707">
        <f>IFERROR(AGGREGATE(15,6,ROW('Input Transaksi'!$B$5:$B$5000)/('Input Transaksi'!$B$5:$B$5000="BALI WASH GALANG"),ROWS($E$5:E707)),"")</f>
        <v/>
      </c>
      <c r="F707" s="5" t="n"/>
    </row>
    <row r="708">
      <c r="A708" s="10">
        <f>IF($E708="","",INDEX('Input Transaksi'!$A:$A,$E708))</f>
        <v/>
      </c>
      <c r="B708" s="5">
        <f>IF($E708="","",INDEX('Input Transaksi'!$D:$D,$E708))</f>
        <v/>
      </c>
      <c r="C708">
        <f>IF($E708="","",INDEX('Input Transaksi'!$E:$E,$E708))</f>
        <v/>
      </c>
      <c r="D708" s="5">
        <f>IF($E708="","",INDEX('Input Transaksi'!$F:$F,$E708))</f>
        <v/>
      </c>
      <c r="E708">
        <f>IFERROR(AGGREGATE(15,6,ROW('Input Transaksi'!$B$5:$B$5000)/('Input Transaksi'!$B$5:$B$5000="BALI WASH GALANG"),ROWS($E$5:E708)),"")</f>
        <v/>
      </c>
      <c r="F708" s="5" t="n"/>
    </row>
    <row r="709">
      <c r="A709" s="10">
        <f>IF($E709="","",INDEX('Input Transaksi'!$A:$A,$E709))</f>
        <v/>
      </c>
      <c r="B709" s="5">
        <f>IF($E709="","",INDEX('Input Transaksi'!$D:$D,$E709))</f>
        <v/>
      </c>
      <c r="C709">
        <f>IF($E709="","",INDEX('Input Transaksi'!$E:$E,$E709))</f>
        <v/>
      </c>
      <c r="D709" s="5">
        <f>IF($E709="","",INDEX('Input Transaksi'!$F:$F,$E709))</f>
        <v/>
      </c>
      <c r="E709">
        <f>IFERROR(AGGREGATE(15,6,ROW('Input Transaksi'!$B$5:$B$5000)/('Input Transaksi'!$B$5:$B$5000="BALI WASH GALANG"),ROWS($E$5:E709)),"")</f>
        <v/>
      </c>
      <c r="F709" s="5" t="n"/>
    </row>
    <row r="710">
      <c r="A710" s="10">
        <f>IF($E710="","",INDEX('Input Transaksi'!$A:$A,$E710))</f>
        <v/>
      </c>
      <c r="B710" s="5">
        <f>IF($E710="","",INDEX('Input Transaksi'!$D:$D,$E710))</f>
        <v/>
      </c>
      <c r="C710">
        <f>IF($E710="","",INDEX('Input Transaksi'!$E:$E,$E710))</f>
        <v/>
      </c>
      <c r="D710" s="5">
        <f>IF($E710="","",INDEX('Input Transaksi'!$F:$F,$E710))</f>
        <v/>
      </c>
      <c r="E710">
        <f>IFERROR(AGGREGATE(15,6,ROW('Input Transaksi'!$B$5:$B$5000)/('Input Transaksi'!$B$5:$B$5000="BALI WASH GALANG"),ROWS($E$5:E710)),"")</f>
        <v/>
      </c>
      <c r="F710" s="5" t="n"/>
    </row>
    <row r="711">
      <c r="A711" s="10">
        <f>IF($E711="","",INDEX('Input Transaksi'!$A:$A,$E711))</f>
        <v/>
      </c>
      <c r="B711" s="5">
        <f>IF($E711="","",INDEX('Input Transaksi'!$D:$D,$E711))</f>
        <v/>
      </c>
      <c r="C711">
        <f>IF($E711="","",INDEX('Input Transaksi'!$E:$E,$E711))</f>
        <v/>
      </c>
      <c r="D711" s="5">
        <f>IF($E711="","",INDEX('Input Transaksi'!$F:$F,$E711))</f>
        <v/>
      </c>
      <c r="E711">
        <f>IFERROR(AGGREGATE(15,6,ROW('Input Transaksi'!$B$5:$B$5000)/('Input Transaksi'!$B$5:$B$5000="BALI WASH GALANG"),ROWS($E$5:E711)),"")</f>
        <v/>
      </c>
      <c r="F711" s="5" t="n"/>
    </row>
    <row r="712">
      <c r="A712" s="10">
        <f>IF($E712="","",INDEX('Input Transaksi'!$A:$A,$E712))</f>
        <v/>
      </c>
      <c r="B712" s="5">
        <f>IF($E712="","",INDEX('Input Transaksi'!$D:$D,$E712))</f>
        <v/>
      </c>
      <c r="C712">
        <f>IF($E712="","",INDEX('Input Transaksi'!$E:$E,$E712))</f>
        <v/>
      </c>
      <c r="D712" s="5">
        <f>IF($E712="","",INDEX('Input Transaksi'!$F:$F,$E712))</f>
        <v/>
      </c>
      <c r="E712">
        <f>IFERROR(AGGREGATE(15,6,ROW('Input Transaksi'!$B$5:$B$5000)/('Input Transaksi'!$B$5:$B$5000="BALI WASH GALANG"),ROWS($E$5:E712)),"")</f>
        <v/>
      </c>
      <c r="F712" s="5" t="n"/>
    </row>
    <row r="713">
      <c r="A713" s="10">
        <f>IF($E713="","",INDEX('Input Transaksi'!$A:$A,$E713))</f>
        <v/>
      </c>
      <c r="B713" s="5">
        <f>IF($E713="","",INDEX('Input Transaksi'!$D:$D,$E713))</f>
        <v/>
      </c>
      <c r="C713">
        <f>IF($E713="","",INDEX('Input Transaksi'!$E:$E,$E713))</f>
        <v/>
      </c>
      <c r="D713" s="5">
        <f>IF($E713="","",INDEX('Input Transaksi'!$F:$F,$E713))</f>
        <v/>
      </c>
      <c r="E713">
        <f>IFERROR(AGGREGATE(15,6,ROW('Input Transaksi'!$B$5:$B$5000)/('Input Transaksi'!$B$5:$B$5000="BALI WASH GALANG"),ROWS($E$5:E713)),"")</f>
        <v/>
      </c>
      <c r="F713" s="5" t="n"/>
    </row>
    <row r="714">
      <c r="A714" s="10">
        <f>IF($E714="","",INDEX('Input Transaksi'!$A:$A,$E714))</f>
        <v/>
      </c>
      <c r="B714" s="5">
        <f>IF($E714="","",INDEX('Input Transaksi'!$D:$D,$E714))</f>
        <v/>
      </c>
      <c r="C714">
        <f>IF($E714="","",INDEX('Input Transaksi'!$E:$E,$E714))</f>
        <v/>
      </c>
      <c r="D714" s="5">
        <f>IF($E714="","",INDEX('Input Transaksi'!$F:$F,$E714))</f>
        <v/>
      </c>
      <c r="E714">
        <f>IFERROR(AGGREGATE(15,6,ROW('Input Transaksi'!$B$5:$B$5000)/('Input Transaksi'!$B$5:$B$5000="BALI WASH GALANG"),ROWS($E$5:E714)),"")</f>
        <v/>
      </c>
      <c r="F714" s="5" t="n"/>
    </row>
    <row r="715">
      <c r="A715" s="10">
        <f>IF($E715="","",INDEX('Input Transaksi'!$A:$A,$E715))</f>
        <v/>
      </c>
      <c r="B715" s="5">
        <f>IF($E715="","",INDEX('Input Transaksi'!$D:$D,$E715))</f>
        <v/>
      </c>
      <c r="C715">
        <f>IF($E715="","",INDEX('Input Transaksi'!$E:$E,$E715))</f>
        <v/>
      </c>
      <c r="D715" s="5">
        <f>IF($E715="","",INDEX('Input Transaksi'!$F:$F,$E715))</f>
        <v/>
      </c>
      <c r="E715">
        <f>IFERROR(AGGREGATE(15,6,ROW('Input Transaksi'!$B$5:$B$5000)/('Input Transaksi'!$B$5:$B$5000="BALI WASH GALANG"),ROWS($E$5:E715)),"")</f>
        <v/>
      </c>
      <c r="F715" s="5" t="n"/>
    </row>
    <row r="716">
      <c r="A716" s="10">
        <f>IF($E716="","",INDEX('Input Transaksi'!$A:$A,$E716))</f>
        <v/>
      </c>
      <c r="B716" s="5">
        <f>IF($E716="","",INDEX('Input Transaksi'!$D:$D,$E716))</f>
        <v/>
      </c>
      <c r="C716">
        <f>IF($E716="","",INDEX('Input Transaksi'!$E:$E,$E716))</f>
        <v/>
      </c>
      <c r="D716" s="5">
        <f>IF($E716="","",INDEX('Input Transaksi'!$F:$F,$E716))</f>
        <v/>
      </c>
      <c r="E716">
        <f>IFERROR(AGGREGATE(15,6,ROW('Input Transaksi'!$B$5:$B$5000)/('Input Transaksi'!$B$5:$B$5000="BALI WASH GALANG"),ROWS($E$5:E716)),"")</f>
        <v/>
      </c>
      <c r="F716" s="5" t="n"/>
    </row>
    <row r="717">
      <c r="A717" s="10">
        <f>IF($E717="","",INDEX('Input Transaksi'!$A:$A,$E717))</f>
        <v/>
      </c>
      <c r="B717" s="5">
        <f>IF($E717="","",INDEX('Input Transaksi'!$D:$D,$E717))</f>
        <v/>
      </c>
      <c r="C717">
        <f>IF($E717="","",INDEX('Input Transaksi'!$E:$E,$E717))</f>
        <v/>
      </c>
      <c r="D717" s="5">
        <f>IF($E717="","",INDEX('Input Transaksi'!$F:$F,$E717))</f>
        <v/>
      </c>
      <c r="E717">
        <f>IFERROR(AGGREGATE(15,6,ROW('Input Transaksi'!$B$5:$B$5000)/('Input Transaksi'!$B$5:$B$5000="BALI WASH GALANG"),ROWS($E$5:E717)),"")</f>
        <v/>
      </c>
      <c r="F717" s="5" t="n"/>
    </row>
    <row r="718">
      <c r="A718" s="10">
        <f>IF($E718="","",INDEX('Input Transaksi'!$A:$A,$E718))</f>
        <v/>
      </c>
      <c r="B718" s="5">
        <f>IF($E718="","",INDEX('Input Transaksi'!$D:$D,$E718))</f>
        <v/>
      </c>
      <c r="C718">
        <f>IF($E718="","",INDEX('Input Transaksi'!$E:$E,$E718))</f>
        <v/>
      </c>
      <c r="D718" s="5">
        <f>IF($E718="","",INDEX('Input Transaksi'!$F:$F,$E718))</f>
        <v/>
      </c>
      <c r="E718">
        <f>IFERROR(AGGREGATE(15,6,ROW('Input Transaksi'!$B$5:$B$5000)/('Input Transaksi'!$B$5:$B$5000="BALI WASH GALANG"),ROWS($E$5:E718)),"")</f>
        <v/>
      </c>
      <c r="F718" s="5" t="n"/>
    </row>
    <row r="719">
      <c r="A719" s="10">
        <f>IF($E719="","",INDEX('Input Transaksi'!$A:$A,$E719))</f>
        <v/>
      </c>
      <c r="B719" s="5">
        <f>IF($E719="","",INDEX('Input Transaksi'!$D:$D,$E719))</f>
        <v/>
      </c>
      <c r="C719">
        <f>IF($E719="","",INDEX('Input Transaksi'!$E:$E,$E719))</f>
        <v/>
      </c>
      <c r="D719" s="5">
        <f>IF($E719="","",INDEX('Input Transaksi'!$F:$F,$E719))</f>
        <v/>
      </c>
      <c r="E719">
        <f>IFERROR(AGGREGATE(15,6,ROW('Input Transaksi'!$B$5:$B$5000)/('Input Transaksi'!$B$5:$B$5000="BALI WASH GALANG"),ROWS($E$5:E719)),"")</f>
        <v/>
      </c>
      <c r="F719" s="5" t="n"/>
    </row>
    <row r="720">
      <c r="A720" s="10">
        <f>IF($E720="","",INDEX('Input Transaksi'!$A:$A,$E720))</f>
        <v/>
      </c>
      <c r="B720" s="5">
        <f>IF($E720="","",INDEX('Input Transaksi'!$D:$D,$E720))</f>
        <v/>
      </c>
      <c r="C720">
        <f>IF($E720="","",INDEX('Input Transaksi'!$E:$E,$E720))</f>
        <v/>
      </c>
      <c r="D720" s="5">
        <f>IF($E720="","",INDEX('Input Transaksi'!$F:$F,$E720))</f>
        <v/>
      </c>
      <c r="E720">
        <f>IFERROR(AGGREGATE(15,6,ROW('Input Transaksi'!$B$5:$B$5000)/('Input Transaksi'!$B$5:$B$5000="BALI WASH GALANG"),ROWS($E$5:E720)),"")</f>
        <v/>
      </c>
      <c r="F720" s="5" t="n"/>
    </row>
    <row r="721">
      <c r="A721" s="10">
        <f>IF($E721="","",INDEX('Input Transaksi'!$A:$A,$E721))</f>
        <v/>
      </c>
      <c r="B721" s="5">
        <f>IF($E721="","",INDEX('Input Transaksi'!$D:$D,$E721))</f>
        <v/>
      </c>
      <c r="C721">
        <f>IF($E721="","",INDEX('Input Transaksi'!$E:$E,$E721))</f>
        <v/>
      </c>
      <c r="D721" s="5">
        <f>IF($E721="","",INDEX('Input Transaksi'!$F:$F,$E721))</f>
        <v/>
      </c>
      <c r="E721">
        <f>IFERROR(AGGREGATE(15,6,ROW('Input Transaksi'!$B$5:$B$5000)/('Input Transaksi'!$B$5:$B$5000="BALI WASH GALANG"),ROWS($E$5:E721)),"")</f>
        <v/>
      </c>
      <c r="F721" s="5" t="n"/>
    </row>
    <row r="722">
      <c r="A722" s="10">
        <f>IF($E722="","",INDEX('Input Transaksi'!$A:$A,$E722))</f>
        <v/>
      </c>
      <c r="B722" s="5">
        <f>IF($E722="","",INDEX('Input Transaksi'!$D:$D,$E722))</f>
        <v/>
      </c>
      <c r="C722">
        <f>IF($E722="","",INDEX('Input Transaksi'!$E:$E,$E722))</f>
        <v/>
      </c>
      <c r="D722" s="5">
        <f>IF($E722="","",INDEX('Input Transaksi'!$F:$F,$E722))</f>
        <v/>
      </c>
      <c r="E722">
        <f>IFERROR(AGGREGATE(15,6,ROW('Input Transaksi'!$B$5:$B$5000)/('Input Transaksi'!$B$5:$B$5000="BALI WASH GALANG"),ROWS($E$5:E722)),"")</f>
        <v/>
      </c>
      <c r="F722" s="5" t="n"/>
    </row>
    <row r="723">
      <c r="A723" s="10">
        <f>IF($E723="","",INDEX('Input Transaksi'!$A:$A,$E723))</f>
        <v/>
      </c>
      <c r="B723" s="5">
        <f>IF($E723="","",INDEX('Input Transaksi'!$D:$D,$E723))</f>
        <v/>
      </c>
      <c r="C723">
        <f>IF($E723="","",INDEX('Input Transaksi'!$E:$E,$E723))</f>
        <v/>
      </c>
      <c r="D723" s="5">
        <f>IF($E723="","",INDEX('Input Transaksi'!$F:$F,$E723))</f>
        <v/>
      </c>
      <c r="E723">
        <f>IFERROR(AGGREGATE(15,6,ROW('Input Transaksi'!$B$5:$B$5000)/('Input Transaksi'!$B$5:$B$5000="BALI WASH GALANG"),ROWS($E$5:E723)),"")</f>
        <v/>
      </c>
      <c r="F723" s="5" t="n"/>
    </row>
    <row r="724">
      <c r="A724" s="10">
        <f>IF($E724="","",INDEX('Input Transaksi'!$A:$A,$E724))</f>
        <v/>
      </c>
      <c r="B724" s="5">
        <f>IF($E724="","",INDEX('Input Transaksi'!$D:$D,$E724))</f>
        <v/>
      </c>
      <c r="C724">
        <f>IF($E724="","",INDEX('Input Transaksi'!$E:$E,$E724))</f>
        <v/>
      </c>
      <c r="D724" s="5">
        <f>IF($E724="","",INDEX('Input Transaksi'!$F:$F,$E724))</f>
        <v/>
      </c>
      <c r="E724">
        <f>IFERROR(AGGREGATE(15,6,ROW('Input Transaksi'!$B$5:$B$5000)/('Input Transaksi'!$B$5:$B$5000="BALI WASH GALANG"),ROWS($E$5:E724)),"")</f>
        <v/>
      </c>
      <c r="F724" s="5" t="n"/>
    </row>
    <row r="725">
      <c r="A725" s="10">
        <f>IF($E725="","",INDEX('Input Transaksi'!$A:$A,$E725))</f>
        <v/>
      </c>
      <c r="B725" s="5">
        <f>IF($E725="","",INDEX('Input Transaksi'!$D:$D,$E725))</f>
        <v/>
      </c>
      <c r="C725">
        <f>IF($E725="","",INDEX('Input Transaksi'!$E:$E,$E725))</f>
        <v/>
      </c>
      <c r="D725" s="5">
        <f>IF($E725="","",INDEX('Input Transaksi'!$F:$F,$E725))</f>
        <v/>
      </c>
      <c r="E725">
        <f>IFERROR(AGGREGATE(15,6,ROW('Input Transaksi'!$B$5:$B$5000)/('Input Transaksi'!$B$5:$B$5000="BALI WASH GALANG"),ROWS($E$5:E725)),"")</f>
        <v/>
      </c>
      <c r="F725" s="5" t="n"/>
    </row>
    <row r="726">
      <c r="A726" s="10">
        <f>IF($E726="","",INDEX('Input Transaksi'!$A:$A,$E726))</f>
        <v/>
      </c>
      <c r="B726" s="5">
        <f>IF($E726="","",INDEX('Input Transaksi'!$D:$D,$E726))</f>
        <v/>
      </c>
      <c r="C726">
        <f>IF($E726="","",INDEX('Input Transaksi'!$E:$E,$E726))</f>
        <v/>
      </c>
      <c r="D726" s="5">
        <f>IF($E726="","",INDEX('Input Transaksi'!$F:$F,$E726))</f>
        <v/>
      </c>
      <c r="E726">
        <f>IFERROR(AGGREGATE(15,6,ROW('Input Transaksi'!$B$5:$B$5000)/('Input Transaksi'!$B$5:$B$5000="BALI WASH GALANG"),ROWS($E$5:E726)),"")</f>
        <v/>
      </c>
      <c r="F726" s="5" t="n"/>
    </row>
    <row r="727">
      <c r="A727" s="10">
        <f>IF($E727="","",INDEX('Input Transaksi'!$A:$A,$E727))</f>
        <v/>
      </c>
      <c r="B727" s="5">
        <f>IF($E727="","",INDEX('Input Transaksi'!$D:$D,$E727))</f>
        <v/>
      </c>
      <c r="C727">
        <f>IF($E727="","",INDEX('Input Transaksi'!$E:$E,$E727))</f>
        <v/>
      </c>
      <c r="D727" s="5">
        <f>IF($E727="","",INDEX('Input Transaksi'!$F:$F,$E727))</f>
        <v/>
      </c>
      <c r="E727">
        <f>IFERROR(AGGREGATE(15,6,ROW('Input Transaksi'!$B$5:$B$5000)/('Input Transaksi'!$B$5:$B$5000="BALI WASH GALANG"),ROWS($E$5:E727)),"")</f>
        <v/>
      </c>
      <c r="F727" s="5" t="n"/>
    </row>
    <row r="728">
      <c r="A728" s="10">
        <f>IF($E728="","",INDEX('Input Transaksi'!$A:$A,$E728))</f>
        <v/>
      </c>
      <c r="B728" s="5">
        <f>IF($E728="","",INDEX('Input Transaksi'!$D:$D,$E728))</f>
        <v/>
      </c>
      <c r="C728">
        <f>IF($E728="","",INDEX('Input Transaksi'!$E:$E,$E728))</f>
        <v/>
      </c>
      <c r="D728" s="5">
        <f>IF($E728="","",INDEX('Input Transaksi'!$F:$F,$E728))</f>
        <v/>
      </c>
      <c r="E728">
        <f>IFERROR(AGGREGATE(15,6,ROW('Input Transaksi'!$B$5:$B$5000)/('Input Transaksi'!$B$5:$B$5000="BALI WASH GALANG"),ROWS($E$5:E728)),"")</f>
        <v/>
      </c>
      <c r="F728" s="5" t="n"/>
    </row>
    <row r="729">
      <c r="A729" s="10">
        <f>IF($E729="","",INDEX('Input Transaksi'!$A:$A,$E729))</f>
        <v/>
      </c>
      <c r="B729" s="5">
        <f>IF($E729="","",INDEX('Input Transaksi'!$D:$D,$E729))</f>
        <v/>
      </c>
      <c r="C729">
        <f>IF($E729="","",INDEX('Input Transaksi'!$E:$E,$E729))</f>
        <v/>
      </c>
      <c r="D729" s="5">
        <f>IF($E729="","",INDEX('Input Transaksi'!$F:$F,$E729))</f>
        <v/>
      </c>
      <c r="E729">
        <f>IFERROR(AGGREGATE(15,6,ROW('Input Transaksi'!$B$5:$B$5000)/('Input Transaksi'!$B$5:$B$5000="BALI WASH GALANG"),ROWS($E$5:E729)),"")</f>
        <v/>
      </c>
      <c r="F729" s="5" t="n"/>
    </row>
    <row r="730">
      <c r="A730" s="10">
        <f>IF($E730="","",INDEX('Input Transaksi'!$A:$A,$E730))</f>
        <v/>
      </c>
      <c r="B730" s="5">
        <f>IF($E730="","",INDEX('Input Transaksi'!$D:$D,$E730))</f>
        <v/>
      </c>
      <c r="C730">
        <f>IF($E730="","",INDEX('Input Transaksi'!$E:$E,$E730))</f>
        <v/>
      </c>
      <c r="D730" s="5">
        <f>IF($E730="","",INDEX('Input Transaksi'!$F:$F,$E730))</f>
        <v/>
      </c>
      <c r="E730">
        <f>IFERROR(AGGREGATE(15,6,ROW('Input Transaksi'!$B$5:$B$5000)/('Input Transaksi'!$B$5:$B$5000="BALI WASH GALANG"),ROWS($E$5:E730)),"")</f>
        <v/>
      </c>
      <c r="F730" s="5" t="n"/>
    </row>
    <row r="731">
      <c r="A731" s="10">
        <f>IF($E731="","",INDEX('Input Transaksi'!$A:$A,$E731))</f>
        <v/>
      </c>
      <c r="B731" s="5">
        <f>IF($E731="","",INDEX('Input Transaksi'!$D:$D,$E731))</f>
        <v/>
      </c>
      <c r="C731">
        <f>IF($E731="","",INDEX('Input Transaksi'!$E:$E,$E731))</f>
        <v/>
      </c>
      <c r="D731" s="5">
        <f>IF($E731="","",INDEX('Input Transaksi'!$F:$F,$E731))</f>
        <v/>
      </c>
      <c r="E731">
        <f>IFERROR(AGGREGATE(15,6,ROW('Input Transaksi'!$B$5:$B$5000)/('Input Transaksi'!$B$5:$B$5000="BALI WASH GALANG"),ROWS($E$5:E731)),"")</f>
        <v/>
      </c>
      <c r="F731" s="5" t="n"/>
    </row>
    <row r="732">
      <c r="A732" s="10">
        <f>IF($E732="","",INDEX('Input Transaksi'!$A:$A,$E732))</f>
        <v/>
      </c>
      <c r="B732" s="5">
        <f>IF($E732="","",INDEX('Input Transaksi'!$D:$D,$E732))</f>
        <v/>
      </c>
      <c r="C732">
        <f>IF($E732="","",INDEX('Input Transaksi'!$E:$E,$E732))</f>
        <v/>
      </c>
      <c r="D732" s="5">
        <f>IF($E732="","",INDEX('Input Transaksi'!$F:$F,$E732))</f>
        <v/>
      </c>
      <c r="E732">
        <f>IFERROR(AGGREGATE(15,6,ROW('Input Transaksi'!$B$5:$B$5000)/('Input Transaksi'!$B$5:$B$5000="BALI WASH GALANG"),ROWS($E$5:E732)),"")</f>
        <v/>
      </c>
      <c r="F732" s="5" t="n"/>
    </row>
    <row r="733">
      <c r="A733" s="10">
        <f>IF($E733="","",INDEX('Input Transaksi'!$A:$A,$E733))</f>
        <v/>
      </c>
      <c r="B733" s="5">
        <f>IF($E733="","",INDEX('Input Transaksi'!$D:$D,$E733))</f>
        <v/>
      </c>
      <c r="C733">
        <f>IF($E733="","",INDEX('Input Transaksi'!$E:$E,$E733))</f>
        <v/>
      </c>
      <c r="D733" s="5">
        <f>IF($E733="","",INDEX('Input Transaksi'!$F:$F,$E733))</f>
        <v/>
      </c>
      <c r="E733">
        <f>IFERROR(AGGREGATE(15,6,ROW('Input Transaksi'!$B$5:$B$5000)/('Input Transaksi'!$B$5:$B$5000="BALI WASH GALANG"),ROWS($E$5:E733)),"")</f>
        <v/>
      </c>
      <c r="F733" s="5" t="n"/>
    </row>
    <row r="734">
      <c r="A734" s="10">
        <f>IF($E734="","",INDEX('Input Transaksi'!$A:$A,$E734))</f>
        <v/>
      </c>
      <c r="B734" s="5">
        <f>IF($E734="","",INDEX('Input Transaksi'!$D:$D,$E734))</f>
        <v/>
      </c>
      <c r="C734">
        <f>IF($E734="","",INDEX('Input Transaksi'!$E:$E,$E734))</f>
        <v/>
      </c>
      <c r="D734" s="5">
        <f>IF($E734="","",INDEX('Input Transaksi'!$F:$F,$E734))</f>
        <v/>
      </c>
      <c r="E734">
        <f>IFERROR(AGGREGATE(15,6,ROW('Input Transaksi'!$B$5:$B$5000)/('Input Transaksi'!$B$5:$B$5000="BALI WASH GALANG"),ROWS($E$5:E734)),"")</f>
        <v/>
      </c>
      <c r="F734" s="5" t="n"/>
    </row>
    <row r="735">
      <c r="A735" s="10">
        <f>IF($E735="","",INDEX('Input Transaksi'!$A:$A,$E735))</f>
        <v/>
      </c>
      <c r="B735" s="5">
        <f>IF($E735="","",INDEX('Input Transaksi'!$D:$D,$E735))</f>
        <v/>
      </c>
      <c r="C735">
        <f>IF($E735="","",INDEX('Input Transaksi'!$E:$E,$E735))</f>
        <v/>
      </c>
      <c r="D735" s="5">
        <f>IF($E735="","",INDEX('Input Transaksi'!$F:$F,$E735))</f>
        <v/>
      </c>
      <c r="E735">
        <f>IFERROR(AGGREGATE(15,6,ROW('Input Transaksi'!$B$5:$B$5000)/('Input Transaksi'!$B$5:$B$5000="BALI WASH GALANG"),ROWS($E$5:E735)),"")</f>
        <v/>
      </c>
      <c r="F735" s="5" t="n"/>
    </row>
    <row r="736">
      <c r="A736" s="10">
        <f>IF($E736="","",INDEX('Input Transaksi'!$A:$A,$E736))</f>
        <v/>
      </c>
      <c r="B736" s="5">
        <f>IF($E736="","",INDEX('Input Transaksi'!$D:$D,$E736))</f>
        <v/>
      </c>
      <c r="C736">
        <f>IF($E736="","",INDEX('Input Transaksi'!$E:$E,$E736))</f>
        <v/>
      </c>
      <c r="D736" s="5">
        <f>IF($E736="","",INDEX('Input Transaksi'!$F:$F,$E736))</f>
        <v/>
      </c>
      <c r="E736">
        <f>IFERROR(AGGREGATE(15,6,ROW('Input Transaksi'!$B$5:$B$5000)/('Input Transaksi'!$B$5:$B$5000="BALI WASH GALANG"),ROWS($E$5:E736)),"")</f>
        <v/>
      </c>
      <c r="F736" s="5" t="n"/>
    </row>
    <row r="737">
      <c r="A737" s="10">
        <f>IF($E737="","",INDEX('Input Transaksi'!$A:$A,$E737))</f>
        <v/>
      </c>
      <c r="B737" s="5">
        <f>IF($E737="","",INDEX('Input Transaksi'!$D:$D,$E737))</f>
        <v/>
      </c>
      <c r="C737">
        <f>IF($E737="","",INDEX('Input Transaksi'!$E:$E,$E737))</f>
        <v/>
      </c>
      <c r="D737" s="5">
        <f>IF($E737="","",INDEX('Input Transaksi'!$F:$F,$E737))</f>
        <v/>
      </c>
      <c r="E737">
        <f>IFERROR(AGGREGATE(15,6,ROW('Input Transaksi'!$B$5:$B$5000)/('Input Transaksi'!$B$5:$B$5000="BALI WASH GALANG"),ROWS($E$5:E737)),"")</f>
        <v/>
      </c>
      <c r="F737" s="5" t="n"/>
    </row>
    <row r="738">
      <c r="A738" s="10">
        <f>IF($E738="","",INDEX('Input Transaksi'!$A:$A,$E738))</f>
        <v/>
      </c>
      <c r="B738" s="5">
        <f>IF($E738="","",INDEX('Input Transaksi'!$D:$D,$E738))</f>
        <v/>
      </c>
      <c r="C738">
        <f>IF($E738="","",INDEX('Input Transaksi'!$E:$E,$E738))</f>
        <v/>
      </c>
      <c r="D738" s="5">
        <f>IF($E738="","",INDEX('Input Transaksi'!$F:$F,$E738))</f>
        <v/>
      </c>
      <c r="E738">
        <f>IFERROR(AGGREGATE(15,6,ROW('Input Transaksi'!$B$5:$B$5000)/('Input Transaksi'!$B$5:$B$5000="BALI WASH GALANG"),ROWS($E$5:E738)),"")</f>
        <v/>
      </c>
      <c r="F738" s="5" t="n"/>
    </row>
    <row r="739">
      <c r="A739" s="10">
        <f>IF($E739="","",INDEX('Input Transaksi'!$A:$A,$E739))</f>
        <v/>
      </c>
      <c r="B739" s="5">
        <f>IF($E739="","",INDEX('Input Transaksi'!$D:$D,$E739))</f>
        <v/>
      </c>
      <c r="C739">
        <f>IF($E739="","",INDEX('Input Transaksi'!$E:$E,$E739))</f>
        <v/>
      </c>
      <c r="D739" s="5">
        <f>IF($E739="","",INDEX('Input Transaksi'!$F:$F,$E739))</f>
        <v/>
      </c>
      <c r="E739">
        <f>IFERROR(AGGREGATE(15,6,ROW('Input Transaksi'!$B$5:$B$5000)/('Input Transaksi'!$B$5:$B$5000="BALI WASH GALANG"),ROWS($E$5:E739)),"")</f>
        <v/>
      </c>
      <c r="F739" s="5" t="n"/>
    </row>
    <row r="740">
      <c r="A740" s="10">
        <f>IF($E740="","",INDEX('Input Transaksi'!$A:$A,$E740))</f>
        <v/>
      </c>
      <c r="B740" s="5">
        <f>IF($E740="","",INDEX('Input Transaksi'!$D:$D,$E740))</f>
        <v/>
      </c>
      <c r="C740">
        <f>IF($E740="","",INDEX('Input Transaksi'!$E:$E,$E740))</f>
        <v/>
      </c>
      <c r="D740" s="5">
        <f>IF($E740="","",INDEX('Input Transaksi'!$F:$F,$E740))</f>
        <v/>
      </c>
      <c r="E740">
        <f>IFERROR(AGGREGATE(15,6,ROW('Input Transaksi'!$B$5:$B$5000)/('Input Transaksi'!$B$5:$B$5000="BALI WASH GALANG"),ROWS($E$5:E740)),"")</f>
        <v/>
      </c>
      <c r="F740" s="5" t="n"/>
    </row>
    <row r="741">
      <c r="A741" s="10">
        <f>IF($E741="","",INDEX('Input Transaksi'!$A:$A,$E741))</f>
        <v/>
      </c>
      <c r="B741" s="5">
        <f>IF($E741="","",INDEX('Input Transaksi'!$D:$D,$E741))</f>
        <v/>
      </c>
      <c r="C741">
        <f>IF($E741="","",INDEX('Input Transaksi'!$E:$E,$E741))</f>
        <v/>
      </c>
      <c r="D741" s="5">
        <f>IF($E741="","",INDEX('Input Transaksi'!$F:$F,$E741))</f>
        <v/>
      </c>
      <c r="E741">
        <f>IFERROR(AGGREGATE(15,6,ROW('Input Transaksi'!$B$5:$B$5000)/('Input Transaksi'!$B$5:$B$5000="BALI WASH GALANG"),ROWS($E$5:E741)),"")</f>
        <v/>
      </c>
      <c r="F741" s="5" t="n"/>
    </row>
    <row r="742">
      <c r="A742" s="10">
        <f>IF($E742="","",INDEX('Input Transaksi'!$A:$A,$E742))</f>
        <v/>
      </c>
      <c r="B742" s="5">
        <f>IF($E742="","",INDEX('Input Transaksi'!$D:$D,$E742))</f>
        <v/>
      </c>
      <c r="C742">
        <f>IF($E742="","",INDEX('Input Transaksi'!$E:$E,$E742))</f>
        <v/>
      </c>
      <c r="D742" s="5">
        <f>IF($E742="","",INDEX('Input Transaksi'!$F:$F,$E742))</f>
        <v/>
      </c>
      <c r="E742">
        <f>IFERROR(AGGREGATE(15,6,ROW('Input Transaksi'!$B$5:$B$5000)/('Input Transaksi'!$B$5:$B$5000="BALI WASH GALANG"),ROWS($E$5:E742)),"")</f>
        <v/>
      </c>
      <c r="F742" s="5" t="n"/>
    </row>
    <row r="743">
      <c r="A743" s="10">
        <f>IF($E743="","",INDEX('Input Transaksi'!$A:$A,$E743))</f>
        <v/>
      </c>
      <c r="B743" s="5">
        <f>IF($E743="","",INDEX('Input Transaksi'!$D:$D,$E743))</f>
        <v/>
      </c>
      <c r="C743">
        <f>IF($E743="","",INDEX('Input Transaksi'!$E:$E,$E743))</f>
        <v/>
      </c>
      <c r="D743" s="5">
        <f>IF($E743="","",INDEX('Input Transaksi'!$F:$F,$E743))</f>
        <v/>
      </c>
      <c r="E743">
        <f>IFERROR(AGGREGATE(15,6,ROW('Input Transaksi'!$B$5:$B$5000)/('Input Transaksi'!$B$5:$B$5000="BALI WASH GALANG"),ROWS($E$5:E743)),"")</f>
        <v/>
      </c>
      <c r="F743" s="5" t="n"/>
    </row>
    <row r="744">
      <c r="A744" s="10">
        <f>IF($E744="","",INDEX('Input Transaksi'!$A:$A,$E744))</f>
        <v/>
      </c>
      <c r="B744" s="5">
        <f>IF($E744="","",INDEX('Input Transaksi'!$D:$D,$E744))</f>
        <v/>
      </c>
      <c r="C744">
        <f>IF($E744="","",INDEX('Input Transaksi'!$E:$E,$E744))</f>
        <v/>
      </c>
      <c r="D744" s="5">
        <f>IF($E744="","",INDEX('Input Transaksi'!$F:$F,$E744))</f>
        <v/>
      </c>
      <c r="E744">
        <f>IFERROR(AGGREGATE(15,6,ROW('Input Transaksi'!$B$5:$B$5000)/('Input Transaksi'!$B$5:$B$5000="BALI WASH GALANG"),ROWS($E$5:E744)),"")</f>
        <v/>
      </c>
      <c r="F744" s="5" t="n"/>
    </row>
    <row r="745">
      <c r="A745" s="10">
        <f>IF($E745="","",INDEX('Input Transaksi'!$A:$A,$E745))</f>
        <v/>
      </c>
      <c r="B745" s="5">
        <f>IF($E745="","",INDEX('Input Transaksi'!$D:$D,$E745))</f>
        <v/>
      </c>
      <c r="C745">
        <f>IF($E745="","",INDEX('Input Transaksi'!$E:$E,$E745))</f>
        <v/>
      </c>
      <c r="D745" s="5">
        <f>IF($E745="","",INDEX('Input Transaksi'!$F:$F,$E745))</f>
        <v/>
      </c>
      <c r="E745">
        <f>IFERROR(AGGREGATE(15,6,ROW('Input Transaksi'!$B$5:$B$5000)/('Input Transaksi'!$B$5:$B$5000="BALI WASH GALANG"),ROWS($E$5:E745)),"")</f>
        <v/>
      </c>
      <c r="F745" s="5" t="n"/>
    </row>
    <row r="746">
      <c r="A746" s="10">
        <f>IF($E746="","",INDEX('Input Transaksi'!$A:$A,$E746))</f>
        <v/>
      </c>
      <c r="B746" s="5">
        <f>IF($E746="","",INDEX('Input Transaksi'!$D:$D,$E746))</f>
        <v/>
      </c>
      <c r="C746">
        <f>IF($E746="","",INDEX('Input Transaksi'!$E:$E,$E746))</f>
        <v/>
      </c>
      <c r="D746" s="5">
        <f>IF($E746="","",INDEX('Input Transaksi'!$F:$F,$E746))</f>
        <v/>
      </c>
      <c r="E746">
        <f>IFERROR(AGGREGATE(15,6,ROW('Input Transaksi'!$B$5:$B$5000)/('Input Transaksi'!$B$5:$B$5000="BALI WASH GALANG"),ROWS($E$5:E746)),"")</f>
        <v/>
      </c>
      <c r="F746" s="5" t="n"/>
    </row>
    <row r="747">
      <c r="A747" s="10">
        <f>IF($E747="","",INDEX('Input Transaksi'!$A:$A,$E747))</f>
        <v/>
      </c>
      <c r="B747" s="5">
        <f>IF($E747="","",INDEX('Input Transaksi'!$D:$D,$E747))</f>
        <v/>
      </c>
      <c r="C747">
        <f>IF($E747="","",INDEX('Input Transaksi'!$E:$E,$E747))</f>
        <v/>
      </c>
      <c r="D747" s="5">
        <f>IF($E747="","",INDEX('Input Transaksi'!$F:$F,$E747))</f>
        <v/>
      </c>
      <c r="E747">
        <f>IFERROR(AGGREGATE(15,6,ROW('Input Transaksi'!$B$5:$B$5000)/('Input Transaksi'!$B$5:$B$5000="BALI WASH GALANG"),ROWS($E$5:E747)),"")</f>
        <v/>
      </c>
      <c r="F747" s="5" t="n"/>
    </row>
    <row r="748">
      <c r="A748" s="10">
        <f>IF($E748="","",INDEX('Input Transaksi'!$A:$A,$E748))</f>
        <v/>
      </c>
      <c r="B748" s="5">
        <f>IF($E748="","",INDEX('Input Transaksi'!$D:$D,$E748))</f>
        <v/>
      </c>
      <c r="C748">
        <f>IF($E748="","",INDEX('Input Transaksi'!$E:$E,$E748))</f>
        <v/>
      </c>
      <c r="D748" s="5">
        <f>IF($E748="","",INDEX('Input Transaksi'!$F:$F,$E748))</f>
        <v/>
      </c>
      <c r="E748">
        <f>IFERROR(AGGREGATE(15,6,ROW('Input Transaksi'!$B$5:$B$5000)/('Input Transaksi'!$B$5:$B$5000="BALI WASH GALANG"),ROWS($E$5:E748)),"")</f>
        <v/>
      </c>
      <c r="F748" s="5" t="n"/>
    </row>
    <row r="749">
      <c r="A749" s="10">
        <f>IF($E749="","",INDEX('Input Transaksi'!$A:$A,$E749))</f>
        <v/>
      </c>
      <c r="B749" s="5">
        <f>IF($E749="","",INDEX('Input Transaksi'!$D:$D,$E749))</f>
        <v/>
      </c>
      <c r="C749">
        <f>IF($E749="","",INDEX('Input Transaksi'!$E:$E,$E749))</f>
        <v/>
      </c>
      <c r="D749" s="5">
        <f>IF($E749="","",INDEX('Input Transaksi'!$F:$F,$E749))</f>
        <v/>
      </c>
      <c r="E749">
        <f>IFERROR(AGGREGATE(15,6,ROW('Input Transaksi'!$B$5:$B$5000)/('Input Transaksi'!$B$5:$B$5000="BALI WASH GALANG"),ROWS($E$5:E749)),"")</f>
        <v/>
      </c>
      <c r="F749" s="5" t="n"/>
    </row>
    <row r="750">
      <c r="A750" s="10">
        <f>IF($E750="","",INDEX('Input Transaksi'!$A:$A,$E750))</f>
        <v/>
      </c>
      <c r="B750" s="5">
        <f>IF($E750="","",INDEX('Input Transaksi'!$D:$D,$E750))</f>
        <v/>
      </c>
      <c r="C750">
        <f>IF($E750="","",INDEX('Input Transaksi'!$E:$E,$E750))</f>
        <v/>
      </c>
      <c r="D750" s="5">
        <f>IF($E750="","",INDEX('Input Transaksi'!$F:$F,$E750))</f>
        <v/>
      </c>
      <c r="E750">
        <f>IFERROR(AGGREGATE(15,6,ROW('Input Transaksi'!$B$5:$B$5000)/('Input Transaksi'!$B$5:$B$5000="BALI WASH GALANG"),ROWS($E$5:E750)),"")</f>
        <v/>
      </c>
      <c r="F750" s="5" t="n"/>
    </row>
    <row r="751">
      <c r="A751" s="10">
        <f>IF($E751="","",INDEX('Input Transaksi'!$A:$A,$E751))</f>
        <v/>
      </c>
      <c r="B751" s="5">
        <f>IF($E751="","",INDEX('Input Transaksi'!$D:$D,$E751))</f>
        <v/>
      </c>
      <c r="C751">
        <f>IF($E751="","",INDEX('Input Transaksi'!$E:$E,$E751))</f>
        <v/>
      </c>
      <c r="D751" s="5">
        <f>IF($E751="","",INDEX('Input Transaksi'!$F:$F,$E751))</f>
        <v/>
      </c>
      <c r="E751">
        <f>IFERROR(AGGREGATE(15,6,ROW('Input Transaksi'!$B$5:$B$5000)/('Input Transaksi'!$B$5:$B$5000="BALI WASH GALANG"),ROWS($E$5:E751)),"")</f>
        <v/>
      </c>
      <c r="F751" s="5" t="n"/>
    </row>
    <row r="752">
      <c r="A752" s="10">
        <f>IF($E752="","",INDEX('Input Transaksi'!$A:$A,$E752))</f>
        <v/>
      </c>
      <c r="B752" s="5">
        <f>IF($E752="","",INDEX('Input Transaksi'!$D:$D,$E752))</f>
        <v/>
      </c>
      <c r="C752">
        <f>IF($E752="","",INDEX('Input Transaksi'!$E:$E,$E752))</f>
        <v/>
      </c>
      <c r="D752" s="5">
        <f>IF($E752="","",INDEX('Input Transaksi'!$F:$F,$E752))</f>
        <v/>
      </c>
      <c r="E752">
        <f>IFERROR(AGGREGATE(15,6,ROW('Input Transaksi'!$B$5:$B$5000)/('Input Transaksi'!$B$5:$B$5000="BALI WASH GALANG"),ROWS($E$5:E752)),"")</f>
        <v/>
      </c>
      <c r="F752" s="5" t="n"/>
    </row>
    <row r="753">
      <c r="A753" s="10">
        <f>IF($E753="","",INDEX('Input Transaksi'!$A:$A,$E753))</f>
        <v/>
      </c>
      <c r="B753" s="5">
        <f>IF($E753="","",INDEX('Input Transaksi'!$D:$D,$E753))</f>
        <v/>
      </c>
      <c r="C753">
        <f>IF($E753="","",INDEX('Input Transaksi'!$E:$E,$E753))</f>
        <v/>
      </c>
      <c r="D753" s="5">
        <f>IF($E753="","",INDEX('Input Transaksi'!$F:$F,$E753))</f>
        <v/>
      </c>
      <c r="E753">
        <f>IFERROR(AGGREGATE(15,6,ROW('Input Transaksi'!$B$5:$B$5000)/('Input Transaksi'!$B$5:$B$5000="BALI WASH GALANG"),ROWS($E$5:E753)),"")</f>
        <v/>
      </c>
      <c r="F753" s="5" t="n"/>
    </row>
    <row r="754">
      <c r="A754" s="10">
        <f>IF($E754="","",INDEX('Input Transaksi'!$A:$A,$E754))</f>
        <v/>
      </c>
      <c r="B754" s="5">
        <f>IF($E754="","",INDEX('Input Transaksi'!$D:$D,$E754))</f>
        <v/>
      </c>
      <c r="C754">
        <f>IF($E754="","",INDEX('Input Transaksi'!$E:$E,$E754))</f>
        <v/>
      </c>
      <c r="D754" s="5">
        <f>IF($E754="","",INDEX('Input Transaksi'!$F:$F,$E754))</f>
        <v/>
      </c>
      <c r="E754">
        <f>IFERROR(AGGREGATE(15,6,ROW('Input Transaksi'!$B$5:$B$5000)/('Input Transaksi'!$B$5:$B$5000="BALI WASH GALANG"),ROWS($E$5:E754)),"")</f>
        <v/>
      </c>
      <c r="F754" s="5" t="n"/>
    </row>
    <row r="755">
      <c r="A755" s="10">
        <f>IF($E755="","",INDEX('Input Transaksi'!$A:$A,$E755))</f>
        <v/>
      </c>
      <c r="B755" s="5">
        <f>IF($E755="","",INDEX('Input Transaksi'!$D:$D,$E755))</f>
        <v/>
      </c>
      <c r="C755">
        <f>IF($E755="","",INDEX('Input Transaksi'!$E:$E,$E755))</f>
        <v/>
      </c>
      <c r="D755" s="5">
        <f>IF($E755="","",INDEX('Input Transaksi'!$F:$F,$E755))</f>
        <v/>
      </c>
      <c r="E755">
        <f>IFERROR(AGGREGATE(15,6,ROW('Input Transaksi'!$B$5:$B$5000)/('Input Transaksi'!$B$5:$B$5000="BALI WASH GALANG"),ROWS($E$5:E755)),"")</f>
        <v/>
      </c>
      <c r="F755" s="5" t="n"/>
    </row>
    <row r="756">
      <c r="A756" s="10">
        <f>IF($E756="","",INDEX('Input Transaksi'!$A:$A,$E756))</f>
        <v/>
      </c>
      <c r="B756" s="5">
        <f>IF($E756="","",INDEX('Input Transaksi'!$D:$D,$E756))</f>
        <v/>
      </c>
      <c r="C756">
        <f>IF($E756="","",INDEX('Input Transaksi'!$E:$E,$E756))</f>
        <v/>
      </c>
      <c r="D756" s="5">
        <f>IF($E756="","",INDEX('Input Transaksi'!$F:$F,$E756))</f>
        <v/>
      </c>
      <c r="E756">
        <f>IFERROR(AGGREGATE(15,6,ROW('Input Transaksi'!$B$5:$B$5000)/('Input Transaksi'!$B$5:$B$5000="BALI WASH GALANG"),ROWS($E$5:E756)),"")</f>
        <v/>
      </c>
      <c r="F756" s="5" t="n"/>
    </row>
    <row r="757">
      <c r="A757" s="10">
        <f>IF($E757="","",INDEX('Input Transaksi'!$A:$A,$E757))</f>
        <v/>
      </c>
      <c r="B757" s="5">
        <f>IF($E757="","",INDEX('Input Transaksi'!$D:$D,$E757))</f>
        <v/>
      </c>
      <c r="C757">
        <f>IF($E757="","",INDEX('Input Transaksi'!$E:$E,$E757))</f>
        <v/>
      </c>
      <c r="D757" s="5">
        <f>IF($E757="","",INDEX('Input Transaksi'!$F:$F,$E757))</f>
        <v/>
      </c>
      <c r="E757">
        <f>IFERROR(AGGREGATE(15,6,ROW('Input Transaksi'!$B$5:$B$5000)/('Input Transaksi'!$B$5:$B$5000="BALI WASH GALANG"),ROWS($E$5:E757)),"")</f>
        <v/>
      </c>
      <c r="F757" s="5" t="n"/>
    </row>
    <row r="758">
      <c r="A758" s="10">
        <f>IF($E758="","",INDEX('Input Transaksi'!$A:$A,$E758))</f>
        <v/>
      </c>
      <c r="B758" s="5">
        <f>IF($E758="","",INDEX('Input Transaksi'!$D:$D,$E758))</f>
        <v/>
      </c>
      <c r="C758">
        <f>IF($E758="","",INDEX('Input Transaksi'!$E:$E,$E758))</f>
        <v/>
      </c>
      <c r="D758" s="5">
        <f>IF($E758="","",INDEX('Input Transaksi'!$F:$F,$E758))</f>
        <v/>
      </c>
      <c r="E758">
        <f>IFERROR(AGGREGATE(15,6,ROW('Input Transaksi'!$B$5:$B$5000)/('Input Transaksi'!$B$5:$B$5000="BALI WASH GALANG"),ROWS($E$5:E758)),"")</f>
        <v/>
      </c>
      <c r="F758" s="5" t="n"/>
    </row>
    <row r="759">
      <c r="A759" s="10">
        <f>IF($E759="","",INDEX('Input Transaksi'!$A:$A,$E759))</f>
        <v/>
      </c>
      <c r="B759" s="5">
        <f>IF($E759="","",INDEX('Input Transaksi'!$D:$D,$E759))</f>
        <v/>
      </c>
      <c r="C759">
        <f>IF($E759="","",INDEX('Input Transaksi'!$E:$E,$E759))</f>
        <v/>
      </c>
      <c r="D759" s="5">
        <f>IF($E759="","",INDEX('Input Transaksi'!$F:$F,$E759))</f>
        <v/>
      </c>
      <c r="E759">
        <f>IFERROR(AGGREGATE(15,6,ROW('Input Transaksi'!$B$5:$B$5000)/('Input Transaksi'!$B$5:$B$5000="BALI WASH GALANG"),ROWS($E$5:E759)),"")</f>
        <v/>
      </c>
      <c r="F759" s="5" t="n"/>
    </row>
    <row r="760">
      <c r="A760" s="10">
        <f>IF($E760="","",INDEX('Input Transaksi'!$A:$A,$E760))</f>
        <v/>
      </c>
      <c r="B760" s="5">
        <f>IF($E760="","",INDEX('Input Transaksi'!$D:$D,$E760))</f>
        <v/>
      </c>
      <c r="C760">
        <f>IF($E760="","",INDEX('Input Transaksi'!$E:$E,$E760))</f>
        <v/>
      </c>
      <c r="D760" s="5">
        <f>IF($E760="","",INDEX('Input Transaksi'!$F:$F,$E760))</f>
        <v/>
      </c>
      <c r="E760">
        <f>IFERROR(AGGREGATE(15,6,ROW('Input Transaksi'!$B$5:$B$5000)/('Input Transaksi'!$B$5:$B$5000="BALI WASH GALANG"),ROWS($E$5:E760)),"")</f>
        <v/>
      </c>
      <c r="F760" s="5" t="n"/>
    </row>
    <row r="761">
      <c r="A761" s="10">
        <f>IF($E761="","",INDEX('Input Transaksi'!$A:$A,$E761))</f>
        <v/>
      </c>
      <c r="B761" s="5">
        <f>IF($E761="","",INDEX('Input Transaksi'!$D:$D,$E761))</f>
        <v/>
      </c>
      <c r="C761">
        <f>IF($E761="","",INDEX('Input Transaksi'!$E:$E,$E761))</f>
        <v/>
      </c>
      <c r="D761" s="5">
        <f>IF($E761="","",INDEX('Input Transaksi'!$F:$F,$E761))</f>
        <v/>
      </c>
      <c r="E761">
        <f>IFERROR(AGGREGATE(15,6,ROW('Input Transaksi'!$B$5:$B$5000)/('Input Transaksi'!$B$5:$B$5000="BALI WASH GALANG"),ROWS($E$5:E761)),"")</f>
        <v/>
      </c>
      <c r="F761" s="5" t="n"/>
    </row>
    <row r="762">
      <c r="A762" s="10">
        <f>IF($E762="","",INDEX('Input Transaksi'!$A:$A,$E762))</f>
        <v/>
      </c>
      <c r="B762" s="5">
        <f>IF($E762="","",INDEX('Input Transaksi'!$D:$D,$E762))</f>
        <v/>
      </c>
      <c r="C762">
        <f>IF($E762="","",INDEX('Input Transaksi'!$E:$E,$E762))</f>
        <v/>
      </c>
      <c r="D762" s="5">
        <f>IF($E762="","",INDEX('Input Transaksi'!$F:$F,$E762))</f>
        <v/>
      </c>
      <c r="E762">
        <f>IFERROR(AGGREGATE(15,6,ROW('Input Transaksi'!$B$5:$B$5000)/('Input Transaksi'!$B$5:$B$5000="BALI WASH GALANG"),ROWS($E$5:E762)),"")</f>
        <v/>
      </c>
      <c r="F762" s="5" t="n"/>
    </row>
    <row r="763">
      <c r="A763" s="10">
        <f>IF($E763="","",INDEX('Input Transaksi'!$A:$A,$E763))</f>
        <v/>
      </c>
      <c r="B763" s="5">
        <f>IF($E763="","",INDEX('Input Transaksi'!$D:$D,$E763))</f>
        <v/>
      </c>
      <c r="C763">
        <f>IF($E763="","",INDEX('Input Transaksi'!$E:$E,$E763))</f>
        <v/>
      </c>
      <c r="D763" s="5">
        <f>IF($E763="","",INDEX('Input Transaksi'!$F:$F,$E763))</f>
        <v/>
      </c>
      <c r="E763">
        <f>IFERROR(AGGREGATE(15,6,ROW('Input Transaksi'!$B$5:$B$5000)/('Input Transaksi'!$B$5:$B$5000="BALI WASH GALANG"),ROWS($E$5:E763)),"")</f>
        <v/>
      </c>
      <c r="F763" s="5" t="n"/>
    </row>
    <row r="764">
      <c r="A764" s="10">
        <f>IF($E764="","",INDEX('Input Transaksi'!$A:$A,$E764))</f>
        <v/>
      </c>
      <c r="B764" s="5">
        <f>IF($E764="","",INDEX('Input Transaksi'!$D:$D,$E764))</f>
        <v/>
      </c>
      <c r="C764">
        <f>IF($E764="","",INDEX('Input Transaksi'!$E:$E,$E764))</f>
        <v/>
      </c>
      <c r="D764" s="5">
        <f>IF($E764="","",INDEX('Input Transaksi'!$F:$F,$E764))</f>
        <v/>
      </c>
      <c r="E764">
        <f>IFERROR(AGGREGATE(15,6,ROW('Input Transaksi'!$B$5:$B$5000)/('Input Transaksi'!$B$5:$B$5000="BALI WASH GALANG"),ROWS($E$5:E764)),"")</f>
        <v/>
      </c>
      <c r="F764" s="5" t="n"/>
    </row>
    <row r="765">
      <c r="A765" s="10">
        <f>IF($E765="","",INDEX('Input Transaksi'!$A:$A,$E765))</f>
        <v/>
      </c>
      <c r="B765" s="5">
        <f>IF($E765="","",INDEX('Input Transaksi'!$D:$D,$E765))</f>
        <v/>
      </c>
      <c r="C765">
        <f>IF($E765="","",INDEX('Input Transaksi'!$E:$E,$E765))</f>
        <v/>
      </c>
      <c r="D765" s="5">
        <f>IF($E765="","",INDEX('Input Transaksi'!$F:$F,$E765))</f>
        <v/>
      </c>
      <c r="E765">
        <f>IFERROR(AGGREGATE(15,6,ROW('Input Transaksi'!$B$5:$B$5000)/('Input Transaksi'!$B$5:$B$5000="BALI WASH GALANG"),ROWS($E$5:E765)),"")</f>
        <v/>
      </c>
      <c r="F765" s="5" t="n"/>
    </row>
    <row r="766">
      <c r="A766" s="10">
        <f>IF($E766="","",INDEX('Input Transaksi'!$A:$A,$E766))</f>
        <v/>
      </c>
      <c r="B766" s="5">
        <f>IF($E766="","",INDEX('Input Transaksi'!$D:$D,$E766))</f>
        <v/>
      </c>
      <c r="C766">
        <f>IF($E766="","",INDEX('Input Transaksi'!$E:$E,$E766))</f>
        <v/>
      </c>
      <c r="D766" s="5">
        <f>IF($E766="","",INDEX('Input Transaksi'!$F:$F,$E766))</f>
        <v/>
      </c>
      <c r="E766">
        <f>IFERROR(AGGREGATE(15,6,ROW('Input Transaksi'!$B$5:$B$5000)/('Input Transaksi'!$B$5:$B$5000="BALI WASH GALANG"),ROWS($E$5:E766)),"")</f>
        <v/>
      </c>
      <c r="F766" s="5" t="n"/>
    </row>
    <row r="767">
      <c r="A767" s="10">
        <f>IF($E767="","",INDEX('Input Transaksi'!$A:$A,$E767))</f>
        <v/>
      </c>
      <c r="B767" s="5">
        <f>IF($E767="","",INDEX('Input Transaksi'!$D:$D,$E767))</f>
        <v/>
      </c>
      <c r="C767">
        <f>IF($E767="","",INDEX('Input Transaksi'!$E:$E,$E767))</f>
        <v/>
      </c>
      <c r="D767" s="5">
        <f>IF($E767="","",INDEX('Input Transaksi'!$F:$F,$E767))</f>
        <v/>
      </c>
      <c r="E767">
        <f>IFERROR(AGGREGATE(15,6,ROW('Input Transaksi'!$B$5:$B$5000)/('Input Transaksi'!$B$5:$B$5000="BALI WASH GALANG"),ROWS($E$5:E767)),"")</f>
        <v/>
      </c>
      <c r="F767" s="5" t="n"/>
    </row>
    <row r="768">
      <c r="A768" s="10">
        <f>IF($E768="","",INDEX('Input Transaksi'!$A:$A,$E768))</f>
        <v/>
      </c>
      <c r="B768" s="5">
        <f>IF($E768="","",INDEX('Input Transaksi'!$D:$D,$E768))</f>
        <v/>
      </c>
      <c r="C768">
        <f>IF($E768="","",INDEX('Input Transaksi'!$E:$E,$E768))</f>
        <v/>
      </c>
      <c r="D768" s="5">
        <f>IF($E768="","",INDEX('Input Transaksi'!$F:$F,$E768))</f>
        <v/>
      </c>
      <c r="E768">
        <f>IFERROR(AGGREGATE(15,6,ROW('Input Transaksi'!$B$5:$B$5000)/('Input Transaksi'!$B$5:$B$5000="BALI WASH GALANG"),ROWS($E$5:E768)),"")</f>
        <v/>
      </c>
      <c r="F768" s="5" t="n"/>
    </row>
    <row r="769">
      <c r="A769" s="10">
        <f>IF($E769="","",INDEX('Input Transaksi'!$A:$A,$E769))</f>
        <v/>
      </c>
      <c r="B769" s="5">
        <f>IF($E769="","",INDEX('Input Transaksi'!$D:$D,$E769))</f>
        <v/>
      </c>
      <c r="C769">
        <f>IF($E769="","",INDEX('Input Transaksi'!$E:$E,$E769))</f>
        <v/>
      </c>
      <c r="D769" s="5">
        <f>IF($E769="","",INDEX('Input Transaksi'!$F:$F,$E769))</f>
        <v/>
      </c>
      <c r="E769">
        <f>IFERROR(AGGREGATE(15,6,ROW('Input Transaksi'!$B$5:$B$5000)/('Input Transaksi'!$B$5:$B$5000="BALI WASH GALANG"),ROWS($E$5:E769)),"")</f>
        <v/>
      </c>
      <c r="F769" s="5" t="n"/>
    </row>
    <row r="770">
      <c r="A770" s="10">
        <f>IF($E770="","",INDEX('Input Transaksi'!$A:$A,$E770))</f>
        <v/>
      </c>
      <c r="B770" s="5">
        <f>IF($E770="","",INDEX('Input Transaksi'!$D:$D,$E770))</f>
        <v/>
      </c>
      <c r="C770">
        <f>IF($E770="","",INDEX('Input Transaksi'!$E:$E,$E770))</f>
        <v/>
      </c>
      <c r="D770" s="5">
        <f>IF($E770="","",INDEX('Input Transaksi'!$F:$F,$E770))</f>
        <v/>
      </c>
      <c r="E770">
        <f>IFERROR(AGGREGATE(15,6,ROW('Input Transaksi'!$B$5:$B$5000)/('Input Transaksi'!$B$5:$B$5000="BALI WASH GALANG"),ROWS($E$5:E770)),"")</f>
        <v/>
      </c>
      <c r="F770" s="5" t="n"/>
    </row>
    <row r="771">
      <c r="A771" s="10">
        <f>IF($E771="","",INDEX('Input Transaksi'!$A:$A,$E771))</f>
        <v/>
      </c>
      <c r="B771" s="5">
        <f>IF($E771="","",INDEX('Input Transaksi'!$D:$D,$E771))</f>
        <v/>
      </c>
      <c r="C771">
        <f>IF($E771="","",INDEX('Input Transaksi'!$E:$E,$E771))</f>
        <v/>
      </c>
      <c r="D771" s="5">
        <f>IF($E771="","",INDEX('Input Transaksi'!$F:$F,$E771))</f>
        <v/>
      </c>
      <c r="E771">
        <f>IFERROR(AGGREGATE(15,6,ROW('Input Transaksi'!$B$5:$B$5000)/('Input Transaksi'!$B$5:$B$5000="BALI WASH GALANG"),ROWS($E$5:E771)),"")</f>
        <v/>
      </c>
      <c r="F771" s="5" t="n"/>
    </row>
    <row r="772">
      <c r="A772" s="10">
        <f>IF($E772="","",INDEX('Input Transaksi'!$A:$A,$E772))</f>
        <v/>
      </c>
      <c r="B772" s="5">
        <f>IF($E772="","",INDEX('Input Transaksi'!$D:$D,$E772))</f>
        <v/>
      </c>
      <c r="C772">
        <f>IF($E772="","",INDEX('Input Transaksi'!$E:$E,$E772))</f>
        <v/>
      </c>
      <c r="D772" s="5">
        <f>IF($E772="","",INDEX('Input Transaksi'!$F:$F,$E772))</f>
        <v/>
      </c>
      <c r="E772">
        <f>IFERROR(AGGREGATE(15,6,ROW('Input Transaksi'!$B$5:$B$5000)/('Input Transaksi'!$B$5:$B$5000="BALI WASH GALANG"),ROWS($E$5:E772)),"")</f>
        <v/>
      </c>
      <c r="F772" s="5" t="n"/>
    </row>
    <row r="773">
      <c r="A773" s="10">
        <f>IF($E773="","",INDEX('Input Transaksi'!$A:$A,$E773))</f>
        <v/>
      </c>
      <c r="B773" s="5">
        <f>IF($E773="","",INDEX('Input Transaksi'!$D:$D,$E773))</f>
        <v/>
      </c>
      <c r="C773">
        <f>IF($E773="","",INDEX('Input Transaksi'!$E:$E,$E773))</f>
        <v/>
      </c>
      <c r="D773" s="5">
        <f>IF($E773="","",INDEX('Input Transaksi'!$F:$F,$E773))</f>
        <v/>
      </c>
      <c r="E773">
        <f>IFERROR(AGGREGATE(15,6,ROW('Input Transaksi'!$B$5:$B$5000)/('Input Transaksi'!$B$5:$B$5000="BALI WASH GALANG"),ROWS($E$5:E773)),"")</f>
        <v/>
      </c>
      <c r="F773" s="5" t="n"/>
    </row>
    <row r="774">
      <c r="A774" s="10">
        <f>IF($E774="","",INDEX('Input Transaksi'!$A:$A,$E774))</f>
        <v/>
      </c>
      <c r="B774" s="5">
        <f>IF($E774="","",INDEX('Input Transaksi'!$D:$D,$E774))</f>
        <v/>
      </c>
      <c r="C774">
        <f>IF($E774="","",INDEX('Input Transaksi'!$E:$E,$E774))</f>
        <v/>
      </c>
      <c r="D774" s="5">
        <f>IF($E774="","",INDEX('Input Transaksi'!$F:$F,$E774))</f>
        <v/>
      </c>
      <c r="E774">
        <f>IFERROR(AGGREGATE(15,6,ROW('Input Transaksi'!$B$5:$B$5000)/('Input Transaksi'!$B$5:$B$5000="BALI WASH GALANG"),ROWS($E$5:E774)),"")</f>
        <v/>
      </c>
      <c r="F774" s="5" t="n"/>
    </row>
    <row r="775">
      <c r="A775" s="10">
        <f>IF($E775="","",INDEX('Input Transaksi'!$A:$A,$E775))</f>
        <v/>
      </c>
      <c r="B775" s="5">
        <f>IF($E775="","",INDEX('Input Transaksi'!$D:$D,$E775))</f>
        <v/>
      </c>
      <c r="C775">
        <f>IF($E775="","",INDEX('Input Transaksi'!$E:$E,$E775))</f>
        <v/>
      </c>
      <c r="D775" s="5">
        <f>IF($E775="","",INDEX('Input Transaksi'!$F:$F,$E775))</f>
        <v/>
      </c>
      <c r="E775">
        <f>IFERROR(AGGREGATE(15,6,ROW('Input Transaksi'!$B$5:$B$5000)/('Input Transaksi'!$B$5:$B$5000="BALI WASH GALANG"),ROWS($E$5:E775)),"")</f>
        <v/>
      </c>
      <c r="F775" s="5" t="n"/>
    </row>
    <row r="776">
      <c r="A776" s="10">
        <f>IF($E776="","",INDEX('Input Transaksi'!$A:$A,$E776))</f>
        <v/>
      </c>
      <c r="B776" s="5">
        <f>IF($E776="","",INDEX('Input Transaksi'!$D:$D,$E776))</f>
        <v/>
      </c>
      <c r="C776">
        <f>IF($E776="","",INDEX('Input Transaksi'!$E:$E,$E776))</f>
        <v/>
      </c>
      <c r="D776" s="5">
        <f>IF($E776="","",INDEX('Input Transaksi'!$F:$F,$E776))</f>
        <v/>
      </c>
      <c r="E776">
        <f>IFERROR(AGGREGATE(15,6,ROW('Input Transaksi'!$B$5:$B$5000)/('Input Transaksi'!$B$5:$B$5000="BALI WASH GALANG"),ROWS($E$5:E776)),"")</f>
        <v/>
      </c>
      <c r="F776" s="5" t="n"/>
    </row>
    <row r="777">
      <c r="A777" s="10">
        <f>IF($E777="","",INDEX('Input Transaksi'!$A:$A,$E777))</f>
        <v/>
      </c>
      <c r="B777" s="5">
        <f>IF($E777="","",INDEX('Input Transaksi'!$D:$D,$E777))</f>
        <v/>
      </c>
      <c r="C777">
        <f>IF($E777="","",INDEX('Input Transaksi'!$E:$E,$E777))</f>
        <v/>
      </c>
      <c r="D777" s="5">
        <f>IF($E777="","",INDEX('Input Transaksi'!$F:$F,$E777))</f>
        <v/>
      </c>
      <c r="E777">
        <f>IFERROR(AGGREGATE(15,6,ROW('Input Transaksi'!$B$5:$B$5000)/('Input Transaksi'!$B$5:$B$5000="BALI WASH GALANG"),ROWS($E$5:E777)),"")</f>
        <v/>
      </c>
      <c r="F777" s="5" t="n"/>
    </row>
    <row r="778">
      <c r="A778" s="10">
        <f>IF($E778="","",INDEX('Input Transaksi'!$A:$A,$E778))</f>
        <v/>
      </c>
      <c r="B778" s="5">
        <f>IF($E778="","",INDEX('Input Transaksi'!$D:$D,$E778))</f>
        <v/>
      </c>
      <c r="C778">
        <f>IF($E778="","",INDEX('Input Transaksi'!$E:$E,$E778))</f>
        <v/>
      </c>
      <c r="D778" s="5">
        <f>IF($E778="","",INDEX('Input Transaksi'!$F:$F,$E778))</f>
        <v/>
      </c>
      <c r="E778">
        <f>IFERROR(AGGREGATE(15,6,ROW('Input Transaksi'!$B$5:$B$5000)/('Input Transaksi'!$B$5:$B$5000="BALI WASH GALANG"),ROWS($E$5:E778)),"")</f>
        <v/>
      </c>
      <c r="F778" s="5" t="n"/>
    </row>
    <row r="779">
      <c r="A779" s="10">
        <f>IF($E779="","",INDEX('Input Transaksi'!$A:$A,$E779))</f>
        <v/>
      </c>
      <c r="B779" s="5">
        <f>IF($E779="","",INDEX('Input Transaksi'!$D:$D,$E779))</f>
        <v/>
      </c>
      <c r="C779">
        <f>IF($E779="","",INDEX('Input Transaksi'!$E:$E,$E779))</f>
        <v/>
      </c>
      <c r="D779" s="5">
        <f>IF($E779="","",INDEX('Input Transaksi'!$F:$F,$E779))</f>
        <v/>
      </c>
      <c r="E779">
        <f>IFERROR(AGGREGATE(15,6,ROW('Input Transaksi'!$B$5:$B$5000)/('Input Transaksi'!$B$5:$B$5000="BALI WASH GALANG"),ROWS($E$5:E779)),"")</f>
        <v/>
      </c>
      <c r="F779" s="5" t="n"/>
    </row>
    <row r="780">
      <c r="A780" s="10">
        <f>IF($E780="","",INDEX('Input Transaksi'!$A:$A,$E780))</f>
        <v/>
      </c>
      <c r="B780" s="5">
        <f>IF($E780="","",INDEX('Input Transaksi'!$D:$D,$E780))</f>
        <v/>
      </c>
      <c r="C780">
        <f>IF($E780="","",INDEX('Input Transaksi'!$E:$E,$E780))</f>
        <v/>
      </c>
      <c r="D780" s="5">
        <f>IF($E780="","",INDEX('Input Transaksi'!$F:$F,$E780))</f>
        <v/>
      </c>
      <c r="E780">
        <f>IFERROR(AGGREGATE(15,6,ROW('Input Transaksi'!$B$5:$B$5000)/('Input Transaksi'!$B$5:$B$5000="BALI WASH GALANG"),ROWS($E$5:E780)),"")</f>
        <v/>
      </c>
      <c r="F780" s="5" t="n"/>
    </row>
    <row r="781">
      <c r="A781" s="10">
        <f>IF($E781="","",INDEX('Input Transaksi'!$A:$A,$E781))</f>
        <v/>
      </c>
      <c r="B781" s="5">
        <f>IF($E781="","",INDEX('Input Transaksi'!$D:$D,$E781))</f>
        <v/>
      </c>
      <c r="C781">
        <f>IF($E781="","",INDEX('Input Transaksi'!$E:$E,$E781))</f>
        <v/>
      </c>
      <c r="D781" s="5">
        <f>IF($E781="","",INDEX('Input Transaksi'!$F:$F,$E781))</f>
        <v/>
      </c>
      <c r="E781">
        <f>IFERROR(AGGREGATE(15,6,ROW('Input Transaksi'!$B$5:$B$5000)/('Input Transaksi'!$B$5:$B$5000="BALI WASH GALANG"),ROWS($E$5:E781)),"")</f>
        <v/>
      </c>
      <c r="F781" s="5" t="n"/>
    </row>
    <row r="782">
      <c r="A782" s="10">
        <f>IF($E782="","",INDEX('Input Transaksi'!$A:$A,$E782))</f>
        <v/>
      </c>
      <c r="B782" s="5">
        <f>IF($E782="","",INDEX('Input Transaksi'!$D:$D,$E782))</f>
        <v/>
      </c>
      <c r="C782">
        <f>IF($E782="","",INDEX('Input Transaksi'!$E:$E,$E782))</f>
        <v/>
      </c>
      <c r="D782" s="5">
        <f>IF($E782="","",INDEX('Input Transaksi'!$F:$F,$E782))</f>
        <v/>
      </c>
      <c r="E782">
        <f>IFERROR(AGGREGATE(15,6,ROW('Input Transaksi'!$B$5:$B$5000)/('Input Transaksi'!$B$5:$B$5000="BALI WASH GALANG"),ROWS($E$5:E782)),"")</f>
        <v/>
      </c>
      <c r="F782" s="5" t="n"/>
    </row>
    <row r="783">
      <c r="A783" s="10">
        <f>IF($E783="","",INDEX('Input Transaksi'!$A:$A,$E783))</f>
        <v/>
      </c>
      <c r="B783" s="5">
        <f>IF($E783="","",INDEX('Input Transaksi'!$D:$D,$E783))</f>
        <v/>
      </c>
      <c r="C783">
        <f>IF($E783="","",INDEX('Input Transaksi'!$E:$E,$E783))</f>
        <v/>
      </c>
      <c r="D783" s="5">
        <f>IF($E783="","",INDEX('Input Transaksi'!$F:$F,$E783))</f>
        <v/>
      </c>
      <c r="E783">
        <f>IFERROR(AGGREGATE(15,6,ROW('Input Transaksi'!$B$5:$B$5000)/('Input Transaksi'!$B$5:$B$5000="BALI WASH GALANG"),ROWS($E$5:E783)),"")</f>
        <v/>
      </c>
      <c r="F783" s="5" t="n"/>
    </row>
    <row r="784">
      <c r="A784" s="10">
        <f>IF($E784="","",INDEX('Input Transaksi'!$A:$A,$E784))</f>
        <v/>
      </c>
      <c r="B784" s="5">
        <f>IF($E784="","",INDEX('Input Transaksi'!$D:$D,$E784))</f>
        <v/>
      </c>
      <c r="C784">
        <f>IF($E784="","",INDEX('Input Transaksi'!$E:$E,$E784))</f>
        <v/>
      </c>
      <c r="D784" s="5">
        <f>IF($E784="","",INDEX('Input Transaksi'!$F:$F,$E784))</f>
        <v/>
      </c>
      <c r="E784">
        <f>IFERROR(AGGREGATE(15,6,ROW('Input Transaksi'!$B$5:$B$5000)/('Input Transaksi'!$B$5:$B$5000="BALI WASH GALANG"),ROWS($E$5:E784)),"")</f>
        <v/>
      </c>
      <c r="F784" s="5" t="n"/>
    </row>
    <row r="785">
      <c r="A785" s="10">
        <f>IF($E785="","",INDEX('Input Transaksi'!$A:$A,$E785))</f>
        <v/>
      </c>
      <c r="B785" s="5">
        <f>IF($E785="","",INDEX('Input Transaksi'!$D:$D,$E785))</f>
        <v/>
      </c>
      <c r="C785">
        <f>IF($E785="","",INDEX('Input Transaksi'!$E:$E,$E785))</f>
        <v/>
      </c>
      <c r="D785" s="5">
        <f>IF($E785="","",INDEX('Input Transaksi'!$F:$F,$E785))</f>
        <v/>
      </c>
      <c r="E785">
        <f>IFERROR(AGGREGATE(15,6,ROW('Input Transaksi'!$B$5:$B$5000)/('Input Transaksi'!$B$5:$B$5000="BALI WASH GALANG"),ROWS($E$5:E785)),"")</f>
        <v/>
      </c>
      <c r="F785" s="5" t="n"/>
    </row>
    <row r="786">
      <c r="A786" s="10">
        <f>IF($E786="","",INDEX('Input Transaksi'!$A:$A,$E786))</f>
        <v/>
      </c>
      <c r="B786" s="5">
        <f>IF($E786="","",INDEX('Input Transaksi'!$D:$D,$E786))</f>
        <v/>
      </c>
      <c r="C786">
        <f>IF($E786="","",INDEX('Input Transaksi'!$E:$E,$E786))</f>
        <v/>
      </c>
      <c r="D786" s="5">
        <f>IF($E786="","",INDEX('Input Transaksi'!$F:$F,$E786))</f>
        <v/>
      </c>
      <c r="E786">
        <f>IFERROR(AGGREGATE(15,6,ROW('Input Transaksi'!$B$5:$B$5000)/('Input Transaksi'!$B$5:$B$5000="BALI WASH GALANG"),ROWS($E$5:E786)),"")</f>
        <v/>
      </c>
      <c r="F786" s="5" t="n"/>
    </row>
    <row r="787">
      <c r="A787" s="10">
        <f>IF($E787="","",INDEX('Input Transaksi'!$A:$A,$E787))</f>
        <v/>
      </c>
      <c r="B787" s="5">
        <f>IF($E787="","",INDEX('Input Transaksi'!$D:$D,$E787))</f>
        <v/>
      </c>
      <c r="C787">
        <f>IF($E787="","",INDEX('Input Transaksi'!$E:$E,$E787))</f>
        <v/>
      </c>
      <c r="D787" s="5">
        <f>IF($E787="","",INDEX('Input Transaksi'!$F:$F,$E787))</f>
        <v/>
      </c>
      <c r="E787">
        <f>IFERROR(AGGREGATE(15,6,ROW('Input Transaksi'!$B$5:$B$5000)/('Input Transaksi'!$B$5:$B$5000="BALI WASH GALANG"),ROWS($E$5:E787)),"")</f>
        <v/>
      </c>
      <c r="F787" s="5" t="n"/>
    </row>
    <row r="788">
      <c r="A788" s="10">
        <f>IF($E788="","",INDEX('Input Transaksi'!$A:$A,$E788))</f>
        <v/>
      </c>
      <c r="B788" s="5">
        <f>IF($E788="","",INDEX('Input Transaksi'!$D:$D,$E788))</f>
        <v/>
      </c>
      <c r="C788">
        <f>IF($E788="","",INDEX('Input Transaksi'!$E:$E,$E788))</f>
        <v/>
      </c>
      <c r="D788" s="5">
        <f>IF($E788="","",INDEX('Input Transaksi'!$F:$F,$E788))</f>
        <v/>
      </c>
      <c r="E788">
        <f>IFERROR(AGGREGATE(15,6,ROW('Input Transaksi'!$B$5:$B$5000)/('Input Transaksi'!$B$5:$B$5000="BALI WASH GALANG"),ROWS($E$5:E788)),"")</f>
        <v/>
      </c>
      <c r="F788" s="5" t="n"/>
    </row>
    <row r="789">
      <c r="A789" s="10">
        <f>IF($E789="","",INDEX('Input Transaksi'!$A:$A,$E789))</f>
        <v/>
      </c>
      <c r="B789" s="5">
        <f>IF($E789="","",INDEX('Input Transaksi'!$D:$D,$E789))</f>
        <v/>
      </c>
      <c r="C789">
        <f>IF($E789="","",INDEX('Input Transaksi'!$E:$E,$E789))</f>
        <v/>
      </c>
      <c r="D789" s="5">
        <f>IF($E789="","",INDEX('Input Transaksi'!$F:$F,$E789))</f>
        <v/>
      </c>
      <c r="E789">
        <f>IFERROR(AGGREGATE(15,6,ROW('Input Transaksi'!$B$5:$B$5000)/('Input Transaksi'!$B$5:$B$5000="BALI WASH GALANG"),ROWS($E$5:E789)),"")</f>
        <v/>
      </c>
      <c r="F789" s="5" t="n"/>
    </row>
    <row r="790">
      <c r="A790" s="10">
        <f>IF($E790="","",INDEX('Input Transaksi'!$A:$A,$E790))</f>
        <v/>
      </c>
      <c r="B790" s="5">
        <f>IF($E790="","",INDEX('Input Transaksi'!$D:$D,$E790))</f>
        <v/>
      </c>
      <c r="C790">
        <f>IF($E790="","",INDEX('Input Transaksi'!$E:$E,$E790))</f>
        <v/>
      </c>
      <c r="D790" s="5">
        <f>IF($E790="","",INDEX('Input Transaksi'!$F:$F,$E790))</f>
        <v/>
      </c>
      <c r="E790">
        <f>IFERROR(AGGREGATE(15,6,ROW('Input Transaksi'!$B$5:$B$5000)/('Input Transaksi'!$B$5:$B$5000="BALI WASH GALANG"),ROWS($E$5:E790)),"")</f>
        <v/>
      </c>
      <c r="F790" s="5" t="n"/>
    </row>
    <row r="791">
      <c r="A791" s="10">
        <f>IF($E791="","",INDEX('Input Transaksi'!$A:$A,$E791))</f>
        <v/>
      </c>
      <c r="B791" s="5">
        <f>IF($E791="","",INDEX('Input Transaksi'!$D:$D,$E791))</f>
        <v/>
      </c>
      <c r="C791">
        <f>IF($E791="","",INDEX('Input Transaksi'!$E:$E,$E791))</f>
        <v/>
      </c>
      <c r="D791" s="5">
        <f>IF($E791="","",INDEX('Input Transaksi'!$F:$F,$E791))</f>
        <v/>
      </c>
      <c r="E791">
        <f>IFERROR(AGGREGATE(15,6,ROW('Input Transaksi'!$B$5:$B$5000)/('Input Transaksi'!$B$5:$B$5000="BALI WASH GALANG"),ROWS($E$5:E791)),"")</f>
        <v/>
      </c>
      <c r="F791" s="5" t="n"/>
    </row>
    <row r="792">
      <c r="A792" s="10">
        <f>IF($E792="","",INDEX('Input Transaksi'!$A:$A,$E792))</f>
        <v/>
      </c>
      <c r="B792" s="5">
        <f>IF($E792="","",INDEX('Input Transaksi'!$D:$D,$E792))</f>
        <v/>
      </c>
      <c r="C792">
        <f>IF($E792="","",INDEX('Input Transaksi'!$E:$E,$E792))</f>
        <v/>
      </c>
      <c r="D792" s="5">
        <f>IF($E792="","",INDEX('Input Transaksi'!$F:$F,$E792))</f>
        <v/>
      </c>
      <c r="E792">
        <f>IFERROR(AGGREGATE(15,6,ROW('Input Transaksi'!$B$5:$B$5000)/('Input Transaksi'!$B$5:$B$5000="BALI WASH GALANG"),ROWS($E$5:E792)),"")</f>
        <v/>
      </c>
      <c r="F792" s="5" t="n"/>
    </row>
    <row r="793">
      <c r="A793" s="10">
        <f>IF($E793="","",INDEX('Input Transaksi'!$A:$A,$E793))</f>
        <v/>
      </c>
      <c r="B793" s="5">
        <f>IF($E793="","",INDEX('Input Transaksi'!$D:$D,$E793))</f>
        <v/>
      </c>
      <c r="C793">
        <f>IF($E793="","",INDEX('Input Transaksi'!$E:$E,$E793))</f>
        <v/>
      </c>
      <c r="D793" s="5">
        <f>IF($E793="","",INDEX('Input Transaksi'!$F:$F,$E793))</f>
        <v/>
      </c>
      <c r="E793">
        <f>IFERROR(AGGREGATE(15,6,ROW('Input Transaksi'!$B$5:$B$5000)/('Input Transaksi'!$B$5:$B$5000="BALI WASH GALANG"),ROWS($E$5:E793)),"")</f>
        <v/>
      </c>
      <c r="F793" s="5" t="n"/>
    </row>
    <row r="794">
      <c r="A794" s="10">
        <f>IF($E794="","",INDEX('Input Transaksi'!$A:$A,$E794))</f>
        <v/>
      </c>
      <c r="B794" s="5">
        <f>IF($E794="","",INDEX('Input Transaksi'!$D:$D,$E794))</f>
        <v/>
      </c>
      <c r="C794">
        <f>IF($E794="","",INDEX('Input Transaksi'!$E:$E,$E794))</f>
        <v/>
      </c>
      <c r="D794" s="5">
        <f>IF($E794="","",INDEX('Input Transaksi'!$F:$F,$E794))</f>
        <v/>
      </c>
      <c r="E794">
        <f>IFERROR(AGGREGATE(15,6,ROW('Input Transaksi'!$B$5:$B$5000)/('Input Transaksi'!$B$5:$B$5000="BALI WASH GALANG"),ROWS($E$5:E794)),"")</f>
        <v/>
      </c>
      <c r="F794" s="5" t="n"/>
    </row>
    <row r="795">
      <c r="A795" s="10">
        <f>IF($E795="","",INDEX('Input Transaksi'!$A:$A,$E795))</f>
        <v/>
      </c>
      <c r="B795" s="5">
        <f>IF($E795="","",INDEX('Input Transaksi'!$D:$D,$E795))</f>
        <v/>
      </c>
      <c r="C795">
        <f>IF($E795="","",INDEX('Input Transaksi'!$E:$E,$E795))</f>
        <v/>
      </c>
      <c r="D795" s="5">
        <f>IF($E795="","",INDEX('Input Transaksi'!$F:$F,$E795))</f>
        <v/>
      </c>
      <c r="E795">
        <f>IFERROR(AGGREGATE(15,6,ROW('Input Transaksi'!$B$5:$B$5000)/('Input Transaksi'!$B$5:$B$5000="BALI WASH GALANG"),ROWS($E$5:E795)),"")</f>
        <v/>
      </c>
      <c r="F795" s="5" t="n"/>
    </row>
    <row r="796">
      <c r="A796" s="10">
        <f>IF($E796="","",INDEX('Input Transaksi'!$A:$A,$E796))</f>
        <v/>
      </c>
      <c r="B796" s="5">
        <f>IF($E796="","",INDEX('Input Transaksi'!$D:$D,$E796))</f>
        <v/>
      </c>
      <c r="C796">
        <f>IF($E796="","",INDEX('Input Transaksi'!$E:$E,$E796))</f>
        <v/>
      </c>
      <c r="D796" s="5">
        <f>IF($E796="","",INDEX('Input Transaksi'!$F:$F,$E796))</f>
        <v/>
      </c>
      <c r="E796">
        <f>IFERROR(AGGREGATE(15,6,ROW('Input Transaksi'!$B$5:$B$5000)/('Input Transaksi'!$B$5:$B$5000="BALI WASH GALANG"),ROWS($E$5:E796)),"")</f>
        <v/>
      </c>
      <c r="F796" s="5" t="n"/>
    </row>
    <row r="797">
      <c r="A797" s="10">
        <f>IF($E797="","",INDEX('Input Transaksi'!$A:$A,$E797))</f>
        <v/>
      </c>
      <c r="B797" s="5">
        <f>IF($E797="","",INDEX('Input Transaksi'!$D:$D,$E797))</f>
        <v/>
      </c>
      <c r="C797">
        <f>IF($E797="","",INDEX('Input Transaksi'!$E:$E,$E797))</f>
        <v/>
      </c>
      <c r="D797" s="5">
        <f>IF($E797="","",INDEX('Input Transaksi'!$F:$F,$E797))</f>
        <v/>
      </c>
      <c r="E797">
        <f>IFERROR(AGGREGATE(15,6,ROW('Input Transaksi'!$B$5:$B$5000)/('Input Transaksi'!$B$5:$B$5000="BALI WASH GALANG"),ROWS($E$5:E797)),"")</f>
        <v/>
      </c>
      <c r="F797" s="5" t="n"/>
    </row>
    <row r="798">
      <c r="A798" s="10">
        <f>IF($E798="","",INDEX('Input Transaksi'!$A:$A,$E798))</f>
        <v/>
      </c>
      <c r="B798" s="5">
        <f>IF($E798="","",INDEX('Input Transaksi'!$D:$D,$E798))</f>
        <v/>
      </c>
      <c r="C798">
        <f>IF($E798="","",INDEX('Input Transaksi'!$E:$E,$E798))</f>
        <v/>
      </c>
      <c r="D798" s="5">
        <f>IF($E798="","",INDEX('Input Transaksi'!$F:$F,$E798))</f>
        <v/>
      </c>
      <c r="E798">
        <f>IFERROR(AGGREGATE(15,6,ROW('Input Transaksi'!$B$5:$B$5000)/('Input Transaksi'!$B$5:$B$5000="BALI WASH GALANG"),ROWS($E$5:E798)),"")</f>
        <v/>
      </c>
      <c r="F798" s="5" t="n"/>
    </row>
    <row r="799">
      <c r="A799" s="10">
        <f>IF($E799="","",INDEX('Input Transaksi'!$A:$A,$E799))</f>
        <v/>
      </c>
      <c r="B799" s="5">
        <f>IF($E799="","",INDEX('Input Transaksi'!$D:$D,$E799))</f>
        <v/>
      </c>
      <c r="C799">
        <f>IF($E799="","",INDEX('Input Transaksi'!$E:$E,$E799))</f>
        <v/>
      </c>
      <c r="D799" s="5">
        <f>IF($E799="","",INDEX('Input Transaksi'!$F:$F,$E799))</f>
        <v/>
      </c>
      <c r="E799">
        <f>IFERROR(AGGREGATE(15,6,ROW('Input Transaksi'!$B$5:$B$5000)/('Input Transaksi'!$B$5:$B$5000="BALI WASH GALANG"),ROWS($E$5:E799)),"")</f>
        <v/>
      </c>
      <c r="F799" s="5" t="n"/>
    </row>
    <row r="800">
      <c r="A800" s="10">
        <f>IF($E800="","",INDEX('Input Transaksi'!$A:$A,$E800))</f>
        <v/>
      </c>
      <c r="B800" s="5">
        <f>IF($E800="","",INDEX('Input Transaksi'!$D:$D,$E800))</f>
        <v/>
      </c>
      <c r="C800">
        <f>IF($E800="","",INDEX('Input Transaksi'!$E:$E,$E800))</f>
        <v/>
      </c>
      <c r="D800" s="5">
        <f>IF($E800="","",INDEX('Input Transaksi'!$F:$F,$E800))</f>
        <v/>
      </c>
      <c r="E800">
        <f>IFERROR(AGGREGATE(15,6,ROW('Input Transaksi'!$B$5:$B$5000)/('Input Transaksi'!$B$5:$B$5000="BALI WASH GALANG"),ROWS($E$5:E800)),"")</f>
        <v/>
      </c>
      <c r="F800" s="5" t="n"/>
    </row>
    <row r="801">
      <c r="A801" s="10">
        <f>IF($E801="","",INDEX('Input Transaksi'!$A:$A,$E801))</f>
        <v/>
      </c>
      <c r="B801" s="5">
        <f>IF($E801="","",INDEX('Input Transaksi'!$D:$D,$E801))</f>
        <v/>
      </c>
      <c r="C801">
        <f>IF($E801="","",INDEX('Input Transaksi'!$E:$E,$E801))</f>
        <v/>
      </c>
      <c r="D801" s="5">
        <f>IF($E801="","",INDEX('Input Transaksi'!$F:$F,$E801))</f>
        <v/>
      </c>
      <c r="E801">
        <f>IFERROR(AGGREGATE(15,6,ROW('Input Transaksi'!$B$5:$B$5000)/('Input Transaksi'!$B$5:$B$5000="BALI WASH GALANG"),ROWS($E$5:E801)),"")</f>
        <v/>
      </c>
      <c r="F801" s="5" t="n"/>
    </row>
    <row r="802">
      <c r="A802" s="10">
        <f>IF($E802="","",INDEX('Input Transaksi'!$A:$A,$E802))</f>
        <v/>
      </c>
      <c r="B802" s="5">
        <f>IF($E802="","",INDEX('Input Transaksi'!$D:$D,$E802))</f>
        <v/>
      </c>
      <c r="C802">
        <f>IF($E802="","",INDEX('Input Transaksi'!$E:$E,$E802))</f>
        <v/>
      </c>
      <c r="D802" s="5">
        <f>IF($E802="","",INDEX('Input Transaksi'!$F:$F,$E802))</f>
        <v/>
      </c>
      <c r="E802">
        <f>IFERROR(AGGREGATE(15,6,ROW('Input Transaksi'!$B$5:$B$5000)/('Input Transaksi'!$B$5:$B$5000="BALI WASH GALANG"),ROWS($E$5:E802)),"")</f>
        <v/>
      </c>
      <c r="F802" s="5" t="n"/>
    </row>
    <row r="803">
      <c r="A803" s="10">
        <f>IF($E803="","",INDEX('Input Transaksi'!$A:$A,$E803))</f>
        <v/>
      </c>
      <c r="B803" s="5">
        <f>IF($E803="","",INDEX('Input Transaksi'!$D:$D,$E803))</f>
        <v/>
      </c>
      <c r="C803">
        <f>IF($E803="","",INDEX('Input Transaksi'!$E:$E,$E803))</f>
        <v/>
      </c>
      <c r="D803" s="5">
        <f>IF($E803="","",INDEX('Input Transaksi'!$F:$F,$E803))</f>
        <v/>
      </c>
      <c r="E803">
        <f>IFERROR(AGGREGATE(15,6,ROW('Input Transaksi'!$B$5:$B$5000)/('Input Transaksi'!$B$5:$B$5000="BALI WASH GALANG"),ROWS($E$5:E803)),"")</f>
        <v/>
      </c>
      <c r="F803" s="5" t="n"/>
    </row>
    <row r="804">
      <c r="A804" s="10">
        <f>IF($E804="","",INDEX('Input Transaksi'!$A:$A,$E804))</f>
        <v/>
      </c>
      <c r="B804" s="5">
        <f>IF($E804="","",INDEX('Input Transaksi'!$D:$D,$E804))</f>
        <v/>
      </c>
      <c r="C804">
        <f>IF($E804="","",INDEX('Input Transaksi'!$E:$E,$E804))</f>
        <v/>
      </c>
      <c r="D804" s="5">
        <f>IF($E804="","",INDEX('Input Transaksi'!$F:$F,$E804))</f>
        <v/>
      </c>
      <c r="E804">
        <f>IFERROR(AGGREGATE(15,6,ROW('Input Transaksi'!$B$5:$B$5000)/('Input Transaksi'!$B$5:$B$5000="BALI WASH GALANG"),ROWS($E$5:E804)),"")</f>
        <v/>
      </c>
      <c r="F804" s="5" t="n"/>
    </row>
    <row r="805">
      <c r="A805" s="10">
        <f>IF($E805="","",INDEX('Input Transaksi'!$A:$A,$E805))</f>
        <v/>
      </c>
      <c r="B805" s="5">
        <f>IF($E805="","",INDEX('Input Transaksi'!$D:$D,$E805))</f>
        <v/>
      </c>
      <c r="C805">
        <f>IF($E805="","",INDEX('Input Transaksi'!$E:$E,$E805))</f>
        <v/>
      </c>
      <c r="D805" s="5">
        <f>IF($E805="","",INDEX('Input Transaksi'!$F:$F,$E805))</f>
        <v/>
      </c>
      <c r="E805">
        <f>IFERROR(AGGREGATE(15,6,ROW('Input Transaksi'!$B$5:$B$5000)/('Input Transaksi'!$B$5:$B$5000="BALI WASH GALANG"),ROWS($E$5:E805)),"")</f>
        <v/>
      </c>
      <c r="F805" s="5" t="n"/>
    </row>
    <row r="806">
      <c r="A806" s="10">
        <f>IF($E806="","",INDEX('Input Transaksi'!$A:$A,$E806))</f>
        <v/>
      </c>
      <c r="B806" s="5">
        <f>IF($E806="","",INDEX('Input Transaksi'!$D:$D,$E806))</f>
        <v/>
      </c>
      <c r="C806">
        <f>IF($E806="","",INDEX('Input Transaksi'!$E:$E,$E806))</f>
        <v/>
      </c>
      <c r="D806" s="5">
        <f>IF($E806="","",INDEX('Input Transaksi'!$F:$F,$E806))</f>
        <v/>
      </c>
      <c r="E806">
        <f>IFERROR(AGGREGATE(15,6,ROW('Input Transaksi'!$B$5:$B$5000)/('Input Transaksi'!$B$5:$B$5000="BALI WASH GALANG"),ROWS($E$5:E806)),"")</f>
        <v/>
      </c>
      <c r="F806" s="5" t="n"/>
    </row>
    <row r="807">
      <c r="A807" s="10">
        <f>IF($E807="","",INDEX('Input Transaksi'!$A:$A,$E807))</f>
        <v/>
      </c>
      <c r="B807" s="5">
        <f>IF($E807="","",INDEX('Input Transaksi'!$D:$D,$E807))</f>
        <v/>
      </c>
      <c r="C807">
        <f>IF($E807="","",INDEX('Input Transaksi'!$E:$E,$E807))</f>
        <v/>
      </c>
      <c r="D807" s="5">
        <f>IF($E807="","",INDEX('Input Transaksi'!$F:$F,$E807))</f>
        <v/>
      </c>
      <c r="E807">
        <f>IFERROR(AGGREGATE(15,6,ROW('Input Transaksi'!$B$5:$B$5000)/('Input Transaksi'!$B$5:$B$5000="BALI WASH GALANG"),ROWS($E$5:E807)),"")</f>
        <v/>
      </c>
      <c r="F807" s="5" t="n"/>
    </row>
    <row r="808">
      <c r="A808" s="10">
        <f>IF($E808="","",INDEX('Input Transaksi'!$A:$A,$E808))</f>
        <v/>
      </c>
      <c r="B808" s="5">
        <f>IF($E808="","",INDEX('Input Transaksi'!$D:$D,$E808))</f>
        <v/>
      </c>
      <c r="C808">
        <f>IF($E808="","",INDEX('Input Transaksi'!$E:$E,$E808))</f>
        <v/>
      </c>
      <c r="D808" s="5">
        <f>IF($E808="","",INDEX('Input Transaksi'!$F:$F,$E808))</f>
        <v/>
      </c>
      <c r="E808">
        <f>IFERROR(AGGREGATE(15,6,ROW('Input Transaksi'!$B$5:$B$5000)/('Input Transaksi'!$B$5:$B$5000="BALI WASH GALANG"),ROWS($E$5:E808)),"")</f>
        <v/>
      </c>
      <c r="F808" s="5" t="n"/>
    </row>
    <row r="809">
      <c r="A809" s="10">
        <f>IF($E809="","",INDEX('Input Transaksi'!$A:$A,$E809))</f>
        <v/>
      </c>
      <c r="B809" s="5">
        <f>IF($E809="","",INDEX('Input Transaksi'!$D:$D,$E809))</f>
        <v/>
      </c>
      <c r="C809">
        <f>IF($E809="","",INDEX('Input Transaksi'!$E:$E,$E809))</f>
        <v/>
      </c>
      <c r="D809" s="5">
        <f>IF($E809="","",INDEX('Input Transaksi'!$F:$F,$E809))</f>
        <v/>
      </c>
      <c r="E809">
        <f>IFERROR(AGGREGATE(15,6,ROW('Input Transaksi'!$B$5:$B$5000)/('Input Transaksi'!$B$5:$B$5000="BALI WASH GALANG"),ROWS($E$5:E809)),"")</f>
        <v/>
      </c>
      <c r="F809" s="5" t="n"/>
    </row>
    <row r="810">
      <c r="A810" s="10">
        <f>IF($E810="","",INDEX('Input Transaksi'!$A:$A,$E810))</f>
        <v/>
      </c>
      <c r="B810" s="5">
        <f>IF($E810="","",INDEX('Input Transaksi'!$D:$D,$E810))</f>
        <v/>
      </c>
      <c r="C810">
        <f>IF($E810="","",INDEX('Input Transaksi'!$E:$E,$E810))</f>
        <v/>
      </c>
      <c r="D810" s="5">
        <f>IF($E810="","",INDEX('Input Transaksi'!$F:$F,$E810))</f>
        <v/>
      </c>
      <c r="E810">
        <f>IFERROR(AGGREGATE(15,6,ROW('Input Transaksi'!$B$5:$B$5000)/('Input Transaksi'!$B$5:$B$5000="BALI WASH GALANG"),ROWS($E$5:E810)),"")</f>
        <v/>
      </c>
      <c r="F810" s="5" t="n"/>
    </row>
    <row r="811">
      <c r="A811" s="10">
        <f>IF($E811="","",INDEX('Input Transaksi'!$A:$A,$E811))</f>
        <v/>
      </c>
      <c r="B811" s="5">
        <f>IF($E811="","",INDEX('Input Transaksi'!$D:$D,$E811))</f>
        <v/>
      </c>
      <c r="C811">
        <f>IF($E811="","",INDEX('Input Transaksi'!$E:$E,$E811))</f>
        <v/>
      </c>
      <c r="D811" s="5">
        <f>IF($E811="","",INDEX('Input Transaksi'!$F:$F,$E811))</f>
        <v/>
      </c>
      <c r="E811">
        <f>IFERROR(AGGREGATE(15,6,ROW('Input Transaksi'!$B$5:$B$5000)/('Input Transaksi'!$B$5:$B$5000="BALI WASH GALANG"),ROWS($E$5:E811)),"")</f>
        <v/>
      </c>
      <c r="F811" s="5" t="n"/>
    </row>
    <row r="812">
      <c r="A812" s="10">
        <f>IF($E812="","",INDEX('Input Transaksi'!$A:$A,$E812))</f>
        <v/>
      </c>
      <c r="B812" s="5">
        <f>IF($E812="","",INDEX('Input Transaksi'!$D:$D,$E812))</f>
        <v/>
      </c>
      <c r="C812">
        <f>IF($E812="","",INDEX('Input Transaksi'!$E:$E,$E812))</f>
        <v/>
      </c>
      <c r="D812" s="5">
        <f>IF($E812="","",INDEX('Input Transaksi'!$F:$F,$E812))</f>
        <v/>
      </c>
      <c r="E812">
        <f>IFERROR(AGGREGATE(15,6,ROW('Input Transaksi'!$B$5:$B$5000)/('Input Transaksi'!$B$5:$B$5000="BALI WASH GALANG"),ROWS($E$5:E812)),"")</f>
        <v/>
      </c>
      <c r="F812" s="5" t="n"/>
    </row>
    <row r="813">
      <c r="A813" s="10">
        <f>IF($E813="","",INDEX('Input Transaksi'!$A:$A,$E813))</f>
        <v/>
      </c>
      <c r="B813" s="5">
        <f>IF($E813="","",INDEX('Input Transaksi'!$D:$D,$E813))</f>
        <v/>
      </c>
      <c r="C813">
        <f>IF($E813="","",INDEX('Input Transaksi'!$E:$E,$E813))</f>
        <v/>
      </c>
      <c r="D813" s="5">
        <f>IF($E813="","",INDEX('Input Transaksi'!$F:$F,$E813))</f>
        <v/>
      </c>
      <c r="E813">
        <f>IFERROR(AGGREGATE(15,6,ROW('Input Transaksi'!$B$5:$B$5000)/('Input Transaksi'!$B$5:$B$5000="BALI WASH GALANG"),ROWS($E$5:E813)),"")</f>
        <v/>
      </c>
      <c r="F813" s="5" t="n"/>
    </row>
    <row r="814">
      <c r="A814" s="10">
        <f>IF($E814="","",INDEX('Input Transaksi'!$A:$A,$E814))</f>
        <v/>
      </c>
      <c r="B814" s="5">
        <f>IF($E814="","",INDEX('Input Transaksi'!$D:$D,$E814))</f>
        <v/>
      </c>
      <c r="C814">
        <f>IF($E814="","",INDEX('Input Transaksi'!$E:$E,$E814))</f>
        <v/>
      </c>
      <c r="D814" s="5">
        <f>IF($E814="","",INDEX('Input Transaksi'!$F:$F,$E814))</f>
        <v/>
      </c>
      <c r="E814">
        <f>IFERROR(AGGREGATE(15,6,ROW('Input Transaksi'!$B$5:$B$5000)/('Input Transaksi'!$B$5:$B$5000="BALI WASH GALANG"),ROWS($E$5:E814)),"")</f>
        <v/>
      </c>
      <c r="F814" s="5" t="n"/>
    </row>
    <row r="815">
      <c r="A815" s="10">
        <f>IF($E815="","",INDEX('Input Transaksi'!$A:$A,$E815))</f>
        <v/>
      </c>
      <c r="B815" s="5">
        <f>IF($E815="","",INDEX('Input Transaksi'!$D:$D,$E815))</f>
        <v/>
      </c>
      <c r="C815">
        <f>IF($E815="","",INDEX('Input Transaksi'!$E:$E,$E815))</f>
        <v/>
      </c>
      <c r="D815" s="5">
        <f>IF($E815="","",INDEX('Input Transaksi'!$F:$F,$E815))</f>
        <v/>
      </c>
      <c r="E815">
        <f>IFERROR(AGGREGATE(15,6,ROW('Input Transaksi'!$B$5:$B$5000)/('Input Transaksi'!$B$5:$B$5000="BALI WASH GALANG"),ROWS($E$5:E815)),"")</f>
        <v/>
      </c>
      <c r="F815" s="5" t="n"/>
    </row>
    <row r="816">
      <c r="A816" s="10">
        <f>IF($E816="","",INDEX('Input Transaksi'!$A:$A,$E816))</f>
        <v/>
      </c>
      <c r="B816" s="5">
        <f>IF($E816="","",INDEX('Input Transaksi'!$D:$D,$E816))</f>
        <v/>
      </c>
      <c r="C816">
        <f>IF($E816="","",INDEX('Input Transaksi'!$E:$E,$E816))</f>
        <v/>
      </c>
      <c r="D816" s="5">
        <f>IF($E816="","",INDEX('Input Transaksi'!$F:$F,$E816))</f>
        <v/>
      </c>
      <c r="E816">
        <f>IFERROR(AGGREGATE(15,6,ROW('Input Transaksi'!$B$5:$B$5000)/('Input Transaksi'!$B$5:$B$5000="BALI WASH GALANG"),ROWS($E$5:E816)),"")</f>
        <v/>
      </c>
      <c r="F816" s="5" t="n"/>
    </row>
    <row r="817">
      <c r="A817" s="10">
        <f>IF($E817="","",INDEX('Input Transaksi'!$A:$A,$E817))</f>
        <v/>
      </c>
      <c r="B817" s="5">
        <f>IF($E817="","",INDEX('Input Transaksi'!$D:$D,$E817))</f>
        <v/>
      </c>
      <c r="C817">
        <f>IF($E817="","",INDEX('Input Transaksi'!$E:$E,$E817))</f>
        <v/>
      </c>
      <c r="D817" s="5">
        <f>IF($E817="","",INDEX('Input Transaksi'!$F:$F,$E817))</f>
        <v/>
      </c>
      <c r="E817">
        <f>IFERROR(AGGREGATE(15,6,ROW('Input Transaksi'!$B$5:$B$5000)/('Input Transaksi'!$B$5:$B$5000="BALI WASH GALANG"),ROWS($E$5:E817)),"")</f>
        <v/>
      </c>
      <c r="F817" s="5" t="n"/>
    </row>
    <row r="818">
      <c r="A818" s="10">
        <f>IF($E818="","",INDEX('Input Transaksi'!$A:$A,$E818))</f>
        <v/>
      </c>
      <c r="B818" s="5">
        <f>IF($E818="","",INDEX('Input Transaksi'!$D:$D,$E818))</f>
        <v/>
      </c>
      <c r="C818">
        <f>IF($E818="","",INDEX('Input Transaksi'!$E:$E,$E818))</f>
        <v/>
      </c>
      <c r="D818" s="5">
        <f>IF($E818="","",INDEX('Input Transaksi'!$F:$F,$E818))</f>
        <v/>
      </c>
      <c r="E818">
        <f>IFERROR(AGGREGATE(15,6,ROW('Input Transaksi'!$B$5:$B$5000)/('Input Transaksi'!$B$5:$B$5000="BALI WASH GALANG"),ROWS($E$5:E818)),"")</f>
        <v/>
      </c>
      <c r="F818" s="5" t="n"/>
    </row>
    <row r="819">
      <c r="A819" s="10">
        <f>IF($E819="","",INDEX('Input Transaksi'!$A:$A,$E819))</f>
        <v/>
      </c>
      <c r="B819" s="5">
        <f>IF($E819="","",INDEX('Input Transaksi'!$D:$D,$E819))</f>
        <v/>
      </c>
      <c r="C819">
        <f>IF($E819="","",INDEX('Input Transaksi'!$E:$E,$E819))</f>
        <v/>
      </c>
      <c r="D819" s="5">
        <f>IF($E819="","",INDEX('Input Transaksi'!$F:$F,$E819))</f>
        <v/>
      </c>
      <c r="E819">
        <f>IFERROR(AGGREGATE(15,6,ROW('Input Transaksi'!$B$5:$B$5000)/('Input Transaksi'!$B$5:$B$5000="BALI WASH GALANG"),ROWS($E$5:E819)),"")</f>
        <v/>
      </c>
      <c r="F819" s="5" t="n"/>
    </row>
    <row r="820">
      <c r="A820" s="10">
        <f>IF($E820="","",INDEX('Input Transaksi'!$A:$A,$E820))</f>
        <v/>
      </c>
      <c r="B820" s="5">
        <f>IF($E820="","",INDEX('Input Transaksi'!$D:$D,$E820))</f>
        <v/>
      </c>
      <c r="C820">
        <f>IF($E820="","",INDEX('Input Transaksi'!$E:$E,$E820))</f>
        <v/>
      </c>
      <c r="D820" s="5">
        <f>IF($E820="","",INDEX('Input Transaksi'!$F:$F,$E820))</f>
        <v/>
      </c>
      <c r="E820">
        <f>IFERROR(AGGREGATE(15,6,ROW('Input Transaksi'!$B$5:$B$5000)/('Input Transaksi'!$B$5:$B$5000="BALI WASH GALANG"),ROWS($E$5:E820)),"")</f>
        <v/>
      </c>
      <c r="F820" s="5" t="n"/>
    </row>
    <row r="821">
      <c r="A821" s="10">
        <f>IF($E821="","",INDEX('Input Transaksi'!$A:$A,$E821))</f>
        <v/>
      </c>
      <c r="B821" s="5">
        <f>IF($E821="","",INDEX('Input Transaksi'!$D:$D,$E821))</f>
        <v/>
      </c>
      <c r="C821">
        <f>IF($E821="","",INDEX('Input Transaksi'!$E:$E,$E821))</f>
        <v/>
      </c>
      <c r="D821" s="5">
        <f>IF($E821="","",INDEX('Input Transaksi'!$F:$F,$E821))</f>
        <v/>
      </c>
      <c r="E821">
        <f>IFERROR(AGGREGATE(15,6,ROW('Input Transaksi'!$B$5:$B$5000)/('Input Transaksi'!$B$5:$B$5000="BALI WASH GALANG"),ROWS($E$5:E821)),"")</f>
        <v/>
      </c>
      <c r="F821" s="5" t="n"/>
    </row>
    <row r="822">
      <c r="A822" s="10">
        <f>IF($E822="","",INDEX('Input Transaksi'!$A:$A,$E822))</f>
        <v/>
      </c>
      <c r="B822" s="5">
        <f>IF($E822="","",INDEX('Input Transaksi'!$D:$D,$E822))</f>
        <v/>
      </c>
      <c r="C822">
        <f>IF($E822="","",INDEX('Input Transaksi'!$E:$E,$E822))</f>
        <v/>
      </c>
      <c r="D822" s="5">
        <f>IF($E822="","",INDEX('Input Transaksi'!$F:$F,$E822))</f>
        <v/>
      </c>
      <c r="E822">
        <f>IFERROR(AGGREGATE(15,6,ROW('Input Transaksi'!$B$5:$B$5000)/('Input Transaksi'!$B$5:$B$5000="BALI WASH GALANG"),ROWS($E$5:E822)),"")</f>
        <v/>
      </c>
      <c r="F822" s="5" t="n"/>
    </row>
    <row r="823">
      <c r="A823" s="10">
        <f>IF($E823="","",INDEX('Input Transaksi'!$A:$A,$E823))</f>
        <v/>
      </c>
      <c r="B823" s="5">
        <f>IF($E823="","",INDEX('Input Transaksi'!$D:$D,$E823))</f>
        <v/>
      </c>
      <c r="C823">
        <f>IF($E823="","",INDEX('Input Transaksi'!$E:$E,$E823))</f>
        <v/>
      </c>
      <c r="D823" s="5">
        <f>IF($E823="","",INDEX('Input Transaksi'!$F:$F,$E823))</f>
        <v/>
      </c>
      <c r="E823">
        <f>IFERROR(AGGREGATE(15,6,ROW('Input Transaksi'!$B$5:$B$5000)/('Input Transaksi'!$B$5:$B$5000="BALI WASH GALANG"),ROWS($E$5:E823)),"")</f>
        <v/>
      </c>
      <c r="F823" s="5" t="n"/>
    </row>
    <row r="824">
      <c r="A824" s="10">
        <f>IF($E824="","",INDEX('Input Transaksi'!$A:$A,$E824))</f>
        <v/>
      </c>
      <c r="B824" s="5">
        <f>IF($E824="","",INDEX('Input Transaksi'!$D:$D,$E824))</f>
        <v/>
      </c>
      <c r="C824">
        <f>IF($E824="","",INDEX('Input Transaksi'!$E:$E,$E824))</f>
        <v/>
      </c>
      <c r="D824" s="5">
        <f>IF($E824="","",INDEX('Input Transaksi'!$F:$F,$E824))</f>
        <v/>
      </c>
      <c r="E824">
        <f>IFERROR(AGGREGATE(15,6,ROW('Input Transaksi'!$B$5:$B$5000)/('Input Transaksi'!$B$5:$B$5000="BALI WASH GALANG"),ROWS($E$5:E824)),"")</f>
        <v/>
      </c>
      <c r="F824" s="5" t="n"/>
    </row>
    <row r="825">
      <c r="A825" s="10">
        <f>IF($E825="","",INDEX('Input Transaksi'!$A:$A,$E825))</f>
        <v/>
      </c>
      <c r="B825" s="5">
        <f>IF($E825="","",INDEX('Input Transaksi'!$D:$D,$E825))</f>
        <v/>
      </c>
      <c r="C825">
        <f>IF($E825="","",INDEX('Input Transaksi'!$E:$E,$E825))</f>
        <v/>
      </c>
      <c r="D825" s="5">
        <f>IF($E825="","",INDEX('Input Transaksi'!$F:$F,$E825))</f>
        <v/>
      </c>
      <c r="E825">
        <f>IFERROR(AGGREGATE(15,6,ROW('Input Transaksi'!$B$5:$B$5000)/('Input Transaksi'!$B$5:$B$5000="BALI WASH GALANG"),ROWS($E$5:E825)),"")</f>
        <v/>
      </c>
      <c r="F825" s="5" t="n"/>
    </row>
    <row r="826">
      <c r="A826" s="10">
        <f>IF($E826="","",INDEX('Input Transaksi'!$A:$A,$E826))</f>
        <v/>
      </c>
      <c r="B826" s="5">
        <f>IF($E826="","",INDEX('Input Transaksi'!$D:$D,$E826))</f>
        <v/>
      </c>
      <c r="C826">
        <f>IF($E826="","",INDEX('Input Transaksi'!$E:$E,$E826))</f>
        <v/>
      </c>
      <c r="D826" s="5">
        <f>IF($E826="","",INDEX('Input Transaksi'!$F:$F,$E826))</f>
        <v/>
      </c>
      <c r="E826">
        <f>IFERROR(AGGREGATE(15,6,ROW('Input Transaksi'!$B$5:$B$5000)/('Input Transaksi'!$B$5:$B$5000="BALI WASH GALANG"),ROWS($E$5:E826)),"")</f>
        <v/>
      </c>
      <c r="F826" s="5" t="n"/>
    </row>
    <row r="827">
      <c r="A827" s="10">
        <f>IF($E827="","",INDEX('Input Transaksi'!$A:$A,$E827))</f>
        <v/>
      </c>
      <c r="B827" s="5">
        <f>IF($E827="","",INDEX('Input Transaksi'!$D:$D,$E827))</f>
        <v/>
      </c>
      <c r="C827">
        <f>IF($E827="","",INDEX('Input Transaksi'!$E:$E,$E827))</f>
        <v/>
      </c>
      <c r="D827" s="5">
        <f>IF($E827="","",INDEX('Input Transaksi'!$F:$F,$E827))</f>
        <v/>
      </c>
      <c r="E827">
        <f>IFERROR(AGGREGATE(15,6,ROW('Input Transaksi'!$B$5:$B$5000)/('Input Transaksi'!$B$5:$B$5000="BALI WASH GALANG"),ROWS($E$5:E827)),"")</f>
        <v/>
      </c>
      <c r="F827" s="5" t="n"/>
    </row>
    <row r="828">
      <c r="A828" s="10">
        <f>IF($E828="","",INDEX('Input Transaksi'!$A:$A,$E828))</f>
        <v/>
      </c>
      <c r="B828" s="5">
        <f>IF($E828="","",INDEX('Input Transaksi'!$D:$D,$E828))</f>
        <v/>
      </c>
      <c r="C828">
        <f>IF($E828="","",INDEX('Input Transaksi'!$E:$E,$E828))</f>
        <v/>
      </c>
      <c r="D828" s="5">
        <f>IF($E828="","",INDEX('Input Transaksi'!$F:$F,$E828))</f>
        <v/>
      </c>
      <c r="E828">
        <f>IFERROR(AGGREGATE(15,6,ROW('Input Transaksi'!$B$5:$B$5000)/('Input Transaksi'!$B$5:$B$5000="BALI WASH GALANG"),ROWS($E$5:E828)),"")</f>
        <v/>
      </c>
      <c r="F828" s="5" t="n"/>
    </row>
    <row r="829">
      <c r="A829" s="10">
        <f>IF($E829="","",INDEX('Input Transaksi'!$A:$A,$E829))</f>
        <v/>
      </c>
      <c r="B829" s="5">
        <f>IF($E829="","",INDEX('Input Transaksi'!$D:$D,$E829))</f>
        <v/>
      </c>
      <c r="C829">
        <f>IF($E829="","",INDEX('Input Transaksi'!$E:$E,$E829))</f>
        <v/>
      </c>
      <c r="D829" s="5">
        <f>IF($E829="","",INDEX('Input Transaksi'!$F:$F,$E829))</f>
        <v/>
      </c>
      <c r="E829">
        <f>IFERROR(AGGREGATE(15,6,ROW('Input Transaksi'!$B$5:$B$5000)/('Input Transaksi'!$B$5:$B$5000="BALI WASH GALANG"),ROWS($E$5:E829)),"")</f>
        <v/>
      </c>
      <c r="F829" s="5" t="n"/>
    </row>
    <row r="830">
      <c r="A830" s="10">
        <f>IF($E830="","",INDEX('Input Transaksi'!$A:$A,$E830))</f>
        <v/>
      </c>
      <c r="B830" s="5">
        <f>IF($E830="","",INDEX('Input Transaksi'!$D:$D,$E830))</f>
        <v/>
      </c>
      <c r="C830">
        <f>IF($E830="","",INDEX('Input Transaksi'!$E:$E,$E830))</f>
        <v/>
      </c>
      <c r="D830" s="5">
        <f>IF($E830="","",INDEX('Input Transaksi'!$F:$F,$E830))</f>
        <v/>
      </c>
      <c r="E830">
        <f>IFERROR(AGGREGATE(15,6,ROW('Input Transaksi'!$B$5:$B$5000)/('Input Transaksi'!$B$5:$B$5000="BALI WASH GALANG"),ROWS($E$5:E830)),"")</f>
        <v/>
      </c>
      <c r="F830" s="5" t="n"/>
    </row>
    <row r="831">
      <c r="A831" s="10">
        <f>IF($E831="","",INDEX('Input Transaksi'!$A:$A,$E831))</f>
        <v/>
      </c>
      <c r="B831" s="5">
        <f>IF($E831="","",INDEX('Input Transaksi'!$D:$D,$E831))</f>
        <v/>
      </c>
      <c r="C831">
        <f>IF($E831="","",INDEX('Input Transaksi'!$E:$E,$E831))</f>
        <v/>
      </c>
      <c r="D831" s="5">
        <f>IF($E831="","",INDEX('Input Transaksi'!$F:$F,$E831))</f>
        <v/>
      </c>
      <c r="E831">
        <f>IFERROR(AGGREGATE(15,6,ROW('Input Transaksi'!$B$5:$B$5000)/('Input Transaksi'!$B$5:$B$5000="BALI WASH GALANG"),ROWS($E$5:E831)),"")</f>
        <v/>
      </c>
      <c r="F831" s="5" t="n"/>
    </row>
    <row r="832">
      <c r="A832" s="10">
        <f>IF($E832="","",INDEX('Input Transaksi'!$A:$A,$E832))</f>
        <v/>
      </c>
      <c r="B832" s="5">
        <f>IF($E832="","",INDEX('Input Transaksi'!$D:$D,$E832))</f>
        <v/>
      </c>
      <c r="C832">
        <f>IF($E832="","",INDEX('Input Transaksi'!$E:$E,$E832))</f>
        <v/>
      </c>
      <c r="D832" s="5">
        <f>IF($E832="","",INDEX('Input Transaksi'!$F:$F,$E832))</f>
        <v/>
      </c>
      <c r="E832">
        <f>IFERROR(AGGREGATE(15,6,ROW('Input Transaksi'!$B$5:$B$5000)/('Input Transaksi'!$B$5:$B$5000="BALI WASH GALANG"),ROWS($E$5:E832)),"")</f>
        <v/>
      </c>
      <c r="F832" s="5" t="n"/>
    </row>
    <row r="833">
      <c r="A833" s="10">
        <f>IF($E833="","",INDEX('Input Transaksi'!$A:$A,$E833))</f>
        <v/>
      </c>
      <c r="B833" s="5">
        <f>IF($E833="","",INDEX('Input Transaksi'!$D:$D,$E833))</f>
        <v/>
      </c>
      <c r="C833">
        <f>IF($E833="","",INDEX('Input Transaksi'!$E:$E,$E833))</f>
        <v/>
      </c>
      <c r="D833" s="5">
        <f>IF($E833="","",INDEX('Input Transaksi'!$F:$F,$E833))</f>
        <v/>
      </c>
      <c r="E833">
        <f>IFERROR(AGGREGATE(15,6,ROW('Input Transaksi'!$B$5:$B$5000)/('Input Transaksi'!$B$5:$B$5000="BALI WASH GALANG"),ROWS($E$5:E833)),"")</f>
        <v/>
      </c>
      <c r="F833" s="5" t="n"/>
    </row>
    <row r="834">
      <c r="A834" s="10">
        <f>IF($E834="","",INDEX('Input Transaksi'!$A:$A,$E834))</f>
        <v/>
      </c>
      <c r="B834" s="5">
        <f>IF($E834="","",INDEX('Input Transaksi'!$D:$D,$E834))</f>
        <v/>
      </c>
      <c r="C834">
        <f>IF($E834="","",INDEX('Input Transaksi'!$E:$E,$E834))</f>
        <v/>
      </c>
      <c r="D834" s="5">
        <f>IF($E834="","",INDEX('Input Transaksi'!$F:$F,$E834))</f>
        <v/>
      </c>
      <c r="E834">
        <f>IFERROR(AGGREGATE(15,6,ROW('Input Transaksi'!$B$5:$B$5000)/('Input Transaksi'!$B$5:$B$5000="BALI WASH GALANG"),ROWS($E$5:E834)),"")</f>
        <v/>
      </c>
      <c r="F834" s="5" t="n"/>
    </row>
    <row r="835">
      <c r="A835" s="10">
        <f>IF($E835="","",INDEX('Input Transaksi'!$A:$A,$E835))</f>
        <v/>
      </c>
      <c r="B835" s="5">
        <f>IF($E835="","",INDEX('Input Transaksi'!$D:$D,$E835))</f>
        <v/>
      </c>
      <c r="C835">
        <f>IF($E835="","",INDEX('Input Transaksi'!$E:$E,$E835))</f>
        <v/>
      </c>
      <c r="D835" s="5">
        <f>IF($E835="","",INDEX('Input Transaksi'!$F:$F,$E835))</f>
        <v/>
      </c>
      <c r="E835">
        <f>IFERROR(AGGREGATE(15,6,ROW('Input Transaksi'!$B$5:$B$5000)/('Input Transaksi'!$B$5:$B$5000="BALI WASH GALANG"),ROWS($E$5:E835)),"")</f>
        <v/>
      </c>
      <c r="F835" s="5" t="n"/>
    </row>
    <row r="836">
      <c r="A836" s="10">
        <f>IF($E836="","",INDEX('Input Transaksi'!$A:$A,$E836))</f>
        <v/>
      </c>
      <c r="B836" s="5">
        <f>IF($E836="","",INDEX('Input Transaksi'!$D:$D,$E836))</f>
        <v/>
      </c>
      <c r="C836">
        <f>IF($E836="","",INDEX('Input Transaksi'!$E:$E,$E836))</f>
        <v/>
      </c>
      <c r="D836" s="5">
        <f>IF($E836="","",INDEX('Input Transaksi'!$F:$F,$E836))</f>
        <v/>
      </c>
      <c r="E836">
        <f>IFERROR(AGGREGATE(15,6,ROW('Input Transaksi'!$B$5:$B$5000)/('Input Transaksi'!$B$5:$B$5000="BALI WASH GALANG"),ROWS($E$5:E836)),"")</f>
        <v/>
      </c>
      <c r="F836" s="5" t="n"/>
    </row>
    <row r="837">
      <c r="A837" s="10">
        <f>IF($E837="","",INDEX('Input Transaksi'!$A:$A,$E837))</f>
        <v/>
      </c>
      <c r="B837" s="5">
        <f>IF($E837="","",INDEX('Input Transaksi'!$D:$D,$E837))</f>
        <v/>
      </c>
      <c r="C837">
        <f>IF($E837="","",INDEX('Input Transaksi'!$E:$E,$E837))</f>
        <v/>
      </c>
      <c r="D837" s="5">
        <f>IF($E837="","",INDEX('Input Transaksi'!$F:$F,$E837))</f>
        <v/>
      </c>
      <c r="E837">
        <f>IFERROR(AGGREGATE(15,6,ROW('Input Transaksi'!$B$5:$B$5000)/('Input Transaksi'!$B$5:$B$5000="BALI WASH GALANG"),ROWS($E$5:E837)),"")</f>
        <v/>
      </c>
      <c r="F837" s="5" t="n"/>
    </row>
    <row r="838">
      <c r="A838" s="10">
        <f>IF($E838="","",INDEX('Input Transaksi'!$A:$A,$E838))</f>
        <v/>
      </c>
      <c r="B838" s="5">
        <f>IF($E838="","",INDEX('Input Transaksi'!$D:$D,$E838))</f>
        <v/>
      </c>
      <c r="C838">
        <f>IF($E838="","",INDEX('Input Transaksi'!$E:$E,$E838))</f>
        <v/>
      </c>
      <c r="D838" s="5">
        <f>IF($E838="","",INDEX('Input Transaksi'!$F:$F,$E838))</f>
        <v/>
      </c>
      <c r="E838">
        <f>IFERROR(AGGREGATE(15,6,ROW('Input Transaksi'!$B$5:$B$5000)/('Input Transaksi'!$B$5:$B$5000="BALI WASH GALANG"),ROWS($E$5:E838)),"")</f>
        <v/>
      </c>
      <c r="F838" s="5" t="n"/>
    </row>
    <row r="839">
      <c r="A839" s="10">
        <f>IF($E839="","",INDEX('Input Transaksi'!$A:$A,$E839))</f>
        <v/>
      </c>
      <c r="B839" s="5">
        <f>IF($E839="","",INDEX('Input Transaksi'!$D:$D,$E839))</f>
        <v/>
      </c>
      <c r="C839">
        <f>IF($E839="","",INDEX('Input Transaksi'!$E:$E,$E839))</f>
        <v/>
      </c>
      <c r="D839" s="5">
        <f>IF($E839="","",INDEX('Input Transaksi'!$F:$F,$E839))</f>
        <v/>
      </c>
      <c r="E839">
        <f>IFERROR(AGGREGATE(15,6,ROW('Input Transaksi'!$B$5:$B$5000)/('Input Transaksi'!$B$5:$B$5000="BALI WASH GALANG"),ROWS($E$5:E839)),"")</f>
        <v/>
      </c>
      <c r="F839" s="5" t="n"/>
    </row>
    <row r="840">
      <c r="A840" s="10">
        <f>IF($E840="","",INDEX('Input Transaksi'!$A:$A,$E840))</f>
        <v/>
      </c>
      <c r="B840" s="5">
        <f>IF($E840="","",INDEX('Input Transaksi'!$D:$D,$E840))</f>
        <v/>
      </c>
      <c r="C840">
        <f>IF($E840="","",INDEX('Input Transaksi'!$E:$E,$E840))</f>
        <v/>
      </c>
      <c r="D840" s="5">
        <f>IF($E840="","",INDEX('Input Transaksi'!$F:$F,$E840))</f>
        <v/>
      </c>
      <c r="E840">
        <f>IFERROR(AGGREGATE(15,6,ROW('Input Transaksi'!$B$5:$B$5000)/('Input Transaksi'!$B$5:$B$5000="BALI WASH GALANG"),ROWS($E$5:E840)),"")</f>
        <v/>
      </c>
      <c r="F840" s="5" t="n"/>
    </row>
    <row r="841">
      <c r="A841" s="10">
        <f>IF($E841="","",INDEX('Input Transaksi'!$A:$A,$E841))</f>
        <v/>
      </c>
      <c r="B841" s="5">
        <f>IF($E841="","",INDEX('Input Transaksi'!$D:$D,$E841))</f>
        <v/>
      </c>
      <c r="C841">
        <f>IF($E841="","",INDEX('Input Transaksi'!$E:$E,$E841))</f>
        <v/>
      </c>
      <c r="D841" s="5">
        <f>IF($E841="","",INDEX('Input Transaksi'!$F:$F,$E841))</f>
        <v/>
      </c>
      <c r="E841">
        <f>IFERROR(AGGREGATE(15,6,ROW('Input Transaksi'!$B$5:$B$5000)/('Input Transaksi'!$B$5:$B$5000="BALI WASH GALANG"),ROWS($E$5:E841)),"")</f>
        <v/>
      </c>
      <c r="F841" s="5" t="n"/>
    </row>
    <row r="842">
      <c r="A842" s="10">
        <f>IF($E842="","",INDEX('Input Transaksi'!$A:$A,$E842))</f>
        <v/>
      </c>
      <c r="B842" s="5">
        <f>IF($E842="","",INDEX('Input Transaksi'!$D:$D,$E842))</f>
        <v/>
      </c>
      <c r="C842">
        <f>IF($E842="","",INDEX('Input Transaksi'!$E:$E,$E842))</f>
        <v/>
      </c>
      <c r="D842" s="5">
        <f>IF($E842="","",INDEX('Input Transaksi'!$F:$F,$E842))</f>
        <v/>
      </c>
      <c r="E842">
        <f>IFERROR(AGGREGATE(15,6,ROW('Input Transaksi'!$B$5:$B$5000)/('Input Transaksi'!$B$5:$B$5000="BALI WASH GALANG"),ROWS($E$5:E842)),"")</f>
        <v/>
      </c>
      <c r="F842" s="5" t="n"/>
    </row>
    <row r="843">
      <c r="A843" s="10">
        <f>IF($E843="","",INDEX('Input Transaksi'!$A:$A,$E843))</f>
        <v/>
      </c>
      <c r="B843" s="5">
        <f>IF($E843="","",INDEX('Input Transaksi'!$D:$D,$E843))</f>
        <v/>
      </c>
      <c r="C843">
        <f>IF($E843="","",INDEX('Input Transaksi'!$E:$E,$E843))</f>
        <v/>
      </c>
      <c r="D843" s="5">
        <f>IF($E843="","",INDEX('Input Transaksi'!$F:$F,$E843))</f>
        <v/>
      </c>
      <c r="E843">
        <f>IFERROR(AGGREGATE(15,6,ROW('Input Transaksi'!$B$5:$B$5000)/('Input Transaksi'!$B$5:$B$5000="BALI WASH GALANG"),ROWS($E$5:E843)),"")</f>
        <v/>
      </c>
      <c r="F843" s="5" t="n"/>
    </row>
    <row r="844">
      <c r="A844" s="10">
        <f>IF($E844="","",INDEX('Input Transaksi'!$A:$A,$E844))</f>
        <v/>
      </c>
      <c r="B844" s="5">
        <f>IF($E844="","",INDEX('Input Transaksi'!$D:$D,$E844))</f>
        <v/>
      </c>
      <c r="C844">
        <f>IF($E844="","",INDEX('Input Transaksi'!$E:$E,$E844))</f>
        <v/>
      </c>
      <c r="D844" s="5">
        <f>IF($E844="","",INDEX('Input Transaksi'!$F:$F,$E844))</f>
        <v/>
      </c>
      <c r="E844">
        <f>IFERROR(AGGREGATE(15,6,ROW('Input Transaksi'!$B$5:$B$5000)/('Input Transaksi'!$B$5:$B$5000="BALI WASH GALANG"),ROWS($E$5:E844)),"")</f>
        <v/>
      </c>
      <c r="F844" s="5" t="n"/>
    </row>
    <row r="845">
      <c r="A845" s="10">
        <f>IF($E845="","",INDEX('Input Transaksi'!$A:$A,$E845))</f>
        <v/>
      </c>
      <c r="B845" s="5">
        <f>IF($E845="","",INDEX('Input Transaksi'!$D:$D,$E845))</f>
        <v/>
      </c>
      <c r="C845">
        <f>IF($E845="","",INDEX('Input Transaksi'!$E:$E,$E845))</f>
        <v/>
      </c>
      <c r="D845" s="5">
        <f>IF($E845="","",INDEX('Input Transaksi'!$F:$F,$E845))</f>
        <v/>
      </c>
      <c r="E845">
        <f>IFERROR(AGGREGATE(15,6,ROW('Input Transaksi'!$B$5:$B$5000)/('Input Transaksi'!$B$5:$B$5000="BALI WASH GALANG"),ROWS($E$5:E845)),"")</f>
        <v/>
      </c>
      <c r="F845" s="5" t="n"/>
    </row>
    <row r="846">
      <c r="A846" s="10">
        <f>IF($E846="","",INDEX('Input Transaksi'!$A:$A,$E846))</f>
        <v/>
      </c>
      <c r="B846" s="5">
        <f>IF($E846="","",INDEX('Input Transaksi'!$D:$D,$E846))</f>
        <v/>
      </c>
      <c r="C846">
        <f>IF($E846="","",INDEX('Input Transaksi'!$E:$E,$E846))</f>
        <v/>
      </c>
      <c r="D846" s="5">
        <f>IF($E846="","",INDEX('Input Transaksi'!$F:$F,$E846))</f>
        <v/>
      </c>
      <c r="E846">
        <f>IFERROR(AGGREGATE(15,6,ROW('Input Transaksi'!$B$5:$B$5000)/('Input Transaksi'!$B$5:$B$5000="BALI WASH GALANG"),ROWS($E$5:E846)),"")</f>
        <v/>
      </c>
      <c r="F846" s="5" t="n"/>
    </row>
    <row r="847">
      <c r="A847" s="10">
        <f>IF($E847="","",INDEX('Input Transaksi'!$A:$A,$E847))</f>
        <v/>
      </c>
      <c r="B847" s="5">
        <f>IF($E847="","",INDEX('Input Transaksi'!$D:$D,$E847))</f>
        <v/>
      </c>
      <c r="C847">
        <f>IF($E847="","",INDEX('Input Transaksi'!$E:$E,$E847))</f>
        <v/>
      </c>
      <c r="D847" s="5">
        <f>IF($E847="","",INDEX('Input Transaksi'!$F:$F,$E847))</f>
        <v/>
      </c>
      <c r="E847">
        <f>IFERROR(AGGREGATE(15,6,ROW('Input Transaksi'!$B$5:$B$5000)/('Input Transaksi'!$B$5:$B$5000="BALI WASH GALANG"),ROWS($E$5:E847)),"")</f>
        <v/>
      </c>
      <c r="F847" s="5" t="n"/>
    </row>
    <row r="848">
      <c r="A848" s="10">
        <f>IF($E848="","",INDEX('Input Transaksi'!$A:$A,$E848))</f>
        <v/>
      </c>
      <c r="B848" s="5">
        <f>IF($E848="","",INDEX('Input Transaksi'!$D:$D,$E848))</f>
        <v/>
      </c>
      <c r="C848">
        <f>IF($E848="","",INDEX('Input Transaksi'!$E:$E,$E848))</f>
        <v/>
      </c>
      <c r="D848" s="5">
        <f>IF($E848="","",INDEX('Input Transaksi'!$F:$F,$E848))</f>
        <v/>
      </c>
      <c r="E848">
        <f>IFERROR(AGGREGATE(15,6,ROW('Input Transaksi'!$B$5:$B$5000)/('Input Transaksi'!$B$5:$B$5000="BALI WASH GALANG"),ROWS($E$5:E848)),"")</f>
        <v/>
      </c>
      <c r="F848" s="5" t="n"/>
    </row>
    <row r="849">
      <c r="A849" s="10">
        <f>IF($E849="","",INDEX('Input Transaksi'!$A:$A,$E849))</f>
        <v/>
      </c>
      <c r="B849" s="5">
        <f>IF($E849="","",INDEX('Input Transaksi'!$D:$D,$E849))</f>
        <v/>
      </c>
      <c r="C849">
        <f>IF($E849="","",INDEX('Input Transaksi'!$E:$E,$E849))</f>
        <v/>
      </c>
      <c r="D849" s="5">
        <f>IF($E849="","",INDEX('Input Transaksi'!$F:$F,$E849))</f>
        <v/>
      </c>
      <c r="E849">
        <f>IFERROR(AGGREGATE(15,6,ROW('Input Transaksi'!$B$5:$B$5000)/('Input Transaksi'!$B$5:$B$5000="BALI WASH GALANG"),ROWS($E$5:E849)),"")</f>
        <v/>
      </c>
      <c r="F849" s="5" t="n"/>
    </row>
    <row r="850">
      <c r="A850" s="10">
        <f>IF($E850="","",INDEX('Input Transaksi'!$A:$A,$E850))</f>
        <v/>
      </c>
      <c r="B850" s="5">
        <f>IF($E850="","",INDEX('Input Transaksi'!$D:$D,$E850))</f>
        <v/>
      </c>
      <c r="C850">
        <f>IF($E850="","",INDEX('Input Transaksi'!$E:$E,$E850))</f>
        <v/>
      </c>
      <c r="D850" s="5">
        <f>IF($E850="","",INDEX('Input Transaksi'!$F:$F,$E850))</f>
        <v/>
      </c>
      <c r="E850">
        <f>IFERROR(AGGREGATE(15,6,ROW('Input Transaksi'!$B$5:$B$5000)/('Input Transaksi'!$B$5:$B$5000="BALI WASH GALANG"),ROWS($E$5:E850)),"")</f>
        <v/>
      </c>
      <c r="F850" s="5" t="n"/>
    </row>
    <row r="851">
      <c r="A851" s="10">
        <f>IF($E851="","",INDEX('Input Transaksi'!$A:$A,$E851))</f>
        <v/>
      </c>
      <c r="B851" s="5">
        <f>IF($E851="","",INDEX('Input Transaksi'!$D:$D,$E851))</f>
        <v/>
      </c>
      <c r="C851">
        <f>IF($E851="","",INDEX('Input Transaksi'!$E:$E,$E851))</f>
        <v/>
      </c>
      <c r="D851" s="5">
        <f>IF($E851="","",INDEX('Input Transaksi'!$F:$F,$E851))</f>
        <v/>
      </c>
      <c r="E851">
        <f>IFERROR(AGGREGATE(15,6,ROW('Input Transaksi'!$B$5:$B$5000)/('Input Transaksi'!$B$5:$B$5000="BALI WASH GALANG"),ROWS($E$5:E851)),"")</f>
        <v/>
      </c>
      <c r="F851" s="5" t="n"/>
    </row>
    <row r="852">
      <c r="A852" s="10">
        <f>IF($E852="","",INDEX('Input Transaksi'!$A:$A,$E852))</f>
        <v/>
      </c>
      <c r="B852" s="5">
        <f>IF($E852="","",INDEX('Input Transaksi'!$D:$D,$E852))</f>
        <v/>
      </c>
      <c r="C852">
        <f>IF($E852="","",INDEX('Input Transaksi'!$E:$E,$E852))</f>
        <v/>
      </c>
      <c r="D852" s="5">
        <f>IF($E852="","",INDEX('Input Transaksi'!$F:$F,$E852))</f>
        <v/>
      </c>
      <c r="E852">
        <f>IFERROR(AGGREGATE(15,6,ROW('Input Transaksi'!$B$5:$B$5000)/('Input Transaksi'!$B$5:$B$5000="BALI WASH GALANG"),ROWS($E$5:E852)),"")</f>
        <v/>
      </c>
      <c r="F852" s="5" t="n"/>
    </row>
    <row r="853">
      <c r="A853" s="10">
        <f>IF($E853="","",INDEX('Input Transaksi'!$A:$A,$E853))</f>
        <v/>
      </c>
      <c r="B853" s="5">
        <f>IF($E853="","",INDEX('Input Transaksi'!$D:$D,$E853))</f>
        <v/>
      </c>
      <c r="C853">
        <f>IF($E853="","",INDEX('Input Transaksi'!$E:$E,$E853))</f>
        <v/>
      </c>
      <c r="D853" s="5">
        <f>IF($E853="","",INDEX('Input Transaksi'!$F:$F,$E853))</f>
        <v/>
      </c>
      <c r="E853">
        <f>IFERROR(AGGREGATE(15,6,ROW('Input Transaksi'!$B$5:$B$5000)/('Input Transaksi'!$B$5:$B$5000="BALI WASH GALANG"),ROWS($E$5:E853)),"")</f>
        <v/>
      </c>
      <c r="F853" s="5" t="n"/>
    </row>
    <row r="854">
      <c r="A854" s="10">
        <f>IF($E854="","",INDEX('Input Transaksi'!$A:$A,$E854))</f>
        <v/>
      </c>
      <c r="B854" s="5">
        <f>IF($E854="","",INDEX('Input Transaksi'!$D:$D,$E854))</f>
        <v/>
      </c>
      <c r="C854">
        <f>IF($E854="","",INDEX('Input Transaksi'!$E:$E,$E854))</f>
        <v/>
      </c>
      <c r="D854" s="5">
        <f>IF($E854="","",INDEX('Input Transaksi'!$F:$F,$E854))</f>
        <v/>
      </c>
      <c r="E854">
        <f>IFERROR(AGGREGATE(15,6,ROW('Input Transaksi'!$B$5:$B$5000)/('Input Transaksi'!$B$5:$B$5000="BALI WASH GALANG"),ROWS($E$5:E854)),"")</f>
        <v/>
      </c>
      <c r="F854" s="5" t="n"/>
    </row>
    <row r="855">
      <c r="A855" s="10">
        <f>IF($E855="","",INDEX('Input Transaksi'!$A:$A,$E855))</f>
        <v/>
      </c>
      <c r="B855" s="5">
        <f>IF($E855="","",INDEX('Input Transaksi'!$D:$D,$E855))</f>
        <v/>
      </c>
      <c r="C855">
        <f>IF($E855="","",INDEX('Input Transaksi'!$E:$E,$E855))</f>
        <v/>
      </c>
      <c r="D855" s="5">
        <f>IF($E855="","",INDEX('Input Transaksi'!$F:$F,$E855))</f>
        <v/>
      </c>
      <c r="E855">
        <f>IFERROR(AGGREGATE(15,6,ROW('Input Transaksi'!$B$5:$B$5000)/('Input Transaksi'!$B$5:$B$5000="BALI WASH GALANG"),ROWS($E$5:E855)),"")</f>
        <v/>
      </c>
      <c r="F855" s="5" t="n"/>
    </row>
    <row r="856">
      <c r="A856" s="10">
        <f>IF($E856="","",INDEX('Input Transaksi'!$A:$A,$E856))</f>
        <v/>
      </c>
      <c r="B856" s="5">
        <f>IF($E856="","",INDEX('Input Transaksi'!$D:$D,$E856))</f>
        <v/>
      </c>
      <c r="C856">
        <f>IF($E856="","",INDEX('Input Transaksi'!$E:$E,$E856))</f>
        <v/>
      </c>
      <c r="D856" s="5">
        <f>IF($E856="","",INDEX('Input Transaksi'!$F:$F,$E856))</f>
        <v/>
      </c>
      <c r="E856">
        <f>IFERROR(AGGREGATE(15,6,ROW('Input Transaksi'!$B$5:$B$5000)/('Input Transaksi'!$B$5:$B$5000="BALI WASH GALANG"),ROWS($E$5:E856)),"")</f>
        <v/>
      </c>
      <c r="F856" s="5" t="n"/>
    </row>
    <row r="857">
      <c r="A857" s="10">
        <f>IF($E857="","",INDEX('Input Transaksi'!$A:$A,$E857))</f>
        <v/>
      </c>
      <c r="B857" s="5">
        <f>IF($E857="","",INDEX('Input Transaksi'!$D:$D,$E857))</f>
        <v/>
      </c>
      <c r="C857">
        <f>IF($E857="","",INDEX('Input Transaksi'!$E:$E,$E857))</f>
        <v/>
      </c>
      <c r="D857" s="5">
        <f>IF($E857="","",INDEX('Input Transaksi'!$F:$F,$E857))</f>
        <v/>
      </c>
      <c r="E857">
        <f>IFERROR(AGGREGATE(15,6,ROW('Input Transaksi'!$B$5:$B$5000)/('Input Transaksi'!$B$5:$B$5000="BALI WASH GALANG"),ROWS($E$5:E857)),"")</f>
        <v/>
      </c>
      <c r="F857" s="5" t="n"/>
    </row>
    <row r="858">
      <c r="A858" s="10">
        <f>IF($E858="","",INDEX('Input Transaksi'!$A:$A,$E858))</f>
        <v/>
      </c>
      <c r="B858" s="5">
        <f>IF($E858="","",INDEX('Input Transaksi'!$D:$D,$E858))</f>
        <v/>
      </c>
      <c r="C858">
        <f>IF($E858="","",INDEX('Input Transaksi'!$E:$E,$E858))</f>
        <v/>
      </c>
      <c r="D858" s="5">
        <f>IF($E858="","",INDEX('Input Transaksi'!$F:$F,$E858))</f>
        <v/>
      </c>
      <c r="E858">
        <f>IFERROR(AGGREGATE(15,6,ROW('Input Transaksi'!$B$5:$B$5000)/('Input Transaksi'!$B$5:$B$5000="BALI WASH GALANG"),ROWS($E$5:E858)),"")</f>
        <v/>
      </c>
      <c r="F858" s="5" t="n"/>
    </row>
    <row r="859">
      <c r="A859" s="10">
        <f>IF($E859="","",INDEX('Input Transaksi'!$A:$A,$E859))</f>
        <v/>
      </c>
      <c r="B859" s="5">
        <f>IF($E859="","",INDEX('Input Transaksi'!$D:$D,$E859))</f>
        <v/>
      </c>
      <c r="C859">
        <f>IF($E859="","",INDEX('Input Transaksi'!$E:$E,$E859))</f>
        <v/>
      </c>
      <c r="D859" s="5">
        <f>IF($E859="","",INDEX('Input Transaksi'!$F:$F,$E859))</f>
        <v/>
      </c>
      <c r="E859">
        <f>IFERROR(AGGREGATE(15,6,ROW('Input Transaksi'!$B$5:$B$5000)/('Input Transaksi'!$B$5:$B$5000="BALI WASH GALANG"),ROWS($E$5:E859)),"")</f>
        <v/>
      </c>
      <c r="F859" s="5" t="n"/>
    </row>
    <row r="860">
      <c r="A860" s="10">
        <f>IF($E860="","",INDEX('Input Transaksi'!$A:$A,$E860))</f>
        <v/>
      </c>
      <c r="B860" s="5">
        <f>IF($E860="","",INDEX('Input Transaksi'!$D:$D,$E860))</f>
        <v/>
      </c>
      <c r="C860">
        <f>IF($E860="","",INDEX('Input Transaksi'!$E:$E,$E860))</f>
        <v/>
      </c>
      <c r="D860" s="5">
        <f>IF($E860="","",INDEX('Input Transaksi'!$F:$F,$E860))</f>
        <v/>
      </c>
      <c r="E860">
        <f>IFERROR(AGGREGATE(15,6,ROW('Input Transaksi'!$B$5:$B$5000)/('Input Transaksi'!$B$5:$B$5000="BALI WASH GALANG"),ROWS($E$5:E860)),"")</f>
        <v/>
      </c>
      <c r="F860" s="5" t="n"/>
    </row>
    <row r="861">
      <c r="A861" s="10">
        <f>IF($E861="","",INDEX('Input Transaksi'!$A:$A,$E861))</f>
        <v/>
      </c>
      <c r="B861" s="5">
        <f>IF($E861="","",INDEX('Input Transaksi'!$D:$D,$E861))</f>
        <v/>
      </c>
      <c r="C861">
        <f>IF($E861="","",INDEX('Input Transaksi'!$E:$E,$E861))</f>
        <v/>
      </c>
      <c r="D861" s="5">
        <f>IF($E861="","",INDEX('Input Transaksi'!$F:$F,$E861))</f>
        <v/>
      </c>
      <c r="E861">
        <f>IFERROR(AGGREGATE(15,6,ROW('Input Transaksi'!$B$5:$B$5000)/('Input Transaksi'!$B$5:$B$5000="BALI WASH GALANG"),ROWS($E$5:E861)),"")</f>
        <v/>
      </c>
      <c r="F861" s="5" t="n"/>
    </row>
    <row r="862">
      <c r="A862" s="10">
        <f>IF($E862="","",INDEX('Input Transaksi'!$A:$A,$E862))</f>
        <v/>
      </c>
      <c r="B862" s="5">
        <f>IF($E862="","",INDEX('Input Transaksi'!$D:$D,$E862))</f>
        <v/>
      </c>
      <c r="C862">
        <f>IF($E862="","",INDEX('Input Transaksi'!$E:$E,$E862))</f>
        <v/>
      </c>
      <c r="D862" s="5">
        <f>IF($E862="","",INDEX('Input Transaksi'!$F:$F,$E862))</f>
        <v/>
      </c>
      <c r="E862">
        <f>IFERROR(AGGREGATE(15,6,ROW('Input Transaksi'!$B$5:$B$5000)/('Input Transaksi'!$B$5:$B$5000="BALI WASH GALANG"),ROWS($E$5:E862)),"")</f>
        <v/>
      </c>
      <c r="F862" s="5" t="n"/>
    </row>
    <row r="863">
      <c r="A863" s="10">
        <f>IF($E863="","",INDEX('Input Transaksi'!$A:$A,$E863))</f>
        <v/>
      </c>
      <c r="B863" s="5">
        <f>IF($E863="","",INDEX('Input Transaksi'!$D:$D,$E863))</f>
        <v/>
      </c>
      <c r="C863">
        <f>IF($E863="","",INDEX('Input Transaksi'!$E:$E,$E863))</f>
        <v/>
      </c>
      <c r="D863" s="5">
        <f>IF($E863="","",INDEX('Input Transaksi'!$F:$F,$E863))</f>
        <v/>
      </c>
      <c r="E863">
        <f>IFERROR(AGGREGATE(15,6,ROW('Input Transaksi'!$B$5:$B$5000)/('Input Transaksi'!$B$5:$B$5000="BALI WASH GALANG"),ROWS($E$5:E863)),"")</f>
        <v/>
      </c>
      <c r="F863" s="5" t="n"/>
    </row>
    <row r="864">
      <c r="A864" s="10">
        <f>IF($E864="","",INDEX('Input Transaksi'!$A:$A,$E864))</f>
        <v/>
      </c>
      <c r="B864" s="5">
        <f>IF($E864="","",INDEX('Input Transaksi'!$D:$D,$E864))</f>
        <v/>
      </c>
      <c r="C864">
        <f>IF($E864="","",INDEX('Input Transaksi'!$E:$E,$E864))</f>
        <v/>
      </c>
      <c r="D864" s="5">
        <f>IF($E864="","",INDEX('Input Transaksi'!$F:$F,$E864))</f>
        <v/>
      </c>
      <c r="E864">
        <f>IFERROR(AGGREGATE(15,6,ROW('Input Transaksi'!$B$5:$B$5000)/('Input Transaksi'!$B$5:$B$5000="BALI WASH GALANG"),ROWS($E$5:E864)),"")</f>
        <v/>
      </c>
      <c r="F864" s="5" t="n"/>
    </row>
    <row r="865">
      <c r="A865" s="10">
        <f>IF($E865="","",INDEX('Input Transaksi'!$A:$A,$E865))</f>
        <v/>
      </c>
      <c r="B865" s="5">
        <f>IF($E865="","",INDEX('Input Transaksi'!$D:$D,$E865))</f>
        <v/>
      </c>
      <c r="C865">
        <f>IF($E865="","",INDEX('Input Transaksi'!$E:$E,$E865))</f>
        <v/>
      </c>
      <c r="D865" s="5">
        <f>IF($E865="","",INDEX('Input Transaksi'!$F:$F,$E865))</f>
        <v/>
      </c>
      <c r="E865">
        <f>IFERROR(AGGREGATE(15,6,ROW('Input Transaksi'!$B$5:$B$5000)/('Input Transaksi'!$B$5:$B$5000="BALI WASH GALANG"),ROWS($E$5:E865)),"")</f>
        <v/>
      </c>
      <c r="F865" s="5" t="n"/>
    </row>
    <row r="866">
      <c r="A866" s="10">
        <f>IF($E866="","",INDEX('Input Transaksi'!$A:$A,$E866))</f>
        <v/>
      </c>
      <c r="B866" s="5">
        <f>IF($E866="","",INDEX('Input Transaksi'!$D:$D,$E866))</f>
        <v/>
      </c>
      <c r="C866">
        <f>IF($E866="","",INDEX('Input Transaksi'!$E:$E,$E866))</f>
        <v/>
      </c>
      <c r="D866" s="5">
        <f>IF($E866="","",INDEX('Input Transaksi'!$F:$F,$E866))</f>
        <v/>
      </c>
      <c r="E866">
        <f>IFERROR(AGGREGATE(15,6,ROW('Input Transaksi'!$B$5:$B$5000)/('Input Transaksi'!$B$5:$B$5000="BALI WASH GALANG"),ROWS($E$5:E866)),"")</f>
        <v/>
      </c>
      <c r="F866" s="5" t="n"/>
    </row>
    <row r="867">
      <c r="A867" s="10">
        <f>IF($E867="","",INDEX('Input Transaksi'!$A:$A,$E867))</f>
        <v/>
      </c>
      <c r="B867" s="5">
        <f>IF($E867="","",INDEX('Input Transaksi'!$D:$D,$E867))</f>
        <v/>
      </c>
      <c r="C867">
        <f>IF($E867="","",INDEX('Input Transaksi'!$E:$E,$E867))</f>
        <v/>
      </c>
      <c r="D867" s="5">
        <f>IF($E867="","",INDEX('Input Transaksi'!$F:$F,$E867))</f>
        <v/>
      </c>
      <c r="E867">
        <f>IFERROR(AGGREGATE(15,6,ROW('Input Transaksi'!$B$5:$B$5000)/('Input Transaksi'!$B$5:$B$5000="BALI WASH GALANG"),ROWS($E$5:E867)),"")</f>
        <v/>
      </c>
      <c r="F867" s="5" t="n"/>
    </row>
    <row r="868">
      <c r="A868" s="10">
        <f>IF($E868="","",INDEX('Input Transaksi'!$A:$A,$E868))</f>
        <v/>
      </c>
      <c r="B868" s="5">
        <f>IF($E868="","",INDEX('Input Transaksi'!$D:$D,$E868))</f>
        <v/>
      </c>
      <c r="C868">
        <f>IF($E868="","",INDEX('Input Transaksi'!$E:$E,$E868))</f>
        <v/>
      </c>
      <c r="D868" s="5">
        <f>IF($E868="","",INDEX('Input Transaksi'!$F:$F,$E868))</f>
        <v/>
      </c>
      <c r="E868">
        <f>IFERROR(AGGREGATE(15,6,ROW('Input Transaksi'!$B$5:$B$5000)/('Input Transaksi'!$B$5:$B$5000="BALI WASH GALANG"),ROWS($E$5:E868)),"")</f>
        <v/>
      </c>
      <c r="F868" s="5" t="n"/>
    </row>
    <row r="869">
      <c r="A869" s="10">
        <f>IF($E869="","",INDEX('Input Transaksi'!$A:$A,$E869))</f>
        <v/>
      </c>
      <c r="B869" s="5">
        <f>IF($E869="","",INDEX('Input Transaksi'!$D:$D,$E869))</f>
        <v/>
      </c>
      <c r="C869">
        <f>IF($E869="","",INDEX('Input Transaksi'!$E:$E,$E869))</f>
        <v/>
      </c>
      <c r="D869" s="5">
        <f>IF($E869="","",INDEX('Input Transaksi'!$F:$F,$E869))</f>
        <v/>
      </c>
      <c r="E869">
        <f>IFERROR(AGGREGATE(15,6,ROW('Input Transaksi'!$B$5:$B$5000)/('Input Transaksi'!$B$5:$B$5000="BALI WASH GALANG"),ROWS($E$5:E869)),"")</f>
        <v/>
      </c>
      <c r="F869" s="5" t="n"/>
    </row>
    <row r="870">
      <c r="A870" s="10">
        <f>IF($E870="","",INDEX('Input Transaksi'!$A:$A,$E870))</f>
        <v/>
      </c>
      <c r="B870" s="5">
        <f>IF($E870="","",INDEX('Input Transaksi'!$D:$D,$E870))</f>
        <v/>
      </c>
      <c r="C870">
        <f>IF($E870="","",INDEX('Input Transaksi'!$E:$E,$E870))</f>
        <v/>
      </c>
      <c r="D870" s="5">
        <f>IF($E870="","",INDEX('Input Transaksi'!$F:$F,$E870))</f>
        <v/>
      </c>
      <c r="E870">
        <f>IFERROR(AGGREGATE(15,6,ROW('Input Transaksi'!$B$5:$B$5000)/('Input Transaksi'!$B$5:$B$5000="BALI WASH GALANG"),ROWS($E$5:E870)),"")</f>
        <v/>
      </c>
      <c r="F870" s="5" t="n"/>
    </row>
    <row r="871">
      <c r="A871" s="10">
        <f>IF($E871="","",INDEX('Input Transaksi'!$A:$A,$E871))</f>
        <v/>
      </c>
      <c r="B871" s="5">
        <f>IF($E871="","",INDEX('Input Transaksi'!$D:$D,$E871))</f>
        <v/>
      </c>
      <c r="C871">
        <f>IF($E871="","",INDEX('Input Transaksi'!$E:$E,$E871))</f>
        <v/>
      </c>
      <c r="D871" s="5">
        <f>IF($E871="","",INDEX('Input Transaksi'!$F:$F,$E871))</f>
        <v/>
      </c>
      <c r="E871">
        <f>IFERROR(AGGREGATE(15,6,ROW('Input Transaksi'!$B$5:$B$5000)/('Input Transaksi'!$B$5:$B$5000="BALI WASH GALANG"),ROWS($E$5:E871)),"")</f>
        <v/>
      </c>
      <c r="F871" s="5" t="n"/>
    </row>
    <row r="872">
      <c r="A872" s="10">
        <f>IF($E872="","",INDEX('Input Transaksi'!$A:$A,$E872))</f>
        <v/>
      </c>
      <c r="B872" s="5">
        <f>IF($E872="","",INDEX('Input Transaksi'!$D:$D,$E872))</f>
        <v/>
      </c>
      <c r="C872">
        <f>IF($E872="","",INDEX('Input Transaksi'!$E:$E,$E872))</f>
        <v/>
      </c>
      <c r="D872" s="5">
        <f>IF($E872="","",INDEX('Input Transaksi'!$F:$F,$E872))</f>
        <v/>
      </c>
      <c r="E872">
        <f>IFERROR(AGGREGATE(15,6,ROW('Input Transaksi'!$B$5:$B$5000)/('Input Transaksi'!$B$5:$B$5000="BALI WASH GALANG"),ROWS($E$5:E872)),"")</f>
        <v/>
      </c>
      <c r="F872" s="5" t="n"/>
    </row>
    <row r="873">
      <c r="A873" s="10">
        <f>IF($E873="","",INDEX('Input Transaksi'!$A:$A,$E873))</f>
        <v/>
      </c>
      <c r="B873" s="5">
        <f>IF($E873="","",INDEX('Input Transaksi'!$D:$D,$E873))</f>
        <v/>
      </c>
      <c r="C873">
        <f>IF($E873="","",INDEX('Input Transaksi'!$E:$E,$E873))</f>
        <v/>
      </c>
      <c r="D873" s="5">
        <f>IF($E873="","",INDEX('Input Transaksi'!$F:$F,$E873))</f>
        <v/>
      </c>
      <c r="E873">
        <f>IFERROR(AGGREGATE(15,6,ROW('Input Transaksi'!$B$5:$B$5000)/('Input Transaksi'!$B$5:$B$5000="BALI WASH GALANG"),ROWS($E$5:E873)),"")</f>
        <v/>
      </c>
      <c r="F873" s="5" t="n"/>
    </row>
    <row r="874">
      <c r="A874" s="10">
        <f>IF($E874="","",INDEX('Input Transaksi'!$A:$A,$E874))</f>
        <v/>
      </c>
      <c r="B874" s="5">
        <f>IF($E874="","",INDEX('Input Transaksi'!$D:$D,$E874))</f>
        <v/>
      </c>
      <c r="C874">
        <f>IF($E874="","",INDEX('Input Transaksi'!$E:$E,$E874))</f>
        <v/>
      </c>
      <c r="D874" s="5">
        <f>IF($E874="","",INDEX('Input Transaksi'!$F:$F,$E874))</f>
        <v/>
      </c>
      <c r="E874">
        <f>IFERROR(AGGREGATE(15,6,ROW('Input Transaksi'!$B$5:$B$5000)/('Input Transaksi'!$B$5:$B$5000="BALI WASH GALANG"),ROWS($E$5:E874)),"")</f>
        <v/>
      </c>
      <c r="F874" s="5" t="n"/>
    </row>
    <row r="875">
      <c r="A875" s="10">
        <f>IF($E875="","",INDEX('Input Transaksi'!$A:$A,$E875))</f>
        <v/>
      </c>
      <c r="B875" s="5">
        <f>IF($E875="","",INDEX('Input Transaksi'!$D:$D,$E875))</f>
        <v/>
      </c>
      <c r="C875">
        <f>IF($E875="","",INDEX('Input Transaksi'!$E:$E,$E875))</f>
        <v/>
      </c>
      <c r="D875" s="5">
        <f>IF($E875="","",INDEX('Input Transaksi'!$F:$F,$E875))</f>
        <v/>
      </c>
      <c r="E875">
        <f>IFERROR(AGGREGATE(15,6,ROW('Input Transaksi'!$B$5:$B$5000)/('Input Transaksi'!$B$5:$B$5000="BALI WASH GALANG"),ROWS($E$5:E875)),"")</f>
        <v/>
      </c>
      <c r="F875" s="5" t="n"/>
    </row>
    <row r="876">
      <c r="A876" s="10">
        <f>IF($E876="","",INDEX('Input Transaksi'!$A:$A,$E876))</f>
        <v/>
      </c>
      <c r="B876" s="5">
        <f>IF($E876="","",INDEX('Input Transaksi'!$D:$D,$E876))</f>
        <v/>
      </c>
      <c r="C876">
        <f>IF($E876="","",INDEX('Input Transaksi'!$E:$E,$E876))</f>
        <v/>
      </c>
      <c r="D876" s="5">
        <f>IF($E876="","",INDEX('Input Transaksi'!$F:$F,$E876))</f>
        <v/>
      </c>
      <c r="E876">
        <f>IFERROR(AGGREGATE(15,6,ROW('Input Transaksi'!$B$5:$B$5000)/('Input Transaksi'!$B$5:$B$5000="BALI WASH GALANG"),ROWS($E$5:E876)),"")</f>
        <v/>
      </c>
      <c r="F876" s="5" t="n"/>
    </row>
    <row r="877">
      <c r="A877" s="10">
        <f>IF($E877="","",INDEX('Input Transaksi'!$A:$A,$E877))</f>
        <v/>
      </c>
      <c r="B877" s="5">
        <f>IF($E877="","",INDEX('Input Transaksi'!$D:$D,$E877))</f>
        <v/>
      </c>
      <c r="C877">
        <f>IF($E877="","",INDEX('Input Transaksi'!$E:$E,$E877))</f>
        <v/>
      </c>
      <c r="D877" s="5">
        <f>IF($E877="","",INDEX('Input Transaksi'!$F:$F,$E877))</f>
        <v/>
      </c>
      <c r="E877">
        <f>IFERROR(AGGREGATE(15,6,ROW('Input Transaksi'!$B$5:$B$5000)/('Input Transaksi'!$B$5:$B$5000="BALI WASH GALANG"),ROWS($E$5:E877)),"")</f>
        <v/>
      </c>
      <c r="F877" s="5" t="n"/>
    </row>
    <row r="878">
      <c r="A878" s="10">
        <f>IF($E878="","",INDEX('Input Transaksi'!$A:$A,$E878))</f>
        <v/>
      </c>
      <c r="B878" s="5">
        <f>IF($E878="","",INDEX('Input Transaksi'!$D:$D,$E878))</f>
        <v/>
      </c>
      <c r="C878">
        <f>IF($E878="","",INDEX('Input Transaksi'!$E:$E,$E878))</f>
        <v/>
      </c>
      <c r="D878" s="5">
        <f>IF($E878="","",INDEX('Input Transaksi'!$F:$F,$E878))</f>
        <v/>
      </c>
      <c r="E878">
        <f>IFERROR(AGGREGATE(15,6,ROW('Input Transaksi'!$B$5:$B$5000)/('Input Transaksi'!$B$5:$B$5000="BALI WASH GALANG"),ROWS($E$5:E878)),"")</f>
        <v/>
      </c>
      <c r="F878" s="5" t="n"/>
    </row>
    <row r="879">
      <c r="A879" s="10">
        <f>IF($E879="","",INDEX('Input Transaksi'!$A:$A,$E879))</f>
        <v/>
      </c>
      <c r="B879" s="5">
        <f>IF($E879="","",INDEX('Input Transaksi'!$D:$D,$E879))</f>
        <v/>
      </c>
      <c r="C879">
        <f>IF($E879="","",INDEX('Input Transaksi'!$E:$E,$E879))</f>
        <v/>
      </c>
      <c r="D879" s="5">
        <f>IF($E879="","",INDEX('Input Transaksi'!$F:$F,$E879))</f>
        <v/>
      </c>
      <c r="E879">
        <f>IFERROR(AGGREGATE(15,6,ROW('Input Transaksi'!$B$5:$B$5000)/('Input Transaksi'!$B$5:$B$5000="BALI WASH GALANG"),ROWS($E$5:E879)),"")</f>
        <v/>
      </c>
      <c r="F879" s="5" t="n"/>
    </row>
    <row r="880">
      <c r="A880" s="10">
        <f>IF($E880="","",INDEX('Input Transaksi'!$A:$A,$E880))</f>
        <v/>
      </c>
      <c r="B880" s="5">
        <f>IF($E880="","",INDEX('Input Transaksi'!$D:$D,$E880))</f>
        <v/>
      </c>
      <c r="C880">
        <f>IF($E880="","",INDEX('Input Transaksi'!$E:$E,$E880))</f>
        <v/>
      </c>
      <c r="D880" s="5">
        <f>IF($E880="","",INDEX('Input Transaksi'!$F:$F,$E880))</f>
        <v/>
      </c>
      <c r="E880">
        <f>IFERROR(AGGREGATE(15,6,ROW('Input Transaksi'!$B$5:$B$5000)/('Input Transaksi'!$B$5:$B$5000="BALI WASH GALANG"),ROWS($E$5:E880)),"")</f>
        <v/>
      </c>
      <c r="F880" s="5" t="n"/>
    </row>
    <row r="881">
      <c r="A881" s="10">
        <f>IF($E881="","",INDEX('Input Transaksi'!$A:$A,$E881))</f>
        <v/>
      </c>
      <c r="B881" s="5">
        <f>IF($E881="","",INDEX('Input Transaksi'!$D:$D,$E881))</f>
        <v/>
      </c>
      <c r="C881">
        <f>IF($E881="","",INDEX('Input Transaksi'!$E:$E,$E881))</f>
        <v/>
      </c>
      <c r="D881" s="5">
        <f>IF($E881="","",INDEX('Input Transaksi'!$F:$F,$E881))</f>
        <v/>
      </c>
      <c r="E881">
        <f>IFERROR(AGGREGATE(15,6,ROW('Input Transaksi'!$B$5:$B$5000)/('Input Transaksi'!$B$5:$B$5000="BALI WASH GALANG"),ROWS($E$5:E881)),"")</f>
        <v/>
      </c>
      <c r="F881" s="5" t="n"/>
    </row>
    <row r="882">
      <c r="A882" s="10">
        <f>IF($E882="","",INDEX('Input Transaksi'!$A:$A,$E882))</f>
        <v/>
      </c>
      <c r="B882" s="5">
        <f>IF($E882="","",INDEX('Input Transaksi'!$D:$D,$E882))</f>
        <v/>
      </c>
      <c r="C882">
        <f>IF($E882="","",INDEX('Input Transaksi'!$E:$E,$E882))</f>
        <v/>
      </c>
      <c r="D882" s="5">
        <f>IF($E882="","",INDEX('Input Transaksi'!$F:$F,$E882))</f>
        <v/>
      </c>
      <c r="E882">
        <f>IFERROR(AGGREGATE(15,6,ROW('Input Transaksi'!$B$5:$B$5000)/('Input Transaksi'!$B$5:$B$5000="BALI WASH GALANG"),ROWS($E$5:E882)),"")</f>
        <v/>
      </c>
      <c r="F882" s="5" t="n"/>
    </row>
    <row r="883">
      <c r="A883" s="10">
        <f>IF($E883="","",INDEX('Input Transaksi'!$A:$A,$E883))</f>
        <v/>
      </c>
      <c r="B883" s="5">
        <f>IF($E883="","",INDEX('Input Transaksi'!$D:$D,$E883))</f>
        <v/>
      </c>
      <c r="C883">
        <f>IF($E883="","",INDEX('Input Transaksi'!$E:$E,$E883))</f>
        <v/>
      </c>
      <c r="D883" s="5">
        <f>IF($E883="","",INDEX('Input Transaksi'!$F:$F,$E883))</f>
        <v/>
      </c>
      <c r="E883">
        <f>IFERROR(AGGREGATE(15,6,ROW('Input Transaksi'!$B$5:$B$5000)/('Input Transaksi'!$B$5:$B$5000="BALI WASH GALANG"),ROWS($E$5:E883)),"")</f>
        <v/>
      </c>
      <c r="F883" s="5" t="n"/>
    </row>
    <row r="884">
      <c r="A884" s="10">
        <f>IF($E884="","",INDEX('Input Transaksi'!$A:$A,$E884))</f>
        <v/>
      </c>
      <c r="B884" s="5">
        <f>IF($E884="","",INDEX('Input Transaksi'!$D:$D,$E884))</f>
        <v/>
      </c>
      <c r="C884">
        <f>IF($E884="","",INDEX('Input Transaksi'!$E:$E,$E884))</f>
        <v/>
      </c>
      <c r="D884" s="5">
        <f>IF($E884="","",INDEX('Input Transaksi'!$F:$F,$E884))</f>
        <v/>
      </c>
      <c r="E884">
        <f>IFERROR(AGGREGATE(15,6,ROW('Input Transaksi'!$B$5:$B$5000)/('Input Transaksi'!$B$5:$B$5000="BALI WASH GALANG"),ROWS($E$5:E884)),"")</f>
        <v/>
      </c>
      <c r="F884" s="5" t="n"/>
    </row>
    <row r="885">
      <c r="A885" s="10">
        <f>IF($E885="","",INDEX('Input Transaksi'!$A:$A,$E885))</f>
        <v/>
      </c>
      <c r="B885" s="5">
        <f>IF($E885="","",INDEX('Input Transaksi'!$D:$D,$E885))</f>
        <v/>
      </c>
      <c r="C885">
        <f>IF($E885="","",INDEX('Input Transaksi'!$E:$E,$E885))</f>
        <v/>
      </c>
      <c r="D885" s="5">
        <f>IF($E885="","",INDEX('Input Transaksi'!$F:$F,$E885))</f>
        <v/>
      </c>
      <c r="E885">
        <f>IFERROR(AGGREGATE(15,6,ROW('Input Transaksi'!$B$5:$B$5000)/('Input Transaksi'!$B$5:$B$5000="BALI WASH GALANG"),ROWS($E$5:E885)),"")</f>
        <v/>
      </c>
      <c r="F885" s="5" t="n"/>
    </row>
    <row r="886">
      <c r="A886" s="10">
        <f>IF($E886="","",INDEX('Input Transaksi'!$A:$A,$E886))</f>
        <v/>
      </c>
      <c r="B886" s="5">
        <f>IF($E886="","",INDEX('Input Transaksi'!$D:$D,$E886))</f>
        <v/>
      </c>
      <c r="C886">
        <f>IF($E886="","",INDEX('Input Transaksi'!$E:$E,$E886))</f>
        <v/>
      </c>
      <c r="D886" s="5">
        <f>IF($E886="","",INDEX('Input Transaksi'!$F:$F,$E886))</f>
        <v/>
      </c>
      <c r="E886">
        <f>IFERROR(AGGREGATE(15,6,ROW('Input Transaksi'!$B$5:$B$5000)/('Input Transaksi'!$B$5:$B$5000="BALI WASH GALANG"),ROWS($E$5:E886)),"")</f>
        <v/>
      </c>
      <c r="F886" s="5" t="n"/>
    </row>
    <row r="887">
      <c r="A887" s="10">
        <f>IF($E887="","",INDEX('Input Transaksi'!$A:$A,$E887))</f>
        <v/>
      </c>
      <c r="B887" s="5">
        <f>IF($E887="","",INDEX('Input Transaksi'!$D:$D,$E887))</f>
        <v/>
      </c>
      <c r="C887">
        <f>IF($E887="","",INDEX('Input Transaksi'!$E:$E,$E887))</f>
        <v/>
      </c>
      <c r="D887" s="5">
        <f>IF($E887="","",INDEX('Input Transaksi'!$F:$F,$E887))</f>
        <v/>
      </c>
      <c r="E887">
        <f>IFERROR(AGGREGATE(15,6,ROW('Input Transaksi'!$B$5:$B$5000)/('Input Transaksi'!$B$5:$B$5000="BALI WASH GALANG"),ROWS($E$5:E887)),"")</f>
        <v/>
      </c>
      <c r="F887" s="5" t="n"/>
    </row>
    <row r="888">
      <c r="A888" s="10">
        <f>IF($E888="","",INDEX('Input Transaksi'!$A:$A,$E888))</f>
        <v/>
      </c>
      <c r="B888" s="5">
        <f>IF($E888="","",INDEX('Input Transaksi'!$D:$D,$E888))</f>
        <v/>
      </c>
      <c r="C888">
        <f>IF($E888="","",INDEX('Input Transaksi'!$E:$E,$E888))</f>
        <v/>
      </c>
      <c r="D888" s="5">
        <f>IF($E888="","",INDEX('Input Transaksi'!$F:$F,$E888))</f>
        <v/>
      </c>
      <c r="E888">
        <f>IFERROR(AGGREGATE(15,6,ROW('Input Transaksi'!$B$5:$B$5000)/('Input Transaksi'!$B$5:$B$5000="BALI WASH GALANG"),ROWS($E$5:E888)),"")</f>
        <v/>
      </c>
      <c r="F888" s="5" t="n"/>
    </row>
    <row r="889">
      <c r="A889" s="10">
        <f>IF($E889="","",INDEX('Input Transaksi'!$A:$A,$E889))</f>
        <v/>
      </c>
      <c r="B889" s="5">
        <f>IF($E889="","",INDEX('Input Transaksi'!$D:$D,$E889))</f>
        <v/>
      </c>
      <c r="C889">
        <f>IF($E889="","",INDEX('Input Transaksi'!$E:$E,$E889))</f>
        <v/>
      </c>
      <c r="D889" s="5">
        <f>IF($E889="","",INDEX('Input Transaksi'!$F:$F,$E889))</f>
        <v/>
      </c>
      <c r="E889">
        <f>IFERROR(AGGREGATE(15,6,ROW('Input Transaksi'!$B$5:$B$5000)/('Input Transaksi'!$B$5:$B$5000="BALI WASH GALANG"),ROWS($E$5:E889)),"")</f>
        <v/>
      </c>
      <c r="F889" s="5" t="n"/>
    </row>
    <row r="890">
      <c r="A890" s="10">
        <f>IF($E890="","",INDEX('Input Transaksi'!$A:$A,$E890))</f>
        <v/>
      </c>
      <c r="B890" s="5">
        <f>IF($E890="","",INDEX('Input Transaksi'!$D:$D,$E890))</f>
        <v/>
      </c>
      <c r="C890">
        <f>IF($E890="","",INDEX('Input Transaksi'!$E:$E,$E890))</f>
        <v/>
      </c>
      <c r="D890" s="5">
        <f>IF($E890="","",INDEX('Input Transaksi'!$F:$F,$E890))</f>
        <v/>
      </c>
      <c r="E890">
        <f>IFERROR(AGGREGATE(15,6,ROW('Input Transaksi'!$B$5:$B$5000)/('Input Transaksi'!$B$5:$B$5000="BALI WASH GALANG"),ROWS($E$5:E890)),"")</f>
        <v/>
      </c>
      <c r="F890" s="5" t="n"/>
    </row>
    <row r="891">
      <c r="A891" s="10">
        <f>IF($E891="","",INDEX('Input Transaksi'!$A:$A,$E891))</f>
        <v/>
      </c>
      <c r="B891" s="5">
        <f>IF($E891="","",INDEX('Input Transaksi'!$D:$D,$E891))</f>
        <v/>
      </c>
      <c r="C891">
        <f>IF($E891="","",INDEX('Input Transaksi'!$E:$E,$E891))</f>
        <v/>
      </c>
      <c r="D891" s="5">
        <f>IF($E891="","",INDEX('Input Transaksi'!$F:$F,$E891))</f>
        <v/>
      </c>
      <c r="E891">
        <f>IFERROR(AGGREGATE(15,6,ROW('Input Transaksi'!$B$5:$B$5000)/('Input Transaksi'!$B$5:$B$5000="BALI WASH GALANG"),ROWS($E$5:E891)),"")</f>
        <v/>
      </c>
      <c r="F891" s="5" t="n"/>
    </row>
    <row r="892">
      <c r="A892" s="10">
        <f>IF($E892="","",INDEX('Input Transaksi'!$A:$A,$E892))</f>
        <v/>
      </c>
      <c r="B892" s="5">
        <f>IF($E892="","",INDEX('Input Transaksi'!$D:$D,$E892))</f>
        <v/>
      </c>
      <c r="C892">
        <f>IF($E892="","",INDEX('Input Transaksi'!$E:$E,$E892))</f>
        <v/>
      </c>
      <c r="D892" s="5">
        <f>IF($E892="","",INDEX('Input Transaksi'!$F:$F,$E892))</f>
        <v/>
      </c>
      <c r="E892">
        <f>IFERROR(AGGREGATE(15,6,ROW('Input Transaksi'!$B$5:$B$5000)/('Input Transaksi'!$B$5:$B$5000="BALI WASH GALANG"),ROWS($E$5:E892)),"")</f>
        <v/>
      </c>
      <c r="F892" s="5" t="n"/>
    </row>
    <row r="893">
      <c r="A893" s="10">
        <f>IF($E893="","",INDEX('Input Transaksi'!$A:$A,$E893))</f>
        <v/>
      </c>
      <c r="B893" s="5">
        <f>IF($E893="","",INDEX('Input Transaksi'!$D:$D,$E893))</f>
        <v/>
      </c>
      <c r="C893">
        <f>IF($E893="","",INDEX('Input Transaksi'!$E:$E,$E893))</f>
        <v/>
      </c>
      <c r="D893" s="5">
        <f>IF($E893="","",INDEX('Input Transaksi'!$F:$F,$E893))</f>
        <v/>
      </c>
      <c r="E893">
        <f>IFERROR(AGGREGATE(15,6,ROW('Input Transaksi'!$B$5:$B$5000)/('Input Transaksi'!$B$5:$B$5000="BALI WASH GALANG"),ROWS($E$5:E893)),"")</f>
        <v/>
      </c>
      <c r="F893" s="5" t="n"/>
    </row>
    <row r="894">
      <c r="A894" s="10">
        <f>IF($E894="","",INDEX('Input Transaksi'!$A:$A,$E894))</f>
        <v/>
      </c>
      <c r="B894" s="5">
        <f>IF($E894="","",INDEX('Input Transaksi'!$D:$D,$E894))</f>
        <v/>
      </c>
      <c r="C894">
        <f>IF($E894="","",INDEX('Input Transaksi'!$E:$E,$E894))</f>
        <v/>
      </c>
      <c r="D894" s="5">
        <f>IF($E894="","",INDEX('Input Transaksi'!$F:$F,$E894))</f>
        <v/>
      </c>
      <c r="E894">
        <f>IFERROR(AGGREGATE(15,6,ROW('Input Transaksi'!$B$5:$B$5000)/('Input Transaksi'!$B$5:$B$5000="BALI WASH GALANG"),ROWS($E$5:E894)),"")</f>
        <v/>
      </c>
      <c r="F894" s="5" t="n"/>
    </row>
    <row r="895">
      <c r="A895" s="10">
        <f>IF($E895="","",INDEX('Input Transaksi'!$A:$A,$E895))</f>
        <v/>
      </c>
      <c r="B895" s="5">
        <f>IF($E895="","",INDEX('Input Transaksi'!$D:$D,$E895))</f>
        <v/>
      </c>
      <c r="C895">
        <f>IF($E895="","",INDEX('Input Transaksi'!$E:$E,$E895))</f>
        <v/>
      </c>
      <c r="D895" s="5">
        <f>IF($E895="","",INDEX('Input Transaksi'!$F:$F,$E895))</f>
        <v/>
      </c>
      <c r="E895">
        <f>IFERROR(AGGREGATE(15,6,ROW('Input Transaksi'!$B$5:$B$5000)/('Input Transaksi'!$B$5:$B$5000="BALI WASH GALANG"),ROWS($E$5:E895)),"")</f>
        <v/>
      </c>
      <c r="F895" s="5" t="n"/>
    </row>
    <row r="896">
      <c r="A896" s="10">
        <f>IF($E896="","",INDEX('Input Transaksi'!$A:$A,$E896))</f>
        <v/>
      </c>
      <c r="B896" s="5">
        <f>IF($E896="","",INDEX('Input Transaksi'!$D:$D,$E896))</f>
        <v/>
      </c>
      <c r="C896">
        <f>IF($E896="","",INDEX('Input Transaksi'!$E:$E,$E896))</f>
        <v/>
      </c>
      <c r="D896" s="5">
        <f>IF($E896="","",INDEX('Input Transaksi'!$F:$F,$E896))</f>
        <v/>
      </c>
      <c r="E896">
        <f>IFERROR(AGGREGATE(15,6,ROW('Input Transaksi'!$B$5:$B$5000)/('Input Transaksi'!$B$5:$B$5000="BALI WASH GALANG"),ROWS($E$5:E896)),"")</f>
        <v/>
      </c>
      <c r="F896" s="5" t="n"/>
    </row>
    <row r="897">
      <c r="A897" s="10">
        <f>IF($E897="","",INDEX('Input Transaksi'!$A:$A,$E897))</f>
        <v/>
      </c>
      <c r="B897" s="5">
        <f>IF($E897="","",INDEX('Input Transaksi'!$D:$D,$E897))</f>
        <v/>
      </c>
      <c r="C897">
        <f>IF($E897="","",INDEX('Input Transaksi'!$E:$E,$E897))</f>
        <v/>
      </c>
      <c r="D897" s="5">
        <f>IF($E897="","",INDEX('Input Transaksi'!$F:$F,$E897))</f>
        <v/>
      </c>
      <c r="E897">
        <f>IFERROR(AGGREGATE(15,6,ROW('Input Transaksi'!$B$5:$B$5000)/('Input Transaksi'!$B$5:$B$5000="BALI WASH GALANG"),ROWS($E$5:E897)),"")</f>
        <v/>
      </c>
      <c r="F897" s="5" t="n"/>
    </row>
    <row r="898">
      <c r="A898" s="10">
        <f>IF($E898="","",INDEX('Input Transaksi'!$A:$A,$E898))</f>
        <v/>
      </c>
      <c r="B898" s="5">
        <f>IF($E898="","",INDEX('Input Transaksi'!$D:$D,$E898))</f>
        <v/>
      </c>
      <c r="C898">
        <f>IF($E898="","",INDEX('Input Transaksi'!$E:$E,$E898))</f>
        <v/>
      </c>
      <c r="D898" s="5">
        <f>IF($E898="","",INDEX('Input Transaksi'!$F:$F,$E898))</f>
        <v/>
      </c>
      <c r="E898">
        <f>IFERROR(AGGREGATE(15,6,ROW('Input Transaksi'!$B$5:$B$5000)/('Input Transaksi'!$B$5:$B$5000="BALI WASH GALANG"),ROWS($E$5:E898)),"")</f>
        <v/>
      </c>
      <c r="F898" s="5" t="n"/>
    </row>
    <row r="899">
      <c r="A899" s="10">
        <f>IF($E899="","",INDEX('Input Transaksi'!$A:$A,$E899))</f>
        <v/>
      </c>
      <c r="B899" s="5">
        <f>IF($E899="","",INDEX('Input Transaksi'!$D:$D,$E899))</f>
        <v/>
      </c>
      <c r="C899">
        <f>IF($E899="","",INDEX('Input Transaksi'!$E:$E,$E899))</f>
        <v/>
      </c>
      <c r="D899" s="5">
        <f>IF($E899="","",INDEX('Input Transaksi'!$F:$F,$E899))</f>
        <v/>
      </c>
      <c r="E899">
        <f>IFERROR(AGGREGATE(15,6,ROW('Input Transaksi'!$B$5:$B$5000)/('Input Transaksi'!$B$5:$B$5000="BALI WASH GALANG"),ROWS($E$5:E899)),"")</f>
        <v/>
      </c>
      <c r="F899" s="5" t="n"/>
    </row>
    <row r="900">
      <c r="A900" s="10">
        <f>IF($E900="","",INDEX('Input Transaksi'!$A:$A,$E900))</f>
        <v/>
      </c>
      <c r="B900" s="5">
        <f>IF($E900="","",INDEX('Input Transaksi'!$D:$D,$E900))</f>
        <v/>
      </c>
      <c r="C900">
        <f>IF($E900="","",INDEX('Input Transaksi'!$E:$E,$E900))</f>
        <v/>
      </c>
      <c r="D900" s="5">
        <f>IF($E900="","",INDEX('Input Transaksi'!$F:$F,$E900))</f>
        <v/>
      </c>
      <c r="E900">
        <f>IFERROR(AGGREGATE(15,6,ROW('Input Transaksi'!$B$5:$B$5000)/('Input Transaksi'!$B$5:$B$5000="BALI WASH GALANG"),ROWS($E$5:E900)),"")</f>
        <v/>
      </c>
      <c r="F900" s="5" t="n"/>
    </row>
    <row r="901">
      <c r="A901" s="10">
        <f>IF($E901="","",INDEX('Input Transaksi'!$A:$A,$E901))</f>
        <v/>
      </c>
      <c r="B901" s="5">
        <f>IF($E901="","",INDEX('Input Transaksi'!$D:$D,$E901))</f>
        <v/>
      </c>
      <c r="C901">
        <f>IF($E901="","",INDEX('Input Transaksi'!$E:$E,$E901))</f>
        <v/>
      </c>
      <c r="D901" s="5">
        <f>IF($E901="","",INDEX('Input Transaksi'!$F:$F,$E901))</f>
        <v/>
      </c>
      <c r="E901">
        <f>IFERROR(AGGREGATE(15,6,ROW('Input Transaksi'!$B$5:$B$5000)/('Input Transaksi'!$B$5:$B$5000="BALI WASH GALANG"),ROWS($E$5:E901)),"")</f>
        <v/>
      </c>
      <c r="F901" s="5" t="n"/>
    </row>
    <row r="902">
      <c r="A902" s="10">
        <f>IF($E902="","",INDEX('Input Transaksi'!$A:$A,$E902))</f>
        <v/>
      </c>
      <c r="B902" s="5">
        <f>IF($E902="","",INDEX('Input Transaksi'!$D:$D,$E902))</f>
        <v/>
      </c>
      <c r="C902">
        <f>IF($E902="","",INDEX('Input Transaksi'!$E:$E,$E902))</f>
        <v/>
      </c>
      <c r="D902" s="5">
        <f>IF($E902="","",INDEX('Input Transaksi'!$F:$F,$E902))</f>
        <v/>
      </c>
      <c r="E902">
        <f>IFERROR(AGGREGATE(15,6,ROW('Input Transaksi'!$B$5:$B$5000)/('Input Transaksi'!$B$5:$B$5000="BALI WASH GALANG"),ROWS($E$5:E902)),"")</f>
        <v/>
      </c>
      <c r="F902" s="5" t="n"/>
    </row>
    <row r="903">
      <c r="A903" s="10">
        <f>IF($E903="","",INDEX('Input Transaksi'!$A:$A,$E903))</f>
        <v/>
      </c>
      <c r="B903" s="5">
        <f>IF($E903="","",INDEX('Input Transaksi'!$D:$D,$E903))</f>
        <v/>
      </c>
      <c r="C903">
        <f>IF($E903="","",INDEX('Input Transaksi'!$E:$E,$E903))</f>
        <v/>
      </c>
      <c r="D903" s="5">
        <f>IF($E903="","",INDEX('Input Transaksi'!$F:$F,$E903))</f>
        <v/>
      </c>
      <c r="E903">
        <f>IFERROR(AGGREGATE(15,6,ROW('Input Transaksi'!$B$5:$B$5000)/('Input Transaksi'!$B$5:$B$5000="BALI WASH GALANG"),ROWS($E$5:E903)),"")</f>
        <v/>
      </c>
      <c r="F903" s="5" t="n"/>
    </row>
    <row r="904">
      <c r="A904" s="10">
        <f>IF($E904="","",INDEX('Input Transaksi'!$A:$A,$E904))</f>
        <v/>
      </c>
      <c r="B904" s="5">
        <f>IF($E904="","",INDEX('Input Transaksi'!$D:$D,$E904))</f>
        <v/>
      </c>
      <c r="C904">
        <f>IF($E904="","",INDEX('Input Transaksi'!$E:$E,$E904))</f>
        <v/>
      </c>
      <c r="D904" s="5">
        <f>IF($E904="","",INDEX('Input Transaksi'!$F:$F,$E904))</f>
        <v/>
      </c>
      <c r="E904">
        <f>IFERROR(AGGREGATE(15,6,ROW('Input Transaksi'!$B$5:$B$5000)/('Input Transaksi'!$B$5:$B$5000="BALI WASH GALANG"),ROWS($E$5:E904)),"")</f>
        <v/>
      </c>
      <c r="F904" s="5" t="n"/>
    </row>
    <row r="905">
      <c r="A905" s="10">
        <f>IF($E905="","",INDEX('Input Transaksi'!$A:$A,$E905))</f>
        <v/>
      </c>
      <c r="B905" s="5">
        <f>IF($E905="","",INDEX('Input Transaksi'!$D:$D,$E905))</f>
        <v/>
      </c>
      <c r="C905">
        <f>IF($E905="","",INDEX('Input Transaksi'!$E:$E,$E905))</f>
        <v/>
      </c>
      <c r="D905" s="5">
        <f>IF($E905="","",INDEX('Input Transaksi'!$F:$F,$E905))</f>
        <v/>
      </c>
      <c r="E905">
        <f>IFERROR(AGGREGATE(15,6,ROW('Input Transaksi'!$B$5:$B$5000)/('Input Transaksi'!$B$5:$B$5000="BALI WASH GALANG"),ROWS($E$5:E905)),"")</f>
        <v/>
      </c>
      <c r="F905" s="5" t="n"/>
    </row>
    <row r="906">
      <c r="A906" s="10">
        <f>IF($E906="","",INDEX('Input Transaksi'!$A:$A,$E906))</f>
        <v/>
      </c>
      <c r="B906" s="5">
        <f>IF($E906="","",INDEX('Input Transaksi'!$D:$D,$E906))</f>
        <v/>
      </c>
      <c r="C906">
        <f>IF($E906="","",INDEX('Input Transaksi'!$E:$E,$E906))</f>
        <v/>
      </c>
      <c r="D906" s="5">
        <f>IF($E906="","",INDEX('Input Transaksi'!$F:$F,$E906))</f>
        <v/>
      </c>
      <c r="E906">
        <f>IFERROR(AGGREGATE(15,6,ROW('Input Transaksi'!$B$5:$B$5000)/('Input Transaksi'!$B$5:$B$5000="BALI WASH GALANG"),ROWS($E$5:E906)),"")</f>
        <v/>
      </c>
      <c r="F906" s="5" t="n"/>
    </row>
    <row r="907">
      <c r="A907" s="10">
        <f>IF($E907="","",INDEX('Input Transaksi'!$A:$A,$E907))</f>
        <v/>
      </c>
      <c r="B907" s="5">
        <f>IF($E907="","",INDEX('Input Transaksi'!$D:$D,$E907))</f>
        <v/>
      </c>
      <c r="C907">
        <f>IF($E907="","",INDEX('Input Transaksi'!$E:$E,$E907))</f>
        <v/>
      </c>
      <c r="D907" s="5">
        <f>IF($E907="","",INDEX('Input Transaksi'!$F:$F,$E907))</f>
        <v/>
      </c>
      <c r="E907">
        <f>IFERROR(AGGREGATE(15,6,ROW('Input Transaksi'!$B$5:$B$5000)/('Input Transaksi'!$B$5:$B$5000="BALI WASH GALANG"),ROWS($E$5:E907)),"")</f>
        <v/>
      </c>
      <c r="F907" s="5" t="n"/>
    </row>
    <row r="908">
      <c r="A908" s="10">
        <f>IF($E908="","",INDEX('Input Transaksi'!$A:$A,$E908))</f>
        <v/>
      </c>
      <c r="B908" s="5">
        <f>IF($E908="","",INDEX('Input Transaksi'!$D:$D,$E908))</f>
        <v/>
      </c>
      <c r="C908">
        <f>IF($E908="","",INDEX('Input Transaksi'!$E:$E,$E908))</f>
        <v/>
      </c>
      <c r="D908" s="5">
        <f>IF($E908="","",INDEX('Input Transaksi'!$F:$F,$E908))</f>
        <v/>
      </c>
      <c r="E908">
        <f>IFERROR(AGGREGATE(15,6,ROW('Input Transaksi'!$B$5:$B$5000)/('Input Transaksi'!$B$5:$B$5000="BALI WASH GALANG"),ROWS($E$5:E908)),"")</f>
        <v/>
      </c>
      <c r="F908" s="5" t="n"/>
    </row>
    <row r="909">
      <c r="A909" s="10">
        <f>IF($E909="","",INDEX('Input Transaksi'!$A:$A,$E909))</f>
        <v/>
      </c>
      <c r="B909" s="5">
        <f>IF($E909="","",INDEX('Input Transaksi'!$D:$D,$E909))</f>
        <v/>
      </c>
      <c r="C909">
        <f>IF($E909="","",INDEX('Input Transaksi'!$E:$E,$E909))</f>
        <v/>
      </c>
      <c r="D909" s="5">
        <f>IF($E909="","",INDEX('Input Transaksi'!$F:$F,$E909))</f>
        <v/>
      </c>
      <c r="E909">
        <f>IFERROR(AGGREGATE(15,6,ROW('Input Transaksi'!$B$5:$B$5000)/('Input Transaksi'!$B$5:$B$5000="BALI WASH GALANG"),ROWS($E$5:E909)),"")</f>
        <v/>
      </c>
      <c r="F909" s="5" t="n"/>
    </row>
    <row r="910">
      <c r="A910" s="10">
        <f>IF($E910="","",INDEX('Input Transaksi'!$A:$A,$E910))</f>
        <v/>
      </c>
      <c r="B910" s="5">
        <f>IF($E910="","",INDEX('Input Transaksi'!$D:$D,$E910))</f>
        <v/>
      </c>
      <c r="C910">
        <f>IF($E910="","",INDEX('Input Transaksi'!$E:$E,$E910))</f>
        <v/>
      </c>
      <c r="D910" s="5">
        <f>IF($E910="","",INDEX('Input Transaksi'!$F:$F,$E910))</f>
        <v/>
      </c>
      <c r="E910">
        <f>IFERROR(AGGREGATE(15,6,ROW('Input Transaksi'!$B$5:$B$5000)/('Input Transaksi'!$B$5:$B$5000="BALI WASH GALANG"),ROWS($E$5:E910)),"")</f>
        <v/>
      </c>
      <c r="F910" s="5" t="n"/>
    </row>
    <row r="911">
      <c r="A911" s="10">
        <f>IF($E911="","",INDEX('Input Transaksi'!$A:$A,$E911))</f>
        <v/>
      </c>
      <c r="B911" s="5">
        <f>IF($E911="","",INDEX('Input Transaksi'!$D:$D,$E911))</f>
        <v/>
      </c>
      <c r="C911">
        <f>IF($E911="","",INDEX('Input Transaksi'!$E:$E,$E911))</f>
        <v/>
      </c>
      <c r="D911" s="5">
        <f>IF($E911="","",INDEX('Input Transaksi'!$F:$F,$E911))</f>
        <v/>
      </c>
      <c r="E911">
        <f>IFERROR(AGGREGATE(15,6,ROW('Input Transaksi'!$B$5:$B$5000)/('Input Transaksi'!$B$5:$B$5000="BALI WASH GALANG"),ROWS($E$5:E911)),"")</f>
        <v/>
      </c>
      <c r="F911" s="5" t="n"/>
    </row>
    <row r="912">
      <c r="A912" s="10">
        <f>IF($E912="","",INDEX('Input Transaksi'!$A:$A,$E912))</f>
        <v/>
      </c>
      <c r="B912" s="5">
        <f>IF($E912="","",INDEX('Input Transaksi'!$D:$D,$E912))</f>
        <v/>
      </c>
      <c r="C912">
        <f>IF($E912="","",INDEX('Input Transaksi'!$E:$E,$E912))</f>
        <v/>
      </c>
      <c r="D912" s="5">
        <f>IF($E912="","",INDEX('Input Transaksi'!$F:$F,$E912))</f>
        <v/>
      </c>
      <c r="E912">
        <f>IFERROR(AGGREGATE(15,6,ROW('Input Transaksi'!$B$5:$B$5000)/('Input Transaksi'!$B$5:$B$5000="BALI WASH GALANG"),ROWS($E$5:E912)),"")</f>
        <v/>
      </c>
      <c r="F912" s="5" t="n"/>
    </row>
    <row r="913">
      <c r="A913" s="10">
        <f>IF($E913="","",INDEX('Input Transaksi'!$A:$A,$E913))</f>
        <v/>
      </c>
      <c r="B913" s="5">
        <f>IF($E913="","",INDEX('Input Transaksi'!$D:$D,$E913))</f>
        <v/>
      </c>
      <c r="C913">
        <f>IF($E913="","",INDEX('Input Transaksi'!$E:$E,$E913))</f>
        <v/>
      </c>
      <c r="D913" s="5">
        <f>IF($E913="","",INDEX('Input Transaksi'!$F:$F,$E913))</f>
        <v/>
      </c>
      <c r="E913">
        <f>IFERROR(AGGREGATE(15,6,ROW('Input Transaksi'!$B$5:$B$5000)/('Input Transaksi'!$B$5:$B$5000="BALI WASH GALANG"),ROWS($E$5:E913)),"")</f>
        <v/>
      </c>
      <c r="F913" s="5" t="n"/>
    </row>
    <row r="914">
      <c r="A914" s="10">
        <f>IF($E914="","",INDEX('Input Transaksi'!$A:$A,$E914))</f>
        <v/>
      </c>
      <c r="B914" s="5">
        <f>IF($E914="","",INDEX('Input Transaksi'!$D:$D,$E914))</f>
        <v/>
      </c>
      <c r="C914">
        <f>IF($E914="","",INDEX('Input Transaksi'!$E:$E,$E914))</f>
        <v/>
      </c>
      <c r="D914" s="5">
        <f>IF($E914="","",INDEX('Input Transaksi'!$F:$F,$E914))</f>
        <v/>
      </c>
      <c r="E914">
        <f>IFERROR(AGGREGATE(15,6,ROW('Input Transaksi'!$B$5:$B$5000)/('Input Transaksi'!$B$5:$B$5000="BALI WASH GALANG"),ROWS($E$5:E914)),"")</f>
        <v/>
      </c>
      <c r="F914" s="5" t="n"/>
    </row>
    <row r="915">
      <c r="A915" s="10">
        <f>IF($E915="","",INDEX('Input Transaksi'!$A:$A,$E915))</f>
        <v/>
      </c>
      <c r="B915" s="5">
        <f>IF($E915="","",INDEX('Input Transaksi'!$D:$D,$E915))</f>
        <v/>
      </c>
      <c r="C915">
        <f>IF($E915="","",INDEX('Input Transaksi'!$E:$E,$E915))</f>
        <v/>
      </c>
      <c r="D915" s="5">
        <f>IF($E915="","",INDEX('Input Transaksi'!$F:$F,$E915))</f>
        <v/>
      </c>
      <c r="E915">
        <f>IFERROR(AGGREGATE(15,6,ROW('Input Transaksi'!$B$5:$B$5000)/('Input Transaksi'!$B$5:$B$5000="BALI WASH GALANG"),ROWS($E$5:E915)),"")</f>
        <v/>
      </c>
      <c r="F915" s="5" t="n"/>
    </row>
    <row r="916">
      <c r="A916" s="10">
        <f>IF($E916="","",INDEX('Input Transaksi'!$A:$A,$E916))</f>
        <v/>
      </c>
      <c r="B916" s="5">
        <f>IF($E916="","",INDEX('Input Transaksi'!$D:$D,$E916))</f>
        <v/>
      </c>
      <c r="C916">
        <f>IF($E916="","",INDEX('Input Transaksi'!$E:$E,$E916))</f>
        <v/>
      </c>
      <c r="D916" s="5">
        <f>IF($E916="","",INDEX('Input Transaksi'!$F:$F,$E916))</f>
        <v/>
      </c>
      <c r="E916">
        <f>IFERROR(AGGREGATE(15,6,ROW('Input Transaksi'!$B$5:$B$5000)/('Input Transaksi'!$B$5:$B$5000="BALI WASH GALANG"),ROWS($E$5:E916)),"")</f>
        <v/>
      </c>
      <c r="F916" s="5" t="n"/>
    </row>
    <row r="917">
      <c r="A917" s="10">
        <f>IF($E917="","",INDEX('Input Transaksi'!$A:$A,$E917))</f>
        <v/>
      </c>
      <c r="B917" s="5">
        <f>IF($E917="","",INDEX('Input Transaksi'!$D:$D,$E917))</f>
        <v/>
      </c>
      <c r="C917">
        <f>IF($E917="","",INDEX('Input Transaksi'!$E:$E,$E917))</f>
        <v/>
      </c>
      <c r="D917" s="5">
        <f>IF($E917="","",INDEX('Input Transaksi'!$F:$F,$E917))</f>
        <v/>
      </c>
      <c r="E917">
        <f>IFERROR(AGGREGATE(15,6,ROW('Input Transaksi'!$B$5:$B$5000)/('Input Transaksi'!$B$5:$B$5000="BALI WASH GALANG"),ROWS($E$5:E917)),"")</f>
        <v/>
      </c>
      <c r="F917" s="5" t="n"/>
    </row>
    <row r="918">
      <c r="A918" s="10">
        <f>IF($E918="","",INDEX('Input Transaksi'!$A:$A,$E918))</f>
        <v/>
      </c>
      <c r="B918" s="5">
        <f>IF($E918="","",INDEX('Input Transaksi'!$D:$D,$E918))</f>
        <v/>
      </c>
      <c r="C918">
        <f>IF($E918="","",INDEX('Input Transaksi'!$E:$E,$E918))</f>
        <v/>
      </c>
      <c r="D918" s="5">
        <f>IF($E918="","",INDEX('Input Transaksi'!$F:$F,$E918))</f>
        <v/>
      </c>
      <c r="E918">
        <f>IFERROR(AGGREGATE(15,6,ROW('Input Transaksi'!$B$5:$B$5000)/('Input Transaksi'!$B$5:$B$5000="BALI WASH GALANG"),ROWS($E$5:E918)),"")</f>
        <v/>
      </c>
      <c r="F918" s="5" t="n"/>
    </row>
    <row r="919">
      <c r="A919" s="10">
        <f>IF($E919="","",INDEX('Input Transaksi'!$A:$A,$E919))</f>
        <v/>
      </c>
      <c r="B919" s="5">
        <f>IF($E919="","",INDEX('Input Transaksi'!$D:$D,$E919))</f>
        <v/>
      </c>
      <c r="C919">
        <f>IF($E919="","",INDEX('Input Transaksi'!$E:$E,$E919))</f>
        <v/>
      </c>
      <c r="D919" s="5">
        <f>IF($E919="","",INDEX('Input Transaksi'!$F:$F,$E919))</f>
        <v/>
      </c>
      <c r="E919">
        <f>IFERROR(AGGREGATE(15,6,ROW('Input Transaksi'!$B$5:$B$5000)/('Input Transaksi'!$B$5:$B$5000="BALI WASH GALANG"),ROWS($E$5:E919)),"")</f>
        <v/>
      </c>
      <c r="F919" s="5" t="n"/>
    </row>
    <row r="920">
      <c r="A920" s="10">
        <f>IF($E920="","",INDEX('Input Transaksi'!$A:$A,$E920))</f>
        <v/>
      </c>
      <c r="B920" s="5">
        <f>IF($E920="","",INDEX('Input Transaksi'!$D:$D,$E920))</f>
        <v/>
      </c>
      <c r="C920">
        <f>IF($E920="","",INDEX('Input Transaksi'!$E:$E,$E920))</f>
        <v/>
      </c>
      <c r="D920" s="5">
        <f>IF($E920="","",INDEX('Input Transaksi'!$F:$F,$E920))</f>
        <v/>
      </c>
      <c r="E920">
        <f>IFERROR(AGGREGATE(15,6,ROW('Input Transaksi'!$B$5:$B$5000)/('Input Transaksi'!$B$5:$B$5000="BALI WASH GALANG"),ROWS($E$5:E920)),"")</f>
        <v/>
      </c>
      <c r="F920" s="5" t="n"/>
    </row>
    <row r="921">
      <c r="A921" s="10">
        <f>IF($E921="","",INDEX('Input Transaksi'!$A:$A,$E921))</f>
        <v/>
      </c>
      <c r="B921" s="5">
        <f>IF($E921="","",INDEX('Input Transaksi'!$D:$D,$E921))</f>
        <v/>
      </c>
      <c r="C921">
        <f>IF($E921="","",INDEX('Input Transaksi'!$E:$E,$E921))</f>
        <v/>
      </c>
      <c r="D921" s="5">
        <f>IF($E921="","",INDEX('Input Transaksi'!$F:$F,$E921))</f>
        <v/>
      </c>
      <c r="E921">
        <f>IFERROR(AGGREGATE(15,6,ROW('Input Transaksi'!$B$5:$B$5000)/('Input Transaksi'!$B$5:$B$5000="BALI WASH GALANG"),ROWS($E$5:E921)),"")</f>
        <v/>
      </c>
      <c r="F921" s="5" t="n"/>
    </row>
    <row r="922">
      <c r="A922" s="10">
        <f>IF($E922="","",INDEX('Input Transaksi'!$A:$A,$E922))</f>
        <v/>
      </c>
      <c r="B922" s="5">
        <f>IF($E922="","",INDEX('Input Transaksi'!$D:$D,$E922))</f>
        <v/>
      </c>
      <c r="C922">
        <f>IF($E922="","",INDEX('Input Transaksi'!$E:$E,$E922))</f>
        <v/>
      </c>
      <c r="D922" s="5">
        <f>IF($E922="","",INDEX('Input Transaksi'!$F:$F,$E922))</f>
        <v/>
      </c>
      <c r="E922">
        <f>IFERROR(AGGREGATE(15,6,ROW('Input Transaksi'!$B$5:$B$5000)/('Input Transaksi'!$B$5:$B$5000="BALI WASH GALANG"),ROWS($E$5:E922)),"")</f>
        <v/>
      </c>
      <c r="F922" s="5" t="n"/>
    </row>
    <row r="923">
      <c r="A923" s="10">
        <f>IF($E923="","",INDEX('Input Transaksi'!$A:$A,$E923))</f>
        <v/>
      </c>
      <c r="B923" s="5">
        <f>IF($E923="","",INDEX('Input Transaksi'!$D:$D,$E923))</f>
        <v/>
      </c>
      <c r="C923">
        <f>IF($E923="","",INDEX('Input Transaksi'!$E:$E,$E923))</f>
        <v/>
      </c>
      <c r="D923" s="5">
        <f>IF($E923="","",INDEX('Input Transaksi'!$F:$F,$E923))</f>
        <v/>
      </c>
      <c r="E923">
        <f>IFERROR(AGGREGATE(15,6,ROW('Input Transaksi'!$B$5:$B$5000)/('Input Transaksi'!$B$5:$B$5000="BALI WASH GALANG"),ROWS($E$5:E923)),"")</f>
        <v/>
      </c>
      <c r="F923" s="5" t="n"/>
    </row>
    <row r="924">
      <c r="A924" s="10">
        <f>IF($E924="","",INDEX('Input Transaksi'!$A:$A,$E924))</f>
        <v/>
      </c>
      <c r="B924" s="5">
        <f>IF($E924="","",INDEX('Input Transaksi'!$D:$D,$E924))</f>
        <v/>
      </c>
      <c r="C924">
        <f>IF($E924="","",INDEX('Input Transaksi'!$E:$E,$E924))</f>
        <v/>
      </c>
      <c r="D924" s="5">
        <f>IF($E924="","",INDEX('Input Transaksi'!$F:$F,$E924))</f>
        <v/>
      </c>
      <c r="E924">
        <f>IFERROR(AGGREGATE(15,6,ROW('Input Transaksi'!$B$5:$B$5000)/('Input Transaksi'!$B$5:$B$5000="BALI WASH GALANG"),ROWS($E$5:E924)),"")</f>
        <v/>
      </c>
      <c r="F924" s="5" t="n"/>
    </row>
    <row r="925">
      <c r="A925" s="10">
        <f>IF($E925="","",INDEX('Input Transaksi'!$A:$A,$E925))</f>
        <v/>
      </c>
      <c r="B925" s="5">
        <f>IF($E925="","",INDEX('Input Transaksi'!$D:$D,$E925))</f>
        <v/>
      </c>
      <c r="C925">
        <f>IF($E925="","",INDEX('Input Transaksi'!$E:$E,$E925))</f>
        <v/>
      </c>
      <c r="D925" s="5">
        <f>IF($E925="","",INDEX('Input Transaksi'!$F:$F,$E925))</f>
        <v/>
      </c>
      <c r="E925">
        <f>IFERROR(AGGREGATE(15,6,ROW('Input Transaksi'!$B$5:$B$5000)/('Input Transaksi'!$B$5:$B$5000="BALI WASH GALANG"),ROWS($E$5:E925)),"")</f>
        <v/>
      </c>
      <c r="F925" s="5" t="n"/>
    </row>
    <row r="926">
      <c r="A926" s="10">
        <f>IF($E926="","",INDEX('Input Transaksi'!$A:$A,$E926))</f>
        <v/>
      </c>
      <c r="B926" s="5">
        <f>IF($E926="","",INDEX('Input Transaksi'!$D:$D,$E926))</f>
        <v/>
      </c>
      <c r="C926">
        <f>IF($E926="","",INDEX('Input Transaksi'!$E:$E,$E926))</f>
        <v/>
      </c>
      <c r="D926" s="5">
        <f>IF($E926="","",INDEX('Input Transaksi'!$F:$F,$E926))</f>
        <v/>
      </c>
      <c r="E926">
        <f>IFERROR(AGGREGATE(15,6,ROW('Input Transaksi'!$B$5:$B$5000)/('Input Transaksi'!$B$5:$B$5000="BALI WASH GALANG"),ROWS($E$5:E926)),"")</f>
        <v/>
      </c>
      <c r="F926" s="5" t="n"/>
    </row>
    <row r="927">
      <c r="A927" s="10">
        <f>IF($E927="","",INDEX('Input Transaksi'!$A:$A,$E927))</f>
        <v/>
      </c>
      <c r="B927" s="5">
        <f>IF($E927="","",INDEX('Input Transaksi'!$D:$D,$E927))</f>
        <v/>
      </c>
      <c r="C927">
        <f>IF($E927="","",INDEX('Input Transaksi'!$E:$E,$E927))</f>
        <v/>
      </c>
      <c r="D927" s="5">
        <f>IF($E927="","",INDEX('Input Transaksi'!$F:$F,$E927))</f>
        <v/>
      </c>
      <c r="E927">
        <f>IFERROR(AGGREGATE(15,6,ROW('Input Transaksi'!$B$5:$B$5000)/('Input Transaksi'!$B$5:$B$5000="BALI WASH GALANG"),ROWS($E$5:E927)),"")</f>
        <v/>
      </c>
      <c r="F927" s="5" t="n"/>
    </row>
    <row r="928">
      <c r="A928" s="10">
        <f>IF($E928="","",INDEX('Input Transaksi'!$A:$A,$E928))</f>
        <v/>
      </c>
      <c r="B928" s="5">
        <f>IF($E928="","",INDEX('Input Transaksi'!$D:$D,$E928))</f>
        <v/>
      </c>
      <c r="C928">
        <f>IF($E928="","",INDEX('Input Transaksi'!$E:$E,$E928))</f>
        <v/>
      </c>
      <c r="D928" s="5">
        <f>IF($E928="","",INDEX('Input Transaksi'!$F:$F,$E928))</f>
        <v/>
      </c>
      <c r="E928">
        <f>IFERROR(AGGREGATE(15,6,ROW('Input Transaksi'!$B$5:$B$5000)/('Input Transaksi'!$B$5:$B$5000="BALI WASH GALANG"),ROWS($E$5:E928)),"")</f>
        <v/>
      </c>
      <c r="F928" s="5" t="n"/>
    </row>
    <row r="929">
      <c r="A929" s="10">
        <f>IF($E929="","",INDEX('Input Transaksi'!$A:$A,$E929))</f>
        <v/>
      </c>
      <c r="B929" s="5">
        <f>IF($E929="","",INDEX('Input Transaksi'!$D:$D,$E929))</f>
        <v/>
      </c>
      <c r="C929">
        <f>IF($E929="","",INDEX('Input Transaksi'!$E:$E,$E929))</f>
        <v/>
      </c>
      <c r="D929" s="5">
        <f>IF($E929="","",INDEX('Input Transaksi'!$F:$F,$E929))</f>
        <v/>
      </c>
      <c r="E929">
        <f>IFERROR(AGGREGATE(15,6,ROW('Input Transaksi'!$B$5:$B$5000)/('Input Transaksi'!$B$5:$B$5000="BALI WASH GALANG"),ROWS($E$5:E929)),"")</f>
        <v/>
      </c>
      <c r="F929" s="5" t="n"/>
    </row>
    <row r="930">
      <c r="A930" s="10">
        <f>IF($E930="","",INDEX('Input Transaksi'!$A:$A,$E930))</f>
        <v/>
      </c>
      <c r="B930" s="5">
        <f>IF($E930="","",INDEX('Input Transaksi'!$D:$D,$E930))</f>
        <v/>
      </c>
      <c r="C930">
        <f>IF($E930="","",INDEX('Input Transaksi'!$E:$E,$E930))</f>
        <v/>
      </c>
      <c r="D930" s="5">
        <f>IF($E930="","",INDEX('Input Transaksi'!$F:$F,$E930))</f>
        <v/>
      </c>
      <c r="E930">
        <f>IFERROR(AGGREGATE(15,6,ROW('Input Transaksi'!$B$5:$B$5000)/('Input Transaksi'!$B$5:$B$5000="BALI WASH GALANG"),ROWS($E$5:E930)),"")</f>
        <v/>
      </c>
      <c r="F930" s="5" t="n"/>
    </row>
    <row r="931">
      <c r="A931" s="10">
        <f>IF($E931="","",INDEX('Input Transaksi'!$A:$A,$E931))</f>
        <v/>
      </c>
      <c r="B931" s="5">
        <f>IF($E931="","",INDEX('Input Transaksi'!$D:$D,$E931))</f>
        <v/>
      </c>
      <c r="C931">
        <f>IF($E931="","",INDEX('Input Transaksi'!$E:$E,$E931))</f>
        <v/>
      </c>
      <c r="D931" s="5">
        <f>IF($E931="","",INDEX('Input Transaksi'!$F:$F,$E931))</f>
        <v/>
      </c>
      <c r="E931">
        <f>IFERROR(AGGREGATE(15,6,ROW('Input Transaksi'!$B$5:$B$5000)/('Input Transaksi'!$B$5:$B$5000="BALI WASH GALANG"),ROWS($E$5:E931)),"")</f>
        <v/>
      </c>
      <c r="F931" s="5" t="n"/>
    </row>
    <row r="932">
      <c r="A932" s="10">
        <f>IF($E932="","",INDEX('Input Transaksi'!$A:$A,$E932))</f>
        <v/>
      </c>
      <c r="B932" s="5">
        <f>IF($E932="","",INDEX('Input Transaksi'!$D:$D,$E932))</f>
        <v/>
      </c>
      <c r="C932">
        <f>IF($E932="","",INDEX('Input Transaksi'!$E:$E,$E932))</f>
        <v/>
      </c>
      <c r="D932" s="5">
        <f>IF($E932="","",INDEX('Input Transaksi'!$F:$F,$E932))</f>
        <v/>
      </c>
      <c r="E932">
        <f>IFERROR(AGGREGATE(15,6,ROW('Input Transaksi'!$B$5:$B$5000)/('Input Transaksi'!$B$5:$B$5000="BALI WASH GALANG"),ROWS($E$5:E932)),"")</f>
        <v/>
      </c>
      <c r="F932" s="5" t="n"/>
    </row>
    <row r="933">
      <c r="A933" s="10">
        <f>IF($E933="","",INDEX('Input Transaksi'!$A:$A,$E933))</f>
        <v/>
      </c>
      <c r="B933" s="5">
        <f>IF($E933="","",INDEX('Input Transaksi'!$D:$D,$E933))</f>
        <v/>
      </c>
      <c r="C933">
        <f>IF($E933="","",INDEX('Input Transaksi'!$E:$E,$E933))</f>
        <v/>
      </c>
      <c r="D933" s="5">
        <f>IF($E933="","",INDEX('Input Transaksi'!$F:$F,$E933))</f>
        <v/>
      </c>
      <c r="E933">
        <f>IFERROR(AGGREGATE(15,6,ROW('Input Transaksi'!$B$5:$B$5000)/('Input Transaksi'!$B$5:$B$5000="BALI WASH GALANG"),ROWS($E$5:E933)),"")</f>
        <v/>
      </c>
      <c r="F933" s="5" t="n"/>
    </row>
    <row r="934">
      <c r="A934" s="10">
        <f>IF($E934="","",INDEX('Input Transaksi'!$A:$A,$E934))</f>
        <v/>
      </c>
      <c r="B934" s="5">
        <f>IF($E934="","",INDEX('Input Transaksi'!$D:$D,$E934))</f>
        <v/>
      </c>
      <c r="C934">
        <f>IF($E934="","",INDEX('Input Transaksi'!$E:$E,$E934))</f>
        <v/>
      </c>
      <c r="D934" s="5">
        <f>IF($E934="","",INDEX('Input Transaksi'!$F:$F,$E934))</f>
        <v/>
      </c>
      <c r="E934">
        <f>IFERROR(AGGREGATE(15,6,ROW('Input Transaksi'!$B$5:$B$5000)/('Input Transaksi'!$B$5:$B$5000="BALI WASH GALANG"),ROWS($E$5:E934)),"")</f>
        <v/>
      </c>
      <c r="F934" s="5" t="n"/>
    </row>
    <row r="935">
      <c r="A935" s="10">
        <f>IF($E935="","",INDEX('Input Transaksi'!$A:$A,$E935))</f>
        <v/>
      </c>
      <c r="B935" s="5">
        <f>IF($E935="","",INDEX('Input Transaksi'!$D:$D,$E935))</f>
        <v/>
      </c>
      <c r="C935">
        <f>IF($E935="","",INDEX('Input Transaksi'!$E:$E,$E935))</f>
        <v/>
      </c>
      <c r="D935" s="5">
        <f>IF($E935="","",INDEX('Input Transaksi'!$F:$F,$E935))</f>
        <v/>
      </c>
      <c r="E935">
        <f>IFERROR(AGGREGATE(15,6,ROW('Input Transaksi'!$B$5:$B$5000)/('Input Transaksi'!$B$5:$B$5000="BALI WASH GALANG"),ROWS($E$5:E935)),"")</f>
        <v/>
      </c>
      <c r="F935" s="5" t="n"/>
    </row>
    <row r="936">
      <c r="A936" s="10">
        <f>IF($E936="","",INDEX('Input Transaksi'!$A:$A,$E936))</f>
        <v/>
      </c>
      <c r="B936" s="5">
        <f>IF($E936="","",INDEX('Input Transaksi'!$D:$D,$E936))</f>
        <v/>
      </c>
      <c r="C936">
        <f>IF($E936="","",INDEX('Input Transaksi'!$E:$E,$E936))</f>
        <v/>
      </c>
      <c r="D936" s="5">
        <f>IF($E936="","",INDEX('Input Transaksi'!$F:$F,$E936))</f>
        <v/>
      </c>
      <c r="E936">
        <f>IFERROR(AGGREGATE(15,6,ROW('Input Transaksi'!$B$5:$B$5000)/('Input Transaksi'!$B$5:$B$5000="BALI WASH GALANG"),ROWS($E$5:E936)),"")</f>
        <v/>
      </c>
      <c r="F936" s="5" t="n"/>
    </row>
    <row r="937">
      <c r="A937" s="10">
        <f>IF($E937="","",INDEX('Input Transaksi'!$A:$A,$E937))</f>
        <v/>
      </c>
      <c r="B937" s="5">
        <f>IF($E937="","",INDEX('Input Transaksi'!$D:$D,$E937))</f>
        <v/>
      </c>
      <c r="C937">
        <f>IF($E937="","",INDEX('Input Transaksi'!$E:$E,$E937))</f>
        <v/>
      </c>
      <c r="D937" s="5">
        <f>IF($E937="","",INDEX('Input Transaksi'!$F:$F,$E937))</f>
        <v/>
      </c>
      <c r="E937">
        <f>IFERROR(AGGREGATE(15,6,ROW('Input Transaksi'!$B$5:$B$5000)/('Input Transaksi'!$B$5:$B$5000="BALI WASH GALANG"),ROWS($E$5:E937)),"")</f>
        <v/>
      </c>
      <c r="F937" s="5" t="n"/>
    </row>
    <row r="938">
      <c r="A938" s="10">
        <f>IF($E938="","",INDEX('Input Transaksi'!$A:$A,$E938))</f>
        <v/>
      </c>
      <c r="B938" s="5">
        <f>IF($E938="","",INDEX('Input Transaksi'!$D:$D,$E938))</f>
        <v/>
      </c>
      <c r="C938">
        <f>IF($E938="","",INDEX('Input Transaksi'!$E:$E,$E938))</f>
        <v/>
      </c>
      <c r="D938" s="5">
        <f>IF($E938="","",INDEX('Input Transaksi'!$F:$F,$E938))</f>
        <v/>
      </c>
      <c r="E938">
        <f>IFERROR(AGGREGATE(15,6,ROW('Input Transaksi'!$B$5:$B$5000)/('Input Transaksi'!$B$5:$B$5000="BALI WASH GALANG"),ROWS($E$5:E938)),"")</f>
        <v/>
      </c>
      <c r="F938" s="5" t="n"/>
    </row>
    <row r="939">
      <c r="A939" s="10">
        <f>IF($E939="","",INDEX('Input Transaksi'!$A:$A,$E939))</f>
        <v/>
      </c>
      <c r="B939" s="5">
        <f>IF($E939="","",INDEX('Input Transaksi'!$D:$D,$E939))</f>
        <v/>
      </c>
      <c r="C939">
        <f>IF($E939="","",INDEX('Input Transaksi'!$E:$E,$E939))</f>
        <v/>
      </c>
      <c r="D939" s="5">
        <f>IF($E939="","",INDEX('Input Transaksi'!$F:$F,$E939))</f>
        <v/>
      </c>
      <c r="E939">
        <f>IFERROR(AGGREGATE(15,6,ROW('Input Transaksi'!$B$5:$B$5000)/('Input Transaksi'!$B$5:$B$5000="BALI WASH GALANG"),ROWS($E$5:E939)),"")</f>
        <v/>
      </c>
      <c r="F939" s="5" t="n"/>
    </row>
    <row r="940">
      <c r="A940" s="10">
        <f>IF($E940="","",INDEX('Input Transaksi'!$A:$A,$E940))</f>
        <v/>
      </c>
      <c r="B940" s="5">
        <f>IF($E940="","",INDEX('Input Transaksi'!$D:$D,$E940))</f>
        <v/>
      </c>
      <c r="C940">
        <f>IF($E940="","",INDEX('Input Transaksi'!$E:$E,$E940))</f>
        <v/>
      </c>
      <c r="D940" s="5">
        <f>IF($E940="","",INDEX('Input Transaksi'!$F:$F,$E940))</f>
        <v/>
      </c>
      <c r="E940">
        <f>IFERROR(AGGREGATE(15,6,ROW('Input Transaksi'!$B$5:$B$5000)/('Input Transaksi'!$B$5:$B$5000="BALI WASH GALANG"),ROWS($E$5:E940)),"")</f>
        <v/>
      </c>
      <c r="F940" s="5" t="n"/>
    </row>
    <row r="941">
      <c r="A941" s="10">
        <f>IF($E941="","",INDEX('Input Transaksi'!$A:$A,$E941))</f>
        <v/>
      </c>
      <c r="B941" s="5">
        <f>IF($E941="","",INDEX('Input Transaksi'!$D:$D,$E941))</f>
        <v/>
      </c>
      <c r="C941">
        <f>IF($E941="","",INDEX('Input Transaksi'!$E:$E,$E941))</f>
        <v/>
      </c>
      <c r="D941" s="5">
        <f>IF($E941="","",INDEX('Input Transaksi'!$F:$F,$E941))</f>
        <v/>
      </c>
      <c r="E941">
        <f>IFERROR(AGGREGATE(15,6,ROW('Input Transaksi'!$B$5:$B$5000)/('Input Transaksi'!$B$5:$B$5000="BALI WASH GALANG"),ROWS($E$5:E941)),"")</f>
        <v/>
      </c>
      <c r="F941" s="5" t="n"/>
    </row>
    <row r="942">
      <c r="A942" s="10">
        <f>IF($E942="","",INDEX('Input Transaksi'!$A:$A,$E942))</f>
        <v/>
      </c>
      <c r="B942" s="5">
        <f>IF($E942="","",INDEX('Input Transaksi'!$D:$D,$E942))</f>
        <v/>
      </c>
      <c r="C942">
        <f>IF($E942="","",INDEX('Input Transaksi'!$E:$E,$E942))</f>
        <v/>
      </c>
      <c r="D942" s="5">
        <f>IF($E942="","",INDEX('Input Transaksi'!$F:$F,$E942))</f>
        <v/>
      </c>
      <c r="E942">
        <f>IFERROR(AGGREGATE(15,6,ROW('Input Transaksi'!$B$5:$B$5000)/('Input Transaksi'!$B$5:$B$5000="BALI WASH GALANG"),ROWS($E$5:E942)),"")</f>
        <v/>
      </c>
      <c r="F942" s="5" t="n"/>
    </row>
    <row r="943">
      <c r="A943" s="10">
        <f>IF($E943="","",INDEX('Input Transaksi'!$A:$A,$E943))</f>
        <v/>
      </c>
      <c r="B943" s="5">
        <f>IF($E943="","",INDEX('Input Transaksi'!$D:$D,$E943))</f>
        <v/>
      </c>
      <c r="C943">
        <f>IF($E943="","",INDEX('Input Transaksi'!$E:$E,$E943))</f>
        <v/>
      </c>
      <c r="D943" s="5">
        <f>IF($E943="","",INDEX('Input Transaksi'!$F:$F,$E943))</f>
        <v/>
      </c>
      <c r="E943">
        <f>IFERROR(AGGREGATE(15,6,ROW('Input Transaksi'!$B$5:$B$5000)/('Input Transaksi'!$B$5:$B$5000="BALI WASH GALANG"),ROWS($E$5:E943)),"")</f>
        <v/>
      </c>
      <c r="F943" s="5" t="n"/>
    </row>
    <row r="944">
      <c r="A944" s="10">
        <f>IF($E944="","",INDEX('Input Transaksi'!$A:$A,$E944))</f>
        <v/>
      </c>
      <c r="B944" s="5">
        <f>IF($E944="","",INDEX('Input Transaksi'!$D:$D,$E944))</f>
        <v/>
      </c>
      <c r="C944">
        <f>IF($E944="","",INDEX('Input Transaksi'!$E:$E,$E944))</f>
        <v/>
      </c>
      <c r="D944" s="5">
        <f>IF($E944="","",INDEX('Input Transaksi'!$F:$F,$E944))</f>
        <v/>
      </c>
      <c r="E944">
        <f>IFERROR(AGGREGATE(15,6,ROW('Input Transaksi'!$B$5:$B$5000)/('Input Transaksi'!$B$5:$B$5000="BALI WASH GALANG"),ROWS($E$5:E944)),"")</f>
        <v/>
      </c>
      <c r="F944" s="5" t="n"/>
    </row>
    <row r="945">
      <c r="A945" s="10">
        <f>IF($E945="","",INDEX('Input Transaksi'!$A:$A,$E945))</f>
        <v/>
      </c>
      <c r="B945" s="5">
        <f>IF($E945="","",INDEX('Input Transaksi'!$D:$D,$E945))</f>
        <v/>
      </c>
      <c r="C945">
        <f>IF($E945="","",INDEX('Input Transaksi'!$E:$E,$E945))</f>
        <v/>
      </c>
      <c r="D945" s="5">
        <f>IF($E945="","",INDEX('Input Transaksi'!$F:$F,$E945))</f>
        <v/>
      </c>
      <c r="E945">
        <f>IFERROR(AGGREGATE(15,6,ROW('Input Transaksi'!$B$5:$B$5000)/('Input Transaksi'!$B$5:$B$5000="BALI WASH GALANG"),ROWS($E$5:E945)),"")</f>
        <v/>
      </c>
      <c r="F945" s="5" t="n"/>
    </row>
    <row r="946">
      <c r="A946" s="10">
        <f>IF($E946="","",INDEX('Input Transaksi'!$A:$A,$E946))</f>
        <v/>
      </c>
      <c r="B946" s="5">
        <f>IF($E946="","",INDEX('Input Transaksi'!$D:$D,$E946))</f>
        <v/>
      </c>
      <c r="C946">
        <f>IF($E946="","",INDEX('Input Transaksi'!$E:$E,$E946))</f>
        <v/>
      </c>
      <c r="D946" s="5">
        <f>IF($E946="","",INDEX('Input Transaksi'!$F:$F,$E946))</f>
        <v/>
      </c>
      <c r="E946">
        <f>IFERROR(AGGREGATE(15,6,ROW('Input Transaksi'!$B$5:$B$5000)/('Input Transaksi'!$B$5:$B$5000="BALI WASH GALANG"),ROWS($E$5:E946)),"")</f>
        <v/>
      </c>
      <c r="F946" s="5" t="n"/>
    </row>
    <row r="947">
      <c r="A947" s="10">
        <f>IF($E947="","",INDEX('Input Transaksi'!$A:$A,$E947))</f>
        <v/>
      </c>
      <c r="B947" s="5">
        <f>IF($E947="","",INDEX('Input Transaksi'!$D:$D,$E947))</f>
        <v/>
      </c>
      <c r="C947">
        <f>IF($E947="","",INDEX('Input Transaksi'!$E:$E,$E947))</f>
        <v/>
      </c>
      <c r="D947" s="5">
        <f>IF($E947="","",INDEX('Input Transaksi'!$F:$F,$E947))</f>
        <v/>
      </c>
      <c r="E947">
        <f>IFERROR(AGGREGATE(15,6,ROW('Input Transaksi'!$B$5:$B$5000)/('Input Transaksi'!$B$5:$B$5000="BALI WASH GALANG"),ROWS($E$5:E947)),"")</f>
        <v/>
      </c>
      <c r="F947" s="5" t="n"/>
    </row>
    <row r="948">
      <c r="A948" s="10">
        <f>IF($E948="","",INDEX('Input Transaksi'!$A:$A,$E948))</f>
        <v/>
      </c>
      <c r="B948" s="5">
        <f>IF($E948="","",INDEX('Input Transaksi'!$D:$D,$E948))</f>
        <v/>
      </c>
      <c r="C948">
        <f>IF($E948="","",INDEX('Input Transaksi'!$E:$E,$E948))</f>
        <v/>
      </c>
      <c r="D948" s="5">
        <f>IF($E948="","",INDEX('Input Transaksi'!$F:$F,$E948))</f>
        <v/>
      </c>
      <c r="E948">
        <f>IFERROR(AGGREGATE(15,6,ROW('Input Transaksi'!$B$5:$B$5000)/('Input Transaksi'!$B$5:$B$5000="BALI WASH GALANG"),ROWS($E$5:E948)),"")</f>
        <v/>
      </c>
      <c r="F948" s="5" t="n"/>
    </row>
    <row r="949">
      <c r="A949" s="10">
        <f>IF($E949="","",INDEX('Input Transaksi'!$A:$A,$E949))</f>
        <v/>
      </c>
      <c r="B949" s="5">
        <f>IF($E949="","",INDEX('Input Transaksi'!$D:$D,$E949))</f>
        <v/>
      </c>
      <c r="C949">
        <f>IF($E949="","",INDEX('Input Transaksi'!$E:$E,$E949))</f>
        <v/>
      </c>
      <c r="D949" s="5">
        <f>IF($E949="","",INDEX('Input Transaksi'!$F:$F,$E949))</f>
        <v/>
      </c>
      <c r="E949">
        <f>IFERROR(AGGREGATE(15,6,ROW('Input Transaksi'!$B$5:$B$5000)/('Input Transaksi'!$B$5:$B$5000="BALI WASH GALANG"),ROWS($E$5:E949)),"")</f>
        <v/>
      </c>
      <c r="F949" s="5" t="n"/>
    </row>
    <row r="950">
      <c r="A950" s="10">
        <f>IF($E950="","",INDEX('Input Transaksi'!$A:$A,$E950))</f>
        <v/>
      </c>
      <c r="B950" s="5">
        <f>IF($E950="","",INDEX('Input Transaksi'!$D:$D,$E950))</f>
        <v/>
      </c>
      <c r="C950">
        <f>IF($E950="","",INDEX('Input Transaksi'!$E:$E,$E950))</f>
        <v/>
      </c>
      <c r="D950" s="5">
        <f>IF($E950="","",INDEX('Input Transaksi'!$F:$F,$E950))</f>
        <v/>
      </c>
      <c r="E950">
        <f>IFERROR(AGGREGATE(15,6,ROW('Input Transaksi'!$B$5:$B$5000)/('Input Transaksi'!$B$5:$B$5000="BALI WASH GALANG"),ROWS($E$5:E950)),"")</f>
        <v/>
      </c>
      <c r="F950" s="5" t="n"/>
    </row>
    <row r="951">
      <c r="A951" s="10">
        <f>IF($E951="","",INDEX('Input Transaksi'!$A:$A,$E951))</f>
        <v/>
      </c>
      <c r="B951" s="5">
        <f>IF($E951="","",INDEX('Input Transaksi'!$D:$D,$E951))</f>
        <v/>
      </c>
      <c r="C951">
        <f>IF($E951="","",INDEX('Input Transaksi'!$E:$E,$E951))</f>
        <v/>
      </c>
      <c r="D951" s="5">
        <f>IF($E951="","",INDEX('Input Transaksi'!$F:$F,$E951))</f>
        <v/>
      </c>
      <c r="E951">
        <f>IFERROR(AGGREGATE(15,6,ROW('Input Transaksi'!$B$5:$B$5000)/('Input Transaksi'!$B$5:$B$5000="BALI WASH GALANG"),ROWS($E$5:E951)),"")</f>
        <v/>
      </c>
      <c r="F951" s="5" t="n"/>
    </row>
    <row r="952">
      <c r="A952" s="10">
        <f>IF($E952="","",INDEX('Input Transaksi'!$A:$A,$E952))</f>
        <v/>
      </c>
      <c r="B952" s="5">
        <f>IF($E952="","",INDEX('Input Transaksi'!$D:$D,$E952))</f>
        <v/>
      </c>
      <c r="C952">
        <f>IF($E952="","",INDEX('Input Transaksi'!$E:$E,$E952))</f>
        <v/>
      </c>
      <c r="D952" s="5">
        <f>IF($E952="","",INDEX('Input Transaksi'!$F:$F,$E952))</f>
        <v/>
      </c>
      <c r="E952">
        <f>IFERROR(AGGREGATE(15,6,ROW('Input Transaksi'!$B$5:$B$5000)/('Input Transaksi'!$B$5:$B$5000="BALI WASH GALANG"),ROWS($E$5:E952)),"")</f>
        <v/>
      </c>
      <c r="F952" s="5" t="n"/>
    </row>
    <row r="953">
      <c r="A953" s="10">
        <f>IF($E953="","",INDEX('Input Transaksi'!$A:$A,$E953))</f>
        <v/>
      </c>
      <c r="B953" s="5">
        <f>IF($E953="","",INDEX('Input Transaksi'!$D:$D,$E953))</f>
        <v/>
      </c>
      <c r="C953">
        <f>IF($E953="","",INDEX('Input Transaksi'!$E:$E,$E953))</f>
        <v/>
      </c>
      <c r="D953" s="5">
        <f>IF($E953="","",INDEX('Input Transaksi'!$F:$F,$E953))</f>
        <v/>
      </c>
      <c r="E953">
        <f>IFERROR(AGGREGATE(15,6,ROW('Input Transaksi'!$B$5:$B$5000)/('Input Transaksi'!$B$5:$B$5000="BALI WASH GALANG"),ROWS($E$5:E953)),"")</f>
        <v/>
      </c>
      <c r="F953" s="5" t="n"/>
    </row>
    <row r="954">
      <c r="A954" s="10">
        <f>IF($E954="","",INDEX('Input Transaksi'!$A:$A,$E954))</f>
        <v/>
      </c>
      <c r="B954" s="5">
        <f>IF($E954="","",INDEX('Input Transaksi'!$D:$D,$E954))</f>
        <v/>
      </c>
      <c r="C954">
        <f>IF($E954="","",INDEX('Input Transaksi'!$E:$E,$E954))</f>
        <v/>
      </c>
      <c r="D954" s="5">
        <f>IF($E954="","",INDEX('Input Transaksi'!$F:$F,$E954))</f>
        <v/>
      </c>
      <c r="E954">
        <f>IFERROR(AGGREGATE(15,6,ROW('Input Transaksi'!$B$5:$B$5000)/('Input Transaksi'!$B$5:$B$5000="BALI WASH GALANG"),ROWS($E$5:E954)),"")</f>
        <v/>
      </c>
      <c r="F954" s="5" t="n"/>
    </row>
    <row r="955">
      <c r="A955" s="10">
        <f>IF($E955="","",INDEX('Input Transaksi'!$A:$A,$E955))</f>
        <v/>
      </c>
      <c r="B955" s="5">
        <f>IF($E955="","",INDEX('Input Transaksi'!$D:$D,$E955))</f>
        <v/>
      </c>
      <c r="C955">
        <f>IF($E955="","",INDEX('Input Transaksi'!$E:$E,$E955))</f>
        <v/>
      </c>
      <c r="D955" s="5">
        <f>IF($E955="","",INDEX('Input Transaksi'!$F:$F,$E955))</f>
        <v/>
      </c>
      <c r="E955">
        <f>IFERROR(AGGREGATE(15,6,ROW('Input Transaksi'!$B$5:$B$5000)/('Input Transaksi'!$B$5:$B$5000="BALI WASH GALANG"),ROWS($E$5:E955)),"")</f>
        <v/>
      </c>
      <c r="F955" s="5" t="n"/>
    </row>
    <row r="956">
      <c r="A956" s="10">
        <f>IF($E956="","",INDEX('Input Transaksi'!$A:$A,$E956))</f>
        <v/>
      </c>
      <c r="B956" s="5">
        <f>IF($E956="","",INDEX('Input Transaksi'!$D:$D,$E956))</f>
        <v/>
      </c>
      <c r="C956">
        <f>IF($E956="","",INDEX('Input Transaksi'!$E:$E,$E956))</f>
        <v/>
      </c>
      <c r="D956" s="5">
        <f>IF($E956="","",INDEX('Input Transaksi'!$F:$F,$E956))</f>
        <v/>
      </c>
      <c r="E956">
        <f>IFERROR(AGGREGATE(15,6,ROW('Input Transaksi'!$B$5:$B$5000)/('Input Transaksi'!$B$5:$B$5000="BALI WASH GALANG"),ROWS($E$5:E956)),"")</f>
        <v/>
      </c>
      <c r="F956" s="5" t="n"/>
    </row>
    <row r="957">
      <c r="A957" s="10">
        <f>IF($E957="","",INDEX('Input Transaksi'!$A:$A,$E957))</f>
        <v/>
      </c>
      <c r="B957" s="5">
        <f>IF($E957="","",INDEX('Input Transaksi'!$D:$D,$E957))</f>
        <v/>
      </c>
      <c r="C957">
        <f>IF($E957="","",INDEX('Input Transaksi'!$E:$E,$E957))</f>
        <v/>
      </c>
      <c r="D957" s="5">
        <f>IF($E957="","",INDEX('Input Transaksi'!$F:$F,$E957))</f>
        <v/>
      </c>
      <c r="E957">
        <f>IFERROR(AGGREGATE(15,6,ROW('Input Transaksi'!$B$5:$B$5000)/('Input Transaksi'!$B$5:$B$5000="BALI WASH GALANG"),ROWS($E$5:E957)),"")</f>
        <v/>
      </c>
      <c r="F957" s="5" t="n"/>
    </row>
    <row r="958">
      <c r="A958" s="10">
        <f>IF($E958="","",INDEX('Input Transaksi'!$A:$A,$E958))</f>
        <v/>
      </c>
      <c r="B958" s="5">
        <f>IF($E958="","",INDEX('Input Transaksi'!$D:$D,$E958))</f>
        <v/>
      </c>
      <c r="C958">
        <f>IF($E958="","",INDEX('Input Transaksi'!$E:$E,$E958))</f>
        <v/>
      </c>
      <c r="D958" s="5">
        <f>IF($E958="","",INDEX('Input Transaksi'!$F:$F,$E958))</f>
        <v/>
      </c>
      <c r="E958">
        <f>IFERROR(AGGREGATE(15,6,ROW('Input Transaksi'!$B$5:$B$5000)/('Input Transaksi'!$B$5:$B$5000="BALI WASH GALANG"),ROWS($E$5:E958)),"")</f>
        <v/>
      </c>
      <c r="F958" s="5" t="n"/>
    </row>
    <row r="959">
      <c r="A959" s="10">
        <f>IF($E959="","",INDEX('Input Transaksi'!$A:$A,$E959))</f>
        <v/>
      </c>
      <c r="B959" s="5">
        <f>IF($E959="","",INDEX('Input Transaksi'!$D:$D,$E959))</f>
        <v/>
      </c>
      <c r="C959">
        <f>IF($E959="","",INDEX('Input Transaksi'!$E:$E,$E959))</f>
        <v/>
      </c>
      <c r="D959" s="5">
        <f>IF($E959="","",INDEX('Input Transaksi'!$F:$F,$E959))</f>
        <v/>
      </c>
      <c r="E959">
        <f>IFERROR(AGGREGATE(15,6,ROW('Input Transaksi'!$B$5:$B$5000)/('Input Transaksi'!$B$5:$B$5000="BALI WASH GALANG"),ROWS($E$5:E959)),"")</f>
        <v/>
      </c>
      <c r="F959" s="5" t="n"/>
    </row>
    <row r="960">
      <c r="A960" s="10">
        <f>IF($E960="","",INDEX('Input Transaksi'!$A:$A,$E960))</f>
        <v/>
      </c>
      <c r="B960" s="5">
        <f>IF($E960="","",INDEX('Input Transaksi'!$D:$D,$E960))</f>
        <v/>
      </c>
      <c r="C960">
        <f>IF($E960="","",INDEX('Input Transaksi'!$E:$E,$E960))</f>
        <v/>
      </c>
      <c r="D960" s="5">
        <f>IF($E960="","",INDEX('Input Transaksi'!$F:$F,$E960))</f>
        <v/>
      </c>
      <c r="E960">
        <f>IFERROR(AGGREGATE(15,6,ROW('Input Transaksi'!$B$5:$B$5000)/('Input Transaksi'!$B$5:$B$5000="BALI WASH GALANG"),ROWS($E$5:E960)),"")</f>
        <v/>
      </c>
      <c r="F960" s="5" t="n"/>
    </row>
    <row r="961">
      <c r="A961" s="10">
        <f>IF($E961="","",INDEX('Input Transaksi'!$A:$A,$E961))</f>
        <v/>
      </c>
      <c r="B961" s="5">
        <f>IF($E961="","",INDEX('Input Transaksi'!$D:$D,$E961))</f>
        <v/>
      </c>
      <c r="C961">
        <f>IF($E961="","",INDEX('Input Transaksi'!$E:$E,$E961))</f>
        <v/>
      </c>
      <c r="D961" s="5">
        <f>IF($E961="","",INDEX('Input Transaksi'!$F:$F,$E961))</f>
        <v/>
      </c>
      <c r="E961">
        <f>IFERROR(AGGREGATE(15,6,ROW('Input Transaksi'!$B$5:$B$5000)/('Input Transaksi'!$B$5:$B$5000="BALI WASH GALANG"),ROWS($E$5:E961)),"")</f>
        <v/>
      </c>
      <c r="F961" s="5" t="n"/>
    </row>
    <row r="962">
      <c r="A962" s="10">
        <f>IF($E962="","",INDEX('Input Transaksi'!$A:$A,$E962))</f>
        <v/>
      </c>
      <c r="B962" s="5">
        <f>IF($E962="","",INDEX('Input Transaksi'!$D:$D,$E962))</f>
        <v/>
      </c>
      <c r="C962">
        <f>IF($E962="","",INDEX('Input Transaksi'!$E:$E,$E962))</f>
        <v/>
      </c>
      <c r="D962" s="5">
        <f>IF($E962="","",INDEX('Input Transaksi'!$F:$F,$E962))</f>
        <v/>
      </c>
      <c r="E962">
        <f>IFERROR(AGGREGATE(15,6,ROW('Input Transaksi'!$B$5:$B$5000)/('Input Transaksi'!$B$5:$B$5000="BALI WASH GALANG"),ROWS($E$5:E962)),"")</f>
        <v/>
      </c>
      <c r="F962" s="5" t="n"/>
    </row>
    <row r="963">
      <c r="A963" s="10">
        <f>IF($E963="","",INDEX('Input Transaksi'!$A:$A,$E963))</f>
        <v/>
      </c>
      <c r="B963" s="5">
        <f>IF($E963="","",INDEX('Input Transaksi'!$D:$D,$E963))</f>
        <v/>
      </c>
      <c r="C963">
        <f>IF($E963="","",INDEX('Input Transaksi'!$E:$E,$E963))</f>
        <v/>
      </c>
      <c r="D963" s="5">
        <f>IF($E963="","",INDEX('Input Transaksi'!$F:$F,$E963))</f>
        <v/>
      </c>
      <c r="E963">
        <f>IFERROR(AGGREGATE(15,6,ROW('Input Transaksi'!$B$5:$B$5000)/('Input Transaksi'!$B$5:$B$5000="BALI WASH GALANG"),ROWS($E$5:E963)),"")</f>
        <v/>
      </c>
      <c r="F963" s="5" t="n"/>
    </row>
    <row r="964">
      <c r="A964" s="10">
        <f>IF($E964="","",INDEX('Input Transaksi'!$A:$A,$E964))</f>
        <v/>
      </c>
      <c r="B964" s="5">
        <f>IF($E964="","",INDEX('Input Transaksi'!$D:$D,$E964))</f>
        <v/>
      </c>
      <c r="C964">
        <f>IF($E964="","",INDEX('Input Transaksi'!$E:$E,$E964))</f>
        <v/>
      </c>
      <c r="D964" s="5">
        <f>IF($E964="","",INDEX('Input Transaksi'!$F:$F,$E964))</f>
        <v/>
      </c>
      <c r="E964">
        <f>IFERROR(AGGREGATE(15,6,ROW('Input Transaksi'!$B$5:$B$5000)/('Input Transaksi'!$B$5:$B$5000="BALI WASH GALANG"),ROWS($E$5:E964)),"")</f>
        <v/>
      </c>
      <c r="F964" s="5" t="n"/>
    </row>
    <row r="965">
      <c r="A965" s="10">
        <f>IF($E965="","",INDEX('Input Transaksi'!$A:$A,$E965))</f>
        <v/>
      </c>
      <c r="B965" s="5">
        <f>IF($E965="","",INDEX('Input Transaksi'!$D:$D,$E965))</f>
        <v/>
      </c>
      <c r="C965">
        <f>IF($E965="","",INDEX('Input Transaksi'!$E:$E,$E965))</f>
        <v/>
      </c>
      <c r="D965" s="5">
        <f>IF($E965="","",INDEX('Input Transaksi'!$F:$F,$E965))</f>
        <v/>
      </c>
      <c r="E965">
        <f>IFERROR(AGGREGATE(15,6,ROW('Input Transaksi'!$B$5:$B$5000)/('Input Transaksi'!$B$5:$B$5000="BALI WASH GALANG"),ROWS($E$5:E965)),"")</f>
        <v/>
      </c>
      <c r="F965" s="5" t="n"/>
    </row>
    <row r="966">
      <c r="A966" s="10">
        <f>IF($E966="","",INDEX('Input Transaksi'!$A:$A,$E966))</f>
        <v/>
      </c>
      <c r="B966" s="5">
        <f>IF($E966="","",INDEX('Input Transaksi'!$D:$D,$E966))</f>
        <v/>
      </c>
      <c r="C966">
        <f>IF($E966="","",INDEX('Input Transaksi'!$E:$E,$E966))</f>
        <v/>
      </c>
      <c r="D966" s="5">
        <f>IF($E966="","",INDEX('Input Transaksi'!$F:$F,$E966))</f>
        <v/>
      </c>
      <c r="E966">
        <f>IFERROR(AGGREGATE(15,6,ROW('Input Transaksi'!$B$5:$B$5000)/('Input Transaksi'!$B$5:$B$5000="BALI WASH GALANG"),ROWS($E$5:E966)),"")</f>
        <v/>
      </c>
      <c r="F966" s="5" t="n"/>
    </row>
    <row r="967">
      <c r="A967" s="10">
        <f>IF($E967="","",INDEX('Input Transaksi'!$A:$A,$E967))</f>
        <v/>
      </c>
      <c r="B967" s="5">
        <f>IF($E967="","",INDEX('Input Transaksi'!$D:$D,$E967))</f>
        <v/>
      </c>
      <c r="C967">
        <f>IF($E967="","",INDEX('Input Transaksi'!$E:$E,$E967))</f>
        <v/>
      </c>
      <c r="D967" s="5">
        <f>IF($E967="","",INDEX('Input Transaksi'!$F:$F,$E967))</f>
        <v/>
      </c>
      <c r="E967">
        <f>IFERROR(AGGREGATE(15,6,ROW('Input Transaksi'!$B$5:$B$5000)/('Input Transaksi'!$B$5:$B$5000="BALI WASH GALANG"),ROWS($E$5:E967)),"")</f>
        <v/>
      </c>
      <c r="F967" s="5" t="n"/>
    </row>
    <row r="968">
      <c r="A968" s="10">
        <f>IF($E968="","",INDEX('Input Transaksi'!$A:$A,$E968))</f>
        <v/>
      </c>
      <c r="B968" s="5">
        <f>IF($E968="","",INDEX('Input Transaksi'!$D:$D,$E968))</f>
        <v/>
      </c>
      <c r="C968">
        <f>IF($E968="","",INDEX('Input Transaksi'!$E:$E,$E968))</f>
        <v/>
      </c>
      <c r="D968" s="5">
        <f>IF($E968="","",INDEX('Input Transaksi'!$F:$F,$E968))</f>
        <v/>
      </c>
      <c r="E968">
        <f>IFERROR(AGGREGATE(15,6,ROW('Input Transaksi'!$B$5:$B$5000)/('Input Transaksi'!$B$5:$B$5000="BALI WASH GALANG"),ROWS($E$5:E968)),"")</f>
        <v/>
      </c>
      <c r="F968" s="5" t="n"/>
    </row>
    <row r="969">
      <c r="A969" s="10">
        <f>IF($E969="","",INDEX('Input Transaksi'!$A:$A,$E969))</f>
        <v/>
      </c>
      <c r="B969" s="5">
        <f>IF($E969="","",INDEX('Input Transaksi'!$D:$D,$E969))</f>
        <v/>
      </c>
      <c r="C969">
        <f>IF($E969="","",INDEX('Input Transaksi'!$E:$E,$E969))</f>
        <v/>
      </c>
      <c r="D969" s="5">
        <f>IF($E969="","",INDEX('Input Transaksi'!$F:$F,$E969))</f>
        <v/>
      </c>
      <c r="E969">
        <f>IFERROR(AGGREGATE(15,6,ROW('Input Transaksi'!$B$5:$B$5000)/('Input Transaksi'!$B$5:$B$5000="BALI WASH GALANG"),ROWS($E$5:E969)),"")</f>
        <v/>
      </c>
      <c r="F969" s="5" t="n"/>
    </row>
    <row r="970">
      <c r="A970" s="10">
        <f>IF($E970="","",INDEX('Input Transaksi'!$A:$A,$E970))</f>
        <v/>
      </c>
      <c r="B970" s="5">
        <f>IF($E970="","",INDEX('Input Transaksi'!$D:$D,$E970))</f>
        <v/>
      </c>
      <c r="C970">
        <f>IF($E970="","",INDEX('Input Transaksi'!$E:$E,$E970))</f>
        <v/>
      </c>
      <c r="D970" s="5">
        <f>IF($E970="","",INDEX('Input Transaksi'!$F:$F,$E970))</f>
        <v/>
      </c>
      <c r="E970">
        <f>IFERROR(AGGREGATE(15,6,ROW('Input Transaksi'!$B$5:$B$5000)/('Input Transaksi'!$B$5:$B$5000="BALI WASH GALANG"),ROWS($E$5:E970)),"")</f>
        <v/>
      </c>
      <c r="F970" s="5" t="n"/>
    </row>
    <row r="971">
      <c r="A971" s="10">
        <f>IF($E971="","",INDEX('Input Transaksi'!$A:$A,$E971))</f>
        <v/>
      </c>
      <c r="B971" s="5">
        <f>IF($E971="","",INDEX('Input Transaksi'!$D:$D,$E971))</f>
        <v/>
      </c>
      <c r="C971">
        <f>IF($E971="","",INDEX('Input Transaksi'!$E:$E,$E971))</f>
        <v/>
      </c>
      <c r="D971" s="5">
        <f>IF($E971="","",INDEX('Input Transaksi'!$F:$F,$E971))</f>
        <v/>
      </c>
      <c r="E971">
        <f>IFERROR(AGGREGATE(15,6,ROW('Input Transaksi'!$B$5:$B$5000)/('Input Transaksi'!$B$5:$B$5000="BALI WASH GALANG"),ROWS($E$5:E971)),"")</f>
        <v/>
      </c>
      <c r="F971" s="5" t="n"/>
    </row>
    <row r="972">
      <c r="A972" s="10">
        <f>IF($E972="","",INDEX('Input Transaksi'!$A:$A,$E972))</f>
        <v/>
      </c>
      <c r="B972" s="5">
        <f>IF($E972="","",INDEX('Input Transaksi'!$D:$D,$E972))</f>
        <v/>
      </c>
      <c r="C972">
        <f>IF($E972="","",INDEX('Input Transaksi'!$E:$E,$E972))</f>
        <v/>
      </c>
      <c r="D972" s="5">
        <f>IF($E972="","",INDEX('Input Transaksi'!$F:$F,$E972))</f>
        <v/>
      </c>
      <c r="E972">
        <f>IFERROR(AGGREGATE(15,6,ROW('Input Transaksi'!$B$5:$B$5000)/('Input Transaksi'!$B$5:$B$5000="BALI WASH GALANG"),ROWS($E$5:E972)),"")</f>
        <v/>
      </c>
      <c r="F972" s="5" t="n"/>
    </row>
    <row r="973">
      <c r="A973" s="10">
        <f>IF($E973="","",INDEX('Input Transaksi'!$A:$A,$E973))</f>
        <v/>
      </c>
      <c r="B973" s="5">
        <f>IF($E973="","",INDEX('Input Transaksi'!$D:$D,$E973))</f>
        <v/>
      </c>
      <c r="C973">
        <f>IF($E973="","",INDEX('Input Transaksi'!$E:$E,$E973))</f>
        <v/>
      </c>
      <c r="D973" s="5">
        <f>IF($E973="","",INDEX('Input Transaksi'!$F:$F,$E973))</f>
        <v/>
      </c>
      <c r="E973">
        <f>IFERROR(AGGREGATE(15,6,ROW('Input Transaksi'!$B$5:$B$5000)/('Input Transaksi'!$B$5:$B$5000="BALI WASH GALANG"),ROWS($E$5:E973)),"")</f>
        <v/>
      </c>
      <c r="F973" s="5" t="n"/>
    </row>
    <row r="974">
      <c r="A974" s="10">
        <f>IF($E974="","",INDEX('Input Transaksi'!$A:$A,$E974))</f>
        <v/>
      </c>
      <c r="B974" s="5">
        <f>IF($E974="","",INDEX('Input Transaksi'!$D:$D,$E974))</f>
        <v/>
      </c>
      <c r="C974">
        <f>IF($E974="","",INDEX('Input Transaksi'!$E:$E,$E974))</f>
        <v/>
      </c>
      <c r="D974" s="5">
        <f>IF($E974="","",INDEX('Input Transaksi'!$F:$F,$E974))</f>
        <v/>
      </c>
      <c r="E974">
        <f>IFERROR(AGGREGATE(15,6,ROW('Input Transaksi'!$B$5:$B$5000)/('Input Transaksi'!$B$5:$B$5000="BALI WASH GALANG"),ROWS($E$5:E974)),"")</f>
        <v/>
      </c>
      <c r="F974" s="5" t="n"/>
    </row>
    <row r="975">
      <c r="A975" s="10">
        <f>IF($E975="","",INDEX('Input Transaksi'!$A:$A,$E975))</f>
        <v/>
      </c>
      <c r="B975" s="5">
        <f>IF($E975="","",INDEX('Input Transaksi'!$D:$D,$E975))</f>
        <v/>
      </c>
      <c r="C975">
        <f>IF($E975="","",INDEX('Input Transaksi'!$E:$E,$E975))</f>
        <v/>
      </c>
      <c r="D975" s="5">
        <f>IF($E975="","",INDEX('Input Transaksi'!$F:$F,$E975))</f>
        <v/>
      </c>
      <c r="E975">
        <f>IFERROR(AGGREGATE(15,6,ROW('Input Transaksi'!$B$5:$B$5000)/('Input Transaksi'!$B$5:$B$5000="BALI WASH GALANG"),ROWS($E$5:E975)),"")</f>
        <v/>
      </c>
      <c r="F975" s="5" t="n"/>
    </row>
    <row r="976">
      <c r="A976" s="10">
        <f>IF($E976="","",INDEX('Input Transaksi'!$A:$A,$E976))</f>
        <v/>
      </c>
      <c r="B976" s="5">
        <f>IF($E976="","",INDEX('Input Transaksi'!$D:$D,$E976))</f>
        <v/>
      </c>
      <c r="C976">
        <f>IF($E976="","",INDEX('Input Transaksi'!$E:$E,$E976))</f>
        <v/>
      </c>
      <c r="D976" s="5">
        <f>IF($E976="","",INDEX('Input Transaksi'!$F:$F,$E976))</f>
        <v/>
      </c>
      <c r="E976">
        <f>IFERROR(AGGREGATE(15,6,ROW('Input Transaksi'!$B$5:$B$5000)/('Input Transaksi'!$B$5:$B$5000="BALI WASH GALANG"),ROWS($E$5:E976)),"")</f>
        <v/>
      </c>
      <c r="F976" s="5" t="n"/>
    </row>
    <row r="977">
      <c r="A977" s="10">
        <f>IF($E977="","",INDEX('Input Transaksi'!$A:$A,$E977))</f>
        <v/>
      </c>
      <c r="B977" s="5">
        <f>IF($E977="","",INDEX('Input Transaksi'!$D:$D,$E977))</f>
        <v/>
      </c>
      <c r="C977">
        <f>IF($E977="","",INDEX('Input Transaksi'!$E:$E,$E977))</f>
        <v/>
      </c>
      <c r="D977" s="5">
        <f>IF($E977="","",INDEX('Input Transaksi'!$F:$F,$E977))</f>
        <v/>
      </c>
      <c r="E977">
        <f>IFERROR(AGGREGATE(15,6,ROW('Input Transaksi'!$B$5:$B$5000)/('Input Transaksi'!$B$5:$B$5000="BALI WASH GALANG"),ROWS($E$5:E977)),"")</f>
        <v/>
      </c>
      <c r="F977" s="5" t="n"/>
    </row>
    <row r="978">
      <c r="A978" s="10">
        <f>IF($E978="","",INDEX('Input Transaksi'!$A:$A,$E978))</f>
        <v/>
      </c>
      <c r="B978" s="5">
        <f>IF($E978="","",INDEX('Input Transaksi'!$D:$D,$E978))</f>
        <v/>
      </c>
      <c r="C978">
        <f>IF($E978="","",INDEX('Input Transaksi'!$E:$E,$E978))</f>
        <v/>
      </c>
      <c r="D978" s="5">
        <f>IF($E978="","",INDEX('Input Transaksi'!$F:$F,$E978))</f>
        <v/>
      </c>
      <c r="E978">
        <f>IFERROR(AGGREGATE(15,6,ROW('Input Transaksi'!$B$5:$B$5000)/('Input Transaksi'!$B$5:$B$5000="BALI WASH GALANG"),ROWS($E$5:E978)),"")</f>
        <v/>
      </c>
      <c r="F978" s="5" t="n"/>
    </row>
    <row r="979">
      <c r="A979" s="10">
        <f>IF($E979="","",INDEX('Input Transaksi'!$A:$A,$E979))</f>
        <v/>
      </c>
      <c r="B979" s="5">
        <f>IF($E979="","",INDEX('Input Transaksi'!$D:$D,$E979))</f>
        <v/>
      </c>
      <c r="C979">
        <f>IF($E979="","",INDEX('Input Transaksi'!$E:$E,$E979))</f>
        <v/>
      </c>
      <c r="D979" s="5">
        <f>IF($E979="","",INDEX('Input Transaksi'!$F:$F,$E979))</f>
        <v/>
      </c>
      <c r="E979">
        <f>IFERROR(AGGREGATE(15,6,ROW('Input Transaksi'!$B$5:$B$5000)/('Input Transaksi'!$B$5:$B$5000="BALI WASH GALANG"),ROWS($E$5:E979)),"")</f>
        <v/>
      </c>
      <c r="F979" s="5" t="n"/>
    </row>
    <row r="980">
      <c r="A980" s="10">
        <f>IF($E980="","",INDEX('Input Transaksi'!$A:$A,$E980))</f>
        <v/>
      </c>
      <c r="B980" s="5">
        <f>IF($E980="","",INDEX('Input Transaksi'!$D:$D,$E980))</f>
        <v/>
      </c>
      <c r="C980">
        <f>IF($E980="","",INDEX('Input Transaksi'!$E:$E,$E980))</f>
        <v/>
      </c>
      <c r="D980" s="5">
        <f>IF($E980="","",INDEX('Input Transaksi'!$F:$F,$E980))</f>
        <v/>
      </c>
      <c r="E980">
        <f>IFERROR(AGGREGATE(15,6,ROW('Input Transaksi'!$B$5:$B$5000)/('Input Transaksi'!$B$5:$B$5000="BALI WASH GALANG"),ROWS($E$5:E980)),"")</f>
        <v/>
      </c>
      <c r="F980" s="5" t="n"/>
    </row>
    <row r="981">
      <c r="A981" s="10">
        <f>IF($E981="","",INDEX('Input Transaksi'!$A:$A,$E981))</f>
        <v/>
      </c>
      <c r="B981" s="5">
        <f>IF($E981="","",INDEX('Input Transaksi'!$D:$D,$E981))</f>
        <v/>
      </c>
      <c r="C981">
        <f>IF($E981="","",INDEX('Input Transaksi'!$E:$E,$E981))</f>
        <v/>
      </c>
      <c r="D981" s="5">
        <f>IF($E981="","",INDEX('Input Transaksi'!$F:$F,$E981))</f>
        <v/>
      </c>
      <c r="E981">
        <f>IFERROR(AGGREGATE(15,6,ROW('Input Transaksi'!$B$5:$B$5000)/('Input Transaksi'!$B$5:$B$5000="BALI WASH GALANG"),ROWS($E$5:E981)),"")</f>
        <v/>
      </c>
      <c r="F981" s="5" t="n"/>
    </row>
    <row r="982">
      <c r="A982" s="10">
        <f>IF($E982="","",INDEX('Input Transaksi'!$A:$A,$E982))</f>
        <v/>
      </c>
      <c r="B982" s="5">
        <f>IF($E982="","",INDEX('Input Transaksi'!$D:$D,$E982))</f>
        <v/>
      </c>
      <c r="C982">
        <f>IF($E982="","",INDEX('Input Transaksi'!$E:$E,$E982))</f>
        <v/>
      </c>
      <c r="D982" s="5">
        <f>IF($E982="","",INDEX('Input Transaksi'!$F:$F,$E982))</f>
        <v/>
      </c>
      <c r="E982">
        <f>IFERROR(AGGREGATE(15,6,ROW('Input Transaksi'!$B$5:$B$5000)/('Input Transaksi'!$B$5:$B$5000="BALI WASH GALANG"),ROWS($E$5:E982)),"")</f>
        <v/>
      </c>
      <c r="F982" s="5" t="n"/>
    </row>
    <row r="983">
      <c r="A983" s="10">
        <f>IF($E983="","",INDEX('Input Transaksi'!$A:$A,$E983))</f>
        <v/>
      </c>
      <c r="B983" s="5">
        <f>IF($E983="","",INDEX('Input Transaksi'!$D:$D,$E983))</f>
        <v/>
      </c>
      <c r="C983">
        <f>IF($E983="","",INDEX('Input Transaksi'!$E:$E,$E983))</f>
        <v/>
      </c>
      <c r="D983" s="5">
        <f>IF($E983="","",INDEX('Input Transaksi'!$F:$F,$E983))</f>
        <v/>
      </c>
      <c r="E983">
        <f>IFERROR(AGGREGATE(15,6,ROW('Input Transaksi'!$B$5:$B$5000)/('Input Transaksi'!$B$5:$B$5000="BALI WASH GALANG"),ROWS($E$5:E983)),"")</f>
        <v/>
      </c>
      <c r="F983" s="5" t="n"/>
    </row>
    <row r="984">
      <c r="A984" s="10">
        <f>IF($E984="","",INDEX('Input Transaksi'!$A:$A,$E984))</f>
        <v/>
      </c>
      <c r="B984" s="5">
        <f>IF($E984="","",INDEX('Input Transaksi'!$D:$D,$E984))</f>
        <v/>
      </c>
      <c r="C984">
        <f>IF($E984="","",INDEX('Input Transaksi'!$E:$E,$E984))</f>
        <v/>
      </c>
      <c r="D984" s="5">
        <f>IF($E984="","",INDEX('Input Transaksi'!$F:$F,$E984))</f>
        <v/>
      </c>
      <c r="E984">
        <f>IFERROR(AGGREGATE(15,6,ROW('Input Transaksi'!$B$5:$B$5000)/('Input Transaksi'!$B$5:$B$5000="BALI WASH GALANG"),ROWS($E$5:E984)),"")</f>
        <v/>
      </c>
      <c r="F984" s="5" t="n"/>
    </row>
    <row r="985">
      <c r="A985" s="10">
        <f>IF($E985="","",INDEX('Input Transaksi'!$A:$A,$E985))</f>
        <v/>
      </c>
      <c r="B985" s="5">
        <f>IF($E985="","",INDEX('Input Transaksi'!$D:$D,$E985))</f>
        <v/>
      </c>
      <c r="C985">
        <f>IF($E985="","",INDEX('Input Transaksi'!$E:$E,$E985))</f>
        <v/>
      </c>
      <c r="D985" s="5">
        <f>IF($E985="","",INDEX('Input Transaksi'!$F:$F,$E985))</f>
        <v/>
      </c>
      <c r="E985">
        <f>IFERROR(AGGREGATE(15,6,ROW('Input Transaksi'!$B$5:$B$5000)/('Input Transaksi'!$B$5:$B$5000="BALI WASH GALANG"),ROWS($E$5:E985)),"")</f>
        <v/>
      </c>
      <c r="F985" s="5" t="n"/>
    </row>
    <row r="986">
      <c r="A986" s="10">
        <f>IF($E986="","",INDEX('Input Transaksi'!$A:$A,$E986))</f>
        <v/>
      </c>
      <c r="B986" s="5">
        <f>IF($E986="","",INDEX('Input Transaksi'!$D:$D,$E986))</f>
        <v/>
      </c>
      <c r="C986">
        <f>IF($E986="","",INDEX('Input Transaksi'!$E:$E,$E986))</f>
        <v/>
      </c>
      <c r="D986" s="5">
        <f>IF($E986="","",INDEX('Input Transaksi'!$F:$F,$E986))</f>
        <v/>
      </c>
      <c r="E986">
        <f>IFERROR(AGGREGATE(15,6,ROW('Input Transaksi'!$B$5:$B$5000)/('Input Transaksi'!$B$5:$B$5000="BALI WASH GALANG"),ROWS($E$5:E986)),"")</f>
        <v/>
      </c>
      <c r="F986" s="5" t="n"/>
    </row>
    <row r="987">
      <c r="A987" s="10">
        <f>IF($E987="","",INDEX('Input Transaksi'!$A:$A,$E987))</f>
        <v/>
      </c>
      <c r="B987" s="5">
        <f>IF($E987="","",INDEX('Input Transaksi'!$D:$D,$E987))</f>
        <v/>
      </c>
      <c r="C987">
        <f>IF($E987="","",INDEX('Input Transaksi'!$E:$E,$E987))</f>
        <v/>
      </c>
      <c r="D987" s="5">
        <f>IF($E987="","",INDEX('Input Transaksi'!$F:$F,$E987))</f>
        <v/>
      </c>
      <c r="E987">
        <f>IFERROR(AGGREGATE(15,6,ROW('Input Transaksi'!$B$5:$B$5000)/('Input Transaksi'!$B$5:$B$5000="BALI WASH GALANG"),ROWS($E$5:E987)),"")</f>
        <v/>
      </c>
      <c r="F987" s="5" t="n"/>
    </row>
    <row r="988">
      <c r="A988" s="10">
        <f>IF($E988="","",INDEX('Input Transaksi'!$A:$A,$E988))</f>
        <v/>
      </c>
      <c r="B988" s="5">
        <f>IF($E988="","",INDEX('Input Transaksi'!$D:$D,$E988))</f>
        <v/>
      </c>
      <c r="C988">
        <f>IF($E988="","",INDEX('Input Transaksi'!$E:$E,$E988))</f>
        <v/>
      </c>
      <c r="D988" s="5">
        <f>IF($E988="","",INDEX('Input Transaksi'!$F:$F,$E988))</f>
        <v/>
      </c>
      <c r="E988">
        <f>IFERROR(AGGREGATE(15,6,ROW('Input Transaksi'!$B$5:$B$5000)/('Input Transaksi'!$B$5:$B$5000="BALI WASH GALANG"),ROWS($E$5:E988)),"")</f>
        <v/>
      </c>
      <c r="F988" s="5" t="n"/>
    </row>
    <row r="989">
      <c r="A989" s="10">
        <f>IF($E989="","",INDEX('Input Transaksi'!$A:$A,$E989))</f>
        <v/>
      </c>
      <c r="B989" s="5">
        <f>IF($E989="","",INDEX('Input Transaksi'!$D:$D,$E989))</f>
        <v/>
      </c>
      <c r="C989">
        <f>IF($E989="","",INDEX('Input Transaksi'!$E:$E,$E989))</f>
        <v/>
      </c>
      <c r="D989" s="5">
        <f>IF($E989="","",INDEX('Input Transaksi'!$F:$F,$E989))</f>
        <v/>
      </c>
      <c r="E989">
        <f>IFERROR(AGGREGATE(15,6,ROW('Input Transaksi'!$B$5:$B$5000)/('Input Transaksi'!$B$5:$B$5000="BALI WASH GALANG"),ROWS($E$5:E989)),"")</f>
        <v/>
      </c>
      <c r="F989" s="5" t="n"/>
    </row>
    <row r="990">
      <c r="A990" s="10">
        <f>IF($E990="","",INDEX('Input Transaksi'!$A:$A,$E990))</f>
        <v/>
      </c>
      <c r="B990" s="5">
        <f>IF($E990="","",INDEX('Input Transaksi'!$D:$D,$E990))</f>
        <v/>
      </c>
      <c r="C990">
        <f>IF($E990="","",INDEX('Input Transaksi'!$E:$E,$E990))</f>
        <v/>
      </c>
      <c r="D990" s="5">
        <f>IF($E990="","",INDEX('Input Transaksi'!$F:$F,$E990))</f>
        <v/>
      </c>
      <c r="E990">
        <f>IFERROR(AGGREGATE(15,6,ROW('Input Transaksi'!$B$5:$B$5000)/('Input Transaksi'!$B$5:$B$5000="BALI WASH GALANG"),ROWS($E$5:E990)),"")</f>
        <v/>
      </c>
      <c r="F990" s="5" t="n"/>
    </row>
    <row r="991">
      <c r="A991" s="10">
        <f>IF($E991="","",INDEX('Input Transaksi'!$A:$A,$E991))</f>
        <v/>
      </c>
      <c r="B991" s="5">
        <f>IF($E991="","",INDEX('Input Transaksi'!$D:$D,$E991))</f>
        <v/>
      </c>
      <c r="C991">
        <f>IF($E991="","",INDEX('Input Transaksi'!$E:$E,$E991))</f>
        <v/>
      </c>
      <c r="D991" s="5">
        <f>IF($E991="","",INDEX('Input Transaksi'!$F:$F,$E991))</f>
        <v/>
      </c>
      <c r="E991">
        <f>IFERROR(AGGREGATE(15,6,ROW('Input Transaksi'!$B$5:$B$5000)/('Input Transaksi'!$B$5:$B$5000="BALI WASH GALANG"),ROWS($E$5:E991)),"")</f>
        <v/>
      </c>
      <c r="F991" s="5" t="n"/>
    </row>
    <row r="992">
      <c r="A992" s="10">
        <f>IF($E992="","",INDEX('Input Transaksi'!$A:$A,$E992))</f>
        <v/>
      </c>
      <c r="B992" s="5">
        <f>IF($E992="","",INDEX('Input Transaksi'!$D:$D,$E992))</f>
        <v/>
      </c>
      <c r="C992">
        <f>IF($E992="","",INDEX('Input Transaksi'!$E:$E,$E992))</f>
        <v/>
      </c>
      <c r="D992" s="5">
        <f>IF($E992="","",INDEX('Input Transaksi'!$F:$F,$E992))</f>
        <v/>
      </c>
      <c r="E992">
        <f>IFERROR(AGGREGATE(15,6,ROW('Input Transaksi'!$B$5:$B$5000)/('Input Transaksi'!$B$5:$B$5000="BALI WASH GALANG"),ROWS($E$5:E992)),"")</f>
        <v/>
      </c>
      <c r="F992" s="5" t="n"/>
    </row>
    <row r="993">
      <c r="A993" s="10">
        <f>IF($E993="","",INDEX('Input Transaksi'!$A:$A,$E993))</f>
        <v/>
      </c>
      <c r="B993" s="5">
        <f>IF($E993="","",INDEX('Input Transaksi'!$D:$D,$E993))</f>
        <v/>
      </c>
      <c r="C993">
        <f>IF($E993="","",INDEX('Input Transaksi'!$E:$E,$E993))</f>
        <v/>
      </c>
      <c r="D993" s="5">
        <f>IF($E993="","",INDEX('Input Transaksi'!$F:$F,$E993))</f>
        <v/>
      </c>
      <c r="E993">
        <f>IFERROR(AGGREGATE(15,6,ROW('Input Transaksi'!$B$5:$B$5000)/('Input Transaksi'!$B$5:$B$5000="BALI WASH GALANG"),ROWS($E$5:E993)),"")</f>
        <v/>
      </c>
      <c r="F993" s="5" t="n"/>
    </row>
    <row r="994">
      <c r="A994" s="10">
        <f>IF($E994="","",INDEX('Input Transaksi'!$A:$A,$E994))</f>
        <v/>
      </c>
      <c r="B994" s="5">
        <f>IF($E994="","",INDEX('Input Transaksi'!$D:$D,$E994))</f>
        <v/>
      </c>
      <c r="C994">
        <f>IF($E994="","",INDEX('Input Transaksi'!$E:$E,$E994))</f>
        <v/>
      </c>
      <c r="D994" s="5">
        <f>IF($E994="","",INDEX('Input Transaksi'!$F:$F,$E994))</f>
        <v/>
      </c>
      <c r="E994">
        <f>IFERROR(AGGREGATE(15,6,ROW('Input Transaksi'!$B$5:$B$5000)/('Input Transaksi'!$B$5:$B$5000="BALI WASH GALANG"),ROWS($E$5:E994)),"")</f>
        <v/>
      </c>
      <c r="F994" s="5" t="n"/>
    </row>
    <row r="995">
      <c r="A995" s="10">
        <f>IF($E995="","",INDEX('Input Transaksi'!$A:$A,$E995))</f>
        <v/>
      </c>
      <c r="B995" s="5">
        <f>IF($E995="","",INDEX('Input Transaksi'!$D:$D,$E995))</f>
        <v/>
      </c>
      <c r="C995">
        <f>IF($E995="","",INDEX('Input Transaksi'!$E:$E,$E995))</f>
        <v/>
      </c>
      <c r="D995" s="5">
        <f>IF($E995="","",INDEX('Input Transaksi'!$F:$F,$E995))</f>
        <v/>
      </c>
      <c r="E995">
        <f>IFERROR(AGGREGATE(15,6,ROW('Input Transaksi'!$B$5:$B$5000)/('Input Transaksi'!$B$5:$B$5000="BALI WASH GALANG"),ROWS($E$5:E995)),"")</f>
        <v/>
      </c>
      <c r="F995" s="5" t="n"/>
    </row>
    <row r="996">
      <c r="A996" s="10">
        <f>IF($E996="","",INDEX('Input Transaksi'!$A:$A,$E996))</f>
        <v/>
      </c>
      <c r="B996" s="5">
        <f>IF($E996="","",INDEX('Input Transaksi'!$D:$D,$E996))</f>
        <v/>
      </c>
      <c r="C996">
        <f>IF($E996="","",INDEX('Input Transaksi'!$E:$E,$E996))</f>
        <v/>
      </c>
      <c r="D996" s="5">
        <f>IF($E996="","",INDEX('Input Transaksi'!$F:$F,$E996))</f>
        <v/>
      </c>
      <c r="E996">
        <f>IFERROR(AGGREGATE(15,6,ROW('Input Transaksi'!$B$5:$B$5000)/('Input Transaksi'!$B$5:$B$5000="BALI WASH GALANG"),ROWS($E$5:E996)),"")</f>
        <v/>
      </c>
      <c r="F996" s="5" t="n"/>
    </row>
    <row r="997">
      <c r="A997" s="10">
        <f>IF($E997="","",INDEX('Input Transaksi'!$A:$A,$E997))</f>
        <v/>
      </c>
      <c r="B997" s="5">
        <f>IF($E997="","",INDEX('Input Transaksi'!$D:$D,$E997))</f>
        <v/>
      </c>
      <c r="C997">
        <f>IF($E997="","",INDEX('Input Transaksi'!$E:$E,$E997))</f>
        <v/>
      </c>
      <c r="D997" s="5">
        <f>IF($E997="","",INDEX('Input Transaksi'!$F:$F,$E997))</f>
        <v/>
      </c>
      <c r="E997">
        <f>IFERROR(AGGREGATE(15,6,ROW('Input Transaksi'!$B$5:$B$5000)/('Input Transaksi'!$B$5:$B$5000="BALI WASH GALANG"),ROWS($E$5:E997)),"")</f>
        <v/>
      </c>
      <c r="F997" s="5" t="n"/>
    </row>
    <row r="998">
      <c r="A998" s="10">
        <f>IF($E998="","",INDEX('Input Transaksi'!$A:$A,$E998))</f>
        <v/>
      </c>
      <c r="B998" s="5">
        <f>IF($E998="","",INDEX('Input Transaksi'!$D:$D,$E998))</f>
        <v/>
      </c>
      <c r="C998">
        <f>IF($E998="","",INDEX('Input Transaksi'!$E:$E,$E998))</f>
        <v/>
      </c>
      <c r="D998" s="5">
        <f>IF($E998="","",INDEX('Input Transaksi'!$F:$F,$E998))</f>
        <v/>
      </c>
      <c r="E998">
        <f>IFERROR(AGGREGATE(15,6,ROW('Input Transaksi'!$B$5:$B$5000)/('Input Transaksi'!$B$5:$B$5000="BALI WASH GALANG"),ROWS($E$5:E998)),"")</f>
        <v/>
      </c>
      <c r="F998" s="5" t="n"/>
    </row>
    <row r="999">
      <c r="A999" s="10">
        <f>IF($E999="","",INDEX('Input Transaksi'!$A:$A,$E999))</f>
        <v/>
      </c>
      <c r="B999" s="5">
        <f>IF($E999="","",INDEX('Input Transaksi'!$D:$D,$E999))</f>
        <v/>
      </c>
      <c r="C999">
        <f>IF($E999="","",INDEX('Input Transaksi'!$E:$E,$E999))</f>
        <v/>
      </c>
      <c r="D999" s="5">
        <f>IF($E999="","",INDEX('Input Transaksi'!$F:$F,$E999))</f>
        <v/>
      </c>
      <c r="E999">
        <f>IFERROR(AGGREGATE(15,6,ROW('Input Transaksi'!$B$5:$B$5000)/('Input Transaksi'!$B$5:$B$5000="BALI WASH GALANG"),ROWS($E$5:E999)),"")</f>
        <v/>
      </c>
      <c r="F999" s="5" t="n"/>
    </row>
    <row r="1000">
      <c r="A1000" s="10">
        <f>IF($E1000="","",INDEX('Input Transaksi'!$A:$A,$E1000))</f>
        <v/>
      </c>
      <c r="B1000" s="5">
        <f>IF($E1000="","",INDEX('Input Transaksi'!$D:$D,$E1000))</f>
        <v/>
      </c>
      <c r="C1000">
        <f>IF($E1000="","",INDEX('Input Transaksi'!$E:$E,$E1000))</f>
        <v/>
      </c>
      <c r="D1000" s="5">
        <f>IF($E1000="","",INDEX('Input Transaksi'!$F:$F,$E1000))</f>
        <v/>
      </c>
      <c r="E1000">
        <f>IFERROR(AGGREGATE(15,6,ROW('Input Transaksi'!$B$5:$B$5000)/('Input Transaksi'!$B$5:$B$5000="BALI WASH GALANG"),ROWS($E$5:E1000)),"")</f>
        <v/>
      </c>
      <c r="F1000" s="5" t="n"/>
    </row>
  </sheetData>
  <autoFilter ref="A4:D1000"/>
  <mergeCells count="1">
    <mergeCell ref="A1:E1"/>
  </mergeCells>
  <hyperlinks>
    <hyperlink ref="F1" location="'Beranda'!A1" display="Kembali ke Beranda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00"/>
  <sheetViews>
    <sheetView workbookViewId="0">
      <pane ySplit="4" topLeftCell="A5" activePane="bottomLeft" state="frozen"/>
      <selection pane="bottomLeft" activeCell="A1" sqref="A1"/>
    </sheetView>
  </sheetViews>
  <sheetFormatPr baseColWidth="10" defaultColWidth="8.83203125" defaultRowHeight="15"/>
  <cols>
    <col width="16" customWidth="1" min="1" max="1"/>
    <col width="22" customWidth="1" min="2" max="2"/>
    <col width="12" customWidth="1" min="3" max="3"/>
    <col width="26" customWidth="1" min="4" max="4"/>
    <col hidden="1" width="12.6640625" customWidth="1" min="5" max="5"/>
    <col width="16" customWidth="1" min="6" max="6"/>
    <col hidden="1" width="13" customWidth="1" min="7" max="7"/>
  </cols>
  <sheetData>
    <row r="1" ht="24" customHeight="1">
      <c r="A1" s="11" t="inlineStr">
        <is>
          <t>JCL BYPASS</t>
        </is>
      </c>
      <c r="F1" s="3" t="inlineStr">
        <is>
          <t>Kembali ke Beranda</t>
        </is>
      </c>
    </row>
    <row r="2">
      <c r="A2" s="13" t="inlineStr">
        <is>
          <t>Wilayah</t>
        </is>
      </c>
      <c r="B2" s="13" t="inlineStr">
        <is>
          <t>SELATAN</t>
        </is>
      </c>
      <c r="C2" s="13" t="inlineStr">
        <is>
          <t>Total Qty</t>
        </is>
      </c>
      <c r="D2" s="2">
        <f>SUMIFS('Input Transaksi'!$E$5:$E$5000,'Input Transaksi'!$B$5:$B$5000,"JCL BYPASS")</f>
        <v/>
      </c>
      <c r="E2" s="13" t="inlineStr">
        <is>
          <t>Jumlah Transaksi</t>
        </is>
      </c>
      <c r="F2" s="2">
        <f>COUNTIF('Input Transaksi'!$B$5:$B$5000,"JCL BYPASS")</f>
        <v/>
      </c>
    </row>
    <row r="3"/>
    <row r="4">
      <c r="A4" s="4" t="inlineStr">
        <is>
          <t>Tanggal</t>
        </is>
      </c>
      <c r="B4" s="4" t="inlineStr">
        <is>
          <t>Item</t>
        </is>
      </c>
      <c r="C4" s="4" t="inlineStr">
        <is>
          <t>Qty Keluar</t>
        </is>
      </c>
      <c r="D4" s="4" t="inlineStr">
        <is>
          <t>Catatan</t>
        </is>
      </c>
      <c r="E4" t="inlineStr">
        <is>
          <t>RowRef</t>
        </is>
      </c>
      <c r="F4" s="4" t="n"/>
    </row>
    <row r="5">
      <c r="A5" s="10">
        <f>IF($E5="","",INDEX('Input Transaksi'!$A:$A,$E5))</f>
        <v/>
      </c>
      <c r="B5" s="5">
        <f>IF($E5="","",INDEX('Input Transaksi'!$D:$D,$E5))</f>
        <v/>
      </c>
      <c r="C5">
        <f>IF($E5="","",INDEX('Input Transaksi'!$E:$E,$E5))</f>
        <v/>
      </c>
      <c r="D5" s="5">
        <f>IF($E5="","",INDEX('Input Transaksi'!$F:$F,$E5))</f>
        <v/>
      </c>
      <c r="E5">
        <f>IFERROR(AGGREGATE(15,6,ROW('Input Transaksi'!$B$5:$B$5000)/('Input Transaksi'!$B$5:$B$5000="JCL BYPASS"),ROWS($E$5:E5)),"")</f>
        <v/>
      </c>
      <c r="F5" s="5" t="n"/>
    </row>
    <row r="6">
      <c r="A6" s="10">
        <f>IF($E6="","",INDEX('Input Transaksi'!$A:$A,$E6))</f>
        <v/>
      </c>
      <c r="B6" s="5">
        <f>IF($E6="","",INDEX('Input Transaksi'!$D:$D,$E6))</f>
        <v/>
      </c>
      <c r="C6">
        <f>IF($E6="","",INDEX('Input Transaksi'!$E:$E,$E6))</f>
        <v/>
      </c>
      <c r="D6" s="5">
        <f>IF($E6="","",INDEX('Input Transaksi'!$F:$F,$E6))</f>
        <v/>
      </c>
      <c r="E6">
        <f>IFERROR(AGGREGATE(15,6,ROW('Input Transaksi'!$B$5:$B$5000)/('Input Transaksi'!$B$5:$B$5000="JCL BYPASS"),ROWS($E$5:E6)),"")</f>
        <v/>
      </c>
      <c r="F6" s="5" t="n"/>
    </row>
    <row r="7">
      <c r="A7" s="10">
        <f>IF($E7="","",INDEX('Input Transaksi'!$A:$A,$E7))</f>
        <v/>
      </c>
      <c r="B7" s="5">
        <f>IF($E7="","",INDEX('Input Transaksi'!$D:$D,$E7))</f>
        <v/>
      </c>
      <c r="C7">
        <f>IF($E7="","",INDEX('Input Transaksi'!$E:$E,$E7))</f>
        <v/>
      </c>
      <c r="D7" s="5">
        <f>IF($E7="","",INDEX('Input Transaksi'!$F:$F,$E7))</f>
        <v/>
      </c>
      <c r="E7">
        <f>IFERROR(AGGREGATE(15,6,ROW('Input Transaksi'!$B$5:$B$5000)/('Input Transaksi'!$B$5:$B$5000="JCL BYPASS"),ROWS($E$5:E7)),"")</f>
        <v/>
      </c>
      <c r="F7" s="5" t="n"/>
    </row>
    <row r="8">
      <c r="A8" s="10">
        <f>IF($E8="","",INDEX('Input Transaksi'!$A:$A,$E8))</f>
        <v/>
      </c>
      <c r="B8" s="5">
        <f>IF($E8="","",INDEX('Input Transaksi'!$D:$D,$E8))</f>
        <v/>
      </c>
      <c r="C8">
        <f>IF($E8="","",INDEX('Input Transaksi'!$E:$E,$E8))</f>
        <v/>
      </c>
      <c r="D8" s="5">
        <f>IF($E8="","",INDEX('Input Transaksi'!$F:$F,$E8))</f>
        <v/>
      </c>
      <c r="E8">
        <f>IFERROR(AGGREGATE(15,6,ROW('Input Transaksi'!$B$5:$B$5000)/('Input Transaksi'!$B$5:$B$5000="JCL BYPASS"),ROWS($E$5:E8)),"")</f>
        <v/>
      </c>
      <c r="F8" s="5" t="n"/>
    </row>
    <row r="9">
      <c r="A9" s="10">
        <f>IF($E9="","",INDEX('Input Transaksi'!$A:$A,$E9))</f>
        <v/>
      </c>
      <c r="B9" s="5">
        <f>IF($E9="","",INDEX('Input Transaksi'!$D:$D,$E9))</f>
        <v/>
      </c>
      <c r="C9">
        <f>IF($E9="","",INDEX('Input Transaksi'!$E:$E,$E9))</f>
        <v/>
      </c>
      <c r="D9" s="5">
        <f>IF($E9="","",INDEX('Input Transaksi'!$F:$F,$E9))</f>
        <v/>
      </c>
      <c r="E9">
        <f>IFERROR(AGGREGATE(15,6,ROW('Input Transaksi'!$B$5:$B$5000)/('Input Transaksi'!$B$5:$B$5000="JCL BYPASS"),ROWS($E$5:E9)),"")</f>
        <v/>
      </c>
      <c r="F9" s="5" t="n"/>
    </row>
    <row r="10">
      <c r="A10" s="10">
        <f>IF($E10="","",INDEX('Input Transaksi'!$A:$A,$E10))</f>
        <v/>
      </c>
      <c r="B10" s="5">
        <f>IF($E10="","",INDEX('Input Transaksi'!$D:$D,$E10))</f>
        <v/>
      </c>
      <c r="C10">
        <f>IF($E10="","",INDEX('Input Transaksi'!$E:$E,$E10))</f>
        <v/>
      </c>
      <c r="D10" s="5">
        <f>IF($E10="","",INDEX('Input Transaksi'!$F:$F,$E10))</f>
        <v/>
      </c>
      <c r="E10">
        <f>IFERROR(AGGREGATE(15,6,ROW('Input Transaksi'!$B$5:$B$5000)/('Input Transaksi'!$B$5:$B$5000="JCL BYPASS"),ROWS($E$5:E10)),"")</f>
        <v/>
      </c>
      <c r="F10" s="5" t="n"/>
    </row>
    <row r="11">
      <c r="A11" s="10">
        <f>IF($E11="","",INDEX('Input Transaksi'!$A:$A,$E11))</f>
        <v/>
      </c>
      <c r="B11" s="5">
        <f>IF($E11="","",INDEX('Input Transaksi'!$D:$D,$E11))</f>
        <v/>
      </c>
      <c r="C11">
        <f>IF($E11="","",INDEX('Input Transaksi'!$E:$E,$E11))</f>
        <v/>
      </c>
      <c r="D11" s="5">
        <f>IF($E11="","",INDEX('Input Transaksi'!$F:$F,$E11))</f>
        <v/>
      </c>
      <c r="E11">
        <f>IFERROR(AGGREGATE(15,6,ROW('Input Transaksi'!$B$5:$B$5000)/('Input Transaksi'!$B$5:$B$5000="JCL BYPASS"),ROWS($E$5:E11)),"")</f>
        <v/>
      </c>
      <c r="F11" s="5" t="n"/>
    </row>
    <row r="12">
      <c r="A12" s="10">
        <f>IF($E12="","",INDEX('Input Transaksi'!$A:$A,$E12))</f>
        <v/>
      </c>
      <c r="B12" s="5">
        <f>IF($E12="","",INDEX('Input Transaksi'!$D:$D,$E12))</f>
        <v/>
      </c>
      <c r="C12">
        <f>IF($E12="","",INDEX('Input Transaksi'!$E:$E,$E12))</f>
        <v/>
      </c>
      <c r="D12" s="5">
        <f>IF($E12="","",INDEX('Input Transaksi'!$F:$F,$E12))</f>
        <v/>
      </c>
      <c r="E12">
        <f>IFERROR(AGGREGATE(15,6,ROW('Input Transaksi'!$B$5:$B$5000)/('Input Transaksi'!$B$5:$B$5000="JCL BYPASS"),ROWS($E$5:E12)),"")</f>
        <v/>
      </c>
      <c r="F12" s="5" t="n"/>
    </row>
    <row r="13">
      <c r="A13" s="10">
        <f>IF($E13="","",INDEX('Input Transaksi'!$A:$A,$E13))</f>
        <v/>
      </c>
      <c r="B13" s="5">
        <f>IF($E13="","",INDEX('Input Transaksi'!$D:$D,$E13))</f>
        <v/>
      </c>
      <c r="C13">
        <f>IF($E13="","",INDEX('Input Transaksi'!$E:$E,$E13))</f>
        <v/>
      </c>
      <c r="D13" s="5">
        <f>IF($E13="","",INDEX('Input Transaksi'!$F:$F,$E13))</f>
        <v/>
      </c>
      <c r="E13">
        <f>IFERROR(AGGREGATE(15,6,ROW('Input Transaksi'!$B$5:$B$5000)/('Input Transaksi'!$B$5:$B$5000="JCL BYPASS"),ROWS($E$5:E13)),"")</f>
        <v/>
      </c>
      <c r="F13" s="5" t="n"/>
    </row>
    <row r="14">
      <c r="A14" s="10">
        <f>IF($E14="","",INDEX('Input Transaksi'!$A:$A,$E14))</f>
        <v/>
      </c>
      <c r="B14" s="5">
        <f>IF($E14="","",INDEX('Input Transaksi'!$D:$D,$E14))</f>
        <v/>
      </c>
      <c r="C14">
        <f>IF($E14="","",INDEX('Input Transaksi'!$E:$E,$E14))</f>
        <v/>
      </c>
      <c r="D14" s="5">
        <f>IF($E14="","",INDEX('Input Transaksi'!$F:$F,$E14))</f>
        <v/>
      </c>
      <c r="E14">
        <f>IFERROR(AGGREGATE(15,6,ROW('Input Transaksi'!$B$5:$B$5000)/('Input Transaksi'!$B$5:$B$5000="JCL BYPASS"),ROWS($E$5:E14)),"")</f>
        <v/>
      </c>
      <c r="F14" s="5" t="n"/>
    </row>
    <row r="15">
      <c r="A15" s="10">
        <f>IF($E15="","",INDEX('Input Transaksi'!$A:$A,$E15))</f>
        <v/>
      </c>
      <c r="B15" s="5">
        <f>IF($E15="","",INDEX('Input Transaksi'!$D:$D,$E15))</f>
        <v/>
      </c>
      <c r="C15">
        <f>IF($E15="","",INDEX('Input Transaksi'!$E:$E,$E15))</f>
        <v/>
      </c>
      <c r="D15" s="5">
        <f>IF($E15="","",INDEX('Input Transaksi'!$F:$F,$E15))</f>
        <v/>
      </c>
      <c r="E15">
        <f>IFERROR(AGGREGATE(15,6,ROW('Input Transaksi'!$B$5:$B$5000)/('Input Transaksi'!$B$5:$B$5000="JCL BYPASS"),ROWS($E$5:E15)),"")</f>
        <v/>
      </c>
      <c r="F15" s="5" t="n"/>
    </row>
    <row r="16">
      <c r="A16" s="10">
        <f>IF($E16="","",INDEX('Input Transaksi'!$A:$A,$E16))</f>
        <v/>
      </c>
      <c r="B16" s="5">
        <f>IF($E16="","",INDEX('Input Transaksi'!$D:$D,$E16))</f>
        <v/>
      </c>
      <c r="C16">
        <f>IF($E16="","",INDEX('Input Transaksi'!$E:$E,$E16))</f>
        <v/>
      </c>
      <c r="D16" s="5">
        <f>IF($E16="","",INDEX('Input Transaksi'!$F:$F,$E16))</f>
        <v/>
      </c>
      <c r="E16">
        <f>IFERROR(AGGREGATE(15,6,ROW('Input Transaksi'!$B$5:$B$5000)/('Input Transaksi'!$B$5:$B$5000="JCL BYPASS"),ROWS($E$5:E16)),"")</f>
        <v/>
      </c>
      <c r="F16" s="5" t="n"/>
    </row>
    <row r="17">
      <c r="A17" s="10">
        <f>IF($E17="","",INDEX('Input Transaksi'!$A:$A,$E17))</f>
        <v/>
      </c>
      <c r="B17" s="5">
        <f>IF($E17="","",INDEX('Input Transaksi'!$D:$D,$E17))</f>
        <v/>
      </c>
      <c r="C17">
        <f>IF($E17="","",INDEX('Input Transaksi'!$E:$E,$E17))</f>
        <v/>
      </c>
      <c r="D17" s="5">
        <f>IF($E17="","",INDEX('Input Transaksi'!$F:$F,$E17))</f>
        <v/>
      </c>
      <c r="E17">
        <f>IFERROR(AGGREGATE(15,6,ROW('Input Transaksi'!$B$5:$B$5000)/('Input Transaksi'!$B$5:$B$5000="JCL BYPASS"),ROWS($E$5:E17)),"")</f>
        <v/>
      </c>
      <c r="F17" s="5" t="n"/>
    </row>
    <row r="18">
      <c r="A18" s="10">
        <f>IF($E18="","",INDEX('Input Transaksi'!$A:$A,$E18))</f>
        <v/>
      </c>
      <c r="B18" s="5">
        <f>IF($E18="","",INDEX('Input Transaksi'!$D:$D,$E18))</f>
        <v/>
      </c>
      <c r="C18">
        <f>IF($E18="","",INDEX('Input Transaksi'!$E:$E,$E18))</f>
        <v/>
      </c>
      <c r="D18" s="5">
        <f>IF($E18="","",INDEX('Input Transaksi'!$F:$F,$E18))</f>
        <v/>
      </c>
      <c r="E18">
        <f>IFERROR(AGGREGATE(15,6,ROW('Input Transaksi'!$B$5:$B$5000)/('Input Transaksi'!$B$5:$B$5000="JCL BYPASS"),ROWS($E$5:E18)),"")</f>
        <v/>
      </c>
      <c r="F18" s="5" t="n"/>
    </row>
    <row r="19">
      <c r="A19" s="10">
        <f>IF($E19="","",INDEX('Input Transaksi'!$A:$A,$E19))</f>
        <v/>
      </c>
      <c r="B19" s="5">
        <f>IF($E19="","",INDEX('Input Transaksi'!$D:$D,$E19))</f>
        <v/>
      </c>
      <c r="C19">
        <f>IF($E19="","",INDEX('Input Transaksi'!$E:$E,$E19))</f>
        <v/>
      </c>
      <c r="D19" s="5">
        <f>IF($E19="","",INDEX('Input Transaksi'!$F:$F,$E19))</f>
        <v/>
      </c>
      <c r="E19">
        <f>IFERROR(AGGREGATE(15,6,ROW('Input Transaksi'!$B$5:$B$5000)/('Input Transaksi'!$B$5:$B$5000="JCL BYPASS"),ROWS($E$5:E19)),"")</f>
        <v/>
      </c>
      <c r="F19" s="5" t="n"/>
    </row>
    <row r="20">
      <c r="A20" s="10">
        <f>IF($E20="","",INDEX('Input Transaksi'!$A:$A,$E20))</f>
        <v/>
      </c>
      <c r="B20" s="5">
        <f>IF($E20="","",INDEX('Input Transaksi'!$D:$D,$E20))</f>
        <v/>
      </c>
      <c r="C20">
        <f>IF($E20="","",INDEX('Input Transaksi'!$E:$E,$E20))</f>
        <v/>
      </c>
      <c r="D20" s="5">
        <f>IF($E20="","",INDEX('Input Transaksi'!$F:$F,$E20))</f>
        <v/>
      </c>
      <c r="E20">
        <f>IFERROR(AGGREGATE(15,6,ROW('Input Transaksi'!$B$5:$B$5000)/('Input Transaksi'!$B$5:$B$5000="JCL BYPASS"),ROWS($E$5:E20)),"")</f>
        <v/>
      </c>
      <c r="F20" s="5" t="n"/>
    </row>
    <row r="21">
      <c r="A21" s="10">
        <f>IF($E21="","",INDEX('Input Transaksi'!$A:$A,$E21))</f>
        <v/>
      </c>
      <c r="B21" s="5">
        <f>IF($E21="","",INDEX('Input Transaksi'!$D:$D,$E21))</f>
        <v/>
      </c>
      <c r="C21">
        <f>IF($E21="","",INDEX('Input Transaksi'!$E:$E,$E21))</f>
        <v/>
      </c>
      <c r="D21" s="5">
        <f>IF($E21="","",INDEX('Input Transaksi'!$F:$F,$E21))</f>
        <v/>
      </c>
      <c r="E21">
        <f>IFERROR(AGGREGATE(15,6,ROW('Input Transaksi'!$B$5:$B$5000)/('Input Transaksi'!$B$5:$B$5000="JCL BYPASS"),ROWS($E$5:E21)),"")</f>
        <v/>
      </c>
      <c r="F21" s="5" t="n"/>
    </row>
    <row r="22">
      <c r="A22" s="10">
        <f>IF($E22="","",INDEX('Input Transaksi'!$A:$A,$E22))</f>
        <v/>
      </c>
      <c r="B22" s="5">
        <f>IF($E22="","",INDEX('Input Transaksi'!$D:$D,$E22))</f>
        <v/>
      </c>
      <c r="C22">
        <f>IF($E22="","",INDEX('Input Transaksi'!$E:$E,$E22))</f>
        <v/>
      </c>
      <c r="D22" s="5">
        <f>IF($E22="","",INDEX('Input Transaksi'!$F:$F,$E22))</f>
        <v/>
      </c>
      <c r="E22">
        <f>IFERROR(AGGREGATE(15,6,ROW('Input Transaksi'!$B$5:$B$5000)/('Input Transaksi'!$B$5:$B$5000="JCL BYPASS"),ROWS($E$5:E22)),"")</f>
        <v/>
      </c>
      <c r="F22" s="5" t="n"/>
    </row>
    <row r="23">
      <c r="A23" s="10">
        <f>IF($E23="","",INDEX('Input Transaksi'!$A:$A,$E23))</f>
        <v/>
      </c>
      <c r="B23" s="5">
        <f>IF($E23="","",INDEX('Input Transaksi'!$D:$D,$E23))</f>
        <v/>
      </c>
      <c r="C23">
        <f>IF($E23="","",INDEX('Input Transaksi'!$E:$E,$E23))</f>
        <v/>
      </c>
      <c r="D23" s="5">
        <f>IF($E23="","",INDEX('Input Transaksi'!$F:$F,$E23))</f>
        <v/>
      </c>
      <c r="E23">
        <f>IFERROR(AGGREGATE(15,6,ROW('Input Transaksi'!$B$5:$B$5000)/('Input Transaksi'!$B$5:$B$5000="JCL BYPASS"),ROWS($E$5:E23)),"")</f>
        <v/>
      </c>
      <c r="F23" s="5" t="n"/>
    </row>
    <row r="24">
      <c r="A24" s="10">
        <f>IF($E24="","",INDEX('Input Transaksi'!$A:$A,$E24))</f>
        <v/>
      </c>
      <c r="B24" s="5">
        <f>IF($E24="","",INDEX('Input Transaksi'!$D:$D,$E24))</f>
        <v/>
      </c>
      <c r="C24">
        <f>IF($E24="","",INDEX('Input Transaksi'!$E:$E,$E24))</f>
        <v/>
      </c>
      <c r="D24" s="5">
        <f>IF($E24="","",INDEX('Input Transaksi'!$F:$F,$E24))</f>
        <v/>
      </c>
      <c r="E24">
        <f>IFERROR(AGGREGATE(15,6,ROW('Input Transaksi'!$B$5:$B$5000)/('Input Transaksi'!$B$5:$B$5000="JCL BYPASS"),ROWS($E$5:E24)),"")</f>
        <v/>
      </c>
      <c r="F24" s="5" t="n"/>
    </row>
    <row r="25">
      <c r="A25" s="10">
        <f>IF($E25="","",INDEX('Input Transaksi'!$A:$A,$E25))</f>
        <v/>
      </c>
      <c r="B25" s="5">
        <f>IF($E25="","",INDEX('Input Transaksi'!$D:$D,$E25))</f>
        <v/>
      </c>
      <c r="C25">
        <f>IF($E25="","",INDEX('Input Transaksi'!$E:$E,$E25))</f>
        <v/>
      </c>
      <c r="D25" s="5">
        <f>IF($E25="","",INDEX('Input Transaksi'!$F:$F,$E25))</f>
        <v/>
      </c>
      <c r="E25">
        <f>IFERROR(AGGREGATE(15,6,ROW('Input Transaksi'!$B$5:$B$5000)/('Input Transaksi'!$B$5:$B$5000="JCL BYPASS"),ROWS($E$5:E25)),"")</f>
        <v/>
      </c>
      <c r="F25" s="5" t="n"/>
    </row>
    <row r="26">
      <c r="A26" s="10">
        <f>IF($E26="","",INDEX('Input Transaksi'!$A:$A,$E26))</f>
        <v/>
      </c>
      <c r="B26" s="5">
        <f>IF($E26="","",INDEX('Input Transaksi'!$D:$D,$E26))</f>
        <v/>
      </c>
      <c r="C26">
        <f>IF($E26="","",INDEX('Input Transaksi'!$E:$E,$E26))</f>
        <v/>
      </c>
      <c r="D26" s="5">
        <f>IF($E26="","",INDEX('Input Transaksi'!$F:$F,$E26))</f>
        <v/>
      </c>
      <c r="E26">
        <f>IFERROR(AGGREGATE(15,6,ROW('Input Transaksi'!$B$5:$B$5000)/('Input Transaksi'!$B$5:$B$5000="JCL BYPASS"),ROWS($E$5:E26)),"")</f>
        <v/>
      </c>
      <c r="F26" s="5" t="n"/>
    </row>
    <row r="27">
      <c r="A27" s="10">
        <f>IF($E27="","",INDEX('Input Transaksi'!$A:$A,$E27))</f>
        <v/>
      </c>
      <c r="B27" s="5">
        <f>IF($E27="","",INDEX('Input Transaksi'!$D:$D,$E27))</f>
        <v/>
      </c>
      <c r="C27">
        <f>IF($E27="","",INDEX('Input Transaksi'!$E:$E,$E27))</f>
        <v/>
      </c>
      <c r="D27" s="5">
        <f>IF($E27="","",INDEX('Input Transaksi'!$F:$F,$E27))</f>
        <v/>
      </c>
      <c r="E27">
        <f>IFERROR(AGGREGATE(15,6,ROW('Input Transaksi'!$B$5:$B$5000)/('Input Transaksi'!$B$5:$B$5000="JCL BYPASS"),ROWS($E$5:E27)),"")</f>
        <v/>
      </c>
      <c r="F27" s="5" t="n"/>
    </row>
    <row r="28">
      <c r="A28" s="10">
        <f>IF($E28="","",INDEX('Input Transaksi'!$A:$A,$E28))</f>
        <v/>
      </c>
      <c r="B28" s="5">
        <f>IF($E28="","",INDEX('Input Transaksi'!$D:$D,$E28))</f>
        <v/>
      </c>
      <c r="C28">
        <f>IF($E28="","",INDEX('Input Transaksi'!$E:$E,$E28))</f>
        <v/>
      </c>
      <c r="D28" s="5">
        <f>IF($E28="","",INDEX('Input Transaksi'!$F:$F,$E28))</f>
        <v/>
      </c>
      <c r="E28">
        <f>IFERROR(AGGREGATE(15,6,ROW('Input Transaksi'!$B$5:$B$5000)/('Input Transaksi'!$B$5:$B$5000="JCL BYPASS"),ROWS($E$5:E28)),"")</f>
        <v/>
      </c>
      <c r="F28" s="5" t="n"/>
    </row>
    <row r="29">
      <c r="A29" s="10">
        <f>IF($E29="","",INDEX('Input Transaksi'!$A:$A,$E29))</f>
        <v/>
      </c>
      <c r="B29" s="5">
        <f>IF($E29="","",INDEX('Input Transaksi'!$D:$D,$E29))</f>
        <v/>
      </c>
      <c r="C29">
        <f>IF($E29="","",INDEX('Input Transaksi'!$E:$E,$E29))</f>
        <v/>
      </c>
      <c r="D29" s="5">
        <f>IF($E29="","",INDEX('Input Transaksi'!$F:$F,$E29))</f>
        <v/>
      </c>
      <c r="E29">
        <f>IFERROR(AGGREGATE(15,6,ROW('Input Transaksi'!$B$5:$B$5000)/('Input Transaksi'!$B$5:$B$5000="JCL BYPASS"),ROWS($E$5:E29)),"")</f>
        <v/>
      </c>
      <c r="F29" s="5" t="n"/>
    </row>
    <row r="30">
      <c r="A30" s="10">
        <f>IF($E30="","",INDEX('Input Transaksi'!$A:$A,$E30))</f>
        <v/>
      </c>
      <c r="B30" s="5">
        <f>IF($E30="","",INDEX('Input Transaksi'!$D:$D,$E30))</f>
        <v/>
      </c>
      <c r="C30">
        <f>IF($E30="","",INDEX('Input Transaksi'!$E:$E,$E30))</f>
        <v/>
      </c>
      <c r="D30" s="5">
        <f>IF($E30="","",INDEX('Input Transaksi'!$F:$F,$E30))</f>
        <v/>
      </c>
      <c r="E30">
        <f>IFERROR(AGGREGATE(15,6,ROW('Input Transaksi'!$B$5:$B$5000)/('Input Transaksi'!$B$5:$B$5000="JCL BYPASS"),ROWS($E$5:E30)),"")</f>
        <v/>
      </c>
      <c r="F30" s="5" t="n"/>
    </row>
    <row r="31">
      <c r="A31" s="10">
        <f>IF($E31="","",INDEX('Input Transaksi'!$A:$A,$E31))</f>
        <v/>
      </c>
      <c r="B31" s="5">
        <f>IF($E31="","",INDEX('Input Transaksi'!$D:$D,$E31))</f>
        <v/>
      </c>
      <c r="C31">
        <f>IF($E31="","",INDEX('Input Transaksi'!$E:$E,$E31))</f>
        <v/>
      </c>
      <c r="D31" s="5">
        <f>IF($E31="","",INDEX('Input Transaksi'!$F:$F,$E31))</f>
        <v/>
      </c>
      <c r="E31">
        <f>IFERROR(AGGREGATE(15,6,ROW('Input Transaksi'!$B$5:$B$5000)/('Input Transaksi'!$B$5:$B$5000="JCL BYPASS"),ROWS($E$5:E31)),"")</f>
        <v/>
      </c>
      <c r="F31" s="5" t="n"/>
    </row>
    <row r="32">
      <c r="A32" s="10">
        <f>IF($E32="","",INDEX('Input Transaksi'!$A:$A,$E32))</f>
        <v/>
      </c>
      <c r="B32" s="5">
        <f>IF($E32="","",INDEX('Input Transaksi'!$D:$D,$E32))</f>
        <v/>
      </c>
      <c r="C32">
        <f>IF($E32="","",INDEX('Input Transaksi'!$E:$E,$E32))</f>
        <v/>
      </c>
      <c r="D32" s="5">
        <f>IF($E32="","",INDEX('Input Transaksi'!$F:$F,$E32))</f>
        <v/>
      </c>
      <c r="E32">
        <f>IFERROR(AGGREGATE(15,6,ROW('Input Transaksi'!$B$5:$B$5000)/('Input Transaksi'!$B$5:$B$5000="JCL BYPASS"),ROWS($E$5:E32)),"")</f>
        <v/>
      </c>
      <c r="F32" s="5" t="n"/>
    </row>
    <row r="33">
      <c r="A33" s="10">
        <f>IF($E33="","",INDEX('Input Transaksi'!$A:$A,$E33))</f>
        <v/>
      </c>
      <c r="B33" s="5">
        <f>IF($E33="","",INDEX('Input Transaksi'!$D:$D,$E33))</f>
        <v/>
      </c>
      <c r="C33">
        <f>IF($E33="","",INDEX('Input Transaksi'!$E:$E,$E33))</f>
        <v/>
      </c>
      <c r="D33" s="5">
        <f>IF($E33="","",INDEX('Input Transaksi'!$F:$F,$E33))</f>
        <v/>
      </c>
      <c r="E33">
        <f>IFERROR(AGGREGATE(15,6,ROW('Input Transaksi'!$B$5:$B$5000)/('Input Transaksi'!$B$5:$B$5000="JCL BYPASS"),ROWS($E$5:E33)),"")</f>
        <v/>
      </c>
      <c r="F33" s="5" t="n"/>
    </row>
    <row r="34">
      <c r="A34" s="10">
        <f>IF($E34="","",INDEX('Input Transaksi'!$A:$A,$E34))</f>
        <v/>
      </c>
      <c r="B34" s="5">
        <f>IF($E34="","",INDEX('Input Transaksi'!$D:$D,$E34))</f>
        <v/>
      </c>
      <c r="C34">
        <f>IF($E34="","",INDEX('Input Transaksi'!$E:$E,$E34))</f>
        <v/>
      </c>
      <c r="D34" s="5">
        <f>IF($E34="","",INDEX('Input Transaksi'!$F:$F,$E34))</f>
        <v/>
      </c>
      <c r="E34">
        <f>IFERROR(AGGREGATE(15,6,ROW('Input Transaksi'!$B$5:$B$5000)/('Input Transaksi'!$B$5:$B$5000="JCL BYPASS"),ROWS($E$5:E34)),"")</f>
        <v/>
      </c>
      <c r="F34" s="5" t="n"/>
    </row>
    <row r="35">
      <c r="A35" s="10">
        <f>IF($E35="","",INDEX('Input Transaksi'!$A:$A,$E35))</f>
        <v/>
      </c>
      <c r="B35" s="5">
        <f>IF($E35="","",INDEX('Input Transaksi'!$D:$D,$E35))</f>
        <v/>
      </c>
      <c r="C35">
        <f>IF($E35="","",INDEX('Input Transaksi'!$E:$E,$E35))</f>
        <v/>
      </c>
      <c r="D35" s="5">
        <f>IF($E35="","",INDEX('Input Transaksi'!$F:$F,$E35))</f>
        <v/>
      </c>
      <c r="E35">
        <f>IFERROR(AGGREGATE(15,6,ROW('Input Transaksi'!$B$5:$B$5000)/('Input Transaksi'!$B$5:$B$5000="JCL BYPASS"),ROWS($E$5:E35)),"")</f>
        <v/>
      </c>
      <c r="F35" s="5" t="n"/>
    </row>
    <row r="36">
      <c r="A36" s="10">
        <f>IF($E36="","",INDEX('Input Transaksi'!$A:$A,$E36))</f>
        <v/>
      </c>
      <c r="B36" s="5">
        <f>IF($E36="","",INDEX('Input Transaksi'!$D:$D,$E36))</f>
        <v/>
      </c>
      <c r="C36">
        <f>IF($E36="","",INDEX('Input Transaksi'!$E:$E,$E36))</f>
        <v/>
      </c>
      <c r="D36" s="5">
        <f>IF($E36="","",INDEX('Input Transaksi'!$F:$F,$E36))</f>
        <v/>
      </c>
      <c r="E36">
        <f>IFERROR(AGGREGATE(15,6,ROW('Input Transaksi'!$B$5:$B$5000)/('Input Transaksi'!$B$5:$B$5000="JCL BYPASS"),ROWS($E$5:E36)),"")</f>
        <v/>
      </c>
      <c r="F36" s="5" t="n"/>
    </row>
    <row r="37">
      <c r="A37" s="10">
        <f>IF($E37="","",INDEX('Input Transaksi'!$A:$A,$E37))</f>
        <v/>
      </c>
      <c r="B37" s="5">
        <f>IF($E37="","",INDEX('Input Transaksi'!$D:$D,$E37))</f>
        <v/>
      </c>
      <c r="C37">
        <f>IF($E37="","",INDEX('Input Transaksi'!$E:$E,$E37))</f>
        <v/>
      </c>
      <c r="D37" s="5">
        <f>IF($E37="","",INDEX('Input Transaksi'!$F:$F,$E37))</f>
        <v/>
      </c>
      <c r="E37">
        <f>IFERROR(AGGREGATE(15,6,ROW('Input Transaksi'!$B$5:$B$5000)/('Input Transaksi'!$B$5:$B$5000="JCL BYPASS"),ROWS($E$5:E37)),"")</f>
        <v/>
      </c>
      <c r="F37" s="5" t="n"/>
    </row>
    <row r="38">
      <c r="A38" s="10">
        <f>IF($E38="","",INDEX('Input Transaksi'!$A:$A,$E38))</f>
        <v/>
      </c>
      <c r="B38" s="5">
        <f>IF($E38="","",INDEX('Input Transaksi'!$D:$D,$E38))</f>
        <v/>
      </c>
      <c r="C38">
        <f>IF($E38="","",INDEX('Input Transaksi'!$E:$E,$E38))</f>
        <v/>
      </c>
      <c r="D38" s="5">
        <f>IF($E38="","",INDEX('Input Transaksi'!$F:$F,$E38))</f>
        <v/>
      </c>
      <c r="E38">
        <f>IFERROR(AGGREGATE(15,6,ROW('Input Transaksi'!$B$5:$B$5000)/('Input Transaksi'!$B$5:$B$5000="JCL BYPASS"),ROWS($E$5:E38)),"")</f>
        <v/>
      </c>
      <c r="F38" s="5" t="n"/>
    </row>
    <row r="39">
      <c r="A39" s="10">
        <f>IF($E39="","",INDEX('Input Transaksi'!$A:$A,$E39))</f>
        <v/>
      </c>
      <c r="B39" s="5">
        <f>IF($E39="","",INDEX('Input Transaksi'!$D:$D,$E39))</f>
        <v/>
      </c>
      <c r="C39">
        <f>IF($E39="","",INDEX('Input Transaksi'!$E:$E,$E39))</f>
        <v/>
      </c>
      <c r="D39" s="5">
        <f>IF($E39="","",INDEX('Input Transaksi'!$F:$F,$E39))</f>
        <v/>
      </c>
      <c r="E39">
        <f>IFERROR(AGGREGATE(15,6,ROW('Input Transaksi'!$B$5:$B$5000)/('Input Transaksi'!$B$5:$B$5000="JCL BYPASS"),ROWS($E$5:E39)),"")</f>
        <v/>
      </c>
      <c r="F39" s="5" t="n"/>
    </row>
    <row r="40">
      <c r="A40" s="10">
        <f>IF($E40="","",INDEX('Input Transaksi'!$A:$A,$E40))</f>
        <v/>
      </c>
      <c r="B40" s="5">
        <f>IF($E40="","",INDEX('Input Transaksi'!$D:$D,$E40))</f>
        <v/>
      </c>
      <c r="C40">
        <f>IF($E40="","",INDEX('Input Transaksi'!$E:$E,$E40))</f>
        <v/>
      </c>
      <c r="D40" s="5">
        <f>IF($E40="","",INDEX('Input Transaksi'!$F:$F,$E40))</f>
        <v/>
      </c>
      <c r="E40">
        <f>IFERROR(AGGREGATE(15,6,ROW('Input Transaksi'!$B$5:$B$5000)/('Input Transaksi'!$B$5:$B$5000="JCL BYPASS"),ROWS($E$5:E40)),"")</f>
        <v/>
      </c>
      <c r="F40" s="5" t="n"/>
    </row>
    <row r="41">
      <c r="A41" s="10">
        <f>IF($E41="","",INDEX('Input Transaksi'!$A:$A,$E41))</f>
        <v/>
      </c>
      <c r="B41" s="5">
        <f>IF($E41="","",INDEX('Input Transaksi'!$D:$D,$E41))</f>
        <v/>
      </c>
      <c r="C41">
        <f>IF($E41="","",INDEX('Input Transaksi'!$E:$E,$E41))</f>
        <v/>
      </c>
      <c r="D41" s="5">
        <f>IF($E41="","",INDEX('Input Transaksi'!$F:$F,$E41))</f>
        <v/>
      </c>
      <c r="E41">
        <f>IFERROR(AGGREGATE(15,6,ROW('Input Transaksi'!$B$5:$B$5000)/('Input Transaksi'!$B$5:$B$5000="JCL BYPASS"),ROWS($E$5:E41)),"")</f>
        <v/>
      </c>
      <c r="F41" s="5" t="n"/>
    </row>
    <row r="42">
      <c r="A42" s="10">
        <f>IF($E42="","",INDEX('Input Transaksi'!$A:$A,$E42))</f>
        <v/>
      </c>
      <c r="B42" s="5">
        <f>IF($E42="","",INDEX('Input Transaksi'!$D:$D,$E42))</f>
        <v/>
      </c>
      <c r="C42">
        <f>IF($E42="","",INDEX('Input Transaksi'!$E:$E,$E42))</f>
        <v/>
      </c>
      <c r="D42" s="5">
        <f>IF($E42="","",INDEX('Input Transaksi'!$F:$F,$E42))</f>
        <v/>
      </c>
      <c r="E42">
        <f>IFERROR(AGGREGATE(15,6,ROW('Input Transaksi'!$B$5:$B$5000)/('Input Transaksi'!$B$5:$B$5000="JCL BYPASS"),ROWS($E$5:E42)),"")</f>
        <v/>
      </c>
      <c r="F42" s="5" t="n"/>
    </row>
    <row r="43">
      <c r="A43" s="10">
        <f>IF($E43="","",INDEX('Input Transaksi'!$A:$A,$E43))</f>
        <v/>
      </c>
      <c r="B43" s="5">
        <f>IF($E43="","",INDEX('Input Transaksi'!$D:$D,$E43))</f>
        <v/>
      </c>
      <c r="C43">
        <f>IF($E43="","",INDEX('Input Transaksi'!$E:$E,$E43))</f>
        <v/>
      </c>
      <c r="D43" s="5">
        <f>IF($E43="","",INDEX('Input Transaksi'!$F:$F,$E43))</f>
        <v/>
      </c>
      <c r="E43">
        <f>IFERROR(AGGREGATE(15,6,ROW('Input Transaksi'!$B$5:$B$5000)/('Input Transaksi'!$B$5:$B$5000="JCL BYPASS"),ROWS($E$5:E43)),"")</f>
        <v/>
      </c>
      <c r="F43" s="5" t="n"/>
    </row>
    <row r="44">
      <c r="A44" s="10">
        <f>IF($E44="","",INDEX('Input Transaksi'!$A:$A,$E44))</f>
        <v/>
      </c>
      <c r="B44" s="5">
        <f>IF($E44="","",INDEX('Input Transaksi'!$D:$D,$E44))</f>
        <v/>
      </c>
      <c r="C44">
        <f>IF($E44="","",INDEX('Input Transaksi'!$E:$E,$E44))</f>
        <v/>
      </c>
      <c r="D44" s="5">
        <f>IF($E44="","",INDEX('Input Transaksi'!$F:$F,$E44))</f>
        <v/>
      </c>
      <c r="E44">
        <f>IFERROR(AGGREGATE(15,6,ROW('Input Transaksi'!$B$5:$B$5000)/('Input Transaksi'!$B$5:$B$5000="JCL BYPASS"),ROWS($E$5:E44)),"")</f>
        <v/>
      </c>
      <c r="F44" s="5" t="n"/>
    </row>
    <row r="45">
      <c r="A45" s="10">
        <f>IF($E45="","",INDEX('Input Transaksi'!$A:$A,$E45))</f>
        <v/>
      </c>
      <c r="B45" s="5">
        <f>IF($E45="","",INDEX('Input Transaksi'!$D:$D,$E45))</f>
        <v/>
      </c>
      <c r="C45">
        <f>IF($E45="","",INDEX('Input Transaksi'!$E:$E,$E45))</f>
        <v/>
      </c>
      <c r="D45" s="5">
        <f>IF($E45="","",INDEX('Input Transaksi'!$F:$F,$E45))</f>
        <v/>
      </c>
      <c r="E45">
        <f>IFERROR(AGGREGATE(15,6,ROW('Input Transaksi'!$B$5:$B$5000)/('Input Transaksi'!$B$5:$B$5000="JCL BYPASS"),ROWS($E$5:E45)),"")</f>
        <v/>
      </c>
      <c r="F45" s="5" t="n"/>
    </row>
    <row r="46">
      <c r="A46" s="10">
        <f>IF($E46="","",INDEX('Input Transaksi'!$A:$A,$E46))</f>
        <v/>
      </c>
      <c r="B46" s="5">
        <f>IF($E46="","",INDEX('Input Transaksi'!$D:$D,$E46))</f>
        <v/>
      </c>
      <c r="C46">
        <f>IF($E46="","",INDEX('Input Transaksi'!$E:$E,$E46))</f>
        <v/>
      </c>
      <c r="D46" s="5">
        <f>IF($E46="","",INDEX('Input Transaksi'!$F:$F,$E46))</f>
        <v/>
      </c>
      <c r="E46">
        <f>IFERROR(AGGREGATE(15,6,ROW('Input Transaksi'!$B$5:$B$5000)/('Input Transaksi'!$B$5:$B$5000="JCL BYPASS"),ROWS($E$5:E46)),"")</f>
        <v/>
      </c>
      <c r="F46" s="5" t="n"/>
    </row>
    <row r="47">
      <c r="A47" s="10">
        <f>IF($E47="","",INDEX('Input Transaksi'!$A:$A,$E47))</f>
        <v/>
      </c>
      <c r="B47" s="5">
        <f>IF($E47="","",INDEX('Input Transaksi'!$D:$D,$E47))</f>
        <v/>
      </c>
      <c r="C47">
        <f>IF($E47="","",INDEX('Input Transaksi'!$E:$E,$E47))</f>
        <v/>
      </c>
      <c r="D47" s="5">
        <f>IF($E47="","",INDEX('Input Transaksi'!$F:$F,$E47))</f>
        <v/>
      </c>
      <c r="E47">
        <f>IFERROR(AGGREGATE(15,6,ROW('Input Transaksi'!$B$5:$B$5000)/('Input Transaksi'!$B$5:$B$5000="JCL BYPASS"),ROWS($E$5:E47)),"")</f>
        <v/>
      </c>
      <c r="F47" s="5" t="n"/>
    </row>
    <row r="48">
      <c r="A48" s="10">
        <f>IF($E48="","",INDEX('Input Transaksi'!$A:$A,$E48))</f>
        <v/>
      </c>
      <c r="B48" s="5">
        <f>IF($E48="","",INDEX('Input Transaksi'!$D:$D,$E48))</f>
        <v/>
      </c>
      <c r="C48">
        <f>IF($E48="","",INDEX('Input Transaksi'!$E:$E,$E48))</f>
        <v/>
      </c>
      <c r="D48" s="5">
        <f>IF($E48="","",INDEX('Input Transaksi'!$F:$F,$E48))</f>
        <v/>
      </c>
      <c r="E48">
        <f>IFERROR(AGGREGATE(15,6,ROW('Input Transaksi'!$B$5:$B$5000)/('Input Transaksi'!$B$5:$B$5000="JCL BYPASS"),ROWS($E$5:E48)),"")</f>
        <v/>
      </c>
      <c r="F48" s="5" t="n"/>
    </row>
    <row r="49">
      <c r="A49" s="10">
        <f>IF($E49="","",INDEX('Input Transaksi'!$A:$A,$E49))</f>
        <v/>
      </c>
      <c r="B49" s="5">
        <f>IF($E49="","",INDEX('Input Transaksi'!$D:$D,$E49))</f>
        <v/>
      </c>
      <c r="C49">
        <f>IF($E49="","",INDEX('Input Transaksi'!$E:$E,$E49))</f>
        <v/>
      </c>
      <c r="D49" s="5">
        <f>IF($E49="","",INDEX('Input Transaksi'!$F:$F,$E49))</f>
        <v/>
      </c>
      <c r="E49">
        <f>IFERROR(AGGREGATE(15,6,ROW('Input Transaksi'!$B$5:$B$5000)/('Input Transaksi'!$B$5:$B$5000="JCL BYPASS"),ROWS($E$5:E49)),"")</f>
        <v/>
      </c>
      <c r="F49" s="5" t="n"/>
    </row>
    <row r="50">
      <c r="A50" s="10">
        <f>IF($E50="","",INDEX('Input Transaksi'!$A:$A,$E50))</f>
        <v/>
      </c>
      <c r="B50" s="5">
        <f>IF($E50="","",INDEX('Input Transaksi'!$D:$D,$E50))</f>
        <v/>
      </c>
      <c r="C50">
        <f>IF($E50="","",INDEX('Input Transaksi'!$E:$E,$E50))</f>
        <v/>
      </c>
      <c r="D50" s="5">
        <f>IF($E50="","",INDEX('Input Transaksi'!$F:$F,$E50))</f>
        <v/>
      </c>
      <c r="E50">
        <f>IFERROR(AGGREGATE(15,6,ROW('Input Transaksi'!$B$5:$B$5000)/('Input Transaksi'!$B$5:$B$5000="JCL BYPASS"),ROWS($E$5:E50)),"")</f>
        <v/>
      </c>
      <c r="F50" s="5" t="n"/>
    </row>
    <row r="51">
      <c r="A51" s="10">
        <f>IF($E51="","",INDEX('Input Transaksi'!$A:$A,$E51))</f>
        <v/>
      </c>
      <c r="B51" s="5">
        <f>IF($E51="","",INDEX('Input Transaksi'!$D:$D,$E51))</f>
        <v/>
      </c>
      <c r="C51">
        <f>IF($E51="","",INDEX('Input Transaksi'!$E:$E,$E51))</f>
        <v/>
      </c>
      <c r="D51" s="5">
        <f>IF($E51="","",INDEX('Input Transaksi'!$F:$F,$E51))</f>
        <v/>
      </c>
      <c r="E51">
        <f>IFERROR(AGGREGATE(15,6,ROW('Input Transaksi'!$B$5:$B$5000)/('Input Transaksi'!$B$5:$B$5000="JCL BYPASS"),ROWS($E$5:E51)),"")</f>
        <v/>
      </c>
      <c r="F51" s="5" t="n"/>
    </row>
    <row r="52">
      <c r="A52" s="10">
        <f>IF($E52="","",INDEX('Input Transaksi'!$A:$A,$E52))</f>
        <v/>
      </c>
      <c r="B52" s="5">
        <f>IF($E52="","",INDEX('Input Transaksi'!$D:$D,$E52))</f>
        <v/>
      </c>
      <c r="C52">
        <f>IF($E52="","",INDEX('Input Transaksi'!$E:$E,$E52))</f>
        <v/>
      </c>
      <c r="D52" s="5">
        <f>IF($E52="","",INDEX('Input Transaksi'!$F:$F,$E52))</f>
        <v/>
      </c>
      <c r="E52">
        <f>IFERROR(AGGREGATE(15,6,ROW('Input Transaksi'!$B$5:$B$5000)/('Input Transaksi'!$B$5:$B$5000="JCL BYPASS"),ROWS($E$5:E52)),"")</f>
        <v/>
      </c>
      <c r="F52" s="5" t="n"/>
    </row>
    <row r="53">
      <c r="A53" s="10">
        <f>IF($E53="","",INDEX('Input Transaksi'!$A:$A,$E53))</f>
        <v/>
      </c>
      <c r="B53" s="5">
        <f>IF($E53="","",INDEX('Input Transaksi'!$D:$D,$E53))</f>
        <v/>
      </c>
      <c r="C53">
        <f>IF($E53="","",INDEX('Input Transaksi'!$E:$E,$E53))</f>
        <v/>
      </c>
      <c r="D53" s="5">
        <f>IF($E53="","",INDEX('Input Transaksi'!$F:$F,$E53))</f>
        <v/>
      </c>
      <c r="E53">
        <f>IFERROR(AGGREGATE(15,6,ROW('Input Transaksi'!$B$5:$B$5000)/('Input Transaksi'!$B$5:$B$5000="JCL BYPASS"),ROWS($E$5:E53)),"")</f>
        <v/>
      </c>
      <c r="F53" s="5" t="n"/>
    </row>
    <row r="54">
      <c r="A54" s="10">
        <f>IF($E54="","",INDEX('Input Transaksi'!$A:$A,$E54))</f>
        <v/>
      </c>
      <c r="B54" s="5">
        <f>IF($E54="","",INDEX('Input Transaksi'!$D:$D,$E54))</f>
        <v/>
      </c>
      <c r="C54">
        <f>IF($E54="","",INDEX('Input Transaksi'!$E:$E,$E54))</f>
        <v/>
      </c>
      <c r="D54" s="5">
        <f>IF($E54="","",INDEX('Input Transaksi'!$F:$F,$E54))</f>
        <v/>
      </c>
      <c r="E54">
        <f>IFERROR(AGGREGATE(15,6,ROW('Input Transaksi'!$B$5:$B$5000)/('Input Transaksi'!$B$5:$B$5000="JCL BYPASS"),ROWS($E$5:E54)),"")</f>
        <v/>
      </c>
      <c r="F54" s="5" t="n"/>
    </row>
    <row r="55">
      <c r="A55" s="10">
        <f>IF($E55="","",INDEX('Input Transaksi'!$A:$A,$E55))</f>
        <v/>
      </c>
      <c r="B55" s="5">
        <f>IF($E55="","",INDEX('Input Transaksi'!$D:$D,$E55))</f>
        <v/>
      </c>
      <c r="C55">
        <f>IF($E55="","",INDEX('Input Transaksi'!$E:$E,$E55))</f>
        <v/>
      </c>
      <c r="D55" s="5">
        <f>IF($E55="","",INDEX('Input Transaksi'!$F:$F,$E55))</f>
        <v/>
      </c>
      <c r="E55">
        <f>IFERROR(AGGREGATE(15,6,ROW('Input Transaksi'!$B$5:$B$5000)/('Input Transaksi'!$B$5:$B$5000="JCL BYPASS"),ROWS($E$5:E55)),"")</f>
        <v/>
      </c>
      <c r="F55" s="5" t="n"/>
    </row>
    <row r="56">
      <c r="A56" s="10">
        <f>IF($E56="","",INDEX('Input Transaksi'!$A:$A,$E56))</f>
        <v/>
      </c>
      <c r="B56" s="5">
        <f>IF($E56="","",INDEX('Input Transaksi'!$D:$D,$E56))</f>
        <v/>
      </c>
      <c r="C56">
        <f>IF($E56="","",INDEX('Input Transaksi'!$E:$E,$E56))</f>
        <v/>
      </c>
      <c r="D56" s="5">
        <f>IF($E56="","",INDEX('Input Transaksi'!$F:$F,$E56))</f>
        <v/>
      </c>
      <c r="E56">
        <f>IFERROR(AGGREGATE(15,6,ROW('Input Transaksi'!$B$5:$B$5000)/('Input Transaksi'!$B$5:$B$5000="JCL BYPASS"),ROWS($E$5:E56)),"")</f>
        <v/>
      </c>
      <c r="F56" s="5" t="n"/>
    </row>
    <row r="57">
      <c r="A57" s="10">
        <f>IF($E57="","",INDEX('Input Transaksi'!$A:$A,$E57))</f>
        <v/>
      </c>
      <c r="B57" s="5">
        <f>IF($E57="","",INDEX('Input Transaksi'!$D:$D,$E57))</f>
        <v/>
      </c>
      <c r="C57">
        <f>IF($E57="","",INDEX('Input Transaksi'!$E:$E,$E57))</f>
        <v/>
      </c>
      <c r="D57" s="5">
        <f>IF($E57="","",INDEX('Input Transaksi'!$F:$F,$E57))</f>
        <v/>
      </c>
      <c r="E57">
        <f>IFERROR(AGGREGATE(15,6,ROW('Input Transaksi'!$B$5:$B$5000)/('Input Transaksi'!$B$5:$B$5000="JCL BYPASS"),ROWS($E$5:E57)),"")</f>
        <v/>
      </c>
      <c r="F57" s="5" t="n"/>
    </row>
    <row r="58">
      <c r="A58" s="10">
        <f>IF($E58="","",INDEX('Input Transaksi'!$A:$A,$E58))</f>
        <v/>
      </c>
      <c r="B58" s="5">
        <f>IF($E58="","",INDEX('Input Transaksi'!$D:$D,$E58))</f>
        <v/>
      </c>
      <c r="C58">
        <f>IF($E58="","",INDEX('Input Transaksi'!$E:$E,$E58))</f>
        <v/>
      </c>
      <c r="D58" s="5">
        <f>IF($E58="","",INDEX('Input Transaksi'!$F:$F,$E58))</f>
        <v/>
      </c>
      <c r="E58">
        <f>IFERROR(AGGREGATE(15,6,ROW('Input Transaksi'!$B$5:$B$5000)/('Input Transaksi'!$B$5:$B$5000="JCL BYPASS"),ROWS($E$5:E58)),"")</f>
        <v/>
      </c>
      <c r="F58" s="5" t="n"/>
    </row>
    <row r="59">
      <c r="A59" s="10">
        <f>IF($E59="","",INDEX('Input Transaksi'!$A:$A,$E59))</f>
        <v/>
      </c>
      <c r="B59" s="5">
        <f>IF($E59="","",INDEX('Input Transaksi'!$D:$D,$E59))</f>
        <v/>
      </c>
      <c r="C59">
        <f>IF($E59="","",INDEX('Input Transaksi'!$E:$E,$E59))</f>
        <v/>
      </c>
      <c r="D59" s="5">
        <f>IF($E59="","",INDEX('Input Transaksi'!$F:$F,$E59))</f>
        <v/>
      </c>
      <c r="E59">
        <f>IFERROR(AGGREGATE(15,6,ROW('Input Transaksi'!$B$5:$B$5000)/('Input Transaksi'!$B$5:$B$5000="JCL BYPASS"),ROWS($E$5:E59)),"")</f>
        <v/>
      </c>
      <c r="F59" s="5" t="n"/>
    </row>
    <row r="60">
      <c r="A60" s="10">
        <f>IF($E60="","",INDEX('Input Transaksi'!$A:$A,$E60))</f>
        <v/>
      </c>
      <c r="B60" s="5">
        <f>IF($E60="","",INDEX('Input Transaksi'!$D:$D,$E60))</f>
        <v/>
      </c>
      <c r="C60">
        <f>IF($E60="","",INDEX('Input Transaksi'!$E:$E,$E60))</f>
        <v/>
      </c>
      <c r="D60" s="5">
        <f>IF($E60="","",INDEX('Input Transaksi'!$F:$F,$E60))</f>
        <v/>
      </c>
      <c r="E60">
        <f>IFERROR(AGGREGATE(15,6,ROW('Input Transaksi'!$B$5:$B$5000)/('Input Transaksi'!$B$5:$B$5000="JCL BYPASS"),ROWS($E$5:E60)),"")</f>
        <v/>
      </c>
      <c r="F60" s="5" t="n"/>
    </row>
    <row r="61">
      <c r="A61" s="10">
        <f>IF($E61="","",INDEX('Input Transaksi'!$A:$A,$E61))</f>
        <v/>
      </c>
      <c r="B61" s="5">
        <f>IF($E61="","",INDEX('Input Transaksi'!$D:$D,$E61))</f>
        <v/>
      </c>
      <c r="C61">
        <f>IF($E61="","",INDEX('Input Transaksi'!$E:$E,$E61))</f>
        <v/>
      </c>
      <c r="D61" s="5">
        <f>IF($E61="","",INDEX('Input Transaksi'!$F:$F,$E61))</f>
        <v/>
      </c>
      <c r="E61">
        <f>IFERROR(AGGREGATE(15,6,ROW('Input Transaksi'!$B$5:$B$5000)/('Input Transaksi'!$B$5:$B$5000="JCL BYPASS"),ROWS($E$5:E61)),"")</f>
        <v/>
      </c>
      <c r="F61" s="5" t="n"/>
    </row>
    <row r="62">
      <c r="A62" s="10">
        <f>IF($E62="","",INDEX('Input Transaksi'!$A:$A,$E62))</f>
        <v/>
      </c>
      <c r="B62" s="5">
        <f>IF($E62="","",INDEX('Input Transaksi'!$D:$D,$E62))</f>
        <v/>
      </c>
      <c r="C62">
        <f>IF($E62="","",INDEX('Input Transaksi'!$E:$E,$E62))</f>
        <v/>
      </c>
      <c r="D62" s="5">
        <f>IF($E62="","",INDEX('Input Transaksi'!$F:$F,$E62))</f>
        <v/>
      </c>
      <c r="E62">
        <f>IFERROR(AGGREGATE(15,6,ROW('Input Transaksi'!$B$5:$B$5000)/('Input Transaksi'!$B$5:$B$5000="JCL BYPASS"),ROWS($E$5:E62)),"")</f>
        <v/>
      </c>
      <c r="F62" s="5" t="n"/>
    </row>
    <row r="63">
      <c r="A63" s="10">
        <f>IF($E63="","",INDEX('Input Transaksi'!$A:$A,$E63))</f>
        <v/>
      </c>
      <c r="B63" s="5">
        <f>IF($E63="","",INDEX('Input Transaksi'!$D:$D,$E63))</f>
        <v/>
      </c>
      <c r="C63">
        <f>IF($E63="","",INDEX('Input Transaksi'!$E:$E,$E63))</f>
        <v/>
      </c>
      <c r="D63" s="5">
        <f>IF($E63="","",INDEX('Input Transaksi'!$F:$F,$E63))</f>
        <v/>
      </c>
      <c r="E63">
        <f>IFERROR(AGGREGATE(15,6,ROW('Input Transaksi'!$B$5:$B$5000)/('Input Transaksi'!$B$5:$B$5000="JCL BYPASS"),ROWS($E$5:E63)),"")</f>
        <v/>
      </c>
      <c r="F63" s="5" t="n"/>
    </row>
    <row r="64">
      <c r="A64" s="10">
        <f>IF($E64="","",INDEX('Input Transaksi'!$A:$A,$E64))</f>
        <v/>
      </c>
      <c r="B64" s="5">
        <f>IF($E64="","",INDEX('Input Transaksi'!$D:$D,$E64))</f>
        <v/>
      </c>
      <c r="C64">
        <f>IF($E64="","",INDEX('Input Transaksi'!$E:$E,$E64))</f>
        <v/>
      </c>
      <c r="D64" s="5">
        <f>IF($E64="","",INDEX('Input Transaksi'!$F:$F,$E64))</f>
        <v/>
      </c>
      <c r="E64">
        <f>IFERROR(AGGREGATE(15,6,ROW('Input Transaksi'!$B$5:$B$5000)/('Input Transaksi'!$B$5:$B$5000="JCL BYPASS"),ROWS($E$5:E64)),"")</f>
        <v/>
      </c>
      <c r="F64" s="5" t="n"/>
    </row>
    <row r="65">
      <c r="A65" s="10">
        <f>IF($E65="","",INDEX('Input Transaksi'!$A:$A,$E65))</f>
        <v/>
      </c>
      <c r="B65" s="5">
        <f>IF($E65="","",INDEX('Input Transaksi'!$D:$D,$E65))</f>
        <v/>
      </c>
      <c r="C65">
        <f>IF($E65="","",INDEX('Input Transaksi'!$E:$E,$E65))</f>
        <v/>
      </c>
      <c r="D65" s="5">
        <f>IF($E65="","",INDEX('Input Transaksi'!$F:$F,$E65))</f>
        <v/>
      </c>
      <c r="E65">
        <f>IFERROR(AGGREGATE(15,6,ROW('Input Transaksi'!$B$5:$B$5000)/('Input Transaksi'!$B$5:$B$5000="JCL BYPASS"),ROWS($E$5:E65)),"")</f>
        <v/>
      </c>
      <c r="F65" s="5" t="n"/>
    </row>
    <row r="66">
      <c r="A66" s="10">
        <f>IF($E66="","",INDEX('Input Transaksi'!$A:$A,$E66))</f>
        <v/>
      </c>
      <c r="B66" s="5">
        <f>IF($E66="","",INDEX('Input Transaksi'!$D:$D,$E66))</f>
        <v/>
      </c>
      <c r="C66">
        <f>IF($E66="","",INDEX('Input Transaksi'!$E:$E,$E66))</f>
        <v/>
      </c>
      <c r="D66" s="5">
        <f>IF($E66="","",INDEX('Input Transaksi'!$F:$F,$E66))</f>
        <v/>
      </c>
      <c r="E66">
        <f>IFERROR(AGGREGATE(15,6,ROW('Input Transaksi'!$B$5:$B$5000)/('Input Transaksi'!$B$5:$B$5000="JCL BYPASS"),ROWS($E$5:E66)),"")</f>
        <v/>
      </c>
      <c r="F66" s="5" t="n"/>
    </row>
    <row r="67">
      <c r="A67" s="10">
        <f>IF($E67="","",INDEX('Input Transaksi'!$A:$A,$E67))</f>
        <v/>
      </c>
      <c r="B67" s="5">
        <f>IF($E67="","",INDEX('Input Transaksi'!$D:$D,$E67))</f>
        <v/>
      </c>
      <c r="C67">
        <f>IF($E67="","",INDEX('Input Transaksi'!$E:$E,$E67))</f>
        <v/>
      </c>
      <c r="D67" s="5">
        <f>IF($E67="","",INDEX('Input Transaksi'!$F:$F,$E67))</f>
        <v/>
      </c>
      <c r="E67">
        <f>IFERROR(AGGREGATE(15,6,ROW('Input Transaksi'!$B$5:$B$5000)/('Input Transaksi'!$B$5:$B$5000="JCL BYPASS"),ROWS($E$5:E67)),"")</f>
        <v/>
      </c>
      <c r="F67" s="5" t="n"/>
    </row>
    <row r="68">
      <c r="A68" s="10">
        <f>IF($E68="","",INDEX('Input Transaksi'!$A:$A,$E68))</f>
        <v/>
      </c>
      <c r="B68" s="5">
        <f>IF($E68="","",INDEX('Input Transaksi'!$D:$D,$E68))</f>
        <v/>
      </c>
      <c r="C68">
        <f>IF($E68="","",INDEX('Input Transaksi'!$E:$E,$E68))</f>
        <v/>
      </c>
      <c r="D68" s="5">
        <f>IF($E68="","",INDEX('Input Transaksi'!$F:$F,$E68))</f>
        <v/>
      </c>
      <c r="E68">
        <f>IFERROR(AGGREGATE(15,6,ROW('Input Transaksi'!$B$5:$B$5000)/('Input Transaksi'!$B$5:$B$5000="JCL BYPASS"),ROWS($E$5:E68)),"")</f>
        <v/>
      </c>
      <c r="F68" s="5" t="n"/>
    </row>
    <row r="69">
      <c r="A69" s="10">
        <f>IF($E69="","",INDEX('Input Transaksi'!$A:$A,$E69))</f>
        <v/>
      </c>
      <c r="B69" s="5">
        <f>IF($E69="","",INDEX('Input Transaksi'!$D:$D,$E69))</f>
        <v/>
      </c>
      <c r="C69">
        <f>IF($E69="","",INDEX('Input Transaksi'!$E:$E,$E69))</f>
        <v/>
      </c>
      <c r="D69" s="5">
        <f>IF($E69="","",INDEX('Input Transaksi'!$F:$F,$E69))</f>
        <v/>
      </c>
      <c r="E69">
        <f>IFERROR(AGGREGATE(15,6,ROW('Input Transaksi'!$B$5:$B$5000)/('Input Transaksi'!$B$5:$B$5000="JCL BYPASS"),ROWS($E$5:E69)),"")</f>
        <v/>
      </c>
      <c r="F69" s="5" t="n"/>
    </row>
    <row r="70">
      <c r="A70" s="10">
        <f>IF($E70="","",INDEX('Input Transaksi'!$A:$A,$E70))</f>
        <v/>
      </c>
      <c r="B70" s="5">
        <f>IF($E70="","",INDEX('Input Transaksi'!$D:$D,$E70))</f>
        <v/>
      </c>
      <c r="C70">
        <f>IF($E70="","",INDEX('Input Transaksi'!$E:$E,$E70))</f>
        <v/>
      </c>
      <c r="D70" s="5">
        <f>IF($E70="","",INDEX('Input Transaksi'!$F:$F,$E70))</f>
        <v/>
      </c>
      <c r="E70">
        <f>IFERROR(AGGREGATE(15,6,ROW('Input Transaksi'!$B$5:$B$5000)/('Input Transaksi'!$B$5:$B$5000="JCL BYPASS"),ROWS($E$5:E70)),"")</f>
        <v/>
      </c>
      <c r="F70" s="5" t="n"/>
    </row>
    <row r="71">
      <c r="A71" s="10">
        <f>IF($E71="","",INDEX('Input Transaksi'!$A:$A,$E71))</f>
        <v/>
      </c>
      <c r="B71" s="5">
        <f>IF($E71="","",INDEX('Input Transaksi'!$D:$D,$E71))</f>
        <v/>
      </c>
      <c r="C71">
        <f>IF($E71="","",INDEX('Input Transaksi'!$E:$E,$E71))</f>
        <v/>
      </c>
      <c r="D71" s="5">
        <f>IF($E71="","",INDEX('Input Transaksi'!$F:$F,$E71))</f>
        <v/>
      </c>
      <c r="E71">
        <f>IFERROR(AGGREGATE(15,6,ROW('Input Transaksi'!$B$5:$B$5000)/('Input Transaksi'!$B$5:$B$5000="JCL BYPASS"),ROWS($E$5:E71)),"")</f>
        <v/>
      </c>
      <c r="F71" s="5" t="n"/>
    </row>
    <row r="72">
      <c r="A72" s="10">
        <f>IF($E72="","",INDEX('Input Transaksi'!$A:$A,$E72))</f>
        <v/>
      </c>
      <c r="B72" s="5">
        <f>IF($E72="","",INDEX('Input Transaksi'!$D:$D,$E72))</f>
        <v/>
      </c>
      <c r="C72">
        <f>IF($E72="","",INDEX('Input Transaksi'!$E:$E,$E72))</f>
        <v/>
      </c>
      <c r="D72" s="5">
        <f>IF($E72="","",INDEX('Input Transaksi'!$F:$F,$E72))</f>
        <v/>
      </c>
      <c r="E72">
        <f>IFERROR(AGGREGATE(15,6,ROW('Input Transaksi'!$B$5:$B$5000)/('Input Transaksi'!$B$5:$B$5000="JCL BYPASS"),ROWS($E$5:E72)),"")</f>
        <v/>
      </c>
      <c r="F72" s="5" t="n"/>
    </row>
    <row r="73">
      <c r="A73" s="10">
        <f>IF($E73="","",INDEX('Input Transaksi'!$A:$A,$E73))</f>
        <v/>
      </c>
      <c r="B73" s="5">
        <f>IF($E73="","",INDEX('Input Transaksi'!$D:$D,$E73))</f>
        <v/>
      </c>
      <c r="C73">
        <f>IF($E73="","",INDEX('Input Transaksi'!$E:$E,$E73))</f>
        <v/>
      </c>
      <c r="D73" s="5">
        <f>IF($E73="","",INDEX('Input Transaksi'!$F:$F,$E73))</f>
        <v/>
      </c>
      <c r="E73">
        <f>IFERROR(AGGREGATE(15,6,ROW('Input Transaksi'!$B$5:$B$5000)/('Input Transaksi'!$B$5:$B$5000="JCL BYPASS"),ROWS($E$5:E73)),"")</f>
        <v/>
      </c>
      <c r="F73" s="5" t="n"/>
    </row>
    <row r="74">
      <c r="A74" s="10">
        <f>IF($E74="","",INDEX('Input Transaksi'!$A:$A,$E74))</f>
        <v/>
      </c>
      <c r="B74" s="5">
        <f>IF($E74="","",INDEX('Input Transaksi'!$D:$D,$E74))</f>
        <v/>
      </c>
      <c r="C74">
        <f>IF($E74="","",INDEX('Input Transaksi'!$E:$E,$E74))</f>
        <v/>
      </c>
      <c r="D74" s="5">
        <f>IF($E74="","",INDEX('Input Transaksi'!$F:$F,$E74))</f>
        <v/>
      </c>
      <c r="E74">
        <f>IFERROR(AGGREGATE(15,6,ROW('Input Transaksi'!$B$5:$B$5000)/('Input Transaksi'!$B$5:$B$5000="JCL BYPASS"),ROWS($E$5:E74)),"")</f>
        <v/>
      </c>
      <c r="F74" s="5" t="n"/>
    </row>
    <row r="75">
      <c r="A75" s="10">
        <f>IF($E75="","",INDEX('Input Transaksi'!$A:$A,$E75))</f>
        <v/>
      </c>
      <c r="B75" s="5">
        <f>IF($E75="","",INDEX('Input Transaksi'!$D:$D,$E75))</f>
        <v/>
      </c>
      <c r="C75">
        <f>IF($E75="","",INDEX('Input Transaksi'!$E:$E,$E75))</f>
        <v/>
      </c>
      <c r="D75" s="5">
        <f>IF($E75="","",INDEX('Input Transaksi'!$F:$F,$E75))</f>
        <v/>
      </c>
      <c r="E75">
        <f>IFERROR(AGGREGATE(15,6,ROW('Input Transaksi'!$B$5:$B$5000)/('Input Transaksi'!$B$5:$B$5000="JCL BYPASS"),ROWS($E$5:E75)),"")</f>
        <v/>
      </c>
      <c r="F75" s="5" t="n"/>
    </row>
    <row r="76">
      <c r="A76" s="10">
        <f>IF($E76="","",INDEX('Input Transaksi'!$A:$A,$E76))</f>
        <v/>
      </c>
      <c r="B76" s="5">
        <f>IF($E76="","",INDEX('Input Transaksi'!$D:$D,$E76))</f>
        <v/>
      </c>
      <c r="C76">
        <f>IF($E76="","",INDEX('Input Transaksi'!$E:$E,$E76))</f>
        <v/>
      </c>
      <c r="D76" s="5">
        <f>IF($E76="","",INDEX('Input Transaksi'!$F:$F,$E76))</f>
        <v/>
      </c>
      <c r="E76">
        <f>IFERROR(AGGREGATE(15,6,ROW('Input Transaksi'!$B$5:$B$5000)/('Input Transaksi'!$B$5:$B$5000="JCL BYPASS"),ROWS($E$5:E76)),"")</f>
        <v/>
      </c>
      <c r="F76" s="5" t="n"/>
    </row>
    <row r="77">
      <c r="A77" s="10">
        <f>IF($E77="","",INDEX('Input Transaksi'!$A:$A,$E77))</f>
        <v/>
      </c>
      <c r="B77" s="5">
        <f>IF($E77="","",INDEX('Input Transaksi'!$D:$D,$E77))</f>
        <v/>
      </c>
      <c r="C77">
        <f>IF($E77="","",INDEX('Input Transaksi'!$E:$E,$E77))</f>
        <v/>
      </c>
      <c r="D77" s="5">
        <f>IF($E77="","",INDEX('Input Transaksi'!$F:$F,$E77))</f>
        <v/>
      </c>
      <c r="E77">
        <f>IFERROR(AGGREGATE(15,6,ROW('Input Transaksi'!$B$5:$B$5000)/('Input Transaksi'!$B$5:$B$5000="JCL BYPASS"),ROWS($E$5:E77)),"")</f>
        <v/>
      </c>
      <c r="F77" s="5" t="n"/>
    </row>
    <row r="78">
      <c r="A78" s="10">
        <f>IF($E78="","",INDEX('Input Transaksi'!$A:$A,$E78))</f>
        <v/>
      </c>
      <c r="B78" s="5">
        <f>IF($E78="","",INDEX('Input Transaksi'!$D:$D,$E78))</f>
        <v/>
      </c>
      <c r="C78">
        <f>IF($E78="","",INDEX('Input Transaksi'!$E:$E,$E78))</f>
        <v/>
      </c>
      <c r="D78" s="5">
        <f>IF($E78="","",INDEX('Input Transaksi'!$F:$F,$E78))</f>
        <v/>
      </c>
      <c r="E78">
        <f>IFERROR(AGGREGATE(15,6,ROW('Input Transaksi'!$B$5:$B$5000)/('Input Transaksi'!$B$5:$B$5000="JCL BYPASS"),ROWS($E$5:E78)),"")</f>
        <v/>
      </c>
      <c r="F78" s="5" t="n"/>
    </row>
    <row r="79">
      <c r="A79" s="10">
        <f>IF($E79="","",INDEX('Input Transaksi'!$A:$A,$E79))</f>
        <v/>
      </c>
      <c r="B79" s="5">
        <f>IF($E79="","",INDEX('Input Transaksi'!$D:$D,$E79))</f>
        <v/>
      </c>
      <c r="C79">
        <f>IF($E79="","",INDEX('Input Transaksi'!$E:$E,$E79))</f>
        <v/>
      </c>
      <c r="D79" s="5">
        <f>IF($E79="","",INDEX('Input Transaksi'!$F:$F,$E79))</f>
        <v/>
      </c>
      <c r="E79">
        <f>IFERROR(AGGREGATE(15,6,ROW('Input Transaksi'!$B$5:$B$5000)/('Input Transaksi'!$B$5:$B$5000="JCL BYPASS"),ROWS($E$5:E79)),"")</f>
        <v/>
      </c>
      <c r="F79" s="5" t="n"/>
    </row>
    <row r="80">
      <c r="A80" s="10">
        <f>IF($E80="","",INDEX('Input Transaksi'!$A:$A,$E80))</f>
        <v/>
      </c>
      <c r="B80" s="5">
        <f>IF($E80="","",INDEX('Input Transaksi'!$D:$D,$E80))</f>
        <v/>
      </c>
      <c r="C80">
        <f>IF($E80="","",INDEX('Input Transaksi'!$E:$E,$E80))</f>
        <v/>
      </c>
      <c r="D80" s="5">
        <f>IF($E80="","",INDEX('Input Transaksi'!$F:$F,$E80))</f>
        <v/>
      </c>
      <c r="E80">
        <f>IFERROR(AGGREGATE(15,6,ROW('Input Transaksi'!$B$5:$B$5000)/('Input Transaksi'!$B$5:$B$5000="JCL BYPASS"),ROWS($E$5:E80)),"")</f>
        <v/>
      </c>
      <c r="F80" s="5" t="n"/>
    </row>
    <row r="81">
      <c r="A81" s="10">
        <f>IF($E81="","",INDEX('Input Transaksi'!$A:$A,$E81))</f>
        <v/>
      </c>
      <c r="B81" s="5">
        <f>IF($E81="","",INDEX('Input Transaksi'!$D:$D,$E81))</f>
        <v/>
      </c>
      <c r="C81">
        <f>IF($E81="","",INDEX('Input Transaksi'!$E:$E,$E81))</f>
        <v/>
      </c>
      <c r="D81" s="5">
        <f>IF($E81="","",INDEX('Input Transaksi'!$F:$F,$E81))</f>
        <v/>
      </c>
      <c r="E81">
        <f>IFERROR(AGGREGATE(15,6,ROW('Input Transaksi'!$B$5:$B$5000)/('Input Transaksi'!$B$5:$B$5000="JCL BYPASS"),ROWS($E$5:E81)),"")</f>
        <v/>
      </c>
      <c r="F81" s="5" t="n"/>
    </row>
    <row r="82">
      <c r="A82" s="10">
        <f>IF($E82="","",INDEX('Input Transaksi'!$A:$A,$E82))</f>
        <v/>
      </c>
      <c r="B82" s="5">
        <f>IF($E82="","",INDEX('Input Transaksi'!$D:$D,$E82))</f>
        <v/>
      </c>
      <c r="C82">
        <f>IF($E82="","",INDEX('Input Transaksi'!$E:$E,$E82))</f>
        <v/>
      </c>
      <c r="D82" s="5">
        <f>IF($E82="","",INDEX('Input Transaksi'!$F:$F,$E82))</f>
        <v/>
      </c>
      <c r="E82">
        <f>IFERROR(AGGREGATE(15,6,ROW('Input Transaksi'!$B$5:$B$5000)/('Input Transaksi'!$B$5:$B$5000="JCL BYPASS"),ROWS($E$5:E82)),"")</f>
        <v/>
      </c>
      <c r="F82" s="5" t="n"/>
    </row>
    <row r="83">
      <c r="A83" s="10">
        <f>IF($E83="","",INDEX('Input Transaksi'!$A:$A,$E83))</f>
        <v/>
      </c>
      <c r="B83" s="5">
        <f>IF($E83="","",INDEX('Input Transaksi'!$D:$D,$E83))</f>
        <v/>
      </c>
      <c r="C83">
        <f>IF($E83="","",INDEX('Input Transaksi'!$E:$E,$E83))</f>
        <v/>
      </c>
      <c r="D83" s="5">
        <f>IF($E83="","",INDEX('Input Transaksi'!$F:$F,$E83))</f>
        <v/>
      </c>
      <c r="E83">
        <f>IFERROR(AGGREGATE(15,6,ROW('Input Transaksi'!$B$5:$B$5000)/('Input Transaksi'!$B$5:$B$5000="JCL BYPASS"),ROWS($E$5:E83)),"")</f>
        <v/>
      </c>
      <c r="F83" s="5" t="n"/>
    </row>
    <row r="84">
      <c r="A84" s="10">
        <f>IF($E84="","",INDEX('Input Transaksi'!$A:$A,$E84))</f>
        <v/>
      </c>
      <c r="B84" s="5">
        <f>IF($E84="","",INDEX('Input Transaksi'!$D:$D,$E84))</f>
        <v/>
      </c>
      <c r="C84">
        <f>IF($E84="","",INDEX('Input Transaksi'!$E:$E,$E84))</f>
        <v/>
      </c>
      <c r="D84" s="5">
        <f>IF($E84="","",INDEX('Input Transaksi'!$F:$F,$E84))</f>
        <v/>
      </c>
      <c r="E84">
        <f>IFERROR(AGGREGATE(15,6,ROW('Input Transaksi'!$B$5:$B$5000)/('Input Transaksi'!$B$5:$B$5000="JCL BYPASS"),ROWS($E$5:E84)),"")</f>
        <v/>
      </c>
      <c r="F84" s="5" t="n"/>
    </row>
    <row r="85">
      <c r="A85" s="10">
        <f>IF($E85="","",INDEX('Input Transaksi'!$A:$A,$E85))</f>
        <v/>
      </c>
      <c r="B85" s="5">
        <f>IF($E85="","",INDEX('Input Transaksi'!$D:$D,$E85))</f>
        <v/>
      </c>
      <c r="C85">
        <f>IF($E85="","",INDEX('Input Transaksi'!$E:$E,$E85))</f>
        <v/>
      </c>
      <c r="D85" s="5">
        <f>IF($E85="","",INDEX('Input Transaksi'!$F:$F,$E85))</f>
        <v/>
      </c>
      <c r="E85">
        <f>IFERROR(AGGREGATE(15,6,ROW('Input Transaksi'!$B$5:$B$5000)/('Input Transaksi'!$B$5:$B$5000="JCL BYPASS"),ROWS($E$5:E85)),"")</f>
        <v/>
      </c>
      <c r="F85" s="5" t="n"/>
    </row>
    <row r="86">
      <c r="A86" s="10">
        <f>IF($E86="","",INDEX('Input Transaksi'!$A:$A,$E86))</f>
        <v/>
      </c>
      <c r="B86" s="5">
        <f>IF($E86="","",INDEX('Input Transaksi'!$D:$D,$E86))</f>
        <v/>
      </c>
      <c r="C86">
        <f>IF($E86="","",INDEX('Input Transaksi'!$E:$E,$E86))</f>
        <v/>
      </c>
      <c r="D86" s="5">
        <f>IF($E86="","",INDEX('Input Transaksi'!$F:$F,$E86))</f>
        <v/>
      </c>
      <c r="E86">
        <f>IFERROR(AGGREGATE(15,6,ROW('Input Transaksi'!$B$5:$B$5000)/('Input Transaksi'!$B$5:$B$5000="JCL BYPASS"),ROWS($E$5:E86)),"")</f>
        <v/>
      </c>
      <c r="F86" s="5" t="n"/>
    </row>
    <row r="87">
      <c r="A87" s="10">
        <f>IF($E87="","",INDEX('Input Transaksi'!$A:$A,$E87))</f>
        <v/>
      </c>
      <c r="B87" s="5">
        <f>IF($E87="","",INDEX('Input Transaksi'!$D:$D,$E87))</f>
        <v/>
      </c>
      <c r="C87">
        <f>IF($E87="","",INDEX('Input Transaksi'!$E:$E,$E87))</f>
        <v/>
      </c>
      <c r="D87" s="5">
        <f>IF($E87="","",INDEX('Input Transaksi'!$F:$F,$E87))</f>
        <v/>
      </c>
      <c r="E87">
        <f>IFERROR(AGGREGATE(15,6,ROW('Input Transaksi'!$B$5:$B$5000)/('Input Transaksi'!$B$5:$B$5000="JCL BYPASS"),ROWS($E$5:E87)),"")</f>
        <v/>
      </c>
      <c r="F87" s="5" t="n"/>
    </row>
    <row r="88">
      <c r="A88" s="10">
        <f>IF($E88="","",INDEX('Input Transaksi'!$A:$A,$E88))</f>
        <v/>
      </c>
      <c r="B88" s="5">
        <f>IF($E88="","",INDEX('Input Transaksi'!$D:$D,$E88))</f>
        <v/>
      </c>
      <c r="C88">
        <f>IF($E88="","",INDEX('Input Transaksi'!$E:$E,$E88))</f>
        <v/>
      </c>
      <c r="D88" s="5">
        <f>IF($E88="","",INDEX('Input Transaksi'!$F:$F,$E88))</f>
        <v/>
      </c>
      <c r="E88">
        <f>IFERROR(AGGREGATE(15,6,ROW('Input Transaksi'!$B$5:$B$5000)/('Input Transaksi'!$B$5:$B$5000="JCL BYPASS"),ROWS($E$5:E88)),"")</f>
        <v/>
      </c>
      <c r="F88" s="5" t="n"/>
    </row>
    <row r="89">
      <c r="A89" s="10">
        <f>IF($E89="","",INDEX('Input Transaksi'!$A:$A,$E89))</f>
        <v/>
      </c>
      <c r="B89" s="5">
        <f>IF($E89="","",INDEX('Input Transaksi'!$D:$D,$E89))</f>
        <v/>
      </c>
      <c r="C89">
        <f>IF($E89="","",INDEX('Input Transaksi'!$E:$E,$E89))</f>
        <v/>
      </c>
      <c r="D89" s="5">
        <f>IF($E89="","",INDEX('Input Transaksi'!$F:$F,$E89))</f>
        <v/>
      </c>
      <c r="E89">
        <f>IFERROR(AGGREGATE(15,6,ROW('Input Transaksi'!$B$5:$B$5000)/('Input Transaksi'!$B$5:$B$5000="JCL BYPASS"),ROWS($E$5:E89)),"")</f>
        <v/>
      </c>
      <c r="F89" s="5" t="n"/>
    </row>
    <row r="90">
      <c r="A90" s="10">
        <f>IF($E90="","",INDEX('Input Transaksi'!$A:$A,$E90))</f>
        <v/>
      </c>
      <c r="B90" s="5">
        <f>IF($E90="","",INDEX('Input Transaksi'!$D:$D,$E90))</f>
        <v/>
      </c>
      <c r="C90">
        <f>IF($E90="","",INDEX('Input Transaksi'!$E:$E,$E90))</f>
        <v/>
      </c>
      <c r="D90" s="5">
        <f>IF($E90="","",INDEX('Input Transaksi'!$F:$F,$E90))</f>
        <v/>
      </c>
      <c r="E90">
        <f>IFERROR(AGGREGATE(15,6,ROW('Input Transaksi'!$B$5:$B$5000)/('Input Transaksi'!$B$5:$B$5000="JCL BYPASS"),ROWS($E$5:E90)),"")</f>
        <v/>
      </c>
      <c r="F90" s="5" t="n"/>
    </row>
    <row r="91">
      <c r="A91" s="10">
        <f>IF($E91="","",INDEX('Input Transaksi'!$A:$A,$E91))</f>
        <v/>
      </c>
      <c r="B91" s="5">
        <f>IF($E91="","",INDEX('Input Transaksi'!$D:$D,$E91))</f>
        <v/>
      </c>
      <c r="C91">
        <f>IF($E91="","",INDEX('Input Transaksi'!$E:$E,$E91))</f>
        <v/>
      </c>
      <c r="D91" s="5">
        <f>IF($E91="","",INDEX('Input Transaksi'!$F:$F,$E91))</f>
        <v/>
      </c>
      <c r="E91">
        <f>IFERROR(AGGREGATE(15,6,ROW('Input Transaksi'!$B$5:$B$5000)/('Input Transaksi'!$B$5:$B$5000="JCL BYPASS"),ROWS($E$5:E91)),"")</f>
        <v/>
      </c>
      <c r="F91" s="5" t="n"/>
    </row>
    <row r="92">
      <c r="A92" s="10">
        <f>IF($E92="","",INDEX('Input Transaksi'!$A:$A,$E92))</f>
        <v/>
      </c>
      <c r="B92" s="5">
        <f>IF($E92="","",INDEX('Input Transaksi'!$D:$D,$E92))</f>
        <v/>
      </c>
      <c r="C92">
        <f>IF($E92="","",INDEX('Input Transaksi'!$E:$E,$E92))</f>
        <v/>
      </c>
      <c r="D92" s="5">
        <f>IF($E92="","",INDEX('Input Transaksi'!$F:$F,$E92))</f>
        <v/>
      </c>
      <c r="E92">
        <f>IFERROR(AGGREGATE(15,6,ROW('Input Transaksi'!$B$5:$B$5000)/('Input Transaksi'!$B$5:$B$5000="JCL BYPASS"),ROWS($E$5:E92)),"")</f>
        <v/>
      </c>
      <c r="F92" s="5" t="n"/>
    </row>
    <row r="93">
      <c r="A93" s="10">
        <f>IF($E93="","",INDEX('Input Transaksi'!$A:$A,$E93))</f>
        <v/>
      </c>
      <c r="B93" s="5">
        <f>IF($E93="","",INDEX('Input Transaksi'!$D:$D,$E93))</f>
        <v/>
      </c>
      <c r="C93">
        <f>IF($E93="","",INDEX('Input Transaksi'!$E:$E,$E93))</f>
        <v/>
      </c>
      <c r="D93" s="5">
        <f>IF($E93="","",INDEX('Input Transaksi'!$F:$F,$E93))</f>
        <v/>
      </c>
      <c r="E93">
        <f>IFERROR(AGGREGATE(15,6,ROW('Input Transaksi'!$B$5:$B$5000)/('Input Transaksi'!$B$5:$B$5000="JCL BYPASS"),ROWS($E$5:E93)),"")</f>
        <v/>
      </c>
      <c r="F93" s="5" t="n"/>
    </row>
    <row r="94">
      <c r="A94" s="10">
        <f>IF($E94="","",INDEX('Input Transaksi'!$A:$A,$E94))</f>
        <v/>
      </c>
      <c r="B94" s="5">
        <f>IF($E94="","",INDEX('Input Transaksi'!$D:$D,$E94))</f>
        <v/>
      </c>
      <c r="C94">
        <f>IF($E94="","",INDEX('Input Transaksi'!$E:$E,$E94))</f>
        <v/>
      </c>
      <c r="D94" s="5">
        <f>IF($E94="","",INDEX('Input Transaksi'!$F:$F,$E94))</f>
        <v/>
      </c>
      <c r="E94">
        <f>IFERROR(AGGREGATE(15,6,ROW('Input Transaksi'!$B$5:$B$5000)/('Input Transaksi'!$B$5:$B$5000="JCL BYPASS"),ROWS($E$5:E94)),"")</f>
        <v/>
      </c>
      <c r="F94" s="5" t="n"/>
    </row>
    <row r="95">
      <c r="A95" s="10">
        <f>IF($E95="","",INDEX('Input Transaksi'!$A:$A,$E95))</f>
        <v/>
      </c>
      <c r="B95" s="5">
        <f>IF($E95="","",INDEX('Input Transaksi'!$D:$D,$E95))</f>
        <v/>
      </c>
      <c r="C95">
        <f>IF($E95="","",INDEX('Input Transaksi'!$E:$E,$E95))</f>
        <v/>
      </c>
      <c r="D95" s="5">
        <f>IF($E95="","",INDEX('Input Transaksi'!$F:$F,$E95))</f>
        <v/>
      </c>
      <c r="E95">
        <f>IFERROR(AGGREGATE(15,6,ROW('Input Transaksi'!$B$5:$B$5000)/('Input Transaksi'!$B$5:$B$5000="JCL BYPASS"),ROWS($E$5:E95)),"")</f>
        <v/>
      </c>
      <c r="F95" s="5" t="n"/>
    </row>
    <row r="96">
      <c r="A96" s="10">
        <f>IF($E96="","",INDEX('Input Transaksi'!$A:$A,$E96))</f>
        <v/>
      </c>
      <c r="B96" s="5">
        <f>IF($E96="","",INDEX('Input Transaksi'!$D:$D,$E96))</f>
        <v/>
      </c>
      <c r="C96">
        <f>IF($E96="","",INDEX('Input Transaksi'!$E:$E,$E96))</f>
        <v/>
      </c>
      <c r="D96" s="5">
        <f>IF($E96="","",INDEX('Input Transaksi'!$F:$F,$E96))</f>
        <v/>
      </c>
      <c r="E96">
        <f>IFERROR(AGGREGATE(15,6,ROW('Input Transaksi'!$B$5:$B$5000)/('Input Transaksi'!$B$5:$B$5000="JCL BYPASS"),ROWS($E$5:E96)),"")</f>
        <v/>
      </c>
      <c r="F96" s="5" t="n"/>
    </row>
    <row r="97">
      <c r="A97" s="10">
        <f>IF($E97="","",INDEX('Input Transaksi'!$A:$A,$E97))</f>
        <v/>
      </c>
      <c r="B97" s="5">
        <f>IF($E97="","",INDEX('Input Transaksi'!$D:$D,$E97))</f>
        <v/>
      </c>
      <c r="C97">
        <f>IF($E97="","",INDEX('Input Transaksi'!$E:$E,$E97))</f>
        <v/>
      </c>
      <c r="D97" s="5">
        <f>IF($E97="","",INDEX('Input Transaksi'!$F:$F,$E97))</f>
        <v/>
      </c>
      <c r="E97">
        <f>IFERROR(AGGREGATE(15,6,ROW('Input Transaksi'!$B$5:$B$5000)/('Input Transaksi'!$B$5:$B$5000="JCL BYPASS"),ROWS($E$5:E97)),"")</f>
        <v/>
      </c>
      <c r="F97" s="5" t="n"/>
    </row>
    <row r="98">
      <c r="A98" s="10">
        <f>IF($E98="","",INDEX('Input Transaksi'!$A:$A,$E98))</f>
        <v/>
      </c>
      <c r="B98" s="5">
        <f>IF($E98="","",INDEX('Input Transaksi'!$D:$D,$E98))</f>
        <v/>
      </c>
      <c r="C98">
        <f>IF($E98="","",INDEX('Input Transaksi'!$E:$E,$E98))</f>
        <v/>
      </c>
      <c r="D98" s="5">
        <f>IF($E98="","",INDEX('Input Transaksi'!$F:$F,$E98))</f>
        <v/>
      </c>
      <c r="E98">
        <f>IFERROR(AGGREGATE(15,6,ROW('Input Transaksi'!$B$5:$B$5000)/('Input Transaksi'!$B$5:$B$5000="JCL BYPASS"),ROWS($E$5:E98)),"")</f>
        <v/>
      </c>
      <c r="F98" s="5" t="n"/>
    </row>
    <row r="99">
      <c r="A99" s="10">
        <f>IF($E99="","",INDEX('Input Transaksi'!$A:$A,$E99))</f>
        <v/>
      </c>
      <c r="B99" s="5">
        <f>IF($E99="","",INDEX('Input Transaksi'!$D:$D,$E99))</f>
        <v/>
      </c>
      <c r="C99">
        <f>IF($E99="","",INDEX('Input Transaksi'!$E:$E,$E99))</f>
        <v/>
      </c>
      <c r="D99" s="5">
        <f>IF($E99="","",INDEX('Input Transaksi'!$F:$F,$E99))</f>
        <v/>
      </c>
      <c r="E99">
        <f>IFERROR(AGGREGATE(15,6,ROW('Input Transaksi'!$B$5:$B$5000)/('Input Transaksi'!$B$5:$B$5000="JCL BYPASS"),ROWS($E$5:E99)),"")</f>
        <v/>
      </c>
      <c r="F99" s="5" t="n"/>
    </row>
    <row r="100">
      <c r="A100" s="10">
        <f>IF($E100="","",INDEX('Input Transaksi'!$A:$A,$E100))</f>
        <v/>
      </c>
      <c r="B100" s="5">
        <f>IF($E100="","",INDEX('Input Transaksi'!$D:$D,$E100))</f>
        <v/>
      </c>
      <c r="C100">
        <f>IF($E100="","",INDEX('Input Transaksi'!$E:$E,$E100))</f>
        <v/>
      </c>
      <c r="D100" s="5">
        <f>IF($E100="","",INDEX('Input Transaksi'!$F:$F,$E100))</f>
        <v/>
      </c>
      <c r="E100">
        <f>IFERROR(AGGREGATE(15,6,ROW('Input Transaksi'!$B$5:$B$5000)/('Input Transaksi'!$B$5:$B$5000="JCL BYPASS"),ROWS($E$5:E100)),"")</f>
        <v/>
      </c>
      <c r="F100" s="5" t="n"/>
    </row>
    <row r="101">
      <c r="A101" s="10">
        <f>IF($E101="","",INDEX('Input Transaksi'!$A:$A,$E101))</f>
        <v/>
      </c>
      <c r="B101" s="5">
        <f>IF($E101="","",INDEX('Input Transaksi'!$D:$D,$E101))</f>
        <v/>
      </c>
      <c r="C101">
        <f>IF($E101="","",INDEX('Input Transaksi'!$E:$E,$E101))</f>
        <v/>
      </c>
      <c r="D101" s="5">
        <f>IF($E101="","",INDEX('Input Transaksi'!$F:$F,$E101))</f>
        <v/>
      </c>
      <c r="E101">
        <f>IFERROR(AGGREGATE(15,6,ROW('Input Transaksi'!$B$5:$B$5000)/('Input Transaksi'!$B$5:$B$5000="JCL BYPASS"),ROWS($E$5:E101)),"")</f>
        <v/>
      </c>
      <c r="F101" s="5" t="n"/>
    </row>
    <row r="102">
      <c r="A102" s="10">
        <f>IF($E102="","",INDEX('Input Transaksi'!$A:$A,$E102))</f>
        <v/>
      </c>
      <c r="B102" s="5">
        <f>IF($E102="","",INDEX('Input Transaksi'!$D:$D,$E102))</f>
        <v/>
      </c>
      <c r="C102">
        <f>IF($E102="","",INDEX('Input Transaksi'!$E:$E,$E102))</f>
        <v/>
      </c>
      <c r="D102" s="5">
        <f>IF($E102="","",INDEX('Input Transaksi'!$F:$F,$E102))</f>
        <v/>
      </c>
      <c r="E102">
        <f>IFERROR(AGGREGATE(15,6,ROW('Input Transaksi'!$B$5:$B$5000)/('Input Transaksi'!$B$5:$B$5000="JCL BYPASS"),ROWS($E$5:E102)),"")</f>
        <v/>
      </c>
      <c r="F102" s="5" t="n"/>
    </row>
    <row r="103">
      <c r="A103" s="10">
        <f>IF($E103="","",INDEX('Input Transaksi'!$A:$A,$E103))</f>
        <v/>
      </c>
      <c r="B103" s="5">
        <f>IF($E103="","",INDEX('Input Transaksi'!$D:$D,$E103))</f>
        <v/>
      </c>
      <c r="C103">
        <f>IF($E103="","",INDEX('Input Transaksi'!$E:$E,$E103))</f>
        <v/>
      </c>
      <c r="D103" s="5">
        <f>IF($E103="","",INDEX('Input Transaksi'!$F:$F,$E103))</f>
        <v/>
      </c>
      <c r="E103">
        <f>IFERROR(AGGREGATE(15,6,ROW('Input Transaksi'!$B$5:$B$5000)/('Input Transaksi'!$B$5:$B$5000="JCL BYPASS"),ROWS($E$5:E103)),"")</f>
        <v/>
      </c>
      <c r="F103" s="5" t="n"/>
    </row>
    <row r="104">
      <c r="A104" s="10">
        <f>IF($E104="","",INDEX('Input Transaksi'!$A:$A,$E104))</f>
        <v/>
      </c>
      <c r="B104" s="5">
        <f>IF($E104="","",INDEX('Input Transaksi'!$D:$D,$E104))</f>
        <v/>
      </c>
      <c r="C104">
        <f>IF($E104="","",INDEX('Input Transaksi'!$E:$E,$E104))</f>
        <v/>
      </c>
      <c r="D104" s="5">
        <f>IF($E104="","",INDEX('Input Transaksi'!$F:$F,$E104))</f>
        <v/>
      </c>
      <c r="E104">
        <f>IFERROR(AGGREGATE(15,6,ROW('Input Transaksi'!$B$5:$B$5000)/('Input Transaksi'!$B$5:$B$5000="JCL BYPASS"),ROWS($E$5:E104)),"")</f>
        <v/>
      </c>
      <c r="F104" s="5" t="n"/>
    </row>
    <row r="105">
      <c r="A105" s="10">
        <f>IF($E105="","",INDEX('Input Transaksi'!$A:$A,$E105))</f>
        <v/>
      </c>
      <c r="B105" s="5">
        <f>IF($E105="","",INDEX('Input Transaksi'!$D:$D,$E105))</f>
        <v/>
      </c>
      <c r="C105">
        <f>IF($E105="","",INDEX('Input Transaksi'!$E:$E,$E105))</f>
        <v/>
      </c>
      <c r="D105" s="5">
        <f>IF($E105="","",INDEX('Input Transaksi'!$F:$F,$E105))</f>
        <v/>
      </c>
      <c r="E105">
        <f>IFERROR(AGGREGATE(15,6,ROW('Input Transaksi'!$B$5:$B$5000)/('Input Transaksi'!$B$5:$B$5000="JCL BYPASS"),ROWS($E$5:E105)),"")</f>
        <v/>
      </c>
      <c r="F105" s="5" t="n"/>
    </row>
    <row r="106">
      <c r="A106" s="10">
        <f>IF($E106="","",INDEX('Input Transaksi'!$A:$A,$E106))</f>
        <v/>
      </c>
      <c r="B106" s="5">
        <f>IF($E106="","",INDEX('Input Transaksi'!$D:$D,$E106))</f>
        <v/>
      </c>
      <c r="C106">
        <f>IF($E106="","",INDEX('Input Transaksi'!$E:$E,$E106))</f>
        <v/>
      </c>
      <c r="D106" s="5">
        <f>IF($E106="","",INDEX('Input Transaksi'!$F:$F,$E106))</f>
        <v/>
      </c>
      <c r="E106">
        <f>IFERROR(AGGREGATE(15,6,ROW('Input Transaksi'!$B$5:$B$5000)/('Input Transaksi'!$B$5:$B$5000="JCL BYPASS"),ROWS($E$5:E106)),"")</f>
        <v/>
      </c>
      <c r="F106" s="5" t="n"/>
    </row>
    <row r="107">
      <c r="A107" s="10">
        <f>IF($E107="","",INDEX('Input Transaksi'!$A:$A,$E107))</f>
        <v/>
      </c>
      <c r="B107" s="5">
        <f>IF($E107="","",INDEX('Input Transaksi'!$D:$D,$E107))</f>
        <v/>
      </c>
      <c r="C107">
        <f>IF($E107="","",INDEX('Input Transaksi'!$E:$E,$E107))</f>
        <v/>
      </c>
      <c r="D107" s="5">
        <f>IF($E107="","",INDEX('Input Transaksi'!$F:$F,$E107))</f>
        <v/>
      </c>
      <c r="E107">
        <f>IFERROR(AGGREGATE(15,6,ROW('Input Transaksi'!$B$5:$B$5000)/('Input Transaksi'!$B$5:$B$5000="JCL BYPASS"),ROWS($E$5:E107)),"")</f>
        <v/>
      </c>
      <c r="F107" s="5" t="n"/>
    </row>
    <row r="108">
      <c r="A108" s="10">
        <f>IF($E108="","",INDEX('Input Transaksi'!$A:$A,$E108))</f>
        <v/>
      </c>
      <c r="B108" s="5">
        <f>IF($E108="","",INDEX('Input Transaksi'!$D:$D,$E108))</f>
        <v/>
      </c>
      <c r="C108">
        <f>IF($E108="","",INDEX('Input Transaksi'!$E:$E,$E108))</f>
        <v/>
      </c>
      <c r="D108" s="5">
        <f>IF($E108="","",INDEX('Input Transaksi'!$F:$F,$E108))</f>
        <v/>
      </c>
      <c r="E108">
        <f>IFERROR(AGGREGATE(15,6,ROW('Input Transaksi'!$B$5:$B$5000)/('Input Transaksi'!$B$5:$B$5000="JCL BYPASS"),ROWS($E$5:E108)),"")</f>
        <v/>
      </c>
      <c r="F108" s="5" t="n"/>
    </row>
    <row r="109">
      <c r="A109" s="10">
        <f>IF($E109="","",INDEX('Input Transaksi'!$A:$A,$E109))</f>
        <v/>
      </c>
      <c r="B109" s="5">
        <f>IF($E109="","",INDEX('Input Transaksi'!$D:$D,$E109))</f>
        <v/>
      </c>
      <c r="C109">
        <f>IF($E109="","",INDEX('Input Transaksi'!$E:$E,$E109))</f>
        <v/>
      </c>
      <c r="D109" s="5">
        <f>IF($E109="","",INDEX('Input Transaksi'!$F:$F,$E109))</f>
        <v/>
      </c>
      <c r="E109">
        <f>IFERROR(AGGREGATE(15,6,ROW('Input Transaksi'!$B$5:$B$5000)/('Input Transaksi'!$B$5:$B$5000="JCL BYPASS"),ROWS($E$5:E109)),"")</f>
        <v/>
      </c>
      <c r="F109" s="5" t="n"/>
    </row>
    <row r="110">
      <c r="A110" s="10">
        <f>IF($E110="","",INDEX('Input Transaksi'!$A:$A,$E110))</f>
        <v/>
      </c>
      <c r="B110" s="5">
        <f>IF($E110="","",INDEX('Input Transaksi'!$D:$D,$E110))</f>
        <v/>
      </c>
      <c r="C110">
        <f>IF($E110="","",INDEX('Input Transaksi'!$E:$E,$E110))</f>
        <v/>
      </c>
      <c r="D110" s="5">
        <f>IF($E110="","",INDEX('Input Transaksi'!$F:$F,$E110))</f>
        <v/>
      </c>
      <c r="E110">
        <f>IFERROR(AGGREGATE(15,6,ROW('Input Transaksi'!$B$5:$B$5000)/('Input Transaksi'!$B$5:$B$5000="JCL BYPASS"),ROWS($E$5:E110)),"")</f>
        <v/>
      </c>
      <c r="F110" s="5" t="n"/>
    </row>
    <row r="111">
      <c r="A111" s="10">
        <f>IF($E111="","",INDEX('Input Transaksi'!$A:$A,$E111))</f>
        <v/>
      </c>
      <c r="B111" s="5">
        <f>IF($E111="","",INDEX('Input Transaksi'!$D:$D,$E111))</f>
        <v/>
      </c>
      <c r="C111">
        <f>IF($E111="","",INDEX('Input Transaksi'!$E:$E,$E111))</f>
        <v/>
      </c>
      <c r="D111" s="5">
        <f>IF($E111="","",INDEX('Input Transaksi'!$F:$F,$E111))</f>
        <v/>
      </c>
      <c r="E111">
        <f>IFERROR(AGGREGATE(15,6,ROW('Input Transaksi'!$B$5:$B$5000)/('Input Transaksi'!$B$5:$B$5000="JCL BYPASS"),ROWS($E$5:E111)),"")</f>
        <v/>
      </c>
      <c r="F111" s="5" t="n"/>
    </row>
    <row r="112">
      <c r="A112" s="10">
        <f>IF($E112="","",INDEX('Input Transaksi'!$A:$A,$E112))</f>
        <v/>
      </c>
      <c r="B112" s="5">
        <f>IF($E112="","",INDEX('Input Transaksi'!$D:$D,$E112))</f>
        <v/>
      </c>
      <c r="C112">
        <f>IF($E112="","",INDEX('Input Transaksi'!$E:$E,$E112))</f>
        <v/>
      </c>
      <c r="D112" s="5">
        <f>IF($E112="","",INDEX('Input Transaksi'!$F:$F,$E112))</f>
        <v/>
      </c>
      <c r="E112">
        <f>IFERROR(AGGREGATE(15,6,ROW('Input Transaksi'!$B$5:$B$5000)/('Input Transaksi'!$B$5:$B$5000="JCL BYPASS"),ROWS($E$5:E112)),"")</f>
        <v/>
      </c>
      <c r="F112" s="5" t="n"/>
    </row>
    <row r="113">
      <c r="A113" s="10">
        <f>IF($E113="","",INDEX('Input Transaksi'!$A:$A,$E113))</f>
        <v/>
      </c>
      <c r="B113" s="5">
        <f>IF($E113="","",INDEX('Input Transaksi'!$D:$D,$E113))</f>
        <v/>
      </c>
      <c r="C113">
        <f>IF($E113="","",INDEX('Input Transaksi'!$E:$E,$E113))</f>
        <v/>
      </c>
      <c r="D113" s="5">
        <f>IF($E113="","",INDEX('Input Transaksi'!$F:$F,$E113))</f>
        <v/>
      </c>
      <c r="E113">
        <f>IFERROR(AGGREGATE(15,6,ROW('Input Transaksi'!$B$5:$B$5000)/('Input Transaksi'!$B$5:$B$5000="JCL BYPASS"),ROWS($E$5:E113)),"")</f>
        <v/>
      </c>
      <c r="F113" s="5" t="n"/>
    </row>
    <row r="114">
      <c r="A114" s="10">
        <f>IF($E114="","",INDEX('Input Transaksi'!$A:$A,$E114))</f>
        <v/>
      </c>
      <c r="B114" s="5">
        <f>IF($E114="","",INDEX('Input Transaksi'!$D:$D,$E114))</f>
        <v/>
      </c>
      <c r="C114">
        <f>IF($E114="","",INDEX('Input Transaksi'!$E:$E,$E114))</f>
        <v/>
      </c>
      <c r="D114" s="5">
        <f>IF($E114="","",INDEX('Input Transaksi'!$F:$F,$E114))</f>
        <v/>
      </c>
      <c r="E114">
        <f>IFERROR(AGGREGATE(15,6,ROW('Input Transaksi'!$B$5:$B$5000)/('Input Transaksi'!$B$5:$B$5000="JCL BYPASS"),ROWS($E$5:E114)),"")</f>
        <v/>
      </c>
      <c r="F114" s="5" t="n"/>
    </row>
    <row r="115">
      <c r="A115" s="10">
        <f>IF($E115="","",INDEX('Input Transaksi'!$A:$A,$E115))</f>
        <v/>
      </c>
      <c r="B115" s="5">
        <f>IF($E115="","",INDEX('Input Transaksi'!$D:$D,$E115))</f>
        <v/>
      </c>
      <c r="C115">
        <f>IF($E115="","",INDEX('Input Transaksi'!$E:$E,$E115))</f>
        <v/>
      </c>
      <c r="D115" s="5">
        <f>IF($E115="","",INDEX('Input Transaksi'!$F:$F,$E115))</f>
        <v/>
      </c>
      <c r="E115">
        <f>IFERROR(AGGREGATE(15,6,ROW('Input Transaksi'!$B$5:$B$5000)/('Input Transaksi'!$B$5:$B$5000="JCL BYPASS"),ROWS($E$5:E115)),"")</f>
        <v/>
      </c>
      <c r="F115" s="5" t="n"/>
    </row>
    <row r="116">
      <c r="A116" s="10">
        <f>IF($E116="","",INDEX('Input Transaksi'!$A:$A,$E116))</f>
        <v/>
      </c>
      <c r="B116" s="5">
        <f>IF($E116="","",INDEX('Input Transaksi'!$D:$D,$E116))</f>
        <v/>
      </c>
      <c r="C116">
        <f>IF($E116="","",INDEX('Input Transaksi'!$E:$E,$E116))</f>
        <v/>
      </c>
      <c r="D116" s="5">
        <f>IF($E116="","",INDEX('Input Transaksi'!$F:$F,$E116))</f>
        <v/>
      </c>
      <c r="E116">
        <f>IFERROR(AGGREGATE(15,6,ROW('Input Transaksi'!$B$5:$B$5000)/('Input Transaksi'!$B$5:$B$5000="JCL BYPASS"),ROWS($E$5:E116)),"")</f>
        <v/>
      </c>
      <c r="F116" s="5" t="n"/>
    </row>
    <row r="117">
      <c r="A117" s="10">
        <f>IF($E117="","",INDEX('Input Transaksi'!$A:$A,$E117))</f>
        <v/>
      </c>
      <c r="B117" s="5">
        <f>IF($E117="","",INDEX('Input Transaksi'!$D:$D,$E117))</f>
        <v/>
      </c>
      <c r="C117">
        <f>IF($E117="","",INDEX('Input Transaksi'!$E:$E,$E117))</f>
        <v/>
      </c>
      <c r="D117" s="5">
        <f>IF($E117="","",INDEX('Input Transaksi'!$F:$F,$E117))</f>
        <v/>
      </c>
      <c r="E117">
        <f>IFERROR(AGGREGATE(15,6,ROW('Input Transaksi'!$B$5:$B$5000)/('Input Transaksi'!$B$5:$B$5000="JCL BYPASS"),ROWS($E$5:E117)),"")</f>
        <v/>
      </c>
      <c r="F117" s="5" t="n"/>
    </row>
    <row r="118">
      <c r="A118" s="10">
        <f>IF($E118="","",INDEX('Input Transaksi'!$A:$A,$E118))</f>
        <v/>
      </c>
      <c r="B118" s="5">
        <f>IF($E118="","",INDEX('Input Transaksi'!$D:$D,$E118))</f>
        <v/>
      </c>
      <c r="C118">
        <f>IF($E118="","",INDEX('Input Transaksi'!$E:$E,$E118))</f>
        <v/>
      </c>
      <c r="D118" s="5">
        <f>IF($E118="","",INDEX('Input Transaksi'!$F:$F,$E118))</f>
        <v/>
      </c>
      <c r="E118">
        <f>IFERROR(AGGREGATE(15,6,ROW('Input Transaksi'!$B$5:$B$5000)/('Input Transaksi'!$B$5:$B$5000="JCL BYPASS"),ROWS($E$5:E118)),"")</f>
        <v/>
      </c>
      <c r="F118" s="5" t="n"/>
    </row>
    <row r="119">
      <c r="A119" s="10">
        <f>IF($E119="","",INDEX('Input Transaksi'!$A:$A,$E119))</f>
        <v/>
      </c>
      <c r="B119" s="5">
        <f>IF($E119="","",INDEX('Input Transaksi'!$D:$D,$E119))</f>
        <v/>
      </c>
      <c r="C119">
        <f>IF($E119="","",INDEX('Input Transaksi'!$E:$E,$E119))</f>
        <v/>
      </c>
      <c r="D119" s="5">
        <f>IF($E119="","",INDEX('Input Transaksi'!$F:$F,$E119))</f>
        <v/>
      </c>
      <c r="E119">
        <f>IFERROR(AGGREGATE(15,6,ROW('Input Transaksi'!$B$5:$B$5000)/('Input Transaksi'!$B$5:$B$5000="JCL BYPASS"),ROWS($E$5:E119)),"")</f>
        <v/>
      </c>
      <c r="F119" s="5" t="n"/>
    </row>
    <row r="120">
      <c r="A120" s="10">
        <f>IF($E120="","",INDEX('Input Transaksi'!$A:$A,$E120))</f>
        <v/>
      </c>
      <c r="B120" s="5">
        <f>IF($E120="","",INDEX('Input Transaksi'!$D:$D,$E120))</f>
        <v/>
      </c>
      <c r="C120">
        <f>IF($E120="","",INDEX('Input Transaksi'!$E:$E,$E120))</f>
        <v/>
      </c>
      <c r="D120" s="5">
        <f>IF($E120="","",INDEX('Input Transaksi'!$F:$F,$E120))</f>
        <v/>
      </c>
      <c r="E120">
        <f>IFERROR(AGGREGATE(15,6,ROW('Input Transaksi'!$B$5:$B$5000)/('Input Transaksi'!$B$5:$B$5000="JCL BYPASS"),ROWS($E$5:E120)),"")</f>
        <v/>
      </c>
      <c r="F120" s="5" t="n"/>
    </row>
    <row r="121">
      <c r="A121" s="10">
        <f>IF($E121="","",INDEX('Input Transaksi'!$A:$A,$E121))</f>
        <v/>
      </c>
      <c r="B121" s="5">
        <f>IF($E121="","",INDEX('Input Transaksi'!$D:$D,$E121))</f>
        <v/>
      </c>
      <c r="C121">
        <f>IF($E121="","",INDEX('Input Transaksi'!$E:$E,$E121))</f>
        <v/>
      </c>
      <c r="D121" s="5">
        <f>IF($E121="","",INDEX('Input Transaksi'!$F:$F,$E121))</f>
        <v/>
      </c>
      <c r="E121">
        <f>IFERROR(AGGREGATE(15,6,ROW('Input Transaksi'!$B$5:$B$5000)/('Input Transaksi'!$B$5:$B$5000="JCL BYPASS"),ROWS($E$5:E121)),"")</f>
        <v/>
      </c>
      <c r="F121" s="5" t="n"/>
    </row>
    <row r="122">
      <c r="A122" s="10">
        <f>IF($E122="","",INDEX('Input Transaksi'!$A:$A,$E122))</f>
        <v/>
      </c>
      <c r="B122" s="5">
        <f>IF($E122="","",INDEX('Input Transaksi'!$D:$D,$E122))</f>
        <v/>
      </c>
      <c r="C122">
        <f>IF($E122="","",INDEX('Input Transaksi'!$E:$E,$E122))</f>
        <v/>
      </c>
      <c r="D122" s="5">
        <f>IF($E122="","",INDEX('Input Transaksi'!$F:$F,$E122))</f>
        <v/>
      </c>
      <c r="E122">
        <f>IFERROR(AGGREGATE(15,6,ROW('Input Transaksi'!$B$5:$B$5000)/('Input Transaksi'!$B$5:$B$5000="JCL BYPASS"),ROWS($E$5:E122)),"")</f>
        <v/>
      </c>
      <c r="F122" s="5" t="n"/>
    </row>
    <row r="123">
      <c r="A123" s="10">
        <f>IF($E123="","",INDEX('Input Transaksi'!$A:$A,$E123))</f>
        <v/>
      </c>
      <c r="B123" s="5">
        <f>IF($E123="","",INDEX('Input Transaksi'!$D:$D,$E123))</f>
        <v/>
      </c>
      <c r="C123">
        <f>IF($E123="","",INDEX('Input Transaksi'!$E:$E,$E123))</f>
        <v/>
      </c>
      <c r="D123" s="5">
        <f>IF($E123="","",INDEX('Input Transaksi'!$F:$F,$E123))</f>
        <v/>
      </c>
      <c r="E123">
        <f>IFERROR(AGGREGATE(15,6,ROW('Input Transaksi'!$B$5:$B$5000)/('Input Transaksi'!$B$5:$B$5000="JCL BYPASS"),ROWS($E$5:E123)),"")</f>
        <v/>
      </c>
      <c r="F123" s="5" t="n"/>
    </row>
    <row r="124">
      <c r="A124" s="10">
        <f>IF($E124="","",INDEX('Input Transaksi'!$A:$A,$E124))</f>
        <v/>
      </c>
      <c r="B124" s="5">
        <f>IF($E124="","",INDEX('Input Transaksi'!$D:$D,$E124))</f>
        <v/>
      </c>
      <c r="C124">
        <f>IF($E124="","",INDEX('Input Transaksi'!$E:$E,$E124))</f>
        <v/>
      </c>
      <c r="D124" s="5">
        <f>IF($E124="","",INDEX('Input Transaksi'!$F:$F,$E124))</f>
        <v/>
      </c>
      <c r="E124">
        <f>IFERROR(AGGREGATE(15,6,ROW('Input Transaksi'!$B$5:$B$5000)/('Input Transaksi'!$B$5:$B$5000="JCL BYPASS"),ROWS($E$5:E124)),"")</f>
        <v/>
      </c>
      <c r="F124" s="5" t="n"/>
    </row>
    <row r="125">
      <c r="A125" s="10">
        <f>IF($E125="","",INDEX('Input Transaksi'!$A:$A,$E125))</f>
        <v/>
      </c>
      <c r="B125" s="5">
        <f>IF($E125="","",INDEX('Input Transaksi'!$D:$D,$E125))</f>
        <v/>
      </c>
      <c r="C125">
        <f>IF($E125="","",INDEX('Input Transaksi'!$E:$E,$E125))</f>
        <v/>
      </c>
      <c r="D125" s="5">
        <f>IF($E125="","",INDEX('Input Transaksi'!$F:$F,$E125))</f>
        <v/>
      </c>
      <c r="E125">
        <f>IFERROR(AGGREGATE(15,6,ROW('Input Transaksi'!$B$5:$B$5000)/('Input Transaksi'!$B$5:$B$5000="JCL BYPASS"),ROWS($E$5:E125)),"")</f>
        <v/>
      </c>
      <c r="F125" s="5" t="n"/>
    </row>
    <row r="126">
      <c r="A126" s="10">
        <f>IF($E126="","",INDEX('Input Transaksi'!$A:$A,$E126))</f>
        <v/>
      </c>
      <c r="B126" s="5">
        <f>IF($E126="","",INDEX('Input Transaksi'!$D:$D,$E126))</f>
        <v/>
      </c>
      <c r="C126">
        <f>IF($E126="","",INDEX('Input Transaksi'!$E:$E,$E126))</f>
        <v/>
      </c>
      <c r="D126" s="5">
        <f>IF($E126="","",INDEX('Input Transaksi'!$F:$F,$E126))</f>
        <v/>
      </c>
      <c r="E126">
        <f>IFERROR(AGGREGATE(15,6,ROW('Input Transaksi'!$B$5:$B$5000)/('Input Transaksi'!$B$5:$B$5000="JCL BYPASS"),ROWS($E$5:E126)),"")</f>
        <v/>
      </c>
      <c r="F126" s="5" t="n"/>
    </row>
    <row r="127">
      <c r="A127" s="10">
        <f>IF($E127="","",INDEX('Input Transaksi'!$A:$A,$E127))</f>
        <v/>
      </c>
      <c r="B127" s="5">
        <f>IF($E127="","",INDEX('Input Transaksi'!$D:$D,$E127))</f>
        <v/>
      </c>
      <c r="C127">
        <f>IF($E127="","",INDEX('Input Transaksi'!$E:$E,$E127))</f>
        <v/>
      </c>
      <c r="D127" s="5">
        <f>IF($E127="","",INDEX('Input Transaksi'!$F:$F,$E127))</f>
        <v/>
      </c>
      <c r="E127">
        <f>IFERROR(AGGREGATE(15,6,ROW('Input Transaksi'!$B$5:$B$5000)/('Input Transaksi'!$B$5:$B$5000="JCL BYPASS"),ROWS($E$5:E127)),"")</f>
        <v/>
      </c>
      <c r="F127" s="5" t="n"/>
    </row>
    <row r="128">
      <c r="A128" s="10">
        <f>IF($E128="","",INDEX('Input Transaksi'!$A:$A,$E128))</f>
        <v/>
      </c>
      <c r="B128" s="5">
        <f>IF($E128="","",INDEX('Input Transaksi'!$D:$D,$E128))</f>
        <v/>
      </c>
      <c r="C128">
        <f>IF($E128="","",INDEX('Input Transaksi'!$E:$E,$E128))</f>
        <v/>
      </c>
      <c r="D128" s="5">
        <f>IF($E128="","",INDEX('Input Transaksi'!$F:$F,$E128))</f>
        <v/>
      </c>
      <c r="E128">
        <f>IFERROR(AGGREGATE(15,6,ROW('Input Transaksi'!$B$5:$B$5000)/('Input Transaksi'!$B$5:$B$5000="JCL BYPASS"),ROWS($E$5:E128)),"")</f>
        <v/>
      </c>
      <c r="F128" s="5" t="n"/>
    </row>
    <row r="129">
      <c r="A129" s="10">
        <f>IF($E129="","",INDEX('Input Transaksi'!$A:$A,$E129))</f>
        <v/>
      </c>
      <c r="B129" s="5">
        <f>IF($E129="","",INDEX('Input Transaksi'!$D:$D,$E129))</f>
        <v/>
      </c>
      <c r="C129">
        <f>IF($E129="","",INDEX('Input Transaksi'!$E:$E,$E129))</f>
        <v/>
      </c>
      <c r="D129" s="5">
        <f>IF($E129="","",INDEX('Input Transaksi'!$F:$F,$E129))</f>
        <v/>
      </c>
      <c r="E129">
        <f>IFERROR(AGGREGATE(15,6,ROW('Input Transaksi'!$B$5:$B$5000)/('Input Transaksi'!$B$5:$B$5000="JCL BYPASS"),ROWS($E$5:E129)),"")</f>
        <v/>
      </c>
      <c r="F129" s="5" t="n"/>
    </row>
    <row r="130">
      <c r="A130" s="10">
        <f>IF($E130="","",INDEX('Input Transaksi'!$A:$A,$E130))</f>
        <v/>
      </c>
      <c r="B130" s="5">
        <f>IF($E130="","",INDEX('Input Transaksi'!$D:$D,$E130))</f>
        <v/>
      </c>
      <c r="C130">
        <f>IF($E130="","",INDEX('Input Transaksi'!$E:$E,$E130))</f>
        <v/>
      </c>
      <c r="D130" s="5">
        <f>IF($E130="","",INDEX('Input Transaksi'!$F:$F,$E130))</f>
        <v/>
      </c>
      <c r="E130">
        <f>IFERROR(AGGREGATE(15,6,ROW('Input Transaksi'!$B$5:$B$5000)/('Input Transaksi'!$B$5:$B$5000="JCL BYPASS"),ROWS($E$5:E130)),"")</f>
        <v/>
      </c>
      <c r="F130" s="5" t="n"/>
    </row>
    <row r="131">
      <c r="A131" s="10">
        <f>IF($E131="","",INDEX('Input Transaksi'!$A:$A,$E131))</f>
        <v/>
      </c>
      <c r="B131" s="5">
        <f>IF($E131="","",INDEX('Input Transaksi'!$D:$D,$E131))</f>
        <v/>
      </c>
      <c r="C131">
        <f>IF($E131="","",INDEX('Input Transaksi'!$E:$E,$E131))</f>
        <v/>
      </c>
      <c r="D131" s="5">
        <f>IF($E131="","",INDEX('Input Transaksi'!$F:$F,$E131))</f>
        <v/>
      </c>
      <c r="E131">
        <f>IFERROR(AGGREGATE(15,6,ROW('Input Transaksi'!$B$5:$B$5000)/('Input Transaksi'!$B$5:$B$5000="JCL BYPASS"),ROWS($E$5:E131)),"")</f>
        <v/>
      </c>
      <c r="F131" s="5" t="n"/>
    </row>
    <row r="132">
      <c r="A132" s="10">
        <f>IF($E132="","",INDEX('Input Transaksi'!$A:$A,$E132))</f>
        <v/>
      </c>
      <c r="B132" s="5">
        <f>IF($E132="","",INDEX('Input Transaksi'!$D:$D,$E132))</f>
        <v/>
      </c>
      <c r="C132">
        <f>IF($E132="","",INDEX('Input Transaksi'!$E:$E,$E132))</f>
        <v/>
      </c>
      <c r="D132" s="5">
        <f>IF($E132="","",INDEX('Input Transaksi'!$F:$F,$E132))</f>
        <v/>
      </c>
      <c r="E132">
        <f>IFERROR(AGGREGATE(15,6,ROW('Input Transaksi'!$B$5:$B$5000)/('Input Transaksi'!$B$5:$B$5000="JCL BYPASS"),ROWS($E$5:E132)),"")</f>
        <v/>
      </c>
      <c r="F132" s="5" t="n"/>
    </row>
    <row r="133">
      <c r="A133" s="10">
        <f>IF($E133="","",INDEX('Input Transaksi'!$A:$A,$E133))</f>
        <v/>
      </c>
      <c r="B133" s="5">
        <f>IF($E133="","",INDEX('Input Transaksi'!$D:$D,$E133))</f>
        <v/>
      </c>
      <c r="C133">
        <f>IF($E133="","",INDEX('Input Transaksi'!$E:$E,$E133))</f>
        <v/>
      </c>
      <c r="D133" s="5">
        <f>IF($E133="","",INDEX('Input Transaksi'!$F:$F,$E133))</f>
        <v/>
      </c>
      <c r="E133">
        <f>IFERROR(AGGREGATE(15,6,ROW('Input Transaksi'!$B$5:$B$5000)/('Input Transaksi'!$B$5:$B$5000="JCL BYPASS"),ROWS($E$5:E133)),"")</f>
        <v/>
      </c>
      <c r="F133" s="5" t="n"/>
    </row>
    <row r="134">
      <c r="A134" s="10">
        <f>IF($E134="","",INDEX('Input Transaksi'!$A:$A,$E134))</f>
        <v/>
      </c>
      <c r="B134" s="5">
        <f>IF($E134="","",INDEX('Input Transaksi'!$D:$D,$E134))</f>
        <v/>
      </c>
      <c r="C134">
        <f>IF($E134="","",INDEX('Input Transaksi'!$E:$E,$E134))</f>
        <v/>
      </c>
      <c r="D134" s="5">
        <f>IF($E134="","",INDEX('Input Transaksi'!$F:$F,$E134))</f>
        <v/>
      </c>
      <c r="E134">
        <f>IFERROR(AGGREGATE(15,6,ROW('Input Transaksi'!$B$5:$B$5000)/('Input Transaksi'!$B$5:$B$5000="JCL BYPASS"),ROWS($E$5:E134)),"")</f>
        <v/>
      </c>
      <c r="F134" s="5" t="n"/>
    </row>
    <row r="135">
      <c r="A135" s="10">
        <f>IF($E135="","",INDEX('Input Transaksi'!$A:$A,$E135))</f>
        <v/>
      </c>
      <c r="B135" s="5">
        <f>IF($E135="","",INDEX('Input Transaksi'!$D:$D,$E135))</f>
        <v/>
      </c>
      <c r="C135">
        <f>IF($E135="","",INDEX('Input Transaksi'!$E:$E,$E135))</f>
        <v/>
      </c>
      <c r="D135" s="5">
        <f>IF($E135="","",INDEX('Input Transaksi'!$F:$F,$E135))</f>
        <v/>
      </c>
      <c r="E135">
        <f>IFERROR(AGGREGATE(15,6,ROW('Input Transaksi'!$B$5:$B$5000)/('Input Transaksi'!$B$5:$B$5000="JCL BYPASS"),ROWS($E$5:E135)),"")</f>
        <v/>
      </c>
      <c r="F135" s="5" t="n"/>
    </row>
    <row r="136">
      <c r="A136" s="10">
        <f>IF($E136="","",INDEX('Input Transaksi'!$A:$A,$E136))</f>
        <v/>
      </c>
      <c r="B136" s="5">
        <f>IF($E136="","",INDEX('Input Transaksi'!$D:$D,$E136))</f>
        <v/>
      </c>
      <c r="C136">
        <f>IF($E136="","",INDEX('Input Transaksi'!$E:$E,$E136))</f>
        <v/>
      </c>
      <c r="D136" s="5">
        <f>IF($E136="","",INDEX('Input Transaksi'!$F:$F,$E136))</f>
        <v/>
      </c>
      <c r="E136">
        <f>IFERROR(AGGREGATE(15,6,ROW('Input Transaksi'!$B$5:$B$5000)/('Input Transaksi'!$B$5:$B$5000="JCL BYPASS"),ROWS($E$5:E136)),"")</f>
        <v/>
      </c>
      <c r="F136" s="5" t="n"/>
    </row>
    <row r="137">
      <c r="A137" s="10">
        <f>IF($E137="","",INDEX('Input Transaksi'!$A:$A,$E137))</f>
        <v/>
      </c>
      <c r="B137" s="5">
        <f>IF($E137="","",INDEX('Input Transaksi'!$D:$D,$E137))</f>
        <v/>
      </c>
      <c r="C137">
        <f>IF($E137="","",INDEX('Input Transaksi'!$E:$E,$E137))</f>
        <v/>
      </c>
      <c r="D137" s="5">
        <f>IF($E137="","",INDEX('Input Transaksi'!$F:$F,$E137))</f>
        <v/>
      </c>
      <c r="E137">
        <f>IFERROR(AGGREGATE(15,6,ROW('Input Transaksi'!$B$5:$B$5000)/('Input Transaksi'!$B$5:$B$5000="JCL BYPASS"),ROWS($E$5:E137)),"")</f>
        <v/>
      </c>
      <c r="F137" s="5" t="n"/>
    </row>
    <row r="138">
      <c r="A138" s="10">
        <f>IF($E138="","",INDEX('Input Transaksi'!$A:$A,$E138))</f>
        <v/>
      </c>
      <c r="B138" s="5">
        <f>IF($E138="","",INDEX('Input Transaksi'!$D:$D,$E138))</f>
        <v/>
      </c>
      <c r="C138">
        <f>IF($E138="","",INDEX('Input Transaksi'!$E:$E,$E138))</f>
        <v/>
      </c>
      <c r="D138" s="5">
        <f>IF($E138="","",INDEX('Input Transaksi'!$F:$F,$E138))</f>
        <v/>
      </c>
      <c r="E138">
        <f>IFERROR(AGGREGATE(15,6,ROW('Input Transaksi'!$B$5:$B$5000)/('Input Transaksi'!$B$5:$B$5000="JCL BYPASS"),ROWS($E$5:E138)),"")</f>
        <v/>
      </c>
      <c r="F138" s="5" t="n"/>
    </row>
    <row r="139">
      <c r="A139" s="10">
        <f>IF($E139="","",INDEX('Input Transaksi'!$A:$A,$E139))</f>
        <v/>
      </c>
      <c r="B139" s="5">
        <f>IF($E139="","",INDEX('Input Transaksi'!$D:$D,$E139))</f>
        <v/>
      </c>
      <c r="C139">
        <f>IF($E139="","",INDEX('Input Transaksi'!$E:$E,$E139))</f>
        <v/>
      </c>
      <c r="D139" s="5">
        <f>IF($E139="","",INDEX('Input Transaksi'!$F:$F,$E139))</f>
        <v/>
      </c>
      <c r="E139">
        <f>IFERROR(AGGREGATE(15,6,ROW('Input Transaksi'!$B$5:$B$5000)/('Input Transaksi'!$B$5:$B$5000="JCL BYPASS"),ROWS($E$5:E139)),"")</f>
        <v/>
      </c>
      <c r="F139" s="5" t="n"/>
    </row>
    <row r="140">
      <c r="A140" s="10">
        <f>IF($E140="","",INDEX('Input Transaksi'!$A:$A,$E140))</f>
        <v/>
      </c>
      <c r="B140" s="5">
        <f>IF($E140="","",INDEX('Input Transaksi'!$D:$D,$E140))</f>
        <v/>
      </c>
      <c r="C140">
        <f>IF($E140="","",INDEX('Input Transaksi'!$E:$E,$E140))</f>
        <v/>
      </c>
      <c r="D140" s="5">
        <f>IF($E140="","",INDEX('Input Transaksi'!$F:$F,$E140))</f>
        <v/>
      </c>
      <c r="E140">
        <f>IFERROR(AGGREGATE(15,6,ROW('Input Transaksi'!$B$5:$B$5000)/('Input Transaksi'!$B$5:$B$5000="JCL BYPASS"),ROWS($E$5:E140)),"")</f>
        <v/>
      </c>
      <c r="F140" s="5" t="n"/>
    </row>
    <row r="141">
      <c r="A141" s="10">
        <f>IF($E141="","",INDEX('Input Transaksi'!$A:$A,$E141))</f>
        <v/>
      </c>
      <c r="B141" s="5">
        <f>IF($E141="","",INDEX('Input Transaksi'!$D:$D,$E141))</f>
        <v/>
      </c>
      <c r="C141">
        <f>IF($E141="","",INDEX('Input Transaksi'!$E:$E,$E141))</f>
        <v/>
      </c>
      <c r="D141" s="5">
        <f>IF($E141="","",INDEX('Input Transaksi'!$F:$F,$E141))</f>
        <v/>
      </c>
      <c r="E141">
        <f>IFERROR(AGGREGATE(15,6,ROW('Input Transaksi'!$B$5:$B$5000)/('Input Transaksi'!$B$5:$B$5000="JCL BYPASS"),ROWS($E$5:E141)),"")</f>
        <v/>
      </c>
      <c r="F141" s="5" t="n"/>
    </row>
    <row r="142">
      <c r="A142" s="10">
        <f>IF($E142="","",INDEX('Input Transaksi'!$A:$A,$E142))</f>
        <v/>
      </c>
      <c r="B142" s="5">
        <f>IF($E142="","",INDEX('Input Transaksi'!$D:$D,$E142))</f>
        <v/>
      </c>
      <c r="C142">
        <f>IF($E142="","",INDEX('Input Transaksi'!$E:$E,$E142))</f>
        <v/>
      </c>
      <c r="D142" s="5">
        <f>IF($E142="","",INDEX('Input Transaksi'!$F:$F,$E142))</f>
        <v/>
      </c>
      <c r="E142">
        <f>IFERROR(AGGREGATE(15,6,ROW('Input Transaksi'!$B$5:$B$5000)/('Input Transaksi'!$B$5:$B$5000="JCL BYPASS"),ROWS($E$5:E142)),"")</f>
        <v/>
      </c>
      <c r="F142" s="5" t="n"/>
    </row>
    <row r="143">
      <c r="A143" s="10">
        <f>IF($E143="","",INDEX('Input Transaksi'!$A:$A,$E143))</f>
        <v/>
      </c>
      <c r="B143" s="5">
        <f>IF($E143="","",INDEX('Input Transaksi'!$D:$D,$E143))</f>
        <v/>
      </c>
      <c r="C143">
        <f>IF($E143="","",INDEX('Input Transaksi'!$E:$E,$E143))</f>
        <v/>
      </c>
      <c r="D143" s="5">
        <f>IF($E143="","",INDEX('Input Transaksi'!$F:$F,$E143))</f>
        <v/>
      </c>
      <c r="E143">
        <f>IFERROR(AGGREGATE(15,6,ROW('Input Transaksi'!$B$5:$B$5000)/('Input Transaksi'!$B$5:$B$5000="JCL BYPASS"),ROWS($E$5:E143)),"")</f>
        <v/>
      </c>
      <c r="F143" s="5" t="n"/>
    </row>
    <row r="144">
      <c r="A144" s="10">
        <f>IF($E144="","",INDEX('Input Transaksi'!$A:$A,$E144))</f>
        <v/>
      </c>
      <c r="B144" s="5">
        <f>IF($E144="","",INDEX('Input Transaksi'!$D:$D,$E144))</f>
        <v/>
      </c>
      <c r="C144">
        <f>IF($E144="","",INDEX('Input Transaksi'!$E:$E,$E144))</f>
        <v/>
      </c>
      <c r="D144" s="5">
        <f>IF($E144="","",INDEX('Input Transaksi'!$F:$F,$E144))</f>
        <v/>
      </c>
      <c r="E144">
        <f>IFERROR(AGGREGATE(15,6,ROW('Input Transaksi'!$B$5:$B$5000)/('Input Transaksi'!$B$5:$B$5000="JCL BYPASS"),ROWS($E$5:E144)),"")</f>
        <v/>
      </c>
      <c r="F144" s="5" t="n"/>
    </row>
    <row r="145">
      <c r="A145" s="10">
        <f>IF($E145="","",INDEX('Input Transaksi'!$A:$A,$E145))</f>
        <v/>
      </c>
      <c r="B145" s="5">
        <f>IF($E145="","",INDEX('Input Transaksi'!$D:$D,$E145))</f>
        <v/>
      </c>
      <c r="C145">
        <f>IF($E145="","",INDEX('Input Transaksi'!$E:$E,$E145))</f>
        <v/>
      </c>
      <c r="D145" s="5">
        <f>IF($E145="","",INDEX('Input Transaksi'!$F:$F,$E145))</f>
        <v/>
      </c>
      <c r="E145">
        <f>IFERROR(AGGREGATE(15,6,ROW('Input Transaksi'!$B$5:$B$5000)/('Input Transaksi'!$B$5:$B$5000="JCL BYPASS"),ROWS($E$5:E145)),"")</f>
        <v/>
      </c>
      <c r="F145" s="5" t="n"/>
    </row>
    <row r="146">
      <c r="A146" s="10">
        <f>IF($E146="","",INDEX('Input Transaksi'!$A:$A,$E146))</f>
        <v/>
      </c>
      <c r="B146" s="5">
        <f>IF($E146="","",INDEX('Input Transaksi'!$D:$D,$E146))</f>
        <v/>
      </c>
      <c r="C146">
        <f>IF($E146="","",INDEX('Input Transaksi'!$E:$E,$E146))</f>
        <v/>
      </c>
      <c r="D146" s="5">
        <f>IF($E146="","",INDEX('Input Transaksi'!$F:$F,$E146))</f>
        <v/>
      </c>
      <c r="E146">
        <f>IFERROR(AGGREGATE(15,6,ROW('Input Transaksi'!$B$5:$B$5000)/('Input Transaksi'!$B$5:$B$5000="JCL BYPASS"),ROWS($E$5:E146)),"")</f>
        <v/>
      </c>
      <c r="F146" s="5" t="n"/>
    </row>
    <row r="147">
      <c r="A147" s="10">
        <f>IF($E147="","",INDEX('Input Transaksi'!$A:$A,$E147))</f>
        <v/>
      </c>
      <c r="B147" s="5">
        <f>IF($E147="","",INDEX('Input Transaksi'!$D:$D,$E147))</f>
        <v/>
      </c>
      <c r="C147">
        <f>IF($E147="","",INDEX('Input Transaksi'!$E:$E,$E147))</f>
        <v/>
      </c>
      <c r="D147" s="5">
        <f>IF($E147="","",INDEX('Input Transaksi'!$F:$F,$E147))</f>
        <v/>
      </c>
      <c r="E147">
        <f>IFERROR(AGGREGATE(15,6,ROW('Input Transaksi'!$B$5:$B$5000)/('Input Transaksi'!$B$5:$B$5000="JCL BYPASS"),ROWS($E$5:E147)),"")</f>
        <v/>
      </c>
      <c r="F147" s="5" t="n"/>
    </row>
    <row r="148">
      <c r="A148" s="10">
        <f>IF($E148="","",INDEX('Input Transaksi'!$A:$A,$E148))</f>
        <v/>
      </c>
      <c r="B148" s="5">
        <f>IF($E148="","",INDEX('Input Transaksi'!$D:$D,$E148))</f>
        <v/>
      </c>
      <c r="C148">
        <f>IF($E148="","",INDEX('Input Transaksi'!$E:$E,$E148))</f>
        <v/>
      </c>
      <c r="D148" s="5">
        <f>IF($E148="","",INDEX('Input Transaksi'!$F:$F,$E148))</f>
        <v/>
      </c>
      <c r="E148">
        <f>IFERROR(AGGREGATE(15,6,ROW('Input Transaksi'!$B$5:$B$5000)/('Input Transaksi'!$B$5:$B$5000="JCL BYPASS"),ROWS($E$5:E148)),"")</f>
        <v/>
      </c>
      <c r="F148" s="5" t="n"/>
    </row>
    <row r="149">
      <c r="A149" s="10">
        <f>IF($E149="","",INDEX('Input Transaksi'!$A:$A,$E149))</f>
        <v/>
      </c>
      <c r="B149" s="5">
        <f>IF($E149="","",INDEX('Input Transaksi'!$D:$D,$E149))</f>
        <v/>
      </c>
      <c r="C149">
        <f>IF($E149="","",INDEX('Input Transaksi'!$E:$E,$E149))</f>
        <v/>
      </c>
      <c r="D149" s="5">
        <f>IF($E149="","",INDEX('Input Transaksi'!$F:$F,$E149))</f>
        <v/>
      </c>
      <c r="E149">
        <f>IFERROR(AGGREGATE(15,6,ROW('Input Transaksi'!$B$5:$B$5000)/('Input Transaksi'!$B$5:$B$5000="JCL BYPASS"),ROWS($E$5:E149)),"")</f>
        <v/>
      </c>
      <c r="F149" s="5" t="n"/>
    </row>
    <row r="150">
      <c r="A150" s="10">
        <f>IF($E150="","",INDEX('Input Transaksi'!$A:$A,$E150))</f>
        <v/>
      </c>
      <c r="B150" s="5">
        <f>IF($E150="","",INDEX('Input Transaksi'!$D:$D,$E150))</f>
        <v/>
      </c>
      <c r="C150">
        <f>IF($E150="","",INDEX('Input Transaksi'!$E:$E,$E150))</f>
        <v/>
      </c>
      <c r="D150" s="5">
        <f>IF($E150="","",INDEX('Input Transaksi'!$F:$F,$E150))</f>
        <v/>
      </c>
      <c r="E150">
        <f>IFERROR(AGGREGATE(15,6,ROW('Input Transaksi'!$B$5:$B$5000)/('Input Transaksi'!$B$5:$B$5000="JCL BYPASS"),ROWS($E$5:E150)),"")</f>
        <v/>
      </c>
      <c r="F150" s="5" t="n"/>
    </row>
    <row r="151">
      <c r="A151" s="10">
        <f>IF($E151="","",INDEX('Input Transaksi'!$A:$A,$E151))</f>
        <v/>
      </c>
      <c r="B151" s="5">
        <f>IF($E151="","",INDEX('Input Transaksi'!$D:$D,$E151))</f>
        <v/>
      </c>
      <c r="C151">
        <f>IF($E151="","",INDEX('Input Transaksi'!$E:$E,$E151))</f>
        <v/>
      </c>
      <c r="D151" s="5">
        <f>IF($E151="","",INDEX('Input Transaksi'!$F:$F,$E151))</f>
        <v/>
      </c>
      <c r="E151">
        <f>IFERROR(AGGREGATE(15,6,ROW('Input Transaksi'!$B$5:$B$5000)/('Input Transaksi'!$B$5:$B$5000="JCL BYPASS"),ROWS($E$5:E151)),"")</f>
        <v/>
      </c>
      <c r="F151" s="5" t="n"/>
    </row>
    <row r="152">
      <c r="A152" s="10">
        <f>IF($E152="","",INDEX('Input Transaksi'!$A:$A,$E152))</f>
        <v/>
      </c>
      <c r="B152" s="5">
        <f>IF($E152="","",INDEX('Input Transaksi'!$D:$D,$E152))</f>
        <v/>
      </c>
      <c r="C152">
        <f>IF($E152="","",INDEX('Input Transaksi'!$E:$E,$E152))</f>
        <v/>
      </c>
      <c r="D152" s="5">
        <f>IF($E152="","",INDEX('Input Transaksi'!$F:$F,$E152))</f>
        <v/>
      </c>
      <c r="E152">
        <f>IFERROR(AGGREGATE(15,6,ROW('Input Transaksi'!$B$5:$B$5000)/('Input Transaksi'!$B$5:$B$5000="JCL BYPASS"),ROWS($E$5:E152)),"")</f>
        <v/>
      </c>
      <c r="F152" s="5" t="n"/>
    </row>
    <row r="153">
      <c r="A153" s="10">
        <f>IF($E153="","",INDEX('Input Transaksi'!$A:$A,$E153))</f>
        <v/>
      </c>
      <c r="B153" s="5">
        <f>IF($E153="","",INDEX('Input Transaksi'!$D:$D,$E153))</f>
        <v/>
      </c>
      <c r="C153">
        <f>IF($E153="","",INDEX('Input Transaksi'!$E:$E,$E153))</f>
        <v/>
      </c>
      <c r="D153" s="5">
        <f>IF($E153="","",INDEX('Input Transaksi'!$F:$F,$E153))</f>
        <v/>
      </c>
      <c r="E153">
        <f>IFERROR(AGGREGATE(15,6,ROW('Input Transaksi'!$B$5:$B$5000)/('Input Transaksi'!$B$5:$B$5000="JCL BYPASS"),ROWS($E$5:E153)),"")</f>
        <v/>
      </c>
      <c r="F153" s="5" t="n"/>
    </row>
    <row r="154">
      <c r="A154" s="10">
        <f>IF($E154="","",INDEX('Input Transaksi'!$A:$A,$E154))</f>
        <v/>
      </c>
      <c r="B154" s="5">
        <f>IF($E154="","",INDEX('Input Transaksi'!$D:$D,$E154))</f>
        <v/>
      </c>
      <c r="C154">
        <f>IF($E154="","",INDEX('Input Transaksi'!$E:$E,$E154))</f>
        <v/>
      </c>
      <c r="D154" s="5">
        <f>IF($E154="","",INDEX('Input Transaksi'!$F:$F,$E154))</f>
        <v/>
      </c>
      <c r="E154">
        <f>IFERROR(AGGREGATE(15,6,ROW('Input Transaksi'!$B$5:$B$5000)/('Input Transaksi'!$B$5:$B$5000="JCL BYPASS"),ROWS($E$5:E154)),"")</f>
        <v/>
      </c>
      <c r="F154" s="5" t="n"/>
    </row>
    <row r="155">
      <c r="A155" s="10">
        <f>IF($E155="","",INDEX('Input Transaksi'!$A:$A,$E155))</f>
        <v/>
      </c>
      <c r="B155" s="5">
        <f>IF($E155="","",INDEX('Input Transaksi'!$D:$D,$E155))</f>
        <v/>
      </c>
      <c r="C155">
        <f>IF($E155="","",INDEX('Input Transaksi'!$E:$E,$E155))</f>
        <v/>
      </c>
      <c r="D155" s="5">
        <f>IF($E155="","",INDEX('Input Transaksi'!$F:$F,$E155))</f>
        <v/>
      </c>
      <c r="E155">
        <f>IFERROR(AGGREGATE(15,6,ROW('Input Transaksi'!$B$5:$B$5000)/('Input Transaksi'!$B$5:$B$5000="JCL BYPASS"),ROWS($E$5:E155)),"")</f>
        <v/>
      </c>
      <c r="F155" s="5" t="n"/>
    </row>
    <row r="156">
      <c r="A156" s="10">
        <f>IF($E156="","",INDEX('Input Transaksi'!$A:$A,$E156))</f>
        <v/>
      </c>
      <c r="B156" s="5">
        <f>IF($E156="","",INDEX('Input Transaksi'!$D:$D,$E156))</f>
        <v/>
      </c>
      <c r="C156">
        <f>IF($E156="","",INDEX('Input Transaksi'!$E:$E,$E156))</f>
        <v/>
      </c>
      <c r="D156" s="5">
        <f>IF($E156="","",INDEX('Input Transaksi'!$F:$F,$E156))</f>
        <v/>
      </c>
      <c r="E156">
        <f>IFERROR(AGGREGATE(15,6,ROW('Input Transaksi'!$B$5:$B$5000)/('Input Transaksi'!$B$5:$B$5000="JCL BYPASS"),ROWS($E$5:E156)),"")</f>
        <v/>
      </c>
      <c r="F156" s="5" t="n"/>
    </row>
    <row r="157">
      <c r="A157" s="10">
        <f>IF($E157="","",INDEX('Input Transaksi'!$A:$A,$E157))</f>
        <v/>
      </c>
      <c r="B157" s="5">
        <f>IF($E157="","",INDEX('Input Transaksi'!$D:$D,$E157))</f>
        <v/>
      </c>
      <c r="C157">
        <f>IF($E157="","",INDEX('Input Transaksi'!$E:$E,$E157))</f>
        <v/>
      </c>
      <c r="D157" s="5">
        <f>IF($E157="","",INDEX('Input Transaksi'!$F:$F,$E157))</f>
        <v/>
      </c>
      <c r="E157">
        <f>IFERROR(AGGREGATE(15,6,ROW('Input Transaksi'!$B$5:$B$5000)/('Input Transaksi'!$B$5:$B$5000="JCL BYPASS"),ROWS($E$5:E157)),"")</f>
        <v/>
      </c>
      <c r="F157" s="5" t="n"/>
    </row>
    <row r="158">
      <c r="A158" s="10">
        <f>IF($E158="","",INDEX('Input Transaksi'!$A:$A,$E158))</f>
        <v/>
      </c>
      <c r="B158" s="5">
        <f>IF($E158="","",INDEX('Input Transaksi'!$D:$D,$E158))</f>
        <v/>
      </c>
      <c r="C158">
        <f>IF($E158="","",INDEX('Input Transaksi'!$E:$E,$E158))</f>
        <v/>
      </c>
      <c r="D158" s="5">
        <f>IF($E158="","",INDEX('Input Transaksi'!$F:$F,$E158))</f>
        <v/>
      </c>
      <c r="E158">
        <f>IFERROR(AGGREGATE(15,6,ROW('Input Transaksi'!$B$5:$B$5000)/('Input Transaksi'!$B$5:$B$5000="JCL BYPASS"),ROWS($E$5:E158)),"")</f>
        <v/>
      </c>
      <c r="F158" s="5" t="n"/>
    </row>
    <row r="159">
      <c r="A159" s="10">
        <f>IF($E159="","",INDEX('Input Transaksi'!$A:$A,$E159))</f>
        <v/>
      </c>
      <c r="B159" s="5">
        <f>IF($E159="","",INDEX('Input Transaksi'!$D:$D,$E159))</f>
        <v/>
      </c>
      <c r="C159">
        <f>IF($E159="","",INDEX('Input Transaksi'!$E:$E,$E159))</f>
        <v/>
      </c>
      <c r="D159" s="5">
        <f>IF($E159="","",INDEX('Input Transaksi'!$F:$F,$E159))</f>
        <v/>
      </c>
      <c r="E159">
        <f>IFERROR(AGGREGATE(15,6,ROW('Input Transaksi'!$B$5:$B$5000)/('Input Transaksi'!$B$5:$B$5000="JCL BYPASS"),ROWS($E$5:E159)),"")</f>
        <v/>
      </c>
      <c r="F159" s="5" t="n"/>
    </row>
    <row r="160">
      <c r="A160" s="10">
        <f>IF($E160="","",INDEX('Input Transaksi'!$A:$A,$E160))</f>
        <v/>
      </c>
      <c r="B160" s="5">
        <f>IF($E160="","",INDEX('Input Transaksi'!$D:$D,$E160))</f>
        <v/>
      </c>
      <c r="C160">
        <f>IF($E160="","",INDEX('Input Transaksi'!$E:$E,$E160))</f>
        <v/>
      </c>
      <c r="D160" s="5">
        <f>IF($E160="","",INDEX('Input Transaksi'!$F:$F,$E160))</f>
        <v/>
      </c>
      <c r="E160">
        <f>IFERROR(AGGREGATE(15,6,ROW('Input Transaksi'!$B$5:$B$5000)/('Input Transaksi'!$B$5:$B$5000="JCL BYPASS"),ROWS($E$5:E160)),"")</f>
        <v/>
      </c>
      <c r="F160" s="5" t="n"/>
    </row>
    <row r="161">
      <c r="A161" s="10">
        <f>IF($E161="","",INDEX('Input Transaksi'!$A:$A,$E161))</f>
        <v/>
      </c>
      <c r="B161" s="5">
        <f>IF($E161="","",INDEX('Input Transaksi'!$D:$D,$E161))</f>
        <v/>
      </c>
      <c r="C161">
        <f>IF($E161="","",INDEX('Input Transaksi'!$E:$E,$E161))</f>
        <v/>
      </c>
      <c r="D161" s="5">
        <f>IF($E161="","",INDEX('Input Transaksi'!$F:$F,$E161))</f>
        <v/>
      </c>
      <c r="E161">
        <f>IFERROR(AGGREGATE(15,6,ROW('Input Transaksi'!$B$5:$B$5000)/('Input Transaksi'!$B$5:$B$5000="JCL BYPASS"),ROWS($E$5:E161)),"")</f>
        <v/>
      </c>
      <c r="F161" s="5" t="n"/>
    </row>
    <row r="162">
      <c r="A162" s="10">
        <f>IF($E162="","",INDEX('Input Transaksi'!$A:$A,$E162))</f>
        <v/>
      </c>
      <c r="B162" s="5">
        <f>IF($E162="","",INDEX('Input Transaksi'!$D:$D,$E162))</f>
        <v/>
      </c>
      <c r="C162">
        <f>IF($E162="","",INDEX('Input Transaksi'!$E:$E,$E162))</f>
        <v/>
      </c>
      <c r="D162" s="5">
        <f>IF($E162="","",INDEX('Input Transaksi'!$F:$F,$E162))</f>
        <v/>
      </c>
      <c r="E162">
        <f>IFERROR(AGGREGATE(15,6,ROW('Input Transaksi'!$B$5:$B$5000)/('Input Transaksi'!$B$5:$B$5000="JCL BYPASS"),ROWS($E$5:E162)),"")</f>
        <v/>
      </c>
      <c r="F162" s="5" t="n"/>
    </row>
    <row r="163">
      <c r="A163" s="10">
        <f>IF($E163="","",INDEX('Input Transaksi'!$A:$A,$E163))</f>
        <v/>
      </c>
      <c r="B163" s="5">
        <f>IF($E163="","",INDEX('Input Transaksi'!$D:$D,$E163))</f>
        <v/>
      </c>
      <c r="C163">
        <f>IF($E163="","",INDEX('Input Transaksi'!$E:$E,$E163))</f>
        <v/>
      </c>
      <c r="D163" s="5">
        <f>IF($E163="","",INDEX('Input Transaksi'!$F:$F,$E163))</f>
        <v/>
      </c>
      <c r="E163">
        <f>IFERROR(AGGREGATE(15,6,ROW('Input Transaksi'!$B$5:$B$5000)/('Input Transaksi'!$B$5:$B$5000="JCL BYPASS"),ROWS($E$5:E163)),"")</f>
        <v/>
      </c>
      <c r="F163" s="5" t="n"/>
    </row>
    <row r="164">
      <c r="A164" s="10">
        <f>IF($E164="","",INDEX('Input Transaksi'!$A:$A,$E164))</f>
        <v/>
      </c>
      <c r="B164" s="5">
        <f>IF($E164="","",INDEX('Input Transaksi'!$D:$D,$E164))</f>
        <v/>
      </c>
      <c r="C164">
        <f>IF($E164="","",INDEX('Input Transaksi'!$E:$E,$E164))</f>
        <v/>
      </c>
      <c r="D164" s="5">
        <f>IF($E164="","",INDEX('Input Transaksi'!$F:$F,$E164))</f>
        <v/>
      </c>
      <c r="E164">
        <f>IFERROR(AGGREGATE(15,6,ROW('Input Transaksi'!$B$5:$B$5000)/('Input Transaksi'!$B$5:$B$5000="JCL BYPASS"),ROWS($E$5:E164)),"")</f>
        <v/>
      </c>
      <c r="F164" s="5" t="n"/>
    </row>
    <row r="165">
      <c r="A165" s="10">
        <f>IF($E165="","",INDEX('Input Transaksi'!$A:$A,$E165))</f>
        <v/>
      </c>
      <c r="B165" s="5">
        <f>IF($E165="","",INDEX('Input Transaksi'!$D:$D,$E165))</f>
        <v/>
      </c>
      <c r="C165">
        <f>IF($E165="","",INDEX('Input Transaksi'!$E:$E,$E165))</f>
        <v/>
      </c>
      <c r="D165" s="5">
        <f>IF($E165="","",INDEX('Input Transaksi'!$F:$F,$E165))</f>
        <v/>
      </c>
      <c r="E165">
        <f>IFERROR(AGGREGATE(15,6,ROW('Input Transaksi'!$B$5:$B$5000)/('Input Transaksi'!$B$5:$B$5000="JCL BYPASS"),ROWS($E$5:E165)),"")</f>
        <v/>
      </c>
      <c r="F165" s="5" t="n"/>
    </row>
    <row r="166">
      <c r="A166" s="10">
        <f>IF($E166="","",INDEX('Input Transaksi'!$A:$A,$E166))</f>
        <v/>
      </c>
      <c r="B166" s="5">
        <f>IF($E166="","",INDEX('Input Transaksi'!$D:$D,$E166))</f>
        <v/>
      </c>
      <c r="C166">
        <f>IF($E166="","",INDEX('Input Transaksi'!$E:$E,$E166))</f>
        <v/>
      </c>
      <c r="D166" s="5">
        <f>IF($E166="","",INDEX('Input Transaksi'!$F:$F,$E166))</f>
        <v/>
      </c>
      <c r="E166">
        <f>IFERROR(AGGREGATE(15,6,ROW('Input Transaksi'!$B$5:$B$5000)/('Input Transaksi'!$B$5:$B$5000="JCL BYPASS"),ROWS($E$5:E166)),"")</f>
        <v/>
      </c>
      <c r="F166" s="5" t="n"/>
    </row>
    <row r="167">
      <c r="A167" s="10">
        <f>IF($E167="","",INDEX('Input Transaksi'!$A:$A,$E167))</f>
        <v/>
      </c>
      <c r="B167" s="5">
        <f>IF($E167="","",INDEX('Input Transaksi'!$D:$D,$E167))</f>
        <v/>
      </c>
      <c r="C167">
        <f>IF($E167="","",INDEX('Input Transaksi'!$E:$E,$E167))</f>
        <v/>
      </c>
      <c r="D167" s="5">
        <f>IF($E167="","",INDEX('Input Transaksi'!$F:$F,$E167))</f>
        <v/>
      </c>
      <c r="E167">
        <f>IFERROR(AGGREGATE(15,6,ROW('Input Transaksi'!$B$5:$B$5000)/('Input Transaksi'!$B$5:$B$5000="JCL BYPASS"),ROWS($E$5:E167)),"")</f>
        <v/>
      </c>
      <c r="F167" s="5" t="n"/>
    </row>
    <row r="168">
      <c r="A168" s="10">
        <f>IF($E168="","",INDEX('Input Transaksi'!$A:$A,$E168))</f>
        <v/>
      </c>
      <c r="B168" s="5">
        <f>IF($E168="","",INDEX('Input Transaksi'!$D:$D,$E168))</f>
        <v/>
      </c>
      <c r="C168">
        <f>IF($E168="","",INDEX('Input Transaksi'!$E:$E,$E168))</f>
        <v/>
      </c>
      <c r="D168" s="5">
        <f>IF($E168="","",INDEX('Input Transaksi'!$F:$F,$E168))</f>
        <v/>
      </c>
      <c r="E168">
        <f>IFERROR(AGGREGATE(15,6,ROW('Input Transaksi'!$B$5:$B$5000)/('Input Transaksi'!$B$5:$B$5000="JCL BYPASS"),ROWS($E$5:E168)),"")</f>
        <v/>
      </c>
      <c r="F168" s="5" t="n"/>
    </row>
    <row r="169">
      <c r="A169" s="10">
        <f>IF($E169="","",INDEX('Input Transaksi'!$A:$A,$E169))</f>
        <v/>
      </c>
      <c r="B169" s="5">
        <f>IF($E169="","",INDEX('Input Transaksi'!$D:$D,$E169))</f>
        <v/>
      </c>
      <c r="C169">
        <f>IF($E169="","",INDEX('Input Transaksi'!$E:$E,$E169))</f>
        <v/>
      </c>
      <c r="D169" s="5">
        <f>IF($E169="","",INDEX('Input Transaksi'!$F:$F,$E169))</f>
        <v/>
      </c>
      <c r="E169">
        <f>IFERROR(AGGREGATE(15,6,ROW('Input Transaksi'!$B$5:$B$5000)/('Input Transaksi'!$B$5:$B$5000="JCL BYPASS"),ROWS($E$5:E169)),"")</f>
        <v/>
      </c>
      <c r="F169" s="5" t="n"/>
    </row>
    <row r="170">
      <c r="A170" s="10">
        <f>IF($E170="","",INDEX('Input Transaksi'!$A:$A,$E170))</f>
        <v/>
      </c>
      <c r="B170" s="5">
        <f>IF($E170="","",INDEX('Input Transaksi'!$D:$D,$E170))</f>
        <v/>
      </c>
      <c r="C170">
        <f>IF($E170="","",INDEX('Input Transaksi'!$E:$E,$E170))</f>
        <v/>
      </c>
      <c r="D170" s="5">
        <f>IF($E170="","",INDEX('Input Transaksi'!$F:$F,$E170))</f>
        <v/>
      </c>
      <c r="E170">
        <f>IFERROR(AGGREGATE(15,6,ROW('Input Transaksi'!$B$5:$B$5000)/('Input Transaksi'!$B$5:$B$5000="JCL BYPASS"),ROWS($E$5:E170)),"")</f>
        <v/>
      </c>
      <c r="F170" s="5" t="n"/>
    </row>
    <row r="171">
      <c r="A171" s="10">
        <f>IF($E171="","",INDEX('Input Transaksi'!$A:$A,$E171))</f>
        <v/>
      </c>
      <c r="B171" s="5">
        <f>IF($E171="","",INDEX('Input Transaksi'!$D:$D,$E171))</f>
        <v/>
      </c>
      <c r="C171">
        <f>IF($E171="","",INDEX('Input Transaksi'!$E:$E,$E171))</f>
        <v/>
      </c>
      <c r="D171" s="5">
        <f>IF($E171="","",INDEX('Input Transaksi'!$F:$F,$E171))</f>
        <v/>
      </c>
      <c r="E171">
        <f>IFERROR(AGGREGATE(15,6,ROW('Input Transaksi'!$B$5:$B$5000)/('Input Transaksi'!$B$5:$B$5000="JCL BYPASS"),ROWS($E$5:E171)),"")</f>
        <v/>
      </c>
      <c r="F171" s="5" t="n"/>
    </row>
    <row r="172">
      <c r="A172" s="10">
        <f>IF($E172="","",INDEX('Input Transaksi'!$A:$A,$E172))</f>
        <v/>
      </c>
      <c r="B172" s="5">
        <f>IF($E172="","",INDEX('Input Transaksi'!$D:$D,$E172))</f>
        <v/>
      </c>
      <c r="C172">
        <f>IF($E172="","",INDEX('Input Transaksi'!$E:$E,$E172))</f>
        <v/>
      </c>
      <c r="D172" s="5">
        <f>IF($E172="","",INDEX('Input Transaksi'!$F:$F,$E172))</f>
        <v/>
      </c>
      <c r="E172">
        <f>IFERROR(AGGREGATE(15,6,ROW('Input Transaksi'!$B$5:$B$5000)/('Input Transaksi'!$B$5:$B$5000="JCL BYPASS"),ROWS($E$5:E172)),"")</f>
        <v/>
      </c>
      <c r="F172" s="5" t="n"/>
    </row>
    <row r="173">
      <c r="A173" s="10">
        <f>IF($E173="","",INDEX('Input Transaksi'!$A:$A,$E173))</f>
        <v/>
      </c>
      <c r="B173" s="5">
        <f>IF($E173="","",INDEX('Input Transaksi'!$D:$D,$E173))</f>
        <v/>
      </c>
      <c r="C173">
        <f>IF($E173="","",INDEX('Input Transaksi'!$E:$E,$E173))</f>
        <v/>
      </c>
      <c r="D173" s="5">
        <f>IF($E173="","",INDEX('Input Transaksi'!$F:$F,$E173))</f>
        <v/>
      </c>
      <c r="E173">
        <f>IFERROR(AGGREGATE(15,6,ROW('Input Transaksi'!$B$5:$B$5000)/('Input Transaksi'!$B$5:$B$5000="JCL BYPASS"),ROWS($E$5:E173)),"")</f>
        <v/>
      </c>
      <c r="F173" s="5" t="n"/>
    </row>
    <row r="174">
      <c r="A174" s="10">
        <f>IF($E174="","",INDEX('Input Transaksi'!$A:$A,$E174))</f>
        <v/>
      </c>
      <c r="B174" s="5">
        <f>IF($E174="","",INDEX('Input Transaksi'!$D:$D,$E174))</f>
        <v/>
      </c>
      <c r="C174">
        <f>IF($E174="","",INDEX('Input Transaksi'!$E:$E,$E174))</f>
        <v/>
      </c>
      <c r="D174" s="5">
        <f>IF($E174="","",INDEX('Input Transaksi'!$F:$F,$E174))</f>
        <v/>
      </c>
      <c r="E174">
        <f>IFERROR(AGGREGATE(15,6,ROW('Input Transaksi'!$B$5:$B$5000)/('Input Transaksi'!$B$5:$B$5000="JCL BYPASS"),ROWS($E$5:E174)),"")</f>
        <v/>
      </c>
      <c r="F174" s="5" t="n"/>
    </row>
    <row r="175">
      <c r="A175" s="10">
        <f>IF($E175="","",INDEX('Input Transaksi'!$A:$A,$E175))</f>
        <v/>
      </c>
      <c r="B175" s="5">
        <f>IF($E175="","",INDEX('Input Transaksi'!$D:$D,$E175))</f>
        <v/>
      </c>
      <c r="C175">
        <f>IF($E175="","",INDEX('Input Transaksi'!$E:$E,$E175))</f>
        <v/>
      </c>
      <c r="D175" s="5">
        <f>IF($E175="","",INDEX('Input Transaksi'!$F:$F,$E175))</f>
        <v/>
      </c>
      <c r="E175">
        <f>IFERROR(AGGREGATE(15,6,ROW('Input Transaksi'!$B$5:$B$5000)/('Input Transaksi'!$B$5:$B$5000="JCL BYPASS"),ROWS($E$5:E175)),"")</f>
        <v/>
      </c>
      <c r="F175" s="5" t="n"/>
    </row>
    <row r="176">
      <c r="A176" s="10">
        <f>IF($E176="","",INDEX('Input Transaksi'!$A:$A,$E176))</f>
        <v/>
      </c>
      <c r="B176" s="5">
        <f>IF($E176="","",INDEX('Input Transaksi'!$D:$D,$E176))</f>
        <v/>
      </c>
      <c r="C176">
        <f>IF($E176="","",INDEX('Input Transaksi'!$E:$E,$E176))</f>
        <v/>
      </c>
      <c r="D176" s="5">
        <f>IF($E176="","",INDEX('Input Transaksi'!$F:$F,$E176))</f>
        <v/>
      </c>
      <c r="E176">
        <f>IFERROR(AGGREGATE(15,6,ROW('Input Transaksi'!$B$5:$B$5000)/('Input Transaksi'!$B$5:$B$5000="JCL BYPASS"),ROWS($E$5:E176)),"")</f>
        <v/>
      </c>
      <c r="F176" s="5" t="n"/>
    </row>
    <row r="177">
      <c r="A177" s="10">
        <f>IF($E177="","",INDEX('Input Transaksi'!$A:$A,$E177))</f>
        <v/>
      </c>
      <c r="B177" s="5">
        <f>IF($E177="","",INDEX('Input Transaksi'!$D:$D,$E177))</f>
        <v/>
      </c>
      <c r="C177">
        <f>IF($E177="","",INDEX('Input Transaksi'!$E:$E,$E177))</f>
        <v/>
      </c>
      <c r="D177" s="5">
        <f>IF($E177="","",INDEX('Input Transaksi'!$F:$F,$E177))</f>
        <v/>
      </c>
      <c r="E177">
        <f>IFERROR(AGGREGATE(15,6,ROW('Input Transaksi'!$B$5:$B$5000)/('Input Transaksi'!$B$5:$B$5000="JCL BYPASS"),ROWS($E$5:E177)),"")</f>
        <v/>
      </c>
      <c r="F177" s="5" t="n"/>
    </row>
    <row r="178">
      <c r="A178" s="10">
        <f>IF($E178="","",INDEX('Input Transaksi'!$A:$A,$E178))</f>
        <v/>
      </c>
      <c r="B178" s="5">
        <f>IF($E178="","",INDEX('Input Transaksi'!$D:$D,$E178))</f>
        <v/>
      </c>
      <c r="C178">
        <f>IF($E178="","",INDEX('Input Transaksi'!$E:$E,$E178))</f>
        <v/>
      </c>
      <c r="D178" s="5">
        <f>IF($E178="","",INDEX('Input Transaksi'!$F:$F,$E178))</f>
        <v/>
      </c>
      <c r="E178">
        <f>IFERROR(AGGREGATE(15,6,ROW('Input Transaksi'!$B$5:$B$5000)/('Input Transaksi'!$B$5:$B$5000="JCL BYPASS"),ROWS($E$5:E178)),"")</f>
        <v/>
      </c>
      <c r="F178" s="5" t="n"/>
    </row>
    <row r="179">
      <c r="A179" s="10">
        <f>IF($E179="","",INDEX('Input Transaksi'!$A:$A,$E179))</f>
        <v/>
      </c>
      <c r="B179" s="5">
        <f>IF($E179="","",INDEX('Input Transaksi'!$D:$D,$E179))</f>
        <v/>
      </c>
      <c r="C179">
        <f>IF($E179="","",INDEX('Input Transaksi'!$E:$E,$E179))</f>
        <v/>
      </c>
      <c r="D179" s="5">
        <f>IF($E179="","",INDEX('Input Transaksi'!$F:$F,$E179))</f>
        <v/>
      </c>
      <c r="E179">
        <f>IFERROR(AGGREGATE(15,6,ROW('Input Transaksi'!$B$5:$B$5000)/('Input Transaksi'!$B$5:$B$5000="JCL BYPASS"),ROWS($E$5:E179)),"")</f>
        <v/>
      </c>
      <c r="F179" s="5" t="n"/>
    </row>
    <row r="180">
      <c r="A180" s="10">
        <f>IF($E180="","",INDEX('Input Transaksi'!$A:$A,$E180))</f>
        <v/>
      </c>
      <c r="B180" s="5">
        <f>IF($E180="","",INDEX('Input Transaksi'!$D:$D,$E180))</f>
        <v/>
      </c>
      <c r="C180">
        <f>IF($E180="","",INDEX('Input Transaksi'!$E:$E,$E180))</f>
        <v/>
      </c>
      <c r="D180" s="5">
        <f>IF($E180="","",INDEX('Input Transaksi'!$F:$F,$E180))</f>
        <v/>
      </c>
      <c r="E180">
        <f>IFERROR(AGGREGATE(15,6,ROW('Input Transaksi'!$B$5:$B$5000)/('Input Transaksi'!$B$5:$B$5000="JCL BYPASS"),ROWS($E$5:E180)),"")</f>
        <v/>
      </c>
      <c r="F180" s="5" t="n"/>
    </row>
    <row r="181">
      <c r="A181" s="10">
        <f>IF($E181="","",INDEX('Input Transaksi'!$A:$A,$E181))</f>
        <v/>
      </c>
      <c r="B181" s="5">
        <f>IF($E181="","",INDEX('Input Transaksi'!$D:$D,$E181))</f>
        <v/>
      </c>
      <c r="C181">
        <f>IF($E181="","",INDEX('Input Transaksi'!$E:$E,$E181))</f>
        <v/>
      </c>
      <c r="D181" s="5">
        <f>IF($E181="","",INDEX('Input Transaksi'!$F:$F,$E181))</f>
        <v/>
      </c>
      <c r="E181">
        <f>IFERROR(AGGREGATE(15,6,ROW('Input Transaksi'!$B$5:$B$5000)/('Input Transaksi'!$B$5:$B$5000="JCL BYPASS"),ROWS($E$5:E181)),"")</f>
        <v/>
      </c>
      <c r="F181" s="5" t="n"/>
    </row>
    <row r="182">
      <c r="A182" s="10">
        <f>IF($E182="","",INDEX('Input Transaksi'!$A:$A,$E182))</f>
        <v/>
      </c>
      <c r="B182" s="5">
        <f>IF($E182="","",INDEX('Input Transaksi'!$D:$D,$E182))</f>
        <v/>
      </c>
      <c r="C182">
        <f>IF($E182="","",INDEX('Input Transaksi'!$E:$E,$E182))</f>
        <v/>
      </c>
      <c r="D182" s="5">
        <f>IF($E182="","",INDEX('Input Transaksi'!$F:$F,$E182))</f>
        <v/>
      </c>
      <c r="E182">
        <f>IFERROR(AGGREGATE(15,6,ROW('Input Transaksi'!$B$5:$B$5000)/('Input Transaksi'!$B$5:$B$5000="JCL BYPASS"),ROWS($E$5:E182)),"")</f>
        <v/>
      </c>
      <c r="F182" s="5" t="n"/>
    </row>
    <row r="183">
      <c r="A183" s="10">
        <f>IF($E183="","",INDEX('Input Transaksi'!$A:$A,$E183))</f>
        <v/>
      </c>
      <c r="B183" s="5">
        <f>IF($E183="","",INDEX('Input Transaksi'!$D:$D,$E183))</f>
        <v/>
      </c>
      <c r="C183">
        <f>IF($E183="","",INDEX('Input Transaksi'!$E:$E,$E183))</f>
        <v/>
      </c>
      <c r="D183" s="5">
        <f>IF($E183="","",INDEX('Input Transaksi'!$F:$F,$E183))</f>
        <v/>
      </c>
      <c r="E183">
        <f>IFERROR(AGGREGATE(15,6,ROW('Input Transaksi'!$B$5:$B$5000)/('Input Transaksi'!$B$5:$B$5000="JCL BYPASS"),ROWS($E$5:E183)),"")</f>
        <v/>
      </c>
      <c r="F183" s="5" t="n"/>
    </row>
    <row r="184">
      <c r="A184" s="10">
        <f>IF($E184="","",INDEX('Input Transaksi'!$A:$A,$E184))</f>
        <v/>
      </c>
      <c r="B184" s="5">
        <f>IF($E184="","",INDEX('Input Transaksi'!$D:$D,$E184))</f>
        <v/>
      </c>
      <c r="C184">
        <f>IF($E184="","",INDEX('Input Transaksi'!$E:$E,$E184))</f>
        <v/>
      </c>
      <c r="D184" s="5">
        <f>IF($E184="","",INDEX('Input Transaksi'!$F:$F,$E184))</f>
        <v/>
      </c>
      <c r="E184">
        <f>IFERROR(AGGREGATE(15,6,ROW('Input Transaksi'!$B$5:$B$5000)/('Input Transaksi'!$B$5:$B$5000="JCL BYPASS"),ROWS($E$5:E184)),"")</f>
        <v/>
      </c>
      <c r="F184" s="5" t="n"/>
    </row>
    <row r="185">
      <c r="A185" s="10">
        <f>IF($E185="","",INDEX('Input Transaksi'!$A:$A,$E185))</f>
        <v/>
      </c>
      <c r="B185" s="5">
        <f>IF($E185="","",INDEX('Input Transaksi'!$D:$D,$E185))</f>
        <v/>
      </c>
      <c r="C185">
        <f>IF($E185="","",INDEX('Input Transaksi'!$E:$E,$E185))</f>
        <v/>
      </c>
      <c r="D185" s="5">
        <f>IF($E185="","",INDEX('Input Transaksi'!$F:$F,$E185))</f>
        <v/>
      </c>
      <c r="E185">
        <f>IFERROR(AGGREGATE(15,6,ROW('Input Transaksi'!$B$5:$B$5000)/('Input Transaksi'!$B$5:$B$5000="JCL BYPASS"),ROWS($E$5:E185)),"")</f>
        <v/>
      </c>
      <c r="F185" s="5" t="n"/>
    </row>
    <row r="186">
      <c r="A186" s="10">
        <f>IF($E186="","",INDEX('Input Transaksi'!$A:$A,$E186))</f>
        <v/>
      </c>
      <c r="B186" s="5">
        <f>IF($E186="","",INDEX('Input Transaksi'!$D:$D,$E186))</f>
        <v/>
      </c>
      <c r="C186">
        <f>IF($E186="","",INDEX('Input Transaksi'!$E:$E,$E186))</f>
        <v/>
      </c>
      <c r="D186" s="5">
        <f>IF($E186="","",INDEX('Input Transaksi'!$F:$F,$E186))</f>
        <v/>
      </c>
      <c r="E186">
        <f>IFERROR(AGGREGATE(15,6,ROW('Input Transaksi'!$B$5:$B$5000)/('Input Transaksi'!$B$5:$B$5000="JCL BYPASS"),ROWS($E$5:E186)),"")</f>
        <v/>
      </c>
      <c r="F186" s="5" t="n"/>
    </row>
    <row r="187">
      <c r="A187" s="10">
        <f>IF($E187="","",INDEX('Input Transaksi'!$A:$A,$E187))</f>
        <v/>
      </c>
      <c r="B187" s="5">
        <f>IF($E187="","",INDEX('Input Transaksi'!$D:$D,$E187))</f>
        <v/>
      </c>
      <c r="C187">
        <f>IF($E187="","",INDEX('Input Transaksi'!$E:$E,$E187))</f>
        <v/>
      </c>
      <c r="D187" s="5">
        <f>IF($E187="","",INDEX('Input Transaksi'!$F:$F,$E187))</f>
        <v/>
      </c>
      <c r="E187">
        <f>IFERROR(AGGREGATE(15,6,ROW('Input Transaksi'!$B$5:$B$5000)/('Input Transaksi'!$B$5:$B$5000="JCL BYPASS"),ROWS($E$5:E187)),"")</f>
        <v/>
      </c>
      <c r="F187" s="5" t="n"/>
    </row>
    <row r="188">
      <c r="A188" s="10">
        <f>IF($E188="","",INDEX('Input Transaksi'!$A:$A,$E188))</f>
        <v/>
      </c>
      <c r="B188" s="5">
        <f>IF($E188="","",INDEX('Input Transaksi'!$D:$D,$E188))</f>
        <v/>
      </c>
      <c r="C188">
        <f>IF($E188="","",INDEX('Input Transaksi'!$E:$E,$E188))</f>
        <v/>
      </c>
      <c r="D188" s="5">
        <f>IF($E188="","",INDEX('Input Transaksi'!$F:$F,$E188))</f>
        <v/>
      </c>
      <c r="E188">
        <f>IFERROR(AGGREGATE(15,6,ROW('Input Transaksi'!$B$5:$B$5000)/('Input Transaksi'!$B$5:$B$5000="JCL BYPASS"),ROWS($E$5:E188)),"")</f>
        <v/>
      </c>
      <c r="F188" s="5" t="n"/>
    </row>
    <row r="189">
      <c r="A189" s="10">
        <f>IF($E189="","",INDEX('Input Transaksi'!$A:$A,$E189))</f>
        <v/>
      </c>
      <c r="B189" s="5">
        <f>IF($E189="","",INDEX('Input Transaksi'!$D:$D,$E189))</f>
        <v/>
      </c>
      <c r="C189">
        <f>IF($E189="","",INDEX('Input Transaksi'!$E:$E,$E189))</f>
        <v/>
      </c>
      <c r="D189" s="5">
        <f>IF($E189="","",INDEX('Input Transaksi'!$F:$F,$E189))</f>
        <v/>
      </c>
      <c r="E189">
        <f>IFERROR(AGGREGATE(15,6,ROW('Input Transaksi'!$B$5:$B$5000)/('Input Transaksi'!$B$5:$B$5000="JCL BYPASS"),ROWS($E$5:E189)),"")</f>
        <v/>
      </c>
      <c r="F189" s="5" t="n"/>
    </row>
    <row r="190">
      <c r="A190" s="10">
        <f>IF($E190="","",INDEX('Input Transaksi'!$A:$A,$E190))</f>
        <v/>
      </c>
      <c r="B190" s="5">
        <f>IF($E190="","",INDEX('Input Transaksi'!$D:$D,$E190))</f>
        <v/>
      </c>
      <c r="C190">
        <f>IF($E190="","",INDEX('Input Transaksi'!$E:$E,$E190))</f>
        <v/>
      </c>
      <c r="D190" s="5">
        <f>IF($E190="","",INDEX('Input Transaksi'!$F:$F,$E190))</f>
        <v/>
      </c>
      <c r="E190">
        <f>IFERROR(AGGREGATE(15,6,ROW('Input Transaksi'!$B$5:$B$5000)/('Input Transaksi'!$B$5:$B$5000="JCL BYPASS"),ROWS($E$5:E190)),"")</f>
        <v/>
      </c>
      <c r="F190" s="5" t="n"/>
    </row>
    <row r="191">
      <c r="A191" s="10">
        <f>IF($E191="","",INDEX('Input Transaksi'!$A:$A,$E191))</f>
        <v/>
      </c>
      <c r="B191" s="5">
        <f>IF($E191="","",INDEX('Input Transaksi'!$D:$D,$E191))</f>
        <v/>
      </c>
      <c r="C191">
        <f>IF($E191="","",INDEX('Input Transaksi'!$E:$E,$E191))</f>
        <v/>
      </c>
      <c r="D191" s="5">
        <f>IF($E191="","",INDEX('Input Transaksi'!$F:$F,$E191))</f>
        <v/>
      </c>
      <c r="E191">
        <f>IFERROR(AGGREGATE(15,6,ROW('Input Transaksi'!$B$5:$B$5000)/('Input Transaksi'!$B$5:$B$5000="JCL BYPASS"),ROWS($E$5:E191)),"")</f>
        <v/>
      </c>
      <c r="F191" s="5" t="n"/>
    </row>
    <row r="192">
      <c r="A192" s="10">
        <f>IF($E192="","",INDEX('Input Transaksi'!$A:$A,$E192))</f>
        <v/>
      </c>
      <c r="B192" s="5">
        <f>IF($E192="","",INDEX('Input Transaksi'!$D:$D,$E192))</f>
        <v/>
      </c>
      <c r="C192">
        <f>IF($E192="","",INDEX('Input Transaksi'!$E:$E,$E192))</f>
        <v/>
      </c>
      <c r="D192" s="5">
        <f>IF($E192="","",INDEX('Input Transaksi'!$F:$F,$E192))</f>
        <v/>
      </c>
      <c r="E192">
        <f>IFERROR(AGGREGATE(15,6,ROW('Input Transaksi'!$B$5:$B$5000)/('Input Transaksi'!$B$5:$B$5000="JCL BYPASS"),ROWS($E$5:E192)),"")</f>
        <v/>
      </c>
      <c r="F192" s="5" t="n"/>
    </row>
    <row r="193">
      <c r="A193" s="10">
        <f>IF($E193="","",INDEX('Input Transaksi'!$A:$A,$E193))</f>
        <v/>
      </c>
      <c r="B193" s="5">
        <f>IF($E193="","",INDEX('Input Transaksi'!$D:$D,$E193))</f>
        <v/>
      </c>
      <c r="C193">
        <f>IF($E193="","",INDEX('Input Transaksi'!$E:$E,$E193))</f>
        <v/>
      </c>
      <c r="D193" s="5">
        <f>IF($E193="","",INDEX('Input Transaksi'!$F:$F,$E193))</f>
        <v/>
      </c>
      <c r="E193">
        <f>IFERROR(AGGREGATE(15,6,ROW('Input Transaksi'!$B$5:$B$5000)/('Input Transaksi'!$B$5:$B$5000="JCL BYPASS"),ROWS($E$5:E193)),"")</f>
        <v/>
      </c>
      <c r="F193" s="5" t="n"/>
    </row>
    <row r="194">
      <c r="A194" s="10">
        <f>IF($E194="","",INDEX('Input Transaksi'!$A:$A,$E194))</f>
        <v/>
      </c>
      <c r="B194" s="5">
        <f>IF($E194="","",INDEX('Input Transaksi'!$D:$D,$E194))</f>
        <v/>
      </c>
      <c r="C194">
        <f>IF($E194="","",INDEX('Input Transaksi'!$E:$E,$E194))</f>
        <v/>
      </c>
      <c r="D194" s="5">
        <f>IF($E194="","",INDEX('Input Transaksi'!$F:$F,$E194))</f>
        <v/>
      </c>
      <c r="E194">
        <f>IFERROR(AGGREGATE(15,6,ROW('Input Transaksi'!$B$5:$B$5000)/('Input Transaksi'!$B$5:$B$5000="JCL BYPASS"),ROWS($E$5:E194)),"")</f>
        <v/>
      </c>
      <c r="F194" s="5" t="n"/>
    </row>
    <row r="195">
      <c r="A195" s="10">
        <f>IF($E195="","",INDEX('Input Transaksi'!$A:$A,$E195))</f>
        <v/>
      </c>
      <c r="B195" s="5">
        <f>IF($E195="","",INDEX('Input Transaksi'!$D:$D,$E195))</f>
        <v/>
      </c>
      <c r="C195">
        <f>IF($E195="","",INDEX('Input Transaksi'!$E:$E,$E195))</f>
        <v/>
      </c>
      <c r="D195" s="5">
        <f>IF($E195="","",INDEX('Input Transaksi'!$F:$F,$E195))</f>
        <v/>
      </c>
      <c r="E195">
        <f>IFERROR(AGGREGATE(15,6,ROW('Input Transaksi'!$B$5:$B$5000)/('Input Transaksi'!$B$5:$B$5000="JCL BYPASS"),ROWS($E$5:E195)),"")</f>
        <v/>
      </c>
      <c r="F195" s="5" t="n"/>
    </row>
    <row r="196">
      <c r="A196" s="10">
        <f>IF($E196="","",INDEX('Input Transaksi'!$A:$A,$E196))</f>
        <v/>
      </c>
      <c r="B196" s="5">
        <f>IF($E196="","",INDEX('Input Transaksi'!$D:$D,$E196))</f>
        <v/>
      </c>
      <c r="C196">
        <f>IF($E196="","",INDEX('Input Transaksi'!$E:$E,$E196))</f>
        <v/>
      </c>
      <c r="D196" s="5">
        <f>IF($E196="","",INDEX('Input Transaksi'!$F:$F,$E196))</f>
        <v/>
      </c>
      <c r="E196">
        <f>IFERROR(AGGREGATE(15,6,ROW('Input Transaksi'!$B$5:$B$5000)/('Input Transaksi'!$B$5:$B$5000="JCL BYPASS"),ROWS($E$5:E196)),"")</f>
        <v/>
      </c>
      <c r="F196" s="5" t="n"/>
    </row>
    <row r="197">
      <c r="A197" s="10">
        <f>IF($E197="","",INDEX('Input Transaksi'!$A:$A,$E197))</f>
        <v/>
      </c>
      <c r="B197" s="5">
        <f>IF($E197="","",INDEX('Input Transaksi'!$D:$D,$E197))</f>
        <v/>
      </c>
      <c r="C197">
        <f>IF($E197="","",INDEX('Input Transaksi'!$E:$E,$E197))</f>
        <v/>
      </c>
      <c r="D197" s="5">
        <f>IF($E197="","",INDEX('Input Transaksi'!$F:$F,$E197))</f>
        <v/>
      </c>
      <c r="E197">
        <f>IFERROR(AGGREGATE(15,6,ROW('Input Transaksi'!$B$5:$B$5000)/('Input Transaksi'!$B$5:$B$5000="JCL BYPASS"),ROWS($E$5:E197)),"")</f>
        <v/>
      </c>
      <c r="F197" s="5" t="n"/>
    </row>
    <row r="198">
      <c r="A198" s="10">
        <f>IF($E198="","",INDEX('Input Transaksi'!$A:$A,$E198))</f>
        <v/>
      </c>
      <c r="B198" s="5">
        <f>IF($E198="","",INDEX('Input Transaksi'!$D:$D,$E198))</f>
        <v/>
      </c>
      <c r="C198">
        <f>IF($E198="","",INDEX('Input Transaksi'!$E:$E,$E198))</f>
        <v/>
      </c>
      <c r="D198" s="5">
        <f>IF($E198="","",INDEX('Input Transaksi'!$F:$F,$E198))</f>
        <v/>
      </c>
      <c r="E198">
        <f>IFERROR(AGGREGATE(15,6,ROW('Input Transaksi'!$B$5:$B$5000)/('Input Transaksi'!$B$5:$B$5000="JCL BYPASS"),ROWS($E$5:E198)),"")</f>
        <v/>
      </c>
      <c r="F198" s="5" t="n"/>
    </row>
    <row r="199">
      <c r="A199" s="10">
        <f>IF($E199="","",INDEX('Input Transaksi'!$A:$A,$E199))</f>
        <v/>
      </c>
      <c r="B199" s="5">
        <f>IF($E199="","",INDEX('Input Transaksi'!$D:$D,$E199))</f>
        <v/>
      </c>
      <c r="C199">
        <f>IF($E199="","",INDEX('Input Transaksi'!$E:$E,$E199))</f>
        <v/>
      </c>
      <c r="D199" s="5">
        <f>IF($E199="","",INDEX('Input Transaksi'!$F:$F,$E199))</f>
        <v/>
      </c>
      <c r="E199">
        <f>IFERROR(AGGREGATE(15,6,ROW('Input Transaksi'!$B$5:$B$5000)/('Input Transaksi'!$B$5:$B$5000="JCL BYPASS"),ROWS($E$5:E199)),"")</f>
        <v/>
      </c>
      <c r="F199" s="5" t="n"/>
    </row>
    <row r="200">
      <c r="A200" s="10">
        <f>IF($E200="","",INDEX('Input Transaksi'!$A:$A,$E200))</f>
        <v/>
      </c>
      <c r="B200" s="5">
        <f>IF($E200="","",INDEX('Input Transaksi'!$D:$D,$E200))</f>
        <v/>
      </c>
      <c r="C200">
        <f>IF($E200="","",INDEX('Input Transaksi'!$E:$E,$E200))</f>
        <v/>
      </c>
      <c r="D200" s="5">
        <f>IF($E200="","",INDEX('Input Transaksi'!$F:$F,$E200))</f>
        <v/>
      </c>
      <c r="E200">
        <f>IFERROR(AGGREGATE(15,6,ROW('Input Transaksi'!$B$5:$B$5000)/('Input Transaksi'!$B$5:$B$5000="JCL BYPASS"),ROWS($E$5:E200)),"")</f>
        <v/>
      </c>
      <c r="F200" s="5" t="n"/>
    </row>
    <row r="201">
      <c r="A201" s="10">
        <f>IF($E201="","",INDEX('Input Transaksi'!$A:$A,$E201))</f>
        <v/>
      </c>
      <c r="B201" s="5">
        <f>IF($E201="","",INDEX('Input Transaksi'!$D:$D,$E201))</f>
        <v/>
      </c>
      <c r="C201">
        <f>IF($E201="","",INDEX('Input Transaksi'!$E:$E,$E201))</f>
        <v/>
      </c>
      <c r="D201" s="5">
        <f>IF($E201="","",INDEX('Input Transaksi'!$F:$F,$E201))</f>
        <v/>
      </c>
      <c r="E201">
        <f>IFERROR(AGGREGATE(15,6,ROW('Input Transaksi'!$B$5:$B$5000)/('Input Transaksi'!$B$5:$B$5000="JCL BYPASS"),ROWS($E$5:E201)),"")</f>
        <v/>
      </c>
      <c r="F201" s="5" t="n"/>
    </row>
    <row r="202">
      <c r="A202" s="10">
        <f>IF($E202="","",INDEX('Input Transaksi'!$A:$A,$E202))</f>
        <v/>
      </c>
      <c r="B202" s="5">
        <f>IF($E202="","",INDEX('Input Transaksi'!$D:$D,$E202))</f>
        <v/>
      </c>
      <c r="C202">
        <f>IF($E202="","",INDEX('Input Transaksi'!$E:$E,$E202))</f>
        <v/>
      </c>
      <c r="D202" s="5">
        <f>IF($E202="","",INDEX('Input Transaksi'!$F:$F,$E202))</f>
        <v/>
      </c>
      <c r="E202">
        <f>IFERROR(AGGREGATE(15,6,ROW('Input Transaksi'!$B$5:$B$5000)/('Input Transaksi'!$B$5:$B$5000="JCL BYPASS"),ROWS($E$5:E202)),"")</f>
        <v/>
      </c>
      <c r="F202" s="5" t="n"/>
    </row>
    <row r="203">
      <c r="A203" s="10">
        <f>IF($E203="","",INDEX('Input Transaksi'!$A:$A,$E203))</f>
        <v/>
      </c>
      <c r="B203" s="5">
        <f>IF($E203="","",INDEX('Input Transaksi'!$D:$D,$E203))</f>
        <v/>
      </c>
      <c r="C203">
        <f>IF($E203="","",INDEX('Input Transaksi'!$E:$E,$E203))</f>
        <v/>
      </c>
      <c r="D203" s="5">
        <f>IF($E203="","",INDEX('Input Transaksi'!$F:$F,$E203))</f>
        <v/>
      </c>
      <c r="E203">
        <f>IFERROR(AGGREGATE(15,6,ROW('Input Transaksi'!$B$5:$B$5000)/('Input Transaksi'!$B$5:$B$5000="JCL BYPASS"),ROWS($E$5:E203)),"")</f>
        <v/>
      </c>
      <c r="F203" s="5" t="n"/>
    </row>
    <row r="204">
      <c r="A204" s="10">
        <f>IF($E204="","",INDEX('Input Transaksi'!$A:$A,$E204))</f>
        <v/>
      </c>
      <c r="B204" s="5">
        <f>IF($E204="","",INDEX('Input Transaksi'!$D:$D,$E204))</f>
        <v/>
      </c>
      <c r="C204">
        <f>IF($E204="","",INDEX('Input Transaksi'!$E:$E,$E204))</f>
        <v/>
      </c>
      <c r="D204" s="5">
        <f>IF($E204="","",INDEX('Input Transaksi'!$F:$F,$E204))</f>
        <v/>
      </c>
      <c r="E204">
        <f>IFERROR(AGGREGATE(15,6,ROW('Input Transaksi'!$B$5:$B$5000)/('Input Transaksi'!$B$5:$B$5000="JCL BYPASS"),ROWS($E$5:E204)),"")</f>
        <v/>
      </c>
      <c r="F204" s="5" t="n"/>
    </row>
    <row r="205">
      <c r="A205" s="10">
        <f>IF($E205="","",INDEX('Input Transaksi'!$A:$A,$E205))</f>
        <v/>
      </c>
      <c r="B205" s="5">
        <f>IF($E205="","",INDEX('Input Transaksi'!$D:$D,$E205))</f>
        <v/>
      </c>
      <c r="C205">
        <f>IF($E205="","",INDEX('Input Transaksi'!$E:$E,$E205))</f>
        <v/>
      </c>
      <c r="D205" s="5">
        <f>IF($E205="","",INDEX('Input Transaksi'!$F:$F,$E205))</f>
        <v/>
      </c>
      <c r="E205">
        <f>IFERROR(AGGREGATE(15,6,ROW('Input Transaksi'!$B$5:$B$5000)/('Input Transaksi'!$B$5:$B$5000="JCL BYPASS"),ROWS($E$5:E205)),"")</f>
        <v/>
      </c>
      <c r="F205" s="5" t="n"/>
    </row>
    <row r="206">
      <c r="A206" s="10">
        <f>IF($E206="","",INDEX('Input Transaksi'!$A:$A,$E206))</f>
        <v/>
      </c>
      <c r="B206" s="5">
        <f>IF($E206="","",INDEX('Input Transaksi'!$D:$D,$E206))</f>
        <v/>
      </c>
      <c r="C206">
        <f>IF($E206="","",INDEX('Input Transaksi'!$E:$E,$E206))</f>
        <v/>
      </c>
      <c r="D206" s="5">
        <f>IF($E206="","",INDEX('Input Transaksi'!$F:$F,$E206))</f>
        <v/>
      </c>
      <c r="E206">
        <f>IFERROR(AGGREGATE(15,6,ROW('Input Transaksi'!$B$5:$B$5000)/('Input Transaksi'!$B$5:$B$5000="JCL BYPASS"),ROWS($E$5:E206)),"")</f>
        <v/>
      </c>
      <c r="F206" s="5" t="n"/>
    </row>
    <row r="207">
      <c r="A207" s="10">
        <f>IF($E207="","",INDEX('Input Transaksi'!$A:$A,$E207))</f>
        <v/>
      </c>
      <c r="B207" s="5">
        <f>IF($E207="","",INDEX('Input Transaksi'!$D:$D,$E207))</f>
        <v/>
      </c>
      <c r="C207">
        <f>IF($E207="","",INDEX('Input Transaksi'!$E:$E,$E207))</f>
        <v/>
      </c>
      <c r="D207" s="5">
        <f>IF($E207="","",INDEX('Input Transaksi'!$F:$F,$E207))</f>
        <v/>
      </c>
      <c r="E207">
        <f>IFERROR(AGGREGATE(15,6,ROW('Input Transaksi'!$B$5:$B$5000)/('Input Transaksi'!$B$5:$B$5000="JCL BYPASS"),ROWS($E$5:E207)),"")</f>
        <v/>
      </c>
      <c r="F207" s="5" t="n"/>
    </row>
    <row r="208">
      <c r="A208" s="10">
        <f>IF($E208="","",INDEX('Input Transaksi'!$A:$A,$E208))</f>
        <v/>
      </c>
      <c r="B208" s="5">
        <f>IF($E208="","",INDEX('Input Transaksi'!$D:$D,$E208))</f>
        <v/>
      </c>
      <c r="C208">
        <f>IF($E208="","",INDEX('Input Transaksi'!$E:$E,$E208))</f>
        <v/>
      </c>
      <c r="D208" s="5">
        <f>IF($E208="","",INDEX('Input Transaksi'!$F:$F,$E208))</f>
        <v/>
      </c>
      <c r="E208">
        <f>IFERROR(AGGREGATE(15,6,ROW('Input Transaksi'!$B$5:$B$5000)/('Input Transaksi'!$B$5:$B$5000="JCL BYPASS"),ROWS($E$5:E208)),"")</f>
        <v/>
      </c>
      <c r="F208" s="5" t="n"/>
    </row>
    <row r="209">
      <c r="A209" s="10">
        <f>IF($E209="","",INDEX('Input Transaksi'!$A:$A,$E209))</f>
        <v/>
      </c>
      <c r="B209" s="5">
        <f>IF($E209="","",INDEX('Input Transaksi'!$D:$D,$E209))</f>
        <v/>
      </c>
      <c r="C209">
        <f>IF($E209="","",INDEX('Input Transaksi'!$E:$E,$E209))</f>
        <v/>
      </c>
      <c r="D209" s="5">
        <f>IF($E209="","",INDEX('Input Transaksi'!$F:$F,$E209))</f>
        <v/>
      </c>
      <c r="E209">
        <f>IFERROR(AGGREGATE(15,6,ROW('Input Transaksi'!$B$5:$B$5000)/('Input Transaksi'!$B$5:$B$5000="JCL BYPASS"),ROWS($E$5:E209)),"")</f>
        <v/>
      </c>
      <c r="F209" s="5" t="n"/>
    </row>
    <row r="210">
      <c r="A210" s="10">
        <f>IF($E210="","",INDEX('Input Transaksi'!$A:$A,$E210))</f>
        <v/>
      </c>
      <c r="B210" s="5">
        <f>IF($E210="","",INDEX('Input Transaksi'!$D:$D,$E210))</f>
        <v/>
      </c>
      <c r="C210">
        <f>IF($E210="","",INDEX('Input Transaksi'!$E:$E,$E210))</f>
        <v/>
      </c>
      <c r="D210" s="5">
        <f>IF($E210="","",INDEX('Input Transaksi'!$F:$F,$E210))</f>
        <v/>
      </c>
      <c r="E210">
        <f>IFERROR(AGGREGATE(15,6,ROW('Input Transaksi'!$B$5:$B$5000)/('Input Transaksi'!$B$5:$B$5000="JCL BYPASS"),ROWS($E$5:E210)),"")</f>
        <v/>
      </c>
      <c r="F210" s="5" t="n"/>
    </row>
    <row r="211">
      <c r="A211" s="10">
        <f>IF($E211="","",INDEX('Input Transaksi'!$A:$A,$E211))</f>
        <v/>
      </c>
      <c r="B211" s="5">
        <f>IF($E211="","",INDEX('Input Transaksi'!$D:$D,$E211))</f>
        <v/>
      </c>
      <c r="C211">
        <f>IF($E211="","",INDEX('Input Transaksi'!$E:$E,$E211))</f>
        <v/>
      </c>
      <c r="D211" s="5">
        <f>IF($E211="","",INDEX('Input Transaksi'!$F:$F,$E211))</f>
        <v/>
      </c>
      <c r="E211">
        <f>IFERROR(AGGREGATE(15,6,ROW('Input Transaksi'!$B$5:$B$5000)/('Input Transaksi'!$B$5:$B$5000="JCL BYPASS"),ROWS($E$5:E211)),"")</f>
        <v/>
      </c>
      <c r="F211" s="5" t="n"/>
    </row>
    <row r="212">
      <c r="A212" s="10">
        <f>IF($E212="","",INDEX('Input Transaksi'!$A:$A,$E212))</f>
        <v/>
      </c>
      <c r="B212" s="5">
        <f>IF($E212="","",INDEX('Input Transaksi'!$D:$D,$E212))</f>
        <v/>
      </c>
      <c r="C212">
        <f>IF($E212="","",INDEX('Input Transaksi'!$E:$E,$E212))</f>
        <v/>
      </c>
      <c r="D212" s="5">
        <f>IF($E212="","",INDEX('Input Transaksi'!$F:$F,$E212))</f>
        <v/>
      </c>
      <c r="E212">
        <f>IFERROR(AGGREGATE(15,6,ROW('Input Transaksi'!$B$5:$B$5000)/('Input Transaksi'!$B$5:$B$5000="JCL BYPASS"),ROWS($E$5:E212)),"")</f>
        <v/>
      </c>
      <c r="F212" s="5" t="n"/>
    </row>
    <row r="213">
      <c r="A213" s="10">
        <f>IF($E213="","",INDEX('Input Transaksi'!$A:$A,$E213))</f>
        <v/>
      </c>
      <c r="B213" s="5">
        <f>IF($E213="","",INDEX('Input Transaksi'!$D:$D,$E213))</f>
        <v/>
      </c>
      <c r="C213">
        <f>IF($E213="","",INDEX('Input Transaksi'!$E:$E,$E213))</f>
        <v/>
      </c>
      <c r="D213" s="5">
        <f>IF($E213="","",INDEX('Input Transaksi'!$F:$F,$E213))</f>
        <v/>
      </c>
      <c r="E213">
        <f>IFERROR(AGGREGATE(15,6,ROW('Input Transaksi'!$B$5:$B$5000)/('Input Transaksi'!$B$5:$B$5000="JCL BYPASS"),ROWS($E$5:E213)),"")</f>
        <v/>
      </c>
      <c r="F213" s="5" t="n"/>
    </row>
    <row r="214">
      <c r="A214" s="10">
        <f>IF($E214="","",INDEX('Input Transaksi'!$A:$A,$E214))</f>
        <v/>
      </c>
      <c r="B214" s="5">
        <f>IF($E214="","",INDEX('Input Transaksi'!$D:$D,$E214))</f>
        <v/>
      </c>
      <c r="C214">
        <f>IF($E214="","",INDEX('Input Transaksi'!$E:$E,$E214))</f>
        <v/>
      </c>
      <c r="D214" s="5">
        <f>IF($E214="","",INDEX('Input Transaksi'!$F:$F,$E214))</f>
        <v/>
      </c>
      <c r="E214">
        <f>IFERROR(AGGREGATE(15,6,ROW('Input Transaksi'!$B$5:$B$5000)/('Input Transaksi'!$B$5:$B$5000="JCL BYPASS"),ROWS($E$5:E214)),"")</f>
        <v/>
      </c>
      <c r="F214" s="5" t="n"/>
    </row>
    <row r="215">
      <c r="A215" s="10">
        <f>IF($E215="","",INDEX('Input Transaksi'!$A:$A,$E215))</f>
        <v/>
      </c>
      <c r="B215" s="5">
        <f>IF($E215="","",INDEX('Input Transaksi'!$D:$D,$E215))</f>
        <v/>
      </c>
      <c r="C215">
        <f>IF($E215="","",INDEX('Input Transaksi'!$E:$E,$E215))</f>
        <v/>
      </c>
      <c r="D215" s="5">
        <f>IF($E215="","",INDEX('Input Transaksi'!$F:$F,$E215))</f>
        <v/>
      </c>
      <c r="E215">
        <f>IFERROR(AGGREGATE(15,6,ROW('Input Transaksi'!$B$5:$B$5000)/('Input Transaksi'!$B$5:$B$5000="JCL BYPASS"),ROWS($E$5:E215)),"")</f>
        <v/>
      </c>
      <c r="F215" s="5" t="n"/>
    </row>
    <row r="216">
      <c r="A216" s="10">
        <f>IF($E216="","",INDEX('Input Transaksi'!$A:$A,$E216))</f>
        <v/>
      </c>
      <c r="B216" s="5">
        <f>IF($E216="","",INDEX('Input Transaksi'!$D:$D,$E216))</f>
        <v/>
      </c>
      <c r="C216">
        <f>IF($E216="","",INDEX('Input Transaksi'!$E:$E,$E216))</f>
        <v/>
      </c>
      <c r="D216" s="5">
        <f>IF($E216="","",INDEX('Input Transaksi'!$F:$F,$E216))</f>
        <v/>
      </c>
      <c r="E216">
        <f>IFERROR(AGGREGATE(15,6,ROW('Input Transaksi'!$B$5:$B$5000)/('Input Transaksi'!$B$5:$B$5000="JCL BYPASS"),ROWS($E$5:E216)),"")</f>
        <v/>
      </c>
      <c r="F216" s="5" t="n"/>
    </row>
    <row r="217">
      <c r="A217" s="10">
        <f>IF($E217="","",INDEX('Input Transaksi'!$A:$A,$E217))</f>
        <v/>
      </c>
      <c r="B217" s="5">
        <f>IF($E217="","",INDEX('Input Transaksi'!$D:$D,$E217))</f>
        <v/>
      </c>
      <c r="C217">
        <f>IF($E217="","",INDEX('Input Transaksi'!$E:$E,$E217))</f>
        <v/>
      </c>
      <c r="D217" s="5">
        <f>IF($E217="","",INDEX('Input Transaksi'!$F:$F,$E217))</f>
        <v/>
      </c>
      <c r="E217">
        <f>IFERROR(AGGREGATE(15,6,ROW('Input Transaksi'!$B$5:$B$5000)/('Input Transaksi'!$B$5:$B$5000="JCL BYPASS"),ROWS($E$5:E217)),"")</f>
        <v/>
      </c>
      <c r="F217" s="5" t="n"/>
    </row>
    <row r="218">
      <c r="A218" s="10">
        <f>IF($E218="","",INDEX('Input Transaksi'!$A:$A,$E218))</f>
        <v/>
      </c>
      <c r="B218" s="5">
        <f>IF($E218="","",INDEX('Input Transaksi'!$D:$D,$E218))</f>
        <v/>
      </c>
      <c r="C218">
        <f>IF($E218="","",INDEX('Input Transaksi'!$E:$E,$E218))</f>
        <v/>
      </c>
      <c r="D218" s="5">
        <f>IF($E218="","",INDEX('Input Transaksi'!$F:$F,$E218))</f>
        <v/>
      </c>
      <c r="E218">
        <f>IFERROR(AGGREGATE(15,6,ROW('Input Transaksi'!$B$5:$B$5000)/('Input Transaksi'!$B$5:$B$5000="JCL BYPASS"),ROWS($E$5:E218)),"")</f>
        <v/>
      </c>
      <c r="F218" s="5" t="n"/>
    </row>
    <row r="219">
      <c r="A219" s="10">
        <f>IF($E219="","",INDEX('Input Transaksi'!$A:$A,$E219))</f>
        <v/>
      </c>
      <c r="B219" s="5">
        <f>IF($E219="","",INDEX('Input Transaksi'!$D:$D,$E219))</f>
        <v/>
      </c>
      <c r="C219">
        <f>IF($E219="","",INDEX('Input Transaksi'!$E:$E,$E219))</f>
        <v/>
      </c>
      <c r="D219" s="5">
        <f>IF($E219="","",INDEX('Input Transaksi'!$F:$F,$E219))</f>
        <v/>
      </c>
      <c r="E219">
        <f>IFERROR(AGGREGATE(15,6,ROW('Input Transaksi'!$B$5:$B$5000)/('Input Transaksi'!$B$5:$B$5000="JCL BYPASS"),ROWS($E$5:E219)),"")</f>
        <v/>
      </c>
      <c r="F219" s="5" t="n"/>
    </row>
    <row r="220">
      <c r="A220" s="10">
        <f>IF($E220="","",INDEX('Input Transaksi'!$A:$A,$E220))</f>
        <v/>
      </c>
      <c r="B220" s="5">
        <f>IF($E220="","",INDEX('Input Transaksi'!$D:$D,$E220))</f>
        <v/>
      </c>
      <c r="C220">
        <f>IF($E220="","",INDEX('Input Transaksi'!$E:$E,$E220))</f>
        <v/>
      </c>
      <c r="D220" s="5">
        <f>IF($E220="","",INDEX('Input Transaksi'!$F:$F,$E220))</f>
        <v/>
      </c>
      <c r="E220">
        <f>IFERROR(AGGREGATE(15,6,ROW('Input Transaksi'!$B$5:$B$5000)/('Input Transaksi'!$B$5:$B$5000="JCL BYPASS"),ROWS($E$5:E220)),"")</f>
        <v/>
      </c>
      <c r="F220" s="5" t="n"/>
    </row>
    <row r="221">
      <c r="A221" s="10">
        <f>IF($E221="","",INDEX('Input Transaksi'!$A:$A,$E221))</f>
        <v/>
      </c>
      <c r="B221" s="5">
        <f>IF($E221="","",INDEX('Input Transaksi'!$D:$D,$E221))</f>
        <v/>
      </c>
      <c r="C221">
        <f>IF($E221="","",INDEX('Input Transaksi'!$E:$E,$E221))</f>
        <v/>
      </c>
      <c r="D221" s="5">
        <f>IF($E221="","",INDEX('Input Transaksi'!$F:$F,$E221))</f>
        <v/>
      </c>
      <c r="E221">
        <f>IFERROR(AGGREGATE(15,6,ROW('Input Transaksi'!$B$5:$B$5000)/('Input Transaksi'!$B$5:$B$5000="JCL BYPASS"),ROWS($E$5:E221)),"")</f>
        <v/>
      </c>
      <c r="F221" s="5" t="n"/>
    </row>
    <row r="222">
      <c r="A222" s="10">
        <f>IF($E222="","",INDEX('Input Transaksi'!$A:$A,$E222))</f>
        <v/>
      </c>
      <c r="B222" s="5">
        <f>IF($E222="","",INDEX('Input Transaksi'!$D:$D,$E222))</f>
        <v/>
      </c>
      <c r="C222">
        <f>IF($E222="","",INDEX('Input Transaksi'!$E:$E,$E222))</f>
        <v/>
      </c>
      <c r="D222" s="5">
        <f>IF($E222="","",INDEX('Input Transaksi'!$F:$F,$E222))</f>
        <v/>
      </c>
      <c r="E222">
        <f>IFERROR(AGGREGATE(15,6,ROW('Input Transaksi'!$B$5:$B$5000)/('Input Transaksi'!$B$5:$B$5000="JCL BYPASS"),ROWS($E$5:E222)),"")</f>
        <v/>
      </c>
      <c r="F222" s="5" t="n"/>
    </row>
    <row r="223">
      <c r="A223" s="10">
        <f>IF($E223="","",INDEX('Input Transaksi'!$A:$A,$E223))</f>
        <v/>
      </c>
      <c r="B223" s="5">
        <f>IF($E223="","",INDEX('Input Transaksi'!$D:$D,$E223))</f>
        <v/>
      </c>
      <c r="C223">
        <f>IF($E223="","",INDEX('Input Transaksi'!$E:$E,$E223))</f>
        <v/>
      </c>
      <c r="D223" s="5">
        <f>IF($E223="","",INDEX('Input Transaksi'!$F:$F,$E223))</f>
        <v/>
      </c>
      <c r="E223">
        <f>IFERROR(AGGREGATE(15,6,ROW('Input Transaksi'!$B$5:$B$5000)/('Input Transaksi'!$B$5:$B$5000="JCL BYPASS"),ROWS($E$5:E223)),"")</f>
        <v/>
      </c>
      <c r="F223" s="5" t="n"/>
    </row>
    <row r="224">
      <c r="A224" s="10">
        <f>IF($E224="","",INDEX('Input Transaksi'!$A:$A,$E224))</f>
        <v/>
      </c>
      <c r="B224" s="5">
        <f>IF($E224="","",INDEX('Input Transaksi'!$D:$D,$E224))</f>
        <v/>
      </c>
      <c r="C224">
        <f>IF($E224="","",INDEX('Input Transaksi'!$E:$E,$E224))</f>
        <v/>
      </c>
      <c r="D224" s="5">
        <f>IF($E224="","",INDEX('Input Transaksi'!$F:$F,$E224))</f>
        <v/>
      </c>
      <c r="E224">
        <f>IFERROR(AGGREGATE(15,6,ROW('Input Transaksi'!$B$5:$B$5000)/('Input Transaksi'!$B$5:$B$5000="JCL BYPASS"),ROWS($E$5:E224)),"")</f>
        <v/>
      </c>
      <c r="F224" s="5" t="n"/>
    </row>
    <row r="225">
      <c r="A225" s="10">
        <f>IF($E225="","",INDEX('Input Transaksi'!$A:$A,$E225))</f>
        <v/>
      </c>
      <c r="B225" s="5">
        <f>IF($E225="","",INDEX('Input Transaksi'!$D:$D,$E225))</f>
        <v/>
      </c>
      <c r="C225">
        <f>IF($E225="","",INDEX('Input Transaksi'!$E:$E,$E225))</f>
        <v/>
      </c>
      <c r="D225" s="5">
        <f>IF($E225="","",INDEX('Input Transaksi'!$F:$F,$E225))</f>
        <v/>
      </c>
      <c r="E225">
        <f>IFERROR(AGGREGATE(15,6,ROW('Input Transaksi'!$B$5:$B$5000)/('Input Transaksi'!$B$5:$B$5000="JCL BYPASS"),ROWS($E$5:E225)),"")</f>
        <v/>
      </c>
      <c r="F225" s="5" t="n"/>
    </row>
    <row r="226">
      <c r="A226" s="10">
        <f>IF($E226="","",INDEX('Input Transaksi'!$A:$A,$E226))</f>
        <v/>
      </c>
      <c r="B226" s="5">
        <f>IF($E226="","",INDEX('Input Transaksi'!$D:$D,$E226))</f>
        <v/>
      </c>
      <c r="C226">
        <f>IF($E226="","",INDEX('Input Transaksi'!$E:$E,$E226))</f>
        <v/>
      </c>
      <c r="D226" s="5">
        <f>IF($E226="","",INDEX('Input Transaksi'!$F:$F,$E226))</f>
        <v/>
      </c>
      <c r="E226">
        <f>IFERROR(AGGREGATE(15,6,ROW('Input Transaksi'!$B$5:$B$5000)/('Input Transaksi'!$B$5:$B$5000="JCL BYPASS"),ROWS($E$5:E226)),"")</f>
        <v/>
      </c>
      <c r="F226" s="5" t="n"/>
    </row>
    <row r="227">
      <c r="A227" s="10">
        <f>IF($E227="","",INDEX('Input Transaksi'!$A:$A,$E227))</f>
        <v/>
      </c>
      <c r="B227" s="5">
        <f>IF($E227="","",INDEX('Input Transaksi'!$D:$D,$E227))</f>
        <v/>
      </c>
      <c r="C227">
        <f>IF($E227="","",INDEX('Input Transaksi'!$E:$E,$E227))</f>
        <v/>
      </c>
      <c r="D227" s="5">
        <f>IF($E227="","",INDEX('Input Transaksi'!$F:$F,$E227))</f>
        <v/>
      </c>
      <c r="E227">
        <f>IFERROR(AGGREGATE(15,6,ROW('Input Transaksi'!$B$5:$B$5000)/('Input Transaksi'!$B$5:$B$5000="JCL BYPASS"),ROWS($E$5:E227)),"")</f>
        <v/>
      </c>
      <c r="F227" s="5" t="n"/>
    </row>
    <row r="228">
      <c r="A228" s="10">
        <f>IF($E228="","",INDEX('Input Transaksi'!$A:$A,$E228))</f>
        <v/>
      </c>
      <c r="B228" s="5">
        <f>IF($E228="","",INDEX('Input Transaksi'!$D:$D,$E228))</f>
        <v/>
      </c>
      <c r="C228">
        <f>IF($E228="","",INDEX('Input Transaksi'!$E:$E,$E228))</f>
        <v/>
      </c>
      <c r="D228" s="5">
        <f>IF($E228="","",INDEX('Input Transaksi'!$F:$F,$E228))</f>
        <v/>
      </c>
      <c r="E228">
        <f>IFERROR(AGGREGATE(15,6,ROW('Input Transaksi'!$B$5:$B$5000)/('Input Transaksi'!$B$5:$B$5000="JCL BYPASS"),ROWS($E$5:E228)),"")</f>
        <v/>
      </c>
      <c r="F228" s="5" t="n"/>
    </row>
    <row r="229">
      <c r="A229" s="10">
        <f>IF($E229="","",INDEX('Input Transaksi'!$A:$A,$E229))</f>
        <v/>
      </c>
      <c r="B229" s="5">
        <f>IF($E229="","",INDEX('Input Transaksi'!$D:$D,$E229))</f>
        <v/>
      </c>
      <c r="C229">
        <f>IF($E229="","",INDEX('Input Transaksi'!$E:$E,$E229))</f>
        <v/>
      </c>
      <c r="D229" s="5">
        <f>IF($E229="","",INDEX('Input Transaksi'!$F:$F,$E229))</f>
        <v/>
      </c>
      <c r="E229">
        <f>IFERROR(AGGREGATE(15,6,ROW('Input Transaksi'!$B$5:$B$5000)/('Input Transaksi'!$B$5:$B$5000="JCL BYPASS"),ROWS($E$5:E229)),"")</f>
        <v/>
      </c>
      <c r="F229" s="5" t="n"/>
    </row>
    <row r="230">
      <c r="A230" s="10">
        <f>IF($E230="","",INDEX('Input Transaksi'!$A:$A,$E230))</f>
        <v/>
      </c>
      <c r="B230" s="5">
        <f>IF($E230="","",INDEX('Input Transaksi'!$D:$D,$E230))</f>
        <v/>
      </c>
      <c r="C230">
        <f>IF($E230="","",INDEX('Input Transaksi'!$E:$E,$E230))</f>
        <v/>
      </c>
      <c r="D230" s="5">
        <f>IF($E230="","",INDEX('Input Transaksi'!$F:$F,$E230))</f>
        <v/>
      </c>
      <c r="E230">
        <f>IFERROR(AGGREGATE(15,6,ROW('Input Transaksi'!$B$5:$B$5000)/('Input Transaksi'!$B$5:$B$5000="JCL BYPASS"),ROWS($E$5:E230)),"")</f>
        <v/>
      </c>
      <c r="F230" s="5" t="n"/>
    </row>
    <row r="231">
      <c r="A231" s="10">
        <f>IF($E231="","",INDEX('Input Transaksi'!$A:$A,$E231))</f>
        <v/>
      </c>
      <c r="B231" s="5">
        <f>IF($E231="","",INDEX('Input Transaksi'!$D:$D,$E231))</f>
        <v/>
      </c>
      <c r="C231">
        <f>IF($E231="","",INDEX('Input Transaksi'!$E:$E,$E231))</f>
        <v/>
      </c>
      <c r="D231" s="5">
        <f>IF($E231="","",INDEX('Input Transaksi'!$F:$F,$E231))</f>
        <v/>
      </c>
      <c r="E231">
        <f>IFERROR(AGGREGATE(15,6,ROW('Input Transaksi'!$B$5:$B$5000)/('Input Transaksi'!$B$5:$B$5000="JCL BYPASS"),ROWS($E$5:E231)),"")</f>
        <v/>
      </c>
      <c r="F231" s="5" t="n"/>
    </row>
    <row r="232">
      <c r="A232" s="10">
        <f>IF($E232="","",INDEX('Input Transaksi'!$A:$A,$E232))</f>
        <v/>
      </c>
      <c r="B232" s="5">
        <f>IF($E232="","",INDEX('Input Transaksi'!$D:$D,$E232))</f>
        <v/>
      </c>
      <c r="C232">
        <f>IF($E232="","",INDEX('Input Transaksi'!$E:$E,$E232))</f>
        <v/>
      </c>
      <c r="D232" s="5">
        <f>IF($E232="","",INDEX('Input Transaksi'!$F:$F,$E232))</f>
        <v/>
      </c>
      <c r="E232">
        <f>IFERROR(AGGREGATE(15,6,ROW('Input Transaksi'!$B$5:$B$5000)/('Input Transaksi'!$B$5:$B$5000="JCL BYPASS"),ROWS($E$5:E232)),"")</f>
        <v/>
      </c>
      <c r="F232" s="5" t="n"/>
    </row>
    <row r="233">
      <c r="A233" s="10">
        <f>IF($E233="","",INDEX('Input Transaksi'!$A:$A,$E233))</f>
        <v/>
      </c>
      <c r="B233" s="5">
        <f>IF($E233="","",INDEX('Input Transaksi'!$D:$D,$E233))</f>
        <v/>
      </c>
      <c r="C233">
        <f>IF($E233="","",INDEX('Input Transaksi'!$E:$E,$E233))</f>
        <v/>
      </c>
      <c r="D233" s="5">
        <f>IF($E233="","",INDEX('Input Transaksi'!$F:$F,$E233))</f>
        <v/>
      </c>
      <c r="E233">
        <f>IFERROR(AGGREGATE(15,6,ROW('Input Transaksi'!$B$5:$B$5000)/('Input Transaksi'!$B$5:$B$5000="JCL BYPASS"),ROWS($E$5:E233)),"")</f>
        <v/>
      </c>
      <c r="F233" s="5" t="n"/>
    </row>
    <row r="234">
      <c r="A234" s="10">
        <f>IF($E234="","",INDEX('Input Transaksi'!$A:$A,$E234))</f>
        <v/>
      </c>
      <c r="B234" s="5">
        <f>IF($E234="","",INDEX('Input Transaksi'!$D:$D,$E234))</f>
        <v/>
      </c>
      <c r="C234">
        <f>IF($E234="","",INDEX('Input Transaksi'!$E:$E,$E234))</f>
        <v/>
      </c>
      <c r="D234" s="5">
        <f>IF($E234="","",INDEX('Input Transaksi'!$F:$F,$E234))</f>
        <v/>
      </c>
      <c r="E234">
        <f>IFERROR(AGGREGATE(15,6,ROW('Input Transaksi'!$B$5:$B$5000)/('Input Transaksi'!$B$5:$B$5000="JCL BYPASS"),ROWS($E$5:E234)),"")</f>
        <v/>
      </c>
      <c r="F234" s="5" t="n"/>
    </row>
    <row r="235">
      <c r="A235" s="10">
        <f>IF($E235="","",INDEX('Input Transaksi'!$A:$A,$E235))</f>
        <v/>
      </c>
      <c r="B235" s="5">
        <f>IF($E235="","",INDEX('Input Transaksi'!$D:$D,$E235))</f>
        <v/>
      </c>
      <c r="C235">
        <f>IF($E235="","",INDEX('Input Transaksi'!$E:$E,$E235))</f>
        <v/>
      </c>
      <c r="D235" s="5">
        <f>IF($E235="","",INDEX('Input Transaksi'!$F:$F,$E235))</f>
        <v/>
      </c>
      <c r="E235">
        <f>IFERROR(AGGREGATE(15,6,ROW('Input Transaksi'!$B$5:$B$5000)/('Input Transaksi'!$B$5:$B$5000="JCL BYPASS"),ROWS($E$5:E235)),"")</f>
        <v/>
      </c>
      <c r="F235" s="5" t="n"/>
    </row>
    <row r="236">
      <c r="A236" s="10">
        <f>IF($E236="","",INDEX('Input Transaksi'!$A:$A,$E236))</f>
        <v/>
      </c>
      <c r="B236" s="5">
        <f>IF($E236="","",INDEX('Input Transaksi'!$D:$D,$E236))</f>
        <v/>
      </c>
      <c r="C236">
        <f>IF($E236="","",INDEX('Input Transaksi'!$E:$E,$E236))</f>
        <v/>
      </c>
      <c r="D236" s="5">
        <f>IF($E236="","",INDEX('Input Transaksi'!$F:$F,$E236))</f>
        <v/>
      </c>
      <c r="E236">
        <f>IFERROR(AGGREGATE(15,6,ROW('Input Transaksi'!$B$5:$B$5000)/('Input Transaksi'!$B$5:$B$5000="JCL BYPASS"),ROWS($E$5:E236)),"")</f>
        <v/>
      </c>
      <c r="F236" s="5" t="n"/>
    </row>
    <row r="237">
      <c r="A237" s="10">
        <f>IF($E237="","",INDEX('Input Transaksi'!$A:$A,$E237))</f>
        <v/>
      </c>
      <c r="B237" s="5">
        <f>IF($E237="","",INDEX('Input Transaksi'!$D:$D,$E237))</f>
        <v/>
      </c>
      <c r="C237">
        <f>IF($E237="","",INDEX('Input Transaksi'!$E:$E,$E237))</f>
        <v/>
      </c>
      <c r="D237" s="5">
        <f>IF($E237="","",INDEX('Input Transaksi'!$F:$F,$E237))</f>
        <v/>
      </c>
      <c r="E237">
        <f>IFERROR(AGGREGATE(15,6,ROW('Input Transaksi'!$B$5:$B$5000)/('Input Transaksi'!$B$5:$B$5000="JCL BYPASS"),ROWS($E$5:E237)),"")</f>
        <v/>
      </c>
      <c r="F237" s="5" t="n"/>
    </row>
    <row r="238">
      <c r="A238" s="10">
        <f>IF($E238="","",INDEX('Input Transaksi'!$A:$A,$E238))</f>
        <v/>
      </c>
      <c r="B238" s="5">
        <f>IF($E238="","",INDEX('Input Transaksi'!$D:$D,$E238))</f>
        <v/>
      </c>
      <c r="C238">
        <f>IF($E238="","",INDEX('Input Transaksi'!$E:$E,$E238))</f>
        <v/>
      </c>
      <c r="D238" s="5">
        <f>IF($E238="","",INDEX('Input Transaksi'!$F:$F,$E238))</f>
        <v/>
      </c>
      <c r="E238">
        <f>IFERROR(AGGREGATE(15,6,ROW('Input Transaksi'!$B$5:$B$5000)/('Input Transaksi'!$B$5:$B$5000="JCL BYPASS"),ROWS($E$5:E238)),"")</f>
        <v/>
      </c>
      <c r="F238" s="5" t="n"/>
    </row>
    <row r="239">
      <c r="A239" s="10">
        <f>IF($E239="","",INDEX('Input Transaksi'!$A:$A,$E239))</f>
        <v/>
      </c>
      <c r="B239" s="5">
        <f>IF($E239="","",INDEX('Input Transaksi'!$D:$D,$E239))</f>
        <v/>
      </c>
      <c r="C239">
        <f>IF($E239="","",INDEX('Input Transaksi'!$E:$E,$E239))</f>
        <v/>
      </c>
      <c r="D239" s="5">
        <f>IF($E239="","",INDEX('Input Transaksi'!$F:$F,$E239))</f>
        <v/>
      </c>
      <c r="E239">
        <f>IFERROR(AGGREGATE(15,6,ROW('Input Transaksi'!$B$5:$B$5000)/('Input Transaksi'!$B$5:$B$5000="JCL BYPASS"),ROWS($E$5:E239)),"")</f>
        <v/>
      </c>
      <c r="F239" s="5" t="n"/>
    </row>
    <row r="240">
      <c r="A240" s="10">
        <f>IF($E240="","",INDEX('Input Transaksi'!$A:$A,$E240))</f>
        <v/>
      </c>
      <c r="B240" s="5">
        <f>IF($E240="","",INDEX('Input Transaksi'!$D:$D,$E240))</f>
        <v/>
      </c>
      <c r="C240">
        <f>IF($E240="","",INDEX('Input Transaksi'!$E:$E,$E240))</f>
        <v/>
      </c>
      <c r="D240" s="5">
        <f>IF($E240="","",INDEX('Input Transaksi'!$F:$F,$E240))</f>
        <v/>
      </c>
      <c r="E240">
        <f>IFERROR(AGGREGATE(15,6,ROW('Input Transaksi'!$B$5:$B$5000)/('Input Transaksi'!$B$5:$B$5000="JCL BYPASS"),ROWS($E$5:E240)),"")</f>
        <v/>
      </c>
      <c r="F240" s="5" t="n"/>
    </row>
    <row r="241">
      <c r="A241" s="10">
        <f>IF($E241="","",INDEX('Input Transaksi'!$A:$A,$E241))</f>
        <v/>
      </c>
      <c r="B241" s="5">
        <f>IF($E241="","",INDEX('Input Transaksi'!$D:$D,$E241))</f>
        <v/>
      </c>
      <c r="C241">
        <f>IF($E241="","",INDEX('Input Transaksi'!$E:$E,$E241))</f>
        <v/>
      </c>
      <c r="D241" s="5">
        <f>IF($E241="","",INDEX('Input Transaksi'!$F:$F,$E241))</f>
        <v/>
      </c>
      <c r="E241">
        <f>IFERROR(AGGREGATE(15,6,ROW('Input Transaksi'!$B$5:$B$5000)/('Input Transaksi'!$B$5:$B$5000="JCL BYPASS"),ROWS($E$5:E241)),"")</f>
        <v/>
      </c>
      <c r="F241" s="5" t="n"/>
    </row>
    <row r="242">
      <c r="A242" s="10">
        <f>IF($E242="","",INDEX('Input Transaksi'!$A:$A,$E242))</f>
        <v/>
      </c>
      <c r="B242" s="5">
        <f>IF($E242="","",INDEX('Input Transaksi'!$D:$D,$E242))</f>
        <v/>
      </c>
      <c r="C242">
        <f>IF($E242="","",INDEX('Input Transaksi'!$E:$E,$E242))</f>
        <v/>
      </c>
      <c r="D242" s="5">
        <f>IF($E242="","",INDEX('Input Transaksi'!$F:$F,$E242))</f>
        <v/>
      </c>
      <c r="E242">
        <f>IFERROR(AGGREGATE(15,6,ROW('Input Transaksi'!$B$5:$B$5000)/('Input Transaksi'!$B$5:$B$5000="JCL BYPASS"),ROWS($E$5:E242)),"")</f>
        <v/>
      </c>
      <c r="F242" s="5" t="n"/>
    </row>
    <row r="243">
      <c r="A243" s="10">
        <f>IF($E243="","",INDEX('Input Transaksi'!$A:$A,$E243))</f>
        <v/>
      </c>
      <c r="B243" s="5">
        <f>IF($E243="","",INDEX('Input Transaksi'!$D:$D,$E243))</f>
        <v/>
      </c>
      <c r="C243">
        <f>IF($E243="","",INDEX('Input Transaksi'!$E:$E,$E243))</f>
        <v/>
      </c>
      <c r="D243" s="5">
        <f>IF($E243="","",INDEX('Input Transaksi'!$F:$F,$E243))</f>
        <v/>
      </c>
      <c r="E243">
        <f>IFERROR(AGGREGATE(15,6,ROW('Input Transaksi'!$B$5:$B$5000)/('Input Transaksi'!$B$5:$B$5000="JCL BYPASS"),ROWS($E$5:E243)),"")</f>
        <v/>
      </c>
      <c r="F243" s="5" t="n"/>
    </row>
    <row r="244">
      <c r="A244" s="10">
        <f>IF($E244="","",INDEX('Input Transaksi'!$A:$A,$E244))</f>
        <v/>
      </c>
      <c r="B244" s="5">
        <f>IF($E244="","",INDEX('Input Transaksi'!$D:$D,$E244))</f>
        <v/>
      </c>
      <c r="C244">
        <f>IF($E244="","",INDEX('Input Transaksi'!$E:$E,$E244))</f>
        <v/>
      </c>
      <c r="D244" s="5">
        <f>IF($E244="","",INDEX('Input Transaksi'!$F:$F,$E244))</f>
        <v/>
      </c>
      <c r="E244">
        <f>IFERROR(AGGREGATE(15,6,ROW('Input Transaksi'!$B$5:$B$5000)/('Input Transaksi'!$B$5:$B$5000="JCL BYPASS"),ROWS($E$5:E244)),"")</f>
        <v/>
      </c>
      <c r="F244" s="5" t="n"/>
    </row>
    <row r="245">
      <c r="A245" s="10">
        <f>IF($E245="","",INDEX('Input Transaksi'!$A:$A,$E245))</f>
        <v/>
      </c>
      <c r="B245" s="5">
        <f>IF($E245="","",INDEX('Input Transaksi'!$D:$D,$E245))</f>
        <v/>
      </c>
      <c r="C245">
        <f>IF($E245="","",INDEX('Input Transaksi'!$E:$E,$E245))</f>
        <v/>
      </c>
      <c r="D245" s="5">
        <f>IF($E245="","",INDEX('Input Transaksi'!$F:$F,$E245))</f>
        <v/>
      </c>
      <c r="E245">
        <f>IFERROR(AGGREGATE(15,6,ROW('Input Transaksi'!$B$5:$B$5000)/('Input Transaksi'!$B$5:$B$5000="JCL BYPASS"),ROWS($E$5:E245)),"")</f>
        <v/>
      </c>
      <c r="F245" s="5" t="n"/>
    </row>
    <row r="246">
      <c r="A246" s="10">
        <f>IF($E246="","",INDEX('Input Transaksi'!$A:$A,$E246))</f>
        <v/>
      </c>
      <c r="B246" s="5">
        <f>IF($E246="","",INDEX('Input Transaksi'!$D:$D,$E246))</f>
        <v/>
      </c>
      <c r="C246">
        <f>IF($E246="","",INDEX('Input Transaksi'!$E:$E,$E246))</f>
        <v/>
      </c>
      <c r="D246" s="5">
        <f>IF($E246="","",INDEX('Input Transaksi'!$F:$F,$E246))</f>
        <v/>
      </c>
      <c r="E246">
        <f>IFERROR(AGGREGATE(15,6,ROW('Input Transaksi'!$B$5:$B$5000)/('Input Transaksi'!$B$5:$B$5000="JCL BYPASS"),ROWS($E$5:E246)),"")</f>
        <v/>
      </c>
      <c r="F246" s="5" t="n"/>
    </row>
    <row r="247">
      <c r="A247" s="10">
        <f>IF($E247="","",INDEX('Input Transaksi'!$A:$A,$E247))</f>
        <v/>
      </c>
      <c r="B247" s="5">
        <f>IF($E247="","",INDEX('Input Transaksi'!$D:$D,$E247))</f>
        <v/>
      </c>
      <c r="C247">
        <f>IF($E247="","",INDEX('Input Transaksi'!$E:$E,$E247))</f>
        <v/>
      </c>
      <c r="D247" s="5">
        <f>IF($E247="","",INDEX('Input Transaksi'!$F:$F,$E247))</f>
        <v/>
      </c>
      <c r="E247">
        <f>IFERROR(AGGREGATE(15,6,ROW('Input Transaksi'!$B$5:$B$5000)/('Input Transaksi'!$B$5:$B$5000="JCL BYPASS"),ROWS($E$5:E247)),"")</f>
        <v/>
      </c>
      <c r="F247" s="5" t="n"/>
    </row>
    <row r="248">
      <c r="A248" s="10">
        <f>IF($E248="","",INDEX('Input Transaksi'!$A:$A,$E248))</f>
        <v/>
      </c>
      <c r="B248" s="5">
        <f>IF($E248="","",INDEX('Input Transaksi'!$D:$D,$E248))</f>
        <v/>
      </c>
      <c r="C248">
        <f>IF($E248="","",INDEX('Input Transaksi'!$E:$E,$E248))</f>
        <v/>
      </c>
      <c r="D248" s="5">
        <f>IF($E248="","",INDEX('Input Transaksi'!$F:$F,$E248))</f>
        <v/>
      </c>
      <c r="E248">
        <f>IFERROR(AGGREGATE(15,6,ROW('Input Transaksi'!$B$5:$B$5000)/('Input Transaksi'!$B$5:$B$5000="JCL BYPASS"),ROWS($E$5:E248)),"")</f>
        <v/>
      </c>
      <c r="F248" s="5" t="n"/>
    </row>
    <row r="249">
      <c r="A249" s="10">
        <f>IF($E249="","",INDEX('Input Transaksi'!$A:$A,$E249))</f>
        <v/>
      </c>
      <c r="B249" s="5">
        <f>IF($E249="","",INDEX('Input Transaksi'!$D:$D,$E249))</f>
        <v/>
      </c>
      <c r="C249">
        <f>IF($E249="","",INDEX('Input Transaksi'!$E:$E,$E249))</f>
        <v/>
      </c>
      <c r="D249" s="5">
        <f>IF($E249="","",INDEX('Input Transaksi'!$F:$F,$E249))</f>
        <v/>
      </c>
      <c r="E249">
        <f>IFERROR(AGGREGATE(15,6,ROW('Input Transaksi'!$B$5:$B$5000)/('Input Transaksi'!$B$5:$B$5000="JCL BYPASS"),ROWS($E$5:E249)),"")</f>
        <v/>
      </c>
      <c r="F249" s="5" t="n"/>
    </row>
    <row r="250">
      <c r="A250" s="10">
        <f>IF($E250="","",INDEX('Input Transaksi'!$A:$A,$E250))</f>
        <v/>
      </c>
      <c r="B250" s="5">
        <f>IF($E250="","",INDEX('Input Transaksi'!$D:$D,$E250))</f>
        <v/>
      </c>
      <c r="C250">
        <f>IF($E250="","",INDEX('Input Transaksi'!$E:$E,$E250))</f>
        <v/>
      </c>
      <c r="D250" s="5">
        <f>IF($E250="","",INDEX('Input Transaksi'!$F:$F,$E250))</f>
        <v/>
      </c>
      <c r="E250">
        <f>IFERROR(AGGREGATE(15,6,ROW('Input Transaksi'!$B$5:$B$5000)/('Input Transaksi'!$B$5:$B$5000="JCL BYPASS"),ROWS($E$5:E250)),"")</f>
        <v/>
      </c>
      <c r="F250" s="5" t="n"/>
    </row>
    <row r="251">
      <c r="A251" s="10">
        <f>IF($E251="","",INDEX('Input Transaksi'!$A:$A,$E251))</f>
        <v/>
      </c>
      <c r="B251" s="5">
        <f>IF($E251="","",INDEX('Input Transaksi'!$D:$D,$E251))</f>
        <v/>
      </c>
      <c r="C251">
        <f>IF($E251="","",INDEX('Input Transaksi'!$E:$E,$E251))</f>
        <v/>
      </c>
      <c r="D251" s="5">
        <f>IF($E251="","",INDEX('Input Transaksi'!$F:$F,$E251))</f>
        <v/>
      </c>
      <c r="E251">
        <f>IFERROR(AGGREGATE(15,6,ROW('Input Transaksi'!$B$5:$B$5000)/('Input Transaksi'!$B$5:$B$5000="JCL BYPASS"),ROWS($E$5:E251)),"")</f>
        <v/>
      </c>
      <c r="F251" s="5" t="n"/>
    </row>
    <row r="252">
      <c r="A252" s="10">
        <f>IF($E252="","",INDEX('Input Transaksi'!$A:$A,$E252))</f>
        <v/>
      </c>
      <c r="B252" s="5">
        <f>IF($E252="","",INDEX('Input Transaksi'!$D:$D,$E252))</f>
        <v/>
      </c>
      <c r="C252">
        <f>IF($E252="","",INDEX('Input Transaksi'!$E:$E,$E252))</f>
        <v/>
      </c>
      <c r="D252" s="5">
        <f>IF($E252="","",INDEX('Input Transaksi'!$F:$F,$E252))</f>
        <v/>
      </c>
      <c r="E252">
        <f>IFERROR(AGGREGATE(15,6,ROW('Input Transaksi'!$B$5:$B$5000)/('Input Transaksi'!$B$5:$B$5000="JCL BYPASS"),ROWS($E$5:E252)),"")</f>
        <v/>
      </c>
      <c r="F252" s="5" t="n"/>
    </row>
    <row r="253">
      <c r="A253" s="10">
        <f>IF($E253="","",INDEX('Input Transaksi'!$A:$A,$E253))</f>
        <v/>
      </c>
      <c r="B253" s="5">
        <f>IF($E253="","",INDEX('Input Transaksi'!$D:$D,$E253))</f>
        <v/>
      </c>
      <c r="C253">
        <f>IF($E253="","",INDEX('Input Transaksi'!$E:$E,$E253))</f>
        <v/>
      </c>
      <c r="D253" s="5">
        <f>IF($E253="","",INDEX('Input Transaksi'!$F:$F,$E253))</f>
        <v/>
      </c>
      <c r="E253">
        <f>IFERROR(AGGREGATE(15,6,ROW('Input Transaksi'!$B$5:$B$5000)/('Input Transaksi'!$B$5:$B$5000="JCL BYPASS"),ROWS($E$5:E253)),"")</f>
        <v/>
      </c>
      <c r="F253" s="5" t="n"/>
    </row>
    <row r="254">
      <c r="A254" s="10">
        <f>IF($E254="","",INDEX('Input Transaksi'!$A:$A,$E254))</f>
        <v/>
      </c>
      <c r="B254" s="5">
        <f>IF($E254="","",INDEX('Input Transaksi'!$D:$D,$E254))</f>
        <v/>
      </c>
      <c r="C254">
        <f>IF($E254="","",INDEX('Input Transaksi'!$E:$E,$E254))</f>
        <v/>
      </c>
      <c r="D254" s="5">
        <f>IF($E254="","",INDEX('Input Transaksi'!$F:$F,$E254))</f>
        <v/>
      </c>
      <c r="E254">
        <f>IFERROR(AGGREGATE(15,6,ROW('Input Transaksi'!$B$5:$B$5000)/('Input Transaksi'!$B$5:$B$5000="JCL BYPASS"),ROWS($E$5:E254)),"")</f>
        <v/>
      </c>
      <c r="F254" s="5" t="n"/>
    </row>
    <row r="255">
      <c r="A255" s="10">
        <f>IF($E255="","",INDEX('Input Transaksi'!$A:$A,$E255))</f>
        <v/>
      </c>
      <c r="B255" s="5">
        <f>IF($E255="","",INDEX('Input Transaksi'!$D:$D,$E255))</f>
        <v/>
      </c>
      <c r="C255">
        <f>IF($E255="","",INDEX('Input Transaksi'!$E:$E,$E255))</f>
        <v/>
      </c>
      <c r="D255" s="5">
        <f>IF($E255="","",INDEX('Input Transaksi'!$F:$F,$E255))</f>
        <v/>
      </c>
      <c r="E255">
        <f>IFERROR(AGGREGATE(15,6,ROW('Input Transaksi'!$B$5:$B$5000)/('Input Transaksi'!$B$5:$B$5000="JCL BYPASS"),ROWS($E$5:E255)),"")</f>
        <v/>
      </c>
      <c r="F255" s="5" t="n"/>
    </row>
    <row r="256">
      <c r="A256" s="10">
        <f>IF($E256="","",INDEX('Input Transaksi'!$A:$A,$E256))</f>
        <v/>
      </c>
      <c r="B256" s="5">
        <f>IF($E256="","",INDEX('Input Transaksi'!$D:$D,$E256))</f>
        <v/>
      </c>
      <c r="C256">
        <f>IF($E256="","",INDEX('Input Transaksi'!$E:$E,$E256))</f>
        <v/>
      </c>
      <c r="D256" s="5">
        <f>IF($E256="","",INDEX('Input Transaksi'!$F:$F,$E256))</f>
        <v/>
      </c>
      <c r="E256">
        <f>IFERROR(AGGREGATE(15,6,ROW('Input Transaksi'!$B$5:$B$5000)/('Input Transaksi'!$B$5:$B$5000="JCL BYPASS"),ROWS($E$5:E256)),"")</f>
        <v/>
      </c>
      <c r="F256" s="5" t="n"/>
    </row>
    <row r="257">
      <c r="A257" s="10">
        <f>IF($E257="","",INDEX('Input Transaksi'!$A:$A,$E257))</f>
        <v/>
      </c>
      <c r="B257" s="5">
        <f>IF($E257="","",INDEX('Input Transaksi'!$D:$D,$E257))</f>
        <v/>
      </c>
      <c r="C257">
        <f>IF($E257="","",INDEX('Input Transaksi'!$E:$E,$E257))</f>
        <v/>
      </c>
      <c r="D257" s="5">
        <f>IF($E257="","",INDEX('Input Transaksi'!$F:$F,$E257))</f>
        <v/>
      </c>
      <c r="E257">
        <f>IFERROR(AGGREGATE(15,6,ROW('Input Transaksi'!$B$5:$B$5000)/('Input Transaksi'!$B$5:$B$5000="JCL BYPASS"),ROWS($E$5:E257)),"")</f>
        <v/>
      </c>
      <c r="F257" s="5" t="n"/>
    </row>
    <row r="258">
      <c r="A258" s="10">
        <f>IF($E258="","",INDEX('Input Transaksi'!$A:$A,$E258))</f>
        <v/>
      </c>
      <c r="B258" s="5">
        <f>IF($E258="","",INDEX('Input Transaksi'!$D:$D,$E258))</f>
        <v/>
      </c>
      <c r="C258">
        <f>IF($E258="","",INDEX('Input Transaksi'!$E:$E,$E258))</f>
        <v/>
      </c>
      <c r="D258" s="5">
        <f>IF($E258="","",INDEX('Input Transaksi'!$F:$F,$E258))</f>
        <v/>
      </c>
      <c r="E258">
        <f>IFERROR(AGGREGATE(15,6,ROW('Input Transaksi'!$B$5:$B$5000)/('Input Transaksi'!$B$5:$B$5000="JCL BYPASS"),ROWS($E$5:E258)),"")</f>
        <v/>
      </c>
      <c r="F258" s="5" t="n"/>
    </row>
    <row r="259">
      <c r="A259" s="10">
        <f>IF($E259="","",INDEX('Input Transaksi'!$A:$A,$E259))</f>
        <v/>
      </c>
      <c r="B259" s="5">
        <f>IF($E259="","",INDEX('Input Transaksi'!$D:$D,$E259))</f>
        <v/>
      </c>
      <c r="C259">
        <f>IF($E259="","",INDEX('Input Transaksi'!$E:$E,$E259))</f>
        <v/>
      </c>
      <c r="D259" s="5">
        <f>IF($E259="","",INDEX('Input Transaksi'!$F:$F,$E259))</f>
        <v/>
      </c>
      <c r="E259">
        <f>IFERROR(AGGREGATE(15,6,ROW('Input Transaksi'!$B$5:$B$5000)/('Input Transaksi'!$B$5:$B$5000="JCL BYPASS"),ROWS($E$5:E259)),"")</f>
        <v/>
      </c>
      <c r="F259" s="5" t="n"/>
    </row>
    <row r="260">
      <c r="A260" s="10">
        <f>IF($E260="","",INDEX('Input Transaksi'!$A:$A,$E260))</f>
        <v/>
      </c>
      <c r="B260" s="5">
        <f>IF($E260="","",INDEX('Input Transaksi'!$D:$D,$E260))</f>
        <v/>
      </c>
      <c r="C260">
        <f>IF($E260="","",INDEX('Input Transaksi'!$E:$E,$E260))</f>
        <v/>
      </c>
      <c r="D260" s="5">
        <f>IF($E260="","",INDEX('Input Transaksi'!$F:$F,$E260))</f>
        <v/>
      </c>
      <c r="E260">
        <f>IFERROR(AGGREGATE(15,6,ROW('Input Transaksi'!$B$5:$B$5000)/('Input Transaksi'!$B$5:$B$5000="JCL BYPASS"),ROWS($E$5:E260)),"")</f>
        <v/>
      </c>
      <c r="F260" s="5" t="n"/>
    </row>
    <row r="261">
      <c r="A261" s="10">
        <f>IF($E261="","",INDEX('Input Transaksi'!$A:$A,$E261))</f>
        <v/>
      </c>
      <c r="B261" s="5">
        <f>IF($E261="","",INDEX('Input Transaksi'!$D:$D,$E261))</f>
        <v/>
      </c>
      <c r="C261">
        <f>IF($E261="","",INDEX('Input Transaksi'!$E:$E,$E261))</f>
        <v/>
      </c>
      <c r="D261" s="5">
        <f>IF($E261="","",INDEX('Input Transaksi'!$F:$F,$E261))</f>
        <v/>
      </c>
      <c r="E261">
        <f>IFERROR(AGGREGATE(15,6,ROW('Input Transaksi'!$B$5:$B$5000)/('Input Transaksi'!$B$5:$B$5000="JCL BYPASS"),ROWS($E$5:E261)),"")</f>
        <v/>
      </c>
      <c r="F261" s="5" t="n"/>
    </row>
    <row r="262">
      <c r="A262" s="10">
        <f>IF($E262="","",INDEX('Input Transaksi'!$A:$A,$E262))</f>
        <v/>
      </c>
      <c r="B262" s="5">
        <f>IF($E262="","",INDEX('Input Transaksi'!$D:$D,$E262))</f>
        <v/>
      </c>
      <c r="C262">
        <f>IF($E262="","",INDEX('Input Transaksi'!$E:$E,$E262))</f>
        <v/>
      </c>
      <c r="D262" s="5">
        <f>IF($E262="","",INDEX('Input Transaksi'!$F:$F,$E262))</f>
        <v/>
      </c>
      <c r="E262">
        <f>IFERROR(AGGREGATE(15,6,ROW('Input Transaksi'!$B$5:$B$5000)/('Input Transaksi'!$B$5:$B$5000="JCL BYPASS"),ROWS($E$5:E262)),"")</f>
        <v/>
      </c>
      <c r="F262" s="5" t="n"/>
    </row>
    <row r="263">
      <c r="A263" s="10">
        <f>IF($E263="","",INDEX('Input Transaksi'!$A:$A,$E263))</f>
        <v/>
      </c>
      <c r="B263" s="5">
        <f>IF($E263="","",INDEX('Input Transaksi'!$D:$D,$E263))</f>
        <v/>
      </c>
      <c r="C263">
        <f>IF($E263="","",INDEX('Input Transaksi'!$E:$E,$E263))</f>
        <v/>
      </c>
      <c r="D263" s="5">
        <f>IF($E263="","",INDEX('Input Transaksi'!$F:$F,$E263))</f>
        <v/>
      </c>
      <c r="E263">
        <f>IFERROR(AGGREGATE(15,6,ROW('Input Transaksi'!$B$5:$B$5000)/('Input Transaksi'!$B$5:$B$5000="JCL BYPASS"),ROWS($E$5:E263)),"")</f>
        <v/>
      </c>
      <c r="F263" s="5" t="n"/>
    </row>
    <row r="264">
      <c r="A264" s="10">
        <f>IF($E264="","",INDEX('Input Transaksi'!$A:$A,$E264))</f>
        <v/>
      </c>
      <c r="B264" s="5">
        <f>IF($E264="","",INDEX('Input Transaksi'!$D:$D,$E264))</f>
        <v/>
      </c>
      <c r="C264">
        <f>IF($E264="","",INDEX('Input Transaksi'!$E:$E,$E264))</f>
        <v/>
      </c>
      <c r="D264" s="5">
        <f>IF($E264="","",INDEX('Input Transaksi'!$F:$F,$E264))</f>
        <v/>
      </c>
      <c r="E264">
        <f>IFERROR(AGGREGATE(15,6,ROW('Input Transaksi'!$B$5:$B$5000)/('Input Transaksi'!$B$5:$B$5000="JCL BYPASS"),ROWS($E$5:E264)),"")</f>
        <v/>
      </c>
      <c r="F264" s="5" t="n"/>
    </row>
    <row r="265">
      <c r="A265" s="10">
        <f>IF($E265="","",INDEX('Input Transaksi'!$A:$A,$E265))</f>
        <v/>
      </c>
      <c r="B265" s="5">
        <f>IF($E265="","",INDEX('Input Transaksi'!$D:$D,$E265))</f>
        <v/>
      </c>
      <c r="C265">
        <f>IF($E265="","",INDEX('Input Transaksi'!$E:$E,$E265))</f>
        <v/>
      </c>
      <c r="D265" s="5">
        <f>IF($E265="","",INDEX('Input Transaksi'!$F:$F,$E265))</f>
        <v/>
      </c>
      <c r="E265">
        <f>IFERROR(AGGREGATE(15,6,ROW('Input Transaksi'!$B$5:$B$5000)/('Input Transaksi'!$B$5:$B$5000="JCL BYPASS"),ROWS($E$5:E265)),"")</f>
        <v/>
      </c>
      <c r="F265" s="5" t="n"/>
    </row>
    <row r="266">
      <c r="A266" s="10">
        <f>IF($E266="","",INDEX('Input Transaksi'!$A:$A,$E266))</f>
        <v/>
      </c>
      <c r="B266" s="5">
        <f>IF($E266="","",INDEX('Input Transaksi'!$D:$D,$E266))</f>
        <v/>
      </c>
      <c r="C266">
        <f>IF($E266="","",INDEX('Input Transaksi'!$E:$E,$E266))</f>
        <v/>
      </c>
      <c r="D266" s="5">
        <f>IF($E266="","",INDEX('Input Transaksi'!$F:$F,$E266))</f>
        <v/>
      </c>
      <c r="E266">
        <f>IFERROR(AGGREGATE(15,6,ROW('Input Transaksi'!$B$5:$B$5000)/('Input Transaksi'!$B$5:$B$5000="JCL BYPASS"),ROWS($E$5:E266)),"")</f>
        <v/>
      </c>
      <c r="F266" s="5" t="n"/>
    </row>
    <row r="267">
      <c r="A267" s="10">
        <f>IF($E267="","",INDEX('Input Transaksi'!$A:$A,$E267))</f>
        <v/>
      </c>
      <c r="B267" s="5">
        <f>IF($E267="","",INDEX('Input Transaksi'!$D:$D,$E267))</f>
        <v/>
      </c>
      <c r="C267">
        <f>IF($E267="","",INDEX('Input Transaksi'!$E:$E,$E267))</f>
        <v/>
      </c>
      <c r="D267" s="5">
        <f>IF($E267="","",INDEX('Input Transaksi'!$F:$F,$E267))</f>
        <v/>
      </c>
      <c r="E267">
        <f>IFERROR(AGGREGATE(15,6,ROW('Input Transaksi'!$B$5:$B$5000)/('Input Transaksi'!$B$5:$B$5000="JCL BYPASS"),ROWS($E$5:E267)),"")</f>
        <v/>
      </c>
      <c r="F267" s="5" t="n"/>
    </row>
    <row r="268">
      <c r="A268" s="10">
        <f>IF($E268="","",INDEX('Input Transaksi'!$A:$A,$E268))</f>
        <v/>
      </c>
      <c r="B268" s="5">
        <f>IF($E268="","",INDEX('Input Transaksi'!$D:$D,$E268))</f>
        <v/>
      </c>
      <c r="C268">
        <f>IF($E268="","",INDEX('Input Transaksi'!$E:$E,$E268))</f>
        <v/>
      </c>
      <c r="D268" s="5">
        <f>IF($E268="","",INDEX('Input Transaksi'!$F:$F,$E268))</f>
        <v/>
      </c>
      <c r="E268">
        <f>IFERROR(AGGREGATE(15,6,ROW('Input Transaksi'!$B$5:$B$5000)/('Input Transaksi'!$B$5:$B$5000="JCL BYPASS"),ROWS($E$5:E268)),"")</f>
        <v/>
      </c>
      <c r="F268" s="5" t="n"/>
    </row>
    <row r="269">
      <c r="A269" s="10">
        <f>IF($E269="","",INDEX('Input Transaksi'!$A:$A,$E269))</f>
        <v/>
      </c>
      <c r="B269" s="5">
        <f>IF($E269="","",INDEX('Input Transaksi'!$D:$D,$E269))</f>
        <v/>
      </c>
      <c r="C269">
        <f>IF($E269="","",INDEX('Input Transaksi'!$E:$E,$E269))</f>
        <v/>
      </c>
      <c r="D269" s="5">
        <f>IF($E269="","",INDEX('Input Transaksi'!$F:$F,$E269))</f>
        <v/>
      </c>
      <c r="E269">
        <f>IFERROR(AGGREGATE(15,6,ROW('Input Transaksi'!$B$5:$B$5000)/('Input Transaksi'!$B$5:$B$5000="JCL BYPASS"),ROWS($E$5:E269)),"")</f>
        <v/>
      </c>
      <c r="F269" s="5" t="n"/>
    </row>
    <row r="270">
      <c r="A270" s="10">
        <f>IF($E270="","",INDEX('Input Transaksi'!$A:$A,$E270))</f>
        <v/>
      </c>
      <c r="B270" s="5">
        <f>IF($E270="","",INDEX('Input Transaksi'!$D:$D,$E270))</f>
        <v/>
      </c>
      <c r="C270">
        <f>IF($E270="","",INDEX('Input Transaksi'!$E:$E,$E270))</f>
        <v/>
      </c>
      <c r="D270" s="5">
        <f>IF($E270="","",INDEX('Input Transaksi'!$F:$F,$E270))</f>
        <v/>
      </c>
      <c r="E270">
        <f>IFERROR(AGGREGATE(15,6,ROW('Input Transaksi'!$B$5:$B$5000)/('Input Transaksi'!$B$5:$B$5000="JCL BYPASS"),ROWS($E$5:E270)),"")</f>
        <v/>
      </c>
      <c r="F270" s="5" t="n"/>
    </row>
    <row r="271">
      <c r="A271" s="10">
        <f>IF($E271="","",INDEX('Input Transaksi'!$A:$A,$E271))</f>
        <v/>
      </c>
      <c r="B271" s="5">
        <f>IF($E271="","",INDEX('Input Transaksi'!$D:$D,$E271))</f>
        <v/>
      </c>
      <c r="C271">
        <f>IF($E271="","",INDEX('Input Transaksi'!$E:$E,$E271))</f>
        <v/>
      </c>
      <c r="D271" s="5">
        <f>IF($E271="","",INDEX('Input Transaksi'!$F:$F,$E271))</f>
        <v/>
      </c>
      <c r="E271">
        <f>IFERROR(AGGREGATE(15,6,ROW('Input Transaksi'!$B$5:$B$5000)/('Input Transaksi'!$B$5:$B$5000="JCL BYPASS"),ROWS($E$5:E271)),"")</f>
        <v/>
      </c>
      <c r="F271" s="5" t="n"/>
    </row>
    <row r="272">
      <c r="A272" s="10">
        <f>IF($E272="","",INDEX('Input Transaksi'!$A:$A,$E272))</f>
        <v/>
      </c>
      <c r="B272" s="5">
        <f>IF($E272="","",INDEX('Input Transaksi'!$D:$D,$E272))</f>
        <v/>
      </c>
      <c r="C272">
        <f>IF($E272="","",INDEX('Input Transaksi'!$E:$E,$E272))</f>
        <v/>
      </c>
      <c r="D272" s="5">
        <f>IF($E272="","",INDEX('Input Transaksi'!$F:$F,$E272))</f>
        <v/>
      </c>
      <c r="E272">
        <f>IFERROR(AGGREGATE(15,6,ROW('Input Transaksi'!$B$5:$B$5000)/('Input Transaksi'!$B$5:$B$5000="JCL BYPASS"),ROWS($E$5:E272)),"")</f>
        <v/>
      </c>
      <c r="F272" s="5" t="n"/>
    </row>
    <row r="273">
      <c r="A273" s="10">
        <f>IF($E273="","",INDEX('Input Transaksi'!$A:$A,$E273))</f>
        <v/>
      </c>
      <c r="B273" s="5">
        <f>IF($E273="","",INDEX('Input Transaksi'!$D:$D,$E273))</f>
        <v/>
      </c>
      <c r="C273">
        <f>IF($E273="","",INDEX('Input Transaksi'!$E:$E,$E273))</f>
        <v/>
      </c>
      <c r="D273" s="5">
        <f>IF($E273="","",INDEX('Input Transaksi'!$F:$F,$E273))</f>
        <v/>
      </c>
      <c r="E273">
        <f>IFERROR(AGGREGATE(15,6,ROW('Input Transaksi'!$B$5:$B$5000)/('Input Transaksi'!$B$5:$B$5000="JCL BYPASS"),ROWS($E$5:E273)),"")</f>
        <v/>
      </c>
      <c r="F273" s="5" t="n"/>
    </row>
    <row r="274">
      <c r="A274" s="10">
        <f>IF($E274="","",INDEX('Input Transaksi'!$A:$A,$E274))</f>
        <v/>
      </c>
      <c r="B274" s="5">
        <f>IF($E274="","",INDEX('Input Transaksi'!$D:$D,$E274))</f>
        <v/>
      </c>
      <c r="C274">
        <f>IF($E274="","",INDEX('Input Transaksi'!$E:$E,$E274))</f>
        <v/>
      </c>
      <c r="D274" s="5">
        <f>IF($E274="","",INDEX('Input Transaksi'!$F:$F,$E274))</f>
        <v/>
      </c>
      <c r="E274">
        <f>IFERROR(AGGREGATE(15,6,ROW('Input Transaksi'!$B$5:$B$5000)/('Input Transaksi'!$B$5:$B$5000="JCL BYPASS"),ROWS($E$5:E274)),"")</f>
        <v/>
      </c>
      <c r="F274" s="5" t="n"/>
    </row>
    <row r="275">
      <c r="A275" s="10">
        <f>IF($E275="","",INDEX('Input Transaksi'!$A:$A,$E275))</f>
        <v/>
      </c>
      <c r="B275" s="5">
        <f>IF($E275="","",INDEX('Input Transaksi'!$D:$D,$E275))</f>
        <v/>
      </c>
      <c r="C275">
        <f>IF($E275="","",INDEX('Input Transaksi'!$E:$E,$E275))</f>
        <v/>
      </c>
      <c r="D275" s="5">
        <f>IF($E275="","",INDEX('Input Transaksi'!$F:$F,$E275))</f>
        <v/>
      </c>
      <c r="E275">
        <f>IFERROR(AGGREGATE(15,6,ROW('Input Transaksi'!$B$5:$B$5000)/('Input Transaksi'!$B$5:$B$5000="JCL BYPASS"),ROWS($E$5:E275)),"")</f>
        <v/>
      </c>
      <c r="F275" s="5" t="n"/>
    </row>
    <row r="276">
      <c r="A276" s="10">
        <f>IF($E276="","",INDEX('Input Transaksi'!$A:$A,$E276))</f>
        <v/>
      </c>
      <c r="B276" s="5">
        <f>IF($E276="","",INDEX('Input Transaksi'!$D:$D,$E276))</f>
        <v/>
      </c>
      <c r="C276">
        <f>IF($E276="","",INDEX('Input Transaksi'!$E:$E,$E276))</f>
        <v/>
      </c>
      <c r="D276" s="5">
        <f>IF($E276="","",INDEX('Input Transaksi'!$F:$F,$E276))</f>
        <v/>
      </c>
      <c r="E276">
        <f>IFERROR(AGGREGATE(15,6,ROW('Input Transaksi'!$B$5:$B$5000)/('Input Transaksi'!$B$5:$B$5000="JCL BYPASS"),ROWS($E$5:E276)),"")</f>
        <v/>
      </c>
      <c r="F276" s="5" t="n"/>
    </row>
    <row r="277">
      <c r="A277" s="10">
        <f>IF($E277="","",INDEX('Input Transaksi'!$A:$A,$E277))</f>
        <v/>
      </c>
      <c r="B277" s="5">
        <f>IF($E277="","",INDEX('Input Transaksi'!$D:$D,$E277))</f>
        <v/>
      </c>
      <c r="C277">
        <f>IF($E277="","",INDEX('Input Transaksi'!$E:$E,$E277))</f>
        <v/>
      </c>
      <c r="D277" s="5">
        <f>IF($E277="","",INDEX('Input Transaksi'!$F:$F,$E277))</f>
        <v/>
      </c>
      <c r="E277">
        <f>IFERROR(AGGREGATE(15,6,ROW('Input Transaksi'!$B$5:$B$5000)/('Input Transaksi'!$B$5:$B$5000="JCL BYPASS"),ROWS($E$5:E277)),"")</f>
        <v/>
      </c>
      <c r="F277" s="5" t="n"/>
    </row>
    <row r="278">
      <c r="A278" s="10">
        <f>IF($E278="","",INDEX('Input Transaksi'!$A:$A,$E278))</f>
        <v/>
      </c>
      <c r="B278" s="5">
        <f>IF($E278="","",INDEX('Input Transaksi'!$D:$D,$E278))</f>
        <v/>
      </c>
      <c r="C278">
        <f>IF($E278="","",INDEX('Input Transaksi'!$E:$E,$E278))</f>
        <v/>
      </c>
      <c r="D278" s="5">
        <f>IF($E278="","",INDEX('Input Transaksi'!$F:$F,$E278))</f>
        <v/>
      </c>
      <c r="E278">
        <f>IFERROR(AGGREGATE(15,6,ROW('Input Transaksi'!$B$5:$B$5000)/('Input Transaksi'!$B$5:$B$5000="JCL BYPASS"),ROWS($E$5:E278)),"")</f>
        <v/>
      </c>
      <c r="F278" s="5" t="n"/>
    </row>
    <row r="279">
      <c r="A279" s="10">
        <f>IF($E279="","",INDEX('Input Transaksi'!$A:$A,$E279))</f>
        <v/>
      </c>
      <c r="B279" s="5">
        <f>IF($E279="","",INDEX('Input Transaksi'!$D:$D,$E279))</f>
        <v/>
      </c>
      <c r="C279">
        <f>IF($E279="","",INDEX('Input Transaksi'!$E:$E,$E279))</f>
        <v/>
      </c>
      <c r="D279" s="5">
        <f>IF($E279="","",INDEX('Input Transaksi'!$F:$F,$E279))</f>
        <v/>
      </c>
      <c r="E279">
        <f>IFERROR(AGGREGATE(15,6,ROW('Input Transaksi'!$B$5:$B$5000)/('Input Transaksi'!$B$5:$B$5000="JCL BYPASS"),ROWS($E$5:E279)),"")</f>
        <v/>
      </c>
      <c r="F279" s="5" t="n"/>
    </row>
    <row r="280">
      <c r="A280" s="10">
        <f>IF($E280="","",INDEX('Input Transaksi'!$A:$A,$E280))</f>
        <v/>
      </c>
      <c r="B280" s="5">
        <f>IF($E280="","",INDEX('Input Transaksi'!$D:$D,$E280))</f>
        <v/>
      </c>
      <c r="C280">
        <f>IF($E280="","",INDEX('Input Transaksi'!$E:$E,$E280))</f>
        <v/>
      </c>
      <c r="D280" s="5">
        <f>IF($E280="","",INDEX('Input Transaksi'!$F:$F,$E280))</f>
        <v/>
      </c>
      <c r="E280">
        <f>IFERROR(AGGREGATE(15,6,ROW('Input Transaksi'!$B$5:$B$5000)/('Input Transaksi'!$B$5:$B$5000="JCL BYPASS"),ROWS($E$5:E280)),"")</f>
        <v/>
      </c>
      <c r="F280" s="5" t="n"/>
    </row>
    <row r="281">
      <c r="A281" s="10">
        <f>IF($E281="","",INDEX('Input Transaksi'!$A:$A,$E281))</f>
        <v/>
      </c>
      <c r="B281" s="5">
        <f>IF($E281="","",INDEX('Input Transaksi'!$D:$D,$E281))</f>
        <v/>
      </c>
      <c r="C281">
        <f>IF($E281="","",INDEX('Input Transaksi'!$E:$E,$E281))</f>
        <v/>
      </c>
      <c r="D281" s="5">
        <f>IF($E281="","",INDEX('Input Transaksi'!$F:$F,$E281))</f>
        <v/>
      </c>
      <c r="E281">
        <f>IFERROR(AGGREGATE(15,6,ROW('Input Transaksi'!$B$5:$B$5000)/('Input Transaksi'!$B$5:$B$5000="JCL BYPASS"),ROWS($E$5:E281)),"")</f>
        <v/>
      </c>
      <c r="F281" s="5" t="n"/>
    </row>
    <row r="282">
      <c r="A282" s="10">
        <f>IF($E282="","",INDEX('Input Transaksi'!$A:$A,$E282))</f>
        <v/>
      </c>
      <c r="B282" s="5">
        <f>IF($E282="","",INDEX('Input Transaksi'!$D:$D,$E282))</f>
        <v/>
      </c>
      <c r="C282">
        <f>IF($E282="","",INDEX('Input Transaksi'!$E:$E,$E282))</f>
        <v/>
      </c>
      <c r="D282" s="5">
        <f>IF($E282="","",INDEX('Input Transaksi'!$F:$F,$E282))</f>
        <v/>
      </c>
      <c r="E282">
        <f>IFERROR(AGGREGATE(15,6,ROW('Input Transaksi'!$B$5:$B$5000)/('Input Transaksi'!$B$5:$B$5000="JCL BYPASS"),ROWS($E$5:E282)),"")</f>
        <v/>
      </c>
      <c r="F282" s="5" t="n"/>
    </row>
    <row r="283">
      <c r="A283" s="10">
        <f>IF($E283="","",INDEX('Input Transaksi'!$A:$A,$E283))</f>
        <v/>
      </c>
      <c r="B283" s="5">
        <f>IF($E283="","",INDEX('Input Transaksi'!$D:$D,$E283))</f>
        <v/>
      </c>
      <c r="C283">
        <f>IF($E283="","",INDEX('Input Transaksi'!$E:$E,$E283))</f>
        <v/>
      </c>
      <c r="D283" s="5">
        <f>IF($E283="","",INDEX('Input Transaksi'!$F:$F,$E283))</f>
        <v/>
      </c>
      <c r="E283">
        <f>IFERROR(AGGREGATE(15,6,ROW('Input Transaksi'!$B$5:$B$5000)/('Input Transaksi'!$B$5:$B$5000="JCL BYPASS"),ROWS($E$5:E283)),"")</f>
        <v/>
      </c>
      <c r="F283" s="5" t="n"/>
    </row>
    <row r="284">
      <c r="A284" s="10">
        <f>IF($E284="","",INDEX('Input Transaksi'!$A:$A,$E284))</f>
        <v/>
      </c>
      <c r="B284" s="5">
        <f>IF($E284="","",INDEX('Input Transaksi'!$D:$D,$E284))</f>
        <v/>
      </c>
      <c r="C284">
        <f>IF($E284="","",INDEX('Input Transaksi'!$E:$E,$E284))</f>
        <v/>
      </c>
      <c r="D284" s="5">
        <f>IF($E284="","",INDEX('Input Transaksi'!$F:$F,$E284))</f>
        <v/>
      </c>
      <c r="E284">
        <f>IFERROR(AGGREGATE(15,6,ROW('Input Transaksi'!$B$5:$B$5000)/('Input Transaksi'!$B$5:$B$5000="JCL BYPASS"),ROWS($E$5:E284)),"")</f>
        <v/>
      </c>
      <c r="F284" s="5" t="n"/>
    </row>
    <row r="285">
      <c r="A285" s="10">
        <f>IF($E285="","",INDEX('Input Transaksi'!$A:$A,$E285))</f>
        <v/>
      </c>
      <c r="B285" s="5">
        <f>IF($E285="","",INDEX('Input Transaksi'!$D:$D,$E285))</f>
        <v/>
      </c>
      <c r="C285">
        <f>IF($E285="","",INDEX('Input Transaksi'!$E:$E,$E285))</f>
        <v/>
      </c>
      <c r="D285" s="5">
        <f>IF($E285="","",INDEX('Input Transaksi'!$F:$F,$E285))</f>
        <v/>
      </c>
      <c r="E285">
        <f>IFERROR(AGGREGATE(15,6,ROW('Input Transaksi'!$B$5:$B$5000)/('Input Transaksi'!$B$5:$B$5000="JCL BYPASS"),ROWS($E$5:E285)),"")</f>
        <v/>
      </c>
      <c r="F285" s="5" t="n"/>
    </row>
    <row r="286">
      <c r="A286" s="10">
        <f>IF($E286="","",INDEX('Input Transaksi'!$A:$A,$E286))</f>
        <v/>
      </c>
      <c r="B286" s="5">
        <f>IF($E286="","",INDEX('Input Transaksi'!$D:$D,$E286))</f>
        <v/>
      </c>
      <c r="C286">
        <f>IF($E286="","",INDEX('Input Transaksi'!$E:$E,$E286))</f>
        <v/>
      </c>
      <c r="D286" s="5">
        <f>IF($E286="","",INDEX('Input Transaksi'!$F:$F,$E286))</f>
        <v/>
      </c>
      <c r="E286">
        <f>IFERROR(AGGREGATE(15,6,ROW('Input Transaksi'!$B$5:$B$5000)/('Input Transaksi'!$B$5:$B$5000="JCL BYPASS"),ROWS($E$5:E286)),"")</f>
        <v/>
      </c>
      <c r="F286" s="5" t="n"/>
    </row>
    <row r="287">
      <c r="A287" s="10">
        <f>IF($E287="","",INDEX('Input Transaksi'!$A:$A,$E287))</f>
        <v/>
      </c>
      <c r="B287" s="5">
        <f>IF($E287="","",INDEX('Input Transaksi'!$D:$D,$E287))</f>
        <v/>
      </c>
      <c r="C287">
        <f>IF($E287="","",INDEX('Input Transaksi'!$E:$E,$E287))</f>
        <v/>
      </c>
      <c r="D287" s="5">
        <f>IF($E287="","",INDEX('Input Transaksi'!$F:$F,$E287))</f>
        <v/>
      </c>
      <c r="E287">
        <f>IFERROR(AGGREGATE(15,6,ROW('Input Transaksi'!$B$5:$B$5000)/('Input Transaksi'!$B$5:$B$5000="JCL BYPASS"),ROWS($E$5:E287)),"")</f>
        <v/>
      </c>
      <c r="F287" s="5" t="n"/>
    </row>
    <row r="288">
      <c r="A288" s="10">
        <f>IF($E288="","",INDEX('Input Transaksi'!$A:$A,$E288))</f>
        <v/>
      </c>
      <c r="B288" s="5">
        <f>IF($E288="","",INDEX('Input Transaksi'!$D:$D,$E288))</f>
        <v/>
      </c>
      <c r="C288">
        <f>IF($E288="","",INDEX('Input Transaksi'!$E:$E,$E288))</f>
        <v/>
      </c>
      <c r="D288" s="5">
        <f>IF($E288="","",INDEX('Input Transaksi'!$F:$F,$E288))</f>
        <v/>
      </c>
      <c r="E288">
        <f>IFERROR(AGGREGATE(15,6,ROW('Input Transaksi'!$B$5:$B$5000)/('Input Transaksi'!$B$5:$B$5000="JCL BYPASS"),ROWS($E$5:E288)),"")</f>
        <v/>
      </c>
      <c r="F288" s="5" t="n"/>
    </row>
    <row r="289">
      <c r="A289" s="10">
        <f>IF($E289="","",INDEX('Input Transaksi'!$A:$A,$E289))</f>
        <v/>
      </c>
      <c r="B289" s="5">
        <f>IF($E289="","",INDEX('Input Transaksi'!$D:$D,$E289))</f>
        <v/>
      </c>
      <c r="C289">
        <f>IF($E289="","",INDEX('Input Transaksi'!$E:$E,$E289))</f>
        <v/>
      </c>
      <c r="D289" s="5">
        <f>IF($E289="","",INDEX('Input Transaksi'!$F:$F,$E289))</f>
        <v/>
      </c>
      <c r="E289">
        <f>IFERROR(AGGREGATE(15,6,ROW('Input Transaksi'!$B$5:$B$5000)/('Input Transaksi'!$B$5:$B$5000="JCL BYPASS"),ROWS($E$5:E289)),"")</f>
        <v/>
      </c>
      <c r="F289" s="5" t="n"/>
    </row>
    <row r="290">
      <c r="A290" s="10">
        <f>IF($E290="","",INDEX('Input Transaksi'!$A:$A,$E290))</f>
        <v/>
      </c>
      <c r="B290" s="5">
        <f>IF($E290="","",INDEX('Input Transaksi'!$D:$D,$E290))</f>
        <v/>
      </c>
      <c r="C290">
        <f>IF($E290="","",INDEX('Input Transaksi'!$E:$E,$E290))</f>
        <v/>
      </c>
      <c r="D290" s="5">
        <f>IF($E290="","",INDEX('Input Transaksi'!$F:$F,$E290))</f>
        <v/>
      </c>
      <c r="E290">
        <f>IFERROR(AGGREGATE(15,6,ROW('Input Transaksi'!$B$5:$B$5000)/('Input Transaksi'!$B$5:$B$5000="JCL BYPASS"),ROWS($E$5:E290)),"")</f>
        <v/>
      </c>
      <c r="F290" s="5" t="n"/>
    </row>
    <row r="291">
      <c r="A291" s="10">
        <f>IF($E291="","",INDEX('Input Transaksi'!$A:$A,$E291))</f>
        <v/>
      </c>
      <c r="B291" s="5">
        <f>IF($E291="","",INDEX('Input Transaksi'!$D:$D,$E291))</f>
        <v/>
      </c>
      <c r="C291">
        <f>IF($E291="","",INDEX('Input Transaksi'!$E:$E,$E291))</f>
        <v/>
      </c>
      <c r="D291" s="5">
        <f>IF($E291="","",INDEX('Input Transaksi'!$F:$F,$E291))</f>
        <v/>
      </c>
      <c r="E291">
        <f>IFERROR(AGGREGATE(15,6,ROW('Input Transaksi'!$B$5:$B$5000)/('Input Transaksi'!$B$5:$B$5000="JCL BYPASS"),ROWS($E$5:E291)),"")</f>
        <v/>
      </c>
      <c r="F291" s="5" t="n"/>
    </row>
    <row r="292">
      <c r="A292" s="10">
        <f>IF($E292="","",INDEX('Input Transaksi'!$A:$A,$E292))</f>
        <v/>
      </c>
      <c r="B292" s="5">
        <f>IF($E292="","",INDEX('Input Transaksi'!$D:$D,$E292))</f>
        <v/>
      </c>
      <c r="C292">
        <f>IF($E292="","",INDEX('Input Transaksi'!$E:$E,$E292))</f>
        <v/>
      </c>
      <c r="D292" s="5">
        <f>IF($E292="","",INDEX('Input Transaksi'!$F:$F,$E292))</f>
        <v/>
      </c>
      <c r="E292">
        <f>IFERROR(AGGREGATE(15,6,ROW('Input Transaksi'!$B$5:$B$5000)/('Input Transaksi'!$B$5:$B$5000="JCL BYPASS"),ROWS($E$5:E292)),"")</f>
        <v/>
      </c>
      <c r="F292" s="5" t="n"/>
    </row>
    <row r="293">
      <c r="A293" s="10">
        <f>IF($E293="","",INDEX('Input Transaksi'!$A:$A,$E293))</f>
        <v/>
      </c>
      <c r="B293" s="5">
        <f>IF($E293="","",INDEX('Input Transaksi'!$D:$D,$E293))</f>
        <v/>
      </c>
      <c r="C293">
        <f>IF($E293="","",INDEX('Input Transaksi'!$E:$E,$E293))</f>
        <v/>
      </c>
      <c r="D293" s="5">
        <f>IF($E293="","",INDEX('Input Transaksi'!$F:$F,$E293))</f>
        <v/>
      </c>
      <c r="E293">
        <f>IFERROR(AGGREGATE(15,6,ROW('Input Transaksi'!$B$5:$B$5000)/('Input Transaksi'!$B$5:$B$5000="JCL BYPASS"),ROWS($E$5:E293)),"")</f>
        <v/>
      </c>
      <c r="F293" s="5" t="n"/>
    </row>
    <row r="294">
      <c r="A294" s="10">
        <f>IF($E294="","",INDEX('Input Transaksi'!$A:$A,$E294))</f>
        <v/>
      </c>
      <c r="B294" s="5">
        <f>IF($E294="","",INDEX('Input Transaksi'!$D:$D,$E294))</f>
        <v/>
      </c>
      <c r="C294">
        <f>IF($E294="","",INDEX('Input Transaksi'!$E:$E,$E294))</f>
        <v/>
      </c>
      <c r="D294" s="5">
        <f>IF($E294="","",INDEX('Input Transaksi'!$F:$F,$E294))</f>
        <v/>
      </c>
      <c r="E294">
        <f>IFERROR(AGGREGATE(15,6,ROW('Input Transaksi'!$B$5:$B$5000)/('Input Transaksi'!$B$5:$B$5000="JCL BYPASS"),ROWS($E$5:E294)),"")</f>
        <v/>
      </c>
      <c r="F294" s="5" t="n"/>
    </row>
    <row r="295">
      <c r="A295" s="10">
        <f>IF($E295="","",INDEX('Input Transaksi'!$A:$A,$E295))</f>
        <v/>
      </c>
      <c r="B295" s="5">
        <f>IF($E295="","",INDEX('Input Transaksi'!$D:$D,$E295))</f>
        <v/>
      </c>
      <c r="C295">
        <f>IF($E295="","",INDEX('Input Transaksi'!$E:$E,$E295))</f>
        <v/>
      </c>
      <c r="D295" s="5">
        <f>IF($E295="","",INDEX('Input Transaksi'!$F:$F,$E295))</f>
        <v/>
      </c>
      <c r="E295">
        <f>IFERROR(AGGREGATE(15,6,ROW('Input Transaksi'!$B$5:$B$5000)/('Input Transaksi'!$B$5:$B$5000="JCL BYPASS"),ROWS($E$5:E295)),"")</f>
        <v/>
      </c>
      <c r="F295" s="5" t="n"/>
    </row>
    <row r="296">
      <c r="A296" s="10">
        <f>IF($E296="","",INDEX('Input Transaksi'!$A:$A,$E296))</f>
        <v/>
      </c>
      <c r="B296" s="5">
        <f>IF($E296="","",INDEX('Input Transaksi'!$D:$D,$E296))</f>
        <v/>
      </c>
      <c r="C296">
        <f>IF($E296="","",INDEX('Input Transaksi'!$E:$E,$E296))</f>
        <v/>
      </c>
      <c r="D296" s="5">
        <f>IF($E296="","",INDEX('Input Transaksi'!$F:$F,$E296))</f>
        <v/>
      </c>
      <c r="E296">
        <f>IFERROR(AGGREGATE(15,6,ROW('Input Transaksi'!$B$5:$B$5000)/('Input Transaksi'!$B$5:$B$5000="JCL BYPASS"),ROWS($E$5:E296)),"")</f>
        <v/>
      </c>
      <c r="F296" s="5" t="n"/>
    </row>
    <row r="297">
      <c r="A297" s="10">
        <f>IF($E297="","",INDEX('Input Transaksi'!$A:$A,$E297))</f>
        <v/>
      </c>
      <c r="B297" s="5">
        <f>IF($E297="","",INDEX('Input Transaksi'!$D:$D,$E297))</f>
        <v/>
      </c>
      <c r="C297">
        <f>IF($E297="","",INDEX('Input Transaksi'!$E:$E,$E297))</f>
        <v/>
      </c>
      <c r="D297" s="5">
        <f>IF($E297="","",INDEX('Input Transaksi'!$F:$F,$E297))</f>
        <v/>
      </c>
      <c r="E297">
        <f>IFERROR(AGGREGATE(15,6,ROW('Input Transaksi'!$B$5:$B$5000)/('Input Transaksi'!$B$5:$B$5000="JCL BYPASS"),ROWS($E$5:E297)),"")</f>
        <v/>
      </c>
      <c r="F297" s="5" t="n"/>
    </row>
    <row r="298">
      <c r="A298" s="10">
        <f>IF($E298="","",INDEX('Input Transaksi'!$A:$A,$E298))</f>
        <v/>
      </c>
      <c r="B298" s="5">
        <f>IF($E298="","",INDEX('Input Transaksi'!$D:$D,$E298))</f>
        <v/>
      </c>
      <c r="C298">
        <f>IF($E298="","",INDEX('Input Transaksi'!$E:$E,$E298))</f>
        <v/>
      </c>
      <c r="D298" s="5">
        <f>IF($E298="","",INDEX('Input Transaksi'!$F:$F,$E298))</f>
        <v/>
      </c>
      <c r="E298">
        <f>IFERROR(AGGREGATE(15,6,ROW('Input Transaksi'!$B$5:$B$5000)/('Input Transaksi'!$B$5:$B$5000="JCL BYPASS"),ROWS($E$5:E298)),"")</f>
        <v/>
      </c>
      <c r="F298" s="5" t="n"/>
    </row>
    <row r="299">
      <c r="A299" s="10">
        <f>IF($E299="","",INDEX('Input Transaksi'!$A:$A,$E299))</f>
        <v/>
      </c>
      <c r="B299" s="5">
        <f>IF($E299="","",INDEX('Input Transaksi'!$D:$D,$E299))</f>
        <v/>
      </c>
      <c r="C299">
        <f>IF($E299="","",INDEX('Input Transaksi'!$E:$E,$E299))</f>
        <v/>
      </c>
      <c r="D299" s="5">
        <f>IF($E299="","",INDEX('Input Transaksi'!$F:$F,$E299))</f>
        <v/>
      </c>
      <c r="E299">
        <f>IFERROR(AGGREGATE(15,6,ROW('Input Transaksi'!$B$5:$B$5000)/('Input Transaksi'!$B$5:$B$5000="JCL BYPASS"),ROWS($E$5:E299)),"")</f>
        <v/>
      </c>
      <c r="F299" s="5" t="n"/>
    </row>
    <row r="300">
      <c r="A300" s="10">
        <f>IF($E300="","",INDEX('Input Transaksi'!$A:$A,$E300))</f>
        <v/>
      </c>
      <c r="B300" s="5">
        <f>IF($E300="","",INDEX('Input Transaksi'!$D:$D,$E300))</f>
        <v/>
      </c>
      <c r="C300">
        <f>IF($E300="","",INDEX('Input Transaksi'!$E:$E,$E300))</f>
        <v/>
      </c>
      <c r="D300" s="5">
        <f>IF($E300="","",INDEX('Input Transaksi'!$F:$F,$E300))</f>
        <v/>
      </c>
      <c r="E300">
        <f>IFERROR(AGGREGATE(15,6,ROW('Input Transaksi'!$B$5:$B$5000)/('Input Transaksi'!$B$5:$B$5000="JCL BYPASS"),ROWS($E$5:E300)),"")</f>
        <v/>
      </c>
      <c r="F300" s="5" t="n"/>
    </row>
    <row r="301">
      <c r="A301" s="10">
        <f>IF($E301="","",INDEX('Input Transaksi'!$A:$A,$E301))</f>
        <v/>
      </c>
      <c r="B301" s="5">
        <f>IF($E301="","",INDEX('Input Transaksi'!$D:$D,$E301))</f>
        <v/>
      </c>
      <c r="C301">
        <f>IF($E301="","",INDEX('Input Transaksi'!$E:$E,$E301))</f>
        <v/>
      </c>
      <c r="D301" s="5">
        <f>IF($E301="","",INDEX('Input Transaksi'!$F:$F,$E301))</f>
        <v/>
      </c>
      <c r="E301">
        <f>IFERROR(AGGREGATE(15,6,ROW('Input Transaksi'!$B$5:$B$5000)/('Input Transaksi'!$B$5:$B$5000="JCL BYPASS"),ROWS($E$5:E301)),"")</f>
        <v/>
      </c>
      <c r="F301" s="5" t="n"/>
    </row>
    <row r="302">
      <c r="A302" s="10">
        <f>IF($E302="","",INDEX('Input Transaksi'!$A:$A,$E302))</f>
        <v/>
      </c>
      <c r="B302" s="5">
        <f>IF($E302="","",INDEX('Input Transaksi'!$D:$D,$E302))</f>
        <v/>
      </c>
      <c r="C302">
        <f>IF($E302="","",INDEX('Input Transaksi'!$E:$E,$E302))</f>
        <v/>
      </c>
      <c r="D302" s="5">
        <f>IF($E302="","",INDEX('Input Transaksi'!$F:$F,$E302))</f>
        <v/>
      </c>
      <c r="E302">
        <f>IFERROR(AGGREGATE(15,6,ROW('Input Transaksi'!$B$5:$B$5000)/('Input Transaksi'!$B$5:$B$5000="JCL BYPASS"),ROWS($E$5:E302)),"")</f>
        <v/>
      </c>
      <c r="F302" s="5" t="n"/>
    </row>
    <row r="303">
      <c r="A303" s="10">
        <f>IF($E303="","",INDEX('Input Transaksi'!$A:$A,$E303))</f>
        <v/>
      </c>
      <c r="B303" s="5">
        <f>IF($E303="","",INDEX('Input Transaksi'!$D:$D,$E303))</f>
        <v/>
      </c>
      <c r="C303">
        <f>IF($E303="","",INDEX('Input Transaksi'!$E:$E,$E303))</f>
        <v/>
      </c>
      <c r="D303" s="5">
        <f>IF($E303="","",INDEX('Input Transaksi'!$F:$F,$E303))</f>
        <v/>
      </c>
      <c r="E303">
        <f>IFERROR(AGGREGATE(15,6,ROW('Input Transaksi'!$B$5:$B$5000)/('Input Transaksi'!$B$5:$B$5000="JCL BYPASS"),ROWS($E$5:E303)),"")</f>
        <v/>
      </c>
      <c r="F303" s="5" t="n"/>
    </row>
    <row r="304">
      <c r="A304" s="10">
        <f>IF($E304="","",INDEX('Input Transaksi'!$A:$A,$E304))</f>
        <v/>
      </c>
      <c r="B304" s="5">
        <f>IF($E304="","",INDEX('Input Transaksi'!$D:$D,$E304))</f>
        <v/>
      </c>
      <c r="C304">
        <f>IF($E304="","",INDEX('Input Transaksi'!$E:$E,$E304))</f>
        <v/>
      </c>
      <c r="D304" s="5">
        <f>IF($E304="","",INDEX('Input Transaksi'!$F:$F,$E304))</f>
        <v/>
      </c>
      <c r="E304">
        <f>IFERROR(AGGREGATE(15,6,ROW('Input Transaksi'!$B$5:$B$5000)/('Input Transaksi'!$B$5:$B$5000="JCL BYPASS"),ROWS($E$5:E304)),"")</f>
        <v/>
      </c>
      <c r="F304" s="5" t="n"/>
    </row>
    <row r="305">
      <c r="A305" s="10">
        <f>IF($E305="","",INDEX('Input Transaksi'!$A:$A,$E305))</f>
        <v/>
      </c>
      <c r="B305" s="5">
        <f>IF($E305="","",INDEX('Input Transaksi'!$D:$D,$E305))</f>
        <v/>
      </c>
      <c r="C305">
        <f>IF($E305="","",INDEX('Input Transaksi'!$E:$E,$E305))</f>
        <v/>
      </c>
      <c r="D305" s="5">
        <f>IF($E305="","",INDEX('Input Transaksi'!$F:$F,$E305))</f>
        <v/>
      </c>
      <c r="E305">
        <f>IFERROR(AGGREGATE(15,6,ROW('Input Transaksi'!$B$5:$B$5000)/('Input Transaksi'!$B$5:$B$5000="JCL BYPASS"),ROWS($E$5:E305)),"")</f>
        <v/>
      </c>
      <c r="F305" s="5" t="n"/>
    </row>
    <row r="306">
      <c r="A306" s="10">
        <f>IF($E306="","",INDEX('Input Transaksi'!$A:$A,$E306))</f>
        <v/>
      </c>
      <c r="B306" s="5">
        <f>IF($E306="","",INDEX('Input Transaksi'!$D:$D,$E306))</f>
        <v/>
      </c>
      <c r="C306">
        <f>IF($E306="","",INDEX('Input Transaksi'!$E:$E,$E306))</f>
        <v/>
      </c>
      <c r="D306" s="5">
        <f>IF($E306="","",INDEX('Input Transaksi'!$F:$F,$E306))</f>
        <v/>
      </c>
      <c r="E306">
        <f>IFERROR(AGGREGATE(15,6,ROW('Input Transaksi'!$B$5:$B$5000)/('Input Transaksi'!$B$5:$B$5000="JCL BYPASS"),ROWS($E$5:E306)),"")</f>
        <v/>
      </c>
      <c r="F306" s="5" t="n"/>
    </row>
    <row r="307">
      <c r="A307" s="10">
        <f>IF($E307="","",INDEX('Input Transaksi'!$A:$A,$E307))</f>
        <v/>
      </c>
      <c r="B307" s="5">
        <f>IF($E307="","",INDEX('Input Transaksi'!$D:$D,$E307))</f>
        <v/>
      </c>
      <c r="C307">
        <f>IF($E307="","",INDEX('Input Transaksi'!$E:$E,$E307))</f>
        <v/>
      </c>
      <c r="D307" s="5">
        <f>IF($E307="","",INDEX('Input Transaksi'!$F:$F,$E307))</f>
        <v/>
      </c>
      <c r="E307">
        <f>IFERROR(AGGREGATE(15,6,ROW('Input Transaksi'!$B$5:$B$5000)/('Input Transaksi'!$B$5:$B$5000="JCL BYPASS"),ROWS($E$5:E307)),"")</f>
        <v/>
      </c>
      <c r="F307" s="5" t="n"/>
    </row>
    <row r="308">
      <c r="A308" s="10">
        <f>IF($E308="","",INDEX('Input Transaksi'!$A:$A,$E308))</f>
        <v/>
      </c>
      <c r="B308" s="5">
        <f>IF($E308="","",INDEX('Input Transaksi'!$D:$D,$E308))</f>
        <v/>
      </c>
      <c r="C308">
        <f>IF($E308="","",INDEX('Input Transaksi'!$E:$E,$E308))</f>
        <v/>
      </c>
      <c r="D308" s="5">
        <f>IF($E308="","",INDEX('Input Transaksi'!$F:$F,$E308))</f>
        <v/>
      </c>
      <c r="E308">
        <f>IFERROR(AGGREGATE(15,6,ROW('Input Transaksi'!$B$5:$B$5000)/('Input Transaksi'!$B$5:$B$5000="JCL BYPASS"),ROWS($E$5:E308)),"")</f>
        <v/>
      </c>
      <c r="F308" s="5" t="n"/>
    </row>
    <row r="309">
      <c r="A309" s="10">
        <f>IF($E309="","",INDEX('Input Transaksi'!$A:$A,$E309))</f>
        <v/>
      </c>
      <c r="B309" s="5">
        <f>IF($E309="","",INDEX('Input Transaksi'!$D:$D,$E309))</f>
        <v/>
      </c>
      <c r="C309">
        <f>IF($E309="","",INDEX('Input Transaksi'!$E:$E,$E309))</f>
        <v/>
      </c>
      <c r="D309" s="5">
        <f>IF($E309="","",INDEX('Input Transaksi'!$F:$F,$E309))</f>
        <v/>
      </c>
      <c r="E309">
        <f>IFERROR(AGGREGATE(15,6,ROW('Input Transaksi'!$B$5:$B$5000)/('Input Transaksi'!$B$5:$B$5000="JCL BYPASS"),ROWS($E$5:E309)),"")</f>
        <v/>
      </c>
      <c r="F309" s="5" t="n"/>
    </row>
    <row r="310">
      <c r="A310" s="10">
        <f>IF($E310="","",INDEX('Input Transaksi'!$A:$A,$E310))</f>
        <v/>
      </c>
      <c r="B310" s="5">
        <f>IF($E310="","",INDEX('Input Transaksi'!$D:$D,$E310))</f>
        <v/>
      </c>
      <c r="C310">
        <f>IF($E310="","",INDEX('Input Transaksi'!$E:$E,$E310))</f>
        <v/>
      </c>
      <c r="D310" s="5">
        <f>IF($E310="","",INDEX('Input Transaksi'!$F:$F,$E310))</f>
        <v/>
      </c>
      <c r="E310">
        <f>IFERROR(AGGREGATE(15,6,ROW('Input Transaksi'!$B$5:$B$5000)/('Input Transaksi'!$B$5:$B$5000="JCL BYPASS"),ROWS($E$5:E310)),"")</f>
        <v/>
      </c>
      <c r="F310" s="5" t="n"/>
    </row>
    <row r="311">
      <c r="A311" s="10">
        <f>IF($E311="","",INDEX('Input Transaksi'!$A:$A,$E311))</f>
        <v/>
      </c>
      <c r="B311" s="5">
        <f>IF($E311="","",INDEX('Input Transaksi'!$D:$D,$E311))</f>
        <v/>
      </c>
      <c r="C311">
        <f>IF($E311="","",INDEX('Input Transaksi'!$E:$E,$E311))</f>
        <v/>
      </c>
      <c r="D311" s="5">
        <f>IF($E311="","",INDEX('Input Transaksi'!$F:$F,$E311))</f>
        <v/>
      </c>
      <c r="E311">
        <f>IFERROR(AGGREGATE(15,6,ROW('Input Transaksi'!$B$5:$B$5000)/('Input Transaksi'!$B$5:$B$5000="JCL BYPASS"),ROWS($E$5:E311)),"")</f>
        <v/>
      </c>
      <c r="F311" s="5" t="n"/>
    </row>
    <row r="312">
      <c r="A312" s="10">
        <f>IF($E312="","",INDEX('Input Transaksi'!$A:$A,$E312))</f>
        <v/>
      </c>
      <c r="B312" s="5">
        <f>IF($E312="","",INDEX('Input Transaksi'!$D:$D,$E312))</f>
        <v/>
      </c>
      <c r="C312">
        <f>IF($E312="","",INDEX('Input Transaksi'!$E:$E,$E312))</f>
        <v/>
      </c>
      <c r="D312" s="5">
        <f>IF($E312="","",INDEX('Input Transaksi'!$F:$F,$E312))</f>
        <v/>
      </c>
      <c r="E312">
        <f>IFERROR(AGGREGATE(15,6,ROW('Input Transaksi'!$B$5:$B$5000)/('Input Transaksi'!$B$5:$B$5000="JCL BYPASS"),ROWS($E$5:E312)),"")</f>
        <v/>
      </c>
      <c r="F312" s="5" t="n"/>
    </row>
    <row r="313">
      <c r="A313" s="10">
        <f>IF($E313="","",INDEX('Input Transaksi'!$A:$A,$E313))</f>
        <v/>
      </c>
      <c r="B313" s="5">
        <f>IF($E313="","",INDEX('Input Transaksi'!$D:$D,$E313))</f>
        <v/>
      </c>
      <c r="C313">
        <f>IF($E313="","",INDEX('Input Transaksi'!$E:$E,$E313))</f>
        <v/>
      </c>
      <c r="D313" s="5">
        <f>IF($E313="","",INDEX('Input Transaksi'!$F:$F,$E313))</f>
        <v/>
      </c>
      <c r="E313">
        <f>IFERROR(AGGREGATE(15,6,ROW('Input Transaksi'!$B$5:$B$5000)/('Input Transaksi'!$B$5:$B$5000="JCL BYPASS"),ROWS($E$5:E313)),"")</f>
        <v/>
      </c>
      <c r="F313" s="5" t="n"/>
    </row>
    <row r="314">
      <c r="A314" s="10">
        <f>IF($E314="","",INDEX('Input Transaksi'!$A:$A,$E314))</f>
        <v/>
      </c>
      <c r="B314" s="5">
        <f>IF($E314="","",INDEX('Input Transaksi'!$D:$D,$E314))</f>
        <v/>
      </c>
      <c r="C314">
        <f>IF($E314="","",INDEX('Input Transaksi'!$E:$E,$E314))</f>
        <v/>
      </c>
      <c r="D314" s="5">
        <f>IF($E314="","",INDEX('Input Transaksi'!$F:$F,$E314))</f>
        <v/>
      </c>
      <c r="E314">
        <f>IFERROR(AGGREGATE(15,6,ROW('Input Transaksi'!$B$5:$B$5000)/('Input Transaksi'!$B$5:$B$5000="JCL BYPASS"),ROWS($E$5:E314)),"")</f>
        <v/>
      </c>
      <c r="F314" s="5" t="n"/>
    </row>
    <row r="315">
      <c r="A315" s="10">
        <f>IF($E315="","",INDEX('Input Transaksi'!$A:$A,$E315))</f>
        <v/>
      </c>
      <c r="B315" s="5">
        <f>IF($E315="","",INDEX('Input Transaksi'!$D:$D,$E315))</f>
        <v/>
      </c>
      <c r="C315">
        <f>IF($E315="","",INDEX('Input Transaksi'!$E:$E,$E315))</f>
        <v/>
      </c>
      <c r="D315" s="5">
        <f>IF($E315="","",INDEX('Input Transaksi'!$F:$F,$E315))</f>
        <v/>
      </c>
      <c r="E315">
        <f>IFERROR(AGGREGATE(15,6,ROW('Input Transaksi'!$B$5:$B$5000)/('Input Transaksi'!$B$5:$B$5000="JCL BYPASS"),ROWS($E$5:E315)),"")</f>
        <v/>
      </c>
      <c r="F315" s="5" t="n"/>
    </row>
    <row r="316">
      <c r="A316" s="10">
        <f>IF($E316="","",INDEX('Input Transaksi'!$A:$A,$E316))</f>
        <v/>
      </c>
      <c r="B316" s="5">
        <f>IF($E316="","",INDEX('Input Transaksi'!$D:$D,$E316))</f>
        <v/>
      </c>
      <c r="C316">
        <f>IF($E316="","",INDEX('Input Transaksi'!$E:$E,$E316))</f>
        <v/>
      </c>
      <c r="D316" s="5">
        <f>IF($E316="","",INDEX('Input Transaksi'!$F:$F,$E316))</f>
        <v/>
      </c>
      <c r="E316">
        <f>IFERROR(AGGREGATE(15,6,ROW('Input Transaksi'!$B$5:$B$5000)/('Input Transaksi'!$B$5:$B$5000="JCL BYPASS"),ROWS($E$5:E316)),"")</f>
        <v/>
      </c>
      <c r="F316" s="5" t="n"/>
    </row>
    <row r="317">
      <c r="A317" s="10">
        <f>IF($E317="","",INDEX('Input Transaksi'!$A:$A,$E317))</f>
        <v/>
      </c>
      <c r="B317" s="5">
        <f>IF($E317="","",INDEX('Input Transaksi'!$D:$D,$E317))</f>
        <v/>
      </c>
      <c r="C317">
        <f>IF($E317="","",INDEX('Input Transaksi'!$E:$E,$E317))</f>
        <v/>
      </c>
      <c r="D317" s="5">
        <f>IF($E317="","",INDEX('Input Transaksi'!$F:$F,$E317))</f>
        <v/>
      </c>
      <c r="E317">
        <f>IFERROR(AGGREGATE(15,6,ROW('Input Transaksi'!$B$5:$B$5000)/('Input Transaksi'!$B$5:$B$5000="JCL BYPASS"),ROWS($E$5:E317)),"")</f>
        <v/>
      </c>
      <c r="F317" s="5" t="n"/>
    </row>
    <row r="318">
      <c r="A318" s="10">
        <f>IF($E318="","",INDEX('Input Transaksi'!$A:$A,$E318))</f>
        <v/>
      </c>
      <c r="B318" s="5">
        <f>IF($E318="","",INDEX('Input Transaksi'!$D:$D,$E318))</f>
        <v/>
      </c>
      <c r="C318">
        <f>IF($E318="","",INDEX('Input Transaksi'!$E:$E,$E318))</f>
        <v/>
      </c>
      <c r="D318" s="5">
        <f>IF($E318="","",INDEX('Input Transaksi'!$F:$F,$E318))</f>
        <v/>
      </c>
      <c r="E318">
        <f>IFERROR(AGGREGATE(15,6,ROW('Input Transaksi'!$B$5:$B$5000)/('Input Transaksi'!$B$5:$B$5000="JCL BYPASS"),ROWS($E$5:E318)),"")</f>
        <v/>
      </c>
      <c r="F318" s="5" t="n"/>
    </row>
    <row r="319">
      <c r="A319" s="10">
        <f>IF($E319="","",INDEX('Input Transaksi'!$A:$A,$E319))</f>
        <v/>
      </c>
      <c r="B319" s="5">
        <f>IF($E319="","",INDEX('Input Transaksi'!$D:$D,$E319))</f>
        <v/>
      </c>
      <c r="C319">
        <f>IF($E319="","",INDEX('Input Transaksi'!$E:$E,$E319))</f>
        <v/>
      </c>
      <c r="D319" s="5">
        <f>IF($E319="","",INDEX('Input Transaksi'!$F:$F,$E319))</f>
        <v/>
      </c>
      <c r="E319">
        <f>IFERROR(AGGREGATE(15,6,ROW('Input Transaksi'!$B$5:$B$5000)/('Input Transaksi'!$B$5:$B$5000="JCL BYPASS"),ROWS($E$5:E319)),"")</f>
        <v/>
      </c>
      <c r="F319" s="5" t="n"/>
    </row>
    <row r="320">
      <c r="A320" s="10">
        <f>IF($E320="","",INDEX('Input Transaksi'!$A:$A,$E320))</f>
        <v/>
      </c>
      <c r="B320" s="5">
        <f>IF($E320="","",INDEX('Input Transaksi'!$D:$D,$E320))</f>
        <v/>
      </c>
      <c r="C320">
        <f>IF($E320="","",INDEX('Input Transaksi'!$E:$E,$E320))</f>
        <v/>
      </c>
      <c r="D320" s="5">
        <f>IF($E320="","",INDEX('Input Transaksi'!$F:$F,$E320))</f>
        <v/>
      </c>
      <c r="E320">
        <f>IFERROR(AGGREGATE(15,6,ROW('Input Transaksi'!$B$5:$B$5000)/('Input Transaksi'!$B$5:$B$5000="JCL BYPASS"),ROWS($E$5:E320)),"")</f>
        <v/>
      </c>
      <c r="F320" s="5" t="n"/>
    </row>
    <row r="321">
      <c r="A321" s="10">
        <f>IF($E321="","",INDEX('Input Transaksi'!$A:$A,$E321))</f>
        <v/>
      </c>
      <c r="B321" s="5">
        <f>IF($E321="","",INDEX('Input Transaksi'!$D:$D,$E321))</f>
        <v/>
      </c>
      <c r="C321">
        <f>IF($E321="","",INDEX('Input Transaksi'!$E:$E,$E321))</f>
        <v/>
      </c>
      <c r="D321" s="5">
        <f>IF($E321="","",INDEX('Input Transaksi'!$F:$F,$E321))</f>
        <v/>
      </c>
      <c r="E321">
        <f>IFERROR(AGGREGATE(15,6,ROW('Input Transaksi'!$B$5:$B$5000)/('Input Transaksi'!$B$5:$B$5000="JCL BYPASS"),ROWS($E$5:E321)),"")</f>
        <v/>
      </c>
      <c r="F321" s="5" t="n"/>
    </row>
    <row r="322">
      <c r="A322" s="10">
        <f>IF($E322="","",INDEX('Input Transaksi'!$A:$A,$E322))</f>
        <v/>
      </c>
      <c r="B322" s="5">
        <f>IF($E322="","",INDEX('Input Transaksi'!$D:$D,$E322))</f>
        <v/>
      </c>
      <c r="C322">
        <f>IF($E322="","",INDEX('Input Transaksi'!$E:$E,$E322))</f>
        <v/>
      </c>
      <c r="D322" s="5">
        <f>IF($E322="","",INDEX('Input Transaksi'!$F:$F,$E322))</f>
        <v/>
      </c>
      <c r="E322">
        <f>IFERROR(AGGREGATE(15,6,ROW('Input Transaksi'!$B$5:$B$5000)/('Input Transaksi'!$B$5:$B$5000="JCL BYPASS"),ROWS($E$5:E322)),"")</f>
        <v/>
      </c>
      <c r="F322" s="5" t="n"/>
    </row>
    <row r="323">
      <c r="A323" s="10">
        <f>IF($E323="","",INDEX('Input Transaksi'!$A:$A,$E323))</f>
        <v/>
      </c>
      <c r="B323" s="5">
        <f>IF($E323="","",INDEX('Input Transaksi'!$D:$D,$E323))</f>
        <v/>
      </c>
      <c r="C323">
        <f>IF($E323="","",INDEX('Input Transaksi'!$E:$E,$E323))</f>
        <v/>
      </c>
      <c r="D323" s="5">
        <f>IF($E323="","",INDEX('Input Transaksi'!$F:$F,$E323))</f>
        <v/>
      </c>
      <c r="E323">
        <f>IFERROR(AGGREGATE(15,6,ROW('Input Transaksi'!$B$5:$B$5000)/('Input Transaksi'!$B$5:$B$5000="JCL BYPASS"),ROWS($E$5:E323)),"")</f>
        <v/>
      </c>
      <c r="F323" s="5" t="n"/>
    </row>
    <row r="324">
      <c r="A324" s="10">
        <f>IF($E324="","",INDEX('Input Transaksi'!$A:$A,$E324))</f>
        <v/>
      </c>
      <c r="B324" s="5">
        <f>IF($E324="","",INDEX('Input Transaksi'!$D:$D,$E324))</f>
        <v/>
      </c>
      <c r="C324">
        <f>IF($E324="","",INDEX('Input Transaksi'!$E:$E,$E324))</f>
        <v/>
      </c>
      <c r="D324" s="5">
        <f>IF($E324="","",INDEX('Input Transaksi'!$F:$F,$E324))</f>
        <v/>
      </c>
      <c r="E324">
        <f>IFERROR(AGGREGATE(15,6,ROW('Input Transaksi'!$B$5:$B$5000)/('Input Transaksi'!$B$5:$B$5000="JCL BYPASS"),ROWS($E$5:E324)),"")</f>
        <v/>
      </c>
      <c r="F324" s="5" t="n"/>
    </row>
    <row r="325">
      <c r="A325" s="10">
        <f>IF($E325="","",INDEX('Input Transaksi'!$A:$A,$E325))</f>
        <v/>
      </c>
      <c r="B325" s="5">
        <f>IF($E325="","",INDEX('Input Transaksi'!$D:$D,$E325))</f>
        <v/>
      </c>
      <c r="C325">
        <f>IF($E325="","",INDEX('Input Transaksi'!$E:$E,$E325))</f>
        <v/>
      </c>
      <c r="D325" s="5">
        <f>IF($E325="","",INDEX('Input Transaksi'!$F:$F,$E325))</f>
        <v/>
      </c>
      <c r="E325">
        <f>IFERROR(AGGREGATE(15,6,ROW('Input Transaksi'!$B$5:$B$5000)/('Input Transaksi'!$B$5:$B$5000="JCL BYPASS"),ROWS($E$5:E325)),"")</f>
        <v/>
      </c>
      <c r="F325" s="5" t="n"/>
    </row>
    <row r="326">
      <c r="A326" s="10">
        <f>IF($E326="","",INDEX('Input Transaksi'!$A:$A,$E326))</f>
        <v/>
      </c>
      <c r="B326" s="5">
        <f>IF($E326="","",INDEX('Input Transaksi'!$D:$D,$E326))</f>
        <v/>
      </c>
      <c r="C326">
        <f>IF($E326="","",INDEX('Input Transaksi'!$E:$E,$E326))</f>
        <v/>
      </c>
      <c r="D326" s="5">
        <f>IF($E326="","",INDEX('Input Transaksi'!$F:$F,$E326))</f>
        <v/>
      </c>
      <c r="E326">
        <f>IFERROR(AGGREGATE(15,6,ROW('Input Transaksi'!$B$5:$B$5000)/('Input Transaksi'!$B$5:$B$5000="JCL BYPASS"),ROWS($E$5:E326)),"")</f>
        <v/>
      </c>
      <c r="F326" s="5" t="n"/>
    </row>
    <row r="327">
      <c r="A327" s="10">
        <f>IF($E327="","",INDEX('Input Transaksi'!$A:$A,$E327))</f>
        <v/>
      </c>
      <c r="B327" s="5">
        <f>IF($E327="","",INDEX('Input Transaksi'!$D:$D,$E327))</f>
        <v/>
      </c>
      <c r="C327">
        <f>IF($E327="","",INDEX('Input Transaksi'!$E:$E,$E327))</f>
        <v/>
      </c>
      <c r="D327" s="5">
        <f>IF($E327="","",INDEX('Input Transaksi'!$F:$F,$E327))</f>
        <v/>
      </c>
      <c r="E327">
        <f>IFERROR(AGGREGATE(15,6,ROW('Input Transaksi'!$B$5:$B$5000)/('Input Transaksi'!$B$5:$B$5000="JCL BYPASS"),ROWS($E$5:E327)),"")</f>
        <v/>
      </c>
      <c r="F327" s="5" t="n"/>
    </row>
    <row r="328">
      <c r="A328" s="10">
        <f>IF($E328="","",INDEX('Input Transaksi'!$A:$A,$E328))</f>
        <v/>
      </c>
      <c r="B328" s="5">
        <f>IF($E328="","",INDEX('Input Transaksi'!$D:$D,$E328))</f>
        <v/>
      </c>
      <c r="C328">
        <f>IF($E328="","",INDEX('Input Transaksi'!$E:$E,$E328))</f>
        <v/>
      </c>
      <c r="D328" s="5">
        <f>IF($E328="","",INDEX('Input Transaksi'!$F:$F,$E328))</f>
        <v/>
      </c>
      <c r="E328">
        <f>IFERROR(AGGREGATE(15,6,ROW('Input Transaksi'!$B$5:$B$5000)/('Input Transaksi'!$B$5:$B$5000="JCL BYPASS"),ROWS($E$5:E328)),"")</f>
        <v/>
      </c>
      <c r="F328" s="5" t="n"/>
    </row>
    <row r="329">
      <c r="A329" s="10">
        <f>IF($E329="","",INDEX('Input Transaksi'!$A:$A,$E329))</f>
        <v/>
      </c>
      <c r="B329" s="5">
        <f>IF($E329="","",INDEX('Input Transaksi'!$D:$D,$E329))</f>
        <v/>
      </c>
      <c r="C329">
        <f>IF($E329="","",INDEX('Input Transaksi'!$E:$E,$E329))</f>
        <v/>
      </c>
      <c r="D329" s="5">
        <f>IF($E329="","",INDEX('Input Transaksi'!$F:$F,$E329))</f>
        <v/>
      </c>
      <c r="E329">
        <f>IFERROR(AGGREGATE(15,6,ROW('Input Transaksi'!$B$5:$B$5000)/('Input Transaksi'!$B$5:$B$5000="JCL BYPASS"),ROWS($E$5:E329)),"")</f>
        <v/>
      </c>
      <c r="F329" s="5" t="n"/>
    </row>
    <row r="330">
      <c r="A330" s="10">
        <f>IF($E330="","",INDEX('Input Transaksi'!$A:$A,$E330))</f>
        <v/>
      </c>
      <c r="B330" s="5">
        <f>IF($E330="","",INDEX('Input Transaksi'!$D:$D,$E330))</f>
        <v/>
      </c>
      <c r="C330">
        <f>IF($E330="","",INDEX('Input Transaksi'!$E:$E,$E330))</f>
        <v/>
      </c>
      <c r="D330" s="5">
        <f>IF($E330="","",INDEX('Input Transaksi'!$F:$F,$E330))</f>
        <v/>
      </c>
      <c r="E330">
        <f>IFERROR(AGGREGATE(15,6,ROW('Input Transaksi'!$B$5:$B$5000)/('Input Transaksi'!$B$5:$B$5000="JCL BYPASS"),ROWS($E$5:E330)),"")</f>
        <v/>
      </c>
      <c r="F330" s="5" t="n"/>
    </row>
    <row r="331">
      <c r="A331" s="10">
        <f>IF($E331="","",INDEX('Input Transaksi'!$A:$A,$E331))</f>
        <v/>
      </c>
      <c r="B331" s="5">
        <f>IF($E331="","",INDEX('Input Transaksi'!$D:$D,$E331))</f>
        <v/>
      </c>
      <c r="C331">
        <f>IF($E331="","",INDEX('Input Transaksi'!$E:$E,$E331))</f>
        <v/>
      </c>
      <c r="D331" s="5">
        <f>IF($E331="","",INDEX('Input Transaksi'!$F:$F,$E331))</f>
        <v/>
      </c>
      <c r="E331">
        <f>IFERROR(AGGREGATE(15,6,ROW('Input Transaksi'!$B$5:$B$5000)/('Input Transaksi'!$B$5:$B$5000="JCL BYPASS"),ROWS($E$5:E331)),"")</f>
        <v/>
      </c>
      <c r="F331" s="5" t="n"/>
    </row>
    <row r="332">
      <c r="A332" s="10">
        <f>IF($E332="","",INDEX('Input Transaksi'!$A:$A,$E332))</f>
        <v/>
      </c>
      <c r="B332" s="5">
        <f>IF($E332="","",INDEX('Input Transaksi'!$D:$D,$E332))</f>
        <v/>
      </c>
      <c r="C332">
        <f>IF($E332="","",INDEX('Input Transaksi'!$E:$E,$E332))</f>
        <v/>
      </c>
      <c r="D332" s="5">
        <f>IF($E332="","",INDEX('Input Transaksi'!$F:$F,$E332))</f>
        <v/>
      </c>
      <c r="E332">
        <f>IFERROR(AGGREGATE(15,6,ROW('Input Transaksi'!$B$5:$B$5000)/('Input Transaksi'!$B$5:$B$5000="JCL BYPASS"),ROWS($E$5:E332)),"")</f>
        <v/>
      </c>
      <c r="F332" s="5" t="n"/>
    </row>
    <row r="333">
      <c r="A333" s="10">
        <f>IF($E333="","",INDEX('Input Transaksi'!$A:$A,$E333))</f>
        <v/>
      </c>
      <c r="B333" s="5">
        <f>IF($E333="","",INDEX('Input Transaksi'!$D:$D,$E333))</f>
        <v/>
      </c>
      <c r="C333">
        <f>IF($E333="","",INDEX('Input Transaksi'!$E:$E,$E333))</f>
        <v/>
      </c>
      <c r="D333" s="5">
        <f>IF($E333="","",INDEX('Input Transaksi'!$F:$F,$E333))</f>
        <v/>
      </c>
      <c r="E333">
        <f>IFERROR(AGGREGATE(15,6,ROW('Input Transaksi'!$B$5:$B$5000)/('Input Transaksi'!$B$5:$B$5000="JCL BYPASS"),ROWS($E$5:E333)),"")</f>
        <v/>
      </c>
      <c r="F333" s="5" t="n"/>
    </row>
    <row r="334">
      <c r="A334" s="10">
        <f>IF($E334="","",INDEX('Input Transaksi'!$A:$A,$E334))</f>
        <v/>
      </c>
      <c r="B334" s="5">
        <f>IF($E334="","",INDEX('Input Transaksi'!$D:$D,$E334))</f>
        <v/>
      </c>
      <c r="C334">
        <f>IF($E334="","",INDEX('Input Transaksi'!$E:$E,$E334))</f>
        <v/>
      </c>
      <c r="D334" s="5">
        <f>IF($E334="","",INDEX('Input Transaksi'!$F:$F,$E334))</f>
        <v/>
      </c>
      <c r="E334">
        <f>IFERROR(AGGREGATE(15,6,ROW('Input Transaksi'!$B$5:$B$5000)/('Input Transaksi'!$B$5:$B$5000="JCL BYPASS"),ROWS($E$5:E334)),"")</f>
        <v/>
      </c>
      <c r="F334" s="5" t="n"/>
    </row>
    <row r="335">
      <c r="A335" s="10">
        <f>IF($E335="","",INDEX('Input Transaksi'!$A:$A,$E335))</f>
        <v/>
      </c>
      <c r="B335" s="5">
        <f>IF($E335="","",INDEX('Input Transaksi'!$D:$D,$E335))</f>
        <v/>
      </c>
      <c r="C335">
        <f>IF($E335="","",INDEX('Input Transaksi'!$E:$E,$E335))</f>
        <v/>
      </c>
      <c r="D335" s="5">
        <f>IF($E335="","",INDEX('Input Transaksi'!$F:$F,$E335))</f>
        <v/>
      </c>
      <c r="E335">
        <f>IFERROR(AGGREGATE(15,6,ROW('Input Transaksi'!$B$5:$B$5000)/('Input Transaksi'!$B$5:$B$5000="JCL BYPASS"),ROWS($E$5:E335)),"")</f>
        <v/>
      </c>
      <c r="F335" s="5" t="n"/>
    </row>
    <row r="336">
      <c r="A336" s="10">
        <f>IF($E336="","",INDEX('Input Transaksi'!$A:$A,$E336))</f>
        <v/>
      </c>
      <c r="B336" s="5">
        <f>IF($E336="","",INDEX('Input Transaksi'!$D:$D,$E336))</f>
        <v/>
      </c>
      <c r="C336">
        <f>IF($E336="","",INDEX('Input Transaksi'!$E:$E,$E336))</f>
        <v/>
      </c>
      <c r="D336" s="5">
        <f>IF($E336="","",INDEX('Input Transaksi'!$F:$F,$E336))</f>
        <v/>
      </c>
      <c r="E336">
        <f>IFERROR(AGGREGATE(15,6,ROW('Input Transaksi'!$B$5:$B$5000)/('Input Transaksi'!$B$5:$B$5000="JCL BYPASS"),ROWS($E$5:E336)),"")</f>
        <v/>
      </c>
      <c r="F336" s="5" t="n"/>
    </row>
    <row r="337">
      <c r="A337" s="10">
        <f>IF($E337="","",INDEX('Input Transaksi'!$A:$A,$E337))</f>
        <v/>
      </c>
      <c r="B337" s="5">
        <f>IF($E337="","",INDEX('Input Transaksi'!$D:$D,$E337))</f>
        <v/>
      </c>
      <c r="C337">
        <f>IF($E337="","",INDEX('Input Transaksi'!$E:$E,$E337))</f>
        <v/>
      </c>
      <c r="D337" s="5">
        <f>IF($E337="","",INDEX('Input Transaksi'!$F:$F,$E337))</f>
        <v/>
      </c>
      <c r="E337">
        <f>IFERROR(AGGREGATE(15,6,ROW('Input Transaksi'!$B$5:$B$5000)/('Input Transaksi'!$B$5:$B$5000="JCL BYPASS"),ROWS($E$5:E337)),"")</f>
        <v/>
      </c>
      <c r="F337" s="5" t="n"/>
    </row>
    <row r="338">
      <c r="A338" s="10">
        <f>IF($E338="","",INDEX('Input Transaksi'!$A:$A,$E338))</f>
        <v/>
      </c>
      <c r="B338" s="5">
        <f>IF($E338="","",INDEX('Input Transaksi'!$D:$D,$E338))</f>
        <v/>
      </c>
      <c r="C338">
        <f>IF($E338="","",INDEX('Input Transaksi'!$E:$E,$E338))</f>
        <v/>
      </c>
      <c r="D338" s="5">
        <f>IF($E338="","",INDEX('Input Transaksi'!$F:$F,$E338))</f>
        <v/>
      </c>
      <c r="E338">
        <f>IFERROR(AGGREGATE(15,6,ROW('Input Transaksi'!$B$5:$B$5000)/('Input Transaksi'!$B$5:$B$5000="JCL BYPASS"),ROWS($E$5:E338)),"")</f>
        <v/>
      </c>
      <c r="F338" s="5" t="n"/>
    </row>
    <row r="339">
      <c r="A339" s="10">
        <f>IF($E339="","",INDEX('Input Transaksi'!$A:$A,$E339))</f>
        <v/>
      </c>
      <c r="B339" s="5">
        <f>IF($E339="","",INDEX('Input Transaksi'!$D:$D,$E339))</f>
        <v/>
      </c>
      <c r="C339">
        <f>IF($E339="","",INDEX('Input Transaksi'!$E:$E,$E339))</f>
        <v/>
      </c>
      <c r="D339" s="5">
        <f>IF($E339="","",INDEX('Input Transaksi'!$F:$F,$E339))</f>
        <v/>
      </c>
      <c r="E339">
        <f>IFERROR(AGGREGATE(15,6,ROW('Input Transaksi'!$B$5:$B$5000)/('Input Transaksi'!$B$5:$B$5000="JCL BYPASS"),ROWS($E$5:E339)),"")</f>
        <v/>
      </c>
      <c r="F339" s="5" t="n"/>
    </row>
    <row r="340">
      <c r="A340" s="10">
        <f>IF($E340="","",INDEX('Input Transaksi'!$A:$A,$E340))</f>
        <v/>
      </c>
      <c r="B340" s="5">
        <f>IF($E340="","",INDEX('Input Transaksi'!$D:$D,$E340))</f>
        <v/>
      </c>
      <c r="C340">
        <f>IF($E340="","",INDEX('Input Transaksi'!$E:$E,$E340))</f>
        <v/>
      </c>
      <c r="D340" s="5">
        <f>IF($E340="","",INDEX('Input Transaksi'!$F:$F,$E340))</f>
        <v/>
      </c>
      <c r="E340">
        <f>IFERROR(AGGREGATE(15,6,ROW('Input Transaksi'!$B$5:$B$5000)/('Input Transaksi'!$B$5:$B$5000="JCL BYPASS"),ROWS($E$5:E340)),"")</f>
        <v/>
      </c>
      <c r="F340" s="5" t="n"/>
    </row>
    <row r="341">
      <c r="A341" s="10">
        <f>IF($E341="","",INDEX('Input Transaksi'!$A:$A,$E341))</f>
        <v/>
      </c>
      <c r="B341" s="5">
        <f>IF($E341="","",INDEX('Input Transaksi'!$D:$D,$E341))</f>
        <v/>
      </c>
      <c r="C341">
        <f>IF($E341="","",INDEX('Input Transaksi'!$E:$E,$E341))</f>
        <v/>
      </c>
      <c r="D341" s="5">
        <f>IF($E341="","",INDEX('Input Transaksi'!$F:$F,$E341))</f>
        <v/>
      </c>
      <c r="E341">
        <f>IFERROR(AGGREGATE(15,6,ROW('Input Transaksi'!$B$5:$B$5000)/('Input Transaksi'!$B$5:$B$5000="JCL BYPASS"),ROWS($E$5:E341)),"")</f>
        <v/>
      </c>
      <c r="F341" s="5" t="n"/>
    </row>
    <row r="342">
      <c r="A342" s="10">
        <f>IF($E342="","",INDEX('Input Transaksi'!$A:$A,$E342))</f>
        <v/>
      </c>
      <c r="B342" s="5">
        <f>IF($E342="","",INDEX('Input Transaksi'!$D:$D,$E342))</f>
        <v/>
      </c>
      <c r="C342">
        <f>IF($E342="","",INDEX('Input Transaksi'!$E:$E,$E342))</f>
        <v/>
      </c>
      <c r="D342" s="5">
        <f>IF($E342="","",INDEX('Input Transaksi'!$F:$F,$E342))</f>
        <v/>
      </c>
      <c r="E342">
        <f>IFERROR(AGGREGATE(15,6,ROW('Input Transaksi'!$B$5:$B$5000)/('Input Transaksi'!$B$5:$B$5000="JCL BYPASS"),ROWS($E$5:E342)),"")</f>
        <v/>
      </c>
      <c r="F342" s="5" t="n"/>
    </row>
    <row r="343">
      <c r="A343" s="10">
        <f>IF($E343="","",INDEX('Input Transaksi'!$A:$A,$E343))</f>
        <v/>
      </c>
      <c r="B343" s="5">
        <f>IF($E343="","",INDEX('Input Transaksi'!$D:$D,$E343))</f>
        <v/>
      </c>
      <c r="C343">
        <f>IF($E343="","",INDEX('Input Transaksi'!$E:$E,$E343))</f>
        <v/>
      </c>
      <c r="D343" s="5">
        <f>IF($E343="","",INDEX('Input Transaksi'!$F:$F,$E343))</f>
        <v/>
      </c>
      <c r="E343">
        <f>IFERROR(AGGREGATE(15,6,ROW('Input Transaksi'!$B$5:$B$5000)/('Input Transaksi'!$B$5:$B$5000="JCL BYPASS"),ROWS($E$5:E343)),"")</f>
        <v/>
      </c>
      <c r="F343" s="5" t="n"/>
    </row>
    <row r="344">
      <c r="A344" s="10">
        <f>IF($E344="","",INDEX('Input Transaksi'!$A:$A,$E344))</f>
        <v/>
      </c>
      <c r="B344" s="5">
        <f>IF($E344="","",INDEX('Input Transaksi'!$D:$D,$E344))</f>
        <v/>
      </c>
      <c r="C344">
        <f>IF($E344="","",INDEX('Input Transaksi'!$E:$E,$E344))</f>
        <v/>
      </c>
      <c r="D344" s="5">
        <f>IF($E344="","",INDEX('Input Transaksi'!$F:$F,$E344))</f>
        <v/>
      </c>
      <c r="E344">
        <f>IFERROR(AGGREGATE(15,6,ROW('Input Transaksi'!$B$5:$B$5000)/('Input Transaksi'!$B$5:$B$5000="JCL BYPASS"),ROWS($E$5:E344)),"")</f>
        <v/>
      </c>
      <c r="F344" s="5" t="n"/>
    </row>
    <row r="345">
      <c r="A345" s="10">
        <f>IF($E345="","",INDEX('Input Transaksi'!$A:$A,$E345))</f>
        <v/>
      </c>
      <c r="B345" s="5">
        <f>IF($E345="","",INDEX('Input Transaksi'!$D:$D,$E345))</f>
        <v/>
      </c>
      <c r="C345">
        <f>IF($E345="","",INDEX('Input Transaksi'!$E:$E,$E345))</f>
        <v/>
      </c>
      <c r="D345" s="5">
        <f>IF($E345="","",INDEX('Input Transaksi'!$F:$F,$E345))</f>
        <v/>
      </c>
      <c r="E345">
        <f>IFERROR(AGGREGATE(15,6,ROW('Input Transaksi'!$B$5:$B$5000)/('Input Transaksi'!$B$5:$B$5000="JCL BYPASS"),ROWS($E$5:E345)),"")</f>
        <v/>
      </c>
      <c r="F345" s="5" t="n"/>
    </row>
    <row r="346">
      <c r="A346" s="10">
        <f>IF($E346="","",INDEX('Input Transaksi'!$A:$A,$E346))</f>
        <v/>
      </c>
      <c r="B346" s="5">
        <f>IF($E346="","",INDEX('Input Transaksi'!$D:$D,$E346))</f>
        <v/>
      </c>
      <c r="C346">
        <f>IF($E346="","",INDEX('Input Transaksi'!$E:$E,$E346))</f>
        <v/>
      </c>
      <c r="D346" s="5">
        <f>IF($E346="","",INDEX('Input Transaksi'!$F:$F,$E346))</f>
        <v/>
      </c>
      <c r="E346">
        <f>IFERROR(AGGREGATE(15,6,ROW('Input Transaksi'!$B$5:$B$5000)/('Input Transaksi'!$B$5:$B$5000="JCL BYPASS"),ROWS($E$5:E346)),"")</f>
        <v/>
      </c>
      <c r="F346" s="5" t="n"/>
    </row>
    <row r="347">
      <c r="A347" s="10">
        <f>IF($E347="","",INDEX('Input Transaksi'!$A:$A,$E347))</f>
        <v/>
      </c>
      <c r="B347" s="5">
        <f>IF($E347="","",INDEX('Input Transaksi'!$D:$D,$E347))</f>
        <v/>
      </c>
      <c r="C347">
        <f>IF($E347="","",INDEX('Input Transaksi'!$E:$E,$E347))</f>
        <v/>
      </c>
      <c r="D347" s="5">
        <f>IF($E347="","",INDEX('Input Transaksi'!$F:$F,$E347))</f>
        <v/>
      </c>
      <c r="E347">
        <f>IFERROR(AGGREGATE(15,6,ROW('Input Transaksi'!$B$5:$B$5000)/('Input Transaksi'!$B$5:$B$5000="JCL BYPASS"),ROWS($E$5:E347)),"")</f>
        <v/>
      </c>
      <c r="F347" s="5" t="n"/>
    </row>
    <row r="348">
      <c r="A348" s="10">
        <f>IF($E348="","",INDEX('Input Transaksi'!$A:$A,$E348))</f>
        <v/>
      </c>
      <c r="B348" s="5">
        <f>IF($E348="","",INDEX('Input Transaksi'!$D:$D,$E348))</f>
        <v/>
      </c>
      <c r="C348">
        <f>IF($E348="","",INDEX('Input Transaksi'!$E:$E,$E348))</f>
        <v/>
      </c>
      <c r="D348" s="5">
        <f>IF($E348="","",INDEX('Input Transaksi'!$F:$F,$E348))</f>
        <v/>
      </c>
      <c r="E348">
        <f>IFERROR(AGGREGATE(15,6,ROW('Input Transaksi'!$B$5:$B$5000)/('Input Transaksi'!$B$5:$B$5000="JCL BYPASS"),ROWS($E$5:E348)),"")</f>
        <v/>
      </c>
      <c r="F348" s="5" t="n"/>
    </row>
    <row r="349">
      <c r="A349" s="10">
        <f>IF($E349="","",INDEX('Input Transaksi'!$A:$A,$E349))</f>
        <v/>
      </c>
      <c r="B349" s="5">
        <f>IF($E349="","",INDEX('Input Transaksi'!$D:$D,$E349))</f>
        <v/>
      </c>
      <c r="C349">
        <f>IF($E349="","",INDEX('Input Transaksi'!$E:$E,$E349))</f>
        <v/>
      </c>
      <c r="D349" s="5">
        <f>IF($E349="","",INDEX('Input Transaksi'!$F:$F,$E349))</f>
        <v/>
      </c>
      <c r="E349">
        <f>IFERROR(AGGREGATE(15,6,ROW('Input Transaksi'!$B$5:$B$5000)/('Input Transaksi'!$B$5:$B$5000="JCL BYPASS"),ROWS($E$5:E349)),"")</f>
        <v/>
      </c>
      <c r="F349" s="5" t="n"/>
    </row>
    <row r="350">
      <c r="A350" s="10">
        <f>IF($E350="","",INDEX('Input Transaksi'!$A:$A,$E350))</f>
        <v/>
      </c>
      <c r="B350" s="5">
        <f>IF($E350="","",INDEX('Input Transaksi'!$D:$D,$E350))</f>
        <v/>
      </c>
      <c r="C350">
        <f>IF($E350="","",INDEX('Input Transaksi'!$E:$E,$E350))</f>
        <v/>
      </c>
      <c r="D350" s="5">
        <f>IF($E350="","",INDEX('Input Transaksi'!$F:$F,$E350))</f>
        <v/>
      </c>
      <c r="E350">
        <f>IFERROR(AGGREGATE(15,6,ROW('Input Transaksi'!$B$5:$B$5000)/('Input Transaksi'!$B$5:$B$5000="JCL BYPASS"),ROWS($E$5:E350)),"")</f>
        <v/>
      </c>
      <c r="F350" s="5" t="n"/>
    </row>
    <row r="351">
      <c r="A351" s="10">
        <f>IF($E351="","",INDEX('Input Transaksi'!$A:$A,$E351))</f>
        <v/>
      </c>
      <c r="B351" s="5">
        <f>IF($E351="","",INDEX('Input Transaksi'!$D:$D,$E351))</f>
        <v/>
      </c>
      <c r="C351">
        <f>IF($E351="","",INDEX('Input Transaksi'!$E:$E,$E351))</f>
        <v/>
      </c>
      <c r="D351" s="5">
        <f>IF($E351="","",INDEX('Input Transaksi'!$F:$F,$E351))</f>
        <v/>
      </c>
      <c r="E351">
        <f>IFERROR(AGGREGATE(15,6,ROW('Input Transaksi'!$B$5:$B$5000)/('Input Transaksi'!$B$5:$B$5000="JCL BYPASS"),ROWS($E$5:E351)),"")</f>
        <v/>
      </c>
      <c r="F351" s="5" t="n"/>
    </row>
    <row r="352">
      <c r="A352" s="10">
        <f>IF($E352="","",INDEX('Input Transaksi'!$A:$A,$E352))</f>
        <v/>
      </c>
      <c r="B352" s="5">
        <f>IF($E352="","",INDEX('Input Transaksi'!$D:$D,$E352))</f>
        <v/>
      </c>
      <c r="C352">
        <f>IF($E352="","",INDEX('Input Transaksi'!$E:$E,$E352))</f>
        <v/>
      </c>
      <c r="D352" s="5">
        <f>IF($E352="","",INDEX('Input Transaksi'!$F:$F,$E352))</f>
        <v/>
      </c>
      <c r="E352">
        <f>IFERROR(AGGREGATE(15,6,ROW('Input Transaksi'!$B$5:$B$5000)/('Input Transaksi'!$B$5:$B$5000="JCL BYPASS"),ROWS($E$5:E352)),"")</f>
        <v/>
      </c>
      <c r="F352" s="5" t="n"/>
    </row>
    <row r="353">
      <c r="A353" s="10">
        <f>IF($E353="","",INDEX('Input Transaksi'!$A:$A,$E353))</f>
        <v/>
      </c>
      <c r="B353" s="5">
        <f>IF($E353="","",INDEX('Input Transaksi'!$D:$D,$E353))</f>
        <v/>
      </c>
      <c r="C353">
        <f>IF($E353="","",INDEX('Input Transaksi'!$E:$E,$E353))</f>
        <v/>
      </c>
      <c r="D353" s="5">
        <f>IF($E353="","",INDEX('Input Transaksi'!$F:$F,$E353))</f>
        <v/>
      </c>
      <c r="E353">
        <f>IFERROR(AGGREGATE(15,6,ROW('Input Transaksi'!$B$5:$B$5000)/('Input Transaksi'!$B$5:$B$5000="JCL BYPASS"),ROWS($E$5:E353)),"")</f>
        <v/>
      </c>
      <c r="F353" s="5" t="n"/>
    </row>
    <row r="354">
      <c r="A354" s="10">
        <f>IF($E354="","",INDEX('Input Transaksi'!$A:$A,$E354))</f>
        <v/>
      </c>
      <c r="B354" s="5">
        <f>IF($E354="","",INDEX('Input Transaksi'!$D:$D,$E354))</f>
        <v/>
      </c>
      <c r="C354">
        <f>IF($E354="","",INDEX('Input Transaksi'!$E:$E,$E354))</f>
        <v/>
      </c>
      <c r="D354" s="5">
        <f>IF($E354="","",INDEX('Input Transaksi'!$F:$F,$E354))</f>
        <v/>
      </c>
      <c r="E354">
        <f>IFERROR(AGGREGATE(15,6,ROW('Input Transaksi'!$B$5:$B$5000)/('Input Transaksi'!$B$5:$B$5000="JCL BYPASS"),ROWS($E$5:E354)),"")</f>
        <v/>
      </c>
      <c r="F354" s="5" t="n"/>
    </row>
    <row r="355">
      <c r="A355" s="10">
        <f>IF($E355="","",INDEX('Input Transaksi'!$A:$A,$E355))</f>
        <v/>
      </c>
      <c r="B355" s="5">
        <f>IF($E355="","",INDEX('Input Transaksi'!$D:$D,$E355))</f>
        <v/>
      </c>
      <c r="C355">
        <f>IF($E355="","",INDEX('Input Transaksi'!$E:$E,$E355))</f>
        <v/>
      </c>
      <c r="D355" s="5">
        <f>IF($E355="","",INDEX('Input Transaksi'!$F:$F,$E355))</f>
        <v/>
      </c>
      <c r="E355">
        <f>IFERROR(AGGREGATE(15,6,ROW('Input Transaksi'!$B$5:$B$5000)/('Input Transaksi'!$B$5:$B$5000="JCL BYPASS"),ROWS($E$5:E355)),"")</f>
        <v/>
      </c>
      <c r="F355" s="5" t="n"/>
    </row>
    <row r="356">
      <c r="A356" s="10">
        <f>IF($E356="","",INDEX('Input Transaksi'!$A:$A,$E356))</f>
        <v/>
      </c>
      <c r="B356" s="5">
        <f>IF($E356="","",INDEX('Input Transaksi'!$D:$D,$E356))</f>
        <v/>
      </c>
      <c r="C356">
        <f>IF($E356="","",INDEX('Input Transaksi'!$E:$E,$E356))</f>
        <v/>
      </c>
      <c r="D356" s="5">
        <f>IF($E356="","",INDEX('Input Transaksi'!$F:$F,$E356))</f>
        <v/>
      </c>
      <c r="E356">
        <f>IFERROR(AGGREGATE(15,6,ROW('Input Transaksi'!$B$5:$B$5000)/('Input Transaksi'!$B$5:$B$5000="JCL BYPASS"),ROWS($E$5:E356)),"")</f>
        <v/>
      </c>
      <c r="F356" s="5" t="n"/>
    </row>
    <row r="357">
      <c r="A357" s="10">
        <f>IF($E357="","",INDEX('Input Transaksi'!$A:$A,$E357))</f>
        <v/>
      </c>
      <c r="B357" s="5">
        <f>IF($E357="","",INDEX('Input Transaksi'!$D:$D,$E357))</f>
        <v/>
      </c>
      <c r="C357">
        <f>IF($E357="","",INDEX('Input Transaksi'!$E:$E,$E357))</f>
        <v/>
      </c>
      <c r="D357" s="5">
        <f>IF($E357="","",INDEX('Input Transaksi'!$F:$F,$E357))</f>
        <v/>
      </c>
      <c r="E357">
        <f>IFERROR(AGGREGATE(15,6,ROW('Input Transaksi'!$B$5:$B$5000)/('Input Transaksi'!$B$5:$B$5000="JCL BYPASS"),ROWS($E$5:E357)),"")</f>
        <v/>
      </c>
      <c r="F357" s="5" t="n"/>
    </row>
    <row r="358">
      <c r="A358" s="10">
        <f>IF($E358="","",INDEX('Input Transaksi'!$A:$A,$E358))</f>
        <v/>
      </c>
      <c r="B358" s="5">
        <f>IF($E358="","",INDEX('Input Transaksi'!$D:$D,$E358))</f>
        <v/>
      </c>
      <c r="C358">
        <f>IF($E358="","",INDEX('Input Transaksi'!$E:$E,$E358))</f>
        <v/>
      </c>
      <c r="D358" s="5">
        <f>IF($E358="","",INDEX('Input Transaksi'!$F:$F,$E358))</f>
        <v/>
      </c>
      <c r="E358">
        <f>IFERROR(AGGREGATE(15,6,ROW('Input Transaksi'!$B$5:$B$5000)/('Input Transaksi'!$B$5:$B$5000="JCL BYPASS"),ROWS($E$5:E358)),"")</f>
        <v/>
      </c>
      <c r="F358" s="5" t="n"/>
    </row>
    <row r="359">
      <c r="A359" s="10">
        <f>IF($E359="","",INDEX('Input Transaksi'!$A:$A,$E359))</f>
        <v/>
      </c>
      <c r="B359" s="5">
        <f>IF($E359="","",INDEX('Input Transaksi'!$D:$D,$E359))</f>
        <v/>
      </c>
      <c r="C359">
        <f>IF($E359="","",INDEX('Input Transaksi'!$E:$E,$E359))</f>
        <v/>
      </c>
      <c r="D359" s="5">
        <f>IF($E359="","",INDEX('Input Transaksi'!$F:$F,$E359))</f>
        <v/>
      </c>
      <c r="E359">
        <f>IFERROR(AGGREGATE(15,6,ROW('Input Transaksi'!$B$5:$B$5000)/('Input Transaksi'!$B$5:$B$5000="JCL BYPASS"),ROWS($E$5:E359)),"")</f>
        <v/>
      </c>
      <c r="F359" s="5" t="n"/>
    </row>
    <row r="360">
      <c r="A360" s="10">
        <f>IF($E360="","",INDEX('Input Transaksi'!$A:$A,$E360))</f>
        <v/>
      </c>
      <c r="B360" s="5">
        <f>IF($E360="","",INDEX('Input Transaksi'!$D:$D,$E360))</f>
        <v/>
      </c>
      <c r="C360">
        <f>IF($E360="","",INDEX('Input Transaksi'!$E:$E,$E360))</f>
        <v/>
      </c>
      <c r="D360" s="5">
        <f>IF($E360="","",INDEX('Input Transaksi'!$F:$F,$E360))</f>
        <v/>
      </c>
      <c r="E360">
        <f>IFERROR(AGGREGATE(15,6,ROW('Input Transaksi'!$B$5:$B$5000)/('Input Transaksi'!$B$5:$B$5000="JCL BYPASS"),ROWS($E$5:E360)),"")</f>
        <v/>
      </c>
      <c r="F360" s="5" t="n"/>
    </row>
    <row r="361">
      <c r="A361" s="10">
        <f>IF($E361="","",INDEX('Input Transaksi'!$A:$A,$E361))</f>
        <v/>
      </c>
      <c r="B361" s="5">
        <f>IF($E361="","",INDEX('Input Transaksi'!$D:$D,$E361))</f>
        <v/>
      </c>
      <c r="C361">
        <f>IF($E361="","",INDEX('Input Transaksi'!$E:$E,$E361))</f>
        <v/>
      </c>
      <c r="D361" s="5">
        <f>IF($E361="","",INDEX('Input Transaksi'!$F:$F,$E361))</f>
        <v/>
      </c>
      <c r="E361">
        <f>IFERROR(AGGREGATE(15,6,ROW('Input Transaksi'!$B$5:$B$5000)/('Input Transaksi'!$B$5:$B$5000="JCL BYPASS"),ROWS($E$5:E361)),"")</f>
        <v/>
      </c>
      <c r="F361" s="5" t="n"/>
    </row>
    <row r="362">
      <c r="A362" s="10">
        <f>IF($E362="","",INDEX('Input Transaksi'!$A:$A,$E362))</f>
        <v/>
      </c>
      <c r="B362" s="5">
        <f>IF($E362="","",INDEX('Input Transaksi'!$D:$D,$E362))</f>
        <v/>
      </c>
      <c r="C362">
        <f>IF($E362="","",INDEX('Input Transaksi'!$E:$E,$E362))</f>
        <v/>
      </c>
      <c r="D362" s="5">
        <f>IF($E362="","",INDEX('Input Transaksi'!$F:$F,$E362))</f>
        <v/>
      </c>
      <c r="E362">
        <f>IFERROR(AGGREGATE(15,6,ROW('Input Transaksi'!$B$5:$B$5000)/('Input Transaksi'!$B$5:$B$5000="JCL BYPASS"),ROWS($E$5:E362)),"")</f>
        <v/>
      </c>
      <c r="F362" s="5" t="n"/>
    </row>
    <row r="363">
      <c r="A363" s="10">
        <f>IF($E363="","",INDEX('Input Transaksi'!$A:$A,$E363))</f>
        <v/>
      </c>
      <c r="B363" s="5">
        <f>IF($E363="","",INDEX('Input Transaksi'!$D:$D,$E363))</f>
        <v/>
      </c>
      <c r="C363">
        <f>IF($E363="","",INDEX('Input Transaksi'!$E:$E,$E363))</f>
        <v/>
      </c>
      <c r="D363" s="5">
        <f>IF($E363="","",INDEX('Input Transaksi'!$F:$F,$E363))</f>
        <v/>
      </c>
      <c r="E363">
        <f>IFERROR(AGGREGATE(15,6,ROW('Input Transaksi'!$B$5:$B$5000)/('Input Transaksi'!$B$5:$B$5000="JCL BYPASS"),ROWS($E$5:E363)),"")</f>
        <v/>
      </c>
      <c r="F363" s="5" t="n"/>
    </row>
    <row r="364">
      <c r="A364" s="10">
        <f>IF($E364="","",INDEX('Input Transaksi'!$A:$A,$E364))</f>
        <v/>
      </c>
      <c r="B364" s="5">
        <f>IF($E364="","",INDEX('Input Transaksi'!$D:$D,$E364))</f>
        <v/>
      </c>
      <c r="C364">
        <f>IF($E364="","",INDEX('Input Transaksi'!$E:$E,$E364))</f>
        <v/>
      </c>
      <c r="D364" s="5">
        <f>IF($E364="","",INDEX('Input Transaksi'!$F:$F,$E364))</f>
        <v/>
      </c>
      <c r="E364">
        <f>IFERROR(AGGREGATE(15,6,ROW('Input Transaksi'!$B$5:$B$5000)/('Input Transaksi'!$B$5:$B$5000="JCL BYPASS"),ROWS($E$5:E364)),"")</f>
        <v/>
      </c>
      <c r="F364" s="5" t="n"/>
    </row>
    <row r="365">
      <c r="A365" s="10">
        <f>IF($E365="","",INDEX('Input Transaksi'!$A:$A,$E365))</f>
        <v/>
      </c>
      <c r="B365" s="5">
        <f>IF($E365="","",INDEX('Input Transaksi'!$D:$D,$E365))</f>
        <v/>
      </c>
      <c r="C365">
        <f>IF($E365="","",INDEX('Input Transaksi'!$E:$E,$E365))</f>
        <v/>
      </c>
      <c r="D365" s="5">
        <f>IF($E365="","",INDEX('Input Transaksi'!$F:$F,$E365))</f>
        <v/>
      </c>
      <c r="E365">
        <f>IFERROR(AGGREGATE(15,6,ROW('Input Transaksi'!$B$5:$B$5000)/('Input Transaksi'!$B$5:$B$5000="JCL BYPASS"),ROWS($E$5:E365)),"")</f>
        <v/>
      </c>
      <c r="F365" s="5" t="n"/>
    </row>
    <row r="366">
      <c r="A366" s="10">
        <f>IF($E366="","",INDEX('Input Transaksi'!$A:$A,$E366))</f>
        <v/>
      </c>
      <c r="B366" s="5">
        <f>IF($E366="","",INDEX('Input Transaksi'!$D:$D,$E366))</f>
        <v/>
      </c>
      <c r="C366">
        <f>IF($E366="","",INDEX('Input Transaksi'!$E:$E,$E366))</f>
        <v/>
      </c>
      <c r="D366" s="5">
        <f>IF($E366="","",INDEX('Input Transaksi'!$F:$F,$E366))</f>
        <v/>
      </c>
      <c r="E366">
        <f>IFERROR(AGGREGATE(15,6,ROW('Input Transaksi'!$B$5:$B$5000)/('Input Transaksi'!$B$5:$B$5000="JCL BYPASS"),ROWS($E$5:E366)),"")</f>
        <v/>
      </c>
      <c r="F366" s="5" t="n"/>
    </row>
    <row r="367">
      <c r="A367" s="10">
        <f>IF($E367="","",INDEX('Input Transaksi'!$A:$A,$E367))</f>
        <v/>
      </c>
      <c r="B367" s="5">
        <f>IF($E367="","",INDEX('Input Transaksi'!$D:$D,$E367))</f>
        <v/>
      </c>
      <c r="C367">
        <f>IF($E367="","",INDEX('Input Transaksi'!$E:$E,$E367))</f>
        <v/>
      </c>
      <c r="D367" s="5">
        <f>IF($E367="","",INDEX('Input Transaksi'!$F:$F,$E367))</f>
        <v/>
      </c>
      <c r="E367">
        <f>IFERROR(AGGREGATE(15,6,ROW('Input Transaksi'!$B$5:$B$5000)/('Input Transaksi'!$B$5:$B$5000="JCL BYPASS"),ROWS($E$5:E367)),"")</f>
        <v/>
      </c>
      <c r="F367" s="5" t="n"/>
    </row>
    <row r="368">
      <c r="A368" s="10">
        <f>IF($E368="","",INDEX('Input Transaksi'!$A:$A,$E368))</f>
        <v/>
      </c>
      <c r="B368" s="5">
        <f>IF($E368="","",INDEX('Input Transaksi'!$D:$D,$E368))</f>
        <v/>
      </c>
      <c r="C368">
        <f>IF($E368="","",INDEX('Input Transaksi'!$E:$E,$E368))</f>
        <v/>
      </c>
      <c r="D368" s="5">
        <f>IF($E368="","",INDEX('Input Transaksi'!$F:$F,$E368))</f>
        <v/>
      </c>
      <c r="E368">
        <f>IFERROR(AGGREGATE(15,6,ROW('Input Transaksi'!$B$5:$B$5000)/('Input Transaksi'!$B$5:$B$5000="JCL BYPASS"),ROWS($E$5:E368)),"")</f>
        <v/>
      </c>
      <c r="F368" s="5" t="n"/>
    </row>
    <row r="369">
      <c r="A369" s="10">
        <f>IF($E369="","",INDEX('Input Transaksi'!$A:$A,$E369))</f>
        <v/>
      </c>
      <c r="B369" s="5">
        <f>IF($E369="","",INDEX('Input Transaksi'!$D:$D,$E369))</f>
        <v/>
      </c>
      <c r="C369">
        <f>IF($E369="","",INDEX('Input Transaksi'!$E:$E,$E369))</f>
        <v/>
      </c>
      <c r="D369" s="5">
        <f>IF($E369="","",INDEX('Input Transaksi'!$F:$F,$E369))</f>
        <v/>
      </c>
      <c r="E369">
        <f>IFERROR(AGGREGATE(15,6,ROW('Input Transaksi'!$B$5:$B$5000)/('Input Transaksi'!$B$5:$B$5000="JCL BYPASS"),ROWS($E$5:E369)),"")</f>
        <v/>
      </c>
      <c r="F369" s="5" t="n"/>
    </row>
    <row r="370">
      <c r="A370" s="10">
        <f>IF($E370="","",INDEX('Input Transaksi'!$A:$A,$E370))</f>
        <v/>
      </c>
      <c r="B370" s="5">
        <f>IF($E370="","",INDEX('Input Transaksi'!$D:$D,$E370))</f>
        <v/>
      </c>
      <c r="C370">
        <f>IF($E370="","",INDEX('Input Transaksi'!$E:$E,$E370))</f>
        <v/>
      </c>
      <c r="D370" s="5">
        <f>IF($E370="","",INDEX('Input Transaksi'!$F:$F,$E370))</f>
        <v/>
      </c>
      <c r="E370">
        <f>IFERROR(AGGREGATE(15,6,ROW('Input Transaksi'!$B$5:$B$5000)/('Input Transaksi'!$B$5:$B$5000="JCL BYPASS"),ROWS($E$5:E370)),"")</f>
        <v/>
      </c>
      <c r="F370" s="5" t="n"/>
    </row>
    <row r="371">
      <c r="A371" s="10">
        <f>IF($E371="","",INDEX('Input Transaksi'!$A:$A,$E371))</f>
        <v/>
      </c>
      <c r="B371" s="5">
        <f>IF($E371="","",INDEX('Input Transaksi'!$D:$D,$E371))</f>
        <v/>
      </c>
      <c r="C371">
        <f>IF($E371="","",INDEX('Input Transaksi'!$E:$E,$E371))</f>
        <v/>
      </c>
      <c r="D371" s="5">
        <f>IF($E371="","",INDEX('Input Transaksi'!$F:$F,$E371))</f>
        <v/>
      </c>
      <c r="E371">
        <f>IFERROR(AGGREGATE(15,6,ROW('Input Transaksi'!$B$5:$B$5000)/('Input Transaksi'!$B$5:$B$5000="JCL BYPASS"),ROWS($E$5:E371)),"")</f>
        <v/>
      </c>
      <c r="F371" s="5" t="n"/>
    </row>
    <row r="372">
      <c r="A372" s="10">
        <f>IF($E372="","",INDEX('Input Transaksi'!$A:$A,$E372))</f>
        <v/>
      </c>
      <c r="B372" s="5">
        <f>IF($E372="","",INDEX('Input Transaksi'!$D:$D,$E372))</f>
        <v/>
      </c>
      <c r="C372">
        <f>IF($E372="","",INDEX('Input Transaksi'!$E:$E,$E372))</f>
        <v/>
      </c>
      <c r="D372" s="5">
        <f>IF($E372="","",INDEX('Input Transaksi'!$F:$F,$E372))</f>
        <v/>
      </c>
      <c r="E372">
        <f>IFERROR(AGGREGATE(15,6,ROW('Input Transaksi'!$B$5:$B$5000)/('Input Transaksi'!$B$5:$B$5000="JCL BYPASS"),ROWS($E$5:E372)),"")</f>
        <v/>
      </c>
      <c r="F372" s="5" t="n"/>
    </row>
    <row r="373">
      <c r="A373" s="10">
        <f>IF($E373="","",INDEX('Input Transaksi'!$A:$A,$E373))</f>
        <v/>
      </c>
      <c r="B373" s="5">
        <f>IF($E373="","",INDEX('Input Transaksi'!$D:$D,$E373))</f>
        <v/>
      </c>
      <c r="C373">
        <f>IF($E373="","",INDEX('Input Transaksi'!$E:$E,$E373))</f>
        <v/>
      </c>
      <c r="D373" s="5">
        <f>IF($E373="","",INDEX('Input Transaksi'!$F:$F,$E373))</f>
        <v/>
      </c>
      <c r="E373">
        <f>IFERROR(AGGREGATE(15,6,ROW('Input Transaksi'!$B$5:$B$5000)/('Input Transaksi'!$B$5:$B$5000="JCL BYPASS"),ROWS($E$5:E373)),"")</f>
        <v/>
      </c>
      <c r="F373" s="5" t="n"/>
    </row>
    <row r="374">
      <c r="A374" s="10">
        <f>IF($E374="","",INDEX('Input Transaksi'!$A:$A,$E374))</f>
        <v/>
      </c>
      <c r="B374" s="5">
        <f>IF($E374="","",INDEX('Input Transaksi'!$D:$D,$E374))</f>
        <v/>
      </c>
      <c r="C374">
        <f>IF($E374="","",INDEX('Input Transaksi'!$E:$E,$E374))</f>
        <v/>
      </c>
      <c r="D374" s="5">
        <f>IF($E374="","",INDEX('Input Transaksi'!$F:$F,$E374))</f>
        <v/>
      </c>
      <c r="E374">
        <f>IFERROR(AGGREGATE(15,6,ROW('Input Transaksi'!$B$5:$B$5000)/('Input Transaksi'!$B$5:$B$5000="JCL BYPASS"),ROWS($E$5:E374)),"")</f>
        <v/>
      </c>
      <c r="F374" s="5" t="n"/>
    </row>
    <row r="375">
      <c r="A375" s="10">
        <f>IF($E375="","",INDEX('Input Transaksi'!$A:$A,$E375))</f>
        <v/>
      </c>
      <c r="B375" s="5">
        <f>IF($E375="","",INDEX('Input Transaksi'!$D:$D,$E375))</f>
        <v/>
      </c>
      <c r="C375">
        <f>IF($E375="","",INDEX('Input Transaksi'!$E:$E,$E375))</f>
        <v/>
      </c>
      <c r="D375" s="5">
        <f>IF($E375="","",INDEX('Input Transaksi'!$F:$F,$E375))</f>
        <v/>
      </c>
      <c r="E375">
        <f>IFERROR(AGGREGATE(15,6,ROW('Input Transaksi'!$B$5:$B$5000)/('Input Transaksi'!$B$5:$B$5000="JCL BYPASS"),ROWS($E$5:E375)),"")</f>
        <v/>
      </c>
      <c r="F375" s="5" t="n"/>
    </row>
    <row r="376">
      <c r="A376" s="10">
        <f>IF($E376="","",INDEX('Input Transaksi'!$A:$A,$E376))</f>
        <v/>
      </c>
      <c r="B376" s="5">
        <f>IF($E376="","",INDEX('Input Transaksi'!$D:$D,$E376))</f>
        <v/>
      </c>
      <c r="C376">
        <f>IF($E376="","",INDEX('Input Transaksi'!$E:$E,$E376))</f>
        <v/>
      </c>
      <c r="D376" s="5">
        <f>IF($E376="","",INDEX('Input Transaksi'!$F:$F,$E376))</f>
        <v/>
      </c>
      <c r="E376">
        <f>IFERROR(AGGREGATE(15,6,ROW('Input Transaksi'!$B$5:$B$5000)/('Input Transaksi'!$B$5:$B$5000="JCL BYPASS"),ROWS($E$5:E376)),"")</f>
        <v/>
      </c>
      <c r="F376" s="5" t="n"/>
    </row>
    <row r="377">
      <c r="A377" s="10">
        <f>IF($E377="","",INDEX('Input Transaksi'!$A:$A,$E377))</f>
        <v/>
      </c>
      <c r="B377" s="5">
        <f>IF($E377="","",INDEX('Input Transaksi'!$D:$D,$E377))</f>
        <v/>
      </c>
      <c r="C377">
        <f>IF($E377="","",INDEX('Input Transaksi'!$E:$E,$E377))</f>
        <v/>
      </c>
      <c r="D377" s="5">
        <f>IF($E377="","",INDEX('Input Transaksi'!$F:$F,$E377))</f>
        <v/>
      </c>
      <c r="E377">
        <f>IFERROR(AGGREGATE(15,6,ROW('Input Transaksi'!$B$5:$B$5000)/('Input Transaksi'!$B$5:$B$5000="JCL BYPASS"),ROWS($E$5:E377)),"")</f>
        <v/>
      </c>
      <c r="F377" s="5" t="n"/>
    </row>
    <row r="378">
      <c r="A378" s="10">
        <f>IF($E378="","",INDEX('Input Transaksi'!$A:$A,$E378))</f>
        <v/>
      </c>
      <c r="B378" s="5">
        <f>IF($E378="","",INDEX('Input Transaksi'!$D:$D,$E378))</f>
        <v/>
      </c>
      <c r="C378">
        <f>IF($E378="","",INDEX('Input Transaksi'!$E:$E,$E378))</f>
        <v/>
      </c>
      <c r="D378" s="5">
        <f>IF($E378="","",INDEX('Input Transaksi'!$F:$F,$E378))</f>
        <v/>
      </c>
      <c r="E378">
        <f>IFERROR(AGGREGATE(15,6,ROW('Input Transaksi'!$B$5:$B$5000)/('Input Transaksi'!$B$5:$B$5000="JCL BYPASS"),ROWS($E$5:E378)),"")</f>
        <v/>
      </c>
      <c r="F378" s="5" t="n"/>
    </row>
    <row r="379">
      <c r="A379" s="10">
        <f>IF($E379="","",INDEX('Input Transaksi'!$A:$A,$E379))</f>
        <v/>
      </c>
      <c r="B379" s="5">
        <f>IF($E379="","",INDEX('Input Transaksi'!$D:$D,$E379))</f>
        <v/>
      </c>
      <c r="C379">
        <f>IF($E379="","",INDEX('Input Transaksi'!$E:$E,$E379))</f>
        <v/>
      </c>
      <c r="D379" s="5">
        <f>IF($E379="","",INDEX('Input Transaksi'!$F:$F,$E379))</f>
        <v/>
      </c>
      <c r="E379">
        <f>IFERROR(AGGREGATE(15,6,ROW('Input Transaksi'!$B$5:$B$5000)/('Input Transaksi'!$B$5:$B$5000="JCL BYPASS"),ROWS($E$5:E379)),"")</f>
        <v/>
      </c>
      <c r="F379" s="5" t="n"/>
    </row>
    <row r="380">
      <c r="A380" s="10">
        <f>IF($E380="","",INDEX('Input Transaksi'!$A:$A,$E380))</f>
        <v/>
      </c>
      <c r="B380" s="5">
        <f>IF($E380="","",INDEX('Input Transaksi'!$D:$D,$E380))</f>
        <v/>
      </c>
      <c r="C380">
        <f>IF($E380="","",INDEX('Input Transaksi'!$E:$E,$E380))</f>
        <v/>
      </c>
      <c r="D380" s="5">
        <f>IF($E380="","",INDEX('Input Transaksi'!$F:$F,$E380))</f>
        <v/>
      </c>
      <c r="E380">
        <f>IFERROR(AGGREGATE(15,6,ROW('Input Transaksi'!$B$5:$B$5000)/('Input Transaksi'!$B$5:$B$5000="JCL BYPASS"),ROWS($E$5:E380)),"")</f>
        <v/>
      </c>
      <c r="F380" s="5" t="n"/>
    </row>
    <row r="381">
      <c r="A381" s="10">
        <f>IF($E381="","",INDEX('Input Transaksi'!$A:$A,$E381))</f>
        <v/>
      </c>
      <c r="B381" s="5">
        <f>IF($E381="","",INDEX('Input Transaksi'!$D:$D,$E381))</f>
        <v/>
      </c>
      <c r="C381">
        <f>IF($E381="","",INDEX('Input Transaksi'!$E:$E,$E381))</f>
        <v/>
      </c>
      <c r="D381" s="5">
        <f>IF($E381="","",INDEX('Input Transaksi'!$F:$F,$E381))</f>
        <v/>
      </c>
      <c r="E381">
        <f>IFERROR(AGGREGATE(15,6,ROW('Input Transaksi'!$B$5:$B$5000)/('Input Transaksi'!$B$5:$B$5000="JCL BYPASS"),ROWS($E$5:E381)),"")</f>
        <v/>
      </c>
      <c r="F381" s="5" t="n"/>
    </row>
    <row r="382">
      <c r="A382" s="10">
        <f>IF($E382="","",INDEX('Input Transaksi'!$A:$A,$E382))</f>
        <v/>
      </c>
      <c r="B382" s="5">
        <f>IF($E382="","",INDEX('Input Transaksi'!$D:$D,$E382))</f>
        <v/>
      </c>
      <c r="C382">
        <f>IF($E382="","",INDEX('Input Transaksi'!$E:$E,$E382))</f>
        <v/>
      </c>
      <c r="D382" s="5">
        <f>IF($E382="","",INDEX('Input Transaksi'!$F:$F,$E382))</f>
        <v/>
      </c>
      <c r="E382">
        <f>IFERROR(AGGREGATE(15,6,ROW('Input Transaksi'!$B$5:$B$5000)/('Input Transaksi'!$B$5:$B$5000="JCL BYPASS"),ROWS($E$5:E382)),"")</f>
        <v/>
      </c>
      <c r="F382" s="5" t="n"/>
    </row>
    <row r="383">
      <c r="A383" s="10">
        <f>IF($E383="","",INDEX('Input Transaksi'!$A:$A,$E383))</f>
        <v/>
      </c>
      <c r="B383" s="5">
        <f>IF($E383="","",INDEX('Input Transaksi'!$D:$D,$E383))</f>
        <v/>
      </c>
      <c r="C383">
        <f>IF($E383="","",INDEX('Input Transaksi'!$E:$E,$E383))</f>
        <v/>
      </c>
      <c r="D383" s="5">
        <f>IF($E383="","",INDEX('Input Transaksi'!$F:$F,$E383))</f>
        <v/>
      </c>
      <c r="E383">
        <f>IFERROR(AGGREGATE(15,6,ROW('Input Transaksi'!$B$5:$B$5000)/('Input Transaksi'!$B$5:$B$5000="JCL BYPASS"),ROWS($E$5:E383)),"")</f>
        <v/>
      </c>
      <c r="F383" s="5" t="n"/>
    </row>
    <row r="384">
      <c r="A384" s="10">
        <f>IF($E384="","",INDEX('Input Transaksi'!$A:$A,$E384))</f>
        <v/>
      </c>
      <c r="B384" s="5">
        <f>IF($E384="","",INDEX('Input Transaksi'!$D:$D,$E384))</f>
        <v/>
      </c>
      <c r="C384">
        <f>IF($E384="","",INDEX('Input Transaksi'!$E:$E,$E384))</f>
        <v/>
      </c>
      <c r="D384" s="5">
        <f>IF($E384="","",INDEX('Input Transaksi'!$F:$F,$E384))</f>
        <v/>
      </c>
      <c r="E384">
        <f>IFERROR(AGGREGATE(15,6,ROW('Input Transaksi'!$B$5:$B$5000)/('Input Transaksi'!$B$5:$B$5000="JCL BYPASS"),ROWS($E$5:E384)),"")</f>
        <v/>
      </c>
      <c r="F384" s="5" t="n"/>
    </row>
    <row r="385">
      <c r="A385" s="10">
        <f>IF($E385="","",INDEX('Input Transaksi'!$A:$A,$E385))</f>
        <v/>
      </c>
      <c r="B385" s="5">
        <f>IF($E385="","",INDEX('Input Transaksi'!$D:$D,$E385))</f>
        <v/>
      </c>
      <c r="C385">
        <f>IF($E385="","",INDEX('Input Transaksi'!$E:$E,$E385))</f>
        <v/>
      </c>
      <c r="D385" s="5">
        <f>IF($E385="","",INDEX('Input Transaksi'!$F:$F,$E385))</f>
        <v/>
      </c>
      <c r="E385">
        <f>IFERROR(AGGREGATE(15,6,ROW('Input Transaksi'!$B$5:$B$5000)/('Input Transaksi'!$B$5:$B$5000="JCL BYPASS"),ROWS($E$5:E385)),"")</f>
        <v/>
      </c>
      <c r="F385" s="5" t="n"/>
    </row>
    <row r="386">
      <c r="A386" s="10">
        <f>IF($E386="","",INDEX('Input Transaksi'!$A:$A,$E386))</f>
        <v/>
      </c>
      <c r="B386" s="5">
        <f>IF($E386="","",INDEX('Input Transaksi'!$D:$D,$E386))</f>
        <v/>
      </c>
      <c r="C386">
        <f>IF($E386="","",INDEX('Input Transaksi'!$E:$E,$E386))</f>
        <v/>
      </c>
      <c r="D386" s="5">
        <f>IF($E386="","",INDEX('Input Transaksi'!$F:$F,$E386))</f>
        <v/>
      </c>
      <c r="E386">
        <f>IFERROR(AGGREGATE(15,6,ROW('Input Transaksi'!$B$5:$B$5000)/('Input Transaksi'!$B$5:$B$5000="JCL BYPASS"),ROWS($E$5:E386)),"")</f>
        <v/>
      </c>
      <c r="F386" s="5" t="n"/>
    </row>
    <row r="387">
      <c r="A387" s="10">
        <f>IF($E387="","",INDEX('Input Transaksi'!$A:$A,$E387))</f>
        <v/>
      </c>
      <c r="B387" s="5">
        <f>IF($E387="","",INDEX('Input Transaksi'!$D:$D,$E387))</f>
        <v/>
      </c>
      <c r="C387">
        <f>IF($E387="","",INDEX('Input Transaksi'!$E:$E,$E387))</f>
        <v/>
      </c>
      <c r="D387" s="5">
        <f>IF($E387="","",INDEX('Input Transaksi'!$F:$F,$E387))</f>
        <v/>
      </c>
      <c r="E387">
        <f>IFERROR(AGGREGATE(15,6,ROW('Input Transaksi'!$B$5:$B$5000)/('Input Transaksi'!$B$5:$B$5000="JCL BYPASS"),ROWS($E$5:E387)),"")</f>
        <v/>
      </c>
      <c r="F387" s="5" t="n"/>
    </row>
    <row r="388">
      <c r="A388" s="10">
        <f>IF($E388="","",INDEX('Input Transaksi'!$A:$A,$E388))</f>
        <v/>
      </c>
      <c r="B388" s="5">
        <f>IF($E388="","",INDEX('Input Transaksi'!$D:$D,$E388))</f>
        <v/>
      </c>
      <c r="C388">
        <f>IF($E388="","",INDEX('Input Transaksi'!$E:$E,$E388))</f>
        <v/>
      </c>
      <c r="D388" s="5">
        <f>IF($E388="","",INDEX('Input Transaksi'!$F:$F,$E388))</f>
        <v/>
      </c>
      <c r="E388">
        <f>IFERROR(AGGREGATE(15,6,ROW('Input Transaksi'!$B$5:$B$5000)/('Input Transaksi'!$B$5:$B$5000="JCL BYPASS"),ROWS($E$5:E388)),"")</f>
        <v/>
      </c>
      <c r="F388" s="5" t="n"/>
    </row>
    <row r="389">
      <c r="A389" s="10">
        <f>IF($E389="","",INDEX('Input Transaksi'!$A:$A,$E389))</f>
        <v/>
      </c>
      <c r="B389" s="5">
        <f>IF($E389="","",INDEX('Input Transaksi'!$D:$D,$E389))</f>
        <v/>
      </c>
      <c r="C389">
        <f>IF($E389="","",INDEX('Input Transaksi'!$E:$E,$E389))</f>
        <v/>
      </c>
      <c r="D389" s="5">
        <f>IF($E389="","",INDEX('Input Transaksi'!$F:$F,$E389))</f>
        <v/>
      </c>
      <c r="E389">
        <f>IFERROR(AGGREGATE(15,6,ROW('Input Transaksi'!$B$5:$B$5000)/('Input Transaksi'!$B$5:$B$5000="JCL BYPASS"),ROWS($E$5:E389)),"")</f>
        <v/>
      </c>
      <c r="F389" s="5" t="n"/>
    </row>
    <row r="390">
      <c r="A390" s="10">
        <f>IF($E390="","",INDEX('Input Transaksi'!$A:$A,$E390))</f>
        <v/>
      </c>
      <c r="B390" s="5">
        <f>IF($E390="","",INDEX('Input Transaksi'!$D:$D,$E390))</f>
        <v/>
      </c>
      <c r="C390">
        <f>IF($E390="","",INDEX('Input Transaksi'!$E:$E,$E390))</f>
        <v/>
      </c>
      <c r="D390" s="5">
        <f>IF($E390="","",INDEX('Input Transaksi'!$F:$F,$E390))</f>
        <v/>
      </c>
      <c r="E390">
        <f>IFERROR(AGGREGATE(15,6,ROW('Input Transaksi'!$B$5:$B$5000)/('Input Transaksi'!$B$5:$B$5000="JCL BYPASS"),ROWS($E$5:E390)),"")</f>
        <v/>
      </c>
      <c r="F390" s="5" t="n"/>
    </row>
    <row r="391">
      <c r="A391" s="10">
        <f>IF($E391="","",INDEX('Input Transaksi'!$A:$A,$E391))</f>
        <v/>
      </c>
      <c r="B391" s="5">
        <f>IF($E391="","",INDEX('Input Transaksi'!$D:$D,$E391))</f>
        <v/>
      </c>
      <c r="C391">
        <f>IF($E391="","",INDEX('Input Transaksi'!$E:$E,$E391))</f>
        <v/>
      </c>
      <c r="D391" s="5">
        <f>IF($E391="","",INDEX('Input Transaksi'!$F:$F,$E391))</f>
        <v/>
      </c>
      <c r="E391">
        <f>IFERROR(AGGREGATE(15,6,ROW('Input Transaksi'!$B$5:$B$5000)/('Input Transaksi'!$B$5:$B$5000="JCL BYPASS"),ROWS($E$5:E391)),"")</f>
        <v/>
      </c>
      <c r="F391" s="5" t="n"/>
    </row>
    <row r="392">
      <c r="A392" s="10">
        <f>IF($E392="","",INDEX('Input Transaksi'!$A:$A,$E392))</f>
        <v/>
      </c>
      <c r="B392" s="5">
        <f>IF($E392="","",INDEX('Input Transaksi'!$D:$D,$E392))</f>
        <v/>
      </c>
      <c r="C392">
        <f>IF($E392="","",INDEX('Input Transaksi'!$E:$E,$E392))</f>
        <v/>
      </c>
      <c r="D392" s="5">
        <f>IF($E392="","",INDEX('Input Transaksi'!$F:$F,$E392))</f>
        <v/>
      </c>
      <c r="E392">
        <f>IFERROR(AGGREGATE(15,6,ROW('Input Transaksi'!$B$5:$B$5000)/('Input Transaksi'!$B$5:$B$5000="JCL BYPASS"),ROWS($E$5:E392)),"")</f>
        <v/>
      </c>
      <c r="F392" s="5" t="n"/>
    </row>
    <row r="393">
      <c r="A393" s="10">
        <f>IF($E393="","",INDEX('Input Transaksi'!$A:$A,$E393))</f>
        <v/>
      </c>
      <c r="B393" s="5">
        <f>IF($E393="","",INDEX('Input Transaksi'!$D:$D,$E393))</f>
        <v/>
      </c>
      <c r="C393">
        <f>IF($E393="","",INDEX('Input Transaksi'!$E:$E,$E393))</f>
        <v/>
      </c>
      <c r="D393" s="5">
        <f>IF($E393="","",INDEX('Input Transaksi'!$F:$F,$E393))</f>
        <v/>
      </c>
      <c r="E393">
        <f>IFERROR(AGGREGATE(15,6,ROW('Input Transaksi'!$B$5:$B$5000)/('Input Transaksi'!$B$5:$B$5000="JCL BYPASS"),ROWS($E$5:E393)),"")</f>
        <v/>
      </c>
      <c r="F393" s="5" t="n"/>
    </row>
    <row r="394">
      <c r="A394" s="10">
        <f>IF($E394="","",INDEX('Input Transaksi'!$A:$A,$E394))</f>
        <v/>
      </c>
      <c r="B394" s="5">
        <f>IF($E394="","",INDEX('Input Transaksi'!$D:$D,$E394))</f>
        <v/>
      </c>
      <c r="C394">
        <f>IF($E394="","",INDEX('Input Transaksi'!$E:$E,$E394))</f>
        <v/>
      </c>
      <c r="D394" s="5">
        <f>IF($E394="","",INDEX('Input Transaksi'!$F:$F,$E394))</f>
        <v/>
      </c>
      <c r="E394">
        <f>IFERROR(AGGREGATE(15,6,ROW('Input Transaksi'!$B$5:$B$5000)/('Input Transaksi'!$B$5:$B$5000="JCL BYPASS"),ROWS($E$5:E394)),"")</f>
        <v/>
      </c>
      <c r="F394" s="5" t="n"/>
    </row>
    <row r="395">
      <c r="A395" s="10">
        <f>IF($E395="","",INDEX('Input Transaksi'!$A:$A,$E395))</f>
        <v/>
      </c>
      <c r="B395" s="5">
        <f>IF($E395="","",INDEX('Input Transaksi'!$D:$D,$E395))</f>
        <v/>
      </c>
      <c r="C395">
        <f>IF($E395="","",INDEX('Input Transaksi'!$E:$E,$E395))</f>
        <v/>
      </c>
      <c r="D395" s="5">
        <f>IF($E395="","",INDEX('Input Transaksi'!$F:$F,$E395))</f>
        <v/>
      </c>
      <c r="E395">
        <f>IFERROR(AGGREGATE(15,6,ROW('Input Transaksi'!$B$5:$B$5000)/('Input Transaksi'!$B$5:$B$5000="JCL BYPASS"),ROWS($E$5:E395)),"")</f>
        <v/>
      </c>
      <c r="F395" s="5" t="n"/>
    </row>
    <row r="396">
      <c r="A396" s="10">
        <f>IF($E396="","",INDEX('Input Transaksi'!$A:$A,$E396))</f>
        <v/>
      </c>
      <c r="B396" s="5">
        <f>IF($E396="","",INDEX('Input Transaksi'!$D:$D,$E396))</f>
        <v/>
      </c>
      <c r="C396">
        <f>IF($E396="","",INDEX('Input Transaksi'!$E:$E,$E396))</f>
        <v/>
      </c>
      <c r="D396" s="5">
        <f>IF($E396="","",INDEX('Input Transaksi'!$F:$F,$E396))</f>
        <v/>
      </c>
      <c r="E396">
        <f>IFERROR(AGGREGATE(15,6,ROW('Input Transaksi'!$B$5:$B$5000)/('Input Transaksi'!$B$5:$B$5000="JCL BYPASS"),ROWS($E$5:E396)),"")</f>
        <v/>
      </c>
      <c r="F396" s="5" t="n"/>
    </row>
    <row r="397">
      <c r="A397" s="10">
        <f>IF($E397="","",INDEX('Input Transaksi'!$A:$A,$E397))</f>
        <v/>
      </c>
      <c r="B397" s="5">
        <f>IF($E397="","",INDEX('Input Transaksi'!$D:$D,$E397))</f>
        <v/>
      </c>
      <c r="C397">
        <f>IF($E397="","",INDEX('Input Transaksi'!$E:$E,$E397))</f>
        <v/>
      </c>
      <c r="D397" s="5">
        <f>IF($E397="","",INDEX('Input Transaksi'!$F:$F,$E397))</f>
        <v/>
      </c>
      <c r="E397">
        <f>IFERROR(AGGREGATE(15,6,ROW('Input Transaksi'!$B$5:$B$5000)/('Input Transaksi'!$B$5:$B$5000="JCL BYPASS"),ROWS($E$5:E397)),"")</f>
        <v/>
      </c>
      <c r="F397" s="5" t="n"/>
    </row>
    <row r="398">
      <c r="A398" s="10">
        <f>IF($E398="","",INDEX('Input Transaksi'!$A:$A,$E398))</f>
        <v/>
      </c>
      <c r="B398" s="5">
        <f>IF($E398="","",INDEX('Input Transaksi'!$D:$D,$E398))</f>
        <v/>
      </c>
      <c r="C398">
        <f>IF($E398="","",INDEX('Input Transaksi'!$E:$E,$E398))</f>
        <v/>
      </c>
      <c r="D398" s="5">
        <f>IF($E398="","",INDEX('Input Transaksi'!$F:$F,$E398))</f>
        <v/>
      </c>
      <c r="E398">
        <f>IFERROR(AGGREGATE(15,6,ROW('Input Transaksi'!$B$5:$B$5000)/('Input Transaksi'!$B$5:$B$5000="JCL BYPASS"),ROWS($E$5:E398)),"")</f>
        <v/>
      </c>
      <c r="F398" s="5" t="n"/>
    </row>
    <row r="399">
      <c r="A399" s="10">
        <f>IF($E399="","",INDEX('Input Transaksi'!$A:$A,$E399))</f>
        <v/>
      </c>
      <c r="B399" s="5">
        <f>IF($E399="","",INDEX('Input Transaksi'!$D:$D,$E399))</f>
        <v/>
      </c>
      <c r="C399">
        <f>IF($E399="","",INDEX('Input Transaksi'!$E:$E,$E399))</f>
        <v/>
      </c>
      <c r="D399" s="5">
        <f>IF($E399="","",INDEX('Input Transaksi'!$F:$F,$E399))</f>
        <v/>
      </c>
      <c r="E399">
        <f>IFERROR(AGGREGATE(15,6,ROW('Input Transaksi'!$B$5:$B$5000)/('Input Transaksi'!$B$5:$B$5000="JCL BYPASS"),ROWS($E$5:E399)),"")</f>
        <v/>
      </c>
      <c r="F399" s="5" t="n"/>
    </row>
    <row r="400">
      <c r="A400" s="10">
        <f>IF($E400="","",INDEX('Input Transaksi'!$A:$A,$E400))</f>
        <v/>
      </c>
      <c r="B400" s="5">
        <f>IF($E400="","",INDEX('Input Transaksi'!$D:$D,$E400))</f>
        <v/>
      </c>
      <c r="C400">
        <f>IF($E400="","",INDEX('Input Transaksi'!$E:$E,$E400))</f>
        <v/>
      </c>
      <c r="D400" s="5">
        <f>IF($E400="","",INDEX('Input Transaksi'!$F:$F,$E400))</f>
        <v/>
      </c>
      <c r="E400">
        <f>IFERROR(AGGREGATE(15,6,ROW('Input Transaksi'!$B$5:$B$5000)/('Input Transaksi'!$B$5:$B$5000="JCL BYPASS"),ROWS($E$5:E400)),"")</f>
        <v/>
      </c>
      <c r="F400" s="5" t="n"/>
    </row>
    <row r="401">
      <c r="A401" s="10">
        <f>IF($E401="","",INDEX('Input Transaksi'!$A:$A,$E401))</f>
        <v/>
      </c>
      <c r="B401" s="5">
        <f>IF($E401="","",INDEX('Input Transaksi'!$D:$D,$E401))</f>
        <v/>
      </c>
      <c r="C401">
        <f>IF($E401="","",INDEX('Input Transaksi'!$E:$E,$E401))</f>
        <v/>
      </c>
      <c r="D401" s="5">
        <f>IF($E401="","",INDEX('Input Transaksi'!$F:$F,$E401))</f>
        <v/>
      </c>
      <c r="E401">
        <f>IFERROR(AGGREGATE(15,6,ROW('Input Transaksi'!$B$5:$B$5000)/('Input Transaksi'!$B$5:$B$5000="JCL BYPASS"),ROWS($E$5:E401)),"")</f>
        <v/>
      </c>
      <c r="F401" s="5" t="n"/>
    </row>
    <row r="402">
      <c r="A402" s="10">
        <f>IF($E402="","",INDEX('Input Transaksi'!$A:$A,$E402))</f>
        <v/>
      </c>
      <c r="B402" s="5">
        <f>IF($E402="","",INDEX('Input Transaksi'!$D:$D,$E402))</f>
        <v/>
      </c>
      <c r="C402">
        <f>IF($E402="","",INDEX('Input Transaksi'!$E:$E,$E402))</f>
        <v/>
      </c>
      <c r="D402" s="5">
        <f>IF($E402="","",INDEX('Input Transaksi'!$F:$F,$E402))</f>
        <v/>
      </c>
      <c r="E402">
        <f>IFERROR(AGGREGATE(15,6,ROW('Input Transaksi'!$B$5:$B$5000)/('Input Transaksi'!$B$5:$B$5000="JCL BYPASS"),ROWS($E$5:E402)),"")</f>
        <v/>
      </c>
      <c r="F402" s="5" t="n"/>
    </row>
    <row r="403">
      <c r="A403" s="10">
        <f>IF($E403="","",INDEX('Input Transaksi'!$A:$A,$E403))</f>
        <v/>
      </c>
      <c r="B403" s="5">
        <f>IF($E403="","",INDEX('Input Transaksi'!$D:$D,$E403))</f>
        <v/>
      </c>
      <c r="C403">
        <f>IF($E403="","",INDEX('Input Transaksi'!$E:$E,$E403))</f>
        <v/>
      </c>
      <c r="D403" s="5">
        <f>IF($E403="","",INDEX('Input Transaksi'!$F:$F,$E403))</f>
        <v/>
      </c>
      <c r="E403">
        <f>IFERROR(AGGREGATE(15,6,ROW('Input Transaksi'!$B$5:$B$5000)/('Input Transaksi'!$B$5:$B$5000="JCL BYPASS"),ROWS($E$5:E403)),"")</f>
        <v/>
      </c>
      <c r="F403" s="5" t="n"/>
    </row>
    <row r="404">
      <c r="A404" s="10">
        <f>IF($E404="","",INDEX('Input Transaksi'!$A:$A,$E404))</f>
        <v/>
      </c>
      <c r="B404" s="5">
        <f>IF($E404="","",INDEX('Input Transaksi'!$D:$D,$E404))</f>
        <v/>
      </c>
      <c r="C404">
        <f>IF($E404="","",INDEX('Input Transaksi'!$E:$E,$E404))</f>
        <v/>
      </c>
      <c r="D404" s="5">
        <f>IF($E404="","",INDEX('Input Transaksi'!$F:$F,$E404))</f>
        <v/>
      </c>
      <c r="E404">
        <f>IFERROR(AGGREGATE(15,6,ROW('Input Transaksi'!$B$5:$B$5000)/('Input Transaksi'!$B$5:$B$5000="JCL BYPASS"),ROWS($E$5:E404)),"")</f>
        <v/>
      </c>
      <c r="F404" s="5" t="n"/>
    </row>
    <row r="405">
      <c r="A405" s="10">
        <f>IF($E405="","",INDEX('Input Transaksi'!$A:$A,$E405))</f>
        <v/>
      </c>
      <c r="B405" s="5">
        <f>IF($E405="","",INDEX('Input Transaksi'!$D:$D,$E405))</f>
        <v/>
      </c>
      <c r="C405">
        <f>IF($E405="","",INDEX('Input Transaksi'!$E:$E,$E405))</f>
        <v/>
      </c>
      <c r="D405" s="5">
        <f>IF($E405="","",INDEX('Input Transaksi'!$F:$F,$E405))</f>
        <v/>
      </c>
      <c r="E405">
        <f>IFERROR(AGGREGATE(15,6,ROW('Input Transaksi'!$B$5:$B$5000)/('Input Transaksi'!$B$5:$B$5000="JCL BYPASS"),ROWS($E$5:E405)),"")</f>
        <v/>
      </c>
      <c r="F405" s="5" t="n"/>
    </row>
    <row r="406">
      <c r="A406" s="10">
        <f>IF($E406="","",INDEX('Input Transaksi'!$A:$A,$E406))</f>
        <v/>
      </c>
      <c r="B406" s="5">
        <f>IF($E406="","",INDEX('Input Transaksi'!$D:$D,$E406))</f>
        <v/>
      </c>
      <c r="C406">
        <f>IF($E406="","",INDEX('Input Transaksi'!$E:$E,$E406))</f>
        <v/>
      </c>
      <c r="D406" s="5">
        <f>IF($E406="","",INDEX('Input Transaksi'!$F:$F,$E406))</f>
        <v/>
      </c>
      <c r="E406">
        <f>IFERROR(AGGREGATE(15,6,ROW('Input Transaksi'!$B$5:$B$5000)/('Input Transaksi'!$B$5:$B$5000="JCL BYPASS"),ROWS($E$5:E406)),"")</f>
        <v/>
      </c>
      <c r="F406" s="5" t="n"/>
    </row>
    <row r="407">
      <c r="A407" s="10">
        <f>IF($E407="","",INDEX('Input Transaksi'!$A:$A,$E407))</f>
        <v/>
      </c>
      <c r="B407" s="5">
        <f>IF($E407="","",INDEX('Input Transaksi'!$D:$D,$E407))</f>
        <v/>
      </c>
      <c r="C407">
        <f>IF($E407="","",INDEX('Input Transaksi'!$E:$E,$E407))</f>
        <v/>
      </c>
      <c r="D407" s="5">
        <f>IF($E407="","",INDEX('Input Transaksi'!$F:$F,$E407))</f>
        <v/>
      </c>
      <c r="E407">
        <f>IFERROR(AGGREGATE(15,6,ROW('Input Transaksi'!$B$5:$B$5000)/('Input Transaksi'!$B$5:$B$5000="JCL BYPASS"),ROWS($E$5:E407)),"")</f>
        <v/>
      </c>
      <c r="F407" s="5" t="n"/>
    </row>
    <row r="408">
      <c r="A408" s="10">
        <f>IF($E408="","",INDEX('Input Transaksi'!$A:$A,$E408))</f>
        <v/>
      </c>
      <c r="B408" s="5">
        <f>IF($E408="","",INDEX('Input Transaksi'!$D:$D,$E408))</f>
        <v/>
      </c>
      <c r="C408">
        <f>IF($E408="","",INDEX('Input Transaksi'!$E:$E,$E408))</f>
        <v/>
      </c>
      <c r="D408" s="5">
        <f>IF($E408="","",INDEX('Input Transaksi'!$F:$F,$E408))</f>
        <v/>
      </c>
      <c r="E408">
        <f>IFERROR(AGGREGATE(15,6,ROW('Input Transaksi'!$B$5:$B$5000)/('Input Transaksi'!$B$5:$B$5000="JCL BYPASS"),ROWS($E$5:E408)),"")</f>
        <v/>
      </c>
      <c r="F408" s="5" t="n"/>
    </row>
    <row r="409">
      <c r="A409" s="10">
        <f>IF($E409="","",INDEX('Input Transaksi'!$A:$A,$E409))</f>
        <v/>
      </c>
      <c r="B409" s="5">
        <f>IF($E409="","",INDEX('Input Transaksi'!$D:$D,$E409))</f>
        <v/>
      </c>
      <c r="C409">
        <f>IF($E409="","",INDEX('Input Transaksi'!$E:$E,$E409))</f>
        <v/>
      </c>
      <c r="D409" s="5">
        <f>IF($E409="","",INDEX('Input Transaksi'!$F:$F,$E409))</f>
        <v/>
      </c>
      <c r="E409">
        <f>IFERROR(AGGREGATE(15,6,ROW('Input Transaksi'!$B$5:$B$5000)/('Input Transaksi'!$B$5:$B$5000="JCL BYPASS"),ROWS($E$5:E409)),"")</f>
        <v/>
      </c>
      <c r="F409" s="5" t="n"/>
    </row>
    <row r="410">
      <c r="A410" s="10">
        <f>IF($E410="","",INDEX('Input Transaksi'!$A:$A,$E410))</f>
        <v/>
      </c>
      <c r="B410" s="5">
        <f>IF($E410="","",INDEX('Input Transaksi'!$D:$D,$E410))</f>
        <v/>
      </c>
      <c r="C410">
        <f>IF($E410="","",INDEX('Input Transaksi'!$E:$E,$E410))</f>
        <v/>
      </c>
      <c r="D410" s="5">
        <f>IF($E410="","",INDEX('Input Transaksi'!$F:$F,$E410))</f>
        <v/>
      </c>
      <c r="E410">
        <f>IFERROR(AGGREGATE(15,6,ROW('Input Transaksi'!$B$5:$B$5000)/('Input Transaksi'!$B$5:$B$5000="JCL BYPASS"),ROWS($E$5:E410)),"")</f>
        <v/>
      </c>
      <c r="F410" s="5" t="n"/>
    </row>
    <row r="411">
      <c r="A411" s="10">
        <f>IF($E411="","",INDEX('Input Transaksi'!$A:$A,$E411))</f>
        <v/>
      </c>
      <c r="B411" s="5">
        <f>IF($E411="","",INDEX('Input Transaksi'!$D:$D,$E411))</f>
        <v/>
      </c>
      <c r="C411">
        <f>IF($E411="","",INDEX('Input Transaksi'!$E:$E,$E411))</f>
        <v/>
      </c>
      <c r="D411" s="5">
        <f>IF($E411="","",INDEX('Input Transaksi'!$F:$F,$E411))</f>
        <v/>
      </c>
      <c r="E411">
        <f>IFERROR(AGGREGATE(15,6,ROW('Input Transaksi'!$B$5:$B$5000)/('Input Transaksi'!$B$5:$B$5000="JCL BYPASS"),ROWS($E$5:E411)),"")</f>
        <v/>
      </c>
      <c r="F411" s="5" t="n"/>
    </row>
    <row r="412">
      <c r="A412" s="10">
        <f>IF($E412="","",INDEX('Input Transaksi'!$A:$A,$E412))</f>
        <v/>
      </c>
      <c r="B412" s="5">
        <f>IF($E412="","",INDEX('Input Transaksi'!$D:$D,$E412))</f>
        <v/>
      </c>
      <c r="C412">
        <f>IF($E412="","",INDEX('Input Transaksi'!$E:$E,$E412))</f>
        <v/>
      </c>
      <c r="D412" s="5">
        <f>IF($E412="","",INDEX('Input Transaksi'!$F:$F,$E412))</f>
        <v/>
      </c>
      <c r="E412">
        <f>IFERROR(AGGREGATE(15,6,ROW('Input Transaksi'!$B$5:$B$5000)/('Input Transaksi'!$B$5:$B$5000="JCL BYPASS"),ROWS($E$5:E412)),"")</f>
        <v/>
      </c>
      <c r="F412" s="5" t="n"/>
    </row>
    <row r="413">
      <c r="A413" s="10">
        <f>IF($E413="","",INDEX('Input Transaksi'!$A:$A,$E413))</f>
        <v/>
      </c>
      <c r="B413" s="5">
        <f>IF($E413="","",INDEX('Input Transaksi'!$D:$D,$E413))</f>
        <v/>
      </c>
      <c r="C413">
        <f>IF($E413="","",INDEX('Input Transaksi'!$E:$E,$E413))</f>
        <v/>
      </c>
      <c r="D413" s="5">
        <f>IF($E413="","",INDEX('Input Transaksi'!$F:$F,$E413))</f>
        <v/>
      </c>
      <c r="E413">
        <f>IFERROR(AGGREGATE(15,6,ROW('Input Transaksi'!$B$5:$B$5000)/('Input Transaksi'!$B$5:$B$5000="JCL BYPASS"),ROWS($E$5:E413)),"")</f>
        <v/>
      </c>
      <c r="F413" s="5" t="n"/>
    </row>
    <row r="414">
      <c r="A414" s="10">
        <f>IF($E414="","",INDEX('Input Transaksi'!$A:$A,$E414))</f>
        <v/>
      </c>
      <c r="B414" s="5">
        <f>IF($E414="","",INDEX('Input Transaksi'!$D:$D,$E414))</f>
        <v/>
      </c>
      <c r="C414">
        <f>IF($E414="","",INDEX('Input Transaksi'!$E:$E,$E414))</f>
        <v/>
      </c>
      <c r="D414" s="5">
        <f>IF($E414="","",INDEX('Input Transaksi'!$F:$F,$E414))</f>
        <v/>
      </c>
      <c r="E414">
        <f>IFERROR(AGGREGATE(15,6,ROW('Input Transaksi'!$B$5:$B$5000)/('Input Transaksi'!$B$5:$B$5000="JCL BYPASS"),ROWS($E$5:E414)),"")</f>
        <v/>
      </c>
      <c r="F414" s="5" t="n"/>
    </row>
    <row r="415">
      <c r="A415" s="10">
        <f>IF($E415="","",INDEX('Input Transaksi'!$A:$A,$E415))</f>
        <v/>
      </c>
      <c r="B415" s="5">
        <f>IF($E415="","",INDEX('Input Transaksi'!$D:$D,$E415))</f>
        <v/>
      </c>
      <c r="C415">
        <f>IF($E415="","",INDEX('Input Transaksi'!$E:$E,$E415))</f>
        <v/>
      </c>
      <c r="D415" s="5">
        <f>IF($E415="","",INDEX('Input Transaksi'!$F:$F,$E415))</f>
        <v/>
      </c>
      <c r="E415">
        <f>IFERROR(AGGREGATE(15,6,ROW('Input Transaksi'!$B$5:$B$5000)/('Input Transaksi'!$B$5:$B$5000="JCL BYPASS"),ROWS($E$5:E415)),"")</f>
        <v/>
      </c>
      <c r="F415" s="5" t="n"/>
    </row>
    <row r="416">
      <c r="A416" s="10">
        <f>IF($E416="","",INDEX('Input Transaksi'!$A:$A,$E416))</f>
        <v/>
      </c>
      <c r="B416" s="5">
        <f>IF($E416="","",INDEX('Input Transaksi'!$D:$D,$E416))</f>
        <v/>
      </c>
      <c r="C416">
        <f>IF($E416="","",INDEX('Input Transaksi'!$E:$E,$E416))</f>
        <v/>
      </c>
      <c r="D416" s="5">
        <f>IF($E416="","",INDEX('Input Transaksi'!$F:$F,$E416))</f>
        <v/>
      </c>
      <c r="E416">
        <f>IFERROR(AGGREGATE(15,6,ROW('Input Transaksi'!$B$5:$B$5000)/('Input Transaksi'!$B$5:$B$5000="JCL BYPASS"),ROWS($E$5:E416)),"")</f>
        <v/>
      </c>
      <c r="F416" s="5" t="n"/>
    </row>
    <row r="417">
      <c r="A417" s="10">
        <f>IF($E417="","",INDEX('Input Transaksi'!$A:$A,$E417))</f>
        <v/>
      </c>
      <c r="B417" s="5">
        <f>IF($E417="","",INDEX('Input Transaksi'!$D:$D,$E417))</f>
        <v/>
      </c>
      <c r="C417">
        <f>IF($E417="","",INDEX('Input Transaksi'!$E:$E,$E417))</f>
        <v/>
      </c>
      <c r="D417" s="5">
        <f>IF($E417="","",INDEX('Input Transaksi'!$F:$F,$E417))</f>
        <v/>
      </c>
      <c r="E417">
        <f>IFERROR(AGGREGATE(15,6,ROW('Input Transaksi'!$B$5:$B$5000)/('Input Transaksi'!$B$5:$B$5000="JCL BYPASS"),ROWS($E$5:E417)),"")</f>
        <v/>
      </c>
      <c r="F417" s="5" t="n"/>
    </row>
    <row r="418">
      <c r="A418" s="10">
        <f>IF($E418="","",INDEX('Input Transaksi'!$A:$A,$E418))</f>
        <v/>
      </c>
      <c r="B418" s="5">
        <f>IF($E418="","",INDEX('Input Transaksi'!$D:$D,$E418))</f>
        <v/>
      </c>
      <c r="C418">
        <f>IF($E418="","",INDEX('Input Transaksi'!$E:$E,$E418))</f>
        <v/>
      </c>
      <c r="D418" s="5">
        <f>IF($E418="","",INDEX('Input Transaksi'!$F:$F,$E418))</f>
        <v/>
      </c>
      <c r="E418">
        <f>IFERROR(AGGREGATE(15,6,ROW('Input Transaksi'!$B$5:$B$5000)/('Input Transaksi'!$B$5:$B$5000="JCL BYPASS"),ROWS($E$5:E418)),"")</f>
        <v/>
      </c>
      <c r="F418" s="5" t="n"/>
    </row>
    <row r="419">
      <c r="A419" s="10">
        <f>IF($E419="","",INDEX('Input Transaksi'!$A:$A,$E419))</f>
        <v/>
      </c>
      <c r="B419" s="5">
        <f>IF($E419="","",INDEX('Input Transaksi'!$D:$D,$E419))</f>
        <v/>
      </c>
      <c r="C419">
        <f>IF($E419="","",INDEX('Input Transaksi'!$E:$E,$E419))</f>
        <v/>
      </c>
      <c r="D419" s="5">
        <f>IF($E419="","",INDEX('Input Transaksi'!$F:$F,$E419))</f>
        <v/>
      </c>
      <c r="E419">
        <f>IFERROR(AGGREGATE(15,6,ROW('Input Transaksi'!$B$5:$B$5000)/('Input Transaksi'!$B$5:$B$5000="JCL BYPASS"),ROWS($E$5:E419)),"")</f>
        <v/>
      </c>
      <c r="F419" s="5" t="n"/>
    </row>
    <row r="420">
      <c r="A420" s="10">
        <f>IF($E420="","",INDEX('Input Transaksi'!$A:$A,$E420))</f>
        <v/>
      </c>
      <c r="B420" s="5">
        <f>IF($E420="","",INDEX('Input Transaksi'!$D:$D,$E420))</f>
        <v/>
      </c>
      <c r="C420">
        <f>IF($E420="","",INDEX('Input Transaksi'!$E:$E,$E420))</f>
        <v/>
      </c>
      <c r="D420" s="5">
        <f>IF($E420="","",INDEX('Input Transaksi'!$F:$F,$E420))</f>
        <v/>
      </c>
      <c r="E420">
        <f>IFERROR(AGGREGATE(15,6,ROW('Input Transaksi'!$B$5:$B$5000)/('Input Transaksi'!$B$5:$B$5000="JCL BYPASS"),ROWS($E$5:E420)),"")</f>
        <v/>
      </c>
      <c r="F420" s="5" t="n"/>
    </row>
    <row r="421">
      <c r="A421" s="10">
        <f>IF($E421="","",INDEX('Input Transaksi'!$A:$A,$E421))</f>
        <v/>
      </c>
      <c r="B421" s="5">
        <f>IF($E421="","",INDEX('Input Transaksi'!$D:$D,$E421))</f>
        <v/>
      </c>
      <c r="C421">
        <f>IF($E421="","",INDEX('Input Transaksi'!$E:$E,$E421))</f>
        <v/>
      </c>
      <c r="D421" s="5">
        <f>IF($E421="","",INDEX('Input Transaksi'!$F:$F,$E421))</f>
        <v/>
      </c>
      <c r="E421">
        <f>IFERROR(AGGREGATE(15,6,ROW('Input Transaksi'!$B$5:$B$5000)/('Input Transaksi'!$B$5:$B$5000="JCL BYPASS"),ROWS($E$5:E421)),"")</f>
        <v/>
      </c>
      <c r="F421" s="5" t="n"/>
    </row>
    <row r="422">
      <c r="A422" s="10">
        <f>IF($E422="","",INDEX('Input Transaksi'!$A:$A,$E422))</f>
        <v/>
      </c>
      <c r="B422" s="5">
        <f>IF($E422="","",INDEX('Input Transaksi'!$D:$D,$E422))</f>
        <v/>
      </c>
      <c r="C422">
        <f>IF($E422="","",INDEX('Input Transaksi'!$E:$E,$E422))</f>
        <v/>
      </c>
      <c r="D422" s="5">
        <f>IF($E422="","",INDEX('Input Transaksi'!$F:$F,$E422))</f>
        <v/>
      </c>
      <c r="E422">
        <f>IFERROR(AGGREGATE(15,6,ROW('Input Transaksi'!$B$5:$B$5000)/('Input Transaksi'!$B$5:$B$5000="JCL BYPASS"),ROWS($E$5:E422)),"")</f>
        <v/>
      </c>
      <c r="F422" s="5" t="n"/>
    </row>
    <row r="423">
      <c r="A423" s="10">
        <f>IF($E423="","",INDEX('Input Transaksi'!$A:$A,$E423))</f>
        <v/>
      </c>
      <c r="B423" s="5">
        <f>IF($E423="","",INDEX('Input Transaksi'!$D:$D,$E423))</f>
        <v/>
      </c>
      <c r="C423">
        <f>IF($E423="","",INDEX('Input Transaksi'!$E:$E,$E423))</f>
        <v/>
      </c>
      <c r="D423" s="5">
        <f>IF($E423="","",INDEX('Input Transaksi'!$F:$F,$E423))</f>
        <v/>
      </c>
      <c r="E423">
        <f>IFERROR(AGGREGATE(15,6,ROW('Input Transaksi'!$B$5:$B$5000)/('Input Transaksi'!$B$5:$B$5000="JCL BYPASS"),ROWS($E$5:E423)),"")</f>
        <v/>
      </c>
      <c r="F423" s="5" t="n"/>
    </row>
    <row r="424">
      <c r="A424" s="10">
        <f>IF($E424="","",INDEX('Input Transaksi'!$A:$A,$E424))</f>
        <v/>
      </c>
      <c r="B424" s="5">
        <f>IF($E424="","",INDEX('Input Transaksi'!$D:$D,$E424))</f>
        <v/>
      </c>
      <c r="C424">
        <f>IF($E424="","",INDEX('Input Transaksi'!$E:$E,$E424))</f>
        <v/>
      </c>
      <c r="D424" s="5">
        <f>IF($E424="","",INDEX('Input Transaksi'!$F:$F,$E424))</f>
        <v/>
      </c>
      <c r="E424">
        <f>IFERROR(AGGREGATE(15,6,ROW('Input Transaksi'!$B$5:$B$5000)/('Input Transaksi'!$B$5:$B$5000="JCL BYPASS"),ROWS($E$5:E424)),"")</f>
        <v/>
      </c>
      <c r="F424" s="5" t="n"/>
    </row>
    <row r="425">
      <c r="A425" s="10">
        <f>IF($E425="","",INDEX('Input Transaksi'!$A:$A,$E425))</f>
        <v/>
      </c>
      <c r="B425" s="5">
        <f>IF($E425="","",INDEX('Input Transaksi'!$D:$D,$E425))</f>
        <v/>
      </c>
      <c r="C425">
        <f>IF($E425="","",INDEX('Input Transaksi'!$E:$E,$E425))</f>
        <v/>
      </c>
      <c r="D425" s="5">
        <f>IF($E425="","",INDEX('Input Transaksi'!$F:$F,$E425))</f>
        <v/>
      </c>
      <c r="E425">
        <f>IFERROR(AGGREGATE(15,6,ROW('Input Transaksi'!$B$5:$B$5000)/('Input Transaksi'!$B$5:$B$5000="JCL BYPASS"),ROWS($E$5:E425)),"")</f>
        <v/>
      </c>
      <c r="F425" s="5" t="n"/>
    </row>
    <row r="426">
      <c r="A426" s="10">
        <f>IF($E426="","",INDEX('Input Transaksi'!$A:$A,$E426))</f>
        <v/>
      </c>
      <c r="B426" s="5">
        <f>IF($E426="","",INDEX('Input Transaksi'!$D:$D,$E426))</f>
        <v/>
      </c>
      <c r="C426">
        <f>IF($E426="","",INDEX('Input Transaksi'!$E:$E,$E426))</f>
        <v/>
      </c>
      <c r="D426" s="5">
        <f>IF($E426="","",INDEX('Input Transaksi'!$F:$F,$E426))</f>
        <v/>
      </c>
      <c r="E426">
        <f>IFERROR(AGGREGATE(15,6,ROW('Input Transaksi'!$B$5:$B$5000)/('Input Transaksi'!$B$5:$B$5000="JCL BYPASS"),ROWS($E$5:E426)),"")</f>
        <v/>
      </c>
      <c r="F426" s="5" t="n"/>
    </row>
    <row r="427">
      <c r="A427" s="10">
        <f>IF($E427="","",INDEX('Input Transaksi'!$A:$A,$E427))</f>
        <v/>
      </c>
      <c r="B427" s="5">
        <f>IF($E427="","",INDEX('Input Transaksi'!$D:$D,$E427))</f>
        <v/>
      </c>
      <c r="C427">
        <f>IF($E427="","",INDEX('Input Transaksi'!$E:$E,$E427))</f>
        <v/>
      </c>
      <c r="D427" s="5">
        <f>IF($E427="","",INDEX('Input Transaksi'!$F:$F,$E427))</f>
        <v/>
      </c>
      <c r="E427">
        <f>IFERROR(AGGREGATE(15,6,ROW('Input Transaksi'!$B$5:$B$5000)/('Input Transaksi'!$B$5:$B$5000="JCL BYPASS"),ROWS($E$5:E427)),"")</f>
        <v/>
      </c>
      <c r="F427" s="5" t="n"/>
    </row>
    <row r="428">
      <c r="A428" s="10">
        <f>IF($E428="","",INDEX('Input Transaksi'!$A:$A,$E428))</f>
        <v/>
      </c>
      <c r="B428" s="5">
        <f>IF($E428="","",INDEX('Input Transaksi'!$D:$D,$E428))</f>
        <v/>
      </c>
      <c r="C428">
        <f>IF($E428="","",INDEX('Input Transaksi'!$E:$E,$E428))</f>
        <v/>
      </c>
      <c r="D428" s="5">
        <f>IF($E428="","",INDEX('Input Transaksi'!$F:$F,$E428))</f>
        <v/>
      </c>
      <c r="E428">
        <f>IFERROR(AGGREGATE(15,6,ROW('Input Transaksi'!$B$5:$B$5000)/('Input Transaksi'!$B$5:$B$5000="JCL BYPASS"),ROWS($E$5:E428)),"")</f>
        <v/>
      </c>
      <c r="F428" s="5" t="n"/>
    </row>
    <row r="429">
      <c r="A429" s="10">
        <f>IF($E429="","",INDEX('Input Transaksi'!$A:$A,$E429))</f>
        <v/>
      </c>
      <c r="B429" s="5">
        <f>IF($E429="","",INDEX('Input Transaksi'!$D:$D,$E429))</f>
        <v/>
      </c>
      <c r="C429">
        <f>IF($E429="","",INDEX('Input Transaksi'!$E:$E,$E429))</f>
        <v/>
      </c>
      <c r="D429" s="5">
        <f>IF($E429="","",INDEX('Input Transaksi'!$F:$F,$E429))</f>
        <v/>
      </c>
      <c r="E429">
        <f>IFERROR(AGGREGATE(15,6,ROW('Input Transaksi'!$B$5:$B$5000)/('Input Transaksi'!$B$5:$B$5000="JCL BYPASS"),ROWS($E$5:E429)),"")</f>
        <v/>
      </c>
      <c r="F429" s="5" t="n"/>
    </row>
    <row r="430">
      <c r="A430" s="10">
        <f>IF($E430="","",INDEX('Input Transaksi'!$A:$A,$E430))</f>
        <v/>
      </c>
      <c r="B430" s="5">
        <f>IF($E430="","",INDEX('Input Transaksi'!$D:$D,$E430))</f>
        <v/>
      </c>
      <c r="C430">
        <f>IF($E430="","",INDEX('Input Transaksi'!$E:$E,$E430))</f>
        <v/>
      </c>
      <c r="D430" s="5">
        <f>IF($E430="","",INDEX('Input Transaksi'!$F:$F,$E430))</f>
        <v/>
      </c>
      <c r="E430">
        <f>IFERROR(AGGREGATE(15,6,ROW('Input Transaksi'!$B$5:$B$5000)/('Input Transaksi'!$B$5:$B$5000="JCL BYPASS"),ROWS($E$5:E430)),"")</f>
        <v/>
      </c>
      <c r="F430" s="5" t="n"/>
    </row>
    <row r="431">
      <c r="A431" s="10">
        <f>IF($E431="","",INDEX('Input Transaksi'!$A:$A,$E431))</f>
        <v/>
      </c>
      <c r="B431" s="5">
        <f>IF($E431="","",INDEX('Input Transaksi'!$D:$D,$E431))</f>
        <v/>
      </c>
      <c r="C431">
        <f>IF($E431="","",INDEX('Input Transaksi'!$E:$E,$E431))</f>
        <v/>
      </c>
      <c r="D431" s="5">
        <f>IF($E431="","",INDEX('Input Transaksi'!$F:$F,$E431))</f>
        <v/>
      </c>
      <c r="E431">
        <f>IFERROR(AGGREGATE(15,6,ROW('Input Transaksi'!$B$5:$B$5000)/('Input Transaksi'!$B$5:$B$5000="JCL BYPASS"),ROWS($E$5:E431)),"")</f>
        <v/>
      </c>
      <c r="F431" s="5" t="n"/>
    </row>
    <row r="432">
      <c r="A432" s="10">
        <f>IF($E432="","",INDEX('Input Transaksi'!$A:$A,$E432))</f>
        <v/>
      </c>
      <c r="B432" s="5">
        <f>IF($E432="","",INDEX('Input Transaksi'!$D:$D,$E432))</f>
        <v/>
      </c>
      <c r="C432">
        <f>IF($E432="","",INDEX('Input Transaksi'!$E:$E,$E432))</f>
        <v/>
      </c>
      <c r="D432" s="5">
        <f>IF($E432="","",INDEX('Input Transaksi'!$F:$F,$E432))</f>
        <v/>
      </c>
      <c r="E432">
        <f>IFERROR(AGGREGATE(15,6,ROW('Input Transaksi'!$B$5:$B$5000)/('Input Transaksi'!$B$5:$B$5000="JCL BYPASS"),ROWS($E$5:E432)),"")</f>
        <v/>
      </c>
      <c r="F432" s="5" t="n"/>
    </row>
    <row r="433">
      <c r="A433" s="10">
        <f>IF($E433="","",INDEX('Input Transaksi'!$A:$A,$E433))</f>
        <v/>
      </c>
      <c r="B433" s="5">
        <f>IF($E433="","",INDEX('Input Transaksi'!$D:$D,$E433))</f>
        <v/>
      </c>
      <c r="C433">
        <f>IF($E433="","",INDEX('Input Transaksi'!$E:$E,$E433))</f>
        <v/>
      </c>
      <c r="D433" s="5">
        <f>IF($E433="","",INDEX('Input Transaksi'!$F:$F,$E433))</f>
        <v/>
      </c>
      <c r="E433">
        <f>IFERROR(AGGREGATE(15,6,ROW('Input Transaksi'!$B$5:$B$5000)/('Input Transaksi'!$B$5:$B$5000="JCL BYPASS"),ROWS($E$5:E433)),"")</f>
        <v/>
      </c>
      <c r="F433" s="5" t="n"/>
    </row>
    <row r="434">
      <c r="A434" s="10">
        <f>IF($E434="","",INDEX('Input Transaksi'!$A:$A,$E434))</f>
        <v/>
      </c>
      <c r="B434" s="5">
        <f>IF($E434="","",INDEX('Input Transaksi'!$D:$D,$E434))</f>
        <v/>
      </c>
      <c r="C434">
        <f>IF($E434="","",INDEX('Input Transaksi'!$E:$E,$E434))</f>
        <v/>
      </c>
      <c r="D434" s="5">
        <f>IF($E434="","",INDEX('Input Transaksi'!$F:$F,$E434))</f>
        <v/>
      </c>
      <c r="E434">
        <f>IFERROR(AGGREGATE(15,6,ROW('Input Transaksi'!$B$5:$B$5000)/('Input Transaksi'!$B$5:$B$5000="JCL BYPASS"),ROWS($E$5:E434)),"")</f>
        <v/>
      </c>
      <c r="F434" s="5" t="n"/>
    </row>
    <row r="435">
      <c r="A435" s="10">
        <f>IF($E435="","",INDEX('Input Transaksi'!$A:$A,$E435))</f>
        <v/>
      </c>
      <c r="B435" s="5">
        <f>IF($E435="","",INDEX('Input Transaksi'!$D:$D,$E435))</f>
        <v/>
      </c>
      <c r="C435">
        <f>IF($E435="","",INDEX('Input Transaksi'!$E:$E,$E435))</f>
        <v/>
      </c>
      <c r="D435" s="5">
        <f>IF($E435="","",INDEX('Input Transaksi'!$F:$F,$E435))</f>
        <v/>
      </c>
      <c r="E435">
        <f>IFERROR(AGGREGATE(15,6,ROW('Input Transaksi'!$B$5:$B$5000)/('Input Transaksi'!$B$5:$B$5000="JCL BYPASS"),ROWS($E$5:E435)),"")</f>
        <v/>
      </c>
      <c r="F435" s="5" t="n"/>
    </row>
    <row r="436">
      <c r="A436" s="10">
        <f>IF($E436="","",INDEX('Input Transaksi'!$A:$A,$E436))</f>
        <v/>
      </c>
      <c r="B436" s="5">
        <f>IF($E436="","",INDEX('Input Transaksi'!$D:$D,$E436))</f>
        <v/>
      </c>
      <c r="C436">
        <f>IF($E436="","",INDEX('Input Transaksi'!$E:$E,$E436))</f>
        <v/>
      </c>
      <c r="D436" s="5">
        <f>IF($E436="","",INDEX('Input Transaksi'!$F:$F,$E436))</f>
        <v/>
      </c>
      <c r="E436">
        <f>IFERROR(AGGREGATE(15,6,ROW('Input Transaksi'!$B$5:$B$5000)/('Input Transaksi'!$B$5:$B$5000="JCL BYPASS"),ROWS($E$5:E436)),"")</f>
        <v/>
      </c>
      <c r="F436" s="5" t="n"/>
    </row>
    <row r="437">
      <c r="A437" s="10">
        <f>IF($E437="","",INDEX('Input Transaksi'!$A:$A,$E437))</f>
        <v/>
      </c>
      <c r="B437" s="5">
        <f>IF($E437="","",INDEX('Input Transaksi'!$D:$D,$E437))</f>
        <v/>
      </c>
      <c r="C437">
        <f>IF($E437="","",INDEX('Input Transaksi'!$E:$E,$E437))</f>
        <v/>
      </c>
      <c r="D437" s="5">
        <f>IF($E437="","",INDEX('Input Transaksi'!$F:$F,$E437))</f>
        <v/>
      </c>
      <c r="E437">
        <f>IFERROR(AGGREGATE(15,6,ROW('Input Transaksi'!$B$5:$B$5000)/('Input Transaksi'!$B$5:$B$5000="JCL BYPASS"),ROWS($E$5:E437)),"")</f>
        <v/>
      </c>
      <c r="F437" s="5" t="n"/>
    </row>
    <row r="438">
      <c r="A438" s="10">
        <f>IF($E438="","",INDEX('Input Transaksi'!$A:$A,$E438))</f>
        <v/>
      </c>
      <c r="B438" s="5">
        <f>IF($E438="","",INDEX('Input Transaksi'!$D:$D,$E438))</f>
        <v/>
      </c>
      <c r="C438">
        <f>IF($E438="","",INDEX('Input Transaksi'!$E:$E,$E438))</f>
        <v/>
      </c>
      <c r="D438" s="5">
        <f>IF($E438="","",INDEX('Input Transaksi'!$F:$F,$E438))</f>
        <v/>
      </c>
      <c r="E438">
        <f>IFERROR(AGGREGATE(15,6,ROW('Input Transaksi'!$B$5:$B$5000)/('Input Transaksi'!$B$5:$B$5000="JCL BYPASS"),ROWS($E$5:E438)),"")</f>
        <v/>
      </c>
      <c r="F438" s="5" t="n"/>
    </row>
    <row r="439">
      <c r="A439" s="10">
        <f>IF($E439="","",INDEX('Input Transaksi'!$A:$A,$E439))</f>
        <v/>
      </c>
      <c r="B439" s="5">
        <f>IF($E439="","",INDEX('Input Transaksi'!$D:$D,$E439))</f>
        <v/>
      </c>
      <c r="C439">
        <f>IF($E439="","",INDEX('Input Transaksi'!$E:$E,$E439))</f>
        <v/>
      </c>
      <c r="D439" s="5">
        <f>IF($E439="","",INDEX('Input Transaksi'!$F:$F,$E439))</f>
        <v/>
      </c>
      <c r="E439">
        <f>IFERROR(AGGREGATE(15,6,ROW('Input Transaksi'!$B$5:$B$5000)/('Input Transaksi'!$B$5:$B$5000="JCL BYPASS"),ROWS($E$5:E439)),"")</f>
        <v/>
      </c>
      <c r="F439" s="5" t="n"/>
    </row>
    <row r="440">
      <c r="A440" s="10">
        <f>IF($E440="","",INDEX('Input Transaksi'!$A:$A,$E440))</f>
        <v/>
      </c>
      <c r="B440" s="5">
        <f>IF($E440="","",INDEX('Input Transaksi'!$D:$D,$E440))</f>
        <v/>
      </c>
      <c r="C440">
        <f>IF($E440="","",INDEX('Input Transaksi'!$E:$E,$E440))</f>
        <v/>
      </c>
      <c r="D440" s="5">
        <f>IF($E440="","",INDEX('Input Transaksi'!$F:$F,$E440))</f>
        <v/>
      </c>
      <c r="E440">
        <f>IFERROR(AGGREGATE(15,6,ROW('Input Transaksi'!$B$5:$B$5000)/('Input Transaksi'!$B$5:$B$5000="JCL BYPASS"),ROWS($E$5:E440)),"")</f>
        <v/>
      </c>
      <c r="F440" s="5" t="n"/>
    </row>
    <row r="441">
      <c r="A441" s="10">
        <f>IF($E441="","",INDEX('Input Transaksi'!$A:$A,$E441))</f>
        <v/>
      </c>
      <c r="B441" s="5">
        <f>IF($E441="","",INDEX('Input Transaksi'!$D:$D,$E441))</f>
        <v/>
      </c>
      <c r="C441">
        <f>IF($E441="","",INDEX('Input Transaksi'!$E:$E,$E441))</f>
        <v/>
      </c>
      <c r="D441" s="5">
        <f>IF($E441="","",INDEX('Input Transaksi'!$F:$F,$E441))</f>
        <v/>
      </c>
      <c r="E441">
        <f>IFERROR(AGGREGATE(15,6,ROW('Input Transaksi'!$B$5:$B$5000)/('Input Transaksi'!$B$5:$B$5000="JCL BYPASS"),ROWS($E$5:E441)),"")</f>
        <v/>
      </c>
      <c r="F441" s="5" t="n"/>
    </row>
    <row r="442">
      <c r="A442" s="10">
        <f>IF($E442="","",INDEX('Input Transaksi'!$A:$A,$E442))</f>
        <v/>
      </c>
      <c r="B442" s="5">
        <f>IF($E442="","",INDEX('Input Transaksi'!$D:$D,$E442))</f>
        <v/>
      </c>
      <c r="C442">
        <f>IF($E442="","",INDEX('Input Transaksi'!$E:$E,$E442))</f>
        <v/>
      </c>
      <c r="D442" s="5">
        <f>IF($E442="","",INDEX('Input Transaksi'!$F:$F,$E442))</f>
        <v/>
      </c>
      <c r="E442">
        <f>IFERROR(AGGREGATE(15,6,ROW('Input Transaksi'!$B$5:$B$5000)/('Input Transaksi'!$B$5:$B$5000="JCL BYPASS"),ROWS($E$5:E442)),"")</f>
        <v/>
      </c>
      <c r="F442" s="5" t="n"/>
    </row>
    <row r="443">
      <c r="A443" s="10">
        <f>IF($E443="","",INDEX('Input Transaksi'!$A:$A,$E443))</f>
        <v/>
      </c>
      <c r="B443" s="5">
        <f>IF($E443="","",INDEX('Input Transaksi'!$D:$D,$E443))</f>
        <v/>
      </c>
      <c r="C443">
        <f>IF($E443="","",INDEX('Input Transaksi'!$E:$E,$E443))</f>
        <v/>
      </c>
      <c r="D443" s="5">
        <f>IF($E443="","",INDEX('Input Transaksi'!$F:$F,$E443))</f>
        <v/>
      </c>
      <c r="E443">
        <f>IFERROR(AGGREGATE(15,6,ROW('Input Transaksi'!$B$5:$B$5000)/('Input Transaksi'!$B$5:$B$5000="JCL BYPASS"),ROWS($E$5:E443)),"")</f>
        <v/>
      </c>
      <c r="F443" s="5" t="n"/>
    </row>
    <row r="444">
      <c r="A444" s="10">
        <f>IF($E444="","",INDEX('Input Transaksi'!$A:$A,$E444))</f>
        <v/>
      </c>
      <c r="B444" s="5">
        <f>IF($E444="","",INDEX('Input Transaksi'!$D:$D,$E444))</f>
        <v/>
      </c>
      <c r="C444">
        <f>IF($E444="","",INDEX('Input Transaksi'!$E:$E,$E444))</f>
        <v/>
      </c>
      <c r="D444" s="5">
        <f>IF($E444="","",INDEX('Input Transaksi'!$F:$F,$E444))</f>
        <v/>
      </c>
      <c r="E444">
        <f>IFERROR(AGGREGATE(15,6,ROW('Input Transaksi'!$B$5:$B$5000)/('Input Transaksi'!$B$5:$B$5000="JCL BYPASS"),ROWS($E$5:E444)),"")</f>
        <v/>
      </c>
      <c r="F444" s="5" t="n"/>
    </row>
    <row r="445">
      <c r="A445" s="10">
        <f>IF($E445="","",INDEX('Input Transaksi'!$A:$A,$E445))</f>
        <v/>
      </c>
      <c r="B445" s="5">
        <f>IF($E445="","",INDEX('Input Transaksi'!$D:$D,$E445))</f>
        <v/>
      </c>
      <c r="C445">
        <f>IF($E445="","",INDEX('Input Transaksi'!$E:$E,$E445))</f>
        <v/>
      </c>
      <c r="D445" s="5">
        <f>IF($E445="","",INDEX('Input Transaksi'!$F:$F,$E445))</f>
        <v/>
      </c>
      <c r="E445">
        <f>IFERROR(AGGREGATE(15,6,ROW('Input Transaksi'!$B$5:$B$5000)/('Input Transaksi'!$B$5:$B$5000="JCL BYPASS"),ROWS($E$5:E445)),"")</f>
        <v/>
      </c>
      <c r="F445" s="5" t="n"/>
    </row>
    <row r="446">
      <c r="A446" s="10">
        <f>IF($E446="","",INDEX('Input Transaksi'!$A:$A,$E446))</f>
        <v/>
      </c>
      <c r="B446" s="5">
        <f>IF($E446="","",INDEX('Input Transaksi'!$D:$D,$E446))</f>
        <v/>
      </c>
      <c r="C446">
        <f>IF($E446="","",INDEX('Input Transaksi'!$E:$E,$E446))</f>
        <v/>
      </c>
      <c r="D446" s="5">
        <f>IF($E446="","",INDEX('Input Transaksi'!$F:$F,$E446))</f>
        <v/>
      </c>
      <c r="E446">
        <f>IFERROR(AGGREGATE(15,6,ROW('Input Transaksi'!$B$5:$B$5000)/('Input Transaksi'!$B$5:$B$5000="JCL BYPASS"),ROWS($E$5:E446)),"")</f>
        <v/>
      </c>
      <c r="F446" s="5" t="n"/>
    </row>
    <row r="447">
      <c r="A447" s="10">
        <f>IF($E447="","",INDEX('Input Transaksi'!$A:$A,$E447))</f>
        <v/>
      </c>
      <c r="B447" s="5">
        <f>IF($E447="","",INDEX('Input Transaksi'!$D:$D,$E447))</f>
        <v/>
      </c>
      <c r="C447">
        <f>IF($E447="","",INDEX('Input Transaksi'!$E:$E,$E447))</f>
        <v/>
      </c>
      <c r="D447" s="5">
        <f>IF($E447="","",INDEX('Input Transaksi'!$F:$F,$E447))</f>
        <v/>
      </c>
      <c r="E447">
        <f>IFERROR(AGGREGATE(15,6,ROW('Input Transaksi'!$B$5:$B$5000)/('Input Transaksi'!$B$5:$B$5000="JCL BYPASS"),ROWS($E$5:E447)),"")</f>
        <v/>
      </c>
      <c r="F447" s="5" t="n"/>
    </row>
    <row r="448">
      <c r="A448" s="10">
        <f>IF($E448="","",INDEX('Input Transaksi'!$A:$A,$E448))</f>
        <v/>
      </c>
      <c r="B448" s="5">
        <f>IF($E448="","",INDEX('Input Transaksi'!$D:$D,$E448))</f>
        <v/>
      </c>
      <c r="C448">
        <f>IF($E448="","",INDEX('Input Transaksi'!$E:$E,$E448))</f>
        <v/>
      </c>
      <c r="D448" s="5">
        <f>IF($E448="","",INDEX('Input Transaksi'!$F:$F,$E448))</f>
        <v/>
      </c>
      <c r="E448">
        <f>IFERROR(AGGREGATE(15,6,ROW('Input Transaksi'!$B$5:$B$5000)/('Input Transaksi'!$B$5:$B$5000="JCL BYPASS"),ROWS($E$5:E448)),"")</f>
        <v/>
      </c>
      <c r="F448" s="5" t="n"/>
    </row>
    <row r="449">
      <c r="A449" s="10">
        <f>IF($E449="","",INDEX('Input Transaksi'!$A:$A,$E449))</f>
        <v/>
      </c>
      <c r="B449" s="5">
        <f>IF($E449="","",INDEX('Input Transaksi'!$D:$D,$E449))</f>
        <v/>
      </c>
      <c r="C449">
        <f>IF($E449="","",INDEX('Input Transaksi'!$E:$E,$E449))</f>
        <v/>
      </c>
      <c r="D449" s="5">
        <f>IF($E449="","",INDEX('Input Transaksi'!$F:$F,$E449))</f>
        <v/>
      </c>
      <c r="E449">
        <f>IFERROR(AGGREGATE(15,6,ROW('Input Transaksi'!$B$5:$B$5000)/('Input Transaksi'!$B$5:$B$5000="JCL BYPASS"),ROWS($E$5:E449)),"")</f>
        <v/>
      </c>
      <c r="F449" s="5" t="n"/>
    </row>
    <row r="450">
      <c r="A450" s="10">
        <f>IF($E450="","",INDEX('Input Transaksi'!$A:$A,$E450))</f>
        <v/>
      </c>
      <c r="B450" s="5">
        <f>IF($E450="","",INDEX('Input Transaksi'!$D:$D,$E450))</f>
        <v/>
      </c>
      <c r="C450">
        <f>IF($E450="","",INDEX('Input Transaksi'!$E:$E,$E450))</f>
        <v/>
      </c>
      <c r="D450" s="5">
        <f>IF($E450="","",INDEX('Input Transaksi'!$F:$F,$E450))</f>
        <v/>
      </c>
      <c r="E450">
        <f>IFERROR(AGGREGATE(15,6,ROW('Input Transaksi'!$B$5:$B$5000)/('Input Transaksi'!$B$5:$B$5000="JCL BYPASS"),ROWS($E$5:E450)),"")</f>
        <v/>
      </c>
      <c r="F450" s="5" t="n"/>
    </row>
    <row r="451">
      <c r="A451" s="10">
        <f>IF($E451="","",INDEX('Input Transaksi'!$A:$A,$E451))</f>
        <v/>
      </c>
      <c r="B451" s="5">
        <f>IF($E451="","",INDEX('Input Transaksi'!$D:$D,$E451))</f>
        <v/>
      </c>
      <c r="C451">
        <f>IF($E451="","",INDEX('Input Transaksi'!$E:$E,$E451))</f>
        <v/>
      </c>
      <c r="D451" s="5">
        <f>IF($E451="","",INDEX('Input Transaksi'!$F:$F,$E451))</f>
        <v/>
      </c>
      <c r="E451">
        <f>IFERROR(AGGREGATE(15,6,ROW('Input Transaksi'!$B$5:$B$5000)/('Input Transaksi'!$B$5:$B$5000="JCL BYPASS"),ROWS($E$5:E451)),"")</f>
        <v/>
      </c>
      <c r="F451" s="5" t="n"/>
    </row>
    <row r="452">
      <c r="A452" s="10">
        <f>IF($E452="","",INDEX('Input Transaksi'!$A:$A,$E452))</f>
        <v/>
      </c>
      <c r="B452" s="5">
        <f>IF($E452="","",INDEX('Input Transaksi'!$D:$D,$E452))</f>
        <v/>
      </c>
      <c r="C452">
        <f>IF($E452="","",INDEX('Input Transaksi'!$E:$E,$E452))</f>
        <v/>
      </c>
      <c r="D452" s="5">
        <f>IF($E452="","",INDEX('Input Transaksi'!$F:$F,$E452))</f>
        <v/>
      </c>
      <c r="E452">
        <f>IFERROR(AGGREGATE(15,6,ROW('Input Transaksi'!$B$5:$B$5000)/('Input Transaksi'!$B$5:$B$5000="JCL BYPASS"),ROWS($E$5:E452)),"")</f>
        <v/>
      </c>
      <c r="F452" s="5" t="n"/>
    </row>
    <row r="453">
      <c r="A453" s="10">
        <f>IF($E453="","",INDEX('Input Transaksi'!$A:$A,$E453))</f>
        <v/>
      </c>
      <c r="B453" s="5">
        <f>IF($E453="","",INDEX('Input Transaksi'!$D:$D,$E453))</f>
        <v/>
      </c>
      <c r="C453">
        <f>IF($E453="","",INDEX('Input Transaksi'!$E:$E,$E453))</f>
        <v/>
      </c>
      <c r="D453" s="5">
        <f>IF($E453="","",INDEX('Input Transaksi'!$F:$F,$E453))</f>
        <v/>
      </c>
      <c r="E453">
        <f>IFERROR(AGGREGATE(15,6,ROW('Input Transaksi'!$B$5:$B$5000)/('Input Transaksi'!$B$5:$B$5000="JCL BYPASS"),ROWS($E$5:E453)),"")</f>
        <v/>
      </c>
      <c r="F453" s="5" t="n"/>
    </row>
    <row r="454">
      <c r="A454" s="10">
        <f>IF($E454="","",INDEX('Input Transaksi'!$A:$A,$E454))</f>
        <v/>
      </c>
      <c r="B454" s="5">
        <f>IF($E454="","",INDEX('Input Transaksi'!$D:$D,$E454))</f>
        <v/>
      </c>
      <c r="C454">
        <f>IF($E454="","",INDEX('Input Transaksi'!$E:$E,$E454))</f>
        <v/>
      </c>
      <c r="D454" s="5">
        <f>IF($E454="","",INDEX('Input Transaksi'!$F:$F,$E454))</f>
        <v/>
      </c>
      <c r="E454">
        <f>IFERROR(AGGREGATE(15,6,ROW('Input Transaksi'!$B$5:$B$5000)/('Input Transaksi'!$B$5:$B$5000="JCL BYPASS"),ROWS($E$5:E454)),"")</f>
        <v/>
      </c>
      <c r="F454" s="5" t="n"/>
    </row>
    <row r="455">
      <c r="A455" s="10">
        <f>IF($E455="","",INDEX('Input Transaksi'!$A:$A,$E455))</f>
        <v/>
      </c>
      <c r="B455" s="5">
        <f>IF($E455="","",INDEX('Input Transaksi'!$D:$D,$E455))</f>
        <v/>
      </c>
      <c r="C455">
        <f>IF($E455="","",INDEX('Input Transaksi'!$E:$E,$E455))</f>
        <v/>
      </c>
      <c r="D455" s="5">
        <f>IF($E455="","",INDEX('Input Transaksi'!$F:$F,$E455))</f>
        <v/>
      </c>
      <c r="E455">
        <f>IFERROR(AGGREGATE(15,6,ROW('Input Transaksi'!$B$5:$B$5000)/('Input Transaksi'!$B$5:$B$5000="JCL BYPASS"),ROWS($E$5:E455)),"")</f>
        <v/>
      </c>
      <c r="F455" s="5" t="n"/>
    </row>
    <row r="456">
      <c r="A456" s="10">
        <f>IF($E456="","",INDEX('Input Transaksi'!$A:$A,$E456))</f>
        <v/>
      </c>
      <c r="B456" s="5">
        <f>IF($E456="","",INDEX('Input Transaksi'!$D:$D,$E456))</f>
        <v/>
      </c>
      <c r="C456">
        <f>IF($E456="","",INDEX('Input Transaksi'!$E:$E,$E456))</f>
        <v/>
      </c>
      <c r="D456" s="5">
        <f>IF($E456="","",INDEX('Input Transaksi'!$F:$F,$E456))</f>
        <v/>
      </c>
      <c r="E456">
        <f>IFERROR(AGGREGATE(15,6,ROW('Input Transaksi'!$B$5:$B$5000)/('Input Transaksi'!$B$5:$B$5000="JCL BYPASS"),ROWS($E$5:E456)),"")</f>
        <v/>
      </c>
      <c r="F456" s="5" t="n"/>
    </row>
    <row r="457">
      <c r="A457" s="10">
        <f>IF($E457="","",INDEX('Input Transaksi'!$A:$A,$E457))</f>
        <v/>
      </c>
      <c r="B457" s="5">
        <f>IF($E457="","",INDEX('Input Transaksi'!$D:$D,$E457))</f>
        <v/>
      </c>
      <c r="C457">
        <f>IF($E457="","",INDEX('Input Transaksi'!$E:$E,$E457))</f>
        <v/>
      </c>
      <c r="D457" s="5">
        <f>IF($E457="","",INDEX('Input Transaksi'!$F:$F,$E457))</f>
        <v/>
      </c>
      <c r="E457">
        <f>IFERROR(AGGREGATE(15,6,ROW('Input Transaksi'!$B$5:$B$5000)/('Input Transaksi'!$B$5:$B$5000="JCL BYPASS"),ROWS($E$5:E457)),"")</f>
        <v/>
      </c>
      <c r="F457" s="5" t="n"/>
    </row>
    <row r="458">
      <c r="A458" s="10">
        <f>IF($E458="","",INDEX('Input Transaksi'!$A:$A,$E458))</f>
        <v/>
      </c>
      <c r="B458" s="5">
        <f>IF($E458="","",INDEX('Input Transaksi'!$D:$D,$E458))</f>
        <v/>
      </c>
      <c r="C458">
        <f>IF($E458="","",INDEX('Input Transaksi'!$E:$E,$E458))</f>
        <v/>
      </c>
      <c r="D458" s="5">
        <f>IF($E458="","",INDEX('Input Transaksi'!$F:$F,$E458))</f>
        <v/>
      </c>
      <c r="E458">
        <f>IFERROR(AGGREGATE(15,6,ROW('Input Transaksi'!$B$5:$B$5000)/('Input Transaksi'!$B$5:$B$5000="JCL BYPASS"),ROWS($E$5:E458)),"")</f>
        <v/>
      </c>
      <c r="F458" s="5" t="n"/>
    </row>
    <row r="459">
      <c r="A459" s="10">
        <f>IF($E459="","",INDEX('Input Transaksi'!$A:$A,$E459))</f>
        <v/>
      </c>
      <c r="B459" s="5">
        <f>IF($E459="","",INDEX('Input Transaksi'!$D:$D,$E459))</f>
        <v/>
      </c>
      <c r="C459">
        <f>IF($E459="","",INDEX('Input Transaksi'!$E:$E,$E459))</f>
        <v/>
      </c>
      <c r="D459" s="5">
        <f>IF($E459="","",INDEX('Input Transaksi'!$F:$F,$E459))</f>
        <v/>
      </c>
      <c r="E459">
        <f>IFERROR(AGGREGATE(15,6,ROW('Input Transaksi'!$B$5:$B$5000)/('Input Transaksi'!$B$5:$B$5000="JCL BYPASS"),ROWS($E$5:E459)),"")</f>
        <v/>
      </c>
      <c r="F459" s="5" t="n"/>
    </row>
    <row r="460">
      <c r="A460" s="10">
        <f>IF($E460="","",INDEX('Input Transaksi'!$A:$A,$E460))</f>
        <v/>
      </c>
      <c r="B460" s="5">
        <f>IF($E460="","",INDEX('Input Transaksi'!$D:$D,$E460))</f>
        <v/>
      </c>
      <c r="C460">
        <f>IF($E460="","",INDEX('Input Transaksi'!$E:$E,$E460))</f>
        <v/>
      </c>
      <c r="D460" s="5">
        <f>IF($E460="","",INDEX('Input Transaksi'!$F:$F,$E460))</f>
        <v/>
      </c>
      <c r="E460">
        <f>IFERROR(AGGREGATE(15,6,ROW('Input Transaksi'!$B$5:$B$5000)/('Input Transaksi'!$B$5:$B$5000="JCL BYPASS"),ROWS($E$5:E460)),"")</f>
        <v/>
      </c>
      <c r="F460" s="5" t="n"/>
    </row>
    <row r="461">
      <c r="A461" s="10">
        <f>IF($E461="","",INDEX('Input Transaksi'!$A:$A,$E461))</f>
        <v/>
      </c>
      <c r="B461" s="5">
        <f>IF($E461="","",INDEX('Input Transaksi'!$D:$D,$E461))</f>
        <v/>
      </c>
      <c r="C461">
        <f>IF($E461="","",INDEX('Input Transaksi'!$E:$E,$E461))</f>
        <v/>
      </c>
      <c r="D461" s="5">
        <f>IF($E461="","",INDEX('Input Transaksi'!$F:$F,$E461))</f>
        <v/>
      </c>
      <c r="E461">
        <f>IFERROR(AGGREGATE(15,6,ROW('Input Transaksi'!$B$5:$B$5000)/('Input Transaksi'!$B$5:$B$5000="JCL BYPASS"),ROWS($E$5:E461)),"")</f>
        <v/>
      </c>
      <c r="F461" s="5" t="n"/>
    </row>
    <row r="462">
      <c r="A462" s="10">
        <f>IF($E462="","",INDEX('Input Transaksi'!$A:$A,$E462))</f>
        <v/>
      </c>
      <c r="B462" s="5">
        <f>IF($E462="","",INDEX('Input Transaksi'!$D:$D,$E462))</f>
        <v/>
      </c>
      <c r="C462">
        <f>IF($E462="","",INDEX('Input Transaksi'!$E:$E,$E462))</f>
        <v/>
      </c>
      <c r="D462" s="5">
        <f>IF($E462="","",INDEX('Input Transaksi'!$F:$F,$E462))</f>
        <v/>
      </c>
      <c r="E462">
        <f>IFERROR(AGGREGATE(15,6,ROW('Input Transaksi'!$B$5:$B$5000)/('Input Transaksi'!$B$5:$B$5000="JCL BYPASS"),ROWS($E$5:E462)),"")</f>
        <v/>
      </c>
      <c r="F462" s="5" t="n"/>
    </row>
    <row r="463">
      <c r="A463" s="10">
        <f>IF($E463="","",INDEX('Input Transaksi'!$A:$A,$E463))</f>
        <v/>
      </c>
      <c r="B463" s="5">
        <f>IF($E463="","",INDEX('Input Transaksi'!$D:$D,$E463))</f>
        <v/>
      </c>
      <c r="C463">
        <f>IF($E463="","",INDEX('Input Transaksi'!$E:$E,$E463))</f>
        <v/>
      </c>
      <c r="D463" s="5">
        <f>IF($E463="","",INDEX('Input Transaksi'!$F:$F,$E463))</f>
        <v/>
      </c>
      <c r="E463">
        <f>IFERROR(AGGREGATE(15,6,ROW('Input Transaksi'!$B$5:$B$5000)/('Input Transaksi'!$B$5:$B$5000="JCL BYPASS"),ROWS($E$5:E463)),"")</f>
        <v/>
      </c>
      <c r="F463" s="5" t="n"/>
    </row>
    <row r="464">
      <c r="A464" s="10">
        <f>IF($E464="","",INDEX('Input Transaksi'!$A:$A,$E464))</f>
        <v/>
      </c>
      <c r="B464" s="5">
        <f>IF($E464="","",INDEX('Input Transaksi'!$D:$D,$E464))</f>
        <v/>
      </c>
      <c r="C464">
        <f>IF($E464="","",INDEX('Input Transaksi'!$E:$E,$E464))</f>
        <v/>
      </c>
      <c r="D464" s="5">
        <f>IF($E464="","",INDEX('Input Transaksi'!$F:$F,$E464))</f>
        <v/>
      </c>
      <c r="E464">
        <f>IFERROR(AGGREGATE(15,6,ROW('Input Transaksi'!$B$5:$B$5000)/('Input Transaksi'!$B$5:$B$5000="JCL BYPASS"),ROWS($E$5:E464)),"")</f>
        <v/>
      </c>
      <c r="F464" s="5" t="n"/>
    </row>
    <row r="465">
      <c r="A465" s="10">
        <f>IF($E465="","",INDEX('Input Transaksi'!$A:$A,$E465))</f>
        <v/>
      </c>
      <c r="B465" s="5">
        <f>IF($E465="","",INDEX('Input Transaksi'!$D:$D,$E465))</f>
        <v/>
      </c>
      <c r="C465">
        <f>IF($E465="","",INDEX('Input Transaksi'!$E:$E,$E465))</f>
        <v/>
      </c>
      <c r="D465" s="5">
        <f>IF($E465="","",INDEX('Input Transaksi'!$F:$F,$E465))</f>
        <v/>
      </c>
      <c r="E465">
        <f>IFERROR(AGGREGATE(15,6,ROW('Input Transaksi'!$B$5:$B$5000)/('Input Transaksi'!$B$5:$B$5000="JCL BYPASS"),ROWS($E$5:E465)),"")</f>
        <v/>
      </c>
      <c r="F465" s="5" t="n"/>
    </row>
    <row r="466">
      <c r="A466" s="10">
        <f>IF($E466="","",INDEX('Input Transaksi'!$A:$A,$E466))</f>
        <v/>
      </c>
      <c r="B466" s="5">
        <f>IF($E466="","",INDEX('Input Transaksi'!$D:$D,$E466))</f>
        <v/>
      </c>
      <c r="C466">
        <f>IF($E466="","",INDEX('Input Transaksi'!$E:$E,$E466))</f>
        <v/>
      </c>
      <c r="D466" s="5">
        <f>IF($E466="","",INDEX('Input Transaksi'!$F:$F,$E466))</f>
        <v/>
      </c>
      <c r="E466">
        <f>IFERROR(AGGREGATE(15,6,ROW('Input Transaksi'!$B$5:$B$5000)/('Input Transaksi'!$B$5:$B$5000="JCL BYPASS"),ROWS($E$5:E466)),"")</f>
        <v/>
      </c>
      <c r="F466" s="5" t="n"/>
    </row>
    <row r="467">
      <c r="A467" s="10">
        <f>IF($E467="","",INDEX('Input Transaksi'!$A:$A,$E467))</f>
        <v/>
      </c>
      <c r="B467" s="5">
        <f>IF($E467="","",INDEX('Input Transaksi'!$D:$D,$E467))</f>
        <v/>
      </c>
      <c r="C467">
        <f>IF($E467="","",INDEX('Input Transaksi'!$E:$E,$E467))</f>
        <v/>
      </c>
      <c r="D467" s="5">
        <f>IF($E467="","",INDEX('Input Transaksi'!$F:$F,$E467))</f>
        <v/>
      </c>
      <c r="E467">
        <f>IFERROR(AGGREGATE(15,6,ROW('Input Transaksi'!$B$5:$B$5000)/('Input Transaksi'!$B$5:$B$5000="JCL BYPASS"),ROWS($E$5:E467)),"")</f>
        <v/>
      </c>
      <c r="F467" s="5" t="n"/>
    </row>
    <row r="468">
      <c r="A468" s="10">
        <f>IF($E468="","",INDEX('Input Transaksi'!$A:$A,$E468))</f>
        <v/>
      </c>
      <c r="B468" s="5">
        <f>IF($E468="","",INDEX('Input Transaksi'!$D:$D,$E468))</f>
        <v/>
      </c>
      <c r="C468">
        <f>IF($E468="","",INDEX('Input Transaksi'!$E:$E,$E468))</f>
        <v/>
      </c>
      <c r="D468" s="5">
        <f>IF($E468="","",INDEX('Input Transaksi'!$F:$F,$E468))</f>
        <v/>
      </c>
      <c r="E468">
        <f>IFERROR(AGGREGATE(15,6,ROW('Input Transaksi'!$B$5:$B$5000)/('Input Transaksi'!$B$5:$B$5000="JCL BYPASS"),ROWS($E$5:E468)),"")</f>
        <v/>
      </c>
      <c r="F468" s="5" t="n"/>
    </row>
    <row r="469">
      <c r="A469" s="10">
        <f>IF($E469="","",INDEX('Input Transaksi'!$A:$A,$E469))</f>
        <v/>
      </c>
      <c r="B469" s="5">
        <f>IF($E469="","",INDEX('Input Transaksi'!$D:$D,$E469))</f>
        <v/>
      </c>
      <c r="C469">
        <f>IF($E469="","",INDEX('Input Transaksi'!$E:$E,$E469))</f>
        <v/>
      </c>
      <c r="D469" s="5">
        <f>IF($E469="","",INDEX('Input Transaksi'!$F:$F,$E469))</f>
        <v/>
      </c>
      <c r="E469">
        <f>IFERROR(AGGREGATE(15,6,ROW('Input Transaksi'!$B$5:$B$5000)/('Input Transaksi'!$B$5:$B$5000="JCL BYPASS"),ROWS($E$5:E469)),"")</f>
        <v/>
      </c>
      <c r="F469" s="5" t="n"/>
    </row>
    <row r="470">
      <c r="A470" s="10">
        <f>IF($E470="","",INDEX('Input Transaksi'!$A:$A,$E470))</f>
        <v/>
      </c>
      <c r="B470" s="5">
        <f>IF($E470="","",INDEX('Input Transaksi'!$D:$D,$E470))</f>
        <v/>
      </c>
      <c r="C470">
        <f>IF($E470="","",INDEX('Input Transaksi'!$E:$E,$E470))</f>
        <v/>
      </c>
      <c r="D470" s="5">
        <f>IF($E470="","",INDEX('Input Transaksi'!$F:$F,$E470))</f>
        <v/>
      </c>
      <c r="E470">
        <f>IFERROR(AGGREGATE(15,6,ROW('Input Transaksi'!$B$5:$B$5000)/('Input Transaksi'!$B$5:$B$5000="JCL BYPASS"),ROWS($E$5:E470)),"")</f>
        <v/>
      </c>
      <c r="F470" s="5" t="n"/>
    </row>
    <row r="471">
      <c r="A471" s="10">
        <f>IF($E471="","",INDEX('Input Transaksi'!$A:$A,$E471))</f>
        <v/>
      </c>
      <c r="B471" s="5">
        <f>IF($E471="","",INDEX('Input Transaksi'!$D:$D,$E471))</f>
        <v/>
      </c>
      <c r="C471">
        <f>IF($E471="","",INDEX('Input Transaksi'!$E:$E,$E471))</f>
        <v/>
      </c>
      <c r="D471" s="5">
        <f>IF($E471="","",INDEX('Input Transaksi'!$F:$F,$E471))</f>
        <v/>
      </c>
      <c r="E471">
        <f>IFERROR(AGGREGATE(15,6,ROW('Input Transaksi'!$B$5:$B$5000)/('Input Transaksi'!$B$5:$B$5000="JCL BYPASS"),ROWS($E$5:E471)),"")</f>
        <v/>
      </c>
      <c r="F471" s="5" t="n"/>
    </row>
    <row r="472">
      <c r="A472" s="10">
        <f>IF($E472="","",INDEX('Input Transaksi'!$A:$A,$E472))</f>
        <v/>
      </c>
      <c r="B472" s="5">
        <f>IF($E472="","",INDEX('Input Transaksi'!$D:$D,$E472))</f>
        <v/>
      </c>
      <c r="C472">
        <f>IF($E472="","",INDEX('Input Transaksi'!$E:$E,$E472))</f>
        <v/>
      </c>
      <c r="D472" s="5">
        <f>IF($E472="","",INDEX('Input Transaksi'!$F:$F,$E472))</f>
        <v/>
      </c>
      <c r="E472">
        <f>IFERROR(AGGREGATE(15,6,ROW('Input Transaksi'!$B$5:$B$5000)/('Input Transaksi'!$B$5:$B$5000="JCL BYPASS"),ROWS($E$5:E472)),"")</f>
        <v/>
      </c>
      <c r="F472" s="5" t="n"/>
    </row>
    <row r="473">
      <c r="A473" s="10">
        <f>IF($E473="","",INDEX('Input Transaksi'!$A:$A,$E473))</f>
        <v/>
      </c>
      <c r="B473" s="5">
        <f>IF($E473="","",INDEX('Input Transaksi'!$D:$D,$E473))</f>
        <v/>
      </c>
      <c r="C473">
        <f>IF($E473="","",INDEX('Input Transaksi'!$E:$E,$E473))</f>
        <v/>
      </c>
      <c r="D473" s="5">
        <f>IF($E473="","",INDEX('Input Transaksi'!$F:$F,$E473))</f>
        <v/>
      </c>
      <c r="E473">
        <f>IFERROR(AGGREGATE(15,6,ROW('Input Transaksi'!$B$5:$B$5000)/('Input Transaksi'!$B$5:$B$5000="JCL BYPASS"),ROWS($E$5:E473)),"")</f>
        <v/>
      </c>
      <c r="F473" s="5" t="n"/>
    </row>
    <row r="474">
      <c r="A474" s="10">
        <f>IF($E474="","",INDEX('Input Transaksi'!$A:$A,$E474))</f>
        <v/>
      </c>
      <c r="B474" s="5">
        <f>IF($E474="","",INDEX('Input Transaksi'!$D:$D,$E474))</f>
        <v/>
      </c>
      <c r="C474">
        <f>IF($E474="","",INDEX('Input Transaksi'!$E:$E,$E474))</f>
        <v/>
      </c>
      <c r="D474" s="5">
        <f>IF($E474="","",INDEX('Input Transaksi'!$F:$F,$E474))</f>
        <v/>
      </c>
      <c r="E474">
        <f>IFERROR(AGGREGATE(15,6,ROW('Input Transaksi'!$B$5:$B$5000)/('Input Transaksi'!$B$5:$B$5000="JCL BYPASS"),ROWS($E$5:E474)),"")</f>
        <v/>
      </c>
      <c r="F474" s="5" t="n"/>
    </row>
    <row r="475">
      <c r="A475" s="10">
        <f>IF($E475="","",INDEX('Input Transaksi'!$A:$A,$E475))</f>
        <v/>
      </c>
      <c r="B475" s="5">
        <f>IF($E475="","",INDEX('Input Transaksi'!$D:$D,$E475))</f>
        <v/>
      </c>
      <c r="C475">
        <f>IF($E475="","",INDEX('Input Transaksi'!$E:$E,$E475))</f>
        <v/>
      </c>
      <c r="D475" s="5">
        <f>IF($E475="","",INDEX('Input Transaksi'!$F:$F,$E475))</f>
        <v/>
      </c>
      <c r="E475">
        <f>IFERROR(AGGREGATE(15,6,ROW('Input Transaksi'!$B$5:$B$5000)/('Input Transaksi'!$B$5:$B$5000="JCL BYPASS"),ROWS($E$5:E475)),"")</f>
        <v/>
      </c>
      <c r="F475" s="5" t="n"/>
    </row>
    <row r="476">
      <c r="A476" s="10">
        <f>IF($E476="","",INDEX('Input Transaksi'!$A:$A,$E476))</f>
        <v/>
      </c>
      <c r="B476" s="5">
        <f>IF($E476="","",INDEX('Input Transaksi'!$D:$D,$E476))</f>
        <v/>
      </c>
      <c r="C476">
        <f>IF($E476="","",INDEX('Input Transaksi'!$E:$E,$E476))</f>
        <v/>
      </c>
      <c r="D476" s="5">
        <f>IF($E476="","",INDEX('Input Transaksi'!$F:$F,$E476))</f>
        <v/>
      </c>
      <c r="E476">
        <f>IFERROR(AGGREGATE(15,6,ROW('Input Transaksi'!$B$5:$B$5000)/('Input Transaksi'!$B$5:$B$5000="JCL BYPASS"),ROWS($E$5:E476)),"")</f>
        <v/>
      </c>
      <c r="F476" s="5" t="n"/>
    </row>
    <row r="477">
      <c r="A477" s="10">
        <f>IF($E477="","",INDEX('Input Transaksi'!$A:$A,$E477))</f>
        <v/>
      </c>
      <c r="B477" s="5">
        <f>IF($E477="","",INDEX('Input Transaksi'!$D:$D,$E477))</f>
        <v/>
      </c>
      <c r="C477">
        <f>IF($E477="","",INDEX('Input Transaksi'!$E:$E,$E477))</f>
        <v/>
      </c>
      <c r="D477" s="5">
        <f>IF($E477="","",INDEX('Input Transaksi'!$F:$F,$E477))</f>
        <v/>
      </c>
      <c r="E477">
        <f>IFERROR(AGGREGATE(15,6,ROW('Input Transaksi'!$B$5:$B$5000)/('Input Transaksi'!$B$5:$B$5000="JCL BYPASS"),ROWS($E$5:E477)),"")</f>
        <v/>
      </c>
      <c r="F477" s="5" t="n"/>
    </row>
    <row r="478">
      <c r="A478" s="10">
        <f>IF($E478="","",INDEX('Input Transaksi'!$A:$A,$E478))</f>
        <v/>
      </c>
      <c r="B478" s="5">
        <f>IF($E478="","",INDEX('Input Transaksi'!$D:$D,$E478))</f>
        <v/>
      </c>
      <c r="C478">
        <f>IF($E478="","",INDEX('Input Transaksi'!$E:$E,$E478))</f>
        <v/>
      </c>
      <c r="D478" s="5">
        <f>IF($E478="","",INDEX('Input Transaksi'!$F:$F,$E478))</f>
        <v/>
      </c>
      <c r="E478">
        <f>IFERROR(AGGREGATE(15,6,ROW('Input Transaksi'!$B$5:$B$5000)/('Input Transaksi'!$B$5:$B$5000="JCL BYPASS"),ROWS($E$5:E478)),"")</f>
        <v/>
      </c>
      <c r="F478" s="5" t="n"/>
    </row>
    <row r="479">
      <c r="A479" s="10">
        <f>IF($E479="","",INDEX('Input Transaksi'!$A:$A,$E479))</f>
        <v/>
      </c>
      <c r="B479" s="5">
        <f>IF($E479="","",INDEX('Input Transaksi'!$D:$D,$E479))</f>
        <v/>
      </c>
      <c r="C479">
        <f>IF($E479="","",INDEX('Input Transaksi'!$E:$E,$E479))</f>
        <v/>
      </c>
      <c r="D479" s="5">
        <f>IF($E479="","",INDEX('Input Transaksi'!$F:$F,$E479))</f>
        <v/>
      </c>
      <c r="E479">
        <f>IFERROR(AGGREGATE(15,6,ROW('Input Transaksi'!$B$5:$B$5000)/('Input Transaksi'!$B$5:$B$5000="JCL BYPASS"),ROWS($E$5:E479)),"")</f>
        <v/>
      </c>
      <c r="F479" s="5" t="n"/>
    </row>
    <row r="480">
      <c r="A480" s="10">
        <f>IF($E480="","",INDEX('Input Transaksi'!$A:$A,$E480))</f>
        <v/>
      </c>
      <c r="B480" s="5">
        <f>IF($E480="","",INDEX('Input Transaksi'!$D:$D,$E480))</f>
        <v/>
      </c>
      <c r="C480">
        <f>IF($E480="","",INDEX('Input Transaksi'!$E:$E,$E480))</f>
        <v/>
      </c>
      <c r="D480" s="5">
        <f>IF($E480="","",INDEX('Input Transaksi'!$F:$F,$E480))</f>
        <v/>
      </c>
      <c r="E480">
        <f>IFERROR(AGGREGATE(15,6,ROW('Input Transaksi'!$B$5:$B$5000)/('Input Transaksi'!$B$5:$B$5000="JCL BYPASS"),ROWS($E$5:E480)),"")</f>
        <v/>
      </c>
      <c r="F480" s="5" t="n"/>
    </row>
    <row r="481">
      <c r="A481" s="10">
        <f>IF($E481="","",INDEX('Input Transaksi'!$A:$A,$E481))</f>
        <v/>
      </c>
      <c r="B481" s="5">
        <f>IF($E481="","",INDEX('Input Transaksi'!$D:$D,$E481))</f>
        <v/>
      </c>
      <c r="C481">
        <f>IF($E481="","",INDEX('Input Transaksi'!$E:$E,$E481))</f>
        <v/>
      </c>
      <c r="D481" s="5">
        <f>IF($E481="","",INDEX('Input Transaksi'!$F:$F,$E481))</f>
        <v/>
      </c>
      <c r="E481">
        <f>IFERROR(AGGREGATE(15,6,ROW('Input Transaksi'!$B$5:$B$5000)/('Input Transaksi'!$B$5:$B$5000="JCL BYPASS"),ROWS($E$5:E481)),"")</f>
        <v/>
      </c>
      <c r="F481" s="5" t="n"/>
    </row>
    <row r="482">
      <c r="A482" s="10">
        <f>IF($E482="","",INDEX('Input Transaksi'!$A:$A,$E482))</f>
        <v/>
      </c>
      <c r="B482" s="5">
        <f>IF($E482="","",INDEX('Input Transaksi'!$D:$D,$E482))</f>
        <v/>
      </c>
      <c r="C482">
        <f>IF($E482="","",INDEX('Input Transaksi'!$E:$E,$E482))</f>
        <v/>
      </c>
      <c r="D482" s="5">
        <f>IF($E482="","",INDEX('Input Transaksi'!$F:$F,$E482))</f>
        <v/>
      </c>
      <c r="E482">
        <f>IFERROR(AGGREGATE(15,6,ROW('Input Transaksi'!$B$5:$B$5000)/('Input Transaksi'!$B$5:$B$5000="JCL BYPASS"),ROWS($E$5:E482)),"")</f>
        <v/>
      </c>
      <c r="F482" s="5" t="n"/>
    </row>
    <row r="483">
      <c r="A483" s="10">
        <f>IF($E483="","",INDEX('Input Transaksi'!$A:$A,$E483))</f>
        <v/>
      </c>
      <c r="B483" s="5">
        <f>IF($E483="","",INDEX('Input Transaksi'!$D:$D,$E483))</f>
        <v/>
      </c>
      <c r="C483">
        <f>IF($E483="","",INDEX('Input Transaksi'!$E:$E,$E483))</f>
        <v/>
      </c>
      <c r="D483" s="5">
        <f>IF($E483="","",INDEX('Input Transaksi'!$F:$F,$E483))</f>
        <v/>
      </c>
      <c r="E483">
        <f>IFERROR(AGGREGATE(15,6,ROW('Input Transaksi'!$B$5:$B$5000)/('Input Transaksi'!$B$5:$B$5000="JCL BYPASS"),ROWS($E$5:E483)),"")</f>
        <v/>
      </c>
      <c r="F483" s="5" t="n"/>
    </row>
    <row r="484">
      <c r="A484" s="10">
        <f>IF($E484="","",INDEX('Input Transaksi'!$A:$A,$E484))</f>
        <v/>
      </c>
      <c r="B484" s="5">
        <f>IF($E484="","",INDEX('Input Transaksi'!$D:$D,$E484))</f>
        <v/>
      </c>
      <c r="C484">
        <f>IF($E484="","",INDEX('Input Transaksi'!$E:$E,$E484))</f>
        <v/>
      </c>
      <c r="D484" s="5">
        <f>IF($E484="","",INDEX('Input Transaksi'!$F:$F,$E484))</f>
        <v/>
      </c>
      <c r="E484">
        <f>IFERROR(AGGREGATE(15,6,ROW('Input Transaksi'!$B$5:$B$5000)/('Input Transaksi'!$B$5:$B$5000="JCL BYPASS"),ROWS($E$5:E484)),"")</f>
        <v/>
      </c>
      <c r="F484" s="5" t="n"/>
    </row>
    <row r="485">
      <c r="A485" s="10">
        <f>IF($E485="","",INDEX('Input Transaksi'!$A:$A,$E485))</f>
        <v/>
      </c>
      <c r="B485" s="5">
        <f>IF($E485="","",INDEX('Input Transaksi'!$D:$D,$E485))</f>
        <v/>
      </c>
      <c r="C485">
        <f>IF($E485="","",INDEX('Input Transaksi'!$E:$E,$E485))</f>
        <v/>
      </c>
      <c r="D485" s="5">
        <f>IF($E485="","",INDEX('Input Transaksi'!$F:$F,$E485))</f>
        <v/>
      </c>
      <c r="E485">
        <f>IFERROR(AGGREGATE(15,6,ROW('Input Transaksi'!$B$5:$B$5000)/('Input Transaksi'!$B$5:$B$5000="JCL BYPASS"),ROWS($E$5:E485)),"")</f>
        <v/>
      </c>
      <c r="F485" s="5" t="n"/>
    </row>
    <row r="486">
      <c r="A486" s="10">
        <f>IF($E486="","",INDEX('Input Transaksi'!$A:$A,$E486))</f>
        <v/>
      </c>
      <c r="B486" s="5">
        <f>IF($E486="","",INDEX('Input Transaksi'!$D:$D,$E486))</f>
        <v/>
      </c>
      <c r="C486">
        <f>IF($E486="","",INDEX('Input Transaksi'!$E:$E,$E486))</f>
        <v/>
      </c>
      <c r="D486" s="5">
        <f>IF($E486="","",INDEX('Input Transaksi'!$F:$F,$E486))</f>
        <v/>
      </c>
      <c r="E486">
        <f>IFERROR(AGGREGATE(15,6,ROW('Input Transaksi'!$B$5:$B$5000)/('Input Transaksi'!$B$5:$B$5000="JCL BYPASS"),ROWS($E$5:E486)),"")</f>
        <v/>
      </c>
      <c r="F486" s="5" t="n"/>
    </row>
    <row r="487">
      <c r="A487" s="10">
        <f>IF($E487="","",INDEX('Input Transaksi'!$A:$A,$E487))</f>
        <v/>
      </c>
      <c r="B487" s="5">
        <f>IF($E487="","",INDEX('Input Transaksi'!$D:$D,$E487))</f>
        <v/>
      </c>
      <c r="C487">
        <f>IF($E487="","",INDEX('Input Transaksi'!$E:$E,$E487))</f>
        <v/>
      </c>
      <c r="D487" s="5">
        <f>IF($E487="","",INDEX('Input Transaksi'!$F:$F,$E487))</f>
        <v/>
      </c>
      <c r="E487">
        <f>IFERROR(AGGREGATE(15,6,ROW('Input Transaksi'!$B$5:$B$5000)/('Input Transaksi'!$B$5:$B$5000="JCL BYPASS"),ROWS($E$5:E487)),"")</f>
        <v/>
      </c>
      <c r="F487" s="5" t="n"/>
    </row>
    <row r="488">
      <c r="A488" s="10">
        <f>IF($E488="","",INDEX('Input Transaksi'!$A:$A,$E488))</f>
        <v/>
      </c>
      <c r="B488" s="5">
        <f>IF($E488="","",INDEX('Input Transaksi'!$D:$D,$E488))</f>
        <v/>
      </c>
      <c r="C488">
        <f>IF($E488="","",INDEX('Input Transaksi'!$E:$E,$E488))</f>
        <v/>
      </c>
      <c r="D488" s="5">
        <f>IF($E488="","",INDEX('Input Transaksi'!$F:$F,$E488))</f>
        <v/>
      </c>
      <c r="E488">
        <f>IFERROR(AGGREGATE(15,6,ROW('Input Transaksi'!$B$5:$B$5000)/('Input Transaksi'!$B$5:$B$5000="JCL BYPASS"),ROWS($E$5:E488)),"")</f>
        <v/>
      </c>
      <c r="F488" s="5" t="n"/>
    </row>
    <row r="489">
      <c r="A489" s="10">
        <f>IF($E489="","",INDEX('Input Transaksi'!$A:$A,$E489))</f>
        <v/>
      </c>
      <c r="B489" s="5">
        <f>IF($E489="","",INDEX('Input Transaksi'!$D:$D,$E489))</f>
        <v/>
      </c>
      <c r="C489">
        <f>IF($E489="","",INDEX('Input Transaksi'!$E:$E,$E489))</f>
        <v/>
      </c>
      <c r="D489" s="5">
        <f>IF($E489="","",INDEX('Input Transaksi'!$F:$F,$E489))</f>
        <v/>
      </c>
      <c r="E489">
        <f>IFERROR(AGGREGATE(15,6,ROW('Input Transaksi'!$B$5:$B$5000)/('Input Transaksi'!$B$5:$B$5000="JCL BYPASS"),ROWS($E$5:E489)),"")</f>
        <v/>
      </c>
      <c r="F489" s="5" t="n"/>
    </row>
    <row r="490">
      <c r="A490" s="10">
        <f>IF($E490="","",INDEX('Input Transaksi'!$A:$A,$E490))</f>
        <v/>
      </c>
      <c r="B490" s="5">
        <f>IF($E490="","",INDEX('Input Transaksi'!$D:$D,$E490))</f>
        <v/>
      </c>
      <c r="C490">
        <f>IF($E490="","",INDEX('Input Transaksi'!$E:$E,$E490))</f>
        <v/>
      </c>
      <c r="D490" s="5">
        <f>IF($E490="","",INDEX('Input Transaksi'!$F:$F,$E490))</f>
        <v/>
      </c>
      <c r="E490">
        <f>IFERROR(AGGREGATE(15,6,ROW('Input Transaksi'!$B$5:$B$5000)/('Input Transaksi'!$B$5:$B$5000="JCL BYPASS"),ROWS($E$5:E490)),"")</f>
        <v/>
      </c>
      <c r="F490" s="5" t="n"/>
    </row>
    <row r="491">
      <c r="A491" s="10">
        <f>IF($E491="","",INDEX('Input Transaksi'!$A:$A,$E491))</f>
        <v/>
      </c>
      <c r="B491" s="5">
        <f>IF($E491="","",INDEX('Input Transaksi'!$D:$D,$E491))</f>
        <v/>
      </c>
      <c r="C491">
        <f>IF($E491="","",INDEX('Input Transaksi'!$E:$E,$E491))</f>
        <v/>
      </c>
      <c r="D491" s="5">
        <f>IF($E491="","",INDEX('Input Transaksi'!$F:$F,$E491))</f>
        <v/>
      </c>
      <c r="E491">
        <f>IFERROR(AGGREGATE(15,6,ROW('Input Transaksi'!$B$5:$B$5000)/('Input Transaksi'!$B$5:$B$5000="JCL BYPASS"),ROWS($E$5:E491)),"")</f>
        <v/>
      </c>
      <c r="F491" s="5" t="n"/>
    </row>
    <row r="492">
      <c r="A492" s="10">
        <f>IF($E492="","",INDEX('Input Transaksi'!$A:$A,$E492))</f>
        <v/>
      </c>
      <c r="B492" s="5">
        <f>IF($E492="","",INDEX('Input Transaksi'!$D:$D,$E492))</f>
        <v/>
      </c>
      <c r="C492">
        <f>IF($E492="","",INDEX('Input Transaksi'!$E:$E,$E492))</f>
        <v/>
      </c>
      <c r="D492" s="5">
        <f>IF($E492="","",INDEX('Input Transaksi'!$F:$F,$E492))</f>
        <v/>
      </c>
      <c r="E492">
        <f>IFERROR(AGGREGATE(15,6,ROW('Input Transaksi'!$B$5:$B$5000)/('Input Transaksi'!$B$5:$B$5000="JCL BYPASS"),ROWS($E$5:E492)),"")</f>
        <v/>
      </c>
      <c r="F492" s="5" t="n"/>
    </row>
    <row r="493">
      <c r="A493" s="10">
        <f>IF($E493="","",INDEX('Input Transaksi'!$A:$A,$E493))</f>
        <v/>
      </c>
      <c r="B493" s="5">
        <f>IF($E493="","",INDEX('Input Transaksi'!$D:$D,$E493))</f>
        <v/>
      </c>
      <c r="C493">
        <f>IF($E493="","",INDEX('Input Transaksi'!$E:$E,$E493))</f>
        <v/>
      </c>
      <c r="D493" s="5">
        <f>IF($E493="","",INDEX('Input Transaksi'!$F:$F,$E493))</f>
        <v/>
      </c>
      <c r="E493">
        <f>IFERROR(AGGREGATE(15,6,ROW('Input Transaksi'!$B$5:$B$5000)/('Input Transaksi'!$B$5:$B$5000="JCL BYPASS"),ROWS($E$5:E493)),"")</f>
        <v/>
      </c>
      <c r="F493" s="5" t="n"/>
    </row>
    <row r="494">
      <c r="A494" s="10">
        <f>IF($E494="","",INDEX('Input Transaksi'!$A:$A,$E494))</f>
        <v/>
      </c>
      <c r="B494" s="5">
        <f>IF($E494="","",INDEX('Input Transaksi'!$D:$D,$E494))</f>
        <v/>
      </c>
      <c r="C494">
        <f>IF($E494="","",INDEX('Input Transaksi'!$E:$E,$E494))</f>
        <v/>
      </c>
      <c r="D494" s="5">
        <f>IF($E494="","",INDEX('Input Transaksi'!$F:$F,$E494))</f>
        <v/>
      </c>
      <c r="E494">
        <f>IFERROR(AGGREGATE(15,6,ROW('Input Transaksi'!$B$5:$B$5000)/('Input Transaksi'!$B$5:$B$5000="JCL BYPASS"),ROWS($E$5:E494)),"")</f>
        <v/>
      </c>
      <c r="F494" s="5" t="n"/>
    </row>
    <row r="495">
      <c r="A495" s="10">
        <f>IF($E495="","",INDEX('Input Transaksi'!$A:$A,$E495))</f>
        <v/>
      </c>
      <c r="B495" s="5">
        <f>IF($E495="","",INDEX('Input Transaksi'!$D:$D,$E495))</f>
        <v/>
      </c>
      <c r="C495">
        <f>IF($E495="","",INDEX('Input Transaksi'!$E:$E,$E495))</f>
        <v/>
      </c>
      <c r="D495" s="5">
        <f>IF($E495="","",INDEX('Input Transaksi'!$F:$F,$E495))</f>
        <v/>
      </c>
      <c r="E495">
        <f>IFERROR(AGGREGATE(15,6,ROW('Input Transaksi'!$B$5:$B$5000)/('Input Transaksi'!$B$5:$B$5000="JCL BYPASS"),ROWS($E$5:E495)),"")</f>
        <v/>
      </c>
      <c r="F495" s="5" t="n"/>
    </row>
    <row r="496">
      <c r="A496" s="10">
        <f>IF($E496="","",INDEX('Input Transaksi'!$A:$A,$E496))</f>
        <v/>
      </c>
      <c r="B496" s="5">
        <f>IF($E496="","",INDEX('Input Transaksi'!$D:$D,$E496))</f>
        <v/>
      </c>
      <c r="C496">
        <f>IF($E496="","",INDEX('Input Transaksi'!$E:$E,$E496))</f>
        <v/>
      </c>
      <c r="D496" s="5">
        <f>IF($E496="","",INDEX('Input Transaksi'!$F:$F,$E496))</f>
        <v/>
      </c>
      <c r="E496">
        <f>IFERROR(AGGREGATE(15,6,ROW('Input Transaksi'!$B$5:$B$5000)/('Input Transaksi'!$B$5:$B$5000="JCL BYPASS"),ROWS($E$5:E496)),"")</f>
        <v/>
      </c>
      <c r="F496" s="5" t="n"/>
    </row>
    <row r="497">
      <c r="A497" s="10">
        <f>IF($E497="","",INDEX('Input Transaksi'!$A:$A,$E497))</f>
        <v/>
      </c>
      <c r="B497" s="5">
        <f>IF($E497="","",INDEX('Input Transaksi'!$D:$D,$E497))</f>
        <v/>
      </c>
      <c r="C497">
        <f>IF($E497="","",INDEX('Input Transaksi'!$E:$E,$E497))</f>
        <v/>
      </c>
      <c r="D497" s="5">
        <f>IF($E497="","",INDEX('Input Transaksi'!$F:$F,$E497))</f>
        <v/>
      </c>
      <c r="E497">
        <f>IFERROR(AGGREGATE(15,6,ROW('Input Transaksi'!$B$5:$B$5000)/('Input Transaksi'!$B$5:$B$5000="JCL BYPASS"),ROWS($E$5:E497)),"")</f>
        <v/>
      </c>
      <c r="F497" s="5" t="n"/>
    </row>
    <row r="498">
      <c r="A498" s="10">
        <f>IF($E498="","",INDEX('Input Transaksi'!$A:$A,$E498))</f>
        <v/>
      </c>
      <c r="B498" s="5">
        <f>IF($E498="","",INDEX('Input Transaksi'!$D:$D,$E498))</f>
        <v/>
      </c>
      <c r="C498">
        <f>IF($E498="","",INDEX('Input Transaksi'!$E:$E,$E498))</f>
        <v/>
      </c>
      <c r="D498" s="5">
        <f>IF($E498="","",INDEX('Input Transaksi'!$F:$F,$E498))</f>
        <v/>
      </c>
      <c r="E498">
        <f>IFERROR(AGGREGATE(15,6,ROW('Input Transaksi'!$B$5:$B$5000)/('Input Transaksi'!$B$5:$B$5000="JCL BYPASS"),ROWS($E$5:E498)),"")</f>
        <v/>
      </c>
      <c r="F498" s="5" t="n"/>
    </row>
    <row r="499">
      <c r="A499" s="10">
        <f>IF($E499="","",INDEX('Input Transaksi'!$A:$A,$E499))</f>
        <v/>
      </c>
      <c r="B499" s="5">
        <f>IF($E499="","",INDEX('Input Transaksi'!$D:$D,$E499))</f>
        <v/>
      </c>
      <c r="C499">
        <f>IF($E499="","",INDEX('Input Transaksi'!$E:$E,$E499))</f>
        <v/>
      </c>
      <c r="D499" s="5">
        <f>IF($E499="","",INDEX('Input Transaksi'!$F:$F,$E499))</f>
        <v/>
      </c>
      <c r="E499">
        <f>IFERROR(AGGREGATE(15,6,ROW('Input Transaksi'!$B$5:$B$5000)/('Input Transaksi'!$B$5:$B$5000="JCL BYPASS"),ROWS($E$5:E499)),"")</f>
        <v/>
      </c>
      <c r="F499" s="5" t="n"/>
    </row>
    <row r="500">
      <c r="A500" s="10">
        <f>IF($E500="","",INDEX('Input Transaksi'!$A:$A,$E500))</f>
        <v/>
      </c>
      <c r="B500" s="5">
        <f>IF($E500="","",INDEX('Input Transaksi'!$D:$D,$E500))</f>
        <v/>
      </c>
      <c r="C500">
        <f>IF($E500="","",INDEX('Input Transaksi'!$E:$E,$E500))</f>
        <v/>
      </c>
      <c r="D500" s="5">
        <f>IF($E500="","",INDEX('Input Transaksi'!$F:$F,$E500))</f>
        <v/>
      </c>
      <c r="E500">
        <f>IFERROR(AGGREGATE(15,6,ROW('Input Transaksi'!$B$5:$B$5000)/('Input Transaksi'!$B$5:$B$5000="JCL BYPASS"),ROWS($E$5:E500)),"")</f>
        <v/>
      </c>
      <c r="F500" s="5" t="n"/>
    </row>
    <row r="501">
      <c r="A501" s="10">
        <f>IF($E501="","",INDEX('Input Transaksi'!$A:$A,$E501))</f>
        <v/>
      </c>
      <c r="B501" s="5">
        <f>IF($E501="","",INDEX('Input Transaksi'!$D:$D,$E501))</f>
        <v/>
      </c>
      <c r="C501">
        <f>IF($E501="","",INDEX('Input Transaksi'!$E:$E,$E501))</f>
        <v/>
      </c>
      <c r="D501" s="5">
        <f>IF($E501="","",INDEX('Input Transaksi'!$F:$F,$E501))</f>
        <v/>
      </c>
      <c r="E501">
        <f>IFERROR(AGGREGATE(15,6,ROW('Input Transaksi'!$B$5:$B$5000)/('Input Transaksi'!$B$5:$B$5000="JCL BYPASS"),ROWS($E$5:E501)),"")</f>
        <v/>
      </c>
      <c r="F501" s="5" t="n"/>
    </row>
    <row r="502">
      <c r="A502" s="10">
        <f>IF($E502="","",INDEX('Input Transaksi'!$A:$A,$E502))</f>
        <v/>
      </c>
      <c r="B502" s="5">
        <f>IF($E502="","",INDEX('Input Transaksi'!$D:$D,$E502))</f>
        <v/>
      </c>
      <c r="C502">
        <f>IF($E502="","",INDEX('Input Transaksi'!$E:$E,$E502))</f>
        <v/>
      </c>
      <c r="D502" s="5">
        <f>IF($E502="","",INDEX('Input Transaksi'!$F:$F,$E502))</f>
        <v/>
      </c>
      <c r="E502">
        <f>IFERROR(AGGREGATE(15,6,ROW('Input Transaksi'!$B$5:$B$5000)/('Input Transaksi'!$B$5:$B$5000="JCL BYPASS"),ROWS($E$5:E502)),"")</f>
        <v/>
      </c>
      <c r="F502" s="5" t="n"/>
    </row>
    <row r="503">
      <c r="A503" s="10">
        <f>IF($E503="","",INDEX('Input Transaksi'!$A:$A,$E503))</f>
        <v/>
      </c>
      <c r="B503" s="5">
        <f>IF($E503="","",INDEX('Input Transaksi'!$D:$D,$E503))</f>
        <v/>
      </c>
      <c r="C503">
        <f>IF($E503="","",INDEX('Input Transaksi'!$E:$E,$E503))</f>
        <v/>
      </c>
      <c r="D503" s="5">
        <f>IF($E503="","",INDEX('Input Transaksi'!$F:$F,$E503))</f>
        <v/>
      </c>
      <c r="E503">
        <f>IFERROR(AGGREGATE(15,6,ROW('Input Transaksi'!$B$5:$B$5000)/('Input Transaksi'!$B$5:$B$5000="JCL BYPASS"),ROWS($E$5:E503)),"")</f>
        <v/>
      </c>
      <c r="F503" s="5" t="n"/>
    </row>
    <row r="504">
      <c r="A504" s="10">
        <f>IF($E504="","",INDEX('Input Transaksi'!$A:$A,$E504))</f>
        <v/>
      </c>
      <c r="B504" s="5">
        <f>IF($E504="","",INDEX('Input Transaksi'!$D:$D,$E504))</f>
        <v/>
      </c>
      <c r="C504">
        <f>IF($E504="","",INDEX('Input Transaksi'!$E:$E,$E504))</f>
        <v/>
      </c>
      <c r="D504" s="5">
        <f>IF($E504="","",INDEX('Input Transaksi'!$F:$F,$E504))</f>
        <v/>
      </c>
      <c r="E504">
        <f>IFERROR(AGGREGATE(15,6,ROW('Input Transaksi'!$B$5:$B$5000)/('Input Transaksi'!$B$5:$B$5000="JCL BYPASS"),ROWS($E$5:E504)),"")</f>
        <v/>
      </c>
      <c r="F504" s="5" t="n"/>
    </row>
    <row r="505">
      <c r="A505" s="10">
        <f>IF($E505="","",INDEX('Input Transaksi'!$A:$A,$E505))</f>
        <v/>
      </c>
      <c r="B505" s="5">
        <f>IF($E505="","",INDEX('Input Transaksi'!$D:$D,$E505))</f>
        <v/>
      </c>
      <c r="C505">
        <f>IF($E505="","",INDEX('Input Transaksi'!$E:$E,$E505))</f>
        <v/>
      </c>
      <c r="D505" s="5">
        <f>IF($E505="","",INDEX('Input Transaksi'!$F:$F,$E505))</f>
        <v/>
      </c>
      <c r="E505">
        <f>IFERROR(AGGREGATE(15,6,ROW('Input Transaksi'!$B$5:$B$5000)/('Input Transaksi'!$B$5:$B$5000="JCL BYPASS"),ROWS($E$5:E505)),"")</f>
        <v/>
      </c>
      <c r="F505" s="5" t="n"/>
    </row>
    <row r="506">
      <c r="A506" s="10">
        <f>IF($E506="","",INDEX('Input Transaksi'!$A:$A,$E506))</f>
        <v/>
      </c>
      <c r="B506" s="5">
        <f>IF($E506="","",INDEX('Input Transaksi'!$D:$D,$E506))</f>
        <v/>
      </c>
      <c r="C506">
        <f>IF($E506="","",INDEX('Input Transaksi'!$E:$E,$E506))</f>
        <v/>
      </c>
      <c r="D506" s="5">
        <f>IF($E506="","",INDEX('Input Transaksi'!$F:$F,$E506))</f>
        <v/>
      </c>
      <c r="E506">
        <f>IFERROR(AGGREGATE(15,6,ROW('Input Transaksi'!$B$5:$B$5000)/('Input Transaksi'!$B$5:$B$5000="JCL BYPASS"),ROWS($E$5:E506)),"")</f>
        <v/>
      </c>
      <c r="F506" s="5" t="n"/>
    </row>
    <row r="507">
      <c r="A507" s="10">
        <f>IF($E507="","",INDEX('Input Transaksi'!$A:$A,$E507))</f>
        <v/>
      </c>
      <c r="B507" s="5">
        <f>IF($E507="","",INDEX('Input Transaksi'!$D:$D,$E507))</f>
        <v/>
      </c>
      <c r="C507">
        <f>IF($E507="","",INDEX('Input Transaksi'!$E:$E,$E507))</f>
        <v/>
      </c>
      <c r="D507" s="5">
        <f>IF($E507="","",INDEX('Input Transaksi'!$F:$F,$E507))</f>
        <v/>
      </c>
      <c r="E507">
        <f>IFERROR(AGGREGATE(15,6,ROW('Input Transaksi'!$B$5:$B$5000)/('Input Transaksi'!$B$5:$B$5000="JCL BYPASS"),ROWS($E$5:E507)),"")</f>
        <v/>
      </c>
      <c r="F507" s="5" t="n"/>
    </row>
    <row r="508">
      <c r="A508" s="10">
        <f>IF($E508="","",INDEX('Input Transaksi'!$A:$A,$E508))</f>
        <v/>
      </c>
      <c r="B508" s="5">
        <f>IF($E508="","",INDEX('Input Transaksi'!$D:$D,$E508))</f>
        <v/>
      </c>
      <c r="C508">
        <f>IF($E508="","",INDEX('Input Transaksi'!$E:$E,$E508))</f>
        <v/>
      </c>
      <c r="D508" s="5">
        <f>IF($E508="","",INDEX('Input Transaksi'!$F:$F,$E508))</f>
        <v/>
      </c>
      <c r="E508">
        <f>IFERROR(AGGREGATE(15,6,ROW('Input Transaksi'!$B$5:$B$5000)/('Input Transaksi'!$B$5:$B$5000="JCL BYPASS"),ROWS($E$5:E508)),"")</f>
        <v/>
      </c>
      <c r="F508" s="5" t="n"/>
    </row>
    <row r="509">
      <c r="A509" s="10">
        <f>IF($E509="","",INDEX('Input Transaksi'!$A:$A,$E509))</f>
        <v/>
      </c>
      <c r="B509" s="5">
        <f>IF($E509="","",INDEX('Input Transaksi'!$D:$D,$E509))</f>
        <v/>
      </c>
      <c r="C509">
        <f>IF($E509="","",INDEX('Input Transaksi'!$E:$E,$E509))</f>
        <v/>
      </c>
      <c r="D509" s="5">
        <f>IF($E509="","",INDEX('Input Transaksi'!$F:$F,$E509))</f>
        <v/>
      </c>
      <c r="E509">
        <f>IFERROR(AGGREGATE(15,6,ROW('Input Transaksi'!$B$5:$B$5000)/('Input Transaksi'!$B$5:$B$5000="JCL BYPASS"),ROWS($E$5:E509)),"")</f>
        <v/>
      </c>
      <c r="F509" s="5" t="n"/>
    </row>
    <row r="510">
      <c r="A510" s="10">
        <f>IF($E510="","",INDEX('Input Transaksi'!$A:$A,$E510))</f>
        <v/>
      </c>
      <c r="B510" s="5">
        <f>IF($E510="","",INDEX('Input Transaksi'!$D:$D,$E510))</f>
        <v/>
      </c>
      <c r="C510">
        <f>IF($E510="","",INDEX('Input Transaksi'!$E:$E,$E510))</f>
        <v/>
      </c>
      <c r="D510" s="5">
        <f>IF($E510="","",INDEX('Input Transaksi'!$F:$F,$E510))</f>
        <v/>
      </c>
      <c r="E510">
        <f>IFERROR(AGGREGATE(15,6,ROW('Input Transaksi'!$B$5:$B$5000)/('Input Transaksi'!$B$5:$B$5000="JCL BYPASS"),ROWS($E$5:E510)),"")</f>
        <v/>
      </c>
      <c r="F510" s="5" t="n"/>
    </row>
    <row r="511">
      <c r="A511" s="10">
        <f>IF($E511="","",INDEX('Input Transaksi'!$A:$A,$E511))</f>
        <v/>
      </c>
      <c r="B511" s="5">
        <f>IF($E511="","",INDEX('Input Transaksi'!$D:$D,$E511))</f>
        <v/>
      </c>
      <c r="C511">
        <f>IF($E511="","",INDEX('Input Transaksi'!$E:$E,$E511))</f>
        <v/>
      </c>
      <c r="D511" s="5">
        <f>IF($E511="","",INDEX('Input Transaksi'!$F:$F,$E511))</f>
        <v/>
      </c>
      <c r="E511">
        <f>IFERROR(AGGREGATE(15,6,ROW('Input Transaksi'!$B$5:$B$5000)/('Input Transaksi'!$B$5:$B$5000="JCL BYPASS"),ROWS($E$5:E511)),"")</f>
        <v/>
      </c>
      <c r="F511" s="5" t="n"/>
    </row>
    <row r="512">
      <c r="A512" s="10">
        <f>IF($E512="","",INDEX('Input Transaksi'!$A:$A,$E512))</f>
        <v/>
      </c>
      <c r="B512" s="5">
        <f>IF($E512="","",INDEX('Input Transaksi'!$D:$D,$E512))</f>
        <v/>
      </c>
      <c r="C512">
        <f>IF($E512="","",INDEX('Input Transaksi'!$E:$E,$E512))</f>
        <v/>
      </c>
      <c r="D512" s="5">
        <f>IF($E512="","",INDEX('Input Transaksi'!$F:$F,$E512))</f>
        <v/>
      </c>
      <c r="E512">
        <f>IFERROR(AGGREGATE(15,6,ROW('Input Transaksi'!$B$5:$B$5000)/('Input Transaksi'!$B$5:$B$5000="JCL BYPASS"),ROWS($E$5:E512)),"")</f>
        <v/>
      </c>
      <c r="F512" s="5" t="n"/>
    </row>
    <row r="513">
      <c r="A513" s="10">
        <f>IF($E513="","",INDEX('Input Transaksi'!$A:$A,$E513))</f>
        <v/>
      </c>
      <c r="B513" s="5">
        <f>IF($E513="","",INDEX('Input Transaksi'!$D:$D,$E513))</f>
        <v/>
      </c>
      <c r="C513">
        <f>IF($E513="","",INDEX('Input Transaksi'!$E:$E,$E513))</f>
        <v/>
      </c>
      <c r="D513" s="5">
        <f>IF($E513="","",INDEX('Input Transaksi'!$F:$F,$E513))</f>
        <v/>
      </c>
      <c r="E513">
        <f>IFERROR(AGGREGATE(15,6,ROW('Input Transaksi'!$B$5:$B$5000)/('Input Transaksi'!$B$5:$B$5000="JCL BYPASS"),ROWS($E$5:E513)),"")</f>
        <v/>
      </c>
      <c r="F513" s="5" t="n"/>
    </row>
    <row r="514">
      <c r="A514" s="10">
        <f>IF($E514="","",INDEX('Input Transaksi'!$A:$A,$E514))</f>
        <v/>
      </c>
      <c r="B514" s="5">
        <f>IF($E514="","",INDEX('Input Transaksi'!$D:$D,$E514))</f>
        <v/>
      </c>
      <c r="C514">
        <f>IF($E514="","",INDEX('Input Transaksi'!$E:$E,$E514))</f>
        <v/>
      </c>
      <c r="D514" s="5">
        <f>IF($E514="","",INDEX('Input Transaksi'!$F:$F,$E514))</f>
        <v/>
      </c>
      <c r="E514">
        <f>IFERROR(AGGREGATE(15,6,ROW('Input Transaksi'!$B$5:$B$5000)/('Input Transaksi'!$B$5:$B$5000="JCL BYPASS"),ROWS($E$5:E514)),"")</f>
        <v/>
      </c>
      <c r="F514" s="5" t="n"/>
    </row>
    <row r="515">
      <c r="A515" s="10">
        <f>IF($E515="","",INDEX('Input Transaksi'!$A:$A,$E515))</f>
        <v/>
      </c>
      <c r="B515" s="5">
        <f>IF($E515="","",INDEX('Input Transaksi'!$D:$D,$E515))</f>
        <v/>
      </c>
      <c r="C515">
        <f>IF($E515="","",INDEX('Input Transaksi'!$E:$E,$E515))</f>
        <v/>
      </c>
      <c r="D515" s="5">
        <f>IF($E515="","",INDEX('Input Transaksi'!$F:$F,$E515))</f>
        <v/>
      </c>
      <c r="E515">
        <f>IFERROR(AGGREGATE(15,6,ROW('Input Transaksi'!$B$5:$B$5000)/('Input Transaksi'!$B$5:$B$5000="JCL BYPASS"),ROWS($E$5:E515)),"")</f>
        <v/>
      </c>
      <c r="F515" s="5" t="n"/>
    </row>
    <row r="516">
      <c r="A516" s="10">
        <f>IF($E516="","",INDEX('Input Transaksi'!$A:$A,$E516))</f>
        <v/>
      </c>
      <c r="B516" s="5">
        <f>IF($E516="","",INDEX('Input Transaksi'!$D:$D,$E516))</f>
        <v/>
      </c>
      <c r="C516">
        <f>IF($E516="","",INDEX('Input Transaksi'!$E:$E,$E516))</f>
        <v/>
      </c>
      <c r="D516" s="5">
        <f>IF($E516="","",INDEX('Input Transaksi'!$F:$F,$E516))</f>
        <v/>
      </c>
      <c r="E516">
        <f>IFERROR(AGGREGATE(15,6,ROW('Input Transaksi'!$B$5:$B$5000)/('Input Transaksi'!$B$5:$B$5000="JCL BYPASS"),ROWS($E$5:E516)),"")</f>
        <v/>
      </c>
      <c r="F516" s="5" t="n"/>
    </row>
    <row r="517">
      <c r="A517" s="10">
        <f>IF($E517="","",INDEX('Input Transaksi'!$A:$A,$E517))</f>
        <v/>
      </c>
      <c r="B517" s="5">
        <f>IF($E517="","",INDEX('Input Transaksi'!$D:$D,$E517))</f>
        <v/>
      </c>
      <c r="C517">
        <f>IF($E517="","",INDEX('Input Transaksi'!$E:$E,$E517))</f>
        <v/>
      </c>
      <c r="D517" s="5">
        <f>IF($E517="","",INDEX('Input Transaksi'!$F:$F,$E517))</f>
        <v/>
      </c>
      <c r="E517">
        <f>IFERROR(AGGREGATE(15,6,ROW('Input Transaksi'!$B$5:$B$5000)/('Input Transaksi'!$B$5:$B$5000="JCL BYPASS"),ROWS($E$5:E517)),"")</f>
        <v/>
      </c>
      <c r="F517" s="5" t="n"/>
    </row>
    <row r="518">
      <c r="A518" s="10">
        <f>IF($E518="","",INDEX('Input Transaksi'!$A:$A,$E518))</f>
        <v/>
      </c>
      <c r="B518" s="5">
        <f>IF($E518="","",INDEX('Input Transaksi'!$D:$D,$E518))</f>
        <v/>
      </c>
      <c r="C518">
        <f>IF($E518="","",INDEX('Input Transaksi'!$E:$E,$E518))</f>
        <v/>
      </c>
      <c r="D518" s="5">
        <f>IF($E518="","",INDEX('Input Transaksi'!$F:$F,$E518))</f>
        <v/>
      </c>
      <c r="E518">
        <f>IFERROR(AGGREGATE(15,6,ROW('Input Transaksi'!$B$5:$B$5000)/('Input Transaksi'!$B$5:$B$5000="JCL BYPASS"),ROWS($E$5:E518)),"")</f>
        <v/>
      </c>
      <c r="F518" s="5" t="n"/>
    </row>
    <row r="519">
      <c r="A519" s="10">
        <f>IF($E519="","",INDEX('Input Transaksi'!$A:$A,$E519))</f>
        <v/>
      </c>
      <c r="B519" s="5">
        <f>IF($E519="","",INDEX('Input Transaksi'!$D:$D,$E519))</f>
        <v/>
      </c>
      <c r="C519">
        <f>IF($E519="","",INDEX('Input Transaksi'!$E:$E,$E519))</f>
        <v/>
      </c>
      <c r="D519" s="5">
        <f>IF($E519="","",INDEX('Input Transaksi'!$F:$F,$E519))</f>
        <v/>
      </c>
      <c r="E519">
        <f>IFERROR(AGGREGATE(15,6,ROW('Input Transaksi'!$B$5:$B$5000)/('Input Transaksi'!$B$5:$B$5000="JCL BYPASS"),ROWS($E$5:E519)),"")</f>
        <v/>
      </c>
      <c r="F519" s="5" t="n"/>
    </row>
    <row r="520">
      <c r="A520" s="10">
        <f>IF($E520="","",INDEX('Input Transaksi'!$A:$A,$E520))</f>
        <v/>
      </c>
      <c r="B520" s="5">
        <f>IF($E520="","",INDEX('Input Transaksi'!$D:$D,$E520))</f>
        <v/>
      </c>
      <c r="C520">
        <f>IF($E520="","",INDEX('Input Transaksi'!$E:$E,$E520))</f>
        <v/>
      </c>
      <c r="D520" s="5">
        <f>IF($E520="","",INDEX('Input Transaksi'!$F:$F,$E520))</f>
        <v/>
      </c>
      <c r="E520">
        <f>IFERROR(AGGREGATE(15,6,ROW('Input Transaksi'!$B$5:$B$5000)/('Input Transaksi'!$B$5:$B$5000="JCL BYPASS"),ROWS($E$5:E520)),"")</f>
        <v/>
      </c>
      <c r="F520" s="5" t="n"/>
    </row>
    <row r="521">
      <c r="A521" s="10">
        <f>IF($E521="","",INDEX('Input Transaksi'!$A:$A,$E521))</f>
        <v/>
      </c>
      <c r="B521" s="5">
        <f>IF($E521="","",INDEX('Input Transaksi'!$D:$D,$E521))</f>
        <v/>
      </c>
      <c r="C521">
        <f>IF($E521="","",INDEX('Input Transaksi'!$E:$E,$E521))</f>
        <v/>
      </c>
      <c r="D521" s="5">
        <f>IF($E521="","",INDEX('Input Transaksi'!$F:$F,$E521))</f>
        <v/>
      </c>
      <c r="E521">
        <f>IFERROR(AGGREGATE(15,6,ROW('Input Transaksi'!$B$5:$B$5000)/('Input Transaksi'!$B$5:$B$5000="JCL BYPASS"),ROWS($E$5:E521)),"")</f>
        <v/>
      </c>
      <c r="F521" s="5" t="n"/>
    </row>
    <row r="522">
      <c r="A522" s="10">
        <f>IF($E522="","",INDEX('Input Transaksi'!$A:$A,$E522))</f>
        <v/>
      </c>
      <c r="B522" s="5">
        <f>IF($E522="","",INDEX('Input Transaksi'!$D:$D,$E522))</f>
        <v/>
      </c>
      <c r="C522">
        <f>IF($E522="","",INDEX('Input Transaksi'!$E:$E,$E522))</f>
        <v/>
      </c>
      <c r="D522" s="5">
        <f>IF($E522="","",INDEX('Input Transaksi'!$F:$F,$E522))</f>
        <v/>
      </c>
      <c r="E522">
        <f>IFERROR(AGGREGATE(15,6,ROW('Input Transaksi'!$B$5:$B$5000)/('Input Transaksi'!$B$5:$B$5000="JCL BYPASS"),ROWS($E$5:E522)),"")</f>
        <v/>
      </c>
      <c r="F522" s="5" t="n"/>
    </row>
    <row r="523">
      <c r="A523" s="10">
        <f>IF($E523="","",INDEX('Input Transaksi'!$A:$A,$E523))</f>
        <v/>
      </c>
      <c r="B523" s="5">
        <f>IF($E523="","",INDEX('Input Transaksi'!$D:$D,$E523))</f>
        <v/>
      </c>
      <c r="C523">
        <f>IF($E523="","",INDEX('Input Transaksi'!$E:$E,$E523))</f>
        <v/>
      </c>
      <c r="D523" s="5">
        <f>IF($E523="","",INDEX('Input Transaksi'!$F:$F,$E523))</f>
        <v/>
      </c>
      <c r="E523">
        <f>IFERROR(AGGREGATE(15,6,ROW('Input Transaksi'!$B$5:$B$5000)/('Input Transaksi'!$B$5:$B$5000="JCL BYPASS"),ROWS($E$5:E523)),"")</f>
        <v/>
      </c>
      <c r="F523" s="5" t="n"/>
    </row>
    <row r="524">
      <c r="A524" s="10">
        <f>IF($E524="","",INDEX('Input Transaksi'!$A:$A,$E524))</f>
        <v/>
      </c>
      <c r="B524" s="5">
        <f>IF($E524="","",INDEX('Input Transaksi'!$D:$D,$E524))</f>
        <v/>
      </c>
      <c r="C524">
        <f>IF($E524="","",INDEX('Input Transaksi'!$E:$E,$E524))</f>
        <v/>
      </c>
      <c r="D524" s="5">
        <f>IF($E524="","",INDEX('Input Transaksi'!$F:$F,$E524))</f>
        <v/>
      </c>
      <c r="E524">
        <f>IFERROR(AGGREGATE(15,6,ROW('Input Transaksi'!$B$5:$B$5000)/('Input Transaksi'!$B$5:$B$5000="JCL BYPASS"),ROWS($E$5:E524)),"")</f>
        <v/>
      </c>
      <c r="F524" s="5" t="n"/>
    </row>
    <row r="525">
      <c r="A525" s="10">
        <f>IF($E525="","",INDEX('Input Transaksi'!$A:$A,$E525))</f>
        <v/>
      </c>
      <c r="B525" s="5">
        <f>IF($E525="","",INDEX('Input Transaksi'!$D:$D,$E525))</f>
        <v/>
      </c>
      <c r="C525">
        <f>IF($E525="","",INDEX('Input Transaksi'!$E:$E,$E525))</f>
        <v/>
      </c>
      <c r="D525" s="5">
        <f>IF($E525="","",INDEX('Input Transaksi'!$F:$F,$E525))</f>
        <v/>
      </c>
      <c r="E525">
        <f>IFERROR(AGGREGATE(15,6,ROW('Input Transaksi'!$B$5:$B$5000)/('Input Transaksi'!$B$5:$B$5000="JCL BYPASS"),ROWS($E$5:E525)),"")</f>
        <v/>
      </c>
      <c r="F525" s="5" t="n"/>
    </row>
    <row r="526">
      <c r="A526" s="10">
        <f>IF($E526="","",INDEX('Input Transaksi'!$A:$A,$E526))</f>
        <v/>
      </c>
      <c r="B526" s="5">
        <f>IF($E526="","",INDEX('Input Transaksi'!$D:$D,$E526))</f>
        <v/>
      </c>
      <c r="C526">
        <f>IF($E526="","",INDEX('Input Transaksi'!$E:$E,$E526))</f>
        <v/>
      </c>
      <c r="D526" s="5">
        <f>IF($E526="","",INDEX('Input Transaksi'!$F:$F,$E526))</f>
        <v/>
      </c>
      <c r="E526">
        <f>IFERROR(AGGREGATE(15,6,ROW('Input Transaksi'!$B$5:$B$5000)/('Input Transaksi'!$B$5:$B$5000="JCL BYPASS"),ROWS($E$5:E526)),"")</f>
        <v/>
      </c>
      <c r="F526" s="5" t="n"/>
    </row>
    <row r="527">
      <c r="A527" s="10">
        <f>IF($E527="","",INDEX('Input Transaksi'!$A:$A,$E527))</f>
        <v/>
      </c>
      <c r="B527" s="5">
        <f>IF($E527="","",INDEX('Input Transaksi'!$D:$D,$E527))</f>
        <v/>
      </c>
      <c r="C527">
        <f>IF($E527="","",INDEX('Input Transaksi'!$E:$E,$E527))</f>
        <v/>
      </c>
      <c r="D527" s="5">
        <f>IF($E527="","",INDEX('Input Transaksi'!$F:$F,$E527))</f>
        <v/>
      </c>
      <c r="E527">
        <f>IFERROR(AGGREGATE(15,6,ROW('Input Transaksi'!$B$5:$B$5000)/('Input Transaksi'!$B$5:$B$5000="JCL BYPASS"),ROWS($E$5:E527)),"")</f>
        <v/>
      </c>
      <c r="F527" s="5" t="n"/>
    </row>
    <row r="528">
      <c r="A528" s="10">
        <f>IF($E528="","",INDEX('Input Transaksi'!$A:$A,$E528))</f>
        <v/>
      </c>
      <c r="B528" s="5">
        <f>IF($E528="","",INDEX('Input Transaksi'!$D:$D,$E528))</f>
        <v/>
      </c>
      <c r="C528">
        <f>IF($E528="","",INDEX('Input Transaksi'!$E:$E,$E528))</f>
        <v/>
      </c>
      <c r="D528" s="5">
        <f>IF($E528="","",INDEX('Input Transaksi'!$F:$F,$E528))</f>
        <v/>
      </c>
      <c r="E528">
        <f>IFERROR(AGGREGATE(15,6,ROW('Input Transaksi'!$B$5:$B$5000)/('Input Transaksi'!$B$5:$B$5000="JCL BYPASS"),ROWS($E$5:E528)),"")</f>
        <v/>
      </c>
      <c r="F528" s="5" t="n"/>
    </row>
    <row r="529">
      <c r="A529" s="10">
        <f>IF($E529="","",INDEX('Input Transaksi'!$A:$A,$E529))</f>
        <v/>
      </c>
      <c r="B529" s="5">
        <f>IF($E529="","",INDEX('Input Transaksi'!$D:$D,$E529))</f>
        <v/>
      </c>
      <c r="C529">
        <f>IF($E529="","",INDEX('Input Transaksi'!$E:$E,$E529))</f>
        <v/>
      </c>
      <c r="D529" s="5">
        <f>IF($E529="","",INDEX('Input Transaksi'!$F:$F,$E529))</f>
        <v/>
      </c>
      <c r="E529">
        <f>IFERROR(AGGREGATE(15,6,ROW('Input Transaksi'!$B$5:$B$5000)/('Input Transaksi'!$B$5:$B$5000="JCL BYPASS"),ROWS($E$5:E529)),"")</f>
        <v/>
      </c>
      <c r="F529" s="5" t="n"/>
    </row>
    <row r="530">
      <c r="A530" s="10">
        <f>IF($E530="","",INDEX('Input Transaksi'!$A:$A,$E530))</f>
        <v/>
      </c>
      <c r="B530" s="5">
        <f>IF($E530="","",INDEX('Input Transaksi'!$D:$D,$E530))</f>
        <v/>
      </c>
      <c r="C530">
        <f>IF($E530="","",INDEX('Input Transaksi'!$E:$E,$E530))</f>
        <v/>
      </c>
      <c r="D530" s="5">
        <f>IF($E530="","",INDEX('Input Transaksi'!$F:$F,$E530))</f>
        <v/>
      </c>
      <c r="E530">
        <f>IFERROR(AGGREGATE(15,6,ROW('Input Transaksi'!$B$5:$B$5000)/('Input Transaksi'!$B$5:$B$5000="JCL BYPASS"),ROWS($E$5:E530)),"")</f>
        <v/>
      </c>
      <c r="F530" s="5" t="n"/>
    </row>
    <row r="531">
      <c r="A531" s="10">
        <f>IF($E531="","",INDEX('Input Transaksi'!$A:$A,$E531))</f>
        <v/>
      </c>
      <c r="B531" s="5">
        <f>IF($E531="","",INDEX('Input Transaksi'!$D:$D,$E531))</f>
        <v/>
      </c>
      <c r="C531">
        <f>IF($E531="","",INDEX('Input Transaksi'!$E:$E,$E531))</f>
        <v/>
      </c>
      <c r="D531" s="5">
        <f>IF($E531="","",INDEX('Input Transaksi'!$F:$F,$E531))</f>
        <v/>
      </c>
      <c r="E531">
        <f>IFERROR(AGGREGATE(15,6,ROW('Input Transaksi'!$B$5:$B$5000)/('Input Transaksi'!$B$5:$B$5000="JCL BYPASS"),ROWS($E$5:E531)),"")</f>
        <v/>
      </c>
      <c r="F531" s="5" t="n"/>
    </row>
    <row r="532">
      <c r="A532" s="10">
        <f>IF($E532="","",INDEX('Input Transaksi'!$A:$A,$E532))</f>
        <v/>
      </c>
      <c r="B532" s="5">
        <f>IF($E532="","",INDEX('Input Transaksi'!$D:$D,$E532))</f>
        <v/>
      </c>
      <c r="C532">
        <f>IF($E532="","",INDEX('Input Transaksi'!$E:$E,$E532))</f>
        <v/>
      </c>
      <c r="D532" s="5">
        <f>IF($E532="","",INDEX('Input Transaksi'!$F:$F,$E532))</f>
        <v/>
      </c>
      <c r="E532">
        <f>IFERROR(AGGREGATE(15,6,ROW('Input Transaksi'!$B$5:$B$5000)/('Input Transaksi'!$B$5:$B$5000="JCL BYPASS"),ROWS($E$5:E532)),"")</f>
        <v/>
      </c>
      <c r="F532" s="5" t="n"/>
    </row>
    <row r="533">
      <c r="A533" s="10">
        <f>IF($E533="","",INDEX('Input Transaksi'!$A:$A,$E533))</f>
        <v/>
      </c>
      <c r="B533" s="5">
        <f>IF($E533="","",INDEX('Input Transaksi'!$D:$D,$E533))</f>
        <v/>
      </c>
      <c r="C533">
        <f>IF($E533="","",INDEX('Input Transaksi'!$E:$E,$E533))</f>
        <v/>
      </c>
      <c r="D533" s="5">
        <f>IF($E533="","",INDEX('Input Transaksi'!$F:$F,$E533))</f>
        <v/>
      </c>
      <c r="E533">
        <f>IFERROR(AGGREGATE(15,6,ROW('Input Transaksi'!$B$5:$B$5000)/('Input Transaksi'!$B$5:$B$5000="JCL BYPASS"),ROWS($E$5:E533)),"")</f>
        <v/>
      </c>
      <c r="F533" s="5" t="n"/>
    </row>
    <row r="534">
      <c r="A534" s="10">
        <f>IF($E534="","",INDEX('Input Transaksi'!$A:$A,$E534))</f>
        <v/>
      </c>
      <c r="B534" s="5">
        <f>IF($E534="","",INDEX('Input Transaksi'!$D:$D,$E534))</f>
        <v/>
      </c>
      <c r="C534">
        <f>IF($E534="","",INDEX('Input Transaksi'!$E:$E,$E534))</f>
        <v/>
      </c>
      <c r="D534" s="5">
        <f>IF($E534="","",INDEX('Input Transaksi'!$F:$F,$E534))</f>
        <v/>
      </c>
      <c r="E534">
        <f>IFERROR(AGGREGATE(15,6,ROW('Input Transaksi'!$B$5:$B$5000)/('Input Transaksi'!$B$5:$B$5000="JCL BYPASS"),ROWS($E$5:E534)),"")</f>
        <v/>
      </c>
      <c r="F534" s="5" t="n"/>
    </row>
    <row r="535">
      <c r="A535" s="10">
        <f>IF($E535="","",INDEX('Input Transaksi'!$A:$A,$E535))</f>
        <v/>
      </c>
      <c r="B535" s="5">
        <f>IF($E535="","",INDEX('Input Transaksi'!$D:$D,$E535))</f>
        <v/>
      </c>
      <c r="C535">
        <f>IF($E535="","",INDEX('Input Transaksi'!$E:$E,$E535))</f>
        <v/>
      </c>
      <c r="D535" s="5">
        <f>IF($E535="","",INDEX('Input Transaksi'!$F:$F,$E535))</f>
        <v/>
      </c>
      <c r="E535">
        <f>IFERROR(AGGREGATE(15,6,ROW('Input Transaksi'!$B$5:$B$5000)/('Input Transaksi'!$B$5:$B$5000="JCL BYPASS"),ROWS($E$5:E535)),"")</f>
        <v/>
      </c>
      <c r="F535" s="5" t="n"/>
    </row>
    <row r="536">
      <c r="A536" s="10">
        <f>IF($E536="","",INDEX('Input Transaksi'!$A:$A,$E536))</f>
        <v/>
      </c>
      <c r="B536" s="5">
        <f>IF($E536="","",INDEX('Input Transaksi'!$D:$D,$E536))</f>
        <v/>
      </c>
      <c r="C536">
        <f>IF($E536="","",INDEX('Input Transaksi'!$E:$E,$E536))</f>
        <v/>
      </c>
      <c r="D536" s="5">
        <f>IF($E536="","",INDEX('Input Transaksi'!$F:$F,$E536))</f>
        <v/>
      </c>
      <c r="E536">
        <f>IFERROR(AGGREGATE(15,6,ROW('Input Transaksi'!$B$5:$B$5000)/('Input Transaksi'!$B$5:$B$5000="JCL BYPASS"),ROWS($E$5:E536)),"")</f>
        <v/>
      </c>
      <c r="F536" s="5" t="n"/>
    </row>
    <row r="537">
      <c r="A537" s="10">
        <f>IF($E537="","",INDEX('Input Transaksi'!$A:$A,$E537))</f>
        <v/>
      </c>
      <c r="B537" s="5">
        <f>IF($E537="","",INDEX('Input Transaksi'!$D:$D,$E537))</f>
        <v/>
      </c>
      <c r="C537">
        <f>IF($E537="","",INDEX('Input Transaksi'!$E:$E,$E537))</f>
        <v/>
      </c>
      <c r="D537" s="5">
        <f>IF($E537="","",INDEX('Input Transaksi'!$F:$F,$E537))</f>
        <v/>
      </c>
      <c r="E537">
        <f>IFERROR(AGGREGATE(15,6,ROW('Input Transaksi'!$B$5:$B$5000)/('Input Transaksi'!$B$5:$B$5000="JCL BYPASS"),ROWS($E$5:E537)),"")</f>
        <v/>
      </c>
      <c r="F537" s="5" t="n"/>
    </row>
    <row r="538">
      <c r="A538" s="10">
        <f>IF($E538="","",INDEX('Input Transaksi'!$A:$A,$E538))</f>
        <v/>
      </c>
      <c r="B538" s="5">
        <f>IF($E538="","",INDEX('Input Transaksi'!$D:$D,$E538))</f>
        <v/>
      </c>
      <c r="C538">
        <f>IF($E538="","",INDEX('Input Transaksi'!$E:$E,$E538))</f>
        <v/>
      </c>
      <c r="D538" s="5">
        <f>IF($E538="","",INDEX('Input Transaksi'!$F:$F,$E538))</f>
        <v/>
      </c>
      <c r="E538">
        <f>IFERROR(AGGREGATE(15,6,ROW('Input Transaksi'!$B$5:$B$5000)/('Input Transaksi'!$B$5:$B$5000="JCL BYPASS"),ROWS($E$5:E538)),"")</f>
        <v/>
      </c>
      <c r="F538" s="5" t="n"/>
    </row>
    <row r="539">
      <c r="A539" s="10">
        <f>IF($E539="","",INDEX('Input Transaksi'!$A:$A,$E539))</f>
        <v/>
      </c>
      <c r="B539" s="5">
        <f>IF($E539="","",INDEX('Input Transaksi'!$D:$D,$E539))</f>
        <v/>
      </c>
      <c r="C539">
        <f>IF($E539="","",INDEX('Input Transaksi'!$E:$E,$E539))</f>
        <v/>
      </c>
      <c r="D539" s="5">
        <f>IF($E539="","",INDEX('Input Transaksi'!$F:$F,$E539))</f>
        <v/>
      </c>
      <c r="E539">
        <f>IFERROR(AGGREGATE(15,6,ROW('Input Transaksi'!$B$5:$B$5000)/('Input Transaksi'!$B$5:$B$5000="JCL BYPASS"),ROWS($E$5:E539)),"")</f>
        <v/>
      </c>
      <c r="F539" s="5" t="n"/>
    </row>
    <row r="540">
      <c r="A540" s="10">
        <f>IF($E540="","",INDEX('Input Transaksi'!$A:$A,$E540))</f>
        <v/>
      </c>
      <c r="B540" s="5">
        <f>IF($E540="","",INDEX('Input Transaksi'!$D:$D,$E540))</f>
        <v/>
      </c>
      <c r="C540">
        <f>IF($E540="","",INDEX('Input Transaksi'!$E:$E,$E540))</f>
        <v/>
      </c>
      <c r="D540" s="5">
        <f>IF($E540="","",INDEX('Input Transaksi'!$F:$F,$E540))</f>
        <v/>
      </c>
      <c r="E540">
        <f>IFERROR(AGGREGATE(15,6,ROW('Input Transaksi'!$B$5:$B$5000)/('Input Transaksi'!$B$5:$B$5000="JCL BYPASS"),ROWS($E$5:E540)),"")</f>
        <v/>
      </c>
      <c r="F540" s="5" t="n"/>
    </row>
    <row r="541">
      <c r="A541" s="10">
        <f>IF($E541="","",INDEX('Input Transaksi'!$A:$A,$E541))</f>
        <v/>
      </c>
      <c r="B541" s="5">
        <f>IF($E541="","",INDEX('Input Transaksi'!$D:$D,$E541))</f>
        <v/>
      </c>
      <c r="C541">
        <f>IF($E541="","",INDEX('Input Transaksi'!$E:$E,$E541))</f>
        <v/>
      </c>
      <c r="D541" s="5">
        <f>IF($E541="","",INDEX('Input Transaksi'!$F:$F,$E541))</f>
        <v/>
      </c>
      <c r="E541">
        <f>IFERROR(AGGREGATE(15,6,ROW('Input Transaksi'!$B$5:$B$5000)/('Input Transaksi'!$B$5:$B$5000="JCL BYPASS"),ROWS($E$5:E541)),"")</f>
        <v/>
      </c>
      <c r="F541" s="5" t="n"/>
    </row>
    <row r="542">
      <c r="A542" s="10">
        <f>IF($E542="","",INDEX('Input Transaksi'!$A:$A,$E542))</f>
        <v/>
      </c>
      <c r="B542" s="5">
        <f>IF($E542="","",INDEX('Input Transaksi'!$D:$D,$E542))</f>
        <v/>
      </c>
      <c r="C542">
        <f>IF($E542="","",INDEX('Input Transaksi'!$E:$E,$E542))</f>
        <v/>
      </c>
      <c r="D542" s="5">
        <f>IF($E542="","",INDEX('Input Transaksi'!$F:$F,$E542))</f>
        <v/>
      </c>
      <c r="E542">
        <f>IFERROR(AGGREGATE(15,6,ROW('Input Transaksi'!$B$5:$B$5000)/('Input Transaksi'!$B$5:$B$5000="JCL BYPASS"),ROWS($E$5:E542)),"")</f>
        <v/>
      </c>
      <c r="F542" s="5" t="n"/>
    </row>
    <row r="543">
      <c r="A543" s="10">
        <f>IF($E543="","",INDEX('Input Transaksi'!$A:$A,$E543))</f>
        <v/>
      </c>
      <c r="B543" s="5">
        <f>IF($E543="","",INDEX('Input Transaksi'!$D:$D,$E543))</f>
        <v/>
      </c>
      <c r="C543">
        <f>IF($E543="","",INDEX('Input Transaksi'!$E:$E,$E543))</f>
        <v/>
      </c>
      <c r="D543" s="5">
        <f>IF($E543="","",INDEX('Input Transaksi'!$F:$F,$E543))</f>
        <v/>
      </c>
      <c r="E543">
        <f>IFERROR(AGGREGATE(15,6,ROW('Input Transaksi'!$B$5:$B$5000)/('Input Transaksi'!$B$5:$B$5000="JCL BYPASS"),ROWS($E$5:E543)),"")</f>
        <v/>
      </c>
      <c r="F543" s="5" t="n"/>
    </row>
    <row r="544">
      <c r="A544" s="10">
        <f>IF($E544="","",INDEX('Input Transaksi'!$A:$A,$E544))</f>
        <v/>
      </c>
      <c r="B544" s="5">
        <f>IF($E544="","",INDEX('Input Transaksi'!$D:$D,$E544))</f>
        <v/>
      </c>
      <c r="C544">
        <f>IF($E544="","",INDEX('Input Transaksi'!$E:$E,$E544))</f>
        <v/>
      </c>
      <c r="D544" s="5">
        <f>IF($E544="","",INDEX('Input Transaksi'!$F:$F,$E544))</f>
        <v/>
      </c>
      <c r="E544">
        <f>IFERROR(AGGREGATE(15,6,ROW('Input Transaksi'!$B$5:$B$5000)/('Input Transaksi'!$B$5:$B$5000="JCL BYPASS"),ROWS($E$5:E544)),"")</f>
        <v/>
      </c>
      <c r="F544" s="5" t="n"/>
    </row>
    <row r="545">
      <c r="A545" s="10">
        <f>IF($E545="","",INDEX('Input Transaksi'!$A:$A,$E545))</f>
        <v/>
      </c>
      <c r="B545" s="5">
        <f>IF($E545="","",INDEX('Input Transaksi'!$D:$D,$E545))</f>
        <v/>
      </c>
      <c r="C545">
        <f>IF($E545="","",INDEX('Input Transaksi'!$E:$E,$E545))</f>
        <v/>
      </c>
      <c r="D545" s="5">
        <f>IF($E545="","",INDEX('Input Transaksi'!$F:$F,$E545))</f>
        <v/>
      </c>
      <c r="E545">
        <f>IFERROR(AGGREGATE(15,6,ROW('Input Transaksi'!$B$5:$B$5000)/('Input Transaksi'!$B$5:$B$5000="JCL BYPASS"),ROWS($E$5:E545)),"")</f>
        <v/>
      </c>
      <c r="F545" s="5" t="n"/>
    </row>
    <row r="546">
      <c r="A546" s="10">
        <f>IF($E546="","",INDEX('Input Transaksi'!$A:$A,$E546))</f>
        <v/>
      </c>
      <c r="B546" s="5">
        <f>IF($E546="","",INDEX('Input Transaksi'!$D:$D,$E546))</f>
        <v/>
      </c>
      <c r="C546">
        <f>IF($E546="","",INDEX('Input Transaksi'!$E:$E,$E546))</f>
        <v/>
      </c>
      <c r="D546" s="5">
        <f>IF($E546="","",INDEX('Input Transaksi'!$F:$F,$E546))</f>
        <v/>
      </c>
      <c r="E546">
        <f>IFERROR(AGGREGATE(15,6,ROW('Input Transaksi'!$B$5:$B$5000)/('Input Transaksi'!$B$5:$B$5000="JCL BYPASS"),ROWS($E$5:E546)),"")</f>
        <v/>
      </c>
      <c r="F546" s="5" t="n"/>
    </row>
    <row r="547">
      <c r="A547" s="10">
        <f>IF($E547="","",INDEX('Input Transaksi'!$A:$A,$E547))</f>
        <v/>
      </c>
      <c r="B547" s="5">
        <f>IF($E547="","",INDEX('Input Transaksi'!$D:$D,$E547))</f>
        <v/>
      </c>
      <c r="C547">
        <f>IF($E547="","",INDEX('Input Transaksi'!$E:$E,$E547))</f>
        <v/>
      </c>
      <c r="D547" s="5">
        <f>IF($E547="","",INDEX('Input Transaksi'!$F:$F,$E547))</f>
        <v/>
      </c>
      <c r="E547">
        <f>IFERROR(AGGREGATE(15,6,ROW('Input Transaksi'!$B$5:$B$5000)/('Input Transaksi'!$B$5:$B$5000="JCL BYPASS"),ROWS($E$5:E547)),"")</f>
        <v/>
      </c>
      <c r="F547" s="5" t="n"/>
    </row>
    <row r="548">
      <c r="A548" s="10">
        <f>IF($E548="","",INDEX('Input Transaksi'!$A:$A,$E548))</f>
        <v/>
      </c>
      <c r="B548" s="5">
        <f>IF($E548="","",INDEX('Input Transaksi'!$D:$D,$E548))</f>
        <v/>
      </c>
      <c r="C548">
        <f>IF($E548="","",INDEX('Input Transaksi'!$E:$E,$E548))</f>
        <v/>
      </c>
      <c r="D548" s="5">
        <f>IF($E548="","",INDEX('Input Transaksi'!$F:$F,$E548))</f>
        <v/>
      </c>
      <c r="E548">
        <f>IFERROR(AGGREGATE(15,6,ROW('Input Transaksi'!$B$5:$B$5000)/('Input Transaksi'!$B$5:$B$5000="JCL BYPASS"),ROWS($E$5:E548)),"")</f>
        <v/>
      </c>
      <c r="F548" s="5" t="n"/>
    </row>
    <row r="549">
      <c r="A549" s="10">
        <f>IF($E549="","",INDEX('Input Transaksi'!$A:$A,$E549))</f>
        <v/>
      </c>
      <c r="B549" s="5">
        <f>IF($E549="","",INDEX('Input Transaksi'!$D:$D,$E549))</f>
        <v/>
      </c>
      <c r="C549">
        <f>IF($E549="","",INDEX('Input Transaksi'!$E:$E,$E549))</f>
        <v/>
      </c>
      <c r="D549" s="5">
        <f>IF($E549="","",INDEX('Input Transaksi'!$F:$F,$E549))</f>
        <v/>
      </c>
      <c r="E549">
        <f>IFERROR(AGGREGATE(15,6,ROW('Input Transaksi'!$B$5:$B$5000)/('Input Transaksi'!$B$5:$B$5000="JCL BYPASS"),ROWS($E$5:E549)),"")</f>
        <v/>
      </c>
      <c r="F549" s="5" t="n"/>
    </row>
    <row r="550">
      <c r="A550" s="10">
        <f>IF($E550="","",INDEX('Input Transaksi'!$A:$A,$E550))</f>
        <v/>
      </c>
      <c r="B550" s="5">
        <f>IF($E550="","",INDEX('Input Transaksi'!$D:$D,$E550))</f>
        <v/>
      </c>
      <c r="C550">
        <f>IF($E550="","",INDEX('Input Transaksi'!$E:$E,$E550))</f>
        <v/>
      </c>
      <c r="D550" s="5">
        <f>IF($E550="","",INDEX('Input Transaksi'!$F:$F,$E550))</f>
        <v/>
      </c>
      <c r="E550">
        <f>IFERROR(AGGREGATE(15,6,ROW('Input Transaksi'!$B$5:$B$5000)/('Input Transaksi'!$B$5:$B$5000="JCL BYPASS"),ROWS($E$5:E550)),"")</f>
        <v/>
      </c>
      <c r="F550" s="5" t="n"/>
    </row>
    <row r="551">
      <c r="A551" s="10">
        <f>IF($E551="","",INDEX('Input Transaksi'!$A:$A,$E551))</f>
        <v/>
      </c>
      <c r="B551" s="5">
        <f>IF($E551="","",INDEX('Input Transaksi'!$D:$D,$E551))</f>
        <v/>
      </c>
      <c r="C551">
        <f>IF($E551="","",INDEX('Input Transaksi'!$E:$E,$E551))</f>
        <v/>
      </c>
      <c r="D551" s="5">
        <f>IF($E551="","",INDEX('Input Transaksi'!$F:$F,$E551))</f>
        <v/>
      </c>
      <c r="E551">
        <f>IFERROR(AGGREGATE(15,6,ROW('Input Transaksi'!$B$5:$B$5000)/('Input Transaksi'!$B$5:$B$5000="JCL BYPASS"),ROWS($E$5:E551)),"")</f>
        <v/>
      </c>
      <c r="F551" s="5" t="n"/>
    </row>
    <row r="552">
      <c r="A552" s="10">
        <f>IF($E552="","",INDEX('Input Transaksi'!$A:$A,$E552))</f>
        <v/>
      </c>
      <c r="B552" s="5">
        <f>IF($E552="","",INDEX('Input Transaksi'!$D:$D,$E552))</f>
        <v/>
      </c>
      <c r="C552">
        <f>IF($E552="","",INDEX('Input Transaksi'!$E:$E,$E552))</f>
        <v/>
      </c>
      <c r="D552" s="5">
        <f>IF($E552="","",INDEX('Input Transaksi'!$F:$F,$E552))</f>
        <v/>
      </c>
      <c r="E552">
        <f>IFERROR(AGGREGATE(15,6,ROW('Input Transaksi'!$B$5:$B$5000)/('Input Transaksi'!$B$5:$B$5000="JCL BYPASS"),ROWS($E$5:E552)),"")</f>
        <v/>
      </c>
      <c r="F552" s="5" t="n"/>
    </row>
    <row r="553">
      <c r="A553" s="10">
        <f>IF($E553="","",INDEX('Input Transaksi'!$A:$A,$E553))</f>
        <v/>
      </c>
      <c r="B553" s="5">
        <f>IF($E553="","",INDEX('Input Transaksi'!$D:$D,$E553))</f>
        <v/>
      </c>
      <c r="C553">
        <f>IF($E553="","",INDEX('Input Transaksi'!$E:$E,$E553))</f>
        <v/>
      </c>
      <c r="D553" s="5">
        <f>IF($E553="","",INDEX('Input Transaksi'!$F:$F,$E553))</f>
        <v/>
      </c>
      <c r="E553">
        <f>IFERROR(AGGREGATE(15,6,ROW('Input Transaksi'!$B$5:$B$5000)/('Input Transaksi'!$B$5:$B$5000="JCL BYPASS"),ROWS($E$5:E553)),"")</f>
        <v/>
      </c>
      <c r="F553" s="5" t="n"/>
    </row>
    <row r="554">
      <c r="A554" s="10">
        <f>IF($E554="","",INDEX('Input Transaksi'!$A:$A,$E554))</f>
        <v/>
      </c>
      <c r="B554" s="5">
        <f>IF($E554="","",INDEX('Input Transaksi'!$D:$D,$E554))</f>
        <v/>
      </c>
      <c r="C554">
        <f>IF($E554="","",INDEX('Input Transaksi'!$E:$E,$E554))</f>
        <v/>
      </c>
      <c r="D554" s="5">
        <f>IF($E554="","",INDEX('Input Transaksi'!$F:$F,$E554))</f>
        <v/>
      </c>
      <c r="E554">
        <f>IFERROR(AGGREGATE(15,6,ROW('Input Transaksi'!$B$5:$B$5000)/('Input Transaksi'!$B$5:$B$5000="JCL BYPASS"),ROWS($E$5:E554)),"")</f>
        <v/>
      </c>
      <c r="F554" s="5" t="n"/>
    </row>
    <row r="555">
      <c r="A555" s="10">
        <f>IF($E555="","",INDEX('Input Transaksi'!$A:$A,$E555))</f>
        <v/>
      </c>
      <c r="B555" s="5">
        <f>IF($E555="","",INDEX('Input Transaksi'!$D:$D,$E555))</f>
        <v/>
      </c>
      <c r="C555">
        <f>IF($E555="","",INDEX('Input Transaksi'!$E:$E,$E555))</f>
        <v/>
      </c>
      <c r="D555" s="5">
        <f>IF($E555="","",INDEX('Input Transaksi'!$F:$F,$E555))</f>
        <v/>
      </c>
      <c r="E555">
        <f>IFERROR(AGGREGATE(15,6,ROW('Input Transaksi'!$B$5:$B$5000)/('Input Transaksi'!$B$5:$B$5000="JCL BYPASS"),ROWS($E$5:E555)),"")</f>
        <v/>
      </c>
      <c r="F555" s="5" t="n"/>
    </row>
    <row r="556">
      <c r="A556" s="10">
        <f>IF($E556="","",INDEX('Input Transaksi'!$A:$A,$E556))</f>
        <v/>
      </c>
      <c r="B556" s="5">
        <f>IF($E556="","",INDEX('Input Transaksi'!$D:$D,$E556))</f>
        <v/>
      </c>
      <c r="C556">
        <f>IF($E556="","",INDEX('Input Transaksi'!$E:$E,$E556))</f>
        <v/>
      </c>
      <c r="D556" s="5">
        <f>IF($E556="","",INDEX('Input Transaksi'!$F:$F,$E556))</f>
        <v/>
      </c>
      <c r="E556">
        <f>IFERROR(AGGREGATE(15,6,ROW('Input Transaksi'!$B$5:$B$5000)/('Input Transaksi'!$B$5:$B$5000="JCL BYPASS"),ROWS($E$5:E556)),"")</f>
        <v/>
      </c>
      <c r="F556" s="5" t="n"/>
    </row>
    <row r="557">
      <c r="A557" s="10">
        <f>IF($E557="","",INDEX('Input Transaksi'!$A:$A,$E557))</f>
        <v/>
      </c>
      <c r="B557" s="5">
        <f>IF($E557="","",INDEX('Input Transaksi'!$D:$D,$E557))</f>
        <v/>
      </c>
      <c r="C557">
        <f>IF($E557="","",INDEX('Input Transaksi'!$E:$E,$E557))</f>
        <v/>
      </c>
      <c r="D557" s="5">
        <f>IF($E557="","",INDEX('Input Transaksi'!$F:$F,$E557))</f>
        <v/>
      </c>
      <c r="E557">
        <f>IFERROR(AGGREGATE(15,6,ROW('Input Transaksi'!$B$5:$B$5000)/('Input Transaksi'!$B$5:$B$5000="JCL BYPASS"),ROWS($E$5:E557)),"")</f>
        <v/>
      </c>
      <c r="F557" s="5" t="n"/>
    </row>
    <row r="558">
      <c r="A558" s="10">
        <f>IF($E558="","",INDEX('Input Transaksi'!$A:$A,$E558))</f>
        <v/>
      </c>
      <c r="B558" s="5">
        <f>IF($E558="","",INDEX('Input Transaksi'!$D:$D,$E558))</f>
        <v/>
      </c>
      <c r="C558">
        <f>IF($E558="","",INDEX('Input Transaksi'!$E:$E,$E558))</f>
        <v/>
      </c>
      <c r="D558" s="5">
        <f>IF($E558="","",INDEX('Input Transaksi'!$F:$F,$E558))</f>
        <v/>
      </c>
      <c r="E558">
        <f>IFERROR(AGGREGATE(15,6,ROW('Input Transaksi'!$B$5:$B$5000)/('Input Transaksi'!$B$5:$B$5000="JCL BYPASS"),ROWS($E$5:E558)),"")</f>
        <v/>
      </c>
      <c r="F558" s="5" t="n"/>
    </row>
    <row r="559">
      <c r="A559" s="10">
        <f>IF($E559="","",INDEX('Input Transaksi'!$A:$A,$E559))</f>
        <v/>
      </c>
      <c r="B559" s="5">
        <f>IF($E559="","",INDEX('Input Transaksi'!$D:$D,$E559))</f>
        <v/>
      </c>
      <c r="C559">
        <f>IF($E559="","",INDEX('Input Transaksi'!$E:$E,$E559))</f>
        <v/>
      </c>
      <c r="D559" s="5">
        <f>IF($E559="","",INDEX('Input Transaksi'!$F:$F,$E559))</f>
        <v/>
      </c>
      <c r="E559">
        <f>IFERROR(AGGREGATE(15,6,ROW('Input Transaksi'!$B$5:$B$5000)/('Input Transaksi'!$B$5:$B$5000="JCL BYPASS"),ROWS($E$5:E559)),"")</f>
        <v/>
      </c>
      <c r="F559" s="5" t="n"/>
    </row>
    <row r="560">
      <c r="A560" s="10">
        <f>IF($E560="","",INDEX('Input Transaksi'!$A:$A,$E560))</f>
        <v/>
      </c>
      <c r="B560" s="5">
        <f>IF($E560="","",INDEX('Input Transaksi'!$D:$D,$E560))</f>
        <v/>
      </c>
      <c r="C560">
        <f>IF($E560="","",INDEX('Input Transaksi'!$E:$E,$E560))</f>
        <v/>
      </c>
      <c r="D560" s="5">
        <f>IF($E560="","",INDEX('Input Transaksi'!$F:$F,$E560))</f>
        <v/>
      </c>
      <c r="E560">
        <f>IFERROR(AGGREGATE(15,6,ROW('Input Transaksi'!$B$5:$B$5000)/('Input Transaksi'!$B$5:$B$5000="JCL BYPASS"),ROWS($E$5:E560)),"")</f>
        <v/>
      </c>
      <c r="F560" s="5" t="n"/>
    </row>
    <row r="561">
      <c r="A561" s="10">
        <f>IF($E561="","",INDEX('Input Transaksi'!$A:$A,$E561))</f>
        <v/>
      </c>
      <c r="B561" s="5">
        <f>IF($E561="","",INDEX('Input Transaksi'!$D:$D,$E561))</f>
        <v/>
      </c>
      <c r="C561">
        <f>IF($E561="","",INDEX('Input Transaksi'!$E:$E,$E561))</f>
        <v/>
      </c>
      <c r="D561" s="5">
        <f>IF($E561="","",INDEX('Input Transaksi'!$F:$F,$E561))</f>
        <v/>
      </c>
      <c r="E561">
        <f>IFERROR(AGGREGATE(15,6,ROW('Input Transaksi'!$B$5:$B$5000)/('Input Transaksi'!$B$5:$B$5000="JCL BYPASS"),ROWS($E$5:E561)),"")</f>
        <v/>
      </c>
      <c r="F561" s="5" t="n"/>
    </row>
    <row r="562">
      <c r="A562" s="10">
        <f>IF($E562="","",INDEX('Input Transaksi'!$A:$A,$E562))</f>
        <v/>
      </c>
      <c r="B562" s="5">
        <f>IF($E562="","",INDEX('Input Transaksi'!$D:$D,$E562))</f>
        <v/>
      </c>
      <c r="C562">
        <f>IF($E562="","",INDEX('Input Transaksi'!$E:$E,$E562))</f>
        <v/>
      </c>
      <c r="D562" s="5">
        <f>IF($E562="","",INDEX('Input Transaksi'!$F:$F,$E562))</f>
        <v/>
      </c>
      <c r="E562">
        <f>IFERROR(AGGREGATE(15,6,ROW('Input Transaksi'!$B$5:$B$5000)/('Input Transaksi'!$B$5:$B$5000="JCL BYPASS"),ROWS($E$5:E562)),"")</f>
        <v/>
      </c>
      <c r="F562" s="5" t="n"/>
    </row>
    <row r="563">
      <c r="A563" s="10">
        <f>IF($E563="","",INDEX('Input Transaksi'!$A:$A,$E563))</f>
        <v/>
      </c>
      <c r="B563" s="5">
        <f>IF($E563="","",INDEX('Input Transaksi'!$D:$D,$E563))</f>
        <v/>
      </c>
      <c r="C563">
        <f>IF($E563="","",INDEX('Input Transaksi'!$E:$E,$E563))</f>
        <v/>
      </c>
      <c r="D563" s="5">
        <f>IF($E563="","",INDEX('Input Transaksi'!$F:$F,$E563))</f>
        <v/>
      </c>
      <c r="E563">
        <f>IFERROR(AGGREGATE(15,6,ROW('Input Transaksi'!$B$5:$B$5000)/('Input Transaksi'!$B$5:$B$5000="JCL BYPASS"),ROWS($E$5:E563)),"")</f>
        <v/>
      </c>
      <c r="F563" s="5" t="n"/>
    </row>
    <row r="564">
      <c r="A564" s="10">
        <f>IF($E564="","",INDEX('Input Transaksi'!$A:$A,$E564))</f>
        <v/>
      </c>
      <c r="B564" s="5">
        <f>IF($E564="","",INDEX('Input Transaksi'!$D:$D,$E564))</f>
        <v/>
      </c>
      <c r="C564">
        <f>IF($E564="","",INDEX('Input Transaksi'!$E:$E,$E564))</f>
        <v/>
      </c>
      <c r="D564" s="5">
        <f>IF($E564="","",INDEX('Input Transaksi'!$F:$F,$E564))</f>
        <v/>
      </c>
      <c r="E564">
        <f>IFERROR(AGGREGATE(15,6,ROW('Input Transaksi'!$B$5:$B$5000)/('Input Transaksi'!$B$5:$B$5000="JCL BYPASS"),ROWS($E$5:E564)),"")</f>
        <v/>
      </c>
      <c r="F564" s="5" t="n"/>
    </row>
    <row r="565">
      <c r="A565" s="10">
        <f>IF($E565="","",INDEX('Input Transaksi'!$A:$A,$E565))</f>
        <v/>
      </c>
      <c r="B565" s="5">
        <f>IF($E565="","",INDEX('Input Transaksi'!$D:$D,$E565))</f>
        <v/>
      </c>
      <c r="C565">
        <f>IF($E565="","",INDEX('Input Transaksi'!$E:$E,$E565))</f>
        <v/>
      </c>
      <c r="D565" s="5">
        <f>IF($E565="","",INDEX('Input Transaksi'!$F:$F,$E565))</f>
        <v/>
      </c>
      <c r="E565">
        <f>IFERROR(AGGREGATE(15,6,ROW('Input Transaksi'!$B$5:$B$5000)/('Input Transaksi'!$B$5:$B$5000="JCL BYPASS"),ROWS($E$5:E565)),"")</f>
        <v/>
      </c>
      <c r="F565" s="5" t="n"/>
    </row>
    <row r="566">
      <c r="A566" s="10">
        <f>IF($E566="","",INDEX('Input Transaksi'!$A:$A,$E566))</f>
        <v/>
      </c>
      <c r="B566" s="5">
        <f>IF($E566="","",INDEX('Input Transaksi'!$D:$D,$E566))</f>
        <v/>
      </c>
      <c r="C566">
        <f>IF($E566="","",INDEX('Input Transaksi'!$E:$E,$E566))</f>
        <v/>
      </c>
      <c r="D566" s="5">
        <f>IF($E566="","",INDEX('Input Transaksi'!$F:$F,$E566))</f>
        <v/>
      </c>
      <c r="E566">
        <f>IFERROR(AGGREGATE(15,6,ROW('Input Transaksi'!$B$5:$B$5000)/('Input Transaksi'!$B$5:$B$5000="JCL BYPASS"),ROWS($E$5:E566)),"")</f>
        <v/>
      </c>
      <c r="F566" s="5" t="n"/>
    </row>
    <row r="567">
      <c r="A567" s="10">
        <f>IF($E567="","",INDEX('Input Transaksi'!$A:$A,$E567))</f>
        <v/>
      </c>
      <c r="B567" s="5">
        <f>IF($E567="","",INDEX('Input Transaksi'!$D:$D,$E567))</f>
        <v/>
      </c>
      <c r="C567">
        <f>IF($E567="","",INDEX('Input Transaksi'!$E:$E,$E567))</f>
        <v/>
      </c>
      <c r="D567" s="5">
        <f>IF($E567="","",INDEX('Input Transaksi'!$F:$F,$E567))</f>
        <v/>
      </c>
      <c r="E567">
        <f>IFERROR(AGGREGATE(15,6,ROW('Input Transaksi'!$B$5:$B$5000)/('Input Transaksi'!$B$5:$B$5000="JCL BYPASS"),ROWS($E$5:E567)),"")</f>
        <v/>
      </c>
      <c r="F567" s="5" t="n"/>
    </row>
    <row r="568">
      <c r="A568" s="10">
        <f>IF($E568="","",INDEX('Input Transaksi'!$A:$A,$E568))</f>
        <v/>
      </c>
      <c r="B568" s="5">
        <f>IF($E568="","",INDEX('Input Transaksi'!$D:$D,$E568))</f>
        <v/>
      </c>
      <c r="C568">
        <f>IF($E568="","",INDEX('Input Transaksi'!$E:$E,$E568))</f>
        <v/>
      </c>
      <c r="D568" s="5">
        <f>IF($E568="","",INDEX('Input Transaksi'!$F:$F,$E568))</f>
        <v/>
      </c>
      <c r="E568">
        <f>IFERROR(AGGREGATE(15,6,ROW('Input Transaksi'!$B$5:$B$5000)/('Input Transaksi'!$B$5:$B$5000="JCL BYPASS"),ROWS($E$5:E568)),"")</f>
        <v/>
      </c>
      <c r="F568" s="5" t="n"/>
    </row>
    <row r="569">
      <c r="A569" s="10">
        <f>IF($E569="","",INDEX('Input Transaksi'!$A:$A,$E569))</f>
        <v/>
      </c>
      <c r="B569" s="5">
        <f>IF($E569="","",INDEX('Input Transaksi'!$D:$D,$E569))</f>
        <v/>
      </c>
      <c r="C569">
        <f>IF($E569="","",INDEX('Input Transaksi'!$E:$E,$E569))</f>
        <v/>
      </c>
      <c r="D569" s="5">
        <f>IF($E569="","",INDEX('Input Transaksi'!$F:$F,$E569))</f>
        <v/>
      </c>
      <c r="E569">
        <f>IFERROR(AGGREGATE(15,6,ROW('Input Transaksi'!$B$5:$B$5000)/('Input Transaksi'!$B$5:$B$5000="JCL BYPASS"),ROWS($E$5:E569)),"")</f>
        <v/>
      </c>
      <c r="F569" s="5" t="n"/>
    </row>
    <row r="570">
      <c r="A570" s="10">
        <f>IF($E570="","",INDEX('Input Transaksi'!$A:$A,$E570))</f>
        <v/>
      </c>
      <c r="B570" s="5">
        <f>IF($E570="","",INDEX('Input Transaksi'!$D:$D,$E570))</f>
        <v/>
      </c>
      <c r="C570">
        <f>IF($E570="","",INDEX('Input Transaksi'!$E:$E,$E570))</f>
        <v/>
      </c>
      <c r="D570" s="5">
        <f>IF($E570="","",INDEX('Input Transaksi'!$F:$F,$E570))</f>
        <v/>
      </c>
      <c r="E570">
        <f>IFERROR(AGGREGATE(15,6,ROW('Input Transaksi'!$B$5:$B$5000)/('Input Transaksi'!$B$5:$B$5000="JCL BYPASS"),ROWS($E$5:E570)),"")</f>
        <v/>
      </c>
      <c r="F570" s="5" t="n"/>
    </row>
    <row r="571">
      <c r="A571" s="10">
        <f>IF($E571="","",INDEX('Input Transaksi'!$A:$A,$E571))</f>
        <v/>
      </c>
      <c r="B571" s="5">
        <f>IF($E571="","",INDEX('Input Transaksi'!$D:$D,$E571))</f>
        <v/>
      </c>
      <c r="C571">
        <f>IF($E571="","",INDEX('Input Transaksi'!$E:$E,$E571))</f>
        <v/>
      </c>
      <c r="D571" s="5">
        <f>IF($E571="","",INDEX('Input Transaksi'!$F:$F,$E571))</f>
        <v/>
      </c>
      <c r="E571">
        <f>IFERROR(AGGREGATE(15,6,ROW('Input Transaksi'!$B$5:$B$5000)/('Input Transaksi'!$B$5:$B$5000="JCL BYPASS"),ROWS($E$5:E571)),"")</f>
        <v/>
      </c>
      <c r="F571" s="5" t="n"/>
    </row>
    <row r="572">
      <c r="A572" s="10">
        <f>IF($E572="","",INDEX('Input Transaksi'!$A:$A,$E572))</f>
        <v/>
      </c>
      <c r="B572" s="5">
        <f>IF($E572="","",INDEX('Input Transaksi'!$D:$D,$E572))</f>
        <v/>
      </c>
      <c r="C572">
        <f>IF($E572="","",INDEX('Input Transaksi'!$E:$E,$E572))</f>
        <v/>
      </c>
      <c r="D572" s="5">
        <f>IF($E572="","",INDEX('Input Transaksi'!$F:$F,$E572))</f>
        <v/>
      </c>
      <c r="E572">
        <f>IFERROR(AGGREGATE(15,6,ROW('Input Transaksi'!$B$5:$B$5000)/('Input Transaksi'!$B$5:$B$5000="JCL BYPASS"),ROWS($E$5:E572)),"")</f>
        <v/>
      </c>
      <c r="F572" s="5" t="n"/>
    </row>
    <row r="573">
      <c r="A573" s="10">
        <f>IF($E573="","",INDEX('Input Transaksi'!$A:$A,$E573))</f>
        <v/>
      </c>
      <c r="B573" s="5">
        <f>IF($E573="","",INDEX('Input Transaksi'!$D:$D,$E573))</f>
        <v/>
      </c>
      <c r="C573">
        <f>IF($E573="","",INDEX('Input Transaksi'!$E:$E,$E573))</f>
        <v/>
      </c>
      <c r="D573" s="5">
        <f>IF($E573="","",INDEX('Input Transaksi'!$F:$F,$E573))</f>
        <v/>
      </c>
      <c r="E573">
        <f>IFERROR(AGGREGATE(15,6,ROW('Input Transaksi'!$B$5:$B$5000)/('Input Transaksi'!$B$5:$B$5000="JCL BYPASS"),ROWS($E$5:E573)),"")</f>
        <v/>
      </c>
      <c r="F573" s="5" t="n"/>
    </row>
    <row r="574">
      <c r="A574" s="10">
        <f>IF($E574="","",INDEX('Input Transaksi'!$A:$A,$E574))</f>
        <v/>
      </c>
      <c r="B574" s="5">
        <f>IF($E574="","",INDEX('Input Transaksi'!$D:$D,$E574))</f>
        <v/>
      </c>
      <c r="C574">
        <f>IF($E574="","",INDEX('Input Transaksi'!$E:$E,$E574))</f>
        <v/>
      </c>
      <c r="D574" s="5">
        <f>IF($E574="","",INDEX('Input Transaksi'!$F:$F,$E574))</f>
        <v/>
      </c>
      <c r="E574">
        <f>IFERROR(AGGREGATE(15,6,ROW('Input Transaksi'!$B$5:$B$5000)/('Input Transaksi'!$B$5:$B$5000="JCL BYPASS"),ROWS($E$5:E574)),"")</f>
        <v/>
      </c>
      <c r="F574" s="5" t="n"/>
    </row>
    <row r="575">
      <c r="A575" s="10">
        <f>IF($E575="","",INDEX('Input Transaksi'!$A:$A,$E575))</f>
        <v/>
      </c>
      <c r="B575" s="5">
        <f>IF($E575="","",INDEX('Input Transaksi'!$D:$D,$E575))</f>
        <v/>
      </c>
      <c r="C575">
        <f>IF($E575="","",INDEX('Input Transaksi'!$E:$E,$E575))</f>
        <v/>
      </c>
      <c r="D575" s="5">
        <f>IF($E575="","",INDEX('Input Transaksi'!$F:$F,$E575))</f>
        <v/>
      </c>
      <c r="E575">
        <f>IFERROR(AGGREGATE(15,6,ROW('Input Transaksi'!$B$5:$B$5000)/('Input Transaksi'!$B$5:$B$5000="JCL BYPASS"),ROWS($E$5:E575)),"")</f>
        <v/>
      </c>
      <c r="F575" s="5" t="n"/>
    </row>
    <row r="576">
      <c r="A576" s="10">
        <f>IF($E576="","",INDEX('Input Transaksi'!$A:$A,$E576))</f>
        <v/>
      </c>
      <c r="B576" s="5">
        <f>IF($E576="","",INDEX('Input Transaksi'!$D:$D,$E576))</f>
        <v/>
      </c>
      <c r="C576">
        <f>IF($E576="","",INDEX('Input Transaksi'!$E:$E,$E576))</f>
        <v/>
      </c>
      <c r="D576" s="5">
        <f>IF($E576="","",INDEX('Input Transaksi'!$F:$F,$E576))</f>
        <v/>
      </c>
      <c r="E576">
        <f>IFERROR(AGGREGATE(15,6,ROW('Input Transaksi'!$B$5:$B$5000)/('Input Transaksi'!$B$5:$B$5000="JCL BYPASS"),ROWS($E$5:E576)),"")</f>
        <v/>
      </c>
      <c r="F576" s="5" t="n"/>
    </row>
    <row r="577">
      <c r="A577" s="10">
        <f>IF($E577="","",INDEX('Input Transaksi'!$A:$A,$E577))</f>
        <v/>
      </c>
      <c r="B577" s="5">
        <f>IF($E577="","",INDEX('Input Transaksi'!$D:$D,$E577))</f>
        <v/>
      </c>
      <c r="C577">
        <f>IF($E577="","",INDEX('Input Transaksi'!$E:$E,$E577))</f>
        <v/>
      </c>
      <c r="D577" s="5">
        <f>IF($E577="","",INDEX('Input Transaksi'!$F:$F,$E577))</f>
        <v/>
      </c>
      <c r="E577">
        <f>IFERROR(AGGREGATE(15,6,ROW('Input Transaksi'!$B$5:$B$5000)/('Input Transaksi'!$B$5:$B$5000="JCL BYPASS"),ROWS($E$5:E577)),"")</f>
        <v/>
      </c>
      <c r="F577" s="5" t="n"/>
    </row>
    <row r="578">
      <c r="A578" s="10">
        <f>IF($E578="","",INDEX('Input Transaksi'!$A:$A,$E578))</f>
        <v/>
      </c>
      <c r="B578" s="5">
        <f>IF($E578="","",INDEX('Input Transaksi'!$D:$D,$E578))</f>
        <v/>
      </c>
      <c r="C578">
        <f>IF($E578="","",INDEX('Input Transaksi'!$E:$E,$E578))</f>
        <v/>
      </c>
      <c r="D578" s="5">
        <f>IF($E578="","",INDEX('Input Transaksi'!$F:$F,$E578))</f>
        <v/>
      </c>
      <c r="E578">
        <f>IFERROR(AGGREGATE(15,6,ROW('Input Transaksi'!$B$5:$B$5000)/('Input Transaksi'!$B$5:$B$5000="JCL BYPASS"),ROWS($E$5:E578)),"")</f>
        <v/>
      </c>
      <c r="F578" s="5" t="n"/>
    </row>
    <row r="579">
      <c r="A579" s="10">
        <f>IF($E579="","",INDEX('Input Transaksi'!$A:$A,$E579))</f>
        <v/>
      </c>
      <c r="B579" s="5">
        <f>IF($E579="","",INDEX('Input Transaksi'!$D:$D,$E579))</f>
        <v/>
      </c>
      <c r="C579">
        <f>IF($E579="","",INDEX('Input Transaksi'!$E:$E,$E579))</f>
        <v/>
      </c>
      <c r="D579" s="5">
        <f>IF($E579="","",INDEX('Input Transaksi'!$F:$F,$E579))</f>
        <v/>
      </c>
      <c r="E579">
        <f>IFERROR(AGGREGATE(15,6,ROW('Input Transaksi'!$B$5:$B$5000)/('Input Transaksi'!$B$5:$B$5000="JCL BYPASS"),ROWS($E$5:E579)),"")</f>
        <v/>
      </c>
      <c r="F579" s="5" t="n"/>
    </row>
    <row r="580">
      <c r="A580" s="10">
        <f>IF($E580="","",INDEX('Input Transaksi'!$A:$A,$E580))</f>
        <v/>
      </c>
      <c r="B580" s="5">
        <f>IF($E580="","",INDEX('Input Transaksi'!$D:$D,$E580))</f>
        <v/>
      </c>
      <c r="C580">
        <f>IF($E580="","",INDEX('Input Transaksi'!$E:$E,$E580))</f>
        <v/>
      </c>
      <c r="D580" s="5">
        <f>IF($E580="","",INDEX('Input Transaksi'!$F:$F,$E580))</f>
        <v/>
      </c>
      <c r="E580">
        <f>IFERROR(AGGREGATE(15,6,ROW('Input Transaksi'!$B$5:$B$5000)/('Input Transaksi'!$B$5:$B$5000="JCL BYPASS"),ROWS($E$5:E580)),"")</f>
        <v/>
      </c>
      <c r="F580" s="5" t="n"/>
    </row>
    <row r="581">
      <c r="A581" s="10">
        <f>IF($E581="","",INDEX('Input Transaksi'!$A:$A,$E581))</f>
        <v/>
      </c>
      <c r="B581" s="5">
        <f>IF($E581="","",INDEX('Input Transaksi'!$D:$D,$E581))</f>
        <v/>
      </c>
      <c r="C581">
        <f>IF($E581="","",INDEX('Input Transaksi'!$E:$E,$E581))</f>
        <v/>
      </c>
      <c r="D581" s="5">
        <f>IF($E581="","",INDEX('Input Transaksi'!$F:$F,$E581))</f>
        <v/>
      </c>
      <c r="E581">
        <f>IFERROR(AGGREGATE(15,6,ROW('Input Transaksi'!$B$5:$B$5000)/('Input Transaksi'!$B$5:$B$5000="JCL BYPASS"),ROWS($E$5:E581)),"")</f>
        <v/>
      </c>
      <c r="F581" s="5" t="n"/>
    </row>
    <row r="582">
      <c r="A582" s="10">
        <f>IF($E582="","",INDEX('Input Transaksi'!$A:$A,$E582))</f>
        <v/>
      </c>
      <c r="B582" s="5">
        <f>IF($E582="","",INDEX('Input Transaksi'!$D:$D,$E582))</f>
        <v/>
      </c>
      <c r="C582">
        <f>IF($E582="","",INDEX('Input Transaksi'!$E:$E,$E582))</f>
        <v/>
      </c>
      <c r="D582" s="5">
        <f>IF($E582="","",INDEX('Input Transaksi'!$F:$F,$E582))</f>
        <v/>
      </c>
      <c r="E582">
        <f>IFERROR(AGGREGATE(15,6,ROW('Input Transaksi'!$B$5:$B$5000)/('Input Transaksi'!$B$5:$B$5000="JCL BYPASS"),ROWS($E$5:E582)),"")</f>
        <v/>
      </c>
      <c r="F582" s="5" t="n"/>
    </row>
    <row r="583">
      <c r="A583" s="10">
        <f>IF($E583="","",INDEX('Input Transaksi'!$A:$A,$E583))</f>
        <v/>
      </c>
      <c r="B583" s="5">
        <f>IF($E583="","",INDEX('Input Transaksi'!$D:$D,$E583))</f>
        <v/>
      </c>
      <c r="C583">
        <f>IF($E583="","",INDEX('Input Transaksi'!$E:$E,$E583))</f>
        <v/>
      </c>
      <c r="D583" s="5">
        <f>IF($E583="","",INDEX('Input Transaksi'!$F:$F,$E583))</f>
        <v/>
      </c>
      <c r="E583">
        <f>IFERROR(AGGREGATE(15,6,ROW('Input Transaksi'!$B$5:$B$5000)/('Input Transaksi'!$B$5:$B$5000="JCL BYPASS"),ROWS($E$5:E583)),"")</f>
        <v/>
      </c>
      <c r="F583" s="5" t="n"/>
    </row>
    <row r="584">
      <c r="A584" s="10">
        <f>IF($E584="","",INDEX('Input Transaksi'!$A:$A,$E584))</f>
        <v/>
      </c>
      <c r="B584" s="5">
        <f>IF($E584="","",INDEX('Input Transaksi'!$D:$D,$E584))</f>
        <v/>
      </c>
      <c r="C584">
        <f>IF($E584="","",INDEX('Input Transaksi'!$E:$E,$E584))</f>
        <v/>
      </c>
      <c r="D584" s="5">
        <f>IF($E584="","",INDEX('Input Transaksi'!$F:$F,$E584))</f>
        <v/>
      </c>
      <c r="E584">
        <f>IFERROR(AGGREGATE(15,6,ROW('Input Transaksi'!$B$5:$B$5000)/('Input Transaksi'!$B$5:$B$5000="JCL BYPASS"),ROWS($E$5:E584)),"")</f>
        <v/>
      </c>
      <c r="F584" s="5" t="n"/>
    </row>
    <row r="585">
      <c r="A585" s="10">
        <f>IF($E585="","",INDEX('Input Transaksi'!$A:$A,$E585))</f>
        <v/>
      </c>
      <c r="B585" s="5">
        <f>IF($E585="","",INDEX('Input Transaksi'!$D:$D,$E585))</f>
        <v/>
      </c>
      <c r="C585">
        <f>IF($E585="","",INDEX('Input Transaksi'!$E:$E,$E585))</f>
        <v/>
      </c>
      <c r="D585" s="5">
        <f>IF($E585="","",INDEX('Input Transaksi'!$F:$F,$E585))</f>
        <v/>
      </c>
      <c r="E585">
        <f>IFERROR(AGGREGATE(15,6,ROW('Input Transaksi'!$B$5:$B$5000)/('Input Transaksi'!$B$5:$B$5000="JCL BYPASS"),ROWS($E$5:E585)),"")</f>
        <v/>
      </c>
      <c r="F585" s="5" t="n"/>
    </row>
    <row r="586">
      <c r="A586" s="10">
        <f>IF($E586="","",INDEX('Input Transaksi'!$A:$A,$E586))</f>
        <v/>
      </c>
      <c r="B586" s="5">
        <f>IF($E586="","",INDEX('Input Transaksi'!$D:$D,$E586))</f>
        <v/>
      </c>
      <c r="C586">
        <f>IF($E586="","",INDEX('Input Transaksi'!$E:$E,$E586))</f>
        <v/>
      </c>
      <c r="D586" s="5">
        <f>IF($E586="","",INDEX('Input Transaksi'!$F:$F,$E586))</f>
        <v/>
      </c>
      <c r="E586">
        <f>IFERROR(AGGREGATE(15,6,ROW('Input Transaksi'!$B$5:$B$5000)/('Input Transaksi'!$B$5:$B$5000="JCL BYPASS"),ROWS($E$5:E586)),"")</f>
        <v/>
      </c>
      <c r="F586" s="5" t="n"/>
    </row>
    <row r="587">
      <c r="A587" s="10">
        <f>IF($E587="","",INDEX('Input Transaksi'!$A:$A,$E587))</f>
        <v/>
      </c>
      <c r="B587" s="5">
        <f>IF($E587="","",INDEX('Input Transaksi'!$D:$D,$E587))</f>
        <v/>
      </c>
      <c r="C587">
        <f>IF($E587="","",INDEX('Input Transaksi'!$E:$E,$E587))</f>
        <v/>
      </c>
      <c r="D587" s="5">
        <f>IF($E587="","",INDEX('Input Transaksi'!$F:$F,$E587))</f>
        <v/>
      </c>
      <c r="E587">
        <f>IFERROR(AGGREGATE(15,6,ROW('Input Transaksi'!$B$5:$B$5000)/('Input Transaksi'!$B$5:$B$5000="JCL BYPASS"),ROWS($E$5:E587)),"")</f>
        <v/>
      </c>
      <c r="F587" s="5" t="n"/>
    </row>
    <row r="588">
      <c r="A588" s="10">
        <f>IF($E588="","",INDEX('Input Transaksi'!$A:$A,$E588))</f>
        <v/>
      </c>
      <c r="B588" s="5">
        <f>IF($E588="","",INDEX('Input Transaksi'!$D:$D,$E588))</f>
        <v/>
      </c>
      <c r="C588">
        <f>IF($E588="","",INDEX('Input Transaksi'!$E:$E,$E588))</f>
        <v/>
      </c>
      <c r="D588" s="5">
        <f>IF($E588="","",INDEX('Input Transaksi'!$F:$F,$E588))</f>
        <v/>
      </c>
      <c r="E588">
        <f>IFERROR(AGGREGATE(15,6,ROW('Input Transaksi'!$B$5:$B$5000)/('Input Transaksi'!$B$5:$B$5000="JCL BYPASS"),ROWS($E$5:E588)),"")</f>
        <v/>
      </c>
      <c r="F588" s="5" t="n"/>
    </row>
    <row r="589">
      <c r="A589" s="10">
        <f>IF($E589="","",INDEX('Input Transaksi'!$A:$A,$E589))</f>
        <v/>
      </c>
      <c r="B589" s="5">
        <f>IF($E589="","",INDEX('Input Transaksi'!$D:$D,$E589))</f>
        <v/>
      </c>
      <c r="C589">
        <f>IF($E589="","",INDEX('Input Transaksi'!$E:$E,$E589))</f>
        <v/>
      </c>
      <c r="D589" s="5">
        <f>IF($E589="","",INDEX('Input Transaksi'!$F:$F,$E589))</f>
        <v/>
      </c>
      <c r="E589">
        <f>IFERROR(AGGREGATE(15,6,ROW('Input Transaksi'!$B$5:$B$5000)/('Input Transaksi'!$B$5:$B$5000="JCL BYPASS"),ROWS($E$5:E589)),"")</f>
        <v/>
      </c>
      <c r="F589" s="5" t="n"/>
    </row>
    <row r="590">
      <c r="A590" s="10">
        <f>IF($E590="","",INDEX('Input Transaksi'!$A:$A,$E590))</f>
        <v/>
      </c>
      <c r="B590" s="5">
        <f>IF($E590="","",INDEX('Input Transaksi'!$D:$D,$E590))</f>
        <v/>
      </c>
      <c r="C590">
        <f>IF($E590="","",INDEX('Input Transaksi'!$E:$E,$E590))</f>
        <v/>
      </c>
      <c r="D590" s="5">
        <f>IF($E590="","",INDEX('Input Transaksi'!$F:$F,$E590))</f>
        <v/>
      </c>
      <c r="E590">
        <f>IFERROR(AGGREGATE(15,6,ROW('Input Transaksi'!$B$5:$B$5000)/('Input Transaksi'!$B$5:$B$5000="JCL BYPASS"),ROWS($E$5:E590)),"")</f>
        <v/>
      </c>
      <c r="F590" s="5" t="n"/>
    </row>
    <row r="591">
      <c r="A591" s="10">
        <f>IF($E591="","",INDEX('Input Transaksi'!$A:$A,$E591))</f>
        <v/>
      </c>
      <c r="B591" s="5">
        <f>IF($E591="","",INDEX('Input Transaksi'!$D:$D,$E591))</f>
        <v/>
      </c>
      <c r="C591">
        <f>IF($E591="","",INDEX('Input Transaksi'!$E:$E,$E591))</f>
        <v/>
      </c>
      <c r="D591" s="5">
        <f>IF($E591="","",INDEX('Input Transaksi'!$F:$F,$E591))</f>
        <v/>
      </c>
      <c r="E591">
        <f>IFERROR(AGGREGATE(15,6,ROW('Input Transaksi'!$B$5:$B$5000)/('Input Transaksi'!$B$5:$B$5000="JCL BYPASS"),ROWS($E$5:E591)),"")</f>
        <v/>
      </c>
      <c r="F591" s="5" t="n"/>
    </row>
    <row r="592">
      <c r="A592" s="10">
        <f>IF($E592="","",INDEX('Input Transaksi'!$A:$A,$E592))</f>
        <v/>
      </c>
      <c r="B592" s="5">
        <f>IF($E592="","",INDEX('Input Transaksi'!$D:$D,$E592))</f>
        <v/>
      </c>
      <c r="C592">
        <f>IF($E592="","",INDEX('Input Transaksi'!$E:$E,$E592))</f>
        <v/>
      </c>
      <c r="D592" s="5">
        <f>IF($E592="","",INDEX('Input Transaksi'!$F:$F,$E592))</f>
        <v/>
      </c>
      <c r="E592">
        <f>IFERROR(AGGREGATE(15,6,ROW('Input Transaksi'!$B$5:$B$5000)/('Input Transaksi'!$B$5:$B$5000="JCL BYPASS"),ROWS($E$5:E592)),"")</f>
        <v/>
      </c>
      <c r="F592" s="5" t="n"/>
    </row>
    <row r="593">
      <c r="A593" s="10">
        <f>IF($E593="","",INDEX('Input Transaksi'!$A:$A,$E593))</f>
        <v/>
      </c>
      <c r="B593" s="5">
        <f>IF($E593="","",INDEX('Input Transaksi'!$D:$D,$E593))</f>
        <v/>
      </c>
      <c r="C593">
        <f>IF($E593="","",INDEX('Input Transaksi'!$E:$E,$E593))</f>
        <v/>
      </c>
      <c r="D593" s="5">
        <f>IF($E593="","",INDEX('Input Transaksi'!$F:$F,$E593))</f>
        <v/>
      </c>
      <c r="E593">
        <f>IFERROR(AGGREGATE(15,6,ROW('Input Transaksi'!$B$5:$B$5000)/('Input Transaksi'!$B$5:$B$5000="JCL BYPASS"),ROWS($E$5:E593)),"")</f>
        <v/>
      </c>
      <c r="F593" s="5" t="n"/>
    </row>
    <row r="594">
      <c r="A594" s="10">
        <f>IF($E594="","",INDEX('Input Transaksi'!$A:$A,$E594))</f>
        <v/>
      </c>
      <c r="B594" s="5">
        <f>IF($E594="","",INDEX('Input Transaksi'!$D:$D,$E594))</f>
        <v/>
      </c>
      <c r="C594">
        <f>IF($E594="","",INDEX('Input Transaksi'!$E:$E,$E594))</f>
        <v/>
      </c>
      <c r="D594" s="5">
        <f>IF($E594="","",INDEX('Input Transaksi'!$F:$F,$E594))</f>
        <v/>
      </c>
      <c r="E594">
        <f>IFERROR(AGGREGATE(15,6,ROW('Input Transaksi'!$B$5:$B$5000)/('Input Transaksi'!$B$5:$B$5000="JCL BYPASS"),ROWS($E$5:E594)),"")</f>
        <v/>
      </c>
      <c r="F594" s="5" t="n"/>
    </row>
    <row r="595">
      <c r="A595" s="10">
        <f>IF($E595="","",INDEX('Input Transaksi'!$A:$A,$E595))</f>
        <v/>
      </c>
      <c r="B595" s="5">
        <f>IF($E595="","",INDEX('Input Transaksi'!$D:$D,$E595))</f>
        <v/>
      </c>
      <c r="C595">
        <f>IF($E595="","",INDEX('Input Transaksi'!$E:$E,$E595))</f>
        <v/>
      </c>
      <c r="D595" s="5">
        <f>IF($E595="","",INDEX('Input Transaksi'!$F:$F,$E595))</f>
        <v/>
      </c>
      <c r="E595">
        <f>IFERROR(AGGREGATE(15,6,ROW('Input Transaksi'!$B$5:$B$5000)/('Input Transaksi'!$B$5:$B$5000="JCL BYPASS"),ROWS($E$5:E595)),"")</f>
        <v/>
      </c>
      <c r="F595" s="5" t="n"/>
    </row>
    <row r="596">
      <c r="A596" s="10">
        <f>IF($E596="","",INDEX('Input Transaksi'!$A:$A,$E596))</f>
        <v/>
      </c>
      <c r="B596" s="5">
        <f>IF($E596="","",INDEX('Input Transaksi'!$D:$D,$E596))</f>
        <v/>
      </c>
      <c r="C596">
        <f>IF($E596="","",INDEX('Input Transaksi'!$E:$E,$E596))</f>
        <v/>
      </c>
      <c r="D596" s="5">
        <f>IF($E596="","",INDEX('Input Transaksi'!$F:$F,$E596))</f>
        <v/>
      </c>
      <c r="E596">
        <f>IFERROR(AGGREGATE(15,6,ROW('Input Transaksi'!$B$5:$B$5000)/('Input Transaksi'!$B$5:$B$5000="JCL BYPASS"),ROWS($E$5:E596)),"")</f>
        <v/>
      </c>
      <c r="F596" s="5" t="n"/>
    </row>
    <row r="597">
      <c r="A597" s="10">
        <f>IF($E597="","",INDEX('Input Transaksi'!$A:$A,$E597))</f>
        <v/>
      </c>
      <c r="B597" s="5">
        <f>IF($E597="","",INDEX('Input Transaksi'!$D:$D,$E597))</f>
        <v/>
      </c>
      <c r="C597">
        <f>IF($E597="","",INDEX('Input Transaksi'!$E:$E,$E597))</f>
        <v/>
      </c>
      <c r="D597" s="5">
        <f>IF($E597="","",INDEX('Input Transaksi'!$F:$F,$E597))</f>
        <v/>
      </c>
      <c r="E597">
        <f>IFERROR(AGGREGATE(15,6,ROW('Input Transaksi'!$B$5:$B$5000)/('Input Transaksi'!$B$5:$B$5000="JCL BYPASS"),ROWS($E$5:E597)),"")</f>
        <v/>
      </c>
      <c r="F597" s="5" t="n"/>
    </row>
    <row r="598">
      <c r="A598" s="10">
        <f>IF($E598="","",INDEX('Input Transaksi'!$A:$A,$E598))</f>
        <v/>
      </c>
      <c r="B598" s="5">
        <f>IF($E598="","",INDEX('Input Transaksi'!$D:$D,$E598))</f>
        <v/>
      </c>
      <c r="C598">
        <f>IF($E598="","",INDEX('Input Transaksi'!$E:$E,$E598))</f>
        <v/>
      </c>
      <c r="D598" s="5">
        <f>IF($E598="","",INDEX('Input Transaksi'!$F:$F,$E598))</f>
        <v/>
      </c>
      <c r="E598">
        <f>IFERROR(AGGREGATE(15,6,ROW('Input Transaksi'!$B$5:$B$5000)/('Input Transaksi'!$B$5:$B$5000="JCL BYPASS"),ROWS($E$5:E598)),"")</f>
        <v/>
      </c>
      <c r="F598" s="5" t="n"/>
    </row>
    <row r="599">
      <c r="A599" s="10">
        <f>IF($E599="","",INDEX('Input Transaksi'!$A:$A,$E599))</f>
        <v/>
      </c>
      <c r="B599" s="5">
        <f>IF($E599="","",INDEX('Input Transaksi'!$D:$D,$E599))</f>
        <v/>
      </c>
      <c r="C599">
        <f>IF($E599="","",INDEX('Input Transaksi'!$E:$E,$E599))</f>
        <v/>
      </c>
      <c r="D599" s="5">
        <f>IF($E599="","",INDEX('Input Transaksi'!$F:$F,$E599))</f>
        <v/>
      </c>
      <c r="E599">
        <f>IFERROR(AGGREGATE(15,6,ROW('Input Transaksi'!$B$5:$B$5000)/('Input Transaksi'!$B$5:$B$5000="JCL BYPASS"),ROWS($E$5:E599)),"")</f>
        <v/>
      </c>
      <c r="F599" s="5" t="n"/>
    </row>
    <row r="600">
      <c r="A600" s="10">
        <f>IF($E600="","",INDEX('Input Transaksi'!$A:$A,$E600))</f>
        <v/>
      </c>
      <c r="B600" s="5">
        <f>IF($E600="","",INDEX('Input Transaksi'!$D:$D,$E600))</f>
        <v/>
      </c>
      <c r="C600">
        <f>IF($E600="","",INDEX('Input Transaksi'!$E:$E,$E600))</f>
        <v/>
      </c>
      <c r="D600" s="5">
        <f>IF($E600="","",INDEX('Input Transaksi'!$F:$F,$E600))</f>
        <v/>
      </c>
      <c r="E600">
        <f>IFERROR(AGGREGATE(15,6,ROW('Input Transaksi'!$B$5:$B$5000)/('Input Transaksi'!$B$5:$B$5000="JCL BYPASS"),ROWS($E$5:E600)),"")</f>
        <v/>
      </c>
      <c r="F600" s="5" t="n"/>
    </row>
    <row r="601">
      <c r="A601" s="10">
        <f>IF($E601="","",INDEX('Input Transaksi'!$A:$A,$E601))</f>
        <v/>
      </c>
      <c r="B601" s="5">
        <f>IF($E601="","",INDEX('Input Transaksi'!$D:$D,$E601))</f>
        <v/>
      </c>
      <c r="C601">
        <f>IF($E601="","",INDEX('Input Transaksi'!$E:$E,$E601))</f>
        <v/>
      </c>
      <c r="D601" s="5">
        <f>IF($E601="","",INDEX('Input Transaksi'!$F:$F,$E601))</f>
        <v/>
      </c>
      <c r="E601">
        <f>IFERROR(AGGREGATE(15,6,ROW('Input Transaksi'!$B$5:$B$5000)/('Input Transaksi'!$B$5:$B$5000="JCL BYPASS"),ROWS($E$5:E601)),"")</f>
        <v/>
      </c>
      <c r="F601" s="5" t="n"/>
    </row>
    <row r="602">
      <c r="A602" s="10">
        <f>IF($E602="","",INDEX('Input Transaksi'!$A:$A,$E602))</f>
        <v/>
      </c>
      <c r="B602" s="5">
        <f>IF($E602="","",INDEX('Input Transaksi'!$D:$D,$E602))</f>
        <v/>
      </c>
      <c r="C602">
        <f>IF($E602="","",INDEX('Input Transaksi'!$E:$E,$E602))</f>
        <v/>
      </c>
      <c r="D602" s="5">
        <f>IF($E602="","",INDEX('Input Transaksi'!$F:$F,$E602))</f>
        <v/>
      </c>
      <c r="E602">
        <f>IFERROR(AGGREGATE(15,6,ROW('Input Transaksi'!$B$5:$B$5000)/('Input Transaksi'!$B$5:$B$5000="JCL BYPASS"),ROWS($E$5:E602)),"")</f>
        <v/>
      </c>
      <c r="F602" s="5" t="n"/>
    </row>
    <row r="603">
      <c r="A603" s="10">
        <f>IF($E603="","",INDEX('Input Transaksi'!$A:$A,$E603))</f>
        <v/>
      </c>
      <c r="B603" s="5">
        <f>IF($E603="","",INDEX('Input Transaksi'!$D:$D,$E603))</f>
        <v/>
      </c>
      <c r="C603">
        <f>IF($E603="","",INDEX('Input Transaksi'!$E:$E,$E603))</f>
        <v/>
      </c>
      <c r="D603" s="5">
        <f>IF($E603="","",INDEX('Input Transaksi'!$F:$F,$E603))</f>
        <v/>
      </c>
      <c r="E603">
        <f>IFERROR(AGGREGATE(15,6,ROW('Input Transaksi'!$B$5:$B$5000)/('Input Transaksi'!$B$5:$B$5000="JCL BYPASS"),ROWS($E$5:E603)),"")</f>
        <v/>
      </c>
      <c r="F603" s="5" t="n"/>
    </row>
    <row r="604">
      <c r="A604" s="10">
        <f>IF($E604="","",INDEX('Input Transaksi'!$A:$A,$E604))</f>
        <v/>
      </c>
      <c r="B604" s="5">
        <f>IF($E604="","",INDEX('Input Transaksi'!$D:$D,$E604))</f>
        <v/>
      </c>
      <c r="C604">
        <f>IF($E604="","",INDEX('Input Transaksi'!$E:$E,$E604))</f>
        <v/>
      </c>
      <c r="D604" s="5">
        <f>IF($E604="","",INDEX('Input Transaksi'!$F:$F,$E604))</f>
        <v/>
      </c>
      <c r="E604">
        <f>IFERROR(AGGREGATE(15,6,ROW('Input Transaksi'!$B$5:$B$5000)/('Input Transaksi'!$B$5:$B$5000="JCL BYPASS"),ROWS($E$5:E604)),"")</f>
        <v/>
      </c>
      <c r="F604" s="5" t="n"/>
    </row>
    <row r="605">
      <c r="A605" s="10">
        <f>IF($E605="","",INDEX('Input Transaksi'!$A:$A,$E605))</f>
        <v/>
      </c>
      <c r="B605" s="5">
        <f>IF($E605="","",INDEX('Input Transaksi'!$D:$D,$E605))</f>
        <v/>
      </c>
      <c r="C605">
        <f>IF($E605="","",INDEX('Input Transaksi'!$E:$E,$E605))</f>
        <v/>
      </c>
      <c r="D605" s="5">
        <f>IF($E605="","",INDEX('Input Transaksi'!$F:$F,$E605))</f>
        <v/>
      </c>
      <c r="E605">
        <f>IFERROR(AGGREGATE(15,6,ROW('Input Transaksi'!$B$5:$B$5000)/('Input Transaksi'!$B$5:$B$5000="JCL BYPASS"),ROWS($E$5:E605)),"")</f>
        <v/>
      </c>
      <c r="F605" s="5" t="n"/>
    </row>
    <row r="606">
      <c r="A606" s="10">
        <f>IF($E606="","",INDEX('Input Transaksi'!$A:$A,$E606))</f>
        <v/>
      </c>
      <c r="B606" s="5">
        <f>IF($E606="","",INDEX('Input Transaksi'!$D:$D,$E606))</f>
        <v/>
      </c>
      <c r="C606">
        <f>IF($E606="","",INDEX('Input Transaksi'!$E:$E,$E606))</f>
        <v/>
      </c>
      <c r="D606" s="5">
        <f>IF($E606="","",INDEX('Input Transaksi'!$F:$F,$E606))</f>
        <v/>
      </c>
      <c r="E606">
        <f>IFERROR(AGGREGATE(15,6,ROW('Input Transaksi'!$B$5:$B$5000)/('Input Transaksi'!$B$5:$B$5000="JCL BYPASS"),ROWS($E$5:E606)),"")</f>
        <v/>
      </c>
      <c r="F606" s="5" t="n"/>
    </row>
    <row r="607">
      <c r="A607" s="10">
        <f>IF($E607="","",INDEX('Input Transaksi'!$A:$A,$E607))</f>
        <v/>
      </c>
      <c r="B607" s="5">
        <f>IF($E607="","",INDEX('Input Transaksi'!$D:$D,$E607))</f>
        <v/>
      </c>
      <c r="C607">
        <f>IF($E607="","",INDEX('Input Transaksi'!$E:$E,$E607))</f>
        <v/>
      </c>
      <c r="D607" s="5">
        <f>IF($E607="","",INDEX('Input Transaksi'!$F:$F,$E607))</f>
        <v/>
      </c>
      <c r="E607">
        <f>IFERROR(AGGREGATE(15,6,ROW('Input Transaksi'!$B$5:$B$5000)/('Input Transaksi'!$B$5:$B$5000="JCL BYPASS"),ROWS($E$5:E607)),"")</f>
        <v/>
      </c>
      <c r="F607" s="5" t="n"/>
    </row>
    <row r="608">
      <c r="A608" s="10">
        <f>IF($E608="","",INDEX('Input Transaksi'!$A:$A,$E608))</f>
        <v/>
      </c>
      <c r="B608" s="5">
        <f>IF($E608="","",INDEX('Input Transaksi'!$D:$D,$E608))</f>
        <v/>
      </c>
      <c r="C608">
        <f>IF($E608="","",INDEX('Input Transaksi'!$E:$E,$E608))</f>
        <v/>
      </c>
      <c r="D608" s="5">
        <f>IF($E608="","",INDEX('Input Transaksi'!$F:$F,$E608))</f>
        <v/>
      </c>
      <c r="E608">
        <f>IFERROR(AGGREGATE(15,6,ROW('Input Transaksi'!$B$5:$B$5000)/('Input Transaksi'!$B$5:$B$5000="JCL BYPASS"),ROWS($E$5:E608)),"")</f>
        <v/>
      </c>
      <c r="F608" s="5" t="n"/>
    </row>
    <row r="609">
      <c r="A609" s="10">
        <f>IF($E609="","",INDEX('Input Transaksi'!$A:$A,$E609))</f>
        <v/>
      </c>
      <c r="B609" s="5">
        <f>IF($E609="","",INDEX('Input Transaksi'!$D:$D,$E609))</f>
        <v/>
      </c>
      <c r="C609">
        <f>IF($E609="","",INDEX('Input Transaksi'!$E:$E,$E609))</f>
        <v/>
      </c>
      <c r="D609" s="5">
        <f>IF($E609="","",INDEX('Input Transaksi'!$F:$F,$E609))</f>
        <v/>
      </c>
      <c r="E609">
        <f>IFERROR(AGGREGATE(15,6,ROW('Input Transaksi'!$B$5:$B$5000)/('Input Transaksi'!$B$5:$B$5000="JCL BYPASS"),ROWS($E$5:E609)),"")</f>
        <v/>
      </c>
      <c r="F609" s="5" t="n"/>
    </row>
    <row r="610">
      <c r="A610" s="10">
        <f>IF($E610="","",INDEX('Input Transaksi'!$A:$A,$E610))</f>
        <v/>
      </c>
      <c r="B610" s="5">
        <f>IF($E610="","",INDEX('Input Transaksi'!$D:$D,$E610))</f>
        <v/>
      </c>
      <c r="C610">
        <f>IF($E610="","",INDEX('Input Transaksi'!$E:$E,$E610))</f>
        <v/>
      </c>
      <c r="D610" s="5">
        <f>IF($E610="","",INDEX('Input Transaksi'!$F:$F,$E610))</f>
        <v/>
      </c>
      <c r="E610">
        <f>IFERROR(AGGREGATE(15,6,ROW('Input Transaksi'!$B$5:$B$5000)/('Input Transaksi'!$B$5:$B$5000="JCL BYPASS"),ROWS($E$5:E610)),"")</f>
        <v/>
      </c>
      <c r="F610" s="5" t="n"/>
    </row>
    <row r="611">
      <c r="A611" s="10">
        <f>IF($E611="","",INDEX('Input Transaksi'!$A:$A,$E611))</f>
        <v/>
      </c>
      <c r="B611" s="5">
        <f>IF($E611="","",INDEX('Input Transaksi'!$D:$D,$E611))</f>
        <v/>
      </c>
      <c r="C611">
        <f>IF($E611="","",INDEX('Input Transaksi'!$E:$E,$E611))</f>
        <v/>
      </c>
      <c r="D611" s="5">
        <f>IF($E611="","",INDEX('Input Transaksi'!$F:$F,$E611))</f>
        <v/>
      </c>
      <c r="E611">
        <f>IFERROR(AGGREGATE(15,6,ROW('Input Transaksi'!$B$5:$B$5000)/('Input Transaksi'!$B$5:$B$5000="JCL BYPASS"),ROWS($E$5:E611)),"")</f>
        <v/>
      </c>
      <c r="F611" s="5" t="n"/>
    </row>
    <row r="612">
      <c r="A612" s="10">
        <f>IF($E612="","",INDEX('Input Transaksi'!$A:$A,$E612))</f>
        <v/>
      </c>
      <c r="B612" s="5">
        <f>IF($E612="","",INDEX('Input Transaksi'!$D:$D,$E612))</f>
        <v/>
      </c>
      <c r="C612">
        <f>IF($E612="","",INDEX('Input Transaksi'!$E:$E,$E612))</f>
        <v/>
      </c>
      <c r="D612" s="5">
        <f>IF($E612="","",INDEX('Input Transaksi'!$F:$F,$E612))</f>
        <v/>
      </c>
      <c r="E612">
        <f>IFERROR(AGGREGATE(15,6,ROW('Input Transaksi'!$B$5:$B$5000)/('Input Transaksi'!$B$5:$B$5000="JCL BYPASS"),ROWS($E$5:E612)),"")</f>
        <v/>
      </c>
      <c r="F612" s="5" t="n"/>
    </row>
    <row r="613">
      <c r="A613" s="10">
        <f>IF($E613="","",INDEX('Input Transaksi'!$A:$A,$E613))</f>
        <v/>
      </c>
      <c r="B613" s="5">
        <f>IF($E613="","",INDEX('Input Transaksi'!$D:$D,$E613))</f>
        <v/>
      </c>
      <c r="C613">
        <f>IF($E613="","",INDEX('Input Transaksi'!$E:$E,$E613))</f>
        <v/>
      </c>
      <c r="D613" s="5">
        <f>IF($E613="","",INDEX('Input Transaksi'!$F:$F,$E613))</f>
        <v/>
      </c>
      <c r="E613">
        <f>IFERROR(AGGREGATE(15,6,ROW('Input Transaksi'!$B$5:$B$5000)/('Input Transaksi'!$B$5:$B$5000="JCL BYPASS"),ROWS($E$5:E613)),"")</f>
        <v/>
      </c>
      <c r="F613" s="5" t="n"/>
    </row>
    <row r="614">
      <c r="A614" s="10">
        <f>IF($E614="","",INDEX('Input Transaksi'!$A:$A,$E614))</f>
        <v/>
      </c>
      <c r="B614" s="5">
        <f>IF($E614="","",INDEX('Input Transaksi'!$D:$D,$E614))</f>
        <v/>
      </c>
      <c r="C614">
        <f>IF($E614="","",INDEX('Input Transaksi'!$E:$E,$E614))</f>
        <v/>
      </c>
      <c r="D614" s="5">
        <f>IF($E614="","",INDEX('Input Transaksi'!$F:$F,$E614))</f>
        <v/>
      </c>
      <c r="E614">
        <f>IFERROR(AGGREGATE(15,6,ROW('Input Transaksi'!$B$5:$B$5000)/('Input Transaksi'!$B$5:$B$5000="JCL BYPASS"),ROWS($E$5:E614)),"")</f>
        <v/>
      </c>
      <c r="F614" s="5" t="n"/>
    </row>
    <row r="615">
      <c r="A615" s="10">
        <f>IF($E615="","",INDEX('Input Transaksi'!$A:$A,$E615))</f>
        <v/>
      </c>
      <c r="B615" s="5">
        <f>IF($E615="","",INDEX('Input Transaksi'!$D:$D,$E615))</f>
        <v/>
      </c>
      <c r="C615">
        <f>IF($E615="","",INDEX('Input Transaksi'!$E:$E,$E615))</f>
        <v/>
      </c>
      <c r="D615" s="5">
        <f>IF($E615="","",INDEX('Input Transaksi'!$F:$F,$E615))</f>
        <v/>
      </c>
      <c r="E615">
        <f>IFERROR(AGGREGATE(15,6,ROW('Input Transaksi'!$B$5:$B$5000)/('Input Transaksi'!$B$5:$B$5000="JCL BYPASS"),ROWS($E$5:E615)),"")</f>
        <v/>
      </c>
      <c r="F615" s="5" t="n"/>
    </row>
    <row r="616">
      <c r="A616" s="10">
        <f>IF($E616="","",INDEX('Input Transaksi'!$A:$A,$E616))</f>
        <v/>
      </c>
      <c r="B616" s="5">
        <f>IF($E616="","",INDEX('Input Transaksi'!$D:$D,$E616))</f>
        <v/>
      </c>
      <c r="C616">
        <f>IF($E616="","",INDEX('Input Transaksi'!$E:$E,$E616))</f>
        <v/>
      </c>
      <c r="D616" s="5">
        <f>IF($E616="","",INDEX('Input Transaksi'!$F:$F,$E616))</f>
        <v/>
      </c>
      <c r="E616">
        <f>IFERROR(AGGREGATE(15,6,ROW('Input Transaksi'!$B$5:$B$5000)/('Input Transaksi'!$B$5:$B$5000="JCL BYPASS"),ROWS($E$5:E616)),"")</f>
        <v/>
      </c>
      <c r="F616" s="5" t="n"/>
    </row>
    <row r="617">
      <c r="A617" s="10">
        <f>IF($E617="","",INDEX('Input Transaksi'!$A:$A,$E617))</f>
        <v/>
      </c>
      <c r="B617" s="5">
        <f>IF($E617="","",INDEX('Input Transaksi'!$D:$D,$E617))</f>
        <v/>
      </c>
      <c r="C617">
        <f>IF($E617="","",INDEX('Input Transaksi'!$E:$E,$E617))</f>
        <v/>
      </c>
      <c r="D617" s="5">
        <f>IF($E617="","",INDEX('Input Transaksi'!$F:$F,$E617))</f>
        <v/>
      </c>
      <c r="E617">
        <f>IFERROR(AGGREGATE(15,6,ROW('Input Transaksi'!$B$5:$B$5000)/('Input Transaksi'!$B$5:$B$5000="JCL BYPASS"),ROWS($E$5:E617)),"")</f>
        <v/>
      </c>
      <c r="F617" s="5" t="n"/>
    </row>
    <row r="618">
      <c r="A618" s="10">
        <f>IF($E618="","",INDEX('Input Transaksi'!$A:$A,$E618))</f>
        <v/>
      </c>
      <c r="B618" s="5">
        <f>IF($E618="","",INDEX('Input Transaksi'!$D:$D,$E618))</f>
        <v/>
      </c>
      <c r="C618">
        <f>IF($E618="","",INDEX('Input Transaksi'!$E:$E,$E618))</f>
        <v/>
      </c>
      <c r="D618" s="5">
        <f>IF($E618="","",INDEX('Input Transaksi'!$F:$F,$E618))</f>
        <v/>
      </c>
      <c r="E618">
        <f>IFERROR(AGGREGATE(15,6,ROW('Input Transaksi'!$B$5:$B$5000)/('Input Transaksi'!$B$5:$B$5000="JCL BYPASS"),ROWS($E$5:E618)),"")</f>
        <v/>
      </c>
      <c r="F618" s="5" t="n"/>
    </row>
    <row r="619">
      <c r="A619" s="10">
        <f>IF($E619="","",INDEX('Input Transaksi'!$A:$A,$E619))</f>
        <v/>
      </c>
      <c r="B619" s="5">
        <f>IF($E619="","",INDEX('Input Transaksi'!$D:$D,$E619))</f>
        <v/>
      </c>
      <c r="C619">
        <f>IF($E619="","",INDEX('Input Transaksi'!$E:$E,$E619))</f>
        <v/>
      </c>
      <c r="D619" s="5">
        <f>IF($E619="","",INDEX('Input Transaksi'!$F:$F,$E619))</f>
        <v/>
      </c>
      <c r="E619">
        <f>IFERROR(AGGREGATE(15,6,ROW('Input Transaksi'!$B$5:$B$5000)/('Input Transaksi'!$B$5:$B$5000="JCL BYPASS"),ROWS($E$5:E619)),"")</f>
        <v/>
      </c>
      <c r="F619" s="5" t="n"/>
    </row>
    <row r="620">
      <c r="A620" s="10">
        <f>IF($E620="","",INDEX('Input Transaksi'!$A:$A,$E620))</f>
        <v/>
      </c>
      <c r="B620" s="5">
        <f>IF($E620="","",INDEX('Input Transaksi'!$D:$D,$E620))</f>
        <v/>
      </c>
      <c r="C620">
        <f>IF($E620="","",INDEX('Input Transaksi'!$E:$E,$E620))</f>
        <v/>
      </c>
      <c r="D620" s="5">
        <f>IF($E620="","",INDEX('Input Transaksi'!$F:$F,$E620))</f>
        <v/>
      </c>
      <c r="E620">
        <f>IFERROR(AGGREGATE(15,6,ROW('Input Transaksi'!$B$5:$B$5000)/('Input Transaksi'!$B$5:$B$5000="JCL BYPASS"),ROWS($E$5:E620)),"")</f>
        <v/>
      </c>
      <c r="F620" s="5" t="n"/>
    </row>
    <row r="621">
      <c r="A621" s="10">
        <f>IF($E621="","",INDEX('Input Transaksi'!$A:$A,$E621))</f>
        <v/>
      </c>
      <c r="B621" s="5">
        <f>IF($E621="","",INDEX('Input Transaksi'!$D:$D,$E621))</f>
        <v/>
      </c>
      <c r="C621">
        <f>IF($E621="","",INDEX('Input Transaksi'!$E:$E,$E621))</f>
        <v/>
      </c>
      <c r="D621" s="5">
        <f>IF($E621="","",INDEX('Input Transaksi'!$F:$F,$E621))</f>
        <v/>
      </c>
      <c r="E621">
        <f>IFERROR(AGGREGATE(15,6,ROW('Input Transaksi'!$B$5:$B$5000)/('Input Transaksi'!$B$5:$B$5000="JCL BYPASS"),ROWS($E$5:E621)),"")</f>
        <v/>
      </c>
      <c r="F621" s="5" t="n"/>
    </row>
    <row r="622">
      <c r="A622" s="10">
        <f>IF($E622="","",INDEX('Input Transaksi'!$A:$A,$E622))</f>
        <v/>
      </c>
      <c r="B622" s="5">
        <f>IF($E622="","",INDEX('Input Transaksi'!$D:$D,$E622))</f>
        <v/>
      </c>
      <c r="C622">
        <f>IF($E622="","",INDEX('Input Transaksi'!$E:$E,$E622))</f>
        <v/>
      </c>
      <c r="D622" s="5">
        <f>IF($E622="","",INDEX('Input Transaksi'!$F:$F,$E622))</f>
        <v/>
      </c>
      <c r="E622">
        <f>IFERROR(AGGREGATE(15,6,ROW('Input Transaksi'!$B$5:$B$5000)/('Input Transaksi'!$B$5:$B$5000="JCL BYPASS"),ROWS($E$5:E622)),"")</f>
        <v/>
      </c>
      <c r="F622" s="5" t="n"/>
    </row>
    <row r="623">
      <c r="A623" s="10">
        <f>IF($E623="","",INDEX('Input Transaksi'!$A:$A,$E623))</f>
        <v/>
      </c>
      <c r="B623" s="5">
        <f>IF($E623="","",INDEX('Input Transaksi'!$D:$D,$E623))</f>
        <v/>
      </c>
      <c r="C623">
        <f>IF($E623="","",INDEX('Input Transaksi'!$E:$E,$E623))</f>
        <v/>
      </c>
      <c r="D623" s="5">
        <f>IF($E623="","",INDEX('Input Transaksi'!$F:$F,$E623))</f>
        <v/>
      </c>
      <c r="E623">
        <f>IFERROR(AGGREGATE(15,6,ROW('Input Transaksi'!$B$5:$B$5000)/('Input Transaksi'!$B$5:$B$5000="JCL BYPASS"),ROWS($E$5:E623)),"")</f>
        <v/>
      </c>
      <c r="F623" s="5" t="n"/>
    </row>
    <row r="624">
      <c r="A624" s="10">
        <f>IF($E624="","",INDEX('Input Transaksi'!$A:$A,$E624))</f>
        <v/>
      </c>
      <c r="B624" s="5">
        <f>IF($E624="","",INDEX('Input Transaksi'!$D:$D,$E624))</f>
        <v/>
      </c>
      <c r="C624">
        <f>IF($E624="","",INDEX('Input Transaksi'!$E:$E,$E624))</f>
        <v/>
      </c>
      <c r="D624" s="5">
        <f>IF($E624="","",INDEX('Input Transaksi'!$F:$F,$E624))</f>
        <v/>
      </c>
      <c r="E624">
        <f>IFERROR(AGGREGATE(15,6,ROW('Input Transaksi'!$B$5:$B$5000)/('Input Transaksi'!$B$5:$B$5000="JCL BYPASS"),ROWS($E$5:E624)),"")</f>
        <v/>
      </c>
      <c r="F624" s="5" t="n"/>
    </row>
    <row r="625">
      <c r="A625" s="10">
        <f>IF($E625="","",INDEX('Input Transaksi'!$A:$A,$E625))</f>
        <v/>
      </c>
      <c r="B625" s="5">
        <f>IF($E625="","",INDEX('Input Transaksi'!$D:$D,$E625))</f>
        <v/>
      </c>
      <c r="C625">
        <f>IF($E625="","",INDEX('Input Transaksi'!$E:$E,$E625))</f>
        <v/>
      </c>
      <c r="D625" s="5">
        <f>IF($E625="","",INDEX('Input Transaksi'!$F:$F,$E625))</f>
        <v/>
      </c>
      <c r="E625">
        <f>IFERROR(AGGREGATE(15,6,ROW('Input Transaksi'!$B$5:$B$5000)/('Input Transaksi'!$B$5:$B$5000="JCL BYPASS"),ROWS($E$5:E625)),"")</f>
        <v/>
      </c>
      <c r="F625" s="5" t="n"/>
    </row>
    <row r="626">
      <c r="A626" s="10">
        <f>IF($E626="","",INDEX('Input Transaksi'!$A:$A,$E626))</f>
        <v/>
      </c>
      <c r="B626" s="5">
        <f>IF($E626="","",INDEX('Input Transaksi'!$D:$D,$E626))</f>
        <v/>
      </c>
      <c r="C626">
        <f>IF($E626="","",INDEX('Input Transaksi'!$E:$E,$E626))</f>
        <v/>
      </c>
      <c r="D626" s="5">
        <f>IF($E626="","",INDEX('Input Transaksi'!$F:$F,$E626))</f>
        <v/>
      </c>
      <c r="E626">
        <f>IFERROR(AGGREGATE(15,6,ROW('Input Transaksi'!$B$5:$B$5000)/('Input Transaksi'!$B$5:$B$5000="JCL BYPASS"),ROWS($E$5:E626)),"")</f>
        <v/>
      </c>
      <c r="F626" s="5" t="n"/>
    </row>
    <row r="627">
      <c r="A627" s="10">
        <f>IF($E627="","",INDEX('Input Transaksi'!$A:$A,$E627))</f>
        <v/>
      </c>
      <c r="B627" s="5">
        <f>IF($E627="","",INDEX('Input Transaksi'!$D:$D,$E627))</f>
        <v/>
      </c>
      <c r="C627">
        <f>IF($E627="","",INDEX('Input Transaksi'!$E:$E,$E627))</f>
        <v/>
      </c>
      <c r="D627" s="5">
        <f>IF($E627="","",INDEX('Input Transaksi'!$F:$F,$E627))</f>
        <v/>
      </c>
      <c r="E627">
        <f>IFERROR(AGGREGATE(15,6,ROW('Input Transaksi'!$B$5:$B$5000)/('Input Transaksi'!$B$5:$B$5000="JCL BYPASS"),ROWS($E$5:E627)),"")</f>
        <v/>
      </c>
      <c r="F627" s="5" t="n"/>
    </row>
    <row r="628">
      <c r="A628" s="10">
        <f>IF($E628="","",INDEX('Input Transaksi'!$A:$A,$E628))</f>
        <v/>
      </c>
      <c r="B628" s="5">
        <f>IF($E628="","",INDEX('Input Transaksi'!$D:$D,$E628))</f>
        <v/>
      </c>
      <c r="C628">
        <f>IF($E628="","",INDEX('Input Transaksi'!$E:$E,$E628))</f>
        <v/>
      </c>
      <c r="D628" s="5">
        <f>IF($E628="","",INDEX('Input Transaksi'!$F:$F,$E628))</f>
        <v/>
      </c>
      <c r="E628">
        <f>IFERROR(AGGREGATE(15,6,ROW('Input Transaksi'!$B$5:$B$5000)/('Input Transaksi'!$B$5:$B$5000="JCL BYPASS"),ROWS($E$5:E628)),"")</f>
        <v/>
      </c>
      <c r="F628" s="5" t="n"/>
    </row>
    <row r="629">
      <c r="A629" s="10">
        <f>IF($E629="","",INDEX('Input Transaksi'!$A:$A,$E629))</f>
        <v/>
      </c>
      <c r="B629" s="5">
        <f>IF($E629="","",INDEX('Input Transaksi'!$D:$D,$E629))</f>
        <v/>
      </c>
      <c r="C629">
        <f>IF($E629="","",INDEX('Input Transaksi'!$E:$E,$E629))</f>
        <v/>
      </c>
      <c r="D629" s="5">
        <f>IF($E629="","",INDEX('Input Transaksi'!$F:$F,$E629))</f>
        <v/>
      </c>
      <c r="E629">
        <f>IFERROR(AGGREGATE(15,6,ROW('Input Transaksi'!$B$5:$B$5000)/('Input Transaksi'!$B$5:$B$5000="JCL BYPASS"),ROWS($E$5:E629)),"")</f>
        <v/>
      </c>
      <c r="F629" s="5" t="n"/>
    </row>
    <row r="630">
      <c r="A630" s="10">
        <f>IF($E630="","",INDEX('Input Transaksi'!$A:$A,$E630))</f>
        <v/>
      </c>
      <c r="B630" s="5">
        <f>IF($E630="","",INDEX('Input Transaksi'!$D:$D,$E630))</f>
        <v/>
      </c>
      <c r="C630">
        <f>IF($E630="","",INDEX('Input Transaksi'!$E:$E,$E630))</f>
        <v/>
      </c>
      <c r="D630" s="5">
        <f>IF($E630="","",INDEX('Input Transaksi'!$F:$F,$E630))</f>
        <v/>
      </c>
      <c r="E630">
        <f>IFERROR(AGGREGATE(15,6,ROW('Input Transaksi'!$B$5:$B$5000)/('Input Transaksi'!$B$5:$B$5000="JCL BYPASS"),ROWS($E$5:E630)),"")</f>
        <v/>
      </c>
      <c r="F630" s="5" t="n"/>
    </row>
    <row r="631">
      <c r="A631" s="10">
        <f>IF($E631="","",INDEX('Input Transaksi'!$A:$A,$E631))</f>
        <v/>
      </c>
      <c r="B631" s="5">
        <f>IF($E631="","",INDEX('Input Transaksi'!$D:$D,$E631))</f>
        <v/>
      </c>
      <c r="C631">
        <f>IF($E631="","",INDEX('Input Transaksi'!$E:$E,$E631))</f>
        <v/>
      </c>
      <c r="D631" s="5">
        <f>IF($E631="","",INDEX('Input Transaksi'!$F:$F,$E631))</f>
        <v/>
      </c>
      <c r="E631">
        <f>IFERROR(AGGREGATE(15,6,ROW('Input Transaksi'!$B$5:$B$5000)/('Input Transaksi'!$B$5:$B$5000="JCL BYPASS"),ROWS($E$5:E631)),"")</f>
        <v/>
      </c>
      <c r="F631" s="5" t="n"/>
    </row>
    <row r="632">
      <c r="A632" s="10">
        <f>IF($E632="","",INDEX('Input Transaksi'!$A:$A,$E632))</f>
        <v/>
      </c>
      <c r="B632" s="5">
        <f>IF($E632="","",INDEX('Input Transaksi'!$D:$D,$E632))</f>
        <v/>
      </c>
      <c r="C632">
        <f>IF($E632="","",INDEX('Input Transaksi'!$E:$E,$E632))</f>
        <v/>
      </c>
      <c r="D632" s="5">
        <f>IF($E632="","",INDEX('Input Transaksi'!$F:$F,$E632))</f>
        <v/>
      </c>
      <c r="E632">
        <f>IFERROR(AGGREGATE(15,6,ROW('Input Transaksi'!$B$5:$B$5000)/('Input Transaksi'!$B$5:$B$5000="JCL BYPASS"),ROWS($E$5:E632)),"")</f>
        <v/>
      </c>
      <c r="F632" s="5" t="n"/>
    </row>
    <row r="633">
      <c r="A633" s="10">
        <f>IF($E633="","",INDEX('Input Transaksi'!$A:$A,$E633))</f>
        <v/>
      </c>
      <c r="B633" s="5">
        <f>IF($E633="","",INDEX('Input Transaksi'!$D:$D,$E633))</f>
        <v/>
      </c>
      <c r="C633">
        <f>IF($E633="","",INDEX('Input Transaksi'!$E:$E,$E633))</f>
        <v/>
      </c>
      <c r="D633" s="5">
        <f>IF($E633="","",INDEX('Input Transaksi'!$F:$F,$E633))</f>
        <v/>
      </c>
      <c r="E633">
        <f>IFERROR(AGGREGATE(15,6,ROW('Input Transaksi'!$B$5:$B$5000)/('Input Transaksi'!$B$5:$B$5000="JCL BYPASS"),ROWS($E$5:E633)),"")</f>
        <v/>
      </c>
      <c r="F633" s="5" t="n"/>
    </row>
    <row r="634">
      <c r="A634" s="10">
        <f>IF($E634="","",INDEX('Input Transaksi'!$A:$A,$E634))</f>
        <v/>
      </c>
      <c r="B634" s="5">
        <f>IF($E634="","",INDEX('Input Transaksi'!$D:$D,$E634))</f>
        <v/>
      </c>
      <c r="C634">
        <f>IF($E634="","",INDEX('Input Transaksi'!$E:$E,$E634))</f>
        <v/>
      </c>
      <c r="D634" s="5">
        <f>IF($E634="","",INDEX('Input Transaksi'!$F:$F,$E634))</f>
        <v/>
      </c>
      <c r="E634">
        <f>IFERROR(AGGREGATE(15,6,ROW('Input Transaksi'!$B$5:$B$5000)/('Input Transaksi'!$B$5:$B$5000="JCL BYPASS"),ROWS($E$5:E634)),"")</f>
        <v/>
      </c>
      <c r="F634" s="5" t="n"/>
    </row>
    <row r="635">
      <c r="A635" s="10">
        <f>IF($E635="","",INDEX('Input Transaksi'!$A:$A,$E635))</f>
        <v/>
      </c>
      <c r="B635" s="5">
        <f>IF($E635="","",INDEX('Input Transaksi'!$D:$D,$E635))</f>
        <v/>
      </c>
      <c r="C635">
        <f>IF($E635="","",INDEX('Input Transaksi'!$E:$E,$E635))</f>
        <v/>
      </c>
      <c r="D635" s="5">
        <f>IF($E635="","",INDEX('Input Transaksi'!$F:$F,$E635))</f>
        <v/>
      </c>
      <c r="E635">
        <f>IFERROR(AGGREGATE(15,6,ROW('Input Transaksi'!$B$5:$B$5000)/('Input Transaksi'!$B$5:$B$5000="JCL BYPASS"),ROWS($E$5:E635)),"")</f>
        <v/>
      </c>
      <c r="F635" s="5" t="n"/>
    </row>
    <row r="636">
      <c r="A636" s="10">
        <f>IF($E636="","",INDEX('Input Transaksi'!$A:$A,$E636))</f>
        <v/>
      </c>
      <c r="B636" s="5">
        <f>IF($E636="","",INDEX('Input Transaksi'!$D:$D,$E636))</f>
        <v/>
      </c>
      <c r="C636">
        <f>IF($E636="","",INDEX('Input Transaksi'!$E:$E,$E636))</f>
        <v/>
      </c>
      <c r="D636" s="5">
        <f>IF($E636="","",INDEX('Input Transaksi'!$F:$F,$E636))</f>
        <v/>
      </c>
      <c r="E636">
        <f>IFERROR(AGGREGATE(15,6,ROW('Input Transaksi'!$B$5:$B$5000)/('Input Transaksi'!$B$5:$B$5000="JCL BYPASS"),ROWS($E$5:E636)),"")</f>
        <v/>
      </c>
      <c r="F636" s="5" t="n"/>
    </row>
    <row r="637">
      <c r="A637" s="10">
        <f>IF($E637="","",INDEX('Input Transaksi'!$A:$A,$E637))</f>
        <v/>
      </c>
      <c r="B637" s="5">
        <f>IF($E637="","",INDEX('Input Transaksi'!$D:$D,$E637))</f>
        <v/>
      </c>
      <c r="C637">
        <f>IF($E637="","",INDEX('Input Transaksi'!$E:$E,$E637))</f>
        <v/>
      </c>
      <c r="D637" s="5">
        <f>IF($E637="","",INDEX('Input Transaksi'!$F:$F,$E637))</f>
        <v/>
      </c>
      <c r="E637">
        <f>IFERROR(AGGREGATE(15,6,ROW('Input Transaksi'!$B$5:$B$5000)/('Input Transaksi'!$B$5:$B$5000="JCL BYPASS"),ROWS($E$5:E637)),"")</f>
        <v/>
      </c>
      <c r="F637" s="5" t="n"/>
    </row>
    <row r="638">
      <c r="A638" s="10">
        <f>IF($E638="","",INDEX('Input Transaksi'!$A:$A,$E638))</f>
        <v/>
      </c>
      <c r="B638" s="5">
        <f>IF($E638="","",INDEX('Input Transaksi'!$D:$D,$E638))</f>
        <v/>
      </c>
      <c r="C638">
        <f>IF($E638="","",INDEX('Input Transaksi'!$E:$E,$E638))</f>
        <v/>
      </c>
      <c r="D638" s="5">
        <f>IF($E638="","",INDEX('Input Transaksi'!$F:$F,$E638))</f>
        <v/>
      </c>
      <c r="E638">
        <f>IFERROR(AGGREGATE(15,6,ROW('Input Transaksi'!$B$5:$B$5000)/('Input Transaksi'!$B$5:$B$5000="JCL BYPASS"),ROWS($E$5:E638)),"")</f>
        <v/>
      </c>
      <c r="F638" s="5" t="n"/>
    </row>
    <row r="639">
      <c r="A639" s="10">
        <f>IF($E639="","",INDEX('Input Transaksi'!$A:$A,$E639))</f>
        <v/>
      </c>
      <c r="B639" s="5">
        <f>IF($E639="","",INDEX('Input Transaksi'!$D:$D,$E639))</f>
        <v/>
      </c>
      <c r="C639">
        <f>IF($E639="","",INDEX('Input Transaksi'!$E:$E,$E639))</f>
        <v/>
      </c>
      <c r="D639" s="5">
        <f>IF($E639="","",INDEX('Input Transaksi'!$F:$F,$E639))</f>
        <v/>
      </c>
      <c r="E639">
        <f>IFERROR(AGGREGATE(15,6,ROW('Input Transaksi'!$B$5:$B$5000)/('Input Transaksi'!$B$5:$B$5000="JCL BYPASS"),ROWS($E$5:E639)),"")</f>
        <v/>
      </c>
      <c r="F639" s="5" t="n"/>
    </row>
    <row r="640">
      <c r="A640" s="10">
        <f>IF($E640="","",INDEX('Input Transaksi'!$A:$A,$E640))</f>
        <v/>
      </c>
      <c r="B640" s="5">
        <f>IF($E640="","",INDEX('Input Transaksi'!$D:$D,$E640))</f>
        <v/>
      </c>
      <c r="C640">
        <f>IF($E640="","",INDEX('Input Transaksi'!$E:$E,$E640))</f>
        <v/>
      </c>
      <c r="D640" s="5">
        <f>IF($E640="","",INDEX('Input Transaksi'!$F:$F,$E640))</f>
        <v/>
      </c>
      <c r="E640">
        <f>IFERROR(AGGREGATE(15,6,ROW('Input Transaksi'!$B$5:$B$5000)/('Input Transaksi'!$B$5:$B$5000="JCL BYPASS"),ROWS($E$5:E640)),"")</f>
        <v/>
      </c>
      <c r="F640" s="5" t="n"/>
    </row>
    <row r="641">
      <c r="A641" s="10">
        <f>IF($E641="","",INDEX('Input Transaksi'!$A:$A,$E641))</f>
        <v/>
      </c>
      <c r="B641" s="5">
        <f>IF($E641="","",INDEX('Input Transaksi'!$D:$D,$E641))</f>
        <v/>
      </c>
      <c r="C641">
        <f>IF($E641="","",INDEX('Input Transaksi'!$E:$E,$E641))</f>
        <v/>
      </c>
      <c r="D641" s="5">
        <f>IF($E641="","",INDEX('Input Transaksi'!$F:$F,$E641))</f>
        <v/>
      </c>
      <c r="E641">
        <f>IFERROR(AGGREGATE(15,6,ROW('Input Transaksi'!$B$5:$B$5000)/('Input Transaksi'!$B$5:$B$5000="JCL BYPASS"),ROWS($E$5:E641)),"")</f>
        <v/>
      </c>
      <c r="F641" s="5" t="n"/>
    </row>
    <row r="642">
      <c r="A642" s="10">
        <f>IF($E642="","",INDEX('Input Transaksi'!$A:$A,$E642))</f>
        <v/>
      </c>
      <c r="B642" s="5">
        <f>IF($E642="","",INDEX('Input Transaksi'!$D:$D,$E642))</f>
        <v/>
      </c>
      <c r="C642">
        <f>IF($E642="","",INDEX('Input Transaksi'!$E:$E,$E642))</f>
        <v/>
      </c>
      <c r="D642" s="5">
        <f>IF($E642="","",INDEX('Input Transaksi'!$F:$F,$E642))</f>
        <v/>
      </c>
      <c r="E642">
        <f>IFERROR(AGGREGATE(15,6,ROW('Input Transaksi'!$B$5:$B$5000)/('Input Transaksi'!$B$5:$B$5000="JCL BYPASS"),ROWS($E$5:E642)),"")</f>
        <v/>
      </c>
      <c r="F642" s="5" t="n"/>
    </row>
    <row r="643">
      <c r="A643" s="10">
        <f>IF($E643="","",INDEX('Input Transaksi'!$A:$A,$E643))</f>
        <v/>
      </c>
      <c r="B643" s="5">
        <f>IF($E643="","",INDEX('Input Transaksi'!$D:$D,$E643))</f>
        <v/>
      </c>
      <c r="C643">
        <f>IF($E643="","",INDEX('Input Transaksi'!$E:$E,$E643))</f>
        <v/>
      </c>
      <c r="D643" s="5">
        <f>IF($E643="","",INDEX('Input Transaksi'!$F:$F,$E643))</f>
        <v/>
      </c>
      <c r="E643">
        <f>IFERROR(AGGREGATE(15,6,ROW('Input Transaksi'!$B$5:$B$5000)/('Input Transaksi'!$B$5:$B$5000="JCL BYPASS"),ROWS($E$5:E643)),"")</f>
        <v/>
      </c>
      <c r="F643" s="5" t="n"/>
    </row>
    <row r="644">
      <c r="A644" s="10">
        <f>IF($E644="","",INDEX('Input Transaksi'!$A:$A,$E644))</f>
        <v/>
      </c>
      <c r="B644" s="5">
        <f>IF($E644="","",INDEX('Input Transaksi'!$D:$D,$E644))</f>
        <v/>
      </c>
      <c r="C644">
        <f>IF($E644="","",INDEX('Input Transaksi'!$E:$E,$E644))</f>
        <v/>
      </c>
      <c r="D644" s="5">
        <f>IF($E644="","",INDEX('Input Transaksi'!$F:$F,$E644))</f>
        <v/>
      </c>
      <c r="E644">
        <f>IFERROR(AGGREGATE(15,6,ROW('Input Transaksi'!$B$5:$B$5000)/('Input Transaksi'!$B$5:$B$5000="JCL BYPASS"),ROWS($E$5:E644)),"")</f>
        <v/>
      </c>
      <c r="F644" s="5" t="n"/>
    </row>
    <row r="645">
      <c r="A645" s="10">
        <f>IF($E645="","",INDEX('Input Transaksi'!$A:$A,$E645))</f>
        <v/>
      </c>
      <c r="B645" s="5">
        <f>IF($E645="","",INDEX('Input Transaksi'!$D:$D,$E645))</f>
        <v/>
      </c>
      <c r="C645">
        <f>IF($E645="","",INDEX('Input Transaksi'!$E:$E,$E645))</f>
        <v/>
      </c>
      <c r="D645" s="5">
        <f>IF($E645="","",INDEX('Input Transaksi'!$F:$F,$E645))</f>
        <v/>
      </c>
      <c r="E645">
        <f>IFERROR(AGGREGATE(15,6,ROW('Input Transaksi'!$B$5:$B$5000)/('Input Transaksi'!$B$5:$B$5000="JCL BYPASS"),ROWS($E$5:E645)),"")</f>
        <v/>
      </c>
      <c r="F645" s="5" t="n"/>
    </row>
    <row r="646">
      <c r="A646" s="10">
        <f>IF($E646="","",INDEX('Input Transaksi'!$A:$A,$E646))</f>
        <v/>
      </c>
      <c r="B646" s="5">
        <f>IF($E646="","",INDEX('Input Transaksi'!$D:$D,$E646))</f>
        <v/>
      </c>
      <c r="C646">
        <f>IF($E646="","",INDEX('Input Transaksi'!$E:$E,$E646))</f>
        <v/>
      </c>
      <c r="D646" s="5">
        <f>IF($E646="","",INDEX('Input Transaksi'!$F:$F,$E646))</f>
        <v/>
      </c>
      <c r="E646">
        <f>IFERROR(AGGREGATE(15,6,ROW('Input Transaksi'!$B$5:$B$5000)/('Input Transaksi'!$B$5:$B$5000="JCL BYPASS"),ROWS($E$5:E646)),"")</f>
        <v/>
      </c>
      <c r="F646" s="5" t="n"/>
    </row>
    <row r="647">
      <c r="A647" s="10">
        <f>IF($E647="","",INDEX('Input Transaksi'!$A:$A,$E647))</f>
        <v/>
      </c>
      <c r="B647" s="5">
        <f>IF($E647="","",INDEX('Input Transaksi'!$D:$D,$E647))</f>
        <v/>
      </c>
      <c r="C647">
        <f>IF($E647="","",INDEX('Input Transaksi'!$E:$E,$E647))</f>
        <v/>
      </c>
      <c r="D647" s="5">
        <f>IF($E647="","",INDEX('Input Transaksi'!$F:$F,$E647))</f>
        <v/>
      </c>
      <c r="E647">
        <f>IFERROR(AGGREGATE(15,6,ROW('Input Transaksi'!$B$5:$B$5000)/('Input Transaksi'!$B$5:$B$5000="JCL BYPASS"),ROWS($E$5:E647)),"")</f>
        <v/>
      </c>
      <c r="F647" s="5" t="n"/>
    </row>
    <row r="648">
      <c r="A648" s="10">
        <f>IF($E648="","",INDEX('Input Transaksi'!$A:$A,$E648))</f>
        <v/>
      </c>
      <c r="B648" s="5">
        <f>IF($E648="","",INDEX('Input Transaksi'!$D:$D,$E648))</f>
        <v/>
      </c>
      <c r="C648">
        <f>IF($E648="","",INDEX('Input Transaksi'!$E:$E,$E648))</f>
        <v/>
      </c>
      <c r="D648" s="5">
        <f>IF($E648="","",INDEX('Input Transaksi'!$F:$F,$E648))</f>
        <v/>
      </c>
      <c r="E648">
        <f>IFERROR(AGGREGATE(15,6,ROW('Input Transaksi'!$B$5:$B$5000)/('Input Transaksi'!$B$5:$B$5000="JCL BYPASS"),ROWS($E$5:E648)),"")</f>
        <v/>
      </c>
      <c r="F648" s="5" t="n"/>
    </row>
    <row r="649">
      <c r="A649" s="10">
        <f>IF($E649="","",INDEX('Input Transaksi'!$A:$A,$E649))</f>
        <v/>
      </c>
      <c r="B649" s="5">
        <f>IF($E649="","",INDEX('Input Transaksi'!$D:$D,$E649))</f>
        <v/>
      </c>
      <c r="C649">
        <f>IF($E649="","",INDEX('Input Transaksi'!$E:$E,$E649))</f>
        <v/>
      </c>
      <c r="D649" s="5">
        <f>IF($E649="","",INDEX('Input Transaksi'!$F:$F,$E649))</f>
        <v/>
      </c>
      <c r="E649">
        <f>IFERROR(AGGREGATE(15,6,ROW('Input Transaksi'!$B$5:$B$5000)/('Input Transaksi'!$B$5:$B$5000="JCL BYPASS"),ROWS($E$5:E649)),"")</f>
        <v/>
      </c>
      <c r="F649" s="5" t="n"/>
    </row>
    <row r="650">
      <c r="A650" s="10">
        <f>IF($E650="","",INDEX('Input Transaksi'!$A:$A,$E650))</f>
        <v/>
      </c>
      <c r="B650" s="5">
        <f>IF($E650="","",INDEX('Input Transaksi'!$D:$D,$E650))</f>
        <v/>
      </c>
      <c r="C650">
        <f>IF($E650="","",INDEX('Input Transaksi'!$E:$E,$E650))</f>
        <v/>
      </c>
      <c r="D650" s="5">
        <f>IF($E650="","",INDEX('Input Transaksi'!$F:$F,$E650))</f>
        <v/>
      </c>
      <c r="E650">
        <f>IFERROR(AGGREGATE(15,6,ROW('Input Transaksi'!$B$5:$B$5000)/('Input Transaksi'!$B$5:$B$5000="JCL BYPASS"),ROWS($E$5:E650)),"")</f>
        <v/>
      </c>
      <c r="F650" s="5" t="n"/>
    </row>
    <row r="651">
      <c r="A651" s="10">
        <f>IF($E651="","",INDEX('Input Transaksi'!$A:$A,$E651))</f>
        <v/>
      </c>
      <c r="B651" s="5">
        <f>IF($E651="","",INDEX('Input Transaksi'!$D:$D,$E651))</f>
        <v/>
      </c>
      <c r="C651">
        <f>IF($E651="","",INDEX('Input Transaksi'!$E:$E,$E651))</f>
        <v/>
      </c>
      <c r="D651" s="5">
        <f>IF($E651="","",INDEX('Input Transaksi'!$F:$F,$E651))</f>
        <v/>
      </c>
      <c r="E651">
        <f>IFERROR(AGGREGATE(15,6,ROW('Input Transaksi'!$B$5:$B$5000)/('Input Transaksi'!$B$5:$B$5000="JCL BYPASS"),ROWS($E$5:E651)),"")</f>
        <v/>
      </c>
      <c r="F651" s="5" t="n"/>
    </row>
    <row r="652">
      <c r="A652" s="10">
        <f>IF($E652="","",INDEX('Input Transaksi'!$A:$A,$E652))</f>
        <v/>
      </c>
      <c r="B652" s="5">
        <f>IF($E652="","",INDEX('Input Transaksi'!$D:$D,$E652))</f>
        <v/>
      </c>
      <c r="C652">
        <f>IF($E652="","",INDEX('Input Transaksi'!$E:$E,$E652))</f>
        <v/>
      </c>
      <c r="D652" s="5">
        <f>IF($E652="","",INDEX('Input Transaksi'!$F:$F,$E652))</f>
        <v/>
      </c>
      <c r="E652">
        <f>IFERROR(AGGREGATE(15,6,ROW('Input Transaksi'!$B$5:$B$5000)/('Input Transaksi'!$B$5:$B$5000="JCL BYPASS"),ROWS($E$5:E652)),"")</f>
        <v/>
      </c>
      <c r="F652" s="5" t="n"/>
    </row>
    <row r="653">
      <c r="A653" s="10">
        <f>IF($E653="","",INDEX('Input Transaksi'!$A:$A,$E653))</f>
        <v/>
      </c>
      <c r="B653" s="5">
        <f>IF($E653="","",INDEX('Input Transaksi'!$D:$D,$E653))</f>
        <v/>
      </c>
      <c r="C653">
        <f>IF($E653="","",INDEX('Input Transaksi'!$E:$E,$E653))</f>
        <v/>
      </c>
      <c r="D653" s="5">
        <f>IF($E653="","",INDEX('Input Transaksi'!$F:$F,$E653))</f>
        <v/>
      </c>
      <c r="E653">
        <f>IFERROR(AGGREGATE(15,6,ROW('Input Transaksi'!$B$5:$B$5000)/('Input Transaksi'!$B$5:$B$5000="JCL BYPASS"),ROWS($E$5:E653)),"")</f>
        <v/>
      </c>
      <c r="F653" s="5" t="n"/>
    </row>
    <row r="654">
      <c r="A654" s="10">
        <f>IF($E654="","",INDEX('Input Transaksi'!$A:$A,$E654))</f>
        <v/>
      </c>
      <c r="B654" s="5">
        <f>IF($E654="","",INDEX('Input Transaksi'!$D:$D,$E654))</f>
        <v/>
      </c>
      <c r="C654">
        <f>IF($E654="","",INDEX('Input Transaksi'!$E:$E,$E654))</f>
        <v/>
      </c>
      <c r="D654" s="5">
        <f>IF($E654="","",INDEX('Input Transaksi'!$F:$F,$E654))</f>
        <v/>
      </c>
      <c r="E654">
        <f>IFERROR(AGGREGATE(15,6,ROW('Input Transaksi'!$B$5:$B$5000)/('Input Transaksi'!$B$5:$B$5000="JCL BYPASS"),ROWS($E$5:E654)),"")</f>
        <v/>
      </c>
      <c r="F654" s="5" t="n"/>
    </row>
    <row r="655">
      <c r="A655" s="10">
        <f>IF($E655="","",INDEX('Input Transaksi'!$A:$A,$E655))</f>
        <v/>
      </c>
      <c r="B655" s="5">
        <f>IF($E655="","",INDEX('Input Transaksi'!$D:$D,$E655))</f>
        <v/>
      </c>
      <c r="C655">
        <f>IF($E655="","",INDEX('Input Transaksi'!$E:$E,$E655))</f>
        <v/>
      </c>
      <c r="D655" s="5">
        <f>IF($E655="","",INDEX('Input Transaksi'!$F:$F,$E655))</f>
        <v/>
      </c>
      <c r="E655">
        <f>IFERROR(AGGREGATE(15,6,ROW('Input Transaksi'!$B$5:$B$5000)/('Input Transaksi'!$B$5:$B$5000="JCL BYPASS"),ROWS($E$5:E655)),"")</f>
        <v/>
      </c>
      <c r="F655" s="5" t="n"/>
    </row>
    <row r="656">
      <c r="A656" s="10">
        <f>IF($E656="","",INDEX('Input Transaksi'!$A:$A,$E656))</f>
        <v/>
      </c>
      <c r="B656" s="5">
        <f>IF($E656="","",INDEX('Input Transaksi'!$D:$D,$E656))</f>
        <v/>
      </c>
      <c r="C656">
        <f>IF($E656="","",INDEX('Input Transaksi'!$E:$E,$E656))</f>
        <v/>
      </c>
      <c r="D656" s="5">
        <f>IF($E656="","",INDEX('Input Transaksi'!$F:$F,$E656))</f>
        <v/>
      </c>
      <c r="E656">
        <f>IFERROR(AGGREGATE(15,6,ROW('Input Transaksi'!$B$5:$B$5000)/('Input Transaksi'!$B$5:$B$5000="JCL BYPASS"),ROWS($E$5:E656)),"")</f>
        <v/>
      </c>
      <c r="F656" s="5" t="n"/>
    </row>
    <row r="657">
      <c r="A657" s="10">
        <f>IF($E657="","",INDEX('Input Transaksi'!$A:$A,$E657))</f>
        <v/>
      </c>
      <c r="B657" s="5">
        <f>IF($E657="","",INDEX('Input Transaksi'!$D:$D,$E657))</f>
        <v/>
      </c>
      <c r="C657">
        <f>IF($E657="","",INDEX('Input Transaksi'!$E:$E,$E657))</f>
        <v/>
      </c>
      <c r="D657" s="5">
        <f>IF($E657="","",INDEX('Input Transaksi'!$F:$F,$E657))</f>
        <v/>
      </c>
      <c r="E657">
        <f>IFERROR(AGGREGATE(15,6,ROW('Input Transaksi'!$B$5:$B$5000)/('Input Transaksi'!$B$5:$B$5000="JCL BYPASS"),ROWS($E$5:E657)),"")</f>
        <v/>
      </c>
      <c r="F657" s="5" t="n"/>
    </row>
    <row r="658">
      <c r="A658" s="10">
        <f>IF($E658="","",INDEX('Input Transaksi'!$A:$A,$E658))</f>
        <v/>
      </c>
      <c r="B658" s="5">
        <f>IF($E658="","",INDEX('Input Transaksi'!$D:$D,$E658))</f>
        <v/>
      </c>
      <c r="C658">
        <f>IF($E658="","",INDEX('Input Transaksi'!$E:$E,$E658))</f>
        <v/>
      </c>
      <c r="D658" s="5">
        <f>IF($E658="","",INDEX('Input Transaksi'!$F:$F,$E658))</f>
        <v/>
      </c>
      <c r="E658">
        <f>IFERROR(AGGREGATE(15,6,ROW('Input Transaksi'!$B$5:$B$5000)/('Input Transaksi'!$B$5:$B$5000="JCL BYPASS"),ROWS($E$5:E658)),"")</f>
        <v/>
      </c>
      <c r="F658" s="5" t="n"/>
    </row>
    <row r="659">
      <c r="A659" s="10">
        <f>IF($E659="","",INDEX('Input Transaksi'!$A:$A,$E659))</f>
        <v/>
      </c>
      <c r="B659" s="5">
        <f>IF($E659="","",INDEX('Input Transaksi'!$D:$D,$E659))</f>
        <v/>
      </c>
      <c r="C659">
        <f>IF($E659="","",INDEX('Input Transaksi'!$E:$E,$E659))</f>
        <v/>
      </c>
      <c r="D659" s="5">
        <f>IF($E659="","",INDEX('Input Transaksi'!$F:$F,$E659))</f>
        <v/>
      </c>
      <c r="E659">
        <f>IFERROR(AGGREGATE(15,6,ROW('Input Transaksi'!$B$5:$B$5000)/('Input Transaksi'!$B$5:$B$5000="JCL BYPASS"),ROWS($E$5:E659)),"")</f>
        <v/>
      </c>
      <c r="F659" s="5" t="n"/>
    </row>
    <row r="660">
      <c r="A660" s="10">
        <f>IF($E660="","",INDEX('Input Transaksi'!$A:$A,$E660))</f>
        <v/>
      </c>
      <c r="B660" s="5">
        <f>IF($E660="","",INDEX('Input Transaksi'!$D:$D,$E660))</f>
        <v/>
      </c>
      <c r="C660">
        <f>IF($E660="","",INDEX('Input Transaksi'!$E:$E,$E660))</f>
        <v/>
      </c>
      <c r="D660" s="5">
        <f>IF($E660="","",INDEX('Input Transaksi'!$F:$F,$E660))</f>
        <v/>
      </c>
      <c r="E660">
        <f>IFERROR(AGGREGATE(15,6,ROW('Input Transaksi'!$B$5:$B$5000)/('Input Transaksi'!$B$5:$B$5000="JCL BYPASS"),ROWS($E$5:E660)),"")</f>
        <v/>
      </c>
      <c r="F660" s="5" t="n"/>
    </row>
    <row r="661">
      <c r="A661" s="10">
        <f>IF($E661="","",INDEX('Input Transaksi'!$A:$A,$E661))</f>
        <v/>
      </c>
      <c r="B661" s="5">
        <f>IF($E661="","",INDEX('Input Transaksi'!$D:$D,$E661))</f>
        <v/>
      </c>
      <c r="C661">
        <f>IF($E661="","",INDEX('Input Transaksi'!$E:$E,$E661))</f>
        <v/>
      </c>
      <c r="D661" s="5">
        <f>IF($E661="","",INDEX('Input Transaksi'!$F:$F,$E661))</f>
        <v/>
      </c>
      <c r="E661">
        <f>IFERROR(AGGREGATE(15,6,ROW('Input Transaksi'!$B$5:$B$5000)/('Input Transaksi'!$B$5:$B$5000="JCL BYPASS"),ROWS($E$5:E661)),"")</f>
        <v/>
      </c>
      <c r="F661" s="5" t="n"/>
    </row>
    <row r="662">
      <c r="A662" s="10">
        <f>IF($E662="","",INDEX('Input Transaksi'!$A:$A,$E662))</f>
        <v/>
      </c>
      <c r="B662" s="5">
        <f>IF($E662="","",INDEX('Input Transaksi'!$D:$D,$E662))</f>
        <v/>
      </c>
      <c r="C662">
        <f>IF($E662="","",INDEX('Input Transaksi'!$E:$E,$E662))</f>
        <v/>
      </c>
      <c r="D662" s="5">
        <f>IF($E662="","",INDEX('Input Transaksi'!$F:$F,$E662))</f>
        <v/>
      </c>
      <c r="E662">
        <f>IFERROR(AGGREGATE(15,6,ROW('Input Transaksi'!$B$5:$B$5000)/('Input Transaksi'!$B$5:$B$5000="JCL BYPASS"),ROWS($E$5:E662)),"")</f>
        <v/>
      </c>
      <c r="F662" s="5" t="n"/>
    </row>
    <row r="663">
      <c r="A663" s="10">
        <f>IF($E663="","",INDEX('Input Transaksi'!$A:$A,$E663))</f>
        <v/>
      </c>
      <c r="B663" s="5">
        <f>IF($E663="","",INDEX('Input Transaksi'!$D:$D,$E663))</f>
        <v/>
      </c>
      <c r="C663">
        <f>IF($E663="","",INDEX('Input Transaksi'!$E:$E,$E663))</f>
        <v/>
      </c>
      <c r="D663" s="5">
        <f>IF($E663="","",INDEX('Input Transaksi'!$F:$F,$E663))</f>
        <v/>
      </c>
      <c r="E663">
        <f>IFERROR(AGGREGATE(15,6,ROW('Input Transaksi'!$B$5:$B$5000)/('Input Transaksi'!$B$5:$B$5000="JCL BYPASS"),ROWS($E$5:E663)),"")</f>
        <v/>
      </c>
      <c r="F663" s="5" t="n"/>
    </row>
    <row r="664">
      <c r="A664" s="10">
        <f>IF($E664="","",INDEX('Input Transaksi'!$A:$A,$E664))</f>
        <v/>
      </c>
      <c r="B664" s="5">
        <f>IF($E664="","",INDEX('Input Transaksi'!$D:$D,$E664))</f>
        <v/>
      </c>
      <c r="C664">
        <f>IF($E664="","",INDEX('Input Transaksi'!$E:$E,$E664))</f>
        <v/>
      </c>
      <c r="D664" s="5">
        <f>IF($E664="","",INDEX('Input Transaksi'!$F:$F,$E664))</f>
        <v/>
      </c>
      <c r="E664">
        <f>IFERROR(AGGREGATE(15,6,ROW('Input Transaksi'!$B$5:$B$5000)/('Input Transaksi'!$B$5:$B$5000="JCL BYPASS"),ROWS($E$5:E664)),"")</f>
        <v/>
      </c>
      <c r="F664" s="5" t="n"/>
    </row>
    <row r="665">
      <c r="A665" s="10">
        <f>IF($E665="","",INDEX('Input Transaksi'!$A:$A,$E665))</f>
        <v/>
      </c>
      <c r="B665" s="5">
        <f>IF($E665="","",INDEX('Input Transaksi'!$D:$D,$E665))</f>
        <v/>
      </c>
      <c r="C665">
        <f>IF($E665="","",INDEX('Input Transaksi'!$E:$E,$E665))</f>
        <v/>
      </c>
      <c r="D665" s="5">
        <f>IF($E665="","",INDEX('Input Transaksi'!$F:$F,$E665))</f>
        <v/>
      </c>
      <c r="E665">
        <f>IFERROR(AGGREGATE(15,6,ROW('Input Transaksi'!$B$5:$B$5000)/('Input Transaksi'!$B$5:$B$5000="JCL BYPASS"),ROWS($E$5:E665)),"")</f>
        <v/>
      </c>
      <c r="F665" s="5" t="n"/>
    </row>
    <row r="666">
      <c r="A666" s="10">
        <f>IF($E666="","",INDEX('Input Transaksi'!$A:$A,$E666))</f>
        <v/>
      </c>
      <c r="B666" s="5">
        <f>IF($E666="","",INDEX('Input Transaksi'!$D:$D,$E666))</f>
        <v/>
      </c>
      <c r="C666">
        <f>IF($E666="","",INDEX('Input Transaksi'!$E:$E,$E666))</f>
        <v/>
      </c>
      <c r="D666" s="5">
        <f>IF($E666="","",INDEX('Input Transaksi'!$F:$F,$E666))</f>
        <v/>
      </c>
      <c r="E666">
        <f>IFERROR(AGGREGATE(15,6,ROW('Input Transaksi'!$B$5:$B$5000)/('Input Transaksi'!$B$5:$B$5000="JCL BYPASS"),ROWS($E$5:E666)),"")</f>
        <v/>
      </c>
      <c r="F666" s="5" t="n"/>
    </row>
    <row r="667">
      <c r="A667" s="10">
        <f>IF($E667="","",INDEX('Input Transaksi'!$A:$A,$E667))</f>
        <v/>
      </c>
      <c r="B667" s="5">
        <f>IF($E667="","",INDEX('Input Transaksi'!$D:$D,$E667))</f>
        <v/>
      </c>
      <c r="C667">
        <f>IF($E667="","",INDEX('Input Transaksi'!$E:$E,$E667))</f>
        <v/>
      </c>
      <c r="D667" s="5">
        <f>IF($E667="","",INDEX('Input Transaksi'!$F:$F,$E667))</f>
        <v/>
      </c>
      <c r="E667">
        <f>IFERROR(AGGREGATE(15,6,ROW('Input Transaksi'!$B$5:$B$5000)/('Input Transaksi'!$B$5:$B$5000="JCL BYPASS"),ROWS($E$5:E667)),"")</f>
        <v/>
      </c>
      <c r="F667" s="5" t="n"/>
    </row>
    <row r="668">
      <c r="A668" s="10">
        <f>IF($E668="","",INDEX('Input Transaksi'!$A:$A,$E668))</f>
        <v/>
      </c>
      <c r="B668" s="5">
        <f>IF($E668="","",INDEX('Input Transaksi'!$D:$D,$E668))</f>
        <v/>
      </c>
      <c r="C668">
        <f>IF($E668="","",INDEX('Input Transaksi'!$E:$E,$E668))</f>
        <v/>
      </c>
      <c r="D668" s="5">
        <f>IF($E668="","",INDEX('Input Transaksi'!$F:$F,$E668))</f>
        <v/>
      </c>
      <c r="E668">
        <f>IFERROR(AGGREGATE(15,6,ROW('Input Transaksi'!$B$5:$B$5000)/('Input Transaksi'!$B$5:$B$5000="JCL BYPASS"),ROWS($E$5:E668)),"")</f>
        <v/>
      </c>
      <c r="F668" s="5" t="n"/>
    </row>
    <row r="669">
      <c r="A669" s="10">
        <f>IF($E669="","",INDEX('Input Transaksi'!$A:$A,$E669))</f>
        <v/>
      </c>
      <c r="B669" s="5">
        <f>IF($E669="","",INDEX('Input Transaksi'!$D:$D,$E669))</f>
        <v/>
      </c>
      <c r="C669">
        <f>IF($E669="","",INDEX('Input Transaksi'!$E:$E,$E669))</f>
        <v/>
      </c>
      <c r="D669" s="5">
        <f>IF($E669="","",INDEX('Input Transaksi'!$F:$F,$E669))</f>
        <v/>
      </c>
      <c r="E669">
        <f>IFERROR(AGGREGATE(15,6,ROW('Input Transaksi'!$B$5:$B$5000)/('Input Transaksi'!$B$5:$B$5000="JCL BYPASS"),ROWS($E$5:E669)),"")</f>
        <v/>
      </c>
      <c r="F669" s="5" t="n"/>
    </row>
    <row r="670">
      <c r="A670" s="10">
        <f>IF($E670="","",INDEX('Input Transaksi'!$A:$A,$E670))</f>
        <v/>
      </c>
      <c r="B670" s="5">
        <f>IF($E670="","",INDEX('Input Transaksi'!$D:$D,$E670))</f>
        <v/>
      </c>
      <c r="C670">
        <f>IF($E670="","",INDEX('Input Transaksi'!$E:$E,$E670))</f>
        <v/>
      </c>
      <c r="D670" s="5">
        <f>IF($E670="","",INDEX('Input Transaksi'!$F:$F,$E670))</f>
        <v/>
      </c>
      <c r="E670">
        <f>IFERROR(AGGREGATE(15,6,ROW('Input Transaksi'!$B$5:$B$5000)/('Input Transaksi'!$B$5:$B$5000="JCL BYPASS"),ROWS($E$5:E670)),"")</f>
        <v/>
      </c>
      <c r="F670" s="5" t="n"/>
    </row>
    <row r="671">
      <c r="A671" s="10">
        <f>IF($E671="","",INDEX('Input Transaksi'!$A:$A,$E671))</f>
        <v/>
      </c>
      <c r="B671" s="5">
        <f>IF($E671="","",INDEX('Input Transaksi'!$D:$D,$E671))</f>
        <v/>
      </c>
      <c r="C671">
        <f>IF($E671="","",INDEX('Input Transaksi'!$E:$E,$E671))</f>
        <v/>
      </c>
      <c r="D671" s="5">
        <f>IF($E671="","",INDEX('Input Transaksi'!$F:$F,$E671))</f>
        <v/>
      </c>
      <c r="E671">
        <f>IFERROR(AGGREGATE(15,6,ROW('Input Transaksi'!$B$5:$B$5000)/('Input Transaksi'!$B$5:$B$5000="JCL BYPASS"),ROWS($E$5:E671)),"")</f>
        <v/>
      </c>
      <c r="F671" s="5" t="n"/>
    </row>
    <row r="672">
      <c r="A672" s="10">
        <f>IF($E672="","",INDEX('Input Transaksi'!$A:$A,$E672))</f>
        <v/>
      </c>
      <c r="B672" s="5">
        <f>IF($E672="","",INDEX('Input Transaksi'!$D:$D,$E672))</f>
        <v/>
      </c>
      <c r="C672">
        <f>IF($E672="","",INDEX('Input Transaksi'!$E:$E,$E672))</f>
        <v/>
      </c>
      <c r="D672" s="5">
        <f>IF($E672="","",INDEX('Input Transaksi'!$F:$F,$E672))</f>
        <v/>
      </c>
      <c r="E672">
        <f>IFERROR(AGGREGATE(15,6,ROW('Input Transaksi'!$B$5:$B$5000)/('Input Transaksi'!$B$5:$B$5000="JCL BYPASS"),ROWS($E$5:E672)),"")</f>
        <v/>
      </c>
      <c r="F672" s="5" t="n"/>
    </row>
    <row r="673">
      <c r="A673" s="10">
        <f>IF($E673="","",INDEX('Input Transaksi'!$A:$A,$E673))</f>
        <v/>
      </c>
      <c r="B673" s="5">
        <f>IF($E673="","",INDEX('Input Transaksi'!$D:$D,$E673))</f>
        <v/>
      </c>
      <c r="C673">
        <f>IF($E673="","",INDEX('Input Transaksi'!$E:$E,$E673))</f>
        <v/>
      </c>
      <c r="D673" s="5">
        <f>IF($E673="","",INDEX('Input Transaksi'!$F:$F,$E673))</f>
        <v/>
      </c>
      <c r="E673">
        <f>IFERROR(AGGREGATE(15,6,ROW('Input Transaksi'!$B$5:$B$5000)/('Input Transaksi'!$B$5:$B$5000="JCL BYPASS"),ROWS($E$5:E673)),"")</f>
        <v/>
      </c>
      <c r="F673" s="5" t="n"/>
    </row>
    <row r="674">
      <c r="A674" s="10">
        <f>IF($E674="","",INDEX('Input Transaksi'!$A:$A,$E674))</f>
        <v/>
      </c>
      <c r="B674" s="5">
        <f>IF($E674="","",INDEX('Input Transaksi'!$D:$D,$E674))</f>
        <v/>
      </c>
      <c r="C674">
        <f>IF($E674="","",INDEX('Input Transaksi'!$E:$E,$E674))</f>
        <v/>
      </c>
      <c r="D674" s="5">
        <f>IF($E674="","",INDEX('Input Transaksi'!$F:$F,$E674))</f>
        <v/>
      </c>
      <c r="E674">
        <f>IFERROR(AGGREGATE(15,6,ROW('Input Transaksi'!$B$5:$B$5000)/('Input Transaksi'!$B$5:$B$5000="JCL BYPASS"),ROWS($E$5:E674)),"")</f>
        <v/>
      </c>
      <c r="F674" s="5" t="n"/>
    </row>
    <row r="675">
      <c r="A675" s="10">
        <f>IF($E675="","",INDEX('Input Transaksi'!$A:$A,$E675))</f>
        <v/>
      </c>
      <c r="B675" s="5">
        <f>IF($E675="","",INDEX('Input Transaksi'!$D:$D,$E675))</f>
        <v/>
      </c>
      <c r="C675">
        <f>IF($E675="","",INDEX('Input Transaksi'!$E:$E,$E675))</f>
        <v/>
      </c>
      <c r="D675" s="5">
        <f>IF($E675="","",INDEX('Input Transaksi'!$F:$F,$E675))</f>
        <v/>
      </c>
      <c r="E675">
        <f>IFERROR(AGGREGATE(15,6,ROW('Input Transaksi'!$B$5:$B$5000)/('Input Transaksi'!$B$5:$B$5000="JCL BYPASS"),ROWS($E$5:E675)),"")</f>
        <v/>
      </c>
      <c r="F675" s="5" t="n"/>
    </row>
    <row r="676">
      <c r="A676" s="10">
        <f>IF($E676="","",INDEX('Input Transaksi'!$A:$A,$E676))</f>
        <v/>
      </c>
      <c r="B676" s="5">
        <f>IF($E676="","",INDEX('Input Transaksi'!$D:$D,$E676))</f>
        <v/>
      </c>
      <c r="C676">
        <f>IF($E676="","",INDEX('Input Transaksi'!$E:$E,$E676))</f>
        <v/>
      </c>
      <c r="D676" s="5">
        <f>IF($E676="","",INDEX('Input Transaksi'!$F:$F,$E676))</f>
        <v/>
      </c>
      <c r="E676">
        <f>IFERROR(AGGREGATE(15,6,ROW('Input Transaksi'!$B$5:$B$5000)/('Input Transaksi'!$B$5:$B$5000="JCL BYPASS"),ROWS($E$5:E676)),"")</f>
        <v/>
      </c>
      <c r="F676" s="5" t="n"/>
    </row>
    <row r="677">
      <c r="A677" s="10">
        <f>IF($E677="","",INDEX('Input Transaksi'!$A:$A,$E677))</f>
        <v/>
      </c>
      <c r="B677" s="5">
        <f>IF($E677="","",INDEX('Input Transaksi'!$D:$D,$E677))</f>
        <v/>
      </c>
      <c r="C677">
        <f>IF($E677="","",INDEX('Input Transaksi'!$E:$E,$E677))</f>
        <v/>
      </c>
      <c r="D677" s="5">
        <f>IF($E677="","",INDEX('Input Transaksi'!$F:$F,$E677))</f>
        <v/>
      </c>
      <c r="E677">
        <f>IFERROR(AGGREGATE(15,6,ROW('Input Transaksi'!$B$5:$B$5000)/('Input Transaksi'!$B$5:$B$5000="JCL BYPASS"),ROWS($E$5:E677)),"")</f>
        <v/>
      </c>
      <c r="F677" s="5" t="n"/>
    </row>
    <row r="678">
      <c r="A678" s="10">
        <f>IF($E678="","",INDEX('Input Transaksi'!$A:$A,$E678))</f>
        <v/>
      </c>
      <c r="B678" s="5">
        <f>IF($E678="","",INDEX('Input Transaksi'!$D:$D,$E678))</f>
        <v/>
      </c>
      <c r="C678">
        <f>IF($E678="","",INDEX('Input Transaksi'!$E:$E,$E678))</f>
        <v/>
      </c>
      <c r="D678" s="5">
        <f>IF($E678="","",INDEX('Input Transaksi'!$F:$F,$E678))</f>
        <v/>
      </c>
      <c r="E678">
        <f>IFERROR(AGGREGATE(15,6,ROW('Input Transaksi'!$B$5:$B$5000)/('Input Transaksi'!$B$5:$B$5000="JCL BYPASS"),ROWS($E$5:E678)),"")</f>
        <v/>
      </c>
      <c r="F678" s="5" t="n"/>
    </row>
    <row r="679">
      <c r="A679" s="10">
        <f>IF($E679="","",INDEX('Input Transaksi'!$A:$A,$E679))</f>
        <v/>
      </c>
      <c r="B679" s="5">
        <f>IF($E679="","",INDEX('Input Transaksi'!$D:$D,$E679))</f>
        <v/>
      </c>
      <c r="C679">
        <f>IF($E679="","",INDEX('Input Transaksi'!$E:$E,$E679))</f>
        <v/>
      </c>
      <c r="D679" s="5">
        <f>IF($E679="","",INDEX('Input Transaksi'!$F:$F,$E679))</f>
        <v/>
      </c>
      <c r="E679">
        <f>IFERROR(AGGREGATE(15,6,ROW('Input Transaksi'!$B$5:$B$5000)/('Input Transaksi'!$B$5:$B$5000="JCL BYPASS"),ROWS($E$5:E679)),"")</f>
        <v/>
      </c>
      <c r="F679" s="5" t="n"/>
    </row>
    <row r="680">
      <c r="A680" s="10">
        <f>IF($E680="","",INDEX('Input Transaksi'!$A:$A,$E680))</f>
        <v/>
      </c>
      <c r="B680" s="5">
        <f>IF($E680="","",INDEX('Input Transaksi'!$D:$D,$E680))</f>
        <v/>
      </c>
      <c r="C680">
        <f>IF($E680="","",INDEX('Input Transaksi'!$E:$E,$E680))</f>
        <v/>
      </c>
      <c r="D680" s="5">
        <f>IF($E680="","",INDEX('Input Transaksi'!$F:$F,$E680))</f>
        <v/>
      </c>
      <c r="E680">
        <f>IFERROR(AGGREGATE(15,6,ROW('Input Transaksi'!$B$5:$B$5000)/('Input Transaksi'!$B$5:$B$5000="JCL BYPASS"),ROWS($E$5:E680)),"")</f>
        <v/>
      </c>
      <c r="F680" s="5" t="n"/>
    </row>
    <row r="681">
      <c r="A681" s="10">
        <f>IF($E681="","",INDEX('Input Transaksi'!$A:$A,$E681))</f>
        <v/>
      </c>
      <c r="B681" s="5">
        <f>IF($E681="","",INDEX('Input Transaksi'!$D:$D,$E681))</f>
        <v/>
      </c>
      <c r="C681">
        <f>IF($E681="","",INDEX('Input Transaksi'!$E:$E,$E681))</f>
        <v/>
      </c>
      <c r="D681" s="5">
        <f>IF($E681="","",INDEX('Input Transaksi'!$F:$F,$E681))</f>
        <v/>
      </c>
      <c r="E681">
        <f>IFERROR(AGGREGATE(15,6,ROW('Input Transaksi'!$B$5:$B$5000)/('Input Transaksi'!$B$5:$B$5000="JCL BYPASS"),ROWS($E$5:E681)),"")</f>
        <v/>
      </c>
      <c r="F681" s="5" t="n"/>
    </row>
    <row r="682">
      <c r="A682" s="10">
        <f>IF($E682="","",INDEX('Input Transaksi'!$A:$A,$E682))</f>
        <v/>
      </c>
      <c r="B682" s="5">
        <f>IF($E682="","",INDEX('Input Transaksi'!$D:$D,$E682))</f>
        <v/>
      </c>
      <c r="C682">
        <f>IF($E682="","",INDEX('Input Transaksi'!$E:$E,$E682))</f>
        <v/>
      </c>
      <c r="D682" s="5">
        <f>IF($E682="","",INDEX('Input Transaksi'!$F:$F,$E682))</f>
        <v/>
      </c>
      <c r="E682">
        <f>IFERROR(AGGREGATE(15,6,ROW('Input Transaksi'!$B$5:$B$5000)/('Input Transaksi'!$B$5:$B$5000="JCL BYPASS"),ROWS($E$5:E682)),"")</f>
        <v/>
      </c>
      <c r="F682" s="5" t="n"/>
    </row>
    <row r="683">
      <c r="A683" s="10">
        <f>IF($E683="","",INDEX('Input Transaksi'!$A:$A,$E683))</f>
        <v/>
      </c>
      <c r="B683" s="5">
        <f>IF($E683="","",INDEX('Input Transaksi'!$D:$D,$E683))</f>
        <v/>
      </c>
      <c r="C683">
        <f>IF($E683="","",INDEX('Input Transaksi'!$E:$E,$E683))</f>
        <v/>
      </c>
      <c r="D683" s="5">
        <f>IF($E683="","",INDEX('Input Transaksi'!$F:$F,$E683))</f>
        <v/>
      </c>
      <c r="E683">
        <f>IFERROR(AGGREGATE(15,6,ROW('Input Transaksi'!$B$5:$B$5000)/('Input Transaksi'!$B$5:$B$5000="JCL BYPASS"),ROWS($E$5:E683)),"")</f>
        <v/>
      </c>
      <c r="F683" s="5" t="n"/>
    </row>
    <row r="684">
      <c r="A684" s="10">
        <f>IF($E684="","",INDEX('Input Transaksi'!$A:$A,$E684))</f>
        <v/>
      </c>
      <c r="B684" s="5">
        <f>IF($E684="","",INDEX('Input Transaksi'!$D:$D,$E684))</f>
        <v/>
      </c>
      <c r="C684">
        <f>IF($E684="","",INDEX('Input Transaksi'!$E:$E,$E684))</f>
        <v/>
      </c>
      <c r="D684" s="5">
        <f>IF($E684="","",INDEX('Input Transaksi'!$F:$F,$E684))</f>
        <v/>
      </c>
      <c r="E684">
        <f>IFERROR(AGGREGATE(15,6,ROW('Input Transaksi'!$B$5:$B$5000)/('Input Transaksi'!$B$5:$B$5000="JCL BYPASS"),ROWS($E$5:E684)),"")</f>
        <v/>
      </c>
      <c r="F684" s="5" t="n"/>
    </row>
    <row r="685">
      <c r="A685" s="10">
        <f>IF($E685="","",INDEX('Input Transaksi'!$A:$A,$E685))</f>
        <v/>
      </c>
      <c r="B685" s="5">
        <f>IF($E685="","",INDEX('Input Transaksi'!$D:$D,$E685))</f>
        <v/>
      </c>
      <c r="C685">
        <f>IF($E685="","",INDEX('Input Transaksi'!$E:$E,$E685))</f>
        <v/>
      </c>
      <c r="D685" s="5">
        <f>IF($E685="","",INDEX('Input Transaksi'!$F:$F,$E685))</f>
        <v/>
      </c>
      <c r="E685">
        <f>IFERROR(AGGREGATE(15,6,ROW('Input Transaksi'!$B$5:$B$5000)/('Input Transaksi'!$B$5:$B$5000="JCL BYPASS"),ROWS($E$5:E685)),"")</f>
        <v/>
      </c>
      <c r="F685" s="5" t="n"/>
    </row>
    <row r="686">
      <c r="A686" s="10">
        <f>IF($E686="","",INDEX('Input Transaksi'!$A:$A,$E686))</f>
        <v/>
      </c>
      <c r="B686" s="5">
        <f>IF($E686="","",INDEX('Input Transaksi'!$D:$D,$E686))</f>
        <v/>
      </c>
      <c r="C686">
        <f>IF($E686="","",INDEX('Input Transaksi'!$E:$E,$E686))</f>
        <v/>
      </c>
      <c r="D686" s="5">
        <f>IF($E686="","",INDEX('Input Transaksi'!$F:$F,$E686))</f>
        <v/>
      </c>
      <c r="E686">
        <f>IFERROR(AGGREGATE(15,6,ROW('Input Transaksi'!$B$5:$B$5000)/('Input Transaksi'!$B$5:$B$5000="JCL BYPASS"),ROWS($E$5:E686)),"")</f>
        <v/>
      </c>
      <c r="F686" s="5" t="n"/>
    </row>
    <row r="687">
      <c r="A687" s="10">
        <f>IF($E687="","",INDEX('Input Transaksi'!$A:$A,$E687))</f>
        <v/>
      </c>
      <c r="B687" s="5">
        <f>IF($E687="","",INDEX('Input Transaksi'!$D:$D,$E687))</f>
        <v/>
      </c>
      <c r="C687">
        <f>IF($E687="","",INDEX('Input Transaksi'!$E:$E,$E687))</f>
        <v/>
      </c>
      <c r="D687" s="5">
        <f>IF($E687="","",INDEX('Input Transaksi'!$F:$F,$E687))</f>
        <v/>
      </c>
      <c r="E687">
        <f>IFERROR(AGGREGATE(15,6,ROW('Input Transaksi'!$B$5:$B$5000)/('Input Transaksi'!$B$5:$B$5000="JCL BYPASS"),ROWS($E$5:E687)),"")</f>
        <v/>
      </c>
      <c r="F687" s="5" t="n"/>
    </row>
    <row r="688">
      <c r="A688" s="10">
        <f>IF($E688="","",INDEX('Input Transaksi'!$A:$A,$E688))</f>
        <v/>
      </c>
      <c r="B688" s="5">
        <f>IF($E688="","",INDEX('Input Transaksi'!$D:$D,$E688))</f>
        <v/>
      </c>
      <c r="C688">
        <f>IF($E688="","",INDEX('Input Transaksi'!$E:$E,$E688))</f>
        <v/>
      </c>
      <c r="D688" s="5">
        <f>IF($E688="","",INDEX('Input Transaksi'!$F:$F,$E688))</f>
        <v/>
      </c>
      <c r="E688">
        <f>IFERROR(AGGREGATE(15,6,ROW('Input Transaksi'!$B$5:$B$5000)/('Input Transaksi'!$B$5:$B$5000="JCL BYPASS"),ROWS($E$5:E688)),"")</f>
        <v/>
      </c>
      <c r="F688" s="5" t="n"/>
    </row>
    <row r="689">
      <c r="A689" s="10">
        <f>IF($E689="","",INDEX('Input Transaksi'!$A:$A,$E689))</f>
        <v/>
      </c>
      <c r="B689" s="5">
        <f>IF($E689="","",INDEX('Input Transaksi'!$D:$D,$E689))</f>
        <v/>
      </c>
      <c r="C689">
        <f>IF($E689="","",INDEX('Input Transaksi'!$E:$E,$E689))</f>
        <v/>
      </c>
      <c r="D689" s="5">
        <f>IF($E689="","",INDEX('Input Transaksi'!$F:$F,$E689))</f>
        <v/>
      </c>
      <c r="E689">
        <f>IFERROR(AGGREGATE(15,6,ROW('Input Transaksi'!$B$5:$B$5000)/('Input Transaksi'!$B$5:$B$5000="JCL BYPASS"),ROWS($E$5:E689)),"")</f>
        <v/>
      </c>
      <c r="F689" s="5" t="n"/>
    </row>
    <row r="690">
      <c r="A690" s="10">
        <f>IF($E690="","",INDEX('Input Transaksi'!$A:$A,$E690))</f>
        <v/>
      </c>
      <c r="B690" s="5">
        <f>IF($E690="","",INDEX('Input Transaksi'!$D:$D,$E690))</f>
        <v/>
      </c>
      <c r="C690">
        <f>IF($E690="","",INDEX('Input Transaksi'!$E:$E,$E690))</f>
        <v/>
      </c>
      <c r="D690" s="5">
        <f>IF($E690="","",INDEX('Input Transaksi'!$F:$F,$E690))</f>
        <v/>
      </c>
      <c r="E690">
        <f>IFERROR(AGGREGATE(15,6,ROW('Input Transaksi'!$B$5:$B$5000)/('Input Transaksi'!$B$5:$B$5000="JCL BYPASS"),ROWS($E$5:E690)),"")</f>
        <v/>
      </c>
      <c r="F690" s="5" t="n"/>
    </row>
    <row r="691">
      <c r="A691" s="10">
        <f>IF($E691="","",INDEX('Input Transaksi'!$A:$A,$E691))</f>
        <v/>
      </c>
      <c r="B691" s="5">
        <f>IF($E691="","",INDEX('Input Transaksi'!$D:$D,$E691))</f>
        <v/>
      </c>
      <c r="C691">
        <f>IF($E691="","",INDEX('Input Transaksi'!$E:$E,$E691))</f>
        <v/>
      </c>
      <c r="D691" s="5">
        <f>IF($E691="","",INDEX('Input Transaksi'!$F:$F,$E691))</f>
        <v/>
      </c>
      <c r="E691">
        <f>IFERROR(AGGREGATE(15,6,ROW('Input Transaksi'!$B$5:$B$5000)/('Input Transaksi'!$B$5:$B$5000="JCL BYPASS"),ROWS($E$5:E691)),"")</f>
        <v/>
      </c>
      <c r="F691" s="5" t="n"/>
    </row>
    <row r="692">
      <c r="A692" s="10">
        <f>IF($E692="","",INDEX('Input Transaksi'!$A:$A,$E692))</f>
        <v/>
      </c>
      <c r="B692" s="5">
        <f>IF($E692="","",INDEX('Input Transaksi'!$D:$D,$E692))</f>
        <v/>
      </c>
      <c r="C692">
        <f>IF($E692="","",INDEX('Input Transaksi'!$E:$E,$E692))</f>
        <v/>
      </c>
      <c r="D692" s="5">
        <f>IF($E692="","",INDEX('Input Transaksi'!$F:$F,$E692))</f>
        <v/>
      </c>
      <c r="E692">
        <f>IFERROR(AGGREGATE(15,6,ROW('Input Transaksi'!$B$5:$B$5000)/('Input Transaksi'!$B$5:$B$5000="JCL BYPASS"),ROWS($E$5:E692)),"")</f>
        <v/>
      </c>
      <c r="F692" s="5" t="n"/>
    </row>
    <row r="693">
      <c r="A693" s="10">
        <f>IF($E693="","",INDEX('Input Transaksi'!$A:$A,$E693))</f>
        <v/>
      </c>
      <c r="B693" s="5">
        <f>IF($E693="","",INDEX('Input Transaksi'!$D:$D,$E693))</f>
        <v/>
      </c>
      <c r="C693">
        <f>IF($E693="","",INDEX('Input Transaksi'!$E:$E,$E693))</f>
        <v/>
      </c>
      <c r="D693" s="5">
        <f>IF($E693="","",INDEX('Input Transaksi'!$F:$F,$E693))</f>
        <v/>
      </c>
      <c r="E693">
        <f>IFERROR(AGGREGATE(15,6,ROW('Input Transaksi'!$B$5:$B$5000)/('Input Transaksi'!$B$5:$B$5000="JCL BYPASS"),ROWS($E$5:E693)),"")</f>
        <v/>
      </c>
      <c r="F693" s="5" t="n"/>
    </row>
    <row r="694">
      <c r="A694" s="10">
        <f>IF($E694="","",INDEX('Input Transaksi'!$A:$A,$E694))</f>
        <v/>
      </c>
      <c r="B694" s="5">
        <f>IF($E694="","",INDEX('Input Transaksi'!$D:$D,$E694))</f>
        <v/>
      </c>
      <c r="C694">
        <f>IF($E694="","",INDEX('Input Transaksi'!$E:$E,$E694))</f>
        <v/>
      </c>
      <c r="D694" s="5">
        <f>IF($E694="","",INDEX('Input Transaksi'!$F:$F,$E694))</f>
        <v/>
      </c>
      <c r="E694">
        <f>IFERROR(AGGREGATE(15,6,ROW('Input Transaksi'!$B$5:$B$5000)/('Input Transaksi'!$B$5:$B$5000="JCL BYPASS"),ROWS($E$5:E694)),"")</f>
        <v/>
      </c>
      <c r="F694" s="5" t="n"/>
    </row>
    <row r="695">
      <c r="A695" s="10">
        <f>IF($E695="","",INDEX('Input Transaksi'!$A:$A,$E695))</f>
        <v/>
      </c>
      <c r="B695" s="5">
        <f>IF($E695="","",INDEX('Input Transaksi'!$D:$D,$E695))</f>
        <v/>
      </c>
      <c r="C695">
        <f>IF($E695="","",INDEX('Input Transaksi'!$E:$E,$E695))</f>
        <v/>
      </c>
      <c r="D695" s="5">
        <f>IF($E695="","",INDEX('Input Transaksi'!$F:$F,$E695))</f>
        <v/>
      </c>
      <c r="E695">
        <f>IFERROR(AGGREGATE(15,6,ROW('Input Transaksi'!$B$5:$B$5000)/('Input Transaksi'!$B$5:$B$5000="JCL BYPASS"),ROWS($E$5:E695)),"")</f>
        <v/>
      </c>
      <c r="F695" s="5" t="n"/>
    </row>
    <row r="696">
      <c r="A696" s="10">
        <f>IF($E696="","",INDEX('Input Transaksi'!$A:$A,$E696))</f>
        <v/>
      </c>
      <c r="B696" s="5">
        <f>IF($E696="","",INDEX('Input Transaksi'!$D:$D,$E696))</f>
        <v/>
      </c>
      <c r="C696">
        <f>IF($E696="","",INDEX('Input Transaksi'!$E:$E,$E696))</f>
        <v/>
      </c>
      <c r="D696" s="5">
        <f>IF($E696="","",INDEX('Input Transaksi'!$F:$F,$E696))</f>
        <v/>
      </c>
      <c r="E696">
        <f>IFERROR(AGGREGATE(15,6,ROW('Input Transaksi'!$B$5:$B$5000)/('Input Transaksi'!$B$5:$B$5000="JCL BYPASS"),ROWS($E$5:E696)),"")</f>
        <v/>
      </c>
      <c r="F696" s="5" t="n"/>
    </row>
    <row r="697">
      <c r="A697" s="10">
        <f>IF($E697="","",INDEX('Input Transaksi'!$A:$A,$E697))</f>
        <v/>
      </c>
      <c r="B697" s="5">
        <f>IF($E697="","",INDEX('Input Transaksi'!$D:$D,$E697))</f>
        <v/>
      </c>
      <c r="C697">
        <f>IF($E697="","",INDEX('Input Transaksi'!$E:$E,$E697))</f>
        <v/>
      </c>
      <c r="D697" s="5">
        <f>IF($E697="","",INDEX('Input Transaksi'!$F:$F,$E697))</f>
        <v/>
      </c>
      <c r="E697">
        <f>IFERROR(AGGREGATE(15,6,ROW('Input Transaksi'!$B$5:$B$5000)/('Input Transaksi'!$B$5:$B$5000="JCL BYPASS"),ROWS($E$5:E697)),"")</f>
        <v/>
      </c>
      <c r="F697" s="5" t="n"/>
    </row>
    <row r="698">
      <c r="A698" s="10">
        <f>IF($E698="","",INDEX('Input Transaksi'!$A:$A,$E698))</f>
        <v/>
      </c>
      <c r="B698" s="5">
        <f>IF($E698="","",INDEX('Input Transaksi'!$D:$D,$E698))</f>
        <v/>
      </c>
      <c r="C698">
        <f>IF($E698="","",INDEX('Input Transaksi'!$E:$E,$E698))</f>
        <v/>
      </c>
      <c r="D698" s="5">
        <f>IF($E698="","",INDEX('Input Transaksi'!$F:$F,$E698))</f>
        <v/>
      </c>
      <c r="E698">
        <f>IFERROR(AGGREGATE(15,6,ROW('Input Transaksi'!$B$5:$B$5000)/('Input Transaksi'!$B$5:$B$5000="JCL BYPASS"),ROWS($E$5:E698)),"")</f>
        <v/>
      </c>
      <c r="F698" s="5" t="n"/>
    </row>
    <row r="699">
      <c r="A699" s="10">
        <f>IF($E699="","",INDEX('Input Transaksi'!$A:$A,$E699))</f>
        <v/>
      </c>
      <c r="B699" s="5">
        <f>IF($E699="","",INDEX('Input Transaksi'!$D:$D,$E699))</f>
        <v/>
      </c>
      <c r="C699">
        <f>IF($E699="","",INDEX('Input Transaksi'!$E:$E,$E699))</f>
        <v/>
      </c>
      <c r="D699" s="5">
        <f>IF($E699="","",INDEX('Input Transaksi'!$F:$F,$E699))</f>
        <v/>
      </c>
      <c r="E699">
        <f>IFERROR(AGGREGATE(15,6,ROW('Input Transaksi'!$B$5:$B$5000)/('Input Transaksi'!$B$5:$B$5000="JCL BYPASS"),ROWS($E$5:E699)),"")</f>
        <v/>
      </c>
      <c r="F699" s="5" t="n"/>
    </row>
    <row r="700">
      <c r="A700" s="10">
        <f>IF($E700="","",INDEX('Input Transaksi'!$A:$A,$E700))</f>
        <v/>
      </c>
      <c r="B700" s="5">
        <f>IF($E700="","",INDEX('Input Transaksi'!$D:$D,$E700))</f>
        <v/>
      </c>
      <c r="C700">
        <f>IF($E700="","",INDEX('Input Transaksi'!$E:$E,$E700))</f>
        <v/>
      </c>
      <c r="D700" s="5">
        <f>IF($E700="","",INDEX('Input Transaksi'!$F:$F,$E700))</f>
        <v/>
      </c>
      <c r="E700">
        <f>IFERROR(AGGREGATE(15,6,ROW('Input Transaksi'!$B$5:$B$5000)/('Input Transaksi'!$B$5:$B$5000="JCL BYPASS"),ROWS($E$5:E700)),"")</f>
        <v/>
      </c>
      <c r="F700" s="5" t="n"/>
    </row>
    <row r="701">
      <c r="A701" s="10">
        <f>IF($E701="","",INDEX('Input Transaksi'!$A:$A,$E701))</f>
        <v/>
      </c>
      <c r="B701" s="5">
        <f>IF($E701="","",INDEX('Input Transaksi'!$D:$D,$E701))</f>
        <v/>
      </c>
      <c r="C701">
        <f>IF($E701="","",INDEX('Input Transaksi'!$E:$E,$E701))</f>
        <v/>
      </c>
      <c r="D701" s="5">
        <f>IF($E701="","",INDEX('Input Transaksi'!$F:$F,$E701))</f>
        <v/>
      </c>
      <c r="E701">
        <f>IFERROR(AGGREGATE(15,6,ROW('Input Transaksi'!$B$5:$B$5000)/('Input Transaksi'!$B$5:$B$5000="JCL BYPASS"),ROWS($E$5:E701)),"")</f>
        <v/>
      </c>
      <c r="F701" s="5" t="n"/>
    </row>
    <row r="702">
      <c r="A702" s="10">
        <f>IF($E702="","",INDEX('Input Transaksi'!$A:$A,$E702))</f>
        <v/>
      </c>
      <c r="B702" s="5">
        <f>IF($E702="","",INDEX('Input Transaksi'!$D:$D,$E702))</f>
        <v/>
      </c>
      <c r="C702">
        <f>IF($E702="","",INDEX('Input Transaksi'!$E:$E,$E702))</f>
        <v/>
      </c>
      <c r="D702" s="5">
        <f>IF($E702="","",INDEX('Input Transaksi'!$F:$F,$E702))</f>
        <v/>
      </c>
      <c r="E702">
        <f>IFERROR(AGGREGATE(15,6,ROW('Input Transaksi'!$B$5:$B$5000)/('Input Transaksi'!$B$5:$B$5000="JCL BYPASS"),ROWS($E$5:E702)),"")</f>
        <v/>
      </c>
      <c r="F702" s="5" t="n"/>
    </row>
    <row r="703">
      <c r="A703" s="10">
        <f>IF($E703="","",INDEX('Input Transaksi'!$A:$A,$E703))</f>
        <v/>
      </c>
      <c r="B703" s="5">
        <f>IF($E703="","",INDEX('Input Transaksi'!$D:$D,$E703))</f>
        <v/>
      </c>
      <c r="C703">
        <f>IF($E703="","",INDEX('Input Transaksi'!$E:$E,$E703))</f>
        <v/>
      </c>
      <c r="D703" s="5">
        <f>IF($E703="","",INDEX('Input Transaksi'!$F:$F,$E703))</f>
        <v/>
      </c>
      <c r="E703">
        <f>IFERROR(AGGREGATE(15,6,ROW('Input Transaksi'!$B$5:$B$5000)/('Input Transaksi'!$B$5:$B$5000="JCL BYPASS"),ROWS($E$5:E703)),"")</f>
        <v/>
      </c>
      <c r="F703" s="5" t="n"/>
    </row>
    <row r="704">
      <c r="A704" s="10">
        <f>IF($E704="","",INDEX('Input Transaksi'!$A:$A,$E704))</f>
        <v/>
      </c>
      <c r="B704" s="5">
        <f>IF($E704="","",INDEX('Input Transaksi'!$D:$D,$E704))</f>
        <v/>
      </c>
      <c r="C704">
        <f>IF($E704="","",INDEX('Input Transaksi'!$E:$E,$E704))</f>
        <v/>
      </c>
      <c r="D704" s="5">
        <f>IF($E704="","",INDEX('Input Transaksi'!$F:$F,$E704))</f>
        <v/>
      </c>
      <c r="E704">
        <f>IFERROR(AGGREGATE(15,6,ROW('Input Transaksi'!$B$5:$B$5000)/('Input Transaksi'!$B$5:$B$5000="JCL BYPASS"),ROWS($E$5:E704)),"")</f>
        <v/>
      </c>
      <c r="F704" s="5" t="n"/>
    </row>
    <row r="705">
      <c r="A705" s="10">
        <f>IF($E705="","",INDEX('Input Transaksi'!$A:$A,$E705))</f>
        <v/>
      </c>
      <c r="B705" s="5">
        <f>IF($E705="","",INDEX('Input Transaksi'!$D:$D,$E705))</f>
        <v/>
      </c>
      <c r="C705">
        <f>IF($E705="","",INDEX('Input Transaksi'!$E:$E,$E705))</f>
        <v/>
      </c>
      <c r="D705" s="5">
        <f>IF($E705="","",INDEX('Input Transaksi'!$F:$F,$E705))</f>
        <v/>
      </c>
      <c r="E705">
        <f>IFERROR(AGGREGATE(15,6,ROW('Input Transaksi'!$B$5:$B$5000)/('Input Transaksi'!$B$5:$B$5000="JCL BYPASS"),ROWS($E$5:E705)),"")</f>
        <v/>
      </c>
      <c r="F705" s="5" t="n"/>
    </row>
    <row r="706">
      <c r="A706" s="10">
        <f>IF($E706="","",INDEX('Input Transaksi'!$A:$A,$E706))</f>
        <v/>
      </c>
      <c r="B706" s="5">
        <f>IF($E706="","",INDEX('Input Transaksi'!$D:$D,$E706))</f>
        <v/>
      </c>
      <c r="C706">
        <f>IF($E706="","",INDEX('Input Transaksi'!$E:$E,$E706))</f>
        <v/>
      </c>
      <c r="D706" s="5">
        <f>IF($E706="","",INDEX('Input Transaksi'!$F:$F,$E706))</f>
        <v/>
      </c>
      <c r="E706">
        <f>IFERROR(AGGREGATE(15,6,ROW('Input Transaksi'!$B$5:$B$5000)/('Input Transaksi'!$B$5:$B$5000="JCL BYPASS"),ROWS($E$5:E706)),"")</f>
        <v/>
      </c>
      <c r="F706" s="5" t="n"/>
    </row>
    <row r="707">
      <c r="A707" s="10">
        <f>IF($E707="","",INDEX('Input Transaksi'!$A:$A,$E707))</f>
        <v/>
      </c>
      <c r="B707" s="5">
        <f>IF($E707="","",INDEX('Input Transaksi'!$D:$D,$E707))</f>
        <v/>
      </c>
      <c r="C707">
        <f>IF($E707="","",INDEX('Input Transaksi'!$E:$E,$E707))</f>
        <v/>
      </c>
      <c r="D707" s="5">
        <f>IF($E707="","",INDEX('Input Transaksi'!$F:$F,$E707))</f>
        <v/>
      </c>
      <c r="E707">
        <f>IFERROR(AGGREGATE(15,6,ROW('Input Transaksi'!$B$5:$B$5000)/('Input Transaksi'!$B$5:$B$5000="JCL BYPASS"),ROWS($E$5:E707)),"")</f>
        <v/>
      </c>
      <c r="F707" s="5" t="n"/>
    </row>
    <row r="708">
      <c r="A708" s="10">
        <f>IF($E708="","",INDEX('Input Transaksi'!$A:$A,$E708))</f>
        <v/>
      </c>
      <c r="B708" s="5">
        <f>IF($E708="","",INDEX('Input Transaksi'!$D:$D,$E708))</f>
        <v/>
      </c>
      <c r="C708">
        <f>IF($E708="","",INDEX('Input Transaksi'!$E:$E,$E708))</f>
        <v/>
      </c>
      <c r="D708" s="5">
        <f>IF($E708="","",INDEX('Input Transaksi'!$F:$F,$E708))</f>
        <v/>
      </c>
      <c r="E708">
        <f>IFERROR(AGGREGATE(15,6,ROW('Input Transaksi'!$B$5:$B$5000)/('Input Transaksi'!$B$5:$B$5000="JCL BYPASS"),ROWS($E$5:E708)),"")</f>
        <v/>
      </c>
      <c r="F708" s="5" t="n"/>
    </row>
    <row r="709">
      <c r="A709" s="10">
        <f>IF($E709="","",INDEX('Input Transaksi'!$A:$A,$E709))</f>
        <v/>
      </c>
      <c r="B709" s="5">
        <f>IF($E709="","",INDEX('Input Transaksi'!$D:$D,$E709))</f>
        <v/>
      </c>
      <c r="C709">
        <f>IF($E709="","",INDEX('Input Transaksi'!$E:$E,$E709))</f>
        <v/>
      </c>
      <c r="D709" s="5">
        <f>IF($E709="","",INDEX('Input Transaksi'!$F:$F,$E709))</f>
        <v/>
      </c>
      <c r="E709">
        <f>IFERROR(AGGREGATE(15,6,ROW('Input Transaksi'!$B$5:$B$5000)/('Input Transaksi'!$B$5:$B$5000="JCL BYPASS"),ROWS($E$5:E709)),"")</f>
        <v/>
      </c>
      <c r="F709" s="5" t="n"/>
    </row>
    <row r="710">
      <c r="A710" s="10">
        <f>IF($E710="","",INDEX('Input Transaksi'!$A:$A,$E710))</f>
        <v/>
      </c>
      <c r="B710" s="5">
        <f>IF($E710="","",INDEX('Input Transaksi'!$D:$D,$E710))</f>
        <v/>
      </c>
      <c r="C710">
        <f>IF($E710="","",INDEX('Input Transaksi'!$E:$E,$E710))</f>
        <v/>
      </c>
      <c r="D710" s="5">
        <f>IF($E710="","",INDEX('Input Transaksi'!$F:$F,$E710))</f>
        <v/>
      </c>
      <c r="E710">
        <f>IFERROR(AGGREGATE(15,6,ROW('Input Transaksi'!$B$5:$B$5000)/('Input Transaksi'!$B$5:$B$5000="JCL BYPASS"),ROWS($E$5:E710)),"")</f>
        <v/>
      </c>
      <c r="F710" s="5" t="n"/>
    </row>
    <row r="711">
      <c r="A711" s="10">
        <f>IF($E711="","",INDEX('Input Transaksi'!$A:$A,$E711))</f>
        <v/>
      </c>
      <c r="B711" s="5">
        <f>IF($E711="","",INDEX('Input Transaksi'!$D:$D,$E711))</f>
        <v/>
      </c>
      <c r="C711">
        <f>IF($E711="","",INDEX('Input Transaksi'!$E:$E,$E711))</f>
        <v/>
      </c>
      <c r="D711" s="5">
        <f>IF($E711="","",INDEX('Input Transaksi'!$F:$F,$E711))</f>
        <v/>
      </c>
      <c r="E711">
        <f>IFERROR(AGGREGATE(15,6,ROW('Input Transaksi'!$B$5:$B$5000)/('Input Transaksi'!$B$5:$B$5000="JCL BYPASS"),ROWS($E$5:E711)),"")</f>
        <v/>
      </c>
      <c r="F711" s="5" t="n"/>
    </row>
    <row r="712">
      <c r="A712" s="10">
        <f>IF($E712="","",INDEX('Input Transaksi'!$A:$A,$E712))</f>
        <v/>
      </c>
      <c r="B712" s="5">
        <f>IF($E712="","",INDEX('Input Transaksi'!$D:$D,$E712))</f>
        <v/>
      </c>
      <c r="C712">
        <f>IF($E712="","",INDEX('Input Transaksi'!$E:$E,$E712))</f>
        <v/>
      </c>
      <c r="D712" s="5">
        <f>IF($E712="","",INDEX('Input Transaksi'!$F:$F,$E712))</f>
        <v/>
      </c>
      <c r="E712">
        <f>IFERROR(AGGREGATE(15,6,ROW('Input Transaksi'!$B$5:$B$5000)/('Input Transaksi'!$B$5:$B$5000="JCL BYPASS"),ROWS($E$5:E712)),"")</f>
        <v/>
      </c>
      <c r="F712" s="5" t="n"/>
    </row>
    <row r="713">
      <c r="A713" s="10">
        <f>IF($E713="","",INDEX('Input Transaksi'!$A:$A,$E713))</f>
        <v/>
      </c>
      <c r="B713" s="5">
        <f>IF($E713="","",INDEX('Input Transaksi'!$D:$D,$E713))</f>
        <v/>
      </c>
      <c r="C713">
        <f>IF($E713="","",INDEX('Input Transaksi'!$E:$E,$E713))</f>
        <v/>
      </c>
      <c r="D713" s="5">
        <f>IF($E713="","",INDEX('Input Transaksi'!$F:$F,$E713))</f>
        <v/>
      </c>
      <c r="E713">
        <f>IFERROR(AGGREGATE(15,6,ROW('Input Transaksi'!$B$5:$B$5000)/('Input Transaksi'!$B$5:$B$5000="JCL BYPASS"),ROWS($E$5:E713)),"")</f>
        <v/>
      </c>
      <c r="F713" s="5" t="n"/>
    </row>
    <row r="714">
      <c r="A714" s="10">
        <f>IF($E714="","",INDEX('Input Transaksi'!$A:$A,$E714))</f>
        <v/>
      </c>
      <c r="B714" s="5">
        <f>IF($E714="","",INDEX('Input Transaksi'!$D:$D,$E714))</f>
        <v/>
      </c>
      <c r="C714">
        <f>IF($E714="","",INDEX('Input Transaksi'!$E:$E,$E714))</f>
        <v/>
      </c>
      <c r="D714" s="5">
        <f>IF($E714="","",INDEX('Input Transaksi'!$F:$F,$E714))</f>
        <v/>
      </c>
      <c r="E714">
        <f>IFERROR(AGGREGATE(15,6,ROW('Input Transaksi'!$B$5:$B$5000)/('Input Transaksi'!$B$5:$B$5000="JCL BYPASS"),ROWS($E$5:E714)),"")</f>
        <v/>
      </c>
      <c r="F714" s="5" t="n"/>
    </row>
    <row r="715">
      <c r="A715" s="10">
        <f>IF($E715="","",INDEX('Input Transaksi'!$A:$A,$E715))</f>
        <v/>
      </c>
      <c r="B715" s="5">
        <f>IF($E715="","",INDEX('Input Transaksi'!$D:$D,$E715))</f>
        <v/>
      </c>
      <c r="C715">
        <f>IF($E715="","",INDEX('Input Transaksi'!$E:$E,$E715))</f>
        <v/>
      </c>
      <c r="D715" s="5">
        <f>IF($E715="","",INDEX('Input Transaksi'!$F:$F,$E715))</f>
        <v/>
      </c>
      <c r="E715">
        <f>IFERROR(AGGREGATE(15,6,ROW('Input Transaksi'!$B$5:$B$5000)/('Input Transaksi'!$B$5:$B$5000="JCL BYPASS"),ROWS($E$5:E715)),"")</f>
        <v/>
      </c>
      <c r="F715" s="5" t="n"/>
    </row>
    <row r="716">
      <c r="A716" s="10">
        <f>IF($E716="","",INDEX('Input Transaksi'!$A:$A,$E716))</f>
        <v/>
      </c>
      <c r="B716" s="5">
        <f>IF($E716="","",INDEX('Input Transaksi'!$D:$D,$E716))</f>
        <v/>
      </c>
      <c r="C716">
        <f>IF($E716="","",INDEX('Input Transaksi'!$E:$E,$E716))</f>
        <v/>
      </c>
      <c r="D716" s="5">
        <f>IF($E716="","",INDEX('Input Transaksi'!$F:$F,$E716))</f>
        <v/>
      </c>
      <c r="E716">
        <f>IFERROR(AGGREGATE(15,6,ROW('Input Transaksi'!$B$5:$B$5000)/('Input Transaksi'!$B$5:$B$5000="JCL BYPASS"),ROWS($E$5:E716)),"")</f>
        <v/>
      </c>
      <c r="F716" s="5" t="n"/>
    </row>
    <row r="717">
      <c r="A717" s="10">
        <f>IF($E717="","",INDEX('Input Transaksi'!$A:$A,$E717))</f>
        <v/>
      </c>
      <c r="B717" s="5">
        <f>IF($E717="","",INDEX('Input Transaksi'!$D:$D,$E717))</f>
        <v/>
      </c>
      <c r="C717">
        <f>IF($E717="","",INDEX('Input Transaksi'!$E:$E,$E717))</f>
        <v/>
      </c>
      <c r="D717" s="5">
        <f>IF($E717="","",INDEX('Input Transaksi'!$F:$F,$E717))</f>
        <v/>
      </c>
      <c r="E717">
        <f>IFERROR(AGGREGATE(15,6,ROW('Input Transaksi'!$B$5:$B$5000)/('Input Transaksi'!$B$5:$B$5000="JCL BYPASS"),ROWS($E$5:E717)),"")</f>
        <v/>
      </c>
      <c r="F717" s="5" t="n"/>
    </row>
    <row r="718">
      <c r="A718" s="10">
        <f>IF($E718="","",INDEX('Input Transaksi'!$A:$A,$E718))</f>
        <v/>
      </c>
      <c r="B718" s="5">
        <f>IF($E718="","",INDEX('Input Transaksi'!$D:$D,$E718))</f>
        <v/>
      </c>
      <c r="C718">
        <f>IF($E718="","",INDEX('Input Transaksi'!$E:$E,$E718))</f>
        <v/>
      </c>
      <c r="D718" s="5">
        <f>IF($E718="","",INDEX('Input Transaksi'!$F:$F,$E718))</f>
        <v/>
      </c>
      <c r="E718">
        <f>IFERROR(AGGREGATE(15,6,ROW('Input Transaksi'!$B$5:$B$5000)/('Input Transaksi'!$B$5:$B$5000="JCL BYPASS"),ROWS($E$5:E718)),"")</f>
        <v/>
      </c>
      <c r="F718" s="5" t="n"/>
    </row>
    <row r="719">
      <c r="A719" s="10">
        <f>IF($E719="","",INDEX('Input Transaksi'!$A:$A,$E719))</f>
        <v/>
      </c>
      <c r="B719" s="5">
        <f>IF($E719="","",INDEX('Input Transaksi'!$D:$D,$E719))</f>
        <v/>
      </c>
      <c r="C719">
        <f>IF($E719="","",INDEX('Input Transaksi'!$E:$E,$E719))</f>
        <v/>
      </c>
      <c r="D719" s="5">
        <f>IF($E719="","",INDEX('Input Transaksi'!$F:$F,$E719))</f>
        <v/>
      </c>
      <c r="E719">
        <f>IFERROR(AGGREGATE(15,6,ROW('Input Transaksi'!$B$5:$B$5000)/('Input Transaksi'!$B$5:$B$5000="JCL BYPASS"),ROWS($E$5:E719)),"")</f>
        <v/>
      </c>
      <c r="F719" s="5" t="n"/>
    </row>
    <row r="720">
      <c r="A720" s="10">
        <f>IF($E720="","",INDEX('Input Transaksi'!$A:$A,$E720))</f>
        <v/>
      </c>
      <c r="B720" s="5">
        <f>IF($E720="","",INDEX('Input Transaksi'!$D:$D,$E720))</f>
        <v/>
      </c>
      <c r="C720">
        <f>IF($E720="","",INDEX('Input Transaksi'!$E:$E,$E720))</f>
        <v/>
      </c>
      <c r="D720" s="5">
        <f>IF($E720="","",INDEX('Input Transaksi'!$F:$F,$E720))</f>
        <v/>
      </c>
      <c r="E720">
        <f>IFERROR(AGGREGATE(15,6,ROW('Input Transaksi'!$B$5:$B$5000)/('Input Transaksi'!$B$5:$B$5000="JCL BYPASS"),ROWS($E$5:E720)),"")</f>
        <v/>
      </c>
      <c r="F720" s="5" t="n"/>
    </row>
    <row r="721">
      <c r="A721" s="10">
        <f>IF($E721="","",INDEX('Input Transaksi'!$A:$A,$E721))</f>
        <v/>
      </c>
      <c r="B721" s="5">
        <f>IF($E721="","",INDEX('Input Transaksi'!$D:$D,$E721))</f>
        <v/>
      </c>
      <c r="C721">
        <f>IF($E721="","",INDEX('Input Transaksi'!$E:$E,$E721))</f>
        <v/>
      </c>
      <c r="D721" s="5">
        <f>IF($E721="","",INDEX('Input Transaksi'!$F:$F,$E721))</f>
        <v/>
      </c>
      <c r="E721">
        <f>IFERROR(AGGREGATE(15,6,ROW('Input Transaksi'!$B$5:$B$5000)/('Input Transaksi'!$B$5:$B$5000="JCL BYPASS"),ROWS($E$5:E721)),"")</f>
        <v/>
      </c>
      <c r="F721" s="5" t="n"/>
    </row>
    <row r="722">
      <c r="A722" s="10">
        <f>IF($E722="","",INDEX('Input Transaksi'!$A:$A,$E722))</f>
        <v/>
      </c>
      <c r="B722" s="5">
        <f>IF($E722="","",INDEX('Input Transaksi'!$D:$D,$E722))</f>
        <v/>
      </c>
      <c r="C722">
        <f>IF($E722="","",INDEX('Input Transaksi'!$E:$E,$E722))</f>
        <v/>
      </c>
      <c r="D722" s="5">
        <f>IF($E722="","",INDEX('Input Transaksi'!$F:$F,$E722))</f>
        <v/>
      </c>
      <c r="E722">
        <f>IFERROR(AGGREGATE(15,6,ROW('Input Transaksi'!$B$5:$B$5000)/('Input Transaksi'!$B$5:$B$5000="JCL BYPASS"),ROWS($E$5:E722)),"")</f>
        <v/>
      </c>
      <c r="F722" s="5" t="n"/>
    </row>
    <row r="723">
      <c r="A723" s="10">
        <f>IF($E723="","",INDEX('Input Transaksi'!$A:$A,$E723))</f>
        <v/>
      </c>
      <c r="B723" s="5">
        <f>IF($E723="","",INDEX('Input Transaksi'!$D:$D,$E723))</f>
        <v/>
      </c>
      <c r="C723">
        <f>IF($E723="","",INDEX('Input Transaksi'!$E:$E,$E723))</f>
        <v/>
      </c>
      <c r="D723" s="5">
        <f>IF($E723="","",INDEX('Input Transaksi'!$F:$F,$E723))</f>
        <v/>
      </c>
      <c r="E723">
        <f>IFERROR(AGGREGATE(15,6,ROW('Input Transaksi'!$B$5:$B$5000)/('Input Transaksi'!$B$5:$B$5000="JCL BYPASS"),ROWS($E$5:E723)),"")</f>
        <v/>
      </c>
      <c r="F723" s="5" t="n"/>
    </row>
    <row r="724">
      <c r="A724" s="10">
        <f>IF($E724="","",INDEX('Input Transaksi'!$A:$A,$E724))</f>
        <v/>
      </c>
      <c r="B724" s="5">
        <f>IF($E724="","",INDEX('Input Transaksi'!$D:$D,$E724))</f>
        <v/>
      </c>
      <c r="C724">
        <f>IF($E724="","",INDEX('Input Transaksi'!$E:$E,$E724))</f>
        <v/>
      </c>
      <c r="D724" s="5">
        <f>IF($E724="","",INDEX('Input Transaksi'!$F:$F,$E724))</f>
        <v/>
      </c>
      <c r="E724">
        <f>IFERROR(AGGREGATE(15,6,ROW('Input Transaksi'!$B$5:$B$5000)/('Input Transaksi'!$B$5:$B$5000="JCL BYPASS"),ROWS($E$5:E724)),"")</f>
        <v/>
      </c>
      <c r="F724" s="5" t="n"/>
    </row>
    <row r="725">
      <c r="A725" s="10">
        <f>IF($E725="","",INDEX('Input Transaksi'!$A:$A,$E725))</f>
        <v/>
      </c>
      <c r="B725" s="5">
        <f>IF($E725="","",INDEX('Input Transaksi'!$D:$D,$E725))</f>
        <v/>
      </c>
      <c r="C725">
        <f>IF($E725="","",INDEX('Input Transaksi'!$E:$E,$E725))</f>
        <v/>
      </c>
      <c r="D725" s="5">
        <f>IF($E725="","",INDEX('Input Transaksi'!$F:$F,$E725))</f>
        <v/>
      </c>
      <c r="E725">
        <f>IFERROR(AGGREGATE(15,6,ROW('Input Transaksi'!$B$5:$B$5000)/('Input Transaksi'!$B$5:$B$5000="JCL BYPASS"),ROWS($E$5:E725)),"")</f>
        <v/>
      </c>
      <c r="F725" s="5" t="n"/>
    </row>
    <row r="726">
      <c r="A726" s="10">
        <f>IF($E726="","",INDEX('Input Transaksi'!$A:$A,$E726))</f>
        <v/>
      </c>
      <c r="B726" s="5">
        <f>IF($E726="","",INDEX('Input Transaksi'!$D:$D,$E726))</f>
        <v/>
      </c>
      <c r="C726">
        <f>IF($E726="","",INDEX('Input Transaksi'!$E:$E,$E726))</f>
        <v/>
      </c>
      <c r="D726" s="5">
        <f>IF($E726="","",INDEX('Input Transaksi'!$F:$F,$E726))</f>
        <v/>
      </c>
      <c r="E726">
        <f>IFERROR(AGGREGATE(15,6,ROW('Input Transaksi'!$B$5:$B$5000)/('Input Transaksi'!$B$5:$B$5000="JCL BYPASS"),ROWS($E$5:E726)),"")</f>
        <v/>
      </c>
      <c r="F726" s="5" t="n"/>
    </row>
    <row r="727">
      <c r="A727" s="10">
        <f>IF($E727="","",INDEX('Input Transaksi'!$A:$A,$E727))</f>
        <v/>
      </c>
      <c r="B727" s="5">
        <f>IF($E727="","",INDEX('Input Transaksi'!$D:$D,$E727))</f>
        <v/>
      </c>
      <c r="C727">
        <f>IF($E727="","",INDEX('Input Transaksi'!$E:$E,$E727))</f>
        <v/>
      </c>
      <c r="D727" s="5">
        <f>IF($E727="","",INDEX('Input Transaksi'!$F:$F,$E727))</f>
        <v/>
      </c>
      <c r="E727">
        <f>IFERROR(AGGREGATE(15,6,ROW('Input Transaksi'!$B$5:$B$5000)/('Input Transaksi'!$B$5:$B$5000="JCL BYPASS"),ROWS($E$5:E727)),"")</f>
        <v/>
      </c>
      <c r="F727" s="5" t="n"/>
    </row>
    <row r="728">
      <c r="A728" s="10">
        <f>IF($E728="","",INDEX('Input Transaksi'!$A:$A,$E728))</f>
        <v/>
      </c>
      <c r="B728" s="5">
        <f>IF($E728="","",INDEX('Input Transaksi'!$D:$D,$E728))</f>
        <v/>
      </c>
      <c r="C728">
        <f>IF($E728="","",INDEX('Input Transaksi'!$E:$E,$E728))</f>
        <v/>
      </c>
      <c r="D728" s="5">
        <f>IF($E728="","",INDEX('Input Transaksi'!$F:$F,$E728))</f>
        <v/>
      </c>
      <c r="E728">
        <f>IFERROR(AGGREGATE(15,6,ROW('Input Transaksi'!$B$5:$B$5000)/('Input Transaksi'!$B$5:$B$5000="JCL BYPASS"),ROWS($E$5:E728)),"")</f>
        <v/>
      </c>
      <c r="F728" s="5" t="n"/>
    </row>
    <row r="729">
      <c r="A729" s="10">
        <f>IF($E729="","",INDEX('Input Transaksi'!$A:$A,$E729))</f>
        <v/>
      </c>
      <c r="B729" s="5">
        <f>IF($E729="","",INDEX('Input Transaksi'!$D:$D,$E729))</f>
        <v/>
      </c>
      <c r="C729">
        <f>IF($E729="","",INDEX('Input Transaksi'!$E:$E,$E729))</f>
        <v/>
      </c>
      <c r="D729" s="5">
        <f>IF($E729="","",INDEX('Input Transaksi'!$F:$F,$E729))</f>
        <v/>
      </c>
      <c r="E729">
        <f>IFERROR(AGGREGATE(15,6,ROW('Input Transaksi'!$B$5:$B$5000)/('Input Transaksi'!$B$5:$B$5000="JCL BYPASS"),ROWS($E$5:E729)),"")</f>
        <v/>
      </c>
      <c r="F729" s="5" t="n"/>
    </row>
    <row r="730">
      <c r="A730" s="10">
        <f>IF($E730="","",INDEX('Input Transaksi'!$A:$A,$E730))</f>
        <v/>
      </c>
      <c r="B730" s="5">
        <f>IF($E730="","",INDEX('Input Transaksi'!$D:$D,$E730))</f>
        <v/>
      </c>
      <c r="C730">
        <f>IF($E730="","",INDEX('Input Transaksi'!$E:$E,$E730))</f>
        <v/>
      </c>
      <c r="D730" s="5">
        <f>IF($E730="","",INDEX('Input Transaksi'!$F:$F,$E730))</f>
        <v/>
      </c>
      <c r="E730">
        <f>IFERROR(AGGREGATE(15,6,ROW('Input Transaksi'!$B$5:$B$5000)/('Input Transaksi'!$B$5:$B$5000="JCL BYPASS"),ROWS($E$5:E730)),"")</f>
        <v/>
      </c>
      <c r="F730" s="5" t="n"/>
    </row>
    <row r="731">
      <c r="A731" s="10">
        <f>IF($E731="","",INDEX('Input Transaksi'!$A:$A,$E731))</f>
        <v/>
      </c>
      <c r="B731" s="5">
        <f>IF($E731="","",INDEX('Input Transaksi'!$D:$D,$E731))</f>
        <v/>
      </c>
      <c r="C731">
        <f>IF($E731="","",INDEX('Input Transaksi'!$E:$E,$E731))</f>
        <v/>
      </c>
      <c r="D731" s="5">
        <f>IF($E731="","",INDEX('Input Transaksi'!$F:$F,$E731))</f>
        <v/>
      </c>
      <c r="E731">
        <f>IFERROR(AGGREGATE(15,6,ROW('Input Transaksi'!$B$5:$B$5000)/('Input Transaksi'!$B$5:$B$5000="JCL BYPASS"),ROWS($E$5:E731)),"")</f>
        <v/>
      </c>
      <c r="F731" s="5" t="n"/>
    </row>
    <row r="732">
      <c r="A732" s="10">
        <f>IF($E732="","",INDEX('Input Transaksi'!$A:$A,$E732))</f>
        <v/>
      </c>
      <c r="B732" s="5">
        <f>IF($E732="","",INDEX('Input Transaksi'!$D:$D,$E732))</f>
        <v/>
      </c>
      <c r="C732">
        <f>IF($E732="","",INDEX('Input Transaksi'!$E:$E,$E732))</f>
        <v/>
      </c>
      <c r="D732" s="5">
        <f>IF($E732="","",INDEX('Input Transaksi'!$F:$F,$E732))</f>
        <v/>
      </c>
      <c r="E732">
        <f>IFERROR(AGGREGATE(15,6,ROW('Input Transaksi'!$B$5:$B$5000)/('Input Transaksi'!$B$5:$B$5000="JCL BYPASS"),ROWS($E$5:E732)),"")</f>
        <v/>
      </c>
      <c r="F732" s="5" t="n"/>
    </row>
    <row r="733">
      <c r="A733" s="10">
        <f>IF($E733="","",INDEX('Input Transaksi'!$A:$A,$E733))</f>
        <v/>
      </c>
      <c r="B733" s="5">
        <f>IF($E733="","",INDEX('Input Transaksi'!$D:$D,$E733))</f>
        <v/>
      </c>
      <c r="C733">
        <f>IF($E733="","",INDEX('Input Transaksi'!$E:$E,$E733))</f>
        <v/>
      </c>
      <c r="D733" s="5">
        <f>IF($E733="","",INDEX('Input Transaksi'!$F:$F,$E733))</f>
        <v/>
      </c>
      <c r="E733">
        <f>IFERROR(AGGREGATE(15,6,ROW('Input Transaksi'!$B$5:$B$5000)/('Input Transaksi'!$B$5:$B$5000="JCL BYPASS"),ROWS($E$5:E733)),"")</f>
        <v/>
      </c>
      <c r="F733" s="5" t="n"/>
    </row>
    <row r="734">
      <c r="A734" s="10">
        <f>IF($E734="","",INDEX('Input Transaksi'!$A:$A,$E734))</f>
        <v/>
      </c>
      <c r="B734" s="5">
        <f>IF($E734="","",INDEX('Input Transaksi'!$D:$D,$E734))</f>
        <v/>
      </c>
      <c r="C734">
        <f>IF($E734="","",INDEX('Input Transaksi'!$E:$E,$E734))</f>
        <v/>
      </c>
      <c r="D734" s="5">
        <f>IF($E734="","",INDEX('Input Transaksi'!$F:$F,$E734))</f>
        <v/>
      </c>
      <c r="E734">
        <f>IFERROR(AGGREGATE(15,6,ROW('Input Transaksi'!$B$5:$B$5000)/('Input Transaksi'!$B$5:$B$5000="JCL BYPASS"),ROWS($E$5:E734)),"")</f>
        <v/>
      </c>
      <c r="F734" s="5" t="n"/>
    </row>
    <row r="735">
      <c r="A735" s="10">
        <f>IF($E735="","",INDEX('Input Transaksi'!$A:$A,$E735))</f>
        <v/>
      </c>
      <c r="B735" s="5">
        <f>IF($E735="","",INDEX('Input Transaksi'!$D:$D,$E735))</f>
        <v/>
      </c>
      <c r="C735">
        <f>IF($E735="","",INDEX('Input Transaksi'!$E:$E,$E735))</f>
        <v/>
      </c>
      <c r="D735" s="5">
        <f>IF($E735="","",INDEX('Input Transaksi'!$F:$F,$E735))</f>
        <v/>
      </c>
      <c r="E735">
        <f>IFERROR(AGGREGATE(15,6,ROW('Input Transaksi'!$B$5:$B$5000)/('Input Transaksi'!$B$5:$B$5000="JCL BYPASS"),ROWS($E$5:E735)),"")</f>
        <v/>
      </c>
      <c r="F735" s="5" t="n"/>
    </row>
    <row r="736">
      <c r="A736" s="10">
        <f>IF($E736="","",INDEX('Input Transaksi'!$A:$A,$E736))</f>
        <v/>
      </c>
      <c r="B736" s="5">
        <f>IF($E736="","",INDEX('Input Transaksi'!$D:$D,$E736))</f>
        <v/>
      </c>
      <c r="C736">
        <f>IF($E736="","",INDEX('Input Transaksi'!$E:$E,$E736))</f>
        <v/>
      </c>
      <c r="D736" s="5">
        <f>IF($E736="","",INDEX('Input Transaksi'!$F:$F,$E736))</f>
        <v/>
      </c>
      <c r="E736">
        <f>IFERROR(AGGREGATE(15,6,ROW('Input Transaksi'!$B$5:$B$5000)/('Input Transaksi'!$B$5:$B$5000="JCL BYPASS"),ROWS($E$5:E736)),"")</f>
        <v/>
      </c>
      <c r="F736" s="5" t="n"/>
    </row>
    <row r="737">
      <c r="A737" s="10">
        <f>IF($E737="","",INDEX('Input Transaksi'!$A:$A,$E737))</f>
        <v/>
      </c>
      <c r="B737" s="5">
        <f>IF($E737="","",INDEX('Input Transaksi'!$D:$D,$E737))</f>
        <v/>
      </c>
      <c r="C737">
        <f>IF($E737="","",INDEX('Input Transaksi'!$E:$E,$E737))</f>
        <v/>
      </c>
      <c r="D737" s="5">
        <f>IF($E737="","",INDEX('Input Transaksi'!$F:$F,$E737))</f>
        <v/>
      </c>
      <c r="E737">
        <f>IFERROR(AGGREGATE(15,6,ROW('Input Transaksi'!$B$5:$B$5000)/('Input Transaksi'!$B$5:$B$5000="JCL BYPASS"),ROWS($E$5:E737)),"")</f>
        <v/>
      </c>
      <c r="F737" s="5" t="n"/>
    </row>
    <row r="738">
      <c r="A738" s="10">
        <f>IF($E738="","",INDEX('Input Transaksi'!$A:$A,$E738))</f>
        <v/>
      </c>
      <c r="B738" s="5">
        <f>IF($E738="","",INDEX('Input Transaksi'!$D:$D,$E738))</f>
        <v/>
      </c>
      <c r="C738">
        <f>IF($E738="","",INDEX('Input Transaksi'!$E:$E,$E738))</f>
        <v/>
      </c>
      <c r="D738" s="5">
        <f>IF($E738="","",INDEX('Input Transaksi'!$F:$F,$E738))</f>
        <v/>
      </c>
      <c r="E738">
        <f>IFERROR(AGGREGATE(15,6,ROW('Input Transaksi'!$B$5:$B$5000)/('Input Transaksi'!$B$5:$B$5000="JCL BYPASS"),ROWS($E$5:E738)),"")</f>
        <v/>
      </c>
      <c r="F738" s="5" t="n"/>
    </row>
    <row r="739">
      <c r="A739" s="10">
        <f>IF($E739="","",INDEX('Input Transaksi'!$A:$A,$E739))</f>
        <v/>
      </c>
      <c r="B739" s="5">
        <f>IF($E739="","",INDEX('Input Transaksi'!$D:$D,$E739))</f>
        <v/>
      </c>
      <c r="C739">
        <f>IF($E739="","",INDEX('Input Transaksi'!$E:$E,$E739))</f>
        <v/>
      </c>
      <c r="D739" s="5">
        <f>IF($E739="","",INDEX('Input Transaksi'!$F:$F,$E739))</f>
        <v/>
      </c>
      <c r="E739">
        <f>IFERROR(AGGREGATE(15,6,ROW('Input Transaksi'!$B$5:$B$5000)/('Input Transaksi'!$B$5:$B$5000="JCL BYPASS"),ROWS($E$5:E739)),"")</f>
        <v/>
      </c>
      <c r="F739" s="5" t="n"/>
    </row>
    <row r="740">
      <c r="A740" s="10">
        <f>IF($E740="","",INDEX('Input Transaksi'!$A:$A,$E740))</f>
        <v/>
      </c>
      <c r="B740" s="5">
        <f>IF($E740="","",INDEX('Input Transaksi'!$D:$D,$E740))</f>
        <v/>
      </c>
      <c r="C740">
        <f>IF($E740="","",INDEX('Input Transaksi'!$E:$E,$E740))</f>
        <v/>
      </c>
      <c r="D740" s="5">
        <f>IF($E740="","",INDEX('Input Transaksi'!$F:$F,$E740))</f>
        <v/>
      </c>
      <c r="E740">
        <f>IFERROR(AGGREGATE(15,6,ROW('Input Transaksi'!$B$5:$B$5000)/('Input Transaksi'!$B$5:$B$5000="JCL BYPASS"),ROWS($E$5:E740)),"")</f>
        <v/>
      </c>
      <c r="F740" s="5" t="n"/>
    </row>
    <row r="741">
      <c r="A741" s="10">
        <f>IF($E741="","",INDEX('Input Transaksi'!$A:$A,$E741))</f>
        <v/>
      </c>
      <c r="B741" s="5">
        <f>IF($E741="","",INDEX('Input Transaksi'!$D:$D,$E741))</f>
        <v/>
      </c>
      <c r="C741">
        <f>IF($E741="","",INDEX('Input Transaksi'!$E:$E,$E741))</f>
        <v/>
      </c>
      <c r="D741" s="5">
        <f>IF($E741="","",INDEX('Input Transaksi'!$F:$F,$E741))</f>
        <v/>
      </c>
      <c r="E741">
        <f>IFERROR(AGGREGATE(15,6,ROW('Input Transaksi'!$B$5:$B$5000)/('Input Transaksi'!$B$5:$B$5000="JCL BYPASS"),ROWS($E$5:E741)),"")</f>
        <v/>
      </c>
      <c r="F741" s="5" t="n"/>
    </row>
    <row r="742">
      <c r="A742" s="10">
        <f>IF($E742="","",INDEX('Input Transaksi'!$A:$A,$E742))</f>
        <v/>
      </c>
      <c r="B742" s="5">
        <f>IF($E742="","",INDEX('Input Transaksi'!$D:$D,$E742))</f>
        <v/>
      </c>
      <c r="C742">
        <f>IF($E742="","",INDEX('Input Transaksi'!$E:$E,$E742))</f>
        <v/>
      </c>
      <c r="D742" s="5">
        <f>IF($E742="","",INDEX('Input Transaksi'!$F:$F,$E742))</f>
        <v/>
      </c>
      <c r="E742">
        <f>IFERROR(AGGREGATE(15,6,ROW('Input Transaksi'!$B$5:$B$5000)/('Input Transaksi'!$B$5:$B$5000="JCL BYPASS"),ROWS($E$5:E742)),"")</f>
        <v/>
      </c>
      <c r="F742" s="5" t="n"/>
    </row>
    <row r="743">
      <c r="A743" s="10">
        <f>IF($E743="","",INDEX('Input Transaksi'!$A:$A,$E743))</f>
        <v/>
      </c>
      <c r="B743" s="5">
        <f>IF($E743="","",INDEX('Input Transaksi'!$D:$D,$E743))</f>
        <v/>
      </c>
      <c r="C743">
        <f>IF($E743="","",INDEX('Input Transaksi'!$E:$E,$E743))</f>
        <v/>
      </c>
      <c r="D743" s="5">
        <f>IF($E743="","",INDEX('Input Transaksi'!$F:$F,$E743))</f>
        <v/>
      </c>
      <c r="E743">
        <f>IFERROR(AGGREGATE(15,6,ROW('Input Transaksi'!$B$5:$B$5000)/('Input Transaksi'!$B$5:$B$5000="JCL BYPASS"),ROWS($E$5:E743)),"")</f>
        <v/>
      </c>
      <c r="F743" s="5" t="n"/>
    </row>
    <row r="744">
      <c r="A744" s="10">
        <f>IF($E744="","",INDEX('Input Transaksi'!$A:$A,$E744))</f>
        <v/>
      </c>
      <c r="B744" s="5">
        <f>IF($E744="","",INDEX('Input Transaksi'!$D:$D,$E744))</f>
        <v/>
      </c>
      <c r="C744">
        <f>IF($E744="","",INDEX('Input Transaksi'!$E:$E,$E744))</f>
        <v/>
      </c>
      <c r="D744" s="5">
        <f>IF($E744="","",INDEX('Input Transaksi'!$F:$F,$E744))</f>
        <v/>
      </c>
      <c r="E744">
        <f>IFERROR(AGGREGATE(15,6,ROW('Input Transaksi'!$B$5:$B$5000)/('Input Transaksi'!$B$5:$B$5000="JCL BYPASS"),ROWS($E$5:E744)),"")</f>
        <v/>
      </c>
      <c r="F744" s="5" t="n"/>
    </row>
    <row r="745">
      <c r="A745" s="10">
        <f>IF($E745="","",INDEX('Input Transaksi'!$A:$A,$E745))</f>
        <v/>
      </c>
      <c r="B745" s="5">
        <f>IF($E745="","",INDEX('Input Transaksi'!$D:$D,$E745))</f>
        <v/>
      </c>
      <c r="C745">
        <f>IF($E745="","",INDEX('Input Transaksi'!$E:$E,$E745))</f>
        <v/>
      </c>
      <c r="D745" s="5">
        <f>IF($E745="","",INDEX('Input Transaksi'!$F:$F,$E745))</f>
        <v/>
      </c>
      <c r="E745">
        <f>IFERROR(AGGREGATE(15,6,ROW('Input Transaksi'!$B$5:$B$5000)/('Input Transaksi'!$B$5:$B$5000="JCL BYPASS"),ROWS($E$5:E745)),"")</f>
        <v/>
      </c>
      <c r="F745" s="5" t="n"/>
    </row>
    <row r="746">
      <c r="A746" s="10">
        <f>IF($E746="","",INDEX('Input Transaksi'!$A:$A,$E746))</f>
        <v/>
      </c>
      <c r="B746" s="5">
        <f>IF($E746="","",INDEX('Input Transaksi'!$D:$D,$E746))</f>
        <v/>
      </c>
      <c r="C746">
        <f>IF($E746="","",INDEX('Input Transaksi'!$E:$E,$E746))</f>
        <v/>
      </c>
      <c r="D746" s="5">
        <f>IF($E746="","",INDEX('Input Transaksi'!$F:$F,$E746))</f>
        <v/>
      </c>
      <c r="E746">
        <f>IFERROR(AGGREGATE(15,6,ROW('Input Transaksi'!$B$5:$B$5000)/('Input Transaksi'!$B$5:$B$5000="JCL BYPASS"),ROWS($E$5:E746)),"")</f>
        <v/>
      </c>
      <c r="F746" s="5" t="n"/>
    </row>
    <row r="747">
      <c r="A747" s="10">
        <f>IF($E747="","",INDEX('Input Transaksi'!$A:$A,$E747))</f>
        <v/>
      </c>
      <c r="B747" s="5">
        <f>IF($E747="","",INDEX('Input Transaksi'!$D:$D,$E747))</f>
        <v/>
      </c>
      <c r="C747">
        <f>IF($E747="","",INDEX('Input Transaksi'!$E:$E,$E747))</f>
        <v/>
      </c>
      <c r="D747" s="5">
        <f>IF($E747="","",INDEX('Input Transaksi'!$F:$F,$E747))</f>
        <v/>
      </c>
      <c r="E747">
        <f>IFERROR(AGGREGATE(15,6,ROW('Input Transaksi'!$B$5:$B$5000)/('Input Transaksi'!$B$5:$B$5000="JCL BYPASS"),ROWS($E$5:E747)),"")</f>
        <v/>
      </c>
      <c r="F747" s="5" t="n"/>
    </row>
    <row r="748">
      <c r="A748" s="10">
        <f>IF($E748="","",INDEX('Input Transaksi'!$A:$A,$E748))</f>
        <v/>
      </c>
      <c r="B748" s="5">
        <f>IF($E748="","",INDEX('Input Transaksi'!$D:$D,$E748))</f>
        <v/>
      </c>
      <c r="C748">
        <f>IF($E748="","",INDEX('Input Transaksi'!$E:$E,$E748))</f>
        <v/>
      </c>
      <c r="D748" s="5">
        <f>IF($E748="","",INDEX('Input Transaksi'!$F:$F,$E748))</f>
        <v/>
      </c>
      <c r="E748">
        <f>IFERROR(AGGREGATE(15,6,ROW('Input Transaksi'!$B$5:$B$5000)/('Input Transaksi'!$B$5:$B$5000="JCL BYPASS"),ROWS($E$5:E748)),"")</f>
        <v/>
      </c>
      <c r="F748" s="5" t="n"/>
    </row>
    <row r="749">
      <c r="A749" s="10">
        <f>IF($E749="","",INDEX('Input Transaksi'!$A:$A,$E749))</f>
        <v/>
      </c>
      <c r="B749" s="5">
        <f>IF($E749="","",INDEX('Input Transaksi'!$D:$D,$E749))</f>
        <v/>
      </c>
      <c r="C749">
        <f>IF($E749="","",INDEX('Input Transaksi'!$E:$E,$E749))</f>
        <v/>
      </c>
      <c r="D749" s="5">
        <f>IF($E749="","",INDEX('Input Transaksi'!$F:$F,$E749))</f>
        <v/>
      </c>
      <c r="E749">
        <f>IFERROR(AGGREGATE(15,6,ROW('Input Transaksi'!$B$5:$B$5000)/('Input Transaksi'!$B$5:$B$5000="JCL BYPASS"),ROWS($E$5:E749)),"")</f>
        <v/>
      </c>
      <c r="F749" s="5" t="n"/>
    </row>
    <row r="750">
      <c r="A750" s="10">
        <f>IF($E750="","",INDEX('Input Transaksi'!$A:$A,$E750))</f>
        <v/>
      </c>
      <c r="B750" s="5">
        <f>IF($E750="","",INDEX('Input Transaksi'!$D:$D,$E750))</f>
        <v/>
      </c>
      <c r="C750">
        <f>IF($E750="","",INDEX('Input Transaksi'!$E:$E,$E750))</f>
        <v/>
      </c>
      <c r="D750" s="5">
        <f>IF($E750="","",INDEX('Input Transaksi'!$F:$F,$E750))</f>
        <v/>
      </c>
      <c r="E750">
        <f>IFERROR(AGGREGATE(15,6,ROW('Input Transaksi'!$B$5:$B$5000)/('Input Transaksi'!$B$5:$B$5000="JCL BYPASS"),ROWS($E$5:E750)),"")</f>
        <v/>
      </c>
      <c r="F750" s="5" t="n"/>
    </row>
    <row r="751">
      <c r="A751" s="10">
        <f>IF($E751="","",INDEX('Input Transaksi'!$A:$A,$E751))</f>
        <v/>
      </c>
      <c r="B751" s="5">
        <f>IF($E751="","",INDEX('Input Transaksi'!$D:$D,$E751))</f>
        <v/>
      </c>
      <c r="C751">
        <f>IF($E751="","",INDEX('Input Transaksi'!$E:$E,$E751))</f>
        <v/>
      </c>
      <c r="D751" s="5">
        <f>IF($E751="","",INDEX('Input Transaksi'!$F:$F,$E751))</f>
        <v/>
      </c>
      <c r="E751">
        <f>IFERROR(AGGREGATE(15,6,ROW('Input Transaksi'!$B$5:$B$5000)/('Input Transaksi'!$B$5:$B$5000="JCL BYPASS"),ROWS($E$5:E751)),"")</f>
        <v/>
      </c>
      <c r="F751" s="5" t="n"/>
    </row>
    <row r="752">
      <c r="A752" s="10">
        <f>IF($E752="","",INDEX('Input Transaksi'!$A:$A,$E752))</f>
        <v/>
      </c>
      <c r="B752" s="5">
        <f>IF($E752="","",INDEX('Input Transaksi'!$D:$D,$E752))</f>
        <v/>
      </c>
      <c r="C752">
        <f>IF($E752="","",INDEX('Input Transaksi'!$E:$E,$E752))</f>
        <v/>
      </c>
      <c r="D752" s="5">
        <f>IF($E752="","",INDEX('Input Transaksi'!$F:$F,$E752))</f>
        <v/>
      </c>
      <c r="E752">
        <f>IFERROR(AGGREGATE(15,6,ROW('Input Transaksi'!$B$5:$B$5000)/('Input Transaksi'!$B$5:$B$5000="JCL BYPASS"),ROWS($E$5:E752)),"")</f>
        <v/>
      </c>
      <c r="F752" s="5" t="n"/>
    </row>
    <row r="753">
      <c r="A753" s="10">
        <f>IF($E753="","",INDEX('Input Transaksi'!$A:$A,$E753))</f>
        <v/>
      </c>
      <c r="B753" s="5">
        <f>IF($E753="","",INDEX('Input Transaksi'!$D:$D,$E753))</f>
        <v/>
      </c>
      <c r="C753">
        <f>IF($E753="","",INDEX('Input Transaksi'!$E:$E,$E753))</f>
        <v/>
      </c>
      <c r="D753" s="5">
        <f>IF($E753="","",INDEX('Input Transaksi'!$F:$F,$E753))</f>
        <v/>
      </c>
      <c r="E753">
        <f>IFERROR(AGGREGATE(15,6,ROW('Input Transaksi'!$B$5:$B$5000)/('Input Transaksi'!$B$5:$B$5000="JCL BYPASS"),ROWS($E$5:E753)),"")</f>
        <v/>
      </c>
      <c r="F753" s="5" t="n"/>
    </row>
    <row r="754">
      <c r="A754" s="10">
        <f>IF($E754="","",INDEX('Input Transaksi'!$A:$A,$E754))</f>
        <v/>
      </c>
      <c r="B754" s="5">
        <f>IF($E754="","",INDEX('Input Transaksi'!$D:$D,$E754))</f>
        <v/>
      </c>
      <c r="C754">
        <f>IF($E754="","",INDEX('Input Transaksi'!$E:$E,$E754))</f>
        <v/>
      </c>
      <c r="D754" s="5">
        <f>IF($E754="","",INDEX('Input Transaksi'!$F:$F,$E754))</f>
        <v/>
      </c>
      <c r="E754">
        <f>IFERROR(AGGREGATE(15,6,ROW('Input Transaksi'!$B$5:$B$5000)/('Input Transaksi'!$B$5:$B$5000="JCL BYPASS"),ROWS($E$5:E754)),"")</f>
        <v/>
      </c>
      <c r="F754" s="5" t="n"/>
    </row>
    <row r="755">
      <c r="A755" s="10">
        <f>IF($E755="","",INDEX('Input Transaksi'!$A:$A,$E755))</f>
        <v/>
      </c>
      <c r="B755" s="5">
        <f>IF($E755="","",INDEX('Input Transaksi'!$D:$D,$E755))</f>
        <v/>
      </c>
      <c r="C755">
        <f>IF($E755="","",INDEX('Input Transaksi'!$E:$E,$E755))</f>
        <v/>
      </c>
      <c r="D755" s="5">
        <f>IF($E755="","",INDEX('Input Transaksi'!$F:$F,$E755))</f>
        <v/>
      </c>
      <c r="E755">
        <f>IFERROR(AGGREGATE(15,6,ROW('Input Transaksi'!$B$5:$B$5000)/('Input Transaksi'!$B$5:$B$5000="JCL BYPASS"),ROWS($E$5:E755)),"")</f>
        <v/>
      </c>
      <c r="F755" s="5" t="n"/>
    </row>
    <row r="756">
      <c r="A756" s="10">
        <f>IF($E756="","",INDEX('Input Transaksi'!$A:$A,$E756))</f>
        <v/>
      </c>
      <c r="B756" s="5">
        <f>IF($E756="","",INDEX('Input Transaksi'!$D:$D,$E756))</f>
        <v/>
      </c>
      <c r="C756">
        <f>IF($E756="","",INDEX('Input Transaksi'!$E:$E,$E756))</f>
        <v/>
      </c>
      <c r="D756" s="5">
        <f>IF($E756="","",INDEX('Input Transaksi'!$F:$F,$E756))</f>
        <v/>
      </c>
      <c r="E756">
        <f>IFERROR(AGGREGATE(15,6,ROW('Input Transaksi'!$B$5:$B$5000)/('Input Transaksi'!$B$5:$B$5000="JCL BYPASS"),ROWS($E$5:E756)),"")</f>
        <v/>
      </c>
      <c r="F756" s="5" t="n"/>
    </row>
    <row r="757">
      <c r="A757" s="10">
        <f>IF($E757="","",INDEX('Input Transaksi'!$A:$A,$E757))</f>
        <v/>
      </c>
      <c r="B757" s="5">
        <f>IF($E757="","",INDEX('Input Transaksi'!$D:$D,$E757))</f>
        <v/>
      </c>
      <c r="C757">
        <f>IF($E757="","",INDEX('Input Transaksi'!$E:$E,$E757))</f>
        <v/>
      </c>
      <c r="D757" s="5">
        <f>IF($E757="","",INDEX('Input Transaksi'!$F:$F,$E757))</f>
        <v/>
      </c>
      <c r="E757">
        <f>IFERROR(AGGREGATE(15,6,ROW('Input Transaksi'!$B$5:$B$5000)/('Input Transaksi'!$B$5:$B$5000="JCL BYPASS"),ROWS($E$5:E757)),"")</f>
        <v/>
      </c>
      <c r="F757" s="5" t="n"/>
    </row>
    <row r="758">
      <c r="A758" s="10">
        <f>IF($E758="","",INDEX('Input Transaksi'!$A:$A,$E758))</f>
        <v/>
      </c>
      <c r="B758" s="5">
        <f>IF($E758="","",INDEX('Input Transaksi'!$D:$D,$E758))</f>
        <v/>
      </c>
      <c r="C758">
        <f>IF($E758="","",INDEX('Input Transaksi'!$E:$E,$E758))</f>
        <v/>
      </c>
      <c r="D758" s="5">
        <f>IF($E758="","",INDEX('Input Transaksi'!$F:$F,$E758))</f>
        <v/>
      </c>
      <c r="E758">
        <f>IFERROR(AGGREGATE(15,6,ROW('Input Transaksi'!$B$5:$B$5000)/('Input Transaksi'!$B$5:$B$5000="JCL BYPASS"),ROWS($E$5:E758)),"")</f>
        <v/>
      </c>
      <c r="F758" s="5" t="n"/>
    </row>
    <row r="759">
      <c r="A759" s="10">
        <f>IF($E759="","",INDEX('Input Transaksi'!$A:$A,$E759))</f>
        <v/>
      </c>
      <c r="B759" s="5">
        <f>IF($E759="","",INDEX('Input Transaksi'!$D:$D,$E759))</f>
        <v/>
      </c>
      <c r="C759">
        <f>IF($E759="","",INDEX('Input Transaksi'!$E:$E,$E759))</f>
        <v/>
      </c>
      <c r="D759" s="5">
        <f>IF($E759="","",INDEX('Input Transaksi'!$F:$F,$E759))</f>
        <v/>
      </c>
      <c r="E759">
        <f>IFERROR(AGGREGATE(15,6,ROW('Input Transaksi'!$B$5:$B$5000)/('Input Transaksi'!$B$5:$B$5000="JCL BYPASS"),ROWS($E$5:E759)),"")</f>
        <v/>
      </c>
      <c r="F759" s="5" t="n"/>
    </row>
    <row r="760">
      <c r="A760" s="10">
        <f>IF($E760="","",INDEX('Input Transaksi'!$A:$A,$E760))</f>
        <v/>
      </c>
      <c r="B760" s="5">
        <f>IF($E760="","",INDEX('Input Transaksi'!$D:$D,$E760))</f>
        <v/>
      </c>
      <c r="C760">
        <f>IF($E760="","",INDEX('Input Transaksi'!$E:$E,$E760))</f>
        <v/>
      </c>
      <c r="D760" s="5">
        <f>IF($E760="","",INDEX('Input Transaksi'!$F:$F,$E760))</f>
        <v/>
      </c>
      <c r="E760">
        <f>IFERROR(AGGREGATE(15,6,ROW('Input Transaksi'!$B$5:$B$5000)/('Input Transaksi'!$B$5:$B$5000="JCL BYPASS"),ROWS($E$5:E760)),"")</f>
        <v/>
      </c>
      <c r="F760" s="5" t="n"/>
    </row>
    <row r="761">
      <c r="A761" s="10">
        <f>IF($E761="","",INDEX('Input Transaksi'!$A:$A,$E761))</f>
        <v/>
      </c>
      <c r="B761" s="5">
        <f>IF($E761="","",INDEX('Input Transaksi'!$D:$D,$E761))</f>
        <v/>
      </c>
      <c r="C761">
        <f>IF($E761="","",INDEX('Input Transaksi'!$E:$E,$E761))</f>
        <v/>
      </c>
      <c r="D761" s="5">
        <f>IF($E761="","",INDEX('Input Transaksi'!$F:$F,$E761))</f>
        <v/>
      </c>
      <c r="E761">
        <f>IFERROR(AGGREGATE(15,6,ROW('Input Transaksi'!$B$5:$B$5000)/('Input Transaksi'!$B$5:$B$5000="JCL BYPASS"),ROWS($E$5:E761)),"")</f>
        <v/>
      </c>
      <c r="F761" s="5" t="n"/>
    </row>
    <row r="762">
      <c r="A762" s="10">
        <f>IF($E762="","",INDEX('Input Transaksi'!$A:$A,$E762))</f>
        <v/>
      </c>
      <c r="B762" s="5">
        <f>IF($E762="","",INDEX('Input Transaksi'!$D:$D,$E762))</f>
        <v/>
      </c>
      <c r="C762">
        <f>IF($E762="","",INDEX('Input Transaksi'!$E:$E,$E762))</f>
        <v/>
      </c>
      <c r="D762" s="5">
        <f>IF($E762="","",INDEX('Input Transaksi'!$F:$F,$E762))</f>
        <v/>
      </c>
      <c r="E762">
        <f>IFERROR(AGGREGATE(15,6,ROW('Input Transaksi'!$B$5:$B$5000)/('Input Transaksi'!$B$5:$B$5000="JCL BYPASS"),ROWS($E$5:E762)),"")</f>
        <v/>
      </c>
      <c r="F762" s="5" t="n"/>
    </row>
    <row r="763">
      <c r="A763" s="10">
        <f>IF($E763="","",INDEX('Input Transaksi'!$A:$A,$E763))</f>
        <v/>
      </c>
      <c r="B763" s="5">
        <f>IF($E763="","",INDEX('Input Transaksi'!$D:$D,$E763))</f>
        <v/>
      </c>
      <c r="C763">
        <f>IF($E763="","",INDEX('Input Transaksi'!$E:$E,$E763))</f>
        <v/>
      </c>
      <c r="D763" s="5">
        <f>IF($E763="","",INDEX('Input Transaksi'!$F:$F,$E763))</f>
        <v/>
      </c>
      <c r="E763">
        <f>IFERROR(AGGREGATE(15,6,ROW('Input Transaksi'!$B$5:$B$5000)/('Input Transaksi'!$B$5:$B$5000="JCL BYPASS"),ROWS($E$5:E763)),"")</f>
        <v/>
      </c>
      <c r="F763" s="5" t="n"/>
    </row>
    <row r="764">
      <c r="A764" s="10">
        <f>IF($E764="","",INDEX('Input Transaksi'!$A:$A,$E764))</f>
        <v/>
      </c>
      <c r="B764" s="5">
        <f>IF($E764="","",INDEX('Input Transaksi'!$D:$D,$E764))</f>
        <v/>
      </c>
      <c r="C764">
        <f>IF($E764="","",INDEX('Input Transaksi'!$E:$E,$E764))</f>
        <v/>
      </c>
      <c r="D764" s="5">
        <f>IF($E764="","",INDEX('Input Transaksi'!$F:$F,$E764))</f>
        <v/>
      </c>
      <c r="E764">
        <f>IFERROR(AGGREGATE(15,6,ROW('Input Transaksi'!$B$5:$B$5000)/('Input Transaksi'!$B$5:$B$5000="JCL BYPASS"),ROWS($E$5:E764)),"")</f>
        <v/>
      </c>
      <c r="F764" s="5" t="n"/>
    </row>
    <row r="765">
      <c r="A765" s="10">
        <f>IF($E765="","",INDEX('Input Transaksi'!$A:$A,$E765))</f>
        <v/>
      </c>
      <c r="B765" s="5">
        <f>IF($E765="","",INDEX('Input Transaksi'!$D:$D,$E765))</f>
        <v/>
      </c>
      <c r="C765">
        <f>IF($E765="","",INDEX('Input Transaksi'!$E:$E,$E765))</f>
        <v/>
      </c>
      <c r="D765" s="5">
        <f>IF($E765="","",INDEX('Input Transaksi'!$F:$F,$E765))</f>
        <v/>
      </c>
      <c r="E765">
        <f>IFERROR(AGGREGATE(15,6,ROW('Input Transaksi'!$B$5:$B$5000)/('Input Transaksi'!$B$5:$B$5000="JCL BYPASS"),ROWS($E$5:E765)),"")</f>
        <v/>
      </c>
      <c r="F765" s="5" t="n"/>
    </row>
    <row r="766">
      <c r="A766" s="10">
        <f>IF($E766="","",INDEX('Input Transaksi'!$A:$A,$E766))</f>
        <v/>
      </c>
      <c r="B766" s="5">
        <f>IF($E766="","",INDEX('Input Transaksi'!$D:$D,$E766))</f>
        <v/>
      </c>
      <c r="C766">
        <f>IF($E766="","",INDEX('Input Transaksi'!$E:$E,$E766))</f>
        <v/>
      </c>
      <c r="D766" s="5">
        <f>IF($E766="","",INDEX('Input Transaksi'!$F:$F,$E766))</f>
        <v/>
      </c>
      <c r="E766">
        <f>IFERROR(AGGREGATE(15,6,ROW('Input Transaksi'!$B$5:$B$5000)/('Input Transaksi'!$B$5:$B$5000="JCL BYPASS"),ROWS($E$5:E766)),"")</f>
        <v/>
      </c>
      <c r="F766" s="5" t="n"/>
    </row>
    <row r="767">
      <c r="A767" s="10">
        <f>IF($E767="","",INDEX('Input Transaksi'!$A:$A,$E767))</f>
        <v/>
      </c>
      <c r="B767" s="5">
        <f>IF($E767="","",INDEX('Input Transaksi'!$D:$D,$E767))</f>
        <v/>
      </c>
      <c r="C767">
        <f>IF($E767="","",INDEX('Input Transaksi'!$E:$E,$E767))</f>
        <v/>
      </c>
      <c r="D767" s="5">
        <f>IF($E767="","",INDEX('Input Transaksi'!$F:$F,$E767))</f>
        <v/>
      </c>
      <c r="E767">
        <f>IFERROR(AGGREGATE(15,6,ROW('Input Transaksi'!$B$5:$B$5000)/('Input Transaksi'!$B$5:$B$5000="JCL BYPASS"),ROWS($E$5:E767)),"")</f>
        <v/>
      </c>
      <c r="F767" s="5" t="n"/>
    </row>
    <row r="768">
      <c r="A768" s="10">
        <f>IF($E768="","",INDEX('Input Transaksi'!$A:$A,$E768))</f>
        <v/>
      </c>
      <c r="B768" s="5">
        <f>IF($E768="","",INDEX('Input Transaksi'!$D:$D,$E768))</f>
        <v/>
      </c>
      <c r="C768">
        <f>IF($E768="","",INDEX('Input Transaksi'!$E:$E,$E768))</f>
        <v/>
      </c>
      <c r="D768" s="5">
        <f>IF($E768="","",INDEX('Input Transaksi'!$F:$F,$E768))</f>
        <v/>
      </c>
      <c r="E768">
        <f>IFERROR(AGGREGATE(15,6,ROW('Input Transaksi'!$B$5:$B$5000)/('Input Transaksi'!$B$5:$B$5000="JCL BYPASS"),ROWS($E$5:E768)),"")</f>
        <v/>
      </c>
      <c r="F768" s="5" t="n"/>
    </row>
    <row r="769">
      <c r="A769" s="10">
        <f>IF($E769="","",INDEX('Input Transaksi'!$A:$A,$E769))</f>
        <v/>
      </c>
      <c r="B769" s="5">
        <f>IF($E769="","",INDEX('Input Transaksi'!$D:$D,$E769))</f>
        <v/>
      </c>
      <c r="C769">
        <f>IF($E769="","",INDEX('Input Transaksi'!$E:$E,$E769))</f>
        <v/>
      </c>
      <c r="D769" s="5">
        <f>IF($E769="","",INDEX('Input Transaksi'!$F:$F,$E769))</f>
        <v/>
      </c>
      <c r="E769">
        <f>IFERROR(AGGREGATE(15,6,ROW('Input Transaksi'!$B$5:$B$5000)/('Input Transaksi'!$B$5:$B$5000="JCL BYPASS"),ROWS($E$5:E769)),"")</f>
        <v/>
      </c>
      <c r="F769" s="5" t="n"/>
    </row>
    <row r="770">
      <c r="A770" s="10">
        <f>IF($E770="","",INDEX('Input Transaksi'!$A:$A,$E770))</f>
        <v/>
      </c>
      <c r="B770" s="5">
        <f>IF($E770="","",INDEX('Input Transaksi'!$D:$D,$E770))</f>
        <v/>
      </c>
      <c r="C770">
        <f>IF($E770="","",INDEX('Input Transaksi'!$E:$E,$E770))</f>
        <v/>
      </c>
      <c r="D770" s="5">
        <f>IF($E770="","",INDEX('Input Transaksi'!$F:$F,$E770))</f>
        <v/>
      </c>
      <c r="E770">
        <f>IFERROR(AGGREGATE(15,6,ROW('Input Transaksi'!$B$5:$B$5000)/('Input Transaksi'!$B$5:$B$5000="JCL BYPASS"),ROWS($E$5:E770)),"")</f>
        <v/>
      </c>
      <c r="F770" s="5" t="n"/>
    </row>
    <row r="771">
      <c r="A771" s="10">
        <f>IF($E771="","",INDEX('Input Transaksi'!$A:$A,$E771))</f>
        <v/>
      </c>
      <c r="B771" s="5">
        <f>IF($E771="","",INDEX('Input Transaksi'!$D:$D,$E771))</f>
        <v/>
      </c>
      <c r="C771">
        <f>IF($E771="","",INDEX('Input Transaksi'!$E:$E,$E771))</f>
        <v/>
      </c>
      <c r="D771" s="5">
        <f>IF($E771="","",INDEX('Input Transaksi'!$F:$F,$E771))</f>
        <v/>
      </c>
      <c r="E771">
        <f>IFERROR(AGGREGATE(15,6,ROW('Input Transaksi'!$B$5:$B$5000)/('Input Transaksi'!$B$5:$B$5000="JCL BYPASS"),ROWS($E$5:E771)),"")</f>
        <v/>
      </c>
      <c r="F771" s="5" t="n"/>
    </row>
    <row r="772">
      <c r="A772" s="10">
        <f>IF($E772="","",INDEX('Input Transaksi'!$A:$A,$E772))</f>
        <v/>
      </c>
      <c r="B772" s="5">
        <f>IF($E772="","",INDEX('Input Transaksi'!$D:$D,$E772))</f>
        <v/>
      </c>
      <c r="C772">
        <f>IF($E772="","",INDEX('Input Transaksi'!$E:$E,$E772))</f>
        <v/>
      </c>
      <c r="D772" s="5">
        <f>IF($E772="","",INDEX('Input Transaksi'!$F:$F,$E772))</f>
        <v/>
      </c>
      <c r="E772">
        <f>IFERROR(AGGREGATE(15,6,ROW('Input Transaksi'!$B$5:$B$5000)/('Input Transaksi'!$B$5:$B$5000="JCL BYPASS"),ROWS($E$5:E772)),"")</f>
        <v/>
      </c>
      <c r="F772" s="5" t="n"/>
    </row>
    <row r="773">
      <c r="A773" s="10">
        <f>IF($E773="","",INDEX('Input Transaksi'!$A:$A,$E773))</f>
        <v/>
      </c>
      <c r="B773" s="5">
        <f>IF($E773="","",INDEX('Input Transaksi'!$D:$D,$E773))</f>
        <v/>
      </c>
      <c r="C773">
        <f>IF($E773="","",INDEX('Input Transaksi'!$E:$E,$E773))</f>
        <v/>
      </c>
      <c r="D773" s="5">
        <f>IF($E773="","",INDEX('Input Transaksi'!$F:$F,$E773))</f>
        <v/>
      </c>
      <c r="E773">
        <f>IFERROR(AGGREGATE(15,6,ROW('Input Transaksi'!$B$5:$B$5000)/('Input Transaksi'!$B$5:$B$5000="JCL BYPASS"),ROWS($E$5:E773)),"")</f>
        <v/>
      </c>
      <c r="F773" s="5" t="n"/>
    </row>
    <row r="774">
      <c r="A774" s="10">
        <f>IF($E774="","",INDEX('Input Transaksi'!$A:$A,$E774))</f>
        <v/>
      </c>
      <c r="B774" s="5">
        <f>IF($E774="","",INDEX('Input Transaksi'!$D:$D,$E774))</f>
        <v/>
      </c>
      <c r="C774">
        <f>IF($E774="","",INDEX('Input Transaksi'!$E:$E,$E774))</f>
        <v/>
      </c>
      <c r="D774" s="5">
        <f>IF($E774="","",INDEX('Input Transaksi'!$F:$F,$E774))</f>
        <v/>
      </c>
      <c r="E774">
        <f>IFERROR(AGGREGATE(15,6,ROW('Input Transaksi'!$B$5:$B$5000)/('Input Transaksi'!$B$5:$B$5000="JCL BYPASS"),ROWS($E$5:E774)),"")</f>
        <v/>
      </c>
      <c r="F774" s="5" t="n"/>
    </row>
    <row r="775">
      <c r="A775" s="10">
        <f>IF($E775="","",INDEX('Input Transaksi'!$A:$A,$E775))</f>
        <v/>
      </c>
      <c r="B775" s="5">
        <f>IF($E775="","",INDEX('Input Transaksi'!$D:$D,$E775))</f>
        <v/>
      </c>
      <c r="C775">
        <f>IF($E775="","",INDEX('Input Transaksi'!$E:$E,$E775))</f>
        <v/>
      </c>
      <c r="D775" s="5">
        <f>IF($E775="","",INDEX('Input Transaksi'!$F:$F,$E775))</f>
        <v/>
      </c>
      <c r="E775">
        <f>IFERROR(AGGREGATE(15,6,ROW('Input Transaksi'!$B$5:$B$5000)/('Input Transaksi'!$B$5:$B$5000="JCL BYPASS"),ROWS($E$5:E775)),"")</f>
        <v/>
      </c>
      <c r="F775" s="5" t="n"/>
    </row>
    <row r="776">
      <c r="A776" s="10">
        <f>IF($E776="","",INDEX('Input Transaksi'!$A:$A,$E776))</f>
        <v/>
      </c>
      <c r="B776" s="5">
        <f>IF($E776="","",INDEX('Input Transaksi'!$D:$D,$E776))</f>
        <v/>
      </c>
      <c r="C776">
        <f>IF($E776="","",INDEX('Input Transaksi'!$E:$E,$E776))</f>
        <v/>
      </c>
      <c r="D776" s="5">
        <f>IF($E776="","",INDEX('Input Transaksi'!$F:$F,$E776))</f>
        <v/>
      </c>
      <c r="E776">
        <f>IFERROR(AGGREGATE(15,6,ROW('Input Transaksi'!$B$5:$B$5000)/('Input Transaksi'!$B$5:$B$5000="JCL BYPASS"),ROWS($E$5:E776)),"")</f>
        <v/>
      </c>
      <c r="F776" s="5" t="n"/>
    </row>
    <row r="777">
      <c r="A777" s="10">
        <f>IF($E777="","",INDEX('Input Transaksi'!$A:$A,$E777))</f>
        <v/>
      </c>
      <c r="B777" s="5">
        <f>IF($E777="","",INDEX('Input Transaksi'!$D:$D,$E777))</f>
        <v/>
      </c>
      <c r="C777">
        <f>IF($E777="","",INDEX('Input Transaksi'!$E:$E,$E777))</f>
        <v/>
      </c>
      <c r="D777" s="5">
        <f>IF($E777="","",INDEX('Input Transaksi'!$F:$F,$E777))</f>
        <v/>
      </c>
      <c r="E777">
        <f>IFERROR(AGGREGATE(15,6,ROW('Input Transaksi'!$B$5:$B$5000)/('Input Transaksi'!$B$5:$B$5000="JCL BYPASS"),ROWS($E$5:E777)),"")</f>
        <v/>
      </c>
      <c r="F777" s="5" t="n"/>
    </row>
    <row r="778">
      <c r="A778" s="10">
        <f>IF($E778="","",INDEX('Input Transaksi'!$A:$A,$E778))</f>
        <v/>
      </c>
      <c r="B778" s="5">
        <f>IF($E778="","",INDEX('Input Transaksi'!$D:$D,$E778))</f>
        <v/>
      </c>
      <c r="C778">
        <f>IF($E778="","",INDEX('Input Transaksi'!$E:$E,$E778))</f>
        <v/>
      </c>
      <c r="D778" s="5">
        <f>IF($E778="","",INDEX('Input Transaksi'!$F:$F,$E778))</f>
        <v/>
      </c>
      <c r="E778">
        <f>IFERROR(AGGREGATE(15,6,ROW('Input Transaksi'!$B$5:$B$5000)/('Input Transaksi'!$B$5:$B$5000="JCL BYPASS"),ROWS($E$5:E778)),"")</f>
        <v/>
      </c>
      <c r="F778" s="5" t="n"/>
    </row>
    <row r="779">
      <c r="A779" s="10">
        <f>IF($E779="","",INDEX('Input Transaksi'!$A:$A,$E779))</f>
        <v/>
      </c>
      <c r="B779" s="5">
        <f>IF($E779="","",INDEX('Input Transaksi'!$D:$D,$E779))</f>
        <v/>
      </c>
      <c r="C779">
        <f>IF($E779="","",INDEX('Input Transaksi'!$E:$E,$E779))</f>
        <v/>
      </c>
      <c r="D779" s="5">
        <f>IF($E779="","",INDEX('Input Transaksi'!$F:$F,$E779))</f>
        <v/>
      </c>
      <c r="E779">
        <f>IFERROR(AGGREGATE(15,6,ROW('Input Transaksi'!$B$5:$B$5000)/('Input Transaksi'!$B$5:$B$5000="JCL BYPASS"),ROWS($E$5:E779)),"")</f>
        <v/>
      </c>
      <c r="F779" s="5" t="n"/>
    </row>
    <row r="780">
      <c r="A780" s="10">
        <f>IF($E780="","",INDEX('Input Transaksi'!$A:$A,$E780))</f>
        <v/>
      </c>
      <c r="B780" s="5">
        <f>IF($E780="","",INDEX('Input Transaksi'!$D:$D,$E780))</f>
        <v/>
      </c>
      <c r="C780">
        <f>IF($E780="","",INDEX('Input Transaksi'!$E:$E,$E780))</f>
        <v/>
      </c>
      <c r="D780" s="5">
        <f>IF($E780="","",INDEX('Input Transaksi'!$F:$F,$E780))</f>
        <v/>
      </c>
      <c r="E780">
        <f>IFERROR(AGGREGATE(15,6,ROW('Input Transaksi'!$B$5:$B$5000)/('Input Transaksi'!$B$5:$B$5000="JCL BYPASS"),ROWS($E$5:E780)),"")</f>
        <v/>
      </c>
      <c r="F780" s="5" t="n"/>
    </row>
    <row r="781">
      <c r="A781" s="10">
        <f>IF($E781="","",INDEX('Input Transaksi'!$A:$A,$E781))</f>
        <v/>
      </c>
      <c r="B781" s="5">
        <f>IF($E781="","",INDEX('Input Transaksi'!$D:$D,$E781))</f>
        <v/>
      </c>
      <c r="C781">
        <f>IF($E781="","",INDEX('Input Transaksi'!$E:$E,$E781))</f>
        <v/>
      </c>
      <c r="D781" s="5">
        <f>IF($E781="","",INDEX('Input Transaksi'!$F:$F,$E781))</f>
        <v/>
      </c>
      <c r="E781">
        <f>IFERROR(AGGREGATE(15,6,ROW('Input Transaksi'!$B$5:$B$5000)/('Input Transaksi'!$B$5:$B$5000="JCL BYPASS"),ROWS($E$5:E781)),"")</f>
        <v/>
      </c>
      <c r="F781" s="5" t="n"/>
    </row>
    <row r="782">
      <c r="A782" s="10">
        <f>IF($E782="","",INDEX('Input Transaksi'!$A:$A,$E782))</f>
        <v/>
      </c>
      <c r="B782" s="5">
        <f>IF($E782="","",INDEX('Input Transaksi'!$D:$D,$E782))</f>
        <v/>
      </c>
      <c r="C782">
        <f>IF($E782="","",INDEX('Input Transaksi'!$E:$E,$E782))</f>
        <v/>
      </c>
      <c r="D782" s="5">
        <f>IF($E782="","",INDEX('Input Transaksi'!$F:$F,$E782))</f>
        <v/>
      </c>
      <c r="E782">
        <f>IFERROR(AGGREGATE(15,6,ROW('Input Transaksi'!$B$5:$B$5000)/('Input Transaksi'!$B$5:$B$5000="JCL BYPASS"),ROWS($E$5:E782)),"")</f>
        <v/>
      </c>
      <c r="F782" s="5" t="n"/>
    </row>
    <row r="783">
      <c r="A783" s="10">
        <f>IF($E783="","",INDEX('Input Transaksi'!$A:$A,$E783))</f>
        <v/>
      </c>
      <c r="B783" s="5">
        <f>IF($E783="","",INDEX('Input Transaksi'!$D:$D,$E783))</f>
        <v/>
      </c>
      <c r="C783">
        <f>IF($E783="","",INDEX('Input Transaksi'!$E:$E,$E783))</f>
        <v/>
      </c>
      <c r="D783" s="5">
        <f>IF($E783="","",INDEX('Input Transaksi'!$F:$F,$E783))</f>
        <v/>
      </c>
      <c r="E783">
        <f>IFERROR(AGGREGATE(15,6,ROW('Input Transaksi'!$B$5:$B$5000)/('Input Transaksi'!$B$5:$B$5000="JCL BYPASS"),ROWS($E$5:E783)),"")</f>
        <v/>
      </c>
      <c r="F783" s="5" t="n"/>
    </row>
    <row r="784">
      <c r="A784" s="10">
        <f>IF($E784="","",INDEX('Input Transaksi'!$A:$A,$E784))</f>
        <v/>
      </c>
      <c r="B784" s="5">
        <f>IF($E784="","",INDEX('Input Transaksi'!$D:$D,$E784))</f>
        <v/>
      </c>
      <c r="C784">
        <f>IF($E784="","",INDEX('Input Transaksi'!$E:$E,$E784))</f>
        <v/>
      </c>
      <c r="D784" s="5">
        <f>IF($E784="","",INDEX('Input Transaksi'!$F:$F,$E784))</f>
        <v/>
      </c>
      <c r="E784">
        <f>IFERROR(AGGREGATE(15,6,ROW('Input Transaksi'!$B$5:$B$5000)/('Input Transaksi'!$B$5:$B$5000="JCL BYPASS"),ROWS($E$5:E784)),"")</f>
        <v/>
      </c>
      <c r="F784" s="5" t="n"/>
    </row>
    <row r="785">
      <c r="A785" s="10">
        <f>IF($E785="","",INDEX('Input Transaksi'!$A:$A,$E785))</f>
        <v/>
      </c>
      <c r="B785" s="5">
        <f>IF($E785="","",INDEX('Input Transaksi'!$D:$D,$E785))</f>
        <v/>
      </c>
      <c r="C785">
        <f>IF($E785="","",INDEX('Input Transaksi'!$E:$E,$E785))</f>
        <v/>
      </c>
      <c r="D785" s="5">
        <f>IF($E785="","",INDEX('Input Transaksi'!$F:$F,$E785))</f>
        <v/>
      </c>
      <c r="E785">
        <f>IFERROR(AGGREGATE(15,6,ROW('Input Transaksi'!$B$5:$B$5000)/('Input Transaksi'!$B$5:$B$5000="JCL BYPASS"),ROWS($E$5:E785)),"")</f>
        <v/>
      </c>
      <c r="F785" s="5" t="n"/>
    </row>
    <row r="786">
      <c r="A786" s="10">
        <f>IF($E786="","",INDEX('Input Transaksi'!$A:$A,$E786))</f>
        <v/>
      </c>
      <c r="B786" s="5">
        <f>IF($E786="","",INDEX('Input Transaksi'!$D:$D,$E786))</f>
        <v/>
      </c>
      <c r="C786">
        <f>IF($E786="","",INDEX('Input Transaksi'!$E:$E,$E786))</f>
        <v/>
      </c>
      <c r="D786" s="5">
        <f>IF($E786="","",INDEX('Input Transaksi'!$F:$F,$E786))</f>
        <v/>
      </c>
      <c r="E786">
        <f>IFERROR(AGGREGATE(15,6,ROW('Input Transaksi'!$B$5:$B$5000)/('Input Transaksi'!$B$5:$B$5000="JCL BYPASS"),ROWS($E$5:E786)),"")</f>
        <v/>
      </c>
      <c r="F786" s="5" t="n"/>
    </row>
    <row r="787">
      <c r="A787" s="10">
        <f>IF($E787="","",INDEX('Input Transaksi'!$A:$A,$E787))</f>
        <v/>
      </c>
      <c r="B787" s="5">
        <f>IF($E787="","",INDEX('Input Transaksi'!$D:$D,$E787))</f>
        <v/>
      </c>
      <c r="C787">
        <f>IF($E787="","",INDEX('Input Transaksi'!$E:$E,$E787))</f>
        <v/>
      </c>
      <c r="D787" s="5">
        <f>IF($E787="","",INDEX('Input Transaksi'!$F:$F,$E787))</f>
        <v/>
      </c>
      <c r="E787">
        <f>IFERROR(AGGREGATE(15,6,ROW('Input Transaksi'!$B$5:$B$5000)/('Input Transaksi'!$B$5:$B$5000="JCL BYPASS"),ROWS($E$5:E787)),"")</f>
        <v/>
      </c>
      <c r="F787" s="5" t="n"/>
    </row>
    <row r="788">
      <c r="A788" s="10">
        <f>IF($E788="","",INDEX('Input Transaksi'!$A:$A,$E788))</f>
        <v/>
      </c>
      <c r="B788" s="5">
        <f>IF($E788="","",INDEX('Input Transaksi'!$D:$D,$E788))</f>
        <v/>
      </c>
      <c r="C788">
        <f>IF($E788="","",INDEX('Input Transaksi'!$E:$E,$E788))</f>
        <v/>
      </c>
      <c r="D788" s="5">
        <f>IF($E788="","",INDEX('Input Transaksi'!$F:$F,$E788))</f>
        <v/>
      </c>
      <c r="E788">
        <f>IFERROR(AGGREGATE(15,6,ROW('Input Transaksi'!$B$5:$B$5000)/('Input Transaksi'!$B$5:$B$5000="JCL BYPASS"),ROWS($E$5:E788)),"")</f>
        <v/>
      </c>
      <c r="F788" s="5" t="n"/>
    </row>
    <row r="789">
      <c r="A789" s="10">
        <f>IF($E789="","",INDEX('Input Transaksi'!$A:$A,$E789))</f>
        <v/>
      </c>
      <c r="B789" s="5">
        <f>IF($E789="","",INDEX('Input Transaksi'!$D:$D,$E789))</f>
        <v/>
      </c>
      <c r="C789">
        <f>IF($E789="","",INDEX('Input Transaksi'!$E:$E,$E789))</f>
        <v/>
      </c>
      <c r="D789" s="5">
        <f>IF($E789="","",INDEX('Input Transaksi'!$F:$F,$E789))</f>
        <v/>
      </c>
      <c r="E789">
        <f>IFERROR(AGGREGATE(15,6,ROW('Input Transaksi'!$B$5:$B$5000)/('Input Transaksi'!$B$5:$B$5000="JCL BYPASS"),ROWS($E$5:E789)),"")</f>
        <v/>
      </c>
      <c r="F789" s="5" t="n"/>
    </row>
    <row r="790">
      <c r="A790" s="10">
        <f>IF($E790="","",INDEX('Input Transaksi'!$A:$A,$E790))</f>
        <v/>
      </c>
      <c r="B790" s="5">
        <f>IF($E790="","",INDEX('Input Transaksi'!$D:$D,$E790))</f>
        <v/>
      </c>
      <c r="C790">
        <f>IF($E790="","",INDEX('Input Transaksi'!$E:$E,$E790))</f>
        <v/>
      </c>
      <c r="D790" s="5">
        <f>IF($E790="","",INDEX('Input Transaksi'!$F:$F,$E790))</f>
        <v/>
      </c>
      <c r="E790">
        <f>IFERROR(AGGREGATE(15,6,ROW('Input Transaksi'!$B$5:$B$5000)/('Input Transaksi'!$B$5:$B$5000="JCL BYPASS"),ROWS($E$5:E790)),"")</f>
        <v/>
      </c>
      <c r="F790" s="5" t="n"/>
    </row>
    <row r="791">
      <c r="A791" s="10">
        <f>IF($E791="","",INDEX('Input Transaksi'!$A:$A,$E791))</f>
        <v/>
      </c>
      <c r="B791" s="5">
        <f>IF($E791="","",INDEX('Input Transaksi'!$D:$D,$E791))</f>
        <v/>
      </c>
      <c r="C791">
        <f>IF($E791="","",INDEX('Input Transaksi'!$E:$E,$E791))</f>
        <v/>
      </c>
      <c r="D791" s="5">
        <f>IF($E791="","",INDEX('Input Transaksi'!$F:$F,$E791))</f>
        <v/>
      </c>
      <c r="E791">
        <f>IFERROR(AGGREGATE(15,6,ROW('Input Transaksi'!$B$5:$B$5000)/('Input Transaksi'!$B$5:$B$5000="JCL BYPASS"),ROWS($E$5:E791)),"")</f>
        <v/>
      </c>
      <c r="F791" s="5" t="n"/>
    </row>
    <row r="792">
      <c r="A792" s="10">
        <f>IF($E792="","",INDEX('Input Transaksi'!$A:$A,$E792))</f>
        <v/>
      </c>
      <c r="B792" s="5">
        <f>IF($E792="","",INDEX('Input Transaksi'!$D:$D,$E792))</f>
        <v/>
      </c>
      <c r="C792">
        <f>IF($E792="","",INDEX('Input Transaksi'!$E:$E,$E792))</f>
        <v/>
      </c>
      <c r="D792" s="5">
        <f>IF($E792="","",INDEX('Input Transaksi'!$F:$F,$E792))</f>
        <v/>
      </c>
      <c r="E792">
        <f>IFERROR(AGGREGATE(15,6,ROW('Input Transaksi'!$B$5:$B$5000)/('Input Transaksi'!$B$5:$B$5000="JCL BYPASS"),ROWS($E$5:E792)),"")</f>
        <v/>
      </c>
      <c r="F792" s="5" t="n"/>
    </row>
    <row r="793">
      <c r="A793" s="10">
        <f>IF($E793="","",INDEX('Input Transaksi'!$A:$A,$E793))</f>
        <v/>
      </c>
      <c r="B793" s="5">
        <f>IF($E793="","",INDEX('Input Transaksi'!$D:$D,$E793))</f>
        <v/>
      </c>
      <c r="C793">
        <f>IF($E793="","",INDEX('Input Transaksi'!$E:$E,$E793))</f>
        <v/>
      </c>
      <c r="D793" s="5">
        <f>IF($E793="","",INDEX('Input Transaksi'!$F:$F,$E793))</f>
        <v/>
      </c>
      <c r="E793">
        <f>IFERROR(AGGREGATE(15,6,ROW('Input Transaksi'!$B$5:$B$5000)/('Input Transaksi'!$B$5:$B$5000="JCL BYPASS"),ROWS($E$5:E793)),"")</f>
        <v/>
      </c>
      <c r="F793" s="5" t="n"/>
    </row>
    <row r="794">
      <c r="A794" s="10">
        <f>IF($E794="","",INDEX('Input Transaksi'!$A:$A,$E794))</f>
        <v/>
      </c>
      <c r="B794" s="5">
        <f>IF($E794="","",INDEX('Input Transaksi'!$D:$D,$E794))</f>
        <v/>
      </c>
      <c r="C794">
        <f>IF($E794="","",INDEX('Input Transaksi'!$E:$E,$E794))</f>
        <v/>
      </c>
      <c r="D794" s="5">
        <f>IF($E794="","",INDEX('Input Transaksi'!$F:$F,$E794))</f>
        <v/>
      </c>
      <c r="E794">
        <f>IFERROR(AGGREGATE(15,6,ROW('Input Transaksi'!$B$5:$B$5000)/('Input Transaksi'!$B$5:$B$5000="JCL BYPASS"),ROWS($E$5:E794)),"")</f>
        <v/>
      </c>
      <c r="F794" s="5" t="n"/>
    </row>
    <row r="795">
      <c r="A795" s="10">
        <f>IF($E795="","",INDEX('Input Transaksi'!$A:$A,$E795))</f>
        <v/>
      </c>
      <c r="B795" s="5">
        <f>IF($E795="","",INDEX('Input Transaksi'!$D:$D,$E795))</f>
        <v/>
      </c>
      <c r="C795">
        <f>IF($E795="","",INDEX('Input Transaksi'!$E:$E,$E795))</f>
        <v/>
      </c>
      <c r="D795" s="5">
        <f>IF($E795="","",INDEX('Input Transaksi'!$F:$F,$E795))</f>
        <v/>
      </c>
      <c r="E795">
        <f>IFERROR(AGGREGATE(15,6,ROW('Input Transaksi'!$B$5:$B$5000)/('Input Transaksi'!$B$5:$B$5000="JCL BYPASS"),ROWS($E$5:E795)),"")</f>
        <v/>
      </c>
      <c r="F795" s="5" t="n"/>
    </row>
    <row r="796">
      <c r="A796" s="10">
        <f>IF($E796="","",INDEX('Input Transaksi'!$A:$A,$E796))</f>
        <v/>
      </c>
      <c r="B796" s="5">
        <f>IF($E796="","",INDEX('Input Transaksi'!$D:$D,$E796))</f>
        <v/>
      </c>
      <c r="C796">
        <f>IF($E796="","",INDEX('Input Transaksi'!$E:$E,$E796))</f>
        <v/>
      </c>
      <c r="D796" s="5">
        <f>IF($E796="","",INDEX('Input Transaksi'!$F:$F,$E796))</f>
        <v/>
      </c>
      <c r="E796">
        <f>IFERROR(AGGREGATE(15,6,ROW('Input Transaksi'!$B$5:$B$5000)/('Input Transaksi'!$B$5:$B$5000="JCL BYPASS"),ROWS($E$5:E796)),"")</f>
        <v/>
      </c>
      <c r="F796" s="5" t="n"/>
    </row>
    <row r="797">
      <c r="A797" s="10">
        <f>IF($E797="","",INDEX('Input Transaksi'!$A:$A,$E797))</f>
        <v/>
      </c>
      <c r="B797" s="5">
        <f>IF($E797="","",INDEX('Input Transaksi'!$D:$D,$E797))</f>
        <v/>
      </c>
      <c r="C797">
        <f>IF($E797="","",INDEX('Input Transaksi'!$E:$E,$E797))</f>
        <v/>
      </c>
      <c r="D797" s="5">
        <f>IF($E797="","",INDEX('Input Transaksi'!$F:$F,$E797))</f>
        <v/>
      </c>
      <c r="E797">
        <f>IFERROR(AGGREGATE(15,6,ROW('Input Transaksi'!$B$5:$B$5000)/('Input Transaksi'!$B$5:$B$5000="JCL BYPASS"),ROWS($E$5:E797)),"")</f>
        <v/>
      </c>
      <c r="F797" s="5" t="n"/>
    </row>
    <row r="798">
      <c r="A798" s="10">
        <f>IF($E798="","",INDEX('Input Transaksi'!$A:$A,$E798))</f>
        <v/>
      </c>
      <c r="B798" s="5">
        <f>IF($E798="","",INDEX('Input Transaksi'!$D:$D,$E798))</f>
        <v/>
      </c>
      <c r="C798">
        <f>IF($E798="","",INDEX('Input Transaksi'!$E:$E,$E798))</f>
        <v/>
      </c>
      <c r="D798" s="5">
        <f>IF($E798="","",INDEX('Input Transaksi'!$F:$F,$E798))</f>
        <v/>
      </c>
      <c r="E798">
        <f>IFERROR(AGGREGATE(15,6,ROW('Input Transaksi'!$B$5:$B$5000)/('Input Transaksi'!$B$5:$B$5000="JCL BYPASS"),ROWS($E$5:E798)),"")</f>
        <v/>
      </c>
      <c r="F798" s="5" t="n"/>
    </row>
    <row r="799">
      <c r="A799" s="10">
        <f>IF($E799="","",INDEX('Input Transaksi'!$A:$A,$E799))</f>
        <v/>
      </c>
      <c r="B799" s="5">
        <f>IF($E799="","",INDEX('Input Transaksi'!$D:$D,$E799))</f>
        <v/>
      </c>
      <c r="C799">
        <f>IF($E799="","",INDEX('Input Transaksi'!$E:$E,$E799))</f>
        <v/>
      </c>
      <c r="D799" s="5">
        <f>IF($E799="","",INDEX('Input Transaksi'!$F:$F,$E799))</f>
        <v/>
      </c>
      <c r="E799">
        <f>IFERROR(AGGREGATE(15,6,ROW('Input Transaksi'!$B$5:$B$5000)/('Input Transaksi'!$B$5:$B$5000="JCL BYPASS"),ROWS($E$5:E799)),"")</f>
        <v/>
      </c>
      <c r="F799" s="5" t="n"/>
    </row>
    <row r="800">
      <c r="A800" s="10">
        <f>IF($E800="","",INDEX('Input Transaksi'!$A:$A,$E800))</f>
        <v/>
      </c>
      <c r="B800" s="5">
        <f>IF($E800="","",INDEX('Input Transaksi'!$D:$D,$E800))</f>
        <v/>
      </c>
      <c r="C800">
        <f>IF($E800="","",INDEX('Input Transaksi'!$E:$E,$E800))</f>
        <v/>
      </c>
      <c r="D800" s="5">
        <f>IF($E800="","",INDEX('Input Transaksi'!$F:$F,$E800))</f>
        <v/>
      </c>
      <c r="E800">
        <f>IFERROR(AGGREGATE(15,6,ROW('Input Transaksi'!$B$5:$B$5000)/('Input Transaksi'!$B$5:$B$5000="JCL BYPASS"),ROWS($E$5:E800)),"")</f>
        <v/>
      </c>
      <c r="F800" s="5" t="n"/>
    </row>
    <row r="801">
      <c r="A801" s="10">
        <f>IF($E801="","",INDEX('Input Transaksi'!$A:$A,$E801))</f>
        <v/>
      </c>
      <c r="B801" s="5">
        <f>IF($E801="","",INDEX('Input Transaksi'!$D:$D,$E801))</f>
        <v/>
      </c>
      <c r="C801">
        <f>IF($E801="","",INDEX('Input Transaksi'!$E:$E,$E801))</f>
        <v/>
      </c>
      <c r="D801" s="5">
        <f>IF($E801="","",INDEX('Input Transaksi'!$F:$F,$E801))</f>
        <v/>
      </c>
      <c r="E801">
        <f>IFERROR(AGGREGATE(15,6,ROW('Input Transaksi'!$B$5:$B$5000)/('Input Transaksi'!$B$5:$B$5000="JCL BYPASS"),ROWS($E$5:E801)),"")</f>
        <v/>
      </c>
      <c r="F801" s="5" t="n"/>
    </row>
    <row r="802">
      <c r="A802" s="10">
        <f>IF($E802="","",INDEX('Input Transaksi'!$A:$A,$E802))</f>
        <v/>
      </c>
      <c r="B802" s="5">
        <f>IF($E802="","",INDEX('Input Transaksi'!$D:$D,$E802))</f>
        <v/>
      </c>
      <c r="C802">
        <f>IF($E802="","",INDEX('Input Transaksi'!$E:$E,$E802))</f>
        <v/>
      </c>
      <c r="D802" s="5">
        <f>IF($E802="","",INDEX('Input Transaksi'!$F:$F,$E802))</f>
        <v/>
      </c>
      <c r="E802">
        <f>IFERROR(AGGREGATE(15,6,ROW('Input Transaksi'!$B$5:$B$5000)/('Input Transaksi'!$B$5:$B$5000="JCL BYPASS"),ROWS($E$5:E802)),"")</f>
        <v/>
      </c>
      <c r="F802" s="5" t="n"/>
    </row>
    <row r="803">
      <c r="A803" s="10">
        <f>IF($E803="","",INDEX('Input Transaksi'!$A:$A,$E803))</f>
        <v/>
      </c>
      <c r="B803" s="5">
        <f>IF($E803="","",INDEX('Input Transaksi'!$D:$D,$E803))</f>
        <v/>
      </c>
      <c r="C803">
        <f>IF($E803="","",INDEX('Input Transaksi'!$E:$E,$E803))</f>
        <v/>
      </c>
      <c r="D803" s="5">
        <f>IF($E803="","",INDEX('Input Transaksi'!$F:$F,$E803))</f>
        <v/>
      </c>
      <c r="E803">
        <f>IFERROR(AGGREGATE(15,6,ROW('Input Transaksi'!$B$5:$B$5000)/('Input Transaksi'!$B$5:$B$5000="JCL BYPASS"),ROWS($E$5:E803)),"")</f>
        <v/>
      </c>
      <c r="F803" s="5" t="n"/>
    </row>
    <row r="804">
      <c r="A804" s="10">
        <f>IF($E804="","",INDEX('Input Transaksi'!$A:$A,$E804))</f>
        <v/>
      </c>
      <c r="B804" s="5">
        <f>IF($E804="","",INDEX('Input Transaksi'!$D:$D,$E804))</f>
        <v/>
      </c>
      <c r="C804">
        <f>IF($E804="","",INDEX('Input Transaksi'!$E:$E,$E804))</f>
        <v/>
      </c>
      <c r="D804" s="5">
        <f>IF($E804="","",INDEX('Input Transaksi'!$F:$F,$E804))</f>
        <v/>
      </c>
      <c r="E804">
        <f>IFERROR(AGGREGATE(15,6,ROW('Input Transaksi'!$B$5:$B$5000)/('Input Transaksi'!$B$5:$B$5000="JCL BYPASS"),ROWS($E$5:E804)),"")</f>
        <v/>
      </c>
      <c r="F804" s="5" t="n"/>
    </row>
    <row r="805">
      <c r="A805" s="10">
        <f>IF($E805="","",INDEX('Input Transaksi'!$A:$A,$E805))</f>
        <v/>
      </c>
      <c r="B805" s="5">
        <f>IF($E805="","",INDEX('Input Transaksi'!$D:$D,$E805))</f>
        <v/>
      </c>
      <c r="C805">
        <f>IF($E805="","",INDEX('Input Transaksi'!$E:$E,$E805))</f>
        <v/>
      </c>
      <c r="D805" s="5">
        <f>IF($E805="","",INDEX('Input Transaksi'!$F:$F,$E805))</f>
        <v/>
      </c>
      <c r="E805">
        <f>IFERROR(AGGREGATE(15,6,ROW('Input Transaksi'!$B$5:$B$5000)/('Input Transaksi'!$B$5:$B$5000="JCL BYPASS"),ROWS($E$5:E805)),"")</f>
        <v/>
      </c>
      <c r="F805" s="5" t="n"/>
    </row>
    <row r="806">
      <c r="A806" s="10">
        <f>IF($E806="","",INDEX('Input Transaksi'!$A:$A,$E806))</f>
        <v/>
      </c>
      <c r="B806" s="5">
        <f>IF($E806="","",INDEX('Input Transaksi'!$D:$D,$E806))</f>
        <v/>
      </c>
      <c r="C806">
        <f>IF($E806="","",INDEX('Input Transaksi'!$E:$E,$E806))</f>
        <v/>
      </c>
      <c r="D806" s="5">
        <f>IF($E806="","",INDEX('Input Transaksi'!$F:$F,$E806))</f>
        <v/>
      </c>
      <c r="E806">
        <f>IFERROR(AGGREGATE(15,6,ROW('Input Transaksi'!$B$5:$B$5000)/('Input Transaksi'!$B$5:$B$5000="JCL BYPASS"),ROWS($E$5:E806)),"")</f>
        <v/>
      </c>
      <c r="F806" s="5" t="n"/>
    </row>
    <row r="807">
      <c r="A807" s="10">
        <f>IF($E807="","",INDEX('Input Transaksi'!$A:$A,$E807))</f>
        <v/>
      </c>
      <c r="B807" s="5">
        <f>IF($E807="","",INDEX('Input Transaksi'!$D:$D,$E807))</f>
        <v/>
      </c>
      <c r="C807">
        <f>IF($E807="","",INDEX('Input Transaksi'!$E:$E,$E807))</f>
        <v/>
      </c>
      <c r="D807" s="5">
        <f>IF($E807="","",INDEX('Input Transaksi'!$F:$F,$E807))</f>
        <v/>
      </c>
      <c r="E807">
        <f>IFERROR(AGGREGATE(15,6,ROW('Input Transaksi'!$B$5:$B$5000)/('Input Transaksi'!$B$5:$B$5000="JCL BYPASS"),ROWS($E$5:E807)),"")</f>
        <v/>
      </c>
      <c r="F807" s="5" t="n"/>
    </row>
    <row r="808">
      <c r="A808" s="10">
        <f>IF($E808="","",INDEX('Input Transaksi'!$A:$A,$E808))</f>
        <v/>
      </c>
      <c r="B808" s="5">
        <f>IF($E808="","",INDEX('Input Transaksi'!$D:$D,$E808))</f>
        <v/>
      </c>
      <c r="C808">
        <f>IF($E808="","",INDEX('Input Transaksi'!$E:$E,$E808))</f>
        <v/>
      </c>
      <c r="D808" s="5">
        <f>IF($E808="","",INDEX('Input Transaksi'!$F:$F,$E808))</f>
        <v/>
      </c>
      <c r="E808">
        <f>IFERROR(AGGREGATE(15,6,ROW('Input Transaksi'!$B$5:$B$5000)/('Input Transaksi'!$B$5:$B$5000="JCL BYPASS"),ROWS($E$5:E808)),"")</f>
        <v/>
      </c>
      <c r="F808" s="5" t="n"/>
    </row>
    <row r="809">
      <c r="A809" s="10">
        <f>IF($E809="","",INDEX('Input Transaksi'!$A:$A,$E809))</f>
        <v/>
      </c>
      <c r="B809" s="5">
        <f>IF($E809="","",INDEX('Input Transaksi'!$D:$D,$E809))</f>
        <v/>
      </c>
      <c r="C809">
        <f>IF($E809="","",INDEX('Input Transaksi'!$E:$E,$E809))</f>
        <v/>
      </c>
      <c r="D809" s="5">
        <f>IF($E809="","",INDEX('Input Transaksi'!$F:$F,$E809))</f>
        <v/>
      </c>
      <c r="E809">
        <f>IFERROR(AGGREGATE(15,6,ROW('Input Transaksi'!$B$5:$B$5000)/('Input Transaksi'!$B$5:$B$5000="JCL BYPASS"),ROWS($E$5:E809)),"")</f>
        <v/>
      </c>
      <c r="F809" s="5" t="n"/>
    </row>
    <row r="810">
      <c r="A810" s="10">
        <f>IF($E810="","",INDEX('Input Transaksi'!$A:$A,$E810))</f>
        <v/>
      </c>
      <c r="B810" s="5">
        <f>IF($E810="","",INDEX('Input Transaksi'!$D:$D,$E810))</f>
        <v/>
      </c>
      <c r="C810">
        <f>IF($E810="","",INDEX('Input Transaksi'!$E:$E,$E810))</f>
        <v/>
      </c>
      <c r="D810" s="5">
        <f>IF($E810="","",INDEX('Input Transaksi'!$F:$F,$E810))</f>
        <v/>
      </c>
      <c r="E810">
        <f>IFERROR(AGGREGATE(15,6,ROW('Input Transaksi'!$B$5:$B$5000)/('Input Transaksi'!$B$5:$B$5000="JCL BYPASS"),ROWS($E$5:E810)),"")</f>
        <v/>
      </c>
      <c r="F810" s="5" t="n"/>
    </row>
    <row r="811">
      <c r="A811" s="10">
        <f>IF($E811="","",INDEX('Input Transaksi'!$A:$A,$E811))</f>
        <v/>
      </c>
      <c r="B811" s="5">
        <f>IF($E811="","",INDEX('Input Transaksi'!$D:$D,$E811))</f>
        <v/>
      </c>
      <c r="C811">
        <f>IF($E811="","",INDEX('Input Transaksi'!$E:$E,$E811))</f>
        <v/>
      </c>
      <c r="D811" s="5">
        <f>IF($E811="","",INDEX('Input Transaksi'!$F:$F,$E811))</f>
        <v/>
      </c>
      <c r="E811">
        <f>IFERROR(AGGREGATE(15,6,ROW('Input Transaksi'!$B$5:$B$5000)/('Input Transaksi'!$B$5:$B$5000="JCL BYPASS"),ROWS($E$5:E811)),"")</f>
        <v/>
      </c>
      <c r="F811" s="5" t="n"/>
    </row>
    <row r="812">
      <c r="A812" s="10">
        <f>IF($E812="","",INDEX('Input Transaksi'!$A:$A,$E812))</f>
        <v/>
      </c>
      <c r="B812" s="5">
        <f>IF($E812="","",INDEX('Input Transaksi'!$D:$D,$E812))</f>
        <v/>
      </c>
      <c r="C812">
        <f>IF($E812="","",INDEX('Input Transaksi'!$E:$E,$E812))</f>
        <v/>
      </c>
      <c r="D812" s="5">
        <f>IF($E812="","",INDEX('Input Transaksi'!$F:$F,$E812))</f>
        <v/>
      </c>
      <c r="E812">
        <f>IFERROR(AGGREGATE(15,6,ROW('Input Transaksi'!$B$5:$B$5000)/('Input Transaksi'!$B$5:$B$5000="JCL BYPASS"),ROWS($E$5:E812)),"")</f>
        <v/>
      </c>
      <c r="F812" s="5" t="n"/>
    </row>
    <row r="813">
      <c r="A813" s="10">
        <f>IF($E813="","",INDEX('Input Transaksi'!$A:$A,$E813))</f>
        <v/>
      </c>
      <c r="B813" s="5">
        <f>IF($E813="","",INDEX('Input Transaksi'!$D:$D,$E813))</f>
        <v/>
      </c>
      <c r="C813">
        <f>IF($E813="","",INDEX('Input Transaksi'!$E:$E,$E813))</f>
        <v/>
      </c>
      <c r="D813" s="5">
        <f>IF($E813="","",INDEX('Input Transaksi'!$F:$F,$E813))</f>
        <v/>
      </c>
      <c r="E813">
        <f>IFERROR(AGGREGATE(15,6,ROW('Input Transaksi'!$B$5:$B$5000)/('Input Transaksi'!$B$5:$B$5000="JCL BYPASS"),ROWS($E$5:E813)),"")</f>
        <v/>
      </c>
      <c r="F813" s="5" t="n"/>
    </row>
    <row r="814">
      <c r="A814" s="10">
        <f>IF($E814="","",INDEX('Input Transaksi'!$A:$A,$E814))</f>
        <v/>
      </c>
      <c r="B814" s="5">
        <f>IF($E814="","",INDEX('Input Transaksi'!$D:$D,$E814))</f>
        <v/>
      </c>
      <c r="C814">
        <f>IF($E814="","",INDEX('Input Transaksi'!$E:$E,$E814))</f>
        <v/>
      </c>
      <c r="D814" s="5">
        <f>IF($E814="","",INDEX('Input Transaksi'!$F:$F,$E814))</f>
        <v/>
      </c>
      <c r="E814">
        <f>IFERROR(AGGREGATE(15,6,ROW('Input Transaksi'!$B$5:$B$5000)/('Input Transaksi'!$B$5:$B$5000="JCL BYPASS"),ROWS($E$5:E814)),"")</f>
        <v/>
      </c>
      <c r="F814" s="5" t="n"/>
    </row>
    <row r="815">
      <c r="A815" s="10">
        <f>IF($E815="","",INDEX('Input Transaksi'!$A:$A,$E815))</f>
        <v/>
      </c>
      <c r="B815" s="5">
        <f>IF($E815="","",INDEX('Input Transaksi'!$D:$D,$E815))</f>
        <v/>
      </c>
      <c r="C815">
        <f>IF($E815="","",INDEX('Input Transaksi'!$E:$E,$E815))</f>
        <v/>
      </c>
      <c r="D815" s="5">
        <f>IF($E815="","",INDEX('Input Transaksi'!$F:$F,$E815))</f>
        <v/>
      </c>
      <c r="E815">
        <f>IFERROR(AGGREGATE(15,6,ROW('Input Transaksi'!$B$5:$B$5000)/('Input Transaksi'!$B$5:$B$5000="JCL BYPASS"),ROWS($E$5:E815)),"")</f>
        <v/>
      </c>
      <c r="F815" s="5" t="n"/>
    </row>
    <row r="816">
      <c r="A816" s="10">
        <f>IF($E816="","",INDEX('Input Transaksi'!$A:$A,$E816))</f>
        <v/>
      </c>
      <c r="B816" s="5">
        <f>IF($E816="","",INDEX('Input Transaksi'!$D:$D,$E816))</f>
        <v/>
      </c>
      <c r="C816">
        <f>IF($E816="","",INDEX('Input Transaksi'!$E:$E,$E816))</f>
        <v/>
      </c>
      <c r="D816" s="5">
        <f>IF($E816="","",INDEX('Input Transaksi'!$F:$F,$E816))</f>
        <v/>
      </c>
      <c r="E816">
        <f>IFERROR(AGGREGATE(15,6,ROW('Input Transaksi'!$B$5:$B$5000)/('Input Transaksi'!$B$5:$B$5000="JCL BYPASS"),ROWS($E$5:E816)),"")</f>
        <v/>
      </c>
      <c r="F816" s="5" t="n"/>
    </row>
    <row r="817">
      <c r="A817" s="10">
        <f>IF($E817="","",INDEX('Input Transaksi'!$A:$A,$E817))</f>
        <v/>
      </c>
      <c r="B817" s="5">
        <f>IF($E817="","",INDEX('Input Transaksi'!$D:$D,$E817))</f>
        <v/>
      </c>
      <c r="C817">
        <f>IF($E817="","",INDEX('Input Transaksi'!$E:$E,$E817))</f>
        <v/>
      </c>
      <c r="D817" s="5">
        <f>IF($E817="","",INDEX('Input Transaksi'!$F:$F,$E817))</f>
        <v/>
      </c>
      <c r="E817">
        <f>IFERROR(AGGREGATE(15,6,ROW('Input Transaksi'!$B$5:$B$5000)/('Input Transaksi'!$B$5:$B$5000="JCL BYPASS"),ROWS($E$5:E817)),"")</f>
        <v/>
      </c>
      <c r="F817" s="5" t="n"/>
    </row>
    <row r="818">
      <c r="A818" s="10">
        <f>IF($E818="","",INDEX('Input Transaksi'!$A:$A,$E818))</f>
        <v/>
      </c>
      <c r="B818" s="5">
        <f>IF($E818="","",INDEX('Input Transaksi'!$D:$D,$E818))</f>
        <v/>
      </c>
      <c r="C818">
        <f>IF($E818="","",INDEX('Input Transaksi'!$E:$E,$E818))</f>
        <v/>
      </c>
      <c r="D818" s="5">
        <f>IF($E818="","",INDEX('Input Transaksi'!$F:$F,$E818))</f>
        <v/>
      </c>
      <c r="E818">
        <f>IFERROR(AGGREGATE(15,6,ROW('Input Transaksi'!$B$5:$B$5000)/('Input Transaksi'!$B$5:$B$5000="JCL BYPASS"),ROWS($E$5:E818)),"")</f>
        <v/>
      </c>
      <c r="F818" s="5" t="n"/>
    </row>
    <row r="819">
      <c r="A819" s="10">
        <f>IF($E819="","",INDEX('Input Transaksi'!$A:$A,$E819))</f>
        <v/>
      </c>
      <c r="B819" s="5">
        <f>IF($E819="","",INDEX('Input Transaksi'!$D:$D,$E819))</f>
        <v/>
      </c>
      <c r="C819">
        <f>IF($E819="","",INDEX('Input Transaksi'!$E:$E,$E819))</f>
        <v/>
      </c>
      <c r="D819" s="5">
        <f>IF($E819="","",INDEX('Input Transaksi'!$F:$F,$E819))</f>
        <v/>
      </c>
      <c r="E819">
        <f>IFERROR(AGGREGATE(15,6,ROW('Input Transaksi'!$B$5:$B$5000)/('Input Transaksi'!$B$5:$B$5000="JCL BYPASS"),ROWS($E$5:E819)),"")</f>
        <v/>
      </c>
      <c r="F819" s="5" t="n"/>
    </row>
    <row r="820">
      <c r="A820" s="10">
        <f>IF($E820="","",INDEX('Input Transaksi'!$A:$A,$E820))</f>
        <v/>
      </c>
      <c r="B820" s="5">
        <f>IF($E820="","",INDEX('Input Transaksi'!$D:$D,$E820))</f>
        <v/>
      </c>
      <c r="C820">
        <f>IF($E820="","",INDEX('Input Transaksi'!$E:$E,$E820))</f>
        <v/>
      </c>
      <c r="D820" s="5">
        <f>IF($E820="","",INDEX('Input Transaksi'!$F:$F,$E820))</f>
        <v/>
      </c>
      <c r="E820">
        <f>IFERROR(AGGREGATE(15,6,ROW('Input Transaksi'!$B$5:$B$5000)/('Input Transaksi'!$B$5:$B$5000="JCL BYPASS"),ROWS($E$5:E820)),"")</f>
        <v/>
      </c>
      <c r="F820" s="5" t="n"/>
    </row>
    <row r="821">
      <c r="A821" s="10">
        <f>IF($E821="","",INDEX('Input Transaksi'!$A:$A,$E821))</f>
        <v/>
      </c>
      <c r="B821" s="5">
        <f>IF($E821="","",INDEX('Input Transaksi'!$D:$D,$E821))</f>
        <v/>
      </c>
      <c r="C821">
        <f>IF($E821="","",INDEX('Input Transaksi'!$E:$E,$E821))</f>
        <v/>
      </c>
      <c r="D821" s="5">
        <f>IF($E821="","",INDEX('Input Transaksi'!$F:$F,$E821))</f>
        <v/>
      </c>
      <c r="E821">
        <f>IFERROR(AGGREGATE(15,6,ROW('Input Transaksi'!$B$5:$B$5000)/('Input Transaksi'!$B$5:$B$5000="JCL BYPASS"),ROWS($E$5:E821)),"")</f>
        <v/>
      </c>
      <c r="F821" s="5" t="n"/>
    </row>
    <row r="822">
      <c r="A822" s="10">
        <f>IF($E822="","",INDEX('Input Transaksi'!$A:$A,$E822))</f>
        <v/>
      </c>
      <c r="B822" s="5">
        <f>IF($E822="","",INDEX('Input Transaksi'!$D:$D,$E822))</f>
        <v/>
      </c>
      <c r="C822">
        <f>IF($E822="","",INDEX('Input Transaksi'!$E:$E,$E822))</f>
        <v/>
      </c>
      <c r="D822" s="5">
        <f>IF($E822="","",INDEX('Input Transaksi'!$F:$F,$E822))</f>
        <v/>
      </c>
      <c r="E822">
        <f>IFERROR(AGGREGATE(15,6,ROW('Input Transaksi'!$B$5:$B$5000)/('Input Transaksi'!$B$5:$B$5000="JCL BYPASS"),ROWS($E$5:E822)),"")</f>
        <v/>
      </c>
      <c r="F822" s="5" t="n"/>
    </row>
    <row r="823">
      <c r="A823" s="10">
        <f>IF($E823="","",INDEX('Input Transaksi'!$A:$A,$E823))</f>
        <v/>
      </c>
      <c r="B823" s="5">
        <f>IF($E823="","",INDEX('Input Transaksi'!$D:$D,$E823))</f>
        <v/>
      </c>
      <c r="C823">
        <f>IF($E823="","",INDEX('Input Transaksi'!$E:$E,$E823))</f>
        <v/>
      </c>
      <c r="D823" s="5">
        <f>IF($E823="","",INDEX('Input Transaksi'!$F:$F,$E823))</f>
        <v/>
      </c>
      <c r="E823">
        <f>IFERROR(AGGREGATE(15,6,ROW('Input Transaksi'!$B$5:$B$5000)/('Input Transaksi'!$B$5:$B$5000="JCL BYPASS"),ROWS($E$5:E823)),"")</f>
        <v/>
      </c>
      <c r="F823" s="5" t="n"/>
    </row>
    <row r="824">
      <c r="A824" s="10">
        <f>IF($E824="","",INDEX('Input Transaksi'!$A:$A,$E824))</f>
        <v/>
      </c>
      <c r="B824" s="5">
        <f>IF($E824="","",INDEX('Input Transaksi'!$D:$D,$E824))</f>
        <v/>
      </c>
      <c r="C824">
        <f>IF($E824="","",INDEX('Input Transaksi'!$E:$E,$E824))</f>
        <v/>
      </c>
      <c r="D824" s="5">
        <f>IF($E824="","",INDEX('Input Transaksi'!$F:$F,$E824))</f>
        <v/>
      </c>
      <c r="E824">
        <f>IFERROR(AGGREGATE(15,6,ROW('Input Transaksi'!$B$5:$B$5000)/('Input Transaksi'!$B$5:$B$5000="JCL BYPASS"),ROWS($E$5:E824)),"")</f>
        <v/>
      </c>
      <c r="F824" s="5" t="n"/>
    </row>
    <row r="825">
      <c r="A825" s="10">
        <f>IF($E825="","",INDEX('Input Transaksi'!$A:$A,$E825))</f>
        <v/>
      </c>
      <c r="B825" s="5">
        <f>IF($E825="","",INDEX('Input Transaksi'!$D:$D,$E825))</f>
        <v/>
      </c>
      <c r="C825">
        <f>IF($E825="","",INDEX('Input Transaksi'!$E:$E,$E825))</f>
        <v/>
      </c>
      <c r="D825" s="5">
        <f>IF($E825="","",INDEX('Input Transaksi'!$F:$F,$E825))</f>
        <v/>
      </c>
      <c r="E825">
        <f>IFERROR(AGGREGATE(15,6,ROW('Input Transaksi'!$B$5:$B$5000)/('Input Transaksi'!$B$5:$B$5000="JCL BYPASS"),ROWS($E$5:E825)),"")</f>
        <v/>
      </c>
      <c r="F825" s="5" t="n"/>
    </row>
    <row r="826">
      <c r="A826" s="10">
        <f>IF($E826="","",INDEX('Input Transaksi'!$A:$A,$E826))</f>
        <v/>
      </c>
      <c r="B826" s="5">
        <f>IF($E826="","",INDEX('Input Transaksi'!$D:$D,$E826))</f>
        <v/>
      </c>
      <c r="C826">
        <f>IF($E826="","",INDEX('Input Transaksi'!$E:$E,$E826))</f>
        <v/>
      </c>
      <c r="D826" s="5">
        <f>IF($E826="","",INDEX('Input Transaksi'!$F:$F,$E826))</f>
        <v/>
      </c>
      <c r="E826">
        <f>IFERROR(AGGREGATE(15,6,ROW('Input Transaksi'!$B$5:$B$5000)/('Input Transaksi'!$B$5:$B$5000="JCL BYPASS"),ROWS($E$5:E826)),"")</f>
        <v/>
      </c>
      <c r="F826" s="5" t="n"/>
    </row>
    <row r="827">
      <c r="A827" s="10">
        <f>IF($E827="","",INDEX('Input Transaksi'!$A:$A,$E827))</f>
        <v/>
      </c>
      <c r="B827" s="5">
        <f>IF($E827="","",INDEX('Input Transaksi'!$D:$D,$E827))</f>
        <v/>
      </c>
      <c r="C827">
        <f>IF($E827="","",INDEX('Input Transaksi'!$E:$E,$E827))</f>
        <v/>
      </c>
      <c r="D827" s="5">
        <f>IF($E827="","",INDEX('Input Transaksi'!$F:$F,$E827))</f>
        <v/>
      </c>
      <c r="E827">
        <f>IFERROR(AGGREGATE(15,6,ROW('Input Transaksi'!$B$5:$B$5000)/('Input Transaksi'!$B$5:$B$5000="JCL BYPASS"),ROWS($E$5:E827)),"")</f>
        <v/>
      </c>
      <c r="F827" s="5" t="n"/>
    </row>
    <row r="828">
      <c r="A828" s="10">
        <f>IF($E828="","",INDEX('Input Transaksi'!$A:$A,$E828))</f>
        <v/>
      </c>
      <c r="B828" s="5">
        <f>IF($E828="","",INDEX('Input Transaksi'!$D:$D,$E828))</f>
        <v/>
      </c>
      <c r="C828">
        <f>IF($E828="","",INDEX('Input Transaksi'!$E:$E,$E828))</f>
        <v/>
      </c>
      <c r="D828" s="5">
        <f>IF($E828="","",INDEX('Input Transaksi'!$F:$F,$E828))</f>
        <v/>
      </c>
      <c r="E828">
        <f>IFERROR(AGGREGATE(15,6,ROW('Input Transaksi'!$B$5:$B$5000)/('Input Transaksi'!$B$5:$B$5000="JCL BYPASS"),ROWS($E$5:E828)),"")</f>
        <v/>
      </c>
      <c r="F828" s="5" t="n"/>
    </row>
    <row r="829">
      <c r="A829" s="10">
        <f>IF($E829="","",INDEX('Input Transaksi'!$A:$A,$E829))</f>
        <v/>
      </c>
      <c r="B829" s="5">
        <f>IF($E829="","",INDEX('Input Transaksi'!$D:$D,$E829))</f>
        <v/>
      </c>
      <c r="C829">
        <f>IF($E829="","",INDEX('Input Transaksi'!$E:$E,$E829))</f>
        <v/>
      </c>
      <c r="D829" s="5">
        <f>IF($E829="","",INDEX('Input Transaksi'!$F:$F,$E829))</f>
        <v/>
      </c>
      <c r="E829">
        <f>IFERROR(AGGREGATE(15,6,ROW('Input Transaksi'!$B$5:$B$5000)/('Input Transaksi'!$B$5:$B$5000="JCL BYPASS"),ROWS($E$5:E829)),"")</f>
        <v/>
      </c>
      <c r="F829" s="5" t="n"/>
    </row>
    <row r="830">
      <c r="A830" s="10">
        <f>IF($E830="","",INDEX('Input Transaksi'!$A:$A,$E830))</f>
        <v/>
      </c>
      <c r="B830" s="5">
        <f>IF($E830="","",INDEX('Input Transaksi'!$D:$D,$E830))</f>
        <v/>
      </c>
      <c r="C830">
        <f>IF($E830="","",INDEX('Input Transaksi'!$E:$E,$E830))</f>
        <v/>
      </c>
      <c r="D830" s="5">
        <f>IF($E830="","",INDEX('Input Transaksi'!$F:$F,$E830))</f>
        <v/>
      </c>
      <c r="E830">
        <f>IFERROR(AGGREGATE(15,6,ROW('Input Transaksi'!$B$5:$B$5000)/('Input Transaksi'!$B$5:$B$5000="JCL BYPASS"),ROWS($E$5:E830)),"")</f>
        <v/>
      </c>
      <c r="F830" s="5" t="n"/>
    </row>
    <row r="831">
      <c r="A831" s="10">
        <f>IF($E831="","",INDEX('Input Transaksi'!$A:$A,$E831))</f>
        <v/>
      </c>
      <c r="B831" s="5">
        <f>IF($E831="","",INDEX('Input Transaksi'!$D:$D,$E831))</f>
        <v/>
      </c>
      <c r="C831">
        <f>IF($E831="","",INDEX('Input Transaksi'!$E:$E,$E831))</f>
        <v/>
      </c>
      <c r="D831" s="5">
        <f>IF($E831="","",INDEX('Input Transaksi'!$F:$F,$E831))</f>
        <v/>
      </c>
      <c r="E831">
        <f>IFERROR(AGGREGATE(15,6,ROW('Input Transaksi'!$B$5:$B$5000)/('Input Transaksi'!$B$5:$B$5000="JCL BYPASS"),ROWS($E$5:E831)),"")</f>
        <v/>
      </c>
      <c r="F831" s="5" t="n"/>
    </row>
    <row r="832">
      <c r="A832" s="10">
        <f>IF($E832="","",INDEX('Input Transaksi'!$A:$A,$E832))</f>
        <v/>
      </c>
      <c r="B832" s="5">
        <f>IF($E832="","",INDEX('Input Transaksi'!$D:$D,$E832))</f>
        <v/>
      </c>
      <c r="C832">
        <f>IF($E832="","",INDEX('Input Transaksi'!$E:$E,$E832))</f>
        <v/>
      </c>
      <c r="D832" s="5">
        <f>IF($E832="","",INDEX('Input Transaksi'!$F:$F,$E832))</f>
        <v/>
      </c>
      <c r="E832">
        <f>IFERROR(AGGREGATE(15,6,ROW('Input Transaksi'!$B$5:$B$5000)/('Input Transaksi'!$B$5:$B$5000="JCL BYPASS"),ROWS($E$5:E832)),"")</f>
        <v/>
      </c>
      <c r="F832" s="5" t="n"/>
    </row>
    <row r="833">
      <c r="A833" s="10">
        <f>IF($E833="","",INDEX('Input Transaksi'!$A:$A,$E833))</f>
        <v/>
      </c>
      <c r="B833" s="5">
        <f>IF($E833="","",INDEX('Input Transaksi'!$D:$D,$E833))</f>
        <v/>
      </c>
      <c r="C833">
        <f>IF($E833="","",INDEX('Input Transaksi'!$E:$E,$E833))</f>
        <v/>
      </c>
      <c r="D833" s="5">
        <f>IF($E833="","",INDEX('Input Transaksi'!$F:$F,$E833))</f>
        <v/>
      </c>
      <c r="E833">
        <f>IFERROR(AGGREGATE(15,6,ROW('Input Transaksi'!$B$5:$B$5000)/('Input Transaksi'!$B$5:$B$5000="JCL BYPASS"),ROWS($E$5:E833)),"")</f>
        <v/>
      </c>
      <c r="F833" s="5" t="n"/>
    </row>
    <row r="834">
      <c r="A834" s="10">
        <f>IF($E834="","",INDEX('Input Transaksi'!$A:$A,$E834))</f>
        <v/>
      </c>
      <c r="B834" s="5">
        <f>IF($E834="","",INDEX('Input Transaksi'!$D:$D,$E834))</f>
        <v/>
      </c>
      <c r="C834">
        <f>IF($E834="","",INDEX('Input Transaksi'!$E:$E,$E834))</f>
        <v/>
      </c>
      <c r="D834" s="5">
        <f>IF($E834="","",INDEX('Input Transaksi'!$F:$F,$E834))</f>
        <v/>
      </c>
      <c r="E834">
        <f>IFERROR(AGGREGATE(15,6,ROW('Input Transaksi'!$B$5:$B$5000)/('Input Transaksi'!$B$5:$B$5000="JCL BYPASS"),ROWS($E$5:E834)),"")</f>
        <v/>
      </c>
      <c r="F834" s="5" t="n"/>
    </row>
    <row r="835">
      <c r="A835" s="10">
        <f>IF($E835="","",INDEX('Input Transaksi'!$A:$A,$E835))</f>
        <v/>
      </c>
      <c r="B835" s="5">
        <f>IF($E835="","",INDEX('Input Transaksi'!$D:$D,$E835))</f>
        <v/>
      </c>
      <c r="C835">
        <f>IF($E835="","",INDEX('Input Transaksi'!$E:$E,$E835))</f>
        <v/>
      </c>
      <c r="D835" s="5">
        <f>IF($E835="","",INDEX('Input Transaksi'!$F:$F,$E835))</f>
        <v/>
      </c>
      <c r="E835">
        <f>IFERROR(AGGREGATE(15,6,ROW('Input Transaksi'!$B$5:$B$5000)/('Input Transaksi'!$B$5:$B$5000="JCL BYPASS"),ROWS($E$5:E835)),"")</f>
        <v/>
      </c>
      <c r="F835" s="5" t="n"/>
    </row>
    <row r="836">
      <c r="A836" s="10">
        <f>IF($E836="","",INDEX('Input Transaksi'!$A:$A,$E836))</f>
        <v/>
      </c>
      <c r="B836" s="5">
        <f>IF($E836="","",INDEX('Input Transaksi'!$D:$D,$E836))</f>
        <v/>
      </c>
      <c r="C836">
        <f>IF($E836="","",INDEX('Input Transaksi'!$E:$E,$E836))</f>
        <v/>
      </c>
      <c r="D836" s="5">
        <f>IF($E836="","",INDEX('Input Transaksi'!$F:$F,$E836))</f>
        <v/>
      </c>
      <c r="E836">
        <f>IFERROR(AGGREGATE(15,6,ROW('Input Transaksi'!$B$5:$B$5000)/('Input Transaksi'!$B$5:$B$5000="JCL BYPASS"),ROWS($E$5:E836)),"")</f>
        <v/>
      </c>
      <c r="F836" s="5" t="n"/>
    </row>
    <row r="837">
      <c r="A837" s="10">
        <f>IF($E837="","",INDEX('Input Transaksi'!$A:$A,$E837))</f>
        <v/>
      </c>
      <c r="B837" s="5">
        <f>IF($E837="","",INDEX('Input Transaksi'!$D:$D,$E837))</f>
        <v/>
      </c>
      <c r="C837">
        <f>IF($E837="","",INDEX('Input Transaksi'!$E:$E,$E837))</f>
        <v/>
      </c>
      <c r="D837" s="5">
        <f>IF($E837="","",INDEX('Input Transaksi'!$F:$F,$E837))</f>
        <v/>
      </c>
      <c r="E837">
        <f>IFERROR(AGGREGATE(15,6,ROW('Input Transaksi'!$B$5:$B$5000)/('Input Transaksi'!$B$5:$B$5000="JCL BYPASS"),ROWS($E$5:E837)),"")</f>
        <v/>
      </c>
      <c r="F837" s="5" t="n"/>
    </row>
    <row r="838">
      <c r="A838" s="10">
        <f>IF($E838="","",INDEX('Input Transaksi'!$A:$A,$E838))</f>
        <v/>
      </c>
      <c r="B838" s="5">
        <f>IF($E838="","",INDEX('Input Transaksi'!$D:$D,$E838))</f>
        <v/>
      </c>
      <c r="C838">
        <f>IF($E838="","",INDEX('Input Transaksi'!$E:$E,$E838))</f>
        <v/>
      </c>
      <c r="D838" s="5">
        <f>IF($E838="","",INDEX('Input Transaksi'!$F:$F,$E838))</f>
        <v/>
      </c>
      <c r="E838">
        <f>IFERROR(AGGREGATE(15,6,ROW('Input Transaksi'!$B$5:$B$5000)/('Input Transaksi'!$B$5:$B$5000="JCL BYPASS"),ROWS($E$5:E838)),"")</f>
        <v/>
      </c>
      <c r="F838" s="5" t="n"/>
    </row>
    <row r="839">
      <c r="A839" s="10">
        <f>IF($E839="","",INDEX('Input Transaksi'!$A:$A,$E839))</f>
        <v/>
      </c>
      <c r="B839" s="5">
        <f>IF($E839="","",INDEX('Input Transaksi'!$D:$D,$E839))</f>
        <v/>
      </c>
      <c r="C839">
        <f>IF($E839="","",INDEX('Input Transaksi'!$E:$E,$E839))</f>
        <v/>
      </c>
      <c r="D839" s="5">
        <f>IF($E839="","",INDEX('Input Transaksi'!$F:$F,$E839))</f>
        <v/>
      </c>
      <c r="E839">
        <f>IFERROR(AGGREGATE(15,6,ROW('Input Transaksi'!$B$5:$B$5000)/('Input Transaksi'!$B$5:$B$5000="JCL BYPASS"),ROWS($E$5:E839)),"")</f>
        <v/>
      </c>
      <c r="F839" s="5" t="n"/>
    </row>
    <row r="840">
      <c r="A840" s="10">
        <f>IF($E840="","",INDEX('Input Transaksi'!$A:$A,$E840))</f>
        <v/>
      </c>
      <c r="B840" s="5">
        <f>IF($E840="","",INDEX('Input Transaksi'!$D:$D,$E840))</f>
        <v/>
      </c>
      <c r="C840">
        <f>IF($E840="","",INDEX('Input Transaksi'!$E:$E,$E840))</f>
        <v/>
      </c>
      <c r="D840" s="5">
        <f>IF($E840="","",INDEX('Input Transaksi'!$F:$F,$E840))</f>
        <v/>
      </c>
      <c r="E840">
        <f>IFERROR(AGGREGATE(15,6,ROW('Input Transaksi'!$B$5:$B$5000)/('Input Transaksi'!$B$5:$B$5000="JCL BYPASS"),ROWS($E$5:E840)),"")</f>
        <v/>
      </c>
      <c r="F840" s="5" t="n"/>
    </row>
    <row r="841">
      <c r="A841" s="10">
        <f>IF($E841="","",INDEX('Input Transaksi'!$A:$A,$E841))</f>
        <v/>
      </c>
      <c r="B841" s="5">
        <f>IF($E841="","",INDEX('Input Transaksi'!$D:$D,$E841))</f>
        <v/>
      </c>
      <c r="C841">
        <f>IF($E841="","",INDEX('Input Transaksi'!$E:$E,$E841))</f>
        <v/>
      </c>
      <c r="D841" s="5">
        <f>IF($E841="","",INDEX('Input Transaksi'!$F:$F,$E841))</f>
        <v/>
      </c>
      <c r="E841">
        <f>IFERROR(AGGREGATE(15,6,ROW('Input Transaksi'!$B$5:$B$5000)/('Input Transaksi'!$B$5:$B$5000="JCL BYPASS"),ROWS($E$5:E841)),"")</f>
        <v/>
      </c>
      <c r="F841" s="5" t="n"/>
    </row>
    <row r="842">
      <c r="A842" s="10">
        <f>IF($E842="","",INDEX('Input Transaksi'!$A:$A,$E842))</f>
        <v/>
      </c>
      <c r="B842" s="5">
        <f>IF($E842="","",INDEX('Input Transaksi'!$D:$D,$E842))</f>
        <v/>
      </c>
      <c r="C842">
        <f>IF($E842="","",INDEX('Input Transaksi'!$E:$E,$E842))</f>
        <v/>
      </c>
      <c r="D842" s="5">
        <f>IF($E842="","",INDEX('Input Transaksi'!$F:$F,$E842))</f>
        <v/>
      </c>
      <c r="E842">
        <f>IFERROR(AGGREGATE(15,6,ROW('Input Transaksi'!$B$5:$B$5000)/('Input Transaksi'!$B$5:$B$5000="JCL BYPASS"),ROWS($E$5:E842)),"")</f>
        <v/>
      </c>
      <c r="F842" s="5" t="n"/>
    </row>
    <row r="843">
      <c r="A843" s="10">
        <f>IF($E843="","",INDEX('Input Transaksi'!$A:$A,$E843))</f>
        <v/>
      </c>
      <c r="B843" s="5">
        <f>IF($E843="","",INDEX('Input Transaksi'!$D:$D,$E843))</f>
        <v/>
      </c>
      <c r="C843">
        <f>IF($E843="","",INDEX('Input Transaksi'!$E:$E,$E843))</f>
        <v/>
      </c>
      <c r="D843" s="5">
        <f>IF($E843="","",INDEX('Input Transaksi'!$F:$F,$E843))</f>
        <v/>
      </c>
      <c r="E843">
        <f>IFERROR(AGGREGATE(15,6,ROW('Input Transaksi'!$B$5:$B$5000)/('Input Transaksi'!$B$5:$B$5000="JCL BYPASS"),ROWS($E$5:E843)),"")</f>
        <v/>
      </c>
      <c r="F843" s="5" t="n"/>
    </row>
    <row r="844">
      <c r="A844" s="10">
        <f>IF($E844="","",INDEX('Input Transaksi'!$A:$A,$E844))</f>
        <v/>
      </c>
      <c r="B844" s="5">
        <f>IF($E844="","",INDEX('Input Transaksi'!$D:$D,$E844))</f>
        <v/>
      </c>
      <c r="C844">
        <f>IF($E844="","",INDEX('Input Transaksi'!$E:$E,$E844))</f>
        <v/>
      </c>
      <c r="D844" s="5">
        <f>IF($E844="","",INDEX('Input Transaksi'!$F:$F,$E844))</f>
        <v/>
      </c>
      <c r="E844">
        <f>IFERROR(AGGREGATE(15,6,ROW('Input Transaksi'!$B$5:$B$5000)/('Input Transaksi'!$B$5:$B$5000="JCL BYPASS"),ROWS($E$5:E844)),"")</f>
        <v/>
      </c>
      <c r="F844" s="5" t="n"/>
    </row>
    <row r="845">
      <c r="A845" s="10">
        <f>IF($E845="","",INDEX('Input Transaksi'!$A:$A,$E845))</f>
        <v/>
      </c>
      <c r="B845" s="5">
        <f>IF($E845="","",INDEX('Input Transaksi'!$D:$D,$E845))</f>
        <v/>
      </c>
      <c r="C845">
        <f>IF($E845="","",INDEX('Input Transaksi'!$E:$E,$E845))</f>
        <v/>
      </c>
      <c r="D845" s="5">
        <f>IF($E845="","",INDEX('Input Transaksi'!$F:$F,$E845))</f>
        <v/>
      </c>
      <c r="E845">
        <f>IFERROR(AGGREGATE(15,6,ROW('Input Transaksi'!$B$5:$B$5000)/('Input Transaksi'!$B$5:$B$5000="JCL BYPASS"),ROWS($E$5:E845)),"")</f>
        <v/>
      </c>
      <c r="F845" s="5" t="n"/>
    </row>
    <row r="846">
      <c r="A846" s="10">
        <f>IF($E846="","",INDEX('Input Transaksi'!$A:$A,$E846))</f>
        <v/>
      </c>
      <c r="B846" s="5">
        <f>IF($E846="","",INDEX('Input Transaksi'!$D:$D,$E846))</f>
        <v/>
      </c>
      <c r="C846">
        <f>IF($E846="","",INDEX('Input Transaksi'!$E:$E,$E846))</f>
        <v/>
      </c>
      <c r="D846" s="5">
        <f>IF($E846="","",INDEX('Input Transaksi'!$F:$F,$E846))</f>
        <v/>
      </c>
      <c r="E846">
        <f>IFERROR(AGGREGATE(15,6,ROW('Input Transaksi'!$B$5:$B$5000)/('Input Transaksi'!$B$5:$B$5000="JCL BYPASS"),ROWS($E$5:E846)),"")</f>
        <v/>
      </c>
      <c r="F846" s="5" t="n"/>
    </row>
    <row r="847">
      <c r="A847" s="10">
        <f>IF($E847="","",INDEX('Input Transaksi'!$A:$A,$E847))</f>
        <v/>
      </c>
      <c r="B847" s="5">
        <f>IF($E847="","",INDEX('Input Transaksi'!$D:$D,$E847))</f>
        <v/>
      </c>
      <c r="C847">
        <f>IF($E847="","",INDEX('Input Transaksi'!$E:$E,$E847))</f>
        <v/>
      </c>
      <c r="D847" s="5">
        <f>IF($E847="","",INDEX('Input Transaksi'!$F:$F,$E847))</f>
        <v/>
      </c>
      <c r="E847">
        <f>IFERROR(AGGREGATE(15,6,ROW('Input Transaksi'!$B$5:$B$5000)/('Input Transaksi'!$B$5:$B$5000="JCL BYPASS"),ROWS($E$5:E847)),"")</f>
        <v/>
      </c>
      <c r="F847" s="5" t="n"/>
    </row>
    <row r="848">
      <c r="A848" s="10">
        <f>IF($E848="","",INDEX('Input Transaksi'!$A:$A,$E848))</f>
        <v/>
      </c>
      <c r="B848" s="5">
        <f>IF($E848="","",INDEX('Input Transaksi'!$D:$D,$E848))</f>
        <v/>
      </c>
      <c r="C848">
        <f>IF($E848="","",INDEX('Input Transaksi'!$E:$E,$E848))</f>
        <v/>
      </c>
      <c r="D848" s="5">
        <f>IF($E848="","",INDEX('Input Transaksi'!$F:$F,$E848))</f>
        <v/>
      </c>
      <c r="E848">
        <f>IFERROR(AGGREGATE(15,6,ROW('Input Transaksi'!$B$5:$B$5000)/('Input Transaksi'!$B$5:$B$5000="JCL BYPASS"),ROWS($E$5:E848)),"")</f>
        <v/>
      </c>
      <c r="F848" s="5" t="n"/>
    </row>
    <row r="849">
      <c r="A849" s="10">
        <f>IF($E849="","",INDEX('Input Transaksi'!$A:$A,$E849))</f>
        <v/>
      </c>
      <c r="B849" s="5">
        <f>IF($E849="","",INDEX('Input Transaksi'!$D:$D,$E849))</f>
        <v/>
      </c>
      <c r="C849">
        <f>IF($E849="","",INDEX('Input Transaksi'!$E:$E,$E849))</f>
        <v/>
      </c>
      <c r="D849" s="5">
        <f>IF($E849="","",INDEX('Input Transaksi'!$F:$F,$E849))</f>
        <v/>
      </c>
      <c r="E849">
        <f>IFERROR(AGGREGATE(15,6,ROW('Input Transaksi'!$B$5:$B$5000)/('Input Transaksi'!$B$5:$B$5000="JCL BYPASS"),ROWS($E$5:E849)),"")</f>
        <v/>
      </c>
      <c r="F849" s="5" t="n"/>
    </row>
    <row r="850">
      <c r="A850" s="10">
        <f>IF($E850="","",INDEX('Input Transaksi'!$A:$A,$E850))</f>
        <v/>
      </c>
      <c r="B850" s="5">
        <f>IF($E850="","",INDEX('Input Transaksi'!$D:$D,$E850))</f>
        <v/>
      </c>
      <c r="C850">
        <f>IF($E850="","",INDEX('Input Transaksi'!$E:$E,$E850))</f>
        <v/>
      </c>
      <c r="D850" s="5">
        <f>IF($E850="","",INDEX('Input Transaksi'!$F:$F,$E850))</f>
        <v/>
      </c>
      <c r="E850">
        <f>IFERROR(AGGREGATE(15,6,ROW('Input Transaksi'!$B$5:$B$5000)/('Input Transaksi'!$B$5:$B$5000="JCL BYPASS"),ROWS($E$5:E850)),"")</f>
        <v/>
      </c>
      <c r="F850" s="5" t="n"/>
    </row>
    <row r="851">
      <c r="A851" s="10">
        <f>IF($E851="","",INDEX('Input Transaksi'!$A:$A,$E851))</f>
        <v/>
      </c>
      <c r="B851" s="5">
        <f>IF($E851="","",INDEX('Input Transaksi'!$D:$D,$E851))</f>
        <v/>
      </c>
      <c r="C851">
        <f>IF($E851="","",INDEX('Input Transaksi'!$E:$E,$E851))</f>
        <v/>
      </c>
      <c r="D851" s="5">
        <f>IF($E851="","",INDEX('Input Transaksi'!$F:$F,$E851))</f>
        <v/>
      </c>
      <c r="E851">
        <f>IFERROR(AGGREGATE(15,6,ROW('Input Transaksi'!$B$5:$B$5000)/('Input Transaksi'!$B$5:$B$5000="JCL BYPASS"),ROWS($E$5:E851)),"")</f>
        <v/>
      </c>
      <c r="F851" s="5" t="n"/>
    </row>
    <row r="852">
      <c r="A852" s="10">
        <f>IF($E852="","",INDEX('Input Transaksi'!$A:$A,$E852))</f>
        <v/>
      </c>
      <c r="B852" s="5">
        <f>IF($E852="","",INDEX('Input Transaksi'!$D:$D,$E852))</f>
        <v/>
      </c>
      <c r="C852">
        <f>IF($E852="","",INDEX('Input Transaksi'!$E:$E,$E852))</f>
        <v/>
      </c>
      <c r="D852" s="5">
        <f>IF($E852="","",INDEX('Input Transaksi'!$F:$F,$E852))</f>
        <v/>
      </c>
      <c r="E852">
        <f>IFERROR(AGGREGATE(15,6,ROW('Input Transaksi'!$B$5:$B$5000)/('Input Transaksi'!$B$5:$B$5000="JCL BYPASS"),ROWS($E$5:E852)),"")</f>
        <v/>
      </c>
      <c r="F852" s="5" t="n"/>
    </row>
    <row r="853">
      <c r="A853" s="10">
        <f>IF($E853="","",INDEX('Input Transaksi'!$A:$A,$E853))</f>
        <v/>
      </c>
      <c r="B853" s="5">
        <f>IF($E853="","",INDEX('Input Transaksi'!$D:$D,$E853))</f>
        <v/>
      </c>
      <c r="C853">
        <f>IF($E853="","",INDEX('Input Transaksi'!$E:$E,$E853))</f>
        <v/>
      </c>
      <c r="D853" s="5">
        <f>IF($E853="","",INDEX('Input Transaksi'!$F:$F,$E853))</f>
        <v/>
      </c>
      <c r="E853">
        <f>IFERROR(AGGREGATE(15,6,ROW('Input Transaksi'!$B$5:$B$5000)/('Input Transaksi'!$B$5:$B$5000="JCL BYPASS"),ROWS($E$5:E853)),"")</f>
        <v/>
      </c>
      <c r="F853" s="5" t="n"/>
    </row>
    <row r="854">
      <c r="A854" s="10">
        <f>IF($E854="","",INDEX('Input Transaksi'!$A:$A,$E854))</f>
        <v/>
      </c>
      <c r="B854" s="5">
        <f>IF($E854="","",INDEX('Input Transaksi'!$D:$D,$E854))</f>
        <v/>
      </c>
      <c r="C854">
        <f>IF($E854="","",INDEX('Input Transaksi'!$E:$E,$E854))</f>
        <v/>
      </c>
      <c r="D854" s="5">
        <f>IF($E854="","",INDEX('Input Transaksi'!$F:$F,$E854))</f>
        <v/>
      </c>
      <c r="E854">
        <f>IFERROR(AGGREGATE(15,6,ROW('Input Transaksi'!$B$5:$B$5000)/('Input Transaksi'!$B$5:$B$5000="JCL BYPASS"),ROWS($E$5:E854)),"")</f>
        <v/>
      </c>
      <c r="F854" s="5" t="n"/>
    </row>
    <row r="855">
      <c r="A855" s="10">
        <f>IF($E855="","",INDEX('Input Transaksi'!$A:$A,$E855))</f>
        <v/>
      </c>
      <c r="B855" s="5">
        <f>IF($E855="","",INDEX('Input Transaksi'!$D:$D,$E855))</f>
        <v/>
      </c>
      <c r="C855">
        <f>IF($E855="","",INDEX('Input Transaksi'!$E:$E,$E855))</f>
        <v/>
      </c>
      <c r="D855" s="5">
        <f>IF($E855="","",INDEX('Input Transaksi'!$F:$F,$E855))</f>
        <v/>
      </c>
      <c r="E855">
        <f>IFERROR(AGGREGATE(15,6,ROW('Input Transaksi'!$B$5:$B$5000)/('Input Transaksi'!$B$5:$B$5000="JCL BYPASS"),ROWS($E$5:E855)),"")</f>
        <v/>
      </c>
      <c r="F855" s="5" t="n"/>
    </row>
    <row r="856">
      <c r="A856" s="10">
        <f>IF($E856="","",INDEX('Input Transaksi'!$A:$A,$E856))</f>
        <v/>
      </c>
      <c r="B856" s="5">
        <f>IF($E856="","",INDEX('Input Transaksi'!$D:$D,$E856))</f>
        <v/>
      </c>
      <c r="C856">
        <f>IF($E856="","",INDEX('Input Transaksi'!$E:$E,$E856))</f>
        <v/>
      </c>
      <c r="D856" s="5">
        <f>IF($E856="","",INDEX('Input Transaksi'!$F:$F,$E856))</f>
        <v/>
      </c>
      <c r="E856">
        <f>IFERROR(AGGREGATE(15,6,ROW('Input Transaksi'!$B$5:$B$5000)/('Input Transaksi'!$B$5:$B$5000="JCL BYPASS"),ROWS($E$5:E856)),"")</f>
        <v/>
      </c>
      <c r="F856" s="5" t="n"/>
    </row>
    <row r="857">
      <c r="A857" s="10">
        <f>IF($E857="","",INDEX('Input Transaksi'!$A:$A,$E857))</f>
        <v/>
      </c>
      <c r="B857" s="5">
        <f>IF($E857="","",INDEX('Input Transaksi'!$D:$D,$E857))</f>
        <v/>
      </c>
      <c r="C857">
        <f>IF($E857="","",INDEX('Input Transaksi'!$E:$E,$E857))</f>
        <v/>
      </c>
      <c r="D857" s="5">
        <f>IF($E857="","",INDEX('Input Transaksi'!$F:$F,$E857))</f>
        <v/>
      </c>
      <c r="E857">
        <f>IFERROR(AGGREGATE(15,6,ROW('Input Transaksi'!$B$5:$B$5000)/('Input Transaksi'!$B$5:$B$5000="JCL BYPASS"),ROWS($E$5:E857)),"")</f>
        <v/>
      </c>
      <c r="F857" s="5" t="n"/>
    </row>
    <row r="858">
      <c r="A858" s="10">
        <f>IF($E858="","",INDEX('Input Transaksi'!$A:$A,$E858))</f>
        <v/>
      </c>
      <c r="B858" s="5">
        <f>IF($E858="","",INDEX('Input Transaksi'!$D:$D,$E858))</f>
        <v/>
      </c>
      <c r="C858">
        <f>IF($E858="","",INDEX('Input Transaksi'!$E:$E,$E858))</f>
        <v/>
      </c>
      <c r="D858" s="5">
        <f>IF($E858="","",INDEX('Input Transaksi'!$F:$F,$E858))</f>
        <v/>
      </c>
      <c r="E858">
        <f>IFERROR(AGGREGATE(15,6,ROW('Input Transaksi'!$B$5:$B$5000)/('Input Transaksi'!$B$5:$B$5000="JCL BYPASS"),ROWS($E$5:E858)),"")</f>
        <v/>
      </c>
      <c r="F858" s="5" t="n"/>
    </row>
    <row r="859">
      <c r="A859" s="10">
        <f>IF($E859="","",INDEX('Input Transaksi'!$A:$A,$E859))</f>
        <v/>
      </c>
      <c r="B859" s="5">
        <f>IF($E859="","",INDEX('Input Transaksi'!$D:$D,$E859))</f>
        <v/>
      </c>
      <c r="C859">
        <f>IF($E859="","",INDEX('Input Transaksi'!$E:$E,$E859))</f>
        <v/>
      </c>
      <c r="D859" s="5">
        <f>IF($E859="","",INDEX('Input Transaksi'!$F:$F,$E859))</f>
        <v/>
      </c>
      <c r="E859">
        <f>IFERROR(AGGREGATE(15,6,ROW('Input Transaksi'!$B$5:$B$5000)/('Input Transaksi'!$B$5:$B$5000="JCL BYPASS"),ROWS($E$5:E859)),"")</f>
        <v/>
      </c>
      <c r="F859" s="5" t="n"/>
    </row>
    <row r="860">
      <c r="A860" s="10">
        <f>IF($E860="","",INDEX('Input Transaksi'!$A:$A,$E860))</f>
        <v/>
      </c>
      <c r="B860" s="5">
        <f>IF($E860="","",INDEX('Input Transaksi'!$D:$D,$E860))</f>
        <v/>
      </c>
      <c r="C860">
        <f>IF($E860="","",INDEX('Input Transaksi'!$E:$E,$E860))</f>
        <v/>
      </c>
      <c r="D860" s="5">
        <f>IF($E860="","",INDEX('Input Transaksi'!$F:$F,$E860))</f>
        <v/>
      </c>
      <c r="E860">
        <f>IFERROR(AGGREGATE(15,6,ROW('Input Transaksi'!$B$5:$B$5000)/('Input Transaksi'!$B$5:$B$5000="JCL BYPASS"),ROWS($E$5:E860)),"")</f>
        <v/>
      </c>
      <c r="F860" s="5" t="n"/>
    </row>
    <row r="861">
      <c r="A861" s="10">
        <f>IF($E861="","",INDEX('Input Transaksi'!$A:$A,$E861))</f>
        <v/>
      </c>
      <c r="B861" s="5">
        <f>IF($E861="","",INDEX('Input Transaksi'!$D:$D,$E861))</f>
        <v/>
      </c>
      <c r="C861">
        <f>IF($E861="","",INDEX('Input Transaksi'!$E:$E,$E861))</f>
        <v/>
      </c>
      <c r="D861" s="5">
        <f>IF($E861="","",INDEX('Input Transaksi'!$F:$F,$E861))</f>
        <v/>
      </c>
      <c r="E861">
        <f>IFERROR(AGGREGATE(15,6,ROW('Input Transaksi'!$B$5:$B$5000)/('Input Transaksi'!$B$5:$B$5000="JCL BYPASS"),ROWS($E$5:E861)),"")</f>
        <v/>
      </c>
      <c r="F861" s="5" t="n"/>
    </row>
    <row r="862">
      <c r="A862" s="10">
        <f>IF($E862="","",INDEX('Input Transaksi'!$A:$A,$E862))</f>
        <v/>
      </c>
      <c r="B862" s="5">
        <f>IF($E862="","",INDEX('Input Transaksi'!$D:$D,$E862))</f>
        <v/>
      </c>
      <c r="C862">
        <f>IF($E862="","",INDEX('Input Transaksi'!$E:$E,$E862))</f>
        <v/>
      </c>
      <c r="D862" s="5">
        <f>IF($E862="","",INDEX('Input Transaksi'!$F:$F,$E862))</f>
        <v/>
      </c>
      <c r="E862">
        <f>IFERROR(AGGREGATE(15,6,ROW('Input Transaksi'!$B$5:$B$5000)/('Input Transaksi'!$B$5:$B$5000="JCL BYPASS"),ROWS($E$5:E862)),"")</f>
        <v/>
      </c>
      <c r="F862" s="5" t="n"/>
    </row>
    <row r="863">
      <c r="A863" s="10">
        <f>IF($E863="","",INDEX('Input Transaksi'!$A:$A,$E863))</f>
        <v/>
      </c>
      <c r="B863" s="5">
        <f>IF($E863="","",INDEX('Input Transaksi'!$D:$D,$E863))</f>
        <v/>
      </c>
      <c r="C863">
        <f>IF($E863="","",INDEX('Input Transaksi'!$E:$E,$E863))</f>
        <v/>
      </c>
      <c r="D863" s="5">
        <f>IF($E863="","",INDEX('Input Transaksi'!$F:$F,$E863))</f>
        <v/>
      </c>
      <c r="E863">
        <f>IFERROR(AGGREGATE(15,6,ROW('Input Transaksi'!$B$5:$B$5000)/('Input Transaksi'!$B$5:$B$5000="JCL BYPASS"),ROWS($E$5:E863)),"")</f>
        <v/>
      </c>
      <c r="F863" s="5" t="n"/>
    </row>
    <row r="864">
      <c r="A864" s="10">
        <f>IF($E864="","",INDEX('Input Transaksi'!$A:$A,$E864))</f>
        <v/>
      </c>
      <c r="B864" s="5">
        <f>IF($E864="","",INDEX('Input Transaksi'!$D:$D,$E864))</f>
        <v/>
      </c>
      <c r="C864">
        <f>IF($E864="","",INDEX('Input Transaksi'!$E:$E,$E864))</f>
        <v/>
      </c>
      <c r="D864" s="5">
        <f>IF($E864="","",INDEX('Input Transaksi'!$F:$F,$E864))</f>
        <v/>
      </c>
      <c r="E864">
        <f>IFERROR(AGGREGATE(15,6,ROW('Input Transaksi'!$B$5:$B$5000)/('Input Transaksi'!$B$5:$B$5000="JCL BYPASS"),ROWS($E$5:E864)),"")</f>
        <v/>
      </c>
      <c r="F864" s="5" t="n"/>
    </row>
    <row r="865">
      <c r="A865" s="10">
        <f>IF($E865="","",INDEX('Input Transaksi'!$A:$A,$E865))</f>
        <v/>
      </c>
      <c r="B865" s="5">
        <f>IF($E865="","",INDEX('Input Transaksi'!$D:$D,$E865))</f>
        <v/>
      </c>
      <c r="C865">
        <f>IF($E865="","",INDEX('Input Transaksi'!$E:$E,$E865))</f>
        <v/>
      </c>
      <c r="D865" s="5">
        <f>IF($E865="","",INDEX('Input Transaksi'!$F:$F,$E865))</f>
        <v/>
      </c>
      <c r="E865">
        <f>IFERROR(AGGREGATE(15,6,ROW('Input Transaksi'!$B$5:$B$5000)/('Input Transaksi'!$B$5:$B$5000="JCL BYPASS"),ROWS($E$5:E865)),"")</f>
        <v/>
      </c>
      <c r="F865" s="5" t="n"/>
    </row>
    <row r="866">
      <c r="A866" s="10">
        <f>IF($E866="","",INDEX('Input Transaksi'!$A:$A,$E866))</f>
        <v/>
      </c>
      <c r="B866" s="5">
        <f>IF($E866="","",INDEX('Input Transaksi'!$D:$D,$E866))</f>
        <v/>
      </c>
      <c r="C866">
        <f>IF($E866="","",INDEX('Input Transaksi'!$E:$E,$E866))</f>
        <v/>
      </c>
      <c r="D866" s="5">
        <f>IF($E866="","",INDEX('Input Transaksi'!$F:$F,$E866))</f>
        <v/>
      </c>
      <c r="E866">
        <f>IFERROR(AGGREGATE(15,6,ROW('Input Transaksi'!$B$5:$B$5000)/('Input Transaksi'!$B$5:$B$5000="JCL BYPASS"),ROWS($E$5:E866)),"")</f>
        <v/>
      </c>
      <c r="F866" s="5" t="n"/>
    </row>
    <row r="867">
      <c r="A867" s="10">
        <f>IF($E867="","",INDEX('Input Transaksi'!$A:$A,$E867))</f>
        <v/>
      </c>
      <c r="B867" s="5">
        <f>IF($E867="","",INDEX('Input Transaksi'!$D:$D,$E867))</f>
        <v/>
      </c>
      <c r="C867">
        <f>IF($E867="","",INDEX('Input Transaksi'!$E:$E,$E867))</f>
        <v/>
      </c>
      <c r="D867" s="5">
        <f>IF($E867="","",INDEX('Input Transaksi'!$F:$F,$E867))</f>
        <v/>
      </c>
      <c r="E867">
        <f>IFERROR(AGGREGATE(15,6,ROW('Input Transaksi'!$B$5:$B$5000)/('Input Transaksi'!$B$5:$B$5000="JCL BYPASS"),ROWS($E$5:E867)),"")</f>
        <v/>
      </c>
      <c r="F867" s="5" t="n"/>
    </row>
    <row r="868">
      <c r="A868" s="10">
        <f>IF($E868="","",INDEX('Input Transaksi'!$A:$A,$E868))</f>
        <v/>
      </c>
      <c r="B868" s="5">
        <f>IF($E868="","",INDEX('Input Transaksi'!$D:$D,$E868))</f>
        <v/>
      </c>
      <c r="C868">
        <f>IF($E868="","",INDEX('Input Transaksi'!$E:$E,$E868))</f>
        <v/>
      </c>
      <c r="D868" s="5">
        <f>IF($E868="","",INDEX('Input Transaksi'!$F:$F,$E868))</f>
        <v/>
      </c>
      <c r="E868">
        <f>IFERROR(AGGREGATE(15,6,ROW('Input Transaksi'!$B$5:$B$5000)/('Input Transaksi'!$B$5:$B$5000="JCL BYPASS"),ROWS($E$5:E868)),"")</f>
        <v/>
      </c>
      <c r="F868" s="5" t="n"/>
    </row>
    <row r="869">
      <c r="A869" s="10">
        <f>IF($E869="","",INDEX('Input Transaksi'!$A:$A,$E869))</f>
        <v/>
      </c>
      <c r="B869" s="5">
        <f>IF($E869="","",INDEX('Input Transaksi'!$D:$D,$E869))</f>
        <v/>
      </c>
      <c r="C869">
        <f>IF($E869="","",INDEX('Input Transaksi'!$E:$E,$E869))</f>
        <v/>
      </c>
      <c r="D869" s="5">
        <f>IF($E869="","",INDEX('Input Transaksi'!$F:$F,$E869))</f>
        <v/>
      </c>
      <c r="E869">
        <f>IFERROR(AGGREGATE(15,6,ROW('Input Transaksi'!$B$5:$B$5000)/('Input Transaksi'!$B$5:$B$5000="JCL BYPASS"),ROWS($E$5:E869)),"")</f>
        <v/>
      </c>
      <c r="F869" s="5" t="n"/>
    </row>
    <row r="870">
      <c r="A870" s="10">
        <f>IF($E870="","",INDEX('Input Transaksi'!$A:$A,$E870))</f>
        <v/>
      </c>
      <c r="B870" s="5">
        <f>IF($E870="","",INDEX('Input Transaksi'!$D:$D,$E870))</f>
        <v/>
      </c>
      <c r="C870">
        <f>IF($E870="","",INDEX('Input Transaksi'!$E:$E,$E870))</f>
        <v/>
      </c>
      <c r="D870" s="5">
        <f>IF($E870="","",INDEX('Input Transaksi'!$F:$F,$E870))</f>
        <v/>
      </c>
      <c r="E870">
        <f>IFERROR(AGGREGATE(15,6,ROW('Input Transaksi'!$B$5:$B$5000)/('Input Transaksi'!$B$5:$B$5000="JCL BYPASS"),ROWS($E$5:E870)),"")</f>
        <v/>
      </c>
      <c r="F870" s="5" t="n"/>
    </row>
    <row r="871">
      <c r="A871" s="10">
        <f>IF($E871="","",INDEX('Input Transaksi'!$A:$A,$E871))</f>
        <v/>
      </c>
      <c r="B871" s="5">
        <f>IF($E871="","",INDEX('Input Transaksi'!$D:$D,$E871))</f>
        <v/>
      </c>
      <c r="C871">
        <f>IF($E871="","",INDEX('Input Transaksi'!$E:$E,$E871))</f>
        <v/>
      </c>
      <c r="D871" s="5">
        <f>IF($E871="","",INDEX('Input Transaksi'!$F:$F,$E871))</f>
        <v/>
      </c>
      <c r="E871">
        <f>IFERROR(AGGREGATE(15,6,ROW('Input Transaksi'!$B$5:$B$5000)/('Input Transaksi'!$B$5:$B$5000="JCL BYPASS"),ROWS($E$5:E871)),"")</f>
        <v/>
      </c>
      <c r="F871" s="5" t="n"/>
    </row>
    <row r="872">
      <c r="A872" s="10">
        <f>IF($E872="","",INDEX('Input Transaksi'!$A:$A,$E872))</f>
        <v/>
      </c>
      <c r="B872" s="5">
        <f>IF($E872="","",INDEX('Input Transaksi'!$D:$D,$E872))</f>
        <v/>
      </c>
      <c r="C872">
        <f>IF($E872="","",INDEX('Input Transaksi'!$E:$E,$E872))</f>
        <v/>
      </c>
      <c r="D872" s="5">
        <f>IF($E872="","",INDEX('Input Transaksi'!$F:$F,$E872))</f>
        <v/>
      </c>
      <c r="E872">
        <f>IFERROR(AGGREGATE(15,6,ROW('Input Transaksi'!$B$5:$B$5000)/('Input Transaksi'!$B$5:$B$5000="JCL BYPASS"),ROWS($E$5:E872)),"")</f>
        <v/>
      </c>
      <c r="F872" s="5" t="n"/>
    </row>
    <row r="873">
      <c r="A873" s="10">
        <f>IF($E873="","",INDEX('Input Transaksi'!$A:$A,$E873))</f>
        <v/>
      </c>
      <c r="B873" s="5">
        <f>IF($E873="","",INDEX('Input Transaksi'!$D:$D,$E873))</f>
        <v/>
      </c>
      <c r="C873">
        <f>IF($E873="","",INDEX('Input Transaksi'!$E:$E,$E873))</f>
        <v/>
      </c>
      <c r="D873" s="5">
        <f>IF($E873="","",INDEX('Input Transaksi'!$F:$F,$E873))</f>
        <v/>
      </c>
      <c r="E873">
        <f>IFERROR(AGGREGATE(15,6,ROW('Input Transaksi'!$B$5:$B$5000)/('Input Transaksi'!$B$5:$B$5000="JCL BYPASS"),ROWS($E$5:E873)),"")</f>
        <v/>
      </c>
      <c r="F873" s="5" t="n"/>
    </row>
    <row r="874">
      <c r="A874" s="10">
        <f>IF($E874="","",INDEX('Input Transaksi'!$A:$A,$E874))</f>
        <v/>
      </c>
      <c r="B874" s="5">
        <f>IF($E874="","",INDEX('Input Transaksi'!$D:$D,$E874))</f>
        <v/>
      </c>
      <c r="C874">
        <f>IF($E874="","",INDEX('Input Transaksi'!$E:$E,$E874))</f>
        <v/>
      </c>
      <c r="D874" s="5">
        <f>IF($E874="","",INDEX('Input Transaksi'!$F:$F,$E874))</f>
        <v/>
      </c>
      <c r="E874">
        <f>IFERROR(AGGREGATE(15,6,ROW('Input Transaksi'!$B$5:$B$5000)/('Input Transaksi'!$B$5:$B$5000="JCL BYPASS"),ROWS($E$5:E874)),"")</f>
        <v/>
      </c>
      <c r="F874" s="5" t="n"/>
    </row>
    <row r="875">
      <c r="A875" s="10">
        <f>IF($E875="","",INDEX('Input Transaksi'!$A:$A,$E875))</f>
        <v/>
      </c>
      <c r="B875" s="5">
        <f>IF($E875="","",INDEX('Input Transaksi'!$D:$D,$E875))</f>
        <v/>
      </c>
      <c r="C875">
        <f>IF($E875="","",INDEX('Input Transaksi'!$E:$E,$E875))</f>
        <v/>
      </c>
      <c r="D875" s="5">
        <f>IF($E875="","",INDEX('Input Transaksi'!$F:$F,$E875))</f>
        <v/>
      </c>
      <c r="E875">
        <f>IFERROR(AGGREGATE(15,6,ROW('Input Transaksi'!$B$5:$B$5000)/('Input Transaksi'!$B$5:$B$5000="JCL BYPASS"),ROWS($E$5:E875)),"")</f>
        <v/>
      </c>
      <c r="F875" s="5" t="n"/>
    </row>
    <row r="876">
      <c r="A876" s="10">
        <f>IF($E876="","",INDEX('Input Transaksi'!$A:$A,$E876))</f>
        <v/>
      </c>
      <c r="B876" s="5">
        <f>IF($E876="","",INDEX('Input Transaksi'!$D:$D,$E876))</f>
        <v/>
      </c>
      <c r="C876">
        <f>IF($E876="","",INDEX('Input Transaksi'!$E:$E,$E876))</f>
        <v/>
      </c>
      <c r="D876" s="5">
        <f>IF($E876="","",INDEX('Input Transaksi'!$F:$F,$E876))</f>
        <v/>
      </c>
      <c r="E876">
        <f>IFERROR(AGGREGATE(15,6,ROW('Input Transaksi'!$B$5:$B$5000)/('Input Transaksi'!$B$5:$B$5000="JCL BYPASS"),ROWS($E$5:E876)),"")</f>
        <v/>
      </c>
      <c r="F876" s="5" t="n"/>
    </row>
    <row r="877">
      <c r="A877" s="10">
        <f>IF($E877="","",INDEX('Input Transaksi'!$A:$A,$E877))</f>
        <v/>
      </c>
      <c r="B877" s="5">
        <f>IF($E877="","",INDEX('Input Transaksi'!$D:$D,$E877))</f>
        <v/>
      </c>
      <c r="C877">
        <f>IF($E877="","",INDEX('Input Transaksi'!$E:$E,$E877))</f>
        <v/>
      </c>
      <c r="D877" s="5">
        <f>IF($E877="","",INDEX('Input Transaksi'!$F:$F,$E877))</f>
        <v/>
      </c>
      <c r="E877">
        <f>IFERROR(AGGREGATE(15,6,ROW('Input Transaksi'!$B$5:$B$5000)/('Input Transaksi'!$B$5:$B$5000="JCL BYPASS"),ROWS($E$5:E877)),"")</f>
        <v/>
      </c>
      <c r="F877" s="5" t="n"/>
    </row>
    <row r="878">
      <c r="A878" s="10">
        <f>IF($E878="","",INDEX('Input Transaksi'!$A:$A,$E878))</f>
        <v/>
      </c>
      <c r="B878" s="5">
        <f>IF($E878="","",INDEX('Input Transaksi'!$D:$D,$E878))</f>
        <v/>
      </c>
      <c r="C878">
        <f>IF($E878="","",INDEX('Input Transaksi'!$E:$E,$E878))</f>
        <v/>
      </c>
      <c r="D878" s="5">
        <f>IF($E878="","",INDEX('Input Transaksi'!$F:$F,$E878))</f>
        <v/>
      </c>
      <c r="E878">
        <f>IFERROR(AGGREGATE(15,6,ROW('Input Transaksi'!$B$5:$B$5000)/('Input Transaksi'!$B$5:$B$5000="JCL BYPASS"),ROWS($E$5:E878)),"")</f>
        <v/>
      </c>
      <c r="F878" s="5" t="n"/>
    </row>
    <row r="879">
      <c r="A879" s="10">
        <f>IF($E879="","",INDEX('Input Transaksi'!$A:$A,$E879))</f>
        <v/>
      </c>
      <c r="B879" s="5">
        <f>IF($E879="","",INDEX('Input Transaksi'!$D:$D,$E879))</f>
        <v/>
      </c>
      <c r="C879">
        <f>IF($E879="","",INDEX('Input Transaksi'!$E:$E,$E879))</f>
        <v/>
      </c>
      <c r="D879" s="5">
        <f>IF($E879="","",INDEX('Input Transaksi'!$F:$F,$E879))</f>
        <v/>
      </c>
      <c r="E879">
        <f>IFERROR(AGGREGATE(15,6,ROW('Input Transaksi'!$B$5:$B$5000)/('Input Transaksi'!$B$5:$B$5000="JCL BYPASS"),ROWS($E$5:E879)),"")</f>
        <v/>
      </c>
      <c r="F879" s="5" t="n"/>
    </row>
    <row r="880">
      <c r="A880" s="10">
        <f>IF($E880="","",INDEX('Input Transaksi'!$A:$A,$E880))</f>
        <v/>
      </c>
      <c r="B880" s="5">
        <f>IF($E880="","",INDEX('Input Transaksi'!$D:$D,$E880))</f>
        <v/>
      </c>
      <c r="C880">
        <f>IF($E880="","",INDEX('Input Transaksi'!$E:$E,$E880))</f>
        <v/>
      </c>
      <c r="D880" s="5">
        <f>IF($E880="","",INDEX('Input Transaksi'!$F:$F,$E880))</f>
        <v/>
      </c>
      <c r="E880">
        <f>IFERROR(AGGREGATE(15,6,ROW('Input Transaksi'!$B$5:$B$5000)/('Input Transaksi'!$B$5:$B$5000="JCL BYPASS"),ROWS($E$5:E880)),"")</f>
        <v/>
      </c>
      <c r="F880" s="5" t="n"/>
    </row>
    <row r="881">
      <c r="A881" s="10">
        <f>IF($E881="","",INDEX('Input Transaksi'!$A:$A,$E881))</f>
        <v/>
      </c>
      <c r="B881" s="5">
        <f>IF($E881="","",INDEX('Input Transaksi'!$D:$D,$E881))</f>
        <v/>
      </c>
      <c r="C881">
        <f>IF($E881="","",INDEX('Input Transaksi'!$E:$E,$E881))</f>
        <v/>
      </c>
      <c r="D881" s="5">
        <f>IF($E881="","",INDEX('Input Transaksi'!$F:$F,$E881))</f>
        <v/>
      </c>
      <c r="E881">
        <f>IFERROR(AGGREGATE(15,6,ROW('Input Transaksi'!$B$5:$B$5000)/('Input Transaksi'!$B$5:$B$5000="JCL BYPASS"),ROWS($E$5:E881)),"")</f>
        <v/>
      </c>
      <c r="F881" s="5" t="n"/>
    </row>
    <row r="882">
      <c r="A882" s="10">
        <f>IF($E882="","",INDEX('Input Transaksi'!$A:$A,$E882))</f>
        <v/>
      </c>
      <c r="B882" s="5">
        <f>IF($E882="","",INDEX('Input Transaksi'!$D:$D,$E882))</f>
        <v/>
      </c>
      <c r="C882">
        <f>IF($E882="","",INDEX('Input Transaksi'!$E:$E,$E882))</f>
        <v/>
      </c>
      <c r="D882" s="5">
        <f>IF($E882="","",INDEX('Input Transaksi'!$F:$F,$E882))</f>
        <v/>
      </c>
      <c r="E882">
        <f>IFERROR(AGGREGATE(15,6,ROW('Input Transaksi'!$B$5:$B$5000)/('Input Transaksi'!$B$5:$B$5000="JCL BYPASS"),ROWS($E$5:E882)),"")</f>
        <v/>
      </c>
      <c r="F882" s="5" t="n"/>
    </row>
    <row r="883">
      <c r="A883" s="10">
        <f>IF($E883="","",INDEX('Input Transaksi'!$A:$A,$E883))</f>
        <v/>
      </c>
      <c r="B883" s="5">
        <f>IF($E883="","",INDEX('Input Transaksi'!$D:$D,$E883))</f>
        <v/>
      </c>
      <c r="C883">
        <f>IF($E883="","",INDEX('Input Transaksi'!$E:$E,$E883))</f>
        <v/>
      </c>
      <c r="D883" s="5">
        <f>IF($E883="","",INDEX('Input Transaksi'!$F:$F,$E883))</f>
        <v/>
      </c>
      <c r="E883">
        <f>IFERROR(AGGREGATE(15,6,ROW('Input Transaksi'!$B$5:$B$5000)/('Input Transaksi'!$B$5:$B$5000="JCL BYPASS"),ROWS($E$5:E883)),"")</f>
        <v/>
      </c>
      <c r="F883" s="5" t="n"/>
    </row>
    <row r="884">
      <c r="A884" s="10">
        <f>IF($E884="","",INDEX('Input Transaksi'!$A:$A,$E884))</f>
        <v/>
      </c>
      <c r="B884" s="5">
        <f>IF($E884="","",INDEX('Input Transaksi'!$D:$D,$E884))</f>
        <v/>
      </c>
      <c r="C884">
        <f>IF($E884="","",INDEX('Input Transaksi'!$E:$E,$E884))</f>
        <v/>
      </c>
      <c r="D884" s="5">
        <f>IF($E884="","",INDEX('Input Transaksi'!$F:$F,$E884))</f>
        <v/>
      </c>
      <c r="E884">
        <f>IFERROR(AGGREGATE(15,6,ROW('Input Transaksi'!$B$5:$B$5000)/('Input Transaksi'!$B$5:$B$5000="JCL BYPASS"),ROWS($E$5:E884)),"")</f>
        <v/>
      </c>
      <c r="F884" s="5" t="n"/>
    </row>
    <row r="885">
      <c r="A885" s="10">
        <f>IF($E885="","",INDEX('Input Transaksi'!$A:$A,$E885))</f>
        <v/>
      </c>
      <c r="B885" s="5">
        <f>IF($E885="","",INDEX('Input Transaksi'!$D:$D,$E885))</f>
        <v/>
      </c>
      <c r="C885">
        <f>IF($E885="","",INDEX('Input Transaksi'!$E:$E,$E885))</f>
        <v/>
      </c>
      <c r="D885" s="5">
        <f>IF($E885="","",INDEX('Input Transaksi'!$F:$F,$E885))</f>
        <v/>
      </c>
      <c r="E885">
        <f>IFERROR(AGGREGATE(15,6,ROW('Input Transaksi'!$B$5:$B$5000)/('Input Transaksi'!$B$5:$B$5000="JCL BYPASS"),ROWS($E$5:E885)),"")</f>
        <v/>
      </c>
      <c r="F885" s="5" t="n"/>
    </row>
    <row r="886">
      <c r="A886" s="10">
        <f>IF($E886="","",INDEX('Input Transaksi'!$A:$A,$E886))</f>
        <v/>
      </c>
      <c r="B886" s="5">
        <f>IF($E886="","",INDEX('Input Transaksi'!$D:$D,$E886))</f>
        <v/>
      </c>
      <c r="C886">
        <f>IF($E886="","",INDEX('Input Transaksi'!$E:$E,$E886))</f>
        <v/>
      </c>
      <c r="D886" s="5">
        <f>IF($E886="","",INDEX('Input Transaksi'!$F:$F,$E886))</f>
        <v/>
      </c>
      <c r="E886">
        <f>IFERROR(AGGREGATE(15,6,ROW('Input Transaksi'!$B$5:$B$5000)/('Input Transaksi'!$B$5:$B$5000="JCL BYPASS"),ROWS($E$5:E886)),"")</f>
        <v/>
      </c>
      <c r="F886" s="5" t="n"/>
    </row>
    <row r="887">
      <c r="A887" s="10">
        <f>IF($E887="","",INDEX('Input Transaksi'!$A:$A,$E887))</f>
        <v/>
      </c>
      <c r="B887" s="5">
        <f>IF($E887="","",INDEX('Input Transaksi'!$D:$D,$E887))</f>
        <v/>
      </c>
      <c r="C887">
        <f>IF($E887="","",INDEX('Input Transaksi'!$E:$E,$E887))</f>
        <v/>
      </c>
      <c r="D887" s="5">
        <f>IF($E887="","",INDEX('Input Transaksi'!$F:$F,$E887))</f>
        <v/>
      </c>
      <c r="E887">
        <f>IFERROR(AGGREGATE(15,6,ROW('Input Transaksi'!$B$5:$B$5000)/('Input Transaksi'!$B$5:$B$5000="JCL BYPASS"),ROWS($E$5:E887)),"")</f>
        <v/>
      </c>
      <c r="F887" s="5" t="n"/>
    </row>
    <row r="888">
      <c r="A888" s="10">
        <f>IF($E888="","",INDEX('Input Transaksi'!$A:$A,$E888))</f>
        <v/>
      </c>
      <c r="B888" s="5">
        <f>IF($E888="","",INDEX('Input Transaksi'!$D:$D,$E888))</f>
        <v/>
      </c>
      <c r="C888">
        <f>IF($E888="","",INDEX('Input Transaksi'!$E:$E,$E888))</f>
        <v/>
      </c>
      <c r="D888" s="5">
        <f>IF($E888="","",INDEX('Input Transaksi'!$F:$F,$E888))</f>
        <v/>
      </c>
      <c r="E888">
        <f>IFERROR(AGGREGATE(15,6,ROW('Input Transaksi'!$B$5:$B$5000)/('Input Transaksi'!$B$5:$B$5000="JCL BYPASS"),ROWS($E$5:E888)),"")</f>
        <v/>
      </c>
      <c r="F888" s="5" t="n"/>
    </row>
    <row r="889">
      <c r="A889" s="10">
        <f>IF($E889="","",INDEX('Input Transaksi'!$A:$A,$E889))</f>
        <v/>
      </c>
      <c r="B889" s="5">
        <f>IF($E889="","",INDEX('Input Transaksi'!$D:$D,$E889))</f>
        <v/>
      </c>
      <c r="C889">
        <f>IF($E889="","",INDEX('Input Transaksi'!$E:$E,$E889))</f>
        <v/>
      </c>
      <c r="D889" s="5">
        <f>IF($E889="","",INDEX('Input Transaksi'!$F:$F,$E889))</f>
        <v/>
      </c>
      <c r="E889">
        <f>IFERROR(AGGREGATE(15,6,ROW('Input Transaksi'!$B$5:$B$5000)/('Input Transaksi'!$B$5:$B$5000="JCL BYPASS"),ROWS($E$5:E889)),"")</f>
        <v/>
      </c>
      <c r="F889" s="5" t="n"/>
    </row>
    <row r="890">
      <c r="A890" s="10">
        <f>IF($E890="","",INDEX('Input Transaksi'!$A:$A,$E890))</f>
        <v/>
      </c>
      <c r="B890" s="5">
        <f>IF($E890="","",INDEX('Input Transaksi'!$D:$D,$E890))</f>
        <v/>
      </c>
      <c r="C890">
        <f>IF($E890="","",INDEX('Input Transaksi'!$E:$E,$E890))</f>
        <v/>
      </c>
      <c r="D890" s="5">
        <f>IF($E890="","",INDEX('Input Transaksi'!$F:$F,$E890))</f>
        <v/>
      </c>
      <c r="E890">
        <f>IFERROR(AGGREGATE(15,6,ROW('Input Transaksi'!$B$5:$B$5000)/('Input Transaksi'!$B$5:$B$5000="JCL BYPASS"),ROWS($E$5:E890)),"")</f>
        <v/>
      </c>
      <c r="F890" s="5" t="n"/>
    </row>
    <row r="891">
      <c r="A891" s="10">
        <f>IF($E891="","",INDEX('Input Transaksi'!$A:$A,$E891))</f>
        <v/>
      </c>
      <c r="B891" s="5">
        <f>IF($E891="","",INDEX('Input Transaksi'!$D:$D,$E891))</f>
        <v/>
      </c>
      <c r="C891">
        <f>IF($E891="","",INDEX('Input Transaksi'!$E:$E,$E891))</f>
        <v/>
      </c>
      <c r="D891" s="5">
        <f>IF($E891="","",INDEX('Input Transaksi'!$F:$F,$E891))</f>
        <v/>
      </c>
      <c r="E891">
        <f>IFERROR(AGGREGATE(15,6,ROW('Input Transaksi'!$B$5:$B$5000)/('Input Transaksi'!$B$5:$B$5000="JCL BYPASS"),ROWS($E$5:E891)),"")</f>
        <v/>
      </c>
      <c r="F891" s="5" t="n"/>
    </row>
    <row r="892">
      <c r="A892" s="10">
        <f>IF($E892="","",INDEX('Input Transaksi'!$A:$A,$E892))</f>
        <v/>
      </c>
      <c r="B892" s="5">
        <f>IF($E892="","",INDEX('Input Transaksi'!$D:$D,$E892))</f>
        <v/>
      </c>
      <c r="C892">
        <f>IF($E892="","",INDEX('Input Transaksi'!$E:$E,$E892))</f>
        <v/>
      </c>
      <c r="D892" s="5">
        <f>IF($E892="","",INDEX('Input Transaksi'!$F:$F,$E892))</f>
        <v/>
      </c>
      <c r="E892">
        <f>IFERROR(AGGREGATE(15,6,ROW('Input Transaksi'!$B$5:$B$5000)/('Input Transaksi'!$B$5:$B$5000="JCL BYPASS"),ROWS($E$5:E892)),"")</f>
        <v/>
      </c>
      <c r="F892" s="5" t="n"/>
    </row>
    <row r="893">
      <c r="A893" s="10">
        <f>IF($E893="","",INDEX('Input Transaksi'!$A:$A,$E893))</f>
        <v/>
      </c>
      <c r="B893" s="5">
        <f>IF($E893="","",INDEX('Input Transaksi'!$D:$D,$E893))</f>
        <v/>
      </c>
      <c r="C893">
        <f>IF($E893="","",INDEX('Input Transaksi'!$E:$E,$E893))</f>
        <v/>
      </c>
      <c r="D893" s="5">
        <f>IF($E893="","",INDEX('Input Transaksi'!$F:$F,$E893))</f>
        <v/>
      </c>
      <c r="E893">
        <f>IFERROR(AGGREGATE(15,6,ROW('Input Transaksi'!$B$5:$B$5000)/('Input Transaksi'!$B$5:$B$5000="JCL BYPASS"),ROWS($E$5:E893)),"")</f>
        <v/>
      </c>
      <c r="F893" s="5" t="n"/>
    </row>
    <row r="894">
      <c r="A894" s="10">
        <f>IF($E894="","",INDEX('Input Transaksi'!$A:$A,$E894))</f>
        <v/>
      </c>
      <c r="B894" s="5">
        <f>IF($E894="","",INDEX('Input Transaksi'!$D:$D,$E894))</f>
        <v/>
      </c>
      <c r="C894">
        <f>IF($E894="","",INDEX('Input Transaksi'!$E:$E,$E894))</f>
        <v/>
      </c>
      <c r="D894" s="5">
        <f>IF($E894="","",INDEX('Input Transaksi'!$F:$F,$E894))</f>
        <v/>
      </c>
      <c r="E894">
        <f>IFERROR(AGGREGATE(15,6,ROW('Input Transaksi'!$B$5:$B$5000)/('Input Transaksi'!$B$5:$B$5000="JCL BYPASS"),ROWS($E$5:E894)),"")</f>
        <v/>
      </c>
      <c r="F894" s="5" t="n"/>
    </row>
    <row r="895">
      <c r="A895" s="10">
        <f>IF($E895="","",INDEX('Input Transaksi'!$A:$A,$E895))</f>
        <v/>
      </c>
      <c r="B895" s="5">
        <f>IF($E895="","",INDEX('Input Transaksi'!$D:$D,$E895))</f>
        <v/>
      </c>
      <c r="C895">
        <f>IF($E895="","",INDEX('Input Transaksi'!$E:$E,$E895))</f>
        <v/>
      </c>
      <c r="D895" s="5">
        <f>IF($E895="","",INDEX('Input Transaksi'!$F:$F,$E895))</f>
        <v/>
      </c>
      <c r="E895">
        <f>IFERROR(AGGREGATE(15,6,ROW('Input Transaksi'!$B$5:$B$5000)/('Input Transaksi'!$B$5:$B$5000="JCL BYPASS"),ROWS($E$5:E895)),"")</f>
        <v/>
      </c>
      <c r="F895" s="5" t="n"/>
    </row>
    <row r="896">
      <c r="A896" s="10">
        <f>IF($E896="","",INDEX('Input Transaksi'!$A:$A,$E896))</f>
        <v/>
      </c>
      <c r="B896" s="5">
        <f>IF($E896="","",INDEX('Input Transaksi'!$D:$D,$E896))</f>
        <v/>
      </c>
      <c r="C896">
        <f>IF($E896="","",INDEX('Input Transaksi'!$E:$E,$E896))</f>
        <v/>
      </c>
      <c r="D896" s="5">
        <f>IF($E896="","",INDEX('Input Transaksi'!$F:$F,$E896))</f>
        <v/>
      </c>
      <c r="E896">
        <f>IFERROR(AGGREGATE(15,6,ROW('Input Transaksi'!$B$5:$B$5000)/('Input Transaksi'!$B$5:$B$5000="JCL BYPASS"),ROWS($E$5:E896)),"")</f>
        <v/>
      </c>
      <c r="F896" s="5" t="n"/>
    </row>
    <row r="897">
      <c r="A897" s="10">
        <f>IF($E897="","",INDEX('Input Transaksi'!$A:$A,$E897))</f>
        <v/>
      </c>
      <c r="B897" s="5">
        <f>IF($E897="","",INDEX('Input Transaksi'!$D:$D,$E897))</f>
        <v/>
      </c>
      <c r="C897">
        <f>IF($E897="","",INDEX('Input Transaksi'!$E:$E,$E897))</f>
        <v/>
      </c>
      <c r="D897" s="5">
        <f>IF($E897="","",INDEX('Input Transaksi'!$F:$F,$E897))</f>
        <v/>
      </c>
      <c r="E897">
        <f>IFERROR(AGGREGATE(15,6,ROW('Input Transaksi'!$B$5:$B$5000)/('Input Transaksi'!$B$5:$B$5000="JCL BYPASS"),ROWS($E$5:E897)),"")</f>
        <v/>
      </c>
      <c r="F897" s="5" t="n"/>
    </row>
    <row r="898">
      <c r="A898" s="10">
        <f>IF($E898="","",INDEX('Input Transaksi'!$A:$A,$E898))</f>
        <v/>
      </c>
      <c r="B898" s="5">
        <f>IF($E898="","",INDEX('Input Transaksi'!$D:$D,$E898))</f>
        <v/>
      </c>
      <c r="C898">
        <f>IF($E898="","",INDEX('Input Transaksi'!$E:$E,$E898))</f>
        <v/>
      </c>
      <c r="D898" s="5">
        <f>IF($E898="","",INDEX('Input Transaksi'!$F:$F,$E898))</f>
        <v/>
      </c>
      <c r="E898">
        <f>IFERROR(AGGREGATE(15,6,ROW('Input Transaksi'!$B$5:$B$5000)/('Input Transaksi'!$B$5:$B$5000="JCL BYPASS"),ROWS($E$5:E898)),"")</f>
        <v/>
      </c>
      <c r="F898" s="5" t="n"/>
    </row>
    <row r="899">
      <c r="A899" s="10">
        <f>IF($E899="","",INDEX('Input Transaksi'!$A:$A,$E899))</f>
        <v/>
      </c>
      <c r="B899" s="5">
        <f>IF($E899="","",INDEX('Input Transaksi'!$D:$D,$E899))</f>
        <v/>
      </c>
      <c r="C899">
        <f>IF($E899="","",INDEX('Input Transaksi'!$E:$E,$E899))</f>
        <v/>
      </c>
      <c r="D899" s="5">
        <f>IF($E899="","",INDEX('Input Transaksi'!$F:$F,$E899))</f>
        <v/>
      </c>
      <c r="E899">
        <f>IFERROR(AGGREGATE(15,6,ROW('Input Transaksi'!$B$5:$B$5000)/('Input Transaksi'!$B$5:$B$5000="JCL BYPASS"),ROWS($E$5:E899)),"")</f>
        <v/>
      </c>
      <c r="F899" s="5" t="n"/>
    </row>
    <row r="900">
      <c r="A900" s="10">
        <f>IF($E900="","",INDEX('Input Transaksi'!$A:$A,$E900))</f>
        <v/>
      </c>
      <c r="B900" s="5">
        <f>IF($E900="","",INDEX('Input Transaksi'!$D:$D,$E900))</f>
        <v/>
      </c>
      <c r="C900">
        <f>IF($E900="","",INDEX('Input Transaksi'!$E:$E,$E900))</f>
        <v/>
      </c>
      <c r="D900" s="5">
        <f>IF($E900="","",INDEX('Input Transaksi'!$F:$F,$E900))</f>
        <v/>
      </c>
      <c r="E900">
        <f>IFERROR(AGGREGATE(15,6,ROW('Input Transaksi'!$B$5:$B$5000)/('Input Transaksi'!$B$5:$B$5000="JCL BYPASS"),ROWS($E$5:E900)),"")</f>
        <v/>
      </c>
      <c r="F900" s="5" t="n"/>
    </row>
    <row r="901">
      <c r="A901" s="10">
        <f>IF($E901="","",INDEX('Input Transaksi'!$A:$A,$E901))</f>
        <v/>
      </c>
      <c r="B901" s="5">
        <f>IF($E901="","",INDEX('Input Transaksi'!$D:$D,$E901))</f>
        <v/>
      </c>
      <c r="C901">
        <f>IF($E901="","",INDEX('Input Transaksi'!$E:$E,$E901))</f>
        <v/>
      </c>
      <c r="D901" s="5">
        <f>IF($E901="","",INDEX('Input Transaksi'!$F:$F,$E901))</f>
        <v/>
      </c>
      <c r="E901">
        <f>IFERROR(AGGREGATE(15,6,ROW('Input Transaksi'!$B$5:$B$5000)/('Input Transaksi'!$B$5:$B$5000="JCL BYPASS"),ROWS($E$5:E901)),"")</f>
        <v/>
      </c>
      <c r="F901" s="5" t="n"/>
    </row>
    <row r="902">
      <c r="A902" s="10">
        <f>IF($E902="","",INDEX('Input Transaksi'!$A:$A,$E902))</f>
        <v/>
      </c>
      <c r="B902" s="5">
        <f>IF($E902="","",INDEX('Input Transaksi'!$D:$D,$E902))</f>
        <v/>
      </c>
      <c r="C902">
        <f>IF($E902="","",INDEX('Input Transaksi'!$E:$E,$E902))</f>
        <v/>
      </c>
      <c r="D902" s="5">
        <f>IF($E902="","",INDEX('Input Transaksi'!$F:$F,$E902))</f>
        <v/>
      </c>
      <c r="E902">
        <f>IFERROR(AGGREGATE(15,6,ROW('Input Transaksi'!$B$5:$B$5000)/('Input Transaksi'!$B$5:$B$5000="JCL BYPASS"),ROWS($E$5:E902)),"")</f>
        <v/>
      </c>
      <c r="F902" s="5" t="n"/>
    </row>
    <row r="903">
      <c r="A903" s="10">
        <f>IF($E903="","",INDEX('Input Transaksi'!$A:$A,$E903))</f>
        <v/>
      </c>
      <c r="B903" s="5">
        <f>IF($E903="","",INDEX('Input Transaksi'!$D:$D,$E903))</f>
        <v/>
      </c>
      <c r="C903">
        <f>IF($E903="","",INDEX('Input Transaksi'!$E:$E,$E903))</f>
        <v/>
      </c>
      <c r="D903" s="5">
        <f>IF($E903="","",INDEX('Input Transaksi'!$F:$F,$E903))</f>
        <v/>
      </c>
      <c r="E903">
        <f>IFERROR(AGGREGATE(15,6,ROW('Input Transaksi'!$B$5:$B$5000)/('Input Transaksi'!$B$5:$B$5000="JCL BYPASS"),ROWS($E$5:E903)),"")</f>
        <v/>
      </c>
      <c r="F903" s="5" t="n"/>
    </row>
    <row r="904">
      <c r="A904" s="10">
        <f>IF($E904="","",INDEX('Input Transaksi'!$A:$A,$E904))</f>
        <v/>
      </c>
      <c r="B904" s="5">
        <f>IF($E904="","",INDEX('Input Transaksi'!$D:$D,$E904))</f>
        <v/>
      </c>
      <c r="C904">
        <f>IF($E904="","",INDEX('Input Transaksi'!$E:$E,$E904))</f>
        <v/>
      </c>
      <c r="D904" s="5">
        <f>IF($E904="","",INDEX('Input Transaksi'!$F:$F,$E904))</f>
        <v/>
      </c>
      <c r="E904">
        <f>IFERROR(AGGREGATE(15,6,ROW('Input Transaksi'!$B$5:$B$5000)/('Input Transaksi'!$B$5:$B$5000="JCL BYPASS"),ROWS($E$5:E904)),"")</f>
        <v/>
      </c>
      <c r="F904" s="5" t="n"/>
    </row>
    <row r="905">
      <c r="A905" s="10">
        <f>IF($E905="","",INDEX('Input Transaksi'!$A:$A,$E905))</f>
        <v/>
      </c>
      <c r="B905" s="5">
        <f>IF($E905="","",INDEX('Input Transaksi'!$D:$D,$E905))</f>
        <v/>
      </c>
      <c r="C905">
        <f>IF($E905="","",INDEX('Input Transaksi'!$E:$E,$E905))</f>
        <v/>
      </c>
      <c r="D905" s="5">
        <f>IF($E905="","",INDEX('Input Transaksi'!$F:$F,$E905))</f>
        <v/>
      </c>
      <c r="E905">
        <f>IFERROR(AGGREGATE(15,6,ROW('Input Transaksi'!$B$5:$B$5000)/('Input Transaksi'!$B$5:$B$5000="JCL BYPASS"),ROWS($E$5:E905)),"")</f>
        <v/>
      </c>
      <c r="F905" s="5" t="n"/>
    </row>
    <row r="906">
      <c r="A906" s="10">
        <f>IF($E906="","",INDEX('Input Transaksi'!$A:$A,$E906))</f>
        <v/>
      </c>
      <c r="B906" s="5">
        <f>IF($E906="","",INDEX('Input Transaksi'!$D:$D,$E906))</f>
        <v/>
      </c>
      <c r="C906">
        <f>IF($E906="","",INDEX('Input Transaksi'!$E:$E,$E906))</f>
        <v/>
      </c>
      <c r="D906" s="5">
        <f>IF($E906="","",INDEX('Input Transaksi'!$F:$F,$E906))</f>
        <v/>
      </c>
      <c r="E906">
        <f>IFERROR(AGGREGATE(15,6,ROW('Input Transaksi'!$B$5:$B$5000)/('Input Transaksi'!$B$5:$B$5000="JCL BYPASS"),ROWS($E$5:E906)),"")</f>
        <v/>
      </c>
      <c r="F906" s="5" t="n"/>
    </row>
    <row r="907">
      <c r="A907" s="10">
        <f>IF($E907="","",INDEX('Input Transaksi'!$A:$A,$E907))</f>
        <v/>
      </c>
      <c r="B907" s="5">
        <f>IF($E907="","",INDEX('Input Transaksi'!$D:$D,$E907))</f>
        <v/>
      </c>
      <c r="C907">
        <f>IF($E907="","",INDEX('Input Transaksi'!$E:$E,$E907))</f>
        <v/>
      </c>
      <c r="D907" s="5">
        <f>IF($E907="","",INDEX('Input Transaksi'!$F:$F,$E907))</f>
        <v/>
      </c>
      <c r="E907">
        <f>IFERROR(AGGREGATE(15,6,ROW('Input Transaksi'!$B$5:$B$5000)/('Input Transaksi'!$B$5:$B$5000="JCL BYPASS"),ROWS($E$5:E907)),"")</f>
        <v/>
      </c>
      <c r="F907" s="5" t="n"/>
    </row>
    <row r="908">
      <c r="A908" s="10">
        <f>IF($E908="","",INDEX('Input Transaksi'!$A:$A,$E908))</f>
        <v/>
      </c>
      <c r="B908" s="5">
        <f>IF($E908="","",INDEX('Input Transaksi'!$D:$D,$E908))</f>
        <v/>
      </c>
      <c r="C908">
        <f>IF($E908="","",INDEX('Input Transaksi'!$E:$E,$E908))</f>
        <v/>
      </c>
      <c r="D908" s="5">
        <f>IF($E908="","",INDEX('Input Transaksi'!$F:$F,$E908))</f>
        <v/>
      </c>
      <c r="E908">
        <f>IFERROR(AGGREGATE(15,6,ROW('Input Transaksi'!$B$5:$B$5000)/('Input Transaksi'!$B$5:$B$5000="JCL BYPASS"),ROWS($E$5:E908)),"")</f>
        <v/>
      </c>
      <c r="F908" s="5" t="n"/>
    </row>
    <row r="909">
      <c r="A909" s="10">
        <f>IF($E909="","",INDEX('Input Transaksi'!$A:$A,$E909))</f>
        <v/>
      </c>
      <c r="B909" s="5">
        <f>IF($E909="","",INDEX('Input Transaksi'!$D:$D,$E909))</f>
        <v/>
      </c>
      <c r="C909">
        <f>IF($E909="","",INDEX('Input Transaksi'!$E:$E,$E909))</f>
        <v/>
      </c>
      <c r="D909" s="5">
        <f>IF($E909="","",INDEX('Input Transaksi'!$F:$F,$E909))</f>
        <v/>
      </c>
      <c r="E909">
        <f>IFERROR(AGGREGATE(15,6,ROW('Input Transaksi'!$B$5:$B$5000)/('Input Transaksi'!$B$5:$B$5000="JCL BYPASS"),ROWS($E$5:E909)),"")</f>
        <v/>
      </c>
      <c r="F909" s="5" t="n"/>
    </row>
    <row r="910">
      <c r="A910" s="10">
        <f>IF($E910="","",INDEX('Input Transaksi'!$A:$A,$E910))</f>
        <v/>
      </c>
      <c r="B910" s="5">
        <f>IF($E910="","",INDEX('Input Transaksi'!$D:$D,$E910))</f>
        <v/>
      </c>
      <c r="C910">
        <f>IF($E910="","",INDEX('Input Transaksi'!$E:$E,$E910))</f>
        <v/>
      </c>
      <c r="D910" s="5">
        <f>IF($E910="","",INDEX('Input Transaksi'!$F:$F,$E910))</f>
        <v/>
      </c>
      <c r="E910">
        <f>IFERROR(AGGREGATE(15,6,ROW('Input Transaksi'!$B$5:$B$5000)/('Input Transaksi'!$B$5:$B$5000="JCL BYPASS"),ROWS($E$5:E910)),"")</f>
        <v/>
      </c>
      <c r="F910" s="5" t="n"/>
    </row>
    <row r="911">
      <c r="A911" s="10">
        <f>IF($E911="","",INDEX('Input Transaksi'!$A:$A,$E911))</f>
        <v/>
      </c>
      <c r="B911" s="5">
        <f>IF($E911="","",INDEX('Input Transaksi'!$D:$D,$E911))</f>
        <v/>
      </c>
      <c r="C911">
        <f>IF($E911="","",INDEX('Input Transaksi'!$E:$E,$E911))</f>
        <v/>
      </c>
      <c r="D911" s="5">
        <f>IF($E911="","",INDEX('Input Transaksi'!$F:$F,$E911))</f>
        <v/>
      </c>
      <c r="E911">
        <f>IFERROR(AGGREGATE(15,6,ROW('Input Transaksi'!$B$5:$B$5000)/('Input Transaksi'!$B$5:$B$5000="JCL BYPASS"),ROWS($E$5:E911)),"")</f>
        <v/>
      </c>
      <c r="F911" s="5" t="n"/>
    </row>
    <row r="912">
      <c r="A912" s="10">
        <f>IF($E912="","",INDEX('Input Transaksi'!$A:$A,$E912))</f>
        <v/>
      </c>
      <c r="B912" s="5">
        <f>IF($E912="","",INDEX('Input Transaksi'!$D:$D,$E912))</f>
        <v/>
      </c>
      <c r="C912">
        <f>IF($E912="","",INDEX('Input Transaksi'!$E:$E,$E912))</f>
        <v/>
      </c>
      <c r="D912" s="5">
        <f>IF($E912="","",INDEX('Input Transaksi'!$F:$F,$E912))</f>
        <v/>
      </c>
      <c r="E912">
        <f>IFERROR(AGGREGATE(15,6,ROW('Input Transaksi'!$B$5:$B$5000)/('Input Transaksi'!$B$5:$B$5000="JCL BYPASS"),ROWS($E$5:E912)),"")</f>
        <v/>
      </c>
      <c r="F912" s="5" t="n"/>
    </row>
    <row r="913">
      <c r="A913" s="10">
        <f>IF($E913="","",INDEX('Input Transaksi'!$A:$A,$E913))</f>
        <v/>
      </c>
      <c r="B913" s="5">
        <f>IF($E913="","",INDEX('Input Transaksi'!$D:$D,$E913))</f>
        <v/>
      </c>
      <c r="C913">
        <f>IF($E913="","",INDEX('Input Transaksi'!$E:$E,$E913))</f>
        <v/>
      </c>
      <c r="D913" s="5">
        <f>IF($E913="","",INDEX('Input Transaksi'!$F:$F,$E913))</f>
        <v/>
      </c>
      <c r="E913">
        <f>IFERROR(AGGREGATE(15,6,ROW('Input Transaksi'!$B$5:$B$5000)/('Input Transaksi'!$B$5:$B$5000="JCL BYPASS"),ROWS($E$5:E913)),"")</f>
        <v/>
      </c>
      <c r="F913" s="5" t="n"/>
    </row>
    <row r="914">
      <c r="A914" s="10">
        <f>IF($E914="","",INDEX('Input Transaksi'!$A:$A,$E914))</f>
        <v/>
      </c>
      <c r="B914" s="5">
        <f>IF($E914="","",INDEX('Input Transaksi'!$D:$D,$E914))</f>
        <v/>
      </c>
      <c r="C914">
        <f>IF($E914="","",INDEX('Input Transaksi'!$E:$E,$E914))</f>
        <v/>
      </c>
      <c r="D914" s="5">
        <f>IF($E914="","",INDEX('Input Transaksi'!$F:$F,$E914))</f>
        <v/>
      </c>
      <c r="E914">
        <f>IFERROR(AGGREGATE(15,6,ROW('Input Transaksi'!$B$5:$B$5000)/('Input Transaksi'!$B$5:$B$5000="JCL BYPASS"),ROWS($E$5:E914)),"")</f>
        <v/>
      </c>
      <c r="F914" s="5" t="n"/>
    </row>
    <row r="915">
      <c r="A915" s="10">
        <f>IF($E915="","",INDEX('Input Transaksi'!$A:$A,$E915))</f>
        <v/>
      </c>
      <c r="B915" s="5">
        <f>IF($E915="","",INDEX('Input Transaksi'!$D:$D,$E915))</f>
        <v/>
      </c>
      <c r="C915">
        <f>IF($E915="","",INDEX('Input Transaksi'!$E:$E,$E915))</f>
        <v/>
      </c>
      <c r="D915" s="5">
        <f>IF($E915="","",INDEX('Input Transaksi'!$F:$F,$E915))</f>
        <v/>
      </c>
      <c r="E915">
        <f>IFERROR(AGGREGATE(15,6,ROW('Input Transaksi'!$B$5:$B$5000)/('Input Transaksi'!$B$5:$B$5000="JCL BYPASS"),ROWS($E$5:E915)),"")</f>
        <v/>
      </c>
      <c r="F915" s="5" t="n"/>
    </row>
    <row r="916">
      <c r="A916" s="10">
        <f>IF($E916="","",INDEX('Input Transaksi'!$A:$A,$E916))</f>
        <v/>
      </c>
      <c r="B916" s="5">
        <f>IF($E916="","",INDEX('Input Transaksi'!$D:$D,$E916))</f>
        <v/>
      </c>
      <c r="C916">
        <f>IF($E916="","",INDEX('Input Transaksi'!$E:$E,$E916))</f>
        <v/>
      </c>
      <c r="D916" s="5">
        <f>IF($E916="","",INDEX('Input Transaksi'!$F:$F,$E916))</f>
        <v/>
      </c>
      <c r="E916">
        <f>IFERROR(AGGREGATE(15,6,ROW('Input Transaksi'!$B$5:$B$5000)/('Input Transaksi'!$B$5:$B$5000="JCL BYPASS"),ROWS($E$5:E916)),"")</f>
        <v/>
      </c>
      <c r="F916" s="5" t="n"/>
    </row>
    <row r="917">
      <c r="A917" s="10">
        <f>IF($E917="","",INDEX('Input Transaksi'!$A:$A,$E917))</f>
        <v/>
      </c>
      <c r="B917" s="5">
        <f>IF($E917="","",INDEX('Input Transaksi'!$D:$D,$E917))</f>
        <v/>
      </c>
      <c r="C917">
        <f>IF($E917="","",INDEX('Input Transaksi'!$E:$E,$E917))</f>
        <v/>
      </c>
      <c r="D917" s="5">
        <f>IF($E917="","",INDEX('Input Transaksi'!$F:$F,$E917))</f>
        <v/>
      </c>
      <c r="E917">
        <f>IFERROR(AGGREGATE(15,6,ROW('Input Transaksi'!$B$5:$B$5000)/('Input Transaksi'!$B$5:$B$5000="JCL BYPASS"),ROWS($E$5:E917)),"")</f>
        <v/>
      </c>
      <c r="F917" s="5" t="n"/>
    </row>
    <row r="918">
      <c r="A918" s="10">
        <f>IF($E918="","",INDEX('Input Transaksi'!$A:$A,$E918))</f>
        <v/>
      </c>
      <c r="B918" s="5">
        <f>IF($E918="","",INDEX('Input Transaksi'!$D:$D,$E918))</f>
        <v/>
      </c>
      <c r="C918">
        <f>IF($E918="","",INDEX('Input Transaksi'!$E:$E,$E918))</f>
        <v/>
      </c>
      <c r="D918" s="5">
        <f>IF($E918="","",INDEX('Input Transaksi'!$F:$F,$E918))</f>
        <v/>
      </c>
      <c r="E918">
        <f>IFERROR(AGGREGATE(15,6,ROW('Input Transaksi'!$B$5:$B$5000)/('Input Transaksi'!$B$5:$B$5000="JCL BYPASS"),ROWS($E$5:E918)),"")</f>
        <v/>
      </c>
      <c r="F918" s="5" t="n"/>
    </row>
    <row r="919">
      <c r="A919" s="10">
        <f>IF($E919="","",INDEX('Input Transaksi'!$A:$A,$E919))</f>
        <v/>
      </c>
      <c r="B919" s="5">
        <f>IF($E919="","",INDEX('Input Transaksi'!$D:$D,$E919))</f>
        <v/>
      </c>
      <c r="C919">
        <f>IF($E919="","",INDEX('Input Transaksi'!$E:$E,$E919))</f>
        <v/>
      </c>
      <c r="D919" s="5">
        <f>IF($E919="","",INDEX('Input Transaksi'!$F:$F,$E919))</f>
        <v/>
      </c>
      <c r="E919">
        <f>IFERROR(AGGREGATE(15,6,ROW('Input Transaksi'!$B$5:$B$5000)/('Input Transaksi'!$B$5:$B$5000="JCL BYPASS"),ROWS($E$5:E919)),"")</f>
        <v/>
      </c>
      <c r="F919" s="5" t="n"/>
    </row>
    <row r="920">
      <c r="A920" s="10">
        <f>IF($E920="","",INDEX('Input Transaksi'!$A:$A,$E920))</f>
        <v/>
      </c>
      <c r="B920" s="5">
        <f>IF($E920="","",INDEX('Input Transaksi'!$D:$D,$E920))</f>
        <v/>
      </c>
      <c r="C920">
        <f>IF($E920="","",INDEX('Input Transaksi'!$E:$E,$E920))</f>
        <v/>
      </c>
      <c r="D920" s="5">
        <f>IF($E920="","",INDEX('Input Transaksi'!$F:$F,$E920))</f>
        <v/>
      </c>
      <c r="E920">
        <f>IFERROR(AGGREGATE(15,6,ROW('Input Transaksi'!$B$5:$B$5000)/('Input Transaksi'!$B$5:$B$5000="JCL BYPASS"),ROWS($E$5:E920)),"")</f>
        <v/>
      </c>
      <c r="F920" s="5" t="n"/>
    </row>
    <row r="921">
      <c r="A921" s="10">
        <f>IF($E921="","",INDEX('Input Transaksi'!$A:$A,$E921))</f>
        <v/>
      </c>
      <c r="B921" s="5">
        <f>IF($E921="","",INDEX('Input Transaksi'!$D:$D,$E921))</f>
        <v/>
      </c>
      <c r="C921">
        <f>IF($E921="","",INDEX('Input Transaksi'!$E:$E,$E921))</f>
        <v/>
      </c>
      <c r="D921" s="5">
        <f>IF($E921="","",INDEX('Input Transaksi'!$F:$F,$E921))</f>
        <v/>
      </c>
      <c r="E921">
        <f>IFERROR(AGGREGATE(15,6,ROW('Input Transaksi'!$B$5:$B$5000)/('Input Transaksi'!$B$5:$B$5000="JCL BYPASS"),ROWS($E$5:E921)),"")</f>
        <v/>
      </c>
      <c r="F921" s="5" t="n"/>
    </row>
    <row r="922">
      <c r="A922" s="10">
        <f>IF($E922="","",INDEX('Input Transaksi'!$A:$A,$E922))</f>
        <v/>
      </c>
      <c r="B922" s="5">
        <f>IF($E922="","",INDEX('Input Transaksi'!$D:$D,$E922))</f>
        <v/>
      </c>
      <c r="C922">
        <f>IF($E922="","",INDEX('Input Transaksi'!$E:$E,$E922))</f>
        <v/>
      </c>
      <c r="D922" s="5">
        <f>IF($E922="","",INDEX('Input Transaksi'!$F:$F,$E922))</f>
        <v/>
      </c>
      <c r="E922">
        <f>IFERROR(AGGREGATE(15,6,ROW('Input Transaksi'!$B$5:$B$5000)/('Input Transaksi'!$B$5:$B$5000="JCL BYPASS"),ROWS($E$5:E922)),"")</f>
        <v/>
      </c>
      <c r="F922" s="5" t="n"/>
    </row>
    <row r="923">
      <c r="A923" s="10">
        <f>IF($E923="","",INDEX('Input Transaksi'!$A:$A,$E923))</f>
        <v/>
      </c>
      <c r="B923" s="5">
        <f>IF($E923="","",INDEX('Input Transaksi'!$D:$D,$E923))</f>
        <v/>
      </c>
      <c r="C923">
        <f>IF($E923="","",INDEX('Input Transaksi'!$E:$E,$E923))</f>
        <v/>
      </c>
      <c r="D923" s="5">
        <f>IF($E923="","",INDEX('Input Transaksi'!$F:$F,$E923))</f>
        <v/>
      </c>
      <c r="E923">
        <f>IFERROR(AGGREGATE(15,6,ROW('Input Transaksi'!$B$5:$B$5000)/('Input Transaksi'!$B$5:$B$5000="JCL BYPASS"),ROWS($E$5:E923)),"")</f>
        <v/>
      </c>
      <c r="F923" s="5" t="n"/>
    </row>
    <row r="924">
      <c r="A924" s="10">
        <f>IF($E924="","",INDEX('Input Transaksi'!$A:$A,$E924))</f>
        <v/>
      </c>
      <c r="B924" s="5">
        <f>IF($E924="","",INDEX('Input Transaksi'!$D:$D,$E924))</f>
        <v/>
      </c>
      <c r="C924">
        <f>IF($E924="","",INDEX('Input Transaksi'!$E:$E,$E924))</f>
        <v/>
      </c>
      <c r="D924" s="5">
        <f>IF($E924="","",INDEX('Input Transaksi'!$F:$F,$E924))</f>
        <v/>
      </c>
      <c r="E924">
        <f>IFERROR(AGGREGATE(15,6,ROW('Input Transaksi'!$B$5:$B$5000)/('Input Transaksi'!$B$5:$B$5000="JCL BYPASS"),ROWS($E$5:E924)),"")</f>
        <v/>
      </c>
      <c r="F924" s="5" t="n"/>
    </row>
    <row r="925">
      <c r="A925" s="10">
        <f>IF($E925="","",INDEX('Input Transaksi'!$A:$A,$E925))</f>
        <v/>
      </c>
      <c r="B925" s="5">
        <f>IF($E925="","",INDEX('Input Transaksi'!$D:$D,$E925))</f>
        <v/>
      </c>
      <c r="C925">
        <f>IF($E925="","",INDEX('Input Transaksi'!$E:$E,$E925))</f>
        <v/>
      </c>
      <c r="D925" s="5">
        <f>IF($E925="","",INDEX('Input Transaksi'!$F:$F,$E925))</f>
        <v/>
      </c>
      <c r="E925">
        <f>IFERROR(AGGREGATE(15,6,ROW('Input Transaksi'!$B$5:$B$5000)/('Input Transaksi'!$B$5:$B$5000="JCL BYPASS"),ROWS($E$5:E925)),"")</f>
        <v/>
      </c>
      <c r="F925" s="5" t="n"/>
    </row>
    <row r="926">
      <c r="A926" s="10">
        <f>IF($E926="","",INDEX('Input Transaksi'!$A:$A,$E926))</f>
        <v/>
      </c>
      <c r="B926" s="5">
        <f>IF($E926="","",INDEX('Input Transaksi'!$D:$D,$E926))</f>
        <v/>
      </c>
      <c r="C926">
        <f>IF($E926="","",INDEX('Input Transaksi'!$E:$E,$E926))</f>
        <v/>
      </c>
      <c r="D926" s="5">
        <f>IF($E926="","",INDEX('Input Transaksi'!$F:$F,$E926))</f>
        <v/>
      </c>
      <c r="E926">
        <f>IFERROR(AGGREGATE(15,6,ROW('Input Transaksi'!$B$5:$B$5000)/('Input Transaksi'!$B$5:$B$5000="JCL BYPASS"),ROWS($E$5:E926)),"")</f>
        <v/>
      </c>
      <c r="F926" s="5" t="n"/>
    </row>
    <row r="927">
      <c r="A927" s="10">
        <f>IF($E927="","",INDEX('Input Transaksi'!$A:$A,$E927))</f>
        <v/>
      </c>
      <c r="B927" s="5">
        <f>IF($E927="","",INDEX('Input Transaksi'!$D:$D,$E927))</f>
        <v/>
      </c>
      <c r="C927">
        <f>IF($E927="","",INDEX('Input Transaksi'!$E:$E,$E927))</f>
        <v/>
      </c>
      <c r="D927" s="5">
        <f>IF($E927="","",INDEX('Input Transaksi'!$F:$F,$E927))</f>
        <v/>
      </c>
      <c r="E927">
        <f>IFERROR(AGGREGATE(15,6,ROW('Input Transaksi'!$B$5:$B$5000)/('Input Transaksi'!$B$5:$B$5000="JCL BYPASS"),ROWS($E$5:E927)),"")</f>
        <v/>
      </c>
      <c r="F927" s="5" t="n"/>
    </row>
    <row r="928">
      <c r="A928" s="10">
        <f>IF($E928="","",INDEX('Input Transaksi'!$A:$A,$E928))</f>
        <v/>
      </c>
      <c r="B928" s="5">
        <f>IF($E928="","",INDEX('Input Transaksi'!$D:$D,$E928))</f>
        <v/>
      </c>
      <c r="C928">
        <f>IF($E928="","",INDEX('Input Transaksi'!$E:$E,$E928))</f>
        <v/>
      </c>
      <c r="D928" s="5">
        <f>IF($E928="","",INDEX('Input Transaksi'!$F:$F,$E928))</f>
        <v/>
      </c>
      <c r="E928">
        <f>IFERROR(AGGREGATE(15,6,ROW('Input Transaksi'!$B$5:$B$5000)/('Input Transaksi'!$B$5:$B$5000="JCL BYPASS"),ROWS($E$5:E928)),"")</f>
        <v/>
      </c>
      <c r="F928" s="5" t="n"/>
    </row>
    <row r="929">
      <c r="A929" s="10">
        <f>IF($E929="","",INDEX('Input Transaksi'!$A:$A,$E929))</f>
        <v/>
      </c>
      <c r="B929" s="5">
        <f>IF($E929="","",INDEX('Input Transaksi'!$D:$D,$E929))</f>
        <v/>
      </c>
      <c r="C929">
        <f>IF($E929="","",INDEX('Input Transaksi'!$E:$E,$E929))</f>
        <v/>
      </c>
      <c r="D929" s="5">
        <f>IF($E929="","",INDEX('Input Transaksi'!$F:$F,$E929))</f>
        <v/>
      </c>
      <c r="E929">
        <f>IFERROR(AGGREGATE(15,6,ROW('Input Transaksi'!$B$5:$B$5000)/('Input Transaksi'!$B$5:$B$5000="JCL BYPASS"),ROWS($E$5:E929)),"")</f>
        <v/>
      </c>
      <c r="F929" s="5" t="n"/>
    </row>
    <row r="930">
      <c r="A930" s="10">
        <f>IF($E930="","",INDEX('Input Transaksi'!$A:$A,$E930))</f>
        <v/>
      </c>
      <c r="B930" s="5">
        <f>IF($E930="","",INDEX('Input Transaksi'!$D:$D,$E930))</f>
        <v/>
      </c>
      <c r="C930">
        <f>IF($E930="","",INDEX('Input Transaksi'!$E:$E,$E930))</f>
        <v/>
      </c>
      <c r="D930" s="5">
        <f>IF($E930="","",INDEX('Input Transaksi'!$F:$F,$E930))</f>
        <v/>
      </c>
      <c r="E930">
        <f>IFERROR(AGGREGATE(15,6,ROW('Input Transaksi'!$B$5:$B$5000)/('Input Transaksi'!$B$5:$B$5000="JCL BYPASS"),ROWS($E$5:E930)),"")</f>
        <v/>
      </c>
      <c r="F930" s="5" t="n"/>
    </row>
    <row r="931">
      <c r="A931" s="10">
        <f>IF($E931="","",INDEX('Input Transaksi'!$A:$A,$E931))</f>
        <v/>
      </c>
      <c r="B931" s="5">
        <f>IF($E931="","",INDEX('Input Transaksi'!$D:$D,$E931))</f>
        <v/>
      </c>
      <c r="C931">
        <f>IF($E931="","",INDEX('Input Transaksi'!$E:$E,$E931))</f>
        <v/>
      </c>
      <c r="D931" s="5">
        <f>IF($E931="","",INDEX('Input Transaksi'!$F:$F,$E931))</f>
        <v/>
      </c>
      <c r="E931">
        <f>IFERROR(AGGREGATE(15,6,ROW('Input Transaksi'!$B$5:$B$5000)/('Input Transaksi'!$B$5:$B$5000="JCL BYPASS"),ROWS($E$5:E931)),"")</f>
        <v/>
      </c>
      <c r="F931" s="5" t="n"/>
    </row>
    <row r="932">
      <c r="A932" s="10">
        <f>IF($E932="","",INDEX('Input Transaksi'!$A:$A,$E932))</f>
        <v/>
      </c>
      <c r="B932" s="5">
        <f>IF($E932="","",INDEX('Input Transaksi'!$D:$D,$E932))</f>
        <v/>
      </c>
      <c r="C932">
        <f>IF($E932="","",INDEX('Input Transaksi'!$E:$E,$E932))</f>
        <v/>
      </c>
      <c r="D932" s="5">
        <f>IF($E932="","",INDEX('Input Transaksi'!$F:$F,$E932))</f>
        <v/>
      </c>
      <c r="E932">
        <f>IFERROR(AGGREGATE(15,6,ROW('Input Transaksi'!$B$5:$B$5000)/('Input Transaksi'!$B$5:$B$5000="JCL BYPASS"),ROWS($E$5:E932)),"")</f>
        <v/>
      </c>
      <c r="F932" s="5" t="n"/>
    </row>
    <row r="933">
      <c r="A933" s="10">
        <f>IF($E933="","",INDEX('Input Transaksi'!$A:$A,$E933))</f>
        <v/>
      </c>
      <c r="B933" s="5">
        <f>IF($E933="","",INDEX('Input Transaksi'!$D:$D,$E933))</f>
        <v/>
      </c>
      <c r="C933">
        <f>IF($E933="","",INDEX('Input Transaksi'!$E:$E,$E933))</f>
        <v/>
      </c>
      <c r="D933" s="5">
        <f>IF($E933="","",INDEX('Input Transaksi'!$F:$F,$E933))</f>
        <v/>
      </c>
      <c r="E933">
        <f>IFERROR(AGGREGATE(15,6,ROW('Input Transaksi'!$B$5:$B$5000)/('Input Transaksi'!$B$5:$B$5000="JCL BYPASS"),ROWS($E$5:E933)),"")</f>
        <v/>
      </c>
      <c r="F933" s="5" t="n"/>
    </row>
    <row r="934">
      <c r="A934" s="10">
        <f>IF($E934="","",INDEX('Input Transaksi'!$A:$A,$E934))</f>
        <v/>
      </c>
      <c r="B934" s="5">
        <f>IF($E934="","",INDEX('Input Transaksi'!$D:$D,$E934))</f>
        <v/>
      </c>
      <c r="C934">
        <f>IF($E934="","",INDEX('Input Transaksi'!$E:$E,$E934))</f>
        <v/>
      </c>
      <c r="D934" s="5">
        <f>IF($E934="","",INDEX('Input Transaksi'!$F:$F,$E934))</f>
        <v/>
      </c>
      <c r="E934">
        <f>IFERROR(AGGREGATE(15,6,ROW('Input Transaksi'!$B$5:$B$5000)/('Input Transaksi'!$B$5:$B$5000="JCL BYPASS"),ROWS($E$5:E934)),"")</f>
        <v/>
      </c>
      <c r="F934" s="5" t="n"/>
    </row>
    <row r="935">
      <c r="A935" s="10">
        <f>IF($E935="","",INDEX('Input Transaksi'!$A:$A,$E935))</f>
        <v/>
      </c>
      <c r="B935" s="5">
        <f>IF($E935="","",INDEX('Input Transaksi'!$D:$D,$E935))</f>
        <v/>
      </c>
      <c r="C935">
        <f>IF($E935="","",INDEX('Input Transaksi'!$E:$E,$E935))</f>
        <v/>
      </c>
      <c r="D935" s="5">
        <f>IF($E935="","",INDEX('Input Transaksi'!$F:$F,$E935))</f>
        <v/>
      </c>
      <c r="E935">
        <f>IFERROR(AGGREGATE(15,6,ROW('Input Transaksi'!$B$5:$B$5000)/('Input Transaksi'!$B$5:$B$5000="JCL BYPASS"),ROWS($E$5:E935)),"")</f>
        <v/>
      </c>
      <c r="F935" s="5" t="n"/>
    </row>
    <row r="936">
      <c r="A936" s="10">
        <f>IF($E936="","",INDEX('Input Transaksi'!$A:$A,$E936))</f>
        <v/>
      </c>
      <c r="B936" s="5">
        <f>IF($E936="","",INDEX('Input Transaksi'!$D:$D,$E936))</f>
        <v/>
      </c>
      <c r="C936">
        <f>IF($E936="","",INDEX('Input Transaksi'!$E:$E,$E936))</f>
        <v/>
      </c>
      <c r="D936" s="5">
        <f>IF($E936="","",INDEX('Input Transaksi'!$F:$F,$E936))</f>
        <v/>
      </c>
      <c r="E936">
        <f>IFERROR(AGGREGATE(15,6,ROW('Input Transaksi'!$B$5:$B$5000)/('Input Transaksi'!$B$5:$B$5000="JCL BYPASS"),ROWS($E$5:E936)),"")</f>
        <v/>
      </c>
      <c r="F936" s="5" t="n"/>
    </row>
    <row r="937">
      <c r="A937" s="10">
        <f>IF($E937="","",INDEX('Input Transaksi'!$A:$A,$E937))</f>
        <v/>
      </c>
      <c r="B937" s="5">
        <f>IF($E937="","",INDEX('Input Transaksi'!$D:$D,$E937))</f>
        <v/>
      </c>
      <c r="C937">
        <f>IF($E937="","",INDEX('Input Transaksi'!$E:$E,$E937))</f>
        <v/>
      </c>
      <c r="D937" s="5">
        <f>IF($E937="","",INDEX('Input Transaksi'!$F:$F,$E937))</f>
        <v/>
      </c>
      <c r="E937">
        <f>IFERROR(AGGREGATE(15,6,ROW('Input Transaksi'!$B$5:$B$5000)/('Input Transaksi'!$B$5:$B$5000="JCL BYPASS"),ROWS($E$5:E937)),"")</f>
        <v/>
      </c>
      <c r="F937" s="5" t="n"/>
    </row>
    <row r="938">
      <c r="A938" s="10">
        <f>IF($E938="","",INDEX('Input Transaksi'!$A:$A,$E938))</f>
        <v/>
      </c>
      <c r="B938" s="5">
        <f>IF($E938="","",INDEX('Input Transaksi'!$D:$D,$E938))</f>
        <v/>
      </c>
      <c r="C938">
        <f>IF($E938="","",INDEX('Input Transaksi'!$E:$E,$E938))</f>
        <v/>
      </c>
      <c r="D938" s="5">
        <f>IF($E938="","",INDEX('Input Transaksi'!$F:$F,$E938))</f>
        <v/>
      </c>
      <c r="E938">
        <f>IFERROR(AGGREGATE(15,6,ROW('Input Transaksi'!$B$5:$B$5000)/('Input Transaksi'!$B$5:$B$5000="JCL BYPASS"),ROWS($E$5:E938)),"")</f>
        <v/>
      </c>
      <c r="F938" s="5" t="n"/>
    </row>
    <row r="939">
      <c r="A939" s="10">
        <f>IF($E939="","",INDEX('Input Transaksi'!$A:$A,$E939))</f>
        <v/>
      </c>
      <c r="B939" s="5">
        <f>IF($E939="","",INDEX('Input Transaksi'!$D:$D,$E939))</f>
        <v/>
      </c>
      <c r="C939">
        <f>IF($E939="","",INDEX('Input Transaksi'!$E:$E,$E939))</f>
        <v/>
      </c>
      <c r="D939" s="5">
        <f>IF($E939="","",INDEX('Input Transaksi'!$F:$F,$E939))</f>
        <v/>
      </c>
      <c r="E939">
        <f>IFERROR(AGGREGATE(15,6,ROW('Input Transaksi'!$B$5:$B$5000)/('Input Transaksi'!$B$5:$B$5000="JCL BYPASS"),ROWS($E$5:E939)),"")</f>
        <v/>
      </c>
      <c r="F939" s="5" t="n"/>
    </row>
    <row r="940">
      <c r="A940" s="10">
        <f>IF($E940="","",INDEX('Input Transaksi'!$A:$A,$E940))</f>
        <v/>
      </c>
      <c r="B940" s="5">
        <f>IF($E940="","",INDEX('Input Transaksi'!$D:$D,$E940))</f>
        <v/>
      </c>
      <c r="C940">
        <f>IF($E940="","",INDEX('Input Transaksi'!$E:$E,$E940))</f>
        <v/>
      </c>
      <c r="D940" s="5">
        <f>IF($E940="","",INDEX('Input Transaksi'!$F:$F,$E940))</f>
        <v/>
      </c>
      <c r="E940">
        <f>IFERROR(AGGREGATE(15,6,ROW('Input Transaksi'!$B$5:$B$5000)/('Input Transaksi'!$B$5:$B$5000="JCL BYPASS"),ROWS($E$5:E940)),"")</f>
        <v/>
      </c>
      <c r="F940" s="5" t="n"/>
    </row>
    <row r="941">
      <c r="A941" s="10">
        <f>IF($E941="","",INDEX('Input Transaksi'!$A:$A,$E941))</f>
        <v/>
      </c>
      <c r="B941" s="5">
        <f>IF($E941="","",INDEX('Input Transaksi'!$D:$D,$E941))</f>
        <v/>
      </c>
      <c r="C941">
        <f>IF($E941="","",INDEX('Input Transaksi'!$E:$E,$E941))</f>
        <v/>
      </c>
      <c r="D941" s="5">
        <f>IF($E941="","",INDEX('Input Transaksi'!$F:$F,$E941))</f>
        <v/>
      </c>
      <c r="E941">
        <f>IFERROR(AGGREGATE(15,6,ROW('Input Transaksi'!$B$5:$B$5000)/('Input Transaksi'!$B$5:$B$5000="JCL BYPASS"),ROWS($E$5:E941)),"")</f>
        <v/>
      </c>
      <c r="F941" s="5" t="n"/>
    </row>
    <row r="942">
      <c r="A942" s="10">
        <f>IF($E942="","",INDEX('Input Transaksi'!$A:$A,$E942))</f>
        <v/>
      </c>
      <c r="B942" s="5">
        <f>IF($E942="","",INDEX('Input Transaksi'!$D:$D,$E942))</f>
        <v/>
      </c>
      <c r="C942">
        <f>IF($E942="","",INDEX('Input Transaksi'!$E:$E,$E942))</f>
        <v/>
      </c>
      <c r="D942" s="5">
        <f>IF($E942="","",INDEX('Input Transaksi'!$F:$F,$E942))</f>
        <v/>
      </c>
      <c r="E942">
        <f>IFERROR(AGGREGATE(15,6,ROW('Input Transaksi'!$B$5:$B$5000)/('Input Transaksi'!$B$5:$B$5000="JCL BYPASS"),ROWS($E$5:E942)),"")</f>
        <v/>
      </c>
      <c r="F942" s="5" t="n"/>
    </row>
    <row r="943">
      <c r="A943" s="10">
        <f>IF($E943="","",INDEX('Input Transaksi'!$A:$A,$E943))</f>
        <v/>
      </c>
      <c r="B943" s="5">
        <f>IF($E943="","",INDEX('Input Transaksi'!$D:$D,$E943))</f>
        <v/>
      </c>
      <c r="C943">
        <f>IF($E943="","",INDEX('Input Transaksi'!$E:$E,$E943))</f>
        <v/>
      </c>
      <c r="D943" s="5">
        <f>IF($E943="","",INDEX('Input Transaksi'!$F:$F,$E943))</f>
        <v/>
      </c>
      <c r="E943">
        <f>IFERROR(AGGREGATE(15,6,ROW('Input Transaksi'!$B$5:$B$5000)/('Input Transaksi'!$B$5:$B$5000="JCL BYPASS"),ROWS($E$5:E943)),"")</f>
        <v/>
      </c>
      <c r="F943" s="5" t="n"/>
    </row>
    <row r="944">
      <c r="A944" s="10">
        <f>IF($E944="","",INDEX('Input Transaksi'!$A:$A,$E944))</f>
        <v/>
      </c>
      <c r="B944" s="5">
        <f>IF($E944="","",INDEX('Input Transaksi'!$D:$D,$E944))</f>
        <v/>
      </c>
      <c r="C944">
        <f>IF($E944="","",INDEX('Input Transaksi'!$E:$E,$E944))</f>
        <v/>
      </c>
      <c r="D944" s="5">
        <f>IF($E944="","",INDEX('Input Transaksi'!$F:$F,$E944))</f>
        <v/>
      </c>
      <c r="E944">
        <f>IFERROR(AGGREGATE(15,6,ROW('Input Transaksi'!$B$5:$B$5000)/('Input Transaksi'!$B$5:$B$5000="JCL BYPASS"),ROWS($E$5:E944)),"")</f>
        <v/>
      </c>
      <c r="F944" s="5" t="n"/>
    </row>
    <row r="945">
      <c r="A945" s="10">
        <f>IF($E945="","",INDEX('Input Transaksi'!$A:$A,$E945))</f>
        <v/>
      </c>
      <c r="B945" s="5">
        <f>IF($E945="","",INDEX('Input Transaksi'!$D:$D,$E945))</f>
        <v/>
      </c>
      <c r="C945">
        <f>IF($E945="","",INDEX('Input Transaksi'!$E:$E,$E945))</f>
        <v/>
      </c>
      <c r="D945" s="5">
        <f>IF($E945="","",INDEX('Input Transaksi'!$F:$F,$E945))</f>
        <v/>
      </c>
      <c r="E945">
        <f>IFERROR(AGGREGATE(15,6,ROW('Input Transaksi'!$B$5:$B$5000)/('Input Transaksi'!$B$5:$B$5000="JCL BYPASS"),ROWS($E$5:E945)),"")</f>
        <v/>
      </c>
      <c r="F945" s="5" t="n"/>
    </row>
    <row r="946">
      <c r="A946" s="10">
        <f>IF($E946="","",INDEX('Input Transaksi'!$A:$A,$E946))</f>
        <v/>
      </c>
      <c r="B946" s="5">
        <f>IF($E946="","",INDEX('Input Transaksi'!$D:$D,$E946))</f>
        <v/>
      </c>
      <c r="C946">
        <f>IF($E946="","",INDEX('Input Transaksi'!$E:$E,$E946))</f>
        <v/>
      </c>
      <c r="D946" s="5">
        <f>IF($E946="","",INDEX('Input Transaksi'!$F:$F,$E946))</f>
        <v/>
      </c>
      <c r="E946">
        <f>IFERROR(AGGREGATE(15,6,ROW('Input Transaksi'!$B$5:$B$5000)/('Input Transaksi'!$B$5:$B$5000="JCL BYPASS"),ROWS($E$5:E946)),"")</f>
        <v/>
      </c>
      <c r="F946" s="5" t="n"/>
    </row>
    <row r="947">
      <c r="A947" s="10">
        <f>IF($E947="","",INDEX('Input Transaksi'!$A:$A,$E947))</f>
        <v/>
      </c>
      <c r="B947" s="5">
        <f>IF($E947="","",INDEX('Input Transaksi'!$D:$D,$E947))</f>
        <v/>
      </c>
      <c r="C947">
        <f>IF($E947="","",INDEX('Input Transaksi'!$E:$E,$E947))</f>
        <v/>
      </c>
      <c r="D947" s="5">
        <f>IF($E947="","",INDEX('Input Transaksi'!$F:$F,$E947))</f>
        <v/>
      </c>
      <c r="E947">
        <f>IFERROR(AGGREGATE(15,6,ROW('Input Transaksi'!$B$5:$B$5000)/('Input Transaksi'!$B$5:$B$5000="JCL BYPASS"),ROWS($E$5:E947)),"")</f>
        <v/>
      </c>
      <c r="F947" s="5" t="n"/>
    </row>
    <row r="948">
      <c r="A948" s="10">
        <f>IF($E948="","",INDEX('Input Transaksi'!$A:$A,$E948))</f>
        <v/>
      </c>
      <c r="B948" s="5">
        <f>IF($E948="","",INDEX('Input Transaksi'!$D:$D,$E948))</f>
        <v/>
      </c>
      <c r="C948">
        <f>IF($E948="","",INDEX('Input Transaksi'!$E:$E,$E948))</f>
        <v/>
      </c>
      <c r="D948" s="5">
        <f>IF($E948="","",INDEX('Input Transaksi'!$F:$F,$E948))</f>
        <v/>
      </c>
      <c r="E948">
        <f>IFERROR(AGGREGATE(15,6,ROW('Input Transaksi'!$B$5:$B$5000)/('Input Transaksi'!$B$5:$B$5000="JCL BYPASS"),ROWS($E$5:E948)),"")</f>
        <v/>
      </c>
      <c r="F948" s="5" t="n"/>
    </row>
    <row r="949">
      <c r="A949" s="10">
        <f>IF($E949="","",INDEX('Input Transaksi'!$A:$A,$E949))</f>
        <v/>
      </c>
      <c r="B949" s="5">
        <f>IF($E949="","",INDEX('Input Transaksi'!$D:$D,$E949))</f>
        <v/>
      </c>
      <c r="C949">
        <f>IF($E949="","",INDEX('Input Transaksi'!$E:$E,$E949))</f>
        <v/>
      </c>
      <c r="D949" s="5">
        <f>IF($E949="","",INDEX('Input Transaksi'!$F:$F,$E949))</f>
        <v/>
      </c>
      <c r="E949">
        <f>IFERROR(AGGREGATE(15,6,ROW('Input Transaksi'!$B$5:$B$5000)/('Input Transaksi'!$B$5:$B$5000="JCL BYPASS"),ROWS($E$5:E949)),"")</f>
        <v/>
      </c>
      <c r="F949" s="5" t="n"/>
    </row>
    <row r="950">
      <c r="A950" s="10">
        <f>IF($E950="","",INDEX('Input Transaksi'!$A:$A,$E950))</f>
        <v/>
      </c>
      <c r="B950" s="5">
        <f>IF($E950="","",INDEX('Input Transaksi'!$D:$D,$E950))</f>
        <v/>
      </c>
      <c r="C950">
        <f>IF($E950="","",INDEX('Input Transaksi'!$E:$E,$E950))</f>
        <v/>
      </c>
      <c r="D950" s="5">
        <f>IF($E950="","",INDEX('Input Transaksi'!$F:$F,$E950))</f>
        <v/>
      </c>
      <c r="E950">
        <f>IFERROR(AGGREGATE(15,6,ROW('Input Transaksi'!$B$5:$B$5000)/('Input Transaksi'!$B$5:$B$5000="JCL BYPASS"),ROWS($E$5:E950)),"")</f>
        <v/>
      </c>
      <c r="F950" s="5" t="n"/>
    </row>
    <row r="951">
      <c r="A951" s="10">
        <f>IF($E951="","",INDEX('Input Transaksi'!$A:$A,$E951))</f>
        <v/>
      </c>
      <c r="B951" s="5">
        <f>IF($E951="","",INDEX('Input Transaksi'!$D:$D,$E951))</f>
        <v/>
      </c>
      <c r="C951">
        <f>IF($E951="","",INDEX('Input Transaksi'!$E:$E,$E951))</f>
        <v/>
      </c>
      <c r="D951" s="5">
        <f>IF($E951="","",INDEX('Input Transaksi'!$F:$F,$E951))</f>
        <v/>
      </c>
      <c r="E951">
        <f>IFERROR(AGGREGATE(15,6,ROW('Input Transaksi'!$B$5:$B$5000)/('Input Transaksi'!$B$5:$B$5000="JCL BYPASS"),ROWS($E$5:E951)),"")</f>
        <v/>
      </c>
      <c r="F951" s="5" t="n"/>
    </row>
    <row r="952">
      <c r="A952" s="10">
        <f>IF($E952="","",INDEX('Input Transaksi'!$A:$A,$E952))</f>
        <v/>
      </c>
      <c r="B952" s="5">
        <f>IF($E952="","",INDEX('Input Transaksi'!$D:$D,$E952))</f>
        <v/>
      </c>
      <c r="C952">
        <f>IF($E952="","",INDEX('Input Transaksi'!$E:$E,$E952))</f>
        <v/>
      </c>
      <c r="D952" s="5">
        <f>IF($E952="","",INDEX('Input Transaksi'!$F:$F,$E952))</f>
        <v/>
      </c>
      <c r="E952">
        <f>IFERROR(AGGREGATE(15,6,ROW('Input Transaksi'!$B$5:$B$5000)/('Input Transaksi'!$B$5:$B$5000="JCL BYPASS"),ROWS($E$5:E952)),"")</f>
        <v/>
      </c>
      <c r="F952" s="5" t="n"/>
    </row>
    <row r="953">
      <c r="A953" s="10">
        <f>IF($E953="","",INDEX('Input Transaksi'!$A:$A,$E953))</f>
        <v/>
      </c>
      <c r="B953" s="5">
        <f>IF($E953="","",INDEX('Input Transaksi'!$D:$D,$E953))</f>
        <v/>
      </c>
      <c r="C953">
        <f>IF($E953="","",INDEX('Input Transaksi'!$E:$E,$E953))</f>
        <v/>
      </c>
      <c r="D953" s="5">
        <f>IF($E953="","",INDEX('Input Transaksi'!$F:$F,$E953))</f>
        <v/>
      </c>
      <c r="E953">
        <f>IFERROR(AGGREGATE(15,6,ROW('Input Transaksi'!$B$5:$B$5000)/('Input Transaksi'!$B$5:$B$5000="JCL BYPASS"),ROWS($E$5:E953)),"")</f>
        <v/>
      </c>
      <c r="F953" s="5" t="n"/>
    </row>
    <row r="954">
      <c r="A954" s="10">
        <f>IF($E954="","",INDEX('Input Transaksi'!$A:$A,$E954))</f>
        <v/>
      </c>
      <c r="B954" s="5">
        <f>IF($E954="","",INDEX('Input Transaksi'!$D:$D,$E954))</f>
        <v/>
      </c>
      <c r="C954">
        <f>IF($E954="","",INDEX('Input Transaksi'!$E:$E,$E954))</f>
        <v/>
      </c>
      <c r="D954" s="5">
        <f>IF($E954="","",INDEX('Input Transaksi'!$F:$F,$E954))</f>
        <v/>
      </c>
      <c r="E954">
        <f>IFERROR(AGGREGATE(15,6,ROW('Input Transaksi'!$B$5:$B$5000)/('Input Transaksi'!$B$5:$B$5000="JCL BYPASS"),ROWS($E$5:E954)),"")</f>
        <v/>
      </c>
      <c r="F954" s="5" t="n"/>
    </row>
    <row r="955">
      <c r="A955" s="10">
        <f>IF($E955="","",INDEX('Input Transaksi'!$A:$A,$E955))</f>
        <v/>
      </c>
      <c r="B955" s="5">
        <f>IF($E955="","",INDEX('Input Transaksi'!$D:$D,$E955))</f>
        <v/>
      </c>
      <c r="C955">
        <f>IF($E955="","",INDEX('Input Transaksi'!$E:$E,$E955))</f>
        <v/>
      </c>
      <c r="D955" s="5">
        <f>IF($E955="","",INDEX('Input Transaksi'!$F:$F,$E955))</f>
        <v/>
      </c>
      <c r="E955">
        <f>IFERROR(AGGREGATE(15,6,ROW('Input Transaksi'!$B$5:$B$5000)/('Input Transaksi'!$B$5:$B$5000="JCL BYPASS"),ROWS($E$5:E955)),"")</f>
        <v/>
      </c>
      <c r="F955" s="5" t="n"/>
    </row>
    <row r="956">
      <c r="A956" s="10">
        <f>IF($E956="","",INDEX('Input Transaksi'!$A:$A,$E956))</f>
        <v/>
      </c>
      <c r="B956" s="5">
        <f>IF($E956="","",INDEX('Input Transaksi'!$D:$D,$E956))</f>
        <v/>
      </c>
      <c r="C956">
        <f>IF($E956="","",INDEX('Input Transaksi'!$E:$E,$E956))</f>
        <v/>
      </c>
      <c r="D956" s="5">
        <f>IF($E956="","",INDEX('Input Transaksi'!$F:$F,$E956))</f>
        <v/>
      </c>
      <c r="E956">
        <f>IFERROR(AGGREGATE(15,6,ROW('Input Transaksi'!$B$5:$B$5000)/('Input Transaksi'!$B$5:$B$5000="JCL BYPASS"),ROWS($E$5:E956)),"")</f>
        <v/>
      </c>
      <c r="F956" s="5" t="n"/>
    </row>
    <row r="957">
      <c r="A957" s="10">
        <f>IF($E957="","",INDEX('Input Transaksi'!$A:$A,$E957))</f>
        <v/>
      </c>
      <c r="B957" s="5">
        <f>IF($E957="","",INDEX('Input Transaksi'!$D:$D,$E957))</f>
        <v/>
      </c>
      <c r="C957">
        <f>IF($E957="","",INDEX('Input Transaksi'!$E:$E,$E957))</f>
        <v/>
      </c>
      <c r="D957" s="5">
        <f>IF($E957="","",INDEX('Input Transaksi'!$F:$F,$E957))</f>
        <v/>
      </c>
      <c r="E957">
        <f>IFERROR(AGGREGATE(15,6,ROW('Input Transaksi'!$B$5:$B$5000)/('Input Transaksi'!$B$5:$B$5000="JCL BYPASS"),ROWS($E$5:E957)),"")</f>
        <v/>
      </c>
      <c r="F957" s="5" t="n"/>
    </row>
    <row r="958">
      <c r="A958" s="10">
        <f>IF($E958="","",INDEX('Input Transaksi'!$A:$A,$E958))</f>
        <v/>
      </c>
      <c r="B958" s="5">
        <f>IF($E958="","",INDEX('Input Transaksi'!$D:$D,$E958))</f>
        <v/>
      </c>
      <c r="C958">
        <f>IF($E958="","",INDEX('Input Transaksi'!$E:$E,$E958))</f>
        <v/>
      </c>
      <c r="D958" s="5">
        <f>IF($E958="","",INDEX('Input Transaksi'!$F:$F,$E958))</f>
        <v/>
      </c>
      <c r="E958">
        <f>IFERROR(AGGREGATE(15,6,ROW('Input Transaksi'!$B$5:$B$5000)/('Input Transaksi'!$B$5:$B$5000="JCL BYPASS"),ROWS($E$5:E958)),"")</f>
        <v/>
      </c>
      <c r="F958" s="5" t="n"/>
    </row>
    <row r="959">
      <c r="A959" s="10">
        <f>IF($E959="","",INDEX('Input Transaksi'!$A:$A,$E959))</f>
        <v/>
      </c>
      <c r="B959" s="5">
        <f>IF($E959="","",INDEX('Input Transaksi'!$D:$D,$E959))</f>
        <v/>
      </c>
      <c r="C959">
        <f>IF($E959="","",INDEX('Input Transaksi'!$E:$E,$E959))</f>
        <v/>
      </c>
      <c r="D959" s="5">
        <f>IF($E959="","",INDEX('Input Transaksi'!$F:$F,$E959))</f>
        <v/>
      </c>
      <c r="E959">
        <f>IFERROR(AGGREGATE(15,6,ROW('Input Transaksi'!$B$5:$B$5000)/('Input Transaksi'!$B$5:$B$5000="JCL BYPASS"),ROWS($E$5:E959)),"")</f>
        <v/>
      </c>
      <c r="F959" s="5" t="n"/>
    </row>
    <row r="960">
      <c r="A960" s="10">
        <f>IF($E960="","",INDEX('Input Transaksi'!$A:$A,$E960))</f>
        <v/>
      </c>
      <c r="B960" s="5">
        <f>IF($E960="","",INDEX('Input Transaksi'!$D:$D,$E960))</f>
        <v/>
      </c>
      <c r="C960">
        <f>IF($E960="","",INDEX('Input Transaksi'!$E:$E,$E960))</f>
        <v/>
      </c>
      <c r="D960" s="5">
        <f>IF($E960="","",INDEX('Input Transaksi'!$F:$F,$E960))</f>
        <v/>
      </c>
      <c r="E960">
        <f>IFERROR(AGGREGATE(15,6,ROW('Input Transaksi'!$B$5:$B$5000)/('Input Transaksi'!$B$5:$B$5000="JCL BYPASS"),ROWS($E$5:E960)),"")</f>
        <v/>
      </c>
      <c r="F960" s="5" t="n"/>
    </row>
    <row r="961">
      <c r="A961" s="10">
        <f>IF($E961="","",INDEX('Input Transaksi'!$A:$A,$E961))</f>
        <v/>
      </c>
      <c r="B961" s="5">
        <f>IF($E961="","",INDEX('Input Transaksi'!$D:$D,$E961))</f>
        <v/>
      </c>
      <c r="C961">
        <f>IF($E961="","",INDEX('Input Transaksi'!$E:$E,$E961))</f>
        <v/>
      </c>
      <c r="D961" s="5">
        <f>IF($E961="","",INDEX('Input Transaksi'!$F:$F,$E961))</f>
        <v/>
      </c>
      <c r="E961">
        <f>IFERROR(AGGREGATE(15,6,ROW('Input Transaksi'!$B$5:$B$5000)/('Input Transaksi'!$B$5:$B$5000="JCL BYPASS"),ROWS($E$5:E961)),"")</f>
        <v/>
      </c>
      <c r="F961" s="5" t="n"/>
    </row>
    <row r="962">
      <c r="A962" s="10">
        <f>IF($E962="","",INDEX('Input Transaksi'!$A:$A,$E962))</f>
        <v/>
      </c>
      <c r="B962" s="5">
        <f>IF($E962="","",INDEX('Input Transaksi'!$D:$D,$E962))</f>
        <v/>
      </c>
      <c r="C962">
        <f>IF($E962="","",INDEX('Input Transaksi'!$E:$E,$E962))</f>
        <v/>
      </c>
      <c r="D962" s="5">
        <f>IF($E962="","",INDEX('Input Transaksi'!$F:$F,$E962))</f>
        <v/>
      </c>
      <c r="E962">
        <f>IFERROR(AGGREGATE(15,6,ROW('Input Transaksi'!$B$5:$B$5000)/('Input Transaksi'!$B$5:$B$5000="JCL BYPASS"),ROWS($E$5:E962)),"")</f>
        <v/>
      </c>
      <c r="F962" s="5" t="n"/>
    </row>
    <row r="963">
      <c r="A963" s="10">
        <f>IF($E963="","",INDEX('Input Transaksi'!$A:$A,$E963))</f>
        <v/>
      </c>
      <c r="B963" s="5">
        <f>IF($E963="","",INDEX('Input Transaksi'!$D:$D,$E963))</f>
        <v/>
      </c>
      <c r="C963">
        <f>IF($E963="","",INDEX('Input Transaksi'!$E:$E,$E963))</f>
        <v/>
      </c>
      <c r="D963" s="5">
        <f>IF($E963="","",INDEX('Input Transaksi'!$F:$F,$E963))</f>
        <v/>
      </c>
      <c r="E963">
        <f>IFERROR(AGGREGATE(15,6,ROW('Input Transaksi'!$B$5:$B$5000)/('Input Transaksi'!$B$5:$B$5000="JCL BYPASS"),ROWS($E$5:E963)),"")</f>
        <v/>
      </c>
      <c r="F963" s="5" t="n"/>
    </row>
    <row r="964">
      <c r="A964" s="10">
        <f>IF($E964="","",INDEX('Input Transaksi'!$A:$A,$E964))</f>
        <v/>
      </c>
      <c r="B964" s="5">
        <f>IF($E964="","",INDEX('Input Transaksi'!$D:$D,$E964))</f>
        <v/>
      </c>
      <c r="C964">
        <f>IF($E964="","",INDEX('Input Transaksi'!$E:$E,$E964))</f>
        <v/>
      </c>
      <c r="D964" s="5">
        <f>IF($E964="","",INDEX('Input Transaksi'!$F:$F,$E964))</f>
        <v/>
      </c>
      <c r="E964">
        <f>IFERROR(AGGREGATE(15,6,ROW('Input Transaksi'!$B$5:$B$5000)/('Input Transaksi'!$B$5:$B$5000="JCL BYPASS"),ROWS($E$5:E964)),"")</f>
        <v/>
      </c>
      <c r="F964" s="5" t="n"/>
    </row>
    <row r="965">
      <c r="A965" s="10">
        <f>IF($E965="","",INDEX('Input Transaksi'!$A:$A,$E965))</f>
        <v/>
      </c>
      <c r="B965" s="5">
        <f>IF($E965="","",INDEX('Input Transaksi'!$D:$D,$E965))</f>
        <v/>
      </c>
      <c r="C965">
        <f>IF($E965="","",INDEX('Input Transaksi'!$E:$E,$E965))</f>
        <v/>
      </c>
      <c r="D965" s="5">
        <f>IF($E965="","",INDEX('Input Transaksi'!$F:$F,$E965))</f>
        <v/>
      </c>
      <c r="E965">
        <f>IFERROR(AGGREGATE(15,6,ROW('Input Transaksi'!$B$5:$B$5000)/('Input Transaksi'!$B$5:$B$5000="JCL BYPASS"),ROWS($E$5:E965)),"")</f>
        <v/>
      </c>
      <c r="F965" s="5" t="n"/>
    </row>
    <row r="966">
      <c r="A966" s="10">
        <f>IF($E966="","",INDEX('Input Transaksi'!$A:$A,$E966))</f>
        <v/>
      </c>
      <c r="B966" s="5">
        <f>IF($E966="","",INDEX('Input Transaksi'!$D:$D,$E966))</f>
        <v/>
      </c>
      <c r="C966">
        <f>IF($E966="","",INDEX('Input Transaksi'!$E:$E,$E966))</f>
        <v/>
      </c>
      <c r="D966" s="5">
        <f>IF($E966="","",INDEX('Input Transaksi'!$F:$F,$E966))</f>
        <v/>
      </c>
      <c r="E966">
        <f>IFERROR(AGGREGATE(15,6,ROW('Input Transaksi'!$B$5:$B$5000)/('Input Transaksi'!$B$5:$B$5000="JCL BYPASS"),ROWS($E$5:E966)),"")</f>
        <v/>
      </c>
      <c r="F966" s="5" t="n"/>
    </row>
    <row r="967">
      <c r="A967" s="10">
        <f>IF($E967="","",INDEX('Input Transaksi'!$A:$A,$E967))</f>
        <v/>
      </c>
      <c r="B967" s="5">
        <f>IF($E967="","",INDEX('Input Transaksi'!$D:$D,$E967))</f>
        <v/>
      </c>
      <c r="C967">
        <f>IF($E967="","",INDEX('Input Transaksi'!$E:$E,$E967))</f>
        <v/>
      </c>
      <c r="D967" s="5">
        <f>IF($E967="","",INDEX('Input Transaksi'!$F:$F,$E967))</f>
        <v/>
      </c>
      <c r="E967">
        <f>IFERROR(AGGREGATE(15,6,ROW('Input Transaksi'!$B$5:$B$5000)/('Input Transaksi'!$B$5:$B$5000="JCL BYPASS"),ROWS($E$5:E967)),"")</f>
        <v/>
      </c>
      <c r="F967" s="5" t="n"/>
    </row>
    <row r="968">
      <c r="A968" s="10">
        <f>IF($E968="","",INDEX('Input Transaksi'!$A:$A,$E968))</f>
        <v/>
      </c>
      <c r="B968" s="5">
        <f>IF($E968="","",INDEX('Input Transaksi'!$D:$D,$E968))</f>
        <v/>
      </c>
      <c r="C968">
        <f>IF($E968="","",INDEX('Input Transaksi'!$E:$E,$E968))</f>
        <v/>
      </c>
      <c r="D968" s="5">
        <f>IF($E968="","",INDEX('Input Transaksi'!$F:$F,$E968))</f>
        <v/>
      </c>
      <c r="E968">
        <f>IFERROR(AGGREGATE(15,6,ROW('Input Transaksi'!$B$5:$B$5000)/('Input Transaksi'!$B$5:$B$5000="JCL BYPASS"),ROWS($E$5:E968)),"")</f>
        <v/>
      </c>
      <c r="F968" s="5" t="n"/>
    </row>
    <row r="969">
      <c r="A969" s="10">
        <f>IF($E969="","",INDEX('Input Transaksi'!$A:$A,$E969))</f>
        <v/>
      </c>
      <c r="B969" s="5">
        <f>IF($E969="","",INDEX('Input Transaksi'!$D:$D,$E969))</f>
        <v/>
      </c>
      <c r="C969">
        <f>IF($E969="","",INDEX('Input Transaksi'!$E:$E,$E969))</f>
        <v/>
      </c>
      <c r="D969" s="5">
        <f>IF($E969="","",INDEX('Input Transaksi'!$F:$F,$E969))</f>
        <v/>
      </c>
      <c r="E969">
        <f>IFERROR(AGGREGATE(15,6,ROW('Input Transaksi'!$B$5:$B$5000)/('Input Transaksi'!$B$5:$B$5000="JCL BYPASS"),ROWS($E$5:E969)),"")</f>
        <v/>
      </c>
      <c r="F969" s="5" t="n"/>
    </row>
    <row r="970">
      <c r="A970" s="10">
        <f>IF($E970="","",INDEX('Input Transaksi'!$A:$A,$E970))</f>
        <v/>
      </c>
      <c r="B970" s="5">
        <f>IF($E970="","",INDEX('Input Transaksi'!$D:$D,$E970))</f>
        <v/>
      </c>
      <c r="C970">
        <f>IF($E970="","",INDEX('Input Transaksi'!$E:$E,$E970))</f>
        <v/>
      </c>
      <c r="D970" s="5">
        <f>IF($E970="","",INDEX('Input Transaksi'!$F:$F,$E970))</f>
        <v/>
      </c>
      <c r="E970">
        <f>IFERROR(AGGREGATE(15,6,ROW('Input Transaksi'!$B$5:$B$5000)/('Input Transaksi'!$B$5:$B$5000="JCL BYPASS"),ROWS($E$5:E970)),"")</f>
        <v/>
      </c>
      <c r="F970" s="5" t="n"/>
    </row>
    <row r="971">
      <c r="A971" s="10">
        <f>IF($E971="","",INDEX('Input Transaksi'!$A:$A,$E971))</f>
        <v/>
      </c>
      <c r="B971" s="5">
        <f>IF($E971="","",INDEX('Input Transaksi'!$D:$D,$E971))</f>
        <v/>
      </c>
      <c r="C971">
        <f>IF($E971="","",INDEX('Input Transaksi'!$E:$E,$E971))</f>
        <v/>
      </c>
      <c r="D971" s="5">
        <f>IF($E971="","",INDEX('Input Transaksi'!$F:$F,$E971))</f>
        <v/>
      </c>
      <c r="E971">
        <f>IFERROR(AGGREGATE(15,6,ROW('Input Transaksi'!$B$5:$B$5000)/('Input Transaksi'!$B$5:$B$5000="JCL BYPASS"),ROWS($E$5:E971)),"")</f>
        <v/>
      </c>
      <c r="F971" s="5" t="n"/>
    </row>
    <row r="972">
      <c r="A972" s="10">
        <f>IF($E972="","",INDEX('Input Transaksi'!$A:$A,$E972))</f>
        <v/>
      </c>
      <c r="B972" s="5">
        <f>IF($E972="","",INDEX('Input Transaksi'!$D:$D,$E972))</f>
        <v/>
      </c>
      <c r="C972">
        <f>IF($E972="","",INDEX('Input Transaksi'!$E:$E,$E972))</f>
        <v/>
      </c>
      <c r="D972" s="5">
        <f>IF($E972="","",INDEX('Input Transaksi'!$F:$F,$E972))</f>
        <v/>
      </c>
      <c r="E972">
        <f>IFERROR(AGGREGATE(15,6,ROW('Input Transaksi'!$B$5:$B$5000)/('Input Transaksi'!$B$5:$B$5000="JCL BYPASS"),ROWS($E$5:E972)),"")</f>
        <v/>
      </c>
      <c r="F972" s="5" t="n"/>
    </row>
    <row r="973">
      <c r="A973" s="10">
        <f>IF($E973="","",INDEX('Input Transaksi'!$A:$A,$E973))</f>
        <v/>
      </c>
      <c r="B973" s="5">
        <f>IF($E973="","",INDEX('Input Transaksi'!$D:$D,$E973))</f>
        <v/>
      </c>
      <c r="C973">
        <f>IF($E973="","",INDEX('Input Transaksi'!$E:$E,$E973))</f>
        <v/>
      </c>
      <c r="D973" s="5">
        <f>IF($E973="","",INDEX('Input Transaksi'!$F:$F,$E973))</f>
        <v/>
      </c>
      <c r="E973">
        <f>IFERROR(AGGREGATE(15,6,ROW('Input Transaksi'!$B$5:$B$5000)/('Input Transaksi'!$B$5:$B$5000="JCL BYPASS"),ROWS($E$5:E973)),"")</f>
        <v/>
      </c>
      <c r="F973" s="5" t="n"/>
    </row>
    <row r="974">
      <c r="A974" s="10">
        <f>IF($E974="","",INDEX('Input Transaksi'!$A:$A,$E974))</f>
        <v/>
      </c>
      <c r="B974" s="5">
        <f>IF($E974="","",INDEX('Input Transaksi'!$D:$D,$E974))</f>
        <v/>
      </c>
      <c r="C974">
        <f>IF($E974="","",INDEX('Input Transaksi'!$E:$E,$E974))</f>
        <v/>
      </c>
      <c r="D974" s="5">
        <f>IF($E974="","",INDEX('Input Transaksi'!$F:$F,$E974))</f>
        <v/>
      </c>
      <c r="E974">
        <f>IFERROR(AGGREGATE(15,6,ROW('Input Transaksi'!$B$5:$B$5000)/('Input Transaksi'!$B$5:$B$5000="JCL BYPASS"),ROWS($E$5:E974)),"")</f>
        <v/>
      </c>
      <c r="F974" s="5" t="n"/>
    </row>
    <row r="975">
      <c r="A975" s="10">
        <f>IF($E975="","",INDEX('Input Transaksi'!$A:$A,$E975))</f>
        <v/>
      </c>
      <c r="B975" s="5">
        <f>IF($E975="","",INDEX('Input Transaksi'!$D:$D,$E975))</f>
        <v/>
      </c>
      <c r="C975">
        <f>IF($E975="","",INDEX('Input Transaksi'!$E:$E,$E975))</f>
        <v/>
      </c>
      <c r="D975" s="5">
        <f>IF($E975="","",INDEX('Input Transaksi'!$F:$F,$E975))</f>
        <v/>
      </c>
      <c r="E975">
        <f>IFERROR(AGGREGATE(15,6,ROW('Input Transaksi'!$B$5:$B$5000)/('Input Transaksi'!$B$5:$B$5000="JCL BYPASS"),ROWS($E$5:E975)),"")</f>
        <v/>
      </c>
      <c r="F975" s="5" t="n"/>
    </row>
    <row r="976">
      <c r="A976" s="10">
        <f>IF($E976="","",INDEX('Input Transaksi'!$A:$A,$E976))</f>
        <v/>
      </c>
      <c r="B976" s="5">
        <f>IF($E976="","",INDEX('Input Transaksi'!$D:$D,$E976))</f>
        <v/>
      </c>
      <c r="C976">
        <f>IF($E976="","",INDEX('Input Transaksi'!$E:$E,$E976))</f>
        <v/>
      </c>
      <c r="D976" s="5">
        <f>IF($E976="","",INDEX('Input Transaksi'!$F:$F,$E976))</f>
        <v/>
      </c>
      <c r="E976">
        <f>IFERROR(AGGREGATE(15,6,ROW('Input Transaksi'!$B$5:$B$5000)/('Input Transaksi'!$B$5:$B$5000="JCL BYPASS"),ROWS($E$5:E976)),"")</f>
        <v/>
      </c>
      <c r="F976" s="5" t="n"/>
    </row>
    <row r="977">
      <c r="A977" s="10">
        <f>IF($E977="","",INDEX('Input Transaksi'!$A:$A,$E977))</f>
        <v/>
      </c>
      <c r="B977" s="5">
        <f>IF($E977="","",INDEX('Input Transaksi'!$D:$D,$E977))</f>
        <v/>
      </c>
      <c r="C977">
        <f>IF($E977="","",INDEX('Input Transaksi'!$E:$E,$E977))</f>
        <v/>
      </c>
      <c r="D977" s="5">
        <f>IF($E977="","",INDEX('Input Transaksi'!$F:$F,$E977))</f>
        <v/>
      </c>
      <c r="E977">
        <f>IFERROR(AGGREGATE(15,6,ROW('Input Transaksi'!$B$5:$B$5000)/('Input Transaksi'!$B$5:$B$5000="JCL BYPASS"),ROWS($E$5:E977)),"")</f>
        <v/>
      </c>
      <c r="F977" s="5" t="n"/>
    </row>
    <row r="978">
      <c r="A978" s="10">
        <f>IF($E978="","",INDEX('Input Transaksi'!$A:$A,$E978))</f>
        <v/>
      </c>
      <c r="B978" s="5">
        <f>IF($E978="","",INDEX('Input Transaksi'!$D:$D,$E978))</f>
        <v/>
      </c>
      <c r="C978">
        <f>IF($E978="","",INDEX('Input Transaksi'!$E:$E,$E978))</f>
        <v/>
      </c>
      <c r="D978" s="5">
        <f>IF($E978="","",INDEX('Input Transaksi'!$F:$F,$E978))</f>
        <v/>
      </c>
      <c r="E978">
        <f>IFERROR(AGGREGATE(15,6,ROW('Input Transaksi'!$B$5:$B$5000)/('Input Transaksi'!$B$5:$B$5000="JCL BYPASS"),ROWS($E$5:E978)),"")</f>
        <v/>
      </c>
      <c r="F978" s="5" t="n"/>
    </row>
    <row r="979">
      <c r="A979" s="10">
        <f>IF($E979="","",INDEX('Input Transaksi'!$A:$A,$E979))</f>
        <v/>
      </c>
      <c r="B979" s="5">
        <f>IF($E979="","",INDEX('Input Transaksi'!$D:$D,$E979))</f>
        <v/>
      </c>
      <c r="C979">
        <f>IF($E979="","",INDEX('Input Transaksi'!$E:$E,$E979))</f>
        <v/>
      </c>
      <c r="D979" s="5">
        <f>IF($E979="","",INDEX('Input Transaksi'!$F:$F,$E979))</f>
        <v/>
      </c>
      <c r="E979">
        <f>IFERROR(AGGREGATE(15,6,ROW('Input Transaksi'!$B$5:$B$5000)/('Input Transaksi'!$B$5:$B$5000="JCL BYPASS"),ROWS($E$5:E979)),"")</f>
        <v/>
      </c>
      <c r="F979" s="5" t="n"/>
    </row>
    <row r="980">
      <c r="A980" s="10">
        <f>IF($E980="","",INDEX('Input Transaksi'!$A:$A,$E980))</f>
        <v/>
      </c>
      <c r="B980" s="5">
        <f>IF($E980="","",INDEX('Input Transaksi'!$D:$D,$E980))</f>
        <v/>
      </c>
      <c r="C980">
        <f>IF($E980="","",INDEX('Input Transaksi'!$E:$E,$E980))</f>
        <v/>
      </c>
      <c r="D980" s="5">
        <f>IF($E980="","",INDEX('Input Transaksi'!$F:$F,$E980))</f>
        <v/>
      </c>
      <c r="E980">
        <f>IFERROR(AGGREGATE(15,6,ROW('Input Transaksi'!$B$5:$B$5000)/('Input Transaksi'!$B$5:$B$5000="JCL BYPASS"),ROWS($E$5:E980)),"")</f>
        <v/>
      </c>
      <c r="F980" s="5" t="n"/>
    </row>
    <row r="981">
      <c r="A981" s="10">
        <f>IF($E981="","",INDEX('Input Transaksi'!$A:$A,$E981))</f>
        <v/>
      </c>
      <c r="B981" s="5">
        <f>IF($E981="","",INDEX('Input Transaksi'!$D:$D,$E981))</f>
        <v/>
      </c>
      <c r="C981">
        <f>IF($E981="","",INDEX('Input Transaksi'!$E:$E,$E981))</f>
        <v/>
      </c>
      <c r="D981" s="5">
        <f>IF($E981="","",INDEX('Input Transaksi'!$F:$F,$E981))</f>
        <v/>
      </c>
      <c r="E981">
        <f>IFERROR(AGGREGATE(15,6,ROW('Input Transaksi'!$B$5:$B$5000)/('Input Transaksi'!$B$5:$B$5000="JCL BYPASS"),ROWS($E$5:E981)),"")</f>
        <v/>
      </c>
      <c r="F981" s="5" t="n"/>
    </row>
    <row r="982">
      <c r="A982" s="10">
        <f>IF($E982="","",INDEX('Input Transaksi'!$A:$A,$E982))</f>
        <v/>
      </c>
      <c r="B982" s="5">
        <f>IF($E982="","",INDEX('Input Transaksi'!$D:$D,$E982))</f>
        <v/>
      </c>
      <c r="C982">
        <f>IF($E982="","",INDEX('Input Transaksi'!$E:$E,$E982))</f>
        <v/>
      </c>
      <c r="D982" s="5">
        <f>IF($E982="","",INDEX('Input Transaksi'!$F:$F,$E982))</f>
        <v/>
      </c>
      <c r="E982">
        <f>IFERROR(AGGREGATE(15,6,ROW('Input Transaksi'!$B$5:$B$5000)/('Input Transaksi'!$B$5:$B$5000="JCL BYPASS"),ROWS($E$5:E982)),"")</f>
        <v/>
      </c>
      <c r="F982" s="5" t="n"/>
    </row>
    <row r="983">
      <c r="A983" s="10">
        <f>IF($E983="","",INDEX('Input Transaksi'!$A:$A,$E983))</f>
        <v/>
      </c>
      <c r="B983" s="5">
        <f>IF($E983="","",INDEX('Input Transaksi'!$D:$D,$E983))</f>
        <v/>
      </c>
      <c r="C983">
        <f>IF($E983="","",INDEX('Input Transaksi'!$E:$E,$E983))</f>
        <v/>
      </c>
      <c r="D983" s="5">
        <f>IF($E983="","",INDEX('Input Transaksi'!$F:$F,$E983))</f>
        <v/>
      </c>
      <c r="E983">
        <f>IFERROR(AGGREGATE(15,6,ROW('Input Transaksi'!$B$5:$B$5000)/('Input Transaksi'!$B$5:$B$5000="JCL BYPASS"),ROWS($E$5:E983)),"")</f>
        <v/>
      </c>
      <c r="F983" s="5" t="n"/>
    </row>
    <row r="984">
      <c r="A984" s="10">
        <f>IF($E984="","",INDEX('Input Transaksi'!$A:$A,$E984))</f>
        <v/>
      </c>
      <c r="B984" s="5">
        <f>IF($E984="","",INDEX('Input Transaksi'!$D:$D,$E984))</f>
        <v/>
      </c>
      <c r="C984">
        <f>IF($E984="","",INDEX('Input Transaksi'!$E:$E,$E984))</f>
        <v/>
      </c>
      <c r="D984" s="5">
        <f>IF($E984="","",INDEX('Input Transaksi'!$F:$F,$E984))</f>
        <v/>
      </c>
      <c r="E984">
        <f>IFERROR(AGGREGATE(15,6,ROW('Input Transaksi'!$B$5:$B$5000)/('Input Transaksi'!$B$5:$B$5000="JCL BYPASS"),ROWS($E$5:E984)),"")</f>
        <v/>
      </c>
      <c r="F984" s="5" t="n"/>
    </row>
    <row r="985">
      <c r="A985" s="10">
        <f>IF($E985="","",INDEX('Input Transaksi'!$A:$A,$E985))</f>
        <v/>
      </c>
      <c r="B985" s="5">
        <f>IF($E985="","",INDEX('Input Transaksi'!$D:$D,$E985))</f>
        <v/>
      </c>
      <c r="C985">
        <f>IF($E985="","",INDEX('Input Transaksi'!$E:$E,$E985))</f>
        <v/>
      </c>
      <c r="D985" s="5">
        <f>IF($E985="","",INDEX('Input Transaksi'!$F:$F,$E985))</f>
        <v/>
      </c>
      <c r="E985">
        <f>IFERROR(AGGREGATE(15,6,ROW('Input Transaksi'!$B$5:$B$5000)/('Input Transaksi'!$B$5:$B$5000="JCL BYPASS"),ROWS($E$5:E985)),"")</f>
        <v/>
      </c>
      <c r="F985" s="5" t="n"/>
    </row>
    <row r="986">
      <c r="A986" s="10">
        <f>IF($E986="","",INDEX('Input Transaksi'!$A:$A,$E986))</f>
        <v/>
      </c>
      <c r="B986" s="5">
        <f>IF($E986="","",INDEX('Input Transaksi'!$D:$D,$E986))</f>
        <v/>
      </c>
      <c r="C986">
        <f>IF($E986="","",INDEX('Input Transaksi'!$E:$E,$E986))</f>
        <v/>
      </c>
      <c r="D986" s="5">
        <f>IF($E986="","",INDEX('Input Transaksi'!$F:$F,$E986))</f>
        <v/>
      </c>
      <c r="E986">
        <f>IFERROR(AGGREGATE(15,6,ROW('Input Transaksi'!$B$5:$B$5000)/('Input Transaksi'!$B$5:$B$5000="JCL BYPASS"),ROWS($E$5:E986)),"")</f>
        <v/>
      </c>
      <c r="F986" s="5" t="n"/>
    </row>
    <row r="987">
      <c r="A987" s="10">
        <f>IF($E987="","",INDEX('Input Transaksi'!$A:$A,$E987))</f>
        <v/>
      </c>
      <c r="B987" s="5">
        <f>IF($E987="","",INDEX('Input Transaksi'!$D:$D,$E987))</f>
        <v/>
      </c>
      <c r="C987">
        <f>IF($E987="","",INDEX('Input Transaksi'!$E:$E,$E987))</f>
        <v/>
      </c>
      <c r="D987" s="5">
        <f>IF($E987="","",INDEX('Input Transaksi'!$F:$F,$E987))</f>
        <v/>
      </c>
      <c r="E987">
        <f>IFERROR(AGGREGATE(15,6,ROW('Input Transaksi'!$B$5:$B$5000)/('Input Transaksi'!$B$5:$B$5000="JCL BYPASS"),ROWS($E$5:E987)),"")</f>
        <v/>
      </c>
      <c r="F987" s="5" t="n"/>
    </row>
    <row r="988">
      <c r="A988" s="10">
        <f>IF($E988="","",INDEX('Input Transaksi'!$A:$A,$E988))</f>
        <v/>
      </c>
      <c r="B988" s="5">
        <f>IF($E988="","",INDEX('Input Transaksi'!$D:$D,$E988))</f>
        <v/>
      </c>
      <c r="C988">
        <f>IF($E988="","",INDEX('Input Transaksi'!$E:$E,$E988))</f>
        <v/>
      </c>
      <c r="D988" s="5">
        <f>IF($E988="","",INDEX('Input Transaksi'!$F:$F,$E988))</f>
        <v/>
      </c>
      <c r="E988">
        <f>IFERROR(AGGREGATE(15,6,ROW('Input Transaksi'!$B$5:$B$5000)/('Input Transaksi'!$B$5:$B$5000="JCL BYPASS"),ROWS($E$5:E988)),"")</f>
        <v/>
      </c>
      <c r="F988" s="5" t="n"/>
    </row>
    <row r="989">
      <c r="A989" s="10">
        <f>IF($E989="","",INDEX('Input Transaksi'!$A:$A,$E989))</f>
        <v/>
      </c>
      <c r="B989" s="5">
        <f>IF($E989="","",INDEX('Input Transaksi'!$D:$D,$E989))</f>
        <v/>
      </c>
      <c r="C989">
        <f>IF($E989="","",INDEX('Input Transaksi'!$E:$E,$E989))</f>
        <v/>
      </c>
      <c r="D989" s="5">
        <f>IF($E989="","",INDEX('Input Transaksi'!$F:$F,$E989))</f>
        <v/>
      </c>
      <c r="E989">
        <f>IFERROR(AGGREGATE(15,6,ROW('Input Transaksi'!$B$5:$B$5000)/('Input Transaksi'!$B$5:$B$5000="JCL BYPASS"),ROWS($E$5:E989)),"")</f>
        <v/>
      </c>
      <c r="F989" s="5" t="n"/>
    </row>
    <row r="990">
      <c r="A990" s="10">
        <f>IF($E990="","",INDEX('Input Transaksi'!$A:$A,$E990))</f>
        <v/>
      </c>
      <c r="B990" s="5">
        <f>IF($E990="","",INDEX('Input Transaksi'!$D:$D,$E990))</f>
        <v/>
      </c>
      <c r="C990">
        <f>IF($E990="","",INDEX('Input Transaksi'!$E:$E,$E990))</f>
        <v/>
      </c>
      <c r="D990" s="5">
        <f>IF($E990="","",INDEX('Input Transaksi'!$F:$F,$E990))</f>
        <v/>
      </c>
      <c r="E990">
        <f>IFERROR(AGGREGATE(15,6,ROW('Input Transaksi'!$B$5:$B$5000)/('Input Transaksi'!$B$5:$B$5000="JCL BYPASS"),ROWS($E$5:E990)),"")</f>
        <v/>
      </c>
      <c r="F990" s="5" t="n"/>
    </row>
    <row r="991">
      <c r="A991" s="10">
        <f>IF($E991="","",INDEX('Input Transaksi'!$A:$A,$E991))</f>
        <v/>
      </c>
      <c r="B991" s="5">
        <f>IF($E991="","",INDEX('Input Transaksi'!$D:$D,$E991))</f>
        <v/>
      </c>
      <c r="C991">
        <f>IF($E991="","",INDEX('Input Transaksi'!$E:$E,$E991))</f>
        <v/>
      </c>
      <c r="D991" s="5">
        <f>IF($E991="","",INDEX('Input Transaksi'!$F:$F,$E991))</f>
        <v/>
      </c>
      <c r="E991">
        <f>IFERROR(AGGREGATE(15,6,ROW('Input Transaksi'!$B$5:$B$5000)/('Input Transaksi'!$B$5:$B$5000="JCL BYPASS"),ROWS($E$5:E991)),"")</f>
        <v/>
      </c>
      <c r="F991" s="5" t="n"/>
    </row>
    <row r="992">
      <c r="A992" s="10">
        <f>IF($E992="","",INDEX('Input Transaksi'!$A:$A,$E992))</f>
        <v/>
      </c>
      <c r="B992" s="5">
        <f>IF($E992="","",INDEX('Input Transaksi'!$D:$D,$E992))</f>
        <v/>
      </c>
      <c r="C992">
        <f>IF($E992="","",INDEX('Input Transaksi'!$E:$E,$E992))</f>
        <v/>
      </c>
      <c r="D992" s="5">
        <f>IF($E992="","",INDEX('Input Transaksi'!$F:$F,$E992))</f>
        <v/>
      </c>
      <c r="E992">
        <f>IFERROR(AGGREGATE(15,6,ROW('Input Transaksi'!$B$5:$B$5000)/('Input Transaksi'!$B$5:$B$5000="JCL BYPASS"),ROWS($E$5:E992)),"")</f>
        <v/>
      </c>
      <c r="F992" s="5" t="n"/>
    </row>
    <row r="993">
      <c r="A993" s="10">
        <f>IF($E993="","",INDEX('Input Transaksi'!$A:$A,$E993))</f>
        <v/>
      </c>
      <c r="B993" s="5">
        <f>IF($E993="","",INDEX('Input Transaksi'!$D:$D,$E993))</f>
        <v/>
      </c>
      <c r="C993">
        <f>IF($E993="","",INDEX('Input Transaksi'!$E:$E,$E993))</f>
        <v/>
      </c>
      <c r="D993" s="5">
        <f>IF($E993="","",INDEX('Input Transaksi'!$F:$F,$E993))</f>
        <v/>
      </c>
      <c r="E993">
        <f>IFERROR(AGGREGATE(15,6,ROW('Input Transaksi'!$B$5:$B$5000)/('Input Transaksi'!$B$5:$B$5000="JCL BYPASS"),ROWS($E$5:E993)),"")</f>
        <v/>
      </c>
      <c r="F993" s="5" t="n"/>
    </row>
    <row r="994">
      <c r="A994" s="10">
        <f>IF($E994="","",INDEX('Input Transaksi'!$A:$A,$E994))</f>
        <v/>
      </c>
      <c r="B994" s="5">
        <f>IF($E994="","",INDEX('Input Transaksi'!$D:$D,$E994))</f>
        <v/>
      </c>
      <c r="C994">
        <f>IF($E994="","",INDEX('Input Transaksi'!$E:$E,$E994))</f>
        <v/>
      </c>
      <c r="D994" s="5">
        <f>IF($E994="","",INDEX('Input Transaksi'!$F:$F,$E994))</f>
        <v/>
      </c>
      <c r="E994">
        <f>IFERROR(AGGREGATE(15,6,ROW('Input Transaksi'!$B$5:$B$5000)/('Input Transaksi'!$B$5:$B$5000="JCL BYPASS"),ROWS($E$5:E994)),"")</f>
        <v/>
      </c>
      <c r="F994" s="5" t="n"/>
    </row>
    <row r="995">
      <c r="A995" s="10">
        <f>IF($E995="","",INDEX('Input Transaksi'!$A:$A,$E995))</f>
        <v/>
      </c>
      <c r="B995" s="5">
        <f>IF($E995="","",INDEX('Input Transaksi'!$D:$D,$E995))</f>
        <v/>
      </c>
      <c r="C995">
        <f>IF($E995="","",INDEX('Input Transaksi'!$E:$E,$E995))</f>
        <v/>
      </c>
      <c r="D995" s="5">
        <f>IF($E995="","",INDEX('Input Transaksi'!$F:$F,$E995))</f>
        <v/>
      </c>
      <c r="E995">
        <f>IFERROR(AGGREGATE(15,6,ROW('Input Transaksi'!$B$5:$B$5000)/('Input Transaksi'!$B$5:$B$5000="JCL BYPASS"),ROWS($E$5:E995)),"")</f>
        <v/>
      </c>
      <c r="F995" s="5" t="n"/>
    </row>
    <row r="996">
      <c r="A996" s="10">
        <f>IF($E996="","",INDEX('Input Transaksi'!$A:$A,$E996))</f>
        <v/>
      </c>
      <c r="B996" s="5">
        <f>IF($E996="","",INDEX('Input Transaksi'!$D:$D,$E996))</f>
        <v/>
      </c>
      <c r="C996">
        <f>IF($E996="","",INDEX('Input Transaksi'!$E:$E,$E996))</f>
        <v/>
      </c>
      <c r="D996" s="5">
        <f>IF($E996="","",INDEX('Input Transaksi'!$F:$F,$E996))</f>
        <v/>
      </c>
      <c r="E996">
        <f>IFERROR(AGGREGATE(15,6,ROW('Input Transaksi'!$B$5:$B$5000)/('Input Transaksi'!$B$5:$B$5000="JCL BYPASS"),ROWS($E$5:E996)),"")</f>
        <v/>
      </c>
      <c r="F996" s="5" t="n"/>
    </row>
    <row r="997">
      <c r="A997" s="10">
        <f>IF($E997="","",INDEX('Input Transaksi'!$A:$A,$E997))</f>
        <v/>
      </c>
      <c r="B997" s="5">
        <f>IF($E997="","",INDEX('Input Transaksi'!$D:$D,$E997))</f>
        <v/>
      </c>
      <c r="C997">
        <f>IF($E997="","",INDEX('Input Transaksi'!$E:$E,$E997))</f>
        <v/>
      </c>
      <c r="D997" s="5">
        <f>IF($E997="","",INDEX('Input Transaksi'!$F:$F,$E997))</f>
        <v/>
      </c>
      <c r="E997">
        <f>IFERROR(AGGREGATE(15,6,ROW('Input Transaksi'!$B$5:$B$5000)/('Input Transaksi'!$B$5:$B$5000="JCL BYPASS"),ROWS($E$5:E997)),"")</f>
        <v/>
      </c>
      <c r="F997" s="5" t="n"/>
    </row>
    <row r="998">
      <c r="A998" s="10">
        <f>IF($E998="","",INDEX('Input Transaksi'!$A:$A,$E998))</f>
        <v/>
      </c>
      <c r="B998" s="5">
        <f>IF($E998="","",INDEX('Input Transaksi'!$D:$D,$E998))</f>
        <v/>
      </c>
      <c r="C998">
        <f>IF($E998="","",INDEX('Input Transaksi'!$E:$E,$E998))</f>
        <v/>
      </c>
      <c r="D998" s="5">
        <f>IF($E998="","",INDEX('Input Transaksi'!$F:$F,$E998))</f>
        <v/>
      </c>
      <c r="E998">
        <f>IFERROR(AGGREGATE(15,6,ROW('Input Transaksi'!$B$5:$B$5000)/('Input Transaksi'!$B$5:$B$5000="JCL BYPASS"),ROWS($E$5:E998)),"")</f>
        <v/>
      </c>
      <c r="F998" s="5" t="n"/>
    </row>
    <row r="999">
      <c r="A999" s="10">
        <f>IF($E999="","",INDEX('Input Transaksi'!$A:$A,$E999))</f>
        <v/>
      </c>
      <c r="B999" s="5">
        <f>IF($E999="","",INDEX('Input Transaksi'!$D:$D,$E999))</f>
        <v/>
      </c>
      <c r="C999">
        <f>IF($E999="","",INDEX('Input Transaksi'!$E:$E,$E999))</f>
        <v/>
      </c>
      <c r="D999" s="5">
        <f>IF($E999="","",INDEX('Input Transaksi'!$F:$F,$E999))</f>
        <v/>
      </c>
      <c r="E999">
        <f>IFERROR(AGGREGATE(15,6,ROW('Input Transaksi'!$B$5:$B$5000)/('Input Transaksi'!$B$5:$B$5000="JCL BYPASS"),ROWS($E$5:E999)),"")</f>
        <v/>
      </c>
      <c r="F999" s="5" t="n"/>
    </row>
    <row r="1000">
      <c r="A1000" s="10">
        <f>IF($E1000="","",INDEX('Input Transaksi'!$A:$A,$E1000))</f>
        <v/>
      </c>
      <c r="B1000" s="5">
        <f>IF($E1000="","",INDEX('Input Transaksi'!$D:$D,$E1000))</f>
        <v/>
      </c>
      <c r="C1000">
        <f>IF($E1000="","",INDEX('Input Transaksi'!$E:$E,$E1000))</f>
        <v/>
      </c>
      <c r="D1000" s="5">
        <f>IF($E1000="","",INDEX('Input Transaksi'!$F:$F,$E1000))</f>
        <v/>
      </c>
      <c r="E1000">
        <f>IFERROR(AGGREGATE(15,6,ROW('Input Transaksi'!$B$5:$B$5000)/('Input Transaksi'!$B$5:$B$5000="JCL BYPASS"),ROWS($E$5:E1000)),"")</f>
        <v/>
      </c>
      <c r="F1000" s="5" t="n"/>
    </row>
  </sheetData>
  <autoFilter ref="A4:D1000"/>
  <mergeCells count="1">
    <mergeCell ref="A1:E1"/>
  </mergeCells>
  <hyperlinks>
    <hyperlink ref="F1" location="'Beranda'!A1" display="Kembali ke Beranda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00"/>
  <sheetViews>
    <sheetView workbookViewId="0">
      <pane ySplit="4" topLeftCell="A5" activePane="bottomLeft" state="frozen"/>
      <selection pane="bottomLeft" activeCell="A1" sqref="A1"/>
    </sheetView>
  </sheetViews>
  <sheetFormatPr baseColWidth="10" defaultColWidth="8.83203125" defaultRowHeight="15"/>
  <cols>
    <col width="16" customWidth="1" min="1" max="1"/>
    <col width="22" customWidth="1" min="2" max="2"/>
    <col width="12" customWidth="1" min="3" max="3"/>
    <col width="26" customWidth="1" min="4" max="4"/>
    <col hidden="1" width="12.6640625" customWidth="1" min="5" max="5"/>
    <col width="16" customWidth="1" min="6" max="6"/>
    <col hidden="1" width="13" customWidth="1" min="7" max="7"/>
  </cols>
  <sheetData>
    <row r="1" ht="24" customHeight="1">
      <c r="A1" s="11" t="inlineStr">
        <is>
          <t>JCL SESETAN</t>
        </is>
      </c>
      <c r="F1" s="3" t="inlineStr">
        <is>
          <t>Kembali ke Beranda</t>
        </is>
      </c>
    </row>
    <row r="2">
      <c r="A2" s="13" t="inlineStr">
        <is>
          <t>Wilayah</t>
        </is>
      </c>
      <c r="B2" s="13" t="inlineStr">
        <is>
          <t>SELATAN</t>
        </is>
      </c>
      <c r="C2" s="13" t="inlineStr">
        <is>
          <t>Total Qty</t>
        </is>
      </c>
      <c r="D2" s="2">
        <f>SUMIFS('Input Transaksi'!$E$5:$E$5000,'Input Transaksi'!$B$5:$B$5000,"JCL SESETAN")</f>
        <v/>
      </c>
      <c r="E2" s="13" t="inlineStr">
        <is>
          <t>Jumlah Transaksi</t>
        </is>
      </c>
      <c r="F2" s="2">
        <f>COUNTIF('Input Transaksi'!$B$5:$B$5000,"JCL SESETAN")</f>
        <v/>
      </c>
    </row>
    <row r="3"/>
    <row r="4">
      <c r="A4" s="4" t="inlineStr">
        <is>
          <t>Tanggal</t>
        </is>
      </c>
      <c r="B4" s="4" t="inlineStr">
        <is>
          <t>Item</t>
        </is>
      </c>
      <c r="C4" s="4" t="inlineStr">
        <is>
          <t>Qty Keluar</t>
        </is>
      </c>
      <c r="D4" s="4" t="inlineStr">
        <is>
          <t>Catatan</t>
        </is>
      </c>
      <c r="E4" t="inlineStr">
        <is>
          <t>RowRef</t>
        </is>
      </c>
      <c r="F4" s="4" t="n"/>
    </row>
    <row r="5">
      <c r="A5" s="10">
        <f>IF($E5="","",INDEX('Input Transaksi'!$A:$A,$E5))</f>
        <v/>
      </c>
      <c r="B5" s="5">
        <f>IF($E5="","",INDEX('Input Transaksi'!$D:$D,$E5))</f>
        <v/>
      </c>
      <c r="C5">
        <f>IF($E5="","",INDEX('Input Transaksi'!$E:$E,$E5))</f>
        <v/>
      </c>
      <c r="D5" s="5">
        <f>IF($E5="","",INDEX('Input Transaksi'!$F:$F,$E5))</f>
        <v/>
      </c>
      <c r="E5">
        <f>IFERROR(AGGREGATE(15,6,ROW('Input Transaksi'!$B$5:$B$5000)/('Input Transaksi'!$B$5:$B$5000="JCL SESETAN"),ROWS($E$5:E5)),"")</f>
        <v/>
      </c>
      <c r="F5" s="5" t="n"/>
    </row>
    <row r="6">
      <c r="A6" s="10">
        <f>IF($E6="","",INDEX('Input Transaksi'!$A:$A,$E6))</f>
        <v/>
      </c>
      <c r="B6" s="5">
        <f>IF($E6="","",INDEX('Input Transaksi'!$D:$D,$E6))</f>
        <v/>
      </c>
      <c r="C6">
        <f>IF($E6="","",INDEX('Input Transaksi'!$E:$E,$E6))</f>
        <v/>
      </c>
      <c r="D6" s="5">
        <f>IF($E6="","",INDEX('Input Transaksi'!$F:$F,$E6))</f>
        <v/>
      </c>
      <c r="E6">
        <f>IFERROR(AGGREGATE(15,6,ROW('Input Transaksi'!$B$5:$B$5000)/('Input Transaksi'!$B$5:$B$5000="JCL SESETAN"),ROWS($E$5:E6)),"")</f>
        <v/>
      </c>
      <c r="F6" s="5" t="n"/>
    </row>
    <row r="7">
      <c r="A7" s="10">
        <f>IF($E7="","",INDEX('Input Transaksi'!$A:$A,$E7))</f>
        <v/>
      </c>
      <c r="B7" s="5">
        <f>IF($E7="","",INDEX('Input Transaksi'!$D:$D,$E7))</f>
        <v/>
      </c>
      <c r="C7">
        <f>IF($E7="","",INDEX('Input Transaksi'!$E:$E,$E7))</f>
        <v/>
      </c>
      <c r="D7" s="5">
        <f>IF($E7="","",INDEX('Input Transaksi'!$F:$F,$E7))</f>
        <v/>
      </c>
      <c r="E7">
        <f>IFERROR(AGGREGATE(15,6,ROW('Input Transaksi'!$B$5:$B$5000)/('Input Transaksi'!$B$5:$B$5000="JCL SESETAN"),ROWS($E$5:E7)),"")</f>
        <v/>
      </c>
      <c r="F7" s="5" t="n"/>
    </row>
    <row r="8">
      <c r="A8" s="10">
        <f>IF($E8="","",INDEX('Input Transaksi'!$A:$A,$E8))</f>
        <v/>
      </c>
      <c r="B8" s="5">
        <f>IF($E8="","",INDEX('Input Transaksi'!$D:$D,$E8))</f>
        <v/>
      </c>
      <c r="C8">
        <f>IF($E8="","",INDEX('Input Transaksi'!$E:$E,$E8))</f>
        <v/>
      </c>
      <c r="D8" s="5">
        <f>IF($E8="","",INDEX('Input Transaksi'!$F:$F,$E8))</f>
        <v/>
      </c>
      <c r="E8">
        <f>IFERROR(AGGREGATE(15,6,ROW('Input Transaksi'!$B$5:$B$5000)/('Input Transaksi'!$B$5:$B$5000="JCL SESETAN"),ROWS($E$5:E8)),"")</f>
        <v/>
      </c>
      <c r="F8" s="5" t="n"/>
    </row>
    <row r="9">
      <c r="A9" s="10">
        <f>IF($E9="","",INDEX('Input Transaksi'!$A:$A,$E9))</f>
        <v/>
      </c>
      <c r="B9" s="5">
        <f>IF($E9="","",INDEX('Input Transaksi'!$D:$D,$E9))</f>
        <v/>
      </c>
      <c r="C9">
        <f>IF($E9="","",INDEX('Input Transaksi'!$E:$E,$E9))</f>
        <v/>
      </c>
      <c r="D9" s="5">
        <f>IF($E9="","",INDEX('Input Transaksi'!$F:$F,$E9))</f>
        <v/>
      </c>
      <c r="E9">
        <f>IFERROR(AGGREGATE(15,6,ROW('Input Transaksi'!$B$5:$B$5000)/('Input Transaksi'!$B$5:$B$5000="JCL SESETAN"),ROWS($E$5:E9)),"")</f>
        <v/>
      </c>
      <c r="F9" s="5" t="n"/>
    </row>
    <row r="10">
      <c r="A10" s="10">
        <f>IF($E10="","",INDEX('Input Transaksi'!$A:$A,$E10))</f>
        <v/>
      </c>
      <c r="B10" s="5">
        <f>IF($E10="","",INDEX('Input Transaksi'!$D:$D,$E10))</f>
        <v/>
      </c>
      <c r="C10">
        <f>IF($E10="","",INDEX('Input Transaksi'!$E:$E,$E10))</f>
        <v/>
      </c>
      <c r="D10" s="5">
        <f>IF($E10="","",INDEX('Input Transaksi'!$F:$F,$E10))</f>
        <v/>
      </c>
      <c r="E10">
        <f>IFERROR(AGGREGATE(15,6,ROW('Input Transaksi'!$B$5:$B$5000)/('Input Transaksi'!$B$5:$B$5000="JCL SESETAN"),ROWS($E$5:E10)),"")</f>
        <v/>
      </c>
      <c r="F10" s="5" t="n"/>
    </row>
    <row r="11">
      <c r="A11" s="10">
        <f>IF($E11="","",INDEX('Input Transaksi'!$A:$A,$E11))</f>
        <v/>
      </c>
      <c r="B11" s="5">
        <f>IF($E11="","",INDEX('Input Transaksi'!$D:$D,$E11))</f>
        <v/>
      </c>
      <c r="C11">
        <f>IF($E11="","",INDEX('Input Transaksi'!$E:$E,$E11))</f>
        <v/>
      </c>
      <c r="D11" s="5">
        <f>IF($E11="","",INDEX('Input Transaksi'!$F:$F,$E11))</f>
        <v/>
      </c>
      <c r="E11">
        <f>IFERROR(AGGREGATE(15,6,ROW('Input Transaksi'!$B$5:$B$5000)/('Input Transaksi'!$B$5:$B$5000="JCL SESETAN"),ROWS($E$5:E11)),"")</f>
        <v/>
      </c>
      <c r="F11" s="5" t="n"/>
    </row>
    <row r="12">
      <c r="A12" s="10">
        <f>IF($E12="","",INDEX('Input Transaksi'!$A:$A,$E12))</f>
        <v/>
      </c>
      <c r="B12" s="5">
        <f>IF($E12="","",INDEX('Input Transaksi'!$D:$D,$E12))</f>
        <v/>
      </c>
      <c r="C12">
        <f>IF($E12="","",INDEX('Input Transaksi'!$E:$E,$E12))</f>
        <v/>
      </c>
      <c r="D12" s="5">
        <f>IF($E12="","",INDEX('Input Transaksi'!$F:$F,$E12))</f>
        <v/>
      </c>
      <c r="E12">
        <f>IFERROR(AGGREGATE(15,6,ROW('Input Transaksi'!$B$5:$B$5000)/('Input Transaksi'!$B$5:$B$5000="JCL SESETAN"),ROWS($E$5:E12)),"")</f>
        <v/>
      </c>
      <c r="F12" s="5" t="n"/>
    </row>
    <row r="13">
      <c r="A13" s="10">
        <f>IF($E13="","",INDEX('Input Transaksi'!$A:$A,$E13))</f>
        <v/>
      </c>
      <c r="B13" s="5">
        <f>IF($E13="","",INDEX('Input Transaksi'!$D:$D,$E13))</f>
        <v/>
      </c>
      <c r="C13">
        <f>IF($E13="","",INDEX('Input Transaksi'!$E:$E,$E13))</f>
        <v/>
      </c>
      <c r="D13" s="5">
        <f>IF($E13="","",INDEX('Input Transaksi'!$F:$F,$E13))</f>
        <v/>
      </c>
      <c r="E13">
        <f>IFERROR(AGGREGATE(15,6,ROW('Input Transaksi'!$B$5:$B$5000)/('Input Transaksi'!$B$5:$B$5000="JCL SESETAN"),ROWS($E$5:E13)),"")</f>
        <v/>
      </c>
      <c r="F13" s="5" t="n"/>
    </row>
    <row r="14">
      <c r="A14" s="10">
        <f>IF($E14="","",INDEX('Input Transaksi'!$A:$A,$E14))</f>
        <v/>
      </c>
      <c r="B14" s="5">
        <f>IF($E14="","",INDEX('Input Transaksi'!$D:$D,$E14))</f>
        <v/>
      </c>
      <c r="C14">
        <f>IF($E14="","",INDEX('Input Transaksi'!$E:$E,$E14))</f>
        <v/>
      </c>
      <c r="D14" s="5">
        <f>IF($E14="","",INDEX('Input Transaksi'!$F:$F,$E14))</f>
        <v/>
      </c>
      <c r="E14">
        <f>IFERROR(AGGREGATE(15,6,ROW('Input Transaksi'!$B$5:$B$5000)/('Input Transaksi'!$B$5:$B$5000="JCL SESETAN"),ROWS($E$5:E14)),"")</f>
        <v/>
      </c>
      <c r="F14" s="5" t="n"/>
    </row>
    <row r="15">
      <c r="A15" s="10">
        <f>IF($E15="","",INDEX('Input Transaksi'!$A:$A,$E15))</f>
        <v/>
      </c>
      <c r="B15" s="5">
        <f>IF($E15="","",INDEX('Input Transaksi'!$D:$D,$E15))</f>
        <v/>
      </c>
      <c r="C15">
        <f>IF($E15="","",INDEX('Input Transaksi'!$E:$E,$E15))</f>
        <v/>
      </c>
      <c r="D15" s="5">
        <f>IF($E15="","",INDEX('Input Transaksi'!$F:$F,$E15))</f>
        <v/>
      </c>
      <c r="E15">
        <f>IFERROR(AGGREGATE(15,6,ROW('Input Transaksi'!$B$5:$B$5000)/('Input Transaksi'!$B$5:$B$5000="JCL SESETAN"),ROWS($E$5:E15)),"")</f>
        <v/>
      </c>
      <c r="F15" s="5" t="n"/>
    </row>
    <row r="16">
      <c r="A16" s="10">
        <f>IF($E16="","",INDEX('Input Transaksi'!$A:$A,$E16))</f>
        <v/>
      </c>
      <c r="B16" s="5">
        <f>IF($E16="","",INDEX('Input Transaksi'!$D:$D,$E16))</f>
        <v/>
      </c>
      <c r="C16">
        <f>IF($E16="","",INDEX('Input Transaksi'!$E:$E,$E16))</f>
        <v/>
      </c>
      <c r="D16" s="5">
        <f>IF($E16="","",INDEX('Input Transaksi'!$F:$F,$E16))</f>
        <v/>
      </c>
      <c r="E16">
        <f>IFERROR(AGGREGATE(15,6,ROW('Input Transaksi'!$B$5:$B$5000)/('Input Transaksi'!$B$5:$B$5000="JCL SESETAN"),ROWS($E$5:E16)),"")</f>
        <v/>
      </c>
      <c r="F16" s="5" t="n"/>
    </row>
    <row r="17">
      <c r="A17" s="10">
        <f>IF($E17="","",INDEX('Input Transaksi'!$A:$A,$E17))</f>
        <v/>
      </c>
      <c r="B17" s="5">
        <f>IF($E17="","",INDEX('Input Transaksi'!$D:$D,$E17))</f>
        <v/>
      </c>
      <c r="C17">
        <f>IF($E17="","",INDEX('Input Transaksi'!$E:$E,$E17))</f>
        <v/>
      </c>
      <c r="D17" s="5">
        <f>IF($E17="","",INDEX('Input Transaksi'!$F:$F,$E17))</f>
        <v/>
      </c>
      <c r="E17">
        <f>IFERROR(AGGREGATE(15,6,ROW('Input Transaksi'!$B$5:$B$5000)/('Input Transaksi'!$B$5:$B$5000="JCL SESETAN"),ROWS($E$5:E17)),"")</f>
        <v/>
      </c>
      <c r="F17" s="5" t="n"/>
    </row>
    <row r="18">
      <c r="A18" s="10">
        <f>IF($E18="","",INDEX('Input Transaksi'!$A:$A,$E18))</f>
        <v/>
      </c>
      <c r="B18" s="5">
        <f>IF($E18="","",INDEX('Input Transaksi'!$D:$D,$E18))</f>
        <v/>
      </c>
      <c r="C18">
        <f>IF($E18="","",INDEX('Input Transaksi'!$E:$E,$E18))</f>
        <v/>
      </c>
      <c r="D18" s="5">
        <f>IF($E18="","",INDEX('Input Transaksi'!$F:$F,$E18))</f>
        <v/>
      </c>
      <c r="E18">
        <f>IFERROR(AGGREGATE(15,6,ROW('Input Transaksi'!$B$5:$B$5000)/('Input Transaksi'!$B$5:$B$5000="JCL SESETAN"),ROWS($E$5:E18)),"")</f>
        <v/>
      </c>
      <c r="F18" s="5" t="n"/>
    </row>
    <row r="19">
      <c r="A19" s="10">
        <f>IF($E19="","",INDEX('Input Transaksi'!$A:$A,$E19))</f>
        <v/>
      </c>
      <c r="B19" s="5">
        <f>IF($E19="","",INDEX('Input Transaksi'!$D:$D,$E19))</f>
        <v/>
      </c>
      <c r="C19">
        <f>IF($E19="","",INDEX('Input Transaksi'!$E:$E,$E19))</f>
        <v/>
      </c>
      <c r="D19" s="5">
        <f>IF($E19="","",INDEX('Input Transaksi'!$F:$F,$E19))</f>
        <v/>
      </c>
      <c r="E19">
        <f>IFERROR(AGGREGATE(15,6,ROW('Input Transaksi'!$B$5:$B$5000)/('Input Transaksi'!$B$5:$B$5000="JCL SESETAN"),ROWS($E$5:E19)),"")</f>
        <v/>
      </c>
      <c r="F19" s="5" t="n"/>
    </row>
    <row r="20">
      <c r="A20" s="10">
        <f>IF($E20="","",INDEX('Input Transaksi'!$A:$A,$E20))</f>
        <v/>
      </c>
      <c r="B20" s="5">
        <f>IF($E20="","",INDEX('Input Transaksi'!$D:$D,$E20))</f>
        <v/>
      </c>
      <c r="C20">
        <f>IF($E20="","",INDEX('Input Transaksi'!$E:$E,$E20))</f>
        <v/>
      </c>
      <c r="D20" s="5">
        <f>IF($E20="","",INDEX('Input Transaksi'!$F:$F,$E20))</f>
        <v/>
      </c>
      <c r="E20">
        <f>IFERROR(AGGREGATE(15,6,ROW('Input Transaksi'!$B$5:$B$5000)/('Input Transaksi'!$B$5:$B$5000="JCL SESETAN"),ROWS($E$5:E20)),"")</f>
        <v/>
      </c>
      <c r="F20" s="5" t="n"/>
    </row>
    <row r="21">
      <c r="A21" s="10">
        <f>IF($E21="","",INDEX('Input Transaksi'!$A:$A,$E21))</f>
        <v/>
      </c>
      <c r="B21" s="5">
        <f>IF($E21="","",INDEX('Input Transaksi'!$D:$D,$E21))</f>
        <v/>
      </c>
      <c r="C21">
        <f>IF($E21="","",INDEX('Input Transaksi'!$E:$E,$E21))</f>
        <v/>
      </c>
      <c r="D21" s="5">
        <f>IF($E21="","",INDEX('Input Transaksi'!$F:$F,$E21))</f>
        <v/>
      </c>
      <c r="E21">
        <f>IFERROR(AGGREGATE(15,6,ROW('Input Transaksi'!$B$5:$B$5000)/('Input Transaksi'!$B$5:$B$5000="JCL SESETAN"),ROWS($E$5:E21)),"")</f>
        <v/>
      </c>
      <c r="F21" s="5" t="n"/>
    </row>
    <row r="22">
      <c r="A22" s="10">
        <f>IF($E22="","",INDEX('Input Transaksi'!$A:$A,$E22))</f>
        <v/>
      </c>
      <c r="B22" s="5">
        <f>IF($E22="","",INDEX('Input Transaksi'!$D:$D,$E22))</f>
        <v/>
      </c>
      <c r="C22">
        <f>IF($E22="","",INDEX('Input Transaksi'!$E:$E,$E22))</f>
        <v/>
      </c>
      <c r="D22" s="5">
        <f>IF($E22="","",INDEX('Input Transaksi'!$F:$F,$E22))</f>
        <v/>
      </c>
      <c r="E22">
        <f>IFERROR(AGGREGATE(15,6,ROW('Input Transaksi'!$B$5:$B$5000)/('Input Transaksi'!$B$5:$B$5000="JCL SESETAN"),ROWS($E$5:E22)),"")</f>
        <v/>
      </c>
      <c r="F22" s="5" t="n"/>
    </row>
    <row r="23">
      <c r="A23" s="10">
        <f>IF($E23="","",INDEX('Input Transaksi'!$A:$A,$E23))</f>
        <v/>
      </c>
      <c r="B23" s="5">
        <f>IF($E23="","",INDEX('Input Transaksi'!$D:$D,$E23))</f>
        <v/>
      </c>
      <c r="C23">
        <f>IF($E23="","",INDEX('Input Transaksi'!$E:$E,$E23))</f>
        <v/>
      </c>
      <c r="D23" s="5">
        <f>IF($E23="","",INDEX('Input Transaksi'!$F:$F,$E23))</f>
        <v/>
      </c>
      <c r="E23">
        <f>IFERROR(AGGREGATE(15,6,ROW('Input Transaksi'!$B$5:$B$5000)/('Input Transaksi'!$B$5:$B$5000="JCL SESETAN"),ROWS($E$5:E23)),"")</f>
        <v/>
      </c>
      <c r="F23" s="5" t="n"/>
    </row>
    <row r="24">
      <c r="A24" s="10">
        <f>IF($E24="","",INDEX('Input Transaksi'!$A:$A,$E24))</f>
        <v/>
      </c>
      <c r="B24" s="5">
        <f>IF($E24="","",INDEX('Input Transaksi'!$D:$D,$E24))</f>
        <v/>
      </c>
      <c r="C24">
        <f>IF($E24="","",INDEX('Input Transaksi'!$E:$E,$E24))</f>
        <v/>
      </c>
      <c r="D24" s="5">
        <f>IF($E24="","",INDEX('Input Transaksi'!$F:$F,$E24))</f>
        <v/>
      </c>
      <c r="E24">
        <f>IFERROR(AGGREGATE(15,6,ROW('Input Transaksi'!$B$5:$B$5000)/('Input Transaksi'!$B$5:$B$5000="JCL SESETAN"),ROWS($E$5:E24)),"")</f>
        <v/>
      </c>
      <c r="F24" s="5" t="n"/>
    </row>
    <row r="25">
      <c r="A25" s="10">
        <f>IF($E25="","",INDEX('Input Transaksi'!$A:$A,$E25))</f>
        <v/>
      </c>
      <c r="B25" s="5">
        <f>IF($E25="","",INDEX('Input Transaksi'!$D:$D,$E25))</f>
        <v/>
      </c>
      <c r="C25">
        <f>IF($E25="","",INDEX('Input Transaksi'!$E:$E,$E25))</f>
        <v/>
      </c>
      <c r="D25" s="5">
        <f>IF($E25="","",INDEX('Input Transaksi'!$F:$F,$E25))</f>
        <v/>
      </c>
      <c r="E25">
        <f>IFERROR(AGGREGATE(15,6,ROW('Input Transaksi'!$B$5:$B$5000)/('Input Transaksi'!$B$5:$B$5000="JCL SESETAN"),ROWS($E$5:E25)),"")</f>
        <v/>
      </c>
      <c r="F25" s="5" t="n"/>
    </row>
    <row r="26">
      <c r="A26" s="10">
        <f>IF($E26="","",INDEX('Input Transaksi'!$A:$A,$E26))</f>
        <v/>
      </c>
      <c r="B26" s="5">
        <f>IF($E26="","",INDEX('Input Transaksi'!$D:$D,$E26))</f>
        <v/>
      </c>
      <c r="C26">
        <f>IF($E26="","",INDEX('Input Transaksi'!$E:$E,$E26))</f>
        <v/>
      </c>
      <c r="D26" s="5">
        <f>IF($E26="","",INDEX('Input Transaksi'!$F:$F,$E26))</f>
        <v/>
      </c>
      <c r="E26">
        <f>IFERROR(AGGREGATE(15,6,ROW('Input Transaksi'!$B$5:$B$5000)/('Input Transaksi'!$B$5:$B$5000="JCL SESETAN"),ROWS($E$5:E26)),"")</f>
        <v/>
      </c>
      <c r="F26" s="5" t="n"/>
    </row>
    <row r="27">
      <c r="A27" s="10">
        <f>IF($E27="","",INDEX('Input Transaksi'!$A:$A,$E27))</f>
        <v/>
      </c>
      <c r="B27" s="5">
        <f>IF($E27="","",INDEX('Input Transaksi'!$D:$D,$E27))</f>
        <v/>
      </c>
      <c r="C27">
        <f>IF($E27="","",INDEX('Input Transaksi'!$E:$E,$E27))</f>
        <v/>
      </c>
      <c r="D27" s="5">
        <f>IF($E27="","",INDEX('Input Transaksi'!$F:$F,$E27))</f>
        <v/>
      </c>
      <c r="E27">
        <f>IFERROR(AGGREGATE(15,6,ROW('Input Transaksi'!$B$5:$B$5000)/('Input Transaksi'!$B$5:$B$5000="JCL SESETAN"),ROWS($E$5:E27)),"")</f>
        <v/>
      </c>
      <c r="F27" s="5" t="n"/>
    </row>
    <row r="28">
      <c r="A28" s="10">
        <f>IF($E28="","",INDEX('Input Transaksi'!$A:$A,$E28))</f>
        <v/>
      </c>
      <c r="B28" s="5">
        <f>IF($E28="","",INDEX('Input Transaksi'!$D:$D,$E28))</f>
        <v/>
      </c>
      <c r="C28">
        <f>IF($E28="","",INDEX('Input Transaksi'!$E:$E,$E28))</f>
        <v/>
      </c>
      <c r="D28" s="5">
        <f>IF($E28="","",INDEX('Input Transaksi'!$F:$F,$E28))</f>
        <v/>
      </c>
      <c r="E28">
        <f>IFERROR(AGGREGATE(15,6,ROW('Input Transaksi'!$B$5:$B$5000)/('Input Transaksi'!$B$5:$B$5000="JCL SESETAN"),ROWS($E$5:E28)),"")</f>
        <v/>
      </c>
      <c r="F28" s="5" t="n"/>
    </row>
    <row r="29">
      <c r="A29" s="10">
        <f>IF($E29="","",INDEX('Input Transaksi'!$A:$A,$E29))</f>
        <v/>
      </c>
      <c r="B29" s="5">
        <f>IF($E29="","",INDEX('Input Transaksi'!$D:$D,$E29))</f>
        <v/>
      </c>
      <c r="C29">
        <f>IF($E29="","",INDEX('Input Transaksi'!$E:$E,$E29))</f>
        <v/>
      </c>
      <c r="D29" s="5">
        <f>IF($E29="","",INDEX('Input Transaksi'!$F:$F,$E29))</f>
        <v/>
      </c>
      <c r="E29">
        <f>IFERROR(AGGREGATE(15,6,ROW('Input Transaksi'!$B$5:$B$5000)/('Input Transaksi'!$B$5:$B$5000="JCL SESETAN"),ROWS($E$5:E29)),"")</f>
        <v/>
      </c>
      <c r="F29" s="5" t="n"/>
    </row>
    <row r="30">
      <c r="A30" s="10">
        <f>IF($E30="","",INDEX('Input Transaksi'!$A:$A,$E30))</f>
        <v/>
      </c>
      <c r="B30" s="5">
        <f>IF($E30="","",INDEX('Input Transaksi'!$D:$D,$E30))</f>
        <v/>
      </c>
      <c r="C30">
        <f>IF($E30="","",INDEX('Input Transaksi'!$E:$E,$E30))</f>
        <v/>
      </c>
      <c r="D30" s="5">
        <f>IF($E30="","",INDEX('Input Transaksi'!$F:$F,$E30))</f>
        <v/>
      </c>
      <c r="E30">
        <f>IFERROR(AGGREGATE(15,6,ROW('Input Transaksi'!$B$5:$B$5000)/('Input Transaksi'!$B$5:$B$5000="JCL SESETAN"),ROWS($E$5:E30)),"")</f>
        <v/>
      </c>
      <c r="F30" s="5" t="n"/>
    </row>
    <row r="31">
      <c r="A31" s="10">
        <f>IF($E31="","",INDEX('Input Transaksi'!$A:$A,$E31))</f>
        <v/>
      </c>
      <c r="B31" s="5">
        <f>IF($E31="","",INDEX('Input Transaksi'!$D:$D,$E31))</f>
        <v/>
      </c>
      <c r="C31">
        <f>IF($E31="","",INDEX('Input Transaksi'!$E:$E,$E31))</f>
        <v/>
      </c>
      <c r="D31" s="5">
        <f>IF($E31="","",INDEX('Input Transaksi'!$F:$F,$E31))</f>
        <v/>
      </c>
      <c r="E31">
        <f>IFERROR(AGGREGATE(15,6,ROW('Input Transaksi'!$B$5:$B$5000)/('Input Transaksi'!$B$5:$B$5000="JCL SESETAN"),ROWS($E$5:E31)),"")</f>
        <v/>
      </c>
      <c r="F31" s="5" t="n"/>
    </row>
    <row r="32">
      <c r="A32" s="10">
        <f>IF($E32="","",INDEX('Input Transaksi'!$A:$A,$E32))</f>
        <v/>
      </c>
      <c r="B32" s="5">
        <f>IF($E32="","",INDEX('Input Transaksi'!$D:$D,$E32))</f>
        <v/>
      </c>
      <c r="C32">
        <f>IF($E32="","",INDEX('Input Transaksi'!$E:$E,$E32))</f>
        <v/>
      </c>
      <c r="D32" s="5">
        <f>IF($E32="","",INDEX('Input Transaksi'!$F:$F,$E32))</f>
        <v/>
      </c>
      <c r="E32">
        <f>IFERROR(AGGREGATE(15,6,ROW('Input Transaksi'!$B$5:$B$5000)/('Input Transaksi'!$B$5:$B$5000="JCL SESETAN"),ROWS($E$5:E32)),"")</f>
        <v/>
      </c>
      <c r="F32" s="5" t="n"/>
    </row>
    <row r="33">
      <c r="A33" s="10">
        <f>IF($E33="","",INDEX('Input Transaksi'!$A:$A,$E33))</f>
        <v/>
      </c>
      <c r="B33" s="5">
        <f>IF($E33="","",INDEX('Input Transaksi'!$D:$D,$E33))</f>
        <v/>
      </c>
      <c r="C33">
        <f>IF($E33="","",INDEX('Input Transaksi'!$E:$E,$E33))</f>
        <v/>
      </c>
      <c r="D33" s="5">
        <f>IF($E33="","",INDEX('Input Transaksi'!$F:$F,$E33))</f>
        <v/>
      </c>
      <c r="E33">
        <f>IFERROR(AGGREGATE(15,6,ROW('Input Transaksi'!$B$5:$B$5000)/('Input Transaksi'!$B$5:$B$5000="JCL SESETAN"),ROWS($E$5:E33)),"")</f>
        <v/>
      </c>
      <c r="F33" s="5" t="n"/>
    </row>
    <row r="34">
      <c r="A34" s="10">
        <f>IF($E34="","",INDEX('Input Transaksi'!$A:$A,$E34))</f>
        <v/>
      </c>
      <c r="B34" s="5">
        <f>IF($E34="","",INDEX('Input Transaksi'!$D:$D,$E34))</f>
        <v/>
      </c>
      <c r="C34">
        <f>IF($E34="","",INDEX('Input Transaksi'!$E:$E,$E34))</f>
        <v/>
      </c>
      <c r="D34" s="5">
        <f>IF($E34="","",INDEX('Input Transaksi'!$F:$F,$E34))</f>
        <v/>
      </c>
      <c r="E34">
        <f>IFERROR(AGGREGATE(15,6,ROW('Input Transaksi'!$B$5:$B$5000)/('Input Transaksi'!$B$5:$B$5000="JCL SESETAN"),ROWS($E$5:E34)),"")</f>
        <v/>
      </c>
      <c r="F34" s="5" t="n"/>
    </row>
    <row r="35">
      <c r="A35" s="10">
        <f>IF($E35="","",INDEX('Input Transaksi'!$A:$A,$E35))</f>
        <v/>
      </c>
      <c r="B35" s="5">
        <f>IF($E35="","",INDEX('Input Transaksi'!$D:$D,$E35))</f>
        <v/>
      </c>
      <c r="C35">
        <f>IF($E35="","",INDEX('Input Transaksi'!$E:$E,$E35))</f>
        <v/>
      </c>
      <c r="D35" s="5">
        <f>IF($E35="","",INDEX('Input Transaksi'!$F:$F,$E35))</f>
        <v/>
      </c>
      <c r="E35">
        <f>IFERROR(AGGREGATE(15,6,ROW('Input Transaksi'!$B$5:$B$5000)/('Input Transaksi'!$B$5:$B$5000="JCL SESETAN"),ROWS($E$5:E35)),"")</f>
        <v/>
      </c>
      <c r="F35" s="5" t="n"/>
    </row>
    <row r="36">
      <c r="A36" s="10">
        <f>IF($E36="","",INDEX('Input Transaksi'!$A:$A,$E36))</f>
        <v/>
      </c>
      <c r="B36" s="5">
        <f>IF($E36="","",INDEX('Input Transaksi'!$D:$D,$E36))</f>
        <v/>
      </c>
      <c r="C36">
        <f>IF($E36="","",INDEX('Input Transaksi'!$E:$E,$E36))</f>
        <v/>
      </c>
      <c r="D36" s="5">
        <f>IF($E36="","",INDEX('Input Transaksi'!$F:$F,$E36))</f>
        <v/>
      </c>
      <c r="E36">
        <f>IFERROR(AGGREGATE(15,6,ROW('Input Transaksi'!$B$5:$B$5000)/('Input Transaksi'!$B$5:$B$5000="JCL SESETAN"),ROWS($E$5:E36)),"")</f>
        <v/>
      </c>
      <c r="F36" s="5" t="n"/>
    </row>
    <row r="37">
      <c r="A37" s="10">
        <f>IF($E37="","",INDEX('Input Transaksi'!$A:$A,$E37))</f>
        <v/>
      </c>
      <c r="B37" s="5">
        <f>IF($E37="","",INDEX('Input Transaksi'!$D:$D,$E37))</f>
        <v/>
      </c>
      <c r="C37">
        <f>IF($E37="","",INDEX('Input Transaksi'!$E:$E,$E37))</f>
        <v/>
      </c>
      <c r="D37" s="5">
        <f>IF($E37="","",INDEX('Input Transaksi'!$F:$F,$E37))</f>
        <v/>
      </c>
      <c r="E37">
        <f>IFERROR(AGGREGATE(15,6,ROW('Input Transaksi'!$B$5:$B$5000)/('Input Transaksi'!$B$5:$B$5000="JCL SESETAN"),ROWS($E$5:E37)),"")</f>
        <v/>
      </c>
      <c r="F37" s="5" t="n"/>
    </row>
    <row r="38">
      <c r="A38" s="10">
        <f>IF($E38="","",INDEX('Input Transaksi'!$A:$A,$E38))</f>
        <v/>
      </c>
      <c r="B38" s="5">
        <f>IF($E38="","",INDEX('Input Transaksi'!$D:$D,$E38))</f>
        <v/>
      </c>
      <c r="C38">
        <f>IF($E38="","",INDEX('Input Transaksi'!$E:$E,$E38))</f>
        <v/>
      </c>
      <c r="D38" s="5">
        <f>IF($E38="","",INDEX('Input Transaksi'!$F:$F,$E38))</f>
        <v/>
      </c>
      <c r="E38">
        <f>IFERROR(AGGREGATE(15,6,ROW('Input Transaksi'!$B$5:$B$5000)/('Input Transaksi'!$B$5:$B$5000="JCL SESETAN"),ROWS($E$5:E38)),"")</f>
        <v/>
      </c>
      <c r="F38" s="5" t="n"/>
    </row>
    <row r="39">
      <c r="A39" s="10">
        <f>IF($E39="","",INDEX('Input Transaksi'!$A:$A,$E39))</f>
        <v/>
      </c>
      <c r="B39" s="5">
        <f>IF($E39="","",INDEX('Input Transaksi'!$D:$D,$E39))</f>
        <v/>
      </c>
      <c r="C39">
        <f>IF($E39="","",INDEX('Input Transaksi'!$E:$E,$E39))</f>
        <v/>
      </c>
      <c r="D39" s="5">
        <f>IF($E39="","",INDEX('Input Transaksi'!$F:$F,$E39))</f>
        <v/>
      </c>
      <c r="E39">
        <f>IFERROR(AGGREGATE(15,6,ROW('Input Transaksi'!$B$5:$B$5000)/('Input Transaksi'!$B$5:$B$5000="JCL SESETAN"),ROWS($E$5:E39)),"")</f>
        <v/>
      </c>
      <c r="F39" s="5" t="n"/>
    </row>
    <row r="40">
      <c r="A40" s="10">
        <f>IF($E40="","",INDEX('Input Transaksi'!$A:$A,$E40))</f>
        <v/>
      </c>
      <c r="B40" s="5">
        <f>IF($E40="","",INDEX('Input Transaksi'!$D:$D,$E40))</f>
        <v/>
      </c>
      <c r="C40">
        <f>IF($E40="","",INDEX('Input Transaksi'!$E:$E,$E40))</f>
        <v/>
      </c>
      <c r="D40" s="5">
        <f>IF($E40="","",INDEX('Input Transaksi'!$F:$F,$E40))</f>
        <v/>
      </c>
      <c r="E40">
        <f>IFERROR(AGGREGATE(15,6,ROW('Input Transaksi'!$B$5:$B$5000)/('Input Transaksi'!$B$5:$B$5000="JCL SESETAN"),ROWS($E$5:E40)),"")</f>
        <v/>
      </c>
      <c r="F40" s="5" t="n"/>
    </row>
    <row r="41">
      <c r="A41" s="10">
        <f>IF($E41="","",INDEX('Input Transaksi'!$A:$A,$E41))</f>
        <v/>
      </c>
      <c r="B41" s="5">
        <f>IF($E41="","",INDEX('Input Transaksi'!$D:$D,$E41))</f>
        <v/>
      </c>
      <c r="C41">
        <f>IF($E41="","",INDEX('Input Transaksi'!$E:$E,$E41))</f>
        <v/>
      </c>
      <c r="D41" s="5">
        <f>IF($E41="","",INDEX('Input Transaksi'!$F:$F,$E41))</f>
        <v/>
      </c>
      <c r="E41">
        <f>IFERROR(AGGREGATE(15,6,ROW('Input Transaksi'!$B$5:$B$5000)/('Input Transaksi'!$B$5:$B$5000="JCL SESETAN"),ROWS($E$5:E41)),"")</f>
        <v/>
      </c>
      <c r="F41" s="5" t="n"/>
    </row>
    <row r="42">
      <c r="A42" s="10">
        <f>IF($E42="","",INDEX('Input Transaksi'!$A:$A,$E42))</f>
        <v/>
      </c>
      <c r="B42" s="5">
        <f>IF($E42="","",INDEX('Input Transaksi'!$D:$D,$E42))</f>
        <v/>
      </c>
      <c r="C42">
        <f>IF($E42="","",INDEX('Input Transaksi'!$E:$E,$E42))</f>
        <v/>
      </c>
      <c r="D42" s="5">
        <f>IF($E42="","",INDEX('Input Transaksi'!$F:$F,$E42))</f>
        <v/>
      </c>
      <c r="E42">
        <f>IFERROR(AGGREGATE(15,6,ROW('Input Transaksi'!$B$5:$B$5000)/('Input Transaksi'!$B$5:$B$5000="JCL SESETAN"),ROWS($E$5:E42)),"")</f>
        <v/>
      </c>
      <c r="F42" s="5" t="n"/>
    </row>
    <row r="43">
      <c r="A43" s="10">
        <f>IF($E43="","",INDEX('Input Transaksi'!$A:$A,$E43))</f>
        <v/>
      </c>
      <c r="B43" s="5">
        <f>IF($E43="","",INDEX('Input Transaksi'!$D:$D,$E43))</f>
        <v/>
      </c>
      <c r="C43">
        <f>IF($E43="","",INDEX('Input Transaksi'!$E:$E,$E43))</f>
        <v/>
      </c>
      <c r="D43" s="5">
        <f>IF($E43="","",INDEX('Input Transaksi'!$F:$F,$E43))</f>
        <v/>
      </c>
      <c r="E43">
        <f>IFERROR(AGGREGATE(15,6,ROW('Input Transaksi'!$B$5:$B$5000)/('Input Transaksi'!$B$5:$B$5000="JCL SESETAN"),ROWS($E$5:E43)),"")</f>
        <v/>
      </c>
      <c r="F43" s="5" t="n"/>
    </row>
    <row r="44">
      <c r="A44" s="10">
        <f>IF($E44="","",INDEX('Input Transaksi'!$A:$A,$E44))</f>
        <v/>
      </c>
      <c r="B44" s="5">
        <f>IF($E44="","",INDEX('Input Transaksi'!$D:$D,$E44))</f>
        <v/>
      </c>
      <c r="C44">
        <f>IF($E44="","",INDEX('Input Transaksi'!$E:$E,$E44))</f>
        <v/>
      </c>
      <c r="D44" s="5">
        <f>IF($E44="","",INDEX('Input Transaksi'!$F:$F,$E44))</f>
        <v/>
      </c>
      <c r="E44">
        <f>IFERROR(AGGREGATE(15,6,ROW('Input Transaksi'!$B$5:$B$5000)/('Input Transaksi'!$B$5:$B$5000="JCL SESETAN"),ROWS($E$5:E44)),"")</f>
        <v/>
      </c>
      <c r="F44" s="5" t="n"/>
    </row>
    <row r="45">
      <c r="A45" s="10">
        <f>IF($E45="","",INDEX('Input Transaksi'!$A:$A,$E45))</f>
        <v/>
      </c>
      <c r="B45" s="5">
        <f>IF($E45="","",INDEX('Input Transaksi'!$D:$D,$E45))</f>
        <v/>
      </c>
      <c r="C45">
        <f>IF($E45="","",INDEX('Input Transaksi'!$E:$E,$E45))</f>
        <v/>
      </c>
      <c r="D45" s="5">
        <f>IF($E45="","",INDEX('Input Transaksi'!$F:$F,$E45))</f>
        <v/>
      </c>
      <c r="E45">
        <f>IFERROR(AGGREGATE(15,6,ROW('Input Transaksi'!$B$5:$B$5000)/('Input Transaksi'!$B$5:$B$5000="JCL SESETAN"),ROWS($E$5:E45)),"")</f>
        <v/>
      </c>
      <c r="F45" s="5" t="n"/>
    </row>
    <row r="46">
      <c r="A46" s="10">
        <f>IF($E46="","",INDEX('Input Transaksi'!$A:$A,$E46))</f>
        <v/>
      </c>
      <c r="B46" s="5">
        <f>IF($E46="","",INDEX('Input Transaksi'!$D:$D,$E46))</f>
        <v/>
      </c>
      <c r="C46">
        <f>IF($E46="","",INDEX('Input Transaksi'!$E:$E,$E46))</f>
        <v/>
      </c>
      <c r="D46" s="5">
        <f>IF($E46="","",INDEX('Input Transaksi'!$F:$F,$E46))</f>
        <v/>
      </c>
      <c r="E46">
        <f>IFERROR(AGGREGATE(15,6,ROW('Input Transaksi'!$B$5:$B$5000)/('Input Transaksi'!$B$5:$B$5000="JCL SESETAN"),ROWS($E$5:E46)),"")</f>
        <v/>
      </c>
      <c r="F46" s="5" t="n"/>
    </row>
    <row r="47">
      <c r="A47" s="10">
        <f>IF($E47="","",INDEX('Input Transaksi'!$A:$A,$E47))</f>
        <v/>
      </c>
      <c r="B47" s="5">
        <f>IF($E47="","",INDEX('Input Transaksi'!$D:$D,$E47))</f>
        <v/>
      </c>
      <c r="C47">
        <f>IF($E47="","",INDEX('Input Transaksi'!$E:$E,$E47))</f>
        <v/>
      </c>
      <c r="D47" s="5">
        <f>IF($E47="","",INDEX('Input Transaksi'!$F:$F,$E47))</f>
        <v/>
      </c>
      <c r="E47">
        <f>IFERROR(AGGREGATE(15,6,ROW('Input Transaksi'!$B$5:$B$5000)/('Input Transaksi'!$B$5:$B$5000="JCL SESETAN"),ROWS($E$5:E47)),"")</f>
        <v/>
      </c>
      <c r="F47" s="5" t="n"/>
    </row>
    <row r="48">
      <c r="A48" s="10">
        <f>IF($E48="","",INDEX('Input Transaksi'!$A:$A,$E48))</f>
        <v/>
      </c>
      <c r="B48" s="5">
        <f>IF($E48="","",INDEX('Input Transaksi'!$D:$D,$E48))</f>
        <v/>
      </c>
      <c r="C48">
        <f>IF($E48="","",INDEX('Input Transaksi'!$E:$E,$E48))</f>
        <v/>
      </c>
      <c r="D48" s="5">
        <f>IF($E48="","",INDEX('Input Transaksi'!$F:$F,$E48))</f>
        <v/>
      </c>
      <c r="E48">
        <f>IFERROR(AGGREGATE(15,6,ROW('Input Transaksi'!$B$5:$B$5000)/('Input Transaksi'!$B$5:$B$5000="JCL SESETAN"),ROWS($E$5:E48)),"")</f>
        <v/>
      </c>
      <c r="F48" s="5" t="n"/>
    </row>
    <row r="49">
      <c r="A49" s="10">
        <f>IF($E49="","",INDEX('Input Transaksi'!$A:$A,$E49))</f>
        <v/>
      </c>
      <c r="B49" s="5">
        <f>IF($E49="","",INDEX('Input Transaksi'!$D:$D,$E49))</f>
        <v/>
      </c>
      <c r="C49">
        <f>IF($E49="","",INDEX('Input Transaksi'!$E:$E,$E49))</f>
        <v/>
      </c>
      <c r="D49" s="5">
        <f>IF($E49="","",INDEX('Input Transaksi'!$F:$F,$E49))</f>
        <v/>
      </c>
      <c r="E49">
        <f>IFERROR(AGGREGATE(15,6,ROW('Input Transaksi'!$B$5:$B$5000)/('Input Transaksi'!$B$5:$B$5000="JCL SESETAN"),ROWS($E$5:E49)),"")</f>
        <v/>
      </c>
      <c r="F49" s="5" t="n"/>
    </row>
    <row r="50">
      <c r="A50" s="10">
        <f>IF($E50="","",INDEX('Input Transaksi'!$A:$A,$E50))</f>
        <v/>
      </c>
      <c r="B50" s="5">
        <f>IF($E50="","",INDEX('Input Transaksi'!$D:$D,$E50))</f>
        <v/>
      </c>
      <c r="C50">
        <f>IF($E50="","",INDEX('Input Transaksi'!$E:$E,$E50))</f>
        <v/>
      </c>
      <c r="D50" s="5">
        <f>IF($E50="","",INDEX('Input Transaksi'!$F:$F,$E50))</f>
        <v/>
      </c>
      <c r="E50">
        <f>IFERROR(AGGREGATE(15,6,ROW('Input Transaksi'!$B$5:$B$5000)/('Input Transaksi'!$B$5:$B$5000="JCL SESETAN"),ROWS($E$5:E50)),"")</f>
        <v/>
      </c>
      <c r="F50" s="5" t="n"/>
    </row>
    <row r="51">
      <c r="A51" s="10">
        <f>IF($E51="","",INDEX('Input Transaksi'!$A:$A,$E51))</f>
        <v/>
      </c>
      <c r="B51" s="5">
        <f>IF($E51="","",INDEX('Input Transaksi'!$D:$D,$E51))</f>
        <v/>
      </c>
      <c r="C51">
        <f>IF($E51="","",INDEX('Input Transaksi'!$E:$E,$E51))</f>
        <v/>
      </c>
      <c r="D51" s="5">
        <f>IF($E51="","",INDEX('Input Transaksi'!$F:$F,$E51))</f>
        <v/>
      </c>
      <c r="E51">
        <f>IFERROR(AGGREGATE(15,6,ROW('Input Transaksi'!$B$5:$B$5000)/('Input Transaksi'!$B$5:$B$5000="JCL SESETAN"),ROWS($E$5:E51)),"")</f>
        <v/>
      </c>
      <c r="F51" s="5" t="n"/>
    </row>
    <row r="52">
      <c r="A52" s="10">
        <f>IF($E52="","",INDEX('Input Transaksi'!$A:$A,$E52))</f>
        <v/>
      </c>
      <c r="B52" s="5">
        <f>IF($E52="","",INDEX('Input Transaksi'!$D:$D,$E52))</f>
        <v/>
      </c>
      <c r="C52">
        <f>IF($E52="","",INDEX('Input Transaksi'!$E:$E,$E52))</f>
        <v/>
      </c>
      <c r="D52" s="5">
        <f>IF($E52="","",INDEX('Input Transaksi'!$F:$F,$E52))</f>
        <v/>
      </c>
      <c r="E52">
        <f>IFERROR(AGGREGATE(15,6,ROW('Input Transaksi'!$B$5:$B$5000)/('Input Transaksi'!$B$5:$B$5000="JCL SESETAN"),ROWS($E$5:E52)),"")</f>
        <v/>
      </c>
      <c r="F52" s="5" t="n"/>
    </row>
    <row r="53">
      <c r="A53" s="10">
        <f>IF($E53="","",INDEX('Input Transaksi'!$A:$A,$E53))</f>
        <v/>
      </c>
      <c r="B53" s="5">
        <f>IF($E53="","",INDEX('Input Transaksi'!$D:$D,$E53))</f>
        <v/>
      </c>
      <c r="C53">
        <f>IF($E53="","",INDEX('Input Transaksi'!$E:$E,$E53))</f>
        <v/>
      </c>
      <c r="D53" s="5">
        <f>IF($E53="","",INDEX('Input Transaksi'!$F:$F,$E53))</f>
        <v/>
      </c>
      <c r="E53">
        <f>IFERROR(AGGREGATE(15,6,ROW('Input Transaksi'!$B$5:$B$5000)/('Input Transaksi'!$B$5:$B$5000="JCL SESETAN"),ROWS($E$5:E53)),"")</f>
        <v/>
      </c>
      <c r="F53" s="5" t="n"/>
    </row>
    <row r="54">
      <c r="A54" s="10">
        <f>IF($E54="","",INDEX('Input Transaksi'!$A:$A,$E54))</f>
        <v/>
      </c>
      <c r="B54" s="5">
        <f>IF($E54="","",INDEX('Input Transaksi'!$D:$D,$E54))</f>
        <v/>
      </c>
      <c r="C54">
        <f>IF($E54="","",INDEX('Input Transaksi'!$E:$E,$E54))</f>
        <v/>
      </c>
      <c r="D54" s="5">
        <f>IF($E54="","",INDEX('Input Transaksi'!$F:$F,$E54))</f>
        <v/>
      </c>
      <c r="E54">
        <f>IFERROR(AGGREGATE(15,6,ROW('Input Transaksi'!$B$5:$B$5000)/('Input Transaksi'!$B$5:$B$5000="JCL SESETAN"),ROWS($E$5:E54)),"")</f>
        <v/>
      </c>
      <c r="F54" s="5" t="n"/>
    </row>
    <row r="55">
      <c r="A55" s="10">
        <f>IF($E55="","",INDEX('Input Transaksi'!$A:$A,$E55))</f>
        <v/>
      </c>
      <c r="B55" s="5">
        <f>IF($E55="","",INDEX('Input Transaksi'!$D:$D,$E55))</f>
        <v/>
      </c>
      <c r="C55">
        <f>IF($E55="","",INDEX('Input Transaksi'!$E:$E,$E55))</f>
        <v/>
      </c>
      <c r="D55" s="5">
        <f>IF($E55="","",INDEX('Input Transaksi'!$F:$F,$E55))</f>
        <v/>
      </c>
      <c r="E55">
        <f>IFERROR(AGGREGATE(15,6,ROW('Input Transaksi'!$B$5:$B$5000)/('Input Transaksi'!$B$5:$B$5000="JCL SESETAN"),ROWS($E$5:E55)),"")</f>
        <v/>
      </c>
      <c r="F55" s="5" t="n"/>
    </row>
    <row r="56">
      <c r="A56" s="10">
        <f>IF($E56="","",INDEX('Input Transaksi'!$A:$A,$E56))</f>
        <v/>
      </c>
      <c r="B56" s="5">
        <f>IF($E56="","",INDEX('Input Transaksi'!$D:$D,$E56))</f>
        <v/>
      </c>
      <c r="C56">
        <f>IF($E56="","",INDEX('Input Transaksi'!$E:$E,$E56))</f>
        <v/>
      </c>
      <c r="D56" s="5">
        <f>IF($E56="","",INDEX('Input Transaksi'!$F:$F,$E56))</f>
        <v/>
      </c>
      <c r="E56">
        <f>IFERROR(AGGREGATE(15,6,ROW('Input Transaksi'!$B$5:$B$5000)/('Input Transaksi'!$B$5:$B$5000="JCL SESETAN"),ROWS($E$5:E56)),"")</f>
        <v/>
      </c>
      <c r="F56" s="5" t="n"/>
    </row>
    <row r="57">
      <c r="A57" s="10">
        <f>IF($E57="","",INDEX('Input Transaksi'!$A:$A,$E57))</f>
        <v/>
      </c>
      <c r="B57" s="5">
        <f>IF($E57="","",INDEX('Input Transaksi'!$D:$D,$E57))</f>
        <v/>
      </c>
      <c r="C57">
        <f>IF($E57="","",INDEX('Input Transaksi'!$E:$E,$E57))</f>
        <v/>
      </c>
      <c r="D57" s="5">
        <f>IF($E57="","",INDEX('Input Transaksi'!$F:$F,$E57))</f>
        <v/>
      </c>
      <c r="E57">
        <f>IFERROR(AGGREGATE(15,6,ROW('Input Transaksi'!$B$5:$B$5000)/('Input Transaksi'!$B$5:$B$5000="JCL SESETAN"),ROWS($E$5:E57)),"")</f>
        <v/>
      </c>
      <c r="F57" s="5" t="n"/>
    </row>
    <row r="58">
      <c r="A58" s="10">
        <f>IF($E58="","",INDEX('Input Transaksi'!$A:$A,$E58))</f>
        <v/>
      </c>
      <c r="B58" s="5">
        <f>IF($E58="","",INDEX('Input Transaksi'!$D:$D,$E58))</f>
        <v/>
      </c>
      <c r="C58">
        <f>IF($E58="","",INDEX('Input Transaksi'!$E:$E,$E58))</f>
        <v/>
      </c>
      <c r="D58" s="5">
        <f>IF($E58="","",INDEX('Input Transaksi'!$F:$F,$E58))</f>
        <v/>
      </c>
      <c r="E58">
        <f>IFERROR(AGGREGATE(15,6,ROW('Input Transaksi'!$B$5:$B$5000)/('Input Transaksi'!$B$5:$B$5000="JCL SESETAN"),ROWS($E$5:E58)),"")</f>
        <v/>
      </c>
      <c r="F58" s="5" t="n"/>
    </row>
    <row r="59">
      <c r="A59" s="10">
        <f>IF($E59="","",INDEX('Input Transaksi'!$A:$A,$E59))</f>
        <v/>
      </c>
      <c r="B59" s="5">
        <f>IF($E59="","",INDEX('Input Transaksi'!$D:$D,$E59))</f>
        <v/>
      </c>
      <c r="C59">
        <f>IF($E59="","",INDEX('Input Transaksi'!$E:$E,$E59))</f>
        <v/>
      </c>
      <c r="D59" s="5">
        <f>IF($E59="","",INDEX('Input Transaksi'!$F:$F,$E59))</f>
        <v/>
      </c>
      <c r="E59">
        <f>IFERROR(AGGREGATE(15,6,ROW('Input Transaksi'!$B$5:$B$5000)/('Input Transaksi'!$B$5:$B$5000="JCL SESETAN"),ROWS($E$5:E59)),"")</f>
        <v/>
      </c>
      <c r="F59" s="5" t="n"/>
    </row>
    <row r="60">
      <c r="A60" s="10">
        <f>IF($E60="","",INDEX('Input Transaksi'!$A:$A,$E60))</f>
        <v/>
      </c>
      <c r="B60" s="5">
        <f>IF($E60="","",INDEX('Input Transaksi'!$D:$D,$E60))</f>
        <v/>
      </c>
      <c r="C60">
        <f>IF($E60="","",INDEX('Input Transaksi'!$E:$E,$E60))</f>
        <v/>
      </c>
      <c r="D60" s="5">
        <f>IF($E60="","",INDEX('Input Transaksi'!$F:$F,$E60))</f>
        <v/>
      </c>
      <c r="E60">
        <f>IFERROR(AGGREGATE(15,6,ROW('Input Transaksi'!$B$5:$B$5000)/('Input Transaksi'!$B$5:$B$5000="JCL SESETAN"),ROWS($E$5:E60)),"")</f>
        <v/>
      </c>
      <c r="F60" s="5" t="n"/>
    </row>
    <row r="61">
      <c r="A61" s="10">
        <f>IF($E61="","",INDEX('Input Transaksi'!$A:$A,$E61))</f>
        <v/>
      </c>
      <c r="B61" s="5">
        <f>IF($E61="","",INDEX('Input Transaksi'!$D:$D,$E61))</f>
        <v/>
      </c>
      <c r="C61">
        <f>IF($E61="","",INDEX('Input Transaksi'!$E:$E,$E61))</f>
        <v/>
      </c>
      <c r="D61" s="5">
        <f>IF($E61="","",INDEX('Input Transaksi'!$F:$F,$E61))</f>
        <v/>
      </c>
      <c r="E61">
        <f>IFERROR(AGGREGATE(15,6,ROW('Input Transaksi'!$B$5:$B$5000)/('Input Transaksi'!$B$5:$B$5000="JCL SESETAN"),ROWS($E$5:E61)),"")</f>
        <v/>
      </c>
      <c r="F61" s="5" t="n"/>
    </row>
    <row r="62">
      <c r="A62" s="10">
        <f>IF($E62="","",INDEX('Input Transaksi'!$A:$A,$E62))</f>
        <v/>
      </c>
      <c r="B62" s="5">
        <f>IF($E62="","",INDEX('Input Transaksi'!$D:$D,$E62))</f>
        <v/>
      </c>
      <c r="C62">
        <f>IF($E62="","",INDEX('Input Transaksi'!$E:$E,$E62))</f>
        <v/>
      </c>
      <c r="D62" s="5">
        <f>IF($E62="","",INDEX('Input Transaksi'!$F:$F,$E62))</f>
        <v/>
      </c>
      <c r="E62">
        <f>IFERROR(AGGREGATE(15,6,ROW('Input Transaksi'!$B$5:$B$5000)/('Input Transaksi'!$B$5:$B$5000="JCL SESETAN"),ROWS($E$5:E62)),"")</f>
        <v/>
      </c>
      <c r="F62" s="5" t="n"/>
    </row>
    <row r="63">
      <c r="A63" s="10">
        <f>IF($E63="","",INDEX('Input Transaksi'!$A:$A,$E63))</f>
        <v/>
      </c>
      <c r="B63" s="5">
        <f>IF($E63="","",INDEX('Input Transaksi'!$D:$D,$E63))</f>
        <v/>
      </c>
      <c r="C63">
        <f>IF($E63="","",INDEX('Input Transaksi'!$E:$E,$E63))</f>
        <v/>
      </c>
      <c r="D63" s="5">
        <f>IF($E63="","",INDEX('Input Transaksi'!$F:$F,$E63))</f>
        <v/>
      </c>
      <c r="E63">
        <f>IFERROR(AGGREGATE(15,6,ROW('Input Transaksi'!$B$5:$B$5000)/('Input Transaksi'!$B$5:$B$5000="JCL SESETAN"),ROWS($E$5:E63)),"")</f>
        <v/>
      </c>
      <c r="F63" s="5" t="n"/>
    </row>
    <row r="64">
      <c r="A64" s="10">
        <f>IF($E64="","",INDEX('Input Transaksi'!$A:$A,$E64))</f>
        <v/>
      </c>
      <c r="B64" s="5">
        <f>IF($E64="","",INDEX('Input Transaksi'!$D:$D,$E64))</f>
        <v/>
      </c>
      <c r="C64">
        <f>IF($E64="","",INDEX('Input Transaksi'!$E:$E,$E64))</f>
        <v/>
      </c>
      <c r="D64" s="5">
        <f>IF($E64="","",INDEX('Input Transaksi'!$F:$F,$E64))</f>
        <v/>
      </c>
      <c r="E64">
        <f>IFERROR(AGGREGATE(15,6,ROW('Input Transaksi'!$B$5:$B$5000)/('Input Transaksi'!$B$5:$B$5000="JCL SESETAN"),ROWS($E$5:E64)),"")</f>
        <v/>
      </c>
      <c r="F64" s="5" t="n"/>
    </row>
    <row r="65">
      <c r="A65" s="10">
        <f>IF($E65="","",INDEX('Input Transaksi'!$A:$A,$E65))</f>
        <v/>
      </c>
      <c r="B65" s="5">
        <f>IF($E65="","",INDEX('Input Transaksi'!$D:$D,$E65))</f>
        <v/>
      </c>
      <c r="C65">
        <f>IF($E65="","",INDEX('Input Transaksi'!$E:$E,$E65))</f>
        <v/>
      </c>
      <c r="D65" s="5">
        <f>IF($E65="","",INDEX('Input Transaksi'!$F:$F,$E65))</f>
        <v/>
      </c>
      <c r="E65">
        <f>IFERROR(AGGREGATE(15,6,ROW('Input Transaksi'!$B$5:$B$5000)/('Input Transaksi'!$B$5:$B$5000="JCL SESETAN"),ROWS($E$5:E65)),"")</f>
        <v/>
      </c>
      <c r="F65" s="5" t="n"/>
    </row>
    <row r="66">
      <c r="A66" s="10">
        <f>IF($E66="","",INDEX('Input Transaksi'!$A:$A,$E66))</f>
        <v/>
      </c>
      <c r="B66" s="5">
        <f>IF($E66="","",INDEX('Input Transaksi'!$D:$D,$E66))</f>
        <v/>
      </c>
      <c r="C66">
        <f>IF($E66="","",INDEX('Input Transaksi'!$E:$E,$E66))</f>
        <v/>
      </c>
      <c r="D66" s="5">
        <f>IF($E66="","",INDEX('Input Transaksi'!$F:$F,$E66))</f>
        <v/>
      </c>
      <c r="E66">
        <f>IFERROR(AGGREGATE(15,6,ROW('Input Transaksi'!$B$5:$B$5000)/('Input Transaksi'!$B$5:$B$5000="JCL SESETAN"),ROWS($E$5:E66)),"")</f>
        <v/>
      </c>
      <c r="F66" s="5" t="n"/>
    </row>
    <row r="67">
      <c r="A67" s="10">
        <f>IF($E67="","",INDEX('Input Transaksi'!$A:$A,$E67))</f>
        <v/>
      </c>
      <c r="B67" s="5">
        <f>IF($E67="","",INDEX('Input Transaksi'!$D:$D,$E67))</f>
        <v/>
      </c>
      <c r="C67">
        <f>IF($E67="","",INDEX('Input Transaksi'!$E:$E,$E67))</f>
        <v/>
      </c>
      <c r="D67" s="5">
        <f>IF($E67="","",INDEX('Input Transaksi'!$F:$F,$E67))</f>
        <v/>
      </c>
      <c r="E67">
        <f>IFERROR(AGGREGATE(15,6,ROW('Input Transaksi'!$B$5:$B$5000)/('Input Transaksi'!$B$5:$B$5000="JCL SESETAN"),ROWS($E$5:E67)),"")</f>
        <v/>
      </c>
      <c r="F67" s="5" t="n"/>
    </row>
    <row r="68">
      <c r="A68" s="10">
        <f>IF($E68="","",INDEX('Input Transaksi'!$A:$A,$E68))</f>
        <v/>
      </c>
      <c r="B68" s="5">
        <f>IF($E68="","",INDEX('Input Transaksi'!$D:$D,$E68))</f>
        <v/>
      </c>
      <c r="C68">
        <f>IF($E68="","",INDEX('Input Transaksi'!$E:$E,$E68))</f>
        <v/>
      </c>
      <c r="D68" s="5">
        <f>IF($E68="","",INDEX('Input Transaksi'!$F:$F,$E68))</f>
        <v/>
      </c>
      <c r="E68">
        <f>IFERROR(AGGREGATE(15,6,ROW('Input Transaksi'!$B$5:$B$5000)/('Input Transaksi'!$B$5:$B$5000="JCL SESETAN"),ROWS($E$5:E68)),"")</f>
        <v/>
      </c>
      <c r="F68" s="5" t="n"/>
    </row>
    <row r="69">
      <c r="A69" s="10">
        <f>IF($E69="","",INDEX('Input Transaksi'!$A:$A,$E69))</f>
        <v/>
      </c>
      <c r="B69" s="5">
        <f>IF($E69="","",INDEX('Input Transaksi'!$D:$D,$E69))</f>
        <v/>
      </c>
      <c r="C69">
        <f>IF($E69="","",INDEX('Input Transaksi'!$E:$E,$E69))</f>
        <v/>
      </c>
      <c r="D69" s="5">
        <f>IF($E69="","",INDEX('Input Transaksi'!$F:$F,$E69))</f>
        <v/>
      </c>
      <c r="E69">
        <f>IFERROR(AGGREGATE(15,6,ROW('Input Transaksi'!$B$5:$B$5000)/('Input Transaksi'!$B$5:$B$5000="JCL SESETAN"),ROWS($E$5:E69)),"")</f>
        <v/>
      </c>
      <c r="F69" s="5" t="n"/>
    </row>
    <row r="70">
      <c r="A70" s="10">
        <f>IF($E70="","",INDEX('Input Transaksi'!$A:$A,$E70))</f>
        <v/>
      </c>
      <c r="B70" s="5">
        <f>IF($E70="","",INDEX('Input Transaksi'!$D:$D,$E70))</f>
        <v/>
      </c>
      <c r="C70">
        <f>IF($E70="","",INDEX('Input Transaksi'!$E:$E,$E70))</f>
        <v/>
      </c>
      <c r="D70" s="5">
        <f>IF($E70="","",INDEX('Input Transaksi'!$F:$F,$E70))</f>
        <v/>
      </c>
      <c r="E70">
        <f>IFERROR(AGGREGATE(15,6,ROW('Input Transaksi'!$B$5:$B$5000)/('Input Transaksi'!$B$5:$B$5000="JCL SESETAN"),ROWS($E$5:E70)),"")</f>
        <v/>
      </c>
      <c r="F70" s="5" t="n"/>
    </row>
    <row r="71">
      <c r="A71" s="10">
        <f>IF($E71="","",INDEX('Input Transaksi'!$A:$A,$E71))</f>
        <v/>
      </c>
      <c r="B71" s="5">
        <f>IF($E71="","",INDEX('Input Transaksi'!$D:$D,$E71))</f>
        <v/>
      </c>
      <c r="C71">
        <f>IF($E71="","",INDEX('Input Transaksi'!$E:$E,$E71))</f>
        <v/>
      </c>
      <c r="D71" s="5">
        <f>IF($E71="","",INDEX('Input Transaksi'!$F:$F,$E71))</f>
        <v/>
      </c>
      <c r="E71">
        <f>IFERROR(AGGREGATE(15,6,ROW('Input Transaksi'!$B$5:$B$5000)/('Input Transaksi'!$B$5:$B$5000="JCL SESETAN"),ROWS($E$5:E71)),"")</f>
        <v/>
      </c>
      <c r="F71" s="5" t="n"/>
    </row>
    <row r="72">
      <c r="A72" s="10">
        <f>IF($E72="","",INDEX('Input Transaksi'!$A:$A,$E72))</f>
        <v/>
      </c>
      <c r="B72" s="5">
        <f>IF($E72="","",INDEX('Input Transaksi'!$D:$D,$E72))</f>
        <v/>
      </c>
      <c r="C72">
        <f>IF($E72="","",INDEX('Input Transaksi'!$E:$E,$E72))</f>
        <v/>
      </c>
      <c r="D72" s="5">
        <f>IF($E72="","",INDEX('Input Transaksi'!$F:$F,$E72))</f>
        <v/>
      </c>
      <c r="E72">
        <f>IFERROR(AGGREGATE(15,6,ROW('Input Transaksi'!$B$5:$B$5000)/('Input Transaksi'!$B$5:$B$5000="JCL SESETAN"),ROWS($E$5:E72)),"")</f>
        <v/>
      </c>
      <c r="F72" s="5" t="n"/>
    </row>
    <row r="73">
      <c r="A73" s="10">
        <f>IF($E73="","",INDEX('Input Transaksi'!$A:$A,$E73))</f>
        <v/>
      </c>
      <c r="B73" s="5">
        <f>IF($E73="","",INDEX('Input Transaksi'!$D:$D,$E73))</f>
        <v/>
      </c>
      <c r="C73">
        <f>IF($E73="","",INDEX('Input Transaksi'!$E:$E,$E73))</f>
        <v/>
      </c>
      <c r="D73" s="5">
        <f>IF($E73="","",INDEX('Input Transaksi'!$F:$F,$E73))</f>
        <v/>
      </c>
      <c r="E73">
        <f>IFERROR(AGGREGATE(15,6,ROW('Input Transaksi'!$B$5:$B$5000)/('Input Transaksi'!$B$5:$B$5000="JCL SESETAN"),ROWS($E$5:E73)),"")</f>
        <v/>
      </c>
      <c r="F73" s="5" t="n"/>
    </row>
    <row r="74">
      <c r="A74" s="10">
        <f>IF($E74="","",INDEX('Input Transaksi'!$A:$A,$E74))</f>
        <v/>
      </c>
      <c r="B74" s="5">
        <f>IF($E74="","",INDEX('Input Transaksi'!$D:$D,$E74))</f>
        <v/>
      </c>
      <c r="C74">
        <f>IF($E74="","",INDEX('Input Transaksi'!$E:$E,$E74))</f>
        <v/>
      </c>
      <c r="D74" s="5">
        <f>IF($E74="","",INDEX('Input Transaksi'!$F:$F,$E74))</f>
        <v/>
      </c>
      <c r="E74">
        <f>IFERROR(AGGREGATE(15,6,ROW('Input Transaksi'!$B$5:$B$5000)/('Input Transaksi'!$B$5:$B$5000="JCL SESETAN"),ROWS($E$5:E74)),"")</f>
        <v/>
      </c>
      <c r="F74" s="5" t="n"/>
    </row>
    <row r="75">
      <c r="A75" s="10">
        <f>IF($E75="","",INDEX('Input Transaksi'!$A:$A,$E75))</f>
        <v/>
      </c>
      <c r="B75" s="5">
        <f>IF($E75="","",INDEX('Input Transaksi'!$D:$D,$E75))</f>
        <v/>
      </c>
      <c r="C75">
        <f>IF($E75="","",INDEX('Input Transaksi'!$E:$E,$E75))</f>
        <v/>
      </c>
      <c r="D75" s="5">
        <f>IF($E75="","",INDEX('Input Transaksi'!$F:$F,$E75))</f>
        <v/>
      </c>
      <c r="E75">
        <f>IFERROR(AGGREGATE(15,6,ROW('Input Transaksi'!$B$5:$B$5000)/('Input Transaksi'!$B$5:$B$5000="JCL SESETAN"),ROWS($E$5:E75)),"")</f>
        <v/>
      </c>
      <c r="F75" s="5" t="n"/>
    </row>
    <row r="76">
      <c r="A76" s="10">
        <f>IF($E76="","",INDEX('Input Transaksi'!$A:$A,$E76))</f>
        <v/>
      </c>
      <c r="B76" s="5">
        <f>IF($E76="","",INDEX('Input Transaksi'!$D:$D,$E76))</f>
        <v/>
      </c>
      <c r="C76">
        <f>IF($E76="","",INDEX('Input Transaksi'!$E:$E,$E76))</f>
        <v/>
      </c>
      <c r="D76" s="5">
        <f>IF($E76="","",INDEX('Input Transaksi'!$F:$F,$E76))</f>
        <v/>
      </c>
      <c r="E76">
        <f>IFERROR(AGGREGATE(15,6,ROW('Input Transaksi'!$B$5:$B$5000)/('Input Transaksi'!$B$5:$B$5000="JCL SESETAN"),ROWS($E$5:E76)),"")</f>
        <v/>
      </c>
      <c r="F76" s="5" t="n"/>
    </row>
    <row r="77">
      <c r="A77" s="10">
        <f>IF($E77="","",INDEX('Input Transaksi'!$A:$A,$E77))</f>
        <v/>
      </c>
      <c r="B77" s="5">
        <f>IF($E77="","",INDEX('Input Transaksi'!$D:$D,$E77))</f>
        <v/>
      </c>
      <c r="C77">
        <f>IF($E77="","",INDEX('Input Transaksi'!$E:$E,$E77))</f>
        <v/>
      </c>
      <c r="D77" s="5">
        <f>IF($E77="","",INDEX('Input Transaksi'!$F:$F,$E77))</f>
        <v/>
      </c>
      <c r="E77">
        <f>IFERROR(AGGREGATE(15,6,ROW('Input Transaksi'!$B$5:$B$5000)/('Input Transaksi'!$B$5:$B$5000="JCL SESETAN"),ROWS($E$5:E77)),"")</f>
        <v/>
      </c>
      <c r="F77" s="5" t="n"/>
    </row>
    <row r="78">
      <c r="A78" s="10">
        <f>IF($E78="","",INDEX('Input Transaksi'!$A:$A,$E78))</f>
        <v/>
      </c>
      <c r="B78" s="5">
        <f>IF($E78="","",INDEX('Input Transaksi'!$D:$D,$E78))</f>
        <v/>
      </c>
      <c r="C78">
        <f>IF($E78="","",INDEX('Input Transaksi'!$E:$E,$E78))</f>
        <v/>
      </c>
      <c r="D78" s="5">
        <f>IF($E78="","",INDEX('Input Transaksi'!$F:$F,$E78))</f>
        <v/>
      </c>
      <c r="E78">
        <f>IFERROR(AGGREGATE(15,6,ROW('Input Transaksi'!$B$5:$B$5000)/('Input Transaksi'!$B$5:$B$5000="JCL SESETAN"),ROWS($E$5:E78)),"")</f>
        <v/>
      </c>
      <c r="F78" s="5" t="n"/>
    </row>
    <row r="79">
      <c r="A79" s="10">
        <f>IF($E79="","",INDEX('Input Transaksi'!$A:$A,$E79))</f>
        <v/>
      </c>
      <c r="B79" s="5">
        <f>IF($E79="","",INDEX('Input Transaksi'!$D:$D,$E79))</f>
        <v/>
      </c>
      <c r="C79">
        <f>IF($E79="","",INDEX('Input Transaksi'!$E:$E,$E79))</f>
        <v/>
      </c>
      <c r="D79" s="5">
        <f>IF($E79="","",INDEX('Input Transaksi'!$F:$F,$E79))</f>
        <v/>
      </c>
      <c r="E79">
        <f>IFERROR(AGGREGATE(15,6,ROW('Input Transaksi'!$B$5:$B$5000)/('Input Transaksi'!$B$5:$B$5000="JCL SESETAN"),ROWS($E$5:E79)),"")</f>
        <v/>
      </c>
      <c r="F79" s="5" t="n"/>
    </row>
    <row r="80">
      <c r="A80" s="10">
        <f>IF($E80="","",INDEX('Input Transaksi'!$A:$A,$E80))</f>
        <v/>
      </c>
      <c r="B80" s="5">
        <f>IF($E80="","",INDEX('Input Transaksi'!$D:$D,$E80))</f>
        <v/>
      </c>
      <c r="C80">
        <f>IF($E80="","",INDEX('Input Transaksi'!$E:$E,$E80))</f>
        <v/>
      </c>
      <c r="D80" s="5">
        <f>IF($E80="","",INDEX('Input Transaksi'!$F:$F,$E80))</f>
        <v/>
      </c>
      <c r="E80">
        <f>IFERROR(AGGREGATE(15,6,ROW('Input Transaksi'!$B$5:$B$5000)/('Input Transaksi'!$B$5:$B$5000="JCL SESETAN"),ROWS($E$5:E80)),"")</f>
        <v/>
      </c>
      <c r="F80" s="5" t="n"/>
    </row>
    <row r="81">
      <c r="A81" s="10">
        <f>IF($E81="","",INDEX('Input Transaksi'!$A:$A,$E81))</f>
        <v/>
      </c>
      <c r="B81" s="5">
        <f>IF($E81="","",INDEX('Input Transaksi'!$D:$D,$E81))</f>
        <v/>
      </c>
      <c r="C81">
        <f>IF($E81="","",INDEX('Input Transaksi'!$E:$E,$E81))</f>
        <v/>
      </c>
      <c r="D81" s="5">
        <f>IF($E81="","",INDEX('Input Transaksi'!$F:$F,$E81))</f>
        <v/>
      </c>
      <c r="E81">
        <f>IFERROR(AGGREGATE(15,6,ROW('Input Transaksi'!$B$5:$B$5000)/('Input Transaksi'!$B$5:$B$5000="JCL SESETAN"),ROWS($E$5:E81)),"")</f>
        <v/>
      </c>
      <c r="F81" s="5" t="n"/>
    </row>
    <row r="82">
      <c r="A82" s="10">
        <f>IF($E82="","",INDEX('Input Transaksi'!$A:$A,$E82))</f>
        <v/>
      </c>
      <c r="B82" s="5">
        <f>IF($E82="","",INDEX('Input Transaksi'!$D:$D,$E82))</f>
        <v/>
      </c>
      <c r="C82">
        <f>IF($E82="","",INDEX('Input Transaksi'!$E:$E,$E82))</f>
        <v/>
      </c>
      <c r="D82" s="5">
        <f>IF($E82="","",INDEX('Input Transaksi'!$F:$F,$E82))</f>
        <v/>
      </c>
      <c r="E82">
        <f>IFERROR(AGGREGATE(15,6,ROW('Input Transaksi'!$B$5:$B$5000)/('Input Transaksi'!$B$5:$B$5000="JCL SESETAN"),ROWS($E$5:E82)),"")</f>
        <v/>
      </c>
      <c r="F82" s="5" t="n"/>
    </row>
    <row r="83">
      <c r="A83" s="10">
        <f>IF($E83="","",INDEX('Input Transaksi'!$A:$A,$E83))</f>
        <v/>
      </c>
      <c r="B83" s="5">
        <f>IF($E83="","",INDEX('Input Transaksi'!$D:$D,$E83))</f>
        <v/>
      </c>
      <c r="C83">
        <f>IF($E83="","",INDEX('Input Transaksi'!$E:$E,$E83))</f>
        <v/>
      </c>
      <c r="D83" s="5">
        <f>IF($E83="","",INDEX('Input Transaksi'!$F:$F,$E83))</f>
        <v/>
      </c>
      <c r="E83">
        <f>IFERROR(AGGREGATE(15,6,ROW('Input Transaksi'!$B$5:$B$5000)/('Input Transaksi'!$B$5:$B$5000="JCL SESETAN"),ROWS($E$5:E83)),"")</f>
        <v/>
      </c>
      <c r="F83" s="5" t="n"/>
    </row>
    <row r="84">
      <c r="A84" s="10">
        <f>IF($E84="","",INDEX('Input Transaksi'!$A:$A,$E84))</f>
        <v/>
      </c>
      <c r="B84" s="5">
        <f>IF($E84="","",INDEX('Input Transaksi'!$D:$D,$E84))</f>
        <v/>
      </c>
      <c r="C84">
        <f>IF($E84="","",INDEX('Input Transaksi'!$E:$E,$E84))</f>
        <v/>
      </c>
      <c r="D84" s="5">
        <f>IF($E84="","",INDEX('Input Transaksi'!$F:$F,$E84))</f>
        <v/>
      </c>
      <c r="E84">
        <f>IFERROR(AGGREGATE(15,6,ROW('Input Transaksi'!$B$5:$B$5000)/('Input Transaksi'!$B$5:$B$5000="JCL SESETAN"),ROWS($E$5:E84)),"")</f>
        <v/>
      </c>
      <c r="F84" s="5" t="n"/>
    </row>
    <row r="85">
      <c r="A85" s="10">
        <f>IF($E85="","",INDEX('Input Transaksi'!$A:$A,$E85))</f>
        <v/>
      </c>
      <c r="B85" s="5">
        <f>IF($E85="","",INDEX('Input Transaksi'!$D:$D,$E85))</f>
        <v/>
      </c>
      <c r="C85">
        <f>IF($E85="","",INDEX('Input Transaksi'!$E:$E,$E85))</f>
        <v/>
      </c>
      <c r="D85" s="5">
        <f>IF($E85="","",INDEX('Input Transaksi'!$F:$F,$E85))</f>
        <v/>
      </c>
      <c r="E85">
        <f>IFERROR(AGGREGATE(15,6,ROW('Input Transaksi'!$B$5:$B$5000)/('Input Transaksi'!$B$5:$B$5000="JCL SESETAN"),ROWS($E$5:E85)),"")</f>
        <v/>
      </c>
      <c r="F85" s="5" t="n"/>
    </row>
    <row r="86">
      <c r="A86" s="10">
        <f>IF($E86="","",INDEX('Input Transaksi'!$A:$A,$E86))</f>
        <v/>
      </c>
      <c r="B86" s="5">
        <f>IF($E86="","",INDEX('Input Transaksi'!$D:$D,$E86))</f>
        <v/>
      </c>
      <c r="C86">
        <f>IF($E86="","",INDEX('Input Transaksi'!$E:$E,$E86))</f>
        <v/>
      </c>
      <c r="D86" s="5">
        <f>IF($E86="","",INDEX('Input Transaksi'!$F:$F,$E86))</f>
        <v/>
      </c>
      <c r="E86">
        <f>IFERROR(AGGREGATE(15,6,ROW('Input Transaksi'!$B$5:$B$5000)/('Input Transaksi'!$B$5:$B$5000="JCL SESETAN"),ROWS($E$5:E86)),"")</f>
        <v/>
      </c>
      <c r="F86" s="5" t="n"/>
    </row>
    <row r="87">
      <c r="A87" s="10">
        <f>IF($E87="","",INDEX('Input Transaksi'!$A:$A,$E87))</f>
        <v/>
      </c>
      <c r="B87" s="5">
        <f>IF($E87="","",INDEX('Input Transaksi'!$D:$D,$E87))</f>
        <v/>
      </c>
      <c r="C87">
        <f>IF($E87="","",INDEX('Input Transaksi'!$E:$E,$E87))</f>
        <v/>
      </c>
      <c r="D87" s="5">
        <f>IF($E87="","",INDEX('Input Transaksi'!$F:$F,$E87))</f>
        <v/>
      </c>
      <c r="E87">
        <f>IFERROR(AGGREGATE(15,6,ROW('Input Transaksi'!$B$5:$B$5000)/('Input Transaksi'!$B$5:$B$5000="JCL SESETAN"),ROWS($E$5:E87)),"")</f>
        <v/>
      </c>
      <c r="F87" s="5" t="n"/>
    </row>
    <row r="88">
      <c r="A88" s="10">
        <f>IF($E88="","",INDEX('Input Transaksi'!$A:$A,$E88))</f>
        <v/>
      </c>
      <c r="B88" s="5">
        <f>IF($E88="","",INDEX('Input Transaksi'!$D:$D,$E88))</f>
        <v/>
      </c>
      <c r="C88">
        <f>IF($E88="","",INDEX('Input Transaksi'!$E:$E,$E88))</f>
        <v/>
      </c>
      <c r="D88" s="5">
        <f>IF($E88="","",INDEX('Input Transaksi'!$F:$F,$E88))</f>
        <v/>
      </c>
      <c r="E88">
        <f>IFERROR(AGGREGATE(15,6,ROW('Input Transaksi'!$B$5:$B$5000)/('Input Transaksi'!$B$5:$B$5000="JCL SESETAN"),ROWS($E$5:E88)),"")</f>
        <v/>
      </c>
      <c r="F88" s="5" t="n"/>
    </row>
    <row r="89">
      <c r="A89" s="10">
        <f>IF($E89="","",INDEX('Input Transaksi'!$A:$A,$E89))</f>
        <v/>
      </c>
      <c r="B89" s="5">
        <f>IF($E89="","",INDEX('Input Transaksi'!$D:$D,$E89))</f>
        <v/>
      </c>
      <c r="C89">
        <f>IF($E89="","",INDEX('Input Transaksi'!$E:$E,$E89))</f>
        <v/>
      </c>
      <c r="D89" s="5">
        <f>IF($E89="","",INDEX('Input Transaksi'!$F:$F,$E89))</f>
        <v/>
      </c>
      <c r="E89">
        <f>IFERROR(AGGREGATE(15,6,ROW('Input Transaksi'!$B$5:$B$5000)/('Input Transaksi'!$B$5:$B$5000="JCL SESETAN"),ROWS($E$5:E89)),"")</f>
        <v/>
      </c>
      <c r="F89" s="5" t="n"/>
    </row>
    <row r="90">
      <c r="A90" s="10">
        <f>IF($E90="","",INDEX('Input Transaksi'!$A:$A,$E90))</f>
        <v/>
      </c>
      <c r="B90" s="5">
        <f>IF($E90="","",INDEX('Input Transaksi'!$D:$D,$E90))</f>
        <v/>
      </c>
      <c r="C90">
        <f>IF($E90="","",INDEX('Input Transaksi'!$E:$E,$E90))</f>
        <v/>
      </c>
      <c r="D90" s="5">
        <f>IF($E90="","",INDEX('Input Transaksi'!$F:$F,$E90))</f>
        <v/>
      </c>
      <c r="E90">
        <f>IFERROR(AGGREGATE(15,6,ROW('Input Transaksi'!$B$5:$B$5000)/('Input Transaksi'!$B$5:$B$5000="JCL SESETAN"),ROWS($E$5:E90)),"")</f>
        <v/>
      </c>
      <c r="F90" s="5" t="n"/>
    </row>
    <row r="91">
      <c r="A91" s="10">
        <f>IF($E91="","",INDEX('Input Transaksi'!$A:$A,$E91))</f>
        <v/>
      </c>
      <c r="B91" s="5">
        <f>IF($E91="","",INDEX('Input Transaksi'!$D:$D,$E91))</f>
        <v/>
      </c>
      <c r="C91">
        <f>IF($E91="","",INDEX('Input Transaksi'!$E:$E,$E91))</f>
        <v/>
      </c>
      <c r="D91" s="5">
        <f>IF($E91="","",INDEX('Input Transaksi'!$F:$F,$E91))</f>
        <v/>
      </c>
      <c r="E91">
        <f>IFERROR(AGGREGATE(15,6,ROW('Input Transaksi'!$B$5:$B$5000)/('Input Transaksi'!$B$5:$B$5000="JCL SESETAN"),ROWS($E$5:E91)),"")</f>
        <v/>
      </c>
      <c r="F91" s="5" t="n"/>
    </row>
    <row r="92">
      <c r="A92" s="10">
        <f>IF($E92="","",INDEX('Input Transaksi'!$A:$A,$E92))</f>
        <v/>
      </c>
      <c r="B92" s="5">
        <f>IF($E92="","",INDEX('Input Transaksi'!$D:$D,$E92))</f>
        <v/>
      </c>
      <c r="C92">
        <f>IF($E92="","",INDEX('Input Transaksi'!$E:$E,$E92))</f>
        <v/>
      </c>
      <c r="D92" s="5">
        <f>IF($E92="","",INDEX('Input Transaksi'!$F:$F,$E92))</f>
        <v/>
      </c>
      <c r="E92">
        <f>IFERROR(AGGREGATE(15,6,ROW('Input Transaksi'!$B$5:$B$5000)/('Input Transaksi'!$B$5:$B$5000="JCL SESETAN"),ROWS($E$5:E92)),"")</f>
        <v/>
      </c>
      <c r="F92" s="5" t="n"/>
    </row>
    <row r="93">
      <c r="A93" s="10">
        <f>IF($E93="","",INDEX('Input Transaksi'!$A:$A,$E93))</f>
        <v/>
      </c>
      <c r="B93" s="5">
        <f>IF($E93="","",INDEX('Input Transaksi'!$D:$D,$E93))</f>
        <v/>
      </c>
      <c r="C93">
        <f>IF($E93="","",INDEX('Input Transaksi'!$E:$E,$E93))</f>
        <v/>
      </c>
      <c r="D93" s="5">
        <f>IF($E93="","",INDEX('Input Transaksi'!$F:$F,$E93))</f>
        <v/>
      </c>
      <c r="E93">
        <f>IFERROR(AGGREGATE(15,6,ROW('Input Transaksi'!$B$5:$B$5000)/('Input Transaksi'!$B$5:$B$5000="JCL SESETAN"),ROWS($E$5:E93)),"")</f>
        <v/>
      </c>
      <c r="F93" s="5" t="n"/>
    </row>
    <row r="94">
      <c r="A94" s="10">
        <f>IF($E94="","",INDEX('Input Transaksi'!$A:$A,$E94))</f>
        <v/>
      </c>
      <c r="B94" s="5">
        <f>IF($E94="","",INDEX('Input Transaksi'!$D:$D,$E94))</f>
        <v/>
      </c>
      <c r="C94">
        <f>IF($E94="","",INDEX('Input Transaksi'!$E:$E,$E94))</f>
        <v/>
      </c>
      <c r="D94" s="5">
        <f>IF($E94="","",INDEX('Input Transaksi'!$F:$F,$E94))</f>
        <v/>
      </c>
      <c r="E94">
        <f>IFERROR(AGGREGATE(15,6,ROW('Input Transaksi'!$B$5:$B$5000)/('Input Transaksi'!$B$5:$B$5000="JCL SESETAN"),ROWS($E$5:E94)),"")</f>
        <v/>
      </c>
      <c r="F94" s="5" t="n"/>
    </row>
    <row r="95">
      <c r="A95" s="10">
        <f>IF($E95="","",INDEX('Input Transaksi'!$A:$A,$E95))</f>
        <v/>
      </c>
      <c r="B95" s="5">
        <f>IF($E95="","",INDEX('Input Transaksi'!$D:$D,$E95))</f>
        <v/>
      </c>
      <c r="C95">
        <f>IF($E95="","",INDEX('Input Transaksi'!$E:$E,$E95))</f>
        <v/>
      </c>
      <c r="D95" s="5">
        <f>IF($E95="","",INDEX('Input Transaksi'!$F:$F,$E95))</f>
        <v/>
      </c>
      <c r="E95">
        <f>IFERROR(AGGREGATE(15,6,ROW('Input Transaksi'!$B$5:$B$5000)/('Input Transaksi'!$B$5:$B$5000="JCL SESETAN"),ROWS($E$5:E95)),"")</f>
        <v/>
      </c>
      <c r="F95" s="5" t="n"/>
    </row>
    <row r="96">
      <c r="A96" s="10">
        <f>IF($E96="","",INDEX('Input Transaksi'!$A:$A,$E96))</f>
        <v/>
      </c>
      <c r="B96" s="5">
        <f>IF($E96="","",INDEX('Input Transaksi'!$D:$D,$E96))</f>
        <v/>
      </c>
      <c r="C96">
        <f>IF($E96="","",INDEX('Input Transaksi'!$E:$E,$E96))</f>
        <v/>
      </c>
      <c r="D96" s="5">
        <f>IF($E96="","",INDEX('Input Transaksi'!$F:$F,$E96))</f>
        <v/>
      </c>
      <c r="E96">
        <f>IFERROR(AGGREGATE(15,6,ROW('Input Transaksi'!$B$5:$B$5000)/('Input Transaksi'!$B$5:$B$5000="JCL SESETAN"),ROWS($E$5:E96)),"")</f>
        <v/>
      </c>
      <c r="F96" s="5" t="n"/>
    </row>
    <row r="97">
      <c r="A97" s="10">
        <f>IF($E97="","",INDEX('Input Transaksi'!$A:$A,$E97))</f>
        <v/>
      </c>
      <c r="B97" s="5">
        <f>IF($E97="","",INDEX('Input Transaksi'!$D:$D,$E97))</f>
        <v/>
      </c>
      <c r="C97">
        <f>IF($E97="","",INDEX('Input Transaksi'!$E:$E,$E97))</f>
        <v/>
      </c>
      <c r="D97" s="5">
        <f>IF($E97="","",INDEX('Input Transaksi'!$F:$F,$E97))</f>
        <v/>
      </c>
      <c r="E97">
        <f>IFERROR(AGGREGATE(15,6,ROW('Input Transaksi'!$B$5:$B$5000)/('Input Transaksi'!$B$5:$B$5000="JCL SESETAN"),ROWS($E$5:E97)),"")</f>
        <v/>
      </c>
      <c r="F97" s="5" t="n"/>
    </row>
    <row r="98">
      <c r="A98" s="10">
        <f>IF($E98="","",INDEX('Input Transaksi'!$A:$A,$E98))</f>
        <v/>
      </c>
      <c r="B98" s="5">
        <f>IF($E98="","",INDEX('Input Transaksi'!$D:$D,$E98))</f>
        <v/>
      </c>
      <c r="C98">
        <f>IF($E98="","",INDEX('Input Transaksi'!$E:$E,$E98))</f>
        <v/>
      </c>
      <c r="D98" s="5">
        <f>IF($E98="","",INDEX('Input Transaksi'!$F:$F,$E98))</f>
        <v/>
      </c>
      <c r="E98">
        <f>IFERROR(AGGREGATE(15,6,ROW('Input Transaksi'!$B$5:$B$5000)/('Input Transaksi'!$B$5:$B$5000="JCL SESETAN"),ROWS($E$5:E98)),"")</f>
        <v/>
      </c>
      <c r="F98" s="5" t="n"/>
    </row>
    <row r="99">
      <c r="A99" s="10">
        <f>IF($E99="","",INDEX('Input Transaksi'!$A:$A,$E99))</f>
        <v/>
      </c>
      <c r="B99" s="5">
        <f>IF($E99="","",INDEX('Input Transaksi'!$D:$D,$E99))</f>
        <v/>
      </c>
      <c r="C99">
        <f>IF($E99="","",INDEX('Input Transaksi'!$E:$E,$E99))</f>
        <v/>
      </c>
      <c r="D99" s="5">
        <f>IF($E99="","",INDEX('Input Transaksi'!$F:$F,$E99))</f>
        <v/>
      </c>
      <c r="E99">
        <f>IFERROR(AGGREGATE(15,6,ROW('Input Transaksi'!$B$5:$B$5000)/('Input Transaksi'!$B$5:$B$5000="JCL SESETAN"),ROWS($E$5:E99)),"")</f>
        <v/>
      </c>
      <c r="F99" s="5" t="n"/>
    </row>
    <row r="100">
      <c r="A100" s="10">
        <f>IF($E100="","",INDEX('Input Transaksi'!$A:$A,$E100))</f>
        <v/>
      </c>
      <c r="B100" s="5">
        <f>IF($E100="","",INDEX('Input Transaksi'!$D:$D,$E100))</f>
        <v/>
      </c>
      <c r="C100">
        <f>IF($E100="","",INDEX('Input Transaksi'!$E:$E,$E100))</f>
        <v/>
      </c>
      <c r="D100" s="5">
        <f>IF($E100="","",INDEX('Input Transaksi'!$F:$F,$E100))</f>
        <v/>
      </c>
      <c r="E100">
        <f>IFERROR(AGGREGATE(15,6,ROW('Input Transaksi'!$B$5:$B$5000)/('Input Transaksi'!$B$5:$B$5000="JCL SESETAN"),ROWS($E$5:E100)),"")</f>
        <v/>
      </c>
      <c r="F100" s="5" t="n"/>
    </row>
    <row r="101">
      <c r="A101" s="10">
        <f>IF($E101="","",INDEX('Input Transaksi'!$A:$A,$E101))</f>
        <v/>
      </c>
      <c r="B101" s="5">
        <f>IF($E101="","",INDEX('Input Transaksi'!$D:$D,$E101))</f>
        <v/>
      </c>
      <c r="C101">
        <f>IF($E101="","",INDEX('Input Transaksi'!$E:$E,$E101))</f>
        <v/>
      </c>
      <c r="D101" s="5">
        <f>IF($E101="","",INDEX('Input Transaksi'!$F:$F,$E101))</f>
        <v/>
      </c>
      <c r="E101">
        <f>IFERROR(AGGREGATE(15,6,ROW('Input Transaksi'!$B$5:$B$5000)/('Input Transaksi'!$B$5:$B$5000="JCL SESETAN"),ROWS($E$5:E101)),"")</f>
        <v/>
      </c>
      <c r="F101" s="5" t="n"/>
    </row>
    <row r="102">
      <c r="A102" s="10">
        <f>IF($E102="","",INDEX('Input Transaksi'!$A:$A,$E102))</f>
        <v/>
      </c>
      <c r="B102" s="5">
        <f>IF($E102="","",INDEX('Input Transaksi'!$D:$D,$E102))</f>
        <v/>
      </c>
      <c r="C102">
        <f>IF($E102="","",INDEX('Input Transaksi'!$E:$E,$E102))</f>
        <v/>
      </c>
      <c r="D102" s="5">
        <f>IF($E102="","",INDEX('Input Transaksi'!$F:$F,$E102))</f>
        <v/>
      </c>
      <c r="E102">
        <f>IFERROR(AGGREGATE(15,6,ROW('Input Transaksi'!$B$5:$B$5000)/('Input Transaksi'!$B$5:$B$5000="JCL SESETAN"),ROWS($E$5:E102)),"")</f>
        <v/>
      </c>
      <c r="F102" s="5" t="n"/>
    </row>
    <row r="103">
      <c r="A103" s="10">
        <f>IF($E103="","",INDEX('Input Transaksi'!$A:$A,$E103))</f>
        <v/>
      </c>
      <c r="B103" s="5">
        <f>IF($E103="","",INDEX('Input Transaksi'!$D:$D,$E103))</f>
        <v/>
      </c>
      <c r="C103">
        <f>IF($E103="","",INDEX('Input Transaksi'!$E:$E,$E103))</f>
        <v/>
      </c>
      <c r="D103" s="5">
        <f>IF($E103="","",INDEX('Input Transaksi'!$F:$F,$E103))</f>
        <v/>
      </c>
      <c r="E103">
        <f>IFERROR(AGGREGATE(15,6,ROW('Input Transaksi'!$B$5:$B$5000)/('Input Transaksi'!$B$5:$B$5000="JCL SESETAN"),ROWS($E$5:E103)),"")</f>
        <v/>
      </c>
      <c r="F103" s="5" t="n"/>
    </row>
    <row r="104">
      <c r="A104" s="10">
        <f>IF($E104="","",INDEX('Input Transaksi'!$A:$A,$E104))</f>
        <v/>
      </c>
      <c r="B104" s="5">
        <f>IF($E104="","",INDEX('Input Transaksi'!$D:$D,$E104))</f>
        <v/>
      </c>
      <c r="C104">
        <f>IF($E104="","",INDEX('Input Transaksi'!$E:$E,$E104))</f>
        <v/>
      </c>
      <c r="D104" s="5">
        <f>IF($E104="","",INDEX('Input Transaksi'!$F:$F,$E104))</f>
        <v/>
      </c>
      <c r="E104">
        <f>IFERROR(AGGREGATE(15,6,ROW('Input Transaksi'!$B$5:$B$5000)/('Input Transaksi'!$B$5:$B$5000="JCL SESETAN"),ROWS($E$5:E104)),"")</f>
        <v/>
      </c>
      <c r="F104" s="5" t="n"/>
    </row>
    <row r="105">
      <c r="A105" s="10">
        <f>IF($E105="","",INDEX('Input Transaksi'!$A:$A,$E105))</f>
        <v/>
      </c>
      <c r="B105" s="5">
        <f>IF($E105="","",INDEX('Input Transaksi'!$D:$D,$E105))</f>
        <v/>
      </c>
      <c r="C105">
        <f>IF($E105="","",INDEX('Input Transaksi'!$E:$E,$E105))</f>
        <v/>
      </c>
      <c r="D105" s="5">
        <f>IF($E105="","",INDEX('Input Transaksi'!$F:$F,$E105))</f>
        <v/>
      </c>
      <c r="E105">
        <f>IFERROR(AGGREGATE(15,6,ROW('Input Transaksi'!$B$5:$B$5000)/('Input Transaksi'!$B$5:$B$5000="JCL SESETAN"),ROWS($E$5:E105)),"")</f>
        <v/>
      </c>
      <c r="F105" s="5" t="n"/>
    </row>
    <row r="106">
      <c r="A106" s="10">
        <f>IF($E106="","",INDEX('Input Transaksi'!$A:$A,$E106))</f>
        <v/>
      </c>
      <c r="B106" s="5">
        <f>IF($E106="","",INDEX('Input Transaksi'!$D:$D,$E106))</f>
        <v/>
      </c>
      <c r="C106">
        <f>IF($E106="","",INDEX('Input Transaksi'!$E:$E,$E106))</f>
        <v/>
      </c>
      <c r="D106" s="5">
        <f>IF($E106="","",INDEX('Input Transaksi'!$F:$F,$E106))</f>
        <v/>
      </c>
      <c r="E106">
        <f>IFERROR(AGGREGATE(15,6,ROW('Input Transaksi'!$B$5:$B$5000)/('Input Transaksi'!$B$5:$B$5000="JCL SESETAN"),ROWS($E$5:E106)),"")</f>
        <v/>
      </c>
      <c r="F106" s="5" t="n"/>
    </row>
    <row r="107">
      <c r="A107" s="10">
        <f>IF($E107="","",INDEX('Input Transaksi'!$A:$A,$E107))</f>
        <v/>
      </c>
      <c r="B107" s="5">
        <f>IF($E107="","",INDEX('Input Transaksi'!$D:$D,$E107))</f>
        <v/>
      </c>
      <c r="C107">
        <f>IF($E107="","",INDEX('Input Transaksi'!$E:$E,$E107))</f>
        <v/>
      </c>
      <c r="D107" s="5">
        <f>IF($E107="","",INDEX('Input Transaksi'!$F:$F,$E107))</f>
        <v/>
      </c>
      <c r="E107">
        <f>IFERROR(AGGREGATE(15,6,ROW('Input Transaksi'!$B$5:$B$5000)/('Input Transaksi'!$B$5:$B$5000="JCL SESETAN"),ROWS($E$5:E107)),"")</f>
        <v/>
      </c>
      <c r="F107" s="5" t="n"/>
    </row>
    <row r="108">
      <c r="A108" s="10">
        <f>IF($E108="","",INDEX('Input Transaksi'!$A:$A,$E108))</f>
        <v/>
      </c>
      <c r="B108" s="5">
        <f>IF($E108="","",INDEX('Input Transaksi'!$D:$D,$E108))</f>
        <v/>
      </c>
      <c r="C108">
        <f>IF($E108="","",INDEX('Input Transaksi'!$E:$E,$E108))</f>
        <v/>
      </c>
      <c r="D108" s="5">
        <f>IF($E108="","",INDEX('Input Transaksi'!$F:$F,$E108))</f>
        <v/>
      </c>
      <c r="E108">
        <f>IFERROR(AGGREGATE(15,6,ROW('Input Transaksi'!$B$5:$B$5000)/('Input Transaksi'!$B$5:$B$5000="JCL SESETAN"),ROWS($E$5:E108)),"")</f>
        <v/>
      </c>
      <c r="F108" s="5" t="n"/>
    </row>
    <row r="109">
      <c r="A109" s="10">
        <f>IF($E109="","",INDEX('Input Transaksi'!$A:$A,$E109))</f>
        <v/>
      </c>
      <c r="B109" s="5">
        <f>IF($E109="","",INDEX('Input Transaksi'!$D:$D,$E109))</f>
        <v/>
      </c>
      <c r="C109">
        <f>IF($E109="","",INDEX('Input Transaksi'!$E:$E,$E109))</f>
        <v/>
      </c>
      <c r="D109" s="5">
        <f>IF($E109="","",INDEX('Input Transaksi'!$F:$F,$E109))</f>
        <v/>
      </c>
      <c r="E109">
        <f>IFERROR(AGGREGATE(15,6,ROW('Input Transaksi'!$B$5:$B$5000)/('Input Transaksi'!$B$5:$B$5000="JCL SESETAN"),ROWS($E$5:E109)),"")</f>
        <v/>
      </c>
      <c r="F109" s="5" t="n"/>
    </row>
    <row r="110">
      <c r="A110" s="10">
        <f>IF($E110="","",INDEX('Input Transaksi'!$A:$A,$E110))</f>
        <v/>
      </c>
      <c r="B110" s="5">
        <f>IF($E110="","",INDEX('Input Transaksi'!$D:$D,$E110))</f>
        <v/>
      </c>
      <c r="C110">
        <f>IF($E110="","",INDEX('Input Transaksi'!$E:$E,$E110))</f>
        <v/>
      </c>
      <c r="D110" s="5">
        <f>IF($E110="","",INDEX('Input Transaksi'!$F:$F,$E110))</f>
        <v/>
      </c>
      <c r="E110">
        <f>IFERROR(AGGREGATE(15,6,ROW('Input Transaksi'!$B$5:$B$5000)/('Input Transaksi'!$B$5:$B$5000="JCL SESETAN"),ROWS($E$5:E110)),"")</f>
        <v/>
      </c>
      <c r="F110" s="5" t="n"/>
    </row>
    <row r="111">
      <c r="A111" s="10">
        <f>IF($E111="","",INDEX('Input Transaksi'!$A:$A,$E111))</f>
        <v/>
      </c>
      <c r="B111" s="5">
        <f>IF($E111="","",INDEX('Input Transaksi'!$D:$D,$E111))</f>
        <v/>
      </c>
      <c r="C111">
        <f>IF($E111="","",INDEX('Input Transaksi'!$E:$E,$E111))</f>
        <v/>
      </c>
      <c r="D111" s="5">
        <f>IF($E111="","",INDEX('Input Transaksi'!$F:$F,$E111))</f>
        <v/>
      </c>
      <c r="E111">
        <f>IFERROR(AGGREGATE(15,6,ROW('Input Transaksi'!$B$5:$B$5000)/('Input Transaksi'!$B$5:$B$5000="JCL SESETAN"),ROWS($E$5:E111)),"")</f>
        <v/>
      </c>
      <c r="F111" s="5" t="n"/>
    </row>
    <row r="112">
      <c r="A112" s="10">
        <f>IF($E112="","",INDEX('Input Transaksi'!$A:$A,$E112))</f>
        <v/>
      </c>
      <c r="B112" s="5">
        <f>IF($E112="","",INDEX('Input Transaksi'!$D:$D,$E112))</f>
        <v/>
      </c>
      <c r="C112">
        <f>IF($E112="","",INDEX('Input Transaksi'!$E:$E,$E112))</f>
        <v/>
      </c>
      <c r="D112" s="5">
        <f>IF($E112="","",INDEX('Input Transaksi'!$F:$F,$E112))</f>
        <v/>
      </c>
      <c r="E112">
        <f>IFERROR(AGGREGATE(15,6,ROW('Input Transaksi'!$B$5:$B$5000)/('Input Transaksi'!$B$5:$B$5000="JCL SESETAN"),ROWS($E$5:E112)),"")</f>
        <v/>
      </c>
      <c r="F112" s="5" t="n"/>
    </row>
    <row r="113">
      <c r="A113" s="10">
        <f>IF($E113="","",INDEX('Input Transaksi'!$A:$A,$E113))</f>
        <v/>
      </c>
      <c r="B113" s="5">
        <f>IF($E113="","",INDEX('Input Transaksi'!$D:$D,$E113))</f>
        <v/>
      </c>
      <c r="C113">
        <f>IF($E113="","",INDEX('Input Transaksi'!$E:$E,$E113))</f>
        <v/>
      </c>
      <c r="D113" s="5">
        <f>IF($E113="","",INDEX('Input Transaksi'!$F:$F,$E113))</f>
        <v/>
      </c>
      <c r="E113">
        <f>IFERROR(AGGREGATE(15,6,ROW('Input Transaksi'!$B$5:$B$5000)/('Input Transaksi'!$B$5:$B$5000="JCL SESETAN"),ROWS($E$5:E113)),"")</f>
        <v/>
      </c>
      <c r="F113" s="5" t="n"/>
    </row>
    <row r="114">
      <c r="A114" s="10">
        <f>IF($E114="","",INDEX('Input Transaksi'!$A:$A,$E114))</f>
        <v/>
      </c>
      <c r="B114" s="5">
        <f>IF($E114="","",INDEX('Input Transaksi'!$D:$D,$E114))</f>
        <v/>
      </c>
      <c r="C114">
        <f>IF($E114="","",INDEX('Input Transaksi'!$E:$E,$E114))</f>
        <v/>
      </c>
      <c r="D114" s="5">
        <f>IF($E114="","",INDEX('Input Transaksi'!$F:$F,$E114))</f>
        <v/>
      </c>
      <c r="E114">
        <f>IFERROR(AGGREGATE(15,6,ROW('Input Transaksi'!$B$5:$B$5000)/('Input Transaksi'!$B$5:$B$5000="JCL SESETAN"),ROWS($E$5:E114)),"")</f>
        <v/>
      </c>
      <c r="F114" s="5" t="n"/>
    </row>
    <row r="115">
      <c r="A115" s="10">
        <f>IF($E115="","",INDEX('Input Transaksi'!$A:$A,$E115))</f>
        <v/>
      </c>
      <c r="B115" s="5">
        <f>IF($E115="","",INDEX('Input Transaksi'!$D:$D,$E115))</f>
        <v/>
      </c>
      <c r="C115">
        <f>IF($E115="","",INDEX('Input Transaksi'!$E:$E,$E115))</f>
        <v/>
      </c>
      <c r="D115" s="5">
        <f>IF($E115="","",INDEX('Input Transaksi'!$F:$F,$E115))</f>
        <v/>
      </c>
      <c r="E115">
        <f>IFERROR(AGGREGATE(15,6,ROW('Input Transaksi'!$B$5:$B$5000)/('Input Transaksi'!$B$5:$B$5000="JCL SESETAN"),ROWS($E$5:E115)),"")</f>
        <v/>
      </c>
      <c r="F115" s="5" t="n"/>
    </row>
    <row r="116">
      <c r="A116" s="10">
        <f>IF($E116="","",INDEX('Input Transaksi'!$A:$A,$E116))</f>
        <v/>
      </c>
      <c r="B116" s="5">
        <f>IF($E116="","",INDEX('Input Transaksi'!$D:$D,$E116))</f>
        <v/>
      </c>
      <c r="C116">
        <f>IF($E116="","",INDEX('Input Transaksi'!$E:$E,$E116))</f>
        <v/>
      </c>
      <c r="D116" s="5">
        <f>IF($E116="","",INDEX('Input Transaksi'!$F:$F,$E116))</f>
        <v/>
      </c>
      <c r="E116">
        <f>IFERROR(AGGREGATE(15,6,ROW('Input Transaksi'!$B$5:$B$5000)/('Input Transaksi'!$B$5:$B$5000="JCL SESETAN"),ROWS($E$5:E116)),"")</f>
        <v/>
      </c>
      <c r="F116" s="5" t="n"/>
    </row>
    <row r="117">
      <c r="A117" s="10">
        <f>IF($E117="","",INDEX('Input Transaksi'!$A:$A,$E117))</f>
        <v/>
      </c>
      <c r="B117" s="5">
        <f>IF($E117="","",INDEX('Input Transaksi'!$D:$D,$E117))</f>
        <v/>
      </c>
      <c r="C117">
        <f>IF($E117="","",INDEX('Input Transaksi'!$E:$E,$E117))</f>
        <v/>
      </c>
      <c r="D117" s="5">
        <f>IF($E117="","",INDEX('Input Transaksi'!$F:$F,$E117))</f>
        <v/>
      </c>
      <c r="E117">
        <f>IFERROR(AGGREGATE(15,6,ROW('Input Transaksi'!$B$5:$B$5000)/('Input Transaksi'!$B$5:$B$5000="JCL SESETAN"),ROWS($E$5:E117)),"")</f>
        <v/>
      </c>
      <c r="F117" s="5" t="n"/>
    </row>
    <row r="118">
      <c r="A118" s="10">
        <f>IF($E118="","",INDEX('Input Transaksi'!$A:$A,$E118))</f>
        <v/>
      </c>
      <c r="B118" s="5">
        <f>IF($E118="","",INDEX('Input Transaksi'!$D:$D,$E118))</f>
        <v/>
      </c>
      <c r="C118">
        <f>IF($E118="","",INDEX('Input Transaksi'!$E:$E,$E118))</f>
        <v/>
      </c>
      <c r="D118" s="5">
        <f>IF($E118="","",INDEX('Input Transaksi'!$F:$F,$E118))</f>
        <v/>
      </c>
      <c r="E118">
        <f>IFERROR(AGGREGATE(15,6,ROW('Input Transaksi'!$B$5:$B$5000)/('Input Transaksi'!$B$5:$B$5000="JCL SESETAN"),ROWS($E$5:E118)),"")</f>
        <v/>
      </c>
      <c r="F118" s="5" t="n"/>
    </row>
    <row r="119">
      <c r="A119" s="10">
        <f>IF($E119="","",INDEX('Input Transaksi'!$A:$A,$E119))</f>
        <v/>
      </c>
      <c r="B119" s="5">
        <f>IF($E119="","",INDEX('Input Transaksi'!$D:$D,$E119))</f>
        <v/>
      </c>
      <c r="C119">
        <f>IF($E119="","",INDEX('Input Transaksi'!$E:$E,$E119))</f>
        <v/>
      </c>
      <c r="D119" s="5">
        <f>IF($E119="","",INDEX('Input Transaksi'!$F:$F,$E119))</f>
        <v/>
      </c>
      <c r="E119">
        <f>IFERROR(AGGREGATE(15,6,ROW('Input Transaksi'!$B$5:$B$5000)/('Input Transaksi'!$B$5:$B$5000="JCL SESETAN"),ROWS($E$5:E119)),"")</f>
        <v/>
      </c>
      <c r="F119" s="5" t="n"/>
    </row>
    <row r="120">
      <c r="A120" s="10">
        <f>IF($E120="","",INDEX('Input Transaksi'!$A:$A,$E120))</f>
        <v/>
      </c>
      <c r="B120" s="5">
        <f>IF($E120="","",INDEX('Input Transaksi'!$D:$D,$E120))</f>
        <v/>
      </c>
      <c r="C120">
        <f>IF($E120="","",INDEX('Input Transaksi'!$E:$E,$E120))</f>
        <v/>
      </c>
      <c r="D120" s="5">
        <f>IF($E120="","",INDEX('Input Transaksi'!$F:$F,$E120))</f>
        <v/>
      </c>
      <c r="E120">
        <f>IFERROR(AGGREGATE(15,6,ROW('Input Transaksi'!$B$5:$B$5000)/('Input Transaksi'!$B$5:$B$5000="JCL SESETAN"),ROWS($E$5:E120)),"")</f>
        <v/>
      </c>
      <c r="F120" s="5" t="n"/>
    </row>
    <row r="121">
      <c r="A121" s="10">
        <f>IF($E121="","",INDEX('Input Transaksi'!$A:$A,$E121))</f>
        <v/>
      </c>
      <c r="B121" s="5">
        <f>IF($E121="","",INDEX('Input Transaksi'!$D:$D,$E121))</f>
        <v/>
      </c>
      <c r="C121">
        <f>IF($E121="","",INDEX('Input Transaksi'!$E:$E,$E121))</f>
        <v/>
      </c>
      <c r="D121" s="5">
        <f>IF($E121="","",INDEX('Input Transaksi'!$F:$F,$E121))</f>
        <v/>
      </c>
      <c r="E121">
        <f>IFERROR(AGGREGATE(15,6,ROW('Input Transaksi'!$B$5:$B$5000)/('Input Transaksi'!$B$5:$B$5000="JCL SESETAN"),ROWS($E$5:E121)),"")</f>
        <v/>
      </c>
      <c r="F121" s="5" t="n"/>
    </row>
    <row r="122">
      <c r="A122" s="10">
        <f>IF($E122="","",INDEX('Input Transaksi'!$A:$A,$E122))</f>
        <v/>
      </c>
      <c r="B122" s="5">
        <f>IF($E122="","",INDEX('Input Transaksi'!$D:$D,$E122))</f>
        <v/>
      </c>
      <c r="C122">
        <f>IF($E122="","",INDEX('Input Transaksi'!$E:$E,$E122))</f>
        <v/>
      </c>
      <c r="D122" s="5">
        <f>IF($E122="","",INDEX('Input Transaksi'!$F:$F,$E122))</f>
        <v/>
      </c>
      <c r="E122">
        <f>IFERROR(AGGREGATE(15,6,ROW('Input Transaksi'!$B$5:$B$5000)/('Input Transaksi'!$B$5:$B$5000="JCL SESETAN"),ROWS($E$5:E122)),"")</f>
        <v/>
      </c>
      <c r="F122" s="5" t="n"/>
    </row>
    <row r="123">
      <c r="A123" s="10">
        <f>IF($E123="","",INDEX('Input Transaksi'!$A:$A,$E123))</f>
        <v/>
      </c>
      <c r="B123" s="5">
        <f>IF($E123="","",INDEX('Input Transaksi'!$D:$D,$E123))</f>
        <v/>
      </c>
      <c r="C123">
        <f>IF($E123="","",INDEX('Input Transaksi'!$E:$E,$E123))</f>
        <v/>
      </c>
      <c r="D123" s="5">
        <f>IF($E123="","",INDEX('Input Transaksi'!$F:$F,$E123))</f>
        <v/>
      </c>
      <c r="E123">
        <f>IFERROR(AGGREGATE(15,6,ROW('Input Transaksi'!$B$5:$B$5000)/('Input Transaksi'!$B$5:$B$5000="JCL SESETAN"),ROWS($E$5:E123)),"")</f>
        <v/>
      </c>
      <c r="F123" s="5" t="n"/>
    </row>
    <row r="124">
      <c r="A124" s="10">
        <f>IF($E124="","",INDEX('Input Transaksi'!$A:$A,$E124))</f>
        <v/>
      </c>
      <c r="B124" s="5">
        <f>IF($E124="","",INDEX('Input Transaksi'!$D:$D,$E124))</f>
        <v/>
      </c>
      <c r="C124">
        <f>IF($E124="","",INDEX('Input Transaksi'!$E:$E,$E124))</f>
        <v/>
      </c>
      <c r="D124" s="5">
        <f>IF($E124="","",INDEX('Input Transaksi'!$F:$F,$E124))</f>
        <v/>
      </c>
      <c r="E124">
        <f>IFERROR(AGGREGATE(15,6,ROW('Input Transaksi'!$B$5:$B$5000)/('Input Transaksi'!$B$5:$B$5000="JCL SESETAN"),ROWS($E$5:E124)),"")</f>
        <v/>
      </c>
      <c r="F124" s="5" t="n"/>
    </row>
    <row r="125">
      <c r="A125" s="10">
        <f>IF($E125="","",INDEX('Input Transaksi'!$A:$A,$E125))</f>
        <v/>
      </c>
      <c r="B125" s="5">
        <f>IF($E125="","",INDEX('Input Transaksi'!$D:$D,$E125))</f>
        <v/>
      </c>
      <c r="C125">
        <f>IF($E125="","",INDEX('Input Transaksi'!$E:$E,$E125))</f>
        <v/>
      </c>
      <c r="D125" s="5">
        <f>IF($E125="","",INDEX('Input Transaksi'!$F:$F,$E125))</f>
        <v/>
      </c>
      <c r="E125">
        <f>IFERROR(AGGREGATE(15,6,ROW('Input Transaksi'!$B$5:$B$5000)/('Input Transaksi'!$B$5:$B$5000="JCL SESETAN"),ROWS($E$5:E125)),"")</f>
        <v/>
      </c>
      <c r="F125" s="5" t="n"/>
    </row>
    <row r="126">
      <c r="A126" s="10">
        <f>IF($E126="","",INDEX('Input Transaksi'!$A:$A,$E126))</f>
        <v/>
      </c>
      <c r="B126" s="5">
        <f>IF($E126="","",INDEX('Input Transaksi'!$D:$D,$E126))</f>
        <v/>
      </c>
      <c r="C126">
        <f>IF($E126="","",INDEX('Input Transaksi'!$E:$E,$E126))</f>
        <v/>
      </c>
      <c r="D126" s="5">
        <f>IF($E126="","",INDEX('Input Transaksi'!$F:$F,$E126))</f>
        <v/>
      </c>
      <c r="E126">
        <f>IFERROR(AGGREGATE(15,6,ROW('Input Transaksi'!$B$5:$B$5000)/('Input Transaksi'!$B$5:$B$5000="JCL SESETAN"),ROWS($E$5:E126)),"")</f>
        <v/>
      </c>
      <c r="F126" s="5" t="n"/>
    </row>
    <row r="127">
      <c r="A127" s="10">
        <f>IF($E127="","",INDEX('Input Transaksi'!$A:$A,$E127))</f>
        <v/>
      </c>
      <c r="B127" s="5">
        <f>IF($E127="","",INDEX('Input Transaksi'!$D:$D,$E127))</f>
        <v/>
      </c>
      <c r="C127">
        <f>IF($E127="","",INDEX('Input Transaksi'!$E:$E,$E127))</f>
        <v/>
      </c>
      <c r="D127" s="5">
        <f>IF($E127="","",INDEX('Input Transaksi'!$F:$F,$E127))</f>
        <v/>
      </c>
      <c r="E127">
        <f>IFERROR(AGGREGATE(15,6,ROW('Input Transaksi'!$B$5:$B$5000)/('Input Transaksi'!$B$5:$B$5000="JCL SESETAN"),ROWS($E$5:E127)),"")</f>
        <v/>
      </c>
      <c r="F127" s="5" t="n"/>
    </row>
    <row r="128">
      <c r="A128" s="10">
        <f>IF($E128="","",INDEX('Input Transaksi'!$A:$A,$E128))</f>
        <v/>
      </c>
      <c r="B128" s="5">
        <f>IF($E128="","",INDEX('Input Transaksi'!$D:$D,$E128))</f>
        <v/>
      </c>
      <c r="C128">
        <f>IF($E128="","",INDEX('Input Transaksi'!$E:$E,$E128))</f>
        <v/>
      </c>
      <c r="D128" s="5">
        <f>IF($E128="","",INDEX('Input Transaksi'!$F:$F,$E128))</f>
        <v/>
      </c>
      <c r="E128">
        <f>IFERROR(AGGREGATE(15,6,ROW('Input Transaksi'!$B$5:$B$5000)/('Input Transaksi'!$B$5:$B$5000="JCL SESETAN"),ROWS($E$5:E128)),"")</f>
        <v/>
      </c>
      <c r="F128" s="5" t="n"/>
    </row>
    <row r="129">
      <c r="A129" s="10">
        <f>IF($E129="","",INDEX('Input Transaksi'!$A:$A,$E129))</f>
        <v/>
      </c>
      <c r="B129" s="5">
        <f>IF($E129="","",INDEX('Input Transaksi'!$D:$D,$E129))</f>
        <v/>
      </c>
      <c r="C129">
        <f>IF($E129="","",INDEX('Input Transaksi'!$E:$E,$E129))</f>
        <v/>
      </c>
      <c r="D129" s="5">
        <f>IF($E129="","",INDEX('Input Transaksi'!$F:$F,$E129))</f>
        <v/>
      </c>
      <c r="E129">
        <f>IFERROR(AGGREGATE(15,6,ROW('Input Transaksi'!$B$5:$B$5000)/('Input Transaksi'!$B$5:$B$5000="JCL SESETAN"),ROWS($E$5:E129)),"")</f>
        <v/>
      </c>
      <c r="F129" s="5" t="n"/>
    </row>
    <row r="130">
      <c r="A130" s="10">
        <f>IF($E130="","",INDEX('Input Transaksi'!$A:$A,$E130))</f>
        <v/>
      </c>
      <c r="B130" s="5">
        <f>IF($E130="","",INDEX('Input Transaksi'!$D:$D,$E130))</f>
        <v/>
      </c>
      <c r="C130">
        <f>IF($E130="","",INDEX('Input Transaksi'!$E:$E,$E130))</f>
        <v/>
      </c>
      <c r="D130" s="5">
        <f>IF($E130="","",INDEX('Input Transaksi'!$F:$F,$E130))</f>
        <v/>
      </c>
      <c r="E130">
        <f>IFERROR(AGGREGATE(15,6,ROW('Input Transaksi'!$B$5:$B$5000)/('Input Transaksi'!$B$5:$B$5000="JCL SESETAN"),ROWS($E$5:E130)),"")</f>
        <v/>
      </c>
      <c r="F130" s="5" t="n"/>
    </row>
    <row r="131">
      <c r="A131" s="10">
        <f>IF($E131="","",INDEX('Input Transaksi'!$A:$A,$E131))</f>
        <v/>
      </c>
      <c r="B131" s="5">
        <f>IF($E131="","",INDEX('Input Transaksi'!$D:$D,$E131))</f>
        <v/>
      </c>
      <c r="C131">
        <f>IF($E131="","",INDEX('Input Transaksi'!$E:$E,$E131))</f>
        <v/>
      </c>
      <c r="D131" s="5">
        <f>IF($E131="","",INDEX('Input Transaksi'!$F:$F,$E131))</f>
        <v/>
      </c>
      <c r="E131">
        <f>IFERROR(AGGREGATE(15,6,ROW('Input Transaksi'!$B$5:$B$5000)/('Input Transaksi'!$B$5:$B$5000="JCL SESETAN"),ROWS($E$5:E131)),"")</f>
        <v/>
      </c>
      <c r="F131" s="5" t="n"/>
    </row>
    <row r="132">
      <c r="A132" s="10">
        <f>IF($E132="","",INDEX('Input Transaksi'!$A:$A,$E132))</f>
        <v/>
      </c>
      <c r="B132" s="5">
        <f>IF($E132="","",INDEX('Input Transaksi'!$D:$D,$E132))</f>
        <v/>
      </c>
      <c r="C132">
        <f>IF($E132="","",INDEX('Input Transaksi'!$E:$E,$E132))</f>
        <v/>
      </c>
      <c r="D132" s="5">
        <f>IF($E132="","",INDEX('Input Transaksi'!$F:$F,$E132))</f>
        <v/>
      </c>
      <c r="E132">
        <f>IFERROR(AGGREGATE(15,6,ROW('Input Transaksi'!$B$5:$B$5000)/('Input Transaksi'!$B$5:$B$5000="JCL SESETAN"),ROWS($E$5:E132)),"")</f>
        <v/>
      </c>
      <c r="F132" s="5" t="n"/>
    </row>
    <row r="133">
      <c r="A133" s="10">
        <f>IF($E133="","",INDEX('Input Transaksi'!$A:$A,$E133))</f>
        <v/>
      </c>
      <c r="B133" s="5">
        <f>IF($E133="","",INDEX('Input Transaksi'!$D:$D,$E133))</f>
        <v/>
      </c>
      <c r="C133">
        <f>IF($E133="","",INDEX('Input Transaksi'!$E:$E,$E133))</f>
        <v/>
      </c>
      <c r="D133" s="5">
        <f>IF($E133="","",INDEX('Input Transaksi'!$F:$F,$E133))</f>
        <v/>
      </c>
      <c r="E133">
        <f>IFERROR(AGGREGATE(15,6,ROW('Input Transaksi'!$B$5:$B$5000)/('Input Transaksi'!$B$5:$B$5000="JCL SESETAN"),ROWS($E$5:E133)),"")</f>
        <v/>
      </c>
      <c r="F133" s="5" t="n"/>
    </row>
    <row r="134">
      <c r="A134" s="10">
        <f>IF($E134="","",INDEX('Input Transaksi'!$A:$A,$E134))</f>
        <v/>
      </c>
      <c r="B134" s="5">
        <f>IF($E134="","",INDEX('Input Transaksi'!$D:$D,$E134))</f>
        <v/>
      </c>
      <c r="C134">
        <f>IF($E134="","",INDEX('Input Transaksi'!$E:$E,$E134))</f>
        <v/>
      </c>
      <c r="D134" s="5">
        <f>IF($E134="","",INDEX('Input Transaksi'!$F:$F,$E134))</f>
        <v/>
      </c>
      <c r="E134">
        <f>IFERROR(AGGREGATE(15,6,ROW('Input Transaksi'!$B$5:$B$5000)/('Input Transaksi'!$B$5:$B$5000="JCL SESETAN"),ROWS($E$5:E134)),"")</f>
        <v/>
      </c>
      <c r="F134" s="5" t="n"/>
    </row>
    <row r="135">
      <c r="A135" s="10">
        <f>IF($E135="","",INDEX('Input Transaksi'!$A:$A,$E135))</f>
        <v/>
      </c>
      <c r="B135" s="5">
        <f>IF($E135="","",INDEX('Input Transaksi'!$D:$D,$E135))</f>
        <v/>
      </c>
      <c r="C135">
        <f>IF($E135="","",INDEX('Input Transaksi'!$E:$E,$E135))</f>
        <v/>
      </c>
      <c r="D135" s="5">
        <f>IF($E135="","",INDEX('Input Transaksi'!$F:$F,$E135))</f>
        <v/>
      </c>
      <c r="E135">
        <f>IFERROR(AGGREGATE(15,6,ROW('Input Transaksi'!$B$5:$B$5000)/('Input Transaksi'!$B$5:$B$5000="JCL SESETAN"),ROWS($E$5:E135)),"")</f>
        <v/>
      </c>
      <c r="F135" s="5" t="n"/>
    </row>
    <row r="136">
      <c r="A136" s="10">
        <f>IF($E136="","",INDEX('Input Transaksi'!$A:$A,$E136))</f>
        <v/>
      </c>
      <c r="B136" s="5">
        <f>IF($E136="","",INDEX('Input Transaksi'!$D:$D,$E136))</f>
        <v/>
      </c>
      <c r="C136">
        <f>IF($E136="","",INDEX('Input Transaksi'!$E:$E,$E136))</f>
        <v/>
      </c>
      <c r="D136" s="5">
        <f>IF($E136="","",INDEX('Input Transaksi'!$F:$F,$E136))</f>
        <v/>
      </c>
      <c r="E136">
        <f>IFERROR(AGGREGATE(15,6,ROW('Input Transaksi'!$B$5:$B$5000)/('Input Transaksi'!$B$5:$B$5000="JCL SESETAN"),ROWS($E$5:E136)),"")</f>
        <v/>
      </c>
      <c r="F136" s="5" t="n"/>
    </row>
    <row r="137">
      <c r="A137" s="10">
        <f>IF($E137="","",INDEX('Input Transaksi'!$A:$A,$E137))</f>
        <v/>
      </c>
      <c r="B137" s="5">
        <f>IF($E137="","",INDEX('Input Transaksi'!$D:$D,$E137))</f>
        <v/>
      </c>
      <c r="C137">
        <f>IF($E137="","",INDEX('Input Transaksi'!$E:$E,$E137))</f>
        <v/>
      </c>
      <c r="D137" s="5">
        <f>IF($E137="","",INDEX('Input Transaksi'!$F:$F,$E137))</f>
        <v/>
      </c>
      <c r="E137">
        <f>IFERROR(AGGREGATE(15,6,ROW('Input Transaksi'!$B$5:$B$5000)/('Input Transaksi'!$B$5:$B$5000="JCL SESETAN"),ROWS($E$5:E137)),"")</f>
        <v/>
      </c>
      <c r="F137" s="5" t="n"/>
    </row>
    <row r="138">
      <c r="A138" s="10">
        <f>IF($E138="","",INDEX('Input Transaksi'!$A:$A,$E138))</f>
        <v/>
      </c>
      <c r="B138" s="5">
        <f>IF($E138="","",INDEX('Input Transaksi'!$D:$D,$E138))</f>
        <v/>
      </c>
      <c r="C138">
        <f>IF($E138="","",INDEX('Input Transaksi'!$E:$E,$E138))</f>
        <v/>
      </c>
      <c r="D138" s="5">
        <f>IF($E138="","",INDEX('Input Transaksi'!$F:$F,$E138))</f>
        <v/>
      </c>
      <c r="E138">
        <f>IFERROR(AGGREGATE(15,6,ROW('Input Transaksi'!$B$5:$B$5000)/('Input Transaksi'!$B$5:$B$5000="JCL SESETAN"),ROWS($E$5:E138)),"")</f>
        <v/>
      </c>
      <c r="F138" s="5" t="n"/>
    </row>
    <row r="139">
      <c r="A139" s="10">
        <f>IF($E139="","",INDEX('Input Transaksi'!$A:$A,$E139))</f>
        <v/>
      </c>
      <c r="B139" s="5">
        <f>IF($E139="","",INDEX('Input Transaksi'!$D:$D,$E139))</f>
        <v/>
      </c>
      <c r="C139">
        <f>IF($E139="","",INDEX('Input Transaksi'!$E:$E,$E139))</f>
        <v/>
      </c>
      <c r="D139" s="5">
        <f>IF($E139="","",INDEX('Input Transaksi'!$F:$F,$E139))</f>
        <v/>
      </c>
      <c r="E139">
        <f>IFERROR(AGGREGATE(15,6,ROW('Input Transaksi'!$B$5:$B$5000)/('Input Transaksi'!$B$5:$B$5000="JCL SESETAN"),ROWS($E$5:E139)),"")</f>
        <v/>
      </c>
      <c r="F139" s="5" t="n"/>
    </row>
    <row r="140">
      <c r="A140" s="10">
        <f>IF($E140="","",INDEX('Input Transaksi'!$A:$A,$E140))</f>
        <v/>
      </c>
      <c r="B140" s="5">
        <f>IF($E140="","",INDEX('Input Transaksi'!$D:$D,$E140))</f>
        <v/>
      </c>
      <c r="C140">
        <f>IF($E140="","",INDEX('Input Transaksi'!$E:$E,$E140))</f>
        <v/>
      </c>
      <c r="D140" s="5">
        <f>IF($E140="","",INDEX('Input Transaksi'!$F:$F,$E140))</f>
        <v/>
      </c>
      <c r="E140">
        <f>IFERROR(AGGREGATE(15,6,ROW('Input Transaksi'!$B$5:$B$5000)/('Input Transaksi'!$B$5:$B$5000="JCL SESETAN"),ROWS($E$5:E140)),"")</f>
        <v/>
      </c>
      <c r="F140" s="5" t="n"/>
    </row>
    <row r="141">
      <c r="A141" s="10">
        <f>IF($E141="","",INDEX('Input Transaksi'!$A:$A,$E141))</f>
        <v/>
      </c>
      <c r="B141" s="5">
        <f>IF($E141="","",INDEX('Input Transaksi'!$D:$D,$E141))</f>
        <v/>
      </c>
      <c r="C141">
        <f>IF($E141="","",INDEX('Input Transaksi'!$E:$E,$E141))</f>
        <v/>
      </c>
      <c r="D141" s="5">
        <f>IF($E141="","",INDEX('Input Transaksi'!$F:$F,$E141))</f>
        <v/>
      </c>
      <c r="E141">
        <f>IFERROR(AGGREGATE(15,6,ROW('Input Transaksi'!$B$5:$B$5000)/('Input Transaksi'!$B$5:$B$5000="JCL SESETAN"),ROWS($E$5:E141)),"")</f>
        <v/>
      </c>
      <c r="F141" s="5" t="n"/>
    </row>
    <row r="142">
      <c r="A142" s="10">
        <f>IF($E142="","",INDEX('Input Transaksi'!$A:$A,$E142))</f>
        <v/>
      </c>
      <c r="B142" s="5">
        <f>IF($E142="","",INDEX('Input Transaksi'!$D:$D,$E142))</f>
        <v/>
      </c>
      <c r="C142">
        <f>IF($E142="","",INDEX('Input Transaksi'!$E:$E,$E142))</f>
        <v/>
      </c>
      <c r="D142" s="5">
        <f>IF($E142="","",INDEX('Input Transaksi'!$F:$F,$E142))</f>
        <v/>
      </c>
      <c r="E142">
        <f>IFERROR(AGGREGATE(15,6,ROW('Input Transaksi'!$B$5:$B$5000)/('Input Transaksi'!$B$5:$B$5000="JCL SESETAN"),ROWS($E$5:E142)),"")</f>
        <v/>
      </c>
      <c r="F142" s="5" t="n"/>
    </row>
    <row r="143">
      <c r="A143" s="10">
        <f>IF($E143="","",INDEX('Input Transaksi'!$A:$A,$E143))</f>
        <v/>
      </c>
      <c r="B143" s="5">
        <f>IF($E143="","",INDEX('Input Transaksi'!$D:$D,$E143))</f>
        <v/>
      </c>
      <c r="C143">
        <f>IF($E143="","",INDEX('Input Transaksi'!$E:$E,$E143))</f>
        <v/>
      </c>
      <c r="D143" s="5">
        <f>IF($E143="","",INDEX('Input Transaksi'!$F:$F,$E143))</f>
        <v/>
      </c>
      <c r="E143">
        <f>IFERROR(AGGREGATE(15,6,ROW('Input Transaksi'!$B$5:$B$5000)/('Input Transaksi'!$B$5:$B$5000="JCL SESETAN"),ROWS($E$5:E143)),"")</f>
        <v/>
      </c>
      <c r="F143" s="5" t="n"/>
    </row>
    <row r="144">
      <c r="A144" s="10">
        <f>IF($E144="","",INDEX('Input Transaksi'!$A:$A,$E144))</f>
        <v/>
      </c>
      <c r="B144" s="5">
        <f>IF($E144="","",INDEX('Input Transaksi'!$D:$D,$E144))</f>
        <v/>
      </c>
      <c r="C144">
        <f>IF($E144="","",INDEX('Input Transaksi'!$E:$E,$E144))</f>
        <v/>
      </c>
      <c r="D144" s="5">
        <f>IF($E144="","",INDEX('Input Transaksi'!$F:$F,$E144))</f>
        <v/>
      </c>
      <c r="E144">
        <f>IFERROR(AGGREGATE(15,6,ROW('Input Transaksi'!$B$5:$B$5000)/('Input Transaksi'!$B$5:$B$5000="JCL SESETAN"),ROWS($E$5:E144)),"")</f>
        <v/>
      </c>
      <c r="F144" s="5" t="n"/>
    </row>
    <row r="145">
      <c r="A145" s="10">
        <f>IF($E145="","",INDEX('Input Transaksi'!$A:$A,$E145))</f>
        <v/>
      </c>
      <c r="B145" s="5">
        <f>IF($E145="","",INDEX('Input Transaksi'!$D:$D,$E145))</f>
        <v/>
      </c>
      <c r="C145">
        <f>IF($E145="","",INDEX('Input Transaksi'!$E:$E,$E145))</f>
        <v/>
      </c>
      <c r="D145" s="5">
        <f>IF($E145="","",INDEX('Input Transaksi'!$F:$F,$E145))</f>
        <v/>
      </c>
      <c r="E145">
        <f>IFERROR(AGGREGATE(15,6,ROW('Input Transaksi'!$B$5:$B$5000)/('Input Transaksi'!$B$5:$B$5000="JCL SESETAN"),ROWS($E$5:E145)),"")</f>
        <v/>
      </c>
      <c r="F145" s="5" t="n"/>
    </row>
    <row r="146">
      <c r="A146" s="10">
        <f>IF($E146="","",INDEX('Input Transaksi'!$A:$A,$E146))</f>
        <v/>
      </c>
      <c r="B146" s="5">
        <f>IF($E146="","",INDEX('Input Transaksi'!$D:$D,$E146))</f>
        <v/>
      </c>
      <c r="C146">
        <f>IF($E146="","",INDEX('Input Transaksi'!$E:$E,$E146))</f>
        <v/>
      </c>
      <c r="D146" s="5">
        <f>IF($E146="","",INDEX('Input Transaksi'!$F:$F,$E146))</f>
        <v/>
      </c>
      <c r="E146">
        <f>IFERROR(AGGREGATE(15,6,ROW('Input Transaksi'!$B$5:$B$5000)/('Input Transaksi'!$B$5:$B$5000="JCL SESETAN"),ROWS($E$5:E146)),"")</f>
        <v/>
      </c>
      <c r="F146" s="5" t="n"/>
    </row>
    <row r="147">
      <c r="A147" s="10">
        <f>IF($E147="","",INDEX('Input Transaksi'!$A:$A,$E147))</f>
        <v/>
      </c>
      <c r="B147" s="5">
        <f>IF($E147="","",INDEX('Input Transaksi'!$D:$D,$E147))</f>
        <v/>
      </c>
      <c r="C147">
        <f>IF($E147="","",INDEX('Input Transaksi'!$E:$E,$E147))</f>
        <v/>
      </c>
      <c r="D147" s="5">
        <f>IF($E147="","",INDEX('Input Transaksi'!$F:$F,$E147))</f>
        <v/>
      </c>
      <c r="E147">
        <f>IFERROR(AGGREGATE(15,6,ROW('Input Transaksi'!$B$5:$B$5000)/('Input Transaksi'!$B$5:$B$5000="JCL SESETAN"),ROWS($E$5:E147)),"")</f>
        <v/>
      </c>
      <c r="F147" s="5" t="n"/>
    </row>
    <row r="148">
      <c r="A148" s="10">
        <f>IF($E148="","",INDEX('Input Transaksi'!$A:$A,$E148))</f>
        <v/>
      </c>
      <c r="B148" s="5">
        <f>IF($E148="","",INDEX('Input Transaksi'!$D:$D,$E148))</f>
        <v/>
      </c>
      <c r="C148">
        <f>IF($E148="","",INDEX('Input Transaksi'!$E:$E,$E148))</f>
        <v/>
      </c>
      <c r="D148" s="5">
        <f>IF($E148="","",INDEX('Input Transaksi'!$F:$F,$E148))</f>
        <v/>
      </c>
      <c r="E148">
        <f>IFERROR(AGGREGATE(15,6,ROW('Input Transaksi'!$B$5:$B$5000)/('Input Transaksi'!$B$5:$B$5000="JCL SESETAN"),ROWS($E$5:E148)),"")</f>
        <v/>
      </c>
      <c r="F148" s="5" t="n"/>
    </row>
    <row r="149">
      <c r="A149" s="10">
        <f>IF($E149="","",INDEX('Input Transaksi'!$A:$A,$E149))</f>
        <v/>
      </c>
      <c r="B149" s="5">
        <f>IF($E149="","",INDEX('Input Transaksi'!$D:$D,$E149))</f>
        <v/>
      </c>
      <c r="C149">
        <f>IF($E149="","",INDEX('Input Transaksi'!$E:$E,$E149))</f>
        <v/>
      </c>
      <c r="D149" s="5">
        <f>IF($E149="","",INDEX('Input Transaksi'!$F:$F,$E149))</f>
        <v/>
      </c>
      <c r="E149">
        <f>IFERROR(AGGREGATE(15,6,ROW('Input Transaksi'!$B$5:$B$5000)/('Input Transaksi'!$B$5:$B$5000="JCL SESETAN"),ROWS($E$5:E149)),"")</f>
        <v/>
      </c>
      <c r="F149" s="5" t="n"/>
    </row>
    <row r="150">
      <c r="A150" s="10">
        <f>IF($E150="","",INDEX('Input Transaksi'!$A:$A,$E150))</f>
        <v/>
      </c>
      <c r="B150" s="5">
        <f>IF($E150="","",INDEX('Input Transaksi'!$D:$D,$E150))</f>
        <v/>
      </c>
      <c r="C150">
        <f>IF($E150="","",INDEX('Input Transaksi'!$E:$E,$E150))</f>
        <v/>
      </c>
      <c r="D150" s="5">
        <f>IF($E150="","",INDEX('Input Transaksi'!$F:$F,$E150))</f>
        <v/>
      </c>
      <c r="E150">
        <f>IFERROR(AGGREGATE(15,6,ROW('Input Transaksi'!$B$5:$B$5000)/('Input Transaksi'!$B$5:$B$5000="JCL SESETAN"),ROWS($E$5:E150)),"")</f>
        <v/>
      </c>
      <c r="F150" s="5" t="n"/>
    </row>
    <row r="151">
      <c r="A151" s="10">
        <f>IF($E151="","",INDEX('Input Transaksi'!$A:$A,$E151))</f>
        <v/>
      </c>
      <c r="B151" s="5">
        <f>IF($E151="","",INDEX('Input Transaksi'!$D:$D,$E151))</f>
        <v/>
      </c>
      <c r="C151">
        <f>IF($E151="","",INDEX('Input Transaksi'!$E:$E,$E151))</f>
        <v/>
      </c>
      <c r="D151" s="5">
        <f>IF($E151="","",INDEX('Input Transaksi'!$F:$F,$E151))</f>
        <v/>
      </c>
      <c r="E151">
        <f>IFERROR(AGGREGATE(15,6,ROW('Input Transaksi'!$B$5:$B$5000)/('Input Transaksi'!$B$5:$B$5000="JCL SESETAN"),ROWS($E$5:E151)),"")</f>
        <v/>
      </c>
      <c r="F151" s="5" t="n"/>
    </row>
    <row r="152">
      <c r="A152" s="10">
        <f>IF($E152="","",INDEX('Input Transaksi'!$A:$A,$E152))</f>
        <v/>
      </c>
      <c r="B152" s="5">
        <f>IF($E152="","",INDEX('Input Transaksi'!$D:$D,$E152))</f>
        <v/>
      </c>
      <c r="C152">
        <f>IF($E152="","",INDEX('Input Transaksi'!$E:$E,$E152))</f>
        <v/>
      </c>
      <c r="D152" s="5">
        <f>IF($E152="","",INDEX('Input Transaksi'!$F:$F,$E152))</f>
        <v/>
      </c>
      <c r="E152">
        <f>IFERROR(AGGREGATE(15,6,ROW('Input Transaksi'!$B$5:$B$5000)/('Input Transaksi'!$B$5:$B$5000="JCL SESETAN"),ROWS($E$5:E152)),"")</f>
        <v/>
      </c>
      <c r="F152" s="5" t="n"/>
    </row>
    <row r="153">
      <c r="A153" s="10">
        <f>IF($E153="","",INDEX('Input Transaksi'!$A:$A,$E153))</f>
        <v/>
      </c>
      <c r="B153" s="5">
        <f>IF($E153="","",INDEX('Input Transaksi'!$D:$D,$E153))</f>
        <v/>
      </c>
      <c r="C153">
        <f>IF($E153="","",INDEX('Input Transaksi'!$E:$E,$E153))</f>
        <v/>
      </c>
      <c r="D153" s="5">
        <f>IF($E153="","",INDEX('Input Transaksi'!$F:$F,$E153))</f>
        <v/>
      </c>
      <c r="E153">
        <f>IFERROR(AGGREGATE(15,6,ROW('Input Transaksi'!$B$5:$B$5000)/('Input Transaksi'!$B$5:$B$5000="JCL SESETAN"),ROWS($E$5:E153)),"")</f>
        <v/>
      </c>
      <c r="F153" s="5" t="n"/>
    </row>
    <row r="154">
      <c r="A154" s="10">
        <f>IF($E154="","",INDEX('Input Transaksi'!$A:$A,$E154))</f>
        <v/>
      </c>
      <c r="B154" s="5">
        <f>IF($E154="","",INDEX('Input Transaksi'!$D:$D,$E154))</f>
        <v/>
      </c>
      <c r="C154">
        <f>IF($E154="","",INDEX('Input Transaksi'!$E:$E,$E154))</f>
        <v/>
      </c>
      <c r="D154" s="5">
        <f>IF($E154="","",INDEX('Input Transaksi'!$F:$F,$E154))</f>
        <v/>
      </c>
      <c r="E154">
        <f>IFERROR(AGGREGATE(15,6,ROW('Input Transaksi'!$B$5:$B$5000)/('Input Transaksi'!$B$5:$B$5000="JCL SESETAN"),ROWS($E$5:E154)),"")</f>
        <v/>
      </c>
      <c r="F154" s="5" t="n"/>
    </row>
    <row r="155">
      <c r="A155" s="10">
        <f>IF($E155="","",INDEX('Input Transaksi'!$A:$A,$E155))</f>
        <v/>
      </c>
      <c r="B155" s="5">
        <f>IF($E155="","",INDEX('Input Transaksi'!$D:$D,$E155))</f>
        <v/>
      </c>
      <c r="C155">
        <f>IF($E155="","",INDEX('Input Transaksi'!$E:$E,$E155))</f>
        <v/>
      </c>
      <c r="D155" s="5">
        <f>IF($E155="","",INDEX('Input Transaksi'!$F:$F,$E155))</f>
        <v/>
      </c>
      <c r="E155">
        <f>IFERROR(AGGREGATE(15,6,ROW('Input Transaksi'!$B$5:$B$5000)/('Input Transaksi'!$B$5:$B$5000="JCL SESETAN"),ROWS($E$5:E155)),"")</f>
        <v/>
      </c>
      <c r="F155" s="5" t="n"/>
    </row>
    <row r="156">
      <c r="A156" s="10">
        <f>IF($E156="","",INDEX('Input Transaksi'!$A:$A,$E156))</f>
        <v/>
      </c>
      <c r="B156" s="5">
        <f>IF($E156="","",INDEX('Input Transaksi'!$D:$D,$E156))</f>
        <v/>
      </c>
      <c r="C156">
        <f>IF($E156="","",INDEX('Input Transaksi'!$E:$E,$E156))</f>
        <v/>
      </c>
      <c r="D156" s="5">
        <f>IF($E156="","",INDEX('Input Transaksi'!$F:$F,$E156))</f>
        <v/>
      </c>
      <c r="E156">
        <f>IFERROR(AGGREGATE(15,6,ROW('Input Transaksi'!$B$5:$B$5000)/('Input Transaksi'!$B$5:$B$5000="JCL SESETAN"),ROWS($E$5:E156)),"")</f>
        <v/>
      </c>
      <c r="F156" s="5" t="n"/>
    </row>
    <row r="157">
      <c r="A157" s="10">
        <f>IF($E157="","",INDEX('Input Transaksi'!$A:$A,$E157))</f>
        <v/>
      </c>
      <c r="B157" s="5">
        <f>IF($E157="","",INDEX('Input Transaksi'!$D:$D,$E157))</f>
        <v/>
      </c>
      <c r="C157">
        <f>IF($E157="","",INDEX('Input Transaksi'!$E:$E,$E157))</f>
        <v/>
      </c>
      <c r="D157" s="5">
        <f>IF($E157="","",INDEX('Input Transaksi'!$F:$F,$E157))</f>
        <v/>
      </c>
      <c r="E157">
        <f>IFERROR(AGGREGATE(15,6,ROW('Input Transaksi'!$B$5:$B$5000)/('Input Transaksi'!$B$5:$B$5000="JCL SESETAN"),ROWS($E$5:E157)),"")</f>
        <v/>
      </c>
      <c r="F157" s="5" t="n"/>
    </row>
    <row r="158">
      <c r="A158" s="10">
        <f>IF($E158="","",INDEX('Input Transaksi'!$A:$A,$E158))</f>
        <v/>
      </c>
      <c r="B158" s="5">
        <f>IF($E158="","",INDEX('Input Transaksi'!$D:$D,$E158))</f>
        <v/>
      </c>
      <c r="C158">
        <f>IF($E158="","",INDEX('Input Transaksi'!$E:$E,$E158))</f>
        <v/>
      </c>
      <c r="D158" s="5">
        <f>IF($E158="","",INDEX('Input Transaksi'!$F:$F,$E158))</f>
        <v/>
      </c>
      <c r="E158">
        <f>IFERROR(AGGREGATE(15,6,ROW('Input Transaksi'!$B$5:$B$5000)/('Input Transaksi'!$B$5:$B$5000="JCL SESETAN"),ROWS($E$5:E158)),"")</f>
        <v/>
      </c>
      <c r="F158" s="5" t="n"/>
    </row>
    <row r="159">
      <c r="A159" s="10">
        <f>IF($E159="","",INDEX('Input Transaksi'!$A:$A,$E159))</f>
        <v/>
      </c>
      <c r="B159" s="5">
        <f>IF($E159="","",INDEX('Input Transaksi'!$D:$D,$E159))</f>
        <v/>
      </c>
      <c r="C159">
        <f>IF($E159="","",INDEX('Input Transaksi'!$E:$E,$E159))</f>
        <v/>
      </c>
      <c r="D159" s="5">
        <f>IF($E159="","",INDEX('Input Transaksi'!$F:$F,$E159))</f>
        <v/>
      </c>
      <c r="E159">
        <f>IFERROR(AGGREGATE(15,6,ROW('Input Transaksi'!$B$5:$B$5000)/('Input Transaksi'!$B$5:$B$5000="JCL SESETAN"),ROWS($E$5:E159)),"")</f>
        <v/>
      </c>
      <c r="F159" s="5" t="n"/>
    </row>
    <row r="160">
      <c r="A160" s="10">
        <f>IF($E160="","",INDEX('Input Transaksi'!$A:$A,$E160))</f>
        <v/>
      </c>
      <c r="B160" s="5">
        <f>IF($E160="","",INDEX('Input Transaksi'!$D:$D,$E160))</f>
        <v/>
      </c>
      <c r="C160">
        <f>IF($E160="","",INDEX('Input Transaksi'!$E:$E,$E160))</f>
        <v/>
      </c>
      <c r="D160" s="5">
        <f>IF($E160="","",INDEX('Input Transaksi'!$F:$F,$E160))</f>
        <v/>
      </c>
      <c r="E160">
        <f>IFERROR(AGGREGATE(15,6,ROW('Input Transaksi'!$B$5:$B$5000)/('Input Transaksi'!$B$5:$B$5000="JCL SESETAN"),ROWS($E$5:E160)),"")</f>
        <v/>
      </c>
      <c r="F160" s="5" t="n"/>
    </row>
    <row r="161">
      <c r="A161" s="10">
        <f>IF($E161="","",INDEX('Input Transaksi'!$A:$A,$E161))</f>
        <v/>
      </c>
      <c r="B161" s="5">
        <f>IF($E161="","",INDEX('Input Transaksi'!$D:$D,$E161))</f>
        <v/>
      </c>
      <c r="C161">
        <f>IF($E161="","",INDEX('Input Transaksi'!$E:$E,$E161))</f>
        <v/>
      </c>
      <c r="D161" s="5">
        <f>IF($E161="","",INDEX('Input Transaksi'!$F:$F,$E161))</f>
        <v/>
      </c>
      <c r="E161">
        <f>IFERROR(AGGREGATE(15,6,ROW('Input Transaksi'!$B$5:$B$5000)/('Input Transaksi'!$B$5:$B$5000="JCL SESETAN"),ROWS($E$5:E161)),"")</f>
        <v/>
      </c>
      <c r="F161" s="5" t="n"/>
    </row>
    <row r="162">
      <c r="A162" s="10">
        <f>IF($E162="","",INDEX('Input Transaksi'!$A:$A,$E162))</f>
        <v/>
      </c>
      <c r="B162" s="5">
        <f>IF($E162="","",INDEX('Input Transaksi'!$D:$D,$E162))</f>
        <v/>
      </c>
      <c r="C162">
        <f>IF($E162="","",INDEX('Input Transaksi'!$E:$E,$E162))</f>
        <v/>
      </c>
      <c r="D162" s="5">
        <f>IF($E162="","",INDEX('Input Transaksi'!$F:$F,$E162))</f>
        <v/>
      </c>
      <c r="E162">
        <f>IFERROR(AGGREGATE(15,6,ROW('Input Transaksi'!$B$5:$B$5000)/('Input Transaksi'!$B$5:$B$5000="JCL SESETAN"),ROWS($E$5:E162)),"")</f>
        <v/>
      </c>
      <c r="F162" s="5" t="n"/>
    </row>
    <row r="163">
      <c r="A163" s="10">
        <f>IF($E163="","",INDEX('Input Transaksi'!$A:$A,$E163))</f>
        <v/>
      </c>
      <c r="B163" s="5">
        <f>IF($E163="","",INDEX('Input Transaksi'!$D:$D,$E163))</f>
        <v/>
      </c>
      <c r="C163">
        <f>IF($E163="","",INDEX('Input Transaksi'!$E:$E,$E163))</f>
        <v/>
      </c>
      <c r="D163" s="5">
        <f>IF($E163="","",INDEX('Input Transaksi'!$F:$F,$E163))</f>
        <v/>
      </c>
      <c r="E163">
        <f>IFERROR(AGGREGATE(15,6,ROW('Input Transaksi'!$B$5:$B$5000)/('Input Transaksi'!$B$5:$B$5000="JCL SESETAN"),ROWS($E$5:E163)),"")</f>
        <v/>
      </c>
      <c r="F163" s="5" t="n"/>
    </row>
    <row r="164">
      <c r="A164" s="10">
        <f>IF($E164="","",INDEX('Input Transaksi'!$A:$A,$E164))</f>
        <v/>
      </c>
      <c r="B164" s="5">
        <f>IF($E164="","",INDEX('Input Transaksi'!$D:$D,$E164))</f>
        <v/>
      </c>
      <c r="C164">
        <f>IF($E164="","",INDEX('Input Transaksi'!$E:$E,$E164))</f>
        <v/>
      </c>
      <c r="D164" s="5">
        <f>IF($E164="","",INDEX('Input Transaksi'!$F:$F,$E164))</f>
        <v/>
      </c>
      <c r="E164">
        <f>IFERROR(AGGREGATE(15,6,ROW('Input Transaksi'!$B$5:$B$5000)/('Input Transaksi'!$B$5:$B$5000="JCL SESETAN"),ROWS($E$5:E164)),"")</f>
        <v/>
      </c>
      <c r="F164" s="5" t="n"/>
    </row>
    <row r="165">
      <c r="A165" s="10">
        <f>IF($E165="","",INDEX('Input Transaksi'!$A:$A,$E165))</f>
        <v/>
      </c>
      <c r="B165" s="5">
        <f>IF($E165="","",INDEX('Input Transaksi'!$D:$D,$E165))</f>
        <v/>
      </c>
      <c r="C165">
        <f>IF($E165="","",INDEX('Input Transaksi'!$E:$E,$E165))</f>
        <v/>
      </c>
      <c r="D165" s="5">
        <f>IF($E165="","",INDEX('Input Transaksi'!$F:$F,$E165))</f>
        <v/>
      </c>
      <c r="E165">
        <f>IFERROR(AGGREGATE(15,6,ROW('Input Transaksi'!$B$5:$B$5000)/('Input Transaksi'!$B$5:$B$5000="JCL SESETAN"),ROWS($E$5:E165)),"")</f>
        <v/>
      </c>
      <c r="F165" s="5" t="n"/>
    </row>
    <row r="166">
      <c r="A166" s="10">
        <f>IF($E166="","",INDEX('Input Transaksi'!$A:$A,$E166))</f>
        <v/>
      </c>
      <c r="B166" s="5">
        <f>IF($E166="","",INDEX('Input Transaksi'!$D:$D,$E166))</f>
        <v/>
      </c>
      <c r="C166">
        <f>IF($E166="","",INDEX('Input Transaksi'!$E:$E,$E166))</f>
        <v/>
      </c>
      <c r="D166" s="5">
        <f>IF($E166="","",INDEX('Input Transaksi'!$F:$F,$E166))</f>
        <v/>
      </c>
      <c r="E166">
        <f>IFERROR(AGGREGATE(15,6,ROW('Input Transaksi'!$B$5:$B$5000)/('Input Transaksi'!$B$5:$B$5000="JCL SESETAN"),ROWS($E$5:E166)),"")</f>
        <v/>
      </c>
      <c r="F166" s="5" t="n"/>
    </row>
    <row r="167">
      <c r="A167" s="10">
        <f>IF($E167="","",INDEX('Input Transaksi'!$A:$A,$E167))</f>
        <v/>
      </c>
      <c r="B167" s="5">
        <f>IF($E167="","",INDEX('Input Transaksi'!$D:$D,$E167))</f>
        <v/>
      </c>
      <c r="C167">
        <f>IF($E167="","",INDEX('Input Transaksi'!$E:$E,$E167))</f>
        <v/>
      </c>
      <c r="D167" s="5">
        <f>IF($E167="","",INDEX('Input Transaksi'!$F:$F,$E167))</f>
        <v/>
      </c>
      <c r="E167">
        <f>IFERROR(AGGREGATE(15,6,ROW('Input Transaksi'!$B$5:$B$5000)/('Input Transaksi'!$B$5:$B$5000="JCL SESETAN"),ROWS($E$5:E167)),"")</f>
        <v/>
      </c>
      <c r="F167" s="5" t="n"/>
    </row>
    <row r="168">
      <c r="A168" s="10">
        <f>IF($E168="","",INDEX('Input Transaksi'!$A:$A,$E168))</f>
        <v/>
      </c>
      <c r="B168" s="5">
        <f>IF($E168="","",INDEX('Input Transaksi'!$D:$D,$E168))</f>
        <v/>
      </c>
      <c r="C168">
        <f>IF($E168="","",INDEX('Input Transaksi'!$E:$E,$E168))</f>
        <v/>
      </c>
      <c r="D168" s="5">
        <f>IF($E168="","",INDEX('Input Transaksi'!$F:$F,$E168))</f>
        <v/>
      </c>
      <c r="E168">
        <f>IFERROR(AGGREGATE(15,6,ROW('Input Transaksi'!$B$5:$B$5000)/('Input Transaksi'!$B$5:$B$5000="JCL SESETAN"),ROWS($E$5:E168)),"")</f>
        <v/>
      </c>
      <c r="F168" s="5" t="n"/>
    </row>
    <row r="169">
      <c r="A169" s="10">
        <f>IF($E169="","",INDEX('Input Transaksi'!$A:$A,$E169))</f>
        <v/>
      </c>
      <c r="B169" s="5">
        <f>IF($E169="","",INDEX('Input Transaksi'!$D:$D,$E169))</f>
        <v/>
      </c>
      <c r="C169">
        <f>IF($E169="","",INDEX('Input Transaksi'!$E:$E,$E169))</f>
        <v/>
      </c>
      <c r="D169" s="5">
        <f>IF($E169="","",INDEX('Input Transaksi'!$F:$F,$E169))</f>
        <v/>
      </c>
      <c r="E169">
        <f>IFERROR(AGGREGATE(15,6,ROW('Input Transaksi'!$B$5:$B$5000)/('Input Transaksi'!$B$5:$B$5000="JCL SESETAN"),ROWS($E$5:E169)),"")</f>
        <v/>
      </c>
      <c r="F169" s="5" t="n"/>
    </row>
    <row r="170">
      <c r="A170" s="10">
        <f>IF($E170="","",INDEX('Input Transaksi'!$A:$A,$E170))</f>
        <v/>
      </c>
      <c r="B170" s="5">
        <f>IF($E170="","",INDEX('Input Transaksi'!$D:$D,$E170))</f>
        <v/>
      </c>
      <c r="C170">
        <f>IF($E170="","",INDEX('Input Transaksi'!$E:$E,$E170))</f>
        <v/>
      </c>
      <c r="D170" s="5">
        <f>IF($E170="","",INDEX('Input Transaksi'!$F:$F,$E170))</f>
        <v/>
      </c>
      <c r="E170">
        <f>IFERROR(AGGREGATE(15,6,ROW('Input Transaksi'!$B$5:$B$5000)/('Input Transaksi'!$B$5:$B$5000="JCL SESETAN"),ROWS($E$5:E170)),"")</f>
        <v/>
      </c>
      <c r="F170" s="5" t="n"/>
    </row>
    <row r="171">
      <c r="A171" s="10">
        <f>IF($E171="","",INDEX('Input Transaksi'!$A:$A,$E171))</f>
        <v/>
      </c>
      <c r="B171" s="5">
        <f>IF($E171="","",INDEX('Input Transaksi'!$D:$D,$E171))</f>
        <v/>
      </c>
      <c r="C171">
        <f>IF($E171="","",INDEX('Input Transaksi'!$E:$E,$E171))</f>
        <v/>
      </c>
      <c r="D171" s="5">
        <f>IF($E171="","",INDEX('Input Transaksi'!$F:$F,$E171))</f>
        <v/>
      </c>
      <c r="E171">
        <f>IFERROR(AGGREGATE(15,6,ROW('Input Transaksi'!$B$5:$B$5000)/('Input Transaksi'!$B$5:$B$5000="JCL SESETAN"),ROWS($E$5:E171)),"")</f>
        <v/>
      </c>
      <c r="F171" s="5" t="n"/>
    </row>
    <row r="172">
      <c r="A172" s="10">
        <f>IF($E172="","",INDEX('Input Transaksi'!$A:$A,$E172))</f>
        <v/>
      </c>
      <c r="B172" s="5">
        <f>IF($E172="","",INDEX('Input Transaksi'!$D:$D,$E172))</f>
        <v/>
      </c>
      <c r="C172">
        <f>IF($E172="","",INDEX('Input Transaksi'!$E:$E,$E172))</f>
        <v/>
      </c>
      <c r="D172" s="5">
        <f>IF($E172="","",INDEX('Input Transaksi'!$F:$F,$E172))</f>
        <v/>
      </c>
      <c r="E172">
        <f>IFERROR(AGGREGATE(15,6,ROW('Input Transaksi'!$B$5:$B$5000)/('Input Transaksi'!$B$5:$B$5000="JCL SESETAN"),ROWS($E$5:E172)),"")</f>
        <v/>
      </c>
      <c r="F172" s="5" t="n"/>
    </row>
    <row r="173">
      <c r="A173" s="10">
        <f>IF($E173="","",INDEX('Input Transaksi'!$A:$A,$E173))</f>
        <v/>
      </c>
      <c r="B173" s="5">
        <f>IF($E173="","",INDEX('Input Transaksi'!$D:$D,$E173))</f>
        <v/>
      </c>
      <c r="C173">
        <f>IF($E173="","",INDEX('Input Transaksi'!$E:$E,$E173))</f>
        <v/>
      </c>
      <c r="D173" s="5">
        <f>IF($E173="","",INDEX('Input Transaksi'!$F:$F,$E173))</f>
        <v/>
      </c>
      <c r="E173">
        <f>IFERROR(AGGREGATE(15,6,ROW('Input Transaksi'!$B$5:$B$5000)/('Input Transaksi'!$B$5:$B$5000="JCL SESETAN"),ROWS($E$5:E173)),"")</f>
        <v/>
      </c>
      <c r="F173" s="5" t="n"/>
    </row>
    <row r="174">
      <c r="A174" s="10">
        <f>IF($E174="","",INDEX('Input Transaksi'!$A:$A,$E174))</f>
        <v/>
      </c>
      <c r="B174" s="5">
        <f>IF($E174="","",INDEX('Input Transaksi'!$D:$D,$E174))</f>
        <v/>
      </c>
      <c r="C174">
        <f>IF($E174="","",INDEX('Input Transaksi'!$E:$E,$E174))</f>
        <v/>
      </c>
      <c r="D174" s="5">
        <f>IF($E174="","",INDEX('Input Transaksi'!$F:$F,$E174))</f>
        <v/>
      </c>
      <c r="E174">
        <f>IFERROR(AGGREGATE(15,6,ROW('Input Transaksi'!$B$5:$B$5000)/('Input Transaksi'!$B$5:$B$5000="JCL SESETAN"),ROWS($E$5:E174)),"")</f>
        <v/>
      </c>
      <c r="F174" s="5" t="n"/>
    </row>
    <row r="175">
      <c r="A175" s="10">
        <f>IF($E175="","",INDEX('Input Transaksi'!$A:$A,$E175))</f>
        <v/>
      </c>
      <c r="B175" s="5">
        <f>IF($E175="","",INDEX('Input Transaksi'!$D:$D,$E175))</f>
        <v/>
      </c>
      <c r="C175">
        <f>IF($E175="","",INDEX('Input Transaksi'!$E:$E,$E175))</f>
        <v/>
      </c>
      <c r="D175" s="5">
        <f>IF($E175="","",INDEX('Input Transaksi'!$F:$F,$E175))</f>
        <v/>
      </c>
      <c r="E175">
        <f>IFERROR(AGGREGATE(15,6,ROW('Input Transaksi'!$B$5:$B$5000)/('Input Transaksi'!$B$5:$B$5000="JCL SESETAN"),ROWS($E$5:E175)),"")</f>
        <v/>
      </c>
      <c r="F175" s="5" t="n"/>
    </row>
    <row r="176">
      <c r="A176" s="10">
        <f>IF($E176="","",INDEX('Input Transaksi'!$A:$A,$E176))</f>
        <v/>
      </c>
      <c r="B176" s="5">
        <f>IF($E176="","",INDEX('Input Transaksi'!$D:$D,$E176))</f>
        <v/>
      </c>
      <c r="C176">
        <f>IF($E176="","",INDEX('Input Transaksi'!$E:$E,$E176))</f>
        <v/>
      </c>
      <c r="D176" s="5">
        <f>IF($E176="","",INDEX('Input Transaksi'!$F:$F,$E176))</f>
        <v/>
      </c>
      <c r="E176">
        <f>IFERROR(AGGREGATE(15,6,ROW('Input Transaksi'!$B$5:$B$5000)/('Input Transaksi'!$B$5:$B$5000="JCL SESETAN"),ROWS($E$5:E176)),"")</f>
        <v/>
      </c>
      <c r="F176" s="5" t="n"/>
    </row>
    <row r="177">
      <c r="A177" s="10">
        <f>IF($E177="","",INDEX('Input Transaksi'!$A:$A,$E177))</f>
        <v/>
      </c>
      <c r="B177" s="5">
        <f>IF($E177="","",INDEX('Input Transaksi'!$D:$D,$E177))</f>
        <v/>
      </c>
      <c r="C177">
        <f>IF($E177="","",INDEX('Input Transaksi'!$E:$E,$E177))</f>
        <v/>
      </c>
      <c r="D177" s="5">
        <f>IF($E177="","",INDEX('Input Transaksi'!$F:$F,$E177))</f>
        <v/>
      </c>
      <c r="E177">
        <f>IFERROR(AGGREGATE(15,6,ROW('Input Transaksi'!$B$5:$B$5000)/('Input Transaksi'!$B$5:$B$5000="JCL SESETAN"),ROWS($E$5:E177)),"")</f>
        <v/>
      </c>
      <c r="F177" s="5" t="n"/>
    </row>
    <row r="178">
      <c r="A178" s="10">
        <f>IF($E178="","",INDEX('Input Transaksi'!$A:$A,$E178))</f>
        <v/>
      </c>
      <c r="B178" s="5">
        <f>IF($E178="","",INDEX('Input Transaksi'!$D:$D,$E178))</f>
        <v/>
      </c>
      <c r="C178">
        <f>IF($E178="","",INDEX('Input Transaksi'!$E:$E,$E178))</f>
        <v/>
      </c>
      <c r="D178" s="5">
        <f>IF($E178="","",INDEX('Input Transaksi'!$F:$F,$E178))</f>
        <v/>
      </c>
      <c r="E178">
        <f>IFERROR(AGGREGATE(15,6,ROW('Input Transaksi'!$B$5:$B$5000)/('Input Transaksi'!$B$5:$B$5000="JCL SESETAN"),ROWS($E$5:E178)),"")</f>
        <v/>
      </c>
      <c r="F178" s="5" t="n"/>
    </row>
    <row r="179">
      <c r="A179" s="10">
        <f>IF($E179="","",INDEX('Input Transaksi'!$A:$A,$E179))</f>
        <v/>
      </c>
      <c r="B179" s="5">
        <f>IF($E179="","",INDEX('Input Transaksi'!$D:$D,$E179))</f>
        <v/>
      </c>
      <c r="C179">
        <f>IF($E179="","",INDEX('Input Transaksi'!$E:$E,$E179))</f>
        <v/>
      </c>
      <c r="D179" s="5">
        <f>IF($E179="","",INDEX('Input Transaksi'!$F:$F,$E179))</f>
        <v/>
      </c>
      <c r="E179">
        <f>IFERROR(AGGREGATE(15,6,ROW('Input Transaksi'!$B$5:$B$5000)/('Input Transaksi'!$B$5:$B$5000="JCL SESETAN"),ROWS($E$5:E179)),"")</f>
        <v/>
      </c>
      <c r="F179" s="5" t="n"/>
    </row>
    <row r="180">
      <c r="A180" s="10">
        <f>IF($E180="","",INDEX('Input Transaksi'!$A:$A,$E180))</f>
        <v/>
      </c>
      <c r="B180" s="5">
        <f>IF($E180="","",INDEX('Input Transaksi'!$D:$D,$E180))</f>
        <v/>
      </c>
      <c r="C180">
        <f>IF($E180="","",INDEX('Input Transaksi'!$E:$E,$E180))</f>
        <v/>
      </c>
      <c r="D180" s="5">
        <f>IF($E180="","",INDEX('Input Transaksi'!$F:$F,$E180))</f>
        <v/>
      </c>
      <c r="E180">
        <f>IFERROR(AGGREGATE(15,6,ROW('Input Transaksi'!$B$5:$B$5000)/('Input Transaksi'!$B$5:$B$5000="JCL SESETAN"),ROWS($E$5:E180)),"")</f>
        <v/>
      </c>
      <c r="F180" s="5" t="n"/>
    </row>
    <row r="181">
      <c r="A181" s="10">
        <f>IF($E181="","",INDEX('Input Transaksi'!$A:$A,$E181))</f>
        <v/>
      </c>
      <c r="B181" s="5">
        <f>IF($E181="","",INDEX('Input Transaksi'!$D:$D,$E181))</f>
        <v/>
      </c>
      <c r="C181">
        <f>IF($E181="","",INDEX('Input Transaksi'!$E:$E,$E181))</f>
        <v/>
      </c>
      <c r="D181" s="5">
        <f>IF($E181="","",INDEX('Input Transaksi'!$F:$F,$E181))</f>
        <v/>
      </c>
      <c r="E181">
        <f>IFERROR(AGGREGATE(15,6,ROW('Input Transaksi'!$B$5:$B$5000)/('Input Transaksi'!$B$5:$B$5000="JCL SESETAN"),ROWS($E$5:E181)),"")</f>
        <v/>
      </c>
      <c r="F181" s="5" t="n"/>
    </row>
    <row r="182">
      <c r="A182" s="10">
        <f>IF($E182="","",INDEX('Input Transaksi'!$A:$A,$E182))</f>
        <v/>
      </c>
      <c r="B182" s="5">
        <f>IF($E182="","",INDEX('Input Transaksi'!$D:$D,$E182))</f>
        <v/>
      </c>
      <c r="C182">
        <f>IF($E182="","",INDEX('Input Transaksi'!$E:$E,$E182))</f>
        <v/>
      </c>
      <c r="D182" s="5">
        <f>IF($E182="","",INDEX('Input Transaksi'!$F:$F,$E182))</f>
        <v/>
      </c>
      <c r="E182">
        <f>IFERROR(AGGREGATE(15,6,ROW('Input Transaksi'!$B$5:$B$5000)/('Input Transaksi'!$B$5:$B$5000="JCL SESETAN"),ROWS($E$5:E182)),"")</f>
        <v/>
      </c>
      <c r="F182" s="5" t="n"/>
    </row>
    <row r="183">
      <c r="A183" s="10">
        <f>IF($E183="","",INDEX('Input Transaksi'!$A:$A,$E183))</f>
        <v/>
      </c>
      <c r="B183" s="5">
        <f>IF($E183="","",INDEX('Input Transaksi'!$D:$D,$E183))</f>
        <v/>
      </c>
      <c r="C183">
        <f>IF($E183="","",INDEX('Input Transaksi'!$E:$E,$E183))</f>
        <v/>
      </c>
      <c r="D183" s="5">
        <f>IF($E183="","",INDEX('Input Transaksi'!$F:$F,$E183))</f>
        <v/>
      </c>
      <c r="E183">
        <f>IFERROR(AGGREGATE(15,6,ROW('Input Transaksi'!$B$5:$B$5000)/('Input Transaksi'!$B$5:$B$5000="JCL SESETAN"),ROWS($E$5:E183)),"")</f>
        <v/>
      </c>
      <c r="F183" s="5" t="n"/>
    </row>
    <row r="184">
      <c r="A184" s="10">
        <f>IF($E184="","",INDEX('Input Transaksi'!$A:$A,$E184))</f>
        <v/>
      </c>
      <c r="B184" s="5">
        <f>IF($E184="","",INDEX('Input Transaksi'!$D:$D,$E184))</f>
        <v/>
      </c>
      <c r="C184">
        <f>IF($E184="","",INDEX('Input Transaksi'!$E:$E,$E184))</f>
        <v/>
      </c>
      <c r="D184" s="5">
        <f>IF($E184="","",INDEX('Input Transaksi'!$F:$F,$E184))</f>
        <v/>
      </c>
      <c r="E184">
        <f>IFERROR(AGGREGATE(15,6,ROW('Input Transaksi'!$B$5:$B$5000)/('Input Transaksi'!$B$5:$B$5000="JCL SESETAN"),ROWS($E$5:E184)),"")</f>
        <v/>
      </c>
      <c r="F184" s="5" t="n"/>
    </row>
    <row r="185">
      <c r="A185" s="10">
        <f>IF($E185="","",INDEX('Input Transaksi'!$A:$A,$E185))</f>
        <v/>
      </c>
      <c r="B185" s="5">
        <f>IF($E185="","",INDEX('Input Transaksi'!$D:$D,$E185))</f>
        <v/>
      </c>
      <c r="C185">
        <f>IF($E185="","",INDEX('Input Transaksi'!$E:$E,$E185))</f>
        <v/>
      </c>
      <c r="D185" s="5">
        <f>IF($E185="","",INDEX('Input Transaksi'!$F:$F,$E185))</f>
        <v/>
      </c>
      <c r="E185">
        <f>IFERROR(AGGREGATE(15,6,ROW('Input Transaksi'!$B$5:$B$5000)/('Input Transaksi'!$B$5:$B$5000="JCL SESETAN"),ROWS($E$5:E185)),"")</f>
        <v/>
      </c>
      <c r="F185" s="5" t="n"/>
    </row>
    <row r="186">
      <c r="A186" s="10">
        <f>IF($E186="","",INDEX('Input Transaksi'!$A:$A,$E186))</f>
        <v/>
      </c>
      <c r="B186" s="5">
        <f>IF($E186="","",INDEX('Input Transaksi'!$D:$D,$E186))</f>
        <v/>
      </c>
      <c r="C186">
        <f>IF($E186="","",INDEX('Input Transaksi'!$E:$E,$E186))</f>
        <v/>
      </c>
      <c r="D186" s="5">
        <f>IF($E186="","",INDEX('Input Transaksi'!$F:$F,$E186))</f>
        <v/>
      </c>
      <c r="E186">
        <f>IFERROR(AGGREGATE(15,6,ROW('Input Transaksi'!$B$5:$B$5000)/('Input Transaksi'!$B$5:$B$5000="JCL SESETAN"),ROWS($E$5:E186)),"")</f>
        <v/>
      </c>
      <c r="F186" s="5" t="n"/>
    </row>
    <row r="187">
      <c r="A187" s="10">
        <f>IF($E187="","",INDEX('Input Transaksi'!$A:$A,$E187))</f>
        <v/>
      </c>
      <c r="B187" s="5">
        <f>IF($E187="","",INDEX('Input Transaksi'!$D:$D,$E187))</f>
        <v/>
      </c>
      <c r="C187">
        <f>IF($E187="","",INDEX('Input Transaksi'!$E:$E,$E187))</f>
        <v/>
      </c>
      <c r="D187" s="5">
        <f>IF($E187="","",INDEX('Input Transaksi'!$F:$F,$E187))</f>
        <v/>
      </c>
      <c r="E187">
        <f>IFERROR(AGGREGATE(15,6,ROW('Input Transaksi'!$B$5:$B$5000)/('Input Transaksi'!$B$5:$B$5000="JCL SESETAN"),ROWS($E$5:E187)),"")</f>
        <v/>
      </c>
      <c r="F187" s="5" t="n"/>
    </row>
    <row r="188">
      <c r="A188" s="10">
        <f>IF($E188="","",INDEX('Input Transaksi'!$A:$A,$E188))</f>
        <v/>
      </c>
      <c r="B188" s="5">
        <f>IF($E188="","",INDEX('Input Transaksi'!$D:$D,$E188))</f>
        <v/>
      </c>
      <c r="C188">
        <f>IF($E188="","",INDEX('Input Transaksi'!$E:$E,$E188))</f>
        <v/>
      </c>
      <c r="D188" s="5">
        <f>IF($E188="","",INDEX('Input Transaksi'!$F:$F,$E188))</f>
        <v/>
      </c>
      <c r="E188">
        <f>IFERROR(AGGREGATE(15,6,ROW('Input Transaksi'!$B$5:$B$5000)/('Input Transaksi'!$B$5:$B$5000="JCL SESETAN"),ROWS($E$5:E188)),"")</f>
        <v/>
      </c>
      <c r="F188" s="5" t="n"/>
    </row>
    <row r="189">
      <c r="A189" s="10">
        <f>IF($E189="","",INDEX('Input Transaksi'!$A:$A,$E189))</f>
        <v/>
      </c>
      <c r="B189" s="5">
        <f>IF($E189="","",INDEX('Input Transaksi'!$D:$D,$E189))</f>
        <v/>
      </c>
      <c r="C189">
        <f>IF($E189="","",INDEX('Input Transaksi'!$E:$E,$E189))</f>
        <v/>
      </c>
      <c r="D189" s="5">
        <f>IF($E189="","",INDEX('Input Transaksi'!$F:$F,$E189))</f>
        <v/>
      </c>
      <c r="E189">
        <f>IFERROR(AGGREGATE(15,6,ROW('Input Transaksi'!$B$5:$B$5000)/('Input Transaksi'!$B$5:$B$5000="JCL SESETAN"),ROWS($E$5:E189)),"")</f>
        <v/>
      </c>
      <c r="F189" s="5" t="n"/>
    </row>
    <row r="190">
      <c r="A190" s="10">
        <f>IF($E190="","",INDEX('Input Transaksi'!$A:$A,$E190))</f>
        <v/>
      </c>
      <c r="B190" s="5">
        <f>IF($E190="","",INDEX('Input Transaksi'!$D:$D,$E190))</f>
        <v/>
      </c>
      <c r="C190">
        <f>IF($E190="","",INDEX('Input Transaksi'!$E:$E,$E190))</f>
        <v/>
      </c>
      <c r="D190" s="5">
        <f>IF($E190="","",INDEX('Input Transaksi'!$F:$F,$E190))</f>
        <v/>
      </c>
      <c r="E190">
        <f>IFERROR(AGGREGATE(15,6,ROW('Input Transaksi'!$B$5:$B$5000)/('Input Transaksi'!$B$5:$B$5000="JCL SESETAN"),ROWS($E$5:E190)),"")</f>
        <v/>
      </c>
      <c r="F190" s="5" t="n"/>
    </row>
    <row r="191">
      <c r="A191" s="10">
        <f>IF($E191="","",INDEX('Input Transaksi'!$A:$A,$E191))</f>
        <v/>
      </c>
      <c r="B191" s="5">
        <f>IF($E191="","",INDEX('Input Transaksi'!$D:$D,$E191))</f>
        <v/>
      </c>
      <c r="C191">
        <f>IF($E191="","",INDEX('Input Transaksi'!$E:$E,$E191))</f>
        <v/>
      </c>
      <c r="D191" s="5">
        <f>IF($E191="","",INDEX('Input Transaksi'!$F:$F,$E191))</f>
        <v/>
      </c>
      <c r="E191">
        <f>IFERROR(AGGREGATE(15,6,ROW('Input Transaksi'!$B$5:$B$5000)/('Input Transaksi'!$B$5:$B$5000="JCL SESETAN"),ROWS($E$5:E191)),"")</f>
        <v/>
      </c>
      <c r="F191" s="5" t="n"/>
    </row>
    <row r="192">
      <c r="A192" s="10">
        <f>IF($E192="","",INDEX('Input Transaksi'!$A:$A,$E192))</f>
        <v/>
      </c>
      <c r="B192" s="5">
        <f>IF($E192="","",INDEX('Input Transaksi'!$D:$D,$E192))</f>
        <v/>
      </c>
      <c r="C192">
        <f>IF($E192="","",INDEX('Input Transaksi'!$E:$E,$E192))</f>
        <v/>
      </c>
      <c r="D192" s="5">
        <f>IF($E192="","",INDEX('Input Transaksi'!$F:$F,$E192))</f>
        <v/>
      </c>
      <c r="E192">
        <f>IFERROR(AGGREGATE(15,6,ROW('Input Transaksi'!$B$5:$B$5000)/('Input Transaksi'!$B$5:$B$5000="JCL SESETAN"),ROWS($E$5:E192)),"")</f>
        <v/>
      </c>
      <c r="F192" s="5" t="n"/>
    </row>
    <row r="193">
      <c r="A193" s="10">
        <f>IF($E193="","",INDEX('Input Transaksi'!$A:$A,$E193))</f>
        <v/>
      </c>
      <c r="B193" s="5">
        <f>IF($E193="","",INDEX('Input Transaksi'!$D:$D,$E193))</f>
        <v/>
      </c>
      <c r="C193">
        <f>IF($E193="","",INDEX('Input Transaksi'!$E:$E,$E193))</f>
        <v/>
      </c>
      <c r="D193" s="5">
        <f>IF($E193="","",INDEX('Input Transaksi'!$F:$F,$E193))</f>
        <v/>
      </c>
      <c r="E193">
        <f>IFERROR(AGGREGATE(15,6,ROW('Input Transaksi'!$B$5:$B$5000)/('Input Transaksi'!$B$5:$B$5000="JCL SESETAN"),ROWS($E$5:E193)),"")</f>
        <v/>
      </c>
      <c r="F193" s="5" t="n"/>
    </row>
    <row r="194">
      <c r="A194" s="10">
        <f>IF($E194="","",INDEX('Input Transaksi'!$A:$A,$E194))</f>
        <v/>
      </c>
      <c r="B194" s="5">
        <f>IF($E194="","",INDEX('Input Transaksi'!$D:$D,$E194))</f>
        <v/>
      </c>
      <c r="C194">
        <f>IF($E194="","",INDEX('Input Transaksi'!$E:$E,$E194))</f>
        <v/>
      </c>
      <c r="D194" s="5">
        <f>IF($E194="","",INDEX('Input Transaksi'!$F:$F,$E194))</f>
        <v/>
      </c>
      <c r="E194">
        <f>IFERROR(AGGREGATE(15,6,ROW('Input Transaksi'!$B$5:$B$5000)/('Input Transaksi'!$B$5:$B$5000="JCL SESETAN"),ROWS($E$5:E194)),"")</f>
        <v/>
      </c>
      <c r="F194" s="5" t="n"/>
    </row>
    <row r="195">
      <c r="A195" s="10">
        <f>IF($E195="","",INDEX('Input Transaksi'!$A:$A,$E195))</f>
        <v/>
      </c>
      <c r="B195" s="5">
        <f>IF($E195="","",INDEX('Input Transaksi'!$D:$D,$E195))</f>
        <v/>
      </c>
      <c r="C195">
        <f>IF($E195="","",INDEX('Input Transaksi'!$E:$E,$E195))</f>
        <v/>
      </c>
      <c r="D195" s="5">
        <f>IF($E195="","",INDEX('Input Transaksi'!$F:$F,$E195))</f>
        <v/>
      </c>
      <c r="E195">
        <f>IFERROR(AGGREGATE(15,6,ROW('Input Transaksi'!$B$5:$B$5000)/('Input Transaksi'!$B$5:$B$5000="JCL SESETAN"),ROWS($E$5:E195)),"")</f>
        <v/>
      </c>
      <c r="F195" s="5" t="n"/>
    </row>
    <row r="196">
      <c r="A196" s="10">
        <f>IF($E196="","",INDEX('Input Transaksi'!$A:$A,$E196))</f>
        <v/>
      </c>
      <c r="B196" s="5">
        <f>IF($E196="","",INDEX('Input Transaksi'!$D:$D,$E196))</f>
        <v/>
      </c>
      <c r="C196">
        <f>IF($E196="","",INDEX('Input Transaksi'!$E:$E,$E196))</f>
        <v/>
      </c>
      <c r="D196" s="5">
        <f>IF($E196="","",INDEX('Input Transaksi'!$F:$F,$E196))</f>
        <v/>
      </c>
      <c r="E196">
        <f>IFERROR(AGGREGATE(15,6,ROW('Input Transaksi'!$B$5:$B$5000)/('Input Transaksi'!$B$5:$B$5000="JCL SESETAN"),ROWS($E$5:E196)),"")</f>
        <v/>
      </c>
      <c r="F196" s="5" t="n"/>
    </row>
    <row r="197">
      <c r="A197" s="10">
        <f>IF($E197="","",INDEX('Input Transaksi'!$A:$A,$E197))</f>
        <v/>
      </c>
      <c r="B197" s="5">
        <f>IF($E197="","",INDEX('Input Transaksi'!$D:$D,$E197))</f>
        <v/>
      </c>
      <c r="C197">
        <f>IF($E197="","",INDEX('Input Transaksi'!$E:$E,$E197))</f>
        <v/>
      </c>
      <c r="D197" s="5">
        <f>IF($E197="","",INDEX('Input Transaksi'!$F:$F,$E197))</f>
        <v/>
      </c>
      <c r="E197">
        <f>IFERROR(AGGREGATE(15,6,ROW('Input Transaksi'!$B$5:$B$5000)/('Input Transaksi'!$B$5:$B$5000="JCL SESETAN"),ROWS($E$5:E197)),"")</f>
        <v/>
      </c>
      <c r="F197" s="5" t="n"/>
    </row>
    <row r="198">
      <c r="A198" s="10">
        <f>IF($E198="","",INDEX('Input Transaksi'!$A:$A,$E198))</f>
        <v/>
      </c>
      <c r="B198" s="5">
        <f>IF($E198="","",INDEX('Input Transaksi'!$D:$D,$E198))</f>
        <v/>
      </c>
      <c r="C198">
        <f>IF($E198="","",INDEX('Input Transaksi'!$E:$E,$E198))</f>
        <v/>
      </c>
      <c r="D198" s="5">
        <f>IF($E198="","",INDEX('Input Transaksi'!$F:$F,$E198))</f>
        <v/>
      </c>
      <c r="E198">
        <f>IFERROR(AGGREGATE(15,6,ROW('Input Transaksi'!$B$5:$B$5000)/('Input Transaksi'!$B$5:$B$5000="JCL SESETAN"),ROWS($E$5:E198)),"")</f>
        <v/>
      </c>
      <c r="F198" s="5" t="n"/>
    </row>
    <row r="199">
      <c r="A199" s="10">
        <f>IF($E199="","",INDEX('Input Transaksi'!$A:$A,$E199))</f>
        <v/>
      </c>
      <c r="B199" s="5">
        <f>IF($E199="","",INDEX('Input Transaksi'!$D:$D,$E199))</f>
        <v/>
      </c>
      <c r="C199">
        <f>IF($E199="","",INDEX('Input Transaksi'!$E:$E,$E199))</f>
        <v/>
      </c>
      <c r="D199" s="5">
        <f>IF($E199="","",INDEX('Input Transaksi'!$F:$F,$E199))</f>
        <v/>
      </c>
      <c r="E199">
        <f>IFERROR(AGGREGATE(15,6,ROW('Input Transaksi'!$B$5:$B$5000)/('Input Transaksi'!$B$5:$B$5000="JCL SESETAN"),ROWS($E$5:E199)),"")</f>
        <v/>
      </c>
      <c r="F199" s="5" t="n"/>
    </row>
    <row r="200">
      <c r="A200" s="10">
        <f>IF($E200="","",INDEX('Input Transaksi'!$A:$A,$E200))</f>
        <v/>
      </c>
      <c r="B200" s="5">
        <f>IF($E200="","",INDEX('Input Transaksi'!$D:$D,$E200))</f>
        <v/>
      </c>
      <c r="C200">
        <f>IF($E200="","",INDEX('Input Transaksi'!$E:$E,$E200))</f>
        <v/>
      </c>
      <c r="D200" s="5">
        <f>IF($E200="","",INDEX('Input Transaksi'!$F:$F,$E200))</f>
        <v/>
      </c>
      <c r="E200">
        <f>IFERROR(AGGREGATE(15,6,ROW('Input Transaksi'!$B$5:$B$5000)/('Input Transaksi'!$B$5:$B$5000="JCL SESETAN"),ROWS($E$5:E200)),"")</f>
        <v/>
      </c>
      <c r="F200" s="5" t="n"/>
    </row>
    <row r="201">
      <c r="A201" s="10">
        <f>IF($E201="","",INDEX('Input Transaksi'!$A:$A,$E201))</f>
        <v/>
      </c>
      <c r="B201" s="5">
        <f>IF($E201="","",INDEX('Input Transaksi'!$D:$D,$E201))</f>
        <v/>
      </c>
      <c r="C201">
        <f>IF($E201="","",INDEX('Input Transaksi'!$E:$E,$E201))</f>
        <v/>
      </c>
      <c r="D201" s="5">
        <f>IF($E201="","",INDEX('Input Transaksi'!$F:$F,$E201))</f>
        <v/>
      </c>
      <c r="E201">
        <f>IFERROR(AGGREGATE(15,6,ROW('Input Transaksi'!$B$5:$B$5000)/('Input Transaksi'!$B$5:$B$5000="JCL SESETAN"),ROWS($E$5:E201)),"")</f>
        <v/>
      </c>
      <c r="F201" s="5" t="n"/>
    </row>
    <row r="202">
      <c r="A202" s="10">
        <f>IF($E202="","",INDEX('Input Transaksi'!$A:$A,$E202))</f>
        <v/>
      </c>
      <c r="B202" s="5">
        <f>IF($E202="","",INDEX('Input Transaksi'!$D:$D,$E202))</f>
        <v/>
      </c>
      <c r="C202">
        <f>IF($E202="","",INDEX('Input Transaksi'!$E:$E,$E202))</f>
        <v/>
      </c>
      <c r="D202" s="5">
        <f>IF($E202="","",INDEX('Input Transaksi'!$F:$F,$E202))</f>
        <v/>
      </c>
      <c r="E202">
        <f>IFERROR(AGGREGATE(15,6,ROW('Input Transaksi'!$B$5:$B$5000)/('Input Transaksi'!$B$5:$B$5000="JCL SESETAN"),ROWS($E$5:E202)),"")</f>
        <v/>
      </c>
      <c r="F202" s="5" t="n"/>
    </row>
    <row r="203">
      <c r="A203" s="10">
        <f>IF($E203="","",INDEX('Input Transaksi'!$A:$A,$E203))</f>
        <v/>
      </c>
      <c r="B203" s="5">
        <f>IF($E203="","",INDEX('Input Transaksi'!$D:$D,$E203))</f>
        <v/>
      </c>
      <c r="C203">
        <f>IF($E203="","",INDEX('Input Transaksi'!$E:$E,$E203))</f>
        <v/>
      </c>
      <c r="D203" s="5">
        <f>IF($E203="","",INDEX('Input Transaksi'!$F:$F,$E203))</f>
        <v/>
      </c>
      <c r="E203">
        <f>IFERROR(AGGREGATE(15,6,ROW('Input Transaksi'!$B$5:$B$5000)/('Input Transaksi'!$B$5:$B$5000="JCL SESETAN"),ROWS($E$5:E203)),"")</f>
        <v/>
      </c>
      <c r="F203" s="5" t="n"/>
    </row>
    <row r="204">
      <c r="A204" s="10">
        <f>IF($E204="","",INDEX('Input Transaksi'!$A:$A,$E204))</f>
        <v/>
      </c>
      <c r="B204" s="5">
        <f>IF($E204="","",INDEX('Input Transaksi'!$D:$D,$E204))</f>
        <v/>
      </c>
      <c r="C204">
        <f>IF($E204="","",INDEX('Input Transaksi'!$E:$E,$E204))</f>
        <v/>
      </c>
      <c r="D204" s="5">
        <f>IF($E204="","",INDEX('Input Transaksi'!$F:$F,$E204))</f>
        <v/>
      </c>
      <c r="E204">
        <f>IFERROR(AGGREGATE(15,6,ROW('Input Transaksi'!$B$5:$B$5000)/('Input Transaksi'!$B$5:$B$5000="JCL SESETAN"),ROWS($E$5:E204)),"")</f>
        <v/>
      </c>
      <c r="F204" s="5" t="n"/>
    </row>
    <row r="205">
      <c r="A205" s="10">
        <f>IF($E205="","",INDEX('Input Transaksi'!$A:$A,$E205))</f>
        <v/>
      </c>
      <c r="B205" s="5">
        <f>IF($E205="","",INDEX('Input Transaksi'!$D:$D,$E205))</f>
        <v/>
      </c>
      <c r="C205">
        <f>IF($E205="","",INDEX('Input Transaksi'!$E:$E,$E205))</f>
        <v/>
      </c>
      <c r="D205" s="5">
        <f>IF($E205="","",INDEX('Input Transaksi'!$F:$F,$E205))</f>
        <v/>
      </c>
      <c r="E205">
        <f>IFERROR(AGGREGATE(15,6,ROW('Input Transaksi'!$B$5:$B$5000)/('Input Transaksi'!$B$5:$B$5000="JCL SESETAN"),ROWS($E$5:E205)),"")</f>
        <v/>
      </c>
      <c r="F205" s="5" t="n"/>
    </row>
    <row r="206">
      <c r="A206" s="10">
        <f>IF($E206="","",INDEX('Input Transaksi'!$A:$A,$E206))</f>
        <v/>
      </c>
      <c r="B206" s="5">
        <f>IF($E206="","",INDEX('Input Transaksi'!$D:$D,$E206))</f>
        <v/>
      </c>
      <c r="C206">
        <f>IF($E206="","",INDEX('Input Transaksi'!$E:$E,$E206))</f>
        <v/>
      </c>
      <c r="D206" s="5">
        <f>IF($E206="","",INDEX('Input Transaksi'!$F:$F,$E206))</f>
        <v/>
      </c>
      <c r="E206">
        <f>IFERROR(AGGREGATE(15,6,ROW('Input Transaksi'!$B$5:$B$5000)/('Input Transaksi'!$B$5:$B$5000="JCL SESETAN"),ROWS($E$5:E206)),"")</f>
        <v/>
      </c>
      <c r="F206" s="5" t="n"/>
    </row>
    <row r="207">
      <c r="A207" s="10">
        <f>IF($E207="","",INDEX('Input Transaksi'!$A:$A,$E207))</f>
        <v/>
      </c>
      <c r="B207" s="5">
        <f>IF($E207="","",INDEX('Input Transaksi'!$D:$D,$E207))</f>
        <v/>
      </c>
      <c r="C207">
        <f>IF($E207="","",INDEX('Input Transaksi'!$E:$E,$E207))</f>
        <v/>
      </c>
      <c r="D207" s="5">
        <f>IF($E207="","",INDEX('Input Transaksi'!$F:$F,$E207))</f>
        <v/>
      </c>
      <c r="E207">
        <f>IFERROR(AGGREGATE(15,6,ROW('Input Transaksi'!$B$5:$B$5000)/('Input Transaksi'!$B$5:$B$5000="JCL SESETAN"),ROWS($E$5:E207)),"")</f>
        <v/>
      </c>
      <c r="F207" s="5" t="n"/>
    </row>
    <row r="208">
      <c r="A208" s="10">
        <f>IF($E208="","",INDEX('Input Transaksi'!$A:$A,$E208))</f>
        <v/>
      </c>
      <c r="B208" s="5">
        <f>IF($E208="","",INDEX('Input Transaksi'!$D:$D,$E208))</f>
        <v/>
      </c>
      <c r="C208">
        <f>IF($E208="","",INDEX('Input Transaksi'!$E:$E,$E208))</f>
        <v/>
      </c>
      <c r="D208" s="5">
        <f>IF($E208="","",INDEX('Input Transaksi'!$F:$F,$E208))</f>
        <v/>
      </c>
      <c r="E208">
        <f>IFERROR(AGGREGATE(15,6,ROW('Input Transaksi'!$B$5:$B$5000)/('Input Transaksi'!$B$5:$B$5000="JCL SESETAN"),ROWS($E$5:E208)),"")</f>
        <v/>
      </c>
      <c r="F208" s="5" t="n"/>
    </row>
    <row r="209">
      <c r="A209" s="10">
        <f>IF($E209="","",INDEX('Input Transaksi'!$A:$A,$E209))</f>
        <v/>
      </c>
      <c r="B209" s="5">
        <f>IF($E209="","",INDEX('Input Transaksi'!$D:$D,$E209))</f>
        <v/>
      </c>
      <c r="C209">
        <f>IF($E209="","",INDEX('Input Transaksi'!$E:$E,$E209))</f>
        <v/>
      </c>
      <c r="D209" s="5">
        <f>IF($E209="","",INDEX('Input Transaksi'!$F:$F,$E209))</f>
        <v/>
      </c>
      <c r="E209">
        <f>IFERROR(AGGREGATE(15,6,ROW('Input Transaksi'!$B$5:$B$5000)/('Input Transaksi'!$B$5:$B$5000="JCL SESETAN"),ROWS($E$5:E209)),"")</f>
        <v/>
      </c>
      <c r="F209" s="5" t="n"/>
    </row>
    <row r="210">
      <c r="A210" s="10">
        <f>IF($E210="","",INDEX('Input Transaksi'!$A:$A,$E210))</f>
        <v/>
      </c>
      <c r="B210" s="5">
        <f>IF($E210="","",INDEX('Input Transaksi'!$D:$D,$E210))</f>
        <v/>
      </c>
      <c r="C210">
        <f>IF($E210="","",INDEX('Input Transaksi'!$E:$E,$E210))</f>
        <v/>
      </c>
      <c r="D210" s="5">
        <f>IF($E210="","",INDEX('Input Transaksi'!$F:$F,$E210))</f>
        <v/>
      </c>
      <c r="E210">
        <f>IFERROR(AGGREGATE(15,6,ROW('Input Transaksi'!$B$5:$B$5000)/('Input Transaksi'!$B$5:$B$5000="JCL SESETAN"),ROWS($E$5:E210)),"")</f>
        <v/>
      </c>
      <c r="F210" s="5" t="n"/>
    </row>
    <row r="211">
      <c r="A211" s="10">
        <f>IF($E211="","",INDEX('Input Transaksi'!$A:$A,$E211))</f>
        <v/>
      </c>
      <c r="B211" s="5">
        <f>IF($E211="","",INDEX('Input Transaksi'!$D:$D,$E211))</f>
        <v/>
      </c>
      <c r="C211">
        <f>IF($E211="","",INDEX('Input Transaksi'!$E:$E,$E211))</f>
        <v/>
      </c>
      <c r="D211" s="5">
        <f>IF($E211="","",INDEX('Input Transaksi'!$F:$F,$E211))</f>
        <v/>
      </c>
      <c r="E211">
        <f>IFERROR(AGGREGATE(15,6,ROW('Input Transaksi'!$B$5:$B$5000)/('Input Transaksi'!$B$5:$B$5000="JCL SESETAN"),ROWS($E$5:E211)),"")</f>
        <v/>
      </c>
      <c r="F211" s="5" t="n"/>
    </row>
    <row r="212">
      <c r="A212" s="10">
        <f>IF($E212="","",INDEX('Input Transaksi'!$A:$A,$E212))</f>
        <v/>
      </c>
      <c r="B212" s="5">
        <f>IF($E212="","",INDEX('Input Transaksi'!$D:$D,$E212))</f>
        <v/>
      </c>
      <c r="C212">
        <f>IF($E212="","",INDEX('Input Transaksi'!$E:$E,$E212))</f>
        <v/>
      </c>
      <c r="D212" s="5">
        <f>IF($E212="","",INDEX('Input Transaksi'!$F:$F,$E212))</f>
        <v/>
      </c>
      <c r="E212">
        <f>IFERROR(AGGREGATE(15,6,ROW('Input Transaksi'!$B$5:$B$5000)/('Input Transaksi'!$B$5:$B$5000="JCL SESETAN"),ROWS($E$5:E212)),"")</f>
        <v/>
      </c>
      <c r="F212" s="5" t="n"/>
    </row>
    <row r="213">
      <c r="A213" s="10">
        <f>IF($E213="","",INDEX('Input Transaksi'!$A:$A,$E213))</f>
        <v/>
      </c>
      <c r="B213" s="5">
        <f>IF($E213="","",INDEX('Input Transaksi'!$D:$D,$E213))</f>
        <v/>
      </c>
      <c r="C213">
        <f>IF($E213="","",INDEX('Input Transaksi'!$E:$E,$E213))</f>
        <v/>
      </c>
      <c r="D213" s="5">
        <f>IF($E213="","",INDEX('Input Transaksi'!$F:$F,$E213))</f>
        <v/>
      </c>
      <c r="E213">
        <f>IFERROR(AGGREGATE(15,6,ROW('Input Transaksi'!$B$5:$B$5000)/('Input Transaksi'!$B$5:$B$5000="JCL SESETAN"),ROWS($E$5:E213)),"")</f>
        <v/>
      </c>
      <c r="F213" s="5" t="n"/>
    </row>
    <row r="214">
      <c r="A214" s="10">
        <f>IF($E214="","",INDEX('Input Transaksi'!$A:$A,$E214))</f>
        <v/>
      </c>
      <c r="B214" s="5">
        <f>IF($E214="","",INDEX('Input Transaksi'!$D:$D,$E214))</f>
        <v/>
      </c>
      <c r="C214">
        <f>IF($E214="","",INDEX('Input Transaksi'!$E:$E,$E214))</f>
        <v/>
      </c>
      <c r="D214" s="5">
        <f>IF($E214="","",INDEX('Input Transaksi'!$F:$F,$E214))</f>
        <v/>
      </c>
      <c r="E214">
        <f>IFERROR(AGGREGATE(15,6,ROW('Input Transaksi'!$B$5:$B$5000)/('Input Transaksi'!$B$5:$B$5000="JCL SESETAN"),ROWS($E$5:E214)),"")</f>
        <v/>
      </c>
      <c r="F214" s="5" t="n"/>
    </row>
    <row r="215">
      <c r="A215" s="10">
        <f>IF($E215="","",INDEX('Input Transaksi'!$A:$A,$E215))</f>
        <v/>
      </c>
      <c r="B215" s="5">
        <f>IF($E215="","",INDEX('Input Transaksi'!$D:$D,$E215))</f>
        <v/>
      </c>
      <c r="C215">
        <f>IF($E215="","",INDEX('Input Transaksi'!$E:$E,$E215))</f>
        <v/>
      </c>
      <c r="D215" s="5">
        <f>IF($E215="","",INDEX('Input Transaksi'!$F:$F,$E215))</f>
        <v/>
      </c>
      <c r="E215">
        <f>IFERROR(AGGREGATE(15,6,ROW('Input Transaksi'!$B$5:$B$5000)/('Input Transaksi'!$B$5:$B$5000="JCL SESETAN"),ROWS($E$5:E215)),"")</f>
        <v/>
      </c>
      <c r="F215" s="5" t="n"/>
    </row>
    <row r="216">
      <c r="A216" s="10">
        <f>IF($E216="","",INDEX('Input Transaksi'!$A:$A,$E216))</f>
        <v/>
      </c>
      <c r="B216" s="5">
        <f>IF($E216="","",INDEX('Input Transaksi'!$D:$D,$E216))</f>
        <v/>
      </c>
      <c r="C216">
        <f>IF($E216="","",INDEX('Input Transaksi'!$E:$E,$E216))</f>
        <v/>
      </c>
      <c r="D216" s="5">
        <f>IF($E216="","",INDEX('Input Transaksi'!$F:$F,$E216))</f>
        <v/>
      </c>
      <c r="E216">
        <f>IFERROR(AGGREGATE(15,6,ROW('Input Transaksi'!$B$5:$B$5000)/('Input Transaksi'!$B$5:$B$5000="JCL SESETAN"),ROWS($E$5:E216)),"")</f>
        <v/>
      </c>
      <c r="F216" s="5" t="n"/>
    </row>
    <row r="217">
      <c r="A217" s="10">
        <f>IF($E217="","",INDEX('Input Transaksi'!$A:$A,$E217))</f>
        <v/>
      </c>
      <c r="B217" s="5">
        <f>IF($E217="","",INDEX('Input Transaksi'!$D:$D,$E217))</f>
        <v/>
      </c>
      <c r="C217">
        <f>IF($E217="","",INDEX('Input Transaksi'!$E:$E,$E217))</f>
        <v/>
      </c>
      <c r="D217" s="5">
        <f>IF($E217="","",INDEX('Input Transaksi'!$F:$F,$E217))</f>
        <v/>
      </c>
      <c r="E217">
        <f>IFERROR(AGGREGATE(15,6,ROW('Input Transaksi'!$B$5:$B$5000)/('Input Transaksi'!$B$5:$B$5000="JCL SESETAN"),ROWS($E$5:E217)),"")</f>
        <v/>
      </c>
      <c r="F217" s="5" t="n"/>
    </row>
    <row r="218">
      <c r="A218" s="10">
        <f>IF($E218="","",INDEX('Input Transaksi'!$A:$A,$E218))</f>
        <v/>
      </c>
      <c r="B218" s="5">
        <f>IF($E218="","",INDEX('Input Transaksi'!$D:$D,$E218))</f>
        <v/>
      </c>
      <c r="C218">
        <f>IF($E218="","",INDEX('Input Transaksi'!$E:$E,$E218))</f>
        <v/>
      </c>
      <c r="D218" s="5">
        <f>IF($E218="","",INDEX('Input Transaksi'!$F:$F,$E218))</f>
        <v/>
      </c>
      <c r="E218">
        <f>IFERROR(AGGREGATE(15,6,ROW('Input Transaksi'!$B$5:$B$5000)/('Input Transaksi'!$B$5:$B$5000="JCL SESETAN"),ROWS($E$5:E218)),"")</f>
        <v/>
      </c>
      <c r="F218" s="5" t="n"/>
    </row>
    <row r="219">
      <c r="A219" s="10">
        <f>IF($E219="","",INDEX('Input Transaksi'!$A:$A,$E219))</f>
        <v/>
      </c>
      <c r="B219" s="5">
        <f>IF($E219="","",INDEX('Input Transaksi'!$D:$D,$E219))</f>
        <v/>
      </c>
      <c r="C219">
        <f>IF($E219="","",INDEX('Input Transaksi'!$E:$E,$E219))</f>
        <v/>
      </c>
      <c r="D219" s="5">
        <f>IF($E219="","",INDEX('Input Transaksi'!$F:$F,$E219))</f>
        <v/>
      </c>
      <c r="E219">
        <f>IFERROR(AGGREGATE(15,6,ROW('Input Transaksi'!$B$5:$B$5000)/('Input Transaksi'!$B$5:$B$5000="JCL SESETAN"),ROWS($E$5:E219)),"")</f>
        <v/>
      </c>
      <c r="F219" s="5" t="n"/>
    </row>
    <row r="220">
      <c r="A220" s="10">
        <f>IF($E220="","",INDEX('Input Transaksi'!$A:$A,$E220))</f>
        <v/>
      </c>
      <c r="B220" s="5">
        <f>IF($E220="","",INDEX('Input Transaksi'!$D:$D,$E220))</f>
        <v/>
      </c>
      <c r="C220">
        <f>IF($E220="","",INDEX('Input Transaksi'!$E:$E,$E220))</f>
        <v/>
      </c>
      <c r="D220" s="5">
        <f>IF($E220="","",INDEX('Input Transaksi'!$F:$F,$E220))</f>
        <v/>
      </c>
      <c r="E220">
        <f>IFERROR(AGGREGATE(15,6,ROW('Input Transaksi'!$B$5:$B$5000)/('Input Transaksi'!$B$5:$B$5000="JCL SESETAN"),ROWS($E$5:E220)),"")</f>
        <v/>
      </c>
      <c r="F220" s="5" t="n"/>
    </row>
    <row r="221">
      <c r="A221" s="10">
        <f>IF($E221="","",INDEX('Input Transaksi'!$A:$A,$E221))</f>
        <v/>
      </c>
      <c r="B221" s="5">
        <f>IF($E221="","",INDEX('Input Transaksi'!$D:$D,$E221))</f>
        <v/>
      </c>
      <c r="C221">
        <f>IF($E221="","",INDEX('Input Transaksi'!$E:$E,$E221))</f>
        <v/>
      </c>
      <c r="D221" s="5">
        <f>IF($E221="","",INDEX('Input Transaksi'!$F:$F,$E221))</f>
        <v/>
      </c>
      <c r="E221">
        <f>IFERROR(AGGREGATE(15,6,ROW('Input Transaksi'!$B$5:$B$5000)/('Input Transaksi'!$B$5:$B$5000="JCL SESETAN"),ROWS($E$5:E221)),"")</f>
        <v/>
      </c>
      <c r="F221" s="5" t="n"/>
    </row>
    <row r="222">
      <c r="A222" s="10">
        <f>IF($E222="","",INDEX('Input Transaksi'!$A:$A,$E222))</f>
        <v/>
      </c>
      <c r="B222" s="5">
        <f>IF($E222="","",INDEX('Input Transaksi'!$D:$D,$E222))</f>
        <v/>
      </c>
      <c r="C222">
        <f>IF($E222="","",INDEX('Input Transaksi'!$E:$E,$E222))</f>
        <v/>
      </c>
      <c r="D222" s="5">
        <f>IF($E222="","",INDEX('Input Transaksi'!$F:$F,$E222))</f>
        <v/>
      </c>
      <c r="E222">
        <f>IFERROR(AGGREGATE(15,6,ROW('Input Transaksi'!$B$5:$B$5000)/('Input Transaksi'!$B$5:$B$5000="JCL SESETAN"),ROWS($E$5:E222)),"")</f>
        <v/>
      </c>
      <c r="F222" s="5" t="n"/>
    </row>
    <row r="223">
      <c r="A223" s="10">
        <f>IF($E223="","",INDEX('Input Transaksi'!$A:$A,$E223))</f>
        <v/>
      </c>
      <c r="B223" s="5">
        <f>IF($E223="","",INDEX('Input Transaksi'!$D:$D,$E223))</f>
        <v/>
      </c>
      <c r="C223">
        <f>IF($E223="","",INDEX('Input Transaksi'!$E:$E,$E223))</f>
        <v/>
      </c>
      <c r="D223" s="5">
        <f>IF($E223="","",INDEX('Input Transaksi'!$F:$F,$E223))</f>
        <v/>
      </c>
      <c r="E223">
        <f>IFERROR(AGGREGATE(15,6,ROW('Input Transaksi'!$B$5:$B$5000)/('Input Transaksi'!$B$5:$B$5000="JCL SESETAN"),ROWS($E$5:E223)),"")</f>
        <v/>
      </c>
      <c r="F223" s="5" t="n"/>
    </row>
    <row r="224">
      <c r="A224" s="10">
        <f>IF($E224="","",INDEX('Input Transaksi'!$A:$A,$E224))</f>
        <v/>
      </c>
      <c r="B224" s="5">
        <f>IF($E224="","",INDEX('Input Transaksi'!$D:$D,$E224))</f>
        <v/>
      </c>
      <c r="C224">
        <f>IF($E224="","",INDEX('Input Transaksi'!$E:$E,$E224))</f>
        <v/>
      </c>
      <c r="D224" s="5">
        <f>IF($E224="","",INDEX('Input Transaksi'!$F:$F,$E224))</f>
        <v/>
      </c>
      <c r="E224">
        <f>IFERROR(AGGREGATE(15,6,ROW('Input Transaksi'!$B$5:$B$5000)/('Input Transaksi'!$B$5:$B$5000="JCL SESETAN"),ROWS($E$5:E224)),"")</f>
        <v/>
      </c>
      <c r="F224" s="5" t="n"/>
    </row>
    <row r="225">
      <c r="A225" s="10">
        <f>IF($E225="","",INDEX('Input Transaksi'!$A:$A,$E225))</f>
        <v/>
      </c>
      <c r="B225" s="5">
        <f>IF($E225="","",INDEX('Input Transaksi'!$D:$D,$E225))</f>
        <v/>
      </c>
      <c r="C225">
        <f>IF($E225="","",INDEX('Input Transaksi'!$E:$E,$E225))</f>
        <v/>
      </c>
      <c r="D225" s="5">
        <f>IF($E225="","",INDEX('Input Transaksi'!$F:$F,$E225))</f>
        <v/>
      </c>
      <c r="E225">
        <f>IFERROR(AGGREGATE(15,6,ROW('Input Transaksi'!$B$5:$B$5000)/('Input Transaksi'!$B$5:$B$5000="JCL SESETAN"),ROWS($E$5:E225)),"")</f>
        <v/>
      </c>
      <c r="F225" s="5" t="n"/>
    </row>
    <row r="226">
      <c r="A226" s="10">
        <f>IF($E226="","",INDEX('Input Transaksi'!$A:$A,$E226))</f>
        <v/>
      </c>
      <c r="B226" s="5">
        <f>IF($E226="","",INDEX('Input Transaksi'!$D:$D,$E226))</f>
        <v/>
      </c>
      <c r="C226">
        <f>IF($E226="","",INDEX('Input Transaksi'!$E:$E,$E226))</f>
        <v/>
      </c>
      <c r="D226" s="5">
        <f>IF($E226="","",INDEX('Input Transaksi'!$F:$F,$E226))</f>
        <v/>
      </c>
      <c r="E226">
        <f>IFERROR(AGGREGATE(15,6,ROW('Input Transaksi'!$B$5:$B$5000)/('Input Transaksi'!$B$5:$B$5000="JCL SESETAN"),ROWS($E$5:E226)),"")</f>
        <v/>
      </c>
      <c r="F226" s="5" t="n"/>
    </row>
    <row r="227">
      <c r="A227" s="10">
        <f>IF($E227="","",INDEX('Input Transaksi'!$A:$A,$E227))</f>
        <v/>
      </c>
      <c r="B227" s="5">
        <f>IF($E227="","",INDEX('Input Transaksi'!$D:$D,$E227))</f>
        <v/>
      </c>
      <c r="C227">
        <f>IF($E227="","",INDEX('Input Transaksi'!$E:$E,$E227))</f>
        <v/>
      </c>
      <c r="D227" s="5">
        <f>IF($E227="","",INDEX('Input Transaksi'!$F:$F,$E227))</f>
        <v/>
      </c>
      <c r="E227">
        <f>IFERROR(AGGREGATE(15,6,ROW('Input Transaksi'!$B$5:$B$5000)/('Input Transaksi'!$B$5:$B$5000="JCL SESETAN"),ROWS($E$5:E227)),"")</f>
        <v/>
      </c>
      <c r="F227" s="5" t="n"/>
    </row>
    <row r="228">
      <c r="A228" s="10">
        <f>IF($E228="","",INDEX('Input Transaksi'!$A:$A,$E228))</f>
        <v/>
      </c>
      <c r="B228" s="5">
        <f>IF($E228="","",INDEX('Input Transaksi'!$D:$D,$E228))</f>
        <v/>
      </c>
      <c r="C228">
        <f>IF($E228="","",INDEX('Input Transaksi'!$E:$E,$E228))</f>
        <v/>
      </c>
      <c r="D228" s="5">
        <f>IF($E228="","",INDEX('Input Transaksi'!$F:$F,$E228))</f>
        <v/>
      </c>
      <c r="E228">
        <f>IFERROR(AGGREGATE(15,6,ROW('Input Transaksi'!$B$5:$B$5000)/('Input Transaksi'!$B$5:$B$5000="JCL SESETAN"),ROWS($E$5:E228)),"")</f>
        <v/>
      </c>
      <c r="F228" s="5" t="n"/>
    </row>
    <row r="229">
      <c r="A229" s="10">
        <f>IF($E229="","",INDEX('Input Transaksi'!$A:$A,$E229))</f>
        <v/>
      </c>
      <c r="B229" s="5">
        <f>IF($E229="","",INDEX('Input Transaksi'!$D:$D,$E229))</f>
        <v/>
      </c>
      <c r="C229">
        <f>IF($E229="","",INDEX('Input Transaksi'!$E:$E,$E229))</f>
        <v/>
      </c>
      <c r="D229" s="5">
        <f>IF($E229="","",INDEX('Input Transaksi'!$F:$F,$E229))</f>
        <v/>
      </c>
      <c r="E229">
        <f>IFERROR(AGGREGATE(15,6,ROW('Input Transaksi'!$B$5:$B$5000)/('Input Transaksi'!$B$5:$B$5000="JCL SESETAN"),ROWS($E$5:E229)),"")</f>
        <v/>
      </c>
      <c r="F229" s="5" t="n"/>
    </row>
    <row r="230">
      <c r="A230" s="10">
        <f>IF($E230="","",INDEX('Input Transaksi'!$A:$A,$E230))</f>
        <v/>
      </c>
      <c r="B230" s="5">
        <f>IF($E230="","",INDEX('Input Transaksi'!$D:$D,$E230))</f>
        <v/>
      </c>
      <c r="C230">
        <f>IF($E230="","",INDEX('Input Transaksi'!$E:$E,$E230))</f>
        <v/>
      </c>
      <c r="D230" s="5">
        <f>IF($E230="","",INDEX('Input Transaksi'!$F:$F,$E230))</f>
        <v/>
      </c>
      <c r="E230">
        <f>IFERROR(AGGREGATE(15,6,ROW('Input Transaksi'!$B$5:$B$5000)/('Input Transaksi'!$B$5:$B$5000="JCL SESETAN"),ROWS($E$5:E230)),"")</f>
        <v/>
      </c>
      <c r="F230" s="5" t="n"/>
    </row>
    <row r="231">
      <c r="A231" s="10">
        <f>IF($E231="","",INDEX('Input Transaksi'!$A:$A,$E231))</f>
        <v/>
      </c>
      <c r="B231" s="5">
        <f>IF($E231="","",INDEX('Input Transaksi'!$D:$D,$E231))</f>
        <v/>
      </c>
      <c r="C231">
        <f>IF($E231="","",INDEX('Input Transaksi'!$E:$E,$E231))</f>
        <v/>
      </c>
      <c r="D231" s="5">
        <f>IF($E231="","",INDEX('Input Transaksi'!$F:$F,$E231))</f>
        <v/>
      </c>
      <c r="E231">
        <f>IFERROR(AGGREGATE(15,6,ROW('Input Transaksi'!$B$5:$B$5000)/('Input Transaksi'!$B$5:$B$5000="JCL SESETAN"),ROWS($E$5:E231)),"")</f>
        <v/>
      </c>
      <c r="F231" s="5" t="n"/>
    </row>
    <row r="232">
      <c r="A232" s="10">
        <f>IF($E232="","",INDEX('Input Transaksi'!$A:$A,$E232))</f>
        <v/>
      </c>
      <c r="B232" s="5">
        <f>IF($E232="","",INDEX('Input Transaksi'!$D:$D,$E232))</f>
        <v/>
      </c>
      <c r="C232">
        <f>IF($E232="","",INDEX('Input Transaksi'!$E:$E,$E232))</f>
        <v/>
      </c>
      <c r="D232" s="5">
        <f>IF($E232="","",INDEX('Input Transaksi'!$F:$F,$E232))</f>
        <v/>
      </c>
      <c r="E232">
        <f>IFERROR(AGGREGATE(15,6,ROW('Input Transaksi'!$B$5:$B$5000)/('Input Transaksi'!$B$5:$B$5000="JCL SESETAN"),ROWS($E$5:E232)),"")</f>
        <v/>
      </c>
      <c r="F232" s="5" t="n"/>
    </row>
    <row r="233">
      <c r="A233" s="10">
        <f>IF($E233="","",INDEX('Input Transaksi'!$A:$A,$E233))</f>
        <v/>
      </c>
      <c r="B233" s="5">
        <f>IF($E233="","",INDEX('Input Transaksi'!$D:$D,$E233))</f>
        <v/>
      </c>
      <c r="C233">
        <f>IF($E233="","",INDEX('Input Transaksi'!$E:$E,$E233))</f>
        <v/>
      </c>
      <c r="D233" s="5">
        <f>IF($E233="","",INDEX('Input Transaksi'!$F:$F,$E233))</f>
        <v/>
      </c>
      <c r="E233">
        <f>IFERROR(AGGREGATE(15,6,ROW('Input Transaksi'!$B$5:$B$5000)/('Input Transaksi'!$B$5:$B$5000="JCL SESETAN"),ROWS($E$5:E233)),"")</f>
        <v/>
      </c>
      <c r="F233" s="5" t="n"/>
    </row>
    <row r="234">
      <c r="A234" s="10">
        <f>IF($E234="","",INDEX('Input Transaksi'!$A:$A,$E234))</f>
        <v/>
      </c>
      <c r="B234" s="5">
        <f>IF($E234="","",INDEX('Input Transaksi'!$D:$D,$E234))</f>
        <v/>
      </c>
      <c r="C234">
        <f>IF($E234="","",INDEX('Input Transaksi'!$E:$E,$E234))</f>
        <v/>
      </c>
      <c r="D234" s="5">
        <f>IF($E234="","",INDEX('Input Transaksi'!$F:$F,$E234))</f>
        <v/>
      </c>
      <c r="E234">
        <f>IFERROR(AGGREGATE(15,6,ROW('Input Transaksi'!$B$5:$B$5000)/('Input Transaksi'!$B$5:$B$5000="JCL SESETAN"),ROWS($E$5:E234)),"")</f>
        <v/>
      </c>
      <c r="F234" s="5" t="n"/>
    </row>
    <row r="235">
      <c r="A235" s="10">
        <f>IF($E235="","",INDEX('Input Transaksi'!$A:$A,$E235))</f>
        <v/>
      </c>
      <c r="B235" s="5">
        <f>IF($E235="","",INDEX('Input Transaksi'!$D:$D,$E235))</f>
        <v/>
      </c>
      <c r="C235">
        <f>IF($E235="","",INDEX('Input Transaksi'!$E:$E,$E235))</f>
        <v/>
      </c>
      <c r="D235" s="5">
        <f>IF($E235="","",INDEX('Input Transaksi'!$F:$F,$E235))</f>
        <v/>
      </c>
      <c r="E235">
        <f>IFERROR(AGGREGATE(15,6,ROW('Input Transaksi'!$B$5:$B$5000)/('Input Transaksi'!$B$5:$B$5000="JCL SESETAN"),ROWS($E$5:E235)),"")</f>
        <v/>
      </c>
      <c r="F235" s="5" t="n"/>
    </row>
    <row r="236">
      <c r="A236" s="10">
        <f>IF($E236="","",INDEX('Input Transaksi'!$A:$A,$E236))</f>
        <v/>
      </c>
      <c r="B236" s="5">
        <f>IF($E236="","",INDEX('Input Transaksi'!$D:$D,$E236))</f>
        <v/>
      </c>
      <c r="C236">
        <f>IF($E236="","",INDEX('Input Transaksi'!$E:$E,$E236))</f>
        <v/>
      </c>
      <c r="D236" s="5">
        <f>IF($E236="","",INDEX('Input Transaksi'!$F:$F,$E236))</f>
        <v/>
      </c>
      <c r="E236">
        <f>IFERROR(AGGREGATE(15,6,ROW('Input Transaksi'!$B$5:$B$5000)/('Input Transaksi'!$B$5:$B$5000="JCL SESETAN"),ROWS($E$5:E236)),"")</f>
        <v/>
      </c>
      <c r="F236" s="5" t="n"/>
    </row>
    <row r="237">
      <c r="A237" s="10">
        <f>IF($E237="","",INDEX('Input Transaksi'!$A:$A,$E237))</f>
        <v/>
      </c>
      <c r="B237" s="5">
        <f>IF($E237="","",INDEX('Input Transaksi'!$D:$D,$E237))</f>
        <v/>
      </c>
      <c r="C237">
        <f>IF($E237="","",INDEX('Input Transaksi'!$E:$E,$E237))</f>
        <v/>
      </c>
      <c r="D237" s="5">
        <f>IF($E237="","",INDEX('Input Transaksi'!$F:$F,$E237))</f>
        <v/>
      </c>
      <c r="E237">
        <f>IFERROR(AGGREGATE(15,6,ROW('Input Transaksi'!$B$5:$B$5000)/('Input Transaksi'!$B$5:$B$5000="JCL SESETAN"),ROWS($E$5:E237)),"")</f>
        <v/>
      </c>
      <c r="F237" s="5" t="n"/>
    </row>
    <row r="238">
      <c r="A238" s="10">
        <f>IF($E238="","",INDEX('Input Transaksi'!$A:$A,$E238))</f>
        <v/>
      </c>
      <c r="B238" s="5">
        <f>IF($E238="","",INDEX('Input Transaksi'!$D:$D,$E238))</f>
        <v/>
      </c>
      <c r="C238">
        <f>IF($E238="","",INDEX('Input Transaksi'!$E:$E,$E238))</f>
        <v/>
      </c>
      <c r="D238" s="5">
        <f>IF($E238="","",INDEX('Input Transaksi'!$F:$F,$E238))</f>
        <v/>
      </c>
      <c r="E238">
        <f>IFERROR(AGGREGATE(15,6,ROW('Input Transaksi'!$B$5:$B$5000)/('Input Transaksi'!$B$5:$B$5000="JCL SESETAN"),ROWS($E$5:E238)),"")</f>
        <v/>
      </c>
      <c r="F238" s="5" t="n"/>
    </row>
    <row r="239">
      <c r="A239" s="10">
        <f>IF($E239="","",INDEX('Input Transaksi'!$A:$A,$E239))</f>
        <v/>
      </c>
      <c r="B239" s="5">
        <f>IF($E239="","",INDEX('Input Transaksi'!$D:$D,$E239))</f>
        <v/>
      </c>
      <c r="C239">
        <f>IF($E239="","",INDEX('Input Transaksi'!$E:$E,$E239))</f>
        <v/>
      </c>
      <c r="D239" s="5">
        <f>IF($E239="","",INDEX('Input Transaksi'!$F:$F,$E239))</f>
        <v/>
      </c>
      <c r="E239">
        <f>IFERROR(AGGREGATE(15,6,ROW('Input Transaksi'!$B$5:$B$5000)/('Input Transaksi'!$B$5:$B$5000="JCL SESETAN"),ROWS($E$5:E239)),"")</f>
        <v/>
      </c>
      <c r="F239" s="5" t="n"/>
    </row>
    <row r="240">
      <c r="A240" s="10">
        <f>IF($E240="","",INDEX('Input Transaksi'!$A:$A,$E240))</f>
        <v/>
      </c>
      <c r="B240" s="5">
        <f>IF($E240="","",INDEX('Input Transaksi'!$D:$D,$E240))</f>
        <v/>
      </c>
      <c r="C240">
        <f>IF($E240="","",INDEX('Input Transaksi'!$E:$E,$E240))</f>
        <v/>
      </c>
      <c r="D240" s="5">
        <f>IF($E240="","",INDEX('Input Transaksi'!$F:$F,$E240))</f>
        <v/>
      </c>
      <c r="E240">
        <f>IFERROR(AGGREGATE(15,6,ROW('Input Transaksi'!$B$5:$B$5000)/('Input Transaksi'!$B$5:$B$5000="JCL SESETAN"),ROWS($E$5:E240)),"")</f>
        <v/>
      </c>
      <c r="F240" s="5" t="n"/>
    </row>
    <row r="241">
      <c r="A241" s="10">
        <f>IF($E241="","",INDEX('Input Transaksi'!$A:$A,$E241))</f>
        <v/>
      </c>
      <c r="B241" s="5">
        <f>IF($E241="","",INDEX('Input Transaksi'!$D:$D,$E241))</f>
        <v/>
      </c>
      <c r="C241">
        <f>IF($E241="","",INDEX('Input Transaksi'!$E:$E,$E241))</f>
        <v/>
      </c>
      <c r="D241" s="5">
        <f>IF($E241="","",INDEX('Input Transaksi'!$F:$F,$E241))</f>
        <v/>
      </c>
      <c r="E241">
        <f>IFERROR(AGGREGATE(15,6,ROW('Input Transaksi'!$B$5:$B$5000)/('Input Transaksi'!$B$5:$B$5000="JCL SESETAN"),ROWS($E$5:E241)),"")</f>
        <v/>
      </c>
      <c r="F241" s="5" t="n"/>
    </row>
    <row r="242">
      <c r="A242" s="10">
        <f>IF($E242="","",INDEX('Input Transaksi'!$A:$A,$E242))</f>
        <v/>
      </c>
      <c r="B242" s="5">
        <f>IF($E242="","",INDEX('Input Transaksi'!$D:$D,$E242))</f>
        <v/>
      </c>
      <c r="C242">
        <f>IF($E242="","",INDEX('Input Transaksi'!$E:$E,$E242))</f>
        <v/>
      </c>
      <c r="D242" s="5">
        <f>IF($E242="","",INDEX('Input Transaksi'!$F:$F,$E242))</f>
        <v/>
      </c>
      <c r="E242">
        <f>IFERROR(AGGREGATE(15,6,ROW('Input Transaksi'!$B$5:$B$5000)/('Input Transaksi'!$B$5:$B$5000="JCL SESETAN"),ROWS($E$5:E242)),"")</f>
        <v/>
      </c>
      <c r="F242" s="5" t="n"/>
    </row>
    <row r="243">
      <c r="A243" s="10">
        <f>IF($E243="","",INDEX('Input Transaksi'!$A:$A,$E243))</f>
        <v/>
      </c>
      <c r="B243" s="5">
        <f>IF($E243="","",INDEX('Input Transaksi'!$D:$D,$E243))</f>
        <v/>
      </c>
      <c r="C243">
        <f>IF($E243="","",INDEX('Input Transaksi'!$E:$E,$E243))</f>
        <v/>
      </c>
      <c r="D243" s="5">
        <f>IF($E243="","",INDEX('Input Transaksi'!$F:$F,$E243))</f>
        <v/>
      </c>
      <c r="E243">
        <f>IFERROR(AGGREGATE(15,6,ROW('Input Transaksi'!$B$5:$B$5000)/('Input Transaksi'!$B$5:$B$5000="JCL SESETAN"),ROWS($E$5:E243)),"")</f>
        <v/>
      </c>
      <c r="F243" s="5" t="n"/>
    </row>
    <row r="244">
      <c r="A244" s="10">
        <f>IF($E244="","",INDEX('Input Transaksi'!$A:$A,$E244))</f>
        <v/>
      </c>
      <c r="B244" s="5">
        <f>IF($E244="","",INDEX('Input Transaksi'!$D:$D,$E244))</f>
        <v/>
      </c>
      <c r="C244">
        <f>IF($E244="","",INDEX('Input Transaksi'!$E:$E,$E244))</f>
        <v/>
      </c>
      <c r="D244" s="5">
        <f>IF($E244="","",INDEX('Input Transaksi'!$F:$F,$E244))</f>
        <v/>
      </c>
      <c r="E244">
        <f>IFERROR(AGGREGATE(15,6,ROW('Input Transaksi'!$B$5:$B$5000)/('Input Transaksi'!$B$5:$B$5000="JCL SESETAN"),ROWS($E$5:E244)),"")</f>
        <v/>
      </c>
      <c r="F244" s="5" t="n"/>
    </row>
    <row r="245">
      <c r="A245" s="10">
        <f>IF($E245="","",INDEX('Input Transaksi'!$A:$A,$E245))</f>
        <v/>
      </c>
      <c r="B245" s="5">
        <f>IF($E245="","",INDEX('Input Transaksi'!$D:$D,$E245))</f>
        <v/>
      </c>
      <c r="C245">
        <f>IF($E245="","",INDEX('Input Transaksi'!$E:$E,$E245))</f>
        <v/>
      </c>
      <c r="D245" s="5">
        <f>IF($E245="","",INDEX('Input Transaksi'!$F:$F,$E245))</f>
        <v/>
      </c>
      <c r="E245">
        <f>IFERROR(AGGREGATE(15,6,ROW('Input Transaksi'!$B$5:$B$5000)/('Input Transaksi'!$B$5:$B$5000="JCL SESETAN"),ROWS($E$5:E245)),"")</f>
        <v/>
      </c>
      <c r="F245" s="5" t="n"/>
    </row>
    <row r="246">
      <c r="A246" s="10">
        <f>IF($E246="","",INDEX('Input Transaksi'!$A:$A,$E246))</f>
        <v/>
      </c>
      <c r="B246" s="5">
        <f>IF($E246="","",INDEX('Input Transaksi'!$D:$D,$E246))</f>
        <v/>
      </c>
      <c r="C246">
        <f>IF($E246="","",INDEX('Input Transaksi'!$E:$E,$E246))</f>
        <v/>
      </c>
      <c r="D246" s="5">
        <f>IF($E246="","",INDEX('Input Transaksi'!$F:$F,$E246))</f>
        <v/>
      </c>
      <c r="E246">
        <f>IFERROR(AGGREGATE(15,6,ROW('Input Transaksi'!$B$5:$B$5000)/('Input Transaksi'!$B$5:$B$5000="JCL SESETAN"),ROWS($E$5:E246)),"")</f>
        <v/>
      </c>
      <c r="F246" s="5" t="n"/>
    </row>
    <row r="247">
      <c r="A247" s="10">
        <f>IF($E247="","",INDEX('Input Transaksi'!$A:$A,$E247))</f>
        <v/>
      </c>
      <c r="B247" s="5">
        <f>IF($E247="","",INDEX('Input Transaksi'!$D:$D,$E247))</f>
        <v/>
      </c>
      <c r="C247">
        <f>IF($E247="","",INDEX('Input Transaksi'!$E:$E,$E247))</f>
        <v/>
      </c>
      <c r="D247" s="5">
        <f>IF($E247="","",INDEX('Input Transaksi'!$F:$F,$E247))</f>
        <v/>
      </c>
      <c r="E247">
        <f>IFERROR(AGGREGATE(15,6,ROW('Input Transaksi'!$B$5:$B$5000)/('Input Transaksi'!$B$5:$B$5000="JCL SESETAN"),ROWS($E$5:E247)),"")</f>
        <v/>
      </c>
      <c r="F247" s="5" t="n"/>
    </row>
    <row r="248">
      <c r="A248" s="10">
        <f>IF($E248="","",INDEX('Input Transaksi'!$A:$A,$E248))</f>
        <v/>
      </c>
      <c r="B248" s="5">
        <f>IF($E248="","",INDEX('Input Transaksi'!$D:$D,$E248))</f>
        <v/>
      </c>
      <c r="C248">
        <f>IF($E248="","",INDEX('Input Transaksi'!$E:$E,$E248))</f>
        <v/>
      </c>
      <c r="D248" s="5">
        <f>IF($E248="","",INDEX('Input Transaksi'!$F:$F,$E248))</f>
        <v/>
      </c>
      <c r="E248">
        <f>IFERROR(AGGREGATE(15,6,ROW('Input Transaksi'!$B$5:$B$5000)/('Input Transaksi'!$B$5:$B$5000="JCL SESETAN"),ROWS($E$5:E248)),"")</f>
        <v/>
      </c>
      <c r="F248" s="5" t="n"/>
    </row>
    <row r="249">
      <c r="A249" s="10">
        <f>IF($E249="","",INDEX('Input Transaksi'!$A:$A,$E249))</f>
        <v/>
      </c>
      <c r="B249" s="5">
        <f>IF($E249="","",INDEX('Input Transaksi'!$D:$D,$E249))</f>
        <v/>
      </c>
      <c r="C249">
        <f>IF($E249="","",INDEX('Input Transaksi'!$E:$E,$E249))</f>
        <v/>
      </c>
      <c r="D249" s="5">
        <f>IF($E249="","",INDEX('Input Transaksi'!$F:$F,$E249))</f>
        <v/>
      </c>
      <c r="E249">
        <f>IFERROR(AGGREGATE(15,6,ROW('Input Transaksi'!$B$5:$B$5000)/('Input Transaksi'!$B$5:$B$5000="JCL SESETAN"),ROWS($E$5:E249)),"")</f>
        <v/>
      </c>
      <c r="F249" s="5" t="n"/>
    </row>
    <row r="250">
      <c r="A250" s="10">
        <f>IF($E250="","",INDEX('Input Transaksi'!$A:$A,$E250))</f>
        <v/>
      </c>
      <c r="B250" s="5">
        <f>IF($E250="","",INDEX('Input Transaksi'!$D:$D,$E250))</f>
        <v/>
      </c>
      <c r="C250">
        <f>IF($E250="","",INDEX('Input Transaksi'!$E:$E,$E250))</f>
        <v/>
      </c>
      <c r="D250" s="5">
        <f>IF($E250="","",INDEX('Input Transaksi'!$F:$F,$E250))</f>
        <v/>
      </c>
      <c r="E250">
        <f>IFERROR(AGGREGATE(15,6,ROW('Input Transaksi'!$B$5:$B$5000)/('Input Transaksi'!$B$5:$B$5000="JCL SESETAN"),ROWS($E$5:E250)),"")</f>
        <v/>
      </c>
      <c r="F250" s="5" t="n"/>
    </row>
    <row r="251">
      <c r="A251" s="10">
        <f>IF($E251="","",INDEX('Input Transaksi'!$A:$A,$E251))</f>
        <v/>
      </c>
      <c r="B251" s="5">
        <f>IF($E251="","",INDEX('Input Transaksi'!$D:$D,$E251))</f>
        <v/>
      </c>
      <c r="C251">
        <f>IF($E251="","",INDEX('Input Transaksi'!$E:$E,$E251))</f>
        <v/>
      </c>
      <c r="D251" s="5">
        <f>IF($E251="","",INDEX('Input Transaksi'!$F:$F,$E251))</f>
        <v/>
      </c>
      <c r="E251">
        <f>IFERROR(AGGREGATE(15,6,ROW('Input Transaksi'!$B$5:$B$5000)/('Input Transaksi'!$B$5:$B$5000="JCL SESETAN"),ROWS($E$5:E251)),"")</f>
        <v/>
      </c>
      <c r="F251" s="5" t="n"/>
    </row>
    <row r="252">
      <c r="A252" s="10">
        <f>IF($E252="","",INDEX('Input Transaksi'!$A:$A,$E252))</f>
        <v/>
      </c>
      <c r="B252" s="5">
        <f>IF($E252="","",INDEX('Input Transaksi'!$D:$D,$E252))</f>
        <v/>
      </c>
      <c r="C252">
        <f>IF($E252="","",INDEX('Input Transaksi'!$E:$E,$E252))</f>
        <v/>
      </c>
      <c r="D252" s="5">
        <f>IF($E252="","",INDEX('Input Transaksi'!$F:$F,$E252))</f>
        <v/>
      </c>
      <c r="E252">
        <f>IFERROR(AGGREGATE(15,6,ROW('Input Transaksi'!$B$5:$B$5000)/('Input Transaksi'!$B$5:$B$5000="JCL SESETAN"),ROWS($E$5:E252)),"")</f>
        <v/>
      </c>
      <c r="F252" s="5" t="n"/>
    </row>
    <row r="253">
      <c r="A253" s="10">
        <f>IF($E253="","",INDEX('Input Transaksi'!$A:$A,$E253))</f>
        <v/>
      </c>
      <c r="B253" s="5">
        <f>IF($E253="","",INDEX('Input Transaksi'!$D:$D,$E253))</f>
        <v/>
      </c>
      <c r="C253">
        <f>IF($E253="","",INDEX('Input Transaksi'!$E:$E,$E253))</f>
        <v/>
      </c>
      <c r="D253" s="5">
        <f>IF($E253="","",INDEX('Input Transaksi'!$F:$F,$E253))</f>
        <v/>
      </c>
      <c r="E253">
        <f>IFERROR(AGGREGATE(15,6,ROW('Input Transaksi'!$B$5:$B$5000)/('Input Transaksi'!$B$5:$B$5000="JCL SESETAN"),ROWS($E$5:E253)),"")</f>
        <v/>
      </c>
      <c r="F253" s="5" t="n"/>
    </row>
    <row r="254">
      <c r="A254" s="10">
        <f>IF($E254="","",INDEX('Input Transaksi'!$A:$A,$E254))</f>
        <v/>
      </c>
      <c r="B254" s="5">
        <f>IF($E254="","",INDEX('Input Transaksi'!$D:$D,$E254))</f>
        <v/>
      </c>
      <c r="C254">
        <f>IF($E254="","",INDEX('Input Transaksi'!$E:$E,$E254))</f>
        <v/>
      </c>
      <c r="D254" s="5">
        <f>IF($E254="","",INDEX('Input Transaksi'!$F:$F,$E254))</f>
        <v/>
      </c>
      <c r="E254">
        <f>IFERROR(AGGREGATE(15,6,ROW('Input Transaksi'!$B$5:$B$5000)/('Input Transaksi'!$B$5:$B$5000="JCL SESETAN"),ROWS($E$5:E254)),"")</f>
        <v/>
      </c>
      <c r="F254" s="5" t="n"/>
    </row>
    <row r="255">
      <c r="A255" s="10">
        <f>IF($E255="","",INDEX('Input Transaksi'!$A:$A,$E255))</f>
        <v/>
      </c>
      <c r="B255" s="5">
        <f>IF($E255="","",INDEX('Input Transaksi'!$D:$D,$E255))</f>
        <v/>
      </c>
      <c r="C255">
        <f>IF($E255="","",INDEX('Input Transaksi'!$E:$E,$E255))</f>
        <v/>
      </c>
      <c r="D255" s="5">
        <f>IF($E255="","",INDEX('Input Transaksi'!$F:$F,$E255))</f>
        <v/>
      </c>
      <c r="E255">
        <f>IFERROR(AGGREGATE(15,6,ROW('Input Transaksi'!$B$5:$B$5000)/('Input Transaksi'!$B$5:$B$5000="JCL SESETAN"),ROWS($E$5:E255)),"")</f>
        <v/>
      </c>
      <c r="F255" s="5" t="n"/>
    </row>
    <row r="256">
      <c r="A256" s="10">
        <f>IF($E256="","",INDEX('Input Transaksi'!$A:$A,$E256))</f>
        <v/>
      </c>
      <c r="B256" s="5">
        <f>IF($E256="","",INDEX('Input Transaksi'!$D:$D,$E256))</f>
        <v/>
      </c>
      <c r="C256">
        <f>IF($E256="","",INDEX('Input Transaksi'!$E:$E,$E256))</f>
        <v/>
      </c>
      <c r="D256" s="5">
        <f>IF($E256="","",INDEX('Input Transaksi'!$F:$F,$E256))</f>
        <v/>
      </c>
      <c r="E256">
        <f>IFERROR(AGGREGATE(15,6,ROW('Input Transaksi'!$B$5:$B$5000)/('Input Transaksi'!$B$5:$B$5000="JCL SESETAN"),ROWS($E$5:E256)),"")</f>
        <v/>
      </c>
      <c r="F256" s="5" t="n"/>
    </row>
    <row r="257">
      <c r="A257" s="10">
        <f>IF($E257="","",INDEX('Input Transaksi'!$A:$A,$E257))</f>
        <v/>
      </c>
      <c r="B257" s="5">
        <f>IF($E257="","",INDEX('Input Transaksi'!$D:$D,$E257))</f>
        <v/>
      </c>
      <c r="C257">
        <f>IF($E257="","",INDEX('Input Transaksi'!$E:$E,$E257))</f>
        <v/>
      </c>
      <c r="D257" s="5">
        <f>IF($E257="","",INDEX('Input Transaksi'!$F:$F,$E257))</f>
        <v/>
      </c>
      <c r="E257">
        <f>IFERROR(AGGREGATE(15,6,ROW('Input Transaksi'!$B$5:$B$5000)/('Input Transaksi'!$B$5:$B$5000="JCL SESETAN"),ROWS($E$5:E257)),"")</f>
        <v/>
      </c>
      <c r="F257" s="5" t="n"/>
    </row>
    <row r="258">
      <c r="A258" s="10">
        <f>IF($E258="","",INDEX('Input Transaksi'!$A:$A,$E258))</f>
        <v/>
      </c>
      <c r="B258" s="5">
        <f>IF($E258="","",INDEX('Input Transaksi'!$D:$D,$E258))</f>
        <v/>
      </c>
      <c r="C258">
        <f>IF($E258="","",INDEX('Input Transaksi'!$E:$E,$E258))</f>
        <v/>
      </c>
      <c r="D258" s="5">
        <f>IF($E258="","",INDEX('Input Transaksi'!$F:$F,$E258))</f>
        <v/>
      </c>
      <c r="E258">
        <f>IFERROR(AGGREGATE(15,6,ROW('Input Transaksi'!$B$5:$B$5000)/('Input Transaksi'!$B$5:$B$5000="JCL SESETAN"),ROWS($E$5:E258)),"")</f>
        <v/>
      </c>
      <c r="F258" s="5" t="n"/>
    </row>
    <row r="259">
      <c r="A259" s="10">
        <f>IF($E259="","",INDEX('Input Transaksi'!$A:$A,$E259))</f>
        <v/>
      </c>
      <c r="B259" s="5">
        <f>IF($E259="","",INDEX('Input Transaksi'!$D:$D,$E259))</f>
        <v/>
      </c>
      <c r="C259">
        <f>IF($E259="","",INDEX('Input Transaksi'!$E:$E,$E259))</f>
        <v/>
      </c>
      <c r="D259" s="5">
        <f>IF($E259="","",INDEX('Input Transaksi'!$F:$F,$E259))</f>
        <v/>
      </c>
      <c r="E259">
        <f>IFERROR(AGGREGATE(15,6,ROW('Input Transaksi'!$B$5:$B$5000)/('Input Transaksi'!$B$5:$B$5000="JCL SESETAN"),ROWS($E$5:E259)),"")</f>
        <v/>
      </c>
      <c r="F259" s="5" t="n"/>
    </row>
    <row r="260">
      <c r="A260" s="10">
        <f>IF($E260="","",INDEX('Input Transaksi'!$A:$A,$E260))</f>
        <v/>
      </c>
      <c r="B260" s="5">
        <f>IF($E260="","",INDEX('Input Transaksi'!$D:$D,$E260))</f>
        <v/>
      </c>
      <c r="C260">
        <f>IF($E260="","",INDEX('Input Transaksi'!$E:$E,$E260))</f>
        <v/>
      </c>
      <c r="D260" s="5">
        <f>IF($E260="","",INDEX('Input Transaksi'!$F:$F,$E260))</f>
        <v/>
      </c>
      <c r="E260">
        <f>IFERROR(AGGREGATE(15,6,ROW('Input Transaksi'!$B$5:$B$5000)/('Input Transaksi'!$B$5:$B$5000="JCL SESETAN"),ROWS($E$5:E260)),"")</f>
        <v/>
      </c>
      <c r="F260" s="5" t="n"/>
    </row>
    <row r="261">
      <c r="A261" s="10">
        <f>IF($E261="","",INDEX('Input Transaksi'!$A:$A,$E261))</f>
        <v/>
      </c>
      <c r="B261" s="5">
        <f>IF($E261="","",INDEX('Input Transaksi'!$D:$D,$E261))</f>
        <v/>
      </c>
      <c r="C261">
        <f>IF($E261="","",INDEX('Input Transaksi'!$E:$E,$E261))</f>
        <v/>
      </c>
      <c r="D261" s="5">
        <f>IF($E261="","",INDEX('Input Transaksi'!$F:$F,$E261))</f>
        <v/>
      </c>
      <c r="E261">
        <f>IFERROR(AGGREGATE(15,6,ROW('Input Transaksi'!$B$5:$B$5000)/('Input Transaksi'!$B$5:$B$5000="JCL SESETAN"),ROWS($E$5:E261)),"")</f>
        <v/>
      </c>
      <c r="F261" s="5" t="n"/>
    </row>
    <row r="262">
      <c r="A262" s="10">
        <f>IF($E262="","",INDEX('Input Transaksi'!$A:$A,$E262))</f>
        <v/>
      </c>
      <c r="B262" s="5">
        <f>IF($E262="","",INDEX('Input Transaksi'!$D:$D,$E262))</f>
        <v/>
      </c>
      <c r="C262">
        <f>IF($E262="","",INDEX('Input Transaksi'!$E:$E,$E262))</f>
        <v/>
      </c>
      <c r="D262" s="5">
        <f>IF($E262="","",INDEX('Input Transaksi'!$F:$F,$E262))</f>
        <v/>
      </c>
      <c r="E262">
        <f>IFERROR(AGGREGATE(15,6,ROW('Input Transaksi'!$B$5:$B$5000)/('Input Transaksi'!$B$5:$B$5000="JCL SESETAN"),ROWS($E$5:E262)),"")</f>
        <v/>
      </c>
      <c r="F262" s="5" t="n"/>
    </row>
    <row r="263">
      <c r="A263" s="10">
        <f>IF($E263="","",INDEX('Input Transaksi'!$A:$A,$E263))</f>
        <v/>
      </c>
      <c r="B263" s="5">
        <f>IF($E263="","",INDEX('Input Transaksi'!$D:$D,$E263))</f>
        <v/>
      </c>
      <c r="C263">
        <f>IF($E263="","",INDEX('Input Transaksi'!$E:$E,$E263))</f>
        <v/>
      </c>
      <c r="D263" s="5">
        <f>IF($E263="","",INDEX('Input Transaksi'!$F:$F,$E263))</f>
        <v/>
      </c>
      <c r="E263">
        <f>IFERROR(AGGREGATE(15,6,ROW('Input Transaksi'!$B$5:$B$5000)/('Input Transaksi'!$B$5:$B$5000="JCL SESETAN"),ROWS($E$5:E263)),"")</f>
        <v/>
      </c>
      <c r="F263" s="5" t="n"/>
    </row>
    <row r="264">
      <c r="A264" s="10">
        <f>IF($E264="","",INDEX('Input Transaksi'!$A:$A,$E264))</f>
        <v/>
      </c>
      <c r="B264" s="5">
        <f>IF($E264="","",INDEX('Input Transaksi'!$D:$D,$E264))</f>
        <v/>
      </c>
      <c r="C264">
        <f>IF($E264="","",INDEX('Input Transaksi'!$E:$E,$E264))</f>
        <v/>
      </c>
      <c r="D264" s="5">
        <f>IF($E264="","",INDEX('Input Transaksi'!$F:$F,$E264))</f>
        <v/>
      </c>
      <c r="E264">
        <f>IFERROR(AGGREGATE(15,6,ROW('Input Transaksi'!$B$5:$B$5000)/('Input Transaksi'!$B$5:$B$5000="JCL SESETAN"),ROWS($E$5:E264)),"")</f>
        <v/>
      </c>
      <c r="F264" s="5" t="n"/>
    </row>
    <row r="265">
      <c r="A265" s="10">
        <f>IF($E265="","",INDEX('Input Transaksi'!$A:$A,$E265))</f>
        <v/>
      </c>
      <c r="B265" s="5">
        <f>IF($E265="","",INDEX('Input Transaksi'!$D:$D,$E265))</f>
        <v/>
      </c>
      <c r="C265">
        <f>IF($E265="","",INDEX('Input Transaksi'!$E:$E,$E265))</f>
        <v/>
      </c>
      <c r="D265" s="5">
        <f>IF($E265="","",INDEX('Input Transaksi'!$F:$F,$E265))</f>
        <v/>
      </c>
      <c r="E265">
        <f>IFERROR(AGGREGATE(15,6,ROW('Input Transaksi'!$B$5:$B$5000)/('Input Transaksi'!$B$5:$B$5000="JCL SESETAN"),ROWS($E$5:E265)),"")</f>
        <v/>
      </c>
      <c r="F265" s="5" t="n"/>
    </row>
    <row r="266">
      <c r="A266" s="10">
        <f>IF($E266="","",INDEX('Input Transaksi'!$A:$A,$E266))</f>
        <v/>
      </c>
      <c r="B266" s="5">
        <f>IF($E266="","",INDEX('Input Transaksi'!$D:$D,$E266))</f>
        <v/>
      </c>
      <c r="C266">
        <f>IF($E266="","",INDEX('Input Transaksi'!$E:$E,$E266))</f>
        <v/>
      </c>
      <c r="D266" s="5">
        <f>IF($E266="","",INDEX('Input Transaksi'!$F:$F,$E266))</f>
        <v/>
      </c>
      <c r="E266">
        <f>IFERROR(AGGREGATE(15,6,ROW('Input Transaksi'!$B$5:$B$5000)/('Input Transaksi'!$B$5:$B$5000="JCL SESETAN"),ROWS($E$5:E266)),"")</f>
        <v/>
      </c>
      <c r="F266" s="5" t="n"/>
    </row>
    <row r="267">
      <c r="A267" s="10">
        <f>IF($E267="","",INDEX('Input Transaksi'!$A:$A,$E267))</f>
        <v/>
      </c>
      <c r="B267" s="5">
        <f>IF($E267="","",INDEX('Input Transaksi'!$D:$D,$E267))</f>
        <v/>
      </c>
      <c r="C267">
        <f>IF($E267="","",INDEX('Input Transaksi'!$E:$E,$E267))</f>
        <v/>
      </c>
      <c r="D267" s="5">
        <f>IF($E267="","",INDEX('Input Transaksi'!$F:$F,$E267))</f>
        <v/>
      </c>
      <c r="E267">
        <f>IFERROR(AGGREGATE(15,6,ROW('Input Transaksi'!$B$5:$B$5000)/('Input Transaksi'!$B$5:$B$5000="JCL SESETAN"),ROWS($E$5:E267)),"")</f>
        <v/>
      </c>
      <c r="F267" s="5" t="n"/>
    </row>
    <row r="268">
      <c r="A268" s="10">
        <f>IF($E268="","",INDEX('Input Transaksi'!$A:$A,$E268))</f>
        <v/>
      </c>
      <c r="B268" s="5">
        <f>IF($E268="","",INDEX('Input Transaksi'!$D:$D,$E268))</f>
        <v/>
      </c>
      <c r="C268">
        <f>IF($E268="","",INDEX('Input Transaksi'!$E:$E,$E268))</f>
        <v/>
      </c>
      <c r="D268" s="5">
        <f>IF($E268="","",INDEX('Input Transaksi'!$F:$F,$E268))</f>
        <v/>
      </c>
      <c r="E268">
        <f>IFERROR(AGGREGATE(15,6,ROW('Input Transaksi'!$B$5:$B$5000)/('Input Transaksi'!$B$5:$B$5000="JCL SESETAN"),ROWS($E$5:E268)),"")</f>
        <v/>
      </c>
      <c r="F268" s="5" t="n"/>
    </row>
    <row r="269">
      <c r="A269" s="10">
        <f>IF($E269="","",INDEX('Input Transaksi'!$A:$A,$E269))</f>
        <v/>
      </c>
      <c r="B269" s="5">
        <f>IF($E269="","",INDEX('Input Transaksi'!$D:$D,$E269))</f>
        <v/>
      </c>
      <c r="C269">
        <f>IF($E269="","",INDEX('Input Transaksi'!$E:$E,$E269))</f>
        <v/>
      </c>
      <c r="D269" s="5">
        <f>IF($E269="","",INDEX('Input Transaksi'!$F:$F,$E269))</f>
        <v/>
      </c>
      <c r="E269">
        <f>IFERROR(AGGREGATE(15,6,ROW('Input Transaksi'!$B$5:$B$5000)/('Input Transaksi'!$B$5:$B$5000="JCL SESETAN"),ROWS($E$5:E269)),"")</f>
        <v/>
      </c>
      <c r="F269" s="5" t="n"/>
    </row>
    <row r="270">
      <c r="A270" s="10">
        <f>IF($E270="","",INDEX('Input Transaksi'!$A:$A,$E270))</f>
        <v/>
      </c>
      <c r="B270" s="5">
        <f>IF($E270="","",INDEX('Input Transaksi'!$D:$D,$E270))</f>
        <v/>
      </c>
      <c r="C270">
        <f>IF($E270="","",INDEX('Input Transaksi'!$E:$E,$E270))</f>
        <v/>
      </c>
      <c r="D270" s="5">
        <f>IF($E270="","",INDEX('Input Transaksi'!$F:$F,$E270))</f>
        <v/>
      </c>
      <c r="E270">
        <f>IFERROR(AGGREGATE(15,6,ROW('Input Transaksi'!$B$5:$B$5000)/('Input Transaksi'!$B$5:$B$5000="JCL SESETAN"),ROWS($E$5:E270)),"")</f>
        <v/>
      </c>
      <c r="F270" s="5" t="n"/>
    </row>
    <row r="271">
      <c r="A271" s="10">
        <f>IF($E271="","",INDEX('Input Transaksi'!$A:$A,$E271))</f>
        <v/>
      </c>
      <c r="B271" s="5">
        <f>IF($E271="","",INDEX('Input Transaksi'!$D:$D,$E271))</f>
        <v/>
      </c>
      <c r="C271">
        <f>IF($E271="","",INDEX('Input Transaksi'!$E:$E,$E271))</f>
        <v/>
      </c>
      <c r="D271" s="5">
        <f>IF($E271="","",INDEX('Input Transaksi'!$F:$F,$E271))</f>
        <v/>
      </c>
      <c r="E271">
        <f>IFERROR(AGGREGATE(15,6,ROW('Input Transaksi'!$B$5:$B$5000)/('Input Transaksi'!$B$5:$B$5000="JCL SESETAN"),ROWS($E$5:E271)),"")</f>
        <v/>
      </c>
      <c r="F271" s="5" t="n"/>
    </row>
    <row r="272">
      <c r="A272" s="10">
        <f>IF($E272="","",INDEX('Input Transaksi'!$A:$A,$E272))</f>
        <v/>
      </c>
      <c r="B272" s="5">
        <f>IF($E272="","",INDEX('Input Transaksi'!$D:$D,$E272))</f>
        <v/>
      </c>
      <c r="C272">
        <f>IF($E272="","",INDEX('Input Transaksi'!$E:$E,$E272))</f>
        <v/>
      </c>
      <c r="D272" s="5">
        <f>IF($E272="","",INDEX('Input Transaksi'!$F:$F,$E272))</f>
        <v/>
      </c>
      <c r="E272">
        <f>IFERROR(AGGREGATE(15,6,ROW('Input Transaksi'!$B$5:$B$5000)/('Input Transaksi'!$B$5:$B$5000="JCL SESETAN"),ROWS($E$5:E272)),"")</f>
        <v/>
      </c>
      <c r="F272" s="5" t="n"/>
    </row>
    <row r="273">
      <c r="A273" s="10">
        <f>IF($E273="","",INDEX('Input Transaksi'!$A:$A,$E273))</f>
        <v/>
      </c>
      <c r="B273" s="5">
        <f>IF($E273="","",INDEX('Input Transaksi'!$D:$D,$E273))</f>
        <v/>
      </c>
      <c r="C273">
        <f>IF($E273="","",INDEX('Input Transaksi'!$E:$E,$E273))</f>
        <v/>
      </c>
      <c r="D273" s="5">
        <f>IF($E273="","",INDEX('Input Transaksi'!$F:$F,$E273))</f>
        <v/>
      </c>
      <c r="E273">
        <f>IFERROR(AGGREGATE(15,6,ROW('Input Transaksi'!$B$5:$B$5000)/('Input Transaksi'!$B$5:$B$5000="JCL SESETAN"),ROWS($E$5:E273)),"")</f>
        <v/>
      </c>
      <c r="F273" s="5" t="n"/>
    </row>
    <row r="274">
      <c r="A274" s="10">
        <f>IF($E274="","",INDEX('Input Transaksi'!$A:$A,$E274))</f>
        <v/>
      </c>
      <c r="B274" s="5">
        <f>IF($E274="","",INDEX('Input Transaksi'!$D:$D,$E274))</f>
        <v/>
      </c>
      <c r="C274">
        <f>IF($E274="","",INDEX('Input Transaksi'!$E:$E,$E274))</f>
        <v/>
      </c>
      <c r="D274" s="5">
        <f>IF($E274="","",INDEX('Input Transaksi'!$F:$F,$E274))</f>
        <v/>
      </c>
      <c r="E274">
        <f>IFERROR(AGGREGATE(15,6,ROW('Input Transaksi'!$B$5:$B$5000)/('Input Transaksi'!$B$5:$B$5000="JCL SESETAN"),ROWS($E$5:E274)),"")</f>
        <v/>
      </c>
      <c r="F274" s="5" t="n"/>
    </row>
    <row r="275">
      <c r="A275" s="10">
        <f>IF($E275="","",INDEX('Input Transaksi'!$A:$A,$E275))</f>
        <v/>
      </c>
      <c r="B275" s="5">
        <f>IF($E275="","",INDEX('Input Transaksi'!$D:$D,$E275))</f>
        <v/>
      </c>
      <c r="C275">
        <f>IF($E275="","",INDEX('Input Transaksi'!$E:$E,$E275))</f>
        <v/>
      </c>
      <c r="D275" s="5">
        <f>IF($E275="","",INDEX('Input Transaksi'!$F:$F,$E275))</f>
        <v/>
      </c>
      <c r="E275">
        <f>IFERROR(AGGREGATE(15,6,ROW('Input Transaksi'!$B$5:$B$5000)/('Input Transaksi'!$B$5:$B$5000="JCL SESETAN"),ROWS($E$5:E275)),"")</f>
        <v/>
      </c>
      <c r="F275" s="5" t="n"/>
    </row>
    <row r="276">
      <c r="A276" s="10">
        <f>IF($E276="","",INDEX('Input Transaksi'!$A:$A,$E276))</f>
        <v/>
      </c>
      <c r="B276" s="5">
        <f>IF($E276="","",INDEX('Input Transaksi'!$D:$D,$E276))</f>
        <v/>
      </c>
      <c r="C276">
        <f>IF($E276="","",INDEX('Input Transaksi'!$E:$E,$E276))</f>
        <v/>
      </c>
      <c r="D276" s="5">
        <f>IF($E276="","",INDEX('Input Transaksi'!$F:$F,$E276))</f>
        <v/>
      </c>
      <c r="E276">
        <f>IFERROR(AGGREGATE(15,6,ROW('Input Transaksi'!$B$5:$B$5000)/('Input Transaksi'!$B$5:$B$5000="JCL SESETAN"),ROWS($E$5:E276)),"")</f>
        <v/>
      </c>
      <c r="F276" s="5" t="n"/>
    </row>
    <row r="277">
      <c r="A277" s="10">
        <f>IF($E277="","",INDEX('Input Transaksi'!$A:$A,$E277))</f>
        <v/>
      </c>
      <c r="B277" s="5">
        <f>IF($E277="","",INDEX('Input Transaksi'!$D:$D,$E277))</f>
        <v/>
      </c>
      <c r="C277">
        <f>IF($E277="","",INDEX('Input Transaksi'!$E:$E,$E277))</f>
        <v/>
      </c>
      <c r="D277" s="5">
        <f>IF($E277="","",INDEX('Input Transaksi'!$F:$F,$E277))</f>
        <v/>
      </c>
      <c r="E277">
        <f>IFERROR(AGGREGATE(15,6,ROW('Input Transaksi'!$B$5:$B$5000)/('Input Transaksi'!$B$5:$B$5000="JCL SESETAN"),ROWS($E$5:E277)),"")</f>
        <v/>
      </c>
      <c r="F277" s="5" t="n"/>
    </row>
    <row r="278">
      <c r="A278" s="10">
        <f>IF($E278="","",INDEX('Input Transaksi'!$A:$A,$E278))</f>
        <v/>
      </c>
      <c r="B278" s="5">
        <f>IF($E278="","",INDEX('Input Transaksi'!$D:$D,$E278))</f>
        <v/>
      </c>
      <c r="C278">
        <f>IF($E278="","",INDEX('Input Transaksi'!$E:$E,$E278))</f>
        <v/>
      </c>
      <c r="D278" s="5">
        <f>IF($E278="","",INDEX('Input Transaksi'!$F:$F,$E278))</f>
        <v/>
      </c>
      <c r="E278">
        <f>IFERROR(AGGREGATE(15,6,ROW('Input Transaksi'!$B$5:$B$5000)/('Input Transaksi'!$B$5:$B$5000="JCL SESETAN"),ROWS($E$5:E278)),"")</f>
        <v/>
      </c>
      <c r="F278" s="5" t="n"/>
    </row>
    <row r="279">
      <c r="A279" s="10">
        <f>IF($E279="","",INDEX('Input Transaksi'!$A:$A,$E279))</f>
        <v/>
      </c>
      <c r="B279" s="5">
        <f>IF($E279="","",INDEX('Input Transaksi'!$D:$D,$E279))</f>
        <v/>
      </c>
      <c r="C279">
        <f>IF($E279="","",INDEX('Input Transaksi'!$E:$E,$E279))</f>
        <v/>
      </c>
      <c r="D279" s="5">
        <f>IF($E279="","",INDEX('Input Transaksi'!$F:$F,$E279))</f>
        <v/>
      </c>
      <c r="E279">
        <f>IFERROR(AGGREGATE(15,6,ROW('Input Transaksi'!$B$5:$B$5000)/('Input Transaksi'!$B$5:$B$5000="JCL SESETAN"),ROWS($E$5:E279)),"")</f>
        <v/>
      </c>
      <c r="F279" s="5" t="n"/>
    </row>
    <row r="280">
      <c r="A280" s="10">
        <f>IF($E280="","",INDEX('Input Transaksi'!$A:$A,$E280))</f>
        <v/>
      </c>
      <c r="B280" s="5">
        <f>IF($E280="","",INDEX('Input Transaksi'!$D:$D,$E280))</f>
        <v/>
      </c>
      <c r="C280">
        <f>IF($E280="","",INDEX('Input Transaksi'!$E:$E,$E280))</f>
        <v/>
      </c>
      <c r="D280" s="5">
        <f>IF($E280="","",INDEX('Input Transaksi'!$F:$F,$E280))</f>
        <v/>
      </c>
      <c r="E280">
        <f>IFERROR(AGGREGATE(15,6,ROW('Input Transaksi'!$B$5:$B$5000)/('Input Transaksi'!$B$5:$B$5000="JCL SESETAN"),ROWS($E$5:E280)),"")</f>
        <v/>
      </c>
      <c r="F280" s="5" t="n"/>
    </row>
    <row r="281">
      <c r="A281" s="10">
        <f>IF($E281="","",INDEX('Input Transaksi'!$A:$A,$E281))</f>
        <v/>
      </c>
      <c r="B281" s="5">
        <f>IF($E281="","",INDEX('Input Transaksi'!$D:$D,$E281))</f>
        <v/>
      </c>
      <c r="C281">
        <f>IF($E281="","",INDEX('Input Transaksi'!$E:$E,$E281))</f>
        <v/>
      </c>
      <c r="D281" s="5">
        <f>IF($E281="","",INDEX('Input Transaksi'!$F:$F,$E281))</f>
        <v/>
      </c>
      <c r="E281">
        <f>IFERROR(AGGREGATE(15,6,ROW('Input Transaksi'!$B$5:$B$5000)/('Input Transaksi'!$B$5:$B$5000="JCL SESETAN"),ROWS($E$5:E281)),"")</f>
        <v/>
      </c>
      <c r="F281" s="5" t="n"/>
    </row>
    <row r="282">
      <c r="A282" s="10">
        <f>IF($E282="","",INDEX('Input Transaksi'!$A:$A,$E282))</f>
        <v/>
      </c>
      <c r="B282" s="5">
        <f>IF($E282="","",INDEX('Input Transaksi'!$D:$D,$E282))</f>
        <v/>
      </c>
      <c r="C282">
        <f>IF($E282="","",INDEX('Input Transaksi'!$E:$E,$E282))</f>
        <v/>
      </c>
      <c r="D282" s="5">
        <f>IF($E282="","",INDEX('Input Transaksi'!$F:$F,$E282))</f>
        <v/>
      </c>
      <c r="E282">
        <f>IFERROR(AGGREGATE(15,6,ROW('Input Transaksi'!$B$5:$B$5000)/('Input Transaksi'!$B$5:$B$5000="JCL SESETAN"),ROWS($E$5:E282)),"")</f>
        <v/>
      </c>
      <c r="F282" s="5" t="n"/>
    </row>
    <row r="283">
      <c r="A283" s="10">
        <f>IF($E283="","",INDEX('Input Transaksi'!$A:$A,$E283))</f>
        <v/>
      </c>
      <c r="B283" s="5">
        <f>IF($E283="","",INDEX('Input Transaksi'!$D:$D,$E283))</f>
        <v/>
      </c>
      <c r="C283">
        <f>IF($E283="","",INDEX('Input Transaksi'!$E:$E,$E283))</f>
        <v/>
      </c>
      <c r="D283" s="5">
        <f>IF($E283="","",INDEX('Input Transaksi'!$F:$F,$E283))</f>
        <v/>
      </c>
      <c r="E283">
        <f>IFERROR(AGGREGATE(15,6,ROW('Input Transaksi'!$B$5:$B$5000)/('Input Transaksi'!$B$5:$B$5000="JCL SESETAN"),ROWS($E$5:E283)),"")</f>
        <v/>
      </c>
      <c r="F283" s="5" t="n"/>
    </row>
    <row r="284">
      <c r="A284" s="10">
        <f>IF($E284="","",INDEX('Input Transaksi'!$A:$A,$E284))</f>
        <v/>
      </c>
      <c r="B284" s="5">
        <f>IF($E284="","",INDEX('Input Transaksi'!$D:$D,$E284))</f>
        <v/>
      </c>
      <c r="C284">
        <f>IF($E284="","",INDEX('Input Transaksi'!$E:$E,$E284))</f>
        <v/>
      </c>
      <c r="D284" s="5">
        <f>IF($E284="","",INDEX('Input Transaksi'!$F:$F,$E284))</f>
        <v/>
      </c>
      <c r="E284">
        <f>IFERROR(AGGREGATE(15,6,ROW('Input Transaksi'!$B$5:$B$5000)/('Input Transaksi'!$B$5:$B$5000="JCL SESETAN"),ROWS($E$5:E284)),"")</f>
        <v/>
      </c>
      <c r="F284" s="5" t="n"/>
    </row>
    <row r="285">
      <c r="A285" s="10">
        <f>IF($E285="","",INDEX('Input Transaksi'!$A:$A,$E285))</f>
        <v/>
      </c>
      <c r="B285" s="5">
        <f>IF($E285="","",INDEX('Input Transaksi'!$D:$D,$E285))</f>
        <v/>
      </c>
      <c r="C285">
        <f>IF($E285="","",INDEX('Input Transaksi'!$E:$E,$E285))</f>
        <v/>
      </c>
      <c r="D285" s="5">
        <f>IF($E285="","",INDEX('Input Transaksi'!$F:$F,$E285))</f>
        <v/>
      </c>
      <c r="E285">
        <f>IFERROR(AGGREGATE(15,6,ROW('Input Transaksi'!$B$5:$B$5000)/('Input Transaksi'!$B$5:$B$5000="JCL SESETAN"),ROWS($E$5:E285)),"")</f>
        <v/>
      </c>
      <c r="F285" s="5" t="n"/>
    </row>
    <row r="286">
      <c r="A286" s="10">
        <f>IF($E286="","",INDEX('Input Transaksi'!$A:$A,$E286))</f>
        <v/>
      </c>
      <c r="B286" s="5">
        <f>IF($E286="","",INDEX('Input Transaksi'!$D:$D,$E286))</f>
        <v/>
      </c>
      <c r="C286">
        <f>IF($E286="","",INDEX('Input Transaksi'!$E:$E,$E286))</f>
        <v/>
      </c>
      <c r="D286" s="5">
        <f>IF($E286="","",INDEX('Input Transaksi'!$F:$F,$E286))</f>
        <v/>
      </c>
      <c r="E286">
        <f>IFERROR(AGGREGATE(15,6,ROW('Input Transaksi'!$B$5:$B$5000)/('Input Transaksi'!$B$5:$B$5000="JCL SESETAN"),ROWS($E$5:E286)),"")</f>
        <v/>
      </c>
      <c r="F286" s="5" t="n"/>
    </row>
    <row r="287">
      <c r="A287" s="10">
        <f>IF($E287="","",INDEX('Input Transaksi'!$A:$A,$E287))</f>
        <v/>
      </c>
      <c r="B287" s="5">
        <f>IF($E287="","",INDEX('Input Transaksi'!$D:$D,$E287))</f>
        <v/>
      </c>
      <c r="C287">
        <f>IF($E287="","",INDEX('Input Transaksi'!$E:$E,$E287))</f>
        <v/>
      </c>
      <c r="D287" s="5">
        <f>IF($E287="","",INDEX('Input Transaksi'!$F:$F,$E287))</f>
        <v/>
      </c>
      <c r="E287">
        <f>IFERROR(AGGREGATE(15,6,ROW('Input Transaksi'!$B$5:$B$5000)/('Input Transaksi'!$B$5:$B$5000="JCL SESETAN"),ROWS($E$5:E287)),"")</f>
        <v/>
      </c>
      <c r="F287" s="5" t="n"/>
    </row>
    <row r="288">
      <c r="A288" s="10">
        <f>IF($E288="","",INDEX('Input Transaksi'!$A:$A,$E288))</f>
        <v/>
      </c>
      <c r="B288" s="5">
        <f>IF($E288="","",INDEX('Input Transaksi'!$D:$D,$E288))</f>
        <v/>
      </c>
      <c r="C288">
        <f>IF($E288="","",INDEX('Input Transaksi'!$E:$E,$E288))</f>
        <v/>
      </c>
      <c r="D288" s="5">
        <f>IF($E288="","",INDEX('Input Transaksi'!$F:$F,$E288))</f>
        <v/>
      </c>
      <c r="E288">
        <f>IFERROR(AGGREGATE(15,6,ROW('Input Transaksi'!$B$5:$B$5000)/('Input Transaksi'!$B$5:$B$5000="JCL SESETAN"),ROWS($E$5:E288)),"")</f>
        <v/>
      </c>
      <c r="F288" s="5" t="n"/>
    </row>
    <row r="289">
      <c r="A289" s="10">
        <f>IF($E289="","",INDEX('Input Transaksi'!$A:$A,$E289))</f>
        <v/>
      </c>
      <c r="B289" s="5">
        <f>IF($E289="","",INDEX('Input Transaksi'!$D:$D,$E289))</f>
        <v/>
      </c>
      <c r="C289">
        <f>IF($E289="","",INDEX('Input Transaksi'!$E:$E,$E289))</f>
        <v/>
      </c>
      <c r="D289" s="5">
        <f>IF($E289="","",INDEX('Input Transaksi'!$F:$F,$E289))</f>
        <v/>
      </c>
      <c r="E289">
        <f>IFERROR(AGGREGATE(15,6,ROW('Input Transaksi'!$B$5:$B$5000)/('Input Transaksi'!$B$5:$B$5000="JCL SESETAN"),ROWS($E$5:E289)),"")</f>
        <v/>
      </c>
      <c r="F289" s="5" t="n"/>
    </row>
    <row r="290">
      <c r="A290" s="10">
        <f>IF($E290="","",INDEX('Input Transaksi'!$A:$A,$E290))</f>
        <v/>
      </c>
      <c r="B290" s="5">
        <f>IF($E290="","",INDEX('Input Transaksi'!$D:$D,$E290))</f>
        <v/>
      </c>
      <c r="C290">
        <f>IF($E290="","",INDEX('Input Transaksi'!$E:$E,$E290))</f>
        <v/>
      </c>
      <c r="D290" s="5">
        <f>IF($E290="","",INDEX('Input Transaksi'!$F:$F,$E290))</f>
        <v/>
      </c>
      <c r="E290">
        <f>IFERROR(AGGREGATE(15,6,ROW('Input Transaksi'!$B$5:$B$5000)/('Input Transaksi'!$B$5:$B$5000="JCL SESETAN"),ROWS($E$5:E290)),"")</f>
        <v/>
      </c>
      <c r="F290" s="5" t="n"/>
    </row>
    <row r="291">
      <c r="A291" s="10">
        <f>IF($E291="","",INDEX('Input Transaksi'!$A:$A,$E291))</f>
        <v/>
      </c>
      <c r="B291" s="5">
        <f>IF($E291="","",INDEX('Input Transaksi'!$D:$D,$E291))</f>
        <v/>
      </c>
      <c r="C291">
        <f>IF($E291="","",INDEX('Input Transaksi'!$E:$E,$E291))</f>
        <v/>
      </c>
      <c r="D291" s="5">
        <f>IF($E291="","",INDEX('Input Transaksi'!$F:$F,$E291))</f>
        <v/>
      </c>
      <c r="E291">
        <f>IFERROR(AGGREGATE(15,6,ROW('Input Transaksi'!$B$5:$B$5000)/('Input Transaksi'!$B$5:$B$5000="JCL SESETAN"),ROWS($E$5:E291)),"")</f>
        <v/>
      </c>
      <c r="F291" s="5" t="n"/>
    </row>
    <row r="292">
      <c r="A292" s="10">
        <f>IF($E292="","",INDEX('Input Transaksi'!$A:$A,$E292))</f>
        <v/>
      </c>
      <c r="B292" s="5">
        <f>IF($E292="","",INDEX('Input Transaksi'!$D:$D,$E292))</f>
        <v/>
      </c>
      <c r="C292">
        <f>IF($E292="","",INDEX('Input Transaksi'!$E:$E,$E292))</f>
        <v/>
      </c>
      <c r="D292" s="5">
        <f>IF($E292="","",INDEX('Input Transaksi'!$F:$F,$E292))</f>
        <v/>
      </c>
      <c r="E292">
        <f>IFERROR(AGGREGATE(15,6,ROW('Input Transaksi'!$B$5:$B$5000)/('Input Transaksi'!$B$5:$B$5000="JCL SESETAN"),ROWS($E$5:E292)),"")</f>
        <v/>
      </c>
      <c r="F292" s="5" t="n"/>
    </row>
    <row r="293">
      <c r="A293" s="10">
        <f>IF($E293="","",INDEX('Input Transaksi'!$A:$A,$E293))</f>
        <v/>
      </c>
      <c r="B293" s="5">
        <f>IF($E293="","",INDEX('Input Transaksi'!$D:$D,$E293))</f>
        <v/>
      </c>
      <c r="C293">
        <f>IF($E293="","",INDEX('Input Transaksi'!$E:$E,$E293))</f>
        <v/>
      </c>
      <c r="D293" s="5">
        <f>IF($E293="","",INDEX('Input Transaksi'!$F:$F,$E293))</f>
        <v/>
      </c>
      <c r="E293">
        <f>IFERROR(AGGREGATE(15,6,ROW('Input Transaksi'!$B$5:$B$5000)/('Input Transaksi'!$B$5:$B$5000="JCL SESETAN"),ROWS($E$5:E293)),"")</f>
        <v/>
      </c>
      <c r="F293" s="5" t="n"/>
    </row>
    <row r="294">
      <c r="A294" s="10">
        <f>IF($E294="","",INDEX('Input Transaksi'!$A:$A,$E294))</f>
        <v/>
      </c>
      <c r="B294" s="5">
        <f>IF($E294="","",INDEX('Input Transaksi'!$D:$D,$E294))</f>
        <v/>
      </c>
      <c r="C294">
        <f>IF($E294="","",INDEX('Input Transaksi'!$E:$E,$E294))</f>
        <v/>
      </c>
      <c r="D294" s="5">
        <f>IF($E294="","",INDEX('Input Transaksi'!$F:$F,$E294))</f>
        <v/>
      </c>
      <c r="E294">
        <f>IFERROR(AGGREGATE(15,6,ROW('Input Transaksi'!$B$5:$B$5000)/('Input Transaksi'!$B$5:$B$5000="JCL SESETAN"),ROWS($E$5:E294)),"")</f>
        <v/>
      </c>
      <c r="F294" s="5" t="n"/>
    </row>
    <row r="295">
      <c r="A295" s="10">
        <f>IF($E295="","",INDEX('Input Transaksi'!$A:$A,$E295))</f>
        <v/>
      </c>
      <c r="B295" s="5">
        <f>IF($E295="","",INDEX('Input Transaksi'!$D:$D,$E295))</f>
        <v/>
      </c>
      <c r="C295">
        <f>IF($E295="","",INDEX('Input Transaksi'!$E:$E,$E295))</f>
        <v/>
      </c>
      <c r="D295" s="5">
        <f>IF($E295="","",INDEX('Input Transaksi'!$F:$F,$E295))</f>
        <v/>
      </c>
      <c r="E295">
        <f>IFERROR(AGGREGATE(15,6,ROW('Input Transaksi'!$B$5:$B$5000)/('Input Transaksi'!$B$5:$B$5000="JCL SESETAN"),ROWS($E$5:E295)),"")</f>
        <v/>
      </c>
      <c r="F295" s="5" t="n"/>
    </row>
    <row r="296">
      <c r="A296" s="10">
        <f>IF($E296="","",INDEX('Input Transaksi'!$A:$A,$E296))</f>
        <v/>
      </c>
      <c r="B296" s="5">
        <f>IF($E296="","",INDEX('Input Transaksi'!$D:$D,$E296))</f>
        <v/>
      </c>
      <c r="C296">
        <f>IF($E296="","",INDEX('Input Transaksi'!$E:$E,$E296))</f>
        <v/>
      </c>
      <c r="D296" s="5">
        <f>IF($E296="","",INDEX('Input Transaksi'!$F:$F,$E296))</f>
        <v/>
      </c>
      <c r="E296">
        <f>IFERROR(AGGREGATE(15,6,ROW('Input Transaksi'!$B$5:$B$5000)/('Input Transaksi'!$B$5:$B$5000="JCL SESETAN"),ROWS($E$5:E296)),"")</f>
        <v/>
      </c>
      <c r="F296" s="5" t="n"/>
    </row>
    <row r="297">
      <c r="A297" s="10">
        <f>IF($E297="","",INDEX('Input Transaksi'!$A:$A,$E297))</f>
        <v/>
      </c>
      <c r="B297" s="5">
        <f>IF($E297="","",INDEX('Input Transaksi'!$D:$D,$E297))</f>
        <v/>
      </c>
      <c r="C297">
        <f>IF($E297="","",INDEX('Input Transaksi'!$E:$E,$E297))</f>
        <v/>
      </c>
      <c r="D297" s="5">
        <f>IF($E297="","",INDEX('Input Transaksi'!$F:$F,$E297))</f>
        <v/>
      </c>
      <c r="E297">
        <f>IFERROR(AGGREGATE(15,6,ROW('Input Transaksi'!$B$5:$B$5000)/('Input Transaksi'!$B$5:$B$5000="JCL SESETAN"),ROWS($E$5:E297)),"")</f>
        <v/>
      </c>
      <c r="F297" s="5" t="n"/>
    </row>
    <row r="298">
      <c r="A298" s="10">
        <f>IF($E298="","",INDEX('Input Transaksi'!$A:$A,$E298))</f>
        <v/>
      </c>
      <c r="B298" s="5">
        <f>IF($E298="","",INDEX('Input Transaksi'!$D:$D,$E298))</f>
        <v/>
      </c>
      <c r="C298">
        <f>IF($E298="","",INDEX('Input Transaksi'!$E:$E,$E298))</f>
        <v/>
      </c>
      <c r="D298" s="5">
        <f>IF($E298="","",INDEX('Input Transaksi'!$F:$F,$E298))</f>
        <v/>
      </c>
      <c r="E298">
        <f>IFERROR(AGGREGATE(15,6,ROW('Input Transaksi'!$B$5:$B$5000)/('Input Transaksi'!$B$5:$B$5000="JCL SESETAN"),ROWS($E$5:E298)),"")</f>
        <v/>
      </c>
      <c r="F298" s="5" t="n"/>
    </row>
    <row r="299">
      <c r="A299" s="10">
        <f>IF($E299="","",INDEX('Input Transaksi'!$A:$A,$E299))</f>
        <v/>
      </c>
      <c r="B299" s="5">
        <f>IF($E299="","",INDEX('Input Transaksi'!$D:$D,$E299))</f>
        <v/>
      </c>
      <c r="C299">
        <f>IF($E299="","",INDEX('Input Transaksi'!$E:$E,$E299))</f>
        <v/>
      </c>
      <c r="D299" s="5">
        <f>IF($E299="","",INDEX('Input Transaksi'!$F:$F,$E299))</f>
        <v/>
      </c>
      <c r="E299">
        <f>IFERROR(AGGREGATE(15,6,ROW('Input Transaksi'!$B$5:$B$5000)/('Input Transaksi'!$B$5:$B$5000="JCL SESETAN"),ROWS($E$5:E299)),"")</f>
        <v/>
      </c>
      <c r="F299" s="5" t="n"/>
    </row>
    <row r="300">
      <c r="A300" s="10">
        <f>IF($E300="","",INDEX('Input Transaksi'!$A:$A,$E300))</f>
        <v/>
      </c>
      <c r="B300" s="5">
        <f>IF($E300="","",INDEX('Input Transaksi'!$D:$D,$E300))</f>
        <v/>
      </c>
      <c r="C300">
        <f>IF($E300="","",INDEX('Input Transaksi'!$E:$E,$E300))</f>
        <v/>
      </c>
      <c r="D300" s="5">
        <f>IF($E300="","",INDEX('Input Transaksi'!$F:$F,$E300))</f>
        <v/>
      </c>
      <c r="E300">
        <f>IFERROR(AGGREGATE(15,6,ROW('Input Transaksi'!$B$5:$B$5000)/('Input Transaksi'!$B$5:$B$5000="JCL SESETAN"),ROWS($E$5:E300)),"")</f>
        <v/>
      </c>
      <c r="F300" s="5" t="n"/>
    </row>
    <row r="301">
      <c r="A301" s="10">
        <f>IF($E301="","",INDEX('Input Transaksi'!$A:$A,$E301))</f>
        <v/>
      </c>
      <c r="B301" s="5">
        <f>IF($E301="","",INDEX('Input Transaksi'!$D:$D,$E301))</f>
        <v/>
      </c>
      <c r="C301">
        <f>IF($E301="","",INDEX('Input Transaksi'!$E:$E,$E301))</f>
        <v/>
      </c>
      <c r="D301" s="5">
        <f>IF($E301="","",INDEX('Input Transaksi'!$F:$F,$E301))</f>
        <v/>
      </c>
      <c r="E301">
        <f>IFERROR(AGGREGATE(15,6,ROW('Input Transaksi'!$B$5:$B$5000)/('Input Transaksi'!$B$5:$B$5000="JCL SESETAN"),ROWS($E$5:E301)),"")</f>
        <v/>
      </c>
      <c r="F301" s="5" t="n"/>
    </row>
    <row r="302">
      <c r="A302" s="10">
        <f>IF($E302="","",INDEX('Input Transaksi'!$A:$A,$E302))</f>
        <v/>
      </c>
      <c r="B302" s="5">
        <f>IF($E302="","",INDEX('Input Transaksi'!$D:$D,$E302))</f>
        <v/>
      </c>
      <c r="C302">
        <f>IF($E302="","",INDEX('Input Transaksi'!$E:$E,$E302))</f>
        <v/>
      </c>
      <c r="D302" s="5">
        <f>IF($E302="","",INDEX('Input Transaksi'!$F:$F,$E302))</f>
        <v/>
      </c>
      <c r="E302">
        <f>IFERROR(AGGREGATE(15,6,ROW('Input Transaksi'!$B$5:$B$5000)/('Input Transaksi'!$B$5:$B$5000="JCL SESETAN"),ROWS($E$5:E302)),"")</f>
        <v/>
      </c>
      <c r="F302" s="5" t="n"/>
    </row>
    <row r="303">
      <c r="A303" s="10">
        <f>IF($E303="","",INDEX('Input Transaksi'!$A:$A,$E303))</f>
        <v/>
      </c>
      <c r="B303" s="5">
        <f>IF($E303="","",INDEX('Input Transaksi'!$D:$D,$E303))</f>
        <v/>
      </c>
      <c r="C303">
        <f>IF($E303="","",INDEX('Input Transaksi'!$E:$E,$E303))</f>
        <v/>
      </c>
      <c r="D303" s="5">
        <f>IF($E303="","",INDEX('Input Transaksi'!$F:$F,$E303))</f>
        <v/>
      </c>
      <c r="E303">
        <f>IFERROR(AGGREGATE(15,6,ROW('Input Transaksi'!$B$5:$B$5000)/('Input Transaksi'!$B$5:$B$5000="JCL SESETAN"),ROWS($E$5:E303)),"")</f>
        <v/>
      </c>
      <c r="F303" s="5" t="n"/>
    </row>
    <row r="304">
      <c r="A304" s="10">
        <f>IF($E304="","",INDEX('Input Transaksi'!$A:$A,$E304))</f>
        <v/>
      </c>
      <c r="B304" s="5">
        <f>IF($E304="","",INDEX('Input Transaksi'!$D:$D,$E304))</f>
        <v/>
      </c>
      <c r="C304">
        <f>IF($E304="","",INDEX('Input Transaksi'!$E:$E,$E304))</f>
        <v/>
      </c>
      <c r="D304" s="5">
        <f>IF($E304="","",INDEX('Input Transaksi'!$F:$F,$E304))</f>
        <v/>
      </c>
      <c r="E304">
        <f>IFERROR(AGGREGATE(15,6,ROW('Input Transaksi'!$B$5:$B$5000)/('Input Transaksi'!$B$5:$B$5000="JCL SESETAN"),ROWS($E$5:E304)),"")</f>
        <v/>
      </c>
      <c r="F304" s="5" t="n"/>
    </row>
    <row r="305">
      <c r="A305" s="10">
        <f>IF($E305="","",INDEX('Input Transaksi'!$A:$A,$E305))</f>
        <v/>
      </c>
      <c r="B305" s="5">
        <f>IF($E305="","",INDEX('Input Transaksi'!$D:$D,$E305))</f>
        <v/>
      </c>
      <c r="C305">
        <f>IF($E305="","",INDEX('Input Transaksi'!$E:$E,$E305))</f>
        <v/>
      </c>
      <c r="D305" s="5">
        <f>IF($E305="","",INDEX('Input Transaksi'!$F:$F,$E305))</f>
        <v/>
      </c>
      <c r="E305">
        <f>IFERROR(AGGREGATE(15,6,ROW('Input Transaksi'!$B$5:$B$5000)/('Input Transaksi'!$B$5:$B$5000="JCL SESETAN"),ROWS($E$5:E305)),"")</f>
        <v/>
      </c>
      <c r="F305" s="5" t="n"/>
    </row>
    <row r="306">
      <c r="A306" s="10">
        <f>IF($E306="","",INDEX('Input Transaksi'!$A:$A,$E306))</f>
        <v/>
      </c>
      <c r="B306" s="5">
        <f>IF($E306="","",INDEX('Input Transaksi'!$D:$D,$E306))</f>
        <v/>
      </c>
      <c r="C306">
        <f>IF($E306="","",INDEX('Input Transaksi'!$E:$E,$E306))</f>
        <v/>
      </c>
      <c r="D306" s="5">
        <f>IF($E306="","",INDEX('Input Transaksi'!$F:$F,$E306))</f>
        <v/>
      </c>
      <c r="E306">
        <f>IFERROR(AGGREGATE(15,6,ROW('Input Transaksi'!$B$5:$B$5000)/('Input Transaksi'!$B$5:$B$5000="JCL SESETAN"),ROWS($E$5:E306)),"")</f>
        <v/>
      </c>
      <c r="F306" s="5" t="n"/>
    </row>
    <row r="307">
      <c r="A307" s="10">
        <f>IF($E307="","",INDEX('Input Transaksi'!$A:$A,$E307))</f>
        <v/>
      </c>
      <c r="B307" s="5">
        <f>IF($E307="","",INDEX('Input Transaksi'!$D:$D,$E307))</f>
        <v/>
      </c>
      <c r="C307">
        <f>IF($E307="","",INDEX('Input Transaksi'!$E:$E,$E307))</f>
        <v/>
      </c>
      <c r="D307" s="5">
        <f>IF($E307="","",INDEX('Input Transaksi'!$F:$F,$E307))</f>
        <v/>
      </c>
      <c r="E307">
        <f>IFERROR(AGGREGATE(15,6,ROW('Input Transaksi'!$B$5:$B$5000)/('Input Transaksi'!$B$5:$B$5000="JCL SESETAN"),ROWS($E$5:E307)),"")</f>
        <v/>
      </c>
      <c r="F307" s="5" t="n"/>
    </row>
    <row r="308">
      <c r="A308" s="10">
        <f>IF($E308="","",INDEX('Input Transaksi'!$A:$A,$E308))</f>
        <v/>
      </c>
      <c r="B308" s="5">
        <f>IF($E308="","",INDEX('Input Transaksi'!$D:$D,$E308))</f>
        <v/>
      </c>
      <c r="C308">
        <f>IF($E308="","",INDEX('Input Transaksi'!$E:$E,$E308))</f>
        <v/>
      </c>
      <c r="D308" s="5">
        <f>IF($E308="","",INDEX('Input Transaksi'!$F:$F,$E308))</f>
        <v/>
      </c>
      <c r="E308">
        <f>IFERROR(AGGREGATE(15,6,ROW('Input Transaksi'!$B$5:$B$5000)/('Input Transaksi'!$B$5:$B$5000="JCL SESETAN"),ROWS($E$5:E308)),"")</f>
        <v/>
      </c>
      <c r="F308" s="5" t="n"/>
    </row>
    <row r="309">
      <c r="A309" s="10">
        <f>IF($E309="","",INDEX('Input Transaksi'!$A:$A,$E309))</f>
        <v/>
      </c>
      <c r="B309" s="5">
        <f>IF($E309="","",INDEX('Input Transaksi'!$D:$D,$E309))</f>
        <v/>
      </c>
      <c r="C309">
        <f>IF($E309="","",INDEX('Input Transaksi'!$E:$E,$E309))</f>
        <v/>
      </c>
      <c r="D309" s="5">
        <f>IF($E309="","",INDEX('Input Transaksi'!$F:$F,$E309))</f>
        <v/>
      </c>
      <c r="E309">
        <f>IFERROR(AGGREGATE(15,6,ROW('Input Transaksi'!$B$5:$B$5000)/('Input Transaksi'!$B$5:$B$5000="JCL SESETAN"),ROWS($E$5:E309)),"")</f>
        <v/>
      </c>
      <c r="F309" s="5" t="n"/>
    </row>
    <row r="310">
      <c r="A310" s="10">
        <f>IF($E310="","",INDEX('Input Transaksi'!$A:$A,$E310))</f>
        <v/>
      </c>
      <c r="B310" s="5">
        <f>IF($E310="","",INDEX('Input Transaksi'!$D:$D,$E310))</f>
        <v/>
      </c>
      <c r="C310">
        <f>IF($E310="","",INDEX('Input Transaksi'!$E:$E,$E310))</f>
        <v/>
      </c>
      <c r="D310" s="5">
        <f>IF($E310="","",INDEX('Input Transaksi'!$F:$F,$E310))</f>
        <v/>
      </c>
      <c r="E310">
        <f>IFERROR(AGGREGATE(15,6,ROW('Input Transaksi'!$B$5:$B$5000)/('Input Transaksi'!$B$5:$B$5000="JCL SESETAN"),ROWS($E$5:E310)),"")</f>
        <v/>
      </c>
      <c r="F310" s="5" t="n"/>
    </row>
    <row r="311">
      <c r="A311" s="10">
        <f>IF($E311="","",INDEX('Input Transaksi'!$A:$A,$E311))</f>
        <v/>
      </c>
      <c r="B311" s="5">
        <f>IF($E311="","",INDEX('Input Transaksi'!$D:$D,$E311))</f>
        <v/>
      </c>
      <c r="C311">
        <f>IF($E311="","",INDEX('Input Transaksi'!$E:$E,$E311))</f>
        <v/>
      </c>
      <c r="D311" s="5">
        <f>IF($E311="","",INDEX('Input Transaksi'!$F:$F,$E311))</f>
        <v/>
      </c>
      <c r="E311">
        <f>IFERROR(AGGREGATE(15,6,ROW('Input Transaksi'!$B$5:$B$5000)/('Input Transaksi'!$B$5:$B$5000="JCL SESETAN"),ROWS($E$5:E311)),"")</f>
        <v/>
      </c>
      <c r="F311" s="5" t="n"/>
    </row>
    <row r="312">
      <c r="A312" s="10">
        <f>IF($E312="","",INDEX('Input Transaksi'!$A:$A,$E312))</f>
        <v/>
      </c>
      <c r="B312" s="5">
        <f>IF($E312="","",INDEX('Input Transaksi'!$D:$D,$E312))</f>
        <v/>
      </c>
      <c r="C312">
        <f>IF($E312="","",INDEX('Input Transaksi'!$E:$E,$E312))</f>
        <v/>
      </c>
      <c r="D312" s="5">
        <f>IF($E312="","",INDEX('Input Transaksi'!$F:$F,$E312))</f>
        <v/>
      </c>
      <c r="E312">
        <f>IFERROR(AGGREGATE(15,6,ROW('Input Transaksi'!$B$5:$B$5000)/('Input Transaksi'!$B$5:$B$5000="JCL SESETAN"),ROWS($E$5:E312)),"")</f>
        <v/>
      </c>
      <c r="F312" s="5" t="n"/>
    </row>
    <row r="313">
      <c r="A313" s="10">
        <f>IF($E313="","",INDEX('Input Transaksi'!$A:$A,$E313))</f>
        <v/>
      </c>
      <c r="B313" s="5">
        <f>IF($E313="","",INDEX('Input Transaksi'!$D:$D,$E313))</f>
        <v/>
      </c>
      <c r="C313">
        <f>IF($E313="","",INDEX('Input Transaksi'!$E:$E,$E313))</f>
        <v/>
      </c>
      <c r="D313" s="5">
        <f>IF($E313="","",INDEX('Input Transaksi'!$F:$F,$E313))</f>
        <v/>
      </c>
      <c r="E313">
        <f>IFERROR(AGGREGATE(15,6,ROW('Input Transaksi'!$B$5:$B$5000)/('Input Transaksi'!$B$5:$B$5000="JCL SESETAN"),ROWS($E$5:E313)),"")</f>
        <v/>
      </c>
      <c r="F313" s="5" t="n"/>
    </row>
    <row r="314">
      <c r="A314" s="10">
        <f>IF($E314="","",INDEX('Input Transaksi'!$A:$A,$E314))</f>
        <v/>
      </c>
      <c r="B314" s="5">
        <f>IF($E314="","",INDEX('Input Transaksi'!$D:$D,$E314))</f>
        <v/>
      </c>
      <c r="C314">
        <f>IF($E314="","",INDEX('Input Transaksi'!$E:$E,$E314))</f>
        <v/>
      </c>
      <c r="D314" s="5">
        <f>IF($E314="","",INDEX('Input Transaksi'!$F:$F,$E314))</f>
        <v/>
      </c>
      <c r="E314">
        <f>IFERROR(AGGREGATE(15,6,ROW('Input Transaksi'!$B$5:$B$5000)/('Input Transaksi'!$B$5:$B$5000="JCL SESETAN"),ROWS($E$5:E314)),"")</f>
        <v/>
      </c>
      <c r="F314" s="5" t="n"/>
    </row>
    <row r="315">
      <c r="A315" s="10">
        <f>IF($E315="","",INDEX('Input Transaksi'!$A:$A,$E315))</f>
        <v/>
      </c>
      <c r="B315" s="5">
        <f>IF($E315="","",INDEX('Input Transaksi'!$D:$D,$E315))</f>
        <v/>
      </c>
      <c r="C315">
        <f>IF($E315="","",INDEX('Input Transaksi'!$E:$E,$E315))</f>
        <v/>
      </c>
      <c r="D315" s="5">
        <f>IF($E315="","",INDEX('Input Transaksi'!$F:$F,$E315))</f>
        <v/>
      </c>
      <c r="E315">
        <f>IFERROR(AGGREGATE(15,6,ROW('Input Transaksi'!$B$5:$B$5000)/('Input Transaksi'!$B$5:$B$5000="JCL SESETAN"),ROWS($E$5:E315)),"")</f>
        <v/>
      </c>
      <c r="F315" s="5" t="n"/>
    </row>
    <row r="316">
      <c r="A316" s="10">
        <f>IF($E316="","",INDEX('Input Transaksi'!$A:$A,$E316))</f>
        <v/>
      </c>
      <c r="B316" s="5">
        <f>IF($E316="","",INDEX('Input Transaksi'!$D:$D,$E316))</f>
        <v/>
      </c>
      <c r="C316">
        <f>IF($E316="","",INDEX('Input Transaksi'!$E:$E,$E316))</f>
        <v/>
      </c>
      <c r="D316" s="5">
        <f>IF($E316="","",INDEX('Input Transaksi'!$F:$F,$E316))</f>
        <v/>
      </c>
      <c r="E316">
        <f>IFERROR(AGGREGATE(15,6,ROW('Input Transaksi'!$B$5:$B$5000)/('Input Transaksi'!$B$5:$B$5000="JCL SESETAN"),ROWS($E$5:E316)),"")</f>
        <v/>
      </c>
      <c r="F316" s="5" t="n"/>
    </row>
    <row r="317">
      <c r="A317" s="10">
        <f>IF($E317="","",INDEX('Input Transaksi'!$A:$A,$E317))</f>
        <v/>
      </c>
      <c r="B317" s="5">
        <f>IF($E317="","",INDEX('Input Transaksi'!$D:$D,$E317))</f>
        <v/>
      </c>
      <c r="C317">
        <f>IF($E317="","",INDEX('Input Transaksi'!$E:$E,$E317))</f>
        <v/>
      </c>
      <c r="D317" s="5">
        <f>IF($E317="","",INDEX('Input Transaksi'!$F:$F,$E317))</f>
        <v/>
      </c>
      <c r="E317">
        <f>IFERROR(AGGREGATE(15,6,ROW('Input Transaksi'!$B$5:$B$5000)/('Input Transaksi'!$B$5:$B$5000="JCL SESETAN"),ROWS($E$5:E317)),"")</f>
        <v/>
      </c>
      <c r="F317" s="5" t="n"/>
    </row>
    <row r="318">
      <c r="A318" s="10">
        <f>IF($E318="","",INDEX('Input Transaksi'!$A:$A,$E318))</f>
        <v/>
      </c>
      <c r="B318" s="5">
        <f>IF($E318="","",INDEX('Input Transaksi'!$D:$D,$E318))</f>
        <v/>
      </c>
      <c r="C318">
        <f>IF($E318="","",INDEX('Input Transaksi'!$E:$E,$E318))</f>
        <v/>
      </c>
      <c r="D318" s="5">
        <f>IF($E318="","",INDEX('Input Transaksi'!$F:$F,$E318))</f>
        <v/>
      </c>
      <c r="E318">
        <f>IFERROR(AGGREGATE(15,6,ROW('Input Transaksi'!$B$5:$B$5000)/('Input Transaksi'!$B$5:$B$5000="JCL SESETAN"),ROWS($E$5:E318)),"")</f>
        <v/>
      </c>
      <c r="F318" s="5" t="n"/>
    </row>
    <row r="319">
      <c r="A319" s="10">
        <f>IF($E319="","",INDEX('Input Transaksi'!$A:$A,$E319))</f>
        <v/>
      </c>
      <c r="B319" s="5">
        <f>IF($E319="","",INDEX('Input Transaksi'!$D:$D,$E319))</f>
        <v/>
      </c>
      <c r="C319">
        <f>IF($E319="","",INDEX('Input Transaksi'!$E:$E,$E319))</f>
        <v/>
      </c>
      <c r="D319" s="5">
        <f>IF($E319="","",INDEX('Input Transaksi'!$F:$F,$E319))</f>
        <v/>
      </c>
      <c r="E319">
        <f>IFERROR(AGGREGATE(15,6,ROW('Input Transaksi'!$B$5:$B$5000)/('Input Transaksi'!$B$5:$B$5000="JCL SESETAN"),ROWS($E$5:E319)),"")</f>
        <v/>
      </c>
      <c r="F319" s="5" t="n"/>
    </row>
    <row r="320">
      <c r="A320" s="10">
        <f>IF($E320="","",INDEX('Input Transaksi'!$A:$A,$E320))</f>
        <v/>
      </c>
      <c r="B320" s="5">
        <f>IF($E320="","",INDEX('Input Transaksi'!$D:$D,$E320))</f>
        <v/>
      </c>
      <c r="C320">
        <f>IF($E320="","",INDEX('Input Transaksi'!$E:$E,$E320))</f>
        <v/>
      </c>
      <c r="D320" s="5">
        <f>IF($E320="","",INDEX('Input Transaksi'!$F:$F,$E320))</f>
        <v/>
      </c>
      <c r="E320">
        <f>IFERROR(AGGREGATE(15,6,ROW('Input Transaksi'!$B$5:$B$5000)/('Input Transaksi'!$B$5:$B$5000="JCL SESETAN"),ROWS($E$5:E320)),"")</f>
        <v/>
      </c>
      <c r="F320" s="5" t="n"/>
    </row>
    <row r="321">
      <c r="A321" s="10">
        <f>IF($E321="","",INDEX('Input Transaksi'!$A:$A,$E321))</f>
        <v/>
      </c>
      <c r="B321" s="5">
        <f>IF($E321="","",INDEX('Input Transaksi'!$D:$D,$E321))</f>
        <v/>
      </c>
      <c r="C321">
        <f>IF($E321="","",INDEX('Input Transaksi'!$E:$E,$E321))</f>
        <v/>
      </c>
      <c r="D321" s="5">
        <f>IF($E321="","",INDEX('Input Transaksi'!$F:$F,$E321))</f>
        <v/>
      </c>
      <c r="E321">
        <f>IFERROR(AGGREGATE(15,6,ROW('Input Transaksi'!$B$5:$B$5000)/('Input Transaksi'!$B$5:$B$5000="JCL SESETAN"),ROWS($E$5:E321)),"")</f>
        <v/>
      </c>
      <c r="F321" s="5" t="n"/>
    </row>
    <row r="322">
      <c r="A322" s="10">
        <f>IF($E322="","",INDEX('Input Transaksi'!$A:$A,$E322))</f>
        <v/>
      </c>
      <c r="B322" s="5">
        <f>IF($E322="","",INDEX('Input Transaksi'!$D:$D,$E322))</f>
        <v/>
      </c>
      <c r="C322">
        <f>IF($E322="","",INDEX('Input Transaksi'!$E:$E,$E322))</f>
        <v/>
      </c>
      <c r="D322" s="5">
        <f>IF($E322="","",INDEX('Input Transaksi'!$F:$F,$E322))</f>
        <v/>
      </c>
      <c r="E322">
        <f>IFERROR(AGGREGATE(15,6,ROW('Input Transaksi'!$B$5:$B$5000)/('Input Transaksi'!$B$5:$B$5000="JCL SESETAN"),ROWS($E$5:E322)),"")</f>
        <v/>
      </c>
      <c r="F322" s="5" t="n"/>
    </row>
    <row r="323">
      <c r="A323" s="10">
        <f>IF($E323="","",INDEX('Input Transaksi'!$A:$A,$E323))</f>
        <v/>
      </c>
      <c r="B323" s="5">
        <f>IF($E323="","",INDEX('Input Transaksi'!$D:$D,$E323))</f>
        <v/>
      </c>
      <c r="C323">
        <f>IF($E323="","",INDEX('Input Transaksi'!$E:$E,$E323))</f>
        <v/>
      </c>
      <c r="D323" s="5">
        <f>IF($E323="","",INDEX('Input Transaksi'!$F:$F,$E323))</f>
        <v/>
      </c>
      <c r="E323">
        <f>IFERROR(AGGREGATE(15,6,ROW('Input Transaksi'!$B$5:$B$5000)/('Input Transaksi'!$B$5:$B$5000="JCL SESETAN"),ROWS($E$5:E323)),"")</f>
        <v/>
      </c>
      <c r="F323" s="5" t="n"/>
    </row>
    <row r="324">
      <c r="A324" s="10">
        <f>IF($E324="","",INDEX('Input Transaksi'!$A:$A,$E324))</f>
        <v/>
      </c>
      <c r="B324" s="5">
        <f>IF($E324="","",INDEX('Input Transaksi'!$D:$D,$E324))</f>
        <v/>
      </c>
      <c r="C324">
        <f>IF($E324="","",INDEX('Input Transaksi'!$E:$E,$E324))</f>
        <v/>
      </c>
      <c r="D324" s="5">
        <f>IF($E324="","",INDEX('Input Transaksi'!$F:$F,$E324))</f>
        <v/>
      </c>
      <c r="E324">
        <f>IFERROR(AGGREGATE(15,6,ROW('Input Transaksi'!$B$5:$B$5000)/('Input Transaksi'!$B$5:$B$5000="JCL SESETAN"),ROWS($E$5:E324)),"")</f>
        <v/>
      </c>
      <c r="F324" s="5" t="n"/>
    </row>
    <row r="325">
      <c r="A325" s="10">
        <f>IF($E325="","",INDEX('Input Transaksi'!$A:$A,$E325))</f>
        <v/>
      </c>
      <c r="B325" s="5">
        <f>IF($E325="","",INDEX('Input Transaksi'!$D:$D,$E325))</f>
        <v/>
      </c>
      <c r="C325">
        <f>IF($E325="","",INDEX('Input Transaksi'!$E:$E,$E325))</f>
        <v/>
      </c>
      <c r="D325" s="5">
        <f>IF($E325="","",INDEX('Input Transaksi'!$F:$F,$E325))</f>
        <v/>
      </c>
      <c r="E325">
        <f>IFERROR(AGGREGATE(15,6,ROW('Input Transaksi'!$B$5:$B$5000)/('Input Transaksi'!$B$5:$B$5000="JCL SESETAN"),ROWS($E$5:E325)),"")</f>
        <v/>
      </c>
      <c r="F325" s="5" t="n"/>
    </row>
    <row r="326">
      <c r="A326" s="10">
        <f>IF($E326="","",INDEX('Input Transaksi'!$A:$A,$E326))</f>
        <v/>
      </c>
      <c r="B326" s="5">
        <f>IF($E326="","",INDEX('Input Transaksi'!$D:$D,$E326))</f>
        <v/>
      </c>
      <c r="C326">
        <f>IF($E326="","",INDEX('Input Transaksi'!$E:$E,$E326))</f>
        <v/>
      </c>
      <c r="D326" s="5">
        <f>IF($E326="","",INDEX('Input Transaksi'!$F:$F,$E326))</f>
        <v/>
      </c>
      <c r="E326">
        <f>IFERROR(AGGREGATE(15,6,ROW('Input Transaksi'!$B$5:$B$5000)/('Input Transaksi'!$B$5:$B$5000="JCL SESETAN"),ROWS($E$5:E326)),"")</f>
        <v/>
      </c>
      <c r="F326" s="5" t="n"/>
    </row>
    <row r="327">
      <c r="A327" s="10">
        <f>IF($E327="","",INDEX('Input Transaksi'!$A:$A,$E327))</f>
        <v/>
      </c>
      <c r="B327" s="5">
        <f>IF($E327="","",INDEX('Input Transaksi'!$D:$D,$E327))</f>
        <v/>
      </c>
      <c r="C327">
        <f>IF($E327="","",INDEX('Input Transaksi'!$E:$E,$E327))</f>
        <v/>
      </c>
      <c r="D327" s="5">
        <f>IF($E327="","",INDEX('Input Transaksi'!$F:$F,$E327))</f>
        <v/>
      </c>
      <c r="E327">
        <f>IFERROR(AGGREGATE(15,6,ROW('Input Transaksi'!$B$5:$B$5000)/('Input Transaksi'!$B$5:$B$5000="JCL SESETAN"),ROWS($E$5:E327)),"")</f>
        <v/>
      </c>
      <c r="F327" s="5" t="n"/>
    </row>
    <row r="328">
      <c r="A328" s="10">
        <f>IF($E328="","",INDEX('Input Transaksi'!$A:$A,$E328))</f>
        <v/>
      </c>
      <c r="B328" s="5">
        <f>IF($E328="","",INDEX('Input Transaksi'!$D:$D,$E328))</f>
        <v/>
      </c>
      <c r="C328">
        <f>IF($E328="","",INDEX('Input Transaksi'!$E:$E,$E328))</f>
        <v/>
      </c>
      <c r="D328" s="5">
        <f>IF($E328="","",INDEX('Input Transaksi'!$F:$F,$E328))</f>
        <v/>
      </c>
      <c r="E328">
        <f>IFERROR(AGGREGATE(15,6,ROW('Input Transaksi'!$B$5:$B$5000)/('Input Transaksi'!$B$5:$B$5000="JCL SESETAN"),ROWS($E$5:E328)),"")</f>
        <v/>
      </c>
      <c r="F328" s="5" t="n"/>
    </row>
    <row r="329">
      <c r="A329" s="10">
        <f>IF($E329="","",INDEX('Input Transaksi'!$A:$A,$E329))</f>
        <v/>
      </c>
      <c r="B329" s="5">
        <f>IF($E329="","",INDEX('Input Transaksi'!$D:$D,$E329))</f>
        <v/>
      </c>
      <c r="C329">
        <f>IF($E329="","",INDEX('Input Transaksi'!$E:$E,$E329))</f>
        <v/>
      </c>
      <c r="D329" s="5">
        <f>IF($E329="","",INDEX('Input Transaksi'!$F:$F,$E329))</f>
        <v/>
      </c>
      <c r="E329">
        <f>IFERROR(AGGREGATE(15,6,ROW('Input Transaksi'!$B$5:$B$5000)/('Input Transaksi'!$B$5:$B$5000="JCL SESETAN"),ROWS($E$5:E329)),"")</f>
        <v/>
      </c>
      <c r="F329" s="5" t="n"/>
    </row>
    <row r="330">
      <c r="A330" s="10">
        <f>IF($E330="","",INDEX('Input Transaksi'!$A:$A,$E330))</f>
        <v/>
      </c>
      <c r="B330" s="5">
        <f>IF($E330="","",INDEX('Input Transaksi'!$D:$D,$E330))</f>
        <v/>
      </c>
      <c r="C330">
        <f>IF($E330="","",INDEX('Input Transaksi'!$E:$E,$E330))</f>
        <v/>
      </c>
      <c r="D330" s="5">
        <f>IF($E330="","",INDEX('Input Transaksi'!$F:$F,$E330))</f>
        <v/>
      </c>
      <c r="E330">
        <f>IFERROR(AGGREGATE(15,6,ROW('Input Transaksi'!$B$5:$B$5000)/('Input Transaksi'!$B$5:$B$5000="JCL SESETAN"),ROWS($E$5:E330)),"")</f>
        <v/>
      </c>
      <c r="F330" s="5" t="n"/>
    </row>
    <row r="331">
      <c r="A331" s="10">
        <f>IF($E331="","",INDEX('Input Transaksi'!$A:$A,$E331))</f>
        <v/>
      </c>
      <c r="B331" s="5">
        <f>IF($E331="","",INDEX('Input Transaksi'!$D:$D,$E331))</f>
        <v/>
      </c>
      <c r="C331">
        <f>IF($E331="","",INDEX('Input Transaksi'!$E:$E,$E331))</f>
        <v/>
      </c>
      <c r="D331" s="5">
        <f>IF($E331="","",INDEX('Input Transaksi'!$F:$F,$E331))</f>
        <v/>
      </c>
      <c r="E331">
        <f>IFERROR(AGGREGATE(15,6,ROW('Input Transaksi'!$B$5:$B$5000)/('Input Transaksi'!$B$5:$B$5000="JCL SESETAN"),ROWS($E$5:E331)),"")</f>
        <v/>
      </c>
      <c r="F331" s="5" t="n"/>
    </row>
    <row r="332">
      <c r="A332" s="10">
        <f>IF($E332="","",INDEX('Input Transaksi'!$A:$A,$E332))</f>
        <v/>
      </c>
      <c r="B332" s="5">
        <f>IF($E332="","",INDEX('Input Transaksi'!$D:$D,$E332))</f>
        <v/>
      </c>
      <c r="C332">
        <f>IF($E332="","",INDEX('Input Transaksi'!$E:$E,$E332))</f>
        <v/>
      </c>
      <c r="D332" s="5">
        <f>IF($E332="","",INDEX('Input Transaksi'!$F:$F,$E332))</f>
        <v/>
      </c>
      <c r="E332">
        <f>IFERROR(AGGREGATE(15,6,ROW('Input Transaksi'!$B$5:$B$5000)/('Input Transaksi'!$B$5:$B$5000="JCL SESETAN"),ROWS($E$5:E332)),"")</f>
        <v/>
      </c>
      <c r="F332" s="5" t="n"/>
    </row>
    <row r="333">
      <c r="A333" s="10">
        <f>IF($E333="","",INDEX('Input Transaksi'!$A:$A,$E333))</f>
        <v/>
      </c>
      <c r="B333" s="5">
        <f>IF($E333="","",INDEX('Input Transaksi'!$D:$D,$E333))</f>
        <v/>
      </c>
      <c r="C333">
        <f>IF($E333="","",INDEX('Input Transaksi'!$E:$E,$E333))</f>
        <v/>
      </c>
      <c r="D333" s="5">
        <f>IF($E333="","",INDEX('Input Transaksi'!$F:$F,$E333))</f>
        <v/>
      </c>
      <c r="E333">
        <f>IFERROR(AGGREGATE(15,6,ROW('Input Transaksi'!$B$5:$B$5000)/('Input Transaksi'!$B$5:$B$5000="JCL SESETAN"),ROWS($E$5:E333)),"")</f>
        <v/>
      </c>
      <c r="F333" s="5" t="n"/>
    </row>
    <row r="334">
      <c r="A334" s="10">
        <f>IF($E334="","",INDEX('Input Transaksi'!$A:$A,$E334))</f>
        <v/>
      </c>
      <c r="B334" s="5">
        <f>IF($E334="","",INDEX('Input Transaksi'!$D:$D,$E334))</f>
        <v/>
      </c>
      <c r="C334">
        <f>IF($E334="","",INDEX('Input Transaksi'!$E:$E,$E334))</f>
        <v/>
      </c>
      <c r="D334" s="5">
        <f>IF($E334="","",INDEX('Input Transaksi'!$F:$F,$E334))</f>
        <v/>
      </c>
      <c r="E334">
        <f>IFERROR(AGGREGATE(15,6,ROW('Input Transaksi'!$B$5:$B$5000)/('Input Transaksi'!$B$5:$B$5000="JCL SESETAN"),ROWS($E$5:E334)),"")</f>
        <v/>
      </c>
      <c r="F334" s="5" t="n"/>
    </row>
    <row r="335">
      <c r="A335" s="10">
        <f>IF($E335="","",INDEX('Input Transaksi'!$A:$A,$E335))</f>
        <v/>
      </c>
      <c r="B335" s="5">
        <f>IF($E335="","",INDEX('Input Transaksi'!$D:$D,$E335))</f>
        <v/>
      </c>
      <c r="C335">
        <f>IF($E335="","",INDEX('Input Transaksi'!$E:$E,$E335))</f>
        <v/>
      </c>
      <c r="D335" s="5">
        <f>IF($E335="","",INDEX('Input Transaksi'!$F:$F,$E335))</f>
        <v/>
      </c>
      <c r="E335">
        <f>IFERROR(AGGREGATE(15,6,ROW('Input Transaksi'!$B$5:$B$5000)/('Input Transaksi'!$B$5:$B$5000="JCL SESETAN"),ROWS($E$5:E335)),"")</f>
        <v/>
      </c>
      <c r="F335" s="5" t="n"/>
    </row>
    <row r="336">
      <c r="A336" s="10">
        <f>IF($E336="","",INDEX('Input Transaksi'!$A:$A,$E336))</f>
        <v/>
      </c>
      <c r="B336" s="5">
        <f>IF($E336="","",INDEX('Input Transaksi'!$D:$D,$E336))</f>
        <v/>
      </c>
      <c r="C336">
        <f>IF($E336="","",INDEX('Input Transaksi'!$E:$E,$E336))</f>
        <v/>
      </c>
      <c r="D336" s="5">
        <f>IF($E336="","",INDEX('Input Transaksi'!$F:$F,$E336))</f>
        <v/>
      </c>
      <c r="E336">
        <f>IFERROR(AGGREGATE(15,6,ROW('Input Transaksi'!$B$5:$B$5000)/('Input Transaksi'!$B$5:$B$5000="JCL SESETAN"),ROWS($E$5:E336)),"")</f>
        <v/>
      </c>
      <c r="F336" s="5" t="n"/>
    </row>
    <row r="337">
      <c r="A337" s="10">
        <f>IF($E337="","",INDEX('Input Transaksi'!$A:$A,$E337))</f>
        <v/>
      </c>
      <c r="B337" s="5">
        <f>IF($E337="","",INDEX('Input Transaksi'!$D:$D,$E337))</f>
        <v/>
      </c>
      <c r="C337">
        <f>IF($E337="","",INDEX('Input Transaksi'!$E:$E,$E337))</f>
        <v/>
      </c>
      <c r="D337" s="5">
        <f>IF($E337="","",INDEX('Input Transaksi'!$F:$F,$E337))</f>
        <v/>
      </c>
      <c r="E337">
        <f>IFERROR(AGGREGATE(15,6,ROW('Input Transaksi'!$B$5:$B$5000)/('Input Transaksi'!$B$5:$B$5000="JCL SESETAN"),ROWS($E$5:E337)),"")</f>
        <v/>
      </c>
      <c r="F337" s="5" t="n"/>
    </row>
    <row r="338">
      <c r="A338" s="10">
        <f>IF($E338="","",INDEX('Input Transaksi'!$A:$A,$E338))</f>
        <v/>
      </c>
      <c r="B338" s="5">
        <f>IF($E338="","",INDEX('Input Transaksi'!$D:$D,$E338))</f>
        <v/>
      </c>
      <c r="C338">
        <f>IF($E338="","",INDEX('Input Transaksi'!$E:$E,$E338))</f>
        <v/>
      </c>
      <c r="D338" s="5">
        <f>IF($E338="","",INDEX('Input Transaksi'!$F:$F,$E338))</f>
        <v/>
      </c>
      <c r="E338">
        <f>IFERROR(AGGREGATE(15,6,ROW('Input Transaksi'!$B$5:$B$5000)/('Input Transaksi'!$B$5:$B$5000="JCL SESETAN"),ROWS($E$5:E338)),"")</f>
        <v/>
      </c>
      <c r="F338" s="5" t="n"/>
    </row>
    <row r="339">
      <c r="A339" s="10">
        <f>IF($E339="","",INDEX('Input Transaksi'!$A:$A,$E339))</f>
        <v/>
      </c>
      <c r="B339" s="5">
        <f>IF($E339="","",INDEX('Input Transaksi'!$D:$D,$E339))</f>
        <v/>
      </c>
      <c r="C339">
        <f>IF($E339="","",INDEX('Input Transaksi'!$E:$E,$E339))</f>
        <v/>
      </c>
      <c r="D339" s="5">
        <f>IF($E339="","",INDEX('Input Transaksi'!$F:$F,$E339))</f>
        <v/>
      </c>
      <c r="E339">
        <f>IFERROR(AGGREGATE(15,6,ROW('Input Transaksi'!$B$5:$B$5000)/('Input Transaksi'!$B$5:$B$5000="JCL SESETAN"),ROWS($E$5:E339)),"")</f>
        <v/>
      </c>
      <c r="F339" s="5" t="n"/>
    </row>
    <row r="340">
      <c r="A340" s="10">
        <f>IF($E340="","",INDEX('Input Transaksi'!$A:$A,$E340))</f>
        <v/>
      </c>
      <c r="B340" s="5">
        <f>IF($E340="","",INDEX('Input Transaksi'!$D:$D,$E340))</f>
        <v/>
      </c>
      <c r="C340">
        <f>IF($E340="","",INDEX('Input Transaksi'!$E:$E,$E340))</f>
        <v/>
      </c>
      <c r="D340" s="5">
        <f>IF($E340="","",INDEX('Input Transaksi'!$F:$F,$E340))</f>
        <v/>
      </c>
      <c r="E340">
        <f>IFERROR(AGGREGATE(15,6,ROW('Input Transaksi'!$B$5:$B$5000)/('Input Transaksi'!$B$5:$B$5000="JCL SESETAN"),ROWS($E$5:E340)),"")</f>
        <v/>
      </c>
      <c r="F340" s="5" t="n"/>
    </row>
    <row r="341">
      <c r="A341" s="10">
        <f>IF($E341="","",INDEX('Input Transaksi'!$A:$A,$E341))</f>
        <v/>
      </c>
      <c r="B341" s="5">
        <f>IF($E341="","",INDEX('Input Transaksi'!$D:$D,$E341))</f>
        <v/>
      </c>
      <c r="C341">
        <f>IF($E341="","",INDEX('Input Transaksi'!$E:$E,$E341))</f>
        <v/>
      </c>
      <c r="D341" s="5">
        <f>IF($E341="","",INDEX('Input Transaksi'!$F:$F,$E341))</f>
        <v/>
      </c>
      <c r="E341">
        <f>IFERROR(AGGREGATE(15,6,ROW('Input Transaksi'!$B$5:$B$5000)/('Input Transaksi'!$B$5:$B$5000="JCL SESETAN"),ROWS($E$5:E341)),"")</f>
        <v/>
      </c>
      <c r="F341" s="5" t="n"/>
    </row>
    <row r="342">
      <c r="A342" s="10">
        <f>IF($E342="","",INDEX('Input Transaksi'!$A:$A,$E342))</f>
        <v/>
      </c>
      <c r="B342" s="5">
        <f>IF($E342="","",INDEX('Input Transaksi'!$D:$D,$E342))</f>
        <v/>
      </c>
      <c r="C342">
        <f>IF($E342="","",INDEX('Input Transaksi'!$E:$E,$E342))</f>
        <v/>
      </c>
      <c r="D342" s="5">
        <f>IF($E342="","",INDEX('Input Transaksi'!$F:$F,$E342))</f>
        <v/>
      </c>
      <c r="E342">
        <f>IFERROR(AGGREGATE(15,6,ROW('Input Transaksi'!$B$5:$B$5000)/('Input Transaksi'!$B$5:$B$5000="JCL SESETAN"),ROWS($E$5:E342)),"")</f>
        <v/>
      </c>
      <c r="F342" s="5" t="n"/>
    </row>
    <row r="343">
      <c r="A343" s="10">
        <f>IF($E343="","",INDEX('Input Transaksi'!$A:$A,$E343))</f>
        <v/>
      </c>
      <c r="B343" s="5">
        <f>IF($E343="","",INDEX('Input Transaksi'!$D:$D,$E343))</f>
        <v/>
      </c>
      <c r="C343">
        <f>IF($E343="","",INDEX('Input Transaksi'!$E:$E,$E343))</f>
        <v/>
      </c>
      <c r="D343" s="5">
        <f>IF($E343="","",INDEX('Input Transaksi'!$F:$F,$E343))</f>
        <v/>
      </c>
      <c r="E343">
        <f>IFERROR(AGGREGATE(15,6,ROW('Input Transaksi'!$B$5:$B$5000)/('Input Transaksi'!$B$5:$B$5000="JCL SESETAN"),ROWS($E$5:E343)),"")</f>
        <v/>
      </c>
      <c r="F343" s="5" t="n"/>
    </row>
    <row r="344">
      <c r="A344" s="10">
        <f>IF($E344="","",INDEX('Input Transaksi'!$A:$A,$E344))</f>
        <v/>
      </c>
      <c r="B344" s="5">
        <f>IF($E344="","",INDEX('Input Transaksi'!$D:$D,$E344))</f>
        <v/>
      </c>
      <c r="C344">
        <f>IF($E344="","",INDEX('Input Transaksi'!$E:$E,$E344))</f>
        <v/>
      </c>
      <c r="D344" s="5">
        <f>IF($E344="","",INDEX('Input Transaksi'!$F:$F,$E344))</f>
        <v/>
      </c>
      <c r="E344">
        <f>IFERROR(AGGREGATE(15,6,ROW('Input Transaksi'!$B$5:$B$5000)/('Input Transaksi'!$B$5:$B$5000="JCL SESETAN"),ROWS($E$5:E344)),"")</f>
        <v/>
      </c>
      <c r="F344" s="5" t="n"/>
    </row>
    <row r="345">
      <c r="A345" s="10">
        <f>IF($E345="","",INDEX('Input Transaksi'!$A:$A,$E345))</f>
        <v/>
      </c>
      <c r="B345" s="5">
        <f>IF($E345="","",INDEX('Input Transaksi'!$D:$D,$E345))</f>
        <v/>
      </c>
      <c r="C345">
        <f>IF($E345="","",INDEX('Input Transaksi'!$E:$E,$E345))</f>
        <v/>
      </c>
      <c r="D345" s="5">
        <f>IF($E345="","",INDEX('Input Transaksi'!$F:$F,$E345))</f>
        <v/>
      </c>
      <c r="E345">
        <f>IFERROR(AGGREGATE(15,6,ROW('Input Transaksi'!$B$5:$B$5000)/('Input Transaksi'!$B$5:$B$5000="JCL SESETAN"),ROWS($E$5:E345)),"")</f>
        <v/>
      </c>
      <c r="F345" s="5" t="n"/>
    </row>
    <row r="346">
      <c r="A346" s="10">
        <f>IF($E346="","",INDEX('Input Transaksi'!$A:$A,$E346))</f>
        <v/>
      </c>
      <c r="B346" s="5">
        <f>IF($E346="","",INDEX('Input Transaksi'!$D:$D,$E346))</f>
        <v/>
      </c>
      <c r="C346">
        <f>IF($E346="","",INDEX('Input Transaksi'!$E:$E,$E346))</f>
        <v/>
      </c>
      <c r="D346" s="5">
        <f>IF($E346="","",INDEX('Input Transaksi'!$F:$F,$E346))</f>
        <v/>
      </c>
      <c r="E346">
        <f>IFERROR(AGGREGATE(15,6,ROW('Input Transaksi'!$B$5:$B$5000)/('Input Transaksi'!$B$5:$B$5000="JCL SESETAN"),ROWS($E$5:E346)),"")</f>
        <v/>
      </c>
      <c r="F346" s="5" t="n"/>
    </row>
    <row r="347">
      <c r="A347" s="10">
        <f>IF($E347="","",INDEX('Input Transaksi'!$A:$A,$E347))</f>
        <v/>
      </c>
      <c r="B347" s="5">
        <f>IF($E347="","",INDEX('Input Transaksi'!$D:$D,$E347))</f>
        <v/>
      </c>
      <c r="C347">
        <f>IF($E347="","",INDEX('Input Transaksi'!$E:$E,$E347))</f>
        <v/>
      </c>
      <c r="D347" s="5">
        <f>IF($E347="","",INDEX('Input Transaksi'!$F:$F,$E347))</f>
        <v/>
      </c>
      <c r="E347">
        <f>IFERROR(AGGREGATE(15,6,ROW('Input Transaksi'!$B$5:$B$5000)/('Input Transaksi'!$B$5:$B$5000="JCL SESETAN"),ROWS($E$5:E347)),"")</f>
        <v/>
      </c>
      <c r="F347" s="5" t="n"/>
    </row>
    <row r="348">
      <c r="A348" s="10">
        <f>IF($E348="","",INDEX('Input Transaksi'!$A:$A,$E348))</f>
        <v/>
      </c>
      <c r="B348" s="5">
        <f>IF($E348="","",INDEX('Input Transaksi'!$D:$D,$E348))</f>
        <v/>
      </c>
      <c r="C348">
        <f>IF($E348="","",INDEX('Input Transaksi'!$E:$E,$E348))</f>
        <v/>
      </c>
      <c r="D348" s="5">
        <f>IF($E348="","",INDEX('Input Transaksi'!$F:$F,$E348))</f>
        <v/>
      </c>
      <c r="E348">
        <f>IFERROR(AGGREGATE(15,6,ROW('Input Transaksi'!$B$5:$B$5000)/('Input Transaksi'!$B$5:$B$5000="JCL SESETAN"),ROWS($E$5:E348)),"")</f>
        <v/>
      </c>
      <c r="F348" s="5" t="n"/>
    </row>
    <row r="349">
      <c r="A349" s="10">
        <f>IF($E349="","",INDEX('Input Transaksi'!$A:$A,$E349))</f>
        <v/>
      </c>
      <c r="B349" s="5">
        <f>IF($E349="","",INDEX('Input Transaksi'!$D:$D,$E349))</f>
        <v/>
      </c>
      <c r="C349">
        <f>IF($E349="","",INDEX('Input Transaksi'!$E:$E,$E349))</f>
        <v/>
      </c>
      <c r="D349" s="5">
        <f>IF($E349="","",INDEX('Input Transaksi'!$F:$F,$E349))</f>
        <v/>
      </c>
      <c r="E349">
        <f>IFERROR(AGGREGATE(15,6,ROW('Input Transaksi'!$B$5:$B$5000)/('Input Transaksi'!$B$5:$B$5000="JCL SESETAN"),ROWS($E$5:E349)),"")</f>
        <v/>
      </c>
      <c r="F349" s="5" t="n"/>
    </row>
    <row r="350">
      <c r="A350" s="10">
        <f>IF($E350="","",INDEX('Input Transaksi'!$A:$A,$E350))</f>
        <v/>
      </c>
      <c r="B350" s="5">
        <f>IF($E350="","",INDEX('Input Transaksi'!$D:$D,$E350))</f>
        <v/>
      </c>
      <c r="C350">
        <f>IF($E350="","",INDEX('Input Transaksi'!$E:$E,$E350))</f>
        <v/>
      </c>
      <c r="D350" s="5">
        <f>IF($E350="","",INDEX('Input Transaksi'!$F:$F,$E350))</f>
        <v/>
      </c>
      <c r="E350">
        <f>IFERROR(AGGREGATE(15,6,ROW('Input Transaksi'!$B$5:$B$5000)/('Input Transaksi'!$B$5:$B$5000="JCL SESETAN"),ROWS($E$5:E350)),"")</f>
        <v/>
      </c>
      <c r="F350" s="5" t="n"/>
    </row>
    <row r="351">
      <c r="A351" s="10">
        <f>IF($E351="","",INDEX('Input Transaksi'!$A:$A,$E351))</f>
        <v/>
      </c>
      <c r="B351" s="5">
        <f>IF($E351="","",INDEX('Input Transaksi'!$D:$D,$E351))</f>
        <v/>
      </c>
      <c r="C351">
        <f>IF($E351="","",INDEX('Input Transaksi'!$E:$E,$E351))</f>
        <v/>
      </c>
      <c r="D351" s="5">
        <f>IF($E351="","",INDEX('Input Transaksi'!$F:$F,$E351))</f>
        <v/>
      </c>
      <c r="E351">
        <f>IFERROR(AGGREGATE(15,6,ROW('Input Transaksi'!$B$5:$B$5000)/('Input Transaksi'!$B$5:$B$5000="JCL SESETAN"),ROWS($E$5:E351)),"")</f>
        <v/>
      </c>
      <c r="F351" s="5" t="n"/>
    </row>
    <row r="352">
      <c r="A352" s="10">
        <f>IF($E352="","",INDEX('Input Transaksi'!$A:$A,$E352))</f>
        <v/>
      </c>
      <c r="B352" s="5">
        <f>IF($E352="","",INDEX('Input Transaksi'!$D:$D,$E352))</f>
        <v/>
      </c>
      <c r="C352">
        <f>IF($E352="","",INDEX('Input Transaksi'!$E:$E,$E352))</f>
        <v/>
      </c>
      <c r="D352" s="5">
        <f>IF($E352="","",INDEX('Input Transaksi'!$F:$F,$E352))</f>
        <v/>
      </c>
      <c r="E352">
        <f>IFERROR(AGGREGATE(15,6,ROW('Input Transaksi'!$B$5:$B$5000)/('Input Transaksi'!$B$5:$B$5000="JCL SESETAN"),ROWS($E$5:E352)),"")</f>
        <v/>
      </c>
      <c r="F352" s="5" t="n"/>
    </row>
    <row r="353">
      <c r="A353" s="10">
        <f>IF($E353="","",INDEX('Input Transaksi'!$A:$A,$E353))</f>
        <v/>
      </c>
      <c r="B353" s="5">
        <f>IF($E353="","",INDEX('Input Transaksi'!$D:$D,$E353))</f>
        <v/>
      </c>
      <c r="C353">
        <f>IF($E353="","",INDEX('Input Transaksi'!$E:$E,$E353))</f>
        <v/>
      </c>
      <c r="D353" s="5">
        <f>IF($E353="","",INDEX('Input Transaksi'!$F:$F,$E353))</f>
        <v/>
      </c>
      <c r="E353">
        <f>IFERROR(AGGREGATE(15,6,ROW('Input Transaksi'!$B$5:$B$5000)/('Input Transaksi'!$B$5:$B$5000="JCL SESETAN"),ROWS($E$5:E353)),"")</f>
        <v/>
      </c>
      <c r="F353" s="5" t="n"/>
    </row>
    <row r="354">
      <c r="A354" s="10">
        <f>IF($E354="","",INDEX('Input Transaksi'!$A:$A,$E354))</f>
        <v/>
      </c>
      <c r="B354" s="5">
        <f>IF($E354="","",INDEX('Input Transaksi'!$D:$D,$E354))</f>
        <v/>
      </c>
      <c r="C354">
        <f>IF($E354="","",INDEX('Input Transaksi'!$E:$E,$E354))</f>
        <v/>
      </c>
      <c r="D354" s="5">
        <f>IF($E354="","",INDEX('Input Transaksi'!$F:$F,$E354))</f>
        <v/>
      </c>
      <c r="E354">
        <f>IFERROR(AGGREGATE(15,6,ROW('Input Transaksi'!$B$5:$B$5000)/('Input Transaksi'!$B$5:$B$5000="JCL SESETAN"),ROWS($E$5:E354)),"")</f>
        <v/>
      </c>
      <c r="F354" s="5" t="n"/>
    </row>
    <row r="355">
      <c r="A355" s="10">
        <f>IF($E355="","",INDEX('Input Transaksi'!$A:$A,$E355))</f>
        <v/>
      </c>
      <c r="B355" s="5">
        <f>IF($E355="","",INDEX('Input Transaksi'!$D:$D,$E355))</f>
        <v/>
      </c>
      <c r="C355">
        <f>IF($E355="","",INDEX('Input Transaksi'!$E:$E,$E355))</f>
        <v/>
      </c>
      <c r="D355" s="5">
        <f>IF($E355="","",INDEX('Input Transaksi'!$F:$F,$E355))</f>
        <v/>
      </c>
      <c r="E355">
        <f>IFERROR(AGGREGATE(15,6,ROW('Input Transaksi'!$B$5:$B$5000)/('Input Transaksi'!$B$5:$B$5000="JCL SESETAN"),ROWS($E$5:E355)),"")</f>
        <v/>
      </c>
      <c r="F355" s="5" t="n"/>
    </row>
    <row r="356">
      <c r="A356" s="10">
        <f>IF($E356="","",INDEX('Input Transaksi'!$A:$A,$E356))</f>
        <v/>
      </c>
      <c r="B356" s="5">
        <f>IF($E356="","",INDEX('Input Transaksi'!$D:$D,$E356))</f>
        <v/>
      </c>
      <c r="C356">
        <f>IF($E356="","",INDEX('Input Transaksi'!$E:$E,$E356))</f>
        <v/>
      </c>
      <c r="D356" s="5">
        <f>IF($E356="","",INDEX('Input Transaksi'!$F:$F,$E356))</f>
        <v/>
      </c>
      <c r="E356">
        <f>IFERROR(AGGREGATE(15,6,ROW('Input Transaksi'!$B$5:$B$5000)/('Input Transaksi'!$B$5:$B$5000="JCL SESETAN"),ROWS($E$5:E356)),"")</f>
        <v/>
      </c>
      <c r="F356" s="5" t="n"/>
    </row>
    <row r="357">
      <c r="A357" s="10">
        <f>IF($E357="","",INDEX('Input Transaksi'!$A:$A,$E357))</f>
        <v/>
      </c>
      <c r="B357" s="5">
        <f>IF($E357="","",INDEX('Input Transaksi'!$D:$D,$E357))</f>
        <v/>
      </c>
      <c r="C357">
        <f>IF($E357="","",INDEX('Input Transaksi'!$E:$E,$E357))</f>
        <v/>
      </c>
      <c r="D357" s="5">
        <f>IF($E357="","",INDEX('Input Transaksi'!$F:$F,$E357))</f>
        <v/>
      </c>
      <c r="E357">
        <f>IFERROR(AGGREGATE(15,6,ROW('Input Transaksi'!$B$5:$B$5000)/('Input Transaksi'!$B$5:$B$5000="JCL SESETAN"),ROWS($E$5:E357)),"")</f>
        <v/>
      </c>
      <c r="F357" s="5" t="n"/>
    </row>
    <row r="358">
      <c r="A358" s="10">
        <f>IF($E358="","",INDEX('Input Transaksi'!$A:$A,$E358))</f>
        <v/>
      </c>
      <c r="B358" s="5">
        <f>IF($E358="","",INDEX('Input Transaksi'!$D:$D,$E358))</f>
        <v/>
      </c>
      <c r="C358">
        <f>IF($E358="","",INDEX('Input Transaksi'!$E:$E,$E358))</f>
        <v/>
      </c>
      <c r="D358" s="5">
        <f>IF($E358="","",INDEX('Input Transaksi'!$F:$F,$E358))</f>
        <v/>
      </c>
      <c r="E358">
        <f>IFERROR(AGGREGATE(15,6,ROW('Input Transaksi'!$B$5:$B$5000)/('Input Transaksi'!$B$5:$B$5000="JCL SESETAN"),ROWS($E$5:E358)),"")</f>
        <v/>
      </c>
      <c r="F358" s="5" t="n"/>
    </row>
    <row r="359">
      <c r="A359" s="10">
        <f>IF($E359="","",INDEX('Input Transaksi'!$A:$A,$E359))</f>
        <v/>
      </c>
      <c r="B359" s="5">
        <f>IF($E359="","",INDEX('Input Transaksi'!$D:$D,$E359))</f>
        <v/>
      </c>
      <c r="C359">
        <f>IF($E359="","",INDEX('Input Transaksi'!$E:$E,$E359))</f>
        <v/>
      </c>
      <c r="D359" s="5">
        <f>IF($E359="","",INDEX('Input Transaksi'!$F:$F,$E359))</f>
        <v/>
      </c>
      <c r="E359">
        <f>IFERROR(AGGREGATE(15,6,ROW('Input Transaksi'!$B$5:$B$5000)/('Input Transaksi'!$B$5:$B$5000="JCL SESETAN"),ROWS($E$5:E359)),"")</f>
        <v/>
      </c>
      <c r="F359" s="5" t="n"/>
    </row>
    <row r="360">
      <c r="A360" s="10">
        <f>IF($E360="","",INDEX('Input Transaksi'!$A:$A,$E360))</f>
        <v/>
      </c>
      <c r="B360" s="5">
        <f>IF($E360="","",INDEX('Input Transaksi'!$D:$D,$E360))</f>
        <v/>
      </c>
      <c r="C360">
        <f>IF($E360="","",INDEX('Input Transaksi'!$E:$E,$E360))</f>
        <v/>
      </c>
      <c r="D360" s="5">
        <f>IF($E360="","",INDEX('Input Transaksi'!$F:$F,$E360))</f>
        <v/>
      </c>
      <c r="E360">
        <f>IFERROR(AGGREGATE(15,6,ROW('Input Transaksi'!$B$5:$B$5000)/('Input Transaksi'!$B$5:$B$5000="JCL SESETAN"),ROWS($E$5:E360)),"")</f>
        <v/>
      </c>
      <c r="F360" s="5" t="n"/>
    </row>
    <row r="361">
      <c r="A361" s="10">
        <f>IF($E361="","",INDEX('Input Transaksi'!$A:$A,$E361))</f>
        <v/>
      </c>
      <c r="B361" s="5">
        <f>IF($E361="","",INDEX('Input Transaksi'!$D:$D,$E361))</f>
        <v/>
      </c>
      <c r="C361">
        <f>IF($E361="","",INDEX('Input Transaksi'!$E:$E,$E361))</f>
        <v/>
      </c>
      <c r="D361" s="5">
        <f>IF($E361="","",INDEX('Input Transaksi'!$F:$F,$E361))</f>
        <v/>
      </c>
      <c r="E361">
        <f>IFERROR(AGGREGATE(15,6,ROW('Input Transaksi'!$B$5:$B$5000)/('Input Transaksi'!$B$5:$B$5000="JCL SESETAN"),ROWS($E$5:E361)),"")</f>
        <v/>
      </c>
      <c r="F361" s="5" t="n"/>
    </row>
    <row r="362">
      <c r="A362" s="10">
        <f>IF($E362="","",INDEX('Input Transaksi'!$A:$A,$E362))</f>
        <v/>
      </c>
      <c r="B362" s="5">
        <f>IF($E362="","",INDEX('Input Transaksi'!$D:$D,$E362))</f>
        <v/>
      </c>
      <c r="C362">
        <f>IF($E362="","",INDEX('Input Transaksi'!$E:$E,$E362))</f>
        <v/>
      </c>
      <c r="D362" s="5">
        <f>IF($E362="","",INDEX('Input Transaksi'!$F:$F,$E362))</f>
        <v/>
      </c>
      <c r="E362">
        <f>IFERROR(AGGREGATE(15,6,ROW('Input Transaksi'!$B$5:$B$5000)/('Input Transaksi'!$B$5:$B$5000="JCL SESETAN"),ROWS($E$5:E362)),"")</f>
        <v/>
      </c>
      <c r="F362" s="5" t="n"/>
    </row>
    <row r="363">
      <c r="A363" s="10">
        <f>IF($E363="","",INDEX('Input Transaksi'!$A:$A,$E363))</f>
        <v/>
      </c>
      <c r="B363" s="5">
        <f>IF($E363="","",INDEX('Input Transaksi'!$D:$D,$E363))</f>
        <v/>
      </c>
      <c r="C363">
        <f>IF($E363="","",INDEX('Input Transaksi'!$E:$E,$E363))</f>
        <v/>
      </c>
      <c r="D363" s="5">
        <f>IF($E363="","",INDEX('Input Transaksi'!$F:$F,$E363))</f>
        <v/>
      </c>
      <c r="E363">
        <f>IFERROR(AGGREGATE(15,6,ROW('Input Transaksi'!$B$5:$B$5000)/('Input Transaksi'!$B$5:$B$5000="JCL SESETAN"),ROWS($E$5:E363)),"")</f>
        <v/>
      </c>
      <c r="F363" s="5" t="n"/>
    </row>
    <row r="364">
      <c r="A364" s="10">
        <f>IF($E364="","",INDEX('Input Transaksi'!$A:$A,$E364))</f>
        <v/>
      </c>
      <c r="B364" s="5">
        <f>IF($E364="","",INDEX('Input Transaksi'!$D:$D,$E364))</f>
        <v/>
      </c>
      <c r="C364">
        <f>IF($E364="","",INDEX('Input Transaksi'!$E:$E,$E364))</f>
        <v/>
      </c>
      <c r="D364" s="5">
        <f>IF($E364="","",INDEX('Input Transaksi'!$F:$F,$E364))</f>
        <v/>
      </c>
      <c r="E364">
        <f>IFERROR(AGGREGATE(15,6,ROW('Input Transaksi'!$B$5:$B$5000)/('Input Transaksi'!$B$5:$B$5000="JCL SESETAN"),ROWS($E$5:E364)),"")</f>
        <v/>
      </c>
      <c r="F364" s="5" t="n"/>
    </row>
    <row r="365">
      <c r="A365" s="10">
        <f>IF($E365="","",INDEX('Input Transaksi'!$A:$A,$E365))</f>
        <v/>
      </c>
      <c r="B365" s="5">
        <f>IF($E365="","",INDEX('Input Transaksi'!$D:$D,$E365))</f>
        <v/>
      </c>
      <c r="C365">
        <f>IF($E365="","",INDEX('Input Transaksi'!$E:$E,$E365))</f>
        <v/>
      </c>
      <c r="D365" s="5">
        <f>IF($E365="","",INDEX('Input Transaksi'!$F:$F,$E365))</f>
        <v/>
      </c>
      <c r="E365">
        <f>IFERROR(AGGREGATE(15,6,ROW('Input Transaksi'!$B$5:$B$5000)/('Input Transaksi'!$B$5:$B$5000="JCL SESETAN"),ROWS($E$5:E365)),"")</f>
        <v/>
      </c>
      <c r="F365" s="5" t="n"/>
    </row>
    <row r="366">
      <c r="A366" s="10">
        <f>IF($E366="","",INDEX('Input Transaksi'!$A:$A,$E366))</f>
        <v/>
      </c>
      <c r="B366" s="5">
        <f>IF($E366="","",INDEX('Input Transaksi'!$D:$D,$E366))</f>
        <v/>
      </c>
      <c r="C366">
        <f>IF($E366="","",INDEX('Input Transaksi'!$E:$E,$E366))</f>
        <v/>
      </c>
      <c r="D366" s="5">
        <f>IF($E366="","",INDEX('Input Transaksi'!$F:$F,$E366))</f>
        <v/>
      </c>
      <c r="E366">
        <f>IFERROR(AGGREGATE(15,6,ROW('Input Transaksi'!$B$5:$B$5000)/('Input Transaksi'!$B$5:$B$5000="JCL SESETAN"),ROWS($E$5:E366)),"")</f>
        <v/>
      </c>
      <c r="F366" s="5" t="n"/>
    </row>
    <row r="367">
      <c r="A367" s="10">
        <f>IF($E367="","",INDEX('Input Transaksi'!$A:$A,$E367))</f>
        <v/>
      </c>
      <c r="B367" s="5">
        <f>IF($E367="","",INDEX('Input Transaksi'!$D:$D,$E367))</f>
        <v/>
      </c>
      <c r="C367">
        <f>IF($E367="","",INDEX('Input Transaksi'!$E:$E,$E367))</f>
        <v/>
      </c>
      <c r="D367" s="5">
        <f>IF($E367="","",INDEX('Input Transaksi'!$F:$F,$E367))</f>
        <v/>
      </c>
      <c r="E367">
        <f>IFERROR(AGGREGATE(15,6,ROW('Input Transaksi'!$B$5:$B$5000)/('Input Transaksi'!$B$5:$B$5000="JCL SESETAN"),ROWS($E$5:E367)),"")</f>
        <v/>
      </c>
      <c r="F367" s="5" t="n"/>
    </row>
    <row r="368">
      <c r="A368" s="10">
        <f>IF($E368="","",INDEX('Input Transaksi'!$A:$A,$E368))</f>
        <v/>
      </c>
      <c r="B368" s="5">
        <f>IF($E368="","",INDEX('Input Transaksi'!$D:$D,$E368))</f>
        <v/>
      </c>
      <c r="C368">
        <f>IF($E368="","",INDEX('Input Transaksi'!$E:$E,$E368))</f>
        <v/>
      </c>
      <c r="D368" s="5">
        <f>IF($E368="","",INDEX('Input Transaksi'!$F:$F,$E368))</f>
        <v/>
      </c>
      <c r="E368">
        <f>IFERROR(AGGREGATE(15,6,ROW('Input Transaksi'!$B$5:$B$5000)/('Input Transaksi'!$B$5:$B$5000="JCL SESETAN"),ROWS($E$5:E368)),"")</f>
        <v/>
      </c>
      <c r="F368" s="5" t="n"/>
    </row>
    <row r="369">
      <c r="A369" s="10">
        <f>IF($E369="","",INDEX('Input Transaksi'!$A:$A,$E369))</f>
        <v/>
      </c>
      <c r="B369" s="5">
        <f>IF($E369="","",INDEX('Input Transaksi'!$D:$D,$E369))</f>
        <v/>
      </c>
      <c r="C369">
        <f>IF($E369="","",INDEX('Input Transaksi'!$E:$E,$E369))</f>
        <v/>
      </c>
      <c r="D369" s="5">
        <f>IF($E369="","",INDEX('Input Transaksi'!$F:$F,$E369))</f>
        <v/>
      </c>
      <c r="E369">
        <f>IFERROR(AGGREGATE(15,6,ROW('Input Transaksi'!$B$5:$B$5000)/('Input Transaksi'!$B$5:$B$5000="JCL SESETAN"),ROWS($E$5:E369)),"")</f>
        <v/>
      </c>
      <c r="F369" s="5" t="n"/>
    </row>
    <row r="370">
      <c r="A370" s="10">
        <f>IF($E370="","",INDEX('Input Transaksi'!$A:$A,$E370))</f>
        <v/>
      </c>
      <c r="B370" s="5">
        <f>IF($E370="","",INDEX('Input Transaksi'!$D:$D,$E370))</f>
        <v/>
      </c>
      <c r="C370">
        <f>IF($E370="","",INDEX('Input Transaksi'!$E:$E,$E370))</f>
        <v/>
      </c>
      <c r="D370" s="5">
        <f>IF($E370="","",INDEX('Input Transaksi'!$F:$F,$E370))</f>
        <v/>
      </c>
      <c r="E370">
        <f>IFERROR(AGGREGATE(15,6,ROW('Input Transaksi'!$B$5:$B$5000)/('Input Transaksi'!$B$5:$B$5000="JCL SESETAN"),ROWS($E$5:E370)),"")</f>
        <v/>
      </c>
      <c r="F370" s="5" t="n"/>
    </row>
    <row r="371">
      <c r="A371" s="10">
        <f>IF($E371="","",INDEX('Input Transaksi'!$A:$A,$E371))</f>
        <v/>
      </c>
      <c r="B371" s="5">
        <f>IF($E371="","",INDEX('Input Transaksi'!$D:$D,$E371))</f>
        <v/>
      </c>
      <c r="C371">
        <f>IF($E371="","",INDEX('Input Transaksi'!$E:$E,$E371))</f>
        <v/>
      </c>
      <c r="D371" s="5">
        <f>IF($E371="","",INDEX('Input Transaksi'!$F:$F,$E371))</f>
        <v/>
      </c>
      <c r="E371">
        <f>IFERROR(AGGREGATE(15,6,ROW('Input Transaksi'!$B$5:$B$5000)/('Input Transaksi'!$B$5:$B$5000="JCL SESETAN"),ROWS($E$5:E371)),"")</f>
        <v/>
      </c>
      <c r="F371" s="5" t="n"/>
    </row>
    <row r="372">
      <c r="A372" s="10">
        <f>IF($E372="","",INDEX('Input Transaksi'!$A:$A,$E372))</f>
        <v/>
      </c>
      <c r="B372" s="5">
        <f>IF($E372="","",INDEX('Input Transaksi'!$D:$D,$E372))</f>
        <v/>
      </c>
      <c r="C372">
        <f>IF($E372="","",INDEX('Input Transaksi'!$E:$E,$E372))</f>
        <v/>
      </c>
      <c r="D372" s="5">
        <f>IF($E372="","",INDEX('Input Transaksi'!$F:$F,$E372))</f>
        <v/>
      </c>
      <c r="E372">
        <f>IFERROR(AGGREGATE(15,6,ROW('Input Transaksi'!$B$5:$B$5000)/('Input Transaksi'!$B$5:$B$5000="JCL SESETAN"),ROWS($E$5:E372)),"")</f>
        <v/>
      </c>
      <c r="F372" s="5" t="n"/>
    </row>
    <row r="373">
      <c r="A373" s="10">
        <f>IF($E373="","",INDEX('Input Transaksi'!$A:$A,$E373))</f>
        <v/>
      </c>
      <c r="B373" s="5">
        <f>IF($E373="","",INDEX('Input Transaksi'!$D:$D,$E373))</f>
        <v/>
      </c>
      <c r="C373">
        <f>IF($E373="","",INDEX('Input Transaksi'!$E:$E,$E373))</f>
        <v/>
      </c>
      <c r="D373" s="5">
        <f>IF($E373="","",INDEX('Input Transaksi'!$F:$F,$E373))</f>
        <v/>
      </c>
      <c r="E373">
        <f>IFERROR(AGGREGATE(15,6,ROW('Input Transaksi'!$B$5:$B$5000)/('Input Transaksi'!$B$5:$B$5000="JCL SESETAN"),ROWS($E$5:E373)),"")</f>
        <v/>
      </c>
      <c r="F373" s="5" t="n"/>
    </row>
    <row r="374">
      <c r="A374" s="10">
        <f>IF($E374="","",INDEX('Input Transaksi'!$A:$A,$E374))</f>
        <v/>
      </c>
      <c r="B374" s="5">
        <f>IF($E374="","",INDEX('Input Transaksi'!$D:$D,$E374))</f>
        <v/>
      </c>
      <c r="C374">
        <f>IF($E374="","",INDEX('Input Transaksi'!$E:$E,$E374))</f>
        <v/>
      </c>
      <c r="D374" s="5">
        <f>IF($E374="","",INDEX('Input Transaksi'!$F:$F,$E374))</f>
        <v/>
      </c>
      <c r="E374">
        <f>IFERROR(AGGREGATE(15,6,ROW('Input Transaksi'!$B$5:$B$5000)/('Input Transaksi'!$B$5:$B$5000="JCL SESETAN"),ROWS($E$5:E374)),"")</f>
        <v/>
      </c>
      <c r="F374" s="5" t="n"/>
    </row>
    <row r="375">
      <c r="A375" s="10">
        <f>IF($E375="","",INDEX('Input Transaksi'!$A:$A,$E375))</f>
        <v/>
      </c>
      <c r="B375" s="5">
        <f>IF($E375="","",INDEX('Input Transaksi'!$D:$D,$E375))</f>
        <v/>
      </c>
      <c r="C375">
        <f>IF($E375="","",INDEX('Input Transaksi'!$E:$E,$E375))</f>
        <v/>
      </c>
      <c r="D375" s="5">
        <f>IF($E375="","",INDEX('Input Transaksi'!$F:$F,$E375))</f>
        <v/>
      </c>
      <c r="E375">
        <f>IFERROR(AGGREGATE(15,6,ROW('Input Transaksi'!$B$5:$B$5000)/('Input Transaksi'!$B$5:$B$5000="JCL SESETAN"),ROWS($E$5:E375)),"")</f>
        <v/>
      </c>
      <c r="F375" s="5" t="n"/>
    </row>
    <row r="376">
      <c r="A376" s="10">
        <f>IF($E376="","",INDEX('Input Transaksi'!$A:$A,$E376))</f>
        <v/>
      </c>
      <c r="B376" s="5">
        <f>IF($E376="","",INDEX('Input Transaksi'!$D:$D,$E376))</f>
        <v/>
      </c>
      <c r="C376">
        <f>IF($E376="","",INDEX('Input Transaksi'!$E:$E,$E376))</f>
        <v/>
      </c>
      <c r="D376" s="5">
        <f>IF($E376="","",INDEX('Input Transaksi'!$F:$F,$E376))</f>
        <v/>
      </c>
      <c r="E376">
        <f>IFERROR(AGGREGATE(15,6,ROW('Input Transaksi'!$B$5:$B$5000)/('Input Transaksi'!$B$5:$B$5000="JCL SESETAN"),ROWS($E$5:E376)),"")</f>
        <v/>
      </c>
      <c r="F376" s="5" t="n"/>
    </row>
    <row r="377">
      <c r="A377" s="10">
        <f>IF($E377="","",INDEX('Input Transaksi'!$A:$A,$E377))</f>
        <v/>
      </c>
      <c r="B377" s="5">
        <f>IF($E377="","",INDEX('Input Transaksi'!$D:$D,$E377))</f>
        <v/>
      </c>
      <c r="C377">
        <f>IF($E377="","",INDEX('Input Transaksi'!$E:$E,$E377))</f>
        <v/>
      </c>
      <c r="D377" s="5">
        <f>IF($E377="","",INDEX('Input Transaksi'!$F:$F,$E377))</f>
        <v/>
      </c>
      <c r="E377">
        <f>IFERROR(AGGREGATE(15,6,ROW('Input Transaksi'!$B$5:$B$5000)/('Input Transaksi'!$B$5:$B$5000="JCL SESETAN"),ROWS($E$5:E377)),"")</f>
        <v/>
      </c>
      <c r="F377" s="5" t="n"/>
    </row>
    <row r="378">
      <c r="A378" s="10">
        <f>IF($E378="","",INDEX('Input Transaksi'!$A:$A,$E378))</f>
        <v/>
      </c>
      <c r="B378" s="5">
        <f>IF($E378="","",INDEX('Input Transaksi'!$D:$D,$E378))</f>
        <v/>
      </c>
      <c r="C378">
        <f>IF($E378="","",INDEX('Input Transaksi'!$E:$E,$E378))</f>
        <v/>
      </c>
      <c r="D378" s="5">
        <f>IF($E378="","",INDEX('Input Transaksi'!$F:$F,$E378))</f>
        <v/>
      </c>
      <c r="E378">
        <f>IFERROR(AGGREGATE(15,6,ROW('Input Transaksi'!$B$5:$B$5000)/('Input Transaksi'!$B$5:$B$5000="JCL SESETAN"),ROWS($E$5:E378)),"")</f>
        <v/>
      </c>
      <c r="F378" s="5" t="n"/>
    </row>
    <row r="379">
      <c r="A379" s="10">
        <f>IF($E379="","",INDEX('Input Transaksi'!$A:$A,$E379))</f>
        <v/>
      </c>
      <c r="B379" s="5">
        <f>IF($E379="","",INDEX('Input Transaksi'!$D:$D,$E379))</f>
        <v/>
      </c>
      <c r="C379">
        <f>IF($E379="","",INDEX('Input Transaksi'!$E:$E,$E379))</f>
        <v/>
      </c>
      <c r="D379" s="5">
        <f>IF($E379="","",INDEX('Input Transaksi'!$F:$F,$E379))</f>
        <v/>
      </c>
      <c r="E379">
        <f>IFERROR(AGGREGATE(15,6,ROW('Input Transaksi'!$B$5:$B$5000)/('Input Transaksi'!$B$5:$B$5000="JCL SESETAN"),ROWS($E$5:E379)),"")</f>
        <v/>
      </c>
      <c r="F379" s="5" t="n"/>
    </row>
    <row r="380">
      <c r="A380" s="10">
        <f>IF($E380="","",INDEX('Input Transaksi'!$A:$A,$E380))</f>
        <v/>
      </c>
      <c r="B380" s="5">
        <f>IF($E380="","",INDEX('Input Transaksi'!$D:$D,$E380))</f>
        <v/>
      </c>
      <c r="C380">
        <f>IF($E380="","",INDEX('Input Transaksi'!$E:$E,$E380))</f>
        <v/>
      </c>
      <c r="D380" s="5">
        <f>IF($E380="","",INDEX('Input Transaksi'!$F:$F,$E380))</f>
        <v/>
      </c>
      <c r="E380">
        <f>IFERROR(AGGREGATE(15,6,ROW('Input Transaksi'!$B$5:$B$5000)/('Input Transaksi'!$B$5:$B$5000="JCL SESETAN"),ROWS($E$5:E380)),"")</f>
        <v/>
      </c>
      <c r="F380" s="5" t="n"/>
    </row>
    <row r="381">
      <c r="A381" s="10">
        <f>IF($E381="","",INDEX('Input Transaksi'!$A:$A,$E381))</f>
        <v/>
      </c>
      <c r="B381" s="5">
        <f>IF($E381="","",INDEX('Input Transaksi'!$D:$D,$E381))</f>
        <v/>
      </c>
      <c r="C381">
        <f>IF($E381="","",INDEX('Input Transaksi'!$E:$E,$E381))</f>
        <v/>
      </c>
      <c r="D381" s="5">
        <f>IF($E381="","",INDEX('Input Transaksi'!$F:$F,$E381))</f>
        <v/>
      </c>
      <c r="E381">
        <f>IFERROR(AGGREGATE(15,6,ROW('Input Transaksi'!$B$5:$B$5000)/('Input Transaksi'!$B$5:$B$5000="JCL SESETAN"),ROWS($E$5:E381)),"")</f>
        <v/>
      </c>
      <c r="F381" s="5" t="n"/>
    </row>
    <row r="382">
      <c r="A382" s="10">
        <f>IF($E382="","",INDEX('Input Transaksi'!$A:$A,$E382))</f>
        <v/>
      </c>
      <c r="B382" s="5">
        <f>IF($E382="","",INDEX('Input Transaksi'!$D:$D,$E382))</f>
        <v/>
      </c>
      <c r="C382">
        <f>IF($E382="","",INDEX('Input Transaksi'!$E:$E,$E382))</f>
        <v/>
      </c>
      <c r="D382" s="5">
        <f>IF($E382="","",INDEX('Input Transaksi'!$F:$F,$E382))</f>
        <v/>
      </c>
      <c r="E382">
        <f>IFERROR(AGGREGATE(15,6,ROW('Input Transaksi'!$B$5:$B$5000)/('Input Transaksi'!$B$5:$B$5000="JCL SESETAN"),ROWS($E$5:E382)),"")</f>
        <v/>
      </c>
      <c r="F382" s="5" t="n"/>
    </row>
    <row r="383">
      <c r="A383" s="10">
        <f>IF($E383="","",INDEX('Input Transaksi'!$A:$A,$E383))</f>
        <v/>
      </c>
      <c r="B383" s="5">
        <f>IF($E383="","",INDEX('Input Transaksi'!$D:$D,$E383))</f>
        <v/>
      </c>
      <c r="C383">
        <f>IF($E383="","",INDEX('Input Transaksi'!$E:$E,$E383))</f>
        <v/>
      </c>
      <c r="D383" s="5">
        <f>IF($E383="","",INDEX('Input Transaksi'!$F:$F,$E383))</f>
        <v/>
      </c>
      <c r="E383">
        <f>IFERROR(AGGREGATE(15,6,ROW('Input Transaksi'!$B$5:$B$5000)/('Input Transaksi'!$B$5:$B$5000="JCL SESETAN"),ROWS($E$5:E383)),"")</f>
        <v/>
      </c>
      <c r="F383" s="5" t="n"/>
    </row>
    <row r="384">
      <c r="A384" s="10">
        <f>IF($E384="","",INDEX('Input Transaksi'!$A:$A,$E384))</f>
        <v/>
      </c>
      <c r="B384" s="5">
        <f>IF($E384="","",INDEX('Input Transaksi'!$D:$D,$E384))</f>
        <v/>
      </c>
      <c r="C384">
        <f>IF($E384="","",INDEX('Input Transaksi'!$E:$E,$E384))</f>
        <v/>
      </c>
      <c r="D384" s="5">
        <f>IF($E384="","",INDEX('Input Transaksi'!$F:$F,$E384))</f>
        <v/>
      </c>
      <c r="E384">
        <f>IFERROR(AGGREGATE(15,6,ROW('Input Transaksi'!$B$5:$B$5000)/('Input Transaksi'!$B$5:$B$5000="JCL SESETAN"),ROWS($E$5:E384)),"")</f>
        <v/>
      </c>
      <c r="F384" s="5" t="n"/>
    </row>
    <row r="385">
      <c r="A385" s="10">
        <f>IF($E385="","",INDEX('Input Transaksi'!$A:$A,$E385))</f>
        <v/>
      </c>
      <c r="B385" s="5">
        <f>IF($E385="","",INDEX('Input Transaksi'!$D:$D,$E385))</f>
        <v/>
      </c>
      <c r="C385">
        <f>IF($E385="","",INDEX('Input Transaksi'!$E:$E,$E385))</f>
        <v/>
      </c>
      <c r="D385" s="5">
        <f>IF($E385="","",INDEX('Input Transaksi'!$F:$F,$E385))</f>
        <v/>
      </c>
      <c r="E385">
        <f>IFERROR(AGGREGATE(15,6,ROW('Input Transaksi'!$B$5:$B$5000)/('Input Transaksi'!$B$5:$B$5000="JCL SESETAN"),ROWS($E$5:E385)),"")</f>
        <v/>
      </c>
      <c r="F385" s="5" t="n"/>
    </row>
    <row r="386">
      <c r="A386" s="10">
        <f>IF($E386="","",INDEX('Input Transaksi'!$A:$A,$E386))</f>
        <v/>
      </c>
      <c r="B386" s="5">
        <f>IF($E386="","",INDEX('Input Transaksi'!$D:$D,$E386))</f>
        <v/>
      </c>
      <c r="C386">
        <f>IF($E386="","",INDEX('Input Transaksi'!$E:$E,$E386))</f>
        <v/>
      </c>
      <c r="D386" s="5">
        <f>IF($E386="","",INDEX('Input Transaksi'!$F:$F,$E386))</f>
        <v/>
      </c>
      <c r="E386">
        <f>IFERROR(AGGREGATE(15,6,ROW('Input Transaksi'!$B$5:$B$5000)/('Input Transaksi'!$B$5:$B$5000="JCL SESETAN"),ROWS($E$5:E386)),"")</f>
        <v/>
      </c>
      <c r="F386" s="5" t="n"/>
    </row>
    <row r="387">
      <c r="A387" s="10">
        <f>IF($E387="","",INDEX('Input Transaksi'!$A:$A,$E387))</f>
        <v/>
      </c>
      <c r="B387" s="5">
        <f>IF($E387="","",INDEX('Input Transaksi'!$D:$D,$E387))</f>
        <v/>
      </c>
      <c r="C387">
        <f>IF($E387="","",INDEX('Input Transaksi'!$E:$E,$E387))</f>
        <v/>
      </c>
      <c r="D387" s="5">
        <f>IF($E387="","",INDEX('Input Transaksi'!$F:$F,$E387))</f>
        <v/>
      </c>
      <c r="E387">
        <f>IFERROR(AGGREGATE(15,6,ROW('Input Transaksi'!$B$5:$B$5000)/('Input Transaksi'!$B$5:$B$5000="JCL SESETAN"),ROWS($E$5:E387)),"")</f>
        <v/>
      </c>
      <c r="F387" s="5" t="n"/>
    </row>
    <row r="388">
      <c r="A388" s="10">
        <f>IF($E388="","",INDEX('Input Transaksi'!$A:$A,$E388))</f>
        <v/>
      </c>
      <c r="B388" s="5">
        <f>IF($E388="","",INDEX('Input Transaksi'!$D:$D,$E388))</f>
        <v/>
      </c>
      <c r="C388">
        <f>IF($E388="","",INDEX('Input Transaksi'!$E:$E,$E388))</f>
        <v/>
      </c>
      <c r="D388" s="5">
        <f>IF($E388="","",INDEX('Input Transaksi'!$F:$F,$E388))</f>
        <v/>
      </c>
      <c r="E388">
        <f>IFERROR(AGGREGATE(15,6,ROW('Input Transaksi'!$B$5:$B$5000)/('Input Transaksi'!$B$5:$B$5000="JCL SESETAN"),ROWS($E$5:E388)),"")</f>
        <v/>
      </c>
      <c r="F388" s="5" t="n"/>
    </row>
    <row r="389">
      <c r="A389" s="10">
        <f>IF($E389="","",INDEX('Input Transaksi'!$A:$A,$E389))</f>
        <v/>
      </c>
      <c r="B389" s="5">
        <f>IF($E389="","",INDEX('Input Transaksi'!$D:$D,$E389))</f>
        <v/>
      </c>
      <c r="C389">
        <f>IF($E389="","",INDEX('Input Transaksi'!$E:$E,$E389))</f>
        <v/>
      </c>
      <c r="D389" s="5">
        <f>IF($E389="","",INDEX('Input Transaksi'!$F:$F,$E389))</f>
        <v/>
      </c>
      <c r="E389">
        <f>IFERROR(AGGREGATE(15,6,ROW('Input Transaksi'!$B$5:$B$5000)/('Input Transaksi'!$B$5:$B$5000="JCL SESETAN"),ROWS($E$5:E389)),"")</f>
        <v/>
      </c>
      <c r="F389" s="5" t="n"/>
    </row>
    <row r="390">
      <c r="A390" s="10">
        <f>IF($E390="","",INDEX('Input Transaksi'!$A:$A,$E390))</f>
        <v/>
      </c>
      <c r="B390" s="5">
        <f>IF($E390="","",INDEX('Input Transaksi'!$D:$D,$E390))</f>
        <v/>
      </c>
      <c r="C390">
        <f>IF($E390="","",INDEX('Input Transaksi'!$E:$E,$E390))</f>
        <v/>
      </c>
      <c r="D390" s="5">
        <f>IF($E390="","",INDEX('Input Transaksi'!$F:$F,$E390))</f>
        <v/>
      </c>
      <c r="E390">
        <f>IFERROR(AGGREGATE(15,6,ROW('Input Transaksi'!$B$5:$B$5000)/('Input Transaksi'!$B$5:$B$5000="JCL SESETAN"),ROWS($E$5:E390)),"")</f>
        <v/>
      </c>
      <c r="F390" s="5" t="n"/>
    </row>
    <row r="391">
      <c r="A391" s="10">
        <f>IF($E391="","",INDEX('Input Transaksi'!$A:$A,$E391))</f>
        <v/>
      </c>
      <c r="B391" s="5">
        <f>IF($E391="","",INDEX('Input Transaksi'!$D:$D,$E391))</f>
        <v/>
      </c>
      <c r="C391">
        <f>IF($E391="","",INDEX('Input Transaksi'!$E:$E,$E391))</f>
        <v/>
      </c>
      <c r="D391" s="5">
        <f>IF($E391="","",INDEX('Input Transaksi'!$F:$F,$E391))</f>
        <v/>
      </c>
      <c r="E391">
        <f>IFERROR(AGGREGATE(15,6,ROW('Input Transaksi'!$B$5:$B$5000)/('Input Transaksi'!$B$5:$B$5000="JCL SESETAN"),ROWS($E$5:E391)),"")</f>
        <v/>
      </c>
      <c r="F391" s="5" t="n"/>
    </row>
    <row r="392">
      <c r="A392" s="10">
        <f>IF($E392="","",INDEX('Input Transaksi'!$A:$A,$E392))</f>
        <v/>
      </c>
      <c r="B392" s="5">
        <f>IF($E392="","",INDEX('Input Transaksi'!$D:$D,$E392))</f>
        <v/>
      </c>
      <c r="C392">
        <f>IF($E392="","",INDEX('Input Transaksi'!$E:$E,$E392))</f>
        <v/>
      </c>
      <c r="D392" s="5">
        <f>IF($E392="","",INDEX('Input Transaksi'!$F:$F,$E392))</f>
        <v/>
      </c>
      <c r="E392">
        <f>IFERROR(AGGREGATE(15,6,ROW('Input Transaksi'!$B$5:$B$5000)/('Input Transaksi'!$B$5:$B$5000="JCL SESETAN"),ROWS($E$5:E392)),"")</f>
        <v/>
      </c>
      <c r="F392" s="5" t="n"/>
    </row>
    <row r="393">
      <c r="A393" s="10">
        <f>IF($E393="","",INDEX('Input Transaksi'!$A:$A,$E393))</f>
        <v/>
      </c>
      <c r="B393" s="5">
        <f>IF($E393="","",INDEX('Input Transaksi'!$D:$D,$E393))</f>
        <v/>
      </c>
      <c r="C393">
        <f>IF($E393="","",INDEX('Input Transaksi'!$E:$E,$E393))</f>
        <v/>
      </c>
      <c r="D393" s="5">
        <f>IF($E393="","",INDEX('Input Transaksi'!$F:$F,$E393))</f>
        <v/>
      </c>
      <c r="E393">
        <f>IFERROR(AGGREGATE(15,6,ROW('Input Transaksi'!$B$5:$B$5000)/('Input Transaksi'!$B$5:$B$5000="JCL SESETAN"),ROWS($E$5:E393)),"")</f>
        <v/>
      </c>
      <c r="F393" s="5" t="n"/>
    </row>
    <row r="394">
      <c r="A394" s="10">
        <f>IF($E394="","",INDEX('Input Transaksi'!$A:$A,$E394))</f>
        <v/>
      </c>
      <c r="B394" s="5">
        <f>IF($E394="","",INDEX('Input Transaksi'!$D:$D,$E394))</f>
        <v/>
      </c>
      <c r="C394">
        <f>IF($E394="","",INDEX('Input Transaksi'!$E:$E,$E394))</f>
        <v/>
      </c>
      <c r="D394" s="5">
        <f>IF($E394="","",INDEX('Input Transaksi'!$F:$F,$E394))</f>
        <v/>
      </c>
      <c r="E394">
        <f>IFERROR(AGGREGATE(15,6,ROW('Input Transaksi'!$B$5:$B$5000)/('Input Transaksi'!$B$5:$B$5000="JCL SESETAN"),ROWS($E$5:E394)),"")</f>
        <v/>
      </c>
      <c r="F394" s="5" t="n"/>
    </row>
    <row r="395">
      <c r="A395" s="10">
        <f>IF($E395="","",INDEX('Input Transaksi'!$A:$A,$E395))</f>
        <v/>
      </c>
      <c r="B395" s="5">
        <f>IF($E395="","",INDEX('Input Transaksi'!$D:$D,$E395))</f>
        <v/>
      </c>
      <c r="C395">
        <f>IF($E395="","",INDEX('Input Transaksi'!$E:$E,$E395))</f>
        <v/>
      </c>
      <c r="D395" s="5">
        <f>IF($E395="","",INDEX('Input Transaksi'!$F:$F,$E395))</f>
        <v/>
      </c>
      <c r="E395">
        <f>IFERROR(AGGREGATE(15,6,ROW('Input Transaksi'!$B$5:$B$5000)/('Input Transaksi'!$B$5:$B$5000="JCL SESETAN"),ROWS($E$5:E395)),"")</f>
        <v/>
      </c>
      <c r="F395" s="5" t="n"/>
    </row>
    <row r="396">
      <c r="A396" s="10">
        <f>IF($E396="","",INDEX('Input Transaksi'!$A:$A,$E396))</f>
        <v/>
      </c>
      <c r="B396" s="5">
        <f>IF($E396="","",INDEX('Input Transaksi'!$D:$D,$E396))</f>
        <v/>
      </c>
      <c r="C396">
        <f>IF($E396="","",INDEX('Input Transaksi'!$E:$E,$E396))</f>
        <v/>
      </c>
      <c r="D396" s="5">
        <f>IF($E396="","",INDEX('Input Transaksi'!$F:$F,$E396))</f>
        <v/>
      </c>
      <c r="E396">
        <f>IFERROR(AGGREGATE(15,6,ROW('Input Transaksi'!$B$5:$B$5000)/('Input Transaksi'!$B$5:$B$5000="JCL SESETAN"),ROWS($E$5:E396)),"")</f>
        <v/>
      </c>
      <c r="F396" s="5" t="n"/>
    </row>
    <row r="397">
      <c r="A397" s="10">
        <f>IF($E397="","",INDEX('Input Transaksi'!$A:$A,$E397))</f>
        <v/>
      </c>
      <c r="B397" s="5">
        <f>IF($E397="","",INDEX('Input Transaksi'!$D:$D,$E397))</f>
        <v/>
      </c>
      <c r="C397">
        <f>IF($E397="","",INDEX('Input Transaksi'!$E:$E,$E397))</f>
        <v/>
      </c>
      <c r="D397" s="5">
        <f>IF($E397="","",INDEX('Input Transaksi'!$F:$F,$E397))</f>
        <v/>
      </c>
      <c r="E397">
        <f>IFERROR(AGGREGATE(15,6,ROW('Input Transaksi'!$B$5:$B$5000)/('Input Transaksi'!$B$5:$B$5000="JCL SESETAN"),ROWS($E$5:E397)),"")</f>
        <v/>
      </c>
      <c r="F397" s="5" t="n"/>
    </row>
    <row r="398">
      <c r="A398" s="10">
        <f>IF($E398="","",INDEX('Input Transaksi'!$A:$A,$E398))</f>
        <v/>
      </c>
      <c r="B398" s="5">
        <f>IF($E398="","",INDEX('Input Transaksi'!$D:$D,$E398))</f>
        <v/>
      </c>
      <c r="C398">
        <f>IF($E398="","",INDEX('Input Transaksi'!$E:$E,$E398))</f>
        <v/>
      </c>
      <c r="D398" s="5">
        <f>IF($E398="","",INDEX('Input Transaksi'!$F:$F,$E398))</f>
        <v/>
      </c>
      <c r="E398">
        <f>IFERROR(AGGREGATE(15,6,ROW('Input Transaksi'!$B$5:$B$5000)/('Input Transaksi'!$B$5:$B$5000="JCL SESETAN"),ROWS($E$5:E398)),"")</f>
        <v/>
      </c>
      <c r="F398" s="5" t="n"/>
    </row>
    <row r="399">
      <c r="A399" s="10">
        <f>IF($E399="","",INDEX('Input Transaksi'!$A:$A,$E399))</f>
        <v/>
      </c>
      <c r="B399" s="5">
        <f>IF($E399="","",INDEX('Input Transaksi'!$D:$D,$E399))</f>
        <v/>
      </c>
      <c r="C399">
        <f>IF($E399="","",INDEX('Input Transaksi'!$E:$E,$E399))</f>
        <v/>
      </c>
      <c r="D399" s="5">
        <f>IF($E399="","",INDEX('Input Transaksi'!$F:$F,$E399))</f>
        <v/>
      </c>
      <c r="E399">
        <f>IFERROR(AGGREGATE(15,6,ROW('Input Transaksi'!$B$5:$B$5000)/('Input Transaksi'!$B$5:$B$5000="JCL SESETAN"),ROWS($E$5:E399)),"")</f>
        <v/>
      </c>
      <c r="F399" s="5" t="n"/>
    </row>
    <row r="400">
      <c r="A400" s="10">
        <f>IF($E400="","",INDEX('Input Transaksi'!$A:$A,$E400))</f>
        <v/>
      </c>
      <c r="B400" s="5">
        <f>IF($E400="","",INDEX('Input Transaksi'!$D:$D,$E400))</f>
        <v/>
      </c>
      <c r="C400">
        <f>IF($E400="","",INDEX('Input Transaksi'!$E:$E,$E400))</f>
        <v/>
      </c>
      <c r="D400" s="5">
        <f>IF($E400="","",INDEX('Input Transaksi'!$F:$F,$E400))</f>
        <v/>
      </c>
      <c r="E400">
        <f>IFERROR(AGGREGATE(15,6,ROW('Input Transaksi'!$B$5:$B$5000)/('Input Transaksi'!$B$5:$B$5000="JCL SESETAN"),ROWS($E$5:E400)),"")</f>
        <v/>
      </c>
      <c r="F400" s="5" t="n"/>
    </row>
    <row r="401">
      <c r="A401" s="10">
        <f>IF($E401="","",INDEX('Input Transaksi'!$A:$A,$E401))</f>
        <v/>
      </c>
      <c r="B401" s="5">
        <f>IF($E401="","",INDEX('Input Transaksi'!$D:$D,$E401))</f>
        <v/>
      </c>
      <c r="C401">
        <f>IF($E401="","",INDEX('Input Transaksi'!$E:$E,$E401))</f>
        <v/>
      </c>
      <c r="D401" s="5">
        <f>IF($E401="","",INDEX('Input Transaksi'!$F:$F,$E401))</f>
        <v/>
      </c>
      <c r="E401">
        <f>IFERROR(AGGREGATE(15,6,ROW('Input Transaksi'!$B$5:$B$5000)/('Input Transaksi'!$B$5:$B$5000="JCL SESETAN"),ROWS($E$5:E401)),"")</f>
        <v/>
      </c>
      <c r="F401" s="5" t="n"/>
    </row>
    <row r="402">
      <c r="A402" s="10">
        <f>IF($E402="","",INDEX('Input Transaksi'!$A:$A,$E402))</f>
        <v/>
      </c>
      <c r="B402" s="5">
        <f>IF($E402="","",INDEX('Input Transaksi'!$D:$D,$E402))</f>
        <v/>
      </c>
      <c r="C402">
        <f>IF($E402="","",INDEX('Input Transaksi'!$E:$E,$E402))</f>
        <v/>
      </c>
      <c r="D402" s="5">
        <f>IF($E402="","",INDEX('Input Transaksi'!$F:$F,$E402))</f>
        <v/>
      </c>
      <c r="E402">
        <f>IFERROR(AGGREGATE(15,6,ROW('Input Transaksi'!$B$5:$B$5000)/('Input Transaksi'!$B$5:$B$5000="JCL SESETAN"),ROWS($E$5:E402)),"")</f>
        <v/>
      </c>
      <c r="F402" s="5" t="n"/>
    </row>
    <row r="403">
      <c r="A403" s="10">
        <f>IF($E403="","",INDEX('Input Transaksi'!$A:$A,$E403))</f>
        <v/>
      </c>
      <c r="B403" s="5">
        <f>IF($E403="","",INDEX('Input Transaksi'!$D:$D,$E403))</f>
        <v/>
      </c>
      <c r="C403">
        <f>IF($E403="","",INDEX('Input Transaksi'!$E:$E,$E403))</f>
        <v/>
      </c>
      <c r="D403" s="5">
        <f>IF($E403="","",INDEX('Input Transaksi'!$F:$F,$E403))</f>
        <v/>
      </c>
      <c r="E403">
        <f>IFERROR(AGGREGATE(15,6,ROW('Input Transaksi'!$B$5:$B$5000)/('Input Transaksi'!$B$5:$B$5000="JCL SESETAN"),ROWS($E$5:E403)),"")</f>
        <v/>
      </c>
      <c r="F403" s="5" t="n"/>
    </row>
    <row r="404">
      <c r="A404" s="10">
        <f>IF($E404="","",INDEX('Input Transaksi'!$A:$A,$E404))</f>
        <v/>
      </c>
      <c r="B404" s="5">
        <f>IF($E404="","",INDEX('Input Transaksi'!$D:$D,$E404))</f>
        <v/>
      </c>
      <c r="C404">
        <f>IF($E404="","",INDEX('Input Transaksi'!$E:$E,$E404))</f>
        <v/>
      </c>
      <c r="D404" s="5">
        <f>IF($E404="","",INDEX('Input Transaksi'!$F:$F,$E404))</f>
        <v/>
      </c>
      <c r="E404">
        <f>IFERROR(AGGREGATE(15,6,ROW('Input Transaksi'!$B$5:$B$5000)/('Input Transaksi'!$B$5:$B$5000="JCL SESETAN"),ROWS($E$5:E404)),"")</f>
        <v/>
      </c>
      <c r="F404" s="5" t="n"/>
    </row>
    <row r="405">
      <c r="A405" s="10">
        <f>IF($E405="","",INDEX('Input Transaksi'!$A:$A,$E405))</f>
        <v/>
      </c>
      <c r="B405" s="5">
        <f>IF($E405="","",INDEX('Input Transaksi'!$D:$D,$E405))</f>
        <v/>
      </c>
      <c r="C405">
        <f>IF($E405="","",INDEX('Input Transaksi'!$E:$E,$E405))</f>
        <v/>
      </c>
      <c r="D405" s="5">
        <f>IF($E405="","",INDEX('Input Transaksi'!$F:$F,$E405))</f>
        <v/>
      </c>
      <c r="E405">
        <f>IFERROR(AGGREGATE(15,6,ROW('Input Transaksi'!$B$5:$B$5000)/('Input Transaksi'!$B$5:$B$5000="JCL SESETAN"),ROWS($E$5:E405)),"")</f>
        <v/>
      </c>
      <c r="F405" s="5" t="n"/>
    </row>
    <row r="406">
      <c r="A406" s="10">
        <f>IF($E406="","",INDEX('Input Transaksi'!$A:$A,$E406))</f>
        <v/>
      </c>
      <c r="B406" s="5">
        <f>IF($E406="","",INDEX('Input Transaksi'!$D:$D,$E406))</f>
        <v/>
      </c>
      <c r="C406">
        <f>IF($E406="","",INDEX('Input Transaksi'!$E:$E,$E406))</f>
        <v/>
      </c>
      <c r="D406" s="5">
        <f>IF($E406="","",INDEX('Input Transaksi'!$F:$F,$E406))</f>
        <v/>
      </c>
      <c r="E406">
        <f>IFERROR(AGGREGATE(15,6,ROW('Input Transaksi'!$B$5:$B$5000)/('Input Transaksi'!$B$5:$B$5000="JCL SESETAN"),ROWS($E$5:E406)),"")</f>
        <v/>
      </c>
      <c r="F406" s="5" t="n"/>
    </row>
    <row r="407">
      <c r="A407" s="10">
        <f>IF($E407="","",INDEX('Input Transaksi'!$A:$A,$E407))</f>
        <v/>
      </c>
      <c r="B407" s="5">
        <f>IF($E407="","",INDEX('Input Transaksi'!$D:$D,$E407))</f>
        <v/>
      </c>
      <c r="C407">
        <f>IF($E407="","",INDEX('Input Transaksi'!$E:$E,$E407))</f>
        <v/>
      </c>
      <c r="D407" s="5">
        <f>IF($E407="","",INDEX('Input Transaksi'!$F:$F,$E407))</f>
        <v/>
      </c>
      <c r="E407">
        <f>IFERROR(AGGREGATE(15,6,ROW('Input Transaksi'!$B$5:$B$5000)/('Input Transaksi'!$B$5:$B$5000="JCL SESETAN"),ROWS($E$5:E407)),"")</f>
        <v/>
      </c>
      <c r="F407" s="5" t="n"/>
    </row>
    <row r="408">
      <c r="A408" s="10">
        <f>IF($E408="","",INDEX('Input Transaksi'!$A:$A,$E408))</f>
        <v/>
      </c>
      <c r="B408" s="5">
        <f>IF($E408="","",INDEX('Input Transaksi'!$D:$D,$E408))</f>
        <v/>
      </c>
      <c r="C408">
        <f>IF($E408="","",INDEX('Input Transaksi'!$E:$E,$E408))</f>
        <v/>
      </c>
      <c r="D408" s="5">
        <f>IF($E408="","",INDEX('Input Transaksi'!$F:$F,$E408))</f>
        <v/>
      </c>
      <c r="E408">
        <f>IFERROR(AGGREGATE(15,6,ROW('Input Transaksi'!$B$5:$B$5000)/('Input Transaksi'!$B$5:$B$5000="JCL SESETAN"),ROWS($E$5:E408)),"")</f>
        <v/>
      </c>
      <c r="F408" s="5" t="n"/>
    </row>
    <row r="409">
      <c r="A409" s="10">
        <f>IF($E409="","",INDEX('Input Transaksi'!$A:$A,$E409))</f>
        <v/>
      </c>
      <c r="B409" s="5">
        <f>IF($E409="","",INDEX('Input Transaksi'!$D:$D,$E409))</f>
        <v/>
      </c>
      <c r="C409">
        <f>IF($E409="","",INDEX('Input Transaksi'!$E:$E,$E409))</f>
        <v/>
      </c>
      <c r="D409" s="5">
        <f>IF($E409="","",INDEX('Input Transaksi'!$F:$F,$E409))</f>
        <v/>
      </c>
      <c r="E409">
        <f>IFERROR(AGGREGATE(15,6,ROW('Input Transaksi'!$B$5:$B$5000)/('Input Transaksi'!$B$5:$B$5000="JCL SESETAN"),ROWS($E$5:E409)),"")</f>
        <v/>
      </c>
      <c r="F409" s="5" t="n"/>
    </row>
    <row r="410">
      <c r="A410" s="10">
        <f>IF($E410="","",INDEX('Input Transaksi'!$A:$A,$E410))</f>
        <v/>
      </c>
      <c r="B410" s="5">
        <f>IF($E410="","",INDEX('Input Transaksi'!$D:$D,$E410))</f>
        <v/>
      </c>
      <c r="C410">
        <f>IF($E410="","",INDEX('Input Transaksi'!$E:$E,$E410))</f>
        <v/>
      </c>
      <c r="D410" s="5">
        <f>IF($E410="","",INDEX('Input Transaksi'!$F:$F,$E410))</f>
        <v/>
      </c>
      <c r="E410">
        <f>IFERROR(AGGREGATE(15,6,ROW('Input Transaksi'!$B$5:$B$5000)/('Input Transaksi'!$B$5:$B$5000="JCL SESETAN"),ROWS($E$5:E410)),"")</f>
        <v/>
      </c>
      <c r="F410" s="5" t="n"/>
    </row>
    <row r="411">
      <c r="A411" s="10">
        <f>IF($E411="","",INDEX('Input Transaksi'!$A:$A,$E411))</f>
        <v/>
      </c>
      <c r="B411" s="5">
        <f>IF($E411="","",INDEX('Input Transaksi'!$D:$D,$E411))</f>
        <v/>
      </c>
      <c r="C411">
        <f>IF($E411="","",INDEX('Input Transaksi'!$E:$E,$E411))</f>
        <v/>
      </c>
      <c r="D411" s="5">
        <f>IF($E411="","",INDEX('Input Transaksi'!$F:$F,$E411))</f>
        <v/>
      </c>
      <c r="E411">
        <f>IFERROR(AGGREGATE(15,6,ROW('Input Transaksi'!$B$5:$B$5000)/('Input Transaksi'!$B$5:$B$5000="JCL SESETAN"),ROWS($E$5:E411)),"")</f>
        <v/>
      </c>
      <c r="F411" s="5" t="n"/>
    </row>
    <row r="412">
      <c r="A412" s="10">
        <f>IF($E412="","",INDEX('Input Transaksi'!$A:$A,$E412))</f>
        <v/>
      </c>
      <c r="B412" s="5">
        <f>IF($E412="","",INDEX('Input Transaksi'!$D:$D,$E412))</f>
        <v/>
      </c>
      <c r="C412">
        <f>IF($E412="","",INDEX('Input Transaksi'!$E:$E,$E412))</f>
        <v/>
      </c>
      <c r="D412" s="5">
        <f>IF($E412="","",INDEX('Input Transaksi'!$F:$F,$E412))</f>
        <v/>
      </c>
      <c r="E412">
        <f>IFERROR(AGGREGATE(15,6,ROW('Input Transaksi'!$B$5:$B$5000)/('Input Transaksi'!$B$5:$B$5000="JCL SESETAN"),ROWS($E$5:E412)),"")</f>
        <v/>
      </c>
      <c r="F412" s="5" t="n"/>
    </row>
    <row r="413">
      <c r="A413" s="10">
        <f>IF($E413="","",INDEX('Input Transaksi'!$A:$A,$E413))</f>
        <v/>
      </c>
      <c r="B413" s="5">
        <f>IF($E413="","",INDEX('Input Transaksi'!$D:$D,$E413))</f>
        <v/>
      </c>
      <c r="C413">
        <f>IF($E413="","",INDEX('Input Transaksi'!$E:$E,$E413))</f>
        <v/>
      </c>
      <c r="D413" s="5">
        <f>IF($E413="","",INDEX('Input Transaksi'!$F:$F,$E413))</f>
        <v/>
      </c>
      <c r="E413">
        <f>IFERROR(AGGREGATE(15,6,ROW('Input Transaksi'!$B$5:$B$5000)/('Input Transaksi'!$B$5:$B$5000="JCL SESETAN"),ROWS($E$5:E413)),"")</f>
        <v/>
      </c>
      <c r="F413" s="5" t="n"/>
    </row>
    <row r="414">
      <c r="A414" s="10">
        <f>IF($E414="","",INDEX('Input Transaksi'!$A:$A,$E414))</f>
        <v/>
      </c>
      <c r="B414" s="5">
        <f>IF($E414="","",INDEX('Input Transaksi'!$D:$D,$E414))</f>
        <v/>
      </c>
      <c r="C414">
        <f>IF($E414="","",INDEX('Input Transaksi'!$E:$E,$E414))</f>
        <v/>
      </c>
      <c r="D414" s="5">
        <f>IF($E414="","",INDEX('Input Transaksi'!$F:$F,$E414))</f>
        <v/>
      </c>
      <c r="E414">
        <f>IFERROR(AGGREGATE(15,6,ROW('Input Transaksi'!$B$5:$B$5000)/('Input Transaksi'!$B$5:$B$5000="JCL SESETAN"),ROWS($E$5:E414)),"")</f>
        <v/>
      </c>
      <c r="F414" s="5" t="n"/>
    </row>
    <row r="415">
      <c r="A415" s="10">
        <f>IF($E415="","",INDEX('Input Transaksi'!$A:$A,$E415))</f>
        <v/>
      </c>
      <c r="B415" s="5">
        <f>IF($E415="","",INDEX('Input Transaksi'!$D:$D,$E415))</f>
        <v/>
      </c>
      <c r="C415">
        <f>IF($E415="","",INDEX('Input Transaksi'!$E:$E,$E415))</f>
        <v/>
      </c>
      <c r="D415" s="5">
        <f>IF($E415="","",INDEX('Input Transaksi'!$F:$F,$E415))</f>
        <v/>
      </c>
      <c r="E415">
        <f>IFERROR(AGGREGATE(15,6,ROW('Input Transaksi'!$B$5:$B$5000)/('Input Transaksi'!$B$5:$B$5000="JCL SESETAN"),ROWS($E$5:E415)),"")</f>
        <v/>
      </c>
      <c r="F415" s="5" t="n"/>
    </row>
    <row r="416">
      <c r="A416" s="10">
        <f>IF($E416="","",INDEX('Input Transaksi'!$A:$A,$E416))</f>
        <v/>
      </c>
      <c r="B416" s="5">
        <f>IF($E416="","",INDEX('Input Transaksi'!$D:$D,$E416))</f>
        <v/>
      </c>
      <c r="C416">
        <f>IF($E416="","",INDEX('Input Transaksi'!$E:$E,$E416))</f>
        <v/>
      </c>
      <c r="D416" s="5">
        <f>IF($E416="","",INDEX('Input Transaksi'!$F:$F,$E416))</f>
        <v/>
      </c>
      <c r="E416">
        <f>IFERROR(AGGREGATE(15,6,ROW('Input Transaksi'!$B$5:$B$5000)/('Input Transaksi'!$B$5:$B$5000="JCL SESETAN"),ROWS($E$5:E416)),"")</f>
        <v/>
      </c>
      <c r="F416" s="5" t="n"/>
    </row>
    <row r="417">
      <c r="A417" s="10">
        <f>IF($E417="","",INDEX('Input Transaksi'!$A:$A,$E417))</f>
        <v/>
      </c>
      <c r="B417" s="5">
        <f>IF($E417="","",INDEX('Input Transaksi'!$D:$D,$E417))</f>
        <v/>
      </c>
      <c r="C417">
        <f>IF($E417="","",INDEX('Input Transaksi'!$E:$E,$E417))</f>
        <v/>
      </c>
      <c r="D417" s="5">
        <f>IF($E417="","",INDEX('Input Transaksi'!$F:$F,$E417))</f>
        <v/>
      </c>
      <c r="E417">
        <f>IFERROR(AGGREGATE(15,6,ROW('Input Transaksi'!$B$5:$B$5000)/('Input Transaksi'!$B$5:$B$5000="JCL SESETAN"),ROWS($E$5:E417)),"")</f>
        <v/>
      </c>
      <c r="F417" s="5" t="n"/>
    </row>
    <row r="418">
      <c r="A418" s="10">
        <f>IF($E418="","",INDEX('Input Transaksi'!$A:$A,$E418))</f>
        <v/>
      </c>
      <c r="B418" s="5">
        <f>IF($E418="","",INDEX('Input Transaksi'!$D:$D,$E418))</f>
        <v/>
      </c>
      <c r="C418">
        <f>IF($E418="","",INDEX('Input Transaksi'!$E:$E,$E418))</f>
        <v/>
      </c>
      <c r="D418" s="5">
        <f>IF($E418="","",INDEX('Input Transaksi'!$F:$F,$E418))</f>
        <v/>
      </c>
      <c r="E418">
        <f>IFERROR(AGGREGATE(15,6,ROW('Input Transaksi'!$B$5:$B$5000)/('Input Transaksi'!$B$5:$B$5000="JCL SESETAN"),ROWS($E$5:E418)),"")</f>
        <v/>
      </c>
      <c r="F418" s="5" t="n"/>
    </row>
    <row r="419">
      <c r="A419" s="10">
        <f>IF($E419="","",INDEX('Input Transaksi'!$A:$A,$E419))</f>
        <v/>
      </c>
      <c r="B419" s="5">
        <f>IF($E419="","",INDEX('Input Transaksi'!$D:$D,$E419))</f>
        <v/>
      </c>
      <c r="C419">
        <f>IF($E419="","",INDEX('Input Transaksi'!$E:$E,$E419))</f>
        <v/>
      </c>
      <c r="D419" s="5">
        <f>IF($E419="","",INDEX('Input Transaksi'!$F:$F,$E419))</f>
        <v/>
      </c>
      <c r="E419">
        <f>IFERROR(AGGREGATE(15,6,ROW('Input Transaksi'!$B$5:$B$5000)/('Input Transaksi'!$B$5:$B$5000="JCL SESETAN"),ROWS($E$5:E419)),"")</f>
        <v/>
      </c>
      <c r="F419" s="5" t="n"/>
    </row>
    <row r="420">
      <c r="A420" s="10">
        <f>IF($E420="","",INDEX('Input Transaksi'!$A:$A,$E420))</f>
        <v/>
      </c>
      <c r="B420" s="5">
        <f>IF($E420="","",INDEX('Input Transaksi'!$D:$D,$E420))</f>
        <v/>
      </c>
      <c r="C420">
        <f>IF($E420="","",INDEX('Input Transaksi'!$E:$E,$E420))</f>
        <v/>
      </c>
      <c r="D420" s="5">
        <f>IF($E420="","",INDEX('Input Transaksi'!$F:$F,$E420))</f>
        <v/>
      </c>
      <c r="E420">
        <f>IFERROR(AGGREGATE(15,6,ROW('Input Transaksi'!$B$5:$B$5000)/('Input Transaksi'!$B$5:$B$5000="JCL SESETAN"),ROWS($E$5:E420)),"")</f>
        <v/>
      </c>
      <c r="F420" s="5" t="n"/>
    </row>
    <row r="421">
      <c r="A421" s="10">
        <f>IF($E421="","",INDEX('Input Transaksi'!$A:$A,$E421))</f>
        <v/>
      </c>
      <c r="B421" s="5">
        <f>IF($E421="","",INDEX('Input Transaksi'!$D:$D,$E421))</f>
        <v/>
      </c>
      <c r="C421">
        <f>IF($E421="","",INDEX('Input Transaksi'!$E:$E,$E421))</f>
        <v/>
      </c>
      <c r="D421" s="5">
        <f>IF($E421="","",INDEX('Input Transaksi'!$F:$F,$E421))</f>
        <v/>
      </c>
      <c r="E421">
        <f>IFERROR(AGGREGATE(15,6,ROW('Input Transaksi'!$B$5:$B$5000)/('Input Transaksi'!$B$5:$B$5000="JCL SESETAN"),ROWS($E$5:E421)),"")</f>
        <v/>
      </c>
      <c r="F421" s="5" t="n"/>
    </row>
    <row r="422">
      <c r="A422" s="10">
        <f>IF($E422="","",INDEX('Input Transaksi'!$A:$A,$E422))</f>
        <v/>
      </c>
      <c r="B422" s="5">
        <f>IF($E422="","",INDEX('Input Transaksi'!$D:$D,$E422))</f>
        <v/>
      </c>
      <c r="C422">
        <f>IF($E422="","",INDEX('Input Transaksi'!$E:$E,$E422))</f>
        <v/>
      </c>
      <c r="D422" s="5">
        <f>IF($E422="","",INDEX('Input Transaksi'!$F:$F,$E422))</f>
        <v/>
      </c>
      <c r="E422">
        <f>IFERROR(AGGREGATE(15,6,ROW('Input Transaksi'!$B$5:$B$5000)/('Input Transaksi'!$B$5:$B$5000="JCL SESETAN"),ROWS($E$5:E422)),"")</f>
        <v/>
      </c>
      <c r="F422" s="5" t="n"/>
    </row>
    <row r="423">
      <c r="A423" s="10">
        <f>IF($E423="","",INDEX('Input Transaksi'!$A:$A,$E423))</f>
        <v/>
      </c>
      <c r="B423" s="5">
        <f>IF($E423="","",INDEX('Input Transaksi'!$D:$D,$E423))</f>
        <v/>
      </c>
      <c r="C423">
        <f>IF($E423="","",INDEX('Input Transaksi'!$E:$E,$E423))</f>
        <v/>
      </c>
      <c r="D423" s="5">
        <f>IF($E423="","",INDEX('Input Transaksi'!$F:$F,$E423))</f>
        <v/>
      </c>
      <c r="E423">
        <f>IFERROR(AGGREGATE(15,6,ROW('Input Transaksi'!$B$5:$B$5000)/('Input Transaksi'!$B$5:$B$5000="JCL SESETAN"),ROWS($E$5:E423)),"")</f>
        <v/>
      </c>
      <c r="F423" s="5" t="n"/>
    </row>
    <row r="424">
      <c r="A424" s="10">
        <f>IF($E424="","",INDEX('Input Transaksi'!$A:$A,$E424))</f>
        <v/>
      </c>
      <c r="B424" s="5">
        <f>IF($E424="","",INDEX('Input Transaksi'!$D:$D,$E424))</f>
        <v/>
      </c>
      <c r="C424">
        <f>IF($E424="","",INDEX('Input Transaksi'!$E:$E,$E424))</f>
        <v/>
      </c>
      <c r="D424" s="5">
        <f>IF($E424="","",INDEX('Input Transaksi'!$F:$F,$E424))</f>
        <v/>
      </c>
      <c r="E424">
        <f>IFERROR(AGGREGATE(15,6,ROW('Input Transaksi'!$B$5:$B$5000)/('Input Transaksi'!$B$5:$B$5000="JCL SESETAN"),ROWS($E$5:E424)),"")</f>
        <v/>
      </c>
      <c r="F424" s="5" t="n"/>
    </row>
    <row r="425">
      <c r="A425" s="10">
        <f>IF($E425="","",INDEX('Input Transaksi'!$A:$A,$E425))</f>
        <v/>
      </c>
      <c r="B425" s="5">
        <f>IF($E425="","",INDEX('Input Transaksi'!$D:$D,$E425))</f>
        <v/>
      </c>
      <c r="C425">
        <f>IF($E425="","",INDEX('Input Transaksi'!$E:$E,$E425))</f>
        <v/>
      </c>
      <c r="D425" s="5">
        <f>IF($E425="","",INDEX('Input Transaksi'!$F:$F,$E425))</f>
        <v/>
      </c>
      <c r="E425">
        <f>IFERROR(AGGREGATE(15,6,ROW('Input Transaksi'!$B$5:$B$5000)/('Input Transaksi'!$B$5:$B$5000="JCL SESETAN"),ROWS($E$5:E425)),"")</f>
        <v/>
      </c>
      <c r="F425" s="5" t="n"/>
    </row>
    <row r="426">
      <c r="A426" s="10">
        <f>IF($E426="","",INDEX('Input Transaksi'!$A:$A,$E426))</f>
        <v/>
      </c>
      <c r="B426" s="5">
        <f>IF($E426="","",INDEX('Input Transaksi'!$D:$D,$E426))</f>
        <v/>
      </c>
      <c r="C426">
        <f>IF($E426="","",INDEX('Input Transaksi'!$E:$E,$E426))</f>
        <v/>
      </c>
      <c r="D426" s="5">
        <f>IF($E426="","",INDEX('Input Transaksi'!$F:$F,$E426))</f>
        <v/>
      </c>
      <c r="E426">
        <f>IFERROR(AGGREGATE(15,6,ROW('Input Transaksi'!$B$5:$B$5000)/('Input Transaksi'!$B$5:$B$5000="JCL SESETAN"),ROWS($E$5:E426)),"")</f>
        <v/>
      </c>
      <c r="F426" s="5" t="n"/>
    </row>
    <row r="427">
      <c r="A427" s="10">
        <f>IF($E427="","",INDEX('Input Transaksi'!$A:$A,$E427))</f>
        <v/>
      </c>
      <c r="B427" s="5">
        <f>IF($E427="","",INDEX('Input Transaksi'!$D:$D,$E427))</f>
        <v/>
      </c>
      <c r="C427">
        <f>IF($E427="","",INDEX('Input Transaksi'!$E:$E,$E427))</f>
        <v/>
      </c>
      <c r="D427" s="5">
        <f>IF($E427="","",INDEX('Input Transaksi'!$F:$F,$E427))</f>
        <v/>
      </c>
      <c r="E427">
        <f>IFERROR(AGGREGATE(15,6,ROW('Input Transaksi'!$B$5:$B$5000)/('Input Transaksi'!$B$5:$B$5000="JCL SESETAN"),ROWS($E$5:E427)),"")</f>
        <v/>
      </c>
      <c r="F427" s="5" t="n"/>
    </row>
    <row r="428">
      <c r="A428" s="10">
        <f>IF($E428="","",INDEX('Input Transaksi'!$A:$A,$E428))</f>
        <v/>
      </c>
      <c r="B428" s="5">
        <f>IF($E428="","",INDEX('Input Transaksi'!$D:$D,$E428))</f>
        <v/>
      </c>
      <c r="C428">
        <f>IF($E428="","",INDEX('Input Transaksi'!$E:$E,$E428))</f>
        <v/>
      </c>
      <c r="D428" s="5">
        <f>IF($E428="","",INDEX('Input Transaksi'!$F:$F,$E428))</f>
        <v/>
      </c>
      <c r="E428">
        <f>IFERROR(AGGREGATE(15,6,ROW('Input Transaksi'!$B$5:$B$5000)/('Input Transaksi'!$B$5:$B$5000="JCL SESETAN"),ROWS($E$5:E428)),"")</f>
        <v/>
      </c>
      <c r="F428" s="5" t="n"/>
    </row>
    <row r="429">
      <c r="A429" s="10">
        <f>IF($E429="","",INDEX('Input Transaksi'!$A:$A,$E429))</f>
        <v/>
      </c>
      <c r="B429" s="5">
        <f>IF($E429="","",INDEX('Input Transaksi'!$D:$D,$E429))</f>
        <v/>
      </c>
      <c r="C429">
        <f>IF($E429="","",INDEX('Input Transaksi'!$E:$E,$E429))</f>
        <v/>
      </c>
      <c r="D429" s="5">
        <f>IF($E429="","",INDEX('Input Transaksi'!$F:$F,$E429))</f>
        <v/>
      </c>
      <c r="E429">
        <f>IFERROR(AGGREGATE(15,6,ROW('Input Transaksi'!$B$5:$B$5000)/('Input Transaksi'!$B$5:$B$5000="JCL SESETAN"),ROWS($E$5:E429)),"")</f>
        <v/>
      </c>
      <c r="F429" s="5" t="n"/>
    </row>
    <row r="430">
      <c r="A430" s="10">
        <f>IF($E430="","",INDEX('Input Transaksi'!$A:$A,$E430))</f>
        <v/>
      </c>
      <c r="B430" s="5">
        <f>IF($E430="","",INDEX('Input Transaksi'!$D:$D,$E430))</f>
        <v/>
      </c>
      <c r="C430">
        <f>IF($E430="","",INDEX('Input Transaksi'!$E:$E,$E430))</f>
        <v/>
      </c>
      <c r="D430" s="5">
        <f>IF($E430="","",INDEX('Input Transaksi'!$F:$F,$E430))</f>
        <v/>
      </c>
      <c r="E430">
        <f>IFERROR(AGGREGATE(15,6,ROW('Input Transaksi'!$B$5:$B$5000)/('Input Transaksi'!$B$5:$B$5000="JCL SESETAN"),ROWS($E$5:E430)),"")</f>
        <v/>
      </c>
      <c r="F430" s="5" t="n"/>
    </row>
    <row r="431">
      <c r="A431" s="10">
        <f>IF($E431="","",INDEX('Input Transaksi'!$A:$A,$E431))</f>
        <v/>
      </c>
      <c r="B431" s="5">
        <f>IF($E431="","",INDEX('Input Transaksi'!$D:$D,$E431))</f>
        <v/>
      </c>
      <c r="C431">
        <f>IF($E431="","",INDEX('Input Transaksi'!$E:$E,$E431))</f>
        <v/>
      </c>
      <c r="D431" s="5">
        <f>IF($E431="","",INDEX('Input Transaksi'!$F:$F,$E431))</f>
        <v/>
      </c>
      <c r="E431">
        <f>IFERROR(AGGREGATE(15,6,ROW('Input Transaksi'!$B$5:$B$5000)/('Input Transaksi'!$B$5:$B$5000="JCL SESETAN"),ROWS($E$5:E431)),"")</f>
        <v/>
      </c>
      <c r="F431" s="5" t="n"/>
    </row>
    <row r="432">
      <c r="A432" s="10">
        <f>IF($E432="","",INDEX('Input Transaksi'!$A:$A,$E432))</f>
        <v/>
      </c>
      <c r="B432" s="5">
        <f>IF($E432="","",INDEX('Input Transaksi'!$D:$D,$E432))</f>
        <v/>
      </c>
      <c r="C432">
        <f>IF($E432="","",INDEX('Input Transaksi'!$E:$E,$E432))</f>
        <v/>
      </c>
      <c r="D432" s="5">
        <f>IF($E432="","",INDEX('Input Transaksi'!$F:$F,$E432))</f>
        <v/>
      </c>
      <c r="E432">
        <f>IFERROR(AGGREGATE(15,6,ROW('Input Transaksi'!$B$5:$B$5000)/('Input Transaksi'!$B$5:$B$5000="JCL SESETAN"),ROWS($E$5:E432)),"")</f>
        <v/>
      </c>
      <c r="F432" s="5" t="n"/>
    </row>
    <row r="433">
      <c r="A433" s="10">
        <f>IF($E433="","",INDEX('Input Transaksi'!$A:$A,$E433))</f>
        <v/>
      </c>
      <c r="B433" s="5">
        <f>IF($E433="","",INDEX('Input Transaksi'!$D:$D,$E433))</f>
        <v/>
      </c>
      <c r="C433">
        <f>IF($E433="","",INDEX('Input Transaksi'!$E:$E,$E433))</f>
        <v/>
      </c>
      <c r="D433" s="5">
        <f>IF($E433="","",INDEX('Input Transaksi'!$F:$F,$E433))</f>
        <v/>
      </c>
      <c r="E433">
        <f>IFERROR(AGGREGATE(15,6,ROW('Input Transaksi'!$B$5:$B$5000)/('Input Transaksi'!$B$5:$B$5000="JCL SESETAN"),ROWS($E$5:E433)),"")</f>
        <v/>
      </c>
      <c r="F433" s="5" t="n"/>
    </row>
    <row r="434">
      <c r="A434" s="10">
        <f>IF($E434="","",INDEX('Input Transaksi'!$A:$A,$E434))</f>
        <v/>
      </c>
      <c r="B434" s="5">
        <f>IF($E434="","",INDEX('Input Transaksi'!$D:$D,$E434))</f>
        <v/>
      </c>
      <c r="C434">
        <f>IF($E434="","",INDEX('Input Transaksi'!$E:$E,$E434))</f>
        <v/>
      </c>
      <c r="D434" s="5">
        <f>IF($E434="","",INDEX('Input Transaksi'!$F:$F,$E434))</f>
        <v/>
      </c>
      <c r="E434">
        <f>IFERROR(AGGREGATE(15,6,ROW('Input Transaksi'!$B$5:$B$5000)/('Input Transaksi'!$B$5:$B$5000="JCL SESETAN"),ROWS($E$5:E434)),"")</f>
        <v/>
      </c>
      <c r="F434" s="5" t="n"/>
    </row>
    <row r="435">
      <c r="A435" s="10">
        <f>IF($E435="","",INDEX('Input Transaksi'!$A:$A,$E435))</f>
        <v/>
      </c>
      <c r="B435" s="5">
        <f>IF($E435="","",INDEX('Input Transaksi'!$D:$D,$E435))</f>
        <v/>
      </c>
      <c r="C435">
        <f>IF($E435="","",INDEX('Input Transaksi'!$E:$E,$E435))</f>
        <v/>
      </c>
      <c r="D435" s="5">
        <f>IF($E435="","",INDEX('Input Transaksi'!$F:$F,$E435))</f>
        <v/>
      </c>
      <c r="E435">
        <f>IFERROR(AGGREGATE(15,6,ROW('Input Transaksi'!$B$5:$B$5000)/('Input Transaksi'!$B$5:$B$5000="JCL SESETAN"),ROWS($E$5:E435)),"")</f>
        <v/>
      </c>
      <c r="F435" s="5" t="n"/>
    </row>
    <row r="436">
      <c r="A436" s="10">
        <f>IF($E436="","",INDEX('Input Transaksi'!$A:$A,$E436))</f>
        <v/>
      </c>
      <c r="B436" s="5">
        <f>IF($E436="","",INDEX('Input Transaksi'!$D:$D,$E436))</f>
        <v/>
      </c>
      <c r="C436">
        <f>IF($E436="","",INDEX('Input Transaksi'!$E:$E,$E436))</f>
        <v/>
      </c>
      <c r="D436" s="5">
        <f>IF($E436="","",INDEX('Input Transaksi'!$F:$F,$E436))</f>
        <v/>
      </c>
      <c r="E436">
        <f>IFERROR(AGGREGATE(15,6,ROW('Input Transaksi'!$B$5:$B$5000)/('Input Transaksi'!$B$5:$B$5000="JCL SESETAN"),ROWS($E$5:E436)),"")</f>
        <v/>
      </c>
      <c r="F436" s="5" t="n"/>
    </row>
    <row r="437">
      <c r="A437" s="10">
        <f>IF($E437="","",INDEX('Input Transaksi'!$A:$A,$E437))</f>
        <v/>
      </c>
      <c r="B437" s="5">
        <f>IF($E437="","",INDEX('Input Transaksi'!$D:$D,$E437))</f>
        <v/>
      </c>
      <c r="C437">
        <f>IF($E437="","",INDEX('Input Transaksi'!$E:$E,$E437))</f>
        <v/>
      </c>
      <c r="D437" s="5">
        <f>IF($E437="","",INDEX('Input Transaksi'!$F:$F,$E437))</f>
        <v/>
      </c>
      <c r="E437">
        <f>IFERROR(AGGREGATE(15,6,ROW('Input Transaksi'!$B$5:$B$5000)/('Input Transaksi'!$B$5:$B$5000="JCL SESETAN"),ROWS($E$5:E437)),"")</f>
        <v/>
      </c>
      <c r="F437" s="5" t="n"/>
    </row>
    <row r="438">
      <c r="A438" s="10">
        <f>IF($E438="","",INDEX('Input Transaksi'!$A:$A,$E438))</f>
        <v/>
      </c>
      <c r="B438" s="5">
        <f>IF($E438="","",INDEX('Input Transaksi'!$D:$D,$E438))</f>
        <v/>
      </c>
      <c r="C438">
        <f>IF($E438="","",INDEX('Input Transaksi'!$E:$E,$E438))</f>
        <v/>
      </c>
      <c r="D438" s="5">
        <f>IF($E438="","",INDEX('Input Transaksi'!$F:$F,$E438))</f>
        <v/>
      </c>
      <c r="E438">
        <f>IFERROR(AGGREGATE(15,6,ROW('Input Transaksi'!$B$5:$B$5000)/('Input Transaksi'!$B$5:$B$5000="JCL SESETAN"),ROWS($E$5:E438)),"")</f>
        <v/>
      </c>
      <c r="F438" s="5" t="n"/>
    </row>
    <row r="439">
      <c r="A439" s="10">
        <f>IF($E439="","",INDEX('Input Transaksi'!$A:$A,$E439))</f>
        <v/>
      </c>
      <c r="B439" s="5">
        <f>IF($E439="","",INDEX('Input Transaksi'!$D:$D,$E439))</f>
        <v/>
      </c>
      <c r="C439">
        <f>IF($E439="","",INDEX('Input Transaksi'!$E:$E,$E439))</f>
        <v/>
      </c>
      <c r="D439" s="5">
        <f>IF($E439="","",INDEX('Input Transaksi'!$F:$F,$E439))</f>
        <v/>
      </c>
      <c r="E439">
        <f>IFERROR(AGGREGATE(15,6,ROW('Input Transaksi'!$B$5:$B$5000)/('Input Transaksi'!$B$5:$B$5000="JCL SESETAN"),ROWS($E$5:E439)),"")</f>
        <v/>
      </c>
      <c r="F439" s="5" t="n"/>
    </row>
    <row r="440">
      <c r="A440" s="10">
        <f>IF($E440="","",INDEX('Input Transaksi'!$A:$A,$E440))</f>
        <v/>
      </c>
      <c r="B440" s="5">
        <f>IF($E440="","",INDEX('Input Transaksi'!$D:$D,$E440))</f>
        <v/>
      </c>
      <c r="C440">
        <f>IF($E440="","",INDEX('Input Transaksi'!$E:$E,$E440))</f>
        <v/>
      </c>
      <c r="D440" s="5">
        <f>IF($E440="","",INDEX('Input Transaksi'!$F:$F,$E440))</f>
        <v/>
      </c>
      <c r="E440">
        <f>IFERROR(AGGREGATE(15,6,ROW('Input Transaksi'!$B$5:$B$5000)/('Input Transaksi'!$B$5:$B$5000="JCL SESETAN"),ROWS($E$5:E440)),"")</f>
        <v/>
      </c>
      <c r="F440" s="5" t="n"/>
    </row>
    <row r="441">
      <c r="A441" s="10">
        <f>IF($E441="","",INDEX('Input Transaksi'!$A:$A,$E441))</f>
        <v/>
      </c>
      <c r="B441" s="5">
        <f>IF($E441="","",INDEX('Input Transaksi'!$D:$D,$E441))</f>
        <v/>
      </c>
      <c r="C441">
        <f>IF($E441="","",INDEX('Input Transaksi'!$E:$E,$E441))</f>
        <v/>
      </c>
      <c r="D441" s="5">
        <f>IF($E441="","",INDEX('Input Transaksi'!$F:$F,$E441))</f>
        <v/>
      </c>
      <c r="E441">
        <f>IFERROR(AGGREGATE(15,6,ROW('Input Transaksi'!$B$5:$B$5000)/('Input Transaksi'!$B$5:$B$5000="JCL SESETAN"),ROWS($E$5:E441)),"")</f>
        <v/>
      </c>
      <c r="F441" s="5" t="n"/>
    </row>
    <row r="442">
      <c r="A442" s="10">
        <f>IF($E442="","",INDEX('Input Transaksi'!$A:$A,$E442))</f>
        <v/>
      </c>
      <c r="B442" s="5">
        <f>IF($E442="","",INDEX('Input Transaksi'!$D:$D,$E442))</f>
        <v/>
      </c>
      <c r="C442">
        <f>IF($E442="","",INDEX('Input Transaksi'!$E:$E,$E442))</f>
        <v/>
      </c>
      <c r="D442" s="5">
        <f>IF($E442="","",INDEX('Input Transaksi'!$F:$F,$E442))</f>
        <v/>
      </c>
      <c r="E442">
        <f>IFERROR(AGGREGATE(15,6,ROW('Input Transaksi'!$B$5:$B$5000)/('Input Transaksi'!$B$5:$B$5000="JCL SESETAN"),ROWS($E$5:E442)),"")</f>
        <v/>
      </c>
      <c r="F442" s="5" t="n"/>
    </row>
    <row r="443">
      <c r="A443" s="10">
        <f>IF($E443="","",INDEX('Input Transaksi'!$A:$A,$E443))</f>
        <v/>
      </c>
      <c r="B443" s="5">
        <f>IF($E443="","",INDEX('Input Transaksi'!$D:$D,$E443))</f>
        <v/>
      </c>
      <c r="C443">
        <f>IF($E443="","",INDEX('Input Transaksi'!$E:$E,$E443))</f>
        <v/>
      </c>
      <c r="D443" s="5">
        <f>IF($E443="","",INDEX('Input Transaksi'!$F:$F,$E443))</f>
        <v/>
      </c>
      <c r="E443">
        <f>IFERROR(AGGREGATE(15,6,ROW('Input Transaksi'!$B$5:$B$5000)/('Input Transaksi'!$B$5:$B$5000="JCL SESETAN"),ROWS($E$5:E443)),"")</f>
        <v/>
      </c>
      <c r="F443" s="5" t="n"/>
    </row>
    <row r="444">
      <c r="A444" s="10">
        <f>IF($E444="","",INDEX('Input Transaksi'!$A:$A,$E444))</f>
        <v/>
      </c>
      <c r="B444" s="5">
        <f>IF($E444="","",INDEX('Input Transaksi'!$D:$D,$E444))</f>
        <v/>
      </c>
      <c r="C444">
        <f>IF($E444="","",INDEX('Input Transaksi'!$E:$E,$E444))</f>
        <v/>
      </c>
      <c r="D444" s="5">
        <f>IF($E444="","",INDEX('Input Transaksi'!$F:$F,$E444))</f>
        <v/>
      </c>
      <c r="E444">
        <f>IFERROR(AGGREGATE(15,6,ROW('Input Transaksi'!$B$5:$B$5000)/('Input Transaksi'!$B$5:$B$5000="JCL SESETAN"),ROWS($E$5:E444)),"")</f>
        <v/>
      </c>
      <c r="F444" s="5" t="n"/>
    </row>
    <row r="445">
      <c r="A445" s="10">
        <f>IF($E445="","",INDEX('Input Transaksi'!$A:$A,$E445))</f>
        <v/>
      </c>
      <c r="B445" s="5">
        <f>IF($E445="","",INDEX('Input Transaksi'!$D:$D,$E445))</f>
        <v/>
      </c>
      <c r="C445">
        <f>IF($E445="","",INDEX('Input Transaksi'!$E:$E,$E445))</f>
        <v/>
      </c>
      <c r="D445" s="5">
        <f>IF($E445="","",INDEX('Input Transaksi'!$F:$F,$E445))</f>
        <v/>
      </c>
      <c r="E445">
        <f>IFERROR(AGGREGATE(15,6,ROW('Input Transaksi'!$B$5:$B$5000)/('Input Transaksi'!$B$5:$B$5000="JCL SESETAN"),ROWS($E$5:E445)),"")</f>
        <v/>
      </c>
      <c r="F445" s="5" t="n"/>
    </row>
    <row r="446">
      <c r="A446" s="10">
        <f>IF($E446="","",INDEX('Input Transaksi'!$A:$A,$E446))</f>
        <v/>
      </c>
      <c r="B446" s="5">
        <f>IF($E446="","",INDEX('Input Transaksi'!$D:$D,$E446))</f>
        <v/>
      </c>
      <c r="C446">
        <f>IF($E446="","",INDEX('Input Transaksi'!$E:$E,$E446))</f>
        <v/>
      </c>
      <c r="D446" s="5">
        <f>IF($E446="","",INDEX('Input Transaksi'!$F:$F,$E446))</f>
        <v/>
      </c>
      <c r="E446">
        <f>IFERROR(AGGREGATE(15,6,ROW('Input Transaksi'!$B$5:$B$5000)/('Input Transaksi'!$B$5:$B$5000="JCL SESETAN"),ROWS($E$5:E446)),"")</f>
        <v/>
      </c>
      <c r="F446" s="5" t="n"/>
    </row>
    <row r="447">
      <c r="A447" s="10">
        <f>IF($E447="","",INDEX('Input Transaksi'!$A:$A,$E447))</f>
        <v/>
      </c>
      <c r="B447" s="5">
        <f>IF($E447="","",INDEX('Input Transaksi'!$D:$D,$E447))</f>
        <v/>
      </c>
      <c r="C447">
        <f>IF($E447="","",INDEX('Input Transaksi'!$E:$E,$E447))</f>
        <v/>
      </c>
      <c r="D447" s="5">
        <f>IF($E447="","",INDEX('Input Transaksi'!$F:$F,$E447))</f>
        <v/>
      </c>
      <c r="E447">
        <f>IFERROR(AGGREGATE(15,6,ROW('Input Transaksi'!$B$5:$B$5000)/('Input Transaksi'!$B$5:$B$5000="JCL SESETAN"),ROWS($E$5:E447)),"")</f>
        <v/>
      </c>
      <c r="F447" s="5" t="n"/>
    </row>
    <row r="448">
      <c r="A448" s="10">
        <f>IF($E448="","",INDEX('Input Transaksi'!$A:$A,$E448))</f>
        <v/>
      </c>
      <c r="B448" s="5">
        <f>IF($E448="","",INDEX('Input Transaksi'!$D:$D,$E448))</f>
        <v/>
      </c>
      <c r="C448">
        <f>IF($E448="","",INDEX('Input Transaksi'!$E:$E,$E448))</f>
        <v/>
      </c>
      <c r="D448" s="5">
        <f>IF($E448="","",INDEX('Input Transaksi'!$F:$F,$E448))</f>
        <v/>
      </c>
      <c r="E448">
        <f>IFERROR(AGGREGATE(15,6,ROW('Input Transaksi'!$B$5:$B$5000)/('Input Transaksi'!$B$5:$B$5000="JCL SESETAN"),ROWS($E$5:E448)),"")</f>
        <v/>
      </c>
      <c r="F448" s="5" t="n"/>
    </row>
    <row r="449">
      <c r="A449" s="10">
        <f>IF($E449="","",INDEX('Input Transaksi'!$A:$A,$E449))</f>
        <v/>
      </c>
      <c r="B449" s="5">
        <f>IF($E449="","",INDEX('Input Transaksi'!$D:$D,$E449))</f>
        <v/>
      </c>
      <c r="C449">
        <f>IF($E449="","",INDEX('Input Transaksi'!$E:$E,$E449))</f>
        <v/>
      </c>
      <c r="D449" s="5">
        <f>IF($E449="","",INDEX('Input Transaksi'!$F:$F,$E449))</f>
        <v/>
      </c>
      <c r="E449">
        <f>IFERROR(AGGREGATE(15,6,ROW('Input Transaksi'!$B$5:$B$5000)/('Input Transaksi'!$B$5:$B$5000="JCL SESETAN"),ROWS($E$5:E449)),"")</f>
        <v/>
      </c>
      <c r="F449" s="5" t="n"/>
    </row>
    <row r="450">
      <c r="A450" s="10">
        <f>IF($E450="","",INDEX('Input Transaksi'!$A:$A,$E450))</f>
        <v/>
      </c>
      <c r="B450" s="5">
        <f>IF($E450="","",INDEX('Input Transaksi'!$D:$D,$E450))</f>
        <v/>
      </c>
      <c r="C450">
        <f>IF($E450="","",INDEX('Input Transaksi'!$E:$E,$E450))</f>
        <v/>
      </c>
      <c r="D450" s="5">
        <f>IF($E450="","",INDEX('Input Transaksi'!$F:$F,$E450))</f>
        <v/>
      </c>
      <c r="E450">
        <f>IFERROR(AGGREGATE(15,6,ROW('Input Transaksi'!$B$5:$B$5000)/('Input Transaksi'!$B$5:$B$5000="JCL SESETAN"),ROWS($E$5:E450)),"")</f>
        <v/>
      </c>
      <c r="F450" s="5" t="n"/>
    </row>
    <row r="451">
      <c r="A451" s="10">
        <f>IF($E451="","",INDEX('Input Transaksi'!$A:$A,$E451))</f>
        <v/>
      </c>
      <c r="B451" s="5">
        <f>IF($E451="","",INDEX('Input Transaksi'!$D:$D,$E451))</f>
        <v/>
      </c>
      <c r="C451">
        <f>IF($E451="","",INDEX('Input Transaksi'!$E:$E,$E451))</f>
        <v/>
      </c>
      <c r="D451" s="5">
        <f>IF($E451="","",INDEX('Input Transaksi'!$F:$F,$E451))</f>
        <v/>
      </c>
      <c r="E451">
        <f>IFERROR(AGGREGATE(15,6,ROW('Input Transaksi'!$B$5:$B$5000)/('Input Transaksi'!$B$5:$B$5000="JCL SESETAN"),ROWS($E$5:E451)),"")</f>
        <v/>
      </c>
      <c r="F451" s="5" t="n"/>
    </row>
    <row r="452">
      <c r="A452" s="10">
        <f>IF($E452="","",INDEX('Input Transaksi'!$A:$A,$E452))</f>
        <v/>
      </c>
      <c r="B452" s="5">
        <f>IF($E452="","",INDEX('Input Transaksi'!$D:$D,$E452))</f>
        <v/>
      </c>
      <c r="C452">
        <f>IF($E452="","",INDEX('Input Transaksi'!$E:$E,$E452))</f>
        <v/>
      </c>
      <c r="D452" s="5">
        <f>IF($E452="","",INDEX('Input Transaksi'!$F:$F,$E452))</f>
        <v/>
      </c>
      <c r="E452">
        <f>IFERROR(AGGREGATE(15,6,ROW('Input Transaksi'!$B$5:$B$5000)/('Input Transaksi'!$B$5:$B$5000="JCL SESETAN"),ROWS($E$5:E452)),"")</f>
        <v/>
      </c>
      <c r="F452" s="5" t="n"/>
    </row>
    <row r="453">
      <c r="A453" s="10">
        <f>IF($E453="","",INDEX('Input Transaksi'!$A:$A,$E453))</f>
        <v/>
      </c>
      <c r="B453" s="5">
        <f>IF($E453="","",INDEX('Input Transaksi'!$D:$D,$E453))</f>
        <v/>
      </c>
      <c r="C453">
        <f>IF($E453="","",INDEX('Input Transaksi'!$E:$E,$E453))</f>
        <v/>
      </c>
      <c r="D453" s="5">
        <f>IF($E453="","",INDEX('Input Transaksi'!$F:$F,$E453))</f>
        <v/>
      </c>
      <c r="E453">
        <f>IFERROR(AGGREGATE(15,6,ROW('Input Transaksi'!$B$5:$B$5000)/('Input Transaksi'!$B$5:$B$5000="JCL SESETAN"),ROWS($E$5:E453)),"")</f>
        <v/>
      </c>
      <c r="F453" s="5" t="n"/>
    </row>
    <row r="454">
      <c r="A454" s="10">
        <f>IF($E454="","",INDEX('Input Transaksi'!$A:$A,$E454))</f>
        <v/>
      </c>
      <c r="B454" s="5">
        <f>IF($E454="","",INDEX('Input Transaksi'!$D:$D,$E454))</f>
        <v/>
      </c>
      <c r="C454">
        <f>IF($E454="","",INDEX('Input Transaksi'!$E:$E,$E454))</f>
        <v/>
      </c>
      <c r="D454" s="5">
        <f>IF($E454="","",INDEX('Input Transaksi'!$F:$F,$E454))</f>
        <v/>
      </c>
      <c r="E454">
        <f>IFERROR(AGGREGATE(15,6,ROW('Input Transaksi'!$B$5:$B$5000)/('Input Transaksi'!$B$5:$B$5000="JCL SESETAN"),ROWS($E$5:E454)),"")</f>
        <v/>
      </c>
      <c r="F454" s="5" t="n"/>
    </row>
    <row r="455">
      <c r="A455" s="10">
        <f>IF($E455="","",INDEX('Input Transaksi'!$A:$A,$E455))</f>
        <v/>
      </c>
      <c r="B455" s="5">
        <f>IF($E455="","",INDEX('Input Transaksi'!$D:$D,$E455))</f>
        <v/>
      </c>
      <c r="C455">
        <f>IF($E455="","",INDEX('Input Transaksi'!$E:$E,$E455))</f>
        <v/>
      </c>
      <c r="D455" s="5">
        <f>IF($E455="","",INDEX('Input Transaksi'!$F:$F,$E455))</f>
        <v/>
      </c>
      <c r="E455">
        <f>IFERROR(AGGREGATE(15,6,ROW('Input Transaksi'!$B$5:$B$5000)/('Input Transaksi'!$B$5:$B$5000="JCL SESETAN"),ROWS($E$5:E455)),"")</f>
        <v/>
      </c>
      <c r="F455" s="5" t="n"/>
    </row>
    <row r="456">
      <c r="A456" s="10">
        <f>IF($E456="","",INDEX('Input Transaksi'!$A:$A,$E456))</f>
        <v/>
      </c>
      <c r="B456" s="5">
        <f>IF($E456="","",INDEX('Input Transaksi'!$D:$D,$E456))</f>
        <v/>
      </c>
      <c r="C456">
        <f>IF($E456="","",INDEX('Input Transaksi'!$E:$E,$E456))</f>
        <v/>
      </c>
      <c r="D456" s="5">
        <f>IF($E456="","",INDEX('Input Transaksi'!$F:$F,$E456))</f>
        <v/>
      </c>
      <c r="E456">
        <f>IFERROR(AGGREGATE(15,6,ROW('Input Transaksi'!$B$5:$B$5000)/('Input Transaksi'!$B$5:$B$5000="JCL SESETAN"),ROWS($E$5:E456)),"")</f>
        <v/>
      </c>
      <c r="F456" s="5" t="n"/>
    </row>
    <row r="457">
      <c r="A457" s="10">
        <f>IF($E457="","",INDEX('Input Transaksi'!$A:$A,$E457))</f>
        <v/>
      </c>
      <c r="B457" s="5">
        <f>IF($E457="","",INDEX('Input Transaksi'!$D:$D,$E457))</f>
        <v/>
      </c>
      <c r="C457">
        <f>IF($E457="","",INDEX('Input Transaksi'!$E:$E,$E457))</f>
        <v/>
      </c>
      <c r="D457" s="5">
        <f>IF($E457="","",INDEX('Input Transaksi'!$F:$F,$E457))</f>
        <v/>
      </c>
      <c r="E457">
        <f>IFERROR(AGGREGATE(15,6,ROW('Input Transaksi'!$B$5:$B$5000)/('Input Transaksi'!$B$5:$B$5000="JCL SESETAN"),ROWS($E$5:E457)),"")</f>
        <v/>
      </c>
      <c r="F457" s="5" t="n"/>
    </row>
    <row r="458">
      <c r="A458" s="10">
        <f>IF($E458="","",INDEX('Input Transaksi'!$A:$A,$E458))</f>
        <v/>
      </c>
      <c r="B458" s="5">
        <f>IF($E458="","",INDEX('Input Transaksi'!$D:$D,$E458))</f>
        <v/>
      </c>
      <c r="C458">
        <f>IF($E458="","",INDEX('Input Transaksi'!$E:$E,$E458))</f>
        <v/>
      </c>
      <c r="D458" s="5">
        <f>IF($E458="","",INDEX('Input Transaksi'!$F:$F,$E458))</f>
        <v/>
      </c>
      <c r="E458">
        <f>IFERROR(AGGREGATE(15,6,ROW('Input Transaksi'!$B$5:$B$5000)/('Input Transaksi'!$B$5:$B$5000="JCL SESETAN"),ROWS($E$5:E458)),"")</f>
        <v/>
      </c>
      <c r="F458" s="5" t="n"/>
    </row>
    <row r="459">
      <c r="A459" s="10">
        <f>IF($E459="","",INDEX('Input Transaksi'!$A:$A,$E459))</f>
        <v/>
      </c>
      <c r="B459" s="5">
        <f>IF($E459="","",INDEX('Input Transaksi'!$D:$D,$E459))</f>
        <v/>
      </c>
      <c r="C459">
        <f>IF($E459="","",INDEX('Input Transaksi'!$E:$E,$E459))</f>
        <v/>
      </c>
      <c r="D459" s="5">
        <f>IF($E459="","",INDEX('Input Transaksi'!$F:$F,$E459))</f>
        <v/>
      </c>
      <c r="E459">
        <f>IFERROR(AGGREGATE(15,6,ROW('Input Transaksi'!$B$5:$B$5000)/('Input Transaksi'!$B$5:$B$5000="JCL SESETAN"),ROWS($E$5:E459)),"")</f>
        <v/>
      </c>
      <c r="F459" s="5" t="n"/>
    </row>
    <row r="460">
      <c r="A460" s="10">
        <f>IF($E460="","",INDEX('Input Transaksi'!$A:$A,$E460))</f>
        <v/>
      </c>
      <c r="B460" s="5">
        <f>IF($E460="","",INDEX('Input Transaksi'!$D:$D,$E460))</f>
        <v/>
      </c>
      <c r="C460">
        <f>IF($E460="","",INDEX('Input Transaksi'!$E:$E,$E460))</f>
        <v/>
      </c>
      <c r="D460" s="5">
        <f>IF($E460="","",INDEX('Input Transaksi'!$F:$F,$E460))</f>
        <v/>
      </c>
      <c r="E460">
        <f>IFERROR(AGGREGATE(15,6,ROW('Input Transaksi'!$B$5:$B$5000)/('Input Transaksi'!$B$5:$B$5000="JCL SESETAN"),ROWS($E$5:E460)),"")</f>
        <v/>
      </c>
      <c r="F460" s="5" t="n"/>
    </row>
    <row r="461">
      <c r="A461" s="10">
        <f>IF($E461="","",INDEX('Input Transaksi'!$A:$A,$E461))</f>
        <v/>
      </c>
      <c r="B461" s="5">
        <f>IF($E461="","",INDEX('Input Transaksi'!$D:$D,$E461))</f>
        <v/>
      </c>
      <c r="C461">
        <f>IF($E461="","",INDEX('Input Transaksi'!$E:$E,$E461))</f>
        <v/>
      </c>
      <c r="D461" s="5">
        <f>IF($E461="","",INDEX('Input Transaksi'!$F:$F,$E461))</f>
        <v/>
      </c>
      <c r="E461">
        <f>IFERROR(AGGREGATE(15,6,ROW('Input Transaksi'!$B$5:$B$5000)/('Input Transaksi'!$B$5:$B$5000="JCL SESETAN"),ROWS($E$5:E461)),"")</f>
        <v/>
      </c>
      <c r="F461" s="5" t="n"/>
    </row>
    <row r="462">
      <c r="A462" s="10">
        <f>IF($E462="","",INDEX('Input Transaksi'!$A:$A,$E462))</f>
        <v/>
      </c>
      <c r="B462" s="5">
        <f>IF($E462="","",INDEX('Input Transaksi'!$D:$D,$E462))</f>
        <v/>
      </c>
      <c r="C462">
        <f>IF($E462="","",INDEX('Input Transaksi'!$E:$E,$E462))</f>
        <v/>
      </c>
      <c r="D462" s="5">
        <f>IF($E462="","",INDEX('Input Transaksi'!$F:$F,$E462))</f>
        <v/>
      </c>
      <c r="E462">
        <f>IFERROR(AGGREGATE(15,6,ROW('Input Transaksi'!$B$5:$B$5000)/('Input Transaksi'!$B$5:$B$5000="JCL SESETAN"),ROWS($E$5:E462)),"")</f>
        <v/>
      </c>
      <c r="F462" s="5" t="n"/>
    </row>
    <row r="463">
      <c r="A463" s="10">
        <f>IF($E463="","",INDEX('Input Transaksi'!$A:$A,$E463))</f>
        <v/>
      </c>
      <c r="B463" s="5">
        <f>IF($E463="","",INDEX('Input Transaksi'!$D:$D,$E463))</f>
        <v/>
      </c>
      <c r="C463">
        <f>IF($E463="","",INDEX('Input Transaksi'!$E:$E,$E463))</f>
        <v/>
      </c>
      <c r="D463" s="5">
        <f>IF($E463="","",INDEX('Input Transaksi'!$F:$F,$E463))</f>
        <v/>
      </c>
      <c r="E463">
        <f>IFERROR(AGGREGATE(15,6,ROW('Input Transaksi'!$B$5:$B$5000)/('Input Transaksi'!$B$5:$B$5000="JCL SESETAN"),ROWS($E$5:E463)),"")</f>
        <v/>
      </c>
      <c r="F463" s="5" t="n"/>
    </row>
    <row r="464">
      <c r="A464" s="10">
        <f>IF($E464="","",INDEX('Input Transaksi'!$A:$A,$E464))</f>
        <v/>
      </c>
      <c r="B464" s="5">
        <f>IF($E464="","",INDEX('Input Transaksi'!$D:$D,$E464))</f>
        <v/>
      </c>
      <c r="C464">
        <f>IF($E464="","",INDEX('Input Transaksi'!$E:$E,$E464))</f>
        <v/>
      </c>
      <c r="D464" s="5">
        <f>IF($E464="","",INDEX('Input Transaksi'!$F:$F,$E464))</f>
        <v/>
      </c>
      <c r="E464">
        <f>IFERROR(AGGREGATE(15,6,ROW('Input Transaksi'!$B$5:$B$5000)/('Input Transaksi'!$B$5:$B$5000="JCL SESETAN"),ROWS($E$5:E464)),"")</f>
        <v/>
      </c>
      <c r="F464" s="5" t="n"/>
    </row>
    <row r="465">
      <c r="A465" s="10">
        <f>IF($E465="","",INDEX('Input Transaksi'!$A:$A,$E465))</f>
        <v/>
      </c>
      <c r="B465" s="5">
        <f>IF($E465="","",INDEX('Input Transaksi'!$D:$D,$E465))</f>
        <v/>
      </c>
      <c r="C465">
        <f>IF($E465="","",INDEX('Input Transaksi'!$E:$E,$E465))</f>
        <v/>
      </c>
      <c r="D465" s="5">
        <f>IF($E465="","",INDEX('Input Transaksi'!$F:$F,$E465))</f>
        <v/>
      </c>
      <c r="E465">
        <f>IFERROR(AGGREGATE(15,6,ROW('Input Transaksi'!$B$5:$B$5000)/('Input Transaksi'!$B$5:$B$5000="JCL SESETAN"),ROWS($E$5:E465)),"")</f>
        <v/>
      </c>
      <c r="F465" s="5" t="n"/>
    </row>
    <row r="466">
      <c r="A466" s="10">
        <f>IF($E466="","",INDEX('Input Transaksi'!$A:$A,$E466))</f>
        <v/>
      </c>
      <c r="B466" s="5">
        <f>IF($E466="","",INDEX('Input Transaksi'!$D:$D,$E466))</f>
        <v/>
      </c>
      <c r="C466">
        <f>IF($E466="","",INDEX('Input Transaksi'!$E:$E,$E466))</f>
        <v/>
      </c>
      <c r="D466" s="5">
        <f>IF($E466="","",INDEX('Input Transaksi'!$F:$F,$E466))</f>
        <v/>
      </c>
      <c r="E466">
        <f>IFERROR(AGGREGATE(15,6,ROW('Input Transaksi'!$B$5:$B$5000)/('Input Transaksi'!$B$5:$B$5000="JCL SESETAN"),ROWS($E$5:E466)),"")</f>
        <v/>
      </c>
      <c r="F466" s="5" t="n"/>
    </row>
    <row r="467">
      <c r="A467" s="10">
        <f>IF($E467="","",INDEX('Input Transaksi'!$A:$A,$E467))</f>
        <v/>
      </c>
      <c r="B467" s="5">
        <f>IF($E467="","",INDEX('Input Transaksi'!$D:$D,$E467))</f>
        <v/>
      </c>
      <c r="C467">
        <f>IF($E467="","",INDEX('Input Transaksi'!$E:$E,$E467))</f>
        <v/>
      </c>
      <c r="D467" s="5">
        <f>IF($E467="","",INDEX('Input Transaksi'!$F:$F,$E467))</f>
        <v/>
      </c>
      <c r="E467">
        <f>IFERROR(AGGREGATE(15,6,ROW('Input Transaksi'!$B$5:$B$5000)/('Input Transaksi'!$B$5:$B$5000="JCL SESETAN"),ROWS($E$5:E467)),"")</f>
        <v/>
      </c>
      <c r="F467" s="5" t="n"/>
    </row>
    <row r="468">
      <c r="A468" s="10">
        <f>IF($E468="","",INDEX('Input Transaksi'!$A:$A,$E468))</f>
        <v/>
      </c>
      <c r="B468" s="5">
        <f>IF($E468="","",INDEX('Input Transaksi'!$D:$D,$E468))</f>
        <v/>
      </c>
      <c r="C468">
        <f>IF($E468="","",INDEX('Input Transaksi'!$E:$E,$E468))</f>
        <v/>
      </c>
      <c r="D468" s="5">
        <f>IF($E468="","",INDEX('Input Transaksi'!$F:$F,$E468))</f>
        <v/>
      </c>
      <c r="E468">
        <f>IFERROR(AGGREGATE(15,6,ROW('Input Transaksi'!$B$5:$B$5000)/('Input Transaksi'!$B$5:$B$5000="JCL SESETAN"),ROWS($E$5:E468)),"")</f>
        <v/>
      </c>
      <c r="F468" s="5" t="n"/>
    </row>
    <row r="469">
      <c r="A469" s="10">
        <f>IF($E469="","",INDEX('Input Transaksi'!$A:$A,$E469))</f>
        <v/>
      </c>
      <c r="B469" s="5">
        <f>IF($E469="","",INDEX('Input Transaksi'!$D:$D,$E469))</f>
        <v/>
      </c>
      <c r="C469">
        <f>IF($E469="","",INDEX('Input Transaksi'!$E:$E,$E469))</f>
        <v/>
      </c>
      <c r="D469" s="5">
        <f>IF($E469="","",INDEX('Input Transaksi'!$F:$F,$E469))</f>
        <v/>
      </c>
      <c r="E469">
        <f>IFERROR(AGGREGATE(15,6,ROW('Input Transaksi'!$B$5:$B$5000)/('Input Transaksi'!$B$5:$B$5000="JCL SESETAN"),ROWS($E$5:E469)),"")</f>
        <v/>
      </c>
      <c r="F469" s="5" t="n"/>
    </row>
    <row r="470">
      <c r="A470" s="10">
        <f>IF($E470="","",INDEX('Input Transaksi'!$A:$A,$E470))</f>
        <v/>
      </c>
      <c r="B470" s="5">
        <f>IF($E470="","",INDEX('Input Transaksi'!$D:$D,$E470))</f>
        <v/>
      </c>
      <c r="C470">
        <f>IF($E470="","",INDEX('Input Transaksi'!$E:$E,$E470))</f>
        <v/>
      </c>
      <c r="D470" s="5">
        <f>IF($E470="","",INDEX('Input Transaksi'!$F:$F,$E470))</f>
        <v/>
      </c>
      <c r="E470">
        <f>IFERROR(AGGREGATE(15,6,ROW('Input Transaksi'!$B$5:$B$5000)/('Input Transaksi'!$B$5:$B$5000="JCL SESETAN"),ROWS($E$5:E470)),"")</f>
        <v/>
      </c>
      <c r="F470" s="5" t="n"/>
    </row>
    <row r="471">
      <c r="A471" s="10">
        <f>IF($E471="","",INDEX('Input Transaksi'!$A:$A,$E471))</f>
        <v/>
      </c>
      <c r="B471" s="5">
        <f>IF($E471="","",INDEX('Input Transaksi'!$D:$D,$E471))</f>
        <v/>
      </c>
      <c r="C471">
        <f>IF($E471="","",INDEX('Input Transaksi'!$E:$E,$E471))</f>
        <v/>
      </c>
      <c r="D471" s="5">
        <f>IF($E471="","",INDEX('Input Transaksi'!$F:$F,$E471))</f>
        <v/>
      </c>
      <c r="E471">
        <f>IFERROR(AGGREGATE(15,6,ROW('Input Transaksi'!$B$5:$B$5000)/('Input Transaksi'!$B$5:$B$5000="JCL SESETAN"),ROWS($E$5:E471)),"")</f>
        <v/>
      </c>
      <c r="F471" s="5" t="n"/>
    </row>
    <row r="472">
      <c r="A472" s="10">
        <f>IF($E472="","",INDEX('Input Transaksi'!$A:$A,$E472))</f>
        <v/>
      </c>
      <c r="B472" s="5">
        <f>IF($E472="","",INDEX('Input Transaksi'!$D:$D,$E472))</f>
        <v/>
      </c>
      <c r="C472">
        <f>IF($E472="","",INDEX('Input Transaksi'!$E:$E,$E472))</f>
        <v/>
      </c>
      <c r="D472" s="5">
        <f>IF($E472="","",INDEX('Input Transaksi'!$F:$F,$E472))</f>
        <v/>
      </c>
      <c r="E472">
        <f>IFERROR(AGGREGATE(15,6,ROW('Input Transaksi'!$B$5:$B$5000)/('Input Transaksi'!$B$5:$B$5000="JCL SESETAN"),ROWS($E$5:E472)),"")</f>
        <v/>
      </c>
      <c r="F472" s="5" t="n"/>
    </row>
    <row r="473">
      <c r="A473" s="10">
        <f>IF($E473="","",INDEX('Input Transaksi'!$A:$A,$E473))</f>
        <v/>
      </c>
      <c r="B473" s="5">
        <f>IF($E473="","",INDEX('Input Transaksi'!$D:$D,$E473))</f>
        <v/>
      </c>
      <c r="C473">
        <f>IF($E473="","",INDEX('Input Transaksi'!$E:$E,$E473))</f>
        <v/>
      </c>
      <c r="D473" s="5">
        <f>IF($E473="","",INDEX('Input Transaksi'!$F:$F,$E473))</f>
        <v/>
      </c>
      <c r="E473">
        <f>IFERROR(AGGREGATE(15,6,ROW('Input Transaksi'!$B$5:$B$5000)/('Input Transaksi'!$B$5:$B$5000="JCL SESETAN"),ROWS($E$5:E473)),"")</f>
        <v/>
      </c>
      <c r="F473" s="5" t="n"/>
    </row>
    <row r="474">
      <c r="A474" s="10">
        <f>IF($E474="","",INDEX('Input Transaksi'!$A:$A,$E474))</f>
        <v/>
      </c>
      <c r="B474" s="5">
        <f>IF($E474="","",INDEX('Input Transaksi'!$D:$D,$E474))</f>
        <v/>
      </c>
      <c r="C474">
        <f>IF($E474="","",INDEX('Input Transaksi'!$E:$E,$E474))</f>
        <v/>
      </c>
      <c r="D474" s="5">
        <f>IF($E474="","",INDEX('Input Transaksi'!$F:$F,$E474))</f>
        <v/>
      </c>
      <c r="E474">
        <f>IFERROR(AGGREGATE(15,6,ROW('Input Transaksi'!$B$5:$B$5000)/('Input Transaksi'!$B$5:$B$5000="JCL SESETAN"),ROWS($E$5:E474)),"")</f>
        <v/>
      </c>
      <c r="F474" s="5" t="n"/>
    </row>
    <row r="475">
      <c r="A475" s="10">
        <f>IF($E475="","",INDEX('Input Transaksi'!$A:$A,$E475))</f>
        <v/>
      </c>
      <c r="B475" s="5">
        <f>IF($E475="","",INDEX('Input Transaksi'!$D:$D,$E475))</f>
        <v/>
      </c>
      <c r="C475">
        <f>IF($E475="","",INDEX('Input Transaksi'!$E:$E,$E475))</f>
        <v/>
      </c>
      <c r="D475" s="5">
        <f>IF($E475="","",INDEX('Input Transaksi'!$F:$F,$E475))</f>
        <v/>
      </c>
      <c r="E475">
        <f>IFERROR(AGGREGATE(15,6,ROW('Input Transaksi'!$B$5:$B$5000)/('Input Transaksi'!$B$5:$B$5000="JCL SESETAN"),ROWS($E$5:E475)),"")</f>
        <v/>
      </c>
      <c r="F475" s="5" t="n"/>
    </row>
    <row r="476">
      <c r="A476" s="10">
        <f>IF($E476="","",INDEX('Input Transaksi'!$A:$A,$E476))</f>
        <v/>
      </c>
      <c r="B476" s="5">
        <f>IF($E476="","",INDEX('Input Transaksi'!$D:$D,$E476))</f>
        <v/>
      </c>
      <c r="C476">
        <f>IF($E476="","",INDEX('Input Transaksi'!$E:$E,$E476))</f>
        <v/>
      </c>
      <c r="D476" s="5">
        <f>IF($E476="","",INDEX('Input Transaksi'!$F:$F,$E476))</f>
        <v/>
      </c>
      <c r="E476">
        <f>IFERROR(AGGREGATE(15,6,ROW('Input Transaksi'!$B$5:$B$5000)/('Input Transaksi'!$B$5:$B$5000="JCL SESETAN"),ROWS($E$5:E476)),"")</f>
        <v/>
      </c>
      <c r="F476" s="5" t="n"/>
    </row>
    <row r="477">
      <c r="A477" s="10">
        <f>IF($E477="","",INDEX('Input Transaksi'!$A:$A,$E477))</f>
        <v/>
      </c>
      <c r="B477" s="5">
        <f>IF($E477="","",INDEX('Input Transaksi'!$D:$D,$E477))</f>
        <v/>
      </c>
      <c r="C477">
        <f>IF($E477="","",INDEX('Input Transaksi'!$E:$E,$E477))</f>
        <v/>
      </c>
      <c r="D477" s="5">
        <f>IF($E477="","",INDEX('Input Transaksi'!$F:$F,$E477))</f>
        <v/>
      </c>
      <c r="E477">
        <f>IFERROR(AGGREGATE(15,6,ROW('Input Transaksi'!$B$5:$B$5000)/('Input Transaksi'!$B$5:$B$5000="JCL SESETAN"),ROWS($E$5:E477)),"")</f>
        <v/>
      </c>
      <c r="F477" s="5" t="n"/>
    </row>
    <row r="478">
      <c r="A478" s="10">
        <f>IF($E478="","",INDEX('Input Transaksi'!$A:$A,$E478))</f>
        <v/>
      </c>
      <c r="B478" s="5">
        <f>IF($E478="","",INDEX('Input Transaksi'!$D:$D,$E478))</f>
        <v/>
      </c>
      <c r="C478">
        <f>IF($E478="","",INDEX('Input Transaksi'!$E:$E,$E478))</f>
        <v/>
      </c>
      <c r="D478" s="5">
        <f>IF($E478="","",INDEX('Input Transaksi'!$F:$F,$E478))</f>
        <v/>
      </c>
      <c r="E478">
        <f>IFERROR(AGGREGATE(15,6,ROW('Input Transaksi'!$B$5:$B$5000)/('Input Transaksi'!$B$5:$B$5000="JCL SESETAN"),ROWS($E$5:E478)),"")</f>
        <v/>
      </c>
      <c r="F478" s="5" t="n"/>
    </row>
    <row r="479">
      <c r="A479" s="10">
        <f>IF($E479="","",INDEX('Input Transaksi'!$A:$A,$E479))</f>
        <v/>
      </c>
      <c r="B479" s="5">
        <f>IF($E479="","",INDEX('Input Transaksi'!$D:$D,$E479))</f>
        <v/>
      </c>
      <c r="C479">
        <f>IF($E479="","",INDEX('Input Transaksi'!$E:$E,$E479))</f>
        <v/>
      </c>
      <c r="D479" s="5">
        <f>IF($E479="","",INDEX('Input Transaksi'!$F:$F,$E479))</f>
        <v/>
      </c>
      <c r="E479">
        <f>IFERROR(AGGREGATE(15,6,ROW('Input Transaksi'!$B$5:$B$5000)/('Input Transaksi'!$B$5:$B$5000="JCL SESETAN"),ROWS($E$5:E479)),"")</f>
        <v/>
      </c>
      <c r="F479" s="5" t="n"/>
    </row>
    <row r="480">
      <c r="A480" s="10">
        <f>IF($E480="","",INDEX('Input Transaksi'!$A:$A,$E480))</f>
        <v/>
      </c>
      <c r="B480" s="5">
        <f>IF($E480="","",INDEX('Input Transaksi'!$D:$D,$E480))</f>
        <v/>
      </c>
      <c r="C480">
        <f>IF($E480="","",INDEX('Input Transaksi'!$E:$E,$E480))</f>
        <v/>
      </c>
      <c r="D480" s="5">
        <f>IF($E480="","",INDEX('Input Transaksi'!$F:$F,$E480))</f>
        <v/>
      </c>
      <c r="E480">
        <f>IFERROR(AGGREGATE(15,6,ROW('Input Transaksi'!$B$5:$B$5000)/('Input Transaksi'!$B$5:$B$5000="JCL SESETAN"),ROWS($E$5:E480)),"")</f>
        <v/>
      </c>
      <c r="F480" s="5" t="n"/>
    </row>
    <row r="481">
      <c r="A481" s="10">
        <f>IF($E481="","",INDEX('Input Transaksi'!$A:$A,$E481))</f>
        <v/>
      </c>
      <c r="B481" s="5">
        <f>IF($E481="","",INDEX('Input Transaksi'!$D:$D,$E481))</f>
        <v/>
      </c>
      <c r="C481">
        <f>IF($E481="","",INDEX('Input Transaksi'!$E:$E,$E481))</f>
        <v/>
      </c>
      <c r="D481" s="5">
        <f>IF($E481="","",INDEX('Input Transaksi'!$F:$F,$E481))</f>
        <v/>
      </c>
      <c r="E481">
        <f>IFERROR(AGGREGATE(15,6,ROW('Input Transaksi'!$B$5:$B$5000)/('Input Transaksi'!$B$5:$B$5000="JCL SESETAN"),ROWS($E$5:E481)),"")</f>
        <v/>
      </c>
      <c r="F481" s="5" t="n"/>
    </row>
    <row r="482">
      <c r="A482" s="10">
        <f>IF($E482="","",INDEX('Input Transaksi'!$A:$A,$E482))</f>
        <v/>
      </c>
      <c r="B482" s="5">
        <f>IF($E482="","",INDEX('Input Transaksi'!$D:$D,$E482))</f>
        <v/>
      </c>
      <c r="C482">
        <f>IF($E482="","",INDEX('Input Transaksi'!$E:$E,$E482))</f>
        <v/>
      </c>
      <c r="D482" s="5">
        <f>IF($E482="","",INDEX('Input Transaksi'!$F:$F,$E482))</f>
        <v/>
      </c>
      <c r="E482">
        <f>IFERROR(AGGREGATE(15,6,ROW('Input Transaksi'!$B$5:$B$5000)/('Input Transaksi'!$B$5:$B$5000="JCL SESETAN"),ROWS($E$5:E482)),"")</f>
        <v/>
      </c>
      <c r="F482" s="5" t="n"/>
    </row>
    <row r="483">
      <c r="A483" s="10">
        <f>IF($E483="","",INDEX('Input Transaksi'!$A:$A,$E483))</f>
        <v/>
      </c>
      <c r="B483" s="5">
        <f>IF($E483="","",INDEX('Input Transaksi'!$D:$D,$E483))</f>
        <v/>
      </c>
      <c r="C483">
        <f>IF($E483="","",INDEX('Input Transaksi'!$E:$E,$E483))</f>
        <v/>
      </c>
      <c r="D483" s="5">
        <f>IF($E483="","",INDEX('Input Transaksi'!$F:$F,$E483))</f>
        <v/>
      </c>
      <c r="E483">
        <f>IFERROR(AGGREGATE(15,6,ROW('Input Transaksi'!$B$5:$B$5000)/('Input Transaksi'!$B$5:$B$5000="JCL SESETAN"),ROWS($E$5:E483)),"")</f>
        <v/>
      </c>
      <c r="F483" s="5" t="n"/>
    </row>
    <row r="484">
      <c r="A484" s="10">
        <f>IF($E484="","",INDEX('Input Transaksi'!$A:$A,$E484))</f>
        <v/>
      </c>
      <c r="B484" s="5">
        <f>IF($E484="","",INDEX('Input Transaksi'!$D:$D,$E484))</f>
        <v/>
      </c>
      <c r="C484">
        <f>IF($E484="","",INDEX('Input Transaksi'!$E:$E,$E484))</f>
        <v/>
      </c>
      <c r="D484" s="5">
        <f>IF($E484="","",INDEX('Input Transaksi'!$F:$F,$E484))</f>
        <v/>
      </c>
      <c r="E484">
        <f>IFERROR(AGGREGATE(15,6,ROW('Input Transaksi'!$B$5:$B$5000)/('Input Transaksi'!$B$5:$B$5000="JCL SESETAN"),ROWS($E$5:E484)),"")</f>
        <v/>
      </c>
      <c r="F484" s="5" t="n"/>
    </row>
    <row r="485">
      <c r="A485" s="10">
        <f>IF($E485="","",INDEX('Input Transaksi'!$A:$A,$E485))</f>
        <v/>
      </c>
      <c r="B485" s="5">
        <f>IF($E485="","",INDEX('Input Transaksi'!$D:$D,$E485))</f>
        <v/>
      </c>
      <c r="C485">
        <f>IF($E485="","",INDEX('Input Transaksi'!$E:$E,$E485))</f>
        <v/>
      </c>
      <c r="D485" s="5">
        <f>IF($E485="","",INDEX('Input Transaksi'!$F:$F,$E485))</f>
        <v/>
      </c>
      <c r="E485">
        <f>IFERROR(AGGREGATE(15,6,ROW('Input Transaksi'!$B$5:$B$5000)/('Input Transaksi'!$B$5:$B$5000="JCL SESETAN"),ROWS($E$5:E485)),"")</f>
        <v/>
      </c>
      <c r="F485" s="5" t="n"/>
    </row>
    <row r="486">
      <c r="A486" s="10">
        <f>IF($E486="","",INDEX('Input Transaksi'!$A:$A,$E486))</f>
        <v/>
      </c>
      <c r="B486" s="5">
        <f>IF($E486="","",INDEX('Input Transaksi'!$D:$D,$E486))</f>
        <v/>
      </c>
      <c r="C486">
        <f>IF($E486="","",INDEX('Input Transaksi'!$E:$E,$E486))</f>
        <v/>
      </c>
      <c r="D486" s="5">
        <f>IF($E486="","",INDEX('Input Transaksi'!$F:$F,$E486))</f>
        <v/>
      </c>
      <c r="E486">
        <f>IFERROR(AGGREGATE(15,6,ROW('Input Transaksi'!$B$5:$B$5000)/('Input Transaksi'!$B$5:$B$5000="JCL SESETAN"),ROWS($E$5:E486)),"")</f>
        <v/>
      </c>
      <c r="F486" s="5" t="n"/>
    </row>
    <row r="487">
      <c r="A487" s="10">
        <f>IF($E487="","",INDEX('Input Transaksi'!$A:$A,$E487))</f>
        <v/>
      </c>
      <c r="B487" s="5">
        <f>IF($E487="","",INDEX('Input Transaksi'!$D:$D,$E487))</f>
        <v/>
      </c>
      <c r="C487">
        <f>IF($E487="","",INDEX('Input Transaksi'!$E:$E,$E487))</f>
        <v/>
      </c>
      <c r="D487" s="5">
        <f>IF($E487="","",INDEX('Input Transaksi'!$F:$F,$E487))</f>
        <v/>
      </c>
      <c r="E487">
        <f>IFERROR(AGGREGATE(15,6,ROW('Input Transaksi'!$B$5:$B$5000)/('Input Transaksi'!$B$5:$B$5000="JCL SESETAN"),ROWS($E$5:E487)),"")</f>
        <v/>
      </c>
      <c r="F487" s="5" t="n"/>
    </row>
    <row r="488">
      <c r="A488" s="10">
        <f>IF($E488="","",INDEX('Input Transaksi'!$A:$A,$E488))</f>
        <v/>
      </c>
      <c r="B488" s="5">
        <f>IF($E488="","",INDEX('Input Transaksi'!$D:$D,$E488))</f>
        <v/>
      </c>
      <c r="C488">
        <f>IF($E488="","",INDEX('Input Transaksi'!$E:$E,$E488))</f>
        <v/>
      </c>
      <c r="D488" s="5">
        <f>IF($E488="","",INDEX('Input Transaksi'!$F:$F,$E488))</f>
        <v/>
      </c>
      <c r="E488">
        <f>IFERROR(AGGREGATE(15,6,ROW('Input Transaksi'!$B$5:$B$5000)/('Input Transaksi'!$B$5:$B$5000="JCL SESETAN"),ROWS($E$5:E488)),"")</f>
        <v/>
      </c>
      <c r="F488" s="5" t="n"/>
    </row>
    <row r="489">
      <c r="A489" s="10">
        <f>IF($E489="","",INDEX('Input Transaksi'!$A:$A,$E489))</f>
        <v/>
      </c>
      <c r="B489" s="5">
        <f>IF($E489="","",INDEX('Input Transaksi'!$D:$D,$E489))</f>
        <v/>
      </c>
      <c r="C489">
        <f>IF($E489="","",INDEX('Input Transaksi'!$E:$E,$E489))</f>
        <v/>
      </c>
      <c r="D489" s="5">
        <f>IF($E489="","",INDEX('Input Transaksi'!$F:$F,$E489))</f>
        <v/>
      </c>
      <c r="E489">
        <f>IFERROR(AGGREGATE(15,6,ROW('Input Transaksi'!$B$5:$B$5000)/('Input Transaksi'!$B$5:$B$5000="JCL SESETAN"),ROWS($E$5:E489)),"")</f>
        <v/>
      </c>
      <c r="F489" s="5" t="n"/>
    </row>
    <row r="490">
      <c r="A490" s="10">
        <f>IF($E490="","",INDEX('Input Transaksi'!$A:$A,$E490))</f>
        <v/>
      </c>
      <c r="B490" s="5">
        <f>IF($E490="","",INDEX('Input Transaksi'!$D:$D,$E490))</f>
        <v/>
      </c>
      <c r="C490">
        <f>IF($E490="","",INDEX('Input Transaksi'!$E:$E,$E490))</f>
        <v/>
      </c>
      <c r="D490" s="5">
        <f>IF($E490="","",INDEX('Input Transaksi'!$F:$F,$E490))</f>
        <v/>
      </c>
      <c r="E490">
        <f>IFERROR(AGGREGATE(15,6,ROW('Input Transaksi'!$B$5:$B$5000)/('Input Transaksi'!$B$5:$B$5000="JCL SESETAN"),ROWS($E$5:E490)),"")</f>
        <v/>
      </c>
      <c r="F490" s="5" t="n"/>
    </row>
    <row r="491">
      <c r="A491" s="10">
        <f>IF($E491="","",INDEX('Input Transaksi'!$A:$A,$E491))</f>
        <v/>
      </c>
      <c r="B491" s="5">
        <f>IF($E491="","",INDEX('Input Transaksi'!$D:$D,$E491))</f>
        <v/>
      </c>
      <c r="C491">
        <f>IF($E491="","",INDEX('Input Transaksi'!$E:$E,$E491))</f>
        <v/>
      </c>
      <c r="D491" s="5">
        <f>IF($E491="","",INDEX('Input Transaksi'!$F:$F,$E491))</f>
        <v/>
      </c>
      <c r="E491">
        <f>IFERROR(AGGREGATE(15,6,ROW('Input Transaksi'!$B$5:$B$5000)/('Input Transaksi'!$B$5:$B$5000="JCL SESETAN"),ROWS($E$5:E491)),"")</f>
        <v/>
      </c>
      <c r="F491" s="5" t="n"/>
    </row>
    <row r="492">
      <c r="A492" s="10">
        <f>IF($E492="","",INDEX('Input Transaksi'!$A:$A,$E492))</f>
        <v/>
      </c>
      <c r="B492" s="5">
        <f>IF($E492="","",INDEX('Input Transaksi'!$D:$D,$E492))</f>
        <v/>
      </c>
      <c r="C492">
        <f>IF($E492="","",INDEX('Input Transaksi'!$E:$E,$E492))</f>
        <v/>
      </c>
      <c r="D492" s="5">
        <f>IF($E492="","",INDEX('Input Transaksi'!$F:$F,$E492))</f>
        <v/>
      </c>
      <c r="E492">
        <f>IFERROR(AGGREGATE(15,6,ROW('Input Transaksi'!$B$5:$B$5000)/('Input Transaksi'!$B$5:$B$5000="JCL SESETAN"),ROWS($E$5:E492)),"")</f>
        <v/>
      </c>
      <c r="F492" s="5" t="n"/>
    </row>
    <row r="493">
      <c r="A493" s="10">
        <f>IF($E493="","",INDEX('Input Transaksi'!$A:$A,$E493))</f>
        <v/>
      </c>
      <c r="B493" s="5">
        <f>IF($E493="","",INDEX('Input Transaksi'!$D:$D,$E493))</f>
        <v/>
      </c>
      <c r="C493">
        <f>IF($E493="","",INDEX('Input Transaksi'!$E:$E,$E493))</f>
        <v/>
      </c>
      <c r="D493" s="5">
        <f>IF($E493="","",INDEX('Input Transaksi'!$F:$F,$E493))</f>
        <v/>
      </c>
      <c r="E493">
        <f>IFERROR(AGGREGATE(15,6,ROW('Input Transaksi'!$B$5:$B$5000)/('Input Transaksi'!$B$5:$B$5000="JCL SESETAN"),ROWS($E$5:E493)),"")</f>
        <v/>
      </c>
      <c r="F493" s="5" t="n"/>
    </row>
    <row r="494">
      <c r="A494" s="10">
        <f>IF($E494="","",INDEX('Input Transaksi'!$A:$A,$E494))</f>
        <v/>
      </c>
      <c r="B494" s="5">
        <f>IF($E494="","",INDEX('Input Transaksi'!$D:$D,$E494))</f>
        <v/>
      </c>
      <c r="C494">
        <f>IF($E494="","",INDEX('Input Transaksi'!$E:$E,$E494))</f>
        <v/>
      </c>
      <c r="D494" s="5">
        <f>IF($E494="","",INDEX('Input Transaksi'!$F:$F,$E494))</f>
        <v/>
      </c>
      <c r="E494">
        <f>IFERROR(AGGREGATE(15,6,ROW('Input Transaksi'!$B$5:$B$5000)/('Input Transaksi'!$B$5:$B$5000="JCL SESETAN"),ROWS($E$5:E494)),"")</f>
        <v/>
      </c>
      <c r="F494" s="5" t="n"/>
    </row>
    <row r="495">
      <c r="A495" s="10">
        <f>IF($E495="","",INDEX('Input Transaksi'!$A:$A,$E495))</f>
        <v/>
      </c>
      <c r="B495" s="5">
        <f>IF($E495="","",INDEX('Input Transaksi'!$D:$D,$E495))</f>
        <v/>
      </c>
      <c r="C495">
        <f>IF($E495="","",INDEX('Input Transaksi'!$E:$E,$E495))</f>
        <v/>
      </c>
      <c r="D495" s="5">
        <f>IF($E495="","",INDEX('Input Transaksi'!$F:$F,$E495))</f>
        <v/>
      </c>
      <c r="E495">
        <f>IFERROR(AGGREGATE(15,6,ROW('Input Transaksi'!$B$5:$B$5000)/('Input Transaksi'!$B$5:$B$5000="JCL SESETAN"),ROWS($E$5:E495)),"")</f>
        <v/>
      </c>
      <c r="F495" s="5" t="n"/>
    </row>
    <row r="496">
      <c r="A496" s="10">
        <f>IF($E496="","",INDEX('Input Transaksi'!$A:$A,$E496))</f>
        <v/>
      </c>
      <c r="B496" s="5">
        <f>IF($E496="","",INDEX('Input Transaksi'!$D:$D,$E496))</f>
        <v/>
      </c>
      <c r="C496">
        <f>IF($E496="","",INDEX('Input Transaksi'!$E:$E,$E496))</f>
        <v/>
      </c>
      <c r="D496" s="5">
        <f>IF($E496="","",INDEX('Input Transaksi'!$F:$F,$E496))</f>
        <v/>
      </c>
      <c r="E496">
        <f>IFERROR(AGGREGATE(15,6,ROW('Input Transaksi'!$B$5:$B$5000)/('Input Transaksi'!$B$5:$B$5000="JCL SESETAN"),ROWS($E$5:E496)),"")</f>
        <v/>
      </c>
      <c r="F496" s="5" t="n"/>
    </row>
    <row r="497">
      <c r="A497" s="10">
        <f>IF($E497="","",INDEX('Input Transaksi'!$A:$A,$E497))</f>
        <v/>
      </c>
      <c r="B497" s="5">
        <f>IF($E497="","",INDEX('Input Transaksi'!$D:$D,$E497))</f>
        <v/>
      </c>
      <c r="C497">
        <f>IF($E497="","",INDEX('Input Transaksi'!$E:$E,$E497))</f>
        <v/>
      </c>
      <c r="D497" s="5">
        <f>IF($E497="","",INDEX('Input Transaksi'!$F:$F,$E497))</f>
        <v/>
      </c>
      <c r="E497">
        <f>IFERROR(AGGREGATE(15,6,ROW('Input Transaksi'!$B$5:$B$5000)/('Input Transaksi'!$B$5:$B$5000="JCL SESETAN"),ROWS($E$5:E497)),"")</f>
        <v/>
      </c>
      <c r="F497" s="5" t="n"/>
    </row>
    <row r="498">
      <c r="A498" s="10">
        <f>IF($E498="","",INDEX('Input Transaksi'!$A:$A,$E498))</f>
        <v/>
      </c>
      <c r="B498" s="5">
        <f>IF($E498="","",INDEX('Input Transaksi'!$D:$D,$E498))</f>
        <v/>
      </c>
      <c r="C498">
        <f>IF($E498="","",INDEX('Input Transaksi'!$E:$E,$E498))</f>
        <v/>
      </c>
      <c r="D498" s="5">
        <f>IF($E498="","",INDEX('Input Transaksi'!$F:$F,$E498))</f>
        <v/>
      </c>
      <c r="E498">
        <f>IFERROR(AGGREGATE(15,6,ROW('Input Transaksi'!$B$5:$B$5000)/('Input Transaksi'!$B$5:$B$5000="JCL SESETAN"),ROWS($E$5:E498)),"")</f>
        <v/>
      </c>
      <c r="F498" s="5" t="n"/>
    </row>
    <row r="499">
      <c r="A499" s="10">
        <f>IF($E499="","",INDEX('Input Transaksi'!$A:$A,$E499))</f>
        <v/>
      </c>
      <c r="B499" s="5">
        <f>IF($E499="","",INDEX('Input Transaksi'!$D:$D,$E499))</f>
        <v/>
      </c>
      <c r="C499">
        <f>IF($E499="","",INDEX('Input Transaksi'!$E:$E,$E499))</f>
        <v/>
      </c>
      <c r="D499" s="5">
        <f>IF($E499="","",INDEX('Input Transaksi'!$F:$F,$E499))</f>
        <v/>
      </c>
      <c r="E499">
        <f>IFERROR(AGGREGATE(15,6,ROW('Input Transaksi'!$B$5:$B$5000)/('Input Transaksi'!$B$5:$B$5000="JCL SESETAN"),ROWS($E$5:E499)),"")</f>
        <v/>
      </c>
      <c r="F499" s="5" t="n"/>
    </row>
    <row r="500">
      <c r="A500" s="10">
        <f>IF($E500="","",INDEX('Input Transaksi'!$A:$A,$E500))</f>
        <v/>
      </c>
      <c r="B500" s="5">
        <f>IF($E500="","",INDEX('Input Transaksi'!$D:$D,$E500))</f>
        <v/>
      </c>
      <c r="C500">
        <f>IF($E500="","",INDEX('Input Transaksi'!$E:$E,$E500))</f>
        <v/>
      </c>
      <c r="D500" s="5">
        <f>IF($E500="","",INDEX('Input Transaksi'!$F:$F,$E500))</f>
        <v/>
      </c>
      <c r="E500">
        <f>IFERROR(AGGREGATE(15,6,ROW('Input Transaksi'!$B$5:$B$5000)/('Input Transaksi'!$B$5:$B$5000="JCL SESETAN"),ROWS($E$5:E500)),"")</f>
        <v/>
      </c>
      <c r="F500" s="5" t="n"/>
    </row>
    <row r="501">
      <c r="A501" s="10">
        <f>IF($E501="","",INDEX('Input Transaksi'!$A:$A,$E501))</f>
        <v/>
      </c>
      <c r="B501" s="5">
        <f>IF($E501="","",INDEX('Input Transaksi'!$D:$D,$E501))</f>
        <v/>
      </c>
      <c r="C501">
        <f>IF($E501="","",INDEX('Input Transaksi'!$E:$E,$E501))</f>
        <v/>
      </c>
      <c r="D501" s="5">
        <f>IF($E501="","",INDEX('Input Transaksi'!$F:$F,$E501))</f>
        <v/>
      </c>
      <c r="E501">
        <f>IFERROR(AGGREGATE(15,6,ROW('Input Transaksi'!$B$5:$B$5000)/('Input Transaksi'!$B$5:$B$5000="JCL SESETAN"),ROWS($E$5:E501)),"")</f>
        <v/>
      </c>
      <c r="F501" s="5" t="n"/>
    </row>
    <row r="502">
      <c r="A502" s="10">
        <f>IF($E502="","",INDEX('Input Transaksi'!$A:$A,$E502))</f>
        <v/>
      </c>
      <c r="B502" s="5">
        <f>IF($E502="","",INDEX('Input Transaksi'!$D:$D,$E502))</f>
        <v/>
      </c>
      <c r="C502">
        <f>IF($E502="","",INDEX('Input Transaksi'!$E:$E,$E502))</f>
        <v/>
      </c>
      <c r="D502" s="5">
        <f>IF($E502="","",INDEX('Input Transaksi'!$F:$F,$E502))</f>
        <v/>
      </c>
      <c r="E502">
        <f>IFERROR(AGGREGATE(15,6,ROW('Input Transaksi'!$B$5:$B$5000)/('Input Transaksi'!$B$5:$B$5000="JCL SESETAN"),ROWS($E$5:E502)),"")</f>
        <v/>
      </c>
      <c r="F502" s="5" t="n"/>
    </row>
    <row r="503">
      <c r="A503" s="10">
        <f>IF($E503="","",INDEX('Input Transaksi'!$A:$A,$E503))</f>
        <v/>
      </c>
      <c r="B503" s="5">
        <f>IF($E503="","",INDEX('Input Transaksi'!$D:$D,$E503))</f>
        <v/>
      </c>
      <c r="C503">
        <f>IF($E503="","",INDEX('Input Transaksi'!$E:$E,$E503))</f>
        <v/>
      </c>
      <c r="D503" s="5">
        <f>IF($E503="","",INDEX('Input Transaksi'!$F:$F,$E503))</f>
        <v/>
      </c>
      <c r="E503">
        <f>IFERROR(AGGREGATE(15,6,ROW('Input Transaksi'!$B$5:$B$5000)/('Input Transaksi'!$B$5:$B$5000="JCL SESETAN"),ROWS($E$5:E503)),"")</f>
        <v/>
      </c>
      <c r="F503" s="5" t="n"/>
    </row>
    <row r="504">
      <c r="A504" s="10">
        <f>IF($E504="","",INDEX('Input Transaksi'!$A:$A,$E504))</f>
        <v/>
      </c>
      <c r="B504" s="5">
        <f>IF($E504="","",INDEX('Input Transaksi'!$D:$D,$E504))</f>
        <v/>
      </c>
      <c r="C504">
        <f>IF($E504="","",INDEX('Input Transaksi'!$E:$E,$E504))</f>
        <v/>
      </c>
      <c r="D504" s="5">
        <f>IF($E504="","",INDEX('Input Transaksi'!$F:$F,$E504))</f>
        <v/>
      </c>
      <c r="E504">
        <f>IFERROR(AGGREGATE(15,6,ROW('Input Transaksi'!$B$5:$B$5000)/('Input Transaksi'!$B$5:$B$5000="JCL SESETAN"),ROWS($E$5:E504)),"")</f>
        <v/>
      </c>
      <c r="F504" s="5" t="n"/>
    </row>
    <row r="505">
      <c r="A505" s="10">
        <f>IF($E505="","",INDEX('Input Transaksi'!$A:$A,$E505))</f>
        <v/>
      </c>
      <c r="B505" s="5">
        <f>IF($E505="","",INDEX('Input Transaksi'!$D:$D,$E505))</f>
        <v/>
      </c>
      <c r="C505">
        <f>IF($E505="","",INDEX('Input Transaksi'!$E:$E,$E505))</f>
        <v/>
      </c>
      <c r="D505" s="5">
        <f>IF($E505="","",INDEX('Input Transaksi'!$F:$F,$E505))</f>
        <v/>
      </c>
      <c r="E505">
        <f>IFERROR(AGGREGATE(15,6,ROW('Input Transaksi'!$B$5:$B$5000)/('Input Transaksi'!$B$5:$B$5000="JCL SESETAN"),ROWS($E$5:E505)),"")</f>
        <v/>
      </c>
      <c r="F505" s="5" t="n"/>
    </row>
    <row r="506">
      <c r="A506" s="10">
        <f>IF($E506="","",INDEX('Input Transaksi'!$A:$A,$E506))</f>
        <v/>
      </c>
      <c r="B506" s="5">
        <f>IF($E506="","",INDEX('Input Transaksi'!$D:$D,$E506))</f>
        <v/>
      </c>
      <c r="C506">
        <f>IF($E506="","",INDEX('Input Transaksi'!$E:$E,$E506))</f>
        <v/>
      </c>
      <c r="D506" s="5">
        <f>IF($E506="","",INDEX('Input Transaksi'!$F:$F,$E506))</f>
        <v/>
      </c>
      <c r="E506">
        <f>IFERROR(AGGREGATE(15,6,ROW('Input Transaksi'!$B$5:$B$5000)/('Input Transaksi'!$B$5:$B$5000="JCL SESETAN"),ROWS($E$5:E506)),"")</f>
        <v/>
      </c>
      <c r="F506" s="5" t="n"/>
    </row>
    <row r="507">
      <c r="A507" s="10">
        <f>IF($E507="","",INDEX('Input Transaksi'!$A:$A,$E507))</f>
        <v/>
      </c>
      <c r="B507" s="5">
        <f>IF($E507="","",INDEX('Input Transaksi'!$D:$D,$E507))</f>
        <v/>
      </c>
      <c r="C507">
        <f>IF($E507="","",INDEX('Input Transaksi'!$E:$E,$E507))</f>
        <v/>
      </c>
      <c r="D507" s="5">
        <f>IF($E507="","",INDEX('Input Transaksi'!$F:$F,$E507))</f>
        <v/>
      </c>
      <c r="E507">
        <f>IFERROR(AGGREGATE(15,6,ROW('Input Transaksi'!$B$5:$B$5000)/('Input Transaksi'!$B$5:$B$5000="JCL SESETAN"),ROWS($E$5:E507)),"")</f>
        <v/>
      </c>
      <c r="F507" s="5" t="n"/>
    </row>
    <row r="508">
      <c r="A508" s="10">
        <f>IF($E508="","",INDEX('Input Transaksi'!$A:$A,$E508))</f>
        <v/>
      </c>
      <c r="B508" s="5">
        <f>IF($E508="","",INDEX('Input Transaksi'!$D:$D,$E508))</f>
        <v/>
      </c>
      <c r="C508">
        <f>IF($E508="","",INDEX('Input Transaksi'!$E:$E,$E508))</f>
        <v/>
      </c>
      <c r="D508" s="5">
        <f>IF($E508="","",INDEX('Input Transaksi'!$F:$F,$E508))</f>
        <v/>
      </c>
      <c r="E508">
        <f>IFERROR(AGGREGATE(15,6,ROW('Input Transaksi'!$B$5:$B$5000)/('Input Transaksi'!$B$5:$B$5000="JCL SESETAN"),ROWS($E$5:E508)),"")</f>
        <v/>
      </c>
      <c r="F508" s="5" t="n"/>
    </row>
    <row r="509">
      <c r="A509" s="10">
        <f>IF($E509="","",INDEX('Input Transaksi'!$A:$A,$E509))</f>
        <v/>
      </c>
      <c r="B509" s="5">
        <f>IF($E509="","",INDEX('Input Transaksi'!$D:$D,$E509))</f>
        <v/>
      </c>
      <c r="C509">
        <f>IF($E509="","",INDEX('Input Transaksi'!$E:$E,$E509))</f>
        <v/>
      </c>
      <c r="D509" s="5">
        <f>IF($E509="","",INDEX('Input Transaksi'!$F:$F,$E509))</f>
        <v/>
      </c>
      <c r="E509">
        <f>IFERROR(AGGREGATE(15,6,ROW('Input Transaksi'!$B$5:$B$5000)/('Input Transaksi'!$B$5:$B$5000="JCL SESETAN"),ROWS($E$5:E509)),"")</f>
        <v/>
      </c>
      <c r="F509" s="5" t="n"/>
    </row>
    <row r="510">
      <c r="A510" s="10">
        <f>IF($E510="","",INDEX('Input Transaksi'!$A:$A,$E510))</f>
        <v/>
      </c>
      <c r="B510" s="5">
        <f>IF($E510="","",INDEX('Input Transaksi'!$D:$D,$E510))</f>
        <v/>
      </c>
      <c r="C510">
        <f>IF($E510="","",INDEX('Input Transaksi'!$E:$E,$E510))</f>
        <v/>
      </c>
      <c r="D510" s="5">
        <f>IF($E510="","",INDEX('Input Transaksi'!$F:$F,$E510))</f>
        <v/>
      </c>
      <c r="E510">
        <f>IFERROR(AGGREGATE(15,6,ROW('Input Transaksi'!$B$5:$B$5000)/('Input Transaksi'!$B$5:$B$5000="JCL SESETAN"),ROWS($E$5:E510)),"")</f>
        <v/>
      </c>
      <c r="F510" s="5" t="n"/>
    </row>
    <row r="511">
      <c r="A511" s="10">
        <f>IF($E511="","",INDEX('Input Transaksi'!$A:$A,$E511))</f>
        <v/>
      </c>
      <c r="B511" s="5">
        <f>IF($E511="","",INDEX('Input Transaksi'!$D:$D,$E511))</f>
        <v/>
      </c>
      <c r="C511">
        <f>IF($E511="","",INDEX('Input Transaksi'!$E:$E,$E511))</f>
        <v/>
      </c>
      <c r="D511" s="5">
        <f>IF($E511="","",INDEX('Input Transaksi'!$F:$F,$E511))</f>
        <v/>
      </c>
      <c r="E511">
        <f>IFERROR(AGGREGATE(15,6,ROW('Input Transaksi'!$B$5:$B$5000)/('Input Transaksi'!$B$5:$B$5000="JCL SESETAN"),ROWS($E$5:E511)),"")</f>
        <v/>
      </c>
      <c r="F511" s="5" t="n"/>
    </row>
    <row r="512">
      <c r="A512" s="10">
        <f>IF($E512="","",INDEX('Input Transaksi'!$A:$A,$E512))</f>
        <v/>
      </c>
      <c r="B512" s="5">
        <f>IF($E512="","",INDEX('Input Transaksi'!$D:$D,$E512))</f>
        <v/>
      </c>
      <c r="C512">
        <f>IF($E512="","",INDEX('Input Transaksi'!$E:$E,$E512))</f>
        <v/>
      </c>
      <c r="D512" s="5">
        <f>IF($E512="","",INDEX('Input Transaksi'!$F:$F,$E512))</f>
        <v/>
      </c>
      <c r="E512">
        <f>IFERROR(AGGREGATE(15,6,ROW('Input Transaksi'!$B$5:$B$5000)/('Input Transaksi'!$B$5:$B$5000="JCL SESETAN"),ROWS($E$5:E512)),"")</f>
        <v/>
      </c>
      <c r="F512" s="5" t="n"/>
    </row>
    <row r="513">
      <c r="A513" s="10">
        <f>IF($E513="","",INDEX('Input Transaksi'!$A:$A,$E513))</f>
        <v/>
      </c>
      <c r="B513" s="5">
        <f>IF($E513="","",INDEX('Input Transaksi'!$D:$D,$E513))</f>
        <v/>
      </c>
      <c r="C513">
        <f>IF($E513="","",INDEX('Input Transaksi'!$E:$E,$E513))</f>
        <v/>
      </c>
      <c r="D513" s="5">
        <f>IF($E513="","",INDEX('Input Transaksi'!$F:$F,$E513))</f>
        <v/>
      </c>
      <c r="E513">
        <f>IFERROR(AGGREGATE(15,6,ROW('Input Transaksi'!$B$5:$B$5000)/('Input Transaksi'!$B$5:$B$5000="JCL SESETAN"),ROWS($E$5:E513)),"")</f>
        <v/>
      </c>
      <c r="F513" s="5" t="n"/>
    </row>
    <row r="514">
      <c r="A514" s="10">
        <f>IF($E514="","",INDEX('Input Transaksi'!$A:$A,$E514))</f>
        <v/>
      </c>
      <c r="B514" s="5">
        <f>IF($E514="","",INDEX('Input Transaksi'!$D:$D,$E514))</f>
        <v/>
      </c>
      <c r="C514">
        <f>IF($E514="","",INDEX('Input Transaksi'!$E:$E,$E514))</f>
        <v/>
      </c>
      <c r="D514" s="5">
        <f>IF($E514="","",INDEX('Input Transaksi'!$F:$F,$E514))</f>
        <v/>
      </c>
      <c r="E514">
        <f>IFERROR(AGGREGATE(15,6,ROW('Input Transaksi'!$B$5:$B$5000)/('Input Transaksi'!$B$5:$B$5000="JCL SESETAN"),ROWS($E$5:E514)),"")</f>
        <v/>
      </c>
      <c r="F514" s="5" t="n"/>
    </row>
    <row r="515">
      <c r="A515" s="10">
        <f>IF($E515="","",INDEX('Input Transaksi'!$A:$A,$E515))</f>
        <v/>
      </c>
      <c r="B515" s="5">
        <f>IF($E515="","",INDEX('Input Transaksi'!$D:$D,$E515))</f>
        <v/>
      </c>
      <c r="C515">
        <f>IF($E515="","",INDEX('Input Transaksi'!$E:$E,$E515))</f>
        <v/>
      </c>
      <c r="D515" s="5">
        <f>IF($E515="","",INDEX('Input Transaksi'!$F:$F,$E515))</f>
        <v/>
      </c>
      <c r="E515">
        <f>IFERROR(AGGREGATE(15,6,ROW('Input Transaksi'!$B$5:$B$5000)/('Input Transaksi'!$B$5:$B$5000="JCL SESETAN"),ROWS($E$5:E515)),"")</f>
        <v/>
      </c>
      <c r="F515" s="5" t="n"/>
    </row>
    <row r="516">
      <c r="A516" s="10">
        <f>IF($E516="","",INDEX('Input Transaksi'!$A:$A,$E516))</f>
        <v/>
      </c>
      <c r="B516" s="5">
        <f>IF($E516="","",INDEX('Input Transaksi'!$D:$D,$E516))</f>
        <v/>
      </c>
      <c r="C516">
        <f>IF($E516="","",INDEX('Input Transaksi'!$E:$E,$E516))</f>
        <v/>
      </c>
      <c r="D516" s="5">
        <f>IF($E516="","",INDEX('Input Transaksi'!$F:$F,$E516))</f>
        <v/>
      </c>
      <c r="E516">
        <f>IFERROR(AGGREGATE(15,6,ROW('Input Transaksi'!$B$5:$B$5000)/('Input Transaksi'!$B$5:$B$5000="JCL SESETAN"),ROWS($E$5:E516)),"")</f>
        <v/>
      </c>
      <c r="F516" s="5" t="n"/>
    </row>
    <row r="517">
      <c r="A517" s="10">
        <f>IF($E517="","",INDEX('Input Transaksi'!$A:$A,$E517))</f>
        <v/>
      </c>
      <c r="B517" s="5">
        <f>IF($E517="","",INDEX('Input Transaksi'!$D:$D,$E517))</f>
        <v/>
      </c>
      <c r="C517">
        <f>IF($E517="","",INDEX('Input Transaksi'!$E:$E,$E517))</f>
        <v/>
      </c>
      <c r="D517" s="5">
        <f>IF($E517="","",INDEX('Input Transaksi'!$F:$F,$E517))</f>
        <v/>
      </c>
      <c r="E517">
        <f>IFERROR(AGGREGATE(15,6,ROW('Input Transaksi'!$B$5:$B$5000)/('Input Transaksi'!$B$5:$B$5000="JCL SESETAN"),ROWS($E$5:E517)),"")</f>
        <v/>
      </c>
      <c r="F517" s="5" t="n"/>
    </row>
    <row r="518">
      <c r="A518" s="10">
        <f>IF($E518="","",INDEX('Input Transaksi'!$A:$A,$E518))</f>
        <v/>
      </c>
      <c r="B518" s="5">
        <f>IF($E518="","",INDEX('Input Transaksi'!$D:$D,$E518))</f>
        <v/>
      </c>
      <c r="C518">
        <f>IF($E518="","",INDEX('Input Transaksi'!$E:$E,$E518))</f>
        <v/>
      </c>
      <c r="D518" s="5">
        <f>IF($E518="","",INDEX('Input Transaksi'!$F:$F,$E518))</f>
        <v/>
      </c>
      <c r="E518">
        <f>IFERROR(AGGREGATE(15,6,ROW('Input Transaksi'!$B$5:$B$5000)/('Input Transaksi'!$B$5:$B$5000="JCL SESETAN"),ROWS($E$5:E518)),"")</f>
        <v/>
      </c>
      <c r="F518" s="5" t="n"/>
    </row>
    <row r="519">
      <c r="A519" s="10">
        <f>IF($E519="","",INDEX('Input Transaksi'!$A:$A,$E519))</f>
        <v/>
      </c>
      <c r="B519" s="5">
        <f>IF($E519="","",INDEX('Input Transaksi'!$D:$D,$E519))</f>
        <v/>
      </c>
      <c r="C519">
        <f>IF($E519="","",INDEX('Input Transaksi'!$E:$E,$E519))</f>
        <v/>
      </c>
      <c r="D519" s="5">
        <f>IF($E519="","",INDEX('Input Transaksi'!$F:$F,$E519))</f>
        <v/>
      </c>
      <c r="E519">
        <f>IFERROR(AGGREGATE(15,6,ROW('Input Transaksi'!$B$5:$B$5000)/('Input Transaksi'!$B$5:$B$5000="JCL SESETAN"),ROWS($E$5:E519)),"")</f>
        <v/>
      </c>
      <c r="F519" s="5" t="n"/>
    </row>
    <row r="520">
      <c r="A520" s="10">
        <f>IF($E520="","",INDEX('Input Transaksi'!$A:$A,$E520))</f>
        <v/>
      </c>
      <c r="B520" s="5">
        <f>IF($E520="","",INDEX('Input Transaksi'!$D:$D,$E520))</f>
        <v/>
      </c>
      <c r="C520">
        <f>IF($E520="","",INDEX('Input Transaksi'!$E:$E,$E520))</f>
        <v/>
      </c>
      <c r="D520" s="5">
        <f>IF($E520="","",INDEX('Input Transaksi'!$F:$F,$E520))</f>
        <v/>
      </c>
      <c r="E520">
        <f>IFERROR(AGGREGATE(15,6,ROW('Input Transaksi'!$B$5:$B$5000)/('Input Transaksi'!$B$5:$B$5000="JCL SESETAN"),ROWS($E$5:E520)),"")</f>
        <v/>
      </c>
      <c r="F520" s="5" t="n"/>
    </row>
    <row r="521">
      <c r="A521" s="10">
        <f>IF($E521="","",INDEX('Input Transaksi'!$A:$A,$E521))</f>
        <v/>
      </c>
      <c r="B521" s="5">
        <f>IF($E521="","",INDEX('Input Transaksi'!$D:$D,$E521))</f>
        <v/>
      </c>
      <c r="C521">
        <f>IF($E521="","",INDEX('Input Transaksi'!$E:$E,$E521))</f>
        <v/>
      </c>
      <c r="D521" s="5">
        <f>IF($E521="","",INDEX('Input Transaksi'!$F:$F,$E521))</f>
        <v/>
      </c>
      <c r="E521">
        <f>IFERROR(AGGREGATE(15,6,ROW('Input Transaksi'!$B$5:$B$5000)/('Input Transaksi'!$B$5:$B$5000="JCL SESETAN"),ROWS($E$5:E521)),"")</f>
        <v/>
      </c>
      <c r="F521" s="5" t="n"/>
    </row>
    <row r="522">
      <c r="A522" s="10">
        <f>IF($E522="","",INDEX('Input Transaksi'!$A:$A,$E522))</f>
        <v/>
      </c>
      <c r="B522" s="5">
        <f>IF($E522="","",INDEX('Input Transaksi'!$D:$D,$E522))</f>
        <v/>
      </c>
      <c r="C522">
        <f>IF($E522="","",INDEX('Input Transaksi'!$E:$E,$E522))</f>
        <v/>
      </c>
      <c r="D522" s="5">
        <f>IF($E522="","",INDEX('Input Transaksi'!$F:$F,$E522))</f>
        <v/>
      </c>
      <c r="E522">
        <f>IFERROR(AGGREGATE(15,6,ROW('Input Transaksi'!$B$5:$B$5000)/('Input Transaksi'!$B$5:$B$5000="JCL SESETAN"),ROWS($E$5:E522)),"")</f>
        <v/>
      </c>
      <c r="F522" s="5" t="n"/>
    </row>
    <row r="523">
      <c r="A523" s="10">
        <f>IF($E523="","",INDEX('Input Transaksi'!$A:$A,$E523))</f>
        <v/>
      </c>
      <c r="B523" s="5">
        <f>IF($E523="","",INDEX('Input Transaksi'!$D:$D,$E523))</f>
        <v/>
      </c>
      <c r="C523">
        <f>IF($E523="","",INDEX('Input Transaksi'!$E:$E,$E523))</f>
        <v/>
      </c>
      <c r="D523" s="5">
        <f>IF($E523="","",INDEX('Input Transaksi'!$F:$F,$E523))</f>
        <v/>
      </c>
      <c r="E523">
        <f>IFERROR(AGGREGATE(15,6,ROW('Input Transaksi'!$B$5:$B$5000)/('Input Transaksi'!$B$5:$B$5000="JCL SESETAN"),ROWS($E$5:E523)),"")</f>
        <v/>
      </c>
      <c r="F523" s="5" t="n"/>
    </row>
    <row r="524">
      <c r="A524" s="10">
        <f>IF($E524="","",INDEX('Input Transaksi'!$A:$A,$E524))</f>
        <v/>
      </c>
      <c r="B524" s="5">
        <f>IF($E524="","",INDEX('Input Transaksi'!$D:$D,$E524))</f>
        <v/>
      </c>
      <c r="C524">
        <f>IF($E524="","",INDEX('Input Transaksi'!$E:$E,$E524))</f>
        <v/>
      </c>
      <c r="D524" s="5">
        <f>IF($E524="","",INDEX('Input Transaksi'!$F:$F,$E524))</f>
        <v/>
      </c>
      <c r="E524">
        <f>IFERROR(AGGREGATE(15,6,ROW('Input Transaksi'!$B$5:$B$5000)/('Input Transaksi'!$B$5:$B$5000="JCL SESETAN"),ROWS($E$5:E524)),"")</f>
        <v/>
      </c>
      <c r="F524" s="5" t="n"/>
    </row>
    <row r="525">
      <c r="A525" s="10">
        <f>IF($E525="","",INDEX('Input Transaksi'!$A:$A,$E525))</f>
        <v/>
      </c>
      <c r="B525" s="5">
        <f>IF($E525="","",INDEX('Input Transaksi'!$D:$D,$E525))</f>
        <v/>
      </c>
      <c r="C525">
        <f>IF($E525="","",INDEX('Input Transaksi'!$E:$E,$E525))</f>
        <v/>
      </c>
      <c r="D525" s="5">
        <f>IF($E525="","",INDEX('Input Transaksi'!$F:$F,$E525))</f>
        <v/>
      </c>
      <c r="E525">
        <f>IFERROR(AGGREGATE(15,6,ROW('Input Transaksi'!$B$5:$B$5000)/('Input Transaksi'!$B$5:$B$5000="JCL SESETAN"),ROWS($E$5:E525)),"")</f>
        <v/>
      </c>
      <c r="F525" s="5" t="n"/>
    </row>
    <row r="526">
      <c r="A526" s="10">
        <f>IF($E526="","",INDEX('Input Transaksi'!$A:$A,$E526))</f>
        <v/>
      </c>
      <c r="B526" s="5">
        <f>IF($E526="","",INDEX('Input Transaksi'!$D:$D,$E526))</f>
        <v/>
      </c>
      <c r="C526">
        <f>IF($E526="","",INDEX('Input Transaksi'!$E:$E,$E526))</f>
        <v/>
      </c>
      <c r="D526" s="5">
        <f>IF($E526="","",INDEX('Input Transaksi'!$F:$F,$E526))</f>
        <v/>
      </c>
      <c r="E526">
        <f>IFERROR(AGGREGATE(15,6,ROW('Input Transaksi'!$B$5:$B$5000)/('Input Transaksi'!$B$5:$B$5000="JCL SESETAN"),ROWS($E$5:E526)),"")</f>
        <v/>
      </c>
      <c r="F526" s="5" t="n"/>
    </row>
    <row r="527">
      <c r="A527" s="10">
        <f>IF($E527="","",INDEX('Input Transaksi'!$A:$A,$E527))</f>
        <v/>
      </c>
      <c r="B527" s="5">
        <f>IF($E527="","",INDEX('Input Transaksi'!$D:$D,$E527))</f>
        <v/>
      </c>
      <c r="C527">
        <f>IF($E527="","",INDEX('Input Transaksi'!$E:$E,$E527))</f>
        <v/>
      </c>
      <c r="D527" s="5">
        <f>IF($E527="","",INDEX('Input Transaksi'!$F:$F,$E527))</f>
        <v/>
      </c>
      <c r="E527">
        <f>IFERROR(AGGREGATE(15,6,ROW('Input Transaksi'!$B$5:$B$5000)/('Input Transaksi'!$B$5:$B$5000="JCL SESETAN"),ROWS($E$5:E527)),"")</f>
        <v/>
      </c>
      <c r="F527" s="5" t="n"/>
    </row>
    <row r="528">
      <c r="A528" s="10">
        <f>IF($E528="","",INDEX('Input Transaksi'!$A:$A,$E528))</f>
        <v/>
      </c>
      <c r="B528" s="5">
        <f>IF($E528="","",INDEX('Input Transaksi'!$D:$D,$E528))</f>
        <v/>
      </c>
      <c r="C528">
        <f>IF($E528="","",INDEX('Input Transaksi'!$E:$E,$E528))</f>
        <v/>
      </c>
      <c r="D528" s="5">
        <f>IF($E528="","",INDEX('Input Transaksi'!$F:$F,$E528))</f>
        <v/>
      </c>
      <c r="E528">
        <f>IFERROR(AGGREGATE(15,6,ROW('Input Transaksi'!$B$5:$B$5000)/('Input Transaksi'!$B$5:$B$5000="JCL SESETAN"),ROWS($E$5:E528)),"")</f>
        <v/>
      </c>
      <c r="F528" s="5" t="n"/>
    </row>
    <row r="529">
      <c r="A529" s="10">
        <f>IF($E529="","",INDEX('Input Transaksi'!$A:$A,$E529))</f>
        <v/>
      </c>
      <c r="B529" s="5">
        <f>IF($E529="","",INDEX('Input Transaksi'!$D:$D,$E529))</f>
        <v/>
      </c>
      <c r="C529">
        <f>IF($E529="","",INDEX('Input Transaksi'!$E:$E,$E529))</f>
        <v/>
      </c>
      <c r="D529" s="5">
        <f>IF($E529="","",INDEX('Input Transaksi'!$F:$F,$E529))</f>
        <v/>
      </c>
      <c r="E529">
        <f>IFERROR(AGGREGATE(15,6,ROW('Input Transaksi'!$B$5:$B$5000)/('Input Transaksi'!$B$5:$B$5000="JCL SESETAN"),ROWS($E$5:E529)),"")</f>
        <v/>
      </c>
      <c r="F529" s="5" t="n"/>
    </row>
    <row r="530">
      <c r="A530" s="10">
        <f>IF($E530="","",INDEX('Input Transaksi'!$A:$A,$E530))</f>
        <v/>
      </c>
      <c r="B530" s="5">
        <f>IF($E530="","",INDEX('Input Transaksi'!$D:$D,$E530))</f>
        <v/>
      </c>
      <c r="C530">
        <f>IF($E530="","",INDEX('Input Transaksi'!$E:$E,$E530))</f>
        <v/>
      </c>
      <c r="D530" s="5">
        <f>IF($E530="","",INDEX('Input Transaksi'!$F:$F,$E530))</f>
        <v/>
      </c>
      <c r="E530">
        <f>IFERROR(AGGREGATE(15,6,ROW('Input Transaksi'!$B$5:$B$5000)/('Input Transaksi'!$B$5:$B$5000="JCL SESETAN"),ROWS($E$5:E530)),"")</f>
        <v/>
      </c>
      <c r="F530" s="5" t="n"/>
    </row>
    <row r="531">
      <c r="A531" s="10">
        <f>IF($E531="","",INDEX('Input Transaksi'!$A:$A,$E531))</f>
        <v/>
      </c>
      <c r="B531" s="5">
        <f>IF($E531="","",INDEX('Input Transaksi'!$D:$D,$E531))</f>
        <v/>
      </c>
      <c r="C531">
        <f>IF($E531="","",INDEX('Input Transaksi'!$E:$E,$E531))</f>
        <v/>
      </c>
      <c r="D531" s="5">
        <f>IF($E531="","",INDEX('Input Transaksi'!$F:$F,$E531))</f>
        <v/>
      </c>
      <c r="E531">
        <f>IFERROR(AGGREGATE(15,6,ROW('Input Transaksi'!$B$5:$B$5000)/('Input Transaksi'!$B$5:$B$5000="JCL SESETAN"),ROWS($E$5:E531)),"")</f>
        <v/>
      </c>
      <c r="F531" s="5" t="n"/>
    </row>
    <row r="532">
      <c r="A532" s="10">
        <f>IF($E532="","",INDEX('Input Transaksi'!$A:$A,$E532))</f>
        <v/>
      </c>
      <c r="B532" s="5">
        <f>IF($E532="","",INDEX('Input Transaksi'!$D:$D,$E532))</f>
        <v/>
      </c>
      <c r="C532">
        <f>IF($E532="","",INDEX('Input Transaksi'!$E:$E,$E532))</f>
        <v/>
      </c>
      <c r="D532" s="5">
        <f>IF($E532="","",INDEX('Input Transaksi'!$F:$F,$E532))</f>
        <v/>
      </c>
      <c r="E532">
        <f>IFERROR(AGGREGATE(15,6,ROW('Input Transaksi'!$B$5:$B$5000)/('Input Transaksi'!$B$5:$B$5000="JCL SESETAN"),ROWS($E$5:E532)),"")</f>
        <v/>
      </c>
      <c r="F532" s="5" t="n"/>
    </row>
    <row r="533">
      <c r="A533" s="10">
        <f>IF($E533="","",INDEX('Input Transaksi'!$A:$A,$E533))</f>
        <v/>
      </c>
      <c r="B533" s="5">
        <f>IF($E533="","",INDEX('Input Transaksi'!$D:$D,$E533))</f>
        <v/>
      </c>
      <c r="C533">
        <f>IF($E533="","",INDEX('Input Transaksi'!$E:$E,$E533))</f>
        <v/>
      </c>
      <c r="D533" s="5">
        <f>IF($E533="","",INDEX('Input Transaksi'!$F:$F,$E533))</f>
        <v/>
      </c>
      <c r="E533">
        <f>IFERROR(AGGREGATE(15,6,ROW('Input Transaksi'!$B$5:$B$5000)/('Input Transaksi'!$B$5:$B$5000="JCL SESETAN"),ROWS($E$5:E533)),"")</f>
        <v/>
      </c>
      <c r="F533" s="5" t="n"/>
    </row>
    <row r="534">
      <c r="A534" s="10">
        <f>IF($E534="","",INDEX('Input Transaksi'!$A:$A,$E534))</f>
        <v/>
      </c>
      <c r="B534" s="5">
        <f>IF($E534="","",INDEX('Input Transaksi'!$D:$D,$E534))</f>
        <v/>
      </c>
      <c r="C534">
        <f>IF($E534="","",INDEX('Input Transaksi'!$E:$E,$E534))</f>
        <v/>
      </c>
      <c r="D534" s="5">
        <f>IF($E534="","",INDEX('Input Transaksi'!$F:$F,$E534))</f>
        <v/>
      </c>
      <c r="E534">
        <f>IFERROR(AGGREGATE(15,6,ROW('Input Transaksi'!$B$5:$B$5000)/('Input Transaksi'!$B$5:$B$5000="JCL SESETAN"),ROWS($E$5:E534)),"")</f>
        <v/>
      </c>
      <c r="F534" s="5" t="n"/>
    </row>
    <row r="535">
      <c r="A535" s="10">
        <f>IF($E535="","",INDEX('Input Transaksi'!$A:$A,$E535))</f>
        <v/>
      </c>
      <c r="B535" s="5">
        <f>IF($E535="","",INDEX('Input Transaksi'!$D:$D,$E535))</f>
        <v/>
      </c>
      <c r="C535">
        <f>IF($E535="","",INDEX('Input Transaksi'!$E:$E,$E535))</f>
        <v/>
      </c>
      <c r="D535" s="5">
        <f>IF($E535="","",INDEX('Input Transaksi'!$F:$F,$E535))</f>
        <v/>
      </c>
      <c r="E535">
        <f>IFERROR(AGGREGATE(15,6,ROW('Input Transaksi'!$B$5:$B$5000)/('Input Transaksi'!$B$5:$B$5000="JCL SESETAN"),ROWS($E$5:E535)),"")</f>
        <v/>
      </c>
      <c r="F535" s="5" t="n"/>
    </row>
    <row r="536">
      <c r="A536" s="10">
        <f>IF($E536="","",INDEX('Input Transaksi'!$A:$A,$E536))</f>
        <v/>
      </c>
      <c r="B536" s="5">
        <f>IF($E536="","",INDEX('Input Transaksi'!$D:$D,$E536))</f>
        <v/>
      </c>
      <c r="C536">
        <f>IF($E536="","",INDEX('Input Transaksi'!$E:$E,$E536))</f>
        <v/>
      </c>
      <c r="D536" s="5">
        <f>IF($E536="","",INDEX('Input Transaksi'!$F:$F,$E536))</f>
        <v/>
      </c>
      <c r="E536">
        <f>IFERROR(AGGREGATE(15,6,ROW('Input Transaksi'!$B$5:$B$5000)/('Input Transaksi'!$B$5:$B$5000="JCL SESETAN"),ROWS($E$5:E536)),"")</f>
        <v/>
      </c>
      <c r="F536" s="5" t="n"/>
    </row>
    <row r="537">
      <c r="A537" s="10">
        <f>IF($E537="","",INDEX('Input Transaksi'!$A:$A,$E537))</f>
        <v/>
      </c>
      <c r="B537" s="5">
        <f>IF($E537="","",INDEX('Input Transaksi'!$D:$D,$E537))</f>
        <v/>
      </c>
      <c r="C537">
        <f>IF($E537="","",INDEX('Input Transaksi'!$E:$E,$E537))</f>
        <v/>
      </c>
      <c r="D537" s="5">
        <f>IF($E537="","",INDEX('Input Transaksi'!$F:$F,$E537))</f>
        <v/>
      </c>
      <c r="E537">
        <f>IFERROR(AGGREGATE(15,6,ROW('Input Transaksi'!$B$5:$B$5000)/('Input Transaksi'!$B$5:$B$5000="JCL SESETAN"),ROWS($E$5:E537)),"")</f>
        <v/>
      </c>
      <c r="F537" s="5" t="n"/>
    </row>
    <row r="538">
      <c r="A538" s="10">
        <f>IF($E538="","",INDEX('Input Transaksi'!$A:$A,$E538))</f>
        <v/>
      </c>
      <c r="B538" s="5">
        <f>IF($E538="","",INDEX('Input Transaksi'!$D:$D,$E538))</f>
        <v/>
      </c>
      <c r="C538">
        <f>IF($E538="","",INDEX('Input Transaksi'!$E:$E,$E538))</f>
        <v/>
      </c>
      <c r="D538" s="5">
        <f>IF($E538="","",INDEX('Input Transaksi'!$F:$F,$E538))</f>
        <v/>
      </c>
      <c r="E538">
        <f>IFERROR(AGGREGATE(15,6,ROW('Input Transaksi'!$B$5:$B$5000)/('Input Transaksi'!$B$5:$B$5000="JCL SESETAN"),ROWS($E$5:E538)),"")</f>
        <v/>
      </c>
      <c r="F538" s="5" t="n"/>
    </row>
    <row r="539">
      <c r="A539" s="10">
        <f>IF($E539="","",INDEX('Input Transaksi'!$A:$A,$E539))</f>
        <v/>
      </c>
      <c r="B539" s="5">
        <f>IF($E539="","",INDEX('Input Transaksi'!$D:$D,$E539))</f>
        <v/>
      </c>
      <c r="C539">
        <f>IF($E539="","",INDEX('Input Transaksi'!$E:$E,$E539))</f>
        <v/>
      </c>
      <c r="D539" s="5">
        <f>IF($E539="","",INDEX('Input Transaksi'!$F:$F,$E539))</f>
        <v/>
      </c>
      <c r="E539">
        <f>IFERROR(AGGREGATE(15,6,ROW('Input Transaksi'!$B$5:$B$5000)/('Input Transaksi'!$B$5:$B$5000="JCL SESETAN"),ROWS($E$5:E539)),"")</f>
        <v/>
      </c>
      <c r="F539" s="5" t="n"/>
    </row>
    <row r="540">
      <c r="A540" s="10">
        <f>IF($E540="","",INDEX('Input Transaksi'!$A:$A,$E540))</f>
        <v/>
      </c>
      <c r="B540" s="5">
        <f>IF($E540="","",INDEX('Input Transaksi'!$D:$D,$E540))</f>
        <v/>
      </c>
      <c r="C540">
        <f>IF($E540="","",INDEX('Input Transaksi'!$E:$E,$E540))</f>
        <v/>
      </c>
      <c r="D540" s="5">
        <f>IF($E540="","",INDEX('Input Transaksi'!$F:$F,$E540))</f>
        <v/>
      </c>
      <c r="E540">
        <f>IFERROR(AGGREGATE(15,6,ROW('Input Transaksi'!$B$5:$B$5000)/('Input Transaksi'!$B$5:$B$5000="JCL SESETAN"),ROWS($E$5:E540)),"")</f>
        <v/>
      </c>
      <c r="F540" s="5" t="n"/>
    </row>
    <row r="541">
      <c r="A541" s="10">
        <f>IF($E541="","",INDEX('Input Transaksi'!$A:$A,$E541))</f>
        <v/>
      </c>
      <c r="B541" s="5">
        <f>IF($E541="","",INDEX('Input Transaksi'!$D:$D,$E541))</f>
        <v/>
      </c>
      <c r="C541">
        <f>IF($E541="","",INDEX('Input Transaksi'!$E:$E,$E541))</f>
        <v/>
      </c>
      <c r="D541" s="5">
        <f>IF($E541="","",INDEX('Input Transaksi'!$F:$F,$E541))</f>
        <v/>
      </c>
      <c r="E541">
        <f>IFERROR(AGGREGATE(15,6,ROW('Input Transaksi'!$B$5:$B$5000)/('Input Transaksi'!$B$5:$B$5000="JCL SESETAN"),ROWS($E$5:E541)),"")</f>
        <v/>
      </c>
      <c r="F541" s="5" t="n"/>
    </row>
    <row r="542">
      <c r="A542" s="10">
        <f>IF($E542="","",INDEX('Input Transaksi'!$A:$A,$E542))</f>
        <v/>
      </c>
      <c r="B542" s="5">
        <f>IF($E542="","",INDEX('Input Transaksi'!$D:$D,$E542))</f>
        <v/>
      </c>
      <c r="C542">
        <f>IF($E542="","",INDEX('Input Transaksi'!$E:$E,$E542))</f>
        <v/>
      </c>
      <c r="D542" s="5">
        <f>IF($E542="","",INDEX('Input Transaksi'!$F:$F,$E542))</f>
        <v/>
      </c>
      <c r="E542">
        <f>IFERROR(AGGREGATE(15,6,ROW('Input Transaksi'!$B$5:$B$5000)/('Input Transaksi'!$B$5:$B$5000="JCL SESETAN"),ROWS($E$5:E542)),"")</f>
        <v/>
      </c>
      <c r="F542" s="5" t="n"/>
    </row>
    <row r="543">
      <c r="A543" s="10">
        <f>IF($E543="","",INDEX('Input Transaksi'!$A:$A,$E543))</f>
        <v/>
      </c>
      <c r="B543" s="5">
        <f>IF($E543="","",INDEX('Input Transaksi'!$D:$D,$E543))</f>
        <v/>
      </c>
      <c r="C543">
        <f>IF($E543="","",INDEX('Input Transaksi'!$E:$E,$E543))</f>
        <v/>
      </c>
      <c r="D543" s="5">
        <f>IF($E543="","",INDEX('Input Transaksi'!$F:$F,$E543))</f>
        <v/>
      </c>
      <c r="E543">
        <f>IFERROR(AGGREGATE(15,6,ROW('Input Transaksi'!$B$5:$B$5000)/('Input Transaksi'!$B$5:$B$5000="JCL SESETAN"),ROWS($E$5:E543)),"")</f>
        <v/>
      </c>
      <c r="F543" s="5" t="n"/>
    </row>
    <row r="544">
      <c r="A544" s="10">
        <f>IF($E544="","",INDEX('Input Transaksi'!$A:$A,$E544))</f>
        <v/>
      </c>
      <c r="B544" s="5">
        <f>IF($E544="","",INDEX('Input Transaksi'!$D:$D,$E544))</f>
        <v/>
      </c>
      <c r="C544">
        <f>IF($E544="","",INDEX('Input Transaksi'!$E:$E,$E544))</f>
        <v/>
      </c>
      <c r="D544" s="5">
        <f>IF($E544="","",INDEX('Input Transaksi'!$F:$F,$E544))</f>
        <v/>
      </c>
      <c r="E544">
        <f>IFERROR(AGGREGATE(15,6,ROW('Input Transaksi'!$B$5:$B$5000)/('Input Transaksi'!$B$5:$B$5000="JCL SESETAN"),ROWS($E$5:E544)),"")</f>
        <v/>
      </c>
      <c r="F544" s="5" t="n"/>
    </row>
    <row r="545">
      <c r="A545" s="10">
        <f>IF($E545="","",INDEX('Input Transaksi'!$A:$A,$E545))</f>
        <v/>
      </c>
      <c r="B545" s="5">
        <f>IF($E545="","",INDEX('Input Transaksi'!$D:$D,$E545))</f>
        <v/>
      </c>
      <c r="C545">
        <f>IF($E545="","",INDEX('Input Transaksi'!$E:$E,$E545))</f>
        <v/>
      </c>
      <c r="D545" s="5">
        <f>IF($E545="","",INDEX('Input Transaksi'!$F:$F,$E545))</f>
        <v/>
      </c>
      <c r="E545">
        <f>IFERROR(AGGREGATE(15,6,ROW('Input Transaksi'!$B$5:$B$5000)/('Input Transaksi'!$B$5:$B$5000="JCL SESETAN"),ROWS($E$5:E545)),"")</f>
        <v/>
      </c>
      <c r="F545" s="5" t="n"/>
    </row>
    <row r="546">
      <c r="A546" s="10">
        <f>IF($E546="","",INDEX('Input Transaksi'!$A:$A,$E546))</f>
        <v/>
      </c>
      <c r="B546" s="5">
        <f>IF($E546="","",INDEX('Input Transaksi'!$D:$D,$E546))</f>
        <v/>
      </c>
      <c r="C546">
        <f>IF($E546="","",INDEX('Input Transaksi'!$E:$E,$E546))</f>
        <v/>
      </c>
      <c r="D546" s="5">
        <f>IF($E546="","",INDEX('Input Transaksi'!$F:$F,$E546))</f>
        <v/>
      </c>
      <c r="E546">
        <f>IFERROR(AGGREGATE(15,6,ROW('Input Transaksi'!$B$5:$B$5000)/('Input Transaksi'!$B$5:$B$5000="JCL SESETAN"),ROWS($E$5:E546)),"")</f>
        <v/>
      </c>
      <c r="F546" s="5" t="n"/>
    </row>
    <row r="547">
      <c r="A547" s="10">
        <f>IF($E547="","",INDEX('Input Transaksi'!$A:$A,$E547))</f>
        <v/>
      </c>
      <c r="B547" s="5">
        <f>IF($E547="","",INDEX('Input Transaksi'!$D:$D,$E547))</f>
        <v/>
      </c>
      <c r="C547">
        <f>IF($E547="","",INDEX('Input Transaksi'!$E:$E,$E547))</f>
        <v/>
      </c>
      <c r="D547" s="5">
        <f>IF($E547="","",INDEX('Input Transaksi'!$F:$F,$E547))</f>
        <v/>
      </c>
      <c r="E547">
        <f>IFERROR(AGGREGATE(15,6,ROW('Input Transaksi'!$B$5:$B$5000)/('Input Transaksi'!$B$5:$B$5000="JCL SESETAN"),ROWS($E$5:E547)),"")</f>
        <v/>
      </c>
      <c r="F547" s="5" t="n"/>
    </row>
    <row r="548">
      <c r="A548" s="10">
        <f>IF($E548="","",INDEX('Input Transaksi'!$A:$A,$E548))</f>
        <v/>
      </c>
      <c r="B548" s="5">
        <f>IF($E548="","",INDEX('Input Transaksi'!$D:$D,$E548))</f>
        <v/>
      </c>
      <c r="C548">
        <f>IF($E548="","",INDEX('Input Transaksi'!$E:$E,$E548))</f>
        <v/>
      </c>
      <c r="D548" s="5">
        <f>IF($E548="","",INDEX('Input Transaksi'!$F:$F,$E548))</f>
        <v/>
      </c>
      <c r="E548">
        <f>IFERROR(AGGREGATE(15,6,ROW('Input Transaksi'!$B$5:$B$5000)/('Input Transaksi'!$B$5:$B$5000="JCL SESETAN"),ROWS($E$5:E548)),"")</f>
        <v/>
      </c>
      <c r="F548" s="5" t="n"/>
    </row>
    <row r="549">
      <c r="A549" s="10">
        <f>IF($E549="","",INDEX('Input Transaksi'!$A:$A,$E549))</f>
        <v/>
      </c>
      <c r="B549" s="5">
        <f>IF($E549="","",INDEX('Input Transaksi'!$D:$D,$E549))</f>
        <v/>
      </c>
      <c r="C549">
        <f>IF($E549="","",INDEX('Input Transaksi'!$E:$E,$E549))</f>
        <v/>
      </c>
      <c r="D549" s="5">
        <f>IF($E549="","",INDEX('Input Transaksi'!$F:$F,$E549))</f>
        <v/>
      </c>
      <c r="E549">
        <f>IFERROR(AGGREGATE(15,6,ROW('Input Transaksi'!$B$5:$B$5000)/('Input Transaksi'!$B$5:$B$5000="JCL SESETAN"),ROWS($E$5:E549)),"")</f>
        <v/>
      </c>
      <c r="F549" s="5" t="n"/>
    </row>
    <row r="550">
      <c r="A550" s="10">
        <f>IF($E550="","",INDEX('Input Transaksi'!$A:$A,$E550))</f>
        <v/>
      </c>
      <c r="B550" s="5">
        <f>IF($E550="","",INDEX('Input Transaksi'!$D:$D,$E550))</f>
        <v/>
      </c>
      <c r="C550">
        <f>IF($E550="","",INDEX('Input Transaksi'!$E:$E,$E550))</f>
        <v/>
      </c>
      <c r="D550" s="5">
        <f>IF($E550="","",INDEX('Input Transaksi'!$F:$F,$E550))</f>
        <v/>
      </c>
      <c r="E550">
        <f>IFERROR(AGGREGATE(15,6,ROW('Input Transaksi'!$B$5:$B$5000)/('Input Transaksi'!$B$5:$B$5000="JCL SESETAN"),ROWS($E$5:E550)),"")</f>
        <v/>
      </c>
      <c r="F550" s="5" t="n"/>
    </row>
    <row r="551">
      <c r="A551" s="10">
        <f>IF($E551="","",INDEX('Input Transaksi'!$A:$A,$E551))</f>
        <v/>
      </c>
      <c r="B551" s="5">
        <f>IF($E551="","",INDEX('Input Transaksi'!$D:$D,$E551))</f>
        <v/>
      </c>
      <c r="C551">
        <f>IF($E551="","",INDEX('Input Transaksi'!$E:$E,$E551))</f>
        <v/>
      </c>
      <c r="D551" s="5">
        <f>IF($E551="","",INDEX('Input Transaksi'!$F:$F,$E551))</f>
        <v/>
      </c>
      <c r="E551">
        <f>IFERROR(AGGREGATE(15,6,ROW('Input Transaksi'!$B$5:$B$5000)/('Input Transaksi'!$B$5:$B$5000="JCL SESETAN"),ROWS($E$5:E551)),"")</f>
        <v/>
      </c>
      <c r="F551" s="5" t="n"/>
    </row>
    <row r="552">
      <c r="A552" s="10">
        <f>IF($E552="","",INDEX('Input Transaksi'!$A:$A,$E552))</f>
        <v/>
      </c>
      <c r="B552" s="5">
        <f>IF($E552="","",INDEX('Input Transaksi'!$D:$D,$E552))</f>
        <v/>
      </c>
      <c r="C552">
        <f>IF($E552="","",INDEX('Input Transaksi'!$E:$E,$E552))</f>
        <v/>
      </c>
      <c r="D552" s="5">
        <f>IF($E552="","",INDEX('Input Transaksi'!$F:$F,$E552))</f>
        <v/>
      </c>
      <c r="E552">
        <f>IFERROR(AGGREGATE(15,6,ROW('Input Transaksi'!$B$5:$B$5000)/('Input Transaksi'!$B$5:$B$5000="JCL SESETAN"),ROWS($E$5:E552)),"")</f>
        <v/>
      </c>
      <c r="F552" s="5" t="n"/>
    </row>
    <row r="553">
      <c r="A553" s="10">
        <f>IF($E553="","",INDEX('Input Transaksi'!$A:$A,$E553))</f>
        <v/>
      </c>
      <c r="B553" s="5">
        <f>IF($E553="","",INDEX('Input Transaksi'!$D:$D,$E553))</f>
        <v/>
      </c>
      <c r="C553">
        <f>IF($E553="","",INDEX('Input Transaksi'!$E:$E,$E553))</f>
        <v/>
      </c>
      <c r="D553" s="5">
        <f>IF($E553="","",INDEX('Input Transaksi'!$F:$F,$E553))</f>
        <v/>
      </c>
      <c r="E553">
        <f>IFERROR(AGGREGATE(15,6,ROW('Input Transaksi'!$B$5:$B$5000)/('Input Transaksi'!$B$5:$B$5000="JCL SESETAN"),ROWS($E$5:E553)),"")</f>
        <v/>
      </c>
      <c r="F553" s="5" t="n"/>
    </row>
    <row r="554">
      <c r="A554" s="10">
        <f>IF($E554="","",INDEX('Input Transaksi'!$A:$A,$E554))</f>
        <v/>
      </c>
      <c r="B554" s="5">
        <f>IF($E554="","",INDEX('Input Transaksi'!$D:$D,$E554))</f>
        <v/>
      </c>
      <c r="C554">
        <f>IF($E554="","",INDEX('Input Transaksi'!$E:$E,$E554))</f>
        <v/>
      </c>
      <c r="D554" s="5">
        <f>IF($E554="","",INDEX('Input Transaksi'!$F:$F,$E554))</f>
        <v/>
      </c>
      <c r="E554">
        <f>IFERROR(AGGREGATE(15,6,ROW('Input Transaksi'!$B$5:$B$5000)/('Input Transaksi'!$B$5:$B$5000="JCL SESETAN"),ROWS($E$5:E554)),"")</f>
        <v/>
      </c>
      <c r="F554" s="5" t="n"/>
    </row>
    <row r="555">
      <c r="A555" s="10">
        <f>IF($E555="","",INDEX('Input Transaksi'!$A:$A,$E555))</f>
        <v/>
      </c>
      <c r="B555" s="5">
        <f>IF($E555="","",INDEX('Input Transaksi'!$D:$D,$E555))</f>
        <v/>
      </c>
      <c r="C555">
        <f>IF($E555="","",INDEX('Input Transaksi'!$E:$E,$E555))</f>
        <v/>
      </c>
      <c r="D555" s="5">
        <f>IF($E555="","",INDEX('Input Transaksi'!$F:$F,$E555))</f>
        <v/>
      </c>
      <c r="E555">
        <f>IFERROR(AGGREGATE(15,6,ROW('Input Transaksi'!$B$5:$B$5000)/('Input Transaksi'!$B$5:$B$5000="JCL SESETAN"),ROWS($E$5:E555)),"")</f>
        <v/>
      </c>
      <c r="F555" s="5" t="n"/>
    </row>
    <row r="556">
      <c r="A556" s="10">
        <f>IF($E556="","",INDEX('Input Transaksi'!$A:$A,$E556))</f>
        <v/>
      </c>
      <c r="B556" s="5">
        <f>IF($E556="","",INDEX('Input Transaksi'!$D:$D,$E556))</f>
        <v/>
      </c>
      <c r="C556">
        <f>IF($E556="","",INDEX('Input Transaksi'!$E:$E,$E556))</f>
        <v/>
      </c>
      <c r="D556" s="5">
        <f>IF($E556="","",INDEX('Input Transaksi'!$F:$F,$E556))</f>
        <v/>
      </c>
      <c r="E556">
        <f>IFERROR(AGGREGATE(15,6,ROW('Input Transaksi'!$B$5:$B$5000)/('Input Transaksi'!$B$5:$B$5000="JCL SESETAN"),ROWS($E$5:E556)),"")</f>
        <v/>
      </c>
      <c r="F556" s="5" t="n"/>
    </row>
    <row r="557">
      <c r="A557" s="10">
        <f>IF($E557="","",INDEX('Input Transaksi'!$A:$A,$E557))</f>
        <v/>
      </c>
      <c r="B557" s="5">
        <f>IF($E557="","",INDEX('Input Transaksi'!$D:$D,$E557))</f>
        <v/>
      </c>
      <c r="C557">
        <f>IF($E557="","",INDEX('Input Transaksi'!$E:$E,$E557))</f>
        <v/>
      </c>
      <c r="D557" s="5">
        <f>IF($E557="","",INDEX('Input Transaksi'!$F:$F,$E557))</f>
        <v/>
      </c>
      <c r="E557">
        <f>IFERROR(AGGREGATE(15,6,ROW('Input Transaksi'!$B$5:$B$5000)/('Input Transaksi'!$B$5:$B$5000="JCL SESETAN"),ROWS($E$5:E557)),"")</f>
        <v/>
      </c>
      <c r="F557" s="5" t="n"/>
    </row>
    <row r="558">
      <c r="A558" s="10">
        <f>IF($E558="","",INDEX('Input Transaksi'!$A:$A,$E558))</f>
        <v/>
      </c>
      <c r="B558" s="5">
        <f>IF($E558="","",INDEX('Input Transaksi'!$D:$D,$E558))</f>
        <v/>
      </c>
      <c r="C558">
        <f>IF($E558="","",INDEX('Input Transaksi'!$E:$E,$E558))</f>
        <v/>
      </c>
      <c r="D558" s="5">
        <f>IF($E558="","",INDEX('Input Transaksi'!$F:$F,$E558))</f>
        <v/>
      </c>
      <c r="E558">
        <f>IFERROR(AGGREGATE(15,6,ROW('Input Transaksi'!$B$5:$B$5000)/('Input Transaksi'!$B$5:$B$5000="JCL SESETAN"),ROWS($E$5:E558)),"")</f>
        <v/>
      </c>
      <c r="F558" s="5" t="n"/>
    </row>
    <row r="559">
      <c r="A559" s="10">
        <f>IF($E559="","",INDEX('Input Transaksi'!$A:$A,$E559))</f>
        <v/>
      </c>
      <c r="B559" s="5">
        <f>IF($E559="","",INDEX('Input Transaksi'!$D:$D,$E559))</f>
        <v/>
      </c>
      <c r="C559">
        <f>IF($E559="","",INDEX('Input Transaksi'!$E:$E,$E559))</f>
        <v/>
      </c>
      <c r="D559" s="5">
        <f>IF($E559="","",INDEX('Input Transaksi'!$F:$F,$E559))</f>
        <v/>
      </c>
      <c r="E559">
        <f>IFERROR(AGGREGATE(15,6,ROW('Input Transaksi'!$B$5:$B$5000)/('Input Transaksi'!$B$5:$B$5000="JCL SESETAN"),ROWS($E$5:E559)),"")</f>
        <v/>
      </c>
      <c r="F559" s="5" t="n"/>
    </row>
    <row r="560">
      <c r="A560" s="10">
        <f>IF($E560="","",INDEX('Input Transaksi'!$A:$A,$E560))</f>
        <v/>
      </c>
      <c r="B560" s="5">
        <f>IF($E560="","",INDEX('Input Transaksi'!$D:$D,$E560))</f>
        <v/>
      </c>
      <c r="C560">
        <f>IF($E560="","",INDEX('Input Transaksi'!$E:$E,$E560))</f>
        <v/>
      </c>
      <c r="D560" s="5">
        <f>IF($E560="","",INDEX('Input Transaksi'!$F:$F,$E560))</f>
        <v/>
      </c>
      <c r="E560">
        <f>IFERROR(AGGREGATE(15,6,ROW('Input Transaksi'!$B$5:$B$5000)/('Input Transaksi'!$B$5:$B$5000="JCL SESETAN"),ROWS($E$5:E560)),"")</f>
        <v/>
      </c>
      <c r="F560" s="5" t="n"/>
    </row>
    <row r="561">
      <c r="A561" s="10">
        <f>IF($E561="","",INDEX('Input Transaksi'!$A:$A,$E561))</f>
        <v/>
      </c>
      <c r="B561" s="5">
        <f>IF($E561="","",INDEX('Input Transaksi'!$D:$D,$E561))</f>
        <v/>
      </c>
      <c r="C561">
        <f>IF($E561="","",INDEX('Input Transaksi'!$E:$E,$E561))</f>
        <v/>
      </c>
      <c r="D561" s="5">
        <f>IF($E561="","",INDEX('Input Transaksi'!$F:$F,$E561))</f>
        <v/>
      </c>
      <c r="E561">
        <f>IFERROR(AGGREGATE(15,6,ROW('Input Transaksi'!$B$5:$B$5000)/('Input Transaksi'!$B$5:$B$5000="JCL SESETAN"),ROWS($E$5:E561)),"")</f>
        <v/>
      </c>
      <c r="F561" s="5" t="n"/>
    </row>
    <row r="562">
      <c r="A562" s="10">
        <f>IF($E562="","",INDEX('Input Transaksi'!$A:$A,$E562))</f>
        <v/>
      </c>
      <c r="B562" s="5">
        <f>IF($E562="","",INDEX('Input Transaksi'!$D:$D,$E562))</f>
        <v/>
      </c>
      <c r="C562">
        <f>IF($E562="","",INDEX('Input Transaksi'!$E:$E,$E562))</f>
        <v/>
      </c>
      <c r="D562" s="5">
        <f>IF($E562="","",INDEX('Input Transaksi'!$F:$F,$E562))</f>
        <v/>
      </c>
      <c r="E562">
        <f>IFERROR(AGGREGATE(15,6,ROW('Input Transaksi'!$B$5:$B$5000)/('Input Transaksi'!$B$5:$B$5000="JCL SESETAN"),ROWS($E$5:E562)),"")</f>
        <v/>
      </c>
      <c r="F562" s="5" t="n"/>
    </row>
    <row r="563">
      <c r="A563" s="10">
        <f>IF($E563="","",INDEX('Input Transaksi'!$A:$A,$E563))</f>
        <v/>
      </c>
      <c r="B563" s="5">
        <f>IF($E563="","",INDEX('Input Transaksi'!$D:$D,$E563))</f>
        <v/>
      </c>
      <c r="C563">
        <f>IF($E563="","",INDEX('Input Transaksi'!$E:$E,$E563))</f>
        <v/>
      </c>
      <c r="D563" s="5">
        <f>IF($E563="","",INDEX('Input Transaksi'!$F:$F,$E563))</f>
        <v/>
      </c>
      <c r="E563">
        <f>IFERROR(AGGREGATE(15,6,ROW('Input Transaksi'!$B$5:$B$5000)/('Input Transaksi'!$B$5:$B$5000="JCL SESETAN"),ROWS($E$5:E563)),"")</f>
        <v/>
      </c>
      <c r="F563" s="5" t="n"/>
    </row>
    <row r="564">
      <c r="A564" s="10">
        <f>IF($E564="","",INDEX('Input Transaksi'!$A:$A,$E564))</f>
        <v/>
      </c>
      <c r="B564" s="5">
        <f>IF($E564="","",INDEX('Input Transaksi'!$D:$D,$E564))</f>
        <v/>
      </c>
      <c r="C564">
        <f>IF($E564="","",INDEX('Input Transaksi'!$E:$E,$E564))</f>
        <v/>
      </c>
      <c r="D564" s="5">
        <f>IF($E564="","",INDEX('Input Transaksi'!$F:$F,$E564))</f>
        <v/>
      </c>
      <c r="E564">
        <f>IFERROR(AGGREGATE(15,6,ROW('Input Transaksi'!$B$5:$B$5000)/('Input Transaksi'!$B$5:$B$5000="JCL SESETAN"),ROWS($E$5:E564)),"")</f>
        <v/>
      </c>
      <c r="F564" s="5" t="n"/>
    </row>
    <row r="565">
      <c r="A565" s="10">
        <f>IF($E565="","",INDEX('Input Transaksi'!$A:$A,$E565))</f>
        <v/>
      </c>
      <c r="B565" s="5">
        <f>IF($E565="","",INDEX('Input Transaksi'!$D:$D,$E565))</f>
        <v/>
      </c>
      <c r="C565">
        <f>IF($E565="","",INDEX('Input Transaksi'!$E:$E,$E565))</f>
        <v/>
      </c>
      <c r="D565" s="5">
        <f>IF($E565="","",INDEX('Input Transaksi'!$F:$F,$E565))</f>
        <v/>
      </c>
      <c r="E565">
        <f>IFERROR(AGGREGATE(15,6,ROW('Input Transaksi'!$B$5:$B$5000)/('Input Transaksi'!$B$5:$B$5000="JCL SESETAN"),ROWS($E$5:E565)),"")</f>
        <v/>
      </c>
      <c r="F565" s="5" t="n"/>
    </row>
    <row r="566">
      <c r="A566" s="10">
        <f>IF($E566="","",INDEX('Input Transaksi'!$A:$A,$E566))</f>
        <v/>
      </c>
      <c r="B566" s="5">
        <f>IF($E566="","",INDEX('Input Transaksi'!$D:$D,$E566))</f>
        <v/>
      </c>
      <c r="C566">
        <f>IF($E566="","",INDEX('Input Transaksi'!$E:$E,$E566))</f>
        <v/>
      </c>
      <c r="D566" s="5">
        <f>IF($E566="","",INDEX('Input Transaksi'!$F:$F,$E566))</f>
        <v/>
      </c>
      <c r="E566">
        <f>IFERROR(AGGREGATE(15,6,ROW('Input Transaksi'!$B$5:$B$5000)/('Input Transaksi'!$B$5:$B$5000="JCL SESETAN"),ROWS($E$5:E566)),"")</f>
        <v/>
      </c>
      <c r="F566" s="5" t="n"/>
    </row>
    <row r="567">
      <c r="A567" s="10">
        <f>IF($E567="","",INDEX('Input Transaksi'!$A:$A,$E567))</f>
        <v/>
      </c>
      <c r="B567" s="5">
        <f>IF($E567="","",INDEX('Input Transaksi'!$D:$D,$E567))</f>
        <v/>
      </c>
      <c r="C567">
        <f>IF($E567="","",INDEX('Input Transaksi'!$E:$E,$E567))</f>
        <v/>
      </c>
      <c r="D567" s="5">
        <f>IF($E567="","",INDEX('Input Transaksi'!$F:$F,$E567))</f>
        <v/>
      </c>
      <c r="E567">
        <f>IFERROR(AGGREGATE(15,6,ROW('Input Transaksi'!$B$5:$B$5000)/('Input Transaksi'!$B$5:$B$5000="JCL SESETAN"),ROWS($E$5:E567)),"")</f>
        <v/>
      </c>
      <c r="F567" s="5" t="n"/>
    </row>
    <row r="568">
      <c r="A568" s="10">
        <f>IF($E568="","",INDEX('Input Transaksi'!$A:$A,$E568))</f>
        <v/>
      </c>
      <c r="B568" s="5">
        <f>IF($E568="","",INDEX('Input Transaksi'!$D:$D,$E568))</f>
        <v/>
      </c>
      <c r="C568">
        <f>IF($E568="","",INDEX('Input Transaksi'!$E:$E,$E568))</f>
        <v/>
      </c>
      <c r="D568" s="5">
        <f>IF($E568="","",INDEX('Input Transaksi'!$F:$F,$E568))</f>
        <v/>
      </c>
      <c r="E568">
        <f>IFERROR(AGGREGATE(15,6,ROW('Input Transaksi'!$B$5:$B$5000)/('Input Transaksi'!$B$5:$B$5000="JCL SESETAN"),ROWS($E$5:E568)),"")</f>
        <v/>
      </c>
      <c r="F568" s="5" t="n"/>
    </row>
    <row r="569">
      <c r="A569" s="10">
        <f>IF($E569="","",INDEX('Input Transaksi'!$A:$A,$E569))</f>
        <v/>
      </c>
      <c r="B569" s="5">
        <f>IF($E569="","",INDEX('Input Transaksi'!$D:$D,$E569))</f>
        <v/>
      </c>
      <c r="C569">
        <f>IF($E569="","",INDEX('Input Transaksi'!$E:$E,$E569))</f>
        <v/>
      </c>
      <c r="D569" s="5">
        <f>IF($E569="","",INDEX('Input Transaksi'!$F:$F,$E569))</f>
        <v/>
      </c>
      <c r="E569">
        <f>IFERROR(AGGREGATE(15,6,ROW('Input Transaksi'!$B$5:$B$5000)/('Input Transaksi'!$B$5:$B$5000="JCL SESETAN"),ROWS($E$5:E569)),"")</f>
        <v/>
      </c>
      <c r="F569" s="5" t="n"/>
    </row>
    <row r="570">
      <c r="A570" s="10">
        <f>IF($E570="","",INDEX('Input Transaksi'!$A:$A,$E570))</f>
        <v/>
      </c>
      <c r="B570" s="5">
        <f>IF($E570="","",INDEX('Input Transaksi'!$D:$D,$E570))</f>
        <v/>
      </c>
      <c r="C570">
        <f>IF($E570="","",INDEX('Input Transaksi'!$E:$E,$E570))</f>
        <v/>
      </c>
      <c r="D570" s="5">
        <f>IF($E570="","",INDEX('Input Transaksi'!$F:$F,$E570))</f>
        <v/>
      </c>
      <c r="E570">
        <f>IFERROR(AGGREGATE(15,6,ROW('Input Transaksi'!$B$5:$B$5000)/('Input Transaksi'!$B$5:$B$5000="JCL SESETAN"),ROWS($E$5:E570)),"")</f>
        <v/>
      </c>
      <c r="F570" s="5" t="n"/>
    </row>
    <row r="571">
      <c r="A571" s="10">
        <f>IF($E571="","",INDEX('Input Transaksi'!$A:$A,$E571))</f>
        <v/>
      </c>
      <c r="B571" s="5">
        <f>IF($E571="","",INDEX('Input Transaksi'!$D:$D,$E571))</f>
        <v/>
      </c>
      <c r="C571">
        <f>IF($E571="","",INDEX('Input Transaksi'!$E:$E,$E571))</f>
        <v/>
      </c>
      <c r="D571" s="5">
        <f>IF($E571="","",INDEX('Input Transaksi'!$F:$F,$E571))</f>
        <v/>
      </c>
      <c r="E571">
        <f>IFERROR(AGGREGATE(15,6,ROW('Input Transaksi'!$B$5:$B$5000)/('Input Transaksi'!$B$5:$B$5000="JCL SESETAN"),ROWS($E$5:E571)),"")</f>
        <v/>
      </c>
      <c r="F571" s="5" t="n"/>
    </row>
    <row r="572">
      <c r="A572" s="10">
        <f>IF($E572="","",INDEX('Input Transaksi'!$A:$A,$E572))</f>
        <v/>
      </c>
      <c r="B572" s="5">
        <f>IF($E572="","",INDEX('Input Transaksi'!$D:$D,$E572))</f>
        <v/>
      </c>
      <c r="C572">
        <f>IF($E572="","",INDEX('Input Transaksi'!$E:$E,$E572))</f>
        <v/>
      </c>
      <c r="D572" s="5">
        <f>IF($E572="","",INDEX('Input Transaksi'!$F:$F,$E572))</f>
        <v/>
      </c>
      <c r="E572">
        <f>IFERROR(AGGREGATE(15,6,ROW('Input Transaksi'!$B$5:$B$5000)/('Input Transaksi'!$B$5:$B$5000="JCL SESETAN"),ROWS($E$5:E572)),"")</f>
        <v/>
      </c>
      <c r="F572" s="5" t="n"/>
    </row>
    <row r="573">
      <c r="A573" s="10">
        <f>IF($E573="","",INDEX('Input Transaksi'!$A:$A,$E573))</f>
        <v/>
      </c>
      <c r="B573" s="5">
        <f>IF($E573="","",INDEX('Input Transaksi'!$D:$D,$E573))</f>
        <v/>
      </c>
      <c r="C573">
        <f>IF($E573="","",INDEX('Input Transaksi'!$E:$E,$E573))</f>
        <v/>
      </c>
      <c r="D573" s="5">
        <f>IF($E573="","",INDEX('Input Transaksi'!$F:$F,$E573))</f>
        <v/>
      </c>
      <c r="E573">
        <f>IFERROR(AGGREGATE(15,6,ROW('Input Transaksi'!$B$5:$B$5000)/('Input Transaksi'!$B$5:$B$5000="JCL SESETAN"),ROWS($E$5:E573)),"")</f>
        <v/>
      </c>
      <c r="F573" s="5" t="n"/>
    </row>
    <row r="574">
      <c r="A574" s="10">
        <f>IF($E574="","",INDEX('Input Transaksi'!$A:$A,$E574))</f>
        <v/>
      </c>
      <c r="B574" s="5">
        <f>IF($E574="","",INDEX('Input Transaksi'!$D:$D,$E574))</f>
        <v/>
      </c>
      <c r="C574">
        <f>IF($E574="","",INDEX('Input Transaksi'!$E:$E,$E574))</f>
        <v/>
      </c>
      <c r="D574" s="5">
        <f>IF($E574="","",INDEX('Input Transaksi'!$F:$F,$E574))</f>
        <v/>
      </c>
      <c r="E574">
        <f>IFERROR(AGGREGATE(15,6,ROW('Input Transaksi'!$B$5:$B$5000)/('Input Transaksi'!$B$5:$B$5000="JCL SESETAN"),ROWS($E$5:E574)),"")</f>
        <v/>
      </c>
      <c r="F574" s="5" t="n"/>
    </row>
    <row r="575">
      <c r="A575" s="10">
        <f>IF($E575="","",INDEX('Input Transaksi'!$A:$A,$E575))</f>
        <v/>
      </c>
      <c r="B575" s="5">
        <f>IF($E575="","",INDEX('Input Transaksi'!$D:$D,$E575))</f>
        <v/>
      </c>
      <c r="C575">
        <f>IF($E575="","",INDEX('Input Transaksi'!$E:$E,$E575))</f>
        <v/>
      </c>
      <c r="D575" s="5">
        <f>IF($E575="","",INDEX('Input Transaksi'!$F:$F,$E575))</f>
        <v/>
      </c>
      <c r="E575">
        <f>IFERROR(AGGREGATE(15,6,ROW('Input Transaksi'!$B$5:$B$5000)/('Input Transaksi'!$B$5:$B$5000="JCL SESETAN"),ROWS($E$5:E575)),"")</f>
        <v/>
      </c>
      <c r="F575" s="5" t="n"/>
    </row>
    <row r="576">
      <c r="A576" s="10">
        <f>IF($E576="","",INDEX('Input Transaksi'!$A:$A,$E576))</f>
        <v/>
      </c>
      <c r="B576" s="5">
        <f>IF($E576="","",INDEX('Input Transaksi'!$D:$D,$E576))</f>
        <v/>
      </c>
      <c r="C576">
        <f>IF($E576="","",INDEX('Input Transaksi'!$E:$E,$E576))</f>
        <v/>
      </c>
      <c r="D576" s="5">
        <f>IF($E576="","",INDEX('Input Transaksi'!$F:$F,$E576))</f>
        <v/>
      </c>
      <c r="E576">
        <f>IFERROR(AGGREGATE(15,6,ROW('Input Transaksi'!$B$5:$B$5000)/('Input Transaksi'!$B$5:$B$5000="JCL SESETAN"),ROWS($E$5:E576)),"")</f>
        <v/>
      </c>
      <c r="F576" s="5" t="n"/>
    </row>
    <row r="577">
      <c r="A577" s="10">
        <f>IF($E577="","",INDEX('Input Transaksi'!$A:$A,$E577))</f>
        <v/>
      </c>
      <c r="B577" s="5">
        <f>IF($E577="","",INDEX('Input Transaksi'!$D:$D,$E577))</f>
        <v/>
      </c>
      <c r="C577">
        <f>IF($E577="","",INDEX('Input Transaksi'!$E:$E,$E577))</f>
        <v/>
      </c>
      <c r="D577" s="5">
        <f>IF($E577="","",INDEX('Input Transaksi'!$F:$F,$E577))</f>
        <v/>
      </c>
      <c r="E577">
        <f>IFERROR(AGGREGATE(15,6,ROW('Input Transaksi'!$B$5:$B$5000)/('Input Transaksi'!$B$5:$B$5000="JCL SESETAN"),ROWS($E$5:E577)),"")</f>
        <v/>
      </c>
      <c r="F577" s="5" t="n"/>
    </row>
    <row r="578">
      <c r="A578" s="10">
        <f>IF($E578="","",INDEX('Input Transaksi'!$A:$A,$E578))</f>
        <v/>
      </c>
      <c r="B578" s="5">
        <f>IF($E578="","",INDEX('Input Transaksi'!$D:$D,$E578))</f>
        <v/>
      </c>
      <c r="C578">
        <f>IF($E578="","",INDEX('Input Transaksi'!$E:$E,$E578))</f>
        <v/>
      </c>
      <c r="D578" s="5">
        <f>IF($E578="","",INDEX('Input Transaksi'!$F:$F,$E578))</f>
        <v/>
      </c>
      <c r="E578">
        <f>IFERROR(AGGREGATE(15,6,ROW('Input Transaksi'!$B$5:$B$5000)/('Input Transaksi'!$B$5:$B$5000="JCL SESETAN"),ROWS($E$5:E578)),"")</f>
        <v/>
      </c>
      <c r="F578" s="5" t="n"/>
    </row>
    <row r="579">
      <c r="A579" s="10">
        <f>IF($E579="","",INDEX('Input Transaksi'!$A:$A,$E579))</f>
        <v/>
      </c>
      <c r="B579" s="5">
        <f>IF($E579="","",INDEX('Input Transaksi'!$D:$D,$E579))</f>
        <v/>
      </c>
      <c r="C579">
        <f>IF($E579="","",INDEX('Input Transaksi'!$E:$E,$E579))</f>
        <v/>
      </c>
      <c r="D579" s="5">
        <f>IF($E579="","",INDEX('Input Transaksi'!$F:$F,$E579))</f>
        <v/>
      </c>
      <c r="E579">
        <f>IFERROR(AGGREGATE(15,6,ROW('Input Transaksi'!$B$5:$B$5000)/('Input Transaksi'!$B$5:$B$5000="JCL SESETAN"),ROWS($E$5:E579)),"")</f>
        <v/>
      </c>
      <c r="F579" s="5" t="n"/>
    </row>
    <row r="580">
      <c r="A580" s="10">
        <f>IF($E580="","",INDEX('Input Transaksi'!$A:$A,$E580))</f>
        <v/>
      </c>
      <c r="B580" s="5">
        <f>IF($E580="","",INDEX('Input Transaksi'!$D:$D,$E580))</f>
        <v/>
      </c>
      <c r="C580">
        <f>IF($E580="","",INDEX('Input Transaksi'!$E:$E,$E580))</f>
        <v/>
      </c>
      <c r="D580" s="5">
        <f>IF($E580="","",INDEX('Input Transaksi'!$F:$F,$E580))</f>
        <v/>
      </c>
      <c r="E580">
        <f>IFERROR(AGGREGATE(15,6,ROW('Input Transaksi'!$B$5:$B$5000)/('Input Transaksi'!$B$5:$B$5000="JCL SESETAN"),ROWS($E$5:E580)),"")</f>
        <v/>
      </c>
      <c r="F580" s="5" t="n"/>
    </row>
    <row r="581">
      <c r="A581" s="10">
        <f>IF($E581="","",INDEX('Input Transaksi'!$A:$A,$E581))</f>
        <v/>
      </c>
      <c r="B581" s="5">
        <f>IF($E581="","",INDEX('Input Transaksi'!$D:$D,$E581))</f>
        <v/>
      </c>
      <c r="C581">
        <f>IF($E581="","",INDEX('Input Transaksi'!$E:$E,$E581))</f>
        <v/>
      </c>
      <c r="D581" s="5">
        <f>IF($E581="","",INDEX('Input Transaksi'!$F:$F,$E581))</f>
        <v/>
      </c>
      <c r="E581">
        <f>IFERROR(AGGREGATE(15,6,ROW('Input Transaksi'!$B$5:$B$5000)/('Input Transaksi'!$B$5:$B$5000="JCL SESETAN"),ROWS($E$5:E581)),"")</f>
        <v/>
      </c>
      <c r="F581" s="5" t="n"/>
    </row>
    <row r="582">
      <c r="A582" s="10">
        <f>IF($E582="","",INDEX('Input Transaksi'!$A:$A,$E582))</f>
        <v/>
      </c>
      <c r="B582" s="5">
        <f>IF($E582="","",INDEX('Input Transaksi'!$D:$D,$E582))</f>
        <v/>
      </c>
      <c r="C582">
        <f>IF($E582="","",INDEX('Input Transaksi'!$E:$E,$E582))</f>
        <v/>
      </c>
      <c r="D582" s="5">
        <f>IF($E582="","",INDEX('Input Transaksi'!$F:$F,$E582))</f>
        <v/>
      </c>
      <c r="E582">
        <f>IFERROR(AGGREGATE(15,6,ROW('Input Transaksi'!$B$5:$B$5000)/('Input Transaksi'!$B$5:$B$5000="JCL SESETAN"),ROWS($E$5:E582)),"")</f>
        <v/>
      </c>
      <c r="F582" s="5" t="n"/>
    </row>
    <row r="583">
      <c r="A583" s="10">
        <f>IF($E583="","",INDEX('Input Transaksi'!$A:$A,$E583))</f>
        <v/>
      </c>
      <c r="B583" s="5">
        <f>IF($E583="","",INDEX('Input Transaksi'!$D:$D,$E583))</f>
        <v/>
      </c>
      <c r="C583">
        <f>IF($E583="","",INDEX('Input Transaksi'!$E:$E,$E583))</f>
        <v/>
      </c>
      <c r="D583" s="5">
        <f>IF($E583="","",INDEX('Input Transaksi'!$F:$F,$E583))</f>
        <v/>
      </c>
      <c r="E583">
        <f>IFERROR(AGGREGATE(15,6,ROW('Input Transaksi'!$B$5:$B$5000)/('Input Transaksi'!$B$5:$B$5000="JCL SESETAN"),ROWS($E$5:E583)),"")</f>
        <v/>
      </c>
      <c r="F583" s="5" t="n"/>
    </row>
    <row r="584">
      <c r="A584" s="10">
        <f>IF($E584="","",INDEX('Input Transaksi'!$A:$A,$E584))</f>
        <v/>
      </c>
      <c r="B584" s="5">
        <f>IF($E584="","",INDEX('Input Transaksi'!$D:$D,$E584))</f>
        <v/>
      </c>
      <c r="C584">
        <f>IF($E584="","",INDEX('Input Transaksi'!$E:$E,$E584))</f>
        <v/>
      </c>
      <c r="D584" s="5">
        <f>IF($E584="","",INDEX('Input Transaksi'!$F:$F,$E584))</f>
        <v/>
      </c>
      <c r="E584">
        <f>IFERROR(AGGREGATE(15,6,ROW('Input Transaksi'!$B$5:$B$5000)/('Input Transaksi'!$B$5:$B$5000="JCL SESETAN"),ROWS($E$5:E584)),"")</f>
        <v/>
      </c>
      <c r="F584" s="5" t="n"/>
    </row>
    <row r="585">
      <c r="A585" s="10">
        <f>IF($E585="","",INDEX('Input Transaksi'!$A:$A,$E585))</f>
        <v/>
      </c>
      <c r="B585" s="5">
        <f>IF($E585="","",INDEX('Input Transaksi'!$D:$D,$E585))</f>
        <v/>
      </c>
      <c r="C585">
        <f>IF($E585="","",INDEX('Input Transaksi'!$E:$E,$E585))</f>
        <v/>
      </c>
      <c r="D585" s="5">
        <f>IF($E585="","",INDEX('Input Transaksi'!$F:$F,$E585))</f>
        <v/>
      </c>
      <c r="E585">
        <f>IFERROR(AGGREGATE(15,6,ROW('Input Transaksi'!$B$5:$B$5000)/('Input Transaksi'!$B$5:$B$5000="JCL SESETAN"),ROWS($E$5:E585)),"")</f>
        <v/>
      </c>
      <c r="F585" s="5" t="n"/>
    </row>
    <row r="586">
      <c r="A586" s="10">
        <f>IF($E586="","",INDEX('Input Transaksi'!$A:$A,$E586))</f>
        <v/>
      </c>
      <c r="B586" s="5">
        <f>IF($E586="","",INDEX('Input Transaksi'!$D:$D,$E586))</f>
        <v/>
      </c>
      <c r="C586">
        <f>IF($E586="","",INDEX('Input Transaksi'!$E:$E,$E586))</f>
        <v/>
      </c>
      <c r="D586" s="5">
        <f>IF($E586="","",INDEX('Input Transaksi'!$F:$F,$E586))</f>
        <v/>
      </c>
      <c r="E586">
        <f>IFERROR(AGGREGATE(15,6,ROW('Input Transaksi'!$B$5:$B$5000)/('Input Transaksi'!$B$5:$B$5000="JCL SESETAN"),ROWS($E$5:E586)),"")</f>
        <v/>
      </c>
      <c r="F586" s="5" t="n"/>
    </row>
    <row r="587">
      <c r="A587" s="10">
        <f>IF($E587="","",INDEX('Input Transaksi'!$A:$A,$E587))</f>
        <v/>
      </c>
      <c r="B587" s="5">
        <f>IF($E587="","",INDEX('Input Transaksi'!$D:$D,$E587))</f>
        <v/>
      </c>
      <c r="C587">
        <f>IF($E587="","",INDEX('Input Transaksi'!$E:$E,$E587))</f>
        <v/>
      </c>
      <c r="D587" s="5">
        <f>IF($E587="","",INDEX('Input Transaksi'!$F:$F,$E587))</f>
        <v/>
      </c>
      <c r="E587">
        <f>IFERROR(AGGREGATE(15,6,ROW('Input Transaksi'!$B$5:$B$5000)/('Input Transaksi'!$B$5:$B$5000="JCL SESETAN"),ROWS($E$5:E587)),"")</f>
        <v/>
      </c>
      <c r="F587" s="5" t="n"/>
    </row>
    <row r="588">
      <c r="A588" s="10">
        <f>IF($E588="","",INDEX('Input Transaksi'!$A:$A,$E588))</f>
        <v/>
      </c>
      <c r="B588" s="5">
        <f>IF($E588="","",INDEX('Input Transaksi'!$D:$D,$E588))</f>
        <v/>
      </c>
      <c r="C588">
        <f>IF($E588="","",INDEX('Input Transaksi'!$E:$E,$E588))</f>
        <v/>
      </c>
      <c r="D588" s="5">
        <f>IF($E588="","",INDEX('Input Transaksi'!$F:$F,$E588))</f>
        <v/>
      </c>
      <c r="E588">
        <f>IFERROR(AGGREGATE(15,6,ROW('Input Transaksi'!$B$5:$B$5000)/('Input Transaksi'!$B$5:$B$5000="JCL SESETAN"),ROWS($E$5:E588)),"")</f>
        <v/>
      </c>
      <c r="F588" s="5" t="n"/>
    </row>
    <row r="589">
      <c r="A589" s="10">
        <f>IF($E589="","",INDEX('Input Transaksi'!$A:$A,$E589))</f>
        <v/>
      </c>
      <c r="B589" s="5">
        <f>IF($E589="","",INDEX('Input Transaksi'!$D:$D,$E589))</f>
        <v/>
      </c>
      <c r="C589">
        <f>IF($E589="","",INDEX('Input Transaksi'!$E:$E,$E589))</f>
        <v/>
      </c>
      <c r="D589" s="5">
        <f>IF($E589="","",INDEX('Input Transaksi'!$F:$F,$E589))</f>
        <v/>
      </c>
      <c r="E589">
        <f>IFERROR(AGGREGATE(15,6,ROW('Input Transaksi'!$B$5:$B$5000)/('Input Transaksi'!$B$5:$B$5000="JCL SESETAN"),ROWS($E$5:E589)),"")</f>
        <v/>
      </c>
      <c r="F589" s="5" t="n"/>
    </row>
    <row r="590">
      <c r="A590" s="10">
        <f>IF($E590="","",INDEX('Input Transaksi'!$A:$A,$E590))</f>
        <v/>
      </c>
      <c r="B590" s="5">
        <f>IF($E590="","",INDEX('Input Transaksi'!$D:$D,$E590))</f>
        <v/>
      </c>
      <c r="C590">
        <f>IF($E590="","",INDEX('Input Transaksi'!$E:$E,$E590))</f>
        <v/>
      </c>
      <c r="D590" s="5">
        <f>IF($E590="","",INDEX('Input Transaksi'!$F:$F,$E590))</f>
        <v/>
      </c>
      <c r="E590">
        <f>IFERROR(AGGREGATE(15,6,ROW('Input Transaksi'!$B$5:$B$5000)/('Input Transaksi'!$B$5:$B$5000="JCL SESETAN"),ROWS($E$5:E590)),"")</f>
        <v/>
      </c>
      <c r="F590" s="5" t="n"/>
    </row>
    <row r="591">
      <c r="A591" s="10">
        <f>IF($E591="","",INDEX('Input Transaksi'!$A:$A,$E591))</f>
        <v/>
      </c>
      <c r="B591" s="5">
        <f>IF($E591="","",INDEX('Input Transaksi'!$D:$D,$E591))</f>
        <v/>
      </c>
      <c r="C591">
        <f>IF($E591="","",INDEX('Input Transaksi'!$E:$E,$E591))</f>
        <v/>
      </c>
      <c r="D591" s="5">
        <f>IF($E591="","",INDEX('Input Transaksi'!$F:$F,$E591))</f>
        <v/>
      </c>
      <c r="E591">
        <f>IFERROR(AGGREGATE(15,6,ROW('Input Transaksi'!$B$5:$B$5000)/('Input Transaksi'!$B$5:$B$5000="JCL SESETAN"),ROWS($E$5:E591)),"")</f>
        <v/>
      </c>
      <c r="F591" s="5" t="n"/>
    </row>
    <row r="592">
      <c r="A592" s="10">
        <f>IF($E592="","",INDEX('Input Transaksi'!$A:$A,$E592))</f>
        <v/>
      </c>
      <c r="B592" s="5">
        <f>IF($E592="","",INDEX('Input Transaksi'!$D:$D,$E592))</f>
        <v/>
      </c>
      <c r="C592">
        <f>IF($E592="","",INDEX('Input Transaksi'!$E:$E,$E592))</f>
        <v/>
      </c>
      <c r="D592" s="5">
        <f>IF($E592="","",INDEX('Input Transaksi'!$F:$F,$E592))</f>
        <v/>
      </c>
      <c r="E592">
        <f>IFERROR(AGGREGATE(15,6,ROW('Input Transaksi'!$B$5:$B$5000)/('Input Transaksi'!$B$5:$B$5000="JCL SESETAN"),ROWS($E$5:E592)),"")</f>
        <v/>
      </c>
      <c r="F592" s="5" t="n"/>
    </row>
    <row r="593">
      <c r="A593" s="10">
        <f>IF($E593="","",INDEX('Input Transaksi'!$A:$A,$E593))</f>
        <v/>
      </c>
      <c r="B593" s="5">
        <f>IF($E593="","",INDEX('Input Transaksi'!$D:$D,$E593))</f>
        <v/>
      </c>
      <c r="C593">
        <f>IF($E593="","",INDEX('Input Transaksi'!$E:$E,$E593))</f>
        <v/>
      </c>
      <c r="D593" s="5">
        <f>IF($E593="","",INDEX('Input Transaksi'!$F:$F,$E593))</f>
        <v/>
      </c>
      <c r="E593">
        <f>IFERROR(AGGREGATE(15,6,ROW('Input Transaksi'!$B$5:$B$5000)/('Input Transaksi'!$B$5:$B$5000="JCL SESETAN"),ROWS($E$5:E593)),"")</f>
        <v/>
      </c>
      <c r="F593" s="5" t="n"/>
    </row>
    <row r="594">
      <c r="A594" s="10">
        <f>IF($E594="","",INDEX('Input Transaksi'!$A:$A,$E594))</f>
        <v/>
      </c>
      <c r="B594" s="5">
        <f>IF($E594="","",INDEX('Input Transaksi'!$D:$D,$E594))</f>
        <v/>
      </c>
      <c r="C594">
        <f>IF($E594="","",INDEX('Input Transaksi'!$E:$E,$E594))</f>
        <v/>
      </c>
      <c r="D594" s="5">
        <f>IF($E594="","",INDEX('Input Transaksi'!$F:$F,$E594))</f>
        <v/>
      </c>
      <c r="E594">
        <f>IFERROR(AGGREGATE(15,6,ROW('Input Transaksi'!$B$5:$B$5000)/('Input Transaksi'!$B$5:$B$5000="JCL SESETAN"),ROWS($E$5:E594)),"")</f>
        <v/>
      </c>
      <c r="F594" s="5" t="n"/>
    </row>
    <row r="595">
      <c r="A595" s="10">
        <f>IF($E595="","",INDEX('Input Transaksi'!$A:$A,$E595))</f>
        <v/>
      </c>
      <c r="B595" s="5">
        <f>IF($E595="","",INDEX('Input Transaksi'!$D:$D,$E595))</f>
        <v/>
      </c>
      <c r="C595">
        <f>IF($E595="","",INDEX('Input Transaksi'!$E:$E,$E595))</f>
        <v/>
      </c>
      <c r="D595" s="5">
        <f>IF($E595="","",INDEX('Input Transaksi'!$F:$F,$E595))</f>
        <v/>
      </c>
      <c r="E595">
        <f>IFERROR(AGGREGATE(15,6,ROW('Input Transaksi'!$B$5:$B$5000)/('Input Transaksi'!$B$5:$B$5000="JCL SESETAN"),ROWS($E$5:E595)),"")</f>
        <v/>
      </c>
      <c r="F595" s="5" t="n"/>
    </row>
    <row r="596">
      <c r="A596" s="10">
        <f>IF($E596="","",INDEX('Input Transaksi'!$A:$A,$E596))</f>
        <v/>
      </c>
      <c r="B596" s="5">
        <f>IF($E596="","",INDEX('Input Transaksi'!$D:$D,$E596))</f>
        <v/>
      </c>
      <c r="C596">
        <f>IF($E596="","",INDEX('Input Transaksi'!$E:$E,$E596))</f>
        <v/>
      </c>
      <c r="D596" s="5">
        <f>IF($E596="","",INDEX('Input Transaksi'!$F:$F,$E596))</f>
        <v/>
      </c>
      <c r="E596">
        <f>IFERROR(AGGREGATE(15,6,ROW('Input Transaksi'!$B$5:$B$5000)/('Input Transaksi'!$B$5:$B$5000="JCL SESETAN"),ROWS($E$5:E596)),"")</f>
        <v/>
      </c>
      <c r="F596" s="5" t="n"/>
    </row>
    <row r="597">
      <c r="A597" s="10">
        <f>IF($E597="","",INDEX('Input Transaksi'!$A:$A,$E597))</f>
        <v/>
      </c>
      <c r="B597" s="5">
        <f>IF($E597="","",INDEX('Input Transaksi'!$D:$D,$E597))</f>
        <v/>
      </c>
      <c r="C597">
        <f>IF($E597="","",INDEX('Input Transaksi'!$E:$E,$E597))</f>
        <v/>
      </c>
      <c r="D597" s="5">
        <f>IF($E597="","",INDEX('Input Transaksi'!$F:$F,$E597))</f>
        <v/>
      </c>
      <c r="E597">
        <f>IFERROR(AGGREGATE(15,6,ROW('Input Transaksi'!$B$5:$B$5000)/('Input Transaksi'!$B$5:$B$5000="JCL SESETAN"),ROWS($E$5:E597)),"")</f>
        <v/>
      </c>
      <c r="F597" s="5" t="n"/>
    </row>
    <row r="598">
      <c r="A598" s="10">
        <f>IF($E598="","",INDEX('Input Transaksi'!$A:$A,$E598))</f>
        <v/>
      </c>
      <c r="B598" s="5">
        <f>IF($E598="","",INDEX('Input Transaksi'!$D:$D,$E598))</f>
        <v/>
      </c>
      <c r="C598">
        <f>IF($E598="","",INDEX('Input Transaksi'!$E:$E,$E598))</f>
        <v/>
      </c>
      <c r="D598" s="5">
        <f>IF($E598="","",INDEX('Input Transaksi'!$F:$F,$E598))</f>
        <v/>
      </c>
      <c r="E598">
        <f>IFERROR(AGGREGATE(15,6,ROW('Input Transaksi'!$B$5:$B$5000)/('Input Transaksi'!$B$5:$B$5000="JCL SESETAN"),ROWS($E$5:E598)),"")</f>
        <v/>
      </c>
      <c r="F598" s="5" t="n"/>
    </row>
    <row r="599">
      <c r="A599" s="10">
        <f>IF($E599="","",INDEX('Input Transaksi'!$A:$A,$E599))</f>
        <v/>
      </c>
      <c r="B599" s="5">
        <f>IF($E599="","",INDEX('Input Transaksi'!$D:$D,$E599))</f>
        <v/>
      </c>
      <c r="C599">
        <f>IF($E599="","",INDEX('Input Transaksi'!$E:$E,$E599))</f>
        <v/>
      </c>
      <c r="D599" s="5">
        <f>IF($E599="","",INDEX('Input Transaksi'!$F:$F,$E599))</f>
        <v/>
      </c>
      <c r="E599">
        <f>IFERROR(AGGREGATE(15,6,ROW('Input Transaksi'!$B$5:$B$5000)/('Input Transaksi'!$B$5:$B$5000="JCL SESETAN"),ROWS($E$5:E599)),"")</f>
        <v/>
      </c>
      <c r="F599" s="5" t="n"/>
    </row>
    <row r="600">
      <c r="A600" s="10">
        <f>IF($E600="","",INDEX('Input Transaksi'!$A:$A,$E600))</f>
        <v/>
      </c>
      <c r="B600" s="5">
        <f>IF($E600="","",INDEX('Input Transaksi'!$D:$D,$E600))</f>
        <v/>
      </c>
      <c r="C600">
        <f>IF($E600="","",INDEX('Input Transaksi'!$E:$E,$E600))</f>
        <v/>
      </c>
      <c r="D600" s="5">
        <f>IF($E600="","",INDEX('Input Transaksi'!$F:$F,$E600))</f>
        <v/>
      </c>
      <c r="E600">
        <f>IFERROR(AGGREGATE(15,6,ROW('Input Transaksi'!$B$5:$B$5000)/('Input Transaksi'!$B$5:$B$5000="JCL SESETAN"),ROWS($E$5:E600)),"")</f>
        <v/>
      </c>
      <c r="F600" s="5" t="n"/>
    </row>
    <row r="601">
      <c r="A601" s="10">
        <f>IF($E601="","",INDEX('Input Transaksi'!$A:$A,$E601))</f>
        <v/>
      </c>
      <c r="B601" s="5">
        <f>IF($E601="","",INDEX('Input Transaksi'!$D:$D,$E601))</f>
        <v/>
      </c>
      <c r="C601">
        <f>IF($E601="","",INDEX('Input Transaksi'!$E:$E,$E601))</f>
        <v/>
      </c>
      <c r="D601" s="5">
        <f>IF($E601="","",INDEX('Input Transaksi'!$F:$F,$E601))</f>
        <v/>
      </c>
      <c r="E601">
        <f>IFERROR(AGGREGATE(15,6,ROW('Input Transaksi'!$B$5:$B$5000)/('Input Transaksi'!$B$5:$B$5000="JCL SESETAN"),ROWS($E$5:E601)),"")</f>
        <v/>
      </c>
      <c r="F601" s="5" t="n"/>
    </row>
    <row r="602">
      <c r="A602" s="10">
        <f>IF($E602="","",INDEX('Input Transaksi'!$A:$A,$E602))</f>
        <v/>
      </c>
      <c r="B602" s="5">
        <f>IF($E602="","",INDEX('Input Transaksi'!$D:$D,$E602))</f>
        <v/>
      </c>
      <c r="C602">
        <f>IF($E602="","",INDEX('Input Transaksi'!$E:$E,$E602))</f>
        <v/>
      </c>
      <c r="D602" s="5">
        <f>IF($E602="","",INDEX('Input Transaksi'!$F:$F,$E602))</f>
        <v/>
      </c>
      <c r="E602">
        <f>IFERROR(AGGREGATE(15,6,ROW('Input Transaksi'!$B$5:$B$5000)/('Input Transaksi'!$B$5:$B$5000="JCL SESETAN"),ROWS($E$5:E602)),"")</f>
        <v/>
      </c>
      <c r="F602" s="5" t="n"/>
    </row>
    <row r="603">
      <c r="A603" s="10">
        <f>IF($E603="","",INDEX('Input Transaksi'!$A:$A,$E603))</f>
        <v/>
      </c>
      <c r="B603" s="5">
        <f>IF($E603="","",INDEX('Input Transaksi'!$D:$D,$E603))</f>
        <v/>
      </c>
      <c r="C603">
        <f>IF($E603="","",INDEX('Input Transaksi'!$E:$E,$E603))</f>
        <v/>
      </c>
      <c r="D603" s="5">
        <f>IF($E603="","",INDEX('Input Transaksi'!$F:$F,$E603))</f>
        <v/>
      </c>
      <c r="E603">
        <f>IFERROR(AGGREGATE(15,6,ROW('Input Transaksi'!$B$5:$B$5000)/('Input Transaksi'!$B$5:$B$5000="JCL SESETAN"),ROWS($E$5:E603)),"")</f>
        <v/>
      </c>
      <c r="F603" s="5" t="n"/>
    </row>
    <row r="604">
      <c r="A604" s="10">
        <f>IF($E604="","",INDEX('Input Transaksi'!$A:$A,$E604))</f>
        <v/>
      </c>
      <c r="B604" s="5">
        <f>IF($E604="","",INDEX('Input Transaksi'!$D:$D,$E604))</f>
        <v/>
      </c>
      <c r="C604">
        <f>IF($E604="","",INDEX('Input Transaksi'!$E:$E,$E604))</f>
        <v/>
      </c>
      <c r="D604" s="5">
        <f>IF($E604="","",INDEX('Input Transaksi'!$F:$F,$E604))</f>
        <v/>
      </c>
      <c r="E604">
        <f>IFERROR(AGGREGATE(15,6,ROW('Input Transaksi'!$B$5:$B$5000)/('Input Transaksi'!$B$5:$B$5000="JCL SESETAN"),ROWS($E$5:E604)),"")</f>
        <v/>
      </c>
      <c r="F604" s="5" t="n"/>
    </row>
    <row r="605">
      <c r="A605" s="10">
        <f>IF($E605="","",INDEX('Input Transaksi'!$A:$A,$E605))</f>
        <v/>
      </c>
      <c r="B605" s="5">
        <f>IF($E605="","",INDEX('Input Transaksi'!$D:$D,$E605))</f>
        <v/>
      </c>
      <c r="C605">
        <f>IF($E605="","",INDEX('Input Transaksi'!$E:$E,$E605))</f>
        <v/>
      </c>
      <c r="D605" s="5">
        <f>IF($E605="","",INDEX('Input Transaksi'!$F:$F,$E605))</f>
        <v/>
      </c>
      <c r="E605">
        <f>IFERROR(AGGREGATE(15,6,ROW('Input Transaksi'!$B$5:$B$5000)/('Input Transaksi'!$B$5:$B$5000="JCL SESETAN"),ROWS($E$5:E605)),"")</f>
        <v/>
      </c>
      <c r="F605" s="5" t="n"/>
    </row>
    <row r="606">
      <c r="A606" s="10">
        <f>IF($E606="","",INDEX('Input Transaksi'!$A:$A,$E606))</f>
        <v/>
      </c>
      <c r="B606" s="5">
        <f>IF($E606="","",INDEX('Input Transaksi'!$D:$D,$E606))</f>
        <v/>
      </c>
      <c r="C606">
        <f>IF($E606="","",INDEX('Input Transaksi'!$E:$E,$E606))</f>
        <v/>
      </c>
      <c r="D606" s="5">
        <f>IF($E606="","",INDEX('Input Transaksi'!$F:$F,$E606))</f>
        <v/>
      </c>
      <c r="E606">
        <f>IFERROR(AGGREGATE(15,6,ROW('Input Transaksi'!$B$5:$B$5000)/('Input Transaksi'!$B$5:$B$5000="JCL SESETAN"),ROWS($E$5:E606)),"")</f>
        <v/>
      </c>
      <c r="F606" s="5" t="n"/>
    </row>
    <row r="607">
      <c r="A607" s="10">
        <f>IF($E607="","",INDEX('Input Transaksi'!$A:$A,$E607))</f>
        <v/>
      </c>
      <c r="B607" s="5">
        <f>IF($E607="","",INDEX('Input Transaksi'!$D:$D,$E607))</f>
        <v/>
      </c>
      <c r="C607">
        <f>IF($E607="","",INDEX('Input Transaksi'!$E:$E,$E607))</f>
        <v/>
      </c>
      <c r="D607" s="5">
        <f>IF($E607="","",INDEX('Input Transaksi'!$F:$F,$E607))</f>
        <v/>
      </c>
      <c r="E607">
        <f>IFERROR(AGGREGATE(15,6,ROW('Input Transaksi'!$B$5:$B$5000)/('Input Transaksi'!$B$5:$B$5000="JCL SESETAN"),ROWS($E$5:E607)),"")</f>
        <v/>
      </c>
      <c r="F607" s="5" t="n"/>
    </row>
    <row r="608">
      <c r="A608" s="10">
        <f>IF($E608="","",INDEX('Input Transaksi'!$A:$A,$E608))</f>
        <v/>
      </c>
      <c r="B608" s="5">
        <f>IF($E608="","",INDEX('Input Transaksi'!$D:$D,$E608))</f>
        <v/>
      </c>
      <c r="C608">
        <f>IF($E608="","",INDEX('Input Transaksi'!$E:$E,$E608))</f>
        <v/>
      </c>
      <c r="D608" s="5">
        <f>IF($E608="","",INDEX('Input Transaksi'!$F:$F,$E608))</f>
        <v/>
      </c>
      <c r="E608">
        <f>IFERROR(AGGREGATE(15,6,ROW('Input Transaksi'!$B$5:$B$5000)/('Input Transaksi'!$B$5:$B$5000="JCL SESETAN"),ROWS($E$5:E608)),"")</f>
        <v/>
      </c>
      <c r="F608" s="5" t="n"/>
    </row>
    <row r="609">
      <c r="A609" s="10">
        <f>IF($E609="","",INDEX('Input Transaksi'!$A:$A,$E609))</f>
        <v/>
      </c>
      <c r="B609" s="5">
        <f>IF($E609="","",INDEX('Input Transaksi'!$D:$D,$E609))</f>
        <v/>
      </c>
      <c r="C609">
        <f>IF($E609="","",INDEX('Input Transaksi'!$E:$E,$E609))</f>
        <v/>
      </c>
      <c r="D609" s="5">
        <f>IF($E609="","",INDEX('Input Transaksi'!$F:$F,$E609))</f>
        <v/>
      </c>
      <c r="E609">
        <f>IFERROR(AGGREGATE(15,6,ROW('Input Transaksi'!$B$5:$B$5000)/('Input Transaksi'!$B$5:$B$5000="JCL SESETAN"),ROWS($E$5:E609)),"")</f>
        <v/>
      </c>
      <c r="F609" s="5" t="n"/>
    </row>
    <row r="610">
      <c r="A610" s="10">
        <f>IF($E610="","",INDEX('Input Transaksi'!$A:$A,$E610))</f>
        <v/>
      </c>
      <c r="B610" s="5">
        <f>IF($E610="","",INDEX('Input Transaksi'!$D:$D,$E610))</f>
        <v/>
      </c>
      <c r="C610">
        <f>IF($E610="","",INDEX('Input Transaksi'!$E:$E,$E610))</f>
        <v/>
      </c>
      <c r="D610" s="5">
        <f>IF($E610="","",INDEX('Input Transaksi'!$F:$F,$E610))</f>
        <v/>
      </c>
      <c r="E610">
        <f>IFERROR(AGGREGATE(15,6,ROW('Input Transaksi'!$B$5:$B$5000)/('Input Transaksi'!$B$5:$B$5000="JCL SESETAN"),ROWS($E$5:E610)),"")</f>
        <v/>
      </c>
      <c r="F610" s="5" t="n"/>
    </row>
    <row r="611">
      <c r="A611" s="10">
        <f>IF($E611="","",INDEX('Input Transaksi'!$A:$A,$E611))</f>
        <v/>
      </c>
      <c r="B611" s="5">
        <f>IF($E611="","",INDEX('Input Transaksi'!$D:$D,$E611))</f>
        <v/>
      </c>
      <c r="C611">
        <f>IF($E611="","",INDEX('Input Transaksi'!$E:$E,$E611))</f>
        <v/>
      </c>
      <c r="D611" s="5">
        <f>IF($E611="","",INDEX('Input Transaksi'!$F:$F,$E611))</f>
        <v/>
      </c>
      <c r="E611">
        <f>IFERROR(AGGREGATE(15,6,ROW('Input Transaksi'!$B$5:$B$5000)/('Input Transaksi'!$B$5:$B$5000="JCL SESETAN"),ROWS($E$5:E611)),"")</f>
        <v/>
      </c>
      <c r="F611" s="5" t="n"/>
    </row>
    <row r="612">
      <c r="A612" s="10">
        <f>IF($E612="","",INDEX('Input Transaksi'!$A:$A,$E612))</f>
        <v/>
      </c>
      <c r="B612" s="5">
        <f>IF($E612="","",INDEX('Input Transaksi'!$D:$D,$E612))</f>
        <v/>
      </c>
      <c r="C612">
        <f>IF($E612="","",INDEX('Input Transaksi'!$E:$E,$E612))</f>
        <v/>
      </c>
      <c r="D612" s="5">
        <f>IF($E612="","",INDEX('Input Transaksi'!$F:$F,$E612))</f>
        <v/>
      </c>
      <c r="E612">
        <f>IFERROR(AGGREGATE(15,6,ROW('Input Transaksi'!$B$5:$B$5000)/('Input Transaksi'!$B$5:$B$5000="JCL SESETAN"),ROWS($E$5:E612)),"")</f>
        <v/>
      </c>
      <c r="F612" s="5" t="n"/>
    </row>
    <row r="613">
      <c r="A613" s="10">
        <f>IF($E613="","",INDEX('Input Transaksi'!$A:$A,$E613))</f>
        <v/>
      </c>
      <c r="B613" s="5">
        <f>IF($E613="","",INDEX('Input Transaksi'!$D:$D,$E613))</f>
        <v/>
      </c>
      <c r="C613">
        <f>IF($E613="","",INDEX('Input Transaksi'!$E:$E,$E613))</f>
        <v/>
      </c>
      <c r="D613" s="5">
        <f>IF($E613="","",INDEX('Input Transaksi'!$F:$F,$E613))</f>
        <v/>
      </c>
      <c r="E613">
        <f>IFERROR(AGGREGATE(15,6,ROW('Input Transaksi'!$B$5:$B$5000)/('Input Transaksi'!$B$5:$B$5000="JCL SESETAN"),ROWS($E$5:E613)),"")</f>
        <v/>
      </c>
      <c r="F613" s="5" t="n"/>
    </row>
    <row r="614">
      <c r="A614" s="10">
        <f>IF($E614="","",INDEX('Input Transaksi'!$A:$A,$E614))</f>
        <v/>
      </c>
      <c r="B614" s="5">
        <f>IF($E614="","",INDEX('Input Transaksi'!$D:$D,$E614))</f>
        <v/>
      </c>
      <c r="C614">
        <f>IF($E614="","",INDEX('Input Transaksi'!$E:$E,$E614))</f>
        <v/>
      </c>
      <c r="D614" s="5">
        <f>IF($E614="","",INDEX('Input Transaksi'!$F:$F,$E614))</f>
        <v/>
      </c>
      <c r="E614">
        <f>IFERROR(AGGREGATE(15,6,ROW('Input Transaksi'!$B$5:$B$5000)/('Input Transaksi'!$B$5:$B$5000="JCL SESETAN"),ROWS($E$5:E614)),"")</f>
        <v/>
      </c>
      <c r="F614" s="5" t="n"/>
    </row>
    <row r="615">
      <c r="A615" s="10">
        <f>IF($E615="","",INDEX('Input Transaksi'!$A:$A,$E615))</f>
        <v/>
      </c>
      <c r="B615" s="5">
        <f>IF($E615="","",INDEX('Input Transaksi'!$D:$D,$E615))</f>
        <v/>
      </c>
      <c r="C615">
        <f>IF($E615="","",INDEX('Input Transaksi'!$E:$E,$E615))</f>
        <v/>
      </c>
      <c r="D615" s="5">
        <f>IF($E615="","",INDEX('Input Transaksi'!$F:$F,$E615))</f>
        <v/>
      </c>
      <c r="E615">
        <f>IFERROR(AGGREGATE(15,6,ROW('Input Transaksi'!$B$5:$B$5000)/('Input Transaksi'!$B$5:$B$5000="JCL SESETAN"),ROWS($E$5:E615)),"")</f>
        <v/>
      </c>
      <c r="F615" s="5" t="n"/>
    </row>
    <row r="616">
      <c r="A616" s="10">
        <f>IF($E616="","",INDEX('Input Transaksi'!$A:$A,$E616))</f>
        <v/>
      </c>
      <c r="B616" s="5">
        <f>IF($E616="","",INDEX('Input Transaksi'!$D:$D,$E616))</f>
        <v/>
      </c>
      <c r="C616">
        <f>IF($E616="","",INDEX('Input Transaksi'!$E:$E,$E616))</f>
        <v/>
      </c>
      <c r="D616" s="5">
        <f>IF($E616="","",INDEX('Input Transaksi'!$F:$F,$E616))</f>
        <v/>
      </c>
      <c r="E616">
        <f>IFERROR(AGGREGATE(15,6,ROW('Input Transaksi'!$B$5:$B$5000)/('Input Transaksi'!$B$5:$B$5000="JCL SESETAN"),ROWS($E$5:E616)),"")</f>
        <v/>
      </c>
      <c r="F616" s="5" t="n"/>
    </row>
    <row r="617">
      <c r="A617" s="10">
        <f>IF($E617="","",INDEX('Input Transaksi'!$A:$A,$E617))</f>
        <v/>
      </c>
      <c r="B617" s="5">
        <f>IF($E617="","",INDEX('Input Transaksi'!$D:$D,$E617))</f>
        <v/>
      </c>
      <c r="C617">
        <f>IF($E617="","",INDEX('Input Transaksi'!$E:$E,$E617))</f>
        <v/>
      </c>
      <c r="D617" s="5">
        <f>IF($E617="","",INDEX('Input Transaksi'!$F:$F,$E617))</f>
        <v/>
      </c>
      <c r="E617">
        <f>IFERROR(AGGREGATE(15,6,ROW('Input Transaksi'!$B$5:$B$5000)/('Input Transaksi'!$B$5:$B$5000="JCL SESETAN"),ROWS($E$5:E617)),"")</f>
        <v/>
      </c>
      <c r="F617" s="5" t="n"/>
    </row>
    <row r="618">
      <c r="A618" s="10">
        <f>IF($E618="","",INDEX('Input Transaksi'!$A:$A,$E618))</f>
        <v/>
      </c>
      <c r="B618" s="5">
        <f>IF($E618="","",INDEX('Input Transaksi'!$D:$D,$E618))</f>
        <v/>
      </c>
      <c r="C618">
        <f>IF($E618="","",INDEX('Input Transaksi'!$E:$E,$E618))</f>
        <v/>
      </c>
      <c r="D618" s="5">
        <f>IF($E618="","",INDEX('Input Transaksi'!$F:$F,$E618))</f>
        <v/>
      </c>
      <c r="E618">
        <f>IFERROR(AGGREGATE(15,6,ROW('Input Transaksi'!$B$5:$B$5000)/('Input Transaksi'!$B$5:$B$5000="JCL SESETAN"),ROWS($E$5:E618)),"")</f>
        <v/>
      </c>
      <c r="F618" s="5" t="n"/>
    </row>
    <row r="619">
      <c r="A619" s="10">
        <f>IF($E619="","",INDEX('Input Transaksi'!$A:$A,$E619))</f>
        <v/>
      </c>
      <c r="B619" s="5">
        <f>IF($E619="","",INDEX('Input Transaksi'!$D:$D,$E619))</f>
        <v/>
      </c>
      <c r="C619">
        <f>IF($E619="","",INDEX('Input Transaksi'!$E:$E,$E619))</f>
        <v/>
      </c>
      <c r="D619" s="5">
        <f>IF($E619="","",INDEX('Input Transaksi'!$F:$F,$E619))</f>
        <v/>
      </c>
      <c r="E619">
        <f>IFERROR(AGGREGATE(15,6,ROW('Input Transaksi'!$B$5:$B$5000)/('Input Transaksi'!$B$5:$B$5000="JCL SESETAN"),ROWS($E$5:E619)),"")</f>
        <v/>
      </c>
      <c r="F619" s="5" t="n"/>
    </row>
    <row r="620">
      <c r="A620" s="10">
        <f>IF($E620="","",INDEX('Input Transaksi'!$A:$A,$E620))</f>
        <v/>
      </c>
      <c r="B620" s="5">
        <f>IF($E620="","",INDEX('Input Transaksi'!$D:$D,$E620))</f>
        <v/>
      </c>
      <c r="C620">
        <f>IF($E620="","",INDEX('Input Transaksi'!$E:$E,$E620))</f>
        <v/>
      </c>
      <c r="D620" s="5">
        <f>IF($E620="","",INDEX('Input Transaksi'!$F:$F,$E620))</f>
        <v/>
      </c>
      <c r="E620">
        <f>IFERROR(AGGREGATE(15,6,ROW('Input Transaksi'!$B$5:$B$5000)/('Input Transaksi'!$B$5:$B$5000="JCL SESETAN"),ROWS($E$5:E620)),"")</f>
        <v/>
      </c>
      <c r="F620" s="5" t="n"/>
    </row>
    <row r="621">
      <c r="A621" s="10">
        <f>IF($E621="","",INDEX('Input Transaksi'!$A:$A,$E621))</f>
        <v/>
      </c>
      <c r="B621" s="5">
        <f>IF($E621="","",INDEX('Input Transaksi'!$D:$D,$E621))</f>
        <v/>
      </c>
      <c r="C621">
        <f>IF($E621="","",INDEX('Input Transaksi'!$E:$E,$E621))</f>
        <v/>
      </c>
      <c r="D621" s="5">
        <f>IF($E621="","",INDEX('Input Transaksi'!$F:$F,$E621))</f>
        <v/>
      </c>
      <c r="E621">
        <f>IFERROR(AGGREGATE(15,6,ROW('Input Transaksi'!$B$5:$B$5000)/('Input Transaksi'!$B$5:$B$5000="JCL SESETAN"),ROWS($E$5:E621)),"")</f>
        <v/>
      </c>
      <c r="F621" s="5" t="n"/>
    </row>
    <row r="622">
      <c r="A622" s="10">
        <f>IF($E622="","",INDEX('Input Transaksi'!$A:$A,$E622))</f>
        <v/>
      </c>
      <c r="B622" s="5">
        <f>IF($E622="","",INDEX('Input Transaksi'!$D:$D,$E622))</f>
        <v/>
      </c>
      <c r="C622">
        <f>IF($E622="","",INDEX('Input Transaksi'!$E:$E,$E622))</f>
        <v/>
      </c>
      <c r="D622" s="5">
        <f>IF($E622="","",INDEX('Input Transaksi'!$F:$F,$E622))</f>
        <v/>
      </c>
      <c r="E622">
        <f>IFERROR(AGGREGATE(15,6,ROW('Input Transaksi'!$B$5:$B$5000)/('Input Transaksi'!$B$5:$B$5000="JCL SESETAN"),ROWS($E$5:E622)),"")</f>
        <v/>
      </c>
      <c r="F622" s="5" t="n"/>
    </row>
    <row r="623">
      <c r="A623" s="10">
        <f>IF($E623="","",INDEX('Input Transaksi'!$A:$A,$E623))</f>
        <v/>
      </c>
      <c r="B623" s="5">
        <f>IF($E623="","",INDEX('Input Transaksi'!$D:$D,$E623))</f>
        <v/>
      </c>
      <c r="C623">
        <f>IF($E623="","",INDEX('Input Transaksi'!$E:$E,$E623))</f>
        <v/>
      </c>
      <c r="D623" s="5">
        <f>IF($E623="","",INDEX('Input Transaksi'!$F:$F,$E623))</f>
        <v/>
      </c>
      <c r="E623">
        <f>IFERROR(AGGREGATE(15,6,ROW('Input Transaksi'!$B$5:$B$5000)/('Input Transaksi'!$B$5:$B$5000="JCL SESETAN"),ROWS($E$5:E623)),"")</f>
        <v/>
      </c>
      <c r="F623" s="5" t="n"/>
    </row>
    <row r="624">
      <c r="A624" s="10">
        <f>IF($E624="","",INDEX('Input Transaksi'!$A:$A,$E624))</f>
        <v/>
      </c>
      <c r="B624" s="5">
        <f>IF($E624="","",INDEX('Input Transaksi'!$D:$D,$E624))</f>
        <v/>
      </c>
      <c r="C624">
        <f>IF($E624="","",INDEX('Input Transaksi'!$E:$E,$E624))</f>
        <v/>
      </c>
      <c r="D624" s="5">
        <f>IF($E624="","",INDEX('Input Transaksi'!$F:$F,$E624))</f>
        <v/>
      </c>
      <c r="E624">
        <f>IFERROR(AGGREGATE(15,6,ROW('Input Transaksi'!$B$5:$B$5000)/('Input Transaksi'!$B$5:$B$5000="JCL SESETAN"),ROWS($E$5:E624)),"")</f>
        <v/>
      </c>
      <c r="F624" s="5" t="n"/>
    </row>
    <row r="625">
      <c r="A625" s="10">
        <f>IF($E625="","",INDEX('Input Transaksi'!$A:$A,$E625))</f>
        <v/>
      </c>
      <c r="B625" s="5">
        <f>IF($E625="","",INDEX('Input Transaksi'!$D:$D,$E625))</f>
        <v/>
      </c>
      <c r="C625">
        <f>IF($E625="","",INDEX('Input Transaksi'!$E:$E,$E625))</f>
        <v/>
      </c>
      <c r="D625" s="5">
        <f>IF($E625="","",INDEX('Input Transaksi'!$F:$F,$E625))</f>
        <v/>
      </c>
      <c r="E625">
        <f>IFERROR(AGGREGATE(15,6,ROW('Input Transaksi'!$B$5:$B$5000)/('Input Transaksi'!$B$5:$B$5000="JCL SESETAN"),ROWS($E$5:E625)),"")</f>
        <v/>
      </c>
      <c r="F625" s="5" t="n"/>
    </row>
    <row r="626">
      <c r="A626" s="10">
        <f>IF($E626="","",INDEX('Input Transaksi'!$A:$A,$E626))</f>
        <v/>
      </c>
      <c r="B626" s="5">
        <f>IF($E626="","",INDEX('Input Transaksi'!$D:$D,$E626))</f>
        <v/>
      </c>
      <c r="C626">
        <f>IF($E626="","",INDEX('Input Transaksi'!$E:$E,$E626))</f>
        <v/>
      </c>
      <c r="D626" s="5">
        <f>IF($E626="","",INDEX('Input Transaksi'!$F:$F,$E626))</f>
        <v/>
      </c>
      <c r="E626">
        <f>IFERROR(AGGREGATE(15,6,ROW('Input Transaksi'!$B$5:$B$5000)/('Input Transaksi'!$B$5:$B$5000="JCL SESETAN"),ROWS($E$5:E626)),"")</f>
        <v/>
      </c>
      <c r="F626" s="5" t="n"/>
    </row>
    <row r="627">
      <c r="A627" s="10">
        <f>IF($E627="","",INDEX('Input Transaksi'!$A:$A,$E627))</f>
        <v/>
      </c>
      <c r="B627" s="5">
        <f>IF($E627="","",INDEX('Input Transaksi'!$D:$D,$E627))</f>
        <v/>
      </c>
      <c r="C627">
        <f>IF($E627="","",INDEX('Input Transaksi'!$E:$E,$E627))</f>
        <v/>
      </c>
      <c r="D627" s="5">
        <f>IF($E627="","",INDEX('Input Transaksi'!$F:$F,$E627))</f>
        <v/>
      </c>
      <c r="E627">
        <f>IFERROR(AGGREGATE(15,6,ROW('Input Transaksi'!$B$5:$B$5000)/('Input Transaksi'!$B$5:$B$5000="JCL SESETAN"),ROWS($E$5:E627)),"")</f>
        <v/>
      </c>
      <c r="F627" s="5" t="n"/>
    </row>
    <row r="628">
      <c r="A628" s="10">
        <f>IF($E628="","",INDEX('Input Transaksi'!$A:$A,$E628))</f>
        <v/>
      </c>
      <c r="B628" s="5">
        <f>IF($E628="","",INDEX('Input Transaksi'!$D:$D,$E628))</f>
        <v/>
      </c>
      <c r="C628">
        <f>IF($E628="","",INDEX('Input Transaksi'!$E:$E,$E628))</f>
        <v/>
      </c>
      <c r="D628" s="5">
        <f>IF($E628="","",INDEX('Input Transaksi'!$F:$F,$E628))</f>
        <v/>
      </c>
      <c r="E628">
        <f>IFERROR(AGGREGATE(15,6,ROW('Input Transaksi'!$B$5:$B$5000)/('Input Transaksi'!$B$5:$B$5000="JCL SESETAN"),ROWS($E$5:E628)),"")</f>
        <v/>
      </c>
      <c r="F628" s="5" t="n"/>
    </row>
    <row r="629">
      <c r="A629" s="10">
        <f>IF($E629="","",INDEX('Input Transaksi'!$A:$A,$E629))</f>
        <v/>
      </c>
      <c r="B629" s="5">
        <f>IF($E629="","",INDEX('Input Transaksi'!$D:$D,$E629))</f>
        <v/>
      </c>
      <c r="C629">
        <f>IF($E629="","",INDEX('Input Transaksi'!$E:$E,$E629))</f>
        <v/>
      </c>
      <c r="D629" s="5">
        <f>IF($E629="","",INDEX('Input Transaksi'!$F:$F,$E629))</f>
        <v/>
      </c>
      <c r="E629">
        <f>IFERROR(AGGREGATE(15,6,ROW('Input Transaksi'!$B$5:$B$5000)/('Input Transaksi'!$B$5:$B$5000="JCL SESETAN"),ROWS($E$5:E629)),"")</f>
        <v/>
      </c>
      <c r="F629" s="5" t="n"/>
    </row>
    <row r="630">
      <c r="A630" s="10">
        <f>IF($E630="","",INDEX('Input Transaksi'!$A:$A,$E630))</f>
        <v/>
      </c>
      <c r="B630" s="5">
        <f>IF($E630="","",INDEX('Input Transaksi'!$D:$D,$E630))</f>
        <v/>
      </c>
      <c r="C630">
        <f>IF($E630="","",INDEX('Input Transaksi'!$E:$E,$E630))</f>
        <v/>
      </c>
      <c r="D630" s="5">
        <f>IF($E630="","",INDEX('Input Transaksi'!$F:$F,$E630))</f>
        <v/>
      </c>
      <c r="E630">
        <f>IFERROR(AGGREGATE(15,6,ROW('Input Transaksi'!$B$5:$B$5000)/('Input Transaksi'!$B$5:$B$5000="JCL SESETAN"),ROWS($E$5:E630)),"")</f>
        <v/>
      </c>
      <c r="F630" s="5" t="n"/>
    </row>
    <row r="631">
      <c r="A631" s="10">
        <f>IF($E631="","",INDEX('Input Transaksi'!$A:$A,$E631))</f>
        <v/>
      </c>
      <c r="B631" s="5">
        <f>IF($E631="","",INDEX('Input Transaksi'!$D:$D,$E631))</f>
        <v/>
      </c>
      <c r="C631">
        <f>IF($E631="","",INDEX('Input Transaksi'!$E:$E,$E631))</f>
        <v/>
      </c>
      <c r="D631" s="5">
        <f>IF($E631="","",INDEX('Input Transaksi'!$F:$F,$E631))</f>
        <v/>
      </c>
      <c r="E631">
        <f>IFERROR(AGGREGATE(15,6,ROW('Input Transaksi'!$B$5:$B$5000)/('Input Transaksi'!$B$5:$B$5000="JCL SESETAN"),ROWS($E$5:E631)),"")</f>
        <v/>
      </c>
      <c r="F631" s="5" t="n"/>
    </row>
    <row r="632">
      <c r="A632" s="10">
        <f>IF($E632="","",INDEX('Input Transaksi'!$A:$A,$E632))</f>
        <v/>
      </c>
      <c r="B632" s="5">
        <f>IF($E632="","",INDEX('Input Transaksi'!$D:$D,$E632))</f>
        <v/>
      </c>
      <c r="C632">
        <f>IF($E632="","",INDEX('Input Transaksi'!$E:$E,$E632))</f>
        <v/>
      </c>
      <c r="D632" s="5">
        <f>IF($E632="","",INDEX('Input Transaksi'!$F:$F,$E632))</f>
        <v/>
      </c>
      <c r="E632">
        <f>IFERROR(AGGREGATE(15,6,ROW('Input Transaksi'!$B$5:$B$5000)/('Input Transaksi'!$B$5:$B$5000="JCL SESETAN"),ROWS($E$5:E632)),"")</f>
        <v/>
      </c>
      <c r="F632" s="5" t="n"/>
    </row>
    <row r="633">
      <c r="A633" s="10">
        <f>IF($E633="","",INDEX('Input Transaksi'!$A:$A,$E633))</f>
        <v/>
      </c>
      <c r="B633" s="5">
        <f>IF($E633="","",INDEX('Input Transaksi'!$D:$D,$E633))</f>
        <v/>
      </c>
      <c r="C633">
        <f>IF($E633="","",INDEX('Input Transaksi'!$E:$E,$E633))</f>
        <v/>
      </c>
      <c r="D633" s="5">
        <f>IF($E633="","",INDEX('Input Transaksi'!$F:$F,$E633))</f>
        <v/>
      </c>
      <c r="E633">
        <f>IFERROR(AGGREGATE(15,6,ROW('Input Transaksi'!$B$5:$B$5000)/('Input Transaksi'!$B$5:$B$5000="JCL SESETAN"),ROWS($E$5:E633)),"")</f>
        <v/>
      </c>
      <c r="F633" s="5" t="n"/>
    </row>
    <row r="634">
      <c r="A634" s="10">
        <f>IF($E634="","",INDEX('Input Transaksi'!$A:$A,$E634))</f>
        <v/>
      </c>
      <c r="B634" s="5">
        <f>IF($E634="","",INDEX('Input Transaksi'!$D:$D,$E634))</f>
        <v/>
      </c>
      <c r="C634">
        <f>IF($E634="","",INDEX('Input Transaksi'!$E:$E,$E634))</f>
        <v/>
      </c>
      <c r="D634" s="5">
        <f>IF($E634="","",INDEX('Input Transaksi'!$F:$F,$E634))</f>
        <v/>
      </c>
      <c r="E634">
        <f>IFERROR(AGGREGATE(15,6,ROW('Input Transaksi'!$B$5:$B$5000)/('Input Transaksi'!$B$5:$B$5000="JCL SESETAN"),ROWS($E$5:E634)),"")</f>
        <v/>
      </c>
      <c r="F634" s="5" t="n"/>
    </row>
    <row r="635">
      <c r="A635" s="10">
        <f>IF($E635="","",INDEX('Input Transaksi'!$A:$A,$E635))</f>
        <v/>
      </c>
      <c r="B635" s="5">
        <f>IF($E635="","",INDEX('Input Transaksi'!$D:$D,$E635))</f>
        <v/>
      </c>
      <c r="C635">
        <f>IF($E635="","",INDEX('Input Transaksi'!$E:$E,$E635))</f>
        <v/>
      </c>
      <c r="D635" s="5">
        <f>IF($E635="","",INDEX('Input Transaksi'!$F:$F,$E635))</f>
        <v/>
      </c>
      <c r="E635">
        <f>IFERROR(AGGREGATE(15,6,ROW('Input Transaksi'!$B$5:$B$5000)/('Input Transaksi'!$B$5:$B$5000="JCL SESETAN"),ROWS($E$5:E635)),"")</f>
        <v/>
      </c>
      <c r="F635" s="5" t="n"/>
    </row>
    <row r="636">
      <c r="A636" s="10">
        <f>IF($E636="","",INDEX('Input Transaksi'!$A:$A,$E636))</f>
        <v/>
      </c>
      <c r="B636" s="5">
        <f>IF($E636="","",INDEX('Input Transaksi'!$D:$D,$E636))</f>
        <v/>
      </c>
      <c r="C636">
        <f>IF($E636="","",INDEX('Input Transaksi'!$E:$E,$E636))</f>
        <v/>
      </c>
      <c r="D636" s="5">
        <f>IF($E636="","",INDEX('Input Transaksi'!$F:$F,$E636))</f>
        <v/>
      </c>
      <c r="E636">
        <f>IFERROR(AGGREGATE(15,6,ROW('Input Transaksi'!$B$5:$B$5000)/('Input Transaksi'!$B$5:$B$5000="JCL SESETAN"),ROWS($E$5:E636)),"")</f>
        <v/>
      </c>
      <c r="F636" s="5" t="n"/>
    </row>
    <row r="637">
      <c r="A637" s="10">
        <f>IF($E637="","",INDEX('Input Transaksi'!$A:$A,$E637))</f>
        <v/>
      </c>
      <c r="B637" s="5">
        <f>IF($E637="","",INDEX('Input Transaksi'!$D:$D,$E637))</f>
        <v/>
      </c>
      <c r="C637">
        <f>IF($E637="","",INDEX('Input Transaksi'!$E:$E,$E637))</f>
        <v/>
      </c>
      <c r="D637" s="5">
        <f>IF($E637="","",INDEX('Input Transaksi'!$F:$F,$E637))</f>
        <v/>
      </c>
      <c r="E637">
        <f>IFERROR(AGGREGATE(15,6,ROW('Input Transaksi'!$B$5:$B$5000)/('Input Transaksi'!$B$5:$B$5000="JCL SESETAN"),ROWS($E$5:E637)),"")</f>
        <v/>
      </c>
      <c r="F637" s="5" t="n"/>
    </row>
    <row r="638">
      <c r="A638" s="10">
        <f>IF($E638="","",INDEX('Input Transaksi'!$A:$A,$E638))</f>
        <v/>
      </c>
      <c r="B638" s="5">
        <f>IF($E638="","",INDEX('Input Transaksi'!$D:$D,$E638))</f>
        <v/>
      </c>
      <c r="C638">
        <f>IF($E638="","",INDEX('Input Transaksi'!$E:$E,$E638))</f>
        <v/>
      </c>
      <c r="D638" s="5">
        <f>IF($E638="","",INDEX('Input Transaksi'!$F:$F,$E638))</f>
        <v/>
      </c>
      <c r="E638">
        <f>IFERROR(AGGREGATE(15,6,ROW('Input Transaksi'!$B$5:$B$5000)/('Input Transaksi'!$B$5:$B$5000="JCL SESETAN"),ROWS($E$5:E638)),"")</f>
        <v/>
      </c>
      <c r="F638" s="5" t="n"/>
    </row>
    <row r="639">
      <c r="A639" s="10">
        <f>IF($E639="","",INDEX('Input Transaksi'!$A:$A,$E639))</f>
        <v/>
      </c>
      <c r="B639" s="5">
        <f>IF($E639="","",INDEX('Input Transaksi'!$D:$D,$E639))</f>
        <v/>
      </c>
      <c r="C639">
        <f>IF($E639="","",INDEX('Input Transaksi'!$E:$E,$E639))</f>
        <v/>
      </c>
      <c r="D639" s="5">
        <f>IF($E639="","",INDEX('Input Transaksi'!$F:$F,$E639))</f>
        <v/>
      </c>
      <c r="E639">
        <f>IFERROR(AGGREGATE(15,6,ROW('Input Transaksi'!$B$5:$B$5000)/('Input Transaksi'!$B$5:$B$5000="JCL SESETAN"),ROWS($E$5:E639)),"")</f>
        <v/>
      </c>
      <c r="F639" s="5" t="n"/>
    </row>
    <row r="640">
      <c r="A640" s="10">
        <f>IF($E640="","",INDEX('Input Transaksi'!$A:$A,$E640))</f>
        <v/>
      </c>
      <c r="B640" s="5">
        <f>IF($E640="","",INDEX('Input Transaksi'!$D:$D,$E640))</f>
        <v/>
      </c>
      <c r="C640">
        <f>IF($E640="","",INDEX('Input Transaksi'!$E:$E,$E640))</f>
        <v/>
      </c>
      <c r="D640" s="5">
        <f>IF($E640="","",INDEX('Input Transaksi'!$F:$F,$E640))</f>
        <v/>
      </c>
      <c r="E640">
        <f>IFERROR(AGGREGATE(15,6,ROW('Input Transaksi'!$B$5:$B$5000)/('Input Transaksi'!$B$5:$B$5000="JCL SESETAN"),ROWS($E$5:E640)),"")</f>
        <v/>
      </c>
      <c r="F640" s="5" t="n"/>
    </row>
    <row r="641">
      <c r="A641" s="10">
        <f>IF($E641="","",INDEX('Input Transaksi'!$A:$A,$E641))</f>
        <v/>
      </c>
      <c r="B641" s="5">
        <f>IF($E641="","",INDEX('Input Transaksi'!$D:$D,$E641))</f>
        <v/>
      </c>
      <c r="C641">
        <f>IF($E641="","",INDEX('Input Transaksi'!$E:$E,$E641))</f>
        <v/>
      </c>
      <c r="D641" s="5">
        <f>IF($E641="","",INDEX('Input Transaksi'!$F:$F,$E641))</f>
        <v/>
      </c>
      <c r="E641">
        <f>IFERROR(AGGREGATE(15,6,ROW('Input Transaksi'!$B$5:$B$5000)/('Input Transaksi'!$B$5:$B$5000="JCL SESETAN"),ROWS($E$5:E641)),"")</f>
        <v/>
      </c>
      <c r="F641" s="5" t="n"/>
    </row>
    <row r="642">
      <c r="A642" s="10">
        <f>IF($E642="","",INDEX('Input Transaksi'!$A:$A,$E642))</f>
        <v/>
      </c>
      <c r="B642" s="5">
        <f>IF($E642="","",INDEX('Input Transaksi'!$D:$D,$E642))</f>
        <v/>
      </c>
      <c r="C642">
        <f>IF($E642="","",INDEX('Input Transaksi'!$E:$E,$E642))</f>
        <v/>
      </c>
      <c r="D642" s="5">
        <f>IF($E642="","",INDEX('Input Transaksi'!$F:$F,$E642))</f>
        <v/>
      </c>
      <c r="E642">
        <f>IFERROR(AGGREGATE(15,6,ROW('Input Transaksi'!$B$5:$B$5000)/('Input Transaksi'!$B$5:$B$5000="JCL SESETAN"),ROWS($E$5:E642)),"")</f>
        <v/>
      </c>
      <c r="F642" s="5" t="n"/>
    </row>
    <row r="643">
      <c r="A643" s="10">
        <f>IF($E643="","",INDEX('Input Transaksi'!$A:$A,$E643))</f>
        <v/>
      </c>
      <c r="B643" s="5">
        <f>IF($E643="","",INDEX('Input Transaksi'!$D:$D,$E643))</f>
        <v/>
      </c>
      <c r="C643">
        <f>IF($E643="","",INDEX('Input Transaksi'!$E:$E,$E643))</f>
        <v/>
      </c>
      <c r="D643" s="5">
        <f>IF($E643="","",INDEX('Input Transaksi'!$F:$F,$E643))</f>
        <v/>
      </c>
      <c r="E643">
        <f>IFERROR(AGGREGATE(15,6,ROW('Input Transaksi'!$B$5:$B$5000)/('Input Transaksi'!$B$5:$B$5000="JCL SESETAN"),ROWS($E$5:E643)),"")</f>
        <v/>
      </c>
      <c r="F643" s="5" t="n"/>
    </row>
    <row r="644">
      <c r="A644" s="10">
        <f>IF($E644="","",INDEX('Input Transaksi'!$A:$A,$E644))</f>
        <v/>
      </c>
      <c r="B644" s="5">
        <f>IF($E644="","",INDEX('Input Transaksi'!$D:$D,$E644))</f>
        <v/>
      </c>
      <c r="C644">
        <f>IF($E644="","",INDEX('Input Transaksi'!$E:$E,$E644))</f>
        <v/>
      </c>
      <c r="D644" s="5">
        <f>IF($E644="","",INDEX('Input Transaksi'!$F:$F,$E644))</f>
        <v/>
      </c>
      <c r="E644">
        <f>IFERROR(AGGREGATE(15,6,ROW('Input Transaksi'!$B$5:$B$5000)/('Input Transaksi'!$B$5:$B$5000="JCL SESETAN"),ROWS($E$5:E644)),"")</f>
        <v/>
      </c>
      <c r="F644" s="5" t="n"/>
    </row>
    <row r="645">
      <c r="A645" s="10">
        <f>IF($E645="","",INDEX('Input Transaksi'!$A:$A,$E645))</f>
        <v/>
      </c>
      <c r="B645" s="5">
        <f>IF($E645="","",INDEX('Input Transaksi'!$D:$D,$E645))</f>
        <v/>
      </c>
      <c r="C645">
        <f>IF($E645="","",INDEX('Input Transaksi'!$E:$E,$E645))</f>
        <v/>
      </c>
      <c r="D645" s="5">
        <f>IF($E645="","",INDEX('Input Transaksi'!$F:$F,$E645))</f>
        <v/>
      </c>
      <c r="E645">
        <f>IFERROR(AGGREGATE(15,6,ROW('Input Transaksi'!$B$5:$B$5000)/('Input Transaksi'!$B$5:$B$5000="JCL SESETAN"),ROWS($E$5:E645)),"")</f>
        <v/>
      </c>
      <c r="F645" s="5" t="n"/>
    </row>
    <row r="646">
      <c r="A646" s="10">
        <f>IF($E646="","",INDEX('Input Transaksi'!$A:$A,$E646))</f>
        <v/>
      </c>
      <c r="B646" s="5">
        <f>IF($E646="","",INDEX('Input Transaksi'!$D:$D,$E646))</f>
        <v/>
      </c>
      <c r="C646">
        <f>IF($E646="","",INDEX('Input Transaksi'!$E:$E,$E646))</f>
        <v/>
      </c>
      <c r="D646" s="5">
        <f>IF($E646="","",INDEX('Input Transaksi'!$F:$F,$E646))</f>
        <v/>
      </c>
      <c r="E646">
        <f>IFERROR(AGGREGATE(15,6,ROW('Input Transaksi'!$B$5:$B$5000)/('Input Transaksi'!$B$5:$B$5000="JCL SESETAN"),ROWS($E$5:E646)),"")</f>
        <v/>
      </c>
      <c r="F646" s="5" t="n"/>
    </row>
    <row r="647">
      <c r="A647" s="10">
        <f>IF($E647="","",INDEX('Input Transaksi'!$A:$A,$E647))</f>
        <v/>
      </c>
      <c r="B647" s="5">
        <f>IF($E647="","",INDEX('Input Transaksi'!$D:$D,$E647))</f>
        <v/>
      </c>
      <c r="C647">
        <f>IF($E647="","",INDEX('Input Transaksi'!$E:$E,$E647))</f>
        <v/>
      </c>
      <c r="D647" s="5">
        <f>IF($E647="","",INDEX('Input Transaksi'!$F:$F,$E647))</f>
        <v/>
      </c>
      <c r="E647">
        <f>IFERROR(AGGREGATE(15,6,ROW('Input Transaksi'!$B$5:$B$5000)/('Input Transaksi'!$B$5:$B$5000="JCL SESETAN"),ROWS($E$5:E647)),"")</f>
        <v/>
      </c>
      <c r="F647" s="5" t="n"/>
    </row>
    <row r="648">
      <c r="A648" s="10">
        <f>IF($E648="","",INDEX('Input Transaksi'!$A:$A,$E648))</f>
        <v/>
      </c>
      <c r="B648" s="5">
        <f>IF($E648="","",INDEX('Input Transaksi'!$D:$D,$E648))</f>
        <v/>
      </c>
      <c r="C648">
        <f>IF($E648="","",INDEX('Input Transaksi'!$E:$E,$E648))</f>
        <v/>
      </c>
      <c r="D648" s="5">
        <f>IF($E648="","",INDEX('Input Transaksi'!$F:$F,$E648))</f>
        <v/>
      </c>
      <c r="E648">
        <f>IFERROR(AGGREGATE(15,6,ROW('Input Transaksi'!$B$5:$B$5000)/('Input Transaksi'!$B$5:$B$5000="JCL SESETAN"),ROWS($E$5:E648)),"")</f>
        <v/>
      </c>
      <c r="F648" s="5" t="n"/>
    </row>
    <row r="649">
      <c r="A649" s="10">
        <f>IF($E649="","",INDEX('Input Transaksi'!$A:$A,$E649))</f>
        <v/>
      </c>
      <c r="B649" s="5">
        <f>IF($E649="","",INDEX('Input Transaksi'!$D:$D,$E649))</f>
        <v/>
      </c>
      <c r="C649">
        <f>IF($E649="","",INDEX('Input Transaksi'!$E:$E,$E649))</f>
        <v/>
      </c>
      <c r="D649" s="5">
        <f>IF($E649="","",INDEX('Input Transaksi'!$F:$F,$E649))</f>
        <v/>
      </c>
      <c r="E649">
        <f>IFERROR(AGGREGATE(15,6,ROW('Input Transaksi'!$B$5:$B$5000)/('Input Transaksi'!$B$5:$B$5000="JCL SESETAN"),ROWS($E$5:E649)),"")</f>
        <v/>
      </c>
      <c r="F649" s="5" t="n"/>
    </row>
    <row r="650">
      <c r="A650" s="10">
        <f>IF($E650="","",INDEX('Input Transaksi'!$A:$A,$E650))</f>
        <v/>
      </c>
      <c r="B650" s="5">
        <f>IF($E650="","",INDEX('Input Transaksi'!$D:$D,$E650))</f>
        <v/>
      </c>
      <c r="C650">
        <f>IF($E650="","",INDEX('Input Transaksi'!$E:$E,$E650))</f>
        <v/>
      </c>
      <c r="D650" s="5">
        <f>IF($E650="","",INDEX('Input Transaksi'!$F:$F,$E650))</f>
        <v/>
      </c>
      <c r="E650">
        <f>IFERROR(AGGREGATE(15,6,ROW('Input Transaksi'!$B$5:$B$5000)/('Input Transaksi'!$B$5:$B$5000="JCL SESETAN"),ROWS($E$5:E650)),"")</f>
        <v/>
      </c>
      <c r="F650" s="5" t="n"/>
    </row>
    <row r="651">
      <c r="A651" s="10">
        <f>IF($E651="","",INDEX('Input Transaksi'!$A:$A,$E651))</f>
        <v/>
      </c>
      <c r="B651" s="5">
        <f>IF($E651="","",INDEX('Input Transaksi'!$D:$D,$E651))</f>
        <v/>
      </c>
      <c r="C651">
        <f>IF($E651="","",INDEX('Input Transaksi'!$E:$E,$E651))</f>
        <v/>
      </c>
      <c r="D651" s="5">
        <f>IF($E651="","",INDEX('Input Transaksi'!$F:$F,$E651))</f>
        <v/>
      </c>
      <c r="E651">
        <f>IFERROR(AGGREGATE(15,6,ROW('Input Transaksi'!$B$5:$B$5000)/('Input Transaksi'!$B$5:$B$5000="JCL SESETAN"),ROWS($E$5:E651)),"")</f>
        <v/>
      </c>
      <c r="F651" s="5" t="n"/>
    </row>
    <row r="652">
      <c r="A652" s="10">
        <f>IF($E652="","",INDEX('Input Transaksi'!$A:$A,$E652))</f>
        <v/>
      </c>
      <c r="B652" s="5">
        <f>IF($E652="","",INDEX('Input Transaksi'!$D:$D,$E652))</f>
        <v/>
      </c>
      <c r="C652">
        <f>IF($E652="","",INDEX('Input Transaksi'!$E:$E,$E652))</f>
        <v/>
      </c>
      <c r="D652" s="5">
        <f>IF($E652="","",INDEX('Input Transaksi'!$F:$F,$E652))</f>
        <v/>
      </c>
      <c r="E652">
        <f>IFERROR(AGGREGATE(15,6,ROW('Input Transaksi'!$B$5:$B$5000)/('Input Transaksi'!$B$5:$B$5000="JCL SESETAN"),ROWS($E$5:E652)),"")</f>
        <v/>
      </c>
      <c r="F652" s="5" t="n"/>
    </row>
    <row r="653">
      <c r="A653" s="10">
        <f>IF($E653="","",INDEX('Input Transaksi'!$A:$A,$E653))</f>
        <v/>
      </c>
      <c r="B653" s="5">
        <f>IF($E653="","",INDEX('Input Transaksi'!$D:$D,$E653))</f>
        <v/>
      </c>
      <c r="C653">
        <f>IF($E653="","",INDEX('Input Transaksi'!$E:$E,$E653))</f>
        <v/>
      </c>
      <c r="D653" s="5">
        <f>IF($E653="","",INDEX('Input Transaksi'!$F:$F,$E653))</f>
        <v/>
      </c>
      <c r="E653">
        <f>IFERROR(AGGREGATE(15,6,ROW('Input Transaksi'!$B$5:$B$5000)/('Input Transaksi'!$B$5:$B$5000="JCL SESETAN"),ROWS($E$5:E653)),"")</f>
        <v/>
      </c>
      <c r="F653" s="5" t="n"/>
    </row>
    <row r="654">
      <c r="A654" s="10">
        <f>IF($E654="","",INDEX('Input Transaksi'!$A:$A,$E654))</f>
        <v/>
      </c>
      <c r="B654" s="5">
        <f>IF($E654="","",INDEX('Input Transaksi'!$D:$D,$E654))</f>
        <v/>
      </c>
      <c r="C654">
        <f>IF($E654="","",INDEX('Input Transaksi'!$E:$E,$E654))</f>
        <v/>
      </c>
      <c r="D654" s="5">
        <f>IF($E654="","",INDEX('Input Transaksi'!$F:$F,$E654))</f>
        <v/>
      </c>
      <c r="E654">
        <f>IFERROR(AGGREGATE(15,6,ROW('Input Transaksi'!$B$5:$B$5000)/('Input Transaksi'!$B$5:$B$5000="JCL SESETAN"),ROWS($E$5:E654)),"")</f>
        <v/>
      </c>
      <c r="F654" s="5" t="n"/>
    </row>
    <row r="655">
      <c r="A655" s="10">
        <f>IF($E655="","",INDEX('Input Transaksi'!$A:$A,$E655))</f>
        <v/>
      </c>
      <c r="B655" s="5">
        <f>IF($E655="","",INDEX('Input Transaksi'!$D:$D,$E655))</f>
        <v/>
      </c>
      <c r="C655">
        <f>IF($E655="","",INDEX('Input Transaksi'!$E:$E,$E655))</f>
        <v/>
      </c>
      <c r="D655" s="5">
        <f>IF($E655="","",INDEX('Input Transaksi'!$F:$F,$E655))</f>
        <v/>
      </c>
      <c r="E655">
        <f>IFERROR(AGGREGATE(15,6,ROW('Input Transaksi'!$B$5:$B$5000)/('Input Transaksi'!$B$5:$B$5000="JCL SESETAN"),ROWS($E$5:E655)),"")</f>
        <v/>
      </c>
      <c r="F655" s="5" t="n"/>
    </row>
    <row r="656">
      <c r="A656" s="10">
        <f>IF($E656="","",INDEX('Input Transaksi'!$A:$A,$E656))</f>
        <v/>
      </c>
      <c r="B656" s="5">
        <f>IF($E656="","",INDEX('Input Transaksi'!$D:$D,$E656))</f>
        <v/>
      </c>
      <c r="C656">
        <f>IF($E656="","",INDEX('Input Transaksi'!$E:$E,$E656))</f>
        <v/>
      </c>
      <c r="D656" s="5">
        <f>IF($E656="","",INDEX('Input Transaksi'!$F:$F,$E656))</f>
        <v/>
      </c>
      <c r="E656">
        <f>IFERROR(AGGREGATE(15,6,ROW('Input Transaksi'!$B$5:$B$5000)/('Input Transaksi'!$B$5:$B$5000="JCL SESETAN"),ROWS($E$5:E656)),"")</f>
        <v/>
      </c>
      <c r="F656" s="5" t="n"/>
    </row>
    <row r="657">
      <c r="A657" s="10">
        <f>IF($E657="","",INDEX('Input Transaksi'!$A:$A,$E657))</f>
        <v/>
      </c>
      <c r="B657" s="5">
        <f>IF($E657="","",INDEX('Input Transaksi'!$D:$D,$E657))</f>
        <v/>
      </c>
      <c r="C657">
        <f>IF($E657="","",INDEX('Input Transaksi'!$E:$E,$E657))</f>
        <v/>
      </c>
      <c r="D657" s="5">
        <f>IF($E657="","",INDEX('Input Transaksi'!$F:$F,$E657))</f>
        <v/>
      </c>
      <c r="E657">
        <f>IFERROR(AGGREGATE(15,6,ROW('Input Transaksi'!$B$5:$B$5000)/('Input Transaksi'!$B$5:$B$5000="JCL SESETAN"),ROWS($E$5:E657)),"")</f>
        <v/>
      </c>
      <c r="F657" s="5" t="n"/>
    </row>
    <row r="658">
      <c r="A658" s="10">
        <f>IF($E658="","",INDEX('Input Transaksi'!$A:$A,$E658))</f>
        <v/>
      </c>
      <c r="B658" s="5">
        <f>IF($E658="","",INDEX('Input Transaksi'!$D:$D,$E658))</f>
        <v/>
      </c>
      <c r="C658">
        <f>IF($E658="","",INDEX('Input Transaksi'!$E:$E,$E658))</f>
        <v/>
      </c>
      <c r="D658" s="5">
        <f>IF($E658="","",INDEX('Input Transaksi'!$F:$F,$E658))</f>
        <v/>
      </c>
      <c r="E658">
        <f>IFERROR(AGGREGATE(15,6,ROW('Input Transaksi'!$B$5:$B$5000)/('Input Transaksi'!$B$5:$B$5000="JCL SESETAN"),ROWS($E$5:E658)),"")</f>
        <v/>
      </c>
      <c r="F658" s="5" t="n"/>
    </row>
    <row r="659">
      <c r="A659" s="10">
        <f>IF($E659="","",INDEX('Input Transaksi'!$A:$A,$E659))</f>
        <v/>
      </c>
      <c r="B659" s="5">
        <f>IF($E659="","",INDEX('Input Transaksi'!$D:$D,$E659))</f>
        <v/>
      </c>
      <c r="C659">
        <f>IF($E659="","",INDEX('Input Transaksi'!$E:$E,$E659))</f>
        <v/>
      </c>
      <c r="D659" s="5">
        <f>IF($E659="","",INDEX('Input Transaksi'!$F:$F,$E659))</f>
        <v/>
      </c>
      <c r="E659">
        <f>IFERROR(AGGREGATE(15,6,ROW('Input Transaksi'!$B$5:$B$5000)/('Input Transaksi'!$B$5:$B$5000="JCL SESETAN"),ROWS($E$5:E659)),"")</f>
        <v/>
      </c>
      <c r="F659" s="5" t="n"/>
    </row>
    <row r="660">
      <c r="A660" s="10">
        <f>IF($E660="","",INDEX('Input Transaksi'!$A:$A,$E660))</f>
        <v/>
      </c>
      <c r="B660" s="5">
        <f>IF($E660="","",INDEX('Input Transaksi'!$D:$D,$E660))</f>
        <v/>
      </c>
      <c r="C660">
        <f>IF($E660="","",INDEX('Input Transaksi'!$E:$E,$E660))</f>
        <v/>
      </c>
      <c r="D660" s="5">
        <f>IF($E660="","",INDEX('Input Transaksi'!$F:$F,$E660))</f>
        <v/>
      </c>
      <c r="E660">
        <f>IFERROR(AGGREGATE(15,6,ROW('Input Transaksi'!$B$5:$B$5000)/('Input Transaksi'!$B$5:$B$5000="JCL SESETAN"),ROWS($E$5:E660)),"")</f>
        <v/>
      </c>
      <c r="F660" s="5" t="n"/>
    </row>
    <row r="661">
      <c r="A661" s="10">
        <f>IF($E661="","",INDEX('Input Transaksi'!$A:$A,$E661))</f>
        <v/>
      </c>
      <c r="B661" s="5">
        <f>IF($E661="","",INDEX('Input Transaksi'!$D:$D,$E661))</f>
        <v/>
      </c>
      <c r="C661">
        <f>IF($E661="","",INDEX('Input Transaksi'!$E:$E,$E661))</f>
        <v/>
      </c>
      <c r="D661" s="5">
        <f>IF($E661="","",INDEX('Input Transaksi'!$F:$F,$E661))</f>
        <v/>
      </c>
      <c r="E661">
        <f>IFERROR(AGGREGATE(15,6,ROW('Input Transaksi'!$B$5:$B$5000)/('Input Transaksi'!$B$5:$B$5000="JCL SESETAN"),ROWS($E$5:E661)),"")</f>
        <v/>
      </c>
      <c r="F661" s="5" t="n"/>
    </row>
    <row r="662">
      <c r="A662" s="10">
        <f>IF($E662="","",INDEX('Input Transaksi'!$A:$A,$E662))</f>
        <v/>
      </c>
      <c r="B662" s="5">
        <f>IF($E662="","",INDEX('Input Transaksi'!$D:$D,$E662))</f>
        <v/>
      </c>
      <c r="C662">
        <f>IF($E662="","",INDEX('Input Transaksi'!$E:$E,$E662))</f>
        <v/>
      </c>
      <c r="D662" s="5">
        <f>IF($E662="","",INDEX('Input Transaksi'!$F:$F,$E662))</f>
        <v/>
      </c>
      <c r="E662">
        <f>IFERROR(AGGREGATE(15,6,ROW('Input Transaksi'!$B$5:$B$5000)/('Input Transaksi'!$B$5:$B$5000="JCL SESETAN"),ROWS($E$5:E662)),"")</f>
        <v/>
      </c>
      <c r="F662" s="5" t="n"/>
    </row>
    <row r="663">
      <c r="A663" s="10">
        <f>IF($E663="","",INDEX('Input Transaksi'!$A:$A,$E663))</f>
        <v/>
      </c>
      <c r="B663" s="5">
        <f>IF($E663="","",INDEX('Input Transaksi'!$D:$D,$E663))</f>
        <v/>
      </c>
      <c r="C663">
        <f>IF($E663="","",INDEX('Input Transaksi'!$E:$E,$E663))</f>
        <v/>
      </c>
      <c r="D663" s="5">
        <f>IF($E663="","",INDEX('Input Transaksi'!$F:$F,$E663))</f>
        <v/>
      </c>
      <c r="E663">
        <f>IFERROR(AGGREGATE(15,6,ROW('Input Transaksi'!$B$5:$B$5000)/('Input Transaksi'!$B$5:$B$5000="JCL SESETAN"),ROWS($E$5:E663)),"")</f>
        <v/>
      </c>
      <c r="F663" s="5" t="n"/>
    </row>
    <row r="664">
      <c r="A664" s="10">
        <f>IF($E664="","",INDEX('Input Transaksi'!$A:$A,$E664))</f>
        <v/>
      </c>
      <c r="B664" s="5">
        <f>IF($E664="","",INDEX('Input Transaksi'!$D:$D,$E664))</f>
        <v/>
      </c>
      <c r="C664">
        <f>IF($E664="","",INDEX('Input Transaksi'!$E:$E,$E664))</f>
        <v/>
      </c>
      <c r="D664" s="5">
        <f>IF($E664="","",INDEX('Input Transaksi'!$F:$F,$E664))</f>
        <v/>
      </c>
      <c r="E664">
        <f>IFERROR(AGGREGATE(15,6,ROW('Input Transaksi'!$B$5:$B$5000)/('Input Transaksi'!$B$5:$B$5000="JCL SESETAN"),ROWS($E$5:E664)),"")</f>
        <v/>
      </c>
      <c r="F664" s="5" t="n"/>
    </row>
    <row r="665">
      <c r="A665" s="10">
        <f>IF($E665="","",INDEX('Input Transaksi'!$A:$A,$E665))</f>
        <v/>
      </c>
      <c r="B665" s="5">
        <f>IF($E665="","",INDEX('Input Transaksi'!$D:$D,$E665))</f>
        <v/>
      </c>
      <c r="C665">
        <f>IF($E665="","",INDEX('Input Transaksi'!$E:$E,$E665))</f>
        <v/>
      </c>
      <c r="D665" s="5">
        <f>IF($E665="","",INDEX('Input Transaksi'!$F:$F,$E665))</f>
        <v/>
      </c>
      <c r="E665">
        <f>IFERROR(AGGREGATE(15,6,ROW('Input Transaksi'!$B$5:$B$5000)/('Input Transaksi'!$B$5:$B$5000="JCL SESETAN"),ROWS($E$5:E665)),"")</f>
        <v/>
      </c>
      <c r="F665" s="5" t="n"/>
    </row>
    <row r="666">
      <c r="A666" s="10">
        <f>IF($E666="","",INDEX('Input Transaksi'!$A:$A,$E666))</f>
        <v/>
      </c>
      <c r="B666" s="5">
        <f>IF($E666="","",INDEX('Input Transaksi'!$D:$D,$E666))</f>
        <v/>
      </c>
      <c r="C666">
        <f>IF($E666="","",INDEX('Input Transaksi'!$E:$E,$E666))</f>
        <v/>
      </c>
      <c r="D666" s="5">
        <f>IF($E666="","",INDEX('Input Transaksi'!$F:$F,$E666))</f>
        <v/>
      </c>
      <c r="E666">
        <f>IFERROR(AGGREGATE(15,6,ROW('Input Transaksi'!$B$5:$B$5000)/('Input Transaksi'!$B$5:$B$5000="JCL SESETAN"),ROWS($E$5:E666)),"")</f>
        <v/>
      </c>
      <c r="F666" s="5" t="n"/>
    </row>
    <row r="667">
      <c r="A667" s="10">
        <f>IF($E667="","",INDEX('Input Transaksi'!$A:$A,$E667))</f>
        <v/>
      </c>
      <c r="B667" s="5">
        <f>IF($E667="","",INDEX('Input Transaksi'!$D:$D,$E667))</f>
        <v/>
      </c>
      <c r="C667">
        <f>IF($E667="","",INDEX('Input Transaksi'!$E:$E,$E667))</f>
        <v/>
      </c>
      <c r="D667" s="5">
        <f>IF($E667="","",INDEX('Input Transaksi'!$F:$F,$E667))</f>
        <v/>
      </c>
      <c r="E667">
        <f>IFERROR(AGGREGATE(15,6,ROW('Input Transaksi'!$B$5:$B$5000)/('Input Transaksi'!$B$5:$B$5000="JCL SESETAN"),ROWS($E$5:E667)),"")</f>
        <v/>
      </c>
      <c r="F667" s="5" t="n"/>
    </row>
    <row r="668">
      <c r="A668" s="10">
        <f>IF($E668="","",INDEX('Input Transaksi'!$A:$A,$E668))</f>
        <v/>
      </c>
      <c r="B668" s="5">
        <f>IF($E668="","",INDEX('Input Transaksi'!$D:$D,$E668))</f>
        <v/>
      </c>
      <c r="C668">
        <f>IF($E668="","",INDEX('Input Transaksi'!$E:$E,$E668))</f>
        <v/>
      </c>
      <c r="D668" s="5">
        <f>IF($E668="","",INDEX('Input Transaksi'!$F:$F,$E668))</f>
        <v/>
      </c>
      <c r="E668">
        <f>IFERROR(AGGREGATE(15,6,ROW('Input Transaksi'!$B$5:$B$5000)/('Input Transaksi'!$B$5:$B$5000="JCL SESETAN"),ROWS($E$5:E668)),"")</f>
        <v/>
      </c>
      <c r="F668" s="5" t="n"/>
    </row>
    <row r="669">
      <c r="A669" s="10">
        <f>IF($E669="","",INDEX('Input Transaksi'!$A:$A,$E669))</f>
        <v/>
      </c>
      <c r="B669" s="5">
        <f>IF($E669="","",INDEX('Input Transaksi'!$D:$D,$E669))</f>
        <v/>
      </c>
      <c r="C669">
        <f>IF($E669="","",INDEX('Input Transaksi'!$E:$E,$E669))</f>
        <v/>
      </c>
      <c r="D669" s="5">
        <f>IF($E669="","",INDEX('Input Transaksi'!$F:$F,$E669))</f>
        <v/>
      </c>
      <c r="E669">
        <f>IFERROR(AGGREGATE(15,6,ROW('Input Transaksi'!$B$5:$B$5000)/('Input Transaksi'!$B$5:$B$5000="JCL SESETAN"),ROWS($E$5:E669)),"")</f>
        <v/>
      </c>
      <c r="F669" s="5" t="n"/>
    </row>
    <row r="670">
      <c r="A670" s="10">
        <f>IF($E670="","",INDEX('Input Transaksi'!$A:$A,$E670))</f>
        <v/>
      </c>
      <c r="B670" s="5">
        <f>IF($E670="","",INDEX('Input Transaksi'!$D:$D,$E670))</f>
        <v/>
      </c>
      <c r="C670">
        <f>IF($E670="","",INDEX('Input Transaksi'!$E:$E,$E670))</f>
        <v/>
      </c>
      <c r="D670" s="5">
        <f>IF($E670="","",INDEX('Input Transaksi'!$F:$F,$E670))</f>
        <v/>
      </c>
      <c r="E670">
        <f>IFERROR(AGGREGATE(15,6,ROW('Input Transaksi'!$B$5:$B$5000)/('Input Transaksi'!$B$5:$B$5000="JCL SESETAN"),ROWS($E$5:E670)),"")</f>
        <v/>
      </c>
      <c r="F670" s="5" t="n"/>
    </row>
    <row r="671">
      <c r="A671" s="10">
        <f>IF($E671="","",INDEX('Input Transaksi'!$A:$A,$E671))</f>
        <v/>
      </c>
      <c r="B671" s="5">
        <f>IF($E671="","",INDEX('Input Transaksi'!$D:$D,$E671))</f>
        <v/>
      </c>
      <c r="C671">
        <f>IF($E671="","",INDEX('Input Transaksi'!$E:$E,$E671))</f>
        <v/>
      </c>
      <c r="D671" s="5">
        <f>IF($E671="","",INDEX('Input Transaksi'!$F:$F,$E671))</f>
        <v/>
      </c>
      <c r="E671">
        <f>IFERROR(AGGREGATE(15,6,ROW('Input Transaksi'!$B$5:$B$5000)/('Input Transaksi'!$B$5:$B$5000="JCL SESETAN"),ROWS($E$5:E671)),"")</f>
        <v/>
      </c>
      <c r="F671" s="5" t="n"/>
    </row>
    <row r="672">
      <c r="A672" s="10">
        <f>IF($E672="","",INDEX('Input Transaksi'!$A:$A,$E672))</f>
        <v/>
      </c>
      <c r="B672" s="5">
        <f>IF($E672="","",INDEX('Input Transaksi'!$D:$D,$E672))</f>
        <v/>
      </c>
      <c r="C672">
        <f>IF($E672="","",INDEX('Input Transaksi'!$E:$E,$E672))</f>
        <v/>
      </c>
      <c r="D672" s="5">
        <f>IF($E672="","",INDEX('Input Transaksi'!$F:$F,$E672))</f>
        <v/>
      </c>
      <c r="E672">
        <f>IFERROR(AGGREGATE(15,6,ROW('Input Transaksi'!$B$5:$B$5000)/('Input Transaksi'!$B$5:$B$5000="JCL SESETAN"),ROWS($E$5:E672)),"")</f>
        <v/>
      </c>
      <c r="F672" s="5" t="n"/>
    </row>
    <row r="673">
      <c r="A673" s="10">
        <f>IF($E673="","",INDEX('Input Transaksi'!$A:$A,$E673))</f>
        <v/>
      </c>
      <c r="B673" s="5">
        <f>IF($E673="","",INDEX('Input Transaksi'!$D:$D,$E673))</f>
        <v/>
      </c>
      <c r="C673">
        <f>IF($E673="","",INDEX('Input Transaksi'!$E:$E,$E673))</f>
        <v/>
      </c>
      <c r="D673" s="5">
        <f>IF($E673="","",INDEX('Input Transaksi'!$F:$F,$E673))</f>
        <v/>
      </c>
      <c r="E673">
        <f>IFERROR(AGGREGATE(15,6,ROW('Input Transaksi'!$B$5:$B$5000)/('Input Transaksi'!$B$5:$B$5000="JCL SESETAN"),ROWS($E$5:E673)),"")</f>
        <v/>
      </c>
      <c r="F673" s="5" t="n"/>
    </row>
    <row r="674">
      <c r="A674" s="10">
        <f>IF($E674="","",INDEX('Input Transaksi'!$A:$A,$E674))</f>
        <v/>
      </c>
      <c r="B674" s="5">
        <f>IF($E674="","",INDEX('Input Transaksi'!$D:$D,$E674))</f>
        <v/>
      </c>
      <c r="C674">
        <f>IF($E674="","",INDEX('Input Transaksi'!$E:$E,$E674))</f>
        <v/>
      </c>
      <c r="D674" s="5">
        <f>IF($E674="","",INDEX('Input Transaksi'!$F:$F,$E674))</f>
        <v/>
      </c>
      <c r="E674">
        <f>IFERROR(AGGREGATE(15,6,ROW('Input Transaksi'!$B$5:$B$5000)/('Input Transaksi'!$B$5:$B$5000="JCL SESETAN"),ROWS($E$5:E674)),"")</f>
        <v/>
      </c>
      <c r="F674" s="5" t="n"/>
    </row>
    <row r="675">
      <c r="A675" s="10">
        <f>IF($E675="","",INDEX('Input Transaksi'!$A:$A,$E675))</f>
        <v/>
      </c>
      <c r="B675" s="5">
        <f>IF($E675="","",INDEX('Input Transaksi'!$D:$D,$E675))</f>
        <v/>
      </c>
      <c r="C675">
        <f>IF($E675="","",INDEX('Input Transaksi'!$E:$E,$E675))</f>
        <v/>
      </c>
      <c r="D675" s="5">
        <f>IF($E675="","",INDEX('Input Transaksi'!$F:$F,$E675))</f>
        <v/>
      </c>
      <c r="E675">
        <f>IFERROR(AGGREGATE(15,6,ROW('Input Transaksi'!$B$5:$B$5000)/('Input Transaksi'!$B$5:$B$5000="JCL SESETAN"),ROWS($E$5:E675)),"")</f>
        <v/>
      </c>
      <c r="F675" s="5" t="n"/>
    </row>
    <row r="676">
      <c r="A676" s="10">
        <f>IF($E676="","",INDEX('Input Transaksi'!$A:$A,$E676))</f>
        <v/>
      </c>
      <c r="B676" s="5">
        <f>IF($E676="","",INDEX('Input Transaksi'!$D:$D,$E676))</f>
        <v/>
      </c>
      <c r="C676">
        <f>IF($E676="","",INDEX('Input Transaksi'!$E:$E,$E676))</f>
        <v/>
      </c>
      <c r="D676" s="5">
        <f>IF($E676="","",INDEX('Input Transaksi'!$F:$F,$E676))</f>
        <v/>
      </c>
      <c r="E676">
        <f>IFERROR(AGGREGATE(15,6,ROW('Input Transaksi'!$B$5:$B$5000)/('Input Transaksi'!$B$5:$B$5000="JCL SESETAN"),ROWS($E$5:E676)),"")</f>
        <v/>
      </c>
      <c r="F676" s="5" t="n"/>
    </row>
    <row r="677">
      <c r="A677" s="10">
        <f>IF($E677="","",INDEX('Input Transaksi'!$A:$A,$E677))</f>
        <v/>
      </c>
      <c r="B677" s="5">
        <f>IF($E677="","",INDEX('Input Transaksi'!$D:$D,$E677))</f>
        <v/>
      </c>
      <c r="C677">
        <f>IF($E677="","",INDEX('Input Transaksi'!$E:$E,$E677))</f>
        <v/>
      </c>
      <c r="D677" s="5">
        <f>IF($E677="","",INDEX('Input Transaksi'!$F:$F,$E677))</f>
        <v/>
      </c>
      <c r="E677">
        <f>IFERROR(AGGREGATE(15,6,ROW('Input Transaksi'!$B$5:$B$5000)/('Input Transaksi'!$B$5:$B$5000="JCL SESETAN"),ROWS($E$5:E677)),"")</f>
        <v/>
      </c>
      <c r="F677" s="5" t="n"/>
    </row>
    <row r="678">
      <c r="A678" s="10">
        <f>IF($E678="","",INDEX('Input Transaksi'!$A:$A,$E678))</f>
        <v/>
      </c>
      <c r="B678" s="5">
        <f>IF($E678="","",INDEX('Input Transaksi'!$D:$D,$E678))</f>
        <v/>
      </c>
      <c r="C678">
        <f>IF($E678="","",INDEX('Input Transaksi'!$E:$E,$E678))</f>
        <v/>
      </c>
      <c r="D678" s="5">
        <f>IF($E678="","",INDEX('Input Transaksi'!$F:$F,$E678))</f>
        <v/>
      </c>
      <c r="E678">
        <f>IFERROR(AGGREGATE(15,6,ROW('Input Transaksi'!$B$5:$B$5000)/('Input Transaksi'!$B$5:$B$5000="JCL SESETAN"),ROWS($E$5:E678)),"")</f>
        <v/>
      </c>
      <c r="F678" s="5" t="n"/>
    </row>
    <row r="679">
      <c r="A679" s="10">
        <f>IF($E679="","",INDEX('Input Transaksi'!$A:$A,$E679))</f>
        <v/>
      </c>
      <c r="B679" s="5">
        <f>IF($E679="","",INDEX('Input Transaksi'!$D:$D,$E679))</f>
        <v/>
      </c>
      <c r="C679">
        <f>IF($E679="","",INDEX('Input Transaksi'!$E:$E,$E679))</f>
        <v/>
      </c>
      <c r="D679" s="5">
        <f>IF($E679="","",INDEX('Input Transaksi'!$F:$F,$E679))</f>
        <v/>
      </c>
      <c r="E679">
        <f>IFERROR(AGGREGATE(15,6,ROW('Input Transaksi'!$B$5:$B$5000)/('Input Transaksi'!$B$5:$B$5000="JCL SESETAN"),ROWS($E$5:E679)),"")</f>
        <v/>
      </c>
      <c r="F679" s="5" t="n"/>
    </row>
    <row r="680">
      <c r="A680" s="10">
        <f>IF($E680="","",INDEX('Input Transaksi'!$A:$A,$E680))</f>
        <v/>
      </c>
      <c r="B680" s="5">
        <f>IF($E680="","",INDEX('Input Transaksi'!$D:$D,$E680))</f>
        <v/>
      </c>
      <c r="C680">
        <f>IF($E680="","",INDEX('Input Transaksi'!$E:$E,$E680))</f>
        <v/>
      </c>
      <c r="D680" s="5">
        <f>IF($E680="","",INDEX('Input Transaksi'!$F:$F,$E680))</f>
        <v/>
      </c>
      <c r="E680">
        <f>IFERROR(AGGREGATE(15,6,ROW('Input Transaksi'!$B$5:$B$5000)/('Input Transaksi'!$B$5:$B$5000="JCL SESETAN"),ROWS($E$5:E680)),"")</f>
        <v/>
      </c>
      <c r="F680" s="5" t="n"/>
    </row>
    <row r="681">
      <c r="A681" s="10">
        <f>IF($E681="","",INDEX('Input Transaksi'!$A:$A,$E681))</f>
        <v/>
      </c>
      <c r="B681" s="5">
        <f>IF($E681="","",INDEX('Input Transaksi'!$D:$D,$E681))</f>
        <v/>
      </c>
      <c r="C681">
        <f>IF($E681="","",INDEX('Input Transaksi'!$E:$E,$E681))</f>
        <v/>
      </c>
      <c r="D681" s="5">
        <f>IF($E681="","",INDEX('Input Transaksi'!$F:$F,$E681))</f>
        <v/>
      </c>
      <c r="E681">
        <f>IFERROR(AGGREGATE(15,6,ROW('Input Transaksi'!$B$5:$B$5000)/('Input Transaksi'!$B$5:$B$5000="JCL SESETAN"),ROWS($E$5:E681)),"")</f>
        <v/>
      </c>
      <c r="F681" s="5" t="n"/>
    </row>
    <row r="682">
      <c r="A682" s="10">
        <f>IF($E682="","",INDEX('Input Transaksi'!$A:$A,$E682))</f>
        <v/>
      </c>
      <c r="B682" s="5">
        <f>IF($E682="","",INDEX('Input Transaksi'!$D:$D,$E682))</f>
        <v/>
      </c>
      <c r="C682">
        <f>IF($E682="","",INDEX('Input Transaksi'!$E:$E,$E682))</f>
        <v/>
      </c>
      <c r="D682" s="5">
        <f>IF($E682="","",INDEX('Input Transaksi'!$F:$F,$E682))</f>
        <v/>
      </c>
      <c r="E682">
        <f>IFERROR(AGGREGATE(15,6,ROW('Input Transaksi'!$B$5:$B$5000)/('Input Transaksi'!$B$5:$B$5000="JCL SESETAN"),ROWS($E$5:E682)),"")</f>
        <v/>
      </c>
      <c r="F682" s="5" t="n"/>
    </row>
    <row r="683">
      <c r="A683" s="10">
        <f>IF($E683="","",INDEX('Input Transaksi'!$A:$A,$E683))</f>
        <v/>
      </c>
      <c r="B683" s="5">
        <f>IF($E683="","",INDEX('Input Transaksi'!$D:$D,$E683))</f>
        <v/>
      </c>
      <c r="C683">
        <f>IF($E683="","",INDEX('Input Transaksi'!$E:$E,$E683))</f>
        <v/>
      </c>
      <c r="D683" s="5">
        <f>IF($E683="","",INDEX('Input Transaksi'!$F:$F,$E683))</f>
        <v/>
      </c>
      <c r="E683">
        <f>IFERROR(AGGREGATE(15,6,ROW('Input Transaksi'!$B$5:$B$5000)/('Input Transaksi'!$B$5:$B$5000="JCL SESETAN"),ROWS($E$5:E683)),"")</f>
        <v/>
      </c>
      <c r="F683" s="5" t="n"/>
    </row>
    <row r="684">
      <c r="A684" s="10">
        <f>IF($E684="","",INDEX('Input Transaksi'!$A:$A,$E684))</f>
        <v/>
      </c>
      <c r="B684" s="5">
        <f>IF($E684="","",INDEX('Input Transaksi'!$D:$D,$E684))</f>
        <v/>
      </c>
      <c r="C684">
        <f>IF($E684="","",INDEX('Input Transaksi'!$E:$E,$E684))</f>
        <v/>
      </c>
      <c r="D684" s="5">
        <f>IF($E684="","",INDEX('Input Transaksi'!$F:$F,$E684))</f>
        <v/>
      </c>
      <c r="E684">
        <f>IFERROR(AGGREGATE(15,6,ROW('Input Transaksi'!$B$5:$B$5000)/('Input Transaksi'!$B$5:$B$5000="JCL SESETAN"),ROWS($E$5:E684)),"")</f>
        <v/>
      </c>
      <c r="F684" s="5" t="n"/>
    </row>
    <row r="685">
      <c r="A685" s="10">
        <f>IF($E685="","",INDEX('Input Transaksi'!$A:$A,$E685))</f>
        <v/>
      </c>
      <c r="B685" s="5">
        <f>IF($E685="","",INDEX('Input Transaksi'!$D:$D,$E685))</f>
        <v/>
      </c>
      <c r="C685">
        <f>IF($E685="","",INDEX('Input Transaksi'!$E:$E,$E685))</f>
        <v/>
      </c>
      <c r="D685" s="5">
        <f>IF($E685="","",INDEX('Input Transaksi'!$F:$F,$E685))</f>
        <v/>
      </c>
      <c r="E685">
        <f>IFERROR(AGGREGATE(15,6,ROW('Input Transaksi'!$B$5:$B$5000)/('Input Transaksi'!$B$5:$B$5000="JCL SESETAN"),ROWS($E$5:E685)),"")</f>
        <v/>
      </c>
      <c r="F685" s="5" t="n"/>
    </row>
    <row r="686">
      <c r="A686" s="10">
        <f>IF($E686="","",INDEX('Input Transaksi'!$A:$A,$E686))</f>
        <v/>
      </c>
      <c r="B686" s="5">
        <f>IF($E686="","",INDEX('Input Transaksi'!$D:$D,$E686))</f>
        <v/>
      </c>
      <c r="C686">
        <f>IF($E686="","",INDEX('Input Transaksi'!$E:$E,$E686))</f>
        <v/>
      </c>
      <c r="D686" s="5">
        <f>IF($E686="","",INDEX('Input Transaksi'!$F:$F,$E686))</f>
        <v/>
      </c>
      <c r="E686">
        <f>IFERROR(AGGREGATE(15,6,ROW('Input Transaksi'!$B$5:$B$5000)/('Input Transaksi'!$B$5:$B$5000="JCL SESETAN"),ROWS($E$5:E686)),"")</f>
        <v/>
      </c>
      <c r="F686" s="5" t="n"/>
    </row>
    <row r="687">
      <c r="A687" s="10">
        <f>IF($E687="","",INDEX('Input Transaksi'!$A:$A,$E687))</f>
        <v/>
      </c>
      <c r="B687" s="5">
        <f>IF($E687="","",INDEX('Input Transaksi'!$D:$D,$E687))</f>
        <v/>
      </c>
      <c r="C687">
        <f>IF($E687="","",INDEX('Input Transaksi'!$E:$E,$E687))</f>
        <v/>
      </c>
      <c r="D687" s="5">
        <f>IF($E687="","",INDEX('Input Transaksi'!$F:$F,$E687))</f>
        <v/>
      </c>
      <c r="E687">
        <f>IFERROR(AGGREGATE(15,6,ROW('Input Transaksi'!$B$5:$B$5000)/('Input Transaksi'!$B$5:$B$5000="JCL SESETAN"),ROWS($E$5:E687)),"")</f>
        <v/>
      </c>
      <c r="F687" s="5" t="n"/>
    </row>
    <row r="688">
      <c r="A688" s="10">
        <f>IF($E688="","",INDEX('Input Transaksi'!$A:$A,$E688))</f>
        <v/>
      </c>
      <c r="B688" s="5">
        <f>IF($E688="","",INDEX('Input Transaksi'!$D:$D,$E688))</f>
        <v/>
      </c>
      <c r="C688">
        <f>IF($E688="","",INDEX('Input Transaksi'!$E:$E,$E688))</f>
        <v/>
      </c>
      <c r="D688" s="5">
        <f>IF($E688="","",INDEX('Input Transaksi'!$F:$F,$E688))</f>
        <v/>
      </c>
      <c r="E688">
        <f>IFERROR(AGGREGATE(15,6,ROW('Input Transaksi'!$B$5:$B$5000)/('Input Transaksi'!$B$5:$B$5000="JCL SESETAN"),ROWS($E$5:E688)),"")</f>
        <v/>
      </c>
      <c r="F688" s="5" t="n"/>
    </row>
    <row r="689">
      <c r="A689" s="10">
        <f>IF($E689="","",INDEX('Input Transaksi'!$A:$A,$E689))</f>
        <v/>
      </c>
      <c r="B689" s="5">
        <f>IF($E689="","",INDEX('Input Transaksi'!$D:$D,$E689))</f>
        <v/>
      </c>
      <c r="C689">
        <f>IF($E689="","",INDEX('Input Transaksi'!$E:$E,$E689))</f>
        <v/>
      </c>
      <c r="D689" s="5">
        <f>IF($E689="","",INDEX('Input Transaksi'!$F:$F,$E689))</f>
        <v/>
      </c>
      <c r="E689">
        <f>IFERROR(AGGREGATE(15,6,ROW('Input Transaksi'!$B$5:$B$5000)/('Input Transaksi'!$B$5:$B$5000="JCL SESETAN"),ROWS($E$5:E689)),"")</f>
        <v/>
      </c>
      <c r="F689" s="5" t="n"/>
    </row>
    <row r="690">
      <c r="A690" s="10">
        <f>IF($E690="","",INDEX('Input Transaksi'!$A:$A,$E690))</f>
        <v/>
      </c>
      <c r="B690" s="5">
        <f>IF($E690="","",INDEX('Input Transaksi'!$D:$D,$E690))</f>
        <v/>
      </c>
      <c r="C690">
        <f>IF($E690="","",INDEX('Input Transaksi'!$E:$E,$E690))</f>
        <v/>
      </c>
      <c r="D690" s="5">
        <f>IF($E690="","",INDEX('Input Transaksi'!$F:$F,$E690))</f>
        <v/>
      </c>
      <c r="E690">
        <f>IFERROR(AGGREGATE(15,6,ROW('Input Transaksi'!$B$5:$B$5000)/('Input Transaksi'!$B$5:$B$5000="JCL SESETAN"),ROWS($E$5:E690)),"")</f>
        <v/>
      </c>
      <c r="F690" s="5" t="n"/>
    </row>
    <row r="691">
      <c r="A691" s="10">
        <f>IF($E691="","",INDEX('Input Transaksi'!$A:$A,$E691))</f>
        <v/>
      </c>
      <c r="B691" s="5">
        <f>IF($E691="","",INDEX('Input Transaksi'!$D:$D,$E691))</f>
        <v/>
      </c>
      <c r="C691">
        <f>IF($E691="","",INDEX('Input Transaksi'!$E:$E,$E691))</f>
        <v/>
      </c>
      <c r="D691" s="5">
        <f>IF($E691="","",INDEX('Input Transaksi'!$F:$F,$E691))</f>
        <v/>
      </c>
      <c r="E691">
        <f>IFERROR(AGGREGATE(15,6,ROW('Input Transaksi'!$B$5:$B$5000)/('Input Transaksi'!$B$5:$B$5000="JCL SESETAN"),ROWS($E$5:E691)),"")</f>
        <v/>
      </c>
      <c r="F691" s="5" t="n"/>
    </row>
    <row r="692">
      <c r="A692" s="10">
        <f>IF($E692="","",INDEX('Input Transaksi'!$A:$A,$E692))</f>
        <v/>
      </c>
      <c r="B692" s="5">
        <f>IF($E692="","",INDEX('Input Transaksi'!$D:$D,$E692))</f>
        <v/>
      </c>
      <c r="C692">
        <f>IF($E692="","",INDEX('Input Transaksi'!$E:$E,$E692))</f>
        <v/>
      </c>
      <c r="D692" s="5">
        <f>IF($E692="","",INDEX('Input Transaksi'!$F:$F,$E692))</f>
        <v/>
      </c>
      <c r="E692">
        <f>IFERROR(AGGREGATE(15,6,ROW('Input Transaksi'!$B$5:$B$5000)/('Input Transaksi'!$B$5:$B$5000="JCL SESETAN"),ROWS($E$5:E692)),"")</f>
        <v/>
      </c>
      <c r="F692" s="5" t="n"/>
    </row>
    <row r="693">
      <c r="A693" s="10">
        <f>IF($E693="","",INDEX('Input Transaksi'!$A:$A,$E693))</f>
        <v/>
      </c>
      <c r="B693" s="5">
        <f>IF($E693="","",INDEX('Input Transaksi'!$D:$D,$E693))</f>
        <v/>
      </c>
      <c r="C693">
        <f>IF($E693="","",INDEX('Input Transaksi'!$E:$E,$E693))</f>
        <v/>
      </c>
      <c r="D693" s="5">
        <f>IF($E693="","",INDEX('Input Transaksi'!$F:$F,$E693))</f>
        <v/>
      </c>
      <c r="E693">
        <f>IFERROR(AGGREGATE(15,6,ROW('Input Transaksi'!$B$5:$B$5000)/('Input Transaksi'!$B$5:$B$5000="JCL SESETAN"),ROWS($E$5:E693)),"")</f>
        <v/>
      </c>
      <c r="F693" s="5" t="n"/>
    </row>
    <row r="694">
      <c r="A694" s="10">
        <f>IF($E694="","",INDEX('Input Transaksi'!$A:$A,$E694))</f>
        <v/>
      </c>
      <c r="B694" s="5">
        <f>IF($E694="","",INDEX('Input Transaksi'!$D:$D,$E694))</f>
        <v/>
      </c>
      <c r="C694">
        <f>IF($E694="","",INDEX('Input Transaksi'!$E:$E,$E694))</f>
        <v/>
      </c>
      <c r="D694" s="5">
        <f>IF($E694="","",INDEX('Input Transaksi'!$F:$F,$E694))</f>
        <v/>
      </c>
      <c r="E694">
        <f>IFERROR(AGGREGATE(15,6,ROW('Input Transaksi'!$B$5:$B$5000)/('Input Transaksi'!$B$5:$B$5000="JCL SESETAN"),ROWS($E$5:E694)),"")</f>
        <v/>
      </c>
      <c r="F694" s="5" t="n"/>
    </row>
    <row r="695">
      <c r="A695" s="10">
        <f>IF($E695="","",INDEX('Input Transaksi'!$A:$A,$E695))</f>
        <v/>
      </c>
      <c r="B695" s="5">
        <f>IF($E695="","",INDEX('Input Transaksi'!$D:$D,$E695))</f>
        <v/>
      </c>
      <c r="C695">
        <f>IF($E695="","",INDEX('Input Transaksi'!$E:$E,$E695))</f>
        <v/>
      </c>
      <c r="D695" s="5">
        <f>IF($E695="","",INDEX('Input Transaksi'!$F:$F,$E695))</f>
        <v/>
      </c>
      <c r="E695">
        <f>IFERROR(AGGREGATE(15,6,ROW('Input Transaksi'!$B$5:$B$5000)/('Input Transaksi'!$B$5:$B$5000="JCL SESETAN"),ROWS($E$5:E695)),"")</f>
        <v/>
      </c>
      <c r="F695" s="5" t="n"/>
    </row>
    <row r="696">
      <c r="A696" s="10">
        <f>IF($E696="","",INDEX('Input Transaksi'!$A:$A,$E696))</f>
        <v/>
      </c>
      <c r="B696" s="5">
        <f>IF($E696="","",INDEX('Input Transaksi'!$D:$D,$E696))</f>
        <v/>
      </c>
      <c r="C696">
        <f>IF($E696="","",INDEX('Input Transaksi'!$E:$E,$E696))</f>
        <v/>
      </c>
      <c r="D696" s="5">
        <f>IF($E696="","",INDEX('Input Transaksi'!$F:$F,$E696))</f>
        <v/>
      </c>
      <c r="E696">
        <f>IFERROR(AGGREGATE(15,6,ROW('Input Transaksi'!$B$5:$B$5000)/('Input Transaksi'!$B$5:$B$5000="JCL SESETAN"),ROWS($E$5:E696)),"")</f>
        <v/>
      </c>
      <c r="F696" s="5" t="n"/>
    </row>
    <row r="697">
      <c r="A697" s="10">
        <f>IF($E697="","",INDEX('Input Transaksi'!$A:$A,$E697))</f>
        <v/>
      </c>
      <c r="B697" s="5">
        <f>IF($E697="","",INDEX('Input Transaksi'!$D:$D,$E697))</f>
        <v/>
      </c>
      <c r="C697">
        <f>IF($E697="","",INDEX('Input Transaksi'!$E:$E,$E697))</f>
        <v/>
      </c>
      <c r="D697" s="5">
        <f>IF($E697="","",INDEX('Input Transaksi'!$F:$F,$E697))</f>
        <v/>
      </c>
      <c r="E697">
        <f>IFERROR(AGGREGATE(15,6,ROW('Input Transaksi'!$B$5:$B$5000)/('Input Transaksi'!$B$5:$B$5000="JCL SESETAN"),ROWS($E$5:E697)),"")</f>
        <v/>
      </c>
      <c r="F697" s="5" t="n"/>
    </row>
    <row r="698">
      <c r="A698" s="10">
        <f>IF($E698="","",INDEX('Input Transaksi'!$A:$A,$E698))</f>
        <v/>
      </c>
      <c r="B698" s="5">
        <f>IF($E698="","",INDEX('Input Transaksi'!$D:$D,$E698))</f>
        <v/>
      </c>
      <c r="C698">
        <f>IF($E698="","",INDEX('Input Transaksi'!$E:$E,$E698))</f>
        <v/>
      </c>
      <c r="D698" s="5">
        <f>IF($E698="","",INDEX('Input Transaksi'!$F:$F,$E698))</f>
        <v/>
      </c>
      <c r="E698">
        <f>IFERROR(AGGREGATE(15,6,ROW('Input Transaksi'!$B$5:$B$5000)/('Input Transaksi'!$B$5:$B$5000="JCL SESETAN"),ROWS($E$5:E698)),"")</f>
        <v/>
      </c>
      <c r="F698" s="5" t="n"/>
    </row>
    <row r="699">
      <c r="A699" s="10">
        <f>IF($E699="","",INDEX('Input Transaksi'!$A:$A,$E699))</f>
        <v/>
      </c>
      <c r="B699" s="5">
        <f>IF($E699="","",INDEX('Input Transaksi'!$D:$D,$E699))</f>
        <v/>
      </c>
      <c r="C699">
        <f>IF($E699="","",INDEX('Input Transaksi'!$E:$E,$E699))</f>
        <v/>
      </c>
      <c r="D699" s="5">
        <f>IF($E699="","",INDEX('Input Transaksi'!$F:$F,$E699))</f>
        <v/>
      </c>
      <c r="E699">
        <f>IFERROR(AGGREGATE(15,6,ROW('Input Transaksi'!$B$5:$B$5000)/('Input Transaksi'!$B$5:$B$5000="JCL SESETAN"),ROWS($E$5:E699)),"")</f>
        <v/>
      </c>
      <c r="F699" s="5" t="n"/>
    </row>
    <row r="700">
      <c r="A700" s="10">
        <f>IF($E700="","",INDEX('Input Transaksi'!$A:$A,$E700))</f>
        <v/>
      </c>
      <c r="B700" s="5">
        <f>IF($E700="","",INDEX('Input Transaksi'!$D:$D,$E700))</f>
        <v/>
      </c>
      <c r="C700">
        <f>IF($E700="","",INDEX('Input Transaksi'!$E:$E,$E700))</f>
        <v/>
      </c>
      <c r="D700" s="5">
        <f>IF($E700="","",INDEX('Input Transaksi'!$F:$F,$E700))</f>
        <v/>
      </c>
      <c r="E700">
        <f>IFERROR(AGGREGATE(15,6,ROW('Input Transaksi'!$B$5:$B$5000)/('Input Transaksi'!$B$5:$B$5000="JCL SESETAN"),ROWS($E$5:E700)),"")</f>
        <v/>
      </c>
      <c r="F700" s="5" t="n"/>
    </row>
    <row r="701">
      <c r="A701" s="10">
        <f>IF($E701="","",INDEX('Input Transaksi'!$A:$A,$E701))</f>
        <v/>
      </c>
      <c r="B701" s="5">
        <f>IF($E701="","",INDEX('Input Transaksi'!$D:$D,$E701))</f>
        <v/>
      </c>
      <c r="C701">
        <f>IF($E701="","",INDEX('Input Transaksi'!$E:$E,$E701))</f>
        <v/>
      </c>
      <c r="D701" s="5">
        <f>IF($E701="","",INDEX('Input Transaksi'!$F:$F,$E701))</f>
        <v/>
      </c>
      <c r="E701">
        <f>IFERROR(AGGREGATE(15,6,ROW('Input Transaksi'!$B$5:$B$5000)/('Input Transaksi'!$B$5:$B$5000="JCL SESETAN"),ROWS($E$5:E701)),"")</f>
        <v/>
      </c>
      <c r="F701" s="5" t="n"/>
    </row>
    <row r="702">
      <c r="A702" s="10">
        <f>IF($E702="","",INDEX('Input Transaksi'!$A:$A,$E702))</f>
        <v/>
      </c>
      <c r="B702" s="5">
        <f>IF($E702="","",INDEX('Input Transaksi'!$D:$D,$E702))</f>
        <v/>
      </c>
      <c r="C702">
        <f>IF($E702="","",INDEX('Input Transaksi'!$E:$E,$E702))</f>
        <v/>
      </c>
      <c r="D702" s="5">
        <f>IF($E702="","",INDEX('Input Transaksi'!$F:$F,$E702))</f>
        <v/>
      </c>
      <c r="E702">
        <f>IFERROR(AGGREGATE(15,6,ROW('Input Transaksi'!$B$5:$B$5000)/('Input Transaksi'!$B$5:$B$5000="JCL SESETAN"),ROWS($E$5:E702)),"")</f>
        <v/>
      </c>
      <c r="F702" s="5" t="n"/>
    </row>
    <row r="703">
      <c r="A703" s="10">
        <f>IF($E703="","",INDEX('Input Transaksi'!$A:$A,$E703))</f>
        <v/>
      </c>
      <c r="B703" s="5">
        <f>IF($E703="","",INDEX('Input Transaksi'!$D:$D,$E703))</f>
        <v/>
      </c>
      <c r="C703">
        <f>IF($E703="","",INDEX('Input Transaksi'!$E:$E,$E703))</f>
        <v/>
      </c>
      <c r="D703" s="5">
        <f>IF($E703="","",INDEX('Input Transaksi'!$F:$F,$E703))</f>
        <v/>
      </c>
      <c r="E703">
        <f>IFERROR(AGGREGATE(15,6,ROW('Input Transaksi'!$B$5:$B$5000)/('Input Transaksi'!$B$5:$B$5000="JCL SESETAN"),ROWS($E$5:E703)),"")</f>
        <v/>
      </c>
      <c r="F703" s="5" t="n"/>
    </row>
    <row r="704">
      <c r="A704" s="10">
        <f>IF($E704="","",INDEX('Input Transaksi'!$A:$A,$E704))</f>
        <v/>
      </c>
      <c r="B704" s="5">
        <f>IF($E704="","",INDEX('Input Transaksi'!$D:$D,$E704))</f>
        <v/>
      </c>
      <c r="C704">
        <f>IF($E704="","",INDEX('Input Transaksi'!$E:$E,$E704))</f>
        <v/>
      </c>
      <c r="D704" s="5">
        <f>IF($E704="","",INDEX('Input Transaksi'!$F:$F,$E704))</f>
        <v/>
      </c>
      <c r="E704">
        <f>IFERROR(AGGREGATE(15,6,ROW('Input Transaksi'!$B$5:$B$5000)/('Input Transaksi'!$B$5:$B$5000="JCL SESETAN"),ROWS($E$5:E704)),"")</f>
        <v/>
      </c>
      <c r="F704" s="5" t="n"/>
    </row>
    <row r="705">
      <c r="A705" s="10">
        <f>IF($E705="","",INDEX('Input Transaksi'!$A:$A,$E705))</f>
        <v/>
      </c>
      <c r="B705" s="5">
        <f>IF($E705="","",INDEX('Input Transaksi'!$D:$D,$E705))</f>
        <v/>
      </c>
      <c r="C705">
        <f>IF($E705="","",INDEX('Input Transaksi'!$E:$E,$E705))</f>
        <v/>
      </c>
      <c r="D705" s="5">
        <f>IF($E705="","",INDEX('Input Transaksi'!$F:$F,$E705))</f>
        <v/>
      </c>
      <c r="E705">
        <f>IFERROR(AGGREGATE(15,6,ROW('Input Transaksi'!$B$5:$B$5000)/('Input Transaksi'!$B$5:$B$5000="JCL SESETAN"),ROWS($E$5:E705)),"")</f>
        <v/>
      </c>
      <c r="F705" s="5" t="n"/>
    </row>
    <row r="706">
      <c r="A706" s="10">
        <f>IF($E706="","",INDEX('Input Transaksi'!$A:$A,$E706))</f>
        <v/>
      </c>
      <c r="B706" s="5">
        <f>IF($E706="","",INDEX('Input Transaksi'!$D:$D,$E706))</f>
        <v/>
      </c>
      <c r="C706">
        <f>IF($E706="","",INDEX('Input Transaksi'!$E:$E,$E706))</f>
        <v/>
      </c>
      <c r="D706" s="5">
        <f>IF($E706="","",INDEX('Input Transaksi'!$F:$F,$E706))</f>
        <v/>
      </c>
      <c r="E706">
        <f>IFERROR(AGGREGATE(15,6,ROW('Input Transaksi'!$B$5:$B$5000)/('Input Transaksi'!$B$5:$B$5000="JCL SESETAN"),ROWS($E$5:E706)),"")</f>
        <v/>
      </c>
      <c r="F706" s="5" t="n"/>
    </row>
    <row r="707">
      <c r="A707" s="10">
        <f>IF($E707="","",INDEX('Input Transaksi'!$A:$A,$E707))</f>
        <v/>
      </c>
      <c r="B707" s="5">
        <f>IF($E707="","",INDEX('Input Transaksi'!$D:$D,$E707))</f>
        <v/>
      </c>
      <c r="C707">
        <f>IF($E707="","",INDEX('Input Transaksi'!$E:$E,$E707))</f>
        <v/>
      </c>
      <c r="D707" s="5">
        <f>IF($E707="","",INDEX('Input Transaksi'!$F:$F,$E707))</f>
        <v/>
      </c>
      <c r="E707">
        <f>IFERROR(AGGREGATE(15,6,ROW('Input Transaksi'!$B$5:$B$5000)/('Input Transaksi'!$B$5:$B$5000="JCL SESETAN"),ROWS($E$5:E707)),"")</f>
        <v/>
      </c>
      <c r="F707" s="5" t="n"/>
    </row>
    <row r="708">
      <c r="A708" s="10">
        <f>IF($E708="","",INDEX('Input Transaksi'!$A:$A,$E708))</f>
        <v/>
      </c>
      <c r="B708" s="5">
        <f>IF($E708="","",INDEX('Input Transaksi'!$D:$D,$E708))</f>
        <v/>
      </c>
      <c r="C708">
        <f>IF($E708="","",INDEX('Input Transaksi'!$E:$E,$E708))</f>
        <v/>
      </c>
      <c r="D708" s="5">
        <f>IF($E708="","",INDEX('Input Transaksi'!$F:$F,$E708))</f>
        <v/>
      </c>
      <c r="E708">
        <f>IFERROR(AGGREGATE(15,6,ROW('Input Transaksi'!$B$5:$B$5000)/('Input Transaksi'!$B$5:$B$5000="JCL SESETAN"),ROWS($E$5:E708)),"")</f>
        <v/>
      </c>
      <c r="F708" s="5" t="n"/>
    </row>
    <row r="709">
      <c r="A709" s="10">
        <f>IF($E709="","",INDEX('Input Transaksi'!$A:$A,$E709))</f>
        <v/>
      </c>
      <c r="B709" s="5">
        <f>IF($E709="","",INDEX('Input Transaksi'!$D:$D,$E709))</f>
        <v/>
      </c>
      <c r="C709">
        <f>IF($E709="","",INDEX('Input Transaksi'!$E:$E,$E709))</f>
        <v/>
      </c>
      <c r="D709" s="5">
        <f>IF($E709="","",INDEX('Input Transaksi'!$F:$F,$E709))</f>
        <v/>
      </c>
      <c r="E709">
        <f>IFERROR(AGGREGATE(15,6,ROW('Input Transaksi'!$B$5:$B$5000)/('Input Transaksi'!$B$5:$B$5000="JCL SESETAN"),ROWS($E$5:E709)),"")</f>
        <v/>
      </c>
      <c r="F709" s="5" t="n"/>
    </row>
    <row r="710">
      <c r="A710" s="10">
        <f>IF($E710="","",INDEX('Input Transaksi'!$A:$A,$E710))</f>
        <v/>
      </c>
      <c r="B710" s="5">
        <f>IF($E710="","",INDEX('Input Transaksi'!$D:$D,$E710))</f>
        <v/>
      </c>
      <c r="C710">
        <f>IF($E710="","",INDEX('Input Transaksi'!$E:$E,$E710))</f>
        <v/>
      </c>
      <c r="D710" s="5">
        <f>IF($E710="","",INDEX('Input Transaksi'!$F:$F,$E710))</f>
        <v/>
      </c>
      <c r="E710">
        <f>IFERROR(AGGREGATE(15,6,ROW('Input Transaksi'!$B$5:$B$5000)/('Input Transaksi'!$B$5:$B$5000="JCL SESETAN"),ROWS($E$5:E710)),"")</f>
        <v/>
      </c>
      <c r="F710" s="5" t="n"/>
    </row>
    <row r="711">
      <c r="A711" s="10">
        <f>IF($E711="","",INDEX('Input Transaksi'!$A:$A,$E711))</f>
        <v/>
      </c>
      <c r="B711" s="5">
        <f>IF($E711="","",INDEX('Input Transaksi'!$D:$D,$E711))</f>
        <v/>
      </c>
      <c r="C711">
        <f>IF($E711="","",INDEX('Input Transaksi'!$E:$E,$E711))</f>
        <v/>
      </c>
      <c r="D711" s="5">
        <f>IF($E711="","",INDEX('Input Transaksi'!$F:$F,$E711))</f>
        <v/>
      </c>
      <c r="E711">
        <f>IFERROR(AGGREGATE(15,6,ROW('Input Transaksi'!$B$5:$B$5000)/('Input Transaksi'!$B$5:$B$5000="JCL SESETAN"),ROWS($E$5:E711)),"")</f>
        <v/>
      </c>
      <c r="F711" s="5" t="n"/>
    </row>
    <row r="712">
      <c r="A712" s="10">
        <f>IF($E712="","",INDEX('Input Transaksi'!$A:$A,$E712))</f>
        <v/>
      </c>
      <c r="B712" s="5">
        <f>IF($E712="","",INDEX('Input Transaksi'!$D:$D,$E712))</f>
        <v/>
      </c>
      <c r="C712">
        <f>IF($E712="","",INDEX('Input Transaksi'!$E:$E,$E712))</f>
        <v/>
      </c>
      <c r="D712" s="5">
        <f>IF($E712="","",INDEX('Input Transaksi'!$F:$F,$E712))</f>
        <v/>
      </c>
      <c r="E712">
        <f>IFERROR(AGGREGATE(15,6,ROW('Input Transaksi'!$B$5:$B$5000)/('Input Transaksi'!$B$5:$B$5000="JCL SESETAN"),ROWS($E$5:E712)),"")</f>
        <v/>
      </c>
      <c r="F712" s="5" t="n"/>
    </row>
    <row r="713">
      <c r="A713" s="10">
        <f>IF($E713="","",INDEX('Input Transaksi'!$A:$A,$E713))</f>
        <v/>
      </c>
      <c r="B713" s="5">
        <f>IF($E713="","",INDEX('Input Transaksi'!$D:$D,$E713))</f>
        <v/>
      </c>
      <c r="C713">
        <f>IF($E713="","",INDEX('Input Transaksi'!$E:$E,$E713))</f>
        <v/>
      </c>
      <c r="D713" s="5">
        <f>IF($E713="","",INDEX('Input Transaksi'!$F:$F,$E713))</f>
        <v/>
      </c>
      <c r="E713">
        <f>IFERROR(AGGREGATE(15,6,ROW('Input Transaksi'!$B$5:$B$5000)/('Input Transaksi'!$B$5:$B$5000="JCL SESETAN"),ROWS($E$5:E713)),"")</f>
        <v/>
      </c>
      <c r="F713" s="5" t="n"/>
    </row>
    <row r="714">
      <c r="A714" s="10">
        <f>IF($E714="","",INDEX('Input Transaksi'!$A:$A,$E714))</f>
        <v/>
      </c>
      <c r="B714" s="5">
        <f>IF($E714="","",INDEX('Input Transaksi'!$D:$D,$E714))</f>
        <v/>
      </c>
      <c r="C714">
        <f>IF($E714="","",INDEX('Input Transaksi'!$E:$E,$E714))</f>
        <v/>
      </c>
      <c r="D714" s="5">
        <f>IF($E714="","",INDEX('Input Transaksi'!$F:$F,$E714))</f>
        <v/>
      </c>
      <c r="E714">
        <f>IFERROR(AGGREGATE(15,6,ROW('Input Transaksi'!$B$5:$B$5000)/('Input Transaksi'!$B$5:$B$5000="JCL SESETAN"),ROWS($E$5:E714)),"")</f>
        <v/>
      </c>
      <c r="F714" s="5" t="n"/>
    </row>
    <row r="715">
      <c r="A715" s="10">
        <f>IF($E715="","",INDEX('Input Transaksi'!$A:$A,$E715))</f>
        <v/>
      </c>
      <c r="B715" s="5">
        <f>IF($E715="","",INDEX('Input Transaksi'!$D:$D,$E715))</f>
        <v/>
      </c>
      <c r="C715">
        <f>IF($E715="","",INDEX('Input Transaksi'!$E:$E,$E715))</f>
        <v/>
      </c>
      <c r="D715" s="5">
        <f>IF($E715="","",INDEX('Input Transaksi'!$F:$F,$E715))</f>
        <v/>
      </c>
      <c r="E715">
        <f>IFERROR(AGGREGATE(15,6,ROW('Input Transaksi'!$B$5:$B$5000)/('Input Transaksi'!$B$5:$B$5000="JCL SESETAN"),ROWS($E$5:E715)),"")</f>
        <v/>
      </c>
      <c r="F715" s="5" t="n"/>
    </row>
    <row r="716">
      <c r="A716" s="10">
        <f>IF($E716="","",INDEX('Input Transaksi'!$A:$A,$E716))</f>
        <v/>
      </c>
      <c r="B716" s="5">
        <f>IF($E716="","",INDEX('Input Transaksi'!$D:$D,$E716))</f>
        <v/>
      </c>
      <c r="C716">
        <f>IF($E716="","",INDEX('Input Transaksi'!$E:$E,$E716))</f>
        <v/>
      </c>
      <c r="D716" s="5">
        <f>IF($E716="","",INDEX('Input Transaksi'!$F:$F,$E716))</f>
        <v/>
      </c>
      <c r="E716">
        <f>IFERROR(AGGREGATE(15,6,ROW('Input Transaksi'!$B$5:$B$5000)/('Input Transaksi'!$B$5:$B$5000="JCL SESETAN"),ROWS($E$5:E716)),"")</f>
        <v/>
      </c>
      <c r="F716" s="5" t="n"/>
    </row>
    <row r="717">
      <c r="A717" s="10">
        <f>IF($E717="","",INDEX('Input Transaksi'!$A:$A,$E717))</f>
        <v/>
      </c>
      <c r="B717" s="5">
        <f>IF($E717="","",INDEX('Input Transaksi'!$D:$D,$E717))</f>
        <v/>
      </c>
      <c r="C717">
        <f>IF($E717="","",INDEX('Input Transaksi'!$E:$E,$E717))</f>
        <v/>
      </c>
      <c r="D717" s="5">
        <f>IF($E717="","",INDEX('Input Transaksi'!$F:$F,$E717))</f>
        <v/>
      </c>
      <c r="E717">
        <f>IFERROR(AGGREGATE(15,6,ROW('Input Transaksi'!$B$5:$B$5000)/('Input Transaksi'!$B$5:$B$5000="JCL SESETAN"),ROWS($E$5:E717)),"")</f>
        <v/>
      </c>
      <c r="F717" s="5" t="n"/>
    </row>
    <row r="718">
      <c r="A718" s="10">
        <f>IF($E718="","",INDEX('Input Transaksi'!$A:$A,$E718))</f>
        <v/>
      </c>
      <c r="B718" s="5">
        <f>IF($E718="","",INDEX('Input Transaksi'!$D:$D,$E718))</f>
        <v/>
      </c>
      <c r="C718">
        <f>IF($E718="","",INDEX('Input Transaksi'!$E:$E,$E718))</f>
        <v/>
      </c>
      <c r="D718" s="5">
        <f>IF($E718="","",INDEX('Input Transaksi'!$F:$F,$E718))</f>
        <v/>
      </c>
      <c r="E718">
        <f>IFERROR(AGGREGATE(15,6,ROW('Input Transaksi'!$B$5:$B$5000)/('Input Transaksi'!$B$5:$B$5000="JCL SESETAN"),ROWS($E$5:E718)),"")</f>
        <v/>
      </c>
      <c r="F718" s="5" t="n"/>
    </row>
    <row r="719">
      <c r="A719" s="10">
        <f>IF($E719="","",INDEX('Input Transaksi'!$A:$A,$E719))</f>
        <v/>
      </c>
      <c r="B719" s="5">
        <f>IF($E719="","",INDEX('Input Transaksi'!$D:$D,$E719))</f>
        <v/>
      </c>
      <c r="C719">
        <f>IF($E719="","",INDEX('Input Transaksi'!$E:$E,$E719))</f>
        <v/>
      </c>
      <c r="D719" s="5">
        <f>IF($E719="","",INDEX('Input Transaksi'!$F:$F,$E719))</f>
        <v/>
      </c>
      <c r="E719">
        <f>IFERROR(AGGREGATE(15,6,ROW('Input Transaksi'!$B$5:$B$5000)/('Input Transaksi'!$B$5:$B$5000="JCL SESETAN"),ROWS($E$5:E719)),"")</f>
        <v/>
      </c>
      <c r="F719" s="5" t="n"/>
    </row>
    <row r="720">
      <c r="A720" s="10">
        <f>IF($E720="","",INDEX('Input Transaksi'!$A:$A,$E720))</f>
        <v/>
      </c>
      <c r="B720" s="5">
        <f>IF($E720="","",INDEX('Input Transaksi'!$D:$D,$E720))</f>
        <v/>
      </c>
      <c r="C720">
        <f>IF($E720="","",INDEX('Input Transaksi'!$E:$E,$E720))</f>
        <v/>
      </c>
      <c r="D720" s="5">
        <f>IF($E720="","",INDEX('Input Transaksi'!$F:$F,$E720))</f>
        <v/>
      </c>
      <c r="E720">
        <f>IFERROR(AGGREGATE(15,6,ROW('Input Transaksi'!$B$5:$B$5000)/('Input Transaksi'!$B$5:$B$5000="JCL SESETAN"),ROWS($E$5:E720)),"")</f>
        <v/>
      </c>
      <c r="F720" s="5" t="n"/>
    </row>
    <row r="721">
      <c r="A721" s="10">
        <f>IF($E721="","",INDEX('Input Transaksi'!$A:$A,$E721))</f>
        <v/>
      </c>
      <c r="B721" s="5">
        <f>IF($E721="","",INDEX('Input Transaksi'!$D:$D,$E721))</f>
        <v/>
      </c>
      <c r="C721">
        <f>IF($E721="","",INDEX('Input Transaksi'!$E:$E,$E721))</f>
        <v/>
      </c>
      <c r="D721" s="5">
        <f>IF($E721="","",INDEX('Input Transaksi'!$F:$F,$E721))</f>
        <v/>
      </c>
      <c r="E721">
        <f>IFERROR(AGGREGATE(15,6,ROW('Input Transaksi'!$B$5:$B$5000)/('Input Transaksi'!$B$5:$B$5000="JCL SESETAN"),ROWS($E$5:E721)),"")</f>
        <v/>
      </c>
      <c r="F721" s="5" t="n"/>
    </row>
    <row r="722">
      <c r="A722" s="10">
        <f>IF($E722="","",INDEX('Input Transaksi'!$A:$A,$E722))</f>
        <v/>
      </c>
      <c r="B722" s="5">
        <f>IF($E722="","",INDEX('Input Transaksi'!$D:$D,$E722))</f>
        <v/>
      </c>
      <c r="C722">
        <f>IF($E722="","",INDEX('Input Transaksi'!$E:$E,$E722))</f>
        <v/>
      </c>
      <c r="D722" s="5">
        <f>IF($E722="","",INDEX('Input Transaksi'!$F:$F,$E722))</f>
        <v/>
      </c>
      <c r="E722">
        <f>IFERROR(AGGREGATE(15,6,ROW('Input Transaksi'!$B$5:$B$5000)/('Input Transaksi'!$B$5:$B$5000="JCL SESETAN"),ROWS($E$5:E722)),"")</f>
        <v/>
      </c>
      <c r="F722" s="5" t="n"/>
    </row>
    <row r="723">
      <c r="A723" s="10">
        <f>IF($E723="","",INDEX('Input Transaksi'!$A:$A,$E723))</f>
        <v/>
      </c>
      <c r="B723" s="5">
        <f>IF($E723="","",INDEX('Input Transaksi'!$D:$D,$E723))</f>
        <v/>
      </c>
      <c r="C723">
        <f>IF($E723="","",INDEX('Input Transaksi'!$E:$E,$E723))</f>
        <v/>
      </c>
      <c r="D723" s="5">
        <f>IF($E723="","",INDEX('Input Transaksi'!$F:$F,$E723))</f>
        <v/>
      </c>
      <c r="E723">
        <f>IFERROR(AGGREGATE(15,6,ROW('Input Transaksi'!$B$5:$B$5000)/('Input Transaksi'!$B$5:$B$5000="JCL SESETAN"),ROWS($E$5:E723)),"")</f>
        <v/>
      </c>
      <c r="F723" s="5" t="n"/>
    </row>
    <row r="724">
      <c r="A724" s="10">
        <f>IF($E724="","",INDEX('Input Transaksi'!$A:$A,$E724))</f>
        <v/>
      </c>
      <c r="B724" s="5">
        <f>IF($E724="","",INDEX('Input Transaksi'!$D:$D,$E724))</f>
        <v/>
      </c>
      <c r="C724">
        <f>IF($E724="","",INDEX('Input Transaksi'!$E:$E,$E724))</f>
        <v/>
      </c>
      <c r="D724" s="5">
        <f>IF($E724="","",INDEX('Input Transaksi'!$F:$F,$E724))</f>
        <v/>
      </c>
      <c r="E724">
        <f>IFERROR(AGGREGATE(15,6,ROW('Input Transaksi'!$B$5:$B$5000)/('Input Transaksi'!$B$5:$B$5000="JCL SESETAN"),ROWS($E$5:E724)),"")</f>
        <v/>
      </c>
      <c r="F724" s="5" t="n"/>
    </row>
    <row r="725">
      <c r="A725" s="10">
        <f>IF($E725="","",INDEX('Input Transaksi'!$A:$A,$E725))</f>
        <v/>
      </c>
      <c r="B725" s="5">
        <f>IF($E725="","",INDEX('Input Transaksi'!$D:$D,$E725))</f>
        <v/>
      </c>
      <c r="C725">
        <f>IF($E725="","",INDEX('Input Transaksi'!$E:$E,$E725))</f>
        <v/>
      </c>
      <c r="D725" s="5">
        <f>IF($E725="","",INDEX('Input Transaksi'!$F:$F,$E725))</f>
        <v/>
      </c>
      <c r="E725">
        <f>IFERROR(AGGREGATE(15,6,ROW('Input Transaksi'!$B$5:$B$5000)/('Input Transaksi'!$B$5:$B$5000="JCL SESETAN"),ROWS($E$5:E725)),"")</f>
        <v/>
      </c>
      <c r="F725" s="5" t="n"/>
    </row>
    <row r="726">
      <c r="A726" s="10">
        <f>IF($E726="","",INDEX('Input Transaksi'!$A:$A,$E726))</f>
        <v/>
      </c>
      <c r="B726" s="5">
        <f>IF($E726="","",INDEX('Input Transaksi'!$D:$D,$E726))</f>
        <v/>
      </c>
      <c r="C726">
        <f>IF($E726="","",INDEX('Input Transaksi'!$E:$E,$E726))</f>
        <v/>
      </c>
      <c r="D726" s="5">
        <f>IF($E726="","",INDEX('Input Transaksi'!$F:$F,$E726))</f>
        <v/>
      </c>
      <c r="E726">
        <f>IFERROR(AGGREGATE(15,6,ROW('Input Transaksi'!$B$5:$B$5000)/('Input Transaksi'!$B$5:$B$5000="JCL SESETAN"),ROWS($E$5:E726)),"")</f>
        <v/>
      </c>
      <c r="F726" s="5" t="n"/>
    </row>
    <row r="727">
      <c r="A727" s="10">
        <f>IF($E727="","",INDEX('Input Transaksi'!$A:$A,$E727))</f>
        <v/>
      </c>
      <c r="B727" s="5">
        <f>IF($E727="","",INDEX('Input Transaksi'!$D:$D,$E727))</f>
        <v/>
      </c>
      <c r="C727">
        <f>IF($E727="","",INDEX('Input Transaksi'!$E:$E,$E727))</f>
        <v/>
      </c>
      <c r="D727" s="5">
        <f>IF($E727="","",INDEX('Input Transaksi'!$F:$F,$E727))</f>
        <v/>
      </c>
      <c r="E727">
        <f>IFERROR(AGGREGATE(15,6,ROW('Input Transaksi'!$B$5:$B$5000)/('Input Transaksi'!$B$5:$B$5000="JCL SESETAN"),ROWS($E$5:E727)),"")</f>
        <v/>
      </c>
      <c r="F727" s="5" t="n"/>
    </row>
    <row r="728">
      <c r="A728" s="10">
        <f>IF($E728="","",INDEX('Input Transaksi'!$A:$A,$E728))</f>
        <v/>
      </c>
      <c r="B728" s="5">
        <f>IF($E728="","",INDEX('Input Transaksi'!$D:$D,$E728))</f>
        <v/>
      </c>
      <c r="C728">
        <f>IF($E728="","",INDEX('Input Transaksi'!$E:$E,$E728))</f>
        <v/>
      </c>
      <c r="D728" s="5">
        <f>IF($E728="","",INDEX('Input Transaksi'!$F:$F,$E728))</f>
        <v/>
      </c>
      <c r="E728">
        <f>IFERROR(AGGREGATE(15,6,ROW('Input Transaksi'!$B$5:$B$5000)/('Input Transaksi'!$B$5:$B$5000="JCL SESETAN"),ROWS($E$5:E728)),"")</f>
        <v/>
      </c>
      <c r="F728" s="5" t="n"/>
    </row>
    <row r="729">
      <c r="A729" s="10">
        <f>IF($E729="","",INDEX('Input Transaksi'!$A:$A,$E729))</f>
        <v/>
      </c>
      <c r="B729" s="5">
        <f>IF($E729="","",INDEX('Input Transaksi'!$D:$D,$E729))</f>
        <v/>
      </c>
      <c r="C729">
        <f>IF($E729="","",INDEX('Input Transaksi'!$E:$E,$E729))</f>
        <v/>
      </c>
      <c r="D729" s="5">
        <f>IF($E729="","",INDEX('Input Transaksi'!$F:$F,$E729))</f>
        <v/>
      </c>
      <c r="E729">
        <f>IFERROR(AGGREGATE(15,6,ROW('Input Transaksi'!$B$5:$B$5000)/('Input Transaksi'!$B$5:$B$5000="JCL SESETAN"),ROWS($E$5:E729)),"")</f>
        <v/>
      </c>
      <c r="F729" s="5" t="n"/>
    </row>
    <row r="730">
      <c r="A730" s="10">
        <f>IF($E730="","",INDEX('Input Transaksi'!$A:$A,$E730))</f>
        <v/>
      </c>
      <c r="B730" s="5">
        <f>IF($E730="","",INDEX('Input Transaksi'!$D:$D,$E730))</f>
        <v/>
      </c>
      <c r="C730">
        <f>IF($E730="","",INDEX('Input Transaksi'!$E:$E,$E730))</f>
        <v/>
      </c>
      <c r="D730" s="5">
        <f>IF($E730="","",INDEX('Input Transaksi'!$F:$F,$E730))</f>
        <v/>
      </c>
      <c r="E730">
        <f>IFERROR(AGGREGATE(15,6,ROW('Input Transaksi'!$B$5:$B$5000)/('Input Transaksi'!$B$5:$B$5000="JCL SESETAN"),ROWS($E$5:E730)),"")</f>
        <v/>
      </c>
      <c r="F730" s="5" t="n"/>
    </row>
    <row r="731">
      <c r="A731" s="10">
        <f>IF($E731="","",INDEX('Input Transaksi'!$A:$A,$E731))</f>
        <v/>
      </c>
      <c r="B731" s="5">
        <f>IF($E731="","",INDEX('Input Transaksi'!$D:$D,$E731))</f>
        <v/>
      </c>
      <c r="C731">
        <f>IF($E731="","",INDEX('Input Transaksi'!$E:$E,$E731))</f>
        <v/>
      </c>
      <c r="D731" s="5">
        <f>IF($E731="","",INDEX('Input Transaksi'!$F:$F,$E731))</f>
        <v/>
      </c>
      <c r="E731">
        <f>IFERROR(AGGREGATE(15,6,ROW('Input Transaksi'!$B$5:$B$5000)/('Input Transaksi'!$B$5:$B$5000="JCL SESETAN"),ROWS($E$5:E731)),"")</f>
        <v/>
      </c>
      <c r="F731" s="5" t="n"/>
    </row>
    <row r="732">
      <c r="A732" s="10">
        <f>IF($E732="","",INDEX('Input Transaksi'!$A:$A,$E732))</f>
        <v/>
      </c>
      <c r="B732" s="5">
        <f>IF($E732="","",INDEX('Input Transaksi'!$D:$D,$E732))</f>
        <v/>
      </c>
      <c r="C732">
        <f>IF($E732="","",INDEX('Input Transaksi'!$E:$E,$E732))</f>
        <v/>
      </c>
      <c r="D732" s="5">
        <f>IF($E732="","",INDEX('Input Transaksi'!$F:$F,$E732))</f>
        <v/>
      </c>
      <c r="E732">
        <f>IFERROR(AGGREGATE(15,6,ROW('Input Transaksi'!$B$5:$B$5000)/('Input Transaksi'!$B$5:$B$5000="JCL SESETAN"),ROWS($E$5:E732)),"")</f>
        <v/>
      </c>
      <c r="F732" s="5" t="n"/>
    </row>
    <row r="733">
      <c r="A733" s="10">
        <f>IF($E733="","",INDEX('Input Transaksi'!$A:$A,$E733))</f>
        <v/>
      </c>
      <c r="B733" s="5">
        <f>IF($E733="","",INDEX('Input Transaksi'!$D:$D,$E733))</f>
        <v/>
      </c>
      <c r="C733">
        <f>IF($E733="","",INDEX('Input Transaksi'!$E:$E,$E733))</f>
        <v/>
      </c>
      <c r="D733" s="5">
        <f>IF($E733="","",INDEX('Input Transaksi'!$F:$F,$E733))</f>
        <v/>
      </c>
      <c r="E733">
        <f>IFERROR(AGGREGATE(15,6,ROW('Input Transaksi'!$B$5:$B$5000)/('Input Transaksi'!$B$5:$B$5000="JCL SESETAN"),ROWS($E$5:E733)),"")</f>
        <v/>
      </c>
      <c r="F733" s="5" t="n"/>
    </row>
    <row r="734">
      <c r="A734" s="10">
        <f>IF($E734="","",INDEX('Input Transaksi'!$A:$A,$E734))</f>
        <v/>
      </c>
      <c r="B734" s="5">
        <f>IF($E734="","",INDEX('Input Transaksi'!$D:$D,$E734))</f>
        <v/>
      </c>
      <c r="C734">
        <f>IF($E734="","",INDEX('Input Transaksi'!$E:$E,$E734))</f>
        <v/>
      </c>
      <c r="D734" s="5">
        <f>IF($E734="","",INDEX('Input Transaksi'!$F:$F,$E734))</f>
        <v/>
      </c>
      <c r="E734">
        <f>IFERROR(AGGREGATE(15,6,ROW('Input Transaksi'!$B$5:$B$5000)/('Input Transaksi'!$B$5:$B$5000="JCL SESETAN"),ROWS($E$5:E734)),"")</f>
        <v/>
      </c>
      <c r="F734" s="5" t="n"/>
    </row>
    <row r="735">
      <c r="A735" s="10">
        <f>IF($E735="","",INDEX('Input Transaksi'!$A:$A,$E735))</f>
        <v/>
      </c>
      <c r="B735" s="5">
        <f>IF($E735="","",INDEX('Input Transaksi'!$D:$D,$E735))</f>
        <v/>
      </c>
      <c r="C735">
        <f>IF($E735="","",INDEX('Input Transaksi'!$E:$E,$E735))</f>
        <v/>
      </c>
      <c r="D735" s="5">
        <f>IF($E735="","",INDEX('Input Transaksi'!$F:$F,$E735))</f>
        <v/>
      </c>
      <c r="E735">
        <f>IFERROR(AGGREGATE(15,6,ROW('Input Transaksi'!$B$5:$B$5000)/('Input Transaksi'!$B$5:$B$5000="JCL SESETAN"),ROWS($E$5:E735)),"")</f>
        <v/>
      </c>
      <c r="F735" s="5" t="n"/>
    </row>
    <row r="736">
      <c r="A736" s="10">
        <f>IF($E736="","",INDEX('Input Transaksi'!$A:$A,$E736))</f>
        <v/>
      </c>
      <c r="B736" s="5">
        <f>IF($E736="","",INDEX('Input Transaksi'!$D:$D,$E736))</f>
        <v/>
      </c>
      <c r="C736">
        <f>IF($E736="","",INDEX('Input Transaksi'!$E:$E,$E736))</f>
        <v/>
      </c>
      <c r="D736" s="5">
        <f>IF($E736="","",INDEX('Input Transaksi'!$F:$F,$E736))</f>
        <v/>
      </c>
      <c r="E736">
        <f>IFERROR(AGGREGATE(15,6,ROW('Input Transaksi'!$B$5:$B$5000)/('Input Transaksi'!$B$5:$B$5000="JCL SESETAN"),ROWS($E$5:E736)),"")</f>
        <v/>
      </c>
      <c r="F736" s="5" t="n"/>
    </row>
    <row r="737">
      <c r="A737" s="10">
        <f>IF($E737="","",INDEX('Input Transaksi'!$A:$A,$E737))</f>
        <v/>
      </c>
      <c r="B737" s="5">
        <f>IF($E737="","",INDEX('Input Transaksi'!$D:$D,$E737))</f>
        <v/>
      </c>
      <c r="C737">
        <f>IF($E737="","",INDEX('Input Transaksi'!$E:$E,$E737))</f>
        <v/>
      </c>
      <c r="D737" s="5">
        <f>IF($E737="","",INDEX('Input Transaksi'!$F:$F,$E737))</f>
        <v/>
      </c>
      <c r="E737">
        <f>IFERROR(AGGREGATE(15,6,ROW('Input Transaksi'!$B$5:$B$5000)/('Input Transaksi'!$B$5:$B$5000="JCL SESETAN"),ROWS($E$5:E737)),"")</f>
        <v/>
      </c>
      <c r="F737" s="5" t="n"/>
    </row>
    <row r="738">
      <c r="A738" s="10">
        <f>IF($E738="","",INDEX('Input Transaksi'!$A:$A,$E738))</f>
        <v/>
      </c>
      <c r="B738" s="5">
        <f>IF($E738="","",INDEX('Input Transaksi'!$D:$D,$E738))</f>
        <v/>
      </c>
      <c r="C738">
        <f>IF($E738="","",INDEX('Input Transaksi'!$E:$E,$E738))</f>
        <v/>
      </c>
      <c r="D738" s="5">
        <f>IF($E738="","",INDEX('Input Transaksi'!$F:$F,$E738))</f>
        <v/>
      </c>
      <c r="E738">
        <f>IFERROR(AGGREGATE(15,6,ROW('Input Transaksi'!$B$5:$B$5000)/('Input Transaksi'!$B$5:$B$5000="JCL SESETAN"),ROWS($E$5:E738)),"")</f>
        <v/>
      </c>
      <c r="F738" s="5" t="n"/>
    </row>
    <row r="739">
      <c r="A739" s="10">
        <f>IF($E739="","",INDEX('Input Transaksi'!$A:$A,$E739))</f>
        <v/>
      </c>
      <c r="B739" s="5">
        <f>IF($E739="","",INDEX('Input Transaksi'!$D:$D,$E739))</f>
        <v/>
      </c>
      <c r="C739">
        <f>IF($E739="","",INDEX('Input Transaksi'!$E:$E,$E739))</f>
        <v/>
      </c>
      <c r="D739" s="5">
        <f>IF($E739="","",INDEX('Input Transaksi'!$F:$F,$E739))</f>
        <v/>
      </c>
      <c r="E739">
        <f>IFERROR(AGGREGATE(15,6,ROW('Input Transaksi'!$B$5:$B$5000)/('Input Transaksi'!$B$5:$B$5000="JCL SESETAN"),ROWS($E$5:E739)),"")</f>
        <v/>
      </c>
      <c r="F739" s="5" t="n"/>
    </row>
    <row r="740">
      <c r="A740" s="10">
        <f>IF($E740="","",INDEX('Input Transaksi'!$A:$A,$E740))</f>
        <v/>
      </c>
      <c r="B740" s="5">
        <f>IF($E740="","",INDEX('Input Transaksi'!$D:$D,$E740))</f>
        <v/>
      </c>
      <c r="C740">
        <f>IF($E740="","",INDEX('Input Transaksi'!$E:$E,$E740))</f>
        <v/>
      </c>
      <c r="D740" s="5">
        <f>IF($E740="","",INDEX('Input Transaksi'!$F:$F,$E740))</f>
        <v/>
      </c>
      <c r="E740">
        <f>IFERROR(AGGREGATE(15,6,ROW('Input Transaksi'!$B$5:$B$5000)/('Input Transaksi'!$B$5:$B$5000="JCL SESETAN"),ROWS($E$5:E740)),"")</f>
        <v/>
      </c>
      <c r="F740" s="5" t="n"/>
    </row>
    <row r="741">
      <c r="A741" s="10">
        <f>IF($E741="","",INDEX('Input Transaksi'!$A:$A,$E741))</f>
        <v/>
      </c>
      <c r="B741" s="5">
        <f>IF($E741="","",INDEX('Input Transaksi'!$D:$D,$E741))</f>
        <v/>
      </c>
      <c r="C741">
        <f>IF($E741="","",INDEX('Input Transaksi'!$E:$E,$E741))</f>
        <v/>
      </c>
      <c r="D741" s="5">
        <f>IF($E741="","",INDEX('Input Transaksi'!$F:$F,$E741))</f>
        <v/>
      </c>
      <c r="E741">
        <f>IFERROR(AGGREGATE(15,6,ROW('Input Transaksi'!$B$5:$B$5000)/('Input Transaksi'!$B$5:$B$5000="JCL SESETAN"),ROWS($E$5:E741)),"")</f>
        <v/>
      </c>
      <c r="F741" s="5" t="n"/>
    </row>
    <row r="742">
      <c r="A742" s="10">
        <f>IF($E742="","",INDEX('Input Transaksi'!$A:$A,$E742))</f>
        <v/>
      </c>
      <c r="B742" s="5">
        <f>IF($E742="","",INDEX('Input Transaksi'!$D:$D,$E742))</f>
        <v/>
      </c>
      <c r="C742">
        <f>IF($E742="","",INDEX('Input Transaksi'!$E:$E,$E742))</f>
        <v/>
      </c>
      <c r="D742" s="5">
        <f>IF($E742="","",INDEX('Input Transaksi'!$F:$F,$E742))</f>
        <v/>
      </c>
      <c r="E742">
        <f>IFERROR(AGGREGATE(15,6,ROW('Input Transaksi'!$B$5:$B$5000)/('Input Transaksi'!$B$5:$B$5000="JCL SESETAN"),ROWS($E$5:E742)),"")</f>
        <v/>
      </c>
      <c r="F742" s="5" t="n"/>
    </row>
    <row r="743">
      <c r="A743" s="10">
        <f>IF($E743="","",INDEX('Input Transaksi'!$A:$A,$E743))</f>
        <v/>
      </c>
      <c r="B743" s="5">
        <f>IF($E743="","",INDEX('Input Transaksi'!$D:$D,$E743))</f>
        <v/>
      </c>
      <c r="C743">
        <f>IF($E743="","",INDEX('Input Transaksi'!$E:$E,$E743))</f>
        <v/>
      </c>
      <c r="D743" s="5">
        <f>IF($E743="","",INDEX('Input Transaksi'!$F:$F,$E743))</f>
        <v/>
      </c>
      <c r="E743">
        <f>IFERROR(AGGREGATE(15,6,ROW('Input Transaksi'!$B$5:$B$5000)/('Input Transaksi'!$B$5:$B$5000="JCL SESETAN"),ROWS($E$5:E743)),"")</f>
        <v/>
      </c>
      <c r="F743" s="5" t="n"/>
    </row>
    <row r="744">
      <c r="A744" s="10">
        <f>IF($E744="","",INDEX('Input Transaksi'!$A:$A,$E744))</f>
        <v/>
      </c>
      <c r="B744" s="5">
        <f>IF($E744="","",INDEX('Input Transaksi'!$D:$D,$E744))</f>
        <v/>
      </c>
      <c r="C744">
        <f>IF($E744="","",INDEX('Input Transaksi'!$E:$E,$E744))</f>
        <v/>
      </c>
      <c r="D744" s="5">
        <f>IF($E744="","",INDEX('Input Transaksi'!$F:$F,$E744))</f>
        <v/>
      </c>
      <c r="E744">
        <f>IFERROR(AGGREGATE(15,6,ROW('Input Transaksi'!$B$5:$B$5000)/('Input Transaksi'!$B$5:$B$5000="JCL SESETAN"),ROWS($E$5:E744)),"")</f>
        <v/>
      </c>
      <c r="F744" s="5" t="n"/>
    </row>
    <row r="745">
      <c r="A745" s="10">
        <f>IF($E745="","",INDEX('Input Transaksi'!$A:$A,$E745))</f>
        <v/>
      </c>
      <c r="B745" s="5">
        <f>IF($E745="","",INDEX('Input Transaksi'!$D:$D,$E745))</f>
        <v/>
      </c>
      <c r="C745">
        <f>IF($E745="","",INDEX('Input Transaksi'!$E:$E,$E745))</f>
        <v/>
      </c>
      <c r="D745" s="5">
        <f>IF($E745="","",INDEX('Input Transaksi'!$F:$F,$E745))</f>
        <v/>
      </c>
      <c r="E745">
        <f>IFERROR(AGGREGATE(15,6,ROW('Input Transaksi'!$B$5:$B$5000)/('Input Transaksi'!$B$5:$B$5000="JCL SESETAN"),ROWS($E$5:E745)),"")</f>
        <v/>
      </c>
      <c r="F745" s="5" t="n"/>
    </row>
    <row r="746">
      <c r="A746" s="10">
        <f>IF($E746="","",INDEX('Input Transaksi'!$A:$A,$E746))</f>
        <v/>
      </c>
      <c r="B746" s="5">
        <f>IF($E746="","",INDEX('Input Transaksi'!$D:$D,$E746))</f>
        <v/>
      </c>
      <c r="C746">
        <f>IF($E746="","",INDEX('Input Transaksi'!$E:$E,$E746))</f>
        <v/>
      </c>
      <c r="D746" s="5">
        <f>IF($E746="","",INDEX('Input Transaksi'!$F:$F,$E746))</f>
        <v/>
      </c>
      <c r="E746">
        <f>IFERROR(AGGREGATE(15,6,ROW('Input Transaksi'!$B$5:$B$5000)/('Input Transaksi'!$B$5:$B$5000="JCL SESETAN"),ROWS($E$5:E746)),"")</f>
        <v/>
      </c>
      <c r="F746" s="5" t="n"/>
    </row>
    <row r="747">
      <c r="A747" s="10">
        <f>IF($E747="","",INDEX('Input Transaksi'!$A:$A,$E747))</f>
        <v/>
      </c>
      <c r="B747" s="5">
        <f>IF($E747="","",INDEX('Input Transaksi'!$D:$D,$E747))</f>
        <v/>
      </c>
      <c r="C747">
        <f>IF($E747="","",INDEX('Input Transaksi'!$E:$E,$E747))</f>
        <v/>
      </c>
      <c r="D747" s="5">
        <f>IF($E747="","",INDEX('Input Transaksi'!$F:$F,$E747))</f>
        <v/>
      </c>
      <c r="E747">
        <f>IFERROR(AGGREGATE(15,6,ROW('Input Transaksi'!$B$5:$B$5000)/('Input Transaksi'!$B$5:$B$5000="JCL SESETAN"),ROWS($E$5:E747)),"")</f>
        <v/>
      </c>
      <c r="F747" s="5" t="n"/>
    </row>
    <row r="748">
      <c r="A748" s="10">
        <f>IF($E748="","",INDEX('Input Transaksi'!$A:$A,$E748))</f>
        <v/>
      </c>
      <c r="B748" s="5">
        <f>IF($E748="","",INDEX('Input Transaksi'!$D:$D,$E748))</f>
        <v/>
      </c>
      <c r="C748">
        <f>IF($E748="","",INDEX('Input Transaksi'!$E:$E,$E748))</f>
        <v/>
      </c>
      <c r="D748" s="5">
        <f>IF($E748="","",INDEX('Input Transaksi'!$F:$F,$E748))</f>
        <v/>
      </c>
      <c r="E748">
        <f>IFERROR(AGGREGATE(15,6,ROW('Input Transaksi'!$B$5:$B$5000)/('Input Transaksi'!$B$5:$B$5000="JCL SESETAN"),ROWS($E$5:E748)),"")</f>
        <v/>
      </c>
      <c r="F748" s="5" t="n"/>
    </row>
    <row r="749">
      <c r="A749" s="10">
        <f>IF($E749="","",INDEX('Input Transaksi'!$A:$A,$E749))</f>
        <v/>
      </c>
      <c r="B749" s="5">
        <f>IF($E749="","",INDEX('Input Transaksi'!$D:$D,$E749))</f>
        <v/>
      </c>
      <c r="C749">
        <f>IF($E749="","",INDEX('Input Transaksi'!$E:$E,$E749))</f>
        <v/>
      </c>
      <c r="D749" s="5">
        <f>IF($E749="","",INDEX('Input Transaksi'!$F:$F,$E749))</f>
        <v/>
      </c>
      <c r="E749">
        <f>IFERROR(AGGREGATE(15,6,ROW('Input Transaksi'!$B$5:$B$5000)/('Input Transaksi'!$B$5:$B$5000="JCL SESETAN"),ROWS($E$5:E749)),"")</f>
        <v/>
      </c>
      <c r="F749" s="5" t="n"/>
    </row>
    <row r="750">
      <c r="A750" s="10">
        <f>IF($E750="","",INDEX('Input Transaksi'!$A:$A,$E750))</f>
        <v/>
      </c>
      <c r="B750" s="5">
        <f>IF($E750="","",INDEX('Input Transaksi'!$D:$D,$E750))</f>
        <v/>
      </c>
      <c r="C750">
        <f>IF($E750="","",INDEX('Input Transaksi'!$E:$E,$E750))</f>
        <v/>
      </c>
      <c r="D750" s="5">
        <f>IF($E750="","",INDEX('Input Transaksi'!$F:$F,$E750))</f>
        <v/>
      </c>
      <c r="E750">
        <f>IFERROR(AGGREGATE(15,6,ROW('Input Transaksi'!$B$5:$B$5000)/('Input Transaksi'!$B$5:$B$5000="JCL SESETAN"),ROWS($E$5:E750)),"")</f>
        <v/>
      </c>
      <c r="F750" s="5" t="n"/>
    </row>
    <row r="751">
      <c r="A751" s="10">
        <f>IF($E751="","",INDEX('Input Transaksi'!$A:$A,$E751))</f>
        <v/>
      </c>
      <c r="B751" s="5">
        <f>IF($E751="","",INDEX('Input Transaksi'!$D:$D,$E751))</f>
        <v/>
      </c>
      <c r="C751">
        <f>IF($E751="","",INDEX('Input Transaksi'!$E:$E,$E751))</f>
        <v/>
      </c>
      <c r="D751" s="5">
        <f>IF($E751="","",INDEX('Input Transaksi'!$F:$F,$E751))</f>
        <v/>
      </c>
      <c r="E751">
        <f>IFERROR(AGGREGATE(15,6,ROW('Input Transaksi'!$B$5:$B$5000)/('Input Transaksi'!$B$5:$B$5000="JCL SESETAN"),ROWS($E$5:E751)),"")</f>
        <v/>
      </c>
      <c r="F751" s="5" t="n"/>
    </row>
    <row r="752">
      <c r="A752" s="10">
        <f>IF($E752="","",INDEX('Input Transaksi'!$A:$A,$E752))</f>
        <v/>
      </c>
      <c r="B752" s="5">
        <f>IF($E752="","",INDEX('Input Transaksi'!$D:$D,$E752))</f>
        <v/>
      </c>
      <c r="C752">
        <f>IF($E752="","",INDEX('Input Transaksi'!$E:$E,$E752))</f>
        <v/>
      </c>
      <c r="D752" s="5">
        <f>IF($E752="","",INDEX('Input Transaksi'!$F:$F,$E752))</f>
        <v/>
      </c>
      <c r="E752">
        <f>IFERROR(AGGREGATE(15,6,ROW('Input Transaksi'!$B$5:$B$5000)/('Input Transaksi'!$B$5:$B$5000="JCL SESETAN"),ROWS($E$5:E752)),"")</f>
        <v/>
      </c>
      <c r="F752" s="5" t="n"/>
    </row>
    <row r="753">
      <c r="A753" s="10">
        <f>IF($E753="","",INDEX('Input Transaksi'!$A:$A,$E753))</f>
        <v/>
      </c>
      <c r="B753" s="5">
        <f>IF($E753="","",INDEX('Input Transaksi'!$D:$D,$E753))</f>
        <v/>
      </c>
      <c r="C753">
        <f>IF($E753="","",INDEX('Input Transaksi'!$E:$E,$E753))</f>
        <v/>
      </c>
      <c r="D753" s="5">
        <f>IF($E753="","",INDEX('Input Transaksi'!$F:$F,$E753))</f>
        <v/>
      </c>
      <c r="E753">
        <f>IFERROR(AGGREGATE(15,6,ROW('Input Transaksi'!$B$5:$B$5000)/('Input Transaksi'!$B$5:$B$5000="JCL SESETAN"),ROWS($E$5:E753)),"")</f>
        <v/>
      </c>
      <c r="F753" s="5" t="n"/>
    </row>
    <row r="754">
      <c r="A754" s="10">
        <f>IF($E754="","",INDEX('Input Transaksi'!$A:$A,$E754))</f>
        <v/>
      </c>
      <c r="B754" s="5">
        <f>IF($E754="","",INDEX('Input Transaksi'!$D:$D,$E754))</f>
        <v/>
      </c>
      <c r="C754">
        <f>IF($E754="","",INDEX('Input Transaksi'!$E:$E,$E754))</f>
        <v/>
      </c>
      <c r="D754" s="5">
        <f>IF($E754="","",INDEX('Input Transaksi'!$F:$F,$E754))</f>
        <v/>
      </c>
      <c r="E754">
        <f>IFERROR(AGGREGATE(15,6,ROW('Input Transaksi'!$B$5:$B$5000)/('Input Transaksi'!$B$5:$B$5000="JCL SESETAN"),ROWS($E$5:E754)),"")</f>
        <v/>
      </c>
      <c r="F754" s="5" t="n"/>
    </row>
    <row r="755">
      <c r="A755" s="10">
        <f>IF($E755="","",INDEX('Input Transaksi'!$A:$A,$E755))</f>
        <v/>
      </c>
      <c r="B755" s="5">
        <f>IF($E755="","",INDEX('Input Transaksi'!$D:$D,$E755))</f>
        <v/>
      </c>
      <c r="C755">
        <f>IF($E755="","",INDEX('Input Transaksi'!$E:$E,$E755))</f>
        <v/>
      </c>
      <c r="D755" s="5">
        <f>IF($E755="","",INDEX('Input Transaksi'!$F:$F,$E755))</f>
        <v/>
      </c>
      <c r="E755">
        <f>IFERROR(AGGREGATE(15,6,ROW('Input Transaksi'!$B$5:$B$5000)/('Input Transaksi'!$B$5:$B$5000="JCL SESETAN"),ROWS($E$5:E755)),"")</f>
        <v/>
      </c>
      <c r="F755" s="5" t="n"/>
    </row>
    <row r="756">
      <c r="A756" s="10">
        <f>IF($E756="","",INDEX('Input Transaksi'!$A:$A,$E756))</f>
        <v/>
      </c>
      <c r="B756" s="5">
        <f>IF($E756="","",INDEX('Input Transaksi'!$D:$D,$E756))</f>
        <v/>
      </c>
      <c r="C756">
        <f>IF($E756="","",INDEX('Input Transaksi'!$E:$E,$E756))</f>
        <v/>
      </c>
      <c r="D756" s="5">
        <f>IF($E756="","",INDEX('Input Transaksi'!$F:$F,$E756))</f>
        <v/>
      </c>
      <c r="E756">
        <f>IFERROR(AGGREGATE(15,6,ROW('Input Transaksi'!$B$5:$B$5000)/('Input Transaksi'!$B$5:$B$5000="JCL SESETAN"),ROWS($E$5:E756)),"")</f>
        <v/>
      </c>
      <c r="F756" s="5" t="n"/>
    </row>
    <row r="757">
      <c r="A757" s="10">
        <f>IF($E757="","",INDEX('Input Transaksi'!$A:$A,$E757))</f>
        <v/>
      </c>
      <c r="B757" s="5">
        <f>IF($E757="","",INDEX('Input Transaksi'!$D:$D,$E757))</f>
        <v/>
      </c>
      <c r="C757">
        <f>IF($E757="","",INDEX('Input Transaksi'!$E:$E,$E757))</f>
        <v/>
      </c>
      <c r="D757" s="5">
        <f>IF($E757="","",INDEX('Input Transaksi'!$F:$F,$E757))</f>
        <v/>
      </c>
      <c r="E757">
        <f>IFERROR(AGGREGATE(15,6,ROW('Input Transaksi'!$B$5:$B$5000)/('Input Transaksi'!$B$5:$B$5000="JCL SESETAN"),ROWS($E$5:E757)),"")</f>
        <v/>
      </c>
      <c r="F757" s="5" t="n"/>
    </row>
    <row r="758">
      <c r="A758" s="10">
        <f>IF($E758="","",INDEX('Input Transaksi'!$A:$A,$E758))</f>
        <v/>
      </c>
      <c r="B758" s="5">
        <f>IF($E758="","",INDEX('Input Transaksi'!$D:$D,$E758))</f>
        <v/>
      </c>
      <c r="C758">
        <f>IF($E758="","",INDEX('Input Transaksi'!$E:$E,$E758))</f>
        <v/>
      </c>
      <c r="D758" s="5">
        <f>IF($E758="","",INDEX('Input Transaksi'!$F:$F,$E758))</f>
        <v/>
      </c>
      <c r="E758">
        <f>IFERROR(AGGREGATE(15,6,ROW('Input Transaksi'!$B$5:$B$5000)/('Input Transaksi'!$B$5:$B$5000="JCL SESETAN"),ROWS($E$5:E758)),"")</f>
        <v/>
      </c>
      <c r="F758" s="5" t="n"/>
    </row>
    <row r="759">
      <c r="A759" s="10">
        <f>IF($E759="","",INDEX('Input Transaksi'!$A:$A,$E759))</f>
        <v/>
      </c>
      <c r="B759" s="5">
        <f>IF($E759="","",INDEX('Input Transaksi'!$D:$D,$E759))</f>
        <v/>
      </c>
      <c r="C759">
        <f>IF($E759="","",INDEX('Input Transaksi'!$E:$E,$E759))</f>
        <v/>
      </c>
      <c r="D759" s="5">
        <f>IF($E759="","",INDEX('Input Transaksi'!$F:$F,$E759))</f>
        <v/>
      </c>
      <c r="E759">
        <f>IFERROR(AGGREGATE(15,6,ROW('Input Transaksi'!$B$5:$B$5000)/('Input Transaksi'!$B$5:$B$5000="JCL SESETAN"),ROWS($E$5:E759)),"")</f>
        <v/>
      </c>
      <c r="F759" s="5" t="n"/>
    </row>
    <row r="760">
      <c r="A760" s="10">
        <f>IF($E760="","",INDEX('Input Transaksi'!$A:$A,$E760))</f>
        <v/>
      </c>
      <c r="B760" s="5">
        <f>IF($E760="","",INDEX('Input Transaksi'!$D:$D,$E760))</f>
        <v/>
      </c>
      <c r="C760">
        <f>IF($E760="","",INDEX('Input Transaksi'!$E:$E,$E760))</f>
        <v/>
      </c>
      <c r="D760" s="5">
        <f>IF($E760="","",INDEX('Input Transaksi'!$F:$F,$E760))</f>
        <v/>
      </c>
      <c r="E760">
        <f>IFERROR(AGGREGATE(15,6,ROW('Input Transaksi'!$B$5:$B$5000)/('Input Transaksi'!$B$5:$B$5000="JCL SESETAN"),ROWS($E$5:E760)),"")</f>
        <v/>
      </c>
      <c r="F760" s="5" t="n"/>
    </row>
    <row r="761">
      <c r="A761" s="10">
        <f>IF($E761="","",INDEX('Input Transaksi'!$A:$A,$E761))</f>
        <v/>
      </c>
      <c r="B761" s="5">
        <f>IF($E761="","",INDEX('Input Transaksi'!$D:$D,$E761))</f>
        <v/>
      </c>
      <c r="C761">
        <f>IF($E761="","",INDEX('Input Transaksi'!$E:$E,$E761))</f>
        <v/>
      </c>
      <c r="D761" s="5">
        <f>IF($E761="","",INDEX('Input Transaksi'!$F:$F,$E761))</f>
        <v/>
      </c>
      <c r="E761">
        <f>IFERROR(AGGREGATE(15,6,ROW('Input Transaksi'!$B$5:$B$5000)/('Input Transaksi'!$B$5:$B$5000="JCL SESETAN"),ROWS($E$5:E761)),"")</f>
        <v/>
      </c>
      <c r="F761" s="5" t="n"/>
    </row>
    <row r="762">
      <c r="A762" s="10">
        <f>IF($E762="","",INDEX('Input Transaksi'!$A:$A,$E762))</f>
        <v/>
      </c>
      <c r="B762" s="5">
        <f>IF($E762="","",INDEX('Input Transaksi'!$D:$D,$E762))</f>
        <v/>
      </c>
      <c r="C762">
        <f>IF($E762="","",INDEX('Input Transaksi'!$E:$E,$E762))</f>
        <v/>
      </c>
      <c r="D762" s="5">
        <f>IF($E762="","",INDEX('Input Transaksi'!$F:$F,$E762))</f>
        <v/>
      </c>
      <c r="E762">
        <f>IFERROR(AGGREGATE(15,6,ROW('Input Transaksi'!$B$5:$B$5000)/('Input Transaksi'!$B$5:$B$5000="JCL SESETAN"),ROWS($E$5:E762)),"")</f>
        <v/>
      </c>
      <c r="F762" s="5" t="n"/>
    </row>
    <row r="763">
      <c r="A763" s="10">
        <f>IF($E763="","",INDEX('Input Transaksi'!$A:$A,$E763))</f>
        <v/>
      </c>
      <c r="B763" s="5">
        <f>IF($E763="","",INDEX('Input Transaksi'!$D:$D,$E763))</f>
        <v/>
      </c>
      <c r="C763">
        <f>IF($E763="","",INDEX('Input Transaksi'!$E:$E,$E763))</f>
        <v/>
      </c>
      <c r="D763" s="5">
        <f>IF($E763="","",INDEX('Input Transaksi'!$F:$F,$E763))</f>
        <v/>
      </c>
      <c r="E763">
        <f>IFERROR(AGGREGATE(15,6,ROW('Input Transaksi'!$B$5:$B$5000)/('Input Transaksi'!$B$5:$B$5000="JCL SESETAN"),ROWS($E$5:E763)),"")</f>
        <v/>
      </c>
      <c r="F763" s="5" t="n"/>
    </row>
    <row r="764">
      <c r="A764" s="10">
        <f>IF($E764="","",INDEX('Input Transaksi'!$A:$A,$E764))</f>
        <v/>
      </c>
      <c r="B764" s="5">
        <f>IF($E764="","",INDEX('Input Transaksi'!$D:$D,$E764))</f>
        <v/>
      </c>
      <c r="C764">
        <f>IF($E764="","",INDEX('Input Transaksi'!$E:$E,$E764))</f>
        <v/>
      </c>
      <c r="D764" s="5">
        <f>IF($E764="","",INDEX('Input Transaksi'!$F:$F,$E764))</f>
        <v/>
      </c>
      <c r="E764">
        <f>IFERROR(AGGREGATE(15,6,ROW('Input Transaksi'!$B$5:$B$5000)/('Input Transaksi'!$B$5:$B$5000="JCL SESETAN"),ROWS($E$5:E764)),"")</f>
        <v/>
      </c>
      <c r="F764" s="5" t="n"/>
    </row>
    <row r="765">
      <c r="A765" s="10">
        <f>IF($E765="","",INDEX('Input Transaksi'!$A:$A,$E765))</f>
        <v/>
      </c>
      <c r="B765" s="5">
        <f>IF($E765="","",INDEX('Input Transaksi'!$D:$D,$E765))</f>
        <v/>
      </c>
      <c r="C765">
        <f>IF($E765="","",INDEX('Input Transaksi'!$E:$E,$E765))</f>
        <v/>
      </c>
      <c r="D765" s="5">
        <f>IF($E765="","",INDEX('Input Transaksi'!$F:$F,$E765))</f>
        <v/>
      </c>
      <c r="E765">
        <f>IFERROR(AGGREGATE(15,6,ROW('Input Transaksi'!$B$5:$B$5000)/('Input Transaksi'!$B$5:$B$5000="JCL SESETAN"),ROWS($E$5:E765)),"")</f>
        <v/>
      </c>
      <c r="F765" s="5" t="n"/>
    </row>
    <row r="766">
      <c r="A766" s="10">
        <f>IF($E766="","",INDEX('Input Transaksi'!$A:$A,$E766))</f>
        <v/>
      </c>
      <c r="B766" s="5">
        <f>IF($E766="","",INDEX('Input Transaksi'!$D:$D,$E766))</f>
        <v/>
      </c>
      <c r="C766">
        <f>IF($E766="","",INDEX('Input Transaksi'!$E:$E,$E766))</f>
        <v/>
      </c>
      <c r="D766" s="5">
        <f>IF($E766="","",INDEX('Input Transaksi'!$F:$F,$E766))</f>
        <v/>
      </c>
      <c r="E766">
        <f>IFERROR(AGGREGATE(15,6,ROW('Input Transaksi'!$B$5:$B$5000)/('Input Transaksi'!$B$5:$B$5000="JCL SESETAN"),ROWS($E$5:E766)),"")</f>
        <v/>
      </c>
      <c r="F766" s="5" t="n"/>
    </row>
    <row r="767">
      <c r="A767" s="10">
        <f>IF($E767="","",INDEX('Input Transaksi'!$A:$A,$E767))</f>
        <v/>
      </c>
      <c r="B767" s="5">
        <f>IF($E767="","",INDEX('Input Transaksi'!$D:$D,$E767))</f>
        <v/>
      </c>
      <c r="C767">
        <f>IF($E767="","",INDEX('Input Transaksi'!$E:$E,$E767))</f>
        <v/>
      </c>
      <c r="D767" s="5">
        <f>IF($E767="","",INDEX('Input Transaksi'!$F:$F,$E767))</f>
        <v/>
      </c>
      <c r="E767">
        <f>IFERROR(AGGREGATE(15,6,ROW('Input Transaksi'!$B$5:$B$5000)/('Input Transaksi'!$B$5:$B$5000="JCL SESETAN"),ROWS($E$5:E767)),"")</f>
        <v/>
      </c>
      <c r="F767" s="5" t="n"/>
    </row>
    <row r="768">
      <c r="A768" s="10">
        <f>IF($E768="","",INDEX('Input Transaksi'!$A:$A,$E768))</f>
        <v/>
      </c>
      <c r="B768" s="5">
        <f>IF($E768="","",INDEX('Input Transaksi'!$D:$D,$E768))</f>
        <v/>
      </c>
      <c r="C768">
        <f>IF($E768="","",INDEX('Input Transaksi'!$E:$E,$E768))</f>
        <v/>
      </c>
      <c r="D768" s="5">
        <f>IF($E768="","",INDEX('Input Transaksi'!$F:$F,$E768))</f>
        <v/>
      </c>
      <c r="E768">
        <f>IFERROR(AGGREGATE(15,6,ROW('Input Transaksi'!$B$5:$B$5000)/('Input Transaksi'!$B$5:$B$5000="JCL SESETAN"),ROWS($E$5:E768)),"")</f>
        <v/>
      </c>
      <c r="F768" s="5" t="n"/>
    </row>
    <row r="769">
      <c r="A769" s="10">
        <f>IF($E769="","",INDEX('Input Transaksi'!$A:$A,$E769))</f>
        <v/>
      </c>
      <c r="B769" s="5">
        <f>IF($E769="","",INDEX('Input Transaksi'!$D:$D,$E769))</f>
        <v/>
      </c>
      <c r="C769">
        <f>IF($E769="","",INDEX('Input Transaksi'!$E:$E,$E769))</f>
        <v/>
      </c>
      <c r="D769" s="5">
        <f>IF($E769="","",INDEX('Input Transaksi'!$F:$F,$E769))</f>
        <v/>
      </c>
      <c r="E769">
        <f>IFERROR(AGGREGATE(15,6,ROW('Input Transaksi'!$B$5:$B$5000)/('Input Transaksi'!$B$5:$B$5000="JCL SESETAN"),ROWS($E$5:E769)),"")</f>
        <v/>
      </c>
      <c r="F769" s="5" t="n"/>
    </row>
    <row r="770">
      <c r="A770" s="10">
        <f>IF($E770="","",INDEX('Input Transaksi'!$A:$A,$E770))</f>
        <v/>
      </c>
      <c r="B770" s="5">
        <f>IF($E770="","",INDEX('Input Transaksi'!$D:$D,$E770))</f>
        <v/>
      </c>
      <c r="C770">
        <f>IF($E770="","",INDEX('Input Transaksi'!$E:$E,$E770))</f>
        <v/>
      </c>
      <c r="D770" s="5">
        <f>IF($E770="","",INDEX('Input Transaksi'!$F:$F,$E770))</f>
        <v/>
      </c>
      <c r="E770">
        <f>IFERROR(AGGREGATE(15,6,ROW('Input Transaksi'!$B$5:$B$5000)/('Input Transaksi'!$B$5:$B$5000="JCL SESETAN"),ROWS($E$5:E770)),"")</f>
        <v/>
      </c>
      <c r="F770" s="5" t="n"/>
    </row>
    <row r="771">
      <c r="A771" s="10">
        <f>IF($E771="","",INDEX('Input Transaksi'!$A:$A,$E771))</f>
        <v/>
      </c>
      <c r="B771" s="5">
        <f>IF($E771="","",INDEX('Input Transaksi'!$D:$D,$E771))</f>
        <v/>
      </c>
      <c r="C771">
        <f>IF($E771="","",INDEX('Input Transaksi'!$E:$E,$E771))</f>
        <v/>
      </c>
      <c r="D771" s="5">
        <f>IF($E771="","",INDEX('Input Transaksi'!$F:$F,$E771))</f>
        <v/>
      </c>
      <c r="E771">
        <f>IFERROR(AGGREGATE(15,6,ROW('Input Transaksi'!$B$5:$B$5000)/('Input Transaksi'!$B$5:$B$5000="JCL SESETAN"),ROWS($E$5:E771)),"")</f>
        <v/>
      </c>
      <c r="F771" s="5" t="n"/>
    </row>
    <row r="772">
      <c r="A772" s="10">
        <f>IF($E772="","",INDEX('Input Transaksi'!$A:$A,$E772))</f>
        <v/>
      </c>
      <c r="B772" s="5">
        <f>IF($E772="","",INDEX('Input Transaksi'!$D:$D,$E772))</f>
        <v/>
      </c>
      <c r="C772">
        <f>IF($E772="","",INDEX('Input Transaksi'!$E:$E,$E772))</f>
        <v/>
      </c>
      <c r="D772" s="5">
        <f>IF($E772="","",INDEX('Input Transaksi'!$F:$F,$E772))</f>
        <v/>
      </c>
      <c r="E772">
        <f>IFERROR(AGGREGATE(15,6,ROW('Input Transaksi'!$B$5:$B$5000)/('Input Transaksi'!$B$5:$B$5000="JCL SESETAN"),ROWS($E$5:E772)),"")</f>
        <v/>
      </c>
      <c r="F772" s="5" t="n"/>
    </row>
    <row r="773">
      <c r="A773" s="10">
        <f>IF($E773="","",INDEX('Input Transaksi'!$A:$A,$E773))</f>
        <v/>
      </c>
      <c r="B773" s="5">
        <f>IF($E773="","",INDEX('Input Transaksi'!$D:$D,$E773))</f>
        <v/>
      </c>
      <c r="C773">
        <f>IF($E773="","",INDEX('Input Transaksi'!$E:$E,$E773))</f>
        <v/>
      </c>
      <c r="D773" s="5">
        <f>IF($E773="","",INDEX('Input Transaksi'!$F:$F,$E773))</f>
        <v/>
      </c>
      <c r="E773">
        <f>IFERROR(AGGREGATE(15,6,ROW('Input Transaksi'!$B$5:$B$5000)/('Input Transaksi'!$B$5:$B$5000="JCL SESETAN"),ROWS($E$5:E773)),"")</f>
        <v/>
      </c>
      <c r="F773" s="5" t="n"/>
    </row>
    <row r="774">
      <c r="A774" s="10">
        <f>IF($E774="","",INDEX('Input Transaksi'!$A:$A,$E774))</f>
        <v/>
      </c>
      <c r="B774" s="5">
        <f>IF($E774="","",INDEX('Input Transaksi'!$D:$D,$E774))</f>
        <v/>
      </c>
      <c r="C774">
        <f>IF($E774="","",INDEX('Input Transaksi'!$E:$E,$E774))</f>
        <v/>
      </c>
      <c r="D774" s="5">
        <f>IF($E774="","",INDEX('Input Transaksi'!$F:$F,$E774))</f>
        <v/>
      </c>
      <c r="E774">
        <f>IFERROR(AGGREGATE(15,6,ROW('Input Transaksi'!$B$5:$B$5000)/('Input Transaksi'!$B$5:$B$5000="JCL SESETAN"),ROWS($E$5:E774)),"")</f>
        <v/>
      </c>
      <c r="F774" s="5" t="n"/>
    </row>
    <row r="775">
      <c r="A775" s="10">
        <f>IF($E775="","",INDEX('Input Transaksi'!$A:$A,$E775))</f>
        <v/>
      </c>
      <c r="B775" s="5">
        <f>IF($E775="","",INDEX('Input Transaksi'!$D:$D,$E775))</f>
        <v/>
      </c>
      <c r="C775">
        <f>IF($E775="","",INDEX('Input Transaksi'!$E:$E,$E775))</f>
        <v/>
      </c>
      <c r="D775" s="5">
        <f>IF($E775="","",INDEX('Input Transaksi'!$F:$F,$E775))</f>
        <v/>
      </c>
      <c r="E775">
        <f>IFERROR(AGGREGATE(15,6,ROW('Input Transaksi'!$B$5:$B$5000)/('Input Transaksi'!$B$5:$B$5000="JCL SESETAN"),ROWS($E$5:E775)),"")</f>
        <v/>
      </c>
      <c r="F775" s="5" t="n"/>
    </row>
    <row r="776">
      <c r="A776" s="10">
        <f>IF($E776="","",INDEX('Input Transaksi'!$A:$A,$E776))</f>
        <v/>
      </c>
      <c r="B776" s="5">
        <f>IF($E776="","",INDEX('Input Transaksi'!$D:$D,$E776))</f>
        <v/>
      </c>
      <c r="C776">
        <f>IF($E776="","",INDEX('Input Transaksi'!$E:$E,$E776))</f>
        <v/>
      </c>
      <c r="D776" s="5">
        <f>IF($E776="","",INDEX('Input Transaksi'!$F:$F,$E776))</f>
        <v/>
      </c>
      <c r="E776">
        <f>IFERROR(AGGREGATE(15,6,ROW('Input Transaksi'!$B$5:$B$5000)/('Input Transaksi'!$B$5:$B$5000="JCL SESETAN"),ROWS($E$5:E776)),"")</f>
        <v/>
      </c>
      <c r="F776" s="5" t="n"/>
    </row>
    <row r="777">
      <c r="A777" s="10">
        <f>IF($E777="","",INDEX('Input Transaksi'!$A:$A,$E777))</f>
        <v/>
      </c>
      <c r="B777" s="5">
        <f>IF($E777="","",INDEX('Input Transaksi'!$D:$D,$E777))</f>
        <v/>
      </c>
      <c r="C777">
        <f>IF($E777="","",INDEX('Input Transaksi'!$E:$E,$E777))</f>
        <v/>
      </c>
      <c r="D777" s="5">
        <f>IF($E777="","",INDEX('Input Transaksi'!$F:$F,$E777))</f>
        <v/>
      </c>
      <c r="E777">
        <f>IFERROR(AGGREGATE(15,6,ROW('Input Transaksi'!$B$5:$B$5000)/('Input Transaksi'!$B$5:$B$5000="JCL SESETAN"),ROWS($E$5:E777)),"")</f>
        <v/>
      </c>
      <c r="F777" s="5" t="n"/>
    </row>
    <row r="778">
      <c r="A778" s="10">
        <f>IF($E778="","",INDEX('Input Transaksi'!$A:$A,$E778))</f>
        <v/>
      </c>
      <c r="B778" s="5">
        <f>IF($E778="","",INDEX('Input Transaksi'!$D:$D,$E778))</f>
        <v/>
      </c>
      <c r="C778">
        <f>IF($E778="","",INDEX('Input Transaksi'!$E:$E,$E778))</f>
        <v/>
      </c>
      <c r="D778" s="5">
        <f>IF($E778="","",INDEX('Input Transaksi'!$F:$F,$E778))</f>
        <v/>
      </c>
      <c r="E778">
        <f>IFERROR(AGGREGATE(15,6,ROW('Input Transaksi'!$B$5:$B$5000)/('Input Transaksi'!$B$5:$B$5000="JCL SESETAN"),ROWS($E$5:E778)),"")</f>
        <v/>
      </c>
      <c r="F778" s="5" t="n"/>
    </row>
    <row r="779">
      <c r="A779" s="10">
        <f>IF($E779="","",INDEX('Input Transaksi'!$A:$A,$E779))</f>
        <v/>
      </c>
      <c r="B779" s="5">
        <f>IF($E779="","",INDEX('Input Transaksi'!$D:$D,$E779))</f>
        <v/>
      </c>
      <c r="C779">
        <f>IF($E779="","",INDEX('Input Transaksi'!$E:$E,$E779))</f>
        <v/>
      </c>
      <c r="D779" s="5">
        <f>IF($E779="","",INDEX('Input Transaksi'!$F:$F,$E779))</f>
        <v/>
      </c>
      <c r="E779">
        <f>IFERROR(AGGREGATE(15,6,ROW('Input Transaksi'!$B$5:$B$5000)/('Input Transaksi'!$B$5:$B$5000="JCL SESETAN"),ROWS($E$5:E779)),"")</f>
        <v/>
      </c>
      <c r="F779" s="5" t="n"/>
    </row>
    <row r="780">
      <c r="A780" s="10">
        <f>IF($E780="","",INDEX('Input Transaksi'!$A:$A,$E780))</f>
        <v/>
      </c>
      <c r="B780" s="5">
        <f>IF($E780="","",INDEX('Input Transaksi'!$D:$D,$E780))</f>
        <v/>
      </c>
      <c r="C780">
        <f>IF($E780="","",INDEX('Input Transaksi'!$E:$E,$E780))</f>
        <v/>
      </c>
      <c r="D780" s="5">
        <f>IF($E780="","",INDEX('Input Transaksi'!$F:$F,$E780))</f>
        <v/>
      </c>
      <c r="E780">
        <f>IFERROR(AGGREGATE(15,6,ROW('Input Transaksi'!$B$5:$B$5000)/('Input Transaksi'!$B$5:$B$5000="JCL SESETAN"),ROWS($E$5:E780)),"")</f>
        <v/>
      </c>
      <c r="F780" s="5" t="n"/>
    </row>
    <row r="781">
      <c r="A781" s="10">
        <f>IF($E781="","",INDEX('Input Transaksi'!$A:$A,$E781))</f>
        <v/>
      </c>
      <c r="B781" s="5">
        <f>IF($E781="","",INDEX('Input Transaksi'!$D:$D,$E781))</f>
        <v/>
      </c>
      <c r="C781">
        <f>IF($E781="","",INDEX('Input Transaksi'!$E:$E,$E781))</f>
        <v/>
      </c>
      <c r="D781" s="5">
        <f>IF($E781="","",INDEX('Input Transaksi'!$F:$F,$E781))</f>
        <v/>
      </c>
      <c r="E781">
        <f>IFERROR(AGGREGATE(15,6,ROW('Input Transaksi'!$B$5:$B$5000)/('Input Transaksi'!$B$5:$B$5000="JCL SESETAN"),ROWS($E$5:E781)),"")</f>
        <v/>
      </c>
      <c r="F781" s="5" t="n"/>
    </row>
    <row r="782">
      <c r="A782" s="10">
        <f>IF($E782="","",INDEX('Input Transaksi'!$A:$A,$E782))</f>
        <v/>
      </c>
      <c r="B782" s="5">
        <f>IF($E782="","",INDEX('Input Transaksi'!$D:$D,$E782))</f>
        <v/>
      </c>
      <c r="C782">
        <f>IF($E782="","",INDEX('Input Transaksi'!$E:$E,$E782))</f>
        <v/>
      </c>
      <c r="D782" s="5">
        <f>IF($E782="","",INDEX('Input Transaksi'!$F:$F,$E782))</f>
        <v/>
      </c>
      <c r="E782">
        <f>IFERROR(AGGREGATE(15,6,ROW('Input Transaksi'!$B$5:$B$5000)/('Input Transaksi'!$B$5:$B$5000="JCL SESETAN"),ROWS($E$5:E782)),"")</f>
        <v/>
      </c>
      <c r="F782" s="5" t="n"/>
    </row>
    <row r="783">
      <c r="A783" s="10">
        <f>IF($E783="","",INDEX('Input Transaksi'!$A:$A,$E783))</f>
        <v/>
      </c>
      <c r="B783" s="5">
        <f>IF($E783="","",INDEX('Input Transaksi'!$D:$D,$E783))</f>
        <v/>
      </c>
      <c r="C783">
        <f>IF($E783="","",INDEX('Input Transaksi'!$E:$E,$E783))</f>
        <v/>
      </c>
      <c r="D783" s="5">
        <f>IF($E783="","",INDEX('Input Transaksi'!$F:$F,$E783))</f>
        <v/>
      </c>
      <c r="E783">
        <f>IFERROR(AGGREGATE(15,6,ROW('Input Transaksi'!$B$5:$B$5000)/('Input Transaksi'!$B$5:$B$5000="JCL SESETAN"),ROWS($E$5:E783)),"")</f>
        <v/>
      </c>
      <c r="F783" s="5" t="n"/>
    </row>
    <row r="784">
      <c r="A784" s="10">
        <f>IF($E784="","",INDEX('Input Transaksi'!$A:$A,$E784))</f>
        <v/>
      </c>
      <c r="B784" s="5">
        <f>IF($E784="","",INDEX('Input Transaksi'!$D:$D,$E784))</f>
        <v/>
      </c>
      <c r="C784">
        <f>IF($E784="","",INDEX('Input Transaksi'!$E:$E,$E784))</f>
        <v/>
      </c>
      <c r="D784" s="5">
        <f>IF($E784="","",INDEX('Input Transaksi'!$F:$F,$E784))</f>
        <v/>
      </c>
      <c r="E784">
        <f>IFERROR(AGGREGATE(15,6,ROW('Input Transaksi'!$B$5:$B$5000)/('Input Transaksi'!$B$5:$B$5000="JCL SESETAN"),ROWS($E$5:E784)),"")</f>
        <v/>
      </c>
      <c r="F784" s="5" t="n"/>
    </row>
    <row r="785">
      <c r="A785" s="10">
        <f>IF($E785="","",INDEX('Input Transaksi'!$A:$A,$E785))</f>
        <v/>
      </c>
      <c r="B785" s="5">
        <f>IF($E785="","",INDEX('Input Transaksi'!$D:$D,$E785))</f>
        <v/>
      </c>
      <c r="C785">
        <f>IF($E785="","",INDEX('Input Transaksi'!$E:$E,$E785))</f>
        <v/>
      </c>
      <c r="D785" s="5">
        <f>IF($E785="","",INDEX('Input Transaksi'!$F:$F,$E785))</f>
        <v/>
      </c>
      <c r="E785">
        <f>IFERROR(AGGREGATE(15,6,ROW('Input Transaksi'!$B$5:$B$5000)/('Input Transaksi'!$B$5:$B$5000="JCL SESETAN"),ROWS($E$5:E785)),"")</f>
        <v/>
      </c>
      <c r="F785" s="5" t="n"/>
    </row>
    <row r="786">
      <c r="A786" s="10">
        <f>IF($E786="","",INDEX('Input Transaksi'!$A:$A,$E786))</f>
        <v/>
      </c>
      <c r="B786" s="5">
        <f>IF($E786="","",INDEX('Input Transaksi'!$D:$D,$E786))</f>
        <v/>
      </c>
      <c r="C786">
        <f>IF($E786="","",INDEX('Input Transaksi'!$E:$E,$E786))</f>
        <v/>
      </c>
      <c r="D786" s="5">
        <f>IF($E786="","",INDEX('Input Transaksi'!$F:$F,$E786))</f>
        <v/>
      </c>
      <c r="E786">
        <f>IFERROR(AGGREGATE(15,6,ROW('Input Transaksi'!$B$5:$B$5000)/('Input Transaksi'!$B$5:$B$5000="JCL SESETAN"),ROWS($E$5:E786)),"")</f>
        <v/>
      </c>
      <c r="F786" s="5" t="n"/>
    </row>
    <row r="787">
      <c r="A787" s="10">
        <f>IF($E787="","",INDEX('Input Transaksi'!$A:$A,$E787))</f>
        <v/>
      </c>
      <c r="B787" s="5">
        <f>IF($E787="","",INDEX('Input Transaksi'!$D:$D,$E787))</f>
        <v/>
      </c>
      <c r="C787">
        <f>IF($E787="","",INDEX('Input Transaksi'!$E:$E,$E787))</f>
        <v/>
      </c>
      <c r="D787" s="5">
        <f>IF($E787="","",INDEX('Input Transaksi'!$F:$F,$E787))</f>
        <v/>
      </c>
      <c r="E787">
        <f>IFERROR(AGGREGATE(15,6,ROW('Input Transaksi'!$B$5:$B$5000)/('Input Transaksi'!$B$5:$B$5000="JCL SESETAN"),ROWS($E$5:E787)),"")</f>
        <v/>
      </c>
      <c r="F787" s="5" t="n"/>
    </row>
    <row r="788">
      <c r="A788" s="10">
        <f>IF($E788="","",INDEX('Input Transaksi'!$A:$A,$E788))</f>
        <v/>
      </c>
      <c r="B788" s="5">
        <f>IF($E788="","",INDEX('Input Transaksi'!$D:$D,$E788))</f>
        <v/>
      </c>
      <c r="C788">
        <f>IF($E788="","",INDEX('Input Transaksi'!$E:$E,$E788))</f>
        <v/>
      </c>
      <c r="D788" s="5">
        <f>IF($E788="","",INDEX('Input Transaksi'!$F:$F,$E788))</f>
        <v/>
      </c>
      <c r="E788">
        <f>IFERROR(AGGREGATE(15,6,ROW('Input Transaksi'!$B$5:$B$5000)/('Input Transaksi'!$B$5:$B$5000="JCL SESETAN"),ROWS($E$5:E788)),"")</f>
        <v/>
      </c>
      <c r="F788" s="5" t="n"/>
    </row>
    <row r="789">
      <c r="A789" s="10">
        <f>IF($E789="","",INDEX('Input Transaksi'!$A:$A,$E789))</f>
        <v/>
      </c>
      <c r="B789" s="5">
        <f>IF($E789="","",INDEX('Input Transaksi'!$D:$D,$E789))</f>
        <v/>
      </c>
      <c r="C789">
        <f>IF($E789="","",INDEX('Input Transaksi'!$E:$E,$E789))</f>
        <v/>
      </c>
      <c r="D789" s="5">
        <f>IF($E789="","",INDEX('Input Transaksi'!$F:$F,$E789))</f>
        <v/>
      </c>
      <c r="E789">
        <f>IFERROR(AGGREGATE(15,6,ROW('Input Transaksi'!$B$5:$B$5000)/('Input Transaksi'!$B$5:$B$5000="JCL SESETAN"),ROWS($E$5:E789)),"")</f>
        <v/>
      </c>
      <c r="F789" s="5" t="n"/>
    </row>
    <row r="790">
      <c r="A790" s="10">
        <f>IF($E790="","",INDEX('Input Transaksi'!$A:$A,$E790))</f>
        <v/>
      </c>
      <c r="B790" s="5">
        <f>IF($E790="","",INDEX('Input Transaksi'!$D:$D,$E790))</f>
        <v/>
      </c>
      <c r="C790">
        <f>IF($E790="","",INDEX('Input Transaksi'!$E:$E,$E790))</f>
        <v/>
      </c>
      <c r="D790" s="5">
        <f>IF($E790="","",INDEX('Input Transaksi'!$F:$F,$E790))</f>
        <v/>
      </c>
      <c r="E790">
        <f>IFERROR(AGGREGATE(15,6,ROW('Input Transaksi'!$B$5:$B$5000)/('Input Transaksi'!$B$5:$B$5000="JCL SESETAN"),ROWS($E$5:E790)),"")</f>
        <v/>
      </c>
      <c r="F790" s="5" t="n"/>
    </row>
    <row r="791">
      <c r="A791" s="10">
        <f>IF($E791="","",INDEX('Input Transaksi'!$A:$A,$E791))</f>
        <v/>
      </c>
      <c r="B791" s="5">
        <f>IF($E791="","",INDEX('Input Transaksi'!$D:$D,$E791))</f>
        <v/>
      </c>
      <c r="C791">
        <f>IF($E791="","",INDEX('Input Transaksi'!$E:$E,$E791))</f>
        <v/>
      </c>
      <c r="D791" s="5">
        <f>IF($E791="","",INDEX('Input Transaksi'!$F:$F,$E791))</f>
        <v/>
      </c>
      <c r="E791">
        <f>IFERROR(AGGREGATE(15,6,ROW('Input Transaksi'!$B$5:$B$5000)/('Input Transaksi'!$B$5:$B$5000="JCL SESETAN"),ROWS($E$5:E791)),"")</f>
        <v/>
      </c>
      <c r="F791" s="5" t="n"/>
    </row>
    <row r="792">
      <c r="A792" s="10">
        <f>IF($E792="","",INDEX('Input Transaksi'!$A:$A,$E792))</f>
        <v/>
      </c>
      <c r="B792" s="5">
        <f>IF($E792="","",INDEX('Input Transaksi'!$D:$D,$E792))</f>
        <v/>
      </c>
      <c r="C792">
        <f>IF($E792="","",INDEX('Input Transaksi'!$E:$E,$E792))</f>
        <v/>
      </c>
      <c r="D792" s="5">
        <f>IF($E792="","",INDEX('Input Transaksi'!$F:$F,$E792))</f>
        <v/>
      </c>
      <c r="E792">
        <f>IFERROR(AGGREGATE(15,6,ROW('Input Transaksi'!$B$5:$B$5000)/('Input Transaksi'!$B$5:$B$5000="JCL SESETAN"),ROWS($E$5:E792)),"")</f>
        <v/>
      </c>
      <c r="F792" s="5" t="n"/>
    </row>
    <row r="793">
      <c r="A793" s="10">
        <f>IF($E793="","",INDEX('Input Transaksi'!$A:$A,$E793))</f>
        <v/>
      </c>
      <c r="B793" s="5">
        <f>IF($E793="","",INDEX('Input Transaksi'!$D:$D,$E793))</f>
        <v/>
      </c>
      <c r="C793">
        <f>IF($E793="","",INDEX('Input Transaksi'!$E:$E,$E793))</f>
        <v/>
      </c>
      <c r="D793" s="5">
        <f>IF($E793="","",INDEX('Input Transaksi'!$F:$F,$E793))</f>
        <v/>
      </c>
      <c r="E793">
        <f>IFERROR(AGGREGATE(15,6,ROW('Input Transaksi'!$B$5:$B$5000)/('Input Transaksi'!$B$5:$B$5000="JCL SESETAN"),ROWS($E$5:E793)),"")</f>
        <v/>
      </c>
      <c r="F793" s="5" t="n"/>
    </row>
    <row r="794">
      <c r="A794" s="10">
        <f>IF($E794="","",INDEX('Input Transaksi'!$A:$A,$E794))</f>
        <v/>
      </c>
      <c r="B794" s="5">
        <f>IF($E794="","",INDEX('Input Transaksi'!$D:$D,$E794))</f>
        <v/>
      </c>
      <c r="C794">
        <f>IF($E794="","",INDEX('Input Transaksi'!$E:$E,$E794))</f>
        <v/>
      </c>
      <c r="D794" s="5">
        <f>IF($E794="","",INDEX('Input Transaksi'!$F:$F,$E794))</f>
        <v/>
      </c>
      <c r="E794">
        <f>IFERROR(AGGREGATE(15,6,ROW('Input Transaksi'!$B$5:$B$5000)/('Input Transaksi'!$B$5:$B$5000="JCL SESETAN"),ROWS($E$5:E794)),"")</f>
        <v/>
      </c>
      <c r="F794" s="5" t="n"/>
    </row>
    <row r="795">
      <c r="A795" s="10">
        <f>IF($E795="","",INDEX('Input Transaksi'!$A:$A,$E795))</f>
        <v/>
      </c>
      <c r="B795" s="5">
        <f>IF($E795="","",INDEX('Input Transaksi'!$D:$D,$E795))</f>
        <v/>
      </c>
      <c r="C795">
        <f>IF($E795="","",INDEX('Input Transaksi'!$E:$E,$E795))</f>
        <v/>
      </c>
      <c r="D795" s="5">
        <f>IF($E795="","",INDEX('Input Transaksi'!$F:$F,$E795))</f>
        <v/>
      </c>
      <c r="E795">
        <f>IFERROR(AGGREGATE(15,6,ROW('Input Transaksi'!$B$5:$B$5000)/('Input Transaksi'!$B$5:$B$5000="JCL SESETAN"),ROWS($E$5:E795)),"")</f>
        <v/>
      </c>
      <c r="F795" s="5" t="n"/>
    </row>
    <row r="796">
      <c r="A796" s="10">
        <f>IF($E796="","",INDEX('Input Transaksi'!$A:$A,$E796))</f>
        <v/>
      </c>
      <c r="B796" s="5">
        <f>IF($E796="","",INDEX('Input Transaksi'!$D:$D,$E796))</f>
        <v/>
      </c>
      <c r="C796">
        <f>IF($E796="","",INDEX('Input Transaksi'!$E:$E,$E796))</f>
        <v/>
      </c>
      <c r="D796" s="5">
        <f>IF($E796="","",INDEX('Input Transaksi'!$F:$F,$E796))</f>
        <v/>
      </c>
      <c r="E796">
        <f>IFERROR(AGGREGATE(15,6,ROW('Input Transaksi'!$B$5:$B$5000)/('Input Transaksi'!$B$5:$B$5000="JCL SESETAN"),ROWS($E$5:E796)),"")</f>
        <v/>
      </c>
      <c r="F796" s="5" t="n"/>
    </row>
    <row r="797">
      <c r="A797" s="10">
        <f>IF($E797="","",INDEX('Input Transaksi'!$A:$A,$E797))</f>
        <v/>
      </c>
      <c r="B797" s="5">
        <f>IF($E797="","",INDEX('Input Transaksi'!$D:$D,$E797))</f>
        <v/>
      </c>
      <c r="C797">
        <f>IF($E797="","",INDEX('Input Transaksi'!$E:$E,$E797))</f>
        <v/>
      </c>
      <c r="D797" s="5">
        <f>IF($E797="","",INDEX('Input Transaksi'!$F:$F,$E797))</f>
        <v/>
      </c>
      <c r="E797">
        <f>IFERROR(AGGREGATE(15,6,ROW('Input Transaksi'!$B$5:$B$5000)/('Input Transaksi'!$B$5:$B$5000="JCL SESETAN"),ROWS($E$5:E797)),"")</f>
        <v/>
      </c>
      <c r="F797" s="5" t="n"/>
    </row>
    <row r="798">
      <c r="A798" s="10">
        <f>IF($E798="","",INDEX('Input Transaksi'!$A:$A,$E798))</f>
        <v/>
      </c>
      <c r="B798" s="5">
        <f>IF($E798="","",INDEX('Input Transaksi'!$D:$D,$E798))</f>
        <v/>
      </c>
      <c r="C798">
        <f>IF($E798="","",INDEX('Input Transaksi'!$E:$E,$E798))</f>
        <v/>
      </c>
      <c r="D798" s="5">
        <f>IF($E798="","",INDEX('Input Transaksi'!$F:$F,$E798))</f>
        <v/>
      </c>
      <c r="E798">
        <f>IFERROR(AGGREGATE(15,6,ROW('Input Transaksi'!$B$5:$B$5000)/('Input Transaksi'!$B$5:$B$5000="JCL SESETAN"),ROWS($E$5:E798)),"")</f>
        <v/>
      </c>
      <c r="F798" s="5" t="n"/>
    </row>
    <row r="799">
      <c r="A799" s="10">
        <f>IF($E799="","",INDEX('Input Transaksi'!$A:$A,$E799))</f>
        <v/>
      </c>
      <c r="B799" s="5">
        <f>IF($E799="","",INDEX('Input Transaksi'!$D:$D,$E799))</f>
        <v/>
      </c>
      <c r="C799">
        <f>IF($E799="","",INDEX('Input Transaksi'!$E:$E,$E799))</f>
        <v/>
      </c>
      <c r="D799" s="5">
        <f>IF($E799="","",INDEX('Input Transaksi'!$F:$F,$E799))</f>
        <v/>
      </c>
      <c r="E799">
        <f>IFERROR(AGGREGATE(15,6,ROW('Input Transaksi'!$B$5:$B$5000)/('Input Transaksi'!$B$5:$B$5000="JCL SESETAN"),ROWS($E$5:E799)),"")</f>
        <v/>
      </c>
      <c r="F799" s="5" t="n"/>
    </row>
    <row r="800">
      <c r="A800" s="10">
        <f>IF($E800="","",INDEX('Input Transaksi'!$A:$A,$E800))</f>
        <v/>
      </c>
      <c r="B800" s="5">
        <f>IF($E800="","",INDEX('Input Transaksi'!$D:$D,$E800))</f>
        <v/>
      </c>
      <c r="C800">
        <f>IF($E800="","",INDEX('Input Transaksi'!$E:$E,$E800))</f>
        <v/>
      </c>
      <c r="D800" s="5">
        <f>IF($E800="","",INDEX('Input Transaksi'!$F:$F,$E800))</f>
        <v/>
      </c>
      <c r="E800">
        <f>IFERROR(AGGREGATE(15,6,ROW('Input Transaksi'!$B$5:$B$5000)/('Input Transaksi'!$B$5:$B$5000="JCL SESETAN"),ROWS($E$5:E800)),"")</f>
        <v/>
      </c>
      <c r="F800" s="5" t="n"/>
    </row>
    <row r="801">
      <c r="A801" s="10">
        <f>IF($E801="","",INDEX('Input Transaksi'!$A:$A,$E801))</f>
        <v/>
      </c>
      <c r="B801" s="5">
        <f>IF($E801="","",INDEX('Input Transaksi'!$D:$D,$E801))</f>
        <v/>
      </c>
      <c r="C801">
        <f>IF($E801="","",INDEX('Input Transaksi'!$E:$E,$E801))</f>
        <v/>
      </c>
      <c r="D801" s="5">
        <f>IF($E801="","",INDEX('Input Transaksi'!$F:$F,$E801))</f>
        <v/>
      </c>
      <c r="E801">
        <f>IFERROR(AGGREGATE(15,6,ROW('Input Transaksi'!$B$5:$B$5000)/('Input Transaksi'!$B$5:$B$5000="JCL SESETAN"),ROWS($E$5:E801)),"")</f>
        <v/>
      </c>
      <c r="F801" s="5" t="n"/>
    </row>
    <row r="802">
      <c r="A802" s="10">
        <f>IF($E802="","",INDEX('Input Transaksi'!$A:$A,$E802))</f>
        <v/>
      </c>
      <c r="B802" s="5">
        <f>IF($E802="","",INDEX('Input Transaksi'!$D:$D,$E802))</f>
        <v/>
      </c>
      <c r="C802">
        <f>IF($E802="","",INDEX('Input Transaksi'!$E:$E,$E802))</f>
        <v/>
      </c>
      <c r="D802" s="5">
        <f>IF($E802="","",INDEX('Input Transaksi'!$F:$F,$E802))</f>
        <v/>
      </c>
      <c r="E802">
        <f>IFERROR(AGGREGATE(15,6,ROW('Input Transaksi'!$B$5:$B$5000)/('Input Transaksi'!$B$5:$B$5000="JCL SESETAN"),ROWS($E$5:E802)),"")</f>
        <v/>
      </c>
      <c r="F802" s="5" t="n"/>
    </row>
    <row r="803">
      <c r="A803" s="10">
        <f>IF($E803="","",INDEX('Input Transaksi'!$A:$A,$E803))</f>
        <v/>
      </c>
      <c r="B803" s="5">
        <f>IF($E803="","",INDEX('Input Transaksi'!$D:$D,$E803))</f>
        <v/>
      </c>
      <c r="C803">
        <f>IF($E803="","",INDEX('Input Transaksi'!$E:$E,$E803))</f>
        <v/>
      </c>
      <c r="D803" s="5">
        <f>IF($E803="","",INDEX('Input Transaksi'!$F:$F,$E803))</f>
        <v/>
      </c>
      <c r="E803">
        <f>IFERROR(AGGREGATE(15,6,ROW('Input Transaksi'!$B$5:$B$5000)/('Input Transaksi'!$B$5:$B$5000="JCL SESETAN"),ROWS($E$5:E803)),"")</f>
        <v/>
      </c>
      <c r="F803" s="5" t="n"/>
    </row>
    <row r="804">
      <c r="A804" s="10">
        <f>IF($E804="","",INDEX('Input Transaksi'!$A:$A,$E804))</f>
        <v/>
      </c>
      <c r="B804" s="5">
        <f>IF($E804="","",INDEX('Input Transaksi'!$D:$D,$E804))</f>
        <v/>
      </c>
      <c r="C804">
        <f>IF($E804="","",INDEX('Input Transaksi'!$E:$E,$E804))</f>
        <v/>
      </c>
      <c r="D804" s="5">
        <f>IF($E804="","",INDEX('Input Transaksi'!$F:$F,$E804))</f>
        <v/>
      </c>
      <c r="E804">
        <f>IFERROR(AGGREGATE(15,6,ROW('Input Transaksi'!$B$5:$B$5000)/('Input Transaksi'!$B$5:$B$5000="JCL SESETAN"),ROWS($E$5:E804)),"")</f>
        <v/>
      </c>
      <c r="F804" s="5" t="n"/>
    </row>
    <row r="805">
      <c r="A805" s="10">
        <f>IF($E805="","",INDEX('Input Transaksi'!$A:$A,$E805))</f>
        <v/>
      </c>
      <c r="B805" s="5">
        <f>IF($E805="","",INDEX('Input Transaksi'!$D:$D,$E805))</f>
        <v/>
      </c>
      <c r="C805">
        <f>IF($E805="","",INDEX('Input Transaksi'!$E:$E,$E805))</f>
        <v/>
      </c>
      <c r="D805" s="5">
        <f>IF($E805="","",INDEX('Input Transaksi'!$F:$F,$E805))</f>
        <v/>
      </c>
      <c r="E805">
        <f>IFERROR(AGGREGATE(15,6,ROW('Input Transaksi'!$B$5:$B$5000)/('Input Transaksi'!$B$5:$B$5000="JCL SESETAN"),ROWS($E$5:E805)),"")</f>
        <v/>
      </c>
      <c r="F805" s="5" t="n"/>
    </row>
    <row r="806">
      <c r="A806" s="10">
        <f>IF($E806="","",INDEX('Input Transaksi'!$A:$A,$E806))</f>
        <v/>
      </c>
      <c r="B806" s="5">
        <f>IF($E806="","",INDEX('Input Transaksi'!$D:$D,$E806))</f>
        <v/>
      </c>
      <c r="C806">
        <f>IF($E806="","",INDEX('Input Transaksi'!$E:$E,$E806))</f>
        <v/>
      </c>
      <c r="D806" s="5">
        <f>IF($E806="","",INDEX('Input Transaksi'!$F:$F,$E806))</f>
        <v/>
      </c>
      <c r="E806">
        <f>IFERROR(AGGREGATE(15,6,ROW('Input Transaksi'!$B$5:$B$5000)/('Input Transaksi'!$B$5:$B$5000="JCL SESETAN"),ROWS($E$5:E806)),"")</f>
        <v/>
      </c>
      <c r="F806" s="5" t="n"/>
    </row>
    <row r="807">
      <c r="A807" s="10">
        <f>IF($E807="","",INDEX('Input Transaksi'!$A:$A,$E807))</f>
        <v/>
      </c>
      <c r="B807" s="5">
        <f>IF($E807="","",INDEX('Input Transaksi'!$D:$D,$E807))</f>
        <v/>
      </c>
      <c r="C807">
        <f>IF($E807="","",INDEX('Input Transaksi'!$E:$E,$E807))</f>
        <v/>
      </c>
      <c r="D807" s="5">
        <f>IF($E807="","",INDEX('Input Transaksi'!$F:$F,$E807))</f>
        <v/>
      </c>
      <c r="E807">
        <f>IFERROR(AGGREGATE(15,6,ROW('Input Transaksi'!$B$5:$B$5000)/('Input Transaksi'!$B$5:$B$5000="JCL SESETAN"),ROWS($E$5:E807)),"")</f>
        <v/>
      </c>
      <c r="F807" s="5" t="n"/>
    </row>
    <row r="808">
      <c r="A808" s="10">
        <f>IF($E808="","",INDEX('Input Transaksi'!$A:$A,$E808))</f>
        <v/>
      </c>
      <c r="B808" s="5">
        <f>IF($E808="","",INDEX('Input Transaksi'!$D:$D,$E808))</f>
        <v/>
      </c>
      <c r="C808">
        <f>IF($E808="","",INDEX('Input Transaksi'!$E:$E,$E808))</f>
        <v/>
      </c>
      <c r="D808" s="5">
        <f>IF($E808="","",INDEX('Input Transaksi'!$F:$F,$E808))</f>
        <v/>
      </c>
      <c r="E808">
        <f>IFERROR(AGGREGATE(15,6,ROW('Input Transaksi'!$B$5:$B$5000)/('Input Transaksi'!$B$5:$B$5000="JCL SESETAN"),ROWS($E$5:E808)),"")</f>
        <v/>
      </c>
      <c r="F808" s="5" t="n"/>
    </row>
    <row r="809">
      <c r="A809" s="10">
        <f>IF($E809="","",INDEX('Input Transaksi'!$A:$A,$E809))</f>
        <v/>
      </c>
      <c r="B809" s="5">
        <f>IF($E809="","",INDEX('Input Transaksi'!$D:$D,$E809))</f>
        <v/>
      </c>
      <c r="C809">
        <f>IF($E809="","",INDEX('Input Transaksi'!$E:$E,$E809))</f>
        <v/>
      </c>
      <c r="D809" s="5">
        <f>IF($E809="","",INDEX('Input Transaksi'!$F:$F,$E809))</f>
        <v/>
      </c>
      <c r="E809">
        <f>IFERROR(AGGREGATE(15,6,ROW('Input Transaksi'!$B$5:$B$5000)/('Input Transaksi'!$B$5:$B$5000="JCL SESETAN"),ROWS($E$5:E809)),"")</f>
        <v/>
      </c>
      <c r="F809" s="5" t="n"/>
    </row>
    <row r="810">
      <c r="A810" s="10">
        <f>IF($E810="","",INDEX('Input Transaksi'!$A:$A,$E810))</f>
        <v/>
      </c>
      <c r="B810" s="5">
        <f>IF($E810="","",INDEX('Input Transaksi'!$D:$D,$E810))</f>
        <v/>
      </c>
      <c r="C810">
        <f>IF($E810="","",INDEX('Input Transaksi'!$E:$E,$E810))</f>
        <v/>
      </c>
      <c r="D810" s="5">
        <f>IF($E810="","",INDEX('Input Transaksi'!$F:$F,$E810))</f>
        <v/>
      </c>
      <c r="E810">
        <f>IFERROR(AGGREGATE(15,6,ROW('Input Transaksi'!$B$5:$B$5000)/('Input Transaksi'!$B$5:$B$5000="JCL SESETAN"),ROWS($E$5:E810)),"")</f>
        <v/>
      </c>
      <c r="F810" s="5" t="n"/>
    </row>
    <row r="811">
      <c r="A811" s="10">
        <f>IF($E811="","",INDEX('Input Transaksi'!$A:$A,$E811))</f>
        <v/>
      </c>
      <c r="B811" s="5">
        <f>IF($E811="","",INDEX('Input Transaksi'!$D:$D,$E811))</f>
        <v/>
      </c>
      <c r="C811">
        <f>IF($E811="","",INDEX('Input Transaksi'!$E:$E,$E811))</f>
        <v/>
      </c>
      <c r="D811" s="5">
        <f>IF($E811="","",INDEX('Input Transaksi'!$F:$F,$E811))</f>
        <v/>
      </c>
      <c r="E811">
        <f>IFERROR(AGGREGATE(15,6,ROW('Input Transaksi'!$B$5:$B$5000)/('Input Transaksi'!$B$5:$B$5000="JCL SESETAN"),ROWS($E$5:E811)),"")</f>
        <v/>
      </c>
      <c r="F811" s="5" t="n"/>
    </row>
    <row r="812">
      <c r="A812" s="10">
        <f>IF($E812="","",INDEX('Input Transaksi'!$A:$A,$E812))</f>
        <v/>
      </c>
      <c r="B812" s="5">
        <f>IF($E812="","",INDEX('Input Transaksi'!$D:$D,$E812))</f>
        <v/>
      </c>
      <c r="C812">
        <f>IF($E812="","",INDEX('Input Transaksi'!$E:$E,$E812))</f>
        <v/>
      </c>
      <c r="D812" s="5">
        <f>IF($E812="","",INDEX('Input Transaksi'!$F:$F,$E812))</f>
        <v/>
      </c>
      <c r="E812">
        <f>IFERROR(AGGREGATE(15,6,ROW('Input Transaksi'!$B$5:$B$5000)/('Input Transaksi'!$B$5:$B$5000="JCL SESETAN"),ROWS($E$5:E812)),"")</f>
        <v/>
      </c>
      <c r="F812" s="5" t="n"/>
    </row>
    <row r="813">
      <c r="A813" s="10">
        <f>IF($E813="","",INDEX('Input Transaksi'!$A:$A,$E813))</f>
        <v/>
      </c>
      <c r="B813" s="5">
        <f>IF($E813="","",INDEX('Input Transaksi'!$D:$D,$E813))</f>
        <v/>
      </c>
      <c r="C813">
        <f>IF($E813="","",INDEX('Input Transaksi'!$E:$E,$E813))</f>
        <v/>
      </c>
      <c r="D813" s="5">
        <f>IF($E813="","",INDEX('Input Transaksi'!$F:$F,$E813))</f>
        <v/>
      </c>
      <c r="E813">
        <f>IFERROR(AGGREGATE(15,6,ROW('Input Transaksi'!$B$5:$B$5000)/('Input Transaksi'!$B$5:$B$5000="JCL SESETAN"),ROWS($E$5:E813)),"")</f>
        <v/>
      </c>
      <c r="F813" s="5" t="n"/>
    </row>
    <row r="814">
      <c r="A814" s="10">
        <f>IF($E814="","",INDEX('Input Transaksi'!$A:$A,$E814))</f>
        <v/>
      </c>
      <c r="B814" s="5">
        <f>IF($E814="","",INDEX('Input Transaksi'!$D:$D,$E814))</f>
        <v/>
      </c>
      <c r="C814">
        <f>IF($E814="","",INDEX('Input Transaksi'!$E:$E,$E814))</f>
        <v/>
      </c>
      <c r="D814" s="5">
        <f>IF($E814="","",INDEX('Input Transaksi'!$F:$F,$E814))</f>
        <v/>
      </c>
      <c r="E814">
        <f>IFERROR(AGGREGATE(15,6,ROW('Input Transaksi'!$B$5:$B$5000)/('Input Transaksi'!$B$5:$B$5000="JCL SESETAN"),ROWS($E$5:E814)),"")</f>
        <v/>
      </c>
      <c r="F814" s="5" t="n"/>
    </row>
    <row r="815">
      <c r="A815" s="10">
        <f>IF($E815="","",INDEX('Input Transaksi'!$A:$A,$E815))</f>
        <v/>
      </c>
      <c r="B815" s="5">
        <f>IF($E815="","",INDEX('Input Transaksi'!$D:$D,$E815))</f>
        <v/>
      </c>
      <c r="C815">
        <f>IF($E815="","",INDEX('Input Transaksi'!$E:$E,$E815))</f>
        <v/>
      </c>
      <c r="D815" s="5">
        <f>IF($E815="","",INDEX('Input Transaksi'!$F:$F,$E815))</f>
        <v/>
      </c>
      <c r="E815">
        <f>IFERROR(AGGREGATE(15,6,ROW('Input Transaksi'!$B$5:$B$5000)/('Input Transaksi'!$B$5:$B$5000="JCL SESETAN"),ROWS($E$5:E815)),"")</f>
        <v/>
      </c>
      <c r="F815" s="5" t="n"/>
    </row>
    <row r="816">
      <c r="A816" s="10">
        <f>IF($E816="","",INDEX('Input Transaksi'!$A:$A,$E816))</f>
        <v/>
      </c>
      <c r="B816" s="5">
        <f>IF($E816="","",INDEX('Input Transaksi'!$D:$D,$E816))</f>
        <v/>
      </c>
      <c r="C816">
        <f>IF($E816="","",INDEX('Input Transaksi'!$E:$E,$E816))</f>
        <v/>
      </c>
      <c r="D816" s="5">
        <f>IF($E816="","",INDEX('Input Transaksi'!$F:$F,$E816))</f>
        <v/>
      </c>
      <c r="E816">
        <f>IFERROR(AGGREGATE(15,6,ROW('Input Transaksi'!$B$5:$B$5000)/('Input Transaksi'!$B$5:$B$5000="JCL SESETAN"),ROWS($E$5:E816)),"")</f>
        <v/>
      </c>
      <c r="F816" s="5" t="n"/>
    </row>
    <row r="817">
      <c r="A817" s="10">
        <f>IF($E817="","",INDEX('Input Transaksi'!$A:$A,$E817))</f>
        <v/>
      </c>
      <c r="B817" s="5">
        <f>IF($E817="","",INDEX('Input Transaksi'!$D:$D,$E817))</f>
        <v/>
      </c>
      <c r="C817">
        <f>IF($E817="","",INDEX('Input Transaksi'!$E:$E,$E817))</f>
        <v/>
      </c>
      <c r="D817" s="5">
        <f>IF($E817="","",INDEX('Input Transaksi'!$F:$F,$E817))</f>
        <v/>
      </c>
      <c r="E817">
        <f>IFERROR(AGGREGATE(15,6,ROW('Input Transaksi'!$B$5:$B$5000)/('Input Transaksi'!$B$5:$B$5000="JCL SESETAN"),ROWS($E$5:E817)),"")</f>
        <v/>
      </c>
      <c r="F817" s="5" t="n"/>
    </row>
    <row r="818">
      <c r="A818" s="10">
        <f>IF($E818="","",INDEX('Input Transaksi'!$A:$A,$E818))</f>
        <v/>
      </c>
      <c r="B818" s="5">
        <f>IF($E818="","",INDEX('Input Transaksi'!$D:$D,$E818))</f>
        <v/>
      </c>
      <c r="C818">
        <f>IF($E818="","",INDEX('Input Transaksi'!$E:$E,$E818))</f>
        <v/>
      </c>
      <c r="D818" s="5">
        <f>IF($E818="","",INDEX('Input Transaksi'!$F:$F,$E818))</f>
        <v/>
      </c>
      <c r="E818">
        <f>IFERROR(AGGREGATE(15,6,ROW('Input Transaksi'!$B$5:$B$5000)/('Input Transaksi'!$B$5:$B$5000="JCL SESETAN"),ROWS($E$5:E818)),"")</f>
        <v/>
      </c>
      <c r="F818" s="5" t="n"/>
    </row>
    <row r="819">
      <c r="A819" s="10">
        <f>IF($E819="","",INDEX('Input Transaksi'!$A:$A,$E819))</f>
        <v/>
      </c>
      <c r="B819" s="5">
        <f>IF($E819="","",INDEX('Input Transaksi'!$D:$D,$E819))</f>
        <v/>
      </c>
      <c r="C819">
        <f>IF($E819="","",INDEX('Input Transaksi'!$E:$E,$E819))</f>
        <v/>
      </c>
      <c r="D819" s="5">
        <f>IF($E819="","",INDEX('Input Transaksi'!$F:$F,$E819))</f>
        <v/>
      </c>
      <c r="E819">
        <f>IFERROR(AGGREGATE(15,6,ROW('Input Transaksi'!$B$5:$B$5000)/('Input Transaksi'!$B$5:$B$5000="JCL SESETAN"),ROWS($E$5:E819)),"")</f>
        <v/>
      </c>
      <c r="F819" s="5" t="n"/>
    </row>
    <row r="820">
      <c r="A820" s="10">
        <f>IF($E820="","",INDEX('Input Transaksi'!$A:$A,$E820))</f>
        <v/>
      </c>
      <c r="B820" s="5">
        <f>IF($E820="","",INDEX('Input Transaksi'!$D:$D,$E820))</f>
        <v/>
      </c>
      <c r="C820">
        <f>IF($E820="","",INDEX('Input Transaksi'!$E:$E,$E820))</f>
        <v/>
      </c>
      <c r="D820" s="5">
        <f>IF($E820="","",INDEX('Input Transaksi'!$F:$F,$E820))</f>
        <v/>
      </c>
      <c r="E820">
        <f>IFERROR(AGGREGATE(15,6,ROW('Input Transaksi'!$B$5:$B$5000)/('Input Transaksi'!$B$5:$B$5000="JCL SESETAN"),ROWS($E$5:E820)),"")</f>
        <v/>
      </c>
      <c r="F820" s="5" t="n"/>
    </row>
    <row r="821">
      <c r="A821" s="10">
        <f>IF($E821="","",INDEX('Input Transaksi'!$A:$A,$E821))</f>
        <v/>
      </c>
      <c r="B821" s="5">
        <f>IF($E821="","",INDEX('Input Transaksi'!$D:$D,$E821))</f>
        <v/>
      </c>
      <c r="C821">
        <f>IF($E821="","",INDEX('Input Transaksi'!$E:$E,$E821))</f>
        <v/>
      </c>
      <c r="D821" s="5">
        <f>IF($E821="","",INDEX('Input Transaksi'!$F:$F,$E821))</f>
        <v/>
      </c>
      <c r="E821">
        <f>IFERROR(AGGREGATE(15,6,ROW('Input Transaksi'!$B$5:$B$5000)/('Input Transaksi'!$B$5:$B$5000="JCL SESETAN"),ROWS($E$5:E821)),"")</f>
        <v/>
      </c>
      <c r="F821" s="5" t="n"/>
    </row>
    <row r="822">
      <c r="A822" s="10">
        <f>IF($E822="","",INDEX('Input Transaksi'!$A:$A,$E822))</f>
        <v/>
      </c>
      <c r="B822" s="5">
        <f>IF($E822="","",INDEX('Input Transaksi'!$D:$D,$E822))</f>
        <v/>
      </c>
      <c r="C822">
        <f>IF($E822="","",INDEX('Input Transaksi'!$E:$E,$E822))</f>
        <v/>
      </c>
      <c r="D822" s="5">
        <f>IF($E822="","",INDEX('Input Transaksi'!$F:$F,$E822))</f>
        <v/>
      </c>
      <c r="E822">
        <f>IFERROR(AGGREGATE(15,6,ROW('Input Transaksi'!$B$5:$B$5000)/('Input Transaksi'!$B$5:$B$5000="JCL SESETAN"),ROWS($E$5:E822)),"")</f>
        <v/>
      </c>
      <c r="F822" s="5" t="n"/>
    </row>
    <row r="823">
      <c r="A823" s="10">
        <f>IF($E823="","",INDEX('Input Transaksi'!$A:$A,$E823))</f>
        <v/>
      </c>
      <c r="B823" s="5">
        <f>IF($E823="","",INDEX('Input Transaksi'!$D:$D,$E823))</f>
        <v/>
      </c>
      <c r="C823">
        <f>IF($E823="","",INDEX('Input Transaksi'!$E:$E,$E823))</f>
        <v/>
      </c>
      <c r="D823" s="5">
        <f>IF($E823="","",INDEX('Input Transaksi'!$F:$F,$E823))</f>
        <v/>
      </c>
      <c r="E823">
        <f>IFERROR(AGGREGATE(15,6,ROW('Input Transaksi'!$B$5:$B$5000)/('Input Transaksi'!$B$5:$B$5000="JCL SESETAN"),ROWS($E$5:E823)),"")</f>
        <v/>
      </c>
      <c r="F823" s="5" t="n"/>
    </row>
    <row r="824">
      <c r="A824" s="10">
        <f>IF($E824="","",INDEX('Input Transaksi'!$A:$A,$E824))</f>
        <v/>
      </c>
      <c r="B824" s="5">
        <f>IF($E824="","",INDEX('Input Transaksi'!$D:$D,$E824))</f>
        <v/>
      </c>
      <c r="C824">
        <f>IF($E824="","",INDEX('Input Transaksi'!$E:$E,$E824))</f>
        <v/>
      </c>
      <c r="D824" s="5">
        <f>IF($E824="","",INDEX('Input Transaksi'!$F:$F,$E824))</f>
        <v/>
      </c>
      <c r="E824">
        <f>IFERROR(AGGREGATE(15,6,ROW('Input Transaksi'!$B$5:$B$5000)/('Input Transaksi'!$B$5:$B$5000="JCL SESETAN"),ROWS($E$5:E824)),"")</f>
        <v/>
      </c>
      <c r="F824" s="5" t="n"/>
    </row>
    <row r="825">
      <c r="A825" s="10">
        <f>IF($E825="","",INDEX('Input Transaksi'!$A:$A,$E825))</f>
        <v/>
      </c>
      <c r="B825" s="5">
        <f>IF($E825="","",INDEX('Input Transaksi'!$D:$D,$E825))</f>
        <v/>
      </c>
      <c r="C825">
        <f>IF($E825="","",INDEX('Input Transaksi'!$E:$E,$E825))</f>
        <v/>
      </c>
      <c r="D825" s="5">
        <f>IF($E825="","",INDEX('Input Transaksi'!$F:$F,$E825))</f>
        <v/>
      </c>
      <c r="E825">
        <f>IFERROR(AGGREGATE(15,6,ROW('Input Transaksi'!$B$5:$B$5000)/('Input Transaksi'!$B$5:$B$5000="JCL SESETAN"),ROWS($E$5:E825)),"")</f>
        <v/>
      </c>
      <c r="F825" s="5" t="n"/>
    </row>
    <row r="826">
      <c r="A826" s="10">
        <f>IF($E826="","",INDEX('Input Transaksi'!$A:$A,$E826))</f>
        <v/>
      </c>
      <c r="B826" s="5">
        <f>IF($E826="","",INDEX('Input Transaksi'!$D:$D,$E826))</f>
        <v/>
      </c>
      <c r="C826">
        <f>IF($E826="","",INDEX('Input Transaksi'!$E:$E,$E826))</f>
        <v/>
      </c>
      <c r="D826" s="5">
        <f>IF($E826="","",INDEX('Input Transaksi'!$F:$F,$E826))</f>
        <v/>
      </c>
      <c r="E826">
        <f>IFERROR(AGGREGATE(15,6,ROW('Input Transaksi'!$B$5:$B$5000)/('Input Transaksi'!$B$5:$B$5000="JCL SESETAN"),ROWS($E$5:E826)),"")</f>
        <v/>
      </c>
      <c r="F826" s="5" t="n"/>
    </row>
    <row r="827">
      <c r="A827" s="10">
        <f>IF($E827="","",INDEX('Input Transaksi'!$A:$A,$E827))</f>
        <v/>
      </c>
      <c r="B827" s="5">
        <f>IF($E827="","",INDEX('Input Transaksi'!$D:$D,$E827))</f>
        <v/>
      </c>
      <c r="C827">
        <f>IF($E827="","",INDEX('Input Transaksi'!$E:$E,$E827))</f>
        <v/>
      </c>
      <c r="D827" s="5">
        <f>IF($E827="","",INDEX('Input Transaksi'!$F:$F,$E827))</f>
        <v/>
      </c>
      <c r="E827">
        <f>IFERROR(AGGREGATE(15,6,ROW('Input Transaksi'!$B$5:$B$5000)/('Input Transaksi'!$B$5:$B$5000="JCL SESETAN"),ROWS($E$5:E827)),"")</f>
        <v/>
      </c>
      <c r="F827" s="5" t="n"/>
    </row>
    <row r="828">
      <c r="A828" s="10">
        <f>IF($E828="","",INDEX('Input Transaksi'!$A:$A,$E828))</f>
        <v/>
      </c>
      <c r="B828" s="5">
        <f>IF($E828="","",INDEX('Input Transaksi'!$D:$D,$E828))</f>
        <v/>
      </c>
      <c r="C828">
        <f>IF($E828="","",INDEX('Input Transaksi'!$E:$E,$E828))</f>
        <v/>
      </c>
      <c r="D828" s="5">
        <f>IF($E828="","",INDEX('Input Transaksi'!$F:$F,$E828))</f>
        <v/>
      </c>
      <c r="E828">
        <f>IFERROR(AGGREGATE(15,6,ROW('Input Transaksi'!$B$5:$B$5000)/('Input Transaksi'!$B$5:$B$5000="JCL SESETAN"),ROWS($E$5:E828)),"")</f>
        <v/>
      </c>
      <c r="F828" s="5" t="n"/>
    </row>
    <row r="829">
      <c r="A829" s="10">
        <f>IF($E829="","",INDEX('Input Transaksi'!$A:$A,$E829))</f>
        <v/>
      </c>
      <c r="B829" s="5">
        <f>IF($E829="","",INDEX('Input Transaksi'!$D:$D,$E829))</f>
        <v/>
      </c>
      <c r="C829">
        <f>IF($E829="","",INDEX('Input Transaksi'!$E:$E,$E829))</f>
        <v/>
      </c>
      <c r="D829" s="5">
        <f>IF($E829="","",INDEX('Input Transaksi'!$F:$F,$E829))</f>
        <v/>
      </c>
      <c r="E829">
        <f>IFERROR(AGGREGATE(15,6,ROW('Input Transaksi'!$B$5:$B$5000)/('Input Transaksi'!$B$5:$B$5000="JCL SESETAN"),ROWS($E$5:E829)),"")</f>
        <v/>
      </c>
      <c r="F829" s="5" t="n"/>
    </row>
    <row r="830">
      <c r="A830" s="10">
        <f>IF($E830="","",INDEX('Input Transaksi'!$A:$A,$E830))</f>
        <v/>
      </c>
      <c r="B830" s="5">
        <f>IF($E830="","",INDEX('Input Transaksi'!$D:$D,$E830))</f>
        <v/>
      </c>
      <c r="C830">
        <f>IF($E830="","",INDEX('Input Transaksi'!$E:$E,$E830))</f>
        <v/>
      </c>
      <c r="D830" s="5">
        <f>IF($E830="","",INDEX('Input Transaksi'!$F:$F,$E830))</f>
        <v/>
      </c>
      <c r="E830">
        <f>IFERROR(AGGREGATE(15,6,ROW('Input Transaksi'!$B$5:$B$5000)/('Input Transaksi'!$B$5:$B$5000="JCL SESETAN"),ROWS($E$5:E830)),"")</f>
        <v/>
      </c>
      <c r="F830" s="5" t="n"/>
    </row>
    <row r="831">
      <c r="A831" s="10">
        <f>IF($E831="","",INDEX('Input Transaksi'!$A:$A,$E831))</f>
        <v/>
      </c>
      <c r="B831" s="5">
        <f>IF($E831="","",INDEX('Input Transaksi'!$D:$D,$E831))</f>
        <v/>
      </c>
      <c r="C831">
        <f>IF($E831="","",INDEX('Input Transaksi'!$E:$E,$E831))</f>
        <v/>
      </c>
      <c r="D831" s="5">
        <f>IF($E831="","",INDEX('Input Transaksi'!$F:$F,$E831))</f>
        <v/>
      </c>
      <c r="E831">
        <f>IFERROR(AGGREGATE(15,6,ROW('Input Transaksi'!$B$5:$B$5000)/('Input Transaksi'!$B$5:$B$5000="JCL SESETAN"),ROWS($E$5:E831)),"")</f>
        <v/>
      </c>
      <c r="F831" s="5" t="n"/>
    </row>
    <row r="832">
      <c r="A832" s="10">
        <f>IF($E832="","",INDEX('Input Transaksi'!$A:$A,$E832))</f>
        <v/>
      </c>
      <c r="B832" s="5">
        <f>IF($E832="","",INDEX('Input Transaksi'!$D:$D,$E832))</f>
        <v/>
      </c>
      <c r="C832">
        <f>IF($E832="","",INDEX('Input Transaksi'!$E:$E,$E832))</f>
        <v/>
      </c>
      <c r="D832" s="5">
        <f>IF($E832="","",INDEX('Input Transaksi'!$F:$F,$E832))</f>
        <v/>
      </c>
      <c r="E832">
        <f>IFERROR(AGGREGATE(15,6,ROW('Input Transaksi'!$B$5:$B$5000)/('Input Transaksi'!$B$5:$B$5000="JCL SESETAN"),ROWS($E$5:E832)),"")</f>
        <v/>
      </c>
      <c r="F832" s="5" t="n"/>
    </row>
    <row r="833">
      <c r="A833" s="10">
        <f>IF($E833="","",INDEX('Input Transaksi'!$A:$A,$E833))</f>
        <v/>
      </c>
      <c r="B833" s="5">
        <f>IF($E833="","",INDEX('Input Transaksi'!$D:$D,$E833))</f>
        <v/>
      </c>
      <c r="C833">
        <f>IF($E833="","",INDEX('Input Transaksi'!$E:$E,$E833))</f>
        <v/>
      </c>
      <c r="D833" s="5">
        <f>IF($E833="","",INDEX('Input Transaksi'!$F:$F,$E833))</f>
        <v/>
      </c>
      <c r="E833">
        <f>IFERROR(AGGREGATE(15,6,ROW('Input Transaksi'!$B$5:$B$5000)/('Input Transaksi'!$B$5:$B$5000="JCL SESETAN"),ROWS($E$5:E833)),"")</f>
        <v/>
      </c>
      <c r="F833" s="5" t="n"/>
    </row>
    <row r="834">
      <c r="A834" s="10">
        <f>IF($E834="","",INDEX('Input Transaksi'!$A:$A,$E834))</f>
        <v/>
      </c>
      <c r="B834" s="5">
        <f>IF($E834="","",INDEX('Input Transaksi'!$D:$D,$E834))</f>
        <v/>
      </c>
      <c r="C834">
        <f>IF($E834="","",INDEX('Input Transaksi'!$E:$E,$E834))</f>
        <v/>
      </c>
      <c r="D834" s="5">
        <f>IF($E834="","",INDEX('Input Transaksi'!$F:$F,$E834))</f>
        <v/>
      </c>
      <c r="E834">
        <f>IFERROR(AGGREGATE(15,6,ROW('Input Transaksi'!$B$5:$B$5000)/('Input Transaksi'!$B$5:$B$5000="JCL SESETAN"),ROWS($E$5:E834)),"")</f>
        <v/>
      </c>
      <c r="F834" s="5" t="n"/>
    </row>
    <row r="835">
      <c r="A835" s="10">
        <f>IF($E835="","",INDEX('Input Transaksi'!$A:$A,$E835))</f>
        <v/>
      </c>
      <c r="B835" s="5">
        <f>IF($E835="","",INDEX('Input Transaksi'!$D:$D,$E835))</f>
        <v/>
      </c>
      <c r="C835">
        <f>IF($E835="","",INDEX('Input Transaksi'!$E:$E,$E835))</f>
        <v/>
      </c>
      <c r="D835" s="5">
        <f>IF($E835="","",INDEX('Input Transaksi'!$F:$F,$E835))</f>
        <v/>
      </c>
      <c r="E835">
        <f>IFERROR(AGGREGATE(15,6,ROW('Input Transaksi'!$B$5:$B$5000)/('Input Transaksi'!$B$5:$B$5000="JCL SESETAN"),ROWS($E$5:E835)),"")</f>
        <v/>
      </c>
      <c r="F835" s="5" t="n"/>
    </row>
    <row r="836">
      <c r="A836" s="10">
        <f>IF($E836="","",INDEX('Input Transaksi'!$A:$A,$E836))</f>
        <v/>
      </c>
      <c r="B836" s="5">
        <f>IF($E836="","",INDEX('Input Transaksi'!$D:$D,$E836))</f>
        <v/>
      </c>
      <c r="C836">
        <f>IF($E836="","",INDEX('Input Transaksi'!$E:$E,$E836))</f>
        <v/>
      </c>
      <c r="D836" s="5">
        <f>IF($E836="","",INDEX('Input Transaksi'!$F:$F,$E836))</f>
        <v/>
      </c>
      <c r="E836">
        <f>IFERROR(AGGREGATE(15,6,ROW('Input Transaksi'!$B$5:$B$5000)/('Input Transaksi'!$B$5:$B$5000="JCL SESETAN"),ROWS($E$5:E836)),"")</f>
        <v/>
      </c>
      <c r="F836" s="5" t="n"/>
    </row>
    <row r="837">
      <c r="A837" s="10">
        <f>IF($E837="","",INDEX('Input Transaksi'!$A:$A,$E837))</f>
        <v/>
      </c>
      <c r="B837" s="5">
        <f>IF($E837="","",INDEX('Input Transaksi'!$D:$D,$E837))</f>
        <v/>
      </c>
      <c r="C837">
        <f>IF($E837="","",INDEX('Input Transaksi'!$E:$E,$E837))</f>
        <v/>
      </c>
      <c r="D837" s="5">
        <f>IF($E837="","",INDEX('Input Transaksi'!$F:$F,$E837))</f>
        <v/>
      </c>
      <c r="E837">
        <f>IFERROR(AGGREGATE(15,6,ROW('Input Transaksi'!$B$5:$B$5000)/('Input Transaksi'!$B$5:$B$5000="JCL SESETAN"),ROWS($E$5:E837)),"")</f>
        <v/>
      </c>
      <c r="F837" s="5" t="n"/>
    </row>
    <row r="838">
      <c r="A838" s="10">
        <f>IF($E838="","",INDEX('Input Transaksi'!$A:$A,$E838))</f>
        <v/>
      </c>
      <c r="B838" s="5">
        <f>IF($E838="","",INDEX('Input Transaksi'!$D:$D,$E838))</f>
        <v/>
      </c>
      <c r="C838">
        <f>IF($E838="","",INDEX('Input Transaksi'!$E:$E,$E838))</f>
        <v/>
      </c>
      <c r="D838" s="5">
        <f>IF($E838="","",INDEX('Input Transaksi'!$F:$F,$E838))</f>
        <v/>
      </c>
      <c r="E838">
        <f>IFERROR(AGGREGATE(15,6,ROW('Input Transaksi'!$B$5:$B$5000)/('Input Transaksi'!$B$5:$B$5000="JCL SESETAN"),ROWS($E$5:E838)),"")</f>
        <v/>
      </c>
      <c r="F838" s="5" t="n"/>
    </row>
    <row r="839">
      <c r="A839" s="10">
        <f>IF($E839="","",INDEX('Input Transaksi'!$A:$A,$E839))</f>
        <v/>
      </c>
      <c r="B839" s="5">
        <f>IF($E839="","",INDEX('Input Transaksi'!$D:$D,$E839))</f>
        <v/>
      </c>
      <c r="C839">
        <f>IF($E839="","",INDEX('Input Transaksi'!$E:$E,$E839))</f>
        <v/>
      </c>
      <c r="D839" s="5">
        <f>IF($E839="","",INDEX('Input Transaksi'!$F:$F,$E839))</f>
        <v/>
      </c>
      <c r="E839">
        <f>IFERROR(AGGREGATE(15,6,ROW('Input Transaksi'!$B$5:$B$5000)/('Input Transaksi'!$B$5:$B$5000="JCL SESETAN"),ROWS($E$5:E839)),"")</f>
        <v/>
      </c>
      <c r="F839" s="5" t="n"/>
    </row>
    <row r="840">
      <c r="A840" s="10">
        <f>IF($E840="","",INDEX('Input Transaksi'!$A:$A,$E840))</f>
        <v/>
      </c>
      <c r="B840" s="5">
        <f>IF($E840="","",INDEX('Input Transaksi'!$D:$D,$E840))</f>
        <v/>
      </c>
      <c r="C840">
        <f>IF($E840="","",INDEX('Input Transaksi'!$E:$E,$E840))</f>
        <v/>
      </c>
      <c r="D840" s="5">
        <f>IF($E840="","",INDEX('Input Transaksi'!$F:$F,$E840))</f>
        <v/>
      </c>
      <c r="E840">
        <f>IFERROR(AGGREGATE(15,6,ROW('Input Transaksi'!$B$5:$B$5000)/('Input Transaksi'!$B$5:$B$5000="JCL SESETAN"),ROWS($E$5:E840)),"")</f>
        <v/>
      </c>
      <c r="F840" s="5" t="n"/>
    </row>
    <row r="841">
      <c r="A841" s="10">
        <f>IF($E841="","",INDEX('Input Transaksi'!$A:$A,$E841))</f>
        <v/>
      </c>
      <c r="B841" s="5">
        <f>IF($E841="","",INDEX('Input Transaksi'!$D:$D,$E841))</f>
        <v/>
      </c>
      <c r="C841">
        <f>IF($E841="","",INDEX('Input Transaksi'!$E:$E,$E841))</f>
        <v/>
      </c>
      <c r="D841" s="5">
        <f>IF($E841="","",INDEX('Input Transaksi'!$F:$F,$E841))</f>
        <v/>
      </c>
      <c r="E841">
        <f>IFERROR(AGGREGATE(15,6,ROW('Input Transaksi'!$B$5:$B$5000)/('Input Transaksi'!$B$5:$B$5000="JCL SESETAN"),ROWS($E$5:E841)),"")</f>
        <v/>
      </c>
      <c r="F841" s="5" t="n"/>
    </row>
    <row r="842">
      <c r="A842" s="10">
        <f>IF($E842="","",INDEX('Input Transaksi'!$A:$A,$E842))</f>
        <v/>
      </c>
      <c r="B842" s="5">
        <f>IF($E842="","",INDEX('Input Transaksi'!$D:$D,$E842))</f>
        <v/>
      </c>
      <c r="C842">
        <f>IF($E842="","",INDEX('Input Transaksi'!$E:$E,$E842))</f>
        <v/>
      </c>
      <c r="D842" s="5">
        <f>IF($E842="","",INDEX('Input Transaksi'!$F:$F,$E842))</f>
        <v/>
      </c>
      <c r="E842">
        <f>IFERROR(AGGREGATE(15,6,ROW('Input Transaksi'!$B$5:$B$5000)/('Input Transaksi'!$B$5:$B$5000="JCL SESETAN"),ROWS($E$5:E842)),"")</f>
        <v/>
      </c>
      <c r="F842" s="5" t="n"/>
    </row>
    <row r="843">
      <c r="A843" s="10">
        <f>IF($E843="","",INDEX('Input Transaksi'!$A:$A,$E843))</f>
        <v/>
      </c>
      <c r="B843" s="5">
        <f>IF($E843="","",INDEX('Input Transaksi'!$D:$D,$E843))</f>
        <v/>
      </c>
      <c r="C843">
        <f>IF($E843="","",INDEX('Input Transaksi'!$E:$E,$E843))</f>
        <v/>
      </c>
      <c r="D843" s="5">
        <f>IF($E843="","",INDEX('Input Transaksi'!$F:$F,$E843))</f>
        <v/>
      </c>
      <c r="E843">
        <f>IFERROR(AGGREGATE(15,6,ROW('Input Transaksi'!$B$5:$B$5000)/('Input Transaksi'!$B$5:$B$5000="JCL SESETAN"),ROWS($E$5:E843)),"")</f>
        <v/>
      </c>
      <c r="F843" s="5" t="n"/>
    </row>
    <row r="844">
      <c r="A844" s="10">
        <f>IF($E844="","",INDEX('Input Transaksi'!$A:$A,$E844))</f>
        <v/>
      </c>
      <c r="B844" s="5">
        <f>IF($E844="","",INDEX('Input Transaksi'!$D:$D,$E844))</f>
        <v/>
      </c>
      <c r="C844">
        <f>IF($E844="","",INDEX('Input Transaksi'!$E:$E,$E844))</f>
        <v/>
      </c>
      <c r="D844" s="5">
        <f>IF($E844="","",INDEX('Input Transaksi'!$F:$F,$E844))</f>
        <v/>
      </c>
      <c r="E844">
        <f>IFERROR(AGGREGATE(15,6,ROW('Input Transaksi'!$B$5:$B$5000)/('Input Transaksi'!$B$5:$B$5000="JCL SESETAN"),ROWS($E$5:E844)),"")</f>
        <v/>
      </c>
      <c r="F844" s="5" t="n"/>
    </row>
    <row r="845">
      <c r="A845" s="10">
        <f>IF($E845="","",INDEX('Input Transaksi'!$A:$A,$E845))</f>
        <v/>
      </c>
      <c r="B845" s="5">
        <f>IF($E845="","",INDEX('Input Transaksi'!$D:$D,$E845))</f>
        <v/>
      </c>
      <c r="C845">
        <f>IF($E845="","",INDEX('Input Transaksi'!$E:$E,$E845))</f>
        <v/>
      </c>
      <c r="D845" s="5">
        <f>IF($E845="","",INDEX('Input Transaksi'!$F:$F,$E845))</f>
        <v/>
      </c>
      <c r="E845">
        <f>IFERROR(AGGREGATE(15,6,ROW('Input Transaksi'!$B$5:$B$5000)/('Input Transaksi'!$B$5:$B$5000="JCL SESETAN"),ROWS($E$5:E845)),"")</f>
        <v/>
      </c>
      <c r="F845" s="5" t="n"/>
    </row>
    <row r="846">
      <c r="A846" s="10">
        <f>IF($E846="","",INDEX('Input Transaksi'!$A:$A,$E846))</f>
        <v/>
      </c>
      <c r="B846" s="5">
        <f>IF($E846="","",INDEX('Input Transaksi'!$D:$D,$E846))</f>
        <v/>
      </c>
      <c r="C846">
        <f>IF($E846="","",INDEX('Input Transaksi'!$E:$E,$E846))</f>
        <v/>
      </c>
      <c r="D846" s="5">
        <f>IF($E846="","",INDEX('Input Transaksi'!$F:$F,$E846))</f>
        <v/>
      </c>
      <c r="E846">
        <f>IFERROR(AGGREGATE(15,6,ROW('Input Transaksi'!$B$5:$B$5000)/('Input Transaksi'!$B$5:$B$5000="JCL SESETAN"),ROWS($E$5:E846)),"")</f>
        <v/>
      </c>
      <c r="F846" s="5" t="n"/>
    </row>
    <row r="847">
      <c r="A847" s="10">
        <f>IF($E847="","",INDEX('Input Transaksi'!$A:$A,$E847))</f>
        <v/>
      </c>
      <c r="B847" s="5">
        <f>IF($E847="","",INDEX('Input Transaksi'!$D:$D,$E847))</f>
        <v/>
      </c>
      <c r="C847">
        <f>IF($E847="","",INDEX('Input Transaksi'!$E:$E,$E847))</f>
        <v/>
      </c>
      <c r="D847" s="5">
        <f>IF($E847="","",INDEX('Input Transaksi'!$F:$F,$E847))</f>
        <v/>
      </c>
      <c r="E847">
        <f>IFERROR(AGGREGATE(15,6,ROW('Input Transaksi'!$B$5:$B$5000)/('Input Transaksi'!$B$5:$B$5000="JCL SESETAN"),ROWS($E$5:E847)),"")</f>
        <v/>
      </c>
      <c r="F847" s="5" t="n"/>
    </row>
    <row r="848">
      <c r="A848" s="10">
        <f>IF($E848="","",INDEX('Input Transaksi'!$A:$A,$E848))</f>
        <v/>
      </c>
      <c r="B848" s="5">
        <f>IF($E848="","",INDEX('Input Transaksi'!$D:$D,$E848))</f>
        <v/>
      </c>
      <c r="C848">
        <f>IF($E848="","",INDEX('Input Transaksi'!$E:$E,$E848))</f>
        <v/>
      </c>
      <c r="D848" s="5">
        <f>IF($E848="","",INDEX('Input Transaksi'!$F:$F,$E848))</f>
        <v/>
      </c>
      <c r="E848">
        <f>IFERROR(AGGREGATE(15,6,ROW('Input Transaksi'!$B$5:$B$5000)/('Input Transaksi'!$B$5:$B$5000="JCL SESETAN"),ROWS($E$5:E848)),"")</f>
        <v/>
      </c>
      <c r="F848" s="5" t="n"/>
    </row>
    <row r="849">
      <c r="A849" s="10">
        <f>IF($E849="","",INDEX('Input Transaksi'!$A:$A,$E849))</f>
        <v/>
      </c>
      <c r="B849" s="5">
        <f>IF($E849="","",INDEX('Input Transaksi'!$D:$D,$E849))</f>
        <v/>
      </c>
      <c r="C849">
        <f>IF($E849="","",INDEX('Input Transaksi'!$E:$E,$E849))</f>
        <v/>
      </c>
      <c r="D849" s="5">
        <f>IF($E849="","",INDEX('Input Transaksi'!$F:$F,$E849))</f>
        <v/>
      </c>
      <c r="E849">
        <f>IFERROR(AGGREGATE(15,6,ROW('Input Transaksi'!$B$5:$B$5000)/('Input Transaksi'!$B$5:$B$5000="JCL SESETAN"),ROWS($E$5:E849)),"")</f>
        <v/>
      </c>
      <c r="F849" s="5" t="n"/>
    </row>
    <row r="850">
      <c r="A850" s="10">
        <f>IF($E850="","",INDEX('Input Transaksi'!$A:$A,$E850))</f>
        <v/>
      </c>
      <c r="B850" s="5">
        <f>IF($E850="","",INDEX('Input Transaksi'!$D:$D,$E850))</f>
        <v/>
      </c>
      <c r="C850">
        <f>IF($E850="","",INDEX('Input Transaksi'!$E:$E,$E850))</f>
        <v/>
      </c>
      <c r="D850" s="5">
        <f>IF($E850="","",INDEX('Input Transaksi'!$F:$F,$E850))</f>
        <v/>
      </c>
      <c r="E850">
        <f>IFERROR(AGGREGATE(15,6,ROW('Input Transaksi'!$B$5:$B$5000)/('Input Transaksi'!$B$5:$B$5000="JCL SESETAN"),ROWS($E$5:E850)),"")</f>
        <v/>
      </c>
      <c r="F850" s="5" t="n"/>
    </row>
    <row r="851">
      <c r="A851" s="10">
        <f>IF($E851="","",INDEX('Input Transaksi'!$A:$A,$E851))</f>
        <v/>
      </c>
      <c r="B851" s="5">
        <f>IF($E851="","",INDEX('Input Transaksi'!$D:$D,$E851))</f>
        <v/>
      </c>
      <c r="C851">
        <f>IF($E851="","",INDEX('Input Transaksi'!$E:$E,$E851))</f>
        <v/>
      </c>
      <c r="D851" s="5">
        <f>IF($E851="","",INDEX('Input Transaksi'!$F:$F,$E851))</f>
        <v/>
      </c>
      <c r="E851">
        <f>IFERROR(AGGREGATE(15,6,ROW('Input Transaksi'!$B$5:$B$5000)/('Input Transaksi'!$B$5:$B$5000="JCL SESETAN"),ROWS($E$5:E851)),"")</f>
        <v/>
      </c>
      <c r="F851" s="5" t="n"/>
    </row>
    <row r="852">
      <c r="A852" s="10">
        <f>IF($E852="","",INDEX('Input Transaksi'!$A:$A,$E852))</f>
        <v/>
      </c>
      <c r="B852" s="5">
        <f>IF($E852="","",INDEX('Input Transaksi'!$D:$D,$E852))</f>
        <v/>
      </c>
      <c r="C852">
        <f>IF($E852="","",INDEX('Input Transaksi'!$E:$E,$E852))</f>
        <v/>
      </c>
      <c r="D852" s="5">
        <f>IF($E852="","",INDEX('Input Transaksi'!$F:$F,$E852))</f>
        <v/>
      </c>
      <c r="E852">
        <f>IFERROR(AGGREGATE(15,6,ROW('Input Transaksi'!$B$5:$B$5000)/('Input Transaksi'!$B$5:$B$5000="JCL SESETAN"),ROWS($E$5:E852)),"")</f>
        <v/>
      </c>
      <c r="F852" s="5" t="n"/>
    </row>
    <row r="853">
      <c r="A853" s="10">
        <f>IF($E853="","",INDEX('Input Transaksi'!$A:$A,$E853))</f>
        <v/>
      </c>
      <c r="B853" s="5">
        <f>IF($E853="","",INDEX('Input Transaksi'!$D:$D,$E853))</f>
        <v/>
      </c>
      <c r="C853">
        <f>IF($E853="","",INDEX('Input Transaksi'!$E:$E,$E853))</f>
        <v/>
      </c>
      <c r="D853" s="5">
        <f>IF($E853="","",INDEX('Input Transaksi'!$F:$F,$E853))</f>
        <v/>
      </c>
      <c r="E853">
        <f>IFERROR(AGGREGATE(15,6,ROW('Input Transaksi'!$B$5:$B$5000)/('Input Transaksi'!$B$5:$B$5000="JCL SESETAN"),ROWS($E$5:E853)),"")</f>
        <v/>
      </c>
      <c r="F853" s="5" t="n"/>
    </row>
    <row r="854">
      <c r="A854" s="10">
        <f>IF($E854="","",INDEX('Input Transaksi'!$A:$A,$E854))</f>
        <v/>
      </c>
      <c r="B854" s="5">
        <f>IF($E854="","",INDEX('Input Transaksi'!$D:$D,$E854))</f>
        <v/>
      </c>
      <c r="C854">
        <f>IF($E854="","",INDEX('Input Transaksi'!$E:$E,$E854))</f>
        <v/>
      </c>
      <c r="D854" s="5">
        <f>IF($E854="","",INDEX('Input Transaksi'!$F:$F,$E854))</f>
        <v/>
      </c>
      <c r="E854">
        <f>IFERROR(AGGREGATE(15,6,ROW('Input Transaksi'!$B$5:$B$5000)/('Input Transaksi'!$B$5:$B$5000="JCL SESETAN"),ROWS($E$5:E854)),"")</f>
        <v/>
      </c>
      <c r="F854" s="5" t="n"/>
    </row>
    <row r="855">
      <c r="A855" s="10">
        <f>IF($E855="","",INDEX('Input Transaksi'!$A:$A,$E855))</f>
        <v/>
      </c>
      <c r="B855" s="5">
        <f>IF($E855="","",INDEX('Input Transaksi'!$D:$D,$E855))</f>
        <v/>
      </c>
      <c r="C855">
        <f>IF($E855="","",INDEX('Input Transaksi'!$E:$E,$E855))</f>
        <v/>
      </c>
      <c r="D855" s="5">
        <f>IF($E855="","",INDEX('Input Transaksi'!$F:$F,$E855))</f>
        <v/>
      </c>
      <c r="E855">
        <f>IFERROR(AGGREGATE(15,6,ROW('Input Transaksi'!$B$5:$B$5000)/('Input Transaksi'!$B$5:$B$5000="JCL SESETAN"),ROWS($E$5:E855)),"")</f>
        <v/>
      </c>
      <c r="F855" s="5" t="n"/>
    </row>
    <row r="856">
      <c r="A856" s="10">
        <f>IF($E856="","",INDEX('Input Transaksi'!$A:$A,$E856))</f>
        <v/>
      </c>
      <c r="B856" s="5">
        <f>IF($E856="","",INDEX('Input Transaksi'!$D:$D,$E856))</f>
        <v/>
      </c>
      <c r="C856">
        <f>IF($E856="","",INDEX('Input Transaksi'!$E:$E,$E856))</f>
        <v/>
      </c>
      <c r="D856" s="5">
        <f>IF($E856="","",INDEX('Input Transaksi'!$F:$F,$E856))</f>
        <v/>
      </c>
      <c r="E856">
        <f>IFERROR(AGGREGATE(15,6,ROW('Input Transaksi'!$B$5:$B$5000)/('Input Transaksi'!$B$5:$B$5000="JCL SESETAN"),ROWS($E$5:E856)),"")</f>
        <v/>
      </c>
      <c r="F856" s="5" t="n"/>
    </row>
    <row r="857">
      <c r="A857" s="10">
        <f>IF($E857="","",INDEX('Input Transaksi'!$A:$A,$E857))</f>
        <v/>
      </c>
      <c r="B857" s="5">
        <f>IF($E857="","",INDEX('Input Transaksi'!$D:$D,$E857))</f>
        <v/>
      </c>
      <c r="C857">
        <f>IF($E857="","",INDEX('Input Transaksi'!$E:$E,$E857))</f>
        <v/>
      </c>
      <c r="D857" s="5">
        <f>IF($E857="","",INDEX('Input Transaksi'!$F:$F,$E857))</f>
        <v/>
      </c>
      <c r="E857">
        <f>IFERROR(AGGREGATE(15,6,ROW('Input Transaksi'!$B$5:$B$5000)/('Input Transaksi'!$B$5:$B$5000="JCL SESETAN"),ROWS($E$5:E857)),"")</f>
        <v/>
      </c>
      <c r="F857" s="5" t="n"/>
    </row>
    <row r="858">
      <c r="A858" s="10">
        <f>IF($E858="","",INDEX('Input Transaksi'!$A:$A,$E858))</f>
        <v/>
      </c>
      <c r="B858" s="5">
        <f>IF($E858="","",INDEX('Input Transaksi'!$D:$D,$E858))</f>
        <v/>
      </c>
      <c r="C858">
        <f>IF($E858="","",INDEX('Input Transaksi'!$E:$E,$E858))</f>
        <v/>
      </c>
      <c r="D858" s="5">
        <f>IF($E858="","",INDEX('Input Transaksi'!$F:$F,$E858))</f>
        <v/>
      </c>
      <c r="E858">
        <f>IFERROR(AGGREGATE(15,6,ROW('Input Transaksi'!$B$5:$B$5000)/('Input Transaksi'!$B$5:$B$5000="JCL SESETAN"),ROWS($E$5:E858)),"")</f>
        <v/>
      </c>
      <c r="F858" s="5" t="n"/>
    </row>
    <row r="859">
      <c r="A859" s="10">
        <f>IF($E859="","",INDEX('Input Transaksi'!$A:$A,$E859))</f>
        <v/>
      </c>
      <c r="B859" s="5">
        <f>IF($E859="","",INDEX('Input Transaksi'!$D:$D,$E859))</f>
        <v/>
      </c>
      <c r="C859">
        <f>IF($E859="","",INDEX('Input Transaksi'!$E:$E,$E859))</f>
        <v/>
      </c>
      <c r="D859" s="5">
        <f>IF($E859="","",INDEX('Input Transaksi'!$F:$F,$E859))</f>
        <v/>
      </c>
      <c r="E859">
        <f>IFERROR(AGGREGATE(15,6,ROW('Input Transaksi'!$B$5:$B$5000)/('Input Transaksi'!$B$5:$B$5000="JCL SESETAN"),ROWS($E$5:E859)),"")</f>
        <v/>
      </c>
      <c r="F859" s="5" t="n"/>
    </row>
    <row r="860">
      <c r="A860" s="10">
        <f>IF($E860="","",INDEX('Input Transaksi'!$A:$A,$E860))</f>
        <v/>
      </c>
      <c r="B860" s="5">
        <f>IF($E860="","",INDEX('Input Transaksi'!$D:$D,$E860))</f>
        <v/>
      </c>
      <c r="C860">
        <f>IF($E860="","",INDEX('Input Transaksi'!$E:$E,$E860))</f>
        <v/>
      </c>
      <c r="D860" s="5">
        <f>IF($E860="","",INDEX('Input Transaksi'!$F:$F,$E860))</f>
        <v/>
      </c>
      <c r="E860">
        <f>IFERROR(AGGREGATE(15,6,ROW('Input Transaksi'!$B$5:$B$5000)/('Input Transaksi'!$B$5:$B$5000="JCL SESETAN"),ROWS($E$5:E860)),"")</f>
        <v/>
      </c>
      <c r="F860" s="5" t="n"/>
    </row>
    <row r="861">
      <c r="A861" s="10">
        <f>IF($E861="","",INDEX('Input Transaksi'!$A:$A,$E861))</f>
        <v/>
      </c>
      <c r="B861" s="5">
        <f>IF($E861="","",INDEX('Input Transaksi'!$D:$D,$E861))</f>
        <v/>
      </c>
      <c r="C861">
        <f>IF($E861="","",INDEX('Input Transaksi'!$E:$E,$E861))</f>
        <v/>
      </c>
      <c r="D861" s="5">
        <f>IF($E861="","",INDEX('Input Transaksi'!$F:$F,$E861))</f>
        <v/>
      </c>
      <c r="E861">
        <f>IFERROR(AGGREGATE(15,6,ROW('Input Transaksi'!$B$5:$B$5000)/('Input Transaksi'!$B$5:$B$5000="JCL SESETAN"),ROWS($E$5:E861)),"")</f>
        <v/>
      </c>
      <c r="F861" s="5" t="n"/>
    </row>
    <row r="862">
      <c r="A862" s="10">
        <f>IF($E862="","",INDEX('Input Transaksi'!$A:$A,$E862))</f>
        <v/>
      </c>
      <c r="B862" s="5">
        <f>IF($E862="","",INDEX('Input Transaksi'!$D:$D,$E862))</f>
        <v/>
      </c>
      <c r="C862">
        <f>IF($E862="","",INDEX('Input Transaksi'!$E:$E,$E862))</f>
        <v/>
      </c>
      <c r="D862" s="5">
        <f>IF($E862="","",INDEX('Input Transaksi'!$F:$F,$E862))</f>
        <v/>
      </c>
      <c r="E862">
        <f>IFERROR(AGGREGATE(15,6,ROW('Input Transaksi'!$B$5:$B$5000)/('Input Transaksi'!$B$5:$B$5000="JCL SESETAN"),ROWS($E$5:E862)),"")</f>
        <v/>
      </c>
      <c r="F862" s="5" t="n"/>
    </row>
    <row r="863">
      <c r="A863" s="10">
        <f>IF($E863="","",INDEX('Input Transaksi'!$A:$A,$E863))</f>
        <v/>
      </c>
      <c r="B863" s="5">
        <f>IF($E863="","",INDEX('Input Transaksi'!$D:$D,$E863))</f>
        <v/>
      </c>
      <c r="C863">
        <f>IF($E863="","",INDEX('Input Transaksi'!$E:$E,$E863))</f>
        <v/>
      </c>
      <c r="D863" s="5">
        <f>IF($E863="","",INDEX('Input Transaksi'!$F:$F,$E863))</f>
        <v/>
      </c>
      <c r="E863">
        <f>IFERROR(AGGREGATE(15,6,ROW('Input Transaksi'!$B$5:$B$5000)/('Input Transaksi'!$B$5:$B$5000="JCL SESETAN"),ROWS($E$5:E863)),"")</f>
        <v/>
      </c>
      <c r="F863" s="5" t="n"/>
    </row>
    <row r="864">
      <c r="A864" s="10">
        <f>IF($E864="","",INDEX('Input Transaksi'!$A:$A,$E864))</f>
        <v/>
      </c>
      <c r="B864" s="5">
        <f>IF($E864="","",INDEX('Input Transaksi'!$D:$D,$E864))</f>
        <v/>
      </c>
      <c r="C864">
        <f>IF($E864="","",INDEX('Input Transaksi'!$E:$E,$E864))</f>
        <v/>
      </c>
      <c r="D864" s="5">
        <f>IF($E864="","",INDEX('Input Transaksi'!$F:$F,$E864))</f>
        <v/>
      </c>
      <c r="E864">
        <f>IFERROR(AGGREGATE(15,6,ROW('Input Transaksi'!$B$5:$B$5000)/('Input Transaksi'!$B$5:$B$5000="JCL SESETAN"),ROWS($E$5:E864)),"")</f>
        <v/>
      </c>
      <c r="F864" s="5" t="n"/>
    </row>
    <row r="865">
      <c r="A865" s="10">
        <f>IF($E865="","",INDEX('Input Transaksi'!$A:$A,$E865))</f>
        <v/>
      </c>
      <c r="B865" s="5">
        <f>IF($E865="","",INDEX('Input Transaksi'!$D:$D,$E865))</f>
        <v/>
      </c>
      <c r="C865">
        <f>IF($E865="","",INDEX('Input Transaksi'!$E:$E,$E865))</f>
        <v/>
      </c>
      <c r="D865" s="5">
        <f>IF($E865="","",INDEX('Input Transaksi'!$F:$F,$E865))</f>
        <v/>
      </c>
      <c r="E865">
        <f>IFERROR(AGGREGATE(15,6,ROW('Input Transaksi'!$B$5:$B$5000)/('Input Transaksi'!$B$5:$B$5000="JCL SESETAN"),ROWS($E$5:E865)),"")</f>
        <v/>
      </c>
      <c r="F865" s="5" t="n"/>
    </row>
    <row r="866">
      <c r="A866" s="10">
        <f>IF($E866="","",INDEX('Input Transaksi'!$A:$A,$E866))</f>
        <v/>
      </c>
      <c r="B866" s="5">
        <f>IF($E866="","",INDEX('Input Transaksi'!$D:$D,$E866))</f>
        <v/>
      </c>
      <c r="C866">
        <f>IF($E866="","",INDEX('Input Transaksi'!$E:$E,$E866))</f>
        <v/>
      </c>
      <c r="D866" s="5">
        <f>IF($E866="","",INDEX('Input Transaksi'!$F:$F,$E866))</f>
        <v/>
      </c>
      <c r="E866">
        <f>IFERROR(AGGREGATE(15,6,ROW('Input Transaksi'!$B$5:$B$5000)/('Input Transaksi'!$B$5:$B$5000="JCL SESETAN"),ROWS($E$5:E866)),"")</f>
        <v/>
      </c>
      <c r="F866" s="5" t="n"/>
    </row>
    <row r="867">
      <c r="A867" s="10">
        <f>IF($E867="","",INDEX('Input Transaksi'!$A:$A,$E867))</f>
        <v/>
      </c>
      <c r="B867" s="5">
        <f>IF($E867="","",INDEX('Input Transaksi'!$D:$D,$E867))</f>
        <v/>
      </c>
      <c r="C867">
        <f>IF($E867="","",INDEX('Input Transaksi'!$E:$E,$E867))</f>
        <v/>
      </c>
      <c r="D867" s="5">
        <f>IF($E867="","",INDEX('Input Transaksi'!$F:$F,$E867))</f>
        <v/>
      </c>
      <c r="E867">
        <f>IFERROR(AGGREGATE(15,6,ROW('Input Transaksi'!$B$5:$B$5000)/('Input Transaksi'!$B$5:$B$5000="JCL SESETAN"),ROWS($E$5:E867)),"")</f>
        <v/>
      </c>
      <c r="F867" s="5" t="n"/>
    </row>
    <row r="868">
      <c r="A868" s="10">
        <f>IF($E868="","",INDEX('Input Transaksi'!$A:$A,$E868))</f>
        <v/>
      </c>
      <c r="B868" s="5">
        <f>IF($E868="","",INDEX('Input Transaksi'!$D:$D,$E868))</f>
        <v/>
      </c>
      <c r="C868">
        <f>IF($E868="","",INDEX('Input Transaksi'!$E:$E,$E868))</f>
        <v/>
      </c>
      <c r="D868" s="5">
        <f>IF($E868="","",INDEX('Input Transaksi'!$F:$F,$E868))</f>
        <v/>
      </c>
      <c r="E868">
        <f>IFERROR(AGGREGATE(15,6,ROW('Input Transaksi'!$B$5:$B$5000)/('Input Transaksi'!$B$5:$B$5000="JCL SESETAN"),ROWS($E$5:E868)),"")</f>
        <v/>
      </c>
      <c r="F868" s="5" t="n"/>
    </row>
    <row r="869">
      <c r="A869" s="10">
        <f>IF($E869="","",INDEX('Input Transaksi'!$A:$A,$E869))</f>
        <v/>
      </c>
      <c r="B869" s="5">
        <f>IF($E869="","",INDEX('Input Transaksi'!$D:$D,$E869))</f>
        <v/>
      </c>
      <c r="C869">
        <f>IF($E869="","",INDEX('Input Transaksi'!$E:$E,$E869))</f>
        <v/>
      </c>
      <c r="D869" s="5">
        <f>IF($E869="","",INDEX('Input Transaksi'!$F:$F,$E869))</f>
        <v/>
      </c>
      <c r="E869">
        <f>IFERROR(AGGREGATE(15,6,ROW('Input Transaksi'!$B$5:$B$5000)/('Input Transaksi'!$B$5:$B$5000="JCL SESETAN"),ROWS($E$5:E869)),"")</f>
        <v/>
      </c>
      <c r="F869" s="5" t="n"/>
    </row>
    <row r="870">
      <c r="A870" s="10">
        <f>IF($E870="","",INDEX('Input Transaksi'!$A:$A,$E870))</f>
        <v/>
      </c>
      <c r="B870" s="5">
        <f>IF($E870="","",INDEX('Input Transaksi'!$D:$D,$E870))</f>
        <v/>
      </c>
      <c r="C870">
        <f>IF($E870="","",INDEX('Input Transaksi'!$E:$E,$E870))</f>
        <v/>
      </c>
      <c r="D870" s="5">
        <f>IF($E870="","",INDEX('Input Transaksi'!$F:$F,$E870))</f>
        <v/>
      </c>
      <c r="E870">
        <f>IFERROR(AGGREGATE(15,6,ROW('Input Transaksi'!$B$5:$B$5000)/('Input Transaksi'!$B$5:$B$5000="JCL SESETAN"),ROWS($E$5:E870)),"")</f>
        <v/>
      </c>
      <c r="F870" s="5" t="n"/>
    </row>
    <row r="871">
      <c r="A871" s="10">
        <f>IF($E871="","",INDEX('Input Transaksi'!$A:$A,$E871))</f>
        <v/>
      </c>
      <c r="B871" s="5">
        <f>IF($E871="","",INDEX('Input Transaksi'!$D:$D,$E871))</f>
        <v/>
      </c>
      <c r="C871">
        <f>IF($E871="","",INDEX('Input Transaksi'!$E:$E,$E871))</f>
        <v/>
      </c>
      <c r="D871" s="5">
        <f>IF($E871="","",INDEX('Input Transaksi'!$F:$F,$E871))</f>
        <v/>
      </c>
      <c r="E871">
        <f>IFERROR(AGGREGATE(15,6,ROW('Input Transaksi'!$B$5:$B$5000)/('Input Transaksi'!$B$5:$B$5000="JCL SESETAN"),ROWS($E$5:E871)),"")</f>
        <v/>
      </c>
      <c r="F871" s="5" t="n"/>
    </row>
    <row r="872">
      <c r="A872" s="10">
        <f>IF($E872="","",INDEX('Input Transaksi'!$A:$A,$E872))</f>
        <v/>
      </c>
      <c r="B872" s="5">
        <f>IF($E872="","",INDEX('Input Transaksi'!$D:$D,$E872))</f>
        <v/>
      </c>
      <c r="C872">
        <f>IF($E872="","",INDEX('Input Transaksi'!$E:$E,$E872))</f>
        <v/>
      </c>
      <c r="D872" s="5">
        <f>IF($E872="","",INDEX('Input Transaksi'!$F:$F,$E872))</f>
        <v/>
      </c>
      <c r="E872">
        <f>IFERROR(AGGREGATE(15,6,ROW('Input Transaksi'!$B$5:$B$5000)/('Input Transaksi'!$B$5:$B$5000="JCL SESETAN"),ROWS($E$5:E872)),"")</f>
        <v/>
      </c>
      <c r="F872" s="5" t="n"/>
    </row>
    <row r="873">
      <c r="A873" s="10">
        <f>IF($E873="","",INDEX('Input Transaksi'!$A:$A,$E873))</f>
        <v/>
      </c>
      <c r="B873" s="5">
        <f>IF($E873="","",INDEX('Input Transaksi'!$D:$D,$E873))</f>
        <v/>
      </c>
      <c r="C873">
        <f>IF($E873="","",INDEX('Input Transaksi'!$E:$E,$E873))</f>
        <v/>
      </c>
      <c r="D873" s="5">
        <f>IF($E873="","",INDEX('Input Transaksi'!$F:$F,$E873))</f>
        <v/>
      </c>
      <c r="E873">
        <f>IFERROR(AGGREGATE(15,6,ROW('Input Transaksi'!$B$5:$B$5000)/('Input Transaksi'!$B$5:$B$5000="JCL SESETAN"),ROWS($E$5:E873)),"")</f>
        <v/>
      </c>
      <c r="F873" s="5" t="n"/>
    </row>
    <row r="874">
      <c r="A874" s="10">
        <f>IF($E874="","",INDEX('Input Transaksi'!$A:$A,$E874))</f>
        <v/>
      </c>
      <c r="B874" s="5">
        <f>IF($E874="","",INDEX('Input Transaksi'!$D:$D,$E874))</f>
        <v/>
      </c>
      <c r="C874">
        <f>IF($E874="","",INDEX('Input Transaksi'!$E:$E,$E874))</f>
        <v/>
      </c>
      <c r="D874" s="5">
        <f>IF($E874="","",INDEX('Input Transaksi'!$F:$F,$E874))</f>
        <v/>
      </c>
      <c r="E874">
        <f>IFERROR(AGGREGATE(15,6,ROW('Input Transaksi'!$B$5:$B$5000)/('Input Transaksi'!$B$5:$B$5000="JCL SESETAN"),ROWS($E$5:E874)),"")</f>
        <v/>
      </c>
      <c r="F874" s="5" t="n"/>
    </row>
    <row r="875">
      <c r="A875" s="10">
        <f>IF($E875="","",INDEX('Input Transaksi'!$A:$A,$E875))</f>
        <v/>
      </c>
      <c r="B875" s="5">
        <f>IF($E875="","",INDEX('Input Transaksi'!$D:$D,$E875))</f>
        <v/>
      </c>
      <c r="C875">
        <f>IF($E875="","",INDEX('Input Transaksi'!$E:$E,$E875))</f>
        <v/>
      </c>
      <c r="D875" s="5">
        <f>IF($E875="","",INDEX('Input Transaksi'!$F:$F,$E875))</f>
        <v/>
      </c>
      <c r="E875">
        <f>IFERROR(AGGREGATE(15,6,ROW('Input Transaksi'!$B$5:$B$5000)/('Input Transaksi'!$B$5:$B$5000="JCL SESETAN"),ROWS($E$5:E875)),"")</f>
        <v/>
      </c>
      <c r="F875" s="5" t="n"/>
    </row>
    <row r="876">
      <c r="A876" s="10">
        <f>IF($E876="","",INDEX('Input Transaksi'!$A:$A,$E876))</f>
        <v/>
      </c>
      <c r="B876" s="5">
        <f>IF($E876="","",INDEX('Input Transaksi'!$D:$D,$E876))</f>
        <v/>
      </c>
      <c r="C876">
        <f>IF($E876="","",INDEX('Input Transaksi'!$E:$E,$E876))</f>
        <v/>
      </c>
      <c r="D876" s="5">
        <f>IF($E876="","",INDEX('Input Transaksi'!$F:$F,$E876))</f>
        <v/>
      </c>
      <c r="E876">
        <f>IFERROR(AGGREGATE(15,6,ROW('Input Transaksi'!$B$5:$B$5000)/('Input Transaksi'!$B$5:$B$5000="JCL SESETAN"),ROWS($E$5:E876)),"")</f>
        <v/>
      </c>
      <c r="F876" s="5" t="n"/>
    </row>
    <row r="877">
      <c r="A877" s="10">
        <f>IF($E877="","",INDEX('Input Transaksi'!$A:$A,$E877))</f>
        <v/>
      </c>
      <c r="B877" s="5">
        <f>IF($E877="","",INDEX('Input Transaksi'!$D:$D,$E877))</f>
        <v/>
      </c>
      <c r="C877">
        <f>IF($E877="","",INDEX('Input Transaksi'!$E:$E,$E877))</f>
        <v/>
      </c>
      <c r="D877" s="5">
        <f>IF($E877="","",INDEX('Input Transaksi'!$F:$F,$E877))</f>
        <v/>
      </c>
      <c r="E877">
        <f>IFERROR(AGGREGATE(15,6,ROW('Input Transaksi'!$B$5:$B$5000)/('Input Transaksi'!$B$5:$B$5000="JCL SESETAN"),ROWS($E$5:E877)),"")</f>
        <v/>
      </c>
      <c r="F877" s="5" t="n"/>
    </row>
    <row r="878">
      <c r="A878" s="10">
        <f>IF($E878="","",INDEX('Input Transaksi'!$A:$A,$E878))</f>
        <v/>
      </c>
      <c r="B878" s="5">
        <f>IF($E878="","",INDEX('Input Transaksi'!$D:$D,$E878))</f>
        <v/>
      </c>
      <c r="C878">
        <f>IF($E878="","",INDEX('Input Transaksi'!$E:$E,$E878))</f>
        <v/>
      </c>
      <c r="D878" s="5">
        <f>IF($E878="","",INDEX('Input Transaksi'!$F:$F,$E878))</f>
        <v/>
      </c>
      <c r="E878">
        <f>IFERROR(AGGREGATE(15,6,ROW('Input Transaksi'!$B$5:$B$5000)/('Input Transaksi'!$B$5:$B$5000="JCL SESETAN"),ROWS($E$5:E878)),"")</f>
        <v/>
      </c>
      <c r="F878" s="5" t="n"/>
    </row>
    <row r="879">
      <c r="A879" s="10">
        <f>IF($E879="","",INDEX('Input Transaksi'!$A:$A,$E879))</f>
        <v/>
      </c>
      <c r="B879" s="5">
        <f>IF($E879="","",INDEX('Input Transaksi'!$D:$D,$E879))</f>
        <v/>
      </c>
      <c r="C879">
        <f>IF($E879="","",INDEX('Input Transaksi'!$E:$E,$E879))</f>
        <v/>
      </c>
      <c r="D879" s="5">
        <f>IF($E879="","",INDEX('Input Transaksi'!$F:$F,$E879))</f>
        <v/>
      </c>
      <c r="E879">
        <f>IFERROR(AGGREGATE(15,6,ROW('Input Transaksi'!$B$5:$B$5000)/('Input Transaksi'!$B$5:$B$5000="JCL SESETAN"),ROWS($E$5:E879)),"")</f>
        <v/>
      </c>
      <c r="F879" s="5" t="n"/>
    </row>
    <row r="880">
      <c r="A880" s="10">
        <f>IF($E880="","",INDEX('Input Transaksi'!$A:$A,$E880))</f>
        <v/>
      </c>
      <c r="B880" s="5">
        <f>IF($E880="","",INDEX('Input Transaksi'!$D:$D,$E880))</f>
        <v/>
      </c>
      <c r="C880">
        <f>IF($E880="","",INDEX('Input Transaksi'!$E:$E,$E880))</f>
        <v/>
      </c>
      <c r="D880" s="5">
        <f>IF($E880="","",INDEX('Input Transaksi'!$F:$F,$E880))</f>
        <v/>
      </c>
      <c r="E880">
        <f>IFERROR(AGGREGATE(15,6,ROW('Input Transaksi'!$B$5:$B$5000)/('Input Transaksi'!$B$5:$B$5000="JCL SESETAN"),ROWS($E$5:E880)),"")</f>
        <v/>
      </c>
      <c r="F880" s="5" t="n"/>
    </row>
    <row r="881">
      <c r="A881" s="10">
        <f>IF($E881="","",INDEX('Input Transaksi'!$A:$A,$E881))</f>
        <v/>
      </c>
      <c r="B881" s="5">
        <f>IF($E881="","",INDEX('Input Transaksi'!$D:$D,$E881))</f>
        <v/>
      </c>
      <c r="C881">
        <f>IF($E881="","",INDEX('Input Transaksi'!$E:$E,$E881))</f>
        <v/>
      </c>
      <c r="D881" s="5">
        <f>IF($E881="","",INDEX('Input Transaksi'!$F:$F,$E881))</f>
        <v/>
      </c>
      <c r="E881">
        <f>IFERROR(AGGREGATE(15,6,ROW('Input Transaksi'!$B$5:$B$5000)/('Input Transaksi'!$B$5:$B$5000="JCL SESETAN"),ROWS($E$5:E881)),"")</f>
        <v/>
      </c>
      <c r="F881" s="5" t="n"/>
    </row>
    <row r="882">
      <c r="A882" s="10">
        <f>IF($E882="","",INDEX('Input Transaksi'!$A:$A,$E882))</f>
        <v/>
      </c>
      <c r="B882" s="5">
        <f>IF($E882="","",INDEX('Input Transaksi'!$D:$D,$E882))</f>
        <v/>
      </c>
      <c r="C882">
        <f>IF($E882="","",INDEX('Input Transaksi'!$E:$E,$E882))</f>
        <v/>
      </c>
      <c r="D882" s="5">
        <f>IF($E882="","",INDEX('Input Transaksi'!$F:$F,$E882))</f>
        <v/>
      </c>
      <c r="E882">
        <f>IFERROR(AGGREGATE(15,6,ROW('Input Transaksi'!$B$5:$B$5000)/('Input Transaksi'!$B$5:$B$5000="JCL SESETAN"),ROWS($E$5:E882)),"")</f>
        <v/>
      </c>
      <c r="F882" s="5" t="n"/>
    </row>
    <row r="883">
      <c r="A883" s="10">
        <f>IF($E883="","",INDEX('Input Transaksi'!$A:$A,$E883))</f>
        <v/>
      </c>
      <c r="B883" s="5">
        <f>IF($E883="","",INDEX('Input Transaksi'!$D:$D,$E883))</f>
        <v/>
      </c>
      <c r="C883">
        <f>IF($E883="","",INDEX('Input Transaksi'!$E:$E,$E883))</f>
        <v/>
      </c>
      <c r="D883" s="5">
        <f>IF($E883="","",INDEX('Input Transaksi'!$F:$F,$E883))</f>
        <v/>
      </c>
      <c r="E883">
        <f>IFERROR(AGGREGATE(15,6,ROW('Input Transaksi'!$B$5:$B$5000)/('Input Transaksi'!$B$5:$B$5000="JCL SESETAN"),ROWS($E$5:E883)),"")</f>
        <v/>
      </c>
      <c r="F883" s="5" t="n"/>
    </row>
    <row r="884">
      <c r="A884" s="10">
        <f>IF($E884="","",INDEX('Input Transaksi'!$A:$A,$E884))</f>
        <v/>
      </c>
      <c r="B884" s="5">
        <f>IF($E884="","",INDEX('Input Transaksi'!$D:$D,$E884))</f>
        <v/>
      </c>
      <c r="C884">
        <f>IF($E884="","",INDEX('Input Transaksi'!$E:$E,$E884))</f>
        <v/>
      </c>
      <c r="D884" s="5">
        <f>IF($E884="","",INDEX('Input Transaksi'!$F:$F,$E884))</f>
        <v/>
      </c>
      <c r="E884">
        <f>IFERROR(AGGREGATE(15,6,ROW('Input Transaksi'!$B$5:$B$5000)/('Input Transaksi'!$B$5:$B$5000="JCL SESETAN"),ROWS($E$5:E884)),"")</f>
        <v/>
      </c>
      <c r="F884" s="5" t="n"/>
    </row>
    <row r="885">
      <c r="A885" s="10">
        <f>IF($E885="","",INDEX('Input Transaksi'!$A:$A,$E885))</f>
        <v/>
      </c>
      <c r="B885" s="5">
        <f>IF($E885="","",INDEX('Input Transaksi'!$D:$D,$E885))</f>
        <v/>
      </c>
      <c r="C885">
        <f>IF($E885="","",INDEX('Input Transaksi'!$E:$E,$E885))</f>
        <v/>
      </c>
      <c r="D885" s="5">
        <f>IF($E885="","",INDEX('Input Transaksi'!$F:$F,$E885))</f>
        <v/>
      </c>
      <c r="E885">
        <f>IFERROR(AGGREGATE(15,6,ROW('Input Transaksi'!$B$5:$B$5000)/('Input Transaksi'!$B$5:$B$5000="JCL SESETAN"),ROWS($E$5:E885)),"")</f>
        <v/>
      </c>
      <c r="F885" s="5" t="n"/>
    </row>
    <row r="886">
      <c r="A886" s="10">
        <f>IF($E886="","",INDEX('Input Transaksi'!$A:$A,$E886))</f>
        <v/>
      </c>
      <c r="B886" s="5">
        <f>IF($E886="","",INDEX('Input Transaksi'!$D:$D,$E886))</f>
        <v/>
      </c>
      <c r="C886">
        <f>IF($E886="","",INDEX('Input Transaksi'!$E:$E,$E886))</f>
        <v/>
      </c>
      <c r="D886" s="5">
        <f>IF($E886="","",INDEX('Input Transaksi'!$F:$F,$E886))</f>
        <v/>
      </c>
      <c r="E886">
        <f>IFERROR(AGGREGATE(15,6,ROW('Input Transaksi'!$B$5:$B$5000)/('Input Transaksi'!$B$5:$B$5000="JCL SESETAN"),ROWS($E$5:E886)),"")</f>
        <v/>
      </c>
      <c r="F886" s="5" t="n"/>
    </row>
    <row r="887">
      <c r="A887" s="10">
        <f>IF($E887="","",INDEX('Input Transaksi'!$A:$A,$E887))</f>
        <v/>
      </c>
      <c r="B887" s="5">
        <f>IF($E887="","",INDEX('Input Transaksi'!$D:$D,$E887))</f>
        <v/>
      </c>
      <c r="C887">
        <f>IF($E887="","",INDEX('Input Transaksi'!$E:$E,$E887))</f>
        <v/>
      </c>
      <c r="D887" s="5">
        <f>IF($E887="","",INDEX('Input Transaksi'!$F:$F,$E887))</f>
        <v/>
      </c>
      <c r="E887">
        <f>IFERROR(AGGREGATE(15,6,ROW('Input Transaksi'!$B$5:$B$5000)/('Input Transaksi'!$B$5:$B$5000="JCL SESETAN"),ROWS($E$5:E887)),"")</f>
        <v/>
      </c>
      <c r="F887" s="5" t="n"/>
    </row>
    <row r="888">
      <c r="A888" s="10">
        <f>IF($E888="","",INDEX('Input Transaksi'!$A:$A,$E888))</f>
        <v/>
      </c>
      <c r="B888" s="5">
        <f>IF($E888="","",INDEX('Input Transaksi'!$D:$D,$E888))</f>
        <v/>
      </c>
      <c r="C888">
        <f>IF($E888="","",INDEX('Input Transaksi'!$E:$E,$E888))</f>
        <v/>
      </c>
      <c r="D888" s="5">
        <f>IF($E888="","",INDEX('Input Transaksi'!$F:$F,$E888))</f>
        <v/>
      </c>
      <c r="E888">
        <f>IFERROR(AGGREGATE(15,6,ROW('Input Transaksi'!$B$5:$B$5000)/('Input Transaksi'!$B$5:$B$5000="JCL SESETAN"),ROWS($E$5:E888)),"")</f>
        <v/>
      </c>
      <c r="F888" s="5" t="n"/>
    </row>
    <row r="889">
      <c r="A889" s="10">
        <f>IF($E889="","",INDEX('Input Transaksi'!$A:$A,$E889))</f>
        <v/>
      </c>
      <c r="B889" s="5">
        <f>IF($E889="","",INDEX('Input Transaksi'!$D:$D,$E889))</f>
        <v/>
      </c>
      <c r="C889">
        <f>IF($E889="","",INDEX('Input Transaksi'!$E:$E,$E889))</f>
        <v/>
      </c>
      <c r="D889" s="5">
        <f>IF($E889="","",INDEX('Input Transaksi'!$F:$F,$E889))</f>
        <v/>
      </c>
      <c r="E889">
        <f>IFERROR(AGGREGATE(15,6,ROW('Input Transaksi'!$B$5:$B$5000)/('Input Transaksi'!$B$5:$B$5000="JCL SESETAN"),ROWS($E$5:E889)),"")</f>
        <v/>
      </c>
      <c r="F889" s="5" t="n"/>
    </row>
    <row r="890">
      <c r="A890" s="10">
        <f>IF($E890="","",INDEX('Input Transaksi'!$A:$A,$E890))</f>
        <v/>
      </c>
      <c r="B890" s="5">
        <f>IF($E890="","",INDEX('Input Transaksi'!$D:$D,$E890))</f>
        <v/>
      </c>
      <c r="C890">
        <f>IF($E890="","",INDEX('Input Transaksi'!$E:$E,$E890))</f>
        <v/>
      </c>
      <c r="D890" s="5">
        <f>IF($E890="","",INDEX('Input Transaksi'!$F:$F,$E890))</f>
        <v/>
      </c>
      <c r="E890">
        <f>IFERROR(AGGREGATE(15,6,ROW('Input Transaksi'!$B$5:$B$5000)/('Input Transaksi'!$B$5:$B$5000="JCL SESETAN"),ROWS($E$5:E890)),"")</f>
        <v/>
      </c>
      <c r="F890" s="5" t="n"/>
    </row>
    <row r="891">
      <c r="A891" s="10">
        <f>IF($E891="","",INDEX('Input Transaksi'!$A:$A,$E891))</f>
        <v/>
      </c>
      <c r="B891" s="5">
        <f>IF($E891="","",INDEX('Input Transaksi'!$D:$D,$E891))</f>
        <v/>
      </c>
      <c r="C891">
        <f>IF($E891="","",INDEX('Input Transaksi'!$E:$E,$E891))</f>
        <v/>
      </c>
      <c r="D891" s="5">
        <f>IF($E891="","",INDEX('Input Transaksi'!$F:$F,$E891))</f>
        <v/>
      </c>
      <c r="E891">
        <f>IFERROR(AGGREGATE(15,6,ROW('Input Transaksi'!$B$5:$B$5000)/('Input Transaksi'!$B$5:$B$5000="JCL SESETAN"),ROWS($E$5:E891)),"")</f>
        <v/>
      </c>
      <c r="F891" s="5" t="n"/>
    </row>
    <row r="892">
      <c r="A892" s="10">
        <f>IF($E892="","",INDEX('Input Transaksi'!$A:$A,$E892))</f>
        <v/>
      </c>
      <c r="B892" s="5">
        <f>IF($E892="","",INDEX('Input Transaksi'!$D:$D,$E892))</f>
        <v/>
      </c>
      <c r="C892">
        <f>IF($E892="","",INDEX('Input Transaksi'!$E:$E,$E892))</f>
        <v/>
      </c>
      <c r="D892" s="5">
        <f>IF($E892="","",INDEX('Input Transaksi'!$F:$F,$E892))</f>
        <v/>
      </c>
      <c r="E892">
        <f>IFERROR(AGGREGATE(15,6,ROW('Input Transaksi'!$B$5:$B$5000)/('Input Transaksi'!$B$5:$B$5000="JCL SESETAN"),ROWS($E$5:E892)),"")</f>
        <v/>
      </c>
      <c r="F892" s="5" t="n"/>
    </row>
    <row r="893">
      <c r="A893" s="10">
        <f>IF($E893="","",INDEX('Input Transaksi'!$A:$A,$E893))</f>
        <v/>
      </c>
      <c r="B893" s="5">
        <f>IF($E893="","",INDEX('Input Transaksi'!$D:$D,$E893))</f>
        <v/>
      </c>
      <c r="C893">
        <f>IF($E893="","",INDEX('Input Transaksi'!$E:$E,$E893))</f>
        <v/>
      </c>
      <c r="D893" s="5">
        <f>IF($E893="","",INDEX('Input Transaksi'!$F:$F,$E893))</f>
        <v/>
      </c>
      <c r="E893">
        <f>IFERROR(AGGREGATE(15,6,ROW('Input Transaksi'!$B$5:$B$5000)/('Input Transaksi'!$B$5:$B$5000="JCL SESETAN"),ROWS($E$5:E893)),"")</f>
        <v/>
      </c>
      <c r="F893" s="5" t="n"/>
    </row>
    <row r="894">
      <c r="A894" s="10">
        <f>IF($E894="","",INDEX('Input Transaksi'!$A:$A,$E894))</f>
        <v/>
      </c>
      <c r="B894" s="5">
        <f>IF($E894="","",INDEX('Input Transaksi'!$D:$D,$E894))</f>
        <v/>
      </c>
      <c r="C894">
        <f>IF($E894="","",INDEX('Input Transaksi'!$E:$E,$E894))</f>
        <v/>
      </c>
      <c r="D894" s="5">
        <f>IF($E894="","",INDEX('Input Transaksi'!$F:$F,$E894))</f>
        <v/>
      </c>
      <c r="E894">
        <f>IFERROR(AGGREGATE(15,6,ROW('Input Transaksi'!$B$5:$B$5000)/('Input Transaksi'!$B$5:$B$5000="JCL SESETAN"),ROWS($E$5:E894)),"")</f>
        <v/>
      </c>
      <c r="F894" s="5" t="n"/>
    </row>
    <row r="895">
      <c r="A895" s="10">
        <f>IF($E895="","",INDEX('Input Transaksi'!$A:$A,$E895))</f>
        <v/>
      </c>
      <c r="B895" s="5">
        <f>IF($E895="","",INDEX('Input Transaksi'!$D:$D,$E895))</f>
        <v/>
      </c>
      <c r="C895">
        <f>IF($E895="","",INDEX('Input Transaksi'!$E:$E,$E895))</f>
        <v/>
      </c>
      <c r="D895" s="5">
        <f>IF($E895="","",INDEX('Input Transaksi'!$F:$F,$E895))</f>
        <v/>
      </c>
      <c r="E895">
        <f>IFERROR(AGGREGATE(15,6,ROW('Input Transaksi'!$B$5:$B$5000)/('Input Transaksi'!$B$5:$B$5000="JCL SESETAN"),ROWS($E$5:E895)),"")</f>
        <v/>
      </c>
      <c r="F895" s="5" t="n"/>
    </row>
    <row r="896">
      <c r="A896" s="10">
        <f>IF($E896="","",INDEX('Input Transaksi'!$A:$A,$E896))</f>
        <v/>
      </c>
      <c r="B896" s="5">
        <f>IF($E896="","",INDEX('Input Transaksi'!$D:$D,$E896))</f>
        <v/>
      </c>
      <c r="C896">
        <f>IF($E896="","",INDEX('Input Transaksi'!$E:$E,$E896))</f>
        <v/>
      </c>
      <c r="D896" s="5">
        <f>IF($E896="","",INDEX('Input Transaksi'!$F:$F,$E896))</f>
        <v/>
      </c>
      <c r="E896">
        <f>IFERROR(AGGREGATE(15,6,ROW('Input Transaksi'!$B$5:$B$5000)/('Input Transaksi'!$B$5:$B$5000="JCL SESETAN"),ROWS($E$5:E896)),"")</f>
        <v/>
      </c>
      <c r="F896" s="5" t="n"/>
    </row>
    <row r="897">
      <c r="A897" s="10">
        <f>IF($E897="","",INDEX('Input Transaksi'!$A:$A,$E897))</f>
        <v/>
      </c>
      <c r="B897" s="5">
        <f>IF($E897="","",INDEX('Input Transaksi'!$D:$D,$E897))</f>
        <v/>
      </c>
      <c r="C897">
        <f>IF($E897="","",INDEX('Input Transaksi'!$E:$E,$E897))</f>
        <v/>
      </c>
      <c r="D897" s="5">
        <f>IF($E897="","",INDEX('Input Transaksi'!$F:$F,$E897))</f>
        <v/>
      </c>
      <c r="E897">
        <f>IFERROR(AGGREGATE(15,6,ROW('Input Transaksi'!$B$5:$B$5000)/('Input Transaksi'!$B$5:$B$5000="JCL SESETAN"),ROWS($E$5:E897)),"")</f>
        <v/>
      </c>
      <c r="F897" s="5" t="n"/>
    </row>
    <row r="898">
      <c r="A898" s="10">
        <f>IF($E898="","",INDEX('Input Transaksi'!$A:$A,$E898))</f>
        <v/>
      </c>
      <c r="B898" s="5">
        <f>IF($E898="","",INDEX('Input Transaksi'!$D:$D,$E898))</f>
        <v/>
      </c>
      <c r="C898">
        <f>IF($E898="","",INDEX('Input Transaksi'!$E:$E,$E898))</f>
        <v/>
      </c>
      <c r="D898" s="5">
        <f>IF($E898="","",INDEX('Input Transaksi'!$F:$F,$E898))</f>
        <v/>
      </c>
      <c r="E898">
        <f>IFERROR(AGGREGATE(15,6,ROW('Input Transaksi'!$B$5:$B$5000)/('Input Transaksi'!$B$5:$B$5000="JCL SESETAN"),ROWS($E$5:E898)),"")</f>
        <v/>
      </c>
      <c r="F898" s="5" t="n"/>
    </row>
    <row r="899">
      <c r="A899" s="10">
        <f>IF($E899="","",INDEX('Input Transaksi'!$A:$A,$E899))</f>
        <v/>
      </c>
      <c r="B899" s="5">
        <f>IF($E899="","",INDEX('Input Transaksi'!$D:$D,$E899))</f>
        <v/>
      </c>
      <c r="C899">
        <f>IF($E899="","",INDEX('Input Transaksi'!$E:$E,$E899))</f>
        <v/>
      </c>
      <c r="D899" s="5">
        <f>IF($E899="","",INDEX('Input Transaksi'!$F:$F,$E899))</f>
        <v/>
      </c>
      <c r="E899">
        <f>IFERROR(AGGREGATE(15,6,ROW('Input Transaksi'!$B$5:$B$5000)/('Input Transaksi'!$B$5:$B$5000="JCL SESETAN"),ROWS($E$5:E899)),"")</f>
        <v/>
      </c>
      <c r="F899" s="5" t="n"/>
    </row>
    <row r="900">
      <c r="A900" s="10">
        <f>IF($E900="","",INDEX('Input Transaksi'!$A:$A,$E900))</f>
        <v/>
      </c>
      <c r="B900" s="5">
        <f>IF($E900="","",INDEX('Input Transaksi'!$D:$D,$E900))</f>
        <v/>
      </c>
      <c r="C900">
        <f>IF($E900="","",INDEX('Input Transaksi'!$E:$E,$E900))</f>
        <v/>
      </c>
      <c r="D900" s="5">
        <f>IF($E900="","",INDEX('Input Transaksi'!$F:$F,$E900))</f>
        <v/>
      </c>
      <c r="E900">
        <f>IFERROR(AGGREGATE(15,6,ROW('Input Transaksi'!$B$5:$B$5000)/('Input Transaksi'!$B$5:$B$5000="JCL SESETAN"),ROWS($E$5:E900)),"")</f>
        <v/>
      </c>
      <c r="F900" s="5" t="n"/>
    </row>
    <row r="901">
      <c r="A901" s="10">
        <f>IF($E901="","",INDEX('Input Transaksi'!$A:$A,$E901))</f>
        <v/>
      </c>
      <c r="B901" s="5">
        <f>IF($E901="","",INDEX('Input Transaksi'!$D:$D,$E901))</f>
        <v/>
      </c>
      <c r="C901">
        <f>IF($E901="","",INDEX('Input Transaksi'!$E:$E,$E901))</f>
        <v/>
      </c>
      <c r="D901" s="5">
        <f>IF($E901="","",INDEX('Input Transaksi'!$F:$F,$E901))</f>
        <v/>
      </c>
      <c r="E901">
        <f>IFERROR(AGGREGATE(15,6,ROW('Input Transaksi'!$B$5:$B$5000)/('Input Transaksi'!$B$5:$B$5000="JCL SESETAN"),ROWS($E$5:E901)),"")</f>
        <v/>
      </c>
      <c r="F901" s="5" t="n"/>
    </row>
    <row r="902">
      <c r="A902" s="10">
        <f>IF($E902="","",INDEX('Input Transaksi'!$A:$A,$E902))</f>
        <v/>
      </c>
      <c r="B902" s="5">
        <f>IF($E902="","",INDEX('Input Transaksi'!$D:$D,$E902))</f>
        <v/>
      </c>
      <c r="C902">
        <f>IF($E902="","",INDEX('Input Transaksi'!$E:$E,$E902))</f>
        <v/>
      </c>
      <c r="D902" s="5">
        <f>IF($E902="","",INDEX('Input Transaksi'!$F:$F,$E902))</f>
        <v/>
      </c>
      <c r="E902">
        <f>IFERROR(AGGREGATE(15,6,ROW('Input Transaksi'!$B$5:$B$5000)/('Input Transaksi'!$B$5:$B$5000="JCL SESETAN"),ROWS($E$5:E902)),"")</f>
        <v/>
      </c>
      <c r="F902" s="5" t="n"/>
    </row>
    <row r="903">
      <c r="A903" s="10">
        <f>IF($E903="","",INDEX('Input Transaksi'!$A:$A,$E903))</f>
        <v/>
      </c>
      <c r="B903" s="5">
        <f>IF($E903="","",INDEX('Input Transaksi'!$D:$D,$E903))</f>
        <v/>
      </c>
      <c r="C903">
        <f>IF($E903="","",INDEX('Input Transaksi'!$E:$E,$E903))</f>
        <v/>
      </c>
      <c r="D903" s="5">
        <f>IF($E903="","",INDEX('Input Transaksi'!$F:$F,$E903))</f>
        <v/>
      </c>
      <c r="E903">
        <f>IFERROR(AGGREGATE(15,6,ROW('Input Transaksi'!$B$5:$B$5000)/('Input Transaksi'!$B$5:$B$5000="JCL SESETAN"),ROWS($E$5:E903)),"")</f>
        <v/>
      </c>
      <c r="F903" s="5" t="n"/>
    </row>
    <row r="904">
      <c r="A904" s="10">
        <f>IF($E904="","",INDEX('Input Transaksi'!$A:$A,$E904))</f>
        <v/>
      </c>
      <c r="B904" s="5">
        <f>IF($E904="","",INDEX('Input Transaksi'!$D:$D,$E904))</f>
        <v/>
      </c>
      <c r="C904">
        <f>IF($E904="","",INDEX('Input Transaksi'!$E:$E,$E904))</f>
        <v/>
      </c>
      <c r="D904" s="5">
        <f>IF($E904="","",INDEX('Input Transaksi'!$F:$F,$E904))</f>
        <v/>
      </c>
      <c r="E904">
        <f>IFERROR(AGGREGATE(15,6,ROW('Input Transaksi'!$B$5:$B$5000)/('Input Transaksi'!$B$5:$B$5000="JCL SESETAN"),ROWS($E$5:E904)),"")</f>
        <v/>
      </c>
      <c r="F904" s="5" t="n"/>
    </row>
    <row r="905">
      <c r="A905" s="10">
        <f>IF($E905="","",INDEX('Input Transaksi'!$A:$A,$E905))</f>
        <v/>
      </c>
      <c r="B905" s="5">
        <f>IF($E905="","",INDEX('Input Transaksi'!$D:$D,$E905))</f>
        <v/>
      </c>
      <c r="C905">
        <f>IF($E905="","",INDEX('Input Transaksi'!$E:$E,$E905))</f>
        <v/>
      </c>
      <c r="D905" s="5">
        <f>IF($E905="","",INDEX('Input Transaksi'!$F:$F,$E905))</f>
        <v/>
      </c>
      <c r="E905">
        <f>IFERROR(AGGREGATE(15,6,ROW('Input Transaksi'!$B$5:$B$5000)/('Input Transaksi'!$B$5:$B$5000="JCL SESETAN"),ROWS($E$5:E905)),"")</f>
        <v/>
      </c>
      <c r="F905" s="5" t="n"/>
    </row>
    <row r="906">
      <c r="A906" s="10">
        <f>IF($E906="","",INDEX('Input Transaksi'!$A:$A,$E906))</f>
        <v/>
      </c>
      <c r="B906" s="5">
        <f>IF($E906="","",INDEX('Input Transaksi'!$D:$D,$E906))</f>
        <v/>
      </c>
      <c r="C906">
        <f>IF($E906="","",INDEX('Input Transaksi'!$E:$E,$E906))</f>
        <v/>
      </c>
      <c r="D906" s="5">
        <f>IF($E906="","",INDEX('Input Transaksi'!$F:$F,$E906))</f>
        <v/>
      </c>
      <c r="E906">
        <f>IFERROR(AGGREGATE(15,6,ROW('Input Transaksi'!$B$5:$B$5000)/('Input Transaksi'!$B$5:$B$5000="JCL SESETAN"),ROWS($E$5:E906)),"")</f>
        <v/>
      </c>
      <c r="F906" s="5" t="n"/>
    </row>
    <row r="907">
      <c r="A907" s="10">
        <f>IF($E907="","",INDEX('Input Transaksi'!$A:$A,$E907))</f>
        <v/>
      </c>
      <c r="B907" s="5">
        <f>IF($E907="","",INDEX('Input Transaksi'!$D:$D,$E907))</f>
        <v/>
      </c>
      <c r="C907">
        <f>IF($E907="","",INDEX('Input Transaksi'!$E:$E,$E907))</f>
        <v/>
      </c>
      <c r="D907" s="5">
        <f>IF($E907="","",INDEX('Input Transaksi'!$F:$F,$E907))</f>
        <v/>
      </c>
      <c r="E907">
        <f>IFERROR(AGGREGATE(15,6,ROW('Input Transaksi'!$B$5:$B$5000)/('Input Transaksi'!$B$5:$B$5000="JCL SESETAN"),ROWS($E$5:E907)),"")</f>
        <v/>
      </c>
      <c r="F907" s="5" t="n"/>
    </row>
    <row r="908">
      <c r="A908" s="10">
        <f>IF($E908="","",INDEX('Input Transaksi'!$A:$A,$E908))</f>
        <v/>
      </c>
      <c r="B908" s="5">
        <f>IF($E908="","",INDEX('Input Transaksi'!$D:$D,$E908))</f>
        <v/>
      </c>
      <c r="C908">
        <f>IF($E908="","",INDEX('Input Transaksi'!$E:$E,$E908))</f>
        <v/>
      </c>
      <c r="D908" s="5">
        <f>IF($E908="","",INDEX('Input Transaksi'!$F:$F,$E908))</f>
        <v/>
      </c>
      <c r="E908">
        <f>IFERROR(AGGREGATE(15,6,ROW('Input Transaksi'!$B$5:$B$5000)/('Input Transaksi'!$B$5:$B$5000="JCL SESETAN"),ROWS($E$5:E908)),"")</f>
        <v/>
      </c>
      <c r="F908" s="5" t="n"/>
    </row>
    <row r="909">
      <c r="A909" s="10">
        <f>IF($E909="","",INDEX('Input Transaksi'!$A:$A,$E909))</f>
        <v/>
      </c>
      <c r="B909" s="5">
        <f>IF($E909="","",INDEX('Input Transaksi'!$D:$D,$E909))</f>
        <v/>
      </c>
      <c r="C909">
        <f>IF($E909="","",INDEX('Input Transaksi'!$E:$E,$E909))</f>
        <v/>
      </c>
      <c r="D909" s="5">
        <f>IF($E909="","",INDEX('Input Transaksi'!$F:$F,$E909))</f>
        <v/>
      </c>
      <c r="E909">
        <f>IFERROR(AGGREGATE(15,6,ROW('Input Transaksi'!$B$5:$B$5000)/('Input Transaksi'!$B$5:$B$5000="JCL SESETAN"),ROWS($E$5:E909)),"")</f>
        <v/>
      </c>
      <c r="F909" s="5" t="n"/>
    </row>
    <row r="910">
      <c r="A910" s="10">
        <f>IF($E910="","",INDEX('Input Transaksi'!$A:$A,$E910))</f>
        <v/>
      </c>
      <c r="B910" s="5">
        <f>IF($E910="","",INDEX('Input Transaksi'!$D:$D,$E910))</f>
        <v/>
      </c>
      <c r="C910">
        <f>IF($E910="","",INDEX('Input Transaksi'!$E:$E,$E910))</f>
        <v/>
      </c>
      <c r="D910" s="5">
        <f>IF($E910="","",INDEX('Input Transaksi'!$F:$F,$E910))</f>
        <v/>
      </c>
      <c r="E910">
        <f>IFERROR(AGGREGATE(15,6,ROW('Input Transaksi'!$B$5:$B$5000)/('Input Transaksi'!$B$5:$B$5000="JCL SESETAN"),ROWS($E$5:E910)),"")</f>
        <v/>
      </c>
      <c r="F910" s="5" t="n"/>
    </row>
    <row r="911">
      <c r="A911" s="10">
        <f>IF($E911="","",INDEX('Input Transaksi'!$A:$A,$E911))</f>
        <v/>
      </c>
      <c r="B911" s="5">
        <f>IF($E911="","",INDEX('Input Transaksi'!$D:$D,$E911))</f>
        <v/>
      </c>
      <c r="C911">
        <f>IF($E911="","",INDEX('Input Transaksi'!$E:$E,$E911))</f>
        <v/>
      </c>
      <c r="D911" s="5">
        <f>IF($E911="","",INDEX('Input Transaksi'!$F:$F,$E911))</f>
        <v/>
      </c>
      <c r="E911">
        <f>IFERROR(AGGREGATE(15,6,ROW('Input Transaksi'!$B$5:$B$5000)/('Input Transaksi'!$B$5:$B$5000="JCL SESETAN"),ROWS($E$5:E911)),"")</f>
        <v/>
      </c>
      <c r="F911" s="5" t="n"/>
    </row>
    <row r="912">
      <c r="A912" s="10">
        <f>IF($E912="","",INDEX('Input Transaksi'!$A:$A,$E912))</f>
        <v/>
      </c>
      <c r="B912" s="5">
        <f>IF($E912="","",INDEX('Input Transaksi'!$D:$D,$E912))</f>
        <v/>
      </c>
      <c r="C912">
        <f>IF($E912="","",INDEX('Input Transaksi'!$E:$E,$E912))</f>
        <v/>
      </c>
      <c r="D912" s="5">
        <f>IF($E912="","",INDEX('Input Transaksi'!$F:$F,$E912))</f>
        <v/>
      </c>
      <c r="E912">
        <f>IFERROR(AGGREGATE(15,6,ROW('Input Transaksi'!$B$5:$B$5000)/('Input Transaksi'!$B$5:$B$5000="JCL SESETAN"),ROWS($E$5:E912)),"")</f>
        <v/>
      </c>
      <c r="F912" s="5" t="n"/>
    </row>
    <row r="913">
      <c r="A913" s="10">
        <f>IF($E913="","",INDEX('Input Transaksi'!$A:$A,$E913))</f>
        <v/>
      </c>
      <c r="B913" s="5">
        <f>IF($E913="","",INDEX('Input Transaksi'!$D:$D,$E913))</f>
        <v/>
      </c>
      <c r="C913">
        <f>IF($E913="","",INDEX('Input Transaksi'!$E:$E,$E913))</f>
        <v/>
      </c>
      <c r="D913" s="5">
        <f>IF($E913="","",INDEX('Input Transaksi'!$F:$F,$E913))</f>
        <v/>
      </c>
      <c r="E913">
        <f>IFERROR(AGGREGATE(15,6,ROW('Input Transaksi'!$B$5:$B$5000)/('Input Transaksi'!$B$5:$B$5000="JCL SESETAN"),ROWS($E$5:E913)),"")</f>
        <v/>
      </c>
      <c r="F913" s="5" t="n"/>
    </row>
    <row r="914">
      <c r="A914" s="10">
        <f>IF($E914="","",INDEX('Input Transaksi'!$A:$A,$E914))</f>
        <v/>
      </c>
      <c r="B914" s="5">
        <f>IF($E914="","",INDEX('Input Transaksi'!$D:$D,$E914))</f>
        <v/>
      </c>
      <c r="C914">
        <f>IF($E914="","",INDEX('Input Transaksi'!$E:$E,$E914))</f>
        <v/>
      </c>
      <c r="D914" s="5">
        <f>IF($E914="","",INDEX('Input Transaksi'!$F:$F,$E914))</f>
        <v/>
      </c>
      <c r="E914">
        <f>IFERROR(AGGREGATE(15,6,ROW('Input Transaksi'!$B$5:$B$5000)/('Input Transaksi'!$B$5:$B$5000="JCL SESETAN"),ROWS($E$5:E914)),"")</f>
        <v/>
      </c>
      <c r="F914" s="5" t="n"/>
    </row>
    <row r="915">
      <c r="A915" s="10">
        <f>IF($E915="","",INDEX('Input Transaksi'!$A:$A,$E915))</f>
        <v/>
      </c>
      <c r="B915" s="5">
        <f>IF($E915="","",INDEX('Input Transaksi'!$D:$D,$E915))</f>
        <v/>
      </c>
      <c r="C915">
        <f>IF($E915="","",INDEX('Input Transaksi'!$E:$E,$E915))</f>
        <v/>
      </c>
      <c r="D915" s="5">
        <f>IF($E915="","",INDEX('Input Transaksi'!$F:$F,$E915))</f>
        <v/>
      </c>
      <c r="E915">
        <f>IFERROR(AGGREGATE(15,6,ROW('Input Transaksi'!$B$5:$B$5000)/('Input Transaksi'!$B$5:$B$5000="JCL SESETAN"),ROWS($E$5:E915)),"")</f>
        <v/>
      </c>
      <c r="F915" s="5" t="n"/>
    </row>
    <row r="916">
      <c r="A916" s="10">
        <f>IF($E916="","",INDEX('Input Transaksi'!$A:$A,$E916))</f>
        <v/>
      </c>
      <c r="B916" s="5">
        <f>IF($E916="","",INDEX('Input Transaksi'!$D:$D,$E916))</f>
        <v/>
      </c>
      <c r="C916">
        <f>IF($E916="","",INDEX('Input Transaksi'!$E:$E,$E916))</f>
        <v/>
      </c>
      <c r="D916" s="5">
        <f>IF($E916="","",INDEX('Input Transaksi'!$F:$F,$E916))</f>
        <v/>
      </c>
      <c r="E916">
        <f>IFERROR(AGGREGATE(15,6,ROW('Input Transaksi'!$B$5:$B$5000)/('Input Transaksi'!$B$5:$B$5000="JCL SESETAN"),ROWS($E$5:E916)),"")</f>
        <v/>
      </c>
      <c r="F916" s="5" t="n"/>
    </row>
    <row r="917">
      <c r="A917" s="10">
        <f>IF($E917="","",INDEX('Input Transaksi'!$A:$A,$E917))</f>
        <v/>
      </c>
      <c r="B917" s="5">
        <f>IF($E917="","",INDEX('Input Transaksi'!$D:$D,$E917))</f>
        <v/>
      </c>
      <c r="C917">
        <f>IF($E917="","",INDEX('Input Transaksi'!$E:$E,$E917))</f>
        <v/>
      </c>
      <c r="D917" s="5">
        <f>IF($E917="","",INDEX('Input Transaksi'!$F:$F,$E917))</f>
        <v/>
      </c>
      <c r="E917">
        <f>IFERROR(AGGREGATE(15,6,ROW('Input Transaksi'!$B$5:$B$5000)/('Input Transaksi'!$B$5:$B$5000="JCL SESETAN"),ROWS($E$5:E917)),"")</f>
        <v/>
      </c>
      <c r="F917" s="5" t="n"/>
    </row>
    <row r="918">
      <c r="A918" s="10">
        <f>IF($E918="","",INDEX('Input Transaksi'!$A:$A,$E918))</f>
        <v/>
      </c>
      <c r="B918" s="5">
        <f>IF($E918="","",INDEX('Input Transaksi'!$D:$D,$E918))</f>
        <v/>
      </c>
      <c r="C918">
        <f>IF($E918="","",INDEX('Input Transaksi'!$E:$E,$E918))</f>
        <v/>
      </c>
      <c r="D918" s="5">
        <f>IF($E918="","",INDEX('Input Transaksi'!$F:$F,$E918))</f>
        <v/>
      </c>
      <c r="E918">
        <f>IFERROR(AGGREGATE(15,6,ROW('Input Transaksi'!$B$5:$B$5000)/('Input Transaksi'!$B$5:$B$5000="JCL SESETAN"),ROWS($E$5:E918)),"")</f>
        <v/>
      </c>
      <c r="F918" s="5" t="n"/>
    </row>
    <row r="919">
      <c r="A919" s="10">
        <f>IF($E919="","",INDEX('Input Transaksi'!$A:$A,$E919))</f>
        <v/>
      </c>
      <c r="B919" s="5">
        <f>IF($E919="","",INDEX('Input Transaksi'!$D:$D,$E919))</f>
        <v/>
      </c>
      <c r="C919">
        <f>IF($E919="","",INDEX('Input Transaksi'!$E:$E,$E919))</f>
        <v/>
      </c>
      <c r="D919" s="5">
        <f>IF($E919="","",INDEX('Input Transaksi'!$F:$F,$E919))</f>
        <v/>
      </c>
      <c r="E919">
        <f>IFERROR(AGGREGATE(15,6,ROW('Input Transaksi'!$B$5:$B$5000)/('Input Transaksi'!$B$5:$B$5000="JCL SESETAN"),ROWS($E$5:E919)),"")</f>
        <v/>
      </c>
      <c r="F919" s="5" t="n"/>
    </row>
    <row r="920">
      <c r="A920" s="10">
        <f>IF($E920="","",INDEX('Input Transaksi'!$A:$A,$E920))</f>
        <v/>
      </c>
      <c r="B920" s="5">
        <f>IF($E920="","",INDEX('Input Transaksi'!$D:$D,$E920))</f>
        <v/>
      </c>
      <c r="C920">
        <f>IF($E920="","",INDEX('Input Transaksi'!$E:$E,$E920))</f>
        <v/>
      </c>
      <c r="D920" s="5">
        <f>IF($E920="","",INDEX('Input Transaksi'!$F:$F,$E920))</f>
        <v/>
      </c>
      <c r="E920">
        <f>IFERROR(AGGREGATE(15,6,ROW('Input Transaksi'!$B$5:$B$5000)/('Input Transaksi'!$B$5:$B$5000="JCL SESETAN"),ROWS($E$5:E920)),"")</f>
        <v/>
      </c>
      <c r="F920" s="5" t="n"/>
    </row>
    <row r="921">
      <c r="A921" s="10">
        <f>IF($E921="","",INDEX('Input Transaksi'!$A:$A,$E921))</f>
        <v/>
      </c>
      <c r="B921" s="5">
        <f>IF($E921="","",INDEX('Input Transaksi'!$D:$D,$E921))</f>
        <v/>
      </c>
      <c r="C921">
        <f>IF($E921="","",INDEX('Input Transaksi'!$E:$E,$E921))</f>
        <v/>
      </c>
      <c r="D921" s="5">
        <f>IF($E921="","",INDEX('Input Transaksi'!$F:$F,$E921))</f>
        <v/>
      </c>
      <c r="E921">
        <f>IFERROR(AGGREGATE(15,6,ROW('Input Transaksi'!$B$5:$B$5000)/('Input Transaksi'!$B$5:$B$5000="JCL SESETAN"),ROWS($E$5:E921)),"")</f>
        <v/>
      </c>
      <c r="F921" s="5" t="n"/>
    </row>
    <row r="922">
      <c r="A922" s="10">
        <f>IF($E922="","",INDEX('Input Transaksi'!$A:$A,$E922))</f>
        <v/>
      </c>
      <c r="B922" s="5">
        <f>IF($E922="","",INDEX('Input Transaksi'!$D:$D,$E922))</f>
        <v/>
      </c>
      <c r="C922">
        <f>IF($E922="","",INDEX('Input Transaksi'!$E:$E,$E922))</f>
        <v/>
      </c>
      <c r="D922" s="5">
        <f>IF($E922="","",INDEX('Input Transaksi'!$F:$F,$E922))</f>
        <v/>
      </c>
      <c r="E922">
        <f>IFERROR(AGGREGATE(15,6,ROW('Input Transaksi'!$B$5:$B$5000)/('Input Transaksi'!$B$5:$B$5000="JCL SESETAN"),ROWS($E$5:E922)),"")</f>
        <v/>
      </c>
      <c r="F922" s="5" t="n"/>
    </row>
    <row r="923">
      <c r="A923" s="10">
        <f>IF($E923="","",INDEX('Input Transaksi'!$A:$A,$E923))</f>
        <v/>
      </c>
      <c r="B923" s="5">
        <f>IF($E923="","",INDEX('Input Transaksi'!$D:$D,$E923))</f>
        <v/>
      </c>
      <c r="C923">
        <f>IF($E923="","",INDEX('Input Transaksi'!$E:$E,$E923))</f>
        <v/>
      </c>
      <c r="D923" s="5">
        <f>IF($E923="","",INDEX('Input Transaksi'!$F:$F,$E923))</f>
        <v/>
      </c>
      <c r="E923">
        <f>IFERROR(AGGREGATE(15,6,ROW('Input Transaksi'!$B$5:$B$5000)/('Input Transaksi'!$B$5:$B$5000="JCL SESETAN"),ROWS($E$5:E923)),"")</f>
        <v/>
      </c>
      <c r="F923" s="5" t="n"/>
    </row>
    <row r="924">
      <c r="A924" s="10">
        <f>IF($E924="","",INDEX('Input Transaksi'!$A:$A,$E924))</f>
        <v/>
      </c>
      <c r="B924" s="5">
        <f>IF($E924="","",INDEX('Input Transaksi'!$D:$D,$E924))</f>
        <v/>
      </c>
      <c r="C924">
        <f>IF($E924="","",INDEX('Input Transaksi'!$E:$E,$E924))</f>
        <v/>
      </c>
      <c r="D924" s="5">
        <f>IF($E924="","",INDEX('Input Transaksi'!$F:$F,$E924))</f>
        <v/>
      </c>
      <c r="E924">
        <f>IFERROR(AGGREGATE(15,6,ROW('Input Transaksi'!$B$5:$B$5000)/('Input Transaksi'!$B$5:$B$5000="JCL SESETAN"),ROWS($E$5:E924)),"")</f>
        <v/>
      </c>
      <c r="F924" s="5" t="n"/>
    </row>
    <row r="925">
      <c r="A925" s="10">
        <f>IF($E925="","",INDEX('Input Transaksi'!$A:$A,$E925))</f>
        <v/>
      </c>
      <c r="B925" s="5">
        <f>IF($E925="","",INDEX('Input Transaksi'!$D:$D,$E925))</f>
        <v/>
      </c>
      <c r="C925">
        <f>IF($E925="","",INDEX('Input Transaksi'!$E:$E,$E925))</f>
        <v/>
      </c>
      <c r="D925" s="5">
        <f>IF($E925="","",INDEX('Input Transaksi'!$F:$F,$E925))</f>
        <v/>
      </c>
      <c r="E925">
        <f>IFERROR(AGGREGATE(15,6,ROW('Input Transaksi'!$B$5:$B$5000)/('Input Transaksi'!$B$5:$B$5000="JCL SESETAN"),ROWS($E$5:E925)),"")</f>
        <v/>
      </c>
      <c r="F925" s="5" t="n"/>
    </row>
    <row r="926">
      <c r="A926" s="10">
        <f>IF($E926="","",INDEX('Input Transaksi'!$A:$A,$E926))</f>
        <v/>
      </c>
      <c r="B926" s="5">
        <f>IF($E926="","",INDEX('Input Transaksi'!$D:$D,$E926))</f>
        <v/>
      </c>
      <c r="C926">
        <f>IF($E926="","",INDEX('Input Transaksi'!$E:$E,$E926))</f>
        <v/>
      </c>
      <c r="D926" s="5">
        <f>IF($E926="","",INDEX('Input Transaksi'!$F:$F,$E926))</f>
        <v/>
      </c>
      <c r="E926">
        <f>IFERROR(AGGREGATE(15,6,ROW('Input Transaksi'!$B$5:$B$5000)/('Input Transaksi'!$B$5:$B$5000="JCL SESETAN"),ROWS($E$5:E926)),"")</f>
        <v/>
      </c>
      <c r="F926" s="5" t="n"/>
    </row>
    <row r="927">
      <c r="A927" s="10">
        <f>IF($E927="","",INDEX('Input Transaksi'!$A:$A,$E927))</f>
        <v/>
      </c>
      <c r="B927" s="5">
        <f>IF($E927="","",INDEX('Input Transaksi'!$D:$D,$E927))</f>
        <v/>
      </c>
      <c r="C927">
        <f>IF($E927="","",INDEX('Input Transaksi'!$E:$E,$E927))</f>
        <v/>
      </c>
      <c r="D927" s="5">
        <f>IF($E927="","",INDEX('Input Transaksi'!$F:$F,$E927))</f>
        <v/>
      </c>
      <c r="E927">
        <f>IFERROR(AGGREGATE(15,6,ROW('Input Transaksi'!$B$5:$B$5000)/('Input Transaksi'!$B$5:$B$5000="JCL SESETAN"),ROWS($E$5:E927)),"")</f>
        <v/>
      </c>
      <c r="F927" s="5" t="n"/>
    </row>
    <row r="928">
      <c r="A928" s="10">
        <f>IF($E928="","",INDEX('Input Transaksi'!$A:$A,$E928))</f>
        <v/>
      </c>
      <c r="B928" s="5">
        <f>IF($E928="","",INDEX('Input Transaksi'!$D:$D,$E928))</f>
        <v/>
      </c>
      <c r="C928">
        <f>IF($E928="","",INDEX('Input Transaksi'!$E:$E,$E928))</f>
        <v/>
      </c>
      <c r="D928" s="5">
        <f>IF($E928="","",INDEX('Input Transaksi'!$F:$F,$E928))</f>
        <v/>
      </c>
      <c r="E928">
        <f>IFERROR(AGGREGATE(15,6,ROW('Input Transaksi'!$B$5:$B$5000)/('Input Transaksi'!$B$5:$B$5000="JCL SESETAN"),ROWS($E$5:E928)),"")</f>
        <v/>
      </c>
      <c r="F928" s="5" t="n"/>
    </row>
    <row r="929">
      <c r="A929" s="10">
        <f>IF($E929="","",INDEX('Input Transaksi'!$A:$A,$E929))</f>
        <v/>
      </c>
      <c r="B929" s="5">
        <f>IF($E929="","",INDEX('Input Transaksi'!$D:$D,$E929))</f>
        <v/>
      </c>
      <c r="C929">
        <f>IF($E929="","",INDEX('Input Transaksi'!$E:$E,$E929))</f>
        <v/>
      </c>
      <c r="D929" s="5">
        <f>IF($E929="","",INDEX('Input Transaksi'!$F:$F,$E929))</f>
        <v/>
      </c>
      <c r="E929">
        <f>IFERROR(AGGREGATE(15,6,ROW('Input Transaksi'!$B$5:$B$5000)/('Input Transaksi'!$B$5:$B$5000="JCL SESETAN"),ROWS($E$5:E929)),"")</f>
        <v/>
      </c>
      <c r="F929" s="5" t="n"/>
    </row>
    <row r="930">
      <c r="A930" s="10">
        <f>IF($E930="","",INDEX('Input Transaksi'!$A:$A,$E930))</f>
        <v/>
      </c>
      <c r="B930" s="5">
        <f>IF($E930="","",INDEX('Input Transaksi'!$D:$D,$E930))</f>
        <v/>
      </c>
      <c r="C930">
        <f>IF($E930="","",INDEX('Input Transaksi'!$E:$E,$E930))</f>
        <v/>
      </c>
      <c r="D930" s="5">
        <f>IF($E930="","",INDEX('Input Transaksi'!$F:$F,$E930))</f>
        <v/>
      </c>
      <c r="E930">
        <f>IFERROR(AGGREGATE(15,6,ROW('Input Transaksi'!$B$5:$B$5000)/('Input Transaksi'!$B$5:$B$5000="JCL SESETAN"),ROWS($E$5:E930)),"")</f>
        <v/>
      </c>
      <c r="F930" s="5" t="n"/>
    </row>
    <row r="931">
      <c r="A931" s="10">
        <f>IF($E931="","",INDEX('Input Transaksi'!$A:$A,$E931))</f>
        <v/>
      </c>
      <c r="B931" s="5">
        <f>IF($E931="","",INDEX('Input Transaksi'!$D:$D,$E931))</f>
        <v/>
      </c>
      <c r="C931">
        <f>IF($E931="","",INDEX('Input Transaksi'!$E:$E,$E931))</f>
        <v/>
      </c>
      <c r="D931" s="5">
        <f>IF($E931="","",INDEX('Input Transaksi'!$F:$F,$E931))</f>
        <v/>
      </c>
      <c r="E931">
        <f>IFERROR(AGGREGATE(15,6,ROW('Input Transaksi'!$B$5:$B$5000)/('Input Transaksi'!$B$5:$B$5000="JCL SESETAN"),ROWS($E$5:E931)),"")</f>
        <v/>
      </c>
      <c r="F931" s="5" t="n"/>
    </row>
    <row r="932">
      <c r="A932" s="10">
        <f>IF($E932="","",INDEX('Input Transaksi'!$A:$A,$E932))</f>
        <v/>
      </c>
      <c r="B932" s="5">
        <f>IF($E932="","",INDEX('Input Transaksi'!$D:$D,$E932))</f>
        <v/>
      </c>
      <c r="C932">
        <f>IF($E932="","",INDEX('Input Transaksi'!$E:$E,$E932))</f>
        <v/>
      </c>
      <c r="D932" s="5">
        <f>IF($E932="","",INDEX('Input Transaksi'!$F:$F,$E932))</f>
        <v/>
      </c>
      <c r="E932">
        <f>IFERROR(AGGREGATE(15,6,ROW('Input Transaksi'!$B$5:$B$5000)/('Input Transaksi'!$B$5:$B$5000="JCL SESETAN"),ROWS($E$5:E932)),"")</f>
        <v/>
      </c>
      <c r="F932" s="5" t="n"/>
    </row>
    <row r="933">
      <c r="A933" s="10">
        <f>IF($E933="","",INDEX('Input Transaksi'!$A:$A,$E933))</f>
        <v/>
      </c>
      <c r="B933" s="5">
        <f>IF($E933="","",INDEX('Input Transaksi'!$D:$D,$E933))</f>
        <v/>
      </c>
      <c r="C933">
        <f>IF($E933="","",INDEX('Input Transaksi'!$E:$E,$E933))</f>
        <v/>
      </c>
      <c r="D933" s="5">
        <f>IF($E933="","",INDEX('Input Transaksi'!$F:$F,$E933))</f>
        <v/>
      </c>
      <c r="E933">
        <f>IFERROR(AGGREGATE(15,6,ROW('Input Transaksi'!$B$5:$B$5000)/('Input Transaksi'!$B$5:$B$5000="JCL SESETAN"),ROWS($E$5:E933)),"")</f>
        <v/>
      </c>
      <c r="F933" s="5" t="n"/>
    </row>
    <row r="934">
      <c r="A934" s="10">
        <f>IF($E934="","",INDEX('Input Transaksi'!$A:$A,$E934))</f>
        <v/>
      </c>
      <c r="B934" s="5">
        <f>IF($E934="","",INDEX('Input Transaksi'!$D:$D,$E934))</f>
        <v/>
      </c>
      <c r="C934">
        <f>IF($E934="","",INDEX('Input Transaksi'!$E:$E,$E934))</f>
        <v/>
      </c>
      <c r="D934" s="5">
        <f>IF($E934="","",INDEX('Input Transaksi'!$F:$F,$E934))</f>
        <v/>
      </c>
      <c r="E934">
        <f>IFERROR(AGGREGATE(15,6,ROW('Input Transaksi'!$B$5:$B$5000)/('Input Transaksi'!$B$5:$B$5000="JCL SESETAN"),ROWS($E$5:E934)),"")</f>
        <v/>
      </c>
      <c r="F934" s="5" t="n"/>
    </row>
    <row r="935">
      <c r="A935" s="10">
        <f>IF($E935="","",INDEX('Input Transaksi'!$A:$A,$E935))</f>
        <v/>
      </c>
      <c r="B935" s="5">
        <f>IF($E935="","",INDEX('Input Transaksi'!$D:$D,$E935))</f>
        <v/>
      </c>
      <c r="C935">
        <f>IF($E935="","",INDEX('Input Transaksi'!$E:$E,$E935))</f>
        <v/>
      </c>
      <c r="D935" s="5">
        <f>IF($E935="","",INDEX('Input Transaksi'!$F:$F,$E935))</f>
        <v/>
      </c>
      <c r="E935">
        <f>IFERROR(AGGREGATE(15,6,ROW('Input Transaksi'!$B$5:$B$5000)/('Input Transaksi'!$B$5:$B$5000="JCL SESETAN"),ROWS($E$5:E935)),"")</f>
        <v/>
      </c>
      <c r="F935" s="5" t="n"/>
    </row>
    <row r="936">
      <c r="A936" s="10">
        <f>IF($E936="","",INDEX('Input Transaksi'!$A:$A,$E936))</f>
        <v/>
      </c>
      <c r="B936" s="5">
        <f>IF($E936="","",INDEX('Input Transaksi'!$D:$D,$E936))</f>
        <v/>
      </c>
      <c r="C936">
        <f>IF($E936="","",INDEX('Input Transaksi'!$E:$E,$E936))</f>
        <v/>
      </c>
      <c r="D936" s="5">
        <f>IF($E936="","",INDEX('Input Transaksi'!$F:$F,$E936))</f>
        <v/>
      </c>
      <c r="E936">
        <f>IFERROR(AGGREGATE(15,6,ROW('Input Transaksi'!$B$5:$B$5000)/('Input Transaksi'!$B$5:$B$5000="JCL SESETAN"),ROWS($E$5:E936)),"")</f>
        <v/>
      </c>
      <c r="F936" s="5" t="n"/>
    </row>
    <row r="937">
      <c r="A937" s="10">
        <f>IF($E937="","",INDEX('Input Transaksi'!$A:$A,$E937))</f>
        <v/>
      </c>
      <c r="B937" s="5">
        <f>IF($E937="","",INDEX('Input Transaksi'!$D:$D,$E937))</f>
        <v/>
      </c>
      <c r="C937">
        <f>IF($E937="","",INDEX('Input Transaksi'!$E:$E,$E937))</f>
        <v/>
      </c>
      <c r="D937" s="5">
        <f>IF($E937="","",INDEX('Input Transaksi'!$F:$F,$E937))</f>
        <v/>
      </c>
      <c r="E937">
        <f>IFERROR(AGGREGATE(15,6,ROW('Input Transaksi'!$B$5:$B$5000)/('Input Transaksi'!$B$5:$B$5000="JCL SESETAN"),ROWS($E$5:E937)),"")</f>
        <v/>
      </c>
      <c r="F937" s="5" t="n"/>
    </row>
    <row r="938">
      <c r="A938" s="10">
        <f>IF($E938="","",INDEX('Input Transaksi'!$A:$A,$E938))</f>
        <v/>
      </c>
      <c r="B938" s="5">
        <f>IF($E938="","",INDEX('Input Transaksi'!$D:$D,$E938))</f>
        <v/>
      </c>
      <c r="C938">
        <f>IF($E938="","",INDEX('Input Transaksi'!$E:$E,$E938))</f>
        <v/>
      </c>
      <c r="D938" s="5">
        <f>IF($E938="","",INDEX('Input Transaksi'!$F:$F,$E938))</f>
        <v/>
      </c>
      <c r="E938">
        <f>IFERROR(AGGREGATE(15,6,ROW('Input Transaksi'!$B$5:$B$5000)/('Input Transaksi'!$B$5:$B$5000="JCL SESETAN"),ROWS($E$5:E938)),"")</f>
        <v/>
      </c>
      <c r="F938" s="5" t="n"/>
    </row>
    <row r="939">
      <c r="A939" s="10">
        <f>IF($E939="","",INDEX('Input Transaksi'!$A:$A,$E939))</f>
        <v/>
      </c>
      <c r="B939" s="5">
        <f>IF($E939="","",INDEX('Input Transaksi'!$D:$D,$E939))</f>
        <v/>
      </c>
      <c r="C939">
        <f>IF($E939="","",INDEX('Input Transaksi'!$E:$E,$E939))</f>
        <v/>
      </c>
      <c r="D939" s="5">
        <f>IF($E939="","",INDEX('Input Transaksi'!$F:$F,$E939))</f>
        <v/>
      </c>
      <c r="E939">
        <f>IFERROR(AGGREGATE(15,6,ROW('Input Transaksi'!$B$5:$B$5000)/('Input Transaksi'!$B$5:$B$5000="JCL SESETAN"),ROWS($E$5:E939)),"")</f>
        <v/>
      </c>
      <c r="F939" s="5" t="n"/>
    </row>
    <row r="940">
      <c r="A940" s="10">
        <f>IF($E940="","",INDEX('Input Transaksi'!$A:$A,$E940))</f>
        <v/>
      </c>
      <c r="B940" s="5">
        <f>IF($E940="","",INDEX('Input Transaksi'!$D:$D,$E940))</f>
        <v/>
      </c>
      <c r="C940">
        <f>IF($E940="","",INDEX('Input Transaksi'!$E:$E,$E940))</f>
        <v/>
      </c>
      <c r="D940" s="5">
        <f>IF($E940="","",INDEX('Input Transaksi'!$F:$F,$E940))</f>
        <v/>
      </c>
      <c r="E940">
        <f>IFERROR(AGGREGATE(15,6,ROW('Input Transaksi'!$B$5:$B$5000)/('Input Transaksi'!$B$5:$B$5000="JCL SESETAN"),ROWS($E$5:E940)),"")</f>
        <v/>
      </c>
      <c r="F940" s="5" t="n"/>
    </row>
    <row r="941">
      <c r="A941" s="10">
        <f>IF($E941="","",INDEX('Input Transaksi'!$A:$A,$E941))</f>
        <v/>
      </c>
      <c r="B941" s="5">
        <f>IF($E941="","",INDEX('Input Transaksi'!$D:$D,$E941))</f>
        <v/>
      </c>
      <c r="C941">
        <f>IF($E941="","",INDEX('Input Transaksi'!$E:$E,$E941))</f>
        <v/>
      </c>
      <c r="D941" s="5">
        <f>IF($E941="","",INDEX('Input Transaksi'!$F:$F,$E941))</f>
        <v/>
      </c>
      <c r="E941">
        <f>IFERROR(AGGREGATE(15,6,ROW('Input Transaksi'!$B$5:$B$5000)/('Input Transaksi'!$B$5:$B$5000="JCL SESETAN"),ROWS($E$5:E941)),"")</f>
        <v/>
      </c>
      <c r="F941" s="5" t="n"/>
    </row>
    <row r="942">
      <c r="A942" s="10">
        <f>IF($E942="","",INDEX('Input Transaksi'!$A:$A,$E942))</f>
        <v/>
      </c>
      <c r="B942" s="5">
        <f>IF($E942="","",INDEX('Input Transaksi'!$D:$D,$E942))</f>
        <v/>
      </c>
      <c r="C942">
        <f>IF($E942="","",INDEX('Input Transaksi'!$E:$E,$E942))</f>
        <v/>
      </c>
      <c r="D942" s="5">
        <f>IF($E942="","",INDEX('Input Transaksi'!$F:$F,$E942))</f>
        <v/>
      </c>
      <c r="E942">
        <f>IFERROR(AGGREGATE(15,6,ROW('Input Transaksi'!$B$5:$B$5000)/('Input Transaksi'!$B$5:$B$5000="JCL SESETAN"),ROWS($E$5:E942)),"")</f>
        <v/>
      </c>
      <c r="F942" s="5" t="n"/>
    </row>
    <row r="943">
      <c r="A943" s="10">
        <f>IF($E943="","",INDEX('Input Transaksi'!$A:$A,$E943))</f>
        <v/>
      </c>
      <c r="B943" s="5">
        <f>IF($E943="","",INDEX('Input Transaksi'!$D:$D,$E943))</f>
        <v/>
      </c>
      <c r="C943">
        <f>IF($E943="","",INDEX('Input Transaksi'!$E:$E,$E943))</f>
        <v/>
      </c>
      <c r="D943" s="5">
        <f>IF($E943="","",INDEX('Input Transaksi'!$F:$F,$E943))</f>
        <v/>
      </c>
      <c r="E943">
        <f>IFERROR(AGGREGATE(15,6,ROW('Input Transaksi'!$B$5:$B$5000)/('Input Transaksi'!$B$5:$B$5000="JCL SESETAN"),ROWS($E$5:E943)),"")</f>
        <v/>
      </c>
      <c r="F943" s="5" t="n"/>
    </row>
    <row r="944">
      <c r="A944" s="10">
        <f>IF($E944="","",INDEX('Input Transaksi'!$A:$A,$E944))</f>
        <v/>
      </c>
      <c r="B944" s="5">
        <f>IF($E944="","",INDEX('Input Transaksi'!$D:$D,$E944))</f>
        <v/>
      </c>
      <c r="C944">
        <f>IF($E944="","",INDEX('Input Transaksi'!$E:$E,$E944))</f>
        <v/>
      </c>
      <c r="D944" s="5">
        <f>IF($E944="","",INDEX('Input Transaksi'!$F:$F,$E944))</f>
        <v/>
      </c>
      <c r="E944">
        <f>IFERROR(AGGREGATE(15,6,ROW('Input Transaksi'!$B$5:$B$5000)/('Input Transaksi'!$B$5:$B$5000="JCL SESETAN"),ROWS($E$5:E944)),"")</f>
        <v/>
      </c>
      <c r="F944" s="5" t="n"/>
    </row>
    <row r="945">
      <c r="A945" s="10">
        <f>IF($E945="","",INDEX('Input Transaksi'!$A:$A,$E945))</f>
        <v/>
      </c>
      <c r="B945" s="5">
        <f>IF($E945="","",INDEX('Input Transaksi'!$D:$D,$E945))</f>
        <v/>
      </c>
      <c r="C945">
        <f>IF($E945="","",INDEX('Input Transaksi'!$E:$E,$E945))</f>
        <v/>
      </c>
      <c r="D945" s="5">
        <f>IF($E945="","",INDEX('Input Transaksi'!$F:$F,$E945))</f>
        <v/>
      </c>
      <c r="E945">
        <f>IFERROR(AGGREGATE(15,6,ROW('Input Transaksi'!$B$5:$B$5000)/('Input Transaksi'!$B$5:$B$5000="JCL SESETAN"),ROWS($E$5:E945)),"")</f>
        <v/>
      </c>
      <c r="F945" s="5" t="n"/>
    </row>
    <row r="946">
      <c r="A946" s="10">
        <f>IF($E946="","",INDEX('Input Transaksi'!$A:$A,$E946))</f>
        <v/>
      </c>
      <c r="B946" s="5">
        <f>IF($E946="","",INDEX('Input Transaksi'!$D:$D,$E946))</f>
        <v/>
      </c>
      <c r="C946">
        <f>IF($E946="","",INDEX('Input Transaksi'!$E:$E,$E946))</f>
        <v/>
      </c>
      <c r="D946" s="5">
        <f>IF($E946="","",INDEX('Input Transaksi'!$F:$F,$E946))</f>
        <v/>
      </c>
      <c r="E946">
        <f>IFERROR(AGGREGATE(15,6,ROW('Input Transaksi'!$B$5:$B$5000)/('Input Transaksi'!$B$5:$B$5000="JCL SESETAN"),ROWS($E$5:E946)),"")</f>
        <v/>
      </c>
      <c r="F946" s="5" t="n"/>
    </row>
    <row r="947">
      <c r="A947" s="10">
        <f>IF($E947="","",INDEX('Input Transaksi'!$A:$A,$E947))</f>
        <v/>
      </c>
      <c r="B947" s="5">
        <f>IF($E947="","",INDEX('Input Transaksi'!$D:$D,$E947))</f>
        <v/>
      </c>
      <c r="C947">
        <f>IF($E947="","",INDEX('Input Transaksi'!$E:$E,$E947))</f>
        <v/>
      </c>
      <c r="D947" s="5">
        <f>IF($E947="","",INDEX('Input Transaksi'!$F:$F,$E947))</f>
        <v/>
      </c>
      <c r="E947">
        <f>IFERROR(AGGREGATE(15,6,ROW('Input Transaksi'!$B$5:$B$5000)/('Input Transaksi'!$B$5:$B$5000="JCL SESETAN"),ROWS($E$5:E947)),"")</f>
        <v/>
      </c>
      <c r="F947" s="5" t="n"/>
    </row>
    <row r="948">
      <c r="A948" s="10">
        <f>IF($E948="","",INDEX('Input Transaksi'!$A:$A,$E948))</f>
        <v/>
      </c>
      <c r="B948" s="5">
        <f>IF($E948="","",INDEX('Input Transaksi'!$D:$D,$E948))</f>
        <v/>
      </c>
      <c r="C948">
        <f>IF($E948="","",INDEX('Input Transaksi'!$E:$E,$E948))</f>
        <v/>
      </c>
      <c r="D948" s="5">
        <f>IF($E948="","",INDEX('Input Transaksi'!$F:$F,$E948))</f>
        <v/>
      </c>
      <c r="E948">
        <f>IFERROR(AGGREGATE(15,6,ROW('Input Transaksi'!$B$5:$B$5000)/('Input Transaksi'!$B$5:$B$5000="JCL SESETAN"),ROWS($E$5:E948)),"")</f>
        <v/>
      </c>
      <c r="F948" s="5" t="n"/>
    </row>
    <row r="949">
      <c r="A949" s="10">
        <f>IF($E949="","",INDEX('Input Transaksi'!$A:$A,$E949))</f>
        <v/>
      </c>
      <c r="B949" s="5">
        <f>IF($E949="","",INDEX('Input Transaksi'!$D:$D,$E949))</f>
        <v/>
      </c>
      <c r="C949">
        <f>IF($E949="","",INDEX('Input Transaksi'!$E:$E,$E949))</f>
        <v/>
      </c>
      <c r="D949" s="5">
        <f>IF($E949="","",INDEX('Input Transaksi'!$F:$F,$E949))</f>
        <v/>
      </c>
      <c r="E949">
        <f>IFERROR(AGGREGATE(15,6,ROW('Input Transaksi'!$B$5:$B$5000)/('Input Transaksi'!$B$5:$B$5000="JCL SESETAN"),ROWS($E$5:E949)),"")</f>
        <v/>
      </c>
      <c r="F949" s="5" t="n"/>
    </row>
    <row r="950">
      <c r="A950" s="10">
        <f>IF($E950="","",INDEX('Input Transaksi'!$A:$A,$E950))</f>
        <v/>
      </c>
      <c r="B950" s="5">
        <f>IF($E950="","",INDEX('Input Transaksi'!$D:$D,$E950))</f>
        <v/>
      </c>
      <c r="C950">
        <f>IF($E950="","",INDEX('Input Transaksi'!$E:$E,$E950))</f>
        <v/>
      </c>
      <c r="D950" s="5">
        <f>IF($E950="","",INDEX('Input Transaksi'!$F:$F,$E950))</f>
        <v/>
      </c>
      <c r="E950">
        <f>IFERROR(AGGREGATE(15,6,ROW('Input Transaksi'!$B$5:$B$5000)/('Input Transaksi'!$B$5:$B$5000="JCL SESETAN"),ROWS($E$5:E950)),"")</f>
        <v/>
      </c>
      <c r="F950" s="5" t="n"/>
    </row>
    <row r="951">
      <c r="A951" s="10">
        <f>IF($E951="","",INDEX('Input Transaksi'!$A:$A,$E951))</f>
        <v/>
      </c>
      <c r="B951" s="5">
        <f>IF($E951="","",INDEX('Input Transaksi'!$D:$D,$E951))</f>
        <v/>
      </c>
      <c r="C951">
        <f>IF($E951="","",INDEX('Input Transaksi'!$E:$E,$E951))</f>
        <v/>
      </c>
      <c r="D951" s="5">
        <f>IF($E951="","",INDEX('Input Transaksi'!$F:$F,$E951))</f>
        <v/>
      </c>
      <c r="E951">
        <f>IFERROR(AGGREGATE(15,6,ROW('Input Transaksi'!$B$5:$B$5000)/('Input Transaksi'!$B$5:$B$5000="JCL SESETAN"),ROWS($E$5:E951)),"")</f>
        <v/>
      </c>
      <c r="F951" s="5" t="n"/>
    </row>
    <row r="952">
      <c r="A952" s="10">
        <f>IF($E952="","",INDEX('Input Transaksi'!$A:$A,$E952))</f>
        <v/>
      </c>
      <c r="B952" s="5">
        <f>IF($E952="","",INDEX('Input Transaksi'!$D:$D,$E952))</f>
        <v/>
      </c>
      <c r="C952">
        <f>IF($E952="","",INDEX('Input Transaksi'!$E:$E,$E952))</f>
        <v/>
      </c>
      <c r="D952" s="5">
        <f>IF($E952="","",INDEX('Input Transaksi'!$F:$F,$E952))</f>
        <v/>
      </c>
      <c r="E952">
        <f>IFERROR(AGGREGATE(15,6,ROW('Input Transaksi'!$B$5:$B$5000)/('Input Transaksi'!$B$5:$B$5000="JCL SESETAN"),ROWS($E$5:E952)),"")</f>
        <v/>
      </c>
      <c r="F952" s="5" t="n"/>
    </row>
    <row r="953">
      <c r="A953" s="10">
        <f>IF($E953="","",INDEX('Input Transaksi'!$A:$A,$E953))</f>
        <v/>
      </c>
      <c r="B953" s="5">
        <f>IF($E953="","",INDEX('Input Transaksi'!$D:$D,$E953))</f>
        <v/>
      </c>
      <c r="C953">
        <f>IF($E953="","",INDEX('Input Transaksi'!$E:$E,$E953))</f>
        <v/>
      </c>
      <c r="D953" s="5">
        <f>IF($E953="","",INDEX('Input Transaksi'!$F:$F,$E953))</f>
        <v/>
      </c>
      <c r="E953">
        <f>IFERROR(AGGREGATE(15,6,ROW('Input Transaksi'!$B$5:$B$5000)/('Input Transaksi'!$B$5:$B$5000="JCL SESETAN"),ROWS($E$5:E953)),"")</f>
        <v/>
      </c>
      <c r="F953" s="5" t="n"/>
    </row>
    <row r="954">
      <c r="A954" s="10">
        <f>IF($E954="","",INDEX('Input Transaksi'!$A:$A,$E954))</f>
        <v/>
      </c>
      <c r="B954" s="5">
        <f>IF($E954="","",INDEX('Input Transaksi'!$D:$D,$E954))</f>
        <v/>
      </c>
      <c r="C954">
        <f>IF($E954="","",INDEX('Input Transaksi'!$E:$E,$E954))</f>
        <v/>
      </c>
      <c r="D954" s="5">
        <f>IF($E954="","",INDEX('Input Transaksi'!$F:$F,$E954))</f>
        <v/>
      </c>
      <c r="E954">
        <f>IFERROR(AGGREGATE(15,6,ROW('Input Transaksi'!$B$5:$B$5000)/('Input Transaksi'!$B$5:$B$5000="JCL SESETAN"),ROWS($E$5:E954)),"")</f>
        <v/>
      </c>
      <c r="F954" s="5" t="n"/>
    </row>
    <row r="955">
      <c r="A955" s="10">
        <f>IF($E955="","",INDEX('Input Transaksi'!$A:$A,$E955))</f>
        <v/>
      </c>
      <c r="B955" s="5">
        <f>IF($E955="","",INDEX('Input Transaksi'!$D:$D,$E955))</f>
        <v/>
      </c>
      <c r="C955">
        <f>IF($E955="","",INDEX('Input Transaksi'!$E:$E,$E955))</f>
        <v/>
      </c>
      <c r="D955" s="5">
        <f>IF($E955="","",INDEX('Input Transaksi'!$F:$F,$E955))</f>
        <v/>
      </c>
      <c r="E955">
        <f>IFERROR(AGGREGATE(15,6,ROW('Input Transaksi'!$B$5:$B$5000)/('Input Transaksi'!$B$5:$B$5000="JCL SESETAN"),ROWS($E$5:E955)),"")</f>
        <v/>
      </c>
      <c r="F955" s="5" t="n"/>
    </row>
    <row r="956">
      <c r="A956" s="10">
        <f>IF($E956="","",INDEX('Input Transaksi'!$A:$A,$E956))</f>
        <v/>
      </c>
      <c r="B956" s="5">
        <f>IF($E956="","",INDEX('Input Transaksi'!$D:$D,$E956))</f>
        <v/>
      </c>
      <c r="C956">
        <f>IF($E956="","",INDEX('Input Transaksi'!$E:$E,$E956))</f>
        <v/>
      </c>
      <c r="D956" s="5">
        <f>IF($E956="","",INDEX('Input Transaksi'!$F:$F,$E956))</f>
        <v/>
      </c>
      <c r="E956">
        <f>IFERROR(AGGREGATE(15,6,ROW('Input Transaksi'!$B$5:$B$5000)/('Input Transaksi'!$B$5:$B$5000="JCL SESETAN"),ROWS($E$5:E956)),"")</f>
        <v/>
      </c>
      <c r="F956" s="5" t="n"/>
    </row>
    <row r="957">
      <c r="A957" s="10">
        <f>IF($E957="","",INDEX('Input Transaksi'!$A:$A,$E957))</f>
        <v/>
      </c>
      <c r="B957" s="5">
        <f>IF($E957="","",INDEX('Input Transaksi'!$D:$D,$E957))</f>
        <v/>
      </c>
      <c r="C957">
        <f>IF($E957="","",INDEX('Input Transaksi'!$E:$E,$E957))</f>
        <v/>
      </c>
      <c r="D957" s="5">
        <f>IF($E957="","",INDEX('Input Transaksi'!$F:$F,$E957))</f>
        <v/>
      </c>
      <c r="E957">
        <f>IFERROR(AGGREGATE(15,6,ROW('Input Transaksi'!$B$5:$B$5000)/('Input Transaksi'!$B$5:$B$5000="JCL SESETAN"),ROWS($E$5:E957)),"")</f>
        <v/>
      </c>
      <c r="F957" s="5" t="n"/>
    </row>
    <row r="958">
      <c r="A958" s="10">
        <f>IF($E958="","",INDEX('Input Transaksi'!$A:$A,$E958))</f>
        <v/>
      </c>
      <c r="B958" s="5">
        <f>IF($E958="","",INDEX('Input Transaksi'!$D:$D,$E958))</f>
        <v/>
      </c>
      <c r="C958">
        <f>IF($E958="","",INDEX('Input Transaksi'!$E:$E,$E958))</f>
        <v/>
      </c>
      <c r="D958" s="5">
        <f>IF($E958="","",INDEX('Input Transaksi'!$F:$F,$E958))</f>
        <v/>
      </c>
      <c r="E958">
        <f>IFERROR(AGGREGATE(15,6,ROW('Input Transaksi'!$B$5:$B$5000)/('Input Transaksi'!$B$5:$B$5000="JCL SESETAN"),ROWS($E$5:E958)),"")</f>
        <v/>
      </c>
      <c r="F958" s="5" t="n"/>
    </row>
    <row r="959">
      <c r="A959" s="10">
        <f>IF($E959="","",INDEX('Input Transaksi'!$A:$A,$E959))</f>
        <v/>
      </c>
      <c r="B959" s="5">
        <f>IF($E959="","",INDEX('Input Transaksi'!$D:$D,$E959))</f>
        <v/>
      </c>
      <c r="C959">
        <f>IF($E959="","",INDEX('Input Transaksi'!$E:$E,$E959))</f>
        <v/>
      </c>
      <c r="D959" s="5">
        <f>IF($E959="","",INDEX('Input Transaksi'!$F:$F,$E959))</f>
        <v/>
      </c>
      <c r="E959">
        <f>IFERROR(AGGREGATE(15,6,ROW('Input Transaksi'!$B$5:$B$5000)/('Input Transaksi'!$B$5:$B$5000="JCL SESETAN"),ROWS($E$5:E959)),"")</f>
        <v/>
      </c>
      <c r="F959" s="5" t="n"/>
    </row>
    <row r="960">
      <c r="A960" s="10">
        <f>IF($E960="","",INDEX('Input Transaksi'!$A:$A,$E960))</f>
        <v/>
      </c>
      <c r="B960" s="5">
        <f>IF($E960="","",INDEX('Input Transaksi'!$D:$D,$E960))</f>
        <v/>
      </c>
      <c r="C960">
        <f>IF($E960="","",INDEX('Input Transaksi'!$E:$E,$E960))</f>
        <v/>
      </c>
      <c r="D960" s="5">
        <f>IF($E960="","",INDEX('Input Transaksi'!$F:$F,$E960))</f>
        <v/>
      </c>
      <c r="E960">
        <f>IFERROR(AGGREGATE(15,6,ROW('Input Transaksi'!$B$5:$B$5000)/('Input Transaksi'!$B$5:$B$5000="JCL SESETAN"),ROWS($E$5:E960)),"")</f>
        <v/>
      </c>
      <c r="F960" s="5" t="n"/>
    </row>
    <row r="961">
      <c r="A961" s="10">
        <f>IF($E961="","",INDEX('Input Transaksi'!$A:$A,$E961))</f>
        <v/>
      </c>
      <c r="B961" s="5">
        <f>IF($E961="","",INDEX('Input Transaksi'!$D:$D,$E961))</f>
        <v/>
      </c>
      <c r="C961">
        <f>IF($E961="","",INDEX('Input Transaksi'!$E:$E,$E961))</f>
        <v/>
      </c>
      <c r="D961" s="5">
        <f>IF($E961="","",INDEX('Input Transaksi'!$F:$F,$E961))</f>
        <v/>
      </c>
      <c r="E961">
        <f>IFERROR(AGGREGATE(15,6,ROW('Input Transaksi'!$B$5:$B$5000)/('Input Transaksi'!$B$5:$B$5000="JCL SESETAN"),ROWS($E$5:E961)),"")</f>
        <v/>
      </c>
      <c r="F961" s="5" t="n"/>
    </row>
    <row r="962">
      <c r="A962" s="10">
        <f>IF($E962="","",INDEX('Input Transaksi'!$A:$A,$E962))</f>
        <v/>
      </c>
      <c r="B962" s="5">
        <f>IF($E962="","",INDEX('Input Transaksi'!$D:$D,$E962))</f>
        <v/>
      </c>
      <c r="C962">
        <f>IF($E962="","",INDEX('Input Transaksi'!$E:$E,$E962))</f>
        <v/>
      </c>
      <c r="D962" s="5">
        <f>IF($E962="","",INDEX('Input Transaksi'!$F:$F,$E962))</f>
        <v/>
      </c>
      <c r="E962">
        <f>IFERROR(AGGREGATE(15,6,ROW('Input Transaksi'!$B$5:$B$5000)/('Input Transaksi'!$B$5:$B$5000="JCL SESETAN"),ROWS($E$5:E962)),"")</f>
        <v/>
      </c>
      <c r="F962" s="5" t="n"/>
    </row>
    <row r="963">
      <c r="A963" s="10">
        <f>IF($E963="","",INDEX('Input Transaksi'!$A:$A,$E963))</f>
        <v/>
      </c>
      <c r="B963" s="5">
        <f>IF($E963="","",INDEX('Input Transaksi'!$D:$D,$E963))</f>
        <v/>
      </c>
      <c r="C963">
        <f>IF($E963="","",INDEX('Input Transaksi'!$E:$E,$E963))</f>
        <v/>
      </c>
      <c r="D963" s="5">
        <f>IF($E963="","",INDEX('Input Transaksi'!$F:$F,$E963))</f>
        <v/>
      </c>
      <c r="E963">
        <f>IFERROR(AGGREGATE(15,6,ROW('Input Transaksi'!$B$5:$B$5000)/('Input Transaksi'!$B$5:$B$5000="JCL SESETAN"),ROWS($E$5:E963)),"")</f>
        <v/>
      </c>
      <c r="F963" s="5" t="n"/>
    </row>
    <row r="964">
      <c r="A964" s="10">
        <f>IF($E964="","",INDEX('Input Transaksi'!$A:$A,$E964))</f>
        <v/>
      </c>
      <c r="B964" s="5">
        <f>IF($E964="","",INDEX('Input Transaksi'!$D:$D,$E964))</f>
        <v/>
      </c>
      <c r="C964">
        <f>IF($E964="","",INDEX('Input Transaksi'!$E:$E,$E964))</f>
        <v/>
      </c>
      <c r="D964" s="5">
        <f>IF($E964="","",INDEX('Input Transaksi'!$F:$F,$E964))</f>
        <v/>
      </c>
      <c r="E964">
        <f>IFERROR(AGGREGATE(15,6,ROW('Input Transaksi'!$B$5:$B$5000)/('Input Transaksi'!$B$5:$B$5000="JCL SESETAN"),ROWS($E$5:E964)),"")</f>
        <v/>
      </c>
      <c r="F964" s="5" t="n"/>
    </row>
    <row r="965">
      <c r="A965" s="10">
        <f>IF($E965="","",INDEX('Input Transaksi'!$A:$A,$E965))</f>
        <v/>
      </c>
      <c r="B965" s="5">
        <f>IF($E965="","",INDEX('Input Transaksi'!$D:$D,$E965))</f>
        <v/>
      </c>
      <c r="C965">
        <f>IF($E965="","",INDEX('Input Transaksi'!$E:$E,$E965))</f>
        <v/>
      </c>
      <c r="D965" s="5">
        <f>IF($E965="","",INDEX('Input Transaksi'!$F:$F,$E965))</f>
        <v/>
      </c>
      <c r="E965">
        <f>IFERROR(AGGREGATE(15,6,ROW('Input Transaksi'!$B$5:$B$5000)/('Input Transaksi'!$B$5:$B$5000="JCL SESETAN"),ROWS($E$5:E965)),"")</f>
        <v/>
      </c>
      <c r="F965" s="5" t="n"/>
    </row>
    <row r="966">
      <c r="A966" s="10">
        <f>IF($E966="","",INDEX('Input Transaksi'!$A:$A,$E966))</f>
        <v/>
      </c>
      <c r="B966" s="5">
        <f>IF($E966="","",INDEX('Input Transaksi'!$D:$D,$E966))</f>
        <v/>
      </c>
      <c r="C966">
        <f>IF($E966="","",INDEX('Input Transaksi'!$E:$E,$E966))</f>
        <v/>
      </c>
      <c r="D966" s="5">
        <f>IF($E966="","",INDEX('Input Transaksi'!$F:$F,$E966))</f>
        <v/>
      </c>
      <c r="E966">
        <f>IFERROR(AGGREGATE(15,6,ROW('Input Transaksi'!$B$5:$B$5000)/('Input Transaksi'!$B$5:$B$5000="JCL SESETAN"),ROWS($E$5:E966)),"")</f>
        <v/>
      </c>
      <c r="F966" s="5" t="n"/>
    </row>
    <row r="967">
      <c r="A967" s="10">
        <f>IF($E967="","",INDEX('Input Transaksi'!$A:$A,$E967))</f>
        <v/>
      </c>
      <c r="B967" s="5">
        <f>IF($E967="","",INDEX('Input Transaksi'!$D:$D,$E967))</f>
        <v/>
      </c>
      <c r="C967">
        <f>IF($E967="","",INDEX('Input Transaksi'!$E:$E,$E967))</f>
        <v/>
      </c>
      <c r="D967" s="5">
        <f>IF($E967="","",INDEX('Input Transaksi'!$F:$F,$E967))</f>
        <v/>
      </c>
      <c r="E967">
        <f>IFERROR(AGGREGATE(15,6,ROW('Input Transaksi'!$B$5:$B$5000)/('Input Transaksi'!$B$5:$B$5000="JCL SESETAN"),ROWS($E$5:E967)),"")</f>
        <v/>
      </c>
      <c r="F967" s="5" t="n"/>
    </row>
    <row r="968">
      <c r="A968" s="10">
        <f>IF($E968="","",INDEX('Input Transaksi'!$A:$A,$E968))</f>
        <v/>
      </c>
      <c r="B968" s="5">
        <f>IF($E968="","",INDEX('Input Transaksi'!$D:$D,$E968))</f>
        <v/>
      </c>
      <c r="C968">
        <f>IF($E968="","",INDEX('Input Transaksi'!$E:$E,$E968))</f>
        <v/>
      </c>
      <c r="D968" s="5">
        <f>IF($E968="","",INDEX('Input Transaksi'!$F:$F,$E968))</f>
        <v/>
      </c>
      <c r="E968">
        <f>IFERROR(AGGREGATE(15,6,ROW('Input Transaksi'!$B$5:$B$5000)/('Input Transaksi'!$B$5:$B$5000="JCL SESETAN"),ROWS($E$5:E968)),"")</f>
        <v/>
      </c>
      <c r="F968" s="5" t="n"/>
    </row>
    <row r="969">
      <c r="A969" s="10">
        <f>IF($E969="","",INDEX('Input Transaksi'!$A:$A,$E969))</f>
        <v/>
      </c>
      <c r="B969" s="5">
        <f>IF($E969="","",INDEX('Input Transaksi'!$D:$D,$E969))</f>
        <v/>
      </c>
      <c r="C969">
        <f>IF($E969="","",INDEX('Input Transaksi'!$E:$E,$E969))</f>
        <v/>
      </c>
      <c r="D969" s="5">
        <f>IF($E969="","",INDEX('Input Transaksi'!$F:$F,$E969))</f>
        <v/>
      </c>
      <c r="E969">
        <f>IFERROR(AGGREGATE(15,6,ROW('Input Transaksi'!$B$5:$B$5000)/('Input Transaksi'!$B$5:$B$5000="JCL SESETAN"),ROWS($E$5:E969)),"")</f>
        <v/>
      </c>
      <c r="F969" s="5" t="n"/>
    </row>
    <row r="970">
      <c r="A970" s="10">
        <f>IF($E970="","",INDEX('Input Transaksi'!$A:$A,$E970))</f>
        <v/>
      </c>
      <c r="B970" s="5">
        <f>IF($E970="","",INDEX('Input Transaksi'!$D:$D,$E970))</f>
        <v/>
      </c>
      <c r="C970">
        <f>IF($E970="","",INDEX('Input Transaksi'!$E:$E,$E970))</f>
        <v/>
      </c>
      <c r="D970" s="5">
        <f>IF($E970="","",INDEX('Input Transaksi'!$F:$F,$E970))</f>
        <v/>
      </c>
      <c r="E970">
        <f>IFERROR(AGGREGATE(15,6,ROW('Input Transaksi'!$B$5:$B$5000)/('Input Transaksi'!$B$5:$B$5000="JCL SESETAN"),ROWS($E$5:E970)),"")</f>
        <v/>
      </c>
      <c r="F970" s="5" t="n"/>
    </row>
    <row r="971">
      <c r="A971" s="10">
        <f>IF($E971="","",INDEX('Input Transaksi'!$A:$A,$E971))</f>
        <v/>
      </c>
      <c r="B971" s="5">
        <f>IF($E971="","",INDEX('Input Transaksi'!$D:$D,$E971))</f>
        <v/>
      </c>
      <c r="C971">
        <f>IF($E971="","",INDEX('Input Transaksi'!$E:$E,$E971))</f>
        <v/>
      </c>
      <c r="D971" s="5">
        <f>IF($E971="","",INDEX('Input Transaksi'!$F:$F,$E971))</f>
        <v/>
      </c>
      <c r="E971">
        <f>IFERROR(AGGREGATE(15,6,ROW('Input Transaksi'!$B$5:$B$5000)/('Input Transaksi'!$B$5:$B$5000="JCL SESETAN"),ROWS($E$5:E971)),"")</f>
        <v/>
      </c>
      <c r="F971" s="5" t="n"/>
    </row>
    <row r="972">
      <c r="A972" s="10">
        <f>IF($E972="","",INDEX('Input Transaksi'!$A:$A,$E972))</f>
        <v/>
      </c>
      <c r="B972" s="5">
        <f>IF($E972="","",INDEX('Input Transaksi'!$D:$D,$E972))</f>
        <v/>
      </c>
      <c r="C972">
        <f>IF($E972="","",INDEX('Input Transaksi'!$E:$E,$E972))</f>
        <v/>
      </c>
      <c r="D972" s="5">
        <f>IF($E972="","",INDEX('Input Transaksi'!$F:$F,$E972))</f>
        <v/>
      </c>
      <c r="E972">
        <f>IFERROR(AGGREGATE(15,6,ROW('Input Transaksi'!$B$5:$B$5000)/('Input Transaksi'!$B$5:$B$5000="JCL SESETAN"),ROWS($E$5:E972)),"")</f>
        <v/>
      </c>
      <c r="F972" s="5" t="n"/>
    </row>
    <row r="973">
      <c r="A973" s="10">
        <f>IF($E973="","",INDEX('Input Transaksi'!$A:$A,$E973))</f>
        <v/>
      </c>
      <c r="B973" s="5">
        <f>IF($E973="","",INDEX('Input Transaksi'!$D:$D,$E973))</f>
        <v/>
      </c>
      <c r="C973">
        <f>IF($E973="","",INDEX('Input Transaksi'!$E:$E,$E973))</f>
        <v/>
      </c>
      <c r="D973" s="5">
        <f>IF($E973="","",INDEX('Input Transaksi'!$F:$F,$E973))</f>
        <v/>
      </c>
      <c r="E973">
        <f>IFERROR(AGGREGATE(15,6,ROW('Input Transaksi'!$B$5:$B$5000)/('Input Transaksi'!$B$5:$B$5000="JCL SESETAN"),ROWS($E$5:E973)),"")</f>
        <v/>
      </c>
      <c r="F973" s="5" t="n"/>
    </row>
    <row r="974">
      <c r="A974" s="10">
        <f>IF($E974="","",INDEX('Input Transaksi'!$A:$A,$E974))</f>
        <v/>
      </c>
      <c r="B974" s="5">
        <f>IF($E974="","",INDEX('Input Transaksi'!$D:$D,$E974))</f>
        <v/>
      </c>
      <c r="C974">
        <f>IF($E974="","",INDEX('Input Transaksi'!$E:$E,$E974))</f>
        <v/>
      </c>
      <c r="D974" s="5">
        <f>IF($E974="","",INDEX('Input Transaksi'!$F:$F,$E974))</f>
        <v/>
      </c>
      <c r="E974">
        <f>IFERROR(AGGREGATE(15,6,ROW('Input Transaksi'!$B$5:$B$5000)/('Input Transaksi'!$B$5:$B$5000="JCL SESETAN"),ROWS($E$5:E974)),"")</f>
        <v/>
      </c>
      <c r="F974" s="5" t="n"/>
    </row>
    <row r="975">
      <c r="A975" s="10">
        <f>IF($E975="","",INDEX('Input Transaksi'!$A:$A,$E975))</f>
        <v/>
      </c>
      <c r="B975" s="5">
        <f>IF($E975="","",INDEX('Input Transaksi'!$D:$D,$E975))</f>
        <v/>
      </c>
      <c r="C975">
        <f>IF($E975="","",INDEX('Input Transaksi'!$E:$E,$E975))</f>
        <v/>
      </c>
      <c r="D975" s="5">
        <f>IF($E975="","",INDEX('Input Transaksi'!$F:$F,$E975))</f>
        <v/>
      </c>
      <c r="E975">
        <f>IFERROR(AGGREGATE(15,6,ROW('Input Transaksi'!$B$5:$B$5000)/('Input Transaksi'!$B$5:$B$5000="JCL SESETAN"),ROWS($E$5:E975)),"")</f>
        <v/>
      </c>
      <c r="F975" s="5" t="n"/>
    </row>
    <row r="976">
      <c r="A976" s="10">
        <f>IF($E976="","",INDEX('Input Transaksi'!$A:$A,$E976))</f>
        <v/>
      </c>
      <c r="B976" s="5">
        <f>IF($E976="","",INDEX('Input Transaksi'!$D:$D,$E976))</f>
        <v/>
      </c>
      <c r="C976">
        <f>IF($E976="","",INDEX('Input Transaksi'!$E:$E,$E976))</f>
        <v/>
      </c>
      <c r="D976" s="5">
        <f>IF($E976="","",INDEX('Input Transaksi'!$F:$F,$E976))</f>
        <v/>
      </c>
      <c r="E976">
        <f>IFERROR(AGGREGATE(15,6,ROW('Input Transaksi'!$B$5:$B$5000)/('Input Transaksi'!$B$5:$B$5000="JCL SESETAN"),ROWS($E$5:E976)),"")</f>
        <v/>
      </c>
      <c r="F976" s="5" t="n"/>
    </row>
    <row r="977">
      <c r="A977" s="10">
        <f>IF($E977="","",INDEX('Input Transaksi'!$A:$A,$E977))</f>
        <v/>
      </c>
      <c r="B977" s="5">
        <f>IF($E977="","",INDEX('Input Transaksi'!$D:$D,$E977))</f>
        <v/>
      </c>
      <c r="C977">
        <f>IF($E977="","",INDEX('Input Transaksi'!$E:$E,$E977))</f>
        <v/>
      </c>
      <c r="D977" s="5">
        <f>IF($E977="","",INDEX('Input Transaksi'!$F:$F,$E977))</f>
        <v/>
      </c>
      <c r="E977">
        <f>IFERROR(AGGREGATE(15,6,ROW('Input Transaksi'!$B$5:$B$5000)/('Input Transaksi'!$B$5:$B$5000="JCL SESETAN"),ROWS($E$5:E977)),"")</f>
        <v/>
      </c>
      <c r="F977" s="5" t="n"/>
    </row>
    <row r="978">
      <c r="A978" s="10">
        <f>IF($E978="","",INDEX('Input Transaksi'!$A:$A,$E978))</f>
        <v/>
      </c>
      <c r="B978" s="5">
        <f>IF($E978="","",INDEX('Input Transaksi'!$D:$D,$E978))</f>
        <v/>
      </c>
      <c r="C978">
        <f>IF($E978="","",INDEX('Input Transaksi'!$E:$E,$E978))</f>
        <v/>
      </c>
      <c r="D978" s="5">
        <f>IF($E978="","",INDEX('Input Transaksi'!$F:$F,$E978))</f>
        <v/>
      </c>
      <c r="E978">
        <f>IFERROR(AGGREGATE(15,6,ROW('Input Transaksi'!$B$5:$B$5000)/('Input Transaksi'!$B$5:$B$5000="JCL SESETAN"),ROWS($E$5:E978)),"")</f>
        <v/>
      </c>
      <c r="F978" s="5" t="n"/>
    </row>
    <row r="979">
      <c r="A979" s="10">
        <f>IF($E979="","",INDEX('Input Transaksi'!$A:$A,$E979))</f>
        <v/>
      </c>
      <c r="B979" s="5">
        <f>IF($E979="","",INDEX('Input Transaksi'!$D:$D,$E979))</f>
        <v/>
      </c>
      <c r="C979">
        <f>IF($E979="","",INDEX('Input Transaksi'!$E:$E,$E979))</f>
        <v/>
      </c>
      <c r="D979" s="5">
        <f>IF($E979="","",INDEX('Input Transaksi'!$F:$F,$E979))</f>
        <v/>
      </c>
      <c r="E979">
        <f>IFERROR(AGGREGATE(15,6,ROW('Input Transaksi'!$B$5:$B$5000)/('Input Transaksi'!$B$5:$B$5000="JCL SESETAN"),ROWS($E$5:E979)),"")</f>
        <v/>
      </c>
      <c r="F979" s="5" t="n"/>
    </row>
    <row r="980">
      <c r="A980" s="10">
        <f>IF($E980="","",INDEX('Input Transaksi'!$A:$A,$E980))</f>
        <v/>
      </c>
      <c r="B980" s="5">
        <f>IF($E980="","",INDEX('Input Transaksi'!$D:$D,$E980))</f>
        <v/>
      </c>
      <c r="C980">
        <f>IF($E980="","",INDEX('Input Transaksi'!$E:$E,$E980))</f>
        <v/>
      </c>
      <c r="D980" s="5">
        <f>IF($E980="","",INDEX('Input Transaksi'!$F:$F,$E980))</f>
        <v/>
      </c>
      <c r="E980">
        <f>IFERROR(AGGREGATE(15,6,ROW('Input Transaksi'!$B$5:$B$5000)/('Input Transaksi'!$B$5:$B$5000="JCL SESETAN"),ROWS($E$5:E980)),"")</f>
        <v/>
      </c>
      <c r="F980" s="5" t="n"/>
    </row>
    <row r="981">
      <c r="A981" s="10">
        <f>IF($E981="","",INDEX('Input Transaksi'!$A:$A,$E981))</f>
        <v/>
      </c>
      <c r="B981" s="5">
        <f>IF($E981="","",INDEX('Input Transaksi'!$D:$D,$E981))</f>
        <v/>
      </c>
      <c r="C981">
        <f>IF($E981="","",INDEX('Input Transaksi'!$E:$E,$E981))</f>
        <v/>
      </c>
      <c r="D981" s="5">
        <f>IF($E981="","",INDEX('Input Transaksi'!$F:$F,$E981))</f>
        <v/>
      </c>
      <c r="E981">
        <f>IFERROR(AGGREGATE(15,6,ROW('Input Transaksi'!$B$5:$B$5000)/('Input Transaksi'!$B$5:$B$5000="JCL SESETAN"),ROWS($E$5:E981)),"")</f>
        <v/>
      </c>
      <c r="F981" s="5" t="n"/>
    </row>
    <row r="982">
      <c r="A982" s="10">
        <f>IF($E982="","",INDEX('Input Transaksi'!$A:$A,$E982))</f>
        <v/>
      </c>
      <c r="B982" s="5">
        <f>IF($E982="","",INDEX('Input Transaksi'!$D:$D,$E982))</f>
        <v/>
      </c>
      <c r="C982">
        <f>IF($E982="","",INDEX('Input Transaksi'!$E:$E,$E982))</f>
        <v/>
      </c>
      <c r="D982" s="5">
        <f>IF($E982="","",INDEX('Input Transaksi'!$F:$F,$E982))</f>
        <v/>
      </c>
      <c r="E982">
        <f>IFERROR(AGGREGATE(15,6,ROW('Input Transaksi'!$B$5:$B$5000)/('Input Transaksi'!$B$5:$B$5000="JCL SESETAN"),ROWS($E$5:E982)),"")</f>
        <v/>
      </c>
      <c r="F982" s="5" t="n"/>
    </row>
    <row r="983">
      <c r="A983" s="10">
        <f>IF($E983="","",INDEX('Input Transaksi'!$A:$A,$E983))</f>
        <v/>
      </c>
      <c r="B983" s="5">
        <f>IF($E983="","",INDEX('Input Transaksi'!$D:$D,$E983))</f>
        <v/>
      </c>
      <c r="C983">
        <f>IF($E983="","",INDEX('Input Transaksi'!$E:$E,$E983))</f>
        <v/>
      </c>
      <c r="D983" s="5">
        <f>IF($E983="","",INDEX('Input Transaksi'!$F:$F,$E983))</f>
        <v/>
      </c>
      <c r="E983">
        <f>IFERROR(AGGREGATE(15,6,ROW('Input Transaksi'!$B$5:$B$5000)/('Input Transaksi'!$B$5:$B$5000="JCL SESETAN"),ROWS($E$5:E983)),"")</f>
        <v/>
      </c>
      <c r="F983" s="5" t="n"/>
    </row>
    <row r="984">
      <c r="A984" s="10">
        <f>IF($E984="","",INDEX('Input Transaksi'!$A:$A,$E984))</f>
        <v/>
      </c>
      <c r="B984" s="5">
        <f>IF($E984="","",INDEX('Input Transaksi'!$D:$D,$E984))</f>
        <v/>
      </c>
      <c r="C984">
        <f>IF($E984="","",INDEX('Input Transaksi'!$E:$E,$E984))</f>
        <v/>
      </c>
      <c r="D984" s="5">
        <f>IF($E984="","",INDEX('Input Transaksi'!$F:$F,$E984))</f>
        <v/>
      </c>
      <c r="E984">
        <f>IFERROR(AGGREGATE(15,6,ROW('Input Transaksi'!$B$5:$B$5000)/('Input Transaksi'!$B$5:$B$5000="JCL SESETAN"),ROWS($E$5:E984)),"")</f>
        <v/>
      </c>
      <c r="F984" s="5" t="n"/>
    </row>
    <row r="985">
      <c r="A985" s="10">
        <f>IF($E985="","",INDEX('Input Transaksi'!$A:$A,$E985))</f>
        <v/>
      </c>
      <c r="B985" s="5">
        <f>IF($E985="","",INDEX('Input Transaksi'!$D:$D,$E985))</f>
        <v/>
      </c>
      <c r="C985">
        <f>IF($E985="","",INDEX('Input Transaksi'!$E:$E,$E985))</f>
        <v/>
      </c>
      <c r="D985" s="5">
        <f>IF($E985="","",INDEX('Input Transaksi'!$F:$F,$E985))</f>
        <v/>
      </c>
      <c r="E985">
        <f>IFERROR(AGGREGATE(15,6,ROW('Input Transaksi'!$B$5:$B$5000)/('Input Transaksi'!$B$5:$B$5000="JCL SESETAN"),ROWS($E$5:E985)),"")</f>
        <v/>
      </c>
      <c r="F985" s="5" t="n"/>
    </row>
    <row r="986">
      <c r="A986" s="10">
        <f>IF($E986="","",INDEX('Input Transaksi'!$A:$A,$E986))</f>
        <v/>
      </c>
      <c r="B986" s="5">
        <f>IF($E986="","",INDEX('Input Transaksi'!$D:$D,$E986))</f>
        <v/>
      </c>
      <c r="C986">
        <f>IF($E986="","",INDEX('Input Transaksi'!$E:$E,$E986))</f>
        <v/>
      </c>
      <c r="D986" s="5">
        <f>IF($E986="","",INDEX('Input Transaksi'!$F:$F,$E986))</f>
        <v/>
      </c>
      <c r="E986">
        <f>IFERROR(AGGREGATE(15,6,ROW('Input Transaksi'!$B$5:$B$5000)/('Input Transaksi'!$B$5:$B$5000="JCL SESETAN"),ROWS($E$5:E986)),"")</f>
        <v/>
      </c>
      <c r="F986" s="5" t="n"/>
    </row>
    <row r="987">
      <c r="A987" s="10">
        <f>IF($E987="","",INDEX('Input Transaksi'!$A:$A,$E987))</f>
        <v/>
      </c>
      <c r="B987" s="5">
        <f>IF($E987="","",INDEX('Input Transaksi'!$D:$D,$E987))</f>
        <v/>
      </c>
      <c r="C987">
        <f>IF($E987="","",INDEX('Input Transaksi'!$E:$E,$E987))</f>
        <v/>
      </c>
      <c r="D987" s="5">
        <f>IF($E987="","",INDEX('Input Transaksi'!$F:$F,$E987))</f>
        <v/>
      </c>
      <c r="E987">
        <f>IFERROR(AGGREGATE(15,6,ROW('Input Transaksi'!$B$5:$B$5000)/('Input Transaksi'!$B$5:$B$5000="JCL SESETAN"),ROWS($E$5:E987)),"")</f>
        <v/>
      </c>
      <c r="F987" s="5" t="n"/>
    </row>
    <row r="988">
      <c r="A988" s="10">
        <f>IF($E988="","",INDEX('Input Transaksi'!$A:$A,$E988))</f>
        <v/>
      </c>
      <c r="B988" s="5">
        <f>IF($E988="","",INDEX('Input Transaksi'!$D:$D,$E988))</f>
        <v/>
      </c>
      <c r="C988">
        <f>IF($E988="","",INDEX('Input Transaksi'!$E:$E,$E988))</f>
        <v/>
      </c>
      <c r="D988" s="5">
        <f>IF($E988="","",INDEX('Input Transaksi'!$F:$F,$E988))</f>
        <v/>
      </c>
      <c r="E988">
        <f>IFERROR(AGGREGATE(15,6,ROW('Input Transaksi'!$B$5:$B$5000)/('Input Transaksi'!$B$5:$B$5000="JCL SESETAN"),ROWS($E$5:E988)),"")</f>
        <v/>
      </c>
      <c r="F988" s="5" t="n"/>
    </row>
    <row r="989">
      <c r="A989" s="10">
        <f>IF($E989="","",INDEX('Input Transaksi'!$A:$A,$E989))</f>
        <v/>
      </c>
      <c r="B989" s="5">
        <f>IF($E989="","",INDEX('Input Transaksi'!$D:$D,$E989))</f>
        <v/>
      </c>
      <c r="C989">
        <f>IF($E989="","",INDEX('Input Transaksi'!$E:$E,$E989))</f>
        <v/>
      </c>
      <c r="D989" s="5">
        <f>IF($E989="","",INDEX('Input Transaksi'!$F:$F,$E989))</f>
        <v/>
      </c>
      <c r="E989">
        <f>IFERROR(AGGREGATE(15,6,ROW('Input Transaksi'!$B$5:$B$5000)/('Input Transaksi'!$B$5:$B$5000="JCL SESETAN"),ROWS($E$5:E989)),"")</f>
        <v/>
      </c>
      <c r="F989" s="5" t="n"/>
    </row>
    <row r="990">
      <c r="A990" s="10">
        <f>IF($E990="","",INDEX('Input Transaksi'!$A:$A,$E990))</f>
        <v/>
      </c>
      <c r="B990" s="5">
        <f>IF($E990="","",INDEX('Input Transaksi'!$D:$D,$E990))</f>
        <v/>
      </c>
      <c r="C990">
        <f>IF($E990="","",INDEX('Input Transaksi'!$E:$E,$E990))</f>
        <v/>
      </c>
      <c r="D990" s="5">
        <f>IF($E990="","",INDEX('Input Transaksi'!$F:$F,$E990))</f>
        <v/>
      </c>
      <c r="E990">
        <f>IFERROR(AGGREGATE(15,6,ROW('Input Transaksi'!$B$5:$B$5000)/('Input Transaksi'!$B$5:$B$5000="JCL SESETAN"),ROWS($E$5:E990)),"")</f>
        <v/>
      </c>
      <c r="F990" s="5" t="n"/>
    </row>
    <row r="991">
      <c r="A991" s="10">
        <f>IF($E991="","",INDEX('Input Transaksi'!$A:$A,$E991))</f>
        <v/>
      </c>
      <c r="B991" s="5">
        <f>IF($E991="","",INDEX('Input Transaksi'!$D:$D,$E991))</f>
        <v/>
      </c>
      <c r="C991">
        <f>IF($E991="","",INDEX('Input Transaksi'!$E:$E,$E991))</f>
        <v/>
      </c>
      <c r="D991" s="5">
        <f>IF($E991="","",INDEX('Input Transaksi'!$F:$F,$E991))</f>
        <v/>
      </c>
      <c r="E991">
        <f>IFERROR(AGGREGATE(15,6,ROW('Input Transaksi'!$B$5:$B$5000)/('Input Transaksi'!$B$5:$B$5000="JCL SESETAN"),ROWS($E$5:E991)),"")</f>
        <v/>
      </c>
      <c r="F991" s="5" t="n"/>
    </row>
    <row r="992">
      <c r="A992" s="10">
        <f>IF($E992="","",INDEX('Input Transaksi'!$A:$A,$E992))</f>
        <v/>
      </c>
      <c r="B992" s="5">
        <f>IF($E992="","",INDEX('Input Transaksi'!$D:$D,$E992))</f>
        <v/>
      </c>
      <c r="C992">
        <f>IF($E992="","",INDEX('Input Transaksi'!$E:$E,$E992))</f>
        <v/>
      </c>
      <c r="D992" s="5">
        <f>IF($E992="","",INDEX('Input Transaksi'!$F:$F,$E992))</f>
        <v/>
      </c>
      <c r="E992">
        <f>IFERROR(AGGREGATE(15,6,ROW('Input Transaksi'!$B$5:$B$5000)/('Input Transaksi'!$B$5:$B$5000="JCL SESETAN"),ROWS($E$5:E992)),"")</f>
        <v/>
      </c>
      <c r="F992" s="5" t="n"/>
    </row>
    <row r="993">
      <c r="A993" s="10">
        <f>IF($E993="","",INDEX('Input Transaksi'!$A:$A,$E993))</f>
        <v/>
      </c>
      <c r="B993" s="5">
        <f>IF($E993="","",INDEX('Input Transaksi'!$D:$D,$E993))</f>
        <v/>
      </c>
      <c r="C993">
        <f>IF($E993="","",INDEX('Input Transaksi'!$E:$E,$E993))</f>
        <v/>
      </c>
      <c r="D993" s="5">
        <f>IF($E993="","",INDEX('Input Transaksi'!$F:$F,$E993))</f>
        <v/>
      </c>
      <c r="E993">
        <f>IFERROR(AGGREGATE(15,6,ROW('Input Transaksi'!$B$5:$B$5000)/('Input Transaksi'!$B$5:$B$5000="JCL SESETAN"),ROWS($E$5:E993)),"")</f>
        <v/>
      </c>
      <c r="F993" s="5" t="n"/>
    </row>
    <row r="994">
      <c r="A994" s="10">
        <f>IF($E994="","",INDEX('Input Transaksi'!$A:$A,$E994))</f>
        <v/>
      </c>
      <c r="B994" s="5">
        <f>IF($E994="","",INDEX('Input Transaksi'!$D:$D,$E994))</f>
        <v/>
      </c>
      <c r="C994">
        <f>IF($E994="","",INDEX('Input Transaksi'!$E:$E,$E994))</f>
        <v/>
      </c>
      <c r="D994" s="5">
        <f>IF($E994="","",INDEX('Input Transaksi'!$F:$F,$E994))</f>
        <v/>
      </c>
      <c r="E994">
        <f>IFERROR(AGGREGATE(15,6,ROW('Input Transaksi'!$B$5:$B$5000)/('Input Transaksi'!$B$5:$B$5000="JCL SESETAN"),ROWS($E$5:E994)),"")</f>
        <v/>
      </c>
      <c r="F994" s="5" t="n"/>
    </row>
    <row r="995">
      <c r="A995" s="10">
        <f>IF($E995="","",INDEX('Input Transaksi'!$A:$A,$E995))</f>
        <v/>
      </c>
      <c r="B995" s="5">
        <f>IF($E995="","",INDEX('Input Transaksi'!$D:$D,$E995))</f>
        <v/>
      </c>
      <c r="C995">
        <f>IF($E995="","",INDEX('Input Transaksi'!$E:$E,$E995))</f>
        <v/>
      </c>
      <c r="D995" s="5">
        <f>IF($E995="","",INDEX('Input Transaksi'!$F:$F,$E995))</f>
        <v/>
      </c>
      <c r="E995">
        <f>IFERROR(AGGREGATE(15,6,ROW('Input Transaksi'!$B$5:$B$5000)/('Input Transaksi'!$B$5:$B$5000="JCL SESETAN"),ROWS($E$5:E995)),"")</f>
        <v/>
      </c>
      <c r="F995" s="5" t="n"/>
    </row>
    <row r="996">
      <c r="A996" s="10">
        <f>IF($E996="","",INDEX('Input Transaksi'!$A:$A,$E996))</f>
        <v/>
      </c>
      <c r="B996" s="5">
        <f>IF($E996="","",INDEX('Input Transaksi'!$D:$D,$E996))</f>
        <v/>
      </c>
      <c r="C996">
        <f>IF($E996="","",INDEX('Input Transaksi'!$E:$E,$E996))</f>
        <v/>
      </c>
      <c r="D996" s="5">
        <f>IF($E996="","",INDEX('Input Transaksi'!$F:$F,$E996))</f>
        <v/>
      </c>
      <c r="E996">
        <f>IFERROR(AGGREGATE(15,6,ROW('Input Transaksi'!$B$5:$B$5000)/('Input Transaksi'!$B$5:$B$5000="JCL SESETAN"),ROWS($E$5:E996)),"")</f>
        <v/>
      </c>
      <c r="F996" s="5" t="n"/>
    </row>
    <row r="997">
      <c r="A997" s="10">
        <f>IF($E997="","",INDEX('Input Transaksi'!$A:$A,$E997))</f>
        <v/>
      </c>
      <c r="B997" s="5">
        <f>IF($E997="","",INDEX('Input Transaksi'!$D:$D,$E997))</f>
        <v/>
      </c>
      <c r="C997">
        <f>IF($E997="","",INDEX('Input Transaksi'!$E:$E,$E997))</f>
        <v/>
      </c>
      <c r="D997" s="5">
        <f>IF($E997="","",INDEX('Input Transaksi'!$F:$F,$E997))</f>
        <v/>
      </c>
      <c r="E997">
        <f>IFERROR(AGGREGATE(15,6,ROW('Input Transaksi'!$B$5:$B$5000)/('Input Transaksi'!$B$5:$B$5000="JCL SESETAN"),ROWS($E$5:E997)),"")</f>
        <v/>
      </c>
      <c r="F997" s="5" t="n"/>
    </row>
    <row r="998">
      <c r="A998" s="10">
        <f>IF($E998="","",INDEX('Input Transaksi'!$A:$A,$E998))</f>
        <v/>
      </c>
      <c r="B998" s="5">
        <f>IF($E998="","",INDEX('Input Transaksi'!$D:$D,$E998))</f>
        <v/>
      </c>
      <c r="C998">
        <f>IF($E998="","",INDEX('Input Transaksi'!$E:$E,$E998))</f>
        <v/>
      </c>
      <c r="D998" s="5">
        <f>IF($E998="","",INDEX('Input Transaksi'!$F:$F,$E998))</f>
        <v/>
      </c>
      <c r="E998">
        <f>IFERROR(AGGREGATE(15,6,ROW('Input Transaksi'!$B$5:$B$5000)/('Input Transaksi'!$B$5:$B$5000="JCL SESETAN"),ROWS($E$5:E998)),"")</f>
        <v/>
      </c>
      <c r="F998" s="5" t="n"/>
    </row>
    <row r="999">
      <c r="A999" s="10">
        <f>IF($E999="","",INDEX('Input Transaksi'!$A:$A,$E999))</f>
        <v/>
      </c>
      <c r="B999" s="5">
        <f>IF($E999="","",INDEX('Input Transaksi'!$D:$D,$E999))</f>
        <v/>
      </c>
      <c r="C999">
        <f>IF($E999="","",INDEX('Input Transaksi'!$E:$E,$E999))</f>
        <v/>
      </c>
      <c r="D999" s="5">
        <f>IF($E999="","",INDEX('Input Transaksi'!$F:$F,$E999))</f>
        <v/>
      </c>
      <c r="E999">
        <f>IFERROR(AGGREGATE(15,6,ROW('Input Transaksi'!$B$5:$B$5000)/('Input Transaksi'!$B$5:$B$5000="JCL SESETAN"),ROWS($E$5:E999)),"")</f>
        <v/>
      </c>
      <c r="F999" s="5" t="n"/>
    </row>
    <row r="1000">
      <c r="A1000" s="10">
        <f>IF($E1000="","",INDEX('Input Transaksi'!$A:$A,$E1000))</f>
        <v/>
      </c>
      <c r="B1000" s="5">
        <f>IF($E1000="","",INDEX('Input Transaksi'!$D:$D,$E1000))</f>
        <v/>
      </c>
      <c r="C1000">
        <f>IF($E1000="","",INDEX('Input Transaksi'!$E:$E,$E1000))</f>
        <v/>
      </c>
      <c r="D1000" s="5">
        <f>IF($E1000="","",INDEX('Input Transaksi'!$F:$F,$E1000))</f>
        <v/>
      </c>
      <c r="E1000">
        <f>IFERROR(AGGREGATE(15,6,ROW('Input Transaksi'!$B$5:$B$5000)/('Input Transaksi'!$B$5:$B$5000="JCL SESETAN"),ROWS($E$5:E1000)),"")</f>
        <v/>
      </c>
      <c r="F1000" s="5" t="n"/>
    </row>
  </sheetData>
  <autoFilter ref="A4:D1000"/>
  <mergeCells count="1">
    <mergeCell ref="A1:E1"/>
  </mergeCells>
  <hyperlinks>
    <hyperlink ref="F1" location="'Beranda'!A1" display="Kembali ke Beranda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000"/>
  <sheetViews>
    <sheetView workbookViewId="0">
      <selection activeCell="A1" sqref="A1"/>
    </sheetView>
  </sheetViews>
  <sheetFormatPr baseColWidth="10" defaultColWidth="8.83203125" defaultRowHeight="15"/>
  <cols>
    <col width="16" customWidth="1" min="1" max="1"/>
    <col width="22" customWidth="1" min="2" max="2"/>
    <col width="12" customWidth="1" min="3" max="3"/>
    <col width="26" customWidth="1" min="4" max="4"/>
    <col hidden="1" width="12.6640625" customWidth="1" min="5" max="5"/>
    <col width="16" customWidth="1" min="6" max="6"/>
    <col hidden="1" width="13" customWidth="1" min="7" max="7"/>
  </cols>
  <sheetData>
    <row r="1" ht="24" customHeight="1">
      <c r="A1" s="11" t="inlineStr">
        <is>
          <t>CL SESETAN</t>
        </is>
      </c>
      <c r="F1" s="3" t="inlineStr">
        <is>
          <t>Kembali ke Beranda</t>
        </is>
      </c>
    </row>
    <row r="2">
      <c r="A2" s="13" t="inlineStr">
        <is>
          <t>Wilayah</t>
        </is>
      </c>
      <c r="B2" s="13" t="inlineStr">
        <is>
          <t>SELATAN</t>
        </is>
      </c>
      <c r="C2" s="13" t="inlineStr">
        <is>
          <t>Total Qty</t>
        </is>
      </c>
      <c r="D2" s="2">
        <f>SUMIFS('Input Transaksi'!$E$5:$E$5000,'Input Transaksi'!$B$5:$B$5000,"CL SESETAN")</f>
        <v/>
      </c>
      <c r="E2" s="13" t="inlineStr">
        <is>
          <t>Jumlah Transaksi</t>
        </is>
      </c>
      <c r="F2" s="2">
        <f>COUNTIF('Input Transaksi'!$B$5:$B$5000,"CL SESETAN")</f>
        <v/>
      </c>
    </row>
    <row r="3"/>
    <row r="4">
      <c r="A4" s="4" t="inlineStr">
        <is>
          <t>Tanggal</t>
        </is>
      </c>
      <c r="B4" s="4" t="inlineStr">
        <is>
          <t>Item</t>
        </is>
      </c>
      <c r="C4" s="4" t="inlineStr">
        <is>
          <t>Qty Keluar</t>
        </is>
      </c>
      <c r="D4" s="4" t="inlineStr">
        <is>
          <t>Catatan</t>
        </is>
      </c>
      <c r="E4" t="inlineStr">
        <is>
          <t>RowRef</t>
        </is>
      </c>
      <c r="F4" s="4" t="n"/>
    </row>
    <row r="5">
      <c r="A5" s="10">
        <f>IF($E5="","",INDEX('Input Transaksi'!$A:$A,$E5))</f>
        <v/>
      </c>
      <c r="B5" s="5">
        <f>IF($E5="","",INDEX('Input Transaksi'!$D:$D,$E5))</f>
        <v/>
      </c>
      <c r="C5">
        <f>IF($E5="","",INDEX('Input Transaksi'!$E:$E,$E5))</f>
        <v/>
      </c>
      <c r="D5" s="5">
        <f>IF($E5="","",INDEX('Input Transaksi'!$F:$F,$E5))</f>
        <v/>
      </c>
      <c r="E5">
        <f>IFERROR(AGGREGATE(15,6,ROW('Input Transaksi'!$B$5:$B$5000)/('Input Transaksi'!$B$5:$B$5000="CL SESETAN"),ROWS($E$5:E5)),"")</f>
        <v/>
      </c>
      <c r="F5" s="5" t="n"/>
    </row>
    <row r="6">
      <c r="A6" s="10">
        <f>IF($E6="","",INDEX('Input Transaksi'!$A:$A,$E6))</f>
        <v/>
      </c>
      <c r="B6" s="5">
        <f>IF($E6="","",INDEX('Input Transaksi'!$D:$D,$E6))</f>
        <v/>
      </c>
      <c r="C6">
        <f>IF($E6="","",INDEX('Input Transaksi'!$E:$E,$E6))</f>
        <v/>
      </c>
      <c r="D6" s="5">
        <f>IF($E6="","",INDEX('Input Transaksi'!$F:$F,$E6))</f>
        <v/>
      </c>
      <c r="E6">
        <f>IFERROR(AGGREGATE(15,6,ROW('Input Transaksi'!$B$5:$B$5000)/('Input Transaksi'!$B$5:$B$5000="CL SESETAN"),ROWS($E$5:E6)),"")</f>
        <v/>
      </c>
      <c r="F6" s="5" t="n"/>
    </row>
    <row r="7">
      <c r="A7" s="10">
        <f>IF($E7="","",INDEX('Input Transaksi'!$A:$A,$E7))</f>
        <v/>
      </c>
      <c r="B7" s="5">
        <f>IF($E7="","",INDEX('Input Transaksi'!$D:$D,$E7))</f>
        <v/>
      </c>
      <c r="C7">
        <f>IF($E7="","",INDEX('Input Transaksi'!$E:$E,$E7))</f>
        <v/>
      </c>
      <c r="D7" s="5">
        <f>IF($E7="","",INDEX('Input Transaksi'!$F:$F,$E7))</f>
        <v/>
      </c>
      <c r="E7">
        <f>IFERROR(AGGREGATE(15,6,ROW('Input Transaksi'!$B$5:$B$5000)/('Input Transaksi'!$B$5:$B$5000="CL SESETAN"),ROWS($E$5:E7)),"")</f>
        <v/>
      </c>
      <c r="F7" s="5" t="n"/>
    </row>
    <row r="8">
      <c r="A8" s="10">
        <f>IF($E8="","",INDEX('Input Transaksi'!$A:$A,$E8))</f>
        <v/>
      </c>
      <c r="B8" s="5">
        <f>IF($E8="","",INDEX('Input Transaksi'!$D:$D,$E8))</f>
        <v/>
      </c>
      <c r="C8">
        <f>IF($E8="","",INDEX('Input Transaksi'!$E:$E,$E8))</f>
        <v/>
      </c>
      <c r="D8" s="5">
        <f>IF($E8="","",INDEX('Input Transaksi'!$F:$F,$E8))</f>
        <v/>
      </c>
      <c r="E8">
        <f>IFERROR(AGGREGATE(15,6,ROW('Input Transaksi'!$B$5:$B$5000)/('Input Transaksi'!$B$5:$B$5000="CL SESETAN"),ROWS($E$5:E8)),"")</f>
        <v/>
      </c>
      <c r="F8" s="5" t="n"/>
    </row>
    <row r="9">
      <c r="A9" s="10">
        <f>IF($E9="","",INDEX('Input Transaksi'!$A:$A,$E9))</f>
        <v/>
      </c>
      <c r="B9" s="5">
        <f>IF($E9="","",INDEX('Input Transaksi'!$D:$D,$E9))</f>
        <v/>
      </c>
      <c r="C9">
        <f>IF($E9="","",INDEX('Input Transaksi'!$E:$E,$E9))</f>
        <v/>
      </c>
      <c r="D9" s="5">
        <f>IF($E9="","",INDEX('Input Transaksi'!$F:$F,$E9))</f>
        <v/>
      </c>
      <c r="E9">
        <f>IFERROR(AGGREGATE(15,6,ROW('Input Transaksi'!$B$5:$B$5000)/('Input Transaksi'!$B$5:$B$5000="CL SESETAN"),ROWS($E$5:E9)),"")</f>
        <v/>
      </c>
      <c r="F9" s="5" t="n"/>
    </row>
    <row r="10">
      <c r="A10" s="10">
        <f>IF($E10="","",INDEX('Input Transaksi'!$A:$A,$E10))</f>
        <v/>
      </c>
      <c r="B10" s="5">
        <f>IF($E10="","",INDEX('Input Transaksi'!$D:$D,$E10))</f>
        <v/>
      </c>
      <c r="C10">
        <f>IF($E10="","",INDEX('Input Transaksi'!$E:$E,$E10))</f>
        <v/>
      </c>
      <c r="D10" s="5">
        <f>IF($E10="","",INDEX('Input Transaksi'!$F:$F,$E10))</f>
        <v/>
      </c>
      <c r="E10">
        <f>IFERROR(AGGREGATE(15,6,ROW('Input Transaksi'!$B$5:$B$5000)/('Input Transaksi'!$B$5:$B$5000="CL SESETAN"),ROWS($E$5:E10)),"")</f>
        <v/>
      </c>
      <c r="F10" s="5" t="n"/>
    </row>
    <row r="11">
      <c r="A11" s="10">
        <f>IF($E11="","",INDEX('Input Transaksi'!$A:$A,$E11))</f>
        <v/>
      </c>
      <c r="B11" s="5">
        <f>IF($E11="","",INDEX('Input Transaksi'!$D:$D,$E11))</f>
        <v/>
      </c>
      <c r="C11">
        <f>IF($E11="","",INDEX('Input Transaksi'!$E:$E,$E11))</f>
        <v/>
      </c>
      <c r="D11" s="5">
        <f>IF($E11="","",INDEX('Input Transaksi'!$F:$F,$E11))</f>
        <v/>
      </c>
      <c r="E11">
        <f>IFERROR(AGGREGATE(15,6,ROW('Input Transaksi'!$B$5:$B$5000)/('Input Transaksi'!$B$5:$B$5000="CL SESETAN"),ROWS($E$5:E11)),"")</f>
        <v/>
      </c>
      <c r="F11" s="5" t="n"/>
    </row>
    <row r="12">
      <c r="A12" s="10">
        <f>IF($E12="","",INDEX('Input Transaksi'!$A:$A,$E12))</f>
        <v/>
      </c>
      <c r="B12" s="5">
        <f>IF($E12="","",INDEX('Input Transaksi'!$D:$D,$E12))</f>
        <v/>
      </c>
      <c r="C12">
        <f>IF($E12="","",INDEX('Input Transaksi'!$E:$E,$E12))</f>
        <v/>
      </c>
      <c r="D12" s="5">
        <f>IF($E12="","",INDEX('Input Transaksi'!$F:$F,$E12))</f>
        <v/>
      </c>
      <c r="E12">
        <f>IFERROR(AGGREGATE(15,6,ROW('Input Transaksi'!$B$5:$B$5000)/('Input Transaksi'!$B$5:$B$5000="CL SESETAN"),ROWS($E$5:E12)),"")</f>
        <v/>
      </c>
      <c r="F12" s="5" t="n"/>
    </row>
    <row r="13">
      <c r="A13" s="10">
        <f>IF($E13="","",INDEX('Input Transaksi'!$A:$A,$E13))</f>
        <v/>
      </c>
      <c r="B13" s="5">
        <f>IF($E13="","",INDEX('Input Transaksi'!$D:$D,$E13))</f>
        <v/>
      </c>
      <c r="C13">
        <f>IF($E13="","",INDEX('Input Transaksi'!$E:$E,$E13))</f>
        <v/>
      </c>
      <c r="D13" s="5">
        <f>IF($E13="","",INDEX('Input Transaksi'!$F:$F,$E13))</f>
        <v/>
      </c>
      <c r="E13">
        <f>IFERROR(AGGREGATE(15,6,ROW('Input Transaksi'!$B$5:$B$5000)/('Input Transaksi'!$B$5:$B$5000="CL SESETAN"),ROWS($E$5:E13)),"")</f>
        <v/>
      </c>
      <c r="F13" s="5" t="n"/>
    </row>
    <row r="14">
      <c r="A14" s="10">
        <f>IF($E14="","",INDEX('Input Transaksi'!$A:$A,$E14))</f>
        <v/>
      </c>
      <c r="B14" s="5">
        <f>IF($E14="","",INDEX('Input Transaksi'!$D:$D,$E14))</f>
        <v/>
      </c>
      <c r="C14">
        <f>IF($E14="","",INDEX('Input Transaksi'!$E:$E,$E14))</f>
        <v/>
      </c>
      <c r="D14" s="5">
        <f>IF($E14="","",INDEX('Input Transaksi'!$F:$F,$E14))</f>
        <v/>
      </c>
      <c r="E14">
        <f>IFERROR(AGGREGATE(15,6,ROW('Input Transaksi'!$B$5:$B$5000)/('Input Transaksi'!$B$5:$B$5000="CL SESETAN"),ROWS($E$5:E14)),"")</f>
        <v/>
      </c>
      <c r="F14" s="5" t="n"/>
    </row>
    <row r="15">
      <c r="A15" s="10">
        <f>IF($E15="","",INDEX('Input Transaksi'!$A:$A,$E15))</f>
        <v/>
      </c>
      <c r="B15" s="5">
        <f>IF($E15="","",INDEX('Input Transaksi'!$D:$D,$E15))</f>
        <v/>
      </c>
      <c r="C15">
        <f>IF($E15="","",INDEX('Input Transaksi'!$E:$E,$E15))</f>
        <v/>
      </c>
      <c r="D15" s="5">
        <f>IF($E15="","",INDEX('Input Transaksi'!$F:$F,$E15))</f>
        <v/>
      </c>
      <c r="E15">
        <f>IFERROR(AGGREGATE(15,6,ROW('Input Transaksi'!$B$5:$B$5000)/('Input Transaksi'!$B$5:$B$5000="CL SESETAN"),ROWS($E$5:E15)),"")</f>
        <v/>
      </c>
      <c r="F15" s="5" t="n"/>
    </row>
    <row r="16">
      <c r="A16" s="10">
        <f>IF($E16="","",INDEX('Input Transaksi'!$A:$A,$E16))</f>
        <v/>
      </c>
      <c r="B16" s="5">
        <f>IF($E16="","",INDEX('Input Transaksi'!$D:$D,$E16))</f>
        <v/>
      </c>
      <c r="C16">
        <f>IF($E16="","",INDEX('Input Transaksi'!$E:$E,$E16))</f>
        <v/>
      </c>
      <c r="D16" s="5">
        <f>IF($E16="","",INDEX('Input Transaksi'!$F:$F,$E16))</f>
        <v/>
      </c>
      <c r="E16">
        <f>IFERROR(AGGREGATE(15,6,ROW('Input Transaksi'!$B$5:$B$5000)/('Input Transaksi'!$B$5:$B$5000="CL SESETAN"),ROWS($E$5:E16)),"")</f>
        <v/>
      </c>
      <c r="F16" s="5" t="n"/>
    </row>
    <row r="17">
      <c r="A17" s="10">
        <f>IF($E17="","",INDEX('Input Transaksi'!$A:$A,$E17))</f>
        <v/>
      </c>
      <c r="B17" s="5">
        <f>IF($E17="","",INDEX('Input Transaksi'!$D:$D,$E17))</f>
        <v/>
      </c>
      <c r="C17">
        <f>IF($E17="","",INDEX('Input Transaksi'!$E:$E,$E17))</f>
        <v/>
      </c>
      <c r="D17" s="5">
        <f>IF($E17="","",INDEX('Input Transaksi'!$F:$F,$E17))</f>
        <v/>
      </c>
      <c r="E17">
        <f>IFERROR(AGGREGATE(15,6,ROW('Input Transaksi'!$B$5:$B$5000)/('Input Transaksi'!$B$5:$B$5000="CL SESETAN"),ROWS($E$5:E17)),"")</f>
        <v/>
      </c>
      <c r="F17" s="5" t="n"/>
    </row>
    <row r="18">
      <c r="A18" s="10">
        <f>IF($E18="","",INDEX('Input Transaksi'!$A:$A,$E18))</f>
        <v/>
      </c>
      <c r="B18" s="5">
        <f>IF($E18="","",INDEX('Input Transaksi'!$D:$D,$E18))</f>
        <v/>
      </c>
      <c r="C18">
        <f>IF($E18="","",INDEX('Input Transaksi'!$E:$E,$E18))</f>
        <v/>
      </c>
      <c r="D18" s="5">
        <f>IF($E18="","",INDEX('Input Transaksi'!$F:$F,$E18))</f>
        <v/>
      </c>
      <c r="E18">
        <f>IFERROR(AGGREGATE(15,6,ROW('Input Transaksi'!$B$5:$B$5000)/('Input Transaksi'!$B$5:$B$5000="CL SESETAN"),ROWS($E$5:E18)),"")</f>
        <v/>
      </c>
      <c r="F18" s="5" t="n"/>
    </row>
    <row r="19">
      <c r="A19" s="10">
        <f>IF($E19="","",INDEX('Input Transaksi'!$A:$A,$E19))</f>
        <v/>
      </c>
      <c r="B19" s="5">
        <f>IF($E19="","",INDEX('Input Transaksi'!$D:$D,$E19))</f>
        <v/>
      </c>
      <c r="C19">
        <f>IF($E19="","",INDEX('Input Transaksi'!$E:$E,$E19))</f>
        <v/>
      </c>
      <c r="D19" s="5">
        <f>IF($E19="","",INDEX('Input Transaksi'!$F:$F,$E19))</f>
        <v/>
      </c>
      <c r="E19">
        <f>IFERROR(AGGREGATE(15,6,ROW('Input Transaksi'!$B$5:$B$5000)/('Input Transaksi'!$B$5:$B$5000="CL SESETAN"),ROWS($E$5:E19)),"")</f>
        <v/>
      </c>
      <c r="F19" s="5" t="n"/>
    </row>
    <row r="20">
      <c r="A20" s="10">
        <f>IF($E20="","",INDEX('Input Transaksi'!$A:$A,$E20))</f>
        <v/>
      </c>
      <c r="B20" s="5">
        <f>IF($E20="","",INDEX('Input Transaksi'!$D:$D,$E20))</f>
        <v/>
      </c>
      <c r="C20">
        <f>IF($E20="","",INDEX('Input Transaksi'!$E:$E,$E20))</f>
        <v/>
      </c>
      <c r="D20" s="5">
        <f>IF($E20="","",INDEX('Input Transaksi'!$F:$F,$E20))</f>
        <v/>
      </c>
      <c r="E20">
        <f>IFERROR(AGGREGATE(15,6,ROW('Input Transaksi'!$B$5:$B$5000)/('Input Transaksi'!$B$5:$B$5000="CL SESETAN"),ROWS($E$5:E20)),"")</f>
        <v/>
      </c>
      <c r="F20" s="5" t="n"/>
    </row>
    <row r="21">
      <c r="A21" s="10">
        <f>IF($E21="","",INDEX('Input Transaksi'!$A:$A,$E21))</f>
        <v/>
      </c>
      <c r="B21" s="5">
        <f>IF($E21="","",INDEX('Input Transaksi'!$D:$D,$E21))</f>
        <v/>
      </c>
      <c r="C21">
        <f>IF($E21="","",INDEX('Input Transaksi'!$E:$E,$E21))</f>
        <v/>
      </c>
      <c r="D21" s="5">
        <f>IF($E21="","",INDEX('Input Transaksi'!$F:$F,$E21))</f>
        <v/>
      </c>
      <c r="E21">
        <f>IFERROR(AGGREGATE(15,6,ROW('Input Transaksi'!$B$5:$B$5000)/('Input Transaksi'!$B$5:$B$5000="CL SESETAN"),ROWS($E$5:E21)),"")</f>
        <v/>
      </c>
      <c r="F21" s="5" t="n"/>
    </row>
    <row r="22">
      <c r="A22" s="10">
        <f>IF($E22="","",INDEX('Input Transaksi'!$A:$A,$E22))</f>
        <v/>
      </c>
      <c r="B22" s="5">
        <f>IF($E22="","",INDEX('Input Transaksi'!$D:$D,$E22))</f>
        <v/>
      </c>
      <c r="C22">
        <f>IF($E22="","",INDEX('Input Transaksi'!$E:$E,$E22))</f>
        <v/>
      </c>
      <c r="D22" s="5">
        <f>IF($E22="","",INDEX('Input Transaksi'!$F:$F,$E22))</f>
        <v/>
      </c>
      <c r="E22">
        <f>IFERROR(AGGREGATE(15,6,ROW('Input Transaksi'!$B$5:$B$5000)/('Input Transaksi'!$B$5:$B$5000="CL SESETAN"),ROWS($E$5:E22)),"")</f>
        <v/>
      </c>
      <c r="F22" s="5" t="n"/>
    </row>
    <row r="23">
      <c r="A23" s="10">
        <f>IF($E23="","",INDEX('Input Transaksi'!$A:$A,$E23))</f>
        <v/>
      </c>
      <c r="B23" s="5">
        <f>IF($E23="","",INDEX('Input Transaksi'!$D:$D,$E23))</f>
        <v/>
      </c>
      <c r="C23">
        <f>IF($E23="","",INDEX('Input Transaksi'!$E:$E,$E23))</f>
        <v/>
      </c>
      <c r="D23" s="5">
        <f>IF($E23="","",INDEX('Input Transaksi'!$F:$F,$E23))</f>
        <v/>
      </c>
      <c r="E23">
        <f>IFERROR(AGGREGATE(15,6,ROW('Input Transaksi'!$B$5:$B$5000)/('Input Transaksi'!$B$5:$B$5000="CL SESETAN"),ROWS($E$5:E23)),"")</f>
        <v/>
      </c>
      <c r="F23" s="5" t="n"/>
    </row>
    <row r="24">
      <c r="A24" s="10">
        <f>IF($E24="","",INDEX('Input Transaksi'!$A:$A,$E24))</f>
        <v/>
      </c>
      <c r="B24" s="5">
        <f>IF($E24="","",INDEX('Input Transaksi'!$D:$D,$E24))</f>
        <v/>
      </c>
      <c r="C24">
        <f>IF($E24="","",INDEX('Input Transaksi'!$E:$E,$E24))</f>
        <v/>
      </c>
      <c r="D24" s="5">
        <f>IF($E24="","",INDEX('Input Transaksi'!$F:$F,$E24))</f>
        <v/>
      </c>
      <c r="E24">
        <f>IFERROR(AGGREGATE(15,6,ROW('Input Transaksi'!$B$5:$B$5000)/('Input Transaksi'!$B$5:$B$5000="CL SESETAN"),ROWS($E$5:E24)),"")</f>
        <v/>
      </c>
      <c r="F24" s="5" t="n"/>
    </row>
    <row r="25">
      <c r="A25" s="10">
        <f>IF($E25="","",INDEX('Input Transaksi'!$A:$A,$E25))</f>
        <v/>
      </c>
      <c r="B25" s="5">
        <f>IF($E25="","",INDEX('Input Transaksi'!$D:$D,$E25))</f>
        <v/>
      </c>
      <c r="C25">
        <f>IF($E25="","",INDEX('Input Transaksi'!$E:$E,$E25))</f>
        <v/>
      </c>
      <c r="D25" s="5">
        <f>IF($E25="","",INDEX('Input Transaksi'!$F:$F,$E25))</f>
        <v/>
      </c>
      <c r="E25">
        <f>IFERROR(AGGREGATE(15,6,ROW('Input Transaksi'!$B$5:$B$5000)/('Input Transaksi'!$B$5:$B$5000="CL SESETAN"),ROWS($E$5:E25)),"")</f>
        <v/>
      </c>
      <c r="F25" s="5" t="n"/>
    </row>
    <row r="26">
      <c r="A26" s="10">
        <f>IF($E26="","",INDEX('Input Transaksi'!$A:$A,$E26))</f>
        <v/>
      </c>
      <c r="B26" s="5">
        <f>IF($E26="","",INDEX('Input Transaksi'!$D:$D,$E26))</f>
        <v/>
      </c>
      <c r="C26">
        <f>IF($E26="","",INDEX('Input Transaksi'!$E:$E,$E26))</f>
        <v/>
      </c>
      <c r="D26" s="5">
        <f>IF($E26="","",INDEX('Input Transaksi'!$F:$F,$E26))</f>
        <v/>
      </c>
      <c r="E26">
        <f>IFERROR(AGGREGATE(15,6,ROW('Input Transaksi'!$B$5:$B$5000)/('Input Transaksi'!$B$5:$B$5000="CL SESETAN"),ROWS($E$5:E26)),"")</f>
        <v/>
      </c>
      <c r="F26" s="5" t="n"/>
    </row>
    <row r="27">
      <c r="A27" s="10">
        <f>IF($E27="","",INDEX('Input Transaksi'!$A:$A,$E27))</f>
        <v/>
      </c>
      <c r="B27" s="5">
        <f>IF($E27="","",INDEX('Input Transaksi'!$D:$D,$E27))</f>
        <v/>
      </c>
      <c r="C27">
        <f>IF($E27="","",INDEX('Input Transaksi'!$E:$E,$E27))</f>
        <v/>
      </c>
      <c r="D27" s="5">
        <f>IF($E27="","",INDEX('Input Transaksi'!$F:$F,$E27))</f>
        <v/>
      </c>
      <c r="E27">
        <f>IFERROR(AGGREGATE(15,6,ROW('Input Transaksi'!$B$5:$B$5000)/('Input Transaksi'!$B$5:$B$5000="CL SESETAN"),ROWS($E$5:E27)),"")</f>
        <v/>
      </c>
      <c r="F27" s="5" t="n"/>
    </row>
    <row r="28">
      <c r="A28" s="10">
        <f>IF($E28="","",INDEX('Input Transaksi'!$A:$A,$E28))</f>
        <v/>
      </c>
      <c r="B28" s="5">
        <f>IF($E28="","",INDEX('Input Transaksi'!$D:$D,$E28))</f>
        <v/>
      </c>
      <c r="C28">
        <f>IF($E28="","",INDEX('Input Transaksi'!$E:$E,$E28))</f>
        <v/>
      </c>
      <c r="D28" s="5">
        <f>IF($E28="","",INDEX('Input Transaksi'!$F:$F,$E28))</f>
        <v/>
      </c>
      <c r="E28">
        <f>IFERROR(AGGREGATE(15,6,ROW('Input Transaksi'!$B$5:$B$5000)/('Input Transaksi'!$B$5:$B$5000="CL SESETAN"),ROWS($E$5:E28)),"")</f>
        <v/>
      </c>
      <c r="F28" s="5" t="n"/>
    </row>
    <row r="29">
      <c r="A29" s="10">
        <f>IF($E29="","",INDEX('Input Transaksi'!$A:$A,$E29))</f>
        <v/>
      </c>
      <c r="B29" s="5">
        <f>IF($E29="","",INDEX('Input Transaksi'!$D:$D,$E29))</f>
        <v/>
      </c>
      <c r="C29">
        <f>IF($E29="","",INDEX('Input Transaksi'!$E:$E,$E29))</f>
        <v/>
      </c>
      <c r="D29" s="5">
        <f>IF($E29="","",INDEX('Input Transaksi'!$F:$F,$E29))</f>
        <v/>
      </c>
      <c r="E29">
        <f>IFERROR(AGGREGATE(15,6,ROW('Input Transaksi'!$B$5:$B$5000)/('Input Transaksi'!$B$5:$B$5000="CL SESETAN"),ROWS($E$5:E29)),"")</f>
        <v/>
      </c>
      <c r="F29" s="5" t="n"/>
    </row>
    <row r="30">
      <c r="A30" s="10">
        <f>IF($E30="","",INDEX('Input Transaksi'!$A:$A,$E30))</f>
        <v/>
      </c>
      <c r="B30" s="5">
        <f>IF($E30="","",INDEX('Input Transaksi'!$D:$D,$E30))</f>
        <v/>
      </c>
      <c r="C30">
        <f>IF($E30="","",INDEX('Input Transaksi'!$E:$E,$E30))</f>
        <v/>
      </c>
      <c r="D30" s="5">
        <f>IF($E30="","",INDEX('Input Transaksi'!$F:$F,$E30))</f>
        <v/>
      </c>
      <c r="E30">
        <f>IFERROR(AGGREGATE(15,6,ROW('Input Transaksi'!$B$5:$B$5000)/('Input Transaksi'!$B$5:$B$5000="CL SESETAN"),ROWS($E$5:E30)),"")</f>
        <v/>
      </c>
      <c r="F30" s="5" t="n"/>
    </row>
    <row r="31">
      <c r="A31" s="10">
        <f>IF($E31="","",INDEX('Input Transaksi'!$A:$A,$E31))</f>
        <v/>
      </c>
      <c r="B31" s="5">
        <f>IF($E31="","",INDEX('Input Transaksi'!$D:$D,$E31))</f>
        <v/>
      </c>
      <c r="C31">
        <f>IF($E31="","",INDEX('Input Transaksi'!$E:$E,$E31))</f>
        <v/>
      </c>
      <c r="D31" s="5">
        <f>IF($E31="","",INDEX('Input Transaksi'!$F:$F,$E31))</f>
        <v/>
      </c>
      <c r="E31">
        <f>IFERROR(AGGREGATE(15,6,ROW('Input Transaksi'!$B$5:$B$5000)/('Input Transaksi'!$B$5:$B$5000="CL SESETAN"),ROWS($E$5:E31)),"")</f>
        <v/>
      </c>
      <c r="F31" s="5" t="n"/>
    </row>
    <row r="32">
      <c r="A32" s="10">
        <f>IF($E32="","",INDEX('Input Transaksi'!$A:$A,$E32))</f>
        <v/>
      </c>
      <c r="B32" s="5">
        <f>IF($E32="","",INDEX('Input Transaksi'!$D:$D,$E32))</f>
        <v/>
      </c>
      <c r="C32">
        <f>IF($E32="","",INDEX('Input Transaksi'!$E:$E,$E32))</f>
        <v/>
      </c>
      <c r="D32" s="5">
        <f>IF($E32="","",INDEX('Input Transaksi'!$F:$F,$E32))</f>
        <v/>
      </c>
      <c r="E32">
        <f>IFERROR(AGGREGATE(15,6,ROW('Input Transaksi'!$B$5:$B$5000)/('Input Transaksi'!$B$5:$B$5000="CL SESETAN"),ROWS($E$5:E32)),"")</f>
        <v/>
      </c>
      <c r="F32" s="5" t="n"/>
    </row>
    <row r="33">
      <c r="A33" s="10">
        <f>IF($E33="","",INDEX('Input Transaksi'!$A:$A,$E33))</f>
        <v/>
      </c>
      <c r="B33" s="5">
        <f>IF($E33="","",INDEX('Input Transaksi'!$D:$D,$E33))</f>
        <v/>
      </c>
      <c r="C33">
        <f>IF($E33="","",INDEX('Input Transaksi'!$E:$E,$E33))</f>
        <v/>
      </c>
      <c r="D33" s="5">
        <f>IF($E33="","",INDEX('Input Transaksi'!$F:$F,$E33))</f>
        <v/>
      </c>
      <c r="E33">
        <f>IFERROR(AGGREGATE(15,6,ROW('Input Transaksi'!$B$5:$B$5000)/('Input Transaksi'!$B$5:$B$5000="CL SESETAN"),ROWS($E$5:E33)),"")</f>
        <v/>
      </c>
      <c r="F33" s="5" t="n"/>
    </row>
    <row r="34">
      <c r="A34" s="10">
        <f>IF($E34="","",INDEX('Input Transaksi'!$A:$A,$E34))</f>
        <v/>
      </c>
      <c r="B34" s="5">
        <f>IF($E34="","",INDEX('Input Transaksi'!$D:$D,$E34))</f>
        <v/>
      </c>
      <c r="C34">
        <f>IF($E34="","",INDEX('Input Transaksi'!$E:$E,$E34))</f>
        <v/>
      </c>
      <c r="D34" s="5">
        <f>IF($E34="","",INDEX('Input Transaksi'!$F:$F,$E34))</f>
        <v/>
      </c>
      <c r="E34">
        <f>IFERROR(AGGREGATE(15,6,ROW('Input Transaksi'!$B$5:$B$5000)/('Input Transaksi'!$B$5:$B$5000="CL SESETAN"),ROWS($E$5:E34)),"")</f>
        <v/>
      </c>
      <c r="F34" s="5" t="n"/>
    </row>
    <row r="35">
      <c r="A35" s="10">
        <f>IF($E35="","",INDEX('Input Transaksi'!$A:$A,$E35))</f>
        <v/>
      </c>
      <c r="B35" s="5">
        <f>IF($E35="","",INDEX('Input Transaksi'!$D:$D,$E35))</f>
        <v/>
      </c>
      <c r="C35">
        <f>IF($E35="","",INDEX('Input Transaksi'!$E:$E,$E35))</f>
        <v/>
      </c>
      <c r="D35" s="5">
        <f>IF($E35="","",INDEX('Input Transaksi'!$F:$F,$E35))</f>
        <v/>
      </c>
      <c r="E35">
        <f>IFERROR(AGGREGATE(15,6,ROW('Input Transaksi'!$B$5:$B$5000)/('Input Transaksi'!$B$5:$B$5000="CL SESETAN"),ROWS($E$5:E35)),"")</f>
        <v/>
      </c>
      <c r="F35" s="5" t="n"/>
    </row>
    <row r="36">
      <c r="A36" s="10">
        <f>IF($E36="","",INDEX('Input Transaksi'!$A:$A,$E36))</f>
        <v/>
      </c>
      <c r="B36" s="5">
        <f>IF($E36="","",INDEX('Input Transaksi'!$D:$D,$E36))</f>
        <v/>
      </c>
      <c r="C36">
        <f>IF($E36="","",INDEX('Input Transaksi'!$E:$E,$E36))</f>
        <v/>
      </c>
      <c r="D36" s="5">
        <f>IF($E36="","",INDEX('Input Transaksi'!$F:$F,$E36))</f>
        <v/>
      </c>
      <c r="E36">
        <f>IFERROR(AGGREGATE(15,6,ROW('Input Transaksi'!$B$5:$B$5000)/('Input Transaksi'!$B$5:$B$5000="CL SESETAN"),ROWS($E$5:E36)),"")</f>
        <v/>
      </c>
      <c r="F36" s="5" t="n"/>
    </row>
    <row r="37">
      <c r="A37" s="10">
        <f>IF($E37="","",INDEX('Input Transaksi'!$A:$A,$E37))</f>
        <v/>
      </c>
      <c r="B37" s="5">
        <f>IF($E37="","",INDEX('Input Transaksi'!$D:$D,$E37))</f>
        <v/>
      </c>
      <c r="C37">
        <f>IF($E37="","",INDEX('Input Transaksi'!$E:$E,$E37))</f>
        <v/>
      </c>
      <c r="D37" s="5">
        <f>IF($E37="","",INDEX('Input Transaksi'!$F:$F,$E37))</f>
        <v/>
      </c>
      <c r="E37">
        <f>IFERROR(AGGREGATE(15,6,ROW('Input Transaksi'!$B$5:$B$5000)/('Input Transaksi'!$B$5:$B$5000="CL SESETAN"),ROWS($E$5:E37)),"")</f>
        <v/>
      </c>
      <c r="F37" s="5" t="n"/>
    </row>
    <row r="38">
      <c r="A38" s="10">
        <f>IF($E38="","",INDEX('Input Transaksi'!$A:$A,$E38))</f>
        <v/>
      </c>
      <c r="B38" s="5">
        <f>IF($E38="","",INDEX('Input Transaksi'!$D:$D,$E38))</f>
        <v/>
      </c>
      <c r="C38">
        <f>IF($E38="","",INDEX('Input Transaksi'!$E:$E,$E38))</f>
        <v/>
      </c>
      <c r="D38" s="5">
        <f>IF($E38="","",INDEX('Input Transaksi'!$F:$F,$E38))</f>
        <v/>
      </c>
      <c r="E38">
        <f>IFERROR(AGGREGATE(15,6,ROW('Input Transaksi'!$B$5:$B$5000)/('Input Transaksi'!$B$5:$B$5000="CL SESETAN"),ROWS($E$5:E38)),"")</f>
        <v/>
      </c>
      <c r="F38" s="5" t="n"/>
    </row>
    <row r="39">
      <c r="A39" s="10">
        <f>IF($E39="","",INDEX('Input Transaksi'!$A:$A,$E39))</f>
        <v/>
      </c>
      <c r="B39" s="5">
        <f>IF($E39="","",INDEX('Input Transaksi'!$D:$D,$E39))</f>
        <v/>
      </c>
      <c r="C39">
        <f>IF($E39="","",INDEX('Input Transaksi'!$E:$E,$E39))</f>
        <v/>
      </c>
      <c r="D39" s="5">
        <f>IF($E39="","",INDEX('Input Transaksi'!$F:$F,$E39))</f>
        <v/>
      </c>
      <c r="E39">
        <f>IFERROR(AGGREGATE(15,6,ROW('Input Transaksi'!$B$5:$B$5000)/('Input Transaksi'!$B$5:$B$5000="CL SESETAN"),ROWS($E$5:E39)),"")</f>
        <v/>
      </c>
      <c r="F39" s="5" t="n"/>
    </row>
    <row r="40">
      <c r="A40" s="10">
        <f>IF($E40="","",INDEX('Input Transaksi'!$A:$A,$E40))</f>
        <v/>
      </c>
      <c r="B40" s="5">
        <f>IF($E40="","",INDEX('Input Transaksi'!$D:$D,$E40))</f>
        <v/>
      </c>
      <c r="C40">
        <f>IF($E40="","",INDEX('Input Transaksi'!$E:$E,$E40))</f>
        <v/>
      </c>
      <c r="D40" s="5">
        <f>IF($E40="","",INDEX('Input Transaksi'!$F:$F,$E40))</f>
        <v/>
      </c>
      <c r="E40">
        <f>IFERROR(AGGREGATE(15,6,ROW('Input Transaksi'!$B$5:$B$5000)/('Input Transaksi'!$B$5:$B$5000="CL SESETAN"),ROWS($E$5:E40)),"")</f>
        <v/>
      </c>
      <c r="F40" s="5" t="n"/>
    </row>
    <row r="41">
      <c r="A41" s="10">
        <f>IF($E41="","",INDEX('Input Transaksi'!$A:$A,$E41))</f>
        <v/>
      </c>
      <c r="B41" s="5">
        <f>IF($E41="","",INDEX('Input Transaksi'!$D:$D,$E41))</f>
        <v/>
      </c>
      <c r="C41">
        <f>IF($E41="","",INDEX('Input Transaksi'!$E:$E,$E41))</f>
        <v/>
      </c>
      <c r="D41" s="5">
        <f>IF($E41="","",INDEX('Input Transaksi'!$F:$F,$E41))</f>
        <v/>
      </c>
      <c r="E41">
        <f>IFERROR(AGGREGATE(15,6,ROW('Input Transaksi'!$B$5:$B$5000)/('Input Transaksi'!$B$5:$B$5000="CL SESETAN"),ROWS($E$5:E41)),"")</f>
        <v/>
      </c>
      <c r="F41" s="5" t="n"/>
    </row>
    <row r="42">
      <c r="A42" s="10">
        <f>IF($E42="","",INDEX('Input Transaksi'!$A:$A,$E42))</f>
        <v/>
      </c>
      <c r="B42" s="5">
        <f>IF($E42="","",INDEX('Input Transaksi'!$D:$D,$E42))</f>
        <v/>
      </c>
      <c r="C42">
        <f>IF($E42="","",INDEX('Input Transaksi'!$E:$E,$E42))</f>
        <v/>
      </c>
      <c r="D42" s="5">
        <f>IF($E42="","",INDEX('Input Transaksi'!$F:$F,$E42))</f>
        <v/>
      </c>
      <c r="E42">
        <f>IFERROR(AGGREGATE(15,6,ROW('Input Transaksi'!$B$5:$B$5000)/('Input Transaksi'!$B$5:$B$5000="CL SESETAN"),ROWS($E$5:E42)),"")</f>
        <v/>
      </c>
      <c r="F42" s="5" t="n"/>
    </row>
    <row r="43">
      <c r="A43" s="10">
        <f>IF($E43="","",INDEX('Input Transaksi'!$A:$A,$E43))</f>
        <v/>
      </c>
      <c r="B43" s="5">
        <f>IF($E43="","",INDEX('Input Transaksi'!$D:$D,$E43))</f>
        <v/>
      </c>
      <c r="C43">
        <f>IF($E43="","",INDEX('Input Transaksi'!$E:$E,$E43))</f>
        <v/>
      </c>
      <c r="D43" s="5">
        <f>IF($E43="","",INDEX('Input Transaksi'!$F:$F,$E43))</f>
        <v/>
      </c>
      <c r="E43">
        <f>IFERROR(AGGREGATE(15,6,ROW('Input Transaksi'!$B$5:$B$5000)/('Input Transaksi'!$B$5:$B$5000="CL SESETAN"),ROWS($E$5:E43)),"")</f>
        <v/>
      </c>
      <c r="F43" s="5" t="n"/>
    </row>
    <row r="44">
      <c r="A44" s="10">
        <f>IF($E44="","",INDEX('Input Transaksi'!$A:$A,$E44))</f>
        <v/>
      </c>
      <c r="B44" s="5">
        <f>IF($E44="","",INDEX('Input Transaksi'!$D:$D,$E44))</f>
        <v/>
      </c>
      <c r="C44">
        <f>IF($E44="","",INDEX('Input Transaksi'!$E:$E,$E44))</f>
        <v/>
      </c>
      <c r="D44" s="5">
        <f>IF($E44="","",INDEX('Input Transaksi'!$F:$F,$E44))</f>
        <v/>
      </c>
      <c r="E44">
        <f>IFERROR(AGGREGATE(15,6,ROW('Input Transaksi'!$B$5:$B$5000)/('Input Transaksi'!$B$5:$B$5000="CL SESETAN"),ROWS($E$5:E44)),"")</f>
        <v/>
      </c>
      <c r="F44" s="5" t="n"/>
    </row>
    <row r="45">
      <c r="A45" s="10">
        <f>IF($E45="","",INDEX('Input Transaksi'!$A:$A,$E45))</f>
        <v/>
      </c>
      <c r="B45" s="5">
        <f>IF($E45="","",INDEX('Input Transaksi'!$D:$D,$E45))</f>
        <v/>
      </c>
      <c r="C45">
        <f>IF($E45="","",INDEX('Input Transaksi'!$E:$E,$E45))</f>
        <v/>
      </c>
      <c r="D45" s="5">
        <f>IF($E45="","",INDEX('Input Transaksi'!$F:$F,$E45))</f>
        <v/>
      </c>
      <c r="E45">
        <f>IFERROR(AGGREGATE(15,6,ROW('Input Transaksi'!$B$5:$B$5000)/('Input Transaksi'!$B$5:$B$5000="CL SESETAN"),ROWS($E$5:E45)),"")</f>
        <v/>
      </c>
      <c r="F45" s="5" t="n"/>
    </row>
    <row r="46">
      <c r="A46" s="10">
        <f>IF($E46="","",INDEX('Input Transaksi'!$A:$A,$E46))</f>
        <v/>
      </c>
      <c r="B46" s="5">
        <f>IF($E46="","",INDEX('Input Transaksi'!$D:$D,$E46))</f>
        <v/>
      </c>
      <c r="C46">
        <f>IF($E46="","",INDEX('Input Transaksi'!$E:$E,$E46))</f>
        <v/>
      </c>
      <c r="D46" s="5">
        <f>IF($E46="","",INDEX('Input Transaksi'!$F:$F,$E46))</f>
        <v/>
      </c>
      <c r="E46">
        <f>IFERROR(AGGREGATE(15,6,ROW('Input Transaksi'!$B$5:$B$5000)/('Input Transaksi'!$B$5:$B$5000="CL SESETAN"),ROWS($E$5:E46)),"")</f>
        <v/>
      </c>
      <c r="F46" s="5" t="n"/>
    </row>
    <row r="47">
      <c r="A47" s="10">
        <f>IF($E47="","",INDEX('Input Transaksi'!$A:$A,$E47))</f>
        <v/>
      </c>
      <c r="B47" s="5">
        <f>IF($E47="","",INDEX('Input Transaksi'!$D:$D,$E47))</f>
        <v/>
      </c>
      <c r="C47">
        <f>IF($E47="","",INDEX('Input Transaksi'!$E:$E,$E47))</f>
        <v/>
      </c>
      <c r="D47" s="5">
        <f>IF($E47="","",INDEX('Input Transaksi'!$F:$F,$E47))</f>
        <v/>
      </c>
      <c r="E47">
        <f>IFERROR(AGGREGATE(15,6,ROW('Input Transaksi'!$B$5:$B$5000)/('Input Transaksi'!$B$5:$B$5000="CL SESETAN"),ROWS($E$5:E47)),"")</f>
        <v/>
      </c>
      <c r="F47" s="5" t="n"/>
    </row>
    <row r="48">
      <c r="A48" s="10">
        <f>IF($E48="","",INDEX('Input Transaksi'!$A:$A,$E48))</f>
        <v/>
      </c>
      <c r="B48" s="5">
        <f>IF($E48="","",INDEX('Input Transaksi'!$D:$D,$E48))</f>
        <v/>
      </c>
      <c r="C48">
        <f>IF($E48="","",INDEX('Input Transaksi'!$E:$E,$E48))</f>
        <v/>
      </c>
      <c r="D48" s="5">
        <f>IF($E48="","",INDEX('Input Transaksi'!$F:$F,$E48))</f>
        <v/>
      </c>
      <c r="E48">
        <f>IFERROR(AGGREGATE(15,6,ROW('Input Transaksi'!$B$5:$B$5000)/('Input Transaksi'!$B$5:$B$5000="CL SESETAN"),ROWS($E$5:E48)),"")</f>
        <v/>
      </c>
      <c r="F48" s="5" t="n"/>
    </row>
    <row r="49">
      <c r="A49" s="10">
        <f>IF($E49="","",INDEX('Input Transaksi'!$A:$A,$E49))</f>
        <v/>
      </c>
      <c r="B49" s="5">
        <f>IF($E49="","",INDEX('Input Transaksi'!$D:$D,$E49))</f>
        <v/>
      </c>
      <c r="C49">
        <f>IF($E49="","",INDEX('Input Transaksi'!$E:$E,$E49))</f>
        <v/>
      </c>
      <c r="D49" s="5">
        <f>IF($E49="","",INDEX('Input Transaksi'!$F:$F,$E49))</f>
        <v/>
      </c>
      <c r="E49">
        <f>IFERROR(AGGREGATE(15,6,ROW('Input Transaksi'!$B$5:$B$5000)/('Input Transaksi'!$B$5:$B$5000="CL SESETAN"),ROWS($E$5:E49)),"")</f>
        <v/>
      </c>
      <c r="F49" s="5" t="n"/>
    </row>
    <row r="50">
      <c r="A50" s="10">
        <f>IF($E50="","",INDEX('Input Transaksi'!$A:$A,$E50))</f>
        <v/>
      </c>
      <c r="B50" s="5">
        <f>IF($E50="","",INDEX('Input Transaksi'!$D:$D,$E50))</f>
        <v/>
      </c>
      <c r="C50">
        <f>IF($E50="","",INDEX('Input Transaksi'!$E:$E,$E50))</f>
        <v/>
      </c>
      <c r="D50" s="5">
        <f>IF($E50="","",INDEX('Input Transaksi'!$F:$F,$E50))</f>
        <v/>
      </c>
      <c r="E50">
        <f>IFERROR(AGGREGATE(15,6,ROW('Input Transaksi'!$B$5:$B$5000)/('Input Transaksi'!$B$5:$B$5000="CL SESETAN"),ROWS($E$5:E50)),"")</f>
        <v/>
      </c>
      <c r="F50" s="5" t="n"/>
    </row>
    <row r="51">
      <c r="A51" s="10">
        <f>IF($E51="","",INDEX('Input Transaksi'!$A:$A,$E51))</f>
        <v/>
      </c>
      <c r="B51" s="5">
        <f>IF($E51="","",INDEX('Input Transaksi'!$D:$D,$E51))</f>
        <v/>
      </c>
      <c r="C51">
        <f>IF($E51="","",INDEX('Input Transaksi'!$E:$E,$E51))</f>
        <v/>
      </c>
      <c r="D51" s="5">
        <f>IF($E51="","",INDEX('Input Transaksi'!$F:$F,$E51))</f>
        <v/>
      </c>
      <c r="E51">
        <f>IFERROR(AGGREGATE(15,6,ROW('Input Transaksi'!$B$5:$B$5000)/('Input Transaksi'!$B$5:$B$5000="CL SESETAN"),ROWS($E$5:E51)),"")</f>
        <v/>
      </c>
      <c r="F51" s="5" t="n"/>
    </row>
    <row r="52">
      <c r="A52" s="10">
        <f>IF($E52="","",INDEX('Input Transaksi'!$A:$A,$E52))</f>
        <v/>
      </c>
      <c r="B52" s="5">
        <f>IF($E52="","",INDEX('Input Transaksi'!$D:$D,$E52))</f>
        <v/>
      </c>
      <c r="C52">
        <f>IF($E52="","",INDEX('Input Transaksi'!$E:$E,$E52))</f>
        <v/>
      </c>
      <c r="D52" s="5">
        <f>IF($E52="","",INDEX('Input Transaksi'!$F:$F,$E52))</f>
        <v/>
      </c>
      <c r="E52">
        <f>IFERROR(AGGREGATE(15,6,ROW('Input Transaksi'!$B$5:$B$5000)/('Input Transaksi'!$B$5:$B$5000="CL SESETAN"),ROWS($E$5:E52)),"")</f>
        <v/>
      </c>
      <c r="F52" s="5" t="n"/>
    </row>
    <row r="53">
      <c r="A53" s="10">
        <f>IF($E53="","",INDEX('Input Transaksi'!$A:$A,$E53))</f>
        <v/>
      </c>
      <c r="B53" s="5">
        <f>IF($E53="","",INDEX('Input Transaksi'!$D:$D,$E53))</f>
        <v/>
      </c>
      <c r="C53">
        <f>IF($E53="","",INDEX('Input Transaksi'!$E:$E,$E53))</f>
        <v/>
      </c>
      <c r="D53" s="5">
        <f>IF($E53="","",INDEX('Input Transaksi'!$F:$F,$E53))</f>
        <v/>
      </c>
      <c r="E53">
        <f>IFERROR(AGGREGATE(15,6,ROW('Input Transaksi'!$B$5:$B$5000)/('Input Transaksi'!$B$5:$B$5000="CL SESETAN"),ROWS($E$5:E53)),"")</f>
        <v/>
      </c>
      <c r="F53" s="5" t="n"/>
    </row>
    <row r="54">
      <c r="A54" s="10">
        <f>IF($E54="","",INDEX('Input Transaksi'!$A:$A,$E54))</f>
        <v/>
      </c>
      <c r="B54" s="5">
        <f>IF($E54="","",INDEX('Input Transaksi'!$D:$D,$E54))</f>
        <v/>
      </c>
      <c r="C54">
        <f>IF($E54="","",INDEX('Input Transaksi'!$E:$E,$E54))</f>
        <v/>
      </c>
      <c r="D54" s="5">
        <f>IF($E54="","",INDEX('Input Transaksi'!$F:$F,$E54))</f>
        <v/>
      </c>
      <c r="E54">
        <f>IFERROR(AGGREGATE(15,6,ROW('Input Transaksi'!$B$5:$B$5000)/('Input Transaksi'!$B$5:$B$5000="CL SESETAN"),ROWS($E$5:E54)),"")</f>
        <v/>
      </c>
      <c r="F54" s="5" t="n"/>
    </row>
    <row r="55">
      <c r="A55" s="10">
        <f>IF($E55="","",INDEX('Input Transaksi'!$A:$A,$E55))</f>
        <v/>
      </c>
      <c r="B55" s="5">
        <f>IF($E55="","",INDEX('Input Transaksi'!$D:$D,$E55))</f>
        <v/>
      </c>
      <c r="C55">
        <f>IF($E55="","",INDEX('Input Transaksi'!$E:$E,$E55))</f>
        <v/>
      </c>
      <c r="D55" s="5">
        <f>IF($E55="","",INDEX('Input Transaksi'!$F:$F,$E55))</f>
        <v/>
      </c>
      <c r="E55">
        <f>IFERROR(AGGREGATE(15,6,ROW('Input Transaksi'!$B$5:$B$5000)/('Input Transaksi'!$B$5:$B$5000="CL SESETAN"),ROWS($E$5:E55)),"")</f>
        <v/>
      </c>
      <c r="F55" s="5" t="n"/>
    </row>
    <row r="56">
      <c r="A56" s="10">
        <f>IF($E56="","",INDEX('Input Transaksi'!$A:$A,$E56))</f>
        <v/>
      </c>
      <c r="B56" s="5">
        <f>IF($E56="","",INDEX('Input Transaksi'!$D:$D,$E56))</f>
        <v/>
      </c>
      <c r="C56">
        <f>IF($E56="","",INDEX('Input Transaksi'!$E:$E,$E56))</f>
        <v/>
      </c>
      <c r="D56" s="5">
        <f>IF($E56="","",INDEX('Input Transaksi'!$F:$F,$E56))</f>
        <v/>
      </c>
      <c r="E56">
        <f>IFERROR(AGGREGATE(15,6,ROW('Input Transaksi'!$B$5:$B$5000)/('Input Transaksi'!$B$5:$B$5000="CL SESETAN"),ROWS($E$5:E56)),"")</f>
        <v/>
      </c>
      <c r="F56" s="5" t="n"/>
    </row>
    <row r="57">
      <c r="A57" s="10">
        <f>IF($E57="","",INDEX('Input Transaksi'!$A:$A,$E57))</f>
        <v/>
      </c>
      <c r="B57" s="5">
        <f>IF($E57="","",INDEX('Input Transaksi'!$D:$D,$E57))</f>
        <v/>
      </c>
      <c r="C57">
        <f>IF($E57="","",INDEX('Input Transaksi'!$E:$E,$E57))</f>
        <v/>
      </c>
      <c r="D57" s="5">
        <f>IF($E57="","",INDEX('Input Transaksi'!$F:$F,$E57))</f>
        <v/>
      </c>
      <c r="E57">
        <f>IFERROR(AGGREGATE(15,6,ROW('Input Transaksi'!$B$5:$B$5000)/('Input Transaksi'!$B$5:$B$5000="CL SESETAN"),ROWS($E$5:E57)),"")</f>
        <v/>
      </c>
      <c r="F57" s="5" t="n"/>
    </row>
    <row r="58">
      <c r="A58" s="10">
        <f>IF($E58="","",INDEX('Input Transaksi'!$A:$A,$E58))</f>
        <v/>
      </c>
      <c r="B58" s="5">
        <f>IF($E58="","",INDEX('Input Transaksi'!$D:$D,$E58))</f>
        <v/>
      </c>
      <c r="C58">
        <f>IF($E58="","",INDEX('Input Transaksi'!$E:$E,$E58))</f>
        <v/>
      </c>
      <c r="D58" s="5">
        <f>IF($E58="","",INDEX('Input Transaksi'!$F:$F,$E58))</f>
        <v/>
      </c>
      <c r="E58">
        <f>IFERROR(AGGREGATE(15,6,ROW('Input Transaksi'!$B$5:$B$5000)/('Input Transaksi'!$B$5:$B$5000="CL SESETAN"),ROWS($E$5:E58)),"")</f>
        <v/>
      </c>
      <c r="F58" s="5" t="n"/>
    </row>
    <row r="59">
      <c r="A59" s="10">
        <f>IF($E59="","",INDEX('Input Transaksi'!$A:$A,$E59))</f>
        <v/>
      </c>
      <c r="B59" s="5">
        <f>IF($E59="","",INDEX('Input Transaksi'!$D:$D,$E59))</f>
        <v/>
      </c>
      <c r="C59">
        <f>IF($E59="","",INDEX('Input Transaksi'!$E:$E,$E59))</f>
        <v/>
      </c>
      <c r="D59" s="5">
        <f>IF($E59="","",INDEX('Input Transaksi'!$F:$F,$E59))</f>
        <v/>
      </c>
      <c r="E59">
        <f>IFERROR(AGGREGATE(15,6,ROW('Input Transaksi'!$B$5:$B$5000)/('Input Transaksi'!$B$5:$B$5000="CL SESETAN"),ROWS($E$5:E59)),"")</f>
        <v/>
      </c>
      <c r="F59" s="5" t="n"/>
    </row>
    <row r="60">
      <c r="A60" s="10">
        <f>IF($E60="","",INDEX('Input Transaksi'!$A:$A,$E60))</f>
        <v/>
      </c>
      <c r="B60" s="5">
        <f>IF($E60="","",INDEX('Input Transaksi'!$D:$D,$E60))</f>
        <v/>
      </c>
      <c r="C60">
        <f>IF($E60="","",INDEX('Input Transaksi'!$E:$E,$E60))</f>
        <v/>
      </c>
      <c r="D60" s="5">
        <f>IF($E60="","",INDEX('Input Transaksi'!$F:$F,$E60))</f>
        <v/>
      </c>
      <c r="E60">
        <f>IFERROR(AGGREGATE(15,6,ROW('Input Transaksi'!$B$5:$B$5000)/('Input Transaksi'!$B$5:$B$5000="CL SESETAN"),ROWS($E$5:E60)),"")</f>
        <v/>
      </c>
      <c r="F60" s="5" t="n"/>
    </row>
    <row r="61">
      <c r="A61" s="10">
        <f>IF($E61="","",INDEX('Input Transaksi'!$A:$A,$E61))</f>
        <v/>
      </c>
      <c r="B61" s="5">
        <f>IF($E61="","",INDEX('Input Transaksi'!$D:$D,$E61))</f>
        <v/>
      </c>
      <c r="C61">
        <f>IF($E61="","",INDEX('Input Transaksi'!$E:$E,$E61))</f>
        <v/>
      </c>
      <c r="D61" s="5">
        <f>IF($E61="","",INDEX('Input Transaksi'!$F:$F,$E61))</f>
        <v/>
      </c>
      <c r="E61">
        <f>IFERROR(AGGREGATE(15,6,ROW('Input Transaksi'!$B$5:$B$5000)/('Input Transaksi'!$B$5:$B$5000="CL SESETAN"),ROWS($E$5:E61)),"")</f>
        <v/>
      </c>
      <c r="F61" s="5" t="n"/>
    </row>
    <row r="62">
      <c r="A62" s="10">
        <f>IF($E62="","",INDEX('Input Transaksi'!$A:$A,$E62))</f>
        <v/>
      </c>
      <c r="B62" s="5">
        <f>IF($E62="","",INDEX('Input Transaksi'!$D:$D,$E62))</f>
        <v/>
      </c>
      <c r="C62">
        <f>IF($E62="","",INDEX('Input Transaksi'!$E:$E,$E62))</f>
        <v/>
      </c>
      <c r="D62" s="5">
        <f>IF($E62="","",INDEX('Input Transaksi'!$F:$F,$E62))</f>
        <v/>
      </c>
      <c r="E62">
        <f>IFERROR(AGGREGATE(15,6,ROW('Input Transaksi'!$B$5:$B$5000)/('Input Transaksi'!$B$5:$B$5000="CL SESETAN"),ROWS($E$5:E62)),"")</f>
        <v/>
      </c>
      <c r="F62" s="5" t="n"/>
    </row>
    <row r="63">
      <c r="A63" s="10">
        <f>IF($E63="","",INDEX('Input Transaksi'!$A:$A,$E63))</f>
        <v/>
      </c>
      <c r="B63" s="5">
        <f>IF($E63="","",INDEX('Input Transaksi'!$D:$D,$E63))</f>
        <v/>
      </c>
      <c r="C63">
        <f>IF($E63="","",INDEX('Input Transaksi'!$E:$E,$E63))</f>
        <v/>
      </c>
      <c r="D63" s="5">
        <f>IF($E63="","",INDEX('Input Transaksi'!$F:$F,$E63))</f>
        <v/>
      </c>
      <c r="E63">
        <f>IFERROR(AGGREGATE(15,6,ROW('Input Transaksi'!$B$5:$B$5000)/('Input Transaksi'!$B$5:$B$5000="CL SESETAN"),ROWS($E$5:E63)),"")</f>
        <v/>
      </c>
      <c r="F63" s="5" t="n"/>
    </row>
    <row r="64">
      <c r="A64" s="10">
        <f>IF($E64="","",INDEX('Input Transaksi'!$A:$A,$E64))</f>
        <v/>
      </c>
      <c r="B64" s="5">
        <f>IF($E64="","",INDEX('Input Transaksi'!$D:$D,$E64))</f>
        <v/>
      </c>
      <c r="C64">
        <f>IF($E64="","",INDEX('Input Transaksi'!$E:$E,$E64))</f>
        <v/>
      </c>
      <c r="D64" s="5">
        <f>IF($E64="","",INDEX('Input Transaksi'!$F:$F,$E64))</f>
        <v/>
      </c>
      <c r="E64">
        <f>IFERROR(AGGREGATE(15,6,ROW('Input Transaksi'!$B$5:$B$5000)/('Input Transaksi'!$B$5:$B$5000="CL SESETAN"),ROWS($E$5:E64)),"")</f>
        <v/>
      </c>
      <c r="F64" s="5" t="n"/>
    </row>
    <row r="65">
      <c r="A65" s="10">
        <f>IF($E65="","",INDEX('Input Transaksi'!$A:$A,$E65))</f>
        <v/>
      </c>
      <c r="B65" s="5">
        <f>IF($E65="","",INDEX('Input Transaksi'!$D:$D,$E65))</f>
        <v/>
      </c>
      <c r="C65">
        <f>IF($E65="","",INDEX('Input Transaksi'!$E:$E,$E65))</f>
        <v/>
      </c>
      <c r="D65" s="5">
        <f>IF($E65="","",INDEX('Input Transaksi'!$F:$F,$E65))</f>
        <v/>
      </c>
      <c r="E65">
        <f>IFERROR(AGGREGATE(15,6,ROW('Input Transaksi'!$B$5:$B$5000)/('Input Transaksi'!$B$5:$B$5000="CL SESETAN"),ROWS($E$5:E65)),"")</f>
        <v/>
      </c>
      <c r="F65" s="5" t="n"/>
    </row>
    <row r="66">
      <c r="A66" s="10">
        <f>IF($E66="","",INDEX('Input Transaksi'!$A:$A,$E66))</f>
        <v/>
      </c>
      <c r="B66" s="5">
        <f>IF($E66="","",INDEX('Input Transaksi'!$D:$D,$E66))</f>
        <v/>
      </c>
      <c r="C66">
        <f>IF($E66="","",INDEX('Input Transaksi'!$E:$E,$E66))</f>
        <v/>
      </c>
      <c r="D66" s="5">
        <f>IF($E66="","",INDEX('Input Transaksi'!$F:$F,$E66))</f>
        <v/>
      </c>
      <c r="E66">
        <f>IFERROR(AGGREGATE(15,6,ROW('Input Transaksi'!$B$5:$B$5000)/('Input Transaksi'!$B$5:$B$5000="CL SESETAN"),ROWS($E$5:E66)),"")</f>
        <v/>
      </c>
      <c r="F66" s="5" t="n"/>
    </row>
    <row r="67">
      <c r="A67" s="10">
        <f>IF($E67="","",INDEX('Input Transaksi'!$A:$A,$E67))</f>
        <v/>
      </c>
      <c r="B67" s="5">
        <f>IF($E67="","",INDEX('Input Transaksi'!$D:$D,$E67))</f>
        <v/>
      </c>
      <c r="C67">
        <f>IF($E67="","",INDEX('Input Transaksi'!$E:$E,$E67))</f>
        <v/>
      </c>
      <c r="D67" s="5">
        <f>IF($E67="","",INDEX('Input Transaksi'!$F:$F,$E67))</f>
        <v/>
      </c>
      <c r="E67">
        <f>IFERROR(AGGREGATE(15,6,ROW('Input Transaksi'!$B$5:$B$5000)/('Input Transaksi'!$B$5:$B$5000="CL SESETAN"),ROWS($E$5:E67)),"")</f>
        <v/>
      </c>
      <c r="F67" s="5" t="n"/>
    </row>
    <row r="68">
      <c r="A68" s="10">
        <f>IF($E68="","",INDEX('Input Transaksi'!$A:$A,$E68))</f>
        <v/>
      </c>
      <c r="B68" s="5">
        <f>IF($E68="","",INDEX('Input Transaksi'!$D:$D,$E68))</f>
        <v/>
      </c>
      <c r="C68">
        <f>IF($E68="","",INDEX('Input Transaksi'!$E:$E,$E68))</f>
        <v/>
      </c>
      <c r="D68" s="5">
        <f>IF($E68="","",INDEX('Input Transaksi'!$F:$F,$E68))</f>
        <v/>
      </c>
      <c r="E68">
        <f>IFERROR(AGGREGATE(15,6,ROW('Input Transaksi'!$B$5:$B$5000)/('Input Transaksi'!$B$5:$B$5000="CL SESETAN"),ROWS($E$5:E68)),"")</f>
        <v/>
      </c>
      <c r="F68" s="5" t="n"/>
    </row>
    <row r="69">
      <c r="A69" s="10">
        <f>IF($E69="","",INDEX('Input Transaksi'!$A:$A,$E69))</f>
        <v/>
      </c>
      <c r="B69" s="5">
        <f>IF($E69="","",INDEX('Input Transaksi'!$D:$D,$E69))</f>
        <v/>
      </c>
      <c r="C69">
        <f>IF($E69="","",INDEX('Input Transaksi'!$E:$E,$E69))</f>
        <v/>
      </c>
      <c r="D69" s="5">
        <f>IF($E69="","",INDEX('Input Transaksi'!$F:$F,$E69))</f>
        <v/>
      </c>
      <c r="E69">
        <f>IFERROR(AGGREGATE(15,6,ROW('Input Transaksi'!$B$5:$B$5000)/('Input Transaksi'!$B$5:$B$5000="CL SESETAN"),ROWS($E$5:E69)),"")</f>
        <v/>
      </c>
      <c r="F69" s="5" t="n"/>
    </row>
    <row r="70">
      <c r="A70" s="10">
        <f>IF($E70="","",INDEX('Input Transaksi'!$A:$A,$E70))</f>
        <v/>
      </c>
      <c r="B70" s="5">
        <f>IF($E70="","",INDEX('Input Transaksi'!$D:$D,$E70))</f>
        <v/>
      </c>
      <c r="C70">
        <f>IF($E70="","",INDEX('Input Transaksi'!$E:$E,$E70))</f>
        <v/>
      </c>
      <c r="D70" s="5">
        <f>IF($E70="","",INDEX('Input Transaksi'!$F:$F,$E70))</f>
        <v/>
      </c>
      <c r="E70">
        <f>IFERROR(AGGREGATE(15,6,ROW('Input Transaksi'!$B$5:$B$5000)/('Input Transaksi'!$B$5:$B$5000="CL SESETAN"),ROWS($E$5:E70)),"")</f>
        <v/>
      </c>
      <c r="F70" s="5" t="n"/>
    </row>
    <row r="71">
      <c r="A71" s="10">
        <f>IF($E71="","",INDEX('Input Transaksi'!$A:$A,$E71))</f>
        <v/>
      </c>
      <c r="B71" s="5">
        <f>IF($E71="","",INDEX('Input Transaksi'!$D:$D,$E71))</f>
        <v/>
      </c>
      <c r="C71">
        <f>IF($E71="","",INDEX('Input Transaksi'!$E:$E,$E71))</f>
        <v/>
      </c>
      <c r="D71" s="5">
        <f>IF($E71="","",INDEX('Input Transaksi'!$F:$F,$E71))</f>
        <v/>
      </c>
      <c r="E71">
        <f>IFERROR(AGGREGATE(15,6,ROW('Input Transaksi'!$B$5:$B$5000)/('Input Transaksi'!$B$5:$B$5000="CL SESETAN"),ROWS($E$5:E71)),"")</f>
        <v/>
      </c>
      <c r="F71" s="5" t="n"/>
    </row>
    <row r="72">
      <c r="A72" s="10">
        <f>IF($E72="","",INDEX('Input Transaksi'!$A:$A,$E72))</f>
        <v/>
      </c>
      <c r="B72" s="5">
        <f>IF($E72="","",INDEX('Input Transaksi'!$D:$D,$E72))</f>
        <v/>
      </c>
      <c r="C72">
        <f>IF($E72="","",INDEX('Input Transaksi'!$E:$E,$E72))</f>
        <v/>
      </c>
      <c r="D72" s="5">
        <f>IF($E72="","",INDEX('Input Transaksi'!$F:$F,$E72))</f>
        <v/>
      </c>
      <c r="E72">
        <f>IFERROR(AGGREGATE(15,6,ROW('Input Transaksi'!$B$5:$B$5000)/('Input Transaksi'!$B$5:$B$5000="CL SESETAN"),ROWS($E$5:E72)),"")</f>
        <v/>
      </c>
      <c r="F72" s="5" t="n"/>
    </row>
    <row r="73">
      <c r="A73" s="10">
        <f>IF($E73="","",INDEX('Input Transaksi'!$A:$A,$E73))</f>
        <v/>
      </c>
      <c r="B73" s="5">
        <f>IF($E73="","",INDEX('Input Transaksi'!$D:$D,$E73))</f>
        <v/>
      </c>
      <c r="C73">
        <f>IF($E73="","",INDEX('Input Transaksi'!$E:$E,$E73))</f>
        <v/>
      </c>
      <c r="D73" s="5">
        <f>IF($E73="","",INDEX('Input Transaksi'!$F:$F,$E73))</f>
        <v/>
      </c>
      <c r="E73">
        <f>IFERROR(AGGREGATE(15,6,ROW('Input Transaksi'!$B$5:$B$5000)/('Input Transaksi'!$B$5:$B$5000="CL SESETAN"),ROWS($E$5:E73)),"")</f>
        <v/>
      </c>
      <c r="F73" s="5" t="n"/>
    </row>
    <row r="74">
      <c r="A74" s="10">
        <f>IF($E74="","",INDEX('Input Transaksi'!$A:$A,$E74))</f>
        <v/>
      </c>
      <c r="B74" s="5">
        <f>IF($E74="","",INDEX('Input Transaksi'!$D:$D,$E74))</f>
        <v/>
      </c>
      <c r="C74">
        <f>IF($E74="","",INDEX('Input Transaksi'!$E:$E,$E74))</f>
        <v/>
      </c>
      <c r="D74" s="5">
        <f>IF($E74="","",INDEX('Input Transaksi'!$F:$F,$E74))</f>
        <v/>
      </c>
      <c r="E74">
        <f>IFERROR(AGGREGATE(15,6,ROW('Input Transaksi'!$B$5:$B$5000)/('Input Transaksi'!$B$5:$B$5000="CL SESETAN"),ROWS($E$5:E74)),"")</f>
        <v/>
      </c>
      <c r="F74" s="5" t="n"/>
    </row>
    <row r="75">
      <c r="A75" s="10">
        <f>IF($E75="","",INDEX('Input Transaksi'!$A:$A,$E75))</f>
        <v/>
      </c>
      <c r="B75" s="5">
        <f>IF($E75="","",INDEX('Input Transaksi'!$D:$D,$E75))</f>
        <v/>
      </c>
      <c r="C75">
        <f>IF($E75="","",INDEX('Input Transaksi'!$E:$E,$E75))</f>
        <v/>
      </c>
      <c r="D75" s="5">
        <f>IF($E75="","",INDEX('Input Transaksi'!$F:$F,$E75))</f>
        <v/>
      </c>
      <c r="E75">
        <f>IFERROR(AGGREGATE(15,6,ROW('Input Transaksi'!$B$5:$B$5000)/('Input Transaksi'!$B$5:$B$5000="CL SESETAN"),ROWS($E$5:E75)),"")</f>
        <v/>
      </c>
      <c r="F75" s="5" t="n"/>
    </row>
    <row r="76">
      <c r="A76" s="10">
        <f>IF($E76="","",INDEX('Input Transaksi'!$A:$A,$E76))</f>
        <v/>
      </c>
      <c r="B76" s="5">
        <f>IF($E76="","",INDEX('Input Transaksi'!$D:$D,$E76))</f>
        <v/>
      </c>
      <c r="C76">
        <f>IF($E76="","",INDEX('Input Transaksi'!$E:$E,$E76))</f>
        <v/>
      </c>
      <c r="D76" s="5">
        <f>IF($E76="","",INDEX('Input Transaksi'!$F:$F,$E76))</f>
        <v/>
      </c>
      <c r="E76">
        <f>IFERROR(AGGREGATE(15,6,ROW('Input Transaksi'!$B$5:$B$5000)/('Input Transaksi'!$B$5:$B$5000="CL SESETAN"),ROWS($E$5:E76)),"")</f>
        <v/>
      </c>
      <c r="F76" s="5" t="n"/>
    </row>
    <row r="77">
      <c r="A77" s="10">
        <f>IF($E77="","",INDEX('Input Transaksi'!$A:$A,$E77))</f>
        <v/>
      </c>
      <c r="B77" s="5">
        <f>IF($E77="","",INDEX('Input Transaksi'!$D:$D,$E77))</f>
        <v/>
      </c>
      <c r="C77">
        <f>IF($E77="","",INDEX('Input Transaksi'!$E:$E,$E77))</f>
        <v/>
      </c>
      <c r="D77" s="5">
        <f>IF($E77="","",INDEX('Input Transaksi'!$F:$F,$E77))</f>
        <v/>
      </c>
      <c r="E77">
        <f>IFERROR(AGGREGATE(15,6,ROW('Input Transaksi'!$B$5:$B$5000)/('Input Transaksi'!$B$5:$B$5000="CL SESETAN"),ROWS($E$5:E77)),"")</f>
        <v/>
      </c>
      <c r="F77" s="5" t="n"/>
    </row>
    <row r="78">
      <c r="A78" s="10">
        <f>IF($E78="","",INDEX('Input Transaksi'!$A:$A,$E78))</f>
        <v/>
      </c>
      <c r="B78" s="5">
        <f>IF($E78="","",INDEX('Input Transaksi'!$D:$D,$E78))</f>
        <v/>
      </c>
      <c r="C78">
        <f>IF($E78="","",INDEX('Input Transaksi'!$E:$E,$E78))</f>
        <v/>
      </c>
      <c r="D78" s="5">
        <f>IF($E78="","",INDEX('Input Transaksi'!$F:$F,$E78))</f>
        <v/>
      </c>
      <c r="E78">
        <f>IFERROR(AGGREGATE(15,6,ROW('Input Transaksi'!$B$5:$B$5000)/('Input Transaksi'!$B$5:$B$5000="CL SESETAN"),ROWS($E$5:E78)),"")</f>
        <v/>
      </c>
      <c r="F78" s="5" t="n"/>
    </row>
    <row r="79">
      <c r="A79" s="10">
        <f>IF($E79="","",INDEX('Input Transaksi'!$A:$A,$E79))</f>
        <v/>
      </c>
      <c r="B79" s="5">
        <f>IF($E79="","",INDEX('Input Transaksi'!$D:$D,$E79))</f>
        <v/>
      </c>
      <c r="C79">
        <f>IF($E79="","",INDEX('Input Transaksi'!$E:$E,$E79))</f>
        <v/>
      </c>
      <c r="D79" s="5">
        <f>IF($E79="","",INDEX('Input Transaksi'!$F:$F,$E79))</f>
        <v/>
      </c>
      <c r="E79">
        <f>IFERROR(AGGREGATE(15,6,ROW('Input Transaksi'!$B$5:$B$5000)/('Input Transaksi'!$B$5:$B$5000="CL SESETAN"),ROWS($E$5:E79)),"")</f>
        <v/>
      </c>
      <c r="F79" s="5" t="n"/>
    </row>
    <row r="80">
      <c r="A80" s="10">
        <f>IF($E80="","",INDEX('Input Transaksi'!$A:$A,$E80))</f>
        <v/>
      </c>
      <c r="B80" s="5">
        <f>IF($E80="","",INDEX('Input Transaksi'!$D:$D,$E80))</f>
        <v/>
      </c>
      <c r="C80">
        <f>IF($E80="","",INDEX('Input Transaksi'!$E:$E,$E80))</f>
        <v/>
      </c>
      <c r="D80" s="5">
        <f>IF($E80="","",INDEX('Input Transaksi'!$F:$F,$E80))</f>
        <v/>
      </c>
      <c r="E80">
        <f>IFERROR(AGGREGATE(15,6,ROW('Input Transaksi'!$B$5:$B$5000)/('Input Transaksi'!$B$5:$B$5000="CL SESETAN"),ROWS($E$5:E80)),"")</f>
        <v/>
      </c>
      <c r="F80" s="5" t="n"/>
    </row>
    <row r="81">
      <c r="A81" s="10">
        <f>IF($E81="","",INDEX('Input Transaksi'!$A:$A,$E81))</f>
        <v/>
      </c>
      <c r="B81" s="5">
        <f>IF($E81="","",INDEX('Input Transaksi'!$D:$D,$E81))</f>
        <v/>
      </c>
      <c r="C81">
        <f>IF($E81="","",INDEX('Input Transaksi'!$E:$E,$E81))</f>
        <v/>
      </c>
      <c r="D81" s="5">
        <f>IF($E81="","",INDEX('Input Transaksi'!$F:$F,$E81))</f>
        <v/>
      </c>
      <c r="E81">
        <f>IFERROR(AGGREGATE(15,6,ROW('Input Transaksi'!$B$5:$B$5000)/('Input Transaksi'!$B$5:$B$5000="CL SESETAN"),ROWS($E$5:E81)),"")</f>
        <v/>
      </c>
      <c r="F81" s="5" t="n"/>
    </row>
    <row r="82">
      <c r="A82" s="10">
        <f>IF($E82="","",INDEX('Input Transaksi'!$A:$A,$E82))</f>
        <v/>
      </c>
      <c r="B82" s="5">
        <f>IF($E82="","",INDEX('Input Transaksi'!$D:$D,$E82))</f>
        <v/>
      </c>
      <c r="C82">
        <f>IF($E82="","",INDEX('Input Transaksi'!$E:$E,$E82))</f>
        <v/>
      </c>
      <c r="D82" s="5">
        <f>IF($E82="","",INDEX('Input Transaksi'!$F:$F,$E82))</f>
        <v/>
      </c>
      <c r="E82">
        <f>IFERROR(AGGREGATE(15,6,ROW('Input Transaksi'!$B$5:$B$5000)/('Input Transaksi'!$B$5:$B$5000="CL SESETAN"),ROWS($E$5:E82)),"")</f>
        <v/>
      </c>
      <c r="F82" s="5" t="n"/>
    </row>
    <row r="83">
      <c r="A83" s="10">
        <f>IF($E83="","",INDEX('Input Transaksi'!$A:$A,$E83))</f>
        <v/>
      </c>
      <c r="B83" s="5">
        <f>IF($E83="","",INDEX('Input Transaksi'!$D:$D,$E83))</f>
        <v/>
      </c>
      <c r="C83">
        <f>IF($E83="","",INDEX('Input Transaksi'!$E:$E,$E83))</f>
        <v/>
      </c>
      <c r="D83" s="5">
        <f>IF($E83="","",INDEX('Input Transaksi'!$F:$F,$E83))</f>
        <v/>
      </c>
      <c r="E83">
        <f>IFERROR(AGGREGATE(15,6,ROW('Input Transaksi'!$B$5:$B$5000)/('Input Transaksi'!$B$5:$B$5000="CL SESETAN"),ROWS($E$5:E83)),"")</f>
        <v/>
      </c>
      <c r="F83" s="5" t="n"/>
    </row>
    <row r="84">
      <c r="A84" s="10">
        <f>IF($E84="","",INDEX('Input Transaksi'!$A:$A,$E84))</f>
        <v/>
      </c>
      <c r="B84" s="5">
        <f>IF($E84="","",INDEX('Input Transaksi'!$D:$D,$E84))</f>
        <v/>
      </c>
      <c r="C84">
        <f>IF($E84="","",INDEX('Input Transaksi'!$E:$E,$E84))</f>
        <v/>
      </c>
      <c r="D84" s="5">
        <f>IF($E84="","",INDEX('Input Transaksi'!$F:$F,$E84))</f>
        <v/>
      </c>
      <c r="E84">
        <f>IFERROR(AGGREGATE(15,6,ROW('Input Transaksi'!$B$5:$B$5000)/('Input Transaksi'!$B$5:$B$5000="CL SESETAN"),ROWS($E$5:E84)),"")</f>
        <v/>
      </c>
      <c r="F84" s="5" t="n"/>
    </row>
    <row r="85">
      <c r="A85" s="10">
        <f>IF($E85="","",INDEX('Input Transaksi'!$A:$A,$E85))</f>
        <v/>
      </c>
      <c r="B85" s="5">
        <f>IF($E85="","",INDEX('Input Transaksi'!$D:$D,$E85))</f>
        <v/>
      </c>
      <c r="C85">
        <f>IF($E85="","",INDEX('Input Transaksi'!$E:$E,$E85))</f>
        <v/>
      </c>
      <c r="D85" s="5">
        <f>IF($E85="","",INDEX('Input Transaksi'!$F:$F,$E85))</f>
        <v/>
      </c>
      <c r="E85">
        <f>IFERROR(AGGREGATE(15,6,ROW('Input Transaksi'!$B$5:$B$5000)/('Input Transaksi'!$B$5:$B$5000="CL SESETAN"),ROWS($E$5:E85)),"")</f>
        <v/>
      </c>
      <c r="F85" s="5" t="n"/>
    </row>
    <row r="86">
      <c r="A86" s="10">
        <f>IF($E86="","",INDEX('Input Transaksi'!$A:$A,$E86))</f>
        <v/>
      </c>
      <c r="B86" s="5">
        <f>IF($E86="","",INDEX('Input Transaksi'!$D:$D,$E86))</f>
        <v/>
      </c>
      <c r="C86">
        <f>IF($E86="","",INDEX('Input Transaksi'!$E:$E,$E86))</f>
        <v/>
      </c>
      <c r="D86" s="5">
        <f>IF($E86="","",INDEX('Input Transaksi'!$F:$F,$E86))</f>
        <v/>
      </c>
      <c r="E86">
        <f>IFERROR(AGGREGATE(15,6,ROW('Input Transaksi'!$B$5:$B$5000)/('Input Transaksi'!$B$5:$B$5000="CL SESETAN"),ROWS($E$5:E86)),"")</f>
        <v/>
      </c>
      <c r="F86" s="5" t="n"/>
    </row>
    <row r="87">
      <c r="A87" s="10">
        <f>IF($E87="","",INDEX('Input Transaksi'!$A:$A,$E87))</f>
        <v/>
      </c>
      <c r="B87" s="5">
        <f>IF($E87="","",INDEX('Input Transaksi'!$D:$D,$E87))</f>
        <v/>
      </c>
      <c r="C87">
        <f>IF($E87="","",INDEX('Input Transaksi'!$E:$E,$E87))</f>
        <v/>
      </c>
      <c r="D87" s="5">
        <f>IF($E87="","",INDEX('Input Transaksi'!$F:$F,$E87))</f>
        <v/>
      </c>
      <c r="E87">
        <f>IFERROR(AGGREGATE(15,6,ROW('Input Transaksi'!$B$5:$B$5000)/('Input Transaksi'!$B$5:$B$5000="CL SESETAN"),ROWS($E$5:E87)),"")</f>
        <v/>
      </c>
      <c r="F87" s="5" t="n"/>
    </row>
    <row r="88">
      <c r="A88" s="10">
        <f>IF($E88="","",INDEX('Input Transaksi'!$A:$A,$E88))</f>
        <v/>
      </c>
      <c r="B88" s="5">
        <f>IF($E88="","",INDEX('Input Transaksi'!$D:$D,$E88))</f>
        <v/>
      </c>
      <c r="C88">
        <f>IF($E88="","",INDEX('Input Transaksi'!$E:$E,$E88))</f>
        <v/>
      </c>
      <c r="D88" s="5">
        <f>IF($E88="","",INDEX('Input Transaksi'!$F:$F,$E88))</f>
        <v/>
      </c>
      <c r="E88">
        <f>IFERROR(AGGREGATE(15,6,ROW('Input Transaksi'!$B$5:$B$5000)/('Input Transaksi'!$B$5:$B$5000="CL SESETAN"),ROWS($E$5:E88)),"")</f>
        <v/>
      </c>
      <c r="F88" s="5" t="n"/>
    </row>
    <row r="89">
      <c r="A89" s="10">
        <f>IF($E89="","",INDEX('Input Transaksi'!$A:$A,$E89))</f>
        <v/>
      </c>
      <c r="B89" s="5">
        <f>IF($E89="","",INDEX('Input Transaksi'!$D:$D,$E89))</f>
        <v/>
      </c>
      <c r="C89">
        <f>IF($E89="","",INDEX('Input Transaksi'!$E:$E,$E89))</f>
        <v/>
      </c>
      <c r="D89" s="5">
        <f>IF($E89="","",INDEX('Input Transaksi'!$F:$F,$E89))</f>
        <v/>
      </c>
      <c r="E89">
        <f>IFERROR(AGGREGATE(15,6,ROW('Input Transaksi'!$B$5:$B$5000)/('Input Transaksi'!$B$5:$B$5000="CL SESETAN"),ROWS($E$5:E89)),"")</f>
        <v/>
      </c>
      <c r="F89" s="5" t="n"/>
    </row>
    <row r="90">
      <c r="A90" s="10">
        <f>IF($E90="","",INDEX('Input Transaksi'!$A:$A,$E90))</f>
        <v/>
      </c>
      <c r="B90" s="5">
        <f>IF($E90="","",INDEX('Input Transaksi'!$D:$D,$E90))</f>
        <v/>
      </c>
      <c r="C90">
        <f>IF($E90="","",INDEX('Input Transaksi'!$E:$E,$E90))</f>
        <v/>
      </c>
      <c r="D90" s="5">
        <f>IF($E90="","",INDEX('Input Transaksi'!$F:$F,$E90))</f>
        <v/>
      </c>
      <c r="E90">
        <f>IFERROR(AGGREGATE(15,6,ROW('Input Transaksi'!$B$5:$B$5000)/('Input Transaksi'!$B$5:$B$5000="CL SESETAN"),ROWS($E$5:E90)),"")</f>
        <v/>
      </c>
      <c r="F90" s="5" t="n"/>
    </row>
    <row r="91">
      <c r="A91" s="10">
        <f>IF($E91="","",INDEX('Input Transaksi'!$A:$A,$E91))</f>
        <v/>
      </c>
      <c r="B91" s="5">
        <f>IF($E91="","",INDEX('Input Transaksi'!$D:$D,$E91))</f>
        <v/>
      </c>
      <c r="C91">
        <f>IF($E91="","",INDEX('Input Transaksi'!$E:$E,$E91))</f>
        <v/>
      </c>
      <c r="D91" s="5">
        <f>IF($E91="","",INDEX('Input Transaksi'!$F:$F,$E91))</f>
        <v/>
      </c>
      <c r="E91">
        <f>IFERROR(AGGREGATE(15,6,ROW('Input Transaksi'!$B$5:$B$5000)/('Input Transaksi'!$B$5:$B$5000="CL SESETAN"),ROWS($E$5:E91)),"")</f>
        <v/>
      </c>
      <c r="F91" s="5" t="n"/>
    </row>
    <row r="92">
      <c r="A92" s="10">
        <f>IF($E92="","",INDEX('Input Transaksi'!$A:$A,$E92))</f>
        <v/>
      </c>
      <c r="B92" s="5">
        <f>IF($E92="","",INDEX('Input Transaksi'!$D:$D,$E92))</f>
        <v/>
      </c>
      <c r="C92">
        <f>IF($E92="","",INDEX('Input Transaksi'!$E:$E,$E92))</f>
        <v/>
      </c>
      <c r="D92" s="5">
        <f>IF($E92="","",INDEX('Input Transaksi'!$F:$F,$E92))</f>
        <v/>
      </c>
      <c r="E92">
        <f>IFERROR(AGGREGATE(15,6,ROW('Input Transaksi'!$B$5:$B$5000)/('Input Transaksi'!$B$5:$B$5000="CL SESETAN"),ROWS($E$5:E92)),"")</f>
        <v/>
      </c>
      <c r="F92" s="5" t="n"/>
    </row>
    <row r="93">
      <c r="A93" s="10">
        <f>IF($E93="","",INDEX('Input Transaksi'!$A:$A,$E93))</f>
        <v/>
      </c>
      <c r="B93" s="5">
        <f>IF($E93="","",INDEX('Input Transaksi'!$D:$D,$E93))</f>
        <v/>
      </c>
      <c r="C93">
        <f>IF($E93="","",INDEX('Input Transaksi'!$E:$E,$E93))</f>
        <v/>
      </c>
      <c r="D93" s="5">
        <f>IF($E93="","",INDEX('Input Transaksi'!$F:$F,$E93))</f>
        <v/>
      </c>
      <c r="E93">
        <f>IFERROR(AGGREGATE(15,6,ROW('Input Transaksi'!$B$5:$B$5000)/('Input Transaksi'!$B$5:$B$5000="CL SESETAN"),ROWS($E$5:E93)),"")</f>
        <v/>
      </c>
      <c r="F93" s="5" t="n"/>
    </row>
    <row r="94">
      <c r="A94" s="10">
        <f>IF($E94="","",INDEX('Input Transaksi'!$A:$A,$E94))</f>
        <v/>
      </c>
      <c r="B94" s="5">
        <f>IF($E94="","",INDEX('Input Transaksi'!$D:$D,$E94))</f>
        <v/>
      </c>
      <c r="C94">
        <f>IF($E94="","",INDEX('Input Transaksi'!$E:$E,$E94))</f>
        <v/>
      </c>
      <c r="D94" s="5">
        <f>IF($E94="","",INDEX('Input Transaksi'!$F:$F,$E94))</f>
        <v/>
      </c>
      <c r="E94">
        <f>IFERROR(AGGREGATE(15,6,ROW('Input Transaksi'!$B$5:$B$5000)/('Input Transaksi'!$B$5:$B$5000="CL SESETAN"),ROWS($E$5:E94)),"")</f>
        <v/>
      </c>
      <c r="F94" s="5" t="n"/>
    </row>
    <row r="95">
      <c r="A95" s="10">
        <f>IF($E95="","",INDEX('Input Transaksi'!$A:$A,$E95))</f>
        <v/>
      </c>
      <c r="B95" s="5">
        <f>IF($E95="","",INDEX('Input Transaksi'!$D:$D,$E95))</f>
        <v/>
      </c>
      <c r="C95">
        <f>IF($E95="","",INDEX('Input Transaksi'!$E:$E,$E95))</f>
        <v/>
      </c>
      <c r="D95" s="5">
        <f>IF($E95="","",INDEX('Input Transaksi'!$F:$F,$E95))</f>
        <v/>
      </c>
      <c r="E95">
        <f>IFERROR(AGGREGATE(15,6,ROW('Input Transaksi'!$B$5:$B$5000)/('Input Transaksi'!$B$5:$B$5000="CL SESETAN"),ROWS($E$5:E95)),"")</f>
        <v/>
      </c>
      <c r="F95" s="5" t="n"/>
    </row>
    <row r="96">
      <c r="A96" s="10">
        <f>IF($E96="","",INDEX('Input Transaksi'!$A:$A,$E96))</f>
        <v/>
      </c>
      <c r="B96" s="5">
        <f>IF($E96="","",INDEX('Input Transaksi'!$D:$D,$E96))</f>
        <v/>
      </c>
      <c r="C96">
        <f>IF($E96="","",INDEX('Input Transaksi'!$E:$E,$E96))</f>
        <v/>
      </c>
      <c r="D96" s="5">
        <f>IF($E96="","",INDEX('Input Transaksi'!$F:$F,$E96))</f>
        <v/>
      </c>
      <c r="E96">
        <f>IFERROR(AGGREGATE(15,6,ROW('Input Transaksi'!$B$5:$B$5000)/('Input Transaksi'!$B$5:$B$5000="CL SESETAN"),ROWS($E$5:E96)),"")</f>
        <v/>
      </c>
      <c r="F96" s="5" t="n"/>
    </row>
    <row r="97">
      <c r="A97" s="10">
        <f>IF($E97="","",INDEX('Input Transaksi'!$A:$A,$E97))</f>
        <v/>
      </c>
      <c r="B97" s="5">
        <f>IF($E97="","",INDEX('Input Transaksi'!$D:$D,$E97))</f>
        <v/>
      </c>
      <c r="C97">
        <f>IF($E97="","",INDEX('Input Transaksi'!$E:$E,$E97))</f>
        <v/>
      </c>
      <c r="D97" s="5">
        <f>IF($E97="","",INDEX('Input Transaksi'!$F:$F,$E97))</f>
        <v/>
      </c>
      <c r="E97">
        <f>IFERROR(AGGREGATE(15,6,ROW('Input Transaksi'!$B$5:$B$5000)/('Input Transaksi'!$B$5:$B$5000="CL SESETAN"),ROWS($E$5:E97)),"")</f>
        <v/>
      </c>
      <c r="F97" s="5" t="n"/>
    </row>
    <row r="98">
      <c r="A98" s="10">
        <f>IF($E98="","",INDEX('Input Transaksi'!$A:$A,$E98))</f>
        <v/>
      </c>
      <c r="B98" s="5">
        <f>IF($E98="","",INDEX('Input Transaksi'!$D:$D,$E98))</f>
        <v/>
      </c>
      <c r="C98">
        <f>IF($E98="","",INDEX('Input Transaksi'!$E:$E,$E98))</f>
        <v/>
      </c>
      <c r="D98" s="5">
        <f>IF($E98="","",INDEX('Input Transaksi'!$F:$F,$E98))</f>
        <v/>
      </c>
      <c r="E98">
        <f>IFERROR(AGGREGATE(15,6,ROW('Input Transaksi'!$B$5:$B$5000)/('Input Transaksi'!$B$5:$B$5000="CL SESETAN"),ROWS($E$5:E98)),"")</f>
        <v/>
      </c>
      <c r="F98" s="5" t="n"/>
    </row>
    <row r="99">
      <c r="A99" s="10">
        <f>IF($E99="","",INDEX('Input Transaksi'!$A:$A,$E99))</f>
        <v/>
      </c>
      <c r="B99" s="5">
        <f>IF($E99="","",INDEX('Input Transaksi'!$D:$D,$E99))</f>
        <v/>
      </c>
      <c r="C99">
        <f>IF($E99="","",INDEX('Input Transaksi'!$E:$E,$E99))</f>
        <v/>
      </c>
      <c r="D99" s="5">
        <f>IF($E99="","",INDEX('Input Transaksi'!$F:$F,$E99))</f>
        <v/>
      </c>
      <c r="E99">
        <f>IFERROR(AGGREGATE(15,6,ROW('Input Transaksi'!$B$5:$B$5000)/('Input Transaksi'!$B$5:$B$5000="CL SESETAN"),ROWS($E$5:E99)),"")</f>
        <v/>
      </c>
      <c r="F99" s="5" t="n"/>
    </row>
    <row r="100">
      <c r="A100" s="10">
        <f>IF($E100="","",INDEX('Input Transaksi'!$A:$A,$E100))</f>
        <v/>
      </c>
      <c r="B100" s="5">
        <f>IF($E100="","",INDEX('Input Transaksi'!$D:$D,$E100))</f>
        <v/>
      </c>
      <c r="C100">
        <f>IF($E100="","",INDEX('Input Transaksi'!$E:$E,$E100))</f>
        <v/>
      </c>
      <c r="D100" s="5">
        <f>IF($E100="","",INDEX('Input Transaksi'!$F:$F,$E100))</f>
        <v/>
      </c>
      <c r="E100">
        <f>IFERROR(AGGREGATE(15,6,ROW('Input Transaksi'!$B$5:$B$5000)/('Input Transaksi'!$B$5:$B$5000="CL SESETAN"),ROWS($E$5:E100)),"")</f>
        <v/>
      </c>
      <c r="F100" s="5" t="n"/>
    </row>
    <row r="101">
      <c r="A101" s="10">
        <f>IF($E101="","",INDEX('Input Transaksi'!$A:$A,$E101))</f>
        <v/>
      </c>
      <c r="B101" s="5">
        <f>IF($E101="","",INDEX('Input Transaksi'!$D:$D,$E101))</f>
        <v/>
      </c>
      <c r="C101">
        <f>IF($E101="","",INDEX('Input Transaksi'!$E:$E,$E101))</f>
        <v/>
      </c>
      <c r="D101" s="5">
        <f>IF($E101="","",INDEX('Input Transaksi'!$F:$F,$E101))</f>
        <v/>
      </c>
      <c r="E101">
        <f>IFERROR(AGGREGATE(15,6,ROW('Input Transaksi'!$B$5:$B$5000)/('Input Transaksi'!$B$5:$B$5000="CL SESETAN"),ROWS($E$5:E101)),"")</f>
        <v/>
      </c>
      <c r="F101" s="5" t="n"/>
    </row>
    <row r="102">
      <c r="A102" s="10">
        <f>IF($E102="","",INDEX('Input Transaksi'!$A:$A,$E102))</f>
        <v/>
      </c>
      <c r="B102" s="5">
        <f>IF($E102="","",INDEX('Input Transaksi'!$D:$D,$E102))</f>
        <v/>
      </c>
      <c r="C102">
        <f>IF($E102="","",INDEX('Input Transaksi'!$E:$E,$E102))</f>
        <v/>
      </c>
      <c r="D102" s="5">
        <f>IF($E102="","",INDEX('Input Transaksi'!$F:$F,$E102))</f>
        <v/>
      </c>
      <c r="E102">
        <f>IFERROR(AGGREGATE(15,6,ROW('Input Transaksi'!$B$5:$B$5000)/('Input Transaksi'!$B$5:$B$5000="CL SESETAN"),ROWS($E$5:E102)),"")</f>
        <v/>
      </c>
      <c r="F102" s="5" t="n"/>
    </row>
    <row r="103">
      <c r="A103" s="10">
        <f>IF($E103="","",INDEX('Input Transaksi'!$A:$A,$E103))</f>
        <v/>
      </c>
      <c r="B103" s="5">
        <f>IF($E103="","",INDEX('Input Transaksi'!$D:$D,$E103))</f>
        <v/>
      </c>
      <c r="C103">
        <f>IF($E103="","",INDEX('Input Transaksi'!$E:$E,$E103))</f>
        <v/>
      </c>
      <c r="D103" s="5">
        <f>IF($E103="","",INDEX('Input Transaksi'!$F:$F,$E103))</f>
        <v/>
      </c>
      <c r="E103">
        <f>IFERROR(AGGREGATE(15,6,ROW('Input Transaksi'!$B$5:$B$5000)/('Input Transaksi'!$B$5:$B$5000="CL SESETAN"),ROWS($E$5:E103)),"")</f>
        <v/>
      </c>
      <c r="F103" s="5" t="n"/>
    </row>
    <row r="104">
      <c r="A104" s="10">
        <f>IF($E104="","",INDEX('Input Transaksi'!$A:$A,$E104))</f>
        <v/>
      </c>
      <c r="B104" s="5">
        <f>IF($E104="","",INDEX('Input Transaksi'!$D:$D,$E104))</f>
        <v/>
      </c>
      <c r="C104">
        <f>IF($E104="","",INDEX('Input Transaksi'!$E:$E,$E104))</f>
        <v/>
      </c>
      <c r="D104" s="5">
        <f>IF($E104="","",INDEX('Input Transaksi'!$F:$F,$E104))</f>
        <v/>
      </c>
      <c r="E104">
        <f>IFERROR(AGGREGATE(15,6,ROW('Input Transaksi'!$B$5:$B$5000)/('Input Transaksi'!$B$5:$B$5000="CL SESETAN"),ROWS($E$5:E104)),"")</f>
        <v/>
      </c>
      <c r="F104" s="5" t="n"/>
    </row>
    <row r="105">
      <c r="A105" s="10">
        <f>IF($E105="","",INDEX('Input Transaksi'!$A:$A,$E105))</f>
        <v/>
      </c>
      <c r="B105" s="5">
        <f>IF($E105="","",INDEX('Input Transaksi'!$D:$D,$E105))</f>
        <v/>
      </c>
      <c r="C105">
        <f>IF($E105="","",INDEX('Input Transaksi'!$E:$E,$E105))</f>
        <v/>
      </c>
      <c r="D105" s="5">
        <f>IF($E105="","",INDEX('Input Transaksi'!$F:$F,$E105))</f>
        <v/>
      </c>
      <c r="E105">
        <f>IFERROR(AGGREGATE(15,6,ROW('Input Transaksi'!$B$5:$B$5000)/('Input Transaksi'!$B$5:$B$5000="CL SESETAN"),ROWS($E$5:E105)),"")</f>
        <v/>
      </c>
      <c r="F105" s="5" t="n"/>
    </row>
    <row r="106">
      <c r="A106" s="10">
        <f>IF($E106="","",INDEX('Input Transaksi'!$A:$A,$E106))</f>
        <v/>
      </c>
      <c r="B106" s="5">
        <f>IF($E106="","",INDEX('Input Transaksi'!$D:$D,$E106))</f>
        <v/>
      </c>
      <c r="C106">
        <f>IF($E106="","",INDEX('Input Transaksi'!$E:$E,$E106))</f>
        <v/>
      </c>
      <c r="D106" s="5">
        <f>IF($E106="","",INDEX('Input Transaksi'!$F:$F,$E106))</f>
        <v/>
      </c>
      <c r="E106">
        <f>IFERROR(AGGREGATE(15,6,ROW('Input Transaksi'!$B$5:$B$5000)/('Input Transaksi'!$B$5:$B$5000="CL SESETAN"),ROWS($E$5:E106)),"")</f>
        <v/>
      </c>
      <c r="F106" s="5" t="n"/>
    </row>
    <row r="107">
      <c r="A107" s="10">
        <f>IF($E107="","",INDEX('Input Transaksi'!$A:$A,$E107))</f>
        <v/>
      </c>
      <c r="B107" s="5">
        <f>IF($E107="","",INDEX('Input Transaksi'!$D:$D,$E107))</f>
        <v/>
      </c>
      <c r="C107">
        <f>IF($E107="","",INDEX('Input Transaksi'!$E:$E,$E107))</f>
        <v/>
      </c>
      <c r="D107" s="5">
        <f>IF($E107="","",INDEX('Input Transaksi'!$F:$F,$E107))</f>
        <v/>
      </c>
      <c r="E107">
        <f>IFERROR(AGGREGATE(15,6,ROW('Input Transaksi'!$B$5:$B$5000)/('Input Transaksi'!$B$5:$B$5000="CL SESETAN"),ROWS($E$5:E107)),"")</f>
        <v/>
      </c>
      <c r="F107" s="5" t="n"/>
    </row>
    <row r="108">
      <c r="A108" s="10">
        <f>IF($E108="","",INDEX('Input Transaksi'!$A:$A,$E108))</f>
        <v/>
      </c>
      <c r="B108" s="5">
        <f>IF($E108="","",INDEX('Input Transaksi'!$D:$D,$E108))</f>
        <v/>
      </c>
      <c r="C108">
        <f>IF($E108="","",INDEX('Input Transaksi'!$E:$E,$E108))</f>
        <v/>
      </c>
      <c r="D108" s="5">
        <f>IF($E108="","",INDEX('Input Transaksi'!$F:$F,$E108))</f>
        <v/>
      </c>
      <c r="E108">
        <f>IFERROR(AGGREGATE(15,6,ROW('Input Transaksi'!$B$5:$B$5000)/('Input Transaksi'!$B$5:$B$5000="CL SESETAN"),ROWS($E$5:E108)),"")</f>
        <v/>
      </c>
      <c r="F108" s="5" t="n"/>
    </row>
    <row r="109">
      <c r="A109" s="10">
        <f>IF($E109="","",INDEX('Input Transaksi'!$A:$A,$E109))</f>
        <v/>
      </c>
      <c r="B109" s="5">
        <f>IF($E109="","",INDEX('Input Transaksi'!$D:$D,$E109))</f>
        <v/>
      </c>
      <c r="C109">
        <f>IF($E109="","",INDEX('Input Transaksi'!$E:$E,$E109))</f>
        <v/>
      </c>
      <c r="D109" s="5">
        <f>IF($E109="","",INDEX('Input Transaksi'!$F:$F,$E109))</f>
        <v/>
      </c>
      <c r="E109">
        <f>IFERROR(AGGREGATE(15,6,ROW('Input Transaksi'!$B$5:$B$5000)/('Input Transaksi'!$B$5:$B$5000="CL SESETAN"),ROWS($E$5:E109)),"")</f>
        <v/>
      </c>
      <c r="F109" s="5" t="n"/>
    </row>
    <row r="110">
      <c r="A110" s="10">
        <f>IF($E110="","",INDEX('Input Transaksi'!$A:$A,$E110))</f>
        <v/>
      </c>
      <c r="B110" s="5">
        <f>IF($E110="","",INDEX('Input Transaksi'!$D:$D,$E110))</f>
        <v/>
      </c>
      <c r="C110">
        <f>IF($E110="","",INDEX('Input Transaksi'!$E:$E,$E110))</f>
        <v/>
      </c>
      <c r="D110" s="5">
        <f>IF($E110="","",INDEX('Input Transaksi'!$F:$F,$E110))</f>
        <v/>
      </c>
      <c r="E110">
        <f>IFERROR(AGGREGATE(15,6,ROW('Input Transaksi'!$B$5:$B$5000)/('Input Transaksi'!$B$5:$B$5000="CL SESETAN"),ROWS($E$5:E110)),"")</f>
        <v/>
      </c>
      <c r="F110" s="5" t="n"/>
    </row>
    <row r="111">
      <c r="A111" s="10">
        <f>IF($E111="","",INDEX('Input Transaksi'!$A:$A,$E111))</f>
        <v/>
      </c>
      <c r="B111" s="5">
        <f>IF($E111="","",INDEX('Input Transaksi'!$D:$D,$E111))</f>
        <v/>
      </c>
      <c r="C111">
        <f>IF($E111="","",INDEX('Input Transaksi'!$E:$E,$E111))</f>
        <v/>
      </c>
      <c r="D111" s="5">
        <f>IF($E111="","",INDEX('Input Transaksi'!$F:$F,$E111))</f>
        <v/>
      </c>
      <c r="E111">
        <f>IFERROR(AGGREGATE(15,6,ROW('Input Transaksi'!$B$5:$B$5000)/('Input Transaksi'!$B$5:$B$5000="CL SESETAN"),ROWS($E$5:E111)),"")</f>
        <v/>
      </c>
      <c r="F111" s="5" t="n"/>
    </row>
    <row r="112">
      <c r="A112" s="10">
        <f>IF($E112="","",INDEX('Input Transaksi'!$A:$A,$E112))</f>
        <v/>
      </c>
      <c r="B112" s="5">
        <f>IF($E112="","",INDEX('Input Transaksi'!$D:$D,$E112))</f>
        <v/>
      </c>
      <c r="C112">
        <f>IF($E112="","",INDEX('Input Transaksi'!$E:$E,$E112))</f>
        <v/>
      </c>
      <c r="D112" s="5">
        <f>IF($E112="","",INDEX('Input Transaksi'!$F:$F,$E112))</f>
        <v/>
      </c>
      <c r="E112">
        <f>IFERROR(AGGREGATE(15,6,ROW('Input Transaksi'!$B$5:$B$5000)/('Input Transaksi'!$B$5:$B$5000="CL SESETAN"),ROWS($E$5:E112)),"")</f>
        <v/>
      </c>
      <c r="F112" s="5" t="n"/>
    </row>
    <row r="113">
      <c r="A113" s="10">
        <f>IF($E113="","",INDEX('Input Transaksi'!$A:$A,$E113))</f>
        <v/>
      </c>
      <c r="B113" s="5">
        <f>IF($E113="","",INDEX('Input Transaksi'!$D:$D,$E113))</f>
        <v/>
      </c>
      <c r="C113">
        <f>IF($E113="","",INDEX('Input Transaksi'!$E:$E,$E113))</f>
        <v/>
      </c>
      <c r="D113" s="5">
        <f>IF($E113="","",INDEX('Input Transaksi'!$F:$F,$E113))</f>
        <v/>
      </c>
      <c r="E113">
        <f>IFERROR(AGGREGATE(15,6,ROW('Input Transaksi'!$B$5:$B$5000)/('Input Transaksi'!$B$5:$B$5000="CL SESETAN"),ROWS($E$5:E113)),"")</f>
        <v/>
      </c>
      <c r="F113" s="5" t="n"/>
    </row>
    <row r="114">
      <c r="A114" s="10">
        <f>IF($E114="","",INDEX('Input Transaksi'!$A:$A,$E114))</f>
        <v/>
      </c>
      <c r="B114" s="5">
        <f>IF($E114="","",INDEX('Input Transaksi'!$D:$D,$E114))</f>
        <v/>
      </c>
      <c r="C114">
        <f>IF($E114="","",INDEX('Input Transaksi'!$E:$E,$E114))</f>
        <v/>
      </c>
      <c r="D114" s="5">
        <f>IF($E114="","",INDEX('Input Transaksi'!$F:$F,$E114))</f>
        <v/>
      </c>
      <c r="E114">
        <f>IFERROR(AGGREGATE(15,6,ROW('Input Transaksi'!$B$5:$B$5000)/('Input Transaksi'!$B$5:$B$5000="CL SESETAN"),ROWS($E$5:E114)),"")</f>
        <v/>
      </c>
      <c r="F114" s="5" t="n"/>
    </row>
    <row r="115">
      <c r="A115" s="10">
        <f>IF($E115="","",INDEX('Input Transaksi'!$A:$A,$E115))</f>
        <v/>
      </c>
      <c r="B115" s="5">
        <f>IF($E115="","",INDEX('Input Transaksi'!$D:$D,$E115))</f>
        <v/>
      </c>
      <c r="C115">
        <f>IF($E115="","",INDEX('Input Transaksi'!$E:$E,$E115))</f>
        <v/>
      </c>
      <c r="D115" s="5">
        <f>IF($E115="","",INDEX('Input Transaksi'!$F:$F,$E115))</f>
        <v/>
      </c>
      <c r="E115">
        <f>IFERROR(AGGREGATE(15,6,ROW('Input Transaksi'!$B$5:$B$5000)/('Input Transaksi'!$B$5:$B$5000="CL SESETAN"),ROWS($E$5:E115)),"")</f>
        <v/>
      </c>
      <c r="F115" s="5" t="n"/>
    </row>
    <row r="116">
      <c r="A116" s="10">
        <f>IF($E116="","",INDEX('Input Transaksi'!$A:$A,$E116))</f>
        <v/>
      </c>
      <c r="B116" s="5">
        <f>IF($E116="","",INDEX('Input Transaksi'!$D:$D,$E116))</f>
        <v/>
      </c>
      <c r="C116">
        <f>IF($E116="","",INDEX('Input Transaksi'!$E:$E,$E116))</f>
        <v/>
      </c>
      <c r="D116" s="5">
        <f>IF($E116="","",INDEX('Input Transaksi'!$F:$F,$E116))</f>
        <v/>
      </c>
      <c r="E116">
        <f>IFERROR(AGGREGATE(15,6,ROW('Input Transaksi'!$B$5:$B$5000)/('Input Transaksi'!$B$5:$B$5000="CL SESETAN"),ROWS($E$5:E116)),"")</f>
        <v/>
      </c>
      <c r="F116" s="5" t="n"/>
    </row>
    <row r="117">
      <c r="A117" s="10">
        <f>IF($E117="","",INDEX('Input Transaksi'!$A:$A,$E117))</f>
        <v/>
      </c>
      <c r="B117" s="5">
        <f>IF($E117="","",INDEX('Input Transaksi'!$D:$D,$E117))</f>
        <v/>
      </c>
      <c r="C117">
        <f>IF($E117="","",INDEX('Input Transaksi'!$E:$E,$E117))</f>
        <v/>
      </c>
      <c r="D117" s="5">
        <f>IF($E117="","",INDEX('Input Transaksi'!$F:$F,$E117))</f>
        <v/>
      </c>
      <c r="E117">
        <f>IFERROR(AGGREGATE(15,6,ROW('Input Transaksi'!$B$5:$B$5000)/('Input Transaksi'!$B$5:$B$5000="CL SESETAN"),ROWS($E$5:E117)),"")</f>
        <v/>
      </c>
      <c r="F117" s="5" t="n"/>
    </row>
    <row r="118">
      <c r="A118" s="10">
        <f>IF($E118="","",INDEX('Input Transaksi'!$A:$A,$E118))</f>
        <v/>
      </c>
      <c r="B118" s="5">
        <f>IF($E118="","",INDEX('Input Transaksi'!$D:$D,$E118))</f>
        <v/>
      </c>
      <c r="C118">
        <f>IF($E118="","",INDEX('Input Transaksi'!$E:$E,$E118))</f>
        <v/>
      </c>
      <c r="D118" s="5">
        <f>IF($E118="","",INDEX('Input Transaksi'!$F:$F,$E118))</f>
        <v/>
      </c>
      <c r="E118">
        <f>IFERROR(AGGREGATE(15,6,ROW('Input Transaksi'!$B$5:$B$5000)/('Input Transaksi'!$B$5:$B$5000="CL SESETAN"),ROWS($E$5:E118)),"")</f>
        <v/>
      </c>
      <c r="F118" s="5" t="n"/>
    </row>
    <row r="119">
      <c r="A119" s="10">
        <f>IF($E119="","",INDEX('Input Transaksi'!$A:$A,$E119))</f>
        <v/>
      </c>
      <c r="B119" s="5">
        <f>IF($E119="","",INDEX('Input Transaksi'!$D:$D,$E119))</f>
        <v/>
      </c>
      <c r="C119">
        <f>IF($E119="","",INDEX('Input Transaksi'!$E:$E,$E119))</f>
        <v/>
      </c>
      <c r="D119" s="5">
        <f>IF($E119="","",INDEX('Input Transaksi'!$F:$F,$E119))</f>
        <v/>
      </c>
      <c r="E119">
        <f>IFERROR(AGGREGATE(15,6,ROW('Input Transaksi'!$B$5:$B$5000)/('Input Transaksi'!$B$5:$B$5000="CL SESETAN"),ROWS($E$5:E119)),"")</f>
        <v/>
      </c>
      <c r="F119" s="5" t="n"/>
    </row>
    <row r="120">
      <c r="A120" s="10">
        <f>IF($E120="","",INDEX('Input Transaksi'!$A:$A,$E120))</f>
        <v/>
      </c>
      <c r="B120" s="5">
        <f>IF($E120="","",INDEX('Input Transaksi'!$D:$D,$E120))</f>
        <v/>
      </c>
      <c r="C120">
        <f>IF($E120="","",INDEX('Input Transaksi'!$E:$E,$E120))</f>
        <v/>
      </c>
      <c r="D120" s="5">
        <f>IF($E120="","",INDEX('Input Transaksi'!$F:$F,$E120))</f>
        <v/>
      </c>
      <c r="E120">
        <f>IFERROR(AGGREGATE(15,6,ROW('Input Transaksi'!$B$5:$B$5000)/('Input Transaksi'!$B$5:$B$5000="CL SESETAN"),ROWS($E$5:E120)),"")</f>
        <v/>
      </c>
      <c r="F120" s="5" t="n"/>
    </row>
    <row r="121">
      <c r="A121" s="10">
        <f>IF($E121="","",INDEX('Input Transaksi'!$A:$A,$E121))</f>
        <v/>
      </c>
      <c r="B121" s="5">
        <f>IF($E121="","",INDEX('Input Transaksi'!$D:$D,$E121))</f>
        <v/>
      </c>
      <c r="C121">
        <f>IF($E121="","",INDEX('Input Transaksi'!$E:$E,$E121))</f>
        <v/>
      </c>
      <c r="D121" s="5">
        <f>IF($E121="","",INDEX('Input Transaksi'!$F:$F,$E121))</f>
        <v/>
      </c>
      <c r="E121">
        <f>IFERROR(AGGREGATE(15,6,ROW('Input Transaksi'!$B$5:$B$5000)/('Input Transaksi'!$B$5:$B$5000="CL SESETAN"),ROWS($E$5:E121)),"")</f>
        <v/>
      </c>
      <c r="F121" s="5" t="n"/>
    </row>
    <row r="122">
      <c r="A122" s="10">
        <f>IF($E122="","",INDEX('Input Transaksi'!$A:$A,$E122))</f>
        <v/>
      </c>
      <c r="B122" s="5">
        <f>IF($E122="","",INDEX('Input Transaksi'!$D:$D,$E122))</f>
        <v/>
      </c>
      <c r="C122">
        <f>IF($E122="","",INDEX('Input Transaksi'!$E:$E,$E122))</f>
        <v/>
      </c>
      <c r="D122" s="5">
        <f>IF($E122="","",INDEX('Input Transaksi'!$F:$F,$E122))</f>
        <v/>
      </c>
      <c r="E122">
        <f>IFERROR(AGGREGATE(15,6,ROW('Input Transaksi'!$B$5:$B$5000)/('Input Transaksi'!$B$5:$B$5000="CL SESETAN"),ROWS($E$5:E122)),"")</f>
        <v/>
      </c>
      <c r="F122" s="5" t="n"/>
    </row>
    <row r="123">
      <c r="A123" s="10">
        <f>IF($E123="","",INDEX('Input Transaksi'!$A:$A,$E123))</f>
        <v/>
      </c>
      <c r="B123" s="5">
        <f>IF($E123="","",INDEX('Input Transaksi'!$D:$D,$E123))</f>
        <v/>
      </c>
      <c r="C123">
        <f>IF($E123="","",INDEX('Input Transaksi'!$E:$E,$E123))</f>
        <v/>
      </c>
      <c r="D123" s="5">
        <f>IF($E123="","",INDEX('Input Transaksi'!$F:$F,$E123))</f>
        <v/>
      </c>
      <c r="E123">
        <f>IFERROR(AGGREGATE(15,6,ROW('Input Transaksi'!$B$5:$B$5000)/('Input Transaksi'!$B$5:$B$5000="CL SESETAN"),ROWS($E$5:E123)),"")</f>
        <v/>
      </c>
      <c r="F123" s="5" t="n"/>
    </row>
    <row r="124">
      <c r="A124" s="10">
        <f>IF($E124="","",INDEX('Input Transaksi'!$A:$A,$E124))</f>
        <v/>
      </c>
      <c r="B124" s="5">
        <f>IF($E124="","",INDEX('Input Transaksi'!$D:$D,$E124))</f>
        <v/>
      </c>
      <c r="C124">
        <f>IF($E124="","",INDEX('Input Transaksi'!$E:$E,$E124))</f>
        <v/>
      </c>
      <c r="D124" s="5">
        <f>IF($E124="","",INDEX('Input Transaksi'!$F:$F,$E124))</f>
        <v/>
      </c>
      <c r="E124">
        <f>IFERROR(AGGREGATE(15,6,ROW('Input Transaksi'!$B$5:$B$5000)/('Input Transaksi'!$B$5:$B$5000="CL SESETAN"),ROWS($E$5:E124)),"")</f>
        <v/>
      </c>
      <c r="F124" s="5" t="n"/>
    </row>
    <row r="125">
      <c r="A125" s="10">
        <f>IF($E125="","",INDEX('Input Transaksi'!$A:$A,$E125))</f>
        <v/>
      </c>
      <c r="B125" s="5">
        <f>IF($E125="","",INDEX('Input Transaksi'!$D:$D,$E125))</f>
        <v/>
      </c>
      <c r="C125">
        <f>IF($E125="","",INDEX('Input Transaksi'!$E:$E,$E125))</f>
        <v/>
      </c>
      <c r="D125" s="5">
        <f>IF($E125="","",INDEX('Input Transaksi'!$F:$F,$E125))</f>
        <v/>
      </c>
      <c r="E125">
        <f>IFERROR(AGGREGATE(15,6,ROW('Input Transaksi'!$B$5:$B$5000)/('Input Transaksi'!$B$5:$B$5000="CL SESETAN"),ROWS($E$5:E125)),"")</f>
        <v/>
      </c>
      <c r="F125" s="5" t="n"/>
    </row>
    <row r="126">
      <c r="A126" s="10">
        <f>IF($E126="","",INDEX('Input Transaksi'!$A:$A,$E126))</f>
        <v/>
      </c>
      <c r="B126" s="5">
        <f>IF($E126="","",INDEX('Input Transaksi'!$D:$D,$E126))</f>
        <v/>
      </c>
      <c r="C126">
        <f>IF($E126="","",INDEX('Input Transaksi'!$E:$E,$E126))</f>
        <v/>
      </c>
      <c r="D126" s="5">
        <f>IF($E126="","",INDEX('Input Transaksi'!$F:$F,$E126))</f>
        <v/>
      </c>
      <c r="E126">
        <f>IFERROR(AGGREGATE(15,6,ROW('Input Transaksi'!$B$5:$B$5000)/('Input Transaksi'!$B$5:$B$5000="CL SESETAN"),ROWS($E$5:E126)),"")</f>
        <v/>
      </c>
      <c r="F126" s="5" t="n"/>
    </row>
    <row r="127">
      <c r="A127" s="10">
        <f>IF($E127="","",INDEX('Input Transaksi'!$A:$A,$E127))</f>
        <v/>
      </c>
      <c r="B127" s="5">
        <f>IF($E127="","",INDEX('Input Transaksi'!$D:$D,$E127))</f>
        <v/>
      </c>
      <c r="C127">
        <f>IF($E127="","",INDEX('Input Transaksi'!$E:$E,$E127))</f>
        <v/>
      </c>
      <c r="D127" s="5">
        <f>IF($E127="","",INDEX('Input Transaksi'!$F:$F,$E127))</f>
        <v/>
      </c>
      <c r="E127">
        <f>IFERROR(AGGREGATE(15,6,ROW('Input Transaksi'!$B$5:$B$5000)/('Input Transaksi'!$B$5:$B$5000="CL SESETAN"),ROWS($E$5:E127)),"")</f>
        <v/>
      </c>
      <c r="F127" s="5" t="n"/>
    </row>
    <row r="128">
      <c r="A128" s="10">
        <f>IF($E128="","",INDEX('Input Transaksi'!$A:$A,$E128))</f>
        <v/>
      </c>
      <c r="B128" s="5">
        <f>IF($E128="","",INDEX('Input Transaksi'!$D:$D,$E128))</f>
        <v/>
      </c>
      <c r="C128">
        <f>IF($E128="","",INDEX('Input Transaksi'!$E:$E,$E128))</f>
        <v/>
      </c>
      <c r="D128" s="5">
        <f>IF($E128="","",INDEX('Input Transaksi'!$F:$F,$E128))</f>
        <v/>
      </c>
      <c r="E128">
        <f>IFERROR(AGGREGATE(15,6,ROW('Input Transaksi'!$B$5:$B$5000)/('Input Transaksi'!$B$5:$B$5000="CL SESETAN"),ROWS($E$5:E128)),"")</f>
        <v/>
      </c>
      <c r="F128" s="5" t="n"/>
    </row>
    <row r="129">
      <c r="A129" s="10">
        <f>IF($E129="","",INDEX('Input Transaksi'!$A:$A,$E129))</f>
        <v/>
      </c>
      <c r="B129" s="5">
        <f>IF($E129="","",INDEX('Input Transaksi'!$D:$D,$E129))</f>
        <v/>
      </c>
      <c r="C129">
        <f>IF($E129="","",INDEX('Input Transaksi'!$E:$E,$E129))</f>
        <v/>
      </c>
      <c r="D129" s="5">
        <f>IF($E129="","",INDEX('Input Transaksi'!$F:$F,$E129))</f>
        <v/>
      </c>
      <c r="E129">
        <f>IFERROR(AGGREGATE(15,6,ROW('Input Transaksi'!$B$5:$B$5000)/('Input Transaksi'!$B$5:$B$5000="CL SESETAN"),ROWS($E$5:E129)),"")</f>
        <v/>
      </c>
      <c r="F129" s="5" t="n"/>
    </row>
    <row r="130">
      <c r="A130" s="10">
        <f>IF($E130="","",INDEX('Input Transaksi'!$A:$A,$E130))</f>
        <v/>
      </c>
      <c r="B130" s="5">
        <f>IF($E130="","",INDEX('Input Transaksi'!$D:$D,$E130))</f>
        <v/>
      </c>
      <c r="C130">
        <f>IF($E130="","",INDEX('Input Transaksi'!$E:$E,$E130))</f>
        <v/>
      </c>
      <c r="D130" s="5">
        <f>IF($E130="","",INDEX('Input Transaksi'!$F:$F,$E130))</f>
        <v/>
      </c>
      <c r="E130">
        <f>IFERROR(AGGREGATE(15,6,ROW('Input Transaksi'!$B$5:$B$5000)/('Input Transaksi'!$B$5:$B$5000="CL SESETAN"),ROWS($E$5:E130)),"")</f>
        <v/>
      </c>
      <c r="F130" s="5" t="n"/>
    </row>
    <row r="131">
      <c r="A131" s="10">
        <f>IF($E131="","",INDEX('Input Transaksi'!$A:$A,$E131))</f>
        <v/>
      </c>
      <c r="B131" s="5">
        <f>IF($E131="","",INDEX('Input Transaksi'!$D:$D,$E131))</f>
        <v/>
      </c>
      <c r="C131">
        <f>IF($E131="","",INDEX('Input Transaksi'!$E:$E,$E131))</f>
        <v/>
      </c>
      <c r="D131" s="5">
        <f>IF($E131="","",INDEX('Input Transaksi'!$F:$F,$E131))</f>
        <v/>
      </c>
      <c r="E131">
        <f>IFERROR(AGGREGATE(15,6,ROW('Input Transaksi'!$B$5:$B$5000)/('Input Transaksi'!$B$5:$B$5000="CL SESETAN"),ROWS($E$5:E131)),"")</f>
        <v/>
      </c>
      <c r="F131" s="5" t="n"/>
    </row>
    <row r="132">
      <c r="A132" s="10">
        <f>IF($E132="","",INDEX('Input Transaksi'!$A:$A,$E132))</f>
        <v/>
      </c>
      <c r="B132" s="5">
        <f>IF($E132="","",INDEX('Input Transaksi'!$D:$D,$E132))</f>
        <v/>
      </c>
      <c r="C132">
        <f>IF($E132="","",INDEX('Input Transaksi'!$E:$E,$E132))</f>
        <v/>
      </c>
      <c r="D132" s="5">
        <f>IF($E132="","",INDEX('Input Transaksi'!$F:$F,$E132))</f>
        <v/>
      </c>
      <c r="E132">
        <f>IFERROR(AGGREGATE(15,6,ROW('Input Transaksi'!$B$5:$B$5000)/('Input Transaksi'!$B$5:$B$5000="CL SESETAN"),ROWS($E$5:E132)),"")</f>
        <v/>
      </c>
      <c r="F132" s="5" t="n"/>
    </row>
    <row r="133">
      <c r="A133" s="10">
        <f>IF($E133="","",INDEX('Input Transaksi'!$A:$A,$E133))</f>
        <v/>
      </c>
      <c r="B133" s="5">
        <f>IF($E133="","",INDEX('Input Transaksi'!$D:$D,$E133))</f>
        <v/>
      </c>
      <c r="C133">
        <f>IF($E133="","",INDEX('Input Transaksi'!$E:$E,$E133))</f>
        <v/>
      </c>
      <c r="D133" s="5">
        <f>IF($E133="","",INDEX('Input Transaksi'!$F:$F,$E133))</f>
        <v/>
      </c>
      <c r="E133">
        <f>IFERROR(AGGREGATE(15,6,ROW('Input Transaksi'!$B$5:$B$5000)/('Input Transaksi'!$B$5:$B$5000="CL SESETAN"),ROWS($E$5:E133)),"")</f>
        <v/>
      </c>
      <c r="F133" s="5" t="n"/>
    </row>
    <row r="134">
      <c r="A134" s="10">
        <f>IF($E134="","",INDEX('Input Transaksi'!$A:$A,$E134))</f>
        <v/>
      </c>
      <c r="B134" s="5">
        <f>IF($E134="","",INDEX('Input Transaksi'!$D:$D,$E134))</f>
        <v/>
      </c>
      <c r="C134">
        <f>IF($E134="","",INDEX('Input Transaksi'!$E:$E,$E134))</f>
        <v/>
      </c>
      <c r="D134" s="5">
        <f>IF($E134="","",INDEX('Input Transaksi'!$F:$F,$E134))</f>
        <v/>
      </c>
      <c r="E134">
        <f>IFERROR(AGGREGATE(15,6,ROW('Input Transaksi'!$B$5:$B$5000)/('Input Transaksi'!$B$5:$B$5000="CL SESETAN"),ROWS($E$5:E134)),"")</f>
        <v/>
      </c>
      <c r="F134" s="5" t="n"/>
    </row>
    <row r="135">
      <c r="A135" s="10">
        <f>IF($E135="","",INDEX('Input Transaksi'!$A:$A,$E135))</f>
        <v/>
      </c>
      <c r="B135" s="5">
        <f>IF($E135="","",INDEX('Input Transaksi'!$D:$D,$E135))</f>
        <v/>
      </c>
      <c r="C135">
        <f>IF($E135="","",INDEX('Input Transaksi'!$E:$E,$E135))</f>
        <v/>
      </c>
      <c r="D135" s="5">
        <f>IF($E135="","",INDEX('Input Transaksi'!$F:$F,$E135))</f>
        <v/>
      </c>
      <c r="E135">
        <f>IFERROR(AGGREGATE(15,6,ROW('Input Transaksi'!$B$5:$B$5000)/('Input Transaksi'!$B$5:$B$5000="CL SESETAN"),ROWS($E$5:E135)),"")</f>
        <v/>
      </c>
      <c r="F135" s="5" t="n"/>
    </row>
    <row r="136">
      <c r="A136" s="10">
        <f>IF($E136="","",INDEX('Input Transaksi'!$A:$A,$E136))</f>
        <v/>
      </c>
      <c r="B136" s="5">
        <f>IF($E136="","",INDEX('Input Transaksi'!$D:$D,$E136))</f>
        <v/>
      </c>
      <c r="C136">
        <f>IF($E136="","",INDEX('Input Transaksi'!$E:$E,$E136))</f>
        <v/>
      </c>
      <c r="D136" s="5">
        <f>IF($E136="","",INDEX('Input Transaksi'!$F:$F,$E136))</f>
        <v/>
      </c>
      <c r="E136">
        <f>IFERROR(AGGREGATE(15,6,ROW('Input Transaksi'!$B$5:$B$5000)/('Input Transaksi'!$B$5:$B$5000="CL SESETAN"),ROWS($E$5:E136)),"")</f>
        <v/>
      </c>
      <c r="F136" s="5" t="n"/>
    </row>
    <row r="137">
      <c r="A137" s="10">
        <f>IF($E137="","",INDEX('Input Transaksi'!$A:$A,$E137))</f>
        <v/>
      </c>
      <c r="B137" s="5">
        <f>IF($E137="","",INDEX('Input Transaksi'!$D:$D,$E137))</f>
        <v/>
      </c>
      <c r="C137">
        <f>IF($E137="","",INDEX('Input Transaksi'!$E:$E,$E137))</f>
        <v/>
      </c>
      <c r="D137" s="5">
        <f>IF($E137="","",INDEX('Input Transaksi'!$F:$F,$E137))</f>
        <v/>
      </c>
      <c r="E137">
        <f>IFERROR(AGGREGATE(15,6,ROW('Input Transaksi'!$B$5:$B$5000)/('Input Transaksi'!$B$5:$B$5000="CL SESETAN"),ROWS($E$5:E137)),"")</f>
        <v/>
      </c>
      <c r="F137" s="5" t="n"/>
    </row>
    <row r="138">
      <c r="A138" s="10">
        <f>IF($E138="","",INDEX('Input Transaksi'!$A:$A,$E138))</f>
        <v/>
      </c>
      <c r="B138" s="5">
        <f>IF($E138="","",INDEX('Input Transaksi'!$D:$D,$E138))</f>
        <v/>
      </c>
      <c r="C138">
        <f>IF($E138="","",INDEX('Input Transaksi'!$E:$E,$E138))</f>
        <v/>
      </c>
      <c r="D138" s="5">
        <f>IF($E138="","",INDEX('Input Transaksi'!$F:$F,$E138))</f>
        <v/>
      </c>
      <c r="E138">
        <f>IFERROR(AGGREGATE(15,6,ROW('Input Transaksi'!$B$5:$B$5000)/('Input Transaksi'!$B$5:$B$5000="CL SESETAN"),ROWS($E$5:E138)),"")</f>
        <v/>
      </c>
      <c r="F138" s="5" t="n"/>
    </row>
    <row r="139">
      <c r="A139" s="10">
        <f>IF($E139="","",INDEX('Input Transaksi'!$A:$A,$E139))</f>
        <v/>
      </c>
      <c r="B139" s="5">
        <f>IF($E139="","",INDEX('Input Transaksi'!$D:$D,$E139))</f>
        <v/>
      </c>
      <c r="C139">
        <f>IF($E139="","",INDEX('Input Transaksi'!$E:$E,$E139))</f>
        <v/>
      </c>
      <c r="D139" s="5">
        <f>IF($E139="","",INDEX('Input Transaksi'!$F:$F,$E139))</f>
        <v/>
      </c>
      <c r="E139">
        <f>IFERROR(AGGREGATE(15,6,ROW('Input Transaksi'!$B$5:$B$5000)/('Input Transaksi'!$B$5:$B$5000="CL SESETAN"),ROWS($E$5:E139)),"")</f>
        <v/>
      </c>
      <c r="F139" s="5" t="n"/>
    </row>
    <row r="140">
      <c r="A140" s="10">
        <f>IF($E140="","",INDEX('Input Transaksi'!$A:$A,$E140))</f>
        <v/>
      </c>
      <c r="B140" s="5">
        <f>IF($E140="","",INDEX('Input Transaksi'!$D:$D,$E140))</f>
        <v/>
      </c>
      <c r="C140">
        <f>IF($E140="","",INDEX('Input Transaksi'!$E:$E,$E140))</f>
        <v/>
      </c>
      <c r="D140" s="5">
        <f>IF($E140="","",INDEX('Input Transaksi'!$F:$F,$E140))</f>
        <v/>
      </c>
      <c r="E140">
        <f>IFERROR(AGGREGATE(15,6,ROW('Input Transaksi'!$B$5:$B$5000)/('Input Transaksi'!$B$5:$B$5000="CL SESETAN"),ROWS($E$5:E140)),"")</f>
        <v/>
      </c>
      <c r="F140" s="5" t="n"/>
    </row>
    <row r="141">
      <c r="A141" s="10">
        <f>IF($E141="","",INDEX('Input Transaksi'!$A:$A,$E141))</f>
        <v/>
      </c>
      <c r="B141" s="5">
        <f>IF($E141="","",INDEX('Input Transaksi'!$D:$D,$E141))</f>
        <v/>
      </c>
      <c r="C141">
        <f>IF($E141="","",INDEX('Input Transaksi'!$E:$E,$E141))</f>
        <v/>
      </c>
      <c r="D141" s="5">
        <f>IF($E141="","",INDEX('Input Transaksi'!$F:$F,$E141))</f>
        <v/>
      </c>
      <c r="E141">
        <f>IFERROR(AGGREGATE(15,6,ROW('Input Transaksi'!$B$5:$B$5000)/('Input Transaksi'!$B$5:$B$5000="CL SESETAN"),ROWS($E$5:E141)),"")</f>
        <v/>
      </c>
      <c r="F141" s="5" t="n"/>
    </row>
    <row r="142">
      <c r="A142" s="10">
        <f>IF($E142="","",INDEX('Input Transaksi'!$A:$A,$E142))</f>
        <v/>
      </c>
      <c r="B142" s="5">
        <f>IF($E142="","",INDEX('Input Transaksi'!$D:$D,$E142))</f>
        <v/>
      </c>
      <c r="C142">
        <f>IF($E142="","",INDEX('Input Transaksi'!$E:$E,$E142))</f>
        <v/>
      </c>
      <c r="D142" s="5">
        <f>IF($E142="","",INDEX('Input Transaksi'!$F:$F,$E142))</f>
        <v/>
      </c>
      <c r="E142">
        <f>IFERROR(AGGREGATE(15,6,ROW('Input Transaksi'!$B$5:$B$5000)/('Input Transaksi'!$B$5:$B$5000="CL SESETAN"),ROWS($E$5:E142)),"")</f>
        <v/>
      </c>
      <c r="F142" s="5" t="n"/>
    </row>
    <row r="143">
      <c r="A143" s="10">
        <f>IF($E143="","",INDEX('Input Transaksi'!$A:$A,$E143))</f>
        <v/>
      </c>
      <c r="B143" s="5">
        <f>IF($E143="","",INDEX('Input Transaksi'!$D:$D,$E143))</f>
        <v/>
      </c>
      <c r="C143">
        <f>IF($E143="","",INDEX('Input Transaksi'!$E:$E,$E143))</f>
        <v/>
      </c>
      <c r="D143" s="5">
        <f>IF($E143="","",INDEX('Input Transaksi'!$F:$F,$E143))</f>
        <v/>
      </c>
      <c r="E143">
        <f>IFERROR(AGGREGATE(15,6,ROW('Input Transaksi'!$B$5:$B$5000)/('Input Transaksi'!$B$5:$B$5000="CL SESETAN"),ROWS($E$5:E143)),"")</f>
        <v/>
      </c>
      <c r="F143" s="5" t="n"/>
    </row>
    <row r="144">
      <c r="A144" s="10">
        <f>IF($E144="","",INDEX('Input Transaksi'!$A:$A,$E144))</f>
        <v/>
      </c>
      <c r="B144" s="5">
        <f>IF($E144="","",INDEX('Input Transaksi'!$D:$D,$E144))</f>
        <v/>
      </c>
      <c r="C144">
        <f>IF($E144="","",INDEX('Input Transaksi'!$E:$E,$E144))</f>
        <v/>
      </c>
      <c r="D144" s="5">
        <f>IF($E144="","",INDEX('Input Transaksi'!$F:$F,$E144))</f>
        <v/>
      </c>
      <c r="E144">
        <f>IFERROR(AGGREGATE(15,6,ROW('Input Transaksi'!$B$5:$B$5000)/('Input Transaksi'!$B$5:$B$5000="CL SESETAN"),ROWS($E$5:E144)),"")</f>
        <v/>
      </c>
      <c r="F144" s="5" t="n"/>
    </row>
    <row r="145">
      <c r="A145" s="10">
        <f>IF($E145="","",INDEX('Input Transaksi'!$A:$A,$E145))</f>
        <v/>
      </c>
      <c r="B145" s="5">
        <f>IF($E145="","",INDEX('Input Transaksi'!$D:$D,$E145))</f>
        <v/>
      </c>
      <c r="C145">
        <f>IF($E145="","",INDEX('Input Transaksi'!$E:$E,$E145))</f>
        <v/>
      </c>
      <c r="D145" s="5">
        <f>IF($E145="","",INDEX('Input Transaksi'!$F:$F,$E145))</f>
        <v/>
      </c>
      <c r="E145">
        <f>IFERROR(AGGREGATE(15,6,ROW('Input Transaksi'!$B$5:$B$5000)/('Input Transaksi'!$B$5:$B$5000="CL SESETAN"),ROWS($E$5:E145)),"")</f>
        <v/>
      </c>
      <c r="F145" s="5" t="n"/>
    </row>
    <row r="146">
      <c r="A146" s="10">
        <f>IF($E146="","",INDEX('Input Transaksi'!$A:$A,$E146))</f>
        <v/>
      </c>
      <c r="B146" s="5">
        <f>IF($E146="","",INDEX('Input Transaksi'!$D:$D,$E146))</f>
        <v/>
      </c>
      <c r="C146">
        <f>IF($E146="","",INDEX('Input Transaksi'!$E:$E,$E146))</f>
        <v/>
      </c>
      <c r="D146" s="5">
        <f>IF($E146="","",INDEX('Input Transaksi'!$F:$F,$E146))</f>
        <v/>
      </c>
      <c r="E146">
        <f>IFERROR(AGGREGATE(15,6,ROW('Input Transaksi'!$B$5:$B$5000)/('Input Transaksi'!$B$5:$B$5000="CL SESETAN"),ROWS($E$5:E146)),"")</f>
        <v/>
      </c>
      <c r="F146" s="5" t="n"/>
    </row>
    <row r="147">
      <c r="A147" s="10">
        <f>IF($E147="","",INDEX('Input Transaksi'!$A:$A,$E147))</f>
        <v/>
      </c>
      <c r="B147" s="5">
        <f>IF($E147="","",INDEX('Input Transaksi'!$D:$D,$E147))</f>
        <v/>
      </c>
      <c r="C147">
        <f>IF($E147="","",INDEX('Input Transaksi'!$E:$E,$E147))</f>
        <v/>
      </c>
      <c r="D147" s="5">
        <f>IF($E147="","",INDEX('Input Transaksi'!$F:$F,$E147))</f>
        <v/>
      </c>
      <c r="E147">
        <f>IFERROR(AGGREGATE(15,6,ROW('Input Transaksi'!$B$5:$B$5000)/('Input Transaksi'!$B$5:$B$5000="CL SESETAN"),ROWS($E$5:E147)),"")</f>
        <v/>
      </c>
      <c r="F147" s="5" t="n"/>
    </row>
    <row r="148">
      <c r="A148" s="10">
        <f>IF($E148="","",INDEX('Input Transaksi'!$A:$A,$E148))</f>
        <v/>
      </c>
      <c r="B148" s="5">
        <f>IF($E148="","",INDEX('Input Transaksi'!$D:$D,$E148))</f>
        <v/>
      </c>
      <c r="C148">
        <f>IF($E148="","",INDEX('Input Transaksi'!$E:$E,$E148))</f>
        <v/>
      </c>
      <c r="D148" s="5">
        <f>IF($E148="","",INDEX('Input Transaksi'!$F:$F,$E148))</f>
        <v/>
      </c>
      <c r="E148">
        <f>IFERROR(AGGREGATE(15,6,ROW('Input Transaksi'!$B$5:$B$5000)/('Input Transaksi'!$B$5:$B$5000="CL SESETAN"),ROWS($E$5:E148)),"")</f>
        <v/>
      </c>
      <c r="F148" s="5" t="n"/>
    </row>
    <row r="149">
      <c r="A149" s="10">
        <f>IF($E149="","",INDEX('Input Transaksi'!$A:$A,$E149))</f>
        <v/>
      </c>
      <c r="B149" s="5">
        <f>IF($E149="","",INDEX('Input Transaksi'!$D:$D,$E149))</f>
        <v/>
      </c>
      <c r="C149">
        <f>IF($E149="","",INDEX('Input Transaksi'!$E:$E,$E149))</f>
        <v/>
      </c>
      <c r="D149" s="5">
        <f>IF($E149="","",INDEX('Input Transaksi'!$F:$F,$E149))</f>
        <v/>
      </c>
      <c r="E149">
        <f>IFERROR(AGGREGATE(15,6,ROW('Input Transaksi'!$B$5:$B$5000)/('Input Transaksi'!$B$5:$B$5000="CL SESETAN"),ROWS($E$5:E149)),"")</f>
        <v/>
      </c>
      <c r="F149" s="5" t="n"/>
    </row>
    <row r="150">
      <c r="A150" s="10">
        <f>IF($E150="","",INDEX('Input Transaksi'!$A:$A,$E150))</f>
        <v/>
      </c>
      <c r="B150" s="5">
        <f>IF($E150="","",INDEX('Input Transaksi'!$D:$D,$E150))</f>
        <v/>
      </c>
      <c r="C150">
        <f>IF($E150="","",INDEX('Input Transaksi'!$E:$E,$E150))</f>
        <v/>
      </c>
      <c r="D150" s="5">
        <f>IF($E150="","",INDEX('Input Transaksi'!$F:$F,$E150))</f>
        <v/>
      </c>
      <c r="E150">
        <f>IFERROR(AGGREGATE(15,6,ROW('Input Transaksi'!$B$5:$B$5000)/('Input Transaksi'!$B$5:$B$5000="CL SESETAN"),ROWS($E$5:E150)),"")</f>
        <v/>
      </c>
      <c r="F150" s="5" t="n"/>
    </row>
    <row r="151">
      <c r="A151" s="10">
        <f>IF($E151="","",INDEX('Input Transaksi'!$A:$A,$E151))</f>
        <v/>
      </c>
      <c r="B151" s="5">
        <f>IF($E151="","",INDEX('Input Transaksi'!$D:$D,$E151))</f>
        <v/>
      </c>
      <c r="C151">
        <f>IF($E151="","",INDEX('Input Transaksi'!$E:$E,$E151))</f>
        <v/>
      </c>
      <c r="D151" s="5">
        <f>IF($E151="","",INDEX('Input Transaksi'!$F:$F,$E151))</f>
        <v/>
      </c>
      <c r="E151">
        <f>IFERROR(AGGREGATE(15,6,ROW('Input Transaksi'!$B$5:$B$5000)/('Input Transaksi'!$B$5:$B$5000="CL SESETAN"),ROWS($E$5:E151)),"")</f>
        <v/>
      </c>
      <c r="F151" s="5" t="n"/>
    </row>
    <row r="152">
      <c r="A152" s="10">
        <f>IF($E152="","",INDEX('Input Transaksi'!$A:$A,$E152))</f>
        <v/>
      </c>
      <c r="B152" s="5">
        <f>IF($E152="","",INDEX('Input Transaksi'!$D:$D,$E152))</f>
        <v/>
      </c>
      <c r="C152">
        <f>IF($E152="","",INDEX('Input Transaksi'!$E:$E,$E152))</f>
        <v/>
      </c>
      <c r="D152" s="5">
        <f>IF($E152="","",INDEX('Input Transaksi'!$F:$F,$E152))</f>
        <v/>
      </c>
      <c r="E152">
        <f>IFERROR(AGGREGATE(15,6,ROW('Input Transaksi'!$B$5:$B$5000)/('Input Transaksi'!$B$5:$B$5000="CL SESETAN"),ROWS($E$5:E152)),"")</f>
        <v/>
      </c>
      <c r="F152" s="5" t="n"/>
    </row>
    <row r="153">
      <c r="A153" s="10">
        <f>IF($E153="","",INDEX('Input Transaksi'!$A:$A,$E153))</f>
        <v/>
      </c>
      <c r="B153" s="5">
        <f>IF($E153="","",INDEX('Input Transaksi'!$D:$D,$E153))</f>
        <v/>
      </c>
      <c r="C153">
        <f>IF($E153="","",INDEX('Input Transaksi'!$E:$E,$E153))</f>
        <v/>
      </c>
      <c r="D153" s="5">
        <f>IF($E153="","",INDEX('Input Transaksi'!$F:$F,$E153))</f>
        <v/>
      </c>
      <c r="E153">
        <f>IFERROR(AGGREGATE(15,6,ROW('Input Transaksi'!$B$5:$B$5000)/('Input Transaksi'!$B$5:$B$5000="CL SESETAN"),ROWS($E$5:E153)),"")</f>
        <v/>
      </c>
      <c r="F153" s="5" t="n"/>
    </row>
    <row r="154">
      <c r="A154" s="10">
        <f>IF($E154="","",INDEX('Input Transaksi'!$A:$A,$E154))</f>
        <v/>
      </c>
      <c r="B154" s="5">
        <f>IF($E154="","",INDEX('Input Transaksi'!$D:$D,$E154))</f>
        <v/>
      </c>
      <c r="C154">
        <f>IF($E154="","",INDEX('Input Transaksi'!$E:$E,$E154))</f>
        <v/>
      </c>
      <c r="D154" s="5">
        <f>IF($E154="","",INDEX('Input Transaksi'!$F:$F,$E154))</f>
        <v/>
      </c>
      <c r="E154">
        <f>IFERROR(AGGREGATE(15,6,ROW('Input Transaksi'!$B$5:$B$5000)/('Input Transaksi'!$B$5:$B$5000="CL SESETAN"),ROWS($E$5:E154)),"")</f>
        <v/>
      </c>
      <c r="F154" s="5" t="n"/>
    </row>
    <row r="155">
      <c r="A155" s="10">
        <f>IF($E155="","",INDEX('Input Transaksi'!$A:$A,$E155))</f>
        <v/>
      </c>
      <c r="B155" s="5">
        <f>IF($E155="","",INDEX('Input Transaksi'!$D:$D,$E155))</f>
        <v/>
      </c>
      <c r="C155">
        <f>IF($E155="","",INDEX('Input Transaksi'!$E:$E,$E155))</f>
        <v/>
      </c>
      <c r="D155" s="5">
        <f>IF($E155="","",INDEX('Input Transaksi'!$F:$F,$E155))</f>
        <v/>
      </c>
      <c r="E155">
        <f>IFERROR(AGGREGATE(15,6,ROW('Input Transaksi'!$B$5:$B$5000)/('Input Transaksi'!$B$5:$B$5000="CL SESETAN"),ROWS($E$5:E155)),"")</f>
        <v/>
      </c>
      <c r="F155" s="5" t="n"/>
    </row>
    <row r="156">
      <c r="A156" s="10">
        <f>IF($E156="","",INDEX('Input Transaksi'!$A:$A,$E156))</f>
        <v/>
      </c>
      <c r="B156" s="5">
        <f>IF($E156="","",INDEX('Input Transaksi'!$D:$D,$E156))</f>
        <v/>
      </c>
      <c r="C156">
        <f>IF($E156="","",INDEX('Input Transaksi'!$E:$E,$E156))</f>
        <v/>
      </c>
      <c r="D156" s="5">
        <f>IF($E156="","",INDEX('Input Transaksi'!$F:$F,$E156))</f>
        <v/>
      </c>
      <c r="E156">
        <f>IFERROR(AGGREGATE(15,6,ROW('Input Transaksi'!$B$5:$B$5000)/('Input Transaksi'!$B$5:$B$5000="CL SESETAN"),ROWS($E$5:E156)),"")</f>
        <v/>
      </c>
      <c r="F156" s="5" t="n"/>
    </row>
    <row r="157">
      <c r="A157" s="10">
        <f>IF($E157="","",INDEX('Input Transaksi'!$A:$A,$E157))</f>
        <v/>
      </c>
      <c r="B157" s="5">
        <f>IF($E157="","",INDEX('Input Transaksi'!$D:$D,$E157))</f>
        <v/>
      </c>
      <c r="C157">
        <f>IF($E157="","",INDEX('Input Transaksi'!$E:$E,$E157))</f>
        <v/>
      </c>
      <c r="D157" s="5">
        <f>IF($E157="","",INDEX('Input Transaksi'!$F:$F,$E157))</f>
        <v/>
      </c>
      <c r="E157">
        <f>IFERROR(AGGREGATE(15,6,ROW('Input Transaksi'!$B$5:$B$5000)/('Input Transaksi'!$B$5:$B$5000="CL SESETAN"),ROWS($E$5:E157)),"")</f>
        <v/>
      </c>
      <c r="F157" s="5" t="n"/>
    </row>
    <row r="158">
      <c r="A158" s="10">
        <f>IF($E158="","",INDEX('Input Transaksi'!$A:$A,$E158))</f>
        <v/>
      </c>
      <c r="B158" s="5">
        <f>IF($E158="","",INDEX('Input Transaksi'!$D:$D,$E158))</f>
        <v/>
      </c>
      <c r="C158">
        <f>IF($E158="","",INDEX('Input Transaksi'!$E:$E,$E158))</f>
        <v/>
      </c>
      <c r="D158" s="5">
        <f>IF($E158="","",INDEX('Input Transaksi'!$F:$F,$E158))</f>
        <v/>
      </c>
      <c r="E158">
        <f>IFERROR(AGGREGATE(15,6,ROW('Input Transaksi'!$B$5:$B$5000)/('Input Transaksi'!$B$5:$B$5000="CL SESETAN"),ROWS($E$5:E158)),"")</f>
        <v/>
      </c>
      <c r="F158" s="5" t="n"/>
    </row>
    <row r="159">
      <c r="A159" s="10">
        <f>IF($E159="","",INDEX('Input Transaksi'!$A:$A,$E159))</f>
        <v/>
      </c>
      <c r="B159" s="5">
        <f>IF($E159="","",INDEX('Input Transaksi'!$D:$D,$E159))</f>
        <v/>
      </c>
      <c r="C159">
        <f>IF($E159="","",INDEX('Input Transaksi'!$E:$E,$E159))</f>
        <v/>
      </c>
      <c r="D159" s="5">
        <f>IF($E159="","",INDEX('Input Transaksi'!$F:$F,$E159))</f>
        <v/>
      </c>
      <c r="E159">
        <f>IFERROR(AGGREGATE(15,6,ROW('Input Transaksi'!$B$5:$B$5000)/('Input Transaksi'!$B$5:$B$5000="CL SESETAN"),ROWS($E$5:E159)),"")</f>
        <v/>
      </c>
      <c r="F159" s="5" t="n"/>
    </row>
    <row r="160">
      <c r="A160" s="10">
        <f>IF($E160="","",INDEX('Input Transaksi'!$A:$A,$E160))</f>
        <v/>
      </c>
      <c r="B160" s="5">
        <f>IF($E160="","",INDEX('Input Transaksi'!$D:$D,$E160))</f>
        <v/>
      </c>
      <c r="C160">
        <f>IF($E160="","",INDEX('Input Transaksi'!$E:$E,$E160))</f>
        <v/>
      </c>
      <c r="D160" s="5">
        <f>IF($E160="","",INDEX('Input Transaksi'!$F:$F,$E160))</f>
        <v/>
      </c>
      <c r="E160">
        <f>IFERROR(AGGREGATE(15,6,ROW('Input Transaksi'!$B$5:$B$5000)/('Input Transaksi'!$B$5:$B$5000="CL SESETAN"),ROWS($E$5:E160)),"")</f>
        <v/>
      </c>
      <c r="F160" s="5" t="n"/>
    </row>
    <row r="161">
      <c r="A161" s="10">
        <f>IF($E161="","",INDEX('Input Transaksi'!$A:$A,$E161))</f>
        <v/>
      </c>
      <c r="B161" s="5">
        <f>IF($E161="","",INDEX('Input Transaksi'!$D:$D,$E161))</f>
        <v/>
      </c>
      <c r="C161">
        <f>IF($E161="","",INDEX('Input Transaksi'!$E:$E,$E161))</f>
        <v/>
      </c>
      <c r="D161" s="5">
        <f>IF($E161="","",INDEX('Input Transaksi'!$F:$F,$E161))</f>
        <v/>
      </c>
      <c r="E161">
        <f>IFERROR(AGGREGATE(15,6,ROW('Input Transaksi'!$B$5:$B$5000)/('Input Transaksi'!$B$5:$B$5000="CL SESETAN"),ROWS($E$5:E161)),"")</f>
        <v/>
      </c>
      <c r="F161" s="5" t="n"/>
    </row>
    <row r="162">
      <c r="A162" s="10">
        <f>IF($E162="","",INDEX('Input Transaksi'!$A:$A,$E162))</f>
        <v/>
      </c>
      <c r="B162" s="5">
        <f>IF($E162="","",INDEX('Input Transaksi'!$D:$D,$E162))</f>
        <v/>
      </c>
      <c r="C162">
        <f>IF($E162="","",INDEX('Input Transaksi'!$E:$E,$E162))</f>
        <v/>
      </c>
      <c r="D162" s="5">
        <f>IF($E162="","",INDEX('Input Transaksi'!$F:$F,$E162))</f>
        <v/>
      </c>
      <c r="E162">
        <f>IFERROR(AGGREGATE(15,6,ROW('Input Transaksi'!$B$5:$B$5000)/('Input Transaksi'!$B$5:$B$5000="CL SESETAN"),ROWS($E$5:E162)),"")</f>
        <v/>
      </c>
      <c r="F162" s="5" t="n"/>
    </row>
    <row r="163">
      <c r="A163" s="10">
        <f>IF($E163="","",INDEX('Input Transaksi'!$A:$A,$E163))</f>
        <v/>
      </c>
      <c r="B163" s="5">
        <f>IF($E163="","",INDEX('Input Transaksi'!$D:$D,$E163))</f>
        <v/>
      </c>
      <c r="C163">
        <f>IF($E163="","",INDEX('Input Transaksi'!$E:$E,$E163))</f>
        <v/>
      </c>
      <c r="D163" s="5">
        <f>IF($E163="","",INDEX('Input Transaksi'!$F:$F,$E163))</f>
        <v/>
      </c>
      <c r="E163">
        <f>IFERROR(AGGREGATE(15,6,ROW('Input Transaksi'!$B$5:$B$5000)/('Input Transaksi'!$B$5:$B$5000="CL SESETAN"),ROWS($E$5:E163)),"")</f>
        <v/>
      </c>
      <c r="F163" s="5" t="n"/>
    </row>
    <row r="164">
      <c r="A164" s="10">
        <f>IF($E164="","",INDEX('Input Transaksi'!$A:$A,$E164))</f>
        <v/>
      </c>
      <c r="B164" s="5">
        <f>IF($E164="","",INDEX('Input Transaksi'!$D:$D,$E164))</f>
        <v/>
      </c>
      <c r="C164">
        <f>IF($E164="","",INDEX('Input Transaksi'!$E:$E,$E164))</f>
        <v/>
      </c>
      <c r="D164" s="5">
        <f>IF($E164="","",INDEX('Input Transaksi'!$F:$F,$E164))</f>
        <v/>
      </c>
      <c r="E164">
        <f>IFERROR(AGGREGATE(15,6,ROW('Input Transaksi'!$B$5:$B$5000)/('Input Transaksi'!$B$5:$B$5000="CL SESETAN"),ROWS($E$5:E164)),"")</f>
        <v/>
      </c>
      <c r="F164" s="5" t="n"/>
    </row>
    <row r="165">
      <c r="A165" s="10">
        <f>IF($E165="","",INDEX('Input Transaksi'!$A:$A,$E165))</f>
        <v/>
      </c>
      <c r="B165" s="5">
        <f>IF($E165="","",INDEX('Input Transaksi'!$D:$D,$E165))</f>
        <v/>
      </c>
      <c r="C165">
        <f>IF($E165="","",INDEX('Input Transaksi'!$E:$E,$E165))</f>
        <v/>
      </c>
      <c r="D165" s="5">
        <f>IF($E165="","",INDEX('Input Transaksi'!$F:$F,$E165))</f>
        <v/>
      </c>
      <c r="E165">
        <f>IFERROR(AGGREGATE(15,6,ROW('Input Transaksi'!$B$5:$B$5000)/('Input Transaksi'!$B$5:$B$5000="CL SESETAN"),ROWS($E$5:E165)),"")</f>
        <v/>
      </c>
      <c r="F165" s="5" t="n"/>
    </row>
    <row r="166">
      <c r="A166" s="10">
        <f>IF($E166="","",INDEX('Input Transaksi'!$A:$A,$E166))</f>
        <v/>
      </c>
      <c r="B166" s="5">
        <f>IF($E166="","",INDEX('Input Transaksi'!$D:$D,$E166))</f>
        <v/>
      </c>
      <c r="C166">
        <f>IF($E166="","",INDEX('Input Transaksi'!$E:$E,$E166))</f>
        <v/>
      </c>
      <c r="D166" s="5">
        <f>IF($E166="","",INDEX('Input Transaksi'!$F:$F,$E166))</f>
        <v/>
      </c>
      <c r="E166">
        <f>IFERROR(AGGREGATE(15,6,ROW('Input Transaksi'!$B$5:$B$5000)/('Input Transaksi'!$B$5:$B$5000="CL SESETAN"),ROWS($E$5:E166)),"")</f>
        <v/>
      </c>
      <c r="F166" s="5" t="n"/>
    </row>
    <row r="167">
      <c r="A167" s="10">
        <f>IF($E167="","",INDEX('Input Transaksi'!$A:$A,$E167))</f>
        <v/>
      </c>
      <c r="B167" s="5">
        <f>IF($E167="","",INDEX('Input Transaksi'!$D:$D,$E167))</f>
        <v/>
      </c>
      <c r="C167">
        <f>IF($E167="","",INDEX('Input Transaksi'!$E:$E,$E167))</f>
        <v/>
      </c>
      <c r="D167" s="5">
        <f>IF($E167="","",INDEX('Input Transaksi'!$F:$F,$E167))</f>
        <v/>
      </c>
      <c r="E167">
        <f>IFERROR(AGGREGATE(15,6,ROW('Input Transaksi'!$B$5:$B$5000)/('Input Transaksi'!$B$5:$B$5000="CL SESETAN"),ROWS($E$5:E167)),"")</f>
        <v/>
      </c>
      <c r="F167" s="5" t="n"/>
    </row>
    <row r="168">
      <c r="A168" s="10">
        <f>IF($E168="","",INDEX('Input Transaksi'!$A:$A,$E168))</f>
        <v/>
      </c>
      <c r="B168" s="5">
        <f>IF($E168="","",INDEX('Input Transaksi'!$D:$D,$E168))</f>
        <v/>
      </c>
      <c r="C168">
        <f>IF($E168="","",INDEX('Input Transaksi'!$E:$E,$E168))</f>
        <v/>
      </c>
      <c r="D168" s="5">
        <f>IF($E168="","",INDEX('Input Transaksi'!$F:$F,$E168))</f>
        <v/>
      </c>
      <c r="E168">
        <f>IFERROR(AGGREGATE(15,6,ROW('Input Transaksi'!$B$5:$B$5000)/('Input Transaksi'!$B$5:$B$5000="CL SESETAN"),ROWS($E$5:E168)),"")</f>
        <v/>
      </c>
      <c r="F168" s="5" t="n"/>
    </row>
    <row r="169">
      <c r="A169" s="10">
        <f>IF($E169="","",INDEX('Input Transaksi'!$A:$A,$E169))</f>
        <v/>
      </c>
      <c r="B169" s="5">
        <f>IF($E169="","",INDEX('Input Transaksi'!$D:$D,$E169))</f>
        <v/>
      </c>
      <c r="C169">
        <f>IF($E169="","",INDEX('Input Transaksi'!$E:$E,$E169))</f>
        <v/>
      </c>
      <c r="D169" s="5">
        <f>IF($E169="","",INDEX('Input Transaksi'!$F:$F,$E169))</f>
        <v/>
      </c>
      <c r="E169">
        <f>IFERROR(AGGREGATE(15,6,ROW('Input Transaksi'!$B$5:$B$5000)/('Input Transaksi'!$B$5:$B$5000="CL SESETAN"),ROWS($E$5:E169)),"")</f>
        <v/>
      </c>
      <c r="F169" s="5" t="n"/>
    </row>
    <row r="170">
      <c r="A170" s="10">
        <f>IF($E170="","",INDEX('Input Transaksi'!$A:$A,$E170))</f>
        <v/>
      </c>
      <c r="B170" s="5">
        <f>IF($E170="","",INDEX('Input Transaksi'!$D:$D,$E170))</f>
        <v/>
      </c>
      <c r="C170">
        <f>IF($E170="","",INDEX('Input Transaksi'!$E:$E,$E170))</f>
        <v/>
      </c>
      <c r="D170" s="5">
        <f>IF($E170="","",INDEX('Input Transaksi'!$F:$F,$E170))</f>
        <v/>
      </c>
      <c r="E170">
        <f>IFERROR(AGGREGATE(15,6,ROW('Input Transaksi'!$B$5:$B$5000)/('Input Transaksi'!$B$5:$B$5000="CL SESETAN"),ROWS($E$5:E170)),"")</f>
        <v/>
      </c>
      <c r="F170" s="5" t="n"/>
    </row>
    <row r="171">
      <c r="A171" s="10">
        <f>IF($E171="","",INDEX('Input Transaksi'!$A:$A,$E171))</f>
        <v/>
      </c>
      <c r="B171" s="5">
        <f>IF($E171="","",INDEX('Input Transaksi'!$D:$D,$E171))</f>
        <v/>
      </c>
      <c r="C171">
        <f>IF($E171="","",INDEX('Input Transaksi'!$E:$E,$E171))</f>
        <v/>
      </c>
      <c r="D171" s="5">
        <f>IF($E171="","",INDEX('Input Transaksi'!$F:$F,$E171))</f>
        <v/>
      </c>
      <c r="E171">
        <f>IFERROR(AGGREGATE(15,6,ROW('Input Transaksi'!$B$5:$B$5000)/('Input Transaksi'!$B$5:$B$5000="CL SESETAN"),ROWS($E$5:E171)),"")</f>
        <v/>
      </c>
      <c r="F171" s="5" t="n"/>
    </row>
    <row r="172">
      <c r="A172" s="10">
        <f>IF($E172="","",INDEX('Input Transaksi'!$A:$A,$E172))</f>
        <v/>
      </c>
      <c r="B172" s="5">
        <f>IF($E172="","",INDEX('Input Transaksi'!$D:$D,$E172))</f>
        <v/>
      </c>
      <c r="C172">
        <f>IF($E172="","",INDEX('Input Transaksi'!$E:$E,$E172))</f>
        <v/>
      </c>
      <c r="D172" s="5">
        <f>IF($E172="","",INDEX('Input Transaksi'!$F:$F,$E172))</f>
        <v/>
      </c>
      <c r="E172">
        <f>IFERROR(AGGREGATE(15,6,ROW('Input Transaksi'!$B$5:$B$5000)/('Input Transaksi'!$B$5:$B$5000="CL SESETAN"),ROWS($E$5:E172)),"")</f>
        <v/>
      </c>
      <c r="F172" s="5" t="n"/>
    </row>
    <row r="173">
      <c r="A173" s="10">
        <f>IF($E173="","",INDEX('Input Transaksi'!$A:$A,$E173))</f>
        <v/>
      </c>
      <c r="B173" s="5">
        <f>IF($E173="","",INDEX('Input Transaksi'!$D:$D,$E173))</f>
        <v/>
      </c>
      <c r="C173">
        <f>IF($E173="","",INDEX('Input Transaksi'!$E:$E,$E173))</f>
        <v/>
      </c>
      <c r="D173" s="5">
        <f>IF($E173="","",INDEX('Input Transaksi'!$F:$F,$E173))</f>
        <v/>
      </c>
      <c r="E173">
        <f>IFERROR(AGGREGATE(15,6,ROW('Input Transaksi'!$B$5:$B$5000)/('Input Transaksi'!$B$5:$B$5000="CL SESETAN"),ROWS($E$5:E173)),"")</f>
        <v/>
      </c>
      <c r="F173" s="5" t="n"/>
    </row>
    <row r="174">
      <c r="A174" s="10">
        <f>IF($E174="","",INDEX('Input Transaksi'!$A:$A,$E174))</f>
        <v/>
      </c>
      <c r="B174" s="5">
        <f>IF($E174="","",INDEX('Input Transaksi'!$D:$D,$E174))</f>
        <v/>
      </c>
      <c r="C174">
        <f>IF($E174="","",INDEX('Input Transaksi'!$E:$E,$E174))</f>
        <v/>
      </c>
      <c r="D174" s="5">
        <f>IF($E174="","",INDEX('Input Transaksi'!$F:$F,$E174))</f>
        <v/>
      </c>
      <c r="E174">
        <f>IFERROR(AGGREGATE(15,6,ROW('Input Transaksi'!$B$5:$B$5000)/('Input Transaksi'!$B$5:$B$5000="CL SESETAN"),ROWS($E$5:E174)),"")</f>
        <v/>
      </c>
      <c r="F174" s="5" t="n"/>
    </row>
    <row r="175">
      <c r="A175" s="10">
        <f>IF($E175="","",INDEX('Input Transaksi'!$A:$A,$E175))</f>
        <v/>
      </c>
      <c r="B175" s="5">
        <f>IF($E175="","",INDEX('Input Transaksi'!$D:$D,$E175))</f>
        <v/>
      </c>
      <c r="C175">
        <f>IF($E175="","",INDEX('Input Transaksi'!$E:$E,$E175))</f>
        <v/>
      </c>
      <c r="D175" s="5">
        <f>IF($E175="","",INDEX('Input Transaksi'!$F:$F,$E175))</f>
        <v/>
      </c>
      <c r="E175">
        <f>IFERROR(AGGREGATE(15,6,ROW('Input Transaksi'!$B$5:$B$5000)/('Input Transaksi'!$B$5:$B$5000="CL SESETAN"),ROWS($E$5:E175)),"")</f>
        <v/>
      </c>
      <c r="F175" s="5" t="n"/>
    </row>
    <row r="176">
      <c r="A176" s="10">
        <f>IF($E176="","",INDEX('Input Transaksi'!$A:$A,$E176))</f>
        <v/>
      </c>
      <c r="B176" s="5">
        <f>IF($E176="","",INDEX('Input Transaksi'!$D:$D,$E176))</f>
        <v/>
      </c>
      <c r="C176">
        <f>IF($E176="","",INDEX('Input Transaksi'!$E:$E,$E176))</f>
        <v/>
      </c>
      <c r="D176" s="5">
        <f>IF($E176="","",INDEX('Input Transaksi'!$F:$F,$E176))</f>
        <v/>
      </c>
      <c r="E176">
        <f>IFERROR(AGGREGATE(15,6,ROW('Input Transaksi'!$B$5:$B$5000)/('Input Transaksi'!$B$5:$B$5000="CL SESETAN"),ROWS($E$5:E176)),"")</f>
        <v/>
      </c>
      <c r="F176" s="5" t="n"/>
    </row>
    <row r="177">
      <c r="A177" s="10">
        <f>IF($E177="","",INDEX('Input Transaksi'!$A:$A,$E177))</f>
        <v/>
      </c>
      <c r="B177" s="5">
        <f>IF($E177="","",INDEX('Input Transaksi'!$D:$D,$E177))</f>
        <v/>
      </c>
      <c r="C177">
        <f>IF($E177="","",INDEX('Input Transaksi'!$E:$E,$E177))</f>
        <v/>
      </c>
      <c r="D177" s="5">
        <f>IF($E177="","",INDEX('Input Transaksi'!$F:$F,$E177))</f>
        <v/>
      </c>
      <c r="E177">
        <f>IFERROR(AGGREGATE(15,6,ROW('Input Transaksi'!$B$5:$B$5000)/('Input Transaksi'!$B$5:$B$5000="CL SESETAN"),ROWS($E$5:E177)),"")</f>
        <v/>
      </c>
      <c r="F177" s="5" t="n"/>
    </row>
    <row r="178">
      <c r="A178" s="10">
        <f>IF($E178="","",INDEX('Input Transaksi'!$A:$A,$E178))</f>
        <v/>
      </c>
      <c r="B178" s="5">
        <f>IF($E178="","",INDEX('Input Transaksi'!$D:$D,$E178))</f>
        <v/>
      </c>
      <c r="C178">
        <f>IF($E178="","",INDEX('Input Transaksi'!$E:$E,$E178))</f>
        <v/>
      </c>
      <c r="D178" s="5">
        <f>IF($E178="","",INDEX('Input Transaksi'!$F:$F,$E178))</f>
        <v/>
      </c>
      <c r="E178">
        <f>IFERROR(AGGREGATE(15,6,ROW('Input Transaksi'!$B$5:$B$5000)/('Input Transaksi'!$B$5:$B$5000="CL SESETAN"),ROWS($E$5:E178)),"")</f>
        <v/>
      </c>
      <c r="F178" s="5" t="n"/>
    </row>
    <row r="179">
      <c r="A179" s="10">
        <f>IF($E179="","",INDEX('Input Transaksi'!$A:$A,$E179))</f>
        <v/>
      </c>
      <c r="B179" s="5">
        <f>IF($E179="","",INDEX('Input Transaksi'!$D:$D,$E179))</f>
        <v/>
      </c>
      <c r="C179">
        <f>IF($E179="","",INDEX('Input Transaksi'!$E:$E,$E179))</f>
        <v/>
      </c>
      <c r="D179" s="5">
        <f>IF($E179="","",INDEX('Input Transaksi'!$F:$F,$E179))</f>
        <v/>
      </c>
      <c r="E179">
        <f>IFERROR(AGGREGATE(15,6,ROW('Input Transaksi'!$B$5:$B$5000)/('Input Transaksi'!$B$5:$B$5000="CL SESETAN"),ROWS($E$5:E179)),"")</f>
        <v/>
      </c>
      <c r="F179" s="5" t="n"/>
    </row>
    <row r="180">
      <c r="A180" s="10">
        <f>IF($E180="","",INDEX('Input Transaksi'!$A:$A,$E180))</f>
        <v/>
      </c>
      <c r="B180" s="5">
        <f>IF($E180="","",INDEX('Input Transaksi'!$D:$D,$E180))</f>
        <v/>
      </c>
      <c r="C180">
        <f>IF($E180="","",INDEX('Input Transaksi'!$E:$E,$E180))</f>
        <v/>
      </c>
      <c r="D180" s="5">
        <f>IF($E180="","",INDEX('Input Transaksi'!$F:$F,$E180))</f>
        <v/>
      </c>
      <c r="E180">
        <f>IFERROR(AGGREGATE(15,6,ROW('Input Transaksi'!$B$5:$B$5000)/('Input Transaksi'!$B$5:$B$5000="CL SESETAN"),ROWS($E$5:E180)),"")</f>
        <v/>
      </c>
      <c r="F180" s="5" t="n"/>
    </row>
    <row r="181">
      <c r="A181" s="10">
        <f>IF($E181="","",INDEX('Input Transaksi'!$A:$A,$E181))</f>
        <v/>
      </c>
      <c r="B181" s="5">
        <f>IF($E181="","",INDEX('Input Transaksi'!$D:$D,$E181))</f>
        <v/>
      </c>
      <c r="C181">
        <f>IF($E181="","",INDEX('Input Transaksi'!$E:$E,$E181))</f>
        <v/>
      </c>
      <c r="D181" s="5">
        <f>IF($E181="","",INDEX('Input Transaksi'!$F:$F,$E181))</f>
        <v/>
      </c>
      <c r="E181">
        <f>IFERROR(AGGREGATE(15,6,ROW('Input Transaksi'!$B$5:$B$5000)/('Input Transaksi'!$B$5:$B$5000="CL SESETAN"),ROWS($E$5:E181)),"")</f>
        <v/>
      </c>
      <c r="F181" s="5" t="n"/>
    </row>
    <row r="182">
      <c r="A182" s="10">
        <f>IF($E182="","",INDEX('Input Transaksi'!$A:$A,$E182))</f>
        <v/>
      </c>
      <c r="B182" s="5">
        <f>IF($E182="","",INDEX('Input Transaksi'!$D:$D,$E182))</f>
        <v/>
      </c>
      <c r="C182">
        <f>IF($E182="","",INDEX('Input Transaksi'!$E:$E,$E182))</f>
        <v/>
      </c>
      <c r="D182" s="5">
        <f>IF($E182="","",INDEX('Input Transaksi'!$F:$F,$E182))</f>
        <v/>
      </c>
      <c r="E182">
        <f>IFERROR(AGGREGATE(15,6,ROW('Input Transaksi'!$B$5:$B$5000)/('Input Transaksi'!$B$5:$B$5000="CL SESETAN"),ROWS($E$5:E182)),"")</f>
        <v/>
      </c>
      <c r="F182" s="5" t="n"/>
    </row>
    <row r="183">
      <c r="A183" s="10">
        <f>IF($E183="","",INDEX('Input Transaksi'!$A:$A,$E183))</f>
        <v/>
      </c>
      <c r="B183" s="5">
        <f>IF($E183="","",INDEX('Input Transaksi'!$D:$D,$E183))</f>
        <v/>
      </c>
      <c r="C183">
        <f>IF($E183="","",INDEX('Input Transaksi'!$E:$E,$E183))</f>
        <v/>
      </c>
      <c r="D183" s="5">
        <f>IF($E183="","",INDEX('Input Transaksi'!$F:$F,$E183))</f>
        <v/>
      </c>
      <c r="E183">
        <f>IFERROR(AGGREGATE(15,6,ROW('Input Transaksi'!$B$5:$B$5000)/('Input Transaksi'!$B$5:$B$5000="CL SESETAN"),ROWS($E$5:E183)),"")</f>
        <v/>
      </c>
      <c r="F183" s="5" t="n"/>
    </row>
    <row r="184">
      <c r="A184" s="10">
        <f>IF($E184="","",INDEX('Input Transaksi'!$A:$A,$E184))</f>
        <v/>
      </c>
      <c r="B184" s="5">
        <f>IF($E184="","",INDEX('Input Transaksi'!$D:$D,$E184))</f>
        <v/>
      </c>
      <c r="C184">
        <f>IF($E184="","",INDEX('Input Transaksi'!$E:$E,$E184))</f>
        <v/>
      </c>
      <c r="D184" s="5">
        <f>IF($E184="","",INDEX('Input Transaksi'!$F:$F,$E184))</f>
        <v/>
      </c>
      <c r="E184">
        <f>IFERROR(AGGREGATE(15,6,ROW('Input Transaksi'!$B$5:$B$5000)/('Input Transaksi'!$B$5:$B$5000="CL SESETAN"),ROWS($E$5:E184)),"")</f>
        <v/>
      </c>
      <c r="F184" s="5" t="n"/>
    </row>
    <row r="185">
      <c r="A185" s="10">
        <f>IF($E185="","",INDEX('Input Transaksi'!$A:$A,$E185))</f>
        <v/>
      </c>
      <c r="B185" s="5">
        <f>IF($E185="","",INDEX('Input Transaksi'!$D:$D,$E185))</f>
        <v/>
      </c>
      <c r="C185">
        <f>IF($E185="","",INDEX('Input Transaksi'!$E:$E,$E185))</f>
        <v/>
      </c>
      <c r="D185" s="5">
        <f>IF($E185="","",INDEX('Input Transaksi'!$F:$F,$E185))</f>
        <v/>
      </c>
      <c r="E185">
        <f>IFERROR(AGGREGATE(15,6,ROW('Input Transaksi'!$B$5:$B$5000)/('Input Transaksi'!$B$5:$B$5000="CL SESETAN"),ROWS($E$5:E185)),"")</f>
        <v/>
      </c>
      <c r="F185" s="5" t="n"/>
    </row>
    <row r="186">
      <c r="A186" s="10">
        <f>IF($E186="","",INDEX('Input Transaksi'!$A:$A,$E186))</f>
        <v/>
      </c>
      <c r="B186" s="5">
        <f>IF($E186="","",INDEX('Input Transaksi'!$D:$D,$E186))</f>
        <v/>
      </c>
      <c r="C186">
        <f>IF($E186="","",INDEX('Input Transaksi'!$E:$E,$E186))</f>
        <v/>
      </c>
      <c r="D186" s="5">
        <f>IF($E186="","",INDEX('Input Transaksi'!$F:$F,$E186))</f>
        <v/>
      </c>
      <c r="E186">
        <f>IFERROR(AGGREGATE(15,6,ROW('Input Transaksi'!$B$5:$B$5000)/('Input Transaksi'!$B$5:$B$5000="CL SESETAN"),ROWS($E$5:E186)),"")</f>
        <v/>
      </c>
      <c r="F186" s="5" t="n"/>
    </row>
    <row r="187">
      <c r="A187" s="10">
        <f>IF($E187="","",INDEX('Input Transaksi'!$A:$A,$E187))</f>
        <v/>
      </c>
      <c r="B187" s="5">
        <f>IF($E187="","",INDEX('Input Transaksi'!$D:$D,$E187))</f>
        <v/>
      </c>
      <c r="C187">
        <f>IF($E187="","",INDEX('Input Transaksi'!$E:$E,$E187))</f>
        <v/>
      </c>
      <c r="D187" s="5">
        <f>IF($E187="","",INDEX('Input Transaksi'!$F:$F,$E187))</f>
        <v/>
      </c>
      <c r="E187">
        <f>IFERROR(AGGREGATE(15,6,ROW('Input Transaksi'!$B$5:$B$5000)/('Input Transaksi'!$B$5:$B$5000="CL SESETAN"),ROWS($E$5:E187)),"")</f>
        <v/>
      </c>
      <c r="F187" s="5" t="n"/>
    </row>
    <row r="188">
      <c r="A188" s="10">
        <f>IF($E188="","",INDEX('Input Transaksi'!$A:$A,$E188))</f>
        <v/>
      </c>
      <c r="B188" s="5">
        <f>IF($E188="","",INDEX('Input Transaksi'!$D:$D,$E188))</f>
        <v/>
      </c>
      <c r="C188">
        <f>IF($E188="","",INDEX('Input Transaksi'!$E:$E,$E188))</f>
        <v/>
      </c>
      <c r="D188" s="5">
        <f>IF($E188="","",INDEX('Input Transaksi'!$F:$F,$E188))</f>
        <v/>
      </c>
      <c r="E188">
        <f>IFERROR(AGGREGATE(15,6,ROW('Input Transaksi'!$B$5:$B$5000)/('Input Transaksi'!$B$5:$B$5000="CL SESETAN"),ROWS($E$5:E188)),"")</f>
        <v/>
      </c>
      <c r="F188" s="5" t="n"/>
    </row>
    <row r="189">
      <c r="A189" s="10">
        <f>IF($E189="","",INDEX('Input Transaksi'!$A:$A,$E189))</f>
        <v/>
      </c>
      <c r="B189" s="5">
        <f>IF($E189="","",INDEX('Input Transaksi'!$D:$D,$E189))</f>
        <v/>
      </c>
      <c r="C189">
        <f>IF($E189="","",INDEX('Input Transaksi'!$E:$E,$E189))</f>
        <v/>
      </c>
      <c r="D189" s="5">
        <f>IF($E189="","",INDEX('Input Transaksi'!$F:$F,$E189))</f>
        <v/>
      </c>
      <c r="E189">
        <f>IFERROR(AGGREGATE(15,6,ROW('Input Transaksi'!$B$5:$B$5000)/('Input Transaksi'!$B$5:$B$5000="CL SESETAN"),ROWS($E$5:E189)),"")</f>
        <v/>
      </c>
      <c r="F189" s="5" t="n"/>
    </row>
    <row r="190">
      <c r="A190" s="10">
        <f>IF($E190="","",INDEX('Input Transaksi'!$A:$A,$E190))</f>
        <v/>
      </c>
      <c r="B190" s="5">
        <f>IF($E190="","",INDEX('Input Transaksi'!$D:$D,$E190))</f>
        <v/>
      </c>
      <c r="C190">
        <f>IF($E190="","",INDEX('Input Transaksi'!$E:$E,$E190))</f>
        <v/>
      </c>
      <c r="D190" s="5">
        <f>IF($E190="","",INDEX('Input Transaksi'!$F:$F,$E190))</f>
        <v/>
      </c>
      <c r="E190">
        <f>IFERROR(AGGREGATE(15,6,ROW('Input Transaksi'!$B$5:$B$5000)/('Input Transaksi'!$B$5:$B$5000="CL SESETAN"),ROWS($E$5:E190)),"")</f>
        <v/>
      </c>
      <c r="F190" s="5" t="n"/>
    </row>
    <row r="191">
      <c r="A191" s="10">
        <f>IF($E191="","",INDEX('Input Transaksi'!$A:$A,$E191))</f>
        <v/>
      </c>
      <c r="B191" s="5">
        <f>IF($E191="","",INDEX('Input Transaksi'!$D:$D,$E191))</f>
        <v/>
      </c>
      <c r="C191">
        <f>IF($E191="","",INDEX('Input Transaksi'!$E:$E,$E191))</f>
        <v/>
      </c>
      <c r="D191" s="5">
        <f>IF($E191="","",INDEX('Input Transaksi'!$F:$F,$E191))</f>
        <v/>
      </c>
      <c r="E191">
        <f>IFERROR(AGGREGATE(15,6,ROW('Input Transaksi'!$B$5:$B$5000)/('Input Transaksi'!$B$5:$B$5000="CL SESETAN"),ROWS($E$5:E191)),"")</f>
        <v/>
      </c>
      <c r="F191" s="5" t="n"/>
    </row>
    <row r="192">
      <c r="A192" s="10">
        <f>IF($E192="","",INDEX('Input Transaksi'!$A:$A,$E192))</f>
        <v/>
      </c>
      <c r="B192" s="5">
        <f>IF($E192="","",INDEX('Input Transaksi'!$D:$D,$E192))</f>
        <v/>
      </c>
      <c r="C192">
        <f>IF($E192="","",INDEX('Input Transaksi'!$E:$E,$E192))</f>
        <v/>
      </c>
      <c r="D192" s="5">
        <f>IF($E192="","",INDEX('Input Transaksi'!$F:$F,$E192))</f>
        <v/>
      </c>
      <c r="E192">
        <f>IFERROR(AGGREGATE(15,6,ROW('Input Transaksi'!$B$5:$B$5000)/('Input Transaksi'!$B$5:$B$5000="CL SESETAN"),ROWS($E$5:E192)),"")</f>
        <v/>
      </c>
      <c r="F192" s="5" t="n"/>
    </row>
    <row r="193">
      <c r="A193" s="10">
        <f>IF($E193="","",INDEX('Input Transaksi'!$A:$A,$E193))</f>
        <v/>
      </c>
      <c r="B193" s="5">
        <f>IF($E193="","",INDEX('Input Transaksi'!$D:$D,$E193))</f>
        <v/>
      </c>
      <c r="C193">
        <f>IF($E193="","",INDEX('Input Transaksi'!$E:$E,$E193))</f>
        <v/>
      </c>
      <c r="D193" s="5">
        <f>IF($E193="","",INDEX('Input Transaksi'!$F:$F,$E193))</f>
        <v/>
      </c>
      <c r="E193">
        <f>IFERROR(AGGREGATE(15,6,ROW('Input Transaksi'!$B$5:$B$5000)/('Input Transaksi'!$B$5:$B$5000="CL SESETAN"),ROWS($E$5:E193)),"")</f>
        <v/>
      </c>
      <c r="F193" s="5" t="n"/>
    </row>
    <row r="194">
      <c r="A194" s="10">
        <f>IF($E194="","",INDEX('Input Transaksi'!$A:$A,$E194))</f>
        <v/>
      </c>
      <c r="B194" s="5">
        <f>IF($E194="","",INDEX('Input Transaksi'!$D:$D,$E194))</f>
        <v/>
      </c>
      <c r="C194">
        <f>IF($E194="","",INDEX('Input Transaksi'!$E:$E,$E194))</f>
        <v/>
      </c>
      <c r="D194" s="5">
        <f>IF($E194="","",INDEX('Input Transaksi'!$F:$F,$E194))</f>
        <v/>
      </c>
      <c r="E194">
        <f>IFERROR(AGGREGATE(15,6,ROW('Input Transaksi'!$B$5:$B$5000)/('Input Transaksi'!$B$5:$B$5000="CL SESETAN"),ROWS($E$5:E194)),"")</f>
        <v/>
      </c>
      <c r="F194" s="5" t="n"/>
    </row>
    <row r="195">
      <c r="A195" s="10">
        <f>IF($E195="","",INDEX('Input Transaksi'!$A:$A,$E195))</f>
        <v/>
      </c>
      <c r="B195" s="5">
        <f>IF($E195="","",INDEX('Input Transaksi'!$D:$D,$E195))</f>
        <v/>
      </c>
      <c r="C195">
        <f>IF($E195="","",INDEX('Input Transaksi'!$E:$E,$E195))</f>
        <v/>
      </c>
      <c r="D195" s="5">
        <f>IF($E195="","",INDEX('Input Transaksi'!$F:$F,$E195))</f>
        <v/>
      </c>
      <c r="E195">
        <f>IFERROR(AGGREGATE(15,6,ROW('Input Transaksi'!$B$5:$B$5000)/('Input Transaksi'!$B$5:$B$5000="CL SESETAN"),ROWS($E$5:E195)),"")</f>
        <v/>
      </c>
      <c r="F195" s="5" t="n"/>
    </row>
    <row r="196">
      <c r="A196" s="10">
        <f>IF($E196="","",INDEX('Input Transaksi'!$A:$A,$E196))</f>
        <v/>
      </c>
      <c r="B196" s="5">
        <f>IF($E196="","",INDEX('Input Transaksi'!$D:$D,$E196))</f>
        <v/>
      </c>
      <c r="C196">
        <f>IF($E196="","",INDEX('Input Transaksi'!$E:$E,$E196))</f>
        <v/>
      </c>
      <c r="D196" s="5">
        <f>IF($E196="","",INDEX('Input Transaksi'!$F:$F,$E196))</f>
        <v/>
      </c>
      <c r="E196">
        <f>IFERROR(AGGREGATE(15,6,ROW('Input Transaksi'!$B$5:$B$5000)/('Input Transaksi'!$B$5:$B$5000="CL SESETAN"),ROWS($E$5:E196)),"")</f>
        <v/>
      </c>
      <c r="F196" s="5" t="n"/>
    </row>
    <row r="197">
      <c r="A197" s="10">
        <f>IF($E197="","",INDEX('Input Transaksi'!$A:$A,$E197))</f>
        <v/>
      </c>
      <c r="B197" s="5">
        <f>IF($E197="","",INDEX('Input Transaksi'!$D:$D,$E197))</f>
        <v/>
      </c>
      <c r="C197">
        <f>IF($E197="","",INDEX('Input Transaksi'!$E:$E,$E197))</f>
        <v/>
      </c>
      <c r="D197" s="5">
        <f>IF($E197="","",INDEX('Input Transaksi'!$F:$F,$E197))</f>
        <v/>
      </c>
      <c r="E197">
        <f>IFERROR(AGGREGATE(15,6,ROW('Input Transaksi'!$B$5:$B$5000)/('Input Transaksi'!$B$5:$B$5000="CL SESETAN"),ROWS($E$5:E197)),"")</f>
        <v/>
      </c>
      <c r="F197" s="5" t="n"/>
    </row>
    <row r="198">
      <c r="A198" s="10">
        <f>IF($E198="","",INDEX('Input Transaksi'!$A:$A,$E198))</f>
        <v/>
      </c>
      <c r="B198" s="5">
        <f>IF($E198="","",INDEX('Input Transaksi'!$D:$D,$E198))</f>
        <v/>
      </c>
      <c r="C198">
        <f>IF($E198="","",INDEX('Input Transaksi'!$E:$E,$E198))</f>
        <v/>
      </c>
      <c r="D198" s="5">
        <f>IF($E198="","",INDEX('Input Transaksi'!$F:$F,$E198))</f>
        <v/>
      </c>
      <c r="E198">
        <f>IFERROR(AGGREGATE(15,6,ROW('Input Transaksi'!$B$5:$B$5000)/('Input Transaksi'!$B$5:$B$5000="CL SESETAN"),ROWS($E$5:E198)),"")</f>
        <v/>
      </c>
      <c r="F198" s="5" t="n"/>
    </row>
    <row r="199">
      <c r="A199" s="10">
        <f>IF($E199="","",INDEX('Input Transaksi'!$A:$A,$E199))</f>
        <v/>
      </c>
      <c r="B199" s="5">
        <f>IF($E199="","",INDEX('Input Transaksi'!$D:$D,$E199))</f>
        <v/>
      </c>
      <c r="C199">
        <f>IF($E199="","",INDEX('Input Transaksi'!$E:$E,$E199))</f>
        <v/>
      </c>
      <c r="D199" s="5">
        <f>IF($E199="","",INDEX('Input Transaksi'!$F:$F,$E199))</f>
        <v/>
      </c>
      <c r="E199">
        <f>IFERROR(AGGREGATE(15,6,ROW('Input Transaksi'!$B$5:$B$5000)/('Input Transaksi'!$B$5:$B$5000="CL SESETAN"),ROWS($E$5:E199)),"")</f>
        <v/>
      </c>
      <c r="F199" s="5" t="n"/>
    </row>
    <row r="200">
      <c r="A200" s="10">
        <f>IF($E200="","",INDEX('Input Transaksi'!$A:$A,$E200))</f>
        <v/>
      </c>
      <c r="B200" s="5">
        <f>IF($E200="","",INDEX('Input Transaksi'!$D:$D,$E200))</f>
        <v/>
      </c>
      <c r="C200">
        <f>IF($E200="","",INDEX('Input Transaksi'!$E:$E,$E200))</f>
        <v/>
      </c>
      <c r="D200" s="5">
        <f>IF($E200="","",INDEX('Input Transaksi'!$F:$F,$E200))</f>
        <v/>
      </c>
      <c r="E200">
        <f>IFERROR(AGGREGATE(15,6,ROW('Input Transaksi'!$B$5:$B$5000)/('Input Transaksi'!$B$5:$B$5000="CL SESETAN"),ROWS($E$5:E200)),"")</f>
        <v/>
      </c>
      <c r="F200" s="5" t="n"/>
    </row>
    <row r="201">
      <c r="A201" s="10">
        <f>IF($E201="","",INDEX('Input Transaksi'!$A:$A,$E201))</f>
        <v/>
      </c>
      <c r="B201" s="5">
        <f>IF($E201="","",INDEX('Input Transaksi'!$D:$D,$E201))</f>
        <v/>
      </c>
      <c r="C201">
        <f>IF($E201="","",INDEX('Input Transaksi'!$E:$E,$E201))</f>
        <v/>
      </c>
      <c r="D201" s="5">
        <f>IF($E201="","",INDEX('Input Transaksi'!$F:$F,$E201))</f>
        <v/>
      </c>
      <c r="E201">
        <f>IFERROR(AGGREGATE(15,6,ROW('Input Transaksi'!$B$5:$B$5000)/('Input Transaksi'!$B$5:$B$5000="CL SESETAN"),ROWS($E$5:E201)),"")</f>
        <v/>
      </c>
      <c r="F201" s="5" t="n"/>
    </row>
    <row r="202">
      <c r="A202" s="10">
        <f>IF($E202="","",INDEX('Input Transaksi'!$A:$A,$E202))</f>
        <v/>
      </c>
      <c r="B202" s="5">
        <f>IF($E202="","",INDEX('Input Transaksi'!$D:$D,$E202))</f>
        <v/>
      </c>
      <c r="C202">
        <f>IF($E202="","",INDEX('Input Transaksi'!$E:$E,$E202))</f>
        <v/>
      </c>
      <c r="D202" s="5">
        <f>IF($E202="","",INDEX('Input Transaksi'!$F:$F,$E202))</f>
        <v/>
      </c>
      <c r="E202">
        <f>IFERROR(AGGREGATE(15,6,ROW('Input Transaksi'!$B$5:$B$5000)/('Input Transaksi'!$B$5:$B$5000="CL SESETAN"),ROWS($E$5:E202)),"")</f>
        <v/>
      </c>
      <c r="F202" s="5" t="n"/>
    </row>
    <row r="203">
      <c r="A203" s="10">
        <f>IF($E203="","",INDEX('Input Transaksi'!$A:$A,$E203))</f>
        <v/>
      </c>
      <c r="B203" s="5">
        <f>IF($E203="","",INDEX('Input Transaksi'!$D:$D,$E203))</f>
        <v/>
      </c>
      <c r="C203">
        <f>IF($E203="","",INDEX('Input Transaksi'!$E:$E,$E203))</f>
        <v/>
      </c>
      <c r="D203" s="5">
        <f>IF($E203="","",INDEX('Input Transaksi'!$F:$F,$E203))</f>
        <v/>
      </c>
      <c r="E203">
        <f>IFERROR(AGGREGATE(15,6,ROW('Input Transaksi'!$B$5:$B$5000)/('Input Transaksi'!$B$5:$B$5000="CL SESETAN"),ROWS($E$5:E203)),"")</f>
        <v/>
      </c>
      <c r="F203" s="5" t="n"/>
    </row>
    <row r="204">
      <c r="A204" s="10">
        <f>IF($E204="","",INDEX('Input Transaksi'!$A:$A,$E204))</f>
        <v/>
      </c>
      <c r="B204" s="5">
        <f>IF($E204="","",INDEX('Input Transaksi'!$D:$D,$E204))</f>
        <v/>
      </c>
      <c r="C204">
        <f>IF($E204="","",INDEX('Input Transaksi'!$E:$E,$E204))</f>
        <v/>
      </c>
      <c r="D204" s="5">
        <f>IF($E204="","",INDEX('Input Transaksi'!$F:$F,$E204))</f>
        <v/>
      </c>
      <c r="E204">
        <f>IFERROR(AGGREGATE(15,6,ROW('Input Transaksi'!$B$5:$B$5000)/('Input Transaksi'!$B$5:$B$5000="CL SESETAN"),ROWS($E$5:E204)),"")</f>
        <v/>
      </c>
      <c r="F204" s="5" t="n"/>
    </row>
    <row r="205">
      <c r="A205" s="10">
        <f>IF($E205="","",INDEX('Input Transaksi'!$A:$A,$E205))</f>
        <v/>
      </c>
      <c r="B205" s="5">
        <f>IF($E205="","",INDEX('Input Transaksi'!$D:$D,$E205))</f>
        <v/>
      </c>
      <c r="C205">
        <f>IF($E205="","",INDEX('Input Transaksi'!$E:$E,$E205))</f>
        <v/>
      </c>
      <c r="D205" s="5">
        <f>IF($E205="","",INDEX('Input Transaksi'!$F:$F,$E205))</f>
        <v/>
      </c>
      <c r="E205">
        <f>IFERROR(AGGREGATE(15,6,ROW('Input Transaksi'!$B$5:$B$5000)/('Input Transaksi'!$B$5:$B$5000="CL SESETAN"),ROWS($E$5:E205)),"")</f>
        <v/>
      </c>
      <c r="F205" s="5" t="n"/>
    </row>
    <row r="206">
      <c r="A206" s="10">
        <f>IF($E206="","",INDEX('Input Transaksi'!$A:$A,$E206))</f>
        <v/>
      </c>
      <c r="B206" s="5">
        <f>IF($E206="","",INDEX('Input Transaksi'!$D:$D,$E206))</f>
        <v/>
      </c>
      <c r="C206">
        <f>IF($E206="","",INDEX('Input Transaksi'!$E:$E,$E206))</f>
        <v/>
      </c>
      <c r="D206" s="5">
        <f>IF($E206="","",INDEX('Input Transaksi'!$F:$F,$E206))</f>
        <v/>
      </c>
      <c r="E206">
        <f>IFERROR(AGGREGATE(15,6,ROW('Input Transaksi'!$B$5:$B$5000)/('Input Transaksi'!$B$5:$B$5000="CL SESETAN"),ROWS($E$5:E206)),"")</f>
        <v/>
      </c>
      <c r="F206" s="5" t="n"/>
    </row>
    <row r="207">
      <c r="A207" s="10">
        <f>IF($E207="","",INDEX('Input Transaksi'!$A:$A,$E207))</f>
        <v/>
      </c>
      <c r="B207" s="5">
        <f>IF($E207="","",INDEX('Input Transaksi'!$D:$D,$E207))</f>
        <v/>
      </c>
      <c r="C207">
        <f>IF($E207="","",INDEX('Input Transaksi'!$E:$E,$E207))</f>
        <v/>
      </c>
      <c r="D207" s="5">
        <f>IF($E207="","",INDEX('Input Transaksi'!$F:$F,$E207))</f>
        <v/>
      </c>
      <c r="E207">
        <f>IFERROR(AGGREGATE(15,6,ROW('Input Transaksi'!$B$5:$B$5000)/('Input Transaksi'!$B$5:$B$5000="CL SESETAN"),ROWS($E$5:E207)),"")</f>
        <v/>
      </c>
      <c r="F207" s="5" t="n"/>
    </row>
    <row r="208">
      <c r="A208" s="10">
        <f>IF($E208="","",INDEX('Input Transaksi'!$A:$A,$E208))</f>
        <v/>
      </c>
      <c r="B208" s="5">
        <f>IF($E208="","",INDEX('Input Transaksi'!$D:$D,$E208))</f>
        <v/>
      </c>
      <c r="C208">
        <f>IF($E208="","",INDEX('Input Transaksi'!$E:$E,$E208))</f>
        <v/>
      </c>
      <c r="D208" s="5">
        <f>IF($E208="","",INDEX('Input Transaksi'!$F:$F,$E208))</f>
        <v/>
      </c>
      <c r="E208">
        <f>IFERROR(AGGREGATE(15,6,ROW('Input Transaksi'!$B$5:$B$5000)/('Input Transaksi'!$B$5:$B$5000="CL SESETAN"),ROWS($E$5:E208)),"")</f>
        <v/>
      </c>
      <c r="F208" s="5" t="n"/>
    </row>
    <row r="209">
      <c r="A209" s="10">
        <f>IF($E209="","",INDEX('Input Transaksi'!$A:$A,$E209))</f>
        <v/>
      </c>
      <c r="B209" s="5">
        <f>IF($E209="","",INDEX('Input Transaksi'!$D:$D,$E209))</f>
        <v/>
      </c>
      <c r="C209">
        <f>IF($E209="","",INDEX('Input Transaksi'!$E:$E,$E209))</f>
        <v/>
      </c>
      <c r="D209" s="5">
        <f>IF($E209="","",INDEX('Input Transaksi'!$F:$F,$E209))</f>
        <v/>
      </c>
      <c r="E209">
        <f>IFERROR(AGGREGATE(15,6,ROW('Input Transaksi'!$B$5:$B$5000)/('Input Transaksi'!$B$5:$B$5000="CL SESETAN"),ROWS($E$5:E209)),"")</f>
        <v/>
      </c>
      <c r="F209" s="5" t="n"/>
    </row>
    <row r="210">
      <c r="A210" s="10">
        <f>IF($E210="","",INDEX('Input Transaksi'!$A:$A,$E210))</f>
        <v/>
      </c>
      <c r="B210" s="5">
        <f>IF($E210="","",INDEX('Input Transaksi'!$D:$D,$E210))</f>
        <v/>
      </c>
      <c r="C210">
        <f>IF($E210="","",INDEX('Input Transaksi'!$E:$E,$E210))</f>
        <v/>
      </c>
      <c r="D210" s="5">
        <f>IF($E210="","",INDEX('Input Transaksi'!$F:$F,$E210))</f>
        <v/>
      </c>
      <c r="E210">
        <f>IFERROR(AGGREGATE(15,6,ROW('Input Transaksi'!$B$5:$B$5000)/('Input Transaksi'!$B$5:$B$5000="CL SESETAN"),ROWS($E$5:E210)),"")</f>
        <v/>
      </c>
      <c r="F210" s="5" t="n"/>
    </row>
    <row r="211">
      <c r="A211" s="10">
        <f>IF($E211="","",INDEX('Input Transaksi'!$A:$A,$E211))</f>
        <v/>
      </c>
      <c r="B211" s="5">
        <f>IF($E211="","",INDEX('Input Transaksi'!$D:$D,$E211))</f>
        <v/>
      </c>
      <c r="C211">
        <f>IF($E211="","",INDEX('Input Transaksi'!$E:$E,$E211))</f>
        <v/>
      </c>
      <c r="D211" s="5">
        <f>IF($E211="","",INDEX('Input Transaksi'!$F:$F,$E211))</f>
        <v/>
      </c>
      <c r="E211">
        <f>IFERROR(AGGREGATE(15,6,ROW('Input Transaksi'!$B$5:$B$5000)/('Input Transaksi'!$B$5:$B$5000="CL SESETAN"),ROWS($E$5:E211)),"")</f>
        <v/>
      </c>
      <c r="F211" s="5" t="n"/>
    </row>
    <row r="212">
      <c r="A212" s="10">
        <f>IF($E212="","",INDEX('Input Transaksi'!$A:$A,$E212))</f>
        <v/>
      </c>
      <c r="B212" s="5">
        <f>IF($E212="","",INDEX('Input Transaksi'!$D:$D,$E212))</f>
        <v/>
      </c>
      <c r="C212">
        <f>IF($E212="","",INDEX('Input Transaksi'!$E:$E,$E212))</f>
        <v/>
      </c>
      <c r="D212" s="5">
        <f>IF($E212="","",INDEX('Input Transaksi'!$F:$F,$E212))</f>
        <v/>
      </c>
      <c r="E212">
        <f>IFERROR(AGGREGATE(15,6,ROW('Input Transaksi'!$B$5:$B$5000)/('Input Transaksi'!$B$5:$B$5000="CL SESETAN"),ROWS($E$5:E212)),"")</f>
        <v/>
      </c>
      <c r="F212" s="5" t="n"/>
    </row>
    <row r="213">
      <c r="A213" s="10">
        <f>IF($E213="","",INDEX('Input Transaksi'!$A:$A,$E213))</f>
        <v/>
      </c>
      <c r="B213" s="5">
        <f>IF($E213="","",INDEX('Input Transaksi'!$D:$D,$E213))</f>
        <v/>
      </c>
      <c r="C213">
        <f>IF($E213="","",INDEX('Input Transaksi'!$E:$E,$E213))</f>
        <v/>
      </c>
      <c r="D213" s="5">
        <f>IF($E213="","",INDEX('Input Transaksi'!$F:$F,$E213))</f>
        <v/>
      </c>
      <c r="E213">
        <f>IFERROR(AGGREGATE(15,6,ROW('Input Transaksi'!$B$5:$B$5000)/('Input Transaksi'!$B$5:$B$5000="CL SESETAN"),ROWS($E$5:E213)),"")</f>
        <v/>
      </c>
      <c r="F213" s="5" t="n"/>
    </row>
    <row r="214">
      <c r="A214" s="10">
        <f>IF($E214="","",INDEX('Input Transaksi'!$A:$A,$E214))</f>
        <v/>
      </c>
      <c r="B214" s="5">
        <f>IF($E214="","",INDEX('Input Transaksi'!$D:$D,$E214))</f>
        <v/>
      </c>
      <c r="C214">
        <f>IF($E214="","",INDEX('Input Transaksi'!$E:$E,$E214))</f>
        <v/>
      </c>
      <c r="D214" s="5">
        <f>IF($E214="","",INDEX('Input Transaksi'!$F:$F,$E214))</f>
        <v/>
      </c>
      <c r="E214">
        <f>IFERROR(AGGREGATE(15,6,ROW('Input Transaksi'!$B$5:$B$5000)/('Input Transaksi'!$B$5:$B$5000="CL SESETAN"),ROWS($E$5:E214)),"")</f>
        <v/>
      </c>
      <c r="F214" s="5" t="n"/>
    </row>
    <row r="215">
      <c r="A215" s="10">
        <f>IF($E215="","",INDEX('Input Transaksi'!$A:$A,$E215))</f>
        <v/>
      </c>
      <c r="B215" s="5">
        <f>IF($E215="","",INDEX('Input Transaksi'!$D:$D,$E215))</f>
        <v/>
      </c>
      <c r="C215">
        <f>IF($E215="","",INDEX('Input Transaksi'!$E:$E,$E215))</f>
        <v/>
      </c>
      <c r="D215" s="5">
        <f>IF($E215="","",INDEX('Input Transaksi'!$F:$F,$E215))</f>
        <v/>
      </c>
      <c r="E215">
        <f>IFERROR(AGGREGATE(15,6,ROW('Input Transaksi'!$B$5:$B$5000)/('Input Transaksi'!$B$5:$B$5000="CL SESETAN"),ROWS($E$5:E215)),"")</f>
        <v/>
      </c>
      <c r="F215" s="5" t="n"/>
    </row>
    <row r="216">
      <c r="A216" s="10">
        <f>IF($E216="","",INDEX('Input Transaksi'!$A:$A,$E216))</f>
        <v/>
      </c>
      <c r="B216" s="5">
        <f>IF($E216="","",INDEX('Input Transaksi'!$D:$D,$E216))</f>
        <v/>
      </c>
      <c r="C216">
        <f>IF($E216="","",INDEX('Input Transaksi'!$E:$E,$E216))</f>
        <v/>
      </c>
      <c r="D216" s="5">
        <f>IF($E216="","",INDEX('Input Transaksi'!$F:$F,$E216))</f>
        <v/>
      </c>
      <c r="E216">
        <f>IFERROR(AGGREGATE(15,6,ROW('Input Transaksi'!$B$5:$B$5000)/('Input Transaksi'!$B$5:$B$5000="CL SESETAN"),ROWS($E$5:E216)),"")</f>
        <v/>
      </c>
      <c r="F216" s="5" t="n"/>
    </row>
    <row r="217">
      <c r="A217" s="10">
        <f>IF($E217="","",INDEX('Input Transaksi'!$A:$A,$E217))</f>
        <v/>
      </c>
      <c r="B217" s="5">
        <f>IF($E217="","",INDEX('Input Transaksi'!$D:$D,$E217))</f>
        <v/>
      </c>
      <c r="C217">
        <f>IF($E217="","",INDEX('Input Transaksi'!$E:$E,$E217))</f>
        <v/>
      </c>
      <c r="D217" s="5">
        <f>IF($E217="","",INDEX('Input Transaksi'!$F:$F,$E217))</f>
        <v/>
      </c>
      <c r="E217">
        <f>IFERROR(AGGREGATE(15,6,ROW('Input Transaksi'!$B$5:$B$5000)/('Input Transaksi'!$B$5:$B$5000="CL SESETAN"),ROWS($E$5:E217)),"")</f>
        <v/>
      </c>
      <c r="F217" s="5" t="n"/>
    </row>
    <row r="218">
      <c r="A218" s="10">
        <f>IF($E218="","",INDEX('Input Transaksi'!$A:$A,$E218))</f>
        <v/>
      </c>
      <c r="B218" s="5">
        <f>IF($E218="","",INDEX('Input Transaksi'!$D:$D,$E218))</f>
        <v/>
      </c>
      <c r="C218">
        <f>IF($E218="","",INDEX('Input Transaksi'!$E:$E,$E218))</f>
        <v/>
      </c>
      <c r="D218" s="5">
        <f>IF($E218="","",INDEX('Input Transaksi'!$F:$F,$E218))</f>
        <v/>
      </c>
      <c r="E218">
        <f>IFERROR(AGGREGATE(15,6,ROW('Input Transaksi'!$B$5:$B$5000)/('Input Transaksi'!$B$5:$B$5000="CL SESETAN"),ROWS($E$5:E218)),"")</f>
        <v/>
      </c>
      <c r="F218" s="5" t="n"/>
    </row>
    <row r="219">
      <c r="A219" s="10">
        <f>IF($E219="","",INDEX('Input Transaksi'!$A:$A,$E219))</f>
        <v/>
      </c>
      <c r="B219" s="5">
        <f>IF($E219="","",INDEX('Input Transaksi'!$D:$D,$E219))</f>
        <v/>
      </c>
      <c r="C219">
        <f>IF($E219="","",INDEX('Input Transaksi'!$E:$E,$E219))</f>
        <v/>
      </c>
      <c r="D219" s="5">
        <f>IF($E219="","",INDEX('Input Transaksi'!$F:$F,$E219))</f>
        <v/>
      </c>
      <c r="E219">
        <f>IFERROR(AGGREGATE(15,6,ROW('Input Transaksi'!$B$5:$B$5000)/('Input Transaksi'!$B$5:$B$5000="CL SESETAN"),ROWS($E$5:E219)),"")</f>
        <v/>
      </c>
      <c r="F219" s="5" t="n"/>
    </row>
    <row r="220">
      <c r="A220" s="10">
        <f>IF($E220="","",INDEX('Input Transaksi'!$A:$A,$E220))</f>
        <v/>
      </c>
      <c r="B220" s="5">
        <f>IF($E220="","",INDEX('Input Transaksi'!$D:$D,$E220))</f>
        <v/>
      </c>
      <c r="C220">
        <f>IF($E220="","",INDEX('Input Transaksi'!$E:$E,$E220))</f>
        <v/>
      </c>
      <c r="D220" s="5">
        <f>IF($E220="","",INDEX('Input Transaksi'!$F:$F,$E220))</f>
        <v/>
      </c>
      <c r="E220">
        <f>IFERROR(AGGREGATE(15,6,ROW('Input Transaksi'!$B$5:$B$5000)/('Input Transaksi'!$B$5:$B$5000="CL SESETAN"),ROWS($E$5:E220)),"")</f>
        <v/>
      </c>
      <c r="F220" s="5" t="n"/>
    </row>
    <row r="221">
      <c r="A221" s="10">
        <f>IF($E221="","",INDEX('Input Transaksi'!$A:$A,$E221))</f>
        <v/>
      </c>
      <c r="B221" s="5">
        <f>IF($E221="","",INDEX('Input Transaksi'!$D:$D,$E221))</f>
        <v/>
      </c>
      <c r="C221">
        <f>IF($E221="","",INDEX('Input Transaksi'!$E:$E,$E221))</f>
        <v/>
      </c>
      <c r="D221" s="5">
        <f>IF($E221="","",INDEX('Input Transaksi'!$F:$F,$E221))</f>
        <v/>
      </c>
      <c r="E221">
        <f>IFERROR(AGGREGATE(15,6,ROW('Input Transaksi'!$B$5:$B$5000)/('Input Transaksi'!$B$5:$B$5000="CL SESETAN"),ROWS($E$5:E221)),"")</f>
        <v/>
      </c>
      <c r="F221" s="5" t="n"/>
    </row>
    <row r="222">
      <c r="A222" s="10">
        <f>IF($E222="","",INDEX('Input Transaksi'!$A:$A,$E222))</f>
        <v/>
      </c>
      <c r="B222" s="5">
        <f>IF($E222="","",INDEX('Input Transaksi'!$D:$D,$E222))</f>
        <v/>
      </c>
      <c r="C222">
        <f>IF($E222="","",INDEX('Input Transaksi'!$E:$E,$E222))</f>
        <v/>
      </c>
      <c r="D222" s="5">
        <f>IF($E222="","",INDEX('Input Transaksi'!$F:$F,$E222))</f>
        <v/>
      </c>
      <c r="E222">
        <f>IFERROR(AGGREGATE(15,6,ROW('Input Transaksi'!$B$5:$B$5000)/('Input Transaksi'!$B$5:$B$5000="CL SESETAN"),ROWS($E$5:E222)),"")</f>
        <v/>
      </c>
      <c r="F222" s="5" t="n"/>
    </row>
    <row r="223">
      <c r="A223" s="10">
        <f>IF($E223="","",INDEX('Input Transaksi'!$A:$A,$E223))</f>
        <v/>
      </c>
      <c r="B223" s="5">
        <f>IF($E223="","",INDEX('Input Transaksi'!$D:$D,$E223))</f>
        <v/>
      </c>
      <c r="C223">
        <f>IF($E223="","",INDEX('Input Transaksi'!$E:$E,$E223))</f>
        <v/>
      </c>
      <c r="D223" s="5">
        <f>IF($E223="","",INDEX('Input Transaksi'!$F:$F,$E223))</f>
        <v/>
      </c>
      <c r="E223">
        <f>IFERROR(AGGREGATE(15,6,ROW('Input Transaksi'!$B$5:$B$5000)/('Input Transaksi'!$B$5:$B$5000="CL SESETAN"),ROWS($E$5:E223)),"")</f>
        <v/>
      </c>
      <c r="F223" s="5" t="n"/>
    </row>
    <row r="224">
      <c r="A224" s="10">
        <f>IF($E224="","",INDEX('Input Transaksi'!$A:$A,$E224))</f>
        <v/>
      </c>
      <c r="B224" s="5">
        <f>IF($E224="","",INDEX('Input Transaksi'!$D:$D,$E224))</f>
        <v/>
      </c>
      <c r="C224">
        <f>IF($E224="","",INDEX('Input Transaksi'!$E:$E,$E224))</f>
        <v/>
      </c>
      <c r="D224" s="5">
        <f>IF($E224="","",INDEX('Input Transaksi'!$F:$F,$E224))</f>
        <v/>
      </c>
      <c r="E224">
        <f>IFERROR(AGGREGATE(15,6,ROW('Input Transaksi'!$B$5:$B$5000)/('Input Transaksi'!$B$5:$B$5000="CL SESETAN"),ROWS($E$5:E224)),"")</f>
        <v/>
      </c>
      <c r="F224" s="5" t="n"/>
    </row>
    <row r="225">
      <c r="A225" s="10">
        <f>IF($E225="","",INDEX('Input Transaksi'!$A:$A,$E225))</f>
        <v/>
      </c>
      <c r="B225" s="5">
        <f>IF($E225="","",INDEX('Input Transaksi'!$D:$D,$E225))</f>
        <v/>
      </c>
      <c r="C225">
        <f>IF($E225="","",INDEX('Input Transaksi'!$E:$E,$E225))</f>
        <v/>
      </c>
      <c r="D225" s="5">
        <f>IF($E225="","",INDEX('Input Transaksi'!$F:$F,$E225))</f>
        <v/>
      </c>
      <c r="E225">
        <f>IFERROR(AGGREGATE(15,6,ROW('Input Transaksi'!$B$5:$B$5000)/('Input Transaksi'!$B$5:$B$5000="CL SESETAN"),ROWS($E$5:E225)),"")</f>
        <v/>
      </c>
      <c r="F225" s="5" t="n"/>
    </row>
    <row r="226">
      <c r="A226" s="10">
        <f>IF($E226="","",INDEX('Input Transaksi'!$A:$A,$E226))</f>
        <v/>
      </c>
      <c r="B226" s="5">
        <f>IF($E226="","",INDEX('Input Transaksi'!$D:$D,$E226))</f>
        <v/>
      </c>
      <c r="C226">
        <f>IF($E226="","",INDEX('Input Transaksi'!$E:$E,$E226))</f>
        <v/>
      </c>
      <c r="D226" s="5">
        <f>IF($E226="","",INDEX('Input Transaksi'!$F:$F,$E226))</f>
        <v/>
      </c>
      <c r="E226">
        <f>IFERROR(AGGREGATE(15,6,ROW('Input Transaksi'!$B$5:$B$5000)/('Input Transaksi'!$B$5:$B$5000="CL SESETAN"),ROWS($E$5:E226)),"")</f>
        <v/>
      </c>
      <c r="F226" s="5" t="n"/>
    </row>
    <row r="227">
      <c r="A227" s="10">
        <f>IF($E227="","",INDEX('Input Transaksi'!$A:$A,$E227))</f>
        <v/>
      </c>
      <c r="B227" s="5">
        <f>IF($E227="","",INDEX('Input Transaksi'!$D:$D,$E227))</f>
        <v/>
      </c>
      <c r="C227">
        <f>IF($E227="","",INDEX('Input Transaksi'!$E:$E,$E227))</f>
        <v/>
      </c>
      <c r="D227" s="5">
        <f>IF($E227="","",INDEX('Input Transaksi'!$F:$F,$E227))</f>
        <v/>
      </c>
      <c r="E227">
        <f>IFERROR(AGGREGATE(15,6,ROW('Input Transaksi'!$B$5:$B$5000)/('Input Transaksi'!$B$5:$B$5000="CL SESETAN"),ROWS($E$5:E227)),"")</f>
        <v/>
      </c>
      <c r="F227" s="5" t="n"/>
    </row>
    <row r="228">
      <c r="A228" s="10">
        <f>IF($E228="","",INDEX('Input Transaksi'!$A:$A,$E228))</f>
        <v/>
      </c>
      <c r="B228" s="5">
        <f>IF($E228="","",INDEX('Input Transaksi'!$D:$D,$E228))</f>
        <v/>
      </c>
      <c r="C228">
        <f>IF($E228="","",INDEX('Input Transaksi'!$E:$E,$E228))</f>
        <v/>
      </c>
      <c r="D228" s="5">
        <f>IF($E228="","",INDEX('Input Transaksi'!$F:$F,$E228))</f>
        <v/>
      </c>
      <c r="E228">
        <f>IFERROR(AGGREGATE(15,6,ROW('Input Transaksi'!$B$5:$B$5000)/('Input Transaksi'!$B$5:$B$5000="CL SESETAN"),ROWS($E$5:E228)),"")</f>
        <v/>
      </c>
      <c r="F228" s="5" t="n"/>
    </row>
    <row r="229">
      <c r="A229" s="10">
        <f>IF($E229="","",INDEX('Input Transaksi'!$A:$A,$E229))</f>
        <v/>
      </c>
      <c r="B229" s="5">
        <f>IF($E229="","",INDEX('Input Transaksi'!$D:$D,$E229))</f>
        <v/>
      </c>
      <c r="C229">
        <f>IF($E229="","",INDEX('Input Transaksi'!$E:$E,$E229))</f>
        <v/>
      </c>
      <c r="D229" s="5">
        <f>IF($E229="","",INDEX('Input Transaksi'!$F:$F,$E229))</f>
        <v/>
      </c>
      <c r="E229">
        <f>IFERROR(AGGREGATE(15,6,ROW('Input Transaksi'!$B$5:$B$5000)/('Input Transaksi'!$B$5:$B$5000="CL SESETAN"),ROWS($E$5:E229)),"")</f>
        <v/>
      </c>
      <c r="F229" s="5" t="n"/>
    </row>
    <row r="230">
      <c r="A230" s="10">
        <f>IF($E230="","",INDEX('Input Transaksi'!$A:$A,$E230))</f>
        <v/>
      </c>
      <c r="B230" s="5">
        <f>IF($E230="","",INDEX('Input Transaksi'!$D:$D,$E230))</f>
        <v/>
      </c>
      <c r="C230">
        <f>IF($E230="","",INDEX('Input Transaksi'!$E:$E,$E230))</f>
        <v/>
      </c>
      <c r="D230" s="5">
        <f>IF($E230="","",INDEX('Input Transaksi'!$F:$F,$E230))</f>
        <v/>
      </c>
      <c r="E230">
        <f>IFERROR(AGGREGATE(15,6,ROW('Input Transaksi'!$B$5:$B$5000)/('Input Transaksi'!$B$5:$B$5000="CL SESETAN"),ROWS($E$5:E230)),"")</f>
        <v/>
      </c>
      <c r="F230" s="5" t="n"/>
    </row>
    <row r="231">
      <c r="A231" s="10">
        <f>IF($E231="","",INDEX('Input Transaksi'!$A:$A,$E231))</f>
        <v/>
      </c>
      <c r="B231" s="5">
        <f>IF($E231="","",INDEX('Input Transaksi'!$D:$D,$E231))</f>
        <v/>
      </c>
      <c r="C231">
        <f>IF($E231="","",INDEX('Input Transaksi'!$E:$E,$E231))</f>
        <v/>
      </c>
      <c r="D231" s="5">
        <f>IF($E231="","",INDEX('Input Transaksi'!$F:$F,$E231))</f>
        <v/>
      </c>
      <c r="E231">
        <f>IFERROR(AGGREGATE(15,6,ROW('Input Transaksi'!$B$5:$B$5000)/('Input Transaksi'!$B$5:$B$5000="CL SESETAN"),ROWS($E$5:E231)),"")</f>
        <v/>
      </c>
      <c r="F231" s="5" t="n"/>
    </row>
    <row r="232">
      <c r="A232" s="10">
        <f>IF($E232="","",INDEX('Input Transaksi'!$A:$A,$E232))</f>
        <v/>
      </c>
      <c r="B232" s="5">
        <f>IF($E232="","",INDEX('Input Transaksi'!$D:$D,$E232))</f>
        <v/>
      </c>
      <c r="C232">
        <f>IF($E232="","",INDEX('Input Transaksi'!$E:$E,$E232))</f>
        <v/>
      </c>
      <c r="D232" s="5">
        <f>IF($E232="","",INDEX('Input Transaksi'!$F:$F,$E232))</f>
        <v/>
      </c>
      <c r="E232">
        <f>IFERROR(AGGREGATE(15,6,ROW('Input Transaksi'!$B$5:$B$5000)/('Input Transaksi'!$B$5:$B$5000="CL SESETAN"),ROWS($E$5:E232)),"")</f>
        <v/>
      </c>
      <c r="F232" s="5" t="n"/>
    </row>
    <row r="233">
      <c r="A233" s="10">
        <f>IF($E233="","",INDEX('Input Transaksi'!$A:$A,$E233))</f>
        <v/>
      </c>
      <c r="B233" s="5">
        <f>IF($E233="","",INDEX('Input Transaksi'!$D:$D,$E233))</f>
        <v/>
      </c>
      <c r="C233">
        <f>IF($E233="","",INDEX('Input Transaksi'!$E:$E,$E233))</f>
        <v/>
      </c>
      <c r="D233" s="5">
        <f>IF($E233="","",INDEX('Input Transaksi'!$F:$F,$E233))</f>
        <v/>
      </c>
      <c r="E233">
        <f>IFERROR(AGGREGATE(15,6,ROW('Input Transaksi'!$B$5:$B$5000)/('Input Transaksi'!$B$5:$B$5000="CL SESETAN"),ROWS($E$5:E233)),"")</f>
        <v/>
      </c>
      <c r="F233" s="5" t="n"/>
    </row>
    <row r="234">
      <c r="A234" s="10">
        <f>IF($E234="","",INDEX('Input Transaksi'!$A:$A,$E234))</f>
        <v/>
      </c>
      <c r="B234" s="5">
        <f>IF($E234="","",INDEX('Input Transaksi'!$D:$D,$E234))</f>
        <v/>
      </c>
      <c r="C234">
        <f>IF($E234="","",INDEX('Input Transaksi'!$E:$E,$E234))</f>
        <v/>
      </c>
      <c r="D234" s="5">
        <f>IF($E234="","",INDEX('Input Transaksi'!$F:$F,$E234))</f>
        <v/>
      </c>
      <c r="E234">
        <f>IFERROR(AGGREGATE(15,6,ROW('Input Transaksi'!$B$5:$B$5000)/('Input Transaksi'!$B$5:$B$5000="CL SESETAN"),ROWS($E$5:E234)),"")</f>
        <v/>
      </c>
      <c r="F234" s="5" t="n"/>
    </row>
    <row r="235">
      <c r="A235" s="10">
        <f>IF($E235="","",INDEX('Input Transaksi'!$A:$A,$E235))</f>
        <v/>
      </c>
      <c r="B235" s="5">
        <f>IF($E235="","",INDEX('Input Transaksi'!$D:$D,$E235))</f>
        <v/>
      </c>
      <c r="C235">
        <f>IF($E235="","",INDEX('Input Transaksi'!$E:$E,$E235))</f>
        <v/>
      </c>
      <c r="D235" s="5">
        <f>IF($E235="","",INDEX('Input Transaksi'!$F:$F,$E235))</f>
        <v/>
      </c>
      <c r="E235">
        <f>IFERROR(AGGREGATE(15,6,ROW('Input Transaksi'!$B$5:$B$5000)/('Input Transaksi'!$B$5:$B$5000="CL SESETAN"),ROWS($E$5:E235)),"")</f>
        <v/>
      </c>
      <c r="F235" s="5" t="n"/>
    </row>
    <row r="236">
      <c r="A236" s="10">
        <f>IF($E236="","",INDEX('Input Transaksi'!$A:$A,$E236))</f>
        <v/>
      </c>
      <c r="B236" s="5">
        <f>IF($E236="","",INDEX('Input Transaksi'!$D:$D,$E236))</f>
        <v/>
      </c>
      <c r="C236">
        <f>IF($E236="","",INDEX('Input Transaksi'!$E:$E,$E236))</f>
        <v/>
      </c>
      <c r="D236" s="5">
        <f>IF($E236="","",INDEX('Input Transaksi'!$F:$F,$E236))</f>
        <v/>
      </c>
      <c r="E236">
        <f>IFERROR(AGGREGATE(15,6,ROW('Input Transaksi'!$B$5:$B$5000)/('Input Transaksi'!$B$5:$B$5000="CL SESETAN"),ROWS($E$5:E236)),"")</f>
        <v/>
      </c>
      <c r="F236" s="5" t="n"/>
    </row>
    <row r="237">
      <c r="A237" s="10">
        <f>IF($E237="","",INDEX('Input Transaksi'!$A:$A,$E237))</f>
        <v/>
      </c>
      <c r="B237" s="5">
        <f>IF($E237="","",INDEX('Input Transaksi'!$D:$D,$E237))</f>
        <v/>
      </c>
      <c r="C237">
        <f>IF($E237="","",INDEX('Input Transaksi'!$E:$E,$E237))</f>
        <v/>
      </c>
      <c r="D237" s="5">
        <f>IF($E237="","",INDEX('Input Transaksi'!$F:$F,$E237))</f>
        <v/>
      </c>
      <c r="E237">
        <f>IFERROR(AGGREGATE(15,6,ROW('Input Transaksi'!$B$5:$B$5000)/('Input Transaksi'!$B$5:$B$5000="CL SESETAN"),ROWS($E$5:E237)),"")</f>
        <v/>
      </c>
      <c r="F237" s="5" t="n"/>
    </row>
    <row r="238">
      <c r="A238" s="10">
        <f>IF($E238="","",INDEX('Input Transaksi'!$A:$A,$E238))</f>
        <v/>
      </c>
      <c r="B238" s="5">
        <f>IF($E238="","",INDEX('Input Transaksi'!$D:$D,$E238))</f>
        <v/>
      </c>
      <c r="C238">
        <f>IF($E238="","",INDEX('Input Transaksi'!$E:$E,$E238))</f>
        <v/>
      </c>
      <c r="D238" s="5">
        <f>IF($E238="","",INDEX('Input Transaksi'!$F:$F,$E238))</f>
        <v/>
      </c>
      <c r="E238">
        <f>IFERROR(AGGREGATE(15,6,ROW('Input Transaksi'!$B$5:$B$5000)/('Input Transaksi'!$B$5:$B$5000="CL SESETAN"),ROWS($E$5:E238)),"")</f>
        <v/>
      </c>
      <c r="F238" s="5" t="n"/>
    </row>
    <row r="239">
      <c r="A239" s="10">
        <f>IF($E239="","",INDEX('Input Transaksi'!$A:$A,$E239))</f>
        <v/>
      </c>
      <c r="B239" s="5">
        <f>IF($E239="","",INDEX('Input Transaksi'!$D:$D,$E239))</f>
        <v/>
      </c>
      <c r="C239">
        <f>IF($E239="","",INDEX('Input Transaksi'!$E:$E,$E239))</f>
        <v/>
      </c>
      <c r="D239" s="5">
        <f>IF($E239="","",INDEX('Input Transaksi'!$F:$F,$E239))</f>
        <v/>
      </c>
      <c r="E239">
        <f>IFERROR(AGGREGATE(15,6,ROW('Input Transaksi'!$B$5:$B$5000)/('Input Transaksi'!$B$5:$B$5000="CL SESETAN"),ROWS($E$5:E239)),"")</f>
        <v/>
      </c>
      <c r="F239" s="5" t="n"/>
    </row>
    <row r="240">
      <c r="A240" s="10">
        <f>IF($E240="","",INDEX('Input Transaksi'!$A:$A,$E240))</f>
        <v/>
      </c>
      <c r="B240" s="5">
        <f>IF($E240="","",INDEX('Input Transaksi'!$D:$D,$E240))</f>
        <v/>
      </c>
      <c r="C240">
        <f>IF($E240="","",INDEX('Input Transaksi'!$E:$E,$E240))</f>
        <v/>
      </c>
      <c r="D240" s="5">
        <f>IF($E240="","",INDEX('Input Transaksi'!$F:$F,$E240))</f>
        <v/>
      </c>
      <c r="E240">
        <f>IFERROR(AGGREGATE(15,6,ROW('Input Transaksi'!$B$5:$B$5000)/('Input Transaksi'!$B$5:$B$5000="CL SESETAN"),ROWS($E$5:E240)),"")</f>
        <v/>
      </c>
      <c r="F240" s="5" t="n"/>
    </row>
    <row r="241">
      <c r="A241" s="10">
        <f>IF($E241="","",INDEX('Input Transaksi'!$A:$A,$E241))</f>
        <v/>
      </c>
      <c r="B241" s="5">
        <f>IF($E241="","",INDEX('Input Transaksi'!$D:$D,$E241))</f>
        <v/>
      </c>
      <c r="C241">
        <f>IF($E241="","",INDEX('Input Transaksi'!$E:$E,$E241))</f>
        <v/>
      </c>
      <c r="D241" s="5">
        <f>IF($E241="","",INDEX('Input Transaksi'!$F:$F,$E241))</f>
        <v/>
      </c>
      <c r="E241">
        <f>IFERROR(AGGREGATE(15,6,ROW('Input Transaksi'!$B$5:$B$5000)/('Input Transaksi'!$B$5:$B$5000="CL SESETAN"),ROWS($E$5:E241)),"")</f>
        <v/>
      </c>
      <c r="F241" s="5" t="n"/>
    </row>
    <row r="242">
      <c r="A242" s="10">
        <f>IF($E242="","",INDEX('Input Transaksi'!$A:$A,$E242))</f>
        <v/>
      </c>
      <c r="B242" s="5">
        <f>IF($E242="","",INDEX('Input Transaksi'!$D:$D,$E242))</f>
        <v/>
      </c>
      <c r="C242">
        <f>IF($E242="","",INDEX('Input Transaksi'!$E:$E,$E242))</f>
        <v/>
      </c>
      <c r="D242" s="5">
        <f>IF($E242="","",INDEX('Input Transaksi'!$F:$F,$E242))</f>
        <v/>
      </c>
      <c r="E242">
        <f>IFERROR(AGGREGATE(15,6,ROW('Input Transaksi'!$B$5:$B$5000)/('Input Transaksi'!$B$5:$B$5000="CL SESETAN"),ROWS($E$5:E242)),"")</f>
        <v/>
      </c>
      <c r="F242" s="5" t="n"/>
    </row>
    <row r="243">
      <c r="A243" s="10">
        <f>IF($E243="","",INDEX('Input Transaksi'!$A:$A,$E243))</f>
        <v/>
      </c>
      <c r="B243" s="5">
        <f>IF($E243="","",INDEX('Input Transaksi'!$D:$D,$E243))</f>
        <v/>
      </c>
      <c r="C243">
        <f>IF($E243="","",INDEX('Input Transaksi'!$E:$E,$E243))</f>
        <v/>
      </c>
      <c r="D243" s="5">
        <f>IF($E243="","",INDEX('Input Transaksi'!$F:$F,$E243))</f>
        <v/>
      </c>
      <c r="E243">
        <f>IFERROR(AGGREGATE(15,6,ROW('Input Transaksi'!$B$5:$B$5000)/('Input Transaksi'!$B$5:$B$5000="CL SESETAN"),ROWS($E$5:E243)),"")</f>
        <v/>
      </c>
      <c r="F243" s="5" t="n"/>
    </row>
    <row r="244">
      <c r="A244" s="10">
        <f>IF($E244="","",INDEX('Input Transaksi'!$A:$A,$E244))</f>
        <v/>
      </c>
      <c r="B244" s="5">
        <f>IF($E244="","",INDEX('Input Transaksi'!$D:$D,$E244))</f>
        <v/>
      </c>
      <c r="C244">
        <f>IF($E244="","",INDEX('Input Transaksi'!$E:$E,$E244))</f>
        <v/>
      </c>
      <c r="D244" s="5">
        <f>IF($E244="","",INDEX('Input Transaksi'!$F:$F,$E244))</f>
        <v/>
      </c>
      <c r="E244">
        <f>IFERROR(AGGREGATE(15,6,ROW('Input Transaksi'!$B$5:$B$5000)/('Input Transaksi'!$B$5:$B$5000="CL SESETAN"),ROWS($E$5:E244)),"")</f>
        <v/>
      </c>
      <c r="F244" s="5" t="n"/>
    </row>
    <row r="245">
      <c r="A245" s="10">
        <f>IF($E245="","",INDEX('Input Transaksi'!$A:$A,$E245))</f>
        <v/>
      </c>
      <c r="B245" s="5">
        <f>IF($E245="","",INDEX('Input Transaksi'!$D:$D,$E245))</f>
        <v/>
      </c>
      <c r="C245">
        <f>IF($E245="","",INDEX('Input Transaksi'!$E:$E,$E245))</f>
        <v/>
      </c>
      <c r="D245" s="5">
        <f>IF($E245="","",INDEX('Input Transaksi'!$F:$F,$E245))</f>
        <v/>
      </c>
      <c r="E245">
        <f>IFERROR(AGGREGATE(15,6,ROW('Input Transaksi'!$B$5:$B$5000)/('Input Transaksi'!$B$5:$B$5000="CL SESETAN"),ROWS($E$5:E245)),"")</f>
        <v/>
      </c>
      <c r="F245" s="5" t="n"/>
    </row>
    <row r="246">
      <c r="A246" s="10">
        <f>IF($E246="","",INDEX('Input Transaksi'!$A:$A,$E246))</f>
        <v/>
      </c>
      <c r="B246" s="5">
        <f>IF($E246="","",INDEX('Input Transaksi'!$D:$D,$E246))</f>
        <v/>
      </c>
      <c r="C246">
        <f>IF($E246="","",INDEX('Input Transaksi'!$E:$E,$E246))</f>
        <v/>
      </c>
      <c r="D246" s="5">
        <f>IF($E246="","",INDEX('Input Transaksi'!$F:$F,$E246))</f>
        <v/>
      </c>
      <c r="E246">
        <f>IFERROR(AGGREGATE(15,6,ROW('Input Transaksi'!$B$5:$B$5000)/('Input Transaksi'!$B$5:$B$5000="CL SESETAN"),ROWS($E$5:E246)),"")</f>
        <v/>
      </c>
      <c r="F246" s="5" t="n"/>
    </row>
    <row r="247">
      <c r="A247" s="10">
        <f>IF($E247="","",INDEX('Input Transaksi'!$A:$A,$E247))</f>
        <v/>
      </c>
      <c r="B247" s="5">
        <f>IF($E247="","",INDEX('Input Transaksi'!$D:$D,$E247))</f>
        <v/>
      </c>
      <c r="C247">
        <f>IF($E247="","",INDEX('Input Transaksi'!$E:$E,$E247))</f>
        <v/>
      </c>
      <c r="D247" s="5">
        <f>IF($E247="","",INDEX('Input Transaksi'!$F:$F,$E247))</f>
        <v/>
      </c>
      <c r="E247">
        <f>IFERROR(AGGREGATE(15,6,ROW('Input Transaksi'!$B$5:$B$5000)/('Input Transaksi'!$B$5:$B$5000="CL SESETAN"),ROWS($E$5:E247)),"")</f>
        <v/>
      </c>
      <c r="F247" s="5" t="n"/>
    </row>
    <row r="248">
      <c r="A248" s="10">
        <f>IF($E248="","",INDEX('Input Transaksi'!$A:$A,$E248))</f>
        <v/>
      </c>
      <c r="B248" s="5">
        <f>IF($E248="","",INDEX('Input Transaksi'!$D:$D,$E248))</f>
        <v/>
      </c>
      <c r="C248">
        <f>IF($E248="","",INDEX('Input Transaksi'!$E:$E,$E248))</f>
        <v/>
      </c>
      <c r="D248" s="5">
        <f>IF($E248="","",INDEX('Input Transaksi'!$F:$F,$E248))</f>
        <v/>
      </c>
      <c r="E248">
        <f>IFERROR(AGGREGATE(15,6,ROW('Input Transaksi'!$B$5:$B$5000)/('Input Transaksi'!$B$5:$B$5000="CL SESETAN"),ROWS($E$5:E248)),"")</f>
        <v/>
      </c>
      <c r="F248" s="5" t="n"/>
    </row>
    <row r="249">
      <c r="A249" s="10">
        <f>IF($E249="","",INDEX('Input Transaksi'!$A:$A,$E249))</f>
        <v/>
      </c>
      <c r="B249" s="5">
        <f>IF($E249="","",INDEX('Input Transaksi'!$D:$D,$E249))</f>
        <v/>
      </c>
      <c r="C249">
        <f>IF($E249="","",INDEX('Input Transaksi'!$E:$E,$E249))</f>
        <v/>
      </c>
      <c r="D249" s="5">
        <f>IF($E249="","",INDEX('Input Transaksi'!$F:$F,$E249))</f>
        <v/>
      </c>
      <c r="E249">
        <f>IFERROR(AGGREGATE(15,6,ROW('Input Transaksi'!$B$5:$B$5000)/('Input Transaksi'!$B$5:$B$5000="CL SESETAN"),ROWS($E$5:E249)),"")</f>
        <v/>
      </c>
      <c r="F249" s="5" t="n"/>
    </row>
    <row r="250">
      <c r="A250" s="10">
        <f>IF($E250="","",INDEX('Input Transaksi'!$A:$A,$E250))</f>
        <v/>
      </c>
      <c r="B250" s="5">
        <f>IF($E250="","",INDEX('Input Transaksi'!$D:$D,$E250))</f>
        <v/>
      </c>
      <c r="C250">
        <f>IF($E250="","",INDEX('Input Transaksi'!$E:$E,$E250))</f>
        <v/>
      </c>
      <c r="D250" s="5">
        <f>IF($E250="","",INDEX('Input Transaksi'!$F:$F,$E250))</f>
        <v/>
      </c>
      <c r="E250">
        <f>IFERROR(AGGREGATE(15,6,ROW('Input Transaksi'!$B$5:$B$5000)/('Input Transaksi'!$B$5:$B$5000="CL SESETAN"),ROWS($E$5:E250)),"")</f>
        <v/>
      </c>
      <c r="F250" s="5" t="n"/>
    </row>
    <row r="251">
      <c r="A251" s="10">
        <f>IF($E251="","",INDEX('Input Transaksi'!$A:$A,$E251))</f>
        <v/>
      </c>
      <c r="B251" s="5">
        <f>IF($E251="","",INDEX('Input Transaksi'!$D:$D,$E251))</f>
        <v/>
      </c>
      <c r="C251">
        <f>IF($E251="","",INDEX('Input Transaksi'!$E:$E,$E251))</f>
        <v/>
      </c>
      <c r="D251" s="5">
        <f>IF($E251="","",INDEX('Input Transaksi'!$F:$F,$E251))</f>
        <v/>
      </c>
      <c r="E251">
        <f>IFERROR(AGGREGATE(15,6,ROW('Input Transaksi'!$B$5:$B$5000)/('Input Transaksi'!$B$5:$B$5000="CL SESETAN"),ROWS($E$5:E251)),"")</f>
        <v/>
      </c>
      <c r="F251" s="5" t="n"/>
    </row>
    <row r="252">
      <c r="A252" s="10">
        <f>IF($E252="","",INDEX('Input Transaksi'!$A:$A,$E252))</f>
        <v/>
      </c>
      <c r="B252" s="5">
        <f>IF($E252="","",INDEX('Input Transaksi'!$D:$D,$E252))</f>
        <v/>
      </c>
      <c r="C252">
        <f>IF($E252="","",INDEX('Input Transaksi'!$E:$E,$E252))</f>
        <v/>
      </c>
      <c r="D252" s="5">
        <f>IF($E252="","",INDEX('Input Transaksi'!$F:$F,$E252))</f>
        <v/>
      </c>
      <c r="E252">
        <f>IFERROR(AGGREGATE(15,6,ROW('Input Transaksi'!$B$5:$B$5000)/('Input Transaksi'!$B$5:$B$5000="CL SESETAN"),ROWS($E$5:E252)),"")</f>
        <v/>
      </c>
      <c r="F252" s="5" t="n"/>
    </row>
    <row r="253">
      <c r="A253" s="10">
        <f>IF($E253="","",INDEX('Input Transaksi'!$A:$A,$E253))</f>
        <v/>
      </c>
      <c r="B253" s="5">
        <f>IF($E253="","",INDEX('Input Transaksi'!$D:$D,$E253))</f>
        <v/>
      </c>
      <c r="C253">
        <f>IF($E253="","",INDEX('Input Transaksi'!$E:$E,$E253))</f>
        <v/>
      </c>
      <c r="D253" s="5">
        <f>IF($E253="","",INDEX('Input Transaksi'!$F:$F,$E253))</f>
        <v/>
      </c>
      <c r="E253">
        <f>IFERROR(AGGREGATE(15,6,ROW('Input Transaksi'!$B$5:$B$5000)/('Input Transaksi'!$B$5:$B$5000="CL SESETAN"),ROWS($E$5:E253)),"")</f>
        <v/>
      </c>
      <c r="F253" s="5" t="n"/>
    </row>
    <row r="254">
      <c r="A254" s="10">
        <f>IF($E254="","",INDEX('Input Transaksi'!$A:$A,$E254))</f>
        <v/>
      </c>
      <c r="B254" s="5">
        <f>IF($E254="","",INDEX('Input Transaksi'!$D:$D,$E254))</f>
        <v/>
      </c>
      <c r="C254">
        <f>IF($E254="","",INDEX('Input Transaksi'!$E:$E,$E254))</f>
        <v/>
      </c>
      <c r="D254" s="5">
        <f>IF($E254="","",INDEX('Input Transaksi'!$F:$F,$E254))</f>
        <v/>
      </c>
      <c r="E254">
        <f>IFERROR(AGGREGATE(15,6,ROW('Input Transaksi'!$B$5:$B$5000)/('Input Transaksi'!$B$5:$B$5000="CL SESETAN"),ROWS($E$5:E254)),"")</f>
        <v/>
      </c>
      <c r="F254" s="5" t="n"/>
    </row>
    <row r="255">
      <c r="A255" s="10">
        <f>IF($E255="","",INDEX('Input Transaksi'!$A:$A,$E255))</f>
        <v/>
      </c>
      <c r="B255" s="5">
        <f>IF($E255="","",INDEX('Input Transaksi'!$D:$D,$E255))</f>
        <v/>
      </c>
      <c r="C255">
        <f>IF($E255="","",INDEX('Input Transaksi'!$E:$E,$E255))</f>
        <v/>
      </c>
      <c r="D255" s="5">
        <f>IF($E255="","",INDEX('Input Transaksi'!$F:$F,$E255))</f>
        <v/>
      </c>
      <c r="E255">
        <f>IFERROR(AGGREGATE(15,6,ROW('Input Transaksi'!$B$5:$B$5000)/('Input Transaksi'!$B$5:$B$5000="CL SESETAN"),ROWS($E$5:E255)),"")</f>
        <v/>
      </c>
      <c r="F255" s="5" t="n"/>
    </row>
    <row r="256">
      <c r="A256" s="10">
        <f>IF($E256="","",INDEX('Input Transaksi'!$A:$A,$E256))</f>
        <v/>
      </c>
      <c r="B256" s="5">
        <f>IF($E256="","",INDEX('Input Transaksi'!$D:$D,$E256))</f>
        <v/>
      </c>
      <c r="C256">
        <f>IF($E256="","",INDEX('Input Transaksi'!$E:$E,$E256))</f>
        <v/>
      </c>
      <c r="D256" s="5">
        <f>IF($E256="","",INDEX('Input Transaksi'!$F:$F,$E256))</f>
        <v/>
      </c>
      <c r="E256">
        <f>IFERROR(AGGREGATE(15,6,ROW('Input Transaksi'!$B$5:$B$5000)/('Input Transaksi'!$B$5:$B$5000="CL SESETAN"),ROWS($E$5:E256)),"")</f>
        <v/>
      </c>
      <c r="F256" s="5" t="n"/>
    </row>
    <row r="257">
      <c r="A257" s="10">
        <f>IF($E257="","",INDEX('Input Transaksi'!$A:$A,$E257))</f>
        <v/>
      </c>
      <c r="B257" s="5">
        <f>IF($E257="","",INDEX('Input Transaksi'!$D:$D,$E257))</f>
        <v/>
      </c>
      <c r="C257">
        <f>IF($E257="","",INDEX('Input Transaksi'!$E:$E,$E257))</f>
        <v/>
      </c>
      <c r="D257" s="5">
        <f>IF($E257="","",INDEX('Input Transaksi'!$F:$F,$E257))</f>
        <v/>
      </c>
      <c r="E257">
        <f>IFERROR(AGGREGATE(15,6,ROW('Input Transaksi'!$B$5:$B$5000)/('Input Transaksi'!$B$5:$B$5000="CL SESETAN"),ROWS($E$5:E257)),"")</f>
        <v/>
      </c>
      <c r="F257" s="5" t="n"/>
    </row>
    <row r="258">
      <c r="A258" s="10">
        <f>IF($E258="","",INDEX('Input Transaksi'!$A:$A,$E258))</f>
        <v/>
      </c>
      <c r="B258" s="5">
        <f>IF($E258="","",INDEX('Input Transaksi'!$D:$D,$E258))</f>
        <v/>
      </c>
      <c r="C258">
        <f>IF($E258="","",INDEX('Input Transaksi'!$E:$E,$E258))</f>
        <v/>
      </c>
      <c r="D258" s="5">
        <f>IF($E258="","",INDEX('Input Transaksi'!$F:$F,$E258))</f>
        <v/>
      </c>
      <c r="E258">
        <f>IFERROR(AGGREGATE(15,6,ROW('Input Transaksi'!$B$5:$B$5000)/('Input Transaksi'!$B$5:$B$5000="CL SESETAN"),ROWS($E$5:E258)),"")</f>
        <v/>
      </c>
      <c r="F258" s="5" t="n"/>
    </row>
    <row r="259">
      <c r="A259" s="10">
        <f>IF($E259="","",INDEX('Input Transaksi'!$A:$A,$E259))</f>
        <v/>
      </c>
      <c r="B259" s="5">
        <f>IF($E259="","",INDEX('Input Transaksi'!$D:$D,$E259))</f>
        <v/>
      </c>
      <c r="C259">
        <f>IF($E259="","",INDEX('Input Transaksi'!$E:$E,$E259))</f>
        <v/>
      </c>
      <c r="D259" s="5">
        <f>IF($E259="","",INDEX('Input Transaksi'!$F:$F,$E259))</f>
        <v/>
      </c>
      <c r="E259">
        <f>IFERROR(AGGREGATE(15,6,ROW('Input Transaksi'!$B$5:$B$5000)/('Input Transaksi'!$B$5:$B$5000="CL SESETAN"),ROWS($E$5:E259)),"")</f>
        <v/>
      </c>
      <c r="F259" s="5" t="n"/>
    </row>
    <row r="260">
      <c r="A260" s="10">
        <f>IF($E260="","",INDEX('Input Transaksi'!$A:$A,$E260))</f>
        <v/>
      </c>
      <c r="B260" s="5">
        <f>IF($E260="","",INDEX('Input Transaksi'!$D:$D,$E260))</f>
        <v/>
      </c>
      <c r="C260">
        <f>IF($E260="","",INDEX('Input Transaksi'!$E:$E,$E260))</f>
        <v/>
      </c>
      <c r="D260" s="5">
        <f>IF($E260="","",INDEX('Input Transaksi'!$F:$F,$E260))</f>
        <v/>
      </c>
      <c r="E260">
        <f>IFERROR(AGGREGATE(15,6,ROW('Input Transaksi'!$B$5:$B$5000)/('Input Transaksi'!$B$5:$B$5000="CL SESETAN"),ROWS($E$5:E260)),"")</f>
        <v/>
      </c>
      <c r="F260" s="5" t="n"/>
    </row>
    <row r="261">
      <c r="A261" s="10">
        <f>IF($E261="","",INDEX('Input Transaksi'!$A:$A,$E261))</f>
        <v/>
      </c>
      <c r="B261" s="5">
        <f>IF($E261="","",INDEX('Input Transaksi'!$D:$D,$E261))</f>
        <v/>
      </c>
      <c r="C261">
        <f>IF($E261="","",INDEX('Input Transaksi'!$E:$E,$E261))</f>
        <v/>
      </c>
      <c r="D261" s="5">
        <f>IF($E261="","",INDEX('Input Transaksi'!$F:$F,$E261))</f>
        <v/>
      </c>
      <c r="E261">
        <f>IFERROR(AGGREGATE(15,6,ROW('Input Transaksi'!$B$5:$B$5000)/('Input Transaksi'!$B$5:$B$5000="CL SESETAN"),ROWS($E$5:E261)),"")</f>
        <v/>
      </c>
      <c r="F261" s="5" t="n"/>
    </row>
    <row r="262">
      <c r="A262" s="10">
        <f>IF($E262="","",INDEX('Input Transaksi'!$A:$A,$E262))</f>
        <v/>
      </c>
      <c r="B262" s="5">
        <f>IF($E262="","",INDEX('Input Transaksi'!$D:$D,$E262))</f>
        <v/>
      </c>
      <c r="C262">
        <f>IF($E262="","",INDEX('Input Transaksi'!$E:$E,$E262))</f>
        <v/>
      </c>
      <c r="D262" s="5">
        <f>IF($E262="","",INDEX('Input Transaksi'!$F:$F,$E262))</f>
        <v/>
      </c>
      <c r="E262">
        <f>IFERROR(AGGREGATE(15,6,ROW('Input Transaksi'!$B$5:$B$5000)/('Input Transaksi'!$B$5:$B$5000="CL SESETAN"),ROWS($E$5:E262)),"")</f>
        <v/>
      </c>
      <c r="F262" s="5" t="n"/>
    </row>
    <row r="263">
      <c r="A263" s="10">
        <f>IF($E263="","",INDEX('Input Transaksi'!$A:$A,$E263))</f>
        <v/>
      </c>
      <c r="B263" s="5">
        <f>IF($E263="","",INDEX('Input Transaksi'!$D:$D,$E263))</f>
        <v/>
      </c>
      <c r="C263">
        <f>IF($E263="","",INDEX('Input Transaksi'!$E:$E,$E263))</f>
        <v/>
      </c>
      <c r="D263" s="5">
        <f>IF($E263="","",INDEX('Input Transaksi'!$F:$F,$E263))</f>
        <v/>
      </c>
      <c r="E263">
        <f>IFERROR(AGGREGATE(15,6,ROW('Input Transaksi'!$B$5:$B$5000)/('Input Transaksi'!$B$5:$B$5000="CL SESETAN"),ROWS($E$5:E263)),"")</f>
        <v/>
      </c>
      <c r="F263" s="5" t="n"/>
    </row>
    <row r="264">
      <c r="A264" s="10">
        <f>IF($E264="","",INDEX('Input Transaksi'!$A:$A,$E264))</f>
        <v/>
      </c>
      <c r="B264" s="5">
        <f>IF($E264="","",INDEX('Input Transaksi'!$D:$D,$E264))</f>
        <v/>
      </c>
      <c r="C264">
        <f>IF($E264="","",INDEX('Input Transaksi'!$E:$E,$E264))</f>
        <v/>
      </c>
      <c r="D264" s="5">
        <f>IF($E264="","",INDEX('Input Transaksi'!$F:$F,$E264))</f>
        <v/>
      </c>
      <c r="E264">
        <f>IFERROR(AGGREGATE(15,6,ROW('Input Transaksi'!$B$5:$B$5000)/('Input Transaksi'!$B$5:$B$5000="CL SESETAN"),ROWS($E$5:E264)),"")</f>
        <v/>
      </c>
      <c r="F264" s="5" t="n"/>
    </row>
    <row r="265">
      <c r="A265" s="10">
        <f>IF($E265="","",INDEX('Input Transaksi'!$A:$A,$E265))</f>
        <v/>
      </c>
      <c r="B265" s="5">
        <f>IF($E265="","",INDEX('Input Transaksi'!$D:$D,$E265))</f>
        <v/>
      </c>
      <c r="C265">
        <f>IF($E265="","",INDEX('Input Transaksi'!$E:$E,$E265))</f>
        <v/>
      </c>
      <c r="D265" s="5">
        <f>IF($E265="","",INDEX('Input Transaksi'!$F:$F,$E265))</f>
        <v/>
      </c>
      <c r="E265">
        <f>IFERROR(AGGREGATE(15,6,ROW('Input Transaksi'!$B$5:$B$5000)/('Input Transaksi'!$B$5:$B$5000="CL SESETAN"),ROWS($E$5:E265)),"")</f>
        <v/>
      </c>
      <c r="F265" s="5" t="n"/>
    </row>
    <row r="266">
      <c r="A266" s="10">
        <f>IF($E266="","",INDEX('Input Transaksi'!$A:$A,$E266))</f>
        <v/>
      </c>
      <c r="B266" s="5">
        <f>IF($E266="","",INDEX('Input Transaksi'!$D:$D,$E266))</f>
        <v/>
      </c>
      <c r="C266">
        <f>IF($E266="","",INDEX('Input Transaksi'!$E:$E,$E266))</f>
        <v/>
      </c>
      <c r="D266" s="5">
        <f>IF($E266="","",INDEX('Input Transaksi'!$F:$F,$E266))</f>
        <v/>
      </c>
      <c r="E266">
        <f>IFERROR(AGGREGATE(15,6,ROW('Input Transaksi'!$B$5:$B$5000)/('Input Transaksi'!$B$5:$B$5000="CL SESETAN"),ROWS($E$5:E266)),"")</f>
        <v/>
      </c>
      <c r="F266" s="5" t="n"/>
    </row>
    <row r="267">
      <c r="A267" s="10">
        <f>IF($E267="","",INDEX('Input Transaksi'!$A:$A,$E267))</f>
        <v/>
      </c>
      <c r="B267" s="5">
        <f>IF($E267="","",INDEX('Input Transaksi'!$D:$D,$E267))</f>
        <v/>
      </c>
      <c r="C267">
        <f>IF($E267="","",INDEX('Input Transaksi'!$E:$E,$E267))</f>
        <v/>
      </c>
      <c r="D267" s="5">
        <f>IF($E267="","",INDEX('Input Transaksi'!$F:$F,$E267))</f>
        <v/>
      </c>
      <c r="E267">
        <f>IFERROR(AGGREGATE(15,6,ROW('Input Transaksi'!$B$5:$B$5000)/('Input Transaksi'!$B$5:$B$5000="CL SESETAN"),ROWS($E$5:E267)),"")</f>
        <v/>
      </c>
      <c r="F267" s="5" t="n"/>
    </row>
    <row r="268">
      <c r="A268" s="10">
        <f>IF($E268="","",INDEX('Input Transaksi'!$A:$A,$E268))</f>
        <v/>
      </c>
      <c r="B268" s="5">
        <f>IF($E268="","",INDEX('Input Transaksi'!$D:$D,$E268))</f>
        <v/>
      </c>
      <c r="C268">
        <f>IF($E268="","",INDEX('Input Transaksi'!$E:$E,$E268))</f>
        <v/>
      </c>
      <c r="D268" s="5">
        <f>IF($E268="","",INDEX('Input Transaksi'!$F:$F,$E268))</f>
        <v/>
      </c>
      <c r="E268">
        <f>IFERROR(AGGREGATE(15,6,ROW('Input Transaksi'!$B$5:$B$5000)/('Input Transaksi'!$B$5:$B$5000="CL SESETAN"),ROWS($E$5:E268)),"")</f>
        <v/>
      </c>
      <c r="F268" s="5" t="n"/>
    </row>
    <row r="269">
      <c r="A269" s="10">
        <f>IF($E269="","",INDEX('Input Transaksi'!$A:$A,$E269))</f>
        <v/>
      </c>
      <c r="B269" s="5">
        <f>IF($E269="","",INDEX('Input Transaksi'!$D:$D,$E269))</f>
        <v/>
      </c>
      <c r="C269">
        <f>IF($E269="","",INDEX('Input Transaksi'!$E:$E,$E269))</f>
        <v/>
      </c>
      <c r="D269" s="5">
        <f>IF($E269="","",INDEX('Input Transaksi'!$F:$F,$E269))</f>
        <v/>
      </c>
      <c r="E269">
        <f>IFERROR(AGGREGATE(15,6,ROW('Input Transaksi'!$B$5:$B$5000)/('Input Transaksi'!$B$5:$B$5000="CL SESETAN"),ROWS($E$5:E269)),"")</f>
        <v/>
      </c>
      <c r="F269" s="5" t="n"/>
    </row>
    <row r="270">
      <c r="A270" s="10">
        <f>IF($E270="","",INDEX('Input Transaksi'!$A:$A,$E270))</f>
        <v/>
      </c>
      <c r="B270" s="5">
        <f>IF($E270="","",INDEX('Input Transaksi'!$D:$D,$E270))</f>
        <v/>
      </c>
      <c r="C270">
        <f>IF($E270="","",INDEX('Input Transaksi'!$E:$E,$E270))</f>
        <v/>
      </c>
      <c r="D270" s="5">
        <f>IF($E270="","",INDEX('Input Transaksi'!$F:$F,$E270))</f>
        <v/>
      </c>
      <c r="E270">
        <f>IFERROR(AGGREGATE(15,6,ROW('Input Transaksi'!$B$5:$B$5000)/('Input Transaksi'!$B$5:$B$5000="CL SESETAN"),ROWS($E$5:E270)),"")</f>
        <v/>
      </c>
      <c r="F270" s="5" t="n"/>
    </row>
    <row r="271">
      <c r="A271" s="10">
        <f>IF($E271="","",INDEX('Input Transaksi'!$A:$A,$E271))</f>
        <v/>
      </c>
      <c r="B271" s="5">
        <f>IF($E271="","",INDEX('Input Transaksi'!$D:$D,$E271))</f>
        <v/>
      </c>
      <c r="C271">
        <f>IF($E271="","",INDEX('Input Transaksi'!$E:$E,$E271))</f>
        <v/>
      </c>
      <c r="D271" s="5">
        <f>IF($E271="","",INDEX('Input Transaksi'!$F:$F,$E271))</f>
        <v/>
      </c>
      <c r="E271">
        <f>IFERROR(AGGREGATE(15,6,ROW('Input Transaksi'!$B$5:$B$5000)/('Input Transaksi'!$B$5:$B$5000="CL SESETAN"),ROWS($E$5:E271)),"")</f>
        <v/>
      </c>
      <c r="F271" s="5" t="n"/>
    </row>
    <row r="272">
      <c r="A272" s="10">
        <f>IF($E272="","",INDEX('Input Transaksi'!$A:$A,$E272))</f>
        <v/>
      </c>
      <c r="B272" s="5">
        <f>IF($E272="","",INDEX('Input Transaksi'!$D:$D,$E272))</f>
        <v/>
      </c>
      <c r="C272">
        <f>IF($E272="","",INDEX('Input Transaksi'!$E:$E,$E272))</f>
        <v/>
      </c>
      <c r="D272" s="5">
        <f>IF($E272="","",INDEX('Input Transaksi'!$F:$F,$E272))</f>
        <v/>
      </c>
      <c r="E272">
        <f>IFERROR(AGGREGATE(15,6,ROW('Input Transaksi'!$B$5:$B$5000)/('Input Transaksi'!$B$5:$B$5000="CL SESETAN"),ROWS($E$5:E272)),"")</f>
        <v/>
      </c>
      <c r="F272" s="5" t="n"/>
    </row>
    <row r="273">
      <c r="A273" s="10">
        <f>IF($E273="","",INDEX('Input Transaksi'!$A:$A,$E273))</f>
        <v/>
      </c>
      <c r="B273" s="5">
        <f>IF($E273="","",INDEX('Input Transaksi'!$D:$D,$E273))</f>
        <v/>
      </c>
      <c r="C273">
        <f>IF($E273="","",INDEX('Input Transaksi'!$E:$E,$E273))</f>
        <v/>
      </c>
      <c r="D273" s="5">
        <f>IF($E273="","",INDEX('Input Transaksi'!$F:$F,$E273))</f>
        <v/>
      </c>
      <c r="E273">
        <f>IFERROR(AGGREGATE(15,6,ROW('Input Transaksi'!$B$5:$B$5000)/('Input Transaksi'!$B$5:$B$5000="CL SESETAN"),ROWS($E$5:E273)),"")</f>
        <v/>
      </c>
      <c r="F273" s="5" t="n"/>
    </row>
    <row r="274">
      <c r="A274" s="10">
        <f>IF($E274="","",INDEX('Input Transaksi'!$A:$A,$E274))</f>
        <v/>
      </c>
      <c r="B274" s="5">
        <f>IF($E274="","",INDEX('Input Transaksi'!$D:$D,$E274))</f>
        <v/>
      </c>
      <c r="C274">
        <f>IF($E274="","",INDEX('Input Transaksi'!$E:$E,$E274))</f>
        <v/>
      </c>
      <c r="D274" s="5">
        <f>IF($E274="","",INDEX('Input Transaksi'!$F:$F,$E274))</f>
        <v/>
      </c>
      <c r="E274">
        <f>IFERROR(AGGREGATE(15,6,ROW('Input Transaksi'!$B$5:$B$5000)/('Input Transaksi'!$B$5:$B$5000="CL SESETAN"),ROWS($E$5:E274)),"")</f>
        <v/>
      </c>
      <c r="F274" s="5" t="n"/>
    </row>
    <row r="275">
      <c r="A275" s="10">
        <f>IF($E275="","",INDEX('Input Transaksi'!$A:$A,$E275))</f>
        <v/>
      </c>
      <c r="B275" s="5">
        <f>IF($E275="","",INDEX('Input Transaksi'!$D:$D,$E275))</f>
        <v/>
      </c>
      <c r="C275">
        <f>IF($E275="","",INDEX('Input Transaksi'!$E:$E,$E275))</f>
        <v/>
      </c>
      <c r="D275" s="5">
        <f>IF($E275="","",INDEX('Input Transaksi'!$F:$F,$E275))</f>
        <v/>
      </c>
      <c r="E275">
        <f>IFERROR(AGGREGATE(15,6,ROW('Input Transaksi'!$B$5:$B$5000)/('Input Transaksi'!$B$5:$B$5000="CL SESETAN"),ROWS($E$5:E275)),"")</f>
        <v/>
      </c>
      <c r="F275" s="5" t="n"/>
    </row>
    <row r="276">
      <c r="A276" s="10">
        <f>IF($E276="","",INDEX('Input Transaksi'!$A:$A,$E276))</f>
        <v/>
      </c>
      <c r="B276" s="5">
        <f>IF($E276="","",INDEX('Input Transaksi'!$D:$D,$E276))</f>
        <v/>
      </c>
      <c r="C276">
        <f>IF($E276="","",INDEX('Input Transaksi'!$E:$E,$E276))</f>
        <v/>
      </c>
      <c r="D276" s="5">
        <f>IF($E276="","",INDEX('Input Transaksi'!$F:$F,$E276))</f>
        <v/>
      </c>
      <c r="E276">
        <f>IFERROR(AGGREGATE(15,6,ROW('Input Transaksi'!$B$5:$B$5000)/('Input Transaksi'!$B$5:$B$5000="CL SESETAN"),ROWS($E$5:E276)),"")</f>
        <v/>
      </c>
      <c r="F276" s="5" t="n"/>
    </row>
    <row r="277">
      <c r="A277" s="10">
        <f>IF($E277="","",INDEX('Input Transaksi'!$A:$A,$E277))</f>
        <v/>
      </c>
      <c r="B277" s="5">
        <f>IF($E277="","",INDEX('Input Transaksi'!$D:$D,$E277))</f>
        <v/>
      </c>
      <c r="C277">
        <f>IF($E277="","",INDEX('Input Transaksi'!$E:$E,$E277))</f>
        <v/>
      </c>
      <c r="D277" s="5">
        <f>IF($E277="","",INDEX('Input Transaksi'!$F:$F,$E277))</f>
        <v/>
      </c>
      <c r="E277">
        <f>IFERROR(AGGREGATE(15,6,ROW('Input Transaksi'!$B$5:$B$5000)/('Input Transaksi'!$B$5:$B$5000="CL SESETAN"),ROWS($E$5:E277)),"")</f>
        <v/>
      </c>
      <c r="F277" s="5" t="n"/>
    </row>
    <row r="278">
      <c r="A278" s="10">
        <f>IF($E278="","",INDEX('Input Transaksi'!$A:$A,$E278))</f>
        <v/>
      </c>
      <c r="B278" s="5">
        <f>IF($E278="","",INDEX('Input Transaksi'!$D:$D,$E278))</f>
        <v/>
      </c>
      <c r="C278">
        <f>IF($E278="","",INDEX('Input Transaksi'!$E:$E,$E278))</f>
        <v/>
      </c>
      <c r="D278" s="5">
        <f>IF($E278="","",INDEX('Input Transaksi'!$F:$F,$E278))</f>
        <v/>
      </c>
      <c r="E278">
        <f>IFERROR(AGGREGATE(15,6,ROW('Input Transaksi'!$B$5:$B$5000)/('Input Transaksi'!$B$5:$B$5000="CL SESETAN"),ROWS($E$5:E278)),"")</f>
        <v/>
      </c>
      <c r="F278" s="5" t="n"/>
    </row>
    <row r="279">
      <c r="A279" s="10">
        <f>IF($E279="","",INDEX('Input Transaksi'!$A:$A,$E279))</f>
        <v/>
      </c>
      <c r="B279" s="5">
        <f>IF($E279="","",INDEX('Input Transaksi'!$D:$D,$E279))</f>
        <v/>
      </c>
      <c r="C279">
        <f>IF($E279="","",INDEX('Input Transaksi'!$E:$E,$E279))</f>
        <v/>
      </c>
      <c r="D279" s="5">
        <f>IF($E279="","",INDEX('Input Transaksi'!$F:$F,$E279))</f>
        <v/>
      </c>
      <c r="E279">
        <f>IFERROR(AGGREGATE(15,6,ROW('Input Transaksi'!$B$5:$B$5000)/('Input Transaksi'!$B$5:$B$5000="CL SESETAN"),ROWS($E$5:E279)),"")</f>
        <v/>
      </c>
      <c r="F279" s="5" t="n"/>
    </row>
    <row r="280">
      <c r="A280" s="10">
        <f>IF($E280="","",INDEX('Input Transaksi'!$A:$A,$E280))</f>
        <v/>
      </c>
      <c r="B280" s="5">
        <f>IF($E280="","",INDEX('Input Transaksi'!$D:$D,$E280))</f>
        <v/>
      </c>
      <c r="C280">
        <f>IF($E280="","",INDEX('Input Transaksi'!$E:$E,$E280))</f>
        <v/>
      </c>
      <c r="D280" s="5">
        <f>IF($E280="","",INDEX('Input Transaksi'!$F:$F,$E280))</f>
        <v/>
      </c>
      <c r="E280">
        <f>IFERROR(AGGREGATE(15,6,ROW('Input Transaksi'!$B$5:$B$5000)/('Input Transaksi'!$B$5:$B$5000="CL SESETAN"),ROWS($E$5:E280)),"")</f>
        <v/>
      </c>
      <c r="F280" s="5" t="n"/>
    </row>
    <row r="281">
      <c r="A281" s="10">
        <f>IF($E281="","",INDEX('Input Transaksi'!$A:$A,$E281))</f>
        <v/>
      </c>
      <c r="B281" s="5">
        <f>IF($E281="","",INDEX('Input Transaksi'!$D:$D,$E281))</f>
        <v/>
      </c>
      <c r="C281">
        <f>IF($E281="","",INDEX('Input Transaksi'!$E:$E,$E281))</f>
        <v/>
      </c>
      <c r="D281" s="5">
        <f>IF($E281="","",INDEX('Input Transaksi'!$F:$F,$E281))</f>
        <v/>
      </c>
      <c r="E281">
        <f>IFERROR(AGGREGATE(15,6,ROW('Input Transaksi'!$B$5:$B$5000)/('Input Transaksi'!$B$5:$B$5000="CL SESETAN"),ROWS($E$5:E281)),"")</f>
        <v/>
      </c>
      <c r="F281" s="5" t="n"/>
    </row>
    <row r="282">
      <c r="A282" s="10">
        <f>IF($E282="","",INDEX('Input Transaksi'!$A:$A,$E282))</f>
        <v/>
      </c>
      <c r="B282" s="5">
        <f>IF($E282="","",INDEX('Input Transaksi'!$D:$D,$E282))</f>
        <v/>
      </c>
      <c r="C282">
        <f>IF($E282="","",INDEX('Input Transaksi'!$E:$E,$E282))</f>
        <v/>
      </c>
      <c r="D282" s="5">
        <f>IF($E282="","",INDEX('Input Transaksi'!$F:$F,$E282))</f>
        <v/>
      </c>
      <c r="E282">
        <f>IFERROR(AGGREGATE(15,6,ROW('Input Transaksi'!$B$5:$B$5000)/('Input Transaksi'!$B$5:$B$5000="CL SESETAN"),ROWS($E$5:E282)),"")</f>
        <v/>
      </c>
      <c r="F282" s="5" t="n"/>
    </row>
    <row r="283">
      <c r="A283" s="10">
        <f>IF($E283="","",INDEX('Input Transaksi'!$A:$A,$E283))</f>
        <v/>
      </c>
      <c r="B283" s="5">
        <f>IF($E283="","",INDEX('Input Transaksi'!$D:$D,$E283))</f>
        <v/>
      </c>
      <c r="C283">
        <f>IF($E283="","",INDEX('Input Transaksi'!$E:$E,$E283))</f>
        <v/>
      </c>
      <c r="D283" s="5">
        <f>IF($E283="","",INDEX('Input Transaksi'!$F:$F,$E283))</f>
        <v/>
      </c>
      <c r="E283">
        <f>IFERROR(AGGREGATE(15,6,ROW('Input Transaksi'!$B$5:$B$5000)/('Input Transaksi'!$B$5:$B$5000="CL SESETAN"),ROWS($E$5:E283)),"")</f>
        <v/>
      </c>
      <c r="F283" s="5" t="n"/>
    </row>
    <row r="284">
      <c r="A284" s="10">
        <f>IF($E284="","",INDEX('Input Transaksi'!$A:$A,$E284))</f>
        <v/>
      </c>
      <c r="B284" s="5">
        <f>IF($E284="","",INDEX('Input Transaksi'!$D:$D,$E284))</f>
        <v/>
      </c>
      <c r="C284">
        <f>IF($E284="","",INDEX('Input Transaksi'!$E:$E,$E284))</f>
        <v/>
      </c>
      <c r="D284" s="5">
        <f>IF($E284="","",INDEX('Input Transaksi'!$F:$F,$E284))</f>
        <v/>
      </c>
      <c r="E284">
        <f>IFERROR(AGGREGATE(15,6,ROW('Input Transaksi'!$B$5:$B$5000)/('Input Transaksi'!$B$5:$B$5000="CL SESETAN"),ROWS($E$5:E284)),"")</f>
        <v/>
      </c>
      <c r="F284" s="5" t="n"/>
    </row>
    <row r="285">
      <c r="A285" s="10">
        <f>IF($E285="","",INDEX('Input Transaksi'!$A:$A,$E285))</f>
        <v/>
      </c>
      <c r="B285" s="5">
        <f>IF($E285="","",INDEX('Input Transaksi'!$D:$D,$E285))</f>
        <v/>
      </c>
      <c r="C285">
        <f>IF($E285="","",INDEX('Input Transaksi'!$E:$E,$E285))</f>
        <v/>
      </c>
      <c r="D285" s="5">
        <f>IF($E285="","",INDEX('Input Transaksi'!$F:$F,$E285))</f>
        <v/>
      </c>
      <c r="E285">
        <f>IFERROR(AGGREGATE(15,6,ROW('Input Transaksi'!$B$5:$B$5000)/('Input Transaksi'!$B$5:$B$5000="CL SESETAN"),ROWS($E$5:E285)),"")</f>
        <v/>
      </c>
      <c r="F285" s="5" t="n"/>
    </row>
    <row r="286">
      <c r="A286" s="10">
        <f>IF($E286="","",INDEX('Input Transaksi'!$A:$A,$E286))</f>
        <v/>
      </c>
      <c r="B286" s="5">
        <f>IF($E286="","",INDEX('Input Transaksi'!$D:$D,$E286))</f>
        <v/>
      </c>
      <c r="C286">
        <f>IF($E286="","",INDEX('Input Transaksi'!$E:$E,$E286))</f>
        <v/>
      </c>
      <c r="D286" s="5">
        <f>IF($E286="","",INDEX('Input Transaksi'!$F:$F,$E286))</f>
        <v/>
      </c>
      <c r="E286">
        <f>IFERROR(AGGREGATE(15,6,ROW('Input Transaksi'!$B$5:$B$5000)/('Input Transaksi'!$B$5:$B$5000="CL SESETAN"),ROWS($E$5:E286)),"")</f>
        <v/>
      </c>
      <c r="F286" s="5" t="n"/>
    </row>
    <row r="287">
      <c r="A287" s="10">
        <f>IF($E287="","",INDEX('Input Transaksi'!$A:$A,$E287))</f>
        <v/>
      </c>
      <c r="B287" s="5">
        <f>IF($E287="","",INDEX('Input Transaksi'!$D:$D,$E287))</f>
        <v/>
      </c>
      <c r="C287">
        <f>IF($E287="","",INDEX('Input Transaksi'!$E:$E,$E287))</f>
        <v/>
      </c>
      <c r="D287" s="5">
        <f>IF($E287="","",INDEX('Input Transaksi'!$F:$F,$E287))</f>
        <v/>
      </c>
      <c r="E287">
        <f>IFERROR(AGGREGATE(15,6,ROW('Input Transaksi'!$B$5:$B$5000)/('Input Transaksi'!$B$5:$B$5000="CL SESETAN"),ROWS($E$5:E287)),"")</f>
        <v/>
      </c>
      <c r="F287" s="5" t="n"/>
    </row>
    <row r="288">
      <c r="A288" s="10">
        <f>IF($E288="","",INDEX('Input Transaksi'!$A:$A,$E288))</f>
        <v/>
      </c>
      <c r="B288" s="5">
        <f>IF($E288="","",INDEX('Input Transaksi'!$D:$D,$E288))</f>
        <v/>
      </c>
      <c r="C288">
        <f>IF($E288="","",INDEX('Input Transaksi'!$E:$E,$E288))</f>
        <v/>
      </c>
      <c r="D288" s="5">
        <f>IF($E288="","",INDEX('Input Transaksi'!$F:$F,$E288))</f>
        <v/>
      </c>
      <c r="E288">
        <f>IFERROR(AGGREGATE(15,6,ROW('Input Transaksi'!$B$5:$B$5000)/('Input Transaksi'!$B$5:$B$5000="CL SESETAN"),ROWS($E$5:E288)),"")</f>
        <v/>
      </c>
      <c r="F288" s="5" t="n"/>
    </row>
    <row r="289">
      <c r="A289" s="10">
        <f>IF($E289="","",INDEX('Input Transaksi'!$A:$A,$E289))</f>
        <v/>
      </c>
      <c r="B289" s="5">
        <f>IF($E289="","",INDEX('Input Transaksi'!$D:$D,$E289))</f>
        <v/>
      </c>
      <c r="C289">
        <f>IF($E289="","",INDEX('Input Transaksi'!$E:$E,$E289))</f>
        <v/>
      </c>
      <c r="D289" s="5">
        <f>IF($E289="","",INDEX('Input Transaksi'!$F:$F,$E289))</f>
        <v/>
      </c>
      <c r="E289">
        <f>IFERROR(AGGREGATE(15,6,ROW('Input Transaksi'!$B$5:$B$5000)/('Input Transaksi'!$B$5:$B$5000="CL SESETAN"),ROWS($E$5:E289)),"")</f>
        <v/>
      </c>
      <c r="F289" s="5" t="n"/>
    </row>
    <row r="290">
      <c r="A290" s="10">
        <f>IF($E290="","",INDEX('Input Transaksi'!$A:$A,$E290))</f>
        <v/>
      </c>
      <c r="B290" s="5">
        <f>IF($E290="","",INDEX('Input Transaksi'!$D:$D,$E290))</f>
        <v/>
      </c>
      <c r="C290">
        <f>IF($E290="","",INDEX('Input Transaksi'!$E:$E,$E290))</f>
        <v/>
      </c>
      <c r="D290" s="5">
        <f>IF($E290="","",INDEX('Input Transaksi'!$F:$F,$E290))</f>
        <v/>
      </c>
      <c r="E290">
        <f>IFERROR(AGGREGATE(15,6,ROW('Input Transaksi'!$B$5:$B$5000)/('Input Transaksi'!$B$5:$B$5000="CL SESETAN"),ROWS($E$5:E290)),"")</f>
        <v/>
      </c>
      <c r="F290" s="5" t="n"/>
    </row>
    <row r="291">
      <c r="A291" s="10">
        <f>IF($E291="","",INDEX('Input Transaksi'!$A:$A,$E291))</f>
        <v/>
      </c>
      <c r="B291" s="5">
        <f>IF($E291="","",INDEX('Input Transaksi'!$D:$D,$E291))</f>
        <v/>
      </c>
      <c r="C291">
        <f>IF($E291="","",INDEX('Input Transaksi'!$E:$E,$E291))</f>
        <v/>
      </c>
      <c r="D291" s="5">
        <f>IF($E291="","",INDEX('Input Transaksi'!$F:$F,$E291))</f>
        <v/>
      </c>
      <c r="E291">
        <f>IFERROR(AGGREGATE(15,6,ROW('Input Transaksi'!$B$5:$B$5000)/('Input Transaksi'!$B$5:$B$5000="CL SESETAN"),ROWS($E$5:E291)),"")</f>
        <v/>
      </c>
      <c r="F291" s="5" t="n"/>
    </row>
    <row r="292">
      <c r="A292" s="10">
        <f>IF($E292="","",INDEX('Input Transaksi'!$A:$A,$E292))</f>
        <v/>
      </c>
      <c r="B292" s="5">
        <f>IF($E292="","",INDEX('Input Transaksi'!$D:$D,$E292))</f>
        <v/>
      </c>
      <c r="C292">
        <f>IF($E292="","",INDEX('Input Transaksi'!$E:$E,$E292))</f>
        <v/>
      </c>
      <c r="D292" s="5">
        <f>IF($E292="","",INDEX('Input Transaksi'!$F:$F,$E292))</f>
        <v/>
      </c>
      <c r="E292">
        <f>IFERROR(AGGREGATE(15,6,ROW('Input Transaksi'!$B$5:$B$5000)/('Input Transaksi'!$B$5:$B$5000="CL SESETAN"),ROWS($E$5:E292)),"")</f>
        <v/>
      </c>
      <c r="F292" s="5" t="n"/>
    </row>
    <row r="293">
      <c r="A293" s="10">
        <f>IF($E293="","",INDEX('Input Transaksi'!$A:$A,$E293))</f>
        <v/>
      </c>
      <c r="B293" s="5">
        <f>IF($E293="","",INDEX('Input Transaksi'!$D:$D,$E293))</f>
        <v/>
      </c>
      <c r="C293">
        <f>IF($E293="","",INDEX('Input Transaksi'!$E:$E,$E293))</f>
        <v/>
      </c>
      <c r="D293" s="5">
        <f>IF($E293="","",INDEX('Input Transaksi'!$F:$F,$E293))</f>
        <v/>
      </c>
      <c r="E293">
        <f>IFERROR(AGGREGATE(15,6,ROW('Input Transaksi'!$B$5:$B$5000)/('Input Transaksi'!$B$5:$B$5000="CL SESETAN"),ROWS($E$5:E293)),"")</f>
        <v/>
      </c>
      <c r="F293" s="5" t="n"/>
    </row>
    <row r="294">
      <c r="A294" s="10">
        <f>IF($E294="","",INDEX('Input Transaksi'!$A:$A,$E294))</f>
        <v/>
      </c>
      <c r="B294" s="5">
        <f>IF($E294="","",INDEX('Input Transaksi'!$D:$D,$E294))</f>
        <v/>
      </c>
      <c r="C294">
        <f>IF($E294="","",INDEX('Input Transaksi'!$E:$E,$E294))</f>
        <v/>
      </c>
      <c r="D294" s="5">
        <f>IF($E294="","",INDEX('Input Transaksi'!$F:$F,$E294))</f>
        <v/>
      </c>
      <c r="E294">
        <f>IFERROR(AGGREGATE(15,6,ROW('Input Transaksi'!$B$5:$B$5000)/('Input Transaksi'!$B$5:$B$5000="CL SESETAN"),ROWS($E$5:E294)),"")</f>
        <v/>
      </c>
      <c r="F294" s="5" t="n"/>
    </row>
    <row r="295">
      <c r="A295" s="10">
        <f>IF($E295="","",INDEX('Input Transaksi'!$A:$A,$E295))</f>
        <v/>
      </c>
      <c r="B295" s="5">
        <f>IF($E295="","",INDEX('Input Transaksi'!$D:$D,$E295))</f>
        <v/>
      </c>
      <c r="C295">
        <f>IF($E295="","",INDEX('Input Transaksi'!$E:$E,$E295))</f>
        <v/>
      </c>
      <c r="D295" s="5">
        <f>IF($E295="","",INDEX('Input Transaksi'!$F:$F,$E295))</f>
        <v/>
      </c>
      <c r="E295">
        <f>IFERROR(AGGREGATE(15,6,ROW('Input Transaksi'!$B$5:$B$5000)/('Input Transaksi'!$B$5:$B$5000="CL SESETAN"),ROWS($E$5:E295)),"")</f>
        <v/>
      </c>
      <c r="F295" s="5" t="n"/>
    </row>
    <row r="296">
      <c r="A296" s="10">
        <f>IF($E296="","",INDEX('Input Transaksi'!$A:$A,$E296))</f>
        <v/>
      </c>
      <c r="B296" s="5">
        <f>IF($E296="","",INDEX('Input Transaksi'!$D:$D,$E296))</f>
        <v/>
      </c>
      <c r="C296">
        <f>IF($E296="","",INDEX('Input Transaksi'!$E:$E,$E296))</f>
        <v/>
      </c>
      <c r="D296" s="5">
        <f>IF($E296="","",INDEX('Input Transaksi'!$F:$F,$E296))</f>
        <v/>
      </c>
      <c r="E296">
        <f>IFERROR(AGGREGATE(15,6,ROW('Input Transaksi'!$B$5:$B$5000)/('Input Transaksi'!$B$5:$B$5000="CL SESETAN"),ROWS($E$5:E296)),"")</f>
        <v/>
      </c>
      <c r="F296" s="5" t="n"/>
    </row>
    <row r="297">
      <c r="A297" s="10">
        <f>IF($E297="","",INDEX('Input Transaksi'!$A:$A,$E297))</f>
        <v/>
      </c>
      <c r="B297" s="5">
        <f>IF($E297="","",INDEX('Input Transaksi'!$D:$D,$E297))</f>
        <v/>
      </c>
      <c r="C297">
        <f>IF($E297="","",INDEX('Input Transaksi'!$E:$E,$E297))</f>
        <v/>
      </c>
      <c r="D297" s="5">
        <f>IF($E297="","",INDEX('Input Transaksi'!$F:$F,$E297))</f>
        <v/>
      </c>
      <c r="E297">
        <f>IFERROR(AGGREGATE(15,6,ROW('Input Transaksi'!$B$5:$B$5000)/('Input Transaksi'!$B$5:$B$5000="CL SESETAN"),ROWS($E$5:E297)),"")</f>
        <v/>
      </c>
      <c r="F297" s="5" t="n"/>
    </row>
    <row r="298">
      <c r="A298" s="10">
        <f>IF($E298="","",INDEX('Input Transaksi'!$A:$A,$E298))</f>
        <v/>
      </c>
      <c r="B298" s="5">
        <f>IF($E298="","",INDEX('Input Transaksi'!$D:$D,$E298))</f>
        <v/>
      </c>
      <c r="C298">
        <f>IF($E298="","",INDEX('Input Transaksi'!$E:$E,$E298))</f>
        <v/>
      </c>
      <c r="D298" s="5">
        <f>IF($E298="","",INDEX('Input Transaksi'!$F:$F,$E298))</f>
        <v/>
      </c>
      <c r="E298">
        <f>IFERROR(AGGREGATE(15,6,ROW('Input Transaksi'!$B$5:$B$5000)/('Input Transaksi'!$B$5:$B$5000="CL SESETAN"),ROWS($E$5:E298)),"")</f>
        <v/>
      </c>
      <c r="F298" s="5" t="n"/>
    </row>
    <row r="299">
      <c r="A299" s="10">
        <f>IF($E299="","",INDEX('Input Transaksi'!$A:$A,$E299))</f>
        <v/>
      </c>
      <c r="B299" s="5">
        <f>IF($E299="","",INDEX('Input Transaksi'!$D:$D,$E299))</f>
        <v/>
      </c>
      <c r="C299">
        <f>IF($E299="","",INDEX('Input Transaksi'!$E:$E,$E299))</f>
        <v/>
      </c>
      <c r="D299" s="5">
        <f>IF($E299="","",INDEX('Input Transaksi'!$F:$F,$E299))</f>
        <v/>
      </c>
      <c r="E299">
        <f>IFERROR(AGGREGATE(15,6,ROW('Input Transaksi'!$B$5:$B$5000)/('Input Transaksi'!$B$5:$B$5000="CL SESETAN"),ROWS($E$5:E299)),"")</f>
        <v/>
      </c>
      <c r="F299" s="5" t="n"/>
    </row>
    <row r="300">
      <c r="A300" s="10">
        <f>IF($E300="","",INDEX('Input Transaksi'!$A:$A,$E300))</f>
        <v/>
      </c>
      <c r="B300" s="5">
        <f>IF($E300="","",INDEX('Input Transaksi'!$D:$D,$E300))</f>
        <v/>
      </c>
      <c r="C300">
        <f>IF($E300="","",INDEX('Input Transaksi'!$E:$E,$E300))</f>
        <v/>
      </c>
      <c r="D300" s="5">
        <f>IF($E300="","",INDEX('Input Transaksi'!$F:$F,$E300))</f>
        <v/>
      </c>
      <c r="E300">
        <f>IFERROR(AGGREGATE(15,6,ROW('Input Transaksi'!$B$5:$B$5000)/('Input Transaksi'!$B$5:$B$5000="CL SESETAN"),ROWS($E$5:E300)),"")</f>
        <v/>
      </c>
      <c r="F300" s="5" t="n"/>
    </row>
    <row r="301">
      <c r="A301" s="10">
        <f>IF($E301="","",INDEX('Input Transaksi'!$A:$A,$E301))</f>
        <v/>
      </c>
      <c r="B301" s="5">
        <f>IF($E301="","",INDEX('Input Transaksi'!$D:$D,$E301))</f>
        <v/>
      </c>
      <c r="C301">
        <f>IF($E301="","",INDEX('Input Transaksi'!$E:$E,$E301))</f>
        <v/>
      </c>
      <c r="D301" s="5">
        <f>IF($E301="","",INDEX('Input Transaksi'!$F:$F,$E301))</f>
        <v/>
      </c>
      <c r="E301">
        <f>IFERROR(AGGREGATE(15,6,ROW('Input Transaksi'!$B$5:$B$5000)/('Input Transaksi'!$B$5:$B$5000="CL SESETAN"),ROWS($E$5:E301)),"")</f>
        <v/>
      </c>
      <c r="F301" s="5" t="n"/>
    </row>
    <row r="302">
      <c r="A302" s="10">
        <f>IF($E302="","",INDEX('Input Transaksi'!$A:$A,$E302))</f>
        <v/>
      </c>
      <c r="B302" s="5">
        <f>IF($E302="","",INDEX('Input Transaksi'!$D:$D,$E302))</f>
        <v/>
      </c>
      <c r="C302">
        <f>IF($E302="","",INDEX('Input Transaksi'!$E:$E,$E302))</f>
        <v/>
      </c>
      <c r="D302" s="5">
        <f>IF($E302="","",INDEX('Input Transaksi'!$F:$F,$E302))</f>
        <v/>
      </c>
      <c r="E302">
        <f>IFERROR(AGGREGATE(15,6,ROW('Input Transaksi'!$B$5:$B$5000)/('Input Transaksi'!$B$5:$B$5000="CL SESETAN"),ROWS($E$5:E302)),"")</f>
        <v/>
      </c>
      <c r="F302" s="5" t="n"/>
    </row>
    <row r="303">
      <c r="A303" s="10">
        <f>IF($E303="","",INDEX('Input Transaksi'!$A:$A,$E303))</f>
        <v/>
      </c>
      <c r="B303" s="5">
        <f>IF($E303="","",INDEX('Input Transaksi'!$D:$D,$E303))</f>
        <v/>
      </c>
      <c r="C303">
        <f>IF($E303="","",INDEX('Input Transaksi'!$E:$E,$E303))</f>
        <v/>
      </c>
      <c r="D303" s="5">
        <f>IF($E303="","",INDEX('Input Transaksi'!$F:$F,$E303))</f>
        <v/>
      </c>
      <c r="E303">
        <f>IFERROR(AGGREGATE(15,6,ROW('Input Transaksi'!$B$5:$B$5000)/('Input Transaksi'!$B$5:$B$5000="CL SESETAN"),ROWS($E$5:E303)),"")</f>
        <v/>
      </c>
      <c r="F303" s="5" t="n"/>
    </row>
    <row r="304">
      <c r="A304" s="10">
        <f>IF($E304="","",INDEX('Input Transaksi'!$A:$A,$E304))</f>
        <v/>
      </c>
      <c r="B304" s="5">
        <f>IF($E304="","",INDEX('Input Transaksi'!$D:$D,$E304))</f>
        <v/>
      </c>
      <c r="C304">
        <f>IF($E304="","",INDEX('Input Transaksi'!$E:$E,$E304))</f>
        <v/>
      </c>
      <c r="D304" s="5">
        <f>IF($E304="","",INDEX('Input Transaksi'!$F:$F,$E304))</f>
        <v/>
      </c>
      <c r="E304">
        <f>IFERROR(AGGREGATE(15,6,ROW('Input Transaksi'!$B$5:$B$5000)/('Input Transaksi'!$B$5:$B$5000="CL SESETAN"),ROWS($E$5:E304)),"")</f>
        <v/>
      </c>
      <c r="F304" s="5" t="n"/>
    </row>
    <row r="305">
      <c r="A305" s="10">
        <f>IF($E305="","",INDEX('Input Transaksi'!$A:$A,$E305))</f>
        <v/>
      </c>
      <c r="B305" s="5">
        <f>IF($E305="","",INDEX('Input Transaksi'!$D:$D,$E305))</f>
        <v/>
      </c>
      <c r="C305">
        <f>IF($E305="","",INDEX('Input Transaksi'!$E:$E,$E305))</f>
        <v/>
      </c>
      <c r="D305" s="5">
        <f>IF($E305="","",INDEX('Input Transaksi'!$F:$F,$E305))</f>
        <v/>
      </c>
      <c r="E305">
        <f>IFERROR(AGGREGATE(15,6,ROW('Input Transaksi'!$B$5:$B$5000)/('Input Transaksi'!$B$5:$B$5000="CL SESETAN"),ROWS($E$5:E305)),"")</f>
        <v/>
      </c>
      <c r="F305" s="5" t="n"/>
    </row>
    <row r="306">
      <c r="A306" s="10">
        <f>IF($E306="","",INDEX('Input Transaksi'!$A:$A,$E306))</f>
        <v/>
      </c>
      <c r="B306" s="5">
        <f>IF($E306="","",INDEX('Input Transaksi'!$D:$D,$E306))</f>
        <v/>
      </c>
      <c r="C306">
        <f>IF($E306="","",INDEX('Input Transaksi'!$E:$E,$E306))</f>
        <v/>
      </c>
      <c r="D306" s="5">
        <f>IF($E306="","",INDEX('Input Transaksi'!$F:$F,$E306))</f>
        <v/>
      </c>
      <c r="E306">
        <f>IFERROR(AGGREGATE(15,6,ROW('Input Transaksi'!$B$5:$B$5000)/('Input Transaksi'!$B$5:$B$5000="CL SESETAN"),ROWS($E$5:E306)),"")</f>
        <v/>
      </c>
      <c r="F306" s="5" t="n"/>
    </row>
    <row r="307">
      <c r="A307" s="10">
        <f>IF($E307="","",INDEX('Input Transaksi'!$A:$A,$E307))</f>
        <v/>
      </c>
      <c r="B307" s="5">
        <f>IF($E307="","",INDEX('Input Transaksi'!$D:$D,$E307))</f>
        <v/>
      </c>
      <c r="C307">
        <f>IF($E307="","",INDEX('Input Transaksi'!$E:$E,$E307))</f>
        <v/>
      </c>
      <c r="D307" s="5">
        <f>IF($E307="","",INDEX('Input Transaksi'!$F:$F,$E307))</f>
        <v/>
      </c>
      <c r="E307">
        <f>IFERROR(AGGREGATE(15,6,ROW('Input Transaksi'!$B$5:$B$5000)/('Input Transaksi'!$B$5:$B$5000="CL SESETAN"),ROWS($E$5:E307)),"")</f>
        <v/>
      </c>
      <c r="F307" s="5" t="n"/>
    </row>
    <row r="308">
      <c r="A308" s="10">
        <f>IF($E308="","",INDEX('Input Transaksi'!$A:$A,$E308))</f>
        <v/>
      </c>
      <c r="B308" s="5">
        <f>IF($E308="","",INDEX('Input Transaksi'!$D:$D,$E308))</f>
        <v/>
      </c>
      <c r="C308">
        <f>IF($E308="","",INDEX('Input Transaksi'!$E:$E,$E308))</f>
        <v/>
      </c>
      <c r="D308" s="5">
        <f>IF($E308="","",INDEX('Input Transaksi'!$F:$F,$E308))</f>
        <v/>
      </c>
      <c r="E308">
        <f>IFERROR(AGGREGATE(15,6,ROW('Input Transaksi'!$B$5:$B$5000)/('Input Transaksi'!$B$5:$B$5000="CL SESETAN"),ROWS($E$5:E308)),"")</f>
        <v/>
      </c>
      <c r="F308" s="5" t="n"/>
    </row>
    <row r="309">
      <c r="A309" s="10">
        <f>IF($E309="","",INDEX('Input Transaksi'!$A:$A,$E309))</f>
        <v/>
      </c>
      <c r="B309" s="5">
        <f>IF($E309="","",INDEX('Input Transaksi'!$D:$D,$E309))</f>
        <v/>
      </c>
      <c r="C309">
        <f>IF($E309="","",INDEX('Input Transaksi'!$E:$E,$E309))</f>
        <v/>
      </c>
      <c r="D309" s="5">
        <f>IF($E309="","",INDEX('Input Transaksi'!$F:$F,$E309))</f>
        <v/>
      </c>
      <c r="E309">
        <f>IFERROR(AGGREGATE(15,6,ROW('Input Transaksi'!$B$5:$B$5000)/('Input Transaksi'!$B$5:$B$5000="CL SESETAN"),ROWS($E$5:E309)),"")</f>
        <v/>
      </c>
      <c r="F309" s="5" t="n"/>
    </row>
    <row r="310">
      <c r="A310" s="10">
        <f>IF($E310="","",INDEX('Input Transaksi'!$A:$A,$E310))</f>
        <v/>
      </c>
      <c r="B310" s="5">
        <f>IF($E310="","",INDEX('Input Transaksi'!$D:$D,$E310))</f>
        <v/>
      </c>
      <c r="C310">
        <f>IF($E310="","",INDEX('Input Transaksi'!$E:$E,$E310))</f>
        <v/>
      </c>
      <c r="D310" s="5">
        <f>IF($E310="","",INDEX('Input Transaksi'!$F:$F,$E310))</f>
        <v/>
      </c>
      <c r="E310">
        <f>IFERROR(AGGREGATE(15,6,ROW('Input Transaksi'!$B$5:$B$5000)/('Input Transaksi'!$B$5:$B$5000="CL SESETAN"),ROWS($E$5:E310)),"")</f>
        <v/>
      </c>
      <c r="F310" s="5" t="n"/>
    </row>
    <row r="311">
      <c r="A311" s="10">
        <f>IF($E311="","",INDEX('Input Transaksi'!$A:$A,$E311))</f>
        <v/>
      </c>
      <c r="B311" s="5">
        <f>IF($E311="","",INDEX('Input Transaksi'!$D:$D,$E311))</f>
        <v/>
      </c>
      <c r="C311">
        <f>IF($E311="","",INDEX('Input Transaksi'!$E:$E,$E311))</f>
        <v/>
      </c>
      <c r="D311" s="5">
        <f>IF($E311="","",INDEX('Input Transaksi'!$F:$F,$E311))</f>
        <v/>
      </c>
      <c r="E311">
        <f>IFERROR(AGGREGATE(15,6,ROW('Input Transaksi'!$B$5:$B$5000)/('Input Transaksi'!$B$5:$B$5000="CL SESETAN"),ROWS($E$5:E311)),"")</f>
        <v/>
      </c>
      <c r="F311" s="5" t="n"/>
    </row>
    <row r="312">
      <c r="A312" s="10">
        <f>IF($E312="","",INDEX('Input Transaksi'!$A:$A,$E312))</f>
        <v/>
      </c>
      <c r="B312" s="5">
        <f>IF($E312="","",INDEX('Input Transaksi'!$D:$D,$E312))</f>
        <v/>
      </c>
      <c r="C312">
        <f>IF($E312="","",INDEX('Input Transaksi'!$E:$E,$E312))</f>
        <v/>
      </c>
      <c r="D312" s="5">
        <f>IF($E312="","",INDEX('Input Transaksi'!$F:$F,$E312))</f>
        <v/>
      </c>
      <c r="E312">
        <f>IFERROR(AGGREGATE(15,6,ROW('Input Transaksi'!$B$5:$B$5000)/('Input Transaksi'!$B$5:$B$5000="CL SESETAN"),ROWS($E$5:E312)),"")</f>
        <v/>
      </c>
      <c r="F312" s="5" t="n"/>
    </row>
    <row r="313">
      <c r="A313" s="10">
        <f>IF($E313="","",INDEX('Input Transaksi'!$A:$A,$E313))</f>
        <v/>
      </c>
      <c r="B313" s="5">
        <f>IF($E313="","",INDEX('Input Transaksi'!$D:$D,$E313))</f>
        <v/>
      </c>
      <c r="C313">
        <f>IF($E313="","",INDEX('Input Transaksi'!$E:$E,$E313))</f>
        <v/>
      </c>
      <c r="D313" s="5">
        <f>IF($E313="","",INDEX('Input Transaksi'!$F:$F,$E313))</f>
        <v/>
      </c>
      <c r="E313">
        <f>IFERROR(AGGREGATE(15,6,ROW('Input Transaksi'!$B$5:$B$5000)/('Input Transaksi'!$B$5:$B$5000="CL SESETAN"),ROWS($E$5:E313)),"")</f>
        <v/>
      </c>
      <c r="F313" s="5" t="n"/>
    </row>
    <row r="314">
      <c r="A314" s="10">
        <f>IF($E314="","",INDEX('Input Transaksi'!$A:$A,$E314))</f>
        <v/>
      </c>
      <c r="B314" s="5">
        <f>IF($E314="","",INDEX('Input Transaksi'!$D:$D,$E314))</f>
        <v/>
      </c>
      <c r="C314">
        <f>IF($E314="","",INDEX('Input Transaksi'!$E:$E,$E314))</f>
        <v/>
      </c>
      <c r="D314" s="5">
        <f>IF($E314="","",INDEX('Input Transaksi'!$F:$F,$E314))</f>
        <v/>
      </c>
      <c r="E314">
        <f>IFERROR(AGGREGATE(15,6,ROW('Input Transaksi'!$B$5:$B$5000)/('Input Transaksi'!$B$5:$B$5000="CL SESETAN"),ROWS($E$5:E314)),"")</f>
        <v/>
      </c>
      <c r="F314" s="5" t="n"/>
    </row>
    <row r="315">
      <c r="A315" s="10">
        <f>IF($E315="","",INDEX('Input Transaksi'!$A:$A,$E315))</f>
        <v/>
      </c>
      <c r="B315" s="5">
        <f>IF($E315="","",INDEX('Input Transaksi'!$D:$D,$E315))</f>
        <v/>
      </c>
      <c r="C315">
        <f>IF($E315="","",INDEX('Input Transaksi'!$E:$E,$E315))</f>
        <v/>
      </c>
      <c r="D315" s="5">
        <f>IF($E315="","",INDEX('Input Transaksi'!$F:$F,$E315))</f>
        <v/>
      </c>
      <c r="E315">
        <f>IFERROR(AGGREGATE(15,6,ROW('Input Transaksi'!$B$5:$B$5000)/('Input Transaksi'!$B$5:$B$5000="CL SESETAN"),ROWS($E$5:E315)),"")</f>
        <v/>
      </c>
      <c r="F315" s="5" t="n"/>
    </row>
    <row r="316">
      <c r="A316" s="10">
        <f>IF($E316="","",INDEX('Input Transaksi'!$A:$A,$E316))</f>
        <v/>
      </c>
      <c r="B316" s="5">
        <f>IF($E316="","",INDEX('Input Transaksi'!$D:$D,$E316))</f>
        <v/>
      </c>
      <c r="C316">
        <f>IF($E316="","",INDEX('Input Transaksi'!$E:$E,$E316))</f>
        <v/>
      </c>
      <c r="D316" s="5">
        <f>IF($E316="","",INDEX('Input Transaksi'!$F:$F,$E316))</f>
        <v/>
      </c>
      <c r="E316">
        <f>IFERROR(AGGREGATE(15,6,ROW('Input Transaksi'!$B$5:$B$5000)/('Input Transaksi'!$B$5:$B$5000="CL SESETAN"),ROWS($E$5:E316)),"")</f>
        <v/>
      </c>
      <c r="F316" s="5" t="n"/>
    </row>
    <row r="317">
      <c r="A317" s="10">
        <f>IF($E317="","",INDEX('Input Transaksi'!$A:$A,$E317))</f>
        <v/>
      </c>
      <c r="B317" s="5">
        <f>IF($E317="","",INDEX('Input Transaksi'!$D:$D,$E317))</f>
        <v/>
      </c>
      <c r="C317">
        <f>IF($E317="","",INDEX('Input Transaksi'!$E:$E,$E317))</f>
        <v/>
      </c>
      <c r="D317" s="5">
        <f>IF($E317="","",INDEX('Input Transaksi'!$F:$F,$E317))</f>
        <v/>
      </c>
      <c r="E317">
        <f>IFERROR(AGGREGATE(15,6,ROW('Input Transaksi'!$B$5:$B$5000)/('Input Transaksi'!$B$5:$B$5000="CL SESETAN"),ROWS($E$5:E317)),"")</f>
        <v/>
      </c>
      <c r="F317" s="5" t="n"/>
    </row>
    <row r="318">
      <c r="A318" s="10">
        <f>IF($E318="","",INDEX('Input Transaksi'!$A:$A,$E318))</f>
        <v/>
      </c>
      <c r="B318" s="5">
        <f>IF($E318="","",INDEX('Input Transaksi'!$D:$D,$E318))</f>
        <v/>
      </c>
      <c r="C318">
        <f>IF($E318="","",INDEX('Input Transaksi'!$E:$E,$E318))</f>
        <v/>
      </c>
      <c r="D318" s="5">
        <f>IF($E318="","",INDEX('Input Transaksi'!$F:$F,$E318))</f>
        <v/>
      </c>
      <c r="E318">
        <f>IFERROR(AGGREGATE(15,6,ROW('Input Transaksi'!$B$5:$B$5000)/('Input Transaksi'!$B$5:$B$5000="CL SESETAN"),ROWS($E$5:E318)),"")</f>
        <v/>
      </c>
      <c r="F318" s="5" t="n"/>
    </row>
    <row r="319">
      <c r="A319" s="10">
        <f>IF($E319="","",INDEX('Input Transaksi'!$A:$A,$E319))</f>
        <v/>
      </c>
      <c r="B319" s="5">
        <f>IF($E319="","",INDEX('Input Transaksi'!$D:$D,$E319))</f>
        <v/>
      </c>
      <c r="C319">
        <f>IF($E319="","",INDEX('Input Transaksi'!$E:$E,$E319))</f>
        <v/>
      </c>
      <c r="D319" s="5">
        <f>IF($E319="","",INDEX('Input Transaksi'!$F:$F,$E319))</f>
        <v/>
      </c>
      <c r="E319">
        <f>IFERROR(AGGREGATE(15,6,ROW('Input Transaksi'!$B$5:$B$5000)/('Input Transaksi'!$B$5:$B$5000="CL SESETAN"),ROWS($E$5:E319)),"")</f>
        <v/>
      </c>
      <c r="F319" s="5" t="n"/>
    </row>
    <row r="320">
      <c r="A320" s="10">
        <f>IF($E320="","",INDEX('Input Transaksi'!$A:$A,$E320))</f>
        <v/>
      </c>
      <c r="B320" s="5">
        <f>IF($E320="","",INDEX('Input Transaksi'!$D:$D,$E320))</f>
        <v/>
      </c>
      <c r="C320">
        <f>IF($E320="","",INDEX('Input Transaksi'!$E:$E,$E320))</f>
        <v/>
      </c>
      <c r="D320" s="5">
        <f>IF($E320="","",INDEX('Input Transaksi'!$F:$F,$E320))</f>
        <v/>
      </c>
      <c r="E320">
        <f>IFERROR(AGGREGATE(15,6,ROW('Input Transaksi'!$B$5:$B$5000)/('Input Transaksi'!$B$5:$B$5000="CL SESETAN"),ROWS($E$5:E320)),"")</f>
        <v/>
      </c>
      <c r="F320" s="5" t="n"/>
    </row>
    <row r="321">
      <c r="A321" s="10">
        <f>IF($E321="","",INDEX('Input Transaksi'!$A:$A,$E321))</f>
        <v/>
      </c>
      <c r="B321" s="5">
        <f>IF($E321="","",INDEX('Input Transaksi'!$D:$D,$E321))</f>
        <v/>
      </c>
      <c r="C321">
        <f>IF($E321="","",INDEX('Input Transaksi'!$E:$E,$E321))</f>
        <v/>
      </c>
      <c r="D321" s="5">
        <f>IF($E321="","",INDEX('Input Transaksi'!$F:$F,$E321))</f>
        <v/>
      </c>
      <c r="E321">
        <f>IFERROR(AGGREGATE(15,6,ROW('Input Transaksi'!$B$5:$B$5000)/('Input Transaksi'!$B$5:$B$5000="CL SESETAN"),ROWS($E$5:E321)),"")</f>
        <v/>
      </c>
      <c r="F321" s="5" t="n"/>
    </row>
    <row r="322">
      <c r="A322" s="10">
        <f>IF($E322="","",INDEX('Input Transaksi'!$A:$A,$E322))</f>
        <v/>
      </c>
      <c r="B322" s="5">
        <f>IF($E322="","",INDEX('Input Transaksi'!$D:$D,$E322))</f>
        <v/>
      </c>
      <c r="C322">
        <f>IF($E322="","",INDEX('Input Transaksi'!$E:$E,$E322))</f>
        <v/>
      </c>
      <c r="D322" s="5">
        <f>IF($E322="","",INDEX('Input Transaksi'!$F:$F,$E322))</f>
        <v/>
      </c>
      <c r="E322">
        <f>IFERROR(AGGREGATE(15,6,ROW('Input Transaksi'!$B$5:$B$5000)/('Input Transaksi'!$B$5:$B$5000="CL SESETAN"),ROWS($E$5:E322)),"")</f>
        <v/>
      </c>
      <c r="F322" s="5" t="n"/>
    </row>
    <row r="323">
      <c r="A323" s="10">
        <f>IF($E323="","",INDEX('Input Transaksi'!$A:$A,$E323))</f>
        <v/>
      </c>
      <c r="B323" s="5">
        <f>IF($E323="","",INDEX('Input Transaksi'!$D:$D,$E323))</f>
        <v/>
      </c>
      <c r="C323">
        <f>IF($E323="","",INDEX('Input Transaksi'!$E:$E,$E323))</f>
        <v/>
      </c>
      <c r="D323" s="5">
        <f>IF($E323="","",INDEX('Input Transaksi'!$F:$F,$E323))</f>
        <v/>
      </c>
      <c r="E323">
        <f>IFERROR(AGGREGATE(15,6,ROW('Input Transaksi'!$B$5:$B$5000)/('Input Transaksi'!$B$5:$B$5000="CL SESETAN"),ROWS($E$5:E323)),"")</f>
        <v/>
      </c>
      <c r="F323" s="5" t="n"/>
    </row>
    <row r="324">
      <c r="A324" s="10">
        <f>IF($E324="","",INDEX('Input Transaksi'!$A:$A,$E324))</f>
        <v/>
      </c>
      <c r="B324" s="5">
        <f>IF($E324="","",INDEX('Input Transaksi'!$D:$D,$E324))</f>
        <v/>
      </c>
      <c r="C324">
        <f>IF($E324="","",INDEX('Input Transaksi'!$E:$E,$E324))</f>
        <v/>
      </c>
      <c r="D324" s="5">
        <f>IF($E324="","",INDEX('Input Transaksi'!$F:$F,$E324))</f>
        <v/>
      </c>
      <c r="E324">
        <f>IFERROR(AGGREGATE(15,6,ROW('Input Transaksi'!$B$5:$B$5000)/('Input Transaksi'!$B$5:$B$5000="CL SESETAN"),ROWS($E$5:E324)),"")</f>
        <v/>
      </c>
      <c r="F324" s="5" t="n"/>
    </row>
    <row r="325">
      <c r="A325" s="10">
        <f>IF($E325="","",INDEX('Input Transaksi'!$A:$A,$E325))</f>
        <v/>
      </c>
      <c r="B325" s="5">
        <f>IF($E325="","",INDEX('Input Transaksi'!$D:$D,$E325))</f>
        <v/>
      </c>
      <c r="C325">
        <f>IF($E325="","",INDEX('Input Transaksi'!$E:$E,$E325))</f>
        <v/>
      </c>
      <c r="D325" s="5">
        <f>IF($E325="","",INDEX('Input Transaksi'!$F:$F,$E325))</f>
        <v/>
      </c>
      <c r="E325">
        <f>IFERROR(AGGREGATE(15,6,ROW('Input Transaksi'!$B$5:$B$5000)/('Input Transaksi'!$B$5:$B$5000="CL SESETAN"),ROWS($E$5:E325)),"")</f>
        <v/>
      </c>
      <c r="F325" s="5" t="n"/>
    </row>
    <row r="326">
      <c r="A326" s="10">
        <f>IF($E326="","",INDEX('Input Transaksi'!$A:$A,$E326))</f>
        <v/>
      </c>
      <c r="B326" s="5">
        <f>IF($E326="","",INDEX('Input Transaksi'!$D:$D,$E326))</f>
        <v/>
      </c>
      <c r="C326">
        <f>IF($E326="","",INDEX('Input Transaksi'!$E:$E,$E326))</f>
        <v/>
      </c>
      <c r="D326" s="5">
        <f>IF($E326="","",INDEX('Input Transaksi'!$F:$F,$E326))</f>
        <v/>
      </c>
      <c r="E326">
        <f>IFERROR(AGGREGATE(15,6,ROW('Input Transaksi'!$B$5:$B$5000)/('Input Transaksi'!$B$5:$B$5000="CL SESETAN"),ROWS($E$5:E326)),"")</f>
        <v/>
      </c>
      <c r="F326" s="5" t="n"/>
    </row>
    <row r="327">
      <c r="A327" s="10">
        <f>IF($E327="","",INDEX('Input Transaksi'!$A:$A,$E327))</f>
        <v/>
      </c>
      <c r="B327" s="5">
        <f>IF($E327="","",INDEX('Input Transaksi'!$D:$D,$E327))</f>
        <v/>
      </c>
      <c r="C327">
        <f>IF($E327="","",INDEX('Input Transaksi'!$E:$E,$E327))</f>
        <v/>
      </c>
      <c r="D327" s="5">
        <f>IF($E327="","",INDEX('Input Transaksi'!$F:$F,$E327))</f>
        <v/>
      </c>
      <c r="E327">
        <f>IFERROR(AGGREGATE(15,6,ROW('Input Transaksi'!$B$5:$B$5000)/('Input Transaksi'!$B$5:$B$5000="CL SESETAN"),ROWS($E$5:E327)),"")</f>
        <v/>
      </c>
      <c r="F327" s="5" t="n"/>
    </row>
    <row r="328">
      <c r="A328" s="10">
        <f>IF($E328="","",INDEX('Input Transaksi'!$A:$A,$E328))</f>
        <v/>
      </c>
      <c r="B328" s="5">
        <f>IF($E328="","",INDEX('Input Transaksi'!$D:$D,$E328))</f>
        <v/>
      </c>
      <c r="C328">
        <f>IF($E328="","",INDEX('Input Transaksi'!$E:$E,$E328))</f>
        <v/>
      </c>
      <c r="D328" s="5">
        <f>IF($E328="","",INDEX('Input Transaksi'!$F:$F,$E328))</f>
        <v/>
      </c>
      <c r="E328">
        <f>IFERROR(AGGREGATE(15,6,ROW('Input Transaksi'!$B$5:$B$5000)/('Input Transaksi'!$B$5:$B$5000="CL SESETAN"),ROWS($E$5:E328)),"")</f>
        <v/>
      </c>
      <c r="F328" s="5" t="n"/>
    </row>
    <row r="329">
      <c r="A329" s="10">
        <f>IF($E329="","",INDEX('Input Transaksi'!$A:$A,$E329))</f>
        <v/>
      </c>
      <c r="B329" s="5">
        <f>IF($E329="","",INDEX('Input Transaksi'!$D:$D,$E329))</f>
        <v/>
      </c>
      <c r="C329">
        <f>IF($E329="","",INDEX('Input Transaksi'!$E:$E,$E329))</f>
        <v/>
      </c>
      <c r="D329" s="5">
        <f>IF($E329="","",INDEX('Input Transaksi'!$F:$F,$E329))</f>
        <v/>
      </c>
      <c r="E329">
        <f>IFERROR(AGGREGATE(15,6,ROW('Input Transaksi'!$B$5:$B$5000)/('Input Transaksi'!$B$5:$B$5000="CL SESETAN"),ROWS($E$5:E329)),"")</f>
        <v/>
      </c>
      <c r="F329" s="5" t="n"/>
    </row>
    <row r="330">
      <c r="A330" s="10">
        <f>IF($E330="","",INDEX('Input Transaksi'!$A:$A,$E330))</f>
        <v/>
      </c>
      <c r="B330" s="5">
        <f>IF($E330="","",INDEX('Input Transaksi'!$D:$D,$E330))</f>
        <v/>
      </c>
      <c r="C330">
        <f>IF($E330="","",INDEX('Input Transaksi'!$E:$E,$E330))</f>
        <v/>
      </c>
      <c r="D330" s="5">
        <f>IF($E330="","",INDEX('Input Transaksi'!$F:$F,$E330))</f>
        <v/>
      </c>
      <c r="E330">
        <f>IFERROR(AGGREGATE(15,6,ROW('Input Transaksi'!$B$5:$B$5000)/('Input Transaksi'!$B$5:$B$5000="CL SESETAN"),ROWS($E$5:E330)),"")</f>
        <v/>
      </c>
      <c r="F330" s="5" t="n"/>
    </row>
    <row r="331">
      <c r="A331" s="10">
        <f>IF($E331="","",INDEX('Input Transaksi'!$A:$A,$E331))</f>
        <v/>
      </c>
      <c r="B331" s="5">
        <f>IF($E331="","",INDEX('Input Transaksi'!$D:$D,$E331))</f>
        <v/>
      </c>
      <c r="C331">
        <f>IF($E331="","",INDEX('Input Transaksi'!$E:$E,$E331))</f>
        <v/>
      </c>
      <c r="D331" s="5">
        <f>IF($E331="","",INDEX('Input Transaksi'!$F:$F,$E331))</f>
        <v/>
      </c>
      <c r="E331">
        <f>IFERROR(AGGREGATE(15,6,ROW('Input Transaksi'!$B$5:$B$5000)/('Input Transaksi'!$B$5:$B$5000="CL SESETAN"),ROWS($E$5:E331)),"")</f>
        <v/>
      </c>
      <c r="F331" s="5" t="n"/>
    </row>
    <row r="332">
      <c r="A332" s="10">
        <f>IF($E332="","",INDEX('Input Transaksi'!$A:$A,$E332))</f>
        <v/>
      </c>
      <c r="B332" s="5">
        <f>IF($E332="","",INDEX('Input Transaksi'!$D:$D,$E332))</f>
        <v/>
      </c>
      <c r="C332">
        <f>IF($E332="","",INDEX('Input Transaksi'!$E:$E,$E332))</f>
        <v/>
      </c>
      <c r="D332" s="5">
        <f>IF($E332="","",INDEX('Input Transaksi'!$F:$F,$E332))</f>
        <v/>
      </c>
      <c r="E332">
        <f>IFERROR(AGGREGATE(15,6,ROW('Input Transaksi'!$B$5:$B$5000)/('Input Transaksi'!$B$5:$B$5000="CL SESETAN"),ROWS($E$5:E332)),"")</f>
        <v/>
      </c>
      <c r="F332" s="5" t="n"/>
    </row>
    <row r="333">
      <c r="A333" s="10">
        <f>IF($E333="","",INDEX('Input Transaksi'!$A:$A,$E333))</f>
        <v/>
      </c>
      <c r="B333" s="5">
        <f>IF($E333="","",INDEX('Input Transaksi'!$D:$D,$E333))</f>
        <v/>
      </c>
      <c r="C333">
        <f>IF($E333="","",INDEX('Input Transaksi'!$E:$E,$E333))</f>
        <v/>
      </c>
      <c r="D333" s="5">
        <f>IF($E333="","",INDEX('Input Transaksi'!$F:$F,$E333))</f>
        <v/>
      </c>
      <c r="E333">
        <f>IFERROR(AGGREGATE(15,6,ROW('Input Transaksi'!$B$5:$B$5000)/('Input Transaksi'!$B$5:$B$5000="CL SESETAN"),ROWS($E$5:E333)),"")</f>
        <v/>
      </c>
      <c r="F333" s="5" t="n"/>
    </row>
    <row r="334">
      <c r="A334" s="10">
        <f>IF($E334="","",INDEX('Input Transaksi'!$A:$A,$E334))</f>
        <v/>
      </c>
      <c r="B334" s="5">
        <f>IF($E334="","",INDEX('Input Transaksi'!$D:$D,$E334))</f>
        <v/>
      </c>
      <c r="C334">
        <f>IF($E334="","",INDEX('Input Transaksi'!$E:$E,$E334))</f>
        <v/>
      </c>
      <c r="D334" s="5">
        <f>IF($E334="","",INDEX('Input Transaksi'!$F:$F,$E334))</f>
        <v/>
      </c>
      <c r="E334">
        <f>IFERROR(AGGREGATE(15,6,ROW('Input Transaksi'!$B$5:$B$5000)/('Input Transaksi'!$B$5:$B$5000="CL SESETAN"),ROWS($E$5:E334)),"")</f>
        <v/>
      </c>
      <c r="F334" s="5" t="n"/>
    </row>
    <row r="335">
      <c r="A335" s="10">
        <f>IF($E335="","",INDEX('Input Transaksi'!$A:$A,$E335))</f>
        <v/>
      </c>
      <c r="B335" s="5">
        <f>IF($E335="","",INDEX('Input Transaksi'!$D:$D,$E335))</f>
        <v/>
      </c>
      <c r="C335">
        <f>IF($E335="","",INDEX('Input Transaksi'!$E:$E,$E335))</f>
        <v/>
      </c>
      <c r="D335" s="5">
        <f>IF($E335="","",INDEX('Input Transaksi'!$F:$F,$E335))</f>
        <v/>
      </c>
      <c r="E335">
        <f>IFERROR(AGGREGATE(15,6,ROW('Input Transaksi'!$B$5:$B$5000)/('Input Transaksi'!$B$5:$B$5000="CL SESETAN"),ROWS($E$5:E335)),"")</f>
        <v/>
      </c>
      <c r="F335" s="5" t="n"/>
    </row>
    <row r="336">
      <c r="A336" s="10">
        <f>IF($E336="","",INDEX('Input Transaksi'!$A:$A,$E336))</f>
        <v/>
      </c>
      <c r="B336" s="5">
        <f>IF($E336="","",INDEX('Input Transaksi'!$D:$D,$E336))</f>
        <v/>
      </c>
      <c r="C336">
        <f>IF($E336="","",INDEX('Input Transaksi'!$E:$E,$E336))</f>
        <v/>
      </c>
      <c r="D336" s="5">
        <f>IF($E336="","",INDEX('Input Transaksi'!$F:$F,$E336))</f>
        <v/>
      </c>
      <c r="E336">
        <f>IFERROR(AGGREGATE(15,6,ROW('Input Transaksi'!$B$5:$B$5000)/('Input Transaksi'!$B$5:$B$5000="CL SESETAN"),ROWS($E$5:E336)),"")</f>
        <v/>
      </c>
      <c r="F336" s="5" t="n"/>
    </row>
    <row r="337">
      <c r="A337" s="10">
        <f>IF($E337="","",INDEX('Input Transaksi'!$A:$A,$E337))</f>
        <v/>
      </c>
      <c r="B337" s="5">
        <f>IF($E337="","",INDEX('Input Transaksi'!$D:$D,$E337))</f>
        <v/>
      </c>
      <c r="C337">
        <f>IF($E337="","",INDEX('Input Transaksi'!$E:$E,$E337))</f>
        <v/>
      </c>
      <c r="D337" s="5">
        <f>IF($E337="","",INDEX('Input Transaksi'!$F:$F,$E337))</f>
        <v/>
      </c>
      <c r="E337">
        <f>IFERROR(AGGREGATE(15,6,ROW('Input Transaksi'!$B$5:$B$5000)/('Input Transaksi'!$B$5:$B$5000="CL SESETAN"),ROWS($E$5:E337)),"")</f>
        <v/>
      </c>
      <c r="F337" s="5" t="n"/>
    </row>
    <row r="338">
      <c r="A338" s="10">
        <f>IF($E338="","",INDEX('Input Transaksi'!$A:$A,$E338))</f>
        <v/>
      </c>
      <c r="B338" s="5">
        <f>IF($E338="","",INDEX('Input Transaksi'!$D:$D,$E338))</f>
        <v/>
      </c>
      <c r="C338">
        <f>IF($E338="","",INDEX('Input Transaksi'!$E:$E,$E338))</f>
        <v/>
      </c>
      <c r="D338" s="5">
        <f>IF($E338="","",INDEX('Input Transaksi'!$F:$F,$E338))</f>
        <v/>
      </c>
      <c r="E338">
        <f>IFERROR(AGGREGATE(15,6,ROW('Input Transaksi'!$B$5:$B$5000)/('Input Transaksi'!$B$5:$B$5000="CL SESETAN"),ROWS($E$5:E338)),"")</f>
        <v/>
      </c>
      <c r="F338" s="5" t="n"/>
    </row>
    <row r="339">
      <c r="A339" s="10">
        <f>IF($E339="","",INDEX('Input Transaksi'!$A:$A,$E339))</f>
        <v/>
      </c>
      <c r="B339" s="5">
        <f>IF($E339="","",INDEX('Input Transaksi'!$D:$D,$E339))</f>
        <v/>
      </c>
      <c r="C339">
        <f>IF($E339="","",INDEX('Input Transaksi'!$E:$E,$E339))</f>
        <v/>
      </c>
      <c r="D339" s="5">
        <f>IF($E339="","",INDEX('Input Transaksi'!$F:$F,$E339))</f>
        <v/>
      </c>
      <c r="E339">
        <f>IFERROR(AGGREGATE(15,6,ROW('Input Transaksi'!$B$5:$B$5000)/('Input Transaksi'!$B$5:$B$5000="CL SESETAN"),ROWS($E$5:E339)),"")</f>
        <v/>
      </c>
      <c r="F339" s="5" t="n"/>
    </row>
    <row r="340">
      <c r="A340" s="10">
        <f>IF($E340="","",INDEX('Input Transaksi'!$A:$A,$E340))</f>
        <v/>
      </c>
      <c r="B340" s="5">
        <f>IF($E340="","",INDEX('Input Transaksi'!$D:$D,$E340))</f>
        <v/>
      </c>
      <c r="C340">
        <f>IF($E340="","",INDEX('Input Transaksi'!$E:$E,$E340))</f>
        <v/>
      </c>
      <c r="D340" s="5">
        <f>IF($E340="","",INDEX('Input Transaksi'!$F:$F,$E340))</f>
        <v/>
      </c>
      <c r="E340">
        <f>IFERROR(AGGREGATE(15,6,ROW('Input Transaksi'!$B$5:$B$5000)/('Input Transaksi'!$B$5:$B$5000="CL SESETAN"),ROWS($E$5:E340)),"")</f>
        <v/>
      </c>
      <c r="F340" s="5" t="n"/>
    </row>
    <row r="341">
      <c r="A341" s="10">
        <f>IF($E341="","",INDEX('Input Transaksi'!$A:$A,$E341))</f>
        <v/>
      </c>
      <c r="B341" s="5">
        <f>IF($E341="","",INDEX('Input Transaksi'!$D:$D,$E341))</f>
        <v/>
      </c>
      <c r="C341">
        <f>IF($E341="","",INDEX('Input Transaksi'!$E:$E,$E341))</f>
        <v/>
      </c>
      <c r="D341" s="5">
        <f>IF($E341="","",INDEX('Input Transaksi'!$F:$F,$E341))</f>
        <v/>
      </c>
      <c r="E341">
        <f>IFERROR(AGGREGATE(15,6,ROW('Input Transaksi'!$B$5:$B$5000)/('Input Transaksi'!$B$5:$B$5000="CL SESETAN"),ROWS($E$5:E341)),"")</f>
        <v/>
      </c>
      <c r="F341" s="5" t="n"/>
    </row>
    <row r="342">
      <c r="A342" s="10">
        <f>IF($E342="","",INDEX('Input Transaksi'!$A:$A,$E342))</f>
        <v/>
      </c>
      <c r="B342" s="5">
        <f>IF($E342="","",INDEX('Input Transaksi'!$D:$D,$E342))</f>
        <v/>
      </c>
      <c r="C342">
        <f>IF($E342="","",INDEX('Input Transaksi'!$E:$E,$E342))</f>
        <v/>
      </c>
      <c r="D342" s="5">
        <f>IF($E342="","",INDEX('Input Transaksi'!$F:$F,$E342))</f>
        <v/>
      </c>
      <c r="E342">
        <f>IFERROR(AGGREGATE(15,6,ROW('Input Transaksi'!$B$5:$B$5000)/('Input Transaksi'!$B$5:$B$5000="CL SESETAN"),ROWS($E$5:E342)),"")</f>
        <v/>
      </c>
      <c r="F342" s="5" t="n"/>
    </row>
    <row r="343">
      <c r="A343" s="10">
        <f>IF($E343="","",INDEX('Input Transaksi'!$A:$A,$E343))</f>
        <v/>
      </c>
      <c r="B343" s="5">
        <f>IF($E343="","",INDEX('Input Transaksi'!$D:$D,$E343))</f>
        <v/>
      </c>
      <c r="C343">
        <f>IF($E343="","",INDEX('Input Transaksi'!$E:$E,$E343))</f>
        <v/>
      </c>
      <c r="D343" s="5">
        <f>IF($E343="","",INDEX('Input Transaksi'!$F:$F,$E343))</f>
        <v/>
      </c>
      <c r="E343">
        <f>IFERROR(AGGREGATE(15,6,ROW('Input Transaksi'!$B$5:$B$5000)/('Input Transaksi'!$B$5:$B$5000="CL SESETAN"),ROWS($E$5:E343)),"")</f>
        <v/>
      </c>
      <c r="F343" s="5" t="n"/>
    </row>
    <row r="344">
      <c r="A344" s="10">
        <f>IF($E344="","",INDEX('Input Transaksi'!$A:$A,$E344))</f>
        <v/>
      </c>
      <c r="B344" s="5">
        <f>IF($E344="","",INDEX('Input Transaksi'!$D:$D,$E344))</f>
        <v/>
      </c>
      <c r="C344">
        <f>IF($E344="","",INDEX('Input Transaksi'!$E:$E,$E344))</f>
        <v/>
      </c>
      <c r="D344" s="5">
        <f>IF($E344="","",INDEX('Input Transaksi'!$F:$F,$E344))</f>
        <v/>
      </c>
      <c r="E344">
        <f>IFERROR(AGGREGATE(15,6,ROW('Input Transaksi'!$B$5:$B$5000)/('Input Transaksi'!$B$5:$B$5000="CL SESETAN"),ROWS($E$5:E344)),"")</f>
        <v/>
      </c>
      <c r="F344" s="5" t="n"/>
    </row>
    <row r="345">
      <c r="A345" s="10">
        <f>IF($E345="","",INDEX('Input Transaksi'!$A:$A,$E345))</f>
        <v/>
      </c>
      <c r="B345" s="5">
        <f>IF($E345="","",INDEX('Input Transaksi'!$D:$D,$E345))</f>
        <v/>
      </c>
      <c r="C345">
        <f>IF($E345="","",INDEX('Input Transaksi'!$E:$E,$E345))</f>
        <v/>
      </c>
      <c r="D345" s="5">
        <f>IF($E345="","",INDEX('Input Transaksi'!$F:$F,$E345))</f>
        <v/>
      </c>
      <c r="E345">
        <f>IFERROR(AGGREGATE(15,6,ROW('Input Transaksi'!$B$5:$B$5000)/('Input Transaksi'!$B$5:$B$5000="CL SESETAN"),ROWS($E$5:E345)),"")</f>
        <v/>
      </c>
      <c r="F345" s="5" t="n"/>
    </row>
    <row r="346">
      <c r="A346" s="10">
        <f>IF($E346="","",INDEX('Input Transaksi'!$A:$A,$E346))</f>
        <v/>
      </c>
      <c r="B346" s="5">
        <f>IF($E346="","",INDEX('Input Transaksi'!$D:$D,$E346))</f>
        <v/>
      </c>
      <c r="C346">
        <f>IF($E346="","",INDEX('Input Transaksi'!$E:$E,$E346))</f>
        <v/>
      </c>
      <c r="D346" s="5">
        <f>IF($E346="","",INDEX('Input Transaksi'!$F:$F,$E346))</f>
        <v/>
      </c>
      <c r="E346">
        <f>IFERROR(AGGREGATE(15,6,ROW('Input Transaksi'!$B$5:$B$5000)/('Input Transaksi'!$B$5:$B$5000="CL SESETAN"),ROWS($E$5:E346)),"")</f>
        <v/>
      </c>
      <c r="F346" s="5" t="n"/>
    </row>
    <row r="347">
      <c r="A347" s="10">
        <f>IF($E347="","",INDEX('Input Transaksi'!$A:$A,$E347))</f>
        <v/>
      </c>
      <c r="B347" s="5">
        <f>IF($E347="","",INDEX('Input Transaksi'!$D:$D,$E347))</f>
        <v/>
      </c>
      <c r="C347">
        <f>IF($E347="","",INDEX('Input Transaksi'!$E:$E,$E347))</f>
        <v/>
      </c>
      <c r="D347" s="5">
        <f>IF($E347="","",INDEX('Input Transaksi'!$F:$F,$E347))</f>
        <v/>
      </c>
      <c r="E347">
        <f>IFERROR(AGGREGATE(15,6,ROW('Input Transaksi'!$B$5:$B$5000)/('Input Transaksi'!$B$5:$B$5000="CL SESETAN"),ROWS($E$5:E347)),"")</f>
        <v/>
      </c>
      <c r="F347" s="5" t="n"/>
    </row>
    <row r="348">
      <c r="A348" s="10">
        <f>IF($E348="","",INDEX('Input Transaksi'!$A:$A,$E348))</f>
        <v/>
      </c>
      <c r="B348" s="5">
        <f>IF($E348="","",INDEX('Input Transaksi'!$D:$D,$E348))</f>
        <v/>
      </c>
      <c r="C348">
        <f>IF($E348="","",INDEX('Input Transaksi'!$E:$E,$E348))</f>
        <v/>
      </c>
      <c r="D348" s="5">
        <f>IF($E348="","",INDEX('Input Transaksi'!$F:$F,$E348))</f>
        <v/>
      </c>
      <c r="E348">
        <f>IFERROR(AGGREGATE(15,6,ROW('Input Transaksi'!$B$5:$B$5000)/('Input Transaksi'!$B$5:$B$5000="CL SESETAN"),ROWS($E$5:E348)),"")</f>
        <v/>
      </c>
      <c r="F348" s="5" t="n"/>
    </row>
    <row r="349">
      <c r="A349" s="10">
        <f>IF($E349="","",INDEX('Input Transaksi'!$A:$A,$E349))</f>
        <v/>
      </c>
      <c r="B349" s="5">
        <f>IF($E349="","",INDEX('Input Transaksi'!$D:$D,$E349))</f>
        <v/>
      </c>
      <c r="C349">
        <f>IF($E349="","",INDEX('Input Transaksi'!$E:$E,$E349))</f>
        <v/>
      </c>
      <c r="D349" s="5">
        <f>IF($E349="","",INDEX('Input Transaksi'!$F:$F,$E349))</f>
        <v/>
      </c>
      <c r="E349">
        <f>IFERROR(AGGREGATE(15,6,ROW('Input Transaksi'!$B$5:$B$5000)/('Input Transaksi'!$B$5:$B$5000="CL SESETAN"),ROWS($E$5:E349)),"")</f>
        <v/>
      </c>
      <c r="F349" s="5" t="n"/>
    </row>
    <row r="350">
      <c r="A350" s="10">
        <f>IF($E350="","",INDEX('Input Transaksi'!$A:$A,$E350))</f>
        <v/>
      </c>
      <c r="B350" s="5">
        <f>IF($E350="","",INDEX('Input Transaksi'!$D:$D,$E350))</f>
        <v/>
      </c>
      <c r="C350">
        <f>IF($E350="","",INDEX('Input Transaksi'!$E:$E,$E350))</f>
        <v/>
      </c>
      <c r="D350" s="5">
        <f>IF($E350="","",INDEX('Input Transaksi'!$F:$F,$E350))</f>
        <v/>
      </c>
      <c r="E350">
        <f>IFERROR(AGGREGATE(15,6,ROW('Input Transaksi'!$B$5:$B$5000)/('Input Transaksi'!$B$5:$B$5000="CL SESETAN"),ROWS($E$5:E350)),"")</f>
        <v/>
      </c>
      <c r="F350" s="5" t="n"/>
    </row>
    <row r="351">
      <c r="A351" s="10">
        <f>IF($E351="","",INDEX('Input Transaksi'!$A:$A,$E351))</f>
        <v/>
      </c>
      <c r="B351" s="5">
        <f>IF($E351="","",INDEX('Input Transaksi'!$D:$D,$E351))</f>
        <v/>
      </c>
      <c r="C351">
        <f>IF($E351="","",INDEX('Input Transaksi'!$E:$E,$E351))</f>
        <v/>
      </c>
      <c r="D351" s="5">
        <f>IF($E351="","",INDEX('Input Transaksi'!$F:$F,$E351))</f>
        <v/>
      </c>
      <c r="E351">
        <f>IFERROR(AGGREGATE(15,6,ROW('Input Transaksi'!$B$5:$B$5000)/('Input Transaksi'!$B$5:$B$5000="CL SESETAN"),ROWS($E$5:E351)),"")</f>
        <v/>
      </c>
      <c r="F351" s="5" t="n"/>
    </row>
    <row r="352">
      <c r="A352" s="10">
        <f>IF($E352="","",INDEX('Input Transaksi'!$A:$A,$E352))</f>
        <v/>
      </c>
      <c r="B352" s="5">
        <f>IF($E352="","",INDEX('Input Transaksi'!$D:$D,$E352))</f>
        <v/>
      </c>
      <c r="C352">
        <f>IF($E352="","",INDEX('Input Transaksi'!$E:$E,$E352))</f>
        <v/>
      </c>
      <c r="D352" s="5">
        <f>IF($E352="","",INDEX('Input Transaksi'!$F:$F,$E352))</f>
        <v/>
      </c>
      <c r="E352">
        <f>IFERROR(AGGREGATE(15,6,ROW('Input Transaksi'!$B$5:$B$5000)/('Input Transaksi'!$B$5:$B$5000="CL SESETAN"),ROWS($E$5:E352)),"")</f>
        <v/>
      </c>
      <c r="F352" s="5" t="n"/>
    </row>
    <row r="353">
      <c r="A353" s="10">
        <f>IF($E353="","",INDEX('Input Transaksi'!$A:$A,$E353))</f>
        <v/>
      </c>
      <c r="B353" s="5">
        <f>IF($E353="","",INDEX('Input Transaksi'!$D:$D,$E353))</f>
        <v/>
      </c>
      <c r="C353">
        <f>IF($E353="","",INDEX('Input Transaksi'!$E:$E,$E353))</f>
        <v/>
      </c>
      <c r="D353" s="5">
        <f>IF($E353="","",INDEX('Input Transaksi'!$F:$F,$E353))</f>
        <v/>
      </c>
      <c r="E353">
        <f>IFERROR(AGGREGATE(15,6,ROW('Input Transaksi'!$B$5:$B$5000)/('Input Transaksi'!$B$5:$B$5000="CL SESETAN"),ROWS($E$5:E353)),"")</f>
        <v/>
      </c>
      <c r="F353" s="5" t="n"/>
    </row>
    <row r="354">
      <c r="A354" s="10">
        <f>IF($E354="","",INDEX('Input Transaksi'!$A:$A,$E354))</f>
        <v/>
      </c>
      <c r="B354" s="5">
        <f>IF($E354="","",INDEX('Input Transaksi'!$D:$D,$E354))</f>
        <v/>
      </c>
      <c r="C354">
        <f>IF($E354="","",INDEX('Input Transaksi'!$E:$E,$E354))</f>
        <v/>
      </c>
      <c r="D354" s="5">
        <f>IF($E354="","",INDEX('Input Transaksi'!$F:$F,$E354))</f>
        <v/>
      </c>
      <c r="E354">
        <f>IFERROR(AGGREGATE(15,6,ROW('Input Transaksi'!$B$5:$B$5000)/('Input Transaksi'!$B$5:$B$5000="CL SESETAN"),ROWS($E$5:E354)),"")</f>
        <v/>
      </c>
      <c r="F354" s="5" t="n"/>
    </row>
    <row r="355">
      <c r="A355" s="10">
        <f>IF($E355="","",INDEX('Input Transaksi'!$A:$A,$E355))</f>
        <v/>
      </c>
      <c r="B355" s="5">
        <f>IF($E355="","",INDEX('Input Transaksi'!$D:$D,$E355))</f>
        <v/>
      </c>
      <c r="C355">
        <f>IF($E355="","",INDEX('Input Transaksi'!$E:$E,$E355))</f>
        <v/>
      </c>
      <c r="D355" s="5">
        <f>IF($E355="","",INDEX('Input Transaksi'!$F:$F,$E355))</f>
        <v/>
      </c>
      <c r="E355">
        <f>IFERROR(AGGREGATE(15,6,ROW('Input Transaksi'!$B$5:$B$5000)/('Input Transaksi'!$B$5:$B$5000="CL SESETAN"),ROWS($E$5:E355)),"")</f>
        <v/>
      </c>
      <c r="F355" s="5" t="n"/>
    </row>
    <row r="356">
      <c r="A356" s="10">
        <f>IF($E356="","",INDEX('Input Transaksi'!$A:$A,$E356))</f>
        <v/>
      </c>
      <c r="B356" s="5">
        <f>IF($E356="","",INDEX('Input Transaksi'!$D:$D,$E356))</f>
        <v/>
      </c>
      <c r="C356">
        <f>IF($E356="","",INDEX('Input Transaksi'!$E:$E,$E356))</f>
        <v/>
      </c>
      <c r="D356" s="5">
        <f>IF($E356="","",INDEX('Input Transaksi'!$F:$F,$E356))</f>
        <v/>
      </c>
      <c r="E356">
        <f>IFERROR(AGGREGATE(15,6,ROW('Input Transaksi'!$B$5:$B$5000)/('Input Transaksi'!$B$5:$B$5000="CL SESETAN"),ROWS($E$5:E356)),"")</f>
        <v/>
      </c>
      <c r="F356" s="5" t="n"/>
    </row>
    <row r="357">
      <c r="A357" s="10">
        <f>IF($E357="","",INDEX('Input Transaksi'!$A:$A,$E357))</f>
        <v/>
      </c>
      <c r="B357" s="5">
        <f>IF($E357="","",INDEX('Input Transaksi'!$D:$D,$E357))</f>
        <v/>
      </c>
      <c r="C357">
        <f>IF($E357="","",INDEX('Input Transaksi'!$E:$E,$E357))</f>
        <v/>
      </c>
      <c r="D357" s="5">
        <f>IF($E357="","",INDEX('Input Transaksi'!$F:$F,$E357))</f>
        <v/>
      </c>
      <c r="E357">
        <f>IFERROR(AGGREGATE(15,6,ROW('Input Transaksi'!$B$5:$B$5000)/('Input Transaksi'!$B$5:$B$5000="CL SESETAN"),ROWS($E$5:E357)),"")</f>
        <v/>
      </c>
      <c r="F357" s="5" t="n"/>
    </row>
    <row r="358">
      <c r="A358" s="10">
        <f>IF($E358="","",INDEX('Input Transaksi'!$A:$A,$E358))</f>
        <v/>
      </c>
      <c r="B358" s="5">
        <f>IF($E358="","",INDEX('Input Transaksi'!$D:$D,$E358))</f>
        <v/>
      </c>
      <c r="C358">
        <f>IF($E358="","",INDEX('Input Transaksi'!$E:$E,$E358))</f>
        <v/>
      </c>
      <c r="D358" s="5">
        <f>IF($E358="","",INDEX('Input Transaksi'!$F:$F,$E358))</f>
        <v/>
      </c>
      <c r="E358">
        <f>IFERROR(AGGREGATE(15,6,ROW('Input Transaksi'!$B$5:$B$5000)/('Input Transaksi'!$B$5:$B$5000="CL SESETAN"),ROWS($E$5:E358)),"")</f>
        <v/>
      </c>
      <c r="F358" s="5" t="n"/>
    </row>
    <row r="359">
      <c r="A359" s="10">
        <f>IF($E359="","",INDEX('Input Transaksi'!$A:$A,$E359))</f>
        <v/>
      </c>
      <c r="B359" s="5">
        <f>IF($E359="","",INDEX('Input Transaksi'!$D:$D,$E359))</f>
        <v/>
      </c>
      <c r="C359">
        <f>IF($E359="","",INDEX('Input Transaksi'!$E:$E,$E359))</f>
        <v/>
      </c>
      <c r="D359" s="5">
        <f>IF($E359="","",INDEX('Input Transaksi'!$F:$F,$E359))</f>
        <v/>
      </c>
      <c r="E359">
        <f>IFERROR(AGGREGATE(15,6,ROW('Input Transaksi'!$B$5:$B$5000)/('Input Transaksi'!$B$5:$B$5000="CL SESETAN"),ROWS($E$5:E359)),"")</f>
        <v/>
      </c>
      <c r="F359" s="5" t="n"/>
    </row>
    <row r="360">
      <c r="A360" s="10">
        <f>IF($E360="","",INDEX('Input Transaksi'!$A:$A,$E360))</f>
        <v/>
      </c>
      <c r="B360" s="5">
        <f>IF($E360="","",INDEX('Input Transaksi'!$D:$D,$E360))</f>
        <v/>
      </c>
      <c r="C360">
        <f>IF($E360="","",INDEX('Input Transaksi'!$E:$E,$E360))</f>
        <v/>
      </c>
      <c r="D360" s="5">
        <f>IF($E360="","",INDEX('Input Transaksi'!$F:$F,$E360))</f>
        <v/>
      </c>
      <c r="E360">
        <f>IFERROR(AGGREGATE(15,6,ROW('Input Transaksi'!$B$5:$B$5000)/('Input Transaksi'!$B$5:$B$5000="CL SESETAN"),ROWS($E$5:E360)),"")</f>
        <v/>
      </c>
      <c r="F360" s="5" t="n"/>
    </row>
    <row r="361">
      <c r="A361" s="10">
        <f>IF($E361="","",INDEX('Input Transaksi'!$A:$A,$E361))</f>
        <v/>
      </c>
      <c r="B361" s="5">
        <f>IF($E361="","",INDEX('Input Transaksi'!$D:$D,$E361))</f>
        <v/>
      </c>
      <c r="C361">
        <f>IF($E361="","",INDEX('Input Transaksi'!$E:$E,$E361))</f>
        <v/>
      </c>
      <c r="D361" s="5">
        <f>IF($E361="","",INDEX('Input Transaksi'!$F:$F,$E361))</f>
        <v/>
      </c>
      <c r="E361">
        <f>IFERROR(AGGREGATE(15,6,ROW('Input Transaksi'!$B$5:$B$5000)/('Input Transaksi'!$B$5:$B$5000="CL SESETAN"),ROWS($E$5:E361)),"")</f>
        <v/>
      </c>
      <c r="F361" s="5" t="n"/>
    </row>
    <row r="362">
      <c r="A362" s="10">
        <f>IF($E362="","",INDEX('Input Transaksi'!$A:$A,$E362))</f>
        <v/>
      </c>
      <c r="B362" s="5">
        <f>IF($E362="","",INDEX('Input Transaksi'!$D:$D,$E362))</f>
        <v/>
      </c>
      <c r="C362">
        <f>IF($E362="","",INDEX('Input Transaksi'!$E:$E,$E362))</f>
        <v/>
      </c>
      <c r="D362" s="5">
        <f>IF($E362="","",INDEX('Input Transaksi'!$F:$F,$E362))</f>
        <v/>
      </c>
      <c r="E362">
        <f>IFERROR(AGGREGATE(15,6,ROW('Input Transaksi'!$B$5:$B$5000)/('Input Transaksi'!$B$5:$B$5000="CL SESETAN"),ROWS($E$5:E362)),"")</f>
        <v/>
      </c>
      <c r="F362" s="5" t="n"/>
    </row>
    <row r="363">
      <c r="A363" s="10">
        <f>IF($E363="","",INDEX('Input Transaksi'!$A:$A,$E363))</f>
        <v/>
      </c>
      <c r="B363" s="5">
        <f>IF($E363="","",INDEX('Input Transaksi'!$D:$D,$E363))</f>
        <v/>
      </c>
      <c r="C363">
        <f>IF($E363="","",INDEX('Input Transaksi'!$E:$E,$E363))</f>
        <v/>
      </c>
      <c r="D363" s="5">
        <f>IF($E363="","",INDEX('Input Transaksi'!$F:$F,$E363))</f>
        <v/>
      </c>
      <c r="E363">
        <f>IFERROR(AGGREGATE(15,6,ROW('Input Transaksi'!$B$5:$B$5000)/('Input Transaksi'!$B$5:$B$5000="CL SESETAN"),ROWS($E$5:E363)),"")</f>
        <v/>
      </c>
      <c r="F363" s="5" t="n"/>
    </row>
    <row r="364">
      <c r="A364" s="10">
        <f>IF($E364="","",INDEX('Input Transaksi'!$A:$A,$E364))</f>
        <v/>
      </c>
      <c r="B364" s="5">
        <f>IF($E364="","",INDEX('Input Transaksi'!$D:$D,$E364))</f>
        <v/>
      </c>
      <c r="C364">
        <f>IF($E364="","",INDEX('Input Transaksi'!$E:$E,$E364))</f>
        <v/>
      </c>
      <c r="D364" s="5">
        <f>IF($E364="","",INDEX('Input Transaksi'!$F:$F,$E364))</f>
        <v/>
      </c>
      <c r="E364">
        <f>IFERROR(AGGREGATE(15,6,ROW('Input Transaksi'!$B$5:$B$5000)/('Input Transaksi'!$B$5:$B$5000="CL SESETAN"),ROWS($E$5:E364)),"")</f>
        <v/>
      </c>
      <c r="F364" s="5" t="n"/>
    </row>
    <row r="365">
      <c r="A365" s="10">
        <f>IF($E365="","",INDEX('Input Transaksi'!$A:$A,$E365))</f>
        <v/>
      </c>
      <c r="B365" s="5">
        <f>IF($E365="","",INDEX('Input Transaksi'!$D:$D,$E365))</f>
        <v/>
      </c>
      <c r="C365">
        <f>IF($E365="","",INDEX('Input Transaksi'!$E:$E,$E365))</f>
        <v/>
      </c>
      <c r="D365" s="5">
        <f>IF($E365="","",INDEX('Input Transaksi'!$F:$F,$E365))</f>
        <v/>
      </c>
      <c r="E365">
        <f>IFERROR(AGGREGATE(15,6,ROW('Input Transaksi'!$B$5:$B$5000)/('Input Transaksi'!$B$5:$B$5000="CL SESETAN"),ROWS($E$5:E365)),"")</f>
        <v/>
      </c>
      <c r="F365" s="5" t="n"/>
    </row>
    <row r="366">
      <c r="A366" s="10">
        <f>IF($E366="","",INDEX('Input Transaksi'!$A:$A,$E366))</f>
        <v/>
      </c>
      <c r="B366" s="5">
        <f>IF($E366="","",INDEX('Input Transaksi'!$D:$D,$E366))</f>
        <v/>
      </c>
      <c r="C366">
        <f>IF($E366="","",INDEX('Input Transaksi'!$E:$E,$E366))</f>
        <v/>
      </c>
      <c r="D366" s="5">
        <f>IF($E366="","",INDEX('Input Transaksi'!$F:$F,$E366))</f>
        <v/>
      </c>
      <c r="E366">
        <f>IFERROR(AGGREGATE(15,6,ROW('Input Transaksi'!$B$5:$B$5000)/('Input Transaksi'!$B$5:$B$5000="CL SESETAN"),ROWS($E$5:E366)),"")</f>
        <v/>
      </c>
      <c r="F366" s="5" t="n"/>
    </row>
    <row r="367">
      <c r="A367" s="10">
        <f>IF($E367="","",INDEX('Input Transaksi'!$A:$A,$E367))</f>
        <v/>
      </c>
      <c r="B367" s="5">
        <f>IF($E367="","",INDEX('Input Transaksi'!$D:$D,$E367))</f>
        <v/>
      </c>
      <c r="C367">
        <f>IF($E367="","",INDEX('Input Transaksi'!$E:$E,$E367))</f>
        <v/>
      </c>
      <c r="D367" s="5">
        <f>IF($E367="","",INDEX('Input Transaksi'!$F:$F,$E367))</f>
        <v/>
      </c>
      <c r="E367">
        <f>IFERROR(AGGREGATE(15,6,ROW('Input Transaksi'!$B$5:$B$5000)/('Input Transaksi'!$B$5:$B$5000="CL SESETAN"),ROWS($E$5:E367)),"")</f>
        <v/>
      </c>
      <c r="F367" s="5" t="n"/>
    </row>
    <row r="368">
      <c r="A368" s="10">
        <f>IF($E368="","",INDEX('Input Transaksi'!$A:$A,$E368))</f>
        <v/>
      </c>
      <c r="B368" s="5">
        <f>IF($E368="","",INDEX('Input Transaksi'!$D:$D,$E368))</f>
        <v/>
      </c>
      <c r="C368">
        <f>IF($E368="","",INDEX('Input Transaksi'!$E:$E,$E368))</f>
        <v/>
      </c>
      <c r="D368" s="5">
        <f>IF($E368="","",INDEX('Input Transaksi'!$F:$F,$E368))</f>
        <v/>
      </c>
      <c r="E368">
        <f>IFERROR(AGGREGATE(15,6,ROW('Input Transaksi'!$B$5:$B$5000)/('Input Transaksi'!$B$5:$B$5000="CL SESETAN"),ROWS($E$5:E368)),"")</f>
        <v/>
      </c>
      <c r="F368" s="5" t="n"/>
    </row>
    <row r="369">
      <c r="A369" s="10">
        <f>IF($E369="","",INDEX('Input Transaksi'!$A:$A,$E369))</f>
        <v/>
      </c>
      <c r="B369" s="5">
        <f>IF($E369="","",INDEX('Input Transaksi'!$D:$D,$E369))</f>
        <v/>
      </c>
      <c r="C369">
        <f>IF($E369="","",INDEX('Input Transaksi'!$E:$E,$E369))</f>
        <v/>
      </c>
      <c r="D369" s="5">
        <f>IF($E369="","",INDEX('Input Transaksi'!$F:$F,$E369))</f>
        <v/>
      </c>
      <c r="E369">
        <f>IFERROR(AGGREGATE(15,6,ROW('Input Transaksi'!$B$5:$B$5000)/('Input Transaksi'!$B$5:$B$5000="CL SESETAN"),ROWS($E$5:E369)),"")</f>
        <v/>
      </c>
      <c r="F369" s="5" t="n"/>
    </row>
    <row r="370">
      <c r="A370" s="10">
        <f>IF($E370="","",INDEX('Input Transaksi'!$A:$A,$E370))</f>
        <v/>
      </c>
      <c r="B370" s="5">
        <f>IF($E370="","",INDEX('Input Transaksi'!$D:$D,$E370))</f>
        <v/>
      </c>
      <c r="C370">
        <f>IF($E370="","",INDEX('Input Transaksi'!$E:$E,$E370))</f>
        <v/>
      </c>
      <c r="D370" s="5">
        <f>IF($E370="","",INDEX('Input Transaksi'!$F:$F,$E370))</f>
        <v/>
      </c>
      <c r="E370">
        <f>IFERROR(AGGREGATE(15,6,ROW('Input Transaksi'!$B$5:$B$5000)/('Input Transaksi'!$B$5:$B$5000="CL SESETAN"),ROWS($E$5:E370)),"")</f>
        <v/>
      </c>
      <c r="F370" s="5" t="n"/>
    </row>
    <row r="371">
      <c r="A371" s="10">
        <f>IF($E371="","",INDEX('Input Transaksi'!$A:$A,$E371))</f>
        <v/>
      </c>
      <c r="B371" s="5">
        <f>IF($E371="","",INDEX('Input Transaksi'!$D:$D,$E371))</f>
        <v/>
      </c>
      <c r="C371">
        <f>IF($E371="","",INDEX('Input Transaksi'!$E:$E,$E371))</f>
        <v/>
      </c>
      <c r="D371" s="5">
        <f>IF($E371="","",INDEX('Input Transaksi'!$F:$F,$E371))</f>
        <v/>
      </c>
      <c r="E371">
        <f>IFERROR(AGGREGATE(15,6,ROW('Input Transaksi'!$B$5:$B$5000)/('Input Transaksi'!$B$5:$B$5000="CL SESETAN"),ROWS($E$5:E371)),"")</f>
        <v/>
      </c>
      <c r="F371" s="5" t="n"/>
    </row>
    <row r="372">
      <c r="A372" s="10">
        <f>IF($E372="","",INDEX('Input Transaksi'!$A:$A,$E372))</f>
        <v/>
      </c>
      <c r="B372" s="5">
        <f>IF($E372="","",INDEX('Input Transaksi'!$D:$D,$E372))</f>
        <v/>
      </c>
      <c r="C372">
        <f>IF($E372="","",INDEX('Input Transaksi'!$E:$E,$E372))</f>
        <v/>
      </c>
      <c r="D372" s="5">
        <f>IF($E372="","",INDEX('Input Transaksi'!$F:$F,$E372))</f>
        <v/>
      </c>
      <c r="E372">
        <f>IFERROR(AGGREGATE(15,6,ROW('Input Transaksi'!$B$5:$B$5000)/('Input Transaksi'!$B$5:$B$5000="CL SESETAN"),ROWS($E$5:E372)),"")</f>
        <v/>
      </c>
      <c r="F372" s="5" t="n"/>
    </row>
    <row r="373">
      <c r="A373" s="10">
        <f>IF($E373="","",INDEX('Input Transaksi'!$A:$A,$E373))</f>
        <v/>
      </c>
      <c r="B373" s="5">
        <f>IF($E373="","",INDEX('Input Transaksi'!$D:$D,$E373))</f>
        <v/>
      </c>
      <c r="C373">
        <f>IF($E373="","",INDEX('Input Transaksi'!$E:$E,$E373))</f>
        <v/>
      </c>
      <c r="D373" s="5">
        <f>IF($E373="","",INDEX('Input Transaksi'!$F:$F,$E373))</f>
        <v/>
      </c>
      <c r="E373">
        <f>IFERROR(AGGREGATE(15,6,ROW('Input Transaksi'!$B$5:$B$5000)/('Input Transaksi'!$B$5:$B$5000="CL SESETAN"),ROWS($E$5:E373)),"")</f>
        <v/>
      </c>
      <c r="F373" s="5" t="n"/>
    </row>
    <row r="374">
      <c r="A374" s="10">
        <f>IF($E374="","",INDEX('Input Transaksi'!$A:$A,$E374))</f>
        <v/>
      </c>
      <c r="B374" s="5">
        <f>IF($E374="","",INDEX('Input Transaksi'!$D:$D,$E374))</f>
        <v/>
      </c>
      <c r="C374">
        <f>IF($E374="","",INDEX('Input Transaksi'!$E:$E,$E374))</f>
        <v/>
      </c>
      <c r="D374" s="5">
        <f>IF($E374="","",INDEX('Input Transaksi'!$F:$F,$E374))</f>
        <v/>
      </c>
      <c r="E374">
        <f>IFERROR(AGGREGATE(15,6,ROW('Input Transaksi'!$B$5:$B$5000)/('Input Transaksi'!$B$5:$B$5000="CL SESETAN"),ROWS($E$5:E374)),"")</f>
        <v/>
      </c>
      <c r="F374" s="5" t="n"/>
    </row>
    <row r="375">
      <c r="A375" s="10">
        <f>IF($E375="","",INDEX('Input Transaksi'!$A:$A,$E375))</f>
        <v/>
      </c>
      <c r="B375" s="5">
        <f>IF($E375="","",INDEX('Input Transaksi'!$D:$D,$E375))</f>
        <v/>
      </c>
      <c r="C375">
        <f>IF($E375="","",INDEX('Input Transaksi'!$E:$E,$E375))</f>
        <v/>
      </c>
      <c r="D375" s="5">
        <f>IF($E375="","",INDEX('Input Transaksi'!$F:$F,$E375))</f>
        <v/>
      </c>
      <c r="E375">
        <f>IFERROR(AGGREGATE(15,6,ROW('Input Transaksi'!$B$5:$B$5000)/('Input Transaksi'!$B$5:$B$5000="CL SESETAN"),ROWS($E$5:E375)),"")</f>
        <v/>
      </c>
      <c r="F375" s="5" t="n"/>
    </row>
    <row r="376">
      <c r="A376" s="10">
        <f>IF($E376="","",INDEX('Input Transaksi'!$A:$A,$E376))</f>
        <v/>
      </c>
      <c r="B376" s="5">
        <f>IF($E376="","",INDEX('Input Transaksi'!$D:$D,$E376))</f>
        <v/>
      </c>
      <c r="C376">
        <f>IF($E376="","",INDEX('Input Transaksi'!$E:$E,$E376))</f>
        <v/>
      </c>
      <c r="D376" s="5">
        <f>IF($E376="","",INDEX('Input Transaksi'!$F:$F,$E376))</f>
        <v/>
      </c>
      <c r="E376">
        <f>IFERROR(AGGREGATE(15,6,ROW('Input Transaksi'!$B$5:$B$5000)/('Input Transaksi'!$B$5:$B$5000="CL SESETAN"),ROWS($E$5:E376)),"")</f>
        <v/>
      </c>
      <c r="F376" s="5" t="n"/>
    </row>
    <row r="377">
      <c r="A377" s="10">
        <f>IF($E377="","",INDEX('Input Transaksi'!$A:$A,$E377))</f>
        <v/>
      </c>
      <c r="B377" s="5">
        <f>IF($E377="","",INDEX('Input Transaksi'!$D:$D,$E377))</f>
        <v/>
      </c>
      <c r="C377">
        <f>IF($E377="","",INDEX('Input Transaksi'!$E:$E,$E377))</f>
        <v/>
      </c>
      <c r="D377" s="5">
        <f>IF($E377="","",INDEX('Input Transaksi'!$F:$F,$E377))</f>
        <v/>
      </c>
      <c r="E377">
        <f>IFERROR(AGGREGATE(15,6,ROW('Input Transaksi'!$B$5:$B$5000)/('Input Transaksi'!$B$5:$B$5000="CL SESETAN"),ROWS($E$5:E377)),"")</f>
        <v/>
      </c>
      <c r="F377" s="5" t="n"/>
    </row>
    <row r="378">
      <c r="A378" s="10">
        <f>IF($E378="","",INDEX('Input Transaksi'!$A:$A,$E378))</f>
        <v/>
      </c>
      <c r="B378" s="5">
        <f>IF($E378="","",INDEX('Input Transaksi'!$D:$D,$E378))</f>
        <v/>
      </c>
      <c r="C378">
        <f>IF($E378="","",INDEX('Input Transaksi'!$E:$E,$E378))</f>
        <v/>
      </c>
      <c r="D378" s="5">
        <f>IF($E378="","",INDEX('Input Transaksi'!$F:$F,$E378))</f>
        <v/>
      </c>
      <c r="E378">
        <f>IFERROR(AGGREGATE(15,6,ROW('Input Transaksi'!$B$5:$B$5000)/('Input Transaksi'!$B$5:$B$5000="CL SESETAN"),ROWS($E$5:E378)),"")</f>
        <v/>
      </c>
      <c r="F378" s="5" t="n"/>
    </row>
    <row r="379">
      <c r="A379" s="10">
        <f>IF($E379="","",INDEX('Input Transaksi'!$A:$A,$E379))</f>
        <v/>
      </c>
      <c r="B379" s="5">
        <f>IF($E379="","",INDEX('Input Transaksi'!$D:$D,$E379))</f>
        <v/>
      </c>
      <c r="C379">
        <f>IF($E379="","",INDEX('Input Transaksi'!$E:$E,$E379))</f>
        <v/>
      </c>
      <c r="D379" s="5">
        <f>IF($E379="","",INDEX('Input Transaksi'!$F:$F,$E379))</f>
        <v/>
      </c>
      <c r="E379">
        <f>IFERROR(AGGREGATE(15,6,ROW('Input Transaksi'!$B$5:$B$5000)/('Input Transaksi'!$B$5:$B$5000="CL SESETAN"),ROWS($E$5:E379)),"")</f>
        <v/>
      </c>
      <c r="F379" s="5" t="n"/>
    </row>
    <row r="380">
      <c r="A380" s="10">
        <f>IF($E380="","",INDEX('Input Transaksi'!$A:$A,$E380))</f>
        <v/>
      </c>
      <c r="B380" s="5">
        <f>IF($E380="","",INDEX('Input Transaksi'!$D:$D,$E380))</f>
        <v/>
      </c>
      <c r="C380">
        <f>IF($E380="","",INDEX('Input Transaksi'!$E:$E,$E380))</f>
        <v/>
      </c>
      <c r="D380" s="5">
        <f>IF($E380="","",INDEX('Input Transaksi'!$F:$F,$E380))</f>
        <v/>
      </c>
      <c r="E380">
        <f>IFERROR(AGGREGATE(15,6,ROW('Input Transaksi'!$B$5:$B$5000)/('Input Transaksi'!$B$5:$B$5000="CL SESETAN"),ROWS($E$5:E380)),"")</f>
        <v/>
      </c>
      <c r="F380" s="5" t="n"/>
    </row>
    <row r="381">
      <c r="A381" s="10">
        <f>IF($E381="","",INDEX('Input Transaksi'!$A:$A,$E381))</f>
        <v/>
      </c>
      <c r="B381" s="5">
        <f>IF($E381="","",INDEX('Input Transaksi'!$D:$D,$E381))</f>
        <v/>
      </c>
      <c r="C381">
        <f>IF($E381="","",INDEX('Input Transaksi'!$E:$E,$E381))</f>
        <v/>
      </c>
      <c r="D381" s="5">
        <f>IF($E381="","",INDEX('Input Transaksi'!$F:$F,$E381))</f>
        <v/>
      </c>
      <c r="E381">
        <f>IFERROR(AGGREGATE(15,6,ROW('Input Transaksi'!$B$5:$B$5000)/('Input Transaksi'!$B$5:$B$5000="CL SESETAN"),ROWS($E$5:E381)),"")</f>
        <v/>
      </c>
      <c r="F381" s="5" t="n"/>
    </row>
    <row r="382">
      <c r="A382" s="10">
        <f>IF($E382="","",INDEX('Input Transaksi'!$A:$A,$E382))</f>
        <v/>
      </c>
      <c r="B382" s="5">
        <f>IF($E382="","",INDEX('Input Transaksi'!$D:$D,$E382))</f>
        <v/>
      </c>
      <c r="C382">
        <f>IF($E382="","",INDEX('Input Transaksi'!$E:$E,$E382))</f>
        <v/>
      </c>
      <c r="D382" s="5">
        <f>IF($E382="","",INDEX('Input Transaksi'!$F:$F,$E382))</f>
        <v/>
      </c>
      <c r="E382">
        <f>IFERROR(AGGREGATE(15,6,ROW('Input Transaksi'!$B$5:$B$5000)/('Input Transaksi'!$B$5:$B$5000="CL SESETAN"),ROWS($E$5:E382)),"")</f>
        <v/>
      </c>
      <c r="F382" s="5" t="n"/>
    </row>
    <row r="383">
      <c r="A383" s="10">
        <f>IF($E383="","",INDEX('Input Transaksi'!$A:$A,$E383))</f>
        <v/>
      </c>
      <c r="B383" s="5">
        <f>IF($E383="","",INDEX('Input Transaksi'!$D:$D,$E383))</f>
        <v/>
      </c>
      <c r="C383">
        <f>IF($E383="","",INDEX('Input Transaksi'!$E:$E,$E383))</f>
        <v/>
      </c>
      <c r="D383" s="5">
        <f>IF($E383="","",INDEX('Input Transaksi'!$F:$F,$E383))</f>
        <v/>
      </c>
      <c r="E383">
        <f>IFERROR(AGGREGATE(15,6,ROW('Input Transaksi'!$B$5:$B$5000)/('Input Transaksi'!$B$5:$B$5000="CL SESETAN"),ROWS($E$5:E383)),"")</f>
        <v/>
      </c>
      <c r="F383" s="5" t="n"/>
    </row>
    <row r="384">
      <c r="A384" s="10">
        <f>IF($E384="","",INDEX('Input Transaksi'!$A:$A,$E384))</f>
        <v/>
      </c>
      <c r="B384" s="5">
        <f>IF($E384="","",INDEX('Input Transaksi'!$D:$D,$E384))</f>
        <v/>
      </c>
      <c r="C384">
        <f>IF($E384="","",INDEX('Input Transaksi'!$E:$E,$E384))</f>
        <v/>
      </c>
      <c r="D384" s="5">
        <f>IF($E384="","",INDEX('Input Transaksi'!$F:$F,$E384))</f>
        <v/>
      </c>
      <c r="E384">
        <f>IFERROR(AGGREGATE(15,6,ROW('Input Transaksi'!$B$5:$B$5000)/('Input Transaksi'!$B$5:$B$5000="CL SESETAN"),ROWS($E$5:E384)),"")</f>
        <v/>
      </c>
      <c r="F384" s="5" t="n"/>
    </row>
    <row r="385">
      <c r="A385" s="10">
        <f>IF($E385="","",INDEX('Input Transaksi'!$A:$A,$E385))</f>
        <v/>
      </c>
      <c r="B385" s="5">
        <f>IF($E385="","",INDEX('Input Transaksi'!$D:$D,$E385))</f>
        <v/>
      </c>
      <c r="C385">
        <f>IF($E385="","",INDEX('Input Transaksi'!$E:$E,$E385))</f>
        <v/>
      </c>
      <c r="D385" s="5">
        <f>IF($E385="","",INDEX('Input Transaksi'!$F:$F,$E385))</f>
        <v/>
      </c>
      <c r="E385">
        <f>IFERROR(AGGREGATE(15,6,ROW('Input Transaksi'!$B$5:$B$5000)/('Input Transaksi'!$B$5:$B$5000="CL SESETAN"),ROWS($E$5:E385)),"")</f>
        <v/>
      </c>
      <c r="F385" s="5" t="n"/>
    </row>
    <row r="386">
      <c r="A386" s="10">
        <f>IF($E386="","",INDEX('Input Transaksi'!$A:$A,$E386))</f>
        <v/>
      </c>
      <c r="B386" s="5">
        <f>IF($E386="","",INDEX('Input Transaksi'!$D:$D,$E386))</f>
        <v/>
      </c>
      <c r="C386">
        <f>IF($E386="","",INDEX('Input Transaksi'!$E:$E,$E386))</f>
        <v/>
      </c>
      <c r="D386" s="5">
        <f>IF($E386="","",INDEX('Input Transaksi'!$F:$F,$E386))</f>
        <v/>
      </c>
      <c r="E386">
        <f>IFERROR(AGGREGATE(15,6,ROW('Input Transaksi'!$B$5:$B$5000)/('Input Transaksi'!$B$5:$B$5000="CL SESETAN"),ROWS($E$5:E386)),"")</f>
        <v/>
      </c>
      <c r="F386" s="5" t="n"/>
    </row>
    <row r="387">
      <c r="A387" s="10">
        <f>IF($E387="","",INDEX('Input Transaksi'!$A:$A,$E387))</f>
        <v/>
      </c>
      <c r="B387" s="5">
        <f>IF($E387="","",INDEX('Input Transaksi'!$D:$D,$E387))</f>
        <v/>
      </c>
      <c r="C387">
        <f>IF($E387="","",INDEX('Input Transaksi'!$E:$E,$E387))</f>
        <v/>
      </c>
      <c r="D387" s="5">
        <f>IF($E387="","",INDEX('Input Transaksi'!$F:$F,$E387))</f>
        <v/>
      </c>
      <c r="E387">
        <f>IFERROR(AGGREGATE(15,6,ROW('Input Transaksi'!$B$5:$B$5000)/('Input Transaksi'!$B$5:$B$5000="CL SESETAN"),ROWS($E$5:E387)),"")</f>
        <v/>
      </c>
      <c r="F387" s="5" t="n"/>
    </row>
    <row r="388">
      <c r="A388" s="10">
        <f>IF($E388="","",INDEX('Input Transaksi'!$A:$A,$E388))</f>
        <v/>
      </c>
      <c r="B388" s="5">
        <f>IF($E388="","",INDEX('Input Transaksi'!$D:$D,$E388))</f>
        <v/>
      </c>
      <c r="C388">
        <f>IF($E388="","",INDEX('Input Transaksi'!$E:$E,$E388))</f>
        <v/>
      </c>
      <c r="D388" s="5">
        <f>IF($E388="","",INDEX('Input Transaksi'!$F:$F,$E388))</f>
        <v/>
      </c>
      <c r="E388">
        <f>IFERROR(AGGREGATE(15,6,ROW('Input Transaksi'!$B$5:$B$5000)/('Input Transaksi'!$B$5:$B$5000="CL SESETAN"),ROWS($E$5:E388)),"")</f>
        <v/>
      </c>
      <c r="F388" s="5" t="n"/>
    </row>
    <row r="389">
      <c r="A389" s="10">
        <f>IF($E389="","",INDEX('Input Transaksi'!$A:$A,$E389))</f>
        <v/>
      </c>
      <c r="B389" s="5">
        <f>IF($E389="","",INDEX('Input Transaksi'!$D:$D,$E389))</f>
        <v/>
      </c>
      <c r="C389">
        <f>IF($E389="","",INDEX('Input Transaksi'!$E:$E,$E389))</f>
        <v/>
      </c>
      <c r="D389" s="5">
        <f>IF($E389="","",INDEX('Input Transaksi'!$F:$F,$E389))</f>
        <v/>
      </c>
      <c r="E389">
        <f>IFERROR(AGGREGATE(15,6,ROW('Input Transaksi'!$B$5:$B$5000)/('Input Transaksi'!$B$5:$B$5000="CL SESETAN"),ROWS($E$5:E389)),"")</f>
        <v/>
      </c>
      <c r="F389" s="5" t="n"/>
    </row>
    <row r="390">
      <c r="A390" s="10">
        <f>IF($E390="","",INDEX('Input Transaksi'!$A:$A,$E390))</f>
        <v/>
      </c>
      <c r="B390" s="5">
        <f>IF($E390="","",INDEX('Input Transaksi'!$D:$D,$E390))</f>
        <v/>
      </c>
      <c r="C390">
        <f>IF($E390="","",INDEX('Input Transaksi'!$E:$E,$E390))</f>
        <v/>
      </c>
      <c r="D390" s="5">
        <f>IF($E390="","",INDEX('Input Transaksi'!$F:$F,$E390))</f>
        <v/>
      </c>
      <c r="E390">
        <f>IFERROR(AGGREGATE(15,6,ROW('Input Transaksi'!$B$5:$B$5000)/('Input Transaksi'!$B$5:$B$5000="CL SESETAN"),ROWS($E$5:E390)),"")</f>
        <v/>
      </c>
      <c r="F390" s="5" t="n"/>
    </row>
    <row r="391">
      <c r="A391" s="10">
        <f>IF($E391="","",INDEX('Input Transaksi'!$A:$A,$E391))</f>
        <v/>
      </c>
      <c r="B391" s="5">
        <f>IF($E391="","",INDEX('Input Transaksi'!$D:$D,$E391))</f>
        <v/>
      </c>
      <c r="C391">
        <f>IF($E391="","",INDEX('Input Transaksi'!$E:$E,$E391))</f>
        <v/>
      </c>
      <c r="D391" s="5">
        <f>IF($E391="","",INDEX('Input Transaksi'!$F:$F,$E391))</f>
        <v/>
      </c>
      <c r="E391">
        <f>IFERROR(AGGREGATE(15,6,ROW('Input Transaksi'!$B$5:$B$5000)/('Input Transaksi'!$B$5:$B$5000="CL SESETAN"),ROWS($E$5:E391)),"")</f>
        <v/>
      </c>
      <c r="F391" s="5" t="n"/>
    </row>
    <row r="392">
      <c r="A392" s="10">
        <f>IF($E392="","",INDEX('Input Transaksi'!$A:$A,$E392))</f>
        <v/>
      </c>
      <c r="B392" s="5">
        <f>IF($E392="","",INDEX('Input Transaksi'!$D:$D,$E392))</f>
        <v/>
      </c>
      <c r="C392">
        <f>IF($E392="","",INDEX('Input Transaksi'!$E:$E,$E392))</f>
        <v/>
      </c>
      <c r="D392" s="5">
        <f>IF($E392="","",INDEX('Input Transaksi'!$F:$F,$E392))</f>
        <v/>
      </c>
      <c r="E392">
        <f>IFERROR(AGGREGATE(15,6,ROW('Input Transaksi'!$B$5:$B$5000)/('Input Transaksi'!$B$5:$B$5000="CL SESETAN"),ROWS($E$5:E392)),"")</f>
        <v/>
      </c>
      <c r="F392" s="5" t="n"/>
    </row>
    <row r="393">
      <c r="A393" s="10">
        <f>IF($E393="","",INDEX('Input Transaksi'!$A:$A,$E393))</f>
        <v/>
      </c>
      <c r="B393" s="5">
        <f>IF($E393="","",INDEX('Input Transaksi'!$D:$D,$E393))</f>
        <v/>
      </c>
      <c r="C393">
        <f>IF($E393="","",INDEX('Input Transaksi'!$E:$E,$E393))</f>
        <v/>
      </c>
      <c r="D393" s="5">
        <f>IF($E393="","",INDEX('Input Transaksi'!$F:$F,$E393))</f>
        <v/>
      </c>
      <c r="E393">
        <f>IFERROR(AGGREGATE(15,6,ROW('Input Transaksi'!$B$5:$B$5000)/('Input Transaksi'!$B$5:$B$5000="CL SESETAN"),ROWS($E$5:E393)),"")</f>
        <v/>
      </c>
      <c r="F393" s="5" t="n"/>
    </row>
    <row r="394">
      <c r="A394" s="10">
        <f>IF($E394="","",INDEX('Input Transaksi'!$A:$A,$E394))</f>
        <v/>
      </c>
      <c r="B394" s="5">
        <f>IF($E394="","",INDEX('Input Transaksi'!$D:$D,$E394))</f>
        <v/>
      </c>
      <c r="C394">
        <f>IF($E394="","",INDEX('Input Transaksi'!$E:$E,$E394))</f>
        <v/>
      </c>
      <c r="D394" s="5">
        <f>IF($E394="","",INDEX('Input Transaksi'!$F:$F,$E394))</f>
        <v/>
      </c>
      <c r="E394">
        <f>IFERROR(AGGREGATE(15,6,ROW('Input Transaksi'!$B$5:$B$5000)/('Input Transaksi'!$B$5:$B$5000="CL SESETAN"),ROWS($E$5:E394)),"")</f>
        <v/>
      </c>
      <c r="F394" s="5" t="n"/>
    </row>
    <row r="395">
      <c r="A395" s="10">
        <f>IF($E395="","",INDEX('Input Transaksi'!$A:$A,$E395))</f>
        <v/>
      </c>
      <c r="B395" s="5">
        <f>IF($E395="","",INDEX('Input Transaksi'!$D:$D,$E395))</f>
        <v/>
      </c>
      <c r="C395">
        <f>IF($E395="","",INDEX('Input Transaksi'!$E:$E,$E395))</f>
        <v/>
      </c>
      <c r="D395" s="5">
        <f>IF($E395="","",INDEX('Input Transaksi'!$F:$F,$E395))</f>
        <v/>
      </c>
      <c r="E395">
        <f>IFERROR(AGGREGATE(15,6,ROW('Input Transaksi'!$B$5:$B$5000)/('Input Transaksi'!$B$5:$B$5000="CL SESETAN"),ROWS($E$5:E395)),"")</f>
        <v/>
      </c>
      <c r="F395" s="5" t="n"/>
    </row>
    <row r="396">
      <c r="A396" s="10">
        <f>IF($E396="","",INDEX('Input Transaksi'!$A:$A,$E396))</f>
        <v/>
      </c>
      <c r="B396" s="5">
        <f>IF($E396="","",INDEX('Input Transaksi'!$D:$D,$E396))</f>
        <v/>
      </c>
      <c r="C396">
        <f>IF($E396="","",INDEX('Input Transaksi'!$E:$E,$E396))</f>
        <v/>
      </c>
      <c r="D396" s="5">
        <f>IF($E396="","",INDEX('Input Transaksi'!$F:$F,$E396))</f>
        <v/>
      </c>
      <c r="E396">
        <f>IFERROR(AGGREGATE(15,6,ROW('Input Transaksi'!$B$5:$B$5000)/('Input Transaksi'!$B$5:$B$5000="CL SESETAN"),ROWS($E$5:E396)),"")</f>
        <v/>
      </c>
      <c r="F396" s="5" t="n"/>
    </row>
    <row r="397">
      <c r="A397" s="10">
        <f>IF($E397="","",INDEX('Input Transaksi'!$A:$A,$E397))</f>
        <v/>
      </c>
      <c r="B397" s="5">
        <f>IF($E397="","",INDEX('Input Transaksi'!$D:$D,$E397))</f>
        <v/>
      </c>
      <c r="C397">
        <f>IF($E397="","",INDEX('Input Transaksi'!$E:$E,$E397))</f>
        <v/>
      </c>
      <c r="D397" s="5">
        <f>IF($E397="","",INDEX('Input Transaksi'!$F:$F,$E397))</f>
        <v/>
      </c>
      <c r="E397">
        <f>IFERROR(AGGREGATE(15,6,ROW('Input Transaksi'!$B$5:$B$5000)/('Input Transaksi'!$B$5:$B$5000="CL SESETAN"),ROWS($E$5:E397)),"")</f>
        <v/>
      </c>
      <c r="F397" s="5" t="n"/>
    </row>
    <row r="398">
      <c r="A398" s="10">
        <f>IF($E398="","",INDEX('Input Transaksi'!$A:$A,$E398))</f>
        <v/>
      </c>
      <c r="B398" s="5">
        <f>IF($E398="","",INDEX('Input Transaksi'!$D:$D,$E398))</f>
        <v/>
      </c>
      <c r="C398">
        <f>IF($E398="","",INDEX('Input Transaksi'!$E:$E,$E398))</f>
        <v/>
      </c>
      <c r="D398" s="5">
        <f>IF($E398="","",INDEX('Input Transaksi'!$F:$F,$E398))</f>
        <v/>
      </c>
      <c r="E398">
        <f>IFERROR(AGGREGATE(15,6,ROW('Input Transaksi'!$B$5:$B$5000)/('Input Transaksi'!$B$5:$B$5000="CL SESETAN"),ROWS($E$5:E398)),"")</f>
        <v/>
      </c>
      <c r="F398" s="5" t="n"/>
    </row>
    <row r="399">
      <c r="A399" s="10">
        <f>IF($E399="","",INDEX('Input Transaksi'!$A:$A,$E399))</f>
        <v/>
      </c>
      <c r="B399" s="5">
        <f>IF($E399="","",INDEX('Input Transaksi'!$D:$D,$E399))</f>
        <v/>
      </c>
      <c r="C399">
        <f>IF($E399="","",INDEX('Input Transaksi'!$E:$E,$E399))</f>
        <v/>
      </c>
      <c r="D399" s="5">
        <f>IF($E399="","",INDEX('Input Transaksi'!$F:$F,$E399))</f>
        <v/>
      </c>
      <c r="E399">
        <f>IFERROR(AGGREGATE(15,6,ROW('Input Transaksi'!$B$5:$B$5000)/('Input Transaksi'!$B$5:$B$5000="CL SESETAN"),ROWS($E$5:E399)),"")</f>
        <v/>
      </c>
      <c r="F399" s="5" t="n"/>
    </row>
    <row r="400">
      <c r="A400" s="10">
        <f>IF($E400="","",INDEX('Input Transaksi'!$A:$A,$E400))</f>
        <v/>
      </c>
      <c r="B400" s="5">
        <f>IF($E400="","",INDEX('Input Transaksi'!$D:$D,$E400))</f>
        <v/>
      </c>
      <c r="C400">
        <f>IF($E400="","",INDEX('Input Transaksi'!$E:$E,$E400))</f>
        <v/>
      </c>
      <c r="D400" s="5">
        <f>IF($E400="","",INDEX('Input Transaksi'!$F:$F,$E400))</f>
        <v/>
      </c>
      <c r="E400">
        <f>IFERROR(AGGREGATE(15,6,ROW('Input Transaksi'!$B$5:$B$5000)/('Input Transaksi'!$B$5:$B$5000="CL SESETAN"),ROWS($E$5:E400)),"")</f>
        <v/>
      </c>
      <c r="F400" s="5" t="n"/>
    </row>
    <row r="401">
      <c r="A401" s="10">
        <f>IF($E401="","",INDEX('Input Transaksi'!$A:$A,$E401))</f>
        <v/>
      </c>
      <c r="B401" s="5">
        <f>IF($E401="","",INDEX('Input Transaksi'!$D:$D,$E401))</f>
        <v/>
      </c>
      <c r="C401">
        <f>IF($E401="","",INDEX('Input Transaksi'!$E:$E,$E401))</f>
        <v/>
      </c>
      <c r="D401" s="5">
        <f>IF($E401="","",INDEX('Input Transaksi'!$F:$F,$E401))</f>
        <v/>
      </c>
      <c r="E401">
        <f>IFERROR(AGGREGATE(15,6,ROW('Input Transaksi'!$B$5:$B$5000)/('Input Transaksi'!$B$5:$B$5000="CL SESETAN"),ROWS($E$5:E401)),"")</f>
        <v/>
      </c>
      <c r="F401" s="5" t="n"/>
    </row>
    <row r="402">
      <c r="A402" s="10">
        <f>IF($E402="","",INDEX('Input Transaksi'!$A:$A,$E402))</f>
        <v/>
      </c>
      <c r="B402" s="5">
        <f>IF($E402="","",INDEX('Input Transaksi'!$D:$D,$E402))</f>
        <v/>
      </c>
      <c r="C402">
        <f>IF($E402="","",INDEX('Input Transaksi'!$E:$E,$E402))</f>
        <v/>
      </c>
      <c r="D402" s="5">
        <f>IF($E402="","",INDEX('Input Transaksi'!$F:$F,$E402))</f>
        <v/>
      </c>
      <c r="E402">
        <f>IFERROR(AGGREGATE(15,6,ROW('Input Transaksi'!$B$5:$B$5000)/('Input Transaksi'!$B$5:$B$5000="CL SESETAN"),ROWS($E$5:E402)),"")</f>
        <v/>
      </c>
      <c r="F402" s="5" t="n"/>
    </row>
    <row r="403">
      <c r="A403" s="10">
        <f>IF($E403="","",INDEX('Input Transaksi'!$A:$A,$E403))</f>
        <v/>
      </c>
      <c r="B403" s="5">
        <f>IF($E403="","",INDEX('Input Transaksi'!$D:$D,$E403))</f>
        <v/>
      </c>
      <c r="C403">
        <f>IF($E403="","",INDEX('Input Transaksi'!$E:$E,$E403))</f>
        <v/>
      </c>
      <c r="D403" s="5">
        <f>IF($E403="","",INDEX('Input Transaksi'!$F:$F,$E403))</f>
        <v/>
      </c>
      <c r="E403">
        <f>IFERROR(AGGREGATE(15,6,ROW('Input Transaksi'!$B$5:$B$5000)/('Input Transaksi'!$B$5:$B$5000="CL SESETAN"),ROWS($E$5:E403)),"")</f>
        <v/>
      </c>
      <c r="F403" s="5" t="n"/>
    </row>
    <row r="404">
      <c r="A404" s="10">
        <f>IF($E404="","",INDEX('Input Transaksi'!$A:$A,$E404))</f>
        <v/>
      </c>
      <c r="B404" s="5">
        <f>IF($E404="","",INDEX('Input Transaksi'!$D:$D,$E404))</f>
        <v/>
      </c>
      <c r="C404">
        <f>IF($E404="","",INDEX('Input Transaksi'!$E:$E,$E404))</f>
        <v/>
      </c>
      <c r="D404" s="5">
        <f>IF($E404="","",INDEX('Input Transaksi'!$F:$F,$E404))</f>
        <v/>
      </c>
      <c r="E404">
        <f>IFERROR(AGGREGATE(15,6,ROW('Input Transaksi'!$B$5:$B$5000)/('Input Transaksi'!$B$5:$B$5000="CL SESETAN"),ROWS($E$5:E404)),"")</f>
        <v/>
      </c>
      <c r="F404" s="5" t="n"/>
    </row>
    <row r="405">
      <c r="A405" s="10">
        <f>IF($E405="","",INDEX('Input Transaksi'!$A:$A,$E405))</f>
        <v/>
      </c>
      <c r="B405" s="5">
        <f>IF($E405="","",INDEX('Input Transaksi'!$D:$D,$E405))</f>
        <v/>
      </c>
      <c r="C405">
        <f>IF($E405="","",INDEX('Input Transaksi'!$E:$E,$E405))</f>
        <v/>
      </c>
      <c r="D405" s="5">
        <f>IF($E405="","",INDEX('Input Transaksi'!$F:$F,$E405))</f>
        <v/>
      </c>
      <c r="E405">
        <f>IFERROR(AGGREGATE(15,6,ROW('Input Transaksi'!$B$5:$B$5000)/('Input Transaksi'!$B$5:$B$5000="CL SESETAN"),ROWS($E$5:E405)),"")</f>
        <v/>
      </c>
      <c r="F405" s="5" t="n"/>
    </row>
    <row r="406">
      <c r="A406" s="10">
        <f>IF($E406="","",INDEX('Input Transaksi'!$A:$A,$E406))</f>
        <v/>
      </c>
      <c r="B406" s="5">
        <f>IF($E406="","",INDEX('Input Transaksi'!$D:$D,$E406))</f>
        <v/>
      </c>
      <c r="C406">
        <f>IF($E406="","",INDEX('Input Transaksi'!$E:$E,$E406))</f>
        <v/>
      </c>
      <c r="D406" s="5">
        <f>IF($E406="","",INDEX('Input Transaksi'!$F:$F,$E406))</f>
        <v/>
      </c>
      <c r="E406">
        <f>IFERROR(AGGREGATE(15,6,ROW('Input Transaksi'!$B$5:$B$5000)/('Input Transaksi'!$B$5:$B$5000="CL SESETAN"),ROWS($E$5:E406)),"")</f>
        <v/>
      </c>
      <c r="F406" s="5" t="n"/>
    </row>
    <row r="407">
      <c r="A407" s="10">
        <f>IF($E407="","",INDEX('Input Transaksi'!$A:$A,$E407))</f>
        <v/>
      </c>
      <c r="B407" s="5">
        <f>IF($E407="","",INDEX('Input Transaksi'!$D:$D,$E407))</f>
        <v/>
      </c>
      <c r="C407">
        <f>IF($E407="","",INDEX('Input Transaksi'!$E:$E,$E407))</f>
        <v/>
      </c>
      <c r="D407" s="5">
        <f>IF($E407="","",INDEX('Input Transaksi'!$F:$F,$E407))</f>
        <v/>
      </c>
      <c r="E407">
        <f>IFERROR(AGGREGATE(15,6,ROW('Input Transaksi'!$B$5:$B$5000)/('Input Transaksi'!$B$5:$B$5000="CL SESETAN"),ROWS($E$5:E407)),"")</f>
        <v/>
      </c>
      <c r="F407" s="5" t="n"/>
    </row>
    <row r="408">
      <c r="A408" s="10">
        <f>IF($E408="","",INDEX('Input Transaksi'!$A:$A,$E408))</f>
        <v/>
      </c>
      <c r="B408" s="5">
        <f>IF($E408="","",INDEX('Input Transaksi'!$D:$D,$E408))</f>
        <v/>
      </c>
      <c r="C408">
        <f>IF($E408="","",INDEX('Input Transaksi'!$E:$E,$E408))</f>
        <v/>
      </c>
      <c r="D408" s="5">
        <f>IF($E408="","",INDEX('Input Transaksi'!$F:$F,$E408))</f>
        <v/>
      </c>
      <c r="E408">
        <f>IFERROR(AGGREGATE(15,6,ROW('Input Transaksi'!$B$5:$B$5000)/('Input Transaksi'!$B$5:$B$5000="CL SESETAN"),ROWS($E$5:E408)),"")</f>
        <v/>
      </c>
      <c r="F408" s="5" t="n"/>
    </row>
    <row r="409">
      <c r="A409" s="10">
        <f>IF($E409="","",INDEX('Input Transaksi'!$A:$A,$E409))</f>
        <v/>
      </c>
      <c r="B409" s="5">
        <f>IF($E409="","",INDEX('Input Transaksi'!$D:$D,$E409))</f>
        <v/>
      </c>
      <c r="C409">
        <f>IF($E409="","",INDEX('Input Transaksi'!$E:$E,$E409))</f>
        <v/>
      </c>
      <c r="D409" s="5">
        <f>IF($E409="","",INDEX('Input Transaksi'!$F:$F,$E409))</f>
        <v/>
      </c>
      <c r="E409">
        <f>IFERROR(AGGREGATE(15,6,ROW('Input Transaksi'!$B$5:$B$5000)/('Input Transaksi'!$B$5:$B$5000="CL SESETAN"),ROWS($E$5:E409)),"")</f>
        <v/>
      </c>
      <c r="F409" s="5" t="n"/>
    </row>
    <row r="410">
      <c r="A410" s="10">
        <f>IF($E410="","",INDEX('Input Transaksi'!$A:$A,$E410))</f>
        <v/>
      </c>
      <c r="B410" s="5">
        <f>IF($E410="","",INDEX('Input Transaksi'!$D:$D,$E410))</f>
        <v/>
      </c>
      <c r="C410">
        <f>IF($E410="","",INDEX('Input Transaksi'!$E:$E,$E410))</f>
        <v/>
      </c>
      <c r="D410" s="5">
        <f>IF($E410="","",INDEX('Input Transaksi'!$F:$F,$E410))</f>
        <v/>
      </c>
      <c r="E410">
        <f>IFERROR(AGGREGATE(15,6,ROW('Input Transaksi'!$B$5:$B$5000)/('Input Transaksi'!$B$5:$B$5000="CL SESETAN"),ROWS($E$5:E410)),"")</f>
        <v/>
      </c>
      <c r="F410" s="5" t="n"/>
    </row>
    <row r="411">
      <c r="A411" s="10">
        <f>IF($E411="","",INDEX('Input Transaksi'!$A:$A,$E411))</f>
        <v/>
      </c>
      <c r="B411" s="5">
        <f>IF($E411="","",INDEX('Input Transaksi'!$D:$D,$E411))</f>
        <v/>
      </c>
      <c r="C411">
        <f>IF($E411="","",INDEX('Input Transaksi'!$E:$E,$E411))</f>
        <v/>
      </c>
      <c r="D411" s="5">
        <f>IF($E411="","",INDEX('Input Transaksi'!$F:$F,$E411))</f>
        <v/>
      </c>
      <c r="E411">
        <f>IFERROR(AGGREGATE(15,6,ROW('Input Transaksi'!$B$5:$B$5000)/('Input Transaksi'!$B$5:$B$5000="CL SESETAN"),ROWS($E$5:E411)),"")</f>
        <v/>
      </c>
      <c r="F411" s="5" t="n"/>
    </row>
    <row r="412">
      <c r="A412" s="10">
        <f>IF($E412="","",INDEX('Input Transaksi'!$A:$A,$E412))</f>
        <v/>
      </c>
      <c r="B412" s="5">
        <f>IF($E412="","",INDEX('Input Transaksi'!$D:$D,$E412))</f>
        <v/>
      </c>
      <c r="C412">
        <f>IF($E412="","",INDEX('Input Transaksi'!$E:$E,$E412))</f>
        <v/>
      </c>
      <c r="D412" s="5">
        <f>IF($E412="","",INDEX('Input Transaksi'!$F:$F,$E412))</f>
        <v/>
      </c>
      <c r="E412">
        <f>IFERROR(AGGREGATE(15,6,ROW('Input Transaksi'!$B$5:$B$5000)/('Input Transaksi'!$B$5:$B$5000="CL SESETAN"),ROWS($E$5:E412)),"")</f>
        <v/>
      </c>
      <c r="F412" s="5" t="n"/>
    </row>
    <row r="413">
      <c r="A413" s="10">
        <f>IF($E413="","",INDEX('Input Transaksi'!$A:$A,$E413))</f>
        <v/>
      </c>
      <c r="B413" s="5">
        <f>IF($E413="","",INDEX('Input Transaksi'!$D:$D,$E413))</f>
        <v/>
      </c>
      <c r="C413">
        <f>IF($E413="","",INDEX('Input Transaksi'!$E:$E,$E413))</f>
        <v/>
      </c>
      <c r="D413" s="5">
        <f>IF($E413="","",INDEX('Input Transaksi'!$F:$F,$E413))</f>
        <v/>
      </c>
      <c r="E413">
        <f>IFERROR(AGGREGATE(15,6,ROW('Input Transaksi'!$B$5:$B$5000)/('Input Transaksi'!$B$5:$B$5000="CL SESETAN"),ROWS($E$5:E413)),"")</f>
        <v/>
      </c>
      <c r="F413" s="5" t="n"/>
    </row>
    <row r="414">
      <c r="A414" s="10">
        <f>IF($E414="","",INDEX('Input Transaksi'!$A:$A,$E414))</f>
        <v/>
      </c>
      <c r="B414" s="5">
        <f>IF($E414="","",INDEX('Input Transaksi'!$D:$D,$E414))</f>
        <v/>
      </c>
      <c r="C414">
        <f>IF($E414="","",INDEX('Input Transaksi'!$E:$E,$E414))</f>
        <v/>
      </c>
      <c r="D414" s="5">
        <f>IF($E414="","",INDEX('Input Transaksi'!$F:$F,$E414))</f>
        <v/>
      </c>
      <c r="E414">
        <f>IFERROR(AGGREGATE(15,6,ROW('Input Transaksi'!$B$5:$B$5000)/('Input Transaksi'!$B$5:$B$5000="CL SESETAN"),ROWS($E$5:E414)),"")</f>
        <v/>
      </c>
      <c r="F414" s="5" t="n"/>
    </row>
    <row r="415">
      <c r="A415" s="10">
        <f>IF($E415="","",INDEX('Input Transaksi'!$A:$A,$E415))</f>
        <v/>
      </c>
      <c r="B415" s="5">
        <f>IF($E415="","",INDEX('Input Transaksi'!$D:$D,$E415))</f>
        <v/>
      </c>
      <c r="C415">
        <f>IF($E415="","",INDEX('Input Transaksi'!$E:$E,$E415))</f>
        <v/>
      </c>
      <c r="D415" s="5">
        <f>IF($E415="","",INDEX('Input Transaksi'!$F:$F,$E415))</f>
        <v/>
      </c>
      <c r="E415">
        <f>IFERROR(AGGREGATE(15,6,ROW('Input Transaksi'!$B$5:$B$5000)/('Input Transaksi'!$B$5:$B$5000="CL SESETAN"),ROWS($E$5:E415)),"")</f>
        <v/>
      </c>
      <c r="F415" s="5" t="n"/>
    </row>
    <row r="416">
      <c r="A416" s="10">
        <f>IF($E416="","",INDEX('Input Transaksi'!$A:$A,$E416))</f>
        <v/>
      </c>
      <c r="B416" s="5">
        <f>IF($E416="","",INDEX('Input Transaksi'!$D:$D,$E416))</f>
        <v/>
      </c>
      <c r="C416">
        <f>IF($E416="","",INDEX('Input Transaksi'!$E:$E,$E416))</f>
        <v/>
      </c>
      <c r="D416" s="5">
        <f>IF($E416="","",INDEX('Input Transaksi'!$F:$F,$E416))</f>
        <v/>
      </c>
      <c r="E416">
        <f>IFERROR(AGGREGATE(15,6,ROW('Input Transaksi'!$B$5:$B$5000)/('Input Transaksi'!$B$5:$B$5000="CL SESETAN"),ROWS($E$5:E416)),"")</f>
        <v/>
      </c>
      <c r="F416" s="5" t="n"/>
    </row>
    <row r="417">
      <c r="A417" s="10">
        <f>IF($E417="","",INDEX('Input Transaksi'!$A:$A,$E417))</f>
        <v/>
      </c>
      <c r="B417" s="5">
        <f>IF($E417="","",INDEX('Input Transaksi'!$D:$D,$E417))</f>
        <v/>
      </c>
      <c r="C417">
        <f>IF($E417="","",INDEX('Input Transaksi'!$E:$E,$E417))</f>
        <v/>
      </c>
      <c r="D417" s="5">
        <f>IF($E417="","",INDEX('Input Transaksi'!$F:$F,$E417))</f>
        <v/>
      </c>
      <c r="E417">
        <f>IFERROR(AGGREGATE(15,6,ROW('Input Transaksi'!$B$5:$B$5000)/('Input Transaksi'!$B$5:$B$5000="CL SESETAN"),ROWS($E$5:E417)),"")</f>
        <v/>
      </c>
      <c r="F417" s="5" t="n"/>
    </row>
    <row r="418">
      <c r="A418" s="10">
        <f>IF($E418="","",INDEX('Input Transaksi'!$A:$A,$E418))</f>
        <v/>
      </c>
      <c r="B418" s="5">
        <f>IF($E418="","",INDEX('Input Transaksi'!$D:$D,$E418))</f>
        <v/>
      </c>
      <c r="C418">
        <f>IF($E418="","",INDEX('Input Transaksi'!$E:$E,$E418))</f>
        <v/>
      </c>
      <c r="D418" s="5">
        <f>IF($E418="","",INDEX('Input Transaksi'!$F:$F,$E418))</f>
        <v/>
      </c>
      <c r="E418">
        <f>IFERROR(AGGREGATE(15,6,ROW('Input Transaksi'!$B$5:$B$5000)/('Input Transaksi'!$B$5:$B$5000="CL SESETAN"),ROWS($E$5:E418)),"")</f>
        <v/>
      </c>
      <c r="F418" s="5" t="n"/>
    </row>
    <row r="419">
      <c r="A419" s="10">
        <f>IF($E419="","",INDEX('Input Transaksi'!$A:$A,$E419))</f>
        <v/>
      </c>
      <c r="B419" s="5">
        <f>IF($E419="","",INDEX('Input Transaksi'!$D:$D,$E419))</f>
        <v/>
      </c>
      <c r="C419">
        <f>IF($E419="","",INDEX('Input Transaksi'!$E:$E,$E419))</f>
        <v/>
      </c>
      <c r="D419" s="5">
        <f>IF($E419="","",INDEX('Input Transaksi'!$F:$F,$E419))</f>
        <v/>
      </c>
      <c r="E419">
        <f>IFERROR(AGGREGATE(15,6,ROW('Input Transaksi'!$B$5:$B$5000)/('Input Transaksi'!$B$5:$B$5000="CL SESETAN"),ROWS($E$5:E419)),"")</f>
        <v/>
      </c>
      <c r="F419" s="5" t="n"/>
    </row>
    <row r="420">
      <c r="A420" s="10">
        <f>IF($E420="","",INDEX('Input Transaksi'!$A:$A,$E420))</f>
        <v/>
      </c>
      <c r="B420" s="5">
        <f>IF($E420="","",INDEX('Input Transaksi'!$D:$D,$E420))</f>
        <v/>
      </c>
      <c r="C420">
        <f>IF($E420="","",INDEX('Input Transaksi'!$E:$E,$E420))</f>
        <v/>
      </c>
      <c r="D420" s="5">
        <f>IF($E420="","",INDEX('Input Transaksi'!$F:$F,$E420))</f>
        <v/>
      </c>
      <c r="E420">
        <f>IFERROR(AGGREGATE(15,6,ROW('Input Transaksi'!$B$5:$B$5000)/('Input Transaksi'!$B$5:$B$5000="CL SESETAN"),ROWS($E$5:E420)),"")</f>
        <v/>
      </c>
      <c r="F420" s="5" t="n"/>
    </row>
    <row r="421">
      <c r="A421" s="10">
        <f>IF($E421="","",INDEX('Input Transaksi'!$A:$A,$E421))</f>
        <v/>
      </c>
      <c r="B421" s="5">
        <f>IF($E421="","",INDEX('Input Transaksi'!$D:$D,$E421))</f>
        <v/>
      </c>
      <c r="C421">
        <f>IF($E421="","",INDEX('Input Transaksi'!$E:$E,$E421))</f>
        <v/>
      </c>
      <c r="D421" s="5">
        <f>IF($E421="","",INDEX('Input Transaksi'!$F:$F,$E421))</f>
        <v/>
      </c>
      <c r="E421">
        <f>IFERROR(AGGREGATE(15,6,ROW('Input Transaksi'!$B$5:$B$5000)/('Input Transaksi'!$B$5:$B$5000="CL SESETAN"),ROWS($E$5:E421)),"")</f>
        <v/>
      </c>
      <c r="F421" s="5" t="n"/>
    </row>
    <row r="422">
      <c r="A422" s="10">
        <f>IF($E422="","",INDEX('Input Transaksi'!$A:$A,$E422))</f>
        <v/>
      </c>
      <c r="B422" s="5">
        <f>IF($E422="","",INDEX('Input Transaksi'!$D:$D,$E422))</f>
        <v/>
      </c>
      <c r="C422">
        <f>IF($E422="","",INDEX('Input Transaksi'!$E:$E,$E422))</f>
        <v/>
      </c>
      <c r="D422" s="5">
        <f>IF($E422="","",INDEX('Input Transaksi'!$F:$F,$E422))</f>
        <v/>
      </c>
      <c r="E422">
        <f>IFERROR(AGGREGATE(15,6,ROW('Input Transaksi'!$B$5:$B$5000)/('Input Transaksi'!$B$5:$B$5000="CL SESETAN"),ROWS($E$5:E422)),"")</f>
        <v/>
      </c>
      <c r="F422" s="5" t="n"/>
    </row>
    <row r="423">
      <c r="A423" s="10">
        <f>IF($E423="","",INDEX('Input Transaksi'!$A:$A,$E423))</f>
        <v/>
      </c>
      <c r="B423" s="5">
        <f>IF($E423="","",INDEX('Input Transaksi'!$D:$D,$E423))</f>
        <v/>
      </c>
      <c r="C423">
        <f>IF($E423="","",INDEX('Input Transaksi'!$E:$E,$E423))</f>
        <v/>
      </c>
      <c r="D423" s="5">
        <f>IF($E423="","",INDEX('Input Transaksi'!$F:$F,$E423))</f>
        <v/>
      </c>
      <c r="E423">
        <f>IFERROR(AGGREGATE(15,6,ROW('Input Transaksi'!$B$5:$B$5000)/('Input Transaksi'!$B$5:$B$5000="CL SESETAN"),ROWS($E$5:E423)),"")</f>
        <v/>
      </c>
      <c r="F423" s="5" t="n"/>
    </row>
    <row r="424">
      <c r="A424" s="10">
        <f>IF($E424="","",INDEX('Input Transaksi'!$A:$A,$E424))</f>
        <v/>
      </c>
      <c r="B424" s="5">
        <f>IF($E424="","",INDEX('Input Transaksi'!$D:$D,$E424))</f>
        <v/>
      </c>
      <c r="C424">
        <f>IF($E424="","",INDEX('Input Transaksi'!$E:$E,$E424))</f>
        <v/>
      </c>
      <c r="D424" s="5">
        <f>IF($E424="","",INDEX('Input Transaksi'!$F:$F,$E424))</f>
        <v/>
      </c>
      <c r="E424">
        <f>IFERROR(AGGREGATE(15,6,ROW('Input Transaksi'!$B$5:$B$5000)/('Input Transaksi'!$B$5:$B$5000="CL SESETAN"),ROWS($E$5:E424)),"")</f>
        <v/>
      </c>
      <c r="F424" s="5" t="n"/>
    </row>
    <row r="425">
      <c r="A425" s="10">
        <f>IF($E425="","",INDEX('Input Transaksi'!$A:$A,$E425))</f>
        <v/>
      </c>
      <c r="B425" s="5">
        <f>IF($E425="","",INDEX('Input Transaksi'!$D:$D,$E425))</f>
        <v/>
      </c>
      <c r="C425">
        <f>IF($E425="","",INDEX('Input Transaksi'!$E:$E,$E425))</f>
        <v/>
      </c>
      <c r="D425" s="5">
        <f>IF($E425="","",INDEX('Input Transaksi'!$F:$F,$E425))</f>
        <v/>
      </c>
      <c r="E425">
        <f>IFERROR(AGGREGATE(15,6,ROW('Input Transaksi'!$B$5:$B$5000)/('Input Transaksi'!$B$5:$B$5000="CL SESETAN"),ROWS($E$5:E425)),"")</f>
        <v/>
      </c>
      <c r="F425" s="5" t="n"/>
    </row>
    <row r="426">
      <c r="A426" s="10">
        <f>IF($E426="","",INDEX('Input Transaksi'!$A:$A,$E426))</f>
        <v/>
      </c>
      <c r="B426" s="5">
        <f>IF($E426="","",INDEX('Input Transaksi'!$D:$D,$E426))</f>
        <v/>
      </c>
      <c r="C426">
        <f>IF($E426="","",INDEX('Input Transaksi'!$E:$E,$E426))</f>
        <v/>
      </c>
      <c r="D426" s="5">
        <f>IF($E426="","",INDEX('Input Transaksi'!$F:$F,$E426))</f>
        <v/>
      </c>
      <c r="E426">
        <f>IFERROR(AGGREGATE(15,6,ROW('Input Transaksi'!$B$5:$B$5000)/('Input Transaksi'!$B$5:$B$5000="CL SESETAN"),ROWS($E$5:E426)),"")</f>
        <v/>
      </c>
      <c r="F426" s="5" t="n"/>
    </row>
    <row r="427">
      <c r="A427" s="10">
        <f>IF($E427="","",INDEX('Input Transaksi'!$A:$A,$E427))</f>
        <v/>
      </c>
      <c r="B427" s="5">
        <f>IF($E427="","",INDEX('Input Transaksi'!$D:$D,$E427))</f>
        <v/>
      </c>
      <c r="C427">
        <f>IF($E427="","",INDEX('Input Transaksi'!$E:$E,$E427))</f>
        <v/>
      </c>
      <c r="D427" s="5">
        <f>IF($E427="","",INDEX('Input Transaksi'!$F:$F,$E427))</f>
        <v/>
      </c>
      <c r="E427">
        <f>IFERROR(AGGREGATE(15,6,ROW('Input Transaksi'!$B$5:$B$5000)/('Input Transaksi'!$B$5:$B$5000="CL SESETAN"),ROWS($E$5:E427)),"")</f>
        <v/>
      </c>
      <c r="F427" s="5" t="n"/>
    </row>
    <row r="428">
      <c r="A428" s="10">
        <f>IF($E428="","",INDEX('Input Transaksi'!$A:$A,$E428))</f>
        <v/>
      </c>
      <c r="B428" s="5">
        <f>IF($E428="","",INDEX('Input Transaksi'!$D:$D,$E428))</f>
        <v/>
      </c>
      <c r="C428">
        <f>IF($E428="","",INDEX('Input Transaksi'!$E:$E,$E428))</f>
        <v/>
      </c>
      <c r="D428" s="5">
        <f>IF($E428="","",INDEX('Input Transaksi'!$F:$F,$E428))</f>
        <v/>
      </c>
      <c r="E428">
        <f>IFERROR(AGGREGATE(15,6,ROW('Input Transaksi'!$B$5:$B$5000)/('Input Transaksi'!$B$5:$B$5000="CL SESETAN"),ROWS($E$5:E428)),"")</f>
        <v/>
      </c>
      <c r="F428" s="5" t="n"/>
    </row>
    <row r="429">
      <c r="A429" s="10">
        <f>IF($E429="","",INDEX('Input Transaksi'!$A:$A,$E429))</f>
        <v/>
      </c>
      <c r="B429" s="5">
        <f>IF($E429="","",INDEX('Input Transaksi'!$D:$D,$E429))</f>
        <v/>
      </c>
      <c r="C429">
        <f>IF($E429="","",INDEX('Input Transaksi'!$E:$E,$E429))</f>
        <v/>
      </c>
      <c r="D429" s="5">
        <f>IF($E429="","",INDEX('Input Transaksi'!$F:$F,$E429))</f>
        <v/>
      </c>
      <c r="E429">
        <f>IFERROR(AGGREGATE(15,6,ROW('Input Transaksi'!$B$5:$B$5000)/('Input Transaksi'!$B$5:$B$5000="CL SESETAN"),ROWS($E$5:E429)),"")</f>
        <v/>
      </c>
      <c r="F429" s="5" t="n"/>
    </row>
    <row r="430">
      <c r="A430" s="10">
        <f>IF($E430="","",INDEX('Input Transaksi'!$A:$A,$E430))</f>
        <v/>
      </c>
      <c r="B430" s="5">
        <f>IF($E430="","",INDEX('Input Transaksi'!$D:$D,$E430))</f>
        <v/>
      </c>
      <c r="C430">
        <f>IF($E430="","",INDEX('Input Transaksi'!$E:$E,$E430))</f>
        <v/>
      </c>
      <c r="D430" s="5">
        <f>IF($E430="","",INDEX('Input Transaksi'!$F:$F,$E430))</f>
        <v/>
      </c>
      <c r="E430">
        <f>IFERROR(AGGREGATE(15,6,ROW('Input Transaksi'!$B$5:$B$5000)/('Input Transaksi'!$B$5:$B$5000="CL SESETAN"),ROWS($E$5:E430)),"")</f>
        <v/>
      </c>
      <c r="F430" s="5" t="n"/>
    </row>
    <row r="431">
      <c r="A431" s="10">
        <f>IF($E431="","",INDEX('Input Transaksi'!$A:$A,$E431))</f>
        <v/>
      </c>
      <c r="B431" s="5">
        <f>IF($E431="","",INDEX('Input Transaksi'!$D:$D,$E431))</f>
        <v/>
      </c>
      <c r="C431">
        <f>IF($E431="","",INDEX('Input Transaksi'!$E:$E,$E431))</f>
        <v/>
      </c>
      <c r="D431" s="5">
        <f>IF($E431="","",INDEX('Input Transaksi'!$F:$F,$E431))</f>
        <v/>
      </c>
      <c r="E431">
        <f>IFERROR(AGGREGATE(15,6,ROW('Input Transaksi'!$B$5:$B$5000)/('Input Transaksi'!$B$5:$B$5000="CL SESETAN"),ROWS($E$5:E431)),"")</f>
        <v/>
      </c>
      <c r="F431" s="5" t="n"/>
    </row>
    <row r="432">
      <c r="A432" s="10">
        <f>IF($E432="","",INDEX('Input Transaksi'!$A:$A,$E432))</f>
        <v/>
      </c>
      <c r="B432" s="5">
        <f>IF($E432="","",INDEX('Input Transaksi'!$D:$D,$E432))</f>
        <v/>
      </c>
      <c r="C432">
        <f>IF($E432="","",INDEX('Input Transaksi'!$E:$E,$E432))</f>
        <v/>
      </c>
      <c r="D432" s="5">
        <f>IF($E432="","",INDEX('Input Transaksi'!$F:$F,$E432))</f>
        <v/>
      </c>
      <c r="E432">
        <f>IFERROR(AGGREGATE(15,6,ROW('Input Transaksi'!$B$5:$B$5000)/('Input Transaksi'!$B$5:$B$5000="CL SESETAN"),ROWS($E$5:E432)),"")</f>
        <v/>
      </c>
      <c r="F432" s="5" t="n"/>
    </row>
    <row r="433">
      <c r="A433" s="10">
        <f>IF($E433="","",INDEX('Input Transaksi'!$A:$A,$E433))</f>
        <v/>
      </c>
      <c r="B433" s="5">
        <f>IF($E433="","",INDEX('Input Transaksi'!$D:$D,$E433))</f>
        <v/>
      </c>
      <c r="C433">
        <f>IF($E433="","",INDEX('Input Transaksi'!$E:$E,$E433))</f>
        <v/>
      </c>
      <c r="D433" s="5">
        <f>IF($E433="","",INDEX('Input Transaksi'!$F:$F,$E433))</f>
        <v/>
      </c>
      <c r="E433">
        <f>IFERROR(AGGREGATE(15,6,ROW('Input Transaksi'!$B$5:$B$5000)/('Input Transaksi'!$B$5:$B$5000="CL SESETAN"),ROWS($E$5:E433)),"")</f>
        <v/>
      </c>
      <c r="F433" s="5" t="n"/>
    </row>
    <row r="434">
      <c r="A434" s="10">
        <f>IF($E434="","",INDEX('Input Transaksi'!$A:$A,$E434))</f>
        <v/>
      </c>
      <c r="B434" s="5">
        <f>IF($E434="","",INDEX('Input Transaksi'!$D:$D,$E434))</f>
        <v/>
      </c>
      <c r="C434">
        <f>IF($E434="","",INDEX('Input Transaksi'!$E:$E,$E434))</f>
        <v/>
      </c>
      <c r="D434" s="5">
        <f>IF($E434="","",INDEX('Input Transaksi'!$F:$F,$E434))</f>
        <v/>
      </c>
      <c r="E434">
        <f>IFERROR(AGGREGATE(15,6,ROW('Input Transaksi'!$B$5:$B$5000)/('Input Transaksi'!$B$5:$B$5000="CL SESETAN"),ROWS($E$5:E434)),"")</f>
        <v/>
      </c>
      <c r="F434" s="5" t="n"/>
    </row>
    <row r="435">
      <c r="A435" s="10">
        <f>IF($E435="","",INDEX('Input Transaksi'!$A:$A,$E435))</f>
        <v/>
      </c>
      <c r="B435" s="5">
        <f>IF($E435="","",INDEX('Input Transaksi'!$D:$D,$E435))</f>
        <v/>
      </c>
      <c r="C435">
        <f>IF($E435="","",INDEX('Input Transaksi'!$E:$E,$E435))</f>
        <v/>
      </c>
      <c r="D435" s="5">
        <f>IF($E435="","",INDEX('Input Transaksi'!$F:$F,$E435))</f>
        <v/>
      </c>
      <c r="E435">
        <f>IFERROR(AGGREGATE(15,6,ROW('Input Transaksi'!$B$5:$B$5000)/('Input Transaksi'!$B$5:$B$5000="CL SESETAN"),ROWS($E$5:E435)),"")</f>
        <v/>
      </c>
      <c r="F435" s="5" t="n"/>
    </row>
    <row r="436">
      <c r="A436" s="10">
        <f>IF($E436="","",INDEX('Input Transaksi'!$A:$A,$E436))</f>
        <v/>
      </c>
      <c r="B436" s="5">
        <f>IF($E436="","",INDEX('Input Transaksi'!$D:$D,$E436))</f>
        <v/>
      </c>
      <c r="C436">
        <f>IF($E436="","",INDEX('Input Transaksi'!$E:$E,$E436))</f>
        <v/>
      </c>
      <c r="D436" s="5">
        <f>IF($E436="","",INDEX('Input Transaksi'!$F:$F,$E436))</f>
        <v/>
      </c>
      <c r="E436">
        <f>IFERROR(AGGREGATE(15,6,ROW('Input Transaksi'!$B$5:$B$5000)/('Input Transaksi'!$B$5:$B$5000="CL SESETAN"),ROWS($E$5:E436)),"")</f>
        <v/>
      </c>
      <c r="F436" s="5" t="n"/>
    </row>
    <row r="437">
      <c r="A437" s="10">
        <f>IF($E437="","",INDEX('Input Transaksi'!$A:$A,$E437))</f>
        <v/>
      </c>
      <c r="B437" s="5">
        <f>IF($E437="","",INDEX('Input Transaksi'!$D:$D,$E437))</f>
        <v/>
      </c>
      <c r="C437">
        <f>IF($E437="","",INDEX('Input Transaksi'!$E:$E,$E437))</f>
        <v/>
      </c>
      <c r="D437" s="5">
        <f>IF($E437="","",INDEX('Input Transaksi'!$F:$F,$E437))</f>
        <v/>
      </c>
      <c r="E437">
        <f>IFERROR(AGGREGATE(15,6,ROW('Input Transaksi'!$B$5:$B$5000)/('Input Transaksi'!$B$5:$B$5000="CL SESETAN"),ROWS($E$5:E437)),"")</f>
        <v/>
      </c>
      <c r="F437" s="5" t="n"/>
    </row>
    <row r="438">
      <c r="A438" s="10">
        <f>IF($E438="","",INDEX('Input Transaksi'!$A:$A,$E438))</f>
        <v/>
      </c>
      <c r="B438" s="5">
        <f>IF($E438="","",INDEX('Input Transaksi'!$D:$D,$E438))</f>
        <v/>
      </c>
      <c r="C438">
        <f>IF($E438="","",INDEX('Input Transaksi'!$E:$E,$E438))</f>
        <v/>
      </c>
      <c r="D438" s="5">
        <f>IF($E438="","",INDEX('Input Transaksi'!$F:$F,$E438))</f>
        <v/>
      </c>
      <c r="E438">
        <f>IFERROR(AGGREGATE(15,6,ROW('Input Transaksi'!$B$5:$B$5000)/('Input Transaksi'!$B$5:$B$5000="CL SESETAN"),ROWS($E$5:E438)),"")</f>
        <v/>
      </c>
      <c r="F438" s="5" t="n"/>
    </row>
    <row r="439">
      <c r="A439" s="10">
        <f>IF($E439="","",INDEX('Input Transaksi'!$A:$A,$E439))</f>
        <v/>
      </c>
      <c r="B439" s="5">
        <f>IF($E439="","",INDEX('Input Transaksi'!$D:$D,$E439))</f>
        <v/>
      </c>
      <c r="C439">
        <f>IF($E439="","",INDEX('Input Transaksi'!$E:$E,$E439))</f>
        <v/>
      </c>
      <c r="D439" s="5">
        <f>IF($E439="","",INDEX('Input Transaksi'!$F:$F,$E439))</f>
        <v/>
      </c>
      <c r="E439">
        <f>IFERROR(AGGREGATE(15,6,ROW('Input Transaksi'!$B$5:$B$5000)/('Input Transaksi'!$B$5:$B$5000="CL SESETAN"),ROWS($E$5:E439)),"")</f>
        <v/>
      </c>
      <c r="F439" s="5" t="n"/>
    </row>
    <row r="440">
      <c r="A440" s="10">
        <f>IF($E440="","",INDEX('Input Transaksi'!$A:$A,$E440))</f>
        <v/>
      </c>
      <c r="B440" s="5">
        <f>IF($E440="","",INDEX('Input Transaksi'!$D:$D,$E440))</f>
        <v/>
      </c>
      <c r="C440">
        <f>IF($E440="","",INDEX('Input Transaksi'!$E:$E,$E440))</f>
        <v/>
      </c>
      <c r="D440" s="5">
        <f>IF($E440="","",INDEX('Input Transaksi'!$F:$F,$E440))</f>
        <v/>
      </c>
      <c r="E440">
        <f>IFERROR(AGGREGATE(15,6,ROW('Input Transaksi'!$B$5:$B$5000)/('Input Transaksi'!$B$5:$B$5000="CL SESETAN"),ROWS($E$5:E440)),"")</f>
        <v/>
      </c>
      <c r="F440" s="5" t="n"/>
    </row>
    <row r="441">
      <c r="A441" s="10">
        <f>IF($E441="","",INDEX('Input Transaksi'!$A:$A,$E441))</f>
        <v/>
      </c>
      <c r="B441" s="5">
        <f>IF($E441="","",INDEX('Input Transaksi'!$D:$D,$E441))</f>
        <v/>
      </c>
      <c r="C441">
        <f>IF($E441="","",INDEX('Input Transaksi'!$E:$E,$E441))</f>
        <v/>
      </c>
      <c r="D441" s="5">
        <f>IF($E441="","",INDEX('Input Transaksi'!$F:$F,$E441))</f>
        <v/>
      </c>
      <c r="E441">
        <f>IFERROR(AGGREGATE(15,6,ROW('Input Transaksi'!$B$5:$B$5000)/('Input Transaksi'!$B$5:$B$5000="CL SESETAN"),ROWS($E$5:E441)),"")</f>
        <v/>
      </c>
      <c r="F441" s="5" t="n"/>
    </row>
    <row r="442">
      <c r="A442" s="10">
        <f>IF($E442="","",INDEX('Input Transaksi'!$A:$A,$E442))</f>
        <v/>
      </c>
      <c r="B442" s="5">
        <f>IF($E442="","",INDEX('Input Transaksi'!$D:$D,$E442))</f>
        <v/>
      </c>
      <c r="C442">
        <f>IF($E442="","",INDEX('Input Transaksi'!$E:$E,$E442))</f>
        <v/>
      </c>
      <c r="D442" s="5">
        <f>IF($E442="","",INDEX('Input Transaksi'!$F:$F,$E442))</f>
        <v/>
      </c>
      <c r="E442">
        <f>IFERROR(AGGREGATE(15,6,ROW('Input Transaksi'!$B$5:$B$5000)/('Input Transaksi'!$B$5:$B$5000="CL SESETAN"),ROWS($E$5:E442)),"")</f>
        <v/>
      </c>
      <c r="F442" s="5" t="n"/>
    </row>
    <row r="443">
      <c r="A443" s="10">
        <f>IF($E443="","",INDEX('Input Transaksi'!$A:$A,$E443))</f>
        <v/>
      </c>
      <c r="B443" s="5">
        <f>IF($E443="","",INDEX('Input Transaksi'!$D:$D,$E443))</f>
        <v/>
      </c>
      <c r="C443">
        <f>IF($E443="","",INDEX('Input Transaksi'!$E:$E,$E443))</f>
        <v/>
      </c>
      <c r="D443" s="5">
        <f>IF($E443="","",INDEX('Input Transaksi'!$F:$F,$E443))</f>
        <v/>
      </c>
      <c r="E443">
        <f>IFERROR(AGGREGATE(15,6,ROW('Input Transaksi'!$B$5:$B$5000)/('Input Transaksi'!$B$5:$B$5000="CL SESETAN"),ROWS($E$5:E443)),"")</f>
        <v/>
      </c>
      <c r="F443" s="5" t="n"/>
    </row>
    <row r="444">
      <c r="A444" s="10">
        <f>IF($E444="","",INDEX('Input Transaksi'!$A:$A,$E444))</f>
        <v/>
      </c>
      <c r="B444" s="5">
        <f>IF($E444="","",INDEX('Input Transaksi'!$D:$D,$E444))</f>
        <v/>
      </c>
      <c r="C444">
        <f>IF($E444="","",INDEX('Input Transaksi'!$E:$E,$E444))</f>
        <v/>
      </c>
      <c r="D444" s="5">
        <f>IF($E444="","",INDEX('Input Transaksi'!$F:$F,$E444))</f>
        <v/>
      </c>
      <c r="E444">
        <f>IFERROR(AGGREGATE(15,6,ROW('Input Transaksi'!$B$5:$B$5000)/('Input Transaksi'!$B$5:$B$5000="CL SESETAN"),ROWS($E$5:E444)),"")</f>
        <v/>
      </c>
      <c r="F444" s="5" t="n"/>
    </row>
    <row r="445">
      <c r="A445" s="10">
        <f>IF($E445="","",INDEX('Input Transaksi'!$A:$A,$E445))</f>
        <v/>
      </c>
      <c r="B445" s="5">
        <f>IF($E445="","",INDEX('Input Transaksi'!$D:$D,$E445))</f>
        <v/>
      </c>
      <c r="C445">
        <f>IF($E445="","",INDEX('Input Transaksi'!$E:$E,$E445))</f>
        <v/>
      </c>
      <c r="D445" s="5">
        <f>IF($E445="","",INDEX('Input Transaksi'!$F:$F,$E445))</f>
        <v/>
      </c>
      <c r="E445">
        <f>IFERROR(AGGREGATE(15,6,ROW('Input Transaksi'!$B$5:$B$5000)/('Input Transaksi'!$B$5:$B$5000="CL SESETAN"),ROWS($E$5:E445)),"")</f>
        <v/>
      </c>
      <c r="F445" s="5" t="n"/>
    </row>
    <row r="446">
      <c r="A446" s="10">
        <f>IF($E446="","",INDEX('Input Transaksi'!$A:$A,$E446))</f>
        <v/>
      </c>
      <c r="B446" s="5">
        <f>IF($E446="","",INDEX('Input Transaksi'!$D:$D,$E446))</f>
        <v/>
      </c>
      <c r="C446">
        <f>IF($E446="","",INDEX('Input Transaksi'!$E:$E,$E446))</f>
        <v/>
      </c>
      <c r="D446" s="5">
        <f>IF($E446="","",INDEX('Input Transaksi'!$F:$F,$E446))</f>
        <v/>
      </c>
      <c r="E446">
        <f>IFERROR(AGGREGATE(15,6,ROW('Input Transaksi'!$B$5:$B$5000)/('Input Transaksi'!$B$5:$B$5000="CL SESETAN"),ROWS($E$5:E446)),"")</f>
        <v/>
      </c>
      <c r="F446" s="5" t="n"/>
    </row>
    <row r="447">
      <c r="A447" s="10">
        <f>IF($E447="","",INDEX('Input Transaksi'!$A:$A,$E447))</f>
        <v/>
      </c>
      <c r="B447" s="5">
        <f>IF($E447="","",INDEX('Input Transaksi'!$D:$D,$E447))</f>
        <v/>
      </c>
      <c r="C447">
        <f>IF($E447="","",INDEX('Input Transaksi'!$E:$E,$E447))</f>
        <v/>
      </c>
      <c r="D447" s="5">
        <f>IF($E447="","",INDEX('Input Transaksi'!$F:$F,$E447))</f>
        <v/>
      </c>
      <c r="E447">
        <f>IFERROR(AGGREGATE(15,6,ROW('Input Transaksi'!$B$5:$B$5000)/('Input Transaksi'!$B$5:$B$5000="CL SESETAN"),ROWS($E$5:E447)),"")</f>
        <v/>
      </c>
      <c r="F447" s="5" t="n"/>
    </row>
    <row r="448">
      <c r="A448" s="10">
        <f>IF($E448="","",INDEX('Input Transaksi'!$A:$A,$E448))</f>
        <v/>
      </c>
      <c r="B448" s="5">
        <f>IF($E448="","",INDEX('Input Transaksi'!$D:$D,$E448))</f>
        <v/>
      </c>
      <c r="C448">
        <f>IF($E448="","",INDEX('Input Transaksi'!$E:$E,$E448))</f>
        <v/>
      </c>
      <c r="D448" s="5">
        <f>IF($E448="","",INDEX('Input Transaksi'!$F:$F,$E448))</f>
        <v/>
      </c>
      <c r="E448">
        <f>IFERROR(AGGREGATE(15,6,ROW('Input Transaksi'!$B$5:$B$5000)/('Input Transaksi'!$B$5:$B$5000="CL SESETAN"),ROWS($E$5:E448)),"")</f>
        <v/>
      </c>
      <c r="F448" s="5" t="n"/>
    </row>
    <row r="449">
      <c r="A449" s="10">
        <f>IF($E449="","",INDEX('Input Transaksi'!$A:$A,$E449))</f>
        <v/>
      </c>
      <c r="B449" s="5">
        <f>IF($E449="","",INDEX('Input Transaksi'!$D:$D,$E449))</f>
        <v/>
      </c>
      <c r="C449">
        <f>IF($E449="","",INDEX('Input Transaksi'!$E:$E,$E449))</f>
        <v/>
      </c>
      <c r="D449" s="5">
        <f>IF($E449="","",INDEX('Input Transaksi'!$F:$F,$E449))</f>
        <v/>
      </c>
      <c r="E449">
        <f>IFERROR(AGGREGATE(15,6,ROW('Input Transaksi'!$B$5:$B$5000)/('Input Transaksi'!$B$5:$B$5000="CL SESETAN"),ROWS($E$5:E449)),"")</f>
        <v/>
      </c>
      <c r="F449" s="5" t="n"/>
    </row>
    <row r="450">
      <c r="A450" s="10">
        <f>IF($E450="","",INDEX('Input Transaksi'!$A:$A,$E450))</f>
        <v/>
      </c>
      <c r="B450" s="5">
        <f>IF($E450="","",INDEX('Input Transaksi'!$D:$D,$E450))</f>
        <v/>
      </c>
      <c r="C450">
        <f>IF($E450="","",INDEX('Input Transaksi'!$E:$E,$E450))</f>
        <v/>
      </c>
      <c r="D450" s="5">
        <f>IF($E450="","",INDEX('Input Transaksi'!$F:$F,$E450))</f>
        <v/>
      </c>
      <c r="E450">
        <f>IFERROR(AGGREGATE(15,6,ROW('Input Transaksi'!$B$5:$B$5000)/('Input Transaksi'!$B$5:$B$5000="CL SESETAN"),ROWS($E$5:E450)),"")</f>
        <v/>
      </c>
      <c r="F450" s="5" t="n"/>
    </row>
    <row r="451">
      <c r="A451" s="10">
        <f>IF($E451="","",INDEX('Input Transaksi'!$A:$A,$E451))</f>
        <v/>
      </c>
      <c r="B451" s="5">
        <f>IF($E451="","",INDEX('Input Transaksi'!$D:$D,$E451))</f>
        <v/>
      </c>
      <c r="C451">
        <f>IF($E451="","",INDEX('Input Transaksi'!$E:$E,$E451))</f>
        <v/>
      </c>
      <c r="D451" s="5">
        <f>IF($E451="","",INDEX('Input Transaksi'!$F:$F,$E451))</f>
        <v/>
      </c>
      <c r="E451">
        <f>IFERROR(AGGREGATE(15,6,ROW('Input Transaksi'!$B$5:$B$5000)/('Input Transaksi'!$B$5:$B$5000="CL SESETAN"),ROWS($E$5:E451)),"")</f>
        <v/>
      </c>
      <c r="F451" s="5" t="n"/>
    </row>
    <row r="452">
      <c r="A452" s="10">
        <f>IF($E452="","",INDEX('Input Transaksi'!$A:$A,$E452))</f>
        <v/>
      </c>
      <c r="B452" s="5">
        <f>IF($E452="","",INDEX('Input Transaksi'!$D:$D,$E452))</f>
        <v/>
      </c>
      <c r="C452">
        <f>IF($E452="","",INDEX('Input Transaksi'!$E:$E,$E452))</f>
        <v/>
      </c>
      <c r="D452" s="5">
        <f>IF($E452="","",INDEX('Input Transaksi'!$F:$F,$E452))</f>
        <v/>
      </c>
      <c r="E452">
        <f>IFERROR(AGGREGATE(15,6,ROW('Input Transaksi'!$B$5:$B$5000)/('Input Transaksi'!$B$5:$B$5000="CL SESETAN"),ROWS($E$5:E452)),"")</f>
        <v/>
      </c>
      <c r="F452" s="5" t="n"/>
    </row>
    <row r="453">
      <c r="A453" s="10">
        <f>IF($E453="","",INDEX('Input Transaksi'!$A:$A,$E453))</f>
        <v/>
      </c>
      <c r="B453" s="5">
        <f>IF($E453="","",INDEX('Input Transaksi'!$D:$D,$E453))</f>
        <v/>
      </c>
      <c r="C453">
        <f>IF($E453="","",INDEX('Input Transaksi'!$E:$E,$E453))</f>
        <v/>
      </c>
      <c r="D453" s="5">
        <f>IF($E453="","",INDEX('Input Transaksi'!$F:$F,$E453))</f>
        <v/>
      </c>
      <c r="E453">
        <f>IFERROR(AGGREGATE(15,6,ROW('Input Transaksi'!$B$5:$B$5000)/('Input Transaksi'!$B$5:$B$5000="CL SESETAN"),ROWS($E$5:E453)),"")</f>
        <v/>
      </c>
      <c r="F453" s="5" t="n"/>
    </row>
    <row r="454">
      <c r="A454" s="10">
        <f>IF($E454="","",INDEX('Input Transaksi'!$A:$A,$E454))</f>
        <v/>
      </c>
      <c r="B454" s="5">
        <f>IF($E454="","",INDEX('Input Transaksi'!$D:$D,$E454))</f>
        <v/>
      </c>
      <c r="C454">
        <f>IF($E454="","",INDEX('Input Transaksi'!$E:$E,$E454))</f>
        <v/>
      </c>
      <c r="D454" s="5">
        <f>IF($E454="","",INDEX('Input Transaksi'!$F:$F,$E454))</f>
        <v/>
      </c>
      <c r="E454">
        <f>IFERROR(AGGREGATE(15,6,ROW('Input Transaksi'!$B$5:$B$5000)/('Input Transaksi'!$B$5:$B$5000="CL SESETAN"),ROWS($E$5:E454)),"")</f>
        <v/>
      </c>
      <c r="F454" s="5" t="n"/>
    </row>
    <row r="455">
      <c r="A455" s="10">
        <f>IF($E455="","",INDEX('Input Transaksi'!$A:$A,$E455))</f>
        <v/>
      </c>
      <c r="B455" s="5">
        <f>IF($E455="","",INDEX('Input Transaksi'!$D:$D,$E455))</f>
        <v/>
      </c>
      <c r="C455">
        <f>IF($E455="","",INDEX('Input Transaksi'!$E:$E,$E455))</f>
        <v/>
      </c>
      <c r="D455" s="5">
        <f>IF($E455="","",INDEX('Input Transaksi'!$F:$F,$E455))</f>
        <v/>
      </c>
      <c r="E455">
        <f>IFERROR(AGGREGATE(15,6,ROW('Input Transaksi'!$B$5:$B$5000)/('Input Transaksi'!$B$5:$B$5000="CL SESETAN"),ROWS($E$5:E455)),"")</f>
        <v/>
      </c>
      <c r="F455" s="5" t="n"/>
    </row>
    <row r="456">
      <c r="A456" s="10">
        <f>IF($E456="","",INDEX('Input Transaksi'!$A:$A,$E456))</f>
        <v/>
      </c>
      <c r="B456" s="5">
        <f>IF($E456="","",INDEX('Input Transaksi'!$D:$D,$E456))</f>
        <v/>
      </c>
      <c r="C456">
        <f>IF($E456="","",INDEX('Input Transaksi'!$E:$E,$E456))</f>
        <v/>
      </c>
      <c r="D456" s="5">
        <f>IF($E456="","",INDEX('Input Transaksi'!$F:$F,$E456))</f>
        <v/>
      </c>
      <c r="E456">
        <f>IFERROR(AGGREGATE(15,6,ROW('Input Transaksi'!$B$5:$B$5000)/('Input Transaksi'!$B$5:$B$5000="CL SESETAN"),ROWS($E$5:E456)),"")</f>
        <v/>
      </c>
      <c r="F456" s="5" t="n"/>
    </row>
    <row r="457">
      <c r="A457" s="10">
        <f>IF($E457="","",INDEX('Input Transaksi'!$A:$A,$E457))</f>
        <v/>
      </c>
      <c r="B457" s="5">
        <f>IF($E457="","",INDEX('Input Transaksi'!$D:$D,$E457))</f>
        <v/>
      </c>
      <c r="C457">
        <f>IF($E457="","",INDEX('Input Transaksi'!$E:$E,$E457))</f>
        <v/>
      </c>
      <c r="D457" s="5">
        <f>IF($E457="","",INDEX('Input Transaksi'!$F:$F,$E457))</f>
        <v/>
      </c>
      <c r="E457">
        <f>IFERROR(AGGREGATE(15,6,ROW('Input Transaksi'!$B$5:$B$5000)/('Input Transaksi'!$B$5:$B$5000="CL SESETAN"),ROWS($E$5:E457)),"")</f>
        <v/>
      </c>
      <c r="F457" s="5" t="n"/>
    </row>
    <row r="458">
      <c r="A458" s="10">
        <f>IF($E458="","",INDEX('Input Transaksi'!$A:$A,$E458))</f>
        <v/>
      </c>
      <c r="B458" s="5">
        <f>IF($E458="","",INDEX('Input Transaksi'!$D:$D,$E458))</f>
        <v/>
      </c>
      <c r="C458">
        <f>IF($E458="","",INDEX('Input Transaksi'!$E:$E,$E458))</f>
        <v/>
      </c>
      <c r="D458" s="5">
        <f>IF($E458="","",INDEX('Input Transaksi'!$F:$F,$E458))</f>
        <v/>
      </c>
      <c r="E458">
        <f>IFERROR(AGGREGATE(15,6,ROW('Input Transaksi'!$B$5:$B$5000)/('Input Transaksi'!$B$5:$B$5000="CL SESETAN"),ROWS($E$5:E458)),"")</f>
        <v/>
      </c>
      <c r="F458" s="5" t="n"/>
    </row>
    <row r="459">
      <c r="A459" s="10">
        <f>IF($E459="","",INDEX('Input Transaksi'!$A:$A,$E459))</f>
        <v/>
      </c>
      <c r="B459" s="5">
        <f>IF($E459="","",INDEX('Input Transaksi'!$D:$D,$E459))</f>
        <v/>
      </c>
      <c r="C459">
        <f>IF($E459="","",INDEX('Input Transaksi'!$E:$E,$E459))</f>
        <v/>
      </c>
      <c r="D459" s="5">
        <f>IF($E459="","",INDEX('Input Transaksi'!$F:$F,$E459))</f>
        <v/>
      </c>
      <c r="E459">
        <f>IFERROR(AGGREGATE(15,6,ROW('Input Transaksi'!$B$5:$B$5000)/('Input Transaksi'!$B$5:$B$5000="CL SESETAN"),ROWS($E$5:E459)),"")</f>
        <v/>
      </c>
      <c r="F459" s="5" t="n"/>
    </row>
    <row r="460">
      <c r="A460" s="10">
        <f>IF($E460="","",INDEX('Input Transaksi'!$A:$A,$E460))</f>
        <v/>
      </c>
      <c r="B460" s="5">
        <f>IF($E460="","",INDEX('Input Transaksi'!$D:$D,$E460))</f>
        <v/>
      </c>
      <c r="C460">
        <f>IF($E460="","",INDEX('Input Transaksi'!$E:$E,$E460))</f>
        <v/>
      </c>
      <c r="D460" s="5">
        <f>IF($E460="","",INDEX('Input Transaksi'!$F:$F,$E460))</f>
        <v/>
      </c>
      <c r="E460">
        <f>IFERROR(AGGREGATE(15,6,ROW('Input Transaksi'!$B$5:$B$5000)/('Input Transaksi'!$B$5:$B$5000="CL SESETAN"),ROWS($E$5:E460)),"")</f>
        <v/>
      </c>
      <c r="F460" s="5" t="n"/>
    </row>
    <row r="461">
      <c r="A461" s="10">
        <f>IF($E461="","",INDEX('Input Transaksi'!$A:$A,$E461))</f>
        <v/>
      </c>
      <c r="B461" s="5">
        <f>IF($E461="","",INDEX('Input Transaksi'!$D:$D,$E461))</f>
        <v/>
      </c>
      <c r="C461">
        <f>IF($E461="","",INDEX('Input Transaksi'!$E:$E,$E461))</f>
        <v/>
      </c>
      <c r="D461" s="5">
        <f>IF($E461="","",INDEX('Input Transaksi'!$F:$F,$E461))</f>
        <v/>
      </c>
      <c r="E461">
        <f>IFERROR(AGGREGATE(15,6,ROW('Input Transaksi'!$B$5:$B$5000)/('Input Transaksi'!$B$5:$B$5000="CL SESETAN"),ROWS($E$5:E461)),"")</f>
        <v/>
      </c>
      <c r="F461" s="5" t="n"/>
    </row>
    <row r="462">
      <c r="A462" s="10">
        <f>IF($E462="","",INDEX('Input Transaksi'!$A:$A,$E462))</f>
        <v/>
      </c>
      <c r="B462" s="5">
        <f>IF($E462="","",INDEX('Input Transaksi'!$D:$D,$E462))</f>
        <v/>
      </c>
      <c r="C462">
        <f>IF($E462="","",INDEX('Input Transaksi'!$E:$E,$E462))</f>
        <v/>
      </c>
      <c r="D462" s="5">
        <f>IF($E462="","",INDEX('Input Transaksi'!$F:$F,$E462))</f>
        <v/>
      </c>
      <c r="E462">
        <f>IFERROR(AGGREGATE(15,6,ROW('Input Transaksi'!$B$5:$B$5000)/('Input Transaksi'!$B$5:$B$5000="CL SESETAN"),ROWS($E$5:E462)),"")</f>
        <v/>
      </c>
      <c r="F462" s="5" t="n"/>
    </row>
    <row r="463">
      <c r="A463" s="10">
        <f>IF($E463="","",INDEX('Input Transaksi'!$A:$A,$E463))</f>
        <v/>
      </c>
      <c r="B463" s="5">
        <f>IF($E463="","",INDEX('Input Transaksi'!$D:$D,$E463))</f>
        <v/>
      </c>
      <c r="C463">
        <f>IF($E463="","",INDEX('Input Transaksi'!$E:$E,$E463))</f>
        <v/>
      </c>
      <c r="D463" s="5">
        <f>IF($E463="","",INDEX('Input Transaksi'!$F:$F,$E463))</f>
        <v/>
      </c>
      <c r="E463">
        <f>IFERROR(AGGREGATE(15,6,ROW('Input Transaksi'!$B$5:$B$5000)/('Input Transaksi'!$B$5:$B$5000="CL SESETAN"),ROWS($E$5:E463)),"")</f>
        <v/>
      </c>
      <c r="F463" s="5" t="n"/>
    </row>
    <row r="464">
      <c r="A464" s="10">
        <f>IF($E464="","",INDEX('Input Transaksi'!$A:$A,$E464))</f>
        <v/>
      </c>
      <c r="B464" s="5">
        <f>IF($E464="","",INDEX('Input Transaksi'!$D:$D,$E464))</f>
        <v/>
      </c>
      <c r="C464">
        <f>IF($E464="","",INDEX('Input Transaksi'!$E:$E,$E464))</f>
        <v/>
      </c>
      <c r="D464" s="5">
        <f>IF($E464="","",INDEX('Input Transaksi'!$F:$F,$E464))</f>
        <v/>
      </c>
      <c r="E464">
        <f>IFERROR(AGGREGATE(15,6,ROW('Input Transaksi'!$B$5:$B$5000)/('Input Transaksi'!$B$5:$B$5000="CL SESETAN"),ROWS($E$5:E464)),"")</f>
        <v/>
      </c>
      <c r="F464" s="5" t="n"/>
    </row>
    <row r="465">
      <c r="A465" s="10">
        <f>IF($E465="","",INDEX('Input Transaksi'!$A:$A,$E465))</f>
        <v/>
      </c>
      <c r="B465" s="5">
        <f>IF($E465="","",INDEX('Input Transaksi'!$D:$D,$E465))</f>
        <v/>
      </c>
      <c r="C465">
        <f>IF($E465="","",INDEX('Input Transaksi'!$E:$E,$E465))</f>
        <v/>
      </c>
      <c r="D465" s="5">
        <f>IF($E465="","",INDEX('Input Transaksi'!$F:$F,$E465))</f>
        <v/>
      </c>
      <c r="E465">
        <f>IFERROR(AGGREGATE(15,6,ROW('Input Transaksi'!$B$5:$B$5000)/('Input Transaksi'!$B$5:$B$5000="CL SESETAN"),ROWS($E$5:E465)),"")</f>
        <v/>
      </c>
      <c r="F465" s="5" t="n"/>
    </row>
    <row r="466">
      <c r="A466" s="10">
        <f>IF($E466="","",INDEX('Input Transaksi'!$A:$A,$E466))</f>
        <v/>
      </c>
      <c r="B466" s="5">
        <f>IF($E466="","",INDEX('Input Transaksi'!$D:$D,$E466))</f>
        <v/>
      </c>
      <c r="C466">
        <f>IF($E466="","",INDEX('Input Transaksi'!$E:$E,$E466))</f>
        <v/>
      </c>
      <c r="D466" s="5">
        <f>IF($E466="","",INDEX('Input Transaksi'!$F:$F,$E466))</f>
        <v/>
      </c>
      <c r="E466">
        <f>IFERROR(AGGREGATE(15,6,ROW('Input Transaksi'!$B$5:$B$5000)/('Input Transaksi'!$B$5:$B$5000="CL SESETAN"),ROWS($E$5:E466)),"")</f>
        <v/>
      </c>
      <c r="F466" s="5" t="n"/>
    </row>
    <row r="467">
      <c r="A467" s="10">
        <f>IF($E467="","",INDEX('Input Transaksi'!$A:$A,$E467))</f>
        <v/>
      </c>
      <c r="B467" s="5">
        <f>IF($E467="","",INDEX('Input Transaksi'!$D:$D,$E467))</f>
        <v/>
      </c>
      <c r="C467">
        <f>IF($E467="","",INDEX('Input Transaksi'!$E:$E,$E467))</f>
        <v/>
      </c>
      <c r="D467" s="5">
        <f>IF($E467="","",INDEX('Input Transaksi'!$F:$F,$E467))</f>
        <v/>
      </c>
      <c r="E467">
        <f>IFERROR(AGGREGATE(15,6,ROW('Input Transaksi'!$B$5:$B$5000)/('Input Transaksi'!$B$5:$B$5000="CL SESETAN"),ROWS($E$5:E467)),"")</f>
        <v/>
      </c>
      <c r="F467" s="5" t="n"/>
    </row>
    <row r="468">
      <c r="A468" s="10">
        <f>IF($E468="","",INDEX('Input Transaksi'!$A:$A,$E468))</f>
        <v/>
      </c>
      <c r="B468" s="5">
        <f>IF($E468="","",INDEX('Input Transaksi'!$D:$D,$E468))</f>
        <v/>
      </c>
      <c r="C468">
        <f>IF($E468="","",INDEX('Input Transaksi'!$E:$E,$E468))</f>
        <v/>
      </c>
      <c r="D468" s="5">
        <f>IF($E468="","",INDEX('Input Transaksi'!$F:$F,$E468))</f>
        <v/>
      </c>
      <c r="E468">
        <f>IFERROR(AGGREGATE(15,6,ROW('Input Transaksi'!$B$5:$B$5000)/('Input Transaksi'!$B$5:$B$5000="CL SESETAN"),ROWS($E$5:E468)),"")</f>
        <v/>
      </c>
      <c r="F468" s="5" t="n"/>
    </row>
    <row r="469">
      <c r="A469" s="10">
        <f>IF($E469="","",INDEX('Input Transaksi'!$A:$A,$E469))</f>
        <v/>
      </c>
      <c r="B469" s="5">
        <f>IF($E469="","",INDEX('Input Transaksi'!$D:$D,$E469))</f>
        <v/>
      </c>
      <c r="C469">
        <f>IF($E469="","",INDEX('Input Transaksi'!$E:$E,$E469))</f>
        <v/>
      </c>
      <c r="D469" s="5">
        <f>IF($E469="","",INDEX('Input Transaksi'!$F:$F,$E469))</f>
        <v/>
      </c>
      <c r="E469">
        <f>IFERROR(AGGREGATE(15,6,ROW('Input Transaksi'!$B$5:$B$5000)/('Input Transaksi'!$B$5:$B$5000="CL SESETAN"),ROWS($E$5:E469)),"")</f>
        <v/>
      </c>
      <c r="F469" s="5" t="n"/>
    </row>
    <row r="470">
      <c r="A470" s="10">
        <f>IF($E470="","",INDEX('Input Transaksi'!$A:$A,$E470))</f>
        <v/>
      </c>
      <c r="B470" s="5">
        <f>IF($E470="","",INDEX('Input Transaksi'!$D:$D,$E470))</f>
        <v/>
      </c>
      <c r="C470">
        <f>IF($E470="","",INDEX('Input Transaksi'!$E:$E,$E470))</f>
        <v/>
      </c>
      <c r="D470" s="5">
        <f>IF($E470="","",INDEX('Input Transaksi'!$F:$F,$E470))</f>
        <v/>
      </c>
      <c r="E470">
        <f>IFERROR(AGGREGATE(15,6,ROW('Input Transaksi'!$B$5:$B$5000)/('Input Transaksi'!$B$5:$B$5000="CL SESETAN"),ROWS($E$5:E470)),"")</f>
        <v/>
      </c>
      <c r="F470" s="5" t="n"/>
    </row>
    <row r="471">
      <c r="A471" s="10">
        <f>IF($E471="","",INDEX('Input Transaksi'!$A:$A,$E471))</f>
        <v/>
      </c>
      <c r="B471" s="5">
        <f>IF($E471="","",INDEX('Input Transaksi'!$D:$D,$E471))</f>
        <v/>
      </c>
      <c r="C471">
        <f>IF($E471="","",INDEX('Input Transaksi'!$E:$E,$E471))</f>
        <v/>
      </c>
      <c r="D471" s="5">
        <f>IF($E471="","",INDEX('Input Transaksi'!$F:$F,$E471))</f>
        <v/>
      </c>
      <c r="E471">
        <f>IFERROR(AGGREGATE(15,6,ROW('Input Transaksi'!$B$5:$B$5000)/('Input Transaksi'!$B$5:$B$5000="CL SESETAN"),ROWS($E$5:E471)),"")</f>
        <v/>
      </c>
      <c r="F471" s="5" t="n"/>
    </row>
    <row r="472">
      <c r="A472" s="10">
        <f>IF($E472="","",INDEX('Input Transaksi'!$A:$A,$E472))</f>
        <v/>
      </c>
      <c r="B472" s="5">
        <f>IF($E472="","",INDEX('Input Transaksi'!$D:$D,$E472))</f>
        <v/>
      </c>
      <c r="C472">
        <f>IF($E472="","",INDEX('Input Transaksi'!$E:$E,$E472))</f>
        <v/>
      </c>
      <c r="D472" s="5">
        <f>IF($E472="","",INDEX('Input Transaksi'!$F:$F,$E472))</f>
        <v/>
      </c>
      <c r="E472">
        <f>IFERROR(AGGREGATE(15,6,ROW('Input Transaksi'!$B$5:$B$5000)/('Input Transaksi'!$B$5:$B$5000="CL SESETAN"),ROWS($E$5:E472)),"")</f>
        <v/>
      </c>
      <c r="F472" s="5" t="n"/>
    </row>
    <row r="473">
      <c r="A473" s="10">
        <f>IF($E473="","",INDEX('Input Transaksi'!$A:$A,$E473))</f>
        <v/>
      </c>
      <c r="B473" s="5">
        <f>IF($E473="","",INDEX('Input Transaksi'!$D:$D,$E473))</f>
        <v/>
      </c>
      <c r="C473">
        <f>IF($E473="","",INDEX('Input Transaksi'!$E:$E,$E473))</f>
        <v/>
      </c>
      <c r="D473" s="5">
        <f>IF($E473="","",INDEX('Input Transaksi'!$F:$F,$E473))</f>
        <v/>
      </c>
      <c r="E473">
        <f>IFERROR(AGGREGATE(15,6,ROW('Input Transaksi'!$B$5:$B$5000)/('Input Transaksi'!$B$5:$B$5000="CL SESETAN"),ROWS($E$5:E473)),"")</f>
        <v/>
      </c>
      <c r="F473" s="5" t="n"/>
    </row>
    <row r="474">
      <c r="A474" s="10">
        <f>IF($E474="","",INDEX('Input Transaksi'!$A:$A,$E474))</f>
        <v/>
      </c>
      <c r="B474" s="5">
        <f>IF($E474="","",INDEX('Input Transaksi'!$D:$D,$E474))</f>
        <v/>
      </c>
      <c r="C474">
        <f>IF($E474="","",INDEX('Input Transaksi'!$E:$E,$E474))</f>
        <v/>
      </c>
      <c r="D474" s="5">
        <f>IF($E474="","",INDEX('Input Transaksi'!$F:$F,$E474))</f>
        <v/>
      </c>
      <c r="E474">
        <f>IFERROR(AGGREGATE(15,6,ROW('Input Transaksi'!$B$5:$B$5000)/('Input Transaksi'!$B$5:$B$5000="CL SESETAN"),ROWS($E$5:E474)),"")</f>
        <v/>
      </c>
      <c r="F474" s="5" t="n"/>
    </row>
    <row r="475">
      <c r="A475" s="10">
        <f>IF($E475="","",INDEX('Input Transaksi'!$A:$A,$E475))</f>
        <v/>
      </c>
      <c r="B475" s="5">
        <f>IF($E475="","",INDEX('Input Transaksi'!$D:$D,$E475))</f>
        <v/>
      </c>
      <c r="C475">
        <f>IF($E475="","",INDEX('Input Transaksi'!$E:$E,$E475))</f>
        <v/>
      </c>
      <c r="D475" s="5">
        <f>IF($E475="","",INDEX('Input Transaksi'!$F:$F,$E475))</f>
        <v/>
      </c>
      <c r="E475">
        <f>IFERROR(AGGREGATE(15,6,ROW('Input Transaksi'!$B$5:$B$5000)/('Input Transaksi'!$B$5:$B$5000="CL SESETAN"),ROWS($E$5:E475)),"")</f>
        <v/>
      </c>
      <c r="F475" s="5" t="n"/>
    </row>
    <row r="476">
      <c r="A476" s="10">
        <f>IF($E476="","",INDEX('Input Transaksi'!$A:$A,$E476))</f>
        <v/>
      </c>
      <c r="B476" s="5">
        <f>IF($E476="","",INDEX('Input Transaksi'!$D:$D,$E476))</f>
        <v/>
      </c>
      <c r="C476">
        <f>IF($E476="","",INDEX('Input Transaksi'!$E:$E,$E476))</f>
        <v/>
      </c>
      <c r="D476" s="5">
        <f>IF($E476="","",INDEX('Input Transaksi'!$F:$F,$E476))</f>
        <v/>
      </c>
      <c r="E476">
        <f>IFERROR(AGGREGATE(15,6,ROW('Input Transaksi'!$B$5:$B$5000)/('Input Transaksi'!$B$5:$B$5000="CL SESETAN"),ROWS($E$5:E476)),"")</f>
        <v/>
      </c>
      <c r="F476" s="5" t="n"/>
    </row>
    <row r="477">
      <c r="A477" s="10">
        <f>IF($E477="","",INDEX('Input Transaksi'!$A:$A,$E477))</f>
        <v/>
      </c>
      <c r="B477" s="5">
        <f>IF($E477="","",INDEX('Input Transaksi'!$D:$D,$E477))</f>
        <v/>
      </c>
      <c r="C477">
        <f>IF($E477="","",INDEX('Input Transaksi'!$E:$E,$E477))</f>
        <v/>
      </c>
      <c r="D477" s="5">
        <f>IF($E477="","",INDEX('Input Transaksi'!$F:$F,$E477))</f>
        <v/>
      </c>
      <c r="E477">
        <f>IFERROR(AGGREGATE(15,6,ROW('Input Transaksi'!$B$5:$B$5000)/('Input Transaksi'!$B$5:$B$5000="CL SESETAN"),ROWS($E$5:E477)),"")</f>
        <v/>
      </c>
      <c r="F477" s="5" t="n"/>
    </row>
    <row r="478">
      <c r="A478" s="10">
        <f>IF($E478="","",INDEX('Input Transaksi'!$A:$A,$E478))</f>
        <v/>
      </c>
      <c r="B478" s="5">
        <f>IF($E478="","",INDEX('Input Transaksi'!$D:$D,$E478))</f>
        <v/>
      </c>
      <c r="C478">
        <f>IF($E478="","",INDEX('Input Transaksi'!$E:$E,$E478))</f>
        <v/>
      </c>
      <c r="D478" s="5">
        <f>IF($E478="","",INDEX('Input Transaksi'!$F:$F,$E478))</f>
        <v/>
      </c>
      <c r="E478">
        <f>IFERROR(AGGREGATE(15,6,ROW('Input Transaksi'!$B$5:$B$5000)/('Input Transaksi'!$B$5:$B$5000="CL SESETAN"),ROWS($E$5:E478)),"")</f>
        <v/>
      </c>
      <c r="F478" s="5" t="n"/>
    </row>
    <row r="479">
      <c r="A479" s="10">
        <f>IF($E479="","",INDEX('Input Transaksi'!$A:$A,$E479))</f>
        <v/>
      </c>
      <c r="B479" s="5">
        <f>IF($E479="","",INDEX('Input Transaksi'!$D:$D,$E479))</f>
        <v/>
      </c>
      <c r="C479">
        <f>IF($E479="","",INDEX('Input Transaksi'!$E:$E,$E479))</f>
        <v/>
      </c>
      <c r="D479" s="5">
        <f>IF($E479="","",INDEX('Input Transaksi'!$F:$F,$E479))</f>
        <v/>
      </c>
      <c r="E479">
        <f>IFERROR(AGGREGATE(15,6,ROW('Input Transaksi'!$B$5:$B$5000)/('Input Transaksi'!$B$5:$B$5000="CL SESETAN"),ROWS($E$5:E479)),"")</f>
        <v/>
      </c>
      <c r="F479" s="5" t="n"/>
    </row>
    <row r="480">
      <c r="A480" s="10">
        <f>IF($E480="","",INDEX('Input Transaksi'!$A:$A,$E480))</f>
        <v/>
      </c>
      <c r="B480" s="5">
        <f>IF($E480="","",INDEX('Input Transaksi'!$D:$D,$E480))</f>
        <v/>
      </c>
      <c r="C480">
        <f>IF($E480="","",INDEX('Input Transaksi'!$E:$E,$E480))</f>
        <v/>
      </c>
      <c r="D480" s="5">
        <f>IF($E480="","",INDEX('Input Transaksi'!$F:$F,$E480))</f>
        <v/>
      </c>
      <c r="E480">
        <f>IFERROR(AGGREGATE(15,6,ROW('Input Transaksi'!$B$5:$B$5000)/('Input Transaksi'!$B$5:$B$5000="CL SESETAN"),ROWS($E$5:E480)),"")</f>
        <v/>
      </c>
      <c r="F480" s="5" t="n"/>
    </row>
    <row r="481">
      <c r="A481" s="10">
        <f>IF($E481="","",INDEX('Input Transaksi'!$A:$A,$E481))</f>
        <v/>
      </c>
      <c r="B481" s="5">
        <f>IF($E481="","",INDEX('Input Transaksi'!$D:$D,$E481))</f>
        <v/>
      </c>
      <c r="C481">
        <f>IF($E481="","",INDEX('Input Transaksi'!$E:$E,$E481))</f>
        <v/>
      </c>
      <c r="D481" s="5">
        <f>IF($E481="","",INDEX('Input Transaksi'!$F:$F,$E481))</f>
        <v/>
      </c>
      <c r="E481">
        <f>IFERROR(AGGREGATE(15,6,ROW('Input Transaksi'!$B$5:$B$5000)/('Input Transaksi'!$B$5:$B$5000="CL SESETAN"),ROWS($E$5:E481)),"")</f>
        <v/>
      </c>
      <c r="F481" s="5" t="n"/>
    </row>
    <row r="482">
      <c r="A482" s="10">
        <f>IF($E482="","",INDEX('Input Transaksi'!$A:$A,$E482))</f>
        <v/>
      </c>
      <c r="B482" s="5">
        <f>IF($E482="","",INDEX('Input Transaksi'!$D:$D,$E482))</f>
        <v/>
      </c>
      <c r="C482">
        <f>IF($E482="","",INDEX('Input Transaksi'!$E:$E,$E482))</f>
        <v/>
      </c>
      <c r="D482" s="5">
        <f>IF($E482="","",INDEX('Input Transaksi'!$F:$F,$E482))</f>
        <v/>
      </c>
      <c r="E482">
        <f>IFERROR(AGGREGATE(15,6,ROW('Input Transaksi'!$B$5:$B$5000)/('Input Transaksi'!$B$5:$B$5000="CL SESETAN"),ROWS($E$5:E482)),"")</f>
        <v/>
      </c>
      <c r="F482" s="5" t="n"/>
    </row>
    <row r="483">
      <c r="A483" s="10">
        <f>IF($E483="","",INDEX('Input Transaksi'!$A:$A,$E483))</f>
        <v/>
      </c>
      <c r="B483" s="5">
        <f>IF($E483="","",INDEX('Input Transaksi'!$D:$D,$E483))</f>
        <v/>
      </c>
      <c r="C483">
        <f>IF($E483="","",INDEX('Input Transaksi'!$E:$E,$E483))</f>
        <v/>
      </c>
      <c r="D483" s="5">
        <f>IF($E483="","",INDEX('Input Transaksi'!$F:$F,$E483))</f>
        <v/>
      </c>
      <c r="E483">
        <f>IFERROR(AGGREGATE(15,6,ROW('Input Transaksi'!$B$5:$B$5000)/('Input Transaksi'!$B$5:$B$5000="CL SESETAN"),ROWS($E$5:E483)),"")</f>
        <v/>
      </c>
      <c r="F483" s="5" t="n"/>
    </row>
    <row r="484">
      <c r="A484" s="10">
        <f>IF($E484="","",INDEX('Input Transaksi'!$A:$A,$E484))</f>
        <v/>
      </c>
      <c r="B484" s="5">
        <f>IF($E484="","",INDEX('Input Transaksi'!$D:$D,$E484))</f>
        <v/>
      </c>
      <c r="C484">
        <f>IF($E484="","",INDEX('Input Transaksi'!$E:$E,$E484))</f>
        <v/>
      </c>
      <c r="D484" s="5">
        <f>IF($E484="","",INDEX('Input Transaksi'!$F:$F,$E484))</f>
        <v/>
      </c>
      <c r="E484">
        <f>IFERROR(AGGREGATE(15,6,ROW('Input Transaksi'!$B$5:$B$5000)/('Input Transaksi'!$B$5:$B$5000="CL SESETAN"),ROWS($E$5:E484)),"")</f>
        <v/>
      </c>
      <c r="F484" s="5" t="n"/>
    </row>
    <row r="485">
      <c r="A485" s="10">
        <f>IF($E485="","",INDEX('Input Transaksi'!$A:$A,$E485))</f>
        <v/>
      </c>
      <c r="B485" s="5">
        <f>IF($E485="","",INDEX('Input Transaksi'!$D:$D,$E485))</f>
        <v/>
      </c>
      <c r="C485">
        <f>IF($E485="","",INDEX('Input Transaksi'!$E:$E,$E485))</f>
        <v/>
      </c>
      <c r="D485" s="5">
        <f>IF($E485="","",INDEX('Input Transaksi'!$F:$F,$E485))</f>
        <v/>
      </c>
      <c r="E485">
        <f>IFERROR(AGGREGATE(15,6,ROW('Input Transaksi'!$B$5:$B$5000)/('Input Transaksi'!$B$5:$B$5000="CL SESETAN"),ROWS($E$5:E485)),"")</f>
        <v/>
      </c>
      <c r="F485" s="5" t="n"/>
    </row>
    <row r="486">
      <c r="A486" s="10">
        <f>IF($E486="","",INDEX('Input Transaksi'!$A:$A,$E486))</f>
        <v/>
      </c>
      <c r="B486" s="5">
        <f>IF($E486="","",INDEX('Input Transaksi'!$D:$D,$E486))</f>
        <v/>
      </c>
      <c r="C486">
        <f>IF($E486="","",INDEX('Input Transaksi'!$E:$E,$E486))</f>
        <v/>
      </c>
      <c r="D486" s="5">
        <f>IF($E486="","",INDEX('Input Transaksi'!$F:$F,$E486))</f>
        <v/>
      </c>
      <c r="E486">
        <f>IFERROR(AGGREGATE(15,6,ROW('Input Transaksi'!$B$5:$B$5000)/('Input Transaksi'!$B$5:$B$5000="CL SESETAN"),ROWS($E$5:E486)),"")</f>
        <v/>
      </c>
      <c r="F486" s="5" t="n"/>
    </row>
    <row r="487">
      <c r="A487" s="10">
        <f>IF($E487="","",INDEX('Input Transaksi'!$A:$A,$E487))</f>
        <v/>
      </c>
      <c r="B487" s="5">
        <f>IF($E487="","",INDEX('Input Transaksi'!$D:$D,$E487))</f>
        <v/>
      </c>
      <c r="C487">
        <f>IF($E487="","",INDEX('Input Transaksi'!$E:$E,$E487))</f>
        <v/>
      </c>
      <c r="D487" s="5">
        <f>IF($E487="","",INDEX('Input Transaksi'!$F:$F,$E487))</f>
        <v/>
      </c>
      <c r="E487">
        <f>IFERROR(AGGREGATE(15,6,ROW('Input Transaksi'!$B$5:$B$5000)/('Input Transaksi'!$B$5:$B$5000="CL SESETAN"),ROWS($E$5:E487)),"")</f>
        <v/>
      </c>
      <c r="F487" s="5" t="n"/>
    </row>
    <row r="488">
      <c r="A488" s="10">
        <f>IF($E488="","",INDEX('Input Transaksi'!$A:$A,$E488))</f>
        <v/>
      </c>
      <c r="B488" s="5">
        <f>IF($E488="","",INDEX('Input Transaksi'!$D:$D,$E488))</f>
        <v/>
      </c>
      <c r="C488">
        <f>IF($E488="","",INDEX('Input Transaksi'!$E:$E,$E488))</f>
        <v/>
      </c>
      <c r="D488" s="5">
        <f>IF($E488="","",INDEX('Input Transaksi'!$F:$F,$E488))</f>
        <v/>
      </c>
      <c r="E488">
        <f>IFERROR(AGGREGATE(15,6,ROW('Input Transaksi'!$B$5:$B$5000)/('Input Transaksi'!$B$5:$B$5000="CL SESETAN"),ROWS($E$5:E488)),"")</f>
        <v/>
      </c>
      <c r="F488" s="5" t="n"/>
    </row>
    <row r="489">
      <c r="A489" s="10">
        <f>IF($E489="","",INDEX('Input Transaksi'!$A:$A,$E489))</f>
        <v/>
      </c>
      <c r="B489" s="5">
        <f>IF($E489="","",INDEX('Input Transaksi'!$D:$D,$E489))</f>
        <v/>
      </c>
      <c r="C489">
        <f>IF($E489="","",INDEX('Input Transaksi'!$E:$E,$E489))</f>
        <v/>
      </c>
      <c r="D489" s="5">
        <f>IF($E489="","",INDEX('Input Transaksi'!$F:$F,$E489))</f>
        <v/>
      </c>
      <c r="E489">
        <f>IFERROR(AGGREGATE(15,6,ROW('Input Transaksi'!$B$5:$B$5000)/('Input Transaksi'!$B$5:$B$5000="CL SESETAN"),ROWS($E$5:E489)),"")</f>
        <v/>
      </c>
      <c r="F489" s="5" t="n"/>
    </row>
    <row r="490">
      <c r="A490" s="10">
        <f>IF($E490="","",INDEX('Input Transaksi'!$A:$A,$E490))</f>
        <v/>
      </c>
      <c r="B490" s="5">
        <f>IF($E490="","",INDEX('Input Transaksi'!$D:$D,$E490))</f>
        <v/>
      </c>
      <c r="C490">
        <f>IF($E490="","",INDEX('Input Transaksi'!$E:$E,$E490))</f>
        <v/>
      </c>
      <c r="D490" s="5">
        <f>IF($E490="","",INDEX('Input Transaksi'!$F:$F,$E490))</f>
        <v/>
      </c>
      <c r="E490">
        <f>IFERROR(AGGREGATE(15,6,ROW('Input Transaksi'!$B$5:$B$5000)/('Input Transaksi'!$B$5:$B$5000="CL SESETAN"),ROWS($E$5:E490)),"")</f>
        <v/>
      </c>
      <c r="F490" s="5" t="n"/>
    </row>
    <row r="491">
      <c r="A491" s="10">
        <f>IF($E491="","",INDEX('Input Transaksi'!$A:$A,$E491))</f>
        <v/>
      </c>
      <c r="B491" s="5">
        <f>IF($E491="","",INDEX('Input Transaksi'!$D:$D,$E491))</f>
        <v/>
      </c>
      <c r="C491">
        <f>IF($E491="","",INDEX('Input Transaksi'!$E:$E,$E491))</f>
        <v/>
      </c>
      <c r="D491" s="5">
        <f>IF($E491="","",INDEX('Input Transaksi'!$F:$F,$E491))</f>
        <v/>
      </c>
      <c r="E491">
        <f>IFERROR(AGGREGATE(15,6,ROW('Input Transaksi'!$B$5:$B$5000)/('Input Transaksi'!$B$5:$B$5000="CL SESETAN"),ROWS($E$5:E491)),"")</f>
        <v/>
      </c>
      <c r="F491" s="5" t="n"/>
    </row>
    <row r="492">
      <c r="A492" s="10">
        <f>IF($E492="","",INDEX('Input Transaksi'!$A:$A,$E492))</f>
        <v/>
      </c>
      <c r="B492" s="5">
        <f>IF($E492="","",INDEX('Input Transaksi'!$D:$D,$E492))</f>
        <v/>
      </c>
      <c r="C492">
        <f>IF($E492="","",INDEX('Input Transaksi'!$E:$E,$E492))</f>
        <v/>
      </c>
      <c r="D492" s="5">
        <f>IF($E492="","",INDEX('Input Transaksi'!$F:$F,$E492))</f>
        <v/>
      </c>
      <c r="E492">
        <f>IFERROR(AGGREGATE(15,6,ROW('Input Transaksi'!$B$5:$B$5000)/('Input Transaksi'!$B$5:$B$5000="CL SESETAN"),ROWS($E$5:E492)),"")</f>
        <v/>
      </c>
      <c r="F492" s="5" t="n"/>
    </row>
    <row r="493">
      <c r="A493" s="10">
        <f>IF($E493="","",INDEX('Input Transaksi'!$A:$A,$E493))</f>
        <v/>
      </c>
      <c r="B493" s="5">
        <f>IF($E493="","",INDEX('Input Transaksi'!$D:$D,$E493))</f>
        <v/>
      </c>
      <c r="C493">
        <f>IF($E493="","",INDEX('Input Transaksi'!$E:$E,$E493))</f>
        <v/>
      </c>
      <c r="D493" s="5">
        <f>IF($E493="","",INDEX('Input Transaksi'!$F:$F,$E493))</f>
        <v/>
      </c>
      <c r="E493">
        <f>IFERROR(AGGREGATE(15,6,ROW('Input Transaksi'!$B$5:$B$5000)/('Input Transaksi'!$B$5:$B$5000="CL SESETAN"),ROWS($E$5:E493)),"")</f>
        <v/>
      </c>
      <c r="F493" s="5" t="n"/>
    </row>
    <row r="494">
      <c r="A494" s="10">
        <f>IF($E494="","",INDEX('Input Transaksi'!$A:$A,$E494))</f>
        <v/>
      </c>
      <c r="B494" s="5">
        <f>IF($E494="","",INDEX('Input Transaksi'!$D:$D,$E494))</f>
        <v/>
      </c>
      <c r="C494">
        <f>IF($E494="","",INDEX('Input Transaksi'!$E:$E,$E494))</f>
        <v/>
      </c>
      <c r="D494" s="5">
        <f>IF($E494="","",INDEX('Input Transaksi'!$F:$F,$E494))</f>
        <v/>
      </c>
      <c r="E494">
        <f>IFERROR(AGGREGATE(15,6,ROW('Input Transaksi'!$B$5:$B$5000)/('Input Transaksi'!$B$5:$B$5000="CL SESETAN"),ROWS($E$5:E494)),"")</f>
        <v/>
      </c>
      <c r="F494" s="5" t="n"/>
    </row>
    <row r="495">
      <c r="A495" s="10">
        <f>IF($E495="","",INDEX('Input Transaksi'!$A:$A,$E495))</f>
        <v/>
      </c>
      <c r="B495" s="5">
        <f>IF($E495="","",INDEX('Input Transaksi'!$D:$D,$E495))</f>
        <v/>
      </c>
      <c r="C495">
        <f>IF($E495="","",INDEX('Input Transaksi'!$E:$E,$E495))</f>
        <v/>
      </c>
      <c r="D495" s="5">
        <f>IF($E495="","",INDEX('Input Transaksi'!$F:$F,$E495))</f>
        <v/>
      </c>
      <c r="E495">
        <f>IFERROR(AGGREGATE(15,6,ROW('Input Transaksi'!$B$5:$B$5000)/('Input Transaksi'!$B$5:$B$5000="CL SESETAN"),ROWS($E$5:E495)),"")</f>
        <v/>
      </c>
      <c r="F495" s="5" t="n"/>
    </row>
    <row r="496">
      <c r="A496" s="10">
        <f>IF($E496="","",INDEX('Input Transaksi'!$A:$A,$E496))</f>
        <v/>
      </c>
      <c r="B496" s="5">
        <f>IF($E496="","",INDEX('Input Transaksi'!$D:$D,$E496))</f>
        <v/>
      </c>
      <c r="C496">
        <f>IF($E496="","",INDEX('Input Transaksi'!$E:$E,$E496))</f>
        <v/>
      </c>
      <c r="D496" s="5">
        <f>IF($E496="","",INDEX('Input Transaksi'!$F:$F,$E496))</f>
        <v/>
      </c>
      <c r="E496">
        <f>IFERROR(AGGREGATE(15,6,ROW('Input Transaksi'!$B$5:$B$5000)/('Input Transaksi'!$B$5:$B$5000="CL SESETAN"),ROWS($E$5:E496)),"")</f>
        <v/>
      </c>
      <c r="F496" s="5" t="n"/>
    </row>
    <row r="497">
      <c r="A497" s="10">
        <f>IF($E497="","",INDEX('Input Transaksi'!$A:$A,$E497))</f>
        <v/>
      </c>
      <c r="B497" s="5">
        <f>IF($E497="","",INDEX('Input Transaksi'!$D:$D,$E497))</f>
        <v/>
      </c>
      <c r="C497">
        <f>IF($E497="","",INDEX('Input Transaksi'!$E:$E,$E497))</f>
        <v/>
      </c>
      <c r="D497" s="5">
        <f>IF($E497="","",INDEX('Input Transaksi'!$F:$F,$E497))</f>
        <v/>
      </c>
      <c r="E497">
        <f>IFERROR(AGGREGATE(15,6,ROW('Input Transaksi'!$B$5:$B$5000)/('Input Transaksi'!$B$5:$B$5000="CL SESETAN"),ROWS($E$5:E497)),"")</f>
        <v/>
      </c>
      <c r="F497" s="5" t="n"/>
    </row>
    <row r="498">
      <c r="A498" s="10">
        <f>IF($E498="","",INDEX('Input Transaksi'!$A:$A,$E498))</f>
        <v/>
      </c>
      <c r="B498" s="5">
        <f>IF($E498="","",INDEX('Input Transaksi'!$D:$D,$E498))</f>
        <v/>
      </c>
      <c r="C498">
        <f>IF($E498="","",INDEX('Input Transaksi'!$E:$E,$E498))</f>
        <v/>
      </c>
      <c r="D498" s="5">
        <f>IF($E498="","",INDEX('Input Transaksi'!$F:$F,$E498))</f>
        <v/>
      </c>
      <c r="E498">
        <f>IFERROR(AGGREGATE(15,6,ROW('Input Transaksi'!$B$5:$B$5000)/('Input Transaksi'!$B$5:$B$5000="CL SESETAN"),ROWS($E$5:E498)),"")</f>
        <v/>
      </c>
      <c r="F498" s="5" t="n"/>
    </row>
    <row r="499">
      <c r="A499" s="10">
        <f>IF($E499="","",INDEX('Input Transaksi'!$A:$A,$E499))</f>
        <v/>
      </c>
      <c r="B499" s="5">
        <f>IF($E499="","",INDEX('Input Transaksi'!$D:$D,$E499))</f>
        <v/>
      </c>
      <c r="C499">
        <f>IF($E499="","",INDEX('Input Transaksi'!$E:$E,$E499))</f>
        <v/>
      </c>
      <c r="D499" s="5">
        <f>IF($E499="","",INDEX('Input Transaksi'!$F:$F,$E499))</f>
        <v/>
      </c>
      <c r="E499">
        <f>IFERROR(AGGREGATE(15,6,ROW('Input Transaksi'!$B$5:$B$5000)/('Input Transaksi'!$B$5:$B$5000="CL SESETAN"),ROWS($E$5:E499)),"")</f>
        <v/>
      </c>
      <c r="F499" s="5" t="n"/>
    </row>
    <row r="500">
      <c r="A500" s="10">
        <f>IF($E500="","",INDEX('Input Transaksi'!$A:$A,$E500))</f>
        <v/>
      </c>
      <c r="B500" s="5">
        <f>IF($E500="","",INDEX('Input Transaksi'!$D:$D,$E500))</f>
        <v/>
      </c>
      <c r="C500">
        <f>IF($E500="","",INDEX('Input Transaksi'!$E:$E,$E500))</f>
        <v/>
      </c>
      <c r="D500" s="5">
        <f>IF($E500="","",INDEX('Input Transaksi'!$F:$F,$E500))</f>
        <v/>
      </c>
      <c r="E500">
        <f>IFERROR(AGGREGATE(15,6,ROW('Input Transaksi'!$B$5:$B$5000)/('Input Transaksi'!$B$5:$B$5000="CL SESETAN"),ROWS($E$5:E500)),"")</f>
        <v/>
      </c>
      <c r="F500" s="5" t="n"/>
    </row>
    <row r="501">
      <c r="A501" s="10">
        <f>IF($E501="","",INDEX('Input Transaksi'!$A:$A,$E501))</f>
        <v/>
      </c>
      <c r="B501" s="5">
        <f>IF($E501="","",INDEX('Input Transaksi'!$D:$D,$E501))</f>
        <v/>
      </c>
      <c r="C501">
        <f>IF($E501="","",INDEX('Input Transaksi'!$E:$E,$E501))</f>
        <v/>
      </c>
      <c r="D501" s="5">
        <f>IF($E501="","",INDEX('Input Transaksi'!$F:$F,$E501))</f>
        <v/>
      </c>
      <c r="E501">
        <f>IFERROR(AGGREGATE(15,6,ROW('Input Transaksi'!$B$5:$B$5000)/('Input Transaksi'!$B$5:$B$5000="CL SESETAN"),ROWS($E$5:E501)),"")</f>
        <v/>
      </c>
      <c r="F501" s="5" t="n"/>
    </row>
    <row r="502">
      <c r="A502" s="10">
        <f>IF($E502="","",INDEX('Input Transaksi'!$A:$A,$E502))</f>
        <v/>
      </c>
      <c r="B502" s="5">
        <f>IF($E502="","",INDEX('Input Transaksi'!$D:$D,$E502))</f>
        <v/>
      </c>
      <c r="C502">
        <f>IF($E502="","",INDEX('Input Transaksi'!$E:$E,$E502))</f>
        <v/>
      </c>
      <c r="D502" s="5">
        <f>IF($E502="","",INDEX('Input Transaksi'!$F:$F,$E502))</f>
        <v/>
      </c>
      <c r="E502">
        <f>IFERROR(AGGREGATE(15,6,ROW('Input Transaksi'!$B$5:$B$5000)/('Input Transaksi'!$B$5:$B$5000="CL SESETAN"),ROWS($E$5:E502)),"")</f>
        <v/>
      </c>
      <c r="F502" s="5" t="n"/>
    </row>
    <row r="503">
      <c r="A503" s="10">
        <f>IF($E503="","",INDEX('Input Transaksi'!$A:$A,$E503))</f>
        <v/>
      </c>
      <c r="B503" s="5">
        <f>IF($E503="","",INDEX('Input Transaksi'!$D:$D,$E503))</f>
        <v/>
      </c>
      <c r="C503">
        <f>IF($E503="","",INDEX('Input Transaksi'!$E:$E,$E503))</f>
        <v/>
      </c>
      <c r="D503" s="5">
        <f>IF($E503="","",INDEX('Input Transaksi'!$F:$F,$E503))</f>
        <v/>
      </c>
      <c r="E503">
        <f>IFERROR(AGGREGATE(15,6,ROW('Input Transaksi'!$B$5:$B$5000)/('Input Transaksi'!$B$5:$B$5000="CL SESETAN"),ROWS($E$5:E503)),"")</f>
        <v/>
      </c>
      <c r="F503" s="5" t="n"/>
    </row>
    <row r="504">
      <c r="A504" s="10">
        <f>IF($E504="","",INDEX('Input Transaksi'!$A:$A,$E504))</f>
        <v/>
      </c>
      <c r="B504" s="5">
        <f>IF($E504="","",INDEX('Input Transaksi'!$D:$D,$E504))</f>
        <v/>
      </c>
      <c r="C504">
        <f>IF($E504="","",INDEX('Input Transaksi'!$E:$E,$E504))</f>
        <v/>
      </c>
      <c r="D504" s="5">
        <f>IF($E504="","",INDEX('Input Transaksi'!$F:$F,$E504))</f>
        <v/>
      </c>
      <c r="E504">
        <f>IFERROR(AGGREGATE(15,6,ROW('Input Transaksi'!$B$5:$B$5000)/('Input Transaksi'!$B$5:$B$5000="CL SESETAN"),ROWS($E$5:E504)),"")</f>
        <v/>
      </c>
      <c r="F504" s="5" t="n"/>
    </row>
    <row r="505">
      <c r="A505" s="10">
        <f>IF($E505="","",INDEX('Input Transaksi'!$A:$A,$E505))</f>
        <v/>
      </c>
      <c r="B505" s="5">
        <f>IF($E505="","",INDEX('Input Transaksi'!$D:$D,$E505))</f>
        <v/>
      </c>
      <c r="C505">
        <f>IF($E505="","",INDEX('Input Transaksi'!$E:$E,$E505))</f>
        <v/>
      </c>
      <c r="D505" s="5">
        <f>IF($E505="","",INDEX('Input Transaksi'!$F:$F,$E505))</f>
        <v/>
      </c>
      <c r="E505">
        <f>IFERROR(AGGREGATE(15,6,ROW('Input Transaksi'!$B$5:$B$5000)/('Input Transaksi'!$B$5:$B$5000="CL SESETAN"),ROWS($E$5:E505)),"")</f>
        <v/>
      </c>
      <c r="F505" s="5" t="n"/>
    </row>
    <row r="506">
      <c r="A506" s="10">
        <f>IF($E506="","",INDEX('Input Transaksi'!$A:$A,$E506))</f>
        <v/>
      </c>
      <c r="B506" s="5">
        <f>IF($E506="","",INDEX('Input Transaksi'!$D:$D,$E506))</f>
        <v/>
      </c>
      <c r="C506">
        <f>IF($E506="","",INDEX('Input Transaksi'!$E:$E,$E506))</f>
        <v/>
      </c>
      <c r="D506" s="5">
        <f>IF($E506="","",INDEX('Input Transaksi'!$F:$F,$E506))</f>
        <v/>
      </c>
      <c r="E506">
        <f>IFERROR(AGGREGATE(15,6,ROW('Input Transaksi'!$B$5:$B$5000)/('Input Transaksi'!$B$5:$B$5000="CL SESETAN"),ROWS($E$5:E506)),"")</f>
        <v/>
      </c>
      <c r="F506" s="5" t="n"/>
    </row>
    <row r="507">
      <c r="A507" s="10">
        <f>IF($E507="","",INDEX('Input Transaksi'!$A:$A,$E507))</f>
        <v/>
      </c>
      <c r="B507" s="5">
        <f>IF($E507="","",INDEX('Input Transaksi'!$D:$D,$E507))</f>
        <v/>
      </c>
      <c r="C507">
        <f>IF($E507="","",INDEX('Input Transaksi'!$E:$E,$E507))</f>
        <v/>
      </c>
      <c r="D507" s="5">
        <f>IF($E507="","",INDEX('Input Transaksi'!$F:$F,$E507))</f>
        <v/>
      </c>
      <c r="E507">
        <f>IFERROR(AGGREGATE(15,6,ROW('Input Transaksi'!$B$5:$B$5000)/('Input Transaksi'!$B$5:$B$5000="CL SESETAN"),ROWS($E$5:E507)),"")</f>
        <v/>
      </c>
      <c r="F507" s="5" t="n"/>
    </row>
    <row r="508">
      <c r="A508" s="10">
        <f>IF($E508="","",INDEX('Input Transaksi'!$A:$A,$E508))</f>
        <v/>
      </c>
      <c r="B508" s="5">
        <f>IF($E508="","",INDEX('Input Transaksi'!$D:$D,$E508))</f>
        <v/>
      </c>
      <c r="C508">
        <f>IF($E508="","",INDEX('Input Transaksi'!$E:$E,$E508))</f>
        <v/>
      </c>
      <c r="D508" s="5">
        <f>IF($E508="","",INDEX('Input Transaksi'!$F:$F,$E508))</f>
        <v/>
      </c>
      <c r="E508">
        <f>IFERROR(AGGREGATE(15,6,ROW('Input Transaksi'!$B$5:$B$5000)/('Input Transaksi'!$B$5:$B$5000="CL SESETAN"),ROWS($E$5:E508)),"")</f>
        <v/>
      </c>
      <c r="F508" s="5" t="n"/>
    </row>
    <row r="509">
      <c r="A509" s="10">
        <f>IF($E509="","",INDEX('Input Transaksi'!$A:$A,$E509))</f>
        <v/>
      </c>
      <c r="B509" s="5">
        <f>IF($E509="","",INDEX('Input Transaksi'!$D:$D,$E509))</f>
        <v/>
      </c>
      <c r="C509">
        <f>IF($E509="","",INDEX('Input Transaksi'!$E:$E,$E509))</f>
        <v/>
      </c>
      <c r="D509" s="5">
        <f>IF($E509="","",INDEX('Input Transaksi'!$F:$F,$E509))</f>
        <v/>
      </c>
      <c r="E509">
        <f>IFERROR(AGGREGATE(15,6,ROW('Input Transaksi'!$B$5:$B$5000)/('Input Transaksi'!$B$5:$B$5000="CL SESETAN"),ROWS($E$5:E509)),"")</f>
        <v/>
      </c>
      <c r="F509" s="5" t="n"/>
    </row>
    <row r="510">
      <c r="A510" s="10">
        <f>IF($E510="","",INDEX('Input Transaksi'!$A:$A,$E510))</f>
        <v/>
      </c>
      <c r="B510" s="5">
        <f>IF($E510="","",INDEX('Input Transaksi'!$D:$D,$E510))</f>
        <v/>
      </c>
      <c r="C510">
        <f>IF($E510="","",INDEX('Input Transaksi'!$E:$E,$E510))</f>
        <v/>
      </c>
      <c r="D510" s="5">
        <f>IF($E510="","",INDEX('Input Transaksi'!$F:$F,$E510))</f>
        <v/>
      </c>
      <c r="E510">
        <f>IFERROR(AGGREGATE(15,6,ROW('Input Transaksi'!$B$5:$B$5000)/('Input Transaksi'!$B$5:$B$5000="CL SESETAN"),ROWS($E$5:E510)),"")</f>
        <v/>
      </c>
      <c r="F510" s="5" t="n"/>
    </row>
    <row r="511">
      <c r="A511" s="10">
        <f>IF($E511="","",INDEX('Input Transaksi'!$A:$A,$E511))</f>
        <v/>
      </c>
      <c r="B511" s="5">
        <f>IF($E511="","",INDEX('Input Transaksi'!$D:$D,$E511))</f>
        <v/>
      </c>
      <c r="C511">
        <f>IF($E511="","",INDEX('Input Transaksi'!$E:$E,$E511))</f>
        <v/>
      </c>
      <c r="D511" s="5">
        <f>IF($E511="","",INDEX('Input Transaksi'!$F:$F,$E511))</f>
        <v/>
      </c>
      <c r="E511">
        <f>IFERROR(AGGREGATE(15,6,ROW('Input Transaksi'!$B$5:$B$5000)/('Input Transaksi'!$B$5:$B$5000="CL SESETAN"),ROWS($E$5:E511)),"")</f>
        <v/>
      </c>
      <c r="F511" s="5" t="n"/>
    </row>
    <row r="512">
      <c r="A512" s="10">
        <f>IF($E512="","",INDEX('Input Transaksi'!$A:$A,$E512))</f>
        <v/>
      </c>
      <c r="B512" s="5">
        <f>IF($E512="","",INDEX('Input Transaksi'!$D:$D,$E512))</f>
        <v/>
      </c>
      <c r="C512">
        <f>IF($E512="","",INDEX('Input Transaksi'!$E:$E,$E512))</f>
        <v/>
      </c>
      <c r="D512" s="5">
        <f>IF($E512="","",INDEX('Input Transaksi'!$F:$F,$E512))</f>
        <v/>
      </c>
      <c r="E512">
        <f>IFERROR(AGGREGATE(15,6,ROW('Input Transaksi'!$B$5:$B$5000)/('Input Transaksi'!$B$5:$B$5000="CL SESETAN"),ROWS($E$5:E512)),"")</f>
        <v/>
      </c>
      <c r="F512" s="5" t="n"/>
    </row>
    <row r="513">
      <c r="A513" s="10">
        <f>IF($E513="","",INDEX('Input Transaksi'!$A:$A,$E513))</f>
        <v/>
      </c>
      <c r="B513" s="5">
        <f>IF($E513="","",INDEX('Input Transaksi'!$D:$D,$E513))</f>
        <v/>
      </c>
      <c r="C513">
        <f>IF($E513="","",INDEX('Input Transaksi'!$E:$E,$E513))</f>
        <v/>
      </c>
      <c r="D513" s="5">
        <f>IF($E513="","",INDEX('Input Transaksi'!$F:$F,$E513))</f>
        <v/>
      </c>
      <c r="E513">
        <f>IFERROR(AGGREGATE(15,6,ROW('Input Transaksi'!$B$5:$B$5000)/('Input Transaksi'!$B$5:$B$5000="CL SESETAN"),ROWS($E$5:E513)),"")</f>
        <v/>
      </c>
      <c r="F513" s="5" t="n"/>
    </row>
    <row r="514">
      <c r="A514" s="10">
        <f>IF($E514="","",INDEX('Input Transaksi'!$A:$A,$E514))</f>
        <v/>
      </c>
      <c r="B514" s="5">
        <f>IF($E514="","",INDEX('Input Transaksi'!$D:$D,$E514))</f>
        <v/>
      </c>
      <c r="C514">
        <f>IF($E514="","",INDEX('Input Transaksi'!$E:$E,$E514))</f>
        <v/>
      </c>
      <c r="D514" s="5">
        <f>IF($E514="","",INDEX('Input Transaksi'!$F:$F,$E514))</f>
        <v/>
      </c>
      <c r="E514">
        <f>IFERROR(AGGREGATE(15,6,ROW('Input Transaksi'!$B$5:$B$5000)/('Input Transaksi'!$B$5:$B$5000="CL SESETAN"),ROWS($E$5:E514)),"")</f>
        <v/>
      </c>
      <c r="F514" s="5" t="n"/>
    </row>
    <row r="515">
      <c r="A515" s="10">
        <f>IF($E515="","",INDEX('Input Transaksi'!$A:$A,$E515))</f>
        <v/>
      </c>
      <c r="B515" s="5">
        <f>IF($E515="","",INDEX('Input Transaksi'!$D:$D,$E515))</f>
        <v/>
      </c>
      <c r="C515">
        <f>IF($E515="","",INDEX('Input Transaksi'!$E:$E,$E515))</f>
        <v/>
      </c>
      <c r="D515" s="5">
        <f>IF($E515="","",INDEX('Input Transaksi'!$F:$F,$E515))</f>
        <v/>
      </c>
      <c r="E515">
        <f>IFERROR(AGGREGATE(15,6,ROW('Input Transaksi'!$B$5:$B$5000)/('Input Transaksi'!$B$5:$B$5000="CL SESETAN"),ROWS($E$5:E515)),"")</f>
        <v/>
      </c>
      <c r="F515" s="5" t="n"/>
    </row>
    <row r="516">
      <c r="A516" s="10">
        <f>IF($E516="","",INDEX('Input Transaksi'!$A:$A,$E516))</f>
        <v/>
      </c>
      <c r="B516" s="5">
        <f>IF($E516="","",INDEX('Input Transaksi'!$D:$D,$E516))</f>
        <v/>
      </c>
      <c r="C516">
        <f>IF($E516="","",INDEX('Input Transaksi'!$E:$E,$E516))</f>
        <v/>
      </c>
      <c r="D516" s="5">
        <f>IF($E516="","",INDEX('Input Transaksi'!$F:$F,$E516))</f>
        <v/>
      </c>
      <c r="E516">
        <f>IFERROR(AGGREGATE(15,6,ROW('Input Transaksi'!$B$5:$B$5000)/('Input Transaksi'!$B$5:$B$5000="CL SESETAN"),ROWS($E$5:E516)),"")</f>
        <v/>
      </c>
      <c r="F516" s="5" t="n"/>
    </row>
    <row r="517">
      <c r="A517" s="10">
        <f>IF($E517="","",INDEX('Input Transaksi'!$A:$A,$E517))</f>
        <v/>
      </c>
      <c r="B517" s="5">
        <f>IF($E517="","",INDEX('Input Transaksi'!$D:$D,$E517))</f>
        <v/>
      </c>
      <c r="C517">
        <f>IF($E517="","",INDEX('Input Transaksi'!$E:$E,$E517))</f>
        <v/>
      </c>
      <c r="D517" s="5">
        <f>IF($E517="","",INDEX('Input Transaksi'!$F:$F,$E517))</f>
        <v/>
      </c>
      <c r="E517">
        <f>IFERROR(AGGREGATE(15,6,ROW('Input Transaksi'!$B$5:$B$5000)/('Input Transaksi'!$B$5:$B$5000="CL SESETAN"),ROWS($E$5:E517)),"")</f>
        <v/>
      </c>
      <c r="F517" s="5" t="n"/>
    </row>
    <row r="518">
      <c r="A518" s="10">
        <f>IF($E518="","",INDEX('Input Transaksi'!$A:$A,$E518))</f>
        <v/>
      </c>
      <c r="B518" s="5">
        <f>IF($E518="","",INDEX('Input Transaksi'!$D:$D,$E518))</f>
        <v/>
      </c>
      <c r="C518">
        <f>IF($E518="","",INDEX('Input Transaksi'!$E:$E,$E518))</f>
        <v/>
      </c>
      <c r="D518" s="5">
        <f>IF($E518="","",INDEX('Input Transaksi'!$F:$F,$E518))</f>
        <v/>
      </c>
      <c r="E518">
        <f>IFERROR(AGGREGATE(15,6,ROW('Input Transaksi'!$B$5:$B$5000)/('Input Transaksi'!$B$5:$B$5000="CL SESETAN"),ROWS($E$5:E518)),"")</f>
        <v/>
      </c>
      <c r="F518" s="5" t="n"/>
    </row>
    <row r="519">
      <c r="A519" s="10">
        <f>IF($E519="","",INDEX('Input Transaksi'!$A:$A,$E519))</f>
        <v/>
      </c>
      <c r="B519" s="5">
        <f>IF($E519="","",INDEX('Input Transaksi'!$D:$D,$E519))</f>
        <v/>
      </c>
      <c r="C519">
        <f>IF($E519="","",INDEX('Input Transaksi'!$E:$E,$E519))</f>
        <v/>
      </c>
      <c r="D519" s="5">
        <f>IF($E519="","",INDEX('Input Transaksi'!$F:$F,$E519))</f>
        <v/>
      </c>
      <c r="E519">
        <f>IFERROR(AGGREGATE(15,6,ROW('Input Transaksi'!$B$5:$B$5000)/('Input Transaksi'!$B$5:$B$5000="CL SESETAN"),ROWS($E$5:E519)),"")</f>
        <v/>
      </c>
      <c r="F519" s="5" t="n"/>
    </row>
    <row r="520">
      <c r="A520" s="10">
        <f>IF($E520="","",INDEX('Input Transaksi'!$A:$A,$E520))</f>
        <v/>
      </c>
      <c r="B520" s="5">
        <f>IF($E520="","",INDEX('Input Transaksi'!$D:$D,$E520))</f>
        <v/>
      </c>
      <c r="C520">
        <f>IF($E520="","",INDEX('Input Transaksi'!$E:$E,$E520))</f>
        <v/>
      </c>
      <c r="D520" s="5">
        <f>IF($E520="","",INDEX('Input Transaksi'!$F:$F,$E520))</f>
        <v/>
      </c>
      <c r="E520">
        <f>IFERROR(AGGREGATE(15,6,ROW('Input Transaksi'!$B$5:$B$5000)/('Input Transaksi'!$B$5:$B$5000="CL SESETAN"),ROWS($E$5:E520)),"")</f>
        <v/>
      </c>
      <c r="F520" s="5" t="n"/>
    </row>
    <row r="521">
      <c r="A521" s="10">
        <f>IF($E521="","",INDEX('Input Transaksi'!$A:$A,$E521))</f>
        <v/>
      </c>
      <c r="B521" s="5">
        <f>IF($E521="","",INDEX('Input Transaksi'!$D:$D,$E521))</f>
        <v/>
      </c>
      <c r="C521">
        <f>IF($E521="","",INDEX('Input Transaksi'!$E:$E,$E521))</f>
        <v/>
      </c>
      <c r="D521" s="5">
        <f>IF($E521="","",INDEX('Input Transaksi'!$F:$F,$E521))</f>
        <v/>
      </c>
      <c r="E521">
        <f>IFERROR(AGGREGATE(15,6,ROW('Input Transaksi'!$B$5:$B$5000)/('Input Transaksi'!$B$5:$B$5000="CL SESETAN"),ROWS($E$5:E521)),"")</f>
        <v/>
      </c>
      <c r="F521" s="5" t="n"/>
    </row>
    <row r="522">
      <c r="A522" s="10">
        <f>IF($E522="","",INDEX('Input Transaksi'!$A:$A,$E522))</f>
        <v/>
      </c>
      <c r="B522" s="5">
        <f>IF($E522="","",INDEX('Input Transaksi'!$D:$D,$E522))</f>
        <v/>
      </c>
      <c r="C522">
        <f>IF($E522="","",INDEX('Input Transaksi'!$E:$E,$E522))</f>
        <v/>
      </c>
      <c r="D522" s="5">
        <f>IF($E522="","",INDEX('Input Transaksi'!$F:$F,$E522))</f>
        <v/>
      </c>
      <c r="E522">
        <f>IFERROR(AGGREGATE(15,6,ROW('Input Transaksi'!$B$5:$B$5000)/('Input Transaksi'!$B$5:$B$5000="CL SESETAN"),ROWS($E$5:E522)),"")</f>
        <v/>
      </c>
      <c r="F522" s="5" t="n"/>
    </row>
    <row r="523">
      <c r="A523" s="10">
        <f>IF($E523="","",INDEX('Input Transaksi'!$A:$A,$E523))</f>
        <v/>
      </c>
      <c r="B523" s="5">
        <f>IF($E523="","",INDEX('Input Transaksi'!$D:$D,$E523))</f>
        <v/>
      </c>
      <c r="C523">
        <f>IF($E523="","",INDEX('Input Transaksi'!$E:$E,$E523))</f>
        <v/>
      </c>
      <c r="D523" s="5">
        <f>IF($E523="","",INDEX('Input Transaksi'!$F:$F,$E523))</f>
        <v/>
      </c>
      <c r="E523">
        <f>IFERROR(AGGREGATE(15,6,ROW('Input Transaksi'!$B$5:$B$5000)/('Input Transaksi'!$B$5:$B$5000="CL SESETAN"),ROWS($E$5:E523)),"")</f>
        <v/>
      </c>
      <c r="F523" s="5" t="n"/>
    </row>
    <row r="524">
      <c r="A524" s="10">
        <f>IF($E524="","",INDEX('Input Transaksi'!$A:$A,$E524))</f>
        <v/>
      </c>
      <c r="B524" s="5">
        <f>IF($E524="","",INDEX('Input Transaksi'!$D:$D,$E524))</f>
        <v/>
      </c>
      <c r="C524">
        <f>IF($E524="","",INDEX('Input Transaksi'!$E:$E,$E524))</f>
        <v/>
      </c>
      <c r="D524" s="5">
        <f>IF($E524="","",INDEX('Input Transaksi'!$F:$F,$E524))</f>
        <v/>
      </c>
      <c r="E524">
        <f>IFERROR(AGGREGATE(15,6,ROW('Input Transaksi'!$B$5:$B$5000)/('Input Transaksi'!$B$5:$B$5000="CL SESETAN"),ROWS($E$5:E524)),"")</f>
        <v/>
      </c>
      <c r="F524" s="5" t="n"/>
    </row>
    <row r="525">
      <c r="A525" s="10">
        <f>IF($E525="","",INDEX('Input Transaksi'!$A:$A,$E525))</f>
        <v/>
      </c>
      <c r="B525" s="5">
        <f>IF($E525="","",INDEX('Input Transaksi'!$D:$D,$E525))</f>
        <v/>
      </c>
      <c r="C525">
        <f>IF($E525="","",INDEX('Input Transaksi'!$E:$E,$E525))</f>
        <v/>
      </c>
      <c r="D525" s="5">
        <f>IF($E525="","",INDEX('Input Transaksi'!$F:$F,$E525))</f>
        <v/>
      </c>
      <c r="E525">
        <f>IFERROR(AGGREGATE(15,6,ROW('Input Transaksi'!$B$5:$B$5000)/('Input Transaksi'!$B$5:$B$5000="CL SESETAN"),ROWS($E$5:E525)),"")</f>
        <v/>
      </c>
      <c r="F525" s="5" t="n"/>
    </row>
    <row r="526">
      <c r="A526" s="10">
        <f>IF($E526="","",INDEX('Input Transaksi'!$A:$A,$E526))</f>
        <v/>
      </c>
      <c r="B526" s="5">
        <f>IF($E526="","",INDEX('Input Transaksi'!$D:$D,$E526))</f>
        <v/>
      </c>
      <c r="C526">
        <f>IF($E526="","",INDEX('Input Transaksi'!$E:$E,$E526))</f>
        <v/>
      </c>
      <c r="D526" s="5">
        <f>IF($E526="","",INDEX('Input Transaksi'!$F:$F,$E526))</f>
        <v/>
      </c>
      <c r="E526">
        <f>IFERROR(AGGREGATE(15,6,ROW('Input Transaksi'!$B$5:$B$5000)/('Input Transaksi'!$B$5:$B$5000="CL SESETAN"),ROWS($E$5:E526)),"")</f>
        <v/>
      </c>
      <c r="F526" s="5" t="n"/>
    </row>
    <row r="527">
      <c r="A527" s="10">
        <f>IF($E527="","",INDEX('Input Transaksi'!$A:$A,$E527))</f>
        <v/>
      </c>
      <c r="B527" s="5">
        <f>IF($E527="","",INDEX('Input Transaksi'!$D:$D,$E527))</f>
        <v/>
      </c>
      <c r="C527">
        <f>IF($E527="","",INDEX('Input Transaksi'!$E:$E,$E527))</f>
        <v/>
      </c>
      <c r="D527" s="5">
        <f>IF($E527="","",INDEX('Input Transaksi'!$F:$F,$E527))</f>
        <v/>
      </c>
      <c r="E527">
        <f>IFERROR(AGGREGATE(15,6,ROW('Input Transaksi'!$B$5:$B$5000)/('Input Transaksi'!$B$5:$B$5000="CL SESETAN"),ROWS($E$5:E527)),"")</f>
        <v/>
      </c>
      <c r="F527" s="5" t="n"/>
    </row>
    <row r="528">
      <c r="A528" s="10">
        <f>IF($E528="","",INDEX('Input Transaksi'!$A:$A,$E528))</f>
        <v/>
      </c>
      <c r="B528" s="5">
        <f>IF($E528="","",INDEX('Input Transaksi'!$D:$D,$E528))</f>
        <v/>
      </c>
      <c r="C528">
        <f>IF($E528="","",INDEX('Input Transaksi'!$E:$E,$E528))</f>
        <v/>
      </c>
      <c r="D528" s="5">
        <f>IF($E528="","",INDEX('Input Transaksi'!$F:$F,$E528))</f>
        <v/>
      </c>
      <c r="E528">
        <f>IFERROR(AGGREGATE(15,6,ROW('Input Transaksi'!$B$5:$B$5000)/('Input Transaksi'!$B$5:$B$5000="CL SESETAN"),ROWS($E$5:E528)),"")</f>
        <v/>
      </c>
      <c r="F528" s="5" t="n"/>
    </row>
    <row r="529">
      <c r="A529" s="10">
        <f>IF($E529="","",INDEX('Input Transaksi'!$A:$A,$E529))</f>
        <v/>
      </c>
      <c r="B529" s="5">
        <f>IF($E529="","",INDEX('Input Transaksi'!$D:$D,$E529))</f>
        <v/>
      </c>
      <c r="C529">
        <f>IF($E529="","",INDEX('Input Transaksi'!$E:$E,$E529))</f>
        <v/>
      </c>
      <c r="D529" s="5">
        <f>IF($E529="","",INDEX('Input Transaksi'!$F:$F,$E529))</f>
        <v/>
      </c>
      <c r="E529">
        <f>IFERROR(AGGREGATE(15,6,ROW('Input Transaksi'!$B$5:$B$5000)/('Input Transaksi'!$B$5:$B$5000="CL SESETAN"),ROWS($E$5:E529)),"")</f>
        <v/>
      </c>
      <c r="F529" s="5" t="n"/>
    </row>
    <row r="530">
      <c r="A530" s="10">
        <f>IF($E530="","",INDEX('Input Transaksi'!$A:$A,$E530))</f>
        <v/>
      </c>
      <c r="B530" s="5">
        <f>IF($E530="","",INDEX('Input Transaksi'!$D:$D,$E530))</f>
        <v/>
      </c>
      <c r="C530">
        <f>IF($E530="","",INDEX('Input Transaksi'!$E:$E,$E530))</f>
        <v/>
      </c>
      <c r="D530" s="5">
        <f>IF($E530="","",INDEX('Input Transaksi'!$F:$F,$E530))</f>
        <v/>
      </c>
      <c r="E530">
        <f>IFERROR(AGGREGATE(15,6,ROW('Input Transaksi'!$B$5:$B$5000)/('Input Transaksi'!$B$5:$B$5000="CL SESETAN"),ROWS($E$5:E530)),"")</f>
        <v/>
      </c>
      <c r="F530" s="5" t="n"/>
    </row>
    <row r="531">
      <c r="A531" s="10">
        <f>IF($E531="","",INDEX('Input Transaksi'!$A:$A,$E531))</f>
        <v/>
      </c>
      <c r="B531" s="5">
        <f>IF($E531="","",INDEX('Input Transaksi'!$D:$D,$E531))</f>
        <v/>
      </c>
      <c r="C531">
        <f>IF($E531="","",INDEX('Input Transaksi'!$E:$E,$E531))</f>
        <v/>
      </c>
      <c r="D531" s="5">
        <f>IF($E531="","",INDEX('Input Transaksi'!$F:$F,$E531))</f>
        <v/>
      </c>
      <c r="E531">
        <f>IFERROR(AGGREGATE(15,6,ROW('Input Transaksi'!$B$5:$B$5000)/('Input Transaksi'!$B$5:$B$5000="CL SESETAN"),ROWS($E$5:E531)),"")</f>
        <v/>
      </c>
      <c r="F531" s="5" t="n"/>
    </row>
    <row r="532">
      <c r="A532" s="10">
        <f>IF($E532="","",INDEX('Input Transaksi'!$A:$A,$E532))</f>
        <v/>
      </c>
      <c r="B532" s="5">
        <f>IF($E532="","",INDEX('Input Transaksi'!$D:$D,$E532))</f>
        <v/>
      </c>
      <c r="C532">
        <f>IF($E532="","",INDEX('Input Transaksi'!$E:$E,$E532))</f>
        <v/>
      </c>
      <c r="D532" s="5">
        <f>IF($E532="","",INDEX('Input Transaksi'!$F:$F,$E532))</f>
        <v/>
      </c>
      <c r="E532">
        <f>IFERROR(AGGREGATE(15,6,ROW('Input Transaksi'!$B$5:$B$5000)/('Input Transaksi'!$B$5:$B$5000="CL SESETAN"),ROWS($E$5:E532)),"")</f>
        <v/>
      </c>
      <c r="F532" s="5" t="n"/>
    </row>
    <row r="533">
      <c r="A533" s="10">
        <f>IF($E533="","",INDEX('Input Transaksi'!$A:$A,$E533))</f>
        <v/>
      </c>
      <c r="B533" s="5">
        <f>IF($E533="","",INDEX('Input Transaksi'!$D:$D,$E533))</f>
        <v/>
      </c>
      <c r="C533">
        <f>IF($E533="","",INDEX('Input Transaksi'!$E:$E,$E533))</f>
        <v/>
      </c>
      <c r="D533" s="5">
        <f>IF($E533="","",INDEX('Input Transaksi'!$F:$F,$E533))</f>
        <v/>
      </c>
      <c r="E533">
        <f>IFERROR(AGGREGATE(15,6,ROW('Input Transaksi'!$B$5:$B$5000)/('Input Transaksi'!$B$5:$B$5000="CL SESETAN"),ROWS($E$5:E533)),"")</f>
        <v/>
      </c>
      <c r="F533" s="5" t="n"/>
    </row>
    <row r="534">
      <c r="A534" s="10">
        <f>IF($E534="","",INDEX('Input Transaksi'!$A:$A,$E534))</f>
        <v/>
      </c>
      <c r="B534" s="5">
        <f>IF($E534="","",INDEX('Input Transaksi'!$D:$D,$E534))</f>
        <v/>
      </c>
      <c r="C534">
        <f>IF($E534="","",INDEX('Input Transaksi'!$E:$E,$E534))</f>
        <v/>
      </c>
      <c r="D534" s="5">
        <f>IF($E534="","",INDEX('Input Transaksi'!$F:$F,$E534))</f>
        <v/>
      </c>
      <c r="E534">
        <f>IFERROR(AGGREGATE(15,6,ROW('Input Transaksi'!$B$5:$B$5000)/('Input Transaksi'!$B$5:$B$5000="CL SESETAN"),ROWS($E$5:E534)),"")</f>
        <v/>
      </c>
      <c r="F534" s="5" t="n"/>
    </row>
    <row r="535">
      <c r="A535" s="10">
        <f>IF($E535="","",INDEX('Input Transaksi'!$A:$A,$E535))</f>
        <v/>
      </c>
      <c r="B535" s="5">
        <f>IF($E535="","",INDEX('Input Transaksi'!$D:$D,$E535))</f>
        <v/>
      </c>
      <c r="C535">
        <f>IF($E535="","",INDEX('Input Transaksi'!$E:$E,$E535))</f>
        <v/>
      </c>
      <c r="D535" s="5">
        <f>IF($E535="","",INDEX('Input Transaksi'!$F:$F,$E535))</f>
        <v/>
      </c>
      <c r="E535">
        <f>IFERROR(AGGREGATE(15,6,ROW('Input Transaksi'!$B$5:$B$5000)/('Input Transaksi'!$B$5:$B$5000="CL SESETAN"),ROWS($E$5:E535)),"")</f>
        <v/>
      </c>
      <c r="F535" s="5" t="n"/>
    </row>
    <row r="536">
      <c r="A536" s="10">
        <f>IF($E536="","",INDEX('Input Transaksi'!$A:$A,$E536))</f>
        <v/>
      </c>
      <c r="B536" s="5">
        <f>IF($E536="","",INDEX('Input Transaksi'!$D:$D,$E536))</f>
        <v/>
      </c>
      <c r="C536">
        <f>IF($E536="","",INDEX('Input Transaksi'!$E:$E,$E536))</f>
        <v/>
      </c>
      <c r="D536" s="5">
        <f>IF($E536="","",INDEX('Input Transaksi'!$F:$F,$E536))</f>
        <v/>
      </c>
      <c r="E536">
        <f>IFERROR(AGGREGATE(15,6,ROW('Input Transaksi'!$B$5:$B$5000)/('Input Transaksi'!$B$5:$B$5000="CL SESETAN"),ROWS($E$5:E536)),"")</f>
        <v/>
      </c>
      <c r="F536" s="5" t="n"/>
    </row>
    <row r="537">
      <c r="A537" s="10">
        <f>IF($E537="","",INDEX('Input Transaksi'!$A:$A,$E537))</f>
        <v/>
      </c>
      <c r="B537" s="5">
        <f>IF($E537="","",INDEX('Input Transaksi'!$D:$D,$E537))</f>
        <v/>
      </c>
      <c r="C537">
        <f>IF($E537="","",INDEX('Input Transaksi'!$E:$E,$E537))</f>
        <v/>
      </c>
      <c r="D537" s="5">
        <f>IF($E537="","",INDEX('Input Transaksi'!$F:$F,$E537))</f>
        <v/>
      </c>
      <c r="E537">
        <f>IFERROR(AGGREGATE(15,6,ROW('Input Transaksi'!$B$5:$B$5000)/('Input Transaksi'!$B$5:$B$5000="CL SESETAN"),ROWS($E$5:E537)),"")</f>
        <v/>
      </c>
      <c r="F537" s="5" t="n"/>
    </row>
    <row r="538">
      <c r="A538" s="10">
        <f>IF($E538="","",INDEX('Input Transaksi'!$A:$A,$E538))</f>
        <v/>
      </c>
      <c r="B538" s="5">
        <f>IF($E538="","",INDEX('Input Transaksi'!$D:$D,$E538))</f>
        <v/>
      </c>
      <c r="C538">
        <f>IF($E538="","",INDEX('Input Transaksi'!$E:$E,$E538))</f>
        <v/>
      </c>
      <c r="D538" s="5">
        <f>IF($E538="","",INDEX('Input Transaksi'!$F:$F,$E538))</f>
        <v/>
      </c>
      <c r="E538">
        <f>IFERROR(AGGREGATE(15,6,ROW('Input Transaksi'!$B$5:$B$5000)/('Input Transaksi'!$B$5:$B$5000="CL SESETAN"),ROWS($E$5:E538)),"")</f>
        <v/>
      </c>
      <c r="F538" s="5" t="n"/>
    </row>
    <row r="539">
      <c r="A539" s="10">
        <f>IF($E539="","",INDEX('Input Transaksi'!$A:$A,$E539))</f>
        <v/>
      </c>
      <c r="B539" s="5">
        <f>IF($E539="","",INDEX('Input Transaksi'!$D:$D,$E539))</f>
        <v/>
      </c>
      <c r="C539">
        <f>IF($E539="","",INDEX('Input Transaksi'!$E:$E,$E539))</f>
        <v/>
      </c>
      <c r="D539" s="5">
        <f>IF($E539="","",INDEX('Input Transaksi'!$F:$F,$E539))</f>
        <v/>
      </c>
      <c r="E539">
        <f>IFERROR(AGGREGATE(15,6,ROW('Input Transaksi'!$B$5:$B$5000)/('Input Transaksi'!$B$5:$B$5000="CL SESETAN"),ROWS($E$5:E539)),"")</f>
        <v/>
      </c>
      <c r="F539" s="5" t="n"/>
    </row>
    <row r="540">
      <c r="A540" s="10">
        <f>IF($E540="","",INDEX('Input Transaksi'!$A:$A,$E540))</f>
        <v/>
      </c>
      <c r="B540" s="5">
        <f>IF($E540="","",INDEX('Input Transaksi'!$D:$D,$E540))</f>
        <v/>
      </c>
      <c r="C540">
        <f>IF($E540="","",INDEX('Input Transaksi'!$E:$E,$E540))</f>
        <v/>
      </c>
      <c r="D540" s="5">
        <f>IF($E540="","",INDEX('Input Transaksi'!$F:$F,$E540))</f>
        <v/>
      </c>
      <c r="E540">
        <f>IFERROR(AGGREGATE(15,6,ROW('Input Transaksi'!$B$5:$B$5000)/('Input Transaksi'!$B$5:$B$5000="CL SESETAN"),ROWS($E$5:E540)),"")</f>
        <v/>
      </c>
      <c r="F540" s="5" t="n"/>
    </row>
    <row r="541">
      <c r="A541" s="10">
        <f>IF($E541="","",INDEX('Input Transaksi'!$A:$A,$E541))</f>
        <v/>
      </c>
      <c r="B541" s="5">
        <f>IF($E541="","",INDEX('Input Transaksi'!$D:$D,$E541))</f>
        <v/>
      </c>
      <c r="C541">
        <f>IF($E541="","",INDEX('Input Transaksi'!$E:$E,$E541))</f>
        <v/>
      </c>
      <c r="D541" s="5">
        <f>IF($E541="","",INDEX('Input Transaksi'!$F:$F,$E541))</f>
        <v/>
      </c>
      <c r="E541">
        <f>IFERROR(AGGREGATE(15,6,ROW('Input Transaksi'!$B$5:$B$5000)/('Input Transaksi'!$B$5:$B$5000="CL SESETAN"),ROWS($E$5:E541)),"")</f>
        <v/>
      </c>
      <c r="F541" s="5" t="n"/>
    </row>
    <row r="542">
      <c r="A542" s="10">
        <f>IF($E542="","",INDEX('Input Transaksi'!$A:$A,$E542))</f>
        <v/>
      </c>
      <c r="B542" s="5">
        <f>IF($E542="","",INDEX('Input Transaksi'!$D:$D,$E542))</f>
        <v/>
      </c>
      <c r="C542">
        <f>IF($E542="","",INDEX('Input Transaksi'!$E:$E,$E542))</f>
        <v/>
      </c>
      <c r="D542" s="5">
        <f>IF($E542="","",INDEX('Input Transaksi'!$F:$F,$E542))</f>
        <v/>
      </c>
      <c r="E542">
        <f>IFERROR(AGGREGATE(15,6,ROW('Input Transaksi'!$B$5:$B$5000)/('Input Transaksi'!$B$5:$B$5000="CL SESETAN"),ROWS($E$5:E542)),"")</f>
        <v/>
      </c>
      <c r="F542" s="5" t="n"/>
    </row>
    <row r="543">
      <c r="A543" s="10">
        <f>IF($E543="","",INDEX('Input Transaksi'!$A:$A,$E543))</f>
        <v/>
      </c>
      <c r="B543" s="5">
        <f>IF($E543="","",INDEX('Input Transaksi'!$D:$D,$E543))</f>
        <v/>
      </c>
      <c r="C543">
        <f>IF($E543="","",INDEX('Input Transaksi'!$E:$E,$E543))</f>
        <v/>
      </c>
      <c r="D543" s="5">
        <f>IF($E543="","",INDEX('Input Transaksi'!$F:$F,$E543))</f>
        <v/>
      </c>
      <c r="E543">
        <f>IFERROR(AGGREGATE(15,6,ROW('Input Transaksi'!$B$5:$B$5000)/('Input Transaksi'!$B$5:$B$5000="CL SESETAN"),ROWS($E$5:E543)),"")</f>
        <v/>
      </c>
      <c r="F543" s="5" t="n"/>
    </row>
    <row r="544">
      <c r="A544" s="10">
        <f>IF($E544="","",INDEX('Input Transaksi'!$A:$A,$E544))</f>
        <v/>
      </c>
      <c r="B544" s="5">
        <f>IF($E544="","",INDEX('Input Transaksi'!$D:$D,$E544))</f>
        <v/>
      </c>
      <c r="C544">
        <f>IF($E544="","",INDEX('Input Transaksi'!$E:$E,$E544))</f>
        <v/>
      </c>
      <c r="D544" s="5">
        <f>IF($E544="","",INDEX('Input Transaksi'!$F:$F,$E544))</f>
        <v/>
      </c>
      <c r="E544">
        <f>IFERROR(AGGREGATE(15,6,ROW('Input Transaksi'!$B$5:$B$5000)/('Input Transaksi'!$B$5:$B$5000="CL SESETAN"),ROWS($E$5:E544)),"")</f>
        <v/>
      </c>
      <c r="F544" s="5" t="n"/>
    </row>
    <row r="545">
      <c r="A545" s="10">
        <f>IF($E545="","",INDEX('Input Transaksi'!$A:$A,$E545))</f>
        <v/>
      </c>
      <c r="B545" s="5">
        <f>IF($E545="","",INDEX('Input Transaksi'!$D:$D,$E545))</f>
        <v/>
      </c>
      <c r="C545">
        <f>IF($E545="","",INDEX('Input Transaksi'!$E:$E,$E545))</f>
        <v/>
      </c>
      <c r="D545" s="5">
        <f>IF($E545="","",INDEX('Input Transaksi'!$F:$F,$E545))</f>
        <v/>
      </c>
      <c r="E545">
        <f>IFERROR(AGGREGATE(15,6,ROW('Input Transaksi'!$B$5:$B$5000)/('Input Transaksi'!$B$5:$B$5000="CL SESETAN"),ROWS($E$5:E545)),"")</f>
        <v/>
      </c>
      <c r="F545" s="5" t="n"/>
    </row>
    <row r="546">
      <c r="A546" s="10">
        <f>IF($E546="","",INDEX('Input Transaksi'!$A:$A,$E546))</f>
        <v/>
      </c>
      <c r="B546" s="5">
        <f>IF($E546="","",INDEX('Input Transaksi'!$D:$D,$E546))</f>
        <v/>
      </c>
      <c r="C546">
        <f>IF($E546="","",INDEX('Input Transaksi'!$E:$E,$E546))</f>
        <v/>
      </c>
      <c r="D546" s="5">
        <f>IF($E546="","",INDEX('Input Transaksi'!$F:$F,$E546))</f>
        <v/>
      </c>
      <c r="E546">
        <f>IFERROR(AGGREGATE(15,6,ROW('Input Transaksi'!$B$5:$B$5000)/('Input Transaksi'!$B$5:$B$5000="CL SESETAN"),ROWS($E$5:E546)),"")</f>
        <v/>
      </c>
      <c r="F546" s="5" t="n"/>
    </row>
    <row r="547">
      <c r="A547" s="10">
        <f>IF($E547="","",INDEX('Input Transaksi'!$A:$A,$E547))</f>
        <v/>
      </c>
      <c r="B547" s="5">
        <f>IF($E547="","",INDEX('Input Transaksi'!$D:$D,$E547))</f>
        <v/>
      </c>
      <c r="C547">
        <f>IF($E547="","",INDEX('Input Transaksi'!$E:$E,$E547))</f>
        <v/>
      </c>
      <c r="D547" s="5">
        <f>IF($E547="","",INDEX('Input Transaksi'!$F:$F,$E547))</f>
        <v/>
      </c>
      <c r="E547">
        <f>IFERROR(AGGREGATE(15,6,ROW('Input Transaksi'!$B$5:$B$5000)/('Input Transaksi'!$B$5:$B$5000="CL SESETAN"),ROWS($E$5:E547)),"")</f>
        <v/>
      </c>
      <c r="F547" s="5" t="n"/>
    </row>
    <row r="548">
      <c r="A548" s="10">
        <f>IF($E548="","",INDEX('Input Transaksi'!$A:$A,$E548))</f>
        <v/>
      </c>
      <c r="B548" s="5">
        <f>IF($E548="","",INDEX('Input Transaksi'!$D:$D,$E548))</f>
        <v/>
      </c>
      <c r="C548">
        <f>IF($E548="","",INDEX('Input Transaksi'!$E:$E,$E548))</f>
        <v/>
      </c>
      <c r="D548" s="5">
        <f>IF($E548="","",INDEX('Input Transaksi'!$F:$F,$E548))</f>
        <v/>
      </c>
      <c r="E548">
        <f>IFERROR(AGGREGATE(15,6,ROW('Input Transaksi'!$B$5:$B$5000)/('Input Transaksi'!$B$5:$B$5000="CL SESETAN"),ROWS($E$5:E548)),"")</f>
        <v/>
      </c>
      <c r="F548" s="5" t="n"/>
    </row>
    <row r="549">
      <c r="A549" s="10">
        <f>IF($E549="","",INDEX('Input Transaksi'!$A:$A,$E549))</f>
        <v/>
      </c>
      <c r="B549" s="5">
        <f>IF($E549="","",INDEX('Input Transaksi'!$D:$D,$E549))</f>
        <v/>
      </c>
      <c r="C549">
        <f>IF($E549="","",INDEX('Input Transaksi'!$E:$E,$E549))</f>
        <v/>
      </c>
      <c r="D549" s="5">
        <f>IF($E549="","",INDEX('Input Transaksi'!$F:$F,$E549))</f>
        <v/>
      </c>
      <c r="E549">
        <f>IFERROR(AGGREGATE(15,6,ROW('Input Transaksi'!$B$5:$B$5000)/('Input Transaksi'!$B$5:$B$5000="CL SESETAN"),ROWS($E$5:E549)),"")</f>
        <v/>
      </c>
      <c r="F549" s="5" t="n"/>
    </row>
    <row r="550">
      <c r="A550" s="10">
        <f>IF($E550="","",INDEX('Input Transaksi'!$A:$A,$E550))</f>
        <v/>
      </c>
      <c r="B550" s="5">
        <f>IF($E550="","",INDEX('Input Transaksi'!$D:$D,$E550))</f>
        <v/>
      </c>
      <c r="C550">
        <f>IF($E550="","",INDEX('Input Transaksi'!$E:$E,$E550))</f>
        <v/>
      </c>
      <c r="D550" s="5">
        <f>IF($E550="","",INDEX('Input Transaksi'!$F:$F,$E550))</f>
        <v/>
      </c>
      <c r="E550">
        <f>IFERROR(AGGREGATE(15,6,ROW('Input Transaksi'!$B$5:$B$5000)/('Input Transaksi'!$B$5:$B$5000="CL SESETAN"),ROWS($E$5:E550)),"")</f>
        <v/>
      </c>
      <c r="F550" s="5" t="n"/>
    </row>
    <row r="551">
      <c r="A551" s="10">
        <f>IF($E551="","",INDEX('Input Transaksi'!$A:$A,$E551))</f>
        <v/>
      </c>
      <c r="B551" s="5">
        <f>IF($E551="","",INDEX('Input Transaksi'!$D:$D,$E551))</f>
        <v/>
      </c>
      <c r="C551">
        <f>IF($E551="","",INDEX('Input Transaksi'!$E:$E,$E551))</f>
        <v/>
      </c>
      <c r="D551" s="5">
        <f>IF($E551="","",INDEX('Input Transaksi'!$F:$F,$E551))</f>
        <v/>
      </c>
      <c r="E551">
        <f>IFERROR(AGGREGATE(15,6,ROW('Input Transaksi'!$B$5:$B$5000)/('Input Transaksi'!$B$5:$B$5000="CL SESETAN"),ROWS($E$5:E551)),"")</f>
        <v/>
      </c>
      <c r="F551" s="5" t="n"/>
    </row>
    <row r="552">
      <c r="A552" s="10">
        <f>IF($E552="","",INDEX('Input Transaksi'!$A:$A,$E552))</f>
        <v/>
      </c>
      <c r="B552" s="5">
        <f>IF($E552="","",INDEX('Input Transaksi'!$D:$D,$E552))</f>
        <v/>
      </c>
      <c r="C552">
        <f>IF($E552="","",INDEX('Input Transaksi'!$E:$E,$E552))</f>
        <v/>
      </c>
      <c r="D552" s="5">
        <f>IF($E552="","",INDEX('Input Transaksi'!$F:$F,$E552))</f>
        <v/>
      </c>
      <c r="E552">
        <f>IFERROR(AGGREGATE(15,6,ROW('Input Transaksi'!$B$5:$B$5000)/('Input Transaksi'!$B$5:$B$5000="CL SESETAN"),ROWS($E$5:E552)),"")</f>
        <v/>
      </c>
      <c r="F552" s="5" t="n"/>
    </row>
    <row r="553">
      <c r="A553" s="10">
        <f>IF($E553="","",INDEX('Input Transaksi'!$A:$A,$E553))</f>
        <v/>
      </c>
      <c r="B553" s="5">
        <f>IF($E553="","",INDEX('Input Transaksi'!$D:$D,$E553))</f>
        <v/>
      </c>
      <c r="C553">
        <f>IF($E553="","",INDEX('Input Transaksi'!$E:$E,$E553))</f>
        <v/>
      </c>
      <c r="D553" s="5">
        <f>IF($E553="","",INDEX('Input Transaksi'!$F:$F,$E553))</f>
        <v/>
      </c>
      <c r="E553">
        <f>IFERROR(AGGREGATE(15,6,ROW('Input Transaksi'!$B$5:$B$5000)/('Input Transaksi'!$B$5:$B$5000="CL SESETAN"),ROWS($E$5:E553)),"")</f>
        <v/>
      </c>
      <c r="F553" s="5" t="n"/>
    </row>
    <row r="554">
      <c r="A554" s="10">
        <f>IF($E554="","",INDEX('Input Transaksi'!$A:$A,$E554))</f>
        <v/>
      </c>
      <c r="B554" s="5">
        <f>IF($E554="","",INDEX('Input Transaksi'!$D:$D,$E554))</f>
        <v/>
      </c>
      <c r="C554">
        <f>IF($E554="","",INDEX('Input Transaksi'!$E:$E,$E554))</f>
        <v/>
      </c>
      <c r="D554" s="5">
        <f>IF($E554="","",INDEX('Input Transaksi'!$F:$F,$E554))</f>
        <v/>
      </c>
      <c r="E554">
        <f>IFERROR(AGGREGATE(15,6,ROW('Input Transaksi'!$B$5:$B$5000)/('Input Transaksi'!$B$5:$B$5000="CL SESETAN"),ROWS($E$5:E554)),"")</f>
        <v/>
      </c>
      <c r="F554" s="5" t="n"/>
    </row>
    <row r="555">
      <c r="A555" s="10">
        <f>IF($E555="","",INDEX('Input Transaksi'!$A:$A,$E555))</f>
        <v/>
      </c>
      <c r="B555" s="5">
        <f>IF($E555="","",INDEX('Input Transaksi'!$D:$D,$E555))</f>
        <v/>
      </c>
      <c r="C555">
        <f>IF($E555="","",INDEX('Input Transaksi'!$E:$E,$E555))</f>
        <v/>
      </c>
      <c r="D555" s="5">
        <f>IF($E555="","",INDEX('Input Transaksi'!$F:$F,$E555))</f>
        <v/>
      </c>
      <c r="E555">
        <f>IFERROR(AGGREGATE(15,6,ROW('Input Transaksi'!$B$5:$B$5000)/('Input Transaksi'!$B$5:$B$5000="CL SESETAN"),ROWS($E$5:E555)),"")</f>
        <v/>
      </c>
      <c r="F555" s="5" t="n"/>
    </row>
    <row r="556">
      <c r="A556" s="10">
        <f>IF($E556="","",INDEX('Input Transaksi'!$A:$A,$E556))</f>
        <v/>
      </c>
      <c r="B556" s="5">
        <f>IF($E556="","",INDEX('Input Transaksi'!$D:$D,$E556))</f>
        <v/>
      </c>
      <c r="C556">
        <f>IF($E556="","",INDEX('Input Transaksi'!$E:$E,$E556))</f>
        <v/>
      </c>
      <c r="D556" s="5">
        <f>IF($E556="","",INDEX('Input Transaksi'!$F:$F,$E556))</f>
        <v/>
      </c>
      <c r="E556">
        <f>IFERROR(AGGREGATE(15,6,ROW('Input Transaksi'!$B$5:$B$5000)/('Input Transaksi'!$B$5:$B$5000="CL SESETAN"),ROWS($E$5:E556)),"")</f>
        <v/>
      </c>
      <c r="F556" s="5" t="n"/>
    </row>
    <row r="557">
      <c r="A557" s="10">
        <f>IF($E557="","",INDEX('Input Transaksi'!$A:$A,$E557))</f>
        <v/>
      </c>
      <c r="B557" s="5">
        <f>IF($E557="","",INDEX('Input Transaksi'!$D:$D,$E557))</f>
        <v/>
      </c>
      <c r="C557">
        <f>IF($E557="","",INDEX('Input Transaksi'!$E:$E,$E557))</f>
        <v/>
      </c>
      <c r="D557" s="5">
        <f>IF($E557="","",INDEX('Input Transaksi'!$F:$F,$E557))</f>
        <v/>
      </c>
      <c r="E557">
        <f>IFERROR(AGGREGATE(15,6,ROW('Input Transaksi'!$B$5:$B$5000)/('Input Transaksi'!$B$5:$B$5000="CL SESETAN"),ROWS($E$5:E557)),"")</f>
        <v/>
      </c>
      <c r="F557" s="5" t="n"/>
    </row>
    <row r="558">
      <c r="A558" s="10">
        <f>IF($E558="","",INDEX('Input Transaksi'!$A:$A,$E558))</f>
        <v/>
      </c>
      <c r="B558" s="5">
        <f>IF($E558="","",INDEX('Input Transaksi'!$D:$D,$E558))</f>
        <v/>
      </c>
      <c r="C558">
        <f>IF($E558="","",INDEX('Input Transaksi'!$E:$E,$E558))</f>
        <v/>
      </c>
      <c r="D558" s="5">
        <f>IF($E558="","",INDEX('Input Transaksi'!$F:$F,$E558))</f>
        <v/>
      </c>
      <c r="E558">
        <f>IFERROR(AGGREGATE(15,6,ROW('Input Transaksi'!$B$5:$B$5000)/('Input Transaksi'!$B$5:$B$5000="CL SESETAN"),ROWS($E$5:E558)),"")</f>
        <v/>
      </c>
      <c r="F558" s="5" t="n"/>
    </row>
    <row r="559">
      <c r="A559" s="10">
        <f>IF($E559="","",INDEX('Input Transaksi'!$A:$A,$E559))</f>
        <v/>
      </c>
      <c r="B559" s="5">
        <f>IF($E559="","",INDEX('Input Transaksi'!$D:$D,$E559))</f>
        <v/>
      </c>
      <c r="C559">
        <f>IF($E559="","",INDEX('Input Transaksi'!$E:$E,$E559))</f>
        <v/>
      </c>
      <c r="D559" s="5">
        <f>IF($E559="","",INDEX('Input Transaksi'!$F:$F,$E559))</f>
        <v/>
      </c>
      <c r="E559">
        <f>IFERROR(AGGREGATE(15,6,ROW('Input Transaksi'!$B$5:$B$5000)/('Input Transaksi'!$B$5:$B$5000="CL SESETAN"),ROWS($E$5:E559)),"")</f>
        <v/>
      </c>
      <c r="F559" s="5" t="n"/>
    </row>
    <row r="560">
      <c r="A560" s="10">
        <f>IF($E560="","",INDEX('Input Transaksi'!$A:$A,$E560))</f>
        <v/>
      </c>
      <c r="B560" s="5">
        <f>IF($E560="","",INDEX('Input Transaksi'!$D:$D,$E560))</f>
        <v/>
      </c>
      <c r="C560">
        <f>IF($E560="","",INDEX('Input Transaksi'!$E:$E,$E560))</f>
        <v/>
      </c>
      <c r="D560" s="5">
        <f>IF($E560="","",INDEX('Input Transaksi'!$F:$F,$E560))</f>
        <v/>
      </c>
      <c r="E560">
        <f>IFERROR(AGGREGATE(15,6,ROW('Input Transaksi'!$B$5:$B$5000)/('Input Transaksi'!$B$5:$B$5000="CL SESETAN"),ROWS($E$5:E560)),"")</f>
        <v/>
      </c>
      <c r="F560" s="5" t="n"/>
    </row>
    <row r="561">
      <c r="A561" s="10">
        <f>IF($E561="","",INDEX('Input Transaksi'!$A:$A,$E561))</f>
        <v/>
      </c>
      <c r="B561" s="5">
        <f>IF($E561="","",INDEX('Input Transaksi'!$D:$D,$E561))</f>
        <v/>
      </c>
      <c r="C561">
        <f>IF($E561="","",INDEX('Input Transaksi'!$E:$E,$E561))</f>
        <v/>
      </c>
      <c r="D561" s="5">
        <f>IF($E561="","",INDEX('Input Transaksi'!$F:$F,$E561))</f>
        <v/>
      </c>
      <c r="E561">
        <f>IFERROR(AGGREGATE(15,6,ROW('Input Transaksi'!$B$5:$B$5000)/('Input Transaksi'!$B$5:$B$5000="CL SESETAN"),ROWS($E$5:E561)),"")</f>
        <v/>
      </c>
      <c r="F561" s="5" t="n"/>
    </row>
    <row r="562">
      <c r="A562" s="10">
        <f>IF($E562="","",INDEX('Input Transaksi'!$A:$A,$E562))</f>
        <v/>
      </c>
      <c r="B562" s="5">
        <f>IF($E562="","",INDEX('Input Transaksi'!$D:$D,$E562))</f>
        <v/>
      </c>
      <c r="C562">
        <f>IF($E562="","",INDEX('Input Transaksi'!$E:$E,$E562))</f>
        <v/>
      </c>
      <c r="D562" s="5">
        <f>IF($E562="","",INDEX('Input Transaksi'!$F:$F,$E562))</f>
        <v/>
      </c>
      <c r="E562">
        <f>IFERROR(AGGREGATE(15,6,ROW('Input Transaksi'!$B$5:$B$5000)/('Input Transaksi'!$B$5:$B$5000="CL SESETAN"),ROWS($E$5:E562)),"")</f>
        <v/>
      </c>
      <c r="F562" s="5" t="n"/>
    </row>
    <row r="563">
      <c r="A563" s="10">
        <f>IF($E563="","",INDEX('Input Transaksi'!$A:$A,$E563))</f>
        <v/>
      </c>
      <c r="B563" s="5">
        <f>IF($E563="","",INDEX('Input Transaksi'!$D:$D,$E563))</f>
        <v/>
      </c>
      <c r="C563">
        <f>IF($E563="","",INDEX('Input Transaksi'!$E:$E,$E563))</f>
        <v/>
      </c>
      <c r="D563" s="5">
        <f>IF($E563="","",INDEX('Input Transaksi'!$F:$F,$E563))</f>
        <v/>
      </c>
      <c r="E563">
        <f>IFERROR(AGGREGATE(15,6,ROW('Input Transaksi'!$B$5:$B$5000)/('Input Transaksi'!$B$5:$B$5000="CL SESETAN"),ROWS($E$5:E563)),"")</f>
        <v/>
      </c>
      <c r="F563" s="5" t="n"/>
    </row>
    <row r="564">
      <c r="A564" s="10">
        <f>IF($E564="","",INDEX('Input Transaksi'!$A:$A,$E564))</f>
        <v/>
      </c>
      <c r="B564" s="5">
        <f>IF($E564="","",INDEX('Input Transaksi'!$D:$D,$E564))</f>
        <v/>
      </c>
      <c r="C564">
        <f>IF($E564="","",INDEX('Input Transaksi'!$E:$E,$E564))</f>
        <v/>
      </c>
      <c r="D564" s="5">
        <f>IF($E564="","",INDEX('Input Transaksi'!$F:$F,$E564))</f>
        <v/>
      </c>
      <c r="E564">
        <f>IFERROR(AGGREGATE(15,6,ROW('Input Transaksi'!$B$5:$B$5000)/('Input Transaksi'!$B$5:$B$5000="CL SESETAN"),ROWS($E$5:E564)),"")</f>
        <v/>
      </c>
      <c r="F564" s="5" t="n"/>
    </row>
    <row r="565">
      <c r="A565" s="10">
        <f>IF($E565="","",INDEX('Input Transaksi'!$A:$A,$E565))</f>
        <v/>
      </c>
      <c r="B565" s="5">
        <f>IF($E565="","",INDEX('Input Transaksi'!$D:$D,$E565))</f>
        <v/>
      </c>
      <c r="C565">
        <f>IF($E565="","",INDEX('Input Transaksi'!$E:$E,$E565))</f>
        <v/>
      </c>
      <c r="D565" s="5">
        <f>IF($E565="","",INDEX('Input Transaksi'!$F:$F,$E565))</f>
        <v/>
      </c>
      <c r="E565">
        <f>IFERROR(AGGREGATE(15,6,ROW('Input Transaksi'!$B$5:$B$5000)/('Input Transaksi'!$B$5:$B$5000="CL SESETAN"),ROWS($E$5:E565)),"")</f>
        <v/>
      </c>
      <c r="F565" s="5" t="n"/>
    </row>
    <row r="566">
      <c r="A566" s="10">
        <f>IF($E566="","",INDEX('Input Transaksi'!$A:$A,$E566))</f>
        <v/>
      </c>
      <c r="B566" s="5">
        <f>IF($E566="","",INDEX('Input Transaksi'!$D:$D,$E566))</f>
        <v/>
      </c>
      <c r="C566">
        <f>IF($E566="","",INDEX('Input Transaksi'!$E:$E,$E566))</f>
        <v/>
      </c>
      <c r="D566" s="5">
        <f>IF($E566="","",INDEX('Input Transaksi'!$F:$F,$E566))</f>
        <v/>
      </c>
      <c r="E566">
        <f>IFERROR(AGGREGATE(15,6,ROW('Input Transaksi'!$B$5:$B$5000)/('Input Transaksi'!$B$5:$B$5000="CL SESETAN"),ROWS($E$5:E566)),"")</f>
        <v/>
      </c>
      <c r="F566" s="5" t="n"/>
    </row>
    <row r="567">
      <c r="A567" s="10">
        <f>IF($E567="","",INDEX('Input Transaksi'!$A:$A,$E567))</f>
        <v/>
      </c>
      <c r="B567" s="5">
        <f>IF($E567="","",INDEX('Input Transaksi'!$D:$D,$E567))</f>
        <v/>
      </c>
      <c r="C567">
        <f>IF($E567="","",INDEX('Input Transaksi'!$E:$E,$E567))</f>
        <v/>
      </c>
      <c r="D567" s="5">
        <f>IF($E567="","",INDEX('Input Transaksi'!$F:$F,$E567))</f>
        <v/>
      </c>
      <c r="E567">
        <f>IFERROR(AGGREGATE(15,6,ROW('Input Transaksi'!$B$5:$B$5000)/('Input Transaksi'!$B$5:$B$5000="CL SESETAN"),ROWS($E$5:E567)),"")</f>
        <v/>
      </c>
      <c r="F567" s="5" t="n"/>
    </row>
    <row r="568">
      <c r="A568" s="10">
        <f>IF($E568="","",INDEX('Input Transaksi'!$A:$A,$E568))</f>
        <v/>
      </c>
      <c r="B568" s="5">
        <f>IF($E568="","",INDEX('Input Transaksi'!$D:$D,$E568))</f>
        <v/>
      </c>
      <c r="C568">
        <f>IF($E568="","",INDEX('Input Transaksi'!$E:$E,$E568))</f>
        <v/>
      </c>
      <c r="D568" s="5">
        <f>IF($E568="","",INDEX('Input Transaksi'!$F:$F,$E568))</f>
        <v/>
      </c>
      <c r="E568">
        <f>IFERROR(AGGREGATE(15,6,ROW('Input Transaksi'!$B$5:$B$5000)/('Input Transaksi'!$B$5:$B$5000="CL SESETAN"),ROWS($E$5:E568)),"")</f>
        <v/>
      </c>
      <c r="F568" s="5" t="n"/>
    </row>
    <row r="569">
      <c r="A569" s="10">
        <f>IF($E569="","",INDEX('Input Transaksi'!$A:$A,$E569))</f>
        <v/>
      </c>
      <c r="B569" s="5">
        <f>IF($E569="","",INDEX('Input Transaksi'!$D:$D,$E569))</f>
        <v/>
      </c>
      <c r="C569">
        <f>IF($E569="","",INDEX('Input Transaksi'!$E:$E,$E569))</f>
        <v/>
      </c>
      <c r="D569" s="5">
        <f>IF($E569="","",INDEX('Input Transaksi'!$F:$F,$E569))</f>
        <v/>
      </c>
      <c r="E569">
        <f>IFERROR(AGGREGATE(15,6,ROW('Input Transaksi'!$B$5:$B$5000)/('Input Transaksi'!$B$5:$B$5000="CL SESETAN"),ROWS($E$5:E569)),"")</f>
        <v/>
      </c>
      <c r="F569" s="5" t="n"/>
    </row>
    <row r="570">
      <c r="A570" s="10">
        <f>IF($E570="","",INDEX('Input Transaksi'!$A:$A,$E570))</f>
        <v/>
      </c>
      <c r="B570" s="5">
        <f>IF($E570="","",INDEX('Input Transaksi'!$D:$D,$E570))</f>
        <v/>
      </c>
      <c r="C570">
        <f>IF($E570="","",INDEX('Input Transaksi'!$E:$E,$E570))</f>
        <v/>
      </c>
      <c r="D570" s="5">
        <f>IF($E570="","",INDEX('Input Transaksi'!$F:$F,$E570))</f>
        <v/>
      </c>
      <c r="E570">
        <f>IFERROR(AGGREGATE(15,6,ROW('Input Transaksi'!$B$5:$B$5000)/('Input Transaksi'!$B$5:$B$5000="CL SESETAN"),ROWS($E$5:E570)),"")</f>
        <v/>
      </c>
      <c r="F570" s="5" t="n"/>
    </row>
    <row r="571">
      <c r="A571" s="10">
        <f>IF($E571="","",INDEX('Input Transaksi'!$A:$A,$E571))</f>
        <v/>
      </c>
      <c r="B571" s="5">
        <f>IF($E571="","",INDEX('Input Transaksi'!$D:$D,$E571))</f>
        <v/>
      </c>
      <c r="C571">
        <f>IF($E571="","",INDEX('Input Transaksi'!$E:$E,$E571))</f>
        <v/>
      </c>
      <c r="D571" s="5">
        <f>IF($E571="","",INDEX('Input Transaksi'!$F:$F,$E571))</f>
        <v/>
      </c>
      <c r="E571">
        <f>IFERROR(AGGREGATE(15,6,ROW('Input Transaksi'!$B$5:$B$5000)/('Input Transaksi'!$B$5:$B$5000="CL SESETAN"),ROWS($E$5:E571)),"")</f>
        <v/>
      </c>
      <c r="F571" s="5" t="n"/>
    </row>
    <row r="572">
      <c r="A572" s="10">
        <f>IF($E572="","",INDEX('Input Transaksi'!$A:$A,$E572))</f>
        <v/>
      </c>
      <c r="B572" s="5">
        <f>IF($E572="","",INDEX('Input Transaksi'!$D:$D,$E572))</f>
        <v/>
      </c>
      <c r="C572">
        <f>IF($E572="","",INDEX('Input Transaksi'!$E:$E,$E572))</f>
        <v/>
      </c>
      <c r="D572" s="5">
        <f>IF($E572="","",INDEX('Input Transaksi'!$F:$F,$E572))</f>
        <v/>
      </c>
      <c r="E572">
        <f>IFERROR(AGGREGATE(15,6,ROW('Input Transaksi'!$B$5:$B$5000)/('Input Transaksi'!$B$5:$B$5000="CL SESETAN"),ROWS($E$5:E572)),"")</f>
        <v/>
      </c>
      <c r="F572" s="5" t="n"/>
    </row>
    <row r="573">
      <c r="A573" s="10">
        <f>IF($E573="","",INDEX('Input Transaksi'!$A:$A,$E573))</f>
        <v/>
      </c>
      <c r="B573" s="5">
        <f>IF($E573="","",INDEX('Input Transaksi'!$D:$D,$E573))</f>
        <v/>
      </c>
      <c r="C573">
        <f>IF($E573="","",INDEX('Input Transaksi'!$E:$E,$E573))</f>
        <v/>
      </c>
      <c r="D573" s="5">
        <f>IF($E573="","",INDEX('Input Transaksi'!$F:$F,$E573))</f>
        <v/>
      </c>
      <c r="E573">
        <f>IFERROR(AGGREGATE(15,6,ROW('Input Transaksi'!$B$5:$B$5000)/('Input Transaksi'!$B$5:$B$5000="CL SESETAN"),ROWS($E$5:E573)),"")</f>
        <v/>
      </c>
      <c r="F573" s="5" t="n"/>
    </row>
    <row r="574">
      <c r="A574" s="10">
        <f>IF($E574="","",INDEX('Input Transaksi'!$A:$A,$E574))</f>
        <v/>
      </c>
      <c r="B574" s="5">
        <f>IF($E574="","",INDEX('Input Transaksi'!$D:$D,$E574))</f>
        <v/>
      </c>
      <c r="C574">
        <f>IF($E574="","",INDEX('Input Transaksi'!$E:$E,$E574))</f>
        <v/>
      </c>
      <c r="D574" s="5">
        <f>IF($E574="","",INDEX('Input Transaksi'!$F:$F,$E574))</f>
        <v/>
      </c>
      <c r="E574">
        <f>IFERROR(AGGREGATE(15,6,ROW('Input Transaksi'!$B$5:$B$5000)/('Input Transaksi'!$B$5:$B$5000="CL SESETAN"),ROWS($E$5:E574)),"")</f>
        <v/>
      </c>
      <c r="F574" s="5" t="n"/>
    </row>
    <row r="575">
      <c r="A575" s="10">
        <f>IF($E575="","",INDEX('Input Transaksi'!$A:$A,$E575))</f>
        <v/>
      </c>
      <c r="B575" s="5">
        <f>IF($E575="","",INDEX('Input Transaksi'!$D:$D,$E575))</f>
        <v/>
      </c>
      <c r="C575">
        <f>IF($E575="","",INDEX('Input Transaksi'!$E:$E,$E575))</f>
        <v/>
      </c>
      <c r="D575" s="5">
        <f>IF($E575="","",INDEX('Input Transaksi'!$F:$F,$E575))</f>
        <v/>
      </c>
      <c r="E575">
        <f>IFERROR(AGGREGATE(15,6,ROW('Input Transaksi'!$B$5:$B$5000)/('Input Transaksi'!$B$5:$B$5000="CL SESETAN"),ROWS($E$5:E575)),"")</f>
        <v/>
      </c>
      <c r="F575" s="5" t="n"/>
    </row>
    <row r="576">
      <c r="A576" s="10">
        <f>IF($E576="","",INDEX('Input Transaksi'!$A:$A,$E576))</f>
        <v/>
      </c>
      <c r="B576" s="5">
        <f>IF($E576="","",INDEX('Input Transaksi'!$D:$D,$E576))</f>
        <v/>
      </c>
      <c r="C576">
        <f>IF($E576="","",INDEX('Input Transaksi'!$E:$E,$E576))</f>
        <v/>
      </c>
      <c r="D576" s="5">
        <f>IF($E576="","",INDEX('Input Transaksi'!$F:$F,$E576))</f>
        <v/>
      </c>
      <c r="E576">
        <f>IFERROR(AGGREGATE(15,6,ROW('Input Transaksi'!$B$5:$B$5000)/('Input Transaksi'!$B$5:$B$5000="CL SESETAN"),ROWS($E$5:E576)),"")</f>
        <v/>
      </c>
      <c r="F576" s="5" t="n"/>
    </row>
    <row r="577">
      <c r="A577" s="10">
        <f>IF($E577="","",INDEX('Input Transaksi'!$A:$A,$E577))</f>
        <v/>
      </c>
      <c r="B577" s="5">
        <f>IF($E577="","",INDEX('Input Transaksi'!$D:$D,$E577))</f>
        <v/>
      </c>
      <c r="C577">
        <f>IF($E577="","",INDEX('Input Transaksi'!$E:$E,$E577))</f>
        <v/>
      </c>
      <c r="D577" s="5">
        <f>IF($E577="","",INDEX('Input Transaksi'!$F:$F,$E577))</f>
        <v/>
      </c>
      <c r="E577">
        <f>IFERROR(AGGREGATE(15,6,ROW('Input Transaksi'!$B$5:$B$5000)/('Input Transaksi'!$B$5:$B$5000="CL SESETAN"),ROWS($E$5:E577)),"")</f>
        <v/>
      </c>
      <c r="F577" s="5" t="n"/>
    </row>
    <row r="578">
      <c r="A578" s="10">
        <f>IF($E578="","",INDEX('Input Transaksi'!$A:$A,$E578))</f>
        <v/>
      </c>
      <c r="B578" s="5">
        <f>IF($E578="","",INDEX('Input Transaksi'!$D:$D,$E578))</f>
        <v/>
      </c>
      <c r="C578">
        <f>IF($E578="","",INDEX('Input Transaksi'!$E:$E,$E578))</f>
        <v/>
      </c>
      <c r="D578" s="5">
        <f>IF($E578="","",INDEX('Input Transaksi'!$F:$F,$E578))</f>
        <v/>
      </c>
      <c r="E578">
        <f>IFERROR(AGGREGATE(15,6,ROW('Input Transaksi'!$B$5:$B$5000)/('Input Transaksi'!$B$5:$B$5000="CL SESETAN"),ROWS($E$5:E578)),"")</f>
        <v/>
      </c>
      <c r="F578" s="5" t="n"/>
    </row>
    <row r="579">
      <c r="A579" s="10">
        <f>IF($E579="","",INDEX('Input Transaksi'!$A:$A,$E579))</f>
        <v/>
      </c>
      <c r="B579" s="5">
        <f>IF($E579="","",INDEX('Input Transaksi'!$D:$D,$E579))</f>
        <v/>
      </c>
      <c r="C579">
        <f>IF($E579="","",INDEX('Input Transaksi'!$E:$E,$E579))</f>
        <v/>
      </c>
      <c r="D579" s="5">
        <f>IF($E579="","",INDEX('Input Transaksi'!$F:$F,$E579))</f>
        <v/>
      </c>
      <c r="E579">
        <f>IFERROR(AGGREGATE(15,6,ROW('Input Transaksi'!$B$5:$B$5000)/('Input Transaksi'!$B$5:$B$5000="CL SESETAN"),ROWS($E$5:E579)),"")</f>
        <v/>
      </c>
      <c r="F579" s="5" t="n"/>
    </row>
    <row r="580">
      <c r="A580" s="10">
        <f>IF($E580="","",INDEX('Input Transaksi'!$A:$A,$E580))</f>
        <v/>
      </c>
      <c r="B580" s="5">
        <f>IF($E580="","",INDEX('Input Transaksi'!$D:$D,$E580))</f>
        <v/>
      </c>
      <c r="C580">
        <f>IF($E580="","",INDEX('Input Transaksi'!$E:$E,$E580))</f>
        <v/>
      </c>
      <c r="D580" s="5">
        <f>IF($E580="","",INDEX('Input Transaksi'!$F:$F,$E580))</f>
        <v/>
      </c>
      <c r="E580">
        <f>IFERROR(AGGREGATE(15,6,ROW('Input Transaksi'!$B$5:$B$5000)/('Input Transaksi'!$B$5:$B$5000="CL SESETAN"),ROWS($E$5:E580)),"")</f>
        <v/>
      </c>
      <c r="F580" s="5" t="n"/>
    </row>
    <row r="581">
      <c r="A581" s="10">
        <f>IF($E581="","",INDEX('Input Transaksi'!$A:$A,$E581))</f>
        <v/>
      </c>
      <c r="B581" s="5">
        <f>IF($E581="","",INDEX('Input Transaksi'!$D:$D,$E581))</f>
        <v/>
      </c>
      <c r="C581">
        <f>IF($E581="","",INDEX('Input Transaksi'!$E:$E,$E581))</f>
        <v/>
      </c>
      <c r="D581" s="5">
        <f>IF($E581="","",INDEX('Input Transaksi'!$F:$F,$E581))</f>
        <v/>
      </c>
      <c r="E581">
        <f>IFERROR(AGGREGATE(15,6,ROW('Input Transaksi'!$B$5:$B$5000)/('Input Transaksi'!$B$5:$B$5000="CL SESETAN"),ROWS($E$5:E581)),"")</f>
        <v/>
      </c>
      <c r="F581" s="5" t="n"/>
    </row>
    <row r="582">
      <c r="A582" s="10">
        <f>IF($E582="","",INDEX('Input Transaksi'!$A:$A,$E582))</f>
        <v/>
      </c>
      <c r="B582" s="5">
        <f>IF($E582="","",INDEX('Input Transaksi'!$D:$D,$E582))</f>
        <v/>
      </c>
      <c r="C582">
        <f>IF($E582="","",INDEX('Input Transaksi'!$E:$E,$E582))</f>
        <v/>
      </c>
      <c r="D582" s="5">
        <f>IF($E582="","",INDEX('Input Transaksi'!$F:$F,$E582))</f>
        <v/>
      </c>
      <c r="E582">
        <f>IFERROR(AGGREGATE(15,6,ROW('Input Transaksi'!$B$5:$B$5000)/('Input Transaksi'!$B$5:$B$5000="CL SESETAN"),ROWS($E$5:E582)),"")</f>
        <v/>
      </c>
      <c r="F582" s="5" t="n"/>
    </row>
    <row r="583">
      <c r="A583" s="10">
        <f>IF($E583="","",INDEX('Input Transaksi'!$A:$A,$E583))</f>
        <v/>
      </c>
      <c r="B583" s="5">
        <f>IF($E583="","",INDEX('Input Transaksi'!$D:$D,$E583))</f>
        <v/>
      </c>
      <c r="C583">
        <f>IF($E583="","",INDEX('Input Transaksi'!$E:$E,$E583))</f>
        <v/>
      </c>
      <c r="D583" s="5">
        <f>IF($E583="","",INDEX('Input Transaksi'!$F:$F,$E583))</f>
        <v/>
      </c>
      <c r="E583">
        <f>IFERROR(AGGREGATE(15,6,ROW('Input Transaksi'!$B$5:$B$5000)/('Input Transaksi'!$B$5:$B$5000="CL SESETAN"),ROWS($E$5:E583)),"")</f>
        <v/>
      </c>
      <c r="F583" s="5" t="n"/>
    </row>
    <row r="584">
      <c r="A584" s="10">
        <f>IF($E584="","",INDEX('Input Transaksi'!$A:$A,$E584))</f>
        <v/>
      </c>
      <c r="B584" s="5">
        <f>IF($E584="","",INDEX('Input Transaksi'!$D:$D,$E584))</f>
        <v/>
      </c>
      <c r="C584">
        <f>IF($E584="","",INDEX('Input Transaksi'!$E:$E,$E584))</f>
        <v/>
      </c>
      <c r="D584" s="5">
        <f>IF($E584="","",INDEX('Input Transaksi'!$F:$F,$E584))</f>
        <v/>
      </c>
      <c r="E584">
        <f>IFERROR(AGGREGATE(15,6,ROW('Input Transaksi'!$B$5:$B$5000)/('Input Transaksi'!$B$5:$B$5000="CL SESETAN"),ROWS($E$5:E584)),"")</f>
        <v/>
      </c>
      <c r="F584" s="5" t="n"/>
    </row>
    <row r="585">
      <c r="A585" s="10">
        <f>IF($E585="","",INDEX('Input Transaksi'!$A:$A,$E585))</f>
        <v/>
      </c>
      <c r="B585" s="5">
        <f>IF($E585="","",INDEX('Input Transaksi'!$D:$D,$E585))</f>
        <v/>
      </c>
      <c r="C585">
        <f>IF($E585="","",INDEX('Input Transaksi'!$E:$E,$E585))</f>
        <v/>
      </c>
      <c r="D585" s="5">
        <f>IF($E585="","",INDEX('Input Transaksi'!$F:$F,$E585))</f>
        <v/>
      </c>
      <c r="E585">
        <f>IFERROR(AGGREGATE(15,6,ROW('Input Transaksi'!$B$5:$B$5000)/('Input Transaksi'!$B$5:$B$5000="CL SESETAN"),ROWS($E$5:E585)),"")</f>
        <v/>
      </c>
      <c r="F585" s="5" t="n"/>
    </row>
    <row r="586">
      <c r="A586" s="10">
        <f>IF($E586="","",INDEX('Input Transaksi'!$A:$A,$E586))</f>
        <v/>
      </c>
      <c r="B586" s="5">
        <f>IF($E586="","",INDEX('Input Transaksi'!$D:$D,$E586))</f>
        <v/>
      </c>
      <c r="C586">
        <f>IF($E586="","",INDEX('Input Transaksi'!$E:$E,$E586))</f>
        <v/>
      </c>
      <c r="D586" s="5">
        <f>IF($E586="","",INDEX('Input Transaksi'!$F:$F,$E586))</f>
        <v/>
      </c>
      <c r="E586">
        <f>IFERROR(AGGREGATE(15,6,ROW('Input Transaksi'!$B$5:$B$5000)/('Input Transaksi'!$B$5:$B$5000="CL SESETAN"),ROWS($E$5:E586)),"")</f>
        <v/>
      </c>
      <c r="F586" s="5" t="n"/>
    </row>
    <row r="587">
      <c r="A587" s="10">
        <f>IF($E587="","",INDEX('Input Transaksi'!$A:$A,$E587))</f>
        <v/>
      </c>
      <c r="B587" s="5">
        <f>IF($E587="","",INDEX('Input Transaksi'!$D:$D,$E587))</f>
        <v/>
      </c>
      <c r="C587">
        <f>IF($E587="","",INDEX('Input Transaksi'!$E:$E,$E587))</f>
        <v/>
      </c>
      <c r="D587" s="5">
        <f>IF($E587="","",INDEX('Input Transaksi'!$F:$F,$E587))</f>
        <v/>
      </c>
      <c r="E587">
        <f>IFERROR(AGGREGATE(15,6,ROW('Input Transaksi'!$B$5:$B$5000)/('Input Transaksi'!$B$5:$B$5000="CL SESETAN"),ROWS($E$5:E587)),"")</f>
        <v/>
      </c>
      <c r="F587" s="5" t="n"/>
    </row>
    <row r="588">
      <c r="A588" s="10">
        <f>IF($E588="","",INDEX('Input Transaksi'!$A:$A,$E588))</f>
        <v/>
      </c>
      <c r="B588" s="5">
        <f>IF($E588="","",INDEX('Input Transaksi'!$D:$D,$E588))</f>
        <v/>
      </c>
      <c r="C588">
        <f>IF($E588="","",INDEX('Input Transaksi'!$E:$E,$E588))</f>
        <v/>
      </c>
      <c r="D588" s="5">
        <f>IF($E588="","",INDEX('Input Transaksi'!$F:$F,$E588))</f>
        <v/>
      </c>
      <c r="E588">
        <f>IFERROR(AGGREGATE(15,6,ROW('Input Transaksi'!$B$5:$B$5000)/('Input Transaksi'!$B$5:$B$5000="CL SESETAN"),ROWS($E$5:E588)),"")</f>
        <v/>
      </c>
      <c r="F588" s="5" t="n"/>
    </row>
    <row r="589">
      <c r="A589" s="10">
        <f>IF($E589="","",INDEX('Input Transaksi'!$A:$A,$E589))</f>
        <v/>
      </c>
      <c r="B589" s="5">
        <f>IF($E589="","",INDEX('Input Transaksi'!$D:$D,$E589))</f>
        <v/>
      </c>
      <c r="C589">
        <f>IF($E589="","",INDEX('Input Transaksi'!$E:$E,$E589))</f>
        <v/>
      </c>
      <c r="D589" s="5">
        <f>IF($E589="","",INDEX('Input Transaksi'!$F:$F,$E589))</f>
        <v/>
      </c>
      <c r="E589">
        <f>IFERROR(AGGREGATE(15,6,ROW('Input Transaksi'!$B$5:$B$5000)/('Input Transaksi'!$B$5:$B$5000="CL SESETAN"),ROWS($E$5:E589)),"")</f>
        <v/>
      </c>
      <c r="F589" s="5" t="n"/>
    </row>
    <row r="590">
      <c r="A590" s="10">
        <f>IF($E590="","",INDEX('Input Transaksi'!$A:$A,$E590))</f>
        <v/>
      </c>
      <c r="B590" s="5">
        <f>IF($E590="","",INDEX('Input Transaksi'!$D:$D,$E590))</f>
        <v/>
      </c>
      <c r="C590">
        <f>IF($E590="","",INDEX('Input Transaksi'!$E:$E,$E590))</f>
        <v/>
      </c>
      <c r="D590" s="5">
        <f>IF($E590="","",INDEX('Input Transaksi'!$F:$F,$E590))</f>
        <v/>
      </c>
      <c r="E590">
        <f>IFERROR(AGGREGATE(15,6,ROW('Input Transaksi'!$B$5:$B$5000)/('Input Transaksi'!$B$5:$B$5000="CL SESETAN"),ROWS($E$5:E590)),"")</f>
        <v/>
      </c>
      <c r="F590" s="5" t="n"/>
    </row>
    <row r="591">
      <c r="A591" s="10">
        <f>IF($E591="","",INDEX('Input Transaksi'!$A:$A,$E591))</f>
        <v/>
      </c>
      <c r="B591" s="5">
        <f>IF($E591="","",INDEX('Input Transaksi'!$D:$D,$E591))</f>
        <v/>
      </c>
      <c r="C591">
        <f>IF($E591="","",INDEX('Input Transaksi'!$E:$E,$E591))</f>
        <v/>
      </c>
      <c r="D591" s="5">
        <f>IF($E591="","",INDEX('Input Transaksi'!$F:$F,$E591))</f>
        <v/>
      </c>
      <c r="E591">
        <f>IFERROR(AGGREGATE(15,6,ROW('Input Transaksi'!$B$5:$B$5000)/('Input Transaksi'!$B$5:$B$5000="CL SESETAN"),ROWS($E$5:E591)),"")</f>
        <v/>
      </c>
      <c r="F591" s="5" t="n"/>
    </row>
    <row r="592">
      <c r="A592" s="10">
        <f>IF($E592="","",INDEX('Input Transaksi'!$A:$A,$E592))</f>
        <v/>
      </c>
      <c r="B592" s="5">
        <f>IF($E592="","",INDEX('Input Transaksi'!$D:$D,$E592))</f>
        <v/>
      </c>
      <c r="C592">
        <f>IF($E592="","",INDEX('Input Transaksi'!$E:$E,$E592))</f>
        <v/>
      </c>
      <c r="D592" s="5">
        <f>IF($E592="","",INDEX('Input Transaksi'!$F:$F,$E592))</f>
        <v/>
      </c>
      <c r="E592">
        <f>IFERROR(AGGREGATE(15,6,ROW('Input Transaksi'!$B$5:$B$5000)/('Input Transaksi'!$B$5:$B$5000="CL SESETAN"),ROWS($E$5:E592)),"")</f>
        <v/>
      </c>
      <c r="F592" s="5" t="n"/>
    </row>
    <row r="593">
      <c r="A593" s="10">
        <f>IF($E593="","",INDEX('Input Transaksi'!$A:$A,$E593))</f>
        <v/>
      </c>
      <c r="B593" s="5">
        <f>IF($E593="","",INDEX('Input Transaksi'!$D:$D,$E593))</f>
        <v/>
      </c>
      <c r="C593">
        <f>IF($E593="","",INDEX('Input Transaksi'!$E:$E,$E593))</f>
        <v/>
      </c>
      <c r="D593" s="5">
        <f>IF($E593="","",INDEX('Input Transaksi'!$F:$F,$E593))</f>
        <v/>
      </c>
      <c r="E593">
        <f>IFERROR(AGGREGATE(15,6,ROW('Input Transaksi'!$B$5:$B$5000)/('Input Transaksi'!$B$5:$B$5000="CL SESETAN"),ROWS($E$5:E593)),"")</f>
        <v/>
      </c>
      <c r="F593" s="5" t="n"/>
    </row>
    <row r="594">
      <c r="A594" s="10">
        <f>IF($E594="","",INDEX('Input Transaksi'!$A:$A,$E594))</f>
        <v/>
      </c>
      <c r="B594" s="5">
        <f>IF($E594="","",INDEX('Input Transaksi'!$D:$D,$E594))</f>
        <v/>
      </c>
      <c r="C594">
        <f>IF($E594="","",INDEX('Input Transaksi'!$E:$E,$E594))</f>
        <v/>
      </c>
      <c r="D594" s="5">
        <f>IF($E594="","",INDEX('Input Transaksi'!$F:$F,$E594))</f>
        <v/>
      </c>
      <c r="E594">
        <f>IFERROR(AGGREGATE(15,6,ROW('Input Transaksi'!$B$5:$B$5000)/('Input Transaksi'!$B$5:$B$5000="CL SESETAN"),ROWS($E$5:E594)),"")</f>
        <v/>
      </c>
      <c r="F594" s="5" t="n"/>
    </row>
    <row r="595">
      <c r="A595" s="10">
        <f>IF($E595="","",INDEX('Input Transaksi'!$A:$A,$E595))</f>
        <v/>
      </c>
      <c r="B595" s="5">
        <f>IF($E595="","",INDEX('Input Transaksi'!$D:$D,$E595))</f>
        <v/>
      </c>
      <c r="C595">
        <f>IF($E595="","",INDEX('Input Transaksi'!$E:$E,$E595))</f>
        <v/>
      </c>
      <c r="D595" s="5">
        <f>IF($E595="","",INDEX('Input Transaksi'!$F:$F,$E595))</f>
        <v/>
      </c>
      <c r="E595">
        <f>IFERROR(AGGREGATE(15,6,ROW('Input Transaksi'!$B$5:$B$5000)/('Input Transaksi'!$B$5:$B$5000="CL SESETAN"),ROWS($E$5:E595)),"")</f>
        <v/>
      </c>
      <c r="F595" s="5" t="n"/>
    </row>
    <row r="596">
      <c r="A596" s="10">
        <f>IF($E596="","",INDEX('Input Transaksi'!$A:$A,$E596))</f>
        <v/>
      </c>
      <c r="B596" s="5">
        <f>IF($E596="","",INDEX('Input Transaksi'!$D:$D,$E596))</f>
        <v/>
      </c>
      <c r="C596">
        <f>IF($E596="","",INDEX('Input Transaksi'!$E:$E,$E596))</f>
        <v/>
      </c>
      <c r="D596" s="5">
        <f>IF($E596="","",INDEX('Input Transaksi'!$F:$F,$E596))</f>
        <v/>
      </c>
      <c r="E596">
        <f>IFERROR(AGGREGATE(15,6,ROW('Input Transaksi'!$B$5:$B$5000)/('Input Transaksi'!$B$5:$B$5000="CL SESETAN"),ROWS($E$5:E596)),"")</f>
        <v/>
      </c>
      <c r="F596" s="5" t="n"/>
    </row>
    <row r="597">
      <c r="A597" s="10">
        <f>IF($E597="","",INDEX('Input Transaksi'!$A:$A,$E597))</f>
        <v/>
      </c>
      <c r="B597" s="5">
        <f>IF($E597="","",INDEX('Input Transaksi'!$D:$D,$E597))</f>
        <v/>
      </c>
      <c r="C597">
        <f>IF($E597="","",INDEX('Input Transaksi'!$E:$E,$E597))</f>
        <v/>
      </c>
      <c r="D597" s="5">
        <f>IF($E597="","",INDEX('Input Transaksi'!$F:$F,$E597))</f>
        <v/>
      </c>
      <c r="E597">
        <f>IFERROR(AGGREGATE(15,6,ROW('Input Transaksi'!$B$5:$B$5000)/('Input Transaksi'!$B$5:$B$5000="CL SESETAN"),ROWS($E$5:E597)),"")</f>
        <v/>
      </c>
      <c r="F597" s="5" t="n"/>
    </row>
    <row r="598">
      <c r="A598" s="10">
        <f>IF($E598="","",INDEX('Input Transaksi'!$A:$A,$E598))</f>
        <v/>
      </c>
      <c r="B598" s="5">
        <f>IF($E598="","",INDEX('Input Transaksi'!$D:$D,$E598))</f>
        <v/>
      </c>
      <c r="C598">
        <f>IF($E598="","",INDEX('Input Transaksi'!$E:$E,$E598))</f>
        <v/>
      </c>
      <c r="D598" s="5">
        <f>IF($E598="","",INDEX('Input Transaksi'!$F:$F,$E598))</f>
        <v/>
      </c>
      <c r="E598">
        <f>IFERROR(AGGREGATE(15,6,ROW('Input Transaksi'!$B$5:$B$5000)/('Input Transaksi'!$B$5:$B$5000="CL SESETAN"),ROWS($E$5:E598)),"")</f>
        <v/>
      </c>
      <c r="F598" s="5" t="n"/>
    </row>
    <row r="599">
      <c r="A599" s="10">
        <f>IF($E599="","",INDEX('Input Transaksi'!$A:$A,$E599))</f>
        <v/>
      </c>
      <c r="B599" s="5">
        <f>IF($E599="","",INDEX('Input Transaksi'!$D:$D,$E599))</f>
        <v/>
      </c>
      <c r="C599">
        <f>IF($E599="","",INDEX('Input Transaksi'!$E:$E,$E599))</f>
        <v/>
      </c>
      <c r="D599" s="5">
        <f>IF($E599="","",INDEX('Input Transaksi'!$F:$F,$E599))</f>
        <v/>
      </c>
      <c r="E599">
        <f>IFERROR(AGGREGATE(15,6,ROW('Input Transaksi'!$B$5:$B$5000)/('Input Transaksi'!$B$5:$B$5000="CL SESETAN"),ROWS($E$5:E599)),"")</f>
        <v/>
      </c>
      <c r="F599" s="5" t="n"/>
    </row>
    <row r="600">
      <c r="A600" s="10">
        <f>IF($E600="","",INDEX('Input Transaksi'!$A:$A,$E600))</f>
        <v/>
      </c>
      <c r="B600" s="5">
        <f>IF($E600="","",INDEX('Input Transaksi'!$D:$D,$E600))</f>
        <v/>
      </c>
      <c r="C600">
        <f>IF($E600="","",INDEX('Input Transaksi'!$E:$E,$E600))</f>
        <v/>
      </c>
      <c r="D600" s="5">
        <f>IF($E600="","",INDEX('Input Transaksi'!$F:$F,$E600))</f>
        <v/>
      </c>
      <c r="E600">
        <f>IFERROR(AGGREGATE(15,6,ROW('Input Transaksi'!$B$5:$B$5000)/('Input Transaksi'!$B$5:$B$5000="CL SESETAN"),ROWS($E$5:E600)),"")</f>
        <v/>
      </c>
      <c r="F600" s="5" t="n"/>
    </row>
    <row r="601">
      <c r="A601" s="10">
        <f>IF($E601="","",INDEX('Input Transaksi'!$A:$A,$E601))</f>
        <v/>
      </c>
      <c r="B601" s="5">
        <f>IF($E601="","",INDEX('Input Transaksi'!$D:$D,$E601))</f>
        <v/>
      </c>
      <c r="C601">
        <f>IF($E601="","",INDEX('Input Transaksi'!$E:$E,$E601))</f>
        <v/>
      </c>
      <c r="D601" s="5">
        <f>IF($E601="","",INDEX('Input Transaksi'!$F:$F,$E601))</f>
        <v/>
      </c>
      <c r="E601">
        <f>IFERROR(AGGREGATE(15,6,ROW('Input Transaksi'!$B$5:$B$5000)/('Input Transaksi'!$B$5:$B$5000="CL SESETAN"),ROWS($E$5:E601)),"")</f>
        <v/>
      </c>
      <c r="F601" s="5" t="n"/>
    </row>
    <row r="602">
      <c r="A602" s="10">
        <f>IF($E602="","",INDEX('Input Transaksi'!$A:$A,$E602))</f>
        <v/>
      </c>
      <c r="B602" s="5">
        <f>IF($E602="","",INDEX('Input Transaksi'!$D:$D,$E602))</f>
        <v/>
      </c>
      <c r="C602">
        <f>IF($E602="","",INDEX('Input Transaksi'!$E:$E,$E602))</f>
        <v/>
      </c>
      <c r="D602" s="5">
        <f>IF($E602="","",INDEX('Input Transaksi'!$F:$F,$E602))</f>
        <v/>
      </c>
      <c r="E602">
        <f>IFERROR(AGGREGATE(15,6,ROW('Input Transaksi'!$B$5:$B$5000)/('Input Transaksi'!$B$5:$B$5000="CL SESETAN"),ROWS($E$5:E602)),"")</f>
        <v/>
      </c>
      <c r="F602" s="5" t="n"/>
    </row>
    <row r="603">
      <c r="A603" s="10">
        <f>IF($E603="","",INDEX('Input Transaksi'!$A:$A,$E603))</f>
        <v/>
      </c>
      <c r="B603" s="5">
        <f>IF($E603="","",INDEX('Input Transaksi'!$D:$D,$E603))</f>
        <v/>
      </c>
      <c r="C603">
        <f>IF($E603="","",INDEX('Input Transaksi'!$E:$E,$E603))</f>
        <v/>
      </c>
      <c r="D603" s="5">
        <f>IF($E603="","",INDEX('Input Transaksi'!$F:$F,$E603))</f>
        <v/>
      </c>
      <c r="E603">
        <f>IFERROR(AGGREGATE(15,6,ROW('Input Transaksi'!$B$5:$B$5000)/('Input Transaksi'!$B$5:$B$5000="CL SESETAN"),ROWS($E$5:E603)),"")</f>
        <v/>
      </c>
      <c r="F603" s="5" t="n"/>
    </row>
    <row r="604">
      <c r="A604" s="10">
        <f>IF($E604="","",INDEX('Input Transaksi'!$A:$A,$E604))</f>
        <v/>
      </c>
      <c r="B604" s="5">
        <f>IF($E604="","",INDEX('Input Transaksi'!$D:$D,$E604))</f>
        <v/>
      </c>
      <c r="C604">
        <f>IF($E604="","",INDEX('Input Transaksi'!$E:$E,$E604))</f>
        <v/>
      </c>
      <c r="D604" s="5">
        <f>IF($E604="","",INDEX('Input Transaksi'!$F:$F,$E604))</f>
        <v/>
      </c>
      <c r="E604">
        <f>IFERROR(AGGREGATE(15,6,ROW('Input Transaksi'!$B$5:$B$5000)/('Input Transaksi'!$B$5:$B$5000="CL SESETAN"),ROWS($E$5:E604)),"")</f>
        <v/>
      </c>
      <c r="F604" s="5" t="n"/>
    </row>
    <row r="605">
      <c r="A605" s="10">
        <f>IF($E605="","",INDEX('Input Transaksi'!$A:$A,$E605))</f>
        <v/>
      </c>
      <c r="B605" s="5">
        <f>IF($E605="","",INDEX('Input Transaksi'!$D:$D,$E605))</f>
        <v/>
      </c>
      <c r="C605">
        <f>IF($E605="","",INDEX('Input Transaksi'!$E:$E,$E605))</f>
        <v/>
      </c>
      <c r="D605" s="5">
        <f>IF($E605="","",INDEX('Input Transaksi'!$F:$F,$E605))</f>
        <v/>
      </c>
      <c r="E605">
        <f>IFERROR(AGGREGATE(15,6,ROW('Input Transaksi'!$B$5:$B$5000)/('Input Transaksi'!$B$5:$B$5000="CL SESETAN"),ROWS($E$5:E605)),"")</f>
        <v/>
      </c>
      <c r="F605" s="5" t="n"/>
    </row>
    <row r="606">
      <c r="A606" s="10">
        <f>IF($E606="","",INDEX('Input Transaksi'!$A:$A,$E606))</f>
        <v/>
      </c>
      <c r="B606" s="5">
        <f>IF($E606="","",INDEX('Input Transaksi'!$D:$D,$E606))</f>
        <v/>
      </c>
      <c r="C606">
        <f>IF($E606="","",INDEX('Input Transaksi'!$E:$E,$E606))</f>
        <v/>
      </c>
      <c r="D606" s="5">
        <f>IF($E606="","",INDEX('Input Transaksi'!$F:$F,$E606))</f>
        <v/>
      </c>
      <c r="E606">
        <f>IFERROR(AGGREGATE(15,6,ROW('Input Transaksi'!$B$5:$B$5000)/('Input Transaksi'!$B$5:$B$5000="CL SESETAN"),ROWS($E$5:E606)),"")</f>
        <v/>
      </c>
      <c r="F606" s="5" t="n"/>
    </row>
    <row r="607">
      <c r="A607" s="10">
        <f>IF($E607="","",INDEX('Input Transaksi'!$A:$A,$E607))</f>
        <v/>
      </c>
      <c r="B607" s="5">
        <f>IF($E607="","",INDEX('Input Transaksi'!$D:$D,$E607))</f>
        <v/>
      </c>
      <c r="C607">
        <f>IF($E607="","",INDEX('Input Transaksi'!$E:$E,$E607))</f>
        <v/>
      </c>
      <c r="D607" s="5">
        <f>IF($E607="","",INDEX('Input Transaksi'!$F:$F,$E607))</f>
        <v/>
      </c>
      <c r="E607">
        <f>IFERROR(AGGREGATE(15,6,ROW('Input Transaksi'!$B$5:$B$5000)/('Input Transaksi'!$B$5:$B$5000="CL SESETAN"),ROWS($E$5:E607)),"")</f>
        <v/>
      </c>
      <c r="F607" s="5" t="n"/>
    </row>
    <row r="608">
      <c r="A608" s="10">
        <f>IF($E608="","",INDEX('Input Transaksi'!$A:$A,$E608))</f>
        <v/>
      </c>
      <c r="B608" s="5">
        <f>IF($E608="","",INDEX('Input Transaksi'!$D:$D,$E608))</f>
        <v/>
      </c>
      <c r="C608">
        <f>IF($E608="","",INDEX('Input Transaksi'!$E:$E,$E608))</f>
        <v/>
      </c>
      <c r="D608" s="5">
        <f>IF($E608="","",INDEX('Input Transaksi'!$F:$F,$E608))</f>
        <v/>
      </c>
      <c r="E608">
        <f>IFERROR(AGGREGATE(15,6,ROW('Input Transaksi'!$B$5:$B$5000)/('Input Transaksi'!$B$5:$B$5000="CL SESETAN"),ROWS($E$5:E608)),"")</f>
        <v/>
      </c>
      <c r="F608" s="5" t="n"/>
    </row>
    <row r="609">
      <c r="A609" s="10">
        <f>IF($E609="","",INDEX('Input Transaksi'!$A:$A,$E609))</f>
        <v/>
      </c>
      <c r="B609" s="5">
        <f>IF($E609="","",INDEX('Input Transaksi'!$D:$D,$E609))</f>
        <v/>
      </c>
      <c r="C609">
        <f>IF($E609="","",INDEX('Input Transaksi'!$E:$E,$E609))</f>
        <v/>
      </c>
      <c r="D609" s="5">
        <f>IF($E609="","",INDEX('Input Transaksi'!$F:$F,$E609))</f>
        <v/>
      </c>
      <c r="E609">
        <f>IFERROR(AGGREGATE(15,6,ROW('Input Transaksi'!$B$5:$B$5000)/('Input Transaksi'!$B$5:$B$5000="CL SESETAN"),ROWS($E$5:E609)),"")</f>
        <v/>
      </c>
      <c r="F609" s="5" t="n"/>
    </row>
    <row r="610">
      <c r="A610" s="10">
        <f>IF($E610="","",INDEX('Input Transaksi'!$A:$A,$E610))</f>
        <v/>
      </c>
      <c r="B610" s="5">
        <f>IF($E610="","",INDEX('Input Transaksi'!$D:$D,$E610))</f>
        <v/>
      </c>
      <c r="C610">
        <f>IF($E610="","",INDEX('Input Transaksi'!$E:$E,$E610))</f>
        <v/>
      </c>
      <c r="D610" s="5">
        <f>IF($E610="","",INDEX('Input Transaksi'!$F:$F,$E610))</f>
        <v/>
      </c>
      <c r="E610">
        <f>IFERROR(AGGREGATE(15,6,ROW('Input Transaksi'!$B$5:$B$5000)/('Input Transaksi'!$B$5:$B$5000="CL SESETAN"),ROWS($E$5:E610)),"")</f>
        <v/>
      </c>
      <c r="F610" s="5" t="n"/>
    </row>
    <row r="611">
      <c r="A611" s="10">
        <f>IF($E611="","",INDEX('Input Transaksi'!$A:$A,$E611))</f>
        <v/>
      </c>
      <c r="B611" s="5">
        <f>IF($E611="","",INDEX('Input Transaksi'!$D:$D,$E611))</f>
        <v/>
      </c>
      <c r="C611">
        <f>IF($E611="","",INDEX('Input Transaksi'!$E:$E,$E611))</f>
        <v/>
      </c>
      <c r="D611" s="5">
        <f>IF($E611="","",INDEX('Input Transaksi'!$F:$F,$E611))</f>
        <v/>
      </c>
      <c r="E611">
        <f>IFERROR(AGGREGATE(15,6,ROW('Input Transaksi'!$B$5:$B$5000)/('Input Transaksi'!$B$5:$B$5000="CL SESETAN"),ROWS($E$5:E611)),"")</f>
        <v/>
      </c>
      <c r="F611" s="5" t="n"/>
    </row>
    <row r="612">
      <c r="A612" s="10">
        <f>IF($E612="","",INDEX('Input Transaksi'!$A:$A,$E612))</f>
        <v/>
      </c>
      <c r="B612" s="5">
        <f>IF($E612="","",INDEX('Input Transaksi'!$D:$D,$E612))</f>
        <v/>
      </c>
      <c r="C612">
        <f>IF($E612="","",INDEX('Input Transaksi'!$E:$E,$E612))</f>
        <v/>
      </c>
      <c r="D612" s="5">
        <f>IF($E612="","",INDEX('Input Transaksi'!$F:$F,$E612))</f>
        <v/>
      </c>
      <c r="E612">
        <f>IFERROR(AGGREGATE(15,6,ROW('Input Transaksi'!$B$5:$B$5000)/('Input Transaksi'!$B$5:$B$5000="CL SESETAN"),ROWS($E$5:E612)),"")</f>
        <v/>
      </c>
      <c r="F612" s="5" t="n"/>
    </row>
    <row r="613">
      <c r="A613" s="10">
        <f>IF($E613="","",INDEX('Input Transaksi'!$A:$A,$E613))</f>
        <v/>
      </c>
      <c r="B613" s="5">
        <f>IF($E613="","",INDEX('Input Transaksi'!$D:$D,$E613))</f>
        <v/>
      </c>
      <c r="C613">
        <f>IF($E613="","",INDEX('Input Transaksi'!$E:$E,$E613))</f>
        <v/>
      </c>
      <c r="D613" s="5">
        <f>IF($E613="","",INDEX('Input Transaksi'!$F:$F,$E613))</f>
        <v/>
      </c>
      <c r="E613">
        <f>IFERROR(AGGREGATE(15,6,ROW('Input Transaksi'!$B$5:$B$5000)/('Input Transaksi'!$B$5:$B$5000="CL SESETAN"),ROWS($E$5:E613)),"")</f>
        <v/>
      </c>
      <c r="F613" s="5" t="n"/>
    </row>
    <row r="614">
      <c r="A614" s="10">
        <f>IF($E614="","",INDEX('Input Transaksi'!$A:$A,$E614))</f>
        <v/>
      </c>
      <c r="B614" s="5">
        <f>IF($E614="","",INDEX('Input Transaksi'!$D:$D,$E614))</f>
        <v/>
      </c>
      <c r="C614">
        <f>IF($E614="","",INDEX('Input Transaksi'!$E:$E,$E614))</f>
        <v/>
      </c>
      <c r="D614" s="5">
        <f>IF($E614="","",INDEX('Input Transaksi'!$F:$F,$E614))</f>
        <v/>
      </c>
      <c r="E614">
        <f>IFERROR(AGGREGATE(15,6,ROW('Input Transaksi'!$B$5:$B$5000)/('Input Transaksi'!$B$5:$B$5000="CL SESETAN"),ROWS($E$5:E614)),"")</f>
        <v/>
      </c>
      <c r="F614" s="5" t="n"/>
    </row>
    <row r="615">
      <c r="A615" s="10">
        <f>IF($E615="","",INDEX('Input Transaksi'!$A:$A,$E615))</f>
        <v/>
      </c>
      <c r="B615" s="5">
        <f>IF($E615="","",INDEX('Input Transaksi'!$D:$D,$E615))</f>
        <v/>
      </c>
      <c r="C615">
        <f>IF($E615="","",INDEX('Input Transaksi'!$E:$E,$E615))</f>
        <v/>
      </c>
      <c r="D615" s="5">
        <f>IF($E615="","",INDEX('Input Transaksi'!$F:$F,$E615))</f>
        <v/>
      </c>
      <c r="E615">
        <f>IFERROR(AGGREGATE(15,6,ROW('Input Transaksi'!$B$5:$B$5000)/('Input Transaksi'!$B$5:$B$5000="CL SESETAN"),ROWS($E$5:E615)),"")</f>
        <v/>
      </c>
      <c r="F615" s="5" t="n"/>
    </row>
    <row r="616">
      <c r="A616" s="10">
        <f>IF($E616="","",INDEX('Input Transaksi'!$A:$A,$E616))</f>
        <v/>
      </c>
      <c r="B616" s="5">
        <f>IF($E616="","",INDEX('Input Transaksi'!$D:$D,$E616))</f>
        <v/>
      </c>
      <c r="C616">
        <f>IF($E616="","",INDEX('Input Transaksi'!$E:$E,$E616))</f>
        <v/>
      </c>
      <c r="D616" s="5">
        <f>IF($E616="","",INDEX('Input Transaksi'!$F:$F,$E616))</f>
        <v/>
      </c>
      <c r="E616">
        <f>IFERROR(AGGREGATE(15,6,ROW('Input Transaksi'!$B$5:$B$5000)/('Input Transaksi'!$B$5:$B$5000="CL SESETAN"),ROWS($E$5:E616)),"")</f>
        <v/>
      </c>
      <c r="F616" s="5" t="n"/>
    </row>
    <row r="617">
      <c r="A617" s="10">
        <f>IF($E617="","",INDEX('Input Transaksi'!$A:$A,$E617))</f>
        <v/>
      </c>
      <c r="B617" s="5">
        <f>IF($E617="","",INDEX('Input Transaksi'!$D:$D,$E617))</f>
        <v/>
      </c>
      <c r="C617">
        <f>IF($E617="","",INDEX('Input Transaksi'!$E:$E,$E617))</f>
        <v/>
      </c>
      <c r="D617" s="5">
        <f>IF($E617="","",INDEX('Input Transaksi'!$F:$F,$E617))</f>
        <v/>
      </c>
      <c r="E617">
        <f>IFERROR(AGGREGATE(15,6,ROW('Input Transaksi'!$B$5:$B$5000)/('Input Transaksi'!$B$5:$B$5000="CL SESETAN"),ROWS($E$5:E617)),"")</f>
        <v/>
      </c>
      <c r="F617" s="5" t="n"/>
    </row>
    <row r="618">
      <c r="A618" s="10">
        <f>IF($E618="","",INDEX('Input Transaksi'!$A:$A,$E618))</f>
        <v/>
      </c>
      <c r="B618" s="5">
        <f>IF($E618="","",INDEX('Input Transaksi'!$D:$D,$E618))</f>
        <v/>
      </c>
      <c r="C618">
        <f>IF($E618="","",INDEX('Input Transaksi'!$E:$E,$E618))</f>
        <v/>
      </c>
      <c r="D618" s="5">
        <f>IF($E618="","",INDEX('Input Transaksi'!$F:$F,$E618))</f>
        <v/>
      </c>
      <c r="E618">
        <f>IFERROR(AGGREGATE(15,6,ROW('Input Transaksi'!$B$5:$B$5000)/('Input Transaksi'!$B$5:$B$5000="CL SESETAN"),ROWS($E$5:E618)),"")</f>
        <v/>
      </c>
      <c r="F618" s="5" t="n"/>
    </row>
    <row r="619">
      <c r="A619" s="10">
        <f>IF($E619="","",INDEX('Input Transaksi'!$A:$A,$E619))</f>
        <v/>
      </c>
      <c r="B619" s="5">
        <f>IF($E619="","",INDEX('Input Transaksi'!$D:$D,$E619))</f>
        <v/>
      </c>
      <c r="C619">
        <f>IF($E619="","",INDEX('Input Transaksi'!$E:$E,$E619))</f>
        <v/>
      </c>
      <c r="D619" s="5">
        <f>IF($E619="","",INDEX('Input Transaksi'!$F:$F,$E619))</f>
        <v/>
      </c>
      <c r="E619">
        <f>IFERROR(AGGREGATE(15,6,ROW('Input Transaksi'!$B$5:$B$5000)/('Input Transaksi'!$B$5:$B$5000="CL SESETAN"),ROWS($E$5:E619)),"")</f>
        <v/>
      </c>
      <c r="F619" s="5" t="n"/>
    </row>
    <row r="620">
      <c r="A620" s="10">
        <f>IF($E620="","",INDEX('Input Transaksi'!$A:$A,$E620))</f>
        <v/>
      </c>
      <c r="B620" s="5">
        <f>IF($E620="","",INDEX('Input Transaksi'!$D:$D,$E620))</f>
        <v/>
      </c>
      <c r="C620">
        <f>IF($E620="","",INDEX('Input Transaksi'!$E:$E,$E620))</f>
        <v/>
      </c>
      <c r="D620" s="5">
        <f>IF($E620="","",INDEX('Input Transaksi'!$F:$F,$E620))</f>
        <v/>
      </c>
      <c r="E620">
        <f>IFERROR(AGGREGATE(15,6,ROW('Input Transaksi'!$B$5:$B$5000)/('Input Transaksi'!$B$5:$B$5000="CL SESETAN"),ROWS($E$5:E620)),"")</f>
        <v/>
      </c>
      <c r="F620" s="5" t="n"/>
    </row>
    <row r="621">
      <c r="A621" s="10">
        <f>IF($E621="","",INDEX('Input Transaksi'!$A:$A,$E621))</f>
        <v/>
      </c>
      <c r="B621" s="5">
        <f>IF($E621="","",INDEX('Input Transaksi'!$D:$D,$E621))</f>
        <v/>
      </c>
      <c r="C621">
        <f>IF($E621="","",INDEX('Input Transaksi'!$E:$E,$E621))</f>
        <v/>
      </c>
      <c r="D621" s="5">
        <f>IF($E621="","",INDEX('Input Transaksi'!$F:$F,$E621))</f>
        <v/>
      </c>
      <c r="E621">
        <f>IFERROR(AGGREGATE(15,6,ROW('Input Transaksi'!$B$5:$B$5000)/('Input Transaksi'!$B$5:$B$5000="CL SESETAN"),ROWS($E$5:E621)),"")</f>
        <v/>
      </c>
      <c r="F621" s="5" t="n"/>
    </row>
    <row r="622">
      <c r="A622" s="10">
        <f>IF($E622="","",INDEX('Input Transaksi'!$A:$A,$E622))</f>
        <v/>
      </c>
      <c r="B622" s="5">
        <f>IF($E622="","",INDEX('Input Transaksi'!$D:$D,$E622))</f>
        <v/>
      </c>
      <c r="C622">
        <f>IF($E622="","",INDEX('Input Transaksi'!$E:$E,$E622))</f>
        <v/>
      </c>
      <c r="D622" s="5">
        <f>IF($E622="","",INDEX('Input Transaksi'!$F:$F,$E622))</f>
        <v/>
      </c>
      <c r="E622">
        <f>IFERROR(AGGREGATE(15,6,ROW('Input Transaksi'!$B$5:$B$5000)/('Input Transaksi'!$B$5:$B$5000="CL SESETAN"),ROWS($E$5:E622)),"")</f>
        <v/>
      </c>
      <c r="F622" s="5" t="n"/>
    </row>
    <row r="623">
      <c r="A623" s="10">
        <f>IF($E623="","",INDEX('Input Transaksi'!$A:$A,$E623))</f>
        <v/>
      </c>
      <c r="B623" s="5">
        <f>IF($E623="","",INDEX('Input Transaksi'!$D:$D,$E623))</f>
        <v/>
      </c>
      <c r="C623">
        <f>IF($E623="","",INDEX('Input Transaksi'!$E:$E,$E623))</f>
        <v/>
      </c>
      <c r="D623" s="5">
        <f>IF($E623="","",INDEX('Input Transaksi'!$F:$F,$E623))</f>
        <v/>
      </c>
      <c r="E623">
        <f>IFERROR(AGGREGATE(15,6,ROW('Input Transaksi'!$B$5:$B$5000)/('Input Transaksi'!$B$5:$B$5000="CL SESETAN"),ROWS($E$5:E623)),"")</f>
        <v/>
      </c>
      <c r="F623" s="5" t="n"/>
    </row>
    <row r="624">
      <c r="A624" s="10">
        <f>IF($E624="","",INDEX('Input Transaksi'!$A:$A,$E624))</f>
        <v/>
      </c>
      <c r="B624" s="5">
        <f>IF($E624="","",INDEX('Input Transaksi'!$D:$D,$E624))</f>
        <v/>
      </c>
      <c r="C624">
        <f>IF($E624="","",INDEX('Input Transaksi'!$E:$E,$E624))</f>
        <v/>
      </c>
      <c r="D624" s="5">
        <f>IF($E624="","",INDEX('Input Transaksi'!$F:$F,$E624))</f>
        <v/>
      </c>
      <c r="E624">
        <f>IFERROR(AGGREGATE(15,6,ROW('Input Transaksi'!$B$5:$B$5000)/('Input Transaksi'!$B$5:$B$5000="CL SESETAN"),ROWS($E$5:E624)),"")</f>
        <v/>
      </c>
      <c r="F624" s="5" t="n"/>
    </row>
    <row r="625">
      <c r="A625" s="10">
        <f>IF($E625="","",INDEX('Input Transaksi'!$A:$A,$E625))</f>
        <v/>
      </c>
      <c r="B625" s="5">
        <f>IF($E625="","",INDEX('Input Transaksi'!$D:$D,$E625))</f>
        <v/>
      </c>
      <c r="C625">
        <f>IF($E625="","",INDEX('Input Transaksi'!$E:$E,$E625))</f>
        <v/>
      </c>
      <c r="D625" s="5">
        <f>IF($E625="","",INDEX('Input Transaksi'!$F:$F,$E625))</f>
        <v/>
      </c>
      <c r="E625">
        <f>IFERROR(AGGREGATE(15,6,ROW('Input Transaksi'!$B$5:$B$5000)/('Input Transaksi'!$B$5:$B$5000="CL SESETAN"),ROWS($E$5:E625)),"")</f>
        <v/>
      </c>
      <c r="F625" s="5" t="n"/>
    </row>
    <row r="626">
      <c r="A626" s="10">
        <f>IF($E626="","",INDEX('Input Transaksi'!$A:$A,$E626))</f>
        <v/>
      </c>
      <c r="B626" s="5">
        <f>IF($E626="","",INDEX('Input Transaksi'!$D:$D,$E626))</f>
        <v/>
      </c>
      <c r="C626">
        <f>IF($E626="","",INDEX('Input Transaksi'!$E:$E,$E626))</f>
        <v/>
      </c>
      <c r="D626" s="5">
        <f>IF($E626="","",INDEX('Input Transaksi'!$F:$F,$E626))</f>
        <v/>
      </c>
      <c r="E626">
        <f>IFERROR(AGGREGATE(15,6,ROW('Input Transaksi'!$B$5:$B$5000)/('Input Transaksi'!$B$5:$B$5000="CL SESETAN"),ROWS($E$5:E626)),"")</f>
        <v/>
      </c>
      <c r="F626" s="5" t="n"/>
    </row>
    <row r="627">
      <c r="A627" s="10">
        <f>IF($E627="","",INDEX('Input Transaksi'!$A:$A,$E627))</f>
        <v/>
      </c>
      <c r="B627" s="5">
        <f>IF($E627="","",INDEX('Input Transaksi'!$D:$D,$E627))</f>
        <v/>
      </c>
      <c r="C627">
        <f>IF($E627="","",INDEX('Input Transaksi'!$E:$E,$E627))</f>
        <v/>
      </c>
      <c r="D627" s="5">
        <f>IF($E627="","",INDEX('Input Transaksi'!$F:$F,$E627))</f>
        <v/>
      </c>
      <c r="E627">
        <f>IFERROR(AGGREGATE(15,6,ROW('Input Transaksi'!$B$5:$B$5000)/('Input Transaksi'!$B$5:$B$5000="CL SESETAN"),ROWS($E$5:E627)),"")</f>
        <v/>
      </c>
      <c r="F627" s="5" t="n"/>
    </row>
    <row r="628">
      <c r="A628" s="10">
        <f>IF($E628="","",INDEX('Input Transaksi'!$A:$A,$E628))</f>
        <v/>
      </c>
      <c r="B628" s="5">
        <f>IF($E628="","",INDEX('Input Transaksi'!$D:$D,$E628))</f>
        <v/>
      </c>
      <c r="C628">
        <f>IF($E628="","",INDEX('Input Transaksi'!$E:$E,$E628))</f>
        <v/>
      </c>
      <c r="D628" s="5">
        <f>IF($E628="","",INDEX('Input Transaksi'!$F:$F,$E628))</f>
        <v/>
      </c>
      <c r="E628">
        <f>IFERROR(AGGREGATE(15,6,ROW('Input Transaksi'!$B$5:$B$5000)/('Input Transaksi'!$B$5:$B$5000="CL SESETAN"),ROWS($E$5:E628)),"")</f>
        <v/>
      </c>
      <c r="F628" s="5" t="n"/>
    </row>
    <row r="629">
      <c r="A629" s="10">
        <f>IF($E629="","",INDEX('Input Transaksi'!$A:$A,$E629))</f>
        <v/>
      </c>
      <c r="B629" s="5">
        <f>IF($E629="","",INDEX('Input Transaksi'!$D:$D,$E629))</f>
        <v/>
      </c>
      <c r="C629">
        <f>IF($E629="","",INDEX('Input Transaksi'!$E:$E,$E629))</f>
        <v/>
      </c>
      <c r="D629" s="5">
        <f>IF($E629="","",INDEX('Input Transaksi'!$F:$F,$E629))</f>
        <v/>
      </c>
      <c r="E629">
        <f>IFERROR(AGGREGATE(15,6,ROW('Input Transaksi'!$B$5:$B$5000)/('Input Transaksi'!$B$5:$B$5000="CL SESETAN"),ROWS($E$5:E629)),"")</f>
        <v/>
      </c>
      <c r="F629" s="5" t="n"/>
    </row>
    <row r="630">
      <c r="A630" s="10">
        <f>IF($E630="","",INDEX('Input Transaksi'!$A:$A,$E630))</f>
        <v/>
      </c>
      <c r="B630" s="5">
        <f>IF($E630="","",INDEX('Input Transaksi'!$D:$D,$E630))</f>
        <v/>
      </c>
      <c r="C630">
        <f>IF($E630="","",INDEX('Input Transaksi'!$E:$E,$E630))</f>
        <v/>
      </c>
      <c r="D630" s="5">
        <f>IF($E630="","",INDEX('Input Transaksi'!$F:$F,$E630))</f>
        <v/>
      </c>
      <c r="E630">
        <f>IFERROR(AGGREGATE(15,6,ROW('Input Transaksi'!$B$5:$B$5000)/('Input Transaksi'!$B$5:$B$5000="CL SESETAN"),ROWS($E$5:E630)),"")</f>
        <v/>
      </c>
      <c r="F630" s="5" t="n"/>
    </row>
    <row r="631">
      <c r="A631" s="10">
        <f>IF($E631="","",INDEX('Input Transaksi'!$A:$A,$E631))</f>
        <v/>
      </c>
      <c r="B631" s="5">
        <f>IF($E631="","",INDEX('Input Transaksi'!$D:$D,$E631))</f>
        <v/>
      </c>
      <c r="C631">
        <f>IF($E631="","",INDEX('Input Transaksi'!$E:$E,$E631))</f>
        <v/>
      </c>
      <c r="D631" s="5">
        <f>IF($E631="","",INDEX('Input Transaksi'!$F:$F,$E631))</f>
        <v/>
      </c>
      <c r="E631">
        <f>IFERROR(AGGREGATE(15,6,ROW('Input Transaksi'!$B$5:$B$5000)/('Input Transaksi'!$B$5:$B$5000="CL SESETAN"),ROWS($E$5:E631)),"")</f>
        <v/>
      </c>
      <c r="F631" s="5" t="n"/>
    </row>
    <row r="632">
      <c r="A632" s="10">
        <f>IF($E632="","",INDEX('Input Transaksi'!$A:$A,$E632))</f>
        <v/>
      </c>
      <c r="B632" s="5">
        <f>IF($E632="","",INDEX('Input Transaksi'!$D:$D,$E632))</f>
        <v/>
      </c>
      <c r="C632">
        <f>IF($E632="","",INDEX('Input Transaksi'!$E:$E,$E632))</f>
        <v/>
      </c>
      <c r="D632" s="5">
        <f>IF($E632="","",INDEX('Input Transaksi'!$F:$F,$E632))</f>
        <v/>
      </c>
      <c r="E632">
        <f>IFERROR(AGGREGATE(15,6,ROW('Input Transaksi'!$B$5:$B$5000)/('Input Transaksi'!$B$5:$B$5000="CL SESETAN"),ROWS($E$5:E632)),"")</f>
        <v/>
      </c>
      <c r="F632" s="5" t="n"/>
    </row>
    <row r="633">
      <c r="A633" s="10">
        <f>IF($E633="","",INDEX('Input Transaksi'!$A:$A,$E633))</f>
        <v/>
      </c>
      <c r="B633" s="5">
        <f>IF($E633="","",INDEX('Input Transaksi'!$D:$D,$E633))</f>
        <v/>
      </c>
      <c r="C633">
        <f>IF($E633="","",INDEX('Input Transaksi'!$E:$E,$E633))</f>
        <v/>
      </c>
      <c r="D633" s="5">
        <f>IF($E633="","",INDEX('Input Transaksi'!$F:$F,$E633))</f>
        <v/>
      </c>
      <c r="E633">
        <f>IFERROR(AGGREGATE(15,6,ROW('Input Transaksi'!$B$5:$B$5000)/('Input Transaksi'!$B$5:$B$5000="CL SESETAN"),ROWS($E$5:E633)),"")</f>
        <v/>
      </c>
      <c r="F633" s="5" t="n"/>
    </row>
    <row r="634">
      <c r="A634" s="10">
        <f>IF($E634="","",INDEX('Input Transaksi'!$A:$A,$E634))</f>
        <v/>
      </c>
      <c r="B634" s="5">
        <f>IF($E634="","",INDEX('Input Transaksi'!$D:$D,$E634))</f>
        <v/>
      </c>
      <c r="C634">
        <f>IF($E634="","",INDEX('Input Transaksi'!$E:$E,$E634))</f>
        <v/>
      </c>
      <c r="D634" s="5">
        <f>IF($E634="","",INDEX('Input Transaksi'!$F:$F,$E634))</f>
        <v/>
      </c>
      <c r="E634">
        <f>IFERROR(AGGREGATE(15,6,ROW('Input Transaksi'!$B$5:$B$5000)/('Input Transaksi'!$B$5:$B$5000="CL SESETAN"),ROWS($E$5:E634)),"")</f>
        <v/>
      </c>
      <c r="F634" s="5" t="n"/>
    </row>
    <row r="635">
      <c r="A635" s="10">
        <f>IF($E635="","",INDEX('Input Transaksi'!$A:$A,$E635))</f>
        <v/>
      </c>
      <c r="B635" s="5">
        <f>IF($E635="","",INDEX('Input Transaksi'!$D:$D,$E635))</f>
        <v/>
      </c>
      <c r="C635">
        <f>IF($E635="","",INDEX('Input Transaksi'!$E:$E,$E635))</f>
        <v/>
      </c>
      <c r="D635" s="5">
        <f>IF($E635="","",INDEX('Input Transaksi'!$F:$F,$E635))</f>
        <v/>
      </c>
      <c r="E635">
        <f>IFERROR(AGGREGATE(15,6,ROW('Input Transaksi'!$B$5:$B$5000)/('Input Transaksi'!$B$5:$B$5000="CL SESETAN"),ROWS($E$5:E635)),"")</f>
        <v/>
      </c>
      <c r="F635" s="5" t="n"/>
    </row>
    <row r="636">
      <c r="A636" s="10">
        <f>IF($E636="","",INDEX('Input Transaksi'!$A:$A,$E636))</f>
        <v/>
      </c>
      <c r="B636" s="5">
        <f>IF($E636="","",INDEX('Input Transaksi'!$D:$D,$E636))</f>
        <v/>
      </c>
      <c r="C636">
        <f>IF($E636="","",INDEX('Input Transaksi'!$E:$E,$E636))</f>
        <v/>
      </c>
      <c r="D636" s="5">
        <f>IF($E636="","",INDEX('Input Transaksi'!$F:$F,$E636))</f>
        <v/>
      </c>
      <c r="E636">
        <f>IFERROR(AGGREGATE(15,6,ROW('Input Transaksi'!$B$5:$B$5000)/('Input Transaksi'!$B$5:$B$5000="CL SESETAN"),ROWS($E$5:E636)),"")</f>
        <v/>
      </c>
      <c r="F636" s="5" t="n"/>
    </row>
    <row r="637">
      <c r="A637" s="10">
        <f>IF($E637="","",INDEX('Input Transaksi'!$A:$A,$E637))</f>
        <v/>
      </c>
      <c r="B637" s="5">
        <f>IF($E637="","",INDEX('Input Transaksi'!$D:$D,$E637))</f>
        <v/>
      </c>
      <c r="C637">
        <f>IF($E637="","",INDEX('Input Transaksi'!$E:$E,$E637))</f>
        <v/>
      </c>
      <c r="D637" s="5">
        <f>IF($E637="","",INDEX('Input Transaksi'!$F:$F,$E637))</f>
        <v/>
      </c>
      <c r="E637">
        <f>IFERROR(AGGREGATE(15,6,ROW('Input Transaksi'!$B$5:$B$5000)/('Input Transaksi'!$B$5:$B$5000="CL SESETAN"),ROWS($E$5:E637)),"")</f>
        <v/>
      </c>
      <c r="F637" s="5" t="n"/>
    </row>
    <row r="638">
      <c r="A638" s="10">
        <f>IF($E638="","",INDEX('Input Transaksi'!$A:$A,$E638))</f>
        <v/>
      </c>
      <c r="B638" s="5">
        <f>IF($E638="","",INDEX('Input Transaksi'!$D:$D,$E638))</f>
        <v/>
      </c>
      <c r="C638">
        <f>IF($E638="","",INDEX('Input Transaksi'!$E:$E,$E638))</f>
        <v/>
      </c>
      <c r="D638" s="5">
        <f>IF($E638="","",INDEX('Input Transaksi'!$F:$F,$E638))</f>
        <v/>
      </c>
      <c r="E638">
        <f>IFERROR(AGGREGATE(15,6,ROW('Input Transaksi'!$B$5:$B$5000)/('Input Transaksi'!$B$5:$B$5000="CL SESETAN"),ROWS($E$5:E638)),"")</f>
        <v/>
      </c>
      <c r="F638" s="5" t="n"/>
    </row>
    <row r="639">
      <c r="A639" s="10">
        <f>IF($E639="","",INDEX('Input Transaksi'!$A:$A,$E639))</f>
        <v/>
      </c>
      <c r="B639" s="5">
        <f>IF($E639="","",INDEX('Input Transaksi'!$D:$D,$E639))</f>
        <v/>
      </c>
      <c r="C639">
        <f>IF($E639="","",INDEX('Input Transaksi'!$E:$E,$E639))</f>
        <v/>
      </c>
      <c r="D639" s="5">
        <f>IF($E639="","",INDEX('Input Transaksi'!$F:$F,$E639))</f>
        <v/>
      </c>
      <c r="E639">
        <f>IFERROR(AGGREGATE(15,6,ROW('Input Transaksi'!$B$5:$B$5000)/('Input Transaksi'!$B$5:$B$5000="CL SESETAN"),ROWS($E$5:E639)),"")</f>
        <v/>
      </c>
      <c r="F639" s="5" t="n"/>
    </row>
    <row r="640">
      <c r="A640" s="10">
        <f>IF($E640="","",INDEX('Input Transaksi'!$A:$A,$E640))</f>
        <v/>
      </c>
      <c r="B640" s="5">
        <f>IF($E640="","",INDEX('Input Transaksi'!$D:$D,$E640))</f>
        <v/>
      </c>
      <c r="C640">
        <f>IF($E640="","",INDEX('Input Transaksi'!$E:$E,$E640))</f>
        <v/>
      </c>
      <c r="D640" s="5">
        <f>IF($E640="","",INDEX('Input Transaksi'!$F:$F,$E640))</f>
        <v/>
      </c>
      <c r="E640">
        <f>IFERROR(AGGREGATE(15,6,ROW('Input Transaksi'!$B$5:$B$5000)/('Input Transaksi'!$B$5:$B$5000="CL SESETAN"),ROWS($E$5:E640)),"")</f>
        <v/>
      </c>
      <c r="F640" s="5" t="n"/>
    </row>
    <row r="641">
      <c r="A641" s="10">
        <f>IF($E641="","",INDEX('Input Transaksi'!$A:$A,$E641))</f>
        <v/>
      </c>
      <c r="B641" s="5">
        <f>IF($E641="","",INDEX('Input Transaksi'!$D:$D,$E641))</f>
        <v/>
      </c>
      <c r="C641">
        <f>IF($E641="","",INDEX('Input Transaksi'!$E:$E,$E641))</f>
        <v/>
      </c>
      <c r="D641" s="5">
        <f>IF($E641="","",INDEX('Input Transaksi'!$F:$F,$E641))</f>
        <v/>
      </c>
      <c r="E641">
        <f>IFERROR(AGGREGATE(15,6,ROW('Input Transaksi'!$B$5:$B$5000)/('Input Transaksi'!$B$5:$B$5000="CL SESETAN"),ROWS($E$5:E641)),"")</f>
        <v/>
      </c>
      <c r="F641" s="5" t="n"/>
    </row>
    <row r="642">
      <c r="A642" s="10">
        <f>IF($E642="","",INDEX('Input Transaksi'!$A:$A,$E642))</f>
        <v/>
      </c>
      <c r="B642" s="5">
        <f>IF($E642="","",INDEX('Input Transaksi'!$D:$D,$E642))</f>
        <v/>
      </c>
      <c r="C642">
        <f>IF($E642="","",INDEX('Input Transaksi'!$E:$E,$E642))</f>
        <v/>
      </c>
      <c r="D642" s="5">
        <f>IF($E642="","",INDEX('Input Transaksi'!$F:$F,$E642))</f>
        <v/>
      </c>
      <c r="E642">
        <f>IFERROR(AGGREGATE(15,6,ROW('Input Transaksi'!$B$5:$B$5000)/('Input Transaksi'!$B$5:$B$5000="CL SESETAN"),ROWS($E$5:E642)),"")</f>
        <v/>
      </c>
      <c r="F642" s="5" t="n"/>
    </row>
    <row r="643">
      <c r="A643" s="10">
        <f>IF($E643="","",INDEX('Input Transaksi'!$A:$A,$E643))</f>
        <v/>
      </c>
      <c r="B643" s="5">
        <f>IF($E643="","",INDEX('Input Transaksi'!$D:$D,$E643))</f>
        <v/>
      </c>
      <c r="C643">
        <f>IF($E643="","",INDEX('Input Transaksi'!$E:$E,$E643))</f>
        <v/>
      </c>
      <c r="D643" s="5">
        <f>IF($E643="","",INDEX('Input Transaksi'!$F:$F,$E643))</f>
        <v/>
      </c>
      <c r="E643">
        <f>IFERROR(AGGREGATE(15,6,ROW('Input Transaksi'!$B$5:$B$5000)/('Input Transaksi'!$B$5:$B$5000="CL SESETAN"),ROWS($E$5:E643)),"")</f>
        <v/>
      </c>
      <c r="F643" s="5" t="n"/>
    </row>
    <row r="644">
      <c r="A644" s="10">
        <f>IF($E644="","",INDEX('Input Transaksi'!$A:$A,$E644))</f>
        <v/>
      </c>
      <c r="B644" s="5">
        <f>IF($E644="","",INDEX('Input Transaksi'!$D:$D,$E644))</f>
        <v/>
      </c>
      <c r="C644">
        <f>IF($E644="","",INDEX('Input Transaksi'!$E:$E,$E644))</f>
        <v/>
      </c>
      <c r="D644" s="5">
        <f>IF($E644="","",INDEX('Input Transaksi'!$F:$F,$E644))</f>
        <v/>
      </c>
      <c r="E644">
        <f>IFERROR(AGGREGATE(15,6,ROW('Input Transaksi'!$B$5:$B$5000)/('Input Transaksi'!$B$5:$B$5000="CL SESETAN"),ROWS($E$5:E644)),"")</f>
        <v/>
      </c>
      <c r="F644" s="5" t="n"/>
    </row>
    <row r="645">
      <c r="A645" s="10">
        <f>IF($E645="","",INDEX('Input Transaksi'!$A:$A,$E645))</f>
        <v/>
      </c>
      <c r="B645" s="5">
        <f>IF($E645="","",INDEX('Input Transaksi'!$D:$D,$E645))</f>
        <v/>
      </c>
      <c r="C645">
        <f>IF($E645="","",INDEX('Input Transaksi'!$E:$E,$E645))</f>
        <v/>
      </c>
      <c r="D645" s="5">
        <f>IF($E645="","",INDEX('Input Transaksi'!$F:$F,$E645))</f>
        <v/>
      </c>
      <c r="E645">
        <f>IFERROR(AGGREGATE(15,6,ROW('Input Transaksi'!$B$5:$B$5000)/('Input Transaksi'!$B$5:$B$5000="CL SESETAN"),ROWS($E$5:E645)),"")</f>
        <v/>
      </c>
      <c r="F645" s="5" t="n"/>
    </row>
    <row r="646">
      <c r="A646" s="10">
        <f>IF($E646="","",INDEX('Input Transaksi'!$A:$A,$E646))</f>
        <v/>
      </c>
      <c r="B646" s="5">
        <f>IF($E646="","",INDEX('Input Transaksi'!$D:$D,$E646))</f>
        <v/>
      </c>
      <c r="C646">
        <f>IF($E646="","",INDEX('Input Transaksi'!$E:$E,$E646))</f>
        <v/>
      </c>
      <c r="D646" s="5">
        <f>IF($E646="","",INDEX('Input Transaksi'!$F:$F,$E646))</f>
        <v/>
      </c>
      <c r="E646">
        <f>IFERROR(AGGREGATE(15,6,ROW('Input Transaksi'!$B$5:$B$5000)/('Input Transaksi'!$B$5:$B$5000="CL SESETAN"),ROWS($E$5:E646)),"")</f>
        <v/>
      </c>
      <c r="F646" s="5" t="n"/>
    </row>
    <row r="647">
      <c r="A647" s="10">
        <f>IF($E647="","",INDEX('Input Transaksi'!$A:$A,$E647))</f>
        <v/>
      </c>
      <c r="B647" s="5">
        <f>IF($E647="","",INDEX('Input Transaksi'!$D:$D,$E647))</f>
        <v/>
      </c>
      <c r="C647">
        <f>IF($E647="","",INDEX('Input Transaksi'!$E:$E,$E647))</f>
        <v/>
      </c>
      <c r="D647" s="5">
        <f>IF($E647="","",INDEX('Input Transaksi'!$F:$F,$E647))</f>
        <v/>
      </c>
      <c r="E647">
        <f>IFERROR(AGGREGATE(15,6,ROW('Input Transaksi'!$B$5:$B$5000)/('Input Transaksi'!$B$5:$B$5000="CL SESETAN"),ROWS($E$5:E647)),"")</f>
        <v/>
      </c>
      <c r="F647" s="5" t="n"/>
    </row>
    <row r="648">
      <c r="A648" s="10">
        <f>IF($E648="","",INDEX('Input Transaksi'!$A:$A,$E648))</f>
        <v/>
      </c>
      <c r="B648" s="5">
        <f>IF($E648="","",INDEX('Input Transaksi'!$D:$D,$E648))</f>
        <v/>
      </c>
      <c r="C648">
        <f>IF($E648="","",INDEX('Input Transaksi'!$E:$E,$E648))</f>
        <v/>
      </c>
      <c r="D648" s="5">
        <f>IF($E648="","",INDEX('Input Transaksi'!$F:$F,$E648))</f>
        <v/>
      </c>
      <c r="E648">
        <f>IFERROR(AGGREGATE(15,6,ROW('Input Transaksi'!$B$5:$B$5000)/('Input Transaksi'!$B$5:$B$5000="CL SESETAN"),ROWS($E$5:E648)),"")</f>
        <v/>
      </c>
      <c r="F648" s="5" t="n"/>
    </row>
    <row r="649">
      <c r="A649" s="10">
        <f>IF($E649="","",INDEX('Input Transaksi'!$A:$A,$E649))</f>
        <v/>
      </c>
      <c r="B649" s="5">
        <f>IF($E649="","",INDEX('Input Transaksi'!$D:$D,$E649))</f>
        <v/>
      </c>
      <c r="C649">
        <f>IF($E649="","",INDEX('Input Transaksi'!$E:$E,$E649))</f>
        <v/>
      </c>
      <c r="D649" s="5">
        <f>IF($E649="","",INDEX('Input Transaksi'!$F:$F,$E649))</f>
        <v/>
      </c>
      <c r="E649">
        <f>IFERROR(AGGREGATE(15,6,ROW('Input Transaksi'!$B$5:$B$5000)/('Input Transaksi'!$B$5:$B$5000="CL SESETAN"),ROWS($E$5:E649)),"")</f>
        <v/>
      </c>
      <c r="F649" s="5" t="n"/>
    </row>
    <row r="650">
      <c r="A650" s="10">
        <f>IF($E650="","",INDEX('Input Transaksi'!$A:$A,$E650))</f>
        <v/>
      </c>
      <c r="B650" s="5">
        <f>IF($E650="","",INDEX('Input Transaksi'!$D:$D,$E650))</f>
        <v/>
      </c>
      <c r="C650">
        <f>IF($E650="","",INDEX('Input Transaksi'!$E:$E,$E650))</f>
        <v/>
      </c>
      <c r="D650" s="5">
        <f>IF($E650="","",INDEX('Input Transaksi'!$F:$F,$E650))</f>
        <v/>
      </c>
      <c r="E650">
        <f>IFERROR(AGGREGATE(15,6,ROW('Input Transaksi'!$B$5:$B$5000)/('Input Transaksi'!$B$5:$B$5000="CL SESETAN"),ROWS($E$5:E650)),"")</f>
        <v/>
      </c>
      <c r="F650" s="5" t="n"/>
    </row>
    <row r="651">
      <c r="A651" s="10">
        <f>IF($E651="","",INDEX('Input Transaksi'!$A:$A,$E651))</f>
        <v/>
      </c>
      <c r="B651" s="5">
        <f>IF($E651="","",INDEX('Input Transaksi'!$D:$D,$E651))</f>
        <v/>
      </c>
      <c r="C651">
        <f>IF($E651="","",INDEX('Input Transaksi'!$E:$E,$E651))</f>
        <v/>
      </c>
      <c r="D651" s="5">
        <f>IF($E651="","",INDEX('Input Transaksi'!$F:$F,$E651))</f>
        <v/>
      </c>
      <c r="E651">
        <f>IFERROR(AGGREGATE(15,6,ROW('Input Transaksi'!$B$5:$B$5000)/('Input Transaksi'!$B$5:$B$5000="CL SESETAN"),ROWS($E$5:E651)),"")</f>
        <v/>
      </c>
      <c r="F651" s="5" t="n"/>
    </row>
    <row r="652">
      <c r="A652" s="10">
        <f>IF($E652="","",INDEX('Input Transaksi'!$A:$A,$E652))</f>
        <v/>
      </c>
      <c r="B652" s="5">
        <f>IF($E652="","",INDEX('Input Transaksi'!$D:$D,$E652))</f>
        <v/>
      </c>
      <c r="C652">
        <f>IF($E652="","",INDEX('Input Transaksi'!$E:$E,$E652))</f>
        <v/>
      </c>
      <c r="D652" s="5">
        <f>IF($E652="","",INDEX('Input Transaksi'!$F:$F,$E652))</f>
        <v/>
      </c>
      <c r="E652">
        <f>IFERROR(AGGREGATE(15,6,ROW('Input Transaksi'!$B$5:$B$5000)/('Input Transaksi'!$B$5:$B$5000="CL SESETAN"),ROWS($E$5:E652)),"")</f>
        <v/>
      </c>
      <c r="F652" s="5" t="n"/>
    </row>
    <row r="653">
      <c r="A653" s="10">
        <f>IF($E653="","",INDEX('Input Transaksi'!$A:$A,$E653))</f>
        <v/>
      </c>
      <c r="B653" s="5">
        <f>IF($E653="","",INDEX('Input Transaksi'!$D:$D,$E653))</f>
        <v/>
      </c>
      <c r="C653">
        <f>IF($E653="","",INDEX('Input Transaksi'!$E:$E,$E653))</f>
        <v/>
      </c>
      <c r="D653" s="5">
        <f>IF($E653="","",INDEX('Input Transaksi'!$F:$F,$E653))</f>
        <v/>
      </c>
      <c r="E653">
        <f>IFERROR(AGGREGATE(15,6,ROW('Input Transaksi'!$B$5:$B$5000)/('Input Transaksi'!$B$5:$B$5000="CL SESETAN"),ROWS($E$5:E653)),"")</f>
        <v/>
      </c>
      <c r="F653" s="5" t="n"/>
    </row>
    <row r="654">
      <c r="A654" s="10">
        <f>IF($E654="","",INDEX('Input Transaksi'!$A:$A,$E654))</f>
        <v/>
      </c>
      <c r="B654" s="5">
        <f>IF($E654="","",INDEX('Input Transaksi'!$D:$D,$E654))</f>
        <v/>
      </c>
      <c r="C654">
        <f>IF($E654="","",INDEX('Input Transaksi'!$E:$E,$E654))</f>
        <v/>
      </c>
      <c r="D654" s="5">
        <f>IF($E654="","",INDEX('Input Transaksi'!$F:$F,$E654))</f>
        <v/>
      </c>
      <c r="E654">
        <f>IFERROR(AGGREGATE(15,6,ROW('Input Transaksi'!$B$5:$B$5000)/('Input Transaksi'!$B$5:$B$5000="CL SESETAN"),ROWS($E$5:E654)),"")</f>
        <v/>
      </c>
      <c r="F654" s="5" t="n"/>
    </row>
    <row r="655">
      <c r="A655" s="10">
        <f>IF($E655="","",INDEX('Input Transaksi'!$A:$A,$E655))</f>
        <v/>
      </c>
      <c r="B655" s="5">
        <f>IF($E655="","",INDEX('Input Transaksi'!$D:$D,$E655))</f>
        <v/>
      </c>
      <c r="C655">
        <f>IF($E655="","",INDEX('Input Transaksi'!$E:$E,$E655))</f>
        <v/>
      </c>
      <c r="D655" s="5">
        <f>IF($E655="","",INDEX('Input Transaksi'!$F:$F,$E655))</f>
        <v/>
      </c>
      <c r="E655">
        <f>IFERROR(AGGREGATE(15,6,ROW('Input Transaksi'!$B$5:$B$5000)/('Input Transaksi'!$B$5:$B$5000="CL SESETAN"),ROWS($E$5:E655)),"")</f>
        <v/>
      </c>
      <c r="F655" s="5" t="n"/>
    </row>
    <row r="656">
      <c r="A656" s="10">
        <f>IF($E656="","",INDEX('Input Transaksi'!$A:$A,$E656))</f>
        <v/>
      </c>
      <c r="B656" s="5">
        <f>IF($E656="","",INDEX('Input Transaksi'!$D:$D,$E656))</f>
        <v/>
      </c>
      <c r="C656">
        <f>IF($E656="","",INDEX('Input Transaksi'!$E:$E,$E656))</f>
        <v/>
      </c>
      <c r="D656" s="5">
        <f>IF($E656="","",INDEX('Input Transaksi'!$F:$F,$E656))</f>
        <v/>
      </c>
      <c r="E656">
        <f>IFERROR(AGGREGATE(15,6,ROW('Input Transaksi'!$B$5:$B$5000)/('Input Transaksi'!$B$5:$B$5000="CL SESETAN"),ROWS($E$5:E656)),"")</f>
        <v/>
      </c>
      <c r="F656" s="5" t="n"/>
    </row>
    <row r="657">
      <c r="A657" s="10">
        <f>IF($E657="","",INDEX('Input Transaksi'!$A:$A,$E657))</f>
        <v/>
      </c>
      <c r="B657" s="5">
        <f>IF($E657="","",INDEX('Input Transaksi'!$D:$D,$E657))</f>
        <v/>
      </c>
      <c r="C657">
        <f>IF($E657="","",INDEX('Input Transaksi'!$E:$E,$E657))</f>
        <v/>
      </c>
      <c r="D657" s="5">
        <f>IF($E657="","",INDEX('Input Transaksi'!$F:$F,$E657))</f>
        <v/>
      </c>
      <c r="E657">
        <f>IFERROR(AGGREGATE(15,6,ROW('Input Transaksi'!$B$5:$B$5000)/('Input Transaksi'!$B$5:$B$5000="CL SESETAN"),ROWS($E$5:E657)),"")</f>
        <v/>
      </c>
      <c r="F657" s="5" t="n"/>
    </row>
    <row r="658">
      <c r="A658" s="10">
        <f>IF($E658="","",INDEX('Input Transaksi'!$A:$A,$E658))</f>
        <v/>
      </c>
      <c r="B658" s="5">
        <f>IF($E658="","",INDEX('Input Transaksi'!$D:$D,$E658))</f>
        <v/>
      </c>
      <c r="C658">
        <f>IF($E658="","",INDEX('Input Transaksi'!$E:$E,$E658))</f>
        <v/>
      </c>
      <c r="D658" s="5">
        <f>IF($E658="","",INDEX('Input Transaksi'!$F:$F,$E658))</f>
        <v/>
      </c>
      <c r="E658">
        <f>IFERROR(AGGREGATE(15,6,ROW('Input Transaksi'!$B$5:$B$5000)/('Input Transaksi'!$B$5:$B$5000="CL SESETAN"),ROWS($E$5:E658)),"")</f>
        <v/>
      </c>
      <c r="F658" s="5" t="n"/>
    </row>
    <row r="659">
      <c r="A659" s="10">
        <f>IF($E659="","",INDEX('Input Transaksi'!$A:$A,$E659))</f>
        <v/>
      </c>
      <c r="B659" s="5">
        <f>IF($E659="","",INDEX('Input Transaksi'!$D:$D,$E659))</f>
        <v/>
      </c>
      <c r="C659">
        <f>IF($E659="","",INDEX('Input Transaksi'!$E:$E,$E659))</f>
        <v/>
      </c>
      <c r="D659" s="5">
        <f>IF($E659="","",INDEX('Input Transaksi'!$F:$F,$E659))</f>
        <v/>
      </c>
      <c r="E659">
        <f>IFERROR(AGGREGATE(15,6,ROW('Input Transaksi'!$B$5:$B$5000)/('Input Transaksi'!$B$5:$B$5000="CL SESETAN"),ROWS($E$5:E659)),"")</f>
        <v/>
      </c>
      <c r="F659" s="5" t="n"/>
    </row>
    <row r="660">
      <c r="A660" s="10">
        <f>IF($E660="","",INDEX('Input Transaksi'!$A:$A,$E660))</f>
        <v/>
      </c>
      <c r="B660" s="5">
        <f>IF($E660="","",INDEX('Input Transaksi'!$D:$D,$E660))</f>
        <v/>
      </c>
      <c r="C660">
        <f>IF($E660="","",INDEX('Input Transaksi'!$E:$E,$E660))</f>
        <v/>
      </c>
      <c r="D660" s="5">
        <f>IF($E660="","",INDEX('Input Transaksi'!$F:$F,$E660))</f>
        <v/>
      </c>
      <c r="E660">
        <f>IFERROR(AGGREGATE(15,6,ROW('Input Transaksi'!$B$5:$B$5000)/('Input Transaksi'!$B$5:$B$5000="CL SESETAN"),ROWS($E$5:E660)),"")</f>
        <v/>
      </c>
      <c r="F660" s="5" t="n"/>
    </row>
    <row r="661">
      <c r="A661" s="10">
        <f>IF($E661="","",INDEX('Input Transaksi'!$A:$A,$E661))</f>
        <v/>
      </c>
      <c r="B661" s="5">
        <f>IF($E661="","",INDEX('Input Transaksi'!$D:$D,$E661))</f>
        <v/>
      </c>
      <c r="C661">
        <f>IF($E661="","",INDEX('Input Transaksi'!$E:$E,$E661))</f>
        <v/>
      </c>
      <c r="D661" s="5">
        <f>IF($E661="","",INDEX('Input Transaksi'!$F:$F,$E661))</f>
        <v/>
      </c>
      <c r="E661">
        <f>IFERROR(AGGREGATE(15,6,ROW('Input Transaksi'!$B$5:$B$5000)/('Input Transaksi'!$B$5:$B$5000="CL SESETAN"),ROWS($E$5:E661)),"")</f>
        <v/>
      </c>
      <c r="F661" s="5" t="n"/>
    </row>
    <row r="662">
      <c r="A662" s="10">
        <f>IF($E662="","",INDEX('Input Transaksi'!$A:$A,$E662))</f>
        <v/>
      </c>
      <c r="B662" s="5">
        <f>IF($E662="","",INDEX('Input Transaksi'!$D:$D,$E662))</f>
        <v/>
      </c>
      <c r="C662">
        <f>IF($E662="","",INDEX('Input Transaksi'!$E:$E,$E662))</f>
        <v/>
      </c>
      <c r="D662" s="5">
        <f>IF($E662="","",INDEX('Input Transaksi'!$F:$F,$E662))</f>
        <v/>
      </c>
      <c r="E662">
        <f>IFERROR(AGGREGATE(15,6,ROW('Input Transaksi'!$B$5:$B$5000)/('Input Transaksi'!$B$5:$B$5000="CL SESETAN"),ROWS($E$5:E662)),"")</f>
        <v/>
      </c>
      <c r="F662" s="5" t="n"/>
    </row>
    <row r="663">
      <c r="A663" s="10">
        <f>IF($E663="","",INDEX('Input Transaksi'!$A:$A,$E663))</f>
        <v/>
      </c>
      <c r="B663" s="5">
        <f>IF($E663="","",INDEX('Input Transaksi'!$D:$D,$E663))</f>
        <v/>
      </c>
      <c r="C663">
        <f>IF($E663="","",INDEX('Input Transaksi'!$E:$E,$E663))</f>
        <v/>
      </c>
      <c r="D663" s="5">
        <f>IF($E663="","",INDEX('Input Transaksi'!$F:$F,$E663))</f>
        <v/>
      </c>
      <c r="E663">
        <f>IFERROR(AGGREGATE(15,6,ROW('Input Transaksi'!$B$5:$B$5000)/('Input Transaksi'!$B$5:$B$5000="CL SESETAN"),ROWS($E$5:E663)),"")</f>
        <v/>
      </c>
      <c r="F663" s="5" t="n"/>
    </row>
    <row r="664">
      <c r="A664" s="10">
        <f>IF($E664="","",INDEX('Input Transaksi'!$A:$A,$E664))</f>
        <v/>
      </c>
      <c r="B664" s="5">
        <f>IF($E664="","",INDEX('Input Transaksi'!$D:$D,$E664))</f>
        <v/>
      </c>
      <c r="C664">
        <f>IF($E664="","",INDEX('Input Transaksi'!$E:$E,$E664))</f>
        <v/>
      </c>
      <c r="D664" s="5">
        <f>IF($E664="","",INDEX('Input Transaksi'!$F:$F,$E664))</f>
        <v/>
      </c>
      <c r="E664">
        <f>IFERROR(AGGREGATE(15,6,ROW('Input Transaksi'!$B$5:$B$5000)/('Input Transaksi'!$B$5:$B$5000="CL SESETAN"),ROWS($E$5:E664)),"")</f>
        <v/>
      </c>
      <c r="F664" s="5" t="n"/>
    </row>
    <row r="665">
      <c r="A665" s="10">
        <f>IF($E665="","",INDEX('Input Transaksi'!$A:$A,$E665))</f>
        <v/>
      </c>
      <c r="B665" s="5">
        <f>IF($E665="","",INDEX('Input Transaksi'!$D:$D,$E665))</f>
        <v/>
      </c>
      <c r="C665">
        <f>IF($E665="","",INDEX('Input Transaksi'!$E:$E,$E665))</f>
        <v/>
      </c>
      <c r="D665" s="5">
        <f>IF($E665="","",INDEX('Input Transaksi'!$F:$F,$E665))</f>
        <v/>
      </c>
      <c r="E665">
        <f>IFERROR(AGGREGATE(15,6,ROW('Input Transaksi'!$B$5:$B$5000)/('Input Transaksi'!$B$5:$B$5000="CL SESETAN"),ROWS($E$5:E665)),"")</f>
        <v/>
      </c>
      <c r="F665" s="5" t="n"/>
    </row>
    <row r="666">
      <c r="A666" s="10">
        <f>IF($E666="","",INDEX('Input Transaksi'!$A:$A,$E666))</f>
        <v/>
      </c>
      <c r="B666" s="5">
        <f>IF($E666="","",INDEX('Input Transaksi'!$D:$D,$E666))</f>
        <v/>
      </c>
      <c r="C666">
        <f>IF($E666="","",INDEX('Input Transaksi'!$E:$E,$E666))</f>
        <v/>
      </c>
      <c r="D666" s="5">
        <f>IF($E666="","",INDEX('Input Transaksi'!$F:$F,$E666))</f>
        <v/>
      </c>
      <c r="E666">
        <f>IFERROR(AGGREGATE(15,6,ROW('Input Transaksi'!$B$5:$B$5000)/('Input Transaksi'!$B$5:$B$5000="CL SESETAN"),ROWS($E$5:E666)),"")</f>
        <v/>
      </c>
      <c r="F666" s="5" t="n"/>
    </row>
    <row r="667">
      <c r="A667" s="10">
        <f>IF($E667="","",INDEX('Input Transaksi'!$A:$A,$E667))</f>
        <v/>
      </c>
      <c r="B667" s="5">
        <f>IF($E667="","",INDEX('Input Transaksi'!$D:$D,$E667))</f>
        <v/>
      </c>
      <c r="C667">
        <f>IF($E667="","",INDEX('Input Transaksi'!$E:$E,$E667))</f>
        <v/>
      </c>
      <c r="D667" s="5">
        <f>IF($E667="","",INDEX('Input Transaksi'!$F:$F,$E667))</f>
        <v/>
      </c>
      <c r="E667">
        <f>IFERROR(AGGREGATE(15,6,ROW('Input Transaksi'!$B$5:$B$5000)/('Input Transaksi'!$B$5:$B$5000="CL SESETAN"),ROWS($E$5:E667)),"")</f>
        <v/>
      </c>
      <c r="F667" s="5" t="n"/>
    </row>
    <row r="668">
      <c r="A668" s="10">
        <f>IF($E668="","",INDEX('Input Transaksi'!$A:$A,$E668))</f>
        <v/>
      </c>
      <c r="B668" s="5">
        <f>IF($E668="","",INDEX('Input Transaksi'!$D:$D,$E668))</f>
        <v/>
      </c>
      <c r="C668">
        <f>IF($E668="","",INDEX('Input Transaksi'!$E:$E,$E668))</f>
        <v/>
      </c>
      <c r="D668" s="5">
        <f>IF($E668="","",INDEX('Input Transaksi'!$F:$F,$E668))</f>
        <v/>
      </c>
      <c r="E668">
        <f>IFERROR(AGGREGATE(15,6,ROW('Input Transaksi'!$B$5:$B$5000)/('Input Transaksi'!$B$5:$B$5000="CL SESETAN"),ROWS($E$5:E668)),"")</f>
        <v/>
      </c>
      <c r="F668" s="5" t="n"/>
    </row>
    <row r="669">
      <c r="A669" s="10">
        <f>IF($E669="","",INDEX('Input Transaksi'!$A:$A,$E669))</f>
        <v/>
      </c>
      <c r="B669" s="5">
        <f>IF($E669="","",INDEX('Input Transaksi'!$D:$D,$E669))</f>
        <v/>
      </c>
      <c r="C669">
        <f>IF($E669="","",INDEX('Input Transaksi'!$E:$E,$E669))</f>
        <v/>
      </c>
      <c r="D669" s="5">
        <f>IF($E669="","",INDEX('Input Transaksi'!$F:$F,$E669))</f>
        <v/>
      </c>
      <c r="E669">
        <f>IFERROR(AGGREGATE(15,6,ROW('Input Transaksi'!$B$5:$B$5000)/('Input Transaksi'!$B$5:$B$5000="CL SESETAN"),ROWS($E$5:E669)),"")</f>
        <v/>
      </c>
      <c r="F669" s="5" t="n"/>
    </row>
    <row r="670">
      <c r="A670" s="10">
        <f>IF($E670="","",INDEX('Input Transaksi'!$A:$A,$E670))</f>
        <v/>
      </c>
      <c r="B670" s="5">
        <f>IF($E670="","",INDEX('Input Transaksi'!$D:$D,$E670))</f>
        <v/>
      </c>
      <c r="C670">
        <f>IF($E670="","",INDEX('Input Transaksi'!$E:$E,$E670))</f>
        <v/>
      </c>
      <c r="D670" s="5">
        <f>IF($E670="","",INDEX('Input Transaksi'!$F:$F,$E670))</f>
        <v/>
      </c>
      <c r="E670">
        <f>IFERROR(AGGREGATE(15,6,ROW('Input Transaksi'!$B$5:$B$5000)/('Input Transaksi'!$B$5:$B$5000="CL SESETAN"),ROWS($E$5:E670)),"")</f>
        <v/>
      </c>
      <c r="F670" s="5" t="n"/>
    </row>
    <row r="671">
      <c r="A671" s="10">
        <f>IF($E671="","",INDEX('Input Transaksi'!$A:$A,$E671))</f>
        <v/>
      </c>
      <c r="B671" s="5">
        <f>IF($E671="","",INDEX('Input Transaksi'!$D:$D,$E671))</f>
        <v/>
      </c>
      <c r="C671">
        <f>IF($E671="","",INDEX('Input Transaksi'!$E:$E,$E671))</f>
        <v/>
      </c>
      <c r="D671" s="5">
        <f>IF($E671="","",INDEX('Input Transaksi'!$F:$F,$E671))</f>
        <v/>
      </c>
      <c r="E671">
        <f>IFERROR(AGGREGATE(15,6,ROW('Input Transaksi'!$B$5:$B$5000)/('Input Transaksi'!$B$5:$B$5000="CL SESETAN"),ROWS($E$5:E671)),"")</f>
        <v/>
      </c>
      <c r="F671" s="5" t="n"/>
    </row>
    <row r="672">
      <c r="A672" s="10">
        <f>IF($E672="","",INDEX('Input Transaksi'!$A:$A,$E672))</f>
        <v/>
      </c>
      <c r="B672" s="5">
        <f>IF($E672="","",INDEX('Input Transaksi'!$D:$D,$E672))</f>
        <v/>
      </c>
      <c r="C672">
        <f>IF($E672="","",INDEX('Input Transaksi'!$E:$E,$E672))</f>
        <v/>
      </c>
      <c r="D672" s="5">
        <f>IF($E672="","",INDEX('Input Transaksi'!$F:$F,$E672))</f>
        <v/>
      </c>
      <c r="E672">
        <f>IFERROR(AGGREGATE(15,6,ROW('Input Transaksi'!$B$5:$B$5000)/('Input Transaksi'!$B$5:$B$5000="CL SESETAN"),ROWS($E$5:E672)),"")</f>
        <v/>
      </c>
      <c r="F672" s="5" t="n"/>
    </row>
    <row r="673">
      <c r="A673" s="10">
        <f>IF($E673="","",INDEX('Input Transaksi'!$A:$A,$E673))</f>
        <v/>
      </c>
      <c r="B673" s="5">
        <f>IF($E673="","",INDEX('Input Transaksi'!$D:$D,$E673))</f>
        <v/>
      </c>
      <c r="C673">
        <f>IF($E673="","",INDEX('Input Transaksi'!$E:$E,$E673))</f>
        <v/>
      </c>
      <c r="D673" s="5">
        <f>IF($E673="","",INDEX('Input Transaksi'!$F:$F,$E673))</f>
        <v/>
      </c>
      <c r="E673">
        <f>IFERROR(AGGREGATE(15,6,ROW('Input Transaksi'!$B$5:$B$5000)/('Input Transaksi'!$B$5:$B$5000="CL SESETAN"),ROWS($E$5:E673)),"")</f>
        <v/>
      </c>
      <c r="F673" s="5" t="n"/>
    </row>
    <row r="674">
      <c r="A674" s="10">
        <f>IF($E674="","",INDEX('Input Transaksi'!$A:$A,$E674))</f>
        <v/>
      </c>
      <c r="B674" s="5">
        <f>IF($E674="","",INDEX('Input Transaksi'!$D:$D,$E674))</f>
        <v/>
      </c>
      <c r="C674">
        <f>IF($E674="","",INDEX('Input Transaksi'!$E:$E,$E674))</f>
        <v/>
      </c>
      <c r="D674" s="5">
        <f>IF($E674="","",INDEX('Input Transaksi'!$F:$F,$E674))</f>
        <v/>
      </c>
      <c r="E674">
        <f>IFERROR(AGGREGATE(15,6,ROW('Input Transaksi'!$B$5:$B$5000)/('Input Transaksi'!$B$5:$B$5000="CL SESETAN"),ROWS($E$5:E674)),"")</f>
        <v/>
      </c>
      <c r="F674" s="5" t="n"/>
    </row>
    <row r="675">
      <c r="A675" s="10">
        <f>IF($E675="","",INDEX('Input Transaksi'!$A:$A,$E675))</f>
        <v/>
      </c>
      <c r="B675" s="5">
        <f>IF($E675="","",INDEX('Input Transaksi'!$D:$D,$E675))</f>
        <v/>
      </c>
      <c r="C675">
        <f>IF($E675="","",INDEX('Input Transaksi'!$E:$E,$E675))</f>
        <v/>
      </c>
      <c r="D675" s="5">
        <f>IF($E675="","",INDEX('Input Transaksi'!$F:$F,$E675))</f>
        <v/>
      </c>
      <c r="E675">
        <f>IFERROR(AGGREGATE(15,6,ROW('Input Transaksi'!$B$5:$B$5000)/('Input Transaksi'!$B$5:$B$5000="CL SESETAN"),ROWS($E$5:E675)),"")</f>
        <v/>
      </c>
      <c r="F675" s="5" t="n"/>
    </row>
    <row r="676">
      <c r="A676" s="10">
        <f>IF($E676="","",INDEX('Input Transaksi'!$A:$A,$E676))</f>
        <v/>
      </c>
      <c r="B676" s="5">
        <f>IF($E676="","",INDEX('Input Transaksi'!$D:$D,$E676))</f>
        <v/>
      </c>
      <c r="C676">
        <f>IF($E676="","",INDEX('Input Transaksi'!$E:$E,$E676))</f>
        <v/>
      </c>
      <c r="D676" s="5">
        <f>IF($E676="","",INDEX('Input Transaksi'!$F:$F,$E676))</f>
        <v/>
      </c>
      <c r="E676">
        <f>IFERROR(AGGREGATE(15,6,ROW('Input Transaksi'!$B$5:$B$5000)/('Input Transaksi'!$B$5:$B$5000="CL SESETAN"),ROWS($E$5:E676)),"")</f>
        <v/>
      </c>
      <c r="F676" s="5" t="n"/>
    </row>
    <row r="677">
      <c r="A677" s="10">
        <f>IF($E677="","",INDEX('Input Transaksi'!$A:$A,$E677))</f>
        <v/>
      </c>
      <c r="B677" s="5">
        <f>IF($E677="","",INDEX('Input Transaksi'!$D:$D,$E677))</f>
        <v/>
      </c>
      <c r="C677">
        <f>IF($E677="","",INDEX('Input Transaksi'!$E:$E,$E677))</f>
        <v/>
      </c>
      <c r="D677" s="5">
        <f>IF($E677="","",INDEX('Input Transaksi'!$F:$F,$E677))</f>
        <v/>
      </c>
      <c r="E677">
        <f>IFERROR(AGGREGATE(15,6,ROW('Input Transaksi'!$B$5:$B$5000)/('Input Transaksi'!$B$5:$B$5000="CL SESETAN"),ROWS($E$5:E677)),"")</f>
        <v/>
      </c>
      <c r="F677" s="5" t="n"/>
    </row>
    <row r="678">
      <c r="A678" s="10">
        <f>IF($E678="","",INDEX('Input Transaksi'!$A:$A,$E678))</f>
        <v/>
      </c>
      <c r="B678" s="5">
        <f>IF($E678="","",INDEX('Input Transaksi'!$D:$D,$E678))</f>
        <v/>
      </c>
      <c r="C678">
        <f>IF($E678="","",INDEX('Input Transaksi'!$E:$E,$E678))</f>
        <v/>
      </c>
      <c r="D678" s="5">
        <f>IF($E678="","",INDEX('Input Transaksi'!$F:$F,$E678))</f>
        <v/>
      </c>
      <c r="E678">
        <f>IFERROR(AGGREGATE(15,6,ROW('Input Transaksi'!$B$5:$B$5000)/('Input Transaksi'!$B$5:$B$5000="CL SESETAN"),ROWS($E$5:E678)),"")</f>
        <v/>
      </c>
      <c r="F678" s="5" t="n"/>
    </row>
    <row r="679">
      <c r="A679" s="10">
        <f>IF($E679="","",INDEX('Input Transaksi'!$A:$A,$E679))</f>
        <v/>
      </c>
      <c r="B679" s="5">
        <f>IF($E679="","",INDEX('Input Transaksi'!$D:$D,$E679))</f>
        <v/>
      </c>
      <c r="C679">
        <f>IF($E679="","",INDEX('Input Transaksi'!$E:$E,$E679))</f>
        <v/>
      </c>
      <c r="D679" s="5">
        <f>IF($E679="","",INDEX('Input Transaksi'!$F:$F,$E679))</f>
        <v/>
      </c>
      <c r="E679">
        <f>IFERROR(AGGREGATE(15,6,ROW('Input Transaksi'!$B$5:$B$5000)/('Input Transaksi'!$B$5:$B$5000="CL SESETAN"),ROWS($E$5:E679)),"")</f>
        <v/>
      </c>
      <c r="F679" s="5" t="n"/>
    </row>
    <row r="680">
      <c r="A680" s="10">
        <f>IF($E680="","",INDEX('Input Transaksi'!$A:$A,$E680))</f>
        <v/>
      </c>
      <c r="B680" s="5">
        <f>IF($E680="","",INDEX('Input Transaksi'!$D:$D,$E680))</f>
        <v/>
      </c>
      <c r="C680">
        <f>IF($E680="","",INDEX('Input Transaksi'!$E:$E,$E680))</f>
        <v/>
      </c>
      <c r="D680" s="5">
        <f>IF($E680="","",INDEX('Input Transaksi'!$F:$F,$E680))</f>
        <v/>
      </c>
      <c r="E680">
        <f>IFERROR(AGGREGATE(15,6,ROW('Input Transaksi'!$B$5:$B$5000)/('Input Transaksi'!$B$5:$B$5000="CL SESETAN"),ROWS($E$5:E680)),"")</f>
        <v/>
      </c>
      <c r="F680" s="5" t="n"/>
    </row>
    <row r="681">
      <c r="A681" s="10">
        <f>IF($E681="","",INDEX('Input Transaksi'!$A:$A,$E681))</f>
        <v/>
      </c>
      <c r="B681" s="5">
        <f>IF($E681="","",INDEX('Input Transaksi'!$D:$D,$E681))</f>
        <v/>
      </c>
      <c r="C681">
        <f>IF($E681="","",INDEX('Input Transaksi'!$E:$E,$E681))</f>
        <v/>
      </c>
      <c r="D681" s="5">
        <f>IF($E681="","",INDEX('Input Transaksi'!$F:$F,$E681))</f>
        <v/>
      </c>
      <c r="E681">
        <f>IFERROR(AGGREGATE(15,6,ROW('Input Transaksi'!$B$5:$B$5000)/('Input Transaksi'!$B$5:$B$5000="CL SESETAN"),ROWS($E$5:E681)),"")</f>
        <v/>
      </c>
      <c r="F681" s="5" t="n"/>
    </row>
    <row r="682">
      <c r="A682" s="10">
        <f>IF($E682="","",INDEX('Input Transaksi'!$A:$A,$E682))</f>
        <v/>
      </c>
      <c r="B682" s="5">
        <f>IF($E682="","",INDEX('Input Transaksi'!$D:$D,$E682))</f>
        <v/>
      </c>
      <c r="C682">
        <f>IF($E682="","",INDEX('Input Transaksi'!$E:$E,$E682))</f>
        <v/>
      </c>
      <c r="D682" s="5">
        <f>IF($E682="","",INDEX('Input Transaksi'!$F:$F,$E682))</f>
        <v/>
      </c>
      <c r="E682">
        <f>IFERROR(AGGREGATE(15,6,ROW('Input Transaksi'!$B$5:$B$5000)/('Input Transaksi'!$B$5:$B$5000="CL SESETAN"),ROWS($E$5:E682)),"")</f>
        <v/>
      </c>
      <c r="F682" s="5" t="n"/>
    </row>
    <row r="683">
      <c r="A683" s="10">
        <f>IF($E683="","",INDEX('Input Transaksi'!$A:$A,$E683))</f>
        <v/>
      </c>
      <c r="B683" s="5">
        <f>IF($E683="","",INDEX('Input Transaksi'!$D:$D,$E683))</f>
        <v/>
      </c>
      <c r="C683">
        <f>IF($E683="","",INDEX('Input Transaksi'!$E:$E,$E683))</f>
        <v/>
      </c>
      <c r="D683" s="5">
        <f>IF($E683="","",INDEX('Input Transaksi'!$F:$F,$E683))</f>
        <v/>
      </c>
      <c r="E683">
        <f>IFERROR(AGGREGATE(15,6,ROW('Input Transaksi'!$B$5:$B$5000)/('Input Transaksi'!$B$5:$B$5000="CL SESETAN"),ROWS($E$5:E683)),"")</f>
        <v/>
      </c>
      <c r="F683" s="5" t="n"/>
    </row>
    <row r="684">
      <c r="A684" s="10">
        <f>IF($E684="","",INDEX('Input Transaksi'!$A:$A,$E684))</f>
        <v/>
      </c>
      <c r="B684" s="5">
        <f>IF($E684="","",INDEX('Input Transaksi'!$D:$D,$E684))</f>
        <v/>
      </c>
      <c r="C684">
        <f>IF($E684="","",INDEX('Input Transaksi'!$E:$E,$E684))</f>
        <v/>
      </c>
      <c r="D684" s="5">
        <f>IF($E684="","",INDEX('Input Transaksi'!$F:$F,$E684))</f>
        <v/>
      </c>
      <c r="E684">
        <f>IFERROR(AGGREGATE(15,6,ROW('Input Transaksi'!$B$5:$B$5000)/('Input Transaksi'!$B$5:$B$5000="CL SESETAN"),ROWS($E$5:E684)),"")</f>
        <v/>
      </c>
      <c r="F684" s="5" t="n"/>
    </row>
    <row r="685">
      <c r="A685" s="10">
        <f>IF($E685="","",INDEX('Input Transaksi'!$A:$A,$E685))</f>
        <v/>
      </c>
      <c r="B685" s="5">
        <f>IF($E685="","",INDEX('Input Transaksi'!$D:$D,$E685))</f>
        <v/>
      </c>
      <c r="C685">
        <f>IF($E685="","",INDEX('Input Transaksi'!$E:$E,$E685))</f>
        <v/>
      </c>
      <c r="D685" s="5">
        <f>IF($E685="","",INDEX('Input Transaksi'!$F:$F,$E685))</f>
        <v/>
      </c>
      <c r="E685">
        <f>IFERROR(AGGREGATE(15,6,ROW('Input Transaksi'!$B$5:$B$5000)/('Input Transaksi'!$B$5:$B$5000="CL SESETAN"),ROWS($E$5:E685)),"")</f>
        <v/>
      </c>
      <c r="F685" s="5" t="n"/>
    </row>
    <row r="686">
      <c r="A686" s="10">
        <f>IF($E686="","",INDEX('Input Transaksi'!$A:$A,$E686))</f>
        <v/>
      </c>
      <c r="B686" s="5">
        <f>IF($E686="","",INDEX('Input Transaksi'!$D:$D,$E686))</f>
        <v/>
      </c>
      <c r="C686">
        <f>IF($E686="","",INDEX('Input Transaksi'!$E:$E,$E686))</f>
        <v/>
      </c>
      <c r="D686" s="5">
        <f>IF($E686="","",INDEX('Input Transaksi'!$F:$F,$E686))</f>
        <v/>
      </c>
      <c r="E686">
        <f>IFERROR(AGGREGATE(15,6,ROW('Input Transaksi'!$B$5:$B$5000)/('Input Transaksi'!$B$5:$B$5000="CL SESETAN"),ROWS($E$5:E686)),"")</f>
        <v/>
      </c>
      <c r="F686" s="5" t="n"/>
    </row>
    <row r="687">
      <c r="A687" s="10">
        <f>IF($E687="","",INDEX('Input Transaksi'!$A:$A,$E687))</f>
        <v/>
      </c>
      <c r="B687" s="5">
        <f>IF($E687="","",INDEX('Input Transaksi'!$D:$D,$E687))</f>
        <v/>
      </c>
      <c r="C687">
        <f>IF($E687="","",INDEX('Input Transaksi'!$E:$E,$E687))</f>
        <v/>
      </c>
      <c r="D687" s="5">
        <f>IF($E687="","",INDEX('Input Transaksi'!$F:$F,$E687))</f>
        <v/>
      </c>
      <c r="E687">
        <f>IFERROR(AGGREGATE(15,6,ROW('Input Transaksi'!$B$5:$B$5000)/('Input Transaksi'!$B$5:$B$5000="CL SESETAN"),ROWS($E$5:E687)),"")</f>
        <v/>
      </c>
      <c r="F687" s="5" t="n"/>
    </row>
    <row r="688">
      <c r="A688" s="10">
        <f>IF($E688="","",INDEX('Input Transaksi'!$A:$A,$E688))</f>
        <v/>
      </c>
      <c r="B688" s="5">
        <f>IF($E688="","",INDEX('Input Transaksi'!$D:$D,$E688))</f>
        <v/>
      </c>
      <c r="C688">
        <f>IF($E688="","",INDEX('Input Transaksi'!$E:$E,$E688))</f>
        <v/>
      </c>
      <c r="D688" s="5">
        <f>IF($E688="","",INDEX('Input Transaksi'!$F:$F,$E688))</f>
        <v/>
      </c>
      <c r="E688">
        <f>IFERROR(AGGREGATE(15,6,ROW('Input Transaksi'!$B$5:$B$5000)/('Input Transaksi'!$B$5:$B$5000="CL SESETAN"),ROWS($E$5:E688)),"")</f>
        <v/>
      </c>
      <c r="F688" s="5" t="n"/>
    </row>
    <row r="689">
      <c r="A689" s="10">
        <f>IF($E689="","",INDEX('Input Transaksi'!$A:$A,$E689))</f>
        <v/>
      </c>
      <c r="B689" s="5">
        <f>IF($E689="","",INDEX('Input Transaksi'!$D:$D,$E689))</f>
        <v/>
      </c>
      <c r="C689">
        <f>IF($E689="","",INDEX('Input Transaksi'!$E:$E,$E689))</f>
        <v/>
      </c>
      <c r="D689" s="5">
        <f>IF($E689="","",INDEX('Input Transaksi'!$F:$F,$E689))</f>
        <v/>
      </c>
      <c r="E689">
        <f>IFERROR(AGGREGATE(15,6,ROW('Input Transaksi'!$B$5:$B$5000)/('Input Transaksi'!$B$5:$B$5000="CL SESETAN"),ROWS($E$5:E689)),"")</f>
        <v/>
      </c>
      <c r="F689" s="5" t="n"/>
    </row>
    <row r="690">
      <c r="A690" s="10">
        <f>IF($E690="","",INDEX('Input Transaksi'!$A:$A,$E690))</f>
        <v/>
      </c>
      <c r="B690" s="5">
        <f>IF($E690="","",INDEX('Input Transaksi'!$D:$D,$E690))</f>
        <v/>
      </c>
      <c r="C690">
        <f>IF($E690="","",INDEX('Input Transaksi'!$E:$E,$E690))</f>
        <v/>
      </c>
      <c r="D690" s="5">
        <f>IF($E690="","",INDEX('Input Transaksi'!$F:$F,$E690))</f>
        <v/>
      </c>
      <c r="E690">
        <f>IFERROR(AGGREGATE(15,6,ROW('Input Transaksi'!$B$5:$B$5000)/('Input Transaksi'!$B$5:$B$5000="CL SESETAN"),ROWS($E$5:E690)),"")</f>
        <v/>
      </c>
      <c r="F690" s="5" t="n"/>
    </row>
    <row r="691">
      <c r="A691" s="10">
        <f>IF($E691="","",INDEX('Input Transaksi'!$A:$A,$E691))</f>
        <v/>
      </c>
      <c r="B691" s="5">
        <f>IF($E691="","",INDEX('Input Transaksi'!$D:$D,$E691))</f>
        <v/>
      </c>
      <c r="C691">
        <f>IF($E691="","",INDEX('Input Transaksi'!$E:$E,$E691))</f>
        <v/>
      </c>
      <c r="D691" s="5">
        <f>IF($E691="","",INDEX('Input Transaksi'!$F:$F,$E691))</f>
        <v/>
      </c>
      <c r="E691">
        <f>IFERROR(AGGREGATE(15,6,ROW('Input Transaksi'!$B$5:$B$5000)/('Input Transaksi'!$B$5:$B$5000="CL SESETAN"),ROWS($E$5:E691)),"")</f>
        <v/>
      </c>
      <c r="F691" s="5" t="n"/>
    </row>
    <row r="692">
      <c r="A692" s="10">
        <f>IF($E692="","",INDEX('Input Transaksi'!$A:$A,$E692))</f>
        <v/>
      </c>
      <c r="B692" s="5">
        <f>IF($E692="","",INDEX('Input Transaksi'!$D:$D,$E692))</f>
        <v/>
      </c>
      <c r="C692">
        <f>IF($E692="","",INDEX('Input Transaksi'!$E:$E,$E692))</f>
        <v/>
      </c>
      <c r="D692" s="5">
        <f>IF($E692="","",INDEX('Input Transaksi'!$F:$F,$E692))</f>
        <v/>
      </c>
      <c r="E692">
        <f>IFERROR(AGGREGATE(15,6,ROW('Input Transaksi'!$B$5:$B$5000)/('Input Transaksi'!$B$5:$B$5000="CL SESETAN"),ROWS($E$5:E692)),"")</f>
        <v/>
      </c>
      <c r="F692" s="5" t="n"/>
    </row>
    <row r="693">
      <c r="A693" s="10">
        <f>IF($E693="","",INDEX('Input Transaksi'!$A:$A,$E693))</f>
        <v/>
      </c>
      <c r="B693" s="5">
        <f>IF($E693="","",INDEX('Input Transaksi'!$D:$D,$E693))</f>
        <v/>
      </c>
      <c r="C693">
        <f>IF($E693="","",INDEX('Input Transaksi'!$E:$E,$E693))</f>
        <v/>
      </c>
      <c r="D693" s="5">
        <f>IF($E693="","",INDEX('Input Transaksi'!$F:$F,$E693))</f>
        <v/>
      </c>
      <c r="E693">
        <f>IFERROR(AGGREGATE(15,6,ROW('Input Transaksi'!$B$5:$B$5000)/('Input Transaksi'!$B$5:$B$5000="CL SESETAN"),ROWS($E$5:E693)),"")</f>
        <v/>
      </c>
      <c r="F693" s="5" t="n"/>
    </row>
    <row r="694">
      <c r="A694" s="10">
        <f>IF($E694="","",INDEX('Input Transaksi'!$A:$A,$E694))</f>
        <v/>
      </c>
      <c r="B694" s="5">
        <f>IF($E694="","",INDEX('Input Transaksi'!$D:$D,$E694))</f>
        <v/>
      </c>
      <c r="C694">
        <f>IF($E694="","",INDEX('Input Transaksi'!$E:$E,$E694))</f>
        <v/>
      </c>
      <c r="D694" s="5">
        <f>IF($E694="","",INDEX('Input Transaksi'!$F:$F,$E694))</f>
        <v/>
      </c>
      <c r="E694">
        <f>IFERROR(AGGREGATE(15,6,ROW('Input Transaksi'!$B$5:$B$5000)/('Input Transaksi'!$B$5:$B$5000="CL SESETAN"),ROWS($E$5:E694)),"")</f>
        <v/>
      </c>
      <c r="F694" s="5" t="n"/>
    </row>
    <row r="695">
      <c r="A695" s="10">
        <f>IF($E695="","",INDEX('Input Transaksi'!$A:$A,$E695))</f>
        <v/>
      </c>
      <c r="B695" s="5">
        <f>IF($E695="","",INDEX('Input Transaksi'!$D:$D,$E695))</f>
        <v/>
      </c>
      <c r="C695">
        <f>IF($E695="","",INDEX('Input Transaksi'!$E:$E,$E695))</f>
        <v/>
      </c>
      <c r="D695" s="5">
        <f>IF($E695="","",INDEX('Input Transaksi'!$F:$F,$E695))</f>
        <v/>
      </c>
      <c r="E695">
        <f>IFERROR(AGGREGATE(15,6,ROW('Input Transaksi'!$B$5:$B$5000)/('Input Transaksi'!$B$5:$B$5000="CL SESETAN"),ROWS($E$5:E695)),"")</f>
        <v/>
      </c>
      <c r="F695" s="5" t="n"/>
    </row>
    <row r="696">
      <c r="A696" s="10">
        <f>IF($E696="","",INDEX('Input Transaksi'!$A:$A,$E696))</f>
        <v/>
      </c>
      <c r="B696" s="5">
        <f>IF($E696="","",INDEX('Input Transaksi'!$D:$D,$E696))</f>
        <v/>
      </c>
      <c r="C696">
        <f>IF($E696="","",INDEX('Input Transaksi'!$E:$E,$E696))</f>
        <v/>
      </c>
      <c r="D696" s="5">
        <f>IF($E696="","",INDEX('Input Transaksi'!$F:$F,$E696))</f>
        <v/>
      </c>
      <c r="E696">
        <f>IFERROR(AGGREGATE(15,6,ROW('Input Transaksi'!$B$5:$B$5000)/('Input Transaksi'!$B$5:$B$5000="CL SESETAN"),ROWS($E$5:E696)),"")</f>
        <v/>
      </c>
      <c r="F696" s="5" t="n"/>
    </row>
    <row r="697">
      <c r="A697" s="10">
        <f>IF($E697="","",INDEX('Input Transaksi'!$A:$A,$E697))</f>
        <v/>
      </c>
      <c r="B697" s="5">
        <f>IF($E697="","",INDEX('Input Transaksi'!$D:$D,$E697))</f>
        <v/>
      </c>
      <c r="C697">
        <f>IF($E697="","",INDEX('Input Transaksi'!$E:$E,$E697))</f>
        <v/>
      </c>
      <c r="D697" s="5">
        <f>IF($E697="","",INDEX('Input Transaksi'!$F:$F,$E697))</f>
        <v/>
      </c>
      <c r="E697">
        <f>IFERROR(AGGREGATE(15,6,ROW('Input Transaksi'!$B$5:$B$5000)/('Input Transaksi'!$B$5:$B$5000="CL SESETAN"),ROWS($E$5:E697)),"")</f>
        <v/>
      </c>
      <c r="F697" s="5" t="n"/>
    </row>
    <row r="698">
      <c r="A698" s="10">
        <f>IF($E698="","",INDEX('Input Transaksi'!$A:$A,$E698))</f>
        <v/>
      </c>
      <c r="B698" s="5">
        <f>IF($E698="","",INDEX('Input Transaksi'!$D:$D,$E698))</f>
        <v/>
      </c>
      <c r="C698">
        <f>IF($E698="","",INDEX('Input Transaksi'!$E:$E,$E698))</f>
        <v/>
      </c>
      <c r="D698" s="5">
        <f>IF($E698="","",INDEX('Input Transaksi'!$F:$F,$E698))</f>
        <v/>
      </c>
      <c r="E698">
        <f>IFERROR(AGGREGATE(15,6,ROW('Input Transaksi'!$B$5:$B$5000)/('Input Transaksi'!$B$5:$B$5000="CL SESETAN"),ROWS($E$5:E698)),"")</f>
        <v/>
      </c>
      <c r="F698" s="5" t="n"/>
    </row>
    <row r="699">
      <c r="A699" s="10">
        <f>IF($E699="","",INDEX('Input Transaksi'!$A:$A,$E699))</f>
        <v/>
      </c>
      <c r="B699" s="5">
        <f>IF($E699="","",INDEX('Input Transaksi'!$D:$D,$E699))</f>
        <v/>
      </c>
      <c r="C699">
        <f>IF($E699="","",INDEX('Input Transaksi'!$E:$E,$E699))</f>
        <v/>
      </c>
      <c r="D699" s="5">
        <f>IF($E699="","",INDEX('Input Transaksi'!$F:$F,$E699))</f>
        <v/>
      </c>
      <c r="E699">
        <f>IFERROR(AGGREGATE(15,6,ROW('Input Transaksi'!$B$5:$B$5000)/('Input Transaksi'!$B$5:$B$5000="CL SESETAN"),ROWS($E$5:E699)),"")</f>
        <v/>
      </c>
      <c r="F699" s="5" t="n"/>
    </row>
    <row r="700">
      <c r="A700" s="10">
        <f>IF($E700="","",INDEX('Input Transaksi'!$A:$A,$E700))</f>
        <v/>
      </c>
      <c r="B700" s="5">
        <f>IF($E700="","",INDEX('Input Transaksi'!$D:$D,$E700))</f>
        <v/>
      </c>
      <c r="C700">
        <f>IF($E700="","",INDEX('Input Transaksi'!$E:$E,$E700))</f>
        <v/>
      </c>
      <c r="D700" s="5">
        <f>IF($E700="","",INDEX('Input Transaksi'!$F:$F,$E700))</f>
        <v/>
      </c>
      <c r="E700">
        <f>IFERROR(AGGREGATE(15,6,ROW('Input Transaksi'!$B$5:$B$5000)/('Input Transaksi'!$B$5:$B$5000="CL SESETAN"),ROWS($E$5:E700)),"")</f>
        <v/>
      </c>
      <c r="F700" s="5" t="n"/>
    </row>
    <row r="701">
      <c r="A701" s="10">
        <f>IF($E701="","",INDEX('Input Transaksi'!$A:$A,$E701))</f>
        <v/>
      </c>
      <c r="B701" s="5">
        <f>IF($E701="","",INDEX('Input Transaksi'!$D:$D,$E701))</f>
        <v/>
      </c>
      <c r="C701">
        <f>IF($E701="","",INDEX('Input Transaksi'!$E:$E,$E701))</f>
        <v/>
      </c>
      <c r="D701" s="5">
        <f>IF($E701="","",INDEX('Input Transaksi'!$F:$F,$E701))</f>
        <v/>
      </c>
      <c r="E701">
        <f>IFERROR(AGGREGATE(15,6,ROW('Input Transaksi'!$B$5:$B$5000)/('Input Transaksi'!$B$5:$B$5000="CL SESETAN"),ROWS($E$5:E701)),"")</f>
        <v/>
      </c>
      <c r="F701" s="5" t="n"/>
    </row>
    <row r="702">
      <c r="A702" s="10">
        <f>IF($E702="","",INDEX('Input Transaksi'!$A:$A,$E702))</f>
        <v/>
      </c>
      <c r="B702" s="5">
        <f>IF($E702="","",INDEX('Input Transaksi'!$D:$D,$E702))</f>
        <v/>
      </c>
      <c r="C702">
        <f>IF($E702="","",INDEX('Input Transaksi'!$E:$E,$E702))</f>
        <v/>
      </c>
      <c r="D702" s="5">
        <f>IF($E702="","",INDEX('Input Transaksi'!$F:$F,$E702))</f>
        <v/>
      </c>
      <c r="E702">
        <f>IFERROR(AGGREGATE(15,6,ROW('Input Transaksi'!$B$5:$B$5000)/('Input Transaksi'!$B$5:$B$5000="CL SESETAN"),ROWS($E$5:E702)),"")</f>
        <v/>
      </c>
      <c r="F702" s="5" t="n"/>
    </row>
    <row r="703">
      <c r="A703" s="10">
        <f>IF($E703="","",INDEX('Input Transaksi'!$A:$A,$E703))</f>
        <v/>
      </c>
      <c r="B703" s="5">
        <f>IF($E703="","",INDEX('Input Transaksi'!$D:$D,$E703))</f>
        <v/>
      </c>
      <c r="C703">
        <f>IF($E703="","",INDEX('Input Transaksi'!$E:$E,$E703))</f>
        <v/>
      </c>
      <c r="D703" s="5">
        <f>IF($E703="","",INDEX('Input Transaksi'!$F:$F,$E703))</f>
        <v/>
      </c>
      <c r="E703">
        <f>IFERROR(AGGREGATE(15,6,ROW('Input Transaksi'!$B$5:$B$5000)/('Input Transaksi'!$B$5:$B$5000="CL SESETAN"),ROWS($E$5:E703)),"")</f>
        <v/>
      </c>
      <c r="F703" s="5" t="n"/>
    </row>
    <row r="704">
      <c r="A704" s="10">
        <f>IF($E704="","",INDEX('Input Transaksi'!$A:$A,$E704))</f>
        <v/>
      </c>
      <c r="B704" s="5">
        <f>IF($E704="","",INDEX('Input Transaksi'!$D:$D,$E704))</f>
        <v/>
      </c>
      <c r="C704">
        <f>IF($E704="","",INDEX('Input Transaksi'!$E:$E,$E704))</f>
        <v/>
      </c>
      <c r="D704" s="5">
        <f>IF($E704="","",INDEX('Input Transaksi'!$F:$F,$E704))</f>
        <v/>
      </c>
      <c r="E704">
        <f>IFERROR(AGGREGATE(15,6,ROW('Input Transaksi'!$B$5:$B$5000)/('Input Transaksi'!$B$5:$B$5000="CL SESETAN"),ROWS($E$5:E704)),"")</f>
        <v/>
      </c>
      <c r="F704" s="5" t="n"/>
    </row>
    <row r="705">
      <c r="A705" s="10">
        <f>IF($E705="","",INDEX('Input Transaksi'!$A:$A,$E705))</f>
        <v/>
      </c>
      <c r="B705" s="5">
        <f>IF($E705="","",INDEX('Input Transaksi'!$D:$D,$E705))</f>
        <v/>
      </c>
      <c r="C705">
        <f>IF($E705="","",INDEX('Input Transaksi'!$E:$E,$E705))</f>
        <v/>
      </c>
      <c r="D705" s="5">
        <f>IF($E705="","",INDEX('Input Transaksi'!$F:$F,$E705))</f>
        <v/>
      </c>
      <c r="E705">
        <f>IFERROR(AGGREGATE(15,6,ROW('Input Transaksi'!$B$5:$B$5000)/('Input Transaksi'!$B$5:$B$5000="CL SESETAN"),ROWS($E$5:E705)),"")</f>
        <v/>
      </c>
      <c r="F705" s="5" t="n"/>
    </row>
    <row r="706">
      <c r="A706" s="10">
        <f>IF($E706="","",INDEX('Input Transaksi'!$A:$A,$E706))</f>
        <v/>
      </c>
      <c r="B706" s="5">
        <f>IF($E706="","",INDEX('Input Transaksi'!$D:$D,$E706))</f>
        <v/>
      </c>
      <c r="C706">
        <f>IF($E706="","",INDEX('Input Transaksi'!$E:$E,$E706))</f>
        <v/>
      </c>
      <c r="D706" s="5">
        <f>IF($E706="","",INDEX('Input Transaksi'!$F:$F,$E706))</f>
        <v/>
      </c>
      <c r="E706">
        <f>IFERROR(AGGREGATE(15,6,ROW('Input Transaksi'!$B$5:$B$5000)/('Input Transaksi'!$B$5:$B$5000="CL SESETAN"),ROWS($E$5:E706)),"")</f>
        <v/>
      </c>
      <c r="F706" s="5" t="n"/>
    </row>
    <row r="707">
      <c r="A707" s="10">
        <f>IF($E707="","",INDEX('Input Transaksi'!$A:$A,$E707))</f>
        <v/>
      </c>
      <c r="B707" s="5">
        <f>IF($E707="","",INDEX('Input Transaksi'!$D:$D,$E707))</f>
        <v/>
      </c>
      <c r="C707">
        <f>IF($E707="","",INDEX('Input Transaksi'!$E:$E,$E707))</f>
        <v/>
      </c>
      <c r="D707" s="5">
        <f>IF($E707="","",INDEX('Input Transaksi'!$F:$F,$E707))</f>
        <v/>
      </c>
      <c r="E707">
        <f>IFERROR(AGGREGATE(15,6,ROW('Input Transaksi'!$B$5:$B$5000)/('Input Transaksi'!$B$5:$B$5000="CL SESETAN"),ROWS($E$5:E707)),"")</f>
        <v/>
      </c>
      <c r="F707" s="5" t="n"/>
    </row>
    <row r="708">
      <c r="A708" s="10">
        <f>IF($E708="","",INDEX('Input Transaksi'!$A:$A,$E708))</f>
        <v/>
      </c>
      <c r="B708" s="5">
        <f>IF($E708="","",INDEX('Input Transaksi'!$D:$D,$E708))</f>
        <v/>
      </c>
      <c r="C708">
        <f>IF($E708="","",INDEX('Input Transaksi'!$E:$E,$E708))</f>
        <v/>
      </c>
      <c r="D708" s="5">
        <f>IF($E708="","",INDEX('Input Transaksi'!$F:$F,$E708))</f>
        <v/>
      </c>
      <c r="E708">
        <f>IFERROR(AGGREGATE(15,6,ROW('Input Transaksi'!$B$5:$B$5000)/('Input Transaksi'!$B$5:$B$5000="CL SESETAN"),ROWS($E$5:E708)),"")</f>
        <v/>
      </c>
      <c r="F708" s="5" t="n"/>
    </row>
    <row r="709">
      <c r="A709" s="10">
        <f>IF($E709="","",INDEX('Input Transaksi'!$A:$A,$E709))</f>
        <v/>
      </c>
      <c r="B709" s="5">
        <f>IF($E709="","",INDEX('Input Transaksi'!$D:$D,$E709))</f>
        <v/>
      </c>
      <c r="C709">
        <f>IF($E709="","",INDEX('Input Transaksi'!$E:$E,$E709))</f>
        <v/>
      </c>
      <c r="D709" s="5">
        <f>IF($E709="","",INDEX('Input Transaksi'!$F:$F,$E709))</f>
        <v/>
      </c>
      <c r="E709">
        <f>IFERROR(AGGREGATE(15,6,ROW('Input Transaksi'!$B$5:$B$5000)/('Input Transaksi'!$B$5:$B$5000="CL SESETAN"),ROWS($E$5:E709)),"")</f>
        <v/>
      </c>
      <c r="F709" s="5" t="n"/>
    </row>
    <row r="710">
      <c r="A710" s="10">
        <f>IF($E710="","",INDEX('Input Transaksi'!$A:$A,$E710))</f>
        <v/>
      </c>
      <c r="B710" s="5">
        <f>IF($E710="","",INDEX('Input Transaksi'!$D:$D,$E710))</f>
        <v/>
      </c>
      <c r="C710">
        <f>IF($E710="","",INDEX('Input Transaksi'!$E:$E,$E710))</f>
        <v/>
      </c>
      <c r="D710" s="5">
        <f>IF($E710="","",INDEX('Input Transaksi'!$F:$F,$E710))</f>
        <v/>
      </c>
      <c r="E710">
        <f>IFERROR(AGGREGATE(15,6,ROW('Input Transaksi'!$B$5:$B$5000)/('Input Transaksi'!$B$5:$B$5000="CL SESETAN"),ROWS($E$5:E710)),"")</f>
        <v/>
      </c>
      <c r="F710" s="5" t="n"/>
    </row>
    <row r="711">
      <c r="A711" s="10">
        <f>IF($E711="","",INDEX('Input Transaksi'!$A:$A,$E711))</f>
        <v/>
      </c>
      <c r="B711" s="5">
        <f>IF($E711="","",INDEX('Input Transaksi'!$D:$D,$E711))</f>
        <v/>
      </c>
      <c r="C711">
        <f>IF($E711="","",INDEX('Input Transaksi'!$E:$E,$E711))</f>
        <v/>
      </c>
      <c r="D711" s="5">
        <f>IF($E711="","",INDEX('Input Transaksi'!$F:$F,$E711))</f>
        <v/>
      </c>
      <c r="E711">
        <f>IFERROR(AGGREGATE(15,6,ROW('Input Transaksi'!$B$5:$B$5000)/('Input Transaksi'!$B$5:$B$5000="CL SESETAN"),ROWS($E$5:E711)),"")</f>
        <v/>
      </c>
      <c r="F711" s="5" t="n"/>
    </row>
    <row r="712">
      <c r="A712" s="10">
        <f>IF($E712="","",INDEX('Input Transaksi'!$A:$A,$E712))</f>
        <v/>
      </c>
      <c r="B712" s="5">
        <f>IF($E712="","",INDEX('Input Transaksi'!$D:$D,$E712))</f>
        <v/>
      </c>
      <c r="C712">
        <f>IF($E712="","",INDEX('Input Transaksi'!$E:$E,$E712))</f>
        <v/>
      </c>
      <c r="D712" s="5">
        <f>IF($E712="","",INDEX('Input Transaksi'!$F:$F,$E712))</f>
        <v/>
      </c>
      <c r="E712">
        <f>IFERROR(AGGREGATE(15,6,ROW('Input Transaksi'!$B$5:$B$5000)/('Input Transaksi'!$B$5:$B$5000="CL SESETAN"),ROWS($E$5:E712)),"")</f>
        <v/>
      </c>
      <c r="F712" s="5" t="n"/>
    </row>
    <row r="713">
      <c r="A713" s="10">
        <f>IF($E713="","",INDEX('Input Transaksi'!$A:$A,$E713))</f>
        <v/>
      </c>
      <c r="B713" s="5">
        <f>IF($E713="","",INDEX('Input Transaksi'!$D:$D,$E713))</f>
        <v/>
      </c>
      <c r="C713">
        <f>IF($E713="","",INDEX('Input Transaksi'!$E:$E,$E713))</f>
        <v/>
      </c>
      <c r="D713" s="5">
        <f>IF($E713="","",INDEX('Input Transaksi'!$F:$F,$E713))</f>
        <v/>
      </c>
      <c r="E713">
        <f>IFERROR(AGGREGATE(15,6,ROW('Input Transaksi'!$B$5:$B$5000)/('Input Transaksi'!$B$5:$B$5000="CL SESETAN"),ROWS($E$5:E713)),"")</f>
        <v/>
      </c>
      <c r="F713" s="5" t="n"/>
    </row>
    <row r="714">
      <c r="A714" s="10">
        <f>IF($E714="","",INDEX('Input Transaksi'!$A:$A,$E714))</f>
        <v/>
      </c>
      <c r="B714" s="5">
        <f>IF($E714="","",INDEX('Input Transaksi'!$D:$D,$E714))</f>
        <v/>
      </c>
      <c r="C714">
        <f>IF($E714="","",INDEX('Input Transaksi'!$E:$E,$E714))</f>
        <v/>
      </c>
      <c r="D714" s="5">
        <f>IF($E714="","",INDEX('Input Transaksi'!$F:$F,$E714))</f>
        <v/>
      </c>
      <c r="E714">
        <f>IFERROR(AGGREGATE(15,6,ROW('Input Transaksi'!$B$5:$B$5000)/('Input Transaksi'!$B$5:$B$5000="CL SESETAN"),ROWS($E$5:E714)),"")</f>
        <v/>
      </c>
      <c r="F714" s="5" t="n"/>
    </row>
    <row r="715">
      <c r="A715" s="10">
        <f>IF($E715="","",INDEX('Input Transaksi'!$A:$A,$E715))</f>
        <v/>
      </c>
      <c r="B715" s="5">
        <f>IF($E715="","",INDEX('Input Transaksi'!$D:$D,$E715))</f>
        <v/>
      </c>
      <c r="C715">
        <f>IF($E715="","",INDEX('Input Transaksi'!$E:$E,$E715))</f>
        <v/>
      </c>
      <c r="D715" s="5">
        <f>IF($E715="","",INDEX('Input Transaksi'!$F:$F,$E715))</f>
        <v/>
      </c>
      <c r="E715">
        <f>IFERROR(AGGREGATE(15,6,ROW('Input Transaksi'!$B$5:$B$5000)/('Input Transaksi'!$B$5:$B$5000="CL SESETAN"),ROWS($E$5:E715)),"")</f>
        <v/>
      </c>
      <c r="F715" s="5" t="n"/>
    </row>
    <row r="716">
      <c r="A716" s="10">
        <f>IF($E716="","",INDEX('Input Transaksi'!$A:$A,$E716))</f>
        <v/>
      </c>
      <c r="B716" s="5">
        <f>IF($E716="","",INDEX('Input Transaksi'!$D:$D,$E716))</f>
        <v/>
      </c>
      <c r="C716">
        <f>IF($E716="","",INDEX('Input Transaksi'!$E:$E,$E716))</f>
        <v/>
      </c>
      <c r="D716" s="5">
        <f>IF($E716="","",INDEX('Input Transaksi'!$F:$F,$E716))</f>
        <v/>
      </c>
      <c r="E716">
        <f>IFERROR(AGGREGATE(15,6,ROW('Input Transaksi'!$B$5:$B$5000)/('Input Transaksi'!$B$5:$B$5000="CL SESETAN"),ROWS($E$5:E716)),"")</f>
        <v/>
      </c>
      <c r="F716" s="5" t="n"/>
    </row>
    <row r="717">
      <c r="A717" s="10">
        <f>IF($E717="","",INDEX('Input Transaksi'!$A:$A,$E717))</f>
        <v/>
      </c>
      <c r="B717" s="5">
        <f>IF($E717="","",INDEX('Input Transaksi'!$D:$D,$E717))</f>
        <v/>
      </c>
      <c r="C717">
        <f>IF($E717="","",INDEX('Input Transaksi'!$E:$E,$E717))</f>
        <v/>
      </c>
      <c r="D717" s="5">
        <f>IF($E717="","",INDEX('Input Transaksi'!$F:$F,$E717))</f>
        <v/>
      </c>
      <c r="E717">
        <f>IFERROR(AGGREGATE(15,6,ROW('Input Transaksi'!$B$5:$B$5000)/('Input Transaksi'!$B$5:$B$5000="CL SESETAN"),ROWS($E$5:E717)),"")</f>
        <v/>
      </c>
      <c r="F717" s="5" t="n"/>
    </row>
    <row r="718">
      <c r="A718" s="10">
        <f>IF($E718="","",INDEX('Input Transaksi'!$A:$A,$E718))</f>
        <v/>
      </c>
      <c r="B718" s="5">
        <f>IF($E718="","",INDEX('Input Transaksi'!$D:$D,$E718))</f>
        <v/>
      </c>
      <c r="C718">
        <f>IF($E718="","",INDEX('Input Transaksi'!$E:$E,$E718))</f>
        <v/>
      </c>
      <c r="D718" s="5">
        <f>IF($E718="","",INDEX('Input Transaksi'!$F:$F,$E718))</f>
        <v/>
      </c>
      <c r="E718">
        <f>IFERROR(AGGREGATE(15,6,ROW('Input Transaksi'!$B$5:$B$5000)/('Input Transaksi'!$B$5:$B$5000="CL SESETAN"),ROWS($E$5:E718)),"")</f>
        <v/>
      </c>
      <c r="F718" s="5" t="n"/>
    </row>
    <row r="719">
      <c r="A719" s="10">
        <f>IF($E719="","",INDEX('Input Transaksi'!$A:$A,$E719))</f>
        <v/>
      </c>
      <c r="B719" s="5">
        <f>IF($E719="","",INDEX('Input Transaksi'!$D:$D,$E719))</f>
        <v/>
      </c>
      <c r="C719">
        <f>IF($E719="","",INDEX('Input Transaksi'!$E:$E,$E719))</f>
        <v/>
      </c>
      <c r="D719" s="5">
        <f>IF($E719="","",INDEX('Input Transaksi'!$F:$F,$E719))</f>
        <v/>
      </c>
      <c r="E719">
        <f>IFERROR(AGGREGATE(15,6,ROW('Input Transaksi'!$B$5:$B$5000)/('Input Transaksi'!$B$5:$B$5000="CL SESETAN"),ROWS($E$5:E719)),"")</f>
        <v/>
      </c>
      <c r="F719" s="5" t="n"/>
    </row>
    <row r="720">
      <c r="A720" s="10">
        <f>IF($E720="","",INDEX('Input Transaksi'!$A:$A,$E720))</f>
        <v/>
      </c>
      <c r="B720" s="5">
        <f>IF($E720="","",INDEX('Input Transaksi'!$D:$D,$E720))</f>
        <v/>
      </c>
      <c r="C720">
        <f>IF($E720="","",INDEX('Input Transaksi'!$E:$E,$E720))</f>
        <v/>
      </c>
      <c r="D720" s="5">
        <f>IF($E720="","",INDEX('Input Transaksi'!$F:$F,$E720))</f>
        <v/>
      </c>
      <c r="E720">
        <f>IFERROR(AGGREGATE(15,6,ROW('Input Transaksi'!$B$5:$B$5000)/('Input Transaksi'!$B$5:$B$5000="CL SESETAN"),ROWS($E$5:E720)),"")</f>
        <v/>
      </c>
      <c r="F720" s="5" t="n"/>
    </row>
    <row r="721">
      <c r="A721" s="10">
        <f>IF($E721="","",INDEX('Input Transaksi'!$A:$A,$E721))</f>
        <v/>
      </c>
      <c r="B721" s="5">
        <f>IF($E721="","",INDEX('Input Transaksi'!$D:$D,$E721))</f>
        <v/>
      </c>
      <c r="C721">
        <f>IF($E721="","",INDEX('Input Transaksi'!$E:$E,$E721))</f>
        <v/>
      </c>
      <c r="D721" s="5">
        <f>IF($E721="","",INDEX('Input Transaksi'!$F:$F,$E721))</f>
        <v/>
      </c>
      <c r="E721">
        <f>IFERROR(AGGREGATE(15,6,ROW('Input Transaksi'!$B$5:$B$5000)/('Input Transaksi'!$B$5:$B$5000="CL SESETAN"),ROWS($E$5:E721)),"")</f>
        <v/>
      </c>
      <c r="F721" s="5" t="n"/>
    </row>
    <row r="722">
      <c r="A722" s="10">
        <f>IF($E722="","",INDEX('Input Transaksi'!$A:$A,$E722))</f>
        <v/>
      </c>
      <c r="B722" s="5">
        <f>IF($E722="","",INDEX('Input Transaksi'!$D:$D,$E722))</f>
        <v/>
      </c>
      <c r="C722">
        <f>IF($E722="","",INDEX('Input Transaksi'!$E:$E,$E722))</f>
        <v/>
      </c>
      <c r="D722" s="5">
        <f>IF($E722="","",INDEX('Input Transaksi'!$F:$F,$E722))</f>
        <v/>
      </c>
      <c r="E722">
        <f>IFERROR(AGGREGATE(15,6,ROW('Input Transaksi'!$B$5:$B$5000)/('Input Transaksi'!$B$5:$B$5000="CL SESETAN"),ROWS($E$5:E722)),"")</f>
        <v/>
      </c>
      <c r="F722" s="5" t="n"/>
    </row>
    <row r="723">
      <c r="A723" s="10">
        <f>IF($E723="","",INDEX('Input Transaksi'!$A:$A,$E723))</f>
        <v/>
      </c>
      <c r="B723" s="5">
        <f>IF($E723="","",INDEX('Input Transaksi'!$D:$D,$E723))</f>
        <v/>
      </c>
      <c r="C723">
        <f>IF($E723="","",INDEX('Input Transaksi'!$E:$E,$E723))</f>
        <v/>
      </c>
      <c r="D723" s="5">
        <f>IF($E723="","",INDEX('Input Transaksi'!$F:$F,$E723))</f>
        <v/>
      </c>
      <c r="E723">
        <f>IFERROR(AGGREGATE(15,6,ROW('Input Transaksi'!$B$5:$B$5000)/('Input Transaksi'!$B$5:$B$5000="CL SESETAN"),ROWS($E$5:E723)),"")</f>
        <v/>
      </c>
      <c r="F723" s="5" t="n"/>
    </row>
    <row r="724">
      <c r="A724" s="10">
        <f>IF($E724="","",INDEX('Input Transaksi'!$A:$A,$E724))</f>
        <v/>
      </c>
      <c r="B724" s="5">
        <f>IF($E724="","",INDEX('Input Transaksi'!$D:$D,$E724))</f>
        <v/>
      </c>
      <c r="C724">
        <f>IF($E724="","",INDEX('Input Transaksi'!$E:$E,$E724))</f>
        <v/>
      </c>
      <c r="D724" s="5">
        <f>IF($E724="","",INDEX('Input Transaksi'!$F:$F,$E724))</f>
        <v/>
      </c>
      <c r="E724">
        <f>IFERROR(AGGREGATE(15,6,ROW('Input Transaksi'!$B$5:$B$5000)/('Input Transaksi'!$B$5:$B$5000="CL SESETAN"),ROWS($E$5:E724)),"")</f>
        <v/>
      </c>
      <c r="F724" s="5" t="n"/>
    </row>
    <row r="725">
      <c r="A725" s="10">
        <f>IF($E725="","",INDEX('Input Transaksi'!$A:$A,$E725))</f>
        <v/>
      </c>
      <c r="B725" s="5">
        <f>IF($E725="","",INDEX('Input Transaksi'!$D:$D,$E725))</f>
        <v/>
      </c>
      <c r="C725">
        <f>IF($E725="","",INDEX('Input Transaksi'!$E:$E,$E725))</f>
        <v/>
      </c>
      <c r="D725" s="5">
        <f>IF($E725="","",INDEX('Input Transaksi'!$F:$F,$E725))</f>
        <v/>
      </c>
      <c r="E725">
        <f>IFERROR(AGGREGATE(15,6,ROW('Input Transaksi'!$B$5:$B$5000)/('Input Transaksi'!$B$5:$B$5000="CL SESETAN"),ROWS($E$5:E725)),"")</f>
        <v/>
      </c>
      <c r="F725" s="5" t="n"/>
    </row>
    <row r="726">
      <c r="A726" s="10">
        <f>IF($E726="","",INDEX('Input Transaksi'!$A:$A,$E726))</f>
        <v/>
      </c>
      <c r="B726" s="5">
        <f>IF($E726="","",INDEX('Input Transaksi'!$D:$D,$E726))</f>
        <v/>
      </c>
      <c r="C726">
        <f>IF($E726="","",INDEX('Input Transaksi'!$E:$E,$E726))</f>
        <v/>
      </c>
      <c r="D726" s="5">
        <f>IF($E726="","",INDEX('Input Transaksi'!$F:$F,$E726))</f>
        <v/>
      </c>
      <c r="E726">
        <f>IFERROR(AGGREGATE(15,6,ROW('Input Transaksi'!$B$5:$B$5000)/('Input Transaksi'!$B$5:$B$5000="CL SESETAN"),ROWS($E$5:E726)),"")</f>
        <v/>
      </c>
      <c r="F726" s="5" t="n"/>
    </row>
    <row r="727">
      <c r="A727" s="10">
        <f>IF($E727="","",INDEX('Input Transaksi'!$A:$A,$E727))</f>
        <v/>
      </c>
      <c r="B727" s="5">
        <f>IF($E727="","",INDEX('Input Transaksi'!$D:$D,$E727))</f>
        <v/>
      </c>
      <c r="C727">
        <f>IF($E727="","",INDEX('Input Transaksi'!$E:$E,$E727))</f>
        <v/>
      </c>
      <c r="D727" s="5">
        <f>IF($E727="","",INDEX('Input Transaksi'!$F:$F,$E727))</f>
        <v/>
      </c>
      <c r="E727">
        <f>IFERROR(AGGREGATE(15,6,ROW('Input Transaksi'!$B$5:$B$5000)/('Input Transaksi'!$B$5:$B$5000="CL SESETAN"),ROWS($E$5:E727)),"")</f>
        <v/>
      </c>
      <c r="F727" s="5" t="n"/>
    </row>
    <row r="728">
      <c r="A728" s="10">
        <f>IF($E728="","",INDEX('Input Transaksi'!$A:$A,$E728))</f>
        <v/>
      </c>
      <c r="B728" s="5">
        <f>IF($E728="","",INDEX('Input Transaksi'!$D:$D,$E728))</f>
        <v/>
      </c>
      <c r="C728">
        <f>IF($E728="","",INDEX('Input Transaksi'!$E:$E,$E728))</f>
        <v/>
      </c>
      <c r="D728" s="5">
        <f>IF($E728="","",INDEX('Input Transaksi'!$F:$F,$E728))</f>
        <v/>
      </c>
      <c r="E728">
        <f>IFERROR(AGGREGATE(15,6,ROW('Input Transaksi'!$B$5:$B$5000)/('Input Transaksi'!$B$5:$B$5000="CL SESETAN"),ROWS($E$5:E728)),"")</f>
        <v/>
      </c>
      <c r="F728" s="5" t="n"/>
    </row>
    <row r="729">
      <c r="A729" s="10">
        <f>IF($E729="","",INDEX('Input Transaksi'!$A:$A,$E729))</f>
        <v/>
      </c>
      <c r="B729" s="5">
        <f>IF($E729="","",INDEX('Input Transaksi'!$D:$D,$E729))</f>
        <v/>
      </c>
      <c r="C729">
        <f>IF($E729="","",INDEX('Input Transaksi'!$E:$E,$E729))</f>
        <v/>
      </c>
      <c r="D729" s="5">
        <f>IF($E729="","",INDEX('Input Transaksi'!$F:$F,$E729))</f>
        <v/>
      </c>
      <c r="E729">
        <f>IFERROR(AGGREGATE(15,6,ROW('Input Transaksi'!$B$5:$B$5000)/('Input Transaksi'!$B$5:$B$5000="CL SESETAN"),ROWS($E$5:E729)),"")</f>
        <v/>
      </c>
      <c r="F729" s="5" t="n"/>
    </row>
    <row r="730">
      <c r="A730" s="10">
        <f>IF($E730="","",INDEX('Input Transaksi'!$A:$A,$E730))</f>
        <v/>
      </c>
      <c r="B730" s="5">
        <f>IF($E730="","",INDEX('Input Transaksi'!$D:$D,$E730))</f>
        <v/>
      </c>
      <c r="C730">
        <f>IF($E730="","",INDEX('Input Transaksi'!$E:$E,$E730))</f>
        <v/>
      </c>
      <c r="D730" s="5">
        <f>IF($E730="","",INDEX('Input Transaksi'!$F:$F,$E730))</f>
        <v/>
      </c>
      <c r="E730">
        <f>IFERROR(AGGREGATE(15,6,ROW('Input Transaksi'!$B$5:$B$5000)/('Input Transaksi'!$B$5:$B$5000="CL SESETAN"),ROWS($E$5:E730)),"")</f>
        <v/>
      </c>
      <c r="F730" s="5" t="n"/>
    </row>
    <row r="731">
      <c r="A731" s="10">
        <f>IF($E731="","",INDEX('Input Transaksi'!$A:$A,$E731))</f>
        <v/>
      </c>
      <c r="B731" s="5">
        <f>IF($E731="","",INDEX('Input Transaksi'!$D:$D,$E731))</f>
        <v/>
      </c>
      <c r="C731">
        <f>IF($E731="","",INDEX('Input Transaksi'!$E:$E,$E731))</f>
        <v/>
      </c>
      <c r="D731" s="5">
        <f>IF($E731="","",INDEX('Input Transaksi'!$F:$F,$E731))</f>
        <v/>
      </c>
      <c r="E731">
        <f>IFERROR(AGGREGATE(15,6,ROW('Input Transaksi'!$B$5:$B$5000)/('Input Transaksi'!$B$5:$B$5000="CL SESETAN"),ROWS($E$5:E731)),"")</f>
        <v/>
      </c>
      <c r="F731" s="5" t="n"/>
    </row>
    <row r="732">
      <c r="A732" s="10">
        <f>IF($E732="","",INDEX('Input Transaksi'!$A:$A,$E732))</f>
        <v/>
      </c>
      <c r="B732" s="5">
        <f>IF($E732="","",INDEX('Input Transaksi'!$D:$D,$E732))</f>
        <v/>
      </c>
      <c r="C732">
        <f>IF($E732="","",INDEX('Input Transaksi'!$E:$E,$E732))</f>
        <v/>
      </c>
      <c r="D732" s="5">
        <f>IF($E732="","",INDEX('Input Transaksi'!$F:$F,$E732))</f>
        <v/>
      </c>
      <c r="E732">
        <f>IFERROR(AGGREGATE(15,6,ROW('Input Transaksi'!$B$5:$B$5000)/('Input Transaksi'!$B$5:$B$5000="CL SESETAN"),ROWS($E$5:E732)),"")</f>
        <v/>
      </c>
      <c r="F732" s="5" t="n"/>
    </row>
    <row r="733">
      <c r="A733" s="10">
        <f>IF($E733="","",INDEX('Input Transaksi'!$A:$A,$E733))</f>
        <v/>
      </c>
      <c r="B733" s="5">
        <f>IF($E733="","",INDEX('Input Transaksi'!$D:$D,$E733))</f>
        <v/>
      </c>
      <c r="C733">
        <f>IF($E733="","",INDEX('Input Transaksi'!$E:$E,$E733))</f>
        <v/>
      </c>
      <c r="D733" s="5">
        <f>IF($E733="","",INDEX('Input Transaksi'!$F:$F,$E733))</f>
        <v/>
      </c>
      <c r="E733">
        <f>IFERROR(AGGREGATE(15,6,ROW('Input Transaksi'!$B$5:$B$5000)/('Input Transaksi'!$B$5:$B$5000="CL SESETAN"),ROWS($E$5:E733)),"")</f>
        <v/>
      </c>
      <c r="F733" s="5" t="n"/>
    </row>
    <row r="734">
      <c r="A734" s="10">
        <f>IF($E734="","",INDEX('Input Transaksi'!$A:$A,$E734))</f>
        <v/>
      </c>
      <c r="B734" s="5">
        <f>IF($E734="","",INDEX('Input Transaksi'!$D:$D,$E734))</f>
        <v/>
      </c>
      <c r="C734">
        <f>IF($E734="","",INDEX('Input Transaksi'!$E:$E,$E734))</f>
        <v/>
      </c>
      <c r="D734" s="5">
        <f>IF($E734="","",INDEX('Input Transaksi'!$F:$F,$E734))</f>
        <v/>
      </c>
      <c r="E734">
        <f>IFERROR(AGGREGATE(15,6,ROW('Input Transaksi'!$B$5:$B$5000)/('Input Transaksi'!$B$5:$B$5000="CL SESETAN"),ROWS($E$5:E734)),"")</f>
        <v/>
      </c>
      <c r="F734" s="5" t="n"/>
    </row>
    <row r="735">
      <c r="A735" s="10">
        <f>IF($E735="","",INDEX('Input Transaksi'!$A:$A,$E735))</f>
        <v/>
      </c>
      <c r="B735" s="5">
        <f>IF($E735="","",INDEX('Input Transaksi'!$D:$D,$E735))</f>
        <v/>
      </c>
      <c r="C735">
        <f>IF($E735="","",INDEX('Input Transaksi'!$E:$E,$E735))</f>
        <v/>
      </c>
      <c r="D735" s="5">
        <f>IF($E735="","",INDEX('Input Transaksi'!$F:$F,$E735))</f>
        <v/>
      </c>
      <c r="E735">
        <f>IFERROR(AGGREGATE(15,6,ROW('Input Transaksi'!$B$5:$B$5000)/('Input Transaksi'!$B$5:$B$5000="CL SESETAN"),ROWS($E$5:E735)),"")</f>
        <v/>
      </c>
      <c r="F735" s="5" t="n"/>
    </row>
    <row r="736">
      <c r="A736" s="10">
        <f>IF($E736="","",INDEX('Input Transaksi'!$A:$A,$E736))</f>
        <v/>
      </c>
      <c r="B736" s="5">
        <f>IF($E736="","",INDEX('Input Transaksi'!$D:$D,$E736))</f>
        <v/>
      </c>
      <c r="C736">
        <f>IF($E736="","",INDEX('Input Transaksi'!$E:$E,$E736))</f>
        <v/>
      </c>
      <c r="D736" s="5">
        <f>IF($E736="","",INDEX('Input Transaksi'!$F:$F,$E736))</f>
        <v/>
      </c>
      <c r="E736">
        <f>IFERROR(AGGREGATE(15,6,ROW('Input Transaksi'!$B$5:$B$5000)/('Input Transaksi'!$B$5:$B$5000="CL SESETAN"),ROWS($E$5:E736)),"")</f>
        <v/>
      </c>
      <c r="F736" s="5" t="n"/>
    </row>
    <row r="737">
      <c r="A737" s="10">
        <f>IF($E737="","",INDEX('Input Transaksi'!$A:$A,$E737))</f>
        <v/>
      </c>
      <c r="B737" s="5">
        <f>IF($E737="","",INDEX('Input Transaksi'!$D:$D,$E737))</f>
        <v/>
      </c>
      <c r="C737">
        <f>IF($E737="","",INDEX('Input Transaksi'!$E:$E,$E737))</f>
        <v/>
      </c>
      <c r="D737" s="5">
        <f>IF($E737="","",INDEX('Input Transaksi'!$F:$F,$E737))</f>
        <v/>
      </c>
      <c r="E737">
        <f>IFERROR(AGGREGATE(15,6,ROW('Input Transaksi'!$B$5:$B$5000)/('Input Transaksi'!$B$5:$B$5000="CL SESETAN"),ROWS($E$5:E737)),"")</f>
        <v/>
      </c>
      <c r="F737" s="5" t="n"/>
    </row>
    <row r="738">
      <c r="A738" s="10">
        <f>IF($E738="","",INDEX('Input Transaksi'!$A:$A,$E738))</f>
        <v/>
      </c>
      <c r="B738" s="5">
        <f>IF($E738="","",INDEX('Input Transaksi'!$D:$D,$E738))</f>
        <v/>
      </c>
      <c r="C738">
        <f>IF($E738="","",INDEX('Input Transaksi'!$E:$E,$E738))</f>
        <v/>
      </c>
      <c r="D738" s="5">
        <f>IF($E738="","",INDEX('Input Transaksi'!$F:$F,$E738))</f>
        <v/>
      </c>
      <c r="E738">
        <f>IFERROR(AGGREGATE(15,6,ROW('Input Transaksi'!$B$5:$B$5000)/('Input Transaksi'!$B$5:$B$5000="CL SESETAN"),ROWS($E$5:E738)),"")</f>
        <v/>
      </c>
      <c r="F738" s="5" t="n"/>
    </row>
    <row r="739">
      <c r="A739" s="10">
        <f>IF($E739="","",INDEX('Input Transaksi'!$A:$A,$E739))</f>
        <v/>
      </c>
      <c r="B739" s="5">
        <f>IF($E739="","",INDEX('Input Transaksi'!$D:$D,$E739))</f>
        <v/>
      </c>
      <c r="C739">
        <f>IF($E739="","",INDEX('Input Transaksi'!$E:$E,$E739))</f>
        <v/>
      </c>
      <c r="D739" s="5">
        <f>IF($E739="","",INDEX('Input Transaksi'!$F:$F,$E739))</f>
        <v/>
      </c>
      <c r="E739">
        <f>IFERROR(AGGREGATE(15,6,ROW('Input Transaksi'!$B$5:$B$5000)/('Input Transaksi'!$B$5:$B$5000="CL SESETAN"),ROWS($E$5:E739)),"")</f>
        <v/>
      </c>
      <c r="F739" s="5" t="n"/>
    </row>
    <row r="740">
      <c r="A740" s="10">
        <f>IF($E740="","",INDEX('Input Transaksi'!$A:$A,$E740))</f>
        <v/>
      </c>
      <c r="B740" s="5">
        <f>IF($E740="","",INDEX('Input Transaksi'!$D:$D,$E740))</f>
        <v/>
      </c>
      <c r="C740">
        <f>IF($E740="","",INDEX('Input Transaksi'!$E:$E,$E740))</f>
        <v/>
      </c>
      <c r="D740" s="5">
        <f>IF($E740="","",INDEX('Input Transaksi'!$F:$F,$E740))</f>
        <v/>
      </c>
      <c r="E740">
        <f>IFERROR(AGGREGATE(15,6,ROW('Input Transaksi'!$B$5:$B$5000)/('Input Transaksi'!$B$5:$B$5000="CL SESETAN"),ROWS($E$5:E740)),"")</f>
        <v/>
      </c>
      <c r="F740" s="5" t="n"/>
    </row>
    <row r="741">
      <c r="A741" s="10">
        <f>IF($E741="","",INDEX('Input Transaksi'!$A:$A,$E741))</f>
        <v/>
      </c>
      <c r="B741" s="5">
        <f>IF($E741="","",INDEX('Input Transaksi'!$D:$D,$E741))</f>
        <v/>
      </c>
      <c r="C741">
        <f>IF($E741="","",INDEX('Input Transaksi'!$E:$E,$E741))</f>
        <v/>
      </c>
      <c r="D741" s="5">
        <f>IF($E741="","",INDEX('Input Transaksi'!$F:$F,$E741))</f>
        <v/>
      </c>
      <c r="E741">
        <f>IFERROR(AGGREGATE(15,6,ROW('Input Transaksi'!$B$5:$B$5000)/('Input Transaksi'!$B$5:$B$5000="CL SESETAN"),ROWS($E$5:E741)),"")</f>
        <v/>
      </c>
      <c r="F741" s="5" t="n"/>
    </row>
    <row r="742">
      <c r="A742" s="10">
        <f>IF($E742="","",INDEX('Input Transaksi'!$A:$A,$E742))</f>
        <v/>
      </c>
      <c r="B742" s="5">
        <f>IF($E742="","",INDEX('Input Transaksi'!$D:$D,$E742))</f>
        <v/>
      </c>
      <c r="C742">
        <f>IF($E742="","",INDEX('Input Transaksi'!$E:$E,$E742))</f>
        <v/>
      </c>
      <c r="D742" s="5">
        <f>IF($E742="","",INDEX('Input Transaksi'!$F:$F,$E742))</f>
        <v/>
      </c>
      <c r="E742">
        <f>IFERROR(AGGREGATE(15,6,ROW('Input Transaksi'!$B$5:$B$5000)/('Input Transaksi'!$B$5:$B$5000="CL SESETAN"),ROWS($E$5:E742)),"")</f>
        <v/>
      </c>
      <c r="F742" s="5" t="n"/>
    </row>
    <row r="743">
      <c r="A743" s="10">
        <f>IF($E743="","",INDEX('Input Transaksi'!$A:$A,$E743))</f>
        <v/>
      </c>
      <c r="B743" s="5">
        <f>IF($E743="","",INDEX('Input Transaksi'!$D:$D,$E743))</f>
        <v/>
      </c>
      <c r="C743">
        <f>IF($E743="","",INDEX('Input Transaksi'!$E:$E,$E743))</f>
        <v/>
      </c>
      <c r="D743" s="5">
        <f>IF($E743="","",INDEX('Input Transaksi'!$F:$F,$E743))</f>
        <v/>
      </c>
      <c r="E743">
        <f>IFERROR(AGGREGATE(15,6,ROW('Input Transaksi'!$B$5:$B$5000)/('Input Transaksi'!$B$5:$B$5000="CL SESETAN"),ROWS($E$5:E743)),"")</f>
        <v/>
      </c>
      <c r="F743" s="5" t="n"/>
    </row>
    <row r="744">
      <c r="A744" s="10">
        <f>IF($E744="","",INDEX('Input Transaksi'!$A:$A,$E744))</f>
        <v/>
      </c>
      <c r="B744" s="5">
        <f>IF($E744="","",INDEX('Input Transaksi'!$D:$D,$E744))</f>
        <v/>
      </c>
      <c r="C744">
        <f>IF($E744="","",INDEX('Input Transaksi'!$E:$E,$E744))</f>
        <v/>
      </c>
      <c r="D744" s="5">
        <f>IF($E744="","",INDEX('Input Transaksi'!$F:$F,$E744))</f>
        <v/>
      </c>
      <c r="E744">
        <f>IFERROR(AGGREGATE(15,6,ROW('Input Transaksi'!$B$5:$B$5000)/('Input Transaksi'!$B$5:$B$5000="CL SESETAN"),ROWS($E$5:E744)),"")</f>
        <v/>
      </c>
      <c r="F744" s="5" t="n"/>
    </row>
    <row r="745">
      <c r="A745" s="10">
        <f>IF($E745="","",INDEX('Input Transaksi'!$A:$A,$E745))</f>
        <v/>
      </c>
      <c r="B745" s="5">
        <f>IF($E745="","",INDEX('Input Transaksi'!$D:$D,$E745))</f>
        <v/>
      </c>
      <c r="C745">
        <f>IF($E745="","",INDEX('Input Transaksi'!$E:$E,$E745))</f>
        <v/>
      </c>
      <c r="D745" s="5">
        <f>IF($E745="","",INDEX('Input Transaksi'!$F:$F,$E745))</f>
        <v/>
      </c>
      <c r="E745">
        <f>IFERROR(AGGREGATE(15,6,ROW('Input Transaksi'!$B$5:$B$5000)/('Input Transaksi'!$B$5:$B$5000="CL SESETAN"),ROWS($E$5:E745)),"")</f>
        <v/>
      </c>
      <c r="F745" s="5" t="n"/>
    </row>
    <row r="746">
      <c r="A746" s="10">
        <f>IF($E746="","",INDEX('Input Transaksi'!$A:$A,$E746))</f>
        <v/>
      </c>
      <c r="B746" s="5">
        <f>IF($E746="","",INDEX('Input Transaksi'!$D:$D,$E746))</f>
        <v/>
      </c>
      <c r="C746">
        <f>IF($E746="","",INDEX('Input Transaksi'!$E:$E,$E746))</f>
        <v/>
      </c>
      <c r="D746" s="5">
        <f>IF($E746="","",INDEX('Input Transaksi'!$F:$F,$E746))</f>
        <v/>
      </c>
      <c r="E746">
        <f>IFERROR(AGGREGATE(15,6,ROW('Input Transaksi'!$B$5:$B$5000)/('Input Transaksi'!$B$5:$B$5000="CL SESETAN"),ROWS($E$5:E746)),"")</f>
        <v/>
      </c>
      <c r="F746" s="5" t="n"/>
    </row>
    <row r="747">
      <c r="A747" s="10">
        <f>IF($E747="","",INDEX('Input Transaksi'!$A:$A,$E747))</f>
        <v/>
      </c>
      <c r="B747" s="5">
        <f>IF($E747="","",INDEX('Input Transaksi'!$D:$D,$E747))</f>
        <v/>
      </c>
      <c r="C747">
        <f>IF($E747="","",INDEX('Input Transaksi'!$E:$E,$E747))</f>
        <v/>
      </c>
      <c r="D747" s="5">
        <f>IF($E747="","",INDEX('Input Transaksi'!$F:$F,$E747))</f>
        <v/>
      </c>
      <c r="E747">
        <f>IFERROR(AGGREGATE(15,6,ROW('Input Transaksi'!$B$5:$B$5000)/('Input Transaksi'!$B$5:$B$5000="CL SESETAN"),ROWS($E$5:E747)),"")</f>
        <v/>
      </c>
      <c r="F747" s="5" t="n"/>
    </row>
    <row r="748">
      <c r="A748" s="10">
        <f>IF($E748="","",INDEX('Input Transaksi'!$A:$A,$E748))</f>
        <v/>
      </c>
      <c r="B748" s="5">
        <f>IF($E748="","",INDEX('Input Transaksi'!$D:$D,$E748))</f>
        <v/>
      </c>
      <c r="C748">
        <f>IF($E748="","",INDEX('Input Transaksi'!$E:$E,$E748))</f>
        <v/>
      </c>
      <c r="D748" s="5">
        <f>IF($E748="","",INDEX('Input Transaksi'!$F:$F,$E748))</f>
        <v/>
      </c>
      <c r="E748">
        <f>IFERROR(AGGREGATE(15,6,ROW('Input Transaksi'!$B$5:$B$5000)/('Input Transaksi'!$B$5:$B$5000="CL SESETAN"),ROWS($E$5:E748)),"")</f>
        <v/>
      </c>
      <c r="F748" s="5" t="n"/>
    </row>
    <row r="749">
      <c r="A749" s="10">
        <f>IF($E749="","",INDEX('Input Transaksi'!$A:$A,$E749))</f>
        <v/>
      </c>
      <c r="B749" s="5">
        <f>IF($E749="","",INDEX('Input Transaksi'!$D:$D,$E749))</f>
        <v/>
      </c>
      <c r="C749">
        <f>IF($E749="","",INDEX('Input Transaksi'!$E:$E,$E749))</f>
        <v/>
      </c>
      <c r="D749" s="5">
        <f>IF($E749="","",INDEX('Input Transaksi'!$F:$F,$E749))</f>
        <v/>
      </c>
      <c r="E749">
        <f>IFERROR(AGGREGATE(15,6,ROW('Input Transaksi'!$B$5:$B$5000)/('Input Transaksi'!$B$5:$B$5000="CL SESETAN"),ROWS($E$5:E749)),"")</f>
        <v/>
      </c>
      <c r="F749" s="5" t="n"/>
    </row>
    <row r="750">
      <c r="A750" s="10">
        <f>IF($E750="","",INDEX('Input Transaksi'!$A:$A,$E750))</f>
        <v/>
      </c>
      <c r="B750" s="5">
        <f>IF($E750="","",INDEX('Input Transaksi'!$D:$D,$E750))</f>
        <v/>
      </c>
      <c r="C750">
        <f>IF($E750="","",INDEX('Input Transaksi'!$E:$E,$E750))</f>
        <v/>
      </c>
      <c r="D750" s="5">
        <f>IF($E750="","",INDEX('Input Transaksi'!$F:$F,$E750))</f>
        <v/>
      </c>
      <c r="E750">
        <f>IFERROR(AGGREGATE(15,6,ROW('Input Transaksi'!$B$5:$B$5000)/('Input Transaksi'!$B$5:$B$5000="CL SESETAN"),ROWS($E$5:E750)),"")</f>
        <v/>
      </c>
      <c r="F750" s="5" t="n"/>
    </row>
    <row r="751">
      <c r="A751" s="10">
        <f>IF($E751="","",INDEX('Input Transaksi'!$A:$A,$E751))</f>
        <v/>
      </c>
      <c r="B751" s="5">
        <f>IF($E751="","",INDEX('Input Transaksi'!$D:$D,$E751))</f>
        <v/>
      </c>
      <c r="C751">
        <f>IF($E751="","",INDEX('Input Transaksi'!$E:$E,$E751))</f>
        <v/>
      </c>
      <c r="D751" s="5">
        <f>IF($E751="","",INDEX('Input Transaksi'!$F:$F,$E751))</f>
        <v/>
      </c>
      <c r="E751">
        <f>IFERROR(AGGREGATE(15,6,ROW('Input Transaksi'!$B$5:$B$5000)/('Input Transaksi'!$B$5:$B$5000="CL SESETAN"),ROWS($E$5:E751)),"")</f>
        <v/>
      </c>
      <c r="F751" s="5" t="n"/>
    </row>
    <row r="752">
      <c r="A752" s="10">
        <f>IF($E752="","",INDEX('Input Transaksi'!$A:$A,$E752))</f>
        <v/>
      </c>
      <c r="B752" s="5">
        <f>IF($E752="","",INDEX('Input Transaksi'!$D:$D,$E752))</f>
        <v/>
      </c>
      <c r="C752">
        <f>IF($E752="","",INDEX('Input Transaksi'!$E:$E,$E752))</f>
        <v/>
      </c>
      <c r="D752" s="5">
        <f>IF($E752="","",INDEX('Input Transaksi'!$F:$F,$E752))</f>
        <v/>
      </c>
      <c r="E752">
        <f>IFERROR(AGGREGATE(15,6,ROW('Input Transaksi'!$B$5:$B$5000)/('Input Transaksi'!$B$5:$B$5000="CL SESETAN"),ROWS($E$5:E752)),"")</f>
        <v/>
      </c>
      <c r="F752" s="5" t="n"/>
    </row>
    <row r="753">
      <c r="A753" s="10">
        <f>IF($E753="","",INDEX('Input Transaksi'!$A:$A,$E753))</f>
        <v/>
      </c>
      <c r="B753" s="5">
        <f>IF($E753="","",INDEX('Input Transaksi'!$D:$D,$E753))</f>
        <v/>
      </c>
      <c r="C753">
        <f>IF($E753="","",INDEX('Input Transaksi'!$E:$E,$E753))</f>
        <v/>
      </c>
      <c r="D753" s="5">
        <f>IF($E753="","",INDEX('Input Transaksi'!$F:$F,$E753))</f>
        <v/>
      </c>
      <c r="E753">
        <f>IFERROR(AGGREGATE(15,6,ROW('Input Transaksi'!$B$5:$B$5000)/('Input Transaksi'!$B$5:$B$5000="CL SESETAN"),ROWS($E$5:E753)),"")</f>
        <v/>
      </c>
      <c r="F753" s="5" t="n"/>
    </row>
    <row r="754">
      <c r="A754" s="10">
        <f>IF($E754="","",INDEX('Input Transaksi'!$A:$A,$E754))</f>
        <v/>
      </c>
      <c r="B754" s="5">
        <f>IF($E754="","",INDEX('Input Transaksi'!$D:$D,$E754))</f>
        <v/>
      </c>
      <c r="C754">
        <f>IF($E754="","",INDEX('Input Transaksi'!$E:$E,$E754))</f>
        <v/>
      </c>
      <c r="D754" s="5">
        <f>IF($E754="","",INDEX('Input Transaksi'!$F:$F,$E754))</f>
        <v/>
      </c>
      <c r="E754">
        <f>IFERROR(AGGREGATE(15,6,ROW('Input Transaksi'!$B$5:$B$5000)/('Input Transaksi'!$B$5:$B$5000="CL SESETAN"),ROWS($E$5:E754)),"")</f>
        <v/>
      </c>
      <c r="F754" s="5" t="n"/>
    </row>
    <row r="755">
      <c r="A755" s="10">
        <f>IF($E755="","",INDEX('Input Transaksi'!$A:$A,$E755))</f>
        <v/>
      </c>
      <c r="B755" s="5">
        <f>IF($E755="","",INDEX('Input Transaksi'!$D:$D,$E755))</f>
        <v/>
      </c>
      <c r="C755">
        <f>IF($E755="","",INDEX('Input Transaksi'!$E:$E,$E755))</f>
        <v/>
      </c>
      <c r="D755" s="5">
        <f>IF($E755="","",INDEX('Input Transaksi'!$F:$F,$E755))</f>
        <v/>
      </c>
      <c r="E755">
        <f>IFERROR(AGGREGATE(15,6,ROW('Input Transaksi'!$B$5:$B$5000)/('Input Transaksi'!$B$5:$B$5000="CL SESETAN"),ROWS($E$5:E755)),"")</f>
        <v/>
      </c>
      <c r="F755" s="5" t="n"/>
    </row>
    <row r="756">
      <c r="A756" s="10">
        <f>IF($E756="","",INDEX('Input Transaksi'!$A:$A,$E756))</f>
        <v/>
      </c>
      <c r="B756" s="5">
        <f>IF($E756="","",INDEX('Input Transaksi'!$D:$D,$E756))</f>
        <v/>
      </c>
      <c r="C756">
        <f>IF($E756="","",INDEX('Input Transaksi'!$E:$E,$E756))</f>
        <v/>
      </c>
      <c r="D756" s="5">
        <f>IF($E756="","",INDEX('Input Transaksi'!$F:$F,$E756))</f>
        <v/>
      </c>
      <c r="E756">
        <f>IFERROR(AGGREGATE(15,6,ROW('Input Transaksi'!$B$5:$B$5000)/('Input Transaksi'!$B$5:$B$5000="CL SESETAN"),ROWS($E$5:E756)),"")</f>
        <v/>
      </c>
      <c r="F756" s="5" t="n"/>
    </row>
    <row r="757">
      <c r="A757" s="10">
        <f>IF($E757="","",INDEX('Input Transaksi'!$A:$A,$E757))</f>
        <v/>
      </c>
      <c r="B757" s="5">
        <f>IF($E757="","",INDEX('Input Transaksi'!$D:$D,$E757))</f>
        <v/>
      </c>
      <c r="C757">
        <f>IF($E757="","",INDEX('Input Transaksi'!$E:$E,$E757))</f>
        <v/>
      </c>
      <c r="D757" s="5">
        <f>IF($E757="","",INDEX('Input Transaksi'!$F:$F,$E757))</f>
        <v/>
      </c>
      <c r="E757">
        <f>IFERROR(AGGREGATE(15,6,ROW('Input Transaksi'!$B$5:$B$5000)/('Input Transaksi'!$B$5:$B$5000="CL SESETAN"),ROWS($E$5:E757)),"")</f>
        <v/>
      </c>
      <c r="F757" s="5" t="n"/>
    </row>
    <row r="758">
      <c r="A758" s="10">
        <f>IF($E758="","",INDEX('Input Transaksi'!$A:$A,$E758))</f>
        <v/>
      </c>
      <c r="B758" s="5">
        <f>IF($E758="","",INDEX('Input Transaksi'!$D:$D,$E758))</f>
        <v/>
      </c>
      <c r="C758">
        <f>IF($E758="","",INDEX('Input Transaksi'!$E:$E,$E758))</f>
        <v/>
      </c>
      <c r="D758" s="5">
        <f>IF($E758="","",INDEX('Input Transaksi'!$F:$F,$E758))</f>
        <v/>
      </c>
      <c r="E758">
        <f>IFERROR(AGGREGATE(15,6,ROW('Input Transaksi'!$B$5:$B$5000)/('Input Transaksi'!$B$5:$B$5000="CL SESETAN"),ROWS($E$5:E758)),"")</f>
        <v/>
      </c>
      <c r="F758" s="5" t="n"/>
    </row>
    <row r="759">
      <c r="A759" s="10">
        <f>IF($E759="","",INDEX('Input Transaksi'!$A:$A,$E759))</f>
        <v/>
      </c>
      <c r="B759" s="5">
        <f>IF($E759="","",INDEX('Input Transaksi'!$D:$D,$E759))</f>
        <v/>
      </c>
      <c r="C759">
        <f>IF($E759="","",INDEX('Input Transaksi'!$E:$E,$E759))</f>
        <v/>
      </c>
      <c r="D759" s="5">
        <f>IF($E759="","",INDEX('Input Transaksi'!$F:$F,$E759))</f>
        <v/>
      </c>
      <c r="E759">
        <f>IFERROR(AGGREGATE(15,6,ROW('Input Transaksi'!$B$5:$B$5000)/('Input Transaksi'!$B$5:$B$5000="CL SESETAN"),ROWS($E$5:E759)),"")</f>
        <v/>
      </c>
      <c r="F759" s="5" t="n"/>
    </row>
    <row r="760">
      <c r="A760" s="10">
        <f>IF($E760="","",INDEX('Input Transaksi'!$A:$A,$E760))</f>
        <v/>
      </c>
      <c r="B760" s="5">
        <f>IF($E760="","",INDEX('Input Transaksi'!$D:$D,$E760))</f>
        <v/>
      </c>
      <c r="C760">
        <f>IF($E760="","",INDEX('Input Transaksi'!$E:$E,$E760))</f>
        <v/>
      </c>
      <c r="D760" s="5">
        <f>IF($E760="","",INDEX('Input Transaksi'!$F:$F,$E760))</f>
        <v/>
      </c>
      <c r="E760">
        <f>IFERROR(AGGREGATE(15,6,ROW('Input Transaksi'!$B$5:$B$5000)/('Input Transaksi'!$B$5:$B$5000="CL SESETAN"),ROWS($E$5:E760)),"")</f>
        <v/>
      </c>
      <c r="F760" s="5" t="n"/>
    </row>
    <row r="761">
      <c r="A761" s="10">
        <f>IF($E761="","",INDEX('Input Transaksi'!$A:$A,$E761))</f>
        <v/>
      </c>
      <c r="B761" s="5">
        <f>IF($E761="","",INDEX('Input Transaksi'!$D:$D,$E761))</f>
        <v/>
      </c>
      <c r="C761">
        <f>IF($E761="","",INDEX('Input Transaksi'!$E:$E,$E761))</f>
        <v/>
      </c>
      <c r="D761" s="5">
        <f>IF($E761="","",INDEX('Input Transaksi'!$F:$F,$E761))</f>
        <v/>
      </c>
      <c r="E761">
        <f>IFERROR(AGGREGATE(15,6,ROW('Input Transaksi'!$B$5:$B$5000)/('Input Transaksi'!$B$5:$B$5000="CL SESETAN"),ROWS($E$5:E761)),"")</f>
        <v/>
      </c>
      <c r="F761" s="5" t="n"/>
    </row>
    <row r="762">
      <c r="A762" s="10">
        <f>IF($E762="","",INDEX('Input Transaksi'!$A:$A,$E762))</f>
        <v/>
      </c>
      <c r="B762" s="5">
        <f>IF($E762="","",INDEX('Input Transaksi'!$D:$D,$E762))</f>
        <v/>
      </c>
      <c r="C762">
        <f>IF($E762="","",INDEX('Input Transaksi'!$E:$E,$E762))</f>
        <v/>
      </c>
      <c r="D762" s="5">
        <f>IF($E762="","",INDEX('Input Transaksi'!$F:$F,$E762))</f>
        <v/>
      </c>
      <c r="E762">
        <f>IFERROR(AGGREGATE(15,6,ROW('Input Transaksi'!$B$5:$B$5000)/('Input Transaksi'!$B$5:$B$5000="CL SESETAN"),ROWS($E$5:E762)),"")</f>
        <v/>
      </c>
      <c r="F762" s="5" t="n"/>
    </row>
    <row r="763">
      <c r="A763" s="10">
        <f>IF($E763="","",INDEX('Input Transaksi'!$A:$A,$E763))</f>
        <v/>
      </c>
      <c r="B763" s="5">
        <f>IF($E763="","",INDEX('Input Transaksi'!$D:$D,$E763))</f>
        <v/>
      </c>
      <c r="C763">
        <f>IF($E763="","",INDEX('Input Transaksi'!$E:$E,$E763))</f>
        <v/>
      </c>
      <c r="D763" s="5">
        <f>IF($E763="","",INDEX('Input Transaksi'!$F:$F,$E763))</f>
        <v/>
      </c>
      <c r="E763">
        <f>IFERROR(AGGREGATE(15,6,ROW('Input Transaksi'!$B$5:$B$5000)/('Input Transaksi'!$B$5:$B$5000="CL SESETAN"),ROWS($E$5:E763)),"")</f>
        <v/>
      </c>
      <c r="F763" s="5" t="n"/>
    </row>
    <row r="764">
      <c r="A764" s="10">
        <f>IF($E764="","",INDEX('Input Transaksi'!$A:$A,$E764))</f>
        <v/>
      </c>
      <c r="B764" s="5">
        <f>IF($E764="","",INDEX('Input Transaksi'!$D:$D,$E764))</f>
        <v/>
      </c>
      <c r="C764">
        <f>IF($E764="","",INDEX('Input Transaksi'!$E:$E,$E764))</f>
        <v/>
      </c>
      <c r="D764" s="5">
        <f>IF($E764="","",INDEX('Input Transaksi'!$F:$F,$E764))</f>
        <v/>
      </c>
      <c r="E764">
        <f>IFERROR(AGGREGATE(15,6,ROW('Input Transaksi'!$B$5:$B$5000)/('Input Transaksi'!$B$5:$B$5000="CL SESETAN"),ROWS($E$5:E764)),"")</f>
        <v/>
      </c>
      <c r="F764" s="5" t="n"/>
    </row>
    <row r="765">
      <c r="A765" s="10">
        <f>IF($E765="","",INDEX('Input Transaksi'!$A:$A,$E765))</f>
        <v/>
      </c>
      <c r="B765" s="5">
        <f>IF($E765="","",INDEX('Input Transaksi'!$D:$D,$E765))</f>
        <v/>
      </c>
      <c r="C765">
        <f>IF($E765="","",INDEX('Input Transaksi'!$E:$E,$E765))</f>
        <v/>
      </c>
      <c r="D765" s="5">
        <f>IF($E765="","",INDEX('Input Transaksi'!$F:$F,$E765))</f>
        <v/>
      </c>
      <c r="E765">
        <f>IFERROR(AGGREGATE(15,6,ROW('Input Transaksi'!$B$5:$B$5000)/('Input Transaksi'!$B$5:$B$5000="CL SESETAN"),ROWS($E$5:E765)),"")</f>
        <v/>
      </c>
      <c r="F765" s="5" t="n"/>
    </row>
    <row r="766">
      <c r="A766" s="10">
        <f>IF($E766="","",INDEX('Input Transaksi'!$A:$A,$E766))</f>
        <v/>
      </c>
      <c r="B766" s="5">
        <f>IF($E766="","",INDEX('Input Transaksi'!$D:$D,$E766))</f>
        <v/>
      </c>
      <c r="C766">
        <f>IF($E766="","",INDEX('Input Transaksi'!$E:$E,$E766))</f>
        <v/>
      </c>
      <c r="D766" s="5">
        <f>IF($E766="","",INDEX('Input Transaksi'!$F:$F,$E766))</f>
        <v/>
      </c>
      <c r="E766">
        <f>IFERROR(AGGREGATE(15,6,ROW('Input Transaksi'!$B$5:$B$5000)/('Input Transaksi'!$B$5:$B$5000="CL SESETAN"),ROWS($E$5:E766)),"")</f>
        <v/>
      </c>
      <c r="F766" s="5" t="n"/>
    </row>
    <row r="767">
      <c r="A767" s="10">
        <f>IF($E767="","",INDEX('Input Transaksi'!$A:$A,$E767))</f>
        <v/>
      </c>
      <c r="B767" s="5">
        <f>IF($E767="","",INDEX('Input Transaksi'!$D:$D,$E767))</f>
        <v/>
      </c>
      <c r="C767">
        <f>IF($E767="","",INDEX('Input Transaksi'!$E:$E,$E767))</f>
        <v/>
      </c>
      <c r="D767" s="5">
        <f>IF($E767="","",INDEX('Input Transaksi'!$F:$F,$E767))</f>
        <v/>
      </c>
      <c r="E767">
        <f>IFERROR(AGGREGATE(15,6,ROW('Input Transaksi'!$B$5:$B$5000)/('Input Transaksi'!$B$5:$B$5000="CL SESETAN"),ROWS($E$5:E767)),"")</f>
        <v/>
      </c>
      <c r="F767" s="5" t="n"/>
    </row>
    <row r="768">
      <c r="A768" s="10">
        <f>IF($E768="","",INDEX('Input Transaksi'!$A:$A,$E768))</f>
        <v/>
      </c>
      <c r="B768" s="5">
        <f>IF($E768="","",INDEX('Input Transaksi'!$D:$D,$E768))</f>
        <v/>
      </c>
      <c r="C768">
        <f>IF($E768="","",INDEX('Input Transaksi'!$E:$E,$E768))</f>
        <v/>
      </c>
      <c r="D768" s="5">
        <f>IF($E768="","",INDEX('Input Transaksi'!$F:$F,$E768))</f>
        <v/>
      </c>
      <c r="E768">
        <f>IFERROR(AGGREGATE(15,6,ROW('Input Transaksi'!$B$5:$B$5000)/('Input Transaksi'!$B$5:$B$5000="CL SESETAN"),ROWS($E$5:E768)),"")</f>
        <v/>
      </c>
      <c r="F768" s="5" t="n"/>
    </row>
    <row r="769">
      <c r="A769" s="10">
        <f>IF($E769="","",INDEX('Input Transaksi'!$A:$A,$E769))</f>
        <v/>
      </c>
      <c r="B769" s="5">
        <f>IF($E769="","",INDEX('Input Transaksi'!$D:$D,$E769))</f>
        <v/>
      </c>
      <c r="C769">
        <f>IF($E769="","",INDEX('Input Transaksi'!$E:$E,$E769))</f>
        <v/>
      </c>
      <c r="D769" s="5">
        <f>IF($E769="","",INDEX('Input Transaksi'!$F:$F,$E769))</f>
        <v/>
      </c>
      <c r="E769">
        <f>IFERROR(AGGREGATE(15,6,ROW('Input Transaksi'!$B$5:$B$5000)/('Input Transaksi'!$B$5:$B$5000="CL SESETAN"),ROWS($E$5:E769)),"")</f>
        <v/>
      </c>
      <c r="F769" s="5" t="n"/>
    </row>
    <row r="770">
      <c r="A770" s="10">
        <f>IF($E770="","",INDEX('Input Transaksi'!$A:$A,$E770))</f>
        <v/>
      </c>
      <c r="B770" s="5">
        <f>IF($E770="","",INDEX('Input Transaksi'!$D:$D,$E770))</f>
        <v/>
      </c>
      <c r="C770">
        <f>IF($E770="","",INDEX('Input Transaksi'!$E:$E,$E770))</f>
        <v/>
      </c>
      <c r="D770" s="5">
        <f>IF($E770="","",INDEX('Input Transaksi'!$F:$F,$E770))</f>
        <v/>
      </c>
      <c r="E770">
        <f>IFERROR(AGGREGATE(15,6,ROW('Input Transaksi'!$B$5:$B$5000)/('Input Transaksi'!$B$5:$B$5000="CL SESETAN"),ROWS($E$5:E770)),"")</f>
        <v/>
      </c>
      <c r="F770" s="5" t="n"/>
    </row>
    <row r="771">
      <c r="A771" s="10">
        <f>IF($E771="","",INDEX('Input Transaksi'!$A:$A,$E771))</f>
        <v/>
      </c>
      <c r="B771" s="5">
        <f>IF($E771="","",INDEX('Input Transaksi'!$D:$D,$E771))</f>
        <v/>
      </c>
      <c r="C771">
        <f>IF($E771="","",INDEX('Input Transaksi'!$E:$E,$E771))</f>
        <v/>
      </c>
      <c r="D771" s="5">
        <f>IF($E771="","",INDEX('Input Transaksi'!$F:$F,$E771))</f>
        <v/>
      </c>
      <c r="E771">
        <f>IFERROR(AGGREGATE(15,6,ROW('Input Transaksi'!$B$5:$B$5000)/('Input Transaksi'!$B$5:$B$5000="CL SESETAN"),ROWS($E$5:E771)),"")</f>
        <v/>
      </c>
      <c r="F771" s="5" t="n"/>
    </row>
    <row r="772">
      <c r="A772" s="10">
        <f>IF($E772="","",INDEX('Input Transaksi'!$A:$A,$E772))</f>
        <v/>
      </c>
      <c r="B772" s="5">
        <f>IF($E772="","",INDEX('Input Transaksi'!$D:$D,$E772))</f>
        <v/>
      </c>
      <c r="C772">
        <f>IF($E772="","",INDEX('Input Transaksi'!$E:$E,$E772))</f>
        <v/>
      </c>
      <c r="D772" s="5">
        <f>IF($E772="","",INDEX('Input Transaksi'!$F:$F,$E772))</f>
        <v/>
      </c>
      <c r="E772">
        <f>IFERROR(AGGREGATE(15,6,ROW('Input Transaksi'!$B$5:$B$5000)/('Input Transaksi'!$B$5:$B$5000="CL SESETAN"),ROWS($E$5:E772)),"")</f>
        <v/>
      </c>
      <c r="F772" s="5" t="n"/>
    </row>
    <row r="773">
      <c r="A773" s="10">
        <f>IF($E773="","",INDEX('Input Transaksi'!$A:$A,$E773))</f>
        <v/>
      </c>
      <c r="B773" s="5">
        <f>IF($E773="","",INDEX('Input Transaksi'!$D:$D,$E773))</f>
        <v/>
      </c>
      <c r="C773">
        <f>IF($E773="","",INDEX('Input Transaksi'!$E:$E,$E773))</f>
        <v/>
      </c>
      <c r="D773" s="5">
        <f>IF($E773="","",INDEX('Input Transaksi'!$F:$F,$E773))</f>
        <v/>
      </c>
      <c r="E773">
        <f>IFERROR(AGGREGATE(15,6,ROW('Input Transaksi'!$B$5:$B$5000)/('Input Transaksi'!$B$5:$B$5000="CL SESETAN"),ROWS($E$5:E773)),"")</f>
        <v/>
      </c>
      <c r="F773" s="5" t="n"/>
    </row>
    <row r="774">
      <c r="A774" s="10">
        <f>IF($E774="","",INDEX('Input Transaksi'!$A:$A,$E774))</f>
        <v/>
      </c>
      <c r="B774" s="5">
        <f>IF($E774="","",INDEX('Input Transaksi'!$D:$D,$E774))</f>
        <v/>
      </c>
      <c r="C774">
        <f>IF($E774="","",INDEX('Input Transaksi'!$E:$E,$E774))</f>
        <v/>
      </c>
      <c r="D774" s="5">
        <f>IF($E774="","",INDEX('Input Transaksi'!$F:$F,$E774))</f>
        <v/>
      </c>
      <c r="E774">
        <f>IFERROR(AGGREGATE(15,6,ROW('Input Transaksi'!$B$5:$B$5000)/('Input Transaksi'!$B$5:$B$5000="CL SESETAN"),ROWS($E$5:E774)),"")</f>
        <v/>
      </c>
      <c r="F774" s="5" t="n"/>
    </row>
    <row r="775">
      <c r="A775" s="10">
        <f>IF($E775="","",INDEX('Input Transaksi'!$A:$A,$E775))</f>
        <v/>
      </c>
      <c r="B775" s="5">
        <f>IF($E775="","",INDEX('Input Transaksi'!$D:$D,$E775))</f>
        <v/>
      </c>
      <c r="C775">
        <f>IF($E775="","",INDEX('Input Transaksi'!$E:$E,$E775))</f>
        <v/>
      </c>
      <c r="D775" s="5">
        <f>IF($E775="","",INDEX('Input Transaksi'!$F:$F,$E775))</f>
        <v/>
      </c>
      <c r="E775">
        <f>IFERROR(AGGREGATE(15,6,ROW('Input Transaksi'!$B$5:$B$5000)/('Input Transaksi'!$B$5:$B$5000="CL SESETAN"),ROWS($E$5:E775)),"")</f>
        <v/>
      </c>
      <c r="F775" s="5" t="n"/>
    </row>
    <row r="776">
      <c r="A776" s="10">
        <f>IF($E776="","",INDEX('Input Transaksi'!$A:$A,$E776))</f>
        <v/>
      </c>
      <c r="B776" s="5">
        <f>IF($E776="","",INDEX('Input Transaksi'!$D:$D,$E776))</f>
        <v/>
      </c>
      <c r="C776">
        <f>IF($E776="","",INDEX('Input Transaksi'!$E:$E,$E776))</f>
        <v/>
      </c>
      <c r="D776" s="5">
        <f>IF($E776="","",INDEX('Input Transaksi'!$F:$F,$E776))</f>
        <v/>
      </c>
      <c r="E776">
        <f>IFERROR(AGGREGATE(15,6,ROW('Input Transaksi'!$B$5:$B$5000)/('Input Transaksi'!$B$5:$B$5000="CL SESETAN"),ROWS($E$5:E776)),"")</f>
        <v/>
      </c>
      <c r="F776" s="5" t="n"/>
    </row>
    <row r="777">
      <c r="A777" s="10">
        <f>IF($E777="","",INDEX('Input Transaksi'!$A:$A,$E777))</f>
        <v/>
      </c>
      <c r="B777" s="5">
        <f>IF($E777="","",INDEX('Input Transaksi'!$D:$D,$E777))</f>
        <v/>
      </c>
      <c r="C777">
        <f>IF($E777="","",INDEX('Input Transaksi'!$E:$E,$E777))</f>
        <v/>
      </c>
      <c r="D777" s="5">
        <f>IF($E777="","",INDEX('Input Transaksi'!$F:$F,$E777))</f>
        <v/>
      </c>
      <c r="E777">
        <f>IFERROR(AGGREGATE(15,6,ROW('Input Transaksi'!$B$5:$B$5000)/('Input Transaksi'!$B$5:$B$5000="CL SESETAN"),ROWS($E$5:E777)),"")</f>
        <v/>
      </c>
      <c r="F777" s="5" t="n"/>
    </row>
    <row r="778">
      <c r="A778" s="10">
        <f>IF($E778="","",INDEX('Input Transaksi'!$A:$A,$E778))</f>
        <v/>
      </c>
      <c r="B778" s="5">
        <f>IF($E778="","",INDEX('Input Transaksi'!$D:$D,$E778))</f>
        <v/>
      </c>
      <c r="C778">
        <f>IF($E778="","",INDEX('Input Transaksi'!$E:$E,$E778))</f>
        <v/>
      </c>
      <c r="D778" s="5">
        <f>IF($E778="","",INDEX('Input Transaksi'!$F:$F,$E778))</f>
        <v/>
      </c>
      <c r="E778">
        <f>IFERROR(AGGREGATE(15,6,ROW('Input Transaksi'!$B$5:$B$5000)/('Input Transaksi'!$B$5:$B$5000="CL SESETAN"),ROWS($E$5:E778)),"")</f>
        <v/>
      </c>
      <c r="F778" s="5" t="n"/>
    </row>
    <row r="779">
      <c r="A779" s="10">
        <f>IF($E779="","",INDEX('Input Transaksi'!$A:$A,$E779))</f>
        <v/>
      </c>
      <c r="B779" s="5">
        <f>IF($E779="","",INDEX('Input Transaksi'!$D:$D,$E779))</f>
        <v/>
      </c>
      <c r="C779">
        <f>IF($E779="","",INDEX('Input Transaksi'!$E:$E,$E779))</f>
        <v/>
      </c>
      <c r="D779" s="5">
        <f>IF($E779="","",INDEX('Input Transaksi'!$F:$F,$E779))</f>
        <v/>
      </c>
      <c r="E779">
        <f>IFERROR(AGGREGATE(15,6,ROW('Input Transaksi'!$B$5:$B$5000)/('Input Transaksi'!$B$5:$B$5000="CL SESETAN"),ROWS($E$5:E779)),"")</f>
        <v/>
      </c>
      <c r="F779" s="5" t="n"/>
    </row>
    <row r="780">
      <c r="A780" s="10">
        <f>IF($E780="","",INDEX('Input Transaksi'!$A:$A,$E780))</f>
        <v/>
      </c>
      <c r="B780" s="5">
        <f>IF($E780="","",INDEX('Input Transaksi'!$D:$D,$E780))</f>
        <v/>
      </c>
      <c r="C780">
        <f>IF($E780="","",INDEX('Input Transaksi'!$E:$E,$E780))</f>
        <v/>
      </c>
      <c r="D780" s="5">
        <f>IF($E780="","",INDEX('Input Transaksi'!$F:$F,$E780))</f>
        <v/>
      </c>
      <c r="E780">
        <f>IFERROR(AGGREGATE(15,6,ROW('Input Transaksi'!$B$5:$B$5000)/('Input Transaksi'!$B$5:$B$5000="CL SESETAN"),ROWS($E$5:E780)),"")</f>
        <v/>
      </c>
      <c r="F780" s="5" t="n"/>
    </row>
    <row r="781">
      <c r="A781" s="10">
        <f>IF($E781="","",INDEX('Input Transaksi'!$A:$A,$E781))</f>
        <v/>
      </c>
      <c r="B781" s="5">
        <f>IF($E781="","",INDEX('Input Transaksi'!$D:$D,$E781))</f>
        <v/>
      </c>
      <c r="C781">
        <f>IF($E781="","",INDEX('Input Transaksi'!$E:$E,$E781))</f>
        <v/>
      </c>
      <c r="D781" s="5">
        <f>IF($E781="","",INDEX('Input Transaksi'!$F:$F,$E781))</f>
        <v/>
      </c>
      <c r="E781">
        <f>IFERROR(AGGREGATE(15,6,ROW('Input Transaksi'!$B$5:$B$5000)/('Input Transaksi'!$B$5:$B$5000="CL SESETAN"),ROWS($E$5:E781)),"")</f>
        <v/>
      </c>
      <c r="F781" s="5" t="n"/>
    </row>
    <row r="782">
      <c r="A782" s="10">
        <f>IF($E782="","",INDEX('Input Transaksi'!$A:$A,$E782))</f>
        <v/>
      </c>
      <c r="B782" s="5">
        <f>IF($E782="","",INDEX('Input Transaksi'!$D:$D,$E782))</f>
        <v/>
      </c>
      <c r="C782">
        <f>IF($E782="","",INDEX('Input Transaksi'!$E:$E,$E782))</f>
        <v/>
      </c>
      <c r="D782" s="5">
        <f>IF($E782="","",INDEX('Input Transaksi'!$F:$F,$E782))</f>
        <v/>
      </c>
      <c r="E782">
        <f>IFERROR(AGGREGATE(15,6,ROW('Input Transaksi'!$B$5:$B$5000)/('Input Transaksi'!$B$5:$B$5000="CL SESETAN"),ROWS($E$5:E782)),"")</f>
        <v/>
      </c>
      <c r="F782" s="5" t="n"/>
    </row>
    <row r="783">
      <c r="A783" s="10">
        <f>IF($E783="","",INDEX('Input Transaksi'!$A:$A,$E783))</f>
        <v/>
      </c>
      <c r="B783" s="5">
        <f>IF($E783="","",INDEX('Input Transaksi'!$D:$D,$E783))</f>
        <v/>
      </c>
      <c r="C783">
        <f>IF($E783="","",INDEX('Input Transaksi'!$E:$E,$E783))</f>
        <v/>
      </c>
      <c r="D783" s="5">
        <f>IF($E783="","",INDEX('Input Transaksi'!$F:$F,$E783))</f>
        <v/>
      </c>
      <c r="E783">
        <f>IFERROR(AGGREGATE(15,6,ROW('Input Transaksi'!$B$5:$B$5000)/('Input Transaksi'!$B$5:$B$5000="CL SESETAN"),ROWS($E$5:E783)),"")</f>
        <v/>
      </c>
      <c r="F783" s="5" t="n"/>
    </row>
    <row r="784">
      <c r="A784" s="10">
        <f>IF($E784="","",INDEX('Input Transaksi'!$A:$A,$E784))</f>
        <v/>
      </c>
      <c r="B784" s="5">
        <f>IF($E784="","",INDEX('Input Transaksi'!$D:$D,$E784))</f>
        <v/>
      </c>
      <c r="C784">
        <f>IF($E784="","",INDEX('Input Transaksi'!$E:$E,$E784))</f>
        <v/>
      </c>
      <c r="D784" s="5">
        <f>IF($E784="","",INDEX('Input Transaksi'!$F:$F,$E784))</f>
        <v/>
      </c>
      <c r="E784">
        <f>IFERROR(AGGREGATE(15,6,ROW('Input Transaksi'!$B$5:$B$5000)/('Input Transaksi'!$B$5:$B$5000="CL SESETAN"),ROWS($E$5:E784)),"")</f>
        <v/>
      </c>
      <c r="F784" s="5" t="n"/>
    </row>
    <row r="785">
      <c r="A785" s="10">
        <f>IF($E785="","",INDEX('Input Transaksi'!$A:$A,$E785))</f>
        <v/>
      </c>
      <c r="B785" s="5">
        <f>IF($E785="","",INDEX('Input Transaksi'!$D:$D,$E785))</f>
        <v/>
      </c>
      <c r="C785">
        <f>IF($E785="","",INDEX('Input Transaksi'!$E:$E,$E785))</f>
        <v/>
      </c>
      <c r="D785" s="5">
        <f>IF($E785="","",INDEX('Input Transaksi'!$F:$F,$E785))</f>
        <v/>
      </c>
      <c r="E785">
        <f>IFERROR(AGGREGATE(15,6,ROW('Input Transaksi'!$B$5:$B$5000)/('Input Transaksi'!$B$5:$B$5000="CL SESETAN"),ROWS($E$5:E785)),"")</f>
        <v/>
      </c>
      <c r="F785" s="5" t="n"/>
    </row>
    <row r="786">
      <c r="A786" s="10">
        <f>IF($E786="","",INDEX('Input Transaksi'!$A:$A,$E786))</f>
        <v/>
      </c>
      <c r="B786" s="5">
        <f>IF($E786="","",INDEX('Input Transaksi'!$D:$D,$E786))</f>
        <v/>
      </c>
      <c r="C786">
        <f>IF($E786="","",INDEX('Input Transaksi'!$E:$E,$E786))</f>
        <v/>
      </c>
      <c r="D786" s="5">
        <f>IF($E786="","",INDEX('Input Transaksi'!$F:$F,$E786))</f>
        <v/>
      </c>
      <c r="E786">
        <f>IFERROR(AGGREGATE(15,6,ROW('Input Transaksi'!$B$5:$B$5000)/('Input Transaksi'!$B$5:$B$5000="CL SESETAN"),ROWS($E$5:E786)),"")</f>
        <v/>
      </c>
      <c r="F786" s="5" t="n"/>
    </row>
    <row r="787">
      <c r="A787" s="10">
        <f>IF($E787="","",INDEX('Input Transaksi'!$A:$A,$E787))</f>
        <v/>
      </c>
      <c r="B787" s="5">
        <f>IF($E787="","",INDEX('Input Transaksi'!$D:$D,$E787))</f>
        <v/>
      </c>
      <c r="C787">
        <f>IF($E787="","",INDEX('Input Transaksi'!$E:$E,$E787))</f>
        <v/>
      </c>
      <c r="D787" s="5">
        <f>IF($E787="","",INDEX('Input Transaksi'!$F:$F,$E787))</f>
        <v/>
      </c>
      <c r="E787">
        <f>IFERROR(AGGREGATE(15,6,ROW('Input Transaksi'!$B$5:$B$5000)/('Input Transaksi'!$B$5:$B$5000="CL SESETAN"),ROWS($E$5:E787)),"")</f>
        <v/>
      </c>
      <c r="F787" s="5" t="n"/>
    </row>
    <row r="788">
      <c r="A788" s="10">
        <f>IF($E788="","",INDEX('Input Transaksi'!$A:$A,$E788))</f>
        <v/>
      </c>
      <c r="B788" s="5">
        <f>IF($E788="","",INDEX('Input Transaksi'!$D:$D,$E788))</f>
        <v/>
      </c>
      <c r="C788">
        <f>IF($E788="","",INDEX('Input Transaksi'!$E:$E,$E788))</f>
        <v/>
      </c>
      <c r="D788" s="5">
        <f>IF($E788="","",INDEX('Input Transaksi'!$F:$F,$E788))</f>
        <v/>
      </c>
      <c r="E788">
        <f>IFERROR(AGGREGATE(15,6,ROW('Input Transaksi'!$B$5:$B$5000)/('Input Transaksi'!$B$5:$B$5000="CL SESETAN"),ROWS($E$5:E788)),"")</f>
        <v/>
      </c>
      <c r="F788" s="5" t="n"/>
    </row>
    <row r="789">
      <c r="A789" s="10">
        <f>IF($E789="","",INDEX('Input Transaksi'!$A:$A,$E789))</f>
        <v/>
      </c>
      <c r="B789" s="5">
        <f>IF($E789="","",INDEX('Input Transaksi'!$D:$D,$E789))</f>
        <v/>
      </c>
      <c r="C789">
        <f>IF($E789="","",INDEX('Input Transaksi'!$E:$E,$E789))</f>
        <v/>
      </c>
      <c r="D789" s="5">
        <f>IF($E789="","",INDEX('Input Transaksi'!$F:$F,$E789))</f>
        <v/>
      </c>
      <c r="E789">
        <f>IFERROR(AGGREGATE(15,6,ROW('Input Transaksi'!$B$5:$B$5000)/('Input Transaksi'!$B$5:$B$5000="CL SESETAN"),ROWS($E$5:E789)),"")</f>
        <v/>
      </c>
      <c r="F789" s="5" t="n"/>
    </row>
    <row r="790">
      <c r="A790" s="10">
        <f>IF($E790="","",INDEX('Input Transaksi'!$A:$A,$E790))</f>
        <v/>
      </c>
      <c r="B790" s="5">
        <f>IF($E790="","",INDEX('Input Transaksi'!$D:$D,$E790))</f>
        <v/>
      </c>
      <c r="C790">
        <f>IF($E790="","",INDEX('Input Transaksi'!$E:$E,$E790))</f>
        <v/>
      </c>
      <c r="D790" s="5">
        <f>IF($E790="","",INDEX('Input Transaksi'!$F:$F,$E790))</f>
        <v/>
      </c>
      <c r="E790">
        <f>IFERROR(AGGREGATE(15,6,ROW('Input Transaksi'!$B$5:$B$5000)/('Input Transaksi'!$B$5:$B$5000="CL SESETAN"),ROWS($E$5:E790)),"")</f>
        <v/>
      </c>
      <c r="F790" s="5" t="n"/>
    </row>
    <row r="791">
      <c r="A791" s="10">
        <f>IF($E791="","",INDEX('Input Transaksi'!$A:$A,$E791))</f>
        <v/>
      </c>
      <c r="B791" s="5">
        <f>IF($E791="","",INDEX('Input Transaksi'!$D:$D,$E791))</f>
        <v/>
      </c>
      <c r="C791">
        <f>IF($E791="","",INDEX('Input Transaksi'!$E:$E,$E791))</f>
        <v/>
      </c>
      <c r="D791" s="5">
        <f>IF($E791="","",INDEX('Input Transaksi'!$F:$F,$E791))</f>
        <v/>
      </c>
      <c r="E791">
        <f>IFERROR(AGGREGATE(15,6,ROW('Input Transaksi'!$B$5:$B$5000)/('Input Transaksi'!$B$5:$B$5000="CL SESETAN"),ROWS($E$5:E791)),"")</f>
        <v/>
      </c>
      <c r="F791" s="5" t="n"/>
    </row>
    <row r="792">
      <c r="A792" s="10">
        <f>IF($E792="","",INDEX('Input Transaksi'!$A:$A,$E792))</f>
        <v/>
      </c>
      <c r="B792" s="5">
        <f>IF($E792="","",INDEX('Input Transaksi'!$D:$D,$E792))</f>
        <v/>
      </c>
      <c r="C792">
        <f>IF($E792="","",INDEX('Input Transaksi'!$E:$E,$E792))</f>
        <v/>
      </c>
      <c r="D792" s="5">
        <f>IF($E792="","",INDEX('Input Transaksi'!$F:$F,$E792))</f>
        <v/>
      </c>
      <c r="E792">
        <f>IFERROR(AGGREGATE(15,6,ROW('Input Transaksi'!$B$5:$B$5000)/('Input Transaksi'!$B$5:$B$5000="CL SESETAN"),ROWS($E$5:E792)),"")</f>
        <v/>
      </c>
      <c r="F792" s="5" t="n"/>
    </row>
    <row r="793">
      <c r="A793" s="10">
        <f>IF($E793="","",INDEX('Input Transaksi'!$A:$A,$E793))</f>
        <v/>
      </c>
      <c r="B793" s="5">
        <f>IF($E793="","",INDEX('Input Transaksi'!$D:$D,$E793))</f>
        <v/>
      </c>
      <c r="C793">
        <f>IF($E793="","",INDEX('Input Transaksi'!$E:$E,$E793))</f>
        <v/>
      </c>
      <c r="D793" s="5">
        <f>IF($E793="","",INDEX('Input Transaksi'!$F:$F,$E793))</f>
        <v/>
      </c>
      <c r="E793">
        <f>IFERROR(AGGREGATE(15,6,ROW('Input Transaksi'!$B$5:$B$5000)/('Input Transaksi'!$B$5:$B$5000="CL SESETAN"),ROWS($E$5:E793)),"")</f>
        <v/>
      </c>
      <c r="F793" s="5" t="n"/>
    </row>
    <row r="794">
      <c r="A794" s="10">
        <f>IF($E794="","",INDEX('Input Transaksi'!$A:$A,$E794))</f>
        <v/>
      </c>
      <c r="B794" s="5">
        <f>IF($E794="","",INDEX('Input Transaksi'!$D:$D,$E794))</f>
        <v/>
      </c>
      <c r="C794">
        <f>IF($E794="","",INDEX('Input Transaksi'!$E:$E,$E794))</f>
        <v/>
      </c>
      <c r="D794" s="5">
        <f>IF($E794="","",INDEX('Input Transaksi'!$F:$F,$E794))</f>
        <v/>
      </c>
      <c r="E794">
        <f>IFERROR(AGGREGATE(15,6,ROW('Input Transaksi'!$B$5:$B$5000)/('Input Transaksi'!$B$5:$B$5000="CL SESETAN"),ROWS($E$5:E794)),"")</f>
        <v/>
      </c>
      <c r="F794" s="5" t="n"/>
    </row>
    <row r="795">
      <c r="A795" s="10">
        <f>IF($E795="","",INDEX('Input Transaksi'!$A:$A,$E795))</f>
        <v/>
      </c>
      <c r="B795" s="5">
        <f>IF($E795="","",INDEX('Input Transaksi'!$D:$D,$E795))</f>
        <v/>
      </c>
      <c r="C795">
        <f>IF($E795="","",INDEX('Input Transaksi'!$E:$E,$E795))</f>
        <v/>
      </c>
      <c r="D795" s="5">
        <f>IF($E795="","",INDEX('Input Transaksi'!$F:$F,$E795))</f>
        <v/>
      </c>
      <c r="E795">
        <f>IFERROR(AGGREGATE(15,6,ROW('Input Transaksi'!$B$5:$B$5000)/('Input Transaksi'!$B$5:$B$5000="CL SESETAN"),ROWS($E$5:E795)),"")</f>
        <v/>
      </c>
      <c r="F795" s="5" t="n"/>
    </row>
    <row r="796">
      <c r="A796" s="10">
        <f>IF($E796="","",INDEX('Input Transaksi'!$A:$A,$E796))</f>
        <v/>
      </c>
      <c r="B796" s="5">
        <f>IF($E796="","",INDEX('Input Transaksi'!$D:$D,$E796))</f>
        <v/>
      </c>
      <c r="C796">
        <f>IF($E796="","",INDEX('Input Transaksi'!$E:$E,$E796))</f>
        <v/>
      </c>
      <c r="D796" s="5">
        <f>IF($E796="","",INDEX('Input Transaksi'!$F:$F,$E796))</f>
        <v/>
      </c>
      <c r="E796">
        <f>IFERROR(AGGREGATE(15,6,ROW('Input Transaksi'!$B$5:$B$5000)/('Input Transaksi'!$B$5:$B$5000="CL SESETAN"),ROWS($E$5:E796)),"")</f>
        <v/>
      </c>
      <c r="F796" s="5" t="n"/>
    </row>
    <row r="797">
      <c r="A797" s="10">
        <f>IF($E797="","",INDEX('Input Transaksi'!$A:$A,$E797))</f>
        <v/>
      </c>
      <c r="B797" s="5">
        <f>IF($E797="","",INDEX('Input Transaksi'!$D:$D,$E797))</f>
        <v/>
      </c>
      <c r="C797">
        <f>IF($E797="","",INDEX('Input Transaksi'!$E:$E,$E797))</f>
        <v/>
      </c>
      <c r="D797" s="5">
        <f>IF($E797="","",INDEX('Input Transaksi'!$F:$F,$E797))</f>
        <v/>
      </c>
      <c r="E797">
        <f>IFERROR(AGGREGATE(15,6,ROW('Input Transaksi'!$B$5:$B$5000)/('Input Transaksi'!$B$5:$B$5000="CL SESETAN"),ROWS($E$5:E797)),"")</f>
        <v/>
      </c>
      <c r="F797" s="5" t="n"/>
    </row>
    <row r="798">
      <c r="A798" s="10">
        <f>IF($E798="","",INDEX('Input Transaksi'!$A:$A,$E798))</f>
        <v/>
      </c>
      <c r="B798" s="5">
        <f>IF($E798="","",INDEX('Input Transaksi'!$D:$D,$E798))</f>
        <v/>
      </c>
      <c r="C798">
        <f>IF($E798="","",INDEX('Input Transaksi'!$E:$E,$E798))</f>
        <v/>
      </c>
      <c r="D798" s="5">
        <f>IF($E798="","",INDEX('Input Transaksi'!$F:$F,$E798))</f>
        <v/>
      </c>
      <c r="E798">
        <f>IFERROR(AGGREGATE(15,6,ROW('Input Transaksi'!$B$5:$B$5000)/('Input Transaksi'!$B$5:$B$5000="CL SESETAN"),ROWS($E$5:E798)),"")</f>
        <v/>
      </c>
      <c r="F798" s="5" t="n"/>
    </row>
    <row r="799">
      <c r="A799" s="10">
        <f>IF($E799="","",INDEX('Input Transaksi'!$A:$A,$E799))</f>
        <v/>
      </c>
      <c r="B799" s="5">
        <f>IF($E799="","",INDEX('Input Transaksi'!$D:$D,$E799))</f>
        <v/>
      </c>
      <c r="C799">
        <f>IF($E799="","",INDEX('Input Transaksi'!$E:$E,$E799))</f>
        <v/>
      </c>
      <c r="D799" s="5">
        <f>IF($E799="","",INDEX('Input Transaksi'!$F:$F,$E799))</f>
        <v/>
      </c>
      <c r="E799">
        <f>IFERROR(AGGREGATE(15,6,ROW('Input Transaksi'!$B$5:$B$5000)/('Input Transaksi'!$B$5:$B$5000="CL SESETAN"),ROWS($E$5:E799)),"")</f>
        <v/>
      </c>
      <c r="F799" s="5" t="n"/>
    </row>
    <row r="800">
      <c r="A800" s="10">
        <f>IF($E800="","",INDEX('Input Transaksi'!$A:$A,$E800))</f>
        <v/>
      </c>
      <c r="B800" s="5">
        <f>IF($E800="","",INDEX('Input Transaksi'!$D:$D,$E800))</f>
        <v/>
      </c>
      <c r="C800">
        <f>IF($E800="","",INDEX('Input Transaksi'!$E:$E,$E800))</f>
        <v/>
      </c>
      <c r="D800" s="5">
        <f>IF($E800="","",INDEX('Input Transaksi'!$F:$F,$E800))</f>
        <v/>
      </c>
      <c r="E800">
        <f>IFERROR(AGGREGATE(15,6,ROW('Input Transaksi'!$B$5:$B$5000)/('Input Transaksi'!$B$5:$B$5000="CL SESETAN"),ROWS($E$5:E800)),"")</f>
        <v/>
      </c>
      <c r="F800" s="5" t="n"/>
    </row>
    <row r="801">
      <c r="A801" s="10">
        <f>IF($E801="","",INDEX('Input Transaksi'!$A:$A,$E801))</f>
        <v/>
      </c>
      <c r="B801" s="5">
        <f>IF($E801="","",INDEX('Input Transaksi'!$D:$D,$E801))</f>
        <v/>
      </c>
      <c r="C801">
        <f>IF($E801="","",INDEX('Input Transaksi'!$E:$E,$E801))</f>
        <v/>
      </c>
      <c r="D801" s="5">
        <f>IF($E801="","",INDEX('Input Transaksi'!$F:$F,$E801))</f>
        <v/>
      </c>
      <c r="E801">
        <f>IFERROR(AGGREGATE(15,6,ROW('Input Transaksi'!$B$5:$B$5000)/('Input Transaksi'!$B$5:$B$5000="CL SESETAN"),ROWS($E$5:E801)),"")</f>
        <v/>
      </c>
      <c r="F801" s="5" t="n"/>
    </row>
    <row r="802">
      <c r="A802" s="10">
        <f>IF($E802="","",INDEX('Input Transaksi'!$A:$A,$E802))</f>
        <v/>
      </c>
      <c r="B802" s="5">
        <f>IF($E802="","",INDEX('Input Transaksi'!$D:$D,$E802))</f>
        <v/>
      </c>
      <c r="C802">
        <f>IF($E802="","",INDEX('Input Transaksi'!$E:$E,$E802))</f>
        <v/>
      </c>
      <c r="D802" s="5">
        <f>IF($E802="","",INDEX('Input Transaksi'!$F:$F,$E802))</f>
        <v/>
      </c>
      <c r="E802">
        <f>IFERROR(AGGREGATE(15,6,ROW('Input Transaksi'!$B$5:$B$5000)/('Input Transaksi'!$B$5:$B$5000="CL SESETAN"),ROWS($E$5:E802)),"")</f>
        <v/>
      </c>
      <c r="F802" s="5" t="n"/>
    </row>
    <row r="803">
      <c r="A803" s="10">
        <f>IF($E803="","",INDEX('Input Transaksi'!$A:$A,$E803))</f>
        <v/>
      </c>
      <c r="B803" s="5">
        <f>IF($E803="","",INDEX('Input Transaksi'!$D:$D,$E803))</f>
        <v/>
      </c>
      <c r="C803">
        <f>IF($E803="","",INDEX('Input Transaksi'!$E:$E,$E803))</f>
        <v/>
      </c>
      <c r="D803" s="5">
        <f>IF($E803="","",INDEX('Input Transaksi'!$F:$F,$E803))</f>
        <v/>
      </c>
      <c r="E803">
        <f>IFERROR(AGGREGATE(15,6,ROW('Input Transaksi'!$B$5:$B$5000)/('Input Transaksi'!$B$5:$B$5000="CL SESETAN"),ROWS($E$5:E803)),"")</f>
        <v/>
      </c>
      <c r="F803" s="5" t="n"/>
    </row>
    <row r="804">
      <c r="A804" s="10">
        <f>IF($E804="","",INDEX('Input Transaksi'!$A:$A,$E804))</f>
        <v/>
      </c>
      <c r="B804" s="5">
        <f>IF($E804="","",INDEX('Input Transaksi'!$D:$D,$E804))</f>
        <v/>
      </c>
      <c r="C804">
        <f>IF($E804="","",INDEX('Input Transaksi'!$E:$E,$E804))</f>
        <v/>
      </c>
      <c r="D804" s="5">
        <f>IF($E804="","",INDEX('Input Transaksi'!$F:$F,$E804))</f>
        <v/>
      </c>
      <c r="E804">
        <f>IFERROR(AGGREGATE(15,6,ROW('Input Transaksi'!$B$5:$B$5000)/('Input Transaksi'!$B$5:$B$5000="CL SESETAN"),ROWS($E$5:E804)),"")</f>
        <v/>
      </c>
      <c r="F804" s="5" t="n"/>
    </row>
    <row r="805">
      <c r="A805" s="10">
        <f>IF($E805="","",INDEX('Input Transaksi'!$A:$A,$E805))</f>
        <v/>
      </c>
      <c r="B805" s="5">
        <f>IF($E805="","",INDEX('Input Transaksi'!$D:$D,$E805))</f>
        <v/>
      </c>
      <c r="C805">
        <f>IF($E805="","",INDEX('Input Transaksi'!$E:$E,$E805))</f>
        <v/>
      </c>
      <c r="D805" s="5">
        <f>IF($E805="","",INDEX('Input Transaksi'!$F:$F,$E805))</f>
        <v/>
      </c>
      <c r="E805">
        <f>IFERROR(AGGREGATE(15,6,ROW('Input Transaksi'!$B$5:$B$5000)/('Input Transaksi'!$B$5:$B$5000="CL SESETAN"),ROWS($E$5:E805)),"")</f>
        <v/>
      </c>
      <c r="F805" s="5" t="n"/>
    </row>
    <row r="806">
      <c r="A806" s="10">
        <f>IF($E806="","",INDEX('Input Transaksi'!$A:$A,$E806))</f>
        <v/>
      </c>
      <c r="B806" s="5">
        <f>IF($E806="","",INDEX('Input Transaksi'!$D:$D,$E806))</f>
        <v/>
      </c>
      <c r="C806">
        <f>IF($E806="","",INDEX('Input Transaksi'!$E:$E,$E806))</f>
        <v/>
      </c>
      <c r="D806" s="5">
        <f>IF($E806="","",INDEX('Input Transaksi'!$F:$F,$E806))</f>
        <v/>
      </c>
      <c r="E806">
        <f>IFERROR(AGGREGATE(15,6,ROW('Input Transaksi'!$B$5:$B$5000)/('Input Transaksi'!$B$5:$B$5000="CL SESETAN"),ROWS($E$5:E806)),"")</f>
        <v/>
      </c>
      <c r="F806" s="5" t="n"/>
    </row>
    <row r="807">
      <c r="A807" s="10">
        <f>IF($E807="","",INDEX('Input Transaksi'!$A:$A,$E807))</f>
        <v/>
      </c>
      <c r="B807" s="5">
        <f>IF($E807="","",INDEX('Input Transaksi'!$D:$D,$E807))</f>
        <v/>
      </c>
      <c r="C807">
        <f>IF($E807="","",INDEX('Input Transaksi'!$E:$E,$E807))</f>
        <v/>
      </c>
      <c r="D807" s="5">
        <f>IF($E807="","",INDEX('Input Transaksi'!$F:$F,$E807))</f>
        <v/>
      </c>
      <c r="E807">
        <f>IFERROR(AGGREGATE(15,6,ROW('Input Transaksi'!$B$5:$B$5000)/('Input Transaksi'!$B$5:$B$5000="CL SESETAN"),ROWS($E$5:E807)),"")</f>
        <v/>
      </c>
      <c r="F807" s="5" t="n"/>
    </row>
    <row r="808">
      <c r="A808" s="10">
        <f>IF($E808="","",INDEX('Input Transaksi'!$A:$A,$E808))</f>
        <v/>
      </c>
      <c r="B808" s="5">
        <f>IF($E808="","",INDEX('Input Transaksi'!$D:$D,$E808))</f>
        <v/>
      </c>
      <c r="C808">
        <f>IF($E808="","",INDEX('Input Transaksi'!$E:$E,$E808))</f>
        <v/>
      </c>
      <c r="D808" s="5">
        <f>IF($E808="","",INDEX('Input Transaksi'!$F:$F,$E808))</f>
        <v/>
      </c>
      <c r="E808">
        <f>IFERROR(AGGREGATE(15,6,ROW('Input Transaksi'!$B$5:$B$5000)/('Input Transaksi'!$B$5:$B$5000="CL SESETAN"),ROWS($E$5:E808)),"")</f>
        <v/>
      </c>
      <c r="F808" s="5" t="n"/>
    </row>
    <row r="809">
      <c r="A809" s="10">
        <f>IF($E809="","",INDEX('Input Transaksi'!$A:$A,$E809))</f>
        <v/>
      </c>
      <c r="B809" s="5">
        <f>IF($E809="","",INDEX('Input Transaksi'!$D:$D,$E809))</f>
        <v/>
      </c>
      <c r="C809">
        <f>IF($E809="","",INDEX('Input Transaksi'!$E:$E,$E809))</f>
        <v/>
      </c>
      <c r="D809" s="5">
        <f>IF($E809="","",INDEX('Input Transaksi'!$F:$F,$E809))</f>
        <v/>
      </c>
      <c r="E809">
        <f>IFERROR(AGGREGATE(15,6,ROW('Input Transaksi'!$B$5:$B$5000)/('Input Transaksi'!$B$5:$B$5000="CL SESETAN"),ROWS($E$5:E809)),"")</f>
        <v/>
      </c>
      <c r="F809" s="5" t="n"/>
    </row>
    <row r="810">
      <c r="A810" s="10">
        <f>IF($E810="","",INDEX('Input Transaksi'!$A:$A,$E810))</f>
        <v/>
      </c>
      <c r="B810" s="5">
        <f>IF($E810="","",INDEX('Input Transaksi'!$D:$D,$E810))</f>
        <v/>
      </c>
      <c r="C810">
        <f>IF($E810="","",INDEX('Input Transaksi'!$E:$E,$E810))</f>
        <v/>
      </c>
      <c r="D810" s="5">
        <f>IF($E810="","",INDEX('Input Transaksi'!$F:$F,$E810))</f>
        <v/>
      </c>
      <c r="E810">
        <f>IFERROR(AGGREGATE(15,6,ROW('Input Transaksi'!$B$5:$B$5000)/('Input Transaksi'!$B$5:$B$5000="CL SESETAN"),ROWS($E$5:E810)),"")</f>
        <v/>
      </c>
      <c r="F810" s="5" t="n"/>
    </row>
    <row r="811">
      <c r="A811" s="10">
        <f>IF($E811="","",INDEX('Input Transaksi'!$A:$A,$E811))</f>
        <v/>
      </c>
      <c r="B811" s="5">
        <f>IF($E811="","",INDEX('Input Transaksi'!$D:$D,$E811))</f>
        <v/>
      </c>
      <c r="C811">
        <f>IF($E811="","",INDEX('Input Transaksi'!$E:$E,$E811))</f>
        <v/>
      </c>
      <c r="D811" s="5">
        <f>IF($E811="","",INDEX('Input Transaksi'!$F:$F,$E811))</f>
        <v/>
      </c>
      <c r="E811">
        <f>IFERROR(AGGREGATE(15,6,ROW('Input Transaksi'!$B$5:$B$5000)/('Input Transaksi'!$B$5:$B$5000="CL SESETAN"),ROWS($E$5:E811)),"")</f>
        <v/>
      </c>
      <c r="F811" s="5" t="n"/>
    </row>
    <row r="812">
      <c r="A812" s="10">
        <f>IF($E812="","",INDEX('Input Transaksi'!$A:$A,$E812))</f>
        <v/>
      </c>
      <c r="B812" s="5">
        <f>IF($E812="","",INDEX('Input Transaksi'!$D:$D,$E812))</f>
        <v/>
      </c>
      <c r="C812">
        <f>IF($E812="","",INDEX('Input Transaksi'!$E:$E,$E812))</f>
        <v/>
      </c>
      <c r="D812" s="5">
        <f>IF($E812="","",INDEX('Input Transaksi'!$F:$F,$E812))</f>
        <v/>
      </c>
      <c r="E812">
        <f>IFERROR(AGGREGATE(15,6,ROW('Input Transaksi'!$B$5:$B$5000)/('Input Transaksi'!$B$5:$B$5000="CL SESETAN"),ROWS($E$5:E812)),"")</f>
        <v/>
      </c>
      <c r="F812" s="5" t="n"/>
    </row>
    <row r="813">
      <c r="A813" s="10">
        <f>IF($E813="","",INDEX('Input Transaksi'!$A:$A,$E813))</f>
        <v/>
      </c>
      <c r="B813" s="5">
        <f>IF($E813="","",INDEX('Input Transaksi'!$D:$D,$E813))</f>
        <v/>
      </c>
      <c r="C813">
        <f>IF($E813="","",INDEX('Input Transaksi'!$E:$E,$E813))</f>
        <v/>
      </c>
      <c r="D813" s="5">
        <f>IF($E813="","",INDEX('Input Transaksi'!$F:$F,$E813))</f>
        <v/>
      </c>
      <c r="E813">
        <f>IFERROR(AGGREGATE(15,6,ROW('Input Transaksi'!$B$5:$B$5000)/('Input Transaksi'!$B$5:$B$5000="CL SESETAN"),ROWS($E$5:E813)),"")</f>
        <v/>
      </c>
      <c r="F813" s="5" t="n"/>
    </row>
    <row r="814">
      <c r="A814" s="10">
        <f>IF($E814="","",INDEX('Input Transaksi'!$A:$A,$E814))</f>
        <v/>
      </c>
      <c r="B814" s="5">
        <f>IF($E814="","",INDEX('Input Transaksi'!$D:$D,$E814))</f>
        <v/>
      </c>
      <c r="C814">
        <f>IF($E814="","",INDEX('Input Transaksi'!$E:$E,$E814))</f>
        <v/>
      </c>
      <c r="D814" s="5">
        <f>IF($E814="","",INDEX('Input Transaksi'!$F:$F,$E814))</f>
        <v/>
      </c>
      <c r="E814">
        <f>IFERROR(AGGREGATE(15,6,ROW('Input Transaksi'!$B$5:$B$5000)/('Input Transaksi'!$B$5:$B$5000="CL SESETAN"),ROWS($E$5:E814)),"")</f>
        <v/>
      </c>
      <c r="F814" s="5" t="n"/>
    </row>
    <row r="815">
      <c r="A815" s="10">
        <f>IF($E815="","",INDEX('Input Transaksi'!$A:$A,$E815))</f>
        <v/>
      </c>
      <c r="B815" s="5">
        <f>IF($E815="","",INDEX('Input Transaksi'!$D:$D,$E815))</f>
        <v/>
      </c>
      <c r="C815">
        <f>IF($E815="","",INDEX('Input Transaksi'!$E:$E,$E815))</f>
        <v/>
      </c>
      <c r="D815" s="5">
        <f>IF($E815="","",INDEX('Input Transaksi'!$F:$F,$E815))</f>
        <v/>
      </c>
      <c r="E815">
        <f>IFERROR(AGGREGATE(15,6,ROW('Input Transaksi'!$B$5:$B$5000)/('Input Transaksi'!$B$5:$B$5000="CL SESETAN"),ROWS($E$5:E815)),"")</f>
        <v/>
      </c>
      <c r="F815" s="5" t="n"/>
    </row>
    <row r="816">
      <c r="A816" s="10">
        <f>IF($E816="","",INDEX('Input Transaksi'!$A:$A,$E816))</f>
        <v/>
      </c>
      <c r="B816" s="5">
        <f>IF($E816="","",INDEX('Input Transaksi'!$D:$D,$E816))</f>
        <v/>
      </c>
      <c r="C816">
        <f>IF($E816="","",INDEX('Input Transaksi'!$E:$E,$E816))</f>
        <v/>
      </c>
      <c r="D816" s="5">
        <f>IF($E816="","",INDEX('Input Transaksi'!$F:$F,$E816))</f>
        <v/>
      </c>
      <c r="E816">
        <f>IFERROR(AGGREGATE(15,6,ROW('Input Transaksi'!$B$5:$B$5000)/('Input Transaksi'!$B$5:$B$5000="CL SESETAN"),ROWS($E$5:E816)),"")</f>
        <v/>
      </c>
      <c r="F816" s="5" t="n"/>
    </row>
    <row r="817">
      <c r="A817" s="10">
        <f>IF($E817="","",INDEX('Input Transaksi'!$A:$A,$E817))</f>
        <v/>
      </c>
      <c r="B817" s="5">
        <f>IF($E817="","",INDEX('Input Transaksi'!$D:$D,$E817))</f>
        <v/>
      </c>
      <c r="C817">
        <f>IF($E817="","",INDEX('Input Transaksi'!$E:$E,$E817))</f>
        <v/>
      </c>
      <c r="D817" s="5">
        <f>IF($E817="","",INDEX('Input Transaksi'!$F:$F,$E817))</f>
        <v/>
      </c>
      <c r="E817">
        <f>IFERROR(AGGREGATE(15,6,ROW('Input Transaksi'!$B$5:$B$5000)/('Input Transaksi'!$B$5:$B$5000="CL SESETAN"),ROWS($E$5:E817)),"")</f>
        <v/>
      </c>
      <c r="F817" s="5" t="n"/>
    </row>
    <row r="818">
      <c r="A818" s="10">
        <f>IF($E818="","",INDEX('Input Transaksi'!$A:$A,$E818))</f>
        <v/>
      </c>
      <c r="B818" s="5">
        <f>IF($E818="","",INDEX('Input Transaksi'!$D:$D,$E818))</f>
        <v/>
      </c>
      <c r="C818">
        <f>IF($E818="","",INDEX('Input Transaksi'!$E:$E,$E818))</f>
        <v/>
      </c>
      <c r="D818" s="5">
        <f>IF($E818="","",INDEX('Input Transaksi'!$F:$F,$E818))</f>
        <v/>
      </c>
      <c r="E818">
        <f>IFERROR(AGGREGATE(15,6,ROW('Input Transaksi'!$B$5:$B$5000)/('Input Transaksi'!$B$5:$B$5000="CL SESETAN"),ROWS($E$5:E818)),"")</f>
        <v/>
      </c>
      <c r="F818" s="5" t="n"/>
    </row>
    <row r="819">
      <c r="A819" s="10">
        <f>IF($E819="","",INDEX('Input Transaksi'!$A:$A,$E819))</f>
        <v/>
      </c>
      <c r="B819" s="5">
        <f>IF($E819="","",INDEX('Input Transaksi'!$D:$D,$E819))</f>
        <v/>
      </c>
      <c r="C819">
        <f>IF($E819="","",INDEX('Input Transaksi'!$E:$E,$E819))</f>
        <v/>
      </c>
      <c r="D819" s="5">
        <f>IF($E819="","",INDEX('Input Transaksi'!$F:$F,$E819))</f>
        <v/>
      </c>
      <c r="E819">
        <f>IFERROR(AGGREGATE(15,6,ROW('Input Transaksi'!$B$5:$B$5000)/('Input Transaksi'!$B$5:$B$5000="CL SESETAN"),ROWS($E$5:E819)),"")</f>
        <v/>
      </c>
      <c r="F819" s="5" t="n"/>
    </row>
    <row r="820">
      <c r="A820" s="10">
        <f>IF($E820="","",INDEX('Input Transaksi'!$A:$A,$E820))</f>
        <v/>
      </c>
      <c r="B820" s="5">
        <f>IF($E820="","",INDEX('Input Transaksi'!$D:$D,$E820))</f>
        <v/>
      </c>
      <c r="C820">
        <f>IF($E820="","",INDEX('Input Transaksi'!$E:$E,$E820))</f>
        <v/>
      </c>
      <c r="D820" s="5">
        <f>IF($E820="","",INDEX('Input Transaksi'!$F:$F,$E820))</f>
        <v/>
      </c>
      <c r="E820">
        <f>IFERROR(AGGREGATE(15,6,ROW('Input Transaksi'!$B$5:$B$5000)/('Input Transaksi'!$B$5:$B$5000="CL SESETAN"),ROWS($E$5:E820)),"")</f>
        <v/>
      </c>
      <c r="F820" s="5" t="n"/>
    </row>
    <row r="821">
      <c r="A821" s="10">
        <f>IF($E821="","",INDEX('Input Transaksi'!$A:$A,$E821))</f>
        <v/>
      </c>
      <c r="B821" s="5">
        <f>IF($E821="","",INDEX('Input Transaksi'!$D:$D,$E821))</f>
        <v/>
      </c>
      <c r="C821">
        <f>IF($E821="","",INDEX('Input Transaksi'!$E:$E,$E821))</f>
        <v/>
      </c>
      <c r="D821" s="5">
        <f>IF($E821="","",INDEX('Input Transaksi'!$F:$F,$E821))</f>
        <v/>
      </c>
      <c r="E821">
        <f>IFERROR(AGGREGATE(15,6,ROW('Input Transaksi'!$B$5:$B$5000)/('Input Transaksi'!$B$5:$B$5000="CL SESETAN"),ROWS($E$5:E821)),"")</f>
        <v/>
      </c>
      <c r="F821" s="5" t="n"/>
    </row>
    <row r="822">
      <c r="A822" s="10">
        <f>IF($E822="","",INDEX('Input Transaksi'!$A:$A,$E822))</f>
        <v/>
      </c>
      <c r="B822" s="5">
        <f>IF($E822="","",INDEX('Input Transaksi'!$D:$D,$E822))</f>
        <v/>
      </c>
      <c r="C822">
        <f>IF($E822="","",INDEX('Input Transaksi'!$E:$E,$E822))</f>
        <v/>
      </c>
      <c r="D822" s="5">
        <f>IF($E822="","",INDEX('Input Transaksi'!$F:$F,$E822))</f>
        <v/>
      </c>
      <c r="E822">
        <f>IFERROR(AGGREGATE(15,6,ROW('Input Transaksi'!$B$5:$B$5000)/('Input Transaksi'!$B$5:$B$5000="CL SESETAN"),ROWS($E$5:E822)),"")</f>
        <v/>
      </c>
      <c r="F822" s="5" t="n"/>
    </row>
    <row r="823">
      <c r="A823" s="10">
        <f>IF($E823="","",INDEX('Input Transaksi'!$A:$A,$E823))</f>
        <v/>
      </c>
      <c r="B823" s="5">
        <f>IF($E823="","",INDEX('Input Transaksi'!$D:$D,$E823))</f>
        <v/>
      </c>
      <c r="C823">
        <f>IF($E823="","",INDEX('Input Transaksi'!$E:$E,$E823))</f>
        <v/>
      </c>
      <c r="D823" s="5">
        <f>IF($E823="","",INDEX('Input Transaksi'!$F:$F,$E823))</f>
        <v/>
      </c>
      <c r="E823">
        <f>IFERROR(AGGREGATE(15,6,ROW('Input Transaksi'!$B$5:$B$5000)/('Input Transaksi'!$B$5:$B$5000="CL SESETAN"),ROWS($E$5:E823)),"")</f>
        <v/>
      </c>
      <c r="F823" s="5" t="n"/>
    </row>
    <row r="824">
      <c r="A824" s="10">
        <f>IF($E824="","",INDEX('Input Transaksi'!$A:$A,$E824))</f>
        <v/>
      </c>
      <c r="B824" s="5">
        <f>IF($E824="","",INDEX('Input Transaksi'!$D:$D,$E824))</f>
        <v/>
      </c>
      <c r="C824">
        <f>IF($E824="","",INDEX('Input Transaksi'!$E:$E,$E824))</f>
        <v/>
      </c>
      <c r="D824" s="5">
        <f>IF($E824="","",INDEX('Input Transaksi'!$F:$F,$E824))</f>
        <v/>
      </c>
      <c r="E824">
        <f>IFERROR(AGGREGATE(15,6,ROW('Input Transaksi'!$B$5:$B$5000)/('Input Transaksi'!$B$5:$B$5000="CL SESETAN"),ROWS($E$5:E824)),"")</f>
        <v/>
      </c>
      <c r="F824" s="5" t="n"/>
    </row>
    <row r="825">
      <c r="A825" s="10">
        <f>IF($E825="","",INDEX('Input Transaksi'!$A:$A,$E825))</f>
        <v/>
      </c>
      <c r="B825" s="5">
        <f>IF($E825="","",INDEX('Input Transaksi'!$D:$D,$E825))</f>
        <v/>
      </c>
      <c r="C825">
        <f>IF($E825="","",INDEX('Input Transaksi'!$E:$E,$E825))</f>
        <v/>
      </c>
      <c r="D825" s="5">
        <f>IF($E825="","",INDEX('Input Transaksi'!$F:$F,$E825))</f>
        <v/>
      </c>
      <c r="E825">
        <f>IFERROR(AGGREGATE(15,6,ROW('Input Transaksi'!$B$5:$B$5000)/('Input Transaksi'!$B$5:$B$5000="CL SESETAN"),ROWS($E$5:E825)),"")</f>
        <v/>
      </c>
      <c r="F825" s="5" t="n"/>
    </row>
    <row r="826">
      <c r="A826" s="10">
        <f>IF($E826="","",INDEX('Input Transaksi'!$A:$A,$E826))</f>
        <v/>
      </c>
      <c r="B826" s="5">
        <f>IF($E826="","",INDEX('Input Transaksi'!$D:$D,$E826))</f>
        <v/>
      </c>
      <c r="C826">
        <f>IF($E826="","",INDEX('Input Transaksi'!$E:$E,$E826))</f>
        <v/>
      </c>
      <c r="D826" s="5">
        <f>IF($E826="","",INDEX('Input Transaksi'!$F:$F,$E826))</f>
        <v/>
      </c>
      <c r="E826">
        <f>IFERROR(AGGREGATE(15,6,ROW('Input Transaksi'!$B$5:$B$5000)/('Input Transaksi'!$B$5:$B$5000="CL SESETAN"),ROWS($E$5:E826)),"")</f>
        <v/>
      </c>
      <c r="F826" s="5" t="n"/>
    </row>
    <row r="827">
      <c r="A827" s="10">
        <f>IF($E827="","",INDEX('Input Transaksi'!$A:$A,$E827))</f>
        <v/>
      </c>
      <c r="B827" s="5">
        <f>IF($E827="","",INDEX('Input Transaksi'!$D:$D,$E827))</f>
        <v/>
      </c>
      <c r="C827">
        <f>IF($E827="","",INDEX('Input Transaksi'!$E:$E,$E827))</f>
        <v/>
      </c>
      <c r="D827" s="5">
        <f>IF($E827="","",INDEX('Input Transaksi'!$F:$F,$E827))</f>
        <v/>
      </c>
      <c r="E827">
        <f>IFERROR(AGGREGATE(15,6,ROW('Input Transaksi'!$B$5:$B$5000)/('Input Transaksi'!$B$5:$B$5000="CL SESETAN"),ROWS($E$5:E827)),"")</f>
        <v/>
      </c>
      <c r="F827" s="5" t="n"/>
    </row>
    <row r="828">
      <c r="A828" s="10">
        <f>IF($E828="","",INDEX('Input Transaksi'!$A:$A,$E828))</f>
        <v/>
      </c>
      <c r="B828" s="5">
        <f>IF($E828="","",INDEX('Input Transaksi'!$D:$D,$E828))</f>
        <v/>
      </c>
      <c r="C828">
        <f>IF($E828="","",INDEX('Input Transaksi'!$E:$E,$E828))</f>
        <v/>
      </c>
      <c r="D828" s="5">
        <f>IF($E828="","",INDEX('Input Transaksi'!$F:$F,$E828))</f>
        <v/>
      </c>
      <c r="E828">
        <f>IFERROR(AGGREGATE(15,6,ROW('Input Transaksi'!$B$5:$B$5000)/('Input Transaksi'!$B$5:$B$5000="CL SESETAN"),ROWS($E$5:E828)),"")</f>
        <v/>
      </c>
      <c r="F828" s="5" t="n"/>
    </row>
    <row r="829">
      <c r="A829" s="10">
        <f>IF($E829="","",INDEX('Input Transaksi'!$A:$A,$E829))</f>
        <v/>
      </c>
      <c r="B829" s="5">
        <f>IF($E829="","",INDEX('Input Transaksi'!$D:$D,$E829))</f>
        <v/>
      </c>
      <c r="C829">
        <f>IF($E829="","",INDEX('Input Transaksi'!$E:$E,$E829))</f>
        <v/>
      </c>
      <c r="D829" s="5">
        <f>IF($E829="","",INDEX('Input Transaksi'!$F:$F,$E829))</f>
        <v/>
      </c>
      <c r="E829">
        <f>IFERROR(AGGREGATE(15,6,ROW('Input Transaksi'!$B$5:$B$5000)/('Input Transaksi'!$B$5:$B$5000="CL SESETAN"),ROWS($E$5:E829)),"")</f>
        <v/>
      </c>
      <c r="F829" s="5" t="n"/>
    </row>
    <row r="830">
      <c r="A830" s="10">
        <f>IF($E830="","",INDEX('Input Transaksi'!$A:$A,$E830))</f>
        <v/>
      </c>
      <c r="B830" s="5">
        <f>IF($E830="","",INDEX('Input Transaksi'!$D:$D,$E830))</f>
        <v/>
      </c>
      <c r="C830">
        <f>IF($E830="","",INDEX('Input Transaksi'!$E:$E,$E830))</f>
        <v/>
      </c>
      <c r="D830" s="5">
        <f>IF($E830="","",INDEX('Input Transaksi'!$F:$F,$E830))</f>
        <v/>
      </c>
      <c r="E830">
        <f>IFERROR(AGGREGATE(15,6,ROW('Input Transaksi'!$B$5:$B$5000)/('Input Transaksi'!$B$5:$B$5000="CL SESETAN"),ROWS($E$5:E830)),"")</f>
        <v/>
      </c>
      <c r="F830" s="5" t="n"/>
    </row>
    <row r="831">
      <c r="A831" s="10">
        <f>IF($E831="","",INDEX('Input Transaksi'!$A:$A,$E831))</f>
        <v/>
      </c>
      <c r="B831" s="5">
        <f>IF($E831="","",INDEX('Input Transaksi'!$D:$D,$E831))</f>
        <v/>
      </c>
      <c r="C831">
        <f>IF($E831="","",INDEX('Input Transaksi'!$E:$E,$E831))</f>
        <v/>
      </c>
      <c r="D831" s="5">
        <f>IF($E831="","",INDEX('Input Transaksi'!$F:$F,$E831))</f>
        <v/>
      </c>
      <c r="E831">
        <f>IFERROR(AGGREGATE(15,6,ROW('Input Transaksi'!$B$5:$B$5000)/('Input Transaksi'!$B$5:$B$5000="CL SESETAN"),ROWS($E$5:E831)),"")</f>
        <v/>
      </c>
      <c r="F831" s="5" t="n"/>
    </row>
    <row r="832">
      <c r="A832" s="10">
        <f>IF($E832="","",INDEX('Input Transaksi'!$A:$A,$E832))</f>
        <v/>
      </c>
      <c r="B832" s="5">
        <f>IF($E832="","",INDEX('Input Transaksi'!$D:$D,$E832))</f>
        <v/>
      </c>
      <c r="C832">
        <f>IF($E832="","",INDEX('Input Transaksi'!$E:$E,$E832))</f>
        <v/>
      </c>
      <c r="D832" s="5">
        <f>IF($E832="","",INDEX('Input Transaksi'!$F:$F,$E832))</f>
        <v/>
      </c>
      <c r="E832">
        <f>IFERROR(AGGREGATE(15,6,ROW('Input Transaksi'!$B$5:$B$5000)/('Input Transaksi'!$B$5:$B$5000="CL SESETAN"),ROWS($E$5:E832)),"")</f>
        <v/>
      </c>
      <c r="F832" s="5" t="n"/>
    </row>
    <row r="833">
      <c r="A833" s="10">
        <f>IF($E833="","",INDEX('Input Transaksi'!$A:$A,$E833))</f>
        <v/>
      </c>
      <c r="B833" s="5">
        <f>IF($E833="","",INDEX('Input Transaksi'!$D:$D,$E833))</f>
        <v/>
      </c>
      <c r="C833">
        <f>IF($E833="","",INDEX('Input Transaksi'!$E:$E,$E833))</f>
        <v/>
      </c>
      <c r="D833" s="5">
        <f>IF($E833="","",INDEX('Input Transaksi'!$F:$F,$E833))</f>
        <v/>
      </c>
      <c r="E833">
        <f>IFERROR(AGGREGATE(15,6,ROW('Input Transaksi'!$B$5:$B$5000)/('Input Transaksi'!$B$5:$B$5000="CL SESETAN"),ROWS($E$5:E833)),"")</f>
        <v/>
      </c>
      <c r="F833" s="5" t="n"/>
    </row>
    <row r="834">
      <c r="A834" s="10">
        <f>IF($E834="","",INDEX('Input Transaksi'!$A:$A,$E834))</f>
        <v/>
      </c>
      <c r="B834" s="5">
        <f>IF($E834="","",INDEX('Input Transaksi'!$D:$D,$E834))</f>
        <v/>
      </c>
      <c r="C834">
        <f>IF($E834="","",INDEX('Input Transaksi'!$E:$E,$E834))</f>
        <v/>
      </c>
      <c r="D834" s="5">
        <f>IF($E834="","",INDEX('Input Transaksi'!$F:$F,$E834))</f>
        <v/>
      </c>
      <c r="E834">
        <f>IFERROR(AGGREGATE(15,6,ROW('Input Transaksi'!$B$5:$B$5000)/('Input Transaksi'!$B$5:$B$5000="CL SESETAN"),ROWS($E$5:E834)),"")</f>
        <v/>
      </c>
      <c r="F834" s="5" t="n"/>
    </row>
    <row r="835">
      <c r="A835" s="10">
        <f>IF($E835="","",INDEX('Input Transaksi'!$A:$A,$E835))</f>
        <v/>
      </c>
      <c r="B835" s="5">
        <f>IF($E835="","",INDEX('Input Transaksi'!$D:$D,$E835))</f>
        <v/>
      </c>
      <c r="C835">
        <f>IF($E835="","",INDEX('Input Transaksi'!$E:$E,$E835))</f>
        <v/>
      </c>
      <c r="D835" s="5">
        <f>IF($E835="","",INDEX('Input Transaksi'!$F:$F,$E835))</f>
        <v/>
      </c>
      <c r="E835">
        <f>IFERROR(AGGREGATE(15,6,ROW('Input Transaksi'!$B$5:$B$5000)/('Input Transaksi'!$B$5:$B$5000="CL SESETAN"),ROWS($E$5:E835)),"")</f>
        <v/>
      </c>
      <c r="F835" s="5" t="n"/>
    </row>
    <row r="836">
      <c r="A836" s="10">
        <f>IF($E836="","",INDEX('Input Transaksi'!$A:$A,$E836))</f>
        <v/>
      </c>
      <c r="B836" s="5">
        <f>IF($E836="","",INDEX('Input Transaksi'!$D:$D,$E836))</f>
        <v/>
      </c>
      <c r="C836">
        <f>IF($E836="","",INDEX('Input Transaksi'!$E:$E,$E836))</f>
        <v/>
      </c>
      <c r="D836" s="5">
        <f>IF($E836="","",INDEX('Input Transaksi'!$F:$F,$E836))</f>
        <v/>
      </c>
      <c r="E836">
        <f>IFERROR(AGGREGATE(15,6,ROW('Input Transaksi'!$B$5:$B$5000)/('Input Transaksi'!$B$5:$B$5000="CL SESETAN"),ROWS($E$5:E836)),"")</f>
        <v/>
      </c>
      <c r="F836" s="5" t="n"/>
    </row>
    <row r="837">
      <c r="A837" s="10">
        <f>IF($E837="","",INDEX('Input Transaksi'!$A:$A,$E837))</f>
        <v/>
      </c>
      <c r="B837" s="5">
        <f>IF($E837="","",INDEX('Input Transaksi'!$D:$D,$E837))</f>
        <v/>
      </c>
      <c r="C837">
        <f>IF($E837="","",INDEX('Input Transaksi'!$E:$E,$E837))</f>
        <v/>
      </c>
      <c r="D837" s="5">
        <f>IF($E837="","",INDEX('Input Transaksi'!$F:$F,$E837))</f>
        <v/>
      </c>
      <c r="E837">
        <f>IFERROR(AGGREGATE(15,6,ROW('Input Transaksi'!$B$5:$B$5000)/('Input Transaksi'!$B$5:$B$5000="CL SESETAN"),ROWS($E$5:E837)),"")</f>
        <v/>
      </c>
      <c r="F837" s="5" t="n"/>
    </row>
    <row r="838">
      <c r="A838" s="10">
        <f>IF($E838="","",INDEX('Input Transaksi'!$A:$A,$E838))</f>
        <v/>
      </c>
      <c r="B838" s="5">
        <f>IF($E838="","",INDEX('Input Transaksi'!$D:$D,$E838))</f>
        <v/>
      </c>
      <c r="C838">
        <f>IF($E838="","",INDEX('Input Transaksi'!$E:$E,$E838))</f>
        <v/>
      </c>
      <c r="D838" s="5">
        <f>IF($E838="","",INDEX('Input Transaksi'!$F:$F,$E838))</f>
        <v/>
      </c>
      <c r="E838">
        <f>IFERROR(AGGREGATE(15,6,ROW('Input Transaksi'!$B$5:$B$5000)/('Input Transaksi'!$B$5:$B$5000="CL SESETAN"),ROWS($E$5:E838)),"")</f>
        <v/>
      </c>
      <c r="F838" s="5" t="n"/>
    </row>
    <row r="839">
      <c r="A839" s="10">
        <f>IF($E839="","",INDEX('Input Transaksi'!$A:$A,$E839))</f>
        <v/>
      </c>
      <c r="B839" s="5">
        <f>IF($E839="","",INDEX('Input Transaksi'!$D:$D,$E839))</f>
        <v/>
      </c>
      <c r="C839">
        <f>IF($E839="","",INDEX('Input Transaksi'!$E:$E,$E839))</f>
        <v/>
      </c>
      <c r="D839" s="5">
        <f>IF($E839="","",INDEX('Input Transaksi'!$F:$F,$E839))</f>
        <v/>
      </c>
      <c r="E839">
        <f>IFERROR(AGGREGATE(15,6,ROW('Input Transaksi'!$B$5:$B$5000)/('Input Transaksi'!$B$5:$B$5000="CL SESETAN"),ROWS($E$5:E839)),"")</f>
        <v/>
      </c>
      <c r="F839" s="5" t="n"/>
    </row>
    <row r="840">
      <c r="A840" s="10">
        <f>IF($E840="","",INDEX('Input Transaksi'!$A:$A,$E840))</f>
        <v/>
      </c>
      <c r="B840" s="5">
        <f>IF($E840="","",INDEX('Input Transaksi'!$D:$D,$E840))</f>
        <v/>
      </c>
      <c r="C840">
        <f>IF($E840="","",INDEX('Input Transaksi'!$E:$E,$E840))</f>
        <v/>
      </c>
      <c r="D840" s="5">
        <f>IF($E840="","",INDEX('Input Transaksi'!$F:$F,$E840))</f>
        <v/>
      </c>
      <c r="E840">
        <f>IFERROR(AGGREGATE(15,6,ROW('Input Transaksi'!$B$5:$B$5000)/('Input Transaksi'!$B$5:$B$5000="CL SESETAN"),ROWS($E$5:E840)),"")</f>
        <v/>
      </c>
      <c r="F840" s="5" t="n"/>
    </row>
    <row r="841">
      <c r="A841" s="10">
        <f>IF($E841="","",INDEX('Input Transaksi'!$A:$A,$E841))</f>
        <v/>
      </c>
      <c r="B841" s="5">
        <f>IF($E841="","",INDEX('Input Transaksi'!$D:$D,$E841))</f>
        <v/>
      </c>
      <c r="C841">
        <f>IF($E841="","",INDEX('Input Transaksi'!$E:$E,$E841))</f>
        <v/>
      </c>
      <c r="D841" s="5">
        <f>IF($E841="","",INDEX('Input Transaksi'!$F:$F,$E841))</f>
        <v/>
      </c>
      <c r="E841">
        <f>IFERROR(AGGREGATE(15,6,ROW('Input Transaksi'!$B$5:$B$5000)/('Input Transaksi'!$B$5:$B$5000="CL SESETAN"),ROWS($E$5:E841)),"")</f>
        <v/>
      </c>
      <c r="F841" s="5" t="n"/>
    </row>
    <row r="842">
      <c r="A842" s="10">
        <f>IF($E842="","",INDEX('Input Transaksi'!$A:$A,$E842))</f>
        <v/>
      </c>
      <c r="B842" s="5">
        <f>IF($E842="","",INDEX('Input Transaksi'!$D:$D,$E842))</f>
        <v/>
      </c>
      <c r="C842">
        <f>IF($E842="","",INDEX('Input Transaksi'!$E:$E,$E842))</f>
        <v/>
      </c>
      <c r="D842" s="5">
        <f>IF($E842="","",INDEX('Input Transaksi'!$F:$F,$E842))</f>
        <v/>
      </c>
      <c r="E842">
        <f>IFERROR(AGGREGATE(15,6,ROW('Input Transaksi'!$B$5:$B$5000)/('Input Transaksi'!$B$5:$B$5000="CL SESETAN"),ROWS($E$5:E842)),"")</f>
        <v/>
      </c>
      <c r="F842" s="5" t="n"/>
    </row>
    <row r="843">
      <c r="A843" s="10">
        <f>IF($E843="","",INDEX('Input Transaksi'!$A:$A,$E843))</f>
        <v/>
      </c>
      <c r="B843" s="5">
        <f>IF($E843="","",INDEX('Input Transaksi'!$D:$D,$E843))</f>
        <v/>
      </c>
      <c r="C843">
        <f>IF($E843="","",INDEX('Input Transaksi'!$E:$E,$E843))</f>
        <v/>
      </c>
      <c r="D843" s="5">
        <f>IF($E843="","",INDEX('Input Transaksi'!$F:$F,$E843))</f>
        <v/>
      </c>
      <c r="E843">
        <f>IFERROR(AGGREGATE(15,6,ROW('Input Transaksi'!$B$5:$B$5000)/('Input Transaksi'!$B$5:$B$5000="CL SESETAN"),ROWS($E$5:E843)),"")</f>
        <v/>
      </c>
      <c r="F843" s="5" t="n"/>
    </row>
    <row r="844">
      <c r="A844" s="10">
        <f>IF($E844="","",INDEX('Input Transaksi'!$A:$A,$E844))</f>
        <v/>
      </c>
      <c r="B844" s="5">
        <f>IF($E844="","",INDEX('Input Transaksi'!$D:$D,$E844))</f>
        <v/>
      </c>
      <c r="C844">
        <f>IF($E844="","",INDEX('Input Transaksi'!$E:$E,$E844))</f>
        <v/>
      </c>
      <c r="D844" s="5">
        <f>IF($E844="","",INDEX('Input Transaksi'!$F:$F,$E844))</f>
        <v/>
      </c>
      <c r="E844">
        <f>IFERROR(AGGREGATE(15,6,ROW('Input Transaksi'!$B$5:$B$5000)/('Input Transaksi'!$B$5:$B$5000="CL SESETAN"),ROWS($E$5:E844)),"")</f>
        <v/>
      </c>
      <c r="F844" s="5" t="n"/>
    </row>
    <row r="845">
      <c r="A845" s="10">
        <f>IF($E845="","",INDEX('Input Transaksi'!$A:$A,$E845))</f>
        <v/>
      </c>
      <c r="B845" s="5">
        <f>IF($E845="","",INDEX('Input Transaksi'!$D:$D,$E845))</f>
        <v/>
      </c>
      <c r="C845">
        <f>IF($E845="","",INDEX('Input Transaksi'!$E:$E,$E845))</f>
        <v/>
      </c>
      <c r="D845" s="5">
        <f>IF($E845="","",INDEX('Input Transaksi'!$F:$F,$E845))</f>
        <v/>
      </c>
      <c r="E845">
        <f>IFERROR(AGGREGATE(15,6,ROW('Input Transaksi'!$B$5:$B$5000)/('Input Transaksi'!$B$5:$B$5000="CL SESETAN"),ROWS($E$5:E845)),"")</f>
        <v/>
      </c>
      <c r="F845" s="5" t="n"/>
    </row>
    <row r="846">
      <c r="A846" s="10">
        <f>IF($E846="","",INDEX('Input Transaksi'!$A:$A,$E846))</f>
        <v/>
      </c>
      <c r="B846" s="5">
        <f>IF($E846="","",INDEX('Input Transaksi'!$D:$D,$E846))</f>
        <v/>
      </c>
      <c r="C846">
        <f>IF($E846="","",INDEX('Input Transaksi'!$E:$E,$E846))</f>
        <v/>
      </c>
      <c r="D846" s="5">
        <f>IF($E846="","",INDEX('Input Transaksi'!$F:$F,$E846))</f>
        <v/>
      </c>
      <c r="E846">
        <f>IFERROR(AGGREGATE(15,6,ROW('Input Transaksi'!$B$5:$B$5000)/('Input Transaksi'!$B$5:$B$5000="CL SESETAN"),ROWS($E$5:E846)),"")</f>
        <v/>
      </c>
      <c r="F846" s="5" t="n"/>
    </row>
    <row r="847">
      <c r="A847" s="10">
        <f>IF($E847="","",INDEX('Input Transaksi'!$A:$A,$E847))</f>
        <v/>
      </c>
      <c r="B847" s="5">
        <f>IF($E847="","",INDEX('Input Transaksi'!$D:$D,$E847))</f>
        <v/>
      </c>
      <c r="C847">
        <f>IF($E847="","",INDEX('Input Transaksi'!$E:$E,$E847))</f>
        <v/>
      </c>
      <c r="D847" s="5">
        <f>IF($E847="","",INDEX('Input Transaksi'!$F:$F,$E847))</f>
        <v/>
      </c>
      <c r="E847">
        <f>IFERROR(AGGREGATE(15,6,ROW('Input Transaksi'!$B$5:$B$5000)/('Input Transaksi'!$B$5:$B$5000="CL SESETAN"),ROWS($E$5:E847)),"")</f>
        <v/>
      </c>
      <c r="F847" s="5" t="n"/>
    </row>
    <row r="848">
      <c r="A848" s="10">
        <f>IF($E848="","",INDEX('Input Transaksi'!$A:$A,$E848))</f>
        <v/>
      </c>
      <c r="B848" s="5">
        <f>IF($E848="","",INDEX('Input Transaksi'!$D:$D,$E848))</f>
        <v/>
      </c>
      <c r="C848">
        <f>IF($E848="","",INDEX('Input Transaksi'!$E:$E,$E848))</f>
        <v/>
      </c>
      <c r="D848" s="5">
        <f>IF($E848="","",INDEX('Input Transaksi'!$F:$F,$E848))</f>
        <v/>
      </c>
      <c r="E848">
        <f>IFERROR(AGGREGATE(15,6,ROW('Input Transaksi'!$B$5:$B$5000)/('Input Transaksi'!$B$5:$B$5000="CL SESETAN"),ROWS($E$5:E848)),"")</f>
        <v/>
      </c>
      <c r="F848" s="5" t="n"/>
    </row>
    <row r="849">
      <c r="A849" s="10">
        <f>IF($E849="","",INDEX('Input Transaksi'!$A:$A,$E849))</f>
        <v/>
      </c>
      <c r="B849" s="5">
        <f>IF($E849="","",INDEX('Input Transaksi'!$D:$D,$E849))</f>
        <v/>
      </c>
      <c r="C849">
        <f>IF($E849="","",INDEX('Input Transaksi'!$E:$E,$E849))</f>
        <v/>
      </c>
      <c r="D849" s="5">
        <f>IF($E849="","",INDEX('Input Transaksi'!$F:$F,$E849))</f>
        <v/>
      </c>
      <c r="E849">
        <f>IFERROR(AGGREGATE(15,6,ROW('Input Transaksi'!$B$5:$B$5000)/('Input Transaksi'!$B$5:$B$5000="CL SESETAN"),ROWS($E$5:E849)),"")</f>
        <v/>
      </c>
      <c r="F849" s="5" t="n"/>
    </row>
    <row r="850">
      <c r="A850" s="10">
        <f>IF($E850="","",INDEX('Input Transaksi'!$A:$A,$E850))</f>
        <v/>
      </c>
      <c r="B850" s="5">
        <f>IF($E850="","",INDEX('Input Transaksi'!$D:$D,$E850))</f>
        <v/>
      </c>
      <c r="C850">
        <f>IF($E850="","",INDEX('Input Transaksi'!$E:$E,$E850))</f>
        <v/>
      </c>
      <c r="D850" s="5">
        <f>IF($E850="","",INDEX('Input Transaksi'!$F:$F,$E850))</f>
        <v/>
      </c>
      <c r="E850">
        <f>IFERROR(AGGREGATE(15,6,ROW('Input Transaksi'!$B$5:$B$5000)/('Input Transaksi'!$B$5:$B$5000="CL SESETAN"),ROWS($E$5:E850)),"")</f>
        <v/>
      </c>
      <c r="F850" s="5" t="n"/>
    </row>
    <row r="851">
      <c r="A851" s="10">
        <f>IF($E851="","",INDEX('Input Transaksi'!$A:$A,$E851))</f>
        <v/>
      </c>
      <c r="B851" s="5">
        <f>IF($E851="","",INDEX('Input Transaksi'!$D:$D,$E851))</f>
        <v/>
      </c>
      <c r="C851">
        <f>IF($E851="","",INDEX('Input Transaksi'!$E:$E,$E851))</f>
        <v/>
      </c>
      <c r="D851" s="5">
        <f>IF($E851="","",INDEX('Input Transaksi'!$F:$F,$E851))</f>
        <v/>
      </c>
      <c r="E851">
        <f>IFERROR(AGGREGATE(15,6,ROW('Input Transaksi'!$B$5:$B$5000)/('Input Transaksi'!$B$5:$B$5000="CL SESETAN"),ROWS($E$5:E851)),"")</f>
        <v/>
      </c>
      <c r="F851" s="5" t="n"/>
    </row>
    <row r="852">
      <c r="A852" s="10">
        <f>IF($E852="","",INDEX('Input Transaksi'!$A:$A,$E852))</f>
        <v/>
      </c>
      <c r="B852" s="5">
        <f>IF($E852="","",INDEX('Input Transaksi'!$D:$D,$E852))</f>
        <v/>
      </c>
      <c r="C852">
        <f>IF($E852="","",INDEX('Input Transaksi'!$E:$E,$E852))</f>
        <v/>
      </c>
      <c r="D852" s="5">
        <f>IF($E852="","",INDEX('Input Transaksi'!$F:$F,$E852))</f>
        <v/>
      </c>
      <c r="E852">
        <f>IFERROR(AGGREGATE(15,6,ROW('Input Transaksi'!$B$5:$B$5000)/('Input Transaksi'!$B$5:$B$5000="CL SESETAN"),ROWS($E$5:E852)),"")</f>
        <v/>
      </c>
      <c r="F852" s="5" t="n"/>
    </row>
    <row r="853">
      <c r="A853" s="10">
        <f>IF($E853="","",INDEX('Input Transaksi'!$A:$A,$E853))</f>
        <v/>
      </c>
      <c r="B853" s="5">
        <f>IF($E853="","",INDEX('Input Transaksi'!$D:$D,$E853))</f>
        <v/>
      </c>
      <c r="C853">
        <f>IF($E853="","",INDEX('Input Transaksi'!$E:$E,$E853))</f>
        <v/>
      </c>
      <c r="D853" s="5">
        <f>IF($E853="","",INDEX('Input Transaksi'!$F:$F,$E853))</f>
        <v/>
      </c>
      <c r="E853">
        <f>IFERROR(AGGREGATE(15,6,ROW('Input Transaksi'!$B$5:$B$5000)/('Input Transaksi'!$B$5:$B$5000="CL SESETAN"),ROWS($E$5:E853)),"")</f>
        <v/>
      </c>
      <c r="F853" s="5" t="n"/>
    </row>
    <row r="854">
      <c r="A854" s="10">
        <f>IF($E854="","",INDEX('Input Transaksi'!$A:$A,$E854))</f>
        <v/>
      </c>
      <c r="B854" s="5">
        <f>IF($E854="","",INDEX('Input Transaksi'!$D:$D,$E854))</f>
        <v/>
      </c>
      <c r="C854">
        <f>IF($E854="","",INDEX('Input Transaksi'!$E:$E,$E854))</f>
        <v/>
      </c>
      <c r="D854" s="5">
        <f>IF($E854="","",INDEX('Input Transaksi'!$F:$F,$E854))</f>
        <v/>
      </c>
      <c r="E854">
        <f>IFERROR(AGGREGATE(15,6,ROW('Input Transaksi'!$B$5:$B$5000)/('Input Transaksi'!$B$5:$B$5000="CL SESETAN"),ROWS($E$5:E854)),"")</f>
        <v/>
      </c>
      <c r="F854" s="5" t="n"/>
    </row>
    <row r="855">
      <c r="A855" s="10">
        <f>IF($E855="","",INDEX('Input Transaksi'!$A:$A,$E855))</f>
        <v/>
      </c>
      <c r="B855" s="5">
        <f>IF($E855="","",INDEX('Input Transaksi'!$D:$D,$E855))</f>
        <v/>
      </c>
      <c r="C855">
        <f>IF($E855="","",INDEX('Input Transaksi'!$E:$E,$E855))</f>
        <v/>
      </c>
      <c r="D855" s="5">
        <f>IF($E855="","",INDEX('Input Transaksi'!$F:$F,$E855))</f>
        <v/>
      </c>
      <c r="E855">
        <f>IFERROR(AGGREGATE(15,6,ROW('Input Transaksi'!$B$5:$B$5000)/('Input Transaksi'!$B$5:$B$5000="CL SESETAN"),ROWS($E$5:E855)),"")</f>
        <v/>
      </c>
      <c r="F855" s="5" t="n"/>
    </row>
    <row r="856">
      <c r="A856" s="10">
        <f>IF($E856="","",INDEX('Input Transaksi'!$A:$A,$E856))</f>
        <v/>
      </c>
      <c r="B856" s="5">
        <f>IF($E856="","",INDEX('Input Transaksi'!$D:$D,$E856))</f>
        <v/>
      </c>
      <c r="C856">
        <f>IF($E856="","",INDEX('Input Transaksi'!$E:$E,$E856))</f>
        <v/>
      </c>
      <c r="D856" s="5">
        <f>IF($E856="","",INDEX('Input Transaksi'!$F:$F,$E856))</f>
        <v/>
      </c>
      <c r="E856">
        <f>IFERROR(AGGREGATE(15,6,ROW('Input Transaksi'!$B$5:$B$5000)/('Input Transaksi'!$B$5:$B$5000="CL SESETAN"),ROWS($E$5:E856)),"")</f>
        <v/>
      </c>
      <c r="F856" s="5" t="n"/>
    </row>
    <row r="857">
      <c r="A857" s="10">
        <f>IF($E857="","",INDEX('Input Transaksi'!$A:$A,$E857))</f>
        <v/>
      </c>
      <c r="B857" s="5">
        <f>IF($E857="","",INDEX('Input Transaksi'!$D:$D,$E857))</f>
        <v/>
      </c>
      <c r="C857">
        <f>IF($E857="","",INDEX('Input Transaksi'!$E:$E,$E857))</f>
        <v/>
      </c>
      <c r="D857" s="5">
        <f>IF($E857="","",INDEX('Input Transaksi'!$F:$F,$E857))</f>
        <v/>
      </c>
      <c r="E857">
        <f>IFERROR(AGGREGATE(15,6,ROW('Input Transaksi'!$B$5:$B$5000)/('Input Transaksi'!$B$5:$B$5000="CL SESETAN"),ROWS($E$5:E857)),"")</f>
        <v/>
      </c>
      <c r="F857" s="5" t="n"/>
    </row>
    <row r="858">
      <c r="A858" s="10">
        <f>IF($E858="","",INDEX('Input Transaksi'!$A:$A,$E858))</f>
        <v/>
      </c>
      <c r="B858" s="5">
        <f>IF($E858="","",INDEX('Input Transaksi'!$D:$D,$E858))</f>
        <v/>
      </c>
      <c r="C858">
        <f>IF($E858="","",INDEX('Input Transaksi'!$E:$E,$E858))</f>
        <v/>
      </c>
      <c r="D858" s="5">
        <f>IF($E858="","",INDEX('Input Transaksi'!$F:$F,$E858))</f>
        <v/>
      </c>
      <c r="E858">
        <f>IFERROR(AGGREGATE(15,6,ROW('Input Transaksi'!$B$5:$B$5000)/('Input Transaksi'!$B$5:$B$5000="CL SESETAN"),ROWS($E$5:E858)),"")</f>
        <v/>
      </c>
      <c r="F858" s="5" t="n"/>
    </row>
    <row r="859">
      <c r="A859" s="10">
        <f>IF($E859="","",INDEX('Input Transaksi'!$A:$A,$E859))</f>
        <v/>
      </c>
      <c r="B859" s="5">
        <f>IF($E859="","",INDEX('Input Transaksi'!$D:$D,$E859))</f>
        <v/>
      </c>
      <c r="C859">
        <f>IF($E859="","",INDEX('Input Transaksi'!$E:$E,$E859))</f>
        <v/>
      </c>
      <c r="D859" s="5">
        <f>IF($E859="","",INDEX('Input Transaksi'!$F:$F,$E859))</f>
        <v/>
      </c>
      <c r="E859">
        <f>IFERROR(AGGREGATE(15,6,ROW('Input Transaksi'!$B$5:$B$5000)/('Input Transaksi'!$B$5:$B$5000="CL SESETAN"),ROWS($E$5:E859)),"")</f>
        <v/>
      </c>
      <c r="F859" s="5" t="n"/>
    </row>
    <row r="860">
      <c r="A860" s="10">
        <f>IF($E860="","",INDEX('Input Transaksi'!$A:$A,$E860))</f>
        <v/>
      </c>
      <c r="B860" s="5">
        <f>IF($E860="","",INDEX('Input Transaksi'!$D:$D,$E860))</f>
        <v/>
      </c>
      <c r="C860">
        <f>IF($E860="","",INDEX('Input Transaksi'!$E:$E,$E860))</f>
        <v/>
      </c>
      <c r="D860" s="5">
        <f>IF($E860="","",INDEX('Input Transaksi'!$F:$F,$E860))</f>
        <v/>
      </c>
      <c r="E860">
        <f>IFERROR(AGGREGATE(15,6,ROW('Input Transaksi'!$B$5:$B$5000)/('Input Transaksi'!$B$5:$B$5000="CL SESETAN"),ROWS($E$5:E860)),"")</f>
        <v/>
      </c>
      <c r="F860" s="5" t="n"/>
    </row>
    <row r="861">
      <c r="A861" s="10">
        <f>IF($E861="","",INDEX('Input Transaksi'!$A:$A,$E861))</f>
        <v/>
      </c>
      <c r="B861" s="5">
        <f>IF($E861="","",INDEX('Input Transaksi'!$D:$D,$E861))</f>
        <v/>
      </c>
      <c r="C861">
        <f>IF($E861="","",INDEX('Input Transaksi'!$E:$E,$E861))</f>
        <v/>
      </c>
      <c r="D861" s="5">
        <f>IF($E861="","",INDEX('Input Transaksi'!$F:$F,$E861))</f>
        <v/>
      </c>
      <c r="E861">
        <f>IFERROR(AGGREGATE(15,6,ROW('Input Transaksi'!$B$5:$B$5000)/('Input Transaksi'!$B$5:$B$5000="CL SESETAN"),ROWS($E$5:E861)),"")</f>
        <v/>
      </c>
      <c r="F861" s="5" t="n"/>
    </row>
    <row r="862">
      <c r="A862" s="10">
        <f>IF($E862="","",INDEX('Input Transaksi'!$A:$A,$E862))</f>
        <v/>
      </c>
      <c r="B862" s="5">
        <f>IF($E862="","",INDEX('Input Transaksi'!$D:$D,$E862))</f>
        <v/>
      </c>
      <c r="C862">
        <f>IF($E862="","",INDEX('Input Transaksi'!$E:$E,$E862))</f>
        <v/>
      </c>
      <c r="D862" s="5">
        <f>IF($E862="","",INDEX('Input Transaksi'!$F:$F,$E862))</f>
        <v/>
      </c>
      <c r="E862">
        <f>IFERROR(AGGREGATE(15,6,ROW('Input Transaksi'!$B$5:$B$5000)/('Input Transaksi'!$B$5:$B$5000="CL SESETAN"),ROWS($E$5:E862)),"")</f>
        <v/>
      </c>
      <c r="F862" s="5" t="n"/>
    </row>
    <row r="863">
      <c r="A863" s="10">
        <f>IF($E863="","",INDEX('Input Transaksi'!$A:$A,$E863))</f>
        <v/>
      </c>
      <c r="B863" s="5">
        <f>IF($E863="","",INDEX('Input Transaksi'!$D:$D,$E863))</f>
        <v/>
      </c>
      <c r="C863">
        <f>IF($E863="","",INDEX('Input Transaksi'!$E:$E,$E863))</f>
        <v/>
      </c>
      <c r="D863" s="5">
        <f>IF($E863="","",INDEX('Input Transaksi'!$F:$F,$E863))</f>
        <v/>
      </c>
      <c r="E863">
        <f>IFERROR(AGGREGATE(15,6,ROW('Input Transaksi'!$B$5:$B$5000)/('Input Transaksi'!$B$5:$B$5000="CL SESETAN"),ROWS($E$5:E863)),"")</f>
        <v/>
      </c>
      <c r="F863" s="5" t="n"/>
    </row>
    <row r="864">
      <c r="A864" s="10">
        <f>IF($E864="","",INDEX('Input Transaksi'!$A:$A,$E864))</f>
        <v/>
      </c>
      <c r="B864" s="5">
        <f>IF($E864="","",INDEX('Input Transaksi'!$D:$D,$E864))</f>
        <v/>
      </c>
      <c r="C864">
        <f>IF($E864="","",INDEX('Input Transaksi'!$E:$E,$E864))</f>
        <v/>
      </c>
      <c r="D864" s="5">
        <f>IF($E864="","",INDEX('Input Transaksi'!$F:$F,$E864))</f>
        <v/>
      </c>
      <c r="E864">
        <f>IFERROR(AGGREGATE(15,6,ROW('Input Transaksi'!$B$5:$B$5000)/('Input Transaksi'!$B$5:$B$5000="CL SESETAN"),ROWS($E$5:E864)),"")</f>
        <v/>
      </c>
      <c r="F864" s="5" t="n"/>
    </row>
    <row r="865">
      <c r="A865" s="10">
        <f>IF($E865="","",INDEX('Input Transaksi'!$A:$A,$E865))</f>
        <v/>
      </c>
      <c r="B865" s="5">
        <f>IF($E865="","",INDEX('Input Transaksi'!$D:$D,$E865))</f>
        <v/>
      </c>
      <c r="C865">
        <f>IF($E865="","",INDEX('Input Transaksi'!$E:$E,$E865))</f>
        <v/>
      </c>
      <c r="D865" s="5">
        <f>IF($E865="","",INDEX('Input Transaksi'!$F:$F,$E865))</f>
        <v/>
      </c>
      <c r="E865">
        <f>IFERROR(AGGREGATE(15,6,ROW('Input Transaksi'!$B$5:$B$5000)/('Input Transaksi'!$B$5:$B$5000="CL SESETAN"),ROWS($E$5:E865)),"")</f>
        <v/>
      </c>
      <c r="F865" s="5" t="n"/>
    </row>
    <row r="866">
      <c r="A866" s="10">
        <f>IF($E866="","",INDEX('Input Transaksi'!$A:$A,$E866))</f>
        <v/>
      </c>
      <c r="B866" s="5">
        <f>IF($E866="","",INDEX('Input Transaksi'!$D:$D,$E866))</f>
        <v/>
      </c>
      <c r="C866">
        <f>IF($E866="","",INDEX('Input Transaksi'!$E:$E,$E866))</f>
        <v/>
      </c>
      <c r="D866" s="5">
        <f>IF($E866="","",INDEX('Input Transaksi'!$F:$F,$E866))</f>
        <v/>
      </c>
      <c r="E866">
        <f>IFERROR(AGGREGATE(15,6,ROW('Input Transaksi'!$B$5:$B$5000)/('Input Transaksi'!$B$5:$B$5000="CL SESETAN"),ROWS($E$5:E866)),"")</f>
        <v/>
      </c>
      <c r="F866" s="5" t="n"/>
    </row>
    <row r="867">
      <c r="A867" s="10">
        <f>IF($E867="","",INDEX('Input Transaksi'!$A:$A,$E867))</f>
        <v/>
      </c>
      <c r="B867" s="5">
        <f>IF($E867="","",INDEX('Input Transaksi'!$D:$D,$E867))</f>
        <v/>
      </c>
      <c r="C867">
        <f>IF($E867="","",INDEX('Input Transaksi'!$E:$E,$E867))</f>
        <v/>
      </c>
      <c r="D867" s="5">
        <f>IF($E867="","",INDEX('Input Transaksi'!$F:$F,$E867))</f>
        <v/>
      </c>
      <c r="E867">
        <f>IFERROR(AGGREGATE(15,6,ROW('Input Transaksi'!$B$5:$B$5000)/('Input Transaksi'!$B$5:$B$5000="CL SESETAN"),ROWS($E$5:E867)),"")</f>
        <v/>
      </c>
      <c r="F867" s="5" t="n"/>
    </row>
    <row r="868">
      <c r="A868" s="10">
        <f>IF($E868="","",INDEX('Input Transaksi'!$A:$A,$E868))</f>
        <v/>
      </c>
      <c r="B868" s="5">
        <f>IF($E868="","",INDEX('Input Transaksi'!$D:$D,$E868))</f>
        <v/>
      </c>
      <c r="C868">
        <f>IF($E868="","",INDEX('Input Transaksi'!$E:$E,$E868))</f>
        <v/>
      </c>
      <c r="D868" s="5">
        <f>IF($E868="","",INDEX('Input Transaksi'!$F:$F,$E868))</f>
        <v/>
      </c>
      <c r="E868">
        <f>IFERROR(AGGREGATE(15,6,ROW('Input Transaksi'!$B$5:$B$5000)/('Input Transaksi'!$B$5:$B$5000="CL SESETAN"),ROWS($E$5:E868)),"")</f>
        <v/>
      </c>
      <c r="F868" s="5" t="n"/>
    </row>
    <row r="869">
      <c r="A869" s="10">
        <f>IF($E869="","",INDEX('Input Transaksi'!$A:$A,$E869))</f>
        <v/>
      </c>
      <c r="B869" s="5">
        <f>IF($E869="","",INDEX('Input Transaksi'!$D:$D,$E869))</f>
        <v/>
      </c>
      <c r="C869">
        <f>IF($E869="","",INDEX('Input Transaksi'!$E:$E,$E869))</f>
        <v/>
      </c>
      <c r="D869" s="5">
        <f>IF($E869="","",INDEX('Input Transaksi'!$F:$F,$E869))</f>
        <v/>
      </c>
      <c r="E869">
        <f>IFERROR(AGGREGATE(15,6,ROW('Input Transaksi'!$B$5:$B$5000)/('Input Transaksi'!$B$5:$B$5000="CL SESETAN"),ROWS($E$5:E869)),"")</f>
        <v/>
      </c>
      <c r="F869" s="5" t="n"/>
    </row>
    <row r="870">
      <c r="A870" s="10">
        <f>IF($E870="","",INDEX('Input Transaksi'!$A:$A,$E870))</f>
        <v/>
      </c>
      <c r="B870" s="5">
        <f>IF($E870="","",INDEX('Input Transaksi'!$D:$D,$E870))</f>
        <v/>
      </c>
      <c r="C870">
        <f>IF($E870="","",INDEX('Input Transaksi'!$E:$E,$E870))</f>
        <v/>
      </c>
      <c r="D870" s="5">
        <f>IF($E870="","",INDEX('Input Transaksi'!$F:$F,$E870))</f>
        <v/>
      </c>
      <c r="E870">
        <f>IFERROR(AGGREGATE(15,6,ROW('Input Transaksi'!$B$5:$B$5000)/('Input Transaksi'!$B$5:$B$5000="CL SESETAN"),ROWS($E$5:E870)),"")</f>
        <v/>
      </c>
      <c r="F870" s="5" t="n"/>
    </row>
    <row r="871">
      <c r="A871" s="10">
        <f>IF($E871="","",INDEX('Input Transaksi'!$A:$A,$E871))</f>
        <v/>
      </c>
      <c r="B871" s="5">
        <f>IF($E871="","",INDEX('Input Transaksi'!$D:$D,$E871))</f>
        <v/>
      </c>
      <c r="C871">
        <f>IF($E871="","",INDEX('Input Transaksi'!$E:$E,$E871))</f>
        <v/>
      </c>
      <c r="D871" s="5">
        <f>IF($E871="","",INDEX('Input Transaksi'!$F:$F,$E871))</f>
        <v/>
      </c>
      <c r="E871">
        <f>IFERROR(AGGREGATE(15,6,ROW('Input Transaksi'!$B$5:$B$5000)/('Input Transaksi'!$B$5:$B$5000="CL SESETAN"),ROWS($E$5:E871)),"")</f>
        <v/>
      </c>
      <c r="F871" s="5" t="n"/>
    </row>
    <row r="872">
      <c r="A872" s="10">
        <f>IF($E872="","",INDEX('Input Transaksi'!$A:$A,$E872))</f>
        <v/>
      </c>
      <c r="B872" s="5">
        <f>IF($E872="","",INDEX('Input Transaksi'!$D:$D,$E872))</f>
        <v/>
      </c>
      <c r="C872">
        <f>IF($E872="","",INDEX('Input Transaksi'!$E:$E,$E872))</f>
        <v/>
      </c>
      <c r="D872" s="5">
        <f>IF($E872="","",INDEX('Input Transaksi'!$F:$F,$E872))</f>
        <v/>
      </c>
      <c r="E872">
        <f>IFERROR(AGGREGATE(15,6,ROW('Input Transaksi'!$B$5:$B$5000)/('Input Transaksi'!$B$5:$B$5000="CL SESETAN"),ROWS($E$5:E872)),"")</f>
        <v/>
      </c>
      <c r="F872" s="5" t="n"/>
    </row>
    <row r="873">
      <c r="A873" s="10">
        <f>IF($E873="","",INDEX('Input Transaksi'!$A:$A,$E873))</f>
        <v/>
      </c>
      <c r="B873" s="5">
        <f>IF($E873="","",INDEX('Input Transaksi'!$D:$D,$E873))</f>
        <v/>
      </c>
      <c r="C873">
        <f>IF($E873="","",INDEX('Input Transaksi'!$E:$E,$E873))</f>
        <v/>
      </c>
      <c r="D873" s="5">
        <f>IF($E873="","",INDEX('Input Transaksi'!$F:$F,$E873))</f>
        <v/>
      </c>
      <c r="E873">
        <f>IFERROR(AGGREGATE(15,6,ROW('Input Transaksi'!$B$5:$B$5000)/('Input Transaksi'!$B$5:$B$5000="CL SESETAN"),ROWS($E$5:E873)),"")</f>
        <v/>
      </c>
      <c r="F873" s="5" t="n"/>
    </row>
    <row r="874">
      <c r="A874" s="10">
        <f>IF($E874="","",INDEX('Input Transaksi'!$A:$A,$E874))</f>
        <v/>
      </c>
      <c r="B874" s="5">
        <f>IF($E874="","",INDEX('Input Transaksi'!$D:$D,$E874))</f>
        <v/>
      </c>
      <c r="C874">
        <f>IF($E874="","",INDEX('Input Transaksi'!$E:$E,$E874))</f>
        <v/>
      </c>
      <c r="D874" s="5">
        <f>IF($E874="","",INDEX('Input Transaksi'!$F:$F,$E874))</f>
        <v/>
      </c>
      <c r="E874">
        <f>IFERROR(AGGREGATE(15,6,ROW('Input Transaksi'!$B$5:$B$5000)/('Input Transaksi'!$B$5:$B$5000="CL SESETAN"),ROWS($E$5:E874)),"")</f>
        <v/>
      </c>
      <c r="F874" s="5" t="n"/>
    </row>
    <row r="875">
      <c r="A875" s="10">
        <f>IF($E875="","",INDEX('Input Transaksi'!$A:$A,$E875))</f>
        <v/>
      </c>
      <c r="B875" s="5">
        <f>IF($E875="","",INDEX('Input Transaksi'!$D:$D,$E875))</f>
        <v/>
      </c>
      <c r="C875">
        <f>IF($E875="","",INDEX('Input Transaksi'!$E:$E,$E875))</f>
        <v/>
      </c>
      <c r="D875" s="5">
        <f>IF($E875="","",INDEX('Input Transaksi'!$F:$F,$E875))</f>
        <v/>
      </c>
      <c r="E875">
        <f>IFERROR(AGGREGATE(15,6,ROW('Input Transaksi'!$B$5:$B$5000)/('Input Transaksi'!$B$5:$B$5000="CL SESETAN"),ROWS($E$5:E875)),"")</f>
        <v/>
      </c>
      <c r="F875" s="5" t="n"/>
    </row>
    <row r="876">
      <c r="A876" s="10">
        <f>IF($E876="","",INDEX('Input Transaksi'!$A:$A,$E876))</f>
        <v/>
      </c>
      <c r="B876" s="5">
        <f>IF($E876="","",INDEX('Input Transaksi'!$D:$D,$E876))</f>
        <v/>
      </c>
      <c r="C876">
        <f>IF($E876="","",INDEX('Input Transaksi'!$E:$E,$E876))</f>
        <v/>
      </c>
      <c r="D876" s="5">
        <f>IF($E876="","",INDEX('Input Transaksi'!$F:$F,$E876))</f>
        <v/>
      </c>
      <c r="E876">
        <f>IFERROR(AGGREGATE(15,6,ROW('Input Transaksi'!$B$5:$B$5000)/('Input Transaksi'!$B$5:$B$5000="CL SESETAN"),ROWS($E$5:E876)),"")</f>
        <v/>
      </c>
      <c r="F876" s="5" t="n"/>
    </row>
    <row r="877">
      <c r="A877" s="10">
        <f>IF($E877="","",INDEX('Input Transaksi'!$A:$A,$E877))</f>
        <v/>
      </c>
      <c r="B877" s="5">
        <f>IF($E877="","",INDEX('Input Transaksi'!$D:$D,$E877))</f>
        <v/>
      </c>
      <c r="C877">
        <f>IF($E877="","",INDEX('Input Transaksi'!$E:$E,$E877))</f>
        <v/>
      </c>
      <c r="D877" s="5">
        <f>IF($E877="","",INDEX('Input Transaksi'!$F:$F,$E877))</f>
        <v/>
      </c>
      <c r="E877">
        <f>IFERROR(AGGREGATE(15,6,ROW('Input Transaksi'!$B$5:$B$5000)/('Input Transaksi'!$B$5:$B$5000="CL SESETAN"),ROWS($E$5:E877)),"")</f>
        <v/>
      </c>
      <c r="F877" s="5" t="n"/>
    </row>
    <row r="878">
      <c r="A878" s="10">
        <f>IF($E878="","",INDEX('Input Transaksi'!$A:$A,$E878))</f>
        <v/>
      </c>
      <c r="B878" s="5">
        <f>IF($E878="","",INDEX('Input Transaksi'!$D:$D,$E878))</f>
        <v/>
      </c>
      <c r="C878">
        <f>IF($E878="","",INDEX('Input Transaksi'!$E:$E,$E878))</f>
        <v/>
      </c>
      <c r="D878" s="5">
        <f>IF($E878="","",INDEX('Input Transaksi'!$F:$F,$E878))</f>
        <v/>
      </c>
      <c r="E878">
        <f>IFERROR(AGGREGATE(15,6,ROW('Input Transaksi'!$B$5:$B$5000)/('Input Transaksi'!$B$5:$B$5000="CL SESETAN"),ROWS($E$5:E878)),"")</f>
        <v/>
      </c>
      <c r="F878" s="5" t="n"/>
    </row>
    <row r="879">
      <c r="A879" s="10">
        <f>IF($E879="","",INDEX('Input Transaksi'!$A:$A,$E879))</f>
        <v/>
      </c>
      <c r="B879" s="5">
        <f>IF($E879="","",INDEX('Input Transaksi'!$D:$D,$E879))</f>
        <v/>
      </c>
      <c r="C879">
        <f>IF($E879="","",INDEX('Input Transaksi'!$E:$E,$E879))</f>
        <v/>
      </c>
      <c r="D879" s="5">
        <f>IF($E879="","",INDEX('Input Transaksi'!$F:$F,$E879))</f>
        <v/>
      </c>
      <c r="E879">
        <f>IFERROR(AGGREGATE(15,6,ROW('Input Transaksi'!$B$5:$B$5000)/('Input Transaksi'!$B$5:$B$5000="CL SESETAN"),ROWS($E$5:E879)),"")</f>
        <v/>
      </c>
      <c r="F879" s="5" t="n"/>
    </row>
    <row r="880">
      <c r="A880" s="10">
        <f>IF($E880="","",INDEX('Input Transaksi'!$A:$A,$E880))</f>
        <v/>
      </c>
      <c r="B880" s="5">
        <f>IF($E880="","",INDEX('Input Transaksi'!$D:$D,$E880))</f>
        <v/>
      </c>
      <c r="C880">
        <f>IF($E880="","",INDEX('Input Transaksi'!$E:$E,$E880))</f>
        <v/>
      </c>
      <c r="D880" s="5">
        <f>IF($E880="","",INDEX('Input Transaksi'!$F:$F,$E880))</f>
        <v/>
      </c>
      <c r="E880">
        <f>IFERROR(AGGREGATE(15,6,ROW('Input Transaksi'!$B$5:$B$5000)/('Input Transaksi'!$B$5:$B$5000="CL SESETAN"),ROWS($E$5:E880)),"")</f>
        <v/>
      </c>
      <c r="F880" s="5" t="n"/>
    </row>
    <row r="881">
      <c r="A881" s="10">
        <f>IF($E881="","",INDEX('Input Transaksi'!$A:$A,$E881))</f>
        <v/>
      </c>
      <c r="B881" s="5">
        <f>IF($E881="","",INDEX('Input Transaksi'!$D:$D,$E881))</f>
        <v/>
      </c>
      <c r="C881">
        <f>IF($E881="","",INDEX('Input Transaksi'!$E:$E,$E881))</f>
        <v/>
      </c>
      <c r="D881" s="5">
        <f>IF($E881="","",INDEX('Input Transaksi'!$F:$F,$E881))</f>
        <v/>
      </c>
      <c r="E881">
        <f>IFERROR(AGGREGATE(15,6,ROW('Input Transaksi'!$B$5:$B$5000)/('Input Transaksi'!$B$5:$B$5000="CL SESETAN"),ROWS($E$5:E881)),"")</f>
        <v/>
      </c>
      <c r="F881" s="5" t="n"/>
    </row>
    <row r="882">
      <c r="A882" s="10">
        <f>IF($E882="","",INDEX('Input Transaksi'!$A:$A,$E882))</f>
        <v/>
      </c>
      <c r="B882" s="5">
        <f>IF($E882="","",INDEX('Input Transaksi'!$D:$D,$E882))</f>
        <v/>
      </c>
      <c r="C882">
        <f>IF($E882="","",INDEX('Input Transaksi'!$E:$E,$E882))</f>
        <v/>
      </c>
      <c r="D882" s="5">
        <f>IF($E882="","",INDEX('Input Transaksi'!$F:$F,$E882))</f>
        <v/>
      </c>
      <c r="E882">
        <f>IFERROR(AGGREGATE(15,6,ROW('Input Transaksi'!$B$5:$B$5000)/('Input Transaksi'!$B$5:$B$5000="CL SESETAN"),ROWS($E$5:E882)),"")</f>
        <v/>
      </c>
      <c r="F882" s="5" t="n"/>
    </row>
    <row r="883">
      <c r="A883" s="10">
        <f>IF($E883="","",INDEX('Input Transaksi'!$A:$A,$E883))</f>
        <v/>
      </c>
      <c r="B883" s="5">
        <f>IF($E883="","",INDEX('Input Transaksi'!$D:$D,$E883))</f>
        <v/>
      </c>
      <c r="C883">
        <f>IF($E883="","",INDEX('Input Transaksi'!$E:$E,$E883))</f>
        <v/>
      </c>
      <c r="D883" s="5">
        <f>IF($E883="","",INDEX('Input Transaksi'!$F:$F,$E883))</f>
        <v/>
      </c>
      <c r="E883">
        <f>IFERROR(AGGREGATE(15,6,ROW('Input Transaksi'!$B$5:$B$5000)/('Input Transaksi'!$B$5:$B$5000="CL SESETAN"),ROWS($E$5:E883)),"")</f>
        <v/>
      </c>
      <c r="F883" s="5" t="n"/>
    </row>
    <row r="884">
      <c r="A884" s="10">
        <f>IF($E884="","",INDEX('Input Transaksi'!$A:$A,$E884))</f>
        <v/>
      </c>
      <c r="B884" s="5">
        <f>IF($E884="","",INDEX('Input Transaksi'!$D:$D,$E884))</f>
        <v/>
      </c>
      <c r="C884">
        <f>IF($E884="","",INDEX('Input Transaksi'!$E:$E,$E884))</f>
        <v/>
      </c>
      <c r="D884" s="5">
        <f>IF($E884="","",INDEX('Input Transaksi'!$F:$F,$E884))</f>
        <v/>
      </c>
      <c r="E884">
        <f>IFERROR(AGGREGATE(15,6,ROW('Input Transaksi'!$B$5:$B$5000)/('Input Transaksi'!$B$5:$B$5000="CL SESETAN"),ROWS($E$5:E884)),"")</f>
        <v/>
      </c>
      <c r="F884" s="5" t="n"/>
    </row>
    <row r="885">
      <c r="A885" s="10">
        <f>IF($E885="","",INDEX('Input Transaksi'!$A:$A,$E885))</f>
        <v/>
      </c>
      <c r="B885" s="5">
        <f>IF($E885="","",INDEX('Input Transaksi'!$D:$D,$E885))</f>
        <v/>
      </c>
      <c r="C885">
        <f>IF($E885="","",INDEX('Input Transaksi'!$E:$E,$E885))</f>
        <v/>
      </c>
      <c r="D885" s="5">
        <f>IF($E885="","",INDEX('Input Transaksi'!$F:$F,$E885))</f>
        <v/>
      </c>
      <c r="E885">
        <f>IFERROR(AGGREGATE(15,6,ROW('Input Transaksi'!$B$5:$B$5000)/('Input Transaksi'!$B$5:$B$5000="CL SESETAN"),ROWS($E$5:E885)),"")</f>
        <v/>
      </c>
      <c r="F885" s="5" t="n"/>
    </row>
    <row r="886">
      <c r="A886" s="10">
        <f>IF($E886="","",INDEX('Input Transaksi'!$A:$A,$E886))</f>
        <v/>
      </c>
      <c r="B886" s="5">
        <f>IF($E886="","",INDEX('Input Transaksi'!$D:$D,$E886))</f>
        <v/>
      </c>
      <c r="C886">
        <f>IF($E886="","",INDEX('Input Transaksi'!$E:$E,$E886))</f>
        <v/>
      </c>
      <c r="D886" s="5">
        <f>IF($E886="","",INDEX('Input Transaksi'!$F:$F,$E886))</f>
        <v/>
      </c>
      <c r="E886">
        <f>IFERROR(AGGREGATE(15,6,ROW('Input Transaksi'!$B$5:$B$5000)/('Input Transaksi'!$B$5:$B$5000="CL SESETAN"),ROWS($E$5:E886)),"")</f>
        <v/>
      </c>
      <c r="F886" s="5" t="n"/>
    </row>
    <row r="887">
      <c r="A887" s="10">
        <f>IF($E887="","",INDEX('Input Transaksi'!$A:$A,$E887))</f>
        <v/>
      </c>
      <c r="B887" s="5">
        <f>IF($E887="","",INDEX('Input Transaksi'!$D:$D,$E887))</f>
        <v/>
      </c>
      <c r="C887">
        <f>IF($E887="","",INDEX('Input Transaksi'!$E:$E,$E887))</f>
        <v/>
      </c>
      <c r="D887" s="5">
        <f>IF($E887="","",INDEX('Input Transaksi'!$F:$F,$E887))</f>
        <v/>
      </c>
      <c r="E887">
        <f>IFERROR(AGGREGATE(15,6,ROW('Input Transaksi'!$B$5:$B$5000)/('Input Transaksi'!$B$5:$B$5000="CL SESETAN"),ROWS($E$5:E887)),"")</f>
        <v/>
      </c>
      <c r="F887" s="5" t="n"/>
    </row>
    <row r="888">
      <c r="A888" s="10">
        <f>IF($E888="","",INDEX('Input Transaksi'!$A:$A,$E888))</f>
        <v/>
      </c>
      <c r="B888" s="5">
        <f>IF($E888="","",INDEX('Input Transaksi'!$D:$D,$E888))</f>
        <v/>
      </c>
      <c r="C888">
        <f>IF($E888="","",INDEX('Input Transaksi'!$E:$E,$E888))</f>
        <v/>
      </c>
      <c r="D888" s="5">
        <f>IF($E888="","",INDEX('Input Transaksi'!$F:$F,$E888))</f>
        <v/>
      </c>
      <c r="E888">
        <f>IFERROR(AGGREGATE(15,6,ROW('Input Transaksi'!$B$5:$B$5000)/('Input Transaksi'!$B$5:$B$5000="CL SESETAN"),ROWS($E$5:E888)),"")</f>
        <v/>
      </c>
      <c r="F888" s="5" t="n"/>
    </row>
    <row r="889">
      <c r="A889" s="10">
        <f>IF($E889="","",INDEX('Input Transaksi'!$A:$A,$E889))</f>
        <v/>
      </c>
      <c r="B889" s="5">
        <f>IF($E889="","",INDEX('Input Transaksi'!$D:$D,$E889))</f>
        <v/>
      </c>
      <c r="C889">
        <f>IF($E889="","",INDEX('Input Transaksi'!$E:$E,$E889))</f>
        <v/>
      </c>
      <c r="D889" s="5">
        <f>IF($E889="","",INDEX('Input Transaksi'!$F:$F,$E889))</f>
        <v/>
      </c>
      <c r="E889">
        <f>IFERROR(AGGREGATE(15,6,ROW('Input Transaksi'!$B$5:$B$5000)/('Input Transaksi'!$B$5:$B$5000="CL SESETAN"),ROWS($E$5:E889)),"")</f>
        <v/>
      </c>
      <c r="F889" s="5" t="n"/>
    </row>
    <row r="890">
      <c r="A890" s="10">
        <f>IF($E890="","",INDEX('Input Transaksi'!$A:$A,$E890))</f>
        <v/>
      </c>
      <c r="B890" s="5">
        <f>IF($E890="","",INDEX('Input Transaksi'!$D:$D,$E890))</f>
        <v/>
      </c>
      <c r="C890">
        <f>IF($E890="","",INDEX('Input Transaksi'!$E:$E,$E890))</f>
        <v/>
      </c>
      <c r="D890" s="5">
        <f>IF($E890="","",INDEX('Input Transaksi'!$F:$F,$E890))</f>
        <v/>
      </c>
      <c r="E890">
        <f>IFERROR(AGGREGATE(15,6,ROW('Input Transaksi'!$B$5:$B$5000)/('Input Transaksi'!$B$5:$B$5000="CL SESETAN"),ROWS($E$5:E890)),"")</f>
        <v/>
      </c>
      <c r="F890" s="5" t="n"/>
    </row>
    <row r="891">
      <c r="A891" s="10">
        <f>IF($E891="","",INDEX('Input Transaksi'!$A:$A,$E891))</f>
        <v/>
      </c>
      <c r="B891" s="5">
        <f>IF($E891="","",INDEX('Input Transaksi'!$D:$D,$E891))</f>
        <v/>
      </c>
      <c r="C891">
        <f>IF($E891="","",INDEX('Input Transaksi'!$E:$E,$E891))</f>
        <v/>
      </c>
      <c r="D891" s="5">
        <f>IF($E891="","",INDEX('Input Transaksi'!$F:$F,$E891))</f>
        <v/>
      </c>
      <c r="E891">
        <f>IFERROR(AGGREGATE(15,6,ROW('Input Transaksi'!$B$5:$B$5000)/('Input Transaksi'!$B$5:$B$5000="CL SESETAN"),ROWS($E$5:E891)),"")</f>
        <v/>
      </c>
      <c r="F891" s="5" t="n"/>
    </row>
    <row r="892">
      <c r="A892" s="10">
        <f>IF($E892="","",INDEX('Input Transaksi'!$A:$A,$E892))</f>
        <v/>
      </c>
      <c r="B892" s="5">
        <f>IF($E892="","",INDEX('Input Transaksi'!$D:$D,$E892))</f>
        <v/>
      </c>
      <c r="C892">
        <f>IF($E892="","",INDEX('Input Transaksi'!$E:$E,$E892))</f>
        <v/>
      </c>
      <c r="D892" s="5">
        <f>IF($E892="","",INDEX('Input Transaksi'!$F:$F,$E892))</f>
        <v/>
      </c>
      <c r="E892">
        <f>IFERROR(AGGREGATE(15,6,ROW('Input Transaksi'!$B$5:$B$5000)/('Input Transaksi'!$B$5:$B$5000="CL SESETAN"),ROWS($E$5:E892)),"")</f>
        <v/>
      </c>
      <c r="F892" s="5" t="n"/>
    </row>
    <row r="893">
      <c r="A893" s="10">
        <f>IF($E893="","",INDEX('Input Transaksi'!$A:$A,$E893))</f>
        <v/>
      </c>
      <c r="B893" s="5">
        <f>IF($E893="","",INDEX('Input Transaksi'!$D:$D,$E893))</f>
        <v/>
      </c>
      <c r="C893">
        <f>IF($E893="","",INDEX('Input Transaksi'!$E:$E,$E893))</f>
        <v/>
      </c>
      <c r="D893" s="5">
        <f>IF($E893="","",INDEX('Input Transaksi'!$F:$F,$E893))</f>
        <v/>
      </c>
      <c r="E893">
        <f>IFERROR(AGGREGATE(15,6,ROW('Input Transaksi'!$B$5:$B$5000)/('Input Transaksi'!$B$5:$B$5000="CL SESETAN"),ROWS($E$5:E893)),"")</f>
        <v/>
      </c>
      <c r="F893" s="5" t="n"/>
    </row>
    <row r="894">
      <c r="A894" s="10">
        <f>IF($E894="","",INDEX('Input Transaksi'!$A:$A,$E894))</f>
        <v/>
      </c>
      <c r="B894" s="5">
        <f>IF($E894="","",INDEX('Input Transaksi'!$D:$D,$E894))</f>
        <v/>
      </c>
      <c r="C894">
        <f>IF($E894="","",INDEX('Input Transaksi'!$E:$E,$E894))</f>
        <v/>
      </c>
      <c r="D894" s="5">
        <f>IF($E894="","",INDEX('Input Transaksi'!$F:$F,$E894))</f>
        <v/>
      </c>
      <c r="E894">
        <f>IFERROR(AGGREGATE(15,6,ROW('Input Transaksi'!$B$5:$B$5000)/('Input Transaksi'!$B$5:$B$5000="CL SESETAN"),ROWS($E$5:E894)),"")</f>
        <v/>
      </c>
      <c r="F894" s="5" t="n"/>
    </row>
    <row r="895">
      <c r="A895" s="10">
        <f>IF($E895="","",INDEX('Input Transaksi'!$A:$A,$E895))</f>
        <v/>
      </c>
      <c r="B895" s="5">
        <f>IF($E895="","",INDEX('Input Transaksi'!$D:$D,$E895))</f>
        <v/>
      </c>
      <c r="C895">
        <f>IF($E895="","",INDEX('Input Transaksi'!$E:$E,$E895))</f>
        <v/>
      </c>
      <c r="D895" s="5">
        <f>IF($E895="","",INDEX('Input Transaksi'!$F:$F,$E895))</f>
        <v/>
      </c>
      <c r="E895">
        <f>IFERROR(AGGREGATE(15,6,ROW('Input Transaksi'!$B$5:$B$5000)/('Input Transaksi'!$B$5:$B$5000="CL SESETAN"),ROWS($E$5:E895)),"")</f>
        <v/>
      </c>
      <c r="F895" s="5" t="n"/>
    </row>
    <row r="896">
      <c r="A896" s="10">
        <f>IF($E896="","",INDEX('Input Transaksi'!$A:$A,$E896))</f>
        <v/>
      </c>
      <c r="B896" s="5">
        <f>IF($E896="","",INDEX('Input Transaksi'!$D:$D,$E896))</f>
        <v/>
      </c>
      <c r="C896">
        <f>IF($E896="","",INDEX('Input Transaksi'!$E:$E,$E896))</f>
        <v/>
      </c>
      <c r="D896" s="5">
        <f>IF($E896="","",INDEX('Input Transaksi'!$F:$F,$E896))</f>
        <v/>
      </c>
      <c r="E896">
        <f>IFERROR(AGGREGATE(15,6,ROW('Input Transaksi'!$B$5:$B$5000)/('Input Transaksi'!$B$5:$B$5000="CL SESETAN"),ROWS($E$5:E896)),"")</f>
        <v/>
      </c>
      <c r="F896" s="5" t="n"/>
    </row>
    <row r="897">
      <c r="A897" s="10">
        <f>IF($E897="","",INDEX('Input Transaksi'!$A:$A,$E897))</f>
        <v/>
      </c>
      <c r="B897" s="5">
        <f>IF($E897="","",INDEX('Input Transaksi'!$D:$D,$E897))</f>
        <v/>
      </c>
      <c r="C897">
        <f>IF($E897="","",INDEX('Input Transaksi'!$E:$E,$E897))</f>
        <v/>
      </c>
      <c r="D897" s="5">
        <f>IF($E897="","",INDEX('Input Transaksi'!$F:$F,$E897))</f>
        <v/>
      </c>
      <c r="E897">
        <f>IFERROR(AGGREGATE(15,6,ROW('Input Transaksi'!$B$5:$B$5000)/('Input Transaksi'!$B$5:$B$5000="CL SESETAN"),ROWS($E$5:E897)),"")</f>
        <v/>
      </c>
      <c r="F897" s="5" t="n"/>
    </row>
    <row r="898">
      <c r="A898" s="10">
        <f>IF($E898="","",INDEX('Input Transaksi'!$A:$A,$E898))</f>
        <v/>
      </c>
      <c r="B898" s="5">
        <f>IF($E898="","",INDEX('Input Transaksi'!$D:$D,$E898))</f>
        <v/>
      </c>
      <c r="C898">
        <f>IF($E898="","",INDEX('Input Transaksi'!$E:$E,$E898))</f>
        <v/>
      </c>
      <c r="D898" s="5">
        <f>IF($E898="","",INDEX('Input Transaksi'!$F:$F,$E898))</f>
        <v/>
      </c>
      <c r="E898">
        <f>IFERROR(AGGREGATE(15,6,ROW('Input Transaksi'!$B$5:$B$5000)/('Input Transaksi'!$B$5:$B$5000="CL SESETAN"),ROWS($E$5:E898)),"")</f>
        <v/>
      </c>
      <c r="F898" s="5" t="n"/>
    </row>
    <row r="899">
      <c r="A899" s="10">
        <f>IF($E899="","",INDEX('Input Transaksi'!$A:$A,$E899))</f>
        <v/>
      </c>
      <c r="B899" s="5">
        <f>IF($E899="","",INDEX('Input Transaksi'!$D:$D,$E899))</f>
        <v/>
      </c>
      <c r="C899">
        <f>IF($E899="","",INDEX('Input Transaksi'!$E:$E,$E899))</f>
        <v/>
      </c>
      <c r="D899" s="5">
        <f>IF($E899="","",INDEX('Input Transaksi'!$F:$F,$E899))</f>
        <v/>
      </c>
      <c r="E899">
        <f>IFERROR(AGGREGATE(15,6,ROW('Input Transaksi'!$B$5:$B$5000)/('Input Transaksi'!$B$5:$B$5000="CL SESETAN"),ROWS($E$5:E899)),"")</f>
        <v/>
      </c>
      <c r="F899" s="5" t="n"/>
    </row>
    <row r="900">
      <c r="A900" s="10">
        <f>IF($E900="","",INDEX('Input Transaksi'!$A:$A,$E900))</f>
        <v/>
      </c>
      <c r="B900" s="5">
        <f>IF($E900="","",INDEX('Input Transaksi'!$D:$D,$E900))</f>
        <v/>
      </c>
      <c r="C900">
        <f>IF($E900="","",INDEX('Input Transaksi'!$E:$E,$E900))</f>
        <v/>
      </c>
      <c r="D900" s="5">
        <f>IF($E900="","",INDEX('Input Transaksi'!$F:$F,$E900))</f>
        <v/>
      </c>
      <c r="E900">
        <f>IFERROR(AGGREGATE(15,6,ROW('Input Transaksi'!$B$5:$B$5000)/('Input Transaksi'!$B$5:$B$5000="CL SESETAN"),ROWS($E$5:E900)),"")</f>
        <v/>
      </c>
      <c r="F900" s="5" t="n"/>
    </row>
    <row r="901">
      <c r="A901" s="10">
        <f>IF($E901="","",INDEX('Input Transaksi'!$A:$A,$E901))</f>
        <v/>
      </c>
      <c r="B901" s="5">
        <f>IF($E901="","",INDEX('Input Transaksi'!$D:$D,$E901))</f>
        <v/>
      </c>
      <c r="C901">
        <f>IF($E901="","",INDEX('Input Transaksi'!$E:$E,$E901))</f>
        <v/>
      </c>
      <c r="D901" s="5">
        <f>IF($E901="","",INDEX('Input Transaksi'!$F:$F,$E901))</f>
        <v/>
      </c>
      <c r="E901">
        <f>IFERROR(AGGREGATE(15,6,ROW('Input Transaksi'!$B$5:$B$5000)/('Input Transaksi'!$B$5:$B$5000="CL SESETAN"),ROWS($E$5:E901)),"")</f>
        <v/>
      </c>
      <c r="F901" s="5" t="n"/>
    </row>
    <row r="902">
      <c r="A902" s="10">
        <f>IF($E902="","",INDEX('Input Transaksi'!$A:$A,$E902))</f>
        <v/>
      </c>
      <c r="B902" s="5">
        <f>IF($E902="","",INDEX('Input Transaksi'!$D:$D,$E902))</f>
        <v/>
      </c>
      <c r="C902">
        <f>IF($E902="","",INDEX('Input Transaksi'!$E:$E,$E902))</f>
        <v/>
      </c>
      <c r="D902" s="5">
        <f>IF($E902="","",INDEX('Input Transaksi'!$F:$F,$E902))</f>
        <v/>
      </c>
      <c r="E902">
        <f>IFERROR(AGGREGATE(15,6,ROW('Input Transaksi'!$B$5:$B$5000)/('Input Transaksi'!$B$5:$B$5000="CL SESETAN"),ROWS($E$5:E902)),"")</f>
        <v/>
      </c>
      <c r="F902" s="5" t="n"/>
    </row>
    <row r="903">
      <c r="A903" s="10">
        <f>IF($E903="","",INDEX('Input Transaksi'!$A:$A,$E903))</f>
        <v/>
      </c>
      <c r="B903" s="5">
        <f>IF($E903="","",INDEX('Input Transaksi'!$D:$D,$E903))</f>
        <v/>
      </c>
      <c r="C903">
        <f>IF($E903="","",INDEX('Input Transaksi'!$E:$E,$E903))</f>
        <v/>
      </c>
      <c r="D903" s="5">
        <f>IF($E903="","",INDEX('Input Transaksi'!$F:$F,$E903))</f>
        <v/>
      </c>
      <c r="E903">
        <f>IFERROR(AGGREGATE(15,6,ROW('Input Transaksi'!$B$5:$B$5000)/('Input Transaksi'!$B$5:$B$5000="CL SESETAN"),ROWS($E$5:E903)),"")</f>
        <v/>
      </c>
      <c r="F903" s="5" t="n"/>
    </row>
    <row r="904">
      <c r="A904" s="10">
        <f>IF($E904="","",INDEX('Input Transaksi'!$A:$A,$E904))</f>
        <v/>
      </c>
      <c r="B904" s="5">
        <f>IF($E904="","",INDEX('Input Transaksi'!$D:$D,$E904))</f>
        <v/>
      </c>
      <c r="C904">
        <f>IF($E904="","",INDEX('Input Transaksi'!$E:$E,$E904))</f>
        <v/>
      </c>
      <c r="D904" s="5">
        <f>IF($E904="","",INDEX('Input Transaksi'!$F:$F,$E904))</f>
        <v/>
      </c>
      <c r="E904">
        <f>IFERROR(AGGREGATE(15,6,ROW('Input Transaksi'!$B$5:$B$5000)/('Input Transaksi'!$B$5:$B$5000="CL SESETAN"),ROWS($E$5:E904)),"")</f>
        <v/>
      </c>
      <c r="F904" s="5" t="n"/>
    </row>
    <row r="905">
      <c r="A905" s="10">
        <f>IF($E905="","",INDEX('Input Transaksi'!$A:$A,$E905))</f>
        <v/>
      </c>
      <c r="B905" s="5">
        <f>IF($E905="","",INDEX('Input Transaksi'!$D:$D,$E905))</f>
        <v/>
      </c>
      <c r="C905">
        <f>IF($E905="","",INDEX('Input Transaksi'!$E:$E,$E905))</f>
        <v/>
      </c>
      <c r="D905" s="5">
        <f>IF($E905="","",INDEX('Input Transaksi'!$F:$F,$E905))</f>
        <v/>
      </c>
      <c r="E905">
        <f>IFERROR(AGGREGATE(15,6,ROW('Input Transaksi'!$B$5:$B$5000)/('Input Transaksi'!$B$5:$B$5000="CL SESETAN"),ROWS($E$5:E905)),"")</f>
        <v/>
      </c>
      <c r="F905" s="5" t="n"/>
    </row>
    <row r="906">
      <c r="A906" s="10">
        <f>IF($E906="","",INDEX('Input Transaksi'!$A:$A,$E906))</f>
        <v/>
      </c>
      <c r="B906" s="5">
        <f>IF($E906="","",INDEX('Input Transaksi'!$D:$D,$E906))</f>
        <v/>
      </c>
      <c r="C906">
        <f>IF($E906="","",INDEX('Input Transaksi'!$E:$E,$E906))</f>
        <v/>
      </c>
      <c r="D906" s="5">
        <f>IF($E906="","",INDEX('Input Transaksi'!$F:$F,$E906))</f>
        <v/>
      </c>
      <c r="E906">
        <f>IFERROR(AGGREGATE(15,6,ROW('Input Transaksi'!$B$5:$B$5000)/('Input Transaksi'!$B$5:$B$5000="CL SESETAN"),ROWS($E$5:E906)),"")</f>
        <v/>
      </c>
      <c r="F906" s="5" t="n"/>
    </row>
    <row r="907">
      <c r="A907" s="10">
        <f>IF($E907="","",INDEX('Input Transaksi'!$A:$A,$E907))</f>
        <v/>
      </c>
      <c r="B907" s="5">
        <f>IF($E907="","",INDEX('Input Transaksi'!$D:$D,$E907))</f>
        <v/>
      </c>
      <c r="C907">
        <f>IF($E907="","",INDEX('Input Transaksi'!$E:$E,$E907))</f>
        <v/>
      </c>
      <c r="D907" s="5">
        <f>IF($E907="","",INDEX('Input Transaksi'!$F:$F,$E907))</f>
        <v/>
      </c>
      <c r="E907">
        <f>IFERROR(AGGREGATE(15,6,ROW('Input Transaksi'!$B$5:$B$5000)/('Input Transaksi'!$B$5:$B$5000="CL SESETAN"),ROWS($E$5:E907)),"")</f>
        <v/>
      </c>
      <c r="F907" s="5" t="n"/>
    </row>
    <row r="908">
      <c r="A908" s="10">
        <f>IF($E908="","",INDEX('Input Transaksi'!$A:$A,$E908))</f>
        <v/>
      </c>
      <c r="B908" s="5">
        <f>IF($E908="","",INDEX('Input Transaksi'!$D:$D,$E908))</f>
        <v/>
      </c>
      <c r="C908">
        <f>IF($E908="","",INDEX('Input Transaksi'!$E:$E,$E908))</f>
        <v/>
      </c>
      <c r="D908" s="5">
        <f>IF($E908="","",INDEX('Input Transaksi'!$F:$F,$E908))</f>
        <v/>
      </c>
      <c r="E908">
        <f>IFERROR(AGGREGATE(15,6,ROW('Input Transaksi'!$B$5:$B$5000)/('Input Transaksi'!$B$5:$B$5000="CL SESETAN"),ROWS($E$5:E908)),"")</f>
        <v/>
      </c>
      <c r="F908" s="5" t="n"/>
    </row>
    <row r="909">
      <c r="A909" s="10">
        <f>IF($E909="","",INDEX('Input Transaksi'!$A:$A,$E909))</f>
        <v/>
      </c>
      <c r="B909" s="5">
        <f>IF($E909="","",INDEX('Input Transaksi'!$D:$D,$E909))</f>
        <v/>
      </c>
      <c r="C909">
        <f>IF($E909="","",INDEX('Input Transaksi'!$E:$E,$E909))</f>
        <v/>
      </c>
      <c r="D909" s="5">
        <f>IF($E909="","",INDEX('Input Transaksi'!$F:$F,$E909))</f>
        <v/>
      </c>
      <c r="E909">
        <f>IFERROR(AGGREGATE(15,6,ROW('Input Transaksi'!$B$5:$B$5000)/('Input Transaksi'!$B$5:$B$5000="CL SESETAN"),ROWS($E$5:E909)),"")</f>
        <v/>
      </c>
      <c r="F909" s="5" t="n"/>
    </row>
    <row r="910">
      <c r="A910" s="10">
        <f>IF($E910="","",INDEX('Input Transaksi'!$A:$A,$E910))</f>
        <v/>
      </c>
      <c r="B910" s="5">
        <f>IF($E910="","",INDEX('Input Transaksi'!$D:$D,$E910))</f>
        <v/>
      </c>
      <c r="C910">
        <f>IF($E910="","",INDEX('Input Transaksi'!$E:$E,$E910))</f>
        <v/>
      </c>
      <c r="D910" s="5">
        <f>IF($E910="","",INDEX('Input Transaksi'!$F:$F,$E910))</f>
        <v/>
      </c>
      <c r="E910">
        <f>IFERROR(AGGREGATE(15,6,ROW('Input Transaksi'!$B$5:$B$5000)/('Input Transaksi'!$B$5:$B$5000="CL SESETAN"),ROWS($E$5:E910)),"")</f>
        <v/>
      </c>
      <c r="F910" s="5" t="n"/>
    </row>
    <row r="911">
      <c r="A911" s="10">
        <f>IF($E911="","",INDEX('Input Transaksi'!$A:$A,$E911))</f>
        <v/>
      </c>
      <c r="B911" s="5">
        <f>IF($E911="","",INDEX('Input Transaksi'!$D:$D,$E911))</f>
        <v/>
      </c>
      <c r="C911">
        <f>IF($E911="","",INDEX('Input Transaksi'!$E:$E,$E911))</f>
        <v/>
      </c>
      <c r="D911" s="5">
        <f>IF($E911="","",INDEX('Input Transaksi'!$F:$F,$E911))</f>
        <v/>
      </c>
      <c r="E911">
        <f>IFERROR(AGGREGATE(15,6,ROW('Input Transaksi'!$B$5:$B$5000)/('Input Transaksi'!$B$5:$B$5000="CL SESETAN"),ROWS($E$5:E911)),"")</f>
        <v/>
      </c>
      <c r="F911" s="5" t="n"/>
    </row>
    <row r="912">
      <c r="A912" s="10">
        <f>IF($E912="","",INDEX('Input Transaksi'!$A:$A,$E912))</f>
        <v/>
      </c>
      <c r="B912" s="5">
        <f>IF($E912="","",INDEX('Input Transaksi'!$D:$D,$E912))</f>
        <v/>
      </c>
      <c r="C912">
        <f>IF($E912="","",INDEX('Input Transaksi'!$E:$E,$E912))</f>
        <v/>
      </c>
      <c r="D912" s="5">
        <f>IF($E912="","",INDEX('Input Transaksi'!$F:$F,$E912))</f>
        <v/>
      </c>
      <c r="E912">
        <f>IFERROR(AGGREGATE(15,6,ROW('Input Transaksi'!$B$5:$B$5000)/('Input Transaksi'!$B$5:$B$5000="CL SESETAN"),ROWS($E$5:E912)),"")</f>
        <v/>
      </c>
      <c r="F912" s="5" t="n"/>
    </row>
    <row r="913">
      <c r="A913" s="10">
        <f>IF($E913="","",INDEX('Input Transaksi'!$A:$A,$E913))</f>
        <v/>
      </c>
      <c r="B913" s="5">
        <f>IF($E913="","",INDEX('Input Transaksi'!$D:$D,$E913))</f>
        <v/>
      </c>
      <c r="C913">
        <f>IF($E913="","",INDEX('Input Transaksi'!$E:$E,$E913))</f>
        <v/>
      </c>
      <c r="D913" s="5">
        <f>IF($E913="","",INDEX('Input Transaksi'!$F:$F,$E913))</f>
        <v/>
      </c>
      <c r="E913">
        <f>IFERROR(AGGREGATE(15,6,ROW('Input Transaksi'!$B$5:$B$5000)/('Input Transaksi'!$B$5:$B$5000="CL SESETAN"),ROWS($E$5:E913)),"")</f>
        <v/>
      </c>
      <c r="F913" s="5" t="n"/>
    </row>
    <row r="914">
      <c r="A914" s="10">
        <f>IF($E914="","",INDEX('Input Transaksi'!$A:$A,$E914))</f>
        <v/>
      </c>
      <c r="B914" s="5">
        <f>IF($E914="","",INDEX('Input Transaksi'!$D:$D,$E914))</f>
        <v/>
      </c>
      <c r="C914">
        <f>IF($E914="","",INDEX('Input Transaksi'!$E:$E,$E914))</f>
        <v/>
      </c>
      <c r="D914" s="5">
        <f>IF($E914="","",INDEX('Input Transaksi'!$F:$F,$E914))</f>
        <v/>
      </c>
      <c r="E914">
        <f>IFERROR(AGGREGATE(15,6,ROW('Input Transaksi'!$B$5:$B$5000)/('Input Transaksi'!$B$5:$B$5000="CL SESETAN"),ROWS($E$5:E914)),"")</f>
        <v/>
      </c>
      <c r="F914" s="5" t="n"/>
    </row>
    <row r="915">
      <c r="A915" s="10">
        <f>IF($E915="","",INDEX('Input Transaksi'!$A:$A,$E915))</f>
        <v/>
      </c>
      <c r="B915" s="5">
        <f>IF($E915="","",INDEX('Input Transaksi'!$D:$D,$E915))</f>
        <v/>
      </c>
      <c r="C915">
        <f>IF($E915="","",INDEX('Input Transaksi'!$E:$E,$E915))</f>
        <v/>
      </c>
      <c r="D915" s="5">
        <f>IF($E915="","",INDEX('Input Transaksi'!$F:$F,$E915))</f>
        <v/>
      </c>
      <c r="E915">
        <f>IFERROR(AGGREGATE(15,6,ROW('Input Transaksi'!$B$5:$B$5000)/('Input Transaksi'!$B$5:$B$5000="CL SESETAN"),ROWS($E$5:E915)),"")</f>
        <v/>
      </c>
      <c r="F915" s="5" t="n"/>
    </row>
    <row r="916">
      <c r="A916" s="10">
        <f>IF($E916="","",INDEX('Input Transaksi'!$A:$A,$E916))</f>
        <v/>
      </c>
      <c r="B916" s="5">
        <f>IF($E916="","",INDEX('Input Transaksi'!$D:$D,$E916))</f>
        <v/>
      </c>
      <c r="C916">
        <f>IF($E916="","",INDEX('Input Transaksi'!$E:$E,$E916))</f>
        <v/>
      </c>
      <c r="D916" s="5">
        <f>IF($E916="","",INDEX('Input Transaksi'!$F:$F,$E916))</f>
        <v/>
      </c>
      <c r="E916">
        <f>IFERROR(AGGREGATE(15,6,ROW('Input Transaksi'!$B$5:$B$5000)/('Input Transaksi'!$B$5:$B$5000="CL SESETAN"),ROWS($E$5:E916)),"")</f>
        <v/>
      </c>
      <c r="F916" s="5" t="n"/>
    </row>
    <row r="917">
      <c r="A917" s="10">
        <f>IF($E917="","",INDEX('Input Transaksi'!$A:$A,$E917))</f>
        <v/>
      </c>
      <c r="B917" s="5">
        <f>IF($E917="","",INDEX('Input Transaksi'!$D:$D,$E917))</f>
        <v/>
      </c>
      <c r="C917">
        <f>IF($E917="","",INDEX('Input Transaksi'!$E:$E,$E917))</f>
        <v/>
      </c>
      <c r="D917" s="5">
        <f>IF($E917="","",INDEX('Input Transaksi'!$F:$F,$E917))</f>
        <v/>
      </c>
      <c r="E917">
        <f>IFERROR(AGGREGATE(15,6,ROW('Input Transaksi'!$B$5:$B$5000)/('Input Transaksi'!$B$5:$B$5000="CL SESETAN"),ROWS($E$5:E917)),"")</f>
        <v/>
      </c>
      <c r="F917" s="5" t="n"/>
    </row>
    <row r="918">
      <c r="A918" s="10">
        <f>IF($E918="","",INDEX('Input Transaksi'!$A:$A,$E918))</f>
        <v/>
      </c>
      <c r="B918" s="5">
        <f>IF($E918="","",INDEX('Input Transaksi'!$D:$D,$E918))</f>
        <v/>
      </c>
      <c r="C918">
        <f>IF($E918="","",INDEX('Input Transaksi'!$E:$E,$E918))</f>
        <v/>
      </c>
      <c r="D918" s="5">
        <f>IF($E918="","",INDEX('Input Transaksi'!$F:$F,$E918))</f>
        <v/>
      </c>
      <c r="E918">
        <f>IFERROR(AGGREGATE(15,6,ROW('Input Transaksi'!$B$5:$B$5000)/('Input Transaksi'!$B$5:$B$5000="CL SESETAN"),ROWS($E$5:E918)),"")</f>
        <v/>
      </c>
      <c r="F918" s="5" t="n"/>
    </row>
    <row r="919">
      <c r="A919" s="10">
        <f>IF($E919="","",INDEX('Input Transaksi'!$A:$A,$E919))</f>
        <v/>
      </c>
      <c r="B919" s="5">
        <f>IF($E919="","",INDEX('Input Transaksi'!$D:$D,$E919))</f>
        <v/>
      </c>
      <c r="C919">
        <f>IF($E919="","",INDEX('Input Transaksi'!$E:$E,$E919))</f>
        <v/>
      </c>
      <c r="D919" s="5">
        <f>IF($E919="","",INDEX('Input Transaksi'!$F:$F,$E919))</f>
        <v/>
      </c>
      <c r="E919">
        <f>IFERROR(AGGREGATE(15,6,ROW('Input Transaksi'!$B$5:$B$5000)/('Input Transaksi'!$B$5:$B$5000="CL SESETAN"),ROWS($E$5:E919)),"")</f>
        <v/>
      </c>
      <c r="F919" s="5" t="n"/>
    </row>
    <row r="920">
      <c r="A920" s="10">
        <f>IF($E920="","",INDEX('Input Transaksi'!$A:$A,$E920))</f>
        <v/>
      </c>
      <c r="B920" s="5">
        <f>IF($E920="","",INDEX('Input Transaksi'!$D:$D,$E920))</f>
        <v/>
      </c>
      <c r="C920">
        <f>IF($E920="","",INDEX('Input Transaksi'!$E:$E,$E920))</f>
        <v/>
      </c>
      <c r="D920" s="5">
        <f>IF($E920="","",INDEX('Input Transaksi'!$F:$F,$E920))</f>
        <v/>
      </c>
      <c r="E920">
        <f>IFERROR(AGGREGATE(15,6,ROW('Input Transaksi'!$B$5:$B$5000)/('Input Transaksi'!$B$5:$B$5000="CL SESETAN"),ROWS($E$5:E920)),"")</f>
        <v/>
      </c>
      <c r="F920" s="5" t="n"/>
    </row>
    <row r="921">
      <c r="A921" s="10">
        <f>IF($E921="","",INDEX('Input Transaksi'!$A:$A,$E921))</f>
        <v/>
      </c>
      <c r="B921" s="5">
        <f>IF($E921="","",INDEX('Input Transaksi'!$D:$D,$E921))</f>
        <v/>
      </c>
      <c r="C921">
        <f>IF($E921="","",INDEX('Input Transaksi'!$E:$E,$E921))</f>
        <v/>
      </c>
      <c r="D921" s="5">
        <f>IF($E921="","",INDEX('Input Transaksi'!$F:$F,$E921))</f>
        <v/>
      </c>
      <c r="E921">
        <f>IFERROR(AGGREGATE(15,6,ROW('Input Transaksi'!$B$5:$B$5000)/('Input Transaksi'!$B$5:$B$5000="CL SESETAN"),ROWS($E$5:E921)),"")</f>
        <v/>
      </c>
      <c r="F921" s="5" t="n"/>
    </row>
    <row r="922">
      <c r="A922" s="10">
        <f>IF($E922="","",INDEX('Input Transaksi'!$A:$A,$E922))</f>
        <v/>
      </c>
      <c r="B922" s="5">
        <f>IF($E922="","",INDEX('Input Transaksi'!$D:$D,$E922))</f>
        <v/>
      </c>
      <c r="C922">
        <f>IF($E922="","",INDEX('Input Transaksi'!$E:$E,$E922))</f>
        <v/>
      </c>
      <c r="D922" s="5">
        <f>IF($E922="","",INDEX('Input Transaksi'!$F:$F,$E922))</f>
        <v/>
      </c>
      <c r="E922">
        <f>IFERROR(AGGREGATE(15,6,ROW('Input Transaksi'!$B$5:$B$5000)/('Input Transaksi'!$B$5:$B$5000="CL SESETAN"),ROWS($E$5:E922)),"")</f>
        <v/>
      </c>
      <c r="F922" s="5" t="n"/>
    </row>
    <row r="923">
      <c r="A923" s="10">
        <f>IF($E923="","",INDEX('Input Transaksi'!$A:$A,$E923))</f>
        <v/>
      </c>
      <c r="B923" s="5">
        <f>IF($E923="","",INDEX('Input Transaksi'!$D:$D,$E923))</f>
        <v/>
      </c>
      <c r="C923">
        <f>IF($E923="","",INDEX('Input Transaksi'!$E:$E,$E923))</f>
        <v/>
      </c>
      <c r="D923" s="5">
        <f>IF($E923="","",INDEX('Input Transaksi'!$F:$F,$E923))</f>
        <v/>
      </c>
      <c r="E923">
        <f>IFERROR(AGGREGATE(15,6,ROW('Input Transaksi'!$B$5:$B$5000)/('Input Transaksi'!$B$5:$B$5000="CL SESETAN"),ROWS($E$5:E923)),"")</f>
        <v/>
      </c>
      <c r="F923" s="5" t="n"/>
    </row>
    <row r="924">
      <c r="A924" s="10">
        <f>IF($E924="","",INDEX('Input Transaksi'!$A:$A,$E924))</f>
        <v/>
      </c>
      <c r="B924" s="5">
        <f>IF($E924="","",INDEX('Input Transaksi'!$D:$D,$E924))</f>
        <v/>
      </c>
      <c r="C924">
        <f>IF($E924="","",INDEX('Input Transaksi'!$E:$E,$E924))</f>
        <v/>
      </c>
      <c r="D924" s="5">
        <f>IF($E924="","",INDEX('Input Transaksi'!$F:$F,$E924))</f>
        <v/>
      </c>
      <c r="E924">
        <f>IFERROR(AGGREGATE(15,6,ROW('Input Transaksi'!$B$5:$B$5000)/('Input Transaksi'!$B$5:$B$5000="CL SESETAN"),ROWS($E$5:E924)),"")</f>
        <v/>
      </c>
      <c r="F924" s="5" t="n"/>
    </row>
    <row r="925">
      <c r="A925" s="10">
        <f>IF($E925="","",INDEX('Input Transaksi'!$A:$A,$E925))</f>
        <v/>
      </c>
      <c r="B925" s="5">
        <f>IF($E925="","",INDEX('Input Transaksi'!$D:$D,$E925))</f>
        <v/>
      </c>
      <c r="C925">
        <f>IF($E925="","",INDEX('Input Transaksi'!$E:$E,$E925))</f>
        <v/>
      </c>
      <c r="D925" s="5">
        <f>IF($E925="","",INDEX('Input Transaksi'!$F:$F,$E925))</f>
        <v/>
      </c>
      <c r="E925">
        <f>IFERROR(AGGREGATE(15,6,ROW('Input Transaksi'!$B$5:$B$5000)/('Input Transaksi'!$B$5:$B$5000="CL SESETAN"),ROWS($E$5:E925)),"")</f>
        <v/>
      </c>
      <c r="F925" s="5" t="n"/>
    </row>
    <row r="926">
      <c r="A926" s="10">
        <f>IF($E926="","",INDEX('Input Transaksi'!$A:$A,$E926))</f>
        <v/>
      </c>
      <c r="B926" s="5">
        <f>IF($E926="","",INDEX('Input Transaksi'!$D:$D,$E926))</f>
        <v/>
      </c>
      <c r="C926">
        <f>IF($E926="","",INDEX('Input Transaksi'!$E:$E,$E926))</f>
        <v/>
      </c>
      <c r="D926" s="5">
        <f>IF($E926="","",INDEX('Input Transaksi'!$F:$F,$E926))</f>
        <v/>
      </c>
      <c r="E926">
        <f>IFERROR(AGGREGATE(15,6,ROW('Input Transaksi'!$B$5:$B$5000)/('Input Transaksi'!$B$5:$B$5000="CL SESETAN"),ROWS($E$5:E926)),"")</f>
        <v/>
      </c>
      <c r="F926" s="5" t="n"/>
    </row>
    <row r="927">
      <c r="A927" s="10">
        <f>IF($E927="","",INDEX('Input Transaksi'!$A:$A,$E927))</f>
        <v/>
      </c>
      <c r="B927" s="5">
        <f>IF($E927="","",INDEX('Input Transaksi'!$D:$D,$E927))</f>
        <v/>
      </c>
      <c r="C927">
        <f>IF($E927="","",INDEX('Input Transaksi'!$E:$E,$E927))</f>
        <v/>
      </c>
      <c r="D927" s="5">
        <f>IF($E927="","",INDEX('Input Transaksi'!$F:$F,$E927))</f>
        <v/>
      </c>
      <c r="E927">
        <f>IFERROR(AGGREGATE(15,6,ROW('Input Transaksi'!$B$5:$B$5000)/('Input Transaksi'!$B$5:$B$5000="CL SESETAN"),ROWS($E$5:E927)),"")</f>
        <v/>
      </c>
      <c r="F927" s="5" t="n"/>
    </row>
    <row r="928">
      <c r="A928" s="10">
        <f>IF($E928="","",INDEX('Input Transaksi'!$A:$A,$E928))</f>
        <v/>
      </c>
      <c r="B928" s="5">
        <f>IF($E928="","",INDEX('Input Transaksi'!$D:$D,$E928))</f>
        <v/>
      </c>
      <c r="C928">
        <f>IF($E928="","",INDEX('Input Transaksi'!$E:$E,$E928))</f>
        <v/>
      </c>
      <c r="D928" s="5">
        <f>IF($E928="","",INDEX('Input Transaksi'!$F:$F,$E928))</f>
        <v/>
      </c>
      <c r="E928">
        <f>IFERROR(AGGREGATE(15,6,ROW('Input Transaksi'!$B$5:$B$5000)/('Input Transaksi'!$B$5:$B$5000="CL SESETAN"),ROWS($E$5:E928)),"")</f>
        <v/>
      </c>
      <c r="F928" s="5" t="n"/>
    </row>
    <row r="929">
      <c r="A929" s="10">
        <f>IF($E929="","",INDEX('Input Transaksi'!$A:$A,$E929))</f>
        <v/>
      </c>
      <c r="B929" s="5">
        <f>IF($E929="","",INDEX('Input Transaksi'!$D:$D,$E929))</f>
        <v/>
      </c>
      <c r="C929">
        <f>IF($E929="","",INDEX('Input Transaksi'!$E:$E,$E929))</f>
        <v/>
      </c>
      <c r="D929" s="5">
        <f>IF($E929="","",INDEX('Input Transaksi'!$F:$F,$E929))</f>
        <v/>
      </c>
      <c r="E929">
        <f>IFERROR(AGGREGATE(15,6,ROW('Input Transaksi'!$B$5:$B$5000)/('Input Transaksi'!$B$5:$B$5000="CL SESETAN"),ROWS($E$5:E929)),"")</f>
        <v/>
      </c>
      <c r="F929" s="5" t="n"/>
    </row>
    <row r="930">
      <c r="A930" s="10">
        <f>IF($E930="","",INDEX('Input Transaksi'!$A:$A,$E930))</f>
        <v/>
      </c>
      <c r="B930" s="5">
        <f>IF($E930="","",INDEX('Input Transaksi'!$D:$D,$E930))</f>
        <v/>
      </c>
      <c r="C930">
        <f>IF($E930="","",INDEX('Input Transaksi'!$E:$E,$E930))</f>
        <v/>
      </c>
      <c r="D930" s="5">
        <f>IF($E930="","",INDEX('Input Transaksi'!$F:$F,$E930))</f>
        <v/>
      </c>
      <c r="E930">
        <f>IFERROR(AGGREGATE(15,6,ROW('Input Transaksi'!$B$5:$B$5000)/('Input Transaksi'!$B$5:$B$5000="CL SESETAN"),ROWS($E$5:E930)),"")</f>
        <v/>
      </c>
      <c r="F930" s="5" t="n"/>
    </row>
    <row r="931">
      <c r="A931" s="10">
        <f>IF($E931="","",INDEX('Input Transaksi'!$A:$A,$E931))</f>
        <v/>
      </c>
      <c r="B931" s="5">
        <f>IF($E931="","",INDEX('Input Transaksi'!$D:$D,$E931))</f>
        <v/>
      </c>
      <c r="C931">
        <f>IF($E931="","",INDEX('Input Transaksi'!$E:$E,$E931))</f>
        <v/>
      </c>
      <c r="D931" s="5">
        <f>IF($E931="","",INDEX('Input Transaksi'!$F:$F,$E931))</f>
        <v/>
      </c>
      <c r="E931">
        <f>IFERROR(AGGREGATE(15,6,ROW('Input Transaksi'!$B$5:$B$5000)/('Input Transaksi'!$B$5:$B$5000="CL SESETAN"),ROWS($E$5:E931)),"")</f>
        <v/>
      </c>
      <c r="F931" s="5" t="n"/>
    </row>
    <row r="932">
      <c r="A932" s="10">
        <f>IF($E932="","",INDEX('Input Transaksi'!$A:$A,$E932))</f>
        <v/>
      </c>
      <c r="B932" s="5">
        <f>IF($E932="","",INDEX('Input Transaksi'!$D:$D,$E932))</f>
        <v/>
      </c>
      <c r="C932">
        <f>IF($E932="","",INDEX('Input Transaksi'!$E:$E,$E932))</f>
        <v/>
      </c>
      <c r="D932" s="5">
        <f>IF($E932="","",INDEX('Input Transaksi'!$F:$F,$E932))</f>
        <v/>
      </c>
      <c r="E932">
        <f>IFERROR(AGGREGATE(15,6,ROW('Input Transaksi'!$B$5:$B$5000)/('Input Transaksi'!$B$5:$B$5000="CL SESETAN"),ROWS($E$5:E932)),"")</f>
        <v/>
      </c>
      <c r="F932" s="5" t="n"/>
    </row>
    <row r="933">
      <c r="A933" s="10">
        <f>IF($E933="","",INDEX('Input Transaksi'!$A:$A,$E933))</f>
        <v/>
      </c>
      <c r="B933" s="5">
        <f>IF($E933="","",INDEX('Input Transaksi'!$D:$D,$E933))</f>
        <v/>
      </c>
      <c r="C933">
        <f>IF($E933="","",INDEX('Input Transaksi'!$E:$E,$E933))</f>
        <v/>
      </c>
      <c r="D933" s="5">
        <f>IF($E933="","",INDEX('Input Transaksi'!$F:$F,$E933))</f>
        <v/>
      </c>
      <c r="E933">
        <f>IFERROR(AGGREGATE(15,6,ROW('Input Transaksi'!$B$5:$B$5000)/('Input Transaksi'!$B$5:$B$5000="CL SESETAN"),ROWS($E$5:E933)),"")</f>
        <v/>
      </c>
      <c r="F933" s="5" t="n"/>
    </row>
    <row r="934">
      <c r="A934" s="10">
        <f>IF($E934="","",INDEX('Input Transaksi'!$A:$A,$E934))</f>
        <v/>
      </c>
      <c r="B934" s="5">
        <f>IF($E934="","",INDEX('Input Transaksi'!$D:$D,$E934))</f>
        <v/>
      </c>
      <c r="C934">
        <f>IF($E934="","",INDEX('Input Transaksi'!$E:$E,$E934))</f>
        <v/>
      </c>
      <c r="D934" s="5">
        <f>IF($E934="","",INDEX('Input Transaksi'!$F:$F,$E934))</f>
        <v/>
      </c>
      <c r="E934">
        <f>IFERROR(AGGREGATE(15,6,ROW('Input Transaksi'!$B$5:$B$5000)/('Input Transaksi'!$B$5:$B$5000="CL SESETAN"),ROWS($E$5:E934)),"")</f>
        <v/>
      </c>
      <c r="F934" s="5" t="n"/>
    </row>
    <row r="935">
      <c r="A935" s="10">
        <f>IF($E935="","",INDEX('Input Transaksi'!$A:$A,$E935))</f>
        <v/>
      </c>
      <c r="B935" s="5">
        <f>IF($E935="","",INDEX('Input Transaksi'!$D:$D,$E935))</f>
        <v/>
      </c>
      <c r="C935">
        <f>IF($E935="","",INDEX('Input Transaksi'!$E:$E,$E935))</f>
        <v/>
      </c>
      <c r="D935" s="5">
        <f>IF($E935="","",INDEX('Input Transaksi'!$F:$F,$E935))</f>
        <v/>
      </c>
      <c r="E935">
        <f>IFERROR(AGGREGATE(15,6,ROW('Input Transaksi'!$B$5:$B$5000)/('Input Transaksi'!$B$5:$B$5000="CL SESETAN"),ROWS($E$5:E935)),"")</f>
        <v/>
      </c>
      <c r="F935" s="5" t="n"/>
    </row>
    <row r="936">
      <c r="A936" s="10">
        <f>IF($E936="","",INDEX('Input Transaksi'!$A:$A,$E936))</f>
        <v/>
      </c>
      <c r="B936" s="5">
        <f>IF($E936="","",INDEX('Input Transaksi'!$D:$D,$E936))</f>
        <v/>
      </c>
      <c r="C936">
        <f>IF($E936="","",INDEX('Input Transaksi'!$E:$E,$E936))</f>
        <v/>
      </c>
      <c r="D936" s="5">
        <f>IF($E936="","",INDEX('Input Transaksi'!$F:$F,$E936))</f>
        <v/>
      </c>
      <c r="E936">
        <f>IFERROR(AGGREGATE(15,6,ROW('Input Transaksi'!$B$5:$B$5000)/('Input Transaksi'!$B$5:$B$5000="CL SESETAN"),ROWS($E$5:E936)),"")</f>
        <v/>
      </c>
      <c r="F936" s="5" t="n"/>
    </row>
    <row r="937">
      <c r="A937" s="10">
        <f>IF($E937="","",INDEX('Input Transaksi'!$A:$A,$E937))</f>
        <v/>
      </c>
      <c r="B937" s="5">
        <f>IF($E937="","",INDEX('Input Transaksi'!$D:$D,$E937))</f>
        <v/>
      </c>
      <c r="C937">
        <f>IF($E937="","",INDEX('Input Transaksi'!$E:$E,$E937))</f>
        <v/>
      </c>
      <c r="D937" s="5">
        <f>IF($E937="","",INDEX('Input Transaksi'!$F:$F,$E937))</f>
        <v/>
      </c>
      <c r="E937">
        <f>IFERROR(AGGREGATE(15,6,ROW('Input Transaksi'!$B$5:$B$5000)/('Input Transaksi'!$B$5:$B$5000="CL SESETAN"),ROWS($E$5:E937)),"")</f>
        <v/>
      </c>
      <c r="F937" s="5" t="n"/>
    </row>
    <row r="938">
      <c r="A938" s="10">
        <f>IF($E938="","",INDEX('Input Transaksi'!$A:$A,$E938))</f>
        <v/>
      </c>
      <c r="B938" s="5">
        <f>IF($E938="","",INDEX('Input Transaksi'!$D:$D,$E938))</f>
        <v/>
      </c>
      <c r="C938">
        <f>IF($E938="","",INDEX('Input Transaksi'!$E:$E,$E938))</f>
        <v/>
      </c>
      <c r="D938" s="5">
        <f>IF($E938="","",INDEX('Input Transaksi'!$F:$F,$E938))</f>
        <v/>
      </c>
      <c r="E938">
        <f>IFERROR(AGGREGATE(15,6,ROW('Input Transaksi'!$B$5:$B$5000)/('Input Transaksi'!$B$5:$B$5000="CL SESETAN"),ROWS($E$5:E938)),"")</f>
        <v/>
      </c>
      <c r="F938" s="5" t="n"/>
    </row>
    <row r="939">
      <c r="A939" s="10">
        <f>IF($E939="","",INDEX('Input Transaksi'!$A:$A,$E939))</f>
        <v/>
      </c>
      <c r="B939" s="5">
        <f>IF($E939="","",INDEX('Input Transaksi'!$D:$D,$E939))</f>
        <v/>
      </c>
      <c r="C939">
        <f>IF($E939="","",INDEX('Input Transaksi'!$E:$E,$E939))</f>
        <v/>
      </c>
      <c r="D939" s="5">
        <f>IF($E939="","",INDEX('Input Transaksi'!$F:$F,$E939))</f>
        <v/>
      </c>
      <c r="E939">
        <f>IFERROR(AGGREGATE(15,6,ROW('Input Transaksi'!$B$5:$B$5000)/('Input Transaksi'!$B$5:$B$5000="CL SESETAN"),ROWS($E$5:E939)),"")</f>
        <v/>
      </c>
      <c r="F939" s="5" t="n"/>
    </row>
    <row r="940">
      <c r="A940" s="10">
        <f>IF($E940="","",INDEX('Input Transaksi'!$A:$A,$E940))</f>
        <v/>
      </c>
      <c r="B940" s="5">
        <f>IF($E940="","",INDEX('Input Transaksi'!$D:$D,$E940))</f>
        <v/>
      </c>
      <c r="C940">
        <f>IF($E940="","",INDEX('Input Transaksi'!$E:$E,$E940))</f>
        <v/>
      </c>
      <c r="D940" s="5">
        <f>IF($E940="","",INDEX('Input Transaksi'!$F:$F,$E940))</f>
        <v/>
      </c>
      <c r="E940">
        <f>IFERROR(AGGREGATE(15,6,ROW('Input Transaksi'!$B$5:$B$5000)/('Input Transaksi'!$B$5:$B$5000="CL SESETAN"),ROWS($E$5:E940)),"")</f>
        <v/>
      </c>
      <c r="F940" s="5" t="n"/>
    </row>
    <row r="941">
      <c r="A941" s="10">
        <f>IF($E941="","",INDEX('Input Transaksi'!$A:$A,$E941))</f>
        <v/>
      </c>
      <c r="B941" s="5">
        <f>IF($E941="","",INDEX('Input Transaksi'!$D:$D,$E941))</f>
        <v/>
      </c>
      <c r="C941">
        <f>IF($E941="","",INDEX('Input Transaksi'!$E:$E,$E941))</f>
        <v/>
      </c>
      <c r="D941" s="5">
        <f>IF($E941="","",INDEX('Input Transaksi'!$F:$F,$E941))</f>
        <v/>
      </c>
      <c r="E941">
        <f>IFERROR(AGGREGATE(15,6,ROW('Input Transaksi'!$B$5:$B$5000)/('Input Transaksi'!$B$5:$B$5000="CL SESETAN"),ROWS($E$5:E941)),"")</f>
        <v/>
      </c>
      <c r="F941" s="5" t="n"/>
    </row>
    <row r="942">
      <c r="A942" s="10">
        <f>IF($E942="","",INDEX('Input Transaksi'!$A:$A,$E942))</f>
        <v/>
      </c>
      <c r="B942" s="5">
        <f>IF($E942="","",INDEX('Input Transaksi'!$D:$D,$E942))</f>
        <v/>
      </c>
      <c r="C942">
        <f>IF($E942="","",INDEX('Input Transaksi'!$E:$E,$E942))</f>
        <v/>
      </c>
      <c r="D942" s="5">
        <f>IF($E942="","",INDEX('Input Transaksi'!$F:$F,$E942))</f>
        <v/>
      </c>
      <c r="E942">
        <f>IFERROR(AGGREGATE(15,6,ROW('Input Transaksi'!$B$5:$B$5000)/('Input Transaksi'!$B$5:$B$5000="CL SESETAN"),ROWS($E$5:E942)),"")</f>
        <v/>
      </c>
      <c r="F942" s="5" t="n"/>
    </row>
    <row r="943">
      <c r="A943" s="10">
        <f>IF($E943="","",INDEX('Input Transaksi'!$A:$A,$E943))</f>
        <v/>
      </c>
      <c r="B943" s="5">
        <f>IF($E943="","",INDEX('Input Transaksi'!$D:$D,$E943))</f>
        <v/>
      </c>
      <c r="C943">
        <f>IF($E943="","",INDEX('Input Transaksi'!$E:$E,$E943))</f>
        <v/>
      </c>
      <c r="D943" s="5">
        <f>IF($E943="","",INDEX('Input Transaksi'!$F:$F,$E943))</f>
        <v/>
      </c>
      <c r="E943">
        <f>IFERROR(AGGREGATE(15,6,ROW('Input Transaksi'!$B$5:$B$5000)/('Input Transaksi'!$B$5:$B$5000="CL SESETAN"),ROWS($E$5:E943)),"")</f>
        <v/>
      </c>
      <c r="F943" s="5" t="n"/>
    </row>
    <row r="944">
      <c r="A944" s="10">
        <f>IF($E944="","",INDEX('Input Transaksi'!$A:$A,$E944))</f>
        <v/>
      </c>
      <c r="B944" s="5">
        <f>IF($E944="","",INDEX('Input Transaksi'!$D:$D,$E944))</f>
        <v/>
      </c>
      <c r="C944">
        <f>IF($E944="","",INDEX('Input Transaksi'!$E:$E,$E944))</f>
        <v/>
      </c>
      <c r="D944" s="5">
        <f>IF($E944="","",INDEX('Input Transaksi'!$F:$F,$E944))</f>
        <v/>
      </c>
      <c r="E944">
        <f>IFERROR(AGGREGATE(15,6,ROW('Input Transaksi'!$B$5:$B$5000)/('Input Transaksi'!$B$5:$B$5000="CL SESETAN"),ROWS($E$5:E944)),"")</f>
        <v/>
      </c>
      <c r="F944" s="5" t="n"/>
    </row>
    <row r="945">
      <c r="A945" s="10">
        <f>IF($E945="","",INDEX('Input Transaksi'!$A:$A,$E945))</f>
        <v/>
      </c>
      <c r="B945" s="5">
        <f>IF($E945="","",INDEX('Input Transaksi'!$D:$D,$E945))</f>
        <v/>
      </c>
      <c r="C945">
        <f>IF($E945="","",INDEX('Input Transaksi'!$E:$E,$E945))</f>
        <v/>
      </c>
      <c r="D945" s="5">
        <f>IF($E945="","",INDEX('Input Transaksi'!$F:$F,$E945))</f>
        <v/>
      </c>
      <c r="E945">
        <f>IFERROR(AGGREGATE(15,6,ROW('Input Transaksi'!$B$5:$B$5000)/('Input Transaksi'!$B$5:$B$5000="CL SESETAN"),ROWS($E$5:E945)),"")</f>
        <v/>
      </c>
      <c r="F945" s="5" t="n"/>
    </row>
    <row r="946">
      <c r="A946" s="10">
        <f>IF($E946="","",INDEX('Input Transaksi'!$A:$A,$E946))</f>
        <v/>
      </c>
      <c r="B946" s="5">
        <f>IF($E946="","",INDEX('Input Transaksi'!$D:$D,$E946))</f>
        <v/>
      </c>
      <c r="C946">
        <f>IF($E946="","",INDEX('Input Transaksi'!$E:$E,$E946))</f>
        <v/>
      </c>
      <c r="D946" s="5">
        <f>IF($E946="","",INDEX('Input Transaksi'!$F:$F,$E946))</f>
        <v/>
      </c>
      <c r="E946">
        <f>IFERROR(AGGREGATE(15,6,ROW('Input Transaksi'!$B$5:$B$5000)/('Input Transaksi'!$B$5:$B$5000="CL SESETAN"),ROWS($E$5:E946)),"")</f>
        <v/>
      </c>
      <c r="F946" s="5" t="n"/>
    </row>
    <row r="947">
      <c r="A947" s="10">
        <f>IF($E947="","",INDEX('Input Transaksi'!$A:$A,$E947))</f>
        <v/>
      </c>
      <c r="B947" s="5">
        <f>IF($E947="","",INDEX('Input Transaksi'!$D:$D,$E947))</f>
        <v/>
      </c>
      <c r="C947">
        <f>IF($E947="","",INDEX('Input Transaksi'!$E:$E,$E947))</f>
        <v/>
      </c>
      <c r="D947" s="5">
        <f>IF($E947="","",INDEX('Input Transaksi'!$F:$F,$E947))</f>
        <v/>
      </c>
      <c r="E947">
        <f>IFERROR(AGGREGATE(15,6,ROW('Input Transaksi'!$B$5:$B$5000)/('Input Transaksi'!$B$5:$B$5000="CL SESETAN"),ROWS($E$5:E947)),"")</f>
        <v/>
      </c>
      <c r="F947" s="5" t="n"/>
    </row>
    <row r="948">
      <c r="A948" s="10">
        <f>IF($E948="","",INDEX('Input Transaksi'!$A:$A,$E948))</f>
        <v/>
      </c>
      <c r="B948" s="5">
        <f>IF($E948="","",INDEX('Input Transaksi'!$D:$D,$E948))</f>
        <v/>
      </c>
      <c r="C948">
        <f>IF($E948="","",INDEX('Input Transaksi'!$E:$E,$E948))</f>
        <v/>
      </c>
      <c r="D948" s="5">
        <f>IF($E948="","",INDEX('Input Transaksi'!$F:$F,$E948))</f>
        <v/>
      </c>
      <c r="E948">
        <f>IFERROR(AGGREGATE(15,6,ROW('Input Transaksi'!$B$5:$B$5000)/('Input Transaksi'!$B$5:$B$5000="CL SESETAN"),ROWS($E$5:E948)),"")</f>
        <v/>
      </c>
      <c r="F948" s="5" t="n"/>
    </row>
    <row r="949">
      <c r="A949" s="10">
        <f>IF($E949="","",INDEX('Input Transaksi'!$A:$A,$E949))</f>
        <v/>
      </c>
      <c r="B949" s="5">
        <f>IF($E949="","",INDEX('Input Transaksi'!$D:$D,$E949))</f>
        <v/>
      </c>
      <c r="C949">
        <f>IF($E949="","",INDEX('Input Transaksi'!$E:$E,$E949))</f>
        <v/>
      </c>
      <c r="D949" s="5">
        <f>IF($E949="","",INDEX('Input Transaksi'!$F:$F,$E949))</f>
        <v/>
      </c>
      <c r="E949">
        <f>IFERROR(AGGREGATE(15,6,ROW('Input Transaksi'!$B$5:$B$5000)/('Input Transaksi'!$B$5:$B$5000="CL SESETAN"),ROWS($E$5:E949)),"")</f>
        <v/>
      </c>
      <c r="F949" s="5" t="n"/>
    </row>
    <row r="950">
      <c r="A950" s="10">
        <f>IF($E950="","",INDEX('Input Transaksi'!$A:$A,$E950))</f>
        <v/>
      </c>
      <c r="B950" s="5">
        <f>IF($E950="","",INDEX('Input Transaksi'!$D:$D,$E950))</f>
        <v/>
      </c>
      <c r="C950">
        <f>IF($E950="","",INDEX('Input Transaksi'!$E:$E,$E950))</f>
        <v/>
      </c>
      <c r="D950" s="5">
        <f>IF($E950="","",INDEX('Input Transaksi'!$F:$F,$E950))</f>
        <v/>
      </c>
      <c r="E950">
        <f>IFERROR(AGGREGATE(15,6,ROW('Input Transaksi'!$B$5:$B$5000)/('Input Transaksi'!$B$5:$B$5000="CL SESETAN"),ROWS($E$5:E950)),"")</f>
        <v/>
      </c>
      <c r="F950" s="5" t="n"/>
    </row>
    <row r="951">
      <c r="A951" s="10">
        <f>IF($E951="","",INDEX('Input Transaksi'!$A:$A,$E951))</f>
        <v/>
      </c>
      <c r="B951" s="5">
        <f>IF($E951="","",INDEX('Input Transaksi'!$D:$D,$E951))</f>
        <v/>
      </c>
      <c r="C951">
        <f>IF($E951="","",INDEX('Input Transaksi'!$E:$E,$E951))</f>
        <v/>
      </c>
      <c r="D951" s="5">
        <f>IF($E951="","",INDEX('Input Transaksi'!$F:$F,$E951))</f>
        <v/>
      </c>
      <c r="E951">
        <f>IFERROR(AGGREGATE(15,6,ROW('Input Transaksi'!$B$5:$B$5000)/('Input Transaksi'!$B$5:$B$5000="CL SESETAN"),ROWS($E$5:E951)),"")</f>
        <v/>
      </c>
      <c r="F951" s="5" t="n"/>
    </row>
    <row r="952">
      <c r="A952" s="10">
        <f>IF($E952="","",INDEX('Input Transaksi'!$A:$A,$E952))</f>
        <v/>
      </c>
      <c r="B952" s="5">
        <f>IF($E952="","",INDEX('Input Transaksi'!$D:$D,$E952))</f>
        <v/>
      </c>
      <c r="C952">
        <f>IF($E952="","",INDEX('Input Transaksi'!$E:$E,$E952))</f>
        <v/>
      </c>
      <c r="D952" s="5">
        <f>IF($E952="","",INDEX('Input Transaksi'!$F:$F,$E952))</f>
        <v/>
      </c>
      <c r="E952">
        <f>IFERROR(AGGREGATE(15,6,ROW('Input Transaksi'!$B$5:$B$5000)/('Input Transaksi'!$B$5:$B$5000="CL SESETAN"),ROWS($E$5:E952)),"")</f>
        <v/>
      </c>
      <c r="F952" s="5" t="n"/>
    </row>
    <row r="953">
      <c r="A953" s="10">
        <f>IF($E953="","",INDEX('Input Transaksi'!$A:$A,$E953))</f>
        <v/>
      </c>
      <c r="B953" s="5">
        <f>IF($E953="","",INDEX('Input Transaksi'!$D:$D,$E953))</f>
        <v/>
      </c>
      <c r="C953">
        <f>IF($E953="","",INDEX('Input Transaksi'!$E:$E,$E953))</f>
        <v/>
      </c>
      <c r="D953" s="5">
        <f>IF($E953="","",INDEX('Input Transaksi'!$F:$F,$E953))</f>
        <v/>
      </c>
      <c r="E953">
        <f>IFERROR(AGGREGATE(15,6,ROW('Input Transaksi'!$B$5:$B$5000)/('Input Transaksi'!$B$5:$B$5000="CL SESETAN"),ROWS($E$5:E953)),"")</f>
        <v/>
      </c>
      <c r="F953" s="5" t="n"/>
    </row>
    <row r="954">
      <c r="A954" s="10">
        <f>IF($E954="","",INDEX('Input Transaksi'!$A:$A,$E954))</f>
        <v/>
      </c>
      <c r="B954" s="5">
        <f>IF($E954="","",INDEX('Input Transaksi'!$D:$D,$E954))</f>
        <v/>
      </c>
      <c r="C954">
        <f>IF($E954="","",INDEX('Input Transaksi'!$E:$E,$E954))</f>
        <v/>
      </c>
      <c r="D954" s="5">
        <f>IF($E954="","",INDEX('Input Transaksi'!$F:$F,$E954))</f>
        <v/>
      </c>
      <c r="E954">
        <f>IFERROR(AGGREGATE(15,6,ROW('Input Transaksi'!$B$5:$B$5000)/('Input Transaksi'!$B$5:$B$5000="CL SESETAN"),ROWS($E$5:E954)),"")</f>
        <v/>
      </c>
      <c r="F954" s="5" t="n"/>
    </row>
    <row r="955">
      <c r="A955" s="10">
        <f>IF($E955="","",INDEX('Input Transaksi'!$A:$A,$E955))</f>
        <v/>
      </c>
      <c r="B955" s="5">
        <f>IF($E955="","",INDEX('Input Transaksi'!$D:$D,$E955))</f>
        <v/>
      </c>
      <c r="C955">
        <f>IF($E955="","",INDEX('Input Transaksi'!$E:$E,$E955))</f>
        <v/>
      </c>
      <c r="D955" s="5">
        <f>IF($E955="","",INDEX('Input Transaksi'!$F:$F,$E955))</f>
        <v/>
      </c>
      <c r="E955">
        <f>IFERROR(AGGREGATE(15,6,ROW('Input Transaksi'!$B$5:$B$5000)/('Input Transaksi'!$B$5:$B$5000="CL SESETAN"),ROWS($E$5:E955)),"")</f>
        <v/>
      </c>
      <c r="F955" s="5" t="n"/>
    </row>
    <row r="956">
      <c r="A956" s="10">
        <f>IF($E956="","",INDEX('Input Transaksi'!$A:$A,$E956))</f>
        <v/>
      </c>
      <c r="B956" s="5">
        <f>IF($E956="","",INDEX('Input Transaksi'!$D:$D,$E956))</f>
        <v/>
      </c>
      <c r="C956">
        <f>IF($E956="","",INDEX('Input Transaksi'!$E:$E,$E956))</f>
        <v/>
      </c>
      <c r="D956" s="5">
        <f>IF($E956="","",INDEX('Input Transaksi'!$F:$F,$E956))</f>
        <v/>
      </c>
      <c r="E956">
        <f>IFERROR(AGGREGATE(15,6,ROW('Input Transaksi'!$B$5:$B$5000)/('Input Transaksi'!$B$5:$B$5000="CL SESETAN"),ROWS($E$5:E956)),"")</f>
        <v/>
      </c>
      <c r="F956" s="5" t="n"/>
    </row>
    <row r="957">
      <c r="A957" s="10">
        <f>IF($E957="","",INDEX('Input Transaksi'!$A:$A,$E957))</f>
        <v/>
      </c>
      <c r="B957" s="5">
        <f>IF($E957="","",INDEX('Input Transaksi'!$D:$D,$E957))</f>
        <v/>
      </c>
      <c r="C957">
        <f>IF($E957="","",INDEX('Input Transaksi'!$E:$E,$E957))</f>
        <v/>
      </c>
      <c r="D957" s="5">
        <f>IF($E957="","",INDEX('Input Transaksi'!$F:$F,$E957))</f>
        <v/>
      </c>
      <c r="E957">
        <f>IFERROR(AGGREGATE(15,6,ROW('Input Transaksi'!$B$5:$B$5000)/('Input Transaksi'!$B$5:$B$5000="CL SESETAN"),ROWS($E$5:E957)),"")</f>
        <v/>
      </c>
      <c r="F957" s="5" t="n"/>
    </row>
    <row r="958">
      <c r="A958" s="10">
        <f>IF($E958="","",INDEX('Input Transaksi'!$A:$A,$E958))</f>
        <v/>
      </c>
      <c r="B958" s="5">
        <f>IF($E958="","",INDEX('Input Transaksi'!$D:$D,$E958))</f>
        <v/>
      </c>
      <c r="C958">
        <f>IF($E958="","",INDEX('Input Transaksi'!$E:$E,$E958))</f>
        <v/>
      </c>
      <c r="D958" s="5">
        <f>IF($E958="","",INDEX('Input Transaksi'!$F:$F,$E958))</f>
        <v/>
      </c>
      <c r="E958">
        <f>IFERROR(AGGREGATE(15,6,ROW('Input Transaksi'!$B$5:$B$5000)/('Input Transaksi'!$B$5:$B$5000="CL SESETAN"),ROWS($E$5:E958)),"")</f>
        <v/>
      </c>
      <c r="F958" s="5" t="n"/>
    </row>
    <row r="959">
      <c r="A959" s="10">
        <f>IF($E959="","",INDEX('Input Transaksi'!$A:$A,$E959))</f>
        <v/>
      </c>
      <c r="B959" s="5">
        <f>IF($E959="","",INDEX('Input Transaksi'!$D:$D,$E959))</f>
        <v/>
      </c>
      <c r="C959">
        <f>IF($E959="","",INDEX('Input Transaksi'!$E:$E,$E959))</f>
        <v/>
      </c>
      <c r="D959" s="5">
        <f>IF($E959="","",INDEX('Input Transaksi'!$F:$F,$E959))</f>
        <v/>
      </c>
      <c r="E959">
        <f>IFERROR(AGGREGATE(15,6,ROW('Input Transaksi'!$B$5:$B$5000)/('Input Transaksi'!$B$5:$B$5000="CL SESETAN"),ROWS($E$5:E959)),"")</f>
        <v/>
      </c>
      <c r="F959" s="5" t="n"/>
    </row>
    <row r="960">
      <c r="A960" s="10">
        <f>IF($E960="","",INDEX('Input Transaksi'!$A:$A,$E960))</f>
        <v/>
      </c>
      <c r="B960" s="5">
        <f>IF($E960="","",INDEX('Input Transaksi'!$D:$D,$E960))</f>
        <v/>
      </c>
      <c r="C960">
        <f>IF($E960="","",INDEX('Input Transaksi'!$E:$E,$E960))</f>
        <v/>
      </c>
      <c r="D960" s="5">
        <f>IF($E960="","",INDEX('Input Transaksi'!$F:$F,$E960))</f>
        <v/>
      </c>
      <c r="E960">
        <f>IFERROR(AGGREGATE(15,6,ROW('Input Transaksi'!$B$5:$B$5000)/('Input Transaksi'!$B$5:$B$5000="CL SESETAN"),ROWS($E$5:E960)),"")</f>
        <v/>
      </c>
      <c r="F960" s="5" t="n"/>
    </row>
    <row r="961">
      <c r="A961" s="10">
        <f>IF($E961="","",INDEX('Input Transaksi'!$A:$A,$E961))</f>
        <v/>
      </c>
      <c r="B961" s="5">
        <f>IF($E961="","",INDEX('Input Transaksi'!$D:$D,$E961))</f>
        <v/>
      </c>
      <c r="C961">
        <f>IF($E961="","",INDEX('Input Transaksi'!$E:$E,$E961))</f>
        <v/>
      </c>
      <c r="D961" s="5">
        <f>IF($E961="","",INDEX('Input Transaksi'!$F:$F,$E961))</f>
        <v/>
      </c>
      <c r="E961">
        <f>IFERROR(AGGREGATE(15,6,ROW('Input Transaksi'!$B$5:$B$5000)/('Input Transaksi'!$B$5:$B$5000="CL SESETAN"),ROWS($E$5:E961)),"")</f>
        <v/>
      </c>
      <c r="F961" s="5" t="n"/>
    </row>
    <row r="962">
      <c r="A962" s="10">
        <f>IF($E962="","",INDEX('Input Transaksi'!$A:$A,$E962))</f>
        <v/>
      </c>
      <c r="B962" s="5">
        <f>IF($E962="","",INDEX('Input Transaksi'!$D:$D,$E962))</f>
        <v/>
      </c>
      <c r="C962">
        <f>IF($E962="","",INDEX('Input Transaksi'!$E:$E,$E962))</f>
        <v/>
      </c>
      <c r="D962" s="5">
        <f>IF($E962="","",INDEX('Input Transaksi'!$F:$F,$E962))</f>
        <v/>
      </c>
      <c r="E962">
        <f>IFERROR(AGGREGATE(15,6,ROW('Input Transaksi'!$B$5:$B$5000)/('Input Transaksi'!$B$5:$B$5000="CL SESETAN"),ROWS($E$5:E962)),"")</f>
        <v/>
      </c>
      <c r="F962" s="5" t="n"/>
    </row>
    <row r="963">
      <c r="A963" s="10">
        <f>IF($E963="","",INDEX('Input Transaksi'!$A:$A,$E963))</f>
        <v/>
      </c>
      <c r="B963" s="5">
        <f>IF($E963="","",INDEX('Input Transaksi'!$D:$D,$E963))</f>
        <v/>
      </c>
      <c r="C963">
        <f>IF($E963="","",INDEX('Input Transaksi'!$E:$E,$E963))</f>
        <v/>
      </c>
      <c r="D963" s="5">
        <f>IF($E963="","",INDEX('Input Transaksi'!$F:$F,$E963))</f>
        <v/>
      </c>
      <c r="E963">
        <f>IFERROR(AGGREGATE(15,6,ROW('Input Transaksi'!$B$5:$B$5000)/('Input Transaksi'!$B$5:$B$5000="CL SESETAN"),ROWS($E$5:E963)),"")</f>
        <v/>
      </c>
      <c r="F963" s="5" t="n"/>
    </row>
    <row r="964">
      <c r="A964" s="10">
        <f>IF($E964="","",INDEX('Input Transaksi'!$A:$A,$E964))</f>
        <v/>
      </c>
      <c r="B964" s="5">
        <f>IF($E964="","",INDEX('Input Transaksi'!$D:$D,$E964))</f>
        <v/>
      </c>
      <c r="C964">
        <f>IF($E964="","",INDEX('Input Transaksi'!$E:$E,$E964))</f>
        <v/>
      </c>
      <c r="D964" s="5">
        <f>IF($E964="","",INDEX('Input Transaksi'!$F:$F,$E964))</f>
        <v/>
      </c>
      <c r="E964">
        <f>IFERROR(AGGREGATE(15,6,ROW('Input Transaksi'!$B$5:$B$5000)/('Input Transaksi'!$B$5:$B$5000="CL SESETAN"),ROWS($E$5:E964)),"")</f>
        <v/>
      </c>
      <c r="F964" s="5" t="n"/>
    </row>
    <row r="965">
      <c r="A965" s="10">
        <f>IF($E965="","",INDEX('Input Transaksi'!$A:$A,$E965))</f>
        <v/>
      </c>
      <c r="B965" s="5">
        <f>IF($E965="","",INDEX('Input Transaksi'!$D:$D,$E965))</f>
        <v/>
      </c>
      <c r="C965">
        <f>IF($E965="","",INDEX('Input Transaksi'!$E:$E,$E965))</f>
        <v/>
      </c>
      <c r="D965" s="5">
        <f>IF($E965="","",INDEX('Input Transaksi'!$F:$F,$E965))</f>
        <v/>
      </c>
      <c r="E965">
        <f>IFERROR(AGGREGATE(15,6,ROW('Input Transaksi'!$B$5:$B$5000)/('Input Transaksi'!$B$5:$B$5000="CL SESETAN"),ROWS($E$5:E965)),"")</f>
        <v/>
      </c>
      <c r="F965" s="5" t="n"/>
    </row>
    <row r="966">
      <c r="A966" s="10">
        <f>IF($E966="","",INDEX('Input Transaksi'!$A:$A,$E966))</f>
        <v/>
      </c>
      <c r="B966" s="5">
        <f>IF($E966="","",INDEX('Input Transaksi'!$D:$D,$E966))</f>
        <v/>
      </c>
      <c r="C966">
        <f>IF($E966="","",INDEX('Input Transaksi'!$E:$E,$E966))</f>
        <v/>
      </c>
      <c r="D966" s="5">
        <f>IF($E966="","",INDEX('Input Transaksi'!$F:$F,$E966))</f>
        <v/>
      </c>
      <c r="E966">
        <f>IFERROR(AGGREGATE(15,6,ROW('Input Transaksi'!$B$5:$B$5000)/('Input Transaksi'!$B$5:$B$5000="CL SESETAN"),ROWS($E$5:E966)),"")</f>
        <v/>
      </c>
      <c r="F966" s="5" t="n"/>
    </row>
    <row r="967">
      <c r="A967" s="10">
        <f>IF($E967="","",INDEX('Input Transaksi'!$A:$A,$E967))</f>
        <v/>
      </c>
      <c r="B967" s="5">
        <f>IF($E967="","",INDEX('Input Transaksi'!$D:$D,$E967))</f>
        <v/>
      </c>
      <c r="C967">
        <f>IF($E967="","",INDEX('Input Transaksi'!$E:$E,$E967))</f>
        <v/>
      </c>
      <c r="D967" s="5">
        <f>IF($E967="","",INDEX('Input Transaksi'!$F:$F,$E967))</f>
        <v/>
      </c>
      <c r="E967">
        <f>IFERROR(AGGREGATE(15,6,ROW('Input Transaksi'!$B$5:$B$5000)/('Input Transaksi'!$B$5:$B$5000="CL SESETAN"),ROWS($E$5:E967)),"")</f>
        <v/>
      </c>
      <c r="F967" s="5" t="n"/>
    </row>
    <row r="968">
      <c r="A968" s="10">
        <f>IF($E968="","",INDEX('Input Transaksi'!$A:$A,$E968))</f>
        <v/>
      </c>
      <c r="B968" s="5">
        <f>IF($E968="","",INDEX('Input Transaksi'!$D:$D,$E968))</f>
        <v/>
      </c>
      <c r="C968">
        <f>IF($E968="","",INDEX('Input Transaksi'!$E:$E,$E968))</f>
        <v/>
      </c>
      <c r="D968" s="5">
        <f>IF($E968="","",INDEX('Input Transaksi'!$F:$F,$E968))</f>
        <v/>
      </c>
      <c r="E968">
        <f>IFERROR(AGGREGATE(15,6,ROW('Input Transaksi'!$B$5:$B$5000)/('Input Transaksi'!$B$5:$B$5000="CL SESETAN"),ROWS($E$5:E968)),"")</f>
        <v/>
      </c>
      <c r="F968" s="5" t="n"/>
    </row>
    <row r="969">
      <c r="A969" s="10">
        <f>IF($E969="","",INDEX('Input Transaksi'!$A:$A,$E969))</f>
        <v/>
      </c>
      <c r="B969" s="5">
        <f>IF($E969="","",INDEX('Input Transaksi'!$D:$D,$E969))</f>
        <v/>
      </c>
      <c r="C969">
        <f>IF($E969="","",INDEX('Input Transaksi'!$E:$E,$E969))</f>
        <v/>
      </c>
      <c r="D969" s="5">
        <f>IF($E969="","",INDEX('Input Transaksi'!$F:$F,$E969))</f>
        <v/>
      </c>
      <c r="E969">
        <f>IFERROR(AGGREGATE(15,6,ROW('Input Transaksi'!$B$5:$B$5000)/('Input Transaksi'!$B$5:$B$5000="CL SESETAN"),ROWS($E$5:E969)),"")</f>
        <v/>
      </c>
      <c r="F969" s="5" t="n"/>
    </row>
    <row r="970">
      <c r="A970" s="10">
        <f>IF($E970="","",INDEX('Input Transaksi'!$A:$A,$E970))</f>
        <v/>
      </c>
      <c r="B970" s="5">
        <f>IF($E970="","",INDEX('Input Transaksi'!$D:$D,$E970))</f>
        <v/>
      </c>
      <c r="C970">
        <f>IF($E970="","",INDEX('Input Transaksi'!$E:$E,$E970))</f>
        <v/>
      </c>
      <c r="D970" s="5">
        <f>IF($E970="","",INDEX('Input Transaksi'!$F:$F,$E970))</f>
        <v/>
      </c>
      <c r="E970">
        <f>IFERROR(AGGREGATE(15,6,ROW('Input Transaksi'!$B$5:$B$5000)/('Input Transaksi'!$B$5:$B$5000="CL SESETAN"),ROWS($E$5:E970)),"")</f>
        <v/>
      </c>
      <c r="F970" s="5" t="n"/>
    </row>
    <row r="971">
      <c r="A971" s="10">
        <f>IF($E971="","",INDEX('Input Transaksi'!$A:$A,$E971))</f>
        <v/>
      </c>
      <c r="B971" s="5">
        <f>IF($E971="","",INDEX('Input Transaksi'!$D:$D,$E971))</f>
        <v/>
      </c>
      <c r="C971">
        <f>IF($E971="","",INDEX('Input Transaksi'!$E:$E,$E971))</f>
        <v/>
      </c>
      <c r="D971" s="5">
        <f>IF($E971="","",INDEX('Input Transaksi'!$F:$F,$E971))</f>
        <v/>
      </c>
      <c r="E971">
        <f>IFERROR(AGGREGATE(15,6,ROW('Input Transaksi'!$B$5:$B$5000)/('Input Transaksi'!$B$5:$B$5000="CL SESETAN"),ROWS($E$5:E971)),"")</f>
        <v/>
      </c>
      <c r="F971" s="5" t="n"/>
    </row>
    <row r="972">
      <c r="A972" s="10">
        <f>IF($E972="","",INDEX('Input Transaksi'!$A:$A,$E972))</f>
        <v/>
      </c>
      <c r="B972" s="5">
        <f>IF($E972="","",INDEX('Input Transaksi'!$D:$D,$E972))</f>
        <v/>
      </c>
      <c r="C972">
        <f>IF($E972="","",INDEX('Input Transaksi'!$E:$E,$E972))</f>
        <v/>
      </c>
      <c r="D972" s="5">
        <f>IF($E972="","",INDEX('Input Transaksi'!$F:$F,$E972))</f>
        <v/>
      </c>
      <c r="E972">
        <f>IFERROR(AGGREGATE(15,6,ROW('Input Transaksi'!$B$5:$B$5000)/('Input Transaksi'!$B$5:$B$5000="CL SESETAN"),ROWS($E$5:E972)),"")</f>
        <v/>
      </c>
      <c r="F972" s="5" t="n"/>
    </row>
    <row r="973">
      <c r="A973" s="10">
        <f>IF($E973="","",INDEX('Input Transaksi'!$A:$A,$E973))</f>
        <v/>
      </c>
      <c r="B973" s="5">
        <f>IF($E973="","",INDEX('Input Transaksi'!$D:$D,$E973))</f>
        <v/>
      </c>
      <c r="C973">
        <f>IF($E973="","",INDEX('Input Transaksi'!$E:$E,$E973))</f>
        <v/>
      </c>
      <c r="D973" s="5">
        <f>IF($E973="","",INDEX('Input Transaksi'!$F:$F,$E973))</f>
        <v/>
      </c>
      <c r="E973">
        <f>IFERROR(AGGREGATE(15,6,ROW('Input Transaksi'!$B$5:$B$5000)/('Input Transaksi'!$B$5:$B$5000="CL SESETAN"),ROWS($E$5:E973)),"")</f>
        <v/>
      </c>
      <c r="F973" s="5" t="n"/>
    </row>
    <row r="974">
      <c r="A974" s="10">
        <f>IF($E974="","",INDEX('Input Transaksi'!$A:$A,$E974))</f>
        <v/>
      </c>
      <c r="B974" s="5">
        <f>IF($E974="","",INDEX('Input Transaksi'!$D:$D,$E974))</f>
        <v/>
      </c>
      <c r="C974">
        <f>IF($E974="","",INDEX('Input Transaksi'!$E:$E,$E974))</f>
        <v/>
      </c>
      <c r="D974" s="5">
        <f>IF($E974="","",INDEX('Input Transaksi'!$F:$F,$E974))</f>
        <v/>
      </c>
      <c r="E974">
        <f>IFERROR(AGGREGATE(15,6,ROW('Input Transaksi'!$B$5:$B$5000)/('Input Transaksi'!$B$5:$B$5000="CL SESETAN"),ROWS($E$5:E974)),"")</f>
        <v/>
      </c>
      <c r="F974" s="5" t="n"/>
    </row>
    <row r="975">
      <c r="A975" s="10">
        <f>IF($E975="","",INDEX('Input Transaksi'!$A:$A,$E975))</f>
        <v/>
      </c>
      <c r="B975" s="5">
        <f>IF($E975="","",INDEX('Input Transaksi'!$D:$D,$E975))</f>
        <v/>
      </c>
      <c r="C975">
        <f>IF($E975="","",INDEX('Input Transaksi'!$E:$E,$E975))</f>
        <v/>
      </c>
      <c r="D975" s="5">
        <f>IF($E975="","",INDEX('Input Transaksi'!$F:$F,$E975))</f>
        <v/>
      </c>
      <c r="E975">
        <f>IFERROR(AGGREGATE(15,6,ROW('Input Transaksi'!$B$5:$B$5000)/('Input Transaksi'!$B$5:$B$5000="CL SESETAN"),ROWS($E$5:E975)),"")</f>
        <v/>
      </c>
      <c r="F975" s="5" t="n"/>
    </row>
    <row r="976">
      <c r="A976" s="10">
        <f>IF($E976="","",INDEX('Input Transaksi'!$A:$A,$E976))</f>
        <v/>
      </c>
      <c r="B976" s="5">
        <f>IF($E976="","",INDEX('Input Transaksi'!$D:$D,$E976))</f>
        <v/>
      </c>
      <c r="C976">
        <f>IF($E976="","",INDEX('Input Transaksi'!$E:$E,$E976))</f>
        <v/>
      </c>
      <c r="D976" s="5">
        <f>IF($E976="","",INDEX('Input Transaksi'!$F:$F,$E976))</f>
        <v/>
      </c>
      <c r="E976">
        <f>IFERROR(AGGREGATE(15,6,ROW('Input Transaksi'!$B$5:$B$5000)/('Input Transaksi'!$B$5:$B$5000="CL SESETAN"),ROWS($E$5:E976)),"")</f>
        <v/>
      </c>
      <c r="F976" s="5" t="n"/>
    </row>
    <row r="977">
      <c r="A977" s="10">
        <f>IF($E977="","",INDEX('Input Transaksi'!$A:$A,$E977))</f>
        <v/>
      </c>
      <c r="B977" s="5">
        <f>IF($E977="","",INDEX('Input Transaksi'!$D:$D,$E977))</f>
        <v/>
      </c>
      <c r="C977">
        <f>IF($E977="","",INDEX('Input Transaksi'!$E:$E,$E977))</f>
        <v/>
      </c>
      <c r="D977" s="5">
        <f>IF($E977="","",INDEX('Input Transaksi'!$F:$F,$E977))</f>
        <v/>
      </c>
      <c r="E977">
        <f>IFERROR(AGGREGATE(15,6,ROW('Input Transaksi'!$B$5:$B$5000)/('Input Transaksi'!$B$5:$B$5000="CL SESETAN"),ROWS($E$5:E977)),"")</f>
        <v/>
      </c>
      <c r="F977" s="5" t="n"/>
    </row>
    <row r="978">
      <c r="A978" s="10">
        <f>IF($E978="","",INDEX('Input Transaksi'!$A:$A,$E978))</f>
        <v/>
      </c>
      <c r="B978" s="5">
        <f>IF($E978="","",INDEX('Input Transaksi'!$D:$D,$E978))</f>
        <v/>
      </c>
      <c r="C978">
        <f>IF($E978="","",INDEX('Input Transaksi'!$E:$E,$E978))</f>
        <v/>
      </c>
      <c r="D978" s="5">
        <f>IF($E978="","",INDEX('Input Transaksi'!$F:$F,$E978))</f>
        <v/>
      </c>
      <c r="E978">
        <f>IFERROR(AGGREGATE(15,6,ROW('Input Transaksi'!$B$5:$B$5000)/('Input Transaksi'!$B$5:$B$5000="CL SESETAN"),ROWS($E$5:E978)),"")</f>
        <v/>
      </c>
      <c r="F978" s="5" t="n"/>
    </row>
    <row r="979">
      <c r="A979" s="10">
        <f>IF($E979="","",INDEX('Input Transaksi'!$A:$A,$E979))</f>
        <v/>
      </c>
      <c r="B979" s="5">
        <f>IF($E979="","",INDEX('Input Transaksi'!$D:$D,$E979))</f>
        <v/>
      </c>
      <c r="C979">
        <f>IF($E979="","",INDEX('Input Transaksi'!$E:$E,$E979))</f>
        <v/>
      </c>
      <c r="D979" s="5">
        <f>IF($E979="","",INDEX('Input Transaksi'!$F:$F,$E979))</f>
        <v/>
      </c>
      <c r="E979">
        <f>IFERROR(AGGREGATE(15,6,ROW('Input Transaksi'!$B$5:$B$5000)/('Input Transaksi'!$B$5:$B$5000="CL SESETAN"),ROWS($E$5:E979)),"")</f>
        <v/>
      </c>
      <c r="F979" s="5" t="n"/>
    </row>
    <row r="980">
      <c r="A980" s="10">
        <f>IF($E980="","",INDEX('Input Transaksi'!$A:$A,$E980))</f>
        <v/>
      </c>
      <c r="B980" s="5">
        <f>IF($E980="","",INDEX('Input Transaksi'!$D:$D,$E980))</f>
        <v/>
      </c>
      <c r="C980">
        <f>IF($E980="","",INDEX('Input Transaksi'!$E:$E,$E980))</f>
        <v/>
      </c>
      <c r="D980" s="5">
        <f>IF($E980="","",INDEX('Input Transaksi'!$F:$F,$E980))</f>
        <v/>
      </c>
      <c r="E980">
        <f>IFERROR(AGGREGATE(15,6,ROW('Input Transaksi'!$B$5:$B$5000)/('Input Transaksi'!$B$5:$B$5000="CL SESETAN"),ROWS($E$5:E980)),"")</f>
        <v/>
      </c>
      <c r="F980" s="5" t="n"/>
    </row>
    <row r="981">
      <c r="A981" s="10">
        <f>IF($E981="","",INDEX('Input Transaksi'!$A:$A,$E981))</f>
        <v/>
      </c>
      <c r="B981" s="5">
        <f>IF($E981="","",INDEX('Input Transaksi'!$D:$D,$E981))</f>
        <v/>
      </c>
      <c r="C981">
        <f>IF($E981="","",INDEX('Input Transaksi'!$E:$E,$E981))</f>
        <v/>
      </c>
      <c r="D981" s="5">
        <f>IF($E981="","",INDEX('Input Transaksi'!$F:$F,$E981))</f>
        <v/>
      </c>
      <c r="E981">
        <f>IFERROR(AGGREGATE(15,6,ROW('Input Transaksi'!$B$5:$B$5000)/('Input Transaksi'!$B$5:$B$5000="CL SESETAN"),ROWS($E$5:E981)),"")</f>
        <v/>
      </c>
      <c r="F981" s="5" t="n"/>
    </row>
    <row r="982">
      <c r="A982" s="10">
        <f>IF($E982="","",INDEX('Input Transaksi'!$A:$A,$E982))</f>
        <v/>
      </c>
      <c r="B982" s="5">
        <f>IF($E982="","",INDEX('Input Transaksi'!$D:$D,$E982))</f>
        <v/>
      </c>
      <c r="C982">
        <f>IF($E982="","",INDEX('Input Transaksi'!$E:$E,$E982))</f>
        <v/>
      </c>
      <c r="D982" s="5">
        <f>IF($E982="","",INDEX('Input Transaksi'!$F:$F,$E982))</f>
        <v/>
      </c>
      <c r="E982">
        <f>IFERROR(AGGREGATE(15,6,ROW('Input Transaksi'!$B$5:$B$5000)/('Input Transaksi'!$B$5:$B$5000="CL SESETAN"),ROWS($E$5:E982)),"")</f>
        <v/>
      </c>
      <c r="F982" s="5" t="n"/>
    </row>
    <row r="983">
      <c r="A983" s="10">
        <f>IF($E983="","",INDEX('Input Transaksi'!$A:$A,$E983))</f>
        <v/>
      </c>
      <c r="B983" s="5">
        <f>IF($E983="","",INDEX('Input Transaksi'!$D:$D,$E983))</f>
        <v/>
      </c>
      <c r="C983">
        <f>IF($E983="","",INDEX('Input Transaksi'!$E:$E,$E983))</f>
        <v/>
      </c>
      <c r="D983" s="5">
        <f>IF($E983="","",INDEX('Input Transaksi'!$F:$F,$E983))</f>
        <v/>
      </c>
      <c r="E983">
        <f>IFERROR(AGGREGATE(15,6,ROW('Input Transaksi'!$B$5:$B$5000)/('Input Transaksi'!$B$5:$B$5000="CL SESETAN"),ROWS($E$5:E983)),"")</f>
        <v/>
      </c>
      <c r="F983" s="5" t="n"/>
    </row>
    <row r="984">
      <c r="A984" s="10">
        <f>IF($E984="","",INDEX('Input Transaksi'!$A:$A,$E984))</f>
        <v/>
      </c>
      <c r="B984" s="5">
        <f>IF($E984="","",INDEX('Input Transaksi'!$D:$D,$E984))</f>
        <v/>
      </c>
      <c r="C984">
        <f>IF($E984="","",INDEX('Input Transaksi'!$E:$E,$E984))</f>
        <v/>
      </c>
      <c r="D984" s="5">
        <f>IF($E984="","",INDEX('Input Transaksi'!$F:$F,$E984))</f>
        <v/>
      </c>
      <c r="E984">
        <f>IFERROR(AGGREGATE(15,6,ROW('Input Transaksi'!$B$5:$B$5000)/('Input Transaksi'!$B$5:$B$5000="CL SESETAN"),ROWS($E$5:E984)),"")</f>
        <v/>
      </c>
      <c r="F984" s="5" t="n"/>
    </row>
    <row r="985">
      <c r="A985" s="10">
        <f>IF($E985="","",INDEX('Input Transaksi'!$A:$A,$E985))</f>
        <v/>
      </c>
      <c r="B985" s="5">
        <f>IF($E985="","",INDEX('Input Transaksi'!$D:$D,$E985))</f>
        <v/>
      </c>
      <c r="C985">
        <f>IF($E985="","",INDEX('Input Transaksi'!$E:$E,$E985))</f>
        <v/>
      </c>
      <c r="D985" s="5">
        <f>IF($E985="","",INDEX('Input Transaksi'!$F:$F,$E985))</f>
        <v/>
      </c>
      <c r="E985">
        <f>IFERROR(AGGREGATE(15,6,ROW('Input Transaksi'!$B$5:$B$5000)/('Input Transaksi'!$B$5:$B$5000="CL SESETAN"),ROWS($E$5:E985)),"")</f>
        <v/>
      </c>
      <c r="F985" s="5" t="n"/>
    </row>
    <row r="986">
      <c r="A986" s="10">
        <f>IF($E986="","",INDEX('Input Transaksi'!$A:$A,$E986))</f>
        <v/>
      </c>
      <c r="B986" s="5">
        <f>IF($E986="","",INDEX('Input Transaksi'!$D:$D,$E986))</f>
        <v/>
      </c>
      <c r="C986">
        <f>IF($E986="","",INDEX('Input Transaksi'!$E:$E,$E986))</f>
        <v/>
      </c>
      <c r="D986" s="5">
        <f>IF($E986="","",INDEX('Input Transaksi'!$F:$F,$E986))</f>
        <v/>
      </c>
      <c r="E986">
        <f>IFERROR(AGGREGATE(15,6,ROW('Input Transaksi'!$B$5:$B$5000)/('Input Transaksi'!$B$5:$B$5000="CL SESETAN"),ROWS($E$5:E986)),"")</f>
        <v/>
      </c>
      <c r="F986" s="5" t="n"/>
    </row>
    <row r="987">
      <c r="A987" s="10">
        <f>IF($E987="","",INDEX('Input Transaksi'!$A:$A,$E987))</f>
        <v/>
      </c>
      <c r="B987" s="5">
        <f>IF($E987="","",INDEX('Input Transaksi'!$D:$D,$E987))</f>
        <v/>
      </c>
      <c r="C987">
        <f>IF($E987="","",INDEX('Input Transaksi'!$E:$E,$E987))</f>
        <v/>
      </c>
      <c r="D987" s="5">
        <f>IF($E987="","",INDEX('Input Transaksi'!$F:$F,$E987))</f>
        <v/>
      </c>
      <c r="E987">
        <f>IFERROR(AGGREGATE(15,6,ROW('Input Transaksi'!$B$5:$B$5000)/('Input Transaksi'!$B$5:$B$5000="CL SESETAN"),ROWS($E$5:E987)),"")</f>
        <v/>
      </c>
      <c r="F987" s="5" t="n"/>
    </row>
    <row r="988">
      <c r="A988" s="10">
        <f>IF($E988="","",INDEX('Input Transaksi'!$A:$A,$E988))</f>
        <v/>
      </c>
      <c r="B988" s="5">
        <f>IF($E988="","",INDEX('Input Transaksi'!$D:$D,$E988))</f>
        <v/>
      </c>
      <c r="C988">
        <f>IF($E988="","",INDEX('Input Transaksi'!$E:$E,$E988))</f>
        <v/>
      </c>
      <c r="D988" s="5">
        <f>IF($E988="","",INDEX('Input Transaksi'!$F:$F,$E988))</f>
        <v/>
      </c>
      <c r="E988">
        <f>IFERROR(AGGREGATE(15,6,ROW('Input Transaksi'!$B$5:$B$5000)/('Input Transaksi'!$B$5:$B$5000="CL SESETAN"),ROWS($E$5:E988)),"")</f>
        <v/>
      </c>
      <c r="F988" s="5" t="n"/>
    </row>
    <row r="989">
      <c r="A989" s="10">
        <f>IF($E989="","",INDEX('Input Transaksi'!$A:$A,$E989))</f>
        <v/>
      </c>
      <c r="B989" s="5">
        <f>IF($E989="","",INDEX('Input Transaksi'!$D:$D,$E989))</f>
        <v/>
      </c>
      <c r="C989">
        <f>IF($E989="","",INDEX('Input Transaksi'!$E:$E,$E989))</f>
        <v/>
      </c>
      <c r="D989" s="5">
        <f>IF($E989="","",INDEX('Input Transaksi'!$F:$F,$E989))</f>
        <v/>
      </c>
      <c r="E989">
        <f>IFERROR(AGGREGATE(15,6,ROW('Input Transaksi'!$B$5:$B$5000)/('Input Transaksi'!$B$5:$B$5000="CL SESETAN"),ROWS($E$5:E989)),"")</f>
        <v/>
      </c>
      <c r="F989" s="5" t="n"/>
    </row>
    <row r="990">
      <c r="A990" s="10">
        <f>IF($E990="","",INDEX('Input Transaksi'!$A:$A,$E990))</f>
        <v/>
      </c>
      <c r="B990" s="5">
        <f>IF($E990="","",INDEX('Input Transaksi'!$D:$D,$E990))</f>
        <v/>
      </c>
      <c r="C990">
        <f>IF($E990="","",INDEX('Input Transaksi'!$E:$E,$E990))</f>
        <v/>
      </c>
      <c r="D990" s="5">
        <f>IF($E990="","",INDEX('Input Transaksi'!$F:$F,$E990))</f>
        <v/>
      </c>
      <c r="E990">
        <f>IFERROR(AGGREGATE(15,6,ROW('Input Transaksi'!$B$5:$B$5000)/('Input Transaksi'!$B$5:$B$5000="CL SESETAN"),ROWS($E$5:E990)),"")</f>
        <v/>
      </c>
      <c r="F990" s="5" t="n"/>
    </row>
    <row r="991">
      <c r="A991" s="10">
        <f>IF($E991="","",INDEX('Input Transaksi'!$A:$A,$E991))</f>
        <v/>
      </c>
      <c r="B991" s="5">
        <f>IF($E991="","",INDEX('Input Transaksi'!$D:$D,$E991))</f>
        <v/>
      </c>
      <c r="C991">
        <f>IF($E991="","",INDEX('Input Transaksi'!$E:$E,$E991))</f>
        <v/>
      </c>
      <c r="D991" s="5">
        <f>IF($E991="","",INDEX('Input Transaksi'!$F:$F,$E991))</f>
        <v/>
      </c>
      <c r="E991">
        <f>IFERROR(AGGREGATE(15,6,ROW('Input Transaksi'!$B$5:$B$5000)/('Input Transaksi'!$B$5:$B$5000="CL SESETAN"),ROWS($E$5:E991)),"")</f>
        <v/>
      </c>
      <c r="F991" s="5" t="n"/>
    </row>
    <row r="992">
      <c r="A992" s="10">
        <f>IF($E992="","",INDEX('Input Transaksi'!$A:$A,$E992))</f>
        <v/>
      </c>
      <c r="B992" s="5">
        <f>IF($E992="","",INDEX('Input Transaksi'!$D:$D,$E992))</f>
        <v/>
      </c>
      <c r="C992">
        <f>IF($E992="","",INDEX('Input Transaksi'!$E:$E,$E992))</f>
        <v/>
      </c>
      <c r="D992" s="5">
        <f>IF($E992="","",INDEX('Input Transaksi'!$F:$F,$E992))</f>
        <v/>
      </c>
      <c r="E992">
        <f>IFERROR(AGGREGATE(15,6,ROW('Input Transaksi'!$B$5:$B$5000)/('Input Transaksi'!$B$5:$B$5000="CL SESETAN"),ROWS($E$5:E992)),"")</f>
        <v/>
      </c>
      <c r="F992" s="5" t="n"/>
    </row>
    <row r="993">
      <c r="A993" s="10">
        <f>IF($E993="","",INDEX('Input Transaksi'!$A:$A,$E993))</f>
        <v/>
      </c>
      <c r="B993" s="5">
        <f>IF($E993="","",INDEX('Input Transaksi'!$D:$D,$E993))</f>
        <v/>
      </c>
      <c r="C993">
        <f>IF($E993="","",INDEX('Input Transaksi'!$E:$E,$E993))</f>
        <v/>
      </c>
      <c r="D993" s="5">
        <f>IF($E993="","",INDEX('Input Transaksi'!$F:$F,$E993))</f>
        <v/>
      </c>
      <c r="E993">
        <f>IFERROR(AGGREGATE(15,6,ROW('Input Transaksi'!$B$5:$B$5000)/('Input Transaksi'!$B$5:$B$5000="CL SESETAN"),ROWS($E$5:E993)),"")</f>
        <v/>
      </c>
      <c r="F993" s="5" t="n"/>
    </row>
    <row r="994">
      <c r="A994" s="10">
        <f>IF($E994="","",INDEX('Input Transaksi'!$A:$A,$E994))</f>
        <v/>
      </c>
      <c r="B994" s="5">
        <f>IF($E994="","",INDEX('Input Transaksi'!$D:$D,$E994))</f>
        <v/>
      </c>
      <c r="C994">
        <f>IF($E994="","",INDEX('Input Transaksi'!$E:$E,$E994))</f>
        <v/>
      </c>
      <c r="D994" s="5">
        <f>IF($E994="","",INDEX('Input Transaksi'!$F:$F,$E994))</f>
        <v/>
      </c>
      <c r="E994">
        <f>IFERROR(AGGREGATE(15,6,ROW('Input Transaksi'!$B$5:$B$5000)/('Input Transaksi'!$B$5:$B$5000="CL SESETAN"),ROWS($E$5:E994)),"")</f>
        <v/>
      </c>
      <c r="F994" s="5" t="n"/>
    </row>
    <row r="995">
      <c r="A995" s="10">
        <f>IF($E995="","",INDEX('Input Transaksi'!$A:$A,$E995))</f>
        <v/>
      </c>
      <c r="B995" s="5">
        <f>IF($E995="","",INDEX('Input Transaksi'!$D:$D,$E995))</f>
        <v/>
      </c>
      <c r="C995">
        <f>IF($E995="","",INDEX('Input Transaksi'!$E:$E,$E995))</f>
        <v/>
      </c>
      <c r="D995" s="5">
        <f>IF($E995="","",INDEX('Input Transaksi'!$F:$F,$E995))</f>
        <v/>
      </c>
      <c r="E995">
        <f>IFERROR(AGGREGATE(15,6,ROW('Input Transaksi'!$B$5:$B$5000)/('Input Transaksi'!$B$5:$B$5000="CL SESETAN"),ROWS($E$5:E995)),"")</f>
        <v/>
      </c>
      <c r="F995" s="5" t="n"/>
    </row>
    <row r="996">
      <c r="A996" s="10">
        <f>IF($E996="","",INDEX('Input Transaksi'!$A:$A,$E996))</f>
        <v/>
      </c>
      <c r="B996" s="5">
        <f>IF($E996="","",INDEX('Input Transaksi'!$D:$D,$E996))</f>
        <v/>
      </c>
      <c r="C996">
        <f>IF($E996="","",INDEX('Input Transaksi'!$E:$E,$E996))</f>
        <v/>
      </c>
      <c r="D996" s="5">
        <f>IF($E996="","",INDEX('Input Transaksi'!$F:$F,$E996))</f>
        <v/>
      </c>
      <c r="E996">
        <f>IFERROR(AGGREGATE(15,6,ROW('Input Transaksi'!$B$5:$B$5000)/('Input Transaksi'!$B$5:$B$5000="CL SESETAN"),ROWS($E$5:E996)),"")</f>
        <v/>
      </c>
      <c r="F996" s="5" t="n"/>
    </row>
    <row r="997">
      <c r="A997" s="10">
        <f>IF($E997="","",INDEX('Input Transaksi'!$A:$A,$E997))</f>
        <v/>
      </c>
      <c r="B997" s="5">
        <f>IF($E997="","",INDEX('Input Transaksi'!$D:$D,$E997))</f>
        <v/>
      </c>
      <c r="C997">
        <f>IF($E997="","",INDEX('Input Transaksi'!$E:$E,$E997))</f>
        <v/>
      </c>
      <c r="D997" s="5">
        <f>IF($E997="","",INDEX('Input Transaksi'!$F:$F,$E997))</f>
        <v/>
      </c>
      <c r="E997">
        <f>IFERROR(AGGREGATE(15,6,ROW('Input Transaksi'!$B$5:$B$5000)/('Input Transaksi'!$B$5:$B$5000="CL SESETAN"),ROWS($E$5:E997)),"")</f>
        <v/>
      </c>
      <c r="F997" s="5" t="n"/>
    </row>
    <row r="998">
      <c r="A998" s="10">
        <f>IF($E998="","",INDEX('Input Transaksi'!$A:$A,$E998))</f>
        <v/>
      </c>
      <c r="B998" s="5">
        <f>IF($E998="","",INDEX('Input Transaksi'!$D:$D,$E998))</f>
        <v/>
      </c>
      <c r="C998">
        <f>IF($E998="","",INDEX('Input Transaksi'!$E:$E,$E998))</f>
        <v/>
      </c>
      <c r="D998" s="5">
        <f>IF($E998="","",INDEX('Input Transaksi'!$F:$F,$E998))</f>
        <v/>
      </c>
      <c r="E998">
        <f>IFERROR(AGGREGATE(15,6,ROW('Input Transaksi'!$B$5:$B$5000)/('Input Transaksi'!$B$5:$B$5000="CL SESETAN"),ROWS($E$5:E998)),"")</f>
        <v/>
      </c>
      <c r="F998" s="5" t="n"/>
    </row>
    <row r="999">
      <c r="A999" s="10">
        <f>IF($E999="","",INDEX('Input Transaksi'!$A:$A,$E999))</f>
        <v/>
      </c>
      <c r="B999" s="5">
        <f>IF($E999="","",INDEX('Input Transaksi'!$D:$D,$E999))</f>
        <v/>
      </c>
      <c r="C999">
        <f>IF($E999="","",INDEX('Input Transaksi'!$E:$E,$E999))</f>
        <v/>
      </c>
      <c r="D999" s="5">
        <f>IF($E999="","",INDEX('Input Transaksi'!$F:$F,$E999))</f>
        <v/>
      </c>
      <c r="E999">
        <f>IFERROR(AGGREGATE(15,6,ROW('Input Transaksi'!$B$5:$B$5000)/('Input Transaksi'!$B$5:$B$5000="CL SESETAN"),ROWS($E$5:E999)),"")</f>
        <v/>
      </c>
      <c r="F999" s="5" t="n"/>
    </row>
    <row r="1000">
      <c r="A1000" s="10">
        <f>IF($E1000="","",INDEX('Input Transaksi'!$A:$A,$E1000))</f>
        <v/>
      </c>
      <c r="B1000" s="5">
        <f>IF($E1000="","",INDEX('Input Transaksi'!$D:$D,$E1000))</f>
        <v/>
      </c>
      <c r="C1000">
        <f>IF($E1000="","",INDEX('Input Transaksi'!$E:$E,$E1000))</f>
        <v/>
      </c>
      <c r="D1000" s="5">
        <f>IF($E1000="","",INDEX('Input Transaksi'!$F:$F,$E1000))</f>
        <v/>
      </c>
      <c r="E1000">
        <f>IFERROR(AGGREGATE(15,6,ROW('Input Transaksi'!$B$5:$B$5000)/('Input Transaksi'!$B$5:$B$5000="CL SESETAN"),ROWS($E$5:E1000)),"")</f>
        <v/>
      </c>
      <c r="F1000" s="5" t="n"/>
    </row>
  </sheetData>
  <mergeCells count="1">
    <mergeCell ref="A1:E1"/>
  </mergeCells>
  <hyperlinks>
    <hyperlink ref="F1" location="'Beranda'!A1" display="Kembali ke Beranda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000"/>
  <sheetViews>
    <sheetView workbookViewId="0">
      <pane ySplit="4" topLeftCell="A5" activePane="bottomLeft" state="frozen"/>
      <selection pane="bottomLeft" activeCell="A1" sqref="A1"/>
    </sheetView>
  </sheetViews>
  <sheetFormatPr baseColWidth="10" defaultColWidth="8.83203125" defaultRowHeight="15"/>
  <cols>
    <col width="16" customWidth="1" min="1" max="1"/>
    <col width="22" customWidth="1" min="2" max="2"/>
    <col width="12" customWidth="1" min="3" max="3"/>
    <col width="26" customWidth="1" min="4" max="4"/>
    <col hidden="1" width="12.6640625" customWidth="1" min="5" max="5"/>
    <col width="16" customWidth="1" min="6" max="6"/>
    <col hidden="1" width="13" customWidth="1" min="7" max="7"/>
  </cols>
  <sheetData>
    <row r="1" ht="24" customHeight="1">
      <c r="A1" s="11" t="inlineStr">
        <is>
          <t>GRIYA ANYAR</t>
        </is>
      </c>
      <c r="F1" s="3" t="inlineStr">
        <is>
          <t>Kembali ke Beranda</t>
        </is>
      </c>
    </row>
    <row r="2">
      <c r="A2" s="13" t="inlineStr">
        <is>
          <t>Wilayah</t>
        </is>
      </c>
      <c r="B2" s="13" t="inlineStr">
        <is>
          <t>SELATAN</t>
        </is>
      </c>
      <c r="C2" s="13" t="inlineStr">
        <is>
          <t>Total Qty</t>
        </is>
      </c>
      <c r="D2" s="2">
        <f>SUMIFS('Input Transaksi'!$E$5:$E$5000,'Input Transaksi'!$B$5:$B$5000,"GRIYA ANYAR")</f>
        <v/>
      </c>
      <c r="E2" s="13" t="inlineStr">
        <is>
          <t>Jumlah Transaksi</t>
        </is>
      </c>
      <c r="F2" s="2">
        <f>COUNTIF('Input Transaksi'!$B$5:$B$5000,"GRIYA ANYAR")</f>
        <v/>
      </c>
    </row>
    <row r="3"/>
    <row r="4">
      <c r="A4" s="4" t="inlineStr">
        <is>
          <t>Tanggal</t>
        </is>
      </c>
      <c r="B4" s="4" t="inlineStr">
        <is>
          <t>Item</t>
        </is>
      </c>
      <c r="C4" s="4" t="inlineStr">
        <is>
          <t>Qty Keluar</t>
        </is>
      </c>
      <c r="D4" s="4" t="inlineStr">
        <is>
          <t>Catatan</t>
        </is>
      </c>
      <c r="E4" t="inlineStr">
        <is>
          <t>RowRef</t>
        </is>
      </c>
      <c r="F4" s="4" t="n"/>
    </row>
    <row r="5">
      <c r="A5" s="10">
        <f>IF($E5="","",INDEX('Input Transaksi'!$A:$A,$E5))</f>
        <v/>
      </c>
      <c r="B5" s="5">
        <f>IF($E5="","",INDEX('Input Transaksi'!$D:$D,$E5))</f>
        <v/>
      </c>
      <c r="C5">
        <f>IF($E5="","",INDEX('Input Transaksi'!$E:$E,$E5))</f>
        <v/>
      </c>
      <c r="D5" s="5">
        <f>IF($E5="","",INDEX('Input Transaksi'!$F:$F,$E5))</f>
        <v/>
      </c>
      <c r="E5">
        <f>IFERROR(AGGREGATE(15,6,ROW('Input Transaksi'!$B$5:$B$5000)/('Input Transaksi'!$B$5:$B$5000="GRIYA ANYAR"),ROWS($E$5:E5)),"")</f>
        <v/>
      </c>
      <c r="F5" s="5" t="n"/>
    </row>
    <row r="6">
      <c r="A6" s="10">
        <f>IF($E6="","",INDEX('Input Transaksi'!$A:$A,$E6))</f>
        <v/>
      </c>
      <c r="B6" s="5">
        <f>IF($E6="","",INDEX('Input Transaksi'!$D:$D,$E6))</f>
        <v/>
      </c>
      <c r="C6">
        <f>IF($E6="","",INDEX('Input Transaksi'!$E:$E,$E6))</f>
        <v/>
      </c>
      <c r="D6" s="5">
        <f>IF($E6="","",INDEX('Input Transaksi'!$F:$F,$E6))</f>
        <v/>
      </c>
      <c r="E6">
        <f>IFERROR(AGGREGATE(15,6,ROW('Input Transaksi'!$B$5:$B$5000)/('Input Transaksi'!$B$5:$B$5000="GRIYA ANYAR"),ROWS($E$5:E6)),"")</f>
        <v/>
      </c>
      <c r="F6" s="5" t="n"/>
    </row>
    <row r="7">
      <c r="A7" s="10">
        <f>IF($E7="","",INDEX('Input Transaksi'!$A:$A,$E7))</f>
        <v/>
      </c>
      <c r="B7" s="5">
        <f>IF($E7="","",INDEX('Input Transaksi'!$D:$D,$E7))</f>
        <v/>
      </c>
      <c r="C7">
        <f>IF($E7="","",INDEX('Input Transaksi'!$E:$E,$E7))</f>
        <v/>
      </c>
      <c r="D7" s="5">
        <f>IF($E7="","",INDEX('Input Transaksi'!$F:$F,$E7))</f>
        <v/>
      </c>
      <c r="E7">
        <f>IFERROR(AGGREGATE(15,6,ROW('Input Transaksi'!$B$5:$B$5000)/('Input Transaksi'!$B$5:$B$5000="GRIYA ANYAR"),ROWS($E$5:E7)),"")</f>
        <v/>
      </c>
      <c r="F7" s="5" t="n"/>
    </row>
    <row r="8">
      <c r="A8" s="10">
        <f>IF($E8="","",INDEX('Input Transaksi'!$A:$A,$E8))</f>
        <v/>
      </c>
      <c r="B8" s="5">
        <f>IF($E8="","",INDEX('Input Transaksi'!$D:$D,$E8))</f>
        <v/>
      </c>
      <c r="C8">
        <f>IF($E8="","",INDEX('Input Transaksi'!$E:$E,$E8))</f>
        <v/>
      </c>
      <c r="D8" s="5">
        <f>IF($E8="","",INDEX('Input Transaksi'!$F:$F,$E8))</f>
        <v/>
      </c>
      <c r="E8">
        <f>IFERROR(AGGREGATE(15,6,ROW('Input Transaksi'!$B$5:$B$5000)/('Input Transaksi'!$B$5:$B$5000="GRIYA ANYAR"),ROWS($E$5:E8)),"")</f>
        <v/>
      </c>
      <c r="F8" s="5" t="n"/>
    </row>
    <row r="9">
      <c r="A9" s="10">
        <f>IF($E9="","",INDEX('Input Transaksi'!$A:$A,$E9))</f>
        <v/>
      </c>
      <c r="B9" s="5">
        <f>IF($E9="","",INDEX('Input Transaksi'!$D:$D,$E9))</f>
        <v/>
      </c>
      <c r="C9">
        <f>IF($E9="","",INDEX('Input Transaksi'!$E:$E,$E9))</f>
        <v/>
      </c>
      <c r="D9" s="5">
        <f>IF($E9="","",INDEX('Input Transaksi'!$F:$F,$E9))</f>
        <v/>
      </c>
      <c r="E9">
        <f>IFERROR(AGGREGATE(15,6,ROW('Input Transaksi'!$B$5:$B$5000)/('Input Transaksi'!$B$5:$B$5000="GRIYA ANYAR"),ROWS($E$5:E9)),"")</f>
        <v/>
      </c>
      <c r="F9" s="5" t="n"/>
    </row>
    <row r="10">
      <c r="A10" s="10">
        <f>IF($E10="","",INDEX('Input Transaksi'!$A:$A,$E10))</f>
        <v/>
      </c>
      <c r="B10" s="5">
        <f>IF($E10="","",INDEX('Input Transaksi'!$D:$D,$E10))</f>
        <v/>
      </c>
      <c r="C10">
        <f>IF($E10="","",INDEX('Input Transaksi'!$E:$E,$E10))</f>
        <v/>
      </c>
      <c r="D10" s="5">
        <f>IF($E10="","",INDEX('Input Transaksi'!$F:$F,$E10))</f>
        <v/>
      </c>
      <c r="E10">
        <f>IFERROR(AGGREGATE(15,6,ROW('Input Transaksi'!$B$5:$B$5000)/('Input Transaksi'!$B$5:$B$5000="GRIYA ANYAR"),ROWS($E$5:E10)),"")</f>
        <v/>
      </c>
      <c r="F10" s="5" t="n"/>
    </row>
    <row r="11">
      <c r="A11" s="10">
        <f>IF($E11="","",INDEX('Input Transaksi'!$A:$A,$E11))</f>
        <v/>
      </c>
      <c r="B11" s="5">
        <f>IF($E11="","",INDEX('Input Transaksi'!$D:$D,$E11))</f>
        <v/>
      </c>
      <c r="C11">
        <f>IF($E11="","",INDEX('Input Transaksi'!$E:$E,$E11))</f>
        <v/>
      </c>
      <c r="D11" s="5">
        <f>IF($E11="","",INDEX('Input Transaksi'!$F:$F,$E11))</f>
        <v/>
      </c>
      <c r="E11">
        <f>IFERROR(AGGREGATE(15,6,ROW('Input Transaksi'!$B$5:$B$5000)/('Input Transaksi'!$B$5:$B$5000="GRIYA ANYAR"),ROWS($E$5:E11)),"")</f>
        <v/>
      </c>
      <c r="F11" s="5" t="n"/>
    </row>
    <row r="12">
      <c r="A12" s="10">
        <f>IF($E12="","",INDEX('Input Transaksi'!$A:$A,$E12))</f>
        <v/>
      </c>
      <c r="B12" s="5">
        <f>IF($E12="","",INDEX('Input Transaksi'!$D:$D,$E12))</f>
        <v/>
      </c>
      <c r="C12">
        <f>IF($E12="","",INDEX('Input Transaksi'!$E:$E,$E12))</f>
        <v/>
      </c>
      <c r="D12" s="5">
        <f>IF($E12="","",INDEX('Input Transaksi'!$F:$F,$E12))</f>
        <v/>
      </c>
      <c r="E12">
        <f>IFERROR(AGGREGATE(15,6,ROW('Input Transaksi'!$B$5:$B$5000)/('Input Transaksi'!$B$5:$B$5000="GRIYA ANYAR"),ROWS($E$5:E12)),"")</f>
        <v/>
      </c>
      <c r="F12" s="5" t="n"/>
    </row>
    <row r="13">
      <c r="A13" s="10">
        <f>IF($E13="","",INDEX('Input Transaksi'!$A:$A,$E13))</f>
        <v/>
      </c>
      <c r="B13" s="5">
        <f>IF($E13="","",INDEX('Input Transaksi'!$D:$D,$E13))</f>
        <v/>
      </c>
      <c r="C13">
        <f>IF($E13="","",INDEX('Input Transaksi'!$E:$E,$E13))</f>
        <v/>
      </c>
      <c r="D13" s="5">
        <f>IF($E13="","",INDEX('Input Transaksi'!$F:$F,$E13))</f>
        <v/>
      </c>
      <c r="E13">
        <f>IFERROR(AGGREGATE(15,6,ROW('Input Transaksi'!$B$5:$B$5000)/('Input Transaksi'!$B$5:$B$5000="GRIYA ANYAR"),ROWS($E$5:E13)),"")</f>
        <v/>
      </c>
      <c r="F13" s="5" t="n"/>
    </row>
    <row r="14">
      <c r="A14" s="10">
        <f>IF($E14="","",INDEX('Input Transaksi'!$A:$A,$E14))</f>
        <v/>
      </c>
      <c r="B14" s="5">
        <f>IF($E14="","",INDEX('Input Transaksi'!$D:$D,$E14))</f>
        <v/>
      </c>
      <c r="C14">
        <f>IF($E14="","",INDEX('Input Transaksi'!$E:$E,$E14))</f>
        <v/>
      </c>
      <c r="D14" s="5">
        <f>IF($E14="","",INDEX('Input Transaksi'!$F:$F,$E14))</f>
        <v/>
      </c>
      <c r="E14">
        <f>IFERROR(AGGREGATE(15,6,ROW('Input Transaksi'!$B$5:$B$5000)/('Input Transaksi'!$B$5:$B$5000="GRIYA ANYAR"),ROWS($E$5:E14)),"")</f>
        <v/>
      </c>
      <c r="F14" s="5" t="n"/>
    </row>
    <row r="15">
      <c r="A15" s="10">
        <f>IF($E15="","",INDEX('Input Transaksi'!$A:$A,$E15))</f>
        <v/>
      </c>
      <c r="B15" s="5">
        <f>IF($E15="","",INDEX('Input Transaksi'!$D:$D,$E15))</f>
        <v/>
      </c>
      <c r="C15">
        <f>IF($E15="","",INDEX('Input Transaksi'!$E:$E,$E15))</f>
        <v/>
      </c>
      <c r="D15" s="5">
        <f>IF($E15="","",INDEX('Input Transaksi'!$F:$F,$E15))</f>
        <v/>
      </c>
      <c r="E15">
        <f>IFERROR(AGGREGATE(15,6,ROW('Input Transaksi'!$B$5:$B$5000)/('Input Transaksi'!$B$5:$B$5000="GRIYA ANYAR"),ROWS($E$5:E15)),"")</f>
        <v/>
      </c>
      <c r="F15" s="5" t="n"/>
    </row>
    <row r="16">
      <c r="A16" s="10">
        <f>IF($E16="","",INDEX('Input Transaksi'!$A:$A,$E16))</f>
        <v/>
      </c>
      <c r="B16" s="5">
        <f>IF($E16="","",INDEX('Input Transaksi'!$D:$D,$E16))</f>
        <v/>
      </c>
      <c r="C16">
        <f>IF($E16="","",INDEX('Input Transaksi'!$E:$E,$E16))</f>
        <v/>
      </c>
      <c r="D16" s="5">
        <f>IF($E16="","",INDEX('Input Transaksi'!$F:$F,$E16))</f>
        <v/>
      </c>
      <c r="E16">
        <f>IFERROR(AGGREGATE(15,6,ROW('Input Transaksi'!$B$5:$B$5000)/('Input Transaksi'!$B$5:$B$5000="GRIYA ANYAR"),ROWS($E$5:E16)),"")</f>
        <v/>
      </c>
      <c r="F16" s="5" t="n"/>
    </row>
    <row r="17">
      <c r="A17" s="10">
        <f>IF($E17="","",INDEX('Input Transaksi'!$A:$A,$E17))</f>
        <v/>
      </c>
      <c r="B17" s="5">
        <f>IF($E17="","",INDEX('Input Transaksi'!$D:$D,$E17))</f>
        <v/>
      </c>
      <c r="C17">
        <f>IF($E17="","",INDEX('Input Transaksi'!$E:$E,$E17))</f>
        <v/>
      </c>
      <c r="D17" s="5">
        <f>IF($E17="","",INDEX('Input Transaksi'!$F:$F,$E17))</f>
        <v/>
      </c>
      <c r="E17">
        <f>IFERROR(AGGREGATE(15,6,ROW('Input Transaksi'!$B$5:$B$5000)/('Input Transaksi'!$B$5:$B$5000="GRIYA ANYAR"),ROWS($E$5:E17)),"")</f>
        <v/>
      </c>
      <c r="F17" s="5" t="n"/>
    </row>
    <row r="18">
      <c r="A18" s="10">
        <f>IF($E18="","",INDEX('Input Transaksi'!$A:$A,$E18))</f>
        <v/>
      </c>
      <c r="B18" s="5">
        <f>IF($E18="","",INDEX('Input Transaksi'!$D:$D,$E18))</f>
        <v/>
      </c>
      <c r="C18">
        <f>IF($E18="","",INDEX('Input Transaksi'!$E:$E,$E18))</f>
        <v/>
      </c>
      <c r="D18" s="5">
        <f>IF($E18="","",INDEX('Input Transaksi'!$F:$F,$E18))</f>
        <v/>
      </c>
      <c r="E18">
        <f>IFERROR(AGGREGATE(15,6,ROW('Input Transaksi'!$B$5:$B$5000)/('Input Transaksi'!$B$5:$B$5000="GRIYA ANYAR"),ROWS($E$5:E18)),"")</f>
        <v/>
      </c>
      <c r="F18" s="5" t="n"/>
    </row>
    <row r="19">
      <c r="A19" s="10">
        <f>IF($E19="","",INDEX('Input Transaksi'!$A:$A,$E19))</f>
        <v/>
      </c>
      <c r="B19" s="5">
        <f>IF($E19="","",INDEX('Input Transaksi'!$D:$D,$E19))</f>
        <v/>
      </c>
      <c r="C19">
        <f>IF($E19="","",INDEX('Input Transaksi'!$E:$E,$E19))</f>
        <v/>
      </c>
      <c r="D19" s="5">
        <f>IF($E19="","",INDEX('Input Transaksi'!$F:$F,$E19))</f>
        <v/>
      </c>
      <c r="E19">
        <f>IFERROR(AGGREGATE(15,6,ROW('Input Transaksi'!$B$5:$B$5000)/('Input Transaksi'!$B$5:$B$5000="GRIYA ANYAR"),ROWS($E$5:E19)),"")</f>
        <v/>
      </c>
      <c r="F19" s="5" t="n"/>
    </row>
    <row r="20">
      <c r="A20" s="10">
        <f>IF($E20="","",INDEX('Input Transaksi'!$A:$A,$E20))</f>
        <v/>
      </c>
      <c r="B20" s="5">
        <f>IF($E20="","",INDEX('Input Transaksi'!$D:$D,$E20))</f>
        <v/>
      </c>
      <c r="C20">
        <f>IF($E20="","",INDEX('Input Transaksi'!$E:$E,$E20))</f>
        <v/>
      </c>
      <c r="D20" s="5">
        <f>IF($E20="","",INDEX('Input Transaksi'!$F:$F,$E20))</f>
        <v/>
      </c>
      <c r="E20">
        <f>IFERROR(AGGREGATE(15,6,ROW('Input Transaksi'!$B$5:$B$5000)/('Input Transaksi'!$B$5:$B$5000="GRIYA ANYAR"),ROWS($E$5:E20)),"")</f>
        <v/>
      </c>
      <c r="F20" s="5" t="n"/>
    </row>
    <row r="21">
      <c r="A21" s="10">
        <f>IF($E21="","",INDEX('Input Transaksi'!$A:$A,$E21))</f>
        <v/>
      </c>
      <c r="B21" s="5">
        <f>IF($E21="","",INDEX('Input Transaksi'!$D:$D,$E21))</f>
        <v/>
      </c>
      <c r="C21">
        <f>IF($E21="","",INDEX('Input Transaksi'!$E:$E,$E21))</f>
        <v/>
      </c>
      <c r="D21" s="5">
        <f>IF($E21="","",INDEX('Input Transaksi'!$F:$F,$E21))</f>
        <v/>
      </c>
      <c r="E21">
        <f>IFERROR(AGGREGATE(15,6,ROW('Input Transaksi'!$B$5:$B$5000)/('Input Transaksi'!$B$5:$B$5000="GRIYA ANYAR"),ROWS($E$5:E21)),"")</f>
        <v/>
      </c>
      <c r="F21" s="5" t="n"/>
    </row>
    <row r="22">
      <c r="A22" s="10">
        <f>IF($E22="","",INDEX('Input Transaksi'!$A:$A,$E22))</f>
        <v/>
      </c>
      <c r="B22" s="5">
        <f>IF($E22="","",INDEX('Input Transaksi'!$D:$D,$E22))</f>
        <v/>
      </c>
      <c r="C22">
        <f>IF($E22="","",INDEX('Input Transaksi'!$E:$E,$E22))</f>
        <v/>
      </c>
      <c r="D22" s="5">
        <f>IF($E22="","",INDEX('Input Transaksi'!$F:$F,$E22))</f>
        <v/>
      </c>
      <c r="E22">
        <f>IFERROR(AGGREGATE(15,6,ROW('Input Transaksi'!$B$5:$B$5000)/('Input Transaksi'!$B$5:$B$5000="GRIYA ANYAR"),ROWS($E$5:E22)),"")</f>
        <v/>
      </c>
      <c r="F22" s="5" t="n"/>
    </row>
    <row r="23">
      <c r="A23" s="10">
        <f>IF($E23="","",INDEX('Input Transaksi'!$A:$A,$E23))</f>
        <v/>
      </c>
      <c r="B23" s="5">
        <f>IF($E23="","",INDEX('Input Transaksi'!$D:$D,$E23))</f>
        <v/>
      </c>
      <c r="C23">
        <f>IF($E23="","",INDEX('Input Transaksi'!$E:$E,$E23))</f>
        <v/>
      </c>
      <c r="D23" s="5">
        <f>IF($E23="","",INDEX('Input Transaksi'!$F:$F,$E23))</f>
        <v/>
      </c>
      <c r="E23">
        <f>IFERROR(AGGREGATE(15,6,ROW('Input Transaksi'!$B$5:$B$5000)/('Input Transaksi'!$B$5:$B$5000="GRIYA ANYAR"),ROWS($E$5:E23)),"")</f>
        <v/>
      </c>
      <c r="F23" s="5" t="n"/>
    </row>
    <row r="24">
      <c r="A24" s="10">
        <f>IF($E24="","",INDEX('Input Transaksi'!$A:$A,$E24))</f>
        <v/>
      </c>
      <c r="B24" s="5">
        <f>IF($E24="","",INDEX('Input Transaksi'!$D:$D,$E24))</f>
        <v/>
      </c>
      <c r="C24">
        <f>IF($E24="","",INDEX('Input Transaksi'!$E:$E,$E24))</f>
        <v/>
      </c>
      <c r="D24" s="5">
        <f>IF($E24="","",INDEX('Input Transaksi'!$F:$F,$E24))</f>
        <v/>
      </c>
      <c r="E24">
        <f>IFERROR(AGGREGATE(15,6,ROW('Input Transaksi'!$B$5:$B$5000)/('Input Transaksi'!$B$5:$B$5000="GRIYA ANYAR"),ROWS($E$5:E24)),"")</f>
        <v/>
      </c>
      <c r="F24" s="5" t="n"/>
    </row>
    <row r="25">
      <c r="A25" s="10">
        <f>IF($E25="","",INDEX('Input Transaksi'!$A:$A,$E25))</f>
        <v/>
      </c>
      <c r="B25" s="5">
        <f>IF($E25="","",INDEX('Input Transaksi'!$D:$D,$E25))</f>
        <v/>
      </c>
      <c r="C25">
        <f>IF($E25="","",INDEX('Input Transaksi'!$E:$E,$E25))</f>
        <v/>
      </c>
      <c r="D25" s="5">
        <f>IF($E25="","",INDEX('Input Transaksi'!$F:$F,$E25))</f>
        <v/>
      </c>
      <c r="E25">
        <f>IFERROR(AGGREGATE(15,6,ROW('Input Transaksi'!$B$5:$B$5000)/('Input Transaksi'!$B$5:$B$5000="GRIYA ANYAR"),ROWS($E$5:E25)),"")</f>
        <v/>
      </c>
      <c r="F25" s="5" t="n"/>
    </row>
    <row r="26">
      <c r="A26" s="10">
        <f>IF($E26="","",INDEX('Input Transaksi'!$A:$A,$E26))</f>
        <v/>
      </c>
      <c r="B26" s="5">
        <f>IF($E26="","",INDEX('Input Transaksi'!$D:$D,$E26))</f>
        <v/>
      </c>
      <c r="C26">
        <f>IF($E26="","",INDEX('Input Transaksi'!$E:$E,$E26))</f>
        <v/>
      </c>
      <c r="D26" s="5">
        <f>IF($E26="","",INDEX('Input Transaksi'!$F:$F,$E26))</f>
        <v/>
      </c>
      <c r="E26">
        <f>IFERROR(AGGREGATE(15,6,ROW('Input Transaksi'!$B$5:$B$5000)/('Input Transaksi'!$B$5:$B$5000="GRIYA ANYAR"),ROWS($E$5:E26)),"")</f>
        <v/>
      </c>
      <c r="F26" s="5" t="n"/>
    </row>
    <row r="27">
      <c r="A27" s="10">
        <f>IF($E27="","",INDEX('Input Transaksi'!$A:$A,$E27))</f>
        <v/>
      </c>
      <c r="B27" s="5">
        <f>IF($E27="","",INDEX('Input Transaksi'!$D:$D,$E27))</f>
        <v/>
      </c>
      <c r="C27">
        <f>IF($E27="","",INDEX('Input Transaksi'!$E:$E,$E27))</f>
        <v/>
      </c>
      <c r="D27" s="5">
        <f>IF($E27="","",INDEX('Input Transaksi'!$F:$F,$E27))</f>
        <v/>
      </c>
      <c r="E27">
        <f>IFERROR(AGGREGATE(15,6,ROW('Input Transaksi'!$B$5:$B$5000)/('Input Transaksi'!$B$5:$B$5000="GRIYA ANYAR"),ROWS($E$5:E27)),"")</f>
        <v/>
      </c>
      <c r="F27" s="5" t="n"/>
    </row>
    <row r="28">
      <c r="A28" s="10">
        <f>IF($E28="","",INDEX('Input Transaksi'!$A:$A,$E28))</f>
        <v/>
      </c>
      <c r="B28" s="5">
        <f>IF($E28="","",INDEX('Input Transaksi'!$D:$D,$E28))</f>
        <v/>
      </c>
      <c r="C28">
        <f>IF($E28="","",INDEX('Input Transaksi'!$E:$E,$E28))</f>
        <v/>
      </c>
      <c r="D28" s="5">
        <f>IF($E28="","",INDEX('Input Transaksi'!$F:$F,$E28))</f>
        <v/>
      </c>
      <c r="E28">
        <f>IFERROR(AGGREGATE(15,6,ROW('Input Transaksi'!$B$5:$B$5000)/('Input Transaksi'!$B$5:$B$5000="GRIYA ANYAR"),ROWS($E$5:E28)),"")</f>
        <v/>
      </c>
      <c r="F28" s="5" t="n"/>
    </row>
    <row r="29">
      <c r="A29" s="10">
        <f>IF($E29="","",INDEX('Input Transaksi'!$A:$A,$E29))</f>
        <v/>
      </c>
      <c r="B29" s="5">
        <f>IF($E29="","",INDEX('Input Transaksi'!$D:$D,$E29))</f>
        <v/>
      </c>
      <c r="C29">
        <f>IF($E29="","",INDEX('Input Transaksi'!$E:$E,$E29))</f>
        <v/>
      </c>
      <c r="D29" s="5">
        <f>IF($E29="","",INDEX('Input Transaksi'!$F:$F,$E29))</f>
        <v/>
      </c>
      <c r="E29">
        <f>IFERROR(AGGREGATE(15,6,ROW('Input Transaksi'!$B$5:$B$5000)/('Input Transaksi'!$B$5:$B$5000="GRIYA ANYAR"),ROWS($E$5:E29)),"")</f>
        <v/>
      </c>
      <c r="F29" s="5" t="n"/>
    </row>
    <row r="30">
      <c r="A30" s="10">
        <f>IF($E30="","",INDEX('Input Transaksi'!$A:$A,$E30))</f>
        <v/>
      </c>
      <c r="B30" s="5">
        <f>IF($E30="","",INDEX('Input Transaksi'!$D:$D,$E30))</f>
        <v/>
      </c>
      <c r="C30">
        <f>IF($E30="","",INDEX('Input Transaksi'!$E:$E,$E30))</f>
        <v/>
      </c>
      <c r="D30" s="5">
        <f>IF($E30="","",INDEX('Input Transaksi'!$F:$F,$E30))</f>
        <v/>
      </c>
      <c r="E30">
        <f>IFERROR(AGGREGATE(15,6,ROW('Input Transaksi'!$B$5:$B$5000)/('Input Transaksi'!$B$5:$B$5000="GRIYA ANYAR"),ROWS($E$5:E30)),"")</f>
        <v/>
      </c>
      <c r="F30" s="5" t="n"/>
    </row>
    <row r="31">
      <c r="A31" s="10">
        <f>IF($E31="","",INDEX('Input Transaksi'!$A:$A,$E31))</f>
        <v/>
      </c>
      <c r="B31" s="5">
        <f>IF($E31="","",INDEX('Input Transaksi'!$D:$D,$E31))</f>
        <v/>
      </c>
      <c r="C31">
        <f>IF($E31="","",INDEX('Input Transaksi'!$E:$E,$E31))</f>
        <v/>
      </c>
      <c r="D31" s="5">
        <f>IF($E31="","",INDEX('Input Transaksi'!$F:$F,$E31))</f>
        <v/>
      </c>
      <c r="E31">
        <f>IFERROR(AGGREGATE(15,6,ROW('Input Transaksi'!$B$5:$B$5000)/('Input Transaksi'!$B$5:$B$5000="GRIYA ANYAR"),ROWS($E$5:E31)),"")</f>
        <v/>
      </c>
      <c r="F31" s="5" t="n"/>
    </row>
    <row r="32">
      <c r="A32" s="10">
        <f>IF($E32="","",INDEX('Input Transaksi'!$A:$A,$E32))</f>
        <v/>
      </c>
      <c r="B32" s="5">
        <f>IF($E32="","",INDEX('Input Transaksi'!$D:$D,$E32))</f>
        <v/>
      </c>
      <c r="C32">
        <f>IF($E32="","",INDEX('Input Transaksi'!$E:$E,$E32))</f>
        <v/>
      </c>
      <c r="D32" s="5">
        <f>IF($E32="","",INDEX('Input Transaksi'!$F:$F,$E32))</f>
        <v/>
      </c>
      <c r="E32">
        <f>IFERROR(AGGREGATE(15,6,ROW('Input Transaksi'!$B$5:$B$5000)/('Input Transaksi'!$B$5:$B$5000="GRIYA ANYAR"),ROWS($E$5:E32)),"")</f>
        <v/>
      </c>
      <c r="F32" s="5" t="n"/>
    </row>
    <row r="33">
      <c r="A33" s="10">
        <f>IF($E33="","",INDEX('Input Transaksi'!$A:$A,$E33))</f>
        <v/>
      </c>
      <c r="B33" s="5">
        <f>IF($E33="","",INDEX('Input Transaksi'!$D:$D,$E33))</f>
        <v/>
      </c>
      <c r="C33">
        <f>IF($E33="","",INDEX('Input Transaksi'!$E:$E,$E33))</f>
        <v/>
      </c>
      <c r="D33" s="5">
        <f>IF($E33="","",INDEX('Input Transaksi'!$F:$F,$E33))</f>
        <v/>
      </c>
      <c r="E33">
        <f>IFERROR(AGGREGATE(15,6,ROW('Input Transaksi'!$B$5:$B$5000)/('Input Transaksi'!$B$5:$B$5000="GRIYA ANYAR"),ROWS($E$5:E33)),"")</f>
        <v/>
      </c>
      <c r="F33" s="5" t="n"/>
    </row>
    <row r="34">
      <c r="A34" s="10">
        <f>IF($E34="","",INDEX('Input Transaksi'!$A:$A,$E34))</f>
        <v/>
      </c>
      <c r="B34" s="5">
        <f>IF($E34="","",INDEX('Input Transaksi'!$D:$D,$E34))</f>
        <v/>
      </c>
      <c r="C34">
        <f>IF($E34="","",INDEX('Input Transaksi'!$E:$E,$E34))</f>
        <v/>
      </c>
      <c r="D34" s="5">
        <f>IF($E34="","",INDEX('Input Transaksi'!$F:$F,$E34))</f>
        <v/>
      </c>
      <c r="E34">
        <f>IFERROR(AGGREGATE(15,6,ROW('Input Transaksi'!$B$5:$B$5000)/('Input Transaksi'!$B$5:$B$5000="GRIYA ANYAR"),ROWS($E$5:E34)),"")</f>
        <v/>
      </c>
      <c r="F34" s="5" t="n"/>
    </row>
    <row r="35">
      <c r="A35" s="10">
        <f>IF($E35="","",INDEX('Input Transaksi'!$A:$A,$E35))</f>
        <v/>
      </c>
      <c r="B35" s="5">
        <f>IF($E35="","",INDEX('Input Transaksi'!$D:$D,$E35))</f>
        <v/>
      </c>
      <c r="C35">
        <f>IF($E35="","",INDEX('Input Transaksi'!$E:$E,$E35))</f>
        <v/>
      </c>
      <c r="D35" s="5">
        <f>IF($E35="","",INDEX('Input Transaksi'!$F:$F,$E35))</f>
        <v/>
      </c>
      <c r="E35">
        <f>IFERROR(AGGREGATE(15,6,ROW('Input Transaksi'!$B$5:$B$5000)/('Input Transaksi'!$B$5:$B$5000="GRIYA ANYAR"),ROWS($E$5:E35)),"")</f>
        <v/>
      </c>
      <c r="F35" s="5" t="n"/>
    </row>
    <row r="36">
      <c r="A36" s="10">
        <f>IF($E36="","",INDEX('Input Transaksi'!$A:$A,$E36))</f>
        <v/>
      </c>
      <c r="B36" s="5">
        <f>IF($E36="","",INDEX('Input Transaksi'!$D:$D,$E36))</f>
        <v/>
      </c>
      <c r="C36">
        <f>IF($E36="","",INDEX('Input Transaksi'!$E:$E,$E36))</f>
        <v/>
      </c>
      <c r="D36" s="5">
        <f>IF($E36="","",INDEX('Input Transaksi'!$F:$F,$E36))</f>
        <v/>
      </c>
      <c r="E36">
        <f>IFERROR(AGGREGATE(15,6,ROW('Input Transaksi'!$B$5:$B$5000)/('Input Transaksi'!$B$5:$B$5000="GRIYA ANYAR"),ROWS($E$5:E36)),"")</f>
        <v/>
      </c>
      <c r="F36" s="5" t="n"/>
    </row>
    <row r="37">
      <c r="A37" s="10">
        <f>IF($E37="","",INDEX('Input Transaksi'!$A:$A,$E37))</f>
        <v/>
      </c>
      <c r="B37" s="5">
        <f>IF($E37="","",INDEX('Input Transaksi'!$D:$D,$E37))</f>
        <v/>
      </c>
      <c r="C37">
        <f>IF($E37="","",INDEX('Input Transaksi'!$E:$E,$E37))</f>
        <v/>
      </c>
      <c r="D37" s="5">
        <f>IF($E37="","",INDEX('Input Transaksi'!$F:$F,$E37))</f>
        <v/>
      </c>
      <c r="E37">
        <f>IFERROR(AGGREGATE(15,6,ROW('Input Transaksi'!$B$5:$B$5000)/('Input Transaksi'!$B$5:$B$5000="GRIYA ANYAR"),ROWS($E$5:E37)),"")</f>
        <v/>
      </c>
      <c r="F37" s="5" t="n"/>
    </row>
    <row r="38">
      <c r="A38" s="10">
        <f>IF($E38="","",INDEX('Input Transaksi'!$A:$A,$E38))</f>
        <v/>
      </c>
      <c r="B38" s="5">
        <f>IF($E38="","",INDEX('Input Transaksi'!$D:$D,$E38))</f>
        <v/>
      </c>
      <c r="C38">
        <f>IF($E38="","",INDEX('Input Transaksi'!$E:$E,$E38))</f>
        <v/>
      </c>
      <c r="D38" s="5">
        <f>IF($E38="","",INDEX('Input Transaksi'!$F:$F,$E38))</f>
        <v/>
      </c>
      <c r="E38">
        <f>IFERROR(AGGREGATE(15,6,ROW('Input Transaksi'!$B$5:$B$5000)/('Input Transaksi'!$B$5:$B$5000="GRIYA ANYAR"),ROWS($E$5:E38)),"")</f>
        <v/>
      </c>
      <c r="F38" s="5" t="n"/>
    </row>
    <row r="39">
      <c r="A39" s="10">
        <f>IF($E39="","",INDEX('Input Transaksi'!$A:$A,$E39))</f>
        <v/>
      </c>
      <c r="B39" s="5">
        <f>IF($E39="","",INDEX('Input Transaksi'!$D:$D,$E39))</f>
        <v/>
      </c>
      <c r="C39">
        <f>IF($E39="","",INDEX('Input Transaksi'!$E:$E,$E39))</f>
        <v/>
      </c>
      <c r="D39" s="5">
        <f>IF($E39="","",INDEX('Input Transaksi'!$F:$F,$E39))</f>
        <v/>
      </c>
      <c r="E39">
        <f>IFERROR(AGGREGATE(15,6,ROW('Input Transaksi'!$B$5:$B$5000)/('Input Transaksi'!$B$5:$B$5000="GRIYA ANYAR"),ROWS($E$5:E39)),"")</f>
        <v/>
      </c>
      <c r="F39" s="5" t="n"/>
    </row>
    <row r="40">
      <c r="A40" s="10">
        <f>IF($E40="","",INDEX('Input Transaksi'!$A:$A,$E40))</f>
        <v/>
      </c>
      <c r="B40" s="5">
        <f>IF($E40="","",INDEX('Input Transaksi'!$D:$D,$E40))</f>
        <v/>
      </c>
      <c r="C40">
        <f>IF($E40="","",INDEX('Input Transaksi'!$E:$E,$E40))</f>
        <v/>
      </c>
      <c r="D40" s="5">
        <f>IF($E40="","",INDEX('Input Transaksi'!$F:$F,$E40))</f>
        <v/>
      </c>
      <c r="E40">
        <f>IFERROR(AGGREGATE(15,6,ROW('Input Transaksi'!$B$5:$B$5000)/('Input Transaksi'!$B$5:$B$5000="GRIYA ANYAR"),ROWS($E$5:E40)),"")</f>
        <v/>
      </c>
      <c r="F40" s="5" t="n"/>
    </row>
    <row r="41">
      <c r="A41" s="10">
        <f>IF($E41="","",INDEX('Input Transaksi'!$A:$A,$E41))</f>
        <v/>
      </c>
      <c r="B41" s="5">
        <f>IF($E41="","",INDEX('Input Transaksi'!$D:$D,$E41))</f>
        <v/>
      </c>
      <c r="C41">
        <f>IF($E41="","",INDEX('Input Transaksi'!$E:$E,$E41))</f>
        <v/>
      </c>
      <c r="D41" s="5">
        <f>IF($E41="","",INDEX('Input Transaksi'!$F:$F,$E41))</f>
        <v/>
      </c>
      <c r="E41">
        <f>IFERROR(AGGREGATE(15,6,ROW('Input Transaksi'!$B$5:$B$5000)/('Input Transaksi'!$B$5:$B$5000="GRIYA ANYAR"),ROWS($E$5:E41)),"")</f>
        <v/>
      </c>
      <c r="F41" s="5" t="n"/>
    </row>
    <row r="42">
      <c r="A42" s="10">
        <f>IF($E42="","",INDEX('Input Transaksi'!$A:$A,$E42))</f>
        <v/>
      </c>
      <c r="B42" s="5">
        <f>IF($E42="","",INDEX('Input Transaksi'!$D:$D,$E42))</f>
        <v/>
      </c>
      <c r="C42">
        <f>IF($E42="","",INDEX('Input Transaksi'!$E:$E,$E42))</f>
        <v/>
      </c>
      <c r="D42" s="5">
        <f>IF($E42="","",INDEX('Input Transaksi'!$F:$F,$E42))</f>
        <v/>
      </c>
      <c r="E42">
        <f>IFERROR(AGGREGATE(15,6,ROW('Input Transaksi'!$B$5:$B$5000)/('Input Transaksi'!$B$5:$B$5000="GRIYA ANYAR"),ROWS($E$5:E42)),"")</f>
        <v/>
      </c>
      <c r="F42" s="5" t="n"/>
    </row>
    <row r="43">
      <c r="A43" s="10">
        <f>IF($E43="","",INDEX('Input Transaksi'!$A:$A,$E43))</f>
        <v/>
      </c>
      <c r="B43" s="5">
        <f>IF($E43="","",INDEX('Input Transaksi'!$D:$D,$E43))</f>
        <v/>
      </c>
      <c r="C43">
        <f>IF($E43="","",INDEX('Input Transaksi'!$E:$E,$E43))</f>
        <v/>
      </c>
      <c r="D43" s="5">
        <f>IF($E43="","",INDEX('Input Transaksi'!$F:$F,$E43))</f>
        <v/>
      </c>
      <c r="E43">
        <f>IFERROR(AGGREGATE(15,6,ROW('Input Transaksi'!$B$5:$B$5000)/('Input Transaksi'!$B$5:$B$5000="GRIYA ANYAR"),ROWS($E$5:E43)),"")</f>
        <v/>
      </c>
      <c r="F43" s="5" t="n"/>
    </row>
    <row r="44">
      <c r="A44" s="10">
        <f>IF($E44="","",INDEX('Input Transaksi'!$A:$A,$E44))</f>
        <v/>
      </c>
      <c r="B44" s="5">
        <f>IF($E44="","",INDEX('Input Transaksi'!$D:$D,$E44))</f>
        <v/>
      </c>
      <c r="C44">
        <f>IF($E44="","",INDEX('Input Transaksi'!$E:$E,$E44))</f>
        <v/>
      </c>
      <c r="D44" s="5">
        <f>IF($E44="","",INDEX('Input Transaksi'!$F:$F,$E44))</f>
        <v/>
      </c>
      <c r="E44">
        <f>IFERROR(AGGREGATE(15,6,ROW('Input Transaksi'!$B$5:$B$5000)/('Input Transaksi'!$B$5:$B$5000="GRIYA ANYAR"),ROWS($E$5:E44)),"")</f>
        <v/>
      </c>
      <c r="F44" s="5" t="n"/>
    </row>
    <row r="45">
      <c r="A45" s="10">
        <f>IF($E45="","",INDEX('Input Transaksi'!$A:$A,$E45))</f>
        <v/>
      </c>
      <c r="B45" s="5">
        <f>IF($E45="","",INDEX('Input Transaksi'!$D:$D,$E45))</f>
        <v/>
      </c>
      <c r="C45">
        <f>IF($E45="","",INDEX('Input Transaksi'!$E:$E,$E45))</f>
        <v/>
      </c>
      <c r="D45" s="5">
        <f>IF($E45="","",INDEX('Input Transaksi'!$F:$F,$E45))</f>
        <v/>
      </c>
      <c r="E45">
        <f>IFERROR(AGGREGATE(15,6,ROW('Input Transaksi'!$B$5:$B$5000)/('Input Transaksi'!$B$5:$B$5000="GRIYA ANYAR"),ROWS($E$5:E45)),"")</f>
        <v/>
      </c>
      <c r="F45" s="5" t="n"/>
    </row>
    <row r="46">
      <c r="A46" s="10">
        <f>IF($E46="","",INDEX('Input Transaksi'!$A:$A,$E46))</f>
        <v/>
      </c>
      <c r="B46" s="5">
        <f>IF($E46="","",INDEX('Input Transaksi'!$D:$D,$E46))</f>
        <v/>
      </c>
      <c r="C46">
        <f>IF($E46="","",INDEX('Input Transaksi'!$E:$E,$E46))</f>
        <v/>
      </c>
      <c r="D46" s="5">
        <f>IF($E46="","",INDEX('Input Transaksi'!$F:$F,$E46))</f>
        <v/>
      </c>
      <c r="E46">
        <f>IFERROR(AGGREGATE(15,6,ROW('Input Transaksi'!$B$5:$B$5000)/('Input Transaksi'!$B$5:$B$5000="GRIYA ANYAR"),ROWS($E$5:E46)),"")</f>
        <v/>
      </c>
      <c r="F46" s="5" t="n"/>
    </row>
    <row r="47">
      <c r="A47" s="10">
        <f>IF($E47="","",INDEX('Input Transaksi'!$A:$A,$E47))</f>
        <v/>
      </c>
      <c r="B47" s="5">
        <f>IF($E47="","",INDEX('Input Transaksi'!$D:$D,$E47))</f>
        <v/>
      </c>
      <c r="C47">
        <f>IF($E47="","",INDEX('Input Transaksi'!$E:$E,$E47))</f>
        <v/>
      </c>
      <c r="D47" s="5">
        <f>IF($E47="","",INDEX('Input Transaksi'!$F:$F,$E47))</f>
        <v/>
      </c>
      <c r="E47">
        <f>IFERROR(AGGREGATE(15,6,ROW('Input Transaksi'!$B$5:$B$5000)/('Input Transaksi'!$B$5:$B$5000="GRIYA ANYAR"),ROWS($E$5:E47)),"")</f>
        <v/>
      </c>
      <c r="F47" s="5" t="n"/>
    </row>
    <row r="48">
      <c r="A48" s="10">
        <f>IF($E48="","",INDEX('Input Transaksi'!$A:$A,$E48))</f>
        <v/>
      </c>
      <c r="B48" s="5">
        <f>IF($E48="","",INDEX('Input Transaksi'!$D:$D,$E48))</f>
        <v/>
      </c>
      <c r="C48">
        <f>IF($E48="","",INDEX('Input Transaksi'!$E:$E,$E48))</f>
        <v/>
      </c>
      <c r="D48" s="5">
        <f>IF($E48="","",INDEX('Input Transaksi'!$F:$F,$E48))</f>
        <v/>
      </c>
      <c r="E48">
        <f>IFERROR(AGGREGATE(15,6,ROW('Input Transaksi'!$B$5:$B$5000)/('Input Transaksi'!$B$5:$B$5000="GRIYA ANYAR"),ROWS($E$5:E48)),"")</f>
        <v/>
      </c>
      <c r="F48" s="5" t="n"/>
    </row>
    <row r="49">
      <c r="A49" s="10">
        <f>IF($E49="","",INDEX('Input Transaksi'!$A:$A,$E49))</f>
        <v/>
      </c>
      <c r="B49" s="5">
        <f>IF($E49="","",INDEX('Input Transaksi'!$D:$D,$E49))</f>
        <v/>
      </c>
      <c r="C49">
        <f>IF($E49="","",INDEX('Input Transaksi'!$E:$E,$E49))</f>
        <v/>
      </c>
      <c r="D49" s="5">
        <f>IF($E49="","",INDEX('Input Transaksi'!$F:$F,$E49))</f>
        <v/>
      </c>
      <c r="E49">
        <f>IFERROR(AGGREGATE(15,6,ROW('Input Transaksi'!$B$5:$B$5000)/('Input Transaksi'!$B$5:$B$5000="GRIYA ANYAR"),ROWS($E$5:E49)),"")</f>
        <v/>
      </c>
      <c r="F49" s="5" t="n"/>
    </row>
    <row r="50">
      <c r="A50" s="10">
        <f>IF($E50="","",INDEX('Input Transaksi'!$A:$A,$E50))</f>
        <v/>
      </c>
      <c r="B50" s="5">
        <f>IF($E50="","",INDEX('Input Transaksi'!$D:$D,$E50))</f>
        <v/>
      </c>
      <c r="C50">
        <f>IF($E50="","",INDEX('Input Transaksi'!$E:$E,$E50))</f>
        <v/>
      </c>
      <c r="D50" s="5">
        <f>IF($E50="","",INDEX('Input Transaksi'!$F:$F,$E50))</f>
        <v/>
      </c>
      <c r="E50">
        <f>IFERROR(AGGREGATE(15,6,ROW('Input Transaksi'!$B$5:$B$5000)/('Input Transaksi'!$B$5:$B$5000="GRIYA ANYAR"),ROWS($E$5:E50)),"")</f>
        <v/>
      </c>
      <c r="F50" s="5" t="n"/>
    </row>
    <row r="51">
      <c r="A51" s="10">
        <f>IF($E51="","",INDEX('Input Transaksi'!$A:$A,$E51))</f>
        <v/>
      </c>
      <c r="B51" s="5">
        <f>IF($E51="","",INDEX('Input Transaksi'!$D:$D,$E51))</f>
        <v/>
      </c>
      <c r="C51">
        <f>IF($E51="","",INDEX('Input Transaksi'!$E:$E,$E51))</f>
        <v/>
      </c>
      <c r="D51" s="5">
        <f>IF($E51="","",INDEX('Input Transaksi'!$F:$F,$E51))</f>
        <v/>
      </c>
      <c r="E51">
        <f>IFERROR(AGGREGATE(15,6,ROW('Input Transaksi'!$B$5:$B$5000)/('Input Transaksi'!$B$5:$B$5000="GRIYA ANYAR"),ROWS($E$5:E51)),"")</f>
        <v/>
      </c>
      <c r="F51" s="5" t="n"/>
    </row>
    <row r="52">
      <c r="A52" s="10">
        <f>IF($E52="","",INDEX('Input Transaksi'!$A:$A,$E52))</f>
        <v/>
      </c>
      <c r="B52" s="5">
        <f>IF($E52="","",INDEX('Input Transaksi'!$D:$D,$E52))</f>
        <v/>
      </c>
      <c r="C52">
        <f>IF($E52="","",INDEX('Input Transaksi'!$E:$E,$E52))</f>
        <v/>
      </c>
      <c r="D52" s="5">
        <f>IF($E52="","",INDEX('Input Transaksi'!$F:$F,$E52))</f>
        <v/>
      </c>
      <c r="E52">
        <f>IFERROR(AGGREGATE(15,6,ROW('Input Transaksi'!$B$5:$B$5000)/('Input Transaksi'!$B$5:$B$5000="GRIYA ANYAR"),ROWS($E$5:E52)),"")</f>
        <v/>
      </c>
      <c r="F52" s="5" t="n"/>
    </row>
    <row r="53">
      <c r="A53" s="10">
        <f>IF($E53="","",INDEX('Input Transaksi'!$A:$A,$E53))</f>
        <v/>
      </c>
      <c r="B53" s="5">
        <f>IF($E53="","",INDEX('Input Transaksi'!$D:$D,$E53))</f>
        <v/>
      </c>
      <c r="C53">
        <f>IF($E53="","",INDEX('Input Transaksi'!$E:$E,$E53))</f>
        <v/>
      </c>
      <c r="D53" s="5">
        <f>IF($E53="","",INDEX('Input Transaksi'!$F:$F,$E53))</f>
        <v/>
      </c>
      <c r="E53">
        <f>IFERROR(AGGREGATE(15,6,ROW('Input Transaksi'!$B$5:$B$5000)/('Input Transaksi'!$B$5:$B$5000="GRIYA ANYAR"),ROWS($E$5:E53)),"")</f>
        <v/>
      </c>
      <c r="F53" s="5" t="n"/>
    </row>
    <row r="54">
      <c r="A54" s="10">
        <f>IF($E54="","",INDEX('Input Transaksi'!$A:$A,$E54))</f>
        <v/>
      </c>
      <c r="B54" s="5">
        <f>IF($E54="","",INDEX('Input Transaksi'!$D:$D,$E54))</f>
        <v/>
      </c>
      <c r="C54">
        <f>IF($E54="","",INDEX('Input Transaksi'!$E:$E,$E54))</f>
        <v/>
      </c>
      <c r="D54" s="5">
        <f>IF($E54="","",INDEX('Input Transaksi'!$F:$F,$E54))</f>
        <v/>
      </c>
      <c r="E54">
        <f>IFERROR(AGGREGATE(15,6,ROW('Input Transaksi'!$B$5:$B$5000)/('Input Transaksi'!$B$5:$B$5000="GRIYA ANYAR"),ROWS($E$5:E54)),"")</f>
        <v/>
      </c>
      <c r="F54" s="5" t="n"/>
    </row>
    <row r="55">
      <c r="A55" s="10">
        <f>IF($E55="","",INDEX('Input Transaksi'!$A:$A,$E55))</f>
        <v/>
      </c>
      <c r="B55" s="5">
        <f>IF($E55="","",INDEX('Input Transaksi'!$D:$D,$E55))</f>
        <v/>
      </c>
      <c r="C55">
        <f>IF($E55="","",INDEX('Input Transaksi'!$E:$E,$E55))</f>
        <v/>
      </c>
      <c r="D55" s="5">
        <f>IF($E55="","",INDEX('Input Transaksi'!$F:$F,$E55))</f>
        <v/>
      </c>
      <c r="E55">
        <f>IFERROR(AGGREGATE(15,6,ROW('Input Transaksi'!$B$5:$B$5000)/('Input Transaksi'!$B$5:$B$5000="GRIYA ANYAR"),ROWS($E$5:E55)),"")</f>
        <v/>
      </c>
      <c r="F55" s="5" t="n"/>
    </row>
    <row r="56">
      <c r="A56" s="10">
        <f>IF($E56="","",INDEX('Input Transaksi'!$A:$A,$E56))</f>
        <v/>
      </c>
      <c r="B56" s="5">
        <f>IF($E56="","",INDEX('Input Transaksi'!$D:$D,$E56))</f>
        <v/>
      </c>
      <c r="C56">
        <f>IF($E56="","",INDEX('Input Transaksi'!$E:$E,$E56))</f>
        <v/>
      </c>
      <c r="D56" s="5">
        <f>IF($E56="","",INDEX('Input Transaksi'!$F:$F,$E56))</f>
        <v/>
      </c>
      <c r="E56">
        <f>IFERROR(AGGREGATE(15,6,ROW('Input Transaksi'!$B$5:$B$5000)/('Input Transaksi'!$B$5:$B$5000="GRIYA ANYAR"),ROWS($E$5:E56)),"")</f>
        <v/>
      </c>
      <c r="F56" s="5" t="n"/>
    </row>
    <row r="57">
      <c r="A57" s="10">
        <f>IF($E57="","",INDEX('Input Transaksi'!$A:$A,$E57))</f>
        <v/>
      </c>
      <c r="B57" s="5">
        <f>IF($E57="","",INDEX('Input Transaksi'!$D:$D,$E57))</f>
        <v/>
      </c>
      <c r="C57">
        <f>IF($E57="","",INDEX('Input Transaksi'!$E:$E,$E57))</f>
        <v/>
      </c>
      <c r="D57" s="5">
        <f>IF($E57="","",INDEX('Input Transaksi'!$F:$F,$E57))</f>
        <v/>
      </c>
      <c r="E57">
        <f>IFERROR(AGGREGATE(15,6,ROW('Input Transaksi'!$B$5:$B$5000)/('Input Transaksi'!$B$5:$B$5000="GRIYA ANYAR"),ROWS($E$5:E57)),"")</f>
        <v/>
      </c>
      <c r="F57" s="5" t="n"/>
    </row>
    <row r="58">
      <c r="A58" s="10">
        <f>IF($E58="","",INDEX('Input Transaksi'!$A:$A,$E58))</f>
        <v/>
      </c>
      <c r="B58" s="5">
        <f>IF($E58="","",INDEX('Input Transaksi'!$D:$D,$E58))</f>
        <v/>
      </c>
      <c r="C58">
        <f>IF($E58="","",INDEX('Input Transaksi'!$E:$E,$E58))</f>
        <v/>
      </c>
      <c r="D58" s="5">
        <f>IF($E58="","",INDEX('Input Transaksi'!$F:$F,$E58))</f>
        <v/>
      </c>
      <c r="E58">
        <f>IFERROR(AGGREGATE(15,6,ROW('Input Transaksi'!$B$5:$B$5000)/('Input Transaksi'!$B$5:$B$5000="GRIYA ANYAR"),ROWS($E$5:E58)),"")</f>
        <v/>
      </c>
      <c r="F58" s="5" t="n"/>
    </row>
    <row r="59">
      <c r="A59" s="10">
        <f>IF($E59="","",INDEX('Input Transaksi'!$A:$A,$E59))</f>
        <v/>
      </c>
      <c r="B59" s="5">
        <f>IF($E59="","",INDEX('Input Transaksi'!$D:$D,$E59))</f>
        <v/>
      </c>
      <c r="C59">
        <f>IF($E59="","",INDEX('Input Transaksi'!$E:$E,$E59))</f>
        <v/>
      </c>
      <c r="D59" s="5">
        <f>IF($E59="","",INDEX('Input Transaksi'!$F:$F,$E59))</f>
        <v/>
      </c>
      <c r="E59">
        <f>IFERROR(AGGREGATE(15,6,ROW('Input Transaksi'!$B$5:$B$5000)/('Input Transaksi'!$B$5:$B$5000="GRIYA ANYAR"),ROWS($E$5:E59)),"")</f>
        <v/>
      </c>
      <c r="F59" s="5" t="n"/>
    </row>
    <row r="60">
      <c r="A60" s="10">
        <f>IF($E60="","",INDEX('Input Transaksi'!$A:$A,$E60))</f>
        <v/>
      </c>
      <c r="B60" s="5">
        <f>IF($E60="","",INDEX('Input Transaksi'!$D:$D,$E60))</f>
        <v/>
      </c>
      <c r="C60">
        <f>IF($E60="","",INDEX('Input Transaksi'!$E:$E,$E60))</f>
        <v/>
      </c>
      <c r="D60" s="5">
        <f>IF($E60="","",INDEX('Input Transaksi'!$F:$F,$E60))</f>
        <v/>
      </c>
      <c r="E60">
        <f>IFERROR(AGGREGATE(15,6,ROW('Input Transaksi'!$B$5:$B$5000)/('Input Transaksi'!$B$5:$B$5000="GRIYA ANYAR"),ROWS($E$5:E60)),"")</f>
        <v/>
      </c>
      <c r="F60" s="5" t="n"/>
    </row>
    <row r="61">
      <c r="A61" s="10">
        <f>IF($E61="","",INDEX('Input Transaksi'!$A:$A,$E61))</f>
        <v/>
      </c>
      <c r="B61" s="5">
        <f>IF($E61="","",INDEX('Input Transaksi'!$D:$D,$E61))</f>
        <v/>
      </c>
      <c r="C61">
        <f>IF($E61="","",INDEX('Input Transaksi'!$E:$E,$E61))</f>
        <v/>
      </c>
      <c r="D61" s="5">
        <f>IF($E61="","",INDEX('Input Transaksi'!$F:$F,$E61))</f>
        <v/>
      </c>
      <c r="E61">
        <f>IFERROR(AGGREGATE(15,6,ROW('Input Transaksi'!$B$5:$B$5000)/('Input Transaksi'!$B$5:$B$5000="GRIYA ANYAR"),ROWS($E$5:E61)),"")</f>
        <v/>
      </c>
      <c r="F61" s="5" t="n"/>
    </row>
    <row r="62">
      <c r="A62" s="10">
        <f>IF($E62="","",INDEX('Input Transaksi'!$A:$A,$E62))</f>
        <v/>
      </c>
      <c r="B62" s="5">
        <f>IF($E62="","",INDEX('Input Transaksi'!$D:$D,$E62))</f>
        <v/>
      </c>
      <c r="C62">
        <f>IF($E62="","",INDEX('Input Transaksi'!$E:$E,$E62))</f>
        <v/>
      </c>
      <c r="D62" s="5">
        <f>IF($E62="","",INDEX('Input Transaksi'!$F:$F,$E62))</f>
        <v/>
      </c>
      <c r="E62">
        <f>IFERROR(AGGREGATE(15,6,ROW('Input Transaksi'!$B$5:$B$5000)/('Input Transaksi'!$B$5:$B$5000="GRIYA ANYAR"),ROWS($E$5:E62)),"")</f>
        <v/>
      </c>
      <c r="F62" s="5" t="n"/>
    </row>
    <row r="63">
      <c r="A63" s="10">
        <f>IF($E63="","",INDEX('Input Transaksi'!$A:$A,$E63))</f>
        <v/>
      </c>
      <c r="B63" s="5">
        <f>IF($E63="","",INDEX('Input Transaksi'!$D:$D,$E63))</f>
        <v/>
      </c>
      <c r="C63">
        <f>IF($E63="","",INDEX('Input Transaksi'!$E:$E,$E63))</f>
        <v/>
      </c>
      <c r="D63" s="5">
        <f>IF($E63="","",INDEX('Input Transaksi'!$F:$F,$E63))</f>
        <v/>
      </c>
      <c r="E63">
        <f>IFERROR(AGGREGATE(15,6,ROW('Input Transaksi'!$B$5:$B$5000)/('Input Transaksi'!$B$5:$B$5000="GRIYA ANYAR"),ROWS($E$5:E63)),"")</f>
        <v/>
      </c>
      <c r="F63" s="5" t="n"/>
    </row>
    <row r="64">
      <c r="A64" s="10">
        <f>IF($E64="","",INDEX('Input Transaksi'!$A:$A,$E64))</f>
        <v/>
      </c>
      <c r="B64" s="5">
        <f>IF($E64="","",INDEX('Input Transaksi'!$D:$D,$E64))</f>
        <v/>
      </c>
      <c r="C64">
        <f>IF($E64="","",INDEX('Input Transaksi'!$E:$E,$E64))</f>
        <v/>
      </c>
      <c r="D64" s="5">
        <f>IF($E64="","",INDEX('Input Transaksi'!$F:$F,$E64))</f>
        <v/>
      </c>
      <c r="E64">
        <f>IFERROR(AGGREGATE(15,6,ROW('Input Transaksi'!$B$5:$B$5000)/('Input Transaksi'!$B$5:$B$5000="GRIYA ANYAR"),ROWS($E$5:E64)),"")</f>
        <v/>
      </c>
      <c r="F64" s="5" t="n"/>
    </row>
    <row r="65">
      <c r="A65" s="10">
        <f>IF($E65="","",INDEX('Input Transaksi'!$A:$A,$E65))</f>
        <v/>
      </c>
      <c r="B65" s="5">
        <f>IF($E65="","",INDEX('Input Transaksi'!$D:$D,$E65))</f>
        <v/>
      </c>
      <c r="C65">
        <f>IF($E65="","",INDEX('Input Transaksi'!$E:$E,$E65))</f>
        <v/>
      </c>
      <c r="D65" s="5">
        <f>IF($E65="","",INDEX('Input Transaksi'!$F:$F,$E65))</f>
        <v/>
      </c>
      <c r="E65">
        <f>IFERROR(AGGREGATE(15,6,ROW('Input Transaksi'!$B$5:$B$5000)/('Input Transaksi'!$B$5:$B$5000="GRIYA ANYAR"),ROWS($E$5:E65)),"")</f>
        <v/>
      </c>
      <c r="F65" s="5" t="n"/>
    </row>
    <row r="66">
      <c r="A66" s="10">
        <f>IF($E66="","",INDEX('Input Transaksi'!$A:$A,$E66))</f>
        <v/>
      </c>
      <c r="B66" s="5">
        <f>IF($E66="","",INDEX('Input Transaksi'!$D:$D,$E66))</f>
        <v/>
      </c>
      <c r="C66">
        <f>IF($E66="","",INDEX('Input Transaksi'!$E:$E,$E66))</f>
        <v/>
      </c>
      <c r="D66" s="5">
        <f>IF($E66="","",INDEX('Input Transaksi'!$F:$F,$E66))</f>
        <v/>
      </c>
      <c r="E66">
        <f>IFERROR(AGGREGATE(15,6,ROW('Input Transaksi'!$B$5:$B$5000)/('Input Transaksi'!$B$5:$B$5000="GRIYA ANYAR"),ROWS($E$5:E66)),"")</f>
        <v/>
      </c>
      <c r="F66" s="5" t="n"/>
    </row>
    <row r="67">
      <c r="A67" s="10">
        <f>IF($E67="","",INDEX('Input Transaksi'!$A:$A,$E67))</f>
        <v/>
      </c>
      <c r="B67" s="5">
        <f>IF($E67="","",INDEX('Input Transaksi'!$D:$D,$E67))</f>
        <v/>
      </c>
      <c r="C67">
        <f>IF($E67="","",INDEX('Input Transaksi'!$E:$E,$E67))</f>
        <v/>
      </c>
      <c r="D67" s="5">
        <f>IF($E67="","",INDEX('Input Transaksi'!$F:$F,$E67))</f>
        <v/>
      </c>
      <c r="E67">
        <f>IFERROR(AGGREGATE(15,6,ROW('Input Transaksi'!$B$5:$B$5000)/('Input Transaksi'!$B$5:$B$5000="GRIYA ANYAR"),ROWS($E$5:E67)),"")</f>
        <v/>
      </c>
      <c r="F67" s="5" t="n"/>
    </row>
    <row r="68">
      <c r="A68" s="10">
        <f>IF($E68="","",INDEX('Input Transaksi'!$A:$A,$E68))</f>
        <v/>
      </c>
      <c r="B68" s="5">
        <f>IF($E68="","",INDEX('Input Transaksi'!$D:$D,$E68))</f>
        <v/>
      </c>
      <c r="C68">
        <f>IF($E68="","",INDEX('Input Transaksi'!$E:$E,$E68))</f>
        <v/>
      </c>
      <c r="D68" s="5">
        <f>IF($E68="","",INDEX('Input Transaksi'!$F:$F,$E68))</f>
        <v/>
      </c>
      <c r="E68">
        <f>IFERROR(AGGREGATE(15,6,ROW('Input Transaksi'!$B$5:$B$5000)/('Input Transaksi'!$B$5:$B$5000="GRIYA ANYAR"),ROWS($E$5:E68)),"")</f>
        <v/>
      </c>
      <c r="F68" s="5" t="n"/>
    </row>
    <row r="69">
      <c r="A69" s="10">
        <f>IF($E69="","",INDEX('Input Transaksi'!$A:$A,$E69))</f>
        <v/>
      </c>
      <c r="B69" s="5">
        <f>IF($E69="","",INDEX('Input Transaksi'!$D:$D,$E69))</f>
        <v/>
      </c>
      <c r="C69">
        <f>IF($E69="","",INDEX('Input Transaksi'!$E:$E,$E69))</f>
        <v/>
      </c>
      <c r="D69" s="5">
        <f>IF($E69="","",INDEX('Input Transaksi'!$F:$F,$E69))</f>
        <v/>
      </c>
      <c r="E69">
        <f>IFERROR(AGGREGATE(15,6,ROW('Input Transaksi'!$B$5:$B$5000)/('Input Transaksi'!$B$5:$B$5000="GRIYA ANYAR"),ROWS($E$5:E69)),"")</f>
        <v/>
      </c>
      <c r="F69" s="5" t="n"/>
    </row>
    <row r="70">
      <c r="A70" s="10">
        <f>IF($E70="","",INDEX('Input Transaksi'!$A:$A,$E70))</f>
        <v/>
      </c>
      <c r="B70" s="5">
        <f>IF($E70="","",INDEX('Input Transaksi'!$D:$D,$E70))</f>
        <v/>
      </c>
      <c r="C70">
        <f>IF($E70="","",INDEX('Input Transaksi'!$E:$E,$E70))</f>
        <v/>
      </c>
      <c r="D70" s="5">
        <f>IF($E70="","",INDEX('Input Transaksi'!$F:$F,$E70))</f>
        <v/>
      </c>
      <c r="E70">
        <f>IFERROR(AGGREGATE(15,6,ROW('Input Transaksi'!$B$5:$B$5000)/('Input Transaksi'!$B$5:$B$5000="GRIYA ANYAR"),ROWS($E$5:E70)),"")</f>
        <v/>
      </c>
      <c r="F70" s="5" t="n"/>
    </row>
    <row r="71">
      <c r="A71" s="10">
        <f>IF($E71="","",INDEX('Input Transaksi'!$A:$A,$E71))</f>
        <v/>
      </c>
      <c r="B71" s="5">
        <f>IF($E71="","",INDEX('Input Transaksi'!$D:$D,$E71))</f>
        <v/>
      </c>
      <c r="C71">
        <f>IF($E71="","",INDEX('Input Transaksi'!$E:$E,$E71))</f>
        <v/>
      </c>
      <c r="D71" s="5">
        <f>IF($E71="","",INDEX('Input Transaksi'!$F:$F,$E71))</f>
        <v/>
      </c>
      <c r="E71">
        <f>IFERROR(AGGREGATE(15,6,ROW('Input Transaksi'!$B$5:$B$5000)/('Input Transaksi'!$B$5:$B$5000="GRIYA ANYAR"),ROWS($E$5:E71)),"")</f>
        <v/>
      </c>
      <c r="F71" s="5" t="n"/>
    </row>
    <row r="72">
      <c r="A72" s="10">
        <f>IF($E72="","",INDEX('Input Transaksi'!$A:$A,$E72))</f>
        <v/>
      </c>
      <c r="B72" s="5">
        <f>IF($E72="","",INDEX('Input Transaksi'!$D:$D,$E72))</f>
        <v/>
      </c>
      <c r="C72">
        <f>IF($E72="","",INDEX('Input Transaksi'!$E:$E,$E72))</f>
        <v/>
      </c>
      <c r="D72" s="5">
        <f>IF($E72="","",INDEX('Input Transaksi'!$F:$F,$E72))</f>
        <v/>
      </c>
      <c r="E72">
        <f>IFERROR(AGGREGATE(15,6,ROW('Input Transaksi'!$B$5:$B$5000)/('Input Transaksi'!$B$5:$B$5000="GRIYA ANYAR"),ROWS($E$5:E72)),"")</f>
        <v/>
      </c>
      <c r="F72" s="5" t="n"/>
    </row>
    <row r="73">
      <c r="A73" s="10">
        <f>IF($E73="","",INDEX('Input Transaksi'!$A:$A,$E73))</f>
        <v/>
      </c>
      <c r="B73" s="5">
        <f>IF($E73="","",INDEX('Input Transaksi'!$D:$D,$E73))</f>
        <v/>
      </c>
      <c r="C73">
        <f>IF($E73="","",INDEX('Input Transaksi'!$E:$E,$E73))</f>
        <v/>
      </c>
      <c r="D73" s="5">
        <f>IF($E73="","",INDEX('Input Transaksi'!$F:$F,$E73))</f>
        <v/>
      </c>
      <c r="E73">
        <f>IFERROR(AGGREGATE(15,6,ROW('Input Transaksi'!$B$5:$B$5000)/('Input Transaksi'!$B$5:$B$5000="GRIYA ANYAR"),ROWS($E$5:E73)),"")</f>
        <v/>
      </c>
      <c r="F73" s="5" t="n"/>
    </row>
    <row r="74">
      <c r="A74" s="10">
        <f>IF($E74="","",INDEX('Input Transaksi'!$A:$A,$E74))</f>
        <v/>
      </c>
      <c r="B74" s="5">
        <f>IF($E74="","",INDEX('Input Transaksi'!$D:$D,$E74))</f>
        <v/>
      </c>
      <c r="C74">
        <f>IF($E74="","",INDEX('Input Transaksi'!$E:$E,$E74))</f>
        <v/>
      </c>
      <c r="D74" s="5">
        <f>IF($E74="","",INDEX('Input Transaksi'!$F:$F,$E74))</f>
        <v/>
      </c>
      <c r="E74">
        <f>IFERROR(AGGREGATE(15,6,ROW('Input Transaksi'!$B$5:$B$5000)/('Input Transaksi'!$B$5:$B$5000="GRIYA ANYAR"),ROWS($E$5:E74)),"")</f>
        <v/>
      </c>
      <c r="F74" s="5" t="n"/>
    </row>
    <row r="75">
      <c r="A75" s="10">
        <f>IF($E75="","",INDEX('Input Transaksi'!$A:$A,$E75))</f>
        <v/>
      </c>
      <c r="B75" s="5">
        <f>IF($E75="","",INDEX('Input Transaksi'!$D:$D,$E75))</f>
        <v/>
      </c>
      <c r="C75">
        <f>IF($E75="","",INDEX('Input Transaksi'!$E:$E,$E75))</f>
        <v/>
      </c>
      <c r="D75" s="5">
        <f>IF($E75="","",INDEX('Input Transaksi'!$F:$F,$E75))</f>
        <v/>
      </c>
      <c r="E75">
        <f>IFERROR(AGGREGATE(15,6,ROW('Input Transaksi'!$B$5:$B$5000)/('Input Transaksi'!$B$5:$B$5000="GRIYA ANYAR"),ROWS($E$5:E75)),"")</f>
        <v/>
      </c>
      <c r="F75" s="5" t="n"/>
    </row>
    <row r="76">
      <c r="A76" s="10">
        <f>IF($E76="","",INDEX('Input Transaksi'!$A:$A,$E76))</f>
        <v/>
      </c>
      <c r="B76" s="5">
        <f>IF($E76="","",INDEX('Input Transaksi'!$D:$D,$E76))</f>
        <v/>
      </c>
      <c r="C76">
        <f>IF($E76="","",INDEX('Input Transaksi'!$E:$E,$E76))</f>
        <v/>
      </c>
      <c r="D76" s="5">
        <f>IF($E76="","",INDEX('Input Transaksi'!$F:$F,$E76))</f>
        <v/>
      </c>
      <c r="E76">
        <f>IFERROR(AGGREGATE(15,6,ROW('Input Transaksi'!$B$5:$B$5000)/('Input Transaksi'!$B$5:$B$5000="GRIYA ANYAR"),ROWS($E$5:E76)),"")</f>
        <v/>
      </c>
      <c r="F76" s="5" t="n"/>
    </row>
    <row r="77">
      <c r="A77" s="10">
        <f>IF($E77="","",INDEX('Input Transaksi'!$A:$A,$E77))</f>
        <v/>
      </c>
      <c r="B77" s="5">
        <f>IF($E77="","",INDEX('Input Transaksi'!$D:$D,$E77))</f>
        <v/>
      </c>
      <c r="C77">
        <f>IF($E77="","",INDEX('Input Transaksi'!$E:$E,$E77))</f>
        <v/>
      </c>
      <c r="D77" s="5">
        <f>IF($E77="","",INDEX('Input Transaksi'!$F:$F,$E77))</f>
        <v/>
      </c>
      <c r="E77">
        <f>IFERROR(AGGREGATE(15,6,ROW('Input Transaksi'!$B$5:$B$5000)/('Input Transaksi'!$B$5:$B$5000="GRIYA ANYAR"),ROWS($E$5:E77)),"")</f>
        <v/>
      </c>
      <c r="F77" s="5" t="n"/>
    </row>
    <row r="78">
      <c r="A78" s="10">
        <f>IF($E78="","",INDEX('Input Transaksi'!$A:$A,$E78))</f>
        <v/>
      </c>
      <c r="B78" s="5">
        <f>IF($E78="","",INDEX('Input Transaksi'!$D:$D,$E78))</f>
        <v/>
      </c>
      <c r="C78">
        <f>IF($E78="","",INDEX('Input Transaksi'!$E:$E,$E78))</f>
        <v/>
      </c>
      <c r="D78" s="5">
        <f>IF($E78="","",INDEX('Input Transaksi'!$F:$F,$E78))</f>
        <v/>
      </c>
      <c r="E78">
        <f>IFERROR(AGGREGATE(15,6,ROW('Input Transaksi'!$B$5:$B$5000)/('Input Transaksi'!$B$5:$B$5000="GRIYA ANYAR"),ROWS($E$5:E78)),"")</f>
        <v/>
      </c>
      <c r="F78" s="5" t="n"/>
    </row>
    <row r="79">
      <c r="A79" s="10">
        <f>IF($E79="","",INDEX('Input Transaksi'!$A:$A,$E79))</f>
        <v/>
      </c>
      <c r="B79" s="5">
        <f>IF($E79="","",INDEX('Input Transaksi'!$D:$D,$E79))</f>
        <v/>
      </c>
      <c r="C79">
        <f>IF($E79="","",INDEX('Input Transaksi'!$E:$E,$E79))</f>
        <v/>
      </c>
      <c r="D79" s="5">
        <f>IF($E79="","",INDEX('Input Transaksi'!$F:$F,$E79))</f>
        <v/>
      </c>
      <c r="E79">
        <f>IFERROR(AGGREGATE(15,6,ROW('Input Transaksi'!$B$5:$B$5000)/('Input Transaksi'!$B$5:$B$5000="GRIYA ANYAR"),ROWS($E$5:E79)),"")</f>
        <v/>
      </c>
      <c r="F79" s="5" t="n"/>
    </row>
    <row r="80">
      <c r="A80" s="10">
        <f>IF($E80="","",INDEX('Input Transaksi'!$A:$A,$E80))</f>
        <v/>
      </c>
      <c r="B80" s="5">
        <f>IF($E80="","",INDEX('Input Transaksi'!$D:$D,$E80))</f>
        <v/>
      </c>
      <c r="C80">
        <f>IF($E80="","",INDEX('Input Transaksi'!$E:$E,$E80))</f>
        <v/>
      </c>
      <c r="D80" s="5">
        <f>IF($E80="","",INDEX('Input Transaksi'!$F:$F,$E80))</f>
        <v/>
      </c>
      <c r="E80">
        <f>IFERROR(AGGREGATE(15,6,ROW('Input Transaksi'!$B$5:$B$5000)/('Input Transaksi'!$B$5:$B$5000="GRIYA ANYAR"),ROWS($E$5:E80)),"")</f>
        <v/>
      </c>
      <c r="F80" s="5" t="n"/>
    </row>
    <row r="81">
      <c r="A81" s="10">
        <f>IF($E81="","",INDEX('Input Transaksi'!$A:$A,$E81))</f>
        <v/>
      </c>
      <c r="B81" s="5">
        <f>IF($E81="","",INDEX('Input Transaksi'!$D:$D,$E81))</f>
        <v/>
      </c>
      <c r="C81">
        <f>IF($E81="","",INDEX('Input Transaksi'!$E:$E,$E81))</f>
        <v/>
      </c>
      <c r="D81" s="5">
        <f>IF($E81="","",INDEX('Input Transaksi'!$F:$F,$E81))</f>
        <v/>
      </c>
      <c r="E81">
        <f>IFERROR(AGGREGATE(15,6,ROW('Input Transaksi'!$B$5:$B$5000)/('Input Transaksi'!$B$5:$B$5000="GRIYA ANYAR"),ROWS($E$5:E81)),"")</f>
        <v/>
      </c>
      <c r="F81" s="5" t="n"/>
    </row>
    <row r="82">
      <c r="A82" s="10">
        <f>IF($E82="","",INDEX('Input Transaksi'!$A:$A,$E82))</f>
        <v/>
      </c>
      <c r="B82" s="5">
        <f>IF($E82="","",INDEX('Input Transaksi'!$D:$D,$E82))</f>
        <v/>
      </c>
      <c r="C82">
        <f>IF($E82="","",INDEX('Input Transaksi'!$E:$E,$E82))</f>
        <v/>
      </c>
      <c r="D82" s="5">
        <f>IF($E82="","",INDEX('Input Transaksi'!$F:$F,$E82))</f>
        <v/>
      </c>
      <c r="E82">
        <f>IFERROR(AGGREGATE(15,6,ROW('Input Transaksi'!$B$5:$B$5000)/('Input Transaksi'!$B$5:$B$5000="GRIYA ANYAR"),ROWS($E$5:E82)),"")</f>
        <v/>
      </c>
      <c r="F82" s="5" t="n"/>
    </row>
    <row r="83">
      <c r="A83" s="10">
        <f>IF($E83="","",INDEX('Input Transaksi'!$A:$A,$E83))</f>
        <v/>
      </c>
      <c r="B83" s="5">
        <f>IF($E83="","",INDEX('Input Transaksi'!$D:$D,$E83))</f>
        <v/>
      </c>
      <c r="C83">
        <f>IF($E83="","",INDEX('Input Transaksi'!$E:$E,$E83))</f>
        <v/>
      </c>
      <c r="D83" s="5">
        <f>IF($E83="","",INDEX('Input Transaksi'!$F:$F,$E83))</f>
        <v/>
      </c>
      <c r="E83">
        <f>IFERROR(AGGREGATE(15,6,ROW('Input Transaksi'!$B$5:$B$5000)/('Input Transaksi'!$B$5:$B$5000="GRIYA ANYAR"),ROWS($E$5:E83)),"")</f>
        <v/>
      </c>
      <c r="F83" s="5" t="n"/>
    </row>
    <row r="84">
      <c r="A84" s="10">
        <f>IF($E84="","",INDEX('Input Transaksi'!$A:$A,$E84))</f>
        <v/>
      </c>
      <c r="B84" s="5">
        <f>IF($E84="","",INDEX('Input Transaksi'!$D:$D,$E84))</f>
        <v/>
      </c>
      <c r="C84">
        <f>IF($E84="","",INDEX('Input Transaksi'!$E:$E,$E84))</f>
        <v/>
      </c>
      <c r="D84" s="5">
        <f>IF($E84="","",INDEX('Input Transaksi'!$F:$F,$E84))</f>
        <v/>
      </c>
      <c r="E84">
        <f>IFERROR(AGGREGATE(15,6,ROW('Input Transaksi'!$B$5:$B$5000)/('Input Transaksi'!$B$5:$B$5000="GRIYA ANYAR"),ROWS($E$5:E84)),"")</f>
        <v/>
      </c>
      <c r="F84" s="5" t="n"/>
    </row>
    <row r="85">
      <c r="A85" s="10">
        <f>IF($E85="","",INDEX('Input Transaksi'!$A:$A,$E85))</f>
        <v/>
      </c>
      <c r="B85" s="5">
        <f>IF($E85="","",INDEX('Input Transaksi'!$D:$D,$E85))</f>
        <v/>
      </c>
      <c r="C85">
        <f>IF($E85="","",INDEX('Input Transaksi'!$E:$E,$E85))</f>
        <v/>
      </c>
      <c r="D85" s="5">
        <f>IF($E85="","",INDEX('Input Transaksi'!$F:$F,$E85))</f>
        <v/>
      </c>
      <c r="E85">
        <f>IFERROR(AGGREGATE(15,6,ROW('Input Transaksi'!$B$5:$B$5000)/('Input Transaksi'!$B$5:$B$5000="GRIYA ANYAR"),ROWS($E$5:E85)),"")</f>
        <v/>
      </c>
      <c r="F85" s="5" t="n"/>
    </row>
    <row r="86">
      <c r="A86" s="10">
        <f>IF($E86="","",INDEX('Input Transaksi'!$A:$A,$E86))</f>
        <v/>
      </c>
      <c r="B86" s="5">
        <f>IF($E86="","",INDEX('Input Transaksi'!$D:$D,$E86))</f>
        <v/>
      </c>
      <c r="C86">
        <f>IF($E86="","",INDEX('Input Transaksi'!$E:$E,$E86))</f>
        <v/>
      </c>
      <c r="D86" s="5">
        <f>IF($E86="","",INDEX('Input Transaksi'!$F:$F,$E86))</f>
        <v/>
      </c>
      <c r="E86">
        <f>IFERROR(AGGREGATE(15,6,ROW('Input Transaksi'!$B$5:$B$5000)/('Input Transaksi'!$B$5:$B$5000="GRIYA ANYAR"),ROWS($E$5:E86)),"")</f>
        <v/>
      </c>
      <c r="F86" s="5" t="n"/>
    </row>
    <row r="87">
      <c r="A87" s="10">
        <f>IF($E87="","",INDEX('Input Transaksi'!$A:$A,$E87))</f>
        <v/>
      </c>
      <c r="B87" s="5">
        <f>IF($E87="","",INDEX('Input Transaksi'!$D:$D,$E87))</f>
        <v/>
      </c>
      <c r="C87">
        <f>IF($E87="","",INDEX('Input Transaksi'!$E:$E,$E87))</f>
        <v/>
      </c>
      <c r="D87" s="5">
        <f>IF($E87="","",INDEX('Input Transaksi'!$F:$F,$E87))</f>
        <v/>
      </c>
      <c r="E87">
        <f>IFERROR(AGGREGATE(15,6,ROW('Input Transaksi'!$B$5:$B$5000)/('Input Transaksi'!$B$5:$B$5000="GRIYA ANYAR"),ROWS($E$5:E87)),"")</f>
        <v/>
      </c>
      <c r="F87" s="5" t="n"/>
    </row>
    <row r="88">
      <c r="A88" s="10">
        <f>IF($E88="","",INDEX('Input Transaksi'!$A:$A,$E88))</f>
        <v/>
      </c>
      <c r="B88" s="5">
        <f>IF($E88="","",INDEX('Input Transaksi'!$D:$D,$E88))</f>
        <v/>
      </c>
      <c r="C88">
        <f>IF($E88="","",INDEX('Input Transaksi'!$E:$E,$E88))</f>
        <v/>
      </c>
      <c r="D88" s="5">
        <f>IF($E88="","",INDEX('Input Transaksi'!$F:$F,$E88))</f>
        <v/>
      </c>
      <c r="E88">
        <f>IFERROR(AGGREGATE(15,6,ROW('Input Transaksi'!$B$5:$B$5000)/('Input Transaksi'!$B$5:$B$5000="GRIYA ANYAR"),ROWS($E$5:E88)),"")</f>
        <v/>
      </c>
      <c r="F88" s="5" t="n"/>
    </row>
    <row r="89">
      <c r="A89" s="10">
        <f>IF($E89="","",INDEX('Input Transaksi'!$A:$A,$E89))</f>
        <v/>
      </c>
      <c r="B89" s="5">
        <f>IF($E89="","",INDEX('Input Transaksi'!$D:$D,$E89))</f>
        <v/>
      </c>
      <c r="C89">
        <f>IF($E89="","",INDEX('Input Transaksi'!$E:$E,$E89))</f>
        <v/>
      </c>
      <c r="D89" s="5">
        <f>IF($E89="","",INDEX('Input Transaksi'!$F:$F,$E89))</f>
        <v/>
      </c>
      <c r="E89">
        <f>IFERROR(AGGREGATE(15,6,ROW('Input Transaksi'!$B$5:$B$5000)/('Input Transaksi'!$B$5:$B$5000="GRIYA ANYAR"),ROWS($E$5:E89)),"")</f>
        <v/>
      </c>
      <c r="F89" s="5" t="n"/>
    </row>
    <row r="90">
      <c r="A90" s="10">
        <f>IF($E90="","",INDEX('Input Transaksi'!$A:$A,$E90))</f>
        <v/>
      </c>
      <c r="B90" s="5">
        <f>IF($E90="","",INDEX('Input Transaksi'!$D:$D,$E90))</f>
        <v/>
      </c>
      <c r="C90">
        <f>IF($E90="","",INDEX('Input Transaksi'!$E:$E,$E90))</f>
        <v/>
      </c>
      <c r="D90" s="5">
        <f>IF($E90="","",INDEX('Input Transaksi'!$F:$F,$E90))</f>
        <v/>
      </c>
      <c r="E90">
        <f>IFERROR(AGGREGATE(15,6,ROW('Input Transaksi'!$B$5:$B$5000)/('Input Transaksi'!$B$5:$B$5000="GRIYA ANYAR"),ROWS($E$5:E90)),"")</f>
        <v/>
      </c>
      <c r="F90" s="5" t="n"/>
    </row>
    <row r="91">
      <c r="A91" s="10">
        <f>IF($E91="","",INDEX('Input Transaksi'!$A:$A,$E91))</f>
        <v/>
      </c>
      <c r="B91" s="5">
        <f>IF($E91="","",INDEX('Input Transaksi'!$D:$D,$E91))</f>
        <v/>
      </c>
      <c r="C91">
        <f>IF($E91="","",INDEX('Input Transaksi'!$E:$E,$E91))</f>
        <v/>
      </c>
      <c r="D91" s="5">
        <f>IF($E91="","",INDEX('Input Transaksi'!$F:$F,$E91))</f>
        <v/>
      </c>
      <c r="E91">
        <f>IFERROR(AGGREGATE(15,6,ROW('Input Transaksi'!$B$5:$B$5000)/('Input Transaksi'!$B$5:$B$5000="GRIYA ANYAR"),ROWS($E$5:E91)),"")</f>
        <v/>
      </c>
      <c r="F91" s="5" t="n"/>
    </row>
    <row r="92">
      <c r="A92" s="10">
        <f>IF($E92="","",INDEX('Input Transaksi'!$A:$A,$E92))</f>
        <v/>
      </c>
      <c r="B92" s="5">
        <f>IF($E92="","",INDEX('Input Transaksi'!$D:$D,$E92))</f>
        <v/>
      </c>
      <c r="C92">
        <f>IF($E92="","",INDEX('Input Transaksi'!$E:$E,$E92))</f>
        <v/>
      </c>
      <c r="D92" s="5">
        <f>IF($E92="","",INDEX('Input Transaksi'!$F:$F,$E92))</f>
        <v/>
      </c>
      <c r="E92">
        <f>IFERROR(AGGREGATE(15,6,ROW('Input Transaksi'!$B$5:$B$5000)/('Input Transaksi'!$B$5:$B$5000="GRIYA ANYAR"),ROWS($E$5:E92)),"")</f>
        <v/>
      </c>
      <c r="F92" s="5" t="n"/>
    </row>
    <row r="93">
      <c r="A93" s="10">
        <f>IF($E93="","",INDEX('Input Transaksi'!$A:$A,$E93))</f>
        <v/>
      </c>
      <c r="B93" s="5">
        <f>IF($E93="","",INDEX('Input Transaksi'!$D:$D,$E93))</f>
        <v/>
      </c>
      <c r="C93">
        <f>IF($E93="","",INDEX('Input Transaksi'!$E:$E,$E93))</f>
        <v/>
      </c>
      <c r="D93" s="5">
        <f>IF($E93="","",INDEX('Input Transaksi'!$F:$F,$E93))</f>
        <v/>
      </c>
      <c r="E93">
        <f>IFERROR(AGGREGATE(15,6,ROW('Input Transaksi'!$B$5:$B$5000)/('Input Transaksi'!$B$5:$B$5000="GRIYA ANYAR"),ROWS($E$5:E93)),"")</f>
        <v/>
      </c>
      <c r="F93" s="5" t="n"/>
    </row>
    <row r="94">
      <c r="A94" s="10">
        <f>IF($E94="","",INDEX('Input Transaksi'!$A:$A,$E94))</f>
        <v/>
      </c>
      <c r="B94" s="5">
        <f>IF($E94="","",INDEX('Input Transaksi'!$D:$D,$E94))</f>
        <v/>
      </c>
      <c r="C94">
        <f>IF($E94="","",INDEX('Input Transaksi'!$E:$E,$E94))</f>
        <v/>
      </c>
      <c r="D94" s="5">
        <f>IF($E94="","",INDEX('Input Transaksi'!$F:$F,$E94))</f>
        <v/>
      </c>
      <c r="E94">
        <f>IFERROR(AGGREGATE(15,6,ROW('Input Transaksi'!$B$5:$B$5000)/('Input Transaksi'!$B$5:$B$5000="GRIYA ANYAR"),ROWS($E$5:E94)),"")</f>
        <v/>
      </c>
      <c r="F94" s="5" t="n"/>
    </row>
    <row r="95">
      <c r="A95" s="10">
        <f>IF($E95="","",INDEX('Input Transaksi'!$A:$A,$E95))</f>
        <v/>
      </c>
      <c r="B95" s="5">
        <f>IF($E95="","",INDEX('Input Transaksi'!$D:$D,$E95))</f>
        <v/>
      </c>
      <c r="C95">
        <f>IF($E95="","",INDEX('Input Transaksi'!$E:$E,$E95))</f>
        <v/>
      </c>
      <c r="D95" s="5">
        <f>IF($E95="","",INDEX('Input Transaksi'!$F:$F,$E95))</f>
        <v/>
      </c>
      <c r="E95">
        <f>IFERROR(AGGREGATE(15,6,ROW('Input Transaksi'!$B$5:$B$5000)/('Input Transaksi'!$B$5:$B$5000="GRIYA ANYAR"),ROWS($E$5:E95)),"")</f>
        <v/>
      </c>
      <c r="F95" s="5" t="n"/>
    </row>
    <row r="96">
      <c r="A96" s="10">
        <f>IF($E96="","",INDEX('Input Transaksi'!$A:$A,$E96))</f>
        <v/>
      </c>
      <c r="B96" s="5">
        <f>IF($E96="","",INDEX('Input Transaksi'!$D:$D,$E96))</f>
        <v/>
      </c>
      <c r="C96">
        <f>IF($E96="","",INDEX('Input Transaksi'!$E:$E,$E96))</f>
        <v/>
      </c>
      <c r="D96" s="5">
        <f>IF($E96="","",INDEX('Input Transaksi'!$F:$F,$E96))</f>
        <v/>
      </c>
      <c r="E96">
        <f>IFERROR(AGGREGATE(15,6,ROW('Input Transaksi'!$B$5:$B$5000)/('Input Transaksi'!$B$5:$B$5000="GRIYA ANYAR"),ROWS($E$5:E96)),"")</f>
        <v/>
      </c>
      <c r="F96" s="5" t="n"/>
    </row>
    <row r="97">
      <c r="A97" s="10">
        <f>IF($E97="","",INDEX('Input Transaksi'!$A:$A,$E97))</f>
        <v/>
      </c>
      <c r="B97" s="5">
        <f>IF($E97="","",INDEX('Input Transaksi'!$D:$D,$E97))</f>
        <v/>
      </c>
      <c r="C97">
        <f>IF($E97="","",INDEX('Input Transaksi'!$E:$E,$E97))</f>
        <v/>
      </c>
      <c r="D97" s="5">
        <f>IF($E97="","",INDEX('Input Transaksi'!$F:$F,$E97))</f>
        <v/>
      </c>
      <c r="E97">
        <f>IFERROR(AGGREGATE(15,6,ROW('Input Transaksi'!$B$5:$B$5000)/('Input Transaksi'!$B$5:$B$5000="GRIYA ANYAR"),ROWS($E$5:E97)),"")</f>
        <v/>
      </c>
      <c r="F97" s="5" t="n"/>
    </row>
    <row r="98">
      <c r="A98" s="10">
        <f>IF($E98="","",INDEX('Input Transaksi'!$A:$A,$E98))</f>
        <v/>
      </c>
      <c r="B98" s="5">
        <f>IF($E98="","",INDEX('Input Transaksi'!$D:$D,$E98))</f>
        <v/>
      </c>
      <c r="C98">
        <f>IF($E98="","",INDEX('Input Transaksi'!$E:$E,$E98))</f>
        <v/>
      </c>
      <c r="D98" s="5">
        <f>IF($E98="","",INDEX('Input Transaksi'!$F:$F,$E98))</f>
        <v/>
      </c>
      <c r="E98">
        <f>IFERROR(AGGREGATE(15,6,ROW('Input Transaksi'!$B$5:$B$5000)/('Input Transaksi'!$B$5:$B$5000="GRIYA ANYAR"),ROWS($E$5:E98)),"")</f>
        <v/>
      </c>
      <c r="F98" s="5" t="n"/>
    </row>
    <row r="99">
      <c r="A99" s="10">
        <f>IF($E99="","",INDEX('Input Transaksi'!$A:$A,$E99))</f>
        <v/>
      </c>
      <c r="B99" s="5">
        <f>IF($E99="","",INDEX('Input Transaksi'!$D:$D,$E99))</f>
        <v/>
      </c>
      <c r="C99">
        <f>IF($E99="","",INDEX('Input Transaksi'!$E:$E,$E99))</f>
        <v/>
      </c>
      <c r="D99" s="5">
        <f>IF($E99="","",INDEX('Input Transaksi'!$F:$F,$E99))</f>
        <v/>
      </c>
      <c r="E99">
        <f>IFERROR(AGGREGATE(15,6,ROW('Input Transaksi'!$B$5:$B$5000)/('Input Transaksi'!$B$5:$B$5000="GRIYA ANYAR"),ROWS($E$5:E99)),"")</f>
        <v/>
      </c>
      <c r="F99" s="5" t="n"/>
    </row>
    <row r="100">
      <c r="A100" s="10">
        <f>IF($E100="","",INDEX('Input Transaksi'!$A:$A,$E100))</f>
        <v/>
      </c>
      <c r="B100" s="5">
        <f>IF($E100="","",INDEX('Input Transaksi'!$D:$D,$E100))</f>
        <v/>
      </c>
      <c r="C100">
        <f>IF($E100="","",INDEX('Input Transaksi'!$E:$E,$E100))</f>
        <v/>
      </c>
      <c r="D100" s="5">
        <f>IF($E100="","",INDEX('Input Transaksi'!$F:$F,$E100))</f>
        <v/>
      </c>
      <c r="E100">
        <f>IFERROR(AGGREGATE(15,6,ROW('Input Transaksi'!$B$5:$B$5000)/('Input Transaksi'!$B$5:$B$5000="GRIYA ANYAR"),ROWS($E$5:E100)),"")</f>
        <v/>
      </c>
      <c r="F100" s="5" t="n"/>
    </row>
    <row r="101">
      <c r="A101" s="10">
        <f>IF($E101="","",INDEX('Input Transaksi'!$A:$A,$E101))</f>
        <v/>
      </c>
      <c r="B101" s="5">
        <f>IF($E101="","",INDEX('Input Transaksi'!$D:$D,$E101))</f>
        <v/>
      </c>
      <c r="C101">
        <f>IF($E101="","",INDEX('Input Transaksi'!$E:$E,$E101))</f>
        <v/>
      </c>
      <c r="D101" s="5">
        <f>IF($E101="","",INDEX('Input Transaksi'!$F:$F,$E101))</f>
        <v/>
      </c>
      <c r="E101">
        <f>IFERROR(AGGREGATE(15,6,ROW('Input Transaksi'!$B$5:$B$5000)/('Input Transaksi'!$B$5:$B$5000="GRIYA ANYAR"),ROWS($E$5:E101)),"")</f>
        <v/>
      </c>
      <c r="F101" s="5" t="n"/>
    </row>
    <row r="102">
      <c r="A102" s="10">
        <f>IF($E102="","",INDEX('Input Transaksi'!$A:$A,$E102))</f>
        <v/>
      </c>
      <c r="B102" s="5">
        <f>IF($E102="","",INDEX('Input Transaksi'!$D:$D,$E102))</f>
        <v/>
      </c>
      <c r="C102">
        <f>IF($E102="","",INDEX('Input Transaksi'!$E:$E,$E102))</f>
        <v/>
      </c>
      <c r="D102" s="5">
        <f>IF($E102="","",INDEX('Input Transaksi'!$F:$F,$E102))</f>
        <v/>
      </c>
      <c r="E102">
        <f>IFERROR(AGGREGATE(15,6,ROW('Input Transaksi'!$B$5:$B$5000)/('Input Transaksi'!$B$5:$B$5000="GRIYA ANYAR"),ROWS($E$5:E102)),"")</f>
        <v/>
      </c>
      <c r="F102" s="5" t="n"/>
    </row>
    <row r="103">
      <c r="A103" s="10">
        <f>IF($E103="","",INDEX('Input Transaksi'!$A:$A,$E103))</f>
        <v/>
      </c>
      <c r="B103" s="5">
        <f>IF($E103="","",INDEX('Input Transaksi'!$D:$D,$E103))</f>
        <v/>
      </c>
      <c r="C103">
        <f>IF($E103="","",INDEX('Input Transaksi'!$E:$E,$E103))</f>
        <v/>
      </c>
      <c r="D103" s="5">
        <f>IF($E103="","",INDEX('Input Transaksi'!$F:$F,$E103))</f>
        <v/>
      </c>
      <c r="E103">
        <f>IFERROR(AGGREGATE(15,6,ROW('Input Transaksi'!$B$5:$B$5000)/('Input Transaksi'!$B$5:$B$5000="GRIYA ANYAR"),ROWS($E$5:E103)),"")</f>
        <v/>
      </c>
      <c r="F103" s="5" t="n"/>
    </row>
    <row r="104">
      <c r="A104" s="10">
        <f>IF($E104="","",INDEX('Input Transaksi'!$A:$A,$E104))</f>
        <v/>
      </c>
      <c r="B104" s="5">
        <f>IF($E104="","",INDEX('Input Transaksi'!$D:$D,$E104))</f>
        <v/>
      </c>
      <c r="C104">
        <f>IF($E104="","",INDEX('Input Transaksi'!$E:$E,$E104))</f>
        <v/>
      </c>
      <c r="D104" s="5">
        <f>IF($E104="","",INDEX('Input Transaksi'!$F:$F,$E104))</f>
        <v/>
      </c>
      <c r="E104">
        <f>IFERROR(AGGREGATE(15,6,ROW('Input Transaksi'!$B$5:$B$5000)/('Input Transaksi'!$B$5:$B$5000="GRIYA ANYAR"),ROWS($E$5:E104)),"")</f>
        <v/>
      </c>
      <c r="F104" s="5" t="n"/>
    </row>
    <row r="105">
      <c r="A105" s="10">
        <f>IF($E105="","",INDEX('Input Transaksi'!$A:$A,$E105))</f>
        <v/>
      </c>
      <c r="B105" s="5">
        <f>IF($E105="","",INDEX('Input Transaksi'!$D:$D,$E105))</f>
        <v/>
      </c>
      <c r="C105">
        <f>IF($E105="","",INDEX('Input Transaksi'!$E:$E,$E105))</f>
        <v/>
      </c>
      <c r="D105" s="5">
        <f>IF($E105="","",INDEX('Input Transaksi'!$F:$F,$E105))</f>
        <v/>
      </c>
      <c r="E105">
        <f>IFERROR(AGGREGATE(15,6,ROW('Input Transaksi'!$B$5:$B$5000)/('Input Transaksi'!$B$5:$B$5000="GRIYA ANYAR"),ROWS($E$5:E105)),"")</f>
        <v/>
      </c>
      <c r="F105" s="5" t="n"/>
    </row>
    <row r="106">
      <c r="A106" s="10">
        <f>IF($E106="","",INDEX('Input Transaksi'!$A:$A,$E106))</f>
        <v/>
      </c>
      <c r="B106" s="5">
        <f>IF($E106="","",INDEX('Input Transaksi'!$D:$D,$E106))</f>
        <v/>
      </c>
      <c r="C106">
        <f>IF($E106="","",INDEX('Input Transaksi'!$E:$E,$E106))</f>
        <v/>
      </c>
      <c r="D106" s="5">
        <f>IF($E106="","",INDEX('Input Transaksi'!$F:$F,$E106))</f>
        <v/>
      </c>
      <c r="E106">
        <f>IFERROR(AGGREGATE(15,6,ROW('Input Transaksi'!$B$5:$B$5000)/('Input Transaksi'!$B$5:$B$5000="GRIYA ANYAR"),ROWS($E$5:E106)),"")</f>
        <v/>
      </c>
      <c r="F106" s="5" t="n"/>
    </row>
    <row r="107">
      <c r="A107" s="10">
        <f>IF($E107="","",INDEX('Input Transaksi'!$A:$A,$E107))</f>
        <v/>
      </c>
      <c r="B107" s="5">
        <f>IF($E107="","",INDEX('Input Transaksi'!$D:$D,$E107))</f>
        <v/>
      </c>
      <c r="C107">
        <f>IF($E107="","",INDEX('Input Transaksi'!$E:$E,$E107))</f>
        <v/>
      </c>
      <c r="D107" s="5">
        <f>IF($E107="","",INDEX('Input Transaksi'!$F:$F,$E107))</f>
        <v/>
      </c>
      <c r="E107">
        <f>IFERROR(AGGREGATE(15,6,ROW('Input Transaksi'!$B$5:$B$5000)/('Input Transaksi'!$B$5:$B$5000="GRIYA ANYAR"),ROWS($E$5:E107)),"")</f>
        <v/>
      </c>
      <c r="F107" s="5" t="n"/>
    </row>
    <row r="108">
      <c r="A108" s="10">
        <f>IF($E108="","",INDEX('Input Transaksi'!$A:$A,$E108))</f>
        <v/>
      </c>
      <c r="B108" s="5">
        <f>IF($E108="","",INDEX('Input Transaksi'!$D:$D,$E108))</f>
        <v/>
      </c>
      <c r="C108">
        <f>IF($E108="","",INDEX('Input Transaksi'!$E:$E,$E108))</f>
        <v/>
      </c>
      <c r="D108" s="5">
        <f>IF($E108="","",INDEX('Input Transaksi'!$F:$F,$E108))</f>
        <v/>
      </c>
      <c r="E108">
        <f>IFERROR(AGGREGATE(15,6,ROW('Input Transaksi'!$B$5:$B$5000)/('Input Transaksi'!$B$5:$B$5000="GRIYA ANYAR"),ROWS($E$5:E108)),"")</f>
        <v/>
      </c>
      <c r="F108" s="5" t="n"/>
    </row>
    <row r="109">
      <c r="A109" s="10">
        <f>IF($E109="","",INDEX('Input Transaksi'!$A:$A,$E109))</f>
        <v/>
      </c>
      <c r="B109" s="5">
        <f>IF($E109="","",INDEX('Input Transaksi'!$D:$D,$E109))</f>
        <v/>
      </c>
      <c r="C109">
        <f>IF($E109="","",INDEX('Input Transaksi'!$E:$E,$E109))</f>
        <v/>
      </c>
      <c r="D109" s="5">
        <f>IF($E109="","",INDEX('Input Transaksi'!$F:$F,$E109))</f>
        <v/>
      </c>
      <c r="E109">
        <f>IFERROR(AGGREGATE(15,6,ROW('Input Transaksi'!$B$5:$B$5000)/('Input Transaksi'!$B$5:$B$5000="GRIYA ANYAR"),ROWS($E$5:E109)),"")</f>
        <v/>
      </c>
      <c r="F109" s="5" t="n"/>
    </row>
    <row r="110">
      <c r="A110" s="10">
        <f>IF($E110="","",INDEX('Input Transaksi'!$A:$A,$E110))</f>
        <v/>
      </c>
      <c r="B110" s="5">
        <f>IF($E110="","",INDEX('Input Transaksi'!$D:$D,$E110))</f>
        <v/>
      </c>
      <c r="C110">
        <f>IF($E110="","",INDEX('Input Transaksi'!$E:$E,$E110))</f>
        <v/>
      </c>
      <c r="D110" s="5">
        <f>IF($E110="","",INDEX('Input Transaksi'!$F:$F,$E110))</f>
        <v/>
      </c>
      <c r="E110">
        <f>IFERROR(AGGREGATE(15,6,ROW('Input Transaksi'!$B$5:$B$5000)/('Input Transaksi'!$B$5:$B$5000="GRIYA ANYAR"),ROWS($E$5:E110)),"")</f>
        <v/>
      </c>
      <c r="F110" s="5" t="n"/>
    </row>
    <row r="111">
      <c r="A111" s="10">
        <f>IF($E111="","",INDEX('Input Transaksi'!$A:$A,$E111))</f>
        <v/>
      </c>
      <c r="B111" s="5">
        <f>IF($E111="","",INDEX('Input Transaksi'!$D:$D,$E111))</f>
        <v/>
      </c>
      <c r="C111">
        <f>IF($E111="","",INDEX('Input Transaksi'!$E:$E,$E111))</f>
        <v/>
      </c>
      <c r="D111" s="5">
        <f>IF($E111="","",INDEX('Input Transaksi'!$F:$F,$E111))</f>
        <v/>
      </c>
      <c r="E111">
        <f>IFERROR(AGGREGATE(15,6,ROW('Input Transaksi'!$B$5:$B$5000)/('Input Transaksi'!$B$5:$B$5000="GRIYA ANYAR"),ROWS($E$5:E111)),"")</f>
        <v/>
      </c>
      <c r="F111" s="5" t="n"/>
    </row>
    <row r="112">
      <c r="A112" s="10">
        <f>IF($E112="","",INDEX('Input Transaksi'!$A:$A,$E112))</f>
        <v/>
      </c>
      <c r="B112" s="5">
        <f>IF($E112="","",INDEX('Input Transaksi'!$D:$D,$E112))</f>
        <v/>
      </c>
      <c r="C112">
        <f>IF($E112="","",INDEX('Input Transaksi'!$E:$E,$E112))</f>
        <v/>
      </c>
      <c r="D112" s="5">
        <f>IF($E112="","",INDEX('Input Transaksi'!$F:$F,$E112))</f>
        <v/>
      </c>
      <c r="E112">
        <f>IFERROR(AGGREGATE(15,6,ROW('Input Transaksi'!$B$5:$B$5000)/('Input Transaksi'!$B$5:$B$5000="GRIYA ANYAR"),ROWS($E$5:E112)),"")</f>
        <v/>
      </c>
      <c r="F112" s="5" t="n"/>
    </row>
    <row r="113">
      <c r="A113" s="10">
        <f>IF($E113="","",INDEX('Input Transaksi'!$A:$A,$E113))</f>
        <v/>
      </c>
      <c r="B113" s="5">
        <f>IF($E113="","",INDEX('Input Transaksi'!$D:$D,$E113))</f>
        <v/>
      </c>
      <c r="C113">
        <f>IF($E113="","",INDEX('Input Transaksi'!$E:$E,$E113))</f>
        <v/>
      </c>
      <c r="D113" s="5">
        <f>IF($E113="","",INDEX('Input Transaksi'!$F:$F,$E113))</f>
        <v/>
      </c>
      <c r="E113">
        <f>IFERROR(AGGREGATE(15,6,ROW('Input Transaksi'!$B$5:$B$5000)/('Input Transaksi'!$B$5:$B$5000="GRIYA ANYAR"),ROWS($E$5:E113)),"")</f>
        <v/>
      </c>
      <c r="F113" s="5" t="n"/>
    </row>
    <row r="114">
      <c r="A114" s="10">
        <f>IF($E114="","",INDEX('Input Transaksi'!$A:$A,$E114))</f>
        <v/>
      </c>
      <c r="B114" s="5">
        <f>IF($E114="","",INDEX('Input Transaksi'!$D:$D,$E114))</f>
        <v/>
      </c>
      <c r="C114">
        <f>IF($E114="","",INDEX('Input Transaksi'!$E:$E,$E114))</f>
        <v/>
      </c>
      <c r="D114" s="5">
        <f>IF($E114="","",INDEX('Input Transaksi'!$F:$F,$E114))</f>
        <v/>
      </c>
      <c r="E114">
        <f>IFERROR(AGGREGATE(15,6,ROW('Input Transaksi'!$B$5:$B$5000)/('Input Transaksi'!$B$5:$B$5000="GRIYA ANYAR"),ROWS($E$5:E114)),"")</f>
        <v/>
      </c>
      <c r="F114" s="5" t="n"/>
    </row>
    <row r="115">
      <c r="A115" s="10">
        <f>IF($E115="","",INDEX('Input Transaksi'!$A:$A,$E115))</f>
        <v/>
      </c>
      <c r="B115" s="5">
        <f>IF($E115="","",INDEX('Input Transaksi'!$D:$D,$E115))</f>
        <v/>
      </c>
      <c r="C115">
        <f>IF($E115="","",INDEX('Input Transaksi'!$E:$E,$E115))</f>
        <v/>
      </c>
      <c r="D115" s="5">
        <f>IF($E115="","",INDEX('Input Transaksi'!$F:$F,$E115))</f>
        <v/>
      </c>
      <c r="E115">
        <f>IFERROR(AGGREGATE(15,6,ROW('Input Transaksi'!$B$5:$B$5000)/('Input Transaksi'!$B$5:$B$5000="GRIYA ANYAR"),ROWS($E$5:E115)),"")</f>
        <v/>
      </c>
      <c r="F115" s="5" t="n"/>
    </row>
    <row r="116">
      <c r="A116" s="10">
        <f>IF($E116="","",INDEX('Input Transaksi'!$A:$A,$E116))</f>
        <v/>
      </c>
      <c r="B116" s="5">
        <f>IF($E116="","",INDEX('Input Transaksi'!$D:$D,$E116))</f>
        <v/>
      </c>
      <c r="C116">
        <f>IF($E116="","",INDEX('Input Transaksi'!$E:$E,$E116))</f>
        <v/>
      </c>
      <c r="D116" s="5">
        <f>IF($E116="","",INDEX('Input Transaksi'!$F:$F,$E116))</f>
        <v/>
      </c>
      <c r="E116">
        <f>IFERROR(AGGREGATE(15,6,ROW('Input Transaksi'!$B$5:$B$5000)/('Input Transaksi'!$B$5:$B$5000="GRIYA ANYAR"),ROWS($E$5:E116)),"")</f>
        <v/>
      </c>
      <c r="F116" s="5" t="n"/>
    </row>
    <row r="117">
      <c r="A117" s="10">
        <f>IF($E117="","",INDEX('Input Transaksi'!$A:$A,$E117))</f>
        <v/>
      </c>
      <c r="B117" s="5">
        <f>IF($E117="","",INDEX('Input Transaksi'!$D:$D,$E117))</f>
        <v/>
      </c>
      <c r="C117">
        <f>IF($E117="","",INDEX('Input Transaksi'!$E:$E,$E117))</f>
        <v/>
      </c>
      <c r="D117" s="5">
        <f>IF($E117="","",INDEX('Input Transaksi'!$F:$F,$E117))</f>
        <v/>
      </c>
      <c r="E117">
        <f>IFERROR(AGGREGATE(15,6,ROW('Input Transaksi'!$B$5:$B$5000)/('Input Transaksi'!$B$5:$B$5000="GRIYA ANYAR"),ROWS($E$5:E117)),"")</f>
        <v/>
      </c>
      <c r="F117" s="5" t="n"/>
    </row>
    <row r="118">
      <c r="A118" s="10">
        <f>IF($E118="","",INDEX('Input Transaksi'!$A:$A,$E118))</f>
        <v/>
      </c>
      <c r="B118" s="5">
        <f>IF($E118="","",INDEX('Input Transaksi'!$D:$D,$E118))</f>
        <v/>
      </c>
      <c r="C118">
        <f>IF($E118="","",INDEX('Input Transaksi'!$E:$E,$E118))</f>
        <v/>
      </c>
      <c r="D118" s="5">
        <f>IF($E118="","",INDEX('Input Transaksi'!$F:$F,$E118))</f>
        <v/>
      </c>
      <c r="E118">
        <f>IFERROR(AGGREGATE(15,6,ROW('Input Transaksi'!$B$5:$B$5000)/('Input Transaksi'!$B$5:$B$5000="GRIYA ANYAR"),ROWS($E$5:E118)),"")</f>
        <v/>
      </c>
      <c r="F118" s="5" t="n"/>
    </row>
    <row r="119">
      <c r="A119" s="10">
        <f>IF($E119="","",INDEX('Input Transaksi'!$A:$A,$E119))</f>
        <v/>
      </c>
      <c r="B119" s="5">
        <f>IF($E119="","",INDEX('Input Transaksi'!$D:$D,$E119))</f>
        <v/>
      </c>
      <c r="C119">
        <f>IF($E119="","",INDEX('Input Transaksi'!$E:$E,$E119))</f>
        <v/>
      </c>
      <c r="D119" s="5">
        <f>IF($E119="","",INDEX('Input Transaksi'!$F:$F,$E119))</f>
        <v/>
      </c>
      <c r="E119">
        <f>IFERROR(AGGREGATE(15,6,ROW('Input Transaksi'!$B$5:$B$5000)/('Input Transaksi'!$B$5:$B$5000="GRIYA ANYAR"),ROWS($E$5:E119)),"")</f>
        <v/>
      </c>
      <c r="F119" s="5" t="n"/>
    </row>
    <row r="120">
      <c r="A120" s="10">
        <f>IF($E120="","",INDEX('Input Transaksi'!$A:$A,$E120))</f>
        <v/>
      </c>
      <c r="B120" s="5">
        <f>IF($E120="","",INDEX('Input Transaksi'!$D:$D,$E120))</f>
        <v/>
      </c>
      <c r="C120">
        <f>IF($E120="","",INDEX('Input Transaksi'!$E:$E,$E120))</f>
        <v/>
      </c>
      <c r="D120" s="5">
        <f>IF($E120="","",INDEX('Input Transaksi'!$F:$F,$E120))</f>
        <v/>
      </c>
      <c r="E120">
        <f>IFERROR(AGGREGATE(15,6,ROW('Input Transaksi'!$B$5:$B$5000)/('Input Transaksi'!$B$5:$B$5000="GRIYA ANYAR"),ROWS($E$5:E120)),"")</f>
        <v/>
      </c>
      <c r="F120" s="5" t="n"/>
    </row>
    <row r="121">
      <c r="A121" s="10">
        <f>IF($E121="","",INDEX('Input Transaksi'!$A:$A,$E121))</f>
        <v/>
      </c>
      <c r="B121" s="5">
        <f>IF($E121="","",INDEX('Input Transaksi'!$D:$D,$E121))</f>
        <v/>
      </c>
      <c r="C121">
        <f>IF($E121="","",INDEX('Input Transaksi'!$E:$E,$E121))</f>
        <v/>
      </c>
      <c r="D121" s="5">
        <f>IF($E121="","",INDEX('Input Transaksi'!$F:$F,$E121))</f>
        <v/>
      </c>
      <c r="E121">
        <f>IFERROR(AGGREGATE(15,6,ROW('Input Transaksi'!$B$5:$B$5000)/('Input Transaksi'!$B$5:$B$5000="GRIYA ANYAR"),ROWS($E$5:E121)),"")</f>
        <v/>
      </c>
      <c r="F121" s="5" t="n"/>
    </row>
    <row r="122">
      <c r="A122" s="10">
        <f>IF($E122="","",INDEX('Input Transaksi'!$A:$A,$E122))</f>
        <v/>
      </c>
      <c r="B122" s="5">
        <f>IF($E122="","",INDEX('Input Transaksi'!$D:$D,$E122))</f>
        <v/>
      </c>
      <c r="C122">
        <f>IF($E122="","",INDEX('Input Transaksi'!$E:$E,$E122))</f>
        <v/>
      </c>
      <c r="D122" s="5">
        <f>IF($E122="","",INDEX('Input Transaksi'!$F:$F,$E122))</f>
        <v/>
      </c>
      <c r="E122">
        <f>IFERROR(AGGREGATE(15,6,ROW('Input Transaksi'!$B$5:$B$5000)/('Input Transaksi'!$B$5:$B$5000="GRIYA ANYAR"),ROWS($E$5:E122)),"")</f>
        <v/>
      </c>
      <c r="F122" s="5" t="n"/>
    </row>
    <row r="123">
      <c r="A123" s="10">
        <f>IF($E123="","",INDEX('Input Transaksi'!$A:$A,$E123))</f>
        <v/>
      </c>
      <c r="B123" s="5">
        <f>IF($E123="","",INDEX('Input Transaksi'!$D:$D,$E123))</f>
        <v/>
      </c>
      <c r="C123">
        <f>IF($E123="","",INDEX('Input Transaksi'!$E:$E,$E123))</f>
        <v/>
      </c>
      <c r="D123" s="5">
        <f>IF($E123="","",INDEX('Input Transaksi'!$F:$F,$E123))</f>
        <v/>
      </c>
      <c r="E123">
        <f>IFERROR(AGGREGATE(15,6,ROW('Input Transaksi'!$B$5:$B$5000)/('Input Transaksi'!$B$5:$B$5000="GRIYA ANYAR"),ROWS($E$5:E123)),"")</f>
        <v/>
      </c>
      <c r="F123" s="5" t="n"/>
    </row>
    <row r="124">
      <c r="A124" s="10">
        <f>IF($E124="","",INDEX('Input Transaksi'!$A:$A,$E124))</f>
        <v/>
      </c>
      <c r="B124" s="5">
        <f>IF($E124="","",INDEX('Input Transaksi'!$D:$D,$E124))</f>
        <v/>
      </c>
      <c r="C124">
        <f>IF($E124="","",INDEX('Input Transaksi'!$E:$E,$E124))</f>
        <v/>
      </c>
      <c r="D124" s="5">
        <f>IF($E124="","",INDEX('Input Transaksi'!$F:$F,$E124))</f>
        <v/>
      </c>
      <c r="E124">
        <f>IFERROR(AGGREGATE(15,6,ROW('Input Transaksi'!$B$5:$B$5000)/('Input Transaksi'!$B$5:$B$5000="GRIYA ANYAR"),ROWS($E$5:E124)),"")</f>
        <v/>
      </c>
      <c r="F124" s="5" t="n"/>
    </row>
    <row r="125">
      <c r="A125" s="10">
        <f>IF($E125="","",INDEX('Input Transaksi'!$A:$A,$E125))</f>
        <v/>
      </c>
      <c r="B125" s="5">
        <f>IF($E125="","",INDEX('Input Transaksi'!$D:$D,$E125))</f>
        <v/>
      </c>
      <c r="C125">
        <f>IF($E125="","",INDEX('Input Transaksi'!$E:$E,$E125))</f>
        <v/>
      </c>
      <c r="D125" s="5">
        <f>IF($E125="","",INDEX('Input Transaksi'!$F:$F,$E125))</f>
        <v/>
      </c>
      <c r="E125">
        <f>IFERROR(AGGREGATE(15,6,ROW('Input Transaksi'!$B$5:$B$5000)/('Input Transaksi'!$B$5:$B$5000="GRIYA ANYAR"),ROWS($E$5:E125)),"")</f>
        <v/>
      </c>
      <c r="F125" s="5" t="n"/>
    </row>
    <row r="126">
      <c r="A126" s="10">
        <f>IF($E126="","",INDEX('Input Transaksi'!$A:$A,$E126))</f>
        <v/>
      </c>
      <c r="B126" s="5">
        <f>IF($E126="","",INDEX('Input Transaksi'!$D:$D,$E126))</f>
        <v/>
      </c>
      <c r="C126">
        <f>IF($E126="","",INDEX('Input Transaksi'!$E:$E,$E126))</f>
        <v/>
      </c>
      <c r="D126" s="5">
        <f>IF($E126="","",INDEX('Input Transaksi'!$F:$F,$E126))</f>
        <v/>
      </c>
      <c r="E126">
        <f>IFERROR(AGGREGATE(15,6,ROW('Input Transaksi'!$B$5:$B$5000)/('Input Transaksi'!$B$5:$B$5000="GRIYA ANYAR"),ROWS($E$5:E126)),"")</f>
        <v/>
      </c>
      <c r="F126" s="5" t="n"/>
    </row>
    <row r="127">
      <c r="A127" s="10">
        <f>IF($E127="","",INDEX('Input Transaksi'!$A:$A,$E127))</f>
        <v/>
      </c>
      <c r="B127" s="5">
        <f>IF($E127="","",INDEX('Input Transaksi'!$D:$D,$E127))</f>
        <v/>
      </c>
      <c r="C127">
        <f>IF($E127="","",INDEX('Input Transaksi'!$E:$E,$E127))</f>
        <v/>
      </c>
      <c r="D127" s="5">
        <f>IF($E127="","",INDEX('Input Transaksi'!$F:$F,$E127))</f>
        <v/>
      </c>
      <c r="E127">
        <f>IFERROR(AGGREGATE(15,6,ROW('Input Transaksi'!$B$5:$B$5000)/('Input Transaksi'!$B$5:$B$5000="GRIYA ANYAR"),ROWS($E$5:E127)),"")</f>
        <v/>
      </c>
      <c r="F127" s="5" t="n"/>
    </row>
    <row r="128">
      <c r="A128" s="10">
        <f>IF($E128="","",INDEX('Input Transaksi'!$A:$A,$E128))</f>
        <v/>
      </c>
      <c r="B128" s="5">
        <f>IF($E128="","",INDEX('Input Transaksi'!$D:$D,$E128))</f>
        <v/>
      </c>
      <c r="C128">
        <f>IF($E128="","",INDEX('Input Transaksi'!$E:$E,$E128))</f>
        <v/>
      </c>
      <c r="D128" s="5">
        <f>IF($E128="","",INDEX('Input Transaksi'!$F:$F,$E128))</f>
        <v/>
      </c>
      <c r="E128">
        <f>IFERROR(AGGREGATE(15,6,ROW('Input Transaksi'!$B$5:$B$5000)/('Input Transaksi'!$B$5:$B$5000="GRIYA ANYAR"),ROWS($E$5:E128)),"")</f>
        <v/>
      </c>
      <c r="F128" s="5" t="n"/>
    </row>
    <row r="129">
      <c r="A129" s="10">
        <f>IF($E129="","",INDEX('Input Transaksi'!$A:$A,$E129))</f>
        <v/>
      </c>
      <c r="B129" s="5">
        <f>IF($E129="","",INDEX('Input Transaksi'!$D:$D,$E129))</f>
        <v/>
      </c>
      <c r="C129">
        <f>IF($E129="","",INDEX('Input Transaksi'!$E:$E,$E129))</f>
        <v/>
      </c>
      <c r="D129" s="5">
        <f>IF($E129="","",INDEX('Input Transaksi'!$F:$F,$E129))</f>
        <v/>
      </c>
      <c r="E129">
        <f>IFERROR(AGGREGATE(15,6,ROW('Input Transaksi'!$B$5:$B$5000)/('Input Transaksi'!$B$5:$B$5000="GRIYA ANYAR"),ROWS($E$5:E129)),"")</f>
        <v/>
      </c>
      <c r="F129" s="5" t="n"/>
    </row>
    <row r="130">
      <c r="A130" s="10">
        <f>IF($E130="","",INDEX('Input Transaksi'!$A:$A,$E130))</f>
        <v/>
      </c>
      <c r="B130" s="5">
        <f>IF($E130="","",INDEX('Input Transaksi'!$D:$D,$E130))</f>
        <v/>
      </c>
      <c r="C130">
        <f>IF($E130="","",INDEX('Input Transaksi'!$E:$E,$E130))</f>
        <v/>
      </c>
      <c r="D130" s="5">
        <f>IF($E130="","",INDEX('Input Transaksi'!$F:$F,$E130))</f>
        <v/>
      </c>
      <c r="E130">
        <f>IFERROR(AGGREGATE(15,6,ROW('Input Transaksi'!$B$5:$B$5000)/('Input Transaksi'!$B$5:$B$5000="GRIYA ANYAR"),ROWS($E$5:E130)),"")</f>
        <v/>
      </c>
      <c r="F130" s="5" t="n"/>
    </row>
    <row r="131">
      <c r="A131" s="10">
        <f>IF($E131="","",INDEX('Input Transaksi'!$A:$A,$E131))</f>
        <v/>
      </c>
      <c r="B131" s="5">
        <f>IF($E131="","",INDEX('Input Transaksi'!$D:$D,$E131))</f>
        <v/>
      </c>
      <c r="C131">
        <f>IF($E131="","",INDEX('Input Transaksi'!$E:$E,$E131))</f>
        <v/>
      </c>
      <c r="D131" s="5">
        <f>IF($E131="","",INDEX('Input Transaksi'!$F:$F,$E131))</f>
        <v/>
      </c>
      <c r="E131">
        <f>IFERROR(AGGREGATE(15,6,ROW('Input Transaksi'!$B$5:$B$5000)/('Input Transaksi'!$B$5:$B$5000="GRIYA ANYAR"),ROWS($E$5:E131)),"")</f>
        <v/>
      </c>
      <c r="F131" s="5" t="n"/>
    </row>
    <row r="132">
      <c r="A132" s="10">
        <f>IF($E132="","",INDEX('Input Transaksi'!$A:$A,$E132))</f>
        <v/>
      </c>
      <c r="B132" s="5">
        <f>IF($E132="","",INDEX('Input Transaksi'!$D:$D,$E132))</f>
        <v/>
      </c>
      <c r="C132">
        <f>IF($E132="","",INDEX('Input Transaksi'!$E:$E,$E132))</f>
        <v/>
      </c>
      <c r="D132" s="5">
        <f>IF($E132="","",INDEX('Input Transaksi'!$F:$F,$E132))</f>
        <v/>
      </c>
      <c r="E132">
        <f>IFERROR(AGGREGATE(15,6,ROW('Input Transaksi'!$B$5:$B$5000)/('Input Transaksi'!$B$5:$B$5000="GRIYA ANYAR"),ROWS($E$5:E132)),"")</f>
        <v/>
      </c>
      <c r="F132" s="5" t="n"/>
    </row>
    <row r="133">
      <c r="A133" s="10">
        <f>IF($E133="","",INDEX('Input Transaksi'!$A:$A,$E133))</f>
        <v/>
      </c>
      <c r="B133" s="5">
        <f>IF($E133="","",INDEX('Input Transaksi'!$D:$D,$E133))</f>
        <v/>
      </c>
      <c r="C133">
        <f>IF($E133="","",INDEX('Input Transaksi'!$E:$E,$E133))</f>
        <v/>
      </c>
      <c r="D133" s="5">
        <f>IF($E133="","",INDEX('Input Transaksi'!$F:$F,$E133))</f>
        <v/>
      </c>
      <c r="E133">
        <f>IFERROR(AGGREGATE(15,6,ROW('Input Transaksi'!$B$5:$B$5000)/('Input Transaksi'!$B$5:$B$5000="GRIYA ANYAR"),ROWS($E$5:E133)),"")</f>
        <v/>
      </c>
      <c r="F133" s="5" t="n"/>
    </row>
    <row r="134">
      <c r="A134" s="10">
        <f>IF($E134="","",INDEX('Input Transaksi'!$A:$A,$E134))</f>
        <v/>
      </c>
      <c r="B134" s="5">
        <f>IF($E134="","",INDEX('Input Transaksi'!$D:$D,$E134))</f>
        <v/>
      </c>
      <c r="C134">
        <f>IF($E134="","",INDEX('Input Transaksi'!$E:$E,$E134))</f>
        <v/>
      </c>
      <c r="D134" s="5">
        <f>IF($E134="","",INDEX('Input Transaksi'!$F:$F,$E134))</f>
        <v/>
      </c>
      <c r="E134">
        <f>IFERROR(AGGREGATE(15,6,ROW('Input Transaksi'!$B$5:$B$5000)/('Input Transaksi'!$B$5:$B$5000="GRIYA ANYAR"),ROWS($E$5:E134)),"")</f>
        <v/>
      </c>
      <c r="F134" s="5" t="n"/>
    </row>
    <row r="135">
      <c r="A135" s="10">
        <f>IF($E135="","",INDEX('Input Transaksi'!$A:$A,$E135))</f>
        <v/>
      </c>
      <c r="B135" s="5">
        <f>IF($E135="","",INDEX('Input Transaksi'!$D:$D,$E135))</f>
        <v/>
      </c>
      <c r="C135">
        <f>IF($E135="","",INDEX('Input Transaksi'!$E:$E,$E135))</f>
        <v/>
      </c>
      <c r="D135" s="5">
        <f>IF($E135="","",INDEX('Input Transaksi'!$F:$F,$E135))</f>
        <v/>
      </c>
      <c r="E135">
        <f>IFERROR(AGGREGATE(15,6,ROW('Input Transaksi'!$B$5:$B$5000)/('Input Transaksi'!$B$5:$B$5000="GRIYA ANYAR"),ROWS($E$5:E135)),"")</f>
        <v/>
      </c>
      <c r="F135" s="5" t="n"/>
    </row>
    <row r="136">
      <c r="A136" s="10">
        <f>IF($E136="","",INDEX('Input Transaksi'!$A:$A,$E136))</f>
        <v/>
      </c>
      <c r="B136" s="5">
        <f>IF($E136="","",INDEX('Input Transaksi'!$D:$D,$E136))</f>
        <v/>
      </c>
      <c r="C136">
        <f>IF($E136="","",INDEX('Input Transaksi'!$E:$E,$E136))</f>
        <v/>
      </c>
      <c r="D136" s="5">
        <f>IF($E136="","",INDEX('Input Transaksi'!$F:$F,$E136))</f>
        <v/>
      </c>
      <c r="E136">
        <f>IFERROR(AGGREGATE(15,6,ROW('Input Transaksi'!$B$5:$B$5000)/('Input Transaksi'!$B$5:$B$5000="GRIYA ANYAR"),ROWS($E$5:E136)),"")</f>
        <v/>
      </c>
      <c r="F136" s="5" t="n"/>
    </row>
    <row r="137">
      <c r="A137" s="10">
        <f>IF($E137="","",INDEX('Input Transaksi'!$A:$A,$E137))</f>
        <v/>
      </c>
      <c r="B137" s="5">
        <f>IF($E137="","",INDEX('Input Transaksi'!$D:$D,$E137))</f>
        <v/>
      </c>
      <c r="C137">
        <f>IF($E137="","",INDEX('Input Transaksi'!$E:$E,$E137))</f>
        <v/>
      </c>
      <c r="D137" s="5">
        <f>IF($E137="","",INDEX('Input Transaksi'!$F:$F,$E137))</f>
        <v/>
      </c>
      <c r="E137">
        <f>IFERROR(AGGREGATE(15,6,ROW('Input Transaksi'!$B$5:$B$5000)/('Input Transaksi'!$B$5:$B$5000="GRIYA ANYAR"),ROWS($E$5:E137)),"")</f>
        <v/>
      </c>
      <c r="F137" s="5" t="n"/>
    </row>
    <row r="138">
      <c r="A138" s="10">
        <f>IF($E138="","",INDEX('Input Transaksi'!$A:$A,$E138))</f>
        <v/>
      </c>
      <c r="B138" s="5">
        <f>IF($E138="","",INDEX('Input Transaksi'!$D:$D,$E138))</f>
        <v/>
      </c>
      <c r="C138">
        <f>IF($E138="","",INDEX('Input Transaksi'!$E:$E,$E138))</f>
        <v/>
      </c>
      <c r="D138" s="5">
        <f>IF($E138="","",INDEX('Input Transaksi'!$F:$F,$E138))</f>
        <v/>
      </c>
      <c r="E138">
        <f>IFERROR(AGGREGATE(15,6,ROW('Input Transaksi'!$B$5:$B$5000)/('Input Transaksi'!$B$5:$B$5000="GRIYA ANYAR"),ROWS($E$5:E138)),"")</f>
        <v/>
      </c>
      <c r="F138" s="5" t="n"/>
    </row>
    <row r="139">
      <c r="A139" s="10">
        <f>IF($E139="","",INDEX('Input Transaksi'!$A:$A,$E139))</f>
        <v/>
      </c>
      <c r="B139" s="5">
        <f>IF($E139="","",INDEX('Input Transaksi'!$D:$D,$E139))</f>
        <v/>
      </c>
      <c r="C139">
        <f>IF($E139="","",INDEX('Input Transaksi'!$E:$E,$E139))</f>
        <v/>
      </c>
      <c r="D139" s="5">
        <f>IF($E139="","",INDEX('Input Transaksi'!$F:$F,$E139))</f>
        <v/>
      </c>
      <c r="E139">
        <f>IFERROR(AGGREGATE(15,6,ROW('Input Transaksi'!$B$5:$B$5000)/('Input Transaksi'!$B$5:$B$5000="GRIYA ANYAR"),ROWS($E$5:E139)),"")</f>
        <v/>
      </c>
      <c r="F139" s="5" t="n"/>
    </row>
    <row r="140">
      <c r="A140" s="10">
        <f>IF($E140="","",INDEX('Input Transaksi'!$A:$A,$E140))</f>
        <v/>
      </c>
      <c r="B140" s="5">
        <f>IF($E140="","",INDEX('Input Transaksi'!$D:$D,$E140))</f>
        <v/>
      </c>
      <c r="C140">
        <f>IF($E140="","",INDEX('Input Transaksi'!$E:$E,$E140))</f>
        <v/>
      </c>
      <c r="D140" s="5">
        <f>IF($E140="","",INDEX('Input Transaksi'!$F:$F,$E140))</f>
        <v/>
      </c>
      <c r="E140">
        <f>IFERROR(AGGREGATE(15,6,ROW('Input Transaksi'!$B$5:$B$5000)/('Input Transaksi'!$B$5:$B$5000="GRIYA ANYAR"),ROWS($E$5:E140)),"")</f>
        <v/>
      </c>
      <c r="F140" s="5" t="n"/>
    </row>
    <row r="141">
      <c r="A141" s="10">
        <f>IF($E141="","",INDEX('Input Transaksi'!$A:$A,$E141))</f>
        <v/>
      </c>
      <c r="B141" s="5">
        <f>IF($E141="","",INDEX('Input Transaksi'!$D:$D,$E141))</f>
        <v/>
      </c>
      <c r="C141">
        <f>IF($E141="","",INDEX('Input Transaksi'!$E:$E,$E141))</f>
        <v/>
      </c>
      <c r="D141" s="5">
        <f>IF($E141="","",INDEX('Input Transaksi'!$F:$F,$E141))</f>
        <v/>
      </c>
      <c r="E141">
        <f>IFERROR(AGGREGATE(15,6,ROW('Input Transaksi'!$B$5:$B$5000)/('Input Transaksi'!$B$5:$B$5000="GRIYA ANYAR"),ROWS($E$5:E141)),"")</f>
        <v/>
      </c>
      <c r="F141" s="5" t="n"/>
    </row>
    <row r="142">
      <c r="A142" s="10">
        <f>IF($E142="","",INDEX('Input Transaksi'!$A:$A,$E142))</f>
        <v/>
      </c>
      <c r="B142" s="5">
        <f>IF($E142="","",INDEX('Input Transaksi'!$D:$D,$E142))</f>
        <v/>
      </c>
      <c r="C142">
        <f>IF($E142="","",INDEX('Input Transaksi'!$E:$E,$E142))</f>
        <v/>
      </c>
      <c r="D142" s="5">
        <f>IF($E142="","",INDEX('Input Transaksi'!$F:$F,$E142))</f>
        <v/>
      </c>
      <c r="E142">
        <f>IFERROR(AGGREGATE(15,6,ROW('Input Transaksi'!$B$5:$B$5000)/('Input Transaksi'!$B$5:$B$5000="GRIYA ANYAR"),ROWS($E$5:E142)),"")</f>
        <v/>
      </c>
      <c r="F142" s="5" t="n"/>
    </row>
    <row r="143">
      <c r="A143" s="10">
        <f>IF($E143="","",INDEX('Input Transaksi'!$A:$A,$E143))</f>
        <v/>
      </c>
      <c r="B143" s="5">
        <f>IF($E143="","",INDEX('Input Transaksi'!$D:$D,$E143))</f>
        <v/>
      </c>
      <c r="C143">
        <f>IF($E143="","",INDEX('Input Transaksi'!$E:$E,$E143))</f>
        <v/>
      </c>
      <c r="D143" s="5">
        <f>IF($E143="","",INDEX('Input Transaksi'!$F:$F,$E143))</f>
        <v/>
      </c>
      <c r="E143">
        <f>IFERROR(AGGREGATE(15,6,ROW('Input Transaksi'!$B$5:$B$5000)/('Input Transaksi'!$B$5:$B$5000="GRIYA ANYAR"),ROWS($E$5:E143)),"")</f>
        <v/>
      </c>
      <c r="F143" s="5" t="n"/>
    </row>
    <row r="144">
      <c r="A144" s="10">
        <f>IF($E144="","",INDEX('Input Transaksi'!$A:$A,$E144))</f>
        <v/>
      </c>
      <c r="B144" s="5">
        <f>IF($E144="","",INDEX('Input Transaksi'!$D:$D,$E144))</f>
        <v/>
      </c>
      <c r="C144">
        <f>IF($E144="","",INDEX('Input Transaksi'!$E:$E,$E144))</f>
        <v/>
      </c>
      <c r="D144" s="5">
        <f>IF($E144="","",INDEX('Input Transaksi'!$F:$F,$E144))</f>
        <v/>
      </c>
      <c r="E144">
        <f>IFERROR(AGGREGATE(15,6,ROW('Input Transaksi'!$B$5:$B$5000)/('Input Transaksi'!$B$5:$B$5000="GRIYA ANYAR"),ROWS($E$5:E144)),"")</f>
        <v/>
      </c>
      <c r="F144" s="5" t="n"/>
    </row>
    <row r="145">
      <c r="A145" s="10">
        <f>IF($E145="","",INDEX('Input Transaksi'!$A:$A,$E145))</f>
        <v/>
      </c>
      <c r="B145" s="5">
        <f>IF($E145="","",INDEX('Input Transaksi'!$D:$D,$E145))</f>
        <v/>
      </c>
      <c r="C145">
        <f>IF($E145="","",INDEX('Input Transaksi'!$E:$E,$E145))</f>
        <v/>
      </c>
      <c r="D145" s="5">
        <f>IF($E145="","",INDEX('Input Transaksi'!$F:$F,$E145))</f>
        <v/>
      </c>
      <c r="E145">
        <f>IFERROR(AGGREGATE(15,6,ROW('Input Transaksi'!$B$5:$B$5000)/('Input Transaksi'!$B$5:$B$5000="GRIYA ANYAR"),ROWS($E$5:E145)),"")</f>
        <v/>
      </c>
      <c r="F145" s="5" t="n"/>
    </row>
    <row r="146">
      <c r="A146" s="10">
        <f>IF($E146="","",INDEX('Input Transaksi'!$A:$A,$E146))</f>
        <v/>
      </c>
      <c r="B146" s="5">
        <f>IF($E146="","",INDEX('Input Transaksi'!$D:$D,$E146))</f>
        <v/>
      </c>
      <c r="C146">
        <f>IF($E146="","",INDEX('Input Transaksi'!$E:$E,$E146))</f>
        <v/>
      </c>
      <c r="D146" s="5">
        <f>IF($E146="","",INDEX('Input Transaksi'!$F:$F,$E146))</f>
        <v/>
      </c>
      <c r="E146">
        <f>IFERROR(AGGREGATE(15,6,ROW('Input Transaksi'!$B$5:$B$5000)/('Input Transaksi'!$B$5:$B$5000="GRIYA ANYAR"),ROWS($E$5:E146)),"")</f>
        <v/>
      </c>
      <c r="F146" s="5" t="n"/>
    </row>
    <row r="147">
      <c r="A147" s="10">
        <f>IF($E147="","",INDEX('Input Transaksi'!$A:$A,$E147))</f>
        <v/>
      </c>
      <c r="B147" s="5">
        <f>IF($E147="","",INDEX('Input Transaksi'!$D:$D,$E147))</f>
        <v/>
      </c>
      <c r="C147">
        <f>IF($E147="","",INDEX('Input Transaksi'!$E:$E,$E147))</f>
        <v/>
      </c>
      <c r="D147" s="5">
        <f>IF($E147="","",INDEX('Input Transaksi'!$F:$F,$E147))</f>
        <v/>
      </c>
      <c r="E147">
        <f>IFERROR(AGGREGATE(15,6,ROW('Input Transaksi'!$B$5:$B$5000)/('Input Transaksi'!$B$5:$B$5000="GRIYA ANYAR"),ROWS($E$5:E147)),"")</f>
        <v/>
      </c>
      <c r="F147" s="5" t="n"/>
    </row>
    <row r="148">
      <c r="A148" s="10">
        <f>IF($E148="","",INDEX('Input Transaksi'!$A:$A,$E148))</f>
        <v/>
      </c>
      <c r="B148" s="5">
        <f>IF($E148="","",INDEX('Input Transaksi'!$D:$D,$E148))</f>
        <v/>
      </c>
      <c r="C148">
        <f>IF($E148="","",INDEX('Input Transaksi'!$E:$E,$E148))</f>
        <v/>
      </c>
      <c r="D148" s="5">
        <f>IF($E148="","",INDEX('Input Transaksi'!$F:$F,$E148))</f>
        <v/>
      </c>
      <c r="E148">
        <f>IFERROR(AGGREGATE(15,6,ROW('Input Transaksi'!$B$5:$B$5000)/('Input Transaksi'!$B$5:$B$5000="GRIYA ANYAR"),ROWS($E$5:E148)),"")</f>
        <v/>
      </c>
      <c r="F148" s="5" t="n"/>
    </row>
    <row r="149">
      <c r="A149" s="10">
        <f>IF($E149="","",INDEX('Input Transaksi'!$A:$A,$E149))</f>
        <v/>
      </c>
      <c r="B149" s="5">
        <f>IF($E149="","",INDEX('Input Transaksi'!$D:$D,$E149))</f>
        <v/>
      </c>
      <c r="C149">
        <f>IF($E149="","",INDEX('Input Transaksi'!$E:$E,$E149))</f>
        <v/>
      </c>
      <c r="D149" s="5">
        <f>IF($E149="","",INDEX('Input Transaksi'!$F:$F,$E149))</f>
        <v/>
      </c>
      <c r="E149">
        <f>IFERROR(AGGREGATE(15,6,ROW('Input Transaksi'!$B$5:$B$5000)/('Input Transaksi'!$B$5:$B$5000="GRIYA ANYAR"),ROWS($E$5:E149)),"")</f>
        <v/>
      </c>
      <c r="F149" s="5" t="n"/>
    </row>
    <row r="150">
      <c r="A150" s="10">
        <f>IF($E150="","",INDEX('Input Transaksi'!$A:$A,$E150))</f>
        <v/>
      </c>
      <c r="B150" s="5">
        <f>IF($E150="","",INDEX('Input Transaksi'!$D:$D,$E150))</f>
        <v/>
      </c>
      <c r="C150">
        <f>IF($E150="","",INDEX('Input Transaksi'!$E:$E,$E150))</f>
        <v/>
      </c>
      <c r="D150" s="5">
        <f>IF($E150="","",INDEX('Input Transaksi'!$F:$F,$E150))</f>
        <v/>
      </c>
      <c r="E150">
        <f>IFERROR(AGGREGATE(15,6,ROW('Input Transaksi'!$B$5:$B$5000)/('Input Transaksi'!$B$5:$B$5000="GRIYA ANYAR"),ROWS($E$5:E150)),"")</f>
        <v/>
      </c>
      <c r="F150" s="5" t="n"/>
    </row>
    <row r="151">
      <c r="A151" s="10">
        <f>IF($E151="","",INDEX('Input Transaksi'!$A:$A,$E151))</f>
        <v/>
      </c>
      <c r="B151" s="5">
        <f>IF($E151="","",INDEX('Input Transaksi'!$D:$D,$E151))</f>
        <v/>
      </c>
      <c r="C151">
        <f>IF($E151="","",INDEX('Input Transaksi'!$E:$E,$E151))</f>
        <v/>
      </c>
      <c r="D151" s="5">
        <f>IF($E151="","",INDEX('Input Transaksi'!$F:$F,$E151))</f>
        <v/>
      </c>
      <c r="E151">
        <f>IFERROR(AGGREGATE(15,6,ROW('Input Transaksi'!$B$5:$B$5000)/('Input Transaksi'!$B$5:$B$5000="GRIYA ANYAR"),ROWS($E$5:E151)),"")</f>
        <v/>
      </c>
      <c r="F151" s="5" t="n"/>
    </row>
    <row r="152">
      <c r="A152" s="10">
        <f>IF($E152="","",INDEX('Input Transaksi'!$A:$A,$E152))</f>
        <v/>
      </c>
      <c r="B152" s="5">
        <f>IF($E152="","",INDEX('Input Transaksi'!$D:$D,$E152))</f>
        <v/>
      </c>
      <c r="C152">
        <f>IF($E152="","",INDEX('Input Transaksi'!$E:$E,$E152))</f>
        <v/>
      </c>
      <c r="D152" s="5">
        <f>IF($E152="","",INDEX('Input Transaksi'!$F:$F,$E152))</f>
        <v/>
      </c>
      <c r="E152">
        <f>IFERROR(AGGREGATE(15,6,ROW('Input Transaksi'!$B$5:$B$5000)/('Input Transaksi'!$B$5:$B$5000="GRIYA ANYAR"),ROWS($E$5:E152)),"")</f>
        <v/>
      </c>
      <c r="F152" s="5" t="n"/>
    </row>
    <row r="153">
      <c r="A153" s="10">
        <f>IF($E153="","",INDEX('Input Transaksi'!$A:$A,$E153))</f>
        <v/>
      </c>
      <c r="B153" s="5">
        <f>IF($E153="","",INDEX('Input Transaksi'!$D:$D,$E153))</f>
        <v/>
      </c>
      <c r="C153">
        <f>IF($E153="","",INDEX('Input Transaksi'!$E:$E,$E153))</f>
        <v/>
      </c>
      <c r="D153" s="5">
        <f>IF($E153="","",INDEX('Input Transaksi'!$F:$F,$E153))</f>
        <v/>
      </c>
      <c r="E153">
        <f>IFERROR(AGGREGATE(15,6,ROW('Input Transaksi'!$B$5:$B$5000)/('Input Transaksi'!$B$5:$B$5000="GRIYA ANYAR"),ROWS($E$5:E153)),"")</f>
        <v/>
      </c>
      <c r="F153" s="5" t="n"/>
    </row>
    <row r="154">
      <c r="A154" s="10">
        <f>IF($E154="","",INDEX('Input Transaksi'!$A:$A,$E154))</f>
        <v/>
      </c>
      <c r="B154" s="5">
        <f>IF($E154="","",INDEX('Input Transaksi'!$D:$D,$E154))</f>
        <v/>
      </c>
      <c r="C154">
        <f>IF($E154="","",INDEX('Input Transaksi'!$E:$E,$E154))</f>
        <v/>
      </c>
      <c r="D154" s="5">
        <f>IF($E154="","",INDEX('Input Transaksi'!$F:$F,$E154))</f>
        <v/>
      </c>
      <c r="E154">
        <f>IFERROR(AGGREGATE(15,6,ROW('Input Transaksi'!$B$5:$B$5000)/('Input Transaksi'!$B$5:$B$5000="GRIYA ANYAR"),ROWS($E$5:E154)),"")</f>
        <v/>
      </c>
      <c r="F154" s="5" t="n"/>
    </row>
    <row r="155">
      <c r="A155" s="10">
        <f>IF($E155="","",INDEX('Input Transaksi'!$A:$A,$E155))</f>
        <v/>
      </c>
      <c r="B155" s="5">
        <f>IF($E155="","",INDEX('Input Transaksi'!$D:$D,$E155))</f>
        <v/>
      </c>
      <c r="C155">
        <f>IF($E155="","",INDEX('Input Transaksi'!$E:$E,$E155))</f>
        <v/>
      </c>
      <c r="D155" s="5">
        <f>IF($E155="","",INDEX('Input Transaksi'!$F:$F,$E155))</f>
        <v/>
      </c>
      <c r="E155">
        <f>IFERROR(AGGREGATE(15,6,ROW('Input Transaksi'!$B$5:$B$5000)/('Input Transaksi'!$B$5:$B$5000="GRIYA ANYAR"),ROWS($E$5:E155)),"")</f>
        <v/>
      </c>
      <c r="F155" s="5" t="n"/>
    </row>
    <row r="156">
      <c r="A156" s="10">
        <f>IF($E156="","",INDEX('Input Transaksi'!$A:$A,$E156))</f>
        <v/>
      </c>
      <c r="B156" s="5">
        <f>IF($E156="","",INDEX('Input Transaksi'!$D:$D,$E156))</f>
        <v/>
      </c>
      <c r="C156">
        <f>IF($E156="","",INDEX('Input Transaksi'!$E:$E,$E156))</f>
        <v/>
      </c>
      <c r="D156" s="5">
        <f>IF($E156="","",INDEX('Input Transaksi'!$F:$F,$E156))</f>
        <v/>
      </c>
      <c r="E156">
        <f>IFERROR(AGGREGATE(15,6,ROW('Input Transaksi'!$B$5:$B$5000)/('Input Transaksi'!$B$5:$B$5000="GRIYA ANYAR"),ROWS($E$5:E156)),"")</f>
        <v/>
      </c>
      <c r="F156" s="5" t="n"/>
    </row>
    <row r="157">
      <c r="A157" s="10">
        <f>IF($E157="","",INDEX('Input Transaksi'!$A:$A,$E157))</f>
        <v/>
      </c>
      <c r="B157" s="5">
        <f>IF($E157="","",INDEX('Input Transaksi'!$D:$D,$E157))</f>
        <v/>
      </c>
      <c r="C157">
        <f>IF($E157="","",INDEX('Input Transaksi'!$E:$E,$E157))</f>
        <v/>
      </c>
      <c r="D157" s="5">
        <f>IF($E157="","",INDEX('Input Transaksi'!$F:$F,$E157))</f>
        <v/>
      </c>
      <c r="E157">
        <f>IFERROR(AGGREGATE(15,6,ROW('Input Transaksi'!$B$5:$B$5000)/('Input Transaksi'!$B$5:$B$5000="GRIYA ANYAR"),ROWS($E$5:E157)),"")</f>
        <v/>
      </c>
      <c r="F157" s="5" t="n"/>
    </row>
    <row r="158">
      <c r="A158" s="10">
        <f>IF($E158="","",INDEX('Input Transaksi'!$A:$A,$E158))</f>
        <v/>
      </c>
      <c r="B158" s="5">
        <f>IF($E158="","",INDEX('Input Transaksi'!$D:$D,$E158))</f>
        <v/>
      </c>
      <c r="C158">
        <f>IF($E158="","",INDEX('Input Transaksi'!$E:$E,$E158))</f>
        <v/>
      </c>
      <c r="D158" s="5">
        <f>IF($E158="","",INDEX('Input Transaksi'!$F:$F,$E158))</f>
        <v/>
      </c>
      <c r="E158">
        <f>IFERROR(AGGREGATE(15,6,ROW('Input Transaksi'!$B$5:$B$5000)/('Input Transaksi'!$B$5:$B$5000="GRIYA ANYAR"),ROWS($E$5:E158)),"")</f>
        <v/>
      </c>
      <c r="F158" s="5" t="n"/>
    </row>
    <row r="159">
      <c r="A159" s="10">
        <f>IF($E159="","",INDEX('Input Transaksi'!$A:$A,$E159))</f>
        <v/>
      </c>
      <c r="B159" s="5">
        <f>IF($E159="","",INDEX('Input Transaksi'!$D:$D,$E159))</f>
        <v/>
      </c>
      <c r="C159">
        <f>IF($E159="","",INDEX('Input Transaksi'!$E:$E,$E159))</f>
        <v/>
      </c>
      <c r="D159" s="5">
        <f>IF($E159="","",INDEX('Input Transaksi'!$F:$F,$E159))</f>
        <v/>
      </c>
      <c r="E159">
        <f>IFERROR(AGGREGATE(15,6,ROW('Input Transaksi'!$B$5:$B$5000)/('Input Transaksi'!$B$5:$B$5000="GRIYA ANYAR"),ROWS($E$5:E159)),"")</f>
        <v/>
      </c>
      <c r="F159" s="5" t="n"/>
    </row>
    <row r="160">
      <c r="A160" s="10">
        <f>IF($E160="","",INDEX('Input Transaksi'!$A:$A,$E160))</f>
        <v/>
      </c>
      <c r="B160" s="5">
        <f>IF($E160="","",INDEX('Input Transaksi'!$D:$D,$E160))</f>
        <v/>
      </c>
      <c r="C160">
        <f>IF($E160="","",INDEX('Input Transaksi'!$E:$E,$E160))</f>
        <v/>
      </c>
      <c r="D160" s="5">
        <f>IF($E160="","",INDEX('Input Transaksi'!$F:$F,$E160))</f>
        <v/>
      </c>
      <c r="E160">
        <f>IFERROR(AGGREGATE(15,6,ROW('Input Transaksi'!$B$5:$B$5000)/('Input Transaksi'!$B$5:$B$5000="GRIYA ANYAR"),ROWS($E$5:E160)),"")</f>
        <v/>
      </c>
      <c r="F160" s="5" t="n"/>
    </row>
    <row r="161">
      <c r="A161" s="10">
        <f>IF($E161="","",INDEX('Input Transaksi'!$A:$A,$E161))</f>
        <v/>
      </c>
      <c r="B161" s="5">
        <f>IF($E161="","",INDEX('Input Transaksi'!$D:$D,$E161))</f>
        <v/>
      </c>
      <c r="C161">
        <f>IF($E161="","",INDEX('Input Transaksi'!$E:$E,$E161))</f>
        <v/>
      </c>
      <c r="D161" s="5">
        <f>IF($E161="","",INDEX('Input Transaksi'!$F:$F,$E161))</f>
        <v/>
      </c>
      <c r="E161">
        <f>IFERROR(AGGREGATE(15,6,ROW('Input Transaksi'!$B$5:$B$5000)/('Input Transaksi'!$B$5:$B$5000="GRIYA ANYAR"),ROWS($E$5:E161)),"")</f>
        <v/>
      </c>
      <c r="F161" s="5" t="n"/>
    </row>
    <row r="162">
      <c r="A162" s="10">
        <f>IF($E162="","",INDEX('Input Transaksi'!$A:$A,$E162))</f>
        <v/>
      </c>
      <c r="B162" s="5">
        <f>IF($E162="","",INDEX('Input Transaksi'!$D:$D,$E162))</f>
        <v/>
      </c>
      <c r="C162">
        <f>IF($E162="","",INDEX('Input Transaksi'!$E:$E,$E162))</f>
        <v/>
      </c>
      <c r="D162" s="5">
        <f>IF($E162="","",INDEX('Input Transaksi'!$F:$F,$E162))</f>
        <v/>
      </c>
      <c r="E162">
        <f>IFERROR(AGGREGATE(15,6,ROW('Input Transaksi'!$B$5:$B$5000)/('Input Transaksi'!$B$5:$B$5000="GRIYA ANYAR"),ROWS($E$5:E162)),"")</f>
        <v/>
      </c>
      <c r="F162" s="5" t="n"/>
    </row>
    <row r="163">
      <c r="A163" s="10">
        <f>IF($E163="","",INDEX('Input Transaksi'!$A:$A,$E163))</f>
        <v/>
      </c>
      <c r="B163" s="5">
        <f>IF($E163="","",INDEX('Input Transaksi'!$D:$D,$E163))</f>
        <v/>
      </c>
      <c r="C163">
        <f>IF($E163="","",INDEX('Input Transaksi'!$E:$E,$E163))</f>
        <v/>
      </c>
      <c r="D163" s="5">
        <f>IF($E163="","",INDEX('Input Transaksi'!$F:$F,$E163))</f>
        <v/>
      </c>
      <c r="E163">
        <f>IFERROR(AGGREGATE(15,6,ROW('Input Transaksi'!$B$5:$B$5000)/('Input Transaksi'!$B$5:$B$5000="GRIYA ANYAR"),ROWS($E$5:E163)),"")</f>
        <v/>
      </c>
      <c r="F163" s="5" t="n"/>
    </row>
    <row r="164">
      <c r="A164" s="10">
        <f>IF($E164="","",INDEX('Input Transaksi'!$A:$A,$E164))</f>
        <v/>
      </c>
      <c r="B164" s="5">
        <f>IF($E164="","",INDEX('Input Transaksi'!$D:$D,$E164))</f>
        <v/>
      </c>
      <c r="C164">
        <f>IF($E164="","",INDEX('Input Transaksi'!$E:$E,$E164))</f>
        <v/>
      </c>
      <c r="D164" s="5">
        <f>IF($E164="","",INDEX('Input Transaksi'!$F:$F,$E164))</f>
        <v/>
      </c>
      <c r="E164">
        <f>IFERROR(AGGREGATE(15,6,ROW('Input Transaksi'!$B$5:$B$5000)/('Input Transaksi'!$B$5:$B$5000="GRIYA ANYAR"),ROWS($E$5:E164)),"")</f>
        <v/>
      </c>
      <c r="F164" s="5" t="n"/>
    </row>
    <row r="165">
      <c r="A165" s="10">
        <f>IF($E165="","",INDEX('Input Transaksi'!$A:$A,$E165))</f>
        <v/>
      </c>
      <c r="B165" s="5">
        <f>IF($E165="","",INDEX('Input Transaksi'!$D:$D,$E165))</f>
        <v/>
      </c>
      <c r="C165">
        <f>IF($E165="","",INDEX('Input Transaksi'!$E:$E,$E165))</f>
        <v/>
      </c>
      <c r="D165" s="5">
        <f>IF($E165="","",INDEX('Input Transaksi'!$F:$F,$E165))</f>
        <v/>
      </c>
      <c r="E165">
        <f>IFERROR(AGGREGATE(15,6,ROW('Input Transaksi'!$B$5:$B$5000)/('Input Transaksi'!$B$5:$B$5000="GRIYA ANYAR"),ROWS($E$5:E165)),"")</f>
        <v/>
      </c>
      <c r="F165" s="5" t="n"/>
    </row>
    <row r="166">
      <c r="A166" s="10">
        <f>IF($E166="","",INDEX('Input Transaksi'!$A:$A,$E166))</f>
        <v/>
      </c>
      <c r="B166" s="5">
        <f>IF($E166="","",INDEX('Input Transaksi'!$D:$D,$E166))</f>
        <v/>
      </c>
      <c r="C166">
        <f>IF($E166="","",INDEX('Input Transaksi'!$E:$E,$E166))</f>
        <v/>
      </c>
      <c r="D166" s="5">
        <f>IF($E166="","",INDEX('Input Transaksi'!$F:$F,$E166))</f>
        <v/>
      </c>
      <c r="E166">
        <f>IFERROR(AGGREGATE(15,6,ROW('Input Transaksi'!$B$5:$B$5000)/('Input Transaksi'!$B$5:$B$5000="GRIYA ANYAR"),ROWS($E$5:E166)),"")</f>
        <v/>
      </c>
      <c r="F166" s="5" t="n"/>
    </row>
    <row r="167">
      <c r="A167" s="10">
        <f>IF($E167="","",INDEX('Input Transaksi'!$A:$A,$E167))</f>
        <v/>
      </c>
      <c r="B167" s="5">
        <f>IF($E167="","",INDEX('Input Transaksi'!$D:$D,$E167))</f>
        <v/>
      </c>
      <c r="C167">
        <f>IF($E167="","",INDEX('Input Transaksi'!$E:$E,$E167))</f>
        <v/>
      </c>
      <c r="D167" s="5">
        <f>IF($E167="","",INDEX('Input Transaksi'!$F:$F,$E167))</f>
        <v/>
      </c>
      <c r="E167">
        <f>IFERROR(AGGREGATE(15,6,ROW('Input Transaksi'!$B$5:$B$5000)/('Input Transaksi'!$B$5:$B$5000="GRIYA ANYAR"),ROWS($E$5:E167)),"")</f>
        <v/>
      </c>
      <c r="F167" s="5" t="n"/>
    </row>
    <row r="168">
      <c r="A168" s="10">
        <f>IF($E168="","",INDEX('Input Transaksi'!$A:$A,$E168))</f>
        <v/>
      </c>
      <c r="B168" s="5">
        <f>IF($E168="","",INDEX('Input Transaksi'!$D:$D,$E168))</f>
        <v/>
      </c>
      <c r="C168">
        <f>IF($E168="","",INDEX('Input Transaksi'!$E:$E,$E168))</f>
        <v/>
      </c>
      <c r="D168" s="5">
        <f>IF($E168="","",INDEX('Input Transaksi'!$F:$F,$E168))</f>
        <v/>
      </c>
      <c r="E168">
        <f>IFERROR(AGGREGATE(15,6,ROW('Input Transaksi'!$B$5:$B$5000)/('Input Transaksi'!$B$5:$B$5000="GRIYA ANYAR"),ROWS($E$5:E168)),"")</f>
        <v/>
      </c>
      <c r="F168" s="5" t="n"/>
    </row>
    <row r="169">
      <c r="A169" s="10">
        <f>IF($E169="","",INDEX('Input Transaksi'!$A:$A,$E169))</f>
        <v/>
      </c>
      <c r="B169" s="5">
        <f>IF($E169="","",INDEX('Input Transaksi'!$D:$D,$E169))</f>
        <v/>
      </c>
      <c r="C169">
        <f>IF($E169="","",INDEX('Input Transaksi'!$E:$E,$E169))</f>
        <v/>
      </c>
      <c r="D169" s="5">
        <f>IF($E169="","",INDEX('Input Transaksi'!$F:$F,$E169))</f>
        <v/>
      </c>
      <c r="E169">
        <f>IFERROR(AGGREGATE(15,6,ROW('Input Transaksi'!$B$5:$B$5000)/('Input Transaksi'!$B$5:$B$5000="GRIYA ANYAR"),ROWS($E$5:E169)),"")</f>
        <v/>
      </c>
      <c r="F169" s="5" t="n"/>
    </row>
    <row r="170">
      <c r="A170" s="10">
        <f>IF($E170="","",INDEX('Input Transaksi'!$A:$A,$E170))</f>
        <v/>
      </c>
      <c r="B170" s="5">
        <f>IF($E170="","",INDEX('Input Transaksi'!$D:$D,$E170))</f>
        <v/>
      </c>
      <c r="C170">
        <f>IF($E170="","",INDEX('Input Transaksi'!$E:$E,$E170))</f>
        <v/>
      </c>
      <c r="D170" s="5">
        <f>IF($E170="","",INDEX('Input Transaksi'!$F:$F,$E170))</f>
        <v/>
      </c>
      <c r="E170">
        <f>IFERROR(AGGREGATE(15,6,ROW('Input Transaksi'!$B$5:$B$5000)/('Input Transaksi'!$B$5:$B$5000="GRIYA ANYAR"),ROWS($E$5:E170)),"")</f>
        <v/>
      </c>
      <c r="F170" s="5" t="n"/>
    </row>
    <row r="171">
      <c r="A171" s="10">
        <f>IF($E171="","",INDEX('Input Transaksi'!$A:$A,$E171))</f>
        <v/>
      </c>
      <c r="B171" s="5">
        <f>IF($E171="","",INDEX('Input Transaksi'!$D:$D,$E171))</f>
        <v/>
      </c>
      <c r="C171">
        <f>IF($E171="","",INDEX('Input Transaksi'!$E:$E,$E171))</f>
        <v/>
      </c>
      <c r="D171" s="5">
        <f>IF($E171="","",INDEX('Input Transaksi'!$F:$F,$E171))</f>
        <v/>
      </c>
      <c r="E171">
        <f>IFERROR(AGGREGATE(15,6,ROW('Input Transaksi'!$B$5:$B$5000)/('Input Transaksi'!$B$5:$B$5000="GRIYA ANYAR"),ROWS($E$5:E171)),"")</f>
        <v/>
      </c>
      <c r="F171" s="5" t="n"/>
    </row>
    <row r="172">
      <c r="A172" s="10">
        <f>IF($E172="","",INDEX('Input Transaksi'!$A:$A,$E172))</f>
        <v/>
      </c>
      <c r="B172" s="5">
        <f>IF($E172="","",INDEX('Input Transaksi'!$D:$D,$E172))</f>
        <v/>
      </c>
      <c r="C172">
        <f>IF($E172="","",INDEX('Input Transaksi'!$E:$E,$E172))</f>
        <v/>
      </c>
      <c r="D172" s="5">
        <f>IF($E172="","",INDEX('Input Transaksi'!$F:$F,$E172))</f>
        <v/>
      </c>
      <c r="E172">
        <f>IFERROR(AGGREGATE(15,6,ROW('Input Transaksi'!$B$5:$B$5000)/('Input Transaksi'!$B$5:$B$5000="GRIYA ANYAR"),ROWS($E$5:E172)),"")</f>
        <v/>
      </c>
      <c r="F172" s="5" t="n"/>
    </row>
    <row r="173">
      <c r="A173" s="10">
        <f>IF($E173="","",INDEX('Input Transaksi'!$A:$A,$E173))</f>
        <v/>
      </c>
      <c r="B173" s="5">
        <f>IF($E173="","",INDEX('Input Transaksi'!$D:$D,$E173))</f>
        <v/>
      </c>
      <c r="C173">
        <f>IF($E173="","",INDEX('Input Transaksi'!$E:$E,$E173))</f>
        <v/>
      </c>
      <c r="D173" s="5">
        <f>IF($E173="","",INDEX('Input Transaksi'!$F:$F,$E173))</f>
        <v/>
      </c>
      <c r="E173">
        <f>IFERROR(AGGREGATE(15,6,ROW('Input Transaksi'!$B$5:$B$5000)/('Input Transaksi'!$B$5:$B$5000="GRIYA ANYAR"),ROWS($E$5:E173)),"")</f>
        <v/>
      </c>
      <c r="F173" s="5" t="n"/>
    </row>
    <row r="174">
      <c r="A174" s="10">
        <f>IF($E174="","",INDEX('Input Transaksi'!$A:$A,$E174))</f>
        <v/>
      </c>
      <c r="B174" s="5">
        <f>IF($E174="","",INDEX('Input Transaksi'!$D:$D,$E174))</f>
        <v/>
      </c>
      <c r="C174">
        <f>IF($E174="","",INDEX('Input Transaksi'!$E:$E,$E174))</f>
        <v/>
      </c>
      <c r="D174" s="5">
        <f>IF($E174="","",INDEX('Input Transaksi'!$F:$F,$E174))</f>
        <v/>
      </c>
      <c r="E174">
        <f>IFERROR(AGGREGATE(15,6,ROW('Input Transaksi'!$B$5:$B$5000)/('Input Transaksi'!$B$5:$B$5000="GRIYA ANYAR"),ROWS($E$5:E174)),"")</f>
        <v/>
      </c>
      <c r="F174" s="5" t="n"/>
    </row>
    <row r="175">
      <c r="A175" s="10">
        <f>IF($E175="","",INDEX('Input Transaksi'!$A:$A,$E175))</f>
        <v/>
      </c>
      <c r="B175" s="5">
        <f>IF($E175="","",INDEX('Input Transaksi'!$D:$D,$E175))</f>
        <v/>
      </c>
      <c r="C175">
        <f>IF($E175="","",INDEX('Input Transaksi'!$E:$E,$E175))</f>
        <v/>
      </c>
      <c r="D175" s="5">
        <f>IF($E175="","",INDEX('Input Transaksi'!$F:$F,$E175))</f>
        <v/>
      </c>
      <c r="E175">
        <f>IFERROR(AGGREGATE(15,6,ROW('Input Transaksi'!$B$5:$B$5000)/('Input Transaksi'!$B$5:$B$5000="GRIYA ANYAR"),ROWS($E$5:E175)),"")</f>
        <v/>
      </c>
      <c r="F175" s="5" t="n"/>
    </row>
    <row r="176">
      <c r="A176" s="10">
        <f>IF($E176="","",INDEX('Input Transaksi'!$A:$A,$E176))</f>
        <v/>
      </c>
      <c r="B176" s="5">
        <f>IF($E176="","",INDEX('Input Transaksi'!$D:$D,$E176))</f>
        <v/>
      </c>
      <c r="C176">
        <f>IF($E176="","",INDEX('Input Transaksi'!$E:$E,$E176))</f>
        <v/>
      </c>
      <c r="D176" s="5">
        <f>IF($E176="","",INDEX('Input Transaksi'!$F:$F,$E176))</f>
        <v/>
      </c>
      <c r="E176">
        <f>IFERROR(AGGREGATE(15,6,ROW('Input Transaksi'!$B$5:$B$5000)/('Input Transaksi'!$B$5:$B$5000="GRIYA ANYAR"),ROWS($E$5:E176)),"")</f>
        <v/>
      </c>
      <c r="F176" s="5" t="n"/>
    </row>
    <row r="177">
      <c r="A177" s="10">
        <f>IF($E177="","",INDEX('Input Transaksi'!$A:$A,$E177))</f>
        <v/>
      </c>
      <c r="B177" s="5">
        <f>IF($E177="","",INDEX('Input Transaksi'!$D:$D,$E177))</f>
        <v/>
      </c>
      <c r="C177">
        <f>IF($E177="","",INDEX('Input Transaksi'!$E:$E,$E177))</f>
        <v/>
      </c>
      <c r="D177" s="5">
        <f>IF($E177="","",INDEX('Input Transaksi'!$F:$F,$E177))</f>
        <v/>
      </c>
      <c r="E177">
        <f>IFERROR(AGGREGATE(15,6,ROW('Input Transaksi'!$B$5:$B$5000)/('Input Transaksi'!$B$5:$B$5000="GRIYA ANYAR"),ROWS($E$5:E177)),"")</f>
        <v/>
      </c>
      <c r="F177" s="5" t="n"/>
    </row>
    <row r="178">
      <c r="A178" s="10">
        <f>IF($E178="","",INDEX('Input Transaksi'!$A:$A,$E178))</f>
        <v/>
      </c>
      <c r="B178" s="5">
        <f>IF($E178="","",INDEX('Input Transaksi'!$D:$D,$E178))</f>
        <v/>
      </c>
      <c r="C178">
        <f>IF($E178="","",INDEX('Input Transaksi'!$E:$E,$E178))</f>
        <v/>
      </c>
      <c r="D178" s="5">
        <f>IF($E178="","",INDEX('Input Transaksi'!$F:$F,$E178))</f>
        <v/>
      </c>
      <c r="E178">
        <f>IFERROR(AGGREGATE(15,6,ROW('Input Transaksi'!$B$5:$B$5000)/('Input Transaksi'!$B$5:$B$5000="GRIYA ANYAR"),ROWS($E$5:E178)),"")</f>
        <v/>
      </c>
      <c r="F178" s="5" t="n"/>
    </row>
    <row r="179">
      <c r="A179" s="10">
        <f>IF($E179="","",INDEX('Input Transaksi'!$A:$A,$E179))</f>
        <v/>
      </c>
      <c r="B179" s="5">
        <f>IF($E179="","",INDEX('Input Transaksi'!$D:$D,$E179))</f>
        <v/>
      </c>
      <c r="C179">
        <f>IF($E179="","",INDEX('Input Transaksi'!$E:$E,$E179))</f>
        <v/>
      </c>
      <c r="D179" s="5">
        <f>IF($E179="","",INDEX('Input Transaksi'!$F:$F,$E179))</f>
        <v/>
      </c>
      <c r="E179">
        <f>IFERROR(AGGREGATE(15,6,ROW('Input Transaksi'!$B$5:$B$5000)/('Input Transaksi'!$B$5:$B$5000="GRIYA ANYAR"),ROWS($E$5:E179)),"")</f>
        <v/>
      </c>
      <c r="F179" s="5" t="n"/>
    </row>
    <row r="180">
      <c r="A180" s="10">
        <f>IF($E180="","",INDEX('Input Transaksi'!$A:$A,$E180))</f>
        <v/>
      </c>
      <c r="B180" s="5">
        <f>IF($E180="","",INDEX('Input Transaksi'!$D:$D,$E180))</f>
        <v/>
      </c>
      <c r="C180">
        <f>IF($E180="","",INDEX('Input Transaksi'!$E:$E,$E180))</f>
        <v/>
      </c>
      <c r="D180" s="5">
        <f>IF($E180="","",INDEX('Input Transaksi'!$F:$F,$E180))</f>
        <v/>
      </c>
      <c r="E180">
        <f>IFERROR(AGGREGATE(15,6,ROW('Input Transaksi'!$B$5:$B$5000)/('Input Transaksi'!$B$5:$B$5000="GRIYA ANYAR"),ROWS($E$5:E180)),"")</f>
        <v/>
      </c>
      <c r="F180" s="5" t="n"/>
    </row>
    <row r="181">
      <c r="A181" s="10">
        <f>IF($E181="","",INDEX('Input Transaksi'!$A:$A,$E181))</f>
        <v/>
      </c>
      <c r="B181" s="5">
        <f>IF($E181="","",INDEX('Input Transaksi'!$D:$D,$E181))</f>
        <v/>
      </c>
      <c r="C181">
        <f>IF($E181="","",INDEX('Input Transaksi'!$E:$E,$E181))</f>
        <v/>
      </c>
      <c r="D181" s="5">
        <f>IF($E181="","",INDEX('Input Transaksi'!$F:$F,$E181))</f>
        <v/>
      </c>
      <c r="E181">
        <f>IFERROR(AGGREGATE(15,6,ROW('Input Transaksi'!$B$5:$B$5000)/('Input Transaksi'!$B$5:$B$5000="GRIYA ANYAR"),ROWS($E$5:E181)),"")</f>
        <v/>
      </c>
      <c r="F181" s="5" t="n"/>
    </row>
    <row r="182">
      <c r="A182" s="10">
        <f>IF($E182="","",INDEX('Input Transaksi'!$A:$A,$E182))</f>
        <v/>
      </c>
      <c r="B182" s="5">
        <f>IF($E182="","",INDEX('Input Transaksi'!$D:$D,$E182))</f>
        <v/>
      </c>
      <c r="C182">
        <f>IF($E182="","",INDEX('Input Transaksi'!$E:$E,$E182))</f>
        <v/>
      </c>
      <c r="D182" s="5">
        <f>IF($E182="","",INDEX('Input Transaksi'!$F:$F,$E182))</f>
        <v/>
      </c>
      <c r="E182">
        <f>IFERROR(AGGREGATE(15,6,ROW('Input Transaksi'!$B$5:$B$5000)/('Input Transaksi'!$B$5:$B$5000="GRIYA ANYAR"),ROWS($E$5:E182)),"")</f>
        <v/>
      </c>
      <c r="F182" s="5" t="n"/>
    </row>
    <row r="183">
      <c r="A183" s="10">
        <f>IF($E183="","",INDEX('Input Transaksi'!$A:$A,$E183))</f>
        <v/>
      </c>
      <c r="B183" s="5">
        <f>IF($E183="","",INDEX('Input Transaksi'!$D:$D,$E183))</f>
        <v/>
      </c>
      <c r="C183">
        <f>IF($E183="","",INDEX('Input Transaksi'!$E:$E,$E183))</f>
        <v/>
      </c>
      <c r="D183" s="5">
        <f>IF($E183="","",INDEX('Input Transaksi'!$F:$F,$E183))</f>
        <v/>
      </c>
      <c r="E183">
        <f>IFERROR(AGGREGATE(15,6,ROW('Input Transaksi'!$B$5:$B$5000)/('Input Transaksi'!$B$5:$B$5000="GRIYA ANYAR"),ROWS($E$5:E183)),"")</f>
        <v/>
      </c>
      <c r="F183" s="5" t="n"/>
    </row>
    <row r="184">
      <c r="A184" s="10">
        <f>IF($E184="","",INDEX('Input Transaksi'!$A:$A,$E184))</f>
        <v/>
      </c>
      <c r="B184" s="5">
        <f>IF($E184="","",INDEX('Input Transaksi'!$D:$D,$E184))</f>
        <v/>
      </c>
      <c r="C184">
        <f>IF($E184="","",INDEX('Input Transaksi'!$E:$E,$E184))</f>
        <v/>
      </c>
      <c r="D184" s="5">
        <f>IF($E184="","",INDEX('Input Transaksi'!$F:$F,$E184))</f>
        <v/>
      </c>
      <c r="E184">
        <f>IFERROR(AGGREGATE(15,6,ROW('Input Transaksi'!$B$5:$B$5000)/('Input Transaksi'!$B$5:$B$5000="GRIYA ANYAR"),ROWS($E$5:E184)),"")</f>
        <v/>
      </c>
      <c r="F184" s="5" t="n"/>
    </row>
    <row r="185">
      <c r="A185" s="10">
        <f>IF($E185="","",INDEX('Input Transaksi'!$A:$A,$E185))</f>
        <v/>
      </c>
      <c r="B185" s="5">
        <f>IF($E185="","",INDEX('Input Transaksi'!$D:$D,$E185))</f>
        <v/>
      </c>
      <c r="C185">
        <f>IF($E185="","",INDEX('Input Transaksi'!$E:$E,$E185))</f>
        <v/>
      </c>
      <c r="D185" s="5">
        <f>IF($E185="","",INDEX('Input Transaksi'!$F:$F,$E185))</f>
        <v/>
      </c>
      <c r="E185">
        <f>IFERROR(AGGREGATE(15,6,ROW('Input Transaksi'!$B$5:$B$5000)/('Input Transaksi'!$B$5:$B$5000="GRIYA ANYAR"),ROWS($E$5:E185)),"")</f>
        <v/>
      </c>
      <c r="F185" s="5" t="n"/>
    </row>
    <row r="186">
      <c r="A186" s="10">
        <f>IF($E186="","",INDEX('Input Transaksi'!$A:$A,$E186))</f>
        <v/>
      </c>
      <c r="B186" s="5">
        <f>IF($E186="","",INDEX('Input Transaksi'!$D:$D,$E186))</f>
        <v/>
      </c>
      <c r="C186">
        <f>IF($E186="","",INDEX('Input Transaksi'!$E:$E,$E186))</f>
        <v/>
      </c>
      <c r="D186" s="5">
        <f>IF($E186="","",INDEX('Input Transaksi'!$F:$F,$E186))</f>
        <v/>
      </c>
      <c r="E186">
        <f>IFERROR(AGGREGATE(15,6,ROW('Input Transaksi'!$B$5:$B$5000)/('Input Transaksi'!$B$5:$B$5000="GRIYA ANYAR"),ROWS($E$5:E186)),"")</f>
        <v/>
      </c>
      <c r="F186" s="5" t="n"/>
    </row>
    <row r="187">
      <c r="A187" s="10">
        <f>IF($E187="","",INDEX('Input Transaksi'!$A:$A,$E187))</f>
        <v/>
      </c>
      <c r="B187" s="5">
        <f>IF($E187="","",INDEX('Input Transaksi'!$D:$D,$E187))</f>
        <v/>
      </c>
      <c r="C187">
        <f>IF($E187="","",INDEX('Input Transaksi'!$E:$E,$E187))</f>
        <v/>
      </c>
      <c r="D187" s="5">
        <f>IF($E187="","",INDEX('Input Transaksi'!$F:$F,$E187))</f>
        <v/>
      </c>
      <c r="E187">
        <f>IFERROR(AGGREGATE(15,6,ROW('Input Transaksi'!$B$5:$B$5000)/('Input Transaksi'!$B$5:$B$5000="GRIYA ANYAR"),ROWS($E$5:E187)),"")</f>
        <v/>
      </c>
      <c r="F187" s="5" t="n"/>
    </row>
    <row r="188">
      <c r="A188" s="10">
        <f>IF($E188="","",INDEX('Input Transaksi'!$A:$A,$E188))</f>
        <v/>
      </c>
      <c r="B188" s="5">
        <f>IF($E188="","",INDEX('Input Transaksi'!$D:$D,$E188))</f>
        <v/>
      </c>
      <c r="C188">
        <f>IF($E188="","",INDEX('Input Transaksi'!$E:$E,$E188))</f>
        <v/>
      </c>
      <c r="D188" s="5">
        <f>IF($E188="","",INDEX('Input Transaksi'!$F:$F,$E188))</f>
        <v/>
      </c>
      <c r="E188">
        <f>IFERROR(AGGREGATE(15,6,ROW('Input Transaksi'!$B$5:$B$5000)/('Input Transaksi'!$B$5:$B$5000="GRIYA ANYAR"),ROWS($E$5:E188)),"")</f>
        <v/>
      </c>
      <c r="F188" s="5" t="n"/>
    </row>
    <row r="189">
      <c r="A189" s="10">
        <f>IF($E189="","",INDEX('Input Transaksi'!$A:$A,$E189))</f>
        <v/>
      </c>
      <c r="B189" s="5">
        <f>IF($E189="","",INDEX('Input Transaksi'!$D:$D,$E189))</f>
        <v/>
      </c>
      <c r="C189">
        <f>IF($E189="","",INDEX('Input Transaksi'!$E:$E,$E189))</f>
        <v/>
      </c>
      <c r="D189" s="5">
        <f>IF($E189="","",INDEX('Input Transaksi'!$F:$F,$E189))</f>
        <v/>
      </c>
      <c r="E189">
        <f>IFERROR(AGGREGATE(15,6,ROW('Input Transaksi'!$B$5:$B$5000)/('Input Transaksi'!$B$5:$B$5000="GRIYA ANYAR"),ROWS($E$5:E189)),"")</f>
        <v/>
      </c>
      <c r="F189" s="5" t="n"/>
    </row>
    <row r="190">
      <c r="A190" s="10">
        <f>IF($E190="","",INDEX('Input Transaksi'!$A:$A,$E190))</f>
        <v/>
      </c>
      <c r="B190" s="5">
        <f>IF($E190="","",INDEX('Input Transaksi'!$D:$D,$E190))</f>
        <v/>
      </c>
      <c r="C190">
        <f>IF($E190="","",INDEX('Input Transaksi'!$E:$E,$E190))</f>
        <v/>
      </c>
      <c r="D190" s="5">
        <f>IF($E190="","",INDEX('Input Transaksi'!$F:$F,$E190))</f>
        <v/>
      </c>
      <c r="E190">
        <f>IFERROR(AGGREGATE(15,6,ROW('Input Transaksi'!$B$5:$B$5000)/('Input Transaksi'!$B$5:$B$5000="GRIYA ANYAR"),ROWS($E$5:E190)),"")</f>
        <v/>
      </c>
      <c r="F190" s="5" t="n"/>
    </row>
    <row r="191">
      <c r="A191" s="10">
        <f>IF($E191="","",INDEX('Input Transaksi'!$A:$A,$E191))</f>
        <v/>
      </c>
      <c r="B191" s="5">
        <f>IF($E191="","",INDEX('Input Transaksi'!$D:$D,$E191))</f>
        <v/>
      </c>
      <c r="C191">
        <f>IF($E191="","",INDEX('Input Transaksi'!$E:$E,$E191))</f>
        <v/>
      </c>
      <c r="D191" s="5">
        <f>IF($E191="","",INDEX('Input Transaksi'!$F:$F,$E191))</f>
        <v/>
      </c>
      <c r="E191">
        <f>IFERROR(AGGREGATE(15,6,ROW('Input Transaksi'!$B$5:$B$5000)/('Input Transaksi'!$B$5:$B$5000="GRIYA ANYAR"),ROWS($E$5:E191)),"")</f>
        <v/>
      </c>
      <c r="F191" s="5" t="n"/>
    </row>
    <row r="192">
      <c r="A192" s="10">
        <f>IF($E192="","",INDEX('Input Transaksi'!$A:$A,$E192))</f>
        <v/>
      </c>
      <c r="B192" s="5">
        <f>IF($E192="","",INDEX('Input Transaksi'!$D:$D,$E192))</f>
        <v/>
      </c>
      <c r="C192">
        <f>IF($E192="","",INDEX('Input Transaksi'!$E:$E,$E192))</f>
        <v/>
      </c>
      <c r="D192" s="5">
        <f>IF($E192="","",INDEX('Input Transaksi'!$F:$F,$E192))</f>
        <v/>
      </c>
      <c r="E192">
        <f>IFERROR(AGGREGATE(15,6,ROW('Input Transaksi'!$B$5:$B$5000)/('Input Transaksi'!$B$5:$B$5000="GRIYA ANYAR"),ROWS($E$5:E192)),"")</f>
        <v/>
      </c>
      <c r="F192" s="5" t="n"/>
    </row>
    <row r="193">
      <c r="A193" s="10">
        <f>IF($E193="","",INDEX('Input Transaksi'!$A:$A,$E193))</f>
        <v/>
      </c>
      <c r="B193" s="5">
        <f>IF($E193="","",INDEX('Input Transaksi'!$D:$D,$E193))</f>
        <v/>
      </c>
      <c r="C193">
        <f>IF($E193="","",INDEX('Input Transaksi'!$E:$E,$E193))</f>
        <v/>
      </c>
      <c r="D193" s="5">
        <f>IF($E193="","",INDEX('Input Transaksi'!$F:$F,$E193))</f>
        <v/>
      </c>
      <c r="E193">
        <f>IFERROR(AGGREGATE(15,6,ROW('Input Transaksi'!$B$5:$B$5000)/('Input Transaksi'!$B$5:$B$5000="GRIYA ANYAR"),ROWS($E$5:E193)),"")</f>
        <v/>
      </c>
      <c r="F193" s="5" t="n"/>
    </row>
    <row r="194">
      <c r="A194" s="10">
        <f>IF($E194="","",INDEX('Input Transaksi'!$A:$A,$E194))</f>
        <v/>
      </c>
      <c r="B194" s="5">
        <f>IF($E194="","",INDEX('Input Transaksi'!$D:$D,$E194))</f>
        <v/>
      </c>
      <c r="C194">
        <f>IF($E194="","",INDEX('Input Transaksi'!$E:$E,$E194))</f>
        <v/>
      </c>
      <c r="D194" s="5">
        <f>IF($E194="","",INDEX('Input Transaksi'!$F:$F,$E194))</f>
        <v/>
      </c>
      <c r="E194">
        <f>IFERROR(AGGREGATE(15,6,ROW('Input Transaksi'!$B$5:$B$5000)/('Input Transaksi'!$B$5:$B$5000="GRIYA ANYAR"),ROWS($E$5:E194)),"")</f>
        <v/>
      </c>
      <c r="F194" s="5" t="n"/>
    </row>
    <row r="195">
      <c r="A195" s="10">
        <f>IF($E195="","",INDEX('Input Transaksi'!$A:$A,$E195))</f>
        <v/>
      </c>
      <c r="B195" s="5">
        <f>IF($E195="","",INDEX('Input Transaksi'!$D:$D,$E195))</f>
        <v/>
      </c>
      <c r="C195">
        <f>IF($E195="","",INDEX('Input Transaksi'!$E:$E,$E195))</f>
        <v/>
      </c>
      <c r="D195" s="5">
        <f>IF($E195="","",INDEX('Input Transaksi'!$F:$F,$E195))</f>
        <v/>
      </c>
      <c r="E195">
        <f>IFERROR(AGGREGATE(15,6,ROW('Input Transaksi'!$B$5:$B$5000)/('Input Transaksi'!$B$5:$B$5000="GRIYA ANYAR"),ROWS($E$5:E195)),"")</f>
        <v/>
      </c>
      <c r="F195" s="5" t="n"/>
    </row>
    <row r="196">
      <c r="A196" s="10">
        <f>IF($E196="","",INDEX('Input Transaksi'!$A:$A,$E196))</f>
        <v/>
      </c>
      <c r="B196" s="5">
        <f>IF($E196="","",INDEX('Input Transaksi'!$D:$D,$E196))</f>
        <v/>
      </c>
      <c r="C196">
        <f>IF($E196="","",INDEX('Input Transaksi'!$E:$E,$E196))</f>
        <v/>
      </c>
      <c r="D196" s="5">
        <f>IF($E196="","",INDEX('Input Transaksi'!$F:$F,$E196))</f>
        <v/>
      </c>
      <c r="E196">
        <f>IFERROR(AGGREGATE(15,6,ROW('Input Transaksi'!$B$5:$B$5000)/('Input Transaksi'!$B$5:$B$5000="GRIYA ANYAR"),ROWS($E$5:E196)),"")</f>
        <v/>
      </c>
      <c r="F196" s="5" t="n"/>
    </row>
    <row r="197">
      <c r="A197" s="10">
        <f>IF($E197="","",INDEX('Input Transaksi'!$A:$A,$E197))</f>
        <v/>
      </c>
      <c r="B197" s="5">
        <f>IF($E197="","",INDEX('Input Transaksi'!$D:$D,$E197))</f>
        <v/>
      </c>
      <c r="C197">
        <f>IF($E197="","",INDEX('Input Transaksi'!$E:$E,$E197))</f>
        <v/>
      </c>
      <c r="D197" s="5">
        <f>IF($E197="","",INDEX('Input Transaksi'!$F:$F,$E197))</f>
        <v/>
      </c>
      <c r="E197">
        <f>IFERROR(AGGREGATE(15,6,ROW('Input Transaksi'!$B$5:$B$5000)/('Input Transaksi'!$B$5:$B$5000="GRIYA ANYAR"),ROWS($E$5:E197)),"")</f>
        <v/>
      </c>
      <c r="F197" s="5" t="n"/>
    </row>
    <row r="198">
      <c r="A198" s="10">
        <f>IF($E198="","",INDEX('Input Transaksi'!$A:$A,$E198))</f>
        <v/>
      </c>
      <c r="B198" s="5">
        <f>IF($E198="","",INDEX('Input Transaksi'!$D:$D,$E198))</f>
        <v/>
      </c>
      <c r="C198">
        <f>IF($E198="","",INDEX('Input Transaksi'!$E:$E,$E198))</f>
        <v/>
      </c>
      <c r="D198" s="5">
        <f>IF($E198="","",INDEX('Input Transaksi'!$F:$F,$E198))</f>
        <v/>
      </c>
      <c r="E198">
        <f>IFERROR(AGGREGATE(15,6,ROW('Input Transaksi'!$B$5:$B$5000)/('Input Transaksi'!$B$5:$B$5000="GRIYA ANYAR"),ROWS($E$5:E198)),"")</f>
        <v/>
      </c>
      <c r="F198" s="5" t="n"/>
    </row>
    <row r="199">
      <c r="A199" s="10">
        <f>IF($E199="","",INDEX('Input Transaksi'!$A:$A,$E199))</f>
        <v/>
      </c>
      <c r="B199" s="5">
        <f>IF($E199="","",INDEX('Input Transaksi'!$D:$D,$E199))</f>
        <v/>
      </c>
      <c r="C199">
        <f>IF($E199="","",INDEX('Input Transaksi'!$E:$E,$E199))</f>
        <v/>
      </c>
      <c r="D199" s="5">
        <f>IF($E199="","",INDEX('Input Transaksi'!$F:$F,$E199))</f>
        <v/>
      </c>
      <c r="E199">
        <f>IFERROR(AGGREGATE(15,6,ROW('Input Transaksi'!$B$5:$B$5000)/('Input Transaksi'!$B$5:$B$5000="GRIYA ANYAR"),ROWS($E$5:E199)),"")</f>
        <v/>
      </c>
      <c r="F199" s="5" t="n"/>
    </row>
    <row r="200">
      <c r="A200" s="10">
        <f>IF($E200="","",INDEX('Input Transaksi'!$A:$A,$E200))</f>
        <v/>
      </c>
      <c r="B200" s="5">
        <f>IF($E200="","",INDEX('Input Transaksi'!$D:$D,$E200))</f>
        <v/>
      </c>
      <c r="C200">
        <f>IF($E200="","",INDEX('Input Transaksi'!$E:$E,$E200))</f>
        <v/>
      </c>
      <c r="D200" s="5">
        <f>IF($E200="","",INDEX('Input Transaksi'!$F:$F,$E200))</f>
        <v/>
      </c>
      <c r="E200">
        <f>IFERROR(AGGREGATE(15,6,ROW('Input Transaksi'!$B$5:$B$5000)/('Input Transaksi'!$B$5:$B$5000="GRIYA ANYAR"),ROWS($E$5:E200)),"")</f>
        <v/>
      </c>
      <c r="F200" s="5" t="n"/>
    </row>
    <row r="201">
      <c r="A201" s="10">
        <f>IF($E201="","",INDEX('Input Transaksi'!$A:$A,$E201))</f>
        <v/>
      </c>
      <c r="B201" s="5">
        <f>IF($E201="","",INDEX('Input Transaksi'!$D:$D,$E201))</f>
        <v/>
      </c>
      <c r="C201">
        <f>IF($E201="","",INDEX('Input Transaksi'!$E:$E,$E201))</f>
        <v/>
      </c>
      <c r="D201" s="5">
        <f>IF($E201="","",INDEX('Input Transaksi'!$F:$F,$E201))</f>
        <v/>
      </c>
      <c r="E201">
        <f>IFERROR(AGGREGATE(15,6,ROW('Input Transaksi'!$B$5:$B$5000)/('Input Transaksi'!$B$5:$B$5000="GRIYA ANYAR"),ROWS($E$5:E201)),"")</f>
        <v/>
      </c>
      <c r="F201" s="5" t="n"/>
    </row>
    <row r="202">
      <c r="A202" s="10">
        <f>IF($E202="","",INDEX('Input Transaksi'!$A:$A,$E202))</f>
        <v/>
      </c>
      <c r="B202" s="5">
        <f>IF($E202="","",INDEX('Input Transaksi'!$D:$D,$E202))</f>
        <v/>
      </c>
      <c r="C202">
        <f>IF($E202="","",INDEX('Input Transaksi'!$E:$E,$E202))</f>
        <v/>
      </c>
      <c r="D202" s="5">
        <f>IF($E202="","",INDEX('Input Transaksi'!$F:$F,$E202))</f>
        <v/>
      </c>
      <c r="E202">
        <f>IFERROR(AGGREGATE(15,6,ROW('Input Transaksi'!$B$5:$B$5000)/('Input Transaksi'!$B$5:$B$5000="GRIYA ANYAR"),ROWS($E$5:E202)),"")</f>
        <v/>
      </c>
      <c r="F202" s="5" t="n"/>
    </row>
    <row r="203">
      <c r="A203" s="10">
        <f>IF($E203="","",INDEX('Input Transaksi'!$A:$A,$E203))</f>
        <v/>
      </c>
      <c r="B203" s="5">
        <f>IF($E203="","",INDEX('Input Transaksi'!$D:$D,$E203))</f>
        <v/>
      </c>
      <c r="C203">
        <f>IF($E203="","",INDEX('Input Transaksi'!$E:$E,$E203))</f>
        <v/>
      </c>
      <c r="D203" s="5">
        <f>IF($E203="","",INDEX('Input Transaksi'!$F:$F,$E203))</f>
        <v/>
      </c>
      <c r="E203">
        <f>IFERROR(AGGREGATE(15,6,ROW('Input Transaksi'!$B$5:$B$5000)/('Input Transaksi'!$B$5:$B$5000="GRIYA ANYAR"),ROWS($E$5:E203)),"")</f>
        <v/>
      </c>
      <c r="F203" s="5" t="n"/>
    </row>
    <row r="204">
      <c r="A204" s="10">
        <f>IF($E204="","",INDEX('Input Transaksi'!$A:$A,$E204))</f>
        <v/>
      </c>
      <c r="B204" s="5">
        <f>IF($E204="","",INDEX('Input Transaksi'!$D:$D,$E204))</f>
        <v/>
      </c>
      <c r="C204">
        <f>IF($E204="","",INDEX('Input Transaksi'!$E:$E,$E204))</f>
        <v/>
      </c>
      <c r="D204" s="5">
        <f>IF($E204="","",INDEX('Input Transaksi'!$F:$F,$E204))</f>
        <v/>
      </c>
      <c r="E204">
        <f>IFERROR(AGGREGATE(15,6,ROW('Input Transaksi'!$B$5:$B$5000)/('Input Transaksi'!$B$5:$B$5000="GRIYA ANYAR"),ROWS($E$5:E204)),"")</f>
        <v/>
      </c>
      <c r="F204" s="5" t="n"/>
    </row>
    <row r="205">
      <c r="A205" s="10">
        <f>IF($E205="","",INDEX('Input Transaksi'!$A:$A,$E205))</f>
        <v/>
      </c>
      <c r="B205" s="5">
        <f>IF($E205="","",INDEX('Input Transaksi'!$D:$D,$E205))</f>
        <v/>
      </c>
      <c r="C205">
        <f>IF($E205="","",INDEX('Input Transaksi'!$E:$E,$E205))</f>
        <v/>
      </c>
      <c r="D205" s="5">
        <f>IF($E205="","",INDEX('Input Transaksi'!$F:$F,$E205))</f>
        <v/>
      </c>
      <c r="E205">
        <f>IFERROR(AGGREGATE(15,6,ROW('Input Transaksi'!$B$5:$B$5000)/('Input Transaksi'!$B$5:$B$5000="GRIYA ANYAR"),ROWS($E$5:E205)),"")</f>
        <v/>
      </c>
      <c r="F205" s="5" t="n"/>
    </row>
    <row r="206">
      <c r="A206" s="10">
        <f>IF($E206="","",INDEX('Input Transaksi'!$A:$A,$E206))</f>
        <v/>
      </c>
      <c r="B206" s="5">
        <f>IF($E206="","",INDEX('Input Transaksi'!$D:$D,$E206))</f>
        <v/>
      </c>
      <c r="C206">
        <f>IF($E206="","",INDEX('Input Transaksi'!$E:$E,$E206))</f>
        <v/>
      </c>
      <c r="D206" s="5">
        <f>IF($E206="","",INDEX('Input Transaksi'!$F:$F,$E206))</f>
        <v/>
      </c>
      <c r="E206">
        <f>IFERROR(AGGREGATE(15,6,ROW('Input Transaksi'!$B$5:$B$5000)/('Input Transaksi'!$B$5:$B$5000="GRIYA ANYAR"),ROWS($E$5:E206)),"")</f>
        <v/>
      </c>
      <c r="F206" s="5" t="n"/>
    </row>
    <row r="207">
      <c r="A207" s="10">
        <f>IF($E207="","",INDEX('Input Transaksi'!$A:$A,$E207))</f>
        <v/>
      </c>
      <c r="B207" s="5">
        <f>IF($E207="","",INDEX('Input Transaksi'!$D:$D,$E207))</f>
        <v/>
      </c>
      <c r="C207">
        <f>IF($E207="","",INDEX('Input Transaksi'!$E:$E,$E207))</f>
        <v/>
      </c>
      <c r="D207" s="5">
        <f>IF($E207="","",INDEX('Input Transaksi'!$F:$F,$E207))</f>
        <v/>
      </c>
      <c r="E207">
        <f>IFERROR(AGGREGATE(15,6,ROW('Input Transaksi'!$B$5:$B$5000)/('Input Transaksi'!$B$5:$B$5000="GRIYA ANYAR"),ROWS($E$5:E207)),"")</f>
        <v/>
      </c>
      <c r="F207" s="5" t="n"/>
    </row>
    <row r="208">
      <c r="A208" s="10">
        <f>IF($E208="","",INDEX('Input Transaksi'!$A:$A,$E208))</f>
        <v/>
      </c>
      <c r="B208" s="5">
        <f>IF($E208="","",INDEX('Input Transaksi'!$D:$D,$E208))</f>
        <v/>
      </c>
      <c r="C208">
        <f>IF($E208="","",INDEX('Input Transaksi'!$E:$E,$E208))</f>
        <v/>
      </c>
      <c r="D208" s="5">
        <f>IF($E208="","",INDEX('Input Transaksi'!$F:$F,$E208))</f>
        <v/>
      </c>
      <c r="E208">
        <f>IFERROR(AGGREGATE(15,6,ROW('Input Transaksi'!$B$5:$B$5000)/('Input Transaksi'!$B$5:$B$5000="GRIYA ANYAR"),ROWS($E$5:E208)),"")</f>
        <v/>
      </c>
      <c r="F208" s="5" t="n"/>
    </row>
    <row r="209">
      <c r="A209" s="10">
        <f>IF($E209="","",INDEX('Input Transaksi'!$A:$A,$E209))</f>
        <v/>
      </c>
      <c r="B209" s="5">
        <f>IF($E209="","",INDEX('Input Transaksi'!$D:$D,$E209))</f>
        <v/>
      </c>
      <c r="C209">
        <f>IF($E209="","",INDEX('Input Transaksi'!$E:$E,$E209))</f>
        <v/>
      </c>
      <c r="D209" s="5">
        <f>IF($E209="","",INDEX('Input Transaksi'!$F:$F,$E209))</f>
        <v/>
      </c>
      <c r="E209">
        <f>IFERROR(AGGREGATE(15,6,ROW('Input Transaksi'!$B$5:$B$5000)/('Input Transaksi'!$B$5:$B$5000="GRIYA ANYAR"),ROWS($E$5:E209)),"")</f>
        <v/>
      </c>
      <c r="F209" s="5" t="n"/>
    </row>
    <row r="210">
      <c r="A210" s="10">
        <f>IF($E210="","",INDEX('Input Transaksi'!$A:$A,$E210))</f>
        <v/>
      </c>
      <c r="B210" s="5">
        <f>IF($E210="","",INDEX('Input Transaksi'!$D:$D,$E210))</f>
        <v/>
      </c>
      <c r="C210">
        <f>IF($E210="","",INDEX('Input Transaksi'!$E:$E,$E210))</f>
        <v/>
      </c>
      <c r="D210" s="5">
        <f>IF($E210="","",INDEX('Input Transaksi'!$F:$F,$E210))</f>
        <v/>
      </c>
      <c r="E210">
        <f>IFERROR(AGGREGATE(15,6,ROW('Input Transaksi'!$B$5:$B$5000)/('Input Transaksi'!$B$5:$B$5000="GRIYA ANYAR"),ROWS($E$5:E210)),"")</f>
        <v/>
      </c>
      <c r="F210" s="5" t="n"/>
    </row>
    <row r="211">
      <c r="A211" s="10">
        <f>IF($E211="","",INDEX('Input Transaksi'!$A:$A,$E211))</f>
        <v/>
      </c>
      <c r="B211" s="5">
        <f>IF($E211="","",INDEX('Input Transaksi'!$D:$D,$E211))</f>
        <v/>
      </c>
      <c r="C211">
        <f>IF($E211="","",INDEX('Input Transaksi'!$E:$E,$E211))</f>
        <v/>
      </c>
      <c r="D211" s="5">
        <f>IF($E211="","",INDEX('Input Transaksi'!$F:$F,$E211))</f>
        <v/>
      </c>
      <c r="E211">
        <f>IFERROR(AGGREGATE(15,6,ROW('Input Transaksi'!$B$5:$B$5000)/('Input Transaksi'!$B$5:$B$5000="GRIYA ANYAR"),ROWS($E$5:E211)),"")</f>
        <v/>
      </c>
      <c r="F211" s="5" t="n"/>
    </row>
    <row r="212">
      <c r="A212" s="10">
        <f>IF($E212="","",INDEX('Input Transaksi'!$A:$A,$E212))</f>
        <v/>
      </c>
      <c r="B212" s="5">
        <f>IF($E212="","",INDEX('Input Transaksi'!$D:$D,$E212))</f>
        <v/>
      </c>
      <c r="C212">
        <f>IF($E212="","",INDEX('Input Transaksi'!$E:$E,$E212))</f>
        <v/>
      </c>
      <c r="D212" s="5">
        <f>IF($E212="","",INDEX('Input Transaksi'!$F:$F,$E212))</f>
        <v/>
      </c>
      <c r="E212">
        <f>IFERROR(AGGREGATE(15,6,ROW('Input Transaksi'!$B$5:$B$5000)/('Input Transaksi'!$B$5:$B$5000="GRIYA ANYAR"),ROWS($E$5:E212)),"")</f>
        <v/>
      </c>
      <c r="F212" s="5" t="n"/>
    </row>
    <row r="213">
      <c r="A213" s="10">
        <f>IF($E213="","",INDEX('Input Transaksi'!$A:$A,$E213))</f>
        <v/>
      </c>
      <c r="B213" s="5">
        <f>IF($E213="","",INDEX('Input Transaksi'!$D:$D,$E213))</f>
        <v/>
      </c>
      <c r="C213">
        <f>IF($E213="","",INDEX('Input Transaksi'!$E:$E,$E213))</f>
        <v/>
      </c>
      <c r="D213" s="5">
        <f>IF($E213="","",INDEX('Input Transaksi'!$F:$F,$E213))</f>
        <v/>
      </c>
      <c r="E213">
        <f>IFERROR(AGGREGATE(15,6,ROW('Input Transaksi'!$B$5:$B$5000)/('Input Transaksi'!$B$5:$B$5000="GRIYA ANYAR"),ROWS($E$5:E213)),"")</f>
        <v/>
      </c>
      <c r="F213" s="5" t="n"/>
    </row>
    <row r="214">
      <c r="A214" s="10">
        <f>IF($E214="","",INDEX('Input Transaksi'!$A:$A,$E214))</f>
        <v/>
      </c>
      <c r="B214" s="5">
        <f>IF($E214="","",INDEX('Input Transaksi'!$D:$D,$E214))</f>
        <v/>
      </c>
      <c r="C214">
        <f>IF($E214="","",INDEX('Input Transaksi'!$E:$E,$E214))</f>
        <v/>
      </c>
      <c r="D214" s="5">
        <f>IF($E214="","",INDEX('Input Transaksi'!$F:$F,$E214))</f>
        <v/>
      </c>
      <c r="E214">
        <f>IFERROR(AGGREGATE(15,6,ROW('Input Transaksi'!$B$5:$B$5000)/('Input Transaksi'!$B$5:$B$5000="GRIYA ANYAR"),ROWS($E$5:E214)),"")</f>
        <v/>
      </c>
      <c r="F214" s="5" t="n"/>
    </row>
    <row r="215">
      <c r="A215" s="10">
        <f>IF($E215="","",INDEX('Input Transaksi'!$A:$A,$E215))</f>
        <v/>
      </c>
      <c r="B215" s="5">
        <f>IF($E215="","",INDEX('Input Transaksi'!$D:$D,$E215))</f>
        <v/>
      </c>
      <c r="C215">
        <f>IF($E215="","",INDEX('Input Transaksi'!$E:$E,$E215))</f>
        <v/>
      </c>
      <c r="D215" s="5">
        <f>IF($E215="","",INDEX('Input Transaksi'!$F:$F,$E215))</f>
        <v/>
      </c>
      <c r="E215">
        <f>IFERROR(AGGREGATE(15,6,ROW('Input Transaksi'!$B$5:$B$5000)/('Input Transaksi'!$B$5:$B$5000="GRIYA ANYAR"),ROWS($E$5:E215)),"")</f>
        <v/>
      </c>
      <c r="F215" s="5" t="n"/>
    </row>
    <row r="216">
      <c r="A216" s="10">
        <f>IF($E216="","",INDEX('Input Transaksi'!$A:$A,$E216))</f>
        <v/>
      </c>
      <c r="B216" s="5">
        <f>IF($E216="","",INDEX('Input Transaksi'!$D:$D,$E216))</f>
        <v/>
      </c>
      <c r="C216">
        <f>IF($E216="","",INDEX('Input Transaksi'!$E:$E,$E216))</f>
        <v/>
      </c>
      <c r="D216" s="5">
        <f>IF($E216="","",INDEX('Input Transaksi'!$F:$F,$E216))</f>
        <v/>
      </c>
      <c r="E216">
        <f>IFERROR(AGGREGATE(15,6,ROW('Input Transaksi'!$B$5:$B$5000)/('Input Transaksi'!$B$5:$B$5000="GRIYA ANYAR"),ROWS($E$5:E216)),"")</f>
        <v/>
      </c>
      <c r="F216" s="5" t="n"/>
    </row>
    <row r="217">
      <c r="A217" s="10">
        <f>IF($E217="","",INDEX('Input Transaksi'!$A:$A,$E217))</f>
        <v/>
      </c>
      <c r="B217" s="5">
        <f>IF($E217="","",INDEX('Input Transaksi'!$D:$D,$E217))</f>
        <v/>
      </c>
      <c r="C217">
        <f>IF($E217="","",INDEX('Input Transaksi'!$E:$E,$E217))</f>
        <v/>
      </c>
      <c r="D217" s="5">
        <f>IF($E217="","",INDEX('Input Transaksi'!$F:$F,$E217))</f>
        <v/>
      </c>
      <c r="E217">
        <f>IFERROR(AGGREGATE(15,6,ROW('Input Transaksi'!$B$5:$B$5000)/('Input Transaksi'!$B$5:$B$5000="GRIYA ANYAR"),ROWS($E$5:E217)),"")</f>
        <v/>
      </c>
      <c r="F217" s="5" t="n"/>
    </row>
    <row r="218">
      <c r="A218" s="10">
        <f>IF($E218="","",INDEX('Input Transaksi'!$A:$A,$E218))</f>
        <v/>
      </c>
      <c r="B218" s="5">
        <f>IF($E218="","",INDEX('Input Transaksi'!$D:$D,$E218))</f>
        <v/>
      </c>
      <c r="C218">
        <f>IF($E218="","",INDEX('Input Transaksi'!$E:$E,$E218))</f>
        <v/>
      </c>
      <c r="D218" s="5">
        <f>IF($E218="","",INDEX('Input Transaksi'!$F:$F,$E218))</f>
        <v/>
      </c>
      <c r="E218">
        <f>IFERROR(AGGREGATE(15,6,ROW('Input Transaksi'!$B$5:$B$5000)/('Input Transaksi'!$B$5:$B$5000="GRIYA ANYAR"),ROWS($E$5:E218)),"")</f>
        <v/>
      </c>
      <c r="F218" s="5" t="n"/>
    </row>
    <row r="219">
      <c r="A219" s="10">
        <f>IF($E219="","",INDEX('Input Transaksi'!$A:$A,$E219))</f>
        <v/>
      </c>
      <c r="B219" s="5">
        <f>IF($E219="","",INDEX('Input Transaksi'!$D:$D,$E219))</f>
        <v/>
      </c>
      <c r="C219">
        <f>IF($E219="","",INDEX('Input Transaksi'!$E:$E,$E219))</f>
        <v/>
      </c>
      <c r="D219" s="5">
        <f>IF($E219="","",INDEX('Input Transaksi'!$F:$F,$E219))</f>
        <v/>
      </c>
      <c r="E219">
        <f>IFERROR(AGGREGATE(15,6,ROW('Input Transaksi'!$B$5:$B$5000)/('Input Transaksi'!$B$5:$B$5000="GRIYA ANYAR"),ROWS($E$5:E219)),"")</f>
        <v/>
      </c>
      <c r="F219" s="5" t="n"/>
    </row>
    <row r="220">
      <c r="A220" s="10">
        <f>IF($E220="","",INDEX('Input Transaksi'!$A:$A,$E220))</f>
        <v/>
      </c>
      <c r="B220" s="5">
        <f>IF($E220="","",INDEX('Input Transaksi'!$D:$D,$E220))</f>
        <v/>
      </c>
      <c r="C220">
        <f>IF($E220="","",INDEX('Input Transaksi'!$E:$E,$E220))</f>
        <v/>
      </c>
      <c r="D220" s="5">
        <f>IF($E220="","",INDEX('Input Transaksi'!$F:$F,$E220))</f>
        <v/>
      </c>
      <c r="E220">
        <f>IFERROR(AGGREGATE(15,6,ROW('Input Transaksi'!$B$5:$B$5000)/('Input Transaksi'!$B$5:$B$5000="GRIYA ANYAR"),ROWS($E$5:E220)),"")</f>
        <v/>
      </c>
      <c r="F220" s="5" t="n"/>
    </row>
    <row r="221">
      <c r="A221" s="10">
        <f>IF($E221="","",INDEX('Input Transaksi'!$A:$A,$E221))</f>
        <v/>
      </c>
      <c r="B221" s="5">
        <f>IF($E221="","",INDEX('Input Transaksi'!$D:$D,$E221))</f>
        <v/>
      </c>
      <c r="C221">
        <f>IF($E221="","",INDEX('Input Transaksi'!$E:$E,$E221))</f>
        <v/>
      </c>
      <c r="D221" s="5">
        <f>IF($E221="","",INDEX('Input Transaksi'!$F:$F,$E221))</f>
        <v/>
      </c>
      <c r="E221">
        <f>IFERROR(AGGREGATE(15,6,ROW('Input Transaksi'!$B$5:$B$5000)/('Input Transaksi'!$B$5:$B$5000="GRIYA ANYAR"),ROWS($E$5:E221)),"")</f>
        <v/>
      </c>
      <c r="F221" s="5" t="n"/>
    </row>
    <row r="222">
      <c r="A222" s="10">
        <f>IF($E222="","",INDEX('Input Transaksi'!$A:$A,$E222))</f>
        <v/>
      </c>
      <c r="B222" s="5">
        <f>IF($E222="","",INDEX('Input Transaksi'!$D:$D,$E222))</f>
        <v/>
      </c>
      <c r="C222">
        <f>IF($E222="","",INDEX('Input Transaksi'!$E:$E,$E222))</f>
        <v/>
      </c>
      <c r="D222" s="5">
        <f>IF($E222="","",INDEX('Input Transaksi'!$F:$F,$E222))</f>
        <v/>
      </c>
      <c r="E222">
        <f>IFERROR(AGGREGATE(15,6,ROW('Input Transaksi'!$B$5:$B$5000)/('Input Transaksi'!$B$5:$B$5000="GRIYA ANYAR"),ROWS($E$5:E222)),"")</f>
        <v/>
      </c>
      <c r="F222" s="5" t="n"/>
    </row>
    <row r="223">
      <c r="A223" s="10">
        <f>IF($E223="","",INDEX('Input Transaksi'!$A:$A,$E223))</f>
        <v/>
      </c>
      <c r="B223" s="5">
        <f>IF($E223="","",INDEX('Input Transaksi'!$D:$D,$E223))</f>
        <v/>
      </c>
      <c r="C223">
        <f>IF($E223="","",INDEX('Input Transaksi'!$E:$E,$E223))</f>
        <v/>
      </c>
      <c r="D223" s="5">
        <f>IF($E223="","",INDEX('Input Transaksi'!$F:$F,$E223))</f>
        <v/>
      </c>
      <c r="E223">
        <f>IFERROR(AGGREGATE(15,6,ROW('Input Transaksi'!$B$5:$B$5000)/('Input Transaksi'!$B$5:$B$5000="GRIYA ANYAR"),ROWS($E$5:E223)),"")</f>
        <v/>
      </c>
      <c r="F223" s="5" t="n"/>
    </row>
    <row r="224">
      <c r="A224" s="10">
        <f>IF($E224="","",INDEX('Input Transaksi'!$A:$A,$E224))</f>
        <v/>
      </c>
      <c r="B224" s="5">
        <f>IF($E224="","",INDEX('Input Transaksi'!$D:$D,$E224))</f>
        <v/>
      </c>
      <c r="C224">
        <f>IF($E224="","",INDEX('Input Transaksi'!$E:$E,$E224))</f>
        <v/>
      </c>
      <c r="D224" s="5">
        <f>IF($E224="","",INDEX('Input Transaksi'!$F:$F,$E224))</f>
        <v/>
      </c>
      <c r="E224">
        <f>IFERROR(AGGREGATE(15,6,ROW('Input Transaksi'!$B$5:$B$5000)/('Input Transaksi'!$B$5:$B$5000="GRIYA ANYAR"),ROWS($E$5:E224)),"")</f>
        <v/>
      </c>
      <c r="F224" s="5" t="n"/>
    </row>
    <row r="225">
      <c r="A225" s="10">
        <f>IF($E225="","",INDEX('Input Transaksi'!$A:$A,$E225))</f>
        <v/>
      </c>
      <c r="B225" s="5">
        <f>IF($E225="","",INDEX('Input Transaksi'!$D:$D,$E225))</f>
        <v/>
      </c>
      <c r="C225">
        <f>IF($E225="","",INDEX('Input Transaksi'!$E:$E,$E225))</f>
        <v/>
      </c>
      <c r="D225" s="5">
        <f>IF($E225="","",INDEX('Input Transaksi'!$F:$F,$E225))</f>
        <v/>
      </c>
      <c r="E225">
        <f>IFERROR(AGGREGATE(15,6,ROW('Input Transaksi'!$B$5:$B$5000)/('Input Transaksi'!$B$5:$B$5000="GRIYA ANYAR"),ROWS($E$5:E225)),"")</f>
        <v/>
      </c>
      <c r="F225" s="5" t="n"/>
    </row>
    <row r="226">
      <c r="A226" s="10">
        <f>IF($E226="","",INDEX('Input Transaksi'!$A:$A,$E226))</f>
        <v/>
      </c>
      <c r="B226" s="5">
        <f>IF($E226="","",INDEX('Input Transaksi'!$D:$D,$E226))</f>
        <v/>
      </c>
      <c r="C226">
        <f>IF($E226="","",INDEX('Input Transaksi'!$E:$E,$E226))</f>
        <v/>
      </c>
      <c r="D226" s="5">
        <f>IF($E226="","",INDEX('Input Transaksi'!$F:$F,$E226))</f>
        <v/>
      </c>
      <c r="E226">
        <f>IFERROR(AGGREGATE(15,6,ROW('Input Transaksi'!$B$5:$B$5000)/('Input Transaksi'!$B$5:$B$5000="GRIYA ANYAR"),ROWS($E$5:E226)),"")</f>
        <v/>
      </c>
      <c r="F226" s="5" t="n"/>
    </row>
    <row r="227">
      <c r="A227" s="10">
        <f>IF($E227="","",INDEX('Input Transaksi'!$A:$A,$E227))</f>
        <v/>
      </c>
      <c r="B227" s="5">
        <f>IF($E227="","",INDEX('Input Transaksi'!$D:$D,$E227))</f>
        <v/>
      </c>
      <c r="C227">
        <f>IF($E227="","",INDEX('Input Transaksi'!$E:$E,$E227))</f>
        <v/>
      </c>
      <c r="D227" s="5">
        <f>IF($E227="","",INDEX('Input Transaksi'!$F:$F,$E227))</f>
        <v/>
      </c>
      <c r="E227">
        <f>IFERROR(AGGREGATE(15,6,ROW('Input Transaksi'!$B$5:$B$5000)/('Input Transaksi'!$B$5:$B$5000="GRIYA ANYAR"),ROWS($E$5:E227)),"")</f>
        <v/>
      </c>
      <c r="F227" s="5" t="n"/>
    </row>
    <row r="228">
      <c r="A228" s="10">
        <f>IF($E228="","",INDEX('Input Transaksi'!$A:$A,$E228))</f>
        <v/>
      </c>
      <c r="B228" s="5">
        <f>IF($E228="","",INDEX('Input Transaksi'!$D:$D,$E228))</f>
        <v/>
      </c>
      <c r="C228">
        <f>IF($E228="","",INDEX('Input Transaksi'!$E:$E,$E228))</f>
        <v/>
      </c>
      <c r="D228" s="5">
        <f>IF($E228="","",INDEX('Input Transaksi'!$F:$F,$E228))</f>
        <v/>
      </c>
      <c r="E228">
        <f>IFERROR(AGGREGATE(15,6,ROW('Input Transaksi'!$B$5:$B$5000)/('Input Transaksi'!$B$5:$B$5000="GRIYA ANYAR"),ROWS($E$5:E228)),"")</f>
        <v/>
      </c>
      <c r="F228" s="5" t="n"/>
    </row>
    <row r="229">
      <c r="A229" s="10">
        <f>IF($E229="","",INDEX('Input Transaksi'!$A:$A,$E229))</f>
        <v/>
      </c>
      <c r="B229" s="5">
        <f>IF($E229="","",INDEX('Input Transaksi'!$D:$D,$E229))</f>
        <v/>
      </c>
      <c r="C229">
        <f>IF($E229="","",INDEX('Input Transaksi'!$E:$E,$E229))</f>
        <v/>
      </c>
      <c r="D229" s="5">
        <f>IF($E229="","",INDEX('Input Transaksi'!$F:$F,$E229))</f>
        <v/>
      </c>
      <c r="E229">
        <f>IFERROR(AGGREGATE(15,6,ROW('Input Transaksi'!$B$5:$B$5000)/('Input Transaksi'!$B$5:$B$5000="GRIYA ANYAR"),ROWS($E$5:E229)),"")</f>
        <v/>
      </c>
      <c r="F229" s="5" t="n"/>
    </row>
    <row r="230">
      <c r="A230" s="10">
        <f>IF($E230="","",INDEX('Input Transaksi'!$A:$A,$E230))</f>
        <v/>
      </c>
      <c r="B230" s="5">
        <f>IF($E230="","",INDEX('Input Transaksi'!$D:$D,$E230))</f>
        <v/>
      </c>
      <c r="C230">
        <f>IF($E230="","",INDEX('Input Transaksi'!$E:$E,$E230))</f>
        <v/>
      </c>
      <c r="D230" s="5">
        <f>IF($E230="","",INDEX('Input Transaksi'!$F:$F,$E230))</f>
        <v/>
      </c>
      <c r="E230">
        <f>IFERROR(AGGREGATE(15,6,ROW('Input Transaksi'!$B$5:$B$5000)/('Input Transaksi'!$B$5:$B$5000="GRIYA ANYAR"),ROWS($E$5:E230)),"")</f>
        <v/>
      </c>
      <c r="F230" s="5" t="n"/>
    </row>
    <row r="231">
      <c r="A231" s="10">
        <f>IF($E231="","",INDEX('Input Transaksi'!$A:$A,$E231))</f>
        <v/>
      </c>
      <c r="B231" s="5">
        <f>IF($E231="","",INDEX('Input Transaksi'!$D:$D,$E231))</f>
        <v/>
      </c>
      <c r="C231">
        <f>IF($E231="","",INDEX('Input Transaksi'!$E:$E,$E231))</f>
        <v/>
      </c>
      <c r="D231" s="5">
        <f>IF($E231="","",INDEX('Input Transaksi'!$F:$F,$E231))</f>
        <v/>
      </c>
      <c r="E231">
        <f>IFERROR(AGGREGATE(15,6,ROW('Input Transaksi'!$B$5:$B$5000)/('Input Transaksi'!$B$5:$B$5000="GRIYA ANYAR"),ROWS($E$5:E231)),"")</f>
        <v/>
      </c>
      <c r="F231" s="5" t="n"/>
    </row>
    <row r="232">
      <c r="A232" s="10">
        <f>IF($E232="","",INDEX('Input Transaksi'!$A:$A,$E232))</f>
        <v/>
      </c>
      <c r="B232" s="5">
        <f>IF($E232="","",INDEX('Input Transaksi'!$D:$D,$E232))</f>
        <v/>
      </c>
      <c r="C232">
        <f>IF($E232="","",INDEX('Input Transaksi'!$E:$E,$E232))</f>
        <v/>
      </c>
      <c r="D232" s="5">
        <f>IF($E232="","",INDEX('Input Transaksi'!$F:$F,$E232))</f>
        <v/>
      </c>
      <c r="E232">
        <f>IFERROR(AGGREGATE(15,6,ROW('Input Transaksi'!$B$5:$B$5000)/('Input Transaksi'!$B$5:$B$5000="GRIYA ANYAR"),ROWS($E$5:E232)),"")</f>
        <v/>
      </c>
      <c r="F232" s="5" t="n"/>
    </row>
    <row r="233">
      <c r="A233" s="10">
        <f>IF($E233="","",INDEX('Input Transaksi'!$A:$A,$E233))</f>
        <v/>
      </c>
      <c r="B233" s="5">
        <f>IF($E233="","",INDEX('Input Transaksi'!$D:$D,$E233))</f>
        <v/>
      </c>
      <c r="C233">
        <f>IF($E233="","",INDEX('Input Transaksi'!$E:$E,$E233))</f>
        <v/>
      </c>
      <c r="D233" s="5">
        <f>IF($E233="","",INDEX('Input Transaksi'!$F:$F,$E233))</f>
        <v/>
      </c>
      <c r="E233">
        <f>IFERROR(AGGREGATE(15,6,ROW('Input Transaksi'!$B$5:$B$5000)/('Input Transaksi'!$B$5:$B$5000="GRIYA ANYAR"),ROWS($E$5:E233)),"")</f>
        <v/>
      </c>
      <c r="F233" s="5" t="n"/>
    </row>
    <row r="234">
      <c r="A234" s="10">
        <f>IF($E234="","",INDEX('Input Transaksi'!$A:$A,$E234))</f>
        <v/>
      </c>
      <c r="B234" s="5">
        <f>IF($E234="","",INDEX('Input Transaksi'!$D:$D,$E234))</f>
        <v/>
      </c>
      <c r="C234">
        <f>IF($E234="","",INDEX('Input Transaksi'!$E:$E,$E234))</f>
        <v/>
      </c>
      <c r="D234" s="5">
        <f>IF($E234="","",INDEX('Input Transaksi'!$F:$F,$E234))</f>
        <v/>
      </c>
      <c r="E234">
        <f>IFERROR(AGGREGATE(15,6,ROW('Input Transaksi'!$B$5:$B$5000)/('Input Transaksi'!$B$5:$B$5000="GRIYA ANYAR"),ROWS($E$5:E234)),"")</f>
        <v/>
      </c>
      <c r="F234" s="5" t="n"/>
    </row>
    <row r="235">
      <c r="A235" s="10">
        <f>IF($E235="","",INDEX('Input Transaksi'!$A:$A,$E235))</f>
        <v/>
      </c>
      <c r="B235" s="5">
        <f>IF($E235="","",INDEX('Input Transaksi'!$D:$D,$E235))</f>
        <v/>
      </c>
      <c r="C235">
        <f>IF($E235="","",INDEX('Input Transaksi'!$E:$E,$E235))</f>
        <v/>
      </c>
      <c r="D235" s="5">
        <f>IF($E235="","",INDEX('Input Transaksi'!$F:$F,$E235))</f>
        <v/>
      </c>
      <c r="E235">
        <f>IFERROR(AGGREGATE(15,6,ROW('Input Transaksi'!$B$5:$B$5000)/('Input Transaksi'!$B$5:$B$5000="GRIYA ANYAR"),ROWS($E$5:E235)),"")</f>
        <v/>
      </c>
      <c r="F235" s="5" t="n"/>
    </row>
    <row r="236">
      <c r="A236" s="10">
        <f>IF($E236="","",INDEX('Input Transaksi'!$A:$A,$E236))</f>
        <v/>
      </c>
      <c r="B236" s="5">
        <f>IF($E236="","",INDEX('Input Transaksi'!$D:$D,$E236))</f>
        <v/>
      </c>
      <c r="C236">
        <f>IF($E236="","",INDEX('Input Transaksi'!$E:$E,$E236))</f>
        <v/>
      </c>
      <c r="D236" s="5">
        <f>IF($E236="","",INDEX('Input Transaksi'!$F:$F,$E236))</f>
        <v/>
      </c>
      <c r="E236">
        <f>IFERROR(AGGREGATE(15,6,ROW('Input Transaksi'!$B$5:$B$5000)/('Input Transaksi'!$B$5:$B$5000="GRIYA ANYAR"),ROWS($E$5:E236)),"")</f>
        <v/>
      </c>
      <c r="F236" s="5" t="n"/>
    </row>
    <row r="237">
      <c r="A237" s="10">
        <f>IF($E237="","",INDEX('Input Transaksi'!$A:$A,$E237))</f>
        <v/>
      </c>
      <c r="B237" s="5">
        <f>IF($E237="","",INDEX('Input Transaksi'!$D:$D,$E237))</f>
        <v/>
      </c>
      <c r="C237">
        <f>IF($E237="","",INDEX('Input Transaksi'!$E:$E,$E237))</f>
        <v/>
      </c>
      <c r="D237" s="5">
        <f>IF($E237="","",INDEX('Input Transaksi'!$F:$F,$E237))</f>
        <v/>
      </c>
      <c r="E237">
        <f>IFERROR(AGGREGATE(15,6,ROW('Input Transaksi'!$B$5:$B$5000)/('Input Transaksi'!$B$5:$B$5000="GRIYA ANYAR"),ROWS($E$5:E237)),"")</f>
        <v/>
      </c>
      <c r="F237" s="5" t="n"/>
    </row>
    <row r="238">
      <c r="A238" s="10">
        <f>IF($E238="","",INDEX('Input Transaksi'!$A:$A,$E238))</f>
        <v/>
      </c>
      <c r="B238" s="5">
        <f>IF($E238="","",INDEX('Input Transaksi'!$D:$D,$E238))</f>
        <v/>
      </c>
      <c r="C238">
        <f>IF($E238="","",INDEX('Input Transaksi'!$E:$E,$E238))</f>
        <v/>
      </c>
      <c r="D238" s="5">
        <f>IF($E238="","",INDEX('Input Transaksi'!$F:$F,$E238))</f>
        <v/>
      </c>
      <c r="E238">
        <f>IFERROR(AGGREGATE(15,6,ROW('Input Transaksi'!$B$5:$B$5000)/('Input Transaksi'!$B$5:$B$5000="GRIYA ANYAR"),ROWS($E$5:E238)),"")</f>
        <v/>
      </c>
      <c r="F238" s="5" t="n"/>
    </row>
    <row r="239">
      <c r="A239" s="10">
        <f>IF($E239="","",INDEX('Input Transaksi'!$A:$A,$E239))</f>
        <v/>
      </c>
      <c r="B239" s="5">
        <f>IF($E239="","",INDEX('Input Transaksi'!$D:$D,$E239))</f>
        <v/>
      </c>
      <c r="C239">
        <f>IF($E239="","",INDEX('Input Transaksi'!$E:$E,$E239))</f>
        <v/>
      </c>
      <c r="D239" s="5">
        <f>IF($E239="","",INDEX('Input Transaksi'!$F:$F,$E239))</f>
        <v/>
      </c>
      <c r="E239">
        <f>IFERROR(AGGREGATE(15,6,ROW('Input Transaksi'!$B$5:$B$5000)/('Input Transaksi'!$B$5:$B$5000="GRIYA ANYAR"),ROWS($E$5:E239)),"")</f>
        <v/>
      </c>
      <c r="F239" s="5" t="n"/>
    </row>
    <row r="240">
      <c r="A240" s="10">
        <f>IF($E240="","",INDEX('Input Transaksi'!$A:$A,$E240))</f>
        <v/>
      </c>
      <c r="B240" s="5">
        <f>IF($E240="","",INDEX('Input Transaksi'!$D:$D,$E240))</f>
        <v/>
      </c>
      <c r="C240">
        <f>IF($E240="","",INDEX('Input Transaksi'!$E:$E,$E240))</f>
        <v/>
      </c>
      <c r="D240" s="5">
        <f>IF($E240="","",INDEX('Input Transaksi'!$F:$F,$E240))</f>
        <v/>
      </c>
      <c r="E240">
        <f>IFERROR(AGGREGATE(15,6,ROW('Input Transaksi'!$B$5:$B$5000)/('Input Transaksi'!$B$5:$B$5000="GRIYA ANYAR"),ROWS($E$5:E240)),"")</f>
        <v/>
      </c>
      <c r="F240" s="5" t="n"/>
    </row>
    <row r="241">
      <c r="A241" s="10">
        <f>IF($E241="","",INDEX('Input Transaksi'!$A:$A,$E241))</f>
        <v/>
      </c>
      <c r="B241" s="5">
        <f>IF($E241="","",INDEX('Input Transaksi'!$D:$D,$E241))</f>
        <v/>
      </c>
      <c r="C241">
        <f>IF($E241="","",INDEX('Input Transaksi'!$E:$E,$E241))</f>
        <v/>
      </c>
      <c r="D241" s="5">
        <f>IF($E241="","",INDEX('Input Transaksi'!$F:$F,$E241))</f>
        <v/>
      </c>
      <c r="E241">
        <f>IFERROR(AGGREGATE(15,6,ROW('Input Transaksi'!$B$5:$B$5000)/('Input Transaksi'!$B$5:$B$5000="GRIYA ANYAR"),ROWS($E$5:E241)),"")</f>
        <v/>
      </c>
      <c r="F241" s="5" t="n"/>
    </row>
    <row r="242">
      <c r="A242" s="10">
        <f>IF($E242="","",INDEX('Input Transaksi'!$A:$A,$E242))</f>
        <v/>
      </c>
      <c r="B242" s="5">
        <f>IF($E242="","",INDEX('Input Transaksi'!$D:$D,$E242))</f>
        <v/>
      </c>
      <c r="C242">
        <f>IF($E242="","",INDEX('Input Transaksi'!$E:$E,$E242))</f>
        <v/>
      </c>
      <c r="D242" s="5">
        <f>IF($E242="","",INDEX('Input Transaksi'!$F:$F,$E242))</f>
        <v/>
      </c>
      <c r="E242">
        <f>IFERROR(AGGREGATE(15,6,ROW('Input Transaksi'!$B$5:$B$5000)/('Input Transaksi'!$B$5:$B$5000="GRIYA ANYAR"),ROWS($E$5:E242)),"")</f>
        <v/>
      </c>
      <c r="F242" s="5" t="n"/>
    </row>
    <row r="243">
      <c r="A243" s="10">
        <f>IF($E243="","",INDEX('Input Transaksi'!$A:$A,$E243))</f>
        <v/>
      </c>
      <c r="B243" s="5">
        <f>IF($E243="","",INDEX('Input Transaksi'!$D:$D,$E243))</f>
        <v/>
      </c>
      <c r="C243">
        <f>IF($E243="","",INDEX('Input Transaksi'!$E:$E,$E243))</f>
        <v/>
      </c>
      <c r="D243" s="5">
        <f>IF($E243="","",INDEX('Input Transaksi'!$F:$F,$E243))</f>
        <v/>
      </c>
      <c r="E243">
        <f>IFERROR(AGGREGATE(15,6,ROW('Input Transaksi'!$B$5:$B$5000)/('Input Transaksi'!$B$5:$B$5000="GRIYA ANYAR"),ROWS($E$5:E243)),"")</f>
        <v/>
      </c>
      <c r="F243" s="5" t="n"/>
    </row>
    <row r="244">
      <c r="A244" s="10">
        <f>IF($E244="","",INDEX('Input Transaksi'!$A:$A,$E244))</f>
        <v/>
      </c>
      <c r="B244" s="5">
        <f>IF($E244="","",INDEX('Input Transaksi'!$D:$D,$E244))</f>
        <v/>
      </c>
      <c r="C244">
        <f>IF($E244="","",INDEX('Input Transaksi'!$E:$E,$E244))</f>
        <v/>
      </c>
      <c r="D244" s="5">
        <f>IF($E244="","",INDEX('Input Transaksi'!$F:$F,$E244))</f>
        <v/>
      </c>
      <c r="E244">
        <f>IFERROR(AGGREGATE(15,6,ROW('Input Transaksi'!$B$5:$B$5000)/('Input Transaksi'!$B$5:$B$5000="GRIYA ANYAR"),ROWS($E$5:E244)),"")</f>
        <v/>
      </c>
      <c r="F244" s="5" t="n"/>
    </row>
    <row r="245">
      <c r="A245" s="10">
        <f>IF($E245="","",INDEX('Input Transaksi'!$A:$A,$E245))</f>
        <v/>
      </c>
      <c r="B245" s="5">
        <f>IF($E245="","",INDEX('Input Transaksi'!$D:$D,$E245))</f>
        <v/>
      </c>
      <c r="C245">
        <f>IF($E245="","",INDEX('Input Transaksi'!$E:$E,$E245))</f>
        <v/>
      </c>
      <c r="D245" s="5">
        <f>IF($E245="","",INDEX('Input Transaksi'!$F:$F,$E245))</f>
        <v/>
      </c>
      <c r="E245">
        <f>IFERROR(AGGREGATE(15,6,ROW('Input Transaksi'!$B$5:$B$5000)/('Input Transaksi'!$B$5:$B$5000="GRIYA ANYAR"),ROWS($E$5:E245)),"")</f>
        <v/>
      </c>
      <c r="F245" s="5" t="n"/>
    </row>
    <row r="246">
      <c r="A246" s="10">
        <f>IF($E246="","",INDEX('Input Transaksi'!$A:$A,$E246))</f>
        <v/>
      </c>
      <c r="B246" s="5">
        <f>IF($E246="","",INDEX('Input Transaksi'!$D:$D,$E246))</f>
        <v/>
      </c>
      <c r="C246">
        <f>IF($E246="","",INDEX('Input Transaksi'!$E:$E,$E246))</f>
        <v/>
      </c>
      <c r="D246" s="5">
        <f>IF($E246="","",INDEX('Input Transaksi'!$F:$F,$E246))</f>
        <v/>
      </c>
      <c r="E246">
        <f>IFERROR(AGGREGATE(15,6,ROW('Input Transaksi'!$B$5:$B$5000)/('Input Transaksi'!$B$5:$B$5000="GRIYA ANYAR"),ROWS($E$5:E246)),"")</f>
        <v/>
      </c>
      <c r="F246" s="5" t="n"/>
    </row>
    <row r="247">
      <c r="A247" s="10">
        <f>IF($E247="","",INDEX('Input Transaksi'!$A:$A,$E247))</f>
        <v/>
      </c>
      <c r="B247" s="5">
        <f>IF($E247="","",INDEX('Input Transaksi'!$D:$D,$E247))</f>
        <v/>
      </c>
      <c r="C247">
        <f>IF($E247="","",INDEX('Input Transaksi'!$E:$E,$E247))</f>
        <v/>
      </c>
      <c r="D247" s="5">
        <f>IF($E247="","",INDEX('Input Transaksi'!$F:$F,$E247))</f>
        <v/>
      </c>
      <c r="E247">
        <f>IFERROR(AGGREGATE(15,6,ROW('Input Transaksi'!$B$5:$B$5000)/('Input Transaksi'!$B$5:$B$5000="GRIYA ANYAR"),ROWS($E$5:E247)),"")</f>
        <v/>
      </c>
      <c r="F247" s="5" t="n"/>
    </row>
    <row r="248">
      <c r="A248" s="10">
        <f>IF($E248="","",INDEX('Input Transaksi'!$A:$A,$E248))</f>
        <v/>
      </c>
      <c r="B248" s="5">
        <f>IF($E248="","",INDEX('Input Transaksi'!$D:$D,$E248))</f>
        <v/>
      </c>
      <c r="C248">
        <f>IF($E248="","",INDEX('Input Transaksi'!$E:$E,$E248))</f>
        <v/>
      </c>
      <c r="D248" s="5">
        <f>IF($E248="","",INDEX('Input Transaksi'!$F:$F,$E248))</f>
        <v/>
      </c>
      <c r="E248">
        <f>IFERROR(AGGREGATE(15,6,ROW('Input Transaksi'!$B$5:$B$5000)/('Input Transaksi'!$B$5:$B$5000="GRIYA ANYAR"),ROWS($E$5:E248)),"")</f>
        <v/>
      </c>
      <c r="F248" s="5" t="n"/>
    </row>
    <row r="249">
      <c r="A249" s="10">
        <f>IF($E249="","",INDEX('Input Transaksi'!$A:$A,$E249))</f>
        <v/>
      </c>
      <c r="B249" s="5">
        <f>IF($E249="","",INDEX('Input Transaksi'!$D:$D,$E249))</f>
        <v/>
      </c>
      <c r="C249">
        <f>IF($E249="","",INDEX('Input Transaksi'!$E:$E,$E249))</f>
        <v/>
      </c>
      <c r="D249" s="5">
        <f>IF($E249="","",INDEX('Input Transaksi'!$F:$F,$E249))</f>
        <v/>
      </c>
      <c r="E249">
        <f>IFERROR(AGGREGATE(15,6,ROW('Input Transaksi'!$B$5:$B$5000)/('Input Transaksi'!$B$5:$B$5000="GRIYA ANYAR"),ROWS($E$5:E249)),"")</f>
        <v/>
      </c>
      <c r="F249" s="5" t="n"/>
    </row>
    <row r="250">
      <c r="A250" s="10">
        <f>IF($E250="","",INDEX('Input Transaksi'!$A:$A,$E250))</f>
        <v/>
      </c>
      <c r="B250" s="5">
        <f>IF($E250="","",INDEX('Input Transaksi'!$D:$D,$E250))</f>
        <v/>
      </c>
      <c r="C250">
        <f>IF($E250="","",INDEX('Input Transaksi'!$E:$E,$E250))</f>
        <v/>
      </c>
      <c r="D250" s="5">
        <f>IF($E250="","",INDEX('Input Transaksi'!$F:$F,$E250))</f>
        <v/>
      </c>
      <c r="E250">
        <f>IFERROR(AGGREGATE(15,6,ROW('Input Transaksi'!$B$5:$B$5000)/('Input Transaksi'!$B$5:$B$5000="GRIYA ANYAR"),ROWS($E$5:E250)),"")</f>
        <v/>
      </c>
      <c r="F250" s="5" t="n"/>
    </row>
    <row r="251">
      <c r="A251" s="10">
        <f>IF($E251="","",INDEX('Input Transaksi'!$A:$A,$E251))</f>
        <v/>
      </c>
      <c r="B251" s="5">
        <f>IF($E251="","",INDEX('Input Transaksi'!$D:$D,$E251))</f>
        <v/>
      </c>
      <c r="C251">
        <f>IF($E251="","",INDEX('Input Transaksi'!$E:$E,$E251))</f>
        <v/>
      </c>
      <c r="D251" s="5">
        <f>IF($E251="","",INDEX('Input Transaksi'!$F:$F,$E251))</f>
        <v/>
      </c>
      <c r="E251">
        <f>IFERROR(AGGREGATE(15,6,ROW('Input Transaksi'!$B$5:$B$5000)/('Input Transaksi'!$B$5:$B$5000="GRIYA ANYAR"),ROWS($E$5:E251)),"")</f>
        <v/>
      </c>
      <c r="F251" s="5" t="n"/>
    </row>
    <row r="252">
      <c r="A252" s="10">
        <f>IF($E252="","",INDEX('Input Transaksi'!$A:$A,$E252))</f>
        <v/>
      </c>
      <c r="B252" s="5">
        <f>IF($E252="","",INDEX('Input Transaksi'!$D:$D,$E252))</f>
        <v/>
      </c>
      <c r="C252">
        <f>IF($E252="","",INDEX('Input Transaksi'!$E:$E,$E252))</f>
        <v/>
      </c>
      <c r="D252" s="5">
        <f>IF($E252="","",INDEX('Input Transaksi'!$F:$F,$E252))</f>
        <v/>
      </c>
      <c r="E252">
        <f>IFERROR(AGGREGATE(15,6,ROW('Input Transaksi'!$B$5:$B$5000)/('Input Transaksi'!$B$5:$B$5000="GRIYA ANYAR"),ROWS($E$5:E252)),"")</f>
        <v/>
      </c>
      <c r="F252" s="5" t="n"/>
    </row>
    <row r="253">
      <c r="A253" s="10">
        <f>IF($E253="","",INDEX('Input Transaksi'!$A:$A,$E253))</f>
        <v/>
      </c>
      <c r="B253" s="5">
        <f>IF($E253="","",INDEX('Input Transaksi'!$D:$D,$E253))</f>
        <v/>
      </c>
      <c r="C253">
        <f>IF($E253="","",INDEX('Input Transaksi'!$E:$E,$E253))</f>
        <v/>
      </c>
      <c r="D253" s="5">
        <f>IF($E253="","",INDEX('Input Transaksi'!$F:$F,$E253))</f>
        <v/>
      </c>
      <c r="E253">
        <f>IFERROR(AGGREGATE(15,6,ROW('Input Transaksi'!$B$5:$B$5000)/('Input Transaksi'!$B$5:$B$5000="GRIYA ANYAR"),ROWS($E$5:E253)),"")</f>
        <v/>
      </c>
      <c r="F253" s="5" t="n"/>
    </row>
    <row r="254">
      <c r="A254" s="10">
        <f>IF($E254="","",INDEX('Input Transaksi'!$A:$A,$E254))</f>
        <v/>
      </c>
      <c r="B254" s="5">
        <f>IF($E254="","",INDEX('Input Transaksi'!$D:$D,$E254))</f>
        <v/>
      </c>
      <c r="C254">
        <f>IF($E254="","",INDEX('Input Transaksi'!$E:$E,$E254))</f>
        <v/>
      </c>
      <c r="D254" s="5">
        <f>IF($E254="","",INDEX('Input Transaksi'!$F:$F,$E254))</f>
        <v/>
      </c>
      <c r="E254">
        <f>IFERROR(AGGREGATE(15,6,ROW('Input Transaksi'!$B$5:$B$5000)/('Input Transaksi'!$B$5:$B$5000="GRIYA ANYAR"),ROWS($E$5:E254)),"")</f>
        <v/>
      </c>
      <c r="F254" s="5" t="n"/>
    </row>
    <row r="255">
      <c r="A255" s="10">
        <f>IF($E255="","",INDEX('Input Transaksi'!$A:$A,$E255))</f>
        <v/>
      </c>
      <c r="B255" s="5">
        <f>IF($E255="","",INDEX('Input Transaksi'!$D:$D,$E255))</f>
        <v/>
      </c>
      <c r="C255">
        <f>IF($E255="","",INDEX('Input Transaksi'!$E:$E,$E255))</f>
        <v/>
      </c>
      <c r="D255" s="5">
        <f>IF($E255="","",INDEX('Input Transaksi'!$F:$F,$E255))</f>
        <v/>
      </c>
      <c r="E255">
        <f>IFERROR(AGGREGATE(15,6,ROW('Input Transaksi'!$B$5:$B$5000)/('Input Transaksi'!$B$5:$B$5000="GRIYA ANYAR"),ROWS($E$5:E255)),"")</f>
        <v/>
      </c>
      <c r="F255" s="5" t="n"/>
    </row>
    <row r="256">
      <c r="A256" s="10">
        <f>IF($E256="","",INDEX('Input Transaksi'!$A:$A,$E256))</f>
        <v/>
      </c>
      <c r="B256" s="5">
        <f>IF($E256="","",INDEX('Input Transaksi'!$D:$D,$E256))</f>
        <v/>
      </c>
      <c r="C256">
        <f>IF($E256="","",INDEX('Input Transaksi'!$E:$E,$E256))</f>
        <v/>
      </c>
      <c r="D256" s="5">
        <f>IF($E256="","",INDEX('Input Transaksi'!$F:$F,$E256))</f>
        <v/>
      </c>
      <c r="E256">
        <f>IFERROR(AGGREGATE(15,6,ROW('Input Transaksi'!$B$5:$B$5000)/('Input Transaksi'!$B$5:$B$5000="GRIYA ANYAR"),ROWS($E$5:E256)),"")</f>
        <v/>
      </c>
      <c r="F256" s="5" t="n"/>
    </row>
    <row r="257">
      <c r="A257" s="10">
        <f>IF($E257="","",INDEX('Input Transaksi'!$A:$A,$E257))</f>
        <v/>
      </c>
      <c r="B257" s="5">
        <f>IF($E257="","",INDEX('Input Transaksi'!$D:$D,$E257))</f>
        <v/>
      </c>
      <c r="C257">
        <f>IF($E257="","",INDEX('Input Transaksi'!$E:$E,$E257))</f>
        <v/>
      </c>
      <c r="D257" s="5">
        <f>IF($E257="","",INDEX('Input Transaksi'!$F:$F,$E257))</f>
        <v/>
      </c>
      <c r="E257">
        <f>IFERROR(AGGREGATE(15,6,ROW('Input Transaksi'!$B$5:$B$5000)/('Input Transaksi'!$B$5:$B$5000="GRIYA ANYAR"),ROWS($E$5:E257)),"")</f>
        <v/>
      </c>
      <c r="F257" s="5" t="n"/>
    </row>
    <row r="258">
      <c r="A258" s="10">
        <f>IF($E258="","",INDEX('Input Transaksi'!$A:$A,$E258))</f>
        <v/>
      </c>
      <c r="B258" s="5">
        <f>IF($E258="","",INDEX('Input Transaksi'!$D:$D,$E258))</f>
        <v/>
      </c>
      <c r="C258">
        <f>IF($E258="","",INDEX('Input Transaksi'!$E:$E,$E258))</f>
        <v/>
      </c>
      <c r="D258" s="5">
        <f>IF($E258="","",INDEX('Input Transaksi'!$F:$F,$E258))</f>
        <v/>
      </c>
      <c r="E258">
        <f>IFERROR(AGGREGATE(15,6,ROW('Input Transaksi'!$B$5:$B$5000)/('Input Transaksi'!$B$5:$B$5000="GRIYA ANYAR"),ROWS($E$5:E258)),"")</f>
        <v/>
      </c>
      <c r="F258" s="5" t="n"/>
    </row>
    <row r="259">
      <c r="A259" s="10">
        <f>IF($E259="","",INDEX('Input Transaksi'!$A:$A,$E259))</f>
        <v/>
      </c>
      <c r="B259" s="5">
        <f>IF($E259="","",INDEX('Input Transaksi'!$D:$D,$E259))</f>
        <v/>
      </c>
      <c r="C259">
        <f>IF($E259="","",INDEX('Input Transaksi'!$E:$E,$E259))</f>
        <v/>
      </c>
      <c r="D259" s="5">
        <f>IF($E259="","",INDEX('Input Transaksi'!$F:$F,$E259))</f>
        <v/>
      </c>
      <c r="E259">
        <f>IFERROR(AGGREGATE(15,6,ROW('Input Transaksi'!$B$5:$B$5000)/('Input Transaksi'!$B$5:$B$5000="GRIYA ANYAR"),ROWS($E$5:E259)),"")</f>
        <v/>
      </c>
      <c r="F259" s="5" t="n"/>
    </row>
    <row r="260">
      <c r="A260" s="10">
        <f>IF($E260="","",INDEX('Input Transaksi'!$A:$A,$E260))</f>
        <v/>
      </c>
      <c r="B260" s="5">
        <f>IF($E260="","",INDEX('Input Transaksi'!$D:$D,$E260))</f>
        <v/>
      </c>
      <c r="C260">
        <f>IF($E260="","",INDEX('Input Transaksi'!$E:$E,$E260))</f>
        <v/>
      </c>
      <c r="D260" s="5">
        <f>IF($E260="","",INDEX('Input Transaksi'!$F:$F,$E260))</f>
        <v/>
      </c>
      <c r="E260">
        <f>IFERROR(AGGREGATE(15,6,ROW('Input Transaksi'!$B$5:$B$5000)/('Input Transaksi'!$B$5:$B$5000="GRIYA ANYAR"),ROWS($E$5:E260)),"")</f>
        <v/>
      </c>
      <c r="F260" s="5" t="n"/>
    </row>
    <row r="261">
      <c r="A261" s="10">
        <f>IF($E261="","",INDEX('Input Transaksi'!$A:$A,$E261))</f>
        <v/>
      </c>
      <c r="B261" s="5">
        <f>IF($E261="","",INDEX('Input Transaksi'!$D:$D,$E261))</f>
        <v/>
      </c>
      <c r="C261">
        <f>IF($E261="","",INDEX('Input Transaksi'!$E:$E,$E261))</f>
        <v/>
      </c>
      <c r="D261" s="5">
        <f>IF($E261="","",INDEX('Input Transaksi'!$F:$F,$E261))</f>
        <v/>
      </c>
      <c r="E261">
        <f>IFERROR(AGGREGATE(15,6,ROW('Input Transaksi'!$B$5:$B$5000)/('Input Transaksi'!$B$5:$B$5000="GRIYA ANYAR"),ROWS($E$5:E261)),"")</f>
        <v/>
      </c>
      <c r="F261" s="5" t="n"/>
    </row>
    <row r="262">
      <c r="A262" s="10">
        <f>IF($E262="","",INDEX('Input Transaksi'!$A:$A,$E262))</f>
        <v/>
      </c>
      <c r="B262" s="5">
        <f>IF($E262="","",INDEX('Input Transaksi'!$D:$D,$E262))</f>
        <v/>
      </c>
      <c r="C262">
        <f>IF($E262="","",INDEX('Input Transaksi'!$E:$E,$E262))</f>
        <v/>
      </c>
      <c r="D262" s="5">
        <f>IF($E262="","",INDEX('Input Transaksi'!$F:$F,$E262))</f>
        <v/>
      </c>
      <c r="E262">
        <f>IFERROR(AGGREGATE(15,6,ROW('Input Transaksi'!$B$5:$B$5000)/('Input Transaksi'!$B$5:$B$5000="GRIYA ANYAR"),ROWS($E$5:E262)),"")</f>
        <v/>
      </c>
      <c r="F262" s="5" t="n"/>
    </row>
    <row r="263">
      <c r="A263" s="10">
        <f>IF($E263="","",INDEX('Input Transaksi'!$A:$A,$E263))</f>
        <v/>
      </c>
      <c r="B263" s="5">
        <f>IF($E263="","",INDEX('Input Transaksi'!$D:$D,$E263))</f>
        <v/>
      </c>
      <c r="C263">
        <f>IF($E263="","",INDEX('Input Transaksi'!$E:$E,$E263))</f>
        <v/>
      </c>
      <c r="D263" s="5">
        <f>IF($E263="","",INDEX('Input Transaksi'!$F:$F,$E263))</f>
        <v/>
      </c>
      <c r="E263">
        <f>IFERROR(AGGREGATE(15,6,ROW('Input Transaksi'!$B$5:$B$5000)/('Input Transaksi'!$B$5:$B$5000="GRIYA ANYAR"),ROWS($E$5:E263)),"")</f>
        <v/>
      </c>
      <c r="F263" s="5" t="n"/>
    </row>
    <row r="264">
      <c r="A264" s="10">
        <f>IF($E264="","",INDEX('Input Transaksi'!$A:$A,$E264))</f>
        <v/>
      </c>
      <c r="B264" s="5">
        <f>IF($E264="","",INDEX('Input Transaksi'!$D:$D,$E264))</f>
        <v/>
      </c>
      <c r="C264">
        <f>IF($E264="","",INDEX('Input Transaksi'!$E:$E,$E264))</f>
        <v/>
      </c>
      <c r="D264" s="5">
        <f>IF($E264="","",INDEX('Input Transaksi'!$F:$F,$E264))</f>
        <v/>
      </c>
      <c r="E264">
        <f>IFERROR(AGGREGATE(15,6,ROW('Input Transaksi'!$B$5:$B$5000)/('Input Transaksi'!$B$5:$B$5000="GRIYA ANYAR"),ROWS($E$5:E264)),"")</f>
        <v/>
      </c>
      <c r="F264" s="5" t="n"/>
    </row>
    <row r="265">
      <c r="A265" s="10">
        <f>IF($E265="","",INDEX('Input Transaksi'!$A:$A,$E265))</f>
        <v/>
      </c>
      <c r="B265" s="5">
        <f>IF($E265="","",INDEX('Input Transaksi'!$D:$D,$E265))</f>
        <v/>
      </c>
      <c r="C265">
        <f>IF($E265="","",INDEX('Input Transaksi'!$E:$E,$E265))</f>
        <v/>
      </c>
      <c r="D265" s="5">
        <f>IF($E265="","",INDEX('Input Transaksi'!$F:$F,$E265))</f>
        <v/>
      </c>
      <c r="E265">
        <f>IFERROR(AGGREGATE(15,6,ROW('Input Transaksi'!$B$5:$B$5000)/('Input Transaksi'!$B$5:$B$5000="GRIYA ANYAR"),ROWS($E$5:E265)),"")</f>
        <v/>
      </c>
      <c r="F265" s="5" t="n"/>
    </row>
    <row r="266">
      <c r="A266" s="10">
        <f>IF($E266="","",INDEX('Input Transaksi'!$A:$A,$E266))</f>
        <v/>
      </c>
      <c r="B266" s="5">
        <f>IF($E266="","",INDEX('Input Transaksi'!$D:$D,$E266))</f>
        <v/>
      </c>
      <c r="C266">
        <f>IF($E266="","",INDEX('Input Transaksi'!$E:$E,$E266))</f>
        <v/>
      </c>
      <c r="D266" s="5">
        <f>IF($E266="","",INDEX('Input Transaksi'!$F:$F,$E266))</f>
        <v/>
      </c>
      <c r="E266">
        <f>IFERROR(AGGREGATE(15,6,ROW('Input Transaksi'!$B$5:$B$5000)/('Input Transaksi'!$B$5:$B$5000="GRIYA ANYAR"),ROWS($E$5:E266)),"")</f>
        <v/>
      </c>
      <c r="F266" s="5" t="n"/>
    </row>
    <row r="267">
      <c r="A267" s="10">
        <f>IF($E267="","",INDEX('Input Transaksi'!$A:$A,$E267))</f>
        <v/>
      </c>
      <c r="B267" s="5">
        <f>IF($E267="","",INDEX('Input Transaksi'!$D:$D,$E267))</f>
        <v/>
      </c>
      <c r="C267">
        <f>IF($E267="","",INDEX('Input Transaksi'!$E:$E,$E267))</f>
        <v/>
      </c>
      <c r="D267" s="5">
        <f>IF($E267="","",INDEX('Input Transaksi'!$F:$F,$E267))</f>
        <v/>
      </c>
      <c r="E267">
        <f>IFERROR(AGGREGATE(15,6,ROW('Input Transaksi'!$B$5:$B$5000)/('Input Transaksi'!$B$5:$B$5000="GRIYA ANYAR"),ROWS($E$5:E267)),"")</f>
        <v/>
      </c>
      <c r="F267" s="5" t="n"/>
    </row>
    <row r="268">
      <c r="A268" s="10">
        <f>IF($E268="","",INDEX('Input Transaksi'!$A:$A,$E268))</f>
        <v/>
      </c>
      <c r="B268" s="5">
        <f>IF($E268="","",INDEX('Input Transaksi'!$D:$D,$E268))</f>
        <v/>
      </c>
      <c r="C268">
        <f>IF($E268="","",INDEX('Input Transaksi'!$E:$E,$E268))</f>
        <v/>
      </c>
      <c r="D268" s="5">
        <f>IF($E268="","",INDEX('Input Transaksi'!$F:$F,$E268))</f>
        <v/>
      </c>
      <c r="E268">
        <f>IFERROR(AGGREGATE(15,6,ROW('Input Transaksi'!$B$5:$B$5000)/('Input Transaksi'!$B$5:$B$5000="GRIYA ANYAR"),ROWS($E$5:E268)),"")</f>
        <v/>
      </c>
      <c r="F268" s="5" t="n"/>
    </row>
    <row r="269">
      <c r="A269" s="10">
        <f>IF($E269="","",INDEX('Input Transaksi'!$A:$A,$E269))</f>
        <v/>
      </c>
      <c r="B269" s="5">
        <f>IF($E269="","",INDEX('Input Transaksi'!$D:$D,$E269))</f>
        <v/>
      </c>
      <c r="C269">
        <f>IF($E269="","",INDEX('Input Transaksi'!$E:$E,$E269))</f>
        <v/>
      </c>
      <c r="D269" s="5">
        <f>IF($E269="","",INDEX('Input Transaksi'!$F:$F,$E269))</f>
        <v/>
      </c>
      <c r="E269">
        <f>IFERROR(AGGREGATE(15,6,ROW('Input Transaksi'!$B$5:$B$5000)/('Input Transaksi'!$B$5:$B$5000="GRIYA ANYAR"),ROWS($E$5:E269)),"")</f>
        <v/>
      </c>
      <c r="F269" s="5" t="n"/>
    </row>
    <row r="270">
      <c r="A270" s="10">
        <f>IF($E270="","",INDEX('Input Transaksi'!$A:$A,$E270))</f>
        <v/>
      </c>
      <c r="B270" s="5">
        <f>IF($E270="","",INDEX('Input Transaksi'!$D:$D,$E270))</f>
        <v/>
      </c>
      <c r="C270">
        <f>IF($E270="","",INDEX('Input Transaksi'!$E:$E,$E270))</f>
        <v/>
      </c>
      <c r="D270" s="5">
        <f>IF($E270="","",INDEX('Input Transaksi'!$F:$F,$E270))</f>
        <v/>
      </c>
      <c r="E270">
        <f>IFERROR(AGGREGATE(15,6,ROW('Input Transaksi'!$B$5:$B$5000)/('Input Transaksi'!$B$5:$B$5000="GRIYA ANYAR"),ROWS($E$5:E270)),"")</f>
        <v/>
      </c>
      <c r="F270" s="5" t="n"/>
    </row>
    <row r="271">
      <c r="A271" s="10">
        <f>IF($E271="","",INDEX('Input Transaksi'!$A:$A,$E271))</f>
        <v/>
      </c>
      <c r="B271" s="5">
        <f>IF($E271="","",INDEX('Input Transaksi'!$D:$D,$E271))</f>
        <v/>
      </c>
      <c r="C271">
        <f>IF($E271="","",INDEX('Input Transaksi'!$E:$E,$E271))</f>
        <v/>
      </c>
      <c r="D271" s="5">
        <f>IF($E271="","",INDEX('Input Transaksi'!$F:$F,$E271))</f>
        <v/>
      </c>
      <c r="E271">
        <f>IFERROR(AGGREGATE(15,6,ROW('Input Transaksi'!$B$5:$B$5000)/('Input Transaksi'!$B$5:$B$5000="GRIYA ANYAR"),ROWS($E$5:E271)),"")</f>
        <v/>
      </c>
      <c r="F271" s="5" t="n"/>
    </row>
    <row r="272">
      <c r="A272" s="10">
        <f>IF($E272="","",INDEX('Input Transaksi'!$A:$A,$E272))</f>
        <v/>
      </c>
      <c r="B272" s="5">
        <f>IF($E272="","",INDEX('Input Transaksi'!$D:$D,$E272))</f>
        <v/>
      </c>
      <c r="C272">
        <f>IF($E272="","",INDEX('Input Transaksi'!$E:$E,$E272))</f>
        <v/>
      </c>
      <c r="D272" s="5">
        <f>IF($E272="","",INDEX('Input Transaksi'!$F:$F,$E272))</f>
        <v/>
      </c>
      <c r="E272">
        <f>IFERROR(AGGREGATE(15,6,ROW('Input Transaksi'!$B$5:$B$5000)/('Input Transaksi'!$B$5:$B$5000="GRIYA ANYAR"),ROWS($E$5:E272)),"")</f>
        <v/>
      </c>
      <c r="F272" s="5" t="n"/>
    </row>
    <row r="273">
      <c r="A273" s="10">
        <f>IF($E273="","",INDEX('Input Transaksi'!$A:$A,$E273))</f>
        <v/>
      </c>
      <c r="B273" s="5">
        <f>IF($E273="","",INDEX('Input Transaksi'!$D:$D,$E273))</f>
        <v/>
      </c>
      <c r="C273">
        <f>IF($E273="","",INDEX('Input Transaksi'!$E:$E,$E273))</f>
        <v/>
      </c>
      <c r="D273" s="5">
        <f>IF($E273="","",INDEX('Input Transaksi'!$F:$F,$E273))</f>
        <v/>
      </c>
      <c r="E273">
        <f>IFERROR(AGGREGATE(15,6,ROW('Input Transaksi'!$B$5:$B$5000)/('Input Transaksi'!$B$5:$B$5000="GRIYA ANYAR"),ROWS($E$5:E273)),"")</f>
        <v/>
      </c>
      <c r="F273" s="5" t="n"/>
    </row>
    <row r="274">
      <c r="A274" s="10">
        <f>IF($E274="","",INDEX('Input Transaksi'!$A:$A,$E274))</f>
        <v/>
      </c>
      <c r="B274" s="5">
        <f>IF($E274="","",INDEX('Input Transaksi'!$D:$D,$E274))</f>
        <v/>
      </c>
      <c r="C274">
        <f>IF($E274="","",INDEX('Input Transaksi'!$E:$E,$E274))</f>
        <v/>
      </c>
      <c r="D274" s="5">
        <f>IF($E274="","",INDEX('Input Transaksi'!$F:$F,$E274))</f>
        <v/>
      </c>
      <c r="E274">
        <f>IFERROR(AGGREGATE(15,6,ROW('Input Transaksi'!$B$5:$B$5000)/('Input Transaksi'!$B$5:$B$5000="GRIYA ANYAR"),ROWS($E$5:E274)),"")</f>
        <v/>
      </c>
      <c r="F274" s="5" t="n"/>
    </row>
    <row r="275">
      <c r="A275" s="10">
        <f>IF($E275="","",INDEX('Input Transaksi'!$A:$A,$E275))</f>
        <v/>
      </c>
      <c r="B275" s="5">
        <f>IF($E275="","",INDEX('Input Transaksi'!$D:$D,$E275))</f>
        <v/>
      </c>
      <c r="C275">
        <f>IF($E275="","",INDEX('Input Transaksi'!$E:$E,$E275))</f>
        <v/>
      </c>
      <c r="D275" s="5">
        <f>IF($E275="","",INDEX('Input Transaksi'!$F:$F,$E275))</f>
        <v/>
      </c>
      <c r="E275">
        <f>IFERROR(AGGREGATE(15,6,ROW('Input Transaksi'!$B$5:$B$5000)/('Input Transaksi'!$B$5:$B$5000="GRIYA ANYAR"),ROWS($E$5:E275)),"")</f>
        <v/>
      </c>
      <c r="F275" s="5" t="n"/>
    </row>
    <row r="276">
      <c r="A276" s="10">
        <f>IF($E276="","",INDEX('Input Transaksi'!$A:$A,$E276))</f>
        <v/>
      </c>
      <c r="B276" s="5">
        <f>IF($E276="","",INDEX('Input Transaksi'!$D:$D,$E276))</f>
        <v/>
      </c>
      <c r="C276">
        <f>IF($E276="","",INDEX('Input Transaksi'!$E:$E,$E276))</f>
        <v/>
      </c>
      <c r="D276" s="5">
        <f>IF($E276="","",INDEX('Input Transaksi'!$F:$F,$E276))</f>
        <v/>
      </c>
      <c r="E276">
        <f>IFERROR(AGGREGATE(15,6,ROW('Input Transaksi'!$B$5:$B$5000)/('Input Transaksi'!$B$5:$B$5000="GRIYA ANYAR"),ROWS($E$5:E276)),"")</f>
        <v/>
      </c>
      <c r="F276" s="5" t="n"/>
    </row>
    <row r="277">
      <c r="A277" s="10">
        <f>IF($E277="","",INDEX('Input Transaksi'!$A:$A,$E277))</f>
        <v/>
      </c>
      <c r="B277" s="5">
        <f>IF($E277="","",INDEX('Input Transaksi'!$D:$D,$E277))</f>
        <v/>
      </c>
      <c r="C277">
        <f>IF($E277="","",INDEX('Input Transaksi'!$E:$E,$E277))</f>
        <v/>
      </c>
      <c r="D277" s="5">
        <f>IF($E277="","",INDEX('Input Transaksi'!$F:$F,$E277))</f>
        <v/>
      </c>
      <c r="E277">
        <f>IFERROR(AGGREGATE(15,6,ROW('Input Transaksi'!$B$5:$B$5000)/('Input Transaksi'!$B$5:$B$5000="GRIYA ANYAR"),ROWS($E$5:E277)),"")</f>
        <v/>
      </c>
      <c r="F277" s="5" t="n"/>
    </row>
    <row r="278">
      <c r="A278" s="10">
        <f>IF($E278="","",INDEX('Input Transaksi'!$A:$A,$E278))</f>
        <v/>
      </c>
      <c r="B278" s="5">
        <f>IF($E278="","",INDEX('Input Transaksi'!$D:$D,$E278))</f>
        <v/>
      </c>
      <c r="C278">
        <f>IF($E278="","",INDEX('Input Transaksi'!$E:$E,$E278))</f>
        <v/>
      </c>
      <c r="D278" s="5">
        <f>IF($E278="","",INDEX('Input Transaksi'!$F:$F,$E278))</f>
        <v/>
      </c>
      <c r="E278">
        <f>IFERROR(AGGREGATE(15,6,ROW('Input Transaksi'!$B$5:$B$5000)/('Input Transaksi'!$B$5:$B$5000="GRIYA ANYAR"),ROWS($E$5:E278)),"")</f>
        <v/>
      </c>
      <c r="F278" s="5" t="n"/>
    </row>
    <row r="279">
      <c r="A279" s="10">
        <f>IF($E279="","",INDEX('Input Transaksi'!$A:$A,$E279))</f>
        <v/>
      </c>
      <c r="B279" s="5">
        <f>IF($E279="","",INDEX('Input Transaksi'!$D:$D,$E279))</f>
        <v/>
      </c>
      <c r="C279">
        <f>IF($E279="","",INDEX('Input Transaksi'!$E:$E,$E279))</f>
        <v/>
      </c>
      <c r="D279" s="5">
        <f>IF($E279="","",INDEX('Input Transaksi'!$F:$F,$E279))</f>
        <v/>
      </c>
      <c r="E279">
        <f>IFERROR(AGGREGATE(15,6,ROW('Input Transaksi'!$B$5:$B$5000)/('Input Transaksi'!$B$5:$B$5000="GRIYA ANYAR"),ROWS($E$5:E279)),"")</f>
        <v/>
      </c>
      <c r="F279" s="5" t="n"/>
    </row>
    <row r="280">
      <c r="A280" s="10">
        <f>IF($E280="","",INDEX('Input Transaksi'!$A:$A,$E280))</f>
        <v/>
      </c>
      <c r="B280" s="5">
        <f>IF($E280="","",INDEX('Input Transaksi'!$D:$D,$E280))</f>
        <v/>
      </c>
      <c r="C280">
        <f>IF($E280="","",INDEX('Input Transaksi'!$E:$E,$E280))</f>
        <v/>
      </c>
      <c r="D280" s="5">
        <f>IF($E280="","",INDEX('Input Transaksi'!$F:$F,$E280))</f>
        <v/>
      </c>
      <c r="E280">
        <f>IFERROR(AGGREGATE(15,6,ROW('Input Transaksi'!$B$5:$B$5000)/('Input Transaksi'!$B$5:$B$5000="GRIYA ANYAR"),ROWS($E$5:E280)),"")</f>
        <v/>
      </c>
      <c r="F280" s="5" t="n"/>
    </row>
    <row r="281">
      <c r="A281" s="10">
        <f>IF($E281="","",INDEX('Input Transaksi'!$A:$A,$E281))</f>
        <v/>
      </c>
      <c r="B281" s="5">
        <f>IF($E281="","",INDEX('Input Transaksi'!$D:$D,$E281))</f>
        <v/>
      </c>
      <c r="C281">
        <f>IF($E281="","",INDEX('Input Transaksi'!$E:$E,$E281))</f>
        <v/>
      </c>
      <c r="D281" s="5">
        <f>IF($E281="","",INDEX('Input Transaksi'!$F:$F,$E281))</f>
        <v/>
      </c>
      <c r="E281">
        <f>IFERROR(AGGREGATE(15,6,ROW('Input Transaksi'!$B$5:$B$5000)/('Input Transaksi'!$B$5:$B$5000="GRIYA ANYAR"),ROWS($E$5:E281)),"")</f>
        <v/>
      </c>
      <c r="F281" s="5" t="n"/>
    </row>
    <row r="282">
      <c r="A282" s="10">
        <f>IF($E282="","",INDEX('Input Transaksi'!$A:$A,$E282))</f>
        <v/>
      </c>
      <c r="B282" s="5">
        <f>IF($E282="","",INDEX('Input Transaksi'!$D:$D,$E282))</f>
        <v/>
      </c>
      <c r="C282">
        <f>IF($E282="","",INDEX('Input Transaksi'!$E:$E,$E282))</f>
        <v/>
      </c>
      <c r="D282" s="5">
        <f>IF($E282="","",INDEX('Input Transaksi'!$F:$F,$E282))</f>
        <v/>
      </c>
      <c r="E282">
        <f>IFERROR(AGGREGATE(15,6,ROW('Input Transaksi'!$B$5:$B$5000)/('Input Transaksi'!$B$5:$B$5000="GRIYA ANYAR"),ROWS($E$5:E282)),"")</f>
        <v/>
      </c>
      <c r="F282" s="5" t="n"/>
    </row>
    <row r="283">
      <c r="A283" s="10">
        <f>IF($E283="","",INDEX('Input Transaksi'!$A:$A,$E283))</f>
        <v/>
      </c>
      <c r="B283" s="5">
        <f>IF($E283="","",INDEX('Input Transaksi'!$D:$D,$E283))</f>
        <v/>
      </c>
      <c r="C283">
        <f>IF($E283="","",INDEX('Input Transaksi'!$E:$E,$E283))</f>
        <v/>
      </c>
      <c r="D283" s="5">
        <f>IF($E283="","",INDEX('Input Transaksi'!$F:$F,$E283))</f>
        <v/>
      </c>
      <c r="E283">
        <f>IFERROR(AGGREGATE(15,6,ROW('Input Transaksi'!$B$5:$B$5000)/('Input Transaksi'!$B$5:$B$5000="GRIYA ANYAR"),ROWS($E$5:E283)),"")</f>
        <v/>
      </c>
      <c r="F283" s="5" t="n"/>
    </row>
    <row r="284">
      <c r="A284" s="10">
        <f>IF($E284="","",INDEX('Input Transaksi'!$A:$A,$E284))</f>
        <v/>
      </c>
      <c r="B284" s="5">
        <f>IF($E284="","",INDEX('Input Transaksi'!$D:$D,$E284))</f>
        <v/>
      </c>
      <c r="C284">
        <f>IF($E284="","",INDEX('Input Transaksi'!$E:$E,$E284))</f>
        <v/>
      </c>
      <c r="D284" s="5">
        <f>IF($E284="","",INDEX('Input Transaksi'!$F:$F,$E284))</f>
        <v/>
      </c>
      <c r="E284">
        <f>IFERROR(AGGREGATE(15,6,ROW('Input Transaksi'!$B$5:$B$5000)/('Input Transaksi'!$B$5:$B$5000="GRIYA ANYAR"),ROWS($E$5:E284)),"")</f>
        <v/>
      </c>
      <c r="F284" s="5" t="n"/>
    </row>
    <row r="285">
      <c r="A285" s="10">
        <f>IF($E285="","",INDEX('Input Transaksi'!$A:$A,$E285))</f>
        <v/>
      </c>
      <c r="B285" s="5">
        <f>IF($E285="","",INDEX('Input Transaksi'!$D:$D,$E285))</f>
        <v/>
      </c>
      <c r="C285">
        <f>IF($E285="","",INDEX('Input Transaksi'!$E:$E,$E285))</f>
        <v/>
      </c>
      <c r="D285" s="5">
        <f>IF($E285="","",INDEX('Input Transaksi'!$F:$F,$E285))</f>
        <v/>
      </c>
      <c r="E285">
        <f>IFERROR(AGGREGATE(15,6,ROW('Input Transaksi'!$B$5:$B$5000)/('Input Transaksi'!$B$5:$B$5000="GRIYA ANYAR"),ROWS($E$5:E285)),"")</f>
        <v/>
      </c>
      <c r="F285" s="5" t="n"/>
    </row>
    <row r="286">
      <c r="A286" s="10">
        <f>IF($E286="","",INDEX('Input Transaksi'!$A:$A,$E286))</f>
        <v/>
      </c>
      <c r="B286" s="5">
        <f>IF($E286="","",INDEX('Input Transaksi'!$D:$D,$E286))</f>
        <v/>
      </c>
      <c r="C286">
        <f>IF($E286="","",INDEX('Input Transaksi'!$E:$E,$E286))</f>
        <v/>
      </c>
      <c r="D286" s="5">
        <f>IF($E286="","",INDEX('Input Transaksi'!$F:$F,$E286))</f>
        <v/>
      </c>
      <c r="E286">
        <f>IFERROR(AGGREGATE(15,6,ROW('Input Transaksi'!$B$5:$B$5000)/('Input Transaksi'!$B$5:$B$5000="GRIYA ANYAR"),ROWS($E$5:E286)),"")</f>
        <v/>
      </c>
      <c r="F286" s="5" t="n"/>
    </row>
    <row r="287">
      <c r="A287" s="10">
        <f>IF($E287="","",INDEX('Input Transaksi'!$A:$A,$E287))</f>
        <v/>
      </c>
      <c r="B287" s="5">
        <f>IF($E287="","",INDEX('Input Transaksi'!$D:$D,$E287))</f>
        <v/>
      </c>
      <c r="C287">
        <f>IF($E287="","",INDEX('Input Transaksi'!$E:$E,$E287))</f>
        <v/>
      </c>
      <c r="D287" s="5">
        <f>IF($E287="","",INDEX('Input Transaksi'!$F:$F,$E287))</f>
        <v/>
      </c>
      <c r="E287">
        <f>IFERROR(AGGREGATE(15,6,ROW('Input Transaksi'!$B$5:$B$5000)/('Input Transaksi'!$B$5:$B$5000="GRIYA ANYAR"),ROWS($E$5:E287)),"")</f>
        <v/>
      </c>
      <c r="F287" s="5" t="n"/>
    </row>
    <row r="288">
      <c r="A288" s="10">
        <f>IF($E288="","",INDEX('Input Transaksi'!$A:$A,$E288))</f>
        <v/>
      </c>
      <c r="B288" s="5">
        <f>IF($E288="","",INDEX('Input Transaksi'!$D:$D,$E288))</f>
        <v/>
      </c>
      <c r="C288">
        <f>IF($E288="","",INDEX('Input Transaksi'!$E:$E,$E288))</f>
        <v/>
      </c>
      <c r="D288" s="5">
        <f>IF($E288="","",INDEX('Input Transaksi'!$F:$F,$E288))</f>
        <v/>
      </c>
      <c r="E288">
        <f>IFERROR(AGGREGATE(15,6,ROW('Input Transaksi'!$B$5:$B$5000)/('Input Transaksi'!$B$5:$B$5000="GRIYA ANYAR"),ROWS($E$5:E288)),"")</f>
        <v/>
      </c>
      <c r="F288" s="5" t="n"/>
    </row>
    <row r="289">
      <c r="A289" s="10">
        <f>IF($E289="","",INDEX('Input Transaksi'!$A:$A,$E289))</f>
        <v/>
      </c>
      <c r="B289" s="5">
        <f>IF($E289="","",INDEX('Input Transaksi'!$D:$D,$E289))</f>
        <v/>
      </c>
      <c r="C289">
        <f>IF($E289="","",INDEX('Input Transaksi'!$E:$E,$E289))</f>
        <v/>
      </c>
      <c r="D289" s="5">
        <f>IF($E289="","",INDEX('Input Transaksi'!$F:$F,$E289))</f>
        <v/>
      </c>
      <c r="E289">
        <f>IFERROR(AGGREGATE(15,6,ROW('Input Transaksi'!$B$5:$B$5000)/('Input Transaksi'!$B$5:$B$5000="GRIYA ANYAR"),ROWS($E$5:E289)),"")</f>
        <v/>
      </c>
      <c r="F289" s="5" t="n"/>
    </row>
    <row r="290">
      <c r="A290" s="10">
        <f>IF($E290="","",INDEX('Input Transaksi'!$A:$A,$E290))</f>
        <v/>
      </c>
      <c r="B290" s="5">
        <f>IF($E290="","",INDEX('Input Transaksi'!$D:$D,$E290))</f>
        <v/>
      </c>
      <c r="C290">
        <f>IF($E290="","",INDEX('Input Transaksi'!$E:$E,$E290))</f>
        <v/>
      </c>
      <c r="D290" s="5">
        <f>IF($E290="","",INDEX('Input Transaksi'!$F:$F,$E290))</f>
        <v/>
      </c>
      <c r="E290">
        <f>IFERROR(AGGREGATE(15,6,ROW('Input Transaksi'!$B$5:$B$5000)/('Input Transaksi'!$B$5:$B$5000="GRIYA ANYAR"),ROWS($E$5:E290)),"")</f>
        <v/>
      </c>
      <c r="F290" s="5" t="n"/>
    </row>
    <row r="291">
      <c r="A291" s="10">
        <f>IF($E291="","",INDEX('Input Transaksi'!$A:$A,$E291))</f>
        <v/>
      </c>
      <c r="B291" s="5">
        <f>IF($E291="","",INDEX('Input Transaksi'!$D:$D,$E291))</f>
        <v/>
      </c>
      <c r="C291">
        <f>IF($E291="","",INDEX('Input Transaksi'!$E:$E,$E291))</f>
        <v/>
      </c>
      <c r="D291" s="5">
        <f>IF($E291="","",INDEX('Input Transaksi'!$F:$F,$E291))</f>
        <v/>
      </c>
      <c r="E291">
        <f>IFERROR(AGGREGATE(15,6,ROW('Input Transaksi'!$B$5:$B$5000)/('Input Transaksi'!$B$5:$B$5000="GRIYA ANYAR"),ROWS($E$5:E291)),"")</f>
        <v/>
      </c>
      <c r="F291" s="5" t="n"/>
    </row>
    <row r="292">
      <c r="A292" s="10">
        <f>IF($E292="","",INDEX('Input Transaksi'!$A:$A,$E292))</f>
        <v/>
      </c>
      <c r="B292" s="5">
        <f>IF($E292="","",INDEX('Input Transaksi'!$D:$D,$E292))</f>
        <v/>
      </c>
      <c r="C292">
        <f>IF($E292="","",INDEX('Input Transaksi'!$E:$E,$E292))</f>
        <v/>
      </c>
      <c r="D292" s="5">
        <f>IF($E292="","",INDEX('Input Transaksi'!$F:$F,$E292))</f>
        <v/>
      </c>
      <c r="E292">
        <f>IFERROR(AGGREGATE(15,6,ROW('Input Transaksi'!$B$5:$B$5000)/('Input Transaksi'!$B$5:$B$5000="GRIYA ANYAR"),ROWS($E$5:E292)),"")</f>
        <v/>
      </c>
      <c r="F292" s="5" t="n"/>
    </row>
    <row r="293">
      <c r="A293" s="10">
        <f>IF($E293="","",INDEX('Input Transaksi'!$A:$A,$E293))</f>
        <v/>
      </c>
      <c r="B293" s="5">
        <f>IF($E293="","",INDEX('Input Transaksi'!$D:$D,$E293))</f>
        <v/>
      </c>
      <c r="C293">
        <f>IF($E293="","",INDEX('Input Transaksi'!$E:$E,$E293))</f>
        <v/>
      </c>
      <c r="D293" s="5">
        <f>IF($E293="","",INDEX('Input Transaksi'!$F:$F,$E293))</f>
        <v/>
      </c>
      <c r="E293">
        <f>IFERROR(AGGREGATE(15,6,ROW('Input Transaksi'!$B$5:$B$5000)/('Input Transaksi'!$B$5:$B$5000="GRIYA ANYAR"),ROWS($E$5:E293)),"")</f>
        <v/>
      </c>
      <c r="F293" s="5" t="n"/>
    </row>
    <row r="294">
      <c r="A294" s="10">
        <f>IF($E294="","",INDEX('Input Transaksi'!$A:$A,$E294))</f>
        <v/>
      </c>
      <c r="B294" s="5">
        <f>IF($E294="","",INDEX('Input Transaksi'!$D:$D,$E294))</f>
        <v/>
      </c>
      <c r="C294">
        <f>IF($E294="","",INDEX('Input Transaksi'!$E:$E,$E294))</f>
        <v/>
      </c>
      <c r="D294" s="5">
        <f>IF($E294="","",INDEX('Input Transaksi'!$F:$F,$E294))</f>
        <v/>
      </c>
      <c r="E294">
        <f>IFERROR(AGGREGATE(15,6,ROW('Input Transaksi'!$B$5:$B$5000)/('Input Transaksi'!$B$5:$B$5000="GRIYA ANYAR"),ROWS($E$5:E294)),"")</f>
        <v/>
      </c>
      <c r="F294" s="5" t="n"/>
    </row>
    <row r="295">
      <c r="A295" s="10">
        <f>IF($E295="","",INDEX('Input Transaksi'!$A:$A,$E295))</f>
        <v/>
      </c>
      <c r="B295" s="5">
        <f>IF($E295="","",INDEX('Input Transaksi'!$D:$D,$E295))</f>
        <v/>
      </c>
      <c r="C295">
        <f>IF($E295="","",INDEX('Input Transaksi'!$E:$E,$E295))</f>
        <v/>
      </c>
      <c r="D295" s="5">
        <f>IF($E295="","",INDEX('Input Transaksi'!$F:$F,$E295))</f>
        <v/>
      </c>
      <c r="E295">
        <f>IFERROR(AGGREGATE(15,6,ROW('Input Transaksi'!$B$5:$B$5000)/('Input Transaksi'!$B$5:$B$5000="GRIYA ANYAR"),ROWS($E$5:E295)),"")</f>
        <v/>
      </c>
      <c r="F295" s="5" t="n"/>
    </row>
    <row r="296">
      <c r="A296" s="10">
        <f>IF($E296="","",INDEX('Input Transaksi'!$A:$A,$E296))</f>
        <v/>
      </c>
      <c r="B296" s="5">
        <f>IF($E296="","",INDEX('Input Transaksi'!$D:$D,$E296))</f>
        <v/>
      </c>
      <c r="C296">
        <f>IF($E296="","",INDEX('Input Transaksi'!$E:$E,$E296))</f>
        <v/>
      </c>
      <c r="D296" s="5">
        <f>IF($E296="","",INDEX('Input Transaksi'!$F:$F,$E296))</f>
        <v/>
      </c>
      <c r="E296">
        <f>IFERROR(AGGREGATE(15,6,ROW('Input Transaksi'!$B$5:$B$5000)/('Input Transaksi'!$B$5:$B$5000="GRIYA ANYAR"),ROWS($E$5:E296)),"")</f>
        <v/>
      </c>
      <c r="F296" s="5" t="n"/>
    </row>
    <row r="297">
      <c r="A297" s="10">
        <f>IF($E297="","",INDEX('Input Transaksi'!$A:$A,$E297))</f>
        <v/>
      </c>
      <c r="B297" s="5">
        <f>IF($E297="","",INDEX('Input Transaksi'!$D:$D,$E297))</f>
        <v/>
      </c>
      <c r="C297">
        <f>IF($E297="","",INDEX('Input Transaksi'!$E:$E,$E297))</f>
        <v/>
      </c>
      <c r="D297" s="5">
        <f>IF($E297="","",INDEX('Input Transaksi'!$F:$F,$E297))</f>
        <v/>
      </c>
      <c r="E297">
        <f>IFERROR(AGGREGATE(15,6,ROW('Input Transaksi'!$B$5:$B$5000)/('Input Transaksi'!$B$5:$B$5000="GRIYA ANYAR"),ROWS($E$5:E297)),"")</f>
        <v/>
      </c>
      <c r="F297" s="5" t="n"/>
    </row>
    <row r="298">
      <c r="A298" s="10">
        <f>IF($E298="","",INDEX('Input Transaksi'!$A:$A,$E298))</f>
        <v/>
      </c>
      <c r="B298" s="5">
        <f>IF($E298="","",INDEX('Input Transaksi'!$D:$D,$E298))</f>
        <v/>
      </c>
      <c r="C298">
        <f>IF($E298="","",INDEX('Input Transaksi'!$E:$E,$E298))</f>
        <v/>
      </c>
      <c r="D298" s="5">
        <f>IF($E298="","",INDEX('Input Transaksi'!$F:$F,$E298))</f>
        <v/>
      </c>
      <c r="E298">
        <f>IFERROR(AGGREGATE(15,6,ROW('Input Transaksi'!$B$5:$B$5000)/('Input Transaksi'!$B$5:$B$5000="GRIYA ANYAR"),ROWS($E$5:E298)),"")</f>
        <v/>
      </c>
      <c r="F298" s="5" t="n"/>
    </row>
    <row r="299">
      <c r="A299" s="10">
        <f>IF($E299="","",INDEX('Input Transaksi'!$A:$A,$E299))</f>
        <v/>
      </c>
      <c r="B299" s="5">
        <f>IF($E299="","",INDEX('Input Transaksi'!$D:$D,$E299))</f>
        <v/>
      </c>
      <c r="C299">
        <f>IF($E299="","",INDEX('Input Transaksi'!$E:$E,$E299))</f>
        <v/>
      </c>
      <c r="D299" s="5">
        <f>IF($E299="","",INDEX('Input Transaksi'!$F:$F,$E299))</f>
        <v/>
      </c>
      <c r="E299">
        <f>IFERROR(AGGREGATE(15,6,ROW('Input Transaksi'!$B$5:$B$5000)/('Input Transaksi'!$B$5:$B$5000="GRIYA ANYAR"),ROWS($E$5:E299)),"")</f>
        <v/>
      </c>
      <c r="F299" s="5" t="n"/>
    </row>
    <row r="300">
      <c r="A300" s="10">
        <f>IF($E300="","",INDEX('Input Transaksi'!$A:$A,$E300))</f>
        <v/>
      </c>
      <c r="B300" s="5">
        <f>IF($E300="","",INDEX('Input Transaksi'!$D:$D,$E300))</f>
        <v/>
      </c>
      <c r="C300">
        <f>IF($E300="","",INDEX('Input Transaksi'!$E:$E,$E300))</f>
        <v/>
      </c>
      <c r="D300" s="5">
        <f>IF($E300="","",INDEX('Input Transaksi'!$F:$F,$E300))</f>
        <v/>
      </c>
      <c r="E300">
        <f>IFERROR(AGGREGATE(15,6,ROW('Input Transaksi'!$B$5:$B$5000)/('Input Transaksi'!$B$5:$B$5000="GRIYA ANYAR"),ROWS($E$5:E300)),"")</f>
        <v/>
      </c>
      <c r="F300" s="5" t="n"/>
    </row>
    <row r="301">
      <c r="A301" s="10">
        <f>IF($E301="","",INDEX('Input Transaksi'!$A:$A,$E301))</f>
        <v/>
      </c>
      <c r="B301" s="5">
        <f>IF($E301="","",INDEX('Input Transaksi'!$D:$D,$E301))</f>
        <v/>
      </c>
      <c r="C301">
        <f>IF($E301="","",INDEX('Input Transaksi'!$E:$E,$E301))</f>
        <v/>
      </c>
      <c r="D301" s="5">
        <f>IF($E301="","",INDEX('Input Transaksi'!$F:$F,$E301))</f>
        <v/>
      </c>
      <c r="E301">
        <f>IFERROR(AGGREGATE(15,6,ROW('Input Transaksi'!$B$5:$B$5000)/('Input Transaksi'!$B$5:$B$5000="GRIYA ANYAR"),ROWS($E$5:E301)),"")</f>
        <v/>
      </c>
      <c r="F301" s="5" t="n"/>
    </row>
    <row r="302">
      <c r="A302" s="10">
        <f>IF($E302="","",INDEX('Input Transaksi'!$A:$A,$E302))</f>
        <v/>
      </c>
      <c r="B302" s="5">
        <f>IF($E302="","",INDEX('Input Transaksi'!$D:$D,$E302))</f>
        <v/>
      </c>
      <c r="C302">
        <f>IF($E302="","",INDEX('Input Transaksi'!$E:$E,$E302))</f>
        <v/>
      </c>
      <c r="D302" s="5">
        <f>IF($E302="","",INDEX('Input Transaksi'!$F:$F,$E302))</f>
        <v/>
      </c>
      <c r="E302">
        <f>IFERROR(AGGREGATE(15,6,ROW('Input Transaksi'!$B$5:$B$5000)/('Input Transaksi'!$B$5:$B$5000="GRIYA ANYAR"),ROWS($E$5:E302)),"")</f>
        <v/>
      </c>
      <c r="F302" s="5" t="n"/>
    </row>
    <row r="303">
      <c r="A303" s="10">
        <f>IF($E303="","",INDEX('Input Transaksi'!$A:$A,$E303))</f>
        <v/>
      </c>
      <c r="B303" s="5">
        <f>IF($E303="","",INDEX('Input Transaksi'!$D:$D,$E303))</f>
        <v/>
      </c>
      <c r="C303">
        <f>IF($E303="","",INDEX('Input Transaksi'!$E:$E,$E303))</f>
        <v/>
      </c>
      <c r="D303" s="5">
        <f>IF($E303="","",INDEX('Input Transaksi'!$F:$F,$E303))</f>
        <v/>
      </c>
      <c r="E303">
        <f>IFERROR(AGGREGATE(15,6,ROW('Input Transaksi'!$B$5:$B$5000)/('Input Transaksi'!$B$5:$B$5000="GRIYA ANYAR"),ROWS($E$5:E303)),"")</f>
        <v/>
      </c>
      <c r="F303" s="5" t="n"/>
    </row>
    <row r="304">
      <c r="A304" s="10">
        <f>IF($E304="","",INDEX('Input Transaksi'!$A:$A,$E304))</f>
        <v/>
      </c>
      <c r="B304" s="5">
        <f>IF($E304="","",INDEX('Input Transaksi'!$D:$D,$E304))</f>
        <v/>
      </c>
      <c r="C304">
        <f>IF($E304="","",INDEX('Input Transaksi'!$E:$E,$E304))</f>
        <v/>
      </c>
      <c r="D304" s="5">
        <f>IF($E304="","",INDEX('Input Transaksi'!$F:$F,$E304))</f>
        <v/>
      </c>
      <c r="E304">
        <f>IFERROR(AGGREGATE(15,6,ROW('Input Transaksi'!$B$5:$B$5000)/('Input Transaksi'!$B$5:$B$5000="GRIYA ANYAR"),ROWS($E$5:E304)),"")</f>
        <v/>
      </c>
      <c r="F304" s="5" t="n"/>
    </row>
    <row r="305">
      <c r="A305" s="10">
        <f>IF($E305="","",INDEX('Input Transaksi'!$A:$A,$E305))</f>
        <v/>
      </c>
      <c r="B305" s="5">
        <f>IF($E305="","",INDEX('Input Transaksi'!$D:$D,$E305))</f>
        <v/>
      </c>
      <c r="C305">
        <f>IF($E305="","",INDEX('Input Transaksi'!$E:$E,$E305))</f>
        <v/>
      </c>
      <c r="D305" s="5">
        <f>IF($E305="","",INDEX('Input Transaksi'!$F:$F,$E305))</f>
        <v/>
      </c>
      <c r="E305">
        <f>IFERROR(AGGREGATE(15,6,ROW('Input Transaksi'!$B$5:$B$5000)/('Input Transaksi'!$B$5:$B$5000="GRIYA ANYAR"),ROWS($E$5:E305)),"")</f>
        <v/>
      </c>
      <c r="F305" s="5" t="n"/>
    </row>
    <row r="306">
      <c r="A306" s="10">
        <f>IF($E306="","",INDEX('Input Transaksi'!$A:$A,$E306))</f>
        <v/>
      </c>
      <c r="B306" s="5">
        <f>IF($E306="","",INDEX('Input Transaksi'!$D:$D,$E306))</f>
        <v/>
      </c>
      <c r="C306">
        <f>IF($E306="","",INDEX('Input Transaksi'!$E:$E,$E306))</f>
        <v/>
      </c>
      <c r="D306" s="5">
        <f>IF($E306="","",INDEX('Input Transaksi'!$F:$F,$E306))</f>
        <v/>
      </c>
      <c r="E306">
        <f>IFERROR(AGGREGATE(15,6,ROW('Input Transaksi'!$B$5:$B$5000)/('Input Transaksi'!$B$5:$B$5000="GRIYA ANYAR"),ROWS($E$5:E306)),"")</f>
        <v/>
      </c>
      <c r="F306" s="5" t="n"/>
    </row>
    <row r="307">
      <c r="A307" s="10">
        <f>IF($E307="","",INDEX('Input Transaksi'!$A:$A,$E307))</f>
        <v/>
      </c>
      <c r="B307" s="5">
        <f>IF($E307="","",INDEX('Input Transaksi'!$D:$D,$E307))</f>
        <v/>
      </c>
      <c r="C307">
        <f>IF($E307="","",INDEX('Input Transaksi'!$E:$E,$E307))</f>
        <v/>
      </c>
      <c r="D307" s="5">
        <f>IF($E307="","",INDEX('Input Transaksi'!$F:$F,$E307))</f>
        <v/>
      </c>
      <c r="E307">
        <f>IFERROR(AGGREGATE(15,6,ROW('Input Transaksi'!$B$5:$B$5000)/('Input Transaksi'!$B$5:$B$5000="GRIYA ANYAR"),ROWS($E$5:E307)),"")</f>
        <v/>
      </c>
      <c r="F307" s="5" t="n"/>
    </row>
    <row r="308">
      <c r="A308" s="10">
        <f>IF($E308="","",INDEX('Input Transaksi'!$A:$A,$E308))</f>
        <v/>
      </c>
      <c r="B308" s="5">
        <f>IF($E308="","",INDEX('Input Transaksi'!$D:$D,$E308))</f>
        <v/>
      </c>
      <c r="C308">
        <f>IF($E308="","",INDEX('Input Transaksi'!$E:$E,$E308))</f>
        <v/>
      </c>
      <c r="D308" s="5">
        <f>IF($E308="","",INDEX('Input Transaksi'!$F:$F,$E308))</f>
        <v/>
      </c>
      <c r="E308">
        <f>IFERROR(AGGREGATE(15,6,ROW('Input Transaksi'!$B$5:$B$5000)/('Input Transaksi'!$B$5:$B$5000="GRIYA ANYAR"),ROWS($E$5:E308)),"")</f>
        <v/>
      </c>
      <c r="F308" s="5" t="n"/>
    </row>
    <row r="309">
      <c r="A309" s="10">
        <f>IF($E309="","",INDEX('Input Transaksi'!$A:$A,$E309))</f>
        <v/>
      </c>
      <c r="B309" s="5">
        <f>IF($E309="","",INDEX('Input Transaksi'!$D:$D,$E309))</f>
        <v/>
      </c>
      <c r="C309">
        <f>IF($E309="","",INDEX('Input Transaksi'!$E:$E,$E309))</f>
        <v/>
      </c>
      <c r="D309" s="5">
        <f>IF($E309="","",INDEX('Input Transaksi'!$F:$F,$E309))</f>
        <v/>
      </c>
      <c r="E309">
        <f>IFERROR(AGGREGATE(15,6,ROW('Input Transaksi'!$B$5:$B$5000)/('Input Transaksi'!$B$5:$B$5000="GRIYA ANYAR"),ROWS($E$5:E309)),"")</f>
        <v/>
      </c>
      <c r="F309" s="5" t="n"/>
    </row>
    <row r="310">
      <c r="A310" s="10">
        <f>IF($E310="","",INDEX('Input Transaksi'!$A:$A,$E310))</f>
        <v/>
      </c>
      <c r="B310" s="5">
        <f>IF($E310="","",INDEX('Input Transaksi'!$D:$D,$E310))</f>
        <v/>
      </c>
      <c r="C310">
        <f>IF($E310="","",INDEX('Input Transaksi'!$E:$E,$E310))</f>
        <v/>
      </c>
      <c r="D310" s="5">
        <f>IF($E310="","",INDEX('Input Transaksi'!$F:$F,$E310))</f>
        <v/>
      </c>
      <c r="E310">
        <f>IFERROR(AGGREGATE(15,6,ROW('Input Transaksi'!$B$5:$B$5000)/('Input Transaksi'!$B$5:$B$5000="GRIYA ANYAR"),ROWS($E$5:E310)),"")</f>
        <v/>
      </c>
      <c r="F310" s="5" t="n"/>
    </row>
    <row r="311">
      <c r="A311" s="10">
        <f>IF($E311="","",INDEX('Input Transaksi'!$A:$A,$E311))</f>
        <v/>
      </c>
      <c r="B311" s="5">
        <f>IF($E311="","",INDEX('Input Transaksi'!$D:$D,$E311))</f>
        <v/>
      </c>
      <c r="C311">
        <f>IF($E311="","",INDEX('Input Transaksi'!$E:$E,$E311))</f>
        <v/>
      </c>
      <c r="D311" s="5">
        <f>IF($E311="","",INDEX('Input Transaksi'!$F:$F,$E311))</f>
        <v/>
      </c>
      <c r="E311">
        <f>IFERROR(AGGREGATE(15,6,ROW('Input Transaksi'!$B$5:$B$5000)/('Input Transaksi'!$B$5:$B$5000="GRIYA ANYAR"),ROWS($E$5:E311)),"")</f>
        <v/>
      </c>
      <c r="F311" s="5" t="n"/>
    </row>
    <row r="312">
      <c r="A312" s="10">
        <f>IF($E312="","",INDEX('Input Transaksi'!$A:$A,$E312))</f>
        <v/>
      </c>
      <c r="B312" s="5">
        <f>IF($E312="","",INDEX('Input Transaksi'!$D:$D,$E312))</f>
        <v/>
      </c>
      <c r="C312">
        <f>IF($E312="","",INDEX('Input Transaksi'!$E:$E,$E312))</f>
        <v/>
      </c>
      <c r="D312" s="5">
        <f>IF($E312="","",INDEX('Input Transaksi'!$F:$F,$E312))</f>
        <v/>
      </c>
      <c r="E312">
        <f>IFERROR(AGGREGATE(15,6,ROW('Input Transaksi'!$B$5:$B$5000)/('Input Transaksi'!$B$5:$B$5000="GRIYA ANYAR"),ROWS($E$5:E312)),"")</f>
        <v/>
      </c>
      <c r="F312" s="5" t="n"/>
    </row>
    <row r="313">
      <c r="A313" s="10">
        <f>IF($E313="","",INDEX('Input Transaksi'!$A:$A,$E313))</f>
        <v/>
      </c>
      <c r="B313" s="5">
        <f>IF($E313="","",INDEX('Input Transaksi'!$D:$D,$E313))</f>
        <v/>
      </c>
      <c r="C313">
        <f>IF($E313="","",INDEX('Input Transaksi'!$E:$E,$E313))</f>
        <v/>
      </c>
      <c r="D313" s="5">
        <f>IF($E313="","",INDEX('Input Transaksi'!$F:$F,$E313))</f>
        <v/>
      </c>
      <c r="E313">
        <f>IFERROR(AGGREGATE(15,6,ROW('Input Transaksi'!$B$5:$B$5000)/('Input Transaksi'!$B$5:$B$5000="GRIYA ANYAR"),ROWS($E$5:E313)),"")</f>
        <v/>
      </c>
      <c r="F313" s="5" t="n"/>
    </row>
    <row r="314">
      <c r="A314" s="10">
        <f>IF($E314="","",INDEX('Input Transaksi'!$A:$A,$E314))</f>
        <v/>
      </c>
      <c r="B314" s="5">
        <f>IF($E314="","",INDEX('Input Transaksi'!$D:$D,$E314))</f>
        <v/>
      </c>
      <c r="C314">
        <f>IF($E314="","",INDEX('Input Transaksi'!$E:$E,$E314))</f>
        <v/>
      </c>
      <c r="D314" s="5">
        <f>IF($E314="","",INDEX('Input Transaksi'!$F:$F,$E314))</f>
        <v/>
      </c>
      <c r="E314">
        <f>IFERROR(AGGREGATE(15,6,ROW('Input Transaksi'!$B$5:$B$5000)/('Input Transaksi'!$B$5:$B$5000="GRIYA ANYAR"),ROWS($E$5:E314)),"")</f>
        <v/>
      </c>
      <c r="F314" s="5" t="n"/>
    </row>
    <row r="315">
      <c r="A315" s="10">
        <f>IF($E315="","",INDEX('Input Transaksi'!$A:$A,$E315))</f>
        <v/>
      </c>
      <c r="B315" s="5">
        <f>IF($E315="","",INDEX('Input Transaksi'!$D:$D,$E315))</f>
        <v/>
      </c>
      <c r="C315">
        <f>IF($E315="","",INDEX('Input Transaksi'!$E:$E,$E315))</f>
        <v/>
      </c>
      <c r="D315" s="5">
        <f>IF($E315="","",INDEX('Input Transaksi'!$F:$F,$E315))</f>
        <v/>
      </c>
      <c r="E315">
        <f>IFERROR(AGGREGATE(15,6,ROW('Input Transaksi'!$B$5:$B$5000)/('Input Transaksi'!$B$5:$B$5000="GRIYA ANYAR"),ROWS($E$5:E315)),"")</f>
        <v/>
      </c>
      <c r="F315" s="5" t="n"/>
    </row>
    <row r="316">
      <c r="A316" s="10">
        <f>IF($E316="","",INDEX('Input Transaksi'!$A:$A,$E316))</f>
        <v/>
      </c>
      <c r="B316" s="5">
        <f>IF($E316="","",INDEX('Input Transaksi'!$D:$D,$E316))</f>
        <v/>
      </c>
      <c r="C316">
        <f>IF($E316="","",INDEX('Input Transaksi'!$E:$E,$E316))</f>
        <v/>
      </c>
      <c r="D316" s="5">
        <f>IF($E316="","",INDEX('Input Transaksi'!$F:$F,$E316))</f>
        <v/>
      </c>
      <c r="E316">
        <f>IFERROR(AGGREGATE(15,6,ROW('Input Transaksi'!$B$5:$B$5000)/('Input Transaksi'!$B$5:$B$5000="GRIYA ANYAR"),ROWS($E$5:E316)),"")</f>
        <v/>
      </c>
      <c r="F316" s="5" t="n"/>
    </row>
    <row r="317">
      <c r="A317" s="10">
        <f>IF($E317="","",INDEX('Input Transaksi'!$A:$A,$E317))</f>
        <v/>
      </c>
      <c r="B317" s="5">
        <f>IF($E317="","",INDEX('Input Transaksi'!$D:$D,$E317))</f>
        <v/>
      </c>
      <c r="C317">
        <f>IF($E317="","",INDEX('Input Transaksi'!$E:$E,$E317))</f>
        <v/>
      </c>
      <c r="D317" s="5">
        <f>IF($E317="","",INDEX('Input Transaksi'!$F:$F,$E317))</f>
        <v/>
      </c>
      <c r="E317">
        <f>IFERROR(AGGREGATE(15,6,ROW('Input Transaksi'!$B$5:$B$5000)/('Input Transaksi'!$B$5:$B$5000="GRIYA ANYAR"),ROWS($E$5:E317)),"")</f>
        <v/>
      </c>
      <c r="F317" s="5" t="n"/>
    </row>
    <row r="318">
      <c r="A318" s="10">
        <f>IF($E318="","",INDEX('Input Transaksi'!$A:$A,$E318))</f>
        <v/>
      </c>
      <c r="B318" s="5">
        <f>IF($E318="","",INDEX('Input Transaksi'!$D:$D,$E318))</f>
        <v/>
      </c>
      <c r="C318">
        <f>IF($E318="","",INDEX('Input Transaksi'!$E:$E,$E318))</f>
        <v/>
      </c>
      <c r="D318" s="5">
        <f>IF($E318="","",INDEX('Input Transaksi'!$F:$F,$E318))</f>
        <v/>
      </c>
      <c r="E318">
        <f>IFERROR(AGGREGATE(15,6,ROW('Input Transaksi'!$B$5:$B$5000)/('Input Transaksi'!$B$5:$B$5000="GRIYA ANYAR"),ROWS($E$5:E318)),"")</f>
        <v/>
      </c>
      <c r="F318" s="5" t="n"/>
    </row>
    <row r="319">
      <c r="A319" s="10">
        <f>IF($E319="","",INDEX('Input Transaksi'!$A:$A,$E319))</f>
        <v/>
      </c>
      <c r="B319" s="5">
        <f>IF($E319="","",INDEX('Input Transaksi'!$D:$D,$E319))</f>
        <v/>
      </c>
      <c r="C319">
        <f>IF($E319="","",INDEX('Input Transaksi'!$E:$E,$E319))</f>
        <v/>
      </c>
      <c r="D319" s="5">
        <f>IF($E319="","",INDEX('Input Transaksi'!$F:$F,$E319))</f>
        <v/>
      </c>
      <c r="E319">
        <f>IFERROR(AGGREGATE(15,6,ROW('Input Transaksi'!$B$5:$B$5000)/('Input Transaksi'!$B$5:$B$5000="GRIYA ANYAR"),ROWS($E$5:E319)),"")</f>
        <v/>
      </c>
      <c r="F319" s="5" t="n"/>
    </row>
    <row r="320">
      <c r="A320" s="10">
        <f>IF($E320="","",INDEX('Input Transaksi'!$A:$A,$E320))</f>
        <v/>
      </c>
      <c r="B320" s="5">
        <f>IF($E320="","",INDEX('Input Transaksi'!$D:$D,$E320))</f>
        <v/>
      </c>
      <c r="C320">
        <f>IF($E320="","",INDEX('Input Transaksi'!$E:$E,$E320))</f>
        <v/>
      </c>
      <c r="D320" s="5">
        <f>IF($E320="","",INDEX('Input Transaksi'!$F:$F,$E320))</f>
        <v/>
      </c>
      <c r="E320">
        <f>IFERROR(AGGREGATE(15,6,ROW('Input Transaksi'!$B$5:$B$5000)/('Input Transaksi'!$B$5:$B$5000="GRIYA ANYAR"),ROWS($E$5:E320)),"")</f>
        <v/>
      </c>
      <c r="F320" s="5" t="n"/>
    </row>
    <row r="321">
      <c r="A321" s="10">
        <f>IF($E321="","",INDEX('Input Transaksi'!$A:$A,$E321))</f>
        <v/>
      </c>
      <c r="B321" s="5">
        <f>IF($E321="","",INDEX('Input Transaksi'!$D:$D,$E321))</f>
        <v/>
      </c>
      <c r="C321">
        <f>IF($E321="","",INDEX('Input Transaksi'!$E:$E,$E321))</f>
        <v/>
      </c>
      <c r="D321" s="5">
        <f>IF($E321="","",INDEX('Input Transaksi'!$F:$F,$E321))</f>
        <v/>
      </c>
      <c r="E321">
        <f>IFERROR(AGGREGATE(15,6,ROW('Input Transaksi'!$B$5:$B$5000)/('Input Transaksi'!$B$5:$B$5000="GRIYA ANYAR"),ROWS($E$5:E321)),"")</f>
        <v/>
      </c>
      <c r="F321" s="5" t="n"/>
    </row>
    <row r="322">
      <c r="A322" s="10">
        <f>IF($E322="","",INDEX('Input Transaksi'!$A:$A,$E322))</f>
        <v/>
      </c>
      <c r="B322" s="5">
        <f>IF($E322="","",INDEX('Input Transaksi'!$D:$D,$E322))</f>
        <v/>
      </c>
      <c r="C322">
        <f>IF($E322="","",INDEX('Input Transaksi'!$E:$E,$E322))</f>
        <v/>
      </c>
      <c r="D322" s="5">
        <f>IF($E322="","",INDEX('Input Transaksi'!$F:$F,$E322))</f>
        <v/>
      </c>
      <c r="E322">
        <f>IFERROR(AGGREGATE(15,6,ROW('Input Transaksi'!$B$5:$B$5000)/('Input Transaksi'!$B$5:$B$5000="GRIYA ANYAR"),ROWS($E$5:E322)),"")</f>
        <v/>
      </c>
      <c r="F322" s="5" t="n"/>
    </row>
    <row r="323">
      <c r="A323" s="10">
        <f>IF($E323="","",INDEX('Input Transaksi'!$A:$A,$E323))</f>
        <v/>
      </c>
      <c r="B323" s="5">
        <f>IF($E323="","",INDEX('Input Transaksi'!$D:$D,$E323))</f>
        <v/>
      </c>
      <c r="C323">
        <f>IF($E323="","",INDEX('Input Transaksi'!$E:$E,$E323))</f>
        <v/>
      </c>
      <c r="D323" s="5">
        <f>IF($E323="","",INDEX('Input Transaksi'!$F:$F,$E323))</f>
        <v/>
      </c>
      <c r="E323">
        <f>IFERROR(AGGREGATE(15,6,ROW('Input Transaksi'!$B$5:$B$5000)/('Input Transaksi'!$B$5:$B$5000="GRIYA ANYAR"),ROWS($E$5:E323)),"")</f>
        <v/>
      </c>
      <c r="F323" s="5" t="n"/>
    </row>
    <row r="324">
      <c r="A324" s="10">
        <f>IF($E324="","",INDEX('Input Transaksi'!$A:$A,$E324))</f>
        <v/>
      </c>
      <c r="B324" s="5">
        <f>IF($E324="","",INDEX('Input Transaksi'!$D:$D,$E324))</f>
        <v/>
      </c>
      <c r="C324">
        <f>IF($E324="","",INDEX('Input Transaksi'!$E:$E,$E324))</f>
        <v/>
      </c>
      <c r="D324" s="5">
        <f>IF($E324="","",INDEX('Input Transaksi'!$F:$F,$E324))</f>
        <v/>
      </c>
      <c r="E324">
        <f>IFERROR(AGGREGATE(15,6,ROW('Input Transaksi'!$B$5:$B$5000)/('Input Transaksi'!$B$5:$B$5000="GRIYA ANYAR"),ROWS($E$5:E324)),"")</f>
        <v/>
      </c>
      <c r="F324" s="5" t="n"/>
    </row>
    <row r="325">
      <c r="A325" s="10">
        <f>IF($E325="","",INDEX('Input Transaksi'!$A:$A,$E325))</f>
        <v/>
      </c>
      <c r="B325" s="5">
        <f>IF($E325="","",INDEX('Input Transaksi'!$D:$D,$E325))</f>
        <v/>
      </c>
      <c r="C325">
        <f>IF($E325="","",INDEX('Input Transaksi'!$E:$E,$E325))</f>
        <v/>
      </c>
      <c r="D325" s="5">
        <f>IF($E325="","",INDEX('Input Transaksi'!$F:$F,$E325))</f>
        <v/>
      </c>
      <c r="E325">
        <f>IFERROR(AGGREGATE(15,6,ROW('Input Transaksi'!$B$5:$B$5000)/('Input Transaksi'!$B$5:$B$5000="GRIYA ANYAR"),ROWS($E$5:E325)),"")</f>
        <v/>
      </c>
      <c r="F325" s="5" t="n"/>
    </row>
    <row r="326">
      <c r="A326" s="10">
        <f>IF($E326="","",INDEX('Input Transaksi'!$A:$A,$E326))</f>
        <v/>
      </c>
      <c r="B326" s="5">
        <f>IF($E326="","",INDEX('Input Transaksi'!$D:$D,$E326))</f>
        <v/>
      </c>
      <c r="C326">
        <f>IF($E326="","",INDEX('Input Transaksi'!$E:$E,$E326))</f>
        <v/>
      </c>
      <c r="D326" s="5">
        <f>IF($E326="","",INDEX('Input Transaksi'!$F:$F,$E326))</f>
        <v/>
      </c>
      <c r="E326">
        <f>IFERROR(AGGREGATE(15,6,ROW('Input Transaksi'!$B$5:$B$5000)/('Input Transaksi'!$B$5:$B$5000="GRIYA ANYAR"),ROWS($E$5:E326)),"")</f>
        <v/>
      </c>
      <c r="F326" s="5" t="n"/>
    </row>
    <row r="327">
      <c r="A327" s="10">
        <f>IF($E327="","",INDEX('Input Transaksi'!$A:$A,$E327))</f>
        <v/>
      </c>
      <c r="B327" s="5">
        <f>IF($E327="","",INDEX('Input Transaksi'!$D:$D,$E327))</f>
        <v/>
      </c>
      <c r="C327">
        <f>IF($E327="","",INDEX('Input Transaksi'!$E:$E,$E327))</f>
        <v/>
      </c>
      <c r="D327" s="5">
        <f>IF($E327="","",INDEX('Input Transaksi'!$F:$F,$E327))</f>
        <v/>
      </c>
      <c r="E327">
        <f>IFERROR(AGGREGATE(15,6,ROW('Input Transaksi'!$B$5:$B$5000)/('Input Transaksi'!$B$5:$B$5000="GRIYA ANYAR"),ROWS($E$5:E327)),"")</f>
        <v/>
      </c>
      <c r="F327" s="5" t="n"/>
    </row>
    <row r="328">
      <c r="A328" s="10">
        <f>IF($E328="","",INDEX('Input Transaksi'!$A:$A,$E328))</f>
        <v/>
      </c>
      <c r="B328" s="5">
        <f>IF($E328="","",INDEX('Input Transaksi'!$D:$D,$E328))</f>
        <v/>
      </c>
      <c r="C328">
        <f>IF($E328="","",INDEX('Input Transaksi'!$E:$E,$E328))</f>
        <v/>
      </c>
      <c r="D328" s="5">
        <f>IF($E328="","",INDEX('Input Transaksi'!$F:$F,$E328))</f>
        <v/>
      </c>
      <c r="E328">
        <f>IFERROR(AGGREGATE(15,6,ROW('Input Transaksi'!$B$5:$B$5000)/('Input Transaksi'!$B$5:$B$5000="GRIYA ANYAR"),ROWS($E$5:E328)),"")</f>
        <v/>
      </c>
      <c r="F328" s="5" t="n"/>
    </row>
    <row r="329">
      <c r="A329" s="10">
        <f>IF($E329="","",INDEX('Input Transaksi'!$A:$A,$E329))</f>
        <v/>
      </c>
      <c r="B329" s="5">
        <f>IF($E329="","",INDEX('Input Transaksi'!$D:$D,$E329))</f>
        <v/>
      </c>
      <c r="C329">
        <f>IF($E329="","",INDEX('Input Transaksi'!$E:$E,$E329))</f>
        <v/>
      </c>
      <c r="D329" s="5">
        <f>IF($E329="","",INDEX('Input Transaksi'!$F:$F,$E329))</f>
        <v/>
      </c>
      <c r="E329">
        <f>IFERROR(AGGREGATE(15,6,ROW('Input Transaksi'!$B$5:$B$5000)/('Input Transaksi'!$B$5:$B$5000="GRIYA ANYAR"),ROWS($E$5:E329)),"")</f>
        <v/>
      </c>
      <c r="F329" s="5" t="n"/>
    </row>
    <row r="330">
      <c r="A330" s="10">
        <f>IF($E330="","",INDEX('Input Transaksi'!$A:$A,$E330))</f>
        <v/>
      </c>
      <c r="B330" s="5">
        <f>IF($E330="","",INDEX('Input Transaksi'!$D:$D,$E330))</f>
        <v/>
      </c>
      <c r="C330">
        <f>IF($E330="","",INDEX('Input Transaksi'!$E:$E,$E330))</f>
        <v/>
      </c>
      <c r="D330" s="5">
        <f>IF($E330="","",INDEX('Input Transaksi'!$F:$F,$E330))</f>
        <v/>
      </c>
      <c r="E330">
        <f>IFERROR(AGGREGATE(15,6,ROW('Input Transaksi'!$B$5:$B$5000)/('Input Transaksi'!$B$5:$B$5000="GRIYA ANYAR"),ROWS($E$5:E330)),"")</f>
        <v/>
      </c>
      <c r="F330" s="5" t="n"/>
    </row>
    <row r="331">
      <c r="A331" s="10">
        <f>IF($E331="","",INDEX('Input Transaksi'!$A:$A,$E331))</f>
        <v/>
      </c>
      <c r="B331" s="5">
        <f>IF($E331="","",INDEX('Input Transaksi'!$D:$D,$E331))</f>
        <v/>
      </c>
      <c r="C331">
        <f>IF($E331="","",INDEX('Input Transaksi'!$E:$E,$E331))</f>
        <v/>
      </c>
      <c r="D331" s="5">
        <f>IF($E331="","",INDEX('Input Transaksi'!$F:$F,$E331))</f>
        <v/>
      </c>
      <c r="E331">
        <f>IFERROR(AGGREGATE(15,6,ROW('Input Transaksi'!$B$5:$B$5000)/('Input Transaksi'!$B$5:$B$5000="GRIYA ANYAR"),ROWS($E$5:E331)),"")</f>
        <v/>
      </c>
      <c r="F331" s="5" t="n"/>
    </row>
    <row r="332">
      <c r="A332" s="10">
        <f>IF($E332="","",INDEX('Input Transaksi'!$A:$A,$E332))</f>
        <v/>
      </c>
      <c r="B332" s="5">
        <f>IF($E332="","",INDEX('Input Transaksi'!$D:$D,$E332))</f>
        <v/>
      </c>
      <c r="C332">
        <f>IF($E332="","",INDEX('Input Transaksi'!$E:$E,$E332))</f>
        <v/>
      </c>
      <c r="D332" s="5">
        <f>IF($E332="","",INDEX('Input Transaksi'!$F:$F,$E332))</f>
        <v/>
      </c>
      <c r="E332">
        <f>IFERROR(AGGREGATE(15,6,ROW('Input Transaksi'!$B$5:$B$5000)/('Input Transaksi'!$B$5:$B$5000="GRIYA ANYAR"),ROWS($E$5:E332)),"")</f>
        <v/>
      </c>
      <c r="F332" s="5" t="n"/>
    </row>
    <row r="333">
      <c r="A333" s="10">
        <f>IF($E333="","",INDEX('Input Transaksi'!$A:$A,$E333))</f>
        <v/>
      </c>
      <c r="B333" s="5">
        <f>IF($E333="","",INDEX('Input Transaksi'!$D:$D,$E333))</f>
        <v/>
      </c>
      <c r="C333">
        <f>IF($E333="","",INDEX('Input Transaksi'!$E:$E,$E333))</f>
        <v/>
      </c>
      <c r="D333" s="5">
        <f>IF($E333="","",INDEX('Input Transaksi'!$F:$F,$E333))</f>
        <v/>
      </c>
      <c r="E333">
        <f>IFERROR(AGGREGATE(15,6,ROW('Input Transaksi'!$B$5:$B$5000)/('Input Transaksi'!$B$5:$B$5000="GRIYA ANYAR"),ROWS($E$5:E333)),"")</f>
        <v/>
      </c>
      <c r="F333" s="5" t="n"/>
    </row>
    <row r="334">
      <c r="A334" s="10">
        <f>IF($E334="","",INDEX('Input Transaksi'!$A:$A,$E334))</f>
        <v/>
      </c>
      <c r="B334" s="5">
        <f>IF($E334="","",INDEX('Input Transaksi'!$D:$D,$E334))</f>
        <v/>
      </c>
      <c r="C334">
        <f>IF($E334="","",INDEX('Input Transaksi'!$E:$E,$E334))</f>
        <v/>
      </c>
      <c r="D334" s="5">
        <f>IF($E334="","",INDEX('Input Transaksi'!$F:$F,$E334))</f>
        <v/>
      </c>
      <c r="E334">
        <f>IFERROR(AGGREGATE(15,6,ROW('Input Transaksi'!$B$5:$B$5000)/('Input Transaksi'!$B$5:$B$5000="GRIYA ANYAR"),ROWS($E$5:E334)),"")</f>
        <v/>
      </c>
      <c r="F334" s="5" t="n"/>
    </row>
    <row r="335">
      <c r="A335" s="10">
        <f>IF($E335="","",INDEX('Input Transaksi'!$A:$A,$E335))</f>
        <v/>
      </c>
      <c r="B335" s="5">
        <f>IF($E335="","",INDEX('Input Transaksi'!$D:$D,$E335))</f>
        <v/>
      </c>
      <c r="C335">
        <f>IF($E335="","",INDEX('Input Transaksi'!$E:$E,$E335))</f>
        <v/>
      </c>
      <c r="D335" s="5">
        <f>IF($E335="","",INDEX('Input Transaksi'!$F:$F,$E335))</f>
        <v/>
      </c>
      <c r="E335">
        <f>IFERROR(AGGREGATE(15,6,ROW('Input Transaksi'!$B$5:$B$5000)/('Input Transaksi'!$B$5:$B$5000="GRIYA ANYAR"),ROWS($E$5:E335)),"")</f>
        <v/>
      </c>
      <c r="F335" s="5" t="n"/>
    </row>
    <row r="336">
      <c r="A336" s="10">
        <f>IF($E336="","",INDEX('Input Transaksi'!$A:$A,$E336))</f>
        <v/>
      </c>
      <c r="B336" s="5">
        <f>IF($E336="","",INDEX('Input Transaksi'!$D:$D,$E336))</f>
        <v/>
      </c>
      <c r="C336">
        <f>IF($E336="","",INDEX('Input Transaksi'!$E:$E,$E336))</f>
        <v/>
      </c>
      <c r="D336" s="5">
        <f>IF($E336="","",INDEX('Input Transaksi'!$F:$F,$E336))</f>
        <v/>
      </c>
      <c r="E336">
        <f>IFERROR(AGGREGATE(15,6,ROW('Input Transaksi'!$B$5:$B$5000)/('Input Transaksi'!$B$5:$B$5000="GRIYA ANYAR"),ROWS($E$5:E336)),"")</f>
        <v/>
      </c>
      <c r="F336" s="5" t="n"/>
    </row>
    <row r="337">
      <c r="A337" s="10">
        <f>IF($E337="","",INDEX('Input Transaksi'!$A:$A,$E337))</f>
        <v/>
      </c>
      <c r="B337" s="5">
        <f>IF($E337="","",INDEX('Input Transaksi'!$D:$D,$E337))</f>
        <v/>
      </c>
      <c r="C337">
        <f>IF($E337="","",INDEX('Input Transaksi'!$E:$E,$E337))</f>
        <v/>
      </c>
      <c r="D337" s="5">
        <f>IF($E337="","",INDEX('Input Transaksi'!$F:$F,$E337))</f>
        <v/>
      </c>
      <c r="E337">
        <f>IFERROR(AGGREGATE(15,6,ROW('Input Transaksi'!$B$5:$B$5000)/('Input Transaksi'!$B$5:$B$5000="GRIYA ANYAR"),ROWS($E$5:E337)),"")</f>
        <v/>
      </c>
      <c r="F337" s="5" t="n"/>
    </row>
    <row r="338">
      <c r="A338" s="10">
        <f>IF($E338="","",INDEX('Input Transaksi'!$A:$A,$E338))</f>
        <v/>
      </c>
      <c r="B338" s="5">
        <f>IF($E338="","",INDEX('Input Transaksi'!$D:$D,$E338))</f>
        <v/>
      </c>
      <c r="C338">
        <f>IF($E338="","",INDEX('Input Transaksi'!$E:$E,$E338))</f>
        <v/>
      </c>
      <c r="D338" s="5">
        <f>IF($E338="","",INDEX('Input Transaksi'!$F:$F,$E338))</f>
        <v/>
      </c>
      <c r="E338">
        <f>IFERROR(AGGREGATE(15,6,ROW('Input Transaksi'!$B$5:$B$5000)/('Input Transaksi'!$B$5:$B$5000="GRIYA ANYAR"),ROWS($E$5:E338)),"")</f>
        <v/>
      </c>
      <c r="F338" s="5" t="n"/>
    </row>
    <row r="339">
      <c r="A339" s="10">
        <f>IF($E339="","",INDEX('Input Transaksi'!$A:$A,$E339))</f>
        <v/>
      </c>
      <c r="B339" s="5">
        <f>IF($E339="","",INDEX('Input Transaksi'!$D:$D,$E339))</f>
        <v/>
      </c>
      <c r="C339">
        <f>IF($E339="","",INDEX('Input Transaksi'!$E:$E,$E339))</f>
        <v/>
      </c>
      <c r="D339" s="5">
        <f>IF($E339="","",INDEX('Input Transaksi'!$F:$F,$E339))</f>
        <v/>
      </c>
      <c r="E339">
        <f>IFERROR(AGGREGATE(15,6,ROW('Input Transaksi'!$B$5:$B$5000)/('Input Transaksi'!$B$5:$B$5000="GRIYA ANYAR"),ROWS($E$5:E339)),"")</f>
        <v/>
      </c>
      <c r="F339" s="5" t="n"/>
    </row>
    <row r="340">
      <c r="A340" s="10">
        <f>IF($E340="","",INDEX('Input Transaksi'!$A:$A,$E340))</f>
        <v/>
      </c>
      <c r="B340" s="5">
        <f>IF($E340="","",INDEX('Input Transaksi'!$D:$D,$E340))</f>
        <v/>
      </c>
      <c r="C340">
        <f>IF($E340="","",INDEX('Input Transaksi'!$E:$E,$E340))</f>
        <v/>
      </c>
      <c r="D340" s="5">
        <f>IF($E340="","",INDEX('Input Transaksi'!$F:$F,$E340))</f>
        <v/>
      </c>
      <c r="E340">
        <f>IFERROR(AGGREGATE(15,6,ROW('Input Transaksi'!$B$5:$B$5000)/('Input Transaksi'!$B$5:$B$5000="GRIYA ANYAR"),ROWS($E$5:E340)),"")</f>
        <v/>
      </c>
      <c r="F340" s="5" t="n"/>
    </row>
    <row r="341">
      <c r="A341" s="10">
        <f>IF($E341="","",INDEX('Input Transaksi'!$A:$A,$E341))</f>
        <v/>
      </c>
      <c r="B341" s="5">
        <f>IF($E341="","",INDEX('Input Transaksi'!$D:$D,$E341))</f>
        <v/>
      </c>
      <c r="C341">
        <f>IF($E341="","",INDEX('Input Transaksi'!$E:$E,$E341))</f>
        <v/>
      </c>
      <c r="D341" s="5">
        <f>IF($E341="","",INDEX('Input Transaksi'!$F:$F,$E341))</f>
        <v/>
      </c>
      <c r="E341">
        <f>IFERROR(AGGREGATE(15,6,ROW('Input Transaksi'!$B$5:$B$5000)/('Input Transaksi'!$B$5:$B$5000="GRIYA ANYAR"),ROWS($E$5:E341)),"")</f>
        <v/>
      </c>
      <c r="F341" s="5" t="n"/>
    </row>
    <row r="342">
      <c r="A342" s="10">
        <f>IF($E342="","",INDEX('Input Transaksi'!$A:$A,$E342))</f>
        <v/>
      </c>
      <c r="B342" s="5">
        <f>IF($E342="","",INDEX('Input Transaksi'!$D:$D,$E342))</f>
        <v/>
      </c>
      <c r="C342">
        <f>IF($E342="","",INDEX('Input Transaksi'!$E:$E,$E342))</f>
        <v/>
      </c>
      <c r="D342" s="5">
        <f>IF($E342="","",INDEX('Input Transaksi'!$F:$F,$E342))</f>
        <v/>
      </c>
      <c r="E342">
        <f>IFERROR(AGGREGATE(15,6,ROW('Input Transaksi'!$B$5:$B$5000)/('Input Transaksi'!$B$5:$B$5000="GRIYA ANYAR"),ROWS($E$5:E342)),"")</f>
        <v/>
      </c>
      <c r="F342" s="5" t="n"/>
    </row>
    <row r="343">
      <c r="A343" s="10">
        <f>IF($E343="","",INDEX('Input Transaksi'!$A:$A,$E343))</f>
        <v/>
      </c>
      <c r="B343" s="5">
        <f>IF($E343="","",INDEX('Input Transaksi'!$D:$D,$E343))</f>
        <v/>
      </c>
      <c r="C343">
        <f>IF($E343="","",INDEX('Input Transaksi'!$E:$E,$E343))</f>
        <v/>
      </c>
      <c r="D343" s="5">
        <f>IF($E343="","",INDEX('Input Transaksi'!$F:$F,$E343))</f>
        <v/>
      </c>
      <c r="E343">
        <f>IFERROR(AGGREGATE(15,6,ROW('Input Transaksi'!$B$5:$B$5000)/('Input Transaksi'!$B$5:$B$5000="GRIYA ANYAR"),ROWS($E$5:E343)),"")</f>
        <v/>
      </c>
      <c r="F343" s="5" t="n"/>
    </row>
    <row r="344">
      <c r="A344" s="10">
        <f>IF($E344="","",INDEX('Input Transaksi'!$A:$A,$E344))</f>
        <v/>
      </c>
      <c r="B344" s="5">
        <f>IF($E344="","",INDEX('Input Transaksi'!$D:$D,$E344))</f>
        <v/>
      </c>
      <c r="C344">
        <f>IF($E344="","",INDEX('Input Transaksi'!$E:$E,$E344))</f>
        <v/>
      </c>
      <c r="D344" s="5">
        <f>IF($E344="","",INDEX('Input Transaksi'!$F:$F,$E344))</f>
        <v/>
      </c>
      <c r="E344">
        <f>IFERROR(AGGREGATE(15,6,ROW('Input Transaksi'!$B$5:$B$5000)/('Input Transaksi'!$B$5:$B$5000="GRIYA ANYAR"),ROWS($E$5:E344)),"")</f>
        <v/>
      </c>
      <c r="F344" s="5" t="n"/>
    </row>
    <row r="345">
      <c r="A345" s="10">
        <f>IF($E345="","",INDEX('Input Transaksi'!$A:$A,$E345))</f>
        <v/>
      </c>
      <c r="B345" s="5">
        <f>IF($E345="","",INDEX('Input Transaksi'!$D:$D,$E345))</f>
        <v/>
      </c>
      <c r="C345">
        <f>IF($E345="","",INDEX('Input Transaksi'!$E:$E,$E345))</f>
        <v/>
      </c>
      <c r="D345" s="5">
        <f>IF($E345="","",INDEX('Input Transaksi'!$F:$F,$E345))</f>
        <v/>
      </c>
      <c r="E345">
        <f>IFERROR(AGGREGATE(15,6,ROW('Input Transaksi'!$B$5:$B$5000)/('Input Transaksi'!$B$5:$B$5000="GRIYA ANYAR"),ROWS($E$5:E345)),"")</f>
        <v/>
      </c>
      <c r="F345" s="5" t="n"/>
    </row>
    <row r="346">
      <c r="A346" s="10">
        <f>IF($E346="","",INDEX('Input Transaksi'!$A:$A,$E346))</f>
        <v/>
      </c>
      <c r="B346" s="5">
        <f>IF($E346="","",INDEX('Input Transaksi'!$D:$D,$E346))</f>
        <v/>
      </c>
      <c r="C346">
        <f>IF($E346="","",INDEX('Input Transaksi'!$E:$E,$E346))</f>
        <v/>
      </c>
      <c r="D346" s="5">
        <f>IF($E346="","",INDEX('Input Transaksi'!$F:$F,$E346))</f>
        <v/>
      </c>
      <c r="E346">
        <f>IFERROR(AGGREGATE(15,6,ROW('Input Transaksi'!$B$5:$B$5000)/('Input Transaksi'!$B$5:$B$5000="GRIYA ANYAR"),ROWS($E$5:E346)),"")</f>
        <v/>
      </c>
      <c r="F346" s="5" t="n"/>
    </row>
    <row r="347">
      <c r="A347" s="10">
        <f>IF($E347="","",INDEX('Input Transaksi'!$A:$A,$E347))</f>
        <v/>
      </c>
      <c r="B347" s="5">
        <f>IF($E347="","",INDEX('Input Transaksi'!$D:$D,$E347))</f>
        <v/>
      </c>
      <c r="C347">
        <f>IF($E347="","",INDEX('Input Transaksi'!$E:$E,$E347))</f>
        <v/>
      </c>
      <c r="D347" s="5">
        <f>IF($E347="","",INDEX('Input Transaksi'!$F:$F,$E347))</f>
        <v/>
      </c>
      <c r="E347">
        <f>IFERROR(AGGREGATE(15,6,ROW('Input Transaksi'!$B$5:$B$5000)/('Input Transaksi'!$B$5:$B$5000="GRIYA ANYAR"),ROWS($E$5:E347)),"")</f>
        <v/>
      </c>
      <c r="F347" s="5" t="n"/>
    </row>
    <row r="348">
      <c r="A348" s="10">
        <f>IF($E348="","",INDEX('Input Transaksi'!$A:$A,$E348))</f>
        <v/>
      </c>
      <c r="B348" s="5">
        <f>IF($E348="","",INDEX('Input Transaksi'!$D:$D,$E348))</f>
        <v/>
      </c>
      <c r="C348">
        <f>IF($E348="","",INDEX('Input Transaksi'!$E:$E,$E348))</f>
        <v/>
      </c>
      <c r="D348" s="5">
        <f>IF($E348="","",INDEX('Input Transaksi'!$F:$F,$E348))</f>
        <v/>
      </c>
      <c r="E348">
        <f>IFERROR(AGGREGATE(15,6,ROW('Input Transaksi'!$B$5:$B$5000)/('Input Transaksi'!$B$5:$B$5000="GRIYA ANYAR"),ROWS($E$5:E348)),"")</f>
        <v/>
      </c>
      <c r="F348" s="5" t="n"/>
    </row>
    <row r="349">
      <c r="A349" s="10">
        <f>IF($E349="","",INDEX('Input Transaksi'!$A:$A,$E349))</f>
        <v/>
      </c>
      <c r="B349" s="5">
        <f>IF($E349="","",INDEX('Input Transaksi'!$D:$D,$E349))</f>
        <v/>
      </c>
      <c r="C349">
        <f>IF($E349="","",INDEX('Input Transaksi'!$E:$E,$E349))</f>
        <v/>
      </c>
      <c r="D349" s="5">
        <f>IF($E349="","",INDEX('Input Transaksi'!$F:$F,$E349))</f>
        <v/>
      </c>
      <c r="E349">
        <f>IFERROR(AGGREGATE(15,6,ROW('Input Transaksi'!$B$5:$B$5000)/('Input Transaksi'!$B$5:$B$5000="GRIYA ANYAR"),ROWS($E$5:E349)),"")</f>
        <v/>
      </c>
      <c r="F349" s="5" t="n"/>
    </row>
    <row r="350">
      <c r="A350" s="10">
        <f>IF($E350="","",INDEX('Input Transaksi'!$A:$A,$E350))</f>
        <v/>
      </c>
      <c r="B350" s="5">
        <f>IF($E350="","",INDEX('Input Transaksi'!$D:$D,$E350))</f>
        <v/>
      </c>
      <c r="C350">
        <f>IF($E350="","",INDEX('Input Transaksi'!$E:$E,$E350))</f>
        <v/>
      </c>
      <c r="D350" s="5">
        <f>IF($E350="","",INDEX('Input Transaksi'!$F:$F,$E350))</f>
        <v/>
      </c>
      <c r="E350">
        <f>IFERROR(AGGREGATE(15,6,ROW('Input Transaksi'!$B$5:$B$5000)/('Input Transaksi'!$B$5:$B$5000="GRIYA ANYAR"),ROWS($E$5:E350)),"")</f>
        <v/>
      </c>
      <c r="F350" s="5" t="n"/>
    </row>
    <row r="351">
      <c r="A351" s="10">
        <f>IF($E351="","",INDEX('Input Transaksi'!$A:$A,$E351))</f>
        <v/>
      </c>
      <c r="B351" s="5">
        <f>IF($E351="","",INDEX('Input Transaksi'!$D:$D,$E351))</f>
        <v/>
      </c>
      <c r="C351">
        <f>IF($E351="","",INDEX('Input Transaksi'!$E:$E,$E351))</f>
        <v/>
      </c>
      <c r="D351" s="5">
        <f>IF($E351="","",INDEX('Input Transaksi'!$F:$F,$E351))</f>
        <v/>
      </c>
      <c r="E351">
        <f>IFERROR(AGGREGATE(15,6,ROW('Input Transaksi'!$B$5:$B$5000)/('Input Transaksi'!$B$5:$B$5000="GRIYA ANYAR"),ROWS($E$5:E351)),"")</f>
        <v/>
      </c>
      <c r="F351" s="5" t="n"/>
    </row>
    <row r="352">
      <c r="A352" s="10">
        <f>IF($E352="","",INDEX('Input Transaksi'!$A:$A,$E352))</f>
        <v/>
      </c>
      <c r="B352" s="5">
        <f>IF($E352="","",INDEX('Input Transaksi'!$D:$D,$E352))</f>
        <v/>
      </c>
      <c r="C352">
        <f>IF($E352="","",INDEX('Input Transaksi'!$E:$E,$E352))</f>
        <v/>
      </c>
      <c r="D352" s="5">
        <f>IF($E352="","",INDEX('Input Transaksi'!$F:$F,$E352))</f>
        <v/>
      </c>
      <c r="E352">
        <f>IFERROR(AGGREGATE(15,6,ROW('Input Transaksi'!$B$5:$B$5000)/('Input Transaksi'!$B$5:$B$5000="GRIYA ANYAR"),ROWS($E$5:E352)),"")</f>
        <v/>
      </c>
      <c r="F352" s="5" t="n"/>
    </row>
    <row r="353">
      <c r="A353" s="10">
        <f>IF($E353="","",INDEX('Input Transaksi'!$A:$A,$E353))</f>
        <v/>
      </c>
      <c r="B353" s="5">
        <f>IF($E353="","",INDEX('Input Transaksi'!$D:$D,$E353))</f>
        <v/>
      </c>
      <c r="C353">
        <f>IF($E353="","",INDEX('Input Transaksi'!$E:$E,$E353))</f>
        <v/>
      </c>
      <c r="D353" s="5">
        <f>IF($E353="","",INDEX('Input Transaksi'!$F:$F,$E353))</f>
        <v/>
      </c>
      <c r="E353">
        <f>IFERROR(AGGREGATE(15,6,ROW('Input Transaksi'!$B$5:$B$5000)/('Input Transaksi'!$B$5:$B$5000="GRIYA ANYAR"),ROWS($E$5:E353)),"")</f>
        <v/>
      </c>
      <c r="F353" s="5" t="n"/>
    </row>
    <row r="354">
      <c r="A354" s="10">
        <f>IF($E354="","",INDEX('Input Transaksi'!$A:$A,$E354))</f>
        <v/>
      </c>
      <c r="B354" s="5">
        <f>IF($E354="","",INDEX('Input Transaksi'!$D:$D,$E354))</f>
        <v/>
      </c>
      <c r="C354">
        <f>IF($E354="","",INDEX('Input Transaksi'!$E:$E,$E354))</f>
        <v/>
      </c>
      <c r="D354" s="5">
        <f>IF($E354="","",INDEX('Input Transaksi'!$F:$F,$E354))</f>
        <v/>
      </c>
      <c r="E354">
        <f>IFERROR(AGGREGATE(15,6,ROW('Input Transaksi'!$B$5:$B$5000)/('Input Transaksi'!$B$5:$B$5000="GRIYA ANYAR"),ROWS($E$5:E354)),"")</f>
        <v/>
      </c>
      <c r="F354" s="5" t="n"/>
    </row>
    <row r="355">
      <c r="A355" s="10">
        <f>IF($E355="","",INDEX('Input Transaksi'!$A:$A,$E355))</f>
        <v/>
      </c>
      <c r="B355" s="5">
        <f>IF($E355="","",INDEX('Input Transaksi'!$D:$D,$E355))</f>
        <v/>
      </c>
      <c r="C355">
        <f>IF($E355="","",INDEX('Input Transaksi'!$E:$E,$E355))</f>
        <v/>
      </c>
      <c r="D355" s="5">
        <f>IF($E355="","",INDEX('Input Transaksi'!$F:$F,$E355))</f>
        <v/>
      </c>
      <c r="E355">
        <f>IFERROR(AGGREGATE(15,6,ROW('Input Transaksi'!$B$5:$B$5000)/('Input Transaksi'!$B$5:$B$5000="GRIYA ANYAR"),ROWS($E$5:E355)),"")</f>
        <v/>
      </c>
      <c r="F355" s="5" t="n"/>
    </row>
    <row r="356">
      <c r="A356" s="10">
        <f>IF($E356="","",INDEX('Input Transaksi'!$A:$A,$E356))</f>
        <v/>
      </c>
      <c r="B356" s="5">
        <f>IF($E356="","",INDEX('Input Transaksi'!$D:$D,$E356))</f>
        <v/>
      </c>
      <c r="C356">
        <f>IF($E356="","",INDEX('Input Transaksi'!$E:$E,$E356))</f>
        <v/>
      </c>
      <c r="D356" s="5">
        <f>IF($E356="","",INDEX('Input Transaksi'!$F:$F,$E356))</f>
        <v/>
      </c>
      <c r="E356">
        <f>IFERROR(AGGREGATE(15,6,ROW('Input Transaksi'!$B$5:$B$5000)/('Input Transaksi'!$B$5:$B$5000="GRIYA ANYAR"),ROWS($E$5:E356)),"")</f>
        <v/>
      </c>
      <c r="F356" s="5" t="n"/>
    </row>
    <row r="357">
      <c r="A357" s="10">
        <f>IF($E357="","",INDEX('Input Transaksi'!$A:$A,$E357))</f>
        <v/>
      </c>
      <c r="B357" s="5">
        <f>IF($E357="","",INDEX('Input Transaksi'!$D:$D,$E357))</f>
        <v/>
      </c>
      <c r="C357">
        <f>IF($E357="","",INDEX('Input Transaksi'!$E:$E,$E357))</f>
        <v/>
      </c>
      <c r="D357" s="5">
        <f>IF($E357="","",INDEX('Input Transaksi'!$F:$F,$E357))</f>
        <v/>
      </c>
      <c r="E357">
        <f>IFERROR(AGGREGATE(15,6,ROW('Input Transaksi'!$B$5:$B$5000)/('Input Transaksi'!$B$5:$B$5000="GRIYA ANYAR"),ROWS($E$5:E357)),"")</f>
        <v/>
      </c>
      <c r="F357" s="5" t="n"/>
    </row>
    <row r="358">
      <c r="A358" s="10">
        <f>IF($E358="","",INDEX('Input Transaksi'!$A:$A,$E358))</f>
        <v/>
      </c>
      <c r="B358" s="5">
        <f>IF($E358="","",INDEX('Input Transaksi'!$D:$D,$E358))</f>
        <v/>
      </c>
      <c r="C358">
        <f>IF($E358="","",INDEX('Input Transaksi'!$E:$E,$E358))</f>
        <v/>
      </c>
      <c r="D358" s="5">
        <f>IF($E358="","",INDEX('Input Transaksi'!$F:$F,$E358))</f>
        <v/>
      </c>
      <c r="E358">
        <f>IFERROR(AGGREGATE(15,6,ROW('Input Transaksi'!$B$5:$B$5000)/('Input Transaksi'!$B$5:$B$5000="GRIYA ANYAR"),ROWS($E$5:E358)),"")</f>
        <v/>
      </c>
      <c r="F358" s="5" t="n"/>
    </row>
    <row r="359">
      <c r="A359" s="10">
        <f>IF($E359="","",INDEX('Input Transaksi'!$A:$A,$E359))</f>
        <v/>
      </c>
      <c r="B359" s="5">
        <f>IF($E359="","",INDEX('Input Transaksi'!$D:$D,$E359))</f>
        <v/>
      </c>
      <c r="C359">
        <f>IF($E359="","",INDEX('Input Transaksi'!$E:$E,$E359))</f>
        <v/>
      </c>
      <c r="D359" s="5">
        <f>IF($E359="","",INDEX('Input Transaksi'!$F:$F,$E359))</f>
        <v/>
      </c>
      <c r="E359">
        <f>IFERROR(AGGREGATE(15,6,ROW('Input Transaksi'!$B$5:$B$5000)/('Input Transaksi'!$B$5:$B$5000="GRIYA ANYAR"),ROWS($E$5:E359)),"")</f>
        <v/>
      </c>
      <c r="F359" s="5" t="n"/>
    </row>
    <row r="360">
      <c r="A360" s="10">
        <f>IF($E360="","",INDEX('Input Transaksi'!$A:$A,$E360))</f>
        <v/>
      </c>
      <c r="B360" s="5">
        <f>IF($E360="","",INDEX('Input Transaksi'!$D:$D,$E360))</f>
        <v/>
      </c>
      <c r="C360">
        <f>IF($E360="","",INDEX('Input Transaksi'!$E:$E,$E360))</f>
        <v/>
      </c>
      <c r="D360" s="5">
        <f>IF($E360="","",INDEX('Input Transaksi'!$F:$F,$E360))</f>
        <v/>
      </c>
      <c r="E360">
        <f>IFERROR(AGGREGATE(15,6,ROW('Input Transaksi'!$B$5:$B$5000)/('Input Transaksi'!$B$5:$B$5000="GRIYA ANYAR"),ROWS($E$5:E360)),"")</f>
        <v/>
      </c>
      <c r="F360" s="5" t="n"/>
    </row>
    <row r="361">
      <c r="A361" s="10">
        <f>IF($E361="","",INDEX('Input Transaksi'!$A:$A,$E361))</f>
        <v/>
      </c>
      <c r="B361" s="5">
        <f>IF($E361="","",INDEX('Input Transaksi'!$D:$D,$E361))</f>
        <v/>
      </c>
      <c r="C361">
        <f>IF($E361="","",INDEX('Input Transaksi'!$E:$E,$E361))</f>
        <v/>
      </c>
      <c r="D361" s="5">
        <f>IF($E361="","",INDEX('Input Transaksi'!$F:$F,$E361))</f>
        <v/>
      </c>
      <c r="E361">
        <f>IFERROR(AGGREGATE(15,6,ROW('Input Transaksi'!$B$5:$B$5000)/('Input Transaksi'!$B$5:$B$5000="GRIYA ANYAR"),ROWS($E$5:E361)),"")</f>
        <v/>
      </c>
      <c r="F361" s="5" t="n"/>
    </row>
    <row r="362">
      <c r="A362" s="10">
        <f>IF($E362="","",INDEX('Input Transaksi'!$A:$A,$E362))</f>
        <v/>
      </c>
      <c r="B362" s="5">
        <f>IF($E362="","",INDEX('Input Transaksi'!$D:$D,$E362))</f>
        <v/>
      </c>
      <c r="C362">
        <f>IF($E362="","",INDEX('Input Transaksi'!$E:$E,$E362))</f>
        <v/>
      </c>
      <c r="D362" s="5">
        <f>IF($E362="","",INDEX('Input Transaksi'!$F:$F,$E362))</f>
        <v/>
      </c>
      <c r="E362">
        <f>IFERROR(AGGREGATE(15,6,ROW('Input Transaksi'!$B$5:$B$5000)/('Input Transaksi'!$B$5:$B$5000="GRIYA ANYAR"),ROWS($E$5:E362)),"")</f>
        <v/>
      </c>
      <c r="F362" s="5" t="n"/>
    </row>
    <row r="363">
      <c r="A363" s="10">
        <f>IF($E363="","",INDEX('Input Transaksi'!$A:$A,$E363))</f>
        <v/>
      </c>
      <c r="B363" s="5">
        <f>IF($E363="","",INDEX('Input Transaksi'!$D:$D,$E363))</f>
        <v/>
      </c>
      <c r="C363">
        <f>IF($E363="","",INDEX('Input Transaksi'!$E:$E,$E363))</f>
        <v/>
      </c>
      <c r="D363" s="5">
        <f>IF($E363="","",INDEX('Input Transaksi'!$F:$F,$E363))</f>
        <v/>
      </c>
      <c r="E363">
        <f>IFERROR(AGGREGATE(15,6,ROW('Input Transaksi'!$B$5:$B$5000)/('Input Transaksi'!$B$5:$B$5000="GRIYA ANYAR"),ROWS($E$5:E363)),"")</f>
        <v/>
      </c>
      <c r="F363" s="5" t="n"/>
    </row>
    <row r="364">
      <c r="A364" s="10">
        <f>IF($E364="","",INDEX('Input Transaksi'!$A:$A,$E364))</f>
        <v/>
      </c>
      <c r="B364" s="5">
        <f>IF($E364="","",INDEX('Input Transaksi'!$D:$D,$E364))</f>
        <v/>
      </c>
      <c r="C364">
        <f>IF($E364="","",INDEX('Input Transaksi'!$E:$E,$E364))</f>
        <v/>
      </c>
      <c r="D364" s="5">
        <f>IF($E364="","",INDEX('Input Transaksi'!$F:$F,$E364))</f>
        <v/>
      </c>
      <c r="E364">
        <f>IFERROR(AGGREGATE(15,6,ROW('Input Transaksi'!$B$5:$B$5000)/('Input Transaksi'!$B$5:$B$5000="GRIYA ANYAR"),ROWS($E$5:E364)),"")</f>
        <v/>
      </c>
      <c r="F364" s="5" t="n"/>
    </row>
    <row r="365">
      <c r="A365" s="10">
        <f>IF($E365="","",INDEX('Input Transaksi'!$A:$A,$E365))</f>
        <v/>
      </c>
      <c r="B365" s="5">
        <f>IF($E365="","",INDEX('Input Transaksi'!$D:$D,$E365))</f>
        <v/>
      </c>
      <c r="C365">
        <f>IF($E365="","",INDEX('Input Transaksi'!$E:$E,$E365))</f>
        <v/>
      </c>
      <c r="D365" s="5">
        <f>IF($E365="","",INDEX('Input Transaksi'!$F:$F,$E365))</f>
        <v/>
      </c>
      <c r="E365">
        <f>IFERROR(AGGREGATE(15,6,ROW('Input Transaksi'!$B$5:$B$5000)/('Input Transaksi'!$B$5:$B$5000="GRIYA ANYAR"),ROWS($E$5:E365)),"")</f>
        <v/>
      </c>
      <c r="F365" s="5" t="n"/>
    </row>
    <row r="366">
      <c r="A366" s="10">
        <f>IF($E366="","",INDEX('Input Transaksi'!$A:$A,$E366))</f>
        <v/>
      </c>
      <c r="B366" s="5">
        <f>IF($E366="","",INDEX('Input Transaksi'!$D:$D,$E366))</f>
        <v/>
      </c>
      <c r="C366">
        <f>IF($E366="","",INDEX('Input Transaksi'!$E:$E,$E366))</f>
        <v/>
      </c>
      <c r="D366" s="5">
        <f>IF($E366="","",INDEX('Input Transaksi'!$F:$F,$E366))</f>
        <v/>
      </c>
      <c r="E366">
        <f>IFERROR(AGGREGATE(15,6,ROW('Input Transaksi'!$B$5:$B$5000)/('Input Transaksi'!$B$5:$B$5000="GRIYA ANYAR"),ROWS($E$5:E366)),"")</f>
        <v/>
      </c>
      <c r="F366" s="5" t="n"/>
    </row>
    <row r="367">
      <c r="A367" s="10">
        <f>IF($E367="","",INDEX('Input Transaksi'!$A:$A,$E367))</f>
        <v/>
      </c>
      <c r="B367" s="5">
        <f>IF($E367="","",INDEX('Input Transaksi'!$D:$D,$E367))</f>
        <v/>
      </c>
      <c r="C367">
        <f>IF($E367="","",INDEX('Input Transaksi'!$E:$E,$E367))</f>
        <v/>
      </c>
      <c r="D367" s="5">
        <f>IF($E367="","",INDEX('Input Transaksi'!$F:$F,$E367))</f>
        <v/>
      </c>
      <c r="E367">
        <f>IFERROR(AGGREGATE(15,6,ROW('Input Transaksi'!$B$5:$B$5000)/('Input Transaksi'!$B$5:$B$5000="GRIYA ANYAR"),ROWS($E$5:E367)),"")</f>
        <v/>
      </c>
      <c r="F367" s="5" t="n"/>
    </row>
    <row r="368">
      <c r="A368" s="10">
        <f>IF($E368="","",INDEX('Input Transaksi'!$A:$A,$E368))</f>
        <v/>
      </c>
      <c r="B368" s="5">
        <f>IF($E368="","",INDEX('Input Transaksi'!$D:$D,$E368))</f>
        <v/>
      </c>
      <c r="C368">
        <f>IF($E368="","",INDEX('Input Transaksi'!$E:$E,$E368))</f>
        <v/>
      </c>
      <c r="D368" s="5">
        <f>IF($E368="","",INDEX('Input Transaksi'!$F:$F,$E368))</f>
        <v/>
      </c>
      <c r="E368">
        <f>IFERROR(AGGREGATE(15,6,ROW('Input Transaksi'!$B$5:$B$5000)/('Input Transaksi'!$B$5:$B$5000="GRIYA ANYAR"),ROWS($E$5:E368)),"")</f>
        <v/>
      </c>
      <c r="F368" s="5" t="n"/>
    </row>
    <row r="369">
      <c r="A369" s="10">
        <f>IF($E369="","",INDEX('Input Transaksi'!$A:$A,$E369))</f>
        <v/>
      </c>
      <c r="B369" s="5">
        <f>IF($E369="","",INDEX('Input Transaksi'!$D:$D,$E369))</f>
        <v/>
      </c>
      <c r="C369">
        <f>IF($E369="","",INDEX('Input Transaksi'!$E:$E,$E369))</f>
        <v/>
      </c>
      <c r="D369" s="5">
        <f>IF($E369="","",INDEX('Input Transaksi'!$F:$F,$E369))</f>
        <v/>
      </c>
      <c r="E369">
        <f>IFERROR(AGGREGATE(15,6,ROW('Input Transaksi'!$B$5:$B$5000)/('Input Transaksi'!$B$5:$B$5000="GRIYA ANYAR"),ROWS($E$5:E369)),"")</f>
        <v/>
      </c>
      <c r="F369" s="5" t="n"/>
    </row>
    <row r="370">
      <c r="A370" s="10">
        <f>IF($E370="","",INDEX('Input Transaksi'!$A:$A,$E370))</f>
        <v/>
      </c>
      <c r="B370" s="5">
        <f>IF($E370="","",INDEX('Input Transaksi'!$D:$D,$E370))</f>
        <v/>
      </c>
      <c r="C370">
        <f>IF($E370="","",INDEX('Input Transaksi'!$E:$E,$E370))</f>
        <v/>
      </c>
      <c r="D370" s="5">
        <f>IF($E370="","",INDEX('Input Transaksi'!$F:$F,$E370))</f>
        <v/>
      </c>
      <c r="E370">
        <f>IFERROR(AGGREGATE(15,6,ROW('Input Transaksi'!$B$5:$B$5000)/('Input Transaksi'!$B$5:$B$5000="GRIYA ANYAR"),ROWS($E$5:E370)),"")</f>
        <v/>
      </c>
      <c r="F370" s="5" t="n"/>
    </row>
    <row r="371">
      <c r="A371" s="10">
        <f>IF($E371="","",INDEX('Input Transaksi'!$A:$A,$E371))</f>
        <v/>
      </c>
      <c r="B371" s="5">
        <f>IF($E371="","",INDEX('Input Transaksi'!$D:$D,$E371))</f>
        <v/>
      </c>
      <c r="C371">
        <f>IF($E371="","",INDEX('Input Transaksi'!$E:$E,$E371))</f>
        <v/>
      </c>
      <c r="D371" s="5">
        <f>IF($E371="","",INDEX('Input Transaksi'!$F:$F,$E371))</f>
        <v/>
      </c>
      <c r="E371">
        <f>IFERROR(AGGREGATE(15,6,ROW('Input Transaksi'!$B$5:$B$5000)/('Input Transaksi'!$B$5:$B$5000="GRIYA ANYAR"),ROWS($E$5:E371)),"")</f>
        <v/>
      </c>
      <c r="F371" s="5" t="n"/>
    </row>
    <row r="372">
      <c r="A372" s="10">
        <f>IF($E372="","",INDEX('Input Transaksi'!$A:$A,$E372))</f>
        <v/>
      </c>
      <c r="B372" s="5">
        <f>IF($E372="","",INDEX('Input Transaksi'!$D:$D,$E372))</f>
        <v/>
      </c>
      <c r="C372">
        <f>IF($E372="","",INDEX('Input Transaksi'!$E:$E,$E372))</f>
        <v/>
      </c>
      <c r="D372" s="5">
        <f>IF($E372="","",INDEX('Input Transaksi'!$F:$F,$E372))</f>
        <v/>
      </c>
      <c r="E372">
        <f>IFERROR(AGGREGATE(15,6,ROW('Input Transaksi'!$B$5:$B$5000)/('Input Transaksi'!$B$5:$B$5000="GRIYA ANYAR"),ROWS($E$5:E372)),"")</f>
        <v/>
      </c>
      <c r="F372" s="5" t="n"/>
    </row>
    <row r="373">
      <c r="A373" s="10">
        <f>IF($E373="","",INDEX('Input Transaksi'!$A:$A,$E373))</f>
        <v/>
      </c>
      <c r="B373" s="5">
        <f>IF($E373="","",INDEX('Input Transaksi'!$D:$D,$E373))</f>
        <v/>
      </c>
      <c r="C373">
        <f>IF($E373="","",INDEX('Input Transaksi'!$E:$E,$E373))</f>
        <v/>
      </c>
      <c r="D373" s="5">
        <f>IF($E373="","",INDEX('Input Transaksi'!$F:$F,$E373))</f>
        <v/>
      </c>
      <c r="E373">
        <f>IFERROR(AGGREGATE(15,6,ROW('Input Transaksi'!$B$5:$B$5000)/('Input Transaksi'!$B$5:$B$5000="GRIYA ANYAR"),ROWS($E$5:E373)),"")</f>
        <v/>
      </c>
      <c r="F373" s="5" t="n"/>
    </row>
    <row r="374">
      <c r="A374" s="10">
        <f>IF($E374="","",INDEX('Input Transaksi'!$A:$A,$E374))</f>
        <v/>
      </c>
      <c r="B374" s="5">
        <f>IF($E374="","",INDEX('Input Transaksi'!$D:$D,$E374))</f>
        <v/>
      </c>
      <c r="C374">
        <f>IF($E374="","",INDEX('Input Transaksi'!$E:$E,$E374))</f>
        <v/>
      </c>
      <c r="D374" s="5">
        <f>IF($E374="","",INDEX('Input Transaksi'!$F:$F,$E374))</f>
        <v/>
      </c>
      <c r="E374">
        <f>IFERROR(AGGREGATE(15,6,ROW('Input Transaksi'!$B$5:$B$5000)/('Input Transaksi'!$B$5:$B$5000="GRIYA ANYAR"),ROWS($E$5:E374)),"")</f>
        <v/>
      </c>
      <c r="F374" s="5" t="n"/>
    </row>
    <row r="375">
      <c r="A375" s="10">
        <f>IF($E375="","",INDEX('Input Transaksi'!$A:$A,$E375))</f>
        <v/>
      </c>
      <c r="B375" s="5">
        <f>IF($E375="","",INDEX('Input Transaksi'!$D:$D,$E375))</f>
        <v/>
      </c>
      <c r="C375">
        <f>IF($E375="","",INDEX('Input Transaksi'!$E:$E,$E375))</f>
        <v/>
      </c>
      <c r="D375" s="5">
        <f>IF($E375="","",INDEX('Input Transaksi'!$F:$F,$E375))</f>
        <v/>
      </c>
      <c r="E375">
        <f>IFERROR(AGGREGATE(15,6,ROW('Input Transaksi'!$B$5:$B$5000)/('Input Transaksi'!$B$5:$B$5000="GRIYA ANYAR"),ROWS($E$5:E375)),"")</f>
        <v/>
      </c>
      <c r="F375" s="5" t="n"/>
    </row>
    <row r="376">
      <c r="A376" s="10">
        <f>IF($E376="","",INDEX('Input Transaksi'!$A:$A,$E376))</f>
        <v/>
      </c>
      <c r="B376" s="5">
        <f>IF($E376="","",INDEX('Input Transaksi'!$D:$D,$E376))</f>
        <v/>
      </c>
      <c r="C376">
        <f>IF($E376="","",INDEX('Input Transaksi'!$E:$E,$E376))</f>
        <v/>
      </c>
      <c r="D376" s="5">
        <f>IF($E376="","",INDEX('Input Transaksi'!$F:$F,$E376))</f>
        <v/>
      </c>
      <c r="E376">
        <f>IFERROR(AGGREGATE(15,6,ROW('Input Transaksi'!$B$5:$B$5000)/('Input Transaksi'!$B$5:$B$5000="GRIYA ANYAR"),ROWS($E$5:E376)),"")</f>
        <v/>
      </c>
      <c r="F376" s="5" t="n"/>
    </row>
    <row r="377">
      <c r="A377" s="10">
        <f>IF($E377="","",INDEX('Input Transaksi'!$A:$A,$E377))</f>
        <v/>
      </c>
      <c r="B377" s="5">
        <f>IF($E377="","",INDEX('Input Transaksi'!$D:$D,$E377))</f>
        <v/>
      </c>
      <c r="C377">
        <f>IF($E377="","",INDEX('Input Transaksi'!$E:$E,$E377))</f>
        <v/>
      </c>
      <c r="D377" s="5">
        <f>IF($E377="","",INDEX('Input Transaksi'!$F:$F,$E377))</f>
        <v/>
      </c>
      <c r="E377">
        <f>IFERROR(AGGREGATE(15,6,ROW('Input Transaksi'!$B$5:$B$5000)/('Input Transaksi'!$B$5:$B$5000="GRIYA ANYAR"),ROWS($E$5:E377)),"")</f>
        <v/>
      </c>
      <c r="F377" s="5" t="n"/>
    </row>
    <row r="378">
      <c r="A378" s="10">
        <f>IF($E378="","",INDEX('Input Transaksi'!$A:$A,$E378))</f>
        <v/>
      </c>
      <c r="B378" s="5">
        <f>IF($E378="","",INDEX('Input Transaksi'!$D:$D,$E378))</f>
        <v/>
      </c>
      <c r="C378">
        <f>IF($E378="","",INDEX('Input Transaksi'!$E:$E,$E378))</f>
        <v/>
      </c>
      <c r="D378" s="5">
        <f>IF($E378="","",INDEX('Input Transaksi'!$F:$F,$E378))</f>
        <v/>
      </c>
      <c r="E378">
        <f>IFERROR(AGGREGATE(15,6,ROW('Input Transaksi'!$B$5:$B$5000)/('Input Transaksi'!$B$5:$B$5000="GRIYA ANYAR"),ROWS($E$5:E378)),"")</f>
        <v/>
      </c>
      <c r="F378" s="5" t="n"/>
    </row>
    <row r="379">
      <c r="A379" s="10">
        <f>IF($E379="","",INDEX('Input Transaksi'!$A:$A,$E379))</f>
        <v/>
      </c>
      <c r="B379" s="5">
        <f>IF($E379="","",INDEX('Input Transaksi'!$D:$D,$E379))</f>
        <v/>
      </c>
      <c r="C379">
        <f>IF($E379="","",INDEX('Input Transaksi'!$E:$E,$E379))</f>
        <v/>
      </c>
      <c r="D379" s="5">
        <f>IF($E379="","",INDEX('Input Transaksi'!$F:$F,$E379))</f>
        <v/>
      </c>
      <c r="E379">
        <f>IFERROR(AGGREGATE(15,6,ROW('Input Transaksi'!$B$5:$B$5000)/('Input Transaksi'!$B$5:$B$5000="GRIYA ANYAR"),ROWS($E$5:E379)),"")</f>
        <v/>
      </c>
      <c r="F379" s="5" t="n"/>
    </row>
    <row r="380">
      <c r="A380" s="10">
        <f>IF($E380="","",INDEX('Input Transaksi'!$A:$A,$E380))</f>
        <v/>
      </c>
      <c r="B380" s="5">
        <f>IF($E380="","",INDEX('Input Transaksi'!$D:$D,$E380))</f>
        <v/>
      </c>
      <c r="C380">
        <f>IF($E380="","",INDEX('Input Transaksi'!$E:$E,$E380))</f>
        <v/>
      </c>
      <c r="D380" s="5">
        <f>IF($E380="","",INDEX('Input Transaksi'!$F:$F,$E380))</f>
        <v/>
      </c>
      <c r="E380">
        <f>IFERROR(AGGREGATE(15,6,ROW('Input Transaksi'!$B$5:$B$5000)/('Input Transaksi'!$B$5:$B$5000="GRIYA ANYAR"),ROWS($E$5:E380)),"")</f>
        <v/>
      </c>
      <c r="F380" s="5" t="n"/>
    </row>
    <row r="381">
      <c r="A381" s="10">
        <f>IF($E381="","",INDEX('Input Transaksi'!$A:$A,$E381))</f>
        <v/>
      </c>
      <c r="B381" s="5">
        <f>IF($E381="","",INDEX('Input Transaksi'!$D:$D,$E381))</f>
        <v/>
      </c>
      <c r="C381">
        <f>IF($E381="","",INDEX('Input Transaksi'!$E:$E,$E381))</f>
        <v/>
      </c>
      <c r="D381" s="5">
        <f>IF($E381="","",INDEX('Input Transaksi'!$F:$F,$E381))</f>
        <v/>
      </c>
      <c r="E381">
        <f>IFERROR(AGGREGATE(15,6,ROW('Input Transaksi'!$B$5:$B$5000)/('Input Transaksi'!$B$5:$B$5000="GRIYA ANYAR"),ROWS($E$5:E381)),"")</f>
        <v/>
      </c>
      <c r="F381" s="5" t="n"/>
    </row>
    <row r="382">
      <c r="A382" s="10">
        <f>IF($E382="","",INDEX('Input Transaksi'!$A:$A,$E382))</f>
        <v/>
      </c>
      <c r="B382" s="5">
        <f>IF($E382="","",INDEX('Input Transaksi'!$D:$D,$E382))</f>
        <v/>
      </c>
      <c r="C382">
        <f>IF($E382="","",INDEX('Input Transaksi'!$E:$E,$E382))</f>
        <v/>
      </c>
      <c r="D382" s="5">
        <f>IF($E382="","",INDEX('Input Transaksi'!$F:$F,$E382))</f>
        <v/>
      </c>
      <c r="E382">
        <f>IFERROR(AGGREGATE(15,6,ROW('Input Transaksi'!$B$5:$B$5000)/('Input Transaksi'!$B$5:$B$5000="GRIYA ANYAR"),ROWS($E$5:E382)),"")</f>
        <v/>
      </c>
      <c r="F382" s="5" t="n"/>
    </row>
    <row r="383">
      <c r="A383" s="10">
        <f>IF($E383="","",INDEX('Input Transaksi'!$A:$A,$E383))</f>
        <v/>
      </c>
      <c r="B383" s="5">
        <f>IF($E383="","",INDEX('Input Transaksi'!$D:$D,$E383))</f>
        <v/>
      </c>
      <c r="C383">
        <f>IF($E383="","",INDEX('Input Transaksi'!$E:$E,$E383))</f>
        <v/>
      </c>
      <c r="D383" s="5">
        <f>IF($E383="","",INDEX('Input Transaksi'!$F:$F,$E383))</f>
        <v/>
      </c>
      <c r="E383">
        <f>IFERROR(AGGREGATE(15,6,ROW('Input Transaksi'!$B$5:$B$5000)/('Input Transaksi'!$B$5:$B$5000="GRIYA ANYAR"),ROWS($E$5:E383)),"")</f>
        <v/>
      </c>
      <c r="F383" s="5" t="n"/>
    </row>
    <row r="384">
      <c r="A384" s="10">
        <f>IF($E384="","",INDEX('Input Transaksi'!$A:$A,$E384))</f>
        <v/>
      </c>
      <c r="B384" s="5">
        <f>IF($E384="","",INDEX('Input Transaksi'!$D:$D,$E384))</f>
        <v/>
      </c>
      <c r="C384">
        <f>IF($E384="","",INDEX('Input Transaksi'!$E:$E,$E384))</f>
        <v/>
      </c>
      <c r="D384" s="5">
        <f>IF($E384="","",INDEX('Input Transaksi'!$F:$F,$E384))</f>
        <v/>
      </c>
      <c r="E384">
        <f>IFERROR(AGGREGATE(15,6,ROW('Input Transaksi'!$B$5:$B$5000)/('Input Transaksi'!$B$5:$B$5000="GRIYA ANYAR"),ROWS($E$5:E384)),"")</f>
        <v/>
      </c>
      <c r="F384" s="5" t="n"/>
    </row>
    <row r="385">
      <c r="A385" s="10">
        <f>IF($E385="","",INDEX('Input Transaksi'!$A:$A,$E385))</f>
        <v/>
      </c>
      <c r="B385" s="5">
        <f>IF($E385="","",INDEX('Input Transaksi'!$D:$D,$E385))</f>
        <v/>
      </c>
      <c r="C385">
        <f>IF($E385="","",INDEX('Input Transaksi'!$E:$E,$E385))</f>
        <v/>
      </c>
      <c r="D385" s="5">
        <f>IF($E385="","",INDEX('Input Transaksi'!$F:$F,$E385))</f>
        <v/>
      </c>
      <c r="E385">
        <f>IFERROR(AGGREGATE(15,6,ROW('Input Transaksi'!$B$5:$B$5000)/('Input Transaksi'!$B$5:$B$5000="GRIYA ANYAR"),ROWS($E$5:E385)),"")</f>
        <v/>
      </c>
      <c r="F385" s="5" t="n"/>
    </row>
    <row r="386">
      <c r="A386" s="10">
        <f>IF($E386="","",INDEX('Input Transaksi'!$A:$A,$E386))</f>
        <v/>
      </c>
      <c r="B386" s="5">
        <f>IF($E386="","",INDEX('Input Transaksi'!$D:$D,$E386))</f>
        <v/>
      </c>
      <c r="C386">
        <f>IF($E386="","",INDEX('Input Transaksi'!$E:$E,$E386))</f>
        <v/>
      </c>
      <c r="D386" s="5">
        <f>IF($E386="","",INDEX('Input Transaksi'!$F:$F,$E386))</f>
        <v/>
      </c>
      <c r="E386">
        <f>IFERROR(AGGREGATE(15,6,ROW('Input Transaksi'!$B$5:$B$5000)/('Input Transaksi'!$B$5:$B$5000="GRIYA ANYAR"),ROWS($E$5:E386)),"")</f>
        <v/>
      </c>
      <c r="F386" s="5" t="n"/>
    </row>
    <row r="387">
      <c r="A387" s="10">
        <f>IF($E387="","",INDEX('Input Transaksi'!$A:$A,$E387))</f>
        <v/>
      </c>
      <c r="B387" s="5">
        <f>IF($E387="","",INDEX('Input Transaksi'!$D:$D,$E387))</f>
        <v/>
      </c>
      <c r="C387">
        <f>IF($E387="","",INDEX('Input Transaksi'!$E:$E,$E387))</f>
        <v/>
      </c>
      <c r="D387" s="5">
        <f>IF($E387="","",INDEX('Input Transaksi'!$F:$F,$E387))</f>
        <v/>
      </c>
      <c r="E387">
        <f>IFERROR(AGGREGATE(15,6,ROW('Input Transaksi'!$B$5:$B$5000)/('Input Transaksi'!$B$5:$B$5000="GRIYA ANYAR"),ROWS($E$5:E387)),"")</f>
        <v/>
      </c>
      <c r="F387" s="5" t="n"/>
    </row>
    <row r="388">
      <c r="A388" s="10">
        <f>IF($E388="","",INDEX('Input Transaksi'!$A:$A,$E388))</f>
        <v/>
      </c>
      <c r="B388" s="5">
        <f>IF($E388="","",INDEX('Input Transaksi'!$D:$D,$E388))</f>
        <v/>
      </c>
      <c r="C388">
        <f>IF($E388="","",INDEX('Input Transaksi'!$E:$E,$E388))</f>
        <v/>
      </c>
      <c r="D388" s="5">
        <f>IF($E388="","",INDEX('Input Transaksi'!$F:$F,$E388))</f>
        <v/>
      </c>
      <c r="E388">
        <f>IFERROR(AGGREGATE(15,6,ROW('Input Transaksi'!$B$5:$B$5000)/('Input Transaksi'!$B$5:$B$5000="GRIYA ANYAR"),ROWS($E$5:E388)),"")</f>
        <v/>
      </c>
      <c r="F388" s="5" t="n"/>
    </row>
    <row r="389">
      <c r="A389" s="10">
        <f>IF($E389="","",INDEX('Input Transaksi'!$A:$A,$E389))</f>
        <v/>
      </c>
      <c r="B389" s="5">
        <f>IF($E389="","",INDEX('Input Transaksi'!$D:$D,$E389))</f>
        <v/>
      </c>
      <c r="C389">
        <f>IF($E389="","",INDEX('Input Transaksi'!$E:$E,$E389))</f>
        <v/>
      </c>
      <c r="D389" s="5">
        <f>IF($E389="","",INDEX('Input Transaksi'!$F:$F,$E389))</f>
        <v/>
      </c>
      <c r="E389">
        <f>IFERROR(AGGREGATE(15,6,ROW('Input Transaksi'!$B$5:$B$5000)/('Input Transaksi'!$B$5:$B$5000="GRIYA ANYAR"),ROWS($E$5:E389)),"")</f>
        <v/>
      </c>
      <c r="F389" s="5" t="n"/>
    </row>
    <row r="390">
      <c r="A390" s="10">
        <f>IF($E390="","",INDEX('Input Transaksi'!$A:$A,$E390))</f>
        <v/>
      </c>
      <c r="B390" s="5">
        <f>IF($E390="","",INDEX('Input Transaksi'!$D:$D,$E390))</f>
        <v/>
      </c>
      <c r="C390">
        <f>IF($E390="","",INDEX('Input Transaksi'!$E:$E,$E390))</f>
        <v/>
      </c>
      <c r="D390" s="5">
        <f>IF($E390="","",INDEX('Input Transaksi'!$F:$F,$E390))</f>
        <v/>
      </c>
      <c r="E390">
        <f>IFERROR(AGGREGATE(15,6,ROW('Input Transaksi'!$B$5:$B$5000)/('Input Transaksi'!$B$5:$B$5000="GRIYA ANYAR"),ROWS($E$5:E390)),"")</f>
        <v/>
      </c>
      <c r="F390" s="5" t="n"/>
    </row>
    <row r="391">
      <c r="A391" s="10">
        <f>IF($E391="","",INDEX('Input Transaksi'!$A:$A,$E391))</f>
        <v/>
      </c>
      <c r="B391" s="5">
        <f>IF($E391="","",INDEX('Input Transaksi'!$D:$D,$E391))</f>
        <v/>
      </c>
      <c r="C391">
        <f>IF($E391="","",INDEX('Input Transaksi'!$E:$E,$E391))</f>
        <v/>
      </c>
      <c r="D391" s="5">
        <f>IF($E391="","",INDEX('Input Transaksi'!$F:$F,$E391))</f>
        <v/>
      </c>
      <c r="E391">
        <f>IFERROR(AGGREGATE(15,6,ROW('Input Transaksi'!$B$5:$B$5000)/('Input Transaksi'!$B$5:$B$5000="GRIYA ANYAR"),ROWS($E$5:E391)),"")</f>
        <v/>
      </c>
      <c r="F391" s="5" t="n"/>
    </row>
    <row r="392">
      <c r="A392" s="10">
        <f>IF($E392="","",INDEX('Input Transaksi'!$A:$A,$E392))</f>
        <v/>
      </c>
      <c r="B392" s="5">
        <f>IF($E392="","",INDEX('Input Transaksi'!$D:$D,$E392))</f>
        <v/>
      </c>
      <c r="C392">
        <f>IF($E392="","",INDEX('Input Transaksi'!$E:$E,$E392))</f>
        <v/>
      </c>
      <c r="D392" s="5">
        <f>IF($E392="","",INDEX('Input Transaksi'!$F:$F,$E392))</f>
        <v/>
      </c>
      <c r="E392">
        <f>IFERROR(AGGREGATE(15,6,ROW('Input Transaksi'!$B$5:$B$5000)/('Input Transaksi'!$B$5:$B$5000="GRIYA ANYAR"),ROWS($E$5:E392)),"")</f>
        <v/>
      </c>
      <c r="F392" s="5" t="n"/>
    </row>
    <row r="393">
      <c r="A393" s="10">
        <f>IF($E393="","",INDEX('Input Transaksi'!$A:$A,$E393))</f>
        <v/>
      </c>
      <c r="B393" s="5">
        <f>IF($E393="","",INDEX('Input Transaksi'!$D:$D,$E393))</f>
        <v/>
      </c>
      <c r="C393">
        <f>IF($E393="","",INDEX('Input Transaksi'!$E:$E,$E393))</f>
        <v/>
      </c>
      <c r="D393" s="5">
        <f>IF($E393="","",INDEX('Input Transaksi'!$F:$F,$E393))</f>
        <v/>
      </c>
      <c r="E393">
        <f>IFERROR(AGGREGATE(15,6,ROW('Input Transaksi'!$B$5:$B$5000)/('Input Transaksi'!$B$5:$B$5000="GRIYA ANYAR"),ROWS($E$5:E393)),"")</f>
        <v/>
      </c>
      <c r="F393" s="5" t="n"/>
    </row>
    <row r="394">
      <c r="A394" s="10">
        <f>IF($E394="","",INDEX('Input Transaksi'!$A:$A,$E394))</f>
        <v/>
      </c>
      <c r="B394" s="5">
        <f>IF($E394="","",INDEX('Input Transaksi'!$D:$D,$E394))</f>
        <v/>
      </c>
      <c r="C394">
        <f>IF($E394="","",INDEX('Input Transaksi'!$E:$E,$E394))</f>
        <v/>
      </c>
      <c r="D394" s="5">
        <f>IF($E394="","",INDEX('Input Transaksi'!$F:$F,$E394))</f>
        <v/>
      </c>
      <c r="E394">
        <f>IFERROR(AGGREGATE(15,6,ROW('Input Transaksi'!$B$5:$B$5000)/('Input Transaksi'!$B$5:$B$5000="GRIYA ANYAR"),ROWS($E$5:E394)),"")</f>
        <v/>
      </c>
      <c r="F394" s="5" t="n"/>
    </row>
    <row r="395">
      <c r="A395" s="10">
        <f>IF($E395="","",INDEX('Input Transaksi'!$A:$A,$E395))</f>
        <v/>
      </c>
      <c r="B395" s="5">
        <f>IF($E395="","",INDEX('Input Transaksi'!$D:$D,$E395))</f>
        <v/>
      </c>
      <c r="C395">
        <f>IF($E395="","",INDEX('Input Transaksi'!$E:$E,$E395))</f>
        <v/>
      </c>
      <c r="D395" s="5">
        <f>IF($E395="","",INDEX('Input Transaksi'!$F:$F,$E395))</f>
        <v/>
      </c>
      <c r="E395">
        <f>IFERROR(AGGREGATE(15,6,ROW('Input Transaksi'!$B$5:$B$5000)/('Input Transaksi'!$B$5:$B$5000="GRIYA ANYAR"),ROWS($E$5:E395)),"")</f>
        <v/>
      </c>
      <c r="F395" s="5" t="n"/>
    </row>
    <row r="396">
      <c r="A396" s="10">
        <f>IF($E396="","",INDEX('Input Transaksi'!$A:$A,$E396))</f>
        <v/>
      </c>
      <c r="B396" s="5">
        <f>IF($E396="","",INDEX('Input Transaksi'!$D:$D,$E396))</f>
        <v/>
      </c>
      <c r="C396">
        <f>IF($E396="","",INDEX('Input Transaksi'!$E:$E,$E396))</f>
        <v/>
      </c>
      <c r="D396" s="5">
        <f>IF($E396="","",INDEX('Input Transaksi'!$F:$F,$E396))</f>
        <v/>
      </c>
      <c r="E396">
        <f>IFERROR(AGGREGATE(15,6,ROW('Input Transaksi'!$B$5:$B$5000)/('Input Transaksi'!$B$5:$B$5000="GRIYA ANYAR"),ROWS($E$5:E396)),"")</f>
        <v/>
      </c>
      <c r="F396" s="5" t="n"/>
    </row>
    <row r="397">
      <c r="A397" s="10">
        <f>IF($E397="","",INDEX('Input Transaksi'!$A:$A,$E397))</f>
        <v/>
      </c>
      <c r="B397" s="5">
        <f>IF($E397="","",INDEX('Input Transaksi'!$D:$D,$E397))</f>
        <v/>
      </c>
      <c r="C397">
        <f>IF($E397="","",INDEX('Input Transaksi'!$E:$E,$E397))</f>
        <v/>
      </c>
      <c r="D397" s="5">
        <f>IF($E397="","",INDEX('Input Transaksi'!$F:$F,$E397))</f>
        <v/>
      </c>
      <c r="E397">
        <f>IFERROR(AGGREGATE(15,6,ROW('Input Transaksi'!$B$5:$B$5000)/('Input Transaksi'!$B$5:$B$5000="GRIYA ANYAR"),ROWS($E$5:E397)),"")</f>
        <v/>
      </c>
      <c r="F397" s="5" t="n"/>
    </row>
    <row r="398">
      <c r="A398" s="10">
        <f>IF($E398="","",INDEX('Input Transaksi'!$A:$A,$E398))</f>
        <v/>
      </c>
      <c r="B398" s="5">
        <f>IF($E398="","",INDEX('Input Transaksi'!$D:$D,$E398))</f>
        <v/>
      </c>
      <c r="C398">
        <f>IF($E398="","",INDEX('Input Transaksi'!$E:$E,$E398))</f>
        <v/>
      </c>
      <c r="D398" s="5">
        <f>IF($E398="","",INDEX('Input Transaksi'!$F:$F,$E398))</f>
        <v/>
      </c>
      <c r="E398">
        <f>IFERROR(AGGREGATE(15,6,ROW('Input Transaksi'!$B$5:$B$5000)/('Input Transaksi'!$B$5:$B$5000="GRIYA ANYAR"),ROWS($E$5:E398)),"")</f>
        <v/>
      </c>
      <c r="F398" s="5" t="n"/>
    </row>
    <row r="399">
      <c r="A399" s="10">
        <f>IF($E399="","",INDEX('Input Transaksi'!$A:$A,$E399))</f>
        <v/>
      </c>
      <c r="B399" s="5">
        <f>IF($E399="","",INDEX('Input Transaksi'!$D:$D,$E399))</f>
        <v/>
      </c>
      <c r="C399">
        <f>IF($E399="","",INDEX('Input Transaksi'!$E:$E,$E399))</f>
        <v/>
      </c>
      <c r="D399" s="5">
        <f>IF($E399="","",INDEX('Input Transaksi'!$F:$F,$E399))</f>
        <v/>
      </c>
      <c r="E399">
        <f>IFERROR(AGGREGATE(15,6,ROW('Input Transaksi'!$B$5:$B$5000)/('Input Transaksi'!$B$5:$B$5000="GRIYA ANYAR"),ROWS($E$5:E399)),"")</f>
        <v/>
      </c>
      <c r="F399" s="5" t="n"/>
    </row>
    <row r="400">
      <c r="A400" s="10">
        <f>IF($E400="","",INDEX('Input Transaksi'!$A:$A,$E400))</f>
        <v/>
      </c>
      <c r="B400" s="5">
        <f>IF($E400="","",INDEX('Input Transaksi'!$D:$D,$E400))</f>
        <v/>
      </c>
      <c r="C400">
        <f>IF($E400="","",INDEX('Input Transaksi'!$E:$E,$E400))</f>
        <v/>
      </c>
      <c r="D400" s="5">
        <f>IF($E400="","",INDEX('Input Transaksi'!$F:$F,$E400))</f>
        <v/>
      </c>
      <c r="E400">
        <f>IFERROR(AGGREGATE(15,6,ROW('Input Transaksi'!$B$5:$B$5000)/('Input Transaksi'!$B$5:$B$5000="GRIYA ANYAR"),ROWS($E$5:E400)),"")</f>
        <v/>
      </c>
      <c r="F400" s="5" t="n"/>
    </row>
    <row r="401">
      <c r="A401" s="10">
        <f>IF($E401="","",INDEX('Input Transaksi'!$A:$A,$E401))</f>
        <v/>
      </c>
      <c r="B401" s="5">
        <f>IF($E401="","",INDEX('Input Transaksi'!$D:$D,$E401))</f>
        <v/>
      </c>
      <c r="C401">
        <f>IF($E401="","",INDEX('Input Transaksi'!$E:$E,$E401))</f>
        <v/>
      </c>
      <c r="D401" s="5">
        <f>IF($E401="","",INDEX('Input Transaksi'!$F:$F,$E401))</f>
        <v/>
      </c>
      <c r="E401">
        <f>IFERROR(AGGREGATE(15,6,ROW('Input Transaksi'!$B$5:$B$5000)/('Input Transaksi'!$B$5:$B$5000="GRIYA ANYAR"),ROWS($E$5:E401)),"")</f>
        <v/>
      </c>
      <c r="F401" s="5" t="n"/>
    </row>
    <row r="402">
      <c r="A402" s="10">
        <f>IF($E402="","",INDEX('Input Transaksi'!$A:$A,$E402))</f>
        <v/>
      </c>
      <c r="B402" s="5">
        <f>IF($E402="","",INDEX('Input Transaksi'!$D:$D,$E402))</f>
        <v/>
      </c>
      <c r="C402">
        <f>IF($E402="","",INDEX('Input Transaksi'!$E:$E,$E402))</f>
        <v/>
      </c>
      <c r="D402" s="5">
        <f>IF($E402="","",INDEX('Input Transaksi'!$F:$F,$E402))</f>
        <v/>
      </c>
      <c r="E402">
        <f>IFERROR(AGGREGATE(15,6,ROW('Input Transaksi'!$B$5:$B$5000)/('Input Transaksi'!$B$5:$B$5000="GRIYA ANYAR"),ROWS($E$5:E402)),"")</f>
        <v/>
      </c>
      <c r="F402" s="5" t="n"/>
    </row>
    <row r="403">
      <c r="A403" s="10">
        <f>IF($E403="","",INDEX('Input Transaksi'!$A:$A,$E403))</f>
        <v/>
      </c>
      <c r="B403" s="5">
        <f>IF($E403="","",INDEX('Input Transaksi'!$D:$D,$E403))</f>
        <v/>
      </c>
      <c r="C403">
        <f>IF($E403="","",INDEX('Input Transaksi'!$E:$E,$E403))</f>
        <v/>
      </c>
      <c r="D403" s="5">
        <f>IF($E403="","",INDEX('Input Transaksi'!$F:$F,$E403))</f>
        <v/>
      </c>
      <c r="E403">
        <f>IFERROR(AGGREGATE(15,6,ROW('Input Transaksi'!$B$5:$B$5000)/('Input Transaksi'!$B$5:$B$5000="GRIYA ANYAR"),ROWS($E$5:E403)),"")</f>
        <v/>
      </c>
      <c r="F403" s="5" t="n"/>
    </row>
    <row r="404">
      <c r="A404" s="10">
        <f>IF($E404="","",INDEX('Input Transaksi'!$A:$A,$E404))</f>
        <v/>
      </c>
      <c r="B404" s="5">
        <f>IF($E404="","",INDEX('Input Transaksi'!$D:$D,$E404))</f>
        <v/>
      </c>
      <c r="C404">
        <f>IF($E404="","",INDEX('Input Transaksi'!$E:$E,$E404))</f>
        <v/>
      </c>
      <c r="D404" s="5">
        <f>IF($E404="","",INDEX('Input Transaksi'!$F:$F,$E404))</f>
        <v/>
      </c>
      <c r="E404">
        <f>IFERROR(AGGREGATE(15,6,ROW('Input Transaksi'!$B$5:$B$5000)/('Input Transaksi'!$B$5:$B$5000="GRIYA ANYAR"),ROWS($E$5:E404)),"")</f>
        <v/>
      </c>
      <c r="F404" s="5" t="n"/>
    </row>
    <row r="405">
      <c r="A405" s="10">
        <f>IF($E405="","",INDEX('Input Transaksi'!$A:$A,$E405))</f>
        <v/>
      </c>
      <c r="B405" s="5">
        <f>IF($E405="","",INDEX('Input Transaksi'!$D:$D,$E405))</f>
        <v/>
      </c>
      <c r="C405">
        <f>IF($E405="","",INDEX('Input Transaksi'!$E:$E,$E405))</f>
        <v/>
      </c>
      <c r="D405" s="5">
        <f>IF($E405="","",INDEX('Input Transaksi'!$F:$F,$E405))</f>
        <v/>
      </c>
      <c r="E405">
        <f>IFERROR(AGGREGATE(15,6,ROW('Input Transaksi'!$B$5:$B$5000)/('Input Transaksi'!$B$5:$B$5000="GRIYA ANYAR"),ROWS($E$5:E405)),"")</f>
        <v/>
      </c>
      <c r="F405" s="5" t="n"/>
    </row>
    <row r="406">
      <c r="A406" s="10">
        <f>IF($E406="","",INDEX('Input Transaksi'!$A:$A,$E406))</f>
        <v/>
      </c>
      <c r="B406" s="5">
        <f>IF($E406="","",INDEX('Input Transaksi'!$D:$D,$E406))</f>
        <v/>
      </c>
      <c r="C406">
        <f>IF($E406="","",INDEX('Input Transaksi'!$E:$E,$E406))</f>
        <v/>
      </c>
      <c r="D406" s="5">
        <f>IF($E406="","",INDEX('Input Transaksi'!$F:$F,$E406))</f>
        <v/>
      </c>
      <c r="E406">
        <f>IFERROR(AGGREGATE(15,6,ROW('Input Transaksi'!$B$5:$B$5000)/('Input Transaksi'!$B$5:$B$5000="GRIYA ANYAR"),ROWS($E$5:E406)),"")</f>
        <v/>
      </c>
      <c r="F406" s="5" t="n"/>
    </row>
    <row r="407">
      <c r="A407" s="10">
        <f>IF($E407="","",INDEX('Input Transaksi'!$A:$A,$E407))</f>
        <v/>
      </c>
      <c r="B407" s="5">
        <f>IF($E407="","",INDEX('Input Transaksi'!$D:$D,$E407))</f>
        <v/>
      </c>
      <c r="C407">
        <f>IF($E407="","",INDEX('Input Transaksi'!$E:$E,$E407))</f>
        <v/>
      </c>
      <c r="D407" s="5">
        <f>IF($E407="","",INDEX('Input Transaksi'!$F:$F,$E407))</f>
        <v/>
      </c>
      <c r="E407">
        <f>IFERROR(AGGREGATE(15,6,ROW('Input Transaksi'!$B$5:$B$5000)/('Input Transaksi'!$B$5:$B$5000="GRIYA ANYAR"),ROWS($E$5:E407)),"")</f>
        <v/>
      </c>
      <c r="F407" s="5" t="n"/>
    </row>
    <row r="408">
      <c r="A408" s="10">
        <f>IF($E408="","",INDEX('Input Transaksi'!$A:$A,$E408))</f>
        <v/>
      </c>
      <c r="B408" s="5">
        <f>IF($E408="","",INDEX('Input Transaksi'!$D:$D,$E408))</f>
        <v/>
      </c>
      <c r="C408">
        <f>IF($E408="","",INDEX('Input Transaksi'!$E:$E,$E408))</f>
        <v/>
      </c>
      <c r="D408" s="5">
        <f>IF($E408="","",INDEX('Input Transaksi'!$F:$F,$E408))</f>
        <v/>
      </c>
      <c r="E408">
        <f>IFERROR(AGGREGATE(15,6,ROW('Input Transaksi'!$B$5:$B$5000)/('Input Transaksi'!$B$5:$B$5000="GRIYA ANYAR"),ROWS($E$5:E408)),"")</f>
        <v/>
      </c>
      <c r="F408" s="5" t="n"/>
    </row>
    <row r="409">
      <c r="A409" s="10">
        <f>IF($E409="","",INDEX('Input Transaksi'!$A:$A,$E409))</f>
        <v/>
      </c>
      <c r="B409" s="5">
        <f>IF($E409="","",INDEX('Input Transaksi'!$D:$D,$E409))</f>
        <v/>
      </c>
      <c r="C409">
        <f>IF($E409="","",INDEX('Input Transaksi'!$E:$E,$E409))</f>
        <v/>
      </c>
      <c r="D409" s="5">
        <f>IF($E409="","",INDEX('Input Transaksi'!$F:$F,$E409))</f>
        <v/>
      </c>
      <c r="E409">
        <f>IFERROR(AGGREGATE(15,6,ROW('Input Transaksi'!$B$5:$B$5000)/('Input Transaksi'!$B$5:$B$5000="GRIYA ANYAR"),ROWS($E$5:E409)),"")</f>
        <v/>
      </c>
      <c r="F409" s="5" t="n"/>
    </row>
    <row r="410">
      <c r="A410" s="10">
        <f>IF($E410="","",INDEX('Input Transaksi'!$A:$A,$E410))</f>
        <v/>
      </c>
      <c r="B410" s="5">
        <f>IF($E410="","",INDEX('Input Transaksi'!$D:$D,$E410))</f>
        <v/>
      </c>
      <c r="C410">
        <f>IF($E410="","",INDEX('Input Transaksi'!$E:$E,$E410))</f>
        <v/>
      </c>
      <c r="D410" s="5">
        <f>IF($E410="","",INDEX('Input Transaksi'!$F:$F,$E410))</f>
        <v/>
      </c>
      <c r="E410">
        <f>IFERROR(AGGREGATE(15,6,ROW('Input Transaksi'!$B$5:$B$5000)/('Input Transaksi'!$B$5:$B$5000="GRIYA ANYAR"),ROWS($E$5:E410)),"")</f>
        <v/>
      </c>
      <c r="F410" s="5" t="n"/>
    </row>
    <row r="411">
      <c r="A411" s="10">
        <f>IF($E411="","",INDEX('Input Transaksi'!$A:$A,$E411))</f>
        <v/>
      </c>
      <c r="B411" s="5">
        <f>IF($E411="","",INDEX('Input Transaksi'!$D:$D,$E411))</f>
        <v/>
      </c>
      <c r="C411">
        <f>IF($E411="","",INDEX('Input Transaksi'!$E:$E,$E411))</f>
        <v/>
      </c>
      <c r="D411" s="5">
        <f>IF($E411="","",INDEX('Input Transaksi'!$F:$F,$E411))</f>
        <v/>
      </c>
      <c r="E411">
        <f>IFERROR(AGGREGATE(15,6,ROW('Input Transaksi'!$B$5:$B$5000)/('Input Transaksi'!$B$5:$B$5000="GRIYA ANYAR"),ROWS($E$5:E411)),"")</f>
        <v/>
      </c>
      <c r="F411" s="5" t="n"/>
    </row>
    <row r="412">
      <c r="A412" s="10">
        <f>IF($E412="","",INDEX('Input Transaksi'!$A:$A,$E412))</f>
        <v/>
      </c>
      <c r="B412" s="5">
        <f>IF($E412="","",INDEX('Input Transaksi'!$D:$D,$E412))</f>
        <v/>
      </c>
      <c r="C412">
        <f>IF($E412="","",INDEX('Input Transaksi'!$E:$E,$E412))</f>
        <v/>
      </c>
      <c r="D412" s="5">
        <f>IF($E412="","",INDEX('Input Transaksi'!$F:$F,$E412))</f>
        <v/>
      </c>
      <c r="E412">
        <f>IFERROR(AGGREGATE(15,6,ROW('Input Transaksi'!$B$5:$B$5000)/('Input Transaksi'!$B$5:$B$5000="GRIYA ANYAR"),ROWS($E$5:E412)),"")</f>
        <v/>
      </c>
      <c r="F412" s="5" t="n"/>
    </row>
    <row r="413">
      <c r="A413" s="10">
        <f>IF($E413="","",INDEX('Input Transaksi'!$A:$A,$E413))</f>
        <v/>
      </c>
      <c r="B413" s="5">
        <f>IF($E413="","",INDEX('Input Transaksi'!$D:$D,$E413))</f>
        <v/>
      </c>
      <c r="C413">
        <f>IF($E413="","",INDEX('Input Transaksi'!$E:$E,$E413))</f>
        <v/>
      </c>
      <c r="D413" s="5">
        <f>IF($E413="","",INDEX('Input Transaksi'!$F:$F,$E413))</f>
        <v/>
      </c>
      <c r="E413">
        <f>IFERROR(AGGREGATE(15,6,ROW('Input Transaksi'!$B$5:$B$5000)/('Input Transaksi'!$B$5:$B$5000="GRIYA ANYAR"),ROWS($E$5:E413)),"")</f>
        <v/>
      </c>
      <c r="F413" s="5" t="n"/>
    </row>
    <row r="414">
      <c r="A414" s="10">
        <f>IF($E414="","",INDEX('Input Transaksi'!$A:$A,$E414))</f>
        <v/>
      </c>
      <c r="B414" s="5">
        <f>IF($E414="","",INDEX('Input Transaksi'!$D:$D,$E414))</f>
        <v/>
      </c>
      <c r="C414">
        <f>IF($E414="","",INDEX('Input Transaksi'!$E:$E,$E414))</f>
        <v/>
      </c>
      <c r="D414" s="5">
        <f>IF($E414="","",INDEX('Input Transaksi'!$F:$F,$E414))</f>
        <v/>
      </c>
      <c r="E414">
        <f>IFERROR(AGGREGATE(15,6,ROW('Input Transaksi'!$B$5:$B$5000)/('Input Transaksi'!$B$5:$B$5000="GRIYA ANYAR"),ROWS($E$5:E414)),"")</f>
        <v/>
      </c>
      <c r="F414" s="5" t="n"/>
    </row>
    <row r="415">
      <c r="A415" s="10">
        <f>IF($E415="","",INDEX('Input Transaksi'!$A:$A,$E415))</f>
        <v/>
      </c>
      <c r="B415" s="5">
        <f>IF($E415="","",INDEX('Input Transaksi'!$D:$D,$E415))</f>
        <v/>
      </c>
      <c r="C415">
        <f>IF($E415="","",INDEX('Input Transaksi'!$E:$E,$E415))</f>
        <v/>
      </c>
      <c r="D415" s="5">
        <f>IF($E415="","",INDEX('Input Transaksi'!$F:$F,$E415))</f>
        <v/>
      </c>
      <c r="E415">
        <f>IFERROR(AGGREGATE(15,6,ROW('Input Transaksi'!$B$5:$B$5000)/('Input Transaksi'!$B$5:$B$5000="GRIYA ANYAR"),ROWS($E$5:E415)),"")</f>
        <v/>
      </c>
      <c r="F415" s="5" t="n"/>
    </row>
    <row r="416">
      <c r="A416" s="10">
        <f>IF($E416="","",INDEX('Input Transaksi'!$A:$A,$E416))</f>
        <v/>
      </c>
      <c r="B416" s="5">
        <f>IF($E416="","",INDEX('Input Transaksi'!$D:$D,$E416))</f>
        <v/>
      </c>
      <c r="C416">
        <f>IF($E416="","",INDEX('Input Transaksi'!$E:$E,$E416))</f>
        <v/>
      </c>
      <c r="D416" s="5">
        <f>IF($E416="","",INDEX('Input Transaksi'!$F:$F,$E416))</f>
        <v/>
      </c>
      <c r="E416">
        <f>IFERROR(AGGREGATE(15,6,ROW('Input Transaksi'!$B$5:$B$5000)/('Input Transaksi'!$B$5:$B$5000="GRIYA ANYAR"),ROWS($E$5:E416)),"")</f>
        <v/>
      </c>
      <c r="F416" s="5" t="n"/>
    </row>
    <row r="417">
      <c r="A417" s="10">
        <f>IF($E417="","",INDEX('Input Transaksi'!$A:$A,$E417))</f>
        <v/>
      </c>
      <c r="B417" s="5">
        <f>IF($E417="","",INDEX('Input Transaksi'!$D:$D,$E417))</f>
        <v/>
      </c>
      <c r="C417">
        <f>IF($E417="","",INDEX('Input Transaksi'!$E:$E,$E417))</f>
        <v/>
      </c>
      <c r="D417" s="5">
        <f>IF($E417="","",INDEX('Input Transaksi'!$F:$F,$E417))</f>
        <v/>
      </c>
      <c r="E417">
        <f>IFERROR(AGGREGATE(15,6,ROW('Input Transaksi'!$B$5:$B$5000)/('Input Transaksi'!$B$5:$B$5000="GRIYA ANYAR"),ROWS($E$5:E417)),"")</f>
        <v/>
      </c>
      <c r="F417" s="5" t="n"/>
    </row>
    <row r="418">
      <c r="A418" s="10">
        <f>IF($E418="","",INDEX('Input Transaksi'!$A:$A,$E418))</f>
        <v/>
      </c>
      <c r="B418" s="5">
        <f>IF($E418="","",INDEX('Input Transaksi'!$D:$D,$E418))</f>
        <v/>
      </c>
      <c r="C418">
        <f>IF($E418="","",INDEX('Input Transaksi'!$E:$E,$E418))</f>
        <v/>
      </c>
      <c r="D418" s="5">
        <f>IF($E418="","",INDEX('Input Transaksi'!$F:$F,$E418))</f>
        <v/>
      </c>
      <c r="E418">
        <f>IFERROR(AGGREGATE(15,6,ROW('Input Transaksi'!$B$5:$B$5000)/('Input Transaksi'!$B$5:$B$5000="GRIYA ANYAR"),ROWS($E$5:E418)),"")</f>
        <v/>
      </c>
      <c r="F418" s="5" t="n"/>
    </row>
    <row r="419">
      <c r="A419" s="10">
        <f>IF($E419="","",INDEX('Input Transaksi'!$A:$A,$E419))</f>
        <v/>
      </c>
      <c r="B419" s="5">
        <f>IF($E419="","",INDEX('Input Transaksi'!$D:$D,$E419))</f>
        <v/>
      </c>
      <c r="C419">
        <f>IF($E419="","",INDEX('Input Transaksi'!$E:$E,$E419))</f>
        <v/>
      </c>
      <c r="D419" s="5">
        <f>IF($E419="","",INDEX('Input Transaksi'!$F:$F,$E419))</f>
        <v/>
      </c>
      <c r="E419">
        <f>IFERROR(AGGREGATE(15,6,ROW('Input Transaksi'!$B$5:$B$5000)/('Input Transaksi'!$B$5:$B$5000="GRIYA ANYAR"),ROWS($E$5:E419)),"")</f>
        <v/>
      </c>
      <c r="F419" s="5" t="n"/>
    </row>
    <row r="420">
      <c r="A420" s="10">
        <f>IF($E420="","",INDEX('Input Transaksi'!$A:$A,$E420))</f>
        <v/>
      </c>
      <c r="B420" s="5">
        <f>IF($E420="","",INDEX('Input Transaksi'!$D:$D,$E420))</f>
        <v/>
      </c>
      <c r="C420">
        <f>IF($E420="","",INDEX('Input Transaksi'!$E:$E,$E420))</f>
        <v/>
      </c>
      <c r="D420" s="5">
        <f>IF($E420="","",INDEX('Input Transaksi'!$F:$F,$E420))</f>
        <v/>
      </c>
      <c r="E420">
        <f>IFERROR(AGGREGATE(15,6,ROW('Input Transaksi'!$B$5:$B$5000)/('Input Transaksi'!$B$5:$B$5000="GRIYA ANYAR"),ROWS($E$5:E420)),"")</f>
        <v/>
      </c>
      <c r="F420" s="5" t="n"/>
    </row>
    <row r="421">
      <c r="A421" s="10">
        <f>IF($E421="","",INDEX('Input Transaksi'!$A:$A,$E421))</f>
        <v/>
      </c>
      <c r="B421" s="5">
        <f>IF($E421="","",INDEX('Input Transaksi'!$D:$D,$E421))</f>
        <v/>
      </c>
      <c r="C421">
        <f>IF($E421="","",INDEX('Input Transaksi'!$E:$E,$E421))</f>
        <v/>
      </c>
      <c r="D421" s="5">
        <f>IF($E421="","",INDEX('Input Transaksi'!$F:$F,$E421))</f>
        <v/>
      </c>
      <c r="E421">
        <f>IFERROR(AGGREGATE(15,6,ROW('Input Transaksi'!$B$5:$B$5000)/('Input Transaksi'!$B$5:$B$5000="GRIYA ANYAR"),ROWS($E$5:E421)),"")</f>
        <v/>
      </c>
      <c r="F421" s="5" t="n"/>
    </row>
    <row r="422">
      <c r="A422" s="10">
        <f>IF($E422="","",INDEX('Input Transaksi'!$A:$A,$E422))</f>
        <v/>
      </c>
      <c r="B422" s="5">
        <f>IF($E422="","",INDEX('Input Transaksi'!$D:$D,$E422))</f>
        <v/>
      </c>
      <c r="C422">
        <f>IF($E422="","",INDEX('Input Transaksi'!$E:$E,$E422))</f>
        <v/>
      </c>
      <c r="D422" s="5">
        <f>IF($E422="","",INDEX('Input Transaksi'!$F:$F,$E422))</f>
        <v/>
      </c>
      <c r="E422">
        <f>IFERROR(AGGREGATE(15,6,ROW('Input Transaksi'!$B$5:$B$5000)/('Input Transaksi'!$B$5:$B$5000="GRIYA ANYAR"),ROWS($E$5:E422)),"")</f>
        <v/>
      </c>
      <c r="F422" s="5" t="n"/>
    </row>
    <row r="423">
      <c r="A423" s="10">
        <f>IF($E423="","",INDEX('Input Transaksi'!$A:$A,$E423))</f>
        <v/>
      </c>
      <c r="B423" s="5">
        <f>IF($E423="","",INDEX('Input Transaksi'!$D:$D,$E423))</f>
        <v/>
      </c>
      <c r="C423">
        <f>IF($E423="","",INDEX('Input Transaksi'!$E:$E,$E423))</f>
        <v/>
      </c>
      <c r="D423" s="5">
        <f>IF($E423="","",INDEX('Input Transaksi'!$F:$F,$E423))</f>
        <v/>
      </c>
      <c r="E423">
        <f>IFERROR(AGGREGATE(15,6,ROW('Input Transaksi'!$B$5:$B$5000)/('Input Transaksi'!$B$5:$B$5000="GRIYA ANYAR"),ROWS($E$5:E423)),"")</f>
        <v/>
      </c>
      <c r="F423" s="5" t="n"/>
    </row>
    <row r="424">
      <c r="A424" s="10">
        <f>IF($E424="","",INDEX('Input Transaksi'!$A:$A,$E424))</f>
        <v/>
      </c>
      <c r="B424" s="5">
        <f>IF($E424="","",INDEX('Input Transaksi'!$D:$D,$E424))</f>
        <v/>
      </c>
      <c r="C424">
        <f>IF($E424="","",INDEX('Input Transaksi'!$E:$E,$E424))</f>
        <v/>
      </c>
      <c r="D424" s="5">
        <f>IF($E424="","",INDEX('Input Transaksi'!$F:$F,$E424))</f>
        <v/>
      </c>
      <c r="E424">
        <f>IFERROR(AGGREGATE(15,6,ROW('Input Transaksi'!$B$5:$B$5000)/('Input Transaksi'!$B$5:$B$5000="GRIYA ANYAR"),ROWS($E$5:E424)),"")</f>
        <v/>
      </c>
      <c r="F424" s="5" t="n"/>
    </row>
    <row r="425">
      <c r="A425" s="10">
        <f>IF($E425="","",INDEX('Input Transaksi'!$A:$A,$E425))</f>
        <v/>
      </c>
      <c r="B425" s="5">
        <f>IF($E425="","",INDEX('Input Transaksi'!$D:$D,$E425))</f>
        <v/>
      </c>
      <c r="C425">
        <f>IF($E425="","",INDEX('Input Transaksi'!$E:$E,$E425))</f>
        <v/>
      </c>
      <c r="D425" s="5">
        <f>IF($E425="","",INDEX('Input Transaksi'!$F:$F,$E425))</f>
        <v/>
      </c>
      <c r="E425">
        <f>IFERROR(AGGREGATE(15,6,ROW('Input Transaksi'!$B$5:$B$5000)/('Input Transaksi'!$B$5:$B$5000="GRIYA ANYAR"),ROWS($E$5:E425)),"")</f>
        <v/>
      </c>
      <c r="F425" s="5" t="n"/>
    </row>
    <row r="426">
      <c r="A426" s="10">
        <f>IF($E426="","",INDEX('Input Transaksi'!$A:$A,$E426))</f>
        <v/>
      </c>
      <c r="B426" s="5">
        <f>IF($E426="","",INDEX('Input Transaksi'!$D:$D,$E426))</f>
        <v/>
      </c>
      <c r="C426">
        <f>IF($E426="","",INDEX('Input Transaksi'!$E:$E,$E426))</f>
        <v/>
      </c>
      <c r="D426" s="5">
        <f>IF($E426="","",INDEX('Input Transaksi'!$F:$F,$E426))</f>
        <v/>
      </c>
      <c r="E426">
        <f>IFERROR(AGGREGATE(15,6,ROW('Input Transaksi'!$B$5:$B$5000)/('Input Transaksi'!$B$5:$B$5000="GRIYA ANYAR"),ROWS($E$5:E426)),"")</f>
        <v/>
      </c>
      <c r="F426" s="5" t="n"/>
    </row>
    <row r="427">
      <c r="A427" s="10">
        <f>IF($E427="","",INDEX('Input Transaksi'!$A:$A,$E427))</f>
        <v/>
      </c>
      <c r="B427" s="5">
        <f>IF($E427="","",INDEX('Input Transaksi'!$D:$D,$E427))</f>
        <v/>
      </c>
      <c r="C427">
        <f>IF($E427="","",INDEX('Input Transaksi'!$E:$E,$E427))</f>
        <v/>
      </c>
      <c r="D427" s="5">
        <f>IF($E427="","",INDEX('Input Transaksi'!$F:$F,$E427))</f>
        <v/>
      </c>
      <c r="E427">
        <f>IFERROR(AGGREGATE(15,6,ROW('Input Transaksi'!$B$5:$B$5000)/('Input Transaksi'!$B$5:$B$5000="GRIYA ANYAR"),ROWS($E$5:E427)),"")</f>
        <v/>
      </c>
      <c r="F427" s="5" t="n"/>
    </row>
    <row r="428">
      <c r="A428" s="10">
        <f>IF($E428="","",INDEX('Input Transaksi'!$A:$A,$E428))</f>
        <v/>
      </c>
      <c r="B428" s="5">
        <f>IF($E428="","",INDEX('Input Transaksi'!$D:$D,$E428))</f>
        <v/>
      </c>
      <c r="C428">
        <f>IF($E428="","",INDEX('Input Transaksi'!$E:$E,$E428))</f>
        <v/>
      </c>
      <c r="D428" s="5">
        <f>IF($E428="","",INDEX('Input Transaksi'!$F:$F,$E428))</f>
        <v/>
      </c>
      <c r="E428">
        <f>IFERROR(AGGREGATE(15,6,ROW('Input Transaksi'!$B$5:$B$5000)/('Input Transaksi'!$B$5:$B$5000="GRIYA ANYAR"),ROWS($E$5:E428)),"")</f>
        <v/>
      </c>
      <c r="F428" s="5" t="n"/>
    </row>
    <row r="429">
      <c r="A429" s="10">
        <f>IF($E429="","",INDEX('Input Transaksi'!$A:$A,$E429))</f>
        <v/>
      </c>
      <c r="B429" s="5">
        <f>IF($E429="","",INDEX('Input Transaksi'!$D:$D,$E429))</f>
        <v/>
      </c>
      <c r="C429">
        <f>IF($E429="","",INDEX('Input Transaksi'!$E:$E,$E429))</f>
        <v/>
      </c>
      <c r="D429" s="5">
        <f>IF($E429="","",INDEX('Input Transaksi'!$F:$F,$E429))</f>
        <v/>
      </c>
      <c r="E429">
        <f>IFERROR(AGGREGATE(15,6,ROW('Input Transaksi'!$B$5:$B$5000)/('Input Transaksi'!$B$5:$B$5000="GRIYA ANYAR"),ROWS($E$5:E429)),"")</f>
        <v/>
      </c>
      <c r="F429" s="5" t="n"/>
    </row>
    <row r="430">
      <c r="A430" s="10">
        <f>IF($E430="","",INDEX('Input Transaksi'!$A:$A,$E430))</f>
        <v/>
      </c>
      <c r="B430" s="5">
        <f>IF($E430="","",INDEX('Input Transaksi'!$D:$D,$E430))</f>
        <v/>
      </c>
      <c r="C430">
        <f>IF($E430="","",INDEX('Input Transaksi'!$E:$E,$E430))</f>
        <v/>
      </c>
      <c r="D430" s="5">
        <f>IF($E430="","",INDEX('Input Transaksi'!$F:$F,$E430))</f>
        <v/>
      </c>
      <c r="E430">
        <f>IFERROR(AGGREGATE(15,6,ROW('Input Transaksi'!$B$5:$B$5000)/('Input Transaksi'!$B$5:$B$5000="GRIYA ANYAR"),ROWS($E$5:E430)),"")</f>
        <v/>
      </c>
      <c r="F430" s="5" t="n"/>
    </row>
    <row r="431">
      <c r="A431" s="10">
        <f>IF($E431="","",INDEX('Input Transaksi'!$A:$A,$E431))</f>
        <v/>
      </c>
      <c r="B431" s="5">
        <f>IF($E431="","",INDEX('Input Transaksi'!$D:$D,$E431))</f>
        <v/>
      </c>
      <c r="C431">
        <f>IF($E431="","",INDEX('Input Transaksi'!$E:$E,$E431))</f>
        <v/>
      </c>
      <c r="D431" s="5">
        <f>IF($E431="","",INDEX('Input Transaksi'!$F:$F,$E431))</f>
        <v/>
      </c>
      <c r="E431">
        <f>IFERROR(AGGREGATE(15,6,ROW('Input Transaksi'!$B$5:$B$5000)/('Input Transaksi'!$B$5:$B$5000="GRIYA ANYAR"),ROWS($E$5:E431)),"")</f>
        <v/>
      </c>
      <c r="F431" s="5" t="n"/>
    </row>
    <row r="432">
      <c r="A432" s="10">
        <f>IF($E432="","",INDEX('Input Transaksi'!$A:$A,$E432))</f>
        <v/>
      </c>
      <c r="B432" s="5">
        <f>IF($E432="","",INDEX('Input Transaksi'!$D:$D,$E432))</f>
        <v/>
      </c>
      <c r="C432">
        <f>IF($E432="","",INDEX('Input Transaksi'!$E:$E,$E432))</f>
        <v/>
      </c>
      <c r="D432" s="5">
        <f>IF($E432="","",INDEX('Input Transaksi'!$F:$F,$E432))</f>
        <v/>
      </c>
      <c r="E432">
        <f>IFERROR(AGGREGATE(15,6,ROW('Input Transaksi'!$B$5:$B$5000)/('Input Transaksi'!$B$5:$B$5000="GRIYA ANYAR"),ROWS($E$5:E432)),"")</f>
        <v/>
      </c>
      <c r="F432" s="5" t="n"/>
    </row>
    <row r="433">
      <c r="A433" s="10">
        <f>IF($E433="","",INDEX('Input Transaksi'!$A:$A,$E433))</f>
        <v/>
      </c>
      <c r="B433" s="5">
        <f>IF($E433="","",INDEX('Input Transaksi'!$D:$D,$E433))</f>
        <v/>
      </c>
      <c r="C433">
        <f>IF($E433="","",INDEX('Input Transaksi'!$E:$E,$E433))</f>
        <v/>
      </c>
      <c r="D433" s="5">
        <f>IF($E433="","",INDEX('Input Transaksi'!$F:$F,$E433))</f>
        <v/>
      </c>
      <c r="E433">
        <f>IFERROR(AGGREGATE(15,6,ROW('Input Transaksi'!$B$5:$B$5000)/('Input Transaksi'!$B$5:$B$5000="GRIYA ANYAR"),ROWS($E$5:E433)),"")</f>
        <v/>
      </c>
      <c r="F433" s="5" t="n"/>
    </row>
    <row r="434">
      <c r="A434" s="10">
        <f>IF($E434="","",INDEX('Input Transaksi'!$A:$A,$E434))</f>
        <v/>
      </c>
      <c r="B434" s="5">
        <f>IF($E434="","",INDEX('Input Transaksi'!$D:$D,$E434))</f>
        <v/>
      </c>
      <c r="C434">
        <f>IF($E434="","",INDEX('Input Transaksi'!$E:$E,$E434))</f>
        <v/>
      </c>
      <c r="D434" s="5">
        <f>IF($E434="","",INDEX('Input Transaksi'!$F:$F,$E434))</f>
        <v/>
      </c>
      <c r="E434">
        <f>IFERROR(AGGREGATE(15,6,ROW('Input Transaksi'!$B$5:$B$5000)/('Input Transaksi'!$B$5:$B$5000="GRIYA ANYAR"),ROWS($E$5:E434)),"")</f>
        <v/>
      </c>
      <c r="F434" s="5" t="n"/>
    </row>
    <row r="435">
      <c r="A435" s="10">
        <f>IF($E435="","",INDEX('Input Transaksi'!$A:$A,$E435))</f>
        <v/>
      </c>
      <c r="B435" s="5">
        <f>IF($E435="","",INDEX('Input Transaksi'!$D:$D,$E435))</f>
        <v/>
      </c>
      <c r="C435">
        <f>IF($E435="","",INDEX('Input Transaksi'!$E:$E,$E435))</f>
        <v/>
      </c>
      <c r="D435" s="5">
        <f>IF($E435="","",INDEX('Input Transaksi'!$F:$F,$E435))</f>
        <v/>
      </c>
      <c r="E435">
        <f>IFERROR(AGGREGATE(15,6,ROW('Input Transaksi'!$B$5:$B$5000)/('Input Transaksi'!$B$5:$B$5000="GRIYA ANYAR"),ROWS($E$5:E435)),"")</f>
        <v/>
      </c>
      <c r="F435" s="5" t="n"/>
    </row>
    <row r="436">
      <c r="A436" s="10">
        <f>IF($E436="","",INDEX('Input Transaksi'!$A:$A,$E436))</f>
        <v/>
      </c>
      <c r="B436" s="5">
        <f>IF($E436="","",INDEX('Input Transaksi'!$D:$D,$E436))</f>
        <v/>
      </c>
      <c r="C436">
        <f>IF($E436="","",INDEX('Input Transaksi'!$E:$E,$E436))</f>
        <v/>
      </c>
      <c r="D436" s="5">
        <f>IF($E436="","",INDEX('Input Transaksi'!$F:$F,$E436))</f>
        <v/>
      </c>
      <c r="E436">
        <f>IFERROR(AGGREGATE(15,6,ROW('Input Transaksi'!$B$5:$B$5000)/('Input Transaksi'!$B$5:$B$5000="GRIYA ANYAR"),ROWS($E$5:E436)),"")</f>
        <v/>
      </c>
      <c r="F436" s="5" t="n"/>
    </row>
    <row r="437">
      <c r="A437" s="10">
        <f>IF($E437="","",INDEX('Input Transaksi'!$A:$A,$E437))</f>
        <v/>
      </c>
      <c r="B437" s="5">
        <f>IF($E437="","",INDEX('Input Transaksi'!$D:$D,$E437))</f>
        <v/>
      </c>
      <c r="C437">
        <f>IF($E437="","",INDEX('Input Transaksi'!$E:$E,$E437))</f>
        <v/>
      </c>
      <c r="D437" s="5">
        <f>IF($E437="","",INDEX('Input Transaksi'!$F:$F,$E437))</f>
        <v/>
      </c>
      <c r="E437">
        <f>IFERROR(AGGREGATE(15,6,ROW('Input Transaksi'!$B$5:$B$5000)/('Input Transaksi'!$B$5:$B$5000="GRIYA ANYAR"),ROWS($E$5:E437)),"")</f>
        <v/>
      </c>
      <c r="F437" s="5" t="n"/>
    </row>
    <row r="438">
      <c r="A438" s="10">
        <f>IF($E438="","",INDEX('Input Transaksi'!$A:$A,$E438))</f>
        <v/>
      </c>
      <c r="B438" s="5">
        <f>IF($E438="","",INDEX('Input Transaksi'!$D:$D,$E438))</f>
        <v/>
      </c>
      <c r="C438">
        <f>IF($E438="","",INDEX('Input Transaksi'!$E:$E,$E438))</f>
        <v/>
      </c>
      <c r="D438" s="5">
        <f>IF($E438="","",INDEX('Input Transaksi'!$F:$F,$E438))</f>
        <v/>
      </c>
      <c r="E438">
        <f>IFERROR(AGGREGATE(15,6,ROW('Input Transaksi'!$B$5:$B$5000)/('Input Transaksi'!$B$5:$B$5000="GRIYA ANYAR"),ROWS($E$5:E438)),"")</f>
        <v/>
      </c>
      <c r="F438" s="5" t="n"/>
    </row>
    <row r="439">
      <c r="A439" s="10">
        <f>IF($E439="","",INDEX('Input Transaksi'!$A:$A,$E439))</f>
        <v/>
      </c>
      <c r="B439" s="5">
        <f>IF($E439="","",INDEX('Input Transaksi'!$D:$D,$E439))</f>
        <v/>
      </c>
      <c r="C439">
        <f>IF($E439="","",INDEX('Input Transaksi'!$E:$E,$E439))</f>
        <v/>
      </c>
      <c r="D439" s="5">
        <f>IF($E439="","",INDEX('Input Transaksi'!$F:$F,$E439))</f>
        <v/>
      </c>
      <c r="E439">
        <f>IFERROR(AGGREGATE(15,6,ROW('Input Transaksi'!$B$5:$B$5000)/('Input Transaksi'!$B$5:$B$5000="GRIYA ANYAR"),ROWS($E$5:E439)),"")</f>
        <v/>
      </c>
      <c r="F439" s="5" t="n"/>
    </row>
    <row r="440">
      <c r="A440" s="10">
        <f>IF($E440="","",INDEX('Input Transaksi'!$A:$A,$E440))</f>
        <v/>
      </c>
      <c r="B440" s="5">
        <f>IF($E440="","",INDEX('Input Transaksi'!$D:$D,$E440))</f>
        <v/>
      </c>
      <c r="C440">
        <f>IF($E440="","",INDEX('Input Transaksi'!$E:$E,$E440))</f>
        <v/>
      </c>
      <c r="D440" s="5">
        <f>IF($E440="","",INDEX('Input Transaksi'!$F:$F,$E440))</f>
        <v/>
      </c>
      <c r="E440">
        <f>IFERROR(AGGREGATE(15,6,ROW('Input Transaksi'!$B$5:$B$5000)/('Input Transaksi'!$B$5:$B$5000="GRIYA ANYAR"),ROWS($E$5:E440)),"")</f>
        <v/>
      </c>
      <c r="F440" s="5" t="n"/>
    </row>
    <row r="441">
      <c r="A441" s="10">
        <f>IF($E441="","",INDEX('Input Transaksi'!$A:$A,$E441))</f>
        <v/>
      </c>
      <c r="B441" s="5">
        <f>IF($E441="","",INDEX('Input Transaksi'!$D:$D,$E441))</f>
        <v/>
      </c>
      <c r="C441">
        <f>IF($E441="","",INDEX('Input Transaksi'!$E:$E,$E441))</f>
        <v/>
      </c>
      <c r="D441" s="5">
        <f>IF($E441="","",INDEX('Input Transaksi'!$F:$F,$E441))</f>
        <v/>
      </c>
      <c r="E441">
        <f>IFERROR(AGGREGATE(15,6,ROW('Input Transaksi'!$B$5:$B$5000)/('Input Transaksi'!$B$5:$B$5000="GRIYA ANYAR"),ROWS($E$5:E441)),"")</f>
        <v/>
      </c>
      <c r="F441" s="5" t="n"/>
    </row>
    <row r="442">
      <c r="A442" s="10">
        <f>IF($E442="","",INDEX('Input Transaksi'!$A:$A,$E442))</f>
        <v/>
      </c>
      <c r="B442" s="5">
        <f>IF($E442="","",INDEX('Input Transaksi'!$D:$D,$E442))</f>
        <v/>
      </c>
      <c r="C442">
        <f>IF($E442="","",INDEX('Input Transaksi'!$E:$E,$E442))</f>
        <v/>
      </c>
      <c r="D442" s="5">
        <f>IF($E442="","",INDEX('Input Transaksi'!$F:$F,$E442))</f>
        <v/>
      </c>
      <c r="E442">
        <f>IFERROR(AGGREGATE(15,6,ROW('Input Transaksi'!$B$5:$B$5000)/('Input Transaksi'!$B$5:$B$5000="GRIYA ANYAR"),ROWS($E$5:E442)),"")</f>
        <v/>
      </c>
      <c r="F442" s="5" t="n"/>
    </row>
    <row r="443">
      <c r="A443" s="10">
        <f>IF($E443="","",INDEX('Input Transaksi'!$A:$A,$E443))</f>
        <v/>
      </c>
      <c r="B443" s="5">
        <f>IF($E443="","",INDEX('Input Transaksi'!$D:$D,$E443))</f>
        <v/>
      </c>
      <c r="C443">
        <f>IF($E443="","",INDEX('Input Transaksi'!$E:$E,$E443))</f>
        <v/>
      </c>
      <c r="D443" s="5">
        <f>IF($E443="","",INDEX('Input Transaksi'!$F:$F,$E443))</f>
        <v/>
      </c>
      <c r="E443">
        <f>IFERROR(AGGREGATE(15,6,ROW('Input Transaksi'!$B$5:$B$5000)/('Input Transaksi'!$B$5:$B$5000="GRIYA ANYAR"),ROWS($E$5:E443)),"")</f>
        <v/>
      </c>
      <c r="F443" s="5" t="n"/>
    </row>
    <row r="444">
      <c r="A444" s="10">
        <f>IF($E444="","",INDEX('Input Transaksi'!$A:$A,$E444))</f>
        <v/>
      </c>
      <c r="B444" s="5">
        <f>IF($E444="","",INDEX('Input Transaksi'!$D:$D,$E444))</f>
        <v/>
      </c>
      <c r="C444">
        <f>IF($E444="","",INDEX('Input Transaksi'!$E:$E,$E444))</f>
        <v/>
      </c>
      <c r="D444" s="5">
        <f>IF($E444="","",INDEX('Input Transaksi'!$F:$F,$E444))</f>
        <v/>
      </c>
      <c r="E444">
        <f>IFERROR(AGGREGATE(15,6,ROW('Input Transaksi'!$B$5:$B$5000)/('Input Transaksi'!$B$5:$B$5000="GRIYA ANYAR"),ROWS($E$5:E444)),"")</f>
        <v/>
      </c>
      <c r="F444" s="5" t="n"/>
    </row>
    <row r="445">
      <c r="A445" s="10">
        <f>IF($E445="","",INDEX('Input Transaksi'!$A:$A,$E445))</f>
        <v/>
      </c>
      <c r="B445" s="5">
        <f>IF($E445="","",INDEX('Input Transaksi'!$D:$D,$E445))</f>
        <v/>
      </c>
      <c r="C445">
        <f>IF($E445="","",INDEX('Input Transaksi'!$E:$E,$E445))</f>
        <v/>
      </c>
      <c r="D445" s="5">
        <f>IF($E445="","",INDEX('Input Transaksi'!$F:$F,$E445))</f>
        <v/>
      </c>
      <c r="E445">
        <f>IFERROR(AGGREGATE(15,6,ROW('Input Transaksi'!$B$5:$B$5000)/('Input Transaksi'!$B$5:$B$5000="GRIYA ANYAR"),ROWS($E$5:E445)),"")</f>
        <v/>
      </c>
      <c r="F445" s="5" t="n"/>
    </row>
    <row r="446">
      <c r="A446" s="10">
        <f>IF($E446="","",INDEX('Input Transaksi'!$A:$A,$E446))</f>
        <v/>
      </c>
      <c r="B446" s="5">
        <f>IF($E446="","",INDEX('Input Transaksi'!$D:$D,$E446))</f>
        <v/>
      </c>
      <c r="C446">
        <f>IF($E446="","",INDEX('Input Transaksi'!$E:$E,$E446))</f>
        <v/>
      </c>
      <c r="D446" s="5">
        <f>IF($E446="","",INDEX('Input Transaksi'!$F:$F,$E446))</f>
        <v/>
      </c>
      <c r="E446">
        <f>IFERROR(AGGREGATE(15,6,ROW('Input Transaksi'!$B$5:$B$5000)/('Input Transaksi'!$B$5:$B$5000="GRIYA ANYAR"),ROWS($E$5:E446)),"")</f>
        <v/>
      </c>
      <c r="F446" s="5" t="n"/>
    </row>
    <row r="447">
      <c r="A447" s="10">
        <f>IF($E447="","",INDEX('Input Transaksi'!$A:$A,$E447))</f>
        <v/>
      </c>
      <c r="B447" s="5">
        <f>IF($E447="","",INDEX('Input Transaksi'!$D:$D,$E447))</f>
        <v/>
      </c>
      <c r="C447">
        <f>IF($E447="","",INDEX('Input Transaksi'!$E:$E,$E447))</f>
        <v/>
      </c>
      <c r="D447" s="5">
        <f>IF($E447="","",INDEX('Input Transaksi'!$F:$F,$E447))</f>
        <v/>
      </c>
      <c r="E447">
        <f>IFERROR(AGGREGATE(15,6,ROW('Input Transaksi'!$B$5:$B$5000)/('Input Transaksi'!$B$5:$B$5000="GRIYA ANYAR"),ROWS($E$5:E447)),"")</f>
        <v/>
      </c>
      <c r="F447" s="5" t="n"/>
    </row>
    <row r="448">
      <c r="A448" s="10">
        <f>IF($E448="","",INDEX('Input Transaksi'!$A:$A,$E448))</f>
        <v/>
      </c>
      <c r="B448" s="5">
        <f>IF($E448="","",INDEX('Input Transaksi'!$D:$D,$E448))</f>
        <v/>
      </c>
      <c r="C448">
        <f>IF($E448="","",INDEX('Input Transaksi'!$E:$E,$E448))</f>
        <v/>
      </c>
      <c r="D448" s="5">
        <f>IF($E448="","",INDEX('Input Transaksi'!$F:$F,$E448))</f>
        <v/>
      </c>
      <c r="E448">
        <f>IFERROR(AGGREGATE(15,6,ROW('Input Transaksi'!$B$5:$B$5000)/('Input Transaksi'!$B$5:$B$5000="GRIYA ANYAR"),ROWS($E$5:E448)),"")</f>
        <v/>
      </c>
      <c r="F448" s="5" t="n"/>
    </row>
    <row r="449">
      <c r="A449" s="10">
        <f>IF($E449="","",INDEX('Input Transaksi'!$A:$A,$E449))</f>
        <v/>
      </c>
      <c r="B449" s="5">
        <f>IF($E449="","",INDEX('Input Transaksi'!$D:$D,$E449))</f>
        <v/>
      </c>
      <c r="C449">
        <f>IF($E449="","",INDEX('Input Transaksi'!$E:$E,$E449))</f>
        <v/>
      </c>
      <c r="D449" s="5">
        <f>IF($E449="","",INDEX('Input Transaksi'!$F:$F,$E449))</f>
        <v/>
      </c>
      <c r="E449">
        <f>IFERROR(AGGREGATE(15,6,ROW('Input Transaksi'!$B$5:$B$5000)/('Input Transaksi'!$B$5:$B$5000="GRIYA ANYAR"),ROWS($E$5:E449)),"")</f>
        <v/>
      </c>
      <c r="F449" s="5" t="n"/>
    </row>
    <row r="450">
      <c r="A450" s="10">
        <f>IF($E450="","",INDEX('Input Transaksi'!$A:$A,$E450))</f>
        <v/>
      </c>
      <c r="B450" s="5">
        <f>IF($E450="","",INDEX('Input Transaksi'!$D:$D,$E450))</f>
        <v/>
      </c>
      <c r="C450">
        <f>IF($E450="","",INDEX('Input Transaksi'!$E:$E,$E450))</f>
        <v/>
      </c>
      <c r="D450" s="5">
        <f>IF($E450="","",INDEX('Input Transaksi'!$F:$F,$E450))</f>
        <v/>
      </c>
      <c r="E450">
        <f>IFERROR(AGGREGATE(15,6,ROW('Input Transaksi'!$B$5:$B$5000)/('Input Transaksi'!$B$5:$B$5000="GRIYA ANYAR"),ROWS($E$5:E450)),"")</f>
        <v/>
      </c>
      <c r="F450" s="5" t="n"/>
    </row>
    <row r="451">
      <c r="A451" s="10">
        <f>IF($E451="","",INDEX('Input Transaksi'!$A:$A,$E451))</f>
        <v/>
      </c>
      <c r="B451" s="5">
        <f>IF($E451="","",INDEX('Input Transaksi'!$D:$D,$E451))</f>
        <v/>
      </c>
      <c r="C451">
        <f>IF($E451="","",INDEX('Input Transaksi'!$E:$E,$E451))</f>
        <v/>
      </c>
      <c r="D451" s="5">
        <f>IF($E451="","",INDEX('Input Transaksi'!$F:$F,$E451))</f>
        <v/>
      </c>
      <c r="E451">
        <f>IFERROR(AGGREGATE(15,6,ROW('Input Transaksi'!$B$5:$B$5000)/('Input Transaksi'!$B$5:$B$5000="GRIYA ANYAR"),ROWS($E$5:E451)),"")</f>
        <v/>
      </c>
      <c r="F451" s="5" t="n"/>
    </row>
    <row r="452">
      <c r="A452" s="10">
        <f>IF($E452="","",INDEX('Input Transaksi'!$A:$A,$E452))</f>
        <v/>
      </c>
      <c r="B452" s="5">
        <f>IF($E452="","",INDEX('Input Transaksi'!$D:$D,$E452))</f>
        <v/>
      </c>
      <c r="C452">
        <f>IF($E452="","",INDEX('Input Transaksi'!$E:$E,$E452))</f>
        <v/>
      </c>
      <c r="D452" s="5">
        <f>IF($E452="","",INDEX('Input Transaksi'!$F:$F,$E452))</f>
        <v/>
      </c>
      <c r="E452">
        <f>IFERROR(AGGREGATE(15,6,ROW('Input Transaksi'!$B$5:$B$5000)/('Input Transaksi'!$B$5:$B$5000="GRIYA ANYAR"),ROWS($E$5:E452)),"")</f>
        <v/>
      </c>
      <c r="F452" s="5" t="n"/>
    </row>
    <row r="453">
      <c r="A453" s="10">
        <f>IF($E453="","",INDEX('Input Transaksi'!$A:$A,$E453))</f>
        <v/>
      </c>
      <c r="B453" s="5">
        <f>IF($E453="","",INDEX('Input Transaksi'!$D:$D,$E453))</f>
        <v/>
      </c>
      <c r="C453">
        <f>IF($E453="","",INDEX('Input Transaksi'!$E:$E,$E453))</f>
        <v/>
      </c>
      <c r="D453" s="5">
        <f>IF($E453="","",INDEX('Input Transaksi'!$F:$F,$E453))</f>
        <v/>
      </c>
      <c r="E453">
        <f>IFERROR(AGGREGATE(15,6,ROW('Input Transaksi'!$B$5:$B$5000)/('Input Transaksi'!$B$5:$B$5000="GRIYA ANYAR"),ROWS($E$5:E453)),"")</f>
        <v/>
      </c>
      <c r="F453" s="5" t="n"/>
    </row>
    <row r="454">
      <c r="A454" s="10">
        <f>IF($E454="","",INDEX('Input Transaksi'!$A:$A,$E454))</f>
        <v/>
      </c>
      <c r="B454" s="5">
        <f>IF($E454="","",INDEX('Input Transaksi'!$D:$D,$E454))</f>
        <v/>
      </c>
      <c r="C454">
        <f>IF($E454="","",INDEX('Input Transaksi'!$E:$E,$E454))</f>
        <v/>
      </c>
      <c r="D454" s="5">
        <f>IF($E454="","",INDEX('Input Transaksi'!$F:$F,$E454))</f>
        <v/>
      </c>
      <c r="E454">
        <f>IFERROR(AGGREGATE(15,6,ROW('Input Transaksi'!$B$5:$B$5000)/('Input Transaksi'!$B$5:$B$5000="GRIYA ANYAR"),ROWS($E$5:E454)),"")</f>
        <v/>
      </c>
      <c r="F454" s="5" t="n"/>
    </row>
    <row r="455">
      <c r="A455" s="10">
        <f>IF($E455="","",INDEX('Input Transaksi'!$A:$A,$E455))</f>
        <v/>
      </c>
      <c r="B455" s="5">
        <f>IF($E455="","",INDEX('Input Transaksi'!$D:$D,$E455))</f>
        <v/>
      </c>
      <c r="C455">
        <f>IF($E455="","",INDEX('Input Transaksi'!$E:$E,$E455))</f>
        <v/>
      </c>
      <c r="D455" s="5">
        <f>IF($E455="","",INDEX('Input Transaksi'!$F:$F,$E455))</f>
        <v/>
      </c>
      <c r="E455">
        <f>IFERROR(AGGREGATE(15,6,ROW('Input Transaksi'!$B$5:$B$5000)/('Input Transaksi'!$B$5:$B$5000="GRIYA ANYAR"),ROWS($E$5:E455)),"")</f>
        <v/>
      </c>
      <c r="F455" s="5" t="n"/>
    </row>
    <row r="456">
      <c r="A456" s="10">
        <f>IF($E456="","",INDEX('Input Transaksi'!$A:$A,$E456))</f>
        <v/>
      </c>
      <c r="B456" s="5">
        <f>IF($E456="","",INDEX('Input Transaksi'!$D:$D,$E456))</f>
        <v/>
      </c>
      <c r="C456">
        <f>IF($E456="","",INDEX('Input Transaksi'!$E:$E,$E456))</f>
        <v/>
      </c>
      <c r="D456" s="5">
        <f>IF($E456="","",INDEX('Input Transaksi'!$F:$F,$E456))</f>
        <v/>
      </c>
      <c r="E456">
        <f>IFERROR(AGGREGATE(15,6,ROW('Input Transaksi'!$B$5:$B$5000)/('Input Transaksi'!$B$5:$B$5000="GRIYA ANYAR"),ROWS($E$5:E456)),"")</f>
        <v/>
      </c>
      <c r="F456" s="5" t="n"/>
    </row>
    <row r="457">
      <c r="A457" s="10">
        <f>IF($E457="","",INDEX('Input Transaksi'!$A:$A,$E457))</f>
        <v/>
      </c>
      <c r="B457" s="5">
        <f>IF($E457="","",INDEX('Input Transaksi'!$D:$D,$E457))</f>
        <v/>
      </c>
      <c r="C457">
        <f>IF($E457="","",INDEX('Input Transaksi'!$E:$E,$E457))</f>
        <v/>
      </c>
      <c r="D457" s="5">
        <f>IF($E457="","",INDEX('Input Transaksi'!$F:$F,$E457))</f>
        <v/>
      </c>
      <c r="E457">
        <f>IFERROR(AGGREGATE(15,6,ROW('Input Transaksi'!$B$5:$B$5000)/('Input Transaksi'!$B$5:$B$5000="GRIYA ANYAR"),ROWS($E$5:E457)),"")</f>
        <v/>
      </c>
      <c r="F457" s="5" t="n"/>
    </row>
    <row r="458">
      <c r="A458" s="10">
        <f>IF($E458="","",INDEX('Input Transaksi'!$A:$A,$E458))</f>
        <v/>
      </c>
      <c r="B458" s="5">
        <f>IF($E458="","",INDEX('Input Transaksi'!$D:$D,$E458))</f>
        <v/>
      </c>
      <c r="C458">
        <f>IF($E458="","",INDEX('Input Transaksi'!$E:$E,$E458))</f>
        <v/>
      </c>
      <c r="D458" s="5">
        <f>IF($E458="","",INDEX('Input Transaksi'!$F:$F,$E458))</f>
        <v/>
      </c>
      <c r="E458">
        <f>IFERROR(AGGREGATE(15,6,ROW('Input Transaksi'!$B$5:$B$5000)/('Input Transaksi'!$B$5:$B$5000="GRIYA ANYAR"),ROWS($E$5:E458)),"")</f>
        <v/>
      </c>
      <c r="F458" s="5" t="n"/>
    </row>
    <row r="459">
      <c r="A459" s="10">
        <f>IF($E459="","",INDEX('Input Transaksi'!$A:$A,$E459))</f>
        <v/>
      </c>
      <c r="B459" s="5">
        <f>IF($E459="","",INDEX('Input Transaksi'!$D:$D,$E459))</f>
        <v/>
      </c>
      <c r="C459">
        <f>IF($E459="","",INDEX('Input Transaksi'!$E:$E,$E459))</f>
        <v/>
      </c>
      <c r="D459" s="5">
        <f>IF($E459="","",INDEX('Input Transaksi'!$F:$F,$E459))</f>
        <v/>
      </c>
      <c r="E459">
        <f>IFERROR(AGGREGATE(15,6,ROW('Input Transaksi'!$B$5:$B$5000)/('Input Transaksi'!$B$5:$B$5000="GRIYA ANYAR"),ROWS($E$5:E459)),"")</f>
        <v/>
      </c>
      <c r="F459" s="5" t="n"/>
    </row>
    <row r="460">
      <c r="A460" s="10">
        <f>IF($E460="","",INDEX('Input Transaksi'!$A:$A,$E460))</f>
        <v/>
      </c>
      <c r="B460" s="5">
        <f>IF($E460="","",INDEX('Input Transaksi'!$D:$D,$E460))</f>
        <v/>
      </c>
      <c r="C460">
        <f>IF($E460="","",INDEX('Input Transaksi'!$E:$E,$E460))</f>
        <v/>
      </c>
      <c r="D460" s="5">
        <f>IF($E460="","",INDEX('Input Transaksi'!$F:$F,$E460))</f>
        <v/>
      </c>
      <c r="E460">
        <f>IFERROR(AGGREGATE(15,6,ROW('Input Transaksi'!$B$5:$B$5000)/('Input Transaksi'!$B$5:$B$5000="GRIYA ANYAR"),ROWS($E$5:E460)),"")</f>
        <v/>
      </c>
      <c r="F460" s="5" t="n"/>
    </row>
    <row r="461">
      <c r="A461" s="10">
        <f>IF($E461="","",INDEX('Input Transaksi'!$A:$A,$E461))</f>
        <v/>
      </c>
      <c r="B461" s="5">
        <f>IF($E461="","",INDEX('Input Transaksi'!$D:$D,$E461))</f>
        <v/>
      </c>
      <c r="C461">
        <f>IF($E461="","",INDEX('Input Transaksi'!$E:$E,$E461))</f>
        <v/>
      </c>
      <c r="D461" s="5">
        <f>IF($E461="","",INDEX('Input Transaksi'!$F:$F,$E461))</f>
        <v/>
      </c>
      <c r="E461">
        <f>IFERROR(AGGREGATE(15,6,ROW('Input Transaksi'!$B$5:$B$5000)/('Input Transaksi'!$B$5:$B$5000="GRIYA ANYAR"),ROWS($E$5:E461)),"")</f>
        <v/>
      </c>
      <c r="F461" s="5" t="n"/>
    </row>
    <row r="462">
      <c r="A462" s="10">
        <f>IF($E462="","",INDEX('Input Transaksi'!$A:$A,$E462))</f>
        <v/>
      </c>
      <c r="B462" s="5">
        <f>IF($E462="","",INDEX('Input Transaksi'!$D:$D,$E462))</f>
        <v/>
      </c>
      <c r="C462">
        <f>IF($E462="","",INDEX('Input Transaksi'!$E:$E,$E462))</f>
        <v/>
      </c>
      <c r="D462" s="5">
        <f>IF($E462="","",INDEX('Input Transaksi'!$F:$F,$E462))</f>
        <v/>
      </c>
      <c r="E462">
        <f>IFERROR(AGGREGATE(15,6,ROW('Input Transaksi'!$B$5:$B$5000)/('Input Transaksi'!$B$5:$B$5000="GRIYA ANYAR"),ROWS($E$5:E462)),"")</f>
        <v/>
      </c>
      <c r="F462" s="5" t="n"/>
    </row>
    <row r="463">
      <c r="A463" s="10">
        <f>IF($E463="","",INDEX('Input Transaksi'!$A:$A,$E463))</f>
        <v/>
      </c>
      <c r="B463" s="5">
        <f>IF($E463="","",INDEX('Input Transaksi'!$D:$D,$E463))</f>
        <v/>
      </c>
      <c r="C463">
        <f>IF($E463="","",INDEX('Input Transaksi'!$E:$E,$E463))</f>
        <v/>
      </c>
      <c r="D463" s="5">
        <f>IF($E463="","",INDEX('Input Transaksi'!$F:$F,$E463))</f>
        <v/>
      </c>
      <c r="E463">
        <f>IFERROR(AGGREGATE(15,6,ROW('Input Transaksi'!$B$5:$B$5000)/('Input Transaksi'!$B$5:$B$5000="GRIYA ANYAR"),ROWS($E$5:E463)),"")</f>
        <v/>
      </c>
      <c r="F463" s="5" t="n"/>
    </row>
    <row r="464">
      <c r="A464" s="10">
        <f>IF($E464="","",INDEX('Input Transaksi'!$A:$A,$E464))</f>
        <v/>
      </c>
      <c r="B464" s="5">
        <f>IF($E464="","",INDEX('Input Transaksi'!$D:$D,$E464))</f>
        <v/>
      </c>
      <c r="C464">
        <f>IF($E464="","",INDEX('Input Transaksi'!$E:$E,$E464))</f>
        <v/>
      </c>
      <c r="D464" s="5">
        <f>IF($E464="","",INDEX('Input Transaksi'!$F:$F,$E464))</f>
        <v/>
      </c>
      <c r="E464">
        <f>IFERROR(AGGREGATE(15,6,ROW('Input Transaksi'!$B$5:$B$5000)/('Input Transaksi'!$B$5:$B$5000="GRIYA ANYAR"),ROWS($E$5:E464)),"")</f>
        <v/>
      </c>
      <c r="F464" s="5" t="n"/>
    </row>
    <row r="465">
      <c r="A465" s="10">
        <f>IF($E465="","",INDEX('Input Transaksi'!$A:$A,$E465))</f>
        <v/>
      </c>
      <c r="B465" s="5">
        <f>IF($E465="","",INDEX('Input Transaksi'!$D:$D,$E465))</f>
        <v/>
      </c>
      <c r="C465">
        <f>IF($E465="","",INDEX('Input Transaksi'!$E:$E,$E465))</f>
        <v/>
      </c>
      <c r="D465" s="5">
        <f>IF($E465="","",INDEX('Input Transaksi'!$F:$F,$E465))</f>
        <v/>
      </c>
      <c r="E465">
        <f>IFERROR(AGGREGATE(15,6,ROW('Input Transaksi'!$B$5:$B$5000)/('Input Transaksi'!$B$5:$B$5000="GRIYA ANYAR"),ROWS($E$5:E465)),"")</f>
        <v/>
      </c>
      <c r="F465" s="5" t="n"/>
    </row>
    <row r="466">
      <c r="A466" s="10">
        <f>IF($E466="","",INDEX('Input Transaksi'!$A:$A,$E466))</f>
        <v/>
      </c>
      <c r="B466" s="5">
        <f>IF($E466="","",INDEX('Input Transaksi'!$D:$D,$E466))</f>
        <v/>
      </c>
      <c r="C466">
        <f>IF($E466="","",INDEX('Input Transaksi'!$E:$E,$E466))</f>
        <v/>
      </c>
      <c r="D466" s="5">
        <f>IF($E466="","",INDEX('Input Transaksi'!$F:$F,$E466))</f>
        <v/>
      </c>
      <c r="E466">
        <f>IFERROR(AGGREGATE(15,6,ROW('Input Transaksi'!$B$5:$B$5000)/('Input Transaksi'!$B$5:$B$5000="GRIYA ANYAR"),ROWS($E$5:E466)),"")</f>
        <v/>
      </c>
      <c r="F466" s="5" t="n"/>
    </row>
    <row r="467">
      <c r="A467" s="10">
        <f>IF($E467="","",INDEX('Input Transaksi'!$A:$A,$E467))</f>
        <v/>
      </c>
      <c r="B467" s="5">
        <f>IF($E467="","",INDEX('Input Transaksi'!$D:$D,$E467))</f>
        <v/>
      </c>
      <c r="C467">
        <f>IF($E467="","",INDEX('Input Transaksi'!$E:$E,$E467))</f>
        <v/>
      </c>
      <c r="D467" s="5">
        <f>IF($E467="","",INDEX('Input Transaksi'!$F:$F,$E467))</f>
        <v/>
      </c>
      <c r="E467">
        <f>IFERROR(AGGREGATE(15,6,ROW('Input Transaksi'!$B$5:$B$5000)/('Input Transaksi'!$B$5:$B$5000="GRIYA ANYAR"),ROWS($E$5:E467)),"")</f>
        <v/>
      </c>
      <c r="F467" s="5" t="n"/>
    </row>
    <row r="468">
      <c r="A468" s="10">
        <f>IF($E468="","",INDEX('Input Transaksi'!$A:$A,$E468))</f>
        <v/>
      </c>
      <c r="B468" s="5">
        <f>IF($E468="","",INDEX('Input Transaksi'!$D:$D,$E468))</f>
        <v/>
      </c>
      <c r="C468">
        <f>IF($E468="","",INDEX('Input Transaksi'!$E:$E,$E468))</f>
        <v/>
      </c>
      <c r="D468" s="5">
        <f>IF($E468="","",INDEX('Input Transaksi'!$F:$F,$E468))</f>
        <v/>
      </c>
      <c r="E468">
        <f>IFERROR(AGGREGATE(15,6,ROW('Input Transaksi'!$B$5:$B$5000)/('Input Transaksi'!$B$5:$B$5000="GRIYA ANYAR"),ROWS($E$5:E468)),"")</f>
        <v/>
      </c>
      <c r="F468" s="5" t="n"/>
    </row>
    <row r="469">
      <c r="A469" s="10">
        <f>IF($E469="","",INDEX('Input Transaksi'!$A:$A,$E469))</f>
        <v/>
      </c>
      <c r="B469" s="5">
        <f>IF($E469="","",INDEX('Input Transaksi'!$D:$D,$E469))</f>
        <v/>
      </c>
      <c r="C469">
        <f>IF($E469="","",INDEX('Input Transaksi'!$E:$E,$E469))</f>
        <v/>
      </c>
      <c r="D469" s="5">
        <f>IF($E469="","",INDEX('Input Transaksi'!$F:$F,$E469))</f>
        <v/>
      </c>
      <c r="E469">
        <f>IFERROR(AGGREGATE(15,6,ROW('Input Transaksi'!$B$5:$B$5000)/('Input Transaksi'!$B$5:$B$5000="GRIYA ANYAR"),ROWS($E$5:E469)),"")</f>
        <v/>
      </c>
      <c r="F469" s="5" t="n"/>
    </row>
    <row r="470">
      <c r="A470" s="10">
        <f>IF($E470="","",INDEX('Input Transaksi'!$A:$A,$E470))</f>
        <v/>
      </c>
      <c r="B470" s="5">
        <f>IF($E470="","",INDEX('Input Transaksi'!$D:$D,$E470))</f>
        <v/>
      </c>
      <c r="C470">
        <f>IF($E470="","",INDEX('Input Transaksi'!$E:$E,$E470))</f>
        <v/>
      </c>
      <c r="D470" s="5">
        <f>IF($E470="","",INDEX('Input Transaksi'!$F:$F,$E470))</f>
        <v/>
      </c>
      <c r="E470">
        <f>IFERROR(AGGREGATE(15,6,ROW('Input Transaksi'!$B$5:$B$5000)/('Input Transaksi'!$B$5:$B$5000="GRIYA ANYAR"),ROWS($E$5:E470)),"")</f>
        <v/>
      </c>
      <c r="F470" s="5" t="n"/>
    </row>
    <row r="471">
      <c r="A471" s="10">
        <f>IF($E471="","",INDEX('Input Transaksi'!$A:$A,$E471))</f>
        <v/>
      </c>
      <c r="B471" s="5">
        <f>IF($E471="","",INDEX('Input Transaksi'!$D:$D,$E471))</f>
        <v/>
      </c>
      <c r="C471">
        <f>IF($E471="","",INDEX('Input Transaksi'!$E:$E,$E471))</f>
        <v/>
      </c>
      <c r="D471" s="5">
        <f>IF($E471="","",INDEX('Input Transaksi'!$F:$F,$E471))</f>
        <v/>
      </c>
      <c r="E471">
        <f>IFERROR(AGGREGATE(15,6,ROW('Input Transaksi'!$B$5:$B$5000)/('Input Transaksi'!$B$5:$B$5000="GRIYA ANYAR"),ROWS($E$5:E471)),"")</f>
        <v/>
      </c>
      <c r="F471" s="5" t="n"/>
    </row>
    <row r="472">
      <c r="A472" s="10">
        <f>IF($E472="","",INDEX('Input Transaksi'!$A:$A,$E472))</f>
        <v/>
      </c>
      <c r="B472" s="5">
        <f>IF($E472="","",INDEX('Input Transaksi'!$D:$D,$E472))</f>
        <v/>
      </c>
      <c r="C472">
        <f>IF($E472="","",INDEX('Input Transaksi'!$E:$E,$E472))</f>
        <v/>
      </c>
      <c r="D472" s="5">
        <f>IF($E472="","",INDEX('Input Transaksi'!$F:$F,$E472))</f>
        <v/>
      </c>
      <c r="E472">
        <f>IFERROR(AGGREGATE(15,6,ROW('Input Transaksi'!$B$5:$B$5000)/('Input Transaksi'!$B$5:$B$5000="GRIYA ANYAR"),ROWS($E$5:E472)),"")</f>
        <v/>
      </c>
      <c r="F472" s="5" t="n"/>
    </row>
    <row r="473">
      <c r="A473" s="10">
        <f>IF($E473="","",INDEX('Input Transaksi'!$A:$A,$E473))</f>
        <v/>
      </c>
      <c r="B473" s="5">
        <f>IF($E473="","",INDEX('Input Transaksi'!$D:$D,$E473))</f>
        <v/>
      </c>
      <c r="C473">
        <f>IF($E473="","",INDEX('Input Transaksi'!$E:$E,$E473))</f>
        <v/>
      </c>
      <c r="D473" s="5">
        <f>IF($E473="","",INDEX('Input Transaksi'!$F:$F,$E473))</f>
        <v/>
      </c>
      <c r="E473">
        <f>IFERROR(AGGREGATE(15,6,ROW('Input Transaksi'!$B$5:$B$5000)/('Input Transaksi'!$B$5:$B$5000="GRIYA ANYAR"),ROWS($E$5:E473)),"")</f>
        <v/>
      </c>
      <c r="F473" s="5" t="n"/>
    </row>
    <row r="474">
      <c r="A474" s="10">
        <f>IF($E474="","",INDEX('Input Transaksi'!$A:$A,$E474))</f>
        <v/>
      </c>
      <c r="B474" s="5">
        <f>IF($E474="","",INDEX('Input Transaksi'!$D:$D,$E474))</f>
        <v/>
      </c>
      <c r="C474">
        <f>IF($E474="","",INDEX('Input Transaksi'!$E:$E,$E474))</f>
        <v/>
      </c>
      <c r="D474" s="5">
        <f>IF($E474="","",INDEX('Input Transaksi'!$F:$F,$E474))</f>
        <v/>
      </c>
      <c r="E474">
        <f>IFERROR(AGGREGATE(15,6,ROW('Input Transaksi'!$B$5:$B$5000)/('Input Transaksi'!$B$5:$B$5000="GRIYA ANYAR"),ROWS($E$5:E474)),"")</f>
        <v/>
      </c>
      <c r="F474" s="5" t="n"/>
    </row>
    <row r="475">
      <c r="A475" s="10">
        <f>IF($E475="","",INDEX('Input Transaksi'!$A:$A,$E475))</f>
        <v/>
      </c>
      <c r="B475" s="5">
        <f>IF($E475="","",INDEX('Input Transaksi'!$D:$D,$E475))</f>
        <v/>
      </c>
      <c r="C475">
        <f>IF($E475="","",INDEX('Input Transaksi'!$E:$E,$E475))</f>
        <v/>
      </c>
      <c r="D475" s="5">
        <f>IF($E475="","",INDEX('Input Transaksi'!$F:$F,$E475))</f>
        <v/>
      </c>
      <c r="E475">
        <f>IFERROR(AGGREGATE(15,6,ROW('Input Transaksi'!$B$5:$B$5000)/('Input Transaksi'!$B$5:$B$5000="GRIYA ANYAR"),ROWS($E$5:E475)),"")</f>
        <v/>
      </c>
      <c r="F475" s="5" t="n"/>
    </row>
    <row r="476">
      <c r="A476" s="10">
        <f>IF($E476="","",INDEX('Input Transaksi'!$A:$A,$E476))</f>
        <v/>
      </c>
      <c r="B476" s="5">
        <f>IF($E476="","",INDEX('Input Transaksi'!$D:$D,$E476))</f>
        <v/>
      </c>
      <c r="C476">
        <f>IF($E476="","",INDEX('Input Transaksi'!$E:$E,$E476))</f>
        <v/>
      </c>
      <c r="D476" s="5">
        <f>IF($E476="","",INDEX('Input Transaksi'!$F:$F,$E476))</f>
        <v/>
      </c>
      <c r="E476">
        <f>IFERROR(AGGREGATE(15,6,ROW('Input Transaksi'!$B$5:$B$5000)/('Input Transaksi'!$B$5:$B$5000="GRIYA ANYAR"),ROWS($E$5:E476)),"")</f>
        <v/>
      </c>
      <c r="F476" s="5" t="n"/>
    </row>
    <row r="477">
      <c r="A477" s="10">
        <f>IF($E477="","",INDEX('Input Transaksi'!$A:$A,$E477))</f>
        <v/>
      </c>
      <c r="B477" s="5">
        <f>IF($E477="","",INDEX('Input Transaksi'!$D:$D,$E477))</f>
        <v/>
      </c>
      <c r="C477">
        <f>IF($E477="","",INDEX('Input Transaksi'!$E:$E,$E477))</f>
        <v/>
      </c>
      <c r="D477" s="5">
        <f>IF($E477="","",INDEX('Input Transaksi'!$F:$F,$E477))</f>
        <v/>
      </c>
      <c r="E477">
        <f>IFERROR(AGGREGATE(15,6,ROW('Input Transaksi'!$B$5:$B$5000)/('Input Transaksi'!$B$5:$B$5000="GRIYA ANYAR"),ROWS($E$5:E477)),"")</f>
        <v/>
      </c>
      <c r="F477" s="5" t="n"/>
    </row>
    <row r="478">
      <c r="A478" s="10">
        <f>IF($E478="","",INDEX('Input Transaksi'!$A:$A,$E478))</f>
        <v/>
      </c>
      <c r="B478" s="5">
        <f>IF($E478="","",INDEX('Input Transaksi'!$D:$D,$E478))</f>
        <v/>
      </c>
      <c r="C478">
        <f>IF($E478="","",INDEX('Input Transaksi'!$E:$E,$E478))</f>
        <v/>
      </c>
      <c r="D478" s="5">
        <f>IF($E478="","",INDEX('Input Transaksi'!$F:$F,$E478))</f>
        <v/>
      </c>
      <c r="E478">
        <f>IFERROR(AGGREGATE(15,6,ROW('Input Transaksi'!$B$5:$B$5000)/('Input Transaksi'!$B$5:$B$5000="GRIYA ANYAR"),ROWS($E$5:E478)),"")</f>
        <v/>
      </c>
      <c r="F478" s="5" t="n"/>
    </row>
    <row r="479">
      <c r="A479" s="10">
        <f>IF($E479="","",INDEX('Input Transaksi'!$A:$A,$E479))</f>
        <v/>
      </c>
      <c r="B479" s="5">
        <f>IF($E479="","",INDEX('Input Transaksi'!$D:$D,$E479))</f>
        <v/>
      </c>
      <c r="C479">
        <f>IF($E479="","",INDEX('Input Transaksi'!$E:$E,$E479))</f>
        <v/>
      </c>
      <c r="D479" s="5">
        <f>IF($E479="","",INDEX('Input Transaksi'!$F:$F,$E479))</f>
        <v/>
      </c>
      <c r="E479">
        <f>IFERROR(AGGREGATE(15,6,ROW('Input Transaksi'!$B$5:$B$5000)/('Input Transaksi'!$B$5:$B$5000="GRIYA ANYAR"),ROWS($E$5:E479)),"")</f>
        <v/>
      </c>
      <c r="F479" s="5" t="n"/>
    </row>
    <row r="480">
      <c r="A480" s="10">
        <f>IF($E480="","",INDEX('Input Transaksi'!$A:$A,$E480))</f>
        <v/>
      </c>
      <c r="B480" s="5">
        <f>IF($E480="","",INDEX('Input Transaksi'!$D:$D,$E480))</f>
        <v/>
      </c>
      <c r="C480">
        <f>IF($E480="","",INDEX('Input Transaksi'!$E:$E,$E480))</f>
        <v/>
      </c>
      <c r="D480" s="5">
        <f>IF($E480="","",INDEX('Input Transaksi'!$F:$F,$E480))</f>
        <v/>
      </c>
      <c r="E480">
        <f>IFERROR(AGGREGATE(15,6,ROW('Input Transaksi'!$B$5:$B$5000)/('Input Transaksi'!$B$5:$B$5000="GRIYA ANYAR"),ROWS($E$5:E480)),"")</f>
        <v/>
      </c>
      <c r="F480" s="5" t="n"/>
    </row>
    <row r="481">
      <c r="A481" s="10">
        <f>IF($E481="","",INDEX('Input Transaksi'!$A:$A,$E481))</f>
        <v/>
      </c>
      <c r="B481" s="5">
        <f>IF($E481="","",INDEX('Input Transaksi'!$D:$D,$E481))</f>
        <v/>
      </c>
      <c r="C481">
        <f>IF($E481="","",INDEX('Input Transaksi'!$E:$E,$E481))</f>
        <v/>
      </c>
      <c r="D481" s="5">
        <f>IF($E481="","",INDEX('Input Transaksi'!$F:$F,$E481))</f>
        <v/>
      </c>
      <c r="E481">
        <f>IFERROR(AGGREGATE(15,6,ROW('Input Transaksi'!$B$5:$B$5000)/('Input Transaksi'!$B$5:$B$5000="GRIYA ANYAR"),ROWS($E$5:E481)),"")</f>
        <v/>
      </c>
      <c r="F481" s="5" t="n"/>
    </row>
    <row r="482">
      <c r="A482" s="10">
        <f>IF($E482="","",INDEX('Input Transaksi'!$A:$A,$E482))</f>
        <v/>
      </c>
      <c r="B482" s="5">
        <f>IF($E482="","",INDEX('Input Transaksi'!$D:$D,$E482))</f>
        <v/>
      </c>
      <c r="C482">
        <f>IF($E482="","",INDEX('Input Transaksi'!$E:$E,$E482))</f>
        <v/>
      </c>
      <c r="D482" s="5">
        <f>IF($E482="","",INDEX('Input Transaksi'!$F:$F,$E482))</f>
        <v/>
      </c>
      <c r="E482">
        <f>IFERROR(AGGREGATE(15,6,ROW('Input Transaksi'!$B$5:$B$5000)/('Input Transaksi'!$B$5:$B$5000="GRIYA ANYAR"),ROWS($E$5:E482)),"")</f>
        <v/>
      </c>
      <c r="F482" s="5" t="n"/>
    </row>
    <row r="483">
      <c r="A483" s="10">
        <f>IF($E483="","",INDEX('Input Transaksi'!$A:$A,$E483))</f>
        <v/>
      </c>
      <c r="B483" s="5">
        <f>IF($E483="","",INDEX('Input Transaksi'!$D:$D,$E483))</f>
        <v/>
      </c>
      <c r="C483">
        <f>IF($E483="","",INDEX('Input Transaksi'!$E:$E,$E483))</f>
        <v/>
      </c>
      <c r="D483" s="5">
        <f>IF($E483="","",INDEX('Input Transaksi'!$F:$F,$E483))</f>
        <v/>
      </c>
      <c r="E483">
        <f>IFERROR(AGGREGATE(15,6,ROW('Input Transaksi'!$B$5:$B$5000)/('Input Transaksi'!$B$5:$B$5000="GRIYA ANYAR"),ROWS($E$5:E483)),"")</f>
        <v/>
      </c>
      <c r="F483" s="5" t="n"/>
    </row>
    <row r="484">
      <c r="A484" s="10">
        <f>IF($E484="","",INDEX('Input Transaksi'!$A:$A,$E484))</f>
        <v/>
      </c>
      <c r="B484" s="5">
        <f>IF($E484="","",INDEX('Input Transaksi'!$D:$D,$E484))</f>
        <v/>
      </c>
      <c r="C484">
        <f>IF($E484="","",INDEX('Input Transaksi'!$E:$E,$E484))</f>
        <v/>
      </c>
      <c r="D484" s="5">
        <f>IF($E484="","",INDEX('Input Transaksi'!$F:$F,$E484))</f>
        <v/>
      </c>
      <c r="E484">
        <f>IFERROR(AGGREGATE(15,6,ROW('Input Transaksi'!$B$5:$B$5000)/('Input Transaksi'!$B$5:$B$5000="GRIYA ANYAR"),ROWS($E$5:E484)),"")</f>
        <v/>
      </c>
      <c r="F484" s="5" t="n"/>
    </row>
    <row r="485">
      <c r="A485" s="10">
        <f>IF($E485="","",INDEX('Input Transaksi'!$A:$A,$E485))</f>
        <v/>
      </c>
      <c r="B485" s="5">
        <f>IF($E485="","",INDEX('Input Transaksi'!$D:$D,$E485))</f>
        <v/>
      </c>
      <c r="C485">
        <f>IF($E485="","",INDEX('Input Transaksi'!$E:$E,$E485))</f>
        <v/>
      </c>
      <c r="D485" s="5">
        <f>IF($E485="","",INDEX('Input Transaksi'!$F:$F,$E485))</f>
        <v/>
      </c>
      <c r="E485">
        <f>IFERROR(AGGREGATE(15,6,ROW('Input Transaksi'!$B$5:$B$5000)/('Input Transaksi'!$B$5:$B$5000="GRIYA ANYAR"),ROWS($E$5:E485)),"")</f>
        <v/>
      </c>
      <c r="F485" s="5" t="n"/>
    </row>
    <row r="486">
      <c r="A486" s="10">
        <f>IF($E486="","",INDEX('Input Transaksi'!$A:$A,$E486))</f>
        <v/>
      </c>
      <c r="B486" s="5">
        <f>IF($E486="","",INDEX('Input Transaksi'!$D:$D,$E486))</f>
        <v/>
      </c>
      <c r="C486">
        <f>IF($E486="","",INDEX('Input Transaksi'!$E:$E,$E486))</f>
        <v/>
      </c>
      <c r="D486" s="5">
        <f>IF($E486="","",INDEX('Input Transaksi'!$F:$F,$E486))</f>
        <v/>
      </c>
      <c r="E486">
        <f>IFERROR(AGGREGATE(15,6,ROW('Input Transaksi'!$B$5:$B$5000)/('Input Transaksi'!$B$5:$B$5000="GRIYA ANYAR"),ROWS($E$5:E486)),"")</f>
        <v/>
      </c>
      <c r="F486" s="5" t="n"/>
    </row>
    <row r="487">
      <c r="A487" s="10">
        <f>IF($E487="","",INDEX('Input Transaksi'!$A:$A,$E487))</f>
        <v/>
      </c>
      <c r="B487" s="5">
        <f>IF($E487="","",INDEX('Input Transaksi'!$D:$D,$E487))</f>
        <v/>
      </c>
      <c r="C487">
        <f>IF($E487="","",INDEX('Input Transaksi'!$E:$E,$E487))</f>
        <v/>
      </c>
      <c r="D487" s="5">
        <f>IF($E487="","",INDEX('Input Transaksi'!$F:$F,$E487))</f>
        <v/>
      </c>
      <c r="E487">
        <f>IFERROR(AGGREGATE(15,6,ROW('Input Transaksi'!$B$5:$B$5000)/('Input Transaksi'!$B$5:$B$5000="GRIYA ANYAR"),ROWS($E$5:E487)),"")</f>
        <v/>
      </c>
      <c r="F487" s="5" t="n"/>
    </row>
    <row r="488">
      <c r="A488" s="10">
        <f>IF($E488="","",INDEX('Input Transaksi'!$A:$A,$E488))</f>
        <v/>
      </c>
      <c r="B488" s="5">
        <f>IF($E488="","",INDEX('Input Transaksi'!$D:$D,$E488))</f>
        <v/>
      </c>
      <c r="C488">
        <f>IF($E488="","",INDEX('Input Transaksi'!$E:$E,$E488))</f>
        <v/>
      </c>
      <c r="D488" s="5">
        <f>IF($E488="","",INDEX('Input Transaksi'!$F:$F,$E488))</f>
        <v/>
      </c>
      <c r="E488">
        <f>IFERROR(AGGREGATE(15,6,ROW('Input Transaksi'!$B$5:$B$5000)/('Input Transaksi'!$B$5:$B$5000="GRIYA ANYAR"),ROWS($E$5:E488)),"")</f>
        <v/>
      </c>
      <c r="F488" s="5" t="n"/>
    </row>
    <row r="489">
      <c r="A489" s="10">
        <f>IF($E489="","",INDEX('Input Transaksi'!$A:$A,$E489))</f>
        <v/>
      </c>
      <c r="B489" s="5">
        <f>IF($E489="","",INDEX('Input Transaksi'!$D:$D,$E489))</f>
        <v/>
      </c>
      <c r="C489">
        <f>IF($E489="","",INDEX('Input Transaksi'!$E:$E,$E489))</f>
        <v/>
      </c>
      <c r="D489" s="5">
        <f>IF($E489="","",INDEX('Input Transaksi'!$F:$F,$E489))</f>
        <v/>
      </c>
      <c r="E489">
        <f>IFERROR(AGGREGATE(15,6,ROW('Input Transaksi'!$B$5:$B$5000)/('Input Transaksi'!$B$5:$B$5000="GRIYA ANYAR"),ROWS($E$5:E489)),"")</f>
        <v/>
      </c>
      <c r="F489" s="5" t="n"/>
    </row>
    <row r="490">
      <c r="A490" s="10">
        <f>IF($E490="","",INDEX('Input Transaksi'!$A:$A,$E490))</f>
        <v/>
      </c>
      <c r="B490" s="5">
        <f>IF($E490="","",INDEX('Input Transaksi'!$D:$D,$E490))</f>
        <v/>
      </c>
      <c r="C490">
        <f>IF($E490="","",INDEX('Input Transaksi'!$E:$E,$E490))</f>
        <v/>
      </c>
      <c r="D490" s="5">
        <f>IF($E490="","",INDEX('Input Transaksi'!$F:$F,$E490))</f>
        <v/>
      </c>
      <c r="E490">
        <f>IFERROR(AGGREGATE(15,6,ROW('Input Transaksi'!$B$5:$B$5000)/('Input Transaksi'!$B$5:$B$5000="GRIYA ANYAR"),ROWS($E$5:E490)),"")</f>
        <v/>
      </c>
      <c r="F490" s="5" t="n"/>
    </row>
    <row r="491">
      <c r="A491" s="10">
        <f>IF($E491="","",INDEX('Input Transaksi'!$A:$A,$E491))</f>
        <v/>
      </c>
      <c r="B491" s="5">
        <f>IF($E491="","",INDEX('Input Transaksi'!$D:$D,$E491))</f>
        <v/>
      </c>
      <c r="C491">
        <f>IF($E491="","",INDEX('Input Transaksi'!$E:$E,$E491))</f>
        <v/>
      </c>
      <c r="D491" s="5">
        <f>IF($E491="","",INDEX('Input Transaksi'!$F:$F,$E491))</f>
        <v/>
      </c>
      <c r="E491">
        <f>IFERROR(AGGREGATE(15,6,ROW('Input Transaksi'!$B$5:$B$5000)/('Input Transaksi'!$B$5:$B$5000="GRIYA ANYAR"),ROWS($E$5:E491)),"")</f>
        <v/>
      </c>
      <c r="F491" s="5" t="n"/>
    </row>
    <row r="492">
      <c r="A492" s="10">
        <f>IF($E492="","",INDEX('Input Transaksi'!$A:$A,$E492))</f>
        <v/>
      </c>
      <c r="B492" s="5">
        <f>IF($E492="","",INDEX('Input Transaksi'!$D:$D,$E492))</f>
        <v/>
      </c>
      <c r="C492">
        <f>IF($E492="","",INDEX('Input Transaksi'!$E:$E,$E492))</f>
        <v/>
      </c>
      <c r="D492" s="5">
        <f>IF($E492="","",INDEX('Input Transaksi'!$F:$F,$E492))</f>
        <v/>
      </c>
      <c r="E492">
        <f>IFERROR(AGGREGATE(15,6,ROW('Input Transaksi'!$B$5:$B$5000)/('Input Transaksi'!$B$5:$B$5000="GRIYA ANYAR"),ROWS($E$5:E492)),"")</f>
        <v/>
      </c>
      <c r="F492" s="5" t="n"/>
    </row>
    <row r="493">
      <c r="A493" s="10">
        <f>IF($E493="","",INDEX('Input Transaksi'!$A:$A,$E493))</f>
        <v/>
      </c>
      <c r="B493" s="5">
        <f>IF($E493="","",INDEX('Input Transaksi'!$D:$D,$E493))</f>
        <v/>
      </c>
      <c r="C493">
        <f>IF($E493="","",INDEX('Input Transaksi'!$E:$E,$E493))</f>
        <v/>
      </c>
      <c r="D493" s="5">
        <f>IF($E493="","",INDEX('Input Transaksi'!$F:$F,$E493))</f>
        <v/>
      </c>
      <c r="E493">
        <f>IFERROR(AGGREGATE(15,6,ROW('Input Transaksi'!$B$5:$B$5000)/('Input Transaksi'!$B$5:$B$5000="GRIYA ANYAR"),ROWS($E$5:E493)),"")</f>
        <v/>
      </c>
      <c r="F493" s="5" t="n"/>
    </row>
    <row r="494">
      <c r="A494" s="10">
        <f>IF($E494="","",INDEX('Input Transaksi'!$A:$A,$E494))</f>
        <v/>
      </c>
      <c r="B494" s="5">
        <f>IF($E494="","",INDEX('Input Transaksi'!$D:$D,$E494))</f>
        <v/>
      </c>
      <c r="C494">
        <f>IF($E494="","",INDEX('Input Transaksi'!$E:$E,$E494))</f>
        <v/>
      </c>
      <c r="D494" s="5">
        <f>IF($E494="","",INDEX('Input Transaksi'!$F:$F,$E494))</f>
        <v/>
      </c>
      <c r="E494">
        <f>IFERROR(AGGREGATE(15,6,ROW('Input Transaksi'!$B$5:$B$5000)/('Input Transaksi'!$B$5:$B$5000="GRIYA ANYAR"),ROWS($E$5:E494)),"")</f>
        <v/>
      </c>
      <c r="F494" s="5" t="n"/>
    </row>
    <row r="495">
      <c r="A495" s="10">
        <f>IF($E495="","",INDEX('Input Transaksi'!$A:$A,$E495))</f>
        <v/>
      </c>
      <c r="B495" s="5">
        <f>IF($E495="","",INDEX('Input Transaksi'!$D:$D,$E495))</f>
        <v/>
      </c>
      <c r="C495">
        <f>IF($E495="","",INDEX('Input Transaksi'!$E:$E,$E495))</f>
        <v/>
      </c>
      <c r="D495" s="5">
        <f>IF($E495="","",INDEX('Input Transaksi'!$F:$F,$E495))</f>
        <v/>
      </c>
      <c r="E495">
        <f>IFERROR(AGGREGATE(15,6,ROW('Input Transaksi'!$B$5:$B$5000)/('Input Transaksi'!$B$5:$B$5000="GRIYA ANYAR"),ROWS($E$5:E495)),"")</f>
        <v/>
      </c>
      <c r="F495" s="5" t="n"/>
    </row>
    <row r="496">
      <c r="A496" s="10">
        <f>IF($E496="","",INDEX('Input Transaksi'!$A:$A,$E496))</f>
        <v/>
      </c>
      <c r="B496" s="5">
        <f>IF($E496="","",INDEX('Input Transaksi'!$D:$D,$E496))</f>
        <v/>
      </c>
      <c r="C496">
        <f>IF($E496="","",INDEX('Input Transaksi'!$E:$E,$E496))</f>
        <v/>
      </c>
      <c r="D496" s="5">
        <f>IF($E496="","",INDEX('Input Transaksi'!$F:$F,$E496))</f>
        <v/>
      </c>
      <c r="E496">
        <f>IFERROR(AGGREGATE(15,6,ROW('Input Transaksi'!$B$5:$B$5000)/('Input Transaksi'!$B$5:$B$5000="GRIYA ANYAR"),ROWS($E$5:E496)),"")</f>
        <v/>
      </c>
      <c r="F496" s="5" t="n"/>
    </row>
    <row r="497">
      <c r="A497" s="10">
        <f>IF($E497="","",INDEX('Input Transaksi'!$A:$A,$E497))</f>
        <v/>
      </c>
      <c r="B497" s="5">
        <f>IF($E497="","",INDEX('Input Transaksi'!$D:$D,$E497))</f>
        <v/>
      </c>
      <c r="C497">
        <f>IF($E497="","",INDEX('Input Transaksi'!$E:$E,$E497))</f>
        <v/>
      </c>
      <c r="D497" s="5">
        <f>IF($E497="","",INDEX('Input Transaksi'!$F:$F,$E497))</f>
        <v/>
      </c>
      <c r="E497">
        <f>IFERROR(AGGREGATE(15,6,ROW('Input Transaksi'!$B$5:$B$5000)/('Input Transaksi'!$B$5:$B$5000="GRIYA ANYAR"),ROWS($E$5:E497)),"")</f>
        <v/>
      </c>
      <c r="F497" s="5" t="n"/>
    </row>
    <row r="498">
      <c r="A498" s="10">
        <f>IF($E498="","",INDEX('Input Transaksi'!$A:$A,$E498))</f>
        <v/>
      </c>
      <c r="B498" s="5">
        <f>IF($E498="","",INDEX('Input Transaksi'!$D:$D,$E498))</f>
        <v/>
      </c>
      <c r="C498">
        <f>IF($E498="","",INDEX('Input Transaksi'!$E:$E,$E498))</f>
        <v/>
      </c>
      <c r="D498" s="5">
        <f>IF($E498="","",INDEX('Input Transaksi'!$F:$F,$E498))</f>
        <v/>
      </c>
      <c r="E498">
        <f>IFERROR(AGGREGATE(15,6,ROW('Input Transaksi'!$B$5:$B$5000)/('Input Transaksi'!$B$5:$B$5000="GRIYA ANYAR"),ROWS($E$5:E498)),"")</f>
        <v/>
      </c>
      <c r="F498" s="5" t="n"/>
    </row>
    <row r="499">
      <c r="A499" s="10">
        <f>IF($E499="","",INDEX('Input Transaksi'!$A:$A,$E499))</f>
        <v/>
      </c>
      <c r="B499" s="5">
        <f>IF($E499="","",INDEX('Input Transaksi'!$D:$D,$E499))</f>
        <v/>
      </c>
      <c r="C499">
        <f>IF($E499="","",INDEX('Input Transaksi'!$E:$E,$E499))</f>
        <v/>
      </c>
      <c r="D499" s="5">
        <f>IF($E499="","",INDEX('Input Transaksi'!$F:$F,$E499))</f>
        <v/>
      </c>
      <c r="E499">
        <f>IFERROR(AGGREGATE(15,6,ROW('Input Transaksi'!$B$5:$B$5000)/('Input Transaksi'!$B$5:$B$5000="GRIYA ANYAR"),ROWS($E$5:E499)),"")</f>
        <v/>
      </c>
      <c r="F499" s="5" t="n"/>
    </row>
    <row r="500">
      <c r="A500" s="10">
        <f>IF($E500="","",INDEX('Input Transaksi'!$A:$A,$E500))</f>
        <v/>
      </c>
      <c r="B500" s="5">
        <f>IF($E500="","",INDEX('Input Transaksi'!$D:$D,$E500))</f>
        <v/>
      </c>
      <c r="C500">
        <f>IF($E500="","",INDEX('Input Transaksi'!$E:$E,$E500))</f>
        <v/>
      </c>
      <c r="D500" s="5">
        <f>IF($E500="","",INDEX('Input Transaksi'!$F:$F,$E500))</f>
        <v/>
      </c>
      <c r="E500">
        <f>IFERROR(AGGREGATE(15,6,ROW('Input Transaksi'!$B$5:$B$5000)/('Input Transaksi'!$B$5:$B$5000="GRIYA ANYAR"),ROWS($E$5:E500)),"")</f>
        <v/>
      </c>
      <c r="F500" s="5" t="n"/>
    </row>
    <row r="501">
      <c r="A501" s="10">
        <f>IF($E501="","",INDEX('Input Transaksi'!$A:$A,$E501))</f>
        <v/>
      </c>
      <c r="B501" s="5">
        <f>IF($E501="","",INDEX('Input Transaksi'!$D:$D,$E501))</f>
        <v/>
      </c>
      <c r="C501">
        <f>IF($E501="","",INDEX('Input Transaksi'!$E:$E,$E501))</f>
        <v/>
      </c>
      <c r="D501" s="5">
        <f>IF($E501="","",INDEX('Input Transaksi'!$F:$F,$E501))</f>
        <v/>
      </c>
      <c r="E501">
        <f>IFERROR(AGGREGATE(15,6,ROW('Input Transaksi'!$B$5:$B$5000)/('Input Transaksi'!$B$5:$B$5000="GRIYA ANYAR"),ROWS($E$5:E501)),"")</f>
        <v/>
      </c>
      <c r="F501" s="5" t="n"/>
    </row>
    <row r="502">
      <c r="A502" s="10">
        <f>IF($E502="","",INDEX('Input Transaksi'!$A:$A,$E502))</f>
        <v/>
      </c>
      <c r="B502" s="5">
        <f>IF($E502="","",INDEX('Input Transaksi'!$D:$D,$E502))</f>
        <v/>
      </c>
      <c r="C502">
        <f>IF($E502="","",INDEX('Input Transaksi'!$E:$E,$E502))</f>
        <v/>
      </c>
      <c r="D502" s="5">
        <f>IF($E502="","",INDEX('Input Transaksi'!$F:$F,$E502))</f>
        <v/>
      </c>
      <c r="E502">
        <f>IFERROR(AGGREGATE(15,6,ROW('Input Transaksi'!$B$5:$B$5000)/('Input Transaksi'!$B$5:$B$5000="GRIYA ANYAR"),ROWS($E$5:E502)),"")</f>
        <v/>
      </c>
      <c r="F502" s="5" t="n"/>
    </row>
    <row r="503">
      <c r="A503" s="10">
        <f>IF($E503="","",INDEX('Input Transaksi'!$A:$A,$E503))</f>
        <v/>
      </c>
      <c r="B503" s="5">
        <f>IF($E503="","",INDEX('Input Transaksi'!$D:$D,$E503))</f>
        <v/>
      </c>
      <c r="C503">
        <f>IF($E503="","",INDEX('Input Transaksi'!$E:$E,$E503))</f>
        <v/>
      </c>
      <c r="D503" s="5">
        <f>IF($E503="","",INDEX('Input Transaksi'!$F:$F,$E503))</f>
        <v/>
      </c>
      <c r="E503">
        <f>IFERROR(AGGREGATE(15,6,ROW('Input Transaksi'!$B$5:$B$5000)/('Input Transaksi'!$B$5:$B$5000="GRIYA ANYAR"),ROWS($E$5:E503)),"")</f>
        <v/>
      </c>
      <c r="F503" s="5" t="n"/>
    </row>
    <row r="504">
      <c r="A504" s="10">
        <f>IF($E504="","",INDEX('Input Transaksi'!$A:$A,$E504))</f>
        <v/>
      </c>
      <c r="B504" s="5">
        <f>IF($E504="","",INDEX('Input Transaksi'!$D:$D,$E504))</f>
        <v/>
      </c>
      <c r="C504">
        <f>IF($E504="","",INDEX('Input Transaksi'!$E:$E,$E504))</f>
        <v/>
      </c>
      <c r="D504" s="5">
        <f>IF($E504="","",INDEX('Input Transaksi'!$F:$F,$E504))</f>
        <v/>
      </c>
      <c r="E504">
        <f>IFERROR(AGGREGATE(15,6,ROW('Input Transaksi'!$B$5:$B$5000)/('Input Transaksi'!$B$5:$B$5000="GRIYA ANYAR"),ROWS($E$5:E504)),"")</f>
        <v/>
      </c>
      <c r="F504" s="5" t="n"/>
    </row>
    <row r="505">
      <c r="A505" s="10">
        <f>IF($E505="","",INDEX('Input Transaksi'!$A:$A,$E505))</f>
        <v/>
      </c>
      <c r="B505" s="5">
        <f>IF($E505="","",INDEX('Input Transaksi'!$D:$D,$E505))</f>
        <v/>
      </c>
      <c r="C505">
        <f>IF($E505="","",INDEX('Input Transaksi'!$E:$E,$E505))</f>
        <v/>
      </c>
      <c r="D505" s="5">
        <f>IF($E505="","",INDEX('Input Transaksi'!$F:$F,$E505))</f>
        <v/>
      </c>
      <c r="E505">
        <f>IFERROR(AGGREGATE(15,6,ROW('Input Transaksi'!$B$5:$B$5000)/('Input Transaksi'!$B$5:$B$5000="GRIYA ANYAR"),ROWS($E$5:E505)),"")</f>
        <v/>
      </c>
      <c r="F505" s="5" t="n"/>
    </row>
    <row r="506">
      <c r="A506" s="10">
        <f>IF($E506="","",INDEX('Input Transaksi'!$A:$A,$E506))</f>
        <v/>
      </c>
      <c r="B506" s="5">
        <f>IF($E506="","",INDEX('Input Transaksi'!$D:$D,$E506))</f>
        <v/>
      </c>
      <c r="C506">
        <f>IF($E506="","",INDEX('Input Transaksi'!$E:$E,$E506))</f>
        <v/>
      </c>
      <c r="D506" s="5">
        <f>IF($E506="","",INDEX('Input Transaksi'!$F:$F,$E506))</f>
        <v/>
      </c>
      <c r="E506">
        <f>IFERROR(AGGREGATE(15,6,ROW('Input Transaksi'!$B$5:$B$5000)/('Input Transaksi'!$B$5:$B$5000="GRIYA ANYAR"),ROWS($E$5:E506)),"")</f>
        <v/>
      </c>
      <c r="F506" s="5" t="n"/>
    </row>
    <row r="507">
      <c r="A507" s="10">
        <f>IF($E507="","",INDEX('Input Transaksi'!$A:$A,$E507))</f>
        <v/>
      </c>
      <c r="B507" s="5">
        <f>IF($E507="","",INDEX('Input Transaksi'!$D:$D,$E507))</f>
        <v/>
      </c>
      <c r="C507">
        <f>IF($E507="","",INDEX('Input Transaksi'!$E:$E,$E507))</f>
        <v/>
      </c>
      <c r="D507" s="5">
        <f>IF($E507="","",INDEX('Input Transaksi'!$F:$F,$E507))</f>
        <v/>
      </c>
      <c r="E507">
        <f>IFERROR(AGGREGATE(15,6,ROW('Input Transaksi'!$B$5:$B$5000)/('Input Transaksi'!$B$5:$B$5000="GRIYA ANYAR"),ROWS($E$5:E507)),"")</f>
        <v/>
      </c>
      <c r="F507" s="5" t="n"/>
    </row>
    <row r="508">
      <c r="A508" s="10">
        <f>IF($E508="","",INDEX('Input Transaksi'!$A:$A,$E508))</f>
        <v/>
      </c>
      <c r="B508" s="5">
        <f>IF($E508="","",INDEX('Input Transaksi'!$D:$D,$E508))</f>
        <v/>
      </c>
      <c r="C508">
        <f>IF($E508="","",INDEX('Input Transaksi'!$E:$E,$E508))</f>
        <v/>
      </c>
      <c r="D508" s="5">
        <f>IF($E508="","",INDEX('Input Transaksi'!$F:$F,$E508))</f>
        <v/>
      </c>
      <c r="E508">
        <f>IFERROR(AGGREGATE(15,6,ROW('Input Transaksi'!$B$5:$B$5000)/('Input Transaksi'!$B$5:$B$5000="GRIYA ANYAR"),ROWS($E$5:E508)),"")</f>
        <v/>
      </c>
      <c r="F508" s="5" t="n"/>
    </row>
    <row r="509">
      <c r="A509" s="10">
        <f>IF($E509="","",INDEX('Input Transaksi'!$A:$A,$E509))</f>
        <v/>
      </c>
      <c r="B509" s="5">
        <f>IF($E509="","",INDEX('Input Transaksi'!$D:$D,$E509))</f>
        <v/>
      </c>
      <c r="C509">
        <f>IF($E509="","",INDEX('Input Transaksi'!$E:$E,$E509))</f>
        <v/>
      </c>
      <c r="D509" s="5">
        <f>IF($E509="","",INDEX('Input Transaksi'!$F:$F,$E509))</f>
        <v/>
      </c>
      <c r="E509">
        <f>IFERROR(AGGREGATE(15,6,ROW('Input Transaksi'!$B$5:$B$5000)/('Input Transaksi'!$B$5:$B$5000="GRIYA ANYAR"),ROWS($E$5:E509)),"")</f>
        <v/>
      </c>
      <c r="F509" s="5" t="n"/>
    </row>
    <row r="510">
      <c r="A510" s="10">
        <f>IF($E510="","",INDEX('Input Transaksi'!$A:$A,$E510))</f>
        <v/>
      </c>
      <c r="B510" s="5">
        <f>IF($E510="","",INDEX('Input Transaksi'!$D:$D,$E510))</f>
        <v/>
      </c>
      <c r="C510">
        <f>IF($E510="","",INDEX('Input Transaksi'!$E:$E,$E510))</f>
        <v/>
      </c>
      <c r="D510" s="5">
        <f>IF($E510="","",INDEX('Input Transaksi'!$F:$F,$E510))</f>
        <v/>
      </c>
      <c r="E510">
        <f>IFERROR(AGGREGATE(15,6,ROW('Input Transaksi'!$B$5:$B$5000)/('Input Transaksi'!$B$5:$B$5000="GRIYA ANYAR"),ROWS($E$5:E510)),"")</f>
        <v/>
      </c>
      <c r="F510" s="5" t="n"/>
    </row>
    <row r="511">
      <c r="A511" s="10">
        <f>IF($E511="","",INDEX('Input Transaksi'!$A:$A,$E511))</f>
        <v/>
      </c>
      <c r="B511" s="5">
        <f>IF($E511="","",INDEX('Input Transaksi'!$D:$D,$E511))</f>
        <v/>
      </c>
      <c r="C511">
        <f>IF($E511="","",INDEX('Input Transaksi'!$E:$E,$E511))</f>
        <v/>
      </c>
      <c r="D511" s="5">
        <f>IF($E511="","",INDEX('Input Transaksi'!$F:$F,$E511))</f>
        <v/>
      </c>
      <c r="E511">
        <f>IFERROR(AGGREGATE(15,6,ROW('Input Transaksi'!$B$5:$B$5000)/('Input Transaksi'!$B$5:$B$5000="GRIYA ANYAR"),ROWS($E$5:E511)),"")</f>
        <v/>
      </c>
      <c r="F511" s="5" t="n"/>
    </row>
    <row r="512">
      <c r="A512" s="10">
        <f>IF($E512="","",INDEX('Input Transaksi'!$A:$A,$E512))</f>
        <v/>
      </c>
      <c r="B512" s="5">
        <f>IF($E512="","",INDEX('Input Transaksi'!$D:$D,$E512))</f>
        <v/>
      </c>
      <c r="C512">
        <f>IF($E512="","",INDEX('Input Transaksi'!$E:$E,$E512))</f>
        <v/>
      </c>
      <c r="D512" s="5">
        <f>IF($E512="","",INDEX('Input Transaksi'!$F:$F,$E512))</f>
        <v/>
      </c>
      <c r="E512">
        <f>IFERROR(AGGREGATE(15,6,ROW('Input Transaksi'!$B$5:$B$5000)/('Input Transaksi'!$B$5:$B$5000="GRIYA ANYAR"),ROWS($E$5:E512)),"")</f>
        <v/>
      </c>
      <c r="F512" s="5" t="n"/>
    </row>
    <row r="513">
      <c r="A513" s="10">
        <f>IF($E513="","",INDEX('Input Transaksi'!$A:$A,$E513))</f>
        <v/>
      </c>
      <c r="B513" s="5">
        <f>IF($E513="","",INDEX('Input Transaksi'!$D:$D,$E513))</f>
        <v/>
      </c>
      <c r="C513">
        <f>IF($E513="","",INDEX('Input Transaksi'!$E:$E,$E513))</f>
        <v/>
      </c>
      <c r="D513" s="5">
        <f>IF($E513="","",INDEX('Input Transaksi'!$F:$F,$E513))</f>
        <v/>
      </c>
      <c r="E513">
        <f>IFERROR(AGGREGATE(15,6,ROW('Input Transaksi'!$B$5:$B$5000)/('Input Transaksi'!$B$5:$B$5000="GRIYA ANYAR"),ROWS($E$5:E513)),"")</f>
        <v/>
      </c>
      <c r="F513" s="5" t="n"/>
    </row>
    <row r="514">
      <c r="A514" s="10">
        <f>IF($E514="","",INDEX('Input Transaksi'!$A:$A,$E514))</f>
        <v/>
      </c>
      <c r="B514" s="5">
        <f>IF($E514="","",INDEX('Input Transaksi'!$D:$D,$E514))</f>
        <v/>
      </c>
      <c r="C514">
        <f>IF($E514="","",INDEX('Input Transaksi'!$E:$E,$E514))</f>
        <v/>
      </c>
      <c r="D514" s="5">
        <f>IF($E514="","",INDEX('Input Transaksi'!$F:$F,$E514))</f>
        <v/>
      </c>
      <c r="E514">
        <f>IFERROR(AGGREGATE(15,6,ROW('Input Transaksi'!$B$5:$B$5000)/('Input Transaksi'!$B$5:$B$5000="GRIYA ANYAR"),ROWS($E$5:E514)),"")</f>
        <v/>
      </c>
      <c r="F514" s="5" t="n"/>
    </row>
    <row r="515">
      <c r="A515" s="10">
        <f>IF($E515="","",INDEX('Input Transaksi'!$A:$A,$E515))</f>
        <v/>
      </c>
      <c r="B515" s="5">
        <f>IF($E515="","",INDEX('Input Transaksi'!$D:$D,$E515))</f>
        <v/>
      </c>
      <c r="C515">
        <f>IF($E515="","",INDEX('Input Transaksi'!$E:$E,$E515))</f>
        <v/>
      </c>
      <c r="D515" s="5">
        <f>IF($E515="","",INDEX('Input Transaksi'!$F:$F,$E515))</f>
        <v/>
      </c>
      <c r="E515">
        <f>IFERROR(AGGREGATE(15,6,ROW('Input Transaksi'!$B$5:$B$5000)/('Input Transaksi'!$B$5:$B$5000="GRIYA ANYAR"),ROWS($E$5:E515)),"")</f>
        <v/>
      </c>
      <c r="F515" s="5" t="n"/>
    </row>
    <row r="516">
      <c r="A516" s="10">
        <f>IF($E516="","",INDEX('Input Transaksi'!$A:$A,$E516))</f>
        <v/>
      </c>
      <c r="B516" s="5">
        <f>IF($E516="","",INDEX('Input Transaksi'!$D:$D,$E516))</f>
        <v/>
      </c>
      <c r="C516">
        <f>IF($E516="","",INDEX('Input Transaksi'!$E:$E,$E516))</f>
        <v/>
      </c>
      <c r="D516" s="5">
        <f>IF($E516="","",INDEX('Input Transaksi'!$F:$F,$E516))</f>
        <v/>
      </c>
      <c r="E516">
        <f>IFERROR(AGGREGATE(15,6,ROW('Input Transaksi'!$B$5:$B$5000)/('Input Transaksi'!$B$5:$B$5000="GRIYA ANYAR"),ROWS($E$5:E516)),"")</f>
        <v/>
      </c>
      <c r="F516" s="5" t="n"/>
    </row>
    <row r="517">
      <c r="A517" s="10">
        <f>IF($E517="","",INDEX('Input Transaksi'!$A:$A,$E517))</f>
        <v/>
      </c>
      <c r="B517" s="5">
        <f>IF($E517="","",INDEX('Input Transaksi'!$D:$D,$E517))</f>
        <v/>
      </c>
      <c r="C517">
        <f>IF($E517="","",INDEX('Input Transaksi'!$E:$E,$E517))</f>
        <v/>
      </c>
      <c r="D517" s="5">
        <f>IF($E517="","",INDEX('Input Transaksi'!$F:$F,$E517))</f>
        <v/>
      </c>
      <c r="E517">
        <f>IFERROR(AGGREGATE(15,6,ROW('Input Transaksi'!$B$5:$B$5000)/('Input Transaksi'!$B$5:$B$5000="GRIYA ANYAR"),ROWS($E$5:E517)),"")</f>
        <v/>
      </c>
      <c r="F517" s="5" t="n"/>
    </row>
    <row r="518">
      <c r="A518" s="10">
        <f>IF($E518="","",INDEX('Input Transaksi'!$A:$A,$E518))</f>
        <v/>
      </c>
      <c r="B518" s="5">
        <f>IF($E518="","",INDEX('Input Transaksi'!$D:$D,$E518))</f>
        <v/>
      </c>
      <c r="C518">
        <f>IF($E518="","",INDEX('Input Transaksi'!$E:$E,$E518))</f>
        <v/>
      </c>
      <c r="D518" s="5">
        <f>IF($E518="","",INDEX('Input Transaksi'!$F:$F,$E518))</f>
        <v/>
      </c>
      <c r="E518">
        <f>IFERROR(AGGREGATE(15,6,ROW('Input Transaksi'!$B$5:$B$5000)/('Input Transaksi'!$B$5:$B$5000="GRIYA ANYAR"),ROWS($E$5:E518)),"")</f>
        <v/>
      </c>
      <c r="F518" s="5" t="n"/>
    </row>
    <row r="519">
      <c r="A519" s="10">
        <f>IF($E519="","",INDEX('Input Transaksi'!$A:$A,$E519))</f>
        <v/>
      </c>
      <c r="B519" s="5">
        <f>IF($E519="","",INDEX('Input Transaksi'!$D:$D,$E519))</f>
        <v/>
      </c>
      <c r="C519">
        <f>IF($E519="","",INDEX('Input Transaksi'!$E:$E,$E519))</f>
        <v/>
      </c>
      <c r="D519" s="5">
        <f>IF($E519="","",INDEX('Input Transaksi'!$F:$F,$E519))</f>
        <v/>
      </c>
      <c r="E519">
        <f>IFERROR(AGGREGATE(15,6,ROW('Input Transaksi'!$B$5:$B$5000)/('Input Transaksi'!$B$5:$B$5000="GRIYA ANYAR"),ROWS($E$5:E519)),"")</f>
        <v/>
      </c>
      <c r="F519" s="5" t="n"/>
    </row>
    <row r="520">
      <c r="A520" s="10">
        <f>IF($E520="","",INDEX('Input Transaksi'!$A:$A,$E520))</f>
        <v/>
      </c>
      <c r="B520" s="5">
        <f>IF($E520="","",INDEX('Input Transaksi'!$D:$D,$E520))</f>
        <v/>
      </c>
      <c r="C520">
        <f>IF($E520="","",INDEX('Input Transaksi'!$E:$E,$E520))</f>
        <v/>
      </c>
      <c r="D520" s="5">
        <f>IF($E520="","",INDEX('Input Transaksi'!$F:$F,$E520))</f>
        <v/>
      </c>
      <c r="E520">
        <f>IFERROR(AGGREGATE(15,6,ROW('Input Transaksi'!$B$5:$B$5000)/('Input Transaksi'!$B$5:$B$5000="GRIYA ANYAR"),ROWS($E$5:E520)),"")</f>
        <v/>
      </c>
      <c r="F520" s="5" t="n"/>
    </row>
    <row r="521">
      <c r="A521" s="10">
        <f>IF($E521="","",INDEX('Input Transaksi'!$A:$A,$E521))</f>
        <v/>
      </c>
      <c r="B521" s="5">
        <f>IF($E521="","",INDEX('Input Transaksi'!$D:$D,$E521))</f>
        <v/>
      </c>
      <c r="C521">
        <f>IF($E521="","",INDEX('Input Transaksi'!$E:$E,$E521))</f>
        <v/>
      </c>
      <c r="D521" s="5">
        <f>IF($E521="","",INDEX('Input Transaksi'!$F:$F,$E521))</f>
        <v/>
      </c>
      <c r="E521">
        <f>IFERROR(AGGREGATE(15,6,ROW('Input Transaksi'!$B$5:$B$5000)/('Input Transaksi'!$B$5:$B$5000="GRIYA ANYAR"),ROWS($E$5:E521)),"")</f>
        <v/>
      </c>
      <c r="F521" s="5" t="n"/>
    </row>
    <row r="522">
      <c r="A522" s="10">
        <f>IF($E522="","",INDEX('Input Transaksi'!$A:$A,$E522))</f>
        <v/>
      </c>
      <c r="B522" s="5">
        <f>IF($E522="","",INDEX('Input Transaksi'!$D:$D,$E522))</f>
        <v/>
      </c>
      <c r="C522">
        <f>IF($E522="","",INDEX('Input Transaksi'!$E:$E,$E522))</f>
        <v/>
      </c>
      <c r="D522" s="5">
        <f>IF($E522="","",INDEX('Input Transaksi'!$F:$F,$E522))</f>
        <v/>
      </c>
      <c r="E522">
        <f>IFERROR(AGGREGATE(15,6,ROW('Input Transaksi'!$B$5:$B$5000)/('Input Transaksi'!$B$5:$B$5000="GRIYA ANYAR"),ROWS($E$5:E522)),"")</f>
        <v/>
      </c>
      <c r="F522" s="5" t="n"/>
    </row>
    <row r="523">
      <c r="A523" s="10">
        <f>IF($E523="","",INDEX('Input Transaksi'!$A:$A,$E523))</f>
        <v/>
      </c>
      <c r="B523" s="5">
        <f>IF($E523="","",INDEX('Input Transaksi'!$D:$D,$E523))</f>
        <v/>
      </c>
      <c r="C523">
        <f>IF($E523="","",INDEX('Input Transaksi'!$E:$E,$E523))</f>
        <v/>
      </c>
      <c r="D523" s="5">
        <f>IF($E523="","",INDEX('Input Transaksi'!$F:$F,$E523))</f>
        <v/>
      </c>
      <c r="E523">
        <f>IFERROR(AGGREGATE(15,6,ROW('Input Transaksi'!$B$5:$B$5000)/('Input Transaksi'!$B$5:$B$5000="GRIYA ANYAR"),ROWS($E$5:E523)),"")</f>
        <v/>
      </c>
      <c r="F523" s="5" t="n"/>
    </row>
    <row r="524">
      <c r="A524" s="10">
        <f>IF($E524="","",INDEX('Input Transaksi'!$A:$A,$E524))</f>
        <v/>
      </c>
      <c r="B524" s="5">
        <f>IF($E524="","",INDEX('Input Transaksi'!$D:$D,$E524))</f>
        <v/>
      </c>
      <c r="C524">
        <f>IF($E524="","",INDEX('Input Transaksi'!$E:$E,$E524))</f>
        <v/>
      </c>
      <c r="D524" s="5">
        <f>IF($E524="","",INDEX('Input Transaksi'!$F:$F,$E524))</f>
        <v/>
      </c>
      <c r="E524">
        <f>IFERROR(AGGREGATE(15,6,ROW('Input Transaksi'!$B$5:$B$5000)/('Input Transaksi'!$B$5:$B$5000="GRIYA ANYAR"),ROWS($E$5:E524)),"")</f>
        <v/>
      </c>
      <c r="F524" s="5" t="n"/>
    </row>
    <row r="525">
      <c r="A525" s="10">
        <f>IF($E525="","",INDEX('Input Transaksi'!$A:$A,$E525))</f>
        <v/>
      </c>
      <c r="B525" s="5">
        <f>IF($E525="","",INDEX('Input Transaksi'!$D:$D,$E525))</f>
        <v/>
      </c>
      <c r="C525">
        <f>IF($E525="","",INDEX('Input Transaksi'!$E:$E,$E525))</f>
        <v/>
      </c>
      <c r="D525" s="5">
        <f>IF($E525="","",INDEX('Input Transaksi'!$F:$F,$E525))</f>
        <v/>
      </c>
      <c r="E525">
        <f>IFERROR(AGGREGATE(15,6,ROW('Input Transaksi'!$B$5:$B$5000)/('Input Transaksi'!$B$5:$B$5000="GRIYA ANYAR"),ROWS($E$5:E525)),"")</f>
        <v/>
      </c>
      <c r="F525" s="5" t="n"/>
    </row>
    <row r="526">
      <c r="A526" s="10">
        <f>IF($E526="","",INDEX('Input Transaksi'!$A:$A,$E526))</f>
        <v/>
      </c>
      <c r="B526" s="5">
        <f>IF($E526="","",INDEX('Input Transaksi'!$D:$D,$E526))</f>
        <v/>
      </c>
      <c r="C526">
        <f>IF($E526="","",INDEX('Input Transaksi'!$E:$E,$E526))</f>
        <v/>
      </c>
      <c r="D526" s="5">
        <f>IF($E526="","",INDEX('Input Transaksi'!$F:$F,$E526))</f>
        <v/>
      </c>
      <c r="E526">
        <f>IFERROR(AGGREGATE(15,6,ROW('Input Transaksi'!$B$5:$B$5000)/('Input Transaksi'!$B$5:$B$5000="GRIYA ANYAR"),ROWS($E$5:E526)),"")</f>
        <v/>
      </c>
      <c r="F526" s="5" t="n"/>
    </row>
    <row r="527">
      <c r="A527" s="10">
        <f>IF($E527="","",INDEX('Input Transaksi'!$A:$A,$E527))</f>
        <v/>
      </c>
      <c r="B527" s="5">
        <f>IF($E527="","",INDEX('Input Transaksi'!$D:$D,$E527))</f>
        <v/>
      </c>
      <c r="C527">
        <f>IF($E527="","",INDEX('Input Transaksi'!$E:$E,$E527))</f>
        <v/>
      </c>
      <c r="D527" s="5">
        <f>IF($E527="","",INDEX('Input Transaksi'!$F:$F,$E527))</f>
        <v/>
      </c>
      <c r="E527">
        <f>IFERROR(AGGREGATE(15,6,ROW('Input Transaksi'!$B$5:$B$5000)/('Input Transaksi'!$B$5:$B$5000="GRIYA ANYAR"),ROWS($E$5:E527)),"")</f>
        <v/>
      </c>
      <c r="F527" s="5" t="n"/>
    </row>
    <row r="528">
      <c r="A528" s="10">
        <f>IF($E528="","",INDEX('Input Transaksi'!$A:$A,$E528))</f>
        <v/>
      </c>
      <c r="B528" s="5">
        <f>IF($E528="","",INDEX('Input Transaksi'!$D:$D,$E528))</f>
        <v/>
      </c>
      <c r="C528">
        <f>IF($E528="","",INDEX('Input Transaksi'!$E:$E,$E528))</f>
        <v/>
      </c>
      <c r="D528" s="5">
        <f>IF($E528="","",INDEX('Input Transaksi'!$F:$F,$E528))</f>
        <v/>
      </c>
      <c r="E528">
        <f>IFERROR(AGGREGATE(15,6,ROW('Input Transaksi'!$B$5:$B$5000)/('Input Transaksi'!$B$5:$B$5000="GRIYA ANYAR"),ROWS($E$5:E528)),"")</f>
        <v/>
      </c>
      <c r="F528" s="5" t="n"/>
    </row>
    <row r="529">
      <c r="A529" s="10">
        <f>IF($E529="","",INDEX('Input Transaksi'!$A:$A,$E529))</f>
        <v/>
      </c>
      <c r="B529" s="5">
        <f>IF($E529="","",INDEX('Input Transaksi'!$D:$D,$E529))</f>
        <v/>
      </c>
      <c r="C529">
        <f>IF($E529="","",INDEX('Input Transaksi'!$E:$E,$E529))</f>
        <v/>
      </c>
      <c r="D529" s="5">
        <f>IF($E529="","",INDEX('Input Transaksi'!$F:$F,$E529))</f>
        <v/>
      </c>
      <c r="E529">
        <f>IFERROR(AGGREGATE(15,6,ROW('Input Transaksi'!$B$5:$B$5000)/('Input Transaksi'!$B$5:$B$5000="GRIYA ANYAR"),ROWS($E$5:E529)),"")</f>
        <v/>
      </c>
      <c r="F529" s="5" t="n"/>
    </row>
    <row r="530">
      <c r="A530" s="10">
        <f>IF($E530="","",INDEX('Input Transaksi'!$A:$A,$E530))</f>
        <v/>
      </c>
      <c r="B530" s="5">
        <f>IF($E530="","",INDEX('Input Transaksi'!$D:$D,$E530))</f>
        <v/>
      </c>
      <c r="C530">
        <f>IF($E530="","",INDEX('Input Transaksi'!$E:$E,$E530))</f>
        <v/>
      </c>
      <c r="D530" s="5">
        <f>IF($E530="","",INDEX('Input Transaksi'!$F:$F,$E530))</f>
        <v/>
      </c>
      <c r="E530">
        <f>IFERROR(AGGREGATE(15,6,ROW('Input Transaksi'!$B$5:$B$5000)/('Input Transaksi'!$B$5:$B$5000="GRIYA ANYAR"),ROWS($E$5:E530)),"")</f>
        <v/>
      </c>
      <c r="F530" s="5" t="n"/>
    </row>
    <row r="531">
      <c r="A531" s="10">
        <f>IF($E531="","",INDEX('Input Transaksi'!$A:$A,$E531))</f>
        <v/>
      </c>
      <c r="B531" s="5">
        <f>IF($E531="","",INDEX('Input Transaksi'!$D:$D,$E531))</f>
        <v/>
      </c>
      <c r="C531">
        <f>IF($E531="","",INDEX('Input Transaksi'!$E:$E,$E531))</f>
        <v/>
      </c>
      <c r="D531" s="5">
        <f>IF($E531="","",INDEX('Input Transaksi'!$F:$F,$E531))</f>
        <v/>
      </c>
      <c r="E531">
        <f>IFERROR(AGGREGATE(15,6,ROW('Input Transaksi'!$B$5:$B$5000)/('Input Transaksi'!$B$5:$B$5000="GRIYA ANYAR"),ROWS($E$5:E531)),"")</f>
        <v/>
      </c>
      <c r="F531" s="5" t="n"/>
    </row>
    <row r="532">
      <c r="A532" s="10">
        <f>IF($E532="","",INDEX('Input Transaksi'!$A:$A,$E532))</f>
        <v/>
      </c>
      <c r="B532" s="5">
        <f>IF($E532="","",INDEX('Input Transaksi'!$D:$D,$E532))</f>
        <v/>
      </c>
      <c r="C532">
        <f>IF($E532="","",INDEX('Input Transaksi'!$E:$E,$E532))</f>
        <v/>
      </c>
      <c r="D532" s="5">
        <f>IF($E532="","",INDEX('Input Transaksi'!$F:$F,$E532))</f>
        <v/>
      </c>
      <c r="E532">
        <f>IFERROR(AGGREGATE(15,6,ROW('Input Transaksi'!$B$5:$B$5000)/('Input Transaksi'!$B$5:$B$5000="GRIYA ANYAR"),ROWS($E$5:E532)),"")</f>
        <v/>
      </c>
      <c r="F532" s="5" t="n"/>
    </row>
    <row r="533">
      <c r="A533" s="10">
        <f>IF($E533="","",INDEX('Input Transaksi'!$A:$A,$E533))</f>
        <v/>
      </c>
      <c r="B533" s="5">
        <f>IF($E533="","",INDEX('Input Transaksi'!$D:$D,$E533))</f>
        <v/>
      </c>
      <c r="C533">
        <f>IF($E533="","",INDEX('Input Transaksi'!$E:$E,$E533))</f>
        <v/>
      </c>
      <c r="D533" s="5">
        <f>IF($E533="","",INDEX('Input Transaksi'!$F:$F,$E533))</f>
        <v/>
      </c>
      <c r="E533">
        <f>IFERROR(AGGREGATE(15,6,ROW('Input Transaksi'!$B$5:$B$5000)/('Input Transaksi'!$B$5:$B$5000="GRIYA ANYAR"),ROWS($E$5:E533)),"")</f>
        <v/>
      </c>
      <c r="F533" s="5" t="n"/>
    </row>
    <row r="534">
      <c r="A534" s="10">
        <f>IF($E534="","",INDEX('Input Transaksi'!$A:$A,$E534))</f>
        <v/>
      </c>
      <c r="B534" s="5">
        <f>IF($E534="","",INDEX('Input Transaksi'!$D:$D,$E534))</f>
        <v/>
      </c>
      <c r="C534">
        <f>IF($E534="","",INDEX('Input Transaksi'!$E:$E,$E534))</f>
        <v/>
      </c>
      <c r="D534" s="5">
        <f>IF($E534="","",INDEX('Input Transaksi'!$F:$F,$E534))</f>
        <v/>
      </c>
      <c r="E534">
        <f>IFERROR(AGGREGATE(15,6,ROW('Input Transaksi'!$B$5:$B$5000)/('Input Transaksi'!$B$5:$B$5000="GRIYA ANYAR"),ROWS($E$5:E534)),"")</f>
        <v/>
      </c>
      <c r="F534" s="5" t="n"/>
    </row>
    <row r="535">
      <c r="A535" s="10">
        <f>IF($E535="","",INDEX('Input Transaksi'!$A:$A,$E535))</f>
        <v/>
      </c>
      <c r="B535" s="5">
        <f>IF($E535="","",INDEX('Input Transaksi'!$D:$D,$E535))</f>
        <v/>
      </c>
      <c r="C535">
        <f>IF($E535="","",INDEX('Input Transaksi'!$E:$E,$E535))</f>
        <v/>
      </c>
      <c r="D535" s="5">
        <f>IF($E535="","",INDEX('Input Transaksi'!$F:$F,$E535))</f>
        <v/>
      </c>
      <c r="E535">
        <f>IFERROR(AGGREGATE(15,6,ROW('Input Transaksi'!$B$5:$B$5000)/('Input Transaksi'!$B$5:$B$5000="GRIYA ANYAR"),ROWS($E$5:E535)),"")</f>
        <v/>
      </c>
      <c r="F535" s="5" t="n"/>
    </row>
    <row r="536">
      <c r="A536" s="10">
        <f>IF($E536="","",INDEX('Input Transaksi'!$A:$A,$E536))</f>
        <v/>
      </c>
      <c r="B536" s="5">
        <f>IF($E536="","",INDEX('Input Transaksi'!$D:$D,$E536))</f>
        <v/>
      </c>
      <c r="C536">
        <f>IF($E536="","",INDEX('Input Transaksi'!$E:$E,$E536))</f>
        <v/>
      </c>
      <c r="D536" s="5">
        <f>IF($E536="","",INDEX('Input Transaksi'!$F:$F,$E536))</f>
        <v/>
      </c>
      <c r="E536">
        <f>IFERROR(AGGREGATE(15,6,ROW('Input Transaksi'!$B$5:$B$5000)/('Input Transaksi'!$B$5:$B$5000="GRIYA ANYAR"),ROWS($E$5:E536)),"")</f>
        <v/>
      </c>
      <c r="F536" s="5" t="n"/>
    </row>
    <row r="537">
      <c r="A537" s="10">
        <f>IF($E537="","",INDEX('Input Transaksi'!$A:$A,$E537))</f>
        <v/>
      </c>
      <c r="B537" s="5">
        <f>IF($E537="","",INDEX('Input Transaksi'!$D:$D,$E537))</f>
        <v/>
      </c>
      <c r="C537">
        <f>IF($E537="","",INDEX('Input Transaksi'!$E:$E,$E537))</f>
        <v/>
      </c>
      <c r="D537" s="5">
        <f>IF($E537="","",INDEX('Input Transaksi'!$F:$F,$E537))</f>
        <v/>
      </c>
      <c r="E537">
        <f>IFERROR(AGGREGATE(15,6,ROW('Input Transaksi'!$B$5:$B$5000)/('Input Transaksi'!$B$5:$B$5000="GRIYA ANYAR"),ROWS($E$5:E537)),"")</f>
        <v/>
      </c>
      <c r="F537" s="5" t="n"/>
    </row>
    <row r="538">
      <c r="A538" s="10">
        <f>IF($E538="","",INDEX('Input Transaksi'!$A:$A,$E538))</f>
        <v/>
      </c>
      <c r="B538" s="5">
        <f>IF($E538="","",INDEX('Input Transaksi'!$D:$D,$E538))</f>
        <v/>
      </c>
      <c r="C538">
        <f>IF($E538="","",INDEX('Input Transaksi'!$E:$E,$E538))</f>
        <v/>
      </c>
      <c r="D538" s="5">
        <f>IF($E538="","",INDEX('Input Transaksi'!$F:$F,$E538))</f>
        <v/>
      </c>
      <c r="E538">
        <f>IFERROR(AGGREGATE(15,6,ROW('Input Transaksi'!$B$5:$B$5000)/('Input Transaksi'!$B$5:$B$5000="GRIYA ANYAR"),ROWS($E$5:E538)),"")</f>
        <v/>
      </c>
      <c r="F538" s="5" t="n"/>
    </row>
    <row r="539">
      <c r="A539" s="10">
        <f>IF($E539="","",INDEX('Input Transaksi'!$A:$A,$E539))</f>
        <v/>
      </c>
      <c r="B539" s="5">
        <f>IF($E539="","",INDEX('Input Transaksi'!$D:$D,$E539))</f>
        <v/>
      </c>
      <c r="C539">
        <f>IF($E539="","",INDEX('Input Transaksi'!$E:$E,$E539))</f>
        <v/>
      </c>
      <c r="D539" s="5">
        <f>IF($E539="","",INDEX('Input Transaksi'!$F:$F,$E539))</f>
        <v/>
      </c>
      <c r="E539">
        <f>IFERROR(AGGREGATE(15,6,ROW('Input Transaksi'!$B$5:$B$5000)/('Input Transaksi'!$B$5:$B$5000="GRIYA ANYAR"),ROWS($E$5:E539)),"")</f>
        <v/>
      </c>
      <c r="F539" s="5" t="n"/>
    </row>
    <row r="540">
      <c r="A540" s="10">
        <f>IF($E540="","",INDEX('Input Transaksi'!$A:$A,$E540))</f>
        <v/>
      </c>
      <c r="B540" s="5">
        <f>IF($E540="","",INDEX('Input Transaksi'!$D:$D,$E540))</f>
        <v/>
      </c>
      <c r="C540">
        <f>IF($E540="","",INDEX('Input Transaksi'!$E:$E,$E540))</f>
        <v/>
      </c>
      <c r="D540" s="5">
        <f>IF($E540="","",INDEX('Input Transaksi'!$F:$F,$E540))</f>
        <v/>
      </c>
      <c r="E540">
        <f>IFERROR(AGGREGATE(15,6,ROW('Input Transaksi'!$B$5:$B$5000)/('Input Transaksi'!$B$5:$B$5000="GRIYA ANYAR"),ROWS($E$5:E540)),"")</f>
        <v/>
      </c>
      <c r="F540" s="5" t="n"/>
    </row>
    <row r="541">
      <c r="A541" s="10">
        <f>IF($E541="","",INDEX('Input Transaksi'!$A:$A,$E541))</f>
        <v/>
      </c>
      <c r="B541" s="5">
        <f>IF($E541="","",INDEX('Input Transaksi'!$D:$D,$E541))</f>
        <v/>
      </c>
      <c r="C541">
        <f>IF($E541="","",INDEX('Input Transaksi'!$E:$E,$E541))</f>
        <v/>
      </c>
      <c r="D541" s="5">
        <f>IF($E541="","",INDEX('Input Transaksi'!$F:$F,$E541))</f>
        <v/>
      </c>
      <c r="E541">
        <f>IFERROR(AGGREGATE(15,6,ROW('Input Transaksi'!$B$5:$B$5000)/('Input Transaksi'!$B$5:$B$5000="GRIYA ANYAR"),ROWS($E$5:E541)),"")</f>
        <v/>
      </c>
      <c r="F541" s="5" t="n"/>
    </row>
    <row r="542">
      <c r="A542" s="10">
        <f>IF($E542="","",INDEX('Input Transaksi'!$A:$A,$E542))</f>
        <v/>
      </c>
      <c r="B542" s="5">
        <f>IF($E542="","",INDEX('Input Transaksi'!$D:$D,$E542))</f>
        <v/>
      </c>
      <c r="C542">
        <f>IF($E542="","",INDEX('Input Transaksi'!$E:$E,$E542))</f>
        <v/>
      </c>
      <c r="D542" s="5">
        <f>IF($E542="","",INDEX('Input Transaksi'!$F:$F,$E542))</f>
        <v/>
      </c>
      <c r="E542">
        <f>IFERROR(AGGREGATE(15,6,ROW('Input Transaksi'!$B$5:$B$5000)/('Input Transaksi'!$B$5:$B$5000="GRIYA ANYAR"),ROWS($E$5:E542)),"")</f>
        <v/>
      </c>
      <c r="F542" s="5" t="n"/>
    </row>
    <row r="543">
      <c r="A543" s="10">
        <f>IF($E543="","",INDEX('Input Transaksi'!$A:$A,$E543))</f>
        <v/>
      </c>
      <c r="B543" s="5">
        <f>IF($E543="","",INDEX('Input Transaksi'!$D:$D,$E543))</f>
        <v/>
      </c>
      <c r="C543">
        <f>IF($E543="","",INDEX('Input Transaksi'!$E:$E,$E543))</f>
        <v/>
      </c>
      <c r="D543" s="5">
        <f>IF($E543="","",INDEX('Input Transaksi'!$F:$F,$E543))</f>
        <v/>
      </c>
      <c r="E543">
        <f>IFERROR(AGGREGATE(15,6,ROW('Input Transaksi'!$B$5:$B$5000)/('Input Transaksi'!$B$5:$B$5000="GRIYA ANYAR"),ROWS($E$5:E543)),"")</f>
        <v/>
      </c>
      <c r="F543" s="5" t="n"/>
    </row>
    <row r="544">
      <c r="A544" s="10">
        <f>IF($E544="","",INDEX('Input Transaksi'!$A:$A,$E544))</f>
        <v/>
      </c>
      <c r="B544" s="5">
        <f>IF($E544="","",INDEX('Input Transaksi'!$D:$D,$E544))</f>
        <v/>
      </c>
      <c r="C544">
        <f>IF($E544="","",INDEX('Input Transaksi'!$E:$E,$E544))</f>
        <v/>
      </c>
      <c r="D544" s="5">
        <f>IF($E544="","",INDEX('Input Transaksi'!$F:$F,$E544))</f>
        <v/>
      </c>
      <c r="E544">
        <f>IFERROR(AGGREGATE(15,6,ROW('Input Transaksi'!$B$5:$B$5000)/('Input Transaksi'!$B$5:$B$5000="GRIYA ANYAR"),ROWS($E$5:E544)),"")</f>
        <v/>
      </c>
      <c r="F544" s="5" t="n"/>
    </row>
    <row r="545">
      <c r="A545" s="10">
        <f>IF($E545="","",INDEX('Input Transaksi'!$A:$A,$E545))</f>
        <v/>
      </c>
      <c r="B545" s="5">
        <f>IF($E545="","",INDEX('Input Transaksi'!$D:$D,$E545))</f>
        <v/>
      </c>
      <c r="C545">
        <f>IF($E545="","",INDEX('Input Transaksi'!$E:$E,$E545))</f>
        <v/>
      </c>
      <c r="D545" s="5">
        <f>IF($E545="","",INDEX('Input Transaksi'!$F:$F,$E545))</f>
        <v/>
      </c>
      <c r="E545">
        <f>IFERROR(AGGREGATE(15,6,ROW('Input Transaksi'!$B$5:$B$5000)/('Input Transaksi'!$B$5:$B$5000="GRIYA ANYAR"),ROWS($E$5:E545)),"")</f>
        <v/>
      </c>
      <c r="F545" s="5" t="n"/>
    </row>
    <row r="546">
      <c r="A546" s="10">
        <f>IF($E546="","",INDEX('Input Transaksi'!$A:$A,$E546))</f>
        <v/>
      </c>
      <c r="B546" s="5">
        <f>IF($E546="","",INDEX('Input Transaksi'!$D:$D,$E546))</f>
        <v/>
      </c>
      <c r="C546">
        <f>IF($E546="","",INDEX('Input Transaksi'!$E:$E,$E546))</f>
        <v/>
      </c>
      <c r="D546" s="5">
        <f>IF($E546="","",INDEX('Input Transaksi'!$F:$F,$E546))</f>
        <v/>
      </c>
      <c r="E546">
        <f>IFERROR(AGGREGATE(15,6,ROW('Input Transaksi'!$B$5:$B$5000)/('Input Transaksi'!$B$5:$B$5000="GRIYA ANYAR"),ROWS($E$5:E546)),"")</f>
        <v/>
      </c>
      <c r="F546" s="5" t="n"/>
    </row>
    <row r="547">
      <c r="A547" s="10">
        <f>IF($E547="","",INDEX('Input Transaksi'!$A:$A,$E547))</f>
        <v/>
      </c>
      <c r="B547" s="5">
        <f>IF($E547="","",INDEX('Input Transaksi'!$D:$D,$E547))</f>
        <v/>
      </c>
      <c r="C547">
        <f>IF($E547="","",INDEX('Input Transaksi'!$E:$E,$E547))</f>
        <v/>
      </c>
      <c r="D547" s="5">
        <f>IF($E547="","",INDEX('Input Transaksi'!$F:$F,$E547))</f>
        <v/>
      </c>
      <c r="E547">
        <f>IFERROR(AGGREGATE(15,6,ROW('Input Transaksi'!$B$5:$B$5000)/('Input Transaksi'!$B$5:$B$5000="GRIYA ANYAR"),ROWS($E$5:E547)),"")</f>
        <v/>
      </c>
      <c r="F547" s="5" t="n"/>
    </row>
    <row r="548">
      <c r="A548" s="10">
        <f>IF($E548="","",INDEX('Input Transaksi'!$A:$A,$E548))</f>
        <v/>
      </c>
      <c r="B548" s="5">
        <f>IF($E548="","",INDEX('Input Transaksi'!$D:$D,$E548))</f>
        <v/>
      </c>
      <c r="C548">
        <f>IF($E548="","",INDEX('Input Transaksi'!$E:$E,$E548))</f>
        <v/>
      </c>
      <c r="D548" s="5">
        <f>IF($E548="","",INDEX('Input Transaksi'!$F:$F,$E548))</f>
        <v/>
      </c>
      <c r="E548">
        <f>IFERROR(AGGREGATE(15,6,ROW('Input Transaksi'!$B$5:$B$5000)/('Input Transaksi'!$B$5:$B$5000="GRIYA ANYAR"),ROWS($E$5:E548)),"")</f>
        <v/>
      </c>
      <c r="F548" s="5" t="n"/>
    </row>
    <row r="549">
      <c r="A549" s="10">
        <f>IF($E549="","",INDEX('Input Transaksi'!$A:$A,$E549))</f>
        <v/>
      </c>
      <c r="B549" s="5">
        <f>IF($E549="","",INDEX('Input Transaksi'!$D:$D,$E549))</f>
        <v/>
      </c>
      <c r="C549">
        <f>IF($E549="","",INDEX('Input Transaksi'!$E:$E,$E549))</f>
        <v/>
      </c>
      <c r="D549" s="5">
        <f>IF($E549="","",INDEX('Input Transaksi'!$F:$F,$E549))</f>
        <v/>
      </c>
      <c r="E549">
        <f>IFERROR(AGGREGATE(15,6,ROW('Input Transaksi'!$B$5:$B$5000)/('Input Transaksi'!$B$5:$B$5000="GRIYA ANYAR"),ROWS($E$5:E549)),"")</f>
        <v/>
      </c>
      <c r="F549" s="5" t="n"/>
    </row>
    <row r="550">
      <c r="A550" s="10">
        <f>IF($E550="","",INDEX('Input Transaksi'!$A:$A,$E550))</f>
        <v/>
      </c>
      <c r="B550" s="5">
        <f>IF($E550="","",INDEX('Input Transaksi'!$D:$D,$E550))</f>
        <v/>
      </c>
      <c r="C550">
        <f>IF($E550="","",INDEX('Input Transaksi'!$E:$E,$E550))</f>
        <v/>
      </c>
      <c r="D550" s="5">
        <f>IF($E550="","",INDEX('Input Transaksi'!$F:$F,$E550))</f>
        <v/>
      </c>
      <c r="E550">
        <f>IFERROR(AGGREGATE(15,6,ROW('Input Transaksi'!$B$5:$B$5000)/('Input Transaksi'!$B$5:$B$5000="GRIYA ANYAR"),ROWS($E$5:E550)),"")</f>
        <v/>
      </c>
      <c r="F550" s="5" t="n"/>
    </row>
    <row r="551">
      <c r="A551" s="10">
        <f>IF($E551="","",INDEX('Input Transaksi'!$A:$A,$E551))</f>
        <v/>
      </c>
      <c r="B551" s="5">
        <f>IF($E551="","",INDEX('Input Transaksi'!$D:$D,$E551))</f>
        <v/>
      </c>
      <c r="C551">
        <f>IF($E551="","",INDEX('Input Transaksi'!$E:$E,$E551))</f>
        <v/>
      </c>
      <c r="D551" s="5">
        <f>IF($E551="","",INDEX('Input Transaksi'!$F:$F,$E551))</f>
        <v/>
      </c>
      <c r="E551">
        <f>IFERROR(AGGREGATE(15,6,ROW('Input Transaksi'!$B$5:$B$5000)/('Input Transaksi'!$B$5:$B$5000="GRIYA ANYAR"),ROWS($E$5:E551)),"")</f>
        <v/>
      </c>
      <c r="F551" s="5" t="n"/>
    </row>
    <row r="552">
      <c r="A552" s="10">
        <f>IF($E552="","",INDEX('Input Transaksi'!$A:$A,$E552))</f>
        <v/>
      </c>
      <c r="B552" s="5">
        <f>IF($E552="","",INDEX('Input Transaksi'!$D:$D,$E552))</f>
        <v/>
      </c>
      <c r="C552">
        <f>IF($E552="","",INDEX('Input Transaksi'!$E:$E,$E552))</f>
        <v/>
      </c>
      <c r="D552" s="5">
        <f>IF($E552="","",INDEX('Input Transaksi'!$F:$F,$E552))</f>
        <v/>
      </c>
      <c r="E552">
        <f>IFERROR(AGGREGATE(15,6,ROW('Input Transaksi'!$B$5:$B$5000)/('Input Transaksi'!$B$5:$B$5000="GRIYA ANYAR"),ROWS($E$5:E552)),"")</f>
        <v/>
      </c>
      <c r="F552" s="5" t="n"/>
    </row>
    <row r="553">
      <c r="A553" s="10">
        <f>IF($E553="","",INDEX('Input Transaksi'!$A:$A,$E553))</f>
        <v/>
      </c>
      <c r="B553" s="5">
        <f>IF($E553="","",INDEX('Input Transaksi'!$D:$D,$E553))</f>
        <v/>
      </c>
      <c r="C553">
        <f>IF($E553="","",INDEX('Input Transaksi'!$E:$E,$E553))</f>
        <v/>
      </c>
      <c r="D553" s="5">
        <f>IF($E553="","",INDEX('Input Transaksi'!$F:$F,$E553))</f>
        <v/>
      </c>
      <c r="E553">
        <f>IFERROR(AGGREGATE(15,6,ROW('Input Transaksi'!$B$5:$B$5000)/('Input Transaksi'!$B$5:$B$5000="GRIYA ANYAR"),ROWS($E$5:E553)),"")</f>
        <v/>
      </c>
      <c r="F553" s="5" t="n"/>
    </row>
    <row r="554">
      <c r="A554" s="10">
        <f>IF($E554="","",INDEX('Input Transaksi'!$A:$A,$E554))</f>
        <v/>
      </c>
      <c r="B554" s="5">
        <f>IF($E554="","",INDEX('Input Transaksi'!$D:$D,$E554))</f>
        <v/>
      </c>
      <c r="C554">
        <f>IF($E554="","",INDEX('Input Transaksi'!$E:$E,$E554))</f>
        <v/>
      </c>
      <c r="D554" s="5">
        <f>IF($E554="","",INDEX('Input Transaksi'!$F:$F,$E554))</f>
        <v/>
      </c>
      <c r="E554">
        <f>IFERROR(AGGREGATE(15,6,ROW('Input Transaksi'!$B$5:$B$5000)/('Input Transaksi'!$B$5:$B$5000="GRIYA ANYAR"),ROWS($E$5:E554)),"")</f>
        <v/>
      </c>
      <c r="F554" s="5" t="n"/>
    </row>
    <row r="555">
      <c r="A555" s="10">
        <f>IF($E555="","",INDEX('Input Transaksi'!$A:$A,$E555))</f>
        <v/>
      </c>
      <c r="B555" s="5">
        <f>IF($E555="","",INDEX('Input Transaksi'!$D:$D,$E555))</f>
        <v/>
      </c>
      <c r="C555">
        <f>IF($E555="","",INDEX('Input Transaksi'!$E:$E,$E555))</f>
        <v/>
      </c>
      <c r="D555" s="5">
        <f>IF($E555="","",INDEX('Input Transaksi'!$F:$F,$E555))</f>
        <v/>
      </c>
      <c r="E555">
        <f>IFERROR(AGGREGATE(15,6,ROW('Input Transaksi'!$B$5:$B$5000)/('Input Transaksi'!$B$5:$B$5000="GRIYA ANYAR"),ROWS($E$5:E555)),"")</f>
        <v/>
      </c>
      <c r="F555" s="5" t="n"/>
    </row>
    <row r="556">
      <c r="A556" s="10">
        <f>IF($E556="","",INDEX('Input Transaksi'!$A:$A,$E556))</f>
        <v/>
      </c>
      <c r="B556" s="5">
        <f>IF($E556="","",INDEX('Input Transaksi'!$D:$D,$E556))</f>
        <v/>
      </c>
      <c r="C556">
        <f>IF($E556="","",INDEX('Input Transaksi'!$E:$E,$E556))</f>
        <v/>
      </c>
      <c r="D556" s="5">
        <f>IF($E556="","",INDEX('Input Transaksi'!$F:$F,$E556))</f>
        <v/>
      </c>
      <c r="E556">
        <f>IFERROR(AGGREGATE(15,6,ROW('Input Transaksi'!$B$5:$B$5000)/('Input Transaksi'!$B$5:$B$5000="GRIYA ANYAR"),ROWS($E$5:E556)),"")</f>
        <v/>
      </c>
      <c r="F556" s="5" t="n"/>
    </row>
    <row r="557">
      <c r="A557" s="10">
        <f>IF($E557="","",INDEX('Input Transaksi'!$A:$A,$E557))</f>
        <v/>
      </c>
      <c r="B557" s="5">
        <f>IF($E557="","",INDEX('Input Transaksi'!$D:$D,$E557))</f>
        <v/>
      </c>
      <c r="C557">
        <f>IF($E557="","",INDEX('Input Transaksi'!$E:$E,$E557))</f>
        <v/>
      </c>
      <c r="D557" s="5">
        <f>IF($E557="","",INDEX('Input Transaksi'!$F:$F,$E557))</f>
        <v/>
      </c>
      <c r="E557">
        <f>IFERROR(AGGREGATE(15,6,ROW('Input Transaksi'!$B$5:$B$5000)/('Input Transaksi'!$B$5:$B$5000="GRIYA ANYAR"),ROWS($E$5:E557)),"")</f>
        <v/>
      </c>
      <c r="F557" s="5" t="n"/>
    </row>
    <row r="558">
      <c r="A558" s="10">
        <f>IF($E558="","",INDEX('Input Transaksi'!$A:$A,$E558))</f>
        <v/>
      </c>
      <c r="B558" s="5">
        <f>IF($E558="","",INDEX('Input Transaksi'!$D:$D,$E558))</f>
        <v/>
      </c>
      <c r="C558">
        <f>IF($E558="","",INDEX('Input Transaksi'!$E:$E,$E558))</f>
        <v/>
      </c>
      <c r="D558" s="5">
        <f>IF($E558="","",INDEX('Input Transaksi'!$F:$F,$E558))</f>
        <v/>
      </c>
      <c r="E558">
        <f>IFERROR(AGGREGATE(15,6,ROW('Input Transaksi'!$B$5:$B$5000)/('Input Transaksi'!$B$5:$B$5000="GRIYA ANYAR"),ROWS($E$5:E558)),"")</f>
        <v/>
      </c>
      <c r="F558" s="5" t="n"/>
    </row>
    <row r="559">
      <c r="A559" s="10">
        <f>IF($E559="","",INDEX('Input Transaksi'!$A:$A,$E559))</f>
        <v/>
      </c>
      <c r="B559" s="5">
        <f>IF($E559="","",INDEX('Input Transaksi'!$D:$D,$E559))</f>
        <v/>
      </c>
      <c r="C559">
        <f>IF($E559="","",INDEX('Input Transaksi'!$E:$E,$E559))</f>
        <v/>
      </c>
      <c r="D559" s="5">
        <f>IF($E559="","",INDEX('Input Transaksi'!$F:$F,$E559))</f>
        <v/>
      </c>
      <c r="E559">
        <f>IFERROR(AGGREGATE(15,6,ROW('Input Transaksi'!$B$5:$B$5000)/('Input Transaksi'!$B$5:$B$5000="GRIYA ANYAR"),ROWS($E$5:E559)),"")</f>
        <v/>
      </c>
      <c r="F559" s="5" t="n"/>
    </row>
    <row r="560">
      <c r="A560" s="10">
        <f>IF($E560="","",INDEX('Input Transaksi'!$A:$A,$E560))</f>
        <v/>
      </c>
      <c r="B560" s="5">
        <f>IF($E560="","",INDEX('Input Transaksi'!$D:$D,$E560))</f>
        <v/>
      </c>
      <c r="C560">
        <f>IF($E560="","",INDEX('Input Transaksi'!$E:$E,$E560))</f>
        <v/>
      </c>
      <c r="D560" s="5">
        <f>IF($E560="","",INDEX('Input Transaksi'!$F:$F,$E560))</f>
        <v/>
      </c>
      <c r="E560">
        <f>IFERROR(AGGREGATE(15,6,ROW('Input Transaksi'!$B$5:$B$5000)/('Input Transaksi'!$B$5:$B$5000="GRIYA ANYAR"),ROWS($E$5:E560)),"")</f>
        <v/>
      </c>
      <c r="F560" s="5" t="n"/>
    </row>
    <row r="561">
      <c r="A561" s="10">
        <f>IF($E561="","",INDEX('Input Transaksi'!$A:$A,$E561))</f>
        <v/>
      </c>
      <c r="B561" s="5">
        <f>IF($E561="","",INDEX('Input Transaksi'!$D:$D,$E561))</f>
        <v/>
      </c>
      <c r="C561">
        <f>IF($E561="","",INDEX('Input Transaksi'!$E:$E,$E561))</f>
        <v/>
      </c>
      <c r="D561" s="5">
        <f>IF($E561="","",INDEX('Input Transaksi'!$F:$F,$E561))</f>
        <v/>
      </c>
      <c r="E561">
        <f>IFERROR(AGGREGATE(15,6,ROW('Input Transaksi'!$B$5:$B$5000)/('Input Transaksi'!$B$5:$B$5000="GRIYA ANYAR"),ROWS($E$5:E561)),"")</f>
        <v/>
      </c>
      <c r="F561" s="5" t="n"/>
    </row>
    <row r="562">
      <c r="A562" s="10">
        <f>IF($E562="","",INDEX('Input Transaksi'!$A:$A,$E562))</f>
        <v/>
      </c>
      <c r="B562" s="5">
        <f>IF($E562="","",INDEX('Input Transaksi'!$D:$D,$E562))</f>
        <v/>
      </c>
      <c r="C562">
        <f>IF($E562="","",INDEX('Input Transaksi'!$E:$E,$E562))</f>
        <v/>
      </c>
      <c r="D562" s="5">
        <f>IF($E562="","",INDEX('Input Transaksi'!$F:$F,$E562))</f>
        <v/>
      </c>
      <c r="E562">
        <f>IFERROR(AGGREGATE(15,6,ROW('Input Transaksi'!$B$5:$B$5000)/('Input Transaksi'!$B$5:$B$5000="GRIYA ANYAR"),ROWS($E$5:E562)),"")</f>
        <v/>
      </c>
      <c r="F562" s="5" t="n"/>
    </row>
    <row r="563">
      <c r="A563" s="10">
        <f>IF($E563="","",INDEX('Input Transaksi'!$A:$A,$E563))</f>
        <v/>
      </c>
      <c r="B563" s="5">
        <f>IF($E563="","",INDEX('Input Transaksi'!$D:$D,$E563))</f>
        <v/>
      </c>
      <c r="C563">
        <f>IF($E563="","",INDEX('Input Transaksi'!$E:$E,$E563))</f>
        <v/>
      </c>
      <c r="D563" s="5">
        <f>IF($E563="","",INDEX('Input Transaksi'!$F:$F,$E563))</f>
        <v/>
      </c>
      <c r="E563">
        <f>IFERROR(AGGREGATE(15,6,ROW('Input Transaksi'!$B$5:$B$5000)/('Input Transaksi'!$B$5:$B$5000="GRIYA ANYAR"),ROWS($E$5:E563)),"")</f>
        <v/>
      </c>
      <c r="F563" s="5" t="n"/>
    </row>
    <row r="564">
      <c r="A564" s="10">
        <f>IF($E564="","",INDEX('Input Transaksi'!$A:$A,$E564))</f>
        <v/>
      </c>
      <c r="B564" s="5">
        <f>IF($E564="","",INDEX('Input Transaksi'!$D:$D,$E564))</f>
        <v/>
      </c>
      <c r="C564">
        <f>IF($E564="","",INDEX('Input Transaksi'!$E:$E,$E564))</f>
        <v/>
      </c>
      <c r="D564" s="5">
        <f>IF($E564="","",INDEX('Input Transaksi'!$F:$F,$E564))</f>
        <v/>
      </c>
      <c r="E564">
        <f>IFERROR(AGGREGATE(15,6,ROW('Input Transaksi'!$B$5:$B$5000)/('Input Transaksi'!$B$5:$B$5000="GRIYA ANYAR"),ROWS($E$5:E564)),"")</f>
        <v/>
      </c>
      <c r="F564" s="5" t="n"/>
    </row>
    <row r="565">
      <c r="A565" s="10">
        <f>IF($E565="","",INDEX('Input Transaksi'!$A:$A,$E565))</f>
        <v/>
      </c>
      <c r="B565" s="5">
        <f>IF($E565="","",INDEX('Input Transaksi'!$D:$D,$E565))</f>
        <v/>
      </c>
      <c r="C565">
        <f>IF($E565="","",INDEX('Input Transaksi'!$E:$E,$E565))</f>
        <v/>
      </c>
      <c r="D565" s="5">
        <f>IF($E565="","",INDEX('Input Transaksi'!$F:$F,$E565))</f>
        <v/>
      </c>
      <c r="E565">
        <f>IFERROR(AGGREGATE(15,6,ROW('Input Transaksi'!$B$5:$B$5000)/('Input Transaksi'!$B$5:$B$5000="GRIYA ANYAR"),ROWS($E$5:E565)),"")</f>
        <v/>
      </c>
      <c r="F565" s="5" t="n"/>
    </row>
    <row r="566">
      <c r="A566" s="10">
        <f>IF($E566="","",INDEX('Input Transaksi'!$A:$A,$E566))</f>
        <v/>
      </c>
      <c r="B566" s="5">
        <f>IF($E566="","",INDEX('Input Transaksi'!$D:$D,$E566))</f>
        <v/>
      </c>
      <c r="C566">
        <f>IF($E566="","",INDEX('Input Transaksi'!$E:$E,$E566))</f>
        <v/>
      </c>
      <c r="D566" s="5">
        <f>IF($E566="","",INDEX('Input Transaksi'!$F:$F,$E566))</f>
        <v/>
      </c>
      <c r="E566">
        <f>IFERROR(AGGREGATE(15,6,ROW('Input Transaksi'!$B$5:$B$5000)/('Input Transaksi'!$B$5:$B$5000="GRIYA ANYAR"),ROWS($E$5:E566)),"")</f>
        <v/>
      </c>
      <c r="F566" s="5" t="n"/>
    </row>
    <row r="567">
      <c r="A567" s="10">
        <f>IF($E567="","",INDEX('Input Transaksi'!$A:$A,$E567))</f>
        <v/>
      </c>
      <c r="B567" s="5">
        <f>IF($E567="","",INDEX('Input Transaksi'!$D:$D,$E567))</f>
        <v/>
      </c>
      <c r="C567">
        <f>IF($E567="","",INDEX('Input Transaksi'!$E:$E,$E567))</f>
        <v/>
      </c>
      <c r="D567" s="5">
        <f>IF($E567="","",INDEX('Input Transaksi'!$F:$F,$E567))</f>
        <v/>
      </c>
      <c r="E567">
        <f>IFERROR(AGGREGATE(15,6,ROW('Input Transaksi'!$B$5:$B$5000)/('Input Transaksi'!$B$5:$B$5000="GRIYA ANYAR"),ROWS($E$5:E567)),"")</f>
        <v/>
      </c>
      <c r="F567" s="5" t="n"/>
    </row>
    <row r="568">
      <c r="A568" s="10">
        <f>IF($E568="","",INDEX('Input Transaksi'!$A:$A,$E568))</f>
        <v/>
      </c>
      <c r="B568" s="5">
        <f>IF($E568="","",INDEX('Input Transaksi'!$D:$D,$E568))</f>
        <v/>
      </c>
      <c r="C568">
        <f>IF($E568="","",INDEX('Input Transaksi'!$E:$E,$E568))</f>
        <v/>
      </c>
      <c r="D568" s="5">
        <f>IF($E568="","",INDEX('Input Transaksi'!$F:$F,$E568))</f>
        <v/>
      </c>
      <c r="E568">
        <f>IFERROR(AGGREGATE(15,6,ROW('Input Transaksi'!$B$5:$B$5000)/('Input Transaksi'!$B$5:$B$5000="GRIYA ANYAR"),ROWS($E$5:E568)),"")</f>
        <v/>
      </c>
      <c r="F568" s="5" t="n"/>
    </row>
    <row r="569">
      <c r="A569" s="10">
        <f>IF($E569="","",INDEX('Input Transaksi'!$A:$A,$E569))</f>
        <v/>
      </c>
      <c r="B569" s="5">
        <f>IF($E569="","",INDEX('Input Transaksi'!$D:$D,$E569))</f>
        <v/>
      </c>
      <c r="C569">
        <f>IF($E569="","",INDEX('Input Transaksi'!$E:$E,$E569))</f>
        <v/>
      </c>
      <c r="D569" s="5">
        <f>IF($E569="","",INDEX('Input Transaksi'!$F:$F,$E569))</f>
        <v/>
      </c>
      <c r="E569">
        <f>IFERROR(AGGREGATE(15,6,ROW('Input Transaksi'!$B$5:$B$5000)/('Input Transaksi'!$B$5:$B$5000="GRIYA ANYAR"),ROWS($E$5:E569)),"")</f>
        <v/>
      </c>
      <c r="F569" s="5" t="n"/>
    </row>
    <row r="570">
      <c r="A570" s="10">
        <f>IF($E570="","",INDEX('Input Transaksi'!$A:$A,$E570))</f>
        <v/>
      </c>
      <c r="B570" s="5">
        <f>IF($E570="","",INDEX('Input Transaksi'!$D:$D,$E570))</f>
        <v/>
      </c>
      <c r="C570">
        <f>IF($E570="","",INDEX('Input Transaksi'!$E:$E,$E570))</f>
        <v/>
      </c>
      <c r="D570" s="5">
        <f>IF($E570="","",INDEX('Input Transaksi'!$F:$F,$E570))</f>
        <v/>
      </c>
      <c r="E570">
        <f>IFERROR(AGGREGATE(15,6,ROW('Input Transaksi'!$B$5:$B$5000)/('Input Transaksi'!$B$5:$B$5000="GRIYA ANYAR"),ROWS($E$5:E570)),"")</f>
        <v/>
      </c>
      <c r="F570" s="5" t="n"/>
    </row>
    <row r="571">
      <c r="A571" s="10">
        <f>IF($E571="","",INDEX('Input Transaksi'!$A:$A,$E571))</f>
        <v/>
      </c>
      <c r="B571" s="5">
        <f>IF($E571="","",INDEX('Input Transaksi'!$D:$D,$E571))</f>
        <v/>
      </c>
      <c r="C571">
        <f>IF($E571="","",INDEX('Input Transaksi'!$E:$E,$E571))</f>
        <v/>
      </c>
      <c r="D571" s="5">
        <f>IF($E571="","",INDEX('Input Transaksi'!$F:$F,$E571))</f>
        <v/>
      </c>
      <c r="E571">
        <f>IFERROR(AGGREGATE(15,6,ROW('Input Transaksi'!$B$5:$B$5000)/('Input Transaksi'!$B$5:$B$5000="GRIYA ANYAR"),ROWS($E$5:E571)),"")</f>
        <v/>
      </c>
      <c r="F571" s="5" t="n"/>
    </row>
    <row r="572">
      <c r="A572" s="10">
        <f>IF($E572="","",INDEX('Input Transaksi'!$A:$A,$E572))</f>
        <v/>
      </c>
      <c r="B572" s="5">
        <f>IF($E572="","",INDEX('Input Transaksi'!$D:$D,$E572))</f>
        <v/>
      </c>
      <c r="C572">
        <f>IF($E572="","",INDEX('Input Transaksi'!$E:$E,$E572))</f>
        <v/>
      </c>
      <c r="D572" s="5">
        <f>IF($E572="","",INDEX('Input Transaksi'!$F:$F,$E572))</f>
        <v/>
      </c>
      <c r="E572">
        <f>IFERROR(AGGREGATE(15,6,ROW('Input Transaksi'!$B$5:$B$5000)/('Input Transaksi'!$B$5:$B$5000="GRIYA ANYAR"),ROWS($E$5:E572)),"")</f>
        <v/>
      </c>
      <c r="F572" s="5" t="n"/>
    </row>
    <row r="573">
      <c r="A573" s="10">
        <f>IF($E573="","",INDEX('Input Transaksi'!$A:$A,$E573))</f>
        <v/>
      </c>
      <c r="B573" s="5">
        <f>IF($E573="","",INDEX('Input Transaksi'!$D:$D,$E573))</f>
        <v/>
      </c>
      <c r="C573">
        <f>IF($E573="","",INDEX('Input Transaksi'!$E:$E,$E573))</f>
        <v/>
      </c>
      <c r="D573" s="5">
        <f>IF($E573="","",INDEX('Input Transaksi'!$F:$F,$E573))</f>
        <v/>
      </c>
      <c r="E573">
        <f>IFERROR(AGGREGATE(15,6,ROW('Input Transaksi'!$B$5:$B$5000)/('Input Transaksi'!$B$5:$B$5000="GRIYA ANYAR"),ROWS($E$5:E573)),"")</f>
        <v/>
      </c>
      <c r="F573" s="5" t="n"/>
    </row>
    <row r="574">
      <c r="A574" s="10">
        <f>IF($E574="","",INDEX('Input Transaksi'!$A:$A,$E574))</f>
        <v/>
      </c>
      <c r="B574" s="5">
        <f>IF($E574="","",INDEX('Input Transaksi'!$D:$D,$E574))</f>
        <v/>
      </c>
      <c r="C574">
        <f>IF($E574="","",INDEX('Input Transaksi'!$E:$E,$E574))</f>
        <v/>
      </c>
      <c r="D574" s="5">
        <f>IF($E574="","",INDEX('Input Transaksi'!$F:$F,$E574))</f>
        <v/>
      </c>
      <c r="E574">
        <f>IFERROR(AGGREGATE(15,6,ROW('Input Transaksi'!$B$5:$B$5000)/('Input Transaksi'!$B$5:$B$5000="GRIYA ANYAR"),ROWS($E$5:E574)),"")</f>
        <v/>
      </c>
      <c r="F574" s="5" t="n"/>
    </row>
    <row r="575">
      <c r="A575" s="10">
        <f>IF($E575="","",INDEX('Input Transaksi'!$A:$A,$E575))</f>
        <v/>
      </c>
      <c r="B575" s="5">
        <f>IF($E575="","",INDEX('Input Transaksi'!$D:$D,$E575))</f>
        <v/>
      </c>
      <c r="C575">
        <f>IF($E575="","",INDEX('Input Transaksi'!$E:$E,$E575))</f>
        <v/>
      </c>
      <c r="D575" s="5">
        <f>IF($E575="","",INDEX('Input Transaksi'!$F:$F,$E575))</f>
        <v/>
      </c>
      <c r="E575">
        <f>IFERROR(AGGREGATE(15,6,ROW('Input Transaksi'!$B$5:$B$5000)/('Input Transaksi'!$B$5:$B$5000="GRIYA ANYAR"),ROWS($E$5:E575)),"")</f>
        <v/>
      </c>
      <c r="F575" s="5" t="n"/>
    </row>
    <row r="576">
      <c r="A576" s="10">
        <f>IF($E576="","",INDEX('Input Transaksi'!$A:$A,$E576))</f>
        <v/>
      </c>
      <c r="B576" s="5">
        <f>IF($E576="","",INDEX('Input Transaksi'!$D:$D,$E576))</f>
        <v/>
      </c>
      <c r="C576">
        <f>IF($E576="","",INDEX('Input Transaksi'!$E:$E,$E576))</f>
        <v/>
      </c>
      <c r="D576" s="5">
        <f>IF($E576="","",INDEX('Input Transaksi'!$F:$F,$E576))</f>
        <v/>
      </c>
      <c r="E576">
        <f>IFERROR(AGGREGATE(15,6,ROW('Input Transaksi'!$B$5:$B$5000)/('Input Transaksi'!$B$5:$B$5000="GRIYA ANYAR"),ROWS($E$5:E576)),"")</f>
        <v/>
      </c>
      <c r="F576" s="5" t="n"/>
    </row>
    <row r="577">
      <c r="A577" s="10">
        <f>IF($E577="","",INDEX('Input Transaksi'!$A:$A,$E577))</f>
        <v/>
      </c>
      <c r="B577" s="5">
        <f>IF($E577="","",INDEX('Input Transaksi'!$D:$D,$E577))</f>
        <v/>
      </c>
      <c r="C577">
        <f>IF($E577="","",INDEX('Input Transaksi'!$E:$E,$E577))</f>
        <v/>
      </c>
      <c r="D577" s="5">
        <f>IF($E577="","",INDEX('Input Transaksi'!$F:$F,$E577))</f>
        <v/>
      </c>
      <c r="E577">
        <f>IFERROR(AGGREGATE(15,6,ROW('Input Transaksi'!$B$5:$B$5000)/('Input Transaksi'!$B$5:$B$5000="GRIYA ANYAR"),ROWS($E$5:E577)),"")</f>
        <v/>
      </c>
      <c r="F577" s="5" t="n"/>
    </row>
    <row r="578">
      <c r="A578" s="10">
        <f>IF($E578="","",INDEX('Input Transaksi'!$A:$A,$E578))</f>
        <v/>
      </c>
      <c r="B578" s="5">
        <f>IF($E578="","",INDEX('Input Transaksi'!$D:$D,$E578))</f>
        <v/>
      </c>
      <c r="C578">
        <f>IF($E578="","",INDEX('Input Transaksi'!$E:$E,$E578))</f>
        <v/>
      </c>
      <c r="D578" s="5">
        <f>IF($E578="","",INDEX('Input Transaksi'!$F:$F,$E578))</f>
        <v/>
      </c>
      <c r="E578">
        <f>IFERROR(AGGREGATE(15,6,ROW('Input Transaksi'!$B$5:$B$5000)/('Input Transaksi'!$B$5:$B$5000="GRIYA ANYAR"),ROWS($E$5:E578)),"")</f>
        <v/>
      </c>
      <c r="F578" s="5" t="n"/>
    </row>
    <row r="579">
      <c r="A579" s="10">
        <f>IF($E579="","",INDEX('Input Transaksi'!$A:$A,$E579))</f>
        <v/>
      </c>
      <c r="B579" s="5">
        <f>IF($E579="","",INDEX('Input Transaksi'!$D:$D,$E579))</f>
        <v/>
      </c>
      <c r="C579">
        <f>IF($E579="","",INDEX('Input Transaksi'!$E:$E,$E579))</f>
        <v/>
      </c>
      <c r="D579" s="5">
        <f>IF($E579="","",INDEX('Input Transaksi'!$F:$F,$E579))</f>
        <v/>
      </c>
      <c r="E579">
        <f>IFERROR(AGGREGATE(15,6,ROW('Input Transaksi'!$B$5:$B$5000)/('Input Transaksi'!$B$5:$B$5000="GRIYA ANYAR"),ROWS($E$5:E579)),"")</f>
        <v/>
      </c>
      <c r="F579" s="5" t="n"/>
    </row>
    <row r="580">
      <c r="A580" s="10">
        <f>IF($E580="","",INDEX('Input Transaksi'!$A:$A,$E580))</f>
        <v/>
      </c>
      <c r="B580" s="5">
        <f>IF($E580="","",INDEX('Input Transaksi'!$D:$D,$E580))</f>
        <v/>
      </c>
      <c r="C580">
        <f>IF($E580="","",INDEX('Input Transaksi'!$E:$E,$E580))</f>
        <v/>
      </c>
      <c r="D580" s="5">
        <f>IF($E580="","",INDEX('Input Transaksi'!$F:$F,$E580))</f>
        <v/>
      </c>
      <c r="E580">
        <f>IFERROR(AGGREGATE(15,6,ROW('Input Transaksi'!$B$5:$B$5000)/('Input Transaksi'!$B$5:$B$5000="GRIYA ANYAR"),ROWS($E$5:E580)),"")</f>
        <v/>
      </c>
      <c r="F580" s="5" t="n"/>
    </row>
    <row r="581">
      <c r="A581" s="10">
        <f>IF($E581="","",INDEX('Input Transaksi'!$A:$A,$E581))</f>
        <v/>
      </c>
      <c r="B581" s="5">
        <f>IF($E581="","",INDEX('Input Transaksi'!$D:$D,$E581))</f>
        <v/>
      </c>
      <c r="C581">
        <f>IF($E581="","",INDEX('Input Transaksi'!$E:$E,$E581))</f>
        <v/>
      </c>
      <c r="D581" s="5">
        <f>IF($E581="","",INDEX('Input Transaksi'!$F:$F,$E581))</f>
        <v/>
      </c>
      <c r="E581">
        <f>IFERROR(AGGREGATE(15,6,ROW('Input Transaksi'!$B$5:$B$5000)/('Input Transaksi'!$B$5:$B$5000="GRIYA ANYAR"),ROWS($E$5:E581)),"")</f>
        <v/>
      </c>
      <c r="F581" s="5" t="n"/>
    </row>
    <row r="582">
      <c r="A582" s="10">
        <f>IF($E582="","",INDEX('Input Transaksi'!$A:$A,$E582))</f>
        <v/>
      </c>
      <c r="B582" s="5">
        <f>IF($E582="","",INDEX('Input Transaksi'!$D:$D,$E582))</f>
        <v/>
      </c>
      <c r="C582">
        <f>IF($E582="","",INDEX('Input Transaksi'!$E:$E,$E582))</f>
        <v/>
      </c>
      <c r="D582" s="5">
        <f>IF($E582="","",INDEX('Input Transaksi'!$F:$F,$E582))</f>
        <v/>
      </c>
      <c r="E582">
        <f>IFERROR(AGGREGATE(15,6,ROW('Input Transaksi'!$B$5:$B$5000)/('Input Transaksi'!$B$5:$B$5000="GRIYA ANYAR"),ROWS($E$5:E582)),"")</f>
        <v/>
      </c>
      <c r="F582" s="5" t="n"/>
    </row>
    <row r="583">
      <c r="A583" s="10">
        <f>IF($E583="","",INDEX('Input Transaksi'!$A:$A,$E583))</f>
        <v/>
      </c>
      <c r="B583" s="5">
        <f>IF($E583="","",INDEX('Input Transaksi'!$D:$D,$E583))</f>
        <v/>
      </c>
      <c r="C583">
        <f>IF($E583="","",INDEX('Input Transaksi'!$E:$E,$E583))</f>
        <v/>
      </c>
      <c r="D583" s="5">
        <f>IF($E583="","",INDEX('Input Transaksi'!$F:$F,$E583))</f>
        <v/>
      </c>
      <c r="E583">
        <f>IFERROR(AGGREGATE(15,6,ROW('Input Transaksi'!$B$5:$B$5000)/('Input Transaksi'!$B$5:$B$5000="GRIYA ANYAR"),ROWS($E$5:E583)),"")</f>
        <v/>
      </c>
      <c r="F583" s="5" t="n"/>
    </row>
    <row r="584">
      <c r="A584" s="10">
        <f>IF($E584="","",INDEX('Input Transaksi'!$A:$A,$E584))</f>
        <v/>
      </c>
      <c r="B584" s="5">
        <f>IF($E584="","",INDEX('Input Transaksi'!$D:$D,$E584))</f>
        <v/>
      </c>
      <c r="C584">
        <f>IF($E584="","",INDEX('Input Transaksi'!$E:$E,$E584))</f>
        <v/>
      </c>
      <c r="D584" s="5">
        <f>IF($E584="","",INDEX('Input Transaksi'!$F:$F,$E584))</f>
        <v/>
      </c>
      <c r="E584">
        <f>IFERROR(AGGREGATE(15,6,ROW('Input Transaksi'!$B$5:$B$5000)/('Input Transaksi'!$B$5:$B$5000="GRIYA ANYAR"),ROWS($E$5:E584)),"")</f>
        <v/>
      </c>
      <c r="F584" s="5" t="n"/>
    </row>
    <row r="585">
      <c r="A585" s="10">
        <f>IF($E585="","",INDEX('Input Transaksi'!$A:$A,$E585))</f>
        <v/>
      </c>
      <c r="B585" s="5">
        <f>IF($E585="","",INDEX('Input Transaksi'!$D:$D,$E585))</f>
        <v/>
      </c>
      <c r="C585">
        <f>IF($E585="","",INDEX('Input Transaksi'!$E:$E,$E585))</f>
        <v/>
      </c>
      <c r="D585" s="5">
        <f>IF($E585="","",INDEX('Input Transaksi'!$F:$F,$E585))</f>
        <v/>
      </c>
      <c r="E585">
        <f>IFERROR(AGGREGATE(15,6,ROW('Input Transaksi'!$B$5:$B$5000)/('Input Transaksi'!$B$5:$B$5000="GRIYA ANYAR"),ROWS($E$5:E585)),"")</f>
        <v/>
      </c>
      <c r="F585" s="5" t="n"/>
    </row>
    <row r="586">
      <c r="A586" s="10">
        <f>IF($E586="","",INDEX('Input Transaksi'!$A:$A,$E586))</f>
        <v/>
      </c>
      <c r="B586" s="5">
        <f>IF($E586="","",INDEX('Input Transaksi'!$D:$D,$E586))</f>
        <v/>
      </c>
      <c r="C586">
        <f>IF($E586="","",INDEX('Input Transaksi'!$E:$E,$E586))</f>
        <v/>
      </c>
      <c r="D586" s="5">
        <f>IF($E586="","",INDEX('Input Transaksi'!$F:$F,$E586))</f>
        <v/>
      </c>
      <c r="E586">
        <f>IFERROR(AGGREGATE(15,6,ROW('Input Transaksi'!$B$5:$B$5000)/('Input Transaksi'!$B$5:$B$5000="GRIYA ANYAR"),ROWS($E$5:E586)),"")</f>
        <v/>
      </c>
      <c r="F586" s="5" t="n"/>
    </row>
    <row r="587">
      <c r="A587" s="10">
        <f>IF($E587="","",INDEX('Input Transaksi'!$A:$A,$E587))</f>
        <v/>
      </c>
      <c r="B587" s="5">
        <f>IF($E587="","",INDEX('Input Transaksi'!$D:$D,$E587))</f>
        <v/>
      </c>
      <c r="C587">
        <f>IF($E587="","",INDEX('Input Transaksi'!$E:$E,$E587))</f>
        <v/>
      </c>
      <c r="D587" s="5">
        <f>IF($E587="","",INDEX('Input Transaksi'!$F:$F,$E587))</f>
        <v/>
      </c>
      <c r="E587">
        <f>IFERROR(AGGREGATE(15,6,ROW('Input Transaksi'!$B$5:$B$5000)/('Input Transaksi'!$B$5:$B$5000="GRIYA ANYAR"),ROWS($E$5:E587)),"")</f>
        <v/>
      </c>
      <c r="F587" s="5" t="n"/>
    </row>
    <row r="588">
      <c r="A588" s="10">
        <f>IF($E588="","",INDEX('Input Transaksi'!$A:$A,$E588))</f>
        <v/>
      </c>
      <c r="B588" s="5">
        <f>IF($E588="","",INDEX('Input Transaksi'!$D:$D,$E588))</f>
        <v/>
      </c>
      <c r="C588">
        <f>IF($E588="","",INDEX('Input Transaksi'!$E:$E,$E588))</f>
        <v/>
      </c>
      <c r="D588" s="5">
        <f>IF($E588="","",INDEX('Input Transaksi'!$F:$F,$E588))</f>
        <v/>
      </c>
      <c r="E588">
        <f>IFERROR(AGGREGATE(15,6,ROW('Input Transaksi'!$B$5:$B$5000)/('Input Transaksi'!$B$5:$B$5000="GRIYA ANYAR"),ROWS($E$5:E588)),"")</f>
        <v/>
      </c>
      <c r="F588" s="5" t="n"/>
    </row>
    <row r="589">
      <c r="A589" s="10">
        <f>IF($E589="","",INDEX('Input Transaksi'!$A:$A,$E589))</f>
        <v/>
      </c>
      <c r="B589" s="5">
        <f>IF($E589="","",INDEX('Input Transaksi'!$D:$D,$E589))</f>
        <v/>
      </c>
      <c r="C589">
        <f>IF($E589="","",INDEX('Input Transaksi'!$E:$E,$E589))</f>
        <v/>
      </c>
      <c r="D589" s="5">
        <f>IF($E589="","",INDEX('Input Transaksi'!$F:$F,$E589))</f>
        <v/>
      </c>
      <c r="E589">
        <f>IFERROR(AGGREGATE(15,6,ROW('Input Transaksi'!$B$5:$B$5000)/('Input Transaksi'!$B$5:$B$5000="GRIYA ANYAR"),ROWS($E$5:E589)),"")</f>
        <v/>
      </c>
      <c r="F589" s="5" t="n"/>
    </row>
    <row r="590">
      <c r="A590" s="10">
        <f>IF($E590="","",INDEX('Input Transaksi'!$A:$A,$E590))</f>
        <v/>
      </c>
      <c r="B590" s="5">
        <f>IF($E590="","",INDEX('Input Transaksi'!$D:$D,$E590))</f>
        <v/>
      </c>
      <c r="C590">
        <f>IF($E590="","",INDEX('Input Transaksi'!$E:$E,$E590))</f>
        <v/>
      </c>
      <c r="D590" s="5">
        <f>IF($E590="","",INDEX('Input Transaksi'!$F:$F,$E590))</f>
        <v/>
      </c>
      <c r="E590">
        <f>IFERROR(AGGREGATE(15,6,ROW('Input Transaksi'!$B$5:$B$5000)/('Input Transaksi'!$B$5:$B$5000="GRIYA ANYAR"),ROWS($E$5:E590)),"")</f>
        <v/>
      </c>
      <c r="F590" s="5" t="n"/>
    </row>
    <row r="591">
      <c r="A591" s="10">
        <f>IF($E591="","",INDEX('Input Transaksi'!$A:$A,$E591))</f>
        <v/>
      </c>
      <c r="B591" s="5">
        <f>IF($E591="","",INDEX('Input Transaksi'!$D:$D,$E591))</f>
        <v/>
      </c>
      <c r="C591">
        <f>IF($E591="","",INDEX('Input Transaksi'!$E:$E,$E591))</f>
        <v/>
      </c>
      <c r="D591" s="5">
        <f>IF($E591="","",INDEX('Input Transaksi'!$F:$F,$E591))</f>
        <v/>
      </c>
      <c r="E591">
        <f>IFERROR(AGGREGATE(15,6,ROW('Input Transaksi'!$B$5:$B$5000)/('Input Transaksi'!$B$5:$B$5000="GRIYA ANYAR"),ROWS($E$5:E591)),"")</f>
        <v/>
      </c>
      <c r="F591" s="5" t="n"/>
    </row>
    <row r="592">
      <c r="A592" s="10">
        <f>IF($E592="","",INDEX('Input Transaksi'!$A:$A,$E592))</f>
        <v/>
      </c>
      <c r="B592" s="5">
        <f>IF($E592="","",INDEX('Input Transaksi'!$D:$D,$E592))</f>
        <v/>
      </c>
      <c r="C592">
        <f>IF($E592="","",INDEX('Input Transaksi'!$E:$E,$E592))</f>
        <v/>
      </c>
      <c r="D592" s="5">
        <f>IF($E592="","",INDEX('Input Transaksi'!$F:$F,$E592))</f>
        <v/>
      </c>
      <c r="E592">
        <f>IFERROR(AGGREGATE(15,6,ROW('Input Transaksi'!$B$5:$B$5000)/('Input Transaksi'!$B$5:$B$5000="GRIYA ANYAR"),ROWS($E$5:E592)),"")</f>
        <v/>
      </c>
      <c r="F592" s="5" t="n"/>
    </row>
    <row r="593">
      <c r="A593" s="10">
        <f>IF($E593="","",INDEX('Input Transaksi'!$A:$A,$E593))</f>
        <v/>
      </c>
      <c r="B593" s="5">
        <f>IF($E593="","",INDEX('Input Transaksi'!$D:$D,$E593))</f>
        <v/>
      </c>
      <c r="C593">
        <f>IF($E593="","",INDEX('Input Transaksi'!$E:$E,$E593))</f>
        <v/>
      </c>
      <c r="D593" s="5">
        <f>IF($E593="","",INDEX('Input Transaksi'!$F:$F,$E593))</f>
        <v/>
      </c>
      <c r="E593">
        <f>IFERROR(AGGREGATE(15,6,ROW('Input Transaksi'!$B$5:$B$5000)/('Input Transaksi'!$B$5:$B$5000="GRIYA ANYAR"),ROWS($E$5:E593)),"")</f>
        <v/>
      </c>
      <c r="F593" s="5" t="n"/>
    </row>
    <row r="594">
      <c r="A594" s="10">
        <f>IF($E594="","",INDEX('Input Transaksi'!$A:$A,$E594))</f>
        <v/>
      </c>
      <c r="B594" s="5">
        <f>IF($E594="","",INDEX('Input Transaksi'!$D:$D,$E594))</f>
        <v/>
      </c>
      <c r="C594">
        <f>IF($E594="","",INDEX('Input Transaksi'!$E:$E,$E594))</f>
        <v/>
      </c>
      <c r="D594" s="5">
        <f>IF($E594="","",INDEX('Input Transaksi'!$F:$F,$E594))</f>
        <v/>
      </c>
      <c r="E594">
        <f>IFERROR(AGGREGATE(15,6,ROW('Input Transaksi'!$B$5:$B$5000)/('Input Transaksi'!$B$5:$B$5000="GRIYA ANYAR"),ROWS($E$5:E594)),"")</f>
        <v/>
      </c>
      <c r="F594" s="5" t="n"/>
    </row>
    <row r="595">
      <c r="A595" s="10">
        <f>IF($E595="","",INDEX('Input Transaksi'!$A:$A,$E595))</f>
        <v/>
      </c>
      <c r="B595" s="5">
        <f>IF($E595="","",INDEX('Input Transaksi'!$D:$D,$E595))</f>
        <v/>
      </c>
      <c r="C595">
        <f>IF($E595="","",INDEX('Input Transaksi'!$E:$E,$E595))</f>
        <v/>
      </c>
      <c r="D595" s="5">
        <f>IF($E595="","",INDEX('Input Transaksi'!$F:$F,$E595))</f>
        <v/>
      </c>
      <c r="E595">
        <f>IFERROR(AGGREGATE(15,6,ROW('Input Transaksi'!$B$5:$B$5000)/('Input Transaksi'!$B$5:$B$5000="GRIYA ANYAR"),ROWS($E$5:E595)),"")</f>
        <v/>
      </c>
      <c r="F595" s="5" t="n"/>
    </row>
    <row r="596">
      <c r="A596" s="10">
        <f>IF($E596="","",INDEX('Input Transaksi'!$A:$A,$E596))</f>
        <v/>
      </c>
      <c r="B596" s="5">
        <f>IF($E596="","",INDEX('Input Transaksi'!$D:$D,$E596))</f>
        <v/>
      </c>
      <c r="C596">
        <f>IF($E596="","",INDEX('Input Transaksi'!$E:$E,$E596))</f>
        <v/>
      </c>
      <c r="D596" s="5">
        <f>IF($E596="","",INDEX('Input Transaksi'!$F:$F,$E596))</f>
        <v/>
      </c>
      <c r="E596">
        <f>IFERROR(AGGREGATE(15,6,ROW('Input Transaksi'!$B$5:$B$5000)/('Input Transaksi'!$B$5:$B$5000="GRIYA ANYAR"),ROWS($E$5:E596)),"")</f>
        <v/>
      </c>
      <c r="F596" s="5" t="n"/>
    </row>
    <row r="597">
      <c r="A597" s="10">
        <f>IF($E597="","",INDEX('Input Transaksi'!$A:$A,$E597))</f>
        <v/>
      </c>
      <c r="B597" s="5">
        <f>IF($E597="","",INDEX('Input Transaksi'!$D:$D,$E597))</f>
        <v/>
      </c>
      <c r="C597">
        <f>IF($E597="","",INDEX('Input Transaksi'!$E:$E,$E597))</f>
        <v/>
      </c>
      <c r="D597" s="5">
        <f>IF($E597="","",INDEX('Input Transaksi'!$F:$F,$E597))</f>
        <v/>
      </c>
      <c r="E597">
        <f>IFERROR(AGGREGATE(15,6,ROW('Input Transaksi'!$B$5:$B$5000)/('Input Transaksi'!$B$5:$B$5000="GRIYA ANYAR"),ROWS($E$5:E597)),"")</f>
        <v/>
      </c>
      <c r="F597" s="5" t="n"/>
    </row>
    <row r="598">
      <c r="A598" s="10">
        <f>IF($E598="","",INDEX('Input Transaksi'!$A:$A,$E598))</f>
        <v/>
      </c>
      <c r="B598" s="5">
        <f>IF($E598="","",INDEX('Input Transaksi'!$D:$D,$E598))</f>
        <v/>
      </c>
      <c r="C598">
        <f>IF($E598="","",INDEX('Input Transaksi'!$E:$E,$E598))</f>
        <v/>
      </c>
      <c r="D598" s="5">
        <f>IF($E598="","",INDEX('Input Transaksi'!$F:$F,$E598))</f>
        <v/>
      </c>
      <c r="E598">
        <f>IFERROR(AGGREGATE(15,6,ROW('Input Transaksi'!$B$5:$B$5000)/('Input Transaksi'!$B$5:$B$5000="GRIYA ANYAR"),ROWS($E$5:E598)),"")</f>
        <v/>
      </c>
      <c r="F598" s="5" t="n"/>
    </row>
    <row r="599">
      <c r="A599" s="10">
        <f>IF($E599="","",INDEX('Input Transaksi'!$A:$A,$E599))</f>
        <v/>
      </c>
      <c r="B599" s="5">
        <f>IF($E599="","",INDEX('Input Transaksi'!$D:$D,$E599))</f>
        <v/>
      </c>
      <c r="C599">
        <f>IF($E599="","",INDEX('Input Transaksi'!$E:$E,$E599))</f>
        <v/>
      </c>
      <c r="D599" s="5">
        <f>IF($E599="","",INDEX('Input Transaksi'!$F:$F,$E599))</f>
        <v/>
      </c>
      <c r="E599">
        <f>IFERROR(AGGREGATE(15,6,ROW('Input Transaksi'!$B$5:$B$5000)/('Input Transaksi'!$B$5:$B$5000="GRIYA ANYAR"),ROWS($E$5:E599)),"")</f>
        <v/>
      </c>
      <c r="F599" s="5" t="n"/>
    </row>
    <row r="600">
      <c r="A600" s="10">
        <f>IF($E600="","",INDEX('Input Transaksi'!$A:$A,$E600))</f>
        <v/>
      </c>
      <c r="B600" s="5">
        <f>IF($E600="","",INDEX('Input Transaksi'!$D:$D,$E600))</f>
        <v/>
      </c>
      <c r="C600">
        <f>IF($E600="","",INDEX('Input Transaksi'!$E:$E,$E600))</f>
        <v/>
      </c>
      <c r="D600" s="5">
        <f>IF($E600="","",INDEX('Input Transaksi'!$F:$F,$E600))</f>
        <v/>
      </c>
      <c r="E600">
        <f>IFERROR(AGGREGATE(15,6,ROW('Input Transaksi'!$B$5:$B$5000)/('Input Transaksi'!$B$5:$B$5000="GRIYA ANYAR"),ROWS($E$5:E600)),"")</f>
        <v/>
      </c>
      <c r="F600" s="5" t="n"/>
    </row>
    <row r="601">
      <c r="A601" s="10">
        <f>IF($E601="","",INDEX('Input Transaksi'!$A:$A,$E601))</f>
        <v/>
      </c>
      <c r="B601" s="5">
        <f>IF($E601="","",INDEX('Input Transaksi'!$D:$D,$E601))</f>
        <v/>
      </c>
      <c r="C601">
        <f>IF($E601="","",INDEX('Input Transaksi'!$E:$E,$E601))</f>
        <v/>
      </c>
      <c r="D601" s="5">
        <f>IF($E601="","",INDEX('Input Transaksi'!$F:$F,$E601))</f>
        <v/>
      </c>
      <c r="E601">
        <f>IFERROR(AGGREGATE(15,6,ROW('Input Transaksi'!$B$5:$B$5000)/('Input Transaksi'!$B$5:$B$5000="GRIYA ANYAR"),ROWS($E$5:E601)),"")</f>
        <v/>
      </c>
      <c r="F601" s="5" t="n"/>
    </row>
    <row r="602">
      <c r="A602" s="10">
        <f>IF($E602="","",INDEX('Input Transaksi'!$A:$A,$E602))</f>
        <v/>
      </c>
      <c r="B602" s="5">
        <f>IF($E602="","",INDEX('Input Transaksi'!$D:$D,$E602))</f>
        <v/>
      </c>
      <c r="C602">
        <f>IF($E602="","",INDEX('Input Transaksi'!$E:$E,$E602))</f>
        <v/>
      </c>
      <c r="D602" s="5">
        <f>IF($E602="","",INDEX('Input Transaksi'!$F:$F,$E602))</f>
        <v/>
      </c>
      <c r="E602">
        <f>IFERROR(AGGREGATE(15,6,ROW('Input Transaksi'!$B$5:$B$5000)/('Input Transaksi'!$B$5:$B$5000="GRIYA ANYAR"),ROWS($E$5:E602)),"")</f>
        <v/>
      </c>
      <c r="F602" s="5" t="n"/>
    </row>
    <row r="603">
      <c r="A603" s="10">
        <f>IF($E603="","",INDEX('Input Transaksi'!$A:$A,$E603))</f>
        <v/>
      </c>
      <c r="B603" s="5">
        <f>IF($E603="","",INDEX('Input Transaksi'!$D:$D,$E603))</f>
        <v/>
      </c>
      <c r="C603">
        <f>IF($E603="","",INDEX('Input Transaksi'!$E:$E,$E603))</f>
        <v/>
      </c>
      <c r="D603" s="5">
        <f>IF($E603="","",INDEX('Input Transaksi'!$F:$F,$E603))</f>
        <v/>
      </c>
      <c r="E603">
        <f>IFERROR(AGGREGATE(15,6,ROW('Input Transaksi'!$B$5:$B$5000)/('Input Transaksi'!$B$5:$B$5000="GRIYA ANYAR"),ROWS($E$5:E603)),"")</f>
        <v/>
      </c>
      <c r="F603" s="5" t="n"/>
    </row>
    <row r="604">
      <c r="A604" s="10">
        <f>IF($E604="","",INDEX('Input Transaksi'!$A:$A,$E604))</f>
        <v/>
      </c>
      <c r="B604" s="5">
        <f>IF($E604="","",INDEX('Input Transaksi'!$D:$D,$E604))</f>
        <v/>
      </c>
      <c r="C604">
        <f>IF($E604="","",INDEX('Input Transaksi'!$E:$E,$E604))</f>
        <v/>
      </c>
      <c r="D604" s="5">
        <f>IF($E604="","",INDEX('Input Transaksi'!$F:$F,$E604))</f>
        <v/>
      </c>
      <c r="E604">
        <f>IFERROR(AGGREGATE(15,6,ROW('Input Transaksi'!$B$5:$B$5000)/('Input Transaksi'!$B$5:$B$5000="GRIYA ANYAR"),ROWS($E$5:E604)),"")</f>
        <v/>
      </c>
      <c r="F604" s="5" t="n"/>
    </row>
    <row r="605">
      <c r="A605" s="10">
        <f>IF($E605="","",INDEX('Input Transaksi'!$A:$A,$E605))</f>
        <v/>
      </c>
      <c r="B605" s="5">
        <f>IF($E605="","",INDEX('Input Transaksi'!$D:$D,$E605))</f>
        <v/>
      </c>
      <c r="C605">
        <f>IF($E605="","",INDEX('Input Transaksi'!$E:$E,$E605))</f>
        <v/>
      </c>
      <c r="D605" s="5">
        <f>IF($E605="","",INDEX('Input Transaksi'!$F:$F,$E605))</f>
        <v/>
      </c>
      <c r="E605">
        <f>IFERROR(AGGREGATE(15,6,ROW('Input Transaksi'!$B$5:$B$5000)/('Input Transaksi'!$B$5:$B$5000="GRIYA ANYAR"),ROWS($E$5:E605)),"")</f>
        <v/>
      </c>
      <c r="F605" s="5" t="n"/>
    </row>
    <row r="606">
      <c r="A606" s="10">
        <f>IF($E606="","",INDEX('Input Transaksi'!$A:$A,$E606))</f>
        <v/>
      </c>
      <c r="B606" s="5">
        <f>IF($E606="","",INDEX('Input Transaksi'!$D:$D,$E606))</f>
        <v/>
      </c>
      <c r="C606">
        <f>IF($E606="","",INDEX('Input Transaksi'!$E:$E,$E606))</f>
        <v/>
      </c>
      <c r="D606" s="5">
        <f>IF($E606="","",INDEX('Input Transaksi'!$F:$F,$E606))</f>
        <v/>
      </c>
      <c r="E606">
        <f>IFERROR(AGGREGATE(15,6,ROW('Input Transaksi'!$B$5:$B$5000)/('Input Transaksi'!$B$5:$B$5000="GRIYA ANYAR"),ROWS($E$5:E606)),"")</f>
        <v/>
      </c>
      <c r="F606" s="5" t="n"/>
    </row>
    <row r="607">
      <c r="A607" s="10">
        <f>IF($E607="","",INDEX('Input Transaksi'!$A:$A,$E607))</f>
        <v/>
      </c>
      <c r="B607" s="5">
        <f>IF($E607="","",INDEX('Input Transaksi'!$D:$D,$E607))</f>
        <v/>
      </c>
      <c r="C607">
        <f>IF($E607="","",INDEX('Input Transaksi'!$E:$E,$E607))</f>
        <v/>
      </c>
      <c r="D607" s="5">
        <f>IF($E607="","",INDEX('Input Transaksi'!$F:$F,$E607))</f>
        <v/>
      </c>
      <c r="E607">
        <f>IFERROR(AGGREGATE(15,6,ROW('Input Transaksi'!$B$5:$B$5000)/('Input Transaksi'!$B$5:$B$5000="GRIYA ANYAR"),ROWS($E$5:E607)),"")</f>
        <v/>
      </c>
      <c r="F607" s="5" t="n"/>
    </row>
    <row r="608">
      <c r="A608" s="10">
        <f>IF($E608="","",INDEX('Input Transaksi'!$A:$A,$E608))</f>
        <v/>
      </c>
      <c r="B608" s="5">
        <f>IF($E608="","",INDEX('Input Transaksi'!$D:$D,$E608))</f>
        <v/>
      </c>
      <c r="C608">
        <f>IF($E608="","",INDEX('Input Transaksi'!$E:$E,$E608))</f>
        <v/>
      </c>
      <c r="D608" s="5">
        <f>IF($E608="","",INDEX('Input Transaksi'!$F:$F,$E608))</f>
        <v/>
      </c>
      <c r="E608">
        <f>IFERROR(AGGREGATE(15,6,ROW('Input Transaksi'!$B$5:$B$5000)/('Input Transaksi'!$B$5:$B$5000="GRIYA ANYAR"),ROWS($E$5:E608)),"")</f>
        <v/>
      </c>
      <c r="F608" s="5" t="n"/>
    </row>
    <row r="609">
      <c r="A609" s="10">
        <f>IF($E609="","",INDEX('Input Transaksi'!$A:$A,$E609))</f>
        <v/>
      </c>
      <c r="B609" s="5">
        <f>IF($E609="","",INDEX('Input Transaksi'!$D:$D,$E609))</f>
        <v/>
      </c>
      <c r="C609">
        <f>IF($E609="","",INDEX('Input Transaksi'!$E:$E,$E609))</f>
        <v/>
      </c>
      <c r="D609" s="5">
        <f>IF($E609="","",INDEX('Input Transaksi'!$F:$F,$E609))</f>
        <v/>
      </c>
      <c r="E609">
        <f>IFERROR(AGGREGATE(15,6,ROW('Input Transaksi'!$B$5:$B$5000)/('Input Transaksi'!$B$5:$B$5000="GRIYA ANYAR"),ROWS($E$5:E609)),"")</f>
        <v/>
      </c>
      <c r="F609" s="5" t="n"/>
    </row>
    <row r="610">
      <c r="A610" s="10">
        <f>IF($E610="","",INDEX('Input Transaksi'!$A:$A,$E610))</f>
        <v/>
      </c>
      <c r="B610" s="5">
        <f>IF($E610="","",INDEX('Input Transaksi'!$D:$D,$E610))</f>
        <v/>
      </c>
      <c r="C610">
        <f>IF($E610="","",INDEX('Input Transaksi'!$E:$E,$E610))</f>
        <v/>
      </c>
      <c r="D610" s="5">
        <f>IF($E610="","",INDEX('Input Transaksi'!$F:$F,$E610))</f>
        <v/>
      </c>
      <c r="E610">
        <f>IFERROR(AGGREGATE(15,6,ROW('Input Transaksi'!$B$5:$B$5000)/('Input Transaksi'!$B$5:$B$5000="GRIYA ANYAR"),ROWS($E$5:E610)),"")</f>
        <v/>
      </c>
      <c r="F610" s="5" t="n"/>
    </row>
    <row r="611">
      <c r="A611" s="10">
        <f>IF($E611="","",INDEX('Input Transaksi'!$A:$A,$E611))</f>
        <v/>
      </c>
      <c r="B611" s="5">
        <f>IF($E611="","",INDEX('Input Transaksi'!$D:$D,$E611))</f>
        <v/>
      </c>
      <c r="C611">
        <f>IF($E611="","",INDEX('Input Transaksi'!$E:$E,$E611))</f>
        <v/>
      </c>
      <c r="D611" s="5">
        <f>IF($E611="","",INDEX('Input Transaksi'!$F:$F,$E611))</f>
        <v/>
      </c>
      <c r="E611">
        <f>IFERROR(AGGREGATE(15,6,ROW('Input Transaksi'!$B$5:$B$5000)/('Input Transaksi'!$B$5:$B$5000="GRIYA ANYAR"),ROWS($E$5:E611)),"")</f>
        <v/>
      </c>
      <c r="F611" s="5" t="n"/>
    </row>
    <row r="612">
      <c r="A612" s="10">
        <f>IF($E612="","",INDEX('Input Transaksi'!$A:$A,$E612))</f>
        <v/>
      </c>
      <c r="B612" s="5">
        <f>IF($E612="","",INDEX('Input Transaksi'!$D:$D,$E612))</f>
        <v/>
      </c>
      <c r="C612">
        <f>IF($E612="","",INDEX('Input Transaksi'!$E:$E,$E612))</f>
        <v/>
      </c>
      <c r="D612" s="5">
        <f>IF($E612="","",INDEX('Input Transaksi'!$F:$F,$E612))</f>
        <v/>
      </c>
      <c r="E612">
        <f>IFERROR(AGGREGATE(15,6,ROW('Input Transaksi'!$B$5:$B$5000)/('Input Transaksi'!$B$5:$B$5000="GRIYA ANYAR"),ROWS($E$5:E612)),"")</f>
        <v/>
      </c>
      <c r="F612" s="5" t="n"/>
    </row>
    <row r="613">
      <c r="A613" s="10">
        <f>IF($E613="","",INDEX('Input Transaksi'!$A:$A,$E613))</f>
        <v/>
      </c>
      <c r="B613" s="5">
        <f>IF($E613="","",INDEX('Input Transaksi'!$D:$D,$E613))</f>
        <v/>
      </c>
      <c r="C613">
        <f>IF($E613="","",INDEX('Input Transaksi'!$E:$E,$E613))</f>
        <v/>
      </c>
      <c r="D613" s="5">
        <f>IF($E613="","",INDEX('Input Transaksi'!$F:$F,$E613))</f>
        <v/>
      </c>
      <c r="E613">
        <f>IFERROR(AGGREGATE(15,6,ROW('Input Transaksi'!$B$5:$B$5000)/('Input Transaksi'!$B$5:$B$5000="GRIYA ANYAR"),ROWS($E$5:E613)),"")</f>
        <v/>
      </c>
      <c r="F613" s="5" t="n"/>
    </row>
    <row r="614">
      <c r="A614" s="10">
        <f>IF($E614="","",INDEX('Input Transaksi'!$A:$A,$E614))</f>
        <v/>
      </c>
      <c r="B614" s="5">
        <f>IF($E614="","",INDEX('Input Transaksi'!$D:$D,$E614))</f>
        <v/>
      </c>
      <c r="C614">
        <f>IF($E614="","",INDEX('Input Transaksi'!$E:$E,$E614))</f>
        <v/>
      </c>
      <c r="D614" s="5">
        <f>IF($E614="","",INDEX('Input Transaksi'!$F:$F,$E614))</f>
        <v/>
      </c>
      <c r="E614">
        <f>IFERROR(AGGREGATE(15,6,ROW('Input Transaksi'!$B$5:$B$5000)/('Input Transaksi'!$B$5:$B$5000="GRIYA ANYAR"),ROWS($E$5:E614)),"")</f>
        <v/>
      </c>
      <c r="F614" s="5" t="n"/>
    </row>
    <row r="615">
      <c r="A615" s="10">
        <f>IF($E615="","",INDEX('Input Transaksi'!$A:$A,$E615))</f>
        <v/>
      </c>
      <c r="B615" s="5">
        <f>IF($E615="","",INDEX('Input Transaksi'!$D:$D,$E615))</f>
        <v/>
      </c>
      <c r="C615">
        <f>IF($E615="","",INDEX('Input Transaksi'!$E:$E,$E615))</f>
        <v/>
      </c>
      <c r="D615" s="5">
        <f>IF($E615="","",INDEX('Input Transaksi'!$F:$F,$E615))</f>
        <v/>
      </c>
      <c r="E615">
        <f>IFERROR(AGGREGATE(15,6,ROW('Input Transaksi'!$B$5:$B$5000)/('Input Transaksi'!$B$5:$B$5000="GRIYA ANYAR"),ROWS($E$5:E615)),"")</f>
        <v/>
      </c>
      <c r="F615" s="5" t="n"/>
    </row>
    <row r="616">
      <c r="A616" s="10">
        <f>IF($E616="","",INDEX('Input Transaksi'!$A:$A,$E616))</f>
        <v/>
      </c>
      <c r="B616" s="5">
        <f>IF($E616="","",INDEX('Input Transaksi'!$D:$D,$E616))</f>
        <v/>
      </c>
      <c r="C616">
        <f>IF($E616="","",INDEX('Input Transaksi'!$E:$E,$E616))</f>
        <v/>
      </c>
      <c r="D616" s="5">
        <f>IF($E616="","",INDEX('Input Transaksi'!$F:$F,$E616))</f>
        <v/>
      </c>
      <c r="E616">
        <f>IFERROR(AGGREGATE(15,6,ROW('Input Transaksi'!$B$5:$B$5000)/('Input Transaksi'!$B$5:$B$5000="GRIYA ANYAR"),ROWS($E$5:E616)),"")</f>
        <v/>
      </c>
      <c r="F616" s="5" t="n"/>
    </row>
    <row r="617">
      <c r="A617" s="10">
        <f>IF($E617="","",INDEX('Input Transaksi'!$A:$A,$E617))</f>
        <v/>
      </c>
      <c r="B617" s="5">
        <f>IF($E617="","",INDEX('Input Transaksi'!$D:$D,$E617))</f>
        <v/>
      </c>
      <c r="C617">
        <f>IF($E617="","",INDEX('Input Transaksi'!$E:$E,$E617))</f>
        <v/>
      </c>
      <c r="D617" s="5">
        <f>IF($E617="","",INDEX('Input Transaksi'!$F:$F,$E617))</f>
        <v/>
      </c>
      <c r="E617">
        <f>IFERROR(AGGREGATE(15,6,ROW('Input Transaksi'!$B$5:$B$5000)/('Input Transaksi'!$B$5:$B$5000="GRIYA ANYAR"),ROWS($E$5:E617)),"")</f>
        <v/>
      </c>
      <c r="F617" s="5" t="n"/>
    </row>
    <row r="618">
      <c r="A618" s="10">
        <f>IF($E618="","",INDEX('Input Transaksi'!$A:$A,$E618))</f>
        <v/>
      </c>
      <c r="B618" s="5">
        <f>IF($E618="","",INDEX('Input Transaksi'!$D:$D,$E618))</f>
        <v/>
      </c>
      <c r="C618">
        <f>IF($E618="","",INDEX('Input Transaksi'!$E:$E,$E618))</f>
        <v/>
      </c>
      <c r="D618" s="5">
        <f>IF($E618="","",INDEX('Input Transaksi'!$F:$F,$E618))</f>
        <v/>
      </c>
      <c r="E618">
        <f>IFERROR(AGGREGATE(15,6,ROW('Input Transaksi'!$B$5:$B$5000)/('Input Transaksi'!$B$5:$B$5000="GRIYA ANYAR"),ROWS($E$5:E618)),"")</f>
        <v/>
      </c>
      <c r="F618" s="5" t="n"/>
    </row>
    <row r="619">
      <c r="A619" s="10">
        <f>IF($E619="","",INDEX('Input Transaksi'!$A:$A,$E619))</f>
        <v/>
      </c>
      <c r="B619" s="5">
        <f>IF($E619="","",INDEX('Input Transaksi'!$D:$D,$E619))</f>
        <v/>
      </c>
      <c r="C619">
        <f>IF($E619="","",INDEX('Input Transaksi'!$E:$E,$E619))</f>
        <v/>
      </c>
      <c r="D619" s="5">
        <f>IF($E619="","",INDEX('Input Transaksi'!$F:$F,$E619))</f>
        <v/>
      </c>
      <c r="E619">
        <f>IFERROR(AGGREGATE(15,6,ROW('Input Transaksi'!$B$5:$B$5000)/('Input Transaksi'!$B$5:$B$5000="GRIYA ANYAR"),ROWS($E$5:E619)),"")</f>
        <v/>
      </c>
      <c r="F619" s="5" t="n"/>
    </row>
    <row r="620">
      <c r="A620" s="10">
        <f>IF($E620="","",INDEX('Input Transaksi'!$A:$A,$E620))</f>
        <v/>
      </c>
      <c r="B620" s="5">
        <f>IF($E620="","",INDEX('Input Transaksi'!$D:$D,$E620))</f>
        <v/>
      </c>
      <c r="C620">
        <f>IF($E620="","",INDEX('Input Transaksi'!$E:$E,$E620))</f>
        <v/>
      </c>
      <c r="D620" s="5">
        <f>IF($E620="","",INDEX('Input Transaksi'!$F:$F,$E620))</f>
        <v/>
      </c>
      <c r="E620">
        <f>IFERROR(AGGREGATE(15,6,ROW('Input Transaksi'!$B$5:$B$5000)/('Input Transaksi'!$B$5:$B$5000="GRIYA ANYAR"),ROWS($E$5:E620)),"")</f>
        <v/>
      </c>
      <c r="F620" s="5" t="n"/>
    </row>
    <row r="621">
      <c r="A621" s="10">
        <f>IF($E621="","",INDEX('Input Transaksi'!$A:$A,$E621))</f>
        <v/>
      </c>
      <c r="B621" s="5">
        <f>IF($E621="","",INDEX('Input Transaksi'!$D:$D,$E621))</f>
        <v/>
      </c>
      <c r="C621">
        <f>IF($E621="","",INDEX('Input Transaksi'!$E:$E,$E621))</f>
        <v/>
      </c>
      <c r="D621" s="5">
        <f>IF($E621="","",INDEX('Input Transaksi'!$F:$F,$E621))</f>
        <v/>
      </c>
      <c r="E621">
        <f>IFERROR(AGGREGATE(15,6,ROW('Input Transaksi'!$B$5:$B$5000)/('Input Transaksi'!$B$5:$B$5000="GRIYA ANYAR"),ROWS($E$5:E621)),"")</f>
        <v/>
      </c>
      <c r="F621" s="5" t="n"/>
    </row>
    <row r="622">
      <c r="A622" s="10">
        <f>IF($E622="","",INDEX('Input Transaksi'!$A:$A,$E622))</f>
        <v/>
      </c>
      <c r="B622" s="5">
        <f>IF($E622="","",INDEX('Input Transaksi'!$D:$D,$E622))</f>
        <v/>
      </c>
      <c r="C622">
        <f>IF($E622="","",INDEX('Input Transaksi'!$E:$E,$E622))</f>
        <v/>
      </c>
      <c r="D622" s="5">
        <f>IF($E622="","",INDEX('Input Transaksi'!$F:$F,$E622))</f>
        <v/>
      </c>
      <c r="E622">
        <f>IFERROR(AGGREGATE(15,6,ROW('Input Transaksi'!$B$5:$B$5000)/('Input Transaksi'!$B$5:$B$5000="GRIYA ANYAR"),ROWS($E$5:E622)),"")</f>
        <v/>
      </c>
      <c r="F622" s="5" t="n"/>
    </row>
    <row r="623">
      <c r="A623" s="10">
        <f>IF($E623="","",INDEX('Input Transaksi'!$A:$A,$E623))</f>
        <v/>
      </c>
      <c r="B623" s="5">
        <f>IF($E623="","",INDEX('Input Transaksi'!$D:$D,$E623))</f>
        <v/>
      </c>
      <c r="C623">
        <f>IF($E623="","",INDEX('Input Transaksi'!$E:$E,$E623))</f>
        <v/>
      </c>
      <c r="D623" s="5">
        <f>IF($E623="","",INDEX('Input Transaksi'!$F:$F,$E623))</f>
        <v/>
      </c>
      <c r="E623">
        <f>IFERROR(AGGREGATE(15,6,ROW('Input Transaksi'!$B$5:$B$5000)/('Input Transaksi'!$B$5:$B$5000="GRIYA ANYAR"),ROWS($E$5:E623)),"")</f>
        <v/>
      </c>
      <c r="F623" s="5" t="n"/>
    </row>
    <row r="624">
      <c r="A624" s="10">
        <f>IF($E624="","",INDEX('Input Transaksi'!$A:$A,$E624))</f>
        <v/>
      </c>
      <c r="B624" s="5">
        <f>IF($E624="","",INDEX('Input Transaksi'!$D:$D,$E624))</f>
        <v/>
      </c>
      <c r="C624">
        <f>IF($E624="","",INDEX('Input Transaksi'!$E:$E,$E624))</f>
        <v/>
      </c>
      <c r="D624" s="5">
        <f>IF($E624="","",INDEX('Input Transaksi'!$F:$F,$E624))</f>
        <v/>
      </c>
      <c r="E624">
        <f>IFERROR(AGGREGATE(15,6,ROW('Input Transaksi'!$B$5:$B$5000)/('Input Transaksi'!$B$5:$B$5000="GRIYA ANYAR"),ROWS($E$5:E624)),"")</f>
        <v/>
      </c>
      <c r="F624" s="5" t="n"/>
    </row>
    <row r="625">
      <c r="A625" s="10">
        <f>IF($E625="","",INDEX('Input Transaksi'!$A:$A,$E625))</f>
        <v/>
      </c>
      <c r="B625" s="5">
        <f>IF($E625="","",INDEX('Input Transaksi'!$D:$D,$E625))</f>
        <v/>
      </c>
      <c r="C625">
        <f>IF($E625="","",INDEX('Input Transaksi'!$E:$E,$E625))</f>
        <v/>
      </c>
      <c r="D625" s="5">
        <f>IF($E625="","",INDEX('Input Transaksi'!$F:$F,$E625))</f>
        <v/>
      </c>
      <c r="E625">
        <f>IFERROR(AGGREGATE(15,6,ROW('Input Transaksi'!$B$5:$B$5000)/('Input Transaksi'!$B$5:$B$5000="GRIYA ANYAR"),ROWS($E$5:E625)),"")</f>
        <v/>
      </c>
      <c r="F625" s="5" t="n"/>
    </row>
    <row r="626">
      <c r="A626" s="10">
        <f>IF($E626="","",INDEX('Input Transaksi'!$A:$A,$E626))</f>
        <v/>
      </c>
      <c r="B626" s="5">
        <f>IF($E626="","",INDEX('Input Transaksi'!$D:$D,$E626))</f>
        <v/>
      </c>
      <c r="C626">
        <f>IF($E626="","",INDEX('Input Transaksi'!$E:$E,$E626))</f>
        <v/>
      </c>
      <c r="D626" s="5">
        <f>IF($E626="","",INDEX('Input Transaksi'!$F:$F,$E626))</f>
        <v/>
      </c>
      <c r="E626">
        <f>IFERROR(AGGREGATE(15,6,ROW('Input Transaksi'!$B$5:$B$5000)/('Input Transaksi'!$B$5:$B$5000="GRIYA ANYAR"),ROWS($E$5:E626)),"")</f>
        <v/>
      </c>
      <c r="F626" s="5" t="n"/>
    </row>
    <row r="627">
      <c r="A627" s="10">
        <f>IF($E627="","",INDEX('Input Transaksi'!$A:$A,$E627))</f>
        <v/>
      </c>
      <c r="B627" s="5">
        <f>IF($E627="","",INDEX('Input Transaksi'!$D:$D,$E627))</f>
        <v/>
      </c>
      <c r="C627">
        <f>IF($E627="","",INDEX('Input Transaksi'!$E:$E,$E627))</f>
        <v/>
      </c>
      <c r="D627" s="5">
        <f>IF($E627="","",INDEX('Input Transaksi'!$F:$F,$E627))</f>
        <v/>
      </c>
      <c r="E627">
        <f>IFERROR(AGGREGATE(15,6,ROW('Input Transaksi'!$B$5:$B$5000)/('Input Transaksi'!$B$5:$B$5000="GRIYA ANYAR"),ROWS($E$5:E627)),"")</f>
        <v/>
      </c>
      <c r="F627" s="5" t="n"/>
    </row>
    <row r="628">
      <c r="A628" s="10">
        <f>IF($E628="","",INDEX('Input Transaksi'!$A:$A,$E628))</f>
        <v/>
      </c>
      <c r="B628" s="5">
        <f>IF($E628="","",INDEX('Input Transaksi'!$D:$D,$E628))</f>
        <v/>
      </c>
      <c r="C628">
        <f>IF($E628="","",INDEX('Input Transaksi'!$E:$E,$E628))</f>
        <v/>
      </c>
      <c r="D628" s="5">
        <f>IF($E628="","",INDEX('Input Transaksi'!$F:$F,$E628))</f>
        <v/>
      </c>
      <c r="E628">
        <f>IFERROR(AGGREGATE(15,6,ROW('Input Transaksi'!$B$5:$B$5000)/('Input Transaksi'!$B$5:$B$5000="GRIYA ANYAR"),ROWS($E$5:E628)),"")</f>
        <v/>
      </c>
      <c r="F628" s="5" t="n"/>
    </row>
    <row r="629">
      <c r="A629" s="10">
        <f>IF($E629="","",INDEX('Input Transaksi'!$A:$A,$E629))</f>
        <v/>
      </c>
      <c r="B629" s="5">
        <f>IF($E629="","",INDEX('Input Transaksi'!$D:$D,$E629))</f>
        <v/>
      </c>
      <c r="C629">
        <f>IF($E629="","",INDEX('Input Transaksi'!$E:$E,$E629))</f>
        <v/>
      </c>
      <c r="D629" s="5">
        <f>IF($E629="","",INDEX('Input Transaksi'!$F:$F,$E629))</f>
        <v/>
      </c>
      <c r="E629">
        <f>IFERROR(AGGREGATE(15,6,ROW('Input Transaksi'!$B$5:$B$5000)/('Input Transaksi'!$B$5:$B$5000="GRIYA ANYAR"),ROWS($E$5:E629)),"")</f>
        <v/>
      </c>
      <c r="F629" s="5" t="n"/>
    </row>
    <row r="630">
      <c r="A630" s="10">
        <f>IF($E630="","",INDEX('Input Transaksi'!$A:$A,$E630))</f>
        <v/>
      </c>
      <c r="B630" s="5">
        <f>IF($E630="","",INDEX('Input Transaksi'!$D:$D,$E630))</f>
        <v/>
      </c>
      <c r="C630">
        <f>IF($E630="","",INDEX('Input Transaksi'!$E:$E,$E630))</f>
        <v/>
      </c>
      <c r="D630" s="5">
        <f>IF($E630="","",INDEX('Input Transaksi'!$F:$F,$E630))</f>
        <v/>
      </c>
      <c r="E630">
        <f>IFERROR(AGGREGATE(15,6,ROW('Input Transaksi'!$B$5:$B$5000)/('Input Transaksi'!$B$5:$B$5000="GRIYA ANYAR"),ROWS($E$5:E630)),"")</f>
        <v/>
      </c>
      <c r="F630" s="5" t="n"/>
    </row>
    <row r="631">
      <c r="A631" s="10">
        <f>IF($E631="","",INDEX('Input Transaksi'!$A:$A,$E631))</f>
        <v/>
      </c>
      <c r="B631" s="5">
        <f>IF($E631="","",INDEX('Input Transaksi'!$D:$D,$E631))</f>
        <v/>
      </c>
      <c r="C631">
        <f>IF($E631="","",INDEX('Input Transaksi'!$E:$E,$E631))</f>
        <v/>
      </c>
      <c r="D631" s="5">
        <f>IF($E631="","",INDEX('Input Transaksi'!$F:$F,$E631))</f>
        <v/>
      </c>
      <c r="E631">
        <f>IFERROR(AGGREGATE(15,6,ROW('Input Transaksi'!$B$5:$B$5000)/('Input Transaksi'!$B$5:$B$5000="GRIYA ANYAR"),ROWS($E$5:E631)),"")</f>
        <v/>
      </c>
      <c r="F631" s="5" t="n"/>
    </row>
    <row r="632">
      <c r="A632" s="10">
        <f>IF($E632="","",INDEX('Input Transaksi'!$A:$A,$E632))</f>
        <v/>
      </c>
      <c r="B632" s="5">
        <f>IF($E632="","",INDEX('Input Transaksi'!$D:$D,$E632))</f>
        <v/>
      </c>
      <c r="C632">
        <f>IF($E632="","",INDEX('Input Transaksi'!$E:$E,$E632))</f>
        <v/>
      </c>
      <c r="D632" s="5">
        <f>IF($E632="","",INDEX('Input Transaksi'!$F:$F,$E632))</f>
        <v/>
      </c>
      <c r="E632">
        <f>IFERROR(AGGREGATE(15,6,ROW('Input Transaksi'!$B$5:$B$5000)/('Input Transaksi'!$B$5:$B$5000="GRIYA ANYAR"),ROWS($E$5:E632)),"")</f>
        <v/>
      </c>
      <c r="F632" s="5" t="n"/>
    </row>
    <row r="633">
      <c r="A633" s="10">
        <f>IF($E633="","",INDEX('Input Transaksi'!$A:$A,$E633))</f>
        <v/>
      </c>
      <c r="B633" s="5">
        <f>IF($E633="","",INDEX('Input Transaksi'!$D:$D,$E633))</f>
        <v/>
      </c>
      <c r="C633">
        <f>IF($E633="","",INDEX('Input Transaksi'!$E:$E,$E633))</f>
        <v/>
      </c>
      <c r="D633" s="5">
        <f>IF($E633="","",INDEX('Input Transaksi'!$F:$F,$E633))</f>
        <v/>
      </c>
      <c r="E633">
        <f>IFERROR(AGGREGATE(15,6,ROW('Input Transaksi'!$B$5:$B$5000)/('Input Transaksi'!$B$5:$B$5000="GRIYA ANYAR"),ROWS($E$5:E633)),"")</f>
        <v/>
      </c>
      <c r="F633" s="5" t="n"/>
    </row>
    <row r="634">
      <c r="A634" s="10">
        <f>IF($E634="","",INDEX('Input Transaksi'!$A:$A,$E634))</f>
        <v/>
      </c>
      <c r="B634" s="5">
        <f>IF($E634="","",INDEX('Input Transaksi'!$D:$D,$E634))</f>
        <v/>
      </c>
      <c r="C634">
        <f>IF($E634="","",INDEX('Input Transaksi'!$E:$E,$E634))</f>
        <v/>
      </c>
      <c r="D634" s="5">
        <f>IF($E634="","",INDEX('Input Transaksi'!$F:$F,$E634))</f>
        <v/>
      </c>
      <c r="E634">
        <f>IFERROR(AGGREGATE(15,6,ROW('Input Transaksi'!$B$5:$B$5000)/('Input Transaksi'!$B$5:$B$5000="GRIYA ANYAR"),ROWS($E$5:E634)),"")</f>
        <v/>
      </c>
      <c r="F634" s="5" t="n"/>
    </row>
    <row r="635">
      <c r="A635" s="10">
        <f>IF($E635="","",INDEX('Input Transaksi'!$A:$A,$E635))</f>
        <v/>
      </c>
      <c r="B635" s="5">
        <f>IF($E635="","",INDEX('Input Transaksi'!$D:$D,$E635))</f>
        <v/>
      </c>
      <c r="C635">
        <f>IF($E635="","",INDEX('Input Transaksi'!$E:$E,$E635))</f>
        <v/>
      </c>
      <c r="D635" s="5">
        <f>IF($E635="","",INDEX('Input Transaksi'!$F:$F,$E635))</f>
        <v/>
      </c>
      <c r="E635">
        <f>IFERROR(AGGREGATE(15,6,ROW('Input Transaksi'!$B$5:$B$5000)/('Input Transaksi'!$B$5:$B$5000="GRIYA ANYAR"),ROWS($E$5:E635)),"")</f>
        <v/>
      </c>
      <c r="F635" s="5" t="n"/>
    </row>
    <row r="636">
      <c r="A636" s="10">
        <f>IF($E636="","",INDEX('Input Transaksi'!$A:$A,$E636))</f>
        <v/>
      </c>
      <c r="B636" s="5">
        <f>IF($E636="","",INDEX('Input Transaksi'!$D:$D,$E636))</f>
        <v/>
      </c>
      <c r="C636">
        <f>IF($E636="","",INDEX('Input Transaksi'!$E:$E,$E636))</f>
        <v/>
      </c>
      <c r="D636" s="5">
        <f>IF($E636="","",INDEX('Input Transaksi'!$F:$F,$E636))</f>
        <v/>
      </c>
      <c r="E636">
        <f>IFERROR(AGGREGATE(15,6,ROW('Input Transaksi'!$B$5:$B$5000)/('Input Transaksi'!$B$5:$B$5000="GRIYA ANYAR"),ROWS($E$5:E636)),"")</f>
        <v/>
      </c>
      <c r="F636" s="5" t="n"/>
    </row>
    <row r="637">
      <c r="A637" s="10">
        <f>IF($E637="","",INDEX('Input Transaksi'!$A:$A,$E637))</f>
        <v/>
      </c>
      <c r="B637" s="5">
        <f>IF($E637="","",INDEX('Input Transaksi'!$D:$D,$E637))</f>
        <v/>
      </c>
      <c r="C637">
        <f>IF($E637="","",INDEX('Input Transaksi'!$E:$E,$E637))</f>
        <v/>
      </c>
      <c r="D637" s="5">
        <f>IF($E637="","",INDEX('Input Transaksi'!$F:$F,$E637))</f>
        <v/>
      </c>
      <c r="E637">
        <f>IFERROR(AGGREGATE(15,6,ROW('Input Transaksi'!$B$5:$B$5000)/('Input Transaksi'!$B$5:$B$5000="GRIYA ANYAR"),ROWS($E$5:E637)),"")</f>
        <v/>
      </c>
      <c r="F637" s="5" t="n"/>
    </row>
    <row r="638">
      <c r="A638" s="10">
        <f>IF($E638="","",INDEX('Input Transaksi'!$A:$A,$E638))</f>
        <v/>
      </c>
      <c r="B638" s="5">
        <f>IF($E638="","",INDEX('Input Transaksi'!$D:$D,$E638))</f>
        <v/>
      </c>
      <c r="C638">
        <f>IF($E638="","",INDEX('Input Transaksi'!$E:$E,$E638))</f>
        <v/>
      </c>
      <c r="D638" s="5">
        <f>IF($E638="","",INDEX('Input Transaksi'!$F:$F,$E638))</f>
        <v/>
      </c>
      <c r="E638">
        <f>IFERROR(AGGREGATE(15,6,ROW('Input Transaksi'!$B$5:$B$5000)/('Input Transaksi'!$B$5:$B$5000="GRIYA ANYAR"),ROWS($E$5:E638)),"")</f>
        <v/>
      </c>
      <c r="F638" s="5" t="n"/>
    </row>
    <row r="639">
      <c r="A639" s="10">
        <f>IF($E639="","",INDEX('Input Transaksi'!$A:$A,$E639))</f>
        <v/>
      </c>
      <c r="B639" s="5">
        <f>IF($E639="","",INDEX('Input Transaksi'!$D:$D,$E639))</f>
        <v/>
      </c>
      <c r="C639">
        <f>IF($E639="","",INDEX('Input Transaksi'!$E:$E,$E639))</f>
        <v/>
      </c>
      <c r="D639" s="5">
        <f>IF($E639="","",INDEX('Input Transaksi'!$F:$F,$E639))</f>
        <v/>
      </c>
      <c r="E639">
        <f>IFERROR(AGGREGATE(15,6,ROW('Input Transaksi'!$B$5:$B$5000)/('Input Transaksi'!$B$5:$B$5000="GRIYA ANYAR"),ROWS($E$5:E639)),"")</f>
        <v/>
      </c>
      <c r="F639" s="5" t="n"/>
    </row>
    <row r="640">
      <c r="A640" s="10">
        <f>IF($E640="","",INDEX('Input Transaksi'!$A:$A,$E640))</f>
        <v/>
      </c>
      <c r="B640" s="5">
        <f>IF($E640="","",INDEX('Input Transaksi'!$D:$D,$E640))</f>
        <v/>
      </c>
      <c r="C640">
        <f>IF($E640="","",INDEX('Input Transaksi'!$E:$E,$E640))</f>
        <v/>
      </c>
      <c r="D640" s="5">
        <f>IF($E640="","",INDEX('Input Transaksi'!$F:$F,$E640))</f>
        <v/>
      </c>
      <c r="E640">
        <f>IFERROR(AGGREGATE(15,6,ROW('Input Transaksi'!$B$5:$B$5000)/('Input Transaksi'!$B$5:$B$5000="GRIYA ANYAR"),ROWS($E$5:E640)),"")</f>
        <v/>
      </c>
      <c r="F640" s="5" t="n"/>
    </row>
    <row r="641">
      <c r="A641" s="10">
        <f>IF($E641="","",INDEX('Input Transaksi'!$A:$A,$E641))</f>
        <v/>
      </c>
      <c r="B641" s="5">
        <f>IF($E641="","",INDEX('Input Transaksi'!$D:$D,$E641))</f>
        <v/>
      </c>
      <c r="C641">
        <f>IF($E641="","",INDEX('Input Transaksi'!$E:$E,$E641))</f>
        <v/>
      </c>
      <c r="D641" s="5">
        <f>IF($E641="","",INDEX('Input Transaksi'!$F:$F,$E641))</f>
        <v/>
      </c>
      <c r="E641">
        <f>IFERROR(AGGREGATE(15,6,ROW('Input Transaksi'!$B$5:$B$5000)/('Input Transaksi'!$B$5:$B$5000="GRIYA ANYAR"),ROWS($E$5:E641)),"")</f>
        <v/>
      </c>
      <c r="F641" s="5" t="n"/>
    </row>
    <row r="642">
      <c r="A642" s="10">
        <f>IF($E642="","",INDEX('Input Transaksi'!$A:$A,$E642))</f>
        <v/>
      </c>
      <c r="B642" s="5">
        <f>IF($E642="","",INDEX('Input Transaksi'!$D:$D,$E642))</f>
        <v/>
      </c>
      <c r="C642">
        <f>IF($E642="","",INDEX('Input Transaksi'!$E:$E,$E642))</f>
        <v/>
      </c>
      <c r="D642" s="5">
        <f>IF($E642="","",INDEX('Input Transaksi'!$F:$F,$E642))</f>
        <v/>
      </c>
      <c r="E642">
        <f>IFERROR(AGGREGATE(15,6,ROW('Input Transaksi'!$B$5:$B$5000)/('Input Transaksi'!$B$5:$B$5000="GRIYA ANYAR"),ROWS($E$5:E642)),"")</f>
        <v/>
      </c>
      <c r="F642" s="5" t="n"/>
    </row>
    <row r="643">
      <c r="A643" s="10">
        <f>IF($E643="","",INDEX('Input Transaksi'!$A:$A,$E643))</f>
        <v/>
      </c>
      <c r="B643" s="5">
        <f>IF($E643="","",INDEX('Input Transaksi'!$D:$D,$E643))</f>
        <v/>
      </c>
      <c r="C643">
        <f>IF($E643="","",INDEX('Input Transaksi'!$E:$E,$E643))</f>
        <v/>
      </c>
      <c r="D643" s="5">
        <f>IF($E643="","",INDEX('Input Transaksi'!$F:$F,$E643))</f>
        <v/>
      </c>
      <c r="E643">
        <f>IFERROR(AGGREGATE(15,6,ROW('Input Transaksi'!$B$5:$B$5000)/('Input Transaksi'!$B$5:$B$5000="GRIYA ANYAR"),ROWS($E$5:E643)),"")</f>
        <v/>
      </c>
      <c r="F643" s="5" t="n"/>
    </row>
    <row r="644">
      <c r="A644" s="10">
        <f>IF($E644="","",INDEX('Input Transaksi'!$A:$A,$E644))</f>
        <v/>
      </c>
      <c r="B644" s="5">
        <f>IF($E644="","",INDEX('Input Transaksi'!$D:$D,$E644))</f>
        <v/>
      </c>
      <c r="C644">
        <f>IF($E644="","",INDEX('Input Transaksi'!$E:$E,$E644))</f>
        <v/>
      </c>
      <c r="D644" s="5">
        <f>IF($E644="","",INDEX('Input Transaksi'!$F:$F,$E644))</f>
        <v/>
      </c>
      <c r="E644">
        <f>IFERROR(AGGREGATE(15,6,ROW('Input Transaksi'!$B$5:$B$5000)/('Input Transaksi'!$B$5:$B$5000="GRIYA ANYAR"),ROWS($E$5:E644)),"")</f>
        <v/>
      </c>
      <c r="F644" s="5" t="n"/>
    </row>
    <row r="645">
      <c r="A645" s="10">
        <f>IF($E645="","",INDEX('Input Transaksi'!$A:$A,$E645))</f>
        <v/>
      </c>
      <c r="B645" s="5">
        <f>IF($E645="","",INDEX('Input Transaksi'!$D:$D,$E645))</f>
        <v/>
      </c>
      <c r="C645">
        <f>IF($E645="","",INDEX('Input Transaksi'!$E:$E,$E645))</f>
        <v/>
      </c>
      <c r="D645" s="5">
        <f>IF($E645="","",INDEX('Input Transaksi'!$F:$F,$E645))</f>
        <v/>
      </c>
      <c r="E645">
        <f>IFERROR(AGGREGATE(15,6,ROW('Input Transaksi'!$B$5:$B$5000)/('Input Transaksi'!$B$5:$B$5000="GRIYA ANYAR"),ROWS($E$5:E645)),"")</f>
        <v/>
      </c>
      <c r="F645" s="5" t="n"/>
    </row>
    <row r="646">
      <c r="A646" s="10">
        <f>IF($E646="","",INDEX('Input Transaksi'!$A:$A,$E646))</f>
        <v/>
      </c>
      <c r="B646" s="5">
        <f>IF($E646="","",INDEX('Input Transaksi'!$D:$D,$E646))</f>
        <v/>
      </c>
      <c r="C646">
        <f>IF($E646="","",INDEX('Input Transaksi'!$E:$E,$E646))</f>
        <v/>
      </c>
      <c r="D646" s="5">
        <f>IF($E646="","",INDEX('Input Transaksi'!$F:$F,$E646))</f>
        <v/>
      </c>
      <c r="E646">
        <f>IFERROR(AGGREGATE(15,6,ROW('Input Transaksi'!$B$5:$B$5000)/('Input Transaksi'!$B$5:$B$5000="GRIYA ANYAR"),ROWS($E$5:E646)),"")</f>
        <v/>
      </c>
      <c r="F646" s="5" t="n"/>
    </row>
    <row r="647">
      <c r="A647" s="10">
        <f>IF($E647="","",INDEX('Input Transaksi'!$A:$A,$E647))</f>
        <v/>
      </c>
      <c r="B647" s="5">
        <f>IF($E647="","",INDEX('Input Transaksi'!$D:$D,$E647))</f>
        <v/>
      </c>
      <c r="C647">
        <f>IF($E647="","",INDEX('Input Transaksi'!$E:$E,$E647))</f>
        <v/>
      </c>
      <c r="D647" s="5">
        <f>IF($E647="","",INDEX('Input Transaksi'!$F:$F,$E647))</f>
        <v/>
      </c>
      <c r="E647">
        <f>IFERROR(AGGREGATE(15,6,ROW('Input Transaksi'!$B$5:$B$5000)/('Input Transaksi'!$B$5:$B$5000="GRIYA ANYAR"),ROWS($E$5:E647)),"")</f>
        <v/>
      </c>
      <c r="F647" s="5" t="n"/>
    </row>
    <row r="648">
      <c r="A648" s="10">
        <f>IF($E648="","",INDEX('Input Transaksi'!$A:$A,$E648))</f>
        <v/>
      </c>
      <c r="B648" s="5">
        <f>IF($E648="","",INDEX('Input Transaksi'!$D:$D,$E648))</f>
        <v/>
      </c>
      <c r="C648">
        <f>IF($E648="","",INDEX('Input Transaksi'!$E:$E,$E648))</f>
        <v/>
      </c>
      <c r="D648" s="5">
        <f>IF($E648="","",INDEX('Input Transaksi'!$F:$F,$E648))</f>
        <v/>
      </c>
      <c r="E648">
        <f>IFERROR(AGGREGATE(15,6,ROW('Input Transaksi'!$B$5:$B$5000)/('Input Transaksi'!$B$5:$B$5000="GRIYA ANYAR"),ROWS($E$5:E648)),"")</f>
        <v/>
      </c>
      <c r="F648" s="5" t="n"/>
    </row>
    <row r="649">
      <c r="A649" s="10">
        <f>IF($E649="","",INDEX('Input Transaksi'!$A:$A,$E649))</f>
        <v/>
      </c>
      <c r="B649" s="5">
        <f>IF($E649="","",INDEX('Input Transaksi'!$D:$D,$E649))</f>
        <v/>
      </c>
      <c r="C649">
        <f>IF($E649="","",INDEX('Input Transaksi'!$E:$E,$E649))</f>
        <v/>
      </c>
      <c r="D649" s="5">
        <f>IF($E649="","",INDEX('Input Transaksi'!$F:$F,$E649))</f>
        <v/>
      </c>
      <c r="E649">
        <f>IFERROR(AGGREGATE(15,6,ROW('Input Transaksi'!$B$5:$B$5000)/('Input Transaksi'!$B$5:$B$5000="GRIYA ANYAR"),ROWS($E$5:E649)),"")</f>
        <v/>
      </c>
      <c r="F649" s="5" t="n"/>
    </row>
    <row r="650">
      <c r="A650" s="10">
        <f>IF($E650="","",INDEX('Input Transaksi'!$A:$A,$E650))</f>
        <v/>
      </c>
      <c r="B650" s="5">
        <f>IF($E650="","",INDEX('Input Transaksi'!$D:$D,$E650))</f>
        <v/>
      </c>
      <c r="C650">
        <f>IF($E650="","",INDEX('Input Transaksi'!$E:$E,$E650))</f>
        <v/>
      </c>
      <c r="D650" s="5">
        <f>IF($E650="","",INDEX('Input Transaksi'!$F:$F,$E650))</f>
        <v/>
      </c>
      <c r="E650">
        <f>IFERROR(AGGREGATE(15,6,ROW('Input Transaksi'!$B$5:$B$5000)/('Input Transaksi'!$B$5:$B$5000="GRIYA ANYAR"),ROWS($E$5:E650)),"")</f>
        <v/>
      </c>
      <c r="F650" s="5" t="n"/>
    </row>
    <row r="651">
      <c r="A651" s="10">
        <f>IF($E651="","",INDEX('Input Transaksi'!$A:$A,$E651))</f>
        <v/>
      </c>
      <c r="B651" s="5">
        <f>IF($E651="","",INDEX('Input Transaksi'!$D:$D,$E651))</f>
        <v/>
      </c>
      <c r="C651">
        <f>IF($E651="","",INDEX('Input Transaksi'!$E:$E,$E651))</f>
        <v/>
      </c>
      <c r="D651" s="5">
        <f>IF($E651="","",INDEX('Input Transaksi'!$F:$F,$E651))</f>
        <v/>
      </c>
      <c r="E651">
        <f>IFERROR(AGGREGATE(15,6,ROW('Input Transaksi'!$B$5:$B$5000)/('Input Transaksi'!$B$5:$B$5000="GRIYA ANYAR"),ROWS($E$5:E651)),"")</f>
        <v/>
      </c>
      <c r="F651" s="5" t="n"/>
    </row>
    <row r="652">
      <c r="A652" s="10">
        <f>IF($E652="","",INDEX('Input Transaksi'!$A:$A,$E652))</f>
        <v/>
      </c>
      <c r="B652" s="5">
        <f>IF($E652="","",INDEX('Input Transaksi'!$D:$D,$E652))</f>
        <v/>
      </c>
      <c r="C652">
        <f>IF($E652="","",INDEX('Input Transaksi'!$E:$E,$E652))</f>
        <v/>
      </c>
      <c r="D652" s="5">
        <f>IF($E652="","",INDEX('Input Transaksi'!$F:$F,$E652))</f>
        <v/>
      </c>
      <c r="E652">
        <f>IFERROR(AGGREGATE(15,6,ROW('Input Transaksi'!$B$5:$B$5000)/('Input Transaksi'!$B$5:$B$5000="GRIYA ANYAR"),ROWS($E$5:E652)),"")</f>
        <v/>
      </c>
      <c r="F652" s="5" t="n"/>
    </row>
    <row r="653">
      <c r="A653" s="10">
        <f>IF($E653="","",INDEX('Input Transaksi'!$A:$A,$E653))</f>
        <v/>
      </c>
      <c r="B653" s="5">
        <f>IF($E653="","",INDEX('Input Transaksi'!$D:$D,$E653))</f>
        <v/>
      </c>
      <c r="C653">
        <f>IF($E653="","",INDEX('Input Transaksi'!$E:$E,$E653))</f>
        <v/>
      </c>
      <c r="D653" s="5">
        <f>IF($E653="","",INDEX('Input Transaksi'!$F:$F,$E653))</f>
        <v/>
      </c>
      <c r="E653">
        <f>IFERROR(AGGREGATE(15,6,ROW('Input Transaksi'!$B$5:$B$5000)/('Input Transaksi'!$B$5:$B$5000="GRIYA ANYAR"),ROWS($E$5:E653)),"")</f>
        <v/>
      </c>
      <c r="F653" s="5" t="n"/>
    </row>
    <row r="654">
      <c r="A654" s="10">
        <f>IF($E654="","",INDEX('Input Transaksi'!$A:$A,$E654))</f>
        <v/>
      </c>
      <c r="B654" s="5">
        <f>IF($E654="","",INDEX('Input Transaksi'!$D:$D,$E654))</f>
        <v/>
      </c>
      <c r="C654">
        <f>IF($E654="","",INDEX('Input Transaksi'!$E:$E,$E654))</f>
        <v/>
      </c>
      <c r="D654" s="5">
        <f>IF($E654="","",INDEX('Input Transaksi'!$F:$F,$E654))</f>
        <v/>
      </c>
      <c r="E654">
        <f>IFERROR(AGGREGATE(15,6,ROW('Input Transaksi'!$B$5:$B$5000)/('Input Transaksi'!$B$5:$B$5000="GRIYA ANYAR"),ROWS($E$5:E654)),"")</f>
        <v/>
      </c>
      <c r="F654" s="5" t="n"/>
    </row>
    <row r="655">
      <c r="A655" s="10">
        <f>IF($E655="","",INDEX('Input Transaksi'!$A:$A,$E655))</f>
        <v/>
      </c>
      <c r="B655" s="5">
        <f>IF($E655="","",INDEX('Input Transaksi'!$D:$D,$E655))</f>
        <v/>
      </c>
      <c r="C655">
        <f>IF($E655="","",INDEX('Input Transaksi'!$E:$E,$E655))</f>
        <v/>
      </c>
      <c r="D655" s="5">
        <f>IF($E655="","",INDEX('Input Transaksi'!$F:$F,$E655))</f>
        <v/>
      </c>
      <c r="E655">
        <f>IFERROR(AGGREGATE(15,6,ROW('Input Transaksi'!$B$5:$B$5000)/('Input Transaksi'!$B$5:$B$5000="GRIYA ANYAR"),ROWS($E$5:E655)),"")</f>
        <v/>
      </c>
      <c r="F655" s="5" t="n"/>
    </row>
    <row r="656">
      <c r="A656" s="10">
        <f>IF($E656="","",INDEX('Input Transaksi'!$A:$A,$E656))</f>
        <v/>
      </c>
      <c r="B656" s="5">
        <f>IF($E656="","",INDEX('Input Transaksi'!$D:$D,$E656))</f>
        <v/>
      </c>
      <c r="C656">
        <f>IF($E656="","",INDEX('Input Transaksi'!$E:$E,$E656))</f>
        <v/>
      </c>
      <c r="D656" s="5">
        <f>IF($E656="","",INDEX('Input Transaksi'!$F:$F,$E656))</f>
        <v/>
      </c>
      <c r="E656">
        <f>IFERROR(AGGREGATE(15,6,ROW('Input Transaksi'!$B$5:$B$5000)/('Input Transaksi'!$B$5:$B$5000="GRIYA ANYAR"),ROWS($E$5:E656)),"")</f>
        <v/>
      </c>
      <c r="F656" s="5" t="n"/>
    </row>
    <row r="657">
      <c r="A657" s="10">
        <f>IF($E657="","",INDEX('Input Transaksi'!$A:$A,$E657))</f>
        <v/>
      </c>
      <c r="B657" s="5">
        <f>IF($E657="","",INDEX('Input Transaksi'!$D:$D,$E657))</f>
        <v/>
      </c>
      <c r="C657">
        <f>IF($E657="","",INDEX('Input Transaksi'!$E:$E,$E657))</f>
        <v/>
      </c>
      <c r="D657" s="5">
        <f>IF($E657="","",INDEX('Input Transaksi'!$F:$F,$E657))</f>
        <v/>
      </c>
      <c r="E657">
        <f>IFERROR(AGGREGATE(15,6,ROW('Input Transaksi'!$B$5:$B$5000)/('Input Transaksi'!$B$5:$B$5000="GRIYA ANYAR"),ROWS($E$5:E657)),"")</f>
        <v/>
      </c>
      <c r="F657" s="5" t="n"/>
    </row>
    <row r="658">
      <c r="A658" s="10">
        <f>IF($E658="","",INDEX('Input Transaksi'!$A:$A,$E658))</f>
        <v/>
      </c>
      <c r="B658" s="5">
        <f>IF($E658="","",INDEX('Input Transaksi'!$D:$D,$E658))</f>
        <v/>
      </c>
      <c r="C658">
        <f>IF($E658="","",INDEX('Input Transaksi'!$E:$E,$E658))</f>
        <v/>
      </c>
      <c r="D658" s="5">
        <f>IF($E658="","",INDEX('Input Transaksi'!$F:$F,$E658))</f>
        <v/>
      </c>
      <c r="E658">
        <f>IFERROR(AGGREGATE(15,6,ROW('Input Transaksi'!$B$5:$B$5000)/('Input Transaksi'!$B$5:$B$5000="GRIYA ANYAR"),ROWS($E$5:E658)),"")</f>
        <v/>
      </c>
      <c r="F658" s="5" t="n"/>
    </row>
    <row r="659">
      <c r="A659" s="10">
        <f>IF($E659="","",INDEX('Input Transaksi'!$A:$A,$E659))</f>
        <v/>
      </c>
      <c r="B659" s="5">
        <f>IF($E659="","",INDEX('Input Transaksi'!$D:$D,$E659))</f>
        <v/>
      </c>
      <c r="C659">
        <f>IF($E659="","",INDEX('Input Transaksi'!$E:$E,$E659))</f>
        <v/>
      </c>
      <c r="D659" s="5">
        <f>IF($E659="","",INDEX('Input Transaksi'!$F:$F,$E659))</f>
        <v/>
      </c>
      <c r="E659">
        <f>IFERROR(AGGREGATE(15,6,ROW('Input Transaksi'!$B$5:$B$5000)/('Input Transaksi'!$B$5:$B$5000="GRIYA ANYAR"),ROWS($E$5:E659)),"")</f>
        <v/>
      </c>
      <c r="F659" s="5" t="n"/>
    </row>
    <row r="660">
      <c r="A660" s="10">
        <f>IF($E660="","",INDEX('Input Transaksi'!$A:$A,$E660))</f>
        <v/>
      </c>
      <c r="B660" s="5">
        <f>IF($E660="","",INDEX('Input Transaksi'!$D:$D,$E660))</f>
        <v/>
      </c>
      <c r="C660">
        <f>IF($E660="","",INDEX('Input Transaksi'!$E:$E,$E660))</f>
        <v/>
      </c>
      <c r="D660" s="5">
        <f>IF($E660="","",INDEX('Input Transaksi'!$F:$F,$E660))</f>
        <v/>
      </c>
      <c r="E660">
        <f>IFERROR(AGGREGATE(15,6,ROW('Input Transaksi'!$B$5:$B$5000)/('Input Transaksi'!$B$5:$B$5000="GRIYA ANYAR"),ROWS($E$5:E660)),"")</f>
        <v/>
      </c>
      <c r="F660" s="5" t="n"/>
    </row>
    <row r="661">
      <c r="A661" s="10">
        <f>IF($E661="","",INDEX('Input Transaksi'!$A:$A,$E661))</f>
        <v/>
      </c>
      <c r="B661" s="5">
        <f>IF($E661="","",INDEX('Input Transaksi'!$D:$D,$E661))</f>
        <v/>
      </c>
      <c r="C661">
        <f>IF($E661="","",INDEX('Input Transaksi'!$E:$E,$E661))</f>
        <v/>
      </c>
      <c r="D661" s="5">
        <f>IF($E661="","",INDEX('Input Transaksi'!$F:$F,$E661))</f>
        <v/>
      </c>
      <c r="E661">
        <f>IFERROR(AGGREGATE(15,6,ROW('Input Transaksi'!$B$5:$B$5000)/('Input Transaksi'!$B$5:$B$5000="GRIYA ANYAR"),ROWS($E$5:E661)),"")</f>
        <v/>
      </c>
      <c r="F661" s="5" t="n"/>
    </row>
    <row r="662">
      <c r="A662" s="10">
        <f>IF($E662="","",INDEX('Input Transaksi'!$A:$A,$E662))</f>
        <v/>
      </c>
      <c r="B662" s="5">
        <f>IF($E662="","",INDEX('Input Transaksi'!$D:$D,$E662))</f>
        <v/>
      </c>
      <c r="C662">
        <f>IF($E662="","",INDEX('Input Transaksi'!$E:$E,$E662))</f>
        <v/>
      </c>
      <c r="D662" s="5">
        <f>IF($E662="","",INDEX('Input Transaksi'!$F:$F,$E662))</f>
        <v/>
      </c>
      <c r="E662">
        <f>IFERROR(AGGREGATE(15,6,ROW('Input Transaksi'!$B$5:$B$5000)/('Input Transaksi'!$B$5:$B$5000="GRIYA ANYAR"),ROWS($E$5:E662)),"")</f>
        <v/>
      </c>
      <c r="F662" s="5" t="n"/>
    </row>
    <row r="663">
      <c r="A663" s="10">
        <f>IF($E663="","",INDEX('Input Transaksi'!$A:$A,$E663))</f>
        <v/>
      </c>
      <c r="B663" s="5">
        <f>IF($E663="","",INDEX('Input Transaksi'!$D:$D,$E663))</f>
        <v/>
      </c>
      <c r="C663">
        <f>IF($E663="","",INDEX('Input Transaksi'!$E:$E,$E663))</f>
        <v/>
      </c>
      <c r="D663" s="5">
        <f>IF($E663="","",INDEX('Input Transaksi'!$F:$F,$E663))</f>
        <v/>
      </c>
      <c r="E663">
        <f>IFERROR(AGGREGATE(15,6,ROW('Input Transaksi'!$B$5:$B$5000)/('Input Transaksi'!$B$5:$B$5000="GRIYA ANYAR"),ROWS($E$5:E663)),"")</f>
        <v/>
      </c>
      <c r="F663" s="5" t="n"/>
    </row>
    <row r="664">
      <c r="A664" s="10">
        <f>IF($E664="","",INDEX('Input Transaksi'!$A:$A,$E664))</f>
        <v/>
      </c>
      <c r="B664" s="5">
        <f>IF($E664="","",INDEX('Input Transaksi'!$D:$D,$E664))</f>
        <v/>
      </c>
      <c r="C664">
        <f>IF($E664="","",INDEX('Input Transaksi'!$E:$E,$E664))</f>
        <v/>
      </c>
      <c r="D664" s="5">
        <f>IF($E664="","",INDEX('Input Transaksi'!$F:$F,$E664))</f>
        <v/>
      </c>
      <c r="E664">
        <f>IFERROR(AGGREGATE(15,6,ROW('Input Transaksi'!$B$5:$B$5000)/('Input Transaksi'!$B$5:$B$5000="GRIYA ANYAR"),ROWS($E$5:E664)),"")</f>
        <v/>
      </c>
      <c r="F664" s="5" t="n"/>
    </row>
    <row r="665">
      <c r="A665" s="10">
        <f>IF($E665="","",INDEX('Input Transaksi'!$A:$A,$E665))</f>
        <v/>
      </c>
      <c r="B665" s="5">
        <f>IF($E665="","",INDEX('Input Transaksi'!$D:$D,$E665))</f>
        <v/>
      </c>
      <c r="C665">
        <f>IF($E665="","",INDEX('Input Transaksi'!$E:$E,$E665))</f>
        <v/>
      </c>
      <c r="D665" s="5">
        <f>IF($E665="","",INDEX('Input Transaksi'!$F:$F,$E665))</f>
        <v/>
      </c>
      <c r="E665">
        <f>IFERROR(AGGREGATE(15,6,ROW('Input Transaksi'!$B$5:$B$5000)/('Input Transaksi'!$B$5:$B$5000="GRIYA ANYAR"),ROWS($E$5:E665)),"")</f>
        <v/>
      </c>
      <c r="F665" s="5" t="n"/>
    </row>
    <row r="666">
      <c r="A666" s="10">
        <f>IF($E666="","",INDEX('Input Transaksi'!$A:$A,$E666))</f>
        <v/>
      </c>
      <c r="B666" s="5">
        <f>IF($E666="","",INDEX('Input Transaksi'!$D:$D,$E666))</f>
        <v/>
      </c>
      <c r="C666">
        <f>IF($E666="","",INDEX('Input Transaksi'!$E:$E,$E666))</f>
        <v/>
      </c>
      <c r="D666" s="5">
        <f>IF($E666="","",INDEX('Input Transaksi'!$F:$F,$E666))</f>
        <v/>
      </c>
      <c r="E666">
        <f>IFERROR(AGGREGATE(15,6,ROW('Input Transaksi'!$B$5:$B$5000)/('Input Transaksi'!$B$5:$B$5000="GRIYA ANYAR"),ROWS($E$5:E666)),"")</f>
        <v/>
      </c>
      <c r="F666" s="5" t="n"/>
    </row>
    <row r="667">
      <c r="A667" s="10">
        <f>IF($E667="","",INDEX('Input Transaksi'!$A:$A,$E667))</f>
        <v/>
      </c>
      <c r="B667" s="5">
        <f>IF($E667="","",INDEX('Input Transaksi'!$D:$D,$E667))</f>
        <v/>
      </c>
      <c r="C667">
        <f>IF($E667="","",INDEX('Input Transaksi'!$E:$E,$E667))</f>
        <v/>
      </c>
      <c r="D667" s="5">
        <f>IF($E667="","",INDEX('Input Transaksi'!$F:$F,$E667))</f>
        <v/>
      </c>
      <c r="E667">
        <f>IFERROR(AGGREGATE(15,6,ROW('Input Transaksi'!$B$5:$B$5000)/('Input Transaksi'!$B$5:$B$5000="GRIYA ANYAR"),ROWS($E$5:E667)),"")</f>
        <v/>
      </c>
      <c r="F667" s="5" t="n"/>
    </row>
    <row r="668">
      <c r="A668" s="10">
        <f>IF($E668="","",INDEX('Input Transaksi'!$A:$A,$E668))</f>
        <v/>
      </c>
      <c r="B668" s="5">
        <f>IF($E668="","",INDEX('Input Transaksi'!$D:$D,$E668))</f>
        <v/>
      </c>
      <c r="C668">
        <f>IF($E668="","",INDEX('Input Transaksi'!$E:$E,$E668))</f>
        <v/>
      </c>
      <c r="D668" s="5">
        <f>IF($E668="","",INDEX('Input Transaksi'!$F:$F,$E668))</f>
        <v/>
      </c>
      <c r="E668">
        <f>IFERROR(AGGREGATE(15,6,ROW('Input Transaksi'!$B$5:$B$5000)/('Input Transaksi'!$B$5:$B$5000="GRIYA ANYAR"),ROWS($E$5:E668)),"")</f>
        <v/>
      </c>
      <c r="F668" s="5" t="n"/>
    </row>
    <row r="669">
      <c r="A669" s="10">
        <f>IF($E669="","",INDEX('Input Transaksi'!$A:$A,$E669))</f>
        <v/>
      </c>
      <c r="B669" s="5">
        <f>IF($E669="","",INDEX('Input Transaksi'!$D:$D,$E669))</f>
        <v/>
      </c>
      <c r="C669">
        <f>IF($E669="","",INDEX('Input Transaksi'!$E:$E,$E669))</f>
        <v/>
      </c>
      <c r="D669" s="5">
        <f>IF($E669="","",INDEX('Input Transaksi'!$F:$F,$E669))</f>
        <v/>
      </c>
      <c r="E669">
        <f>IFERROR(AGGREGATE(15,6,ROW('Input Transaksi'!$B$5:$B$5000)/('Input Transaksi'!$B$5:$B$5000="GRIYA ANYAR"),ROWS($E$5:E669)),"")</f>
        <v/>
      </c>
      <c r="F669" s="5" t="n"/>
    </row>
    <row r="670">
      <c r="A670" s="10">
        <f>IF($E670="","",INDEX('Input Transaksi'!$A:$A,$E670))</f>
        <v/>
      </c>
      <c r="B670" s="5">
        <f>IF($E670="","",INDEX('Input Transaksi'!$D:$D,$E670))</f>
        <v/>
      </c>
      <c r="C670">
        <f>IF($E670="","",INDEX('Input Transaksi'!$E:$E,$E670))</f>
        <v/>
      </c>
      <c r="D670" s="5">
        <f>IF($E670="","",INDEX('Input Transaksi'!$F:$F,$E670))</f>
        <v/>
      </c>
      <c r="E670">
        <f>IFERROR(AGGREGATE(15,6,ROW('Input Transaksi'!$B$5:$B$5000)/('Input Transaksi'!$B$5:$B$5000="GRIYA ANYAR"),ROWS($E$5:E670)),"")</f>
        <v/>
      </c>
      <c r="F670" s="5" t="n"/>
    </row>
    <row r="671">
      <c r="A671" s="10">
        <f>IF($E671="","",INDEX('Input Transaksi'!$A:$A,$E671))</f>
        <v/>
      </c>
      <c r="B671" s="5">
        <f>IF($E671="","",INDEX('Input Transaksi'!$D:$D,$E671))</f>
        <v/>
      </c>
      <c r="C671">
        <f>IF($E671="","",INDEX('Input Transaksi'!$E:$E,$E671))</f>
        <v/>
      </c>
      <c r="D671" s="5">
        <f>IF($E671="","",INDEX('Input Transaksi'!$F:$F,$E671))</f>
        <v/>
      </c>
      <c r="E671">
        <f>IFERROR(AGGREGATE(15,6,ROW('Input Transaksi'!$B$5:$B$5000)/('Input Transaksi'!$B$5:$B$5000="GRIYA ANYAR"),ROWS($E$5:E671)),"")</f>
        <v/>
      </c>
      <c r="F671" s="5" t="n"/>
    </row>
    <row r="672">
      <c r="A672" s="10">
        <f>IF($E672="","",INDEX('Input Transaksi'!$A:$A,$E672))</f>
        <v/>
      </c>
      <c r="B672" s="5">
        <f>IF($E672="","",INDEX('Input Transaksi'!$D:$D,$E672))</f>
        <v/>
      </c>
      <c r="C672">
        <f>IF($E672="","",INDEX('Input Transaksi'!$E:$E,$E672))</f>
        <v/>
      </c>
      <c r="D672" s="5">
        <f>IF($E672="","",INDEX('Input Transaksi'!$F:$F,$E672))</f>
        <v/>
      </c>
      <c r="E672">
        <f>IFERROR(AGGREGATE(15,6,ROW('Input Transaksi'!$B$5:$B$5000)/('Input Transaksi'!$B$5:$B$5000="GRIYA ANYAR"),ROWS($E$5:E672)),"")</f>
        <v/>
      </c>
      <c r="F672" s="5" t="n"/>
    </row>
    <row r="673">
      <c r="A673" s="10">
        <f>IF($E673="","",INDEX('Input Transaksi'!$A:$A,$E673))</f>
        <v/>
      </c>
      <c r="B673" s="5">
        <f>IF($E673="","",INDEX('Input Transaksi'!$D:$D,$E673))</f>
        <v/>
      </c>
      <c r="C673">
        <f>IF($E673="","",INDEX('Input Transaksi'!$E:$E,$E673))</f>
        <v/>
      </c>
      <c r="D673" s="5">
        <f>IF($E673="","",INDEX('Input Transaksi'!$F:$F,$E673))</f>
        <v/>
      </c>
      <c r="E673">
        <f>IFERROR(AGGREGATE(15,6,ROW('Input Transaksi'!$B$5:$B$5000)/('Input Transaksi'!$B$5:$B$5000="GRIYA ANYAR"),ROWS($E$5:E673)),"")</f>
        <v/>
      </c>
      <c r="F673" s="5" t="n"/>
    </row>
    <row r="674">
      <c r="A674" s="10">
        <f>IF($E674="","",INDEX('Input Transaksi'!$A:$A,$E674))</f>
        <v/>
      </c>
      <c r="B674" s="5">
        <f>IF($E674="","",INDEX('Input Transaksi'!$D:$D,$E674))</f>
        <v/>
      </c>
      <c r="C674">
        <f>IF($E674="","",INDEX('Input Transaksi'!$E:$E,$E674))</f>
        <v/>
      </c>
      <c r="D674" s="5">
        <f>IF($E674="","",INDEX('Input Transaksi'!$F:$F,$E674))</f>
        <v/>
      </c>
      <c r="E674">
        <f>IFERROR(AGGREGATE(15,6,ROW('Input Transaksi'!$B$5:$B$5000)/('Input Transaksi'!$B$5:$B$5000="GRIYA ANYAR"),ROWS($E$5:E674)),"")</f>
        <v/>
      </c>
      <c r="F674" s="5" t="n"/>
    </row>
    <row r="675">
      <c r="A675" s="10">
        <f>IF($E675="","",INDEX('Input Transaksi'!$A:$A,$E675))</f>
        <v/>
      </c>
      <c r="B675" s="5">
        <f>IF($E675="","",INDEX('Input Transaksi'!$D:$D,$E675))</f>
        <v/>
      </c>
      <c r="C675">
        <f>IF($E675="","",INDEX('Input Transaksi'!$E:$E,$E675))</f>
        <v/>
      </c>
      <c r="D675" s="5">
        <f>IF($E675="","",INDEX('Input Transaksi'!$F:$F,$E675))</f>
        <v/>
      </c>
      <c r="E675">
        <f>IFERROR(AGGREGATE(15,6,ROW('Input Transaksi'!$B$5:$B$5000)/('Input Transaksi'!$B$5:$B$5000="GRIYA ANYAR"),ROWS($E$5:E675)),"")</f>
        <v/>
      </c>
      <c r="F675" s="5" t="n"/>
    </row>
    <row r="676">
      <c r="A676" s="10">
        <f>IF($E676="","",INDEX('Input Transaksi'!$A:$A,$E676))</f>
        <v/>
      </c>
      <c r="B676" s="5">
        <f>IF($E676="","",INDEX('Input Transaksi'!$D:$D,$E676))</f>
        <v/>
      </c>
      <c r="C676">
        <f>IF($E676="","",INDEX('Input Transaksi'!$E:$E,$E676))</f>
        <v/>
      </c>
      <c r="D676" s="5">
        <f>IF($E676="","",INDEX('Input Transaksi'!$F:$F,$E676))</f>
        <v/>
      </c>
      <c r="E676">
        <f>IFERROR(AGGREGATE(15,6,ROW('Input Transaksi'!$B$5:$B$5000)/('Input Transaksi'!$B$5:$B$5000="GRIYA ANYAR"),ROWS($E$5:E676)),"")</f>
        <v/>
      </c>
      <c r="F676" s="5" t="n"/>
    </row>
    <row r="677">
      <c r="A677" s="10">
        <f>IF($E677="","",INDEX('Input Transaksi'!$A:$A,$E677))</f>
        <v/>
      </c>
      <c r="B677" s="5">
        <f>IF($E677="","",INDEX('Input Transaksi'!$D:$D,$E677))</f>
        <v/>
      </c>
      <c r="C677">
        <f>IF($E677="","",INDEX('Input Transaksi'!$E:$E,$E677))</f>
        <v/>
      </c>
      <c r="D677" s="5">
        <f>IF($E677="","",INDEX('Input Transaksi'!$F:$F,$E677))</f>
        <v/>
      </c>
      <c r="E677">
        <f>IFERROR(AGGREGATE(15,6,ROW('Input Transaksi'!$B$5:$B$5000)/('Input Transaksi'!$B$5:$B$5000="GRIYA ANYAR"),ROWS($E$5:E677)),"")</f>
        <v/>
      </c>
      <c r="F677" s="5" t="n"/>
    </row>
    <row r="678">
      <c r="A678" s="10">
        <f>IF($E678="","",INDEX('Input Transaksi'!$A:$A,$E678))</f>
        <v/>
      </c>
      <c r="B678" s="5">
        <f>IF($E678="","",INDEX('Input Transaksi'!$D:$D,$E678))</f>
        <v/>
      </c>
      <c r="C678">
        <f>IF($E678="","",INDEX('Input Transaksi'!$E:$E,$E678))</f>
        <v/>
      </c>
      <c r="D678" s="5">
        <f>IF($E678="","",INDEX('Input Transaksi'!$F:$F,$E678))</f>
        <v/>
      </c>
      <c r="E678">
        <f>IFERROR(AGGREGATE(15,6,ROW('Input Transaksi'!$B$5:$B$5000)/('Input Transaksi'!$B$5:$B$5000="GRIYA ANYAR"),ROWS($E$5:E678)),"")</f>
        <v/>
      </c>
      <c r="F678" s="5" t="n"/>
    </row>
    <row r="679">
      <c r="A679" s="10">
        <f>IF($E679="","",INDEX('Input Transaksi'!$A:$A,$E679))</f>
        <v/>
      </c>
      <c r="B679" s="5">
        <f>IF($E679="","",INDEX('Input Transaksi'!$D:$D,$E679))</f>
        <v/>
      </c>
      <c r="C679">
        <f>IF($E679="","",INDEX('Input Transaksi'!$E:$E,$E679))</f>
        <v/>
      </c>
      <c r="D679" s="5">
        <f>IF($E679="","",INDEX('Input Transaksi'!$F:$F,$E679))</f>
        <v/>
      </c>
      <c r="E679">
        <f>IFERROR(AGGREGATE(15,6,ROW('Input Transaksi'!$B$5:$B$5000)/('Input Transaksi'!$B$5:$B$5000="GRIYA ANYAR"),ROWS($E$5:E679)),"")</f>
        <v/>
      </c>
      <c r="F679" s="5" t="n"/>
    </row>
    <row r="680">
      <c r="A680" s="10">
        <f>IF($E680="","",INDEX('Input Transaksi'!$A:$A,$E680))</f>
        <v/>
      </c>
      <c r="B680" s="5">
        <f>IF($E680="","",INDEX('Input Transaksi'!$D:$D,$E680))</f>
        <v/>
      </c>
      <c r="C680">
        <f>IF($E680="","",INDEX('Input Transaksi'!$E:$E,$E680))</f>
        <v/>
      </c>
      <c r="D680" s="5">
        <f>IF($E680="","",INDEX('Input Transaksi'!$F:$F,$E680))</f>
        <v/>
      </c>
      <c r="E680">
        <f>IFERROR(AGGREGATE(15,6,ROW('Input Transaksi'!$B$5:$B$5000)/('Input Transaksi'!$B$5:$B$5000="GRIYA ANYAR"),ROWS($E$5:E680)),"")</f>
        <v/>
      </c>
      <c r="F680" s="5" t="n"/>
    </row>
    <row r="681">
      <c r="A681" s="10">
        <f>IF($E681="","",INDEX('Input Transaksi'!$A:$A,$E681))</f>
        <v/>
      </c>
      <c r="B681" s="5">
        <f>IF($E681="","",INDEX('Input Transaksi'!$D:$D,$E681))</f>
        <v/>
      </c>
      <c r="C681">
        <f>IF($E681="","",INDEX('Input Transaksi'!$E:$E,$E681))</f>
        <v/>
      </c>
      <c r="D681" s="5">
        <f>IF($E681="","",INDEX('Input Transaksi'!$F:$F,$E681))</f>
        <v/>
      </c>
      <c r="E681">
        <f>IFERROR(AGGREGATE(15,6,ROW('Input Transaksi'!$B$5:$B$5000)/('Input Transaksi'!$B$5:$B$5000="GRIYA ANYAR"),ROWS($E$5:E681)),"")</f>
        <v/>
      </c>
      <c r="F681" s="5" t="n"/>
    </row>
    <row r="682">
      <c r="A682" s="10">
        <f>IF($E682="","",INDEX('Input Transaksi'!$A:$A,$E682))</f>
        <v/>
      </c>
      <c r="B682" s="5">
        <f>IF($E682="","",INDEX('Input Transaksi'!$D:$D,$E682))</f>
        <v/>
      </c>
      <c r="C682">
        <f>IF($E682="","",INDEX('Input Transaksi'!$E:$E,$E682))</f>
        <v/>
      </c>
      <c r="D682" s="5">
        <f>IF($E682="","",INDEX('Input Transaksi'!$F:$F,$E682))</f>
        <v/>
      </c>
      <c r="E682">
        <f>IFERROR(AGGREGATE(15,6,ROW('Input Transaksi'!$B$5:$B$5000)/('Input Transaksi'!$B$5:$B$5000="GRIYA ANYAR"),ROWS($E$5:E682)),"")</f>
        <v/>
      </c>
      <c r="F682" s="5" t="n"/>
    </row>
    <row r="683">
      <c r="A683" s="10">
        <f>IF($E683="","",INDEX('Input Transaksi'!$A:$A,$E683))</f>
        <v/>
      </c>
      <c r="B683" s="5">
        <f>IF($E683="","",INDEX('Input Transaksi'!$D:$D,$E683))</f>
        <v/>
      </c>
      <c r="C683">
        <f>IF($E683="","",INDEX('Input Transaksi'!$E:$E,$E683))</f>
        <v/>
      </c>
      <c r="D683" s="5">
        <f>IF($E683="","",INDEX('Input Transaksi'!$F:$F,$E683))</f>
        <v/>
      </c>
      <c r="E683">
        <f>IFERROR(AGGREGATE(15,6,ROW('Input Transaksi'!$B$5:$B$5000)/('Input Transaksi'!$B$5:$B$5000="GRIYA ANYAR"),ROWS($E$5:E683)),"")</f>
        <v/>
      </c>
      <c r="F683" s="5" t="n"/>
    </row>
    <row r="684">
      <c r="A684" s="10">
        <f>IF($E684="","",INDEX('Input Transaksi'!$A:$A,$E684))</f>
        <v/>
      </c>
      <c r="B684" s="5">
        <f>IF($E684="","",INDEX('Input Transaksi'!$D:$D,$E684))</f>
        <v/>
      </c>
      <c r="C684">
        <f>IF($E684="","",INDEX('Input Transaksi'!$E:$E,$E684))</f>
        <v/>
      </c>
      <c r="D684" s="5">
        <f>IF($E684="","",INDEX('Input Transaksi'!$F:$F,$E684))</f>
        <v/>
      </c>
      <c r="E684">
        <f>IFERROR(AGGREGATE(15,6,ROW('Input Transaksi'!$B$5:$B$5000)/('Input Transaksi'!$B$5:$B$5000="GRIYA ANYAR"),ROWS($E$5:E684)),"")</f>
        <v/>
      </c>
      <c r="F684" s="5" t="n"/>
    </row>
    <row r="685">
      <c r="A685" s="10">
        <f>IF($E685="","",INDEX('Input Transaksi'!$A:$A,$E685))</f>
        <v/>
      </c>
      <c r="B685" s="5">
        <f>IF($E685="","",INDEX('Input Transaksi'!$D:$D,$E685))</f>
        <v/>
      </c>
      <c r="C685">
        <f>IF($E685="","",INDEX('Input Transaksi'!$E:$E,$E685))</f>
        <v/>
      </c>
      <c r="D685" s="5">
        <f>IF($E685="","",INDEX('Input Transaksi'!$F:$F,$E685))</f>
        <v/>
      </c>
      <c r="E685">
        <f>IFERROR(AGGREGATE(15,6,ROW('Input Transaksi'!$B$5:$B$5000)/('Input Transaksi'!$B$5:$B$5000="GRIYA ANYAR"),ROWS($E$5:E685)),"")</f>
        <v/>
      </c>
      <c r="F685" s="5" t="n"/>
    </row>
    <row r="686">
      <c r="A686" s="10">
        <f>IF($E686="","",INDEX('Input Transaksi'!$A:$A,$E686))</f>
        <v/>
      </c>
      <c r="B686" s="5">
        <f>IF($E686="","",INDEX('Input Transaksi'!$D:$D,$E686))</f>
        <v/>
      </c>
      <c r="C686">
        <f>IF($E686="","",INDEX('Input Transaksi'!$E:$E,$E686))</f>
        <v/>
      </c>
      <c r="D686" s="5">
        <f>IF($E686="","",INDEX('Input Transaksi'!$F:$F,$E686))</f>
        <v/>
      </c>
      <c r="E686">
        <f>IFERROR(AGGREGATE(15,6,ROW('Input Transaksi'!$B$5:$B$5000)/('Input Transaksi'!$B$5:$B$5000="GRIYA ANYAR"),ROWS($E$5:E686)),"")</f>
        <v/>
      </c>
      <c r="F686" s="5" t="n"/>
    </row>
    <row r="687">
      <c r="A687" s="10">
        <f>IF($E687="","",INDEX('Input Transaksi'!$A:$A,$E687))</f>
        <v/>
      </c>
      <c r="B687" s="5">
        <f>IF($E687="","",INDEX('Input Transaksi'!$D:$D,$E687))</f>
        <v/>
      </c>
      <c r="C687">
        <f>IF($E687="","",INDEX('Input Transaksi'!$E:$E,$E687))</f>
        <v/>
      </c>
      <c r="D687" s="5">
        <f>IF($E687="","",INDEX('Input Transaksi'!$F:$F,$E687))</f>
        <v/>
      </c>
      <c r="E687">
        <f>IFERROR(AGGREGATE(15,6,ROW('Input Transaksi'!$B$5:$B$5000)/('Input Transaksi'!$B$5:$B$5000="GRIYA ANYAR"),ROWS($E$5:E687)),"")</f>
        <v/>
      </c>
      <c r="F687" s="5" t="n"/>
    </row>
    <row r="688">
      <c r="A688" s="10">
        <f>IF($E688="","",INDEX('Input Transaksi'!$A:$A,$E688))</f>
        <v/>
      </c>
      <c r="B688" s="5">
        <f>IF($E688="","",INDEX('Input Transaksi'!$D:$D,$E688))</f>
        <v/>
      </c>
      <c r="C688">
        <f>IF($E688="","",INDEX('Input Transaksi'!$E:$E,$E688))</f>
        <v/>
      </c>
      <c r="D688" s="5">
        <f>IF($E688="","",INDEX('Input Transaksi'!$F:$F,$E688))</f>
        <v/>
      </c>
      <c r="E688">
        <f>IFERROR(AGGREGATE(15,6,ROW('Input Transaksi'!$B$5:$B$5000)/('Input Transaksi'!$B$5:$B$5000="GRIYA ANYAR"),ROWS($E$5:E688)),"")</f>
        <v/>
      </c>
      <c r="F688" s="5" t="n"/>
    </row>
    <row r="689">
      <c r="A689" s="10">
        <f>IF($E689="","",INDEX('Input Transaksi'!$A:$A,$E689))</f>
        <v/>
      </c>
      <c r="B689" s="5">
        <f>IF($E689="","",INDEX('Input Transaksi'!$D:$D,$E689))</f>
        <v/>
      </c>
      <c r="C689">
        <f>IF($E689="","",INDEX('Input Transaksi'!$E:$E,$E689))</f>
        <v/>
      </c>
      <c r="D689" s="5">
        <f>IF($E689="","",INDEX('Input Transaksi'!$F:$F,$E689))</f>
        <v/>
      </c>
      <c r="E689">
        <f>IFERROR(AGGREGATE(15,6,ROW('Input Transaksi'!$B$5:$B$5000)/('Input Transaksi'!$B$5:$B$5000="GRIYA ANYAR"),ROWS($E$5:E689)),"")</f>
        <v/>
      </c>
      <c r="F689" s="5" t="n"/>
    </row>
    <row r="690">
      <c r="A690" s="10">
        <f>IF($E690="","",INDEX('Input Transaksi'!$A:$A,$E690))</f>
        <v/>
      </c>
      <c r="B690" s="5">
        <f>IF($E690="","",INDEX('Input Transaksi'!$D:$D,$E690))</f>
        <v/>
      </c>
      <c r="C690">
        <f>IF($E690="","",INDEX('Input Transaksi'!$E:$E,$E690))</f>
        <v/>
      </c>
      <c r="D690" s="5">
        <f>IF($E690="","",INDEX('Input Transaksi'!$F:$F,$E690))</f>
        <v/>
      </c>
      <c r="E690">
        <f>IFERROR(AGGREGATE(15,6,ROW('Input Transaksi'!$B$5:$B$5000)/('Input Transaksi'!$B$5:$B$5000="GRIYA ANYAR"),ROWS($E$5:E690)),"")</f>
        <v/>
      </c>
      <c r="F690" s="5" t="n"/>
    </row>
    <row r="691">
      <c r="A691" s="10">
        <f>IF($E691="","",INDEX('Input Transaksi'!$A:$A,$E691))</f>
        <v/>
      </c>
      <c r="B691" s="5">
        <f>IF($E691="","",INDEX('Input Transaksi'!$D:$D,$E691))</f>
        <v/>
      </c>
      <c r="C691">
        <f>IF($E691="","",INDEX('Input Transaksi'!$E:$E,$E691))</f>
        <v/>
      </c>
      <c r="D691" s="5">
        <f>IF($E691="","",INDEX('Input Transaksi'!$F:$F,$E691))</f>
        <v/>
      </c>
      <c r="E691">
        <f>IFERROR(AGGREGATE(15,6,ROW('Input Transaksi'!$B$5:$B$5000)/('Input Transaksi'!$B$5:$B$5000="GRIYA ANYAR"),ROWS($E$5:E691)),"")</f>
        <v/>
      </c>
      <c r="F691" s="5" t="n"/>
    </row>
    <row r="692">
      <c r="A692" s="10">
        <f>IF($E692="","",INDEX('Input Transaksi'!$A:$A,$E692))</f>
        <v/>
      </c>
      <c r="B692" s="5">
        <f>IF($E692="","",INDEX('Input Transaksi'!$D:$D,$E692))</f>
        <v/>
      </c>
      <c r="C692">
        <f>IF($E692="","",INDEX('Input Transaksi'!$E:$E,$E692))</f>
        <v/>
      </c>
      <c r="D692" s="5">
        <f>IF($E692="","",INDEX('Input Transaksi'!$F:$F,$E692))</f>
        <v/>
      </c>
      <c r="E692">
        <f>IFERROR(AGGREGATE(15,6,ROW('Input Transaksi'!$B$5:$B$5000)/('Input Transaksi'!$B$5:$B$5000="GRIYA ANYAR"),ROWS($E$5:E692)),"")</f>
        <v/>
      </c>
      <c r="F692" s="5" t="n"/>
    </row>
    <row r="693">
      <c r="A693" s="10">
        <f>IF($E693="","",INDEX('Input Transaksi'!$A:$A,$E693))</f>
        <v/>
      </c>
      <c r="B693" s="5">
        <f>IF($E693="","",INDEX('Input Transaksi'!$D:$D,$E693))</f>
        <v/>
      </c>
      <c r="C693">
        <f>IF($E693="","",INDEX('Input Transaksi'!$E:$E,$E693))</f>
        <v/>
      </c>
      <c r="D693" s="5">
        <f>IF($E693="","",INDEX('Input Transaksi'!$F:$F,$E693))</f>
        <v/>
      </c>
      <c r="E693">
        <f>IFERROR(AGGREGATE(15,6,ROW('Input Transaksi'!$B$5:$B$5000)/('Input Transaksi'!$B$5:$B$5000="GRIYA ANYAR"),ROWS($E$5:E693)),"")</f>
        <v/>
      </c>
      <c r="F693" s="5" t="n"/>
    </row>
    <row r="694">
      <c r="A694" s="10">
        <f>IF($E694="","",INDEX('Input Transaksi'!$A:$A,$E694))</f>
        <v/>
      </c>
      <c r="B694" s="5">
        <f>IF($E694="","",INDEX('Input Transaksi'!$D:$D,$E694))</f>
        <v/>
      </c>
      <c r="C694">
        <f>IF($E694="","",INDEX('Input Transaksi'!$E:$E,$E694))</f>
        <v/>
      </c>
      <c r="D694" s="5">
        <f>IF($E694="","",INDEX('Input Transaksi'!$F:$F,$E694))</f>
        <v/>
      </c>
      <c r="E694">
        <f>IFERROR(AGGREGATE(15,6,ROW('Input Transaksi'!$B$5:$B$5000)/('Input Transaksi'!$B$5:$B$5000="GRIYA ANYAR"),ROWS($E$5:E694)),"")</f>
        <v/>
      </c>
      <c r="F694" s="5" t="n"/>
    </row>
    <row r="695">
      <c r="A695" s="10">
        <f>IF($E695="","",INDEX('Input Transaksi'!$A:$A,$E695))</f>
        <v/>
      </c>
      <c r="B695" s="5">
        <f>IF($E695="","",INDEX('Input Transaksi'!$D:$D,$E695))</f>
        <v/>
      </c>
      <c r="C695">
        <f>IF($E695="","",INDEX('Input Transaksi'!$E:$E,$E695))</f>
        <v/>
      </c>
      <c r="D695" s="5">
        <f>IF($E695="","",INDEX('Input Transaksi'!$F:$F,$E695))</f>
        <v/>
      </c>
      <c r="E695">
        <f>IFERROR(AGGREGATE(15,6,ROW('Input Transaksi'!$B$5:$B$5000)/('Input Transaksi'!$B$5:$B$5000="GRIYA ANYAR"),ROWS($E$5:E695)),"")</f>
        <v/>
      </c>
      <c r="F695" s="5" t="n"/>
    </row>
    <row r="696">
      <c r="A696" s="10">
        <f>IF($E696="","",INDEX('Input Transaksi'!$A:$A,$E696))</f>
        <v/>
      </c>
      <c r="B696" s="5">
        <f>IF($E696="","",INDEX('Input Transaksi'!$D:$D,$E696))</f>
        <v/>
      </c>
      <c r="C696">
        <f>IF($E696="","",INDEX('Input Transaksi'!$E:$E,$E696))</f>
        <v/>
      </c>
      <c r="D696" s="5">
        <f>IF($E696="","",INDEX('Input Transaksi'!$F:$F,$E696))</f>
        <v/>
      </c>
      <c r="E696">
        <f>IFERROR(AGGREGATE(15,6,ROW('Input Transaksi'!$B$5:$B$5000)/('Input Transaksi'!$B$5:$B$5000="GRIYA ANYAR"),ROWS($E$5:E696)),"")</f>
        <v/>
      </c>
      <c r="F696" s="5" t="n"/>
    </row>
    <row r="697">
      <c r="A697" s="10">
        <f>IF($E697="","",INDEX('Input Transaksi'!$A:$A,$E697))</f>
        <v/>
      </c>
      <c r="B697" s="5">
        <f>IF($E697="","",INDEX('Input Transaksi'!$D:$D,$E697))</f>
        <v/>
      </c>
      <c r="C697">
        <f>IF($E697="","",INDEX('Input Transaksi'!$E:$E,$E697))</f>
        <v/>
      </c>
      <c r="D697" s="5">
        <f>IF($E697="","",INDEX('Input Transaksi'!$F:$F,$E697))</f>
        <v/>
      </c>
      <c r="E697">
        <f>IFERROR(AGGREGATE(15,6,ROW('Input Transaksi'!$B$5:$B$5000)/('Input Transaksi'!$B$5:$B$5000="GRIYA ANYAR"),ROWS($E$5:E697)),"")</f>
        <v/>
      </c>
      <c r="F697" s="5" t="n"/>
    </row>
    <row r="698">
      <c r="A698" s="10">
        <f>IF($E698="","",INDEX('Input Transaksi'!$A:$A,$E698))</f>
        <v/>
      </c>
      <c r="B698" s="5">
        <f>IF($E698="","",INDEX('Input Transaksi'!$D:$D,$E698))</f>
        <v/>
      </c>
      <c r="C698">
        <f>IF($E698="","",INDEX('Input Transaksi'!$E:$E,$E698))</f>
        <v/>
      </c>
      <c r="D698" s="5">
        <f>IF($E698="","",INDEX('Input Transaksi'!$F:$F,$E698))</f>
        <v/>
      </c>
      <c r="E698">
        <f>IFERROR(AGGREGATE(15,6,ROW('Input Transaksi'!$B$5:$B$5000)/('Input Transaksi'!$B$5:$B$5000="GRIYA ANYAR"),ROWS($E$5:E698)),"")</f>
        <v/>
      </c>
      <c r="F698" s="5" t="n"/>
    </row>
    <row r="699">
      <c r="A699" s="10">
        <f>IF($E699="","",INDEX('Input Transaksi'!$A:$A,$E699))</f>
        <v/>
      </c>
      <c r="B699" s="5">
        <f>IF($E699="","",INDEX('Input Transaksi'!$D:$D,$E699))</f>
        <v/>
      </c>
      <c r="C699">
        <f>IF($E699="","",INDEX('Input Transaksi'!$E:$E,$E699))</f>
        <v/>
      </c>
      <c r="D699" s="5">
        <f>IF($E699="","",INDEX('Input Transaksi'!$F:$F,$E699))</f>
        <v/>
      </c>
      <c r="E699">
        <f>IFERROR(AGGREGATE(15,6,ROW('Input Transaksi'!$B$5:$B$5000)/('Input Transaksi'!$B$5:$B$5000="GRIYA ANYAR"),ROWS($E$5:E699)),"")</f>
        <v/>
      </c>
      <c r="F699" s="5" t="n"/>
    </row>
    <row r="700">
      <c r="A700" s="10">
        <f>IF($E700="","",INDEX('Input Transaksi'!$A:$A,$E700))</f>
        <v/>
      </c>
      <c r="B700" s="5">
        <f>IF($E700="","",INDEX('Input Transaksi'!$D:$D,$E700))</f>
        <v/>
      </c>
      <c r="C700">
        <f>IF($E700="","",INDEX('Input Transaksi'!$E:$E,$E700))</f>
        <v/>
      </c>
      <c r="D700" s="5">
        <f>IF($E700="","",INDEX('Input Transaksi'!$F:$F,$E700))</f>
        <v/>
      </c>
      <c r="E700">
        <f>IFERROR(AGGREGATE(15,6,ROW('Input Transaksi'!$B$5:$B$5000)/('Input Transaksi'!$B$5:$B$5000="GRIYA ANYAR"),ROWS($E$5:E700)),"")</f>
        <v/>
      </c>
      <c r="F700" s="5" t="n"/>
    </row>
    <row r="701">
      <c r="A701" s="10">
        <f>IF($E701="","",INDEX('Input Transaksi'!$A:$A,$E701))</f>
        <v/>
      </c>
      <c r="B701" s="5">
        <f>IF($E701="","",INDEX('Input Transaksi'!$D:$D,$E701))</f>
        <v/>
      </c>
      <c r="C701">
        <f>IF($E701="","",INDEX('Input Transaksi'!$E:$E,$E701))</f>
        <v/>
      </c>
      <c r="D701" s="5">
        <f>IF($E701="","",INDEX('Input Transaksi'!$F:$F,$E701))</f>
        <v/>
      </c>
      <c r="E701">
        <f>IFERROR(AGGREGATE(15,6,ROW('Input Transaksi'!$B$5:$B$5000)/('Input Transaksi'!$B$5:$B$5000="GRIYA ANYAR"),ROWS($E$5:E701)),"")</f>
        <v/>
      </c>
      <c r="F701" s="5" t="n"/>
    </row>
    <row r="702">
      <c r="A702" s="10">
        <f>IF($E702="","",INDEX('Input Transaksi'!$A:$A,$E702))</f>
        <v/>
      </c>
      <c r="B702" s="5">
        <f>IF($E702="","",INDEX('Input Transaksi'!$D:$D,$E702))</f>
        <v/>
      </c>
      <c r="C702">
        <f>IF($E702="","",INDEX('Input Transaksi'!$E:$E,$E702))</f>
        <v/>
      </c>
      <c r="D702" s="5">
        <f>IF($E702="","",INDEX('Input Transaksi'!$F:$F,$E702))</f>
        <v/>
      </c>
      <c r="E702">
        <f>IFERROR(AGGREGATE(15,6,ROW('Input Transaksi'!$B$5:$B$5000)/('Input Transaksi'!$B$5:$B$5000="GRIYA ANYAR"),ROWS($E$5:E702)),"")</f>
        <v/>
      </c>
      <c r="F702" s="5" t="n"/>
    </row>
    <row r="703">
      <c r="A703" s="10">
        <f>IF($E703="","",INDEX('Input Transaksi'!$A:$A,$E703))</f>
        <v/>
      </c>
      <c r="B703" s="5">
        <f>IF($E703="","",INDEX('Input Transaksi'!$D:$D,$E703))</f>
        <v/>
      </c>
      <c r="C703">
        <f>IF($E703="","",INDEX('Input Transaksi'!$E:$E,$E703))</f>
        <v/>
      </c>
      <c r="D703" s="5">
        <f>IF($E703="","",INDEX('Input Transaksi'!$F:$F,$E703))</f>
        <v/>
      </c>
      <c r="E703">
        <f>IFERROR(AGGREGATE(15,6,ROW('Input Transaksi'!$B$5:$B$5000)/('Input Transaksi'!$B$5:$B$5000="GRIYA ANYAR"),ROWS($E$5:E703)),"")</f>
        <v/>
      </c>
      <c r="F703" s="5" t="n"/>
    </row>
    <row r="704">
      <c r="A704" s="10">
        <f>IF($E704="","",INDEX('Input Transaksi'!$A:$A,$E704))</f>
        <v/>
      </c>
      <c r="B704" s="5">
        <f>IF($E704="","",INDEX('Input Transaksi'!$D:$D,$E704))</f>
        <v/>
      </c>
      <c r="C704">
        <f>IF($E704="","",INDEX('Input Transaksi'!$E:$E,$E704))</f>
        <v/>
      </c>
      <c r="D704" s="5">
        <f>IF($E704="","",INDEX('Input Transaksi'!$F:$F,$E704))</f>
        <v/>
      </c>
      <c r="E704">
        <f>IFERROR(AGGREGATE(15,6,ROW('Input Transaksi'!$B$5:$B$5000)/('Input Transaksi'!$B$5:$B$5000="GRIYA ANYAR"),ROWS($E$5:E704)),"")</f>
        <v/>
      </c>
      <c r="F704" s="5" t="n"/>
    </row>
    <row r="705">
      <c r="A705" s="10">
        <f>IF($E705="","",INDEX('Input Transaksi'!$A:$A,$E705))</f>
        <v/>
      </c>
      <c r="B705" s="5">
        <f>IF($E705="","",INDEX('Input Transaksi'!$D:$D,$E705))</f>
        <v/>
      </c>
      <c r="C705">
        <f>IF($E705="","",INDEX('Input Transaksi'!$E:$E,$E705))</f>
        <v/>
      </c>
      <c r="D705" s="5">
        <f>IF($E705="","",INDEX('Input Transaksi'!$F:$F,$E705))</f>
        <v/>
      </c>
      <c r="E705">
        <f>IFERROR(AGGREGATE(15,6,ROW('Input Transaksi'!$B$5:$B$5000)/('Input Transaksi'!$B$5:$B$5000="GRIYA ANYAR"),ROWS($E$5:E705)),"")</f>
        <v/>
      </c>
      <c r="F705" s="5" t="n"/>
    </row>
    <row r="706">
      <c r="A706" s="10">
        <f>IF($E706="","",INDEX('Input Transaksi'!$A:$A,$E706))</f>
        <v/>
      </c>
      <c r="B706" s="5">
        <f>IF($E706="","",INDEX('Input Transaksi'!$D:$D,$E706))</f>
        <v/>
      </c>
      <c r="C706">
        <f>IF($E706="","",INDEX('Input Transaksi'!$E:$E,$E706))</f>
        <v/>
      </c>
      <c r="D706" s="5">
        <f>IF($E706="","",INDEX('Input Transaksi'!$F:$F,$E706))</f>
        <v/>
      </c>
      <c r="E706">
        <f>IFERROR(AGGREGATE(15,6,ROW('Input Transaksi'!$B$5:$B$5000)/('Input Transaksi'!$B$5:$B$5000="GRIYA ANYAR"),ROWS($E$5:E706)),"")</f>
        <v/>
      </c>
      <c r="F706" s="5" t="n"/>
    </row>
    <row r="707">
      <c r="A707" s="10">
        <f>IF($E707="","",INDEX('Input Transaksi'!$A:$A,$E707))</f>
        <v/>
      </c>
      <c r="B707" s="5">
        <f>IF($E707="","",INDEX('Input Transaksi'!$D:$D,$E707))</f>
        <v/>
      </c>
      <c r="C707">
        <f>IF($E707="","",INDEX('Input Transaksi'!$E:$E,$E707))</f>
        <v/>
      </c>
      <c r="D707" s="5">
        <f>IF($E707="","",INDEX('Input Transaksi'!$F:$F,$E707))</f>
        <v/>
      </c>
      <c r="E707">
        <f>IFERROR(AGGREGATE(15,6,ROW('Input Transaksi'!$B$5:$B$5000)/('Input Transaksi'!$B$5:$B$5000="GRIYA ANYAR"),ROWS($E$5:E707)),"")</f>
        <v/>
      </c>
      <c r="F707" s="5" t="n"/>
    </row>
    <row r="708">
      <c r="A708" s="10">
        <f>IF($E708="","",INDEX('Input Transaksi'!$A:$A,$E708))</f>
        <v/>
      </c>
      <c r="B708" s="5">
        <f>IF($E708="","",INDEX('Input Transaksi'!$D:$D,$E708))</f>
        <v/>
      </c>
      <c r="C708">
        <f>IF($E708="","",INDEX('Input Transaksi'!$E:$E,$E708))</f>
        <v/>
      </c>
      <c r="D708" s="5">
        <f>IF($E708="","",INDEX('Input Transaksi'!$F:$F,$E708))</f>
        <v/>
      </c>
      <c r="E708">
        <f>IFERROR(AGGREGATE(15,6,ROW('Input Transaksi'!$B$5:$B$5000)/('Input Transaksi'!$B$5:$B$5000="GRIYA ANYAR"),ROWS($E$5:E708)),"")</f>
        <v/>
      </c>
      <c r="F708" s="5" t="n"/>
    </row>
    <row r="709">
      <c r="A709" s="10">
        <f>IF($E709="","",INDEX('Input Transaksi'!$A:$A,$E709))</f>
        <v/>
      </c>
      <c r="B709" s="5">
        <f>IF($E709="","",INDEX('Input Transaksi'!$D:$D,$E709))</f>
        <v/>
      </c>
      <c r="C709">
        <f>IF($E709="","",INDEX('Input Transaksi'!$E:$E,$E709))</f>
        <v/>
      </c>
      <c r="D709" s="5">
        <f>IF($E709="","",INDEX('Input Transaksi'!$F:$F,$E709))</f>
        <v/>
      </c>
      <c r="E709">
        <f>IFERROR(AGGREGATE(15,6,ROW('Input Transaksi'!$B$5:$B$5000)/('Input Transaksi'!$B$5:$B$5000="GRIYA ANYAR"),ROWS($E$5:E709)),"")</f>
        <v/>
      </c>
      <c r="F709" s="5" t="n"/>
    </row>
    <row r="710">
      <c r="A710" s="10">
        <f>IF($E710="","",INDEX('Input Transaksi'!$A:$A,$E710))</f>
        <v/>
      </c>
      <c r="B710" s="5">
        <f>IF($E710="","",INDEX('Input Transaksi'!$D:$D,$E710))</f>
        <v/>
      </c>
      <c r="C710">
        <f>IF($E710="","",INDEX('Input Transaksi'!$E:$E,$E710))</f>
        <v/>
      </c>
      <c r="D710" s="5">
        <f>IF($E710="","",INDEX('Input Transaksi'!$F:$F,$E710))</f>
        <v/>
      </c>
      <c r="E710">
        <f>IFERROR(AGGREGATE(15,6,ROW('Input Transaksi'!$B$5:$B$5000)/('Input Transaksi'!$B$5:$B$5000="GRIYA ANYAR"),ROWS($E$5:E710)),"")</f>
        <v/>
      </c>
      <c r="F710" s="5" t="n"/>
    </row>
    <row r="711">
      <c r="A711" s="10">
        <f>IF($E711="","",INDEX('Input Transaksi'!$A:$A,$E711))</f>
        <v/>
      </c>
      <c r="B711" s="5">
        <f>IF($E711="","",INDEX('Input Transaksi'!$D:$D,$E711))</f>
        <v/>
      </c>
      <c r="C711">
        <f>IF($E711="","",INDEX('Input Transaksi'!$E:$E,$E711))</f>
        <v/>
      </c>
      <c r="D711" s="5">
        <f>IF($E711="","",INDEX('Input Transaksi'!$F:$F,$E711))</f>
        <v/>
      </c>
      <c r="E711">
        <f>IFERROR(AGGREGATE(15,6,ROW('Input Transaksi'!$B$5:$B$5000)/('Input Transaksi'!$B$5:$B$5000="GRIYA ANYAR"),ROWS($E$5:E711)),"")</f>
        <v/>
      </c>
      <c r="F711" s="5" t="n"/>
    </row>
    <row r="712">
      <c r="A712" s="10">
        <f>IF($E712="","",INDEX('Input Transaksi'!$A:$A,$E712))</f>
        <v/>
      </c>
      <c r="B712" s="5">
        <f>IF($E712="","",INDEX('Input Transaksi'!$D:$D,$E712))</f>
        <v/>
      </c>
      <c r="C712">
        <f>IF($E712="","",INDEX('Input Transaksi'!$E:$E,$E712))</f>
        <v/>
      </c>
      <c r="D712" s="5">
        <f>IF($E712="","",INDEX('Input Transaksi'!$F:$F,$E712))</f>
        <v/>
      </c>
      <c r="E712">
        <f>IFERROR(AGGREGATE(15,6,ROW('Input Transaksi'!$B$5:$B$5000)/('Input Transaksi'!$B$5:$B$5000="GRIYA ANYAR"),ROWS($E$5:E712)),"")</f>
        <v/>
      </c>
      <c r="F712" s="5" t="n"/>
    </row>
    <row r="713">
      <c r="A713" s="10">
        <f>IF($E713="","",INDEX('Input Transaksi'!$A:$A,$E713))</f>
        <v/>
      </c>
      <c r="B713" s="5">
        <f>IF($E713="","",INDEX('Input Transaksi'!$D:$D,$E713))</f>
        <v/>
      </c>
      <c r="C713">
        <f>IF($E713="","",INDEX('Input Transaksi'!$E:$E,$E713))</f>
        <v/>
      </c>
      <c r="D713" s="5">
        <f>IF($E713="","",INDEX('Input Transaksi'!$F:$F,$E713))</f>
        <v/>
      </c>
      <c r="E713">
        <f>IFERROR(AGGREGATE(15,6,ROW('Input Transaksi'!$B$5:$B$5000)/('Input Transaksi'!$B$5:$B$5000="GRIYA ANYAR"),ROWS($E$5:E713)),"")</f>
        <v/>
      </c>
      <c r="F713" s="5" t="n"/>
    </row>
    <row r="714">
      <c r="A714" s="10">
        <f>IF($E714="","",INDEX('Input Transaksi'!$A:$A,$E714))</f>
        <v/>
      </c>
      <c r="B714" s="5">
        <f>IF($E714="","",INDEX('Input Transaksi'!$D:$D,$E714))</f>
        <v/>
      </c>
      <c r="C714">
        <f>IF($E714="","",INDEX('Input Transaksi'!$E:$E,$E714))</f>
        <v/>
      </c>
      <c r="D714" s="5">
        <f>IF($E714="","",INDEX('Input Transaksi'!$F:$F,$E714))</f>
        <v/>
      </c>
      <c r="E714">
        <f>IFERROR(AGGREGATE(15,6,ROW('Input Transaksi'!$B$5:$B$5000)/('Input Transaksi'!$B$5:$B$5000="GRIYA ANYAR"),ROWS($E$5:E714)),"")</f>
        <v/>
      </c>
      <c r="F714" s="5" t="n"/>
    </row>
    <row r="715">
      <c r="A715" s="10">
        <f>IF($E715="","",INDEX('Input Transaksi'!$A:$A,$E715))</f>
        <v/>
      </c>
      <c r="B715" s="5">
        <f>IF($E715="","",INDEX('Input Transaksi'!$D:$D,$E715))</f>
        <v/>
      </c>
      <c r="C715">
        <f>IF($E715="","",INDEX('Input Transaksi'!$E:$E,$E715))</f>
        <v/>
      </c>
      <c r="D715" s="5">
        <f>IF($E715="","",INDEX('Input Transaksi'!$F:$F,$E715))</f>
        <v/>
      </c>
      <c r="E715">
        <f>IFERROR(AGGREGATE(15,6,ROW('Input Transaksi'!$B$5:$B$5000)/('Input Transaksi'!$B$5:$B$5000="GRIYA ANYAR"),ROWS($E$5:E715)),"")</f>
        <v/>
      </c>
      <c r="F715" s="5" t="n"/>
    </row>
    <row r="716">
      <c r="A716" s="10">
        <f>IF($E716="","",INDEX('Input Transaksi'!$A:$A,$E716))</f>
        <v/>
      </c>
      <c r="B716" s="5">
        <f>IF($E716="","",INDEX('Input Transaksi'!$D:$D,$E716))</f>
        <v/>
      </c>
      <c r="C716">
        <f>IF($E716="","",INDEX('Input Transaksi'!$E:$E,$E716))</f>
        <v/>
      </c>
      <c r="D716" s="5">
        <f>IF($E716="","",INDEX('Input Transaksi'!$F:$F,$E716))</f>
        <v/>
      </c>
      <c r="E716">
        <f>IFERROR(AGGREGATE(15,6,ROW('Input Transaksi'!$B$5:$B$5000)/('Input Transaksi'!$B$5:$B$5000="GRIYA ANYAR"),ROWS($E$5:E716)),"")</f>
        <v/>
      </c>
      <c r="F716" s="5" t="n"/>
    </row>
    <row r="717">
      <c r="A717" s="10">
        <f>IF($E717="","",INDEX('Input Transaksi'!$A:$A,$E717))</f>
        <v/>
      </c>
      <c r="B717" s="5">
        <f>IF($E717="","",INDEX('Input Transaksi'!$D:$D,$E717))</f>
        <v/>
      </c>
      <c r="C717">
        <f>IF($E717="","",INDEX('Input Transaksi'!$E:$E,$E717))</f>
        <v/>
      </c>
      <c r="D717" s="5">
        <f>IF($E717="","",INDEX('Input Transaksi'!$F:$F,$E717))</f>
        <v/>
      </c>
      <c r="E717">
        <f>IFERROR(AGGREGATE(15,6,ROW('Input Transaksi'!$B$5:$B$5000)/('Input Transaksi'!$B$5:$B$5000="GRIYA ANYAR"),ROWS($E$5:E717)),"")</f>
        <v/>
      </c>
      <c r="F717" s="5" t="n"/>
    </row>
    <row r="718">
      <c r="A718" s="10">
        <f>IF($E718="","",INDEX('Input Transaksi'!$A:$A,$E718))</f>
        <v/>
      </c>
      <c r="B718" s="5">
        <f>IF($E718="","",INDEX('Input Transaksi'!$D:$D,$E718))</f>
        <v/>
      </c>
      <c r="C718">
        <f>IF($E718="","",INDEX('Input Transaksi'!$E:$E,$E718))</f>
        <v/>
      </c>
      <c r="D718" s="5">
        <f>IF($E718="","",INDEX('Input Transaksi'!$F:$F,$E718))</f>
        <v/>
      </c>
      <c r="E718">
        <f>IFERROR(AGGREGATE(15,6,ROW('Input Transaksi'!$B$5:$B$5000)/('Input Transaksi'!$B$5:$B$5000="GRIYA ANYAR"),ROWS($E$5:E718)),"")</f>
        <v/>
      </c>
      <c r="F718" s="5" t="n"/>
    </row>
    <row r="719">
      <c r="A719" s="10">
        <f>IF($E719="","",INDEX('Input Transaksi'!$A:$A,$E719))</f>
        <v/>
      </c>
      <c r="B719" s="5">
        <f>IF($E719="","",INDEX('Input Transaksi'!$D:$D,$E719))</f>
        <v/>
      </c>
      <c r="C719">
        <f>IF($E719="","",INDEX('Input Transaksi'!$E:$E,$E719))</f>
        <v/>
      </c>
      <c r="D719" s="5">
        <f>IF($E719="","",INDEX('Input Transaksi'!$F:$F,$E719))</f>
        <v/>
      </c>
      <c r="E719">
        <f>IFERROR(AGGREGATE(15,6,ROW('Input Transaksi'!$B$5:$B$5000)/('Input Transaksi'!$B$5:$B$5000="GRIYA ANYAR"),ROWS($E$5:E719)),"")</f>
        <v/>
      </c>
      <c r="F719" s="5" t="n"/>
    </row>
    <row r="720">
      <c r="A720" s="10">
        <f>IF($E720="","",INDEX('Input Transaksi'!$A:$A,$E720))</f>
        <v/>
      </c>
      <c r="B720" s="5">
        <f>IF($E720="","",INDEX('Input Transaksi'!$D:$D,$E720))</f>
        <v/>
      </c>
      <c r="C720">
        <f>IF($E720="","",INDEX('Input Transaksi'!$E:$E,$E720))</f>
        <v/>
      </c>
      <c r="D720" s="5">
        <f>IF($E720="","",INDEX('Input Transaksi'!$F:$F,$E720))</f>
        <v/>
      </c>
      <c r="E720">
        <f>IFERROR(AGGREGATE(15,6,ROW('Input Transaksi'!$B$5:$B$5000)/('Input Transaksi'!$B$5:$B$5000="GRIYA ANYAR"),ROWS($E$5:E720)),"")</f>
        <v/>
      </c>
      <c r="F720" s="5" t="n"/>
    </row>
    <row r="721">
      <c r="A721" s="10">
        <f>IF($E721="","",INDEX('Input Transaksi'!$A:$A,$E721))</f>
        <v/>
      </c>
      <c r="B721" s="5">
        <f>IF($E721="","",INDEX('Input Transaksi'!$D:$D,$E721))</f>
        <v/>
      </c>
      <c r="C721">
        <f>IF($E721="","",INDEX('Input Transaksi'!$E:$E,$E721))</f>
        <v/>
      </c>
      <c r="D721" s="5">
        <f>IF($E721="","",INDEX('Input Transaksi'!$F:$F,$E721))</f>
        <v/>
      </c>
      <c r="E721">
        <f>IFERROR(AGGREGATE(15,6,ROW('Input Transaksi'!$B$5:$B$5000)/('Input Transaksi'!$B$5:$B$5000="GRIYA ANYAR"),ROWS($E$5:E721)),"")</f>
        <v/>
      </c>
      <c r="F721" s="5" t="n"/>
    </row>
    <row r="722">
      <c r="A722" s="10">
        <f>IF($E722="","",INDEX('Input Transaksi'!$A:$A,$E722))</f>
        <v/>
      </c>
      <c r="B722" s="5">
        <f>IF($E722="","",INDEX('Input Transaksi'!$D:$D,$E722))</f>
        <v/>
      </c>
      <c r="C722">
        <f>IF($E722="","",INDEX('Input Transaksi'!$E:$E,$E722))</f>
        <v/>
      </c>
      <c r="D722" s="5">
        <f>IF($E722="","",INDEX('Input Transaksi'!$F:$F,$E722))</f>
        <v/>
      </c>
      <c r="E722">
        <f>IFERROR(AGGREGATE(15,6,ROW('Input Transaksi'!$B$5:$B$5000)/('Input Transaksi'!$B$5:$B$5000="GRIYA ANYAR"),ROWS($E$5:E722)),"")</f>
        <v/>
      </c>
      <c r="F722" s="5" t="n"/>
    </row>
    <row r="723">
      <c r="A723" s="10">
        <f>IF($E723="","",INDEX('Input Transaksi'!$A:$A,$E723))</f>
        <v/>
      </c>
      <c r="B723" s="5">
        <f>IF($E723="","",INDEX('Input Transaksi'!$D:$D,$E723))</f>
        <v/>
      </c>
      <c r="C723">
        <f>IF($E723="","",INDEX('Input Transaksi'!$E:$E,$E723))</f>
        <v/>
      </c>
      <c r="D723" s="5">
        <f>IF($E723="","",INDEX('Input Transaksi'!$F:$F,$E723))</f>
        <v/>
      </c>
      <c r="E723">
        <f>IFERROR(AGGREGATE(15,6,ROW('Input Transaksi'!$B$5:$B$5000)/('Input Transaksi'!$B$5:$B$5000="GRIYA ANYAR"),ROWS($E$5:E723)),"")</f>
        <v/>
      </c>
      <c r="F723" s="5" t="n"/>
    </row>
    <row r="724">
      <c r="A724" s="10">
        <f>IF($E724="","",INDEX('Input Transaksi'!$A:$A,$E724))</f>
        <v/>
      </c>
      <c r="B724" s="5">
        <f>IF($E724="","",INDEX('Input Transaksi'!$D:$D,$E724))</f>
        <v/>
      </c>
      <c r="C724">
        <f>IF($E724="","",INDEX('Input Transaksi'!$E:$E,$E724))</f>
        <v/>
      </c>
      <c r="D724" s="5">
        <f>IF($E724="","",INDEX('Input Transaksi'!$F:$F,$E724))</f>
        <v/>
      </c>
      <c r="E724">
        <f>IFERROR(AGGREGATE(15,6,ROW('Input Transaksi'!$B$5:$B$5000)/('Input Transaksi'!$B$5:$B$5000="GRIYA ANYAR"),ROWS($E$5:E724)),"")</f>
        <v/>
      </c>
      <c r="F724" s="5" t="n"/>
    </row>
    <row r="725">
      <c r="A725" s="10">
        <f>IF($E725="","",INDEX('Input Transaksi'!$A:$A,$E725))</f>
        <v/>
      </c>
      <c r="B725" s="5">
        <f>IF($E725="","",INDEX('Input Transaksi'!$D:$D,$E725))</f>
        <v/>
      </c>
      <c r="C725">
        <f>IF($E725="","",INDEX('Input Transaksi'!$E:$E,$E725))</f>
        <v/>
      </c>
      <c r="D725" s="5">
        <f>IF($E725="","",INDEX('Input Transaksi'!$F:$F,$E725))</f>
        <v/>
      </c>
      <c r="E725">
        <f>IFERROR(AGGREGATE(15,6,ROW('Input Transaksi'!$B$5:$B$5000)/('Input Transaksi'!$B$5:$B$5000="GRIYA ANYAR"),ROWS($E$5:E725)),"")</f>
        <v/>
      </c>
      <c r="F725" s="5" t="n"/>
    </row>
    <row r="726">
      <c r="A726" s="10">
        <f>IF($E726="","",INDEX('Input Transaksi'!$A:$A,$E726))</f>
        <v/>
      </c>
      <c r="B726" s="5">
        <f>IF($E726="","",INDEX('Input Transaksi'!$D:$D,$E726))</f>
        <v/>
      </c>
      <c r="C726">
        <f>IF($E726="","",INDEX('Input Transaksi'!$E:$E,$E726))</f>
        <v/>
      </c>
      <c r="D726" s="5">
        <f>IF($E726="","",INDEX('Input Transaksi'!$F:$F,$E726))</f>
        <v/>
      </c>
      <c r="E726">
        <f>IFERROR(AGGREGATE(15,6,ROW('Input Transaksi'!$B$5:$B$5000)/('Input Transaksi'!$B$5:$B$5000="GRIYA ANYAR"),ROWS($E$5:E726)),"")</f>
        <v/>
      </c>
      <c r="F726" s="5" t="n"/>
    </row>
    <row r="727">
      <c r="A727" s="10">
        <f>IF($E727="","",INDEX('Input Transaksi'!$A:$A,$E727))</f>
        <v/>
      </c>
      <c r="B727" s="5">
        <f>IF($E727="","",INDEX('Input Transaksi'!$D:$D,$E727))</f>
        <v/>
      </c>
      <c r="C727">
        <f>IF($E727="","",INDEX('Input Transaksi'!$E:$E,$E727))</f>
        <v/>
      </c>
      <c r="D727" s="5">
        <f>IF($E727="","",INDEX('Input Transaksi'!$F:$F,$E727))</f>
        <v/>
      </c>
      <c r="E727">
        <f>IFERROR(AGGREGATE(15,6,ROW('Input Transaksi'!$B$5:$B$5000)/('Input Transaksi'!$B$5:$B$5000="GRIYA ANYAR"),ROWS($E$5:E727)),"")</f>
        <v/>
      </c>
      <c r="F727" s="5" t="n"/>
    </row>
    <row r="728">
      <c r="A728" s="10">
        <f>IF($E728="","",INDEX('Input Transaksi'!$A:$A,$E728))</f>
        <v/>
      </c>
      <c r="B728" s="5">
        <f>IF($E728="","",INDEX('Input Transaksi'!$D:$D,$E728))</f>
        <v/>
      </c>
      <c r="C728">
        <f>IF($E728="","",INDEX('Input Transaksi'!$E:$E,$E728))</f>
        <v/>
      </c>
      <c r="D728" s="5">
        <f>IF($E728="","",INDEX('Input Transaksi'!$F:$F,$E728))</f>
        <v/>
      </c>
      <c r="E728">
        <f>IFERROR(AGGREGATE(15,6,ROW('Input Transaksi'!$B$5:$B$5000)/('Input Transaksi'!$B$5:$B$5000="GRIYA ANYAR"),ROWS($E$5:E728)),"")</f>
        <v/>
      </c>
      <c r="F728" s="5" t="n"/>
    </row>
    <row r="729">
      <c r="A729" s="10">
        <f>IF($E729="","",INDEX('Input Transaksi'!$A:$A,$E729))</f>
        <v/>
      </c>
      <c r="B729" s="5">
        <f>IF($E729="","",INDEX('Input Transaksi'!$D:$D,$E729))</f>
        <v/>
      </c>
      <c r="C729">
        <f>IF($E729="","",INDEX('Input Transaksi'!$E:$E,$E729))</f>
        <v/>
      </c>
      <c r="D729" s="5">
        <f>IF($E729="","",INDEX('Input Transaksi'!$F:$F,$E729))</f>
        <v/>
      </c>
      <c r="E729">
        <f>IFERROR(AGGREGATE(15,6,ROW('Input Transaksi'!$B$5:$B$5000)/('Input Transaksi'!$B$5:$B$5000="GRIYA ANYAR"),ROWS($E$5:E729)),"")</f>
        <v/>
      </c>
      <c r="F729" s="5" t="n"/>
    </row>
    <row r="730">
      <c r="A730" s="10">
        <f>IF($E730="","",INDEX('Input Transaksi'!$A:$A,$E730))</f>
        <v/>
      </c>
      <c r="B730" s="5">
        <f>IF($E730="","",INDEX('Input Transaksi'!$D:$D,$E730))</f>
        <v/>
      </c>
      <c r="C730">
        <f>IF($E730="","",INDEX('Input Transaksi'!$E:$E,$E730))</f>
        <v/>
      </c>
      <c r="D730" s="5">
        <f>IF($E730="","",INDEX('Input Transaksi'!$F:$F,$E730))</f>
        <v/>
      </c>
      <c r="E730">
        <f>IFERROR(AGGREGATE(15,6,ROW('Input Transaksi'!$B$5:$B$5000)/('Input Transaksi'!$B$5:$B$5000="GRIYA ANYAR"),ROWS($E$5:E730)),"")</f>
        <v/>
      </c>
      <c r="F730" s="5" t="n"/>
    </row>
    <row r="731">
      <c r="A731" s="10">
        <f>IF($E731="","",INDEX('Input Transaksi'!$A:$A,$E731))</f>
        <v/>
      </c>
      <c r="B731" s="5">
        <f>IF($E731="","",INDEX('Input Transaksi'!$D:$D,$E731))</f>
        <v/>
      </c>
      <c r="C731">
        <f>IF($E731="","",INDEX('Input Transaksi'!$E:$E,$E731))</f>
        <v/>
      </c>
      <c r="D731" s="5">
        <f>IF($E731="","",INDEX('Input Transaksi'!$F:$F,$E731))</f>
        <v/>
      </c>
      <c r="E731">
        <f>IFERROR(AGGREGATE(15,6,ROW('Input Transaksi'!$B$5:$B$5000)/('Input Transaksi'!$B$5:$B$5000="GRIYA ANYAR"),ROWS($E$5:E731)),"")</f>
        <v/>
      </c>
      <c r="F731" s="5" t="n"/>
    </row>
    <row r="732">
      <c r="A732" s="10">
        <f>IF($E732="","",INDEX('Input Transaksi'!$A:$A,$E732))</f>
        <v/>
      </c>
      <c r="B732" s="5">
        <f>IF($E732="","",INDEX('Input Transaksi'!$D:$D,$E732))</f>
        <v/>
      </c>
      <c r="C732">
        <f>IF($E732="","",INDEX('Input Transaksi'!$E:$E,$E732))</f>
        <v/>
      </c>
      <c r="D732" s="5">
        <f>IF($E732="","",INDEX('Input Transaksi'!$F:$F,$E732))</f>
        <v/>
      </c>
      <c r="E732">
        <f>IFERROR(AGGREGATE(15,6,ROW('Input Transaksi'!$B$5:$B$5000)/('Input Transaksi'!$B$5:$B$5000="GRIYA ANYAR"),ROWS($E$5:E732)),"")</f>
        <v/>
      </c>
      <c r="F732" s="5" t="n"/>
    </row>
    <row r="733">
      <c r="A733" s="10">
        <f>IF($E733="","",INDEX('Input Transaksi'!$A:$A,$E733))</f>
        <v/>
      </c>
      <c r="B733" s="5">
        <f>IF($E733="","",INDEX('Input Transaksi'!$D:$D,$E733))</f>
        <v/>
      </c>
      <c r="C733">
        <f>IF($E733="","",INDEX('Input Transaksi'!$E:$E,$E733))</f>
        <v/>
      </c>
      <c r="D733" s="5">
        <f>IF($E733="","",INDEX('Input Transaksi'!$F:$F,$E733))</f>
        <v/>
      </c>
      <c r="E733">
        <f>IFERROR(AGGREGATE(15,6,ROW('Input Transaksi'!$B$5:$B$5000)/('Input Transaksi'!$B$5:$B$5000="GRIYA ANYAR"),ROWS($E$5:E733)),"")</f>
        <v/>
      </c>
      <c r="F733" s="5" t="n"/>
    </row>
    <row r="734">
      <c r="A734" s="10">
        <f>IF($E734="","",INDEX('Input Transaksi'!$A:$A,$E734))</f>
        <v/>
      </c>
      <c r="B734" s="5">
        <f>IF($E734="","",INDEX('Input Transaksi'!$D:$D,$E734))</f>
        <v/>
      </c>
      <c r="C734">
        <f>IF($E734="","",INDEX('Input Transaksi'!$E:$E,$E734))</f>
        <v/>
      </c>
      <c r="D734" s="5">
        <f>IF($E734="","",INDEX('Input Transaksi'!$F:$F,$E734))</f>
        <v/>
      </c>
      <c r="E734">
        <f>IFERROR(AGGREGATE(15,6,ROW('Input Transaksi'!$B$5:$B$5000)/('Input Transaksi'!$B$5:$B$5000="GRIYA ANYAR"),ROWS($E$5:E734)),"")</f>
        <v/>
      </c>
      <c r="F734" s="5" t="n"/>
    </row>
    <row r="735">
      <c r="A735" s="10">
        <f>IF($E735="","",INDEX('Input Transaksi'!$A:$A,$E735))</f>
        <v/>
      </c>
      <c r="B735" s="5">
        <f>IF($E735="","",INDEX('Input Transaksi'!$D:$D,$E735))</f>
        <v/>
      </c>
      <c r="C735">
        <f>IF($E735="","",INDEX('Input Transaksi'!$E:$E,$E735))</f>
        <v/>
      </c>
      <c r="D735" s="5">
        <f>IF($E735="","",INDEX('Input Transaksi'!$F:$F,$E735))</f>
        <v/>
      </c>
      <c r="E735">
        <f>IFERROR(AGGREGATE(15,6,ROW('Input Transaksi'!$B$5:$B$5000)/('Input Transaksi'!$B$5:$B$5000="GRIYA ANYAR"),ROWS($E$5:E735)),"")</f>
        <v/>
      </c>
      <c r="F735" s="5" t="n"/>
    </row>
    <row r="736">
      <c r="A736" s="10">
        <f>IF($E736="","",INDEX('Input Transaksi'!$A:$A,$E736))</f>
        <v/>
      </c>
      <c r="B736" s="5">
        <f>IF($E736="","",INDEX('Input Transaksi'!$D:$D,$E736))</f>
        <v/>
      </c>
      <c r="C736">
        <f>IF($E736="","",INDEX('Input Transaksi'!$E:$E,$E736))</f>
        <v/>
      </c>
      <c r="D736" s="5">
        <f>IF($E736="","",INDEX('Input Transaksi'!$F:$F,$E736))</f>
        <v/>
      </c>
      <c r="E736">
        <f>IFERROR(AGGREGATE(15,6,ROW('Input Transaksi'!$B$5:$B$5000)/('Input Transaksi'!$B$5:$B$5000="GRIYA ANYAR"),ROWS($E$5:E736)),"")</f>
        <v/>
      </c>
      <c r="F736" s="5" t="n"/>
    </row>
    <row r="737">
      <c r="A737" s="10">
        <f>IF($E737="","",INDEX('Input Transaksi'!$A:$A,$E737))</f>
        <v/>
      </c>
      <c r="B737" s="5">
        <f>IF($E737="","",INDEX('Input Transaksi'!$D:$D,$E737))</f>
        <v/>
      </c>
      <c r="C737">
        <f>IF($E737="","",INDEX('Input Transaksi'!$E:$E,$E737))</f>
        <v/>
      </c>
      <c r="D737" s="5">
        <f>IF($E737="","",INDEX('Input Transaksi'!$F:$F,$E737))</f>
        <v/>
      </c>
      <c r="E737">
        <f>IFERROR(AGGREGATE(15,6,ROW('Input Transaksi'!$B$5:$B$5000)/('Input Transaksi'!$B$5:$B$5000="GRIYA ANYAR"),ROWS($E$5:E737)),"")</f>
        <v/>
      </c>
      <c r="F737" s="5" t="n"/>
    </row>
    <row r="738">
      <c r="A738" s="10">
        <f>IF($E738="","",INDEX('Input Transaksi'!$A:$A,$E738))</f>
        <v/>
      </c>
      <c r="B738" s="5">
        <f>IF($E738="","",INDEX('Input Transaksi'!$D:$D,$E738))</f>
        <v/>
      </c>
      <c r="C738">
        <f>IF($E738="","",INDEX('Input Transaksi'!$E:$E,$E738))</f>
        <v/>
      </c>
      <c r="D738" s="5">
        <f>IF($E738="","",INDEX('Input Transaksi'!$F:$F,$E738))</f>
        <v/>
      </c>
      <c r="E738">
        <f>IFERROR(AGGREGATE(15,6,ROW('Input Transaksi'!$B$5:$B$5000)/('Input Transaksi'!$B$5:$B$5000="GRIYA ANYAR"),ROWS($E$5:E738)),"")</f>
        <v/>
      </c>
      <c r="F738" s="5" t="n"/>
    </row>
    <row r="739">
      <c r="A739" s="10">
        <f>IF($E739="","",INDEX('Input Transaksi'!$A:$A,$E739))</f>
        <v/>
      </c>
      <c r="B739" s="5">
        <f>IF($E739="","",INDEX('Input Transaksi'!$D:$D,$E739))</f>
        <v/>
      </c>
      <c r="C739">
        <f>IF($E739="","",INDEX('Input Transaksi'!$E:$E,$E739))</f>
        <v/>
      </c>
      <c r="D739" s="5">
        <f>IF($E739="","",INDEX('Input Transaksi'!$F:$F,$E739))</f>
        <v/>
      </c>
      <c r="E739">
        <f>IFERROR(AGGREGATE(15,6,ROW('Input Transaksi'!$B$5:$B$5000)/('Input Transaksi'!$B$5:$B$5000="GRIYA ANYAR"),ROWS($E$5:E739)),"")</f>
        <v/>
      </c>
      <c r="F739" s="5" t="n"/>
    </row>
    <row r="740">
      <c r="A740" s="10">
        <f>IF($E740="","",INDEX('Input Transaksi'!$A:$A,$E740))</f>
        <v/>
      </c>
      <c r="B740" s="5">
        <f>IF($E740="","",INDEX('Input Transaksi'!$D:$D,$E740))</f>
        <v/>
      </c>
      <c r="C740">
        <f>IF($E740="","",INDEX('Input Transaksi'!$E:$E,$E740))</f>
        <v/>
      </c>
      <c r="D740" s="5">
        <f>IF($E740="","",INDEX('Input Transaksi'!$F:$F,$E740))</f>
        <v/>
      </c>
      <c r="E740">
        <f>IFERROR(AGGREGATE(15,6,ROW('Input Transaksi'!$B$5:$B$5000)/('Input Transaksi'!$B$5:$B$5000="GRIYA ANYAR"),ROWS($E$5:E740)),"")</f>
        <v/>
      </c>
      <c r="F740" s="5" t="n"/>
    </row>
    <row r="741">
      <c r="A741" s="10">
        <f>IF($E741="","",INDEX('Input Transaksi'!$A:$A,$E741))</f>
        <v/>
      </c>
      <c r="B741" s="5">
        <f>IF($E741="","",INDEX('Input Transaksi'!$D:$D,$E741))</f>
        <v/>
      </c>
      <c r="C741">
        <f>IF($E741="","",INDEX('Input Transaksi'!$E:$E,$E741))</f>
        <v/>
      </c>
      <c r="D741" s="5">
        <f>IF($E741="","",INDEX('Input Transaksi'!$F:$F,$E741))</f>
        <v/>
      </c>
      <c r="E741">
        <f>IFERROR(AGGREGATE(15,6,ROW('Input Transaksi'!$B$5:$B$5000)/('Input Transaksi'!$B$5:$B$5000="GRIYA ANYAR"),ROWS($E$5:E741)),"")</f>
        <v/>
      </c>
      <c r="F741" s="5" t="n"/>
    </row>
    <row r="742">
      <c r="A742" s="10">
        <f>IF($E742="","",INDEX('Input Transaksi'!$A:$A,$E742))</f>
        <v/>
      </c>
      <c r="B742" s="5">
        <f>IF($E742="","",INDEX('Input Transaksi'!$D:$D,$E742))</f>
        <v/>
      </c>
      <c r="C742">
        <f>IF($E742="","",INDEX('Input Transaksi'!$E:$E,$E742))</f>
        <v/>
      </c>
      <c r="D742" s="5">
        <f>IF($E742="","",INDEX('Input Transaksi'!$F:$F,$E742))</f>
        <v/>
      </c>
      <c r="E742">
        <f>IFERROR(AGGREGATE(15,6,ROW('Input Transaksi'!$B$5:$B$5000)/('Input Transaksi'!$B$5:$B$5000="GRIYA ANYAR"),ROWS($E$5:E742)),"")</f>
        <v/>
      </c>
      <c r="F742" s="5" t="n"/>
    </row>
    <row r="743">
      <c r="A743" s="10">
        <f>IF($E743="","",INDEX('Input Transaksi'!$A:$A,$E743))</f>
        <v/>
      </c>
      <c r="B743" s="5">
        <f>IF($E743="","",INDEX('Input Transaksi'!$D:$D,$E743))</f>
        <v/>
      </c>
      <c r="C743">
        <f>IF($E743="","",INDEX('Input Transaksi'!$E:$E,$E743))</f>
        <v/>
      </c>
      <c r="D743" s="5">
        <f>IF($E743="","",INDEX('Input Transaksi'!$F:$F,$E743))</f>
        <v/>
      </c>
      <c r="E743">
        <f>IFERROR(AGGREGATE(15,6,ROW('Input Transaksi'!$B$5:$B$5000)/('Input Transaksi'!$B$5:$B$5000="GRIYA ANYAR"),ROWS($E$5:E743)),"")</f>
        <v/>
      </c>
      <c r="F743" s="5" t="n"/>
    </row>
    <row r="744">
      <c r="A744" s="10">
        <f>IF($E744="","",INDEX('Input Transaksi'!$A:$A,$E744))</f>
        <v/>
      </c>
      <c r="B744" s="5">
        <f>IF($E744="","",INDEX('Input Transaksi'!$D:$D,$E744))</f>
        <v/>
      </c>
      <c r="C744">
        <f>IF($E744="","",INDEX('Input Transaksi'!$E:$E,$E744))</f>
        <v/>
      </c>
      <c r="D744" s="5">
        <f>IF($E744="","",INDEX('Input Transaksi'!$F:$F,$E744))</f>
        <v/>
      </c>
      <c r="E744">
        <f>IFERROR(AGGREGATE(15,6,ROW('Input Transaksi'!$B$5:$B$5000)/('Input Transaksi'!$B$5:$B$5000="GRIYA ANYAR"),ROWS($E$5:E744)),"")</f>
        <v/>
      </c>
      <c r="F744" s="5" t="n"/>
    </row>
    <row r="745">
      <c r="A745" s="10">
        <f>IF($E745="","",INDEX('Input Transaksi'!$A:$A,$E745))</f>
        <v/>
      </c>
      <c r="B745" s="5">
        <f>IF($E745="","",INDEX('Input Transaksi'!$D:$D,$E745))</f>
        <v/>
      </c>
      <c r="C745">
        <f>IF($E745="","",INDEX('Input Transaksi'!$E:$E,$E745))</f>
        <v/>
      </c>
      <c r="D745" s="5">
        <f>IF($E745="","",INDEX('Input Transaksi'!$F:$F,$E745))</f>
        <v/>
      </c>
      <c r="E745">
        <f>IFERROR(AGGREGATE(15,6,ROW('Input Transaksi'!$B$5:$B$5000)/('Input Transaksi'!$B$5:$B$5000="GRIYA ANYAR"),ROWS($E$5:E745)),"")</f>
        <v/>
      </c>
      <c r="F745" s="5" t="n"/>
    </row>
    <row r="746">
      <c r="A746" s="10">
        <f>IF($E746="","",INDEX('Input Transaksi'!$A:$A,$E746))</f>
        <v/>
      </c>
      <c r="B746" s="5">
        <f>IF($E746="","",INDEX('Input Transaksi'!$D:$D,$E746))</f>
        <v/>
      </c>
      <c r="C746">
        <f>IF($E746="","",INDEX('Input Transaksi'!$E:$E,$E746))</f>
        <v/>
      </c>
      <c r="D746" s="5">
        <f>IF($E746="","",INDEX('Input Transaksi'!$F:$F,$E746))</f>
        <v/>
      </c>
      <c r="E746">
        <f>IFERROR(AGGREGATE(15,6,ROW('Input Transaksi'!$B$5:$B$5000)/('Input Transaksi'!$B$5:$B$5000="GRIYA ANYAR"),ROWS($E$5:E746)),"")</f>
        <v/>
      </c>
      <c r="F746" s="5" t="n"/>
    </row>
    <row r="747">
      <c r="A747" s="10">
        <f>IF($E747="","",INDEX('Input Transaksi'!$A:$A,$E747))</f>
        <v/>
      </c>
      <c r="B747" s="5">
        <f>IF($E747="","",INDEX('Input Transaksi'!$D:$D,$E747))</f>
        <v/>
      </c>
      <c r="C747">
        <f>IF($E747="","",INDEX('Input Transaksi'!$E:$E,$E747))</f>
        <v/>
      </c>
      <c r="D747" s="5">
        <f>IF($E747="","",INDEX('Input Transaksi'!$F:$F,$E747))</f>
        <v/>
      </c>
      <c r="E747">
        <f>IFERROR(AGGREGATE(15,6,ROW('Input Transaksi'!$B$5:$B$5000)/('Input Transaksi'!$B$5:$B$5000="GRIYA ANYAR"),ROWS($E$5:E747)),"")</f>
        <v/>
      </c>
      <c r="F747" s="5" t="n"/>
    </row>
    <row r="748">
      <c r="A748" s="10">
        <f>IF($E748="","",INDEX('Input Transaksi'!$A:$A,$E748))</f>
        <v/>
      </c>
      <c r="B748" s="5">
        <f>IF($E748="","",INDEX('Input Transaksi'!$D:$D,$E748))</f>
        <v/>
      </c>
      <c r="C748">
        <f>IF($E748="","",INDEX('Input Transaksi'!$E:$E,$E748))</f>
        <v/>
      </c>
      <c r="D748" s="5">
        <f>IF($E748="","",INDEX('Input Transaksi'!$F:$F,$E748))</f>
        <v/>
      </c>
      <c r="E748">
        <f>IFERROR(AGGREGATE(15,6,ROW('Input Transaksi'!$B$5:$B$5000)/('Input Transaksi'!$B$5:$B$5000="GRIYA ANYAR"),ROWS($E$5:E748)),"")</f>
        <v/>
      </c>
      <c r="F748" s="5" t="n"/>
    </row>
    <row r="749">
      <c r="A749" s="10">
        <f>IF($E749="","",INDEX('Input Transaksi'!$A:$A,$E749))</f>
        <v/>
      </c>
      <c r="B749" s="5">
        <f>IF($E749="","",INDEX('Input Transaksi'!$D:$D,$E749))</f>
        <v/>
      </c>
      <c r="C749">
        <f>IF($E749="","",INDEX('Input Transaksi'!$E:$E,$E749))</f>
        <v/>
      </c>
      <c r="D749" s="5">
        <f>IF($E749="","",INDEX('Input Transaksi'!$F:$F,$E749))</f>
        <v/>
      </c>
      <c r="E749">
        <f>IFERROR(AGGREGATE(15,6,ROW('Input Transaksi'!$B$5:$B$5000)/('Input Transaksi'!$B$5:$B$5000="GRIYA ANYAR"),ROWS($E$5:E749)),"")</f>
        <v/>
      </c>
      <c r="F749" s="5" t="n"/>
    </row>
    <row r="750">
      <c r="A750" s="10">
        <f>IF($E750="","",INDEX('Input Transaksi'!$A:$A,$E750))</f>
        <v/>
      </c>
      <c r="B750" s="5">
        <f>IF($E750="","",INDEX('Input Transaksi'!$D:$D,$E750))</f>
        <v/>
      </c>
      <c r="C750">
        <f>IF($E750="","",INDEX('Input Transaksi'!$E:$E,$E750))</f>
        <v/>
      </c>
      <c r="D750" s="5">
        <f>IF($E750="","",INDEX('Input Transaksi'!$F:$F,$E750))</f>
        <v/>
      </c>
      <c r="E750">
        <f>IFERROR(AGGREGATE(15,6,ROW('Input Transaksi'!$B$5:$B$5000)/('Input Transaksi'!$B$5:$B$5000="GRIYA ANYAR"),ROWS($E$5:E750)),"")</f>
        <v/>
      </c>
      <c r="F750" s="5" t="n"/>
    </row>
    <row r="751">
      <c r="A751" s="10">
        <f>IF($E751="","",INDEX('Input Transaksi'!$A:$A,$E751))</f>
        <v/>
      </c>
      <c r="B751" s="5">
        <f>IF($E751="","",INDEX('Input Transaksi'!$D:$D,$E751))</f>
        <v/>
      </c>
      <c r="C751">
        <f>IF($E751="","",INDEX('Input Transaksi'!$E:$E,$E751))</f>
        <v/>
      </c>
      <c r="D751" s="5">
        <f>IF($E751="","",INDEX('Input Transaksi'!$F:$F,$E751))</f>
        <v/>
      </c>
      <c r="E751">
        <f>IFERROR(AGGREGATE(15,6,ROW('Input Transaksi'!$B$5:$B$5000)/('Input Transaksi'!$B$5:$B$5000="GRIYA ANYAR"),ROWS($E$5:E751)),"")</f>
        <v/>
      </c>
      <c r="F751" s="5" t="n"/>
    </row>
    <row r="752">
      <c r="A752" s="10">
        <f>IF($E752="","",INDEX('Input Transaksi'!$A:$A,$E752))</f>
        <v/>
      </c>
      <c r="B752" s="5">
        <f>IF($E752="","",INDEX('Input Transaksi'!$D:$D,$E752))</f>
        <v/>
      </c>
      <c r="C752">
        <f>IF($E752="","",INDEX('Input Transaksi'!$E:$E,$E752))</f>
        <v/>
      </c>
      <c r="D752" s="5">
        <f>IF($E752="","",INDEX('Input Transaksi'!$F:$F,$E752))</f>
        <v/>
      </c>
      <c r="E752">
        <f>IFERROR(AGGREGATE(15,6,ROW('Input Transaksi'!$B$5:$B$5000)/('Input Transaksi'!$B$5:$B$5000="GRIYA ANYAR"),ROWS($E$5:E752)),"")</f>
        <v/>
      </c>
      <c r="F752" s="5" t="n"/>
    </row>
    <row r="753">
      <c r="A753" s="10">
        <f>IF($E753="","",INDEX('Input Transaksi'!$A:$A,$E753))</f>
        <v/>
      </c>
      <c r="B753" s="5">
        <f>IF($E753="","",INDEX('Input Transaksi'!$D:$D,$E753))</f>
        <v/>
      </c>
      <c r="C753">
        <f>IF($E753="","",INDEX('Input Transaksi'!$E:$E,$E753))</f>
        <v/>
      </c>
      <c r="D753" s="5">
        <f>IF($E753="","",INDEX('Input Transaksi'!$F:$F,$E753))</f>
        <v/>
      </c>
      <c r="E753">
        <f>IFERROR(AGGREGATE(15,6,ROW('Input Transaksi'!$B$5:$B$5000)/('Input Transaksi'!$B$5:$B$5000="GRIYA ANYAR"),ROWS($E$5:E753)),"")</f>
        <v/>
      </c>
      <c r="F753" s="5" t="n"/>
    </row>
    <row r="754">
      <c r="A754" s="10">
        <f>IF($E754="","",INDEX('Input Transaksi'!$A:$A,$E754))</f>
        <v/>
      </c>
      <c r="B754" s="5">
        <f>IF($E754="","",INDEX('Input Transaksi'!$D:$D,$E754))</f>
        <v/>
      </c>
      <c r="C754">
        <f>IF($E754="","",INDEX('Input Transaksi'!$E:$E,$E754))</f>
        <v/>
      </c>
      <c r="D754" s="5">
        <f>IF($E754="","",INDEX('Input Transaksi'!$F:$F,$E754))</f>
        <v/>
      </c>
      <c r="E754">
        <f>IFERROR(AGGREGATE(15,6,ROW('Input Transaksi'!$B$5:$B$5000)/('Input Transaksi'!$B$5:$B$5000="GRIYA ANYAR"),ROWS($E$5:E754)),"")</f>
        <v/>
      </c>
      <c r="F754" s="5" t="n"/>
    </row>
    <row r="755">
      <c r="A755" s="10">
        <f>IF($E755="","",INDEX('Input Transaksi'!$A:$A,$E755))</f>
        <v/>
      </c>
      <c r="B755" s="5">
        <f>IF($E755="","",INDEX('Input Transaksi'!$D:$D,$E755))</f>
        <v/>
      </c>
      <c r="C755">
        <f>IF($E755="","",INDEX('Input Transaksi'!$E:$E,$E755))</f>
        <v/>
      </c>
      <c r="D755" s="5">
        <f>IF($E755="","",INDEX('Input Transaksi'!$F:$F,$E755))</f>
        <v/>
      </c>
      <c r="E755">
        <f>IFERROR(AGGREGATE(15,6,ROW('Input Transaksi'!$B$5:$B$5000)/('Input Transaksi'!$B$5:$B$5000="GRIYA ANYAR"),ROWS($E$5:E755)),"")</f>
        <v/>
      </c>
      <c r="F755" s="5" t="n"/>
    </row>
    <row r="756">
      <c r="A756" s="10">
        <f>IF($E756="","",INDEX('Input Transaksi'!$A:$A,$E756))</f>
        <v/>
      </c>
      <c r="B756" s="5">
        <f>IF($E756="","",INDEX('Input Transaksi'!$D:$D,$E756))</f>
        <v/>
      </c>
      <c r="C756">
        <f>IF($E756="","",INDEX('Input Transaksi'!$E:$E,$E756))</f>
        <v/>
      </c>
      <c r="D756" s="5">
        <f>IF($E756="","",INDEX('Input Transaksi'!$F:$F,$E756))</f>
        <v/>
      </c>
      <c r="E756">
        <f>IFERROR(AGGREGATE(15,6,ROW('Input Transaksi'!$B$5:$B$5000)/('Input Transaksi'!$B$5:$B$5000="GRIYA ANYAR"),ROWS($E$5:E756)),"")</f>
        <v/>
      </c>
      <c r="F756" s="5" t="n"/>
    </row>
    <row r="757">
      <c r="A757" s="10">
        <f>IF($E757="","",INDEX('Input Transaksi'!$A:$A,$E757))</f>
        <v/>
      </c>
      <c r="B757" s="5">
        <f>IF($E757="","",INDEX('Input Transaksi'!$D:$D,$E757))</f>
        <v/>
      </c>
      <c r="C757">
        <f>IF($E757="","",INDEX('Input Transaksi'!$E:$E,$E757))</f>
        <v/>
      </c>
      <c r="D757" s="5">
        <f>IF($E757="","",INDEX('Input Transaksi'!$F:$F,$E757))</f>
        <v/>
      </c>
      <c r="E757">
        <f>IFERROR(AGGREGATE(15,6,ROW('Input Transaksi'!$B$5:$B$5000)/('Input Transaksi'!$B$5:$B$5000="GRIYA ANYAR"),ROWS($E$5:E757)),"")</f>
        <v/>
      </c>
      <c r="F757" s="5" t="n"/>
    </row>
    <row r="758">
      <c r="A758" s="10">
        <f>IF($E758="","",INDEX('Input Transaksi'!$A:$A,$E758))</f>
        <v/>
      </c>
      <c r="B758" s="5">
        <f>IF($E758="","",INDEX('Input Transaksi'!$D:$D,$E758))</f>
        <v/>
      </c>
      <c r="C758">
        <f>IF($E758="","",INDEX('Input Transaksi'!$E:$E,$E758))</f>
        <v/>
      </c>
      <c r="D758" s="5">
        <f>IF($E758="","",INDEX('Input Transaksi'!$F:$F,$E758))</f>
        <v/>
      </c>
      <c r="E758">
        <f>IFERROR(AGGREGATE(15,6,ROW('Input Transaksi'!$B$5:$B$5000)/('Input Transaksi'!$B$5:$B$5000="GRIYA ANYAR"),ROWS($E$5:E758)),"")</f>
        <v/>
      </c>
      <c r="F758" s="5" t="n"/>
    </row>
    <row r="759">
      <c r="A759" s="10">
        <f>IF($E759="","",INDEX('Input Transaksi'!$A:$A,$E759))</f>
        <v/>
      </c>
      <c r="B759" s="5">
        <f>IF($E759="","",INDEX('Input Transaksi'!$D:$D,$E759))</f>
        <v/>
      </c>
      <c r="C759">
        <f>IF($E759="","",INDEX('Input Transaksi'!$E:$E,$E759))</f>
        <v/>
      </c>
      <c r="D759" s="5">
        <f>IF($E759="","",INDEX('Input Transaksi'!$F:$F,$E759))</f>
        <v/>
      </c>
      <c r="E759">
        <f>IFERROR(AGGREGATE(15,6,ROW('Input Transaksi'!$B$5:$B$5000)/('Input Transaksi'!$B$5:$B$5000="GRIYA ANYAR"),ROWS($E$5:E759)),"")</f>
        <v/>
      </c>
      <c r="F759" s="5" t="n"/>
    </row>
    <row r="760">
      <c r="A760" s="10">
        <f>IF($E760="","",INDEX('Input Transaksi'!$A:$A,$E760))</f>
        <v/>
      </c>
      <c r="B760" s="5">
        <f>IF($E760="","",INDEX('Input Transaksi'!$D:$D,$E760))</f>
        <v/>
      </c>
      <c r="C760">
        <f>IF($E760="","",INDEX('Input Transaksi'!$E:$E,$E760))</f>
        <v/>
      </c>
      <c r="D760" s="5">
        <f>IF($E760="","",INDEX('Input Transaksi'!$F:$F,$E760))</f>
        <v/>
      </c>
      <c r="E760">
        <f>IFERROR(AGGREGATE(15,6,ROW('Input Transaksi'!$B$5:$B$5000)/('Input Transaksi'!$B$5:$B$5000="GRIYA ANYAR"),ROWS($E$5:E760)),"")</f>
        <v/>
      </c>
      <c r="F760" s="5" t="n"/>
    </row>
    <row r="761">
      <c r="A761" s="10">
        <f>IF($E761="","",INDEX('Input Transaksi'!$A:$A,$E761))</f>
        <v/>
      </c>
      <c r="B761" s="5">
        <f>IF($E761="","",INDEX('Input Transaksi'!$D:$D,$E761))</f>
        <v/>
      </c>
      <c r="C761">
        <f>IF($E761="","",INDEX('Input Transaksi'!$E:$E,$E761))</f>
        <v/>
      </c>
      <c r="D761" s="5">
        <f>IF($E761="","",INDEX('Input Transaksi'!$F:$F,$E761))</f>
        <v/>
      </c>
      <c r="E761">
        <f>IFERROR(AGGREGATE(15,6,ROW('Input Transaksi'!$B$5:$B$5000)/('Input Transaksi'!$B$5:$B$5000="GRIYA ANYAR"),ROWS($E$5:E761)),"")</f>
        <v/>
      </c>
      <c r="F761" s="5" t="n"/>
    </row>
    <row r="762">
      <c r="A762" s="10">
        <f>IF($E762="","",INDEX('Input Transaksi'!$A:$A,$E762))</f>
        <v/>
      </c>
      <c r="B762" s="5">
        <f>IF($E762="","",INDEX('Input Transaksi'!$D:$D,$E762))</f>
        <v/>
      </c>
      <c r="C762">
        <f>IF($E762="","",INDEX('Input Transaksi'!$E:$E,$E762))</f>
        <v/>
      </c>
      <c r="D762" s="5">
        <f>IF($E762="","",INDEX('Input Transaksi'!$F:$F,$E762))</f>
        <v/>
      </c>
      <c r="E762">
        <f>IFERROR(AGGREGATE(15,6,ROW('Input Transaksi'!$B$5:$B$5000)/('Input Transaksi'!$B$5:$B$5000="GRIYA ANYAR"),ROWS($E$5:E762)),"")</f>
        <v/>
      </c>
      <c r="F762" s="5" t="n"/>
    </row>
    <row r="763">
      <c r="A763" s="10">
        <f>IF($E763="","",INDEX('Input Transaksi'!$A:$A,$E763))</f>
        <v/>
      </c>
      <c r="B763" s="5">
        <f>IF($E763="","",INDEX('Input Transaksi'!$D:$D,$E763))</f>
        <v/>
      </c>
      <c r="C763">
        <f>IF($E763="","",INDEX('Input Transaksi'!$E:$E,$E763))</f>
        <v/>
      </c>
      <c r="D763" s="5">
        <f>IF($E763="","",INDEX('Input Transaksi'!$F:$F,$E763))</f>
        <v/>
      </c>
      <c r="E763">
        <f>IFERROR(AGGREGATE(15,6,ROW('Input Transaksi'!$B$5:$B$5000)/('Input Transaksi'!$B$5:$B$5000="GRIYA ANYAR"),ROWS($E$5:E763)),"")</f>
        <v/>
      </c>
      <c r="F763" s="5" t="n"/>
    </row>
    <row r="764">
      <c r="A764" s="10">
        <f>IF($E764="","",INDEX('Input Transaksi'!$A:$A,$E764))</f>
        <v/>
      </c>
      <c r="B764" s="5">
        <f>IF($E764="","",INDEX('Input Transaksi'!$D:$D,$E764))</f>
        <v/>
      </c>
      <c r="C764">
        <f>IF($E764="","",INDEX('Input Transaksi'!$E:$E,$E764))</f>
        <v/>
      </c>
      <c r="D764" s="5">
        <f>IF($E764="","",INDEX('Input Transaksi'!$F:$F,$E764))</f>
        <v/>
      </c>
      <c r="E764">
        <f>IFERROR(AGGREGATE(15,6,ROW('Input Transaksi'!$B$5:$B$5000)/('Input Transaksi'!$B$5:$B$5000="GRIYA ANYAR"),ROWS($E$5:E764)),"")</f>
        <v/>
      </c>
      <c r="F764" s="5" t="n"/>
    </row>
    <row r="765">
      <c r="A765" s="10">
        <f>IF($E765="","",INDEX('Input Transaksi'!$A:$A,$E765))</f>
        <v/>
      </c>
      <c r="B765" s="5">
        <f>IF($E765="","",INDEX('Input Transaksi'!$D:$D,$E765))</f>
        <v/>
      </c>
      <c r="C765">
        <f>IF($E765="","",INDEX('Input Transaksi'!$E:$E,$E765))</f>
        <v/>
      </c>
      <c r="D765" s="5">
        <f>IF($E765="","",INDEX('Input Transaksi'!$F:$F,$E765))</f>
        <v/>
      </c>
      <c r="E765">
        <f>IFERROR(AGGREGATE(15,6,ROW('Input Transaksi'!$B$5:$B$5000)/('Input Transaksi'!$B$5:$B$5000="GRIYA ANYAR"),ROWS($E$5:E765)),"")</f>
        <v/>
      </c>
      <c r="F765" s="5" t="n"/>
    </row>
    <row r="766">
      <c r="A766" s="10">
        <f>IF($E766="","",INDEX('Input Transaksi'!$A:$A,$E766))</f>
        <v/>
      </c>
      <c r="B766" s="5">
        <f>IF($E766="","",INDEX('Input Transaksi'!$D:$D,$E766))</f>
        <v/>
      </c>
      <c r="C766">
        <f>IF($E766="","",INDEX('Input Transaksi'!$E:$E,$E766))</f>
        <v/>
      </c>
      <c r="D766" s="5">
        <f>IF($E766="","",INDEX('Input Transaksi'!$F:$F,$E766))</f>
        <v/>
      </c>
      <c r="E766">
        <f>IFERROR(AGGREGATE(15,6,ROW('Input Transaksi'!$B$5:$B$5000)/('Input Transaksi'!$B$5:$B$5000="GRIYA ANYAR"),ROWS($E$5:E766)),"")</f>
        <v/>
      </c>
      <c r="F766" s="5" t="n"/>
    </row>
    <row r="767">
      <c r="A767" s="10">
        <f>IF($E767="","",INDEX('Input Transaksi'!$A:$A,$E767))</f>
        <v/>
      </c>
      <c r="B767" s="5">
        <f>IF($E767="","",INDEX('Input Transaksi'!$D:$D,$E767))</f>
        <v/>
      </c>
      <c r="C767">
        <f>IF($E767="","",INDEX('Input Transaksi'!$E:$E,$E767))</f>
        <v/>
      </c>
      <c r="D767" s="5">
        <f>IF($E767="","",INDEX('Input Transaksi'!$F:$F,$E767))</f>
        <v/>
      </c>
      <c r="E767">
        <f>IFERROR(AGGREGATE(15,6,ROW('Input Transaksi'!$B$5:$B$5000)/('Input Transaksi'!$B$5:$B$5000="GRIYA ANYAR"),ROWS($E$5:E767)),"")</f>
        <v/>
      </c>
      <c r="F767" s="5" t="n"/>
    </row>
    <row r="768">
      <c r="A768" s="10">
        <f>IF($E768="","",INDEX('Input Transaksi'!$A:$A,$E768))</f>
        <v/>
      </c>
      <c r="B768" s="5">
        <f>IF($E768="","",INDEX('Input Transaksi'!$D:$D,$E768))</f>
        <v/>
      </c>
      <c r="C768">
        <f>IF($E768="","",INDEX('Input Transaksi'!$E:$E,$E768))</f>
        <v/>
      </c>
      <c r="D768" s="5">
        <f>IF($E768="","",INDEX('Input Transaksi'!$F:$F,$E768))</f>
        <v/>
      </c>
      <c r="E768">
        <f>IFERROR(AGGREGATE(15,6,ROW('Input Transaksi'!$B$5:$B$5000)/('Input Transaksi'!$B$5:$B$5000="GRIYA ANYAR"),ROWS($E$5:E768)),"")</f>
        <v/>
      </c>
      <c r="F768" s="5" t="n"/>
    </row>
    <row r="769">
      <c r="A769" s="10">
        <f>IF($E769="","",INDEX('Input Transaksi'!$A:$A,$E769))</f>
        <v/>
      </c>
      <c r="B769" s="5">
        <f>IF($E769="","",INDEX('Input Transaksi'!$D:$D,$E769))</f>
        <v/>
      </c>
      <c r="C769">
        <f>IF($E769="","",INDEX('Input Transaksi'!$E:$E,$E769))</f>
        <v/>
      </c>
      <c r="D769" s="5">
        <f>IF($E769="","",INDEX('Input Transaksi'!$F:$F,$E769))</f>
        <v/>
      </c>
      <c r="E769">
        <f>IFERROR(AGGREGATE(15,6,ROW('Input Transaksi'!$B$5:$B$5000)/('Input Transaksi'!$B$5:$B$5000="GRIYA ANYAR"),ROWS($E$5:E769)),"")</f>
        <v/>
      </c>
      <c r="F769" s="5" t="n"/>
    </row>
    <row r="770">
      <c r="A770" s="10">
        <f>IF($E770="","",INDEX('Input Transaksi'!$A:$A,$E770))</f>
        <v/>
      </c>
      <c r="B770" s="5">
        <f>IF($E770="","",INDEX('Input Transaksi'!$D:$D,$E770))</f>
        <v/>
      </c>
      <c r="C770">
        <f>IF($E770="","",INDEX('Input Transaksi'!$E:$E,$E770))</f>
        <v/>
      </c>
      <c r="D770" s="5">
        <f>IF($E770="","",INDEX('Input Transaksi'!$F:$F,$E770))</f>
        <v/>
      </c>
      <c r="E770">
        <f>IFERROR(AGGREGATE(15,6,ROW('Input Transaksi'!$B$5:$B$5000)/('Input Transaksi'!$B$5:$B$5000="GRIYA ANYAR"),ROWS($E$5:E770)),"")</f>
        <v/>
      </c>
      <c r="F770" s="5" t="n"/>
    </row>
    <row r="771">
      <c r="A771" s="10">
        <f>IF($E771="","",INDEX('Input Transaksi'!$A:$A,$E771))</f>
        <v/>
      </c>
      <c r="B771" s="5">
        <f>IF($E771="","",INDEX('Input Transaksi'!$D:$D,$E771))</f>
        <v/>
      </c>
      <c r="C771">
        <f>IF($E771="","",INDEX('Input Transaksi'!$E:$E,$E771))</f>
        <v/>
      </c>
      <c r="D771" s="5">
        <f>IF($E771="","",INDEX('Input Transaksi'!$F:$F,$E771))</f>
        <v/>
      </c>
      <c r="E771">
        <f>IFERROR(AGGREGATE(15,6,ROW('Input Transaksi'!$B$5:$B$5000)/('Input Transaksi'!$B$5:$B$5000="GRIYA ANYAR"),ROWS($E$5:E771)),"")</f>
        <v/>
      </c>
      <c r="F771" s="5" t="n"/>
    </row>
    <row r="772">
      <c r="A772" s="10">
        <f>IF($E772="","",INDEX('Input Transaksi'!$A:$A,$E772))</f>
        <v/>
      </c>
      <c r="B772" s="5">
        <f>IF($E772="","",INDEX('Input Transaksi'!$D:$D,$E772))</f>
        <v/>
      </c>
      <c r="C772">
        <f>IF($E772="","",INDEX('Input Transaksi'!$E:$E,$E772))</f>
        <v/>
      </c>
      <c r="D772" s="5">
        <f>IF($E772="","",INDEX('Input Transaksi'!$F:$F,$E772))</f>
        <v/>
      </c>
      <c r="E772">
        <f>IFERROR(AGGREGATE(15,6,ROW('Input Transaksi'!$B$5:$B$5000)/('Input Transaksi'!$B$5:$B$5000="GRIYA ANYAR"),ROWS($E$5:E772)),"")</f>
        <v/>
      </c>
      <c r="F772" s="5" t="n"/>
    </row>
    <row r="773">
      <c r="A773" s="10">
        <f>IF($E773="","",INDEX('Input Transaksi'!$A:$A,$E773))</f>
        <v/>
      </c>
      <c r="B773" s="5">
        <f>IF($E773="","",INDEX('Input Transaksi'!$D:$D,$E773))</f>
        <v/>
      </c>
      <c r="C773">
        <f>IF($E773="","",INDEX('Input Transaksi'!$E:$E,$E773))</f>
        <v/>
      </c>
      <c r="D773" s="5">
        <f>IF($E773="","",INDEX('Input Transaksi'!$F:$F,$E773))</f>
        <v/>
      </c>
      <c r="E773">
        <f>IFERROR(AGGREGATE(15,6,ROW('Input Transaksi'!$B$5:$B$5000)/('Input Transaksi'!$B$5:$B$5000="GRIYA ANYAR"),ROWS($E$5:E773)),"")</f>
        <v/>
      </c>
      <c r="F773" s="5" t="n"/>
    </row>
    <row r="774">
      <c r="A774" s="10">
        <f>IF($E774="","",INDEX('Input Transaksi'!$A:$A,$E774))</f>
        <v/>
      </c>
      <c r="B774" s="5">
        <f>IF($E774="","",INDEX('Input Transaksi'!$D:$D,$E774))</f>
        <v/>
      </c>
      <c r="C774">
        <f>IF($E774="","",INDEX('Input Transaksi'!$E:$E,$E774))</f>
        <v/>
      </c>
      <c r="D774" s="5">
        <f>IF($E774="","",INDEX('Input Transaksi'!$F:$F,$E774))</f>
        <v/>
      </c>
      <c r="E774">
        <f>IFERROR(AGGREGATE(15,6,ROW('Input Transaksi'!$B$5:$B$5000)/('Input Transaksi'!$B$5:$B$5000="GRIYA ANYAR"),ROWS($E$5:E774)),"")</f>
        <v/>
      </c>
      <c r="F774" s="5" t="n"/>
    </row>
    <row r="775">
      <c r="A775" s="10">
        <f>IF($E775="","",INDEX('Input Transaksi'!$A:$A,$E775))</f>
        <v/>
      </c>
      <c r="B775" s="5">
        <f>IF($E775="","",INDEX('Input Transaksi'!$D:$D,$E775))</f>
        <v/>
      </c>
      <c r="C775">
        <f>IF($E775="","",INDEX('Input Transaksi'!$E:$E,$E775))</f>
        <v/>
      </c>
      <c r="D775" s="5">
        <f>IF($E775="","",INDEX('Input Transaksi'!$F:$F,$E775))</f>
        <v/>
      </c>
      <c r="E775">
        <f>IFERROR(AGGREGATE(15,6,ROW('Input Transaksi'!$B$5:$B$5000)/('Input Transaksi'!$B$5:$B$5000="GRIYA ANYAR"),ROWS($E$5:E775)),"")</f>
        <v/>
      </c>
      <c r="F775" s="5" t="n"/>
    </row>
    <row r="776">
      <c r="A776" s="10">
        <f>IF($E776="","",INDEX('Input Transaksi'!$A:$A,$E776))</f>
        <v/>
      </c>
      <c r="B776" s="5">
        <f>IF($E776="","",INDEX('Input Transaksi'!$D:$D,$E776))</f>
        <v/>
      </c>
      <c r="C776">
        <f>IF($E776="","",INDEX('Input Transaksi'!$E:$E,$E776))</f>
        <v/>
      </c>
      <c r="D776" s="5">
        <f>IF($E776="","",INDEX('Input Transaksi'!$F:$F,$E776))</f>
        <v/>
      </c>
      <c r="E776">
        <f>IFERROR(AGGREGATE(15,6,ROW('Input Transaksi'!$B$5:$B$5000)/('Input Transaksi'!$B$5:$B$5000="GRIYA ANYAR"),ROWS($E$5:E776)),"")</f>
        <v/>
      </c>
      <c r="F776" s="5" t="n"/>
    </row>
    <row r="777">
      <c r="A777" s="10">
        <f>IF($E777="","",INDEX('Input Transaksi'!$A:$A,$E777))</f>
        <v/>
      </c>
      <c r="B777" s="5">
        <f>IF($E777="","",INDEX('Input Transaksi'!$D:$D,$E777))</f>
        <v/>
      </c>
      <c r="C777">
        <f>IF($E777="","",INDEX('Input Transaksi'!$E:$E,$E777))</f>
        <v/>
      </c>
      <c r="D777" s="5">
        <f>IF($E777="","",INDEX('Input Transaksi'!$F:$F,$E777))</f>
        <v/>
      </c>
      <c r="E777">
        <f>IFERROR(AGGREGATE(15,6,ROW('Input Transaksi'!$B$5:$B$5000)/('Input Transaksi'!$B$5:$B$5000="GRIYA ANYAR"),ROWS($E$5:E777)),"")</f>
        <v/>
      </c>
      <c r="F777" s="5" t="n"/>
    </row>
    <row r="778">
      <c r="A778" s="10">
        <f>IF($E778="","",INDEX('Input Transaksi'!$A:$A,$E778))</f>
        <v/>
      </c>
      <c r="B778" s="5">
        <f>IF($E778="","",INDEX('Input Transaksi'!$D:$D,$E778))</f>
        <v/>
      </c>
      <c r="C778">
        <f>IF($E778="","",INDEX('Input Transaksi'!$E:$E,$E778))</f>
        <v/>
      </c>
      <c r="D778" s="5">
        <f>IF($E778="","",INDEX('Input Transaksi'!$F:$F,$E778))</f>
        <v/>
      </c>
      <c r="E778">
        <f>IFERROR(AGGREGATE(15,6,ROW('Input Transaksi'!$B$5:$B$5000)/('Input Transaksi'!$B$5:$B$5000="GRIYA ANYAR"),ROWS($E$5:E778)),"")</f>
        <v/>
      </c>
      <c r="F778" s="5" t="n"/>
    </row>
    <row r="779">
      <c r="A779" s="10">
        <f>IF($E779="","",INDEX('Input Transaksi'!$A:$A,$E779))</f>
        <v/>
      </c>
      <c r="B779" s="5">
        <f>IF($E779="","",INDEX('Input Transaksi'!$D:$D,$E779))</f>
        <v/>
      </c>
      <c r="C779">
        <f>IF($E779="","",INDEX('Input Transaksi'!$E:$E,$E779))</f>
        <v/>
      </c>
      <c r="D779" s="5">
        <f>IF($E779="","",INDEX('Input Transaksi'!$F:$F,$E779))</f>
        <v/>
      </c>
      <c r="E779">
        <f>IFERROR(AGGREGATE(15,6,ROW('Input Transaksi'!$B$5:$B$5000)/('Input Transaksi'!$B$5:$B$5000="GRIYA ANYAR"),ROWS($E$5:E779)),"")</f>
        <v/>
      </c>
      <c r="F779" s="5" t="n"/>
    </row>
    <row r="780">
      <c r="A780" s="10">
        <f>IF($E780="","",INDEX('Input Transaksi'!$A:$A,$E780))</f>
        <v/>
      </c>
      <c r="B780" s="5">
        <f>IF($E780="","",INDEX('Input Transaksi'!$D:$D,$E780))</f>
        <v/>
      </c>
      <c r="C780">
        <f>IF($E780="","",INDEX('Input Transaksi'!$E:$E,$E780))</f>
        <v/>
      </c>
      <c r="D780" s="5">
        <f>IF($E780="","",INDEX('Input Transaksi'!$F:$F,$E780))</f>
        <v/>
      </c>
      <c r="E780">
        <f>IFERROR(AGGREGATE(15,6,ROW('Input Transaksi'!$B$5:$B$5000)/('Input Transaksi'!$B$5:$B$5000="GRIYA ANYAR"),ROWS($E$5:E780)),"")</f>
        <v/>
      </c>
      <c r="F780" s="5" t="n"/>
    </row>
    <row r="781">
      <c r="A781" s="10">
        <f>IF($E781="","",INDEX('Input Transaksi'!$A:$A,$E781))</f>
        <v/>
      </c>
      <c r="B781" s="5">
        <f>IF($E781="","",INDEX('Input Transaksi'!$D:$D,$E781))</f>
        <v/>
      </c>
      <c r="C781">
        <f>IF($E781="","",INDEX('Input Transaksi'!$E:$E,$E781))</f>
        <v/>
      </c>
      <c r="D781" s="5">
        <f>IF($E781="","",INDEX('Input Transaksi'!$F:$F,$E781))</f>
        <v/>
      </c>
      <c r="E781">
        <f>IFERROR(AGGREGATE(15,6,ROW('Input Transaksi'!$B$5:$B$5000)/('Input Transaksi'!$B$5:$B$5000="GRIYA ANYAR"),ROWS($E$5:E781)),"")</f>
        <v/>
      </c>
      <c r="F781" s="5" t="n"/>
    </row>
    <row r="782">
      <c r="A782" s="10">
        <f>IF($E782="","",INDEX('Input Transaksi'!$A:$A,$E782))</f>
        <v/>
      </c>
      <c r="B782" s="5">
        <f>IF($E782="","",INDEX('Input Transaksi'!$D:$D,$E782))</f>
        <v/>
      </c>
      <c r="C782">
        <f>IF($E782="","",INDEX('Input Transaksi'!$E:$E,$E782))</f>
        <v/>
      </c>
      <c r="D782" s="5">
        <f>IF($E782="","",INDEX('Input Transaksi'!$F:$F,$E782))</f>
        <v/>
      </c>
      <c r="E782">
        <f>IFERROR(AGGREGATE(15,6,ROW('Input Transaksi'!$B$5:$B$5000)/('Input Transaksi'!$B$5:$B$5000="GRIYA ANYAR"),ROWS($E$5:E782)),"")</f>
        <v/>
      </c>
      <c r="F782" s="5" t="n"/>
    </row>
    <row r="783">
      <c r="A783" s="10">
        <f>IF($E783="","",INDEX('Input Transaksi'!$A:$A,$E783))</f>
        <v/>
      </c>
      <c r="B783" s="5">
        <f>IF($E783="","",INDEX('Input Transaksi'!$D:$D,$E783))</f>
        <v/>
      </c>
      <c r="C783">
        <f>IF($E783="","",INDEX('Input Transaksi'!$E:$E,$E783))</f>
        <v/>
      </c>
      <c r="D783" s="5">
        <f>IF($E783="","",INDEX('Input Transaksi'!$F:$F,$E783))</f>
        <v/>
      </c>
      <c r="E783">
        <f>IFERROR(AGGREGATE(15,6,ROW('Input Transaksi'!$B$5:$B$5000)/('Input Transaksi'!$B$5:$B$5000="GRIYA ANYAR"),ROWS($E$5:E783)),"")</f>
        <v/>
      </c>
      <c r="F783" s="5" t="n"/>
    </row>
    <row r="784">
      <c r="A784" s="10">
        <f>IF($E784="","",INDEX('Input Transaksi'!$A:$A,$E784))</f>
        <v/>
      </c>
      <c r="B784" s="5">
        <f>IF($E784="","",INDEX('Input Transaksi'!$D:$D,$E784))</f>
        <v/>
      </c>
      <c r="C784">
        <f>IF($E784="","",INDEX('Input Transaksi'!$E:$E,$E784))</f>
        <v/>
      </c>
      <c r="D784" s="5">
        <f>IF($E784="","",INDEX('Input Transaksi'!$F:$F,$E784))</f>
        <v/>
      </c>
      <c r="E784">
        <f>IFERROR(AGGREGATE(15,6,ROW('Input Transaksi'!$B$5:$B$5000)/('Input Transaksi'!$B$5:$B$5000="GRIYA ANYAR"),ROWS($E$5:E784)),"")</f>
        <v/>
      </c>
      <c r="F784" s="5" t="n"/>
    </row>
    <row r="785">
      <c r="A785" s="10">
        <f>IF($E785="","",INDEX('Input Transaksi'!$A:$A,$E785))</f>
        <v/>
      </c>
      <c r="B785" s="5">
        <f>IF($E785="","",INDEX('Input Transaksi'!$D:$D,$E785))</f>
        <v/>
      </c>
      <c r="C785">
        <f>IF($E785="","",INDEX('Input Transaksi'!$E:$E,$E785))</f>
        <v/>
      </c>
      <c r="D785" s="5">
        <f>IF($E785="","",INDEX('Input Transaksi'!$F:$F,$E785))</f>
        <v/>
      </c>
      <c r="E785">
        <f>IFERROR(AGGREGATE(15,6,ROW('Input Transaksi'!$B$5:$B$5000)/('Input Transaksi'!$B$5:$B$5000="GRIYA ANYAR"),ROWS($E$5:E785)),"")</f>
        <v/>
      </c>
      <c r="F785" s="5" t="n"/>
    </row>
    <row r="786">
      <c r="A786" s="10">
        <f>IF($E786="","",INDEX('Input Transaksi'!$A:$A,$E786))</f>
        <v/>
      </c>
      <c r="B786" s="5">
        <f>IF($E786="","",INDEX('Input Transaksi'!$D:$D,$E786))</f>
        <v/>
      </c>
      <c r="C786">
        <f>IF($E786="","",INDEX('Input Transaksi'!$E:$E,$E786))</f>
        <v/>
      </c>
      <c r="D786" s="5">
        <f>IF($E786="","",INDEX('Input Transaksi'!$F:$F,$E786))</f>
        <v/>
      </c>
      <c r="E786">
        <f>IFERROR(AGGREGATE(15,6,ROW('Input Transaksi'!$B$5:$B$5000)/('Input Transaksi'!$B$5:$B$5000="GRIYA ANYAR"),ROWS($E$5:E786)),"")</f>
        <v/>
      </c>
      <c r="F786" s="5" t="n"/>
    </row>
    <row r="787">
      <c r="A787" s="10">
        <f>IF($E787="","",INDEX('Input Transaksi'!$A:$A,$E787))</f>
        <v/>
      </c>
      <c r="B787" s="5">
        <f>IF($E787="","",INDEX('Input Transaksi'!$D:$D,$E787))</f>
        <v/>
      </c>
      <c r="C787">
        <f>IF($E787="","",INDEX('Input Transaksi'!$E:$E,$E787))</f>
        <v/>
      </c>
      <c r="D787" s="5">
        <f>IF($E787="","",INDEX('Input Transaksi'!$F:$F,$E787))</f>
        <v/>
      </c>
      <c r="E787">
        <f>IFERROR(AGGREGATE(15,6,ROW('Input Transaksi'!$B$5:$B$5000)/('Input Transaksi'!$B$5:$B$5000="GRIYA ANYAR"),ROWS($E$5:E787)),"")</f>
        <v/>
      </c>
      <c r="F787" s="5" t="n"/>
    </row>
    <row r="788">
      <c r="A788" s="10">
        <f>IF($E788="","",INDEX('Input Transaksi'!$A:$A,$E788))</f>
        <v/>
      </c>
      <c r="B788" s="5">
        <f>IF($E788="","",INDEX('Input Transaksi'!$D:$D,$E788))</f>
        <v/>
      </c>
      <c r="C788">
        <f>IF($E788="","",INDEX('Input Transaksi'!$E:$E,$E788))</f>
        <v/>
      </c>
      <c r="D788" s="5">
        <f>IF($E788="","",INDEX('Input Transaksi'!$F:$F,$E788))</f>
        <v/>
      </c>
      <c r="E788">
        <f>IFERROR(AGGREGATE(15,6,ROW('Input Transaksi'!$B$5:$B$5000)/('Input Transaksi'!$B$5:$B$5000="GRIYA ANYAR"),ROWS($E$5:E788)),"")</f>
        <v/>
      </c>
      <c r="F788" s="5" t="n"/>
    </row>
    <row r="789">
      <c r="A789" s="10">
        <f>IF($E789="","",INDEX('Input Transaksi'!$A:$A,$E789))</f>
        <v/>
      </c>
      <c r="B789" s="5">
        <f>IF($E789="","",INDEX('Input Transaksi'!$D:$D,$E789))</f>
        <v/>
      </c>
      <c r="C789">
        <f>IF($E789="","",INDEX('Input Transaksi'!$E:$E,$E789))</f>
        <v/>
      </c>
      <c r="D789" s="5">
        <f>IF($E789="","",INDEX('Input Transaksi'!$F:$F,$E789))</f>
        <v/>
      </c>
      <c r="E789">
        <f>IFERROR(AGGREGATE(15,6,ROW('Input Transaksi'!$B$5:$B$5000)/('Input Transaksi'!$B$5:$B$5000="GRIYA ANYAR"),ROWS($E$5:E789)),"")</f>
        <v/>
      </c>
      <c r="F789" s="5" t="n"/>
    </row>
    <row r="790">
      <c r="A790" s="10">
        <f>IF($E790="","",INDEX('Input Transaksi'!$A:$A,$E790))</f>
        <v/>
      </c>
      <c r="B790" s="5">
        <f>IF($E790="","",INDEX('Input Transaksi'!$D:$D,$E790))</f>
        <v/>
      </c>
      <c r="C790">
        <f>IF($E790="","",INDEX('Input Transaksi'!$E:$E,$E790))</f>
        <v/>
      </c>
      <c r="D790" s="5">
        <f>IF($E790="","",INDEX('Input Transaksi'!$F:$F,$E790))</f>
        <v/>
      </c>
      <c r="E790">
        <f>IFERROR(AGGREGATE(15,6,ROW('Input Transaksi'!$B$5:$B$5000)/('Input Transaksi'!$B$5:$B$5000="GRIYA ANYAR"),ROWS($E$5:E790)),"")</f>
        <v/>
      </c>
      <c r="F790" s="5" t="n"/>
    </row>
    <row r="791">
      <c r="A791" s="10">
        <f>IF($E791="","",INDEX('Input Transaksi'!$A:$A,$E791))</f>
        <v/>
      </c>
      <c r="B791" s="5">
        <f>IF($E791="","",INDEX('Input Transaksi'!$D:$D,$E791))</f>
        <v/>
      </c>
      <c r="C791">
        <f>IF($E791="","",INDEX('Input Transaksi'!$E:$E,$E791))</f>
        <v/>
      </c>
      <c r="D791" s="5">
        <f>IF($E791="","",INDEX('Input Transaksi'!$F:$F,$E791))</f>
        <v/>
      </c>
      <c r="E791">
        <f>IFERROR(AGGREGATE(15,6,ROW('Input Transaksi'!$B$5:$B$5000)/('Input Transaksi'!$B$5:$B$5000="GRIYA ANYAR"),ROWS($E$5:E791)),"")</f>
        <v/>
      </c>
      <c r="F791" s="5" t="n"/>
    </row>
    <row r="792">
      <c r="A792" s="10">
        <f>IF($E792="","",INDEX('Input Transaksi'!$A:$A,$E792))</f>
        <v/>
      </c>
      <c r="B792" s="5">
        <f>IF($E792="","",INDEX('Input Transaksi'!$D:$D,$E792))</f>
        <v/>
      </c>
      <c r="C792">
        <f>IF($E792="","",INDEX('Input Transaksi'!$E:$E,$E792))</f>
        <v/>
      </c>
      <c r="D792" s="5">
        <f>IF($E792="","",INDEX('Input Transaksi'!$F:$F,$E792))</f>
        <v/>
      </c>
      <c r="E792">
        <f>IFERROR(AGGREGATE(15,6,ROW('Input Transaksi'!$B$5:$B$5000)/('Input Transaksi'!$B$5:$B$5000="GRIYA ANYAR"),ROWS($E$5:E792)),"")</f>
        <v/>
      </c>
      <c r="F792" s="5" t="n"/>
    </row>
    <row r="793">
      <c r="A793" s="10">
        <f>IF($E793="","",INDEX('Input Transaksi'!$A:$A,$E793))</f>
        <v/>
      </c>
      <c r="B793" s="5">
        <f>IF($E793="","",INDEX('Input Transaksi'!$D:$D,$E793))</f>
        <v/>
      </c>
      <c r="C793">
        <f>IF($E793="","",INDEX('Input Transaksi'!$E:$E,$E793))</f>
        <v/>
      </c>
      <c r="D793" s="5">
        <f>IF($E793="","",INDEX('Input Transaksi'!$F:$F,$E793))</f>
        <v/>
      </c>
      <c r="E793">
        <f>IFERROR(AGGREGATE(15,6,ROW('Input Transaksi'!$B$5:$B$5000)/('Input Transaksi'!$B$5:$B$5000="GRIYA ANYAR"),ROWS($E$5:E793)),"")</f>
        <v/>
      </c>
      <c r="F793" s="5" t="n"/>
    </row>
    <row r="794">
      <c r="A794" s="10">
        <f>IF($E794="","",INDEX('Input Transaksi'!$A:$A,$E794))</f>
        <v/>
      </c>
      <c r="B794" s="5">
        <f>IF($E794="","",INDEX('Input Transaksi'!$D:$D,$E794))</f>
        <v/>
      </c>
      <c r="C794">
        <f>IF($E794="","",INDEX('Input Transaksi'!$E:$E,$E794))</f>
        <v/>
      </c>
      <c r="D794" s="5">
        <f>IF($E794="","",INDEX('Input Transaksi'!$F:$F,$E794))</f>
        <v/>
      </c>
      <c r="E794">
        <f>IFERROR(AGGREGATE(15,6,ROW('Input Transaksi'!$B$5:$B$5000)/('Input Transaksi'!$B$5:$B$5000="GRIYA ANYAR"),ROWS($E$5:E794)),"")</f>
        <v/>
      </c>
      <c r="F794" s="5" t="n"/>
    </row>
    <row r="795">
      <c r="A795" s="10">
        <f>IF($E795="","",INDEX('Input Transaksi'!$A:$A,$E795))</f>
        <v/>
      </c>
      <c r="B795" s="5">
        <f>IF($E795="","",INDEX('Input Transaksi'!$D:$D,$E795))</f>
        <v/>
      </c>
      <c r="C795">
        <f>IF($E795="","",INDEX('Input Transaksi'!$E:$E,$E795))</f>
        <v/>
      </c>
      <c r="D795" s="5">
        <f>IF($E795="","",INDEX('Input Transaksi'!$F:$F,$E795))</f>
        <v/>
      </c>
      <c r="E795">
        <f>IFERROR(AGGREGATE(15,6,ROW('Input Transaksi'!$B$5:$B$5000)/('Input Transaksi'!$B$5:$B$5000="GRIYA ANYAR"),ROWS($E$5:E795)),"")</f>
        <v/>
      </c>
      <c r="F795" s="5" t="n"/>
    </row>
    <row r="796">
      <c r="A796" s="10">
        <f>IF($E796="","",INDEX('Input Transaksi'!$A:$A,$E796))</f>
        <v/>
      </c>
      <c r="B796" s="5">
        <f>IF($E796="","",INDEX('Input Transaksi'!$D:$D,$E796))</f>
        <v/>
      </c>
      <c r="C796">
        <f>IF($E796="","",INDEX('Input Transaksi'!$E:$E,$E796))</f>
        <v/>
      </c>
      <c r="D796" s="5">
        <f>IF($E796="","",INDEX('Input Transaksi'!$F:$F,$E796))</f>
        <v/>
      </c>
      <c r="E796">
        <f>IFERROR(AGGREGATE(15,6,ROW('Input Transaksi'!$B$5:$B$5000)/('Input Transaksi'!$B$5:$B$5000="GRIYA ANYAR"),ROWS($E$5:E796)),"")</f>
        <v/>
      </c>
      <c r="F796" s="5" t="n"/>
    </row>
    <row r="797">
      <c r="A797" s="10">
        <f>IF($E797="","",INDEX('Input Transaksi'!$A:$A,$E797))</f>
        <v/>
      </c>
      <c r="B797" s="5">
        <f>IF($E797="","",INDEX('Input Transaksi'!$D:$D,$E797))</f>
        <v/>
      </c>
      <c r="C797">
        <f>IF($E797="","",INDEX('Input Transaksi'!$E:$E,$E797))</f>
        <v/>
      </c>
      <c r="D797" s="5">
        <f>IF($E797="","",INDEX('Input Transaksi'!$F:$F,$E797))</f>
        <v/>
      </c>
      <c r="E797">
        <f>IFERROR(AGGREGATE(15,6,ROW('Input Transaksi'!$B$5:$B$5000)/('Input Transaksi'!$B$5:$B$5000="GRIYA ANYAR"),ROWS($E$5:E797)),"")</f>
        <v/>
      </c>
      <c r="F797" s="5" t="n"/>
    </row>
    <row r="798">
      <c r="A798" s="10">
        <f>IF($E798="","",INDEX('Input Transaksi'!$A:$A,$E798))</f>
        <v/>
      </c>
      <c r="B798" s="5">
        <f>IF($E798="","",INDEX('Input Transaksi'!$D:$D,$E798))</f>
        <v/>
      </c>
      <c r="C798">
        <f>IF($E798="","",INDEX('Input Transaksi'!$E:$E,$E798))</f>
        <v/>
      </c>
      <c r="D798" s="5">
        <f>IF($E798="","",INDEX('Input Transaksi'!$F:$F,$E798))</f>
        <v/>
      </c>
      <c r="E798">
        <f>IFERROR(AGGREGATE(15,6,ROW('Input Transaksi'!$B$5:$B$5000)/('Input Transaksi'!$B$5:$B$5000="GRIYA ANYAR"),ROWS($E$5:E798)),"")</f>
        <v/>
      </c>
      <c r="F798" s="5" t="n"/>
    </row>
    <row r="799">
      <c r="A799" s="10">
        <f>IF($E799="","",INDEX('Input Transaksi'!$A:$A,$E799))</f>
        <v/>
      </c>
      <c r="B799" s="5">
        <f>IF($E799="","",INDEX('Input Transaksi'!$D:$D,$E799))</f>
        <v/>
      </c>
      <c r="C799">
        <f>IF($E799="","",INDEX('Input Transaksi'!$E:$E,$E799))</f>
        <v/>
      </c>
      <c r="D799" s="5">
        <f>IF($E799="","",INDEX('Input Transaksi'!$F:$F,$E799))</f>
        <v/>
      </c>
      <c r="E799">
        <f>IFERROR(AGGREGATE(15,6,ROW('Input Transaksi'!$B$5:$B$5000)/('Input Transaksi'!$B$5:$B$5000="GRIYA ANYAR"),ROWS($E$5:E799)),"")</f>
        <v/>
      </c>
      <c r="F799" s="5" t="n"/>
    </row>
    <row r="800">
      <c r="A800" s="10">
        <f>IF($E800="","",INDEX('Input Transaksi'!$A:$A,$E800))</f>
        <v/>
      </c>
      <c r="B800" s="5">
        <f>IF($E800="","",INDEX('Input Transaksi'!$D:$D,$E800))</f>
        <v/>
      </c>
      <c r="C800">
        <f>IF($E800="","",INDEX('Input Transaksi'!$E:$E,$E800))</f>
        <v/>
      </c>
      <c r="D800" s="5">
        <f>IF($E800="","",INDEX('Input Transaksi'!$F:$F,$E800))</f>
        <v/>
      </c>
      <c r="E800">
        <f>IFERROR(AGGREGATE(15,6,ROW('Input Transaksi'!$B$5:$B$5000)/('Input Transaksi'!$B$5:$B$5000="GRIYA ANYAR"),ROWS($E$5:E800)),"")</f>
        <v/>
      </c>
      <c r="F800" s="5" t="n"/>
    </row>
    <row r="801">
      <c r="A801" s="10">
        <f>IF($E801="","",INDEX('Input Transaksi'!$A:$A,$E801))</f>
        <v/>
      </c>
      <c r="B801" s="5">
        <f>IF($E801="","",INDEX('Input Transaksi'!$D:$D,$E801))</f>
        <v/>
      </c>
      <c r="C801">
        <f>IF($E801="","",INDEX('Input Transaksi'!$E:$E,$E801))</f>
        <v/>
      </c>
      <c r="D801" s="5">
        <f>IF($E801="","",INDEX('Input Transaksi'!$F:$F,$E801))</f>
        <v/>
      </c>
      <c r="E801">
        <f>IFERROR(AGGREGATE(15,6,ROW('Input Transaksi'!$B$5:$B$5000)/('Input Transaksi'!$B$5:$B$5000="GRIYA ANYAR"),ROWS($E$5:E801)),"")</f>
        <v/>
      </c>
      <c r="F801" s="5" t="n"/>
    </row>
    <row r="802">
      <c r="A802" s="10">
        <f>IF($E802="","",INDEX('Input Transaksi'!$A:$A,$E802))</f>
        <v/>
      </c>
      <c r="B802" s="5">
        <f>IF($E802="","",INDEX('Input Transaksi'!$D:$D,$E802))</f>
        <v/>
      </c>
      <c r="C802">
        <f>IF($E802="","",INDEX('Input Transaksi'!$E:$E,$E802))</f>
        <v/>
      </c>
      <c r="D802" s="5">
        <f>IF($E802="","",INDEX('Input Transaksi'!$F:$F,$E802))</f>
        <v/>
      </c>
      <c r="E802">
        <f>IFERROR(AGGREGATE(15,6,ROW('Input Transaksi'!$B$5:$B$5000)/('Input Transaksi'!$B$5:$B$5000="GRIYA ANYAR"),ROWS($E$5:E802)),"")</f>
        <v/>
      </c>
      <c r="F802" s="5" t="n"/>
    </row>
    <row r="803">
      <c r="A803" s="10">
        <f>IF($E803="","",INDEX('Input Transaksi'!$A:$A,$E803))</f>
        <v/>
      </c>
      <c r="B803" s="5">
        <f>IF($E803="","",INDEX('Input Transaksi'!$D:$D,$E803))</f>
        <v/>
      </c>
      <c r="C803">
        <f>IF($E803="","",INDEX('Input Transaksi'!$E:$E,$E803))</f>
        <v/>
      </c>
      <c r="D803" s="5">
        <f>IF($E803="","",INDEX('Input Transaksi'!$F:$F,$E803))</f>
        <v/>
      </c>
      <c r="E803">
        <f>IFERROR(AGGREGATE(15,6,ROW('Input Transaksi'!$B$5:$B$5000)/('Input Transaksi'!$B$5:$B$5000="GRIYA ANYAR"),ROWS($E$5:E803)),"")</f>
        <v/>
      </c>
      <c r="F803" s="5" t="n"/>
    </row>
    <row r="804">
      <c r="A804" s="10">
        <f>IF($E804="","",INDEX('Input Transaksi'!$A:$A,$E804))</f>
        <v/>
      </c>
      <c r="B804" s="5">
        <f>IF($E804="","",INDEX('Input Transaksi'!$D:$D,$E804))</f>
        <v/>
      </c>
      <c r="C804">
        <f>IF($E804="","",INDEX('Input Transaksi'!$E:$E,$E804))</f>
        <v/>
      </c>
      <c r="D804" s="5">
        <f>IF($E804="","",INDEX('Input Transaksi'!$F:$F,$E804))</f>
        <v/>
      </c>
      <c r="E804">
        <f>IFERROR(AGGREGATE(15,6,ROW('Input Transaksi'!$B$5:$B$5000)/('Input Transaksi'!$B$5:$B$5000="GRIYA ANYAR"),ROWS($E$5:E804)),"")</f>
        <v/>
      </c>
      <c r="F804" s="5" t="n"/>
    </row>
    <row r="805">
      <c r="A805" s="10">
        <f>IF($E805="","",INDEX('Input Transaksi'!$A:$A,$E805))</f>
        <v/>
      </c>
      <c r="B805" s="5">
        <f>IF($E805="","",INDEX('Input Transaksi'!$D:$D,$E805))</f>
        <v/>
      </c>
      <c r="C805">
        <f>IF($E805="","",INDEX('Input Transaksi'!$E:$E,$E805))</f>
        <v/>
      </c>
      <c r="D805" s="5">
        <f>IF($E805="","",INDEX('Input Transaksi'!$F:$F,$E805))</f>
        <v/>
      </c>
      <c r="E805">
        <f>IFERROR(AGGREGATE(15,6,ROW('Input Transaksi'!$B$5:$B$5000)/('Input Transaksi'!$B$5:$B$5000="GRIYA ANYAR"),ROWS($E$5:E805)),"")</f>
        <v/>
      </c>
      <c r="F805" s="5" t="n"/>
    </row>
    <row r="806">
      <c r="A806" s="10">
        <f>IF($E806="","",INDEX('Input Transaksi'!$A:$A,$E806))</f>
        <v/>
      </c>
      <c r="B806" s="5">
        <f>IF($E806="","",INDEX('Input Transaksi'!$D:$D,$E806))</f>
        <v/>
      </c>
      <c r="C806">
        <f>IF($E806="","",INDEX('Input Transaksi'!$E:$E,$E806))</f>
        <v/>
      </c>
      <c r="D806" s="5">
        <f>IF($E806="","",INDEX('Input Transaksi'!$F:$F,$E806))</f>
        <v/>
      </c>
      <c r="E806">
        <f>IFERROR(AGGREGATE(15,6,ROW('Input Transaksi'!$B$5:$B$5000)/('Input Transaksi'!$B$5:$B$5000="GRIYA ANYAR"),ROWS($E$5:E806)),"")</f>
        <v/>
      </c>
      <c r="F806" s="5" t="n"/>
    </row>
    <row r="807">
      <c r="A807" s="10">
        <f>IF($E807="","",INDEX('Input Transaksi'!$A:$A,$E807))</f>
        <v/>
      </c>
      <c r="B807" s="5">
        <f>IF($E807="","",INDEX('Input Transaksi'!$D:$D,$E807))</f>
        <v/>
      </c>
      <c r="C807">
        <f>IF($E807="","",INDEX('Input Transaksi'!$E:$E,$E807))</f>
        <v/>
      </c>
      <c r="D807" s="5">
        <f>IF($E807="","",INDEX('Input Transaksi'!$F:$F,$E807))</f>
        <v/>
      </c>
      <c r="E807">
        <f>IFERROR(AGGREGATE(15,6,ROW('Input Transaksi'!$B$5:$B$5000)/('Input Transaksi'!$B$5:$B$5000="GRIYA ANYAR"),ROWS($E$5:E807)),"")</f>
        <v/>
      </c>
      <c r="F807" s="5" t="n"/>
    </row>
    <row r="808">
      <c r="A808" s="10">
        <f>IF($E808="","",INDEX('Input Transaksi'!$A:$A,$E808))</f>
        <v/>
      </c>
      <c r="B808" s="5">
        <f>IF($E808="","",INDEX('Input Transaksi'!$D:$D,$E808))</f>
        <v/>
      </c>
      <c r="C808">
        <f>IF($E808="","",INDEX('Input Transaksi'!$E:$E,$E808))</f>
        <v/>
      </c>
      <c r="D808" s="5">
        <f>IF($E808="","",INDEX('Input Transaksi'!$F:$F,$E808))</f>
        <v/>
      </c>
      <c r="E808">
        <f>IFERROR(AGGREGATE(15,6,ROW('Input Transaksi'!$B$5:$B$5000)/('Input Transaksi'!$B$5:$B$5000="GRIYA ANYAR"),ROWS($E$5:E808)),"")</f>
        <v/>
      </c>
      <c r="F808" s="5" t="n"/>
    </row>
    <row r="809">
      <c r="A809" s="10">
        <f>IF($E809="","",INDEX('Input Transaksi'!$A:$A,$E809))</f>
        <v/>
      </c>
      <c r="B809" s="5">
        <f>IF($E809="","",INDEX('Input Transaksi'!$D:$D,$E809))</f>
        <v/>
      </c>
      <c r="C809">
        <f>IF($E809="","",INDEX('Input Transaksi'!$E:$E,$E809))</f>
        <v/>
      </c>
      <c r="D809" s="5">
        <f>IF($E809="","",INDEX('Input Transaksi'!$F:$F,$E809))</f>
        <v/>
      </c>
      <c r="E809">
        <f>IFERROR(AGGREGATE(15,6,ROW('Input Transaksi'!$B$5:$B$5000)/('Input Transaksi'!$B$5:$B$5000="GRIYA ANYAR"),ROWS($E$5:E809)),"")</f>
        <v/>
      </c>
      <c r="F809" s="5" t="n"/>
    </row>
    <row r="810">
      <c r="A810" s="10">
        <f>IF($E810="","",INDEX('Input Transaksi'!$A:$A,$E810))</f>
        <v/>
      </c>
      <c r="B810" s="5">
        <f>IF($E810="","",INDEX('Input Transaksi'!$D:$D,$E810))</f>
        <v/>
      </c>
      <c r="C810">
        <f>IF($E810="","",INDEX('Input Transaksi'!$E:$E,$E810))</f>
        <v/>
      </c>
      <c r="D810" s="5">
        <f>IF($E810="","",INDEX('Input Transaksi'!$F:$F,$E810))</f>
        <v/>
      </c>
      <c r="E810">
        <f>IFERROR(AGGREGATE(15,6,ROW('Input Transaksi'!$B$5:$B$5000)/('Input Transaksi'!$B$5:$B$5000="GRIYA ANYAR"),ROWS($E$5:E810)),"")</f>
        <v/>
      </c>
      <c r="F810" s="5" t="n"/>
    </row>
    <row r="811">
      <c r="A811" s="10">
        <f>IF($E811="","",INDEX('Input Transaksi'!$A:$A,$E811))</f>
        <v/>
      </c>
      <c r="B811" s="5">
        <f>IF($E811="","",INDEX('Input Transaksi'!$D:$D,$E811))</f>
        <v/>
      </c>
      <c r="C811">
        <f>IF($E811="","",INDEX('Input Transaksi'!$E:$E,$E811))</f>
        <v/>
      </c>
      <c r="D811" s="5">
        <f>IF($E811="","",INDEX('Input Transaksi'!$F:$F,$E811))</f>
        <v/>
      </c>
      <c r="E811">
        <f>IFERROR(AGGREGATE(15,6,ROW('Input Transaksi'!$B$5:$B$5000)/('Input Transaksi'!$B$5:$B$5000="GRIYA ANYAR"),ROWS($E$5:E811)),"")</f>
        <v/>
      </c>
      <c r="F811" s="5" t="n"/>
    </row>
    <row r="812">
      <c r="A812" s="10">
        <f>IF($E812="","",INDEX('Input Transaksi'!$A:$A,$E812))</f>
        <v/>
      </c>
      <c r="B812" s="5">
        <f>IF($E812="","",INDEX('Input Transaksi'!$D:$D,$E812))</f>
        <v/>
      </c>
      <c r="C812">
        <f>IF($E812="","",INDEX('Input Transaksi'!$E:$E,$E812))</f>
        <v/>
      </c>
      <c r="D812" s="5">
        <f>IF($E812="","",INDEX('Input Transaksi'!$F:$F,$E812))</f>
        <v/>
      </c>
      <c r="E812">
        <f>IFERROR(AGGREGATE(15,6,ROW('Input Transaksi'!$B$5:$B$5000)/('Input Transaksi'!$B$5:$B$5000="GRIYA ANYAR"),ROWS($E$5:E812)),"")</f>
        <v/>
      </c>
      <c r="F812" s="5" t="n"/>
    </row>
    <row r="813">
      <c r="A813" s="10">
        <f>IF($E813="","",INDEX('Input Transaksi'!$A:$A,$E813))</f>
        <v/>
      </c>
      <c r="B813" s="5">
        <f>IF($E813="","",INDEX('Input Transaksi'!$D:$D,$E813))</f>
        <v/>
      </c>
      <c r="C813">
        <f>IF($E813="","",INDEX('Input Transaksi'!$E:$E,$E813))</f>
        <v/>
      </c>
      <c r="D813" s="5">
        <f>IF($E813="","",INDEX('Input Transaksi'!$F:$F,$E813))</f>
        <v/>
      </c>
      <c r="E813">
        <f>IFERROR(AGGREGATE(15,6,ROW('Input Transaksi'!$B$5:$B$5000)/('Input Transaksi'!$B$5:$B$5000="GRIYA ANYAR"),ROWS($E$5:E813)),"")</f>
        <v/>
      </c>
      <c r="F813" s="5" t="n"/>
    </row>
    <row r="814">
      <c r="A814" s="10">
        <f>IF($E814="","",INDEX('Input Transaksi'!$A:$A,$E814))</f>
        <v/>
      </c>
      <c r="B814" s="5">
        <f>IF($E814="","",INDEX('Input Transaksi'!$D:$D,$E814))</f>
        <v/>
      </c>
      <c r="C814">
        <f>IF($E814="","",INDEX('Input Transaksi'!$E:$E,$E814))</f>
        <v/>
      </c>
      <c r="D814" s="5">
        <f>IF($E814="","",INDEX('Input Transaksi'!$F:$F,$E814))</f>
        <v/>
      </c>
      <c r="E814">
        <f>IFERROR(AGGREGATE(15,6,ROW('Input Transaksi'!$B$5:$B$5000)/('Input Transaksi'!$B$5:$B$5000="GRIYA ANYAR"),ROWS($E$5:E814)),"")</f>
        <v/>
      </c>
      <c r="F814" s="5" t="n"/>
    </row>
    <row r="815">
      <c r="A815" s="10">
        <f>IF($E815="","",INDEX('Input Transaksi'!$A:$A,$E815))</f>
        <v/>
      </c>
      <c r="B815" s="5">
        <f>IF($E815="","",INDEX('Input Transaksi'!$D:$D,$E815))</f>
        <v/>
      </c>
      <c r="C815">
        <f>IF($E815="","",INDEX('Input Transaksi'!$E:$E,$E815))</f>
        <v/>
      </c>
      <c r="D815" s="5">
        <f>IF($E815="","",INDEX('Input Transaksi'!$F:$F,$E815))</f>
        <v/>
      </c>
      <c r="E815">
        <f>IFERROR(AGGREGATE(15,6,ROW('Input Transaksi'!$B$5:$B$5000)/('Input Transaksi'!$B$5:$B$5000="GRIYA ANYAR"),ROWS($E$5:E815)),"")</f>
        <v/>
      </c>
      <c r="F815" s="5" t="n"/>
    </row>
    <row r="816">
      <c r="A816" s="10">
        <f>IF($E816="","",INDEX('Input Transaksi'!$A:$A,$E816))</f>
        <v/>
      </c>
      <c r="B816" s="5">
        <f>IF($E816="","",INDEX('Input Transaksi'!$D:$D,$E816))</f>
        <v/>
      </c>
      <c r="C816">
        <f>IF($E816="","",INDEX('Input Transaksi'!$E:$E,$E816))</f>
        <v/>
      </c>
      <c r="D816" s="5">
        <f>IF($E816="","",INDEX('Input Transaksi'!$F:$F,$E816))</f>
        <v/>
      </c>
      <c r="E816">
        <f>IFERROR(AGGREGATE(15,6,ROW('Input Transaksi'!$B$5:$B$5000)/('Input Transaksi'!$B$5:$B$5000="GRIYA ANYAR"),ROWS($E$5:E816)),"")</f>
        <v/>
      </c>
      <c r="F816" s="5" t="n"/>
    </row>
    <row r="817">
      <c r="A817" s="10">
        <f>IF($E817="","",INDEX('Input Transaksi'!$A:$A,$E817))</f>
        <v/>
      </c>
      <c r="B817" s="5">
        <f>IF($E817="","",INDEX('Input Transaksi'!$D:$D,$E817))</f>
        <v/>
      </c>
      <c r="C817">
        <f>IF($E817="","",INDEX('Input Transaksi'!$E:$E,$E817))</f>
        <v/>
      </c>
      <c r="D817" s="5">
        <f>IF($E817="","",INDEX('Input Transaksi'!$F:$F,$E817))</f>
        <v/>
      </c>
      <c r="E817">
        <f>IFERROR(AGGREGATE(15,6,ROW('Input Transaksi'!$B$5:$B$5000)/('Input Transaksi'!$B$5:$B$5000="GRIYA ANYAR"),ROWS($E$5:E817)),"")</f>
        <v/>
      </c>
      <c r="F817" s="5" t="n"/>
    </row>
    <row r="818">
      <c r="A818" s="10">
        <f>IF($E818="","",INDEX('Input Transaksi'!$A:$A,$E818))</f>
        <v/>
      </c>
      <c r="B818" s="5">
        <f>IF($E818="","",INDEX('Input Transaksi'!$D:$D,$E818))</f>
        <v/>
      </c>
      <c r="C818">
        <f>IF($E818="","",INDEX('Input Transaksi'!$E:$E,$E818))</f>
        <v/>
      </c>
      <c r="D818" s="5">
        <f>IF($E818="","",INDEX('Input Transaksi'!$F:$F,$E818))</f>
        <v/>
      </c>
      <c r="E818">
        <f>IFERROR(AGGREGATE(15,6,ROW('Input Transaksi'!$B$5:$B$5000)/('Input Transaksi'!$B$5:$B$5000="GRIYA ANYAR"),ROWS($E$5:E818)),"")</f>
        <v/>
      </c>
      <c r="F818" s="5" t="n"/>
    </row>
    <row r="819">
      <c r="A819" s="10">
        <f>IF($E819="","",INDEX('Input Transaksi'!$A:$A,$E819))</f>
        <v/>
      </c>
      <c r="B819" s="5">
        <f>IF($E819="","",INDEX('Input Transaksi'!$D:$D,$E819))</f>
        <v/>
      </c>
      <c r="C819">
        <f>IF($E819="","",INDEX('Input Transaksi'!$E:$E,$E819))</f>
        <v/>
      </c>
      <c r="D819" s="5">
        <f>IF($E819="","",INDEX('Input Transaksi'!$F:$F,$E819))</f>
        <v/>
      </c>
      <c r="E819">
        <f>IFERROR(AGGREGATE(15,6,ROW('Input Transaksi'!$B$5:$B$5000)/('Input Transaksi'!$B$5:$B$5000="GRIYA ANYAR"),ROWS($E$5:E819)),"")</f>
        <v/>
      </c>
      <c r="F819" s="5" t="n"/>
    </row>
    <row r="820">
      <c r="A820" s="10">
        <f>IF($E820="","",INDEX('Input Transaksi'!$A:$A,$E820))</f>
        <v/>
      </c>
      <c r="B820" s="5">
        <f>IF($E820="","",INDEX('Input Transaksi'!$D:$D,$E820))</f>
        <v/>
      </c>
      <c r="C820">
        <f>IF($E820="","",INDEX('Input Transaksi'!$E:$E,$E820))</f>
        <v/>
      </c>
      <c r="D820" s="5">
        <f>IF($E820="","",INDEX('Input Transaksi'!$F:$F,$E820))</f>
        <v/>
      </c>
      <c r="E820">
        <f>IFERROR(AGGREGATE(15,6,ROW('Input Transaksi'!$B$5:$B$5000)/('Input Transaksi'!$B$5:$B$5000="GRIYA ANYAR"),ROWS($E$5:E820)),"")</f>
        <v/>
      </c>
      <c r="F820" s="5" t="n"/>
    </row>
    <row r="821">
      <c r="A821" s="10">
        <f>IF($E821="","",INDEX('Input Transaksi'!$A:$A,$E821))</f>
        <v/>
      </c>
      <c r="B821" s="5">
        <f>IF($E821="","",INDEX('Input Transaksi'!$D:$D,$E821))</f>
        <v/>
      </c>
      <c r="C821">
        <f>IF($E821="","",INDEX('Input Transaksi'!$E:$E,$E821))</f>
        <v/>
      </c>
      <c r="D821" s="5">
        <f>IF($E821="","",INDEX('Input Transaksi'!$F:$F,$E821))</f>
        <v/>
      </c>
      <c r="E821">
        <f>IFERROR(AGGREGATE(15,6,ROW('Input Transaksi'!$B$5:$B$5000)/('Input Transaksi'!$B$5:$B$5000="GRIYA ANYAR"),ROWS($E$5:E821)),"")</f>
        <v/>
      </c>
      <c r="F821" s="5" t="n"/>
    </row>
    <row r="822">
      <c r="A822" s="10">
        <f>IF($E822="","",INDEX('Input Transaksi'!$A:$A,$E822))</f>
        <v/>
      </c>
      <c r="B822" s="5">
        <f>IF($E822="","",INDEX('Input Transaksi'!$D:$D,$E822))</f>
        <v/>
      </c>
      <c r="C822">
        <f>IF($E822="","",INDEX('Input Transaksi'!$E:$E,$E822))</f>
        <v/>
      </c>
      <c r="D822" s="5">
        <f>IF($E822="","",INDEX('Input Transaksi'!$F:$F,$E822))</f>
        <v/>
      </c>
      <c r="E822">
        <f>IFERROR(AGGREGATE(15,6,ROW('Input Transaksi'!$B$5:$B$5000)/('Input Transaksi'!$B$5:$B$5000="GRIYA ANYAR"),ROWS($E$5:E822)),"")</f>
        <v/>
      </c>
      <c r="F822" s="5" t="n"/>
    </row>
    <row r="823">
      <c r="A823" s="10">
        <f>IF($E823="","",INDEX('Input Transaksi'!$A:$A,$E823))</f>
        <v/>
      </c>
      <c r="B823" s="5">
        <f>IF($E823="","",INDEX('Input Transaksi'!$D:$D,$E823))</f>
        <v/>
      </c>
      <c r="C823">
        <f>IF($E823="","",INDEX('Input Transaksi'!$E:$E,$E823))</f>
        <v/>
      </c>
      <c r="D823" s="5">
        <f>IF($E823="","",INDEX('Input Transaksi'!$F:$F,$E823))</f>
        <v/>
      </c>
      <c r="E823">
        <f>IFERROR(AGGREGATE(15,6,ROW('Input Transaksi'!$B$5:$B$5000)/('Input Transaksi'!$B$5:$B$5000="GRIYA ANYAR"),ROWS($E$5:E823)),"")</f>
        <v/>
      </c>
      <c r="F823" s="5" t="n"/>
    </row>
    <row r="824">
      <c r="A824" s="10">
        <f>IF($E824="","",INDEX('Input Transaksi'!$A:$A,$E824))</f>
        <v/>
      </c>
      <c r="B824" s="5">
        <f>IF($E824="","",INDEX('Input Transaksi'!$D:$D,$E824))</f>
        <v/>
      </c>
      <c r="C824">
        <f>IF($E824="","",INDEX('Input Transaksi'!$E:$E,$E824))</f>
        <v/>
      </c>
      <c r="D824" s="5">
        <f>IF($E824="","",INDEX('Input Transaksi'!$F:$F,$E824))</f>
        <v/>
      </c>
      <c r="E824">
        <f>IFERROR(AGGREGATE(15,6,ROW('Input Transaksi'!$B$5:$B$5000)/('Input Transaksi'!$B$5:$B$5000="GRIYA ANYAR"),ROWS($E$5:E824)),"")</f>
        <v/>
      </c>
      <c r="F824" s="5" t="n"/>
    </row>
    <row r="825">
      <c r="A825" s="10">
        <f>IF($E825="","",INDEX('Input Transaksi'!$A:$A,$E825))</f>
        <v/>
      </c>
      <c r="B825" s="5">
        <f>IF($E825="","",INDEX('Input Transaksi'!$D:$D,$E825))</f>
        <v/>
      </c>
      <c r="C825">
        <f>IF($E825="","",INDEX('Input Transaksi'!$E:$E,$E825))</f>
        <v/>
      </c>
      <c r="D825" s="5">
        <f>IF($E825="","",INDEX('Input Transaksi'!$F:$F,$E825))</f>
        <v/>
      </c>
      <c r="E825">
        <f>IFERROR(AGGREGATE(15,6,ROW('Input Transaksi'!$B$5:$B$5000)/('Input Transaksi'!$B$5:$B$5000="GRIYA ANYAR"),ROWS($E$5:E825)),"")</f>
        <v/>
      </c>
      <c r="F825" s="5" t="n"/>
    </row>
    <row r="826">
      <c r="A826" s="10">
        <f>IF($E826="","",INDEX('Input Transaksi'!$A:$A,$E826))</f>
        <v/>
      </c>
      <c r="B826" s="5">
        <f>IF($E826="","",INDEX('Input Transaksi'!$D:$D,$E826))</f>
        <v/>
      </c>
      <c r="C826">
        <f>IF($E826="","",INDEX('Input Transaksi'!$E:$E,$E826))</f>
        <v/>
      </c>
      <c r="D826" s="5">
        <f>IF($E826="","",INDEX('Input Transaksi'!$F:$F,$E826))</f>
        <v/>
      </c>
      <c r="E826">
        <f>IFERROR(AGGREGATE(15,6,ROW('Input Transaksi'!$B$5:$B$5000)/('Input Transaksi'!$B$5:$B$5000="GRIYA ANYAR"),ROWS($E$5:E826)),"")</f>
        <v/>
      </c>
      <c r="F826" s="5" t="n"/>
    </row>
    <row r="827">
      <c r="A827" s="10">
        <f>IF($E827="","",INDEX('Input Transaksi'!$A:$A,$E827))</f>
        <v/>
      </c>
      <c r="B827" s="5">
        <f>IF($E827="","",INDEX('Input Transaksi'!$D:$D,$E827))</f>
        <v/>
      </c>
      <c r="C827">
        <f>IF($E827="","",INDEX('Input Transaksi'!$E:$E,$E827))</f>
        <v/>
      </c>
      <c r="D827" s="5">
        <f>IF($E827="","",INDEX('Input Transaksi'!$F:$F,$E827))</f>
        <v/>
      </c>
      <c r="E827">
        <f>IFERROR(AGGREGATE(15,6,ROW('Input Transaksi'!$B$5:$B$5000)/('Input Transaksi'!$B$5:$B$5000="GRIYA ANYAR"),ROWS($E$5:E827)),"")</f>
        <v/>
      </c>
      <c r="F827" s="5" t="n"/>
    </row>
    <row r="828">
      <c r="A828" s="10">
        <f>IF($E828="","",INDEX('Input Transaksi'!$A:$A,$E828))</f>
        <v/>
      </c>
      <c r="B828" s="5">
        <f>IF($E828="","",INDEX('Input Transaksi'!$D:$D,$E828))</f>
        <v/>
      </c>
      <c r="C828">
        <f>IF($E828="","",INDEX('Input Transaksi'!$E:$E,$E828))</f>
        <v/>
      </c>
      <c r="D828" s="5">
        <f>IF($E828="","",INDEX('Input Transaksi'!$F:$F,$E828))</f>
        <v/>
      </c>
      <c r="E828">
        <f>IFERROR(AGGREGATE(15,6,ROW('Input Transaksi'!$B$5:$B$5000)/('Input Transaksi'!$B$5:$B$5000="GRIYA ANYAR"),ROWS($E$5:E828)),"")</f>
        <v/>
      </c>
      <c r="F828" s="5" t="n"/>
    </row>
    <row r="829">
      <c r="A829" s="10">
        <f>IF($E829="","",INDEX('Input Transaksi'!$A:$A,$E829))</f>
        <v/>
      </c>
      <c r="B829" s="5">
        <f>IF($E829="","",INDEX('Input Transaksi'!$D:$D,$E829))</f>
        <v/>
      </c>
      <c r="C829">
        <f>IF($E829="","",INDEX('Input Transaksi'!$E:$E,$E829))</f>
        <v/>
      </c>
      <c r="D829" s="5">
        <f>IF($E829="","",INDEX('Input Transaksi'!$F:$F,$E829))</f>
        <v/>
      </c>
      <c r="E829">
        <f>IFERROR(AGGREGATE(15,6,ROW('Input Transaksi'!$B$5:$B$5000)/('Input Transaksi'!$B$5:$B$5000="GRIYA ANYAR"),ROWS($E$5:E829)),"")</f>
        <v/>
      </c>
      <c r="F829" s="5" t="n"/>
    </row>
    <row r="830">
      <c r="A830" s="10">
        <f>IF($E830="","",INDEX('Input Transaksi'!$A:$A,$E830))</f>
        <v/>
      </c>
      <c r="B830" s="5">
        <f>IF($E830="","",INDEX('Input Transaksi'!$D:$D,$E830))</f>
        <v/>
      </c>
      <c r="C830">
        <f>IF($E830="","",INDEX('Input Transaksi'!$E:$E,$E830))</f>
        <v/>
      </c>
      <c r="D830" s="5">
        <f>IF($E830="","",INDEX('Input Transaksi'!$F:$F,$E830))</f>
        <v/>
      </c>
      <c r="E830">
        <f>IFERROR(AGGREGATE(15,6,ROW('Input Transaksi'!$B$5:$B$5000)/('Input Transaksi'!$B$5:$B$5000="GRIYA ANYAR"),ROWS($E$5:E830)),"")</f>
        <v/>
      </c>
      <c r="F830" s="5" t="n"/>
    </row>
    <row r="831">
      <c r="A831" s="10">
        <f>IF($E831="","",INDEX('Input Transaksi'!$A:$A,$E831))</f>
        <v/>
      </c>
      <c r="B831" s="5">
        <f>IF($E831="","",INDEX('Input Transaksi'!$D:$D,$E831))</f>
        <v/>
      </c>
      <c r="C831">
        <f>IF($E831="","",INDEX('Input Transaksi'!$E:$E,$E831))</f>
        <v/>
      </c>
      <c r="D831" s="5">
        <f>IF($E831="","",INDEX('Input Transaksi'!$F:$F,$E831))</f>
        <v/>
      </c>
      <c r="E831">
        <f>IFERROR(AGGREGATE(15,6,ROW('Input Transaksi'!$B$5:$B$5000)/('Input Transaksi'!$B$5:$B$5000="GRIYA ANYAR"),ROWS($E$5:E831)),"")</f>
        <v/>
      </c>
      <c r="F831" s="5" t="n"/>
    </row>
    <row r="832">
      <c r="A832" s="10">
        <f>IF($E832="","",INDEX('Input Transaksi'!$A:$A,$E832))</f>
        <v/>
      </c>
      <c r="B832" s="5">
        <f>IF($E832="","",INDEX('Input Transaksi'!$D:$D,$E832))</f>
        <v/>
      </c>
      <c r="C832">
        <f>IF($E832="","",INDEX('Input Transaksi'!$E:$E,$E832))</f>
        <v/>
      </c>
      <c r="D832" s="5">
        <f>IF($E832="","",INDEX('Input Transaksi'!$F:$F,$E832))</f>
        <v/>
      </c>
      <c r="E832">
        <f>IFERROR(AGGREGATE(15,6,ROW('Input Transaksi'!$B$5:$B$5000)/('Input Transaksi'!$B$5:$B$5000="GRIYA ANYAR"),ROWS($E$5:E832)),"")</f>
        <v/>
      </c>
      <c r="F832" s="5" t="n"/>
    </row>
    <row r="833">
      <c r="A833" s="10">
        <f>IF($E833="","",INDEX('Input Transaksi'!$A:$A,$E833))</f>
        <v/>
      </c>
      <c r="B833" s="5">
        <f>IF($E833="","",INDEX('Input Transaksi'!$D:$D,$E833))</f>
        <v/>
      </c>
      <c r="C833">
        <f>IF($E833="","",INDEX('Input Transaksi'!$E:$E,$E833))</f>
        <v/>
      </c>
      <c r="D833" s="5">
        <f>IF($E833="","",INDEX('Input Transaksi'!$F:$F,$E833))</f>
        <v/>
      </c>
      <c r="E833">
        <f>IFERROR(AGGREGATE(15,6,ROW('Input Transaksi'!$B$5:$B$5000)/('Input Transaksi'!$B$5:$B$5000="GRIYA ANYAR"),ROWS($E$5:E833)),"")</f>
        <v/>
      </c>
      <c r="F833" s="5" t="n"/>
    </row>
    <row r="834">
      <c r="A834" s="10">
        <f>IF($E834="","",INDEX('Input Transaksi'!$A:$A,$E834))</f>
        <v/>
      </c>
      <c r="B834" s="5">
        <f>IF($E834="","",INDEX('Input Transaksi'!$D:$D,$E834))</f>
        <v/>
      </c>
      <c r="C834">
        <f>IF($E834="","",INDEX('Input Transaksi'!$E:$E,$E834))</f>
        <v/>
      </c>
      <c r="D834" s="5">
        <f>IF($E834="","",INDEX('Input Transaksi'!$F:$F,$E834))</f>
        <v/>
      </c>
      <c r="E834">
        <f>IFERROR(AGGREGATE(15,6,ROW('Input Transaksi'!$B$5:$B$5000)/('Input Transaksi'!$B$5:$B$5000="GRIYA ANYAR"),ROWS($E$5:E834)),"")</f>
        <v/>
      </c>
      <c r="F834" s="5" t="n"/>
    </row>
    <row r="835">
      <c r="A835" s="10">
        <f>IF($E835="","",INDEX('Input Transaksi'!$A:$A,$E835))</f>
        <v/>
      </c>
      <c r="B835" s="5">
        <f>IF($E835="","",INDEX('Input Transaksi'!$D:$D,$E835))</f>
        <v/>
      </c>
      <c r="C835">
        <f>IF($E835="","",INDEX('Input Transaksi'!$E:$E,$E835))</f>
        <v/>
      </c>
      <c r="D835" s="5">
        <f>IF($E835="","",INDEX('Input Transaksi'!$F:$F,$E835))</f>
        <v/>
      </c>
      <c r="E835">
        <f>IFERROR(AGGREGATE(15,6,ROW('Input Transaksi'!$B$5:$B$5000)/('Input Transaksi'!$B$5:$B$5000="GRIYA ANYAR"),ROWS($E$5:E835)),"")</f>
        <v/>
      </c>
      <c r="F835" s="5" t="n"/>
    </row>
    <row r="836">
      <c r="A836" s="10">
        <f>IF($E836="","",INDEX('Input Transaksi'!$A:$A,$E836))</f>
        <v/>
      </c>
      <c r="B836" s="5">
        <f>IF($E836="","",INDEX('Input Transaksi'!$D:$D,$E836))</f>
        <v/>
      </c>
      <c r="C836">
        <f>IF($E836="","",INDEX('Input Transaksi'!$E:$E,$E836))</f>
        <v/>
      </c>
      <c r="D836" s="5">
        <f>IF($E836="","",INDEX('Input Transaksi'!$F:$F,$E836))</f>
        <v/>
      </c>
      <c r="E836">
        <f>IFERROR(AGGREGATE(15,6,ROW('Input Transaksi'!$B$5:$B$5000)/('Input Transaksi'!$B$5:$B$5000="GRIYA ANYAR"),ROWS($E$5:E836)),"")</f>
        <v/>
      </c>
      <c r="F836" s="5" t="n"/>
    </row>
    <row r="837">
      <c r="A837" s="10">
        <f>IF($E837="","",INDEX('Input Transaksi'!$A:$A,$E837))</f>
        <v/>
      </c>
      <c r="B837" s="5">
        <f>IF($E837="","",INDEX('Input Transaksi'!$D:$D,$E837))</f>
        <v/>
      </c>
      <c r="C837">
        <f>IF($E837="","",INDEX('Input Transaksi'!$E:$E,$E837))</f>
        <v/>
      </c>
      <c r="D837" s="5">
        <f>IF($E837="","",INDEX('Input Transaksi'!$F:$F,$E837))</f>
        <v/>
      </c>
      <c r="E837">
        <f>IFERROR(AGGREGATE(15,6,ROW('Input Transaksi'!$B$5:$B$5000)/('Input Transaksi'!$B$5:$B$5000="GRIYA ANYAR"),ROWS($E$5:E837)),"")</f>
        <v/>
      </c>
      <c r="F837" s="5" t="n"/>
    </row>
    <row r="838">
      <c r="A838" s="10">
        <f>IF($E838="","",INDEX('Input Transaksi'!$A:$A,$E838))</f>
        <v/>
      </c>
      <c r="B838" s="5">
        <f>IF($E838="","",INDEX('Input Transaksi'!$D:$D,$E838))</f>
        <v/>
      </c>
      <c r="C838">
        <f>IF($E838="","",INDEX('Input Transaksi'!$E:$E,$E838))</f>
        <v/>
      </c>
      <c r="D838" s="5">
        <f>IF($E838="","",INDEX('Input Transaksi'!$F:$F,$E838))</f>
        <v/>
      </c>
      <c r="E838">
        <f>IFERROR(AGGREGATE(15,6,ROW('Input Transaksi'!$B$5:$B$5000)/('Input Transaksi'!$B$5:$B$5000="GRIYA ANYAR"),ROWS($E$5:E838)),"")</f>
        <v/>
      </c>
      <c r="F838" s="5" t="n"/>
    </row>
    <row r="839">
      <c r="A839" s="10">
        <f>IF($E839="","",INDEX('Input Transaksi'!$A:$A,$E839))</f>
        <v/>
      </c>
      <c r="B839" s="5">
        <f>IF($E839="","",INDEX('Input Transaksi'!$D:$D,$E839))</f>
        <v/>
      </c>
      <c r="C839">
        <f>IF($E839="","",INDEX('Input Transaksi'!$E:$E,$E839))</f>
        <v/>
      </c>
      <c r="D839" s="5">
        <f>IF($E839="","",INDEX('Input Transaksi'!$F:$F,$E839))</f>
        <v/>
      </c>
      <c r="E839">
        <f>IFERROR(AGGREGATE(15,6,ROW('Input Transaksi'!$B$5:$B$5000)/('Input Transaksi'!$B$5:$B$5000="GRIYA ANYAR"),ROWS($E$5:E839)),"")</f>
        <v/>
      </c>
      <c r="F839" s="5" t="n"/>
    </row>
    <row r="840">
      <c r="A840" s="10">
        <f>IF($E840="","",INDEX('Input Transaksi'!$A:$A,$E840))</f>
        <v/>
      </c>
      <c r="B840" s="5">
        <f>IF($E840="","",INDEX('Input Transaksi'!$D:$D,$E840))</f>
        <v/>
      </c>
      <c r="C840">
        <f>IF($E840="","",INDEX('Input Transaksi'!$E:$E,$E840))</f>
        <v/>
      </c>
      <c r="D840" s="5">
        <f>IF($E840="","",INDEX('Input Transaksi'!$F:$F,$E840))</f>
        <v/>
      </c>
      <c r="E840">
        <f>IFERROR(AGGREGATE(15,6,ROW('Input Transaksi'!$B$5:$B$5000)/('Input Transaksi'!$B$5:$B$5000="GRIYA ANYAR"),ROWS($E$5:E840)),"")</f>
        <v/>
      </c>
      <c r="F840" s="5" t="n"/>
    </row>
    <row r="841">
      <c r="A841" s="10">
        <f>IF($E841="","",INDEX('Input Transaksi'!$A:$A,$E841))</f>
        <v/>
      </c>
      <c r="B841" s="5">
        <f>IF($E841="","",INDEX('Input Transaksi'!$D:$D,$E841))</f>
        <v/>
      </c>
      <c r="C841">
        <f>IF($E841="","",INDEX('Input Transaksi'!$E:$E,$E841))</f>
        <v/>
      </c>
      <c r="D841" s="5">
        <f>IF($E841="","",INDEX('Input Transaksi'!$F:$F,$E841))</f>
        <v/>
      </c>
      <c r="E841">
        <f>IFERROR(AGGREGATE(15,6,ROW('Input Transaksi'!$B$5:$B$5000)/('Input Transaksi'!$B$5:$B$5000="GRIYA ANYAR"),ROWS($E$5:E841)),"")</f>
        <v/>
      </c>
      <c r="F841" s="5" t="n"/>
    </row>
    <row r="842">
      <c r="A842" s="10">
        <f>IF($E842="","",INDEX('Input Transaksi'!$A:$A,$E842))</f>
        <v/>
      </c>
      <c r="B842" s="5">
        <f>IF($E842="","",INDEX('Input Transaksi'!$D:$D,$E842))</f>
        <v/>
      </c>
      <c r="C842">
        <f>IF($E842="","",INDEX('Input Transaksi'!$E:$E,$E842))</f>
        <v/>
      </c>
      <c r="D842" s="5">
        <f>IF($E842="","",INDEX('Input Transaksi'!$F:$F,$E842))</f>
        <v/>
      </c>
      <c r="E842">
        <f>IFERROR(AGGREGATE(15,6,ROW('Input Transaksi'!$B$5:$B$5000)/('Input Transaksi'!$B$5:$B$5000="GRIYA ANYAR"),ROWS($E$5:E842)),"")</f>
        <v/>
      </c>
      <c r="F842" s="5" t="n"/>
    </row>
    <row r="843">
      <c r="A843" s="10">
        <f>IF($E843="","",INDEX('Input Transaksi'!$A:$A,$E843))</f>
        <v/>
      </c>
      <c r="B843" s="5">
        <f>IF($E843="","",INDEX('Input Transaksi'!$D:$D,$E843))</f>
        <v/>
      </c>
      <c r="C843">
        <f>IF($E843="","",INDEX('Input Transaksi'!$E:$E,$E843))</f>
        <v/>
      </c>
      <c r="D843" s="5">
        <f>IF($E843="","",INDEX('Input Transaksi'!$F:$F,$E843))</f>
        <v/>
      </c>
      <c r="E843">
        <f>IFERROR(AGGREGATE(15,6,ROW('Input Transaksi'!$B$5:$B$5000)/('Input Transaksi'!$B$5:$B$5000="GRIYA ANYAR"),ROWS($E$5:E843)),"")</f>
        <v/>
      </c>
      <c r="F843" s="5" t="n"/>
    </row>
    <row r="844">
      <c r="A844" s="10">
        <f>IF($E844="","",INDEX('Input Transaksi'!$A:$A,$E844))</f>
        <v/>
      </c>
      <c r="B844" s="5">
        <f>IF($E844="","",INDEX('Input Transaksi'!$D:$D,$E844))</f>
        <v/>
      </c>
      <c r="C844">
        <f>IF($E844="","",INDEX('Input Transaksi'!$E:$E,$E844))</f>
        <v/>
      </c>
      <c r="D844" s="5">
        <f>IF($E844="","",INDEX('Input Transaksi'!$F:$F,$E844))</f>
        <v/>
      </c>
      <c r="E844">
        <f>IFERROR(AGGREGATE(15,6,ROW('Input Transaksi'!$B$5:$B$5000)/('Input Transaksi'!$B$5:$B$5000="GRIYA ANYAR"),ROWS($E$5:E844)),"")</f>
        <v/>
      </c>
      <c r="F844" s="5" t="n"/>
    </row>
    <row r="845">
      <c r="A845" s="10">
        <f>IF($E845="","",INDEX('Input Transaksi'!$A:$A,$E845))</f>
        <v/>
      </c>
      <c r="B845" s="5">
        <f>IF($E845="","",INDEX('Input Transaksi'!$D:$D,$E845))</f>
        <v/>
      </c>
      <c r="C845">
        <f>IF($E845="","",INDEX('Input Transaksi'!$E:$E,$E845))</f>
        <v/>
      </c>
      <c r="D845" s="5">
        <f>IF($E845="","",INDEX('Input Transaksi'!$F:$F,$E845))</f>
        <v/>
      </c>
      <c r="E845">
        <f>IFERROR(AGGREGATE(15,6,ROW('Input Transaksi'!$B$5:$B$5000)/('Input Transaksi'!$B$5:$B$5000="GRIYA ANYAR"),ROWS($E$5:E845)),"")</f>
        <v/>
      </c>
      <c r="F845" s="5" t="n"/>
    </row>
    <row r="846">
      <c r="A846" s="10">
        <f>IF($E846="","",INDEX('Input Transaksi'!$A:$A,$E846))</f>
        <v/>
      </c>
      <c r="B846" s="5">
        <f>IF($E846="","",INDEX('Input Transaksi'!$D:$D,$E846))</f>
        <v/>
      </c>
      <c r="C846">
        <f>IF($E846="","",INDEX('Input Transaksi'!$E:$E,$E846))</f>
        <v/>
      </c>
      <c r="D846" s="5">
        <f>IF($E846="","",INDEX('Input Transaksi'!$F:$F,$E846))</f>
        <v/>
      </c>
      <c r="E846">
        <f>IFERROR(AGGREGATE(15,6,ROW('Input Transaksi'!$B$5:$B$5000)/('Input Transaksi'!$B$5:$B$5000="GRIYA ANYAR"),ROWS($E$5:E846)),"")</f>
        <v/>
      </c>
      <c r="F846" s="5" t="n"/>
    </row>
    <row r="847">
      <c r="A847" s="10">
        <f>IF($E847="","",INDEX('Input Transaksi'!$A:$A,$E847))</f>
        <v/>
      </c>
      <c r="B847" s="5">
        <f>IF($E847="","",INDEX('Input Transaksi'!$D:$D,$E847))</f>
        <v/>
      </c>
      <c r="C847">
        <f>IF($E847="","",INDEX('Input Transaksi'!$E:$E,$E847))</f>
        <v/>
      </c>
      <c r="D847" s="5">
        <f>IF($E847="","",INDEX('Input Transaksi'!$F:$F,$E847))</f>
        <v/>
      </c>
      <c r="E847">
        <f>IFERROR(AGGREGATE(15,6,ROW('Input Transaksi'!$B$5:$B$5000)/('Input Transaksi'!$B$5:$B$5000="GRIYA ANYAR"),ROWS($E$5:E847)),"")</f>
        <v/>
      </c>
      <c r="F847" s="5" t="n"/>
    </row>
    <row r="848">
      <c r="A848" s="10">
        <f>IF($E848="","",INDEX('Input Transaksi'!$A:$A,$E848))</f>
        <v/>
      </c>
      <c r="B848" s="5">
        <f>IF($E848="","",INDEX('Input Transaksi'!$D:$D,$E848))</f>
        <v/>
      </c>
      <c r="C848">
        <f>IF($E848="","",INDEX('Input Transaksi'!$E:$E,$E848))</f>
        <v/>
      </c>
      <c r="D848" s="5">
        <f>IF($E848="","",INDEX('Input Transaksi'!$F:$F,$E848))</f>
        <v/>
      </c>
      <c r="E848">
        <f>IFERROR(AGGREGATE(15,6,ROW('Input Transaksi'!$B$5:$B$5000)/('Input Transaksi'!$B$5:$B$5000="GRIYA ANYAR"),ROWS($E$5:E848)),"")</f>
        <v/>
      </c>
      <c r="F848" s="5" t="n"/>
    </row>
    <row r="849">
      <c r="A849" s="10">
        <f>IF($E849="","",INDEX('Input Transaksi'!$A:$A,$E849))</f>
        <v/>
      </c>
      <c r="B849" s="5">
        <f>IF($E849="","",INDEX('Input Transaksi'!$D:$D,$E849))</f>
        <v/>
      </c>
      <c r="C849">
        <f>IF($E849="","",INDEX('Input Transaksi'!$E:$E,$E849))</f>
        <v/>
      </c>
      <c r="D849" s="5">
        <f>IF($E849="","",INDEX('Input Transaksi'!$F:$F,$E849))</f>
        <v/>
      </c>
      <c r="E849">
        <f>IFERROR(AGGREGATE(15,6,ROW('Input Transaksi'!$B$5:$B$5000)/('Input Transaksi'!$B$5:$B$5000="GRIYA ANYAR"),ROWS($E$5:E849)),"")</f>
        <v/>
      </c>
      <c r="F849" s="5" t="n"/>
    </row>
    <row r="850">
      <c r="A850" s="10">
        <f>IF($E850="","",INDEX('Input Transaksi'!$A:$A,$E850))</f>
        <v/>
      </c>
      <c r="B850" s="5">
        <f>IF($E850="","",INDEX('Input Transaksi'!$D:$D,$E850))</f>
        <v/>
      </c>
      <c r="C850">
        <f>IF($E850="","",INDEX('Input Transaksi'!$E:$E,$E850))</f>
        <v/>
      </c>
      <c r="D850" s="5">
        <f>IF($E850="","",INDEX('Input Transaksi'!$F:$F,$E850))</f>
        <v/>
      </c>
      <c r="E850">
        <f>IFERROR(AGGREGATE(15,6,ROW('Input Transaksi'!$B$5:$B$5000)/('Input Transaksi'!$B$5:$B$5000="GRIYA ANYAR"),ROWS($E$5:E850)),"")</f>
        <v/>
      </c>
      <c r="F850" s="5" t="n"/>
    </row>
    <row r="851">
      <c r="A851" s="10">
        <f>IF($E851="","",INDEX('Input Transaksi'!$A:$A,$E851))</f>
        <v/>
      </c>
      <c r="B851" s="5">
        <f>IF($E851="","",INDEX('Input Transaksi'!$D:$D,$E851))</f>
        <v/>
      </c>
      <c r="C851">
        <f>IF($E851="","",INDEX('Input Transaksi'!$E:$E,$E851))</f>
        <v/>
      </c>
      <c r="D851" s="5">
        <f>IF($E851="","",INDEX('Input Transaksi'!$F:$F,$E851))</f>
        <v/>
      </c>
      <c r="E851">
        <f>IFERROR(AGGREGATE(15,6,ROW('Input Transaksi'!$B$5:$B$5000)/('Input Transaksi'!$B$5:$B$5000="GRIYA ANYAR"),ROWS($E$5:E851)),"")</f>
        <v/>
      </c>
      <c r="F851" s="5" t="n"/>
    </row>
    <row r="852">
      <c r="A852" s="10">
        <f>IF($E852="","",INDEX('Input Transaksi'!$A:$A,$E852))</f>
        <v/>
      </c>
      <c r="B852" s="5">
        <f>IF($E852="","",INDEX('Input Transaksi'!$D:$D,$E852))</f>
        <v/>
      </c>
      <c r="C852">
        <f>IF($E852="","",INDEX('Input Transaksi'!$E:$E,$E852))</f>
        <v/>
      </c>
      <c r="D852" s="5">
        <f>IF($E852="","",INDEX('Input Transaksi'!$F:$F,$E852))</f>
        <v/>
      </c>
      <c r="E852">
        <f>IFERROR(AGGREGATE(15,6,ROW('Input Transaksi'!$B$5:$B$5000)/('Input Transaksi'!$B$5:$B$5000="GRIYA ANYAR"),ROWS($E$5:E852)),"")</f>
        <v/>
      </c>
      <c r="F852" s="5" t="n"/>
    </row>
    <row r="853">
      <c r="A853" s="10">
        <f>IF($E853="","",INDEX('Input Transaksi'!$A:$A,$E853))</f>
        <v/>
      </c>
      <c r="B853" s="5">
        <f>IF($E853="","",INDEX('Input Transaksi'!$D:$D,$E853))</f>
        <v/>
      </c>
      <c r="C853">
        <f>IF($E853="","",INDEX('Input Transaksi'!$E:$E,$E853))</f>
        <v/>
      </c>
      <c r="D853" s="5">
        <f>IF($E853="","",INDEX('Input Transaksi'!$F:$F,$E853))</f>
        <v/>
      </c>
      <c r="E853">
        <f>IFERROR(AGGREGATE(15,6,ROW('Input Transaksi'!$B$5:$B$5000)/('Input Transaksi'!$B$5:$B$5000="GRIYA ANYAR"),ROWS($E$5:E853)),"")</f>
        <v/>
      </c>
      <c r="F853" s="5" t="n"/>
    </row>
    <row r="854">
      <c r="A854" s="10">
        <f>IF($E854="","",INDEX('Input Transaksi'!$A:$A,$E854))</f>
        <v/>
      </c>
      <c r="B854" s="5">
        <f>IF($E854="","",INDEX('Input Transaksi'!$D:$D,$E854))</f>
        <v/>
      </c>
      <c r="C854">
        <f>IF($E854="","",INDEX('Input Transaksi'!$E:$E,$E854))</f>
        <v/>
      </c>
      <c r="D854" s="5">
        <f>IF($E854="","",INDEX('Input Transaksi'!$F:$F,$E854))</f>
        <v/>
      </c>
      <c r="E854">
        <f>IFERROR(AGGREGATE(15,6,ROW('Input Transaksi'!$B$5:$B$5000)/('Input Transaksi'!$B$5:$B$5000="GRIYA ANYAR"),ROWS($E$5:E854)),"")</f>
        <v/>
      </c>
      <c r="F854" s="5" t="n"/>
    </row>
    <row r="855">
      <c r="A855" s="10">
        <f>IF($E855="","",INDEX('Input Transaksi'!$A:$A,$E855))</f>
        <v/>
      </c>
      <c r="B855" s="5">
        <f>IF($E855="","",INDEX('Input Transaksi'!$D:$D,$E855))</f>
        <v/>
      </c>
      <c r="C855">
        <f>IF($E855="","",INDEX('Input Transaksi'!$E:$E,$E855))</f>
        <v/>
      </c>
      <c r="D855" s="5">
        <f>IF($E855="","",INDEX('Input Transaksi'!$F:$F,$E855))</f>
        <v/>
      </c>
      <c r="E855">
        <f>IFERROR(AGGREGATE(15,6,ROW('Input Transaksi'!$B$5:$B$5000)/('Input Transaksi'!$B$5:$B$5000="GRIYA ANYAR"),ROWS($E$5:E855)),"")</f>
        <v/>
      </c>
      <c r="F855" s="5" t="n"/>
    </row>
    <row r="856">
      <c r="A856" s="10">
        <f>IF($E856="","",INDEX('Input Transaksi'!$A:$A,$E856))</f>
        <v/>
      </c>
      <c r="B856" s="5">
        <f>IF($E856="","",INDEX('Input Transaksi'!$D:$D,$E856))</f>
        <v/>
      </c>
      <c r="C856">
        <f>IF($E856="","",INDEX('Input Transaksi'!$E:$E,$E856))</f>
        <v/>
      </c>
      <c r="D856" s="5">
        <f>IF($E856="","",INDEX('Input Transaksi'!$F:$F,$E856))</f>
        <v/>
      </c>
      <c r="E856">
        <f>IFERROR(AGGREGATE(15,6,ROW('Input Transaksi'!$B$5:$B$5000)/('Input Transaksi'!$B$5:$B$5000="GRIYA ANYAR"),ROWS($E$5:E856)),"")</f>
        <v/>
      </c>
      <c r="F856" s="5" t="n"/>
    </row>
    <row r="857">
      <c r="A857" s="10">
        <f>IF($E857="","",INDEX('Input Transaksi'!$A:$A,$E857))</f>
        <v/>
      </c>
      <c r="B857" s="5">
        <f>IF($E857="","",INDEX('Input Transaksi'!$D:$D,$E857))</f>
        <v/>
      </c>
      <c r="C857">
        <f>IF($E857="","",INDEX('Input Transaksi'!$E:$E,$E857))</f>
        <v/>
      </c>
      <c r="D857" s="5">
        <f>IF($E857="","",INDEX('Input Transaksi'!$F:$F,$E857))</f>
        <v/>
      </c>
      <c r="E857">
        <f>IFERROR(AGGREGATE(15,6,ROW('Input Transaksi'!$B$5:$B$5000)/('Input Transaksi'!$B$5:$B$5000="GRIYA ANYAR"),ROWS($E$5:E857)),"")</f>
        <v/>
      </c>
      <c r="F857" s="5" t="n"/>
    </row>
    <row r="858">
      <c r="A858" s="10">
        <f>IF($E858="","",INDEX('Input Transaksi'!$A:$A,$E858))</f>
        <v/>
      </c>
      <c r="B858" s="5">
        <f>IF($E858="","",INDEX('Input Transaksi'!$D:$D,$E858))</f>
        <v/>
      </c>
      <c r="C858">
        <f>IF($E858="","",INDEX('Input Transaksi'!$E:$E,$E858))</f>
        <v/>
      </c>
      <c r="D858" s="5">
        <f>IF($E858="","",INDEX('Input Transaksi'!$F:$F,$E858))</f>
        <v/>
      </c>
      <c r="E858">
        <f>IFERROR(AGGREGATE(15,6,ROW('Input Transaksi'!$B$5:$B$5000)/('Input Transaksi'!$B$5:$B$5000="GRIYA ANYAR"),ROWS($E$5:E858)),"")</f>
        <v/>
      </c>
      <c r="F858" s="5" t="n"/>
    </row>
    <row r="859">
      <c r="A859" s="10">
        <f>IF($E859="","",INDEX('Input Transaksi'!$A:$A,$E859))</f>
        <v/>
      </c>
      <c r="B859" s="5">
        <f>IF($E859="","",INDEX('Input Transaksi'!$D:$D,$E859))</f>
        <v/>
      </c>
      <c r="C859">
        <f>IF($E859="","",INDEX('Input Transaksi'!$E:$E,$E859))</f>
        <v/>
      </c>
      <c r="D859" s="5">
        <f>IF($E859="","",INDEX('Input Transaksi'!$F:$F,$E859))</f>
        <v/>
      </c>
      <c r="E859">
        <f>IFERROR(AGGREGATE(15,6,ROW('Input Transaksi'!$B$5:$B$5000)/('Input Transaksi'!$B$5:$B$5000="GRIYA ANYAR"),ROWS($E$5:E859)),"")</f>
        <v/>
      </c>
      <c r="F859" s="5" t="n"/>
    </row>
    <row r="860">
      <c r="A860" s="10">
        <f>IF($E860="","",INDEX('Input Transaksi'!$A:$A,$E860))</f>
        <v/>
      </c>
      <c r="B860" s="5">
        <f>IF($E860="","",INDEX('Input Transaksi'!$D:$D,$E860))</f>
        <v/>
      </c>
      <c r="C860">
        <f>IF($E860="","",INDEX('Input Transaksi'!$E:$E,$E860))</f>
        <v/>
      </c>
      <c r="D860" s="5">
        <f>IF($E860="","",INDEX('Input Transaksi'!$F:$F,$E860))</f>
        <v/>
      </c>
      <c r="E860">
        <f>IFERROR(AGGREGATE(15,6,ROW('Input Transaksi'!$B$5:$B$5000)/('Input Transaksi'!$B$5:$B$5000="GRIYA ANYAR"),ROWS($E$5:E860)),"")</f>
        <v/>
      </c>
      <c r="F860" s="5" t="n"/>
    </row>
    <row r="861">
      <c r="A861" s="10">
        <f>IF($E861="","",INDEX('Input Transaksi'!$A:$A,$E861))</f>
        <v/>
      </c>
      <c r="B861" s="5">
        <f>IF($E861="","",INDEX('Input Transaksi'!$D:$D,$E861))</f>
        <v/>
      </c>
      <c r="C861">
        <f>IF($E861="","",INDEX('Input Transaksi'!$E:$E,$E861))</f>
        <v/>
      </c>
      <c r="D861" s="5">
        <f>IF($E861="","",INDEX('Input Transaksi'!$F:$F,$E861))</f>
        <v/>
      </c>
      <c r="E861">
        <f>IFERROR(AGGREGATE(15,6,ROW('Input Transaksi'!$B$5:$B$5000)/('Input Transaksi'!$B$5:$B$5000="GRIYA ANYAR"),ROWS($E$5:E861)),"")</f>
        <v/>
      </c>
      <c r="F861" s="5" t="n"/>
    </row>
    <row r="862">
      <c r="A862" s="10">
        <f>IF($E862="","",INDEX('Input Transaksi'!$A:$A,$E862))</f>
        <v/>
      </c>
      <c r="B862" s="5">
        <f>IF($E862="","",INDEX('Input Transaksi'!$D:$D,$E862))</f>
        <v/>
      </c>
      <c r="C862">
        <f>IF($E862="","",INDEX('Input Transaksi'!$E:$E,$E862))</f>
        <v/>
      </c>
      <c r="D862" s="5">
        <f>IF($E862="","",INDEX('Input Transaksi'!$F:$F,$E862))</f>
        <v/>
      </c>
      <c r="E862">
        <f>IFERROR(AGGREGATE(15,6,ROW('Input Transaksi'!$B$5:$B$5000)/('Input Transaksi'!$B$5:$B$5000="GRIYA ANYAR"),ROWS($E$5:E862)),"")</f>
        <v/>
      </c>
      <c r="F862" s="5" t="n"/>
    </row>
    <row r="863">
      <c r="A863" s="10">
        <f>IF($E863="","",INDEX('Input Transaksi'!$A:$A,$E863))</f>
        <v/>
      </c>
      <c r="B863" s="5">
        <f>IF($E863="","",INDEX('Input Transaksi'!$D:$D,$E863))</f>
        <v/>
      </c>
      <c r="C863">
        <f>IF($E863="","",INDEX('Input Transaksi'!$E:$E,$E863))</f>
        <v/>
      </c>
      <c r="D863" s="5">
        <f>IF($E863="","",INDEX('Input Transaksi'!$F:$F,$E863))</f>
        <v/>
      </c>
      <c r="E863">
        <f>IFERROR(AGGREGATE(15,6,ROW('Input Transaksi'!$B$5:$B$5000)/('Input Transaksi'!$B$5:$B$5000="GRIYA ANYAR"),ROWS($E$5:E863)),"")</f>
        <v/>
      </c>
      <c r="F863" s="5" t="n"/>
    </row>
    <row r="864">
      <c r="A864" s="10">
        <f>IF($E864="","",INDEX('Input Transaksi'!$A:$A,$E864))</f>
        <v/>
      </c>
      <c r="B864" s="5">
        <f>IF($E864="","",INDEX('Input Transaksi'!$D:$D,$E864))</f>
        <v/>
      </c>
      <c r="C864">
        <f>IF($E864="","",INDEX('Input Transaksi'!$E:$E,$E864))</f>
        <v/>
      </c>
      <c r="D864" s="5">
        <f>IF($E864="","",INDEX('Input Transaksi'!$F:$F,$E864))</f>
        <v/>
      </c>
      <c r="E864">
        <f>IFERROR(AGGREGATE(15,6,ROW('Input Transaksi'!$B$5:$B$5000)/('Input Transaksi'!$B$5:$B$5000="GRIYA ANYAR"),ROWS($E$5:E864)),"")</f>
        <v/>
      </c>
      <c r="F864" s="5" t="n"/>
    </row>
    <row r="865">
      <c r="A865" s="10">
        <f>IF($E865="","",INDEX('Input Transaksi'!$A:$A,$E865))</f>
        <v/>
      </c>
      <c r="B865" s="5">
        <f>IF($E865="","",INDEX('Input Transaksi'!$D:$D,$E865))</f>
        <v/>
      </c>
      <c r="C865">
        <f>IF($E865="","",INDEX('Input Transaksi'!$E:$E,$E865))</f>
        <v/>
      </c>
      <c r="D865" s="5">
        <f>IF($E865="","",INDEX('Input Transaksi'!$F:$F,$E865))</f>
        <v/>
      </c>
      <c r="E865">
        <f>IFERROR(AGGREGATE(15,6,ROW('Input Transaksi'!$B$5:$B$5000)/('Input Transaksi'!$B$5:$B$5000="GRIYA ANYAR"),ROWS($E$5:E865)),"")</f>
        <v/>
      </c>
      <c r="F865" s="5" t="n"/>
    </row>
    <row r="866">
      <c r="A866" s="10">
        <f>IF($E866="","",INDEX('Input Transaksi'!$A:$A,$E866))</f>
        <v/>
      </c>
      <c r="B866" s="5">
        <f>IF($E866="","",INDEX('Input Transaksi'!$D:$D,$E866))</f>
        <v/>
      </c>
      <c r="C866">
        <f>IF($E866="","",INDEX('Input Transaksi'!$E:$E,$E866))</f>
        <v/>
      </c>
      <c r="D866" s="5">
        <f>IF($E866="","",INDEX('Input Transaksi'!$F:$F,$E866))</f>
        <v/>
      </c>
      <c r="E866">
        <f>IFERROR(AGGREGATE(15,6,ROW('Input Transaksi'!$B$5:$B$5000)/('Input Transaksi'!$B$5:$B$5000="GRIYA ANYAR"),ROWS($E$5:E866)),"")</f>
        <v/>
      </c>
      <c r="F866" s="5" t="n"/>
    </row>
    <row r="867">
      <c r="A867" s="10">
        <f>IF($E867="","",INDEX('Input Transaksi'!$A:$A,$E867))</f>
        <v/>
      </c>
      <c r="B867" s="5">
        <f>IF($E867="","",INDEX('Input Transaksi'!$D:$D,$E867))</f>
        <v/>
      </c>
      <c r="C867">
        <f>IF($E867="","",INDEX('Input Transaksi'!$E:$E,$E867))</f>
        <v/>
      </c>
      <c r="D867" s="5">
        <f>IF($E867="","",INDEX('Input Transaksi'!$F:$F,$E867))</f>
        <v/>
      </c>
      <c r="E867">
        <f>IFERROR(AGGREGATE(15,6,ROW('Input Transaksi'!$B$5:$B$5000)/('Input Transaksi'!$B$5:$B$5000="GRIYA ANYAR"),ROWS($E$5:E867)),"")</f>
        <v/>
      </c>
      <c r="F867" s="5" t="n"/>
    </row>
    <row r="868">
      <c r="A868" s="10">
        <f>IF($E868="","",INDEX('Input Transaksi'!$A:$A,$E868))</f>
        <v/>
      </c>
      <c r="B868" s="5">
        <f>IF($E868="","",INDEX('Input Transaksi'!$D:$D,$E868))</f>
        <v/>
      </c>
      <c r="C868">
        <f>IF($E868="","",INDEX('Input Transaksi'!$E:$E,$E868))</f>
        <v/>
      </c>
      <c r="D868" s="5">
        <f>IF($E868="","",INDEX('Input Transaksi'!$F:$F,$E868))</f>
        <v/>
      </c>
      <c r="E868">
        <f>IFERROR(AGGREGATE(15,6,ROW('Input Transaksi'!$B$5:$B$5000)/('Input Transaksi'!$B$5:$B$5000="GRIYA ANYAR"),ROWS($E$5:E868)),"")</f>
        <v/>
      </c>
      <c r="F868" s="5" t="n"/>
    </row>
    <row r="869">
      <c r="A869" s="10">
        <f>IF($E869="","",INDEX('Input Transaksi'!$A:$A,$E869))</f>
        <v/>
      </c>
      <c r="B869" s="5">
        <f>IF($E869="","",INDEX('Input Transaksi'!$D:$D,$E869))</f>
        <v/>
      </c>
      <c r="C869">
        <f>IF($E869="","",INDEX('Input Transaksi'!$E:$E,$E869))</f>
        <v/>
      </c>
      <c r="D869" s="5">
        <f>IF($E869="","",INDEX('Input Transaksi'!$F:$F,$E869))</f>
        <v/>
      </c>
      <c r="E869">
        <f>IFERROR(AGGREGATE(15,6,ROW('Input Transaksi'!$B$5:$B$5000)/('Input Transaksi'!$B$5:$B$5000="GRIYA ANYAR"),ROWS($E$5:E869)),"")</f>
        <v/>
      </c>
      <c r="F869" s="5" t="n"/>
    </row>
    <row r="870">
      <c r="A870" s="10">
        <f>IF($E870="","",INDEX('Input Transaksi'!$A:$A,$E870))</f>
        <v/>
      </c>
      <c r="B870" s="5">
        <f>IF($E870="","",INDEX('Input Transaksi'!$D:$D,$E870))</f>
        <v/>
      </c>
      <c r="C870">
        <f>IF($E870="","",INDEX('Input Transaksi'!$E:$E,$E870))</f>
        <v/>
      </c>
      <c r="D870" s="5">
        <f>IF($E870="","",INDEX('Input Transaksi'!$F:$F,$E870))</f>
        <v/>
      </c>
      <c r="E870">
        <f>IFERROR(AGGREGATE(15,6,ROW('Input Transaksi'!$B$5:$B$5000)/('Input Transaksi'!$B$5:$B$5000="GRIYA ANYAR"),ROWS($E$5:E870)),"")</f>
        <v/>
      </c>
      <c r="F870" s="5" t="n"/>
    </row>
    <row r="871">
      <c r="A871" s="10">
        <f>IF($E871="","",INDEX('Input Transaksi'!$A:$A,$E871))</f>
        <v/>
      </c>
      <c r="B871" s="5">
        <f>IF($E871="","",INDEX('Input Transaksi'!$D:$D,$E871))</f>
        <v/>
      </c>
      <c r="C871">
        <f>IF($E871="","",INDEX('Input Transaksi'!$E:$E,$E871))</f>
        <v/>
      </c>
      <c r="D871" s="5">
        <f>IF($E871="","",INDEX('Input Transaksi'!$F:$F,$E871))</f>
        <v/>
      </c>
      <c r="E871">
        <f>IFERROR(AGGREGATE(15,6,ROW('Input Transaksi'!$B$5:$B$5000)/('Input Transaksi'!$B$5:$B$5000="GRIYA ANYAR"),ROWS($E$5:E871)),"")</f>
        <v/>
      </c>
      <c r="F871" s="5" t="n"/>
    </row>
    <row r="872">
      <c r="A872" s="10">
        <f>IF($E872="","",INDEX('Input Transaksi'!$A:$A,$E872))</f>
        <v/>
      </c>
      <c r="B872" s="5">
        <f>IF($E872="","",INDEX('Input Transaksi'!$D:$D,$E872))</f>
        <v/>
      </c>
      <c r="C872">
        <f>IF($E872="","",INDEX('Input Transaksi'!$E:$E,$E872))</f>
        <v/>
      </c>
      <c r="D872" s="5">
        <f>IF($E872="","",INDEX('Input Transaksi'!$F:$F,$E872))</f>
        <v/>
      </c>
      <c r="E872">
        <f>IFERROR(AGGREGATE(15,6,ROW('Input Transaksi'!$B$5:$B$5000)/('Input Transaksi'!$B$5:$B$5000="GRIYA ANYAR"),ROWS($E$5:E872)),"")</f>
        <v/>
      </c>
      <c r="F872" s="5" t="n"/>
    </row>
    <row r="873">
      <c r="A873" s="10">
        <f>IF($E873="","",INDEX('Input Transaksi'!$A:$A,$E873))</f>
        <v/>
      </c>
      <c r="B873" s="5">
        <f>IF($E873="","",INDEX('Input Transaksi'!$D:$D,$E873))</f>
        <v/>
      </c>
      <c r="C873">
        <f>IF($E873="","",INDEX('Input Transaksi'!$E:$E,$E873))</f>
        <v/>
      </c>
      <c r="D873" s="5">
        <f>IF($E873="","",INDEX('Input Transaksi'!$F:$F,$E873))</f>
        <v/>
      </c>
      <c r="E873">
        <f>IFERROR(AGGREGATE(15,6,ROW('Input Transaksi'!$B$5:$B$5000)/('Input Transaksi'!$B$5:$B$5000="GRIYA ANYAR"),ROWS($E$5:E873)),"")</f>
        <v/>
      </c>
      <c r="F873" s="5" t="n"/>
    </row>
    <row r="874">
      <c r="A874" s="10">
        <f>IF($E874="","",INDEX('Input Transaksi'!$A:$A,$E874))</f>
        <v/>
      </c>
      <c r="B874" s="5">
        <f>IF($E874="","",INDEX('Input Transaksi'!$D:$D,$E874))</f>
        <v/>
      </c>
      <c r="C874">
        <f>IF($E874="","",INDEX('Input Transaksi'!$E:$E,$E874))</f>
        <v/>
      </c>
      <c r="D874" s="5">
        <f>IF($E874="","",INDEX('Input Transaksi'!$F:$F,$E874))</f>
        <v/>
      </c>
      <c r="E874">
        <f>IFERROR(AGGREGATE(15,6,ROW('Input Transaksi'!$B$5:$B$5000)/('Input Transaksi'!$B$5:$B$5000="GRIYA ANYAR"),ROWS($E$5:E874)),"")</f>
        <v/>
      </c>
      <c r="F874" s="5" t="n"/>
    </row>
    <row r="875">
      <c r="A875" s="10">
        <f>IF($E875="","",INDEX('Input Transaksi'!$A:$A,$E875))</f>
        <v/>
      </c>
      <c r="B875" s="5">
        <f>IF($E875="","",INDEX('Input Transaksi'!$D:$D,$E875))</f>
        <v/>
      </c>
      <c r="C875">
        <f>IF($E875="","",INDEX('Input Transaksi'!$E:$E,$E875))</f>
        <v/>
      </c>
      <c r="D875" s="5">
        <f>IF($E875="","",INDEX('Input Transaksi'!$F:$F,$E875))</f>
        <v/>
      </c>
      <c r="E875">
        <f>IFERROR(AGGREGATE(15,6,ROW('Input Transaksi'!$B$5:$B$5000)/('Input Transaksi'!$B$5:$B$5000="GRIYA ANYAR"),ROWS($E$5:E875)),"")</f>
        <v/>
      </c>
      <c r="F875" s="5" t="n"/>
    </row>
    <row r="876">
      <c r="A876" s="10">
        <f>IF($E876="","",INDEX('Input Transaksi'!$A:$A,$E876))</f>
        <v/>
      </c>
      <c r="B876" s="5">
        <f>IF($E876="","",INDEX('Input Transaksi'!$D:$D,$E876))</f>
        <v/>
      </c>
      <c r="C876">
        <f>IF($E876="","",INDEX('Input Transaksi'!$E:$E,$E876))</f>
        <v/>
      </c>
      <c r="D876" s="5">
        <f>IF($E876="","",INDEX('Input Transaksi'!$F:$F,$E876))</f>
        <v/>
      </c>
      <c r="E876">
        <f>IFERROR(AGGREGATE(15,6,ROW('Input Transaksi'!$B$5:$B$5000)/('Input Transaksi'!$B$5:$B$5000="GRIYA ANYAR"),ROWS($E$5:E876)),"")</f>
        <v/>
      </c>
      <c r="F876" s="5" t="n"/>
    </row>
    <row r="877">
      <c r="A877" s="10">
        <f>IF($E877="","",INDEX('Input Transaksi'!$A:$A,$E877))</f>
        <v/>
      </c>
      <c r="B877" s="5">
        <f>IF($E877="","",INDEX('Input Transaksi'!$D:$D,$E877))</f>
        <v/>
      </c>
      <c r="C877">
        <f>IF($E877="","",INDEX('Input Transaksi'!$E:$E,$E877))</f>
        <v/>
      </c>
      <c r="D877" s="5">
        <f>IF($E877="","",INDEX('Input Transaksi'!$F:$F,$E877))</f>
        <v/>
      </c>
      <c r="E877">
        <f>IFERROR(AGGREGATE(15,6,ROW('Input Transaksi'!$B$5:$B$5000)/('Input Transaksi'!$B$5:$B$5000="GRIYA ANYAR"),ROWS($E$5:E877)),"")</f>
        <v/>
      </c>
      <c r="F877" s="5" t="n"/>
    </row>
    <row r="878">
      <c r="A878" s="10">
        <f>IF($E878="","",INDEX('Input Transaksi'!$A:$A,$E878))</f>
        <v/>
      </c>
      <c r="B878" s="5">
        <f>IF($E878="","",INDEX('Input Transaksi'!$D:$D,$E878))</f>
        <v/>
      </c>
      <c r="C878">
        <f>IF($E878="","",INDEX('Input Transaksi'!$E:$E,$E878))</f>
        <v/>
      </c>
      <c r="D878" s="5">
        <f>IF($E878="","",INDEX('Input Transaksi'!$F:$F,$E878))</f>
        <v/>
      </c>
      <c r="E878">
        <f>IFERROR(AGGREGATE(15,6,ROW('Input Transaksi'!$B$5:$B$5000)/('Input Transaksi'!$B$5:$B$5000="GRIYA ANYAR"),ROWS($E$5:E878)),"")</f>
        <v/>
      </c>
      <c r="F878" s="5" t="n"/>
    </row>
    <row r="879">
      <c r="A879" s="10">
        <f>IF($E879="","",INDEX('Input Transaksi'!$A:$A,$E879))</f>
        <v/>
      </c>
      <c r="B879" s="5">
        <f>IF($E879="","",INDEX('Input Transaksi'!$D:$D,$E879))</f>
        <v/>
      </c>
      <c r="C879">
        <f>IF($E879="","",INDEX('Input Transaksi'!$E:$E,$E879))</f>
        <v/>
      </c>
      <c r="D879" s="5">
        <f>IF($E879="","",INDEX('Input Transaksi'!$F:$F,$E879))</f>
        <v/>
      </c>
      <c r="E879">
        <f>IFERROR(AGGREGATE(15,6,ROW('Input Transaksi'!$B$5:$B$5000)/('Input Transaksi'!$B$5:$B$5000="GRIYA ANYAR"),ROWS($E$5:E879)),"")</f>
        <v/>
      </c>
      <c r="F879" s="5" t="n"/>
    </row>
    <row r="880">
      <c r="A880" s="10">
        <f>IF($E880="","",INDEX('Input Transaksi'!$A:$A,$E880))</f>
        <v/>
      </c>
      <c r="B880" s="5">
        <f>IF($E880="","",INDEX('Input Transaksi'!$D:$D,$E880))</f>
        <v/>
      </c>
      <c r="C880">
        <f>IF($E880="","",INDEX('Input Transaksi'!$E:$E,$E880))</f>
        <v/>
      </c>
      <c r="D880" s="5">
        <f>IF($E880="","",INDEX('Input Transaksi'!$F:$F,$E880))</f>
        <v/>
      </c>
      <c r="E880">
        <f>IFERROR(AGGREGATE(15,6,ROW('Input Transaksi'!$B$5:$B$5000)/('Input Transaksi'!$B$5:$B$5000="GRIYA ANYAR"),ROWS($E$5:E880)),"")</f>
        <v/>
      </c>
      <c r="F880" s="5" t="n"/>
    </row>
    <row r="881">
      <c r="A881" s="10">
        <f>IF($E881="","",INDEX('Input Transaksi'!$A:$A,$E881))</f>
        <v/>
      </c>
      <c r="B881" s="5">
        <f>IF($E881="","",INDEX('Input Transaksi'!$D:$D,$E881))</f>
        <v/>
      </c>
      <c r="C881">
        <f>IF($E881="","",INDEX('Input Transaksi'!$E:$E,$E881))</f>
        <v/>
      </c>
      <c r="D881" s="5">
        <f>IF($E881="","",INDEX('Input Transaksi'!$F:$F,$E881))</f>
        <v/>
      </c>
      <c r="E881">
        <f>IFERROR(AGGREGATE(15,6,ROW('Input Transaksi'!$B$5:$B$5000)/('Input Transaksi'!$B$5:$B$5000="GRIYA ANYAR"),ROWS($E$5:E881)),"")</f>
        <v/>
      </c>
      <c r="F881" s="5" t="n"/>
    </row>
    <row r="882">
      <c r="A882" s="10">
        <f>IF($E882="","",INDEX('Input Transaksi'!$A:$A,$E882))</f>
        <v/>
      </c>
      <c r="B882" s="5">
        <f>IF($E882="","",INDEX('Input Transaksi'!$D:$D,$E882))</f>
        <v/>
      </c>
      <c r="C882">
        <f>IF($E882="","",INDEX('Input Transaksi'!$E:$E,$E882))</f>
        <v/>
      </c>
      <c r="D882" s="5">
        <f>IF($E882="","",INDEX('Input Transaksi'!$F:$F,$E882))</f>
        <v/>
      </c>
      <c r="E882">
        <f>IFERROR(AGGREGATE(15,6,ROW('Input Transaksi'!$B$5:$B$5000)/('Input Transaksi'!$B$5:$B$5000="GRIYA ANYAR"),ROWS($E$5:E882)),"")</f>
        <v/>
      </c>
      <c r="F882" s="5" t="n"/>
    </row>
    <row r="883">
      <c r="A883" s="10">
        <f>IF($E883="","",INDEX('Input Transaksi'!$A:$A,$E883))</f>
        <v/>
      </c>
      <c r="B883" s="5">
        <f>IF($E883="","",INDEX('Input Transaksi'!$D:$D,$E883))</f>
        <v/>
      </c>
      <c r="C883">
        <f>IF($E883="","",INDEX('Input Transaksi'!$E:$E,$E883))</f>
        <v/>
      </c>
      <c r="D883" s="5">
        <f>IF($E883="","",INDEX('Input Transaksi'!$F:$F,$E883))</f>
        <v/>
      </c>
      <c r="E883">
        <f>IFERROR(AGGREGATE(15,6,ROW('Input Transaksi'!$B$5:$B$5000)/('Input Transaksi'!$B$5:$B$5000="GRIYA ANYAR"),ROWS($E$5:E883)),"")</f>
        <v/>
      </c>
      <c r="F883" s="5" t="n"/>
    </row>
    <row r="884">
      <c r="A884" s="10">
        <f>IF($E884="","",INDEX('Input Transaksi'!$A:$A,$E884))</f>
        <v/>
      </c>
      <c r="B884" s="5">
        <f>IF($E884="","",INDEX('Input Transaksi'!$D:$D,$E884))</f>
        <v/>
      </c>
      <c r="C884">
        <f>IF($E884="","",INDEX('Input Transaksi'!$E:$E,$E884))</f>
        <v/>
      </c>
      <c r="D884" s="5">
        <f>IF($E884="","",INDEX('Input Transaksi'!$F:$F,$E884))</f>
        <v/>
      </c>
      <c r="E884">
        <f>IFERROR(AGGREGATE(15,6,ROW('Input Transaksi'!$B$5:$B$5000)/('Input Transaksi'!$B$5:$B$5000="GRIYA ANYAR"),ROWS($E$5:E884)),"")</f>
        <v/>
      </c>
      <c r="F884" s="5" t="n"/>
    </row>
    <row r="885">
      <c r="A885" s="10">
        <f>IF($E885="","",INDEX('Input Transaksi'!$A:$A,$E885))</f>
        <v/>
      </c>
      <c r="B885" s="5">
        <f>IF($E885="","",INDEX('Input Transaksi'!$D:$D,$E885))</f>
        <v/>
      </c>
      <c r="C885">
        <f>IF($E885="","",INDEX('Input Transaksi'!$E:$E,$E885))</f>
        <v/>
      </c>
      <c r="D885" s="5">
        <f>IF($E885="","",INDEX('Input Transaksi'!$F:$F,$E885))</f>
        <v/>
      </c>
      <c r="E885">
        <f>IFERROR(AGGREGATE(15,6,ROW('Input Transaksi'!$B$5:$B$5000)/('Input Transaksi'!$B$5:$B$5000="GRIYA ANYAR"),ROWS($E$5:E885)),"")</f>
        <v/>
      </c>
      <c r="F885" s="5" t="n"/>
    </row>
    <row r="886">
      <c r="A886" s="10">
        <f>IF($E886="","",INDEX('Input Transaksi'!$A:$A,$E886))</f>
        <v/>
      </c>
      <c r="B886" s="5">
        <f>IF($E886="","",INDEX('Input Transaksi'!$D:$D,$E886))</f>
        <v/>
      </c>
      <c r="C886">
        <f>IF($E886="","",INDEX('Input Transaksi'!$E:$E,$E886))</f>
        <v/>
      </c>
      <c r="D886" s="5">
        <f>IF($E886="","",INDEX('Input Transaksi'!$F:$F,$E886))</f>
        <v/>
      </c>
      <c r="E886">
        <f>IFERROR(AGGREGATE(15,6,ROW('Input Transaksi'!$B$5:$B$5000)/('Input Transaksi'!$B$5:$B$5000="GRIYA ANYAR"),ROWS($E$5:E886)),"")</f>
        <v/>
      </c>
      <c r="F886" s="5" t="n"/>
    </row>
    <row r="887">
      <c r="A887" s="10">
        <f>IF($E887="","",INDEX('Input Transaksi'!$A:$A,$E887))</f>
        <v/>
      </c>
      <c r="B887" s="5">
        <f>IF($E887="","",INDEX('Input Transaksi'!$D:$D,$E887))</f>
        <v/>
      </c>
      <c r="C887">
        <f>IF($E887="","",INDEX('Input Transaksi'!$E:$E,$E887))</f>
        <v/>
      </c>
      <c r="D887" s="5">
        <f>IF($E887="","",INDEX('Input Transaksi'!$F:$F,$E887))</f>
        <v/>
      </c>
      <c r="E887">
        <f>IFERROR(AGGREGATE(15,6,ROW('Input Transaksi'!$B$5:$B$5000)/('Input Transaksi'!$B$5:$B$5000="GRIYA ANYAR"),ROWS($E$5:E887)),"")</f>
        <v/>
      </c>
      <c r="F887" s="5" t="n"/>
    </row>
    <row r="888">
      <c r="A888" s="10">
        <f>IF($E888="","",INDEX('Input Transaksi'!$A:$A,$E888))</f>
        <v/>
      </c>
      <c r="B888" s="5">
        <f>IF($E888="","",INDEX('Input Transaksi'!$D:$D,$E888))</f>
        <v/>
      </c>
      <c r="C888">
        <f>IF($E888="","",INDEX('Input Transaksi'!$E:$E,$E888))</f>
        <v/>
      </c>
      <c r="D888" s="5">
        <f>IF($E888="","",INDEX('Input Transaksi'!$F:$F,$E888))</f>
        <v/>
      </c>
      <c r="E888">
        <f>IFERROR(AGGREGATE(15,6,ROW('Input Transaksi'!$B$5:$B$5000)/('Input Transaksi'!$B$5:$B$5000="GRIYA ANYAR"),ROWS($E$5:E888)),"")</f>
        <v/>
      </c>
      <c r="F888" s="5" t="n"/>
    </row>
    <row r="889">
      <c r="A889" s="10">
        <f>IF($E889="","",INDEX('Input Transaksi'!$A:$A,$E889))</f>
        <v/>
      </c>
      <c r="B889" s="5">
        <f>IF($E889="","",INDEX('Input Transaksi'!$D:$D,$E889))</f>
        <v/>
      </c>
      <c r="C889">
        <f>IF($E889="","",INDEX('Input Transaksi'!$E:$E,$E889))</f>
        <v/>
      </c>
      <c r="D889" s="5">
        <f>IF($E889="","",INDEX('Input Transaksi'!$F:$F,$E889))</f>
        <v/>
      </c>
      <c r="E889">
        <f>IFERROR(AGGREGATE(15,6,ROW('Input Transaksi'!$B$5:$B$5000)/('Input Transaksi'!$B$5:$B$5000="GRIYA ANYAR"),ROWS($E$5:E889)),"")</f>
        <v/>
      </c>
      <c r="F889" s="5" t="n"/>
    </row>
    <row r="890">
      <c r="A890" s="10">
        <f>IF($E890="","",INDEX('Input Transaksi'!$A:$A,$E890))</f>
        <v/>
      </c>
      <c r="B890" s="5">
        <f>IF($E890="","",INDEX('Input Transaksi'!$D:$D,$E890))</f>
        <v/>
      </c>
      <c r="C890">
        <f>IF($E890="","",INDEX('Input Transaksi'!$E:$E,$E890))</f>
        <v/>
      </c>
      <c r="D890" s="5">
        <f>IF($E890="","",INDEX('Input Transaksi'!$F:$F,$E890))</f>
        <v/>
      </c>
      <c r="E890">
        <f>IFERROR(AGGREGATE(15,6,ROW('Input Transaksi'!$B$5:$B$5000)/('Input Transaksi'!$B$5:$B$5000="GRIYA ANYAR"),ROWS($E$5:E890)),"")</f>
        <v/>
      </c>
      <c r="F890" s="5" t="n"/>
    </row>
    <row r="891">
      <c r="A891" s="10">
        <f>IF($E891="","",INDEX('Input Transaksi'!$A:$A,$E891))</f>
        <v/>
      </c>
      <c r="B891" s="5">
        <f>IF($E891="","",INDEX('Input Transaksi'!$D:$D,$E891))</f>
        <v/>
      </c>
      <c r="C891">
        <f>IF($E891="","",INDEX('Input Transaksi'!$E:$E,$E891))</f>
        <v/>
      </c>
      <c r="D891" s="5">
        <f>IF($E891="","",INDEX('Input Transaksi'!$F:$F,$E891))</f>
        <v/>
      </c>
      <c r="E891">
        <f>IFERROR(AGGREGATE(15,6,ROW('Input Transaksi'!$B$5:$B$5000)/('Input Transaksi'!$B$5:$B$5000="GRIYA ANYAR"),ROWS($E$5:E891)),"")</f>
        <v/>
      </c>
      <c r="F891" s="5" t="n"/>
    </row>
    <row r="892">
      <c r="A892" s="10">
        <f>IF($E892="","",INDEX('Input Transaksi'!$A:$A,$E892))</f>
        <v/>
      </c>
      <c r="B892" s="5">
        <f>IF($E892="","",INDEX('Input Transaksi'!$D:$D,$E892))</f>
        <v/>
      </c>
      <c r="C892">
        <f>IF($E892="","",INDEX('Input Transaksi'!$E:$E,$E892))</f>
        <v/>
      </c>
      <c r="D892" s="5">
        <f>IF($E892="","",INDEX('Input Transaksi'!$F:$F,$E892))</f>
        <v/>
      </c>
      <c r="E892">
        <f>IFERROR(AGGREGATE(15,6,ROW('Input Transaksi'!$B$5:$B$5000)/('Input Transaksi'!$B$5:$B$5000="GRIYA ANYAR"),ROWS($E$5:E892)),"")</f>
        <v/>
      </c>
      <c r="F892" s="5" t="n"/>
    </row>
    <row r="893">
      <c r="A893" s="10">
        <f>IF($E893="","",INDEX('Input Transaksi'!$A:$A,$E893))</f>
        <v/>
      </c>
      <c r="B893" s="5">
        <f>IF($E893="","",INDEX('Input Transaksi'!$D:$D,$E893))</f>
        <v/>
      </c>
      <c r="C893">
        <f>IF($E893="","",INDEX('Input Transaksi'!$E:$E,$E893))</f>
        <v/>
      </c>
      <c r="D893" s="5">
        <f>IF($E893="","",INDEX('Input Transaksi'!$F:$F,$E893))</f>
        <v/>
      </c>
      <c r="E893">
        <f>IFERROR(AGGREGATE(15,6,ROW('Input Transaksi'!$B$5:$B$5000)/('Input Transaksi'!$B$5:$B$5000="GRIYA ANYAR"),ROWS($E$5:E893)),"")</f>
        <v/>
      </c>
      <c r="F893" s="5" t="n"/>
    </row>
    <row r="894">
      <c r="A894" s="10">
        <f>IF($E894="","",INDEX('Input Transaksi'!$A:$A,$E894))</f>
        <v/>
      </c>
      <c r="B894" s="5">
        <f>IF($E894="","",INDEX('Input Transaksi'!$D:$D,$E894))</f>
        <v/>
      </c>
      <c r="C894">
        <f>IF($E894="","",INDEX('Input Transaksi'!$E:$E,$E894))</f>
        <v/>
      </c>
      <c r="D894" s="5">
        <f>IF($E894="","",INDEX('Input Transaksi'!$F:$F,$E894))</f>
        <v/>
      </c>
      <c r="E894">
        <f>IFERROR(AGGREGATE(15,6,ROW('Input Transaksi'!$B$5:$B$5000)/('Input Transaksi'!$B$5:$B$5000="GRIYA ANYAR"),ROWS($E$5:E894)),"")</f>
        <v/>
      </c>
      <c r="F894" s="5" t="n"/>
    </row>
    <row r="895">
      <c r="A895" s="10">
        <f>IF($E895="","",INDEX('Input Transaksi'!$A:$A,$E895))</f>
        <v/>
      </c>
      <c r="B895" s="5">
        <f>IF($E895="","",INDEX('Input Transaksi'!$D:$D,$E895))</f>
        <v/>
      </c>
      <c r="C895">
        <f>IF($E895="","",INDEX('Input Transaksi'!$E:$E,$E895))</f>
        <v/>
      </c>
      <c r="D895" s="5">
        <f>IF($E895="","",INDEX('Input Transaksi'!$F:$F,$E895))</f>
        <v/>
      </c>
      <c r="E895">
        <f>IFERROR(AGGREGATE(15,6,ROW('Input Transaksi'!$B$5:$B$5000)/('Input Transaksi'!$B$5:$B$5000="GRIYA ANYAR"),ROWS($E$5:E895)),"")</f>
        <v/>
      </c>
      <c r="F895" s="5" t="n"/>
    </row>
    <row r="896">
      <c r="A896" s="10">
        <f>IF($E896="","",INDEX('Input Transaksi'!$A:$A,$E896))</f>
        <v/>
      </c>
      <c r="B896" s="5">
        <f>IF($E896="","",INDEX('Input Transaksi'!$D:$D,$E896))</f>
        <v/>
      </c>
      <c r="C896">
        <f>IF($E896="","",INDEX('Input Transaksi'!$E:$E,$E896))</f>
        <v/>
      </c>
      <c r="D896" s="5">
        <f>IF($E896="","",INDEX('Input Transaksi'!$F:$F,$E896))</f>
        <v/>
      </c>
      <c r="E896">
        <f>IFERROR(AGGREGATE(15,6,ROW('Input Transaksi'!$B$5:$B$5000)/('Input Transaksi'!$B$5:$B$5000="GRIYA ANYAR"),ROWS($E$5:E896)),"")</f>
        <v/>
      </c>
      <c r="F896" s="5" t="n"/>
    </row>
    <row r="897">
      <c r="A897" s="10">
        <f>IF($E897="","",INDEX('Input Transaksi'!$A:$A,$E897))</f>
        <v/>
      </c>
      <c r="B897" s="5">
        <f>IF($E897="","",INDEX('Input Transaksi'!$D:$D,$E897))</f>
        <v/>
      </c>
      <c r="C897">
        <f>IF($E897="","",INDEX('Input Transaksi'!$E:$E,$E897))</f>
        <v/>
      </c>
      <c r="D897" s="5">
        <f>IF($E897="","",INDEX('Input Transaksi'!$F:$F,$E897))</f>
        <v/>
      </c>
      <c r="E897">
        <f>IFERROR(AGGREGATE(15,6,ROW('Input Transaksi'!$B$5:$B$5000)/('Input Transaksi'!$B$5:$B$5000="GRIYA ANYAR"),ROWS($E$5:E897)),"")</f>
        <v/>
      </c>
      <c r="F897" s="5" t="n"/>
    </row>
    <row r="898">
      <c r="A898" s="10">
        <f>IF($E898="","",INDEX('Input Transaksi'!$A:$A,$E898))</f>
        <v/>
      </c>
      <c r="B898" s="5">
        <f>IF($E898="","",INDEX('Input Transaksi'!$D:$D,$E898))</f>
        <v/>
      </c>
      <c r="C898">
        <f>IF($E898="","",INDEX('Input Transaksi'!$E:$E,$E898))</f>
        <v/>
      </c>
      <c r="D898" s="5">
        <f>IF($E898="","",INDEX('Input Transaksi'!$F:$F,$E898))</f>
        <v/>
      </c>
      <c r="E898">
        <f>IFERROR(AGGREGATE(15,6,ROW('Input Transaksi'!$B$5:$B$5000)/('Input Transaksi'!$B$5:$B$5000="GRIYA ANYAR"),ROWS($E$5:E898)),"")</f>
        <v/>
      </c>
      <c r="F898" s="5" t="n"/>
    </row>
    <row r="899">
      <c r="A899" s="10">
        <f>IF($E899="","",INDEX('Input Transaksi'!$A:$A,$E899))</f>
        <v/>
      </c>
      <c r="B899" s="5">
        <f>IF($E899="","",INDEX('Input Transaksi'!$D:$D,$E899))</f>
        <v/>
      </c>
      <c r="C899">
        <f>IF($E899="","",INDEX('Input Transaksi'!$E:$E,$E899))</f>
        <v/>
      </c>
      <c r="D899" s="5">
        <f>IF($E899="","",INDEX('Input Transaksi'!$F:$F,$E899))</f>
        <v/>
      </c>
      <c r="E899">
        <f>IFERROR(AGGREGATE(15,6,ROW('Input Transaksi'!$B$5:$B$5000)/('Input Transaksi'!$B$5:$B$5000="GRIYA ANYAR"),ROWS($E$5:E899)),"")</f>
        <v/>
      </c>
      <c r="F899" s="5" t="n"/>
    </row>
    <row r="900">
      <c r="A900" s="10">
        <f>IF($E900="","",INDEX('Input Transaksi'!$A:$A,$E900))</f>
        <v/>
      </c>
      <c r="B900" s="5">
        <f>IF($E900="","",INDEX('Input Transaksi'!$D:$D,$E900))</f>
        <v/>
      </c>
      <c r="C900">
        <f>IF($E900="","",INDEX('Input Transaksi'!$E:$E,$E900))</f>
        <v/>
      </c>
      <c r="D900" s="5">
        <f>IF($E900="","",INDEX('Input Transaksi'!$F:$F,$E900))</f>
        <v/>
      </c>
      <c r="E900">
        <f>IFERROR(AGGREGATE(15,6,ROW('Input Transaksi'!$B$5:$B$5000)/('Input Transaksi'!$B$5:$B$5000="GRIYA ANYAR"),ROWS($E$5:E900)),"")</f>
        <v/>
      </c>
      <c r="F900" s="5" t="n"/>
    </row>
    <row r="901">
      <c r="A901" s="10">
        <f>IF($E901="","",INDEX('Input Transaksi'!$A:$A,$E901))</f>
        <v/>
      </c>
      <c r="B901" s="5">
        <f>IF($E901="","",INDEX('Input Transaksi'!$D:$D,$E901))</f>
        <v/>
      </c>
      <c r="C901">
        <f>IF($E901="","",INDEX('Input Transaksi'!$E:$E,$E901))</f>
        <v/>
      </c>
      <c r="D901" s="5">
        <f>IF($E901="","",INDEX('Input Transaksi'!$F:$F,$E901))</f>
        <v/>
      </c>
      <c r="E901">
        <f>IFERROR(AGGREGATE(15,6,ROW('Input Transaksi'!$B$5:$B$5000)/('Input Transaksi'!$B$5:$B$5000="GRIYA ANYAR"),ROWS($E$5:E901)),"")</f>
        <v/>
      </c>
      <c r="F901" s="5" t="n"/>
    </row>
    <row r="902">
      <c r="A902" s="10">
        <f>IF($E902="","",INDEX('Input Transaksi'!$A:$A,$E902))</f>
        <v/>
      </c>
      <c r="B902" s="5">
        <f>IF($E902="","",INDEX('Input Transaksi'!$D:$D,$E902))</f>
        <v/>
      </c>
      <c r="C902">
        <f>IF($E902="","",INDEX('Input Transaksi'!$E:$E,$E902))</f>
        <v/>
      </c>
      <c r="D902" s="5">
        <f>IF($E902="","",INDEX('Input Transaksi'!$F:$F,$E902))</f>
        <v/>
      </c>
      <c r="E902">
        <f>IFERROR(AGGREGATE(15,6,ROW('Input Transaksi'!$B$5:$B$5000)/('Input Transaksi'!$B$5:$B$5000="GRIYA ANYAR"),ROWS($E$5:E902)),"")</f>
        <v/>
      </c>
      <c r="F902" s="5" t="n"/>
    </row>
    <row r="903">
      <c r="A903" s="10">
        <f>IF($E903="","",INDEX('Input Transaksi'!$A:$A,$E903))</f>
        <v/>
      </c>
      <c r="B903" s="5">
        <f>IF($E903="","",INDEX('Input Transaksi'!$D:$D,$E903))</f>
        <v/>
      </c>
      <c r="C903">
        <f>IF($E903="","",INDEX('Input Transaksi'!$E:$E,$E903))</f>
        <v/>
      </c>
      <c r="D903" s="5">
        <f>IF($E903="","",INDEX('Input Transaksi'!$F:$F,$E903))</f>
        <v/>
      </c>
      <c r="E903">
        <f>IFERROR(AGGREGATE(15,6,ROW('Input Transaksi'!$B$5:$B$5000)/('Input Transaksi'!$B$5:$B$5000="GRIYA ANYAR"),ROWS($E$5:E903)),"")</f>
        <v/>
      </c>
      <c r="F903" s="5" t="n"/>
    </row>
    <row r="904">
      <c r="A904" s="10">
        <f>IF($E904="","",INDEX('Input Transaksi'!$A:$A,$E904))</f>
        <v/>
      </c>
      <c r="B904" s="5">
        <f>IF($E904="","",INDEX('Input Transaksi'!$D:$D,$E904))</f>
        <v/>
      </c>
      <c r="C904">
        <f>IF($E904="","",INDEX('Input Transaksi'!$E:$E,$E904))</f>
        <v/>
      </c>
      <c r="D904" s="5">
        <f>IF($E904="","",INDEX('Input Transaksi'!$F:$F,$E904))</f>
        <v/>
      </c>
      <c r="E904">
        <f>IFERROR(AGGREGATE(15,6,ROW('Input Transaksi'!$B$5:$B$5000)/('Input Transaksi'!$B$5:$B$5000="GRIYA ANYAR"),ROWS($E$5:E904)),"")</f>
        <v/>
      </c>
      <c r="F904" s="5" t="n"/>
    </row>
    <row r="905">
      <c r="A905" s="10">
        <f>IF($E905="","",INDEX('Input Transaksi'!$A:$A,$E905))</f>
        <v/>
      </c>
      <c r="B905" s="5">
        <f>IF($E905="","",INDEX('Input Transaksi'!$D:$D,$E905))</f>
        <v/>
      </c>
      <c r="C905">
        <f>IF($E905="","",INDEX('Input Transaksi'!$E:$E,$E905))</f>
        <v/>
      </c>
      <c r="D905" s="5">
        <f>IF($E905="","",INDEX('Input Transaksi'!$F:$F,$E905))</f>
        <v/>
      </c>
      <c r="E905">
        <f>IFERROR(AGGREGATE(15,6,ROW('Input Transaksi'!$B$5:$B$5000)/('Input Transaksi'!$B$5:$B$5000="GRIYA ANYAR"),ROWS($E$5:E905)),"")</f>
        <v/>
      </c>
      <c r="F905" s="5" t="n"/>
    </row>
    <row r="906">
      <c r="A906" s="10">
        <f>IF($E906="","",INDEX('Input Transaksi'!$A:$A,$E906))</f>
        <v/>
      </c>
      <c r="B906" s="5">
        <f>IF($E906="","",INDEX('Input Transaksi'!$D:$D,$E906))</f>
        <v/>
      </c>
      <c r="C906">
        <f>IF($E906="","",INDEX('Input Transaksi'!$E:$E,$E906))</f>
        <v/>
      </c>
      <c r="D906" s="5">
        <f>IF($E906="","",INDEX('Input Transaksi'!$F:$F,$E906))</f>
        <v/>
      </c>
      <c r="E906">
        <f>IFERROR(AGGREGATE(15,6,ROW('Input Transaksi'!$B$5:$B$5000)/('Input Transaksi'!$B$5:$B$5000="GRIYA ANYAR"),ROWS($E$5:E906)),"")</f>
        <v/>
      </c>
      <c r="F906" s="5" t="n"/>
    </row>
    <row r="907">
      <c r="A907" s="10">
        <f>IF($E907="","",INDEX('Input Transaksi'!$A:$A,$E907))</f>
        <v/>
      </c>
      <c r="B907" s="5">
        <f>IF($E907="","",INDEX('Input Transaksi'!$D:$D,$E907))</f>
        <v/>
      </c>
      <c r="C907">
        <f>IF($E907="","",INDEX('Input Transaksi'!$E:$E,$E907))</f>
        <v/>
      </c>
      <c r="D907" s="5">
        <f>IF($E907="","",INDEX('Input Transaksi'!$F:$F,$E907))</f>
        <v/>
      </c>
      <c r="E907">
        <f>IFERROR(AGGREGATE(15,6,ROW('Input Transaksi'!$B$5:$B$5000)/('Input Transaksi'!$B$5:$B$5000="GRIYA ANYAR"),ROWS($E$5:E907)),"")</f>
        <v/>
      </c>
      <c r="F907" s="5" t="n"/>
    </row>
    <row r="908">
      <c r="A908" s="10">
        <f>IF($E908="","",INDEX('Input Transaksi'!$A:$A,$E908))</f>
        <v/>
      </c>
      <c r="B908" s="5">
        <f>IF($E908="","",INDEX('Input Transaksi'!$D:$D,$E908))</f>
        <v/>
      </c>
      <c r="C908">
        <f>IF($E908="","",INDEX('Input Transaksi'!$E:$E,$E908))</f>
        <v/>
      </c>
      <c r="D908" s="5">
        <f>IF($E908="","",INDEX('Input Transaksi'!$F:$F,$E908))</f>
        <v/>
      </c>
      <c r="E908">
        <f>IFERROR(AGGREGATE(15,6,ROW('Input Transaksi'!$B$5:$B$5000)/('Input Transaksi'!$B$5:$B$5000="GRIYA ANYAR"),ROWS($E$5:E908)),"")</f>
        <v/>
      </c>
      <c r="F908" s="5" t="n"/>
    </row>
    <row r="909">
      <c r="A909" s="10">
        <f>IF($E909="","",INDEX('Input Transaksi'!$A:$A,$E909))</f>
        <v/>
      </c>
      <c r="B909" s="5">
        <f>IF($E909="","",INDEX('Input Transaksi'!$D:$D,$E909))</f>
        <v/>
      </c>
      <c r="C909">
        <f>IF($E909="","",INDEX('Input Transaksi'!$E:$E,$E909))</f>
        <v/>
      </c>
      <c r="D909" s="5">
        <f>IF($E909="","",INDEX('Input Transaksi'!$F:$F,$E909))</f>
        <v/>
      </c>
      <c r="E909">
        <f>IFERROR(AGGREGATE(15,6,ROW('Input Transaksi'!$B$5:$B$5000)/('Input Transaksi'!$B$5:$B$5000="GRIYA ANYAR"),ROWS($E$5:E909)),"")</f>
        <v/>
      </c>
      <c r="F909" s="5" t="n"/>
    </row>
    <row r="910">
      <c r="A910" s="10">
        <f>IF($E910="","",INDEX('Input Transaksi'!$A:$A,$E910))</f>
        <v/>
      </c>
      <c r="B910" s="5">
        <f>IF($E910="","",INDEX('Input Transaksi'!$D:$D,$E910))</f>
        <v/>
      </c>
      <c r="C910">
        <f>IF($E910="","",INDEX('Input Transaksi'!$E:$E,$E910))</f>
        <v/>
      </c>
      <c r="D910" s="5">
        <f>IF($E910="","",INDEX('Input Transaksi'!$F:$F,$E910))</f>
        <v/>
      </c>
      <c r="E910">
        <f>IFERROR(AGGREGATE(15,6,ROW('Input Transaksi'!$B$5:$B$5000)/('Input Transaksi'!$B$5:$B$5000="GRIYA ANYAR"),ROWS($E$5:E910)),"")</f>
        <v/>
      </c>
      <c r="F910" s="5" t="n"/>
    </row>
    <row r="911">
      <c r="A911" s="10">
        <f>IF($E911="","",INDEX('Input Transaksi'!$A:$A,$E911))</f>
        <v/>
      </c>
      <c r="B911" s="5">
        <f>IF($E911="","",INDEX('Input Transaksi'!$D:$D,$E911))</f>
        <v/>
      </c>
      <c r="C911">
        <f>IF($E911="","",INDEX('Input Transaksi'!$E:$E,$E911))</f>
        <v/>
      </c>
      <c r="D911" s="5">
        <f>IF($E911="","",INDEX('Input Transaksi'!$F:$F,$E911))</f>
        <v/>
      </c>
      <c r="E911">
        <f>IFERROR(AGGREGATE(15,6,ROW('Input Transaksi'!$B$5:$B$5000)/('Input Transaksi'!$B$5:$B$5000="GRIYA ANYAR"),ROWS($E$5:E911)),"")</f>
        <v/>
      </c>
      <c r="F911" s="5" t="n"/>
    </row>
    <row r="912">
      <c r="A912" s="10">
        <f>IF($E912="","",INDEX('Input Transaksi'!$A:$A,$E912))</f>
        <v/>
      </c>
      <c r="B912" s="5">
        <f>IF($E912="","",INDEX('Input Transaksi'!$D:$D,$E912))</f>
        <v/>
      </c>
      <c r="C912">
        <f>IF($E912="","",INDEX('Input Transaksi'!$E:$E,$E912))</f>
        <v/>
      </c>
      <c r="D912" s="5">
        <f>IF($E912="","",INDEX('Input Transaksi'!$F:$F,$E912))</f>
        <v/>
      </c>
      <c r="E912">
        <f>IFERROR(AGGREGATE(15,6,ROW('Input Transaksi'!$B$5:$B$5000)/('Input Transaksi'!$B$5:$B$5000="GRIYA ANYAR"),ROWS($E$5:E912)),"")</f>
        <v/>
      </c>
      <c r="F912" s="5" t="n"/>
    </row>
    <row r="913">
      <c r="A913" s="10">
        <f>IF($E913="","",INDEX('Input Transaksi'!$A:$A,$E913))</f>
        <v/>
      </c>
      <c r="B913" s="5">
        <f>IF($E913="","",INDEX('Input Transaksi'!$D:$D,$E913))</f>
        <v/>
      </c>
      <c r="C913">
        <f>IF($E913="","",INDEX('Input Transaksi'!$E:$E,$E913))</f>
        <v/>
      </c>
      <c r="D913" s="5">
        <f>IF($E913="","",INDEX('Input Transaksi'!$F:$F,$E913))</f>
        <v/>
      </c>
      <c r="E913">
        <f>IFERROR(AGGREGATE(15,6,ROW('Input Transaksi'!$B$5:$B$5000)/('Input Transaksi'!$B$5:$B$5000="GRIYA ANYAR"),ROWS($E$5:E913)),"")</f>
        <v/>
      </c>
      <c r="F913" s="5" t="n"/>
    </row>
    <row r="914">
      <c r="A914" s="10">
        <f>IF($E914="","",INDEX('Input Transaksi'!$A:$A,$E914))</f>
        <v/>
      </c>
      <c r="B914" s="5">
        <f>IF($E914="","",INDEX('Input Transaksi'!$D:$D,$E914))</f>
        <v/>
      </c>
      <c r="C914">
        <f>IF($E914="","",INDEX('Input Transaksi'!$E:$E,$E914))</f>
        <v/>
      </c>
      <c r="D914" s="5">
        <f>IF($E914="","",INDEX('Input Transaksi'!$F:$F,$E914))</f>
        <v/>
      </c>
      <c r="E914">
        <f>IFERROR(AGGREGATE(15,6,ROW('Input Transaksi'!$B$5:$B$5000)/('Input Transaksi'!$B$5:$B$5000="GRIYA ANYAR"),ROWS($E$5:E914)),"")</f>
        <v/>
      </c>
      <c r="F914" s="5" t="n"/>
    </row>
    <row r="915">
      <c r="A915" s="10">
        <f>IF($E915="","",INDEX('Input Transaksi'!$A:$A,$E915))</f>
        <v/>
      </c>
      <c r="B915" s="5">
        <f>IF($E915="","",INDEX('Input Transaksi'!$D:$D,$E915))</f>
        <v/>
      </c>
      <c r="C915">
        <f>IF($E915="","",INDEX('Input Transaksi'!$E:$E,$E915))</f>
        <v/>
      </c>
      <c r="D915" s="5">
        <f>IF($E915="","",INDEX('Input Transaksi'!$F:$F,$E915))</f>
        <v/>
      </c>
      <c r="E915">
        <f>IFERROR(AGGREGATE(15,6,ROW('Input Transaksi'!$B$5:$B$5000)/('Input Transaksi'!$B$5:$B$5000="GRIYA ANYAR"),ROWS($E$5:E915)),"")</f>
        <v/>
      </c>
      <c r="F915" s="5" t="n"/>
    </row>
    <row r="916">
      <c r="A916" s="10">
        <f>IF($E916="","",INDEX('Input Transaksi'!$A:$A,$E916))</f>
        <v/>
      </c>
      <c r="B916" s="5">
        <f>IF($E916="","",INDEX('Input Transaksi'!$D:$D,$E916))</f>
        <v/>
      </c>
      <c r="C916">
        <f>IF($E916="","",INDEX('Input Transaksi'!$E:$E,$E916))</f>
        <v/>
      </c>
      <c r="D916" s="5">
        <f>IF($E916="","",INDEX('Input Transaksi'!$F:$F,$E916))</f>
        <v/>
      </c>
      <c r="E916">
        <f>IFERROR(AGGREGATE(15,6,ROW('Input Transaksi'!$B$5:$B$5000)/('Input Transaksi'!$B$5:$B$5000="GRIYA ANYAR"),ROWS($E$5:E916)),"")</f>
        <v/>
      </c>
      <c r="F916" s="5" t="n"/>
    </row>
    <row r="917">
      <c r="A917" s="10">
        <f>IF($E917="","",INDEX('Input Transaksi'!$A:$A,$E917))</f>
        <v/>
      </c>
      <c r="B917" s="5">
        <f>IF($E917="","",INDEX('Input Transaksi'!$D:$D,$E917))</f>
        <v/>
      </c>
      <c r="C917">
        <f>IF($E917="","",INDEX('Input Transaksi'!$E:$E,$E917))</f>
        <v/>
      </c>
      <c r="D917" s="5">
        <f>IF($E917="","",INDEX('Input Transaksi'!$F:$F,$E917))</f>
        <v/>
      </c>
      <c r="E917">
        <f>IFERROR(AGGREGATE(15,6,ROW('Input Transaksi'!$B$5:$B$5000)/('Input Transaksi'!$B$5:$B$5000="GRIYA ANYAR"),ROWS($E$5:E917)),"")</f>
        <v/>
      </c>
      <c r="F917" s="5" t="n"/>
    </row>
    <row r="918">
      <c r="A918" s="10">
        <f>IF($E918="","",INDEX('Input Transaksi'!$A:$A,$E918))</f>
        <v/>
      </c>
      <c r="B918" s="5">
        <f>IF($E918="","",INDEX('Input Transaksi'!$D:$D,$E918))</f>
        <v/>
      </c>
      <c r="C918">
        <f>IF($E918="","",INDEX('Input Transaksi'!$E:$E,$E918))</f>
        <v/>
      </c>
      <c r="D918" s="5">
        <f>IF($E918="","",INDEX('Input Transaksi'!$F:$F,$E918))</f>
        <v/>
      </c>
      <c r="E918">
        <f>IFERROR(AGGREGATE(15,6,ROW('Input Transaksi'!$B$5:$B$5000)/('Input Transaksi'!$B$5:$B$5000="GRIYA ANYAR"),ROWS($E$5:E918)),"")</f>
        <v/>
      </c>
      <c r="F918" s="5" t="n"/>
    </row>
    <row r="919">
      <c r="A919" s="10">
        <f>IF($E919="","",INDEX('Input Transaksi'!$A:$A,$E919))</f>
        <v/>
      </c>
      <c r="B919" s="5">
        <f>IF($E919="","",INDEX('Input Transaksi'!$D:$D,$E919))</f>
        <v/>
      </c>
      <c r="C919">
        <f>IF($E919="","",INDEX('Input Transaksi'!$E:$E,$E919))</f>
        <v/>
      </c>
      <c r="D919" s="5">
        <f>IF($E919="","",INDEX('Input Transaksi'!$F:$F,$E919))</f>
        <v/>
      </c>
      <c r="E919">
        <f>IFERROR(AGGREGATE(15,6,ROW('Input Transaksi'!$B$5:$B$5000)/('Input Transaksi'!$B$5:$B$5000="GRIYA ANYAR"),ROWS($E$5:E919)),"")</f>
        <v/>
      </c>
      <c r="F919" s="5" t="n"/>
    </row>
    <row r="920">
      <c r="A920" s="10">
        <f>IF($E920="","",INDEX('Input Transaksi'!$A:$A,$E920))</f>
        <v/>
      </c>
      <c r="B920" s="5">
        <f>IF($E920="","",INDEX('Input Transaksi'!$D:$D,$E920))</f>
        <v/>
      </c>
      <c r="C920">
        <f>IF($E920="","",INDEX('Input Transaksi'!$E:$E,$E920))</f>
        <v/>
      </c>
      <c r="D920" s="5">
        <f>IF($E920="","",INDEX('Input Transaksi'!$F:$F,$E920))</f>
        <v/>
      </c>
      <c r="E920">
        <f>IFERROR(AGGREGATE(15,6,ROW('Input Transaksi'!$B$5:$B$5000)/('Input Transaksi'!$B$5:$B$5000="GRIYA ANYAR"),ROWS($E$5:E920)),"")</f>
        <v/>
      </c>
      <c r="F920" s="5" t="n"/>
    </row>
    <row r="921">
      <c r="A921" s="10">
        <f>IF($E921="","",INDEX('Input Transaksi'!$A:$A,$E921))</f>
        <v/>
      </c>
      <c r="B921" s="5">
        <f>IF($E921="","",INDEX('Input Transaksi'!$D:$D,$E921))</f>
        <v/>
      </c>
      <c r="C921">
        <f>IF($E921="","",INDEX('Input Transaksi'!$E:$E,$E921))</f>
        <v/>
      </c>
      <c r="D921" s="5">
        <f>IF($E921="","",INDEX('Input Transaksi'!$F:$F,$E921))</f>
        <v/>
      </c>
      <c r="E921">
        <f>IFERROR(AGGREGATE(15,6,ROW('Input Transaksi'!$B$5:$B$5000)/('Input Transaksi'!$B$5:$B$5000="GRIYA ANYAR"),ROWS($E$5:E921)),"")</f>
        <v/>
      </c>
      <c r="F921" s="5" t="n"/>
    </row>
    <row r="922">
      <c r="A922" s="10">
        <f>IF($E922="","",INDEX('Input Transaksi'!$A:$A,$E922))</f>
        <v/>
      </c>
      <c r="B922" s="5">
        <f>IF($E922="","",INDEX('Input Transaksi'!$D:$D,$E922))</f>
        <v/>
      </c>
      <c r="C922">
        <f>IF($E922="","",INDEX('Input Transaksi'!$E:$E,$E922))</f>
        <v/>
      </c>
      <c r="D922" s="5">
        <f>IF($E922="","",INDEX('Input Transaksi'!$F:$F,$E922))</f>
        <v/>
      </c>
      <c r="E922">
        <f>IFERROR(AGGREGATE(15,6,ROW('Input Transaksi'!$B$5:$B$5000)/('Input Transaksi'!$B$5:$B$5000="GRIYA ANYAR"),ROWS($E$5:E922)),"")</f>
        <v/>
      </c>
      <c r="F922" s="5" t="n"/>
    </row>
    <row r="923">
      <c r="A923" s="10">
        <f>IF($E923="","",INDEX('Input Transaksi'!$A:$A,$E923))</f>
        <v/>
      </c>
      <c r="B923" s="5">
        <f>IF($E923="","",INDEX('Input Transaksi'!$D:$D,$E923))</f>
        <v/>
      </c>
      <c r="C923">
        <f>IF($E923="","",INDEX('Input Transaksi'!$E:$E,$E923))</f>
        <v/>
      </c>
      <c r="D923" s="5">
        <f>IF($E923="","",INDEX('Input Transaksi'!$F:$F,$E923))</f>
        <v/>
      </c>
      <c r="E923">
        <f>IFERROR(AGGREGATE(15,6,ROW('Input Transaksi'!$B$5:$B$5000)/('Input Transaksi'!$B$5:$B$5000="GRIYA ANYAR"),ROWS($E$5:E923)),"")</f>
        <v/>
      </c>
      <c r="F923" s="5" t="n"/>
    </row>
    <row r="924">
      <c r="A924" s="10">
        <f>IF($E924="","",INDEX('Input Transaksi'!$A:$A,$E924))</f>
        <v/>
      </c>
      <c r="B924" s="5">
        <f>IF($E924="","",INDEX('Input Transaksi'!$D:$D,$E924))</f>
        <v/>
      </c>
      <c r="C924">
        <f>IF($E924="","",INDEX('Input Transaksi'!$E:$E,$E924))</f>
        <v/>
      </c>
      <c r="D924" s="5">
        <f>IF($E924="","",INDEX('Input Transaksi'!$F:$F,$E924))</f>
        <v/>
      </c>
      <c r="E924">
        <f>IFERROR(AGGREGATE(15,6,ROW('Input Transaksi'!$B$5:$B$5000)/('Input Transaksi'!$B$5:$B$5000="GRIYA ANYAR"),ROWS($E$5:E924)),"")</f>
        <v/>
      </c>
      <c r="F924" s="5" t="n"/>
    </row>
    <row r="925">
      <c r="A925" s="10">
        <f>IF($E925="","",INDEX('Input Transaksi'!$A:$A,$E925))</f>
        <v/>
      </c>
      <c r="B925" s="5">
        <f>IF($E925="","",INDEX('Input Transaksi'!$D:$D,$E925))</f>
        <v/>
      </c>
      <c r="C925">
        <f>IF($E925="","",INDEX('Input Transaksi'!$E:$E,$E925))</f>
        <v/>
      </c>
      <c r="D925" s="5">
        <f>IF($E925="","",INDEX('Input Transaksi'!$F:$F,$E925))</f>
        <v/>
      </c>
      <c r="E925">
        <f>IFERROR(AGGREGATE(15,6,ROW('Input Transaksi'!$B$5:$B$5000)/('Input Transaksi'!$B$5:$B$5000="GRIYA ANYAR"),ROWS($E$5:E925)),"")</f>
        <v/>
      </c>
      <c r="F925" s="5" t="n"/>
    </row>
    <row r="926">
      <c r="A926" s="10">
        <f>IF($E926="","",INDEX('Input Transaksi'!$A:$A,$E926))</f>
        <v/>
      </c>
      <c r="B926" s="5">
        <f>IF($E926="","",INDEX('Input Transaksi'!$D:$D,$E926))</f>
        <v/>
      </c>
      <c r="C926">
        <f>IF($E926="","",INDEX('Input Transaksi'!$E:$E,$E926))</f>
        <v/>
      </c>
      <c r="D926" s="5">
        <f>IF($E926="","",INDEX('Input Transaksi'!$F:$F,$E926))</f>
        <v/>
      </c>
      <c r="E926">
        <f>IFERROR(AGGREGATE(15,6,ROW('Input Transaksi'!$B$5:$B$5000)/('Input Transaksi'!$B$5:$B$5000="GRIYA ANYAR"),ROWS($E$5:E926)),"")</f>
        <v/>
      </c>
      <c r="F926" s="5" t="n"/>
    </row>
    <row r="927">
      <c r="A927" s="10">
        <f>IF($E927="","",INDEX('Input Transaksi'!$A:$A,$E927))</f>
        <v/>
      </c>
      <c r="B927" s="5">
        <f>IF($E927="","",INDEX('Input Transaksi'!$D:$D,$E927))</f>
        <v/>
      </c>
      <c r="C927">
        <f>IF($E927="","",INDEX('Input Transaksi'!$E:$E,$E927))</f>
        <v/>
      </c>
      <c r="D927" s="5">
        <f>IF($E927="","",INDEX('Input Transaksi'!$F:$F,$E927))</f>
        <v/>
      </c>
      <c r="E927">
        <f>IFERROR(AGGREGATE(15,6,ROW('Input Transaksi'!$B$5:$B$5000)/('Input Transaksi'!$B$5:$B$5000="GRIYA ANYAR"),ROWS($E$5:E927)),"")</f>
        <v/>
      </c>
      <c r="F927" s="5" t="n"/>
    </row>
    <row r="928">
      <c r="A928" s="10">
        <f>IF($E928="","",INDEX('Input Transaksi'!$A:$A,$E928))</f>
        <v/>
      </c>
      <c r="B928" s="5">
        <f>IF($E928="","",INDEX('Input Transaksi'!$D:$D,$E928))</f>
        <v/>
      </c>
      <c r="C928">
        <f>IF($E928="","",INDEX('Input Transaksi'!$E:$E,$E928))</f>
        <v/>
      </c>
      <c r="D928" s="5">
        <f>IF($E928="","",INDEX('Input Transaksi'!$F:$F,$E928))</f>
        <v/>
      </c>
      <c r="E928">
        <f>IFERROR(AGGREGATE(15,6,ROW('Input Transaksi'!$B$5:$B$5000)/('Input Transaksi'!$B$5:$B$5000="GRIYA ANYAR"),ROWS($E$5:E928)),"")</f>
        <v/>
      </c>
      <c r="F928" s="5" t="n"/>
    </row>
    <row r="929">
      <c r="A929" s="10">
        <f>IF($E929="","",INDEX('Input Transaksi'!$A:$A,$E929))</f>
        <v/>
      </c>
      <c r="B929" s="5">
        <f>IF($E929="","",INDEX('Input Transaksi'!$D:$D,$E929))</f>
        <v/>
      </c>
      <c r="C929">
        <f>IF($E929="","",INDEX('Input Transaksi'!$E:$E,$E929))</f>
        <v/>
      </c>
      <c r="D929" s="5">
        <f>IF($E929="","",INDEX('Input Transaksi'!$F:$F,$E929))</f>
        <v/>
      </c>
      <c r="E929">
        <f>IFERROR(AGGREGATE(15,6,ROW('Input Transaksi'!$B$5:$B$5000)/('Input Transaksi'!$B$5:$B$5000="GRIYA ANYAR"),ROWS($E$5:E929)),"")</f>
        <v/>
      </c>
      <c r="F929" s="5" t="n"/>
    </row>
    <row r="930">
      <c r="A930" s="10">
        <f>IF($E930="","",INDEX('Input Transaksi'!$A:$A,$E930))</f>
        <v/>
      </c>
      <c r="B930" s="5">
        <f>IF($E930="","",INDEX('Input Transaksi'!$D:$D,$E930))</f>
        <v/>
      </c>
      <c r="C930">
        <f>IF($E930="","",INDEX('Input Transaksi'!$E:$E,$E930))</f>
        <v/>
      </c>
      <c r="D930" s="5">
        <f>IF($E930="","",INDEX('Input Transaksi'!$F:$F,$E930))</f>
        <v/>
      </c>
      <c r="E930">
        <f>IFERROR(AGGREGATE(15,6,ROW('Input Transaksi'!$B$5:$B$5000)/('Input Transaksi'!$B$5:$B$5000="GRIYA ANYAR"),ROWS($E$5:E930)),"")</f>
        <v/>
      </c>
      <c r="F930" s="5" t="n"/>
    </row>
    <row r="931">
      <c r="A931" s="10">
        <f>IF($E931="","",INDEX('Input Transaksi'!$A:$A,$E931))</f>
        <v/>
      </c>
      <c r="B931" s="5">
        <f>IF($E931="","",INDEX('Input Transaksi'!$D:$D,$E931))</f>
        <v/>
      </c>
      <c r="C931">
        <f>IF($E931="","",INDEX('Input Transaksi'!$E:$E,$E931))</f>
        <v/>
      </c>
      <c r="D931" s="5">
        <f>IF($E931="","",INDEX('Input Transaksi'!$F:$F,$E931))</f>
        <v/>
      </c>
      <c r="E931">
        <f>IFERROR(AGGREGATE(15,6,ROW('Input Transaksi'!$B$5:$B$5000)/('Input Transaksi'!$B$5:$B$5000="GRIYA ANYAR"),ROWS($E$5:E931)),"")</f>
        <v/>
      </c>
      <c r="F931" s="5" t="n"/>
    </row>
    <row r="932">
      <c r="A932" s="10">
        <f>IF($E932="","",INDEX('Input Transaksi'!$A:$A,$E932))</f>
        <v/>
      </c>
      <c r="B932" s="5">
        <f>IF($E932="","",INDEX('Input Transaksi'!$D:$D,$E932))</f>
        <v/>
      </c>
      <c r="C932">
        <f>IF($E932="","",INDEX('Input Transaksi'!$E:$E,$E932))</f>
        <v/>
      </c>
      <c r="D932" s="5">
        <f>IF($E932="","",INDEX('Input Transaksi'!$F:$F,$E932))</f>
        <v/>
      </c>
      <c r="E932">
        <f>IFERROR(AGGREGATE(15,6,ROW('Input Transaksi'!$B$5:$B$5000)/('Input Transaksi'!$B$5:$B$5000="GRIYA ANYAR"),ROWS($E$5:E932)),"")</f>
        <v/>
      </c>
      <c r="F932" s="5" t="n"/>
    </row>
    <row r="933">
      <c r="A933" s="10">
        <f>IF($E933="","",INDEX('Input Transaksi'!$A:$A,$E933))</f>
        <v/>
      </c>
      <c r="B933" s="5">
        <f>IF($E933="","",INDEX('Input Transaksi'!$D:$D,$E933))</f>
        <v/>
      </c>
      <c r="C933">
        <f>IF($E933="","",INDEX('Input Transaksi'!$E:$E,$E933))</f>
        <v/>
      </c>
      <c r="D933" s="5">
        <f>IF($E933="","",INDEX('Input Transaksi'!$F:$F,$E933))</f>
        <v/>
      </c>
      <c r="E933">
        <f>IFERROR(AGGREGATE(15,6,ROW('Input Transaksi'!$B$5:$B$5000)/('Input Transaksi'!$B$5:$B$5000="GRIYA ANYAR"),ROWS($E$5:E933)),"")</f>
        <v/>
      </c>
      <c r="F933" s="5" t="n"/>
    </row>
    <row r="934">
      <c r="A934" s="10">
        <f>IF($E934="","",INDEX('Input Transaksi'!$A:$A,$E934))</f>
        <v/>
      </c>
      <c r="B934" s="5">
        <f>IF($E934="","",INDEX('Input Transaksi'!$D:$D,$E934))</f>
        <v/>
      </c>
      <c r="C934">
        <f>IF($E934="","",INDEX('Input Transaksi'!$E:$E,$E934))</f>
        <v/>
      </c>
      <c r="D934" s="5">
        <f>IF($E934="","",INDEX('Input Transaksi'!$F:$F,$E934))</f>
        <v/>
      </c>
      <c r="E934">
        <f>IFERROR(AGGREGATE(15,6,ROW('Input Transaksi'!$B$5:$B$5000)/('Input Transaksi'!$B$5:$B$5000="GRIYA ANYAR"),ROWS($E$5:E934)),"")</f>
        <v/>
      </c>
      <c r="F934" s="5" t="n"/>
    </row>
    <row r="935">
      <c r="A935" s="10">
        <f>IF($E935="","",INDEX('Input Transaksi'!$A:$A,$E935))</f>
        <v/>
      </c>
      <c r="B935" s="5">
        <f>IF($E935="","",INDEX('Input Transaksi'!$D:$D,$E935))</f>
        <v/>
      </c>
      <c r="C935">
        <f>IF($E935="","",INDEX('Input Transaksi'!$E:$E,$E935))</f>
        <v/>
      </c>
      <c r="D935" s="5">
        <f>IF($E935="","",INDEX('Input Transaksi'!$F:$F,$E935))</f>
        <v/>
      </c>
      <c r="E935">
        <f>IFERROR(AGGREGATE(15,6,ROW('Input Transaksi'!$B$5:$B$5000)/('Input Transaksi'!$B$5:$B$5000="GRIYA ANYAR"),ROWS($E$5:E935)),"")</f>
        <v/>
      </c>
      <c r="F935" s="5" t="n"/>
    </row>
    <row r="936">
      <c r="A936" s="10">
        <f>IF($E936="","",INDEX('Input Transaksi'!$A:$A,$E936))</f>
        <v/>
      </c>
      <c r="B936" s="5">
        <f>IF($E936="","",INDEX('Input Transaksi'!$D:$D,$E936))</f>
        <v/>
      </c>
      <c r="C936">
        <f>IF($E936="","",INDEX('Input Transaksi'!$E:$E,$E936))</f>
        <v/>
      </c>
      <c r="D936" s="5">
        <f>IF($E936="","",INDEX('Input Transaksi'!$F:$F,$E936))</f>
        <v/>
      </c>
      <c r="E936">
        <f>IFERROR(AGGREGATE(15,6,ROW('Input Transaksi'!$B$5:$B$5000)/('Input Transaksi'!$B$5:$B$5000="GRIYA ANYAR"),ROWS($E$5:E936)),"")</f>
        <v/>
      </c>
      <c r="F936" s="5" t="n"/>
    </row>
    <row r="937">
      <c r="A937" s="10">
        <f>IF($E937="","",INDEX('Input Transaksi'!$A:$A,$E937))</f>
        <v/>
      </c>
      <c r="B937" s="5">
        <f>IF($E937="","",INDEX('Input Transaksi'!$D:$D,$E937))</f>
        <v/>
      </c>
      <c r="C937">
        <f>IF($E937="","",INDEX('Input Transaksi'!$E:$E,$E937))</f>
        <v/>
      </c>
      <c r="D937" s="5">
        <f>IF($E937="","",INDEX('Input Transaksi'!$F:$F,$E937))</f>
        <v/>
      </c>
      <c r="E937">
        <f>IFERROR(AGGREGATE(15,6,ROW('Input Transaksi'!$B$5:$B$5000)/('Input Transaksi'!$B$5:$B$5000="GRIYA ANYAR"),ROWS($E$5:E937)),"")</f>
        <v/>
      </c>
      <c r="F937" s="5" t="n"/>
    </row>
    <row r="938">
      <c r="A938" s="10">
        <f>IF($E938="","",INDEX('Input Transaksi'!$A:$A,$E938))</f>
        <v/>
      </c>
      <c r="B938" s="5">
        <f>IF($E938="","",INDEX('Input Transaksi'!$D:$D,$E938))</f>
        <v/>
      </c>
      <c r="C938">
        <f>IF($E938="","",INDEX('Input Transaksi'!$E:$E,$E938))</f>
        <v/>
      </c>
      <c r="D938" s="5">
        <f>IF($E938="","",INDEX('Input Transaksi'!$F:$F,$E938))</f>
        <v/>
      </c>
      <c r="E938">
        <f>IFERROR(AGGREGATE(15,6,ROW('Input Transaksi'!$B$5:$B$5000)/('Input Transaksi'!$B$5:$B$5000="GRIYA ANYAR"),ROWS($E$5:E938)),"")</f>
        <v/>
      </c>
      <c r="F938" s="5" t="n"/>
    </row>
    <row r="939">
      <c r="A939" s="10">
        <f>IF($E939="","",INDEX('Input Transaksi'!$A:$A,$E939))</f>
        <v/>
      </c>
      <c r="B939" s="5">
        <f>IF($E939="","",INDEX('Input Transaksi'!$D:$D,$E939))</f>
        <v/>
      </c>
      <c r="C939">
        <f>IF($E939="","",INDEX('Input Transaksi'!$E:$E,$E939))</f>
        <v/>
      </c>
      <c r="D939" s="5">
        <f>IF($E939="","",INDEX('Input Transaksi'!$F:$F,$E939))</f>
        <v/>
      </c>
      <c r="E939">
        <f>IFERROR(AGGREGATE(15,6,ROW('Input Transaksi'!$B$5:$B$5000)/('Input Transaksi'!$B$5:$B$5000="GRIYA ANYAR"),ROWS($E$5:E939)),"")</f>
        <v/>
      </c>
      <c r="F939" s="5" t="n"/>
    </row>
    <row r="940">
      <c r="A940" s="10">
        <f>IF($E940="","",INDEX('Input Transaksi'!$A:$A,$E940))</f>
        <v/>
      </c>
      <c r="B940" s="5">
        <f>IF($E940="","",INDEX('Input Transaksi'!$D:$D,$E940))</f>
        <v/>
      </c>
      <c r="C940">
        <f>IF($E940="","",INDEX('Input Transaksi'!$E:$E,$E940))</f>
        <v/>
      </c>
      <c r="D940" s="5">
        <f>IF($E940="","",INDEX('Input Transaksi'!$F:$F,$E940))</f>
        <v/>
      </c>
      <c r="E940">
        <f>IFERROR(AGGREGATE(15,6,ROW('Input Transaksi'!$B$5:$B$5000)/('Input Transaksi'!$B$5:$B$5000="GRIYA ANYAR"),ROWS($E$5:E940)),"")</f>
        <v/>
      </c>
      <c r="F940" s="5" t="n"/>
    </row>
    <row r="941">
      <c r="A941" s="10">
        <f>IF($E941="","",INDEX('Input Transaksi'!$A:$A,$E941))</f>
        <v/>
      </c>
      <c r="B941" s="5">
        <f>IF($E941="","",INDEX('Input Transaksi'!$D:$D,$E941))</f>
        <v/>
      </c>
      <c r="C941">
        <f>IF($E941="","",INDEX('Input Transaksi'!$E:$E,$E941))</f>
        <v/>
      </c>
      <c r="D941" s="5">
        <f>IF($E941="","",INDEX('Input Transaksi'!$F:$F,$E941))</f>
        <v/>
      </c>
      <c r="E941">
        <f>IFERROR(AGGREGATE(15,6,ROW('Input Transaksi'!$B$5:$B$5000)/('Input Transaksi'!$B$5:$B$5000="GRIYA ANYAR"),ROWS($E$5:E941)),"")</f>
        <v/>
      </c>
      <c r="F941" s="5" t="n"/>
    </row>
    <row r="942">
      <c r="A942" s="10">
        <f>IF($E942="","",INDEX('Input Transaksi'!$A:$A,$E942))</f>
        <v/>
      </c>
      <c r="B942" s="5">
        <f>IF($E942="","",INDEX('Input Transaksi'!$D:$D,$E942))</f>
        <v/>
      </c>
      <c r="C942">
        <f>IF($E942="","",INDEX('Input Transaksi'!$E:$E,$E942))</f>
        <v/>
      </c>
      <c r="D942" s="5">
        <f>IF($E942="","",INDEX('Input Transaksi'!$F:$F,$E942))</f>
        <v/>
      </c>
      <c r="E942">
        <f>IFERROR(AGGREGATE(15,6,ROW('Input Transaksi'!$B$5:$B$5000)/('Input Transaksi'!$B$5:$B$5000="GRIYA ANYAR"),ROWS($E$5:E942)),"")</f>
        <v/>
      </c>
      <c r="F942" s="5" t="n"/>
    </row>
    <row r="943">
      <c r="A943" s="10">
        <f>IF($E943="","",INDEX('Input Transaksi'!$A:$A,$E943))</f>
        <v/>
      </c>
      <c r="B943" s="5">
        <f>IF($E943="","",INDEX('Input Transaksi'!$D:$D,$E943))</f>
        <v/>
      </c>
      <c r="C943">
        <f>IF($E943="","",INDEX('Input Transaksi'!$E:$E,$E943))</f>
        <v/>
      </c>
      <c r="D943" s="5">
        <f>IF($E943="","",INDEX('Input Transaksi'!$F:$F,$E943))</f>
        <v/>
      </c>
      <c r="E943">
        <f>IFERROR(AGGREGATE(15,6,ROW('Input Transaksi'!$B$5:$B$5000)/('Input Transaksi'!$B$5:$B$5000="GRIYA ANYAR"),ROWS($E$5:E943)),"")</f>
        <v/>
      </c>
      <c r="F943" s="5" t="n"/>
    </row>
    <row r="944">
      <c r="A944" s="10">
        <f>IF($E944="","",INDEX('Input Transaksi'!$A:$A,$E944))</f>
        <v/>
      </c>
      <c r="B944" s="5">
        <f>IF($E944="","",INDEX('Input Transaksi'!$D:$D,$E944))</f>
        <v/>
      </c>
      <c r="C944">
        <f>IF($E944="","",INDEX('Input Transaksi'!$E:$E,$E944))</f>
        <v/>
      </c>
      <c r="D944" s="5">
        <f>IF($E944="","",INDEX('Input Transaksi'!$F:$F,$E944))</f>
        <v/>
      </c>
      <c r="E944">
        <f>IFERROR(AGGREGATE(15,6,ROW('Input Transaksi'!$B$5:$B$5000)/('Input Transaksi'!$B$5:$B$5000="GRIYA ANYAR"),ROWS($E$5:E944)),"")</f>
        <v/>
      </c>
      <c r="F944" s="5" t="n"/>
    </row>
    <row r="945">
      <c r="A945" s="10">
        <f>IF($E945="","",INDEX('Input Transaksi'!$A:$A,$E945))</f>
        <v/>
      </c>
      <c r="B945" s="5">
        <f>IF($E945="","",INDEX('Input Transaksi'!$D:$D,$E945))</f>
        <v/>
      </c>
      <c r="C945">
        <f>IF($E945="","",INDEX('Input Transaksi'!$E:$E,$E945))</f>
        <v/>
      </c>
      <c r="D945" s="5">
        <f>IF($E945="","",INDEX('Input Transaksi'!$F:$F,$E945))</f>
        <v/>
      </c>
      <c r="E945">
        <f>IFERROR(AGGREGATE(15,6,ROW('Input Transaksi'!$B$5:$B$5000)/('Input Transaksi'!$B$5:$B$5000="GRIYA ANYAR"),ROWS($E$5:E945)),"")</f>
        <v/>
      </c>
      <c r="F945" s="5" t="n"/>
    </row>
    <row r="946">
      <c r="A946" s="10">
        <f>IF($E946="","",INDEX('Input Transaksi'!$A:$A,$E946))</f>
        <v/>
      </c>
      <c r="B946" s="5">
        <f>IF($E946="","",INDEX('Input Transaksi'!$D:$D,$E946))</f>
        <v/>
      </c>
      <c r="C946">
        <f>IF($E946="","",INDEX('Input Transaksi'!$E:$E,$E946))</f>
        <v/>
      </c>
      <c r="D946" s="5">
        <f>IF($E946="","",INDEX('Input Transaksi'!$F:$F,$E946))</f>
        <v/>
      </c>
      <c r="E946">
        <f>IFERROR(AGGREGATE(15,6,ROW('Input Transaksi'!$B$5:$B$5000)/('Input Transaksi'!$B$5:$B$5000="GRIYA ANYAR"),ROWS($E$5:E946)),"")</f>
        <v/>
      </c>
      <c r="F946" s="5" t="n"/>
    </row>
    <row r="947">
      <c r="A947" s="10">
        <f>IF($E947="","",INDEX('Input Transaksi'!$A:$A,$E947))</f>
        <v/>
      </c>
      <c r="B947" s="5">
        <f>IF($E947="","",INDEX('Input Transaksi'!$D:$D,$E947))</f>
        <v/>
      </c>
      <c r="C947">
        <f>IF($E947="","",INDEX('Input Transaksi'!$E:$E,$E947))</f>
        <v/>
      </c>
      <c r="D947" s="5">
        <f>IF($E947="","",INDEX('Input Transaksi'!$F:$F,$E947))</f>
        <v/>
      </c>
      <c r="E947">
        <f>IFERROR(AGGREGATE(15,6,ROW('Input Transaksi'!$B$5:$B$5000)/('Input Transaksi'!$B$5:$B$5000="GRIYA ANYAR"),ROWS($E$5:E947)),"")</f>
        <v/>
      </c>
      <c r="F947" s="5" t="n"/>
    </row>
    <row r="948">
      <c r="A948" s="10">
        <f>IF($E948="","",INDEX('Input Transaksi'!$A:$A,$E948))</f>
        <v/>
      </c>
      <c r="B948" s="5">
        <f>IF($E948="","",INDEX('Input Transaksi'!$D:$D,$E948))</f>
        <v/>
      </c>
      <c r="C948">
        <f>IF($E948="","",INDEX('Input Transaksi'!$E:$E,$E948))</f>
        <v/>
      </c>
      <c r="D948" s="5">
        <f>IF($E948="","",INDEX('Input Transaksi'!$F:$F,$E948))</f>
        <v/>
      </c>
      <c r="E948">
        <f>IFERROR(AGGREGATE(15,6,ROW('Input Transaksi'!$B$5:$B$5000)/('Input Transaksi'!$B$5:$B$5000="GRIYA ANYAR"),ROWS($E$5:E948)),"")</f>
        <v/>
      </c>
      <c r="F948" s="5" t="n"/>
    </row>
    <row r="949">
      <c r="A949" s="10">
        <f>IF($E949="","",INDEX('Input Transaksi'!$A:$A,$E949))</f>
        <v/>
      </c>
      <c r="B949" s="5">
        <f>IF($E949="","",INDEX('Input Transaksi'!$D:$D,$E949))</f>
        <v/>
      </c>
      <c r="C949">
        <f>IF($E949="","",INDEX('Input Transaksi'!$E:$E,$E949))</f>
        <v/>
      </c>
      <c r="D949" s="5">
        <f>IF($E949="","",INDEX('Input Transaksi'!$F:$F,$E949))</f>
        <v/>
      </c>
      <c r="E949">
        <f>IFERROR(AGGREGATE(15,6,ROW('Input Transaksi'!$B$5:$B$5000)/('Input Transaksi'!$B$5:$B$5000="GRIYA ANYAR"),ROWS($E$5:E949)),"")</f>
        <v/>
      </c>
      <c r="F949" s="5" t="n"/>
    </row>
    <row r="950">
      <c r="A950" s="10">
        <f>IF($E950="","",INDEX('Input Transaksi'!$A:$A,$E950))</f>
        <v/>
      </c>
      <c r="B950" s="5">
        <f>IF($E950="","",INDEX('Input Transaksi'!$D:$D,$E950))</f>
        <v/>
      </c>
      <c r="C950">
        <f>IF($E950="","",INDEX('Input Transaksi'!$E:$E,$E950))</f>
        <v/>
      </c>
      <c r="D950" s="5">
        <f>IF($E950="","",INDEX('Input Transaksi'!$F:$F,$E950))</f>
        <v/>
      </c>
      <c r="E950">
        <f>IFERROR(AGGREGATE(15,6,ROW('Input Transaksi'!$B$5:$B$5000)/('Input Transaksi'!$B$5:$B$5000="GRIYA ANYAR"),ROWS($E$5:E950)),"")</f>
        <v/>
      </c>
      <c r="F950" s="5" t="n"/>
    </row>
    <row r="951">
      <c r="A951" s="10">
        <f>IF($E951="","",INDEX('Input Transaksi'!$A:$A,$E951))</f>
        <v/>
      </c>
      <c r="B951" s="5">
        <f>IF($E951="","",INDEX('Input Transaksi'!$D:$D,$E951))</f>
        <v/>
      </c>
      <c r="C951">
        <f>IF($E951="","",INDEX('Input Transaksi'!$E:$E,$E951))</f>
        <v/>
      </c>
      <c r="D951" s="5">
        <f>IF($E951="","",INDEX('Input Transaksi'!$F:$F,$E951))</f>
        <v/>
      </c>
      <c r="E951">
        <f>IFERROR(AGGREGATE(15,6,ROW('Input Transaksi'!$B$5:$B$5000)/('Input Transaksi'!$B$5:$B$5000="GRIYA ANYAR"),ROWS($E$5:E951)),"")</f>
        <v/>
      </c>
      <c r="F951" s="5" t="n"/>
    </row>
    <row r="952">
      <c r="A952" s="10">
        <f>IF($E952="","",INDEX('Input Transaksi'!$A:$A,$E952))</f>
        <v/>
      </c>
      <c r="B952" s="5">
        <f>IF($E952="","",INDEX('Input Transaksi'!$D:$D,$E952))</f>
        <v/>
      </c>
      <c r="C952">
        <f>IF($E952="","",INDEX('Input Transaksi'!$E:$E,$E952))</f>
        <v/>
      </c>
      <c r="D952" s="5">
        <f>IF($E952="","",INDEX('Input Transaksi'!$F:$F,$E952))</f>
        <v/>
      </c>
      <c r="E952">
        <f>IFERROR(AGGREGATE(15,6,ROW('Input Transaksi'!$B$5:$B$5000)/('Input Transaksi'!$B$5:$B$5000="GRIYA ANYAR"),ROWS($E$5:E952)),"")</f>
        <v/>
      </c>
      <c r="F952" s="5" t="n"/>
    </row>
    <row r="953">
      <c r="A953" s="10">
        <f>IF($E953="","",INDEX('Input Transaksi'!$A:$A,$E953))</f>
        <v/>
      </c>
      <c r="B953" s="5">
        <f>IF($E953="","",INDEX('Input Transaksi'!$D:$D,$E953))</f>
        <v/>
      </c>
      <c r="C953">
        <f>IF($E953="","",INDEX('Input Transaksi'!$E:$E,$E953))</f>
        <v/>
      </c>
      <c r="D953" s="5">
        <f>IF($E953="","",INDEX('Input Transaksi'!$F:$F,$E953))</f>
        <v/>
      </c>
      <c r="E953">
        <f>IFERROR(AGGREGATE(15,6,ROW('Input Transaksi'!$B$5:$B$5000)/('Input Transaksi'!$B$5:$B$5000="GRIYA ANYAR"),ROWS($E$5:E953)),"")</f>
        <v/>
      </c>
      <c r="F953" s="5" t="n"/>
    </row>
    <row r="954">
      <c r="A954" s="10">
        <f>IF($E954="","",INDEX('Input Transaksi'!$A:$A,$E954))</f>
        <v/>
      </c>
      <c r="B954" s="5">
        <f>IF($E954="","",INDEX('Input Transaksi'!$D:$D,$E954))</f>
        <v/>
      </c>
      <c r="C954">
        <f>IF($E954="","",INDEX('Input Transaksi'!$E:$E,$E954))</f>
        <v/>
      </c>
      <c r="D954" s="5">
        <f>IF($E954="","",INDEX('Input Transaksi'!$F:$F,$E954))</f>
        <v/>
      </c>
      <c r="E954">
        <f>IFERROR(AGGREGATE(15,6,ROW('Input Transaksi'!$B$5:$B$5000)/('Input Transaksi'!$B$5:$B$5000="GRIYA ANYAR"),ROWS($E$5:E954)),"")</f>
        <v/>
      </c>
      <c r="F954" s="5" t="n"/>
    </row>
    <row r="955">
      <c r="A955" s="10">
        <f>IF($E955="","",INDEX('Input Transaksi'!$A:$A,$E955))</f>
        <v/>
      </c>
      <c r="B955" s="5">
        <f>IF($E955="","",INDEX('Input Transaksi'!$D:$D,$E955))</f>
        <v/>
      </c>
      <c r="C955">
        <f>IF($E955="","",INDEX('Input Transaksi'!$E:$E,$E955))</f>
        <v/>
      </c>
      <c r="D955" s="5">
        <f>IF($E955="","",INDEX('Input Transaksi'!$F:$F,$E955))</f>
        <v/>
      </c>
      <c r="E955">
        <f>IFERROR(AGGREGATE(15,6,ROW('Input Transaksi'!$B$5:$B$5000)/('Input Transaksi'!$B$5:$B$5000="GRIYA ANYAR"),ROWS($E$5:E955)),"")</f>
        <v/>
      </c>
      <c r="F955" s="5" t="n"/>
    </row>
    <row r="956">
      <c r="A956" s="10">
        <f>IF($E956="","",INDEX('Input Transaksi'!$A:$A,$E956))</f>
        <v/>
      </c>
      <c r="B956" s="5">
        <f>IF($E956="","",INDEX('Input Transaksi'!$D:$D,$E956))</f>
        <v/>
      </c>
      <c r="C956">
        <f>IF($E956="","",INDEX('Input Transaksi'!$E:$E,$E956))</f>
        <v/>
      </c>
      <c r="D956" s="5">
        <f>IF($E956="","",INDEX('Input Transaksi'!$F:$F,$E956))</f>
        <v/>
      </c>
      <c r="E956">
        <f>IFERROR(AGGREGATE(15,6,ROW('Input Transaksi'!$B$5:$B$5000)/('Input Transaksi'!$B$5:$B$5000="GRIYA ANYAR"),ROWS($E$5:E956)),"")</f>
        <v/>
      </c>
      <c r="F956" s="5" t="n"/>
    </row>
    <row r="957">
      <c r="A957" s="10">
        <f>IF($E957="","",INDEX('Input Transaksi'!$A:$A,$E957))</f>
        <v/>
      </c>
      <c r="B957" s="5">
        <f>IF($E957="","",INDEX('Input Transaksi'!$D:$D,$E957))</f>
        <v/>
      </c>
      <c r="C957">
        <f>IF($E957="","",INDEX('Input Transaksi'!$E:$E,$E957))</f>
        <v/>
      </c>
      <c r="D957" s="5">
        <f>IF($E957="","",INDEX('Input Transaksi'!$F:$F,$E957))</f>
        <v/>
      </c>
      <c r="E957">
        <f>IFERROR(AGGREGATE(15,6,ROW('Input Transaksi'!$B$5:$B$5000)/('Input Transaksi'!$B$5:$B$5000="GRIYA ANYAR"),ROWS($E$5:E957)),"")</f>
        <v/>
      </c>
      <c r="F957" s="5" t="n"/>
    </row>
    <row r="958">
      <c r="A958" s="10">
        <f>IF($E958="","",INDEX('Input Transaksi'!$A:$A,$E958))</f>
        <v/>
      </c>
      <c r="B958" s="5">
        <f>IF($E958="","",INDEX('Input Transaksi'!$D:$D,$E958))</f>
        <v/>
      </c>
      <c r="C958">
        <f>IF($E958="","",INDEX('Input Transaksi'!$E:$E,$E958))</f>
        <v/>
      </c>
      <c r="D958" s="5">
        <f>IF($E958="","",INDEX('Input Transaksi'!$F:$F,$E958))</f>
        <v/>
      </c>
      <c r="E958">
        <f>IFERROR(AGGREGATE(15,6,ROW('Input Transaksi'!$B$5:$B$5000)/('Input Transaksi'!$B$5:$B$5000="GRIYA ANYAR"),ROWS($E$5:E958)),"")</f>
        <v/>
      </c>
      <c r="F958" s="5" t="n"/>
    </row>
    <row r="959">
      <c r="A959" s="10">
        <f>IF($E959="","",INDEX('Input Transaksi'!$A:$A,$E959))</f>
        <v/>
      </c>
      <c r="B959" s="5">
        <f>IF($E959="","",INDEX('Input Transaksi'!$D:$D,$E959))</f>
        <v/>
      </c>
      <c r="C959">
        <f>IF($E959="","",INDEX('Input Transaksi'!$E:$E,$E959))</f>
        <v/>
      </c>
      <c r="D959" s="5">
        <f>IF($E959="","",INDEX('Input Transaksi'!$F:$F,$E959))</f>
        <v/>
      </c>
      <c r="E959">
        <f>IFERROR(AGGREGATE(15,6,ROW('Input Transaksi'!$B$5:$B$5000)/('Input Transaksi'!$B$5:$B$5000="GRIYA ANYAR"),ROWS($E$5:E959)),"")</f>
        <v/>
      </c>
      <c r="F959" s="5" t="n"/>
    </row>
    <row r="960">
      <c r="A960" s="10">
        <f>IF($E960="","",INDEX('Input Transaksi'!$A:$A,$E960))</f>
        <v/>
      </c>
      <c r="B960" s="5">
        <f>IF($E960="","",INDEX('Input Transaksi'!$D:$D,$E960))</f>
        <v/>
      </c>
      <c r="C960">
        <f>IF($E960="","",INDEX('Input Transaksi'!$E:$E,$E960))</f>
        <v/>
      </c>
      <c r="D960" s="5">
        <f>IF($E960="","",INDEX('Input Transaksi'!$F:$F,$E960))</f>
        <v/>
      </c>
      <c r="E960">
        <f>IFERROR(AGGREGATE(15,6,ROW('Input Transaksi'!$B$5:$B$5000)/('Input Transaksi'!$B$5:$B$5000="GRIYA ANYAR"),ROWS($E$5:E960)),"")</f>
        <v/>
      </c>
      <c r="F960" s="5" t="n"/>
    </row>
    <row r="961">
      <c r="A961" s="10">
        <f>IF($E961="","",INDEX('Input Transaksi'!$A:$A,$E961))</f>
        <v/>
      </c>
      <c r="B961" s="5">
        <f>IF($E961="","",INDEX('Input Transaksi'!$D:$D,$E961))</f>
        <v/>
      </c>
      <c r="C961">
        <f>IF($E961="","",INDEX('Input Transaksi'!$E:$E,$E961))</f>
        <v/>
      </c>
      <c r="D961" s="5">
        <f>IF($E961="","",INDEX('Input Transaksi'!$F:$F,$E961))</f>
        <v/>
      </c>
      <c r="E961">
        <f>IFERROR(AGGREGATE(15,6,ROW('Input Transaksi'!$B$5:$B$5000)/('Input Transaksi'!$B$5:$B$5000="GRIYA ANYAR"),ROWS($E$5:E961)),"")</f>
        <v/>
      </c>
      <c r="F961" s="5" t="n"/>
    </row>
    <row r="962">
      <c r="A962" s="10">
        <f>IF($E962="","",INDEX('Input Transaksi'!$A:$A,$E962))</f>
        <v/>
      </c>
      <c r="B962" s="5">
        <f>IF($E962="","",INDEX('Input Transaksi'!$D:$D,$E962))</f>
        <v/>
      </c>
      <c r="C962">
        <f>IF($E962="","",INDEX('Input Transaksi'!$E:$E,$E962))</f>
        <v/>
      </c>
      <c r="D962" s="5">
        <f>IF($E962="","",INDEX('Input Transaksi'!$F:$F,$E962))</f>
        <v/>
      </c>
      <c r="E962">
        <f>IFERROR(AGGREGATE(15,6,ROW('Input Transaksi'!$B$5:$B$5000)/('Input Transaksi'!$B$5:$B$5000="GRIYA ANYAR"),ROWS($E$5:E962)),"")</f>
        <v/>
      </c>
      <c r="F962" s="5" t="n"/>
    </row>
    <row r="963">
      <c r="A963" s="10">
        <f>IF($E963="","",INDEX('Input Transaksi'!$A:$A,$E963))</f>
        <v/>
      </c>
      <c r="B963" s="5">
        <f>IF($E963="","",INDEX('Input Transaksi'!$D:$D,$E963))</f>
        <v/>
      </c>
      <c r="C963">
        <f>IF($E963="","",INDEX('Input Transaksi'!$E:$E,$E963))</f>
        <v/>
      </c>
      <c r="D963" s="5">
        <f>IF($E963="","",INDEX('Input Transaksi'!$F:$F,$E963))</f>
        <v/>
      </c>
      <c r="E963">
        <f>IFERROR(AGGREGATE(15,6,ROW('Input Transaksi'!$B$5:$B$5000)/('Input Transaksi'!$B$5:$B$5000="GRIYA ANYAR"),ROWS($E$5:E963)),"")</f>
        <v/>
      </c>
      <c r="F963" s="5" t="n"/>
    </row>
    <row r="964">
      <c r="A964" s="10">
        <f>IF($E964="","",INDEX('Input Transaksi'!$A:$A,$E964))</f>
        <v/>
      </c>
      <c r="B964" s="5">
        <f>IF($E964="","",INDEX('Input Transaksi'!$D:$D,$E964))</f>
        <v/>
      </c>
      <c r="C964">
        <f>IF($E964="","",INDEX('Input Transaksi'!$E:$E,$E964))</f>
        <v/>
      </c>
      <c r="D964" s="5">
        <f>IF($E964="","",INDEX('Input Transaksi'!$F:$F,$E964))</f>
        <v/>
      </c>
      <c r="E964">
        <f>IFERROR(AGGREGATE(15,6,ROW('Input Transaksi'!$B$5:$B$5000)/('Input Transaksi'!$B$5:$B$5000="GRIYA ANYAR"),ROWS($E$5:E964)),"")</f>
        <v/>
      </c>
      <c r="F964" s="5" t="n"/>
    </row>
    <row r="965">
      <c r="A965" s="10">
        <f>IF($E965="","",INDEX('Input Transaksi'!$A:$A,$E965))</f>
        <v/>
      </c>
      <c r="B965" s="5">
        <f>IF($E965="","",INDEX('Input Transaksi'!$D:$D,$E965))</f>
        <v/>
      </c>
      <c r="C965">
        <f>IF($E965="","",INDEX('Input Transaksi'!$E:$E,$E965))</f>
        <v/>
      </c>
      <c r="D965" s="5">
        <f>IF($E965="","",INDEX('Input Transaksi'!$F:$F,$E965))</f>
        <v/>
      </c>
      <c r="E965">
        <f>IFERROR(AGGREGATE(15,6,ROW('Input Transaksi'!$B$5:$B$5000)/('Input Transaksi'!$B$5:$B$5000="GRIYA ANYAR"),ROWS($E$5:E965)),"")</f>
        <v/>
      </c>
      <c r="F965" s="5" t="n"/>
    </row>
    <row r="966">
      <c r="A966" s="10">
        <f>IF($E966="","",INDEX('Input Transaksi'!$A:$A,$E966))</f>
        <v/>
      </c>
      <c r="B966" s="5">
        <f>IF($E966="","",INDEX('Input Transaksi'!$D:$D,$E966))</f>
        <v/>
      </c>
      <c r="C966">
        <f>IF($E966="","",INDEX('Input Transaksi'!$E:$E,$E966))</f>
        <v/>
      </c>
      <c r="D966" s="5">
        <f>IF($E966="","",INDEX('Input Transaksi'!$F:$F,$E966))</f>
        <v/>
      </c>
      <c r="E966">
        <f>IFERROR(AGGREGATE(15,6,ROW('Input Transaksi'!$B$5:$B$5000)/('Input Transaksi'!$B$5:$B$5000="GRIYA ANYAR"),ROWS($E$5:E966)),"")</f>
        <v/>
      </c>
      <c r="F966" s="5" t="n"/>
    </row>
    <row r="967">
      <c r="A967" s="10">
        <f>IF($E967="","",INDEX('Input Transaksi'!$A:$A,$E967))</f>
        <v/>
      </c>
      <c r="B967" s="5">
        <f>IF($E967="","",INDEX('Input Transaksi'!$D:$D,$E967))</f>
        <v/>
      </c>
      <c r="C967">
        <f>IF($E967="","",INDEX('Input Transaksi'!$E:$E,$E967))</f>
        <v/>
      </c>
      <c r="D967" s="5">
        <f>IF($E967="","",INDEX('Input Transaksi'!$F:$F,$E967))</f>
        <v/>
      </c>
      <c r="E967">
        <f>IFERROR(AGGREGATE(15,6,ROW('Input Transaksi'!$B$5:$B$5000)/('Input Transaksi'!$B$5:$B$5000="GRIYA ANYAR"),ROWS($E$5:E967)),"")</f>
        <v/>
      </c>
      <c r="F967" s="5" t="n"/>
    </row>
    <row r="968">
      <c r="A968" s="10">
        <f>IF($E968="","",INDEX('Input Transaksi'!$A:$A,$E968))</f>
        <v/>
      </c>
      <c r="B968" s="5">
        <f>IF($E968="","",INDEX('Input Transaksi'!$D:$D,$E968))</f>
        <v/>
      </c>
      <c r="C968">
        <f>IF($E968="","",INDEX('Input Transaksi'!$E:$E,$E968))</f>
        <v/>
      </c>
      <c r="D968" s="5">
        <f>IF($E968="","",INDEX('Input Transaksi'!$F:$F,$E968))</f>
        <v/>
      </c>
      <c r="E968">
        <f>IFERROR(AGGREGATE(15,6,ROW('Input Transaksi'!$B$5:$B$5000)/('Input Transaksi'!$B$5:$B$5000="GRIYA ANYAR"),ROWS($E$5:E968)),"")</f>
        <v/>
      </c>
      <c r="F968" s="5" t="n"/>
    </row>
    <row r="969">
      <c r="A969" s="10">
        <f>IF($E969="","",INDEX('Input Transaksi'!$A:$A,$E969))</f>
        <v/>
      </c>
      <c r="B969" s="5">
        <f>IF($E969="","",INDEX('Input Transaksi'!$D:$D,$E969))</f>
        <v/>
      </c>
      <c r="C969">
        <f>IF($E969="","",INDEX('Input Transaksi'!$E:$E,$E969))</f>
        <v/>
      </c>
      <c r="D969" s="5">
        <f>IF($E969="","",INDEX('Input Transaksi'!$F:$F,$E969))</f>
        <v/>
      </c>
      <c r="E969">
        <f>IFERROR(AGGREGATE(15,6,ROW('Input Transaksi'!$B$5:$B$5000)/('Input Transaksi'!$B$5:$B$5000="GRIYA ANYAR"),ROWS($E$5:E969)),"")</f>
        <v/>
      </c>
      <c r="F969" s="5" t="n"/>
    </row>
    <row r="970">
      <c r="A970" s="10">
        <f>IF($E970="","",INDEX('Input Transaksi'!$A:$A,$E970))</f>
        <v/>
      </c>
      <c r="B970" s="5">
        <f>IF($E970="","",INDEX('Input Transaksi'!$D:$D,$E970))</f>
        <v/>
      </c>
      <c r="C970">
        <f>IF($E970="","",INDEX('Input Transaksi'!$E:$E,$E970))</f>
        <v/>
      </c>
      <c r="D970" s="5">
        <f>IF($E970="","",INDEX('Input Transaksi'!$F:$F,$E970))</f>
        <v/>
      </c>
      <c r="E970">
        <f>IFERROR(AGGREGATE(15,6,ROW('Input Transaksi'!$B$5:$B$5000)/('Input Transaksi'!$B$5:$B$5000="GRIYA ANYAR"),ROWS($E$5:E970)),"")</f>
        <v/>
      </c>
      <c r="F970" s="5" t="n"/>
    </row>
    <row r="971">
      <c r="A971" s="10">
        <f>IF($E971="","",INDEX('Input Transaksi'!$A:$A,$E971))</f>
        <v/>
      </c>
      <c r="B971" s="5">
        <f>IF($E971="","",INDEX('Input Transaksi'!$D:$D,$E971))</f>
        <v/>
      </c>
      <c r="C971">
        <f>IF($E971="","",INDEX('Input Transaksi'!$E:$E,$E971))</f>
        <v/>
      </c>
      <c r="D971" s="5">
        <f>IF($E971="","",INDEX('Input Transaksi'!$F:$F,$E971))</f>
        <v/>
      </c>
      <c r="E971">
        <f>IFERROR(AGGREGATE(15,6,ROW('Input Transaksi'!$B$5:$B$5000)/('Input Transaksi'!$B$5:$B$5000="GRIYA ANYAR"),ROWS($E$5:E971)),"")</f>
        <v/>
      </c>
      <c r="F971" s="5" t="n"/>
    </row>
    <row r="972">
      <c r="A972" s="10">
        <f>IF($E972="","",INDEX('Input Transaksi'!$A:$A,$E972))</f>
        <v/>
      </c>
      <c r="B972" s="5">
        <f>IF($E972="","",INDEX('Input Transaksi'!$D:$D,$E972))</f>
        <v/>
      </c>
      <c r="C972">
        <f>IF($E972="","",INDEX('Input Transaksi'!$E:$E,$E972))</f>
        <v/>
      </c>
      <c r="D972" s="5">
        <f>IF($E972="","",INDEX('Input Transaksi'!$F:$F,$E972))</f>
        <v/>
      </c>
      <c r="E972">
        <f>IFERROR(AGGREGATE(15,6,ROW('Input Transaksi'!$B$5:$B$5000)/('Input Transaksi'!$B$5:$B$5000="GRIYA ANYAR"),ROWS($E$5:E972)),"")</f>
        <v/>
      </c>
      <c r="F972" s="5" t="n"/>
    </row>
    <row r="973">
      <c r="A973" s="10">
        <f>IF($E973="","",INDEX('Input Transaksi'!$A:$A,$E973))</f>
        <v/>
      </c>
      <c r="B973" s="5">
        <f>IF($E973="","",INDEX('Input Transaksi'!$D:$D,$E973))</f>
        <v/>
      </c>
      <c r="C973">
        <f>IF($E973="","",INDEX('Input Transaksi'!$E:$E,$E973))</f>
        <v/>
      </c>
      <c r="D973" s="5">
        <f>IF($E973="","",INDEX('Input Transaksi'!$F:$F,$E973))</f>
        <v/>
      </c>
      <c r="E973">
        <f>IFERROR(AGGREGATE(15,6,ROW('Input Transaksi'!$B$5:$B$5000)/('Input Transaksi'!$B$5:$B$5000="GRIYA ANYAR"),ROWS($E$5:E973)),"")</f>
        <v/>
      </c>
      <c r="F973" s="5" t="n"/>
    </row>
    <row r="974">
      <c r="A974" s="10">
        <f>IF($E974="","",INDEX('Input Transaksi'!$A:$A,$E974))</f>
        <v/>
      </c>
      <c r="B974" s="5">
        <f>IF($E974="","",INDEX('Input Transaksi'!$D:$D,$E974))</f>
        <v/>
      </c>
      <c r="C974">
        <f>IF($E974="","",INDEX('Input Transaksi'!$E:$E,$E974))</f>
        <v/>
      </c>
      <c r="D974" s="5">
        <f>IF($E974="","",INDEX('Input Transaksi'!$F:$F,$E974))</f>
        <v/>
      </c>
      <c r="E974">
        <f>IFERROR(AGGREGATE(15,6,ROW('Input Transaksi'!$B$5:$B$5000)/('Input Transaksi'!$B$5:$B$5000="GRIYA ANYAR"),ROWS($E$5:E974)),"")</f>
        <v/>
      </c>
      <c r="F974" s="5" t="n"/>
    </row>
    <row r="975">
      <c r="A975" s="10">
        <f>IF($E975="","",INDEX('Input Transaksi'!$A:$A,$E975))</f>
        <v/>
      </c>
      <c r="B975" s="5">
        <f>IF($E975="","",INDEX('Input Transaksi'!$D:$D,$E975))</f>
        <v/>
      </c>
      <c r="C975">
        <f>IF($E975="","",INDEX('Input Transaksi'!$E:$E,$E975))</f>
        <v/>
      </c>
      <c r="D975" s="5">
        <f>IF($E975="","",INDEX('Input Transaksi'!$F:$F,$E975))</f>
        <v/>
      </c>
      <c r="E975">
        <f>IFERROR(AGGREGATE(15,6,ROW('Input Transaksi'!$B$5:$B$5000)/('Input Transaksi'!$B$5:$B$5000="GRIYA ANYAR"),ROWS($E$5:E975)),"")</f>
        <v/>
      </c>
      <c r="F975" s="5" t="n"/>
    </row>
    <row r="976">
      <c r="A976" s="10">
        <f>IF($E976="","",INDEX('Input Transaksi'!$A:$A,$E976))</f>
        <v/>
      </c>
      <c r="B976" s="5">
        <f>IF($E976="","",INDEX('Input Transaksi'!$D:$D,$E976))</f>
        <v/>
      </c>
      <c r="C976">
        <f>IF($E976="","",INDEX('Input Transaksi'!$E:$E,$E976))</f>
        <v/>
      </c>
      <c r="D976" s="5">
        <f>IF($E976="","",INDEX('Input Transaksi'!$F:$F,$E976))</f>
        <v/>
      </c>
      <c r="E976">
        <f>IFERROR(AGGREGATE(15,6,ROW('Input Transaksi'!$B$5:$B$5000)/('Input Transaksi'!$B$5:$B$5000="GRIYA ANYAR"),ROWS($E$5:E976)),"")</f>
        <v/>
      </c>
      <c r="F976" s="5" t="n"/>
    </row>
    <row r="977">
      <c r="A977" s="10">
        <f>IF($E977="","",INDEX('Input Transaksi'!$A:$A,$E977))</f>
        <v/>
      </c>
      <c r="B977" s="5">
        <f>IF($E977="","",INDEX('Input Transaksi'!$D:$D,$E977))</f>
        <v/>
      </c>
      <c r="C977">
        <f>IF($E977="","",INDEX('Input Transaksi'!$E:$E,$E977))</f>
        <v/>
      </c>
      <c r="D977" s="5">
        <f>IF($E977="","",INDEX('Input Transaksi'!$F:$F,$E977))</f>
        <v/>
      </c>
      <c r="E977">
        <f>IFERROR(AGGREGATE(15,6,ROW('Input Transaksi'!$B$5:$B$5000)/('Input Transaksi'!$B$5:$B$5000="GRIYA ANYAR"),ROWS($E$5:E977)),"")</f>
        <v/>
      </c>
      <c r="F977" s="5" t="n"/>
    </row>
    <row r="978">
      <c r="A978" s="10">
        <f>IF($E978="","",INDEX('Input Transaksi'!$A:$A,$E978))</f>
        <v/>
      </c>
      <c r="B978" s="5">
        <f>IF($E978="","",INDEX('Input Transaksi'!$D:$D,$E978))</f>
        <v/>
      </c>
      <c r="C978">
        <f>IF($E978="","",INDEX('Input Transaksi'!$E:$E,$E978))</f>
        <v/>
      </c>
      <c r="D978" s="5">
        <f>IF($E978="","",INDEX('Input Transaksi'!$F:$F,$E978))</f>
        <v/>
      </c>
      <c r="E978">
        <f>IFERROR(AGGREGATE(15,6,ROW('Input Transaksi'!$B$5:$B$5000)/('Input Transaksi'!$B$5:$B$5000="GRIYA ANYAR"),ROWS($E$5:E978)),"")</f>
        <v/>
      </c>
      <c r="F978" s="5" t="n"/>
    </row>
    <row r="979">
      <c r="A979" s="10">
        <f>IF($E979="","",INDEX('Input Transaksi'!$A:$A,$E979))</f>
        <v/>
      </c>
      <c r="B979" s="5">
        <f>IF($E979="","",INDEX('Input Transaksi'!$D:$D,$E979))</f>
        <v/>
      </c>
      <c r="C979">
        <f>IF($E979="","",INDEX('Input Transaksi'!$E:$E,$E979))</f>
        <v/>
      </c>
      <c r="D979" s="5">
        <f>IF($E979="","",INDEX('Input Transaksi'!$F:$F,$E979))</f>
        <v/>
      </c>
      <c r="E979">
        <f>IFERROR(AGGREGATE(15,6,ROW('Input Transaksi'!$B$5:$B$5000)/('Input Transaksi'!$B$5:$B$5000="GRIYA ANYAR"),ROWS($E$5:E979)),"")</f>
        <v/>
      </c>
      <c r="F979" s="5" t="n"/>
    </row>
    <row r="980">
      <c r="A980" s="10">
        <f>IF($E980="","",INDEX('Input Transaksi'!$A:$A,$E980))</f>
        <v/>
      </c>
      <c r="B980" s="5">
        <f>IF($E980="","",INDEX('Input Transaksi'!$D:$D,$E980))</f>
        <v/>
      </c>
      <c r="C980">
        <f>IF($E980="","",INDEX('Input Transaksi'!$E:$E,$E980))</f>
        <v/>
      </c>
      <c r="D980" s="5">
        <f>IF($E980="","",INDEX('Input Transaksi'!$F:$F,$E980))</f>
        <v/>
      </c>
      <c r="E980">
        <f>IFERROR(AGGREGATE(15,6,ROW('Input Transaksi'!$B$5:$B$5000)/('Input Transaksi'!$B$5:$B$5000="GRIYA ANYAR"),ROWS($E$5:E980)),"")</f>
        <v/>
      </c>
      <c r="F980" s="5" t="n"/>
    </row>
    <row r="981">
      <c r="A981" s="10">
        <f>IF($E981="","",INDEX('Input Transaksi'!$A:$A,$E981))</f>
        <v/>
      </c>
      <c r="B981" s="5">
        <f>IF($E981="","",INDEX('Input Transaksi'!$D:$D,$E981))</f>
        <v/>
      </c>
      <c r="C981">
        <f>IF($E981="","",INDEX('Input Transaksi'!$E:$E,$E981))</f>
        <v/>
      </c>
      <c r="D981" s="5">
        <f>IF($E981="","",INDEX('Input Transaksi'!$F:$F,$E981))</f>
        <v/>
      </c>
      <c r="E981">
        <f>IFERROR(AGGREGATE(15,6,ROW('Input Transaksi'!$B$5:$B$5000)/('Input Transaksi'!$B$5:$B$5000="GRIYA ANYAR"),ROWS($E$5:E981)),"")</f>
        <v/>
      </c>
      <c r="F981" s="5" t="n"/>
    </row>
    <row r="982">
      <c r="A982" s="10">
        <f>IF($E982="","",INDEX('Input Transaksi'!$A:$A,$E982))</f>
        <v/>
      </c>
      <c r="B982" s="5">
        <f>IF($E982="","",INDEX('Input Transaksi'!$D:$D,$E982))</f>
        <v/>
      </c>
      <c r="C982">
        <f>IF($E982="","",INDEX('Input Transaksi'!$E:$E,$E982))</f>
        <v/>
      </c>
      <c r="D982" s="5">
        <f>IF($E982="","",INDEX('Input Transaksi'!$F:$F,$E982))</f>
        <v/>
      </c>
      <c r="E982">
        <f>IFERROR(AGGREGATE(15,6,ROW('Input Transaksi'!$B$5:$B$5000)/('Input Transaksi'!$B$5:$B$5000="GRIYA ANYAR"),ROWS($E$5:E982)),"")</f>
        <v/>
      </c>
      <c r="F982" s="5" t="n"/>
    </row>
    <row r="983">
      <c r="A983" s="10">
        <f>IF($E983="","",INDEX('Input Transaksi'!$A:$A,$E983))</f>
        <v/>
      </c>
      <c r="B983" s="5">
        <f>IF($E983="","",INDEX('Input Transaksi'!$D:$D,$E983))</f>
        <v/>
      </c>
      <c r="C983">
        <f>IF($E983="","",INDEX('Input Transaksi'!$E:$E,$E983))</f>
        <v/>
      </c>
      <c r="D983" s="5">
        <f>IF($E983="","",INDEX('Input Transaksi'!$F:$F,$E983))</f>
        <v/>
      </c>
      <c r="E983">
        <f>IFERROR(AGGREGATE(15,6,ROW('Input Transaksi'!$B$5:$B$5000)/('Input Transaksi'!$B$5:$B$5000="GRIYA ANYAR"),ROWS($E$5:E983)),"")</f>
        <v/>
      </c>
      <c r="F983" s="5" t="n"/>
    </row>
    <row r="984">
      <c r="A984" s="10">
        <f>IF($E984="","",INDEX('Input Transaksi'!$A:$A,$E984))</f>
        <v/>
      </c>
      <c r="B984" s="5">
        <f>IF($E984="","",INDEX('Input Transaksi'!$D:$D,$E984))</f>
        <v/>
      </c>
      <c r="C984">
        <f>IF($E984="","",INDEX('Input Transaksi'!$E:$E,$E984))</f>
        <v/>
      </c>
      <c r="D984" s="5">
        <f>IF($E984="","",INDEX('Input Transaksi'!$F:$F,$E984))</f>
        <v/>
      </c>
      <c r="E984">
        <f>IFERROR(AGGREGATE(15,6,ROW('Input Transaksi'!$B$5:$B$5000)/('Input Transaksi'!$B$5:$B$5000="GRIYA ANYAR"),ROWS($E$5:E984)),"")</f>
        <v/>
      </c>
      <c r="F984" s="5" t="n"/>
    </row>
    <row r="985">
      <c r="A985" s="10">
        <f>IF($E985="","",INDEX('Input Transaksi'!$A:$A,$E985))</f>
        <v/>
      </c>
      <c r="B985" s="5">
        <f>IF($E985="","",INDEX('Input Transaksi'!$D:$D,$E985))</f>
        <v/>
      </c>
      <c r="C985">
        <f>IF($E985="","",INDEX('Input Transaksi'!$E:$E,$E985))</f>
        <v/>
      </c>
      <c r="D985" s="5">
        <f>IF($E985="","",INDEX('Input Transaksi'!$F:$F,$E985))</f>
        <v/>
      </c>
      <c r="E985">
        <f>IFERROR(AGGREGATE(15,6,ROW('Input Transaksi'!$B$5:$B$5000)/('Input Transaksi'!$B$5:$B$5000="GRIYA ANYAR"),ROWS($E$5:E985)),"")</f>
        <v/>
      </c>
      <c r="F985" s="5" t="n"/>
    </row>
    <row r="986">
      <c r="A986" s="10">
        <f>IF($E986="","",INDEX('Input Transaksi'!$A:$A,$E986))</f>
        <v/>
      </c>
      <c r="B986" s="5">
        <f>IF($E986="","",INDEX('Input Transaksi'!$D:$D,$E986))</f>
        <v/>
      </c>
      <c r="C986">
        <f>IF($E986="","",INDEX('Input Transaksi'!$E:$E,$E986))</f>
        <v/>
      </c>
      <c r="D986" s="5">
        <f>IF($E986="","",INDEX('Input Transaksi'!$F:$F,$E986))</f>
        <v/>
      </c>
      <c r="E986">
        <f>IFERROR(AGGREGATE(15,6,ROW('Input Transaksi'!$B$5:$B$5000)/('Input Transaksi'!$B$5:$B$5000="GRIYA ANYAR"),ROWS($E$5:E986)),"")</f>
        <v/>
      </c>
      <c r="F986" s="5" t="n"/>
    </row>
    <row r="987">
      <c r="A987" s="10">
        <f>IF($E987="","",INDEX('Input Transaksi'!$A:$A,$E987))</f>
        <v/>
      </c>
      <c r="B987" s="5">
        <f>IF($E987="","",INDEX('Input Transaksi'!$D:$D,$E987))</f>
        <v/>
      </c>
      <c r="C987">
        <f>IF($E987="","",INDEX('Input Transaksi'!$E:$E,$E987))</f>
        <v/>
      </c>
      <c r="D987" s="5">
        <f>IF($E987="","",INDEX('Input Transaksi'!$F:$F,$E987))</f>
        <v/>
      </c>
      <c r="E987">
        <f>IFERROR(AGGREGATE(15,6,ROW('Input Transaksi'!$B$5:$B$5000)/('Input Transaksi'!$B$5:$B$5000="GRIYA ANYAR"),ROWS($E$5:E987)),"")</f>
        <v/>
      </c>
      <c r="F987" s="5" t="n"/>
    </row>
    <row r="988">
      <c r="A988" s="10">
        <f>IF($E988="","",INDEX('Input Transaksi'!$A:$A,$E988))</f>
        <v/>
      </c>
      <c r="B988" s="5">
        <f>IF($E988="","",INDEX('Input Transaksi'!$D:$D,$E988))</f>
        <v/>
      </c>
      <c r="C988">
        <f>IF($E988="","",INDEX('Input Transaksi'!$E:$E,$E988))</f>
        <v/>
      </c>
      <c r="D988" s="5">
        <f>IF($E988="","",INDEX('Input Transaksi'!$F:$F,$E988))</f>
        <v/>
      </c>
      <c r="E988">
        <f>IFERROR(AGGREGATE(15,6,ROW('Input Transaksi'!$B$5:$B$5000)/('Input Transaksi'!$B$5:$B$5000="GRIYA ANYAR"),ROWS($E$5:E988)),"")</f>
        <v/>
      </c>
      <c r="F988" s="5" t="n"/>
    </row>
    <row r="989">
      <c r="A989" s="10">
        <f>IF($E989="","",INDEX('Input Transaksi'!$A:$A,$E989))</f>
        <v/>
      </c>
      <c r="B989" s="5">
        <f>IF($E989="","",INDEX('Input Transaksi'!$D:$D,$E989))</f>
        <v/>
      </c>
      <c r="C989">
        <f>IF($E989="","",INDEX('Input Transaksi'!$E:$E,$E989))</f>
        <v/>
      </c>
      <c r="D989" s="5">
        <f>IF($E989="","",INDEX('Input Transaksi'!$F:$F,$E989))</f>
        <v/>
      </c>
      <c r="E989">
        <f>IFERROR(AGGREGATE(15,6,ROW('Input Transaksi'!$B$5:$B$5000)/('Input Transaksi'!$B$5:$B$5000="GRIYA ANYAR"),ROWS($E$5:E989)),"")</f>
        <v/>
      </c>
      <c r="F989" s="5" t="n"/>
    </row>
    <row r="990">
      <c r="A990" s="10">
        <f>IF($E990="","",INDEX('Input Transaksi'!$A:$A,$E990))</f>
        <v/>
      </c>
      <c r="B990" s="5">
        <f>IF($E990="","",INDEX('Input Transaksi'!$D:$D,$E990))</f>
        <v/>
      </c>
      <c r="C990">
        <f>IF($E990="","",INDEX('Input Transaksi'!$E:$E,$E990))</f>
        <v/>
      </c>
      <c r="D990" s="5">
        <f>IF($E990="","",INDEX('Input Transaksi'!$F:$F,$E990))</f>
        <v/>
      </c>
      <c r="E990">
        <f>IFERROR(AGGREGATE(15,6,ROW('Input Transaksi'!$B$5:$B$5000)/('Input Transaksi'!$B$5:$B$5000="GRIYA ANYAR"),ROWS($E$5:E990)),"")</f>
        <v/>
      </c>
      <c r="F990" s="5" t="n"/>
    </row>
    <row r="991">
      <c r="A991" s="10">
        <f>IF($E991="","",INDEX('Input Transaksi'!$A:$A,$E991))</f>
        <v/>
      </c>
      <c r="B991" s="5">
        <f>IF($E991="","",INDEX('Input Transaksi'!$D:$D,$E991))</f>
        <v/>
      </c>
      <c r="C991">
        <f>IF($E991="","",INDEX('Input Transaksi'!$E:$E,$E991))</f>
        <v/>
      </c>
      <c r="D991" s="5">
        <f>IF($E991="","",INDEX('Input Transaksi'!$F:$F,$E991))</f>
        <v/>
      </c>
      <c r="E991">
        <f>IFERROR(AGGREGATE(15,6,ROW('Input Transaksi'!$B$5:$B$5000)/('Input Transaksi'!$B$5:$B$5000="GRIYA ANYAR"),ROWS($E$5:E991)),"")</f>
        <v/>
      </c>
      <c r="F991" s="5" t="n"/>
    </row>
    <row r="992">
      <c r="A992" s="10">
        <f>IF($E992="","",INDEX('Input Transaksi'!$A:$A,$E992))</f>
        <v/>
      </c>
      <c r="B992" s="5">
        <f>IF($E992="","",INDEX('Input Transaksi'!$D:$D,$E992))</f>
        <v/>
      </c>
      <c r="C992">
        <f>IF($E992="","",INDEX('Input Transaksi'!$E:$E,$E992))</f>
        <v/>
      </c>
      <c r="D992" s="5">
        <f>IF($E992="","",INDEX('Input Transaksi'!$F:$F,$E992))</f>
        <v/>
      </c>
      <c r="E992">
        <f>IFERROR(AGGREGATE(15,6,ROW('Input Transaksi'!$B$5:$B$5000)/('Input Transaksi'!$B$5:$B$5000="GRIYA ANYAR"),ROWS($E$5:E992)),"")</f>
        <v/>
      </c>
      <c r="F992" s="5" t="n"/>
    </row>
    <row r="993">
      <c r="A993" s="10">
        <f>IF($E993="","",INDEX('Input Transaksi'!$A:$A,$E993))</f>
        <v/>
      </c>
      <c r="B993" s="5">
        <f>IF($E993="","",INDEX('Input Transaksi'!$D:$D,$E993))</f>
        <v/>
      </c>
      <c r="C993">
        <f>IF($E993="","",INDEX('Input Transaksi'!$E:$E,$E993))</f>
        <v/>
      </c>
      <c r="D993" s="5">
        <f>IF($E993="","",INDEX('Input Transaksi'!$F:$F,$E993))</f>
        <v/>
      </c>
      <c r="E993">
        <f>IFERROR(AGGREGATE(15,6,ROW('Input Transaksi'!$B$5:$B$5000)/('Input Transaksi'!$B$5:$B$5000="GRIYA ANYAR"),ROWS($E$5:E993)),"")</f>
        <v/>
      </c>
      <c r="F993" s="5" t="n"/>
    </row>
    <row r="994">
      <c r="A994" s="10">
        <f>IF($E994="","",INDEX('Input Transaksi'!$A:$A,$E994))</f>
        <v/>
      </c>
      <c r="B994" s="5">
        <f>IF($E994="","",INDEX('Input Transaksi'!$D:$D,$E994))</f>
        <v/>
      </c>
      <c r="C994">
        <f>IF($E994="","",INDEX('Input Transaksi'!$E:$E,$E994))</f>
        <v/>
      </c>
      <c r="D994" s="5">
        <f>IF($E994="","",INDEX('Input Transaksi'!$F:$F,$E994))</f>
        <v/>
      </c>
      <c r="E994">
        <f>IFERROR(AGGREGATE(15,6,ROW('Input Transaksi'!$B$5:$B$5000)/('Input Transaksi'!$B$5:$B$5000="GRIYA ANYAR"),ROWS($E$5:E994)),"")</f>
        <v/>
      </c>
      <c r="F994" s="5" t="n"/>
    </row>
    <row r="995">
      <c r="A995" s="10">
        <f>IF($E995="","",INDEX('Input Transaksi'!$A:$A,$E995))</f>
        <v/>
      </c>
      <c r="B995" s="5">
        <f>IF($E995="","",INDEX('Input Transaksi'!$D:$D,$E995))</f>
        <v/>
      </c>
      <c r="C995">
        <f>IF($E995="","",INDEX('Input Transaksi'!$E:$E,$E995))</f>
        <v/>
      </c>
      <c r="D995" s="5">
        <f>IF($E995="","",INDEX('Input Transaksi'!$F:$F,$E995))</f>
        <v/>
      </c>
      <c r="E995">
        <f>IFERROR(AGGREGATE(15,6,ROW('Input Transaksi'!$B$5:$B$5000)/('Input Transaksi'!$B$5:$B$5000="GRIYA ANYAR"),ROWS($E$5:E995)),"")</f>
        <v/>
      </c>
      <c r="F995" s="5" t="n"/>
    </row>
    <row r="996">
      <c r="A996" s="10">
        <f>IF($E996="","",INDEX('Input Transaksi'!$A:$A,$E996))</f>
        <v/>
      </c>
      <c r="B996" s="5">
        <f>IF($E996="","",INDEX('Input Transaksi'!$D:$D,$E996))</f>
        <v/>
      </c>
      <c r="C996">
        <f>IF($E996="","",INDEX('Input Transaksi'!$E:$E,$E996))</f>
        <v/>
      </c>
      <c r="D996" s="5">
        <f>IF($E996="","",INDEX('Input Transaksi'!$F:$F,$E996))</f>
        <v/>
      </c>
      <c r="E996">
        <f>IFERROR(AGGREGATE(15,6,ROW('Input Transaksi'!$B$5:$B$5000)/('Input Transaksi'!$B$5:$B$5000="GRIYA ANYAR"),ROWS($E$5:E996)),"")</f>
        <v/>
      </c>
      <c r="F996" s="5" t="n"/>
    </row>
    <row r="997">
      <c r="A997" s="10">
        <f>IF($E997="","",INDEX('Input Transaksi'!$A:$A,$E997))</f>
        <v/>
      </c>
      <c r="B997" s="5">
        <f>IF($E997="","",INDEX('Input Transaksi'!$D:$D,$E997))</f>
        <v/>
      </c>
      <c r="C997">
        <f>IF($E997="","",INDEX('Input Transaksi'!$E:$E,$E997))</f>
        <v/>
      </c>
      <c r="D997" s="5">
        <f>IF($E997="","",INDEX('Input Transaksi'!$F:$F,$E997))</f>
        <v/>
      </c>
      <c r="E997">
        <f>IFERROR(AGGREGATE(15,6,ROW('Input Transaksi'!$B$5:$B$5000)/('Input Transaksi'!$B$5:$B$5000="GRIYA ANYAR"),ROWS($E$5:E997)),"")</f>
        <v/>
      </c>
      <c r="F997" s="5" t="n"/>
    </row>
    <row r="998">
      <c r="A998" s="10">
        <f>IF($E998="","",INDEX('Input Transaksi'!$A:$A,$E998))</f>
        <v/>
      </c>
      <c r="B998" s="5">
        <f>IF($E998="","",INDEX('Input Transaksi'!$D:$D,$E998))</f>
        <v/>
      </c>
      <c r="C998">
        <f>IF($E998="","",INDEX('Input Transaksi'!$E:$E,$E998))</f>
        <v/>
      </c>
      <c r="D998" s="5">
        <f>IF($E998="","",INDEX('Input Transaksi'!$F:$F,$E998))</f>
        <v/>
      </c>
      <c r="E998">
        <f>IFERROR(AGGREGATE(15,6,ROW('Input Transaksi'!$B$5:$B$5000)/('Input Transaksi'!$B$5:$B$5000="GRIYA ANYAR"),ROWS($E$5:E998)),"")</f>
        <v/>
      </c>
      <c r="F998" s="5" t="n"/>
    </row>
    <row r="999">
      <c r="A999" s="10">
        <f>IF($E999="","",INDEX('Input Transaksi'!$A:$A,$E999))</f>
        <v/>
      </c>
      <c r="B999" s="5">
        <f>IF($E999="","",INDEX('Input Transaksi'!$D:$D,$E999))</f>
        <v/>
      </c>
      <c r="C999">
        <f>IF($E999="","",INDEX('Input Transaksi'!$E:$E,$E999))</f>
        <v/>
      </c>
      <c r="D999" s="5">
        <f>IF($E999="","",INDEX('Input Transaksi'!$F:$F,$E999))</f>
        <v/>
      </c>
      <c r="E999">
        <f>IFERROR(AGGREGATE(15,6,ROW('Input Transaksi'!$B$5:$B$5000)/('Input Transaksi'!$B$5:$B$5000="GRIYA ANYAR"),ROWS($E$5:E999)),"")</f>
        <v/>
      </c>
      <c r="F999" s="5" t="n"/>
    </row>
    <row r="1000">
      <c r="A1000" s="10">
        <f>IF($E1000="","",INDEX('Input Transaksi'!$A:$A,$E1000))</f>
        <v/>
      </c>
      <c r="B1000" s="5">
        <f>IF($E1000="","",INDEX('Input Transaksi'!$D:$D,$E1000))</f>
        <v/>
      </c>
      <c r="C1000">
        <f>IF($E1000="","",INDEX('Input Transaksi'!$E:$E,$E1000))</f>
        <v/>
      </c>
      <c r="D1000" s="5">
        <f>IF($E1000="","",INDEX('Input Transaksi'!$F:$F,$E1000))</f>
        <v/>
      </c>
      <c r="E1000">
        <f>IFERROR(AGGREGATE(15,6,ROW('Input Transaksi'!$B$5:$B$5000)/('Input Transaksi'!$B$5:$B$5000="GRIYA ANYAR"),ROWS($E$5:E1000)),"")</f>
        <v/>
      </c>
      <c r="F1000" s="5" t="n"/>
    </row>
  </sheetData>
  <autoFilter ref="A4:D1000"/>
  <mergeCells count="1">
    <mergeCell ref="A1:E1"/>
  </mergeCells>
  <hyperlinks>
    <hyperlink ref="F1" location="'Beranda'!A1" display="Kembali ke Beranda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000"/>
  <sheetViews>
    <sheetView workbookViewId="0">
      <pane ySplit="4" topLeftCell="A5" activePane="bottomLeft" state="frozen"/>
      <selection pane="bottomLeft" activeCell="A1" sqref="A1"/>
    </sheetView>
  </sheetViews>
  <sheetFormatPr baseColWidth="10" defaultColWidth="8.83203125" defaultRowHeight="15"/>
  <cols>
    <col width="16" customWidth="1" min="1" max="1"/>
    <col width="22" customWidth="1" min="2" max="2"/>
    <col width="12" customWidth="1" min="3" max="3"/>
    <col width="26" customWidth="1" min="4" max="4"/>
    <col hidden="1" width="12.6640625" customWidth="1" min="5" max="5"/>
    <col width="16" customWidth="1" min="6" max="6"/>
    <col hidden="1" width="13" customWidth="1" min="7" max="7"/>
  </cols>
  <sheetData>
    <row r="1" ht="24" customHeight="1">
      <c r="A1" s="11" t="inlineStr">
        <is>
          <t>KLIN WASH</t>
        </is>
      </c>
      <c r="F1" s="3" t="inlineStr">
        <is>
          <t>Kembali ke Beranda</t>
        </is>
      </c>
    </row>
    <row r="2">
      <c r="A2" s="13" t="inlineStr">
        <is>
          <t>Wilayah</t>
        </is>
      </c>
      <c r="B2" s="13" t="inlineStr">
        <is>
          <t>SELATAN</t>
        </is>
      </c>
      <c r="C2" s="13" t="inlineStr">
        <is>
          <t>Total Qty</t>
        </is>
      </c>
      <c r="D2" s="2">
        <f>SUMIFS('Input Transaksi'!$E$5:$E$5000,'Input Transaksi'!$B$5:$B$5000,"KLIN WASH")</f>
        <v/>
      </c>
      <c r="E2" s="13" t="inlineStr">
        <is>
          <t>Jumlah Transaksi</t>
        </is>
      </c>
      <c r="F2" s="2">
        <f>COUNTIF('Input Transaksi'!$B$5:$B$5000,"KLIN WASH")</f>
        <v/>
      </c>
    </row>
    <row r="3"/>
    <row r="4">
      <c r="A4" s="4" t="inlineStr">
        <is>
          <t>Tanggal</t>
        </is>
      </c>
      <c r="B4" s="4" t="inlineStr">
        <is>
          <t>Item</t>
        </is>
      </c>
      <c r="C4" s="4" t="inlineStr">
        <is>
          <t>Qty Keluar</t>
        </is>
      </c>
      <c r="D4" s="4" t="inlineStr">
        <is>
          <t>Catatan</t>
        </is>
      </c>
      <c r="E4" t="inlineStr">
        <is>
          <t>RowRef</t>
        </is>
      </c>
      <c r="F4" s="4" t="n"/>
    </row>
    <row r="5">
      <c r="A5" s="10">
        <f>IF($E5="","",INDEX('Input Transaksi'!$A:$A,$E5))</f>
        <v/>
      </c>
      <c r="B5" s="5">
        <f>IF($E5="","",INDEX('Input Transaksi'!$D:$D,$E5))</f>
        <v/>
      </c>
      <c r="C5">
        <f>IF($E5="","",INDEX('Input Transaksi'!$E:$E,$E5))</f>
        <v/>
      </c>
      <c r="D5" s="5">
        <f>IF($E5="","",INDEX('Input Transaksi'!$F:$F,$E5))</f>
        <v/>
      </c>
      <c r="E5">
        <f>IFERROR(AGGREGATE(15,6,ROW('Input Transaksi'!$B$5:$B$5000)/('Input Transaksi'!$B$5:$B$5000="KLIN WASH"),ROWS($E$5:E5)),"")</f>
        <v/>
      </c>
      <c r="F5" s="5" t="n"/>
    </row>
    <row r="6">
      <c r="A6" s="10">
        <f>IF($E6="","",INDEX('Input Transaksi'!$A:$A,$E6))</f>
        <v/>
      </c>
      <c r="B6" s="5">
        <f>IF($E6="","",INDEX('Input Transaksi'!$D:$D,$E6))</f>
        <v/>
      </c>
      <c r="C6">
        <f>IF($E6="","",INDEX('Input Transaksi'!$E:$E,$E6))</f>
        <v/>
      </c>
      <c r="D6" s="5">
        <f>IF($E6="","",INDEX('Input Transaksi'!$F:$F,$E6))</f>
        <v/>
      </c>
      <c r="E6">
        <f>IFERROR(AGGREGATE(15,6,ROW('Input Transaksi'!$B$5:$B$5000)/('Input Transaksi'!$B$5:$B$5000="KLIN WASH"),ROWS($E$5:E6)),"")</f>
        <v/>
      </c>
      <c r="F6" s="5" t="n"/>
    </row>
    <row r="7">
      <c r="A7" s="10">
        <f>IF($E7="","",INDEX('Input Transaksi'!$A:$A,$E7))</f>
        <v/>
      </c>
      <c r="B7" s="5">
        <f>IF($E7="","",INDEX('Input Transaksi'!$D:$D,$E7))</f>
        <v/>
      </c>
      <c r="C7">
        <f>IF($E7="","",INDEX('Input Transaksi'!$E:$E,$E7))</f>
        <v/>
      </c>
      <c r="D7" s="5">
        <f>IF($E7="","",INDEX('Input Transaksi'!$F:$F,$E7))</f>
        <v/>
      </c>
      <c r="E7">
        <f>IFERROR(AGGREGATE(15,6,ROW('Input Transaksi'!$B$5:$B$5000)/('Input Transaksi'!$B$5:$B$5000="KLIN WASH"),ROWS($E$5:E7)),"")</f>
        <v/>
      </c>
      <c r="F7" s="5" t="n"/>
    </row>
    <row r="8">
      <c r="A8" s="10">
        <f>IF($E8="","",INDEX('Input Transaksi'!$A:$A,$E8))</f>
        <v/>
      </c>
      <c r="B8" s="5">
        <f>IF($E8="","",INDEX('Input Transaksi'!$D:$D,$E8))</f>
        <v/>
      </c>
      <c r="C8">
        <f>IF($E8="","",INDEX('Input Transaksi'!$E:$E,$E8))</f>
        <v/>
      </c>
      <c r="D8" s="5">
        <f>IF($E8="","",INDEX('Input Transaksi'!$F:$F,$E8))</f>
        <v/>
      </c>
      <c r="E8">
        <f>IFERROR(AGGREGATE(15,6,ROW('Input Transaksi'!$B$5:$B$5000)/('Input Transaksi'!$B$5:$B$5000="KLIN WASH"),ROWS($E$5:E8)),"")</f>
        <v/>
      </c>
      <c r="F8" s="5" t="n"/>
    </row>
    <row r="9">
      <c r="A9" s="10">
        <f>IF($E9="","",INDEX('Input Transaksi'!$A:$A,$E9))</f>
        <v/>
      </c>
      <c r="B9" s="5">
        <f>IF($E9="","",INDEX('Input Transaksi'!$D:$D,$E9))</f>
        <v/>
      </c>
      <c r="C9">
        <f>IF($E9="","",INDEX('Input Transaksi'!$E:$E,$E9))</f>
        <v/>
      </c>
      <c r="D9" s="5">
        <f>IF($E9="","",INDEX('Input Transaksi'!$F:$F,$E9))</f>
        <v/>
      </c>
      <c r="E9">
        <f>IFERROR(AGGREGATE(15,6,ROW('Input Transaksi'!$B$5:$B$5000)/('Input Transaksi'!$B$5:$B$5000="KLIN WASH"),ROWS($E$5:E9)),"")</f>
        <v/>
      </c>
      <c r="F9" s="5" t="n"/>
    </row>
    <row r="10">
      <c r="A10" s="10">
        <f>IF($E10="","",INDEX('Input Transaksi'!$A:$A,$E10))</f>
        <v/>
      </c>
      <c r="B10" s="5">
        <f>IF($E10="","",INDEX('Input Transaksi'!$D:$D,$E10))</f>
        <v/>
      </c>
      <c r="C10">
        <f>IF($E10="","",INDEX('Input Transaksi'!$E:$E,$E10))</f>
        <v/>
      </c>
      <c r="D10" s="5">
        <f>IF($E10="","",INDEX('Input Transaksi'!$F:$F,$E10))</f>
        <v/>
      </c>
      <c r="E10">
        <f>IFERROR(AGGREGATE(15,6,ROW('Input Transaksi'!$B$5:$B$5000)/('Input Transaksi'!$B$5:$B$5000="KLIN WASH"),ROWS($E$5:E10)),"")</f>
        <v/>
      </c>
      <c r="F10" s="5" t="n"/>
    </row>
    <row r="11">
      <c r="A11" s="10">
        <f>IF($E11="","",INDEX('Input Transaksi'!$A:$A,$E11))</f>
        <v/>
      </c>
      <c r="B11" s="5">
        <f>IF($E11="","",INDEX('Input Transaksi'!$D:$D,$E11))</f>
        <v/>
      </c>
      <c r="C11">
        <f>IF($E11="","",INDEX('Input Transaksi'!$E:$E,$E11))</f>
        <v/>
      </c>
      <c r="D11" s="5">
        <f>IF($E11="","",INDEX('Input Transaksi'!$F:$F,$E11))</f>
        <v/>
      </c>
      <c r="E11">
        <f>IFERROR(AGGREGATE(15,6,ROW('Input Transaksi'!$B$5:$B$5000)/('Input Transaksi'!$B$5:$B$5000="KLIN WASH"),ROWS($E$5:E11)),"")</f>
        <v/>
      </c>
      <c r="F11" s="5" t="n"/>
    </row>
    <row r="12">
      <c r="A12" s="10">
        <f>IF($E12="","",INDEX('Input Transaksi'!$A:$A,$E12))</f>
        <v/>
      </c>
      <c r="B12" s="5">
        <f>IF($E12="","",INDEX('Input Transaksi'!$D:$D,$E12))</f>
        <v/>
      </c>
      <c r="C12">
        <f>IF($E12="","",INDEX('Input Transaksi'!$E:$E,$E12))</f>
        <v/>
      </c>
      <c r="D12" s="5">
        <f>IF($E12="","",INDEX('Input Transaksi'!$F:$F,$E12))</f>
        <v/>
      </c>
      <c r="E12">
        <f>IFERROR(AGGREGATE(15,6,ROW('Input Transaksi'!$B$5:$B$5000)/('Input Transaksi'!$B$5:$B$5000="KLIN WASH"),ROWS($E$5:E12)),"")</f>
        <v/>
      </c>
      <c r="F12" s="5" t="n"/>
    </row>
    <row r="13">
      <c r="A13" s="10">
        <f>IF($E13="","",INDEX('Input Transaksi'!$A:$A,$E13))</f>
        <v/>
      </c>
      <c r="B13" s="5">
        <f>IF($E13="","",INDEX('Input Transaksi'!$D:$D,$E13))</f>
        <v/>
      </c>
      <c r="C13">
        <f>IF($E13="","",INDEX('Input Transaksi'!$E:$E,$E13))</f>
        <v/>
      </c>
      <c r="D13" s="5">
        <f>IF($E13="","",INDEX('Input Transaksi'!$F:$F,$E13))</f>
        <v/>
      </c>
      <c r="E13">
        <f>IFERROR(AGGREGATE(15,6,ROW('Input Transaksi'!$B$5:$B$5000)/('Input Transaksi'!$B$5:$B$5000="KLIN WASH"),ROWS($E$5:E13)),"")</f>
        <v/>
      </c>
      <c r="F13" s="5" t="n"/>
    </row>
    <row r="14">
      <c r="A14" s="10">
        <f>IF($E14="","",INDEX('Input Transaksi'!$A:$A,$E14))</f>
        <v/>
      </c>
      <c r="B14" s="5">
        <f>IF($E14="","",INDEX('Input Transaksi'!$D:$D,$E14))</f>
        <v/>
      </c>
      <c r="C14">
        <f>IF($E14="","",INDEX('Input Transaksi'!$E:$E,$E14))</f>
        <v/>
      </c>
      <c r="D14" s="5">
        <f>IF($E14="","",INDEX('Input Transaksi'!$F:$F,$E14))</f>
        <v/>
      </c>
      <c r="E14">
        <f>IFERROR(AGGREGATE(15,6,ROW('Input Transaksi'!$B$5:$B$5000)/('Input Transaksi'!$B$5:$B$5000="KLIN WASH"),ROWS($E$5:E14)),"")</f>
        <v/>
      </c>
      <c r="F14" s="5" t="n"/>
    </row>
    <row r="15">
      <c r="A15" s="10">
        <f>IF($E15="","",INDEX('Input Transaksi'!$A:$A,$E15))</f>
        <v/>
      </c>
      <c r="B15" s="5">
        <f>IF($E15="","",INDEX('Input Transaksi'!$D:$D,$E15))</f>
        <v/>
      </c>
      <c r="C15">
        <f>IF($E15="","",INDEX('Input Transaksi'!$E:$E,$E15))</f>
        <v/>
      </c>
      <c r="D15" s="5">
        <f>IF($E15="","",INDEX('Input Transaksi'!$F:$F,$E15))</f>
        <v/>
      </c>
      <c r="E15">
        <f>IFERROR(AGGREGATE(15,6,ROW('Input Transaksi'!$B$5:$B$5000)/('Input Transaksi'!$B$5:$B$5000="KLIN WASH"),ROWS($E$5:E15)),"")</f>
        <v/>
      </c>
      <c r="F15" s="5" t="n"/>
    </row>
    <row r="16">
      <c r="A16" s="10">
        <f>IF($E16="","",INDEX('Input Transaksi'!$A:$A,$E16))</f>
        <v/>
      </c>
      <c r="B16" s="5">
        <f>IF($E16="","",INDEX('Input Transaksi'!$D:$D,$E16))</f>
        <v/>
      </c>
      <c r="C16">
        <f>IF($E16="","",INDEX('Input Transaksi'!$E:$E,$E16))</f>
        <v/>
      </c>
      <c r="D16" s="5">
        <f>IF($E16="","",INDEX('Input Transaksi'!$F:$F,$E16))</f>
        <v/>
      </c>
      <c r="E16">
        <f>IFERROR(AGGREGATE(15,6,ROW('Input Transaksi'!$B$5:$B$5000)/('Input Transaksi'!$B$5:$B$5000="KLIN WASH"),ROWS($E$5:E16)),"")</f>
        <v/>
      </c>
      <c r="F16" s="5" t="n"/>
    </row>
    <row r="17">
      <c r="A17" s="10">
        <f>IF($E17="","",INDEX('Input Transaksi'!$A:$A,$E17))</f>
        <v/>
      </c>
      <c r="B17" s="5">
        <f>IF($E17="","",INDEX('Input Transaksi'!$D:$D,$E17))</f>
        <v/>
      </c>
      <c r="C17">
        <f>IF($E17="","",INDEX('Input Transaksi'!$E:$E,$E17))</f>
        <v/>
      </c>
      <c r="D17" s="5">
        <f>IF($E17="","",INDEX('Input Transaksi'!$F:$F,$E17))</f>
        <v/>
      </c>
      <c r="E17">
        <f>IFERROR(AGGREGATE(15,6,ROW('Input Transaksi'!$B$5:$B$5000)/('Input Transaksi'!$B$5:$B$5000="KLIN WASH"),ROWS($E$5:E17)),"")</f>
        <v/>
      </c>
      <c r="F17" s="5" t="n"/>
    </row>
    <row r="18">
      <c r="A18" s="10">
        <f>IF($E18="","",INDEX('Input Transaksi'!$A:$A,$E18))</f>
        <v/>
      </c>
      <c r="B18" s="5">
        <f>IF($E18="","",INDEX('Input Transaksi'!$D:$D,$E18))</f>
        <v/>
      </c>
      <c r="C18">
        <f>IF($E18="","",INDEX('Input Transaksi'!$E:$E,$E18))</f>
        <v/>
      </c>
      <c r="D18" s="5">
        <f>IF($E18="","",INDEX('Input Transaksi'!$F:$F,$E18))</f>
        <v/>
      </c>
      <c r="E18">
        <f>IFERROR(AGGREGATE(15,6,ROW('Input Transaksi'!$B$5:$B$5000)/('Input Transaksi'!$B$5:$B$5000="KLIN WASH"),ROWS($E$5:E18)),"")</f>
        <v/>
      </c>
      <c r="F18" s="5" t="n"/>
    </row>
    <row r="19">
      <c r="A19" s="10">
        <f>IF($E19="","",INDEX('Input Transaksi'!$A:$A,$E19))</f>
        <v/>
      </c>
      <c r="B19" s="5">
        <f>IF($E19="","",INDEX('Input Transaksi'!$D:$D,$E19))</f>
        <v/>
      </c>
      <c r="C19">
        <f>IF($E19="","",INDEX('Input Transaksi'!$E:$E,$E19))</f>
        <v/>
      </c>
      <c r="D19" s="5">
        <f>IF($E19="","",INDEX('Input Transaksi'!$F:$F,$E19))</f>
        <v/>
      </c>
      <c r="E19">
        <f>IFERROR(AGGREGATE(15,6,ROW('Input Transaksi'!$B$5:$B$5000)/('Input Transaksi'!$B$5:$B$5000="KLIN WASH"),ROWS($E$5:E19)),"")</f>
        <v/>
      </c>
      <c r="F19" s="5" t="n"/>
    </row>
    <row r="20">
      <c r="A20" s="10">
        <f>IF($E20="","",INDEX('Input Transaksi'!$A:$A,$E20))</f>
        <v/>
      </c>
      <c r="B20" s="5">
        <f>IF($E20="","",INDEX('Input Transaksi'!$D:$D,$E20))</f>
        <v/>
      </c>
      <c r="C20">
        <f>IF($E20="","",INDEX('Input Transaksi'!$E:$E,$E20))</f>
        <v/>
      </c>
      <c r="D20" s="5">
        <f>IF($E20="","",INDEX('Input Transaksi'!$F:$F,$E20))</f>
        <v/>
      </c>
      <c r="E20">
        <f>IFERROR(AGGREGATE(15,6,ROW('Input Transaksi'!$B$5:$B$5000)/('Input Transaksi'!$B$5:$B$5000="KLIN WASH"),ROWS($E$5:E20)),"")</f>
        <v/>
      </c>
      <c r="F20" s="5" t="n"/>
    </row>
    <row r="21">
      <c r="A21" s="10">
        <f>IF($E21="","",INDEX('Input Transaksi'!$A:$A,$E21))</f>
        <v/>
      </c>
      <c r="B21" s="5">
        <f>IF($E21="","",INDEX('Input Transaksi'!$D:$D,$E21))</f>
        <v/>
      </c>
      <c r="C21">
        <f>IF($E21="","",INDEX('Input Transaksi'!$E:$E,$E21))</f>
        <v/>
      </c>
      <c r="D21" s="5">
        <f>IF($E21="","",INDEX('Input Transaksi'!$F:$F,$E21))</f>
        <v/>
      </c>
      <c r="E21">
        <f>IFERROR(AGGREGATE(15,6,ROW('Input Transaksi'!$B$5:$B$5000)/('Input Transaksi'!$B$5:$B$5000="KLIN WASH"),ROWS($E$5:E21)),"")</f>
        <v/>
      </c>
      <c r="F21" s="5" t="n"/>
    </row>
    <row r="22">
      <c r="A22" s="10">
        <f>IF($E22="","",INDEX('Input Transaksi'!$A:$A,$E22))</f>
        <v/>
      </c>
      <c r="B22" s="5">
        <f>IF($E22="","",INDEX('Input Transaksi'!$D:$D,$E22))</f>
        <v/>
      </c>
      <c r="C22">
        <f>IF($E22="","",INDEX('Input Transaksi'!$E:$E,$E22))</f>
        <v/>
      </c>
      <c r="D22" s="5">
        <f>IF($E22="","",INDEX('Input Transaksi'!$F:$F,$E22))</f>
        <v/>
      </c>
      <c r="E22">
        <f>IFERROR(AGGREGATE(15,6,ROW('Input Transaksi'!$B$5:$B$5000)/('Input Transaksi'!$B$5:$B$5000="KLIN WASH"),ROWS($E$5:E22)),"")</f>
        <v/>
      </c>
      <c r="F22" s="5" t="n"/>
    </row>
    <row r="23">
      <c r="A23" s="10">
        <f>IF($E23="","",INDEX('Input Transaksi'!$A:$A,$E23))</f>
        <v/>
      </c>
      <c r="B23" s="5">
        <f>IF($E23="","",INDEX('Input Transaksi'!$D:$D,$E23))</f>
        <v/>
      </c>
      <c r="C23">
        <f>IF($E23="","",INDEX('Input Transaksi'!$E:$E,$E23))</f>
        <v/>
      </c>
      <c r="D23" s="5">
        <f>IF($E23="","",INDEX('Input Transaksi'!$F:$F,$E23))</f>
        <v/>
      </c>
      <c r="E23">
        <f>IFERROR(AGGREGATE(15,6,ROW('Input Transaksi'!$B$5:$B$5000)/('Input Transaksi'!$B$5:$B$5000="KLIN WASH"),ROWS($E$5:E23)),"")</f>
        <v/>
      </c>
      <c r="F23" s="5" t="n"/>
    </row>
    <row r="24">
      <c r="A24" s="10">
        <f>IF($E24="","",INDEX('Input Transaksi'!$A:$A,$E24))</f>
        <v/>
      </c>
      <c r="B24" s="5">
        <f>IF($E24="","",INDEX('Input Transaksi'!$D:$D,$E24))</f>
        <v/>
      </c>
      <c r="C24">
        <f>IF($E24="","",INDEX('Input Transaksi'!$E:$E,$E24))</f>
        <v/>
      </c>
      <c r="D24" s="5">
        <f>IF($E24="","",INDEX('Input Transaksi'!$F:$F,$E24))</f>
        <v/>
      </c>
      <c r="E24">
        <f>IFERROR(AGGREGATE(15,6,ROW('Input Transaksi'!$B$5:$B$5000)/('Input Transaksi'!$B$5:$B$5000="KLIN WASH"),ROWS($E$5:E24)),"")</f>
        <v/>
      </c>
      <c r="F24" s="5" t="n"/>
    </row>
    <row r="25">
      <c r="A25" s="10">
        <f>IF($E25="","",INDEX('Input Transaksi'!$A:$A,$E25))</f>
        <v/>
      </c>
      <c r="B25" s="5">
        <f>IF($E25="","",INDEX('Input Transaksi'!$D:$D,$E25))</f>
        <v/>
      </c>
      <c r="C25">
        <f>IF($E25="","",INDEX('Input Transaksi'!$E:$E,$E25))</f>
        <v/>
      </c>
      <c r="D25" s="5">
        <f>IF($E25="","",INDEX('Input Transaksi'!$F:$F,$E25))</f>
        <v/>
      </c>
      <c r="E25">
        <f>IFERROR(AGGREGATE(15,6,ROW('Input Transaksi'!$B$5:$B$5000)/('Input Transaksi'!$B$5:$B$5000="KLIN WASH"),ROWS($E$5:E25)),"")</f>
        <v/>
      </c>
      <c r="F25" s="5" t="n"/>
    </row>
    <row r="26">
      <c r="A26" s="10">
        <f>IF($E26="","",INDEX('Input Transaksi'!$A:$A,$E26))</f>
        <v/>
      </c>
      <c r="B26" s="5">
        <f>IF($E26="","",INDEX('Input Transaksi'!$D:$D,$E26))</f>
        <v/>
      </c>
      <c r="C26">
        <f>IF($E26="","",INDEX('Input Transaksi'!$E:$E,$E26))</f>
        <v/>
      </c>
      <c r="D26" s="5">
        <f>IF($E26="","",INDEX('Input Transaksi'!$F:$F,$E26))</f>
        <v/>
      </c>
      <c r="E26">
        <f>IFERROR(AGGREGATE(15,6,ROW('Input Transaksi'!$B$5:$B$5000)/('Input Transaksi'!$B$5:$B$5000="KLIN WASH"),ROWS($E$5:E26)),"")</f>
        <v/>
      </c>
      <c r="F26" s="5" t="n"/>
    </row>
    <row r="27">
      <c r="A27" s="10">
        <f>IF($E27="","",INDEX('Input Transaksi'!$A:$A,$E27))</f>
        <v/>
      </c>
      <c r="B27" s="5">
        <f>IF($E27="","",INDEX('Input Transaksi'!$D:$D,$E27))</f>
        <v/>
      </c>
      <c r="C27">
        <f>IF($E27="","",INDEX('Input Transaksi'!$E:$E,$E27))</f>
        <v/>
      </c>
      <c r="D27" s="5">
        <f>IF($E27="","",INDEX('Input Transaksi'!$F:$F,$E27))</f>
        <v/>
      </c>
      <c r="E27">
        <f>IFERROR(AGGREGATE(15,6,ROW('Input Transaksi'!$B$5:$B$5000)/('Input Transaksi'!$B$5:$B$5000="KLIN WASH"),ROWS($E$5:E27)),"")</f>
        <v/>
      </c>
      <c r="F27" s="5" t="n"/>
    </row>
    <row r="28">
      <c r="A28" s="10">
        <f>IF($E28="","",INDEX('Input Transaksi'!$A:$A,$E28))</f>
        <v/>
      </c>
      <c r="B28" s="5">
        <f>IF($E28="","",INDEX('Input Transaksi'!$D:$D,$E28))</f>
        <v/>
      </c>
      <c r="C28">
        <f>IF($E28="","",INDEX('Input Transaksi'!$E:$E,$E28))</f>
        <v/>
      </c>
      <c r="D28" s="5">
        <f>IF($E28="","",INDEX('Input Transaksi'!$F:$F,$E28))</f>
        <v/>
      </c>
      <c r="E28">
        <f>IFERROR(AGGREGATE(15,6,ROW('Input Transaksi'!$B$5:$B$5000)/('Input Transaksi'!$B$5:$B$5000="KLIN WASH"),ROWS($E$5:E28)),"")</f>
        <v/>
      </c>
      <c r="F28" s="5" t="n"/>
    </row>
    <row r="29">
      <c r="A29" s="10">
        <f>IF($E29="","",INDEX('Input Transaksi'!$A:$A,$E29))</f>
        <v/>
      </c>
      <c r="B29" s="5">
        <f>IF($E29="","",INDEX('Input Transaksi'!$D:$D,$E29))</f>
        <v/>
      </c>
      <c r="C29">
        <f>IF($E29="","",INDEX('Input Transaksi'!$E:$E,$E29))</f>
        <v/>
      </c>
      <c r="D29" s="5">
        <f>IF($E29="","",INDEX('Input Transaksi'!$F:$F,$E29))</f>
        <v/>
      </c>
      <c r="E29">
        <f>IFERROR(AGGREGATE(15,6,ROW('Input Transaksi'!$B$5:$B$5000)/('Input Transaksi'!$B$5:$B$5000="KLIN WASH"),ROWS($E$5:E29)),"")</f>
        <v/>
      </c>
      <c r="F29" s="5" t="n"/>
    </row>
    <row r="30">
      <c r="A30" s="10">
        <f>IF($E30="","",INDEX('Input Transaksi'!$A:$A,$E30))</f>
        <v/>
      </c>
      <c r="B30" s="5">
        <f>IF($E30="","",INDEX('Input Transaksi'!$D:$D,$E30))</f>
        <v/>
      </c>
      <c r="C30">
        <f>IF($E30="","",INDEX('Input Transaksi'!$E:$E,$E30))</f>
        <v/>
      </c>
      <c r="D30" s="5">
        <f>IF($E30="","",INDEX('Input Transaksi'!$F:$F,$E30))</f>
        <v/>
      </c>
      <c r="E30">
        <f>IFERROR(AGGREGATE(15,6,ROW('Input Transaksi'!$B$5:$B$5000)/('Input Transaksi'!$B$5:$B$5000="KLIN WASH"),ROWS($E$5:E30)),"")</f>
        <v/>
      </c>
      <c r="F30" s="5" t="n"/>
    </row>
    <row r="31">
      <c r="A31" s="10">
        <f>IF($E31="","",INDEX('Input Transaksi'!$A:$A,$E31))</f>
        <v/>
      </c>
      <c r="B31" s="5">
        <f>IF($E31="","",INDEX('Input Transaksi'!$D:$D,$E31))</f>
        <v/>
      </c>
      <c r="C31">
        <f>IF($E31="","",INDEX('Input Transaksi'!$E:$E,$E31))</f>
        <v/>
      </c>
      <c r="D31" s="5">
        <f>IF($E31="","",INDEX('Input Transaksi'!$F:$F,$E31))</f>
        <v/>
      </c>
      <c r="E31">
        <f>IFERROR(AGGREGATE(15,6,ROW('Input Transaksi'!$B$5:$B$5000)/('Input Transaksi'!$B$5:$B$5000="KLIN WASH"),ROWS($E$5:E31)),"")</f>
        <v/>
      </c>
      <c r="F31" s="5" t="n"/>
    </row>
    <row r="32">
      <c r="A32" s="10">
        <f>IF($E32="","",INDEX('Input Transaksi'!$A:$A,$E32))</f>
        <v/>
      </c>
      <c r="B32" s="5">
        <f>IF($E32="","",INDEX('Input Transaksi'!$D:$D,$E32))</f>
        <v/>
      </c>
      <c r="C32">
        <f>IF($E32="","",INDEX('Input Transaksi'!$E:$E,$E32))</f>
        <v/>
      </c>
      <c r="D32" s="5">
        <f>IF($E32="","",INDEX('Input Transaksi'!$F:$F,$E32))</f>
        <v/>
      </c>
      <c r="E32">
        <f>IFERROR(AGGREGATE(15,6,ROW('Input Transaksi'!$B$5:$B$5000)/('Input Transaksi'!$B$5:$B$5000="KLIN WASH"),ROWS($E$5:E32)),"")</f>
        <v/>
      </c>
      <c r="F32" s="5" t="n"/>
    </row>
    <row r="33">
      <c r="A33" s="10">
        <f>IF($E33="","",INDEX('Input Transaksi'!$A:$A,$E33))</f>
        <v/>
      </c>
      <c r="B33" s="5">
        <f>IF($E33="","",INDEX('Input Transaksi'!$D:$D,$E33))</f>
        <v/>
      </c>
      <c r="C33">
        <f>IF($E33="","",INDEX('Input Transaksi'!$E:$E,$E33))</f>
        <v/>
      </c>
      <c r="D33" s="5">
        <f>IF($E33="","",INDEX('Input Transaksi'!$F:$F,$E33))</f>
        <v/>
      </c>
      <c r="E33">
        <f>IFERROR(AGGREGATE(15,6,ROW('Input Transaksi'!$B$5:$B$5000)/('Input Transaksi'!$B$5:$B$5000="KLIN WASH"),ROWS($E$5:E33)),"")</f>
        <v/>
      </c>
      <c r="F33" s="5" t="n"/>
    </row>
    <row r="34">
      <c r="A34" s="10">
        <f>IF($E34="","",INDEX('Input Transaksi'!$A:$A,$E34))</f>
        <v/>
      </c>
      <c r="B34" s="5">
        <f>IF($E34="","",INDEX('Input Transaksi'!$D:$D,$E34))</f>
        <v/>
      </c>
      <c r="C34">
        <f>IF($E34="","",INDEX('Input Transaksi'!$E:$E,$E34))</f>
        <v/>
      </c>
      <c r="D34" s="5">
        <f>IF($E34="","",INDEX('Input Transaksi'!$F:$F,$E34))</f>
        <v/>
      </c>
      <c r="E34">
        <f>IFERROR(AGGREGATE(15,6,ROW('Input Transaksi'!$B$5:$B$5000)/('Input Transaksi'!$B$5:$B$5000="KLIN WASH"),ROWS($E$5:E34)),"")</f>
        <v/>
      </c>
      <c r="F34" s="5" t="n"/>
    </row>
    <row r="35">
      <c r="A35" s="10">
        <f>IF($E35="","",INDEX('Input Transaksi'!$A:$A,$E35))</f>
        <v/>
      </c>
      <c r="B35" s="5">
        <f>IF($E35="","",INDEX('Input Transaksi'!$D:$D,$E35))</f>
        <v/>
      </c>
      <c r="C35">
        <f>IF($E35="","",INDEX('Input Transaksi'!$E:$E,$E35))</f>
        <v/>
      </c>
      <c r="D35" s="5">
        <f>IF($E35="","",INDEX('Input Transaksi'!$F:$F,$E35))</f>
        <v/>
      </c>
      <c r="E35">
        <f>IFERROR(AGGREGATE(15,6,ROW('Input Transaksi'!$B$5:$B$5000)/('Input Transaksi'!$B$5:$B$5000="KLIN WASH"),ROWS($E$5:E35)),"")</f>
        <v/>
      </c>
      <c r="F35" s="5" t="n"/>
    </row>
    <row r="36">
      <c r="A36" s="10">
        <f>IF($E36="","",INDEX('Input Transaksi'!$A:$A,$E36))</f>
        <v/>
      </c>
      <c r="B36" s="5">
        <f>IF($E36="","",INDEX('Input Transaksi'!$D:$D,$E36))</f>
        <v/>
      </c>
      <c r="C36">
        <f>IF($E36="","",INDEX('Input Transaksi'!$E:$E,$E36))</f>
        <v/>
      </c>
      <c r="D36" s="5">
        <f>IF($E36="","",INDEX('Input Transaksi'!$F:$F,$E36))</f>
        <v/>
      </c>
      <c r="E36">
        <f>IFERROR(AGGREGATE(15,6,ROW('Input Transaksi'!$B$5:$B$5000)/('Input Transaksi'!$B$5:$B$5000="KLIN WASH"),ROWS($E$5:E36)),"")</f>
        <v/>
      </c>
      <c r="F36" s="5" t="n"/>
    </row>
    <row r="37">
      <c r="A37" s="10">
        <f>IF($E37="","",INDEX('Input Transaksi'!$A:$A,$E37))</f>
        <v/>
      </c>
      <c r="B37" s="5">
        <f>IF($E37="","",INDEX('Input Transaksi'!$D:$D,$E37))</f>
        <v/>
      </c>
      <c r="C37">
        <f>IF($E37="","",INDEX('Input Transaksi'!$E:$E,$E37))</f>
        <v/>
      </c>
      <c r="D37" s="5">
        <f>IF($E37="","",INDEX('Input Transaksi'!$F:$F,$E37))</f>
        <v/>
      </c>
      <c r="E37">
        <f>IFERROR(AGGREGATE(15,6,ROW('Input Transaksi'!$B$5:$B$5000)/('Input Transaksi'!$B$5:$B$5000="KLIN WASH"),ROWS($E$5:E37)),"")</f>
        <v/>
      </c>
      <c r="F37" s="5" t="n"/>
    </row>
    <row r="38">
      <c r="A38" s="10">
        <f>IF($E38="","",INDEX('Input Transaksi'!$A:$A,$E38))</f>
        <v/>
      </c>
      <c r="B38" s="5">
        <f>IF($E38="","",INDEX('Input Transaksi'!$D:$D,$E38))</f>
        <v/>
      </c>
      <c r="C38">
        <f>IF($E38="","",INDEX('Input Transaksi'!$E:$E,$E38))</f>
        <v/>
      </c>
      <c r="D38" s="5">
        <f>IF($E38="","",INDEX('Input Transaksi'!$F:$F,$E38))</f>
        <v/>
      </c>
      <c r="E38">
        <f>IFERROR(AGGREGATE(15,6,ROW('Input Transaksi'!$B$5:$B$5000)/('Input Transaksi'!$B$5:$B$5000="KLIN WASH"),ROWS($E$5:E38)),"")</f>
        <v/>
      </c>
      <c r="F38" s="5" t="n"/>
    </row>
    <row r="39">
      <c r="A39" s="10">
        <f>IF($E39="","",INDEX('Input Transaksi'!$A:$A,$E39))</f>
        <v/>
      </c>
      <c r="B39" s="5">
        <f>IF($E39="","",INDEX('Input Transaksi'!$D:$D,$E39))</f>
        <v/>
      </c>
      <c r="C39">
        <f>IF($E39="","",INDEX('Input Transaksi'!$E:$E,$E39))</f>
        <v/>
      </c>
      <c r="D39" s="5">
        <f>IF($E39="","",INDEX('Input Transaksi'!$F:$F,$E39))</f>
        <v/>
      </c>
      <c r="E39">
        <f>IFERROR(AGGREGATE(15,6,ROW('Input Transaksi'!$B$5:$B$5000)/('Input Transaksi'!$B$5:$B$5000="KLIN WASH"),ROWS($E$5:E39)),"")</f>
        <v/>
      </c>
      <c r="F39" s="5" t="n"/>
    </row>
    <row r="40">
      <c r="A40" s="10">
        <f>IF($E40="","",INDEX('Input Transaksi'!$A:$A,$E40))</f>
        <v/>
      </c>
      <c r="B40" s="5">
        <f>IF($E40="","",INDEX('Input Transaksi'!$D:$D,$E40))</f>
        <v/>
      </c>
      <c r="C40">
        <f>IF($E40="","",INDEX('Input Transaksi'!$E:$E,$E40))</f>
        <v/>
      </c>
      <c r="D40" s="5">
        <f>IF($E40="","",INDEX('Input Transaksi'!$F:$F,$E40))</f>
        <v/>
      </c>
      <c r="E40">
        <f>IFERROR(AGGREGATE(15,6,ROW('Input Transaksi'!$B$5:$B$5000)/('Input Transaksi'!$B$5:$B$5000="KLIN WASH"),ROWS($E$5:E40)),"")</f>
        <v/>
      </c>
      <c r="F40" s="5" t="n"/>
    </row>
    <row r="41">
      <c r="A41" s="10">
        <f>IF($E41="","",INDEX('Input Transaksi'!$A:$A,$E41))</f>
        <v/>
      </c>
      <c r="B41" s="5">
        <f>IF($E41="","",INDEX('Input Transaksi'!$D:$D,$E41))</f>
        <v/>
      </c>
      <c r="C41">
        <f>IF($E41="","",INDEX('Input Transaksi'!$E:$E,$E41))</f>
        <v/>
      </c>
      <c r="D41" s="5">
        <f>IF($E41="","",INDEX('Input Transaksi'!$F:$F,$E41))</f>
        <v/>
      </c>
      <c r="E41">
        <f>IFERROR(AGGREGATE(15,6,ROW('Input Transaksi'!$B$5:$B$5000)/('Input Transaksi'!$B$5:$B$5000="KLIN WASH"),ROWS($E$5:E41)),"")</f>
        <v/>
      </c>
      <c r="F41" s="5" t="n"/>
    </row>
    <row r="42">
      <c r="A42" s="10">
        <f>IF($E42="","",INDEX('Input Transaksi'!$A:$A,$E42))</f>
        <v/>
      </c>
      <c r="B42" s="5">
        <f>IF($E42="","",INDEX('Input Transaksi'!$D:$D,$E42))</f>
        <v/>
      </c>
      <c r="C42">
        <f>IF($E42="","",INDEX('Input Transaksi'!$E:$E,$E42))</f>
        <v/>
      </c>
      <c r="D42" s="5">
        <f>IF($E42="","",INDEX('Input Transaksi'!$F:$F,$E42))</f>
        <v/>
      </c>
      <c r="E42">
        <f>IFERROR(AGGREGATE(15,6,ROW('Input Transaksi'!$B$5:$B$5000)/('Input Transaksi'!$B$5:$B$5000="KLIN WASH"),ROWS($E$5:E42)),"")</f>
        <v/>
      </c>
      <c r="F42" s="5" t="n"/>
    </row>
    <row r="43">
      <c r="A43" s="10">
        <f>IF($E43="","",INDEX('Input Transaksi'!$A:$A,$E43))</f>
        <v/>
      </c>
      <c r="B43" s="5">
        <f>IF($E43="","",INDEX('Input Transaksi'!$D:$D,$E43))</f>
        <v/>
      </c>
      <c r="C43">
        <f>IF($E43="","",INDEX('Input Transaksi'!$E:$E,$E43))</f>
        <v/>
      </c>
      <c r="D43" s="5">
        <f>IF($E43="","",INDEX('Input Transaksi'!$F:$F,$E43))</f>
        <v/>
      </c>
      <c r="E43">
        <f>IFERROR(AGGREGATE(15,6,ROW('Input Transaksi'!$B$5:$B$5000)/('Input Transaksi'!$B$5:$B$5000="KLIN WASH"),ROWS($E$5:E43)),"")</f>
        <v/>
      </c>
      <c r="F43" s="5" t="n"/>
    </row>
    <row r="44">
      <c r="A44" s="10">
        <f>IF($E44="","",INDEX('Input Transaksi'!$A:$A,$E44))</f>
        <v/>
      </c>
      <c r="B44" s="5">
        <f>IF($E44="","",INDEX('Input Transaksi'!$D:$D,$E44))</f>
        <v/>
      </c>
      <c r="C44">
        <f>IF($E44="","",INDEX('Input Transaksi'!$E:$E,$E44))</f>
        <v/>
      </c>
      <c r="D44" s="5">
        <f>IF($E44="","",INDEX('Input Transaksi'!$F:$F,$E44))</f>
        <v/>
      </c>
      <c r="E44">
        <f>IFERROR(AGGREGATE(15,6,ROW('Input Transaksi'!$B$5:$B$5000)/('Input Transaksi'!$B$5:$B$5000="KLIN WASH"),ROWS($E$5:E44)),"")</f>
        <v/>
      </c>
      <c r="F44" s="5" t="n"/>
    </row>
    <row r="45">
      <c r="A45" s="10">
        <f>IF($E45="","",INDEX('Input Transaksi'!$A:$A,$E45))</f>
        <v/>
      </c>
      <c r="B45" s="5">
        <f>IF($E45="","",INDEX('Input Transaksi'!$D:$D,$E45))</f>
        <v/>
      </c>
      <c r="C45">
        <f>IF($E45="","",INDEX('Input Transaksi'!$E:$E,$E45))</f>
        <v/>
      </c>
      <c r="D45" s="5">
        <f>IF($E45="","",INDEX('Input Transaksi'!$F:$F,$E45))</f>
        <v/>
      </c>
      <c r="E45">
        <f>IFERROR(AGGREGATE(15,6,ROW('Input Transaksi'!$B$5:$B$5000)/('Input Transaksi'!$B$5:$B$5000="KLIN WASH"),ROWS($E$5:E45)),"")</f>
        <v/>
      </c>
      <c r="F45" s="5" t="n"/>
    </row>
    <row r="46">
      <c r="A46" s="10">
        <f>IF($E46="","",INDEX('Input Transaksi'!$A:$A,$E46))</f>
        <v/>
      </c>
      <c r="B46" s="5">
        <f>IF($E46="","",INDEX('Input Transaksi'!$D:$D,$E46))</f>
        <v/>
      </c>
      <c r="C46">
        <f>IF($E46="","",INDEX('Input Transaksi'!$E:$E,$E46))</f>
        <v/>
      </c>
      <c r="D46" s="5">
        <f>IF($E46="","",INDEX('Input Transaksi'!$F:$F,$E46))</f>
        <v/>
      </c>
      <c r="E46">
        <f>IFERROR(AGGREGATE(15,6,ROW('Input Transaksi'!$B$5:$B$5000)/('Input Transaksi'!$B$5:$B$5000="KLIN WASH"),ROWS($E$5:E46)),"")</f>
        <v/>
      </c>
      <c r="F46" s="5" t="n"/>
    </row>
    <row r="47">
      <c r="A47" s="10">
        <f>IF($E47="","",INDEX('Input Transaksi'!$A:$A,$E47))</f>
        <v/>
      </c>
      <c r="B47" s="5">
        <f>IF($E47="","",INDEX('Input Transaksi'!$D:$D,$E47))</f>
        <v/>
      </c>
      <c r="C47">
        <f>IF($E47="","",INDEX('Input Transaksi'!$E:$E,$E47))</f>
        <v/>
      </c>
      <c r="D47" s="5">
        <f>IF($E47="","",INDEX('Input Transaksi'!$F:$F,$E47))</f>
        <v/>
      </c>
      <c r="E47">
        <f>IFERROR(AGGREGATE(15,6,ROW('Input Transaksi'!$B$5:$B$5000)/('Input Transaksi'!$B$5:$B$5000="KLIN WASH"),ROWS($E$5:E47)),"")</f>
        <v/>
      </c>
      <c r="F47" s="5" t="n"/>
    </row>
    <row r="48">
      <c r="A48" s="10">
        <f>IF($E48="","",INDEX('Input Transaksi'!$A:$A,$E48))</f>
        <v/>
      </c>
      <c r="B48" s="5">
        <f>IF($E48="","",INDEX('Input Transaksi'!$D:$D,$E48))</f>
        <v/>
      </c>
      <c r="C48">
        <f>IF($E48="","",INDEX('Input Transaksi'!$E:$E,$E48))</f>
        <v/>
      </c>
      <c r="D48" s="5">
        <f>IF($E48="","",INDEX('Input Transaksi'!$F:$F,$E48))</f>
        <v/>
      </c>
      <c r="E48">
        <f>IFERROR(AGGREGATE(15,6,ROW('Input Transaksi'!$B$5:$B$5000)/('Input Transaksi'!$B$5:$B$5000="KLIN WASH"),ROWS($E$5:E48)),"")</f>
        <v/>
      </c>
      <c r="F48" s="5" t="n"/>
    </row>
    <row r="49">
      <c r="A49" s="10">
        <f>IF($E49="","",INDEX('Input Transaksi'!$A:$A,$E49))</f>
        <v/>
      </c>
      <c r="B49" s="5">
        <f>IF($E49="","",INDEX('Input Transaksi'!$D:$D,$E49))</f>
        <v/>
      </c>
      <c r="C49">
        <f>IF($E49="","",INDEX('Input Transaksi'!$E:$E,$E49))</f>
        <v/>
      </c>
      <c r="D49" s="5">
        <f>IF($E49="","",INDEX('Input Transaksi'!$F:$F,$E49))</f>
        <v/>
      </c>
      <c r="E49">
        <f>IFERROR(AGGREGATE(15,6,ROW('Input Transaksi'!$B$5:$B$5000)/('Input Transaksi'!$B$5:$B$5000="KLIN WASH"),ROWS($E$5:E49)),"")</f>
        <v/>
      </c>
      <c r="F49" s="5" t="n"/>
    </row>
    <row r="50">
      <c r="A50" s="10">
        <f>IF($E50="","",INDEX('Input Transaksi'!$A:$A,$E50))</f>
        <v/>
      </c>
      <c r="B50" s="5">
        <f>IF($E50="","",INDEX('Input Transaksi'!$D:$D,$E50))</f>
        <v/>
      </c>
      <c r="C50">
        <f>IF($E50="","",INDEX('Input Transaksi'!$E:$E,$E50))</f>
        <v/>
      </c>
      <c r="D50" s="5">
        <f>IF($E50="","",INDEX('Input Transaksi'!$F:$F,$E50))</f>
        <v/>
      </c>
      <c r="E50">
        <f>IFERROR(AGGREGATE(15,6,ROW('Input Transaksi'!$B$5:$B$5000)/('Input Transaksi'!$B$5:$B$5000="KLIN WASH"),ROWS($E$5:E50)),"")</f>
        <v/>
      </c>
      <c r="F50" s="5" t="n"/>
    </row>
    <row r="51">
      <c r="A51" s="10">
        <f>IF($E51="","",INDEX('Input Transaksi'!$A:$A,$E51))</f>
        <v/>
      </c>
      <c r="B51" s="5">
        <f>IF($E51="","",INDEX('Input Transaksi'!$D:$D,$E51))</f>
        <v/>
      </c>
      <c r="C51">
        <f>IF($E51="","",INDEX('Input Transaksi'!$E:$E,$E51))</f>
        <v/>
      </c>
      <c r="D51" s="5">
        <f>IF($E51="","",INDEX('Input Transaksi'!$F:$F,$E51))</f>
        <v/>
      </c>
      <c r="E51">
        <f>IFERROR(AGGREGATE(15,6,ROW('Input Transaksi'!$B$5:$B$5000)/('Input Transaksi'!$B$5:$B$5000="KLIN WASH"),ROWS($E$5:E51)),"")</f>
        <v/>
      </c>
      <c r="F51" s="5" t="n"/>
    </row>
    <row r="52">
      <c r="A52" s="10">
        <f>IF($E52="","",INDEX('Input Transaksi'!$A:$A,$E52))</f>
        <v/>
      </c>
      <c r="B52" s="5">
        <f>IF($E52="","",INDEX('Input Transaksi'!$D:$D,$E52))</f>
        <v/>
      </c>
      <c r="C52">
        <f>IF($E52="","",INDEX('Input Transaksi'!$E:$E,$E52))</f>
        <v/>
      </c>
      <c r="D52" s="5">
        <f>IF($E52="","",INDEX('Input Transaksi'!$F:$F,$E52))</f>
        <v/>
      </c>
      <c r="E52">
        <f>IFERROR(AGGREGATE(15,6,ROW('Input Transaksi'!$B$5:$B$5000)/('Input Transaksi'!$B$5:$B$5000="KLIN WASH"),ROWS($E$5:E52)),"")</f>
        <v/>
      </c>
      <c r="F52" s="5" t="n"/>
    </row>
    <row r="53">
      <c r="A53" s="10">
        <f>IF($E53="","",INDEX('Input Transaksi'!$A:$A,$E53))</f>
        <v/>
      </c>
      <c r="B53" s="5">
        <f>IF($E53="","",INDEX('Input Transaksi'!$D:$D,$E53))</f>
        <v/>
      </c>
      <c r="C53">
        <f>IF($E53="","",INDEX('Input Transaksi'!$E:$E,$E53))</f>
        <v/>
      </c>
      <c r="D53" s="5">
        <f>IF($E53="","",INDEX('Input Transaksi'!$F:$F,$E53))</f>
        <v/>
      </c>
      <c r="E53">
        <f>IFERROR(AGGREGATE(15,6,ROW('Input Transaksi'!$B$5:$B$5000)/('Input Transaksi'!$B$5:$B$5000="KLIN WASH"),ROWS($E$5:E53)),"")</f>
        <v/>
      </c>
      <c r="F53" s="5" t="n"/>
    </row>
    <row r="54">
      <c r="A54" s="10">
        <f>IF($E54="","",INDEX('Input Transaksi'!$A:$A,$E54))</f>
        <v/>
      </c>
      <c r="B54" s="5">
        <f>IF($E54="","",INDEX('Input Transaksi'!$D:$D,$E54))</f>
        <v/>
      </c>
      <c r="C54">
        <f>IF($E54="","",INDEX('Input Transaksi'!$E:$E,$E54))</f>
        <v/>
      </c>
      <c r="D54" s="5">
        <f>IF($E54="","",INDEX('Input Transaksi'!$F:$F,$E54))</f>
        <v/>
      </c>
      <c r="E54">
        <f>IFERROR(AGGREGATE(15,6,ROW('Input Transaksi'!$B$5:$B$5000)/('Input Transaksi'!$B$5:$B$5000="KLIN WASH"),ROWS($E$5:E54)),"")</f>
        <v/>
      </c>
      <c r="F54" s="5" t="n"/>
    </row>
    <row r="55">
      <c r="A55" s="10">
        <f>IF($E55="","",INDEX('Input Transaksi'!$A:$A,$E55))</f>
        <v/>
      </c>
      <c r="B55" s="5">
        <f>IF($E55="","",INDEX('Input Transaksi'!$D:$D,$E55))</f>
        <v/>
      </c>
      <c r="C55">
        <f>IF($E55="","",INDEX('Input Transaksi'!$E:$E,$E55))</f>
        <v/>
      </c>
      <c r="D55" s="5">
        <f>IF($E55="","",INDEX('Input Transaksi'!$F:$F,$E55))</f>
        <v/>
      </c>
      <c r="E55">
        <f>IFERROR(AGGREGATE(15,6,ROW('Input Transaksi'!$B$5:$B$5000)/('Input Transaksi'!$B$5:$B$5000="KLIN WASH"),ROWS($E$5:E55)),"")</f>
        <v/>
      </c>
      <c r="F55" s="5" t="n"/>
    </row>
    <row r="56">
      <c r="A56" s="10">
        <f>IF($E56="","",INDEX('Input Transaksi'!$A:$A,$E56))</f>
        <v/>
      </c>
      <c r="B56" s="5">
        <f>IF($E56="","",INDEX('Input Transaksi'!$D:$D,$E56))</f>
        <v/>
      </c>
      <c r="C56">
        <f>IF($E56="","",INDEX('Input Transaksi'!$E:$E,$E56))</f>
        <v/>
      </c>
      <c r="D56" s="5">
        <f>IF($E56="","",INDEX('Input Transaksi'!$F:$F,$E56))</f>
        <v/>
      </c>
      <c r="E56">
        <f>IFERROR(AGGREGATE(15,6,ROW('Input Transaksi'!$B$5:$B$5000)/('Input Transaksi'!$B$5:$B$5000="KLIN WASH"),ROWS($E$5:E56)),"")</f>
        <v/>
      </c>
      <c r="F56" s="5" t="n"/>
    </row>
    <row r="57">
      <c r="A57" s="10">
        <f>IF($E57="","",INDEX('Input Transaksi'!$A:$A,$E57))</f>
        <v/>
      </c>
      <c r="B57" s="5">
        <f>IF($E57="","",INDEX('Input Transaksi'!$D:$D,$E57))</f>
        <v/>
      </c>
      <c r="C57">
        <f>IF($E57="","",INDEX('Input Transaksi'!$E:$E,$E57))</f>
        <v/>
      </c>
      <c r="D57" s="5">
        <f>IF($E57="","",INDEX('Input Transaksi'!$F:$F,$E57))</f>
        <v/>
      </c>
      <c r="E57">
        <f>IFERROR(AGGREGATE(15,6,ROW('Input Transaksi'!$B$5:$B$5000)/('Input Transaksi'!$B$5:$B$5000="KLIN WASH"),ROWS($E$5:E57)),"")</f>
        <v/>
      </c>
      <c r="F57" s="5" t="n"/>
    </row>
    <row r="58">
      <c r="A58" s="10">
        <f>IF($E58="","",INDEX('Input Transaksi'!$A:$A,$E58))</f>
        <v/>
      </c>
      <c r="B58" s="5">
        <f>IF($E58="","",INDEX('Input Transaksi'!$D:$D,$E58))</f>
        <v/>
      </c>
      <c r="C58">
        <f>IF($E58="","",INDEX('Input Transaksi'!$E:$E,$E58))</f>
        <v/>
      </c>
      <c r="D58" s="5">
        <f>IF($E58="","",INDEX('Input Transaksi'!$F:$F,$E58))</f>
        <v/>
      </c>
      <c r="E58">
        <f>IFERROR(AGGREGATE(15,6,ROW('Input Transaksi'!$B$5:$B$5000)/('Input Transaksi'!$B$5:$B$5000="KLIN WASH"),ROWS($E$5:E58)),"")</f>
        <v/>
      </c>
      <c r="F58" s="5" t="n"/>
    </row>
    <row r="59">
      <c r="A59" s="10">
        <f>IF($E59="","",INDEX('Input Transaksi'!$A:$A,$E59))</f>
        <v/>
      </c>
      <c r="B59" s="5">
        <f>IF($E59="","",INDEX('Input Transaksi'!$D:$D,$E59))</f>
        <v/>
      </c>
      <c r="C59">
        <f>IF($E59="","",INDEX('Input Transaksi'!$E:$E,$E59))</f>
        <v/>
      </c>
      <c r="D59" s="5">
        <f>IF($E59="","",INDEX('Input Transaksi'!$F:$F,$E59))</f>
        <v/>
      </c>
      <c r="E59">
        <f>IFERROR(AGGREGATE(15,6,ROW('Input Transaksi'!$B$5:$B$5000)/('Input Transaksi'!$B$5:$B$5000="KLIN WASH"),ROWS($E$5:E59)),"")</f>
        <v/>
      </c>
      <c r="F59" s="5" t="n"/>
    </row>
    <row r="60">
      <c r="A60" s="10">
        <f>IF($E60="","",INDEX('Input Transaksi'!$A:$A,$E60))</f>
        <v/>
      </c>
      <c r="B60" s="5">
        <f>IF($E60="","",INDEX('Input Transaksi'!$D:$D,$E60))</f>
        <v/>
      </c>
      <c r="C60">
        <f>IF($E60="","",INDEX('Input Transaksi'!$E:$E,$E60))</f>
        <v/>
      </c>
      <c r="D60" s="5">
        <f>IF($E60="","",INDEX('Input Transaksi'!$F:$F,$E60))</f>
        <v/>
      </c>
      <c r="E60">
        <f>IFERROR(AGGREGATE(15,6,ROW('Input Transaksi'!$B$5:$B$5000)/('Input Transaksi'!$B$5:$B$5000="KLIN WASH"),ROWS($E$5:E60)),"")</f>
        <v/>
      </c>
      <c r="F60" s="5" t="n"/>
    </row>
    <row r="61">
      <c r="A61" s="10">
        <f>IF($E61="","",INDEX('Input Transaksi'!$A:$A,$E61))</f>
        <v/>
      </c>
      <c r="B61" s="5">
        <f>IF($E61="","",INDEX('Input Transaksi'!$D:$D,$E61))</f>
        <v/>
      </c>
      <c r="C61">
        <f>IF($E61="","",INDEX('Input Transaksi'!$E:$E,$E61))</f>
        <v/>
      </c>
      <c r="D61" s="5">
        <f>IF($E61="","",INDEX('Input Transaksi'!$F:$F,$E61))</f>
        <v/>
      </c>
      <c r="E61">
        <f>IFERROR(AGGREGATE(15,6,ROW('Input Transaksi'!$B$5:$B$5000)/('Input Transaksi'!$B$5:$B$5000="KLIN WASH"),ROWS($E$5:E61)),"")</f>
        <v/>
      </c>
      <c r="F61" s="5" t="n"/>
    </row>
    <row r="62">
      <c r="A62" s="10">
        <f>IF($E62="","",INDEX('Input Transaksi'!$A:$A,$E62))</f>
        <v/>
      </c>
      <c r="B62" s="5">
        <f>IF($E62="","",INDEX('Input Transaksi'!$D:$D,$E62))</f>
        <v/>
      </c>
      <c r="C62">
        <f>IF($E62="","",INDEX('Input Transaksi'!$E:$E,$E62))</f>
        <v/>
      </c>
      <c r="D62" s="5">
        <f>IF($E62="","",INDEX('Input Transaksi'!$F:$F,$E62))</f>
        <v/>
      </c>
      <c r="E62">
        <f>IFERROR(AGGREGATE(15,6,ROW('Input Transaksi'!$B$5:$B$5000)/('Input Transaksi'!$B$5:$B$5000="KLIN WASH"),ROWS($E$5:E62)),"")</f>
        <v/>
      </c>
      <c r="F62" s="5" t="n"/>
    </row>
    <row r="63">
      <c r="A63" s="10">
        <f>IF($E63="","",INDEX('Input Transaksi'!$A:$A,$E63))</f>
        <v/>
      </c>
      <c r="B63" s="5">
        <f>IF($E63="","",INDEX('Input Transaksi'!$D:$D,$E63))</f>
        <v/>
      </c>
      <c r="C63">
        <f>IF($E63="","",INDEX('Input Transaksi'!$E:$E,$E63))</f>
        <v/>
      </c>
      <c r="D63" s="5">
        <f>IF($E63="","",INDEX('Input Transaksi'!$F:$F,$E63))</f>
        <v/>
      </c>
      <c r="E63">
        <f>IFERROR(AGGREGATE(15,6,ROW('Input Transaksi'!$B$5:$B$5000)/('Input Transaksi'!$B$5:$B$5000="KLIN WASH"),ROWS($E$5:E63)),"")</f>
        <v/>
      </c>
      <c r="F63" s="5" t="n"/>
    </row>
    <row r="64">
      <c r="A64" s="10">
        <f>IF($E64="","",INDEX('Input Transaksi'!$A:$A,$E64))</f>
        <v/>
      </c>
      <c r="B64" s="5">
        <f>IF($E64="","",INDEX('Input Transaksi'!$D:$D,$E64))</f>
        <v/>
      </c>
      <c r="C64">
        <f>IF($E64="","",INDEX('Input Transaksi'!$E:$E,$E64))</f>
        <v/>
      </c>
      <c r="D64" s="5">
        <f>IF($E64="","",INDEX('Input Transaksi'!$F:$F,$E64))</f>
        <v/>
      </c>
      <c r="E64">
        <f>IFERROR(AGGREGATE(15,6,ROW('Input Transaksi'!$B$5:$B$5000)/('Input Transaksi'!$B$5:$B$5000="KLIN WASH"),ROWS($E$5:E64)),"")</f>
        <v/>
      </c>
      <c r="F64" s="5" t="n"/>
    </row>
    <row r="65">
      <c r="A65" s="10">
        <f>IF($E65="","",INDEX('Input Transaksi'!$A:$A,$E65))</f>
        <v/>
      </c>
      <c r="B65" s="5">
        <f>IF($E65="","",INDEX('Input Transaksi'!$D:$D,$E65))</f>
        <v/>
      </c>
      <c r="C65">
        <f>IF($E65="","",INDEX('Input Transaksi'!$E:$E,$E65))</f>
        <v/>
      </c>
      <c r="D65" s="5">
        <f>IF($E65="","",INDEX('Input Transaksi'!$F:$F,$E65))</f>
        <v/>
      </c>
      <c r="E65">
        <f>IFERROR(AGGREGATE(15,6,ROW('Input Transaksi'!$B$5:$B$5000)/('Input Transaksi'!$B$5:$B$5000="KLIN WASH"),ROWS($E$5:E65)),"")</f>
        <v/>
      </c>
      <c r="F65" s="5" t="n"/>
    </row>
    <row r="66">
      <c r="A66" s="10">
        <f>IF($E66="","",INDEX('Input Transaksi'!$A:$A,$E66))</f>
        <v/>
      </c>
      <c r="B66" s="5">
        <f>IF($E66="","",INDEX('Input Transaksi'!$D:$D,$E66))</f>
        <v/>
      </c>
      <c r="C66">
        <f>IF($E66="","",INDEX('Input Transaksi'!$E:$E,$E66))</f>
        <v/>
      </c>
      <c r="D66" s="5">
        <f>IF($E66="","",INDEX('Input Transaksi'!$F:$F,$E66))</f>
        <v/>
      </c>
      <c r="E66">
        <f>IFERROR(AGGREGATE(15,6,ROW('Input Transaksi'!$B$5:$B$5000)/('Input Transaksi'!$B$5:$B$5000="KLIN WASH"),ROWS($E$5:E66)),"")</f>
        <v/>
      </c>
      <c r="F66" s="5" t="n"/>
    </row>
    <row r="67">
      <c r="A67" s="10">
        <f>IF($E67="","",INDEX('Input Transaksi'!$A:$A,$E67))</f>
        <v/>
      </c>
      <c r="B67" s="5">
        <f>IF($E67="","",INDEX('Input Transaksi'!$D:$D,$E67))</f>
        <v/>
      </c>
      <c r="C67">
        <f>IF($E67="","",INDEX('Input Transaksi'!$E:$E,$E67))</f>
        <v/>
      </c>
      <c r="D67" s="5">
        <f>IF($E67="","",INDEX('Input Transaksi'!$F:$F,$E67))</f>
        <v/>
      </c>
      <c r="E67">
        <f>IFERROR(AGGREGATE(15,6,ROW('Input Transaksi'!$B$5:$B$5000)/('Input Transaksi'!$B$5:$B$5000="KLIN WASH"),ROWS($E$5:E67)),"")</f>
        <v/>
      </c>
      <c r="F67" s="5" t="n"/>
    </row>
    <row r="68">
      <c r="A68" s="10">
        <f>IF($E68="","",INDEX('Input Transaksi'!$A:$A,$E68))</f>
        <v/>
      </c>
      <c r="B68" s="5">
        <f>IF($E68="","",INDEX('Input Transaksi'!$D:$D,$E68))</f>
        <v/>
      </c>
      <c r="C68">
        <f>IF($E68="","",INDEX('Input Transaksi'!$E:$E,$E68))</f>
        <v/>
      </c>
      <c r="D68" s="5">
        <f>IF($E68="","",INDEX('Input Transaksi'!$F:$F,$E68))</f>
        <v/>
      </c>
      <c r="E68">
        <f>IFERROR(AGGREGATE(15,6,ROW('Input Transaksi'!$B$5:$B$5000)/('Input Transaksi'!$B$5:$B$5000="KLIN WASH"),ROWS($E$5:E68)),"")</f>
        <v/>
      </c>
      <c r="F68" s="5" t="n"/>
    </row>
    <row r="69">
      <c r="A69" s="10">
        <f>IF($E69="","",INDEX('Input Transaksi'!$A:$A,$E69))</f>
        <v/>
      </c>
      <c r="B69" s="5">
        <f>IF($E69="","",INDEX('Input Transaksi'!$D:$D,$E69))</f>
        <v/>
      </c>
      <c r="C69">
        <f>IF($E69="","",INDEX('Input Transaksi'!$E:$E,$E69))</f>
        <v/>
      </c>
      <c r="D69" s="5">
        <f>IF($E69="","",INDEX('Input Transaksi'!$F:$F,$E69))</f>
        <v/>
      </c>
      <c r="E69">
        <f>IFERROR(AGGREGATE(15,6,ROW('Input Transaksi'!$B$5:$B$5000)/('Input Transaksi'!$B$5:$B$5000="KLIN WASH"),ROWS($E$5:E69)),"")</f>
        <v/>
      </c>
      <c r="F69" s="5" t="n"/>
    </row>
    <row r="70">
      <c r="A70" s="10">
        <f>IF($E70="","",INDEX('Input Transaksi'!$A:$A,$E70))</f>
        <v/>
      </c>
      <c r="B70" s="5">
        <f>IF($E70="","",INDEX('Input Transaksi'!$D:$D,$E70))</f>
        <v/>
      </c>
      <c r="C70">
        <f>IF($E70="","",INDEX('Input Transaksi'!$E:$E,$E70))</f>
        <v/>
      </c>
      <c r="D70" s="5">
        <f>IF($E70="","",INDEX('Input Transaksi'!$F:$F,$E70))</f>
        <v/>
      </c>
      <c r="E70">
        <f>IFERROR(AGGREGATE(15,6,ROW('Input Transaksi'!$B$5:$B$5000)/('Input Transaksi'!$B$5:$B$5000="KLIN WASH"),ROWS($E$5:E70)),"")</f>
        <v/>
      </c>
      <c r="F70" s="5" t="n"/>
    </row>
    <row r="71">
      <c r="A71" s="10">
        <f>IF($E71="","",INDEX('Input Transaksi'!$A:$A,$E71))</f>
        <v/>
      </c>
      <c r="B71" s="5">
        <f>IF($E71="","",INDEX('Input Transaksi'!$D:$D,$E71))</f>
        <v/>
      </c>
      <c r="C71">
        <f>IF($E71="","",INDEX('Input Transaksi'!$E:$E,$E71))</f>
        <v/>
      </c>
      <c r="D71" s="5">
        <f>IF($E71="","",INDEX('Input Transaksi'!$F:$F,$E71))</f>
        <v/>
      </c>
      <c r="E71">
        <f>IFERROR(AGGREGATE(15,6,ROW('Input Transaksi'!$B$5:$B$5000)/('Input Transaksi'!$B$5:$B$5000="KLIN WASH"),ROWS($E$5:E71)),"")</f>
        <v/>
      </c>
      <c r="F71" s="5" t="n"/>
    </row>
    <row r="72">
      <c r="A72" s="10">
        <f>IF($E72="","",INDEX('Input Transaksi'!$A:$A,$E72))</f>
        <v/>
      </c>
      <c r="B72" s="5">
        <f>IF($E72="","",INDEX('Input Transaksi'!$D:$D,$E72))</f>
        <v/>
      </c>
      <c r="C72">
        <f>IF($E72="","",INDEX('Input Transaksi'!$E:$E,$E72))</f>
        <v/>
      </c>
      <c r="D72" s="5">
        <f>IF($E72="","",INDEX('Input Transaksi'!$F:$F,$E72))</f>
        <v/>
      </c>
      <c r="E72">
        <f>IFERROR(AGGREGATE(15,6,ROW('Input Transaksi'!$B$5:$B$5000)/('Input Transaksi'!$B$5:$B$5000="KLIN WASH"),ROWS($E$5:E72)),"")</f>
        <v/>
      </c>
      <c r="F72" s="5" t="n"/>
    </row>
    <row r="73">
      <c r="A73" s="10">
        <f>IF($E73="","",INDEX('Input Transaksi'!$A:$A,$E73))</f>
        <v/>
      </c>
      <c r="B73" s="5">
        <f>IF($E73="","",INDEX('Input Transaksi'!$D:$D,$E73))</f>
        <v/>
      </c>
      <c r="C73">
        <f>IF($E73="","",INDEX('Input Transaksi'!$E:$E,$E73))</f>
        <v/>
      </c>
      <c r="D73" s="5">
        <f>IF($E73="","",INDEX('Input Transaksi'!$F:$F,$E73))</f>
        <v/>
      </c>
      <c r="E73">
        <f>IFERROR(AGGREGATE(15,6,ROW('Input Transaksi'!$B$5:$B$5000)/('Input Transaksi'!$B$5:$B$5000="KLIN WASH"),ROWS($E$5:E73)),"")</f>
        <v/>
      </c>
      <c r="F73" s="5" t="n"/>
    </row>
    <row r="74">
      <c r="A74" s="10">
        <f>IF($E74="","",INDEX('Input Transaksi'!$A:$A,$E74))</f>
        <v/>
      </c>
      <c r="B74" s="5">
        <f>IF($E74="","",INDEX('Input Transaksi'!$D:$D,$E74))</f>
        <v/>
      </c>
      <c r="C74">
        <f>IF($E74="","",INDEX('Input Transaksi'!$E:$E,$E74))</f>
        <v/>
      </c>
      <c r="D74" s="5">
        <f>IF($E74="","",INDEX('Input Transaksi'!$F:$F,$E74))</f>
        <v/>
      </c>
      <c r="E74">
        <f>IFERROR(AGGREGATE(15,6,ROW('Input Transaksi'!$B$5:$B$5000)/('Input Transaksi'!$B$5:$B$5000="KLIN WASH"),ROWS($E$5:E74)),"")</f>
        <v/>
      </c>
      <c r="F74" s="5" t="n"/>
    </row>
    <row r="75">
      <c r="A75" s="10">
        <f>IF($E75="","",INDEX('Input Transaksi'!$A:$A,$E75))</f>
        <v/>
      </c>
      <c r="B75" s="5">
        <f>IF($E75="","",INDEX('Input Transaksi'!$D:$D,$E75))</f>
        <v/>
      </c>
      <c r="C75">
        <f>IF($E75="","",INDEX('Input Transaksi'!$E:$E,$E75))</f>
        <v/>
      </c>
      <c r="D75" s="5">
        <f>IF($E75="","",INDEX('Input Transaksi'!$F:$F,$E75))</f>
        <v/>
      </c>
      <c r="E75">
        <f>IFERROR(AGGREGATE(15,6,ROW('Input Transaksi'!$B$5:$B$5000)/('Input Transaksi'!$B$5:$B$5000="KLIN WASH"),ROWS($E$5:E75)),"")</f>
        <v/>
      </c>
      <c r="F75" s="5" t="n"/>
    </row>
    <row r="76">
      <c r="A76" s="10">
        <f>IF($E76="","",INDEX('Input Transaksi'!$A:$A,$E76))</f>
        <v/>
      </c>
      <c r="B76" s="5">
        <f>IF($E76="","",INDEX('Input Transaksi'!$D:$D,$E76))</f>
        <v/>
      </c>
      <c r="C76">
        <f>IF($E76="","",INDEX('Input Transaksi'!$E:$E,$E76))</f>
        <v/>
      </c>
      <c r="D76" s="5">
        <f>IF($E76="","",INDEX('Input Transaksi'!$F:$F,$E76))</f>
        <v/>
      </c>
      <c r="E76">
        <f>IFERROR(AGGREGATE(15,6,ROW('Input Transaksi'!$B$5:$B$5000)/('Input Transaksi'!$B$5:$B$5000="KLIN WASH"),ROWS($E$5:E76)),"")</f>
        <v/>
      </c>
      <c r="F76" s="5" t="n"/>
    </row>
    <row r="77">
      <c r="A77" s="10">
        <f>IF($E77="","",INDEX('Input Transaksi'!$A:$A,$E77))</f>
        <v/>
      </c>
      <c r="B77" s="5">
        <f>IF($E77="","",INDEX('Input Transaksi'!$D:$D,$E77))</f>
        <v/>
      </c>
      <c r="C77">
        <f>IF($E77="","",INDEX('Input Transaksi'!$E:$E,$E77))</f>
        <v/>
      </c>
      <c r="D77" s="5">
        <f>IF($E77="","",INDEX('Input Transaksi'!$F:$F,$E77))</f>
        <v/>
      </c>
      <c r="E77">
        <f>IFERROR(AGGREGATE(15,6,ROW('Input Transaksi'!$B$5:$B$5000)/('Input Transaksi'!$B$5:$B$5000="KLIN WASH"),ROWS($E$5:E77)),"")</f>
        <v/>
      </c>
      <c r="F77" s="5" t="n"/>
    </row>
    <row r="78">
      <c r="A78" s="10">
        <f>IF($E78="","",INDEX('Input Transaksi'!$A:$A,$E78))</f>
        <v/>
      </c>
      <c r="B78" s="5">
        <f>IF($E78="","",INDEX('Input Transaksi'!$D:$D,$E78))</f>
        <v/>
      </c>
      <c r="C78">
        <f>IF($E78="","",INDEX('Input Transaksi'!$E:$E,$E78))</f>
        <v/>
      </c>
      <c r="D78" s="5">
        <f>IF($E78="","",INDEX('Input Transaksi'!$F:$F,$E78))</f>
        <v/>
      </c>
      <c r="E78">
        <f>IFERROR(AGGREGATE(15,6,ROW('Input Transaksi'!$B$5:$B$5000)/('Input Transaksi'!$B$5:$B$5000="KLIN WASH"),ROWS($E$5:E78)),"")</f>
        <v/>
      </c>
      <c r="F78" s="5" t="n"/>
    </row>
    <row r="79">
      <c r="A79" s="10">
        <f>IF($E79="","",INDEX('Input Transaksi'!$A:$A,$E79))</f>
        <v/>
      </c>
      <c r="B79" s="5">
        <f>IF($E79="","",INDEX('Input Transaksi'!$D:$D,$E79))</f>
        <v/>
      </c>
      <c r="C79">
        <f>IF($E79="","",INDEX('Input Transaksi'!$E:$E,$E79))</f>
        <v/>
      </c>
      <c r="D79" s="5">
        <f>IF($E79="","",INDEX('Input Transaksi'!$F:$F,$E79))</f>
        <v/>
      </c>
      <c r="E79">
        <f>IFERROR(AGGREGATE(15,6,ROW('Input Transaksi'!$B$5:$B$5000)/('Input Transaksi'!$B$5:$B$5000="KLIN WASH"),ROWS($E$5:E79)),"")</f>
        <v/>
      </c>
      <c r="F79" s="5" t="n"/>
    </row>
    <row r="80">
      <c r="A80" s="10">
        <f>IF($E80="","",INDEX('Input Transaksi'!$A:$A,$E80))</f>
        <v/>
      </c>
      <c r="B80" s="5">
        <f>IF($E80="","",INDEX('Input Transaksi'!$D:$D,$E80))</f>
        <v/>
      </c>
      <c r="C80">
        <f>IF($E80="","",INDEX('Input Transaksi'!$E:$E,$E80))</f>
        <v/>
      </c>
      <c r="D80" s="5">
        <f>IF($E80="","",INDEX('Input Transaksi'!$F:$F,$E80))</f>
        <v/>
      </c>
      <c r="E80">
        <f>IFERROR(AGGREGATE(15,6,ROW('Input Transaksi'!$B$5:$B$5000)/('Input Transaksi'!$B$5:$B$5000="KLIN WASH"),ROWS($E$5:E80)),"")</f>
        <v/>
      </c>
      <c r="F80" s="5" t="n"/>
    </row>
    <row r="81">
      <c r="A81" s="10">
        <f>IF($E81="","",INDEX('Input Transaksi'!$A:$A,$E81))</f>
        <v/>
      </c>
      <c r="B81" s="5">
        <f>IF($E81="","",INDEX('Input Transaksi'!$D:$D,$E81))</f>
        <v/>
      </c>
      <c r="C81">
        <f>IF($E81="","",INDEX('Input Transaksi'!$E:$E,$E81))</f>
        <v/>
      </c>
      <c r="D81" s="5">
        <f>IF($E81="","",INDEX('Input Transaksi'!$F:$F,$E81))</f>
        <v/>
      </c>
      <c r="E81">
        <f>IFERROR(AGGREGATE(15,6,ROW('Input Transaksi'!$B$5:$B$5000)/('Input Transaksi'!$B$5:$B$5000="KLIN WASH"),ROWS($E$5:E81)),"")</f>
        <v/>
      </c>
      <c r="F81" s="5" t="n"/>
    </row>
    <row r="82">
      <c r="A82" s="10">
        <f>IF($E82="","",INDEX('Input Transaksi'!$A:$A,$E82))</f>
        <v/>
      </c>
      <c r="B82" s="5">
        <f>IF($E82="","",INDEX('Input Transaksi'!$D:$D,$E82))</f>
        <v/>
      </c>
      <c r="C82">
        <f>IF($E82="","",INDEX('Input Transaksi'!$E:$E,$E82))</f>
        <v/>
      </c>
      <c r="D82" s="5">
        <f>IF($E82="","",INDEX('Input Transaksi'!$F:$F,$E82))</f>
        <v/>
      </c>
      <c r="E82">
        <f>IFERROR(AGGREGATE(15,6,ROW('Input Transaksi'!$B$5:$B$5000)/('Input Transaksi'!$B$5:$B$5000="KLIN WASH"),ROWS($E$5:E82)),"")</f>
        <v/>
      </c>
      <c r="F82" s="5" t="n"/>
    </row>
    <row r="83">
      <c r="A83" s="10">
        <f>IF($E83="","",INDEX('Input Transaksi'!$A:$A,$E83))</f>
        <v/>
      </c>
      <c r="B83" s="5">
        <f>IF($E83="","",INDEX('Input Transaksi'!$D:$D,$E83))</f>
        <v/>
      </c>
      <c r="C83">
        <f>IF($E83="","",INDEX('Input Transaksi'!$E:$E,$E83))</f>
        <v/>
      </c>
      <c r="D83" s="5">
        <f>IF($E83="","",INDEX('Input Transaksi'!$F:$F,$E83))</f>
        <v/>
      </c>
      <c r="E83">
        <f>IFERROR(AGGREGATE(15,6,ROW('Input Transaksi'!$B$5:$B$5000)/('Input Transaksi'!$B$5:$B$5000="KLIN WASH"),ROWS($E$5:E83)),"")</f>
        <v/>
      </c>
      <c r="F83" s="5" t="n"/>
    </row>
    <row r="84">
      <c r="A84" s="10">
        <f>IF($E84="","",INDEX('Input Transaksi'!$A:$A,$E84))</f>
        <v/>
      </c>
      <c r="B84" s="5">
        <f>IF($E84="","",INDEX('Input Transaksi'!$D:$D,$E84))</f>
        <v/>
      </c>
      <c r="C84">
        <f>IF($E84="","",INDEX('Input Transaksi'!$E:$E,$E84))</f>
        <v/>
      </c>
      <c r="D84" s="5">
        <f>IF($E84="","",INDEX('Input Transaksi'!$F:$F,$E84))</f>
        <v/>
      </c>
      <c r="E84">
        <f>IFERROR(AGGREGATE(15,6,ROW('Input Transaksi'!$B$5:$B$5000)/('Input Transaksi'!$B$5:$B$5000="KLIN WASH"),ROWS($E$5:E84)),"")</f>
        <v/>
      </c>
      <c r="F84" s="5" t="n"/>
    </row>
    <row r="85">
      <c r="A85" s="10">
        <f>IF($E85="","",INDEX('Input Transaksi'!$A:$A,$E85))</f>
        <v/>
      </c>
      <c r="B85" s="5">
        <f>IF($E85="","",INDEX('Input Transaksi'!$D:$D,$E85))</f>
        <v/>
      </c>
      <c r="C85">
        <f>IF($E85="","",INDEX('Input Transaksi'!$E:$E,$E85))</f>
        <v/>
      </c>
      <c r="D85" s="5">
        <f>IF($E85="","",INDEX('Input Transaksi'!$F:$F,$E85))</f>
        <v/>
      </c>
      <c r="E85">
        <f>IFERROR(AGGREGATE(15,6,ROW('Input Transaksi'!$B$5:$B$5000)/('Input Transaksi'!$B$5:$B$5000="KLIN WASH"),ROWS($E$5:E85)),"")</f>
        <v/>
      </c>
      <c r="F85" s="5" t="n"/>
    </row>
    <row r="86">
      <c r="A86" s="10">
        <f>IF($E86="","",INDEX('Input Transaksi'!$A:$A,$E86))</f>
        <v/>
      </c>
      <c r="B86" s="5">
        <f>IF($E86="","",INDEX('Input Transaksi'!$D:$D,$E86))</f>
        <v/>
      </c>
      <c r="C86">
        <f>IF($E86="","",INDEX('Input Transaksi'!$E:$E,$E86))</f>
        <v/>
      </c>
      <c r="D86" s="5">
        <f>IF($E86="","",INDEX('Input Transaksi'!$F:$F,$E86))</f>
        <v/>
      </c>
      <c r="E86">
        <f>IFERROR(AGGREGATE(15,6,ROW('Input Transaksi'!$B$5:$B$5000)/('Input Transaksi'!$B$5:$B$5000="KLIN WASH"),ROWS($E$5:E86)),"")</f>
        <v/>
      </c>
      <c r="F86" s="5" t="n"/>
    </row>
    <row r="87">
      <c r="A87" s="10">
        <f>IF($E87="","",INDEX('Input Transaksi'!$A:$A,$E87))</f>
        <v/>
      </c>
      <c r="B87" s="5">
        <f>IF($E87="","",INDEX('Input Transaksi'!$D:$D,$E87))</f>
        <v/>
      </c>
      <c r="C87">
        <f>IF($E87="","",INDEX('Input Transaksi'!$E:$E,$E87))</f>
        <v/>
      </c>
      <c r="D87" s="5">
        <f>IF($E87="","",INDEX('Input Transaksi'!$F:$F,$E87))</f>
        <v/>
      </c>
      <c r="E87">
        <f>IFERROR(AGGREGATE(15,6,ROW('Input Transaksi'!$B$5:$B$5000)/('Input Transaksi'!$B$5:$B$5000="KLIN WASH"),ROWS($E$5:E87)),"")</f>
        <v/>
      </c>
      <c r="F87" s="5" t="n"/>
    </row>
    <row r="88">
      <c r="A88" s="10">
        <f>IF($E88="","",INDEX('Input Transaksi'!$A:$A,$E88))</f>
        <v/>
      </c>
      <c r="B88" s="5">
        <f>IF($E88="","",INDEX('Input Transaksi'!$D:$D,$E88))</f>
        <v/>
      </c>
      <c r="C88">
        <f>IF($E88="","",INDEX('Input Transaksi'!$E:$E,$E88))</f>
        <v/>
      </c>
      <c r="D88" s="5">
        <f>IF($E88="","",INDEX('Input Transaksi'!$F:$F,$E88))</f>
        <v/>
      </c>
      <c r="E88">
        <f>IFERROR(AGGREGATE(15,6,ROW('Input Transaksi'!$B$5:$B$5000)/('Input Transaksi'!$B$5:$B$5000="KLIN WASH"),ROWS($E$5:E88)),"")</f>
        <v/>
      </c>
      <c r="F88" s="5" t="n"/>
    </row>
    <row r="89">
      <c r="A89" s="10">
        <f>IF($E89="","",INDEX('Input Transaksi'!$A:$A,$E89))</f>
        <v/>
      </c>
      <c r="B89" s="5">
        <f>IF($E89="","",INDEX('Input Transaksi'!$D:$D,$E89))</f>
        <v/>
      </c>
      <c r="C89">
        <f>IF($E89="","",INDEX('Input Transaksi'!$E:$E,$E89))</f>
        <v/>
      </c>
      <c r="D89" s="5">
        <f>IF($E89="","",INDEX('Input Transaksi'!$F:$F,$E89))</f>
        <v/>
      </c>
      <c r="E89">
        <f>IFERROR(AGGREGATE(15,6,ROW('Input Transaksi'!$B$5:$B$5000)/('Input Transaksi'!$B$5:$B$5000="KLIN WASH"),ROWS($E$5:E89)),"")</f>
        <v/>
      </c>
      <c r="F89" s="5" t="n"/>
    </row>
    <row r="90">
      <c r="A90" s="10">
        <f>IF($E90="","",INDEX('Input Transaksi'!$A:$A,$E90))</f>
        <v/>
      </c>
      <c r="B90" s="5">
        <f>IF($E90="","",INDEX('Input Transaksi'!$D:$D,$E90))</f>
        <v/>
      </c>
      <c r="C90">
        <f>IF($E90="","",INDEX('Input Transaksi'!$E:$E,$E90))</f>
        <v/>
      </c>
      <c r="D90" s="5">
        <f>IF($E90="","",INDEX('Input Transaksi'!$F:$F,$E90))</f>
        <v/>
      </c>
      <c r="E90">
        <f>IFERROR(AGGREGATE(15,6,ROW('Input Transaksi'!$B$5:$B$5000)/('Input Transaksi'!$B$5:$B$5000="KLIN WASH"),ROWS($E$5:E90)),"")</f>
        <v/>
      </c>
      <c r="F90" s="5" t="n"/>
    </row>
    <row r="91">
      <c r="A91" s="10">
        <f>IF($E91="","",INDEX('Input Transaksi'!$A:$A,$E91))</f>
        <v/>
      </c>
      <c r="B91" s="5">
        <f>IF($E91="","",INDEX('Input Transaksi'!$D:$D,$E91))</f>
        <v/>
      </c>
      <c r="C91">
        <f>IF($E91="","",INDEX('Input Transaksi'!$E:$E,$E91))</f>
        <v/>
      </c>
      <c r="D91" s="5">
        <f>IF($E91="","",INDEX('Input Transaksi'!$F:$F,$E91))</f>
        <v/>
      </c>
      <c r="E91">
        <f>IFERROR(AGGREGATE(15,6,ROW('Input Transaksi'!$B$5:$B$5000)/('Input Transaksi'!$B$5:$B$5000="KLIN WASH"),ROWS($E$5:E91)),"")</f>
        <v/>
      </c>
      <c r="F91" s="5" t="n"/>
    </row>
    <row r="92">
      <c r="A92" s="10">
        <f>IF($E92="","",INDEX('Input Transaksi'!$A:$A,$E92))</f>
        <v/>
      </c>
      <c r="B92" s="5">
        <f>IF($E92="","",INDEX('Input Transaksi'!$D:$D,$E92))</f>
        <v/>
      </c>
      <c r="C92">
        <f>IF($E92="","",INDEX('Input Transaksi'!$E:$E,$E92))</f>
        <v/>
      </c>
      <c r="D92" s="5">
        <f>IF($E92="","",INDEX('Input Transaksi'!$F:$F,$E92))</f>
        <v/>
      </c>
      <c r="E92">
        <f>IFERROR(AGGREGATE(15,6,ROW('Input Transaksi'!$B$5:$B$5000)/('Input Transaksi'!$B$5:$B$5000="KLIN WASH"),ROWS($E$5:E92)),"")</f>
        <v/>
      </c>
      <c r="F92" s="5" t="n"/>
    </row>
    <row r="93">
      <c r="A93" s="10">
        <f>IF($E93="","",INDEX('Input Transaksi'!$A:$A,$E93))</f>
        <v/>
      </c>
      <c r="B93" s="5">
        <f>IF($E93="","",INDEX('Input Transaksi'!$D:$D,$E93))</f>
        <v/>
      </c>
      <c r="C93">
        <f>IF($E93="","",INDEX('Input Transaksi'!$E:$E,$E93))</f>
        <v/>
      </c>
      <c r="D93" s="5">
        <f>IF($E93="","",INDEX('Input Transaksi'!$F:$F,$E93))</f>
        <v/>
      </c>
      <c r="E93">
        <f>IFERROR(AGGREGATE(15,6,ROW('Input Transaksi'!$B$5:$B$5000)/('Input Transaksi'!$B$5:$B$5000="KLIN WASH"),ROWS($E$5:E93)),"")</f>
        <v/>
      </c>
      <c r="F93" s="5" t="n"/>
    </row>
    <row r="94">
      <c r="A94" s="10">
        <f>IF($E94="","",INDEX('Input Transaksi'!$A:$A,$E94))</f>
        <v/>
      </c>
      <c r="B94" s="5">
        <f>IF($E94="","",INDEX('Input Transaksi'!$D:$D,$E94))</f>
        <v/>
      </c>
      <c r="C94">
        <f>IF($E94="","",INDEX('Input Transaksi'!$E:$E,$E94))</f>
        <v/>
      </c>
      <c r="D94" s="5">
        <f>IF($E94="","",INDEX('Input Transaksi'!$F:$F,$E94))</f>
        <v/>
      </c>
      <c r="E94">
        <f>IFERROR(AGGREGATE(15,6,ROW('Input Transaksi'!$B$5:$B$5000)/('Input Transaksi'!$B$5:$B$5000="KLIN WASH"),ROWS($E$5:E94)),"")</f>
        <v/>
      </c>
      <c r="F94" s="5" t="n"/>
    </row>
    <row r="95">
      <c r="A95" s="10">
        <f>IF($E95="","",INDEX('Input Transaksi'!$A:$A,$E95))</f>
        <v/>
      </c>
      <c r="B95" s="5">
        <f>IF($E95="","",INDEX('Input Transaksi'!$D:$D,$E95))</f>
        <v/>
      </c>
      <c r="C95">
        <f>IF($E95="","",INDEX('Input Transaksi'!$E:$E,$E95))</f>
        <v/>
      </c>
      <c r="D95" s="5">
        <f>IF($E95="","",INDEX('Input Transaksi'!$F:$F,$E95))</f>
        <v/>
      </c>
      <c r="E95">
        <f>IFERROR(AGGREGATE(15,6,ROW('Input Transaksi'!$B$5:$B$5000)/('Input Transaksi'!$B$5:$B$5000="KLIN WASH"),ROWS($E$5:E95)),"")</f>
        <v/>
      </c>
      <c r="F95" s="5" t="n"/>
    </row>
    <row r="96">
      <c r="A96" s="10">
        <f>IF($E96="","",INDEX('Input Transaksi'!$A:$A,$E96))</f>
        <v/>
      </c>
      <c r="B96" s="5">
        <f>IF($E96="","",INDEX('Input Transaksi'!$D:$D,$E96))</f>
        <v/>
      </c>
      <c r="C96">
        <f>IF($E96="","",INDEX('Input Transaksi'!$E:$E,$E96))</f>
        <v/>
      </c>
      <c r="D96" s="5">
        <f>IF($E96="","",INDEX('Input Transaksi'!$F:$F,$E96))</f>
        <v/>
      </c>
      <c r="E96">
        <f>IFERROR(AGGREGATE(15,6,ROW('Input Transaksi'!$B$5:$B$5000)/('Input Transaksi'!$B$5:$B$5000="KLIN WASH"),ROWS($E$5:E96)),"")</f>
        <v/>
      </c>
      <c r="F96" s="5" t="n"/>
    </row>
    <row r="97">
      <c r="A97" s="10">
        <f>IF($E97="","",INDEX('Input Transaksi'!$A:$A,$E97))</f>
        <v/>
      </c>
      <c r="B97" s="5">
        <f>IF($E97="","",INDEX('Input Transaksi'!$D:$D,$E97))</f>
        <v/>
      </c>
      <c r="C97">
        <f>IF($E97="","",INDEX('Input Transaksi'!$E:$E,$E97))</f>
        <v/>
      </c>
      <c r="D97" s="5">
        <f>IF($E97="","",INDEX('Input Transaksi'!$F:$F,$E97))</f>
        <v/>
      </c>
      <c r="E97">
        <f>IFERROR(AGGREGATE(15,6,ROW('Input Transaksi'!$B$5:$B$5000)/('Input Transaksi'!$B$5:$B$5000="KLIN WASH"),ROWS($E$5:E97)),"")</f>
        <v/>
      </c>
      <c r="F97" s="5" t="n"/>
    </row>
    <row r="98">
      <c r="A98" s="10">
        <f>IF($E98="","",INDEX('Input Transaksi'!$A:$A,$E98))</f>
        <v/>
      </c>
      <c r="B98" s="5">
        <f>IF($E98="","",INDEX('Input Transaksi'!$D:$D,$E98))</f>
        <v/>
      </c>
      <c r="C98">
        <f>IF($E98="","",INDEX('Input Transaksi'!$E:$E,$E98))</f>
        <v/>
      </c>
      <c r="D98" s="5">
        <f>IF($E98="","",INDEX('Input Transaksi'!$F:$F,$E98))</f>
        <v/>
      </c>
      <c r="E98">
        <f>IFERROR(AGGREGATE(15,6,ROW('Input Transaksi'!$B$5:$B$5000)/('Input Transaksi'!$B$5:$B$5000="KLIN WASH"),ROWS($E$5:E98)),"")</f>
        <v/>
      </c>
      <c r="F98" s="5" t="n"/>
    </row>
    <row r="99">
      <c r="A99" s="10">
        <f>IF($E99="","",INDEX('Input Transaksi'!$A:$A,$E99))</f>
        <v/>
      </c>
      <c r="B99" s="5">
        <f>IF($E99="","",INDEX('Input Transaksi'!$D:$D,$E99))</f>
        <v/>
      </c>
      <c r="C99">
        <f>IF($E99="","",INDEX('Input Transaksi'!$E:$E,$E99))</f>
        <v/>
      </c>
      <c r="D99" s="5">
        <f>IF($E99="","",INDEX('Input Transaksi'!$F:$F,$E99))</f>
        <v/>
      </c>
      <c r="E99">
        <f>IFERROR(AGGREGATE(15,6,ROW('Input Transaksi'!$B$5:$B$5000)/('Input Transaksi'!$B$5:$B$5000="KLIN WASH"),ROWS($E$5:E99)),"")</f>
        <v/>
      </c>
      <c r="F99" s="5" t="n"/>
    </row>
    <row r="100">
      <c r="A100" s="10">
        <f>IF($E100="","",INDEX('Input Transaksi'!$A:$A,$E100))</f>
        <v/>
      </c>
      <c r="B100" s="5">
        <f>IF($E100="","",INDEX('Input Transaksi'!$D:$D,$E100))</f>
        <v/>
      </c>
      <c r="C100">
        <f>IF($E100="","",INDEX('Input Transaksi'!$E:$E,$E100))</f>
        <v/>
      </c>
      <c r="D100" s="5">
        <f>IF($E100="","",INDEX('Input Transaksi'!$F:$F,$E100))</f>
        <v/>
      </c>
      <c r="E100">
        <f>IFERROR(AGGREGATE(15,6,ROW('Input Transaksi'!$B$5:$B$5000)/('Input Transaksi'!$B$5:$B$5000="KLIN WASH"),ROWS($E$5:E100)),"")</f>
        <v/>
      </c>
      <c r="F100" s="5" t="n"/>
    </row>
    <row r="101">
      <c r="A101" s="10">
        <f>IF($E101="","",INDEX('Input Transaksi'!$A:$A,$E101))</f>
        <v/>
      </c>
      <c r="B101" s="5">
        <f>IF($E101="","",INDEX('Input Transaksi'!$D:$D,$E101))</f>
        <v/>
      </c>
      <c r="C101">
        <f>IF($E101="","",INDEX('Input Transaksi'!$E:$E,$E101))</f>
        <v/>
      </c>
      <c r="D101" s="5">
        <f>IF($E101="","",INDEX('Input Transaksi'!$F:$F,$E101))</f>
        <v/>
      </c>
      <c r="E101">
        <f>IFERROR(AGGREGATE(15,6,ROW('Input Transaksi'!$B$5:$B$5000)/('Input Transaksi'!$B$5:$B$5000="KLIN WASH"),ROWS($E$5:E101)),"")</f>
        <v/>
      </c>
      <c r="F101" s="5" t="n"/>
    </row>
    <row r="102">
      <c r="A102" s="10">
        <f>IF($E102="","",INDEX('Input Transaksi'!$A:$A,$E102))</f>
        <v/>
      </c>
      <c r="B102" s="5">
        <f>IF($E102="","",INDEX('Input Transaksi'!$D:$D,$E102))</f>
        <v/>
      </c>
      <c r="C102">
        <f>IF($E102="","",INDEX('Input Transaksi'!$E:$E,$E102))</f>
        <v/>
      </c>
      <c r="D102" s="5">
        <f>IF($E102="","",INDEX('Input Transaksi'!$F:$F,$E102))</f>
        <v/>
      </c>
      <c r="E102">
        <f>IFERROR(AGGREGATE(15,6,ROW('Input Transaksi'!$B$5:$B$5000)/('Input Transaksi'!$B$5:$B$5000="KLIN WASH"),ROWS($E$5:E102)),"")</f>
        <v/>
      </c>
      <c r="F102" s="5" t="n"/>
    </row>
    <row r="103">
      <c r="A103" s="10">
        <f>IF($E103="","",INDEX('Input Transaksi'!$A:$A,$E103))</f>
        <v/>
      </c>
      <c r="B103" s="5">
        <f>IF($E103="","",INDEX('Input Transaksi'!$D:$D,$E103))</f>
        <v/>
      </c>
      <c r="C103">
        <f>IF($E103="","",INDEX('Input Transaksi'!$E:$E,$E103))</f>
        <v/>
      </c>
      <c r="D103" s="5">
        <f>IF($E103="","",INDEX('Input Transaksi'!$F:$F,$E103))</f>
        <v/>
      </c>
      <c r="E103">
        <f>IFERROR(AGGREGATE(15,6,ROW('Input Transaksi'!$B$5:$B$5000)/('Input Transaksi'!$B$5:$B$5000="KLIN WASH"),ROWS($E$5:E103)),"")</f>
        <v/>
      </c>
      <c r="F103" s="5" t="n"/>
    </row>
    <row r="104">
      <c r="A104" s="10">
        <f>IF($E104="","",INDEX('Input Transaksi'!$A:$A,$E104))</f>
        <v/>
      </c>
      <c r="B104" s="5">
        <f>IF($E104="","",INDEX('Input Transaksi'!$D:$D,$E104))</f>
        <v/>
      </c>
      <c r="C104">
        <f>IF($E104="","",INDEX('Input Transaksi'!$E:$E,$E104))</f>
        <v/>
      </c>
      <c r="D104" s="5">
        <f>IF($E104="","",INDEX('Input Transaksi'!$F:$F,$E104))</f>
        <v/>
      </c>
      <c r="E104">
        <f>IFERROR(AGGREGATE(15,6,ROW('Input Transaksi'!$B$5:$B$5000)/('Input Transaksi'!$B$5:$B$5000="KLIN WASH"),ROWS($E$5:E104)),"")</f>
        <v/>
      </c>
      <c r="F104" s="5" t="n"/>
    </row>
    <row r="105">
      <c r="A105" s="10">
        <f>IF($E105="","",INDEX('Input Transaksi'!$A:$A,$E105))</f>
        <v/>
      </c>
      <c r="B105" s="5">
        <f>IF($E105="","",INDEX('Input Transaksi'!$D:$D,$E105))</f>
        <v/>
      </c>
      <c r="C105">
        <f>IF($E105="","",INDEX('Input Transaksi'!$E:$E,$E105))</f>
        <v/>
      </c>
      <c r="D105" s="5">
        <f>IF($E105="","",INDEX('Input Transaksi'!$F:$F,$E105))</f>
        <v/>
      </c>
      <c r="E105">
        <f>IFERROR(AGGREGATE(15,6,ROW('Input Transaksi'!$B$5:$B$5000)/('Input Transaksi'!$B$5:$B$5000="KLIN WASH"),ROWS($E$5:E105)),"")</f>
        <v/>
      </c>
      <c r="F105" s="5" t="n"/>
    </row>
    <row r="106">
      <c r="A106" s="10">
        <f>IF($E106="","",INDEX('Input Transaksi'!$A:$A,$E106))</f>
        <v/>
      </c>
      <c r="B106" s="5">
        <f>IF($E106="","",INDEX('Input Transaksi'!$D:$D,$E106))</f>
        <v/>
      </c>
      <c r="C106">
        <f>IF($E106="","",INDEX('Input Transaksi'!$E:$E,$E106))</f>
        <v/>
      </c>
      <c r="D106" s="5">
        <f>IF($E106="","",INDEX('Input Transaksi'!$F:$F,$E106))</f>
        <v/>
      </c>
      <c r="E106">
        <f>IFERROR(AGGREGATE(15,6,ROW('Input Transaksi'!$B$5:$B$5000)/('Input Transaksi'!$B$5:$B$5000="KLIN WASH"),ROWS($E$5:E106)),"")</f>
        <v/>
      </c>
      <c r="F106" s="5" t="n"/>
    </row>
    <row r="107">
      <c r="A107" s="10">
        <f>IF($E107="","",INDEX('Input Transaksi'!$A:$A,$E107))</f>
        <v/>
      </c>
      <c r="B107" s="5">
        <f>IF($E107="","",INDEX('Input Transaksi'!$D:$D,$E107))</f>
        <v/>
      </c>
      <c r="C107">
        <f>IF($E107="","",INDEX('Input Transaksi'!$E:$E,$E107))</f>
        <v/>
      </c>
      <c r="D107" s="5">
        <f>IF($E107="","",INDEX('Input Transaksi'!$F:$F,$E107))</f>
        <v/>
      </c>
      <c r="E107">
        <f>IFERROR(AGGREGATE(15,6,ROW('Input Transaksi'!$B$5:$B$5000)/('Input Transaksi'!$B$5:$B$5000="KLIN WASH"),ROWS($E$5:E107)),"")</f>
        <v/>
      </c>
      <c r="F107" s="5" t="n"/>
    </row>
    <row r="108">
      <c r="A108" s="10">
        <f>IF($E108="","",INDEX('Input Transaksi'!$A:$A,$E108))</f>
        <v/>
      </c>
      <c r="B108" s="5">
        <f>IF($E108="","",INDEX('Input Transaksi'!$D:$D,$E108))</f>
        <v/>
      </c>
      <c r="C108">
        <f>IF($E108="","",INDEX('Input Transaksi'!$E:$E,$E108))</f>
        <v/>
      </c>
      <c r="D108" s="5">
        <f>IF($E108="","",INDEX('Input Transaksi'!$F:$F,$E108))</f>
        <v/>
      </c>
      <c r="E108">
        <f>IFERROR(AGGREGATE(15,6,ROW('Input Transaksi'!$B$5:$B$5000)/('Input Transaksi'!$B$5:$B$5000="KLIN WASH"),ROWS($E$5:E108)),"")</f>
        <v/>
      </c>
      <c r="F108" s="5" t="n"/>
    </row>
    <row r="109">
      <c r="A109" s="10">
        <f>IF($E109="","",INDEX('Input Transaksi'!$A:$A,$E109))</f>
        <v/>
      </c>
      <c r="B109" s="5">
        <f>IF($E109="","",INDEX('Input Transaksi'!$D:$D,$E109))</f>
        <v/>
      </c>
      <c r="C109">
        <f>IF($E109="","",INDEX('Input Transaksi'!$E:$E,$E109))</f>
        <v/>
      </c>
      <c r="D109" s="5">
        <f>IF($E109="","",INDEX('Input Transaksi'!$F:$F,$E109))</f>
        <v/>
      </c>
      <c r="E109">
        <f>IFERROR(AGGREGATE(15,6,ROW('Input Transaksi'!$B$5:$B$5000)/('Input Transaksi'!$B$5:$B$5000="KLIN WASH"),ROWS($E$5:E109)),"")</f>
        <v/>
      </c>
      <c r="F109" s="5" t="n"/>
    </row>
    <row r="110">
      <c r="A110" s="10">
        <f>IF($E110="","",INDEX('Input Transaksi'!$A:$A,$E110))</f>
        <v/>
      </c>
      <c r="B110" s="5">
        <f>IF($E110="","",INDEX('Input Transaksi'!$D:$D,$E110))</f>
        <v/>
      </c>
      <c r="C110">
        <f>IF($E110="","",INDEX('Input Transaksi'!$E:$E,$E110))</f>
        <v/>
      </c>
      <c r="D110" s="5">
        <f>IF($E110="","",INDEX('Input Transaksi'!$F:$F,$E110))</f>
        <v/>
      </c>
      <c r="E110">
        <f>IFERROR(AGGREGATE(15,6,ROW('Input Transaksi'!$B$5:$B$5000)/('Input Transaksi'!$B$5:$B$5000="KLIN WASH"),ROWS($E$5:E110)),"")</f>
        <v/>
      </c>
      <c r="F110" s="5" t="n"/>
    </row>
    <row r="111">
      <c r="A111" s="10">
        <f>IF($E111="","",INDEX('Input Transaksi'!$A:$A,$E111))</f>
        <v/>
      </c>
      <c r="B111" s="5">
        <f>IF($E111="","",INDEX('Input Transaksi'!$D:$D,$E111))</f>
        <v/>
      </c>
      <c r="C111">
        <f>IF($E111="","",INDEX('Input Transaksi'!$E:$E,$E111))</f>
        <v/>
      </c>
      <c r="D111" s="5">
        <f>IF($E111="","",INDEX('Input Transaksi'!$F:$F,$E111))</f>
        <v/>
      </c>
      <c r="E111">
        <f>IFERROR(AGGREGATE(15,6,ROW('Input Transaksi'!$B$5:$B$5000)/('Input Transaksi'!$B$5:$B$5000="KLIN WASH"),ROWS($E$5:E111)),"")</f>
        <v/>
      </c>
      <c r="F111" s="5" t="n"/>
    </row>
    <row r="112">
      <c r="A112" s="10">
        <f>IF($E112="","",INDEX('Input Transaksi'!$A:$A,$E112))</f>
        <v/>
      </c>
      <c r="B112" s="5">
        <f>IF($E112="","",INDEX('Input Transaksi'!$D:$D,$E112))</f>
        <v/>
      </c>
      <c r="C112">
        <f>IF($E112="","",INDEX('Input Transaksi'!$E:$E,$E112))</f>
        <v/>
      </c>
      <c r="D112" s="5">
        <f>IF($E112="","",INDEX('Input Transaksi'!$F:$F,$E112))</f>
        <v/>
      </c>
      <c r="E112">
        <f>IFERROR(AGGREGATE(15,6,ROW('Input Transaksi'!$B$5:$B$5000)/('Input Transaksi'!$B$5:$B$5000="KLIN WASH"),ROWS($E$5:E112)),"")</f>
        <v/>
      </c>
      <c r="F112" s="5" t="n"/>
    </row>
    <row r="113">
      <c r="A113" s="10">
        <f>IF($E113="","",INDEX('Input Transaksi'!$A:$A,$E113))</f>
        <v/>
      </c>
      <c r="B113" s="5">
        <f>IF($E113="","",INDEX('Input Transaksi'!$D:$D,$E113))</f>
        <v/>
      </c>
      <c r="C113">
        <f>IF($E113="","",INDEX('Input Transaksi'!$E:$E,$E113))</f>
        <v/>
      </c>
      <c r="D113" s="5">
        <f>IF($E113="","",INDEX('Input Transaksi'!$F:$F,$E113))</f>
        <v/>
      </c>
      <c r="E113">
        <f>IFERROR(AGGREGATE(15,6,ROW('Input Transaksi'!$B$5:$B$5000)/('Input Transaksi'!$B$5:$B$5000="KLIN WASH"),ROWS($E$5:E113)),"")</f>
        <v/>
      </c>
      <c r="F113" s="5" t="n"/>
    </row>
    <row r="114">
      <c r="A114" s="10">
        <f>IF($E114="","",INDEX('Input Transaksi'!$A:$A,$E114))</f>
        <v/>
      </c>
      <c r="B114" s="5">
        <f>IF($E114="","",INDEX('Input Transaksi'!$D:$D,$E114))</f>
        <v/>
      </c>
      <c r="C114">
        <f>IF($E114="","",INDEX('Input Transaksi'!$E:$E,$E114))</f>
        <v/>
      </c>
      <c r="D114" s="5">
        <f>IF($E114="","",INDEX('Input Transaksi'!$F:$F,$E114))</f>
        <v/>
      </c>
      <c r="E114">
        <f>IFERROR(AGGREGATE(15,6,ROW('Input Transaksi'!$B$5:$B$5000)/('Input Transaksi'!$B$5:$B$5000="KLIN WASH"),ROWS($E$5:E114)),"")</f>
        <v/>
      </c>
      <c r="F114" s="5" t="n"/>
    </row>
    <row r="115">
      <c r="A115" s="10">
        <f>IF($E115="","",INDEX('Input Transaksi'!$A:$A,$E115))</f>
        <v/>
      </c>
      <c r="B115" s="5">
        <f>IF($E115="","",INDEX('Input Transaksi'!$D:$D,$E115))</f>
        <v/>
      </c>
      <c r="C115">
        <f>IF($E115="","",INDEX('Input Transaksi'!$E:$E,$E115))</f>
        <v/>
      </c>
      <c r="D115" s="5">
        <f>IF($E115="","",INDEX('Input Transaksi'!$F:$F,$E115))</f>
        <v/>
      </c>
      <c r="E115">
        <f>IFERROR(AGGREGATE(15,6,ROW('Input Transaksi'!$B$5:$B$5000)/('Input Transaksi'!$B$5:$B$5000="KLIN WASH"),ROWS($E$5:E115)),"")</f>
        <v/>
      </c>
      <c r="F115" s="5" t="n"/>
    </row>
    <row r="116">
      <c r="A116" s="10">
        <f>IF($E116="","",INDEX('Input Transaksi'!$A:$A,$E116))</f>
        <v/>
      </c>
      <c r="B116" s="5">
        <f>IF($E116="","",INDEX('Input Transaksi'!$D:$D,$E116))</f>
        <v/>
      </c>
      <c r="C116">
        <f>IF($E116="","",INDEX('Input Transaksi'!$E:$E,$E116))</f>
        <v/>
      </c>
      <c r="D116" s="5">
        <f>IF($E116="","",INDEX('Input Transaksi'!$F:$F,$E116))</f>
        <v/>
      </c>
      <c r="E116">
        <f>IFERROR(AGGREGATE(15,6,ROW('Input Transaksi'!$B$5:$B$5000)/('Input Transaksi'!$B$5:$B$5000="KLIN WASH"),ROWS($E$5:E116)),"")</f>
        <v/>
      </c>
      <c r="F116" s="5" t="n"/>
    </row>
    <row r="117">
      <c r="A117" s="10">
        <f>IF($E117="","",INDEX('Input Transaksi'!$A:$A,$E117))</f>
        <v/>
      </c>
      <c r="B117" s="5">
        <f>IF($E117="","",INDEX('Input Transaksi'!$D:$D,$E117))</f>
        <v/>
      </c>
      <c r="C117">
        <f>IF($E117="","",INDEX('Input Transaksi'!$E:$E,$E117))</f>
        <v/>
      </c>
      <c r="D117" s="5">
        <f>IF($E117="","",INDEX('Input Transaksi'!$F:$F,$E117))</f>
        <v/>
      </c>
      <c r="E117">
        <f>IFERROR(AGGREGATE(15,6,ROW('Input Transaksi'!$B$5:$B$5000)/('Input Transaksi'!$B$5:$B$5000="KLIN WASH"),ROWS($E$5:E117)),"")</f>
        <v/>
      </c>
      <c r="F117" s="5" t="n"/>
    </row>
    <row r="118">
      <c r="A118" s="10">
        <f>IF($E118="","",INDEX('Input Transaksi'!$A:$A,$E118))</f>
        <v/>
      </c>
      <c r="B118" s="5">
        <f>IF($E118="","",INDEX('Input Transaksi'!$D:$D,$E118))</f>
        <v/>
      </c>
      <c r="C118">
        <f>IF($E118="","",INDEX('Input Transaksi'!$E:$E,$E118))</f>
        <v/>
      </c>
      <c r="D118" s="5">
        <f>IF($E118="","",INDEX('Input Transaksi'!$F:$F,$E118))</f>
        <v/>
      </c>
      <c r="E118">
        <f>IFERROR(AGGREGATE(15,6,ROW('Input Transaksi'!$B$5:$B$5000)/('Input Transaksi'!$B$5:$B$5000="KLIN WASH"),ROWS($E$5:E118)),"")</f>
        <v/>
      </c>
      <c r="F118" s="5" t="n"/>
    </row>
    <row r="119">
      <c r="A119" s="10">
        <f>IF($E119="","",INDEX('Input Transaksi'!$A:$A,$E119))</f>
        <v/>
      </c>
      <c r="B119" s="5">
        <f>IF($E119="","",INDEX('Input Transaksi'!$D:$D,$E119))</f>
        <v/>
      </c>
      <c r="C119">
        <f>IF($E119="","",INDEX('Input Transaksi'!$E:$E,$E119))</f>
        <v/>
      </c>
      <c r="D119" s="5">
        <f>IF($E119="","",INDEX('Input Transaksi'!$F:$F,$E119))</f>
        <v/>
      </c>
      <c r="E119">
        <f>IFERROR(AGGREGATE(15,6,ROW('Input Transaksi'!$B$5:$B$5000)/('Input Transaksi'!$B$5:$B$5000="KLIN WASH"),ROWS($E$5:E119)),"")</f>
        <v/>
      </c>
      <c r="F119" s="5" t="n"/>
    </row>
    <row r="120">
      <c r="A120" s="10">
        <f>IF($E120="","",INDEX('Input Transaksi'!$A:$A,$E120))</f>
        <v/>
      </c>
      <c r="B120" s="5">
        <f>IF($E120="","",INDEX('Input Transaksi'!$D:$D,$E120))</f>
        <v/>
      </c>
      <c r="C120">
        <f>IF($E120="","",INDEX('Input Transaksi'!$E:$E,$E120))</f>
        <v/>
      </c>
      <c r="D120" s="5">
        <f>IF($E120="","",INDEX('Input Transaksi'!$F:$F,$E120))</f>
        <v/>
      </c>
      <c r="E120">
        <f>IFERROR(AGGREGATE(15,6,ROW('Input Transaksi'!$B$5:$B$5000)/('Input Transaksi'!$B$5:$B$5000="KLIN WASH"),ROWS($E$5:E120)),"")</f>
        <v/>
      </c>
      <c r="F120" s="5" t="n"/>
    </row>
    <row r="121">
      <c r="A121" s="10">
        <f>IF($E121="","",INDEX('Input Transaksi'!$A:$A,$E121))</f>
        <v/>
      </c>
      <c r="B121" s="5">
        <f>IF($E121="","",INDEX('Input Transaksi'!$D:$D,$E121))</f>
        <v/>
      </c>
      <c r="C121">
        <f>IF($E121="","",INDEX('Input Transaksi'!$E:$E,$E121))</f>
        <v/>
      </c>
      <c r="D121" s="5">
        <f>IF($E121="","",INDEX('Input Transaksi'!$F:$F,$E121))</f>
        <v/>
      </c>
      <c r="E121">
        <f>IFERROR(AGGREGATE(15,6,ROW('Input Transaksi'!$B$5:$B$5000)/('Input Transaksi'!$B$5:$B$5000="KLIN WASH"),ROWS($E$5:E121)),"")</f>
        <v/>
      </c>
      <c r="F121" s="5" t="n"/>
    </row>
    <row r="122">
      <c r="A122" s="10">
        <f>IF($E122="","",INDEX('Input Transaksi'!$A:$A,$E122))</f>
        <v/>
      </c>
      <c r="B122" s="5">
        <f>IF($E122="","",INDEX('Input Transaksi'!$D:$D,$E122))</f>
        <v/>
      </c>
      <c r="C122">
        <f>IF($E122="","",INDEX('Input Transaksi'!$E:$E,$E122))</f>
        <v/>
      </c>
      <c r="D122" s="5">
        <f>IF($E122="","",INDEX('Input Transaksi'!$F:$F,$E122))</f>
        <v/>
      </c>
      <c r="E122">
        <f>IFERROR(AGGREGATE(15,6,ROW('Input Transaksi'!$B$5:$B$5000)/('Input Transaksi'!$B$5:$B$5000="KLIN WASH"),ROWS($E$5:E122)),"")</f>
        <v/>
      </c>
      <c r="F122" s="5" t="n"/>
    </row>
    <row r="123">
      <c r="A123" s="10">
        <f>IF($E123="","",INDEX('Input Transaksi'!$A:$A,$E123))</f>
        <v/>
      </c>
      <c r="B123" s="5">
        <f>IF($E123="","",INDEX('Input Transaksi'!$D:$D,$E123))</f>
        <v/>
      </c>
      <c r="C123">
        <f>IF($E123="","",INDEX('Input Transaksi'!$E:$E,$E123))</f>
        <v/>
      </c>
      <c r="D123" s="5">
        <f>IF($E123="","",INDEX('Input Transaksi'!$F:$F,$E123))</f>
        <v/>
      </c>
      <c r="E123">
        <f>IFERROR(AGGREGATE(15,6,ROW('Input Transaksi'!$B$5:$B$5000)/('Input Transaksi'!$B$5:$B$5000="KLIN WASH"),ROWS($E$5:E123)),"")</f>
        <v/>
      </c>
      <c r="F123" s="5" t="n"/>
    </row>
    <row r="124">
      <c r="A124" s="10">
        <f>IF($E124="","",INDEX('Input Transaksi'!$A:$A,$E124))</f>
        <v/>
      </c>
      <c r="B124" s="5">
        <f>IF($E124="","",INDEX('Input Transaksi'!$D:$D,$E124))</f>
        <v/>
      </c>
      <c r="C124">
        <f>IF($E124="","",INDEX('Input Transaksi'!$E:$E,$E124))</f>
        <v/>
      </c>
      <c r="D124" s="5">
        <f>IF($E124="","",INDEX('Input Transaksi'!$F:$F,$E124))</f>
        <v/>
      </c>
      <c r="E124">
        <f>IFERROR(AGGREGATE(15,6,ROW('Input Transaksi'!$B$5:$B$5000)/('Input Transaksi'!$B$5:$B$5000="KLIN WASH"),ROWS($E$5:E124)),"")</f>
        <v/>
      </c>
      <c r="F124" s="5" t="n"/>
    </row>
    <row r="125">
      <c r="A125" s="10">
        <f>IF($E125="","",INDEX('Input Transaksi'!$A:$A,$E125))</f>
        <v/>
      </c>
      <c r="B125" s="5">
        <f>IF($E125="","",INDEX('Input Transaksi'!$D:$D,$E125))</f>
        <v/>
      </c>
      <c r="C125">
        <f>IF($E125="","",INDEX('Input Transaksi'!$E:$E,$E125))</f>
        <v/>
      </c>
      <c r="D125" s="5">
        <f>IF($E125="","",INDEX('Input Transaksi'!$F:$F,$E125))</f>
        <v/>
      </c>
      <c r="E125">
        <f>IFERROR(AGGREGATE(15,6,ROW('Input Transaksi'!$B$5:$B$5000)/('Input Transaksi'!$B$5:$B$5000="KLIN WASH"),ROWS($E$5:E125)),"")</f>
        <v/>
      </c>
      <c r="F125" s="5" t="n"/>
    </row>
    <row r="126">
      <c r="A126" s="10">
        <f>IF($E126="","",INDEX('Input Transaksi'!$A:$A,$E126))</f>
        <v/>
      </c>
      <c r="B126" s="5">
        <f>IF($E126="","",INDEX('Input Transaksi'!$D:$D,$E126))</f>
        <v/>
      </c>
      <c r="C126">
        <f>IF($E126="","",INDEX('Input Transaksi'!$E:$E,$E126))</f>
        <v/>
      </c>
      <c r="D126" s="5">
        <f>IF($E126="","",INDEX('Input Transaksi'!$F:$F,$E126))</f>
        <v/>
      </c>
      <c r="E126">
        <f>IFERROR(AGGREGATE(15,6,ROW('Input Transaksi'!$B$5:$B$5000)/('Input Transaksi'!$B$5:$B$5000="KLIN WASH"),ROWS($E$5:E126)),"")</f>
        <v/>
      </c>
      <c r="F126" s="5" t="n"/>
    </row>
    <row r="127">
      <c r="A127" s="10">
        <f>IF($E127="","",INDEX('Input Transaksi'!$A:$A,$E127))</f>
        <v/>
      </c>
      <c r="B127" s="5">
        <f>IF($E127="","",INDEX('Input Transaksi'!$D:$D,$E127))</f>
        <v/>
      </c>
      <c r="C127">
        <f>IF($E127="","",INDEX('Input Transaksi'!$E:$E,$E127))</f>
        <v/>
      </c>
      <c r="D127" s="5">
        <f>IF($E127="","",INDEX('Input Transaksi'!$F:$F,$E127))</f>
        <v/>
      </c>
      <c r="E127">
        <f>IFERROR(AGGREGATE(15,6,ROW('Input Transaksi'!$B$5:$B$5000)/('Input Transaksi'!$B$5:$B$5000="KLIN WASH"),ROWS($E$5:E127)),"")</f>
        <v/>
      </c>
      <c r="F127" s="5" t="n"/>
    </row>
    <row r="128">
      <c r="A128" s="10">
        <f>IF($E128="","",INDEX('Input Transaksi'!$A:$A,$E128))</f>
        <v/>
      </c>
      <c r="B128" s="5">
        <f>IF($E128="","",INDEX('Input Transaksi'!$D:$D,$E128))</f>
        <v/>
      </c>
      <c r="C128">
        <f>IF($E128="","",INDEX('Input Transaksi'!$E:$E,$E128))</f>
        <v/>
      </c>
      <c r="D128" s="5">
        <f>IF($E128="","",INDEX('Input Transaksi'!$F:$F,$E128))</f>
        <v/>
      </c>
      <c r="E128">
        <f>IFERROR(AGGREGATE(15,6,ROW('Input Transaksi'!$B$5:$B$5000)/('Input Transaksi'!$B$5:$B$5000="KLIN WASH"),ROWS($E$5:E128)),"")</f>
        <v/>
      </c>
      <c r="F128" s="5" t="n"/>
    </row>
    <row r="129">
      <c r="A129" s="10">
        <f>IF($E129="","",INDEX('Input Transaksi'!$A:$A,$E129))</f>
        <v/>
      </c>
      <c r="B129" s="5">
        <f>IF($E129="","",INDEX('Input Transaksi'!$D:$D,$E129))</f>
        <v/>
      </c>
      <c r="C129">
        <f>IF($E129="","",INDEX('Input Transaksi'!$E:$E,$E129))</f>
        <v/>
      </c>
      <c r="D129" s="5">
        <f>IF($E129="","",INDEX('Input Transaksi'!$F:$F,$E129))</f>
        <v/>
      </c>
      <c r="E129">
        <f>IFERROR(AGGREGATE(15,6,ROW('Input Transaksi'!$B$5:$B$5000)/('Input Transaksi'!$B$5:$B$5000="KLIN WASH"),ROWS($E$5:E129)),"")</f>
        <v/>
      </c>
      <c r="F129" s="5" t="n"/>
    </row>
    <row r="130">
      <c r="A130" s="10">
        <f>IF($E130="","",INDEX('Input Transaksi'!$A:$A,$E130))</f>
        <v/>
      </c>
      <c r="B130" s="5">
        <f>IF($E130="","",INDEX('Input Transaksi'!$D:$D,$E130))</f>
        <v/>
      </c>
      <c r="C130">
        <f>IF($E130="","",INDEX('Input Transaksi'!$E:$E,$E130))</f>
        <v/>
      </c>
      <c r="D130" s="5">
        <f>IF($E130="","",INDEX('Input Transaksi'!$F:$F,$E130))</f>
        <v/>
      </c>
      <c r="E130">
        <f>IFERROR(AGGREGATE(15,6,ROW('Input Transaksi'!$B$5:$B$5000)/('Input Transaksi'!$B$5:$B$5000="KLIN WASH"),ROWS($E$5:E130)),"")</f>
        <v/>
      </c>
      <c r="F130" s="5" t="n"/>
    </row>
    <row r="131">
      <c r="A131" s="10">
        <f>IF($E131="","",INDEX('Input Transaksi'!$A:$A,$E131))</f>
        <v/>
      </c>
      <c r="B131" s="5">
        <f>IF($E131="","",INDEX('Input Transaksi'!$D:$D,$E131))</f>
        <v/>
      </c>
      <c r="C131">
        <f>IF($E131="","",INDEX('Input Transaksi'!$E:$E,$E131))</f>
        <v/>
      </c>
      <c r="D131" s="5">
        <f>IF($E131="","",INDEX('Input Transaksi'!$F:$F,$E131))</f>
        <v/>
      </c>
      <c r="E131">
        <f>IFERROR(AGGREGATE(15,6,ROW('Input Transaksi'!$B$5:$B$5000)/('Input Transaksi'!$B$5:$B$5000="KLIN WASH"),ROWS($E$5:E131)),"")</f>
        <v/>
      </c>
      <c r="F131" s="5" t="n"/>
    </row>
    <row r="132">
      <c r="A132" s="10">
        <f>IF($E132="","",INDEX('Input Transaksi'!$A:$A,$E132))</f>
        <v/>
      </c>
      <c r="B132" s="5">
        <f>IF($E132="","",INDEX('Input Transaksi'!$D:$D,$E132))</f>
        <v/>
      </c>
      <c r="C132">
        <f>IF($E132="","",INDEX('Input Transaksi'!$E:$E,$E132))</f>
        <v/>
      </c>
      <c r="D132" s="5">
        <f>IF($E132="","",INDEX('Input Transaksi'!$F:$F,$E132))</f>
        <v/>
      </c>
      <c r="E132">
        <f>IFERROR(AGGREGATE(15,6,ROW('Input Transaksi'!$B$5:$B$5000)/('Input Transaksi'!$B$5:$B$5000="KLIN WASH"),ROWS($E$5:E132)),"")</f>
        <v/>
      </c>
      <c r="F132" s="5" t="n"/>
    </row>
    <row r="133">
      <c r="A133" s="10">
        <f>IF($E133="","",INDEX('Input Transaksi'!$A:$A,$E133))</f>
        <v/>
      </c>
      <c r="B133" s="5">
        <f>IF($E133="","",INDEX('Input Transaksi'!$D:$D,$E133))</f>
        <v/>
      </c>
      <c r="C133">
        <f>IF($E133="","",INDEX('Input Transaksi'!$E:$E,$E133))</f>
        <v/>
      </c>
      <c r="D133" s="5">
        <f>IF($E133="","",INDEX('Input Transaksi'!$F:$F,$E133))</f>
        <v/>
      </c>
      <c r="E133">
        <f>IFERROR(AGGREGATE(15,6,ROW('Input Transaksi'!$B$5:$B$5000)/('Input Transaksi'!$B$5:$B$5000="KLIN WASH"),ROWS($E$5:E133)),"")</f>
        <v/>
      </c>
      <c r="F133" s="5" t="n"/>
    </row>
    <row r="134">
      <c r="A134" s="10">
        <f>IF($E134="","",INDEX('Input Transaksi'!$A:$A,$E134))</f>
        <v/>
      </c>
      <c r="B134" s="5">
        <f>IF($E134="","",INDEX('Input Transaksi'!$D:$D,$E134))</f>
        <v/>
      </c>
      <c r="C134">
        <f>IF($E134="","",INDEX('Input Transaksi'!$E:$E,$E134))</f>
        <v/>
      </c>
      <c r="D134" s="5">
        <f>IF($E134="","",INDEX('Input Transaksi'!$F:$F,$E134))</f>
        <v/>
      </c>
      <c r="E134">
        <f>IFERROR(AGGREGATE(15,6,ROW('Input Transaksi'!$B$5:$B$5000)/('Input Transaksi'!$B$5:$B$5000="KLIN WASH"),ROWS($E$5:E134)),"")</f>
        <v/>
      </c>
      <c r="F134" s="5" t="n"/>
    </row>
    <row r="135">
      <c r="A135" s="10">
        <f>IF($E135="","",INDEX('Input Transaksi'!$A:$A,$E135))</f>
        <v/>
      </c>
      <c r="B135" s="5">
        <f>IF($E135="","",INDEX('Input Transaksi'!$D:$D,$E135))</f>
        <v/>
      </c>
      <c r="C135">
        <f>IF($E135="","",INDEX('Input Transaksi'!$E:$E,$E135))</f>
        <v/>
      </c>
      <c r="D135" s="5">
        <f>IF($E135="","",INDEX('Input Transaksi'!$F:$F,$E135))</f>
        <v/>
      </c>
      <c r="E135">
        <f>IFERROR(AGGREGATE(15,6,ROW('Input Transaksi'!$B$5:$B$5000)/('Input Transaksi'!$B$5:$B$5000="KLIN WASH"),ROWS($E$5:E135)),"")</f>
        <v/>
      </c>
      <c r="F135" s="5" t="n"/>
    </row>
    <row r="136">
      <c r="A136" s="10">
        <f>IF($E136="","",INDEX('Input Transaksi'!$A:$A,$E136))</f>
        <v/>
      </c>
      <c r="B136" s="5">
        <f>IF($E136="","",INDEX('Input Transaksi'!$D:$D,$E136))</f>
        <v/>
      </c>
      <c r="C136">
        <f>IF($E136="","",INDEX('Input Transaksi'!$E:$E,$E136))</f>
        <v/>
      </c>
      <c r="D136" s="5">
        <f>IF($E136="","",INDEX('Input Transaksi'!$F:$F,$E136))</f>
        <v/>
      </c>
      <c r="E136">
        <f>IFERROR(AGGREGATE(15,6,ROW('Input Transaksi'!$B$5:$B$5000)/('Input Transaksi'!$B$5:$B$5000="KLIN WASH"),ROWS($E$5:E136)),"")</f>
        <v/>
      </c>
      <c r="F136" s="5" t="n"/>
    </row>
    <row r="137">
      <c r="A137" s="10">
        <f>IF($E137="","",INDEX('Input Transaksi'!$A:$A,$E137))</f>
        <v/>
      </c>
      <c r="B137" s="5">
        <f>IF($E137="","",INDEX('Input Transaksi'!$D:$D,$E137))</f>
        <v/>
      </c>
      <c r="C137">
        <f>IF($E137="","",INDEX('Input Transaksi'!$E:$E,$E137))</f>
        <v/>
      </c>
      <c r="D137" s="5">
        <f>IF($E137="","",INDEX('Input Transaksi'!$F:$F,$E137))</f>
        <v/>
      </c>
      <c r="E137">
        <f>IFERROR(AGGREGATE(15,6,ROW('Input Transaksi'!$B$5:$B$5000)/('Input Transaksi'!$B$5:$B$5000="KLIN WASH"),ROWS($E$5:E137)),"")</f>
        <v/>
      </c>
      <c r="F137" s="5" t="n"/>
    </row>
    <row r="138">
      <c r="A138" s="10">
        <f>IF($E138="","",INDEX('Input Transaksi'!$A:$A,$E138))</f>
        <v/>
      </c>
      <c r="B138" s="5">
        <f>IF($E138="","",INDEX('Input Transaksi'!$D:$D,$E138))</f>
        <v/>
      </c>
      <c r="C138">
        <f>IF($E138="","",INDEX('Input Transaksi'!$E:$E,$E138))</f>
        <v/>
      </c>
      <c r="D138" s="5">
        <f>IF($E138="","",INDEX('Input Transaksi'!$F:$F,$E138))</f>
        <v/>
      </c>
      <c r="E138">
        <f>IFERROR(AGGREGATE(15,6,ROW('Input Transaksi'!$B$5:$B$5000)/('Input Transaksi'!$B$5:$B$5000="KLIN WASH"),ROWS($E$5:E138)),"")</f>
        <v/>
      </c>
      <c r="F138" s="5" t="n"/>
    </row>
    <row r="139">
      <c r="A139" s="10">
        <f>IF($E139="","",INDEX('Input Transaksi'!$A:$A,$E139))</f>
        <v/>
      </c>
      <c r="B139" s="5">
        <f>IF($E139="","",INDEX('Input Transaksi'!$D:$D,$E139))</f>
        <v/>
      </c>
      <c r="C139">
        <f>IF($E139="","",INDEX('Input Transaksi'!$E:$E,$E139))</f>
        <v/>
      </c>
      <c r="D139" s="5">
        <f>IF($E139="","",INDEX('Input Transaksi'!$F:$F,$E139))</f>
        <v/>
      </c>
      <c r="E139">
        <f>IFERROR(AGGREGATE(15,6,ROW('Input Transaksi'!$B$5:$B$5000)/('Input Transaksi'!$B$5:$B$5000="KLIN WASH"),ROWS($E$5:E139)),"")</f>
        <v/>
      </c>
      <c r="F139" s="5" t="n"/>
    </row>
    <row r="140">
      <c r="A140" s="10">
        <f>IF($E140="","",INDEX('Input Transaksi'!$A:$A,$E140))</f>
        <v/>
      </c>
      <c r="B140" s="5">
        <f>IF($E140="","",INDEX('Input Transaksi'!$D:$D,$E140))</f>
        <v/>
      </c>
      <c r="C140">
        <f>IF($E140="","",INDEX('Input Transaksi'!$E:$E,$E140))</f>
        <v/>
      </c>
      <c r="D140" s="5">
        <f>IF($E140="","",INDEX('Input Transaksi'!$F:$F,$E140))</f>
        <v/>
      </c>
      <c r="E140">
        <f>IFERROR(AGGREGATE(15,6,ROW('Input Transaksi'!$B$5:$B$5000)/('Input Transaksi'!$B$5:$B$5000="KLIN WASH"),ROWS($E$5:E140)),"")</f>
        <v/>
      </c>
      <c r="F140" s="5" t="n"/>
    </row>
    <row r="141">
      <c r="A141" s="10">
        <f>IF($E141="","",INDEX('Input Transaksi'!$A:$A,$E141))</f>
        <v/>
      </c>
      <c r="B141" s="5">
        <f>IF($E141="","",INDEX('Input Transaksi'!$D:$D,$E141))</f>
        <v/>
      </c>
      <c r="C141">
        <f>IF($E141="","",INDEX('Input Transaksi'!$E:$E,$E141))</f>
        <v/>
      </c>
      <c r="D141" s="5">
        <f>IF($E141="","",INDEX('Input Transaksi'!$F:$F,$E141))</f>
        <v/>
      </c>
      <c r="E141">
        <f>IFERROR(AGGREGATE(15,6,ROW('Input Transaksi'!$B$5:$B$5000)/('Input Transaksi'!$B$5:$B$5000="KLIN WASH"),ROWS($E$5:E141)),"")</f>
        <v/>
      </c>
      <c r="F141" s="5" t="n"/>
    </row>
    <row r="142">
      <c r="A142" s="10">
        <f>IF($E142="","",INDEX('Input Transaksi'!$A:$A,$E142))</f>
        <v/>
      </c>
      <c r="B142" s="5">
        <f>IF($E142="","",INDEX('Input Transaksi'!$D:$D,$E142))</f>
        <v/>
      </c>
      <c r="C142">
        <f>IF($E142="","",INDEX('Input Transaksi'!$E:$E,$E142))</f>
        <v/>
      </c>
      <c r="D142" s="5">
        <f>IF($E142="","",INDEX('Input Transaksi'!$F:$F,$E142))</f>
        <v/>
      </c>
      <c r="E142">
        <f>IFERROR(AGGREGATE(15,6,ROW('Input Transaksi'!$B$5:$B$5000)/('Input Transaksi'!$B$5:$B$5000="KLIN WASH"),ROWS($E$5:E142)),"")</f>
        <v/>
      </c>
      <c r="F142" s="5" t="n"/>
    </row>
    <row r="143">
      <c r="A143" s="10">
        <f>IF($E143="","",INDEX('Input Transaksi'!$A:$A,$E143))</f>
        <v/>
      </c>
      <c r="B143" s="5">
        <f>IF($E143="","",INDEX('Input Transaksi'!$D:$D,$E143))</f>
        <v/>
      </c>
      <c r="C143">
        <f>IF($E143="","",INDEX('Input Transaksi'!$E:$E,$E143))</f>
        <v/>
      </c>
      <c r="D143" s="5">
        <f>IF($E143="","",INDEX('Input Transaksi'!$F:$F,$E143))</f>
        <v/>
      </c>
      <c r="E143">
        <f>IFERROR(AGGREGATE(15,6,ROW('Input Transaksi'!$B$5:$B$5000)/('Input Transaksi'!$B$5:$B$5000="KLIN WASH"),ROWS($E$5:E143)),"")</f>
        <v/>
      </c>
      <c r="F143" s="5" t="n"/>
    </row>
    <row r="144">
      <c r="A144" s="10">
        <f>IF($E144="","",INDEX('Input Transaksi'!$A:$A,$E144))</f>
        <v/>
      </c>
      <c r="B144" s="5">
        <f>IF($E144="","",INDEX('Input Transaksi'!$D:$D,$E144))</f>
        <v/>
      </c>
      <c r="C144">
        <f>IF($E144="","",INDEX('Input Transaksi'!$E:$E,$E144))</f>
        <v/>
      </c>
      <c r="D144" s="5">
        <f>IF($E144="","",INDEX('Input Transaksi'!$F:$F,$E144))</f>
        <v/>
      </c>
      <c r="E144">
        <f>IFERROR(AGGREGATE(15,6,ROW('Input Transaksi'!$B$5:$B$5000)/('Input Transaksi'!$B$5:$B$5000="KLIN WASH"),ROWS($E$5:E144)),"")</f>
        <v/>
      </c>
      <c r="F144" s="5" t="n"/>
    </row>
    <row r="145">
      <c r="A145" s="10">
        <f>IF($E145="","",INDEX('Input Transaksi'!$A:$A,$E145))</f>
        <v/>
      </c>
      <c r="B145" s="5">
        <f>IF($E145="","",INDEX('Input Transaksi'!$D:$D,$E145))</f>
        <v/>
      </c>
      <c r="C145">
        <f>IF($E145="","",INDEX('Input Transaksi'!$E:$E,$E145))</f>
        <v/>
      </c>
      <c r="D145" s="5">
        <f>IF($E145="","",INDEX('Input Transaksi'!$F:$F,$E145))</f>
        <v/>
      </c>
      <c r="E145">
        <f>IFERROR(AGGREGATE(15,6,ROW('Input Transaksi'!$B$5:$B$5000)/('Input Transaksi'!$B$5:$B$5000="KLIN WASH"),ROWS($E$5:E145)),"")</f>
        <v/>
      </c>
      <c r="F145" s="5" t="n"/>
    </row>
    <row r="146">
      <c r="A146" s="10">
        <f>IF($E146="","",INDEX('Input Transaksi'!$A:$A,$E146))</f>
        <v/>
      </c>
      <c r="B146" s="5">
        <f>IF($E146="","",INDEX('Input Transaksi'!$D:$D,$E146))</f>
        <v/>
      </c>
      <c r="C146">
        <f>IF($E146="","",INDEX('Input Transaksi'!$E:$E,$E146))</f>
        <v/>
      </c>
      <c r="D146" s="5">
        <f>IF($E146="","",INDEX('Input Transaksi'!$F:$F,$E146))</f>
        <v/>
      </c>
      <c r="E146">
        <f>IFERROR(AGGREGATE(15,6,ROW('Input Transaksi'!$B$5:$B$5000)/('Input Transaksi'!$B$5:$B$5000="KLIN WASH"),ROWS($E$5:E146)),"")</f>
        <v/>
      </c>
      <c r="F146" s="5" t="n"/>
    </row>
    <row r="147">
      <c r="A147" s="10">
        <f>IF($E147="","",INDEX('Input Transaksi'!$A:$A,$E147))</f>
        <v/>
      </c>
      <c r="B147" s="5">
        <f>IF($E147="","",INDEX('Input Transaksi'!$D:$D,$E147))</f>
        <v/>
      </c>
      <c r="C147">
        <f>IF($E147="","",INDEX('Input Transaksi'!$E:$E,$E147))</f>
        <v/>
      </c>
      <c r="D147" s="5">
        <f>IF($E147="","",INDEX('Input Transaksi'!$F:$F,$E147))</f>
        <v/>
      </c>
      <c r="E147">
        <f>IFERROR(AGGREGATE(15,6,ROW('Input Transaksi'!$B$5:$B$5000)/('Input Transaksi'!$B$5:$B$5000="KLIN WASH"),ROWS($E$5:E147)),"")</f>
        <v/>
      </c>
      <c r="F147" s="5" t="n"/>
    </row>
    <row r="148">
      <c r="A148" s="10">
        <f>IF($E148="","",INDEX('Input Transaksi'!$A:$A,$E148))</f>
        <v/>
      </c>
      <c r="B148" s="5">
        <f>IF($E148="","",INDEX('Input Transaksi'!$D:$D,$E148))</f>
        <v/>
      </c>
      <c r="C148">
        <f>IF($E148="","",INDEX('Input Transaksi'!$E:$E,$E148))</f>
        <v/>
      </c>
      <c r="D148" s="5">
        <f>IF($E148="","",INDEX('Input Transaksi'!$F:$F,$E148))</f>
        <v/>
      </c>
      <c r="E148">
        <f>IFERROR(AGGREGATE(15,6,ROW('Input Transaksi'!$B$5:$B$5000)/('Input Transaksi'!$B$5:$B$5000="KLIN WASH"),ROWS($E$5:E148)),"")</f>
        <v/>
      </c>
      <c r="F148" s="5" t="n"/>
    </row>
    <row r="149">
      <c r="A149" s="10">
        <f>IF($E149="","",INDEX('Input Transaksi'!$A:$A,$E149))</f>
        <v/>
      </c>
      <c r="B149" s="5">
        <f>IF($E149="","",INDEX('Input Transaksi'!$D:$D,$E149))</f>
        <v/>
      </c>
      <c r="C149">
        <f>IF($E149="","",INDEX('Input Transaksi'!$E:$E,$E149))</f>
        <v/>
      </c>
      <c r="D149" s="5">
        <f>IF($E149="","",INDEX('Input Transaksi'!$F:$F,$E149))</f>
        <v/>
      </c>
      <c r="E149">
        <f>IFERROR(AGGREGATE(15,6,ROW('Input Transaksi'!$B$5:$B$5000)/('Input Transaksi'!$B$5:$B$5000="KLIN WASH"),ROWS($E$5:E149)),"")</f>
        <v/>
      </c>
      <c r="F149" s="5" t="n"/>
    </row>
    <row r="150">
      <c r="A150" s="10">
        <f>IF($E150="","",INDEX('Input Transaksi'!$A:$A,$E150))</f>
        <v/>
      </c>
      <c r="B150" s="5">
        <f>IF($E150="","",INDEX('Input Transaksi'!$D:$D,$E150))</f>
        <v/>
      </c>
      <c r="C150">
        <f>IF($E150="","",INDEX('Input Transaksi'!$E:$E,$E150))</f>
        <v/>
      </c>
      <c r="D150" s="5">
        <f>IF($E150="","",INDEX('Input Transaksi'!$F:$F,$E150))</f>
        <v/>
      </c>
      <c r="E150">
        <f>IFERROR(AGGREGATE(15,6,ROW('Input Transaksi'!$B$5:$B$5000)/('Input Transaksi'!$B$5:$B$5000="KLIN WASH"),ROWS($E$5:E150)),"")</f>
        <v/>
      </c>
      <c r="F150" s="5" t="n"/>
    </row>
    <row r="151">
      <c r="A151" s="10">
        <f>IF($E151="","",INDEX('Input Transaksi'!$A:$A,$E151))</f>
        <v/>
      </c>
      <c r="B151" s="5">
        <f>IF($E151="","",INDEX('Input Transaksi'!$D:$D,$E151))</f>
        <v/>
      </c>
      <c r="C151">
        <f>IF($E151="","",INDEX('Input Transaksi'!$E:$E,$E151))</f>
        <v/>
      </c>
      <c r="D151" s="5">
        <f>IF($E151="","",INDEX('Input Transaksi'!$F:$F,$E151))</f>
        <v/>
      </c>
      <c r="E151">
        <f>IFERROR(AGGREGATE(15,6,ROW('Input Transaksi'!$B$5:$B$5000)/('Input Transaksi'!$B$5:$B$5000="KLIN WASH"),ROWS($E$5:E151)),"")</f>
        <v/>
      </c>
      <c r="F151" s="5" t="n"/>
    </row>
    <row r="152">
      <c r="A152" s="10">
        <f>IF($E152="","",INDEX('Input Transaksi'!$A:$A,$E152))</f>
        <v/>
      </c>
      <c r="B152" s="5">
        <f>IF($E152="","",INDEX('Input Transaksi'!$D:$D,$E152))</f>
        <v/>
      </c>
      <c r="C152">
        <f>IF($E152="","",INDEX('Input Transaksi'!$E:$E,$E152))</f>
        <v/>
      </c>
      <c r="D152" s="5">
        <f>IF($E152="","",INDEX('Input Transaksi'!$F:$F,$E152))</f>
        <v/>
      </c>
      <c r="E152">
        <f>IFERROR(AGGREGATE(15,6,ROW('Input Transaksi'!$B$5:$B$5000)/('Input Transaksi'!$B$5:$B$5000="KLIN WASH"),ROWS($E$5:E152)),"")</f>
        <v/>
      </c>
      <c r="F152" s="5" t="n"/>
    </row>
    <row r="153">
      <c r="A153" s="10">
        <f>IF($E153="","",INDEX('Input Transaksi'!$A:$A,$E153))</f>
        <v/>
      </c>
      <c r="B153" s="5">
        <f>IF($E153="","",INDEX('Input Transaksi'!$D:$D,$E153))</f>
        <v/>
      </c>
      <c r="C153">
        <f>IF($E153="","",INDEX('Input Transaksi'!$E:$E,$E153))</f>
        <v/>
      </c>
      <c r="D153" s="5">
        <f>IF($E153="","",INDEX('Input Transaksi'!$F:$F,$E153))</f>
        <v/>
      </c>
      <c r="E153">
        <f>IFERROR(AGGREGATE(15,6,ROW('Input Transaksi'!$B$5:$B$5000)/('Input Transaksi'!$B$5:$B$5000="KLIN WASH"),ROWS($E$5:E153)),"")</f>
        <v/>
      </c>
      <c r="F153" s="5" t="n"/>
    </row>
    <row r="154">
      <c r="A154" s="10">
        <f>IF($E154="","",INDEX('Input Transaksi'!$A:$A,$E154))</f>
        <v/>
      </c>
      <c r="B154" s="5">
        <f>IF($E154="","",INDEX('Input Transaksi'!$D:$D,$E154))</f>
        <v/>
      </c>
      <c r="C154">
        <f>IF($E154="","",INDEX('Input Transaksi'!$E:$E,$E154))</f>
        <v/>
      </c>
      <c r="D154" s="5">
        <f>IF($E154="","",INDEX('Input Transaksi'!$F:$F,$E154))</f>
        <v/>
      </c>
      <c r="E154">
        <f>IFERROR(AGGREGATE(15,6,ROW('Input Transaksi'!$B$5:$B$5000)/('Input Transaksi'!$B$5:$B$5000="KLIN WASH"),ROWS($E$5:E154)),"")</f>
        <v/>
      </c>
      <c r="F154" s="5" t="n"/>
    </row>
    <row r="155">
      <c r="A155" s="10">
        <f>IF($E155="","",INDEX('Input Transaksi'!$A:$A,$E155))</f>
        <v/>
      </c>
      <c r="B155" s="5">
        <f>IF($E155="","",INDEX('Input Transaksi'!$D:$D,$E155))</f>
        <v/>
      </c>
      <c r="C155">
        <f>IF($E155="","",INDEX('Input Transaksi'!$E:$E,$E155))</f>
        <v/>
      </c>
      <c r="D155" s="5">
        <f>IF($E155="","",INDEX('Input Transaksi'!$F:$F,$E155))</f>
        <v/>
      </c>
      <c r="E155">
        <f>IFERROR(AGGREGATE(15,6,ROW('Input Transaksi'!$B$5:$B$5000)/('Input Transaksi'!$B$5:$B$5000="KLIN WASH"),ROWS($E$5:E155)),"")</f>
        <v/>
      </c>
      <c r="F155" s="5" t="n"/>
    </row>
    <row r="156">
      <c r="A156" s="10">
        <f>IF($E156="","",INDEX('Input Transaksi'!$A:$A,$E156))</f>
        <v/>
      </c>
      <c r="B156" s="5">
        <f>IF($E156="","",INDEX('Input Transaksi'!$D:$D,$E156))</f>
        <v/>
      </c>
      <c r="C156">
        <f>IF($E156="","",INDEX('Input Transaksi'!$E:$E,$E156))</f>
        <v/>
      </c>
      <c r="D156" s="5">
        <f>IF($E156="","",INDEX('Input Transaksi'!$F:$F,$E156))</f>
        <v/>
      </c>
      <c r="E156">
        <f>IFERROR(AGGREGATE(15,6,ROW('Input Transaksi'!$B$5:$B$5000)/('Input Transaksi'!$B$5:$B$5000="KLIN WASH"),ROWS($E$5:E156)),"")</f>
        <v/>
      </c>
      <c r="F156" s="5" t="n"/>
    </row>
    <row r="157">
      <c r="A157" s="10">
        <f>IF($E157="","",INDEX('Input Transaksi'!$A:$A,$E157))</f>
        <v/>
      </c>
      <c r="B157" s="5">
        <f>IF($E157="","",INDEX('Input Transaksi'!$D:$D,$E157))</f>
        <v/>
      </c>
      <c r="C157">
        <f>IF($E157="","",INDEX('Input Transaksi'!$E:$E,$E157))</f>
        <v/>
      </c>
      <c r="D157" s="5">
        <f>IF($E157="","",INDEX('Input Transaksi'!$F:$F,$E157))</f>
        <v/>
      </c>
      <c r="E157">
        <f>IFERROR(AGGREGATE(15,6,ROW('Input Transaksi'!$B$5:$B$5000)/('Input Transaksi'!$B$5:$B$5000="KLIN WASH"),ROWS($E$5:E157)),"")</f>
        <v/>
      </c>
      <c r="F157" s="5" t="n"/>
    </row>
    <row r="158">
      <c r="A158" s="10">
        <f>IF($E158="","",INDEX('Input Transaksi'!$A:$A,$E158))</f>
        <v/>
      </c>
      <c r="B158" s="5">
        <f>IF($E158="","",INDEX('Input Transaksi'!$D:$D,$E158))</f>
        <v/>
      </c>
      <c r="C158">
        <f>IF($E158="","",INDEX('Input Transaksi'!$E:$E,$E158))</f>
        <v/>
      </c>
      <c r="D158" s="5">
        <f>IF($E158="","",INDEX('Input Transaksi'!$F:$F,$E158))</f>
        <v/>
      </c>
      <c r="E158">
        <f>IFERROR(AGGREGATE(15,6,ROW('Input Transaksi'!$B$5:$B$5000)/('Input Transaksi'!$B$5:$B$5000="KLIN WASH"),ROWS($E$5:E158)),"")</f>
        <v/>
      </c>
      <c r="F158" s="5" t="n"/>
    </row>
    <row r="159">
      <c r="A159" s="10">
        <f>IF($E159="","",INDEX('Input Transaksi'!$A:$A,$E159))</f>
        <v/>
      </c>
      <c r="B159" s="5">
        <f>IF($E159="","",INDEX('Input Transaksi'!$D:$D,$E159))</f>
        <v/>
      </c>
      <c r="C159">
        <f>IF($E159="","",INDEX('Input Transaksi'!$E:$E,$E159))</f>
        <v/>
      </c>
      <c r="D159" s="5">
        <f>IF($E159="","",INDEX('Input Transaksi'!$F:$F,$E159))</f>
        <v/>
      </c>
      <c r="E159">
        <f>IFERROR(AGGREGATE(15,6,ROW('Input Transaksi'!$B$5:$B$5000)/('Input Transaksi'!$B$5:$B$5000="KLIN WASH"),ROWS($E$5:E159)),"")</f>
        <v/>
      </c>
      <c r="F159" s="5" t="n"/>
    </row>
    <row r="160">
      <c r="A160" s="10">
        <f>IF($E160="","",INDEX('Input Transaksi'!$A:$A,$E160))</f>
        <v/>
      </c>
      <c r="B160" s="5">
        <f>IF($E160="","",INDEX('Input Transaksi'!$D:$D,$E160))</f>
        <v/>
      </c>
      <c r="C160">
        <f>IF($E160="","",INDEX('Input Transaksi'!$E:$E,$E160))</f>
        <v/>
      </c>
      <c r="D160" s="5">
        <f>IF($E160="","",INDEX('Input Transaksi'!$F:$F,$E160))</f>
        <v/>
      </c>
      <c r="E160">
        <f>IFERROR(AGGREGATE(15,6,ROW('Input Transaksi'!$B$5:$B$5000)/('Input Transaksi'!$B$5:$B$5000="KLIN WASH"),ROWS($E$5:E160)),"")</f>
        <v/>
      </c>
      <c r="F160" s="5" t="n"/>
    </row>
    <row r="161">
      <c r="A161" s="10">
        <f>IF($E161="","",INDEX('Input Transaksi'!$A:$A,$E161))</f>
        <v/>
      </c>
      <c r="B161" s="5">
        <f>IF($E161="","",INDEX('Input Transaksi'!$D:$D,$E161))</f>
        <v/>
      </c>
      <c r="C161">
        <f>IF($E161="","",INDEX('Input Transaksi'!$E:$E,$E161))</f>
        <v/>
      </c>
      <c r="D161" s="5">
        <f>IF($E161="","",INDEX('Input Transaksi'!$F:$F,$E161))</f>
        <v/>
      </c>
      <c r="E161">
        <f>IFERROR(AGGREGATE(15,6,ROW('Input Transaksi'!$B$5:$B$5000)/('Input Transaksi'!$B$5:$B$5000="KLIN WASH"),ROWS($E$5:E161)),"")</f>
        <v/>
      </c>
      <c r="F161" s="5" t="n"/>
    </row>
    <row r="162">
      <c r="A162" s="10">
        <f>IF($E162="","",INDEX('Input Transaksi'!$A:$A,$E162))</f>
        <v/>
      </c>
      <c r="B162" s="5">
        <f>IF($E162="","",INDEX('Input Transaksi'!$D:$D,$E162))</f>
        <v/>
      </c>
      <c r="C162">
        <f>IF($E162="","",INDEX('Input Transaksi'!$E:$E,$E162))</f>
        <v/>
      </c>
      <c r="D162" s="5">
        <f>IF($E162="","",INDEX('Input Transaksi'!$F:$F,$E162))</f>
        <v/>
      </c>
      <c r="E162">
        <f>IFERROR(AGGREGATE(15,6,ROW('Input Transaksi'!$B$5:$B$5000)/('Input Transaksi'!$B$5:$B$5000="KLIN WASH"),ROWS($E$5:E162)),"")</f>
        <v/>
      </c>
      <c r="F162" s="5" t="n"/>
    </row>
    <row r="163">
      <c r="A163" s="10">
        <f>IF($E163="","",INDEX('Input Transaksi'!$A:$A,$E163))</f>
        <v/>
      </c>
      <c r="B163" s="5">
        <f>IF($E163="","",INDEX('Input Transaksi'!$D:$D,$E163))</f>
        <v/>
      </c>
      <c r="C163">
        <f>IF($E163="","",INDEX('Input Transaksi'!$E:$E,$E163))</f>
        <v/>
      </c>
      <c r="D163" s="5">
        <f>IF($E163="","",INDEX('Input Transaksi'!$F:$F,$E163))</f>
        <v/>
      </c>
      <c r="E163">
        <f>IFERROR(AGGREGATE(15,6,ROW('Input Transaksi'!$B$5:$B$5000)/('Input Transaksi'!$B$5:$B$5000="KLIN WASH"),ROWS($E$5:E163)),"")</f>
        <v/>
      </c>
      <c r="F163" s="5" t="n"/>
    </row>
    <row r="164">
      <c r="A164" s="10">
        <f>IF($E164="","",INDEX('Input Transaksi'!$A:$A,$E164))</f>
        <v/>
      </c>
      <c r="B164" s="5">
        <f>IF($E164="","",INDEX('Input Transaksi'!$D:$D,$E164))</f>
        <v/>
      </c>
      <c r="C164">
        <f>IF($E164="","",INDEX('Input Transaksi'!$E:$E,$E164))</f>
        <v/>
      </c>
      <c r="D164" s="5">
        <f>IF($E164="","",INDEX('Input Transaksi'!$F:$F,$E164))</f>
        <v/>
      </c>
      <c r="E164">
        <f>IFERROR(AGGREGATE(15,6,ROW('Input Transaksi'!$B$5:$B$5000)/('Input Transaksi'!$B$5:$B$5000="KLIN WASH"),ROWS($E$5:E164)),"")</f>
        <v/>
      </c>
      <c r="F164" s="5" t="n"/>
    </row>
    <row r="165">
      <c r="A165" s="10">
        <f>IF($E165="","",INDEX('Input Transaksi'!$A:$A,$E165))</f>
        <v/>
      </c>
      <c r="B165" s="5">
        <f>IF($E165="","",INDEX('Input Transaksi'!$D:$D,$E165))</f>
        <v/>
      </c>
      <c r="C165">
        <f>IF($E165="","",INDEX('Input Transaksi'!$E:$E,$E165))</f>
        <v/>
      </c>
      <c r="D165" s="5">
        <f>IF($E165="","",INDEX('Input Transaksi'!$F:$F,$E165))</f>
        <v/>
      </c>
      <c r="E165">
        <f>IFERROR(AGGREGATE(15,6,ROW('Input Transaksi'!$B$5:$B$5000)/('Input Transaksi'!$B$5:$B$5000="KLIN WASH"),ROWS($E$5:E165)),"")</f>
        <v/>
      </c>
      <c r="F165" s="5" t="n"/>
    </row>
    <row r="166">
      <c r="A166" s="10">
        <f>IF($E166="","",INDEX('Input Transaksi'!$A:$A,$E166))</f>
        <v/>
      </c>
      <c r="B166" s="5">
        <f>IF($E166="","",INDEX('Input Transaksi'!$D:$D,$E166))</f>
        <v/>
      </c>
      <c r="C166">
        <f>IF($E166="","",INDEX('Input Transaksi'!$E:$E,$E166))</f>
        <v/>
      </c>
      <c r="D166" s="5">
        <f>IF($E166="","",INDEX('Input Transaksi'!$F:$F,$E166))</f>
        <v/>
      </c>
      <c r="E166">
        <f>IFERROR(AGGREGATE(15,6,ROW('Input Transaksi'!$B$5:$B$5000)/('Input Transaksi'!$B$5:$B$5000="KLIN WASH"),ROWS($E$5:E166)),"")</f>
        <v/>
      </c>
      <c r="F166" s="5" t="n"/>
    </row>
    <row r="167">
      <c r="A167" s="10">
        <f>IF($E167="","",INDEX('Input Transaksi'!$A:$A,$E167))</f>
        <v/>
      </c>
      <c r="B167" s="5">
        <f>IF($E167="","",INDEX('Input Transaksi'!$D:$D,$E167))</f>
        <v/>
      </c>
      <c r="C167">
        <f>IF($E167="","",INDEX('Input Transaksi'!$E:$E,$E167))</f>
        <v/>
      </c>
      <c r="D167" s="5">
        <f>IF($E167="","",INDEX('Input Transaksi'!$F:$F,$E167))</f>
        <v/>
      </c>
      <c r="E167">
        <f>IFERROR(AGGREGATE(15,6,ROW('Input Transaksi'!$B$5:$B$5000)/('Input Transaksi'!$B$5:$B$5000="KLIN WASH"),ROWS($E$5:E167)),"")</f>
        <v/>
      </c>
      <c r="F167" s="5" t="n"/>
    </row>
    <row r="168">
      <c r="A168" s="10">
        <f>IF($E168="","",INDEX('Input Transaksi'!$A:$A,$E168))</f>
        <v/>
      </c>
      <c r="B168" s="5">
        <f>IF($E168="","",INDEX('Input Transaksi'!$D:$D,$E168))</f>
        <v/>
      </c>
      <c r="C168">
        <f>IF($E168="","",INDEX('Input Transaksi'!$E:$E,$E168))</f>
        <v/>
      </c>
      <c r="D168" s="5">
        <f>IF($E168="","",INDEX('Input Transaksi'!$F:$F,$E168))</f>
        <v/>
      </c>
      <c r="E168">
        <f>IFERROR(AGGREGATE(15,6,ROW('Input Transaksi'!$B$5:$B$5000)/('Input Transaksi'!$B$5:$B$5000="KLIN WASH"),ROWS($E$5:E168)),"")</f>
        <v/>
      </c>
      <c r="F168" s="5" t="n"/>
    </row>
    <row r="169">
      <c r="A169" s="10">
        <f>IF($E169="","",INDEX('Input Transaksi'!$A:$A,$E169))</f>
        <v/>
      </c>
      <c r="B169" s="5">
        <f>IF($E169="","",INDEX('Input Transaksi'!$D:$D,$E169))</f>
        <v/>
      </c>
      <c r="C169">
        <f>IF($E169="","",INDEX('Input Transaksi'!$E:$E,$E169))</f>
        <v/>
      </c>
      <c r="D169" s="5">
        <f>IF($E169="","",INDEX('Input Transaksi'!$F:$F,$E169))</f>
        <v/>
      </c>
      <c r="E169">
        <f>IFERROR(AGGREGATE(15,6,ROW('Input Transaksi'!$B$5:$B$5000)/('Input Transaksi'!$B$5:$B$5000="KLIN WASH"),ROWS($E$5:E169)),"")</f>
        <v/>
      </c>
      <c r="F169" s="5" t="n"/>
    </row>
    <row r="170">
      <c r="A170" s="10">
        <f>IF($E170="","",INDEX('Input Transaksi'!$A:$A,$E170))</f>
        <v/>
      </c>
      <c r="B170" s="5">
        <f>IF($E170="","",INDEX('Input Transaksi'!$D:$D,$E170))</f>
        <v/>
      </c>
      <c r="C170">
        <f>IF($E170="","",INDEX('Input Transaksi'!$E:$E,$E170))</f>
        <v/>
      </c>
      <c r="D170" s="5">
        <f>IF($E170="","",INDEX('Input Transaksi'!$F:$F,$E170))</f>
        <v/>
      </c>
      <c r="E170">
        <f>IFERROR(AGGREGATE(15,6,ROW('Input Transaksi'!$B$5:$B$5000)/('Input Transaksi'!$B$5:$B$5000="KLIN WASH"),ROWS($E$5:E170)),"")</f>
        <v/>
      </c>
      <c r="F170" s="5" t="n"/>
    </row>
    <row r="171">
      <c r="A171" s="10">
        <f>IF($E171="","",INDEX('Input Transaksi'!$A:$A,$E171))</f>
        <v/>
      </c>
      <c r="B171" s="5">
        <f>IF($E171="","",INDEX('Input Transaksi'!$D:$D,$E171))</f>
        <v/>
      </c>
      <c r="C171">
        <f>IF($E171="","",INDEX('Input Transaksi'!$E:$E,$E171))</f>
        <v/>
      </c>
      <c r="D171" s="5">
        <f>IF($E171="","",INDEX('Input Transaksi'!$F:$F,$E171))</f>
        <v/>
      </c>
      <c r="E171">
        <f>IFERROR(AGGREGATE(15,6,ROW('Input Transaksi'!$B$5:$B$5000)/('Input Transaksi'!$B$5:$B$5000="KLIN WASH"),ROWS($E$5:E171)),"")</f>
        <v/>
      </c>
      <c r="F171" s="5" t="n"/>
    </row>
    <row r="172">
      <c r="A172" s="10">
        <f>IF($E172="","",INDEX('Input Transaksi'!$A:$A,$E172))</f>
        <v/>
      </c>
      <c r="B172" s="5">
        <f>IF($E172="","",INDEX('Input Transaksi'!$D:$D,$E172))</f>
        <v/>
      </c>
      <c r="C172">
        <f>IF($E172="","",INDEX('Input Transaksi'!$E:$E,$E172))</f>
        <v/>
      </c>
      <c r="D172" s="5">
        <f>IF($E172="","",INDEX('Input Transaksi'!$F:$F,$E172))</f>
        <v/>
      </c>
      <c r="E172">
        <f>IFERROR(AGGREGATE(15,6,ROW('Input Transaksi'!$B$5:$B$5000)/('Input Transaksi'!$B$5:$B$5000="KLIN WASH"),ROWS($E$5:E172)),"")</f>
        <v/>
      </c>
      <c r="F172" s="5" t="n"/>
    </row>
    <row r="173">
      <c r="A173" s="10">
        <f>IF($E173="","",INDEX('Input Transaksi'!$A:$A,$E173))</f>
        <v/>
      </c>
      <c r="B173" s="5">
        <f>IF($E173="","",INDEX('Input Transaksi'!$D:$D,$E173))</f>
        <v/>
      </c>
      <c r="C173">
        <f>IF($E173="","",INDEX('Input Transaksi'!$E:$E,$E173))</f>
        <v/>
      </c>
      <c r="D173" s="5">
        <f>IF($E173="","",INDEX('Input Transaksi'!$F:$F,$E173))</f>
        <v/>
      </c>
      <c r="E173">
        <f>IFERROR(AGGREGATE(15,6,ROW('Input Transaksi'!$B$5:$B$5000)/('Input Transaksi'!$B$5:$B$5000="KLIN WASH"),ROWS($E$5:E173)),"")</f>
        <v/>
      </c>
      <c r="F173" s="5" t="n"/>
    </row>
    <row r="174">
      <c r="A174" s="10">
        <f>IF($E174="","",INDEX('Input Transaksi'!$A:$A,$E174))</f>
        <v/>
      </c>
      <c r="B174" s="5">
        <f>IF($E174="","",INDEX('Input Transaksi'!$D:$D,$E174))</f>
        <v/>
      </c>
      <c r="C174">
        <f>IF($E174="","",INDEX('Input Transaksi'!$E:$E,$E174))</f>
        <v/>
      </c>
      <c r="D174" s="5">
        <f>IF($E174="","",INDEX('Input Transaksi'!$F:$F,$E174))</f>
        <v/>
      </c>
      <c r="E174">
        <f>IFERROR(AGGREGATE(15,6,ROW('Input Transaksi'!$B$5:$B$5000)/('Input Transaksi'!$B$5:$B$5000="KLIN WASH"),ROWS($E$5:E174)),"")</f>
        <v/>
      </c>
      <c r="F174" s="5" t="n"/>
    </row>
    <row r="175">
      <c r="A175" s="10">
        <f>IF($E175="","",INDEX('Input Transaksi'!$A:$A,$E175))</f>
        <v/>
      </c>
      <c r="B175" s="5">
        <f>IF($E175="","",INDEX('Input Transaksi'!$D:$D,$E175))</f>
        <v/>
      </c>
      <c r="C175">
        <f>IF($E175="","",INDEX('Input Transaksi'!$E:$E,$E175))</f>
        <v/>
      </c>
      <c r="D175" s="5">
        <f>IF($E175="","",INDEX('Input Transaksi'!$F:$F,$E175))</f>
        <v/>
      </c>
      <c r="E175">
        <f>IFERROR(AGGREGATE(15,6,ROW('Input Transaksi'!$B$5:$B$5000)/('Input Transaksi'!$B$5:$B$5000="KLIN WASH"),ROWS($E$5:E175)),"")</f>
        <v/>
      </c>
      <c r="F175" s="5" t="n"/>
    </row>
    <row r="176">
      <c r="A176" s="10">
        <f>IF($E176="","",INDEX('Input Transaksi'!$A:$A,$E176))</f>
        <v/>
      </c>
      <c r="B176" s="5">
        <f>IF($E176="","",INDEX('Input Transaksi'!$D:$D,$E176))</f>
        <v/>
      </c>
      <c r="C176">
        <f>IF($E176="","",INDEX('Input Transaksi'!$E:$E,$E176))</f>
        <v/>
      </c>
      <c r="D176" s="5">
        <f>IF($E176="","",INDEX('Input Transaksi'!$F:$F,$E176))</f>
        <v/>
      </c>
      <c r="E176">
        <f>IFERROR(AGGREGATE(15,6,ROW('Input Transaksi'!$B$5:$B$5000)/('Input Transaksi'!$B$5:$B$5000="KLIN WASH"),ROWS($E$5:E176)),"")</f>
        <v/>
      </c>
      <c r="F176" s="5" t="n"/>
    </row>
    <row r="177">
      <c r="A177" s="10">
        <f>IF($E177="","",INDEX('Input Transaksi'!$A:$A,$E177))</f>
        <v/>
      </c>
      <c r="B177" s="5">
        <f>IF($E177="","",INDEX('Input Transaksi'!$D:$D,$E177))</f>
        <v/>
      </c>
      <c r="C177">
        <f>IF($E177="","",INDEX('Input Transaksi'!$E:$E,$E177))</f>
        <v/>
      </c>
      <c r="D177" s="5">
        <f>IF($E177="","",INDEX('Input Transaksi'!$F:$F,$E177))</f>
        <v/>
      </c>
      <c r="E177">
        <f>IFERROR(AGGREGATE(15,6,ROW('Input Transaksi'!$B$5:$B$5000)/('Input Transaksi'!$B$5:$B$5000="KLIN WASH"),ROWS($E$5:E177)),"")</f>
        <v/>
      </c>
      <c r="F177" s="5" t="n"/>
    </row>
    <row r="178">
      <c r="A178" s="10">
        <f>IF($E178="","",INDEX('Input Transaksi'!$A:$A,$E178))</f>
        <v/>
      </c>
      <c r="B178" s="5">
        <f>IF($E178="","",INDEX('Input Transaksi'!$D:$D,$E178))</f>
        <v/>
      </c>
      <c r="C178">
        <f>IF($E178="","",INDEX('Input Transaksi'!$E:$E,$E178))</f>
        <v/>
      </c>
      <c r="D178" s="5">
        <f>IF($E178="","",INDEX('Input Transaksi'!$F:$F,$E178))</f>
        <v/>
      </c>
      <c r="E178">
        <f>IFERROR(AGGREGATE(15,6,ROW('Input Transaksi'!$B$5:$B$5000)/('Input Transaksi'!$B$5:$B$5000="KLIN WASH"),ROWS($E$5:E178)),"")</f>
        <v/>
      </c>
      <c r="F178" s="5" t="n"/>
    </row>
    <row r="179">
      <c r="A179" s="10">
        <f>IF($E179="","",INDEX('Input Transaksi'!$A:$A,$E179))</f>
        <v/>
      </c>
      <c r="B179" s="5">
        <f>IF($E179="","",INDEX('Input Transaksi'!$D:$D,$E179))</f>
        <v/>
      </c>
      <c r="C179">
        <f>IF($E179="","",INDEX('Input Transaksi'!$E:$E,$E179))</f>
        <v/>
      </c>
      <c r="D179" s="5">
        <f>IF($E179="","",INDEX('Input Transaksi'!$F:$F,$E179))</f>
        <v/>
      </c>
      <c r="E179">
        <f>IFERROR(AGGREGATE(15,6,ROW('Input Transaksi'!$B$5:$B$5000)/('Input Transaksi'!$B$5:$B$5000="KLIN WASH"),ROWS($E$5:E179)),"")</f>
        <v/>
      </c>
      <c r="F179" s="5" t="n"/>
    </row>
    <row r="180">
      <c r="A180" s="10">
        <f>IF($E180="","",INDEX('Input Transaksi'!$A:$A,$E180))</f>
        <v/>
      </c>
      <c r="B180" s="5">
        <f>IF($E180="","",INDEX('Input Transaksi'!$D:$D,$E180))</f>
        <v/>
      </c>
      <c r="C180">
        <f>IF($E180="","",INDEX('Input Transaksi'!$E:$E,$E180))</f>
        <v/>
      </c>
      <c r="D180" s="5">
        <f>IF($E180="","",INDEX('Input Transaksi'!$F:$F,$E180))</f>
        <v/>
      </c>
      <c r="E180">
        <f>IFERROR(AGGREGATE(15,6,ROW('Input Transaksi'!$B$5:$B$5000)/('Input Transaksi'!$B$5:$B$5000="KLIN WASH"),ROWS($E$5:E180)),"")</f>
        <v/>
      </c>
      <c r="F180" s="5" t="n"/>
    </row>
    <row r="181">
      <c r="A181" s="10">
        <f>IF($E181="","",INDEX('Input Transaksi'!$A:$A,$E181))</f>
        <v/>
      </c>
      <c r="B181" s="5">
        <f>IF($E181="","",INDEX('Input Transaksi'!$D:$D,$E181))</f>
        <v/>
      </c>
      <c r="C181">
        <f>IF($E181="","",INDEX('Input Transaksi'!$E:$E,$E181))</f>
        <v/>
      </c>
      <c r="D181" s="5">
        <f>IF($E181="","",INDEX('Input Transaksi'!$F:$F,$E181))</f>
        <v/>
      </c>
      <c r="E181">
        <f>IFERROR(AGGREGATE(15,6,ROW('Input Transaksi'!$B$5:$B$5000)/('Input Transaksi'!$B$5:$B$5000="KLIN WASH"),ROWS($E$5:E181)),"")</f>
        <v/>
      </c>
      <c r="F181" s="5" t="n"/>
    </row>
    <row r="182">
      <c r="A182" s="10">
        <f>IF($E182="","",INDEX('Input Transaksi'!$A:$A,$E182))</f>
        <v/>
      </c>
      <c r="B182" s="5">
        <f>IF($E182="","",INDEX('Input Transaksi'!$D:$D,$E182))</f>
        <v/>
      </c>
      <c r="C182">
        <f>IF($E182="","",INDEX('Input Transaksi'!$E:$E,$E182))</f>
        <v/>
      </c>
      <c r="D182" s="5">
        <f>IF($E182="","",INDEX('Input Transaksi'!$F:$F,$E182))</f>
        <v/>
      </c>
      <c r="E182">
        <f>IFERROR(AGGREGATE(15,6,ROW('Input Transaksi'!$B$5:$B$5000)/('Input Transaksi'!$B$5:$B$5000="KLIN WASH"),ROWS($E$5:E182)),"")</f>
        <v/>
      </c>
      <c r="F182" s="5" t="n"/>
    </row>
    <row r="183">
      <c r="A183" s="10">
        <f>IF($E183="","",INDEX('Input Transaksi'!$A:$A,$E183))</f>
        <v/>
      </c>
      <c r="B183" s="5">
        <f>IF($E183="","",INDEX('Input Transaksi'!$D:$D,$E183))</f>
        <v/>
      </c>
      <c r="C183">
        <f>IF($E183="","",INDEX('Input Transaksi'!$E:$E,$E183))</f>
        <v/>
      </c>
      <c r="D183" s="5">
        <f>IF($E183="","",INDEX('Input Transaksi'!$F:$F,$E183))</f>
        <v/>
      </c>
      <c r="E183">
        <f>IFERROR(AGGREGATE(15,6,ROW('Input Transaksi'!$B$5:$B$5000)/('Input Transaksi'!$B$5:$B$5000="KLIN WASH"),ROWS($E$5:E183)),"")</f>
        <v/>
      </c>
      <c r="F183" s="5" t="n"/>
    </row>
    <row r="184">
      <c r="A184" s="10">
        <f>IF($E184="","",INDEX('Input Transaksi'!$A:$A,$E184))</f>
        <v/>
      </c>
      <c r="B184" s="5">
        <f>IF($E184="","",INDEX('Input Transaksi'!$D:$D,$E184))</f>
        <v/>
      </c>
      <c r="C184">
        <f>IF($E184="","",INDEX('Input Transaksi'!$E:$E,$E184))</f>
        <v/>
      </c>
      <c r="D184" s="5">
        <f>IF($E184="","",INDEX('Input Transaksi'!$F:$F,$E184))</f>
        <v/>
      </c>
      <c r="E184">
        <f>IFERROR(AGGREGATE(15,6,ROW('Input Transaksi'!$B$5:$B$5000)/('Input Transaksi'!$B$5:$B$5000="KLIN WASH"),ROWS($E$5:E184)),"")</f>
        <v/>
      </c>
      <c r="F184" s="5" t="n"/>
    </row>
    <row r="185">
      <c r="A185" s="10">
        <f>IF($E185="","",INDEX('Input Transaksi'!$A:$A,$E185))</f>
        <v/>
      </c>
      <c r="B185" s="5">
        <f>IF($E185="","",INDEX('Input Transaksi'!$D:$D,$E185))</f>
        <v/>
      </c>
      <c r="C185">
        <f>IF($E185="","",INDEX('Input Transaksi'!$E:$E,$E185))</f>
        <v/>
      </c>
      <c r="D185" s="5">
        <f>IF($E185="","",INDEX('Input Transaksi'!$F:$F,$E185))</f>
        <v/>
      </c>
      <c r="E185">
        <f>IFERROR(AGGREGATE(15,6,ROW('Input Transaksi'!$B$5:$B$5000)/('Input Transaksi'!$B$5:$B$5000="KLIN WASH"),ROWS($E$5:E185)),"")</f>
        <v/>
      </c>
      <c r="F185" s="5" t="n"/>
    </row>
    <row r="186">
      <c r="A186" s="10">
        <f>IF($E186="","",INDEX('Input Transaksi'!$A:$A,$E186))</f>
        <v/>
      </c>
      <c r="B186" s="5">
        <f>IF($E186="","",INDEX('Input Transaksi'!$D:$D,$E186))</f>
        <v/>
      </c>
      <c r="C186">
        <f>IF($E186="","",INDEX('Input Transaksi'!$E:$E,$E186))</f>
        <v/>
      </c>
      <c r="D186" s="5">
        <f>IF($E186="","",INDEX('Input Transaksi'!$F:$F,$E186))</f>
        <v/>
      </c>
      <c r="E186">
        <f>IFERROR(AGGREGATE(15,6,ROW('Input Transaksi'!$B$5:$B$5000)/('Input Transaksi'!$B$5:$B$5000="KLIN WASH"),ROWS($E$5:E186)),"")</f>
        <v/>
      </c>
      <c r="F186" s="5" t="n"/>
    </row>
    <row r="187">
      <c r="A187" s="10">
        <f>IF($E187="","",INDEX('Input Transaksi'!$A:$A,$E187))</f>
        <v/>
      </c>
      <c r="B187" s="5">
        <f>IF($E187="","",INDEX('Input Transaksi'!$D:$D,$E187))</f>
        <v/>
      </c>
      <c r="C187">
        <f>IF($E187="","",INDEX('Input Transaksi'!$E:$E,$E187))</f>
        <v/>
      </c>
      <c r="D187" s="5">
        <f>IF($E187="","",INDEX('Input Transaksi'!$F:$F,$E187))</f>
        <v/>
      </c>
      <c r="E187">
        <f>IFERROR(AGGREGATE(15,6,ROW('Input Transaksi'!$B$5:$B$5000)/('Input Transaksi'!$B$5:$B$5000="KLIN WASH"),ROWS($E$5:E187)),"")</f>
        <v/>
      </c>
      <c r="F187" s="5" t="n"/>
    </row>
    <row r="188">
      <c r="A188" s="10">
        <f>IF($E188="","",INDEX('Input Transaksi'!$A:$A,$E188))</f>
        <v/>
      </c>
      <c r="B188" s="5">
        <f>IF($E188="","",INDEX('Input Transaksi'!$D:$D,$E188))</f>
        <v/>
      </c>
      <c r="C188">
        <f>IF($E188="","",INDEX('Input Transaksi'!$E:$E,$E188))</f>
        <v/>
      </c>
      <c r="D188" s="5">
        <f>IF($E188="","",INDEX('Input Transaksi'!$F:$F,$E188))</f>
        <v/>
      </c>
      <c r="E188">
        <f>IFERROR(AGGREGATE(15,6,ROW('Input Transaksi'!$B$5:$B$5000)/('Input Transaksi'!$B$5:$B$5000="KLIN WASH"),ROWS($E$5:E188)),"")</f>
        <v/>
      </c>
      <c r="F188" s="5" t="n"/>
    </row>
    <row r="189">
      <c r="A189" s="10">
        <f>IF($E189="","",INDEX('Input Transaksi'!$A:$A,$E189))</f>
        <v/>
      </c>
      <c r="B189" s="5">
        <f>IF($E189="","",INDEX('Input Transaksi'!$D:$D,$E189))</f>
        <v/>
      </c>
      <c r="C189">
        <f>IF($E189="","",INDEX('Input Transaksi'!$E:$E,$E189))</f>
        <v/>
      </c>
      <c r="D189" s="5">
        <f>IF($E189="","",INDEX('Input Transaksi'!$F:$F,$E189))</f>
        <v/>
      </c>
      <c r="E189">
        <f>IFERROR(AGGREGATE(15,6,ROW('Input Transaksi'!$B$5:$B$5000)/('Input Transaksi'!$B$5:$B$5000="KLIN WASH"),ROWS($E$5:E189)),"")</f>
        <v/>
      </c>
      <c r="F189" s="5" t="n"/>
    </row>
    <row r="190">
      <c r="A190" s="10">
        <f>IF($E190="","",INDEX('Input Transaksi'!$A:$A,$E190))</f>
        <v/>
      </c>
      <c r="B190" s="5">
        <f>IF($E190="","",INDEX('Input Transaksi'!$D:$D,$E190))</f>
        <v/>
      </c>
      <c r="C190">
        <f>IF($E190="","",INDEX('Input Transaksi'!$E:$E,$E190))</f>
        <v/>
      </c>
      <c r="D190" s="5">
        <f>IF($E190="","",INDEX('Input Transaksi'!$F:$F,$E190))</f>
        <v/>
      </c>
      <c r="E190">
        <f>IFERROR(AGGREGATE(15,6,ROW('Input Transaksi'!$B$5:$B$5000)/('Input Transaksi'!$B$5:$B$5000="KLIN WASH"),ROWS($E$5:E190)),"")</f>
        <v/>
      </c>
      <c r="F190" s="5" t="n"/>
    </row>
    <row r="191">
      <c r="A191" s="10">
        <f>IF($E191="","",INDEX('Input Transaksi'!$A:$A,$E191))</f>
        <v/>
      </c>
      <c r="B191" s="5">
        <f>IF($E191="","",INDEX('Input Transaksi'!$D:$D,$E191))</f>
        <v/>
      </c>
      <c r="C191">
        <f>IF($E191="","",INDEX('Input Transaksi'!$E:$E,$E191))</f>
        <v/>
      </c>
      <c r="D191" s="5">
        <f>IF($E191="","",INDEX('Input Transaksi'!$F:$F,$E191))</f>
        <v/>
      </c>
      <c r="E191">
        <f>IFERROR(AGGREGATE(15,6,ROW('Input Transaksi'!$B$5:$B$5000)/('Input Transaksi'!$B$5:$B$5000="KLIN WASH"),ROWS($E$5:E191)),"")</f>
        <v/>
      </c>
      <c r="F191" s="5" t="n"/>
    </row>
    <row r="192">
      <c r="A192" s="10">
        <f>IF($E192="","",INDEX('Input Transaksi'!$A:$A,$E192))</f>
        <v/>
      </c>
      <c r="B192" s="5">
        <f>IF($E192="","",INDEX('Input Transaksi'!$D:$D,$E192))</f>
        <v/>
      </c>
      <c r="C192">
        <f>IF($E192="","",INDEX('Input Transaksi'!$E:$E,$E192))</f>
        <v/>
      </c>
      <c r="D192" s="5">
        <f>IF($E192="","",INDEX('Input Transaksi'!$F:$F,$E192))</f>
        <v/>
      </c>
      <c r="E192">
        <f>IFERROR(AGGREGATE(15,6,ROW('Input Transaksi'!$B$5:$B$5000)/('Input Transaksi'!$B$5:$B$5000="KLIN WASH"),ROWS($E$5:E192)),"")</f>
        <v/>
      </c>
      <c r="F192" s="5" t="n"/>
    </row>
    <row r="193">
      <c r="A193" s="10">
        <f>IF($E193="","",INDEX('Input Transaksi'!$A:$A,$E193))</f>
        <v/>
      </c>
      <c r="B193" s="5">
        <f>IF($E193="","",INDEX('Input Transaksi'!$D:$D,$E193))</f>
        <v/>
      </c>
      <c r="C193">
        <f>IF($E193="","",INDEX('Input Transaksi'!$E:$E,$E193))</f>
        <v/>
      </c>
      <c r="D193" s="5">
        <f>IF($E193="","",INDEX('Input Transaksi'!$F:$F,$E193))</f>
        <v/>
      </c>
      <c r="E193">
        <f>IFERROR(AGGREGATE(15,6,ROW('Input Transaksi'!$B$5:$B$5000)/('Input Transaksi'!$B$5:$B$5000="KLIN WASH"),ROWS($E$5:E193)),"")</f>
        <v/>
      </c>
      <c r="F193" s="5" t="n"/>
    </row>
    <row r="194">
      <c r="A194" s="10">
        <f>IF($E194="","",INDEX('Input Transaksi'!$A:$A,$E194))</f>
        <v/>
      </c>
      <c r="B194" s="5">
        <f>IF($E194="","",INDEX('Input Transaksi'!$D:$D,$E194))</f>
        <v/>
      </c>
      <c r="C194">
        <f>IF($E194="","",INDEX('Input Transaksi'!$E:$E,$E194))</f>
        <v/>
      </c>
      <c r="D194" s="5">
        <f>IF($E194="","",INDEX('Input Transaksi'!$F:$F,$E194))</f>
        <v/>
      </c>
      <c r="E194">
        <f>IFERROR(AGGREGATE(15,6,ROW('Input Transaksi'!$B$5:$B$5000)/('Input Transaksi'!$B$5:$B$5000="KLIN WASH"),ROWS($E$5:E194)),"")</f>
        <v/>
      </c>
      <c r="F194" s="5" t="n"/>
    </row>
    <row r="195">
      <c r="A195" s="10">
        <f>IF($E195="","",INDEX('Input Transaksi'!$A:$A,$E195))</f>
        <v/>
      </c>
      <c r="B195" s="5">
        <f>IF($E195="","",INDEX('Input Transaksi'!$D:$D,$E195))</f>
        <v/>
      </c>
      <c r="C195">
        <f>IF($E195="","",INDEX('Input Transaksi'!$E:$E,$E195))</f>
        <v/>
      </c>
      <c r="D195" s="5">
        <f>IF($E195="","",INDEX('Input Transaksi'!$F:$F,$E195))</f>
        <v/>
      </c>
      <c r="E195">
        <f>IFERROR(AGGREGATE(15,6,ROW('Input Transaksi'!$B$5:$B$5000)/('Input Transaksi'!$B$5:$B$5000="KLIN WASH"),ROWS($E$5:E195)),"")</f>
        <v/>
      </c>
      <c r="F195" s="5" t="n"/>
    </row>
    <row r="196">
      <c r="A196" s="10">
        <f>IF($E196="","",INDEX('Input Transaksi'!$A:$A,$E196))</f>
        <v/>
      </c>
      <c r="B196" s="5">
        <f>IF($E196="","",INDEX('Input Transaksi'!$D:$D,$E196))</f>
        <v/>
      </c>
      <c r="C196">
        <f>IF($E196="","",INDEX('Input Transaksi'!$E:$E,$E196))</f>
        <v/>
      </c>
      <c r="D196" s="5">
        <f>IF($E196="","",INDEX('Input Transaksi'!$F:$F,$E196))</f>
        <v/>
      </c>
      <c r="E196">
        <f>IFERROR(AGGREGATE(15,6,ROW('Input Transaksi'!$B$5:$B$5000)/('Input Transaksi'!$B$5:$B$5000="KLIN WASH"),ROWS($E$5:E196)),"")</f>
        <v/>
      </c>
      <c r="F196" s="5" t="n"/>
    </row>
    <row r="197">
      <c r="A197" s="10">
        <f>IF($E197="","",INDEX('Input Transaksi'!$A:$A,$E197))</f>
        <v/>
      </c>
      <c r="B197" s="5">
        <f>IF($E197="","",INDEX('Input Transaksi'!$D:$D,$E197))</f>
        <v/>
      </c>
      <c r="C197">
        <f>IF($E197="","",INDEX('Input Transaksi'!$E:$E,$E197))</f>
        <v/>
      </c>
      <c r="D197" s="5">
        <f>IF($E197="","",INDEX('Input Transaksi'!$F:$F,$E197))</f>
        <v/>
      </c>
      <c r="E197">
        <f>IFERROR(AGGREGATE(15,6,ROW('Input Transaksi'!$B$5:$B$5000)/('Input Transaksi'!$B$5:$B$5000="KLIN WASH"),ROWS($E$5:E197)),"")</f>
        <v/>
      </c>
      <c r="F197" s="5" t="n"/>
    </row>
    <row r="198">
      <c r="A198" s="10">
        <f>IF($E198="","",INDEX('Input Transaksi'!$A:$A,$E198))</f>
        <v/>
      </c>
      <c r="B198" s="5">
        <f>IF($E198="","",INDEX('Input Transaksi'!$D:$D,$E198))</f>
        <v/>
      </c>
      <c r="C198">
        <f>IF($E198="","",INDEX('Input Transaksi'!$E:$E,$E198))</f>
        <v/>
      </c>
      <c r="D198" s="5">
        <f>IF($E198="","",INDEX('Input Transaksi'!$F:$F,$E198))</f>
        <v/>
      </c>
      <c r="E198">
        <f>IFERROR(AGGREGATE(15,6,ROW('Input Transaksi'!$B$5:$B$5000)/('Input Transaksi'!$B$5:$B$5000="KLIN WASH"),ROWS($E$5:E198)),"")</f>
        <v/>
      </c>
      <c r="F198" s="5" t="n"/>
    </row>
    <row r="199">
      <c r="A199" s="10">
        <f>IF($E199="","",INDEX('Input Transaksi'!$A:$A,$E199))</f>
        <v/>
      </c>
      <c r="B199" s="5">
        <f>IF($E199="","",INDEX('Input Transaksi'!$D:$D,$E199))</f>
        <v/>
      </c>
      <c r="C199">
        <f>IF($E199="","",INDEX('Input Transaksi'!$E:$E,$E199))</f>
        <v/>
      </c>
      <c r="D199" s="5">
        <f>IF($E199="","",INDEX('Input Transaksi'!$F:$F,$E199))</f>
        <v/>
      </c>
      <c r="E199">
        <f>IFERROR(AGGREGATE(15,6,ROW('Input Transaksi'!$B$5:$B$5000)/('Input Transaksi'!$B$5:$B$5000="KLIN WASH"),ROWS($E$5:E199)),"")</f>
        <v/>
      </c>
      <c r="F199" s="5" t="n"/>
    </row>
    <row r="200">
      <c r="A200" s="10">
        <f>IF($E200="","",INDEX('Input Transaksi'!$A:$A,$E200))</f>
        <v/>
      </c>
      <c r="B200" s="5">
        <f>IF($E200="","",INDEX('Input Transaksi'!$D:$D,$E200))</f>
        <v/>
      </c>
      <c r="C200">
        <f>IF($E200="","",INDEX('Input Transaksi'!$E:$E,$E200))</f>
        <v/>
      </c>
      <c r="D200" s="5">
        <f>IF($E200="","",INDEX('Input Transaksi'!$F:$F,$E200))</f>
        <v/>
      </c>
      <c r="E200">
        <f>IFERROR(AGGREGATE(15,6,ROW('Input Transaksi'!$B$5:$B$5000)/('Input Transaksi'!$B$5:$B$5000="KLIN WASH"),ROWS($E$5:E200)),"")</f>
        <v/>
      </c>
      <c r="F200" s="5" t="n"/>
    </row>
    <row r="201">
      <c r="A201" s="10">
        <f>IF($E201="","",INDEX('Input Transaksi'!$A:$A,$E201))</f>
        <v/>
      </c>
      <c r="B201" s="5">
        <f>IF($E201="","",INDEX('Input Transaksi'!$D:$D,$E201))</f>
        <v/>
      </c>
      <c r="C201">
        <f>IF($E201="","",INDEX('Input Transaksi'!$E:$E,$E201))</f>
        <v/>
      </c>
      <c r="D201" s="5">
        <f>IF($E201="","",INDEX('Input Transaksi'!$F:$F,$E201))</f>
        <v/>
      </c>
      <c r="E201">
        <f>IFERROR(AGGREGATE(15,6,ROW('Input Transaksi'!$B$5:$B$5000)/('Input Transaksi'!$B$5:$B$5000="KLIN WASH"),ROWS($E$5:E201)),"")</f>
        <v/>
      </c>
      <c r="F201" s="5" t="n"/>
    </row>
    <row r="202">
      <c r="A202" s="10">
        <f>IF($E202="","",INDEX('Input Transaksi'!$A:$A,$E202))</f>
        <v/>
      </c>
      <c r="B202" s="5">
        <f>IF($E202="","",INDEX('Input Transaksi'!$D:$D,$E202))</f>
        <v/>
      </c>
      <c r="C202">
        <f>IF($E202="","",INDEX('Input Transaksi'!$E:$E,$E202))</f>
        <v/>
      </c>
      <c r="D202" s="5">
        <f>IF($E202="","",INDEX('Input Transaksi'!$F:$F,$E202))</f>
        <v/>
      </c>
      <c r="E202">
        <f>IFERROR(AGGREGATE(15,6,ROW('Input Transaksi'!$B$5:$B$5000)/('Input Transaksi'!$B$5:$B$5000="KLIN WASH"),ROWS($E$5:E202)),"")</f>
        <v/>
      </c>
      <c r="F202" s="5" t="n"/>
    </row>
    <row r="203">
      <c r="A203" s="10">
        <f>IF($E203="","",INDEX('Input Transaksi'!$A:$A,$E203))</f>
        <v/>
      </c>
      <c r="B203" s="5">
        <f>IF($E203="","",INDEX('Input Transaksi'!$D:$D,$E203))</f>
        <v/>
      </c>
      <c r="C203">
        <f>IF($E203="","",INDEX('Input Transaksi'!$E:$E,$E203))</f>
        <v/>
      </c>
      <c r="D203" s="5">
        <f>IF($E203="","",INDEX('Input Transaksi'!$F:$F,$E203))</f>
        <v/>
      </c>
      <c r="E203">
        <f>IFERROR(AGGREGATE(15,6,ROW('Input Transaksi'!$B$5:$B$5000)/('Input Transaksi'!$B$5:$B$5000="KLIN WASH"),ROWS($E$5:E203)),"")</f>
        <v/>
      </c>
      <c r="F203" s="5" t="n"/>
    </row>
    <row r="204">
      <c r="A204" s="10">
        <f>IF($E204="","",INDEX('Input Transaksi'!$A:$A,$E204))</f>
        <v/>
      </c>
      <c r="B204" s="5">
        <f>IF($E204="","",INDEX('Input Transaksi'!$D:$D,$E204))</f>
        <v/>
      </c>
      <c r="C204">
        <f>IF($E204="","",INDEX('Input Transaksi'!$E:$E,$E204))</f>
        <v/>
      </c>
      <c r="D204" s="5">
        <f>IF($E204="","",INDEX('Input Transaksi'!$F:$F,$E204))</f>
        <v/>
      </c>
      <c r="E204">
        <f>IFERROR(AGGREGATE(15,6,ROW('Input Transaksi'!$B$5:$B$5000)/('Input Transaksi'!$B$5:$B$5000="KLIN WASH"),ROWS($E$5:E204)),"")</f>
        <v/>
      </c>
      <c r="F204" s="5" t="n"/>
    </row>
    <row r="205">
      <c r="A205" s="10">
        <f>IF($E205="","",INDEX('Input Transaksi'!$A:$A,$E205))</f>
        <v/>
      </c>
      <c r="B205" s="5">
        <f>IF($E205="","",INDEX('Input Transaksi'!$D:$D,$E205))</f>
        <v/>
      </c>
      <c r="C205">
        <f>IF($E205="","",INDEX('Input Transaksi'!$E:$E,$E205))</f>
        <v/>
      </c>
      <c r="D205" s="5">
        <f>IF($E205="","",INDEX('Input Transaksi'!$F:$F,$E205))</f>
        <v/>
      </c>
      <c r="E205">
        <f>IFERROR(AGGREGATE(15,6,ROW('Input Transaksi'!$B$5:$B$5000)/('Input Transaksi'!$B$5:$B$5000="KLIN WASH"),ROWS($E$5:E205)),"")</f>
        <v/>
      </c>
      <c r="F205" s="5" t="n"/>
    </row>
    <row r="206">
      <c r="A206" s="10">
        <f>IF($E206="","",INDEX('Input Transaksi'!$A:$A,$E206))</f>
        <v/>
      </c>
      <c r="B206" s="5">
        <f>IF($E206="","",INDEX('Input Transaksi'!$D:$D,$E206))</f>
        <v/>
      </c>
      <c r="C206">
        <f>IF($E206="","",INDEX('Input Transaksi'!$E:$E,$E206))</f>
        <v/>
      </c>
      <c r="D206" s="5">
        <f>IF($E206="","",INDEX('Input Transaksi'!$F:$F,$E206))</f>
        <v/>
      </c>
      <c r="E206">
        <f>IFERROR(AGGREGATE(15,6,ROW('Input Transaksi'!$B$5:$B$5000)/('Input Transaksi'!$B$5:$B$5000="KLIN WASH"),ROWS($E$5:E206)),"")</f>
        <v/>
      </c>
      <c r="F206" s="5" t="n"/>
    </row>
    <row r="207">
      <c r="A207" s="10">
        <f>IF($E207="","",INDEX('Input Transaksi'!$A:$A,$E207))</f>
        <v/>
      </c>
      <c r="B207" s="5">
        <f>IF($E207="","",INDEX('Input Transaksi'!$D:$D,$E207))</f>
        <v/>
      </c>
      <c r="C207">
        <f>IF($E207="","",INDEX('Input Transaksi'!$E:$E,$E207))</f>
        <v/>
      </c>
      <c r="D207" s="5">
        <f>IF($E207="","",INDEX('Input Transaksi'!$F:$F,$E207))</f>
        <v/>
      </c>
      <c r="E207">
        <f>IFERROR(AGGREGATE(15,6,ROW('Input Transaksi'!$B$5:$B$5000)/('Input Transaksi'!$B$5:$B$5000="KLIN WASH"),ROWS($E$5:E207)),"")</f>
        <v/>
      </c>
      <c r="F207" s="5" t="n"/>
    </row>
    <row r="208">
      <c r="A208" s="10">
        <f>IF($E208="","",INDEX('Input Transaksi'!$A:$A,$E208))</f>
        <v/>
      </c>
      <c r="B208" s="5">
        <f>IF($E208="","",INDEX('Input Transaksi'!$D:$D,$E208))</f>
        <v/>
      </c>
      <c r="C208">
        <f>IF($E208="","",INDEX('Input Transaksi'!$E:$E,$E208))</f>
        <v/>
      </c>
      <c r="D208" s="5">
        <f>IF($E208="","",INDEX('Input Transaksi'!$F:$F,$E208))</f>
        <v/>
      </c>
      <c r="E208">
        <f>IFERROR(AGGREGATE(15,6,ROW('Input Transaksi'!$B$5:$B$5000)/('Input Transaksi'!$B$5:$B$5000="KLIN WASH"),ROWS($E$5:E208)),"")</f>
        <v/>
      </c>
      <c r="F208" s="5" t="n"/>
    </row>
    <row r="209">
      <c r="A209" s="10">
        <f>IF($E209="","",INDEX('Input Transaksi'!$A:$A,$E209))</f>
        <v/>
      </c>
      <c r="B209" s="5">
        <f>IF($E209="","",INDEX('Input Transaksi'!$D:$D,$E209))</f>
        <v/>
      </c>
      <c r="C209">
        <f>IF($E209="","",INDEX('Input Transaksi'!$E:$E,$E209))</f>
        <v/>
      </c>
      <c r="D209" s="5">
        <f>IF($E209="","",INDEX('Input Transaksi'!$F:$F,$E209))</f>
        <v/>
      </c>
      <c r="E209">
        <f>IFERROR(AGGREGATE(15,6,ROW('Input Transaksi'!$B$5:$B$5000)/('Input Transaksi'!$B$5:$B$5000="KLIN WASH"),ROWS($E$5:E209)),"")</f>
        <v/>
      </c>
      <c r="F209" s="5" t="n"/>
    </row>
    <row r="210">
      <c r="A210" s="10">
        <f>IF($E210="","",INDEX('Input Transaksi'!$A:$A,$E210))</f>
        <v/>
      </c>
      <c r="B210" s="5">
        <f>IF($E210="","",INDEX('Input Transaksi'!$D:$D,$E210))</f>
        <v/>
      </c>
      <c r="C210">
        <f>IF($E210="","",INDEX('Input Transaksi'!$E:$E,$E210))</f>
        <v/>
      </c>
      <c r="D210" s="5">
        <f>IF($E210="","",INDEX('Input Transaksi'!$F:$F,$E210))</f>
        <v/>
      </c>
      <c r="E210">
        <f>IFERROR(AGGREGATE(15,6,ROW('Input Transaksi'!$B$5:$B$5000)/('Input Transaksi'!$B$5:$B$5000="KLIN WASH"),ROWS($E$5:E210)),"")</f>
        <v/>
      </c>
      <c r="F210" s="5" t="n"/>
    </row>
    <row r="211">
      <c r="A211" s="10">
        <f>IF($E211="","",INDEX('Input Transaksi'!$A:$A,$E211))</f>
        <v/>
      </c>
      <c r="B211" s="5">
        <f>IF($E211="","",INDEX('Input Transaksi'!$D:$D,$E211))</f>
        <v/>
      </c>
      <c r="C211">
        <f>IF($E211="","",INDEX('Input Transaksi'!$E:$E,$E211))</f>
        <v/>
      </c>
      <c r="D211" s="5">
        <f>IF($E211="","",INDEX('Input Transaksi'!$F:$F,$E211))</f>
        <v/>
      </c>
      <c r="E211">
        <f>IFERROR(AGGREGATE(15,6,ROW('Input Transaksi'!$B$5:$B$5000)/('Input Transaksi'!$B$5:$B$5000="KLIN WASH"),ROWS($E$5:E211)),"")</f>
        <v/>
      </c>
      <c r="F211" s="5" t="n"/>
    </row>
    <row r="212">
      <c r="A212" s="10">
        <f>IF($E212="","",INDEX('Input Transaksi'!$A:$A,$E212))</f>
        <v/>
      </c>
      <c r="B212" s="5">
        <f>IF($E212="","",INDEX('Input Transaksi'!$D:$D,$E212))</f>
        <v/>
      </c>
      <c r="C212">
        <f>IF($E212="","",INDEX('Input Transaksi'!$E:$E,$E212))</f>
        <v/>
      </c>
      <c r="D212" s="5">
        <f>IF($E212="","",INDEX('Input Transaksi'!$F:$F,$E212))</f>
        <v/>
      </c>
      <c r="E212">
        <f>IFERROR(AGGREGATE(15,6,ROW('Input Transaksi'!$B$5:$B$5000)/('Input Transaksi'!$B$5:$B$5000="KLIN WASH"),ROWS($E$5:E212)),"")</f>
        <v/>
      </c>
      <c r="F212" s="5" t="n"/>
    </row>
    <row r="213">
      <c r="A213" s="10">
        <f>IF($E213="","",INDEX('Input Transaksi'!$A:$A,$E213))</f>
        <v/>
      </c>
      <c r="B213" s="5">
        <f>IF($E213="","",INDEX('Input Transaksi'!$D:$D,$E213))</f>
        <v/>
      </c>
      <c r="C213">
        <f>IF($E213="","",INDEX('Input Transaksi'!$E:$E,$E213))</f>
        <v/>
      </c>
      <c r="D213" s="5">
        <f>IF($E213="","",INDEX('Input Transaksi'!$F:$F,$E213))</f>
        <v/>
      </c>
      <c r="E213">
        <f>IFERROR(AGGREGATE(15,6,ROW('Input Transaksi'!$B$5:$B$5000)/('Input Transaksi'!$B$5:$B$5000="KLIN WASH"),ROWS($E$5:E213)),"")</f>
        <v/>
      </c>
      <c r="F213" s="5" t="n"/>
    </row>
    <row r="214">
      <c r="A214" s="10">
        <f>IF($E214="","",INDEX('Input Transaksi'!$A:$A,$E214))</f>
        <v/>
      </c>
      <c r="B214" s="5">
        <f>IF($E214="","",INDEX('Input Transaksi'!$D:$D,$E214))</f>
        <v/>
      </c>
      <c r="C214">
        <f>IF($E214="","",INDEX('Input Transaksi'!$E:$E,$E214))</f>
        <v/>
      </c>
      <c r="D214" s="5">
        <f>IF($E214="","",INDEX('Input Transaksi'!$F:$F,$E214))</f>
        <v/>
      </c>
      <c r="E214">
        <f>IFERROR(AGGREGATE(15,6,ROW('Input Transaksi'!$B$5:$B$5000)/('Input Transaksi'!$B$5:$B$5000="KLIN WASH"),ROWS($E$5:E214)),"")</f>
        <v/>
      </c>
      <c r="F214" s="5" t="n"/>
    </row>
    <row r="215">
      <c r="A215" s="10">
        <f>IF($E215="","",INDEX('Input Transaksi'!$A:$A,$E215))</f>
        <v/>
      </c>
      <c r="B215" s="5">
        <f>IF($E215="","",INDEX('Input Transaksi'!$D:$D,$E215))</f>
        <v/>
      </c>
      <c r="C215">
        <f>IF($E215="","",INDEX('Input Transaksi'!$E:$E,$E215))</f>
        <v/>
      </c>
      <c r="D215" s="5">
        <f>IF($E215="","",INDEX('Input Transaksi'!$F:$F,$E215))</f>
        <v/>
      </c>
      <c r="E215">
        <f>IFERROR(AGGREGATE(15,6,ROW('Input Transaksi'!$B$5:$B$5000)/('Input Transaksi'!$B$5:$B$5000="KLIN WASH"),ROWS($E$5:E215)),"")</f>
        <v/>
      </c>
      <c r="F215" s="5" t="n"/>
    </row>
    <row r="216">
      <c r="A216" s="10">
        <f>IF($E216="","",INDEX('Input Transaksi'!$A:$A,$E216))</f>
        <v/>
      </c>
      <c r="B216" s="5">
        <f>IF($E216="","",INDEX('Input Transaksi'!$D:$D,$E216))</f>
        <v/>
      </c>
      <c r="C216">
        <f>IF($E216="","",INDEX('Input Transaksi'!$E:$E,$E216))</f>
        <v/>
      </c>
      <c r="D216" s="5">
        <f>IF($E216="","",INDEX('Input Transaksi'!$F:$F,$E216))</f>
        <v/>
      </c>
      <c r="E216">
        <f>IFERROR(AGGREGATE(15,6,ROW('Input Transaksi'!$B$5:$B$5000)/('Input Transaksi'!$B$5:$B$5000="KLIN WASH"),ROWS($E$5:E216)),"")</f>
        <v/>
      </c>
      <c r="F216" s="5" t="n"/>
    </row>
    <row r="217">
      <c r="A217" s="10">
        <f>IF($E217="","",INDEX('Input Transaksi'!$A:$A,$E217))</f>
        <v/>
      </c>
      <c r="B217" s="5">
        <f>IF($E217="","",INDEX('Input Transaksi'!$D:$D,$E217))</f>
        <v/>
      </c>
      <c r="C217">
        <f>IF($E217="","",INDEX('Input Transaksi'!$E:$E,$E217))</f>
        <v/>
      </c>
      <c r="D217" s="5">
        <f>IF($E217="","",INDEX('Input Transaksi'!$F:$F,$E217))</f>
        <v/>
      </c>
      <c r="E217">
        <f>IFERROR(AGGREGATE(15,6,ROW('Input Transaksi'!$B$5:$B$5000)/('Input Transaksi'!$B$5:$B$5000="KLIN WASH"),ROWS($E$5:E217)),"")</f>
        <v/>
      </c>
      <c r="F217" s="5" t="n"/>
    </row>
    <row r="218">
      <c r="A218" s="10">
        <f>IF($E218="","",INDEX('Input Transaksi'!$A:$A,$E218))</f>
        <v/>
      </c>
      <c r="B218" s="5">
        <f>IF($E218="","",INDEX('Input Transaksi'!$D:$D,$E218))</f>
        <v/>
      </c>
      <c r="C218">
        <f>IF($E218="","",INDEX('Input Transaksi'!$E:$E,$E218))</f>
        <v/>
      </c>
      <c r="D218" s="5">
        <f>IF($E218="","",INDEX('Input Transaksi'!$F:$F,$E218))</f>
        <v/>
      </c>
      <c r="E218">
        <f>IFERROR(AGGREGATE(15,6,ROW('Input Transaksi'!$B$5:$B$5000)/('Input Transaksi'!$B$5:$B$5000="KLIN WASH"),ROWS($E$5:E218)),"")</f>
        <v/>
      </c>
      <c r="F218" s="5" t="n"/>
    </row>
    <row r="219">
      <c r="A219" s="10">
        <f>IF($E219="","",INDEX('Input Transaksi'!$A:$A,$E219))</f>
        <v/>
      </c>
      <c r="B219" s="5">
        <f>IF($E219="","",INDEX('Input Transaksi'!$D:$D,$E219))</f>
        <v/>
      </c>
      <c r="C219">
        <f>IF($E219="","",INDEX('Input Transaksi'!$E:$E,$E219))</f>
        <v/>
      </c>
      <c r="D219" s="5">
        <f>IF($E219="","",INDEX('Input Transaksi'!$F:$F,$E219))</f>
        <v/>
      </c>
      <c r="E219">
        <f>IFERROR(AGGREGATE(15,6,ROW('Input Transaksi'!$B$5:$B$5000)/('Input Transaksi'!$B$5:$B$5000="KLIN WASH"),ROWS($E$5:E219)),"")</f>
        <v/>
      </c>
      <c r="F219" s="5" t="n"/>
    </row>
    <row r="220">
      <c r="A220" s="10">
        <f>IF($E220="","",INDEX('Input Transaksi'!$A:$A,$E220))</f>
        <v/>
      </c>
      <c r="B220" s="5">
        <f>IF($E220="","",INDEX('Input Transaksi'!$D:$D,$E220))</f>
        <v/>
      </c>
      <c r="C220">
        <f>IF($E220="","",INDEX('Input Transaksi'!$E:$E,$E220))</f>
        <v/>
      </c>
      <c r="D220" s="5">
        <f>IF($E220="","",INDEX('Input Transaksi'!$F:$F,$E220))</f>
        <v/>
      </c>
      <c r="E220">
        <f>IFERROR(AGGREGATE(15,6,ROW('Input Transaksi'!$B$5:$B$5000)/('Input Transaksi'!$B$5:$B$5000="KLIN WASH"),ROWS($E$5:E220)),"")</f>
        <v/>
      </c>
      <c r="F220" s="5" t="n"/>
    </row>
    <row r="221">
      <c r="A221" s="10">
        <f>IF($E221="","",INDEX('Input Transaksi'!$A:$A,$E221))</f>
        <v/>
      </c>
      <c r="B221" s="5">
        <f>IF($E221="","",INDEX('Input Transaksi'!$D:$D,$E221))</f>
        <v/>
      </c>
      <c r="C221">
        <f>IF($E221="","",INDEX('Input Transaksi'!$E:$E,$E221))</f>
        <v/>
      </c>
      <c r="D221" s="5">
        <f>IF($E221="","",INDEX('Input Transaksi'!$F:$F,$E221))</f>
        <v/>
      </c>
      <c r="E221">
        <f>IFERROR(AGGREGATE(15,6,ROW('Input Transaksi'!$B$5:$B$5000)/('Input Transaksi'!$B$5:$B$5000="KLIN WASH"),ROWS($E$5:E221)),"")</f>
        <v/>
      </c>
      <c r="F221" s="5" t="n"/>
    </row>
    <row r="222">
      <c r="A222" s="10">
        <f>IF($E222="","",INDEX('Input Transaksi'!$A:$A,$E222))</f>
        <v/>
      </c>
      <c r="B222" s="5">
        <f>IF($E222="","",INDEX('Input Transaksi'!$D:$D,$E222))</f>
        <v/>
      </c>
      <c r="C222">
        <f>IF($E222="","",INDEX('Input Transaksi'!$E:$E,$E222))</f>
        <v/>
      </c>
      <c r="D222" s="5">
        <f>IF($E222="","",INDEX('Input Transaksi'!$F:$F,$E222))</f>
        <v/>
      </c>
      <c r="E222">
        <f>IFERROR(AGGREGATE(15,6,ROW('Input Transaksi'!$B$5:$B$5000)/('Input Transaksi'!$B$5:$B$5000="KLIN WASH"),ROWS($E$5:E222)),"")</f>
        <v/>
      </c>
      <c r="F222" s="5" t="n"/>
    </row>
    <row r="223">
      <c r="A223" s="10">
        <f>IF($E223="","",INDEX('Input Transaksi'!$A:$A,$E223))</f>
        <v/>
      </c>
      <c r="B223" s="5">
        <f>IF($E223="","",INDEX('Input Transaksi'!$D:$D,$E223))</f>
        <v/>
      </c>
      <c r="C223">
        <f>IF($E223="","",INDEX('Input Transaksi'!$E:$E,$E223))</f>
        <v/>
      </c>
      <c r="D223" s="5">
        <f>IF($E223="","",INDEX('Input Transaksi'!$F:$F,$E223))</f>
        <v/>
      </c>
      <c r="E223">
        <f>IFERROR(AGGREGATE(15,6,ROW('Input Transaksi'!$B$5:$B$5000)/('Input Transaksi'!$B$5:$B$5000="KLIN WASH"),ROWS($E$5:E223)),"")</f>
        <v/>
      </c>
      <c r="F223" s="5" t="n"/>
    </row>
    <row r="224">
      <c r="A224" s="10">
        <f>IF($E224="","",INDEX('Input Transaksi'!$A:$A,$E224))</f>
        <v/>
      </c>
      <c r="B224" s="5">
        <f>IF($E224="","",INDEX('Input Transaksi'!$D:$D,$E224))</f>
        <v/>
      </c>
      <c r="C224">
        <f>IF($E224="","",INDEX('Input Transaksi'!$E:$E,$E224))</f>
        <v/>
      </c>
      <c r="D224" s="5">
        <f>IF($E224="","",INDEX('Input Transaksi'!$F:$F,$E224))</f>
        <v/>
      </c>
      <c r="E224">
        <f>IFERROR(AGGREGATE(15,6,ROW('Input Transaksi'!$B$5:$B$5000)/('Input Transaksi'!$B$5:$B$5000="KLIN WASH"),ROWS($E$5:E224)),"")</f>
        <v/>
      </c>
      <c r="F224" s="5" t="n"/>
    </row>
    <row r="225">
      <c r="A225" s="10">
        <f>IF($E225="","",INDEX('Input Transaksi'!$A:$A,$E225))</f>
        <v/>
      </c>
      <c r="B225" s="5">
        <f>IF($E225="","",INDEX('Input Transaksi'!$D:$D,$E225))</f>
        <v/>
      </c>
      <c r="C225">
        <f>IF($E225="","",INDEX('Input Transaksi'!$E:$E,$E225))</f>
        <v/>
      </c>
      <c r="D225" s="5">
        <f>IF($E225="","",INDEX('Input Transaksi'!$F:$F,$E225))</f>
        <v/>
      </c>
      <c r="E225">
        <f>IFERROR(AGGREGATE(15,6,ROW('Input Transaksi'!$B$5:$B$5000)/('Input Transaksi'!$B$5:$B$5000="KLIN WASH"),ROWS($E$5:E225)),"")</f>
        <v/>
      </c>
      <c r="F225" s="5" t="n"/>
    </row>
    <row r="226">
      <c r="A226" s="10">
        <f>IF($E226="","",INDEX('Input Transaksi'!$A:$A,$E226))</f>
        <v/>
      </c>
      <c r="B226" s="5">
        <f>IF($E226="","",INDEX('Input Transaksi'!$D:$D,$E226))</f>
        <v/>
      </c>
      <c r="C226">
        <f>IF($E226="","",INDEX('Input Transaksi'!$E:$E,$E226))</f>
        <v/>
      </c>
      <c r="D226" s="5">
        <f>IF($E226="","",INDEX('Input Transaksi'!$F:$F,$E226))</f>
        <v/>
      </c>
      <c r="E226">
        <f>IFERROR(AGGREGATE(15,6,ROW('Input Transaksi'!$B$5:$B$5000)/('Input Transaksi'!$B$5:$B$5000="KLIN WASH"),ROWS($E$5:E226)),"")</f>
        <v/>
      </c>
      <c r="F226" s="5" t="n"/>
    </row>
    <row r="227">
      <c r="A227" s="10">
        <f>IF($E227="","",INDEX('Input Transaksi'!$A:$A,$E227))</f>
        <v/>
      </c>
      <c r="B227" s="5">
        <f>IF($E227="","",INDEX('Input Transaksi'!$D:$D,$E227))</f>
        <v/>
      </c>
      <c r="C227">
        <f>IF($E227="","",INDEX('Input Transaksi'!$E:$E,$E227))</f>
        <v/>
      </c>
      <c r="D227" s="5">
        <f>IF($E227="","",INDEX('Input Transaksi'!$F:$F,$E227))</f>
        <v/>
      </c>
      <c r="E227">
        <f>IFERROR(AGGREGATE(15,6,ROW('Input Transaksi'!$B$5:$B$5000)/('Input Transaksi'!$B$5:$B$5000="KLIN WASH"),ROWS($E$5:E227)),"")</f>
        <v/>
      </c>
      <c r="F227" s="5" t="n"/>
    </row>
    <row r="228">
      <c r="A228" s="10">
        <f>IF($E228="","",INDEX('Input Transaksi'!$A:$A,$E228))</f>
        <v/>
      </c>
      <c r="B228" s="5">
        <f>IF($E228="","",INDEX('Input Transaksi'!$D:$D,$E228))</f>
        <v/>
      </c>
      <c r="C228">
        <f>IF($E228="","",INDEX('Input Transaksi'!$E:$E,$E228))</f>
        <v/>
      </c>
      <c r="D228" s="5">
        <f>IF($E228="","",INDEX('Input Transaksi'!$F:$F,$E228))</f>
        <v/>
      </c>
      <c r="E228">
        <f>IFERROR(AGGREGATE(15,6,ROW('Input Transaksi'!$B$5:$B$5000)/('Input Transaksi'!$B$5:$B$5000="KLIN WASH"),ROWS($E$5:E228)),"")</f>
        <v/>
      </c>
      <c r="F228" s="5" t="n"/>
    </row>
    <row r="229">
      <c r="A229" s="10">
        <f>IF($E229="","",INDEX('Input Transaksi'!$A:$A,$E229))</f>
        <v/>
      </c>
      <c r="B229" s="5">
        <f>IF($E229="","",INDEX('Input Transaksi'!$D:$D,$E229))</f>
        <v/>
      </c>
      <c r="C229">
        <f>IF($E229="","",INDEX('Input Transaksi'!$E:$E,$E229))</f>
        <v/>
      </c>
      <c r="D229" s="5">
        <f>IF($E229="","",INDEX('Input Transaksi'!$F:$F,$E229))</f>
        <v/>
      </c>
      <c r="E229">
        <f>IFERROR(AGGREGATE(15,6,ROW('Input Transaksi'!$B$5:$B$5000)/('Input Transaksi'!$B$5:$B$5000="KLIN WASH"),ROWS($E$5:E229)),"")</f>
        <v/>
      </c>
      <c r="F229" s="5" t="n"/>
    </row>
    <row r="230">
      <c r="A230" s="10">
        <f>IF($E230="","",INDEX('Input Transaksi'!$A:$A,$E230))</f>
        <v/>
      </c>
      <c r="B230" s="5">
        <f>IF($E230="","",INDEX('Input Transaksi'!$D:$D,$E230))</f>
        <v/>
      </c>
      <c r="C230">
        <f>IF($E230="","",INDEX('Input Transaksi'!$E:$E,$E230))</f>
        <v/>
      </c>
      <c r="D230" s="5">
        <f>IF($E230="","",INDEX('Input Transaksi'!$F:$F,$E230))</f>
        <v/>
      </c>
      <c r="E230">
        <f>IFERROR(AGGREGATE(15,6,ROW('Input Transaksi'!$B$5:$B$5000)/('Input Transaksi'!$B$5:$B$5000="KLIN WASH"),ROWS($E$5:E230)),"")</f>
        <v/>
      </c>
      <c r="F230" s="5" t="n"/>
    </row>
    <row r="231">
      <c r="A231" s="10">
        <f>IF($E231="","",INDEX('Input Transaksi'!$A:$A,$E231))</f>
        <v/>
      </c>
      <c r="B231" s="5">
        <f>IF($E231="","",INDEX('Input Transaksi'!$D:$D,$E231))</f>
        <v/>
      </c>
      <c r="C231">
        <f>IF($E231="","",INDEX('Input Transaksi'!$E:$E,$E231))</f>
        <v/>
      </c>
      <c r="D231" s="5">
        <f>IF($E231="","",INDEX('Input Transaksi'!$F:$F,$E231))</f>
        <v/>
      </c>
      <c r="E231">
        <f>IFERROR(AGGREGATE(15,6,ROW('Input Transaksi'!$B$5:$B$5000)/('Input Transaksi'!$B$5:$B$5000="KLIN WASH"),ROWS($E$5:E231)),"")</f>
        <v/>
      </c>
      <c r="F231" s="5" t="n"/>
    </row>
    <row r="232">
      <c r="A232" s="10">
        <f>IF($E232="","",INDEX('Input Transaksi'!$A:$A,$E232))</f>
        <v/>
      </c>
      <c r="B232" s="5">
        <f>IF($E232="","",INDEX('Input Transaksi'!$D:$D,$E232))</f>
        <v/>
      </c>
      <c r="C232">
        <f>IF($E232="","",INDEX('Input Transaksi'!$E:$E,$E232))</f>
        <v/>
      </c>
      <c r="D232" s="5">
        <f>IF($E232="","",INDEX('Input Transaksi'!$F:$F,$E232))</f>
        <v/>
      </c>
      <c r="E232">
        <f>IFERROR(AGGREGATE(15,6,ROW('Input Transaksi'!$B$5:$B$5000)/('Input Transaksi'!$B$5:$B$5000="KLIN WASH"),ROWS($E$5:E232)),"")</f>
        <v/>
      </c>
      <c r="F232" s="5" t="n"/>
    </row>
    <row r="233">
      <c r="A233" s="10">
        <f>IF($E233="","",INDEX('Input Transaksi'!$A:$A,$E233))</f>
        <v/>
      </c>
      <c r="B233" s="5">
        <f>IF($E233="","",INDEX('Input Transaksi'!$D:$D,$E233))</f>
        <v/>
      </c>
      <c r="C233">
        <f>IF($E233="","",INDEX('Input Transaksi'!$E:$E,$E233))</f>
        <v/>
      </c>
      <c r="D233" s="5">
        <f>IF($E233="","",INDEX('Input Transaksi'!$F:$F,$E233))</f>
        <v/>
      </c>
      <c r="E233">
        <f>IFERROR(AGGREGATE(15,6,ROW('Input Transaksi'!$B$5:$B$5000)/('Input Transaksi'!$B$5:$B$5000="KLIN WASH"),ROWS($E$5:E233)),"")</f>
        <v/>
      </c>
      <c r="F233" s="5" t="n"/>
    </row>
    <row r="234">
      <c r="A234" s="10">
        <f>IF($E234="","",INDEX('Input Transaksi'!$A:$A,$E234))</f>
        <v/>
      </c>
      <c r="B234" s="5">
        <f>IF($E234="","",INDEX('Input Transaksi'!$D:$D,$E234))</f>
        <v/>
      </c>
      <c r="C234">
        <f>IF($E234="","",INDEX('Input Transaksi'!$E:$E,$E234))</f>
        <v/>
      </c>
      <c r="D234" s="5">
        <f>IF($E234="","",INDEX('Input Transaksi'!$F:$F,$E234))</f>
        <v/>
      </c>
      <c r="E234">
        <f>IFERROR(AGGREGATE(15,6,ROW('Input Transaksi'!$B$5:$B$5000)/('Input Transaksi'!$B$5:$B$5000="KLIN WASH"),ROWS($E$5:E234)),"")</f>
        <v/>
      </c>
      <c r="F234" s="5" t="n"/>
    </row>
    <row r="235">
      <c r="A235" s="10">
        <f>IF($E235="","",INDEX('Input Transaksi'!$A:$A,$E235))</f>
        <v/>
      </c>
      <c r="B235" s="5">
        <f>IF($E235="","",INDEX('Input Transaksi'!$D:$D,$E235))</f>
        <v/>
      </c>
      <c r="C235">
        <f>IF($E235="","",INDEX('Input Transaksi'!$E:$E,$E235))</f>
        <v/>
      </c>
      <c r="D235" s="5">
        <f>IF($E235="","",INDEX('Input Transaksi'!$F:$F,$E235))</f>
        <v/>
      </c>
      <c r="E235">
        <f>IFERROR(AGGREGATE(15,6,ROW('Input Transaksi'!$B$5:$B$5000)/('Input Transaksi'!$B$5:$B$5000="KLIN WASH"),ROWS($E$5:E235)),"")</f>
        <v/>
      </c>
      <c r="F235" s="5" t="n"/>
    </row>
    <row r="236">
      <c r="A236" s="10">
        <f>IF($E236="","",INDEX('Input Transaksi'!$A:$A,$E236))</f>
        <v/>
      </c>
      <c r="B236" s="5">
        <f>IF($E236="","",INDEX('Input Transaksi'!$D:$D,$E236))</f>
        <v/>
      </c>
      <c r="C236">
        <f>IF($E236="","",INDEX('Input Transaksi'!$E:$E,$E236))</f>
        <v/>
      </c>
      <c r="D236" s="5">
        <f>IF($E236="","",INDEX('Input Transaksi'!$F:$F,$E236))</f>
        <v/>
      </c>
      <c r="E236">
        <f>IFERROR(AGGREGATE(15,6,ROW('Input Transaksi'!$B$5:$B$5000)/('Input Transaksi'!$B$5:$B$5000="KLIN WASH"),ROWS($E$5:E236)),"")</f>
        <v/>
      </c>
      <c r="F236" s="5" t="n"/>
    </row>
    <row r="237">
      <c r="A237" s="10">
        <f>IF($E237="","",INDEX('Input Transaksi'!$A:$A,$E237))</f>
        <v/>
      </c>
      <c r="B237" s="5">
        <f>IF($E237="","",INDEX('Input Transaksi'!$D:$D,$E237))</f>
        <v/>
      </c>
      <c r="C237">
        <f>IF($E237="","",INDEX('Input Transaksi'!$E:$E,$E237))</f>
        <v/>
      </c>
      <c r="D237" s="5">
        <f>IF($E237="","",INDEX('Input Transaksi'!$F:$F,$E237))</f>
        <v/>
      </c>
      <c r="E237">
        <f>IFERROR(AGGREGATE(15,6,ROW('Input Transaksi'!$B$5:$B$5000)/('Input Transaksi'!$B$5:$B$5000="KLIN WASH"),ROWS($E$5:E237)),"")</f>
        <v/>
      </c>
      <c r="F237" s="5" t="n"/>
    </row>
    <row r="238">
      <c r="A238" s="10">
        <f>IF($E238="","",INDEX('Input Transaksi'!$A:$A,$E238))</f>
        <v/>
      </c>
      <c r="B238" s="5">
        <f>IF($E238="","",INDEX('Input Transaksi'!$D:$D,$E238))</f>
        <v/>
      </c>
      <c r="C238">
        <f>IF($E238="","",INDEX('Input Transaksi'!$E:$E,$E238))</f>
        <v/>
      </c>
      <c r="D238" s="5">
        <f>IF($E238="","",INDEX('Input Transaksi'!$F:$F,$E238))</f>
        <v/>
      </c>
      <c r="E238">
        <f>IFERROR(AGGREGATE(15,6,ROW('Input Transaksi'!$B$5:$B$5000)/('Input Transaksi'!$B$5:$B$5000="KLIN WASH"),ROWS($E$5:E238)),"")</f>
        <v/>
      </c>
      <c r="F238" s="5" t="n"/>
    </row>
    <row r="239">
      <c r="A239" s="10">
        <f>IF($E239="","",INDEX('Input Transaksi'!$A:$A,$E239))</f>
        <v/>
      </c>
      <c r="B239" s="5">
        <f>IF($E239="","",INDEX('Input Transaksi'!$D:$D,$E239))</f>
        <v/>
      </c>
      <c r="C239">
        <f>IF($E239="","",INDEX('Input Transaksi'!$E:$E,$E239))</f>
        <v/>
      </c>
      <c r="D239" s="5">
        <f>IF($E239="","",INDEX('Input Transaksi'!$F:$F,$E239))</f>
        <v/>
      </c>
      <c r="E239">
        <f>IFERROR(AGGREGATE(15,6,ROW('Input Transaksi'!$B$5:$B$5000)/('Input Transaksi'!$B$5:$B$5000="KLIN WASH"),ROWS($E$5:E239)),"")</f>
        <v/>
      </c>
      <c r="F239" s="5" t="n"/>
    </row>
    <row r="240">
      <c r="A240" s="10">
        <f>IF($E240="","",INDEX('Input Transaksi'!$A:$A,$E240))</f>
        <v/>
      </c>
      <c r="B240" s="5">
        <f>IF($E240="","",INDEX('Input Transaksi'!$D:$D,$E240))</f>
        <v/>
      </c>
      <c r="C240">
        <f>IF($E240="","",INDEX('Input Transaksi'!$E:$E,$E240))</f>
        <v/>
      </c>
      <c r="D240" s="5">
        <f>IF($E240="","",INDEX('Input Transaksi'!$F:$F,$E240))</f>
        <v/>
      </c>
      <c r="E240">
        <f>IFERROR(AGGREGATE(15,6,ROW('Input Transaksi'!$B$5:$B$5000)/('Input Transaksi'!$B$5:$B$5000="KLIN WASH"),ROWS($E$5:E240)),"")</f>
        <v/>
      </c>
      <c r="F240" s="5" t="n"/>
    </row>
    <row r="241">
      <c r="A241" s="10">
        <f>IF($E241="","",INDEX('Input Transaksi'!$A:$A,$E241))</f>
        <v/>
      </c>
      <c r="B241" s="5">
        <f>IF($E241="","",INDEX('Input Transaksi'!$D:$D,$E241))</f>
        <v/>
      </c>
      <c r="C241">
        <f>IF($E241="","",INDEX('Input Transaksi'!$E:$E,$E241))</f>
        <v/>
      </c>
      <c r="D241" s="5">
        <f>IF($E241="","",INDEX('Input Transaksi'!$F:$F,$E241))</f>
        <v/>
      </c>
      <c r="E241">
        <f>IFERROR(AGGREGATE(15,6,ROW('Input Transaksi'!$B$5:$B$5000)/('Input Transaksi'!$B$5:$B$5000="KLIN WASH"),ROWS($E$5:E241)),"")</f>
        <v/>
      </c>
      <c r="F241" s="5" t="n"/>
    </row>
    <row r="242">
      <c r="A242" s="10">
        <f>IF($E242="","",INDEX('Input Transaksi'!$A:$A,$E242))</f>
        <v/>
      </c>
      <c r="B242" s="5">
        <f>IF($E242="","",INDEX('Input Transaksi'!$D:$D,$E242))</f>
        <v/>
      </c>
      <c r="C242">
        <f>IF($E242="","",INDEX('Input Transaksi'!$E:$E,$E242))</f>
        <v/>
      </c>
      <c r="D242" s="5">
        <f>IF($E242="","",INDEX('Input Transaksi'!$F:$F,$E242))</f>
        <v/>
      </c>
      <c r="E242">
        <f>IFERROR(AGGREGATE(15,6,ROW('Input Transaksi'!$B$5:$B$5000)/('Input Transaksi'!$B$5:$B$5000="KLIN WASH"),ROWS($E$5:E242)),"")</f>
        <v/>
      </c>
      <c r="F242" s="5" t="n"/>
    </row>
    <row r="243">
      <c r="A243" s="10">
        <f>IF($E243="","",INDEX('Input Transaksi'!$A:$A,$E243))</f>
        <v/>
      </c>
      <c r="B243" s="5">
        <f>IF($E243="","",INDEX('Input Transaksi'!$D:$D,$E243))</f>
        <v/>
      </c>
      <c r="C243">
        <f>IF($E243="","",INDEX('Input Transaksi'!$E:$E,$E243))</f>
        <v/>
      </c>
      <c r="D243" s="5">
        <f>IF($E243="","",INDEX('Input Transaksi'!$F:$F,$E243))</f>
        <v/>
      </c>
      <c r="E243">
        <f>IFERROR(AGGREGATE(15,6,ROW('Input Transaksi'!$B$5:$B$5000)/('Input Transaksi'!$B$5:$B$5000="KLIN WASH"),ROWS($E$5:E243)),"")</f>
        <v/>
      </c>
      <c r="F243" s="5" t="n"/>
    </row>
    <row r="244">
      <c r="A244" s="10">
        <f>IF($E244="","",INDEX('Input Transaksi'!$A:$A,$E244))</f>
        <v/>
      </c>
      <c r="B244" s="5">
        <f>IF($E244="","",INDEX('Input Transaksi'!$D:$D,$E244))</f>
        <v/>
      </c>
      <c r="C244">
        <f>IF($E244="","",INDEX('Input Transaksi'!$E:$E,$E244))</f>
        <v/>
      </c>
      <c r="D244" s="5">
        <f>IF($E244="","",INDEX('Input Transaksi'!$F:$F,$E244))</f>
        <v/>
      </c>
      <c r="E244">
        <f>IFERROR(AGGREGATE(15,6,ROW('Input Transaksi'!$B$5:$B$5000)/('Input Transaksi'!$B$5:$B$5000="KLIN WASH"),ROWS($E$5:E244)),"")</f>
        <v/>
      </c>
      <c r="F244" s="5" t="n"/>
    </row>
    <row r="245">
      <c r="A245" s="10">
        <f>IF($E245="","",INDEX('Input Transaksi'!$A:$A,$E245))</f>
        <v/>
      </c>
      <c r="B245" s="5">
        <f>IF($E245="","",INDEX('Input Transaksi'!$D:$D,$E245))</f>
        <v/>
      </c>
      <c r="C245">
        <f>IF($E245="","",INDEX('Input Transaksi'!$E:$E,$E245))</f>
        <v/>
      </c>
      <c r="D245" s="5">
        <f>IF($E245="","",INDEX('Input Transaksi'!$F:$F,$E245))</f>
        <v/>
      </c>
      <c r="E245">
        <f>IFERROR(AGGREGATE(15,6,ROW('Input Transaksi'!$B$5:$B$5000)/('Input Transaksi'!$B$5:$B$5000="KLIN WASH"),ROWS($E$5:E245)),"")</f>
        <v/>
      </c>
      <c r="F245" s="5" t="n"/>
    </row>
    <row r="246">
      <c r="A246" s="10">
        <f>IF($E246="","",INDEX('Input Transaksi'!$A:$A,$E246))</f>
        <v/>
      </c>
      <c r="B246" s="5">
        <f>IF($E246="","",INDEX('Input Transaksi'!$D:$D,$E246))</f>
        <v/>
      </c>
      <c r="C246">
        <f>IF($E246="","",INDEX('Input Transaksi'!$E:$E,$E246))</f>
        <v/>
      </c>
      <c r="D246" s="5">
        <f>IF($E246="","",INDEX('Input Transaksi'!$F:$F,$E246))</f>
        <v/>
      </c>
      <c r="E246">
        <f>IFERROR(AGGREGATE(15,6,ROW('Input Transaksi'!$B$5:$B$5000)/('Input Transaksi'!$B$5:$B$5000="KLIN WASH"),ROWS($E$5:E246)),"")</f>
        <v/>
      </c>
      <c r="F246" s="5" t="n"/>
    </row>
    <row r="247">
      <c r="A247" s="10">
        <f>IF($E247="","",INDEX('Input Transaksi'!$A:$A,$E247))</f>
        <v/>
      </c>
      <c r="B247" s="5">
        <f>IF($E247="","",INDEX('Input Transaksi'!$D:$D,$E247))</f>
        <v/>
      </c>
      <c r="C247">
        <f>IF($E247="","",INDEX('Input Transaksi'!$E:$E,$E247))</f>
        <v/>
      </c>
      <c r="D247" s="5">
        <f>IF($E247="","",INDEX('Input Transaksi'!$F:$F,$E247))</f>
        <v/>
      </c>
      <c r="E247">
        <f>IFERROR(AGGREGATE(15,6,ROW('Input Transaksi'!$B$5:$B$5000)/('Input Transaksi'!$B$5:$B$5000="KLIN WASH"),ROWS($E$5:E247)),"")</f>
        <v/>
      </c>
      <c r="F247" s="5" t="n"/>
    </row>
    <row r="248">
      <c r="A248" s="10">
        <f>IF($E248="","",INDEX('Input Transaksi'!$A:$A,$E248))</f>
        <v/>
      </c>
      <c r="B248" s="5">
        <f>IF($E248="","",INDEX('Input Transaksi'!$D:$D,$E248))</f>
        <v/>
      </c>
      <c r="C248">
        <f>IF($E248="","",INDEX('Input Transaksi'!$E:$E,$E248))</f>
        <v/>
      </c>
      <c r="D248" s="5">
        <f>IF($E248="","",INDEX('Input Transaksi'!$F:$F,$E248))</f>
        <v/>
      </c>
      <c r="E248">
        <f>IFERROR(AGGREGATE(15,6,ROW('Input Transaksi'!$B$5:$B$5000)/('Input Transaksi'!$B$5:$B$5000="KLIN WASH"),ROWS($E$5:E248)),"")</f>
        <v/>
      </c>
      <c r="F248" s="5" t="n"/>
    </row>
    <row r="249">
      <c r="A249" s="10">
        <f>IF($E249="","",INDEX('Input Transaksi'!$A:$A,$E249))</f>
        <v/>
      </c>
      <c r="B249" s="5">
        <f>IF($E249="","",INDEX('Input Transaksi'!$D:$D,$E249))</f>
        <v/>
      </c>
      <c r="C249">
        <f>IF($E249="","",INDEX('Input Transaksi'!$E:$E,$E249))</f>
        <v/>
      </c>
      <c r="D249" s="5">
        <f>IF($E249="","",INDEX('Input Transaksi'!$F:$F,$E249))</f>
        <v/>
      </c>
      <c r="E249">
        <f>IFERROR(AGGREGATE(15,6,ROW('Input Transaksi'!$B$5:$B$5000)/('Input Transaksi'!$B$5:$B$5000="KLIN WASH"),ROWS($E$5:E249)),"")</f>
        <v/>
      </c>
      <c r="F249" s="5" t="n"/>
    </row>
    <row r="250">
      <c r="A250" s="10">
        <f>IF($E250="","",INDEX('Input Transaksi'!$A:$A,$E250))</f>
        <v/>
      </c>
      <c r="B250" s="5">
        <f>IF($E250="","",INDEX('Input Transaksi'!$D:$D,$E250))</f>
        <v/>
      </c>
      <c r="C250">
        <f>IF($E250="","",INDEX('Input Transaksi'!$E:$E,$E250))</f>
        <v/>
      </c>
      <c r="D250" s="5">
        <f>IF($E250="","",INDEX('Input Transaksi'!$F:$F,$E250))</f>
        <v/>
      </c>
      <c r="E250">
        <f>IFERROR(AGGREGATE(15,6,ROW('Input Transaksi'!$B$5:$B$5000)/('Input Transaksi'!$B$5:$B$5000="KLIN WASH"),ROWS($E$5:E250)),"")</f>
        <v/>
      </c>
      <c r="F250" s="5" t="n"/>
    </row>
    <row r="251">
      <c r="A251" s="10">
        <f>IF($E251="","",INDEX('Input Transaksi'!$A:$A,$E251))</f>
        <v/>
      </c>
      <c r="B251" s="5">
        <f>IF($E251="","",INDEX('Input Transaksi'!$D:$D,$E251))</f>
        <v/>
      </c>
      <c r="C251">
        <f>IF($E251="","",INDEX('Input Transaksi'!$E:$E,$E251))</f>
        <v/>
      </c>
      <c r="D251" s="5">
        <f>IF($E251="","",INDEX('Input Transaksi'!$F:$F,$E251))</f>
        <v/>
      </c>
      <c r="E251">
        <f>IFERROR(AGGREGATE(15,6,ROW('Input Transaksi'!$B$5:$B$5000)/('Input Transaksi'!$B$5:$B$5000="KLIN WASH"),ROWS($E$5:E251)),"")</f>
        <v/>
      </c>
      <c r="F251" s="5" t="n"/>
    </row>
    <row r="252">
      <c r="A252" s="10">
        <f>IF($E252="","",INDEX('Input Transaksi'!$A:$A,$E252))</f>
        <v/>
      </c>
      <c r="B252" s="5">
        <f>IF($E252="","",INDEX('Input Transaksi'!$D:$D,$E252))</f>
        <v/>
      </c>
      <c r="C252">
        <f>IF($E252="","",INDEX('Input Transaksi'!$E:$E,$E252))</f>
        <v/>
      </c>
      <c r="D252" s="5">
        <f>IF($E252="","",INDEX('Input Transaksi'!$F:$F,$E252))</f>
        <v/>
      </c>
      <c r="E252">
        <f>IFERROR(AGGREGATE(15,6,ROW('Input Transaksi'!$B$5:$B$5000)/('Input Transaksi'!$B$5:$B$5000="KLIN WASH"),ROWS($E$5:E252)),"")</f>
        <v/>
      </c>
      <c r="F252" s="5" t="n"/>
    </row>
    <row r="253">
      <c r="A253" s="10">
        <f>IF($E253="","",INDEX('Input Transaksi'!$A:$A,$E253))</f>
        <v/>
      </c>
      <c r="B253" s="5">
        <f>IF($E253="","",INDEX('Input Transaksi'!$D:$D,$E253))</f>
        <v/>
      </c>
      <c r="C253">
        <f>IF($E253="","",INDEX('Input Transaksi'!$E:$E,$E253))</f>
        <v/>
      </c>
      <c r="D253" s="5">
        <f>IF($E253="","",INDEX('Input Transaksi'!$F:$F,$E253))</f>
        <v/>
      </c>
      <c r="E253">
        <f>IFERROR(AGGREGATE(15,6,ROW('Input Transaksi'!$B$5:$B$5000)/('Input Transaksi'!$B$5:$B$5000="KLIN WASH"),ROWS($E$5:E253)),"")</f>
        <v/>
      </c>
      <c r="F253" s="5" t="n"/>
    </row>
    <row r="254">
      <c r="A254" s="10">
        <f>IF($E254="","",INDEX('Input Transaksi'!$A:$A,$E254))</f>
        <v/>
      </c>
      <c r="B254" s="5">
        <f>IF($E254="","",INDEX('Input Transaksi'!$D:$D,$E254))</f>
        <v/>
      </c>
      <c r="C254">
        <f>IF($E254="","",INDEX('Input Transaksi'!$E:$E,$E254))</f>
        <v/>
      </c>
      <c r="D254" s="5">
        <f>IF($E254="","",INDEX('Input Transaksi'!$F:$F,$E254))</f>
        <v/>
      </c>
      <c r="E254">
        <f>IFERROR(AGGREGATE(15,6,ROW('Input Transaksi'!$B$5:$B$5000)/('Input Transaksi'!$B$5:$B$5000="KLIN WASH"),ROWS($E$5:E254)),"")</f>
        <v/>
      </c>
      <c r="F254" s="5" t="n"/>
    </row>
    <row r="255">
      <c r="A255" s="10">
        <f>IF($E255="","",INDEX('Input Transaksi'!$A:$A,$E255))</f>
        <v/>
      </c>
      <c r="B255" s="5">
        <f>IF($E255="","",INDEX('Input Transaksi'!$D:$D,$E255))</f>
        <v/>
      </c>
      <c r="C255">
        <f>IF($E255="","",INDEX('Input Transaksi'!$E:$E,$E255))</f>
        <v/>
      </c>
      <c r="D255" s="5">
        <f>IF($E255="","",INDEX('Input Transaksi'!$F:$F,$E255))</f>
        <v/>
      </c>
      <c r="E255">
        <f>IFERROR(AGGREGATE(15,6,ROW('Input Transaksi'!$B$5:$B$5000)/('Input Transaksi'!$B$5:$B$5000="KLIN WASH"),ROWS($E$5:E255)),"")</f>
        <v/>
      </c>
      <c r="F255" s="5" t="n"/>
    </row>
    <row r="256">
      <c r="A256" s="10">
        <f>IF($E256="","",INDEX('Input Transaksi'!$A:$A,$E256))</f>
        <v/>
      </c>
      <c r="B256" s="5">
        <f>IF($E256="","",INDEX('Input Transaksi'!$D:$D,$E256))</f>
        <v/>
      </c>
      <c r="C256">
        <f>IF($E256="","",INDEX('Input Transaksi'!$E:$E,$E256))</f>
        <v/>
      </c>
      <c r="D256" s="5">
        <f>IF($E256="","",INDEX('Input Transaksi'!$F:$F,$E256))</f>
        <v/>
      </c>
      <c r="E256">
        <f>IFERROR(AGGREGATE(15,6,ROW('Input Transaksi'!$B$5:$B$5000)/('Input Transaksi'!$B$5:$B$5000="KLIN WASH"),ROWS($E$5:E256)),"")</f>
        <v/>
      </c>
      <c r="F256" s="5" t="n"/>
    </row>
    <row r="257">
      <c r="A257" s="10">
        <f>IF($E257="","",INDEX('Input Transaksi'!$A:$A,$E257))</f>
        <v/>
      </c>
      <c r="B257" s="5">
        <f>IF($E257="","",INDEX('Input Transaksi'!$D:$D,$E257))</f>
        <v/>
      </c>
      <c r="C257">
        <f>IF($E257="","",INDEX('Input Transaksi'!$E:$E,$E257))</f>
        <v/>
      </c>
      <c r="D257" s="5">
        <f>IF($E257="","",INDEX('Input Transaksi'!$F:$F,$E257))</f>
        <v/>
      </c>
      <c r="E257">
        <f>IFERROR(AGGREGATE(15,6,ROW('Input Transaksi'!$B$5:$B$5000)/('Input Transaksi'!$B$5:$B$5000="KLIN WASH"),ROWS($E$5:E257)),"")</f>
        <v/>
      </c>
      <c r="F257" s="5" t="n"/>
    </row>
    <row r="258">
      <c r="A258" s="10">
        <f>IF($E258="","",INDEX('Input Transaksi'!$A:$A,$E258))</f>
        <v/>
      </c>
      <c r="B258" s="5">
        <f>IF($E258="","",INDEX('Input Transaksi'!$D:$D,$E258))</f>
        <v/>
      </c>
      <c r="C258">
        <f>IF($E258="","",INDEX('Input Transaksi'!$E:$E,$E258))</f>
        <v/>
      </c>
      <c r="D258" s="5">
        <f>IF($E258="","",INDEX('Input Transaksi'!$F:$F,$E258))</f>
        <v/>
      </c>
      <c r="E258">
        <f>IFERROR(AGGREGATE(15,6,ROW('Input Transaksi'!$B$5:$B$5000)/('Input Transaksi'!$B$5:$B$5000="KLIN WASH"),ROWS($E$5:E258)),"")</f>
        <v/>
      </c>
      <c r="F258" s="5" t="n"/>
    </row>
    <row r="259">
      <c r="A259" s="10">
        <f>IF($E259="","",INDEX('Input Transaksi'!$A:$A,$E259))</f>
        <v/>
      </c>
      <c r="B259" s="5">
        <f>IF($E259="","",INDEX('Input Transaksi'!$D:$D,$E259))</f>
        <v/>
      </c>
      <c r="C259">
        <f>IF($E259="","",INDEX('Input Transaksi'!$E:$E,$E259))</f>
        <v/>
      </c>
      <c r="D259" s="5">
        <f>IF($E259="","",INDEX('Input Transaksi'!$F:$F,$E259))</f>
        <v/>
      </c>
      <c r="E259">
        <f>IFERROR(AGGREGATE(15,6,ROW('Input Transaksi'!$B$5:$B$5000)/('Input Transaksi'!$B$5:$B$5000="KLIN WASH"),ROWS($E$5:E259)),"")</f>
        <v/>
      </c>
      <c r="F259" s="5" t="n"/>
    </row>
    <row r="260">
      <c r="A260" s="10">
        <f>IF($E260="","",INDEX('Input Transaksi'!$A:$A,$E260))</f>
        <v/>
      </c>
      <c r="B260" s="5">
        <f>IF($E260="","",INDEX('Input Transaksi'!$D:$D,$E260))</f>
        <v/>
      </c>
      <c r="C260">
        <f>IF($E260="","",INDEX('Input Transaksi'!$E:$E,$E260))</f>
        <v/>
      </c>
      <c r="D260" s="5">
        <f>IF($E260="","",INDEX('Input Transaksi'!$F:$F,$E260))</f>
        <v/>
      </c>
      <c r="E260">
        <f>IFERROR(AGGREGATE(15,6,ROW('Input Transaksi'!$B$5:$B$5000)/('Input Transaksi'!$B$5:$B$5000="KLIN WASH"),ROWS($E$5:E260)),"")</f>
        <v/>
      </c>
      <c r="F260" s="5" t="n"/>
    </row>
    <row r="261">
      <c r="A261" s="10">
        <f>IF($E261="","",INDEX('Input Transaksi'!$A:$A,$E261))</f>
        <v/>
      </c>
      <c r="B261" s="5">
        <f>IF($E261="","",INDEX('Input Transaksi'!$D:$D,$E261))</f>
        <v/>
      </c>
      <c r="C261">
        <f>IF($E261="","",INDEX('Input Transaksi'!$E:$E,$E261))</f>
        <v/>
      </c>
      <c r="D261" s="5">
        <f>IF($E261="","",INDEX('Input Transaksi'!$F:$F,$E261))</f>
        <v/>
      </c>
      <c r="E261">
        <f>IFERROR(AGGREGATE(15,6,ROW('Input Transaksi'!$B$5:$B$5000)/('Input Transaksi'!$B$5:$B$5000="KLIN WASH"),ROWS($E$5:E261)),"")</f>
        <v/>
      </c>
      <c r="F261" s="5" t="n"/>
    </row>
    <row r="262">
      <c r="A262" s="10">
        <f>IF($E262="","",INDEX('Input Transaksi'!$A:$A,$E262))</f>
        <v/>
      </c>
      <c r="B262" s="5">
        <f>IF($E262="","",INDEX('Input Transaksi'!$D:$D,$E262))</f>
        <v/>
      </c>
      <c r="C262">
        <f>IF($E262="","",INDEX('Input Transaksi'!$E:$E,$E262))</f>
        <v/>
      </c>
      <c r="D262" s="5">
        <f>IF($E262="","",INDEX('Input Transaksi'!$F:$F,$E262))</f>
        <v/>
      </c>
      <c r="E262">
        <f>IFERROR(AGGREGATE(15,6,ROW('Input Transaksi'!$B$5:$B$5000)/('Input Transaksi'!$B$5:$B$5000="KLIN WASH"),ROWS($E$5:E262)),"")</f>
        <v/>
      </c>
      <c r="F262" s="5" t="n"/>
    </row>
    <row r="263">
      <c r="A263" s="10">
        <f>IF($E263="","",INDEX('Input Transaksi'!$A:$A,$E263))</f>
        <v/>
      </c>
      <c r="B263" s="5">
        <f>IF($E263="","",INDEX('Input Transaksi'!$D:$D,$E263))</f>
        <v/>
      </c>
      <c r="C263">
        <f>IF($E263="","",INDEX('Input Transaksi'!$E:$E,$E263))</f>
        <v/>
      </c>
      <c r="D263" s="5">
        <f>IF($E263="","",INDEX('Input Transaksi'!$F:$F,$E263))</f>
        <v/>
      </c>
      <c r="E263">
        <f>IFERROR(AGGREGATE(15,6,ROW('Input Transaksi'!$B$5:$B$5000)/('Input Transaksi'!$B$5:$B$5000="KLIN WASH"),ROWS($E$5:E263)),"")</f>
        <v/>
      </c>
      <c r="F263" s="5" t="n"/>
    </row>
    <row r="264">
      <c r="A264" s="10">
        <f>IF($E264="","",INDEX('Input Transaksi'!$A:$A,$E264))</f>
        <v/>
      </c>
      <c r="B264" s="5">
        <f>IF($E264="","",INDEX('Input Transaksi'!$D:$D,$E264))</f>
        <v/>
      </c>
      <c r="C264">
        <f>IF($E264="","",INDEX('Input Transaksi'!$E:$E,$E264))</f>
        <v/>
      </c>
      <c r="D264" s="5">
        <f>IF($E264="","",INDEX('Input Transaksi'!$F:$F,$E264))</f>
        <v/>
      </c>
      <c r="E264">
        <f>IFERROR(AGGREGATE(15,6,ROW('Input Transaksi'!$B$5:$B$5000)/('Input Transaksi'!$B$5:$B$5000="KLIN WASH"),ROWS($E$5:E264)),"")</f>
        <v/>
      </c>
      <c r="F264" s="5" t="n"/>
    </row>
    <row r="265">
      <c r="A265" s="10">
        <f>IF($E265="","",INDEX('Input Transaksi'!$A:$A,$E265))</f>
        <v/>
      </c>
      <c r="B265" s="5">
        <f>IF($E265="","",INDEX('Input Transaksi'!$D:$D,$E265))</f>
        <v/>
      </c>
      <c r="C265">
        <f>IF($E265="","",INDEX('Input Transaksi'!$E:$E,$E265))</f>
        <v/>
      </c>
      <c r="D265" s="5">
        <f>IF($E265="","",INDEX('Input Transaksi'!$F:$F,$E265))</f>
        <v/>
      </c>
      <c r="E265">
        <f>IFERROR(AGGREGATE(15,6,ROW('Input Transaksi'!$B$5:$B$5000)/('Input Transaksi'!$B$5:$B$5000="KLIN WASH"),ROWS($E$5:E265)),"")</f>
        <v/>
      </c>
      <c r="F265" s="5" t="n"/>
    </row>
    <row r="266">
      <c r="A266" s="10">
        <f>IF($E266="","",INDEX('Input Transaksi'!$A:$A,$E266))</f>
        <v/>
      </c>
      <c r="B266" s="5">
        <f>IF($E266="","",INDEX('Input Transaksi'!$D:$D,$E266))</f>
        <v/>
      </c>
      <c r="C266">
        <f>IF($E266="","",INDEX('Input Transaksi'!$E:$E,$E266))</f>
        <v/>
      </c>
      <c r="D266" s="5">
        <f>IF($E266="","",INDEX('Input Transaksi'!$F:$F,$E266))</f>
        <v/>
      </c>
      <c r="E266">
        <f>IFERROR(AGGREGATE(15,6,ROW('Input Transaksi'!$B$5:$B$5000)/('Input Transaksi'!$B$5:$B$5000="KLIN WASH"),ROWS($E$5:E266)),"")</f>
        <v/>
      </c>
      <c r="F266" s="5" t="n"/>
    </row>
    <row r="267">
      <c r="A267" s="10">
        <f>IF($E267="","",INDEX('Input Transaksi'!$A:$A,$E267))</f>
        <v/>
      </c>
      <c r="B267" s="5">
        <f>IF($E267="","",INDEX('Input Transaksi'!$D:$D,$E267))</f>
        <v/>
      </c>
      <c r="C267">
        <f>IF($E267="","",INDEX('Input Transaksi'!$E:$E,$E267))</f>
        <v/>
      </c>
      <c r="D267" s="5">
        <f>IF($E267="","",INDEX('Input Transaksi'!$F:$F,$E267))</f>
        <v/>
      </c>
      <c r="E267">
        <f>IFERROR(AGGREGATE(15,6,ROW('Input Transaksi'!$B$5:$B$5000)/('Input Transaksi'!$B$5:$B$5000="KLIN WASH"),ROWS($E$5:E267)),"")</f>
        <v/>
      </c>
      <c r="F267" s="5" t="n"/>
    </row>
    <row r="268">
      <c r="A268" s="10">
        <f>IF($E268="","",INDEX('Input Transaksi'!$A:$A,$E268))</f>
        <v/>
      </c>
      <c r="B268" s="5">
        <f>IF($E268="","",INDEX('Input Transaksi'!$D:$D,$E268))</f>
        <v/>
      </c>
      <c r="C268">
        <f>IF($E268="","",INDEX('Input Transaksi'!$E:$E,$E268))</f>
        <v/>
      </c>
      <c r="D268" s="5">
        <f>IF($E268="","",INDEX('Input Transaksi'!$F:$F,$E268))</f>
        <v/>
      </c>
      <c r="E268">
        <f>IFERROR(AGGREGATE(15,6,ROW('Input Transaksi'!$B$5:$B$5000)/('Input Transaksi'!$B$5:$B$5000="KLIN WASH"),ROWS($E$5:E268)),"")</f>
        <v/>
      </c>
      <c r="F268" s="5" t="n"/>
    </row>
    <row r="269">
      <c r="A269" s="10">
        <f>IF($E269="","",INDEX('Input Transaksi'!$A:$A,$E269))</f>
        <v/>
      </c>
      <c r="B269" s="5">
        <f>IF($E269="","",INDEX('Input Transaksi'!$D:$D,$E269))</f>
        <v/>
      </c>
      <c r="C269">
        <f>IF($E269="","",INDEX('Input Transaksi'!$E:$E,$E269))</f>
        <v/>
      </c>
      <c r="D269" s="5">
        <f>IF($E269="","",INDEX('Input Transaksi'!$F:$F,$E269))</f>
        <v/>
      </c>
      <c r="E269">
        <f>IFERROR(AGGREGATE(15,6,ROW('Input Transaksi'!$B$5:$B$5000)/('Input Transaksi'!$B$5:$B$5000="KLIN WASH"),ROWS($E$5:E269)),"")</f>
        <v/>
      </c>
      <c r="F269" s="5" t="n"/>
    </row>
    <row r="270">
      <c r="A270" s="10">
        <f>IF($E270="","",INDEX('Input Transaksi'!$A:$A,$E270))</f>
        <v/>
      </c>
      <c r="B270" s="5">
        <f>IF($E270="","",INDEX('Input Transaksi'!$D:$D,$E270))</f>
        <v/>
      </c>
      <c r="C270">
        <f>IF($E270="","",INDEX('Input Transaksi'!$E:$E,$E270))</f>
        <v/>
      </c>
      <c r="D270" s="5">
        <f>IF($E270="","",INDEX('Input Transaksi'!$F:$F,$E270))</f>
        <v/>
      </c>
      <c r="E270">
        <f>IFERROR(AGGREGATE(15,6,ROW('Input Transaksi'!$B$5:$B$5000)/('Input Transaksi'!$B$5:$B$5000="KLIN WASH"),ROWS($E$5:E270)),"")</f>
        <v/>
      </c>
      <c r="F270" s="5" t="n"/>
    </row>
    <row r="271">
      <c r="A271" s="10">
        <f>IF($E271="","",INDEX('Input Transaksi'!$A:$A,$E271))</f>
        <v/>
      </c>
      <c r="B271" s="5">
        <f>IF($E271="","",INDEX('Input Transaksi'!$D:$D,$E271))</f>
        <v/>
      </c>
      <c r="C271">
        <f>IF($E271="","",INDEX('Input Transaksi'!$E:$E,$E271))</f>
        <v/>
      </c>
      <c r="D271" s="5">
        <f>IF($E271="","",INDEX('Input Transaksi'!$F:$F,$E271))</f>
        <v/>
      </c>
      <c r="E271">
        <f>IFERROR(AGGREGATE(15,6,ROW('Input Transaksi'!$B$5:$B$5000)/('Input Transaksi'!$B$5:$B$5000="KLIN WASH"),ROWS($E$5:E271)),"")</f>
        <v/>
      </c>
      <c r="F271" s="5" t="n"/>
    </row>
    <row r="272">
      <c r="A272" s="10">
        <f>IF($E272="","",INDEX('Input Transaksi'!$A:$A,$E272))</f>
        <v/>
      </c>
      <c r="B272" s="5">
        <f>IF($E272="","",INDEX('Input Transaksi'!$D:$D,$E272))</f>
        <v/>
      </c>
      <c r="C272">
        <f>IF($E272="","",INDEX('Input Transaksi'!$E:$E,$E272))</f>
        <v/>
      </c>
      <c r="D272" s="5">
        <f>IF($E272="","",INDEX('Input Transaksi'!$F:$F,$E272))</f>
        <v/>
      </c>
      <c r="E272">
        <f>IFERROR(AGGREGATE(15,6,ROW('Input Transaksi'!$B$5:$B$5000)/('Input Transaksi'!$B$5:$B$5000="KLIN WASH"),ROWS($E$5:E272)),"")</f>
        <v/>
      </c>
      <c r="F272" s="5" t="n"/>
    </row>
    <row r="273">
      <c r="A273" s="10">
        <f>IF($E273="","",INDEX('Input Transaksi'!$A:$A,$E273))</f>
        <v/>
      </c>
      <c r="B273" s="5">
        <f>IF($E273="","",INDEX('Input Transaksi'!$D:$D,$E273))</f>
        <v/>
      </c>
      <c r="C273">
        <f>IF($E273="","",INDEX('Input Transaksi'!$E:$E,$E273))</f>
        <v/>
      </c>
      <c r="D273" s="5">
        <f>IF($E273="","",INDEX('Input Transaksi'!$F:$F,$E273))</f>
        <v/>
      </c>
      <c r="E273">
        <f>IFERROR(AGGREGATE(15,6,ROW('Input Transaksi'!$B$5:$B$5000)/('Input Transaksi'!$B$5:$B$5000="KLIN WASH"),ROWS($E$5:E273)),"")</f>
        <v/>
      </c>
      <c r="F273" s="5" t="n"/>
    </row>
    <row r="274">
      <c r="A274" s="10">
        <f>IF($E274="","",INDEX('Input Transaksi'!$A:$A,$E274))</f>
        <v/>
      </c>
      <c r="B274" s="5">
        <f>IF($E274="","",INDEX('Input Transaksi'!$D:$D,$E274))</f>
        <v/>
      </c>
      <c r="C274">
        <f>IF($E274="","",INDEX('Input Transaksi'!$E:$E,$E274))</f>
        <v/>
      </c>
      <c r="D274" s="5">
        <f>IF($E274="","",INDEX('Input Transaksi'!$F:$F,$E274))</f>
        <v/>
      </c>
      <c r="E274">
        <f>IFERROR(AGGREGATE(15,6,ROW('Input Transaksi'!$B$5:$B$5000)/('Input Transaksi'!$B$5:$B$5000="KLIN WASH"),ROWS($E$5:E274)),"")</f>
        <v/>
      </c>
      <c r="F274" s="5" t="n"/>
    </row>
    <row r="275">
      <c r="A275" s="10">
        <f>IF($E275="","",INDEX('Input Transaksi'!$A:$A,$E275))</f>
        <v/>
      </c>
      <c r="B275" s="5">
        <f>IF($E275="","",INDEX('Input Transaksi'!$D:$D,$E275))</f>
        <v/>
      </c>
      <c r="C275">
        <f>IF($E275="","",INDEX('Input Transaksi'!$E:$E,$E275))</f>
        <v/>
      </c>
      <c r="D275" s="5">
        <f>IF($E275="","",INDEX('Input Transaksi'!$F:$F,$E275))</f>
        <v/>
      </c>
      <c r="E275">
        <f>IFERROR(AGGREGATE(15,6,ROW('Input Transaksi'!$B$5:$B$5000)/('Input Transaksi'!$B$5:$B$5000="KLIN WASH"),ROWS($E$5:E275)),"")</f>
        <v/>
      </c>
      <c r="F275" s="5" t="n"/>
    </row>
    <row r="276">
      <c r="A276" s="10">
        <f>IF($E276="","",INDEX('Input Transaksi'!$A:$A,$E276))</f>
        <v/>
      </c>
      <c r="B276" s="5">
        <f>IF($E276="","",INDEX('Input Transaksi'!$D:$D,$E276))</f>
        <v/>
      </c>
      <c r="C276">
        <f>IF($E276="","",INDEX('Input Transaksi'!$E:$E,$E276))</f>
        <v/>
      </c>
      <c r="D276" s="5">
        <f>IF($E276="","",INDEX('Input Transaksi'!$F:$F,$E276))</f>
        <v/>
      </c>
      <c r="E276">
        <f>IFERROR(AGGREGATE(15,6,ROW('Input Transaksi'!$B$5:$B$5000)/('Input Transaksi'!$B$5:$B$5000="KLIN WASH"),ROWS($E$5:E276)),"")</f>
        <v/>
      </c>
      <c r="F276" s="5" t="n"/>
    </row>
    <row r="277">
      <c r="A277" s="10">
        <f>IF($E277="","",INDEX('Input Transaksi'!$A:$A,$E277))</f>
        <v/>
      </c>
      <c r="B277" s="5">
        <f>IF($E277="","",INDEX('Input Transaksi'!$D:$D,$E277))</f>
        <v/>
      </c>
      <c r="C277">
        <f>IF($E277="","",INDEX('Input Transaksi'!$E:$E,$E277))</f>
        <v/>
      </c>
      <c r="D277" s="5">
        <f>IF($E277="","",INDEX('Input Transaksi'!$F:$F,$E277))</f>
        <v/>
      </c>
      <c r="E277">
        <f>IFERROR(AGGREGATE(15,6,ROW('Input Transaksi'!$B$5:$B$5000)/('Input Transaksi'!$B$5:$B$5000="KLIN WASH"),ROWS($E$5:E277)),"")</f>
        <v/>
      </c>
      <c r="F277" s="5" t="n"/>
    </row>
    <row r="278">
      <c r="A278" s="10">
        <f>IF($E278="","",INDEX('Input Transaksi'!$A:$A,$E278))</f>
        <v/>
      </c>
      <c r="B278" s="5">
        <f>IF($E278="","",INDEX('Input Transaksi'!$D:$D,$E278))</f>
        <v/>
      </c>
      <c r="C278">
        <f>IF($E278="","",INDEX('Input Transaksi'!$E:$E,$E278))</f>
        <v/>
      </c>
      <c r="D278" s="5">
        <f>IF($E278="","",INDEX('Input Transaksi'!$F:$F,$E278))</f>
        <v/>
      </c>
      <c r="E278">
        <f>IFERROR(AGGREGATE(15,6,ROW('Input Transaksi'!$B$5:$B$5000)/('Input Transaksi'!$B$5:$B$5000="KLIN WASH"),ROWS($E$5:E278)),"")</f>
        <v/>
      </c>
      <c r="F278" s="5" t="n"/>
    </row>
    <row r="279">
      <c r="A279" s="10">
        <f>IF($E279="","",INDEX('Input Transaksi'!$A:$A,$E279))</f>
        <v/>
      </c>
      <c r="B279" s="5">
        <f>IF($E279="","",INDEX('Input Transaksi'!$D:$D,$E279))</f>
        <v/>
      </c>
      <c r="C279">
        <f>IF($E279="","",INDEX('Input Transaksi'!$E:$E,$E279))</f>
        <v/>
      </c>
      <c r="D279" s="5">
        <f>IF($E279="","",INDEX('Input Transaksi'!$F:$F,$E279))</f>
        <v/>
      </c>
      <c r="E279">
        <f>IFERROR(AGGREGATE(15,6,ROW('Input Transaksi'!$B$5:$B$5000)/('Input Transaksi'!$B$5:$B$5000="KLIN WASH"),ROWS($E$5:E279)),"")</f>
        <v/>
      </c>
      <c r="F279" s="5" t="n"/>
    </row>
    <row r="280">
      <c r="A280" s="10">
        <f>IF($E280="","",INDEX('Input Transaksi'!$A:$A,$E280))</f>
        <v/>
      </c>
      <c r="B280" s="5">
        <f>IF($E280="","",INDEX('Input Transaksi'!$D:$D,$E280))</f>
        <v/>
      </c>
      <c r="C280">
        <f>IF($E280="","",INDEX('Input Transaksi'!$E:$E,$E280))</f>
        <v/>
      </c>
      <c r="D280" s="5">
        <f>IF($E280="","",INDEX('Input Transaksi'!$F:$F,$E280))</f>
        <v/>
      </c>
      <c r="E280">
        <f>IFERROR(AGGREGATE(15,6,ROW('Input Transaksi'!$B$5:$B$5000)/('Input Transaksi'!$B$5:$B$5000="KLIN WASH"),ROWS($E$5:E280)),"")</f>
        <v/>
      </c>
      <c r="F280" s="5" t="n"/>
    </row>
    <row r="281">
      <c r="A281" s="10">
        <f>IF($E281="","",INDEX('Input Transaksi'!$A:$A,$E281))</f>
        <v/>
      </c>
      <c r="B281" s="5">
        <f>IF($E281="","",INDEX('Input Transaksi'!$D:$D,$E281))</f>
        <v/>
      </c>
      <c r="C281">
        <f>IF($E281="","",INDEX('Input Transaksi'!$E:$E,$E281))</f>
        <v/>
      </c>
      <c r="D281" s="5">
        <f>IF($E281="","",INDEX('Input Transaksi'!$F:$F,$E281))</f>
        <v/>
      </c>
      <c r="E281">
        <f>IFERROR(AGGREGATE(15,6,ROW('Input Transaksi'!$B$5:$B$5000)/('Input Transaksi'!$B$5:$B$5000="KLIN WASH"),ROWS($E$5:E281)),"")</f>
        <v/>
      </c>
      <c r="F281" s="5" t="n"/>
    </row>
    <row r="282">
      <c r="A282" s="10">
        <f>IF($E282="","",INDEX('Input Transaksi'!$A:$A,$E282))</f>
        <v/>
      </c>
      <c r="B282" s="5">
        <f>IF($E282="","",INDEX('Input Transaksi'!$D:$D,$E282))</f>
        <v/>
      </c>
      <c r="C282">
        <f>IF($E282="","",INDEX('Input Transaksi'!$E:$E,$E282))</f>
        <v/>
      </c>
      <c r="D282" s="5">
        <f>IF($E282="","",INDEX('Input Transaksi'!$F:$F,$E282))</f>
        <v/>
      </c>
      <c r="E282">
        <f>IFERROR(AGGREGATE(15,6,ROW('Input Transaksi'!$B$5:$B$5000)/('Input Transaksi'!$B$5:$B$5000="KLIN WASH"),ROWS($E$5:E282)),"")</f>
        <v/>
      </c>
      <c r="F282" s="5" t="n"/>
    </row>
    <row r="283">
      <c r="A283" s="10">
        <f>IF($E283="","",INDEX('Input Transaksi'!$A:$A,$E283))</f>
        <v/>
      </c>
      <c r="B283" s="5">
        <f>IF($E283="","",INDEX('Input Transaksi'!$D:$D,$E283))</f>
        <v/>
      </c>
      <c r="C283">
        <f>IF($E283="","",INDEX('Input Transaksi'!$E:$E,$E283))</f>
        <v/>
      </c>
      <c r="D283" s="5">
        <f>IF($E283="","",INDEX('Input Transaksi'!$F:$F,$E283))</f>
        <v/>
      </c>
      <c r="E283">
        <f>IFERROR(AGGREGATE(15,6,ROW('Input Transaksi'!$B$5:$B$5000)/('Input Transaksi'!$B$5:$B$5000="KLIN WASH"),ROWS($E$5:E283)),"")</f>
        <v/>
      </c>
      <c r="F283" s="5" t="n"/>
    </row>
    <row r="284">
      <c r="A284" s="10">
        <f>IF($E284="","",INDEX('Input Transaksi'!$A:$A,$E284))</f>
        <v/>
      </c>
      <c r="B284" s="5">
        <f>IF($E284="","",INDEX('Input Transaksi'!$D:$D,$E284))</f>
        <v/>
      </c>
      <c r="C284">
        <f>IF($E284="","",INDEX('Input Transaksi'!$E:$E,$E284))</f>
        <v/>
      </c>
      <c r="D284" s="5">
        <f>IF($E284="","",INDEX('Input Transaksi'!$F:$F,$E284))</f>
        <v/>
      </c>
      <c r="E284">
        <f>IFERROR(AGGREGATE(15,6,ROW('Input Transaksi'!$B$5:$B$5000)/('Input Transaksi'!$B$5:$B$5000="KLIN WASH"),ROWS($E$5:E284)),"")</f>
        <v/>
      </c>
      <c r="F284" s="5" t="n"/>
    </row>
    <row r="285">
      <c r="A285" s="10">
        <f>IF($E285="","",INDEX('Input Transaksi'!$A:$A,$E285))</f>
        <v/>
      </c>
      <c r="B285" s="5">
        <f>IF($E285="","",INDEX('Input Transaksi'!$D:$D,$E285))</f>
        <v/>
      </c>
      <c r="C285">
        <f>IF($E285="","",INDEX('Input Transaksi'!$E:$E,$E285))</f>
        <v/>
      </c>
      <c r="D285" s="5">
        <f>IF($E285="","",INDEX('Input Transaksi'!$F:$F,$E285))</f>
        <v/>
      </c>
      <c r="E285">
        <f>IFERROR(AGGREGATE(15,6,ROW('Input Transaksi'!$B$5:$B$5000)/('Input Transaksi'!$B$5:$B$5000="KLIN WASH"),ROWS($E$5:E285)),"")</f>
        <v/>
      </c>
      <c r="F285" s="5" t="n"/>
    </row>
    <row r="286">
      <c r="A286" s="10">
        <f>IF($E286="","",INDEX('Input Transaksi'!$A:$A,$E286))</f>
        <v/>
      </c>
      <c r="B286" s="5">
        <f>IF($E286="","",INDEX('Input Transaksi'!$D:$D,$E286))</f>
        <v/>
      </c>
      <c r="C286">
        <f>IF($E286="","",INDEX('Input Transaksi'!$E:$E,$E286))</f>
        <v/>
      </c>
      <c r="D286" s="5">
        <f>IF($E286="","",INDEX('Input Transaksi'!$F:$F,$E286))</f>
        <v/>
      </c>
      <c r="E286">
        <f>IFERROR(AGGREGATE(15,6,ROW('Input Transaksi'!$B$5:$B$5000)/('Input Transaksi'!$B$5:$B$5000="KLIN WASH"),ROWS($E$5:E286)),"")</f>
        <v/>
      </c>
      <c r="F286" s="5" t="n"/>
    </row>
    <row r="287">
      <c r="A287" s="10">
        <f>IF($E287="","",INDEX('Input Transaksi'!$A:$A,$E287))</f>
        <v/>
      </c>
      <c r="B287" s="5">
        <f>IF($E287="","",INDEX('Input Transaksi'!$D:$D,$E287))</f>
        <v/>
      </c>
      <c r="C287">
        <f>IF($E287="","",INDEX('Input Transaksi'!$E:$E,$E287))</f>
        <v/>
      </c>
      <c r="D287" s="5">
        <f>IF($E287="","",INDEX('Input Transaksi'!$F:$F,$E287))</f>
        <v/>
      </c>
      <c r="E287">
        <f>IFERROR(AGGREGATE(15,6,ROW('Input Transaksi'!$B$5:$B$5000)/('Input Transaksi'!$B$5:$B$5000="KLIN WASH"),ROWS($E$5:E287)),"")</f>
        <v/>
      </c>
      <c r="F287" s="5" t="n"/>
    </row>
    <row r="288">
      <c r="A288" s="10">
        <f>IF($E288="","",INDEX('Input Transaksi'!$A:$A,$E288))</f>
        <v/>
      </c>
      <c r="B288" s="5">
        <f>IF($E288="","",INDEX('Input Transaksi'!$D:$D,$E288))</f>
        <v/>
      </c>
      <c r="C288">
        <f>IF($E288="","",INDEX('Input Transaksi'!$E:$E,$E288))</f>
        <v/>
      </c>
      <c r="D288" s="5">
        <f>IF($E288="","",INDEX('Input Transaksi'!$F:$F,$E288))</f>
        <v/>
      </c>
      <c r="E288">
        <f>IFERROR(AGGREGATE(15,6,ROW('Input Transaksi'!$B$5:$B$5000)/('Input Transaksi'!$B$5:$B$5000="KLIN WASH"),ROWS($E$5:E288)),"")</f>
        <v/>
      </c>
      <c r="F288" s="5" t="n"/>
    </row>
    <row r="289">
      <c r="A289" s="10">
        <f>IF($E289="","",INDEX('Input Transaksi'!$A:$A,$E289))</f>
        <v/>
      </c>
      <c r="B289" s="5">
        <f>IF($E289="","",INDEX('Input Transaksi'!$D:$D,$E289))</f>
        <v/>
      </c>
      <c r="C289">
        <f>IF($E289="","",INDEX('Input Transaksi'!$E:$E,$E289))</f>
        <v/>
      </c>
      <c r="D289" s="5">
        <f>IF($E289="","",INDEX('Input Transaksi'!$F:$F,$E289))</f>
        <v/>
      </c>
      <c r="E289">
        <f>IFERROR(AGGREGATE(15,6,ROW('Input Transaksi'!$B$5:$B$5000)/('Input Transaksi'!$B$5:$B$5000="KLIN WASH"),ROWS($E$5:E289)),"")</f>
        <v/>
      </c>
      <c r="F289" s="5" t="n"/>
    </row>
    <row r="290">
      <c r="A290" s="10">
        <f>IF($E290="","",INDEX('Input Transaksi'!$A:$A,$E290))</f>
        <v/>
      </c>
      <c r="B290" s="5">
        <f>IF($E290="","",INDEX('Input Transaksi'!$D:$D,$E290))</f>
        <v/>
      </c>
      <c r="C290">
        <f>IF($E290="","",INDEX('Input Transaksi'!$E:$E,$E290))</f>
        <v/>
      </c>
      <c r="D290" s="5">
        <f>IF($E290="","",INDEX('Input Transaksi'!$F:$F,$E290))</f>
        <v/>
      </c>
      <c r="E290">
        <f>IFERROR(AGGREGATE(15,6,ROW('Input Transaksi'!$B$5:$B$5000)/('Input Transaksi'!$B$5:$B$5000="KLIN WASH"),ROWS($E$5:E290)),"")</f>
        <v/>
      </c>
      <c r="F290" s="5" t="n"/>
    </row>
    <row r="291">
      <c r="A291" s="10">
        <f>IF($E291="","",INDEX('Input Transaksi'!$A:$A,$E291))</f>
        <v/>
      </c>
      <c r="B291" s="5">
        <f>IF($E291="","",INDEX('Input Transaksi'!$D:$D,$E291))</f>
        <v/>
      </c>
      <c r="C291">
        <f>IF($E291="","",INDEX('Input Transaksi'!$E:$E,$E291))</f>
        <v/>
      </c>
      <c r="D291" s="5">
        <f>IF($E291="","",INDEX('Input Transaksi'!$F:$F,$E291))</f>
        <v/>
      </c>
      <c r="E291">
        <f>IFERROR(AGGREGATE(15,6,ROW('Input Transaksi'!$B$5:$B$5000)/('Input Transaksi'!$B$5:$B$5000="KLIN WASH"),ROWS($E$5:E291)),"")</f>
        <v/>
      </c>
      <c r="F291" s="5" t="n"/>
    </row>
    <row r="292">
      <c r="A292" s="10">
        <f>IF($E292="","",INDEX('Input Transaksi'!$A:$A,$E292))</f>
        <v/>
      </c>
      <c r="B292" s="5">
        <f>IF($E292="","",INDEX('Input Transaksi'!$D:$D,$E292))</f>
        <v/>
      </c>
      <c r="C292">
        <f>IF($E292="","",INDEX('Input Transaksi'!$E:$E,$E292))</f>
        <v/>
      </c>
      <c r="D292" s="5">
        <f>IF($E292="","",INDEX('Input Transaksi'!$F:$F,$E292))</f>
        <v/>
      </c>
      <c r="E292">
        <f>IFERROR(AGGREGATE(15,6,ROW('Input Transaksi'!$B$5:$B$5000)/('Input Transaksi'!$B$5:$B$5000="KLIN WASH"),ROWS($E$5:E292)),"")</f>
        <v/>
      </c>
      <c r="F292" s="5" t="n"/>
    </row>
    <row r="293">
      <c r="A293" s="10">
        <f>IF($E293="","",INDEX('Input Transaksi'!$A:$A,$E293))</f>
        <v/>
      </c>
      <c r="B293" s="5">
        <f>IF($E293="","",INDEX('Input Transaksi'!$D:$D,$E293))</f>
        <v/>
      </c>
      <c r="C293">
        <f>IF($E293="","",INDEX('Input Transaksi'!$E:$E,$E293))</f>
        <v/>
      </c>
      <c r="D293" s="5">
        <f>IF($E293="","",INDEX('Input Transaksi'!$F:$F,$E293))</f>
        <v/>
      </c>
      <c r="E293">
        <f>IFERROR(AGGREGATE(15,6,ROW('Input Transaksi'!$B$5:$B$5000)/('Input Transaksi'!$B$5:$B$5000="KLIN WASH"),ROWS($E$5:E293)),"")</f>
        <v/>
      </c>
      <c r="F293" s="5" t="n"/>
    </row>
    <row r="294">
      <c r="A294" s="10">
        <f>IF($E294="","",INDEX('Input Transaksi'!$A:$A,$E294))</f>
        <v/>
      </c>
      <c r="B294" s="5">
        <f>IF($E294="","",INDEX('Input Transaksi'!$D:$D,$E294))</f>
        <v/>
      </c>
      <c r="C294">
        <f>IF($E294="","",INDEX('Input Transaksi'!$E:$E,$E294))</f>
        <v/>
      </c>
      <c r="D294" s="5">
        <f>IF($E294="","",INDEX('Input Transaksi'!$F:$F,$E294))</f>
        <v/>
      </c>
      <c r="E294">
        <f>IFERROR(AGGREGATE(15,6,ROW('Input Transaksi'!$B$5:$B$5000)/('Input Transaksi'!$B$5:$B$5000="KLIN WASH"),ROWS($E$5:E294)),"")</f>
        <v/>
      </c>
      <c r="F294" s="5" t="n"/>
    </row>
    <row r="295">
      <c r="A295" s="10">
        <f>IF($E295="","",INDEX('Input Transaksi'!$A:$A,$E295))</f>
        <v/>
      </c>
      <c r="B295" s="5">
        <f>IF($E295="","",INDEX('Input Transaksi'!$D:$D,$E295))</f>
        <v/>
      </c>
      <c r="C295">
        <f>IF($E295="","",INDEX('Input Transaksi'!$E:$E,$E295))</f>
        <v/>
      </c>
      <c r="D295" s="5">
        <f>IF($E295="","",INDEX('Input Transaksi'!$F:$F,$E295))</f>
        <v/>
      </c>
      <c r="E295">
        <f>IFERROR(AGGREGATE(15,6,ROW('Input Transaksi'!$B$5:$B$5000)/('Input Transaksi'!$B$5:$B$5000="KLIN WASH"),ROWS($E$5:E295)),"")</f>
        <v/>
      </c>
      <c r="F295" s="5" t="n"/>
    </row>
    <row r="296">
      <c r="A296" s="10">
        <f>IF($E296="","",INDEX('Input Transaksi'!$A:$A,$E296))</f>
        <v/>
      </c>
      <c r="B296" s="5">
        <f>IF($E296="","",INDEX('Input Transaksi'!$D:$D,$E296))</f>
        <v/>
      </c>
      <c r="C296">
        <f>IF($E296="","",INDEX('Input Transaksi'!$E:$E,$E296))</f>
        <v/>
      </c>
      <c r="D296" s="5">
        <f>IF($E296="","",INDEX('Input Transaksi'!$F:$F,$E296))</f>
        <v/>
      </c>
      <c r="E296">
        <f>IFERROR(AGGREGATE(15,6,ROW('Input Transaksi'!$B$5:$B$5000)/('Input Transaksi'!$B$5:$B$5000="KLIN WASH"),ROWS($E$5:E296)),"")</f>
        <v/>
      </c>
      <c r="F296" s="5" t="n"/>
    </row>
    <row r="297">
      <c r="A297" s="10">
        <f>IF($E297="","",INDEX('Input Transaksi'!$A:$A,$E297))</f>
        <v/>
      </c>
      <c r="B297" s="5">
        <f>IF($E297="","",INDEX('Input Transaksi'!$D:$D,$E297))</f>
        <v/>
      </c>
      <c r="C297">
        <f>IF($E297="","",INDEX('Input Transaksi'!$E:$E,$E297))</f>
        <v/>
      </c>
      <c r="D297" s="5">
        <f>IF($E297="","",INDEX('Input Transaksi'!$F:$F,$E297))</f>
        <v/>
      </c>
      <c r="E297">
        <f>IFERROR(AGGREGATE(15,6,ROW('Input Transaksi'!$B$5:$B$5000)/('Input Transaksi'!$B$5:$B$5000="KLIN WASH"),ROWS($E$5:E297)),"")</f>
        <v/>
      </c>
      <c r="F297" s="5" t="n"/>
    </row>
    <row r="298">
      <c r="A298" s="10">
        <f>IF($E298="","",INDEX('Input Transaksi'!$A:$A,$E298))</f>
        <v/>
      </c>
      <c r="B298" s="5">
        <f>IF($E298="","",INDEX('Input Transaksi'!$D:$D,$E298))</f>
        <v/>
      </c>
      <c r="C298">
        <f>IF($E298="","",INDEX('Input Transaksi'!$E:$E,$E298))</f>
        <v/>
      </c>
      <c r="D298" s="5">
        <f>IF($E298="","",INDEX('Input Transaksi'!$F:$F,$E298))</f>
        <v/>
      </c>
      <c r="E298">
        <f>IFERROR(AGGREGATE(15,6,ROW('Input Transaksi'!$B$5:$B$5000)/('Input Transaksi'!$B$5:$B$5000="KLIN WASH"),ROWS($E$5:E298)),"")</f>
        <v/>
      </c>
      <c r="F298" s="5" t="n"/>
    </row>
    <row r="299">
      <c r="A299" s="10">
        <f>IF($E299="","",INDEX('Input Transaksi'!$A:$A,$E299))</f>
        <v/>
      </c>
      <c r="B299" s="5">
        <f>IF($E299="","",INDEX('Input Transaksi'!$D:$D,$E299))</f>
        <v/>
      </c>
      <c r="C299">
        <f>IF($E299="","",INDEX('Input Transaksi'!$E:$E,$E299))</f>
        <v/>
      </c>
      <c r="D299" s="5">
        <f>IF($E299="","",INDEX('Input Transaksi'!$F:$F,$E299))</f>
        <v/>
      </c>
      <c r="E299">
        <f>IFERROR(AGGREGATE(15,6,ROW('Input Transaksi'!$B$5:$B$5000)/('Input Transaksi'!$B$5:$B$5000="KLIN WASH"),ROWS($E$5:E299)),"")</f>
        <v/>
      </c>
      <c r="F299" s="5" t="n"/>
    </row>
    <row r="300">
      <c r="A300" s="10">
        <f>IF($E300="","",INDEX('Input Transaksi'!$A:$A,$E300))</f>
        <v/>
      </c>
      <c r="B300" s="5">
        <f>IF($E300="","",INDEX('Input Transaksi'!$D:$D,$E300))</f>
        <v/>
      </c>
      <c r="C300">
        <f>IF($E300="","",INDEX('Input Transaksi'!$E:$E,$E300))</f>
        <v/>
      </c>
      <c r="D300" s="5">
        <f>IF($E300="","",INDEX('Input Transaksi'!$F:$F,$E300))</f>
        <v/>
      </c>
      <c r="E300">
        <f>IFERROR(AGGREGATE(15,6,ROW('Input Transaksi'!$B$5:$B$5000)/('Input Transaksi'!$B$5:$B$5000="KLIN WASH"),ROWS($E$5:E300)),"")</f>
        <v/>
      </c>
      <c r="F300" s="5" t="n"/>
    </row>
    <row r="301">
      <c r="A301" s="10">
        <f>IF($E301="","",INDEX('Input Transaksi'!$A:$A,$E301))</f>
        <v/>
      </c>
      <c r="B301" s="5">
        <f>IF($E301="","",INDEX('Input Transaksi'!$D:$D,$E301))</f>
        <v/>
      </c>
      <c r="C301">
        <f>IF($E301="","",INDEX('Input Transaksi'!$E:$E,$E301))</f>
        <v/>
      </c>
      <c r="D301" s="5">
        <f>IF($E301="","",INDEX('Input Transaksi'!$F:$F,$E301))</f>
        <v/>
      </c>
      <c r="E301">
        <f>IFERROR(AGGREGATE(15,6,ROW('Input Transaksi'!$B$5:$B$5000)/('Input Transaksi'!$B$5:$B$5000="KLIN WASH"),ROWS($E$5:E301)),"")</f>
        <v/>
      </c>
      <c r="F301" s="5" t="n"/>
    </row>
    <row r="302">
      <c r="A302" s="10">
        <f>IF($E302="","",INDEX('Input Transaksi'!$A:$A,$E302))</f>
        <v/>
      </c>
      <c r="B302" s="5">
        <f>IF($E302="","",INDEX('Input Transaksi'!$D:$D,$E302))</f>
        <v/>
      </c>
      <c r="C302">
        <f>IF($E302="","",INDEX('Input Transaksi'!$E:$E,$E302))</f>
        <v/>
      </c>
      <c r="D302" s="5">
        <f>IF($E302="","",INDEX('Input Transaksi'!$F:$F,$E302))</f>
        <v/>
      </c>
      <c r="E302">
        <f>IFERROR(AGGREGATE(15,6,ROW('Input Transaksi'!$B$5:$B$5000)/('Input Transaksi'!$B$5:$B$5000="KLIN WASH"),ROWS($E$5:E302)),"")</f>
        <v/>
      </c>
      <c r="F302" s="5" t="n"/>
    </row>
    <row r="303">
      <c r="A303" s="10">
        <f>IF($E303="","",INDEX('Input Transaksi'!$A:$A,$E303))</f>
        <v/>
      </c>
      <c r="B303" s="5">
        <f>IF($E303="","",INDEX('Input Transaksi'!$D:$D,$E303))</f>
        <v/>
      </c>
      <c r="C303">
        <f>IF($E303="","",INDEX('Input Transaksi'!$E:$E,$E303))</f>
        <v/>
      </c>
      <c r="D303" s="5">
        <f>IF($E303="","",INDEX('Input Transaksi'!$F:$F,$E303))</f>
        <v/>
      </c>
      <c r="E303">
        <f>IFERROR(AGGREGATE(15,6,ROW('Input Transaksi'!$B$5:$B$5000)/('Input Transaksi'!$B$5:$B$5000="KLIN WASH"),ROWS($E$5:E303)),"")</f>
        <v/>
      </c>
      <c r="F303" s="5" t="n"/>
    </row>
    <row r="304">
      <c r="A304" s="10">
        <f>IF($E304="","",INDEX('Input Transaksi'!$A:$A,$E304))</f>
        <v/>
      </c>
      <c r="B304" s="5">
        <f>IF($E304="","",INDEX('Input Transaksi'!$D:$D,$E304))</f>
        <v/>
      </c>
      <c r="C304">
        <f>IF($E304="","",INDEX('Input Transaksi'!$E:$E,$E304))</f>
        <v/>
      </c>
      <c r="D304" s="5">
        <f>IF($E304="","",INDEX('Input Transaksi'!$F:$F,$E304))</f>
        <v/>
      </c>
      <c r="E304">
        <f>IFERROR(AGGREGATE(15,6,ROW('Input Transaksi'!$B$5:$B$5000)/('Input Transaksi'!$B$5:$B$5000="KLIN WASH"),ROWS($E$5:E304)),"")</f>
        <v/>
      </c>
      <c r="F304" s="5" t="n"/>
    </row>
    <row r="305">
      <c r="A305" s="10">
        <f>IF($E305="","",INDEX('Input Transaksi'!$A:$A,$E305))</f>
        <v/>
      </c>
      <c r="B305" s="5">
        <f>IF($E305="","",INDEX('Input Transaksi'!$D:$D,$E305))</f>
        <v/>
      </c>
      <c r="C305">
        <f>IF($E305="","",INDEX('Input Transaksi'!$E:$E,$E305))</f>
        <v/>
      </c>
      <c r="D305" s="5">
        <f>IF($E305="","",INDEX('Input Transaksi'!$F:$F,$E305))</f>
        <v/>
      </c>
      <c r="E305">
        <f>IFERROR(AGGREGATE(15,6,ROW('Input Transaksi'!$B$5:$B$5000)/('Input Transaksi'!$B$5:$B$5000="KLIN WASH"),ROWS($E$5:E305)),"")</f>
        <v/>
      </c>
      <c r="F305" s="5" t="n"/>
    </row>
    <row r="306">
      <c r="A306" s="10">
        <f>IF($E306="","",INDEX('Input Transaksi'!$A:$A,$E306))</f>
        <v/>
      </c>
      <c r="B306" s="5">
        <f>IF($E306="","",INDEX('Input Transaksi'!$D:$D,$E306))</f>
        <v/>
      </c>
      <c r="C306">
        <f>IF($E306="","",INDEX('Input Transaksi'!$E:$E,$E306))</f>
        <v/>
      </c>
      <c r="D306" s="5">
        <f>IF($E306="","",INDEX('Input Transaksi'!$F:$F,$E306))</f>
        <v/>
      </c>
      <c r="E306">
        <f>IFERROR(AGGREGATE(15,6,ROW('Input Transaksi'!$B$5:$B$5000)/('Input Transaksi'!$B$5:$B$5000="KLIN WASH"),ROWS($E$5:E306)),"")</f>
        <v/>
      </c>
      <c r="F306" s="5" t="n"/>
    </row>
    <row r="307">
      <c r="A307" s="10">
        <f>IF($E307="","",INDEX('Input Transaksi'!$A:$A,$E307))</f>
        <v/>
      </c>
      <c r="B307" s="5">
        <f>IF($E307="","",INDEX('Input Transaksi'!$D:$D,$E307))</f>
        <v/>
      </c>
      <c r="C307">
        <f>IF($E307="","",INDEX('Input Transaksi'!$E:$E,$E307))</f>
        <v/>
      </c>
      <c r="D307" s="5">
        <f>IF($E307="","",INDEX('Input Transaksi'!$F:$F,$E307))</f>
        <v/>
      </c>
      <c r="E307">
        <f>IFERROR(AGGREGATE(15,6,ROW('Input Transaksi'!$B$5:$B$5000)/('Input Transaksi'!$B$5:$B$5000="KLIN WASH"),ROWS($E$5:E307)),"")</f>
        <v/>
      </c>
      <c r="F307" s="5" t="n"/>
    </row>
    <row r="308">
      <c r="A308" s="10">
        <f>IF($E308="","",INDEX('Input Transaksi'!$A:$A,$E308))</f>
        <v/>
      </c>
      <c r="B308" s="5">
        <f>IF($E308="","",INDEX('Input Transaksi'!$D:$D,$E308))</f>
        <v/>
      </c>
      <c r="C308">
        <f>IF($E308="","",INDEX('Input Transaksi'!$E:$E,$E308))</f>
        <v/>
      </c>
      <c r="D308" s="5">
        <f>IF($E308="","",INDEX('Input Transaksi'!$F:$F,$E308))</f>
        <v/>
      </c>
      <c r="E308">
        <f>IFERROR(AGGREGATE(15,6,ROW('Input Transaksi'!$B$5:$B$5000)/('Input Transaksi'!$B$5:$B$5000="KLIN WASH"),ROWS($E$5:E308)),"")</f>
        <v/>
      </c>
      <c r="F308" s="5" t="n"/>
    </row>
    <row r="309">
      <c r="A309" s="10">
        <f>IF($E309="","",INDEX('Input Transaksi'!$A:$A,$E309))</f>
        <v/>
      </c>
      <c r="B309" s="5">
        <f>IF($E309="","",INDEX('Input Transaksi'!$D:$D,$E309))</f>
        <v/>
      </c>
      <c r="C309">
        <f>IF($E309="","",INDEX('Input Transaksi'!$E:$E,$E309))</f>
        <v/>
      </c>
      <c r="D309" s="5">
        <f>IF($E309="","",INDEX('Input Transaksi'!$F:$F,$E309))</f>
        <v/>
      </c>
      <c r="E309">
        <f>IFERROR(AGGREGATE(15,6,ROW('Input Transaksi'!$B$5:$B$5000)/('Input Transaksi'!$B$5:$B$5000="KLIN WASH"),ROWS($E$5:E309)),"")</f>
        <v/>
      </c>
      <c r="F309" s="5" t="n"/>
    </row>
    <row r="310">
      <c r="A310" s="10">
        <f>IF($E310="","",INDEX('Input Transaksi'!$A:$A,$E310))</f>
        <v/>
      </c>
      <c r="B310" s="5">
        <f>IF($E310="","",INDEX('Input Transaksi'!$D:$D,$E310))</f>
        <v/>
      </c>
      <c r="C310">
        <f>IF($E310="","",INDEX('Input Transaksi'!$E:$E,$E310))</f>
        <v/>
      </c>
      <c r="D310" s="5">
        <f>IF($E310="","",INDEX('Input Transaksi'!$F:$F,$E310))</f>
        <v/>
      </c>
      <c r="E310">
        <f>IFERROR(AGGREGATE(15,6,ROW('Input Transaksi'!$B$5:$B$5000)/('Input Transaksi'!$B$5:$B$5000="KLIN WASH"),ROWS($E$5:E310)),"")</f>
        <v/>
      </c>
      <c r="F310" s="5" t="n"/>
    </row>
    <row r="311">
      <c r="A311" s="10">
        <f>IF($E311="","",INDEX('Input Transaksi'!$A:$A,$E311))</f>
        <v/>
      </c>
      <c r="B311" s="5">
        <f>IF($E311="","",INDEX('Input Transaksi'!$D:$D,$E311))</f>
        <v/>
      </c>
      <c r="C311">
        <f>IF($E311="","",INDEX('Input Transaksi'!$E:$E,$E311))</f>
        <v/>
      </c>
      <c r="D311" s="5">
        <f>IF($E311="","",INDEX('Input Transaksi'!$F:$F,$E311))</f>
        <v/>
      </c>
      <c r="E311">
        <f>IFERROR(AGGREGATE(15,6,ROW('Input Transaksi'!$B$5:$B$5000)/('Input Transaksi'!$B$5:$B$5000="KLIN WASH"),ROWS($E$5:E311)),"")</f>
        <v/>
      </c>
      <c r="F311" s="5" t="n"/>
    </row>
    <row r="312">
      <c r="A312" s="10">
        <f>IF($E312="","",INDEX('Input Transaksi'!$A:$A,$E312))</f>
        <v/>
      </c>
      <c r="B312" s="5">
        <f>IF($E312="","",INDEX('Input Transaksi'!$D:$D,$E312))</f>
        <v/>
      </c>
      <c r="C312">
        <f>IF($E312="","",INDEX('Input Transaksi'!$E:$E,$E312))</f>
        <v/>
      </c>
      <c r="D312" s="5">
        <f>IF($E312="","",INDEX('Input Transaksi'!$F:$F,$E312))</f>
        <v/>
      </c>
      <c r="E312">
        <f>IFERROR(AGGREGATE(15,6,ROW('Input Transaksi'!$B$5:$B$5000)/('Input Transaksi'!$B$5:$B$5000="KLIN WASH"),ROWS($E$5:E312)),"")</f>
        <v/>
      </c>
      <c r="F312" s="5" t="n"/>
    </row>
    <row r="313">
      <c r="A313" s="10">
        <f>IF($E313="","",INDEX('Input Transaksi'!$A:$A,$E313))</f>
        <v/>
      </c>
      <c r="B313" s="5">
        <f>IF($E313="","",INDEX('Input Transaksi'!$D:$D,$E313))</f>
        <v/>
      </c>
      <c r="C313">
        <f>IF($E313="","",INDEX('Input Transaksi'!$E:$E,$E313))</f>
        <v/>
      </c>
      <c r="D313" s="5">
        <f>IF($E313="","",INDEX('Input Transaksi'!$F:$F,$E313))</f>
        <v/>
      </c>
      <c r="E313">
        <f>IFERROR(AGGREGATE(15,6,ROW('Input Transaksi'!$B$5:$B$5000)/('Input Transaksi'!$B$5:$B$5000="KLIN WASH"),ROWS($E$5:E313)),"")</f>
        <v/>
      </c>
      <c r="F313" s="5" t="n"/>
    </row>
    <row r="314">
      <c r="A314" s="10">
        <f>IF($E314="","",INDEX('Input Transaksi'!$A:$A,$E314))</f>
        <v/>
      </c>
      <c r="B314" s="5">
        <f>IF($E314="","",INDEX('Input Transaksi'!$D:$D,$E314))</f>
        <v/>
      </c>
      <c r="C314">
        <f>IF($E314="","",INDEX('Input Transaksi'!$E:$E,$E314))</f>
        <v/>
      </c>
      <c r="D314" s="5">
        <f>IF($E314="","",INDEX('Input Transaksi'!$F:$F,$E314))</f>
        <v/>
      </c>
      <c r="E314">
        <f>IFERROR(AGGREGATE(15,6,ROW('Input Transaksi'!$B$5:$B$5000)/('Input Transaksi'!$B$5:$B$5000="KLIN WASH"),ROWS($E$5:E314)),"")</f>
        <v/>
      </c>
      <c r="F314" s="5" t="n"/>
    </row>
    <row r="315">
      <c r="A315" s="10">
        <f>IF($E315="","",INDEX('Input Transaksi'!$A:$A,$E315))</f>
        <v/>
      </c>
      <c r="B315" s="5">
        <f>IF($E315="","",INDEX('Input Transaksi'!$D:$D,$E315))</f>
        <v/>
      </c>
      <c r="C315">
        <f>IF($E315="","",INDEX('Input Transaksi'!$E:$E,$E315))</f>
        <v/>
      </c>
      <c r="D315" s="5">
        <f>IF($E315="","",INDEX('Input Transaksi'!$F:$F,$E315))</f>
        <v/>
      </c>
      <c r="E315">
        <f>IFERROR(AGGREGATE(15,6,ROW('Input Transaksi'!$B$5:$B$5000)/('Input Transaksi'!$B$5:$B$5000="KLIN WASH"),ROWS($E$5:E315)),"")</f>
        <v/>
      </c>
      <c r="F315" s="5" t="n"/>
    </row>
    <row r="316">
      <c r="A316" s="10">
        <f>IF($E316="","",INDEX('Input Transaksi'!$A:$A,$E316))</f>
        <v/>
      </c>
      <c r="B316" s="5">
        <f>IF($E316="","",INDEX('Input Transaksi'!$D:$D,$E316))</f>
        <v/>
      </c>
      <c r="C316">
        <f>IF($E316="","",INDEX('Input Transaksi'!$E:$E,$E316))</f>
        <v/>
      </c>
      <c r="D316" s="5">
        <f>IF($E316="","",INDEX('Input Transaksi'!$F:$F,$E316))</f>
        <v/>
      </c>
      <c r="E316">
        <f>IFERROR(AGGREGATE(15,6,ROW('Input Transaksi'!$B$5:$B$5000)/('Input Transaksi'!$B$5:$B$5000="KLIN WASH"),ROWS($E$5:E316)),"")</f>
        <v/>
      </c>
      <c r="F316" s="5" t="n"/>
    </row>
    <row r="317">
      <c r="A317" s="10">
        <f>IF($E317="","",INDEX('Input Transaksi'!$A:$A,$E317))</f>
        <v/>
      </c>
      <c r="B317" s="5">
        <f>IF($E317="","",INDEX('Input Transaksi'!$D:$D,$E317))</f>
        <v/>
      </c>
      <c r="C317">
        <f>IF($E317="","",INDEX('Input Transaksi'!$E:$E,$E317))</f>
        <v/>
      </c>
      <c r="D317" s="5">
        <f>IF($E317="","",INDEX('Input Transaksi'!$F:$F,$E317))</f>
        <v/>
      </c>
      <c r="E317">
        <f>IFERROR(AGGREGATE(15,6,ROW('Input Transaksi'!$B$5:$B$5000)/('Input Transaksi'!$B$5:$B$5000="KLIN WASH"),ROWS($E$5:E317)),"")</f>
        <v/>
      </c>
      <c r="F317" s="5" t="n"/>
    </row>
    <row r="318">
      <c r="A318" s="10">
        <f>IF($E318="","",INDEX('Input Transaksi'!$A:$A,$E318))</f>
        <v/>
      </c>
      <c r="B318" s="5">
        <f>IF($E318="","",INDEX('Input Transaksi'!$D:$D,$E318))</f>
        <v/>
      </c>
      <c r="C318">
        <f>IF($E318="","",INDEX('Input Transaksi'!$E:$E,$E318))</f>
        <v/>
      </c>
      <c r="D318" s="5">
        <f>IF($E318="","",INDEX('Input Transaksi'!$F:$F,$E318))</f>
        <v/>
      </c>
      <c r="E318">
        <f>IFERROR(AGGREGATE(15,6,ROW('Input Transaksi'!$B$5:$B$5000)/('Input Transaksi'!$B$5:$B$5000="KLIN WASH"),ROWS($E$5:E318)),"")</f>
        <v/>
      </c>
      <c r="F318" s="5" t="n"/>
    </row>
    <row r="319">
      <c r="A319" s="10">
        <f>IF($E319="","",INDEX('Input Transaksi'!$A:$A,$E319))</f>
        <v/>
      </c>
      <c r="B319" s="5">
        <f>IF($E319="","",INDEX('Input Transaksi'!$D:$D,$E319))</f>
        <v/>
      </c>
      <c r="C319">
        <f>IF($E319="","",INDEX('Input Transaksi'!$E:$E,$E319))</f>
        <v/>
      </c>
      <c r="D319" s="5">
        <f>IF($E319="","",INDEX('Input Transaksi'!$F:$F,$E319))</f>
        <v/>
      </c>
      <c r="E319">
        <f>IFERROR(AGGREGATE(15,6,ROW('Input Transaksi'!$B$5:$B$5000)/('Input Transaksi'!$B$5:$B$5000="KLIN WASH"),ROWS($E$5:E319)),"")</f>
        <v/>
      </c>
      <c r="F319" s="5" t="n"/>
    </row>
    <row r="320">
      <c r="A320" s="10">
        <f>IF($E320="","",INDEX('Input Transaksi'!$A:$A,$E320))</f>
        <v/>
      </c>
      <c r="B320" s="5">
        <f>IF($E320="","",INDEX('Input Transaksi'!$D:$D,$E320))</f>
        <v/>
      </c>
      <c r="C320">
        <f>IF($E320="","",INDEX('Input Transaksi'!$E:$E,$E320))</f>
        <v/>
      </c>
      <c r="D320" s="5">
        <f>IF($E320="","",INDEX('Input Transaksi'!$F:$F,$E320))</f>
        <v/>
      </c>
      <c r="E320">
        <f>IFERROR(AGGREGATE(15,6,ROW('Input Transaksi'!$B$5:$B$5000)/('Input Transaksi'!$B$5:$B$5000="KLIN WASH"),ROWS($E$5:E320)),"")</f>
        <v/>
      </c>
      <c r="F320" s="5" t="n"/>
    </row>
    <row r="321">
      <c r="A321" s="10">
        <f>IF($E321="","",INDEX('Input Transaksi'!$A:$A,$E321))</f>
        <v/>
      </c>
      <c r="B321" s="5">
        <f>IF($E321="","",INDEX('Input Transaksi'!$D:$D,$E321))</f>
        <v/>
      </c>
      <c r="C321">
        <f>IF($E321="","",INDEX('Input Transaksi'!$E:$E,$E321))</f>
        <v/>
      </c>
      <c r="D321" s="5">
        <f>IF($E321="","",INDEX('Input Transaksi'!$F:$F,$E321))</f>
        <v/>
      </c>
      <c r="E321">
        <f>IFERROR(AGGREGATE(15,6,ROW('Input Transaksi'!$B$5:$B$5000)/('Input Transaksi'!$B$5:$B$5000="KLIN WASH"),ROWS($E$5:E321)),"")</f>
        <v/>
      </c>
      <c r="F321" s="5" t="n"/>
    </row>
    <row r="322">
      <c r="A322" s="10">
        <f>IF($E322="","",INDEX('Input Transaksi'!$A:$A,$E322))</f>
        <v/>
      </c>
      <c r="B322" s="5">
        <f>IF($E322="","",INDEX('Input Transaksi'!$D:$D,$E322))</f>
        <v/>
      </c>
      <c r="C322">
        <f>IF($E322="","",INDEX('Input Transaksi'!$E:$E,$E322))</f>
        <v/>
      </c>
      <c r="D322" s="5">
        <f>IF($E322="","",INDEX('Input Transaksi'!$F:$F,$E322))</f>
        <v/>
      </c>
      <c r="E322">
        <f>IFERROR(AGGREGATE(15,6,ROW('Input Transaksi'!$B$5:$B$5000)/('Input Transaksi'!$B$5:$B$5000="KLIN WASH"),ROWS($E$5:E322)),"")</f>
        <v/>
      </c>
      <c r="F322" s="5" t="n"/>
    </row>
    <row r="323">
      <c r="A323" s="10">
        <f>IF($E323="","",INDEX('Input Transaksi'!$A:$A,$E323))</f>
        <v/>
      </c>
      <c r="B323" s="5">
        <f>IF($E323="","",INDEX('Input Transaksi'!$D:$D,$E323))</f>
        <v/>
      </c>
      <c r="C323">
        <f>IF($E323="","",INDEX('Input Transaksi'!$E:$E,$E323))</f>
        <v/>
      </c>
      <c r="D323" s="5">
        <f>IF($E323="","",INDEX('Input Transaksi'!$F:$F,$E323))</f>
        <v/>
      </c>
      <c r="E323">
        <f>IFERROR(AGGREGATE(15,6,ROW('Input Transaksi'!$B$5:$B$5000)/('Input Transaksi'!$B$5:$B$5000="KLIN WASH"),ROWS($E$5:E323)),"")</f>
        <v/>
      </c>
      <c r="F323" s="5" t="n"/>
    </row>
    <row r="324">
      <c r="A324" s="10">
        <f>IF($E324="","",INDEX('Input Transaksi'!$A:$A,$E324))</f>
        <v/>
      </c>
      <c r="B324" s="5">
        <f>IF($E324="","",INDEX('Input Transaksi'!$D:$D,$E324))</f>
        <v/>
      </c>
      <c r="C324">
        <f>IF($E324="","",INDEX('Input Transaksi'!$E:$E,$E324))</f>
        <v/>
      </c>
      <c r="D324" s="5">
        <f>IF($E324="","",INDEX('Input Transaksi'!$F:$F,$E324))</f>
        <v/>
      </c>
      <c r="E324">
        <f>IFERROR(AGGREGATE(15,6,ROW('Input Transaksi'!$B$5:$B$5000)/('Input Transaksi'!$B$5:$B$5000="KLIN WASH"),ROWS($E$5:E324)),"")</f>
        <v/>
      </c>
      <c r="F324" s="5" t="n"/>
    </row>
    <row r="325">
      <c r="A325" s="10">
        <f>IF($E325="","",INDEX('Input Transaksi'!$A:$A,$E325))</f>
        <v/>
      </c>
      <c r="B325" s="5">
        <f>IF($E325="","",INDEX('Input Transaksi'!$D:$D,$E325))</f>
        <v/>
      </c>
      <c r="C325">
        <f>IF($E325="","",INDEX('Input Transaksi'!$E:$E,$E325))</f>
        <v/>
      </c>
      <c r="D325" s="5">
        <f>IF($E325="","",INDEX('Input Transaksi'!$F:$F,$E325))</f>
        <v/>
      </c>
      <c r="E325">
        <f>IFERROR(AGGREGATE(15,6,ROW('Input Transaksi'!$B$5:$B$5000)/('Input Transaksi'!$B$5:$B$5000="KLIN WASH"),ROWS($E$5:E325)),"")</f>
        <v/>
      </c>
      <c r="F325" s="5" t="n"/>
    </row>
    <row r="326">
      <c r="A326" s="10">
        <f>IF($E326="","",INDEX('Input Transaksi'!$A:$A,$E326))</f>
        <v/>
      </c>
      <c r="B326" s="5">
        <f>IF($E326="","",INDEX('Input Transaksi'!$D:$D,$E326))</f>
        <v/>
      </c>
      <c r="C326">
        <f>IF($E326="","",INDEX('Input Transaksi'!$E:$E,$E326))</f>
        <v/>
      </c>
      <c r="D326" s="5">
        <f>IF($E326="","",INDEX('Input Transaksi'!$F:$F,$E326))</f>
        <v/>
      </c>
      <c r="E326">
        <f>IFERROR(AGGREGATE(15,6,ROW('Input Transaksi'!$B$5:$B$5000)/('Input Transaksi'!$B$5:$B$5000="KLIN WASH"),ROWS($E$5:E326)),"")</f>
        <v/>
      </c>
      <c r="F326" s="5" t="n"/>
    </row>
    <row r="327">
      <c r="A327" s="10">
        <f>IF($E327="","",INDEX('Input Transaksi'!$A:$A,$E327))</f>
        <v/>
      </c>
      <c r="B327" s="5">
        <f>IF($E327="","",INDEX('Input Transaksi'!$D:$D,$E327))</f>
        <v/>
      </c>
      <c r="C327">
        <f>IF($E327="","",INDEX('Input Transaksi'!$E:$E,$E327))</f>
        <v/>
      </c>
      <c r="D327" s="5">
        <f>IF($E327="","",INDEX('Input Transaksi'!$F:$F,$E327))</f>
        <v/>
      </c>
      <c r="E327">
        <f>IFERROR(AGGREGATE(15,6,ROW('Input Transaksi'!$B$5:$B$5000)/('Input Transaksi'!$B$5:$B$5000="KLIN WASH"),ROWS($E$5:E327)),"")</f>
        <v/>
      </c>
      <c r="F327" s="5" t="n"/>
    </row>
    <row r="328">
      <c r="A328" s="10">
        <f>IF($E328="","",INDEX('Input Transaksi'!$A:$A,$E328))</f>
        <v/>
      </c>
      <c r="B328" s="5">
        <f>IF($E328="","",INDEX('Input Transaksi'!$D:$D,$E328))</f>
        <v/>
      </c>
      <c r="C328">
        <f>IF($E328="","",INDEX('Input Transaksi'!$E:$E,$E328))</f>
        <v/>
      </c>
      <c r="D328" s="5">
        <f>IF($E328="","",INDEX('Input Transaksi'!$F:$F,$E328))</f>
        <v/>
      </c>
      <c r="E328">
        <f>IFERROR(AGGREGATE(15,6,ROW('Input Transaksi'!$B$5:$B$5000)/('Input Transaksi'!$B$5:$B$5000="KLIN WASH"),ROWS($E$5:E328)),"")</f>
        <v/>
      </c>
      <c r="F328" s="5" t="n"/>
    </row>
    <row r="329">
      <c r="A329" s="10">
        <f>IF($E329="","",INDEX('Input Transaksi'!$A:$A,$E329))</f>
        <v/>
      </c>
      <c r="B329" s="5">
        <f>IF($E329="","",INDEX('Input Transaksi'!$D:$D,$E329))</f>
        <v/>
      </c>
      <c r="C329">
        <f>IF($E329="","",INDEX('Input Transaksi'!$E:$E,$E329))</f>
        <v/>
      </c>
      <c r="D329" s="5">
        <f>IF($E329="","",INDEX('Input Transaksi'!$F:$F,$E329))</f>
        <v/>
      </c>
      <c r="E329">
        <f>IFERROR(AGGREGATE(15,6,ROW('Input Transaksi'!$B$5:$B$5000)/('Input Transaksi'!$B$5:$B$5000="KLIN WASH"),ROWS($E$5:E329)),"")</f>
        <v/>
      </c>
      <c r="F329" s="5" t="n"/>
    </row>
    <row r="330">
      <c r="A330" s="10">
        <f>IF($E330="","",INDEX('Input Transaksi'!$A:$A,$E330))</f>
        <v/>
      </c>
      <c r="B330" s="5">
        <f>IF($E330="","",INDEX('Input Transaksi'!$D:$D,$E330))</f>
        <v/>
      </c>
      <c r="C330">
        <f>IF($E330="","",INDEX('Input Transaksi'!$E:$E,$E330))</f>
        <v/>
      </c>
      <c r="D330" s="5">
        <f>IF($E330="","",INDEX('Input Transaksi'!$F:$F,$E330))</f>
        <v/>
      </c>
      <c r="E330">
        <f>IFERROR(AGGREGATE(15,6,ROW('Input Transaksi'!$B$5:$B$5000)/('Input Transaksi'!$B$5:$B$5000="KLIN WASH"),ROWS($E$5:E330)),"")</f>
        <v/>
      </c>
      <c r="F330" s="5" t="n"/>
    </row>
    <row r="331">
      <c r="A331" s="10">
        <f>IF($E331="","",INDEX('Input Transaksi'!$A:$A,$E331))</f>
        <v/>
      </c>
      <c r="B331" s="5">
        <f>IF($E331="","",INDEX('Input Transaksi'!$D:$D,$E331))</f>
        <v/>
      </c>
      <c r="C331">
        <f>IF($E331="","",INDEX('Input Transaksi'!$E:$E,$E331))</f>
        <v/>
      </c>
      <c r="D331" s="5">
        <f>IF($E331="","",INDEX('Input Transaksi'!$F:$F,$E331))</f>
        <v/>
      </c>
      <c r="E331">
        <f>IFERROR(AGGREGATE(15,6,ROW('Input Transaksi'!$B$5:$B$5000)/('Input Transaksi'!$B$5:$B$5000="KLIN WASH"),ROWS($E$5:E331)),"")</f>
        <v/>
      </c>
      <c r="F331" s="5" t="n"/>
    </row>
    <row r="332">
      <c r="A332" s="10">
        <f>IF($E332="","",INDEX('Input Transaksi'!$A:$A,$E332))</f>
        <v/>
      </c>
      <c r="B332" s="5">
        <f>IF($E332="","",INDEX('Input Transaksi'!$D:$D,$E332))</f>
        <v/>
      </c>
      <c r="C332">
        <f>IF($E332="","",INDEX('Input Transaksi'!$E:$E,$E332))</f>
        <v/>
      </c>
      <c r="D332" s="5">
        <f>IF($E332="","",INDEX('Input Transaksi'!$F:$F,$E332))</f>
        <v/>
      </c>
      <c r="E332">
        <f>IFERROR(AGGREGATE(15,6,ROW('Input Transaksi'!$B$5:$B$5000)/('Input Transaksi'!$B$5:$B$5000="KLIN WASH"),ROWS($E$5:E332)),"")</f>
        <v/>
      </c>
      <c r="F332" s="5" t="n"/>
    </row>
    <row r="333">
      <c r="A333" s="10">
        <f>IF($E333="","",INDEX('Input Transaksi'!$A:$A,$E333))</f>
        <v/>
      </c>
      <c r="B333" s="5">
        <f>IF($E333="","",INDEX('Input Transaksi'!$D:$D,$E333))</f>
        <v/>
      </c>
      <c r="C333">
        <f>IF($E333="","",INDEX('Input Transaksi'!$E:$E,$E333))</f>
        <v/>
      </c>
      <c r="D333" s="5">
        <f>IF($E333="","",INDEX('Input Transaksi'!$F:$F,$E333))</f>
        <v/>
      </c>
      <c r="E333">
        <f>IFERROR(AGGREGATE(15,6,ROW('Input Transaksi'!$B$5:$B$5000)/('Input Transaksi'!$B$5:$B$5000="KLIN WASH"),ROWS($E$5:E333)),"")</f>
        <v/>
      </c>
      <c r="F333" s="5" t="n"/>
    </row>
    <row r="334">
      <c r="A334" s="10">
        <f>IF($E334="","",INDEX('Input Transaksi'!$A:$A,$E334))</f>
        <v/>
      </c>
      <c r="B334" s="5">
        <f>IF($E334="","",INDEX('Input Transaksi'!$D:$D,$E334))</f>
        <v/>
      </c>
      <c r="C334">
        <f>IF($E334="","",INDEX('Input Transaksi'!$E:$E,$E334))</f>
        <v/>
      </c>
      <c r="D334" s="5">
        <f>IF($E334="","",INDEX('Input Transaksi'!$F:$F,$E334))</f>
        <v/>
      </c>
      <c r="E334">
        <f>IFERROR(AGGREGATE(15,6,ROW('Input Transaksi'!$B$5:$B$5000)/('Input Transaksi'!$B$5:$B$5000="KLIN WASH"),ROWS($E$5:E334)),"")</f>
        <v/>
      </c>
      <c r="F334" s="5" t="n"/>
    </row>
    <row r="335">
      <c r="A335" s="10">
        <f>IF($E335="","",INDEX('Input Transaksi'!$A:$A,$E335))</f>
        <v/>
      </c>
      <c r="B335" s="5">
        <f>IF($E335="","",INDEX('Input Transaksi'!$D:$D,$E335))</f>
        <v/>
      </c>
      <c r="C335">
        <f>IF($E335="","",INDEX('Input Transaksi'!$E:$E,$E335))</f>
        <v/>
      </c>
      <c r="D335" s="5">
        <f>IF($E335="","",INDEX('Input Transaksi'!$F:$F,$E335))</f>
        <v/>
      </c>
      <c r="E335">
        <f>IFERROR(AGGREGATE(15,6,ROW('Input Transaksi'!$B$5:$B$5000)/('Input Transaksi'!$B$5:$B$5000="KLIN WASH"),ROWS($E$5:E335)),"")</f>
        <v/>
      </c>
      <c r="F335" s="5" t="n"/>
    </row>
    <row r="336">
      <c r="A336" s="10">
        <f>IF($E336="","",INDEX('Input Transaksi'!$A:$A,$E336))</f>
        <v/>
      </c>
      <c r="B336" s="5">
        <f>IF($E336="","",INDEX('Input Transaksi'!$D:$D,$E336))</f>
        <v/>
      </c>
      <c r="C336">
        <f>IF($E336="","",INDEX('Input Transaksi'!$E:$E,$E336))</f>
        <v/>
      </c>
      <c r="D336" s="5">
        <f>IF($E336="","",INDEX('Input Transaksi'!$F:$F,$E336))</f>
        <v/>
      </c>
      <c r="E336">
        <f>IFERROR(AGGREGATE(15,6,ROW('Input Transaksi'!$B$5:$B$5000)/('Input Transaksi'!$B$5:$B$5000="KLIN WASH"),ROWS($E$5:E336)),"")</f>
        <v/>
      </c>
      <c r="F336" s="5" t="n"/>
    </row>
    <row r="337">
      <c r="A337" s="10">
        <f>IF($E337="","",INDEX('Input Transaksi'!$A:$A,$E337))</f>
        <v/>
      </c>
      <c r="B337" s="5">
        <f>IF($E337="","",INDEX('Input Transaksi'!$D:$D,$E337))</f>
        <v/>
      </c>
      <c r="C337">
        <f>IF($E337="","",INDEX('Input Transaksi'!$E:$E,$E337))</f>
        <v/>
      </c>
      <c r="D337" s="5">
        <f>IF($E337="","",INDEX('Input Transaksi'!$F:$F,$E337))</f>
        <v/>
      </c>
      <c r="E337">
        <f>IFERROR(AGGREGATE(15,6,ROW('Input Transaksi'!$B$5:$B$5000)/('Input Transaksi'!$B$5:$B$5000="KLIN WASH"),ROWS($E$5:E337)),"")</f>
        <v/>
      </c>
      <c r="F337" s="5" t="n"/>
    </row>
    <row r="338">
      <c r="A338" s="10">
        <f>IF($E338="","",INDEX('Input Transaksi'!$A:$A,$E338))</f>
        <v/>
      </c>
      <c r="B338" s="5">
        <f>IF($E338="","",INDEX('Input Transaksi'!$D:$D,$E338))</f>
        <v/>
      </c>
      <c r="C338">
        <f>IF($E338="","",INDEX('Input Transaksi'!$E:$E,$E338))</f>
        <v/>
      </c>
      <c r="D338" s="5">
        <f>IF($E338="","",INDEX('Input Transaksi'!$F:$F,$E338))</f>
        <v/>
      </c>
      <c r="E338">
        <f>IFERROR(AGGREGATE(15,6,ROW('Input Transaksi'!$B$5:$B$5000)/('Input Transaksi'!$B$5:$B$5000="KLIN WASH"),ROWS($E$5:E338)),"")</f>
        <v/>
      </c>
      <c r="F338" s="5" t="n"/>
    </row>
    <row r="339">
      <c r="A339" s="10">
        <f>IF($E339="","",INDEX('Input Transaksi'!$A:$A,$E339))</f>
        <v/>
      </c>
      <c r="B339" s="5">
        <f>IF($E339="","",INDEX('Input Transaksi'!$D:$D,$E339))</f>
        <v/>
      </c>
      <c r="C339">
        <f>IF($E339="","",INDEX('Input Transaksi'!$E:$E,$E339))</f>
        <v/>
      </c>
      <c r="D339" s="5">
        <f>IF($E339="","",INDEX('Input Transaksi'!$F:$F,$E339))</f>
        <v/>
      </c>
      <c r="E339">
        <f>IFERROR(AGGREGATE(15,6,ROW('Input Transaksi'!$B$5:$B$5000)/('Input Transaksi'!$B$5:$B$5000="KLIN WASH"),ROWS($E$5:E339)),"")</f>
        <v/>
      </c>
      <c r="F339" s="5" t="n"/>
    </row>
    <row r="340">
      <c r="A340" s="10">
        <f>IF($E340="","",INDEX('Input Transaksi'!$A:$A,$E340))</f>
        <v/>
      </c>
      <c r="B340" s="5">
        <f>IF($E340="","",INDEX('Input Transaksi'!$D:$D,$E340))</f>
        <v/>
      </c>
      <c r="C340">
        <f>IF($E340="","",INDEX('Input Transaksi'!$E:$E,$E340))</f>
        <v/>
      </c>
      <c r="D340" s="5">
        <f>IF($E340="","",INDEX('Input Transaksi'!$F:$F,$E340))</f>
        <v/>
      </c>
      <c r="E340">
        <f>IFERROR(AGGREGATE(15,6,ROW('Input Transaksi'!$B$5:$B$5000)/('Input Transaksi'!$B$5:$B$5000="KLIN WASH"),ROWS($E$5:E340)),"")</f>
        <v/>
      </c>
      <c r="F340" s="5" t="n"/>
    </row>
    <row r="341">
      <c r="A341" s="10">
        <f>IF($E341="","",INDEX('Input Transaksi'!$A:$A,$E341))</f>
        <v/>
      </c>
      <c r="B341" s="5">
        <f>IF($E341="","",INDEX('Input Transaksi'!$D:$D,$E341))</f>
        <v/>
      </c>
      <c r="C341">
        <f>IF($E341="","",INDEX('Input Transaksi'!$E:$E,$E341))</f>
        <v/>
      </c>
      <c r="D341" s="5">
        <f>IF($E341="","",INDEX('Input Transaksi'!$F:$F,$E341))</f>
        <v/>
      </c>
      <c r="E341">
        <f>IFERROR(AGGREGATE(15,6,ROW('Input Transaksi'!$B$5:$B$5000)/('Input Transaksi'!$B$5:$B$5000="KLIN WASH"),ROWS($E$5:E341)),"")</f>
        <v/>
      </c>
      <c r="F341" s="5" t="n"/>
    </row>
    <row r="342">
      <c r="A342" s="10">
        <f>IF($E342="","",INDEX('Input Transaksi'!$A:$A,$E342))</f>
        <v/>
      </c>
      <c r="B342" s="5">
        <f>IF($E342="","",INDEX('Input Transaksi'!$D:$D,$E342))</f>
        <v/>
      </c>
      <c r="C342">
        <f>IF($E342="","",INDEX('Input Transaksi'!$E:$E,$E342))</f>
        <v/>
      </c>
      <c r="D342" s="5">
        <f>IF($E342="","",INDEX('Input Transaksi'!$F:$F,$E342))</f>
        <v/>
      </c>
      <c r="E342">
        <f>IFERROR(AGGREGATE(15,6,ROW('Input Transaksi'!$B$5:$B$5000)/('Input Transaksi'!$B$5:$B$5000="KLIN WASH"),ROWS($E$5:E342)),"")</f>
        <v/>
      </c>
      <c r="F342" s="5" t="n"/>
    </row>
    <row r="343">
      <c r="A343" s="10">
        <f>IF($E343="","",INDEX('Input Transaksi'!$A:$A,$E343))</f>
        <v/>
      </c>
      <c r="B343" s="5">
        <f>IF($E343="","",INDEX('Input Transaksi'!$D:$D,$E343))</f>
        <v/>
      </c>
      <c r="C343">
        <f>IF($E343="","",INDEX('Input Transaksi'!$E:$E,$E343))</f>
        <v/>
      </c>
      <c r="D343" s="5">
        <f>IF($E343="","",INDEX('Input Transaksi'!$F:$F,$E343))</f>
        <v/>
      </c>
      <c r="E343">
        <f>IFERROR(AGGREGATE(15,6,ROW('Input Transaksi'!$B$5:$B$5000)/('Input Transaksi'!$B$5:$B$5000="KLIN WASH"),ROWS($E$5:E343)),"")</f>
        <v/>
      </c>
      <c r="F343" s="5" t="n"/>
    </row>
    <row r="344">
      <c r="A344" s="10">
        <f>IF($E344="","",INDEX('Input Transaksi'!$A:$A,$E344))</f>
        <v/>
      </c>
      <c r="B344" s="5">
        <f>IF($E344="","",INDEX('Input Transaksi'!$D:$D,$E344))</f>
        <v/>
      </c>
      <c r="C344">
        <f>IF($E344="","",INDEX('Input Transaksi'!$E:$E,$E344))</f>
        <v/>
      </c>
      <c r="D344" s="5">
        <f>IF($E344="","",INDEX('Input Transaksi'!$F:$F,$E344))</f>
        <v/>
      </c>
      <c r="E344">
        <f>IFERROR(AGGREGATE(15,6,ROW('Input Transaksi'!$B$5:$B$5000)/('Input Transaksi'!$B$5:$B$5000="KLIN WASH"),ROWS($E$5:E344)),"")</f>
        <v/>
      </c>
      <c r="F344" s="5" t="n"/>
    </row>
    <row r="345">
      <c r="A345" s="10">
        <f>IF($E345="","",INDEX('Input Transaksi'!$A:$A,$E345))</f>
        <v/>
      </c>
      <c r="B345" s="5">
        <f>IF($E345="","",INDEX('Input Transaksi'!$D:$D,$E345))</f>
        <v/>
      </c>
      <c r="C345">
        <f>IF($E345="","",INDEX('Input Transaksi'!$E:$E,$E345))</f>
        <v/>
      </c>
      <c r="D345" s="5">
        <f>IF($E345="","",INDEX('Input Transaksi'!$F:$F,$E345))</f>
        <v/>
      </c>
      <c r="E345">
        <f>IFERROR(AGGREGATE(15,6,ROW('Input Transaksi'!$B$5:$B$5000)/('Input Transaksi'!$B$5:$B$5000="KLIN WASH"),ROWS($E$5:E345)),"")</f>
        <v/>
      </c>
      <c r="F345" s="5" t="n"/>
    </row>
    <row r="346">
      <c r="A346" s="10">
        <f>IF($E346="","",INDEX('Input Transaksi'!$A:$A,$E346))</f>
        <v/>
      </c>
      <c r="B346" s="5">
        <f>IF($E346="","",INDEX('Input Transaksi'!$D:$D,$E346))</f>
        <v/>
      </c>
      <c r="C346">
        <f>IF($E346="","",INDEX('Input Transaksi'!$E:$E,$E346))</f>
        <v/>
      </c>
      <c r="D346" s="5">
        <f>IF($E346="","",INDEX('Input Transaksi'!$F:$F,$E346))</f>
        <v/>
      </c>
      <c r="E346">
        <f>IFERROR(AGGREGATE(15,6,ROW('Input Transaksi'!$B$5:$B$5000)/('Input Transaksi'!$B$5:$B$5000="KLIN WASH"),ROWS($E$5:E346)),"")</f>
        <v/>
      </c>
      <c r="F346" s="5" t="n"/>
    </row>
    <row r="347">
      <c r="A347" s="10">
        <f>IF($E347="","",INDEX('Input Transaksi'!$A:$A,$E347))</f>
        <v/>
      </c>
      <c r="B347" s="5">
        <f>IF($E347="","",INDEX('Input Transaksi'!$D:$D,$E347))</f>
        <v/>
      </c>
      <c r="C347">
        <f>IF($E347="","",INDEX('Input Transaksi'!$E:$E,$E347))</f>
        <v/>
      </c>
      <c r="D347" s="5">
        <f>IF($E347="","",INDEX('Input Transaksi'!$F:$F,$E347))</f>
        <v/>
      </c>
      <c r="E347">
        <f>IFERROR(AGGREGATE(15,6,ROW('Input Transaksi'!$B$5:$B$5000)/('Input Transaksi'!$B$5:$B$5000="KLIN WASH"),ROWS($E$5:E347)),"")</f>
        <v/>
      </c>
      <c r="F347" s="5" t="n"/>
    </row>
    <row r="348">
      <c r="A348" s="10">
        <f>IF($E348="","",INDEX('Input Transaksi'!$A:$A,$E348))</f>
        <v/>
      </c>
      <c r="B348" s="5">
        <f>IF($E348="","",INDEX('Input Transaksi'!$D:$D,$E348))</f>
        <v/>
      </c>
      <c r="C348">
        <f>IF($E348="","",INDEX('Input Transaksi'!$E:$E,$E348))</f>
        <v/>
      </c>
      <c r="D348" s="5">
        <f>IF($E348="","",INDEX('Input Transaksi'!$F:$F,$E348))</f>
        <v/>
      </c>
      <c r="E348">
        <f>IFERROR(AGGREGATE(15,6,ROW('Input Transaksi'!$B$5:$B$5000)/('Input Transaksi'!$B$5:$B$5000="KLIN WASH"),ROWS($E$5:E348)),"")</f>
        <v/>
      </c>
      <c r="F348" s="5" t="n"/>
    </row>
    <row r="349">
      <c r="A349" s="10">
        <f>IF($E349="","",INDEX('Input Transaksi'!$A:$A,$E349))</f>
        <v/>
      </c>
      <c r="B349" s="5">
        <f>IF($E349="","",INDEX('Input Transaksi'!$D:$D,$E349))</f>
        <v/>
      </c>
      <c r="C349">
        <f>IF($E349="","",INDEX('Input Transaksi'!$E:$E,$E349))</f>
        <v/>
      </c>
      <c r="D349" s="5">
        <f>IF($E349="","",INDEX('Input Transaksi'!$F:$F,$E349))</f>
        <v/>
      </c>
      <c r="E349">
        <f>IFERROR(AGGREGATE(15,6,ROW('Input Transaksi'!$B$5:$B$5000)/('Input Transaksi'!$B$5:$B$5000="KLIN WASH"),ROWS($E$5:E349)),"")</f>
        <v/>
      </c>
      <c r="F349" s="5" t="n"/>
    </row>
    <row r="350">
      <c r="A350" s="10">
        <f>IF($E350="","",INDEX('Input Transaksi'!$A:$A,$E350))</f>
        <v/>
      </c>
      <c r="B350" s="5">
        <f>IF($E350="","",INDEX('Input Transaksi'!$D:$D,$E350))</f>
        <v/>
      </c>
      <c r="C350">
        <f>IF($E350="","",INDEX('Input Transaksi'!$E:$E,$E350))</f>
        <v/>
      </c>
      <c r="D350" s="5">
        <f>IF($E350="","",INDEX('Input Transaksi'!$F:$F,$E350))</f>
        <v/>
      </c>
      <c r="E350">
        <f>IFERROR(AGGREGATE(15,6,ROW('Input Transaksi'!$B$5:$B$5000)/('Input Transaksi'!$B$5:$B$5000="KLIN WASH"),ROWS($E$5:E350)),"")</f>
        <v/>
      </c>
      <c r="F350" s="5" t="n"/>
    </row>
    <row r="351">
      <c r="A351" s="10">
        <f>IF($E351="","",INDEX('Input Transaksi'!$A:$A,$E351))</f>
        <v/>
      </c>
      <c r="B351" s="5">
        <f>IF($E351="","",INDEX('Input Transaksi'!$D:$D,$E351))</f>
        <v/>
      </c>
      <c r="C351">
        <f>IF($E351="","",INDEX('Input Transaksi'!$E:$E,$E351))</f>
        <v/>
      </c>
      <c r="D351" s="5">
        <f>IF($E351="","",INDEX('Input Transaksi'!$F:$F,$E351))</f>
        <v/>
      </c>
      <c r="E351">
        <f>IFERROR(AGGREGATE(15,6,ROW('Input Transaksi'!$B$5:$B$5000)/('Input Transaksi'!$B$5:$B$5000="KLIN WASH"),ROWS($E$5:E351)),"")</f>
        <v/>
      </c>
      <c r="F351" s="5" t="n"/>
    </row>
    <row r="352">
      <c r="A352" s="10">
        <f>IF($E352="","",INDEX('Input Transaksi'!$A:$A,$E352))</f>
        <v/>
      </c>
      <c r="B352" s="5">
        <f>IF($E352="","",INDEX('Input Transaksi'!$D:$D,$E352))</f>
        <v/>
      </c>
      <c r="C352">
        <f>IF($E352="","",INDEX('Input Transaksi'!$E:$E,$E352))</f>
        <v/>
      </c>
      <c r="D352" s="5">
        <f>IF($E352="","",INDEX('Input Transaksi'!$F:$F,$E352))</f>
        <v/>
      </c>
      <c r="E352">
        <f>IFERROR(AGGREGATE(15,6,ROW('Input Transaksi'!$B$5:$B$5000)/('Input Transaksi'!$B$5:$B$5000="KLIN WASH"),ROWS($E$5:E352)),"")</f>
        <v/>
      </c>
      <c r="F352" s="5" t="n"/>
    </row>
    <row r="353">
      <c r="A353" s="10">
        <f>IF($E353="","",INDEX('Input Transaksi'!$A:$A,$E353))</f>
        <v/>
      </c>
      <c r="B353" s="5">
        <f>IF($E353="","",INDEX('Input Transaksi'!$D:$D,$E353))</f>
        <v/>
      </c>
      <c r="C353">
        <f>IF($E353="","",INDEX('Input Transaksi'!$E:$E,$E353))</f>
        <v/>
      </c>
      <c r="D353" s="5">
        <f>IF($E353="","",INDEX('Input Transaksi'!$F:$F,$E353))</f>
        <v/>
      </c>
      <c r="E353">
        <f>IFERROR(AGGREGATE(15,6,ROW('Input Transaksi'!$B$5:$B$5000)/('Input Transaksi'!$B$5:$B$5000="KLIN WASH"),ROWS($E$5:E353)),"")</f>
        <v/>
      </c>
      <c r="F353" s="5" t="n"/>
    </row>
    <row r="354">
      <c r="A354" s="10">
        <f>IF($E354="","",INDEX('Input Transaksi'!$A:$A,$E354))</f>
        <v/>
      </c>
      <c r="B354" s="5">
        <f>IF($E354="","",INDEX('Input Transaksi'!$D:$D,$E354))</f>
        <v/>
      </c>
      <c r="C354">
        <f>IF($E354="","",INDEX('Input Transaksi'!$E:$E,$E354))</f>
        <v/>
      </c>
      <c r="D354" s="5">
        <f>IF($E354="","",INDEX('Input Transaksi'!$F:$F,$E354))</f>
        <v/>
      </c>
      <c r="E354">
        <f>IFERROR(AGGREGATE(15,6,ROW('Input Transaksi'!$B$5:$B$5000)/('Input Transaksi'!$B$5:$B$5000="KLIN WASH"),ROWS($E$5:E354)),"")</f>
        <v/>
      </c>
      <c r="F354" s="5" t="n"/>
    </row>
    <row r="355">
      <c r="A355" s="10">
        <f>IF($E355="","",INDEX('Input Transaksi'!$A:$A,$E355))</f>
        <v/>
      </c>
      <c r="B355" s="5">
        <f>IF($E355="","",INDEX('Input Transaksi'!$D:$D,$E355))</f>
        <v/>
      </c>
      <c r="C355">
        <f>IF($E355="","",INDEX('Input Transaksi'!$E:$E,$E355))</f>
        <v/>
      </c>
      <c r="D355" s="5">
        <f>IF($E355="","",INDEX('Input Transaksi'!$F:$F,$E355))</f>
        <v/>
      </c>
      <c r="E355">
        <f>IFERROR(AGGREGATE(15,6,ROW('Input Transaksi'!$B$5:$B$5000)/('Input Transaksi'!$B$5:$B$5000="KLIN WASH"),ROWS($E$5:E355)),"")</f>
        <v/>
      </c>
      <c r="F355" s="5" t="n"/>
    </row>
    <row r="356">
      <c r="A356" s="10">
        <f>IF($E356="","",INDEX('Input Transaksi'!$A:$A,$E356))</f>
        <v/>
      </c>
      <c r="B356" s="5">
        <f>IF($E356="","",INDEX('Input Transaksi'!$D:$D,$E356))</f>
        <v/>
      </c>
      <c r="C356">
        <f>IF($E356="","",INDEX('Input Transaksi'!$E:$E,$E356))</f>
        <v/>
      </c>
      <c r="D356" s="5">
        <f>IF($E356="","",INDEX('Input Transaksi'!$F:$F,$E356))</f>
        <v/>
      </c>
      <c r="E356">
        <f>IFERROR(AGGREGATE(15,6,ROW('Input Transaksi'!$B$5:$B$5000)/('Input Transaksi'!$B$5:$B$5000="KLIN WASH"),ROWS($E$5:E356)),"")</f>
        <v/>
      </c>
      <c r="F356" s="5" t="n"/>
    </row>
    <row r="357">
      <c r="A357" s="10">
        <f>IF($E357="","",INDEX('Input Transaksi'!$A:$A,$E357))</f>
        <v/>
      </c>
      <c r="B357" s="5">
        <f>IF($E357="","",INDEX('Input Transaksi'!$D:$D,$E357))</f>
        <v/>
      </c>
      <c r="C357">
        <f>IF($E357="","",INDEX('Input Transaksi'!$E:$E,$E357))</f>
        <v/>
      </c>
      <c r="D357" s="5">
        <f>IF($E357="","",INDEX('Input Transaksi'!$F:$F,$E357))</f>
        <v/>
      </c>
      <c r="E357">
        <f>IFERROR(AGGREGATE(15,6,ROW('Input Transaksi'!$B$5:$B$5000)/('Input Transaksi'!$B$5:$B$5000="KLIN WASH"),ROWS($E$5:E357)),"")</f>
        <v/>
      </c>
      <c r="F357" s="5" t="n"/>
    </row>
    <row r="358">
      <c r="A358" s="10">
        <f>IF($E358="","",INDEX('Input Transaksi'!$A:$A,$E358))</f>
        <v/>
      </c>
      <c r="B358" s="5">
        <f>IF($E358="","",INDEX('Input Transaksi'!$D:$D,$E358))</f>
        <v/>
      </c>
      <c r="C358">
        <f>IF($E358="","",INDEX('Input Transaksi'!$E:$E,$E358))</f>
        <v/>
      </c>
      <c r="D358" s="5">
        <f>IF($E358="","",INDEX('Input Transaksi'!$F:$F,$E358))</f>
        <v/>
      </c>
      <c r="E358">
        <f>IFERROR(AGGREGATE(15,6,ROW('Input Transaksi'!$B$5:$B$5000)/('Input Transaksi'!$B$5:$B$5000="KLIN WASH"),ROWS($E$5:E358)),"")</f>
        <v/>
      </c>
      <c r="F358" s="5" t="n"/>
    </row>
    <row r="359">
      <c r="A359" s="10">
        <f>IF($E359="","",INDEX('Input Transaksi'!$A:$A,$E359))</f>
        <v/>
      </c>
      <c r="B359" s="5">
        <f>IF($E359="","",INDEX('Input Transaksi'!$D:$D,$E359))</f>
        <v/>
      </c>
      <c r="C359">
        <f>IF($E359="","",INDEX('Input Transaksi'!$E:$E,$E359))</f>
        <v/>
      </c>
      <c r="D359" s="5">
        <f>IF($E359="","",INDEX('Input Transaksi'!$F:$F,$E359))</f>
        <v/>
      </c>
      <c r="E359">
        <f>IFERROR(AGGREGATE(15,6,ROW('Input Transaksi'!$B$5:$B$5000)/('Input Transaksi'!$B$5:$B$5000="KLIN WASH"),ROWS($E$5:E359)),"")</f>
        <v/>
      </c>
      <c r="F359" s="5" t="n"/>
    </row>
    <row r="360">
      <c r="A360" s="10">
        <f>IF($E360="","",INDEX('Input Transaksi'!$A:$A,$E360))</f>
        <v/>
      </c>
      <c r="B360" s="5">
        <f>IF($E360="","",INDEX('Input Transaksi'!$D:$D,$E360))</f>
        <v/>
      </c>
      <c r="C360">
        <f>IF($E360="","",INDEX('Input Transaksi'!$E:$E,$E360))</f>
        <v/>
      </c>
      <c r="D360" s="5">
        <f>IF($E360="","",INDEX('Input Transaksi'!$F:$F,$E360))</f>
        <v/>
      </c>
      <c r="E360">
        <f>IFERROR(AGGREGATE(15,6,ROW('Input Transaksi'!$B$5:$B$5000)/('Input Transaksi'!$B$5:$B$5000="KLIN WASH"),ROWS($E$5:E360)),"")</f>
        <v/>
      </c>
      <c r="F360" s="5" t="n"/>
    </row>
    <row r="361">
      <c r="A361" s="10">
        <f>IF($E361="","",INDEX('Input Transaksi'!$A:$A,$E361))</f>
        <v/>
      </c>
      <c r="B361" s="5">
        <f>IF($E361="","",INDEX('Input Transaksi'!$D:$D,$E361))</f>
        <v/>
      </c>
      <c r="C361">
        <f>IF($E361="","",INDEX('Input Transaksi'!$E:$E,$E361))</f>
        <v/>
      </c>
      <c r="D361" s="5">
        <f>IF($E361="","",INDEX('Input Transaksi'!$F:$F,$E361))</f>
        <v/>
      </c>
      <c r="E361">
        <f>IFERROR(AGGREGATE(15,6,ROW('Input Transaksi'!$B$5:$B$5000)/('Input Transaksi'!$B$5:$B$5000="KLIN WASH"),ROWS($E$5:E361)),"")</f>
        <v/>
      </c>
      <c r="F361" s="5" t="n"/>
    </row>
    <row r="362">
      <c r="A362" s="10">
        <f>IF($E362="","",INDEX('Input Transaksi'!$A:$A,$E362))</f>
        <v/>
      </c>
      <c r="B362" s="5">
        <f>IF($E362="","",INDEX('Input Transaksi'!$D:$D,$E362))</f>
        <v/>
      </c>
      <c r="C362">
        <f>IF($E362="","",INDEX('Input Transaksi'!$E:$E,$E362))</f>
        <v/>
      </c>
      <c r="D362" s="5">
        <f>IF($E362="","",INDEX('Input Transaksi'!$F:$F,$E362))</f>
        <v/>
      </c>
      <c r="E362">
        <f>IFERROR(AGGREGATE(15,6,ROW('Input Transaksi'!$B$5:$B$5000)/('Input Transaksi'!$B$5:$B$5000="KLIN WASH"),ROWS($E$5:E362)),"")</f>
        <v/>
      </c>
      <c r="F362" s="5" t="n"/>
    </row>
    <row r="363">
      <c r="A363" s="10">
        <f>IF($E363="","",INDEX('Input Transaksi'!$A:$A,$E363))</f>
        <v/>
      </c>
      <c r="B363" s="5">
        <f>IF($E363="","",INDEX('Input Transaksi'!$D:$D,$E363))</f>
        <v/>
      </c>
      <c r="C363">
        <f>IF($E363="","",INDEX('Input Transaksi'!$E:$E,$E363))</f>
        <v/>
      </c>
      <c r="D363" s="5">
        <f>IF($E363="","",INDEX('Input Transaksi'!$F:$F,$E363))</f>
        <v/>
      </c>
      <c r="E363">
        <f>IFERROR(AGGREGATE(15,6,ROW('Input Transaksi'!$B$5:$B$5000)/('Input Transaksi'!$B$5:$B$5000="KLIN WASH"),ROWS($E$5:E363)),"")</f>
        <v/>
      </c>
      <c r="F363" s="5" t="n"/>
    </row>
    <row r="364">
      <c r="A364" s="10">
        <f>IF($E364="","",INDEX('Input Transaksi'!$A:$A,$E364))</f>
        <v/>
      </c>
      <c r="B364" s="5">
        <f>IF($E364="","",INDEX('Input Transaksi'!$D:$D,$E364))</f>
        <v/>
      </c>
      <c r="C364">
        <f>IF($E364="","",INDEX('Input Transaksi'!$E:$E,$E364))</f>
        <v/>
      </c>
      <c r="D364" s="5">
        <f>IF($E364="","",INDEX('Input Transaksi'!$F:$F,$E364))</f>
        <v/>
      </c>
      <c r="E364">
        <f>IFERROR(AGGREGATE(15,6,ROW('Input Transaksi'!$B$5:$B$5000)/('Input Transaksi'!$B$5:$B$5000="KLIN WASH"),ROWS($E$5:E364)),"")</f>
        <v/>
      </c>
      <c r="F364" s="5" t="n"/>
    </row>
    <row r="365">
      <c r="A365" s="10">
        <f>IF($E365="","",INDEX('Input Transaksi'!$A:$A,$E365))</f>
        <v/>
      </c>
      <c r="B365" s="5">
        <f>IF($E365="","",INDEX('Input Transaksi'!$D:$D,$E365))</f>
        <v/>
      </c>
      <c r="C365">
        <f>IF($E365="","",INDEX('Input Transaksi'!$E:$E,$E365))</f>
        <v/>
      </c>
      <c r="D365" s="5">
        <f>IF($E365="","",INDEX('Input Transaksi'!$F:$F,$E365))</f>
        <v/>
      </c>
      <c r="E365">
        <f>IFERROR(AGGREGATE(15,6,ROW('Input Transaksi'!$B$5:$B$5000)/('Input Transaksi'!$B$5:$B$5000="KLIN WASH"),ROWS($E$5:E365)),"")</f>
        <v/>
      </c>
      <c r="F365" s="5" t="n"/>
    </row>
    <row r="366">
      <c r="A366" s="10">
        <f>IF($E366="","",INDEX('Input Transaksi'!$A:$A,$E366))</f>
        <v/>
      </c>
      <c r="B366" s="5">
        <f>IF($E366="","",INDEX('Input Transaksi'!$D:$D,$E366))</f>
        <v/>
      </c>
      <c r="C366">
        <f>IF($E366="","",INDEX('Input Transaksi'!$E:$E,$E366))</f>
        <v/>
      </c>
      <c r="D366" s="5">
        <f>IF($E366="","",INDEX('Input Transaksi'!$F:$F,$E366))</f>
        <v/>
      </c>
      <c r="E366">
        <f>IFERROR(AGGREGATE(15,6,ROW('Input Transaksi'!$B$5:$B$5000)/('Input Transaksi'!$B$5:$B$5000="KLIN WASH"),ROWS($E$5:E366)),"")</f>
        <v/>
      </c>
      <c r="F366" s="5" t="n"/>
    </row>
    <row r="367">
      <c r="A367" s="10">
        <f>IF($E367="","",INDEX('Input Transaksi'!$A:$A,$E367))</f>
        <v/>
      </c>
      <c r="B367" s="5">
        <f>IF($E367="","",INDEX('Input Transaksi'!$D:$D,$E367))</f>
        <v/>
      </c>
      <c r="C367">
        <f>IF($E367="","",INDEX('Input Transaksi'!$E:$E,$E367))</f>
        <v/>
      </c>
      <c r="D367" s="5">
        <f>IF($E367="","",INDEX('Input Transaksi'!$F:$F,$E367))</f>
        <v/>
      </c>
      <c r="E367">
        <f>IFERROR(AGGREGATE(15,6,ROW('Input Transaksi'!$B$5:$B$5000)/('Input Transaksi'!$B$5:$B$5000="KLIN WASH"),ROWS($E$5:E367)),"")</f>
        <v/>
      </c>
      <c r="F367" s="5" t="n"/>
    </row>
    <row r="368">
      <c r="A368" s="10">
        <f>IF($E368="","",INDEX('Input Transaksi'!$A:$A,$E368))</f>
        <v/>
      </c>
      <c r="B368" s="5">
        <f>IF($E368="","",INDEX('Input Transaksi'!$D:$D,$E368))</f>
        <v/>
      </c>
      <c r="C368">
        <f>IF($E368="","",INDEX('Input Transaksi'!$E:$E,$E368))</f>
        <v/>
      </c>
      <c r="D368" s="5">
        <f>IF($E368="","",INDEX('Input Transaksi'!$F:$F,$E368))</f>
        <v/>
      </c>
      <c r="E368">
        <f>IFERROR(AGGREGATE(15,6,ROW('Input Transaksi'!$B$5:$B$5000)/('Input Transaksi'!$B$5:$B$5000="KLIN WASH"),ROWS($E$5:E368)),"")</f>
        <v/>
      </c>
      <c r="F368" s="5" t="n"/>
    </row>
    <row r="369">
      <c r="A369" s="10">
        <f>IF($E369="","",INDEX('Input Transaksi'!$A:$A,$E369))</f>
        <v/>
      </c>
      <c r="B369" s="5">
        <f>IF($E369="","",INDEX('Input Transaksi'!$D:$D,$E369))</f>
        <v/>
      </c>
      <c r="C369">
        <f>IF($E369="","",INDEX('Input Transaksi'!$E:$E,$E369))</f>
        <v/>
      </c>
      <c r="D369" s="5">
        <f>IF($E369="","",INDEX('Input Transaksi'!$F:$F,$E369))</f>
        <v/>
      </c>
      <c r="E369">
        <f>IFERROR(AGGREGATE(15,6,ROW('Input Transaksi'!$B$5:$B$5000)/('Input Transaksi'!$B$5:$B$5000="KLIN WASH"),ROWS($E$5:E369)),"")</f>
        <v/>
      </c>
      <c r="F369" s="5" t="n"/>
    </row>
    <row r="370">
      <c r="A370" s="10">
        <f>IF($E370="","",INDEX('Input Transaksi'!$A:$A,$E370))</f>
        <v/>
      </c>
      <c r="B370" s="5">
        <f>IF($E370="","",INDEX('Input Transaksi'!$D:$D,$E370))</f>
        <v/>
      </c>
      <c r="C370">
        <f>IF($E370="","",INDEX('Input Transaksi'!$E:$E,$E370))</f>
        <v/>
      </c>
      <c r="D370" s="5">
        <f>IF($E370="","",INDEX('Input Transaksi'!$F:$F,$E370))</f>
        <v/>
      </c>
      <c r="E370">
        <f>IFERROR(AGGREGATE(15,6,ROW('Input Transaksi'!$B$5:$B$5000)/('Input Transaksi'!$B$5:$B$5000="KLIN WASH"),ROWS($E$5:E370)),"")</f>
        <v/>
      </c>
      <c r="F370" s="5" t="n"/>
    </row>
    <row r="371">
      <c r="A371" s="10">
        <f>IF($E371="","",INDEX('Input Transaksi'!$A:$A,$E371))</f>
        <v/>
      </c>
      <c r="B371" s="5">
        <f>IF($E371="","",INDEX('Input Transaksi'!$D:$D,$E371))</f>
        <v/>
      </c>
      <c r="C371">
        <f>IF($E371="","",INDEX('Input Transaksi'!$E:$E,$E371))</f>
        <v/>
      </c>
      <c r="D371" s="5">
        <f>IF($E371="","",INDEX('Input Transaksi'!$F:$F,$E371))</f>
        <v/>
      </c>
      <c r="E371">
        <f>IFERROR(AGGREGATE(15,6,ROW('Input Transaksi'!$B$5:$B$5000)/('Input Transaksi'!$B$5:$B$5000="KLIN WASH"),ROWS($E$5:E371)),"")</f>
        <v/>
      </c>
      <c r="F371" s="5" t="n"/>
    </row>
    <row r="372">
      <c r="A372" s="10">
        <f>IF($E372="","",INDEX('Input Transaksi'!$A:$A,$E372))</f>
        <v/>
      </c>
      <c r="B372" s="5">
        <f>IF($E372="","",INDEX('Input Transaksi'!$D:$D,$E372))</f>
        <v/>
      </c>
      <c r="C372">
        <f>IF($E372="","",INDEX('Input Transaksi'!$E:$E,$E372))</f>
        <v/>
      </c>
      <c r="D372" s="5">
        <f>IF($E372="","",INDEX('Input Transaksi'!$F:$F,$E372))</f>
        <v/>
      </c>
      <c r="E372">
        <f>IFERROR(AGGREGATE(15,6,ROW('Input Transaksi'!$B$5:$B$5000)/('Input Transaksi'!$B$5:$B$5000="KLIN WASH"),ROWS($E$5:E372)),"")</f>
        <v/>
      </c>
      <c r="F372" s="5" t="n"/>
    </row>
    <row r="373">
      <c r="A373" s="10">
        <f>IF($E373="","",INDEX('Input Transaksi'!$A:$A,$E373))</f>
        <v/>
      </c>
      <c r="B373" s="5">
        <f>IF($E373="","",INDEX('Input Transaksi'!$D:$D,$E373))</f>
        <v/>
      </c>
      <c r="C373">
        <f>IF($E373="","",INDEX('Input Transaksi'!$E:$E,$E373))</f>
        <v/>
      </c>
      <c r="D373" s="5">
        <f>IF($E373="","",INDEX('Input Transaksi'!$F:$F,$E373))</f>
        <v/>
      </c>
      <c r="E373">
        <f>IFERROR(AGGREGATE(15,6,ROW('Input Transaksi'!$B$5:$B$5000)/('Input Transaksi'!$B$5:$B$5000="KLIN WASH"),ROWS($E$5:E373)),"")</f>
        <v/>
      </c>
      <c r="F373" s="5" t="n"/>
    </row>
    <row r="374">
      <c r="A374" s="10">
        <f>IF($E374="","",INDEX('Input Transaksi'!$A:$A,$E374))</f>
        <v/>
      </c>
      <c r="B374" s="5">
        <f>IF($E374="","",INDEX('Input Transaksi'!$D:$D,$E374))</f>
        <v/>
      </c>
      <c r="C374">
        <f>IF($E374="","",INDEX('Input Transaksi'!$E:$E,$E374))</f>
        <v/>
      </c>
      <c r="D374" s="5">
        <f>IF($E374="","",INDEX('Input Transaksi'!$F:$F,$E374))</f>
        <v/>
      </c>
      <c r="E374">
        <f>IFERROR(AGGREGATE(15,6,ROW('Input Transaksi'!$B$5:$B$5000)/('Input Transaksi'!$B$5:$B$5000="KLIN WASH"),ROWS($E$5:E374)),"")</f>
        <v/>
      </c>
      <c r="F374" s="5" t="n"/>
    </row>
    <row r="375">
      <c r="A375" s="10">
        <f>IF($E375="","",INDEX('Input Transaksi'!$A:$A,$E375))</f>
        <v/>
      </c>
      <c r="B375" s="5">
        <f>IF($E375="","",INDEX('Input Transaksi'!$D:$D,$E375))</f>
        <v/>
      </c>
      <c r="C375">
        <f>IF($E375="","",INDEX('Input Transaksi'!$E:$E,$E375))</f>
        <v/>
      </c>
      <c r="D375" s="5">
        <f>IF($E375="","",INDEX('Input Transaksi'!$F:$F,$E375))</f>
        <v/>
      </c>
      <c r="E375">
        <f>IFERROR(AGGREGATE(15,6,ROW('Input Transaksi'!$B$5:$B$5000)/('Input Transaksi'!$B$5:$B$5000="KLIN WASH"),ROWS($E$5:E375)),"")</f>
        <v/>
      </c>
      <c r="F375" s="5" t="n"/>
    </row>
    <row r="376">
      <c r="A376" s="10">
        <f>IF($E376="","",INDEX('Input Transaksi'!$A:$A,$E376))</f>
        <v/>
      </c>
      <c r="B376" s="5">
        <f>IF($E376="","",INDEX('Input Transaksi'!$D:$D,$E376))</f>
        <v/>
      </c>
      <c r="C376">
        <f>IF($E376="","",INDEX('Input Transaksi'!$E:$E,$E376))</f>
        <v/>
      </c>
      <c r="D376" s="5">
        <f>IF($E376="","",INDEX('Input Transaksi'!$F:$F,$E376))</f>
        <v/>
      </c>
      <c r="E376">
        <f>IFERROR(AGGREGATE(15,6,ROW('Input Transaksi'!$B$5:$B$5000)/('Input Transaksi'!$B$5:$B$5000="KLIN WASH"),ROWS($E$5:E376)),"")</f>
        <v/>
      </c>
      <c r="F376" s="5" t="n"/>
    </row>
    <row r="377">
      <c r="A377" s="10">
        <f>IF($E377="","",INDEX('Input Transaksi'!$A:$A,$E377))</f>
        <v/>
      </c>
      <c r="B377" s="5">
        <f>IF($E377="","",INDEX('Input Transaksi'!$D:$D,$E377))</f>
        <v/>
      </c>
      <c r="C377">
        <f>IF($E377="","",INDEX('Input Transaksi'!$E:$E,$E377))</f>
        <v/>
      </c>
      <c r="D377" s="5">
        <f>IF($E377="","",INDEX('Input Transaksi'!$F:$F,$E377))</f>
        <v/>
      </c>
      <c r="E377">
        <f>IFERROR(AGGREGATE(15,6,ROW('Input Transaksi'!$B$5:$B$5000)/('Input Transaksi'!$B$5:$B$5000="KLIN WASH"),ROWS($E$5:E377)),"")</f>
        <v/>
      </c>
      <c r="F377" s="5" t="n"/>
    </row>
    <row r="378">
      <c r="A378" s="10">
        <f>IF($E378="","",INDEX('Input Transaksi'!$A:$A,$E378))</f>
        <v/>
      </c>
      <c r="B378" s="5">
        <f>IF($E378="","",INDEX('Input Transaksi'!$D:$D,$E378))</f>
        <v/>
      </c>
      <c r="C378">
        <f>IF($E378="","",INDEX('Input Transaksi'!$E:$E,$E378))</f>
        <v/>
      </c>
      <c r="D378" s="5">
        <f>IF($E378="","",INDEX('Input Transaksi'!$F:$F,$E378))</f>
        <v/>
      </c>
      <c r="E378">
        <f>IFERROR(AGGREGATE(15,6,ROW('Input Transaksi'!$B$5:$B$5000)/('Input Transaksi'!$B$5:$B$5000="KLIN WASH"),ROWS($E$5:E378)),"")</f>
        <v/>
      </c>
      <c r="F378" s="5" t="n"/>
    </row>
    <row r="379">
      <c r="A379" s="10">
        <f>IF($E379="","",INDEX('Input Transaksi'!$A:$A,$E379))</f>
        <v/>
      </c>
      <c r="B379" s="5">
        <f>IF($E379="","",INDEX('Input Transaksi'!$D:$D,$E379))</f>
        <v/>
      </c>
      <c r="C379">
        <f>IF($E379="","",INDEX('Input Transaksi'!$E:$E,$E379))</f>
        <v/>
      </c>
      <c r="D379" s="5">
        <f>IF($E379="","",INDEX('Input Transaksi'!$F:$F,$E379))</f>
        <v/>
      </c>
      <c r="E379">
        <f>IFERROR(AGGREGATE(15,6,ROW('Input Transaksi'!$B$5:$B$5000)/('Input Transaksi'!$B$5:$B$5000="KLIN WASH"),ROWS($E$5:E379)),"")</f>
        <v/>
      </c>
      <c r="F379" s="5" t="n"/>
    </row>
    <row r="380">
      <c r="A380" s="10">
        <f>IF($E380="","",INDEX('Input Transaksi'!$A:$A,$E380))</f>
        <v/>
      </c>
      <c r="B380" s="5">
        <f>IF($E380="","",INDEX('Input Transaksi'!$D:$D,$E380))</f>
        <v/>
      </c>
      <c r="C380">
        <f>IF($E380="","",INDEX('Input Transaksi'!$E:$E,$E380))</f>
        <v/>
      </c>
      <c r="D380" s="5">
        <f>IF($E380="","",INDEX('Input Transaksi'!$F:$F,$E380))</f>
        <v/>
      </c>
      <c r="E380">
        <f>IFERROR(AGGREGATE(15,6,ROW('Input Transaksi'!$B$5:$B$5000)/('Input Transaksi'!$B$5:$B$5000="KLIN WASH"),ROWS($E$5:E380)),"")</f>
        <v/>
      </c>
      <c r="F380" s="5" t="n"/>
    </row>
    <row r="381">
      <c r="A381" s="10">
        <f>IF($E381="","",INDEX('Input Transaksi'!$A:$A,$E381))</f>
        <v/>
      </c>
      <c r="B381" s="5">
        <f>IF($E381="","",INDEX('Input Transaksi'!$D:$D,$E381))</f>
        <v/>
      </c>
      <c r="C381">
        <f>IF($E381="","",INDEX('Input Transaksi'!$E:$E,$E381))</f>
        <v/>
      </c>
      <c r="D381" s="5">
        <f>IF($E381="","",INDEX('Input Transaksi'!$F:$F,$E381))</f>
        <v/>
      </c>
      <c r="E381">
        <f>IFERROR(AGGREGATE(15,6,ROW('Input Transaksi'!$B$5:$B$5000)/('Input Transaksi'!$B$5:$B$5000="KLIN WASH"),ROWS($E$5:E381)),"")</f>
        <v/>
      </c>
      <c r="F381" s="5" t="n"/>
    </row>
    <row r="382">
      <c r="A382" s="10">
        <f>IF($E382="","",INDEX('Input Transaksi'!$A:$A,$E382))</f>
        <v/>
      </c>
      <c r="B382" s="5">
        <f>IF($E382="","",INDEX('Input Transaksi'!$D:$D,$E382))</f>
        <v/>
      </c>
      <c r="C382">
        <f>IF($E382="","",INDEX('Input Transaksi'!$E:$E,$E382))</f>
        <v/>
      </c>
      <c r="D382" s="5">
        <f>IF($E382="","",INDEX('Input Transaksi'!$F:$F,$E382))</f>
        <v/>
      </c>
      <c r="E382">
        <f>IFERROR(AGGREGATE(15,6,ROW('Input Transaksi'!$B$5:$B$5000)/('Input Transaksi'!$B$5:$B$5000="KLIN WASH"),ROWS($E$5:E382)),"")</f>
        <v/>
      </c>
      <c r="F382" s="5" t="n"/>
    </row>
    <row r="383">
      <c r="A383" s="10">
        <f>IF($E383="","",INDEX('Input Transaksi'!$A:$A,$E383))</f>
        <v/>
      </c>
      <c r="B383" s="5">
        <f>IF($E383="","",INDEX('Input Transaksi'!$D:$D,$E383))</f>
        <v/>
      </c>
      <c r="C383">
        <f>IF($E383="","",INDEX('Input Transaksi'!$E:$E,$E383))</f>
        <v/>
      </c>
      <c r="D383" s="5">
        <f>IF($E383="","",INDEX('Input Transaksi'!$F:$F,$E383))</f>
        <v/>
      </c>
      <c r="E383">
        <f>IFERROR(AGGREGATE(15,6,ROW('Input Transaksi'!$B$5:$B$5000)/('Input Transaksi'!$B$5:$B$5000="KLIN WASH"),ROWS($E$5:E383)),"")</f>
        <v/>
      </c>
      <c r="F383" s="5" t="n"/>
    </row>
    <row r="384">
      <c r="A384" s="10">
        <f>IF($E384="","",INDEX('Input Transaksi'!$A:$A,$E384))</f>
        <v/>
      </c>
      <c r="B384" s="5">
        <f>IF($E384="","",INDEX('Input Transaksi'!$D:$D,$E384))</f>
        <v/>
      </c>
      <c r="C384">
        <f>IF($E384="","",INDEX('Input Transaksi'!$E:$E,$E384))</f>
        <v/>
      </c>
      <c r="D384" s="5">
        <f>IF($E384="","",INDEX('Input Transaksi'!$F:$F,$E384))</f>
        <v/>
      </c>
      <c r="E384">
        <f>IFERROR(AGGREGATE(15,6,ROW('Input Transaksi'!$B$5:$B$5000)/('Input Transaksi'!$B$5:$B$5000="KLIN WASH"),ROWS($E$5:E384)),"")</f>
        <v/>
      </c>
      <c r="F384" s="5" t="n"/>
    </row>
    <row r="385">
      <c r="A385" s="10">
        <f>IF($E385="","",INDEX('Input Transaksi'!$A:$A,$E385))</f>
        <v/>
      </c>
      <c r="B385" s="5">
        <f>IF($E385="","",INDEX('Input Transaksi'!$D:$D,$E385))</f>
        <v/>
      </c>
      <c r="C385">
        <f>IF($E385="","",INDEX('Input Transaksi'!$E:$E,$E385))</f>
        <v/>
      </c>
      <c r="D385" s="5">
        <f>IF($E385="","",INDEX('Input Transaksi'!$F:$F,$E385))</f>
        <v/>
      </c>
      <c r="E385">
        <f>IFERROR(AGGREGATE(15,6,ROW('Input Transaksi'!$B$5:$B$5000)/('Input Transaksi'!$B$5:$B$5000="KLIN WASH"),ROWS($E$5:E385)),"")</f>
        <v/>
      </c>
      <c r="F385" s="5" t="n"/>
    </row>
    <row r="386">
      <c r="A386" s="10">
        <f>IF($E386="","",INDEX('Input Transaksi'!$A:$A,$E386))</f>
        <v/>
      </c>
      <c r="B386" s="5">
        <f>IF($E386="","",INDEX('Input Transaksi'!$D:$D,$E386))</f>
        <v/>
      </c>
      <c r="C386">
        <f>IF($E386="","",INDEX('Input Transaksi'!$E:$E,$E386))</f>
        <v/>
      </c>
      <c r="D386" s="5">
        <f>IF($E386="","",INDEX('Input Transaksi'!$F:$F,$E386))</f>
        <v/>
      </c>
      <c r="E386">
        <f>IFERROR(AGGREGATE(15,6,ROW('Input Transaksi'!$B$5:$B$5000)/('Input Transaksi'!$B$5:$B$5000="KLIN WASH"),ROWS($E$5:E386)),"")</f>
        <v/>
      </c>
      <c r="F386" s="5" t="n"/>
    </row>
    <row r="387">
      <c r="A387" s="10">
        <f>IF($E387="","",INDEX('Input Transaksi'!$A:$A,$E387))</f>
        <v/>
      </c>
      <c r="B387" s="5">
        <f>IF($E387="","",INDEX('Input Transaksi'!$D:$D,$E387))</f>
        <v/>
      </c>
      <c r="C387">
        <f>IF($E387="","",INDEX('Input Transaksi'!$E:$E,$E387))</f>
        <v/>
      </c>
      <c r="D387" s="5">
        <f>IF($E387="","",INDEX('Input Transaksi'!$F:$F,$E387))</f>
        <v/>
      </c>
      <c r="E387">
        <f>IFERROR(AGGREGATE(15,6,ROW('Input Transaksi'!$B$5:$B$5000)/('Input Transaksi'!$B$5:$B$5000="KLIN WASH"),ROWS($E$5:E387)),"")</f>
        <v/>
      </c>
      <c r="F387" s="5" t="n"/>
    </row>
    <row r="388">
      <c r="A388" s="10">
        <f>IF($E388="","",INDEX('Input Transaksi'!$A:$A,$E388))</f>
        <v/>
      </c>
      <c r="B388" s="5">
        <f>IF($E388="","",INDEX('Input Transaksi'!$D:$D,$E388))</f>
        <v/>
      </c>
      <c r="C388">
        <f>IF($E388="","",INDEX('Input Transaksi'!$E:$E,$E388))</f>
        <v/>
      </c>
      <c r="D388" s="5">
        <f>IF($E388="","",INDEX('Input Transaksi'!$F:$F,$E388))</f>
        <v/>
      </c>
      <c r="E388">
        <f>IFERROR(AGGREGATE(15,6,ROW('Input Transaksi'!$B$5:$B$5000)/('Input Transaksi'!$B$5:$B$5000="KLIN WASH"),ROWS($E$5:E388)),"")</f>
        <v/>
      </c>
      <c r="F388" s="5" t="n"/>
    </row>
    <row r="389">
      <c r="A389" s="10">
        <f>IF($E389="","",INDEX('Input Transaksi'!$A:$A,$E389))</f>
        <v/>
      </c>
      <c r="B389" s="5">
        <f>IF($E389="","",INDEX('Input Transaksi'!$D:$D,$E389))</f>
        <v/>
      </c>
      <c r="C389">
        <f>IF($E389="","",INDEX('Input Transaksi'!$E:$E,$E389))</f>
        <v/>
      </c>
      <c r="D389" s="5">
        <f>IF($E389="","",INDEX('Input Transaksi'!$F:$F,$E389))</f>
        <v/>
      </c>
      <c r="E389">
        <f>IFERROR(AGGREGATE(15,6,ROW('Input Transaksi'!$B$5:$B$5000)/('Input Transaksi'!$B$5:$B$5000="KLIN WASH"),ROWS($E$5:E389)),"")</f>
        <v/>
      </c>
      <c r="F389" s="5" t="n"/>
    </row>
    <row r="390">
      <c r="A390" s="10">
        <f>IF($E390="","",INDEX('Input Transaksi'!$A:$A,$E390))</f>
        <v/>
      </c>
      <c r="B390" s="5">
        <f>IF($E390="","",INDEX('Input Transaksi'!$D:$D,$E390))</f>
        <v/>
      </c>
      <c r="C390">
        <f>IF($E390="","",INDEX('Input Transaksi'!$E:$E,$E390))</f>
        <v/>
      </c>
      <c r="D390" s="5">
        <f>IF($E390="","",INDEX('Input Transaksi'!$F:$F,$E390))</f>
        <v/>
      </c>
      <c r="E390">
        <f>IFERROR(AGGREGATE(15,6,ROW('Input Transaksi'!$B$5:$B$5000)/('Input Transaksi'!$B$5:$B$5000="KLIN WASH"),ROWS($E$5:E390)),"")</f>
        <v/>
      </c>
      <c r="F390" s="5" t="n"/>
    </row>
    <row r="391">
      <c r="A391" s="10">
        <f>IF($E391="","",INDEX('Input Transaksi'!$A:$A,$E391))</f>
        <v/>
      </c>
      <c r="B391" s="5">
        <f>IF($E391="","",INDEX('Input Transaksi'!$D:$D,$E391))</f>
        <v/>
      </c>
      <c r="C391">
        <f>IF($E391="","",INDEX('Input Transaksi'!$E:$E,$E391))</f>
        <v/>
      </c>
      <c r="D391" s="5">
        <f>IF($E391="","",INDEX('Input Transaksi'!$F:$F,$E391))</f>
        <v/>
      </c>
      <c r="E391">
        <f>IFERROR(AGGREGATE(15,6,ROW('Input Transaksi'!$B$5:$B$5000)/('Input Transaksi'!$B$5:$B$5000="KLIN WASH"),ROWS($E$5:E391)),"")</f>
        <v/>
      </c>
      <c r="F391" s="5" t="n"/>
    </row>
    <row r="392">
      <c r="A392" s="10">
        <f>IF($E392="","",INDEX('Input Transaksi'!$A:$A,$E392))</f>
        <v/>
      </c>
      <c r="B392" s="5">
        <f>IF($E392="","",INDEX('Input Transaksi'!$D:$D,$E392))</f>
        <v/>
      </c>
      <c r="C392">
        <f>IF($E392="","",INDEX('Input Transaksi'!$E:$E,$E392))</f>
        <v/>
      </c>
      <c r="D392" s="5">
        <f>IF($E392="","",INDEX('Input Transaksi'!$F:$F,$E392))</f>
        <v/>
      </c>
      <c r="E392">
        <f>IFERROR(AGGREGATE(15,6,ROW('Input Transaksi'!$B$5:$B$5000)/('Input Transaksi'!$B$5:$B$5000="KLIN WASH"),ROWS($E$5:E392)),"")</f>
        <v/>
      </c>
      <c r="F392" s="5" t="n"/>
    </row>
    <row r="393">
      <c r="A393" s="10">
        <f>IF($E393="","",INDEX('Input Transaksi'!$A:$A,$E393))</f>
        <v/>
      </c>
      <c r="B393" s="5">
        <f>IF($E393="","",INDEX('Input Transaksi'!$D:$D,$E393))</f>
        <v/>
      </c>
      <c r="C393">
        <f>IF($E393="","",INDEX('Input Transaksi'!$E:$E,$E393))</f>
        <v/>
      </c>
      <c r="D393" s="5">
        <f>IF($E393="","",INDEX('Input Transaksi'!$F:$F,$E393))</f>
        <v/>
      </c>
      <c r="E393">
        <f>IFERROR(AGGREGATE(15,6,ROW('Input Transaksi'!$B$5:$B$5000)/('Input Transaksi'!$B$5:$B$5000="KLIN WASH"),ROWS($E$5:E393)),"")</f>
        <v/>
      </c>
      <c r="F393" s="5" t="n"/>
    </row>
    <row r="394">
      <c r="A394" s="10">
        <f>IF($E394="","",INDEX('Input Transaksi'!$A:$A,$E394))</f>
        <v/>
      </c>
      <c r="B394" s="5">
        <f>IF($E394="","",INDEX('Input Transaksi'!$D:$D,$E394))</f>
        <v/>
      </c>
      <c r="C394">
        <f>IF($E394="","",INDEX('Input Transaksi'!$E:$E,$E394))</f>
        <v/>
      </c>
      <c r="D394" s="5">
        <f>IF($E394="","",INDEX('Input Transaksi'!$F:$F,$E394))</f>
        <v/>
      </c>
      <c r="E394">
        <f>IFERROR(AGGREGATE(15,6,ROW('Input Transaksi'!$B$5:$B$5000)/('Input Transaksi'!$B$5:$B$5000="KLIN WASH"),ROWS($E$5:E394)),"")</f>
        <v/>
      </c>
      <c r="F394" s="5" t="n"/>
    </row>
    <row r="395">
      <c r="A395" s="10">
        <f>IF($E395="","",INDEX('Input Transaksi'!$A:$A,$E395))</f>
        <v/>
      </c>
      <c r="B395" s="5">
        <f>IF($E395="","",INDEX('Input Transaksi'!$D:$D,$E395))</f>
        <v/>
      </c>
      <c r="C395">
        <f>IF($E395="","",INDEX('Input Transaksi'!$E:$E,$E395))</f>
        <v/>
      </c>
      <c r="D395" s="5">
        <f>IF($E395="","",INDEX('Input Transaksi'!$F:$F,$E395))</f>
        <v/>
      </c>
      <c r="E395">
        <f>IFERROR(AGGREGATE(15,6,ROW('Input Transaksi'!$B$5:$B$5000)/('Input Transaksi'!$B$5:$B$5000="KLIN WASH"),ROWS($E$5:E395)),"")</f>
        <v/>
      </c>
      <c r="F395" s="5" t="n"/>
    </row>
    <row r="396">
      <c r="A396" s="10">
        <f>IF($E396="","",INDEX('Input Transaksi'!$A:$A,$E396))</f>
        <v/>
      </c>
      <c r="B396" s="5">
        <f>IF($E396="","",INDEX('Input Transaksi'!$D:$D,$E396))</f>
        <v/>
      </c>
      <c r="C396">
        <f>IF($E396="","",INDEX('Input Transaksi'!$E:$E,$E396))</f>
        <v/>
      </c>
      <c r="D396" s="5">
        <f>IF($E396="","",INDEX('Input Transaksi'!$F:$F,$E396))</f>
        <v/>
      </c>
      <c r="E396">
        <f>IFERROR(AGGREGATE(15,6,ROW('Input Transaksi'!$B$5:$B$5000)/('Input Transaksi'!$B$5:$B$5000="KLIN WASH"),ROWS($E$5:E396)),"")</f>
        <v/>
      </c>
      <c r="F396" s="5" t="n"/>
    </row>
    <row r="397">
      <c r="A397" s="10">
        <f>IF($E397="","",INDEX('Input Transaksi'!$A:$A,$E397))</f>
        <v/>
      </c>
      <c r="B397" s="5">
        <f>IF($E397="","",INDEX('Input Transaksi'!$D:$D,$E397))</f>
        <v/>
      </c>
      <c r="C397">
        <f>IF($E397="","",INDEX('Input Transaksi'!$E:$E,$E397))</f>
        <v/>
      </c>
      <c r="D397" s="5">
        <f>IF($E397="","",INDEX('Input Transaksi'!$F:$F,$E397))</f>
        <v/>
      </c>
      <c r="E397">
        <f>IFERROR(AGGREGATE(15,6,ROW('Input Transaksi'!$B$5:$B$5000)/('Input Transaksi'!$B$5:$B$5000="KLIN WASH"),ROWS($E$5:E397)),"")</f>
        <v/>
      </c>
      <c r="F397" s="5" t="n"/>
    </row>
    <row r="398">
      <c r="A398" s="10">
        <f>IF($E398="","",INDEX('Input Transaksi'!$A:$A,$E398))</f>
        <v/>
      </c>
      <c r="B398" s="5">
        <f>IF($E398="","",INDEX('Input Transaksi'!$D:$D,$E398))</f>
        <v/>
      </c>
      <c r="C398">
        <f>IF($E398="","",INDEX('Input Transaksi'!$E:$E,$E398))</f>
        <v/>
      </c>
      <c r="D398" s="5">
        <f>IF($E398="","",INDEX('Input Transaksi'!$F:$F,$E398))</f>
        <v/>
      </c>
      <c r="E398">
        <f>IFERROR(AGGREGATE(15,6,ROW('Input Transaksi'!$B$5:$B$5000)/('Input Transaksi'!$B$5:$B$5000="KLIN WASH"),ROWS($E$5:E398)),"")</f>
        <v/>
      </c>
      <c r="F398" s="5" t="n"/>
    </row>
    <row r="399">
      <c r="A399" s="10">
        <f>IF($E399="","",INDEX('Input Transaksi'!$A:$A,$E399))</f>
        <v/>
      </c>
      <c r="B399" s="5">
        <f>IF($E399="","",INDEX('Input Transaksi'!$D:$D,$E399))</f>
        <v/>
      </c>
      <c r="C399">
        <f>IF($E399="","",INDEX('Input Transaksi'!$E:$E,$E399))</f>
        <v/>
      </c>
      <c r="D399" s="5">
        <f>IF($E399="","",INDEX('Input Transaksi'!$F:$F,$E399))</f>
        <v/>
      </c>
      <c r="E399">
        <f>IFERROR(AGGREGATE(15,6,ROW('Input Transaksi'!$B$5:$B$5000)/('Input Transaksi'!$B$5:$B$5000="KLIN WASH"),ROWS($E$5:E399)),"")</f>
        <v/>
      </c>
      <c r="F399" s="5" t="n"/>
    </row>
    <row r="400">
      <c r="A400" s="10">
        <f>IF($E400="","",INDEX('Input Transaksi'!$A:$A,$E400))</f>
        <v/>
      </c>
      <c r="B400" s="5">
        <f>IF($E400="","",INDEX('Input Transaksi'!$D:$D,$E400))</f>
        <v/>
      </c>
      <c r="C400">
        <f>IF($E400="","",INDEX('Input Transaksi'!$E:$E,$E400))</f>
        <v/>
      </c>
      <c r="D400" s="5">
        <f>IF($E400="","",INDEX('Input Transaksi'!$F:$F,$E400))</f>
        <v/>
      </c>
      <c r="E400">
        <f>IFERROR(AGGREGATE(15,6,ROW('Input Transaksi'!$B$5:$B$5000)/('Input Transaksi'!$B$5:$B$5000="KLIN WASH"),ROWS($E$5:E400)),"")</f>
        <v/>
      </c>
      <c r="F400" s="5" t="n"/>
    </row>
    <row r="401">
      <c r="A401" s="10">
        <f>IF($E401="","",INDEX('Input Transaksi'!$A:$A,$E401))</f>
        <v/>
      </c>
      <c r="B401" s="5">
        <f>IF($E401="","",INDEX('Input Transaksi'!$D:$D,$E401))</f>
        <v/>
      </c>
      <c r="C401">
        <f>IF($E401="","",INDEX('Input Transaksi'!$E:$E,$E401))</f>
        <v/>
      </c>
      <c r="D401" s="5">
        <f>IF($E401="","",INDEX('Input Transaksi'!$F:$F,$E401))</f>
        <v/>
      </c>
      <c r="E401">
        <f>IFERROR(AGGREGATE(15,6,ROW('Input Transaksi'!$B$5:$B$5000)/('Input Transaksi'!$B$5:$B$5000="KLIN WASH"),ROWS($E$5:E401)),"")</f>
        <v/>
      </c>
      <c r="F401" s="5" t="n"/>
    </row>
    <row r="402">
      <c r="A402" s="10">
        <f>IF($E402="","",INDEX('Input Transaksi'!$A:$A,$E402))</f>
        <v/>
      </c>
      <c r="B402" s="5">
        <f>IF($E402="","",INDEX('Input Transaksi'!$D:$D,$E402))</f>
        <v/>
      </c>
      <c r="C402">
        <f>IF($E402="","",INDEX('Input Transaksi'!$E:$E,$E402))</f>
        <v/>
      </c>
      <c r="D402" s="5">
        <f>IF($E402="","",INDEX('Input Transaksi'!$F:$F,$E402))</f>
        <v/>
      </c>
      <c r="E402">
        <f>IFERROR(AGGREGATE(15,6,ROW('Input Transaksi'!$B$5:$B$5000)/('Input Transaksi'!$B$5:$B$5000="KLIN WASH"),ROWS($E$5:E402)),"")</f>
        <v/>
      </c>
      <c r="F402" s="5" t="n"/>
    </row>
    <row r="403">
      <c r="A403" s="10">
        <f>IF($E403="","",INDEX('Input Transaksi'!$A:$A,$E403))</f>
        <v/>
      </c>
      <c r="B403" s="5">
        <f>IF($E403="","",INDEX('Input Transaksi'!$D:$D,$E403))</f>
        <v/>
      </c>
      <c r="C403">
        <f>IF($E403="","",INDEX('Input Transaksi'!$E:$E,$E403))</f>
        <v/>
      </c>
      <c r="D403" s="5">
        <f>IF($E403="","",INDEX('Input Transaksi'!$F:$F,$E403))</f>
        <v/>
      </c>
      <c r="E403">
        <f>IFERROR(AGGREGATE(15,6,ROW('Input Transaksi'!$B$5:$B$5000)/('Input Transaksi'!$B$5:$B$5000="KLIN WASH"),ROWS($E$5:E403)),"")</f>
        <v/>
      </c>
      <c r="F403" s="5" t="n"/>
    </row>
    <row r="404">
      <c r="A404" s="10">
        <f>IF($E404="","",INDEX('Input Transaksi'!$A:$A,$E404))</f>
        <v/>
      </c>
      <c r="B404" s="5">
        <f>IF($E404="","",INDEX('Input Transaksi'!$D:$D,$E404))</f>
        <v/>
      </c>
      <c r="C404">
        <f>IF($E404="","",INDEX('Input Transaksi'!$E:$E,$E404))</f>
        <v/>
      </c>
      <c r="D404" s="5">
        <f>IF($E404="","",INDEX('Input Transaksi'!$F:$F,$E404))</f>
        <v/>
      </c>
      <c r="E404">
        <f>IFERROR(AGGREGATE(15,6,ROW('Input Transaksi'!$B$5:$B$5000)/('Input Transaksi'!$B$5:$B$5000="KLIN WASH"),ROWS($E$5:E404)),"")</f>
        <v/>
      </c>
      <c r="F404" s="5" t="n"/>
    </row>
    <row r="405">
      <c r="A405" s="10">
        <f>IF($E405="","",INDEX('Input Transaksi'!$A:$A,$E405))</f>
        <v/>
      </c>
      <c r="B405" s="5">
        <f>IF($E405="","",INDEX('Input Transaksi'!$D:$D,$E405))</f>
        <v/>
      </c>
      <c r="C405">
        <f>IF($E405="","",INDEX('Input Transaksi'!$E:$E,$E405))</f>
        <v/>
      </c>
      <c r="D405" s="5">
        <f>IF($E405="","",INDEX('Input Transaksi'!$F:$F,$E405))</f>
        <v/>
      </c>
      <c r="E405">
        <f>IFERROR(AGGREGATE(15,6,ROW('Input Transaksi'!$B$5:$B$5000)/('Input Transaksi'!$B$5:$B$5000="KLIN WASH"),ROWS($E$5:E405)),"")</f>
        <v/>
      </c>
      <c r="F405" s="5" t="n"/>
    </row>
    <row r="406">
      <c r="A406" s="10">
        <f>IF($E406="","",INDEX('Input Transaksi'!$A:$A,$E406))</f>
        <v/>
      </c>
      <c r="B406" s="5">
        <f>IF($E406="","",INDEX('Input Transaksi'!$D:$D,$E406))</f>
        <v/>
      </c>
      <c r="C406">
        <f>IF($E406="","",INDEX('Input Transaksi'!$E:$E,$E406))</f>
        <v/>
      </c>
      <c r="D406" s="5">
        <f>IF($E406="","",INDEX('Input Transaksi'!$F:$F,$E406))</f>
        <v/>
      </c>
      <c r="E406">
        <f>IFERROR(AGGREGATE(15,6,ROW('Input Transaksi'!$B$5:$B$5000)/('Input Transaksi'!$B$5:$B$5000="KLIN WASH"),ROWS($E$5:E406)),"")</f>
        <v/>
      </c>
      <c r="F406" s="5" t="n"/>
    </row>
    <row r="407">
      <c r="A407" s="10">
        <f>IF($E407="","",INDEX('Input Transaksi'!$A:$A,$E407))</f>
        <v/>
      </c>
      <c r="B407" s="5">
        <f>IF($E407="","",INDEX('Input Transaksi'!$D:$D,$E407))</f>
        <v/>
      </c>
      <c r="C407">
        <f>IF($E407="","",INDEX('Input Transaksi'!$E:$E,$E407))</f>
        <v/>
      </c>
      <c r="D407" s="5">
        <f>IF($E407="","",INDEX('Input Transaksi'!$F:$F,$E407))</f>
        <v/>
      </c>
      <c r="E407">
        <f>IFERROR(AGGREGATE(15,6,ROW('Input Transaksi'!$B$5:$B$5000)/('Input Transaksi'!$B$5:$B$5000="KLIN WASH"),ROWS($E$5:E407)),"")</f>
        <v/>
      </c>
      <c r="F407" s="5" t="n"/>
    </row>
    <row r="408">
      <c r="A408" s="10">
        <f>IF($E408="","",INDEX('Input Transaksi'!$A:$A,$E408))</f>
        <v/>
      </c>
      <c r="B408" s="5">
        <f>IF($E408="","",INDEX('Input Transaksi'!$D:$D,$E408))</f>
        <v/>
      </c>
      <c r="C408">
        <f>IF($E408="","",INDEX('Input Transaksi'!$E:$E,$E408))</f>
        <v/>
      </c>
      <c r="D408" s="5">
        <f>IF($E408="","",INDEX('Input Transaksi'!$F:$F,$E408))</f>
        <v/>
      </c>
      <c r="E408">
        <f>IFERROR(AGGREGATE(15,6,ROW('Input Transaksi'!$B$5:$B$5000)/('Input Transaksi'!$B$5:$B$5000="KLIN WASH"),ROWS($E$5:E408)),"")</f>
        <v/>
      </c>
      <c r="F408" s="5" t="n"/>
    </row>
    <row r="409">
      <c r="A409" s="10">
        <f>IF($E409="","",INDEX('Input Transaksi'!$A:$A,$E409))</f>
        <v/>
      </c>
      <c r="B409" s="5">
        <f>IF($E409="","",INDEX('Input Transaksi'!$D:$D,$E409))</f>
        <v/>
      </c>
      <c r="C409">
        <f>IF($E409="","",INDEX('Input Transaksi'!$E:$E,$E409))</f>
        <v/>
      </c>
      <c r="D409" s="5">
        <f>IF($E409="","",INDEX('Input Transaksi'!$F:$F,$E409))</f>
        <v/>
      </c>
      <c r="E409">
        <f>IFERROR(AGGREGATE(15,6,ROW('Input Transaksi'!$B$5:$B$5000)/('Input Transaksi'!$B$5:$B$5000="KLIN WASH"),ROWS($E$5:E409)),"")</f>
        <v/>
      </c>
      <c r="F409" s="5" t="n"/>
    </row>
    <row r="410">
      <c r="A410" s="10">
        <f>IF($E410="","",INDEX('Input Transaksi'!$A:$A,$E410))</f>
        <v/>
      </c>
      <c r="B410" s="5">
        <f>IF($E410="","",INDEX('Input Transaksi'!$D:$D,$E410))</f>
        <v/>
      </c>
      <c r="C410">
        <f>IF($E410="","",INDEX('Input Transaksi'!$E:$E,$E410))</f>
        <v/>
      </c>
      <c r="D410" s="5">
        <f>IF($E410="","",INDEX('Input Transaksi'!$F:$F,$E410))</f>
        <v/>
      </c>
      <c r="E410">
        <f>IFERROR(AGGREGATE(15,6,ROW('Input Transaksi'!$B$5:$B$5000)/('Input Transaksi'!$B$5:$B$5000="KLIN WASH"),ROWS($E$5:E410)),"")</f>
        <v/>
      </c>
      <c r="F410" s="5" t="n"/>
    </row>
    <row r="411">
      <c r="A411" s="10">
        <f>IF($E411="","",INDEX('Input Transaksi'!$A:$A,$E411))</f>
        <v/>
      </c>
      <c r="B411" s="5">
        <f>IF($E411="","",INDEX('Input Transaksi'!$D:$D,$E411))</f>
        <v/>
      </c>
      <c r="C411">
        <f>IF($E411="","",INDEX('Input Transaksi'!$E:$E,$E411))</f>
        <v/>
      </c>
      <c r="D411" s="5">
        <f>IF($E411="","",INDEX('Input Transaksi'!$F:$F,$E411))</f>
        <v/>
      </c>
      <c r="E411">
        <f>IFERROR(AGGREGATE(15,6,ROW('Input Transaksi'!$B$5:$B$5000)/('Input Transaksi'!$B$5:$B$5000="KLIN WASH"),ROWS($E$5:E411)),"")</f>
        <v/>
      </c>
      <c r="F411" s="5" t="n"/>
    </row>
    <row r="412">
      <c r="A412" s="10">
        <f>IF($E412="","",INDEX('Input Transaksi'!$A:$A,$E412))</f>
        <v/>
      </c>
      <c r="B412" s="5">
        <f>IF($E412="","",INDEX('Input Transaksi'!$D:$D,$E412))</f>
        <v/>
      </c>
      <c r="C412">
        <f>IF($E412="","",INDEX('Input Transaksi'!$E:$E,$E412))</f>
        <v/>
      </c>
      <c r="D412" s="5">
        <f>IF($E412="","",INDEX('Input Transaksi'!$F:$F,$E412))</f>
        <v/>
      </c>
      <c r="E412">
        <f>IFERROR(AGGREGATE(15,6,ROW('Input Transaksi'!$B$5:$B$5000)/('Input Transaksi'!$B$5:$B$5000="KLIN WASH"),ROWS($E$5:E412)),"")</f>
        <v/>
      </c>
      <c r="F412" s="5" t="n"/>
    </row>
    <row r="413">
      <c r="A413" s="10">
        <f>IF($E413="","",INDEX('Input Transaksi'!$A:$A,$E413))</f>
        <v/>
      </c>
      <c r="B413" s="5">
        <f>IF($E413="","",INDEX('Input Transaksi'!$D:$D,$E413))</f>
        <v/>
      </c>
      <c r="C413">
        <f>IF($E413="","",INDEX('Input Transaksi'!$E:$E,$E413))</f>
        <v/>
      </c>
      <c r="D413" s="5">
        <f>IF($E413="","",INDEX('Input Transaksi'!$F:$F,$E413))</f>
        <v/>
      </c>
      <c r="E413">
        <f>IFERROR(AGGREGATE(15,6,ROW('Input Transaksi'!$B$5:$B$5000)/('Input Transaksi'!$B$5:$B$5000="KLIN WASH"),ROWS($E$5:E413)),"")</f>
        <v/>
      </c>
      <c r="F413" s="5" t="n"/>
    </row>
    <row r="414">
      <c r="A414" s="10">
        <f>IF($E414="","",INDEX('Input Transaksi'!$A:$A,$E414))</f>
        <v/>
      </c>
      <c r="B414" s="5">
        <f>IF($E414="","",INDEX('Input Transaksi'!$D:$D,$E414))</f>
        <v/>
      </c>
      <c r="C414">
        <f>IF($E414="","",INDEX('Input Transaksi'!$E:$E,$E414))</f>
        <v/>
      </c>
      <c r="D414" s="5">
        <f>IF($E414="","",INDEX('Input Transaksi'!$F:$F,$E414))</f>
        <v/>
      </c>
      <c r="E414">
        <f>IFERROR(AGGREGATE(15,6,ROW('Input Transaksi'!$B$5:$B$5000)/('Input Transaksi'!$B$5:$B$5000="KLIN WASH"),ROWS($E$5:E414)),"")</f>
        <v/>
      </c>
      <c r="F414" s="5" t="n"/>
    </row>
    <row r="415">
      <c r="A415" s="10">
        <f>IF($E415="","",INDEX('Input Transaksi'!$A:$A,$E415))</f>
        <v/>
      </c>
      <c r="B415" s="5">
        <f>IF($E415="","",INDEX('Input Transaksi'!$D:$D,$E415))</f>
        <v/>
      </c>
      <c r="C415">
        <f>IF($E415="","",INDEX('Input Transaksi'!$E:$E,$E415))</f>
        <v/>
      </c>
      <c r="D415" s="5">
        <f>IF($E415="","",INDEX('Input Transaksi'!$F:$F,$E415))</f>
        <v/>
      </c>
      <c r="E415">
        <f>IFERROR(AGGREGATE(15,6,ROW('Input Transaksi'!$B$5:$B$5000)/('Input Transaksi'!$B$5:$B$5000="KLIN WASH"),ROWS($E$5:E415)),"")</f>
        <v/>
      </c>
      <c r="F415" s="5" t="n"/>
    </row>
    <row r="416">
      <c r="A416" s="10">
        <f>IF($E416="","",INDEX('Input Transaksi'!$A:$A,$E416))</f>
        <v/>
      </c>
      <c r="B416" s="5">
        <f>IF($E416="","",INDEX('Input Transaksi'!$D:$D,$E416))</f>
        <v/>
      </c>
      <c r="C416">
        <f>IF($E416="","",INDEX('Input Transaksi'!$E:$E,$E416))</f>
        <v/>
      </c>
      <c r="D416" s="5">
        <f>IF($E416="","",INDEX('Input Transaksi'!$F:$F,$E416))</f>
        <v/>
      </c>
      <c r="E416">
        <f>IFERROR(AGGREGATE(15,6,ROW('Input Transaksi'!$B$5:$B$5000)/('Input Transaksi'!$B$5:$B$5000="KLIN WASH"),ROWS($E$5:E416)),"")</f>
        <v/>
      </c>
      <c r="F416" s="5" t="n"/>
    </row>
    <row r="417">
      <c r="A417" s="10">
        <f>IF($E417="","",INDEX('Input Transaksi'!$A:$A,$E417))</f>
        <v/>
      </c>
      <c r="B417" s="5">
        <f>IF($E417="","",INDEX('Input Transaksi'!$D:$D,$E417))</f>
        <v/>
      </c>
      <c r="C417">
        <f>IF($E417="","",INDEX('Input Transaksi'!$E:$E,$E417))</f>
        <v/>
      </c>
      <c r="D417" s="5">
        <f>IF($E417="","",INDEX('Input Transaksi'!$F:$F,$E417))</f>
        <v/>
      </c>
      <c r="E417">
        <f>IFERROR(AGGREGATE(15,6,ROW('Input Transaksi'!$B$5:$B$5000)/('Input Transaksi'!$B$5:$B$5000="KLIN WASH"),ROWS($E$5:E417)),"")</f>
        <v/>
      </c>
      <c r="F417" s="5" t="n"/>
    </row>
    <row r="418">
      <c r="A418" s="10">
        <f>IF($E418="","",INDEX('Input Transaksi'!$A:$A,$E418))</f>
        <v/>
      </c>
      <c r="B418" s="5">
        <f>IF($E418="","",INDEX('Input Transaksi'!$D:$D,$E418))</f>
        <v/>
      </c>
      <c r="C418">
        <f>IF($E418="","",INDEX('Input Transaksi'!$E:$E,$E418))</f>
        <v/>
      </c>
      <c r="D418" s="5">
        <f>IF($E418="","",INDEX('Input Transaksi'!$F:$F,$E418))</f>
        <v/>
      </c>
      <c r="E418">
        <f>IFERROR(AGGREGATE(15,6,ROW('Input Transaksi'!$B$5:$B$5000)/('Input Transaksi'!$B$5:$B$5000="KLIN WASH"),ROWS($E$5:E418)),"")</f>
        <v/>
      </c>
      <c r="F418" s="5" t="n"/>
    </row>
    <row r="419">
      <c r="A419" s="10">
        <f>IF($E419="","",INDEX('Input Transaksi'!$A:$A,$E419))</f>
        <v/>
      </c>
      <c r="B419" s="5">
        <f>IF($E419="","",INDEX('Input Transaksi'!$D:$D,$E419))</f>
        <v/>
      </c>
      <c r="C419">
        <f>IF($E419="","",INDEX('Input Transaksi'!$E:$E,$E419))</f>
        <v/>
      </c>
      <c r="D419" s="5">
        <f>IF($E419="","",INDEX('Input Transaksi'!$F:$F,$E419))</f>
        <v/>
      </c>
      <c r="E419">
        <f>IFERROR(AGGREGATE(15,6,ROW('Input Transaksi'!$B$5:$B$5000)/('Input Transaksi'!$B$5:$B$5000="KLIN WASH"),ROWS($E$5:E419)),"")</f>
        <v/>
      </c>
      <c r="F419" s="5" t="n"/>
    </row>
    <row r="420">
      <c r="A420" s="10">
        <f>IF($E420="","",INDEX('Input Transaksi'!$A:$A,$E420))</f>
        <v/>
      </c>
      <c r="B420" s="5">
        <f>IF($E420="","",INDEX('Input Transaksi'!$D:$D,$E420))</f>
        <v/>
      </c>
      <c r="C420">
        <f>IF($E420="","",INDEX('Input Transaksi'!$E:$E,$E420))</f>
        <v/>
      </c>
      <c r="D420" s="5">
        <f>IF($E420="","",INDEX('Input Transaksi'!$F:$F,$E420))</f>
        <v/>
      </c>
      <c r="E420">
        <f>IFERROR(AGGREGATE(15,6,ROW('Input Transaksi'!$B$5:$B$5000)/('Input Transaksi'!$B$5:$B$5000="KLIN WASH"),ROWS($E$5:E420)),"")</f>
        <v/>
      </c>
      <c r="F420" s="5" t="n"/>
    </row>
    <row r="421">
      <c r="A421" s="10">
        <f>IF($E421="","",INDEX('Input Transaksi'!$A:$A,$E421))</f>
        <v/>
      </c>
      <c r="B421" s="5">
        <f>IF($E421="","",INDEX('Input Transaksi'!$D:$D,$E421))</f>
        <v/>
      </c>
      <c r="C421">
        <f>IF($E421="","",INDEX('Input Transaksi'!$E:$E,$E421))</f>
        <v/>
      </c>
      <c r="D421" s="5">
        <f>IF($E421="","",INDEX('Input Transaksi'!$F:$F,$E421))</f>
        <v/>
      </c>
      <c r="E421">
        <f>IFERROR(AGGREGATE(15,6,ROW('Input Transaksi'!$B$5:$B$5000)/('Input Transaksi'!$B$5:$B$5000="KLIN WASH"),ROWS($E$5:E421)),"")</f>
        <v/>
      </c>
      <c r="F421" s="5" t="n"/>
    </row>
    <row r="422">
      <c r="A422" s="10">
        <f>IF($E422="","",INDEX('Input Transaksi'!$A:$A,$E422))</f>
        <v/>
      </c>
      <c r="B422" s="5">
        <f>IF($E422="","",INDEX('Input Transaksi'!$D:$D,$E422))</f>
        <v/>
      </c>
      <c r="C422">
        <f>IF($E422="","",INDEX('Input Transaksi'!$E:$E,$E422))</f>
        <v/>
      </c>
      <c r="D422" s="5">
        <f>IF($E422="","",INDEX('Input Transaksi'!$F:$F,$E422))</f>
        <v/>
      </c>
      <c r="E422">
        <f>IFERROR(AGGREGATE(15,6,ROW('Input Transaksi'!$B$5:$B$5000)/('Input Transaksi'!$B$5:$B$5000="KLIN WASH"),ROWS($E$5:E422)),"")</f>
        <v/>
      </c>
      <c r="F422" s="5" t="n"/>
    </row>
    <row r="423">
      <c r="A423" s="10">
        <f>IF($E423="","",INDEX('Input Transaksi'!$A:$A,$E423))</f>
        <v/>
      </c>
      <c r="B423" s="5">
        <f>IF($E423="","",INDEX('Input Transaksi'!$D:$D,$E423))</f>
        <v/>
      </c>
      <c r="C423">
        <f>IF($E423="","",INDEX('Input Transaksi'!$E:$E,$E423))</f>
        <v/>
      </c>
      <c r="D423" s="5">
        <f>IF($E423="","",INDEX('Input Transaksi'!$F:$F,$E423))</f>
        <v/>
      </c>
      <c r="E423">
        <f>IFERROR(AGGREGATE(15,6,ROW('Input Transaksi'!$B$5:$B$5000)/('Input Transaksi'!$B$5:$B$5000="KLIN WASH"),ROWS($E$5:E423)),"")</f>
        <v/>
      </c>
      <c r="F423" s="5" t="n"/>
    </row>
    <row r="424">
      <c r="A424" s="10">
        <f>IF($E424="","",INDEX('Input Transaksi'!$A:$A,$E424))</f>
        <v/>
      </c>
      <c r="B424" s="5">
        <f>IF($E424="","",INDEX('Input Transaksi'!$D:$D,$E424))</f>
        <v/>
      </c>
      <c r="C424">
        <f>IF($E424="","",INDEX('Input Transaksi'!$E:$E,$E424))</f>
        <v/>
      </c>
      <c r="D424" s="5">
        <f>IF($E424="","",INDEX('Input Transaksi'!$F:$F,$E424))</f>
        <v/>
      </c>
      <c r="E424">
        <f>IFERROR(AGGREGATE(15,6,ROW('Input Transaksi'!$B$5:$B$5000)/('Input Transaksi'!$B$5:$B$5000="KLIN WASH"),ROWS($E$5:E424)),"")</f>
        <v/>
      </c>
      <c r="F424" s="5" t="n"/>
    </row>
    <row r="425">
      <c r="A425" s="10">
        <f>IF($E425="","",INDEX('Input Transaksi'!$A:$A,$E425))</f>
        <v/>
      </c>
      <c r="B425" s="5">
        <f>IF($E425="","",INDEX('Input Transaksi'!$D:$D,$E425))</f>
        <v/>
      </c>
      <c r="C425">
        <f>IF($E425="","",INDEX('Input Transaksi'!$E:$E,$E425))</f>
        <v/>
      </c>
      <c r="D425" s="5">
        <f>IF($E425="","",INDEX('Input Transaksi'!$F:$F,$E425))</f>
        <v/>
      </c>
      <c r="E425">
        <f>IFERROR(AGGREGATE(15,6,ROW('Input Transaksi'!$B$5:$B$5000)/('Input Transaksi'!$B$5:$B$5000="KLIN WASH"),ROWS($E$5:E425)),"")</f>
        <v/>
      </c>
      <c r="F425" s="5" t="n"/>
    </row>
    <row r="426">
      <c r="A426" s="10">
        <f>IF($E426="","",INDEX('Input Transaksi'!$A:$A,$E426))</f>
        <v/>
      </c>
      <c r="B426" s="5">
        <f>IF($E426="","",INDEX('Input Transaksi'!$D:$D,$E426))</f>
        <v/>
      </c>
      <c r="C426">
        <f>IF($E426="","",INDEX('Input Transaksi'!$E:$E,$E426))</f>
        <v/>
      </c>
      <c r="D426" s="5">
        <f>IF($E426="","",INDEX('Input Transaksi'!$F:$F,$E426))</f>
        <v/>
      </c>
      <c r="E426">
        <f>IFERROR(AGGREGATE(15,6,ROW('Input Transaksi'!$B$5:$B$5000)/('Input Transaksi'!$B$5:$B$5000="KLIN WASH"),ROWS($E$5:E426)),"")</f>
        <v/>
      </c>
      <c r="F426" s="5" t="n"/>
    </row>
    <row r="427">
      <c r="A427" s="10">
        <f>IF($E427="","",INDEX('Input Transaksi'!$A:$A,$E427))</f>
        <v/>
      </c>
      <c r="B427" s="5">
        <f>IF($E427="","",INDEX('Input Transaksi'!$D:$D,$E427))</f>
        <v/>
      </c>
      <c r="C427">
        <f>IF($E427="","",INDEX('Input Transaksi'!$E:$E,$E427))</f>
        <v/>
      </c>
      <c r="D427" s="5">
        <f>IF($E427="","",INDEX('Input Transaksi'!$F:$F,$E427))</f>
        <v/>
      </c>
      <c r="E427">
        <f>IFERROR(AGGREGATE(15,6,ROW('Input Transaksi'!$B$5:$B$5000)/('Input Transaksi'!$B$5:$B$5000="KLIN WASH"),ROWS($E$5:E427)),"")</f>
        <v/>
      </c>
      <c r="F427" s="5" t="n"/>
    </row>
    <row r="428">
      <c r="A428" s="10">
        <f>IF($E428="","",INDEX('Input Transaksi'!$A:$A,$E428))</f>
        <v/>
      </c>
      <c r="B428" s="5">
        <f>IF($E428="","",INDEX('Input Transaksi'!$D:$D,$E428))</f>
        <v/>
      </c>
      <c r="C428">
        <f>IF($E428="","",INDEX('Input Transaksi'!$E:$E,$E428))</f>
        <v/>
      </c>
      <c r="D428" s="5">
        <f>IF($E428="","",INDEX('Input Transaksi'!$F:$F,$E428))</f>
        <v/>
      </c>
      <c r="E428">
        <f>IFERROR(AGGREGATE(15,6,ROW('Input Transaksi'!$B$5:$B$5000)/('Input Transaksi'!$B$5:$B$5000="KLIN WASH"),ROWS($E$5:E428)),"")</f>
        <v/>
      </c>
      <c r="F428" s="5" t="n"/>
    </row>
    <row r="429">
      <c r="A429" s="10">
        <f>IF($E429="","",INDEX('Input Transaksi'!$A:$A,$E429))</f>
        <v/>
      </c>
      <c r="B429" s="5">
        <f>IF($E429="","",INDEX('Input Transaksi'!$D:$D,$E429))</f>
        <v/>
      </c>
      <c r="C429">
        <f>IF($E429="","",INDEX('Input Transaksi'!$E:$E,$E429))</f>
        <v/>
      </c>
      <c r="D429" s="5">
        <f>IF($E429="","",INDEX('Input Transaksi'!$F:$F,$E429))</f>
        <v/>
      </c>
      <c r="E429">
        <f>IFERROR(AGGREGATE(15,6,ROW('Input Transaksi'!$B$5:$B$5000)/('Input Transaksi'!$B$5:$B$5000="KLIN WASH"),ROWS($E$5:E429)),"")</f>
        <v/>
      </c>
      <c r="F429" s="5" t="n"/>
    </row>
    <row r="430">
      <c r="A430" s="10">
        <f>IF($E430="","",INDEX('Input Transaksi'!$A:$A,$E430))</f>
        <v/>
      </c>
      <c r="B430" s="5">
        <f>IF($E430="","",INDEX('Input Transaksi'!$D:$D,$E430))</f>
        <v/>
      </c>
      <c r="C430">
        <f>IF($E430="","",INDEX('Input Transaksi'!$E:$E,$E430))</f>
        <v/>
      </c>
      <c r="D430" s="5">
        <f>IF($E430="","",INDEX('Input Transaksi'!$F:$F,$E430))</f>
        <v/>
      </c>
      <c r="E430">
        <f>IFERROR(AGGREGATE(15,6,ROW('Input Transaksi'!$B$5:$B$5000)/('Input Transaksi'!$B$5:$B$5000="KLIN WASH"),ROWS($E$5:E430)),"")</f>
        <v/>
      </c>
      <c r="F430" s="5" t="n"/>
    </row>
    <row r="431">
      <c r="A431" s="10">
        <f>IF($E431="","",INDEX('Input Transaksi'!$A:$A,$E431))</f>
        <v/>
      </c>
      <c r="B431" s="5">
        <f>IF($E431="","",INDEX('Input Transaksi'!$D:$D,$E431))</f>
        <v/>
      </c>
      <c r="C431">
        <f>IF($E431="","",INDEX('Input Transaksi'!$E:$E,$E431))</f>
        <v/>
      </c>
      <c r="D431" s="5">
        <f>IF($E431="","",INDEX('Input Transaksi'!$F:$F,$E431))</f>
        <v/>
      </c>
      <c r="E431">
        <f>IFERROR(AGGREGATE(15,6,ROW('Input Transaksi'!$B$5:$B$5000)/('Input Transaksi'!$B$5:$B$5000="KLIN WASH"),ROWS($E$5:E431)),"")</f>
        <v/>
      </c>
      <c r="F431" s="5" t="n"/>
    </row>
    <row r="432">
      <c r="A432" s="10">
        <f>IF($E432="","",INDEX('Input Transaksi'!$A:$A,$E432))</f>
        <v/>
      </c>
      <c r="B432" s="5">
        <f>IF($E432="","",INDEX('Input Transaksi'!$D:$D,$E432))</f>
        <v/>
      </c>
      <c r="C432">
        <f>IF($E432="","",INDEX('Input Transaksi'!$E:$E,$E432))</f>
        <v/>
      </c>
      <c r="D432" s="5">
        <f>IF($E432="","",INDEX('Input Transaksi'!$F:$F,$E432))</f>
        <v/>
      </c>
      <c r="E432">
        <f>IFERROR(AGGREGATE(15,6,ROW('Input Transaksi'!$B$5:$B$5000)/('Input Transaksi'!$B$5:$B$5000="KLIN WASH"),ROWS($E$5:E432)),"")</f>
        <v/>
      </c>
      <c r="F432" s="5" t="n"/>
    </row>
    <row r="433">
      <c r="A433" s="10">
        <f>IF($E433="","",INDEX('Input Transaksi'!$A:$A,$E433))</f>
        <v/>
      </c>
      <c r="B433" s="5">
        <f>IF($E433="","",INDEX('Input Transaksi'!$D:$D,$E433))</f>
        <v/>
      </c>
      <c r="C433">
        <f>IF($E433="","",INDEX('Input Transaksi'!$E:$E,$E433))</f>
        <v/>
      </c>
      <c r="D433" s="5">
        <f>IF($E433="","",INDEX('Input Transaksi'!$F:$F,$E433))</f>
        <v/>
      </c>
      <c r="E433">
        <f>IFERROR(AGGREGATE(15,6,ROW('Input Transaksi'!$B$5:$B$5000)/('Input Transaksi'!$B$5:$B$5000="KLIN WASH"),ROWS($E$5:E433)),"")</f>
        <v/>
      </c>
      <c r="F433" s="5" t="n"/>
    </row>
    <row r="434">
      <c r="A434" s="10">
        <f>IF($E434="","",INDEX('Input Transaksi'!$A:$A,$E434))</f>
        <v/>
      </c>
      <c r="B434" s="5">
        <f>IF($E434="","",INDEX('Input Transaksi'!$D:$D,$E434))</f>
        <v/>
      </c>
      <c r="C434">
        <f>IF($E434="","",INDEX('Input Transaksi'!$E:$E,$E434))</f>
        <v/>
      </c>
      <c r="D434" s="5">
        <f>IF($E434="","",INDEX('Input Transaksi'!$F:$F,$E434))</f>
        <v/>
      </c>
      <c r="E434">
        <f>IFERROR(AGGREGATE(15,6,ROW('Input Transaksi'!$B$5:$B$5000)/('Input Transaksi'!$B$5:$B$5000="KLIN WASH"),ROWS($E$5:E434)),"")</f>
        <v/>
      </c>
      <c r="F434" s="5" t="n"/>
    </row>
    <row r="435">
      <c r="A435" s="10">
        <f>IF($E435="","",INDEX('Input Transaksi'!$A:$A,$E435))</f>
        <v/>
      </c>
      <c r="B435" s="5">
        <f>IF($E435="","",INDEX('Input Transaksi'!$D:$D,$E435))</f>
        <v/>
      </c>
      <c r="C435">
        <f>IF($E435="","",INDEX('Input Transaksi'!$E:$E,$E435))</f>
        <v/>
      </c>
      <c r="D435" s="5">
        <f>IF($E435="","",INDEX('Input Transaksi'!$F:$F,$E435))</f>
        <v/>
      </c>
      <c r="E435">
        <f>IFERROR(AGGREGATE(15,6,ROW('Input Transaksi'!$B$5:$B$5000)/('Input Transaksi'!$B$5:$B$5000="KLIN WASH"),ROWS($E$5:E435)),"")</f>
        <v/>
      </c>
      <c r="F435" s="5" t="n"/>
    </row>
    <row r="436">
      <c r="A436" s="10">
        <f>IF($E436="","",INDEX('Input Transaksi'!$A:$A,$E436))</f>
        <v/>
      </c>
      <c r="B436" s="5">
        <f>IF($E436="","",INDEX('Input Transaksi'!$D:$D,$E436))</f>
        <v/>
      </c>
      <c r="C436">
        <f>IF($E436="","",INDEX('Input Transaksi'!$E:$E,$E436))</f>
        <v/>
      </c>
      <c r="D436" s="5">
        <f>IF($E436="","",INDEX('Input Transaksi'!$F:$F,$E436))</f>
        <v/>
      </c>
      <c r="E436">
        <f>IFERROR(AGGREGATE(15,6,ROW('Input Transaksi'!$B$5:$B$5000)/('Input Transaksi'!$B$5:$B$5000="KLIN WASH"),ROWS($E$5:E436)),"")</f>
        <v/>
      </c>
      <c r="F436" s="5" t="n"/>
    </row>
    <row r="437">
      <c r="A437" s="10">
        <f>IF($E437="","",INDEX('Input Transaksi'!$A:$A,$E437))</f>
        <v/>
      </c>
      <c r="B437" s="5">
        <f>IF($E437="","",INDEX('Input Transaksi'!$D:$D,$E437))</f>
        <v/>
      </c>
      <c r="C437">
        <f>IF($E437="","",INDEX('Input Transaksi'!$E:$E,$E437))</f>
        <v/>
      </c>
      <c r="D437" s="5">
        <f>IF($E437="","",INDEX('Input Transaksi'!$F:$F,$E437))</f>
        <v/>
      </c>
      <c r="E437">
        <f>IFERROR(AGGREGATE(15,6,ROW('Input Transaksi'!$B$5:$B$5000)/('Input Transaksi'!$B$5:$B$5000="KLIN WASH"),ROWS($E$5:E437)),"")</f>
        <v/>
      </c>
      <c r="F437" s="5" t="n"/>
    </row>
    <row r="438">
      <c r="A438" s="10">
        <f>IF($E438="","",INDEX('Input Transaksi'!$A:$A,$E438))</f>
        <v/>
      </c>
      <c r="B438" s="5">
        <f>IF($E438="","",INDEX('Input Transaksi'!$D:$D,$E438))</f>
        <v/>
      </c>
      <c r="C438">
        <f>IF($E438="","",INDEX('Input Transaksi'!$E:$E,$E438))</f>
        <v/>
      </c>
      <c r="D438" s="5">
        <f>IF($E438="","",INDEX('Input Transaksi'!$F:$F,$E438))</f>
        <v/>
      </c>
      <c r="E438">
        <f>IFERROR(AGGREGATE(15,6,ROW('Input Transaksi'!$B$5:$B$5000)/('Input Transaksi'!$B$5:$B$5000="KLIN WASH"),ROWS($E$5:E438)),"")</f>
        <v/>
      </c>
      <c r="F438" s="5" t="n"/>
    </row>
    <row r="439">
      <c r="A439" s="10">
        <f>IF($E439="","",INDEX('Input Transaksi'!$A:$A,$E439))</f>
        <v/>
      </c>
      <c r="B439" s="5">
        <f>IF($E439="","",INDEX('Input Transaksi'!$D:$D,$E439))</f>
        <v/>
      </c>
      <c r="C439">
        <f>IF($E439="","",INDEX('Input Transaksi'!$E:$E,$E439))</f>
        <v/>
      </c>
      <c r="D439" s="5">
        <f>IF($E439="","",INDEX('Input Transaksi'!$F:$F,$E439))</f>
        <v/>
      </c>
      <c r="E439">
        <f>IFERROR(AGGREGATE(15,6,ROW('Input Transaksi'!$B$5:$B$5000)/('Input Transaksi'!$B$5:$B$5000="KLIN WASH"),ROWS($E$5:E439)),"")</f>
        <v/>
      </c>
      <c r="F439" s="5" t="n"/>
    </row>
    <row r="440">
      <c r="A440" s="10">
        <f>IF($E440="","",INDEX('Input Transaksi'!$A:$A,$E440))</f>
        <v/>
      </c>
      <c r="B440" s="5">
        <f>IF($E440="","",INDEX('Input Transaksi'!$D:$D,$E440))</f>
        <v/>
      </c>
      <c r="C440">
        <f>IF($E440="","",INDEX('Input Transaksi'!$E:$E,$E440))</f>
        <v/>
      </c>
      <c r="D440" s="5">
        <f>IF($E440="","",INDEX('Input Transaksi'!$F:$F,$E440))</f>
        <v/>
      </c>
      <c r="E440">
        <f>IFERROR(AGGREGATE(15,6,ROW('Input Transaksi'!$B$5:$B$5000)/('Input Transaksi'!$B$5:$B$5000="KLIN WASH"),ROWS($E$5:E440)),"")</f>
        <v/>
      </c>
      <c r="F440" s="5" t="n"/>
    </row>
    <row r="441">
      <c r="A441" s="10">
        <f>IF($E441="","",INDEX('Input Transaksi'!$A:$A,$E441))</f>
        <v/>
      </c>
      <c r="B441" s="5">
        <f>IF($E441="","",INDEX('Input Transaksi'!$D:$D,$E441))</f>
        <v/>
      </c>
      <c r="C441">
        <f>IF($E441="","",INDEX('Input Transaksi'!$E:$E,$E441))</f>
        <v/>
      </c>
      <c r="D441" s="5">
        <f>IF($E441="","",INDEX('Input Transaksi'!$F:$F,$E441))</f>
        <v/>
      </c>
      <c r="E441">
        <f>IFERROR(AGGREGATE(15,6,ROW('Input Transaksi'!$B$5:$B$5000)/('Input Transaksi'!$B$5:$B$5000="KLIN WASH"),ROWS($E$5:E441)),"")</f>
        <v/>
      </c>
      <c r="F441" s="5" t="n"/>
    </row>
    <row r="442">
      <c r="A442" s="10">
        <f>IF($E442="","",INDEX('Input Transaksi'!$A:$A,$E442))</f>
        <v/>
      </c>
      <c r="B442" s="5">
        <f>IF($E442="","",INDEX('Input Transaksi'!$D:$D,$E442))</f>
        <v/>
      </c>
      <c r="C442">
        <f>IF($E442="","",INDEX('Input Transaksi'!$E:$E,$E442))</f>
        <v/>
      </c>
      <c r="D442" s="5">
        <f>IF($E442="","",INDEX('Input Transaksi'!$F:$F,$E442))</f>
        <v/>
      </c>
      <c r="E442">
        <f>IFERROR(AGGREGATE(15,6,ROW('Input Transaksi'!$B$5:$B$5000)/('Input Transaksi'!$B$5:$B$5000="KLIN WASH"),ROWS($E$5:E442)),"")</f>
        <v/>
      </c>
      <c r="F442" s="5" t="n"/>
    </row>
    <row r="443">
      <c r="A443" s="10">
        <f>IF($E443="","",INDEX('Input Transaksi'!$A:$A,$E443))</f>
        <v/>
      </c>
      <c r="B443" s="5">
        <f>IF($E443="","",INDEX('Input Transaksi'!$D:$D,$E443))</f>
        <v/>
      </c>
      <c r="C443">
        <f>IF($E443="","",INDEX('Input Transaksi'!$E:$E,$E443))</f>
        <v/>
      </c>
      <c r="D443" s="5">
        <f>IF($E443="","",INDEX('Input Transaksi'!$F:$F,$E443))</f>
        <v/>
      </c>
      <c r="E443">
        <f>IFERROR(AGGREGATE(15,6,ROW('Input Transaksi'!$B$5:$B$5000)/('Input Transaksi'!$B$5:$B$5000="KLIN WASH"),ROWS($E$5:E443)),"")</f>
        <v/>
      </c>
      <c r="F443" s="5" t="n"/>
    </row>
    <row r="444">
      <c r="A444" s="10">
        <f>IF($E444="","",INDEX('Input Transaksi'!$A:$A,$E444))</f>
        <v/>
      </c>
      <c r="B444" s="5">
        <f>IF($E444="","",INDEX('Input Transaksi'!$D:$D,$E444))</f>
        <v/>
      </c>
      <c r="C444">
        <f>IF($E444="","",INDEX('Input Transaksi'!$E:$E,$E444))</f>
        <v/>
      </c>
      <c r="D444" s="5">
        <f>IF($E444="","",INDEX('Input Transaksi'!$F:$F,$E444))</f>
        <v/>
      </c>
      <c r="E444">
        <f>IFERROR(AGGREGATE(15,6,ROW('Input Transaksi'!$B$5:$B$5000)/('Input Transaksi'!$B$5:$B$5000="KLIN WASH"),ROWS($E$5:E444)),"")</f>
        <v/>
      </c>
      <c r="F444" s="5" t="n"/>
    </row>
    <row r="445">
      <c r="A445" s="10">
        <f>IF($E445="","",INDEX('Input Transaksi'!$A:$A,$E445))</f>
        <v/>
      </c>
      <c r="B445" s="5">
        <f>IF($E445="","",INDEX('Input Transaksi'!$D:$D,$E445))</f>
        <v/>
      </c>
      <c r="C445">
        <f>IF($E445="","",INDEX('Input Transaksi'!$E:$E,$E445))</f>
        <v/>
      </c>
      <c r="D445" s="5">
        <f>IF($E445="","",INDEX('Input Transaksi'!$F:$F,$E445))</f>
        <v/>
      </c>
      <c r="E445">
        <f>IFERROR(AGGREGATE(15,6,ROW('Input Transaksi'!$B$5:$B$5000)/('Input Transaksi'!$B$5:$B$5000="KLIN WASH"),ROWS($E$5:E445)),"")</f>
        <v/>
      </c>
      <c r="F445" s="5" t="n"/>
    </row>
    <row r="446">
      <c r="A446" s="10">
        <f>IF($E446="","",INDEX('Input Transaksi'!$A:$A,$E446))</f>
        <v/>
      </c>
      <c r="B446" s="5">
        <f>IF($E446="","",INDEX('Input Transaksi'!$D:$D,$E446))</f>
        <v/>
      </c>
      <c r="C446">
        <f>IF($E446="","",INDEX('Input Transaksi'!$E:$E,$E446))</f>
        <v/>
      </c>
      <c r="D446" s="5">
        <f>IF($E446="","",INDEX('Input Transaksi'!$F:$F,$E446))</f>
        <v/>
      </c>
      <c r="E446">
        <f>IFERROR(AGGREGATE(15,6,ROW('Input Transaksi'!$B$5:$B$5000)/('Input Transaksi'!$B$5:$B$5000="KLIN WASH"),ROWS($E$5:E446)),"")</f>
        <v/>
      </c>
      <c r="F446" s="5" t="n"/>
    </row>
    <row r="447">
      <c r="A447" s="10">
        <f>IF($E447="","",INDEX('Input Transaksi'!$A:$A,$E447))</f>
        <v/>
      </c>
      <c r="B447" s="5">
        <f>IF($E447="","",INDEX('Input Transaksi'!$D:$D,$E447))</f>
        <v/>
      </c>
      <c r="C447">
        <f>IF($E447="","",INDEX('Input Transaksi'!$E:$E,$E447))</f>
        <v/>
      </c>
      <c r="D447" s="5">
        <f>IF($E447="","",INDEX('Input Transaksi'!$F:$F,$E447))</f>
        <v/>
      </c>
      <c r="E447">
        <f>IFERROR(AGGREGATE(15,6,ROW('Input Transaksi'!$B$5:$B$5000)/('Input Transaksi'!$B$5:$B$5000="KLIN WASH"),ROWS($E$5:E447)),"")</f>
        <v/>
      </c>
      <c r="F447" s="5" t="n"/>
    </row>
    <row r="448">
      <c r="A448" s="10">
        <f>IF($E448="","",INDEX('Input Transaksi'!$A:$A,$E448))</f>
        <v/>
      </c>
      <c r="B448" s="5">
        <f>IF($E448="","",INDEX('Input Transaksi'!$D:$D,$E448))</f>
        <v/>
      </c>
      <c r="C448">
        <f>IF($E448="","",INDEX('Input Transaksi'!$E:$E,$E448))</f>
        <v/>
      </c>
      <c r="D448" s="5">
        <f>IF($E448="","",INDEX('Input Transaksi'!$F:$F,$E448))</f>
        <v/>
      </c>
      <c r="E448">
        <f>IFERROR(AGGREGATE(15,6,ROW('Input Transaksi'!$B$5:$B$5000)/('Input Transaksi'!$B$5:$B$5000="KLIN WASH"),ROWS($E$5:E448)),"")</f>
        <v/>
      </c>
      <c r="F448" s="5" t="n"/>
    </row>
    <row r="449">
      <c r="A449" s="10">
        <f>IF($E449="","",INDEX('Input Transaksi'!$A:$A,$E449))</f>
        <v/>
      </c>
      <c r="B449" s="5">
        <f>IF($E449="","",INDEX('Input Transaksi'!$D:$D,$E449))</f>
        <v/>
      </c>
      <c r="C449">
        <f>IF($E449="","",INDEX('Input Transaksi'!$E:$E,$E449))</f>
        <v/>
      </c>
      <c r="D449" s="5">
        <f>IF($E449="","",INDEX('Input Transaksi'!$F:$F,$E449))</f>
        <v/>
      </c>
      <c r="E449">
        <f>IFERROR(AGGREGATE(15,6,ROW('Input Transaksi'!$B$5:$B$5000)/('Input Transaksi'!$B$5:$B$5000="KLIN WASH"),ROWS($E$5:E449)),"")</f>
        <v/>
      </c>
      <c r="F449" s="5" t="n"/>
    </row>
    <row r="450">
      <c r="A450" s="10">
        <f>IF($E450="","",INDEX('Input Transaksi'!$A:$A,$E450))</f>
        <v/>
      </c>
      <c r="B450" s="5">
        <f>IF($E450="","",INDEX('Input Transaksi'!$D:$D,$E450))</f>
        <v/>
      </c>
      <c r="C450">
        <f>IF($E450="","",INDEX('Input Transaksi'!$E:$E,$E450))</f>
        <v/>
      </c>
      <c r="D450" s="5">
        <f>IF($E450="","",INDEX('Input Transaksi'!$F:$F,$E450))</f>
        <v/>
      </c>
      <c r="E450">
        <f>IFERROR(AGGREGATE(15,6,ROW('Input Transaksi'!$B$5:$B$5000)/('Input Transaksi'!$B$5:$B$5000="KLIN WASH"),ROWS($E$5:E450)),"")</f>
        <v/>
      </c>
      <c r="F450" s="5" t="n"/>
    </row>
    <row r="451">
      <c r="A451" s="10">
        <f>IF($E451="","",INDEX('Input Transaksi'!$A:$A,$E451))</f>
        <v/>
      </c>
      <c r="B451" s="5">
        <f>IF($E451="","",INDEX('Input Transaksi'!$D:$D,$E451))</f>
        <v/>
      </c>
      <c r="C451">
        <f>IF($E451="","",INDEX('Input Transaksi'!$E:$E,$E451))</f>
        <v/>
      </c>
      <c r="D451" s="5">
        <f>IF($E451="","",INDEX('Input Transaksi'!$F:$F,$E451))</f>
        <v/>
      </c>
      <c r="E451">
        <f>IFERROR(AGGREGATE(15,6,ROW('Input Transaksi'!$B$5:$B$5000)/('Input Transaksi'!$B$5:$B$5000="KLIN WASH"),ROWS($E$5:E451)),"")</f>
        <v/>
      </c>
      <c r="F451" s="5" t="n"/>
    </row>
    <row r="452">
      <c r="A452" s="10">
        <f>IF($E452="","",INDEX('Input Transaksi'!$A:$A,$E452))</f>
        <v/>
      </c>
      <c r="B452" s="5">
        <f>IF($E452="","",INDEX('Input Transaksi'!$D:$D,$E452))</f>
        <v/>
      </c>
      <c r="C452">
        <f>IF($E452="","",INDEX('Input Transaksi'!$E:$E,$E452))</f>
        <v/>
      </c>
      <c r="D452" s="5">
        <f>IF($E452="","",INDEX('Input Transaksi'!$F:$F,$E452))</f>
        <v/>
      </c>
      <c r="E452">
        <f>IFERROR(AGGREGATE(15,6,ROW('Input Transaksi'!$B$5:$B$5000)/('Input Transaksi'!$B$5:$B$5000="KLIN WASH"),ROWS($E$5:E452)),"")</f>
        <v/>
      </c>
      <c r="F452" s="5" t="n"/>
    </row>
    <row r="453">
      <c r="A453" s="10">
        <f>IF($E453="","",INDEX('Input Transaksi'!$A:$A,$E453))</f>
        <v/>
      </c>
      <c r="B453" s="5">
        <f>IF($E453="","",INDEX('Input Transaksi'!$D:$D,$E453))</f>
        <v/>
      </c>
      <c r="C453">
        <f>IF($E453="","",INDEX('Input Transaksi'!$E:$E,$E453))</f>
        <v/>
      </c>
      <c r="D453" s="5">
        <f>IF($E453="","",INDEX('Input Transaksi'!$F:$F,$E453))</f>
        <v/>
      </c>
      <c r="E453">
        <f>IFERROR(AGGREGATE(15,6,ROW('Input Transaksi'!$B$5:$B$5000)/('Input Transaksi'!$B$5:$B$5000="KLIN WASH"),ROWS($E$5:E453)),"")</f>
        <v/>
      </c>
      <c r="F453" s="5" t="n"/>
    </row>
    <row r="454">
      <c r="A454" s="10">
        <f>IF($E454="","",INDEX('Input Transaksi'!$A:$A,$E454))</f>
        <v/>
      </c>
      <c r="B454" s="5">
        <f>IF($E454="","",INDEX('Input Transaksi'!$D:$D,$E454))</f>
        <v/>
      </c>
      <c r="C454">
        <f>IF($E454="","",INDEX('Input Transaksi'!$E:$E,$E454))</f>
        <v/>
      </c>
      <c r="D454" s="5">
        <f>IF($E454="","",INDEX('Input Transaksi'!$F:$F,$E454))</f>
        <v/>
      </c>
      <c r="E454">
        <f>IFERROR(AGGREGATE(15,6,ROW('Input Transaksi'!$B$5:$B$5000)/('Input Transaksi'!$B$5:$B$5000="KLIN WASH"),ROWS($E$5:E454)),"")</f>
        <v/>
      </c>
      <c r="F454" s="5" t="n"/>
    </row>
    <row r="455">
      <c r="A455" s="10">
        <f>IF($E455="","",INDEX('Input Transaksi'!$A:$A,$E455))</f>
        <v/>
      </c>
      <c r="B455" s="5">
        <f>IF($E455="","",INDEX('Input Transaksi'!$D:$D,$E455))</f>
        <v/>
      </c>
      <c r="C455">
        <f>IF($E455="","",INDEX('Input Transaksi'!$E:$E,$E455))</f>
        <v/>
      </c>
      <c r="D455" s="5">
        <f>IF($E455="","",INDEX('Input Transaksi'!$F:$F,$E455))</f>
        <v/>
      </c>
      <c r="E455">
        <f>IFERROR(AGGREGATE(15,6,ROW('Input Transaksi'!$B$5:$B$5000)/('Input Transaksi'!$B$5:$B$5000="KLIN WASH"),ROWS($E$5:E455)),"")</f>
        <v/>
      </c>
      <c r="F455" s="5" t="n"/>
    </row>
    <row r="456">
      <c r="A456" s="10">
        <f>IF($E456="","",INDEX('Input Transaksi'!$A:$A,$E456))</f>
        <v/>
      </c>
      <c r="B456" s="5">
        <f>IF($E456="","",INDEX('Input Transaksi'!$D:$D,$E456))</f>
        <v/>
      </c>
      <c r="C456">
        <f>IF($E456="","",INDEX('Input Transaksi'!$E:$E,$E456))</f>
        <v/>
      </c>
      <c r="D456" s="5">
        <f>IF($E456="","",INDEX('Input Transaksi'!$F:$F,$E456))</f>
        <v/>
      </c>
      <c r="E456">
        <f>IFERROR(AGGREGATE(15,6,ROW('Input Transaksi'!$B$5:$B$5000)/('Input Transaksi'!$B$5:$B$5000="KLIN WASH"),ROWS($E$5:E456)),"")</f>
        <v/>
      </c>
      <c r="F456" s="5" t="n"/>
    </row>
    <row r="457">
      <c r="A457" s="10">
        <f>IF($E457="","",INDEX('Input Transaksi'!$A:$A,$E457))</f>
        <v/>
      </c>
      <c r="B457" s="5">
        <f>IF($E457="","",INDEX('Input Transaksi'!$D:$D,$E457))</f>
        <v/>
      </c>
      <c r="C457">
        <f>IF($E457="","",INDEX('Input Transaksi'!$E:$E,$E457))</f>
        <v/>
      </c>
      <c r="D457" s="5">
        <f>IF($E457="","",INDEX('Input Transaksi'!$F:$F,$E457))</f>
        <v/>
      </c>
      <c r="E457">
        <f>IFERROR(AGGREGATE(15,6,ROW('Input Transaksi'!$B$5:$B$5000)/('Input Transaksi'!$B$5:$B$5000="KLIN WASH"),ROWS($E$5:E457)),"")</f>
        <v/>
      </c>
      <c r="F457" s="5" t="n"/>
    </row>
    <row r="458">
      <c r="A458" s="10">
        <f>IF($E458="","",INDEX('Input Transaksi'!$A:$A,$E458))</f>
        <v/>
      </c>
      <c r="B458" s="5">
        <f>IF($E458="","",INDEX('Input Transaksi'!$D:$D,$E458))</f>
        <v/>
      </c>
      <c r="C458">
        <f>IF($E458="","",INDEX('Input Transaksi'!$E:$E,$E458))</f>
        <v/>
      </c>
      <c r="D458" s="5">
        <f>IF($E458="","",INDEX('Input Transaksi'!$F:$F,$E458))</f>
        <v/>
      </c>
      <c r="E458">
        <f>IFERROR(AGGREGATE(15,6,ROW('Input Transaksi'!$B$5:$B$5000)/('Input Transaksi'!$B$5:$B$5000="KLIN WASH"),ROWS($E$5:E458)),"")</f>
        <v/>
      </c>
      <c r="F458" s="5" t="n"/>
    </row>
    <row r="459">
      <c r="A459" s="10">
        <f>IF($E459="","",INDEX('Input Transaksi'!$A:$A,$E459))</f>
        <v/>
      </c>
      <c r="B459" s="5">
        <f>IF($E459="","",INDEX('Input Transaksi'!$D:$D,$E459))</f>
        <v/>
      </c>
      <c r="C459">
        <f>IF($E459="","",INDEX('Input Transaksi'!$E:$E,$E459))</f>
        <v/>
      </c>
      <c r="D459" s="5">
        <f>IF($E459="","",INDEX('Input Transaksi'!$F:$F,$E459))</f>
        <v/>
      </c>
      <c r="E459">
        <f>IFERROR(AGGREGATE(15,6,ROW('Input Transaksi'!$B$5:$B$5000)/('Input Transaksi'!$B$5:$B$5000="KLIN WASH"),ROWS($E$5:E459)),"")</f>
        <v/>
      </c>
      <c r="F459" s="5" t="n"/>
    </row>
    <row r="460">
      <c r="A460" s="10">
        <f>IF($E460="","",INDEX('Input Transaksi'!$A:$A,$E460))</f>
        <v/>
      </c>
      <c r="B460" s="5">
        <f>IF($E460="","",INDEX('Input Transaksi'!$D:$D,$E460))</f>
        <v/>
      </c>
      <c r="C460">
        <f>IF($E460="","",INDEX('Input Transaksi'!$E:$E,$E460))</f>
        <v/>
      </c>
      <c r="D460" s="5">
        <f>IF($E460="","",INDEX('Input Transaksi'!$F:$F,$E460))</f>
        <v/>
      </c>
      <c r="E460">
        <f>IFERROR(AGGREGATE(15,6,ROW('Input Transaksi'!$B$5:$B$5000)/('Input Transaksi'!$B$5:$B$5000="KLIN WASH"),ROWS($E$5:E460)),"")</f>
        <v/>
      </c>
      <c r="F460" s="5" t="n"/>
    </row>
    <row r="461">
      <c r="A461" s="10">
        <f>IF($E461="","",INDEX('Input Transaksi'!$A:$A,$E461))</f>
        <v/>
      </c>
      <c r="B461" s="5">
        <f>IF($E461="","",INDEX('Input Transaksi'!$D:$D,$E461))</f>
        <v/>
      </c>
      <c r="C461">
        <f>IF($E461="","",INDEX('Input Transaksi'!$E:$E,$E461))</f>
        <v/>
      </c>
      <c r="D461" s="5">
        <f>IF($E461="","",INDEX('Input Transaksi'!$F:$F,$E461))</f>
        <v/>
      </c>
      <c r="E461">
        <f>IFERROR(AGGREGATE(15,6,ROW('Input Transaksi'!$B$5:$B$5000)/('Input Transaksi'!$B$5:$B$5000="KLIN WASH"),ROWS($E$5:E461)),"")</f>
        <v/>
      </c>
      <c r="F461" s="5" t="n"/>
    </row>
    <row r="462">
      <c r="A462" s="10">
        <f>IF($E462="","",INDEX('Input Transaksi'!$A:$A,$E462))</f>
        <v/>
      </c>
      <c r="B462" s="5">
        <f>IF($E462="","",INDEX('Input Transaksi'!$D:$D,$E462))</f>
        <v/>
      </c>
      <c r="C462">
        <f>IF($E462="","",INDEX('Input Transaksi'!$E:$E,$E462))</f>
        <v/>
      </c>
      <c r="D462" s="5">
        <f>IF($E462="","",INDEX('Input Transaksi'!$F:$F,$E462))</f>
        <v/>
      </c>
      <c r="E462">
        <f>IFERROR(AGGREGATE(15,6,ROW('Input Transaksi'!$B$5:$B$5000)/('Input Transaksi'!$B$5:$B$5000="KLIN WASH"),ROWS($E$5:E462)),"")</f>
        <v/>
      </c>
      <c r="F462" s="5" t="n"/>
    </row>
    <row r="463">
      <c r="A463" s="10">
        <f>IF($E463="","",INDEX('Input Transaksi'!$A:$A,$E463))</f>
        <v/>
      </c>
      <c r="B463" s="5">
        <f>IF($E463="","",INDEX('Input Transaksi'!$D:$D,$E463))</f>
        <v/>
      </c>
      <c r="C463">
        <f>IF($E463="","",INDEX('Input Transaksi'!$E:$E,$E463))</f>
        <v/>
      </c>
      <c r="D463" s="5">
        <f>IF($E463="","",INDEX('Input Transaksi'!$F:$F,$E463))</f>
        <v/>
      </c>
      <c r="E463">
        <f>IFERROR(AGGREGATE(15,6,ROW('Input Transaksi'!$B$5:$B$5000)/('Input Transaksi'!$B$5:$B$5000="KLIN WASH"),ROWS($E$5:E463)),"")</f>
        <v/>
      </c>
      <c r="F463" s="5" t="n"/>
    </row>
    <row r="464">
      <c r="A464" s="10">
        <f>IF($E464="","",INDEX('Input Transaksi'!$A:$A,$E464))</f>
        <v/>
      </c>
      <c r="B464" s="5">
        <f>IF($E464="","",INDEX('Input Transaksi'!$D:$D,$E464))</f>
        <v/>
      </c>
      <c r="C464">
        <f>IF($E464="","",INDEX('Input Transaksi'!$E:$E,$E464))</f>
        <v/>
      </c>
      <c r="D464" s="5">
        <f>IF($E464="","",INDEX('Input Transaksi'!$F:$F,$E464))</f>
        <v/>
      </c>
      <c r="E464">
        <f>IFERROR(AGGREGATE(15,6,ROW('Input Transaksi'!$B$5:$B$5000)/('Input Transaksi'!$B$5:$B$5000="KLIN WASH"),ROWS($E$5:E464)),"")</f>
        <v/>
      </c>
      <c r="F464" s="5" t="n"/>
    </row>
    <row r="465">
      <c r="A465" s="10">
        <f>IF($E465="","",INDEX('Input Transaksi'!$A:$A,$E465))</f>
        <v/>
      </c>
      <c r="B465" s="5">
        <f>IF($E465="","",INDEX('Input Transaksi'!$D:$D,$E465))</f>
        <v/>
      </c>
      <c r="C465">
        <f>IF($E465="","",INDEX('Input Transaksi'!$E:$E,$E465))</f>
        <v/>
      </c>
      <c r="D465" s="5">
        <f>IF($E465="","",INDEX('Input Transaksi'!$F:$F,$E465))</f>
        <v/>
      </c>
      <c r="E465">
        <f>IFERROR(AGGREGATE(15,6,ROW('Input Transaksi'!$B$5:$B$5000)/('Input Transaksi'!$B$5:$B$5000="KLIN WASH"),ROWS($E$5:E465)),"")</f>
        <v/>
      </c>
      <c r="F465" s="5" t="n"/>
    </row>
    <row r="466">
      <c r="A466" s="10">
        <f>IF($E466="","",INDEX('Input Transaksi'!$A:$A,$E466))</f>
        <v/>
      </c>
      <c r="B466" s="5">
        <f>IF($E466="","",INDEX('Input Transaksi'!$D:$D,$E466))</f>
        <v/>
      </c>
      <c r="C466">
        <f>IF($E466="","",INDEX('Input Transaksi'!$E:$E,$E466))</f>
        <v/>
      </c>
      <c r="D466" s="5">
        <f>IF($E466="","",INDEX('Input Transaksi'!$F:$F,$E466))</f>
        <v/>
      </c>
      <c r="E466">
        <f>IFERROR(AGGREGATE(15,6,ROW('Input Transaksi'!$B$5:$B$5000)/('Input Transaksi'!$B$5:$B$5000="KLIN WASH"),ROWS($E$5:E466)),"")</f>
        <v/>
      </c>
      <c r="F466" s="5" t="n"/>
    </row>
    <row r="467">
      <c r="A467" s="10">
        <f>IF($E467="","",INDEX('Input Transaksi'!$A:$A,$E467))</f>
        <v/>
      </c>
      <c r="B467" s="5">
        <f>IF($E467="","",INDEX('Input Transaksi'!$D:$D,$E467))</f>
        <v/>
      </c>
      <c r="C467">
        <f>IF($E467="","",INDEX('Input Transaksi'!$E:$E,$E467))</f>
        <v/>
      </c>
      <c r="D467" s="5">
        <f>IF($E467="","",INDEX('Input Transaksi'!$F:$F,$E467))</f>
        <v/>
      </c>
      <c r="E467">
        <f>IFERROR(AGGREGATE(15,6,ROW('Input Transaksi'!$B$5:$B$5000)/('Input Transaksi'!$B$5:$B$5000="KLIN WASH"),ROWS($E$5:E467)),"")</f>
        <v/>
      </c>
      <c r="F467" s="5" t="n"/>
    </row>
    <row r="468">
      <c r="A468" s="10">
        <f>IF($E468="","",INDEX('Input Transaksi'!$A:$A,$E468))</f>
        <v/>
      </c>
      <c r="B468" s="5">
        <f>IF($E468="","",INDEX('Input Transaksi'!$D:$D,$E468))</f>
        <v/>
      </c>
      <c r="C468">
        <f>IF($E468="","",INDEX('Input Transaksi'!$E:$E,$E468))</f>
        <v/>
      </c>
      <c r="D468" s="5">
        <f>IF($E468="","",INDEX('Input Transaksi'!$F:$F,$E468))</f>
        <v/>
      </c>
      <c r="E468">
        <f>IFERROR(AGGREGATE(15,6,ROW('Input Transaksi'!$B$5:$B$5000)/('Input Transaksi'!$B$5:$B$5000="KLIN WASH"),ROWS($E$5:E468)),"")</f>
        <v/>
      </c>
      <c r="F468" s="5" t="n"/>
    </row>
    <row r="469">
      <c r="A469" s="10">
        <f>IF($E469="","",INDEX('Input Transaksi'!$A:$A,$E469))</f>
        <v/>
      </c>
      <c r="B469" s="5">
        <f>IF($E469="","",INDEX('Input Transaksi'!$D:$D,$E469))</f>
        <v/>
      </c>
      <c r="C469">
        <f>IF($E469="","",INDEX('Input Transaksi'!$E:$E,$E469))</f>
        <v/>
      </c>
      <c r="D469" s="5">
        <f>IF($E469="","",INDEX('Input Transaksi'!$F:$F,$E469))</f>
        <v/>
      </c>
      <c r="E469">
        <f>IFERROR(AGGREGATE(15,6,ROW('Input Transaksi'!$B$5:$B$5000)/('Input Transaksi'!$B$5:$B$5000="KLIN WASH"),ROWS($E$5:E469)),"")</f>
        <v/>
      </c>
      <c r="F469" s="5" t="n"/>
    </row>
    <row r="470">
      <c r="A470" s="10">
        <f>IF($E470="","",INDEX('Input Transaksi'!$A:$A,$E470))</f>
        <v/>
      </c>
      <c r="B470" s="5">
        <f>IF($E470="","",INDEX('Input Transaksi'!$D:$D,$E470))</f>
        <v/>
      </c>
      <c r="C470">
        <f>IF($E470="","",INDEX('Input Transaksi'!$E:$E,$E470))</f>
        <v/>
      </c>
      <c r="D470" s="5">
        <f>IF($E470="","",INDEX('Input Transaksi'!$F:$F,$E470))</f>
        <v/>
      </c>
      <c r="E470">
        <f>IFERROR(AGGREGATE(15,6,ROW('Input Transaksi'!$B$5:$B$5000)/('Input Transaksi'!$B$5:$B$5000="KLIN WASH"),ROWS($E$5:E470)),"")</f>
        <v/>
      </c>
      <c r="F470" s="5" t="n"/>
    </row>
    <row r="471">
      <c r="A471" s="10">
        <f>IF($E471="","",INDEX('Input Transaksi'!$A:$A,$E471))</f>
        <v/>
      </c>
      <c r="B471" s="5">
        <f>IF($E471="","",INDEX('Input Transaksi'!$D:$D,$E471))</f>
        <v/>
      </c>
      <c r="C471">
        <f>IF($E471="","",INDEX('Input Transaksi'!$E:$E,$E471))</f>
        <v/>
      </c>
      <c r="D471" s="5">
        <f>IF($E471="","",INDEX('Input Transaksi'!$F:$F,$E471))</f>
        <v/>
      </c>
      <c r="E471">
        <f>IFERROR(AGGREGATE(15,6,ROW('Input Transaksi'!$B$5:$B$5000)/('Input Transaksi'!$B$5:$B$5000="KLIN WASH"),ROWS($E$5:E471)),"")</f>
        <v/>
      </c>
      <c r="F471" s="5" t="n"/>
    </row>
    <row r="472">
      <c r="A472" s="10">
        <f>IF($E472="","",INDEX('Input Transaksi'!$A:$A,$E472))</f>
        <v/>
      </c>
      <c r="B472" s="5">
        <f>IF($E472="","",INDEX('Input Transaksi'!$D:$D,$E472))</f>
        <v/>
      </c>
      <c r="C472">
        <f>IF($E472="","",INDEX('Input Transaksi'!$E:$E,$E472))</f>
        <v/>
      </c>
      <c r="D472" s="5">
        <f>IF($E472="","",INDEX('Input Transaksi'!$F:$F,$E472))</f>
        <v/>
      </c>
      <c r="E472">
        <f>IFERROR(AGGREGATE(15,6,ROW('Input Transaksi'!$B$5:$B$5000)/('Input Transaksi'!$B$5:$B$5000="KLIN WASH"),ROWS($E$5:E472)),"")</f>
        <v/>
      </c>
      <c r="F472" s="5" t="n"/>
    </row>
    <row r="473">
      <c r="A473" s="10">
        <f>IF($E473="","",INDEX('Input Transaksi'!$A:$A,$E473))</f>
        <v/>
      </c>
      <c r="B473" s="5">
        <f>IF($E473="","",INDEX('Input Transaksi'!$D:$D,$E473))</f>
        <v/>
      </c>
      <c r="C473">
        <f>IF($E473="","",INDEX('Input Transaksi'!$E:$E,$E473))</f>
        <v/>
      </c>
      <c r="D473" s="5">
        <f>IF($E473="","",INDEX('Input Transaksi'!$F:$F,$E473))</f>
        <v/>
      </c>
      <c r="E473">
        <f>IFERROR(AGGREGATE(15,6,ROW('Input Transaksi'!$B$5:$B$5000)/('Input Transaksi'!$B$5:$B$5000="KLIN WASH"),ROWS($E$5:E473)),"")</f>
        <v/>
      </c>
      <c r="F473" s="5" t="n"/>
    </row>
    <row r="474">
      <c r="A474" s="10">
        <f>IF($E474="","",INDEX('Input Transaksi'!$A:$A,$E474))</f>
        <v/>
      </c>
      <c r="B474" s="5">
        <f>IF($E474="","",INDEX('Input Transaksi'!$D:$D,$E474))</f>
        <v/>
      </c>
      <c r="C474">
        <f>IF($E474="","",INDEX('Input Transaksi'!$E:$E,$E474))</f>
        <v/>
      </c>
      <c r="D474" s="5">
        <f>IF($E474="","",INDEX('Input Transaksi'!$F:$F,$E474))</f>
        <v/>
      </c>
      <c r="E474">
        <f>IFERROR(AGGREGATE(15,6,ROW('Input Transaksi'!$B$5:$B$5000)/('Input Transaksi'!$B$5:$B$5000="KLIN WASH"),ROWS($E$5:E474)),"")</f>
        <v/>
      </c>
      <c r="F474" s="5" t="n"/>
    </row>
    <row r="475">
      <c r="A475" s="10">
        <f>IF($E475="","",INDEX('Input Transaksi'!$A:$A,$E475))</f>
        <v/>
      </c>
      <c r="B475" s="5">
        <f>IF($E475="","",INDEX('Input Transaksi'!$D:$D,$E475))</f>
        <v/>
      </c>
      <c r="C475">
        <f>IF($E475="","",INDEX('Input Transaksi'!$E:$E,$E475))</f>
        <v/>
      </c>
      <c r="D475" s="5">
        <f>IF($E475="","",INDEX('Input Transaksi'!$F:$F,$E475))</f>
        <v/>
      </c>
      <c r="E475">
        <f>IFERROR(AGGREGATE(15,6,ROW('Input Transaksi'!$B$5:$B$5000)/('Input Transaksi'!$B$5:$B$5000="KLIN WASH"),ROWS($E$5:E475)),"")</f>
        <v/>
      </c>
      <c r="F475" s="5" t="n"/>
    </row>
    <row r="476">
      <c r="A476" s="10">
        <f>IF($E476="","",INDEX('Input Transaksi'!$A:$A,$E476))</f>
        <v/>
      </c>
      <c r="B476" s="5">
        <f>IF($E476="","",INDEX('Input Transaksi'!$D:$D,$E476))</f>
        <v/>
      </c>
      <c r="C476">
        <f>IF($E476="","",INDEX('Input Transaksi'!$E:$E,$E476))</f>
        <v/>
      </c>
      <c r="D476" s="5">
        <f>IF($E476="","",INDEX('Input Transaksi'!$F:$F,$E476))</f>
        <v/>
      </c>
      <c r="E476">
        <f>IFERROR(AGGREGATE(15,6,ROW('Input Transaksi'!$B$5:$B$5000)/('Input Transaksi'!$B$5:$B$5000="KLIN WASH"),ROWS($E$5:E476)),"")</f>
        <v/>
      </c>
      <c r="F476" s="5" t="n"/>
    </row>
    <row r="477">
      <c r="A477" s="10">
        <f>IF($E477="","",INDEX('Input Transaksi'!$A:$A,$E477))</f>
        <v/>
      </c>
      <c r="B477" s="5">
        <f>IF($E477="","",INDEX('Input Transaksi'!$D:$D,$E477))</f>
        <v/>
      </c>
      <c r="C477">
        <f>IF($E477="","",INDEX('Input Transaksi'!$E:$E,$E477))</f>
        <v/>
      </c>
      <c r="D477" s="5">
        <f>IF($E477="","",INDEX('Input Transaksi'!$F:$F,$E477))</f>
        <v/>
      </c>
      <c r="E477">
        <f>IFERROR(AGGREGATE(15,6,ROW('Input Transaksi'!$B$5:$B$5000)/('Input Transaksi'!$B$5:$B$5000="KLIN WASH"),ROWS($E$5:E477)),"")</f>
        <v/>
      </c>
      <c r="F477" s="5" t="n"/>
    </row>
    <row r="478">
      <c r="A478" s="10">
        <f>IF($E478="","",INDEX('Input Transaksi'!$A:$A,$E478))</f>
        <v/>
      </c>
      <c r="B478" s="5">
        <f>IF($E478="","",INDEX('Input Transaksi'!$D:$D,$E478))</f>
        <v/>
      </c>
      <c r="C478">
        <f>IF($E478="","",INDEX('Input Transaksi'!$E:$E,$E478))</f>
        <v/>
      </c>
      <c r="D478" s="5">
        <f>IF($E478="","",INDEX('Input Transaksi'!$F:$F,$E478))</f>
        <v/>
      </c>
      <c r="E478">
        <f>IFERROR(AGGREGATE(15,6,ROW('Input Transaksi'!$B$5:$B$5000)/('Input Transaksi'!$B$5:$B$5000="KLIN WASH"),ROWS($E$5:E478)),"")</f>
        <v/>
      </c>
      <c r="F478" s="5" t="n"/>
    </row>
    <row r="479">
      <c r="A479" s="10">
        <f>IF($E479="","",INDEX('Input Transaksi'!$A:$A,$E479))</f>
        <v/>
      </c>
      <c r="B479" s="5">
        <f>IF($E479="","",INDEX('Input Transaksi'!$D:$D,$E479))</f>
        <v/>
      </c>
      <c r="C479">
        <f>IF($E479="","",INDEX('Input Transaksi'!$E:$E,$E479))</f>
        <v/>
      </c>
      <c r="D479" s="5">
        <f>IF($E479="","",INDEX('Input Transaksi'!$F:$F,$E479))</f>
        <v/>
      </c>
      <c r="E479">
        <f>IFERROR(AGGREGATE(15,6,ROW('Input Transaksi'!$B$5:$B$5000)/('Input Transaksi'!$B$5:$B$5000="KLIN WASH"),ROWS($E$5:E479)),"")</f>
        <v/>
      </c>
      <c r="F479" s="5" t="n"/>
    </row>
    <row r="480">
      <c r="A480" s="10">
        <f>IF($E480="","",INDEX('Input Transaksi'!$A:$A,$E480))</f>
        <v/>
      </c>
      <c r="B480" s="5">
        <f>IF($E480="","",INDEX('Input Transaksi'!$D:$D,$E480))</f>
        <v/>
      </c>
      <c r="C480">
        <f>IF($E480="","",INDEX('Input Transaksi'!$E:$E,$E480))</f>
        <v/>
      </c>
      <c r="D480" s="5">
        <f>IF($E480="","",INDEX('Input Transaksi'!$F:$F,$E480))</f>
        <v/>
      </c>
      <c r="E480">
        <f>IFERROR(AGGREGATE(15,6,ROW('Input Transaksi'!$B$5:$B$5000)/('Input Transaksi'!$B$5:$B$5000="KLIN WASH"),ROWS($E$5:E480)),"")</f>
        <v/>
      </c>
      <c r="F480" s="5" t="n"/>
    </row>
    <row r="481">
      <c r="A481" s="10">
        <f>IF($E481="","",INDEX('Input Transaksi'!$A:$A,$E481))</f>
        <v/>
      </c>
      <c r="B481" s="5">
        <f>IF($E481="","",INDEX('Input Transaksi'!$D:$D,$E481))</f>
        <v/>
      </c>
      <c r="C481">
        <f>IF($E481="","",INDEX('Input Transaksi'!$E:$E,$E481))</f>
        <v/>
      </c>
      <c r="D481" s="5">
        <f>IF($E481="","",INDEX('Input Transaksi'!$F:$F,$E481))</f>
        <v/>
      </c>
      <c r="E481">
        <f>IFERROR(AGGREGATE(15,6,ROW('Input Transaksi'!$B$5:$B$5000)/('Input Transaksi'!$B$5:$B$5000="KLIN WASH"),ROWS($E$5:E481)),"")</f>
        <v/>
      </c>
      <c r="F481" s="5" t="n"/>
    </row>
    <row r="482">
      <c r="A482" s="10">
        <f>IF($E482="","",INDEX('Input Transaksi'!$A:$A,$E482))</f>
        <v/>
      </c>
      <c r="B482" s="5">
        <f>IF($E482="","",INDEX('Input Transaksi'!$D:$D,$E482))</f>
        <v/>
      </c>
      <c r="C482">
        <f>IF($E482="","",INDEX('Input Transaksi'!$E:$E,$E482))</f>
        <v/>
      </c>
      <c r="D482" s="5">
        <f>IF($E482="","",INDEX('Input Transaksi'!$F:$F,$E482))</f>
        <v/>
      </c>
      <c r="E482">
        <f>IFERROR(AGGREGATE(15,6,ROW('Input Transaksi'!$B$5:$B$5000)/('Input Transaksi'!$B$5:$B$5000="KLIN WASH"),ROWS($E$5:E482)),"")</f>
        <v/>
      </c>
      <c r="F482" s="5" t="n"/>
    </row>
    <row r="483">
      <c r="A483" s="10">
        <f>IF($E483="","",INDEX('Input Transaksi'!$A:$A,$E483))</f>
        <v/>
      </c>
      <c r="B483" s="5">
        <f>IF($E483="","",INDEX('Input Transaksi'!$D:$D,$E483))</f>
        <v/>
      </c>
      <c r="C483">
        <f>IF($E483="","",INDEX('Input Transaksi'!$E:$E,$E483))</f>
        <v/>
      </c>
      <c r="D483" s="5">
        <f>IF($E483="","",INDEX('Input Transaksi'!$F:$F,$E483))</f>
        <v/>
      </c>
      <c r="E483">
        <f>IFERROR(AGGREGATE(15,6,ROW('Input Transaksi'!$B$5:$B$5000)/('Input Transaksi'!$B$5:$B$5000="KLIN WASH"),ROWS($E$5:E483)),"")</f>
        <v/>
      </c>
      <c r="F483" s="5" t="n"/>
    </row>
    <row r="484">
      <c r="A484" s="10">
        <f>IF($E484="","",INDEX('Input Transaksi'!$A:$A,$E484))</f>
        <v/>
      </c>
      <c r="B484" s="5">
        <f>IF($E484="","",INDEX('Input Transaksi'!$D:$D,$E484))</f>
        <v/>
      </c>
      <c r="C484">
        <f>IF($E484="","",INDEX('Input Transaksi'!$E:$E,$E484))</f>
        <v/>
      </c>
      <c r="D484" s="5">
        <f>IF($E484="","",INDEX('Input Transaksi'!$F:$F,$E484))</f>
        <v/>
      </c>
      <c r="E484">
        <f>IFERROR(AGGREGATE(15,6,ROW('Input Transaksi'!$B$5:$B$5000)/('Input Transaksi'!$B$5:$B$5000="KLIN WASH"),ROWS($E$5:E484)),"")</f>
        <v/>
      </c>
      <c r="F484" s="5" t="n"/>
    </row>
    <row r="485">
      <c r="A485" s="10">
        <f>IF($E485="","",INDEX('Input Transaksi'!$A:$A,$E485))</f>
        <v/>
      </c>
      <c r="B485" s="5">
        <f>IF($E485="","",INDEX('Input Transaksi'!$D:$D,$E485))</f>
        <v/>
      </c>
      <c r="C485">
        <f>IF($E485="","",INDEX('Input Transaksi'!$E:$E,$E485))</f>
        <v/>
      </c>
      <c r="D485" s="5">
        <f>IF($E485="","",INDEX('Input Transaksi'!$F:$F,$E485))</f>
        <v/>
      </c>
      <c r="E485">
        <f>IFERROR(AGGREGATE(15,6,ROW('Input Transaksi'!$B$5:$B$5000)/('Input Transaksi'!$B$5:$B$5000="KLIN WASH"),ROWS($E$5:E485)),"")</f>
        <v/>
      </c>
      <c r="F485" s="5" t="n"/>
    </row>
    <row r="486">
      <c r="A486" s="10">
        <f>IF($E486="","",INDEX('Input Transaksi'!$A:$A,$E486))</f>
        <v/>
      </c>
      <c r="B486" s="5">
        <f>IF($E486="","",INDEX('Input Transaksi'!$D:$D,$E486))</f>
        <v/>
      </c>
      <c r="C486">
        <f>IF($E486="","",INDEX('Input Transaksi'!$E:$E,$E486))</f>
        <v/>
      </c>
      <c r="D486" s="5">
        <f>IF($E486="","",INDEX('Input Transaksi'!$F:$F,$E486))</f>
        <v/>
      </c>
      <c r="E486">
        <f>IFERROR(AGGREGATE(15,6,ROW('Input Transaksi'!$B$5:$B$5000)/('Input Transaksi'!$B$5:$B$5000="KLIN WASH"),ROWS($E$5:E486)),"")</f>
        <v/>
      </c>
      <c r="F486" s="5" t="n"/>
    </row>
    <row r="487">
      <c r="A487" s="10">
        <f>IF($E487="","",INDEX('Input Transaksi'!$A:$A,$E487))</f>
        <v/>
      </c>
      <c r="B487" s="5">
        <f>IF($E487="","",INDEX('Input Transaksi'!$D:$D,$E487))</f>
        <v/>
      </c>
      <c r="C487">
        <f>IF($E487="","",INDEX('Input Transaksi'!$E:$E,$E487))</f>
        <v/>
      </c>
      <c r="D487" s="5">
        <f>IF($E487="","",INDEX('Input Transaksi'!$F:$F,$E487))</f>
        <v/>
      </c>
      <c r="E487">
        <f>IFERROR(AGGREGATE(15,6,ROW('Input Transaksi'!$B$5:$B$5000)/('Input Transaksi'!$B$5:$B$5000="KLIN WASH"),ROWS($E$5:E487)),"")</f>
        <v/>
      </c>
      <c r="F487" s="5" t="n"/>
    </row>
    <row r="488">
      <c r="A488" s="10">
        <f>IF($E488="","",INDEX('Input Transaksi'!$A:$A,$E488))</f>
        <v/>
      </c>
      <c r="B488" s="5">
        <f>IF($E488="","",INDEX('Input Transaksi'!$D:$D,$E488))</f>
        <v/>
      </c>
      <c r="C488">
        <f>IF($E488="","",INDEX('Input Transaksi'!$E:$E,$E488))</f>
        <v/>
      </c>
      <c r="D488" s="5">
        <f>IF($E488="","",INDEX('Input Transaksi'!$F:$F,$E488))</f>
        <v/>
      </c>
      <c r="E488">
        <f>IFERROR(AGGREGATE(15,6,ROW('Input Transaksi'!$B$5:$B$5000)/('Input Transaksi'!$B$5:$B$5000="KLIN WASH"),ROWS($E$5:E488)),"")</f>
        <v/>
      </c>
      <c r="F488" s="5" t="n"/>
    </row>
    <row r="489">
      <c r="A489" s="10">
        <f>IF($E489="","",INDEX('Input Transaksi'!$A:$A,$E489))</f>
        <v/>
      </c>
      <c r="B489" s="5">
        <f>IF($E489="","",INDEX('Input Transaksi'!$D:$D,$E489))</f>
        <v/>
      </c>
      <c r="C489">
        <f>IF($E489="","",INDEX('Input Transaksi'!$E:$E,$E489))</f>
        <v/>
      </c>
      <c r="D489" s="5">
        <f>IF($E489="","",INDEX('Input Transaksi'!$F:$F,$E489))</f>
        <v/>
      </c>
      <c r="E489">
        <f>IFERROR(AGGREGATE(15,6,ROW('Input Transaksi'!$B$5:$B$5000)/('Input Transaksi'!$B$5:$B$5000="KLIN WASH"),ROWS($E$5:E489)),"")</f>
        <v/>
      </c>
      <c r="F489" s="5" t="n"/>
    </row>
    <row r="490">
      <c r="A490" s="10">
        <f>IF($E490="","",INDEX('Input Transaksi'!$A:$A,$E490))</f>
        <v/>
      </c>
      <c r="B490" s="5">
        <f>IF($E490="","",INDEX('Input Transaksi'!$D:$D,$E490))</f>
        <v/>
      </c>
      <c r="C490">
        <f>IF($E490="","",INDEX('Input Transaksi'!$E:$E,$E490))</f>
        <v/>
      </c>
      <c r="D490" s="5">
        <f>IF($E490="","",INDEX('Input Transaksi'!$F:$F,$E490))</f>
        <v/>
      </c>
      <c r="E490">
        <f>IFERROR(AGGREGATE(15,6,ROW('Input Transaksi'!$B$5:$B$5000)/('Input Transaksi'!$B$5:$B$5000="KLIN WASH"),ROWS($E$5:E490)),"")</f>
        <v/>
      </c>
      <c r="F490" s="5" t="n"/>
    </row>
    <row r="491">
      <c r="A491" s="10">
        <f>IF($E491="","",INDEX('Input Transaksi'!$A:$A,$E491))</f>
        <v/>
      </c>
      <c r="B491" s="5">
        <f>IF($E491="","",INDEX('Input Transaksi'!$D:$D,$E491))</f>
        <v/>
      </c>
      <c r="C491">
        <f>IF($E491="","",INDEX('Input Transaksi'!$E:$E,$E491))</f>
        <v/>
      </c>
      <c r="D491" s="5">
        <f>IF($E491="","",INDEX('Input Transaksi'!$F:$F,$E491))</f>
        <v/>
      </c>
      <c r="E491">
        <f>IFERROR(AGGREGATE(15,6,ROW('Input Transaksi'!$B$5:$B$5000)/('Input Transaksi'!$B$5:$B$5000="KLIN WASH"),ROWS($E$5:E491)),"")</f>
        <v/>
      </c>
      <c r="F491" s="5" t="n"/>
    </row>
    <row r="492">
      <c r="A492" s="10">
        <f>IF($E492="","",INDEX('Input Transaksi'!$A:$A,$E492))</f>
        <v/>
      </c>
      <c r="B492" s="5">
        <f>IF($E492="","",INDEX('Input Transaksi'!$D:$D,$E492))</f>
        <v/>
      </c>
      <c r="C492">
        <f>IF($E492="","",INDEX('Input Transaksi'!$E:$E,$E492))</f>
        <v/>
      </c>
      <c r="D492" s="5">
        <f>IF($E492="","",INDEX('Input Transaksi'!$F:$F,$E492))</f>
        <v/>
      </c>
      <c r="E492">
        <f>IFERROR(AGGREGATE(15,6,ROW('Input Transaksi'!$B$5:$B$5000)/('Input Transaksi'!$B$5:$B$5000="KLIN WASH"),ROWS($E$5:E492)),"")</f>
        <v/>
      </c>
      <c r="F492" s="5" t="n"/>
    </row>
    <row r="493">
      <c r="A493" s="10">
        <f>IF($E493="","",INDEX('Input Transaksi'!$A:$A,$E493))</f>
        <v/>
      </c>
      <c r="B493" s="5">
        <f>IF($E493="","",INDEX('Input Transaksi'!$D:$D,$E493))</f>
        <v/>
      </c>
      <c r="C493">
        <f>IF($E493="","",INDEX('Input Transaksi'!$E:$E,$E493))</f>
        <v/>
      </c>
      <c r="D493" s="5">
        <f>IF($E493="","",INDEX('Input Transaksi'!$F:$F,$E493))</f>
        <v/>
      </c>
      <c r="E493">
        <f>IFERROR(AGGREGATE(15,6,ROW('Input Transaksi'!$B$5:$B$5000)/('Input Transaksi'!$B$5:$B$5000="KLIN WASH"),ROWS($E$5:E493)),"")</f>
        <v/>
      </c>
      <c r="F493" s="5" t="n"/>
    </row>
    <row r="494">
      <c r="A494" s="10">
        <f>IF($E494="","",INDEX('Input Transaksi'!$A:$A,$E494))</f>
        <v/>
      </c>
      <c r="B494" s="5">
        <f>IF($E494="","",INDEX('Input Transaksi'!$D:$D,$E494))</f>
        <v/>
      </c>
      <c r="C494">
        <f>IF($E494="","",INDEX('Input Transaksi'!$E:$E,$E494))</f>
        <v/>
      </c>
      <c r="D494" s="5">
        <f>IF($E494="","",INDEX('Input Transaksi'!$F:$F,$E494))</f>
        <v/>
      </c>
      <c r="E494">
        <f>IFERROR(AGGREGATE(15,6,ROW('Input Transaksi'!$B$5:$B$5000)/('Input Transaksi'!$B$5:$B$5000="KLIN WASH"),ROWS($E$5:E494)),"")</f>
        <v/>
      </c>
      <c r="F494" s="5" t="n"/>
    </row>
    <row r="495">
      <c r="A495" s="10">
        <f>IF($E495="","",INDEX('Input Transaksi'!$A:$A,$E495))</f>
        <v/>
      </c>
      <c r="B495" s="5">
        <f>IF($E495="","",INDEX('Input Transaksi'!$D:$D,$E495))</f>
        <v/>
      </c>
      <c r="C495">
        <f>IF($E495="","",INDEX('Input Transaksi'!$E:$E,$E495))</f>
        <v/>
      </c>
      <c r="D495" s="5">
        <f>IF($E495="","",INDEX('Input Transaksi'!$F:$F,$E495))</f>
        <v/>
      </c>
      <c r="E495">
        <f>IFERROR(AGGREGATE(15,6,ROW('Input Transaksi'!$B$5:$B$5000)/('Input Transaksi'!$B$5:$B$5000="KLIN WASH"),ROWS($E$5:E495)),"")</f>
        <v/>
      </c>
      <c r="F495" s="5" t="n"/>
    </row>
    <row r="496">
      <c r="A496" s="10">
        <f>IF($E496="","",INDEX('Input Transaksi'!$A:$A,$E496))</f>
        <v/>
      </c>
      <c r="B496" s="5">
        <f>IF($E496="","",INDEX('Input Transaksi'!$D:$D,$E496))</f>
        <v/>
      </c>
      <c r="C496">
        <f>IF($E496="","",INDEX('Input Transaksi'!$E:$E,$E496))</f>
        <v/>
      </c>
      <c r="D496" s="5">
        <f>IF($E496="","",INDEX('Input Transaksi'!$F:$F,$E496))</f>
        <v/>
      </c>
      <c r="E496">
        <f>IFERROR(AGGREGATE(15,6,ROW('Input Transaksi'!$B$5:$B$5000)/('Input Transaksi'!$B$5:$B$5000="KLIN WASH"),ROWS($E$5:E496)),"")</f>
        <v/>
      </c>
      <c r="F496" s="5" t="n"/>
    </row>
    <row r="497">
      <c r="A497" s="10">
        <f>IF($E497="","",INDEX('Input Transaksi'!$A:$A,$E497))</f>
        <v/>
      </c>
      <c r="B497" s="5">
        <f>IF($E497="","",INDEX('Input Transaksi'!$D:$D,$E497))</f>
        <v/>
      </c>
      <c r="C497">
        <f>IF($E497="","",INDEX('Input Transaksi'!$E:$E,$E497))</f>
        <v/>
      </c>
      <c r="D497" s="5">
        <f>IF($E497="","",INDEX('Input Transaksi'!$F:$F,$E497))</f>
        <v/>
      </c>
      <c r="E497">
        <f>IFERROR(AGGREGATE(15,6,ROW('Input Transaksi'!$B$5:$B$5000)/('Input Transaksi'!$B$5:$B$5000="KLIN WASH"),ROWS($E$5:E497)),"")</f>
        <v/>
      </c>
      <c r="F497" s="5" t="n"/>
    </row>
    <row r="498">
      <c r="A498" s="10">
        <f>IF($E498="","",INDEX('Input Transaksi'!$A:$A,$E498))</f>
        <v/>
      </c>
      <c r="B498" s="5">
        <f>IF($E498="","",INDEX('Input Transaksi'!$D:$D,$E498))</f>
        <v/>
      </c>
      <c r="C498">
        <f>IF($E498="","",INDEX('Input Transaksi'!$E:$E,$E498))</f>
        <v/>
      </c>
      <c r="D498" s="5">
        <f>IF($E498="","",INDEX('Input Transaksi'!$F:$F,$E498))</f>
        <v/>
      </c>
      <c r="E498">
        <f>IFERROR(AGGREGATE(15,6,ROW('Input Transaksi'!$B$5:$B$5000)/('Input Transaksi'!$B$5:$B$5000="KLIN WASH"),ROWS($E$5:E498)),"")</f>
        <v/>
      </c>
      <c r="F498" s="5" t="n"/>
    </row>
    <row r="499">
      <c r="A499" s="10">
        <f>IF($E499="","",INDEX('Input Transaksi'!$A:$A,$E499))</f>
        <v/>
      </c>
      <c r="B499" s="5">
        <f>IF($E499="","",INDEX('Input Transaksi'!$D:$D,$E499))</f>
        <v/>
      </c>
      <c r="C499">
        <f>IF($E499="","",INDEX('Input Transaksi'!$E:$E,$E499))</f>
        <v/>
      </c>
      <c r="D499" s="5">
        <f>IF($E499="","",INDEX('Input Transaksi'!$F:$F,$E499))</f>
        <v/>
      </c>
      <c r="E499">
        <f>IFERROR(AGGREGATE(15,6,ROW('Input Transaksi'!$B$5:$B$5000)/('Input Transaksi'!$B$5:$B$5000="KLIN WASH"),ROWS($E$5:E499)),"")</f>
        <v/>
      </c>
      <c r="F499" s="5" t="n"/>
    </row>
    <row r="500">
      <c r="A500" s="10">
        <f>IF($E500="","",INDEX('Input Transaksi'!$A:$A,$E500))</f>
        <v/>
      </c>
      <c r="B500" s="5">
        <f>IF($E500="","",INDEX('Input Transaksi'!$D:$D,$E500))</f>
        <v/>
      </c>
      <c r="C500">
        <f>IF($E500="","",INDEX('Input Transaksi'!$E:$E,$E500))</f>
        <v/>
      </c>
      <c r="D500" s="5">
        <f>IF($E500="","",INDEX('Input Transaksi'!$F:$F,$E500))</f>
        <v/>
      </c>
      <c r="E500">
        <f>IFERROR(AGGREGATE(15,6,ROW('Input Transaksi'!$B$5:$B$5000)/('Input Transaksi'!$B$5:$B$5000="KLIN WASH"),ROWS($E$5:E500)),"")</f>
        <v/>
      </c>
      <c r="F500" s="5" t="n"/>
    </row>
    <row r="501">
      <c r="A501" s="10">
        <f>IF($E501="","",INDEX('Input Transaksi'!$A:$A,$E501))</f>
        <v/>
      </c>
      <c r="B501" s="5">
        <f>IF($E501="","",INDEX('Input Transaksi'!$D:$D,$E501))</f>
        <v/>
      </c>
      <c r="C501">
        <f>IF($E501="","",INDEX('Input Transaksi'!$E:$E,$E501))</f>
        <v/>
      </c>
      <c r="D501" s="5">
        <f>IF($E501="","",INDEX('Input Transaksi'!$F:$F,$E501))</f>
        <v/>
      </c>
      <c r="E501">
        <f>IFERROR(AGGREGATE(15,6,ROW('Input Transaksi'!$B$5:$B$5000)/('Input Transaksi'!$B$5:$B$5000="KLIN WASH"),ROWS($E$5:E501)),"")</f>
        <v/>
      </c>
      <c r="F501" s="5" t="n"/>
    </row>
    <row r="502">
      <c r="A502" s="10">
        <f>IF($E502="","",INDEX('Input Transaksi'!$A:$A,$E502))</f>
        <v/>
      </c>
      <c r="B502" s="5">
        <f>IF($E502="","",INDEX('Input Transaksi'!$D:$D,$E502))</f>
        <v/>
      </c>
      <c r="C502">
        <f>IF($E502="","",INDEX('Input Transaksi'!$E:$E,$E502))</f>
        <v/>
      </c>
      <c r="D502" s="5">
        <f>IF($E502="","",INDEX('Input Transaksi'!$F:$F,$E502))</f>
        <v/>
      </c>
      <c r="E502">
        <f>IFERROR(AGGREGATE(15,6,ROW('Input Transaksi'!$B$5:$B$5000)/('Input Transaksi'!$B$5:$B$5000="KLIN WASH"),ROWS($E$5:E502)),"")</f>
        <v/>
      </c>
      <c r="F502" s="5" t="n"/>
    </row>
    <row r="503">
      <c r="A503" s="10">
        <f>IF($E503="","",INDEX('Input Transaksi'!$A:$A,$E503))</f>
        <v/>
      </c>
      <c r="B503" s="5">
        <f>IF($E503="","",INDEX('Input Transaksi'!$D:$D,$E503))</f>
        <v/>
      </c>
      <c r="C503">
        <f>IF($E503="","",INDEX('Input Transaksi'!$E:$E,$E503))</f>
        <v/>
      </c>
      <c r="D503" s="5">
        <f>IF($E503="","",INDEX('Input Transaksi'!$F:$F,$E503))</f>
        <v/>
      </c>
      <c r="E503">
        <f>IFERROR(AGGREGATE(15,6,ROW('Input Transaksi'!$B$5:$B$5000)/('Input Transaksi'!$B$5:$B$5000="KLIN WASH"),ROWS($E$5:E503)),"")</f>
        <v/>
      </c>
      <c r="F503" s="5" t="n"/>
    </row>
    <row r="504">
      <c r="A504" s="10">
        <f>IF($E504="","",INDEX('Input Transaksi'!$A:$A,$E504))</f>
        <v/>
      </c>
      <c r="B504" s="5">
        <f>IF($E504="","",INDEX('Input Transaksi'!$D:$D,$E504))</f>
        <v/>
      </c>
      <c r="C504">
        <f>IF($E504="","",INDEX('Input Transaksi'!$E:$E,$E504))</f>
        <v/>
      </c>
      <c r="D504" s="5">
        <f>IF($E504="","",INDEX('Input Transaksi'!$F:$F,$E504))</f>
        <v/>
      </c>
      <c r="E504">
        <f>IFERROR(AGGREGATE(15,6,ROW('Input Transaksi'!$B$5:$B$5000)/('Input Transaksi'!$B$5:$B$5000="KLIN WASH"),ROWS($E$5:E504)),"")</f>
        <v/>
      </c>
      <c r="F504" s="5" t="n"/>
    </row>
    <row r="505">
      <c r="A505" s="10">
        <f>IF($E505="","",INDEX('Input Transaksi'!$A:$A,$E505))</f>
        <v/>
      </c>
      <c r="B505" s="5">
        <f>IF($E505="","",INDEX('Input Transaksi'!$D:$D,$E505))</f>
        <v/>
      </c>
      <c r="C505">
        <f>IF($E505="","",INDEX('Input Transaksi'!$E:$E,$E505))</f>
        <v/>
      </c>
      <c r="D505" s="5">
        <f>IF($E505="","",INDEX('Input Transaksi'!$F:$F,$E505))</f>
        <v/>
      </c>
      <c r="E505">
        <f>IFERROR(AGGREGATE(15,6,ROW('Input Transaksi'!$B$5:$B$5000)/('Input Transaksi'!$B$5:$B$5000="KLIN WASH"),ROWS($E$5:E505)),"")</f>
        <v/>
      </c>
      <c r="F505" s="5" t="n"/>
    </row>
    <row r="506">
      <c r="A506" s="10">
        <f>IF($E506="","",INDEX('Input Transaksi'!$A:$A,$E506))</f>
        <v/>
      </c>
      <c r="B506" s="5">
        <f>IF($E506="","",INDEX('Input Transaksi'!$D:$D,$E506))</f>
        <v/>
      </c>
      <c r="C506">
        <f>IF($E506="","",INDEX('Input Transaksi'!$E:$E,$E506))</f>
        <v/>
      </c>
      <c r="D506" s="5">
        <f>IF($E506="","",INDEX('Input Transaksi'!$F:$F,$E506))</f>
        <v/>
      </c>
      <c r="E506">
        <f>IFERROR(AGGREGATE(15,6,ROW('Input Transaksi'!$B$5:$B$5000)/('Input Transaksi'!$B$5:$B$5000="KLIN WASH"),ROWS($E$5:E506)),"")</f>
        <v/>
      </c>
      <c r="F506" s="5" t="n"/>
    </row>
    <row r="507">
      <c r="A507" s="10">
        <f>IF($E507="","",INDEX('Input Transaksi'!$A:$A,$E507))</f>
        <v/>
      </c>
      <c r="B507" s="5">
        <f>IF($E507="","",INDEX('Input Transaksi'!$D:$D,$E507))</f>
        <v/>
      </c>
      <c r="C507">
        <f>IF($E507="","",INDEX('Input Transaksi'!$E:$E,$E507))</f>
        <v/>
      </c>
      <c r="D507" s="5">
        <f>IF($E507="","",INDEX('Input Transaksi'!$F:$F,$E507))</f>
        <v/>
      </c>
      <c r="E507">
        <f>IFERROR(AGGREGATE(15,6,ROW('Input Transaksi'!$B$5:$B$5000)/('Input Transaksi'!$B$5:$B$5000="KLIN WASH"),ROWS($E$5:E507)),"")</f>
        <v/>
      </c>
      <c r="F507" s="5" t="n"/>
    </row>
    <row r="508">
      <c r="A508" s="10">
        <f>IF($E508="","",INDEX('Input Transaksi'!$A:$A,$E508))</f>
        <v/>
      </c>
      <c r="B508" s="5">
        <f>IF($E508="","",INDEX('Input Transaksi'!$D:$D,$E508))</f>
        <v/>
      </c>
      <c r="C508">
        <f>IF($E508="","",INDEX('Input Transaksi'!$E:$E,$E508))</f>
        <v/>
      </c>
      <c r="D508" s="5">
        <f>IF($E508="","",INDEX('Input Transaksi'!$F:$F,$E508))</f>
        <v/>
      </c>
      <c r="E508">
        <f>IFERROR(AGGREGATE(15,6,ROW('Input Transaksi'!$B$5:$B$5000)/('Input Transaksi'!$B$5:$B$5000="KLIN WASH"),ROWS($E$5:E508)),"")</f>
        <v/>
      </c>
      <c r="F508" s="5" t="n"/>
    </row>
    <row r="509">
      <c r="A509" s="10">
        <f>IF($E509="","",INDEX('Input Transaksi'!$A:$A,$E509))</f>
        <v/>
      </c>
      <c r="B509" s="5">
        <f>IF($E509="","",INDEX('Input Transaksi'!$D:$D,$E509))</f>
        <v/>
      </c>
      <c r="C509">
        <f>IF($E509="","",INDEX('Input Transaksi'!$E:$E,$E509))</f>
        <v/>
      </c>
      <c r="D509" s="5">
        <f>IF($E509="","",INDEX('Input Transaksi'!$F:$F,$E509))</f>
        <v/>
      </c>
      <c r="E509">
        <f>IFERROR(AGGREGATE(15,6,ROW('Input Transaksi'!$B$5:$B$5000)/('Input Transaksi'!$B$5:$B$5000="KLIN WASH"),ROWS($E$5:E509)),"")</f>
        <v/>
      </c>
      <c r="F509" s="5" t="n"/>
    </row>
    <row r="510">
      <c r="A510" s="10">
        <f>IF($E510="","",INDEX('Input Transaksi'!$A:$A,$E510))</f>
        <v/>
      </c>
      <c r="B510" s="5">
        <f>IF($E510="","",INDEX('Input Transaksi'!$D:$D,$E510))</f>
        <v/>
      </c>
      <c r="C510">
        <f>IF($E510="","",INDEX('Input Transaksi'!$E:$E,$E510))</f>
        <v/>
      </c>
      <c r="D510" s="5">
        <f>IF($E510="","",INDEX('Input Transaksi'!$F:$F,$E510))</f>
        <v/>
      </c>
      <c r="E510">
        <f>IFERROR(AGGREGATE(15,6,ROW('Input Transaksi'!$B$5:$B$5000)/('Input Transaksi'!$B$5:$B$5000="KLIN WASH"),ROWS($E$5:E510)),"")</f>
        <v/>
      </c>
      <c r="F510" s="5" t="n"/>
    </row>
    <row r="511">
      <c r="A511" s="10">
        <f>IF($E511="","",INDEX('Input Transaksi'!$A:$A,$E511))</f>
        <v/>
      </c>
      <c r="B511" s="5">
        <f>IF($E511="","",INDEX('Input Transaksi'!$D:$D,$E511))</f>
        <v/>
      </c>
      <c r="C511">
        <f>IF($E511="","",INDEX('Input Transaksi'!$E:$E,$E511))</f>
        <v/>
      </c>
      <c r="D511" s="5">
        <f>IF($E511="","",INDEX('Input Transaksi'!$F:$F,$E511))</f>
        <v/>
      </c>
      <c r="E511">
        <f>IFERROR(AGGREGATE(15,6,ROW('Input Transaksi'!$B$5:$B$5000)/('Input Transaksi'!$B$5:$B$5000="KLIN WASH"),ROWS($E$5:E511)),"")</f>
        <v/>
      </c>
      <c r="F511" s="5" t="n"/>
    </row>
    <row r="512">
      <c r="A512" s="10">
        <f>IF($E512="","",INDEX('Input Transaksi'!$A:$A,$E512))</f>
        <v/>
      </c>
      <c r="B512" s="5">
        <f>IF($E512="","",INDEX('Input Transaksi'!$D:$D,$E512))</f>
        <v/>
      </c>
      <c r="C512">
        <f>IF($E512="","",INDEX('Input Transaksi'!$E:$E,$E512))</f>
        <v/>
      </c>
      <c r="D512" s="5">
        <f>IF($E512="","",INDEX('Input Transaksi'!$F:$F,$E512))</f>
        <v/>
      </c>
      <c r="E512">
        <f>IFERROR(AGGREGATE(15,6,ROW('Input Transaksi'!$B$5:$B$5000)/('Input Transaksi'!$B$5:$B$5000="KLIN WASH"),ROWS($E$5:E512)),"")</f>
        <v/>
      </c>
      <c r="F512" s="5" t="n"/>
    </row>
    <row r="513">
      <c r="A513" s="10">
        <f>IF($E513="","",INDEX('Input Transaksi'!$A:$A,$E513))</f>
        <v/>
      </c>
      <c r="B513" s="5">
        <f>IF($E513="","",INDEX('Input Transaksi'!$D:$D,$E513))</f>
        <v/>
      </c>
      <c r="C513">
        <f>IF($E513="","",INDEX('Input Transaksi'!$E:$E,$E513))</f>
        <v/>
      </c>
      <c r="D513" s="5">
        <f>IF($E513="","",INDEX('Input Transaksi'!$F:$F,$E513))</f>
        <v/>
      </c>
      <c r="E513">
        <f>IFERROR(AGGREGATE(15,6,ROW('Input Transaksi'!$B$5:$B$5000)/('Input Transaksi'!$B$5:$B$5000="KLIN WASH"),ROWS($E$5:E513)),"")</f>
        <v/>
      </c>
      <c r="F513" s="5" t="n"/>
    </row>
    <row r="514">
      <c r="A514" s="10">
        <f>IF($E514="","",INDEX('Input Transaksi'!$A:$A,$E514))</f>
        <v/>
      </c>
      <c r="B514" s="5">
        <f>IF($E514="","",INDEX('Input Transaksi'!$D:$D,$E514))</f>
        <v/>
      </c>
      <c r="C514">
        <f>IF($E514="","",INDEX('Input Transaksi'!$E:$E,$E514))</f>
        <v/>
      </c>
      <c r="D514" s="5">
        <f>IF($E514="","",INDEX('Input Transaksi'!$F:$F,$E514))</f>
        <v/>
      </c>
      <c r="E514">
        <f>IFERROR(AGGREGATE(15,6,ROW('Input Transaksi'!$B$5:$B$5000)/('Input Transaksi'!$B$5:$B$5000="KLIN WASH"),ROWS($E$5:E514)),"")</f>
        <v/>
      </c>
      <c r="F514" s="5" t="n"/>
    </row>
    <row r="515">
      <c r="A515" s="10">
        <f>IF($E515="","",INDEX('Input Transaksi'!$A:$A,$E515))</f>
        <v/>
      </c>
      <c r="B515" s="5">
        <f>IF($E515="","",INDEX('Input Transaksi'!$D:$D,$E515))</f>
        <v/>
      </c>
      <c r="C515">
        <f>IF($E515="","",INDEX('Input Transaksi'!$E:$E,$E515))</f>
        <v/>
      </c>
      <c r="D515" s="5">
        <f>IF($E515="","",INDEX('Input Transaksi'!$F:$F,$E515))</f>
        <v/>
      </c>
      <c r="E515">
        <f>IFERROR(AGGREGATE(15,6,ROW('Input Transaksi'!$B$5:$B$5000)/('Input Transaksi'!$B$5:$B$5000="KLIN WASH"),ROWS($E$5:E515)),"")</f>
        <v/>
      </c>
      <c r="F515" s="5" t="n"/>
    </row>
    <row r="516">
      <c r="A516" s="10">
        <f>IF($E516="","",INDEX('Input Transaksi'!$A:$A,$E516))</f>
        <v/>
      </c>
      <c r="B516" s="5">
        <f>IF($E516="","",INDEX('Input Transaksi'!$D:$D,$E516))</f>
        <v/>
      </c>
      <c r="C516">
        <f>IF($E516="","",INDEX('Input Transaksi'!$E:$E,$E516))</f>
        <v/>
      </c>
      <c r="D516" s="5">
        <f>IF($E516="","",INDEX('Input Transaksi'!$F:$F,$E516))</f>
        <v/>
      </c>
      <c r="E516">
        <f>IFERROR(AGGREGATE(15,6,ROW('Input Transaksi'!$B$5:$B$5000)/('Input Transaksi'!$B$5:$B$5000="KLIN WASH"),ROWS($E$5:E516)),"")</f>
        <v/>
      </c>
      <c r="F516" s="5" t="n"/>
    </row>
    <row r="517">
      <c r="A517" s="10">
        <f>IF($E517="","",INDEX('Input Transaksi'!$A:$A,$E517))</f>
        <v/>
      </c>
      <c r="B517" s="5">
        <f>IF($E517="","",INDEX('Input Transaksi'!$D:$D,$E517))</f>
        <v/>
      </c>
      <c r="C517">
        <f>IF($E517="","",INDEX('Input Transaksi'!$E:$E,$E517))</f>
        <v/>
      </c>
      <c r="D517" s="5">
        <f>IF($E517="","",INDEX('Input Transaksi'!$F:$F,$E517))</f>
        <v/>
      </c>
      <c r="E517">
        <f>IFERROR(AGGREGATE(15,6,ROW('Input Transaksi'!$B$5:$B$5000)/('Input Transaksi'!$B$5:$B$5000="KLIN WASH"),ROWS($E$5:E517)),"")</f>
        <v/>
      </c>
      <c r="F517" s="5" t="n"/>
    </row>
    <row r="518">
      <c r="A518" s="10">
        <f>IF($E518="","",INDEX('Input Transaksi'!$A:$A,$E518))</f>
        <v/>
      </c>
      <c r="B518" s="5">
        <f>IF($E518="","",INDEX('Input Transaksi'!$D:$D,$E518))</f>
        <v/>
      </c>
      <c r="C518">
        <f>IF($E518="","",INDEX('Input Transaksi'!$E:$E,$E518))</f>
        <v/>
      </c>
      <c r="D518" s="5">
        <f>IF($E518="","",INDEX('Input Transaksi'!$F:$F,$E518))</f>
        <v/>
      </c>
      <c r="E518">
        <f>IFERROR(AGGREGATE(15,6,ROW('Input Transaksi'!$B$5:$B$5000)/('Input Transaksi'!$B$5:$B$5000="KLIN WASH"),ROWS($E$5:E518)),"")</f>
        <v/>
      </c>
      <c r="F518" s="5" t="n"/>
    </row>
    <row r="519">
      <c r="A519" s="10">
        <f>IF($E519="","",INDEX('Input Transaksi'!$A:$A,$E519))</f>
        <v/>
      </c>
      <c r="B519" s="5">
        <f>IF($E519="","",INDEX('Input Transaksi'!$D:$D,$E519))</f>
        <v/>
      </c>
      <c r="C519">
        <f>IF($E519="","",INDEX('Input Transaksi'!$E:$E,$E519))</f>
        <v/>
      </c>
      <c r="D519" s="5">
        <f>IF($E519="","",INDEX('Input Transaksi'!$F:$F,$E519))</f>
        <v/>
      </c>
      <c r="E519">
        <f>IFERROR(AGGREGATE(15,6,ROW('Input Transaksi'!$B$5:$B$5000)/('Input Transaksi'!$B$5:$B$5000="KLIN WASH"),ROWS($E$5:E519)),"")</f>
        <v/>
      </c>
      <c r="F519" s="5" t="n"/>
    </row>
    <row r="520">
      <c r="A520" s="10">
        <f>IF($E520="","",INDEX('Input Transaksi'!$A:$A,$E520))</f>
        <v/>
      </c>
      <c r="B520" s="5">
        <f>IF($E520="","",INDEX('Input Transaksi'!$D:$D,$E520))</f>
        <v/>
      </c>
      <c r="C520">
        <f>IF($E520="","",INDEX('Input Transaksi'!$E:$E,$E520))</f>
        <v/>
      </c>
      <c r="D520" s="5">
        <f>IF($E520="","",INDEX('Input Transaksi'!$F:$F,$E520))</f>
        <v/>
      </c>
      <c r="E520">
        <f>IFERROR(AGGREGATE(15,6,ROW('Input Transaksi'!$B$5:$B$5000)/('Input Transaksi'!$B$5:$B$5000="KLIN WASH"),ROWS($E$5:E520)),"")</f>
        <v/>
      </c>
      <c r="F520" s="5" t="n"/>
    </row>
    <row r="521">
      <c r="A521" s="10">
        <f>IF($E521="","",INDEX('Input Transaksi'!$A:$A,$E521))</f>
        <v/>
      </c>
      <c r="B521" s="5">
        <f>IF($E521="","",INDEX('Input Transaksi'!$D:$D,$E521))</f>
        <v/>
      </c>
      <c r="C521">
        <f>IF($E521="","",INDEX('Input Transaksi'!$E:$E,$E521))</f>
        <v/>
      </c>
      <c r="D521" s="5">
        <f>IF($E521="","",INDEX('Input Transaksi'!$F:$F,$E521))</f>
        <v/>
      </c>
      <c r="E521">
        <f>IFERROR(AGGREGATE(15,6,ROW('Input Transaksi'!$B$5:$B$5000)/('Input Transaksi'!$B$5:$B$5000="KLIN WASH"),ROWS($E$5:E521)),"")</f>
        <v/>
      </c>
      <c r="F521" s="5" t="n"/>
    </row>
    <row r="522">
      <c r="A522" s="10">
        <f>IF($E522="","",INDEX('Input Transaksi'!$A:$A,$E522))</f>
        <v/>
      </c>
      <c r="B522" s="5">
        <f>IF($E522="","",INDEX('Input Transaksi'!$D:$D,$E522))</f>
        <v/>
      </c>
      <c r="C522">
        <f>IF($E522="","",INDEX('Input Transaksi'!$E:$E,$E522))</f>
        <v/>
      </c>
      <c r="D522" s="5">
        <f>IF($E522="","",INDEX('Input Transaksi'!$F:$F,$E522))</f>
        <v/>
      </c>
      <c r="E522">
        <f>IFERROR(AGGREGATE(15,6,ROW('Input Transaksi'!$B$5:$B$5000)/('Input Transaksi'!$B$5:$B$5000="KLIN WASH"),ROWS($E$5:E522)),"")</f>
        <v/>
      </c>
      <c r="F522" s="5" t="n"/>
    </row>
    <row r="523">
      <c r="A523" s="10">
        <f>IF($E523="","",INDEX('Input Transaksi'!$A:$A,$E523))</f>
        <v/>
      </c>
      <c r="B523" s="5">
        <f>IF($E523="","",INDEX('Input Transaksi'!$D:$D,$E523))</f>
        <v/>
      </c>
      <c r="C523">
        <f>IF($E523="","",INDEX('Input Transaksi'!$E:$E,$E523))</f>
        <v/>
      </c>
      <c r="D523" s="5">
        <f>IF($E523="","",INDEX('Input Transaksi'!$F:$F,$E523))</f>
        <v/>
      </c>
      <c r="E523">
        <f>IFERROR(AGGREGATE(15,6,ROW('Input Transaksi'!$B$5:$B$5000)/('Input Transaksi'!$B$5:$B$5000="KLIN WASH"),ROWS($E$5:E523)),"")</f>
        <v/>
      </c>
      <c r="F523" s="5" t="n"/>
    </row>
    <row r="524">
      <c r="A524" s="10">
        <f>IF($E524="","",INDEX('Input Transaksi'!$A:$A,$E524))</f>
        <v/>
      </c>
      <c r="B524" s="5">
        <f>IF($E524="","",INDEX('Input Transaksi'!$D:$D,$E524))</f>
        <v/>
      </c>
      <c r="C524">
        <f>IF($E524="","",INDEX('Input Transaksi'!$E:$E,$E524))</f>
        <v/>
      </c>
      <c r="D524" s="5">
        <f>IF($E524="","",INDEX('Input Transaksi'!$F:$F,$E524))</f>
        <v/>
      </c>
      <c r="E524">
        <f>IFERROR(AGGREGATE(15,6,ROW('Input Transaksi'!$B$5:$B$5000)/('Input Transaksi'!$B$5:$B$5000="KLIN WASH"),ROWS($E$5:E524)),"")</f>
        <v/>
      </c>
      <c r="F524" s="5" t="n"/>
    </row>
    <row r="525">
      <c r="A525" s="10">
        <f>IF($E525="","",INDEX('Input Transaksi'!$A:$A,$E525))</f>
        <v/>
      </c>
      <c r="B525" s="5">
        <f>IF($E525="","",INDEX('Input Transaksi'!$D:$D,$E525))</f>
        <v/>
      </c>
      <c r="C525">
        <f>IF($E525="","",INDEX('Input Transaksi'!$E:$E,$E525))</f>
        <v/>
      </c>
      <c r="D525" s="5">
        <f>IF($E525="","",INDEX('Input Transaksi'!$F:$F,$E525))</f>
        <v/>
      </c>
      <c r="E525">
        <f>IFERROR(AGGREGATE(15,6,ROW('Input Transaksi'!$B$5:$B$5000)/('Input Transaksi'!$B$5:$B$5000="KLIN WASH"),ROWS($E$5:E525)),"")</f>
        <v/>
      </c>
      <c r="F525" s="5" t="n"/>
    </row>
    <row r="526">
      <c r="A526" s="10">
        <f>IF($E526="","",INDEX('Input Transaksi'!$A:$A,$E526))</f>
        <v/>
      </c>
      <c r="B526" s="5">
        <f>IF($E526="","",INDEX('Input Transaksi'!$D:$D,$E526))</f>
        <v/>
      </c>
      <c r="C526">
        <f>IF($E526="","",INDEX('Input Transaksi'!$E:$E,$E526))</f>
        <v/>
      </c>
      <c r="D526" s="5">
        <f>IF($E526="","",INDEX('Input Transaksi'!$F:$F,$E526))</f>
        <v/>
      </c>
      <c r="E526">
        <f>IFERROR(AGGREGATE(15,6,ROW('Input Transaksi'!$B$5:$B$5000)/('Input Transaksi'!$B$5:$B$5000="KLIN WASH"),ROWS($E$5:E526)),"")</f>
        <v/>
      </c>
      <c r="F526" s="5" t="n"/>
    </row>
    <row r="527">
      <c r="A527" s="10">
        <f>IF($E527="","",INDEX('Input Transaksi'!$A:$A,$E527))</f>
        <v/>
      </c>
      <c r="B527" s="5">
        <f>IF($E527="","",INDEX('Input Transaksi'!$D:$D,$E527))</f>
        <v/>
      </c>
      <c r="C527">
        <f>IF($E527="","",INDEX('Input Transaksi'!$E:$E,$E527))</f>
        <v/>
      </c>
      <c r="D527" s="5">
        <f>IF($E527="","",INDEX('Input Transaksi'!$F:$F,$E527))</f>
        <v/>
      </c>
      <c r="E527">
        <f>IFERROR(AGGREGATE(15,6,ROW('Input Transaksi'!$B$5:$B$5000)/('Input Transaksi'!$B$5:$B$5000="KLIN WASH"),ROWS($E$5:E527)),"")</f>
        <v/>
      </c>
      <c r="F527" s="5" t="n"/>
    </row>
    <row r="528">
      <c r="A528" s="10">
        <f>IF($E528="","",INDEX('Input Transaksi'!$A:$A,$E528))</f>
        <v/>
      </c>
      <c r="B528" s="5">
        <f>IF($E528="","",INDEX('Input Transaksi'!$D:$D,$E528))</f>
        <v/>
      </c>
      <c r="C528">
        <f>IF($E528="","",INDEX('Input Transaksi'!$E:$E,$E528))</f>
        <v/>
      </c>
      <c r="D528" s="5">
        <f>IF($E528="","",INDEX('Input Transaksi'!$F:$F,$E528))</f>
        <v/>
      </c>
      <c r="E528">
        <f>IFERROR(AGGREGATE(15,6,ROW('Input Transaksi'!$B$5:$B$5000)/('Input Transaksi'!$B$5:$B$5000="KLIN WASH"),ROWS($E$5:E528)),"")</f>
        <v/>
      </c>
      <c r="F528" s="5" t="n"/>
    </row>
    <row r="529">
      <c r="A529" s="10">
        <f>IF($E529="","",INDEX('Input Transaksi'!$A:$A,$E529))</f>
        <v/>
      </c>
      <c r="B529" s="5">
        <f>IF($E529="","",INDEX('Input Transaksi'!$D:$D,$E529))</f>
        <v/>
      </c>
      <c r="C529">
        <f>IF($E529="","",INDEX('Input Transaksi'!$E:$E,$E529))</f>
        <v/>
      </c>
      <c r="D529" s="5">
        <f>IF($E529="","",INDEX('Input Transaksi'!$F:$F,$E529))</f>
        <v/>
      </c>
      <c r="E529">
        <f>IFERROR(AGGREGATE(15,6,ROW('Input Transaksi'!$B$5:$B$5000)/('Input Transaksi'!$B$5:$B$5000="KLIN WASH"),ROWS($E$5:E529)),"")</f>
        <v/>
      </c>
      <c r="F529" s="5" t="n"/>
    </row>
    <row r="530">
      <c r="A530" s="10">
        <f>IF($E530="","",INDEX('Input Transaksi'!$A:$A,$E530))</f>
        <v/>
      </c>
      <c r="B530" s="5">
        <f>IF($E530="","",INDEX('Input Transaksi'!$D:$D,$E530))</f>
        <v/>
      </c>
      <c r="C530">
        <f>IF($E530="","",INDEX('Input Transaksi'!$E:$E,$E530))</f>
        <v/>
      </c>
      <c r="D530" s="5">
        <f>IF($E530="","",INDEX('Input Transaksi'!$F:$F,$E530))</f>
        <v/>
      </c>
      <c r="E530">
        <f>IFERROR(AGGREGATE(15,6,ROW('Input Transaksi'!$B$5:$B$5000)/('Input Transaksi'!$B$5:$B$5000="KLIN WASH"),ROWS($E$5:E530)),"")</f>
        <v/>
      </c>
      <c r="F530" s="5" t="n"/>
    </row>
    <row r="531">
      <c r="A531" s="10">
        <f>IF($E531="","",INDEX('Input Transaksi'!$A:$A,$E531))</f>
        <v/>
      </c>
      <c r="B531" s="5">
        <f>IF($E531="","",INDEX('Input Transaksi'!$D:$D,$E531))</f>
        <v/>
      </c>
      <c r="C531">
        <f>IF($E531="","",INDEX('Input Transaksi'!$E:$E,$E531))</f>
        <v/>
      </c>
      <c r="D531" s="5">
        <f>IF($E531="","",INDEX('Input Transaksi'!$F:$F,$E531))</f>
        <v/>
      </c>
      <c r="E531">
        <f>IFERROR(AGGREGATE(15,6,ROW('Input Transaksi'!$B$5:$B$5000)/('Input Transaksi'!$B$5:$B$5000="KLIN WASH"),ROWS($E$5:E531)),"")</f>
        <v/>
      </c>
      <c r="F531" s="5" t="n"/>
    </row>
    <row r="532">
      <c r="A532" s="10">
        <f>IF($E532="","",INDEX('Input Transaksi'!$A:$A,$E532))</f>
        <v/>
      </c>
      <c r="B532" s="5">
        <f>IF($E532="","",INDEX('Input Transaksi'!$D:$D,$E532))</f>
        <v/>
      </c>
      <c r="C532">
        <f>IF($E532="","",INDEX('Input Transaksi'!$E:$E,$E532))</f>
        <v/>
      </c>
      <c r="D532" s="5">
        <f>IF($E532="","",INDEX('Input Transaksi'!$F:$F,$E532))</f>
        <v/>
      </c>
      <c r="E532">
        <f>IFERROR(AGGREGATE(15,6,ROW('Input Transaksi'!$B$5:$B$5000)/('Input Transaksi'!$B$5:$B$5000="KLIN WASH"),ROWS($E$5:E532)),"")</f>
        <v/>
      </c>
      <c r="F532" s="5" t="n"/>
    </row>
    <row r="533">
      <c r="A533" s="10">
        <f>IF($E533="","",INDEX('Input Transaksi'!$A:$A,$E533))</f>
        <v/>
      </c>
      <c r="B533" s="5">
        <f>IF($E533="","",INDEX('Input Transaksi'!$D:$D,$E533))</f>
        <v/>
      </c>
      <c r="C533">
        <f>IF($E533="","",INDEX('Input Transaksi'!$E:$E,$E533))</f>
        <v/>
      </c>
      <c r="D533" s="5">
        <f>IF($E533="","",INDEX('Input Transaksi'!$F:$F,$E533))</f>
        <v/>
      </c>
      <c r="E533">
        <f>IFERROR(AGGREGATE(15,6,ROW('Input Transaksi'!$B$5:$B$5000)/('Input Transaksi'!$B$5:$B$5000="KLIN WASH"),ROWS($E$5:E533)),"")</f>
        <v/>
      </c>
      <c r="F533" s="5" t="n"/>
    </row>
    <row r="534">
      <c r="A534" s="10">
        <f>IF($E534="","",INDEX('Input Transaksi'!$A:$A,$E534))</f>
        <v/>
      </c>
      <c r="B534" s="5">
        <f>IF($E534="","",INDEX('Input Transaksi'!$D:$D,$E534))</f>
        <v/>
      </c>
      <c r="C534">
        <f>IF($E534="","",INDEX('Input Transaksi'!$E:$E,$E534))</f>
        <v/>
      </c>
      <c r="D534" s="5">
        <f>IF($E534="","",INDEX('Input Transaksi'!$F:$F,$E534))</f>
        <v/>
      </c>
      <c r="E534">
        <f>IFERROR(AGGREGATE(15,6,ROW('Input Transaksi'!$B$5:$B$5000)/('Input Transaksi'!$B$5:$B$5000="KLIN WASH"),ROWS($E$5:E534)),"")</f>
        <v/>
      </c>
      <c r="F534" s="5" t="n"/>
    </row>
    <row r="535">
      <c r="A535" s="10">
        <f>IF($E535="","",INDEX('Input Transaksi'!$A:$A,$E535))</f>
        <v/>
      </c>
      <c r="B535" s="5">
        <f>IF($E535="","",INDEX('Input Transaksi'!$D:$D,$E535))</f>
        <v/>
      </c>
      <c r="C535">
        <f>IF($E535="","",INDEX('Input Transaksi'!$E:$E,$E535))</f>
        <v/>
      </c>
      <c r="D535" s="5">
        <f>IF($E535="","",INDEX('Input Transaksi'!$F:$F,$E535))</f>
        <v/>
      </c>
      <c r="E535">
        <f>IFERROR(AGGREGATE(15,6,ROW('Input Transaksi'!$B$5:$B$5000)/('Input Transaksi'!$B$5:$B$5000="KLIN WASH"),ROWS($E$5:E535)),"")</f>
        <v/>
      </c>
      <c r="F535" s="5" t="n"/>
    </row>
    <row r="536">
      <c r="A536" s="10">
        <f>IF($E536="","",INDEX('Input Transaksi'!$A:$A,$E536))</f>
        <v/>
      </c>
      <c r="B536" s="5">
        <f>IF($E536="","",INDEX('Input Transaksi'!$D:$D,$E536))</f>
        <v/>
      </c>
      <c r="C536">
        <f>IF($E536="","",INDEX('Input Transaksi'!$E:$E,$E536))</f>
        <v/>
      </c>
      <c r="D536" s="5">
        <f>IF($E536="","",INDEX('Input Transaksi'!$F:$F,$E536))</f>
        <v/>
      </c>
      <c r="E536">
        <f>IFERROR(AGGREGATE(15,6,ROW('Input Transaksi'!$B$5:$B$5000)/('Input Transaksi'!$B$5:$B$5000="KLIN WASH"),ROWS($E$5:E536)),"")</f>
        <v/>
      </c>
      <c r="F536" s="5" t="n"/>
    </row>
    <row r="537">
      <c r="A537" s="10">
        <f>IF($E537="","",INDEX('Input Transaksi'!$A:$A,$E537))</f>
        <v/>
      </c>
      <c r="B537" s="5">
        <f>IF($E537="","",INDEX('Input Transaksi'!$D:$D,$E537))</f>
        <v/>
      </c>
      <c r="C537">
        <f>IF($E537="","",INDEX('Input Transaksi'!$E:$E,$E537))</f>
        <v/>
      </c>
      <c r="D537" s="5">
        <f>IF($E537="","",INDEX('Input Transaksi'!$F:$F,$E537))</f>
        <v/>
      </c>
      <c r="E537">
        <f>IFERROR(AGGREGATE(15,6,ROW('Input Transaksi'!$B$5:$B$5000)/('Input Transaksi'!$B$5:$B$5000="KLIN WASH"),ROWS($E$5:E537)),"")</f>
        <v/>
      </c>
      <c r="F537" s="5" t="n"/>
    </row>
    <row r="538">
      <c r="A538" s="10">
        <f>IF($E538="","",INDEX('Input Transaksi'!$A:$A,$E538))</f>
        <v/>
      </c>
      <c r="B538" s="5">
        <f>IF($E538="","",INDEX('Input Transaksi'!$D:$D,$E538))</f>
        <v/>
      </c>
      <c r="C538">
        <f>IF($E538="","",INDEX('Input Transaksi'!$E:$E,$E538))</f>
        <v/>
      </c>
      <c r="D538" s="5">
        <f>IF($E538="","",INDEX('Input Transaksi'!$F:$F,$E538))</f>
        <v/>
      </c>
      <c r="E538">
        <f>IFERROR(AGGREGATE(15,6,ROW('Input Transaksi'!$B$5:$B$5000)/('Input Transaksi'!$B$5:$B$5000="KLIN WASH"),ROWS($E$5:E538)),"")</f>
        <v/>
      </c>
      <c r="F538" s="5" t="n"/>
    </row>
    <row r="539">
      <c r="A539" s="10">
        <f>IF($E539="","",INDEX('Input Transaksi'!$A:$A,$E539))</f>
        <v/>
      </c>
      <c r="B539" s="5">
        <f>IF($E539="","",INDEX('Input Transaksi'!$D:$D,$E539))</f>
        <v/>
      </c>
      <c r="C539">
        <f>IF($E539="","",INDEX('Input Transaksi'!$E:$E,$E539))</f>
        <v/>
      </c>
      <c r="D539" s="5">
        <f>IF($E539="","",INDEX('Input Transaksi'!$F:$F,$E539))</f>
        <v/>
      </c>
      <c r="E539">
        <f>IFERROR(AGGREGATE(15,6,ROW('Input Transaksi'!$B$5:$B$5000)/('Input Transaksi'!$B$5:$B$5000="KLIN WASH"),ROWS($E$5:E539)),"")</f>
        <v/>
      </c>
      <c r="F539" s="5" t="n"/>
    </row>
    <row r="540">
      <c r="A540" s="10">
        <f>IF($E540="","",INDEX('Input Transaksi'!$A:$A,$E540))</f>
        <v/>
      </c>
      <c r="B540" s="5">
        <f>IF($E540="","",INDEX('Input Transaksi'!$D:$D,$E540))</f>
        <v/>
      </c>
      <c r="C540">
        <f>IF($E540="","",INDEX('Input Transaksi'!$E:$E,$E540))</f>
        <v/>
      </c>
      <c r="D540" s="5">
        <f>IF($E540="","",INDEX('Input Transaksi'!$F:$F,$E540))</f>
        <v/>
      </c>
      <c r="E540">
        <f>IFERROR(AGGREGATE(15,6,ROW('Input Transaksi'!$B$5:$B$5000)/('Input Transaksi'!$B$5:$B$5000="KLIN WASH"),ROWS($E$5:E540)),"")</f>
        <v/>
      </c>
      <c r="F540" s="5" t="n"/>
    </row>
    <row r="541">
      <c r="A541" s="10">
        <f>IF($E541="","",INDEX('Input Transaksi'!$A:$A,$E541))</f>
        <v/>
      </c>
      <c r="B541" s="5">
        <f>IF($E541="","",INDEX('Input Transaksi'!$D:$D,$E541))</f>
        <v/>
      </c>
      <c r="C541">
        <f>IF($E541="","",INDEX('Input Transaksi'!$E:$E,$E541))</f>
        <v/>
      </c>
      <c r="D541" s="5">
        <f>IF($E541="","",INDEX('Input Transaksi'!$F:$F,$E541))</f>
        <v/>
      </c>
      <c r="E541">
        <f>IFERROR(AGGREGATE(15,6,ROW('Input Transaksi'!$B$5:$B$5000)/('Input Transaksi'!$B$5:$B$5000="KLIN WASH"),ROWS($E$5:E541)),"")</f>
        <v/>
      </c>
      <c r="F541" s="5" t="n"/>
    </row>
    <row r="542">
      <c r="A542" s="10">
        <f>IF($E542="","",INDEX('Input Transaksi'!$A:$A,$E542))</f>
        <v/>
      </c>
      <c r="B542" s="5">
        <f>IF($E542="","",INDEX('Input Transaksi'!$D:$D,$E542))</f>
        <v/>
      </c>
      <c r="C542">
        <f>IF($E542="","",INDEX('Input Transaksi'!$E:$E,$E542))</f>
        <v/>
      </c>
      <c r="D542" s="5">
        <f>IF($E542="","",INDEX('Input Transaksi'!$F:$F,$E542))</f>
        <v/>
      </c>
      <c r="E542">
        <f>IFERROR(AGGREGATE(15,6,ROW('Input Transaksi'!$B$5:$B$5000)/('Input Transaksi'!$B$5:$B$5000="KLIN WASH"),ROWS($E$5:E542)),"")</f>
        <v/>
      </c>
      <c r="F542" s="5" t="n"/>
    </row>
    <row r="543">
      <c r="A543" s="10">
        <f>IF($E543="","",INDEX('Input Transaksi'!$A:$A,$E543))</f>
        <v/>
      </c>
      <c r="B543" s="5">
        <f>IF($E543="","",INDEX('Input Transaksi'!$D:$D,$E543))</f>
        <v/>
      </c>
      <c r="C543">
        <f>IF($E543="","",INDEX('Input Transaksi'!$E:$E,$E543))</f>
        <v/>
      </c>
      <c r="D543" s="5">
        <f>IF($E543="","",INDEX('Input Transaksi'!$F:$F,$E543))</f>
        <v/>
      </c>
      <c r="E543">
        <f>IFERROR(AGGREGATE(15,6,ROW('Input Transaksi'!$B$5:$B$5000)/('Input Transaksi'!$B$5:$B$5000="KLIN WASH"),ROWS($E$5:E543)),"")</f>
        <v/>
      </c>
      <c r="F543" s="5" t="n"/>
    </row>
    <row r="544">
      <c r="A544" s="10">
        <f>IF($E544="","",INDEX('Input Transaksi'!$A:$A,$E544))</f>
        <v/>
      </c>
      <c r="B544" s="5">
        <f>IF($E544="","",INDEX('Input Transaksi'!$D:$D,$E544))</f>
        <v/>
      </c>
      <c r="C544">
        <f>IF($E544="","",INDEX('Input Transaksi'!$E:$E,$E544))</f>
        <v/>
      </c>
      <c r="D544" s="5">
        <f>IF($E544="","",INDEX('Input Transaksi'!$F:$F,$E544))</f>
        <v/>
      </c>
      <c r="E544">
        <f>IFERROR(AGGREGATE(15,6,ROW('Input Transaksi'!$B$5:$B$5000)/('Input Transaksi'!$B$5:$B$5000="KLIN WASH"),ROWS($E$5:E544)),"")</f>
        <v/>
      </c>
      <c r="F544" s="5" t="n"/>
    </row>
    <row r="545">
      <c r="A545" s="10">
        <f>IF($E545="","",INDEX('Input Transaksi'!$A:$A,$E545))</f>
        <v/>
      </c>
      <c r="B545" s="5">
        <f>IF($E545="","",INDEX('Input Transaksi'!$D:$D,$E545))</f>
        <v/>
      </c>
      <c r="C545">
        <f>IF($E545="","",INDEX('Input Transaksi'!$E:$E,$E545))</f>
        <v/>
      </c>
      <c r="D545" s="5">
        <f>IF($E545="","",INDEX('Input Transaksi'!$F:$F,$E545))</f>
        <v/>
      </c>
      <c r="E545">
        <f>IFERROR(AGGREGATE(15,6,ROW('Input Transaksi'!$B$5:$B$5000)/('Input Transaksi'!$B$5:$B$5000="KLIN WASH"),ROWS($E$5:E545)),"")</f>
        <v/>
      </c>
      <c r="F545" s="5" t="n"/>
    </row>
    <row r="546">
      <c r="A546" s="10">
        <f>IF($E546="","",INDEX('Input Transaksi'!$A:$A,$E546))</f>
        <v/>
      </c>
      <c r="B546" s="5">
        <f>IF($E546="","",INDEX('Input Transaksi'!$D:$D,$E546))</f>
        <v/>
      </c>
      <c r="C546">
        <f>IF($E546="","",INDEX('Input Transaksi'!$E:$E,$E546))</f>
        <v/>
      </c>
      <c r="D546" s="5">
        <f>IF($E546="","",INDEX('Input Transaksi'!$F:$F,$E546))</f>
        <v/>
      </c>
      <c r="E546">
        <f>IFERROR(AGGREGATE(15,6,ROW('Input Transaksi'!$B$5:$B$5000)/('Input Transaksi'!$B$5:$B$5000="KLIN WASH"),ROWS($E$5:E546)),"")</f>
        <v/>
      </c>
      <c r="F546" s="5" t="n"/>
    </row>
    <row r="547">
      <c r="A547" s="10">
        <f>IF($E547="","",INDEX('Input Transaksi'!$A:$A,$E547))</f>
        <v/>
      </c>
      <c r="B547" s="5">
        <f>IF($E547="","",INDEX('Input Transaksi'!$D:$D,$E547))</f>
        <v/>
      </c>
      <c r="C547">
        <f>IF($E547="","",INDEX('Input Transaksi'!$E:$E,$E547))</f>
        <v/>
      </c>
      <c r="D547" s="5">
        <f>IF($E547="","",INDEX('Input Transaksi'!$F:$F,$E547))</f>
        <v/>
      </c>
      <c r="E547">
        <f>IFERROR(AGGREGATE(15,6,ROW('Input Transaksi'!$B$5:$B$5000)/('Input Transaksi'!$B$5:$B$5000="KLIN WASH"),ROWS($E$5:E547)),"")</f>
        <v/>
      </c>
      <c r="F547" s="5" t="n"/>
    </row>
    <row r="548">
      <c r="A548" s="10">
        <f>IF($E548="","",INDEX('Input Transaksi'!$A:$A,$E548))</f>
        <v/>
      </c>
      <c r="B548" s="5">
        <f>IF($E548="","",INDEX('Input Transaksi'!$D:$D,$E548))</f>
        <v/>
      </c>
      <c r="C548">
        <f>IF($E548="","",INDEX('Input Transaksi'!$E:$E,$E548))</f>
        <v/>
      </c>
      <c r="D548" s="5">
        <f>IF($E548="","",INDEX('Input Transaksi'!$F:$F,$E548))</f>
        <v/>
      </c>
      <c r="E548">
        <f>IFERROR(AGGREGATE(15,6,ROW('Input Transaksi'!$B$5:$B$5000)/('Input Transaksi'!$B$5:$B$5000="KLIN WASH"),ROWS($E$5:E548)),"")</f>
        <v/>
      </c>
      <c r="F548" s="5" t="n"/>
    </row>
    <row r="549">
      <c r="A549" s="10">
        <f>IF($E549="","",INDEX('Input Transaksi'!$A:$A,$E549))</f>
        <v/>
      </c>
      <c r="B549" s="5">
        <f>IF($E549="","",INDEX('Input Transaksi'!$D:$D,$E549))</f>
        <v/>
      </c>
      <c r="C549">
        <f>IF($E549="","",INDEX('Input Transaksi'!$E:$E,$E549))</f>
        <v/>
      </c>
      <c r="D549" s="5">
        <f>IF($E549="","",INDEX('Input Transaksi'!$F:$F,$E549))</f>
        <v/>
      </c>
      <c r="E549">
        <f>IFERROR(AGGREGATE(15,6,ROW('Input Transaksi'!$B$5:$B$5000)/('Input Transaksi'!$B$5:$B$5000="KLIN WASH"),ROWS($E$5:E549)),"")</f>
        <v/>
      </c>
      <c r="F549" s="5" t="n"/>
    </row>
    <row r="550">
      <c r="A550" s="10">
        <f>IF($E550="","",INDEX('Input Transaksi'!$A:$A,$E550))</f>
        <v/>
      </c>
      <c r="B550" s="5">
        <f>IF($E550="","",INDEX('Input Transaksi'!$D:$D,$E550))</f>
        <v/>
      </c>
      <c r="C550">
        <f>IF($E550="","",INDEX('Input Transaksi'!$E:$E,$E550))</f>
        <v/>
      </c>
      <c r="D550" s="5">
        <f>IF($E550="","",INDEX('Input Transaksi'!$F:$F,$E550))</f>
        <v/>
      </c>
      <c r="E550">
        <f>IFERROR(AGGREGATE(15,6,ROW('Input Transaksi'!$B$5:$B$5000)/('Input Transaksi'!$B$5:$B$5000="KLIN WASH"),ROWS($E$5:E550)),"")</f>
        <v/>
      </c>
      <c r="F550" s="5" t="n"/>
    </row>
    <row r="551">
      <c r="A551" s="10">
        <f>IF($E551="","",INDEX('Input Transaksi'!$A:$A,$E551))</f>
        <v/>
      </c>
      <c r="B551" s="5">
        <f>IF($E551="","",INDEX('Input Transaksi'!$D:$D,$E551))</f>
        <v/>
      </c>
      <c r="C551">
        <f>IF($E551="","",INDEX('Input Transaksi'!$E:$E,$E551))</f>
        <v/>
      </c>
      <c r="D551" s="5">
        <f>IF($E551="","",INDEX('Input Transaksi'!$F:$F,$E551))</f>
        <v/>
      </c>
      <c r="E551">
        <f>IFERROR(AGGREGATE(15,6,ROW('Input Transaksi'!$B$5:$B$5000)/('Input Transaksi'!$B$5:$B$5000="KLIN WASH"),ROWS($E$5:E551)),"")</f>
        <v/>
      </c>
      <c r="F551" s="5" t="n"/>
    </row>
    <row r="552">
      <c r="A552" s="10">
        <f>IF($E552="","",INDEX('Input Transaksi'!$A:$A,$E552))</f>
        <v/>
      </c>
      <c r="B552" s="5">
        <f>IF($E552="","",INDEX('Input Transaksi'!$D:$D,$E552))</f>
        <v/>
      </c>
      <c r="C552">
        <f>IF($E552="","",INDEX('Input Transaksi'!$E:$E,$E552))</f>
        <v/>
      </c>
      <c r="D552" s="5">
        <f>IF($E552="","",INDEX('Input Transaksi'!$F:$F,$E552))</f>
        <v/>
      </c>
      <c r="E552">
        <f>IFERROR(AGGREGATE(15,6,ROW('Input Transaksi'!$B$5:$B$5000)/('Input Transaksi'!$B$5:$B$5000="KLIN WASH"),ROWS($E$5:E552)),"")</f>
        <v/>
      </c>
      <c r="F552" s="5" t="n"/>
    </row>
    <row r="553">
      <c r="A553" s="10">
        <f>IF($E553="","",INDEX('Input Transaksi'!$A:$A,$E553))</f>
        <v/>
      </c>
      <c r="B553" s="5">
        <f>IF($E553="","",INDEX('Input Transaksi'!$D:$D,$E553))</f>
        <v/>
      </c>
      <c r="C553">
        <f>IF($E553="","",INDEX('Input Transaksi'!$E:$E,$E553))</f>
        <v/>
      </c>
      <c r="D553" s="5">
        <f>IF($E553="","",INDEX('Input Transaksi'!$F:$F,$E553))</f>
        <v/>
      </c>
      <c r="E553">
        <f>IFERROR(AGGREGATE(15,6,ROW('Input Transaksi'!$B$5:$B$5000)/('Input Transaksi'!$B$5:$B$5000="KLIN WASH"),ROWS($E$5:E553)),"")</f>
        <v/>
      </c>
      <c r="F553" s="5" t="n"/>
    </row>
    <row r="554">
      <c r="A554" s="10">
        <f>IF($E554="","",INDEX('Input Transaksi'!$A:$A,$E554))</f>
        <v/>
      </c>
      <c r="B554" s="5">
        <f>IF($E554="","",INDEX('Input Transaksi'!$D:$D,$E554))</f>
        <v/>
      </c>
      <c r="C554">
        <f>IF($E554="","",INDEX('Input Transaksi'!$E:$E,$E554))</f>
        <v/>
      </c>
      <c r="D554" s="5">
        <f>IF($E554="","",INDEX('Input Transaksi'!$F:$F,$E554))</f>
        <v/>
      </c>
      <c r="E554">
        <f>IFERROR(AGGREGATE(15,6,ROW('Input Transaksi'!$B$5:$B$5000)/('Input Transaksi'!$B$5:$B$5000="KLIN WASH"),ROWS($E$5:E554)),"")</f>
        <v/>
      </c>
      <c r="F554" s="5" t="n"/>
    </row>
    <row r="555">
      <c r="A555" s="10">
        <f>IF($E555="","",INDEX('Input Transaksi'!$A:$A,$E555))</f>
        <v/>
      </c>
      <c r="B555" s="5">
        <f>IF($E555="","",INDEX('Input Transaksi'!$D:$D,$E555))</f>
        <v/>
      </c>
      <c r="C555">
        <f>IF($E555="","",INDEX('Input Transaksi'!$E:$E,$E555))</f>
        <v/>
      </c>
      <c r="D555" s="5">
        <f>IF($E555="","",INDEX('Input Transaksi'!$F:$F,$E555))</f>
        <v/>
      </c>
      <c r="E555">
        <f>IFERROR(AGGREGATE(15,6,ROW('Input Transaksi'!$B$5:$B$5000)/('Input Transaksi'!$B$5:$B$5000="KLIN WASH"),ROWS($E$5:E555)),"")</f>
        <v/>
      </c>
      <c r="F555" s="5" t="n"/>
    </row>
    <row r="556">
      <c r="A556" s="10">
        <f>IF($E556="","",INDEX('Input Transaksi'!$A:$A,$E556))</f>
        <v/>
      </c>
      <c r="B556" s="5">
        <f>IF($E556="","",INDEX('Input Transaksi'!$D:$D,$E556))</f>
        <v/>
      </c>
      <c r="C556">
        <f>IF($E556="","",INDEX('Input Transaksi'!$E:$E,$E556))</f>
        <v/>
      </c>
      <c r="D556" s="5">
        <f>IF($E556="","",INDEX('Input Transaksi'!$F:$F,$E556))</f>
        <v/>
      </c>
      <c r="E556">
        <f>IFERROR(AGGREGATE(15,6,ROW('Input Transaksi'!$B$5:$B$5000)/('Input Transaksi'!$B$5:$B$5000="KLIN WASH"),ROWS($E$5:E556)),"")</f>
        <v/>
      </c>
      <c r="F556" s="5" t="n"/>
    </row>
    <row r="557">
      <c r="A557" s="10">
        <f>IF($E557="","",INDEX('Input Transaksi'!$A:$A,$E557))</f>
        <v/>
      </c>
      <c r="B557" s="5">
        <f>IF($E557="","",INDEX('Input Transaksi'!$D:$D,$E557))</f>
        <v/>
      </c>
      <c r="C557">
        <f>IF($E557="","",INDEX('Input Transaksi'!$E:$E,$E557))</f>
        <v/>
      </c>
      <c r="D557" s="5">
        <f>IF($E557="","",INDEX('Input Transaksi'!$F:$F,$E557))</f>
        <v/>
      </c>
      <c r="E557">
        <f>IFERROR(AGGREGATE(15,6,ROW('Input Transaksi'!$B$5:$B$5000)/('Input Transaksi'!$B$5:$B$5000="KLIN WASH"),ROWS($E$5:E557)),"")</f>
        <v/>
      </c>
      <c r="F557" s="5" t="n"/>
    </row>
    <row r="558">
      <c r="A558" s="10">
        <f>IF($E558="","",INDEX('Input Transaksi'!$A:$A,$E558))</f>
        <v/>
      </c>
      <c r="B558" s="5">
        <f>IF($E558="","",INDEX('Input Transaksi'!$D:$D,$E558))</f>
        <v/>
      </c>
      <c r="C558">
        <f>IF($E558="","",INDEX('Input Transaksi'!$E:$E,$E558))</f>
        <v/>
      </c>
      <c r="D558" s="5">
        <f>IF($E558="","",INDEX('Input Transaksi'!$F:$F,$E558))</f>
        <v/>
      </c>
      <c r="E558">
        <f>IFERROR(AGGREGATE(15,6,ROW('Input Transaksi'!$B$5:$B$5000)/('Input Transaksi'!$B$5:$B$5000="KLIN WASH"),ROWS($E$5:E558)),"")</f>
        <v/>
      </c>
      <c r="F558" s="5" t="n"/>
    </row>
    <row r="559">
      <c r="A559" s="10">
        <f>IF($E559="","",INDEX('Input Transaksi'!$A:$A,$E559))</f>
        <v/>
      </c>
      <c r="B559" s="5">
        <f>IF($E559="","",INDEX('Input Transaksi'!$D:$D,$E559))</f>
        <v/>
      </c>
      <c r="C559">
        <f>IF($E559="","",INDEX('Input Transaksi'!$E:$E,$E559))</f>
        <v/>
      </c>
      <c r="D559" s="5">
        <f>IF($E559="","",INDEX('Input Transaksi'!$F:$F,$E559))</f>
        <v/>
      </c>
      <c r="E559">
        <f>IFERROR(AGGREGATE(15,6,ROW('Input Transaksi'!$B$5:$B$5000)/('Input Transaksi'!$B$5:$B$5000="KLIN WASH"),ROWS($E$5:E559)),"")</f>
        <v/>
      </c>
      <c r="F559" s="5" t="n"/>
    </row>
    <row r="560">
      <c r="A560" s="10">
        <f>IF($E560="","",INDEX('Input Transaksi'!$A:$A,$E560))</f>
        <v/>
      </c>
      <c r="B560" s="5">
        <f>IF($E560="","",INDEX('Input Transaksi'!$D:$D,$E560))</f>
        <v/>
      </c>
      <c r="C560">
        <f>IF($E560="","",INDEX('Input Transaksi'!$E:$E,$E560))</f>
        <v/>
      </c>
      <c r="D560" s="5">
        <f>IF($E560="","",INDEX('Input Transaksi'!$F:$F,$E560))</f>
        <v/>
      </c>
      <c r="E560">
        <f>IFERROR(AGGREGATE(15,6,ROW('Input Transaksi'!$B$5:$B$5000)/('Input Transaksi'!$B$5:$B$5000="KLIN WASH"),ROWS($E$5:E560)),"")</f>
        <v/>
      </c>
      <c r="F560" s="5" t="n"/>
    </row>
    <row r="561">
      <c r="A561" s="10">
        <f>IF($E561="","",INDEX('Input Transaksi'!$A:$A,$E561))</f>
        <v/>
      </c>
      <c r="B561" s="5">
        <f>IF($E561="","",INDEX('Input Transaksi'!$D:$D,$E561))</f>
        <v/>
      </c>
      <c r="C561">
        <f>IF($E561="","",INDEX('Input Transaksi'!$E:$E,$E561))</f>
        <v/>
      </c>
      <c r="D561" s="5">
        <f>IF($E561="","",INDEX('Input Transaksi'!$F:$F,$E561))</f>
        <v/>
      </c>
      <c r="E561">
        <f>IFERROR(AGGREGATE(15,6,ROW('Input Transaksi'!$B$5:$B$5000)/('Input Transaksi'!$B$5:$B$5000="KLIN WASH"),ROWS($E$5:E561)),"")</f>
        <v/>
      </c>
      <c r="F561" s="5" t="n"/>
    </row>
    <row r="562">
      <c r="A562" s="10">
        <f>IF($E562="","",INDEX('Input Transaksi'!$A:$A,$E562))</f>
        <v/>
      </c>
      <c r="B562" s="5">
        <f>IF($E562="","",INDEX('Input Transaksi'!$D:$D,$E562))</f>
        <v/>
      </c>
      <c r="C562">
        <f>IF($E562="","",INDEX('Input Transaksi'!$E:$E,$E562))</f>
        <v/>
      </c>
      <c r="D562" s="5">
        <f>IF($E562="","",INDEX('Input Transaksi'!$F:$F,$E562))</f>
        <v/>
      </c>
      <c r="E562">
        <f>IFERROR(AGGREGATE(15,6,ROW('Input Transaksi'!$B$5:$B$5000)/('Input Transaksi'!$B$5:$B$5000="KLIN WASH"),ROWS($E$5:E562)),"")</f>
        <v/>
      </c>
      <c r="F562" s="5" t="n"/>
    </row>
    <row r="563">
      <c r="A563" s="10">
        <f>IF($E563="","",INDEX('Input Transaksi'!$A:$A,$E563))</f>
        <v/>
      </c>
      <c r="B563" s="5">
        <f>IF($E563="","",INDEX('Input Transaksi'!$D:$D,$E563))</f>
        <v/>
      </c>
      <c r="C563">
        <f>IF($E563="","",INDEX('Input Transaksi'!$E:$E,$E563))</f>
        <v/>
      </c>
      <c r="D563" s="5">
        <f>IF($E563="","",INDEX('Input Transaksi'!$F:$F,$E563))</f>
        <v/>
      </c>
      <c r="E563">
        <f>IFERROR(AGGREGATE(15,6,ROW('Input Transaksi'!$B$5:$B$5000)/('Input Transaksi'!$B$5:$B$5000="KLIN WASH"),ROWS($E$5:E563)),"")</f>
        <v/>
      </c>
      <c r="F563" s="5" t="n"/>
    </row>
    <row r="564">
      <c r="A564" s="10">
        <f>IF($E564="","",INDEX('Input Transaksi'!$A:$A,$E564))</f>
        <v/>
      </c>
      <c r="B564" s="5">
        <f>IF($E564="","",INDEX('Input Transaksi'!$D:$D,$E564))</f>
        <v/>
      </c>
      <c r="C564">
        <f>IF($E564="","",INDEX('Input Transaksi'!$E:$E,$E564))</f>
        <v/>
      </c>
      <c r="D564" s="5">
        <f>IF($E564="","",INDEX('Input Transaksi'!$F:$F,$E564))</f>
        <v/>
      </c>
      <c r="E564">
        <f>IFERROR(AGGREGATE(15,6,ROW('Input Transaksi'!$B$5:$B$5000)/('Input Transaksi'!$B$5:$B$5000="KLIN WASH"),ROWS($E$5:E564)),"")</f>
        <v/>
      </c>
      <c r="F564" s="5" t="n"/>
    </row>
    <row r="565">
      <c r="A565" s="10">
        <f>IF($E565="","",INDEX('Input Transaksi'!$A:$A,$E565))</f>
        <v/>
      </c>
      <c r="B565" s="5">
        <f>IF($E565="","",INDEX('Input Transaksi'!$D:$D,$E565))</f>
        <v/>
      </c>
      <c r="C565">
        <f>IF($E565="","",INDEX('Input Transaksi'!$E:$E,$E565))</f>
        <v/>
      </c>
      <c r="D565" s="5">
        <f>IF($E565="","",INDEX('Input Transaksi'!$F:$F,$E565))</f>
        <v/>
      </c>
      <c r="E565">
        <f>IFERROR(AGGREGATE(15,6,ROW('Input Transaksi'!$B$5:$B$5000)/('Input Transaksi'!$B$5:$B$5000="KLIN WASH"),ROWS($E$5:E565)),"")</f>
        <v/>
      </c>
      <c r="F565" s="5" t="n"/>
    </row>
    <row r="566">
      <c r="A566" s="10">
        <f>IF($E566="","",INDEX('Input Transaksi'!$A:$A,$E566))</f>
        <v/>
      </c>
      <c r="B566" s="5">
        <f>IF($E566="","",INDEX('Input Transaksi'!$D:$D,$E566))</f>
        <v/>
      </c>
      <c r="C566">
        <f>IF($E566="","",INDEX('Input Transaksi'!$E:$E,$E566))</f>
        <v/>
      </c>
      <c r="D566" s="5">
        <f>IF($E566="","",INDEX('Input Transaksi'!$F:$F,$E566))</f>
        <v/>
      </c>
      <c r="E566">
        <f>IFERROR(AGGREGATE(15,6,ROW('Input Transaksi'!$B$5:$B$5000)/('Input Transaksi'!$B$5:$B$5000="KLIN WASH"),ROWS($E$5:E566)),"")</f>
        <v/>
      </c>
      <c r="F566" s="5" t="n"/>
    </row>
    <row r="567">
      <c r="A567" s="10">
        <f>IF($E567="","",INDEX('Input Transaksi'!$A:$A,$E567))</f>
        <v/>
      </c>
      <c r="B567" s="5">
        <f>IF($E567="","",INDEX('Input Transaksi'!$D:$D,$E567))</f>
        <v/>
      </c>
      <c r="C567">
        <f>IF($E567="","",INDEX('Input Transaksi'!$E:$E,$E567))</f>
        <v/>
      </c>
      <c r="D567" s="5">
        <f>IF($E567="","",INDEX('Input Transaksi'!$F:$F,$E567))</f>
        <v/>
      </c>
      <c r="E567">
        <f>IFERROR(AGGREGATE(15,6,ROW('Input Transaksi'!$B$5:$B$5000)/('Input Transaksi'!$B$5:$B$5000="KLIN WASH"),ROWS($E$5:E567)),"")</f>
        <v/>
      </c>
      <c r="F567" s="5" t="n"/>
    </row>
    <row r="568">
      <c r="A568" s="10">
        <f>IF($E568="","",INDEX('Input Transaksi'!$A:$A,$E568))</f>
        <v/>
      </c>
      <c r="B568" s="5">
        <f>IF($E568="","",INDEX('Input Transaksi'!$D:$D,$E568))</f>
        <v/>
      </c>
      <c r="C568">
        <f>IF($E568="","",INDEX('Input Transaksi'!$E:$E,$E568))</f>
        <v/>
      </c>
      <c r="D568" s="5">
        <f>IF($E568="","",INDEX('Input Transaksi'!$F:$F,$E568))</f>
        <v/>
      </c>
      <c r="E568">
        <f>IFERROR(AGGREGATE(15,6,ROW('Input Transaksi'!$B$5:$B$5000)/('Input Transaksi'!$B$5:$B$5000="KLIN WASH"),ROWS($E$5:E568)),"")</f>
        <v/>
      </c>
      <c r="F568" s="5" t="n"/>
    </row>
    <row r="569">
      <c r="A569" s="10">
        <f>IF($E569="","",INDEX('Input Transaksi'!$A:$A,$E569))</f>
        <v/>
      </c>
      <c r="B569" s="5">
        <f>IF($E569="","",INDEX('Input Transaksi'!$D:$D,$E569))</f>
        <v/>
      </c>
      <c r="C569">
        <f>IF($E569="","",INDEX('Input Transaksi'!$E:$E,$E569))</f>
        <v/>
      </c>
      <c r="D569" s="5">
        <f>IF($E569="","",INDEX('Input Transaksi'!$F:$F,$E569))</f>
        <v/>
      </c>
      <c r="E569">
        <f>IFERROR(AGGREGATE(15,6,ROW('Input Transaksi'!$B$5:$B$5000)/('Input Transaksi'!$B$5:$B$5000="KLIN WASH"),ROWS($E$5:E569)),"")</f>
        <v/>
      </c>
      <c r="F569" s="5" t="n"/>
    </row>
    <row r="570">
      <c r="A570" s="10">
        <f>IF($E570="","",INDEX('Input Transaksi'!$A:$A,$E570))</f>
        <v/>
      </c>
      <c r="B570" s="5">
        <f>IF($E570="","",INDEX('Input Transaksi'!$D:$D,$E570))</f>
        <v/>
      </c>
      <c r="C570">
        <f>IF($E570="","",INDEX('Input Transaksi'!$E:$E,$E570))</f>
        <v/>
      </c>
      <c r="D570" s="5">
        <f>IF($E570="","",INDEX('Input Transaksi'!$F:$F,$E570))</f>
        <v/>
      </c>
      <c r="E570">
        <f>IFERROR(AGGREGATE(15,6,ROW('Input Transaksi'!$B$5:$B$5000)/('Input Transaksi'!$B$5:$B$5000="KLIN WASH"),ROWS($E$5:E570)),"")</f>
        <v/>
      </c>
      <c r="F570" s="5" t="n"/>
    </row>
    <row r="571">
      <c r="A571" s="10">
        <f>IF($E571="","",INDEX('Input Transaksi'!$A:$A,$E571))</f>
        <v/>
      </c>
      <c r="B571" s="5">
        <f>IF($E571="","",INDEX('Input Transaksi'!$D:$D,$E571))</f>
        <v/>
      </c>
      <c r="C571">
        <f>IF($E571="","",INDEX('Input Transaksi'!$E:$E,$E571))</f>
        <v/>
      </c>
      <c r="D571" s="5">
        <f>IF($E571="","",INDEX('Input Transaksi'!$F:$F,$E571))</f>
        <v/>
      </c>
      <c r="E571">
        <f>IFERROR(AGGREGATE(15,6,ROW('Input Transaksi'!$B$5:$B$5000)/('Input Transaksi'!$B$5:$B$5000="KLIN WASH"),ROWS($E$5:E571)),"")</f>
        <v/>
      </c>
      <c r="F571" s="5" t="n"/>
    </row>
    <row r="572">
      <c r="A572" s="10">
        <f>IF($E572="","",INDEX('Input Transaksi'!$A:$A,$E572))</f>
        <v/>
      </c>
      <c r="B572" s="5">
        <f>IF($E572="","",INDEX('Input Transaksi'!$D:$D,$E572))</f>
        <v/>
      </c>
      <c r="C572">
        <f>IF($E572="","",INDEX('Input Transaksi'!$E:$E,$E572))</f>
        <v/>
      </c>
      <c r="D572" s="5">
        <f>IF($E572="","",INDEX('Input Transaksi'!$F:$F,$E572))</f>
        <v/>
      </c>
      <c r="E572">
        <f>IFERROR(AGGREGATE(15,6,ROW('Input Transaksi'!$B$5:$B$5000)/('Input Transaksi'!$B$5:$B$5000="KLIN WASH"),ROWS($E$5:E572)),"")</f>
        <v/>
      </c>
      <c r="F572" s="5" t="n"/>
    </row>
    <row r="573">
      <c r="A573" s="10">
        <f>IF($E573="","",INDEX('Input Transaksi'!$A:$A,$E573))</f>
        <v/>
      </c>
      <c r="B573" s="5">
        <f>IF($E573="","",INDEX('Input Transaksi'!$D:$D,$E573))</f>
        <v/>
      </c>
      <c r="C573">
        <f>IF($E573="","",INDEX('Input Transaksi'!$E:$E,$E573))</f>
        <v/>
      </c>
      <c r="D573" s="5">
        <f>IF($E573="","",INDEX('Input Transaksi'!$F:$F,$E573))</f>
        <v/>
      </c>
      <c r="E573">
        <f>IFERROR(AGGREGATE(15,6,ROW('Input Transaksi'!$B$5:$B$5000)/('Input Transaksi'!$B$5:$B$5000="KLIN WASH"),ROWS($E$5:E573)),"")</f>
        <v/>
      </c>
      <c r="F573" s="5" t="n"/>
    </row>
    <row r="574">
      <c r="A574" s="10">
        <f>IF($E574="","",INDEX('Input Transaksi'!$A:$A,$E574))</f>
        <v/>
      </c>
      <c r="B574" s="5">
        <f>IF($E574="","",INDEX('Input Transaksi'!$D:$D,$E574))</f>
        <v/>
      </c>
      <c r="C574">
        <f>IF($E574="","",INDEX('Input Transaksi'!$E:$E,$E574))</f>
        <v/>
      </c>
      <c r="D574" s="5">
        <f>IF($E574="","",INDEX('Input Transaksi'!$F:$F,$E574))</f>
        <v/>
      </c>
      <c r="E574">
        <f>IFERROR(AGGREGATE(15,6,ROW('Input Transaksi'!$B$5:$B$5000)/('Input Transaksi'!$B$5:$B$5000="KLIN WASH"),ROWS($E$5:E574)),"")</f>
        <v/>
      </c>
      <c r="F574" s="5" t="n"/>
    </row>
    <row r="575">
      <c r="A575" s="10">
        <f>IF($E575="","",INDEX('Input Transaksi'!$A:$A,$E575))</f>
        <v/>
      </c>
      <c r="B575" s="5">
        <f>IF($E575="","",INDEX('Input Transaksi'!$D:$D,$E575))</f>
        <v/>
      </c>
      <c r="C575">
        <f>IF($E575="","",INDEX('Input Transaksi'!$E:$E,$E575))</f>
        <v/>
      </c>
      <c r="D575" s="5">
        <f>IF($E575="","",INDEX('Input Transaksi'!$F:$F,$E575))</f>
        <v/>
      </c>
      <c r="E575">
        <f>IFERROR(AGGREGATE(15,6,ROW('Input Transaksi'!$B$5:$B$5000)/('Input Transaksi'!$B$5:$B$5000="KLIN WASH"),ROWS($E$5:E575)),"")</f>
        <v/>
      </c>
      <c r="F575" s="5" t="n"/>
    </row>
    <row r="576">
      <c r="A576" s="10">
        <f>IF($E576="","",INDEX('Input Transaksi'!$A:$A,$E576))</f>
        <v/>
      </c>
      <c r="B576" s="5">
        <f>IF($E576="","",INDEX('Input Transaksi'!$D:$D,$E576))</f>
        <v/>
      </c>
      <c r="C576">
        <f>IF($E576="","",INDEX('Input Transaksi'!$E:$E,$E576))</f>
        <v/>
      </c>
      <c r="D576" s="5">
        <f>IF($E576="","",INDEX('Input Transaksi'!$F:$F,$E576))</f>
        <v/>
      </c>
      <c r="E576">
        <f>IFERROR(AGGREGATE(15,6,ROW('Input Transaksi'!$B$5:$B$5000)/('Input Transaksi'!$B$5:$B$5000="KLIN WASH"),ROWS($E$5:E576)),"")</f>
        <v/>
      </c>
      <c r="F576" s="5" t="n"/>
    </row>
    <row r="577">
      <c r="A577" s="10">
        <f>IF($E577="","",INDEX('Input Transaksi'!$A:$A,$E577))</f>
        <v/>
      </c>
      <c r="B577" s="5">
        <f>IF($E577="","",INDEX('Input Transaksi'!$D:$D,$E577))</f>
        <v/>
      </c>
      <c r="C577">
        <f>IF($E577="","",INDEX('Input Transaksi'!$E:$E,$E577))</f>
        <v/>
      </c>
      <c r="D577" s="5">
        <f>IF($E577="","",INDEX('Input Transaksi'!$F:$F,$E577))</f>
        <v/>
      </c>
      <c r="E577">
        <f>IFERROR(AGGREGATE(15,6,ROW('Input Transaksi'!$B$5:$B$5000)/('Input Transaksi'!$B$5:$B$5000="KLIN WASH"),ROWS($E$5:E577)),"")</f>
        <v/>
      </c>
      <c r="F577" s="5" t="n"/>
    </row>
    <row r="578">
      <c r="A578" s="10">
        <f>IF($E578="","",INDEX('Input Transaksi'!$A:$A,$E578))</f>
        <v/>
      </c>
      <c r="B578" s="5">
        <f>IF($E578="","",INDEX('Input Transaksi'!$D:$D,$E578))</f>
        <v/>
      </c>
      <c r="C578">
        <f>IF($E578="","",INDEX('Input Transaksi'!$E:$E,$E578))</f>
        <v/>
      </c>
      <c r="D578" s="5">
        <f>IF($E578="","",INDEX('Input Transaksi'!$F:$F,$E578))</f>
        <v/>
      </c>
      <c r="E578">
        <f>IFERROR(AGGREGATE(15,6,ROW('Input Transaksi'!$B$5:$B$5000)/('Input Transaksi'!$B$5:$B$5000="KLIN WASH"),ROWS($E$5:E578)),"")</f>
        <v/>
      </c>
      <c r="F578" s="5" t="n"/>
    </row>
    <row r="579">
      <c r="A579" s="10">
        <f>IF($E579="","",INDEX('Input Transaksi'!$A:$A,$E579))</f>
        <v/>
      </c>
      <c r="B579" s="5">
        <f>IF($E579="","",INDEX('Input Transaksi'!$D:$D,$E579))</f>
        <v/>
      </c>
      <c r="C579">
        <f>IF($E579="","",INDEX('Input Transaksi'!$E:$E,$E579))</f>
        <v/>
      </c>
      <c r="D579" s="5">
        <f>IF($E579="","",INDEX('Input Transaksi'!$F:$F,$E579))</f>
        <v/>
      </c>
      <c r="E579">
        <f>IFERROR(AGGREGATE(15,6,ROW('Input Transaksi'!$B$5:$B$5000)/('Input Transaksi'!$B$5:$B$5000="KLIN WASH"),ROWS($E$5:E579)),"")</f>
        <v/>
      </c>
      <c r="F579" s="5" t="n"/>
    </row>
    <row r="580">
      <c r="A580" s="10">
        <f>IF($E580="","",INDEX('Input Transaksi'!$A:$A,$E580))</f>
        <v/>
      </c>
      <c r="B580" s="5">
        <f>IF($E580="","",INDEX('Input Transaksi'!$D:$D,$E580))</f>
        <v/>
      </c>
      <c r="C580">
        <f>IF($E580="","",INDEX('Input Transaksi'!$E:$E,$E580))</f>
        <v/>
      </c>
      <c r="D580" s="5">
        <f>IF($E580="","",INDEX('Input Transaksi'!$F:$F,$E580))</f>
        <v/>
      </c>
      <c r="E580">
        <f>IFERROR(AGGREGATE(15,6,ROW('Input Transaksi'!$B$5:$B$5000)/('Input Transaksi'!$B$5:$B$5000="KLIN WASH"),ROWS($E$5:E580)),"")</f>
        <v/>
      </c>
      <c r="F580" s="5" t="n"/>
    </row>
    <row r="581">
      <c r="A581" s="10">
        <f>IF($E581="","",INDEX('Input Transaksi'!$A:$A,$E581))</f>
        <v/>
      </c>
      <c r="B581" s="5">
        <f>IF($E581="","",INDEX('Input Transaksi'!$D:$D,$E581))</f>
        <v/>
      </c>
      <c r="C581">
        <f>IF($E581="","",INDEX('Input Transaksi'!$E:$E,$E581))</f>
        <v/>
      </c>
      <c r="D581" s="5">
        <f>IF($E581="","",INDEX('Input Transaksi'!$F:$F,$E581))</f>
        <v/>
      </c>
      <c r="E581">
        <f>IFERROR(AGGREGATE(15,6,ROW('Input Transaksi'!$B$5:$B$5000)/('Input Transaksi'!$B$5:$B$5000="KLIN WASH"),ROWS($E$5:E581)),"")</f>
        <v/>
      </c>
      <c r="F581" s="5" t="n"/>
    </row>
    <row r="582">
      <c r="A582" s="10">
        <f>IF($E582="","",INDEX('Input Transaksi'!$A:$A,$E582))</f>
        <v/>
      </c>
      <c r="B582" s="5">
        <f>IF($E582="","",INDEX('Input Transaksi'!$D:$D,$E582))</f>
        <v/>
      </c>
      <c r="C582">
        <f>IF($E582="","",INDEX('Input Transaksi'!$E:$E,$E582))</f>
        <v/>
      </c>
      <c r="D582" s="5">
        <f>IF($E582="","",INDEX('Input Transaksi'!$F:$F,$E582))</f>
        <v/>
      </c>
      <c r="E582">
        <f>IFERROR(AGGREGATE(15,6,ROW('Input Transaksi'!$B$5:$B$5000)/('Input Transaksi'!$B$5:$B$5000="KLIN WASH"),ROWS($E$5:E582)),"")</f>
        <v/>
      </c>
      <c r="F582" s="5" t="n"/>
    </row>
    <row r="583">
      <c r="A583" s="10">
        <f>IF($E583="","",INDEX('Input Transaksi'!$A:$A,$E583))</f>
        <v/>
      </c>
      <c r="B583" s="5">
        <f>IF($E583="","",INDEX('Input Transaksi'!$D:$D,$E583))</f>
        <v/>
      </c>
      <c r="C583">
        <f>IF($E583="","",INDEX('Input Transaksi'!$E:$E,$E583))</f>
        <v/>
      </c>
      <c r="D583" s="5">
        <f>IF($E583="","",INDEX('Input Transaksi'!$F:$F,$E583))</f>
        <v/>
      </c>
      <c r="E583">
        <f>IFERROR(AGGREGATE(15,6,ROW('Input Transaksi'!$B$5:$B$5000)/('Input Transaksi'!$B$5:$B$5000="KLIN WASH"),ROWS($E$5:E583)),"")</f>
        <v/>
      </c>
      <c r="F583" s="5" t="n"/>
    </row>
    <row r="584">
      <c r="A584" s="10">
        <f>IF($E584="","",INDEX('Input Transaksi'!$A:$A,$E584))</f>
        <v/>
      </c>
      <c r="B584" s="5">
        <f>IF($E584="","",INDEX('Input Transaksi'!$D:$D,$E584))</f>
        <v/>
      </c>
      <c r="C584">
        <f>IF($E584="","",INDEX('Input Transaksi'!$E:$E,$E584))</f>
        <v/>
      </c>
      <c r="D584" s="5">
        <f>IF($E584="","",INDEX('Input Transaksi'!$F:$F,$E584))</f>
        <v/>
      </c>
      <c r="E584">
        <f>IFERROR(AGGREGATE(15,6,ROW('Input Transaksi'!$B$5:$B$5000)/('Input Transaksi'!$B$5:$B$5000="KLIN WASH"),ROWS($E$5:E584)),"")</f>
        <v/>
      </c>
      <c r="F584" s="5" t="n"/>
    </row>
    <row r="585">
      <c r="A585" s="10">
        <f>IF($E585="","",INDEX('Input Transaksi'!$A:$A,$E585))</f>
        <v/>
      </c>
      <c r="B585" s="5">
        <f>IF($E585="","",INDEX('Input Transaksi'!$D:$D,$E585))</f>
        <v/>
      </c>
      <c r="C585">
        <f>IF($E585="","",INDEX('Input Transaksi'!$E:$E,$E585))</f>
        <v/>
      </c>
      <c r="D585" s="5">
        <f>IF($E585="","",INDEX('Input Transaksi'!$F:$F,$E585))</f>
        <v/>
      </c>
      <c r="E585">
        <f>IFERROR(AGGREGATE(15,6,ROW('Input Transaksi'!$B$5:$B$5000)/('Input Transaksi'!$B$5:$B$5000="KLIN WASH"),ROWS($E$5:E585)),"")</f>
        <v/>
      </c>
      <c r="F585" s="5" t="n"/>
    </row>
    <row r="586">
      <c r="A586" s="10">
        <f>IF($E586="","",INDEX('Input Transaksi'!$A:$A,$E586))</f>
        <v/>
      </c>
      <c r="B586" s="5">
        <f>IF($E586="","",INDEX('Input Transaksi'!$D:$D,$E586))</f>
        <v/>
      </c>
      <c r="C586">
        <f>IF($E586="","",INDEX('Input Transaksi'!$E:$E,$E586))</f>
        <v/>
      </c>
      <c r="D586" s="5">
        <f>IF($E586="","",INDEX('Input Transaksi'!$F:$F,$E586))</f>
        <v/>
      </c>
      <c r="E586">
        <f>IFERROR(AGGREGATE(15,6,ROW('Input Transaksi'!$B$5:$B$5000)/('Input Transaksi'!$B$5:$B$5000="KLIN WASH"),ROWS($E$5:E586)),"")</f>
        <v/>
      </c>
      <c r="F586" s="5" t="n"/>
    </row>
    <row r="587">
      <c r="A587" s="10">
        <f>IF($E587="","",INDEX('Input Transaksi'!$A:$A,$E587))</f>
        <v/>
      </c>
      <c r="B587" s="5">
        <f>IF($E587="","",INDEX('Input Transaksi'!$D:$D,$E587))</f>
        <v/>
      </c>
      <c r="C587">
        <f>IF($E587="","",INDEX('Input Transaksi'!$E:$E,$E587))</f>
        <v/>
      </c>
      <c r="D587" s="5">
        <f>IF($E587="","",INDEX('Input Transaksi'!$F:$F,$E587))</f>
        <v/>
      </c>
      <c r="E587">
        <f>IFERROR(AGGREGATE(15,6,ROW('Input Transaksi'!$B$5:$B$5000)/('Input Transaksi'!$B$5:$B$5000="KLIN WASH"),ROWS($E$5:E587)),"")</f>
        <v/>
      </c>
      <c r="F587" s="5" t="n"/>
    </row>
    <row r="588">
      <c r="A588" s="10">
        <f>IF($E588="","",INDEX('Input Transaksi'!$A:$A,$E588))</f>
        <v/>
      </c>
      <c r="B588" s="5">
        <f>IF($E588="","",INDEX('Input Transaksi'!$D:$D,$E588))</f>
        <v/>
      </c>
      <c r="C588">
        <f>IF($E588="","",INDEX('Input Transaksi'!$E:$E,$E588))</f>
        <v/>
      </c>
      <c r="D588" s="5">
        <f>IF($E588="","",INDEX('Input Transaksi'!$F:$F,$E588))</f>
        <v/>
      </c>
      <c r="E588">
        <f>IFERROR(AGGREGATE(15,6,ROW('Input Transaksi'!$B$5:$B$5000)/('Input Transaksi'!$B$5:$B$5000="KLIN WASH"),ROWS($E$5:E588)),"")</f>
        <v/>
      </c>
      <c r="F588" s="5" t="n"/>
    </row>
    <row r="589">
      <c r="A589" s="10">
        <f>IF($E589="","",INDEX('Input Transaksi'!$A:$A,$E589))</f>
        <v/>
      </c>
      <c r="B589" s="5">
        <f>IF($E589="","",INDEX('Input Transaksi'!$D:$D,$E589))</f>
        <v/>
      </c>
      <c r="C589">
        <f>IF($E589="","",INDEX('Input Transaksi'!$E:$E,$E589))</f>
        <v/>
      </c>
      <c r="D589" s="5">
        <f>IF($E589="","",INDEX('Input Transaksi'!$F:$F,$E589))</f>
        <v/>
      </c>
      <c r="E589">
        <f>IFERROR(AGGREGATE(15,6,ROW('Input Transaksi'!$B$5:$B$5000)/('Input Transaksi'!$B$5:$B$5000="KLIN WASH"),ROWS($E$5:E589)),"")</f>
        <v/>
      </c>
      <c r="F589" s="5" t="n"/>
    </row>
    <row r="590">
      <c r="A590" s="10">
        <f>IF($E590="","",INDEX('Input Transaksi'!$A:$A,$E590))</f>
        <v/>
      </c>
      <c r="B590" s="5">
        <f>IF($E590="","",INDEX('Input Transaksi'!$D:$D,$E590))</f>
        <v/>
      </c>
      <c r="C590">
        <f>IF($E590="","",INDEX('Input Transaksi'!$E:$E,$E590))</f>
        <v/>
      </c>
      <c r="D590" s="5">
        <f>IF($E590="","",INDEX('Input Transaksi'!$F:$F,$E590))</f>
        <v/>
      </c>
      <c r="E590">
        <f>IFERROR(AGGREGATE(15,6,ROW('Input Transaksi'!$B$5:$B$5000)/('Input Transaksi'!$B$5:$B$5000="KLIN WASH"),ROWS($E$5:E590)),"")</f>
        <v/>
      </c>
      <c r="F590" s="5" t="n"/>
    </row>
    <row r="591">
      <c r="A591" s="10">
        <f>IF($E591="","",INDEX('Input Transaksi'!$A:$A,$E591))</f>
        <v/>
      </c>
      <c r="B591" s="5">
        <f>IF($E591="","",INDEX('Input Transaksi'!$D:$D,$E591))</f>
        <v/>
      </c>
      <c r="C591">
        <f>IF($E591="","",INDEX('Input Transaksi'!$E:$E,$E591))</f>
        <v/>
      </c>
      <c r="D591" s="5">
        <f>IF($E591="","",INDEX('Input Transaksi'!$F:$F,$E591))</f>
        <v/>
      </c>
      <c r="E591">
        <f>IFERROR(AGGREGATE(15,6,ROW('Input Transaksi'!$B$5:$B$5000)/('Input Transaksi'!$B$5:$B$5000="KLIN WASH"),ROWS($E$5:E591)),"")</f>
        <v/>
      </c>
      <c r="F591" s="5" t="n"/>
    </row>
    <row r="592">
      <c r="A592" s="10">
        <f>IF($E592="","",INDEX('Input Transaksi'!$A:$A,$E592))</f>
        <v/>
      </c>
      <c r="B592" s="5">
        <f>IF($E592="","",INDEX('Input Transaksi'!$D:$D,$E592))</f>
        <v/>
      </c>
      <c r="C592">
        <f>IF($E592="","",INDEX('Input Transaksi'!$E:$E,$E592))</f>
        <v/>
      </c>
      <c r="D592" s="5">
        <f>IF($E592="","",INDEX('Input Transaksi'!$F:$F,$E592))</f>
        <v/>
      </c>
      <c r="E592">
        <f>IFERROR(AGGREGATE(15,6,ROW('Input Transaksi'!$B$5:$B$5000)/('Input Transaksi'!$B$5:$B$5000="KLIN WASH"),ROWS($E$5:E592)),"")</f>
        <v/>
      </c>
      <c r="F592" s="5" t="n"/>
    </row>
    <row r="593">
      <c r="A593" s="10">
        <f>IF($E593="","",INDEX('Input Transaksi'!$A:$A,$E593))</f>
        <v/>
      </c>
      <c r="B593" s="5">
        <f>IF($E593="","",INDEX('Input Transaksi'!$D:$D,$E593))</f>
        <v/>
      </c>
      <c r="C593">
        <f>IF($E593="","",INDEX('Input Transaksi'!$E:$E,$E593))</f>
        <v/>
      </c>
      <c r="D593" s="5">
        <f>IF($E593="","",INDEX('Input Transaksi'!$F:$F,$E593))</f>
        <v/>
      </c>
      <c r="E593">
        <f>IFERROR(AGGREGATE(15,6,ROW('Input Transaksi'!$B$5:$B$5000)/('Input Transaksi'!$B$5:$B$5000="KLIN WASH"),ROWS($E$5:E593)),"")</f>
        <v/>
      </c>
      <c r="F593" s="5" t="n"/>
    </row>
    <row r="594">
      <c r="A594" s="10">
        <f>IF($E594="","",INDEX('Input Transaksi'!$A:$A,$E594))</f>
        <v/>
      </c>
      <c r="B594" s="5">
        <f>IF($E594="","",INDEX('Input Transaksi'!$D:$D,$E594))</f>
        <v/>
      </c>
      <c r="C594">
        <f>IF($E594="","",INDEX('Input Transaksi'!$E:$E,$E594))</f>
        <v/>
      </c>
      <c r="D594" s="5">
        <f>IF($E594="","",INDEX('Input Transaksi'!$F:$F,$E594))</f>
        <v/>
      </c>
      <c r="E594">
        <f>IFERROR(AGGREGATE(15,6,ROW('Input Transaksi'!$B$5:$B$5000)/('Input Transaksi'!$B$5:$B$5000="KLIN WASH"),ROWS($E$5:E594)),"")</f>
        <v/>
      </c>
      <c r="F594" s="5" t="n"/>
    </row>
    <row r="595">
      <c r="A595" s="10">
        <f>IF($E595="","",INDEX('Input Transaksi'!$A:$A,$E595))</f>
        <v/>
      </c>
      <c r="B595" s="5">
        <f>IF($E595="","",INDEX('Input Transaksi'!$D:$D,$E595))</f>
        <v/>
      </c>
      <c r="C595">
        <f>IF($E595="","",INDEX('Input Transaksi'!$E:$E,$E595))</f>
        <v/>
      </c>
      <c r="D595" s="5">
        <f>IF($E595="","",INDEX('Input Transaksi'!$F:$F,$E595))</f>
        <v/>
      </c>
      <c r="E595">
        <f>IFERROR(AGGREGATE(15,6,ROW('Input Transaksi'!$B$5:$B$5000)/('Input Transaksi'!$B$5:$B$5000="KLIN WASH"),ROWS($E$5:E595)),"")</f>
        <v/>
      </c>
      <c r="F595" s="5" t="n"/>
    </row>
    <row r="596">
      <c r="A596" s="10">
        <f>IF($E596="","",INDEX('Input Transaksi'!$A:$A,$E596))</f>
        <v/>
      </c>
      <c r="B596" s="5">
        <f>IF($E596="","",INDEX('Input Transaksi'!$D:$D,$E596))</f>
        <v/>
      </c>
      <c r="C596">
        <f>IF($E596="","",INDEX('Input Transaksi'!$E:$E,$E596))</f>
        <v/>
      </c>
      <c r="D596" s="5">
        <f>IF($E596="","",INDEX('Input Transaksi'!$F:$F,$E596))</f>
        <v/>
      </c>
      <c r="E596">
        <f>IFERROR(AGGREGATE(15,6,ROW('Input Transaksi'!$B$5:$B$5000)/('Input Transaksi'!$B$5:$B$5000="KLIN WASH"),ROWS($E$5:E596)),"")</f>
        <v/>
      </c>
      <c r="F596" s="5" t="n"/>
    </row>
    <row r="597">
      <c r="A597" s="10">
        <f>IF($E597="","",INDEX('Input Transaksi'!$A:$A,$E597))</f>
        <v/>
      </c>
      <c r="B597" s="5">
        <f>IF($E597="","",INDEX('Input Transaksi'!$D:$D,$E597))</f>
        <v/>
      </c>
      <c r="C597">
        <f>IF($E597="","",INDEX('Input Transaksi'!$E:$E,$E597))</f>
        <v/>
      </c>
      <c r="D597" s="5">
        <f>IF($E597="","",INDEX('Input Transaksi'!$F:$F,$E597))</f>
        <v/>
      </c>
      <c r="E597">
        <f>IFERROR(AGGREGATE(15,6,ROW('Input Transaksi'!$B$5:$B$5000)/('Input Transaksi'!$B$5:$B$5000="KLIN WASH"),ROWS($E$5:E597)),"")</f>
        <v/>
      </c>
      <c r="F597" s="5" t="n"/>
    </row>
    <row r="598">
      <c r="A598" s="10">
        <f>IF($E598="","",INDEX('Input Transaksi'!$A:$A,$E598))</f>
        <v/>
      </c>
      <c r="B598" s="5">
        <f>IF($E598="","",INDEX('Input Transaksi'!$D:$D,$E598))</f>
        <v/>
      </c>
      <c r="C598">
        <f>IF($E598="","",INDEX('Input Transaksi'!$E:$E,$E598))</f>
        <v/>
      </c>
      <c r="D598" s="5">
        <f>IF($E598="","",INDEX('Input Transaksi'!$F:$F,$E598))</f>
        <v/>
      </c>
      <c r="E598">
        <f>IFERROR(AGGREGATE(15,6,ROW('Input Transaksi'!$B$5:$B$5000)/('Input Transaksi'!$B$5:$B$5000="KLIN WASH"),ROWS($E$5:E598)),"")</f>
        <v/>
      </c>
      <c r="F598" s="5" t="n"/>
    </row>
    <row r="599">
      <c r="A599" s="10">
        <f>IF($E599="","",INDEX('Input Transaksi'!$A:$A,$E599))</f>
        <v/>
      </c>
      <c r="B599" s="5">
        <f>IF($E599="","",INDEX('Input Transaksi'!$D:$D,$E599))</f>
        <v/>
      </c>
      <c r="C599">
        <f>IF($E599="","",INDEX('Input Transaksi'!$E:$E,$E599))</f>
        <v/>
      </c>
      <c r="D599" s="5">
        <f>IF($E599="","",INDEX('Input Transaksi'!$F:$F,$E599))</f>
        <v/>
      </c>
      <c r="E599">
        <f>IFERROR(AGGREGATE(15,6,ROW('Input Transaksi'!$B$5:$B$5000)/('Input Transaksi'!$B$5:$B$5000="KLIN WASH"),ROWS($E$5:E599)),"")</f>
        <v/>
      </c>
      <c r="F599" s="5" t="n"/>
    </row>
    <row r="600">
      <c r="A600" s="10">
        <f>IF($E600="","",INDEX('Input Transaksi'!$A:$A,$E600))</f>
        <v/>
      </c>
      <c r="B600" s="5">
        <f>IF($E600="","",INDEX('Input Transaksi'!$D:$D,$E600))</f>
        <v/>
      </c>
      <c r="C600">
        <f>IF($E600="","",INDEX('Input Transaksi'!$E:$E,$E600))</f>
        <v/>
      </c>
      <c r="D600" s="5">
        <f>IF($E600="","",INDEX('Input Transaksi'!$F:$F,$E600))</f>
        <v/>
      </c>
      <c r="E600">
        <f>IFERROR(AGGREGATE(15,6,ROW('Input Transaksi'!$B$5:$B$5000)/('Input Transaksi'!$B$5:$B$5000="KLIN WASH"),ROWS($E$5:E600)),"")</f>
        <v/>
      </c>
      <c r="F600" s="5" t="n"/>
    </row>
    <row r="601">
      <c r="A601" s="10">
        <f>IF($E601="","",INDEX('Input Transaksi'!$A:$A,$E601))</f>
        <v/>
      </c>
      <c r="B601" s="5">
        <f>IF($E601="","",INDEX('Input Transaksi'!$D:$D,$E601))</f>
        <v/>
      </c>
      <c r="C601">
        <f>IF($E601="","",INDEX('Input Transaksi'!$E:$E,$E601))</f>
        <v/>
      </c>
      <c r="D601" s="5">
        <f>IF($E601="","",INDEX('Input Transaksi'!$F:$F,$E601))</f>
        <v/>
      </c>
      <c r="E601">
        <f>IFERROR(AGGREGATE(15,6,ROW('Input Transaksi'!$B$5:$B$5000)/('Input Transaksi'!$B$5:$B$5000="KLIN WASH"),ROWS($E$5:E601)),"")</f>
        <v/>
      </c>
      <c r="F601" s="5" t="n"/>
    </row>
    <row r="602">
      <c r="A602" s="10">
        <f>IF($E602="","",INDEX('Input Transaksi'!$A:$A,$E602))</f>
        <v/>
      </c>
      <c r="B602" s="5">
        <f>IF($E602="","",INDEX('Input Transaksi'!$D:$D,$E602))</f>
        <v/>
      </c>
      <c r="C602">
        <f>IF($E602="","",INDEX('Input Transaksi'!$E:$E,$E602))</f>
        <v/>
      </c>
      <c r="D602" s="5">
        <f>IF($E602="","",INDEX('Input Transaksi'!$F:$F,$E602))</f>
        <v/>
      </c>
      <c r="E602">
        <f>IFERROR(AGGREGATE(15,6,ROW('Input Transaksi'!$B$5:$B$5000)/('Input Transaksi'!$B$5:$B$5000="KLIN WASH"),ROWS($E$5:E602)),"")</f>
        <v/>
      </c>
      <c r="F602" s="5" t="n"/>
    </row>
    <row r="603">
      <c r="A603" s="10">
        <f>IF($E603="","",INDEX('Input Transaksi'!$A:$A,$E603))</f>
        <v/>
      </c>
      <c r="B603" s="5">
        <f>IF($E603="","",INDEX('Input Transaksi'!$D:$D,$E603))</f>
        <v/>
      </c>
      <c r="C603">
        <f>IF($E603="","",INDEX('Input Transaksi'!$E:$E,$E603))</f>
        <v/>
      </c>
      <c r="D603" s="5">
        <f>IF($E603="","",INDEX('Input Transaksi'!$F:$F,$E603))</f>
        <v/>
      </c>
      <c r="E603">
        <f>IFERROR(AGGREGATE(15,6,ROW('Input Transaksi'!$B$5:$B$5000)/('Input Transaksi'!$B$5:$B$5000="KLIN WASH"),ROWS($E$5:E603)),"")</f>
        <v/>
      </c>
      <c r="F603" s="5" t="n"/>
    </row>
    <row r="604">
      <c r="A604" s="10">
        <f>IF($E604="","",INDEX('Input Transaksi'!$A:$A,$E604))</f>
        <v/>
      </c>
      <c r="B604" s="5">
        <f>IF($E604="","",INDEX('Input Transaksi'!$D:$D,$E604))</f>
        <v/>
      </c>
      <c r="C604">
        <f>IF($E604="","",INDEX('Input Transaksi'!$E:$E,$E604))</f>
        <v/>
      </c>
      <c r="D604" s="5">
        <f>IF($E604="","",INDEX('Input Transaksi'!$F:$F,$E604))</f>
        <v/>
      </c>
      <c r="E604">
        <f>IFERROR(AGGREGATE(15,6,ROW('Input Transaksi'!$B$5:$B$5000)/('Input Transaksi'!$B$5:$B$5000="KLIN WASH"),ROWS($E$5:E604)),"")</f>
        <v/>
      </c>
      <c r="F604" s="5" t="n"/>
    </row>
    <row r="605">
      <c r="A605" s="10">
        <f>IF($E605="","",INDEX('Input Transaksi'!$A:$A,$E605))</f>
        <v/>
      </c>
      <c r="B605" s="5">
        <f>IF($E605="","",INDEX('Input Transaksi'!$D:$D,$E605))</f>
        <v/>
      </c>
      <c r="C605">
        <f>IF($E605="","",INDEX('Input Transaksi'!$E:$E,$E605))</f>
        <v/>
      </c>
      <c r="D605" s="5">
        <f>IF($E605="","",INDEX('Input Transaksi'!$F:$F,$E605))</f>
        <v/>
      </c>
      <c r="E605">
        <f>IFERROR(AGGREGATE(15,6,ROW('Input Transaksi'!$B$5:$B$5000)/('Input Transaksi'!$B$5:$B$5000="KLIN WASH"),ROWS($E$5:E605)),"")</f>
        <v/>
      </c>
      <c r="F605" s="5" t="n"/>
    </row>
    <row r="606">
      <c r="A606" s="10">
        <f>IF($E606="","",INDEX('Input Transaksi'!$A:$A,$E606))</f>
        <v/>
      </c>
      <c r="B606" s="5">
        <f>IF($E606="","",INDEX('Input Transaksi'!$D:$D,$E606))</f>
        <v/>
      </c>
      <c r="C606">
        <f>IF($E606="","",INDEX('Input Transaksi'!$E:$E,$E606))</f>
        <v/>
      </c>
      <c r="D606" s="5">
        <f>IF($E606="","",INDEX('Input Transaksi'!$F:$F,$E606))</f>
        <v/>
      </c>
      <c r="E606">
        <f>IFERROR(AGGREGATE(15,6,ROW('Input Transaksi'!$B$5:$B$5000)/('Input Transaksi'!$B$5:$B$5000="KLIN WASH"),ROWS($E$5:E606)),"")</f>
        <v/>
      </c>
      <c r="F606" s="5" t="n"/>
    </row>
    <row r="607">
      <c r="A607" s="10">
        <f>IF($E607="","",INDEX('Input Transaksi'!$A:$A,$E607))</f>
        <v/>
      </c>
      <c r="B607" s="5">
        <f>IF($E607="","",INDEX('Input Transaksi'!$D:$D,$E607))</f>
        <v/>
      </c>
      <c r="C607">
        <f>IF($E607="","",INDEX('Input Transaksi'!$E:$E,$E607))</f>
        <v/>
      </c>
      <c r="D607" s="5">
        <f>IF($E607="","",INDEX('Input Transaksi'!$F:$F,$E607))</f>
        <v/>
      </c>
      <c r="E607">
        <f>IFERROR(AGGREGATE(15,6,ROW('Input Transaksi'!$B$5:$B$5000)/('Input Transaksi'!$B$5:$B$5000="KLIN WASH"),ROWS($E$5:E607)),"")</f>
        <v/>
      </c>
      <c r="F607" s="5" t="n"/>
    </row>
    <row r="608">
      <c r="A608" s="10">
        <f>IF($E608="","",INDEX('Input Transaksi'!$A:$A,$E608))</f>
        <v/>
      </c>
      <c r="B608" s="5">
        <f>IF($E608="","",INDEX('Input Transaksi'!$D:$D,$E608))</f>
        <v/>
      </c>
      <c r="C608">
        <f>IF($E608="","",INDEX('Input Transaksi'!$E:$E,$E608))</f>
        <v/>
      </c>
      <c r="D608" s="5">
        <f>IF($E608="","",INDEX('Input Transaksi'!$F:$F,$E608))</f>
        <v/>
      </c>
      <c r="E608">
        <f>IFERROR(AGGREGATE(15,6,ROW('Input Transaksi'!$B$5:$B$5000)/('Input Transaksi'!$B$5:$B$5000="KLIN WASH"),ROWS($E$5:E608)),"")</f>
        <v/>
      </c>
      <c r="F608" s="5" t="n"/>
    </row>
    <row r="609">
      <c r="A609" s="10">
        <f>IF($E609="","",INDEX('Input Transaksi'!$A:$A,$E609))</f>
        <v/>
      </c>
      <c r="B609" s="5">
        <f>IF($E609="","",INDEX('Input Transaksi'!$D:$D,$E609))</f>
        <v/>
      </c>
      <c r="C609">
        <f>IF($E609="","",INDEX('Input Transaksi'!$E:$E,$E609))</f>
        <v/>
      </c>
      <c r="D609" s="5">
        <f>IF($E609="","",INDEX('Input Transaksi'!$F:$F,$E609))</f>
        <v/>
      </c>
      <c r="E609">
        <f>IFERROR(AGGREGATE(15,6,ROW('Input Transaksi'!$B$5:$B$5000)/('Input Transaksi'!$B$5:$B$5000="KLIN WASH"),ROWS($E$5:E609)),"")</f>
        <v/>
      </c>
      <c r="F609" s="5" t="n"/>
    </row>
    <row r="610">
      <c r="A610" s="10">
        <f>IF($E610="","",INDEX('Input Transaksi'!$A:$A,$E610))</f>
        <v/>
      </c>
      <c r="B610" s="5">
        <f>IF($E610="","",INDEX('Input Transaksi'!$D:$D,$E610))</f>
        <v/>
      </c>
      <c r="C610">
        <f>IF($E610="","",INDEX('Input Transaksi'!$E:$E,$E610))</f>
        <v/>
      </c>
      <c r="D610" s="5">
        <f>IF($E610="","",INDEX('Input Transaksi'!$F:$F,$E610))</f>
        <v/>
      </c>
      <c r="E610">
        <f>IFERROR(AGGREGATE(15,6,ROW('Input Transaksi'!$B$5:$B$5000)/('Input Transaksi'!$B$5:$B$5000="KLIN WASH"),ROWS($E$5:E610)),"")</f>
        <v/>
      </c>
      <c r="F610" s="5" t="n"/>
    </row>
    <row r="611">
      <c r="A611" s="10">
        <f>IF($E611="","",INDEX('Input Transaksi'!$A:$A,$E611))</f>
        <v/>
      </c>
      <c r="B611" s="5">
        <f>IF($E611="","",INDEX('Input Transaksi'!$D:$D,$E611))</f>
        <v/>
      </c>
      <c r="C611">
        <f>IF($E611="","",INDEX('Input Transaksi'!$E:$E,$E611))</f>
        <v/>
      </c>
      <c r="D611" s="5">
        <f>IF($E611="","",INDEX('Input Transaksi'!$F:$F,$E611))</f>
        <v/>
      </c>
      <c r="E611">
        <f>IFERROR(AGGREGATE(15,6,ROW('Input Transaksi'!$B$5:$B$5000)/('Input Transaksi'!$B$5:$B$5000="KLIN WASH"),ROWS($E$5:E611)),"")</f>
        <v/>
      </c>
      <c r="F611" s="5" t="n"/>
    </row>
    <row r="612">
      <c r="A612" s="10">
        <f>IF($E612="","",INDEX('Input Transaksi'!$A:$A,$E612))</f>
        <v/>
      </c>
      <c r="B612" s="5">
        <f>IF($E612="","",INDEX('Input Transaksi'!$D:$D,$E612))</f>
        <v/>
      </c>
      <c r="C612">
        <f>IF($E612="","",INDEX('Input Transaksi'!$E:$E,$E612))</f>
        <v/>
      </c>
      <c r="D612" s="5">
        <f>IF($E612="","",INDEX('Input Transaksi'!$F:$F,$E612))</f>
        <v/>
      </c>
      <c r="E612">
        <f>IFERROR(AGGREGATE(15,6,ROW('Input Transaksi'!$B$5:$B$5000)/('Input Transaksi'!$B$5:$B$5000="KLIN WASH"),ROWS($E$5:E612)),"")</f>
        <v/>
      </c>
      <c r="F612" s="5" t="n"/>
    </row>
    <row r="613">
      <c r="A613" s="10">
        <f>IF($E613="","",INDEX('Input Transaksi'!$A:$A,$E613))</f>
        <v/>
      </c>
      <c r="B613" s="5">
        <f>IF($E613="","",INDEX('Input Transaksi'!$D:$D,$E613))</f>
        <v/>
      </c>
      <c r="C613">
        <f>IF($E613="","",INDEX('Input Transaksi'!$E:$E,$E613))</f>
        <v/>
      </c>
      <c r="D613" s="5">
        <f>IF($E613="","",INDEX('Input Transaksi'!$F:$F,$E613))</f>
        <v/>
      </c>
      <c r="E613">
        <f>IFERROR(AGGREGATE(15,6,ROW('Input Transaksi'!$B$5:$B$5000)/('Input Transaksi'!$B$5:$B$5000="KLIN WASH"),ROWS($E$5:E613)),"")</f>
        <v/>
      </c>
      <c r="F613" s="5" t="n"/>
    </row>
    <row r="614">
      <c r="A614" s="10">
        <f>IF($E614="","",INDEX('Input Transaksi'!$A:$A,$E614))</f>
        <v/>
      </c>
      <c r="B614" s="5">
        <f>IF($E614="","",INDEX('Input Transaksi'!$D:$D,$E614))</f>
        <v/>
      </c>
      <c r="C614">
        <f>IF($E614="","",INDEX('Input Transaksi'!$E:$E,$E614))</f>
        <v/>
      </c>
      <c r="D614" s="5">
        <f>IF($E614="","",INDEX('Input Transaksi'!$F:$F,$E614))</f>
        <v/>
      </c>
      <c r="E614">
        <f>IFERROR(AGGREGATE(15,6,ROW('Input Transaksi'!$B$5:$B$5000)/('Input Transaksi'!$B$5:$B$5000="KLIN WASH"),ROWS($E$5:E614)),"")</f>
        <v/>
      </c>
      <c r="F614" s="5" t="n"/>
    </row>
    <row r="615">
      <c r="A615" s="10">
        <f>IF($E615="","",INDEX('Input Transaksi'!$A:$A,$E615))</f>
        <v/>
      </c>
      <c r="B615" s="5">
        <f>IF($E615="","",INDEX('Input Transaksi'!$D:$D,$E615))</f>
        <v/>
      </c>
      <c r="C615">
        <f>IF($E615="","",INDEX('Input Transaksi'!$E:$E,$E615))</f>
        <v/>
      </c>
      <c r="D615" s="5">
        <f>IF($E615="","",INDEX('Input Transaksi'!$F:$F,$E615))</f>
        <v/>
      </c>
      <c r="E615">
        <f>IFERROR(AGGREGATE(15,6,ROW('Input Transaksi'!$B$5:$B$5000)/('Input Transaksi'!$B$5:$B$5000="KLIN WASH"),ROWS($E$5:E615)),"")</f>
        <v/>
      </c>
      <c r="F615" s="5" t="n"/>
    </row>
    <row r="616">
      <c r="A616" s="10">
        <f>IF($E616="","",INDEX('Input Transaksi'!$A:$A,$E616))</f>
        <v/>
      </c>
      <c r="B616" s="5">
        <f>IF($E616="","",INDEX('Input Transaksi'!$D:$D,$E616))</f>
        <v/>
      </c>
      <c r="C616">
        <f>IF($E616="","",INDEX('Input Transaksi'!$E:$E,$E616))</f>
        <v/>
      </c>
      <c r="D616" s="5">
        <f>IF($E616="","",INDEX('Input Transaksi'!$F:$F,$E616))</f>
        <v/>
      </c>
      <c r="E616">
        <f>IFERROR(AGGREGATE(15,6,ROW('Input Transaksi'!$B$5:$B$5000)/('Input Transaksi'!$B$5:$B$5000="KLIN WASH"),ROWS($E$5:E616)),"")</f>
        <v/>
      </c>
      <c r="F616" s="5" t="n"/>
    </row>
    <row r="617">
      <c r="A617" s="10">
        <f>IF($E617="","",INDEX('Input Transaksi'!$A:$A,$E617))</f>
        <v/>
      </c>
      <c r="B617" s="5">
        <f>IF($E617="","",INDEX('Input Transaksi'!$D:$D,$E617))</f>
        <v/>
      </c>
      <c r="C617">
        <f>IF($E617="","",INDEX('Input Transaksi'!$E:$E,$E617))</f>
        <v/>
      </c>
      <c r="D617" s="5">
        <f>IF($E617="","",INDEX('Input Transaksi'!$F:$F,$E617))</f>
        <v/>
      </c>
      <c r="E617">
        <f>IFERROR(AGGREGATE(15,6,ROW('Input Transaksi'!$B$5:$B$5000)/('Input Transaksi'!$B$5:$B$5000="KLIN WASH"),ROWS($E$5:E617)),"")</f>
        <v/>
      </c>
      <c r="F617" s="5" t="n"/>
    </row>
    <row r="618">
      <c r="A618" s="10">
        <f>IF($E618="","",INDEX('Input Transaksi'!$A:$A,$E618))</f>
        <v/>
      </c>
      <c r="B618" s="5">
        <f>IF($E618="","",INDEX('Input Transaksi'!$D:$D,$E618))</f>
        <v/>
      </c>
      <c r="C618">
        <f>IF($E618="","",INDEX('Input Transaksi'!$E:$E,$E618))</f>
        <v/>
      </c>
      <c r="D618" s="5">
        <f>IF($E618="","",INDEX('Input Transaksi'!$F:$F,$E618))</f>
        <v/>
      </c>
      <c r="E618">
        <f>IFERROR(AGGREGATE(15,6,ROW('Input Transaksi'!$B$5:$B$5000)/('Input Transaksi'!$B$5:$B$5000="KLIN WASH"),ROWS($E$5:E618)),"")</f>
        <v/>
      </c>
      <c r="F618" s="5" t="n"/>
    </row>
    <row r="619">
      <c r="A619" s="10">
        <f>IF($E619="","",INDEX('Input Transaksi'!$A:$A,$E619))</f>
        <v/>
      </c>
      <c r="B619" s="5">
        <f>IF($E619="","",INDEX('Input Transaksi'!$D:$D,$E619))</f>
        <v/>
      </c>
      <c r="C619">
        <f>IF($E619="","",INDEX('Input Transaksi'!$E:$E,$E619))</f>
        <v/>
      </c>
      <c r="D619" s="5">
        <f>IF($E619="","",INDEX('Input Transaksi'!$F:$F,$E619))</f>
        <v/>
      </c>
      <c r="E619">
        <f>IFERROR(AGGREGATE(15,6,ROW('Input Transaksi'!$B$5:$B$5000)/('Input Transaksi'!$B$5:$B$5000="KLIN WASH"),ROWS($E$5:E619)),"")</f>
        <v/>
      </c>
      <c r="F619" s="5" t="n"/>
    </row>
    <row r="620">
      <c r="A620" s="10">
        <f>IF($E620="","",INDEX('Input Transaksi'!$A:$A,$E620))</f>
        <v/>
      </c>
      <c r="B620" s="5">
        <f>IF($E620="","",INDEX('Input Transaksi'!$D:$D,$E620))</f>
        <v/>
      </c>
      <c r="C620">
        <f>IF($E620="","",INDEX('Input Transaksi'!$E:$E,$E620))</f>
        <v/>
      </c>
      <c r="D620" s="5">
        <f>IF($E620="","",INDEX('Input Transaksi'!$F:$F,$E620))</f>
        <v/>
      </c>
      <c r="E620">
        <f>IFERROR(AGGREGATE(15,6,ROW('Input Transaksi'!$B$5:$B$5000)/('Input Transaksi'!$B$5:$B$5000="KLIN WASH"),ROWS($E$5:E620)),"")</f>
        <v/>
      </c>
      <c r="F620" s="5" t="n"/>
    </row>
    <row r="621">
      <c r="A621" s="10">
        <f>IF($E621="","",INDEX('Input Transaksi'!$A:$A,$E621))</f>
        <v/>
      </c>
      <c r="B621" s="5">
        <f>IF($E621="","",INDEX('Input Transaksi'!$D:$D,$E621))</f>
        <v/>
      </c>
      <c r="C621">
        <f>IF($E621="","",INDEX('Input Transaksi'!$E:$E,$E621))</f>
        <v/>
      </c>
      <c r="D621" s="5">
        <f>IF($E621="","",INDEX('Input Transaksi'!$F:$F,$E621))</f>
        <v/>
      </c>
      <c r="E621">
        <f>IFERROR(AGGREGATE(15,6,ROW('Input Transaksi'!$B$5:$B$5000)/('Input Transaksi'!$B$5:$B$5000="KLIN WASH"),ROWS($E$5:E621)),"")</f>
        <v/>
      </c>
      <c r="F621" s="5" t="n"/>
    </row>
    <row r="622">
      <c r="A622" s="10">
        <f>IF($E622="","",INDEX('Input Transaksi'!$A:$A,$E622))</f>
        <v/>
      </c>
      <c r="B622" s="5">
        <f>IF($E622="","",INDEX('Input Transaksi'!$D:$D,$E622))</f>
        <v/>
      </c>
      <c r="C622">
        <f>IF($E622="","",INDEX('Input Transaksi'!$E:$E,$E622))</f>
        <v/>
      </c>
      <c r="D622" s="5">
        <f>IF($E622="","",INDEX('Input Transaksi'!$F:$F,$E622))</f>
        <v/>
      </c>
      <c r="E622">
        <f>IFERROR(AGGREGATE(15,6,ROW('Input Transaksi'!$B$5:$B$5000)/('Input Transaksi'!$B$5:$B$5000="KLIN WASH"),ROWS($E$5:E622)),"")</f>
        <v/>
      </c>
      <c r="F622" s="5" t="n"/>
    </row>
    <row r="623">
      <c r="A623" s="10">
        <f>IF($E623="","",INDEX('Input Transaksi'!$A:$A,$E623))</f>
        <v/>
      </c>
      <c r="B623" s="5">
        <f>IF($E623="","",INDEX('Input Transaksi'!$D:$D,$E623))</f>
        <v/>
      </c>
      <c r="C623">
        <f>IF($E623="","",INDEX('Input Transaksi'!$E:$E,$E623))</f>
        <v/>
      </c>
      <c r="D623" s="5">
        <f>IF($E623="","",INDEX('Input Transaksi'!$F:$F,$E623))</f>
        <v/>
      </c>
      <c r="E623">
        <f>IFERROR(AGGREGATE(15,6,ROW('Input Transaksi'!$B$5:$B$5000)/('Input Transaksi'!$B$5:$B$5000="KLIN WASH"),ROWS($E$5:E623)),"")</f>
        <v/>
      </c>
      <c r="F623" s="5" t="n"/>
    </row>
    <row r="624">
      <c r="A624" s="10">
        <f>IF($E624="","",INDEX('Input Transaksi'!$A:$A,$E624))</f>
        <v/>
      </c>
      <c r="B624" s="5">
        <f>IF($E624="","",INDEX('Input Transaksi'!$D:$D,$E624))</f>
        <v/>
      </c>
      <c r="C624">
        <f>IF($E624="","",INDEX('Input Transaksi'!$E:$E,$E624))</f>
        <v/>
      </c>
      <c r="D624" s="5">
        <f>IF($E624="","",INDEX('Input Transaksi'!$F:$F,$E624))</f>
        <v/>
      </c>
      <c r="E624">
        <f>IFERROR(AGGREGATE(15,6,ROW('Input Transaksi'!$B$5:$B$5000)/('Input Transaksi'!$B$5:$B$5000="KLIN WASH"),ROWS($E$5:E624)),"")</f>
        <v/>
      </c>
      <c r="F624" s="5" t="n"/>
    </row>
    <row r="625">
      <c r="A625" s="10">
        <f>IF($E625="","",INDEX('Input Transaksi'!$A:$A,$E625))</f>
        <v/>
      </c>
      <c r="B625" s="5">
        <f>IF($E625="","",INDEX('Input Transaksi'!$D:$D,$E625))</f>
        <v/>
      </c>
      <c r="C625">
        <f>IF($E625="","",INDEX('Input Transaksi'!$E:$E,$E625))</f>
        <v/>
      </c>
      <c r="D625" s="5">
        <f>IF($E625="","",INDEX('Input Transaksi'!$F:$F,$E625))</f>
        <v/>
      </c>
      <c r="E625">
        <f>IFERROR(AGGREGATE(15,6,ROW('Input Transaksi'!$B$5:$B$5000)/('Input Transaksi'!$B$5:$B$5000="KLIN WASH"),ROWS($E$5:E625)),"")</f>
        <v/>
      </c>
      <c r="F625" s="5" t="n"/>
    </row>
    <row r="626">
      <c r="A626" s="10">
        <f>IF($E626="","",INDEX('Input Transaksi'!$A:$A,$E626))</f>
        <v/>
      </c>
      <c r="B626" s="5">
        <f>IF($E626="","",INDEX('Input Transaksi'!$D:$D,$E626))</f>
        <v/>
      </c>
      <c r="C626">
        <f>IF($E626="","",INDEX('Input Transaksi'!$E:$E,$E626))</f>
        <v/>
      </c>
      <c r="D626" s="5">
        <f>IF($E626="","",INDEX('Input Transaksi'!$F:$F,$E626))</f>
        <v/>
      </c>
      <c r="E626">
        <f>IFERROR(AGGREGATE(15,6,ROW('Input Transaksi'!$B$5:$B$5000)/('Input Transaksi'!$B$5:$B$5000="KLIN WASH"),ROWS($E$5:E626)),"")</f>
        <v/>
      </c>
      <c r="F626" s="5" t="n"/>
    </row>
    <row r="627">
      <c r="A627" s="10">
        <f>IF($E627="","",INDEX('Input Transaksi'!$A:$A,$E627))</f>
        <v/>
      </c>
      <c r="B627" s="5">
        <f>IF($E627="","",INDEX('Input Transaksi'!$D:$D,$E627))</f>
        <v/>
      </c>
      <c r="C627">
        <f>IF($E627="","",INDEX('Input Transaksi'!$E:$E,$E627))</f>
        <v/>
      </c>
      <c r="D627" s="5">
        <f>IF($E627="","",INDEX('Input Transaksi'!$F:$F,$E627))</f>
        <v/>
      </c>
      <c r="E627">
        <f>IFERROR(AGGREGATE(15,6,ROW('Input Transaksi'!$B$5:$B$5000)/('Input Transaksi'!$B$5:$B$5000="KLIN WASH"),ROWS($E$5:E627)),"")</f>
        <v/>
      </c>
      <c r="F627" s="5" t="n"/>
    </row>
    <row r="628">
      <c r="A628" s="10">
        <f>IF($E628="","",INDEX('Input Transaksi'!$A:$A,$E628))</f>
        <v/>
      </c>
      <c r="B628" s="5">
        <f>IF($E628="","",INDEX('Input Transaksi'!$D:$D,$E628))</f>
        <v/>
      </c>
      <c r="C628">
        <f>IF($E628="","",INDEX('Input Transaksi'!$E:$E,$E628))</f>
        <v/>
      </c>
      <c r="D628" s="5">
        <f>IF($E628="","",INDEX('Input Transaksi'!$F:$F,$E628))</f>
        <v/>
      </c>
      <c r="E628">
        <f>IFERROR(AGGREGATE(15,6,ROW('Input Transaksi'!$B$5:$B$5000)/('Input Transaksi'!$B$5:$B$5000="KLIN WASH"),ROWS($E$5:E628)),"")</f>
        <v/>
      </c>
      <c r="F628" s="5" t="n"/>
    </row>
    <row r="629">
      <c r="A629" s="10">
        <f>IF($E629="","",INDEX('Input Transaksi'!$A:$A,$E629))</f>
        <v/>
      </c>
      <c r="B629" s="5">
        <f>IF($E629="","",INDEX('Input Transaksi'!$D:$D,$E629))</f>
        <v/>
      </c>
      <c r="C629">
        <f>IF($E629="","",INDEX('Input Transaksi'!$E:$E,$E629))</f>
        <v/>
      </c>
      <c r="D629" s="5">
        <f>IF($E629="","",INDEX('Input Transaksi'!$F:$F,$E629))</f>
        <v/>
      </c>
      <c r="E629">
        <f>IFERROR(AGGREGATE(15,6,ROW('Input Transaksi'!$B$5:$B$5000)/('Input Transaksi'!$B$5:$B$5000="KLIN WASH"),ROWS($E$5:E629)),"")</f>
        <v/>
      </c>
      <c r="F629" s="5" t="n"/>
    </row>
    <row r="630">
      <c r="A630" s="10">
        <f>IF($E630="","",INDEX('Input Transaksi'!$A:$A,$E630))</f>
        <v/>
      </c>
      <c r="B630" s="5">
        <f>IF($E630="","",INDEX('Input Transaksi'!$D:$D,$E630))</f>
        <v/>
      </c>
      <c r="C630">
        <f>IF($E630="","",INDEX('Input Transaksi'!$E:$E,$E630))</f>
        <v/>
      </c>
      <c r="D630" s="5">
        <f>IF($E630="","",INDEX('Input Transaksi'!$F:$F,$E630))</f>
        <v/>
      </c>
      <c r="E630">
        <f>IFERROR(AGGREGATE(15,6,ROW('Input Transaksi'!$B$5:$B$5000)/('Input Transaksi'!$B$5:$B$5000="KLIN WASH"),ROWS($E$5:E630)),"")</f>
        <v/>
      </c>
      <c r="F630" s="5" t="n"/>
    </row>
    <row r="631">
      <c r="A631" s="10">
        <f>IF($E631="","",INDEX('Input Transaksi'!$A:$A,$E631))</f>
        <v/>
      </c>
      <c r="B631" s="5">
        <f>IF($E631="","",INDEX('Input Transaksi'!$D:$D,$E631))</f>
        <v/>
      </c>
      <c r="C631">
        <f>IF($E631="","",INDEX('Input Transaksi'!$E:$E,$E631))</f>
        <v/>
      </c>
      <c r="D631" s="5">
        <f>IF($E631="","",INDEX('Input Transaksi'!$F:$F,$E631))</f>
        <v/>
      </c>
      <c r="E631">
        <f>IFERROR(AGGREGATE(15,6,ROW('Input Transaksi'!$B$5:$B$5000)/('Input Transaksi'!$B$5:$B$5000="KLIN WASH"),ROWS($E$5:E631)),"")</f>
        <v/>
      </c>
      <c r="F631" s="5" t="n"/>
    </row>
    <row r="632">
      <c r="A632" s="10">
        <f>IF($E632="","",INDEX('Input Transaksi'!$A:$A,$E632))</f>
        <v/>
      </c>
      <c r="B632" s="5">
        <f>IF($E632="","",INDEX('Input Transaksi'!$D:$D,$E632))</f>
        <v/>
      </c>
      <c r="C632">
        <f>IF($E632="","",INDEX('Input Transaksi'!$E:$E,$E632))</f>
        <v/>
      </c>
      <c r="D632" s="5">
        <f>IF($E632="","",INDEX('Input Transaksi'!$F:$F,$E632))</f>
        <v/>
      </c>
      <c r="E632">
        <f>IFERROR(AGGREGATE(15,6,ROW('Input Transaksi'!$B$5:$B$5000)/('Input Transaksi'!$B$5:$B$5000="KLIN WASH"),ROWS($E$5:E632)),"")</f>
        <v/>
      </c>
      <c r="F632" s="5" t="n"/>
    </row>
    <row r="633">
      <c r="A633" s="10">
        <f>IF($E633="","",INDEX('Input Transaksi'!$A:$A,$E633))</f>
        <v/>
      </c>
      <c r="B633" s="5">
        <f>IF($E633="","",INDEX('Input Transaksi'!$D:$D,$E633))</f>
        <v/>
      </c>
      <c r="C633">
        <f>IF($E633="","",INDEX('Input Transaksi'!$E:$E,$E633))</f>
        <v/>
      </c>
      <c r="D633" s="5">
        <f>IF($E633="","",INDEX('Input Transaksi'!$F:$F,$E633))</f>
        <v/>
      </c>
      <c r="E633">
        <f>IFERROR(AGGREGATE(15,6,ROW('Input Transaksi'!$B$5:$B$5000)/('Input Transaksi'!$B$5:$B$5000="KLIN WASH"),ROWS($E$5:E633)),"")</f>
        <v/>
      </c>
      <c r="F633" s="5" t="n"/>
    </row>
    <row r="634">
      <c r="A634" s="10">
        <f>IF($E634="","",INDEX('Input Transaksi'!$A:$A,$E634))</f>
        <v/>
      </c>
      <c r="B634" s="5">
        <f>IF($E634="","",INDEX('Input Transaksi'!$D:$D,$E634))</f>
        <v/>
      </c>
      <c r="C634">
        <f>IF($E634="","",INDEX('Input Transaksi'!$E:$E,$E634))</f>
        <v/>
      </c>
      <c r="D634" s="5">
        <f>IF($E634="","",INDEX('Input Transaksi'!$F:$F,$E634))</f>
        <v/>
      </c>
      <c r="E634">
        <f>IFERROR(AGGREGATE(15,6,ROW('Input Transaksi'!$B$5:$B$5000)/('Input Transaksi'!$B$5:$B$5000="KLIN WASH"),ROWS($E$5:E634)),"")</f>
        <v/>
      </c>
      <c r="F634" s="5" t="n"/>
    </row>
    <row r="635">
      <c r="A635" s="10">
        <f>IF($E635="","",INDEX('Input Transaksi'!$A:$A,$E635))</f>
        <v/>
      </c>
      <c r="B635" s="5">
        <f>IF($E635="","",INDEX('Input Transaksi'!$D:$D,$E635))</f>
        <v/>
      </c>
      <c r="C635">
        <f>IF($E635="","",INDEX('Input Transaksi'!$E:$E,$E635))</f>
        <v/>
      </c>
      <c r="D635" s="5">
        <f>IF($E635="","",INDEX('Input Transaksi'!$F:$F,$E635))</f>
        <v/>
      </c>
      <c r="E635">
        <f>IFERROR(AGGREGATE(15,6,ROW('Input Transaksi'!$B$5:$B$5000)/('Input Transaksi'!$B$5:$B$5000="KLIN WASH"),ROWS($E$5:E635)),"")</f>
        <v/>
      </c>
      <c r="F635" s="5" t="n"/>
    </row>
    <row r="636">
      <c r="A636" s="10">
        <f>IF($E636="","",INDEX('Input Transaksi'!$A:$A,$E636))</f>
        <v/>
      </c>
      <c r="B636" s="5">
        <f>IF($E636="","",INDEX('Input Transaksi'!$D:$D,$E636))</f>
        <v/>
      </c>
      <c r="C636">
        <f>IF($E636="","",INDEX('Input Transaksi'!$E:$E,$E636))</f>
        <v/>
      </c>
      <c r="D636" s="5">
        <f>IF($E636="","",INDEX('Input Transaksi'!$F:$F,$E636))</f>
        <v/>
      </c>
      <c r="E636">
        <f>IFERROR(AGGREGATE(15,6,ROW('Input Transaksi'!$B$5:$B$5000)/('Input Transaksi'!$B$5:$B$5000="KLIN WASH"),ROWS($E$5:E636)),"")</f>
        <v/>
      </c>
      <c r="F636" s="5" t="n"/>
    </row>
    <row r="637">
      <c r="A637" s="10">
        <f>IF($E637="","",INDEX('Input Transaksi'!$A:$A,$E637))</f>
        <v/>
      </c>
      <c r="B637" s="5">
        <f>IF($E637="","",INDEX('Input Transaksi'!$D:$D,$E637))</f>
        <v/>
      </c>
      <c r="C637">
        <f>IF($E637="","",INDEX('Input Transaksi'!$E:$E,$E637))</f>
        <v/>
      </c>
      <c r="D637" s="5">
        <f>IF($E637="","",INDEX('Input Transaksi'!$F:$F,$E637))</f>
        <v/>
      </c>
      <c r="E637">
        <f>IFERROR(AGGREGATE(15,6,ROW('Input Transaksi'!$B$5:$B$5000)/('Input Transaksi'!$B$5:$B$5000="KLIN WASH"),ROWS($E$5:E637)),"")</f>
        <v/>
      </c>
      <c r="F637" s="5" t="n"/>
    </row>
    <row r="638">
      <c r="A638" s="10">
        <f>IF($E638="","",INDEX('Input Transaksi'!$A:$A,$E638))</f>
        <v/>
      </c>
      <c r="B638" s="5">
        <f>IF($E638="","",INDEX('Input Transaksi'!$D:$D,$E638))</f>
        <v/>
      </c>
      <c r="C638">
        <f>IF($E638="","",INDEX('Input Transaksi'!$E:$E,$E638))</f>
        <v/>
      </c>
      <c r="D638" s="5">
        <f>IF($E638="","",INDEX('Input Transaksi'!$F:$F,$E638))</f>
        <v/>
      </c>
      <c r="E638">
        <f>IFERROR(AGGREGATE(15,6,ROW('Input Transaksi'!$B$5:$B$5000)/('Input Transaksi'!$B$5:$B$5000="KLIN WASH"),ROWS($E$5:E638)),"")</f>
        <v/>
      </c>
      <c r="F638" s="5" t="n"/>
    </row>
    <row r="639">
      <c r="A639" s="10">
        <f>IF($E639="","",INDEX('Input Transaksi'!$A:$A,$E639))</f>
        <v/>
      </c>
      <c r="B639" s="5">
        <f>IF($E639="","",INDEX('Input Transaksi'!$D:$D,$E639))</f>
        <v/>
      </c>
      <c r="C639">
        <f>IF($E639="","",INDEX('Input Transaksi'!$E:$E,$E639))</f>
        <v/>
      </c>
      <c r="D639" s="5">
        <f>IF($E639="","",INDEX('Input Transaksi'!$F:$F,$E639))</f>
        <v/>
      </c>
      <c r="E639">
        <f>IFERROR(AGGREGATE(15,6,ROW('Input Transaksi'!$B$5:$B$5000)/('Input Transaksi'!$B$5:$B$5000="KLIN WASH"),ROWS($E$5:E639)),"")</f>
        <v/>
      </c>
      <c r="F639" s="5" t="n"/>
    </row>
    <row r="640">
      <c r="A640" s="10">
        <f>IF($E640="","",INDEX('Input Transaksi'!$A:$A,$E640))</f>
        <v/>
      </c>
      <c r="B640" s="5">
        <f>IF($E640="","",INDEX('Input Transaksi'!$D:$D,$E640))</f>
        <v/>
      </c>
      <c r="C640">
        <f>IF($E640="","",INDEX('Input Transaksi'!$E:$E,$E640))</f>
        <v/>
      </c>
      <c r="D640" s="5">
        <f>IF($E640="","",INDEX('Input Transaksi'!$F:$F,$E640))</f>
        <v/>
      </c>
      <c r="E640">
        <f>IFERROR(AGGREGATE(15,6,ROW('Input Transaksi'!$B$5:$B$5000)/('Input Transaksi'!$B$5:$B$5000="KLIN WASH"),ROWS($E$5:E640)),"")</f>
        <v/>
      </c>
      <c r="F640" s="5" t="n"/>
    </row>
    <row r="641">
      <c r="A641" s="10">
        <f>IF($E641="","",INDEX('Input Transaksi'!$A:$A,$E641))</f>
        <v/>
      </c>
      <c r="B641" s="5">
        <f>IF($E641="","",INDEX('Input Transaksi'!$D:$D,$E641))</f>
        <v/>
      </c>
      <c r="C641">
        <f>IF($E641="","",INDEX('Input Transaksi'!$E:$E,$E641))</f>
        <v/>
      </c>
      <c r="D641" s="5">
        <f>IF($E641="","",INDEX('Input Transaksi'!$F:$F,$E641))</f>
        <v/>
      </c>
      <c r="E641">
        <f>IFERROR(AGGREGATE(15,6,ROW('Input Transaksi'!$B$5:$B$5000)/('Input Transaksi'!$B$5:$B$5000="KLIN WASH"),ROWS($E$5:E641)),"")</f>
        <v/>
      </c>
      <c r="F641" s="5" t="n"/>
    </row>
    <row r="642">
      <c r="A642" s="10">
        <f>IF($E642="","",INDEX('Input Transaksi'!$A:$A,$E642))</f>
        <v/>
      </c>
      <c r="B642" s="5">
        <f>IF($E642="","",INDEX('Input Transaksi'!$D:$D,$E642))</f>
        <v/>
      </c>
      <c r="C642">
        <f>IF($E642="","",INDEX('Input Transaksi'!$E:$E,$E642))</f>
        <v/>
      </c>
      <c r="D642" s="5">
        <f>IF($E642="","",INDEX('Input Transaksi'!$F:$F,$E642))</f>
        <v/>
      </c>
      <c r="E642">
        <f>IFERROR(AGGREGATE(15,6,ROW('Input Transaksi'!$B$5:$B$5000)/('Input Transaksi'!$B$5:$B$5000="KLIN WASH"),ROWS($E$5:E642)),"")</f>
        <v/>
      </c>
      <c r="F642" s="5" t="n"/>
    </row>
    <row r="643">
      <c r="A643" s="10">
        <f>IF($E643="","",INDEX('Input Transaksi'!$A:$A,$E643))</f>
        <v/>
      </c>
      <c r="B643" s="5">
        <f>IF($E643="","",INDEX('Input Transaksi'!$D:$D,$E643))</f>
        <v/>
      </c>
      <c r="C643">
        <f>IF($E643="","",INDEX('Input Transaksi'!$E:$E,$E643))</f>
        <v/>
      </c>
      <c r="D643" s="5">
        <f>IF($E643="","",INDEX('Input Transaksi'!$F:$F,$E643))</f>
        <v/>
      </c>
      <c r="E643">
        <f>IFERROR(AGGREGATE(15,6,ROW('Input Transaksi'!$B$5:$B$5000)/('Input Transaksi'!$B$5:$B$5000="KLIN WASH"),ROWS($E$5:E643)),"")</f>
        <v/>
      </c>
      <c r="F643" s="5" t="n"/>
    </row>
    <row r="644">
      <c r="A644" s="10">
        <f>IF($E644="","",INDEX('Input Transaksi'!$A:$A,$E644))</f>
        <v/>
      </c>
      <c r="B644" s="5">
        <f>IF($E644="","",INDEX('Input Transaksi'!$D:$D,$E644))</f>
        <v/>
      </c>
      <c r="C644">
        <f>IF($E644="","",INDEX('Input Transaksi'!$E:$E,$E644))</f>
        <v/>
      </c>
      <c r="D644" s="5">
        <f>IF($E644="","",INDEX('Input Transaksi'!$F:$F,$E644))</f>
        <v/>
      </c>
      <c r="E644">
        <f>IFERROR(AGGREGATE(15,6,ROW('Input Transaksi'!$B$5:$B$5000)/('Input Transaksi'!$B$5:$B$5000="KLIN WASH"),ROWS($E$5:E644)),"")</f>
        <v/>
      </c>
      <c r="F644" s="5" t="n"/>
    </row>
    <row r="645">
      <c r="A645" s="10">
        <f>IF($E645="","",INDEX('Input Transaksi'!$A:$A,$E645))</f>
        <v/>
      </c>
      <c r="B645" s="5">
        <f>IF($E645="","",INDEX('Input Transaksi'!$D:$D,$E645))</f>
        <v/>
      </c>
      <c r="C645">
        <f>IF($E645="","",INDEX('Input Transaksi'!$E:$E,$E645))</f>
        <v/>
      </c>
      <c r="D645" s="5">
        <f>IF($E645="","",INDEX('Input Transaksi'!$F:$F,$E645))</f>
        <v/>
      </c>
      <c r="E645">
        <f>IFERROR(AGGREGATE(15,6,ROW('Input Transaksi'!$B$5:$B$5000)/('Input Transaksi'!$B$5:$B$5000="KLIN WASH"),ROWS($E$5:E645)),"")</f>
        <v/>
      </c>
      <c r="F645" s="5" t="n"/>
    </row>
    <row r="646">
      <c r="A646" s="10">
        <f>IF($E646="","",INDEX('Input Transaksi'!$A:$A,$E646))</f>
        <v/>
      </c>
      <c r="B646" s="5">
        <f>IF($E646="","",INDEX('Input Transaksi'!$D:$D,$E646))</f>
        <v/>
      </c>
      <c r="C646">
        <f>IF($E646="","",INDEX('Input Transaksi'!$E:$E,$E646))</f>
        <v/>
      </c>
      <c r="D646" s="5">
        <f>IF($E646="","",INDEX('Input Transaksi'!$F:$F,$E646))</f>
        <v/>
      </c>
      <c r="E646">
        <f>IFERROR(AGGREGATE(15,6,ROW('Input Transaksi'!$B$5:$B$5000)/('Input Transaksi'!$B$5:$B$5000="KLIN WASH"),ROWS($E$5:E646)),"")</f>
        <v/>
      </c>
      <c r="F646" s="5" t="n"/>
    </row>
    <row r="647">
      <c r="A647" s="10">
        <f>IF($E647="","",INDEX('Input Transaksi'!$A:$A,$E647))</f>
        <v/>
      </c>
      <c r="B647" s="5">
        <f>IF($E647="","",INDEX('Input Transaksi'!$D:$D,$E647))</f>
        <v/>
      </c>
      <c r="C647">
        <f>IF($E647="","",INDEX('Input Transaksi'!$E:$E,$E647))</f>
        <v/>
      </c>
      <c r="D647" s="5">
        <f>IF($E647="","",INDEX('Input Transaksi'!$F:$F,$E647))</f>
        <v/>
      </c>
      <c r="E647">
        <f>IFERROR(AGGREGATE(15,6,ROW('Input Transaksi'!$B$5:$B$5000)/('Input Transaksi'!$B$5:$B$5000="KLIN WASH"),ROWS($E$5:E647)),"")</f>
        <v/>
      </c>
      <c r="F647" s="5" t="n"/>
    </row>
    <row r="648">
      <c r="A648" s="10">
        <f>IF($E648="","",INDEX('Input Transaksi'!$A:$A,$E648))</f>
        <v/>
      </c>
      <c r="B648" s="5">
        <f>IF($E648="","",INDEX('Input Transaksi'!$D:$D,$E648))</f>
        <v/>
      </c>
      <c r="C648">
        <f>IF($E648="","",INDEX('Input Transaksi'!$E:$E,$E648))</f>
        <v/>
      </c>
      <c r="D648" s="5">
        <f>IF($E648="","",INDEX('Input Transaksi'!$F:$F,$E648))</f>
        <v/>
      </c>
      <c r="E648">
        <f>IFERROR(AGGREGATE(15,6,ROW('Input Transaksi'!$B$5:$B$5000)/('Input Transaksi'!$B$5:$B$5000="KLIN WASH"),ROWS($E$5:E648)),"")</f>
        <v/>
      </c>
      <c r="F648" s="5" t="n"/>
    </row>
    <row r="649">
      <c r="A649" s="10">
        <f>IF($E649="","",INDEX('Input Transaksi'!$A:$A,$E649))</f>
        <v/>
      </c>
      <c r="B649" s="5">
        <f>IF($E649="","",INDEX('Input Transaksi'!$D:$D,$E649))</f>
        <v/>
      </c>
      <c r="C649">
        <f>IF($E649="","",INDEX('Input Transaksi'!$E:$E,$E649))</f>
        <v/>
      </c>
      <c r="D649" s="5">
        <f>IF($E649="","",INDEX('Input Transaksi'!$F:$F,$E649))</f>
        <v/>
      </c>
      <c r="E649">
        <f>IFERROR(AGGREGATE(15,6,ROW('Input Transaksi'!$B$5:$B$5000)/('Input Transaksi'!$B$5:$B$5000="KLIN WASH"),ROWS($E$5:E649)),"")</f>
        <v/>
      </c>
      <c r="F649" s="5" t="n"/>
    </row>
    <row r="650">
      <c r="A650" s="10">
        <f>IF($E650="","",INDEX('Input Transaksi'!$A:$A,$E650))</f>
        <v/>
      </c>
      <c r="B650" s="5">
        <f>IF($E650="","",INDEX('Input Transaksi'!$D:$D,$E650))</f>
        <v/>
      </c>
      <c r="C650">
        <f>IF($E650="","",INDEX('Input Transaksi'!$E:$E,$E650))</f>
        <v/>
      </c>
      <c r="D650" s="5">
        <f>IF($E650="","",INDEX('Input Transaksi'!$F:$F,$E650))</f>
        <v/>
      </c>
      <c r="E650">
        <f>IFERROR(AGGREGATE(15,6,ROW('Input Transaksi'!$B$5:$B$5000)/('Input Transaksi'!$B$5:$B$5000="KLIN WASH"),ROWS($E$5:E650)),"")</f>
        <v/>
      </c>
      <c r="F650" s="5" t="n"/>
    </row>
    <row r="651">
      <c r="A651" s="10">
        <f>IF($E651="","",INDEX('Input Transaksi'!$A:$A,$E651))</f>
        <v/>
      </c>
      <c r="B651" s="5">
        <f>IF($E651="","",INDEX('Input Transaksi'!$D:$D,$E651))</f>
        <v/>
      </c>
      <c r="C651">
        <f>IF($E651="","",INDEX('Input Transaksi'!$E:$E,$E651))</f>
        <v/>
      </c>
      <c r="D651" s="5">
        <f>IF($E651="","",INDEX('Input Transaksi'!$F:$F,$E651))</f>
        <v/>
      </c>
      <c r="E651">
        <f>IFERROR(AGGREGATE(15,6,ROW('Input Transaksi'!$B$5:$B$5000)/('Input Transaksi'!$B$5:$B$5000="KLIN WASH"),ROWS($E$5:E651)),"")</f>
        <v/>
      </c>
      <c r="F651" s="5" t="n"/>
    </row>
    <row r="652">
      <c r="A652" s="10">
        <f>IF($E652="","",INDEX('Input Transaksi'!$A:$A,$E652))</f>
        <v/>
      </c>
      <c r="B652" s="5">
        <f>IF($E652="","",INDEX('Input Transaksi'!$D:$D,$E652))</f>
        <v/>
      </c>
      <c r="C652">
        <f>IF($E652="","",INDEX('Input Transaksi'!$E:$E,$E652))</f>
        <v/>
      </c>
      <c r="D652" s="5">
        <f>IF($E652="","",INDEX('Input Transaksi'!$F:$F,$E652))</f>
        <v/>
      </c>
      <c r="E652">
        <f>IFERROR(AGGREGATE(15,6,ROW('Input Transaksi'!$B$5:$B$5000)/('Input Transaksi'!$B$5:$B$5000="KLIN WASH"),ROWS($E$5:E652)),"")</f>
        <v/>
      </c>
      <c r="F652" s="5" t="n"/>
    </row>
    <row r="653">
      <c r="A653" s="10">
        <f>IF($E653="","",INDEX('Input Transaksi'!$A:$A,$E653))</f>
        <v/>
      </c>
      <c r="B653" s="5">
        <f>IF($E653="","",INDEX('Input Transaksi'!$D:$D,$E653))</f>
        <v/>
      </c>
      <c r="C653">
        <f>IF($E653="","",INDEX('Input Transaksi'!$E:$E,$E653))</f>
        <v/>
      </c>
      <c r="D653" s="5">
        <f>IF($E653="","",INDEX('Input Transaksi'!$F:$F,$E653))</f>
        <v/>
      </c>
      <c r="E653">
        <f>IFERROR(AGGREGATE(15,6,ROW('Input Transaksi'!$B$5:$B$5000)/('Input Transaksi'!$B$5:$B$5000="KLIN WASH"),ROWS($E$5:E653)),"")</f>
        <v/>
      </c>
      <c r="F653" s="5" t="n"/>
    </row>
    <row r="654">
      <c r="A654" s="10">
        <f>IF($E654="","",INDEX('Input Transaksi'!$A:$A,$E654))</f>
        <v/>
      </c>
      <c r="B654" s="5">
        <f>IF($E654="","",INDEX('Input Transaksi'!$D:$D,$E654))</f>
        <v/>
      </c>
      <c r="C654">
        <f>IF($E654="","",INDEX('Input Transaksi'!$E:$E,$E654))</f>
        <v/>
      </c>
      <c r="D654" s="5">
        <f>IF($E654="","",INDEX('Input Transaksi'!$F:$F,$E654))</f>
        <v/>
      </c>
      <c r="E654">
        <f>IFERROR(AGGREGATE(15,6,ROW('Input Transaksi'!$B$5:$B$5000)/('Input Transaksi'!$B$5:$B$5000="KLIN WASH"),ROWS($E$5:E654)),"")</f>
        <v/>
      </c>
      <c r="F654" s="5" t="n"/>
    </row>
    <row r="655">
      <c r="A655" s="10">
        <f>IF($E655="","",INDEX('Input Transaksi'!$A:$A,$E655))</f>
        <v/>
      </c>
      <c r="B655" s="5">
        <f>IF($E655="","",INDEX('Input Transaksi'!$D:$D,$E655))</f>
        <v/>
      </c>
      <c r="C655">
        <f>IF($E655="","",INDEX('Input Transaksi'!$E:$E,$E655))</f>
        <v/>
      </c>
      <c r="D655" s="5">
        <f>IF($E655="","",INDEX('Input Transaksi'!$F:$F,$E655))</f>
        <v/>
      </c>
      <c r="E655">
        <f>IFERROR(AGGREGATE(15,6,ROW('Input Transaksi'!$B$5:$B$5000)/('Input Transaksi'!$B$5:$B$5000="KLIN WASH"),ROWS($E$5:E655)),"")</f>
        <v/>
      </c>
      <c r="F655" s="5" t="n"/>
    </row>
    <row r="656">
      <c r="A656" s="10">
        <f>IF($E656="","",INDEX('Input Transaksi'!$A:$A,$E656))</f>
        <v/>
      </c>
      <c r="B656" s="5">
        <f>IF($E656="","",INDEX('Input Transaksi'!$D:$D,$E656))</f>
        <v/>
      </c>
      <c r="C656">
        <f>IF($E656="","",INDEX('Input Transaksi'!$E:$E,$E656))</f>
        <v/>
      </c>
      <c r="D656" s="5">
        <f>IF($E656="","",INDEX('Input Transaksi'!$F:$F,$E656))</f>
        <v/>
      </c>
      <c r="E656">
        <f>IFERROR(AGGREGATE(15,6,ROW('Input Transaksi'!$B$5:$B$5000)/('Input Transaksi'!$B$5:$B$5000="KLIN WASH"),ROWS($E$5:E656)),"")</f>
        <v/>
      </c>
      <c r="F656" s="5" t="n"/>
    </row>
    <row r="657">
      <c r="A657" s="10">
        <f>IF($E657="","",INDEX('Input Transaksi'!$A:$A,$E657))</f>
        <v/>
      </c>
      <c r="B657" s="5">
        <f>IF($E657="","",INDEX('Input Transaksi'!$D:$D,$E657))</f>
        <v/>
      </c>
      <c r="C657">
        <f>IF($E657="","",INDEX('Input Transaksi'!$E:$E,$E657))</f>
        <v/>
      </c>
      <c r="D657" s="5">
        <f>IF($E657="","",INDEX('Input Transaksi'!$F:$F,$E657))</f>
        <v/>
      </c>
      <c r="E657">
        <f>IFERROR(AGGREGATE(15,6,ROW('Input Transaksi'!$B$5:$B$5000)/('Input Transaksi'!$B$5:$B$5000="KLIN WASH"),ROWS($E$5:E657)),"")</f>
        <v/>
      </c>
      <c r="F657" s="5" t="n"/>
    </row>
    <row r="658">
      <c r="A658" s="10">
        <f>IF($E658="","",INDEX('Input Transaksi'!$A:$A,$E658))</f>
        <v/>
      </c>
      <c r="B658" s="5">
        <f>IF($E658="","",INDEX('Input Transaksi'!$D:$D,$E658))</f>
        <v/>
      </c>
      <c r="C658">
        <f>IF($E658="","",INDEX('Input Transaksi'!$E:$E,$E658))</f>
        <v/>
      </c>
      <c r="D658" s="5">
        <f>IF($E658="","",INDEX('Input Transaksi'!$F:$F,$E658))</f>
        <v/>
      </c>
      <c r="E658">
        <f>IFERROR(AGGREGATE(15,6,ROW('Input Transaksi'!$B$5:$B$5000)/('Input Transaksi'!$B$5:$B$5000="KLIN WASH"),ROWS($E$5:E658)),"")</f>
        <v/>
      </c>
      <c r="F658" s="5" t="n"/>
    </row>
    <row r="659">
      <c r="A659" s="10">
        <f>IF($E659="","",INDEX('Input Transaksi'!$A:$A,$E659))</f>
        <v/>
      </c>
      <c r="B659" s="5">
        <f>IF($E659="","",INDEX('Input Transaksi'!$D:$D,$E659))</f>
        <v/>
      </c>
      <c r="C659">
        <f>IF($E659="","",INDEX('Input Transaksi'!$E:$E,$E659))</f>
        <v/>
      </c>
      <c r="D659" s="5">
        <f>IF($E659="","",INDEX('Input Transaksi'!$F:$F,$E659))</f>
        <v/>
      </c>
      <c r="E659">
        <f>IFERROR(AGGREGATE(15,6,ROW('Input Transaksi'!$B$5:$B$5000)/('Input Transaksi'!$B$5:$B$5000="KLIN WASH"),ROWS($E$5:E659)),"")</f>
        <v/>
      </c>
      <c r="F659" s="5" t="n"/>
    </row>
    <row r="660">
      <c r="A660" s="10">
        <f>IF($E660="","",INDEX('Input Transaksi'!$A:$A,$E660))</f>
        <v/>
      </c>
      <c r="B660" s="5">
        <f>IF($E660="","",INDEX('Input Transaksi'!$D:$D,$E660))</f>
        <v/>
      </c>
      <c r="C660">
        <f>IF($E660="","",INDEX('Input Transaksi'!$E:$E,$E660))</f>
        <v/>
      </c>
      <c r="D660" s="5">
        <f>IF($E660="","",INDEX('Input Transaksi'!$F:$F,$E660))</f>
        <v/>
      </c>
      <c r="E660">
        <f>IFERROR(AGGREGATE(15,6,ROW('Input Transaksi'!$B$5:$B$5000)/('Input Transaksi'!$B$5:$B$5000="KLIN WASH"),ROWS($E$5:E660)),"")</f>
        <v/>
      </c>
      <c r="F660" s="5" t="n"/>
    </row>
    <row r="661">
      <c r="A661" s="10">
        <f>IF($E661="","",INDEX('Input Transaksi'!$A:$A,$E661))</f>
        <v/>
      </c>
      <c r="B661" s="5">
        <f>IF($E661="","",INDEX('Input Transaksi'!$D:$D,$E661))</f>
        <v/>
      </c>
      <c r="C661">
        <f>IF($E661="","",INDEX('Input Transaksi'!$E:$E,$E661))</f>
        <v/>
      </c>
      <c r="D661" s="5">
        <f>IF($E661="","",INDEX('Input Transaksi'!$F:$F,$E661))</f>
        <v/>
      </c>
      <c r="E661">
        <f>IFERROR(AGGREGATE(15,6,ROW('Input Transaksi'!$B$5:$B$5000)/('Input Transaksi'!$B$5:$B$5000="KLIN WASH"),ROWS($E$5:E661)),"")</f>
        <v/>
      </c>
      <c r="F661" s="5" t="n"/>
    </row>
    <row r="662">
      <c r="A662" s="10">
        <f>IF($E662="","",INDEX('Input Transaksi'!$A:$A,$E662))</f>
        <v/>
      </c>
      <c r="B662" s="5">
        <f>IF($E662="","",INDEX('Input Transaksi'!$D:$D,$E662))</f>
        <v/>
      </c>
      <c r="C662">
        <f>IF($E662="","",INDEX('Input Transaksi'!$E:$E,$E662))</f>
        <v/>
      </c>
      <c r="D662" s="5">
        <f>IF($E662="","",INDEX('Input Transaksi'!$F:$F,$E662))</f>
        <v/>
      </c>
      <c r="E662">
        <f>IFERROR(AGGREGATE(15,6,ROW('Input Transaksi'!$B$5:$B$5000)/('Input Transaksi'!$B$5:$B$5000="KLIN WASH"),ROWS($E$5:E662)),"")</f>
        <v/>
      </c>
      <c r="F662" s="5" t="n"/>
    </row>
    <row r="663">
      <c r="A663" s="10">
        <f>IF($E663="","",INDEX('Input Transaksi'!$A:$A,$E663))</f>
        <v/>
      </c>
      <c r="B663" s="5">
        <f>IF($E663="","",INDEX('Input Transaksi'!$D:$D,$E663))</f>
        <v/>
      </c>
      <c r="C663">
        <f>IF($E663="","",INDEX('Input Transaksi'!$E:$E,$E663))</f>
        <v/>
      </c>
      <c r="D663" s="5">
        <f>IF($E663="","",INDEX('Input Transaksi'!$F:$F,$E663))</f>
        <v/>
      </c>
      <c r="E663">
        <f>IFERROR(AGGREGATE(15,6,ROW('Input Transaksi'!$B$5:$B$5000)/('Input Transaksi'!$B$5:$B$5000="KLIN WASH"),ROWS($E$5:E663)),"")</f>
        <v/>
      </c>
      <c r="F663" s="5" t="n"/>
    </row>
    <row r="664">
      <c r="A664" s="10">
        <f>IF($E664="","",INDEX('Input Transaksi'!$A:$A,$E664))</f>
        <v/>
      </c>
      <c r="B664" s="5">
        <f>IF($E664="","",INDEX('Input Transaksi'!$D:$D,$E664))</f>
        <v/>
      </c>
      <c r="C664">
        <f>IF($E664="","",INDEX('Input Transaksi'!$E:$E,$E664))</f>
        <v/>
      </c>
      <c r="D664" s="5">
        <f>IF($E664="","",INDEX('Input Transaksi'!$F:$F,$E664))</f>
        <v/>
      </c>
      <c r="E664">
        <f>IFERROR(AGGREGATE(15,6,ROW('Input Transaksi'!$B$5:$B$5000)/('Input Transaksi'!$B$5:$B$5000="KLIN WASH"),ROWS($E$5:E664)),"")</f>
        <v/>
      </c>
      <c r="F664" s="5" t="n"/>
    </row>
    <row r="665">
      <c r="A665" s="10">
        <f>IF($E665="","",INDEX('Input Transaksi'!$A:$A,$E665))</f>
        <v/>
      </c>
      <c r="B665" s="5">
        <f>IF($E665="","",INDEX('Input Transaksi'!$D:$D,$E665))</f>
        <v/>
      </c>
      <c r="C665">
        <f>IF($E665="","",INDEX('Input Transaksi'!$E:$E,$E665))</f>
        <v/>
      </c>
      <c r="D665" s="5">
        <f>IF($E665="","",INDEX('Input Transaksi'!$F:$F,$E665))</f>
        <v/>
      </c>
      <c r="E665">
        <f>IFERROR(AGGREGATE(15,6,ROW('Input Transaksi'!$B$5:$B$5000)/('Input Transaksi'!$B$5:$B$5000="KLIN WASH"),ROWS($E$5:E665)),"")</f>
        <v/>
      </c>
      <c r="F665" s="5" t="n"/>
    </row>
    <row r="666">
      <c r="A666" s="10">
        <f>IF($E666="","",INDEX('Input Transaksi'!$A:$A,$E666))</f>
        <v/>
      </c>
      <c r="B666" s="5">
        <f>IF($E666="","",INDEX('Input Transaksi'!$D:$D,$E666))</f>
        <v/>
      </c>
      <c r="C666">
        <f>IF($E666="","",INDEX('Input Transaksi'!$E:$E,$E666))</f>
        <v/>
      </c>
      <c r="D666" s="5">
        <f>IF($E666="","",INDEX('Input Transaksi'!$F:$F,$E666))</f>
        <v/>
      </c>
      <c r="E666">
        <f>IFERROR(AGGREGATE(15,6,ROW('Input Transaksi'!$B$5:$B$5000)/('Input Transaksi'!$B$5:$B$5000="KLIN WASH"),ROWS($E$5:E666)),"")</f>
        <v/>
      </c>
      <c r="F666" s="5" t="n"/>
    </row>
    <row r="667">
      <c r="A667" s="10">
        <f>IF($E667="","",INDEX('Input Transaksi'!$A:$A,$E667))</f>
        <v/>
      </c>
      <c r="B667" s="5">
        <f>IF($E667="","",INDEX('Input Transaksi'!$D:$D,$E667))</f>
        <v/>
      </c>
      <c r="C667">
        <f>IF($E667="","",INDEX('Input Transaksi'!$E:$E,$E667))</f>
        <v/>
      </c>
      <c r="D667" s="5">
        <f>IF($E667="","",INDEX('Input Transaksi'!$F:$F,$E667))</f>
        <v/>
      </c>
      <c r="E667">
        <f>IFERROR(AGGREGATE(15,6,ROW('Input Transaksi'!$B$5:$B$5000)/('Input Transaksi'!$B$5:$B$5000="KLIN WASH"),ROWS($E$5:E667)),"")</f>
        <v/>
      </c>
      <c r="F667" s="5" t="n"/>
    </row>
    <row r="668">
      <c r="A668" s="10">
        <f>IF($E668="","",INDEX('Input Transaksi'!$A:$A,$E668))</f>
        <v/>
      </c>
      <c r="B668" s="5">
        <f>IF($E668="","",INDEX('Input Transaksi'!$D:$D,$E668))</f>
        <v/>
      </c>
      <c r="C668">
        <f>IF($E668="","",INDEX('Input Transaksi'!$E:$E,$E668))</f>
        <v/>
      </c>
      <c r="D668" s="5">
        <f>IF($E668="","",INDEX('Input Transaksi'!$F:$F,$E668))</f>
        <v/>
      </c>
      <c r="E668">
        <f>IFERROR(AGGREGATE(15,6,ROW('Input Transaksi'!$B$5:$B$5000)/('Input Transaksi'!$B$5:$B$5000="KLIN WASH"),ROWS($E$5:E668)),"")</f>
        <v/>
      </c>
      <c r="F668" s="5" t="n"/>
    </row>
    <row r="669">
      <c r="A669" s="10">
        <f>IF($E669="","",INDEX('Input Transaksi'!$A:$A,$E669))</f>
        <v/>
      </c>
      <c r="B669" s="5">
        <f>IF($E669="","",INDEX('Input Transaksi'!$D:$D,$E669))</f>
        <v/>
      </c>
      <c r="C669">
        <f>IF($E669="","",INDEX('Input Transaksi'!$E:$E,$E669))</f>
        <v/>
      </c>
      <c r="D669" s="5">
        <f>IF($E669="","",INDEX('Input Transaksi'!$F:$F,$E669))</f>
        <v/>
      </c>
      <c r="E669">
        <f>IFERROR(AGGREGATE(15,6,ROW('Input Transaksi'!$B$5:$B$5000)/('Input Transaksi'!$B$5:$B$5000="KLIN WASH"),ROWS($E$5:E669)),"")</f>
        <v/>
      </c>
      <c r="F669" s="5" t="n"/>
    </row>
    <row r="670">
      <c r="A670" s="10">
        <f>IF($E670="","",INDEX('Input Transaksi'!$A:$A,$E670))</f>
        <v/>
      </c>
      <c r="B670" s="5">
        <f>IF($E670="","",INDEX('Input Transaksi'!$D:$D,$E670))</f>
        <v/>
      </c>
      <c r="C670">
        <f>IF($E670="","",INDEX('Input Transaksi'!$E:$E,$E670))</f>
        <v/>
      </c>
      <c r="D670" s="5">
        <f>IF($E670="","",INDEX('Input Transaksi'!$F:$F,$E670))</f>
        <v/>
      </c>
      <c r="E670">
        <f>IFERROR(AGGREGATE(15,6,ROW('Input Transaksi'!$B$5:$B$5000)/('Input Transaksi'!$B$5:$B$5000="KLIN WASH"),ROWS($E$5:E670)),"")</f>
        <v/>
      </c>
      <c r="F670" s="5" t="n"/>
    </row>
    <row r="671">
      <c r="A671" s="10">
        <f>IF($E671="","",INDEX('Input Transaksi'!$A:$A,$E671))</f>
        <v/>
      </c>
      <c r="B671" s="5">
        <f>IF($E671="","",INDEX('Input Transaksi'!$D:$D,$E671))</f>
        <v/>
      </c>
      <c r="C671">
        <f>IF($E671="","",INDEX('Input Transaksi'!$E:$E,$E671))</f>
        <v/>
      </c>
      <c r="D671" s="5">
        <f>IF($E671="","",INDEX('Input Transaksi'!$F:$F,$E671))</f>
        <v/>
      </c>
      <c r="E671">
        <f>IFERROR(AGGREGATE(15,6,ROW('Input Transaksi'!$B$5:$B$5000)/('Input Transaksi'!$B$5:$B$5000="KLIN WASH"),ROWS($E$5:E671)),"")</f>
        <v/>
      </c>
      <c r="F671" s="5" t="n"/>
    </row>
    <row r="672">
      <c r="A672" s="10">
        <f>IF($E672="","",INDEX('Input Transaksi'!$A:$A,$E672))</f>
        <v/>
      </c>
      <c r="B672" s="5">
        <f>IF($E672="","",INDEX('Input Transaksi'!$D:$D,$E672))</f>
        <v/>
      </c>
      <c r="C672">
        <f>IF($E672="","",INDEX('Input Transaksi'!$E:$E,$E672))</f>
        <v/>
      </c>
      <c r="D672" s="5">
        <f>IF($E672="","",INDEX('Input Transaksi'!$F:$F,$E672))</f>
        <v/>
      </c>
      <c r="E672">
        <f>IFERROR(AGGREGATE(15,6,ROW('Input Transaksi'!$B$5:$B$5000)/('Input Transaksi'!$B$5:$B$5000="KLIN WASH"),ROWS($E$5:E672)),"")</f>
        <v/>
      </c>
      <c r="F672" s="5" t="n"/>
    </row>
    <row r="673">
      <c r="A673" s="10">
        <f>IF($E673="","",INDEX('Input Transaksi'!$A:$A,$E673))</f>
        <v/>
      </c>
      <c r="B673" s="5">
        <f>IF($E673="","",INDEX('Input Transaksi'!$D:$D,$E673))</f>
        <v/>
      </c>
      <c r="C673">
        <f>IF($E673="","",INDEX('Input Transaksi'!$E:$E,$E673))</f>
        <v/>
      </c>
      <c r="D673" s="5">
        <f>IF($E673="","",INDEX('Input Transaksi'!$F:$F,$E673))</f>
        <v/>
      </c>
      <c r="E673">
        <f>IFERROR(AGGREGATE(15,6,ROW('Input Transaksi'!$B$5:$B$5000)/('Input Transaksi'!$B$5:$B$5000="KLIN WASH"),ROWS($E$5:E673)),"")</f>
        <v/>
      </c>
      <c r="F673" s="5" t="n"/>
    </row>
    <row r="674">
      <c r="A674" s="10">
        <f>IF($E674="","",INDEX('Input Transaksi'!$A:$A,$E674))</f>
        <v/>
      </c>
      <c r="B674" s="5">
        <f>IF($E674="","",INDEX('Input Transaksi'!$D:$D,$E674))</f>
        <v/>
      </c>
      <c r="C674">
        <f>IF($E674="","",INDEX('Input Transaksi'!$E:$E,$E674))</f>
        <v/>
      </c>
      <c r="D674" s="5">
        <f>IF($E674="","",INDEX('Input Transaksi'!$F:$F,$E674))</f>
        <v/>
      </c>
      <c r="E674">
        <f>IFERROR(AGGREGATE(15,6,ROW('Input Transaksi'!$B$5:$B$5000)/('Input Transaksi'!$B$5:$B$5000="KLIN WASH"),ROWS($E$5:E674)),"")</f>
        <v/>
      </c>
      <c r="F674" s="5" t="n"/>
    </row>
    <row r="675">
      <c r="A675" s="10">
        <f>IF($E675="","",INDEX('Input Transaksi'!$A:$A,$E675))</f>
        <v/>
      </c>
      <c r="B675" s="5">
        <f>IF($E675="","",INDEX('Input Transaksi'!$D:$D,$E675))</f>
        <v/>
      </c>
      <c r="C675">
        <f>IF($E675="","",INDEX('Input Transaksi'!$E:$E,$E675))</f>
        <v/>
      </c>
      <c r="D675" s="5">
        <f>IF($E675="","",INDEX('Input Transaksi'!$F:$F,$E675))</f>
        <v/>
      </c>
      <c r="E675">
        <f>IFERROR(AGGREGATE(15,6,ROW('Input Transaksi'!$B$5:$B$5000)/('Input Transaksi'!$B$5:$B$5000="KLIN WASH"),ROWS($E$5:E675)),"")</f>
        <v/>
      </c>
      <c r="F675" s="5" t="n"/>
    </row>
    <row r="676">
      <c r="A676" s="10">
        <f>IF($E676="","",INDEX('Input Transaksi'!$A:$A,$E676))</f>
        <v/>
      </c>
      <c r="B676" s="5">
        <f>IF($E676="","",INDEX('Input Transaksi'!$D:$D,$E676))</f>
        <v/>
      </c>
      <c r="C676">
        <f>IF($E676="","",INDEX('Input Transaksi'!$E:$E,$E676))</f>
        <v/>
      </c>
      <c r="D676" s="5">
        <f>IF($E676="","",INDEX('Input Transaksi'!$F:$F,$E676))</f>
        <v/>
      </c>
      <c r="E676">
        <f>IFERROR(AGGREGATE(15,6,ROW('Input Transaksi'!$B$5:$B$5000)/('Input Transaksi'!$B$5:$B$5000="KLIN WASH"),ROWS($E$5:E676)),"")</f>
        <v/>
      </c>
      <c r="F676" s="5" t="n"/>
    </row>
    <row r="677">
      <c r="A677" s="10">
        <f>IF($E677="","",INDEX('Input Transaksi'!$A:$A,$E677))</f>
        <v/>
      </c>
      <c r="B677" s="5">
        <f>IF($E677="","",INDEX('Input Transaksi'!$D:$D,$E677))</f>
        <v/>
      </c>
      <c r="C677">
        <f>IF($E677="","",INDEX('Input Transaksi'!$E:$E,$E677))</f>
        <v/>
      </c>
      <c r="D677" s="5">
        <f>IF($E677="","",INDEX('Input Transaksi'!$F:$F,$E677))</f>
        <v/>
      </c>
      <c r="E677">
        <f>IFERROR(AGGREGATE(15,6,ROW('Input Transaksi'!$B$5:$B$5000)/('Input Transaksi'!$B$5:$B$5000="KLIN WASH"),ROWS($E$5:E677)),"")</f>
        <v/>
      </c>
      <c r="F677" s="5" t="n"/>
    </row>
    <row r="678">
      <c r="A678" s="10">
        <f>IF($E678="","",INDEX('Input Transaksi'!$A:$A,$E678))</f>
        <v/>
      </c>
      <c r="B678" s="5">
        <f>IF($E678="","",INDEX('Input Transaksi'!$D:$D,$E678))</f>
        <v/>
      </c>
      <c r="C678">
        <f>IF($E678="","",INDEX('Input Transaksi'!$E:$E,$E678))</f>
        <v/>
      </c>
      <c r="D678" s="5">
        <f>IF($E678="","",INDEX('Input Transaksi'!$F:$F,$E678))</f>
        <v/>
      </c>
      <c r="E678">
        <f>IFERROR(AGGREGATE(15,6,ROW('Input Transaksi'!$B$5:$B$5000)/('Input Transaksi'!$B$5:$B$5000="KLIN WASH"),ROWS($E$5:E678)),"")</f>
        <v/>
      </c>
      <c r="F678" s="5" t="n"/>
    </row>
    <row r="679">
      <c r="A679" s="10">
        <f>IF($E679="","",INDEX('Input Transaksi'!$A:$A,$E679))</f>
        <v/>
      </c>
      <c r="B679" s="5">
        <f>IF($E679="","",INDEX('Input Transaksi'!$D:$D,$E679))</f>
        <v/>
      </c>
      <c r="C679">
        <f>IF($E679="","",INDEX('Input Transaksi'!$E:$E,$E679))</f>
        <v/>
      </c>
      <c r="D679" s="5">
        <f>IF($E679="","",INDEX('Input Transaksi'!$F:$F,$E679))</f>
        <v/>
      </c>
      <c r="E679">
        <f>IFERROR(AGGREGATE(15,6,ROW('Input Transaksi'!$B$5:$B$5000)/('Input Transaksi'!$B$5:$B$5000="KLIN WASH"),ROWS($E$5:E679)),"")</f>
        <v/>
      </c>
      <c r="F679" s="5" t="n"/>
    </row>
    <row r="680">
      <c r="A680" s="10">
        <f>IF($E680="","",INDEX('Input Transaksi'!$A:$A,$E680))</f>
        <v/>
      </c>
      <c r="B680" s="5">
        <f>IF($E680="","",INDEX('Input Transaksi'!$D:$D,$E680))</f>
        <v/>
      </c>
      <c r="C680">
        <f>IF($E680="","",INDEX('Input Transaksi'!$E:$E,$E680))</f>
        <v/>
      </c>
      <c r="D680" s="5">
        <f>IF($E680="","",INDEX('Input Transaksi'!$F:$F,$E680))</f>
        <v/>
      </c>
      <c r="E680">
        <f>IFERROR(AGGREGATE(15,6,ROW('Input Transaksi'!$B$5:$B$5000)/('Input Transaksi'!$B$5:$B$5000="KLIN WASH"),ROWS($E$5:E680)),"")</f>
        <v/>
      </c>
      <c r="F680" s="5" t="n"/>
    </row>
    <row r="681">
      <c r="A681" s="10">
        <f>IF($E681="","",INDEX('Input Transaksi'!$A:$A,$E681))</f>
        <v/>
      </c>
      <c r="B681" s="5">
        <f>IF($E681="","",INDEX('Input Transaksi'!$D:$D,$E681))</f>
        <v/>
      </c>
      <c r="C681">
        <f>IF($E681="","",INDEX('Input Transaksi'!$E:$E,$E681))</f>
        <v/>
      </c>
      <c r="D681" s="5">
        <f>IF($E681="","",INDEX('Input Transaksi'!$F:$F,$E681))</f>
        <v/>
      </c>
      <c r="E681">
        <f>IFERROR(AGGREGATE(15,6,ROW('Input Transaksi'!$B$5:$B$5000)/('Input Transaksi'!$B$5:$B$5000="KLIN WASH"),ROWS($E$5:E681)),"")</f>
        <v/>
      </c>
      <c r="F681" s="5" t="n"/>
    </row>
    <row r="682">
      <c r="A682" s="10">
        <f>IF($E682="","",INDEX('Input Transaksi'!$A:$A,$E682))</f>
        <v/>
      </c>
      <c r="B682" s="5">
        <f>IF($E682="","",INDEX('Input Transaksi'!$D:$D,$E682))</f>
        <v/>
      </c>
      <c r="C682">
        <f>IF($E682="","",INDEX('Input Transaksi'!$E:$E,$E682))</f>
        <v/>
      </c>
      <c r="D682" s="5">
        <f>IF($E682="","",INDEX('Input Transaksi'!$F:$F,$E682))</f>
        <v/>
      </c>
      <c r="E682">
        <f>IFERROR(AGGREGATE(15,6,ROW('Input Transaksi'!$B$5:$B$5000)/('Input Transaksi'!$B$5:$B$5000="KLIN WASH"),ROWS($E$5:E682)),"")</f>
        <v/>
      </c>
      <c r="F682" s="5" t="n"/>
    </row>
    <row r="683">
      <c r="A683" s="10">
        <f>IF($E683="","",INDEX('Input Transaksi'!$A:$A,$E683))</f>
        <v/>
      </c>
      <c r="B683" s="5">
        <f>IF($E683="","",INDEX('Input Transaksi'!$D:$D,$E683))</f>
        <v/>
      </c>
      <c r="C683">
        <f>IF($E683="","",INDEX('Input Transaksi'!$E:$E,$E683))</f>
        <v/>
      </c>
      <c r="D683" s="5">
        <f>IF($E683="","",INDEX('Input Transaksi'!$F:$F,$E683))</f>
        <v/>
      </c>
      <c r="E683">
        <f>IFERROR(AGGREGATE(15,6,ROW('Input Transaksi'!$B$5:$B$5000)/('Input Transaksi'!$B$5:$B$5000="KLIN WASH"),ROWS($E$5:E683)),"")</f>
        <v/>
      </c>
      <c r="F683" s="5" t="n"/>
    </row>
    <row r="684">
      <c r="A684" s="10">
        <f>IF($E684="","",INDEX('Input Transaksi'!$A:$A,$E684))</f>
        <v/>
      </c>
      <c r="B684" s="5">
        <f>IF($E684="","",INDEX('Input Transaksi'!$D:$D,$E684))</f>
        <v/>
      </c>
      <c r="C684">
        <f>IF($E684="","",INDEX('Input Transaksi'!$E:$E,$E684))</f>
        <v/>
      </c>
      <c r="D684" s="5">
        <f>IF($E684="","",INDEX('Input Transaksi'!$F:$F,$E684))</f>
        <v/>
      </c>
      <c r="E684">
        <f>IFERROR(AGGREGATE(15,6,ROW('Input Transaksi'!$B$5:$B$5000)/('Input Transaksi'!$B$5:$B$5000="KLIN WASH"),ROWS($E$5:E684)),"")</f>
        <v/>
      </c>
      <c r="F684" s="5" t="n"/>
    </row>
    <row r="685">
      <c r="A685" s="10">
        <f>IF($E685="","",INDEX('Input Transaksi'!$A:$A,$E685))</f>
        <v/>
      </c>
      <c r="B685" s="5">
        <f>IF($E685="","",INDEX('Input Transaksi'!$D:$D,$E685))</f>
        <v/>
      </c>
      <c r="C685">
        <f>IF($E685="","",INDEX('Input Transaksi'!$E:$E,$E685))</f>
        <v/>
      </c>
      <c r="D685" s="5">
        <f>IF($E685="","",INDEX('Input Transaksi'!$F:$F,$E685))</f>
        <v/>
      </c>
      <c r="E685">
        <f>IFERROR(AGGREGATE(15,6,ROW('Input Transaksi'!$B$5:$B$5000)/('Input Transaksi'!$B$5:$B$5000="KLIN WASH"),ROWS($E$5:E685)),"")</f>
        <v/>
      </c>
      <c r="F685" s="5" t="n"/>
    </row>
    <row r="686">
      <c r="A686" s="10">
        <f>IF($E686="","",INDEX('Input Transaksi'!$A:$A,$E686))</f>
        <v/>
      </c>
      <c r="B686" s="5">
        <f>IF($E686="","",INDEX('Input Transaksi'!$D:$D,$E686))</f>
        <v/>
      </c>
      <c r="C686">
        <f>IF($E686="","",INDEX('Input Transaksi'!$E:$E,$E686))</f>
        <v/>
      </c>
      <c r="D686" s="5">
        <f>IF($E686="","",INDEX('Input Transaksi'!$F:$F,$E686))</f>
        <v/>
      </c>
      <c r="E686">
        <f>IFERROR(AGGREGATE(15,6,ROW('Input Transaksi'!$B$5:$B$5000)/('Input Transaksi'!$B$5:$B$5000="KLIN WASH"),ROWS($E$5:E686)),"")</f>
        <v/>
      </c>
      <c r="F686" s="5" t="n"/>
    </row>
    <row r="687">
      <c r="A687" s="10">
        <f>IF($E687="","",INDEX('Input Transaksi'!$A:$A,$E687))</f>
        <v/>
      </c>
      <c r="B687" s="5">
        <f>IF($E687="","",INDEX('Input Transaksi'!$D:$D,$E687))</f>
        <v/>
      </c>
      <c r="C687">
        <f>IF($E687="","",INDEX('Input Transaksi'!$E:$E,$E687))</f>
        <v/>
      </c>
      <c r="D687" s="5">
        <f>IF($E687="","",INDEX('Input Transaksi'!$F:$F,$E687))</f>
        <v/>
      </c>
      <c r="E687">
        <f>IFERROR(AGGREGATE(15,6,ROW('Input Transaksi'!$B$5:$B$5000)/('Input Transaksi'!$B$5:$B$5000="KLIN WASH"),ROWS($E$5:E687)),"")</f>
        <v/>
      </c>
      <c r="F687" s="5" t="n"/>
    </row>
    <row r="688">
      <c r="A688" s="10">
        <f>IF($E688="","",INDEX('Input Transaksi'!$A:$A,$E688))</f>
        <v/>
      </c>
      <c r="B688" s="5">
        <f>IF($E688="","",INDEX('Input Transaksi'!$D:$D,$E688))</f>
        <v/>
      </c>
      <c r="C688">
        <f>IF($E688="","",INDEX('Input Transaksi'!$E:$E,$E688))</f>
        <v/>
      </c>
      <c r="D688" s="5">
        <f>IF($E688="","",INDEX('Input Transaksi'!$F:$F,$E688))</f>
        <v/>
      </c>
      <c r="E688">
        <f>IFERROR(AGGREGATE(15,6,ROW('Input Transaksi'!$B$5:$B$5000)/('Input Transaksi'!$B$5:$B$5000="KLIN WASH"),ROWS($E$5:E688)),"")</f>
        <v/>
      </c>
      <c r="F688" s="5" t="n"/>
    </row>
    <row r="689">
      <c r="A689" s="10">
        <f>IF($E689="","",INDEX('Input Transaksi'!$A:$A,$E689))</f>
        <v/>
      </c>
      <c r="B689" s="5">
        <f>IF($E689="","",INDEX('Input Transaksi'!$D:$D,$E689))</f>
        <v/>
      </c>
      <c r="C689">
        <f>IF($E689="","",INDEX('Input Transaksi'!$E:$E,$E689))</f>
        <v/>
      </c>
      <c r="D689" s="5">
        <f>IF($E689="","",INDEX('Input Transaksi'!$F:$F,$E689))</f>
        <v/>
      </c>
      <c r="E689">
        <f>IFERROR(AGGREGATE(15,6,ROW('Input Transaksi'!$B$5:$B$5000)/('Input Transaksi'!$B$5:$B$5000="KLIN WASH"),ROWS($E$5:E689)),"")</f>
        <v/>
      </c>
      <c r="F689" s="5" t="n"/>
    </row>
    <row r="690">
      <c r="A690" s="10">
        <f>IF($E690="","",INDEX('Input Transaksi'!$A:$A,$E690))</f>
        <v/>
      </c>
      <c r="B690" s="5">
        <f>IF($E690="","",INDEX('Input Transaksi'!$D:$D,$E690))</f>
        <v/>
      </c>
      <c r="C690">
        <f>IF($E690="","",INDEX('Input Transaksi'!$E:$E,$E690))</f>
        <v/>
      </c>
      <c r="D690" s="5">
        <f>IF($E690="","",INDEX('Input Transaksi'!$F:$F,$E690))</f>
        <v/>
      </c>
      <c r="E690">
        <f>IFERROR(AGGREGATE(15,6,ROW('Input Transaksi'!$B$5:$B$5000)/('Input Transaksi'!$B$5:$B$5000="KLIN WASH"),ROWS($E$5:E690)),"")</f>
        <v/>
      </c>
      <c r="F690" s="5" t="n"/>
    </row>
    <row r="691">
      <c r="A691" s="10">
        <f>IF($E691="","",INDEX('Input Transaksi'!$A:$A,$E691))</f>
        <v/>
      </c>
      <c r="B691" s="5">
        <f>IF($E691="","",INDEX('Input Transaksi'!$D:$D,$E691))</f>
        <v/>
      </c>
      <c r="C691">
        <f>IF($E691="","",INDEX('Input Transaksi'!$E:$E,$E691))</f>
        <v/>
      </c>
      <c r="D691" s="5">
        <f>IF($E691="","",INDEX('Input Transaksi'!$F:$F,$E691))</f>
        <v/>
      </c>
      <c r="E691">
        <f>IFERROR(AGGREGATE(15,6,ROW('Input Transaksi'!$B$5:$B$5000)/('Input Transaksi'!$B$5:$B$5000="KLIN WASH"),ROWS($E$5:E691)),"")</f>
        <v/>
      </c>
      <c r="F691" s="5" t="n"/>
    </row>
    <row r="692">
      <c r="A692" s="10">
        <f>IF($E692="","",INDEX('Input Transaksi'!$A:$A,$E692))</f>
        <v/>
      </c>
      <c r="B692" s="5">
        <f>IF($E692="","",INDEX('Input Transaksi'!$D:$D,$E692))</f>
        <v/>
      </c>
      <c r="C692">
        <f>IF($E692="","",INDEX('Input Transaksi'!$E:$E,$E692))</f>
        <v/>
      </c>
      <c r="D692" s="5">
        <f>IF($E692="","",INDEX('Input Transaksi'!$F:$F,$E692))</f>
        <v/>
      </c>
      <c r="E692">
        <f>IFERROR(AGGREGATE(15,6,ROW('Input Transaksi'!$B$5:$B$5000)/('Input Transaksi'!$B$5:$B$5000="KLIN WASH"),ROWS($E$5:E692)),"")</f>
        <v/>
      </c>
      <c r="F692" s="5" t="n"/>
    </row>
    <row r="693">
      <c r="A693" s="10">
        <f>IF($E693="","",INDEX('Input Transaksi'!$A:$A,$E693))</f>
        <v/>
      </c>
      <c r="B693" s="5">
        <f>IF($E693="","",INDEX('Input Transaksi'!$D:$D,$E693))</f>
        <v/>
      </c>
      <c r="C693">
        <f>IF($E693="","",INDEX('Input Transaksi'!$E:$E,$E693))</f>
        <v/>
      </c>
      <c r="D693" s="5">
        <f>IF($E693="","",INDEX('Input Transaksi'!$F:$F,$E693))</f>
        <v/>
      </c>
      <c r="E693">
        <f>IFERROR(AGGREGATE(15,6,ROW('Input Transaksi'!$B$5:$B$5000)/('Input Transaksi'!$B$5:$B$5000="KLIN WASH"),ROWS($E$5:E693)),"")</f>
        <v/>
      </c>
      <c r="F693" s="5" t="n"/>
    </row>
    <row r="694">
      <c r="A694" s="10">
        <f>IF($E694="","",INDEX('Input Transaksi'!$A:$A,$E694))</f>
        <v/>
      </c>
      <c r="B694" s="5">
        <f>IF($E694="","",INDEX('Input Transaksi'!$D:$D,$E694))</f>
        <v/>
      </c>
      <c r="C694">
        <f>IF($E694="","",INDEX('Input Transaksi'!$E:$E,$E694))</f>
        <v/>
      </c>
      <c r="D694" s="5">
        <f>IF($E694="","",INDEX('Input Transaksi'!$F:$F,$E694))</f>
        <v/>
      </c>
      <c r="E694">
        <f>IFERROR(AGGREGATE(15,6,ROW('Input Transaksi'!$B$5:$B$5000)/('Input Transaksi'!$B$5:$B$5000="KLIN WASH"),ROWS($E$5:E694)),"")</f>
        <v/>
      </c>
      <c r="F694" s="5" t="n"/>
    </row>
    <row r="695">
      <c r="A695" s="10">
        <f>IF($E695="","",INDEX('Input Transaksi'!$A:$A,$E695))</f>
        <v/>
      </c>
      <c r="B695" s="5">
        <f>IF($E695="","",INDEX('Input Transaksi'!$D:$D,$E695))</f>
        <v/>
      </c>
      <c r="C695">
        <f>IF($E695="","",INDEX('Input Transaksi'!$E:$E,$E695))</f>
        <v/>
      </c>
      <c r="D695" s="5">
        <f>IF($E695="","",INDEX('Input Transaksi'!$F:$F,$E695))</f>
        <v/>
      </c>
      <c r="E695">
        <f>IFERROR(AGGREGATE(15,6,ROW('Input Transaksi'!$B$5:$B$5000)/('Input Transaksi'!$B$5:$B$5000="KLIN WASH"),ROWS($E$5:E695)),"")</f>
        <v/>
      </c>
      <c r="F695" s="5" t="n"/>
    </row>
    <row r="696">
      <c r="A696" s="10">
        <f>IF($E696="","",INDEX('Input Transaksi'!$A:$A,$E696))</f>
        <v/>
      </c>
      <c r="B696" s="5">
        <f>IF($E696="","",INDEX('Input Transaksi'!$D:$D,$E696))</f>
        <v/>
      </c>
      <c r="C696">
        <f>IF($E696="","",INDEX('Input Transaksi'!$E:$E,$E696))</f>
        <v/>
      </c>
      <c r="D696" s="5">
        <f>IF($E696="","",INDEX('Input Transaksi'!$F:$F,$E696))</f>
        <v/>
      </c>
      <c r="E696">
        <f>IFERROR(AGGREGATE(15,6,ROW('Input Transaksi'!$B$5:$B$5000)/('Input Transaksi'!$B$5:$B$5000="KLIN WASH"),ROWS($E$5:E696)),"")</f>
        <v/>
      </c>
      <c r="F696" s="5" t="n"/>
    </row>
    <row r="697">
      <c r="A697" s="10">
        <f>IF($E697="","",INDEX('Input Transaksi'!$A:$A,$E697))</f>
        <v/>
      </c>
      <c r="B697" s="5">
        <f>IF($E697="","",INDEX('Input Transaksi'!$D:$D,$E697))</f>
        <v/>
      </c>
      <c r="C697">
        <f>IF($E697="","",INDEX('Input Transaksi'!$E:$E,$E697))</f>
        <v/>
      </c>
      <c r="D697" s="5">
        <f>IF($E697="","",INDEX('Input Transaksi'!$F:$F,$E697))</f>
        <v/>
      </c>
      <c r="E697">
        <f>IFERROR(AGGREGATE(15,6,ROW('Input Transaksi'!$B$5:$B$5000)/('Input Transaksi'!$B$5:$B$5000="KLIN WASH"),ROWS($E$5:E697)),"")</f>
        <v/>
      </c>
      <c r="F697" s="5" t="n"/>
    </row>
    <row r="698">
      <c r="A698" s="10">
        <f>IF($E698="","",INDEX('Input Transaksi'!$A:$A,$E698))</f>
        <v/>
      </c>
      <c r="B698" s="5">
        <f>IF($E698="","",INDEX('Input Transaksi'!$D:$D,$E698))</f>
        <v/>
      </c>
      <c r="C698">
        <f>IF($E698="","",INDEX('Input Transaksi'!$E:$E,$E698))</f>
        <v/>
      </c>
      <c r="D698" s="5">
        <f>IF($E698="","",INDEX('Input Transaksi'!$F:$F,$E698))</f>
        <v/>
      </c>
      <c r="E698">
        <f>IFERROR(AGGREGATE(15,6,ROW('Input Transaksi'!$B$5:$B$5000)/('Input Transaksi'!$B$5:$B$5000="KLIN WASH"),ROWS($E$5:E698)),"")</f>
        <v/>
      </c>
      <c r="F698" s="5" t="n"/>
    </row>
    <row r="699">
      <c r="A699" s="10">
        <f>IF($E699="","",INDEX('Input Transaksi'!$A:$A,$E699))</f>
        <v/>
      </c>
      <c r="B699" s="5">
        <f>IF($E699="","",INDEX('Input Transaksi'!$D:$D,$E699))</f>
        <v/>
      </c>
      <c r="C699">
        <f>IF($E699="","",INDEX('Input Transaksi'!$E:$E,$E699))</f>
        <v/>
      </c>
      <c r="D699" s="5">
        <f>IF($E699="","",INDEX('Input Transaksi'!$F:$F,$E699))</f>
        <v/>
      </c>
      <c r="E699">
        <f>IFERROR(AGGREGATE(15,6,ROW('Input Transaksi'!$B$5:$B$5000)/('Input Transaksi'!$B$5:$B$5000="KLIN WASH"),ROWS($E$5:E699)),"")</f>
        <v/>
      </c>
      <c r="F699" s="5" t="n"/>
    </row>
    <row r="700">
      <c r="A700" s="10">
        <f>IF($E700="","",INDEX('Input Transaksi'!$A:$A,$E700))</f>
        <v/>
      </c>
      <c r="B700" s="5">
        <f>IF($E700="","",INDEX('Input Transaksi'!$D:$D,$E700))</f>
        <v/>
      </c>
      <c r="C700">
        <f>IF($E700="","",INDEX('Input Transaksi'!$E:$E,$E700))</f>
        <v/>
      </c>
      <c r="D700" s="5">
        <f>IF($E700="","",INDEX('Input Transaksi'!$F:$F,$E700))</f>
        <v/>
      </c>
      <c r="E700">
        <f>IFERROR(AGGREGATE(15,6,ROW('Input Transaksi'!$B$5:$B$5000)/('Input Transaksi'!$B$5:$B$5000="KLIN WASH"),ROWS($E$5:E700)),"")</f>
        <v/>
      </c>
      <c r="F700" s="5" t="n"/>
    </row>
    <row r="701">
      <c r="A701" s="10">
        <f>IF($E701="","",INDEX('Input Transaksi'!$A:$A,$E701))</f>
        <v/>
      </c>
      <c r="B701" s="5">
        <f>IF($E701="","",INDEX('Input Transaksi'!$D:$D,$E701))</f>
        <v/>
      </c>
      <c r="C701">
        <f>IF($E701="","",INDEX('Input Transaksi'!$E:$E,$E701))</f>
        <v/>
      </c>
      <c r="D701" s="5">
        <f>IF($E701="","",INDEX('Input Transaksi'!$F:$F,$E701))</f>
        <v/>
      </c>
      <c r="E701">
        <f>IFERROR(AGGREGATE(15,6,ROW('Input Transaksi'!$B$5:$B$5000)/('Input Transaksi'!$B$5:$B$5000="KLIN WASH"),ROWS($E$5:E701)),"")</f>
        <v/>
      </c>
      <c r="F701" s="5" t="n"/>
    </row>
    <row r="702">
      <c r="A702" s="10">
        <f>IF($E702="","",INDEX('Input Transaksi'!$A:$A,$E702))</f>
        <v/>
      </c>
      <c r="B702" s="5">
        <f>IF($E702="","",INDEX('Input Transaksi'!$D:$D,$E702))</f>
        <v/>
      </c>
      <c r="C702">
        <f>IF($E702="","",INDEX('Input Transaksi'!$E:$E,$E702))</f>
        <v/>
      </c>
      <c r="D702" s="5">
        <f>IF($E702="","",INDEX('Input Transaksi'!$F:$F,$E702))</f>
        <v/>
      </c>
      <c r="E702">
        <f>IFERROR(AGGREGATE(15,6,ROW('Input Transaksi'!$B$5:$B$5000)/('Input Transaksi'!$B$5:$B$5000="KLIN WASH"),ROWS($E$5:E702)),"")</f>
        <v/>
      </c>
      <c r="F702" s="5" t="n"/>
    </row>
    <row r="703">
      <c r="A703" s="10">
        <f>IF($E703="","",INDEX('Input Transaksi'!$A:$A,$E703))</f>
        <v/>
      </c>
      <c r="B703" s="5">
        <f>IF($E703="","",INDEX('Input Transaksi'!$D:$D,$E703))</f>
        <v/>
      </c>
      <c r="C703">
        <f>IF($E703="","",INDEX('Input Transaksi'!$E:$E,$E703))</f>
        <v/>
      </c>
      <c r="D703" s="5">
        <f>IF($E703="","",INDEX('Input Transaksi'!$F:$F,$E703))</f>
        <v/>
      </c>
      <c r="E703">
        <f>IFERROR(AGGREGATE(15,6,ROW('Input Transaksi'!$B$5:$B$5000)/('Input Transaksi'!$B$5:$B$5000="KLIN WASH"),ROWS($E$5:E703)),"")</f>
        <v/>
      </c>
      <c r="F703" s="5" t="n"/>
    </row>
    <row r="704">
      <c r="A704" s="10">
        <f>IF($E704="","",INDEX('Input Transaksi'!$A:$A,$E704))</f>
        <v/>
      </c>
      <c r="B704" s="5">
        <f>IF($E704="","",INDEX('Input Transaksi'!$D:$D,$E704))</f>
        <v/>
      </c>
      <c r="C704">
        <f>IF($E704="","",INDEX('Input Transaksi'!$E:$E,$E704))</f>
        <v/>
      </c>
      <c r="D704" s="5">
        <f>IF($E704="","",INDEX('Input Transaksi'!$F:$F,$E704))</f>
        <v/>
      </c>
      <c r="E704">
        <f>IFERROR(AGGREGATE(15,6,ROW('Input Transaksi'!$B$5:$B$5000)/('Input Transaksi'!$B$5:$B$5000="KLIN WASH"),ROWS($E$5:E704)),"")</f>
        <v/>
      </c>
      <c r="F704" s="5" t="n"/>
    </row>
    <row r="705">
      <c r="A705" s="10">
        <f>IF($E705="","",INDEX('Input Transaksi'!$A:$A,$E705))</f>
        <v/>
      </c>
      <c r="B705" s="5">
        <f>IF($E705="","",INDEX('Input Transaksi'!$D:$D,$E705))</f>
        <v/>
      </c>
      <c r="C705">
        <f>IF($E705="","",INDEX('Input Transaksi'!$E:$E,$E705))</f>
        <v/>
      </c>
      <c r="D705" s="5">
        <f>IF($E705="","",INDEX('Input Transaksi'!$F:$F,$E705))</f>
        <v/>
      </c>
      <c r="E705">
        <f>IFERROR(AGGREGATE(15,6,ROW('Input Transaksi'!$B$5:$B$5000)/('Input Transaksi'!$B$5:$B$5000="KLIN WASH"),ROWS($E$5:E705)),"")</f>
        <v/>
      </c>
      <c r="F705" s="5" t="n"/>
    </row>
    <row r="706">
      <c r="A706" s="10">
        <f>IF($E706="","",INDEX('Input Transaksi'!$A:$A,$E706))</f>
        <v/>
      </c>
      <c r="B706" s="5">
        <f>IF($E706="","",INDEX('Input Transaksi'!$D:$D,$E706))</f>
        <v/>
      </c>
      <c r="C706">
        <f>IF($E706="","",INDEX('Input Transaksi'!$E:$E,$E706))</f>
        <v/>
      </c>
      <c r="D706" s="5">
        <f>IF($E706="","",INDEX('Input Transaksi'!$F:$F,$E706))</f>
        <v/>
      </c>
      <c r="E706">
        <f>IFERROR(AGGREGATE(15,6,ROW('Input Transaksi'!$B$5:$B$5000)/('Input Transaksi'!$B$5:$B$5000="KLIN WASH"),ROWS($E$5:E706)),"")</f>
        <v/>
      </c>
      <c r="F706" s="5" t="n"/>
    </row>
    <row r="707">
      <c r="A707" s="10">
        <f>IF($E707="","",INDEX('Input Transaksi'!$A:$A,$E707))</f>
        <v/>
      </c>
      <c r="B707" s="5">
        <f>IF($E707="","",INDEX('Input Transaksi'!$D:$D,$E707))</f>
        <v/>
      </c>
      <c r="C707">
        <f>IF($E707="","",INDEX('Input Transaksi'!$E:$E,$E707))</f>
        <v/>
      </c>
      <c r="D707" s="5">
        <f>IF($E707="","",INDEX('Input Transaksi'!$F:$F,$E707))</f>
        <v/>
      </c>
      <c r="E707">
        <f>IFERROR(AGGREGATE(15,6,ROW('Input Transaksi'!$B$5:$B$5000)/('Input Transaksi'!$B$5:$B$5000="KLIN WASH"),ROWS($E$5:E707)),"")</f>
        <v/>
      </c>
      <c r="F707" s="5" t="n"/>
    </row>
    <row r="708">
      <c r="A708" s="10">
        <f>IF($E708="","",INDEX('Input Transaksi'!$A:$A,$E708))</f>
        <v/>
      </c>
      <c r="B708" s="5">
        <f>IF($E708="","",INDEX('Input Transaksi'!$D:$D,$E708))</f>
        <v/>
      </c>
      <c r="C708">
        <f>IF($E708="","",INDEX('Input Transaksi'!$E:$E,$E708))</f>
        <v/>
      </c>
      <c r="D708" s="5">
        <f>IF($E708="","",INDEX('Input Transaksi'!$F:$F,$E708))</f>
        <v/>
      </c>
      <c r="E708">
        <f>IFERROR(AGGREGATE(15,6,ROW('Input Transaksi'!$B$5:$B$5000)/('Input Transaksi'!$B$5:$B$5000="KLIN WASH"),ROWS($E$5:E708)),"")</f>
        <v/>
      </c>
      <c r="F708" s="5" t="n"/>
    </row>
    <row r="709">
      <c r="A709" s="10">
        <f>IF($E709="","",INDEX('Input Transaksi'!$A:$A,$E709))</f>
        <v/>
      </c>
      <c r="B709" s="5">
        <f>IF($E709="","",INDEX('Input Transaksi'!$D:$D,$E709))</f>
        <v/>
      </c>
      <c r="C709">
        <f>IF($E709="","",INDEX('Input Transaksi'!$E:$E,$E709))</f>
        <v/>
      </c>
      <c r="D709" s="5">
        <f>IF($E709="","",INDEX('Input Transaksi'!$F:$F,$E709))</f>
        <v/>
      </c>
      <c r="E709">
        <f>IFERROR(AGGREGATE(15,6,ROW('Input Transaksi'!$B$5:$B$5000)/('Input Transaksi'!$B$5:$B$5000="KLIN WASH"),ROWS($E$5:E709)),"")</f>
        <v/>
      </c>
      <c r="F709" s="5" t="n"/>
    </row>
    <row r="710">
      <c r="A710" s="10">
        <f>IF($E710="","",INDEX('Input Transaksi'!$A:$A,$E710))</f>
        <v/>
      </c>
      <c r="B710" s="5">
        <f>IF($E710="","",INDEX('Input Transaksi'!$D:$D,$E710))</f>
        <v/>
      </c>
      <c r="C710">
        <f>IF($E710="","",INDEX('Input Transaksi'!$E:$E,$E710))</f>
        <v/>
      </c>
      <c r="D710" s="5">
        <f>IF($E710="","",INDEX('Input Transaksi'!$F:$F,$E710))</f>
        <v/>
      </c>
      <c r="E710">
        <f>IFERROR(AGGREGATE(15,6,ROW('Input Transaksi'!$B$5:$B$5000)/('Input Transaksi'!$B$5:$B$5000="KLIN WASH"),ROWS($E$5:E710)),"")</f>
        <v/>
      </c>
      <c r="F710" s="5" t="n"/>
    </row>
    <row r="711">
      <c r="A711" s="10">
        <f>IF($E711="","",INDEX('Input Transaksi'!$A:$A,$E711))</f>
        <v/>
      </c>
      <c r="B711" s="5">
        <f>IF($E711="","",INDEX('Input Transaksi'!$D:$D,$E711))</f>
        <v/>
      </c>
      <c r="C711">
        <f>IF($E711="","",INDEX('Input Transaksi'!$E:$E,$E711))</f>
        <v/>
      </c>
      <c r="D711" s="5">
        <f>IF($E711="","",INDEX('Input Transaksi'!$F:$F,$E711))</f>
        <v/>
      </c>
      <c r="E711">
        <f>IFERROR(AGGREGATE(15,6,ROW('Input Transaksi'!$B$5:$B$5000)/('Input Transaksi'!$B$5:$B$5000="KLIN WASH"),ROWS($E$5:E711)),"")</f>
        <v/>
      </c>
      <c r="F711" s="5" t="n"/>
    </row>
    <row r="712">
      <c r="A712" s="10">
        <f>IF($E712="","",INDEX('Input Transaksi'!$A:$A,$E712))</f>
        <v/>
      </c>
      <c r="B712" s="5">
        <f>IF($E712="","",INDEX('Input Transaksi'!$D:$D,$E712))</f>
        <v/>
      </c>
      <c r="C712">
        <f>IF($E712="","",INDEX('Input Transaksi'!$E:$E,$E712))</f>
        <v/>
      </c>
      <c r="D712" s="5">
        <f>IF($E712="","",INDEX('Input Transaksi'!$F:$F,$E712))</f>
        <v/>
      </c>
      <c r="E712">
        <f>IFERROR(AGGREGATE(15,6,ROW('Input Transaksi'!$B$5:$B$5000)/('Input Transaksi'!$B$5:$B$5000="KLIN WASH"),ROWS($E$5:E712)),"")</f>
        <v/>
      </c>
      <c r="F712" s="5" t="n"/>
    </row>
    <row r="713">
      <c r="A713" s="10">
        <f>IF($E713="","",INDEX('Input Transaksi'!$A:$A,$E713))</f>
        <v/>
      </c>
      <c r="B713" s="5">
        <f>IF($E713="","",INDEX('Input Transaksi'!$D:$D,$E713))</f>
        <v/>
      </c>
      <c r="C713">
        <f>IF($E713="","",INDEX('Input Transaksi'!$E:$E,$E713))</f>
        <v/>
      </c>
      <c r="D713" s="5">
        <f>IF($E713="","",INDEX('Input Transaksi'!$F:$F,$E713))</f>
        <v/>
      </c>
      <c r="E713">
        <f>IFERROR(AGGREGATE(15,6,ROW('Input Transaksi'!$B$5:$B$5000)/('Input Transaksi'!$B$5:$B$5000="KLIN WASH"),ROWS($E$5:E713)),"")</f>
        <v/>
      </c>
      <c r="F713" s="5" t="n"/>
    </row>
    <row r="714">
      <c r="A714" s="10">
        <f>IF($E714="","",INDEX('Input Transaksi'!$A:$A,$E714))</f>
        <v/>
      </c>
      <c r="B714" s="5">
        <f>IF($E714="","",INDEX('Input Transaksi'!$D:$D,$E714))</f>
        <v/>
      </c>
      <c r="C714">
        <f>IF($E714="","",INDEX('Input Transaksi'!$E:$E,$E714))</f>
        <v/>
      </c>
      <c r="D714" s="5">
        <f>IF($E714="","",INDEX('Input Transaksi'!$F:$F,$E714))</f>
        <v/>
      </c>
      <c r="E714">
        <f>IFERROR(AGGREGATE(15,6,ROW('Input Transaksi'!$B$5:$B$5000)/('Input Transaksi'!$B$5:$B$5000="KLIN WASH"),ROWS($E$5:E714)),"")</f>
        <v/>
      </c>
      <c r="F714" s="5" t="n"/>
    </row>
    <row r="715">
      <c r="A715" s="10">
        <f>IF($E715="","",INDEX('Input Transaksi'!$A:$A,$E715))</f>
        <v/>
      </c>
      <c r="B715" s="5">
        <f>IF($E715="","",INDEX('Input Transaksi'!$D:$D,$E715))</f>
        <v/>
      </c>
      <c r="C715">
        <f>IF($E715="","",INDEX('Input Transaksi'!$E:$E,$E715))</f>
        <v/>
      </c>
      <c r="D715" s="5">
        <f>IF($E715="","",INDEX('Input Transaksi'!$F:$F,$E715))</f>
        <v/>
      </c>
      <c r="E715">
        <f>IFERROR(AGGREGATE(15,6,ROW('Input Transaksi'!$B$5:$B$5000)/('Input Transaksi'!$B$5:$B$5000="KLIN WASH"),ROWS($E$5:E715)),"")</f>
        <v/>
      </c>
      <c r="F715" s="5" t="n"/>
    </row>
    <row r="716">
      <c r="A716" s="10">
        <f>IF($E716="","",INDEX('Input Transaksi'!$A:$A,$E716))</f>
        <v/>
      </c>
      <c r="B716" s="5">
        <f>IF($E716="","",INDEX('Input Transaksi'!$D:$D,$E716))</f>
        <v/>
      </c>
      <c r="C716">
        <f>IF($E716="","",INDEX('Input Transaksi'!$E:$E,$E716))</f>
        <v/>
      </c>
      <c r="D716" s="5">
        <f>IF($E716="","",INDEX('Input Transaksi'!$F:$F,$E716))</f>
        <v/>
      </c>
      <c r="E716">
        <f>IFERROR(AGGREGATE(15,6,ROW('Input Transaksi'!$B$5:$B$5000)/('Input Transaksi'!$B$5:$B$5000="KLIN WASH"),ROWS($E$5:E716)),"")</f>
        <v/>
      </c>
      <c r="F716" s="5" t="n"/>
    </row>
    <row r="717">
      <c r="A717" s="10">
        <f>IF($E717="","",INDEX('Input Transaksi'!$A:$A,$E717))</f>
        <v/>
      </c>
      <c r="B717" s="5">
        <f>IF($E717="","",INDEX('Input Transaksi'!$D:$D,$E717))</f>
        <v/>
      </c>
      <c r="C717">
        <f>IF($E717="","",INDEX('Input Transaksi'!$E:$E,$E717))</f>
        <v/>
      </c>
      <c r="D717" s="5">
        <f>IF($E717="","",INDEX('Input Transaksi'!$F:$F,$E717))</f>
        <v/>
      </c>
      <c r="E717">
        <f>IFERROR(AGGREGATE(15,6,ROW('Input Transaksi'!$B$5:$B$5000)/('Input Transaksi'!$B$5:$B$5000="KLIN WASH"),ROWS($E$5:E717)),"")</f>
        <v/>
      </c>
      <c r="F717" s="5" t="n"/>
    </row>
    <row r="718">
      <c r="A718" s="10">
        <f>IF($E718="","",INDEX('Input Transaksi'!$A:$A,$E718))</f>
        <v/>
      </c>
      <c r="B718" s="5">
        <f>IF($E718="","",INDEX('Input Transaksi'!$D:$D,$E718))</f>
        <v/>
      </c>
      <c r="C718">
        <f>IF($E718="","",INDEX('Input Transaksi'!$E:$E,$E718))</f>
        <v/>
      </c>
      <c r="D718" s="5">
        <f>IF($E718="","",INDEX('Input Transaksi'!$F:$F,$E718))</f>
        <v/>
      </c>
      <c r="E718">
        <f>IFERROR(AGGREGATE(15,6,ROW('Input Transaksi'!$B$5:$B$5000)/('Input Transaksi'!$B$5:$B$5000="KLIN WASH"),ROWS($E$5:E718)),"")</f>
        <v/>
      </c>
      <c r="F718" s="5" t="n"/>
    </row>
    <row r="719">
      <c r="A719" s="10">
        <f>IF($E719="","",INDEX('Input Transaksi'!$A:$A,$E719))</f>
        <v/>
      </c>
      <c r="B719" s="5">
        <f>IF($E719="","",INDEX('Input Transaksi'!$D:$D,$E719))</f>
        <v/>
      </c>
      <c r="C719">
        <f>IF($E719="","",INDEX('Input Transaksi'!$E:$E,$E719))</f>
        <v/>
      </c>
      <c r="D719" s="5">
        <f>IF($E719="","",INDEX('Input Transaksi'!$F:$F,$E719))</f>
        <v/>
      </c>
      <c r="E719">
        <f>IFERROR(AGGREGATE(15,6,ROW('Input Transaksi'!$B$5:$B$5000)/('Input Transaksi'!$B$5:$B$5000="KLIN WASH"),ROWS($E$5:E719)),"")</f>
        <v/>
      </c>
      <c r="F719" s="5" t="n"/>
    </row>
    <row r="720">
      <c r="A720" s="10">
        <f>IF($E720="","",INDEX('Input Transaksi'!$A:$A,$E720))</f>
        <v/>
      </c>
      <c r="B720" s="5">
        <f>IF($E720="","",INDEX('Input Transaksi'!$D:$D,$E720))</f>
        <v/>
      </c>
      <c r="C720">
        <f>IF($E720="","",INDEX('Input Transaksi'!$E:$E,$E720))</f>
        <v/>
      </c>
      <c r="D720" s="5">
        <f>IF($E720="","",INDEX('Input Transaksi'!$F:$F,$E720))</f>
        <v/>
      </c>
      <c r="E720">
        <f>IFERROR(AGGREGATE(15,6,ROW('Input Transaksi'!$B$5:$B$5000)/('Input Transaksi'!$B$5:$B$5000="KLIN WASH"),ROWS($E$5:E720)),"")</f>
        <v/>
      </c>
      <c r="F720" s="5" t="n"/>
    </row>
    <row r="721">
      <c r="A721" s="10">
        <f>IF($E721="","",INDEX('Input Transaksi'!$A:$A,$E721))</f>
        <v/>
      </c>
      <c r="B721" s="5">
        <f>IF($E721="","",INDEX('Input Transaksi'!$D:$D,$E721))</f>
        <v/>
      </c>
      <c r="C721">
        <f>IF($E721="","",INDEX('Input Transaksi'!$E:$E,$E721))</f>
        <v/>
      </c>
      <c r="D721" s="5">
        <f>IF($E721="","",INDEX('Input Transaksi'!$F:$F,$E721))</f>
        <v/>
      </c>
      <c r="E721">
        <f>IFERROR(AGGREGATE(15,6,ROW('Input Transaksi'!$B$5:$B$5000)/('Input Transaksi'!$B$5:$B$5000="KLIN WASH"),ROWS($E$5:E721)),"")</f>
        <v/>
      </c>
      <c r="F721" s="5" t="n"/>
    </row>
    <row r="722">
      <c r="A722" s="10">
        <f>IF($E722="","",INDEX('Input Transaksi'!$A:$A,$E722))</f>
        <v/>
      </c>
      <c r="B722" s="5">
        <f>IF($E722="","",INDEX('Input Transaksi'!$D:$D,$E722))</f>
        <v/>
      </c>
      <c r="C722">
        <f>IF($E722="","",INDEX('Input Transaksi'!$E:$E,$E722))</f>
        <v/>
      </c>
      <c r="D722" s="5">
        <f>IF($E722="","",INDEX('Input Transaksi'!$F:$F,$E722))</f>
        <v/>
      </c>
      <c r="E722">
        <f>IFERROR(AGGREGATE(15,6,ROW('Input Transaksi'!$B$5:$B$5000)/('Input Transaksi'!$B$5:$B$5000="KLIN WASH"),ROWS($E$5:E722)),"")</f>
        <v/>
      </c>
      <c r="F722" s="5" t="n"/>
    </row>
    <row r="723">
      <c r="A723" s="10">
        <f>IF($E723="","",INDEX('Input Transaksi'!$A:$A,$E723))</f>
        <v/>
      </c>
      <c r="B723" s="5">
        <f>IF($E723="","",INDEX('Input Transaksi'!$D:$D,$E723))</f>
        <v/>
      </c>
      <c r="C723">
        <f>IF($E723="","",INDEX('Input Transaksi'!$E:$E,$E723))</f>
        <v/>
      </c>
      <c r="D723" s="5">
        <f>IF($E723="","",INDEX('Input Transaksi'!$F:$F,$E723))</f>
        <v/>
      </c>
      <c r="E723">
        <f>IFERROR(AGGREGATE(15,6,ROW('Input Transaksi'!$B$5:$B$5000)/('Input Transaksi'!$B$5:$B$5000="KLIN WASH"),ROWS($E$5:E723)),"")</f>
        <v/>
      </c>
      <c r="F723" s="5" t="n"/>
    </row>
    <row r="724">
      <c r="A724" s="10">
        <f>IF($E724="","",INDEX('Input Transaksi'!$A:$A,$E724))</f>
        <v/>
      </c>
      <c r="B724" s="5">
        <f>IF($E724="","",INDEX('Input Transaksi'!$D:$D,$E724))</f>
        <v/>
      </c>
      <c r="C724">
        <f>IF($E724="","",INDEX('Input Transaksi'!$E:$E,$E724))</f>
        <v/>
      </c>
      <c r="D724" s="5">
        <f>IF($E724="","",INDEX('Input Transaksi'!$F:$F,$E724))</f>
        <v/>
      </c>
      <c r="E724">
        <f>IFERROR(AGGREGATE(15,6,ROW('Input Transaksi'!$B$5:$B$5000)/('Input Transaksi'!$B$5:$B$5000="KLIN WASH"),ROWS($E$5:E724)),"")</f>
        <v/>
      </c>
      <c r="F724" s="5" t="n"/>
    </row>
    <row r="725">
      <c r="A725" s="10">
        <f>IF($E725="","",INDEX('Input Transaksi'!$A:$A,$E725))</f>
        <v/>
      </c>
      <c r="B725" s="5">
        <f>IF($E725="","",INDEX('Input Transaksi'!$D:$D,$E725))</f>
        <v/>
      </c>
      <c r="C725">
        <f>IF($E725="","",INDEX('Input Transaksi'!$E:$E,$E725))</f>
        <v/>
      </c>
      <c r="D725" s="5">
        <f>IF($E725="","",INDEX('Input Transaksi'!$F:$F,$E725))</f>
        <v/>
      </c>
      <c r="E725">
        <f>IFERROR(AGGREGATE(15,6,ROW('Input Transaksi'!$B$5:$B$5000)/('Input Transaksi'!$B$5:$B$5000="KLIN WASH"),ROWS($E$5:E725)),"")</f>
        <v/>
      </c>
      <c r="F725" s="5" t="n"/>
    </row>
    <row r="726">
      <c r="A726" s="10">
        <f>IF($E726="","",INDEX('Input Transaksi'!$A:$A,$E726))</f>
        <v/>
      </c>
      <c r="B726" s="5">
        <f>IF($E726="","",INDEX('Input Transaksi'!$D:$D,$E726))</f>
        <v/>
      </c>
      <c r="C726">
        <f>IF($E726="","",INDEX('Input Transaksi'!$E:$E,$E726))</f>
        <v/>
      </c>
      <c r="D726" s="5">
        <f>IF($E726="","",INDEX('Input Transaksi'!$F:$F,$E726))</f>
        <v/>
      </c>
      <c r="E726">
        <f>IFERROR(AGGREGATE(15,6,ROW('Input Transaksi'!$B$5:$B$5000)/('Input Transaksi'!$B$5:$B$5000="KLIN WASH"),ROWS($E$5:E726)),"")</f>
        <v/>
      </c>
      <c r="F726" s="5" t="n"/>
    </row>
    <row r="727">
      <c r="A727" s="10">
        <f>IF($E727="","",INDEX('Input Transaksi'!$A:$A,$E727))</f>
        <v/>
      </c>
      <c r="B727" s="5">
        <f>IF($E727="","",INDEX('Input Transaksi'!$D:$D,$E727))</f>
        <v/>
      </c>
      <c r="C727">
        <f>IF($E727="","",INDEX('Input Transaksi'!$E:$E,$E727))</f>
        <v/>
      </c>
      <c r="D727" s="5">
        <f>IF($E727="","",INDEX('Input Transaksi'!$F:$F,$E727))</f>
        <v/>
      </c>
      <c r="E727">
        <f>IFERROR(AGGREGATE(15,6,ROW('Input Transaksi'!$B$5:$B$5000)/('Input Transaksi'!$B$5:$B$5000="KLIN WASH"),ROWS($E$5:E727)),"")</f>
        <v/>
      </c>
      <c r="F727" s="5" t="n"/>
    </row>
    <row r="728">
      <c r="A728" s="10">
        <f>IF($E728="","",INDEX('Input Transaksi'!$A:$A,$E728))</f>
        <v/>
      </c>
      <c r="B728" s="5">
        <f>IF($E728="","",INDEX('Input Transaksi'!$D:$D,$E728))</f>
        <v/>
      </c>
      <c r="C728">
        <f>IF($E728="","",INDEX('Input Transaksi'!$E:$E,$E728))</f>
        <v/>
      </c>
      <c r="D728" s="5">
        <f>IF($E728="","",INDEX('Input Transaksi'!$F:$F,$E728))</f>
        <v/>
      </c>
      <c r="E728">
        <f>IFERROR(AGGREGATE(15,6,ROW('Input Transaksi'!$B$5:$B$5000)/('Input Transaksi'!$B$5:$B$5000="KLIN WASH"),ROWS($E$5:E728)),"")</f>
        <v/>
      </c>
      <c r="F728" s="5" t="n"/>
    </row>
    <row r="729">
      <c r="A729" s="10">
        <f>IF($E729="","",INDEX('Input Transaksi'!$A:$A,$E729))</f>
        <v/>
      </c>
      <c r="B729" s="5">
        <f>IF($E729="","",INDEX('Input Transaksi'!$D:$D,$E729))</f>
        <v/>
      </c>
      <c r="C729">
        <f>IF($E729="","",INDEX('Input Transaksi'!$E:$E,$E729))</f>
        <v/>
      </c>
      <c r="D729" s="5">
        <f>IF($E729="","",INDEX('Input Transaksi'!$F:$F,$E729))</f>
        <v/>
      </c>
      <c r="E729">
        <f>IFERROR(AGGREGATE(15,6,ROW('Input Transaksi'!$B$5:$B$5000)/('Input Transaksi'!$B$5:$B$5000="KLIN WASH"),ROWS($E$5:E729)),"")</f>
        <v/>
      </c>
      <c r="F729" s="5" t="n"/>
    </row>
    <row r="730">
      <c r="A730" s="10">
        <f>IF($E730="","",INDEX('Input Transaksi'!$A:$A,$E730))</f>
        <v/>
      </c>
      <c r="B730" s="5">
        <f>IF($E730="","",INDEX('Input Transaksi'!$D:$D,$E730))</f>
        <v/>
      </c>
      <c r="C730">
        <f>IF($E730="","",INDEX('Input Transaksi'!$E:$E,$E730))</f>
        <v/>
      </c>
      <c r="D730" s="5">
        <f>IF($E730="","",INDEX('Input Transaksi'!$F:$F,$E730))</f>
        <v/>
      </c>
      <c r="E730">
        <f>IFERROR(AGGREGATE(15,6,ROW('Input Transaksi'!$B$5:$B$5000)/('Input Transaksi'!$B$5:$B$5000="KLIN WASH"),ROWS($E$5:E730)),"")</f>
        <v/>
      </c>
      <c r="F730" s="5" t="n"/>
    </row>
    <row r="731">
      <c r="A731" s="10">
        <f>IF($E731="","",INDEX('Input Transaksi'!$A:$A,$E731))</f>
        <v/>
      </c>
      <c r="B731" s="5">
        <f>IF($E731="","",INDEX('Input Transaksi'!$D:$D,$E731))</f>
        <v/>
      </c>
      <c r="C731">
        <f>IF($E731="","",INDEX('Input Transaksi'!$E:$E,$E731))</f>
        <v/>
      </c>
      <c r="D731" s="5">
        <f>IF($E731="","",INDEX('Input Transaksi'!$F:$F,$E731))</f>
        <v/>
      </c>
      <c r="E731">
        <f>IFERROR(AGGREGATE(15,6,ROW('Input Transaksi'!$B$5:$B$5000)/('Input Transaksi'!$B$5:$B$5000="KLIN WASH"),ROWS($E$5:E731)),"")</f>
        <v/>
      </c>
      <c r="F731" s="5" t="n"/>
    </row>
    <row r="732">
      <c r="A732" s="10">
        <f>IF($E732="","",INDEX('Input Transaksi'!$A:$A,$E732))</f>
        <v/>
      </c>
      <c r="B732" s="5">
        <f>IF($E732="","",INDEX('Input Transaksi'!$D:$D,$E732))</f>
        <v/>
      </c>
      <c r="C732">
        <f>IF($E732="","",INDEX('Input Transaksi'!$E:$E,$E732))</f>
        <v/>
      </c>
      <c r="D732" s="5">
        <f>IF($E732="","",INDEX('Input Transaksi'!$F:$F,$E732))</f>
        <v/>
      </c>
      <c r="E732">
        <f>IFERROR(AGGREGATE(15,6,ROW('Input Transaksi'!$B$5:$B$5000)/('Input Transaksi'!$B$5:$B$5000="KLIN WASH"),ROWS($E$5:E732)),"")</f>
        <v/>
      </c>
      <c r="F732" s="5" t="n"/>
    </row>
    <row r="733">
      <c r="A733" s="10">
        <f>IF($E733="","",INDEX('Input Transaksi'!$A:$A,$E733))</f>
        <v/>
      </c>
      <c r="B733" s="5">
        <f>IF($E733="","",INDEX('Input Transaksi'!$D:$D,$E733))</f>
        <v/>
      </c>
      <c r="C733">
        <f>IF($E733="","",INDEX('Input Transaksi'!$E:$E,$E733))</f>
        <v/>
      </c>
      <c r="D733" s="5">
        <f>IF($E733="","",INDEX('Input Transaksi'!$F:$F,$E733))</f>
        <v/>
      </c>
      <c r="E733">
        <f>IFERROR(AGGREGATE(15,6,ROW('Input Transaksi'!$B$5:$B$5000)/('Input Transaksi'!$B$5:$B$5000="KLIN WASH"),ROWS($E$5:E733)),"")</f>
        <v/>
      </c>
      <c r="F733" s="5" t="n"/>
    </row>
    <row r="734">
      <c r="A734" s="10">
        <f>IF($E734="","",INDEX('Input Transaksi'!$A:$A,$E734))</f>
        <v/>
      </c>
      <c r="B734" s="5">
        <f>IF($E734="","",INDEX('Input Transaksi'!$D:$D,$E734))</f>
        <v/>
      </c>
      <c r="C734">
        <f>IF($E734="","",INDEX('Input Transaksi'!$E:$E,$E734))</f>
        <v/>
      </c>
      <c r="D734" s="5">
        <f>IF($E734="","",INDEX('Input Transaksi'!$F:$F,$E734))</f>
        <v/>
      </c>
      <c r="E734">
        <f>IFERROR(AGGREGATE(15,6,ROW('Input Transaksi'!$B$5:$B$5000)/('Input Transaksi'!$B$5:$B$5000="KLIN WASH"),ROWS($E$5:E734)),"")</f>
        <v/>
      </c>
      <c r="F734" s="5" t="n"/>
    </row>
    <row r="735">
      <c r="A735" s="10">
        <f>IF($E735="","",INDEX('Input Transaksi'!$A:$A,$E735))</f>
        <v/>
      </c>
      <c r="B735" s="5">
        <f>IF($E735="","",INDEX('Input Transaksi'!$D:$D,$E735))</f>
        <v/>
      </c>
      <c r="C735">
        <f>IF($E735="","",INDEX('Input Transaksi'!$E:$E,$E735))</f>
        <v/>
      </c>
      <c r="D735" s="5">
        <f>IF($E735="","",INDEX('Input Transaksi'!$F:$F,$E735))</f>
        <v/>
      </c>
      <c r="E735">
        <f>IFERROR(AGGREGATE(15,6,ROW('Input Transaksi'!$B$5:$B$5000)/('Input Transaksi'!$B$5:$B$5000="KLIN WASH"),ROWS($E$5:E735)),"")</f>
        <v/>
      </c>
      <c r="F735" s="5" t="n"/>
    </row>
    <row r="736">
      <c r="A736" s="10">
        <f>IF($E736="","",INDEX('Input Transaksi'!$A:$A,$E736))</f>
        <v/>
      </c>
      <c r="B736" s="5">
        <f>IF($E736="","",INDEX('Input Transaksi'!$D:$D,$E736))</f>
        <v/>
      </c>
      <c r="C736">
        <f>IF($E736="","",INDEX('Input Transaksi'!$E:$E,$E736))</f>
        <v/>
      </c>
      <c r="D736" s="5">
        <f>IF($E736="","",INDEX('Input Transaksi'!$F:$F,$E736))</f>
        <v/>
      </c>
      <c r="E736">
        <f>IFERROR(AGGREGATE(15,6,ROW('Input Transaksi'!$B$5:$B$5000)/('Input Transaksi'!$B$5:$B$5000="KLIN WASH"),ROWS($E$5:E736)),"")</f>
        <v/>
      </c>
      <c r="F736" s="5" t="n"/>
    </row>
    <row r="737">
      <c r="A737" s="10">
        <f>IF($E737="","",INDEX('Input Transaksi'!$A:$A,$E737))</f>
        <v/>
      </c>
      <c r="B737" s="5">
        <f>IF($E737="","",INDEX('Input Transaksi'!$D:$D,$E737))</f>
        <v/>
      </c>
      <c r="C737">
        <f>IF($E737="","",INDEX('Input Transaksi'!$E:$E,$E737))</f>
        <v/>
      </c>
      <c r="D737" s="5">
        <f>IF($E737="","",INDEX('Input Transaksi'!$F:$F,$E737))</f>
        <v/>
      </c>
      <c r="E737">
        <f>IFERROR(AGGREGATE(15,6,ROW('Input Transaksi'!$B$5:$B$5000)/('Input Transaksi'!$B$5:$B$5000="KLIN WASH"),ROWS($E$5:E737)),"")</f>
        <v/>
      </c>
      <c r="F737" s="5" t="n"/>
    </row>
    <row r="738">
      <c r="A738" s="10">
        <f>IF($E738="","",INDEX('Input Transaksi'!$A:$A,$E738))</f>
        <v/>
      </c>
      <c r="B738" s="5">
        <f>IF($E738="","",INDEX('Input Transaksi'!$D:$D,$E738))</f>
        <v/>
      </c>
      <c r="C738">
        <f>IF($E738="","",INDEX('Input Transaksi'!$E:$E,$E738))</f>
        <v/>
      </c>
      <c r="D738" s="5">
        <f>IF($E738="","",INDEX('Input Transaksi'!$F:$F,$E738))</f>
        <v/>
      </c>
      <c r="E738">
        <f>IFERROR(AGGREGATE(15,6,ROW('Input Transaksi'!$B$5:$B$5000)/('Input Transaksi'!$B$5:$B$5000="KLIN WASH"),ROWS($E$5:E738)),"")</f>
        <v/>
      </c>
      <c r="F738" s="5" t="n"/>
    </row>
    <row r="739">
      <c r="A739" s="10">
        <f>IF($E739="","",INDEX('Input Transaksi'!$A:$A,$E739))</f>
        <v/>
      </c>
      <c r="B739" s="5">
        <f>IF($E739="","",INDEX('Input Transaksi'!$D:$D,$E739))</f>
        <v/>
      </c>
      <c r="C739">
        <f>IF($E739="","",INDEX('Input Transaksi'!$E:$E,$E739))</f>
        <v/>
      </c>
      <c r="D739" s="5">
        <f>IF($E739="","",INDEX('Input Transaksi'!$F:$F,$E739))</f>
        <v/>
      </c>
      <c r="E739">
        <f>IFERROR(AGGREGATE(15,6,ROW('Input Transaksi'!$B$5:$B$5000)/('Input Transaksi'!$B$5:$B$5000="KLIN WASH"),ROWS($E$5:E739)),"")</f>
        <v/>
      </c>
      <c r="F739" s="5" t="n"/>
    </row>
    <row r="740">
      <c r="A740" s="10">
        <f>IF($E740="","",INDEX('Input Transaksi'!$A:$A,$E740))</f>
        <v/>
      </c>
      <c r="B740" s="5">
        <f>IF($E740="","",INDEX('Input Transaksi'!$D:$D,$E740))</f>
        <v/>
      </c>
      <c r="C740">
        <f>IF($E740="","",INDEX('Input Transaksi'!$E:$E,$E740))</f>
        <v/>
      </c>
      <c r="D740" s="5">
        <f>IF($E740="","",INDEX('Input Transaksi'!$F:$F,$E740))</f>
        <v/>
      </c>
      <c r="E740">
        <f>IFERROR(AGGREGATE(15,6,ROW('Input Transaksi'!$B$5:$B$5000)/('Input Transaksi'!$B$5:$B$5000="KLIN WASH"),ROWS($E$5:E740)),"")</f>
        <v/>
      </c>
      <c r="F740" s="5" t="n"/>
    </row>
    <row r="741">
      <c r="A741" s="10">
        <f>IF($E741="","",INDEX('Input Transaksi'!$A:$A,$E741))</f>
        <v/>
      </c>
      <c r="B741" s="5">
        <f>IF($E741="","",INDEX('Input Transaksi'!$D:$D,$E741))</f>
        <v/>
      </c>
      <c r="C741">
        <f>IF($E741="","",INDEX('Input Transaksi'!$E:$E,$E741))</f>
        <v/>
      </c>
      <c r="D741" s="5">
        <f>IF($E741="","",INDEX('Input Transaksi'!$F:$F,$E741))</f>
        <v/>
      </c>
      <c r="E741">
        <f>IFERROR(AGGREGATE(15,6,ROW('Input Transaksi'!$B$5:$B$5000)/('Input Transaksi'!$B$5:$B$5000="KLIN WASH"),ROWS($E$5:E741)),"")</f>
        <v/>
      </c>
      <c r="F741" s="5" t="n"/>
    </row>
    <row r="742">
      <c r="A742" s="10">
        <f>IF($E742="","",INDEX('Input Transaksi'!$A:$A,$E742))</f>
        <v/>
      </c>
      <c r="B742" s="5">
        <f>IF($E742="","",INDEX('Input Transaksi'!$D:$D,$E742))</f>
        <v/>
      </c>
      <c r="C742">
        <f>IF($E742="","",INDEX('Input Transaksi'!$E:$E,$E742))</f>
        <v/>
      </c>
      <c r="D742" s="5">
        <f>IF($E742="","",INDEX('Input Transaksi'!$F:$F,$E742))</f>
        <v/>
      </c>
      <c r="E742">
        <f>IFERROR(AGGREGATE(15,6,ROW('Input Transaksi'!$B$5:$B$5000)/('Input Transaksi'!$B$5:$B$5000="KLIN WASH"),ROWS($E$5:E742)),"")</f>
        <v/>
      </c>
      <c r="F742" s="5" t="n"/>
    </row>
    <row r="743">
      <c r="A743" s="10">
        <f>IF($E743="","",INDEX('Input Transaksi'!$A:$A,$E743))</f>
        <v/>
      </c>
      <c r="B743" s="5">
        <f>IF($E743="","",INDEX('Input Transaksi'!$D:$D,$E743))</f>
        <v/>
      </c>
      <c r="C743">
        <f>IF($E743="","",INDEX('Input Transaksi'!$E:$E,$E743))</f>
        <v/>
      </c>
      <c r="D743" s="5">
        <f>IF($E743="","",INDEX('Input Transaksi'!$F:$F,$E743))</f>
        <v/>
      </c>
      <c r="E743">
        <f>IFERROR(AGGREGATE(15,6,ROW('Input Transaksi'!$B$5:$B$5000)/('Input Transaksi'!$B$5:$B$5000="KLIN WASH"),ROWS($E$5:E743)),"")</f>
        <v/>
      </c>
      <c r="F743" s="5" t="n"/>
    </row>
    <row r="744">
      <c r="A744" s="10">
        <f>IF($E744="","",INDEX('Input Transaksi'!$A:$A,$E744))</f>
        <v/>
      </c>
      <c r="B744" s="5">
        <f>IF($E744="","",INDEX('Input Transaksi'!$D:$D,$E744))</f>
        <v/>
      </c>
      <c r="C744">
        <f>IF($E744="","",INDEX('Input Transaksi'!$E:$E,$E744))</f>
        <v/>
      </c>
      <c r="D744" s="5">
        <f>IF($E744="","",INDEX('Input Transaksi'!$F:$F,$E744))</f>
        <v/>
      </c>
      <c r="E744">
        <f>IFERROR(AGGREGATE(15,6,ROW('Input Transaksi'!$B$5:$B$5000)/('Input Transaksi'!$B$5:$B$5000="KLIN WASH"),ROWS($E$5:E744)),"")</f>
        <v/>
      </c>
      <c r="F744" s="5" t="n"/>
    </row>
    <row r="745">
      <c r="A745" s="10">
        <f>IF($E745="","",INDEX('Input Transaksi'!$A:$A,$E745))</f>
        <v/>
      </c>
      <c r="B745" s="5">
        <f>IF($E745="","",INDEX('Input Transaksi'!$D:$D,$E745))</f>
        <v/>
      </c>
      <c r="C745">
        <f>IF($E745="","",INDEX('Input Transaksi'!$E:$E,$E745))</f>
        <v/>
      </c>
      <c r="D745" s="5">
        <f>IF($E745="","",INDEX('Input Transaksi'!$F:$F,$E745))</f>
        <v/>
      </c>
      <c r="E745">
        <f>IFERROR(AGGREGATE(15,6,ROW('Input Transaksi'!$B$5:$B$5000)/('Input Transaksi'!$B$5:$B$5000="KLIN WASH"),ROWS($E$5:E745)),"")</f>
        <v/>
      </c>
      <c r="F745" s="5" t="n"/>
    </row>
    <row r="746">
      <c r="A746" s="10">
        <f>IF($E746="","",INDEX('Input Transaksi'!$A:$A,$E746))</f>
        <v/>
      </c>
      <c r="B746" s="5">
        <f>IF($E746="","",INDEX('Input Transaksi'!$D:$D,$E746))</f>
        <v/>
      </c>
      <c r="C746">
        <f>IF($E746="","",INDEX('Input Transaksi'!$E:$E,$E746))</f>
        <v/>
      </c>
      <c r="D746" s="5">
        <f>IF($E746="","",INDEX('Input Transaksi'!$F:$F,$E746))</f>
        <v/>
      </c>
      <c r="E746">
        <f>IFERROR(AGGREGATE(15,6,ROW('Input Transaksi'!$B$5:$B$5000)/('Input Transaksi'!$B$5:$B$5000="KLIN WASH"),ROWS($E$5:E746)),"")</f>
        <v/>
      </c>
      <c r="F746" s="5" t="n"/>
    </row>
    <row r="747">
      <c r="A747" s="10">
        <f>IF($E747="","",INDEX('Input Transaksi'!$A:$A,$E747))</f>
        <v/>
      </c>
      <c r="B747" s="5">
        <f>IF($E747="","",INDEX('Input Transaksi'!$D:$D,$E747))</f>
        <v/>
      </c>
      <c r="C747">
        <f>IF($E747="","",INDEX('Input Transaksi'!$E:$E,$E747))</f>
        <v/>
      </c>
      <c r="D747" s="5">
        <f>IF($E747="","",INDEX('Input Transaksi'!$F:$F,$E747))</f>
        <v/>
      </c>
      <c r="E747">
        <f>IFERROR(AGGREGATE(15,6,ROW('Input Transaksi'!$B$5:$B$5000)/('Input Transaksi'!$B$5:$B$5000="KLIN WASH"),ROWS($E$5:E747)),"")</f>
        <v/>
      </c>
      <c r="F747" s="5" t="n"/>
    </row>
    <row r="748">
      <c r="A748" s="10">
        <f>IF($E748="","",INDEX('Input Transaksi'!$A:$A,$E748))</f>
        <v/>
      </c>
      <c r="B748" s="5">
        <f>IF($E748="","",INDEX('Input Transaksi'!$D:$D,$E748))</f>
        <v/>
      </c>
      <c r="C748">
        <f>IF($E748="","",INDEX('Input Transaksi'!$E:$E,$E748))</f>
        <v/>
      </c>
      <c r="D748" s="5">
        <f>IF($E748="","",INDEX('Input Transaksi'!$F:$F,$E748))</f>
        <v/>
      </c>
      <c r="E748">
        <f>IFERROR(AGGREGATE(15,6,ROW('Input Transaksi'!$B$5:$B$5000)/('Input Transaksi'!$B$5:$B$5000="KLIN WASH"),ROWS($E$5:E748)),"")</f>
        <v/>
      </c>
      <c r="F748" s="5" t="n"/>
    </row>
    <row r="749">
      <c r="A749" s="10">
        <f>IF($E749="","",INDEX('Input Transaksi'!$A:$A,$E749))</f>
        <v/>
      </c>
      <c r="B749" s="5">
        <f>IF($E749="","",INDEX('Input Transaksi'!$D:$D,$E749))</f>
        <v/>
      </c>
      <c r="C749">
        <f>IF($E749="","",INDEX('Input Transaksi'!$E:$E,$E749))</f>
        <v/>
      </c>
      <c r="D749" s="5">
        <f>IF($E749="","",INDEX('Input Transaksi'!$F:$F,$E749))</f>
        <v/>
      </c>
      <c r="E749">
        <f>IFERROR(AGGREGATE(15,6,ROW('Input Transaksi'!$B$5:$B$5000)/('Input Transaksi'!$B$5:$B$5000="KLIN WASH"),ROWS($E$5:E749)),"")</f>
        <v/>
      </c>
      <c r="F749" s="5" t="n"/>
    </row>
    <row r="750">
      <c r="A750" s="10">
        <f>IF($E750="","",INDEX('Input Transaksi'!$A:$A,$E750))</f>
        <v/>
      </c>
      <c r="B750" s="5">
        <f>IF($E750="","",INDEX('Input Transaksi'!$D:$D,$E750))</f>
        <v/>
      </c>
      <c r="C750">
        <f>IF($E750="","",INDEX('Input Transaksi'!$E:$E,$E750))</f>
        <v/>
      </c>
      <c r="D750" s="5">
        <f>IF($E750="","",INDEX('Input Transaksi'!$F:$F,$E750))</f>
        <v/>
      </c>
      <c r="E750">
        <f>IFERROR(AGGREGATE(15,6,ROW('Input Transaksi'!$B$5:$B$5000)/('Input Transaksi'!$B$5:$B$5000="KLIN WASH"),ROWS($E$5:E750)),"")</f>
        <v/>
      </c>
      <c r="F750" s="5" t="n"/>
    </row>
    <row r="751">
      <c r="A751" s="10">
        <f>IF($E751="","",INDEX('Input Transaksi'!$A:$A,$E751))</f>
        <v/>
      </c>
      <c r="B751" s="5">
        <f>IF($E751="","",INDEX('Input Transaksi'!$D:$D,$E751))</f>
        <v/>
      </c>
      <c r="C751">
        <f>IF($E751="","",INDEX('Input Transaksi'!$E:$E,$E751))</f>
        <v/>
      </c>
      <c r="D751" s="5">
        <f>IF($E751="","",INDEX('Input Transaksi'!$F:$F,$E751))</f>
        <v/>
      </c>
      <c r="E751">
        <f>IFERROR(AGGREGATE(15,6,ROW('Input Transaksi'!$B$5:$B$5000)/('Input Transaksi'!$B$5:$B$5000="KLIN WASH"),ROWS($E$5:E751)),"")</f>
        <v/>
      </c>
      <c r="F751" s="5" t="n"/>
    </row>
    <row r="752">
      <c r="A752" s="10">
        <f>IF($E752="","",INDEX('Input Transaksi'!$A:$A,$E752))</f>
        <v/>
      </c>
      <c r="B752" s="5">
        <f>IF($E752="","",INDEX('Input Transaksi'!$D:$D,$E752))</f>
        <v/>
      </c>
      <c r="C752">
        <f>IF($E752="","",INDEX('Input Transaksi'!$E:$E,$E752))</f>
        <v/>
      </c>
      <c r="D752" s="5">
        <f>IF($E752="","",INDEX('Input Transaksi'!$F:$F,$E752))</f>
        <v/>
      </c>
      <c r="E752">
        <f>IFERROR(AGGREGATE(15,6,ROW('Input Transaksi'!$B$5:$B$5000)/('Input Transaksi'!$B$5:$B$5000="KLIN WASH"),ROWS($E$5:E752)),"")</f>
        <v/>
      </c>
      <c r="F752" s="5" t="n"/>
    </row>
    <row r="753">
      <c r="A753" s="10">
        <f>IF($E753="","",INDEX('Input Transaksi'!$A:$A,$E753))</f>
        <v/>
      </c>
      <c r="B753" s="5">
        <f>IF($E753="","",INDEX('Input Transaksi'!$D:$D,$E753))</f>
        <v/>
      </c>
      <c r="C753">
        <f>IF($E753="","",INDEX('Input Transaksi'!$E:$E,$E753))</f>
        <v/>
      </c>
      <c r="D753" s="5">
        <f>IF($E753="","",INDEX('Input Transaksi'!$F:$F,$E753))</f>
        <v/>
      </c>
      <c r="E753">
        <f>IFERROR(AGGREGATE(15,6,ROW('Input Transaksi'!$B$5:$B$5000)/('Input Transaksi'!$B$5:$B$5000="KLIN WASH"),ROWS($E$5:E753)),"")</f>
        <v/>
      </c>
      <c r="F753" s="5" t="n"/>
    </row>
    <row r="754">
      <c r="A754" s="10">
        <f>IF($E754="","",INDEX('Input Transaksi'!$A:$A,$E754))</f>
        <v/>
      </c>
      <c r="B754" s="5">
        <f>IF($E754="","",INDEX('Input Transaksi'!$D:$D,$E754))</f>
        <v/>
      </c>
      <c r="C754">
        <f>IF($E754="","",INDEX('Input Transaksi'!$E:$E,$E754))</f>
        <v/>
      </c>
      <c r="D754" s="5">
        <f>IF($E754="","",INDEX('Input Transaksi'!$F:$F,$E754))</f>
        <v/>
      </c>
      <c r="E754">
        <f>IFERROR(AGGREGATE(15,6,ROW('Input Transaksi'!$B$5:$B$5000)/('Input Transaksi'!$B$5:$B$5000="KLIN WASH"),ROWS($E$5:E754)),"")</f>
        <v/>
      </c>
      <c r="F754" s="5" t="n"/>
    </row>
    <row r="755">
      <c r="A755" s="10">
        <f>IF($E755="","",INDEX('Input Transaksi'!$A:$A,$E755))</f>
        <v/>
      </c>
      <c r="B755" s="5">
        <f>IF($E755="","",INDEX('Input Transaksi'!$D:$D,$E755))</f>
        <v/>
      </c>
      <c r="C755">
        <f>IF($E755="","",INDEX('Input Transaksi'!$E:$E,$E755))</f>
        <v/>
      </c>
      <c r="D755" s="5">
        <f>IF($E755="","",INDEX('Input Transaksi'!$F:$F,$E755))</f>
        <v/>
      </c>
      <c r="E755">
        <f>IFERROR(AGGREGATE(15,6,ROW('Input Transaksi'!$B$5:$B$5000)/('Input Transaksi'!$B$5:$B$5000="KLIN WASH"),ROWS($E$5:E755)),"")</f>
        <v/>
      </c>
      <c r="F755" s="5" t="n"/>
    </row>
    <row r="756">
      <c r="A756" s="10">
        <f>IF($E756="","",INDEX('Input Transaksi'!$A:$A,$E756))</f>
        <v/>
      </c>
      <c r="B756" s="5">
        <f>IF($E756="","",INDEX('Input Transaksi'!$D:$D,$E756))</f>
        <v/>
      </c>
      <c r="C756">
        <f>IF($E756="","",INDEX('Input Transaksi'!$E:$E,$E756))</f>
        <v/>
      </c>
      <c r="D756" s="5">
        <f>IF($E756="","",INDEX('Input Transaksi'!$F:$F,$E756))</f>
        <v/>
      </c>
      <c r="E756">
        <f>IFERROR(AGGREGATE(15,6,ROW('Input Transaksi'!$B$5:$B$5000)/('Input Transaksi'!$B$5:$B$5000="KLIN WASH"),ROWS($E$5:E756)),"")</f>
        <v/>
      </c>
      <c r="F756" s="5" t="n"/>
    </row>
    <row r="757">
      <c r="A757" s="10">
        <f>IF($E757="","",INDEX('Input Transaksi'!$A:$A,$E757))</f>
        <v/>
      </c>
      <c r="B757" s="5">
        <f>IF($E757="","",INDEX('Input Transaksi'!$D:$D,$E757))</f>
        <v/>
      </c>
      <c r="C757">
        <f>IF($E757="","",INDEX('Input Transaksi'!$E:$E,$E757))</f>
        <v/>
      </c>
      <c r="D757" s="5">
        <f>IF($E757="","",INDEX('Input Transaksi'!$F:$F,$E757))</f>
        <v/>
      </c>
      <c r="E757">
        <f>IFERROR(AGGREGATE(15,6,ROW('Input Transaksi'!$B$5:$B$5000)/('Input Transaksi'!$B$5:$B$5000="KLIN WASH"),ROWS($E$5:E757)),"")</f>
        <v/>
      </c>
      <c r="F757" s="5" t="n"/>
    </row>
    <row r="758">
      <c r="A758" s="10">
        <f>IF($E758="","",INDEX('Input Transaksi'!$A:$A,$E758))</f>
        <v/>
      </c>
      <c r="B758" s="5">
        <f>IF($E758="","",INDEX('Input Transaksi'!$D:$D,$E758))</f>
        <v/>
      </c>
      <c r="C758">
        <f>IF($E758="","",INDEX('Input Transaksi'!$E:$E,$E758))</f>
        <v/>
      </c>
      <c r="D758" s="5">
        <f>IF($E758="","",INDEX('Input Transaksi'!$F:$F,$E758))</f>
        <v/>
      </c>
      <c r="E758">
        <f>IFERROR(AGGREGATE(15,6,ROW('Input Transaksi'!$B$5:$B$5000)/('Input Transaksi'!$B$5:$B$5000="KLIN WASH"),ROWS($E$5:E758)),"")</f>
        <v/>
      </c>
      <c r="F758" s="5" t="n"/>
    </row>
    <row r="759">
      <c r="A759" s="10">
        <f>IF($E759="","",INDEX('Input Transaksi'!$A:$A,$E759))</f>
        <v/>
      </c>
      <c r="B759" s="5">
        <f>IF($E759="","",INDEX('Input Transaksi'!$D:$D,$E759))</f>
        <v/>
      </c>
      <c r="C759">
        <f>IF($E759="","",INDEX('Input Transaksi'!$E:$E,$E759))</f>
        <v/>
      </c>
      <c r="D759" s="5">
        <f>IF($E759="","",INDEX('Input Transaksi'!$F:$F,$E759))</f>
        <v/>
      </c>
      <c r="E759">
        <f>IFERROR(AGGREGATE(15,6,ROW('Input Transaksi'!$B$5:$B$5000)/('Input Transaksi'!$B$5:$B$5000="KLIN WASH"),ROWS($E$5:E759)),"")</f>
        <v/>
      </c>
      <c r="F759" s="5" t="n"/>
    </row>
    <row r="760">
      <c r="A760" s="10">
        <f>IF($E760="","",INDEX('Input Transaksi'!$A:$A,$E760))</f>
        <v/>
      </c>
      <c r="B760" s="5">
        <f>IF($E760="","",INDEX('Input Transaksi'!$D:$D,$E760))</f>
        <v/>
      </c>
      <c r="C760">
        <f>IF($E760="","",INDEX('Input Transaksi'!$E:$E,$E760))</f>
        <v/>
      </c>
      <c r="D760" s="5">
        <f>IF($E760="","",INDEX('Input Transaksi'!$F:$F,$E760))</f>
        <v/>
      </c>
      <c r="E760">
        <f>IFERROR(AGGREGATE(15,6,ROW('Input Transaksi'!$B$5:$B$5000)/('Input Transaksi'!$B$5:$B$5000="KLIN WASH"),ROWS($E$5:E760)),"")</f>
        <v/>
      </c>
      <c r="F760" s="5" t="n"/>
    </row>
    <row r="761">
      <c r="A761" s="10">
        <f>IF($E761="","",INDEX('Input Transaksi'!$A:$A,$E761))</f>
        <v/>
      </c>
      <c r="B761" s="5">
        <f>IF($E761="","",INDEX('Input Transaksi'!$D:$D,$E761))</f>
        <v/>
      </c>
      <c r="C761">
        <f>IF($E761="","",INDEX('Input Transaksi'!$E:$E,$E761))</f>
        <v/>
      </c>
      <c r="D761" s="5">
        <f>IF($E761="","",INDEX('Input Transaksi'!$F:$F,$E761))</f>
        <v/>
      </c>
      <c r="E761">
        <f>IFERROR(AGGREGATE(15,6,ROW('Input Transaksi'!$B$5:$B$5000)/('Input Transaksi'!$B$5:$B$5000="KLIN WASH"),ROWS($E$5:E761)),"")</f>
        <v/>
      </c>
      <c r="F761" s="5" t="n"/>
    </row>
    <row r="762">
      <c r="A762" s="10">
        <f>IF($E762="","",INDEX('Input Transaksi'!$A:$A,$E762))</f>
        <v/>
      </c>
      <c r="B762" s="5">
        <f>IF($E762="","",INDEX('Input Transaksi'!$D:$D,$E762))</f>
        <v/>
      </c>
      <c r="C762">
        <f>IF($E762="","",INDEX('Input Transaksi'!$E:$E,$E762))</f>
        <v/>
      </c>
      <c r="D762" s="5">
        <f>IF($E762="","",INDEX('Input Transaksi'!$F:$F,$E762))</f>
        <v/>
      </c>
      <c r="E762">
        <f>IFERROR(AGGREGATE(15,6,ROW('Input Transaksi'!$B$5:$B$5000)/('Input Transaksi'!$B$5:$B$5000="KLIN WASH"),ROWS($E$5:E762)),"")</f>
        <v/>
      </c>
      <c r="F762" s="5" t="n"/>
    </row>
    <row r="763">
      <c r="A763" s="10">
        <f>IF($E763="","",INDEX('Input Transaksi'!$A:$A,$E763))</f>
        <v/>
      </c>
      <c r="B763" s="5">
        <f>IF($E763="","",INDEX('Input Transaksi'!$D:$D,$E763))</f>
        <v/>
      </c>
      <c r="C763">
        <f>IF($E763="","",INDEX('Input Transaksi'!$E:$E,$E763))</f>
        <v/>
      </c>
      <c r="D763" s="5">
        <f>IF($E763="","",INDEX('Input Transaksi'!$F:$F,$E763))</f>
        <v/>
      </c>
      <c r="E763">
        <f>IFERROR(AGGREGATE(15,6,ROW('Input Transaksi'!$B$5:$B$5000)/('Input Transaksi'!$B$5:$B$5000="KLIN WASH"),ROWS($E$5:E763)),"")</f>
        <v/>
      </c>
      <c r="F763" s="5" t="n"/>
    </row>
    <row r="764">
      <c r="A764" s="10">
        <f>IF($E764="","",INDEX('Input Transaksi'!$A:$A,$E764))</f>
        <v/>
      </c>
      <c r="B764" s="5">
        <f>IF($E764="","",INDEX('Input Transaksi'!$D:$D,$E764))</f>
        <v/>
      </c>
      <c r="C764">
        <f>IF($E764="","",INDEX('Input Transaksi'!$E:$E,$E764))</f>
        <v/>
      </c>
      <c r="D764" s="5">
        <f>IF($E764="","",INDEX('Input Transaksi'!$F:$F,$E764))</f>
        <v/>
      </c>
      <c r="E764">
        <f>IFERROR(AGGREGATE(15,6,ROW('Input Transaksi'!$B$5:$B$5000)/('Input Transaksi'!$B$5:$B$5000="KLIN WASH"),ROWS($E$5:E764)),"")</f>
        <v/>
      </c>
      <c r="F764" s="5" t="n"/>
    </row>
    <row r="765">
      <c r="A765" s="10">
        <f>IF($E765="","",INDEX('Input Transaksi'!$A:$A,$E765))</f>
        <v/>
      </c>
      <c r="B765" s="5">
        <f>IF($E765="","",INDEX('Input Transaksi'!$D:$D,$E765))</f>
        <v/>
      </c>
      <c r="C765">
        <f>IF($E765="","",INDEX('Input Transaksi'!$E:$E,$E765))</f>
        <v/>
      </c>
      <c r="D765" s="5">
        <f>IF($E765="","",INDEX('Input Transaksi'!$F:$F,$E765))</f>
        <v/>
      </c>
      <c r="E765">
        <f>IFERROR(AGGREGATE(15,6,ROW('Input Transaksi'!$B$5:$B$5000)/('Input Transaksi'!$B$5:$B$5000="KLIN WASH"),ROWS($E$5:E765)),"")</f>
        <v/>
      </c>
      <c r="F765" s="5" t="n"/>
    </row>
    <row r="766">
      <c r="A766" s="10">
        <f>IF($E766="","",INDEX('Input Transaksi'!$A:$A,$E766))</f>
        <v/>
      </c>
      <c r="B766" s="5">
        <f>IF($E766="","",INDEX('Input Transaksi'!$D:$D,$E766))</f>
        <v/>
      </c>
      <c r="C766">
        <f>IF($E766="","",INDEX('Input Transaksi'!$E:$E,$E766))</f>
        <v/>
      </c>
      <c r="D766" s="5">
        <f>IF($E766="","",INDEX('Input Transaksi'!$F:$F,$E766))</f>
        <v/>
      </c>
      <c r="E766">
        <f>IFERROR(AGGREGATE(15,6,ROW('Input Transaksi'!$B$5:$B$5000)/('Input Transaksi'!$B$5:$B$5000="KLIN WASH"),ROWS($E$5:E766)),"")</f>
        <v/>
      </c>
      <c r="F766" s="5" t="n"/>
    </row>
    <row r="767">
      <c r="A767" s="10">
        <f>IF($E767="","",INDEX('Input Transaksi'!$A:$A,$E767))</f>
        <v/>
      </c>
      <c r="B767" s="5">
        <f>IF($E767="","",INDEX('Input Transaksi'!$D:$D,$E767))</f>
        <v/>
      </c>
      <c r="C767">
        <f>IF($E767="","",INDEX('Input Transaksi'!$E:$E,$E767))</f>
        <v/>
      </c>
      <c r="D767" s="5">
        <f>IF($E767="","",INDEX('Input Transaksi'!$F:$F,$E767))</f>
        <v/>
      </c>
      <c r="E767">
        <f>IFERROR(AGGREGATE(15,6,ROW('Input Transaksi'!$B$5:$B$5000)/('Input Transaksi'!$B$5:$B$5000="KLIN WASH"),ROWS($E$5:E767)),"")</f>
        <v/>
      </c>
      <c r="F767" s="5" t="n"/>
    </row>
    <row r="768">
      <c r="A768" s="10">
        <f>IF($E768="","",INDEX('Input Transaksi'!$A:$A,$E768))</f>
        <v/>
      </c>
      <c r="B768" s="5">
        <f>IF($E768="","",INDEX('Input Transaksi'!$D:$D,$E768))</f>
        <v/>
      </c>
      <c r="C768">
        <f>IF($E768="","",INDEX('Input Transaksi'!$E:$E,$E768))</f>
        <v/>
      </c>
      <c r="D768" s="5">
        <f>IF($E768="","",INDEX('Input Transaksi'!$F:$F,$E768))</f>
        <v/>
      </c>
      <c r="E768">
        <f>IFERROR(AGGREGATE(15,6,ROW('Input Transaksi'!$B$5:$B$5000)/('Input Transaksi'!$B$5:$B$5000="KLIN WASH"),ROWS($E$5:E768)),"")</f>
        <v/>
      </c>
      <c r="F768" s="5" t="n"/>
    </row>
    <row r="769">
      <c r="A769" s="10">
        <f>IF($E769="","",INDEX('Input Transaksi'!$A:$A,$E769))</f>
        <v/>
      </c>
      <c r="B769" s="5">
        <f>IF($E769="","",INDEX('Input Transaksi'!$D:$D,$E769))</f>
        <v/>
      </c>
      <c r="C769">
        <f>IF($E769="","",INDEX('Input Transaksi'!$E:$E,$E769))</f>
        <v/>
      </c>
      <c r="D769" s="5">
        <f>IF($E769="","",INDEX('Input Transaksi'!$F:$F,$E769))</f>
        <v/>
      </c>
      <c r="E769">
        <f>IFERROR(AGGREGATE(15,6,ROW('Input Transaksi'!$B$5:$B$5000)/('Input Transaksi'!$B$5:$B$5000="KLIN WASH"),ROWS($E$5:E769)),"")</f>
        <v/>
      </c>
      <c r="F769" s="5" t="n"/>
    </row>
    <row r="770">
      <c r="A770" s="10">
        <f>IF($E770="","",INDEX('Input Transaksi'!$A:$A,$E770))</f>
        <v/>
      </c>
      <c r="B770" s="5">
        <f>IF($E770="","",INDEX('Input Transaksi'!$D:$D,$E770))</f>
        <v/>
      </c>
      <c r="C770">
        <f>IF($E770="","",INDEX('Input Transaksi'!$E:$E,$E770))</f>
        <v/>
      </c>
      <c r="D770" s="5">
        <f>IF($E770="","",INDEX('Input Transaksi'!$F:$F,$E770))</f>
        <v/>
      </c>
      <c r="E770">
        <f>IFERROR(AGGREGATE(15,6,ROW('Input Transaksi'!$B$5:$B$5000)/('Input Transaksi'!$B$5:$B$5000="KLIN WASH"),ROWS($E$5:E770)),"")</f>
        <v/>
      </c>
      <c r="F770" s="5" t="n"/>
    </row>
    <row r="771">
      <c r="A771" s="10">
        <f>IF($E771="","",INDEX('Input Transaksi'!$A:$A,$E771))</f>
        <v/>
      </c>
      <c r="B771" s="5">
        <f>IF($E771="","",INDEX('Input Transaksi'!$D:$D,$E771))</f>
        <v/>
      </c>
      <c r="C771">
        <f>IF($E771="","",INDEX('Input Transaksi'!$E:$E,$E771))</f>
        <v/>
      </c>
      <c r="D771" s="5">
        <f>IF($E771="","",INDEX('Input Transaksi'!$F:$F,$E771))</f>
        <v/>
      </c>
      <c r="E771">
        <f>IFERROR(AGGREGATE(15,6,ROW('Input Transaksi'!$B$5:$B$5000)/('Input Transaksi'!$B$5:$B$5000="KLIN WASH"),ROWS($E$5:E771)),"")</f>
        <v/>
      </c>
      <c r="F771" s="5" t="n"/>
    </row>
    <row r="772">
      <c r="A772" s="10">
        <f>IF($E772="","",INDEX('Input Transaksi'!$A:$A,$E772))</f>
        <v/>
      </c>
      <c r="B772" s="5">
        <f>IF($E772="","",INDEX('Input Transaksi'!$D:$D,$E772))</f>
        <v/>
      </c>
      <c r="C772">
        <f>IF($E772="","",INDEX('Input Transaksi'!$E:$E,$E772))</f>
        <v/>
      </c>
      <c r="D772" s="5">
        <f>IF($E772="","",INDEX('Input Transaksi'!$F:$F,$E772))</f>
        <v/>
      </c>
      <c r="E772">
        <f>IFERROR(AGGREGATE(15,6,ROW('Input Transaksi'!$B$5:$B$5000)/('Input Transaksi'!$B$5:$B$5000="KLIN WASH"),ROWS($E$5:E772)),"")</f>
        <v/>
      </c>
      <c r="F772" s="5" t="n"/>
    </row>
    <row r="773">
      <c r="A773" s="10">
        <f>IF($E773="","",INDEX('Input Transaksi'!$A:$A,$E773))</f>
        <v/>
      </c>
      <c r="B773" s="5">
        <f>IF($E773="","",INDEX('Input Transaksi'!$D:$D,$E773))</f>
        <v/>
      </c>
      <c r="C773">
        <f>IF($E773="","",INDEX('Input Transaksi'!$E:$E,$E773))</f>
        <v/>
      </c>
      <c r="D773" s="5">
        <f>IF($E773="","",INDEX('Input Transaksi'!$F:$F,$E773))</f>
        <v/>
      </c>
      <c r="E773">
        <f>IFERROR(AGGREGATE(15,6,ROW('Input Transaksi'!$B$5:$B$5000)/('Input Transaksi'!$B$5:$B$5000="KLIN WASH"),ROWS($E$5:E773)),"")</f>
        <v/>
      </c>
      <c r="F773" s="5" t="n"/>
    </row>
    <row r="774">
      <c r="A774" s="10">
        <f>IF($E774="","",INDEX('Input Transaksi'!$A:$A,$E774))</f>
        <v/>
      </c>
      <c r="B774" s="5">
        <f>IF($E774="","",INDEX('Input Transaksi'!$D:$D,$E774))</f>
        <v/>
      </c>
      <c r="C774">
        <f>IF($E774="","",INDEX('Input Transaksi'!$E:$E,$E774))</f>
        <v/>
      </c>
      <c r="D774" s="5">
        <f>IF($E774="","",INDEX('Input Transaksi'!$F:$F,$E774))</f>
        <v/>
      </c>
      <c r="E774">
        <f>IFERROR(AGGREGATE(15,6,ROW('Input Transaksi'!$B$5:$B$5000)/('Input Transaksi'!$B$5:$B$5000="KLIN WASH"),ROWS($E$5:E774)),"")</f>
        <v/>
      </c>
      <c r="F774" s="5" t="n"/>
    </row>
    <row r="775">
      <c r="A775" s="10">
        <f>IF($E775="","",INDEX('Input Transaksi'!$A:$A,$E775))</f>
        <v/>
      </c>
      <c r="B775" s="5">
        <f>IF($E775="","",INDEX('Input Transaksi'!$D:$D,$E775))</f>
        <v/>
      </c>
      <c r="C775">
        <f>IF($E775="","",INDEX('Input Transaksi'!$E:$E,$E775))</f>
        <v/>
      </c>
      <c r="D775" s="5">
        <f>IF($E775="","",INDEX('Input Transaksi'!$F:$F,$E775))</f>
        <v/>
      </c>
      <c r="E775">
        <f>IFERROR(AGGREGATE(15,6,ROW('Input Transaksi'!$B$5:$B$5000)/('Input Transaksi'!$B$5:$B$5000="KLIN WASH"),ROWS($E$5:E775)),"")</f>
        <v/>
      </c>
      <c r="F775" s="5" t="n"/>
    </row>
    <row r="776">
      <c r="A776" s="10">
        <f>IF($E776="","",INDEX('Input Transaksi'!$A:$A,$E776))</f>
        <v/>
      </c>
      <c r="B776" s="5">
        <f>IF($E776="","",INDEX('Input Transaksi'!$D:$D,$E776))</f>
        <v/>
      </c>
      <c r="C776">
        <f>IF($E776="","",INDEX('Input Transaksi'!$E:$E,$E776))</f>
        <v/>
      </c>
      <c r="D776" s="5">
        <f>IF($E776="","",INDEX('Input Transaksi'!$F:$F,$E776))</f>
        <v/>
      </c>
      <c r="E776">
        <f>IFERROR(AGGREGATE(15,6,ROW('Input Transaksi'!$B$5:$B$5000)/('Input Transaksi'!$B$5:$B$5000="KLIN WASH"),ROWS($E$5:E776)),"")</f>
        <v/>
      </c>
      <c r="F776" s="5" t="n"/>
    </row>
    <row r="777">
      <c r="A777" s="10">
        <f>IF($E777="","",INDEX('Input Transaksi'!$A:$A,$E777))</f>
        <v/>
      </c>
      <c r="B777" s="5">
        <f>IF($E777="","",INDEX('Input Transaksi'!$D:$D,$E777))</f>
        <v/>
      </c>
      <c r="C777">
        <f>IF($E777="","",INDEX('Input Transaksi'!$E:$E,$E777))</f>
        <v/>
      </c>
      <c r="D777" s="5">
        <f>IF($E777="","",INDEX('Input Transaksi'!$F:$F,$E777))</f>
        <v/>
      </c>
      <c r="E777">
        <f>IFERROR(AGGREGATE(15,6,ROW('Input Transaksi'!$B$5:$B$5000)/('Input Transaksi'!$B$5:$B$5000="KLIN WASH"),ROWS($E$5:E777)),"")</f>
        <v/>
      </c>
      <c r="F777" s="5" t="n"/>
    </row>
    <row r="778">
      <c r="A778" s="10">
        <f>IF($E778="","",INDEX('Input Transaksi'!$A:$A,$E778))</f>
        <v/>
      </c>
      <c r="B778" s="5">
        <f>IF($E778="","",INDEX('Input Transaksi'!$D:$D,$E778))</f>
        <v/>
      </c>
      <c r="C778">
        <f>IF($E778="","",INDEX('Input Transaksi'!$E:$E,$E778))</f>
        <v/>
      </c>
      <c r="D778" s="5">
        <f>IF($E778="","",INDEX('Input Transaksi'!$F:$F,$E778))</f>
        <v/>
      </c>
      <c r="E778">
        <f>IFERROR(AGGREGATE(15,6,ROW('Input Transaksi'!$B$5:$B$5000)/('Input Transaksi'!$B$5:$B$5000="KLIN WASH"),ROWS($E$5:E778)),"")</f>
        <v/>
      </c>
      <c r="F778" s="5" t="n"/>
    </row>
    <row r="779">
      <c r="A779" s="10">
        <f>IF($E779="","",INDEX('Input Transaksi'!$A:$A,$E779))</f>
        <v/>
      </c>
      <c r="B779" s="5">
        <f>IF($E779="","",INDEX('Input Transaksi'!$D:$D,$E779))</f>
        <v/>
      </c>
      <c r="C779">
        <f>IF($E779="","",INDEX('Input Transaksi'!$E:$E,$E779))</f>
        <v/>
      </c>
      <c r="D779" s="5">
        <f>IF($E779="","",INDEX('Input Transaksi'!$F:$F,$E779))</f>
        <v/>
      </c>
      <c r="E779">
        <f>IFERROR(AGGREGATE(15,6,ROW('Input Transaksi'!$B$5:$B$5000)/('Input Transaksi'!$B$5:$B$5000="KLIN WASH"),ROWS($E$5:E779)),"")</f>
        <v/>
      </c>
      <c r="F779" s="5" t="n"/>
    </row>
    <row r="780">
      <c r="A780" s="10">
        <f>IF($E780="","",INDEX('Input Transaksi'!$A:$A,$E780))</f>
        <v/>
      </c>
      <c r="B780" s="5">
        <f>IF($E780="","",INDEX('Input Transaksi'!$D:$D,$E780))</f>
        <v/>
      </c>
      <c r="C780">
        <f>IF($E780="","",INDEX('Input Transaksi'!$E:$E,$E780))</f>
        <v/>
      </c>
      <c r="D780" s="5">
        <f>IF($E780="","",INDEX('Input Transaksi'!$F:$F,$E780))</f>
        <v/>
      </c>
      <c r="E780">
        <f>IFERROR(AGGREGATE(15,6,ROW('Input Transaksi'!$B$5:$B$5000)/('Input Transaksi'!$B$5:$B$5000="KLIN WASH"),ROWS($E$5:E780)),"")</f>
        <v/>
      </c>
      <c r="F780" s="5" t="n"/>
    </row>
    <row r="781">
      <c r="A781" s="10">
        <f>IF($E781="","",INDEX('Input Transaksi'!$A:$A,$E781))</f>
        <v/>
      </c>
      <c r="B781" s="5">
        <f>IF($E781="","",INDEX('Input Transaksi'!$D:$D,$E781))</f>
        <v/>
      </c>
      <c r="C781">
        <f>IF($E781="","",INDEX('Input Transaksi'!$E:$E,$E781))</f>
        <v/>
      </c>
      <c r="D781" s="5">
        <f>IF($E781="","",INDEX('Input Transaksi'!$F:$F,$E781))</f>
        <v/>
      </c>
      <c r="E781">
        <f>IFERROR(AGGREGATE(15,6,ROW('Input Transaksi'!$B$5:$B$5000)/('Input Transaksi'!$B$5:$B$5000="KLIN WASH"),ROWS($E$5:E781)),"")</f>
        <v/>
      </c>
      <c r="F781" s="5" t="n"/>
    </row>
    <row r="782">
      <c r="A782" s="10">
        <f>IF($E782="","",INDEX('Input Transaksi'!$A:$A,$E782))</f>
        <v/>
      </c>
      <c r="B782" s="5">
        <f>IF($E782="","",INDEX('Input Transaksi'!$D:$D,$E782))</f>
        <v/>
      </c>
      <c r="C782">
        <f>IF($E782="","",INDEX('Input Transaksi'!$E:$E,$E782))</f>
        <v/>
      </c>
      <c r="D782" s="5">
        <f>IF($E782="","",INDEX('Input Transaksi'!$F:$F,$E782))</f>
        <v/>
      </c>
      <c r="E782">
        <f>IFERROR(AGGREGATE(15,6,ROW('Input Transaksi'!$B$5:$B$5000)/('Input Transaksi'!$B$5:$B$5000="KLIN WASH"),ROWS($E$5:E782)),"")</f>
        <v/>
      </c>
      <c r="F782" s="5" t="n"/>
    </row>
    <row r="783">
      <c r="A783" s="10">
        <f>IF($E783="","",INDEX('Input Transaksi'!$A:$A,$E783))</f>
        <v/>
      </c>
      <c r="B783" s="5">
        <f>IF($E783="","",INDEX('Input Transaksi'!$D:$D,$E783))</f>
        <v/>
      </c>
      <c r="C783">
        <f>IF($E783="","",INDEX('Input Transaksi'!$E:$E,$E783))</f>
        <v/>
      </c>
      <c r="D783" s="5">
        <f>IF($E783="","",INDEX('Input Transaksi'!$F:$F,$E783))</f>
        <v/>
      </c>
      <c r="E783">
        <f>IFERROR(AGGREGATE(15,6,ROW('Input Transaksi'!$B$5:$B$5000)/('Input Transaksi'!$B$5:$B$5000="KLIN WASH"),ROWS($E$5:E783)),"")</f>
        <v/>
      </c>
      <c r="F783" s="5" t="n"/>
    </row>
    <row r="784">
      <c r="A784" s="10">
        <f>IF($E784="","",INDEX('Input Transaksi'!$A:$A,$E784))</f>
        <v/>
      </c>
      <c r="B784" s="5">
        <f>IF($E784="","",INDEX('Input Transaksi'!$D:$D,$E784))</f>
        <v/>
      </c>
      <c r="C784">
        <f>IF($E784="","",INDEX('Input Transaksi'!$E:$E,$E784))</f>
        <v/>
      </c>
      <c r="D784" s="5">
        <f>IF($E784="","",INDEX('Input Transaksi'!$F:$F,$E784))</f>
        <v/>
      </c>
      <c r="E784">
        <f>IFERROR(AGGREGATE(15,6,ROW('Input Transaksi'!$B$5:$B$5000)/('Input Transaksi'!$B$5:$B$5000="KLIN WASH"),ROWS($E$5:E784)),"")</f>
        <v/>
      </c>
      <c r="F784" s="5" t="n"/>
    </row>
    <row r="785">
      <c r="A785" s="10">
        <f>IF($E785="","",INDEX('Input Transaksi'!$A:$A,$E785))</f>
        <v/>
      </c>
      <c r="B785" s="5">
        <f>IF($E785="","",INDEX('Input Transaksi'!$D:$D,$E785))</f>
        <v/>
      </c>
      <c r="C785">
        <f>IF($E785="","",INDEX('Input Transaksi'!$E:$E,$E785))</f>
        <v/>
      </c>
      <c r="D785" s="5">
        <f>IF($E785="","",INDEX('Input Transaksi'!$F:$F,$E785))</f>
        <v/>
      </c>
      <c r="E785">
        <f>IFERROR(AGGREGATE(15,6,ROW('Input Transaksi'!$B$5:$B$5000)/('Input Transaksi'!$B$5:$B$5000="KLIN WASH"),ROWS($E$5:E785)),"")</f>
        <v/>
      </c>
      <c r="F785" s="5" t="n"/>
    </row>
    <row r="786">
      <c r="A786" s="10">
        <f>IF($E786="","",INDEX('Input Transaksi'!$A:$A,$E786))</f>
        <v/>
      </c>
      <c r="B786" s="5">
        <f>IF($E786="","",INDEX('Input Transaksi'!$D:$D,$E786))</f>
        <v/>
      </c>
      <c r="C786">
        <f>IF($E786="","",INDEX('Input Transaksi'!$E:$E,$E786))</f>
        <v/>
      </c>
      <c r="D786" s="5">
        <f>IF($E786="","",INDEX('Input Transaksi'!$F:$F,$E786))</f>
        <v/>
      </c>
      <c r="E786">
        <f>IFERROR(AGGREGATE(15,6,ROW('Input Transaksi'!$B$5:$B$5000)/('Input Transaksi'!$B$5:$B$5000="KLIN WASH"),ROWS($E$5:E786)),"")</f>
        <v/>
      </c>
      <c r="F786" s="5" t="n"/>
    </row>
    <row r="787">
      <c r="A787" s="10">
        <f>IF($E787="","",INDEX('Input Transaksi'!$A:$A,$E787))</f>
        <v/>
      </c>
      <c r="B787" s="5">
        <f>IF($E787="","",INDEX('Input Transaksi'!$D:$D,$E787))</f>
        <v/>
      </c>
      <c r="C787">
        <f>IF($E787="","",INDEX('Input Transaksi'!$E:$E,$E787))</f>
        <v/>
      </c>
      <c r="D787" s="5">
        <f>IF($E787="","",INDEX('Input Transaksi'!$F:$F,$E787))</f>
        <v/>
      </c>
      <c r="E787">
        <f>IFERROR(AGGREGATE(15,6,ROW('Input Transaksi'!$B$5:$B$5000)/('Input Transaksi'!$B$5:$B$5000="KLIN WASH"),ROWS($E$5:E787)),"")</f>
        <v/>
      </c>
      <c r="F787" s="5" t="n"/>
    </row>
    <row r="788">
      <c r="A788" s="10">
        <f>IF($E788="","",INDEX('Input Transaksi'!$A:$A,$E788))</f>
        <v/>
      </c>
      <c r="B788" s="5">
        <f>IF($E788="","",INDEX('Input Transaksi'!$D:$D,$E788))</f>
        <v/>
      </c>
      <c r="C788">
        <f>IF($E788="","",INDEX('Input Transaksi'!$E:$E,$E788))</f>
        <v/>
      </c>
      <c r="D788" s="5">
        <f>IF($E788="","",INDEX('Input Transaksi'!$F:$F,$E788))</f>
        <v/>
      </c>
      <c r="E788">
        <f>IFERROR(AGGREGATE(15,6,ROW('Input Transaksi'!$B$5:$B$5000)/('Input Transaksi'!$B$5:$B$5000="KLIN WASH"),ROWS($E$5:E788)),"")</f>
        <v/>
      </c>
      <c r="F788" s="5" t="n"/>
    </row>
    <row r="789">
      <c r="A789" s="10">
        <f>IF($E789="","",INDEX('Input Transaksi'!$A:$A,$E789))</f>
        <v/>
      </c>
      <c r="B789" s="5">
        <f>IF($E789="","",INDEX('Input Transaksi'!$D:$D,$E789))</f>
        <v/>
      </c>
      <c r="C789">
        <f>IF($E789="","",INDEX('Input Transaksi'!$E:$E,$E789))</f>
        <v/>
      </c>
      <c r="D789" s="5">
        <f>IF($E789="","",INDEX('Input Transaksi'!$F:$F,$E789))</f>
        <v/>
      </c>
      <c r="E789">
        <f>IFERROR(AGGREGATE(15,6,ROW('Input Transaksi'!$B$5:$B$5000)/('Input Transaksi'!$B$5:$B$5000="KLIN WASH"),ROWS($E$5:E789)),"")</f>
        <v/>
      </c>
      <c r="F789" s="5" t="n"/>
    </row>
    <row r="790">
      <c r="A790" s="10">
        <f>IF($E790="","",INDEX('Input Transaksi'!$A:$A,$E790))</f>
        <v/>
      </c>
      <c r="B790" s="5">
        <f>IF($E790="","",INDEX('Input Transaksi'!$D:$D,$E790))</f>
        <v/>
      </c>
      <c r="C790">
        <f>IF($E790="","",INDEX('Input Transaksi'!$E:$E,$E790))</f>
        <v/>
      </c>
      <c r="D790" s="5">
        <f>IF($E790="","",INDEX('Input Transaksi'!$F:$F,$E790))</f>
        <v/>
      </c>
      <c r="E790">
        <f>IFERROR(AGGREGATE(15,6,ROW('Input Transaksi'!$B$5:$B$5000)/('Input Transaksi'!$B$5:$B$5000="KLIN WASH"),ROWS($E$5:E790)),"")</f>
        <v/>
      </c>
      <c r="F790" s="5" t="n"/>
    </row>
    <row r="791">
      <c r="A791" s="10">
        <f>IF($E791="","",INDEX('Input Transaksi'!$A:$A,$E791))</f>
        <v/>
      </c>
      <c r="B791" s="5">
        <f>IF($E791="","",INDEX('Input Transaksi'!$D:$D,$E791))</f>
        <v/>
      </c>
      <c r="C791">
        <f>IF($E791="","",INDEX('Input Transaksi'!$E:$E,$E791))</f>
        <v/>
      </c>
      <c r="D791" s="5">
        <f>IF($E791="","",INDEX('Input Transaksi'!$F:$F,$E791))</f>
        <v/>
      </c>
      <c r="E791">
        <f>IFERROR(AGGREGATE(15,6,ROW('Input Transaksi'!$B$5:$B$5000)/('Input Transaksi'!$B$5:$B$5000="KLIN WASH"),ROWS($E$5:E791)),"")</f>
        <v/>
      </c>
      <c r="F791" s="5" t="n"/>
    </row>
    <row r="792">
      <c r="A792" s="10">
        <f>IF($E792="","",INDEX('Input Transaksi'!$A:$A,$E792))</f>
        <v/>
      </c>
      <c r="B792" s="5">
        <f>IF($E792="","",INDEX('Input Transaksi'!$D:$D,$E792))</f>
        <v/>
      </c>
      <c r="C792">
        <f>IF($E792="","",INDEX('Input Transaksi'!$E:$E,$E792))</f>
        <v/>
      </c>
      <c r="D792" s="5">
        <f>IF($E792="","",INDEX('Input Transaksi'!$F:$F,$E792))</f>
        <v/>
      </c>
      <c r="E792">
        <f>IFERROR(AGGREGATE(15,6,ROW('Input Transaksi'!$B$5:$B$5000)/('Input Transaksi'!$B$5:$B$5000="KLIN WASH"),ROWS($E$5:E792)),"")</f>
        <v/>
      </c>
      <c r="F792" s="5" t="n"/>
    </row>
    <row r="793">
      <c r="A793" s="10">
        <f>IF($E793="","",INDEX('Input Transaksi'!$A:$A,$E793))</f>
        <v/>
      </c>
      <c r="B793" s="5">
        <f>IF($E793="","",INDEX('Input Transaksi'!$D:$D,$E793))</f>
        <v/>
      </c>
      <c r="C793">
        <f>IF($E793="","",INDEX('Input Transaksi'!$E:$E,$E793))</f>
        <v/>
      </c>
      <c r="D793" s="5">
        <f>IF($E793="","",INDEX('Input Transaksi'!$F:$F,$E793))</f>
        <v/>
      </c>
      <c r="E793">
        <f>IFERROR(AGGREGATE(15,6,ROW('Input Transaksi'!$B$5:$B$5000)/('Input Transaksi'!$B$5:$B$5000="KLIN WASH"),ROWS($E$5:E793)),"")</f>
        <v/>
      </c>
      <c r="F793" s="5" t="n"/>
    </row>
    <row r="794">
      <c r="A794" s="10">
        <f>IF($E794="","",INDEX('Input Transaksi'!$A:$A,$E794))</f>
        <v/>
      </c>
      <c r="B794" s="5">
        <f>IF($E794="","",INDEX('Input Transaksi'!$D:$D,$E794))</f>
        <v/>
      </c>
      <c r="C794">
        <f>IF($E794="","",INDEX('Input Transaksi'!$E:$E,$E794))</f>
        <v/>
      </c>
      <c r="D794" s="5">
        <f>IF($E794="","",INDEX('Input Transaksi'!$F:$F,$E794))</f>
        <v/>
      </c>
      <c r="E794">
        <f>IFERROR(AGGREGATE(15,6,ROW('Input Transaksi'!$B$5:$B$5000)/('Input Transaksi'!$B$5:$B$5000="KLIN WASH"),ROWS($E$5:E794)),"")</f>
        <v/>
      </c>
      <c r="F794" s="5" t="n"/>
    </row>
    <row r="795">
      <c r="A795" s="10">
        <f>IF($E795="","",INDEX('Input Transaksi'!$A:$A,$E795))</f>
        <v/>
      </c>
      <c r="B795" s="5">
        <f>IF($E795="","",INDEX('Input Transaksi'!$D:$D,$E795))</f>
        <v/>
      </c>
      <c r="C795">
        <f>IF($E795="","",INDEX('Input Transaksi'!$E:$E,$E795))</f>
        <v/>
      </c>
      <c r="D795" s="5">
        <f>IF($E795="","",INDEX('Input Transaksi'!$F:$F,$E795))</f>
        <v/>
      </c>
      <c r="E795">
        <f>IFERROR(AGGREGATE(15,6,ROW('Input Transaksi'!$B$5:$B$5000)/('Input Transaksi'!$B$5:$B$5000="KLIN WASH"),ROWS($E$5:E795)),"")</f>
        <v/>
      </c>
      <c r="F795" s="5" t="n"/>
    </row>
    <row r="796">
      <c r="A796" s="10">
        <f>IF($E796="","",INDEX('Input Transaksi'!$A:$A,$E796))</f>
        <v/>
      </c>
      <c r="B796" s="5">
        <f>IF($E796="","",INDEX('Input Transaksi'!$D:$D,$E796))</f>
        <v/>
      </c>
      <c r="C796">
        <f>IF($E796="","",INDEX('Input Transaksi'!$E:$E,$E796))</f>
        <v/>
      </c>
      <c r="D796" s="5">
        <f>IF($E796="","",INDEX('Input Transaksi'!$F:$F,$E796))</f>
        <v/>
      </c>
      <c r="E796">
        <f>IFERROR(AGGREGATE(15,6,ROW('Input Transaksi'!$B$5:$B$5000)/('Input Transaksi'!$B$5:$B$5000="KLIN WASH"),ROWS($E$5:E796)),"")</f>
        <v/>
      </c>
      <c r="F796" s="5" t="n"/>
    </row>
    <row r="797">
      <c r="A797" s="10">
        <f>IF($E797="","",INDEX('Input Transaksi'!$A:$A,$E797))</f>
        <v/>
      </c>
      <c r="B797" s="5">
        <f>IF($E797="","",INDEX('Input Transaksi'!$D:$D,$E797))</f>
        <v/>
      </c>
      <c r="C797">
        <f>IF($E797="","",INDEX('Input Transaksi'!$E:$E,$E797))</f>
        <v/>
      </c>
      <c r="D797" s="5">
        <f>IF($E797="","",INDEX('Input Transaksi'!$F:$F,$E797))</f>
        <v/>
      </c>
      <c r="E797">
        <f>IFERROR(AGGREGATE(15,6,ROW('Input Transaksi'!$B$5:$B$5000)/('Input Transaksi'!$B$5:$B$5000="KLIN WASH"),ROWS($E$5:E797)),"")</f>
        <v/>
      </c>
      <c r="F797" s="5" t="n"/>
    </row>
    <row r="798">
      <c r="A798" s="10">
        <f>IF($E798="","",INDEX('Input Transaksi'!$A:$A,$E798))</f>
        <v/>
      </c>
      <c r="B798" s="5">
        <f>IF($E798="","",INDEX('Input Transaksi'!$D:$D,$E798))</f>
        <v/>
      </c>
      <c r="C798">
        <f>IF($E798="","",INDEX('Input Transaksi'!$E:$E,$E798))</f>
        <v/>
      </c>
      <c r="D798" s="5">
        <f>IF($E798="","",INDEX('Input Transaksi'!$F:$F,$E798))</f>
        <v/>
      </c>
      <c r="E798">
        <f>IFERROR(AGGREGATE(15,6,ROW('Input Transaksi'!$B$5:$B$5000)/('Input Transaksi'!$B$5:$B$5000="KLIN WASH"),ROWS($E$5:E798)),"")</f>
        <v/>
      </c>
      <c r="F798" s="5" t="n"/>
    </row>
    <row r="799">
      <c r="A799" s="10">
        <f>IF($E799="","",INDEX('Input Transaksi'!$A:$A,$E799))</f>
        <v/>
      </c>
      <c r="B799" s="5">
        <f>IF($E799="","",INDEX('Input Transaksi'!$D:$D,$E799))</f>
        <v/>
      </c>
      <c r="C799">
        <f>IF($E799="","",INDEX('Input Transaksi'!$E:$E,$E799))</f>
        <v/>
      </c>
      <c r="D799" s="5">
        <f>IF($E799="","",INDEX('Input Transaksi'!$F:$F,$E799))</f>
        <v/>
      </c>
      <c r="E799">
        <f>IFERROR(AGGREGATE(15,6,ROW('Input Transaksi'!$B$5:$B$5000)/('Input Transaksi'!$B$5:$B$5000="KLIN WASH"),ROWS($E$5:E799)),"")</f>
        <v/>
      </c>
      <c r="F799" s="5" t="n"/>
    </row>
    <row r="800">
      <c r="A800" s="10">
        <f>IF($E800="","",INDEX('Input Transaksi'!$A:$A,$E800))</f>
        <v/>
      </c>
      <c r="B800" s="5">
        <f>IF($E800="","",INDEX('Input Transaksi'!$D:$D,$E800))</f>
        <v/>
      </c>
      <c r="C800">
        <f>IF($E800="","",INDEX('Input Transaksi'!$E:$E,$E800))</f>
        <v/>
      </c>
      <c r="D800" s="5">
        <f>IF($E800="","",INDEX('Input Transaksi'!$F:$F,$E800))</f>
        <v/>
      </c>
      <c r="E800">
        <f>IFERROR(AGGREGATE(15,6,ROW('Input Transaksi'!$B$5:$B$5000)/('Input Transaksi'!$B$5:$B$5000="KLIN WASH"),ROWS($E$5:E800)),"")</f>
        <v/>
      </c>
      <c r="F800" s="5" t="n"/>
    </row>
    <row r="801">
      <c r="A801" s="10">
        <f>IF($E801="","",INDEX('Input Transaksi'!$A:$A,$E801))</f>
        <v/>
      </c>
      <c r="B801" s="5">
        <f>IF($E801="","",INDEX('Input Transaksi'!$D:$D,$E801))</f>
        <v/>
      </c>
      <c r="C801">
        <f>IF($E801="","",INDEX('Input Transaksi'!$E:$E,$E801))</f>
        <v/>
      </c>
      <c r="D801" s="5">
        <f>IF($E801="","",INDEX('Input Transaksi'!$F:$F,$E801))</f>
        <v/>
      </c>
      <c r="E801">
        <f>IFERROR(AGGREGATE(15,6,ROW('Input Transaksi'!$B$5:$B$5000)/('Input Transaksi'!$B$5:$B$5000="KLIN WASH"),ROWS($E$5:E801)),"")</f>
        <v/>
      </c>
      <c r="F801" s="5" t="n"/>
    </row>
    <row r="802">
      <c r="A802" s="10">
        <f>IF($E802="","",INDEX('Input Transaksi'!$A:$A,$E802))</f>
        <v/>
      </c>
      <c r="B802" s="5">
        <f>IF($E802="","",INDEX('Input Transaksi'!$D:$D,$E802))</f>
        <v/>
      </c>
      <c r="C802">
        <f>IF($E802="","",INDEX('Input Transaksi'!$E:$E,$E802))</f>
        <v/>
      </c>
      <c r="D802" s="5">
        <f>IF($E802="","",INDEX('Input Transaksi'!$F:$F,$E802))</f>
        <v/>
      </c>
      <c r="E802">
        <f>IFERROR(AGGREGATE(15,6,ROW('Input Transaksi'!$B$5:$B$5000)/('Input Transaksi'!$B$5:$B$5000="KLIN WASH"),ROWS($E$5:E802)),"")</f>
        <v/>
      </c>
      <c r="F802" s="5" t="n"/>
    </row>
    <row r="803">
      <c r="A803" s="10">
        <f>IF($E803="","",INDEX('Input Transaksi'!$A:$A,$E803))</f>
        <v/>
      </c>
      <c r="B803" s="5">
        <f>IF($E803="","",INDEX('Input Transaksi'!$D:$D,$E803))</f>
        <v/>
      </c>
      <c r="C803">
        <f>IF($E803="","",INDEX('Input Transaksi'!$E:$E,$E803))</f>
        <v/>
      </c>
      <c r="D803" s="5">
        <f>IF($E803="","",INDEX('Input Transaksi'!$F:$F,$E803))</f>
        <v/>
      </c>
      <c r="E803">
        <f>IFERROR(AGGREGATE(15,6,ROW('Input Transaksi'!$B$5:$B$5000)/('Input Transaksi'!$B$5:$B$5000="KLIN WASH"),ROWS($E$5:E803)),"")</f>
        <v/>
      </c>
      <c r="F803" s="5" t="n"/>
    </row>
    <row r="804">
      <c r="A804" s="10">
        <f>IF($E804="","",INDEX('Input Transaksi'!$A:$A,$E804))</f>
        <v/>
      </c>
      <c r="B804" s="5">
        <f>IF($E804="","",INDEX('Input Transaksi'!$D:$D,$E804))</f>
        <v/>
      </c>
      <c r="C804">
        <f>IF($E804="","",INDEX('Input Transaksi'!$E:$E,$E804))</f>
        <v/>
      </c>
      <c r="D804" s="5">
        <f>IF($E804="","",INDEX('Input Transaksi'!$F:$F,$E804))</f>
        <v/>
      </c>
      <c r="E804">
        <f>IFERROR(AGGREGATE(15,6,ROW('Input Transaksi'!$B$5:$B$5000)/('Input Transaksi'!$B$5:$B$5000="KLIN WASH"),ROWS($E$5:E804)),"")</f>
        <v/>
      </c>
      <c r="F804" s="5" t="n"/>
    </row>
    <row r="805">
      <c r="A805" s="10">
        <f>IF($E805="","",INDEX('Input Transaksi'!$A:$A,$E805))</f>
        <v/>
      </c>
      <c r="B805" s="5">
        <f>IF($E805="","",INDEX('Input Transaksi'!$D:$D,$E805))</f>
        <v/>
      </c>
      <c r="C805">
        <f>IF($E805="","",INDEX('Input Transaksi'!$E:$E,$E805))</f>
        <v/>
      </c>
      <c r="D805" s="5">
        <f>IF($E805="","",INDEX('Input Transaksi'!$F:$F,$E805))</f>
        <v/>
      </c>
      <c r="E805">
        <f>IFERROR(AGGREGATE(15,6,ROW('Input Transaksi'!$B$5:$B$5000)/('Input Transaksi'!$B$5:$B$5000="KLIN WASH"),ROWS($E$5:E805)),"")</f>
        <v/>
      </c>
      <c r="F805" s="5" t="n"/>
    </row>
    <row r="806">
      <c r="A806" s="10">
        <f>IF($E806="","",INDEX('Input Transaksi'!$A:$A,$E806))</f>
        <v/>
      </c>
      <c r="B806" s="5">
        <f>IF($E806="","",INDEX('Input Transaksi'!$D:$D,$E806))</f>
        <v/>
      </c>
      <c r="C806">
        <f>IF($E806="","",INDEX('Input Transaksi'!$E:$E,$E806))</f>
        <v/>
      </c>
      <c r="D806" s="5">
        <f>IF($E806="","",INDEX('Input Transaksi'!$F:$F,$E806))</f>
        <v/>
      </c>
      <c r="E806">
        <f>IFERROR(AGGREGATE(15,6,ROW('Input Transaksi'!$B$5:$B$5000)/('Input Transaksi'!$B$5:$B$5000="KLIN WASH"),ROWS($E$5:E806)),"")</f>
        <v/>
      </c>
      <c r="F806" s="5" t="n"/>
    </row>
    <row r="807">
      <c r="A807" s="10">
        <f>IF($E807="","",INDEX('Input Transaksi'!$A:$A,$E807))</f>
        <v/>
      </c>
      <c r="B807" s="5">
        <f>IF($E807="","",INDEX('Input Transaksi'!$D:$D,$E807))</f>
        <v/>
      </c>
      <c r="C807">
        <f>IF($E807="","",INDEX('Input Transaksi'!$E:$E,$E807))</f>
        <v/>
      </c>
      <c r="D807" s="5">
        <f>IF($E807="","",INDEX('Input Transaksi'!$F:$F,$E807))</f>
        <v/>
      </c>
      <c r="E807">
        <f>IFERROR(AGGREGATE(15,6,ROW('Input Transaksi'!$B$5:$B$5000)/('Input Transaksi'!$B$5:$B$5000="KLIN WASH"),ROWS($E$5:E807)),"")</f>
        <v/>
      </c>
      <c r="F807" s="5" t="n"/>
    </row>
    <row r="808">
      <c r="A808" s="10">
        <f>IF($E808="","",INDEX('Input Transaksi'!$A:$A,$E808))</f>
        <v/>
      </c>
      <c r="B808" s="5">
        <f>IF($E808="","",INDEX('Input Transaksi'!$D:$D,$E808))</f>
        <v/>
      </c>
      <c r="C808">
        <f>IF($E808="","",INDEX('Input Transaksi'!$E:$E,$E808))</f>
        <v/>
      </c>
      <c r="D808" s="5">
        <f>IF($E808="","",INDEX('Input Transaksi'!$F:$F,$E808))</f>
        <v/>
      </c>
      <c r="E808">
        <f>IFERROR(AGGREGATE(15,6,ROW('Input Transaksi'!$B$5:$B$5000)/('Input Transaksi'!$B$5:$B$5000="KLIN WASH"),ROWS($E$5:E808)),"")</f>
        <v/>
      </c>
      <c r="F808" s="5" t="n"/>
    </row>
    <row r="809">
      <c r="A809" s="10">
        <f>IF($E809="","",INDEX('Input Transaksi'!$A:$A,$E809))</f>
        <v/>
      </c>
      <c r="B809" s="5">
        <f>IF($E809="","",INDEX('Input Transaksi'!$D:$D,$E809))</f>
        <v/>
      </c>
      <c r="C809">
        <f>IF($E809="","",INDEX('Input Transaksi'!$E:$E,$E809))</f>
        <v/>
      </c>
      <c r="D809" s="5">
        <f>IF($E809="","",INDEX('Input Transaksi'!$F:$F,$E809))</f>
        <v/>
      </c>
      <c r="E809">
        <f>IFERROR(AGGREGATE(15,6,ROW('Input Transaksi'!$B$5:$B$5000)/('Input Transaksi'!$B$5:$B$5000="KLIN WASH"),ROWS($E$5:E809)),"")</f>
        <v/>
      </c>
      <c r="F809" s="5" t="n"/>
    </row>
    <row r="810">
      <c r="A810" s="10">
        <f>IF($E810="","",INDEX('Input Transaksi'!$A:$A,$E810))</f>
        <v/>
      </c>
      <c r="B810" s="5">
        <f>IF($E810="","",INDEX('Input Transaksi'!$D:$D,$E810))</f>
        <v/>
      </c>
      <c r="C810">
        <f>IF($E810="","",INDEX('Input Transaksi'!$E:$E,$E810))</f>
        <v/>
      </c>
      <c r="D810" s="5">
        <f>IF($E810="","",INDEX('Input Transaksi'!$F:$F,$E810))</f>
        <v/>
      </c>
      <c r="E810">
        <f>IFERROR(AGGREGATE(15,6,ROW('Input Transaksi'!$B$5:$B$5000)/('Input Transaksi'!$B$5:$B$5000="KLIN WASH"),ROWS($E$5:E810)),"")</f>
        <v/>
      </c>
      <c r="F810" s="5" t="n"/>
    </row>
    <row r="811">
      <c r="A811" s="10">
        <f>IF($E811="","",INDEX('Input Transaksi'!$A:$A,$E811))</f>
        <v/>
      </c>
      <c r="B811" s="5">
        <f>IF($E811="","",INDEX('Input Transaksi'!$D:$D,$E811))</f>
        <v/>
      </c>
      <c r="C811">
        <f>IF($E811="","",INDEX('Input Transaksi'!$E:$E,$E811))</f>
        <v/>
      </c>
      <c r="D811" s="5">
        <f>IF($E811="","",INDEX('Input Transaksi'!$F:$F,$E811))</f>
        <v/>
      </c>
      <c r="E811">
        <f>IFERROR(AGGREGATE(15,6,ROW('Input Transaksi'!$B$5:$B$5000)/('Input Transaksi'!$B$5:$B$5000="KLIN WASH"),ROWS($E$5:E811)),"")</f>
        <v/>
      </c>
      <c r="F811" s="5" t="n"/>
    </row>
    <row r="812">
      <c r="A812" s="10">
        <f>IF($E812="","",INDEX('Input Transaksi'!$A:$A,$E812))</f>
        <v/>
      </c>
      <c r="B812" s="5">
        <f>IF($E812="","",INDEX('Input Transaksi'!$D:$D,$E812))</f>
        <v/>
      </c>
      <c r="C812">
        <f>IF($E812="","",INDEX('Input Transaksi'!$E:$E,$E812))</f>
        <v/>
      </c>
      <c r="D812" s="5">
        <f>IF($E812="","",INDEX('Input Transaksi'!$F:$F,$E812))</f>
        <v/>
      </c>
      <c r="E812">
        <f>IFERROR(AGGREGATE(15,6,ROW('Input Transaksi'!$B$5:$B$5000)/('Input Transaksi'!$B$5:$B$5000="KLIN WASH"),ROWS($E$5:E812)),"")</f>
        <v/>
      </c>
      <c r="F812" s="5" t="n"/>
    </row>
    <row r="813">
      <c r="A813" s="10">
        <f>IF($E813="","",INDEX('Input Transaksi'!$A:$A,$E813))</f>
        <v/>
      </c>
      <c r="B813" s="5">
        <f>IF($E813="","",INDEX('Input Transaksi'!$D:$D,$E813))</f>
        <v/>
      </c>
      <c r="C813">
        <f>IF($E813="","",INDEX('Input Transaksi'!$E:$E,$E813))</f>
        <v/>
      </c>
      <c r="D813" s="5">
        <f>IF($E813="","",INDEX('Input Transaksi'!$F:$F,$E813))</f>
        <v/>
      </c>
      <c r="E813">
        <f>IFERROR(AGGREGATE(15,6,ROW('Input Transaksi'!$B$5:$B$5000)/('Input Transaksi'!$B$5:$B$5000="KLIN WASH"),ROWS($E$5:E813)),"")</f>
        <v/>
      </c>
      <c r="F813" s="5" t="n"/>
    </row>
    <row r="814">
      <c r="A814" s="10">
        <f>IF($E814="","",INDEX('Input Transaksi'!$A:$A,$E814))</f>
        <v/>
      </c>
      <c r="B814" s="5">
        <f>IF($E814="","",INDEX('Input Transaksi'!$D:$D,$E814))</f>
        <v/>
      </c>
      <c r="C814">
        <f>IF($E814="","",INDEX('Input Transaksi'!$E:$E,$E814))</f>
        <v/>
      </c>
      <c r="D814" s="5">
        <f>IF($E814="","",INDEX('Input Transaksi'!$F:$F,$E814))</f>
        <v/>
      </c>
      <c r="E814">
        <f>IFERROR(AGGREGATE(15,6,ROW('Input Transaksi'!$B$5:$B$5000)/('Input Transaksi'!$B$5:$B$5000="KLIN WASH"),ROWS($E$5:E814)),"")</f>
        <v/>
      </c>
      <c r="F814" s="5" t="n"/>
    </row>
    <row r="815">
      <c r="A815" s="10">
        <f>IF($E815="","",INDEX('Input Transaksi'!$A:$A,$E815))</f>
        <v/>
      </c>
      <c r="B815" s="5">
        <f>IF($E815="","",INDEX('Input Transaksi'!$D:$D,$E815))</f>
        <v/>
      </c>
      <c r="C815">
        <f>IF($E815="","",INDEX('Input Transaksi'!$E:$E,$E815))</f>
        <v/>
      </c>
      <c r="D815" s="5">
        <f>IF($E815="","",INDEX('Input Transaksi'!$F:$F,$E815))</f>
        <v/>
      </c>
      <c r="E815">
        <f>IFERROR(AGGREGATE(15,6,ROW('Input Transaksi'!$B$5:$B$5000)/('Input Transaksi'!$B$5:$B$5000="KLIN WASH"),ROWS($E$5:E815)),"")</f>
        <v/>
      </c>
      <c r="F815" s="5" t="n"/>
    </row>
    <row r="816">
      <c r="A816" s="10">
        <f>IF($E816="","",INDEX('Input Transaksi'!$A:$A,$E816))</f>
        <v/>
      </c>
      <c r="B816" s="5">
        <f>IF($E816="","",INDEX('Input Transaksi'!$D:$D,$E816))</f>
        <v/>
      </c>
      <c r="C816">
        <f>IF($E816="","",INDEX('Input Transaksi'!$E:$E,$E816))</f>
        <v/>
      </c>
      <c r="D816" s="5">
        <f>IF($E816="","",INDEX('Input Transaksi'!$F:$F,$E816))</f>
        <v/>
      </c>
      <c r="E816">
        <f>IFERROR(AGGREGATE(15,6,ROW('Input Transaksi'!$B$5:$B$5000)/('Input Transaksi'!$B$5:$B$5000="KLIN WASH"),ROWS($E$5:E816)),"")</f>
        <v/>
      </c>
      <c r="F816" s="5" t="n"/>
    </row>
    <row r="817">
      <c r="A817" s="10">
        <f>IF($E817="","",INDEX('Input Transaksi'!$A:$A,$E817))</f>
        <v/>
      </c>
      <c r="B817" s="5">
        <f>IF($E817="","",INDEX('Input Transaksi'!$D:$D,$E817))</f>
        <v/>
      </c>
      <c r="C817">
        <f>IF($E817="","",INDEX('Input Transaksi'!$E:$E,$E817))</f>
        <v/>
      </c>
      <c r="D817" s="5">
        <f>IF($E817="","",INDEX('Input Transaksi'!$F:$F,$E817))</f>
        <v/>
      </c>
      <c r="E817">
        <f>IFERROR(AGGREGATE(15,6,ROW('Input Transaksi'!$B$5:$B$5000)/('Input Transaksi'!$B$5:$B$5000="KLIN WASH"),ROWS($E$5:E817)),"")</f>
        <v/>
      </c>
      <c r="F817" s="5" t="n"/>
    </row>
    <row r="818">
      <c r="A818" s="10">
        <f>IF($E818="","",INDEX('Input Transaksi'!$A:$A,$E818))</f>
        <v/>
      </c>
      <c r="B818" s="5">
        <f>IF($E818="","",INDEX('Input Transaksi'!$D:$D,$E818))</f>
        <v/>
      </c>
      <c r="C818">
        <f>IF($E818="","",INDEX('Input Transaksi'!$E:$E,$E818))</f>
        <v/>
      </c>
      <c r="D818" s="5">
        <f>IF($E818="","",INDEX('Input Transaksi'!$F:$F,$E818))</f>
        <v/>
      </c>
      <c r="E818">
        <f>IFERROR(AGGREGATE(15,6,ROW('Input Transaksi'!$B$5:$B$5000)/('Input Transaksi'!$B$5:$B$5000="KLIN WASH"),ROWS($E$5:E818)),"")</f>
        <v/>
      </c>
      <c r="F818" s="5" t="n"/>
    </row>
    <row r="819">
      <c r="A819" s="10">
        <f>IF($E819="","",INDEX('Input Transaksi'!$A:$A,$E819))</f>
        <v/>
      </c>
      <c r="B819" s="5">
        <f>IF($E819="","",INDEX('Input Transaksi'!$D:$D,$E819))</f>
        <v/>
      </c>
      <c r="C819">
        <f>IF($E819="","",INDEX('Input Transaksi'!$E:$E,$E819))</f>
        <v/>
      </c>
      <c r="D819" s="5">
        <f>IF($E819="","",INDEX('Input Transaksi'!$F:$F,$E819))</f>
        <v/>
      </c>
      <c r="E819">
        <f>IFERROR(AGGREGATE(15,6,ROW('Input Transaksi'!$B$5:$B$5000)/('Input Transaksi'!$B$5:$B$5000="KLIN WASH"),ROWS($E$5:E819)),"")</f>
        <v/>
      </c>
      <c r="F819" s="5" t="n"/>
    </row>
    <row r="820">
      <c r="A820" s="10">
        <f>IF($E820="","",INDEX('Input Transaksi'!$A:$A,$E820))</f>
        <v/>
      </c>
      <c r="B820" s="5">
        <f>IF($E820="","",INDEX('Input Transaksi'!$D:$D,$E820))</f>
        <v/>
      </c>
      <c r="C820">
        <f>IF($E820="","",INDEX('Input Transaksi'!$E:$E,$E820))</f>
        <v/>
      </c>
      <c r="D820" s="5">
        <f>IF($E820="","",INDEX('Input Transaksi'!$F:$F,$E820))</f>
        <v/>
      </c>
      <c r="E820">
        <f>IFERROR(AGGREGATE(15,6,ROW('Input Transaksi'!$B$5:$B$5000)/('Input Transaksi'!$B$5:$B$5000="KLIN WASH"),ROWS($E$5:E820)),"")</f>
        <v/>
      </c>
      <c r="F820" s="5" t="n"/>
    </row>
    <row r="821">
      <c r="A821" s="10">
        <f>IF($E821="","",INDEX('Input Transaksi'!$A:$A,$E821))</f>
        <v/>
      </c>
      <c r="B821" s="5">
        <f>IF($E821="","",INDEX('Input Transaksi'!$D:$D,$E821))</f>
        <v/>
      </c>
      <c r="C821">
        <f>IF($E821="","",INDEX('Input Transaksi'!$E:$E,$E821))</f>
        <v/>
      </c>
      <c r="D821" s="5">
        <f>IF($E821="","",INDEX('Input Transaksi'!$F:$F,$E821))</f>
        <v/>
      </c>
      <c r="E821">
        <f>IFERROR(AGGREGATE(15,6,ROW('Input Transaksi'!$B$5:$B$5000)/('Input Transaksi'!$B$5:$B$5000="KLIN WASH"),ROWS($E$5:E821)),"")</f>
        <v/>
      </c>
      <c r="F821" s="5" t="n"/>
    </row>
    <row r="822">
      <c r="A822" s="10">
        <f>IF($E822="","",INDEX('Input Transaksi'!$A:$A,$E822))</f>
        <v/>
      </c>
      <c r="B822" s="5">
        <f>IF($E822="","",INDEX('Input Transaksi'!$D:$D,$E822))</f>
        <v/>
      </c>
      <c r="C822">
        <f>IF($E822="","",INDEX('Input Transaksi'!$E:$E,$E822))</f>
        <v/>
      </c>
      <c r="D822" s="5">
        <f>IF($E822="","",INDEX('Input Transaksi'!$F:$F,$E822))</f>
        <v/>
      </c>
      <c r="E822">
        <f>IFERROR(AGGREGATE(15,6,ROW('Input Transaksi'!$B$5:$B$5000)/('Input Transaksi'!$B$5:$B$5000="KLIN WASH"),ROWS($E$5:E822)),"")</f>
        <v/>
      </c>
      <c r="F822" s="5" t="n"/>
    </row>
    <row r="823">
      <c r="A823" s="10">
        <f>IF($E823="","",INDEX('Input Transaksi'!$A:$A,$E823))</f>
        <v/>
      </c>
      <c r="B823" s="5">
        <f>IF($E823="","",INDEX('Input Transaksi'!$D:$D,$E823))</f>
        <v/>
      </c>
      <c r="C823">
        <f>IF($E823="","",INDEX('Input Transaksi'!$E:$E,$E823))</f>
        <v/>
      </c>
      <c r="D823" s="5">
        <f>IF($E823="","",INDEX('Input Transaksi'!$F:$F,$E823))</f>
        <v/>
      </c>
      <c r="E823">
        <f>IFERROR(AGGREGATE(15,6,ROW('Input Transaksi'!$B$5:$B$5000)/('Input Transaksi'!$B$5:$B$5000="KLIN WASH"),ROWS($E$5:E823)),"")</f>
        <v/>
      </c>
      <c r="F823" s="5" t="n"/>
    </row>
    <row r="824">
      <c r="A824" s="10">
        <f>IF($E824="","",INDEX('Input Transaksi'!$A:$A,$E824))</f>
        <v/>
      </c>
      <c r="B824" s="5">
        <f>IF($E824="","",INDEX('Input Transaksi'!$D:$D,$E824))</f>
        <v/>
      </c>
      <c r="C824">
        <f>IF($E824="","",INDEX('Input Transaksi'!$E:$E,$E824))</f>
        <v/>
      </c>
      <c r="D824" s="5">
        <f>IF($E824="","",INDEX('Input Transaksi'!$F:$F,$E824))</f>
        <v/>
      </c>
      <c r="E824">
        <f>IFERROR(AGGREGATE(15,6,ROW('Input Transaksi'!$B$5:$B$5000)/('Input Transaksi'!$B$5:$B$5000="KLIN WASH"),ROWS($E$5:E824)),"")</f>
        <v/>
      </c>
      <c r="F824" s="5" t="n"/>
    </row>
    <row r="825">
      <c r="A825" s="10">
        <f>IF($E825="","",INDEX('Input Transaksi'!$A:$A,$E825))</f>
        <v/>
      </c>
      <c r="B825" s="5">
        <f>IF($E825="","",INDEX('Input Transaksi'!$D:$D,$E825))</f>
        <v/>
      </c>
      <c r="C825">
        <f>IF($E825="","",INDEX('Input Transaksi'!$E:$E,$E825))</f>
        <v/>
      </c>
      <c r="D825" s="5">
        <f>IF($E825="","",INDEX('Input Transaksi'!$F:$F,$E825))</f>
        <v/>
      </c>
      <c r="E825">
        <f>IFERROR(AGGREGATE(15,6,ROW('Input Transaksi'!$B$5:$B$5000)/('Input Transaksi'!$B$5:$B$5000="KLIN WASH"),ROWS($E$5:E825)),"")</f>
        <v/>
      </c>
      <c r="F825" s="5" t="n"/>
    </row>
    <row r="826">
      <c r="A826" s="10">
        <f>IF($E826="","",INDEX('Input Transaksi'!$A:$A,$E826))</f>
        <v/>
      </c>
      <c r="B826" s="5">
        <f>IF($E826="","",INDEX('Input Transaksi'!$D:$D,$E826))</f>
        <v/>
      </c>
      <c r="C826">
        <f>IF($E826="","",INDEX('Input Transaksi'!$E:$E,$E826))</f>
        <v/>
      </c>
      <c r="D826" s="5">
        <f>IF($E826="","",INDEX('Input Transaksi'!$F:$F,$E826))</f>
        <v/>
      </c>
      <c r="E826">
        <f>IFERROR(AGGREGATE(15,6,ROW('Input Transaksi'!$B$5:$B$5000)/('Input Transaksi'!$B$5:$B$5000="KLIN WASH"),ROWS($E$5:E826)),"")</f>
        <v/>
      </c>
      <c r="F826" s="5" t="n"/>
    </row>
    <row r="827">
      <c r="A827" s="10">
        <f>IF($E827="","",INDEX('Input Transaksi'!$A:$A,$E827))</f>
        <v/>
      </c>
      <c r="B827" s="5">
        <f>IF($E827="","",INDEX('Input Transaksi'!$D:$D,$E827))</f>
        <v/>
      </c>
      <c r="C827">
        <f>IF($E827="","",INDEX('Input Transaksi'!$E:$E,$E827))</f>
        <v/>
      </c>
      <c r="D827" s="5">
        <f>IF($E827="","",INDEX('Input Transaksi'!$F:$F,$E827))</f>
        <v/>
      </c>
      <c r="E827">
        <f>IFERROR(AGGREGATE(15,6,ROW('Input Transaksi'!$B$5:$B$5000)/('Input Transaksi'!$B$5:$B$5000="KLIN WASH"),ROWS($E$5:E827)),"")</f>
        <v/>
      </c>
      <c r="F827" s="5" t="n"/>
    </row>
    <row r="828">
      <c r="A828" s="10">
        <f>IF($E828="","",INDEX('Input Transaksi'!$A:$A,$E828))</f>
        <v/>
      </c>
      <c r="B828" s="5">
        <f>IF($E828="","",INDEX('Input Transaksi'!$D:$D,$E828))</f>
        <v/>
      </c>
      <c r="C828">
        <f>IF($E828="","",INDEX('Input Transaksi'!$E:$E,$E828))</f>
        <v/>
      </c>
      <c r="D828" s="5">
        <f>IF($E828="","",INDEX('Input Transaksi'!$F:$F,$E828))</f>
        <v/>
      </c>
      <c r="E828">
        <f>IFERROR(AGGREGATE(15,6,ROW('Input Transaksi'!$B$5:$B$5000)/('Input Transaksi'!$B$5:$B$5000="KLIN WASH"),ROWS($E$5:E828)),"")</f>
        <v/>
      </c>
      <c r="F828" s="5" t="n"/>
    </row>
    <row r="829">
      <c r="A829" s="10">
        <f>IF($E829="","",INDEX('Input Transaksi'!$A:$A,$E829))</f>
        <v/>
      </c>
      <c r="B829" s="5">
        <f>IF($E829="","",INDEX('Input Transaksi'!$D:$D,$E829))</f>
        <v/>
      </c>
      <c r="C829">
        <f>IF($E829="","",INDEX('Input Transaksi'!$E:$E,$E829))</f>
        <v/>
      </c>
      <c r="D829" s="5">
        <f>IF($E829="","",INDEX('Input Transaksi'!$F:$F,$E829))</f>
        <v/>
      </c>
      <c r="E829">
        <f>IFERROR(AGGREGATE(15,6,ROW('Input Transaksi'!$B$5:$B$5000)/('Input Transaksi'!$B$5:$B$5000="KLIN WASH"),ROWS($E$5:E829)),"")</f>
        <v/>
      </c>
      <c r="F829" s="5" t="n"/>
    </row>
    <row r="830">
      <c r="A830" s="10">
        <f>IF($E830="","",INDEX('Input Transaksi'!$A:$A,$E830))</f>
        <v/>
      </c>
      <c r="B830" s="5">
        <f>IF($E830="","",INDEX('Input Transaksi'!$D:$D,$E830))</f>
        <v/>
      </c>
      <c r="C830">
        <f>IF($E830="","",INDEX('Input Transaksi'!$E:$E,$E830))</f>
        <v/>
      </c>
      <c r="D830" s="5">
        <f>IF($E830="","",INDEX('Input Transaksi'!$F:$F,$E830))</f>
        <v/>
      </c>
      <c r="E830">
        <f>IFERROR(AGGREGATE(15,6,ROW('Input Transaksi'!$B$5:$B$5000)/('Input Transaksi'!$B$5:$B$5000="KLIN WASH"),ROWS($E$5:E830)),"")</f>
        <v/>
      </c>
      <c r="F830" s="5" t="n"/>
    </row>
    <row r="831">
      <c r="A831" s="10">
        <f>IF($E831="","",INDEX('Input Transaksi'!$A:$A,$E831))</f>
        <v/>
      </c>
      <c r="B831" s="5">
        <f>IF($E831="","",INDEX('Input Transaksi'!$D:$D,$E831))</f>
        <v/>
      </c>
      <c r="C831">
        <f>IF($E831="","",INDEX('Input Transaksi'!$E:$E,$E831))</f>
        <v/>
      </c>
      <c r="D831" s="5">
        <f>IF($E831="","",INDEX('Input Transaksi'!$F:$F,$E831))</f>
        <v/>
      </c>
      <c r="E831">
        <f>IFERROR(AGGREGATE(15,6,ROW('Input Transaksi'!$B$5:$B$5000)/('Input Transaksi'!$B$5:$B$5000="KLIN WASH"),ROWS($E$5:E831)),"")</f>
        <v/>
      </c>
      <c r="F831" s="5" t="n"/>
    </row>
    <row r="832">
      <c r="A832" s="10">
        <f>IF($E832="","",INDEX('Input Transaksi'!$A:$A,$E832))</f>
        <v/>
      </c>
      <c r="B832" s="5">
        <f>IF($E832="","",INDEX('Input Transaksi'!$D:$D,$E832))</f>
        <v/>
      </c>
      <c r="C832">
        <f>IF($E832="","",INDEX('Input Transaksi'!$E:$E,$E832))</f>
        <v/>
      </c>
      <c r="D832" s="5">
        <f>IF($E832="","",INDEX('Input Transaksi'!$F:$F,$E832))</f>
        <v/>
      </c>
      <c r="E832">
        <f>IFERROR(AGGREGATE(15,6,ROW('Input Transaksi'!$B$5:$B$5000)/('Input Transaksi'!$B$5:$B$5000="KLIN WASH"),ROWS($E$5:E832)),"")</f>
        <v/>
      </c>
      <c r="F832" s="5" t="n"/>
    </row>
    <row r="833">
      <c r="A833" s="10">
        <f>IF($E833="","",INDEX('Input Transaksi'!$A:$A,$E833))</f>
        <v/>
      </c>
      <c r="B833" s="5">
        <f>IF($E833="","",INDEX('Input Transaksi'!$D:$D,$E833))</f>
        <v/>
      </c>
      <c r="C833">
        <f>IF($E833="","",INDEX('Input Transaksi'!$E:$E,$E833))</f>
        <v/>
      </c>
      <c r="D833" s="5">
        <f>IF($E833="","",INDEX('Input Transaksi'!$F:$F,$E833))</f>
        <v/>
      </c>
      <c r="E833">
        <f>IFERROR(AGGREGATE(15,6,ROW('Input Transaksi'!$B$5:$B$5000)/('Input Transaksi'!$B$5:$B$5000="KLIN WASH"),ROWS($E$5:E833)),"")</f>
        <v/>
      </c>
      <c r="F833" s="5" t="n"/>
    </row>
    <row r="834">
      <c r="A834" s="10">
        <f>IF($E834="","",INDEX('Input Transaksi'!$A:$A,$E834))</f>
        <v/>
      </c>
      <c r="B834" s="5">
        <f>IF($E834="","",INDEX('Input Transaksi'!$D:$D,$E834))</f>
        <v/>
      </c>
      <c r="C834">
        <f>IF($E834="","",INDEX('Input Transaksi'!$E:$E,$E834))</f>
        <v/>
      </c>
      <c r="D834" s="5">
        <f>IF($E834="","",INDEX('Input Transaksi'!$F:$F,$E834))</f>
        <v/>
      </c>
      <c r="E834">
        <f>IFERROR(AGGREGATE(15,6,ROW('Input Transaksi'!$B$5:$B$5000)/('Input Transaksi'!$B$5:$B$5000="KLIN WASH"),ROWS($E$5:E834)),"")</f>
        <v/>
      </c>
      <c r="F834" s="5" t="n"/>
    </row>
    <row r="835">
      <c r="A835" s="10">
        <f>IF($E835="","",INDEX('Input Transaksi'!$A:$A,$E835))</f>
        <v/>
      </c>
      <c r="B835" s="5">
        <f>IF($E835="","",INDEX('Input Transaksi'!$D:$D,$E835))</f>
        <v/>
      </c>
      <c r="C835">
        <f>IF($E835="","",INDEX('Input Transaksi'!$E:$E,$E835))</f>
        <v/>
      </c>
      <c r="D835" s="5">
        <f>IF($E835="","",INDEX('Input Transaksi'!$F:$F,$E835))</f>
        <v/>
      </c>
      <c r="E835">
        <f>IFERROR(AGGREGATE(15,6,ROW('Input Transaksi'!$B$5:$B$5000)/('Input Transaksi'!$B$5:$B$5000="KLIN WASH"),ROWS($E$5:E835)),"")</f>
        <v/>
      </c>
      <c r="F835" s="5" t="n"/>
    </row>
    <row r="836">
      <c r="A836" s="10">
        <f>IF($E836="","",INDEX('Input Transaksi'!$A:$A,$E836))</f>
        <v/>
      </c>
      <c r="B836" s="5">
        <f>IF($E836="","",INDEX('Input Transaksi'!$D:$D,$E836))</f>
        <v/>
      </c>
      <c r="C836">
        <f>IF($E836="","",INDEX('Input Transaksi'!$E:$E,$E836))</f>
        <v/>
      </c>
      <c r="D836" s="5">
        <f>IF($E836="","",INDEX('Input Transaksi'!$F:$F,$E836))</f>
        <v/>
      </c>
      <c r="E836">
        <f>IFERROR(AGGREGATE(15,6,ROW('Input Transaksi'!$B$5:$B$5000)/('Input Transaksi'!$B$5:$B$5000="KLIN WASH"),ROWS($E$5:E836)),"")</f>
        <v/>
      </c>
      <c r="F836" s="5" t="n"/>
    </row>
    <row r="837">
      <c r="A837" s="10">
        <f>IF($E837="","",INDEX('Input Transaksi'!$A:$A,$E837))</f>
        <v/>
      </c>
      <c r="B837" s="5">
        <f>IF($E837="","",INDEX('Input Transaksi'!$D:$D,$E837))</f>
        <v/>
      </c>
      <c r="C837">
        <f>IF($E837="","",INDEX('Input Transaksi'!$E:$E,$E837))</f>
        <v/>
      </c>
      <c r="D837" s="5">
        <f>IF($E837="","",INDEX('Input Transaksi'!$F:$F,$E837))</f>
        <v/>
      </c>
      <c r="E837">
        <f>IFERROR(AGGREGATE(15,6,ROW('Input Transaksi'!$B$5:$B$5000)/('Input Transaksi'!$B$5:$B$5000="KLIN WASH"),ROWS($E$5:E837)),"")</f>
        <v/>
      </c>
      <c r="F837" s="5" t="n"/>
    </row>
    <row r="838">
      <c r="A838" s="10">
        <f>IF($E838="","",INDEX('Input Transaksi'!$A:$A,$E838))</f>
        <v/>
      </c>
      <c r="B838" s="5">
        <f>IF($E838="","",INDEX('Input Transaksi'!$D:$D,$E838))</f>
        <v/>
      </c>
      <c r="C838">
        <f>IF($E838="","",INDEX('Input Transaksi'!$E:$E,$E838))</f>
        <v/>
      </c>
      <c r="D838" s="5">
        <f>IF($E838="","",INDEX('Input Transaksi'!$F:$F,$E838))</f>
        <v/>
      </c>
      <c r="E838">
        <f>IFERROR(AGGREGATE(15,6,ROW('Input Transaksi'!$B$5:$B$5000)/('Input Transaksi'!$B$5:$B$5000="KLIN WASH"),ROWS($E$5:E838)),"")</f>
        <v/>
      </c>
      <c r="F838" s="5" t="n"/>
    </row>
    <row r="839">
      <c r="A839" s="10">
        <f>IF($E839="","",INDEX('Input Transaksi'!$A:$A,$E839))</f>
        <v/>
      </c>
      <c r="B839" s="5">
        <f>IF($E839="","",INDEX('Input Transaksi'!$D:$D,$E839))</f>
        <v/>
      </c>
      <c r="C839">
        <f>IF($E839="","",INDEX('Input Transaksi'!$E:$E,$E839))</f>
        <v/>
      </c>
      <c r="D839" s="5">
        <f>IF($E839="","",INDEX('Input Transaksi'!$F:$F,$E839))</f>
        <v/>
      </c>
      <c r="E839">
        <f>IFERROR(AGGREGATE(15,6,ROW('Input Transaksi'!$B$5:$B$5000)/('Input Transaksi'!$B$5:$B$5000="KLIN WASH"),ROWS($E$5:E839)),"")</f>
        <v/>
      </c>
      <c r="F839" s="5" t="n"/>
    </row>
    <row r="840">
      <c r="A840" s="10">
        <f>IF($E840="","",INDEX('Input Transaksi'!$A:$A,$E840))</f>
        <v/>
      </c>
      <c r="B840" s="5">
        <f>IF($E840="","",INDEX('Input Transaksi'!$D:$D,$E840))</f>
        <v/>
      </c>
      <c r="C840">
        <f>IF($E840="","",INDEX('Input Transaksi'!$E:$E,$E840))</f>
        <v/>
      </c>
      <c r="D840" s="5">
        <f>IF($E840="","",INDEX('Input Transaksi'!$F:$F,$E840))</f>
        <v/>
      </c>
      <c r="E840">
        <f>IFERROR(AGGREGATE(15,6,ROW('Input Transaksi'!$B$5:$B$5000)/('Input Transaksi'!$B$5:$B$5000="KLIN WASH"),ROWS($E$5:E840)),"")</f>
        <v/>
      </c>
      <c r="F840" s="5" t="n"/>
    </row>
    <row r="841">
      <c r="A841" s="10">
        <f>IF($E841="","",INDEX('Input Transaksi'!$A:$A,$E841))</f>
        <v/>
      </c>
      <c r="B841" s="5">
        <f>IF($E841="","",INDEX('Input Transaksi'!$D:$D,$E841))</f>
        <v/>
      </c>
      <c r="C841">
        <f>IF($E841="","",INDEX('Input Transaksi'!$E:$E,$E841))</f>
        <v/>
      </c>
      <c r="D841" s="5">
        <f>IF($E841="","",INDEX('Input Transaksi'!$F:$F,$E841))</f>
        <v/>
      </c>
      <c r="E841">
        <f>IFERROR(AGGREGATE(15,6,ROW('Input Transaksi'!$B$5:$B$5000)/('Input Transaksi'!$B$5:$B$5000="KLIN WASH"),ROWS($E$5:E841)),"")</f>
        <v/>
      </c>
      <c r="F841" s="5" t="n"/>
    </row>
    <row r="842">
      <c r="A842" s="10">
        <f>IF($E842="","",INDEX('Input Transaksi'!$A:$A,$E842))</f>
        <v/>
      </c>
      <c r="B842" s="5">
        <f>IF($E842="","",INDEX('Input Transaksi'!$D:$D,$E842))</f>
        <v/>
      </c>
      <c r="C842">
        <f>IF($E842="","",INDEX('Input Transaksi'!$E:$E,$E842))</f>
        <v/>
      </c>
      <c r="D842" s="5">
        <f>IF($E842="","",INDEX('Input Transaksi'!$F:$F,$E842))</f>
        <v/>
      </c>
      <c r="E842">
        <f>IFERROR(AGGREGATE(15,6,ROW('Input Transaksi'!$B$5:$B$5000)/('Input Transaksi'!$B$5:$B$5000="KLIN WASH"),ROWS($E$5:E842)),"")</f>
        <v/>
      </c>
      <c r="F842" s="5" t="n"/>
    </row>
    <row r="843">
      <c r="A843" s="10">
        <f>IF($E843="","",INDEX('Input Transaksi'!$A:$A,$E843))</f>
        <v/>
      </c>
      <c r="B843" s="5">
        <f>IF($E843="","",INDEX('Input Transaksi'!$D:$D,$E843))</f>
        <v/>
      </c>
      <c r="C843">
        <f>IF($E843="","",INDEX('Input Transaksi'!$E:$E,$E843))</f>
        <v/>
      </c>
      <c r="D843" s="5">
        <f>IF($E843="","",INDEX('Input Transaksi'!$F:$F,$E843))</f>
        <v/>
      </c>
      <c r="E843">
        <f>IFERROR(AGGREGATE(15,6,ROW('Input Transaksi'!$B$5:$B$5000)/('Input Transaksi'!$B$5:$B$5000="KLIN WASH"),ROWS($E$5:E843)),"")</f>
        <v/>
      </c>
      <c r="F843" s="5" t="n"/>
    </row>
    <row r="844">
      <c r="A844" s="10">
        <f>IF($E844="","",INDEX('Input Transaksi'!$A:$A,$E844))</f>
        <v/>
      </c>
      <c r="B844" s="5">
        <f>IF($E844="","",INDEX('Input Transaksi'!$D:$D,$E844))</f>
        <v/>
      </c>
      <c r="C844">
        <f>IF($E844="","",INDEX('Input Transaksi'!$E:$E,$E844))</f>
        <v/>
      </c>
      <c r="D844" s="5">
        <f>IF($E844="","",INDEX('Input Transaksi'!$F:$F,$E844))</f>
        <v/>
      </c>
      <c r="E844">
        <f>IFERROR(AGGREGATE(15,6,ROW('Input Transaksi'!$B$5:$B$5000)/('Input Transaksi'!$B$5:$B$5000="KLIN WASH"),ROWS($E$5:E844)),"")</f>
        <v/>
      </c>
      <c r="F844" s="5" t="n"/>
    </row>
    <row r="845">
      <c r="A845" s="10">
        <f>IF($E845="","",INDEX('Input Transaksi'!$A:$A,$E845))</f>
        <v/>
      </c>
      <c r="B845" s="5">
        <f>IF($E845="","",INDEX('Input Transaksi'!$D:$D,$E845))</f>
        <v/>
      </c>
      <c r="C845">
        <f>IF($E845="","",INDEX('Input Transaksi'!$E:$E,$E845))</f>
        <v/>
      </c>
      <c r="D845" s="5">
        <f>IF($E845="","",INDEX('Input Transaksi'!$F:$F,$E845))</f>
        <v/>
      </c>
      <c r="E845">
        <f>IFERROR(AGGREGATE(15,6,ROW('Input Transaksi'!$B$5:$B$5000)/('Input Transaksi'!$B$5:$B$5000="KLIN WASH"),ROWS($E$5:E845)),"")</f>
        <v/>
      </c>
      <c r="F845" s="5" t="n"/>
    </row>
    <row r="846">
      <c r="A846" s="10">
        <f>IF($E846="","",INDEX('Input Transaksi'!$A:$A,$E846))</f>
        <v/>
      </c>
      <c r="B846" s="5">
        <f>IF($E846="","",INDEX('Input Transaksi'!$D:$D,$E846))</f>
        <v/>
      </c>
      <c r="C846">
        <f>IF($E846="","",INDEX('Input Transaksi'!$E:$E,$E846))</f>
        <v/>
      </c>
      <c r="D846" s="5">
        <f>IF($E846="","",INDEX('Input Transaksi'!$F:$F,$E846))</f>
        <v/>
      </c>
      <c r="E846">
        <f>IFERROR(AGGREGATE(15,6,ROW('Input Transaksi'!$B$5:$B$5000)/('Input Transaksi'!$B$5:$B$5000="KLIN WASH"),ROWS($E$5:E846)),"")</f>
        <v/>
      </c>
      <c r="F846" s="5" t="n"/>
    </row>
    <row r="847">
      <c r="A847" s="10">
        <f>IF($E847="","",INDEX('Input Transaksi'!$A:$A,$E847))</f>
        <v/>
      </c>
      <c r="B847" s="5">
        <f>IF($E847="","",INDEX('Input Transaksi'!$D:$D,$E847))</f>
        <v/>
      </c>
      <c r="C847">
        <f>IF($E847="","",INDEX('Input Transaksi'!$E:$E,$E847))</f>
        <v/>
      </c>
      <c r="D847" s="5">
        <f>IF($E847="","",INDEX('Input Transaksi'!$F:$F,$E847))</f>
        <v/>
      </c>
      <c r="E847">
        <f>IFERROR(AGGREGATE(15,6,ROW('Input Transaksi'!$B$5:$B$5000)/('Input Transaksi'!$B$5:$B$5000="KLIN WASH"),ROWS($E$5:E847)),"")</f>
        <v/>
      </c>
      <c r="F847" s="5" t="n"/>
    </row>
    <row r="848">
      <c r="A848" s="10">
        <f>IF($E848="","",INDEX('Input Transaksi'!$A:$A,$E848))</f>
        <v/>
      </c>
      <c r="B848" s="5">
        <f>IF($E848="","",INDEX('Input Transaksi'!$D:$D,$E848))</f>
        <v/>
      </c>
      <c r="C848">
        <f>IF($E848="","",INDEX('Input Transaksi'!$E:$E,$E848))</f>
        <v/>
      </c>
      <c r="D848" s="5">
        <f>IF($E848="","",INDEX('Input Transaksi'!$F:$F,$E848))</f>
        <v/>
      </c>
      <c r="E848">
        <f>IFERROR(AGGREGATE(15,6,ROW('Input Transaksi'!$B$5:$B$5000)/('Input Transaksi'!$B$5:$B$5000="KLIN WASH"),ROWS($E$5:E848)),"")</f>
        <v/>
      </c>
      <c r="F848" s="5" t="n"/>
    </row>
    <row r="849">
      <c r="A849" s="10">
        <f>IF($E849="","",INDEX('Input Transaksi'!$A:$A,$E849))</f>
        <v/>
      </c>
      <c r="B849" s="5">
        <f>IF($E849="","",INDEX('Input Transaksi'!$D:$D,$E849))</f>
        <v/>
      </c>
      <c r="C849">
        <f>IF($E849="","",INDEX('Input Transaksi'!$E:$E,$E849))</f>
        <v/>
      </c>
      <c r="D849" s="5">
        <f>IF($E849="","",INDEX('Input Transaksi'!$F:$F,$E849))</f>
        <v/>
      </c>
      <c r="E849">
        <f>IFERROR(AGGREGATE(15,6,ROW('Input Transaksi'!$B$5:$B$5000)/('Input Transaksi'!$B$5:$B$5000="KLIN WASH"),ROWS($E$5:E849)),"")</f>
        <v/>
      </c>
      <c r="F849" s="5" t="n"/>
    </row>
    <row r="850">
      <c r="A850" s="10">
        <f>IF($E850="","",INDEX('Input Transaksi'!$A:$A,$E850))</f>
        <v/>
      </c>
      <c r="B850" s="5">
        <f>IF($E850="","",INDEX('Input Transaksi'!$D:$D,$E850))</f>
        <v/>
      </c>
      <c r="C850">
        <f>IF($E850="","",INDEX('Input Transaksi'!$E:$E,$E850))</f>
        <v/>
      </c>
      <c r="D850" s="5">
        <f>IF($E850="","",INDEX('Input Transaksi'!$F:$F,$E850))</f>
        <v/>
      </c>
      <c r="E850">
        <f>IFERROR(AGGREGATE(15,6,ROW('Input Transaksi'!$B$5:$B$5000)/('Input Transaksi'!$B$5:$B$5000="KLIN WASH"),ROWS($E$5:E850)),"")</f>
        <v/>
      </c>
      <c r="F850" s="5" t="n"/>
    </row>
    <row r="851">
      <c r="A851" s="10">
        <f>IF($E851="","",INDEX('Input Transaksi'!$A:$A,$E851))</f>
        <v/>
      </c>
      <c r="B851" s="5">
        <f>IF($E851="","",INDEX('Input Transaksi'!$D:$D,$E851))</f>
        <v/>
      </c>
      <c r="C851">
        <f>IF($E851="","",INDEX('Input Transaksi'!$E:$E,$E851))</f>
        <v/>
      </c>
      <c r="D851" s="5">
        <f>IF($E851="","",INDEX('Input Transaksi'!$F:$F,$E851))</f>
        <v/>
      </c>
      <c r="E851">
        <f>IFERROR(AGGREGATE(15,6,ROW('Input Transaksi'!$B$5:$B$5000)/('Input Transaksi'!$B$5:$B$5000="KLIN WASH"),ROWS($E$5:E851)),"")</f>
        <v/>
      </c>
      <c r="F851" s="5" t="n"/>
    </row>
    <row r="852">
      <c r="A852" s="10">
        <f>IF($E852="","",INDEX('Input Transaksi'!$A:$A,$E852))</f>
        <v/>
      </c>
      <c r="B852" s="5">
        <f>IF($E852="","",INDEX('Input Transaksi'!$D:$D,$E852))</f>
        <v/>
      </c>
      <c r="C852">
        <f>IF($E852="","",INDEX('Input Transaksi'!$E:$E,$E852))</f>
        <v/>
      </c>
      <c r="D852" s="5">
        <f>IF($E852="","",INDEX('Input Transaksi'!$F:$F,$E852))</f>
        <v/>
      </c>
      <c r="E852">
        <f>IFERROR(AGGREGATE(15,6,ROW('Input Transaksi'!$B$5:$B$5000)/('Input Transaksi'!$B$5:$B$5000="KLIN WASH"),ROWS($E$5:E852)),"")</f>
        <v/>
      </c>
      <c r="F852" s="5" t="n"/>
    </row>
    <row r="853">
      <c r="A853" s="10">
        <f>IF($E853="","",INDEX('Input Transaksi'!$A:$A,$E853))</f>
        <v/>
      </c>
      <c r="B853" s="5">
        <f>IF($E853="","",INDEX('Input Transaksi'!$D:$D,$E853))</f>
        <v/>
      </c>
      <c r="C853">
        <f>IF($E853="","",INDEX('Input Transaksi'!$E:$E,$E853))</f>
        <v/>
      </c>
      <c r="D853" s="5">
        <f>IF($E853="","",INDEX('Input Transaksi'!$F:$F,$E853))</f>
        <v/>
      </c>
      <c r="E853">
        <f>IFERROR(AGGREGATE(15,6,ROW('Input Transaksi'!$B$5:$B$5000)/('Input Transaksi'!$B$5:$B$5000="KLIN WASH"),ROWS($E$5:E853)),"")</f>
        <v/>
      </c>
      <c r="F853" s="5" t="n"/>
    </row>
    <row r="854">
      <c r="A854" s="10">
        <f>IF($E854="","",INDEX('Input Transaksi'!$A:$A,$E854))</f>
        <v/>
      </c>
      <c r="B854" s="5">
        <f>IF($E854="","",INDEX('Input Transaksi'!$D:$D,$E854))</f>
        <v/>
      </c>
      <c r="C854">
        <f>IF($E854="","",INDEX('Input Transaksi'!$E:$E,$E854))</f>
        <v/>
      </c>
      <c r="D854" s="5">
        <f>IF($E854="","",INDEX('Input Transaksi'!$F:$F,$E854))</f>
        <v/>
      </c>
      <c r="E854">
        <f>IFERROR(AGGREGATE(15,6,ROW('Input Transaksi'!$B$5:$B$5000)/('Input Transaksi'!$B$5:$B$5000="KLIN WASH"),ROWS($E$5:E854)),"")</f>
        <v/>
      </c>
      <c r="F854" s="5" t="n"/>
    </row>
    <row r="855">
      <c r="A855" s="10">
        <f>IF($E855="","",INDEX('Input Transaksi'!$A:$A,$E855))</f>
        <v/>
      </c>
      <c r="B855" s="5">
        <f>IF($E855="","",INDEX('Input Transaksi'!$D:$D,$E855))</f>
        <v/>
      </c>
      <c r="C855">
        <f>IF($E855="","",INDEX('Input Transaksi'!$E:$E,$E855))</f>
        <v/>
      </c>
      <c r="D855" s="5">
        <f>IF($E855="","",INDEX('Input Transaksi'!$F:$F,$E855))</f>
        <v/>
      </c>
      <c r="E855">
        <f>IFERROR(AGGREGATE(15,6,ROW('Input Transaksi'!$B$5:$B$5000)/('Input Transaksi'!$B$5:$B$5000="KLIN WASH"),ROWS($E$5:E855)),"")</f>
        <v/>
      </c>
      <c r="F855" s="5" t="n"/>
    </row>
    <row r="856">
      <c r="A856" s="10">
        <f>IF($E856="","",INDEX('Input Transaksi'!$A:$A,$E856))</f>
        <v/>
      </c>
      <c r="B856" s="5">
        <f>IF($E856="","",INDEX('Input Transaksi'!$D:$D,$E856))</f>
        <v/>
      </c>
      <c r="C856">
        <f>IF($E856="","",INDEX('Input Transaksi'!$E:$E,$E856))</f>
        <v/>
      </c>
      <c r="D856" s="5">
        <f>IF($E856="","",INDEX('Input Transaksi'!$F:$F,$E856))</f>
        <v/>
      </c>
      <c r="E856">
        <f>IFERROR(AGGREGATE(15,6,ROW('Input Transaksi'!$B$5:$B$5000)/('Input Transaksi'!$B$5:$B$5000="KLIN WASH"),ROWS($E$5:E856)),"")</f>
        <v/>
      </c>
      <c r="F856" s="5" t="n"/>
    </row>
    <row r="857">
      <c r="A857" s="10">
        <f>IF($E857="","",INDEX('Input Transaksi'!$A:$A,$E857))</f>
        <v/>
      </c>
      <c r="B857" s="5">
        <f>IF($E857="","",INDEX('Input Transaksi'!$D:$D,$E857))</f>
        <v/>
      </c>
      <c r="C857">
        <f>IF($E857="","",INDEX('Input Transaksi'!$E:$E,$E857))</f>
        <v/>
      </c>
      <c r="D857" s="5">
        <f>IF($E857="","",INDEX('Input Transaksi'!$F:$F,$E857))</f>
        <v/>
      </c>
      <c r="E857">
        <f>IFERROR(AGGREGATE(15,6,ROW('Input Transaksi'!$B$5:$B$5000)/('Input Transaksi'!$B$5:$B$5000="KLIN WASH"),ROWS($E$5:E857)),"")</f>
        <v/>
      </c>
      <c r="F857" s="5" t="n"/>
    </row>
    <row r="858">
      <c r="A858" s="10">
        <f>IF($E858="","",INDEX('Input Transaksi'!$A:$A,$E858))</f>
        <v/>
      </c>
      <c r="B858" s="5">
        <f>IF($E858="","",INDEX('Input Transaksi'!$D:$D,$E858))</f>
        <v/>
      </c>
      <c r="C858">
        <f>IF($E858="","",INDEX('Input Transaksi'!$E:$E,$E858))</f>
        <v/>
      </c>
      <c r="D858" s="5">
        <f>IF($E858="","",INDEX('Input Transaksi'!$F:$F,$E858))</f>
        <v/>
      </c>
      <c r="E858">
        <f>IFERROR(AGGREGATE(15,6,ROW('Input Transaksi'!$B$5:$B$5000)/('Input Transaksi'!$B$5:$B$5000="KLIN WASH"),ROWS($E$5:E858)),"")</f>
        <v/>
      </c>
      <c r="F858" s="5" t="n"/>
    </row>
    <row r="859">
      <c r="A859" s="10">
        <f>IF($E859="","",INDEX('Input Transaksi'!$A:$A,$E859))</f>
        <v/>
      </c>
      <c r="B859" s="5">
        <f>IF($E859="","",INDEX('Input Transaksi'!$D:$D,$E859))</f>
        <v/>
      </c>
      <c r="C859">
        <f>IF($E859="","",INDEX('Input Transaksi'!$E:$E,$E859))</f>
        <v/>
      </c>
      <c r="D859" s="5">
        <f>IF($E859="","",INDEX('Input Transaksi'!$F:$F,$E859))</f>
        <v/>
      </c>
      <c r="E859">
        <f>IFERROR(AGGREGATE(15,6,ROW('Input Transaksi'!$B$5:$B$5000)/('Input Transaksi'!$B$5:$B$5000="KLIN WASH"),ROWS($E$5:E859)),"")</f>
        <v/>
      </c>
      <c r="F859" s="5" t="n"/>
    </row>
    <row r="860">
      <c r="A860" s="10">
        <f>IF($E860="","",INDEX('Input Transaksi'!$A:$A,$E860))</f>
        <v/>
      </c>
      <c r="B860" s="5">
        <f>IF($E860="","",INDEX('Input Transaksi'!$D:$D,$E860))</f>
        <v/>
      </c>
      <c r="C860">
        <f>IF($E860="","",INDEX('Input Transaksi'!$E:$E,$E860))</f>
        <v/>
      </c>
      <c r="D860" s="5">
        <f>IF($E860="","",INDEX('Input Transaksi'!$F:$F,$E860))</f>
        <v/>
      </c>
      <c r="E860">
        <f>IFERROR(AGGREGATE(15,6,ROW('Input Transaksi'!$B$5:$B$5000)/('Input Transaksi'!$B$5:$B$5000="KLIN WASH"),ROWS($E$5:E860)),"")</f>
        <v/>
      </c>
      <c r="F860" s="5" t="n"/>
    </row>
    <row r="861">
      <c r="A861" s="10">
        <f>IF($E861="","",INDEX('Input Transaksi'!$A:$A,$E861))</f>
        <v/>
      </c>
      <c r="B861" s="5">
        <f>IF($E861="","",INDEX('Input Transaksi'!$D:$D,$E861))</f>
        <v/>
      </c>
      <c r="C861">
        <f>IF($E861="","",INDEX('Input Transaksi'!$E:$E,$E861))</f>
        <v/>
      </c>
      <c r="D861" s="5">
        <f>IF($E861="","",INDEX('Input Transaksi'!$F:$F,$E861))</f>
        <v/>
      </c>
      <c r="E861">
        <f>IFERROR(AGGREGATE(15,6,ROW('Input Transaksi'!$B$5:$B$5000)/('Input Transaksi'!$B$5:$B$5000="KLIN WASH"),ROWS($E$5:E861)),"")</f>
        <v/>
      </c>
      <c r="F861" s="5" t="n"/>
    </row>
    <row r="862">
      <c r="A862" s="10">
        <f>IF($E862="","",INDEX('Input Transaksi'!$A:$A,$E862))</f>
        <v/>
      </c>
      <c r="B862" s="5">
        <f>IF($E862="","",INDEX('Input Transaksi'!$D:$D,$E862))</f>
        <v/>
      </c>
      <c r="C862">
        <f>IF($E862="","",INDEX('Input Transaksi'!$E:$E,$E862))</f>
        <v/>
      </c>
      <c r="D862" s="5">
        <f>IF($E862="","",INDEX('Input Transaksi'!$F:$F,$E862))</f>
        <v/>
      </c>
      <c r="E862">
        <f>IFERROR(AGGREGATE(15,6,ROW('Input Transaksi'!$B$5:$B$5000)/('Input Transaksi'!$B$5:$B$5000="KLIN WASH"),ROWS($E$5:E862)),"")</f>
        <v/>
      </c>
      <c r="F862" s="5" t="n"/>
    </row>
    <row r="863">
      <c r="A863" s="10">
        <f>IF($E863="","",INDEX('Input Transaksi'!$A:$A,$E863))</f>
        <v/>
      </c>
      <c r="B863" s="5">
        <f>IF($E863="","",INDEX('Input Transaksi'!$D:$D,$E863))</f>
        <v/>
      </c>
      <c r="C863">
        <f>IF($E863="","",INDEX('Input Transaksi'!$E:$E,$E863))</f>
        <v/>
      </c>
      <c r="D863" s="5">
        <f>IF($E863="","",INDEX('Input Transaksi'!$F:$F,$E863))</f>
        <v/>
      </c>
      <c r="E863">
        <f>IFERROR(AGGREGATE(15,6,ROW('Input Transaksi'!$B$5:$B$5000)/('Input Transaksi'!$B$5:$B$5000="KLIN WASH"),ROWS($E$5:E863)),"")</f>
        <v/>
      </c>
      <c r="F863" s="5" t="n"/>
    </row>
    <row r="864">
      <c r="A864" s="10">
        <f>IF($E864="","",INDEX('Input Transaksi'!$A:$A,$E864))</f>
        <v/>
      </c>
      <c r="B864" s="5">
        <f>IF($E864="","",INDEX('Input Transaksi'!$D:$D,$E864))</f>
        <v/>
      </c>
      <c r="C864">
        <f>IF($E864="","",INDEX('Input Transaksi'!$E:$E,$E864))</f>
        <v/>
      </c>
      <c r="D864" s="5">
        <f>IF($E864="","",INDEX('Input Transaksi'!$F:$F,$E864))</f>
        <v/>
      </c>
      <c r="E864">
        <f>IFERROR(AGGREGATE(15,6,ROW('Input Transaksi'!$B$5:$B$5000)/('Input Transaksi'!$B$5:$B$5000="KLIN WASH"),ROWS($E$5:E864)),"")</f>
        <v/>
      </c>
      <c r="F864" s="5" t="n"/>
    </row>
    <row r="865">
      <c r="A865" s="10">
        <f>IF($E865="","",INDEX('Input Transaksi'!$A:$A,$E865))</f>
        <v/>
      </c>
      <c r="B865" s="5">
        <f>IF($E865="","",INDEX('Input Transaksi'!$D:$D,$E865))</f>
        <v/>
      </c>
      <c r="C865">
        <f>IF($E865="","",INDEX('Input Transaksi'!$E:$E,$E865))</f>
        <v/>
      </c>
      <c r="D865" s="5">
        <f>IF($E865="","",INDEX('Input Transaksi'!$F:$F,$E865))</f>
        <v/>
      </c>
      <c r="E865">
        <f>IFERROR(AGGREGATE(15,6,ROW('Input Transaksi'!$B$5:$B$5000)/('Input Transaksi'!$B$5:$B$5000="KLIN WASH"),ROWS($E$5:E865)),"")</f>
        <v/>
      </c>
      <c r="F865" s="5" t="n"/>
    </row>
    <row r="866">
      <c r="A866" s="10">
        <f>IF($E866="","",INDEX('Input Transaksi'!$A:$A,$E866))</f>
        <v/>
      </c>
      <c r="B866" s="5">
        <f>IF($E866="","",INDEX('Input Transaksi'!$D:$D,$E866))</f>
        <v/>
      </c>
      <c r="C866">
        <f>IF($E866="","",INDEX('Input Transaksi'!$E:$E,$E866))</f>
        <v/>
      </c>
      <c r="D866" s="5">
        <f>IF($E866="","",INDEX('Input Transaksi'!$F:$F,$E866))</f>
        <v/>
      </c>
      <c r="E866">
        <f>IFERROR(AGGREGATE(15,6,ROW('Input Transaksi'!$B$5:$B$5000)/('Input Transaksi'!$B$5:$B$5000="KLIN WASH"),ROWS($E$5:E866)),"")</f>
        <v/>
      </c>
      <c r="F866" s="5" t="n"/>
    </row>
    <row r="867">
      <c r="A867" s="10">
        <f>IF($E867="","",INDEX('Input Transaksi'!$A:$A,$E867))</f>
        <v/>
      </c>
      <c r="B867" s="5">
        <f>IF($E867="","",INDEX('Input Transaksi'!$D:$D,$E867))</f>
        <v/>
      </c>
      <c r="C867">
        <f>IF($E867="","",INDEX('Input Transaksi'!$E:$E,$E867))</f>
        <v/>
      </c>
      <c r="D867" s="5">
        <f>IF($E867="","",INDEX('Input Transaksi'!$F:$F,$E867))</f>
        <v/>
      </c>
      <c r="E867">
        <f>IFERROR(AGGREGATE(15,6,ROW('Input Transaksi'!$B$5:$B$5000)/('Input Transaksi'!$B$5:$B$5000="KLIN WASH"),ROWS($E$5:E867)),"")</f>
        <v/>
      </c>
      <c r="F867" s="5" t="n"/>
    </row>
    <row r="868">
      <c r="A868" s="10">
        <f>IF($E868="","",INDEX('Input Transaksi'!$A:$A,$E868))</f>
        <v/>
      </c>
      <c r="B868" s="5">
        <f>IF($E868="","",INDEX('Input Transaksi'!$D:$D,$E868))</f>
        <v/>
      </c>
      <c r="C868">
        <f>IF($E868="","",INDEX('Input Transaksi'!$E:$E,$E868))</f>
        <v/>
      </c>
      <c r="D868" s="5">
        <f>IF($E868="","",INDEX('Input Transaksi'!$F:$F,$E868))</f>
        <v/>
      </c>
      <c r="E868">
        <f>IFERROR(AGGREGATE(15,6,ROW('Input Transaksi'!$B$5:$B$5000)/('Input Transaksi'!$B$5:$B$5000="KLIN WASH"),ROWS($E$5:E868)),"")</f>
        <v/>
      </c>
      <c r="F868" s="5" t="n"/>
    </row>
    <row r="869">
      <c r="A869" s="10">
        <f>IF($E869="","",INDEX('Input Transaksi'!$A:$A,$E869))</f>
        <v/>
      </c>
      <c r="B869" s="5">
        <f>IF($E869="","",INDEX('Input Transaksi'!$D:$D,$E869))</f>
        <v/>
      </c>
      <c r="C869">
        <f>IF($E869="","",INDEX('Input Transaksi'!$E:$E,$E869))</f>
        <v/>
      </c>
      <c r="D869" s="5">
        <f>IF($E869="","",INDEX('Input Transaksi'!$F:$F,$E869))</f>
        <v/>
      </c>
      <c r="E869">
        <f>IFERROR(AGGREGATE(15,6,ROW('Input Transaksi'!$B$5:$B$5000)/('Input Transaksi'!$B$5:$B$5000="KLIN WASH"),ROWS($E$5:E869)),"")</f>
        <v/>
      </c>
      <c r="F869" s="5" t="n"/>
    </row>
    <row r="870">
      <c r="A870" s="10">
        <f>IF($E870="","",INDEX('Input Transaksi'!$A:$A,$E870))</f>
        <v/>
      </c>
      <c r="B870" s="5">
        <f>IF($E870="","",INDEX('Input Transaksi'!$D:$D,$E870))</f>
        <v/>
      </c>
      <c r="C870">
        <f>IF($E870="","",INDEX('Input Transaksi'!$E:$E,$E870))</f>
        <v/>
      </c>
      <c r="D870" s="5">
        <f>IF($E870="","",INDEX('Input Transaksi'!$F:$F,$E870))</f>
        <v/>
      </c>
      <c r="E870">
        <f>IFERROR(AGGREGATE(15,6,ROW('Input Transaksi'!$B$5:$B$5000)/('Input Transaksi'!$B$5:$B$5000="KLIN WASH"),ROWS($E$5:E870)),"")</f>
        <v/>
      </c>
      <c r="F870" s="5" t="n"/>
    </row>
    <row r="871">
      <c r="A871" s="10">
        <f>IF($E871="","",INDEX('Input Transaksi'!$A:$A,$E871))</f>
        <v/>
      </c>
      <c r="B871" s="5">
        <f>IF($E871="","",INDEX('Input Transaksi'!$D:$D,$E871))</f>
        <v/>
      </c>
      <c r="C871">
        <f>IF($E871="","",INDEX('Input Transaksi'!$E:$E,$E871))</f>
        <v/>
      </c>
      <c r="D871" s="5">
        <f>IF($E871="","",INDEX('Input Transaksi'!$F:$F,$E871))</f>
        <v/>
      </c>
      <c r="E871">
        <f>IFERROR(AGGREGATE(15,6,ROW('Input Transaksi'!$B$5:$B$5000)/('Input Transaksi'!$B$5:$B$5000="KLIN WASH"),ROWS($E$5:E871)),"")</f>
        <v/>
      </c>
      <c r="F871" s="5" t="n"/>
    </row>
    <row r="872">
      <c r="A872" s="10">
        <f>IF($E872="","",INDEX('Input Transaksi'!$A:$A,$E872))</f>
        <v/>
      </c>
      <c r="B872" s="5">
        <f>IF($E872="","",INDEX('Input Transaksi'!$D:$D,$E872))</f>
        <v/>
      </c>
      <c r="C872">
        <f>IF($E872="","",INDEX('Input Transaksi'!$E:$E,$E872))</f>
        <v/>
      </c>
      <c r="D872" s="5">
        <f>IF($E872="","",INDEX('Input Transaksi'!$F:$F,$E872))</f>
        <v/>
      </c>
      <c r="E872">
        <f>IFERROR(AGGREGATE(15,6,ROW('Input Transaksi'!$B$5:$B$5000)/('Input Transaksi'!$B$5:$B$5000="KLIN WASH"),ROWS($E$5:E872)),"")</f>
        <v/>
      </c>
      <c r="F872" s="5" t="n"/>
    </row>
    <row r="873">
      <c r="A873" s="10">
        <f>IF($E873="","",INDEX('Input Transaksi'!$A:$A,$E873))</f>
        <v/>
      </c>
      <c r="B873" s="5">
        <f>IF($E873="","",INDEX('Input Transaksi'!$D:$D,$E873))</f>
        <v/>
      </c>
      <c r="C873">
        <f>IF($E873="","",INDEX('Input Transaksi'!$E:$E,$E873))</f>
        <v/>
      </c>
      <c r="D873" s="5">
        <f>IF($E873="","",INDEX('Input Transaksi'!$F:$F,$E873))</f>
        <v/>
      </c>
      <c r="E873">
        <f>IFERROR(AGGREGATE(15,6,ROW('Input Transaksi'!$B$5:$B$5000)/('Input Transaksi'!$B$5:$B$5000="KLIN WASH"),ROWS($E$5:E873)),"")</f>
        <v/>
      </c>
      <c r="F873" s="5" t="n"/>
    </row>
    <row r="874">
      <c r="A874" s="10">
        <f>IF($E874="","",INDEX('Input Transaksi'!$A:$A,$E874))</f>
        <v/>
      </c>
      <c r="B874" s="5">
        <f>IF($E874="","",INDEX('Input Transaksi'!$D:$D,$E874))</f>
        <v/>
      </c>
      <c r="C874">
        <f>IF($E874="","",INDEX('Input Transaksi'!$E:$E,$E874))</f>
        <v/>
      </c>
      <c r="D874" s="5">
        <f>IF($E874="","",INDEX('Input Transaksi'!$F:$F,$E874))</f>
        <v/>
      </c>
      <c r="E874">
        <f>IFERROR(AGGREGATE(15,6,ROW('Input Transaksi'!$B$5:$B$5000)/('Input Transaksi'!$B$5:$B$5000="KLIN WASH"),ROWS($E$5:E874)),"")</f>
        <v/>
      </c>
      <c r="F874" s="5" t="n"/>
    </row>
    <row r="875">
      <c r="A875" s="10">
        <f>IF($E875="","",INDEX('Input Transaksi'!$A:$A,$E875))</f>
        <v/>
      </c>
      <c r="B875" s="5">
        <f>IF($E875="","",INDEX('Input Transaksi'!$D:$D,$E875))</f>
        <v/>
      </c>
      <c r="C875">
        <f>IF($E875="","",INDEX('Input Transaksi'!$E:$E,$E875))</f>
        <v/>
      </c>
      <c r="D875" s="5">
        <f>IF($E875="","",INDEX('Input Transaksi'!$F:$F,$E875))</f>
        <v/>
      </c>
      <c r="E875">
        <f>IFERROR(AGGREGATE(15,6,ROW('Input Transaksi'!$B$5:$B$5000)/('Input Transaksi'!$B$5:$B$5000="KLIN WASH"),ROWS($E$5:E875)),"")</f>
        <v/>
      </c>
      <c r="F875" s="5" t="n"/>
    </row>
    <row r="876">
      <c r="A876" s="10">
        <f>IF($E876="","",INDEX('Input Transaksi'!$A:$A,$E876))</f>
        <v/>
      </c>
      <c r="B876" s="5">
        <f>IF($E876="","",INDEX('Input Transaksi'!$D:$D,$E876))</f>
        <v/>
      </c>
      <c r="C876">
        <f>IF($E876="","",INDEX('Input Transaksi'!$E:$E,$E876))</f>
        <v/>
      </c>
      <c r="D876" s="5">
        <f>IF($E876="","",INDEX('Input Transaksi'!$F:$F,$E876))</f>
        <v/>
      </c>
      <c r="E876">
        <f>IFERROR(AGGREGATE(15,6,ROW('Input Transaksi'!$B$5:$B$5000)/('Input Transaksi'!$B$5:$B$5000="KLIN WASH"),ROWS($E$5:E876)),"")</f>
        <v/>
      </c>
      <c r="F876" s="5" t="n"/>
    </row>
    <row r="877">
      <c r="A877" s="10">
        <f>IF($E877="","",INDEX('Input Transaksi'!$A:$A,$E877))</f>
        <v/>
      </c>
      <c r="B877" s="5">
        <f>IF($E877="","",INDEX('Input Transaksi'!$D:$D,$E877))</f>
        <v/>
      </c>
      <c r="C877">
        <f>IF($E877="","",INDEX('Input Transaksi'!$E:$E,$E877))</f>
        <v/>
      </c>
      <c r="D877" s="5">
        <f>IF($E877="","",INDEX('Input Transaksi'!$F:$F,$E877))</f>
        <v/>
      </c>
      <c r="E877">
        <f>IFERROR(AGGREGATE(15,6,ROW('Input Transaksi'!$B$5:$B$5000)/('Input Transaksi'!$B$5:$B$5000="KLIN WASH"),ROWS($E$5:E877)),"")</f>
        <v/>
      </c>
      <c r="F877" s="5" t="n"/>
    </row>
    <row r="878">
      <c r="A878" s="10">
        <f>IF($E878="","",INDEX('Input Transaksi'!$A:$A,$E878))</f>
        <v/>
      </c>
      <c r="B878" s="5">
        <f>IF($E878="","",INDEX('Input Transaksi'!$D:$D,$E878))</f>
        <v/>
      </c>
      <c r="C878">
        <f>IF($E878="","",INDEX('Input Transaksi'!$E:$E,$E878))</f>
        <v/>
      </c>
      <c r="D878" s="5">
        <f>IF($E878="","",INDEX('Input Transaksi'!$F:$F,$E878))</f>
        <v/>
      </c>
      <c r="E878">
        <f>IFERROR(AGGREGATE(15,6,ROW('Input Transaksi'!$B$5:$B$5000)/('Input Transaksi'!$B$5:$B$5000="KLIN WASH"),ROWS($E$5:E878)),"")</f>
        <v/>
      </c>
      <c r="F878" s="5" t="n"/>
    </row>
    <row r="879">
      <c r="A879" s="10">
        <f>IF($E879="","",INDEX('Input Transaksi'!$A:$A,$E879))</f>
        <v/>
      </c>
      <c r="B879" s="5">
        <f>IF($E879="","",INDEX('Input Transaksi'!$D:$D,$E879))</f>
        <v/>
      </c>
      <c r="C879">
        <f>IF($E879="","",INDEX('Input Transaksi'!$E:$E,$E879))</f>
        <v/>
      </c>
      <c r="D879" s="5">
        <f>IF($E879="","",INDEX('Input Transaksi'!$F:$F,$E879))</f>
        <v/>
      </c>
      <c r="E879">
        <f>IFERROR(AGGREGATE(15,6,ROW('Input Transaksi'!$B$5:$B$5000)/('Input Transaksi'!$B$5:$B$5000="KLIN WASH"),ROWS($E$5:E879)),"")</f>
        <v/>
      </c>
      <c r="F879" s="5" t="n"/>
    </row>
    <row r="880">
      <c r="A880" s="10">
        <f>IF($E880="","",INDEX('Input Transaksi'!$A:$A,$E880))</f>
        <v/>
      </c>
      <c r="B880" s="5">
        <f>IF($E880="","",INDEX('Input Transaksi'!$D:$D,$E880))</f>
        <v/>
      </c>
      <c r="C880">
        <f>IF($E880="","",INDEX('Input Transaksi'!$E:$E,$E880))</f>
        <v/>
      </c>
      <c r="D880" s="5">
        <f>IF($E880="","",INDEX('Input Transaksi'!$F:$F,$E880))</f>
        <v/>
      </c>
      <c r="E880">
        <f>IFERROR(AGGREGATE(15,6,ROW('Input Transaksi'!$B$5:$B$5000)/('Input Transaksi'!$B$5:$B$5000="KLIN WASH"),ROWS($E$5:E880)),"")</f>
        <v/>
      </c>
      <c r="F880" s="5" t="n"/>
    </row>
    <row r="881">
      <c r="A881" s="10">
        <f>IF($E881="","",INDEX('Input Transaksi'!$A:$A,$E881))</f>
        <v/>
      </c>
      <c r="B881" s="5">
        <f>IF($E881="","",INDEX('Input Transaksi'!$D:$D,$E881))</f>
        <v/>
      </c>
      <c r="C881">
        <f>IF($E881="","",INDEX('Input Transaksi'!$E:$E,$E881))</f>
        <v/>
      </c>
      <c r="D881" s="5">
        <f>IF($E881="","",INDEX('Input Transaksi'!$F:$F,$E881))</f>
        <v/>
      </c>
      <c r="E881">
        <f>IFERROR(AGGREGATE(15,6,ROW('Input Transaksi'!$B$5:$B$5000)/('Input Transaksi'!$B$5:$B$5000="KLIN WASH"),ROWS($E$5:E881)),"")</f>
        <v/>
      </c>
      <c r="F881" s="5" t="n"/>
    </row>
    <row r="882">
      <c r="A882" s="10">
        <f>IF($E882="","",INDEX('Input Transaksi'!$A:$A,$E882))</f>
        <v/>
      </c>
      <c r="B882" s="5">
        <f>IF($E882="","",INDEX('Input Transaksi'!$D:$D,$E882))</f>
        <v/>
      </c>
      <c r="C882">
        <f>IF($E882="","",INDEX('Input Transaksi'!$E:$E,$E882))</f>
        <v/>
      </c>
      <c r="D882" s="5">
        <f>IF($E882="","",INDEX('Input Transaksi'!$F:$F,$E882))</f>
        <v/>
      </c>
      <c r="E882">
        <f>IFERROR(AGGREGATE(15,6,ROW('Input Transaksi'!$B$5:$B$5000)/('Input Transaksi'!$B$5:$B$5000="KLIN WASH"),ROWS($E$5:E882)),"")</f>
        <v/>
      </c>
      <c r="F882" s="5" t="n"/>
    </row>
    <row r="883">
      <c r="A883" s="10">
        <f>IF($E883="","",INDEX('Input Transaksi'!$A:$A,$E883))</f>
        <v/>
      </c>
      <c r="B883" s="5">
        <f>IF($E883="","",INDEX('Input Transaksi'!$D:$D,$E883))</f>
        <v/>
      </c>
      <c r="C883">
        <f>IF($E883="","",INDEX('Input Transaksi'!$E:$E,$E883))</f>
        <v/>
      </c>
      <c r="D883" s="5">
        <f>IF($E883="","",INDEX('Input Transaksi'!$F:$F,$E883))</f>
        <v/>
      </c>
      <c r="E883">
        <f>IFERROR(AGGREGATE(15,6,ROW('Input Transaksi'!$B$5:$B$5000)/('Input Transaksi'!$B$5:$B$5000="KLIN WASH"),ROWS($E$5:E883)),"")</f>
        <v/>
      </c>
      <c r="F883" s="5" t="n"/>
    </row>
    <row r="884">
      <c r="A884" s="10">
        <f>IF($E884="","",INDEX('Input Transaksi'!$A:$A,$E884))</f>
        <v/>
      </c>
      <c r="B884" s="5">
        <f>IF($E884="","",INDEX('Input Transaksi'!$D:$D,$E884))</f>
        <v/>
      </c>
      <c r="C884">
        <f>IF($E884="","",INDEX('Input Transaksi'!$E:$E,$E884))</f>
        <v/>
      </c>
      <c r="D884" s="5">
        <f>IF($E884="","",INDEX('Input Transaksi'!$F:$F,$E884))</f>
        <v/>
      </c>
      <c r="E884">
        <f>IFERROR(AGGREGATE(15,6,ROW('Input Transaksi'!$B$5:$B$5000)/('Input Transaksi'!$B$5:$B$5000="KLIN WASH"),ROWS($E$5:E884)),"")</f>
        <v/>
      </c>
      <c r="F884" s="5" t="n"/>
    </row>
    <row r="885">
      <c r="A885" s="10">
        <f>IF($E885="","",INDEX('Input Transaksi'!$A:$A,$E885))</f>
        <v/>
      </c>
      <c r="B885" s="5">
        <f>IF($E885="","",INDEX('Input Transaksi'!$D:$D,$E885))</f>
        <v/>
      </c>
      <c r="C885">
        <f>IF($E885="","",INDEX('Input Transaksi'!$E:$E,$E885))</f>
        <v/>
      </c>
      <c r="D885" s="5">
        <f>IF($E885="","",INDEX('Input Transaksi'!$F:$F,$E885))</f>
        <v/>
      </c>
      <c r="E885">
        <f>IFERROR(AGGREGATE(15,6,ROW('Input Transaksi'!$B$5:$B$5000)/('Input Transaksi'!$B$5:$B$5000="KLIN WASH"),ROWS($E$5:E885)),"")</f>
        <v/>
      </c>
      <c r="F885" s="5" t="n"/>
    </row>
    <row r="886">
      <c r="A886" s="10">
        <f>IF($E886="","",INDEX('Input Transaksi'!$A:$A,$E886))</f>
        <v/>
      </c>
      <c r="B886" s="5">
        <f>IF($E886="","",INDEX('Input Transaksi'!$D:$D,$E886))</f>
        <v/>
      </c>
      <c r="C886">
        <f>IF($E886="","",INDEX('Input Transaksi'!$E:$E,$E886))</f>
        <v/>
      </c>
      <c r="D886" s="5">
        <f>IF($E886="","",INDEX('Input Transaksi'!$F:$F,$E886))</f>
        <v/>
      </c>
      <c r="E886">
        <f>IFERROR(AGGREGATE(15,6,ROW('Input Transaksi'!$B$5:$B$5000)/('Input Transaksi'!$B$5:$B$5000="KLIN WASH"),ROWS($E$5:E886)),"")</f>
        <v/>
      </c>
      <c r="F886" s="5" t="n"/>
    </row>
    <row r="887">
      <c r="A887" s="10">
        <f>IF($E887="","",INDEX('Input Transaksi'!$A:$A,$E887))</f>
        <v/>
      </c>
      <c r="B887" s="5">
        <f>IF($E887="","",INDEX('Input Transaksi'!$D:$D,$E887))</f>
        <v/>
      </c>
      <c r="C887">
        <f>IF($E887="","",INDEX('Input Transaksi'!$E:$E,$E887))</f>
        <v/>
      </c>
      <c r="D887" s="5">
        <f>IF($E887="","",INDEX('Input Transaksi'!$F:$F,$E887))</f>
        <v/>
      </c>
      <c r="E887">
        <f>IFERROR(AGGREGATE(15,6,ROW('Input Transaksi'!$B$5:$B$5000)/('Input Transaksi'!$B$5:$B$5000="KLIN WASH"),ROWS($E$5:E887)),"")</f>
        <v/>
      </c>
      <c r="F887" s="5" t="n"/>
    </row>
    <row r="888">
      <c r="A888" s="10">
        <f>IF($E888="","",INDEX('Input Transaksi'!$A:$A,$E888))</f>
        <v/>
      </c>
      <c r="B888" s="5">
        <f>IF($E888="","",INDEX('Input Transaksi'!$D:$D,$E888))</f>
        <v/>
      </c>
      <c r="C888">
        <f>IF($E888="","",INDEX('Input Transaksi'!$E:$E,$E888))</f>
        <v/>
      </c>
      <c r="D888" s="5">
        <f>IF($E888="","",INDEX('Input Transaksi'!$F:$F,$E888))</f>
        <v/>
      </c>
      <c r="E888">
        <f>IFERROR(AGGREGATE(15,6,ROW('Input Transaksi'!$B$5:$B$5000)/('Input Transaksi'!$B$5:$B$5000="KLIN WASH"),ROWS($E$5:E888)),"")</f>
        <v/>
      </c>
      <c r="F888" s="5" t="n"/>
    </row>
    <row r="889">
      <c r="A889" s="10">
        <f>IF($E889="","",INDEX('Input Transaksi'!$A:$A,$E889))</f>
        <v/>
      </c>
      <c r="B889" s="5">
        <f>IF($E889="","",INDEX('Input Transaksi'!$D:$D,$E889))</f>
        <v/>
      </c>
      <c r="C889">
        <f>IF($E889="","",INDEX('Input Transaksi'!$E:$E,$E889))</f>
        <v/>
      </c>
      <c r="D889" s="5">
        <f>IF($E889="","",INDEX('Input Transaksi'!$F:$F,$E889))</f>
        <v/>
      </c>
      <c r="E889">
        <f>IFERROR(AGGREGATE(15,6,ROW('Input Transaksi'!$B$5:$B$5000)/('Input Transaksi'!$B$5:$B$5000="KLIN WASH"),ROWS($E$5:E889)),"")</f>
        <v/>
      </c>
      <c r="F889" s="5" t="n"/>
    </row>
    <row r="890">
      <c r="A890" s="10">
        <f>IF($E890="","",INDEX('Input Transaksi'!$A:$A,$E890))</f>
        <v/>
      </c>
      <c r="B890" s="5">
        <f>IF($E890="","",INDEX('Input Transaksi'!$D:$D,$E890))</f>
        <v/>
      </c>
      <c r="C890">
        <f>IF($E890="","",INDEX('Input Transaksi'!$E:$E,$E890))</f>
        <v/>
      </c>
      <c r="D890" s="5">
        <f>IF($E890="","",INDEX('Input Transaksi'!$F:$F,$E890))</f>
        <v/>
      </c>
      <c r="E890">
        <f>IFERROR(AGGREGATE(15,6,ROW('Input Transaksi'!$B$5:$B$5000)/('Input Transaksi'!$B$5:$B$5000="KLIN WASH"),ROWS($E$5:E890)),"")</f>
        <v/>
      </c>
      <c r="F890" s="5" t="n"/>
    </row>
    <row r="891">
      <c r="A891" s="10">
        <f>IF($E891="","",INDEX('Input Transaksi'!$A:$A,$E891))</f>
        <v/>
      </c>
      <c r="B891" s="5">
        <f>IF($E891="","",INDEX('Input Transaksi'!$D:$D,$E891))</f>
        <v/>
      </c>
      <c r="C891">
        <f>IF($E891="","",INDEX('Input Transaksi'!$E:$E,$E891))</f>
        <v/>
      </c>
      <c r="D891" s="5">
        <f>IF($E891="","",INDEX('Input Transaksi'!$F:$F,$E891))</f>
        <v/>
      </c>
      <c r="E891">
        <f>IFERROR(AGGREGATE(15,6,ROW('Input Transaksi'!$B$5:$B$5000)/('Input Transaksi'!$B$5:$B$5000="KLIN WASH"),ROWS($E$5:E891)),"")</f>
        <v/>
      </c>
      <c r="F891" s="5" t="n"/>
    </row>
    <row r="892">
      <c r="A892" s="10">
        <f>IF($E892="","",INDEX('Input Transaksi'!$A:$A,$E892))</f>
        <v/>
      </c>
      <c r="B892" s="5">
        <f>IF($E892="","",INDEX('Input Transaksi'!$D:$D,$E892))</f>
        <v/>
      </c>
      <c r="C892">
        <f>IF($E892="","",INDEX('Input Transaksi'!$E:$E,$E892))</f>
        <v/>
      </c>
      <c r="D892" s="5">
        <f>IF($E892="","",INDEX('Input Transaksi'!$F:$F,$E892))</f>
        <v/>
      </c>
      <c r="E892">
        <f>IFERROR(AGGREGATE(15,6,ROW('Input Transaksi'!$B$5:$B$5000)/('Input Transaksi'!$B$5:$B$5000="KLIN WASH"),ROWS($E$5:E892)),"")</f>
        <v/>
      </c>
      <c r="F892" s="5" t="n"/>
    </row>
    <row r="893">
      <c r="A893" s="10">
        <f>IF($E893="","",INDEX('Input Transaksi'!$A:$A,$E893))</f>
        <v/>
      </c>
      <c r="B893" s="5">
        <f>IF($E893="","",INDEX('Input Transaksi'!$D:$D,$E893))</f>
        <v/>
      </c>
      <c r="C893">
        <f>IF($E893="","",INDEX('Input Transaksi'!$E:$E,$E893))</f>
        <v/>
      </c>
      <c r="D893" s="5">
        <f>IF($E893="","",INDEX('Input Transaksi'!$F:$F,$E893))</f>
        <v/>
      </c>
      <c r="E893">
        <f>IFERROR(AGGREGATE(15,6,ROW('Input Transaksi'!$B$5:$B$5000)/('Input Transaksi'!$B$5:$B$5000="KLIN WASH"),ROWS($E$5:E893)),"")</f>
        <v/>
      </c>
      <c r="F893" s="5" t="n"/>
    </row>
    <row r="894">
      <c r="A894" s="10">
        <f>IF($E894="","",INDEX('Input Transaksi'!$A:$A,$E894))</f>
        <v/>
      </c>
      <c r="B894" s="5">
        <f>IF($E894="","",INDEX('Input Transaksi'!$D:$D,$E894))</f>
        <v/>
      </c>
      <c r="C894">
        <f>IF($E894="","",INDEX('Input Transaksi'!$E:$E,$E894))</f>
        <v/>
      </c>
      <c r="D894" s="5">
        <f>IF($E894="","",INDEX('Input Transaksi'!$F:$F,$E894))</f>
        <v/>
      </c>
      <c r="E894">
        <f>IFERROR(AGGREGATE(15,6,ROW('Input Transaksi'!$B$5:$B$5000)/('Input Transaksi'!$B$5:$B$5000="KLIN WASH"),ROWS($E$5:E894)),"")</f>
        <v/>
      </c>
      <c r="F894" s="5" t="n"/>
    </row>
    <row r="895">
      <c r="A895" s="10">
        <f>IF($E895="","",INDEX('Input Transaksi'!$A:$A,$E895))</f>
        <v/>
      </c>
      <c r="B895" s="5">
        <f>IF($E895="","",INDEX('Input Transaksi'!$D:$D,$E895))</f>
        <v/>
      </c>
      <c r="C895">
        <f>IF($E895="","",INDEX('Input Transaksi'!$E:$E,$E895))</f>
        <v/>
      </c>
      <c r="D895" s="5">
        <f>IF($E895="","",INDEX('Input Transaksi'!$F:$F,$E895))</f>
        <v/>
      </c>
      <c r="E895">
        <f>IFERROR(AGGREGATE(15,6,ROW('Input Transaksi'!$B$5:$B$5000)/('Input Transaksi'!$B$5:$B$5000="KLIN WASH"),ROWS($E$5:E895)),"")</f>
        <v/>
      </c>
      <c r="F895" s="5" t="n"/>
    </row>
    <row r="896">
      <c r="A896" s="10">
        <f>IF($E896="","",INDEX('Input Transaksi'!$A:$A,$E896))</f>
        <v/>
      </c>
      <c r="B896" s="5">
        <f>IF($E896="","",INDEX('Input Transaksi'!$D:$D,$E896))</f>
        <v/>
      </c>
      <c r="C896">
        <f>IF($E896="","",INDEX('Input Transaksi'!$E:$E,$E896))</f>
        <v/>
      </c>
      <c r="D896" s="5">
        <f>IF($E896="","",INDEX('Input Transaksi'!$F:$F,$E896))</f>
        <v/>
      </c>
      <c r="E896">
        <f>IFERROR(AGGREGATE(15,6,ROW('Input Transaksi'!$B$5:$B$5000)/('Input Transaksi'!$B$5:$B$5000="KLIN WASH"),ROWS($E$5:E896)),"")</f>
        <v/>
      </c>
      <c r="F896" s="5" t="n"/>
    </row>
    <row r="897">
      <c r="A897" s="10">
        <f>IF($E897="","",INDEX('Input Transaksi'!$A:$A,$E897))</f>
        <v/>
      </c>
      <c r="B897" s="5">
        <f>IF($E897="","",INDEX('Input Transaksi'!$D:$D,$E897))</f>
        <v/>
      </c>
      <c r="C897">
        <f>IF($E897="","",INDEX('Input Transaksi'!$E:$E,$E897))</f>
        <v/>
      </c>
      <c r="D897" s="5">
        <f>IF($E897="","",INDEX('Input Transaksi'!$F:$F,$E897))</f>
        <v/>
      </c>
      <c r="E897">
        <f>IFERROR(AGGREGATE(15,6,ROW('Input Transaksi'!$B$5:$B$5000)/('Input Transaksi'!$B$5:$B$5000="KLIN WASH"),ROWS($E$5:E897)),"")</f>
        <v/>
      </c>
      <c r="F897" s="5" t="n"/>
    </row>
    <row r="898">
      <c r="A898" s="10">
        <f>IF($E898="","",INDEX('Input Transaksi'!$A:$A,$E898))</f>
        <v/>
      </c>
      <c r="B898" s="5">
        <f>IF($E898="","",INDEX('Input Transaksi'!$D:$D,$E898))</f>
        <v/>
      </c>
      <c r="C898">
        <f>IF($E898="","",INDEX('Input Transaksi'!$E:$E,$E898))</f>
        <v/>
      </c>
      <c r="D898" s="5">
        <f>IF($E898="","",INDEX('Input Transaksi'!$F:$F,$E898))</f>
        <v/>
      </c>
      <c r="E898">
        <f>IFERROR(AGGREGATE(15,6,ROW('Input Transaksi'!$B$5:$B$5000)/('Input Transaksi'!$B$5:$B$5000="KLIN WASH"),ROWS($E$5:E898)),"")</f>
        <v/>
      </c>
      <c r="F898" s="5" t="n"/>
    </row>
    <row r="899">
      <c r="A899" s="10">
        <f>IF($E899="","",INDEX('Input Transaksi'!$A:$A,$E899))</f>
        <v/>
      </c>
      <c r="B899" s="5">
        <f>IF($E899="","",INDEX('Input Transaksi'!$D:$D,$E899))</f>
        <v/>
      </c>
      <c r="C899">
        <f>IF($E899="","",INDEX('Input Transaksi'!$E:$E,$E899))</f>
        <v/>
      </c>
      <c r="D899" s="5">
        <f>IF($E899="","",INDEX('Input Transaksi'!$F:$F,$E899))</f>
        <v/>
      </c>
      <c r="E899">
        <f>IFERROR(AGGREGATE(15,6,ROW('Input Transaksi'!$B$5:$B$5000)/('Input Transaksi'!$B$5:$B$5000="KLIN WASH"),ROWS($E$5:E899)),"")</f>
        <v/>
      </c>
      <c r="F899" s="5" t="n"/>
    </row>
    <row r="900">
      <c r="A900" s="10">
        <f>IF($E900="","",INDEX('Input Transaksi'!$A:$A,$E900))</f>
        <v/>
      </c>
      <c r="B900" s="5">
        <f>IF($E900="","",INDEX('Input Transaksi'!$D:$D,$E900))</f>
        <v/>
      </c>
      <c r="C900">
        <f>IF($E900="","",INDEX('Input Transaksi'!$E:$E,$E900))</f>
        <v/>
      </c>
      <c r="D900" s="5">
        <f>IF($E900="","",INDEX('Input Transaksi'!$F:$F,$E900))</f>
        <v/>
      </c>
      <c r="E900">
        <f>IFERROR(AGGREGATE(15,6,ROW('Input Transaksi'!$B$5:$B$5000)/('Input Transaksi'!$B$5:$B$5000="KLIN WASH"),ROWS($E$5:E900)),"")</f>
        <v/>
      </c>
      <c r="F900" s="5" t="n"/>
    </row>
    <row r="901">
      <c r="A901" s="10">
        <f>IF($E901="","",INDEX('Input Transaksi'!$A:$A,$E901))</f>
        <v/>
      </c>
      <c r="B901" s="5">
        <f>IF($E901="","",INDEX('Input Transaksi'!$D:$D,$E901))</f>
        <v/>
      </c>
      <c r="C901">
        <f>IF($E901="","",INDEX('Input Transaksi'!$E:$E,$E901))</f>
        <v/>
      </c>
      <c r="D901" s="5">
        <f>IF($E901="","",INDEX('Input Transaksi'!$F:$F,$E901))</f>
        <v/>
      </c>
      <c r="E901">
        <f>IFERROR(AGGREGATE(15,6,ROW('Input Transaksi'!$B$5:$B$5000)/('Input Transaksi'!$B$5:$B$5000="KLIN WASH"),ROWS($E$5:E901)),"")</f>
        <v/>
      </c>
      <c r="F901" s="5" t="n"/>
    </row>
    <row r="902">
      <c r="A902" s="10">
        <f>IF($E902="","",INDEX('Input Transaksi'!$A:$A,$E902))</f>
        <v/>
      </c>
      <c r="B902" s="5">
        <f>IF($E902="","",INDEX('Input Transaksi'!$D:$D,$E902))</f>
        <v/>
      </c>
      <c r="C902">
        <f>IF($E902="","",INDEX('Input Transaksi'!$E:$E,$E902))</f>
        <v/>
      </c>
      <c r="D902" s="5">
        <f>IF($E902="","",INDEX('Input Transaksi'!$F:$F,$E902))</f>
        <v/>
      </c>
      <c r="E902">
        <f>IFERROR(AGGREGATE(15,6,ROW('Input Transaksi'!$B$5:$B$5000)/('Input Transaksi'!$B$5:$B$5000="KLIN WASH"),ROWS($E$5:E902)),"")</f>
        <v/>
      </c>
      <c r="F902" s="5" t="n"/>
    </row>
    <row r="903">
      <c r="A903" s="10">
        <f>IF($E903="","",INDEX('Input Transaksi'!$A:$A,$E903))</f>
        <v/>
      </c>
      <c r="B903" s="5">
        <f>IF($E903="","",INDEX('Input Transaksi'!$D:$D,$E903))</f>
        <v/>
      </c>
      <c r="C903">
        <f>IF($E903="","",INDEX('Input Transaksi'!$E:$E,$E903))</f>
        <v/>
      </c>
      <c r="D903" s="5">
        <f>IF($E903="","",INDEX('Input Transaksi'!$F:$F,$E903))</f>
        <v/>
      </c>
      <c r="E903">
        <f>IFERROR(AGGREGATE(15,6,ROW('Input Transaksi'!$B$5:$B$5000)/('Input Transaksi'!$B$5:$B$5000="KLIN WASH"),ROWS($E$5:E903)),"")</f>
        <v/>
      </c>
      <c r="F903" s="5" t="n"/>
    </row>
    <row r="904">
      <c r="A904" s="10">
        <f>IF($E904="","",INDEX('Input Transaksi'!$A:$A,$E904))</f>
        <v/>
      </c>
      <c r="B904" s="5">
        <f>IF($E904="","",INDEX('Input Transaksi'!$D:$D,$E904))</f>
        <v/>
      </c>
      <c r="C904">
        <f>IF($E904="","",INDEX('Input Transaksi'!$E:$E,$E904))</f>
        <v/>
      </c>
      <c r="D904" s="5">
        <f>IF($E904="","",INDEX('Input Transaksi'!$F:$F,$E904))</f>
        <v/>
      </c>
      <c r="E904">
        <f>IFERROR(AGGREGATE(15,6,ROW('Input Transaksi'!$B$5:$B$5000)/('Input Transaksi'!$B$5:$B$5000="KLIN WASH"),ROWS($E$5:E904)),"")</f>
        <v/>
      </c>
      <c r="F904" s="5" t="n"/>
    </row>
    <row r="905">
      <c r="A905" s="10">
        <f>IF($E905="","",INDEX('Input Transaksi'!$A:$A,$E905))</f>
        <v/>
      </c>
      <c r="B905" s="5">
        <f>IF($E905="","",INDEX('Input Transaksi'!$D:$D,$E905))</f>
        <v/>
      </c>
      <c r="C905">
        <f>IF($E905="","",INDEX('Input Transaksi'!$E:$E,$E905))</f>
        <v/>
      </c>
      <c r="D905" s="5">
        <f>IF($E905="","",INDEX('Input Transaksi'!$F:$F,$E905))</f>
        <v/>
      </c>
      <c r="E905">
        <f>IFERROR(AGGREGATE(15,6,ROW('Input Transaksi'!$B$5:$B$5000)/('Input Transaksi'!$B$5:$B$5000="KLIN WASH"),ROWS($E$5:E905)),"")</f>
        <v/>
      </c>
      <c r="F905" s="5" t="n"/>
    </row>
    <row r="906">
      <c r="A906" s="10">
        <f>IF($E906="","",INDEX('Input Transaksi'!$A:$A,$E906))</f>
        <v/>
      </c>
      <c r="B906" s="5">
        <f>IF($E906="","",INDEX('Input Transaksi'!$D:$D,$E906))</f>
        <v/>
      </c>
      <c r="C906">
        <f>IF($E906="","",INDEX('Input Transaksi'!$E:$E,$E906))</f>
        <v/>
      </c>
      <c r="D906" s="5">
        <f>IF($E906="","",INDEX('Input Transaksi'!$F:$F,$E906))</f>
        <v/>
      </c>
      <c r="E906">
        <f>IFERROR(AGGREGATE(15,6,ROW('Input Transaksi'!$B$5:$B$5000)/('Input Transaksi'!$B$5:$B$5000="KLIN WASH"),ROWS($E$5:E906)),"")</f>
        <v/>
      </c>
      <c r="F906" s="5" t="n"/>
    </row>
    <row r="907">
      <c r="A907" s="10">
        <f>IF($E907="","",INDEX('Input Transaksi'!$A:$A,$E907))</f>
        <v/>
      </c>
      <c r="B907" s="5">
        <f>IF($E907="","",INDEX('Input Transaksi'!$D:$D,$E907))</f>
        <v/>
      </c>
      <c r="C907">
        <f>IF($E907="","",INDEX('Input Transaksi'!$E:$E,$E907))</f>
        <v/>
      </c>
      <c r="D907" s="5">
        <f>IF($E907="","",INDEX('Input Transaksi'!$F:$F,$E907))</f>
        <v/>
      </c>
      <c r="E907">
        <f>IFERROR(AGGREGATE(15,6,ROW('Input Transaksi'!$B$5:$B$5000)/('Input Transaksi'!$B$5:$B$5000="KLIN WASH"),ROWS($E$5:E907)),"")</f>
        <v/>
      </c>
      <c r="F907" s="5" t="n"/>
    </row>
    <row r="908">
      <c r="A908" s="10">
        <f>IF($E908="","",INDEX('Input Transaksi'!$A:$A,$E908))</f>
        <v/>
      </c>
      <c r="B908" s="5">
        <f>IF($E908="","",INDEX('Input Transaksi'!$D:$D,$E908))</f>
        <v/>
      </c>
      <c r="C908">
        <f>IF($E908="","",INDEX('Input Transaksi'!$E:$E,$E908))</f>
        <v/>
      </c>
      <c r="D908" s="5">
        <f>IF($E908="","",INDEX('Input Transaksi'!$F:$F,$E908))</f>
        <v/>
      </c>
      <c r="E908">
        <f>IFERROR(AGGREGATE(15,6,ROW('Input Transaksi'!$B$5:$B$5000)/('Input Transaksi'!$B$5:$B$5000="KLIN WASH"),ROWS($E$5:E908)),"")</f>
        <v/>
      </c>
      <c r="F908" s="5" t="n"/>
    </row>
    <row r="909">
      <c r="A909" s="10">
        <f>IF($E909="","",INDEX('Input Transaksi'!$A:$A,$E909))</f>
        <v/>
      </c>
      <c r="B909" s="5">
        <f>IF($E909="","",INDEX('Input Transaksi'!$D:$D,$E909))</f>
        <v/>
      </c>
      <c r="C909">
        <f>IF($E909="","",INDEX('Input Transaksi'!$E:$E,$E909))</f>
        <v/>
      </c>
      <c r="D909" s="5">
        <f>IF($E909="","",INDEX('Input Transaksi'!$F:$F,$E909))</f>
        <v/>
      </c>
      <c r="E909">
        <f>IFERROR(AGGREGATE(15,6,ROW('Input Transaksi'!$B$5:$B$5000)/('Input Transaksi'!$B$5:$B$5000="KLIN WASH"),ROWS($E$5:E909)),"")</f>
        <v/>
      </c>
      <c r="F909" s="5" t="n"/>
    </row>
    <row r="910">
      <c r="A910" s="10">
        <f>IF($E910="","",INDEX('Input Transaksi'!$A:$A,$E910))</f>
        <v/>
      </c>
      <c r="B910" s="5">
        <f>IF($E910="","",INDEX('Input Transaksi'!$D:$D,$E910))</f>
        <v/>
      </c>
      <c r="C910">
        <f>IF($E910="","",INDEX('Input Transaksi'!$E:$E,$E910))</f>
        <v/>
      </c>
      <c r="D910" s="5">
        <f>IF($E910="","",INDEX('Input Transaksi'!$F:$F,$E910))</f>
        <v/>
      </c>
      <c r="E910">
        <f>IFERROR(AGGREGATE(15,6,ROW('Input Transaksi'!$B$5:$B$5000)/('Input Transaksi'!$B$5:$B$5000="KLIN WASH"),ROWS($E$5:E910)),"")</f>
        <v/>
      </c>
      <c r="F910" s="5" t="n"/>
    </row>
    <row r="911">
      <c r="A911" s="10">
        <f>IF($E911="","",INDEX('Input Transaksi'!$A:$A,$E911))</f>
        <v/>
      </c>
      <c r="B911" s="5">
        <f>IF($E911="","",INDEX('Input Transaksi'!$D:$D,$E911))</f>
        <v/>
      </c>
      <c r="C911">
        <f>IF($E911="","",INDEX('Input Transaksi'!$E:$E,$E911))</f>
        <v/>
      </c>
      <c r="D911" s="5">
        <f>IF($E911="","",INDEX('Input Transaksi'!$F:$F,$E911))</f>
        <v/>
      </c>
      <c r="E911">
        <f>IFERROR(AGGREGATE(15,6,ROW('Input Transaksi'!$B$5:$B$5000)/('Input Transaksi'!$B$5:$B$5000="KLIN WASH"),ROWS($E$5:E911)),"")</f>
        <v/>
      </c>
      <c r="F911" s="5" t="n"/>
    </row>
    <row r="912">
      <c r="A912" s="10">
        <f>IF($E912="","",INDEX('Input Transaksi'!$A:$A,$E912))</f>
        <v/>
      </c>
      <c r="B912" s="5">
        <f>IF($E912="","",INDEX('Input Transaksi'!$D:$D,$E912))</f>
        <v/>
      </c>
      <c r="C912">
        <f>IF($E912="","",INDEX('Input Transaksi'!$E:$E,$E912))</f>
        <v/>
      </c>
      <c r="D912" s="5">
        <f>IF($E912="","",INDEX('Input Transaksi'!$F:$F,$E912))</f>
        <v/>
      </c>
      <c r="E912">
        <f>IFERROR(AGGREGATE(15,6,ROW('Input Transaksi'!$B$5:$B$5000)/('Input Transaksi'!$B$5:$B$5000="KLIN WASH"),ROWS($E$5:E912)),"")</f>
        <v/>
      </c>
      <c r="F912" s="5" t="n"/>
    </row>
    <row r="913">
      <c r="A913" s="10">
        <f>IF($E913="","",INDEX('Input Transaksi'!$A:$A,$E913))</f>
        <v/>
      </c>
      <c r="B913" s="5">
        <f>IF($E913="","",INDEX('Input Transaksi'!$D:$D,$E913))</f>
        <v/>
      </c>
      <c r="C913">
        <f>IF($E913="","",INDEX('Input Transaksi'!$E:$E,$E913))</f>
        <v/>
      </c>
      <c r="D913" s="5">
        <f>IF($E913="","",INDEX('Input Transaksi'!$F:$F,$E913))</f>
        <v/>
      </c>
      <c r="E913">
        <f>IFERROR(AGGREGATE(15,6,ROW('Input Transaksi'!$B$5:$B$5000)/('Input Transaksi'!$B$5:$B$5000="KLIN WASH"),ROWS($E$5:E913)),"")</f>
        <v/>
      </c>
      <c r="F913" s="5" t="n"/>
    </row>
    <row r="914">
      <c r="A914" s="10">
        <f>IF($E914="","",INDEX('Input Transaksi'!$A:$A,$E914))</f>
        <v/>
      </c>
      <c r="B914" s="5">
        <f>IF($E914="","",INDEX('Input Transaksi'!$D:$D,$E914))</f>
        <v/>
      </c>
      <c r="C914">
        <f>IF($E914="","",INDEX('Input Transaksi'!$E:$E,$E914))</f>
        <v/>
      </c>
      <c r="D914" s="5">
        <f>IF($E914="","",INDEX('Input Transaksi'!$F:$F,$E914))</f>
        <v/>
      </c>
      <c r="E914">
        <f>IFERROR(AGGREGATE(15,6,ROW('Input Transaksi'!$B$5:$B$5000)/('Input Transaksi'!$B$5:$B$5000="KLIN WASH"),ROWS($E$5:E914)),"")</f>
        <v/>
      </c>
      <c r="F914" s="5" t="n"/>
    </row>
    <row r="915">
      <c r="A915" s="10">
        <f>IF($E915="","",INDEX('Input Transaksi'!$A:$A,$E915))</f>
        <v/>
      </c>
      <c r="B915" s="5">
        <f>IF($E915="","",INDEX('Input Transaksi'!$D:$D,$E915))</f>
        <v/>
      </c>
      <c r="C915">
        <f>IF($E915="","",INDEX('Input Transaksi'!$E:$E,$E915))</f>
        <v/>
      </c>
      <c r="D915" s="5">
        <f>IF($E915="","",INDEX('Input Transaksi'!$F:$F,$E915))</f>
        <v/>
      </c>
      <c r="E915">
        <f>IFERROR(AGGREGATE(15,6,ROW('Input Transaksi'!$B$5:$B$5000)/('Input Transaksi'!$B$5:$B$5000="KLIN WASH"),ROWS($E$5:E915)),"")</f>
        <v/>
      </c>
      <c r="F915" s="5" t="n"/>
    </row>
    <row r="916">
      <c r="A916" s="10">
        <f>IF($E916="","",INDEX('Input Transaksi'!$A:$A,$E916))</f>
        <v/>
      </c>
      <c r="B916" s="5">
        <f>IF($E916="","",INDEX('Input Transaksi'!$D:$D,$E916))</f>
        <v/>
      </c>
      <c r="C916">
        <f>IF($E916="","",INDEX('Input Transaksi'!$E:$E,$E916))</f>
        <v/>
      </c>
      <c r="D916" s="5">
        <f>IF($E916="","",INDEX('Input Transaksi'!$F:$F,$E916))</f>
        <v/>
      </c>
      <c r="E916">
        <f>IFERROR(AGGREGATE(15,6,ROW('Input Transaksi'!$B$5:$B$5000)/('Input Transaksi'!$B$5:$B$5000="KLIN WASH"),ROWS($E$5:E916)),"")</f>
        <v/>
      </c>
      <c r="F916" s="5" t="n"/>
    </row>
    <row r="917">
      <c r="A917" s="10">
        <f>IF($E917="","",INDEX('Input Transaksi'!$A:$A,$E917))</f>
        <v/>
      </c>
      <c r="B917" s="5">
        <f>IF($E917="","",INDEX('Input Transaksi'!$D:$D,$E917))</f>
        <v/>
      </c>
      <c r="C917">
        <f>IF($E917="","",INDEX('Input Transaksi'!$E:$E,$E917))</f>
        <v/>
      </c>
      <c r="D917" s="5">
        <f>IF($E917="","",INDEX('Input Transaksi'!$F:$F,$E917))</f>
        <v/>
      </c>
      <c r="E917">
        <f>IFERROR(AGGREGATE(15,6,ROW('Input Transaksi'!$B$5:$B$5000)/('Input Transaksi'!$B$5:$B$5000="KLIN WASH"),ROWS($E$5:E917)),"")</f>
        <v/>
      </c>
      <c r="F917" s="5" t="n"/>
    </row>
    <row r="918">
      <c r="A918" s="10">
        <f>IF($E918="","",INDEX('Input Transaksi'!$A:$A,$E918))</f>
        <v/>
      </c>
      <c r="B918" s="5">
        <f>IF($E918="","",INDEX('Input Transaksi'!$D:$D,$E918))</f>
        <v/>
      </c>
      <c r="C918">
        <f>IF($E918="","",INDEX('Input Transaksi'!$E:$E,$E918))</f>
        <v/>
      </c>
      <c r="D918" s="5">
        <f>IF($E918="","",INDEX('Input Transaksi'!$F:$F,$E918))</f>
        <v/>
      </c>
      <c r="E918">
        <f>IFERROR(AGGREGATE(15,6,ROW('Input Transaksi'!$B$5:$B$5000)/('Input Transaksi'!$B$5:$B$5000="KLIN WASH"),ROWS($E$5:E918)),"")</f>
        <v/>
      </c>
      <c r="F918" s="5" t="n"/>
    </row>
    <row r="919">
      <c r="A919" s="10">
        <f>IF($E919="","",INDEX('Input Transaksi'!$A:$A,$E919))</f>
        <v/>
      </c>
      <c r="B919" s="5">
        <f>IF($E919="","",INDEX('Input Transaksi'!$D:$D,$E919))</f>
        <v/>
      </c>
      <c r="C919">
        <f>IF($E919="","",INDEX('Input Transaksi'!$E:$E,$E919))</f>
        <v/>
      </c>
      <c r="D919" s="5">
        <f>IF($E919="","",INDEX('Input Transaksi'!$F:$F,$E919))</f>
        <v/>
      </c>
      <c r="E919">
        <f>IFERROR(AGGREGATE(15,6,ROW('Input Transaksi'!$B$5:$B$5000)/('Input Transaksi'!$B$5:$B$5000="KLIN WASH"),ROWS($E$5:E919)),"")</f>
        <v/>
      </c>
      <c r="F919" s="5" t="n"/>
    </row>
    <row r="920">
      <c r="A920" s="10">
        <f>IF($E920="","",INDEX('Input Transaksi'!$A:$A,$E920))</f>
        <v/>
      </c>
      <c r="B920" s="5">
        <f>IF($E920="","",INDEX('Input Transaksi'!$D:$D,$E920))</f>
        <v/>
      </c>
      <c r="C920">
        <f>IF($E920="","",INDEX('Input Transaksi'!$E:$E,$E920))</f>
        <v/>
      </c>
      <c r="D920" s="5">
        <f>IF($E920="","",INDEX('Input Transaksi'!$F:$F,$E920))</f>
        <v/>
      </c>
      <c r="E920">
        <f>IFERROR(AGGREGATE(15,6,ROW('Input Transaksi'!$B$5:$B$5000)/('Input Transaksi'!$B$5:$B$5000="KLIN WASH"),ROWS($E$5:E920)),"")</f>
        <v/>
      </c>
      <c r="F920" s="5" t="n"/>
    </row>
    <row r="921">
      <c r="A921" s="10">
        <f>IF($E921="","",INDEX('Input Transaksi'!$A:$A,$E921))</f>
        <v/>
      </c>
      <c r="B921" s="5">
        <f>IF($E921="","",INDEX('Input Transaksi'!$D:$D,$E921))</f>
        <v/>
      </c>
      <c r="C921">
        <f>IF($E921="","",INDEX('Input Transaksi'!$E:$E,$E921))</f>
        <v/>
      </c>
      <c r="D921" s="5">
        <f>IF($E921="","",INDEX('Input Transaksi'!$F:$F,$E921))</f>
        <v/>
      </c>
      <c r="E921">
        <f>IFERROR(AGGREGATE(15,6,ROW('Input Transaksi'!$B$5:$B$5000)/('Input Transaksi'!$B$5:$B$5000="KLIN WASH"),ROWS($E$5:E921)),"")</f>
        <v/>
      </c>
      <c r="F921" s="5" t="n"/>
    </row>
    <row r="922">
      <c r="A922" s="10">
        <f>IF($E922="","",INDEX('Input Transaksi'!$A:$A,$E922))</f>
        <v/>
      </c>
      <c r="B922" s="5">
        <f>IF($E922="","",INDEX('Input Transaksi'!$D:$D,$E922))</f>
        <v/>
      </c>
      <c r="C922">
        <f>IF($E922="","",INDEX('Input Transaksi'!$E:$E,$E922))</f>
        <v/>
      </c>
      <c r="D922" s="5">
        <f>IF($E922="","",INDEX('Input Transaksi'!$F:$F,$E922))</f>
        <v/>
      </c>
      <c r="E922">
        <f>IFERROR(AGGREGATE(15,6,ROW('Input Transaksi'!$B$5:$B$5000)/('Input Transaksi'!$B$5:$B$5000="KLIN WASH"),ROWS($E$5:E922)),"")</f>
        <v/>
      </c>
      <c r="F922" s="5" t="n"/>
    </row>
    <row r="923">
      <c r="A923" s="10">
        <f>IF($E923="","",INDEX('Input Transaksi'!$A:$A,$E923))</f>
        <v/>
      </c>
      <c r="B923" s="5">
        <f>IF($E923="","",INDEX('Input Transaksi'!$D:$D,$E923))</f>
        <v/>
      </c>
      <c r="C923">
        <f>IF($E923="","",INDEX('Input Transaksi'!$E:$E,$E923))</f>
        <v/>
      </c>
      <c r="D923" s="5">
        <f>IF($E923="","",INDEX('Input Transaksi'!$F:$F,$E923))</f>
        <v/>
      </c>
      <c r="E923">
        <f>IFERROR(AGGREGATE(15,6,ROW('Input Transaksi'!$B$5:$B$5000)/('Input Transaksi'!$B$5:$B$5000="KLIN WASH"),ROWS($E$5:E923)),"")</f>
        <v/>
      </c>
      <c r="F923" s="5" t="n"/>
    </row>
    <row r="924">
      <c r="A924" s="10">
        <f>IF($E924="","",INDEX('Input Transaksi'!$A:$A,$E924))</f>
        <v/>
      </c>
      <c r="B924" s="5">
        <f>IF($E924="","",INDEX('Input Transaksi'!$D:$D,$E924))</f>
        <v/>
      </c>
      <c r="C924">
        <f>IF($E924="","",INDEX('Input Transaksi'!$E:$E,$E924))</f>
        <v/>
      </c>
      <c r="D924" s="5">
        <f>IF($E924="","",INDEX('Input Transaksi'!$F:$F,$E924))</f>
        <v/>
      </c>
      <c r="E924">
        <f>IFERROR(AGGREGATE(15,6,ROW('Input Transaksi'!$B$5:$B$5000)/('Input Transaksi'!$B$5:$B$5000="KLIN WASH"),ROWS($E$5:E924)),"")</f>
        <v/>
      </c>
      <c r="F924" s="5" t="n"/>
    </row>
    <row r="925">
      <c r="A925" s="10">
        <f>IF($E925="","",INDEX('Input Transaksi'!$A:$A,$E925))</f>
        <v/>
      </c>
      <c r="B925" s="5">
        <f>IF($E925="","",INDEX('Input Transaksi'!$D:$D,$E925))</f>
        <v/>
      </c>
      <c r="C925">
        <f>IF($E925="","",INDEX('Input Transaksi'!$E:$E,$E925))</f>
        <v/>
      </c>
      <c r="D925" s="5">
        <f>IF($E925="","",INDEX('Input Transaksi'!$F:$F,$E925))</f>
        <v/>
      </c>
      <c r="E925">
        <f>IFERROR(AGGREGATE(15,6,ROW('Input Transaksi'!$B$5:$B$5000)/('Input Transaksi'!$B$5:$B$5000="KLIN WASH"),ROWS($E$5:E925)),"")</f>
        <v/>
      </c>
      <c r="F925" s="5" t="n"/>
    </row>
    <row r="926">
      <c r="A926" s="10">
        <f>IF($E926="","",INDEX('Input Transaksi'!$A:$A,$E926))</f>
        <v/>
      </c>
      <c r="B926" s="5">
        <f>IF($E926="","",INDEX('Input Transaksi'!$D:$D,$E926))</f>
        <v/>
      </c>
      <c r="C926">
        <f>IF($E926="","",INDEX('Input Transaksi'!$E:$E,$E926))</f>
        <v/>
      </c>
      <c r="D926" s="5">
        <f>IF($E926="","",INDEX('Input Transaksi'!$F:$F,$E926))</f>
        <v/>
      </c>
      <c r="E926">
        <f>IFERROR(AGGREGATE(15,6,ROW('Input Transaksi'!$B$5:$B$5000)/('Input Transaksi'!$B$5:$B$5000="KLIN WASH"),ROWS($E$5:E926)),"")</f>
        <v/>
      </c>
      <c r="F926" s="5" t="n"/>
    </row>
    <row r="927">
      <c r="A927" s="10">
        <f>IF($E927="","",INDEX('Input Transaksi'!$A:$A,$E927))</f>
        <v/>
      </c>
      <c r="B927" s="5">
        <f>IF($E927="","",INDEX('Input Transaksi'!$D:$D,$E927))</f>
        <v/>
      </c>
      <c r="C927">
        <f>IF($E927="","",INDEX('Input Transaksi'!$E:$E,$E927))</f>
        <v/>
      </c>
      <c r="D927" s="5">
        <f>IF($E927="","",INDEX('Input Transaksi'!$F:$F,$E927))</f>
        <v/>
      </c>
      <c r="E927">
        <f>IFERROR(AGGREGATE(15,6,ROW('Input Transaksi'!$B$5:$B$5000)/('Input Transaksi'!$B$5:$B$5000="KLIN WASH"),ROWS($E$5:E927)),"")</f>
        <v/>
      </c>
      <c r="F927" s="5" t="n"/>
    </row>
    <row r="928">
      <c r="A928" s="10">
        <f>IF($E928="","",INDEX('Input Transaksi'!$A:$A,$E928))</f>
        <v/>
      </c>
      <c r="B928" s="5">
        <f>IF($E928="","",INDEX('Input Transaksi'!$D:$D,$E928))</f>
        <v/>
      </c>
      <c r="C928">
        <f>IF($E928="","",INDEX('Input Transaksi'!$E:$E,$E928))</f>
        <v/>
      </c>
      <c r="D928" s="5">
        <f>IF($E928="","",INDEX('Input Transaksi'!$F:$F,$E928))</f>
        <v/>
      </c>
      <c r="E928">
        <f>IFERROR(AGGREGATE(15,6,ROW('Input Transaksi'!$B$5:$B$5000)/('Input Transaksi'!$B$5:$B$5000="KLIN WASH"),ROWS($E$5:E928)),"")</f>
        <v/>
      </c>
      <c r="F928" s="5" t="n"/>
    </row>
    <row r="929">
      <c r="A929" s="10">
        <f>IF($E929="","",INDEX('Input Transaksi'!$A:$A,$E929))</f>
        <v/>
      </c>
      <c r="B929" s="5">
        <f>IF($E929="","",INDEX('Input Transaksi'!$D:$D,$E929))</f>
        <v/>
      </c>
      <c r="C929">
        <f>IF($E929="","",INDEX('Input Transaksi'!$E:$E,$E929))</f>
        <v/>
      </c>
      <c r="D929" s="5">
        <f>IF($E929="","",INDEX('Input Transaksi'!$F:$F,$E929))</f>
        <v/>
      </c>
      <c r="E929">
        <f>IFERROR(AGGREGATE(15,6,ROW('Input Transaksi'!$B$5:$B$5000)/('Input Transaksi'!$B$5:$B$5000="KLIN WASH"),ROWS($E$5:E929)),"")</f>
        <v/>
      </c>
      <c r="F929" s="5" t="n"/>
    </row>
    <row r="930">
      <c r="A930" s="10">
        <f>IF($E930="","",INDEX('Input Transaksi'!$A:$A,$E930))</f>
        <v/>
      </c>
      <c r="B930" s="5">
        <f>IF($E930="","",INDEX('Input Transaksi'!$D:$D,$E930))</f>
        <v/>
      </c>
      <c r="C930">
        <f>IF($E930="","",INDEX('Input Transaksi'!$E:$E,$E930))</f>
        <v/>
      </c>
      <c r="D930" s="5">
        <f>IF($E930="","",INDEX('Input Transaksi'!$F:$F,$E930))</f>
        <v/>
      </c>
      <c r="E930">
        <f>IFERROR(AGGREGATE(15,6,ROW('Input Transaksi'!$B$5:$B$5000)/('Input Transaksi'!$B$5:$B$5000="KLIN WASH"),ROWS($E$5:E930)),"")</f>
        <v/>
      </c>
      <c r="F930" s="5" t="n"/>
    </row>
    <row r="931">
      <c r="A931" s="10">
        <f>IF($E931="","",INDEX('Input Transaksi'!$A:$A,$E931))</f>
        <v/>
      </c>
      <c r="B931" s="5">
        <f>IF($E931="","",INDEX('Input Transaksi'!$D:$D,$E931))</f>
        <v/>
      </c>
      <c r="C931">
        <f>IF($E931="","",INDEX('Input Transaksi'!$E:$E,$E931))</f>
        <v/>
      </c>
      <c r="D931" s="5">
        <f>IF($E931="","",INDEX('Input Transaksi'!$F:$F,$E931))</f>
        <v/>
      </c>
      <c r="E931">
        <f>IFERROR(AGGREGATE(15,6,ROW('Input Transaksi'!$B$5:$B$5000)/('Input Transaksi'!$B$5:$B$5000="KLIN WASH"),ROWS($E$5:E931)),"")</f>
        <v/>
      </c>
      <c r="F931" s="5" t="n"/>
    </row>
    <row r="932">
      <c r="A932" s="10">
        <f>IF($E932="","",INDEX('Input Transaksi'!$A:$A,$E932))</f>
        <v/>
      </c>
      <c r="B932" s="5">
        <f>IF($E932="","",INDEX('Input Transaksi'!$D:$D,$E932))</f>
        <v/>
      </c>
      <c r="C932">
        <f>IF($E932="","",INDEX('Input Transaksi'!$E:$E,$E932))</f>
        <v/>
      </c>
      <c r="D932" s="5">
        <f>IF($E932="","",INDEX('Input Transaksi'!$F:$F,$E932))</f>
        <v/>
      </c>
      <c r="E932">
        <f>IFERROR(AGGREGATE(15,6,ROW('Input Transaksi'!$B$5:$B$5000)/('Input Transaksi'!$B$5:$B$5000="KLIN WASH"),ROWS($E$5:E932)),"")</f>
        <v/>
      </c>
      <c r="F932" s="5" t="n"/>
    </row>
    <row r="933">
      <c r="A933" s="10">
        <f>IF($E933="","",INDEX('Input Transaksi'!$A:$A,$E933))</f>
        <v/>
      </c>
      <c r="B933" s="5">
        <f>IF($E933="","",INDEX('Input Transaksi'!$D:$D,$E933))</f>
        <v/>
      </c>
      <c r="C933">
        <f>IF($E933="","",INDEX('Input Transaksi'!$E:$E,$E933))</f>
        <v/>
      </c>
      <c r="D933" s="5">
        <f>IF($E933="","",INDEX('Input Transaksi'!$F:$F,$E933))</f>
        <v/>
      </c>
      <c r="E933">
        <f>IFERROR(AGGREGATE(15,6,ROW('Input Transaksi'!$B$5:$B$5000)/('Input Transaksi'!$B$5:$B$5000="KLIN WASH"),ROWS($E$5:E933)),"")</f>
        <v/>
      </c>
      <c r="F933" s="5" t="n"/>
    </row>
    <row r="934">
      <c r="A934" s="10">
        <f>IF($E934="","",INDEX('Input Transaksi'!$A:$A,$E934))</f>
        <v/>
      </c>
      <c r="B934" s="5">
        <f>IF($E934="","",INDEX('Input Transaksi'!$D:$D,$E934))</f>
        <v/>
      </c>
      <c r="C934">
        <f>IF($E934="","",INDEX('Input Transaksi'!$E:$E,$E934))</f>
        <v/>
      </c>
      <c r="D934" s="5">
        <f>IF($E934="","",INDEX('Input Transaksi'!$F:$F,$E934))</f>
        <v/>
      </c>
      <c r="E934">
        <f>IFERROR(AGGREGATE(15,6,ROW('Input Transaksi'!$B$5:$B$5000)/('Input Transaksi'!$B$5:$B$5000="KLIN WASH"),ROWS($E$5:E934)),"")</f>
        <v/>
      </c>
      <c r="F934" s="5" t="n"/>
    </row>
    <row r="935">
      <c r="A935" s="10">
        <f>IF($E935="","",INDEX('Input Transaksi'!$A:$A,$E935))</f>
        <v/>
      </c>
      <c r="B935" s="5">
        <f>IF($E935="","",INDEX('Input Transaksi'!$D:$D,$E935))</f>
        <v/>
      </c>
      <c r="C935">
        <f>IF($E935="","",INDEX('Input Transaksi'!$E:$E,$E935))</f>
        <v/>
      </c>
      <c r="D935" s="5">
        <f>IF($E935="","",INDEX('Input Transaksi'!$F:$F,$E935))</f>
        <v/>
      </c>
      <c r="E935">
        <f>IFERROR(AGGREGATE(15,6,ROW('Input Transaksi'!$B$5:$B$5000)/('Input Transaksi'!$B$5:$B$5000="KLIN WASH"),ROWS($E$5:E935)),"")</f>
        <v/>
      </c>
      <c r="F935" s="5" t="n"/>
    </row>
    <row r="936">
      <c r="A936" s="10">
        <f>IF($E936="","",INDEX('Input Transaksi'!$A:$A,$E936))</f>
        <v/>
      </c>
      <c r="B936" s="5">
        <f>IF($E936="","",INDEX('Input Transaksi'!$D:$D,$E936))</f>
        <v/>
      </c>
      <c r="C936">
        <f>IF($E936="","",INDEX('Input Transaksi'!$E:$E,$E936))</f>
        <v/>
      </c>
      <c r="D936" s="5">
        <f>IF($E936="","",INDEX('Input Transaksi'!$F:$F,$E936))</f>
        <v/>
      </c>
      <c r="E936">
        <f>IFERROR(AGGREGATE(15,6,ROW('Input Transaksi'!$B$5:$B$5000)/('Input Transaksi'!$B$5:$B$5000="KLIN WASH"),ROWS($E$5:E936)),"")</f>
        <v/>
      </c>
      <c r="F936" s="5" t="n"/>
    </row>
    <row r="937">
      <c r="A937" s="10">
        <f>IF($E937="","",INDEX('Input Transaksi'!$A:$A,$E937))</f>
        <v/>
      </c>
      <c r="B937" s="5">
        <f>IF($E937="","",INDEX('Input Transaksi'!$D:$D,$E937))</f>
        <v/>
      </c>
      <c r="C937">
        <f>IF($E937="","",INDEX('Input Transaksi'!$E:$E,$E937))</f>
        <v/>
      </c>
      <c r="D937" s="5">
        <f>IF($E937="","",INDEX('Input Transaksi'!$F:$F,$E937))</f>
        <v/>
      </c>
      <c r="E937">
        <f>IFERROR(AGGREGATE(15,6,ROW('Input Transaksi'!$B$5:$B$5000)/('Input Transaksi'!$B$5:$B$5000="KLIN WASH"),ROWS($E$5:E937)),"")</f>
        <v/>
      </c>
      <c r="F937" s="5" t="n"/>
    </row>
    <row r="938">
      <c r="A938" s="10">
        <f>IF($E938="","",INDEX('Input Transaksi'!$A:$A,$E938))</f>
        <v/>
      </c>
      <c r="B938" s="5">
        <f>IF($E938="","",INDEX('Input Transaksi'!$D:$D,$E938))</f>
        <v/>
      </c>
      <c r="C938">
        <f>IF($E938="","",INDEX('Input Transaksi'!$E:$E,$E938))</f>
        <v/>
      </c>
      <c r="D938" s="5">
        <f>IF($E938="","",INDEX('Input Transaksi'!$F:$F,$E938))</f>
        <v/>
      </c>
      <c r="E938">
        <f>IFERROR(AGGREGATE(15,6,ROW('Input Transaksi'!$B$5:$B$5000)/('Input Transaksi'!$B$5:$B$5000="KLIN WASH"),ROWS($E$5:E938)),"")</f>
        <v/>
      </c>
      <c r="F938" s="5" t="n"/>
    </row>
    <row r="939">
      <c r="A939" s="10">
        <f>IF($E939="","",INDEX('Input Transaksi'!$A:$A,$E939))</f>
        <v/>
      </c>
      <c r="B939" s="5">
        <f>IF($E939="","",INDEX('Input Transaksi'!$D:$D,$E939))</f>
        <v/>
      </c>
      <c r="C939">
        <f>IF($E939="","",INDEX('Input Transaksi'!$E:$E,$E939))</f>
        <v/>
      </c>
      <c r="D939" s="5">
        <f>IF($E939="","",INDEX('Input Transaksi'!$F:$F,$E939))</f>
        <v/>
      </c>
      <c r="E939">
        <f>IFERROR(AGGREGATE(15,6,ROW('Input Transaksi'!$B$5:$B$5000)/('Input Transaksi'!$B$5:$B$5000="KLIN WASH"),ROWS($E$5:E939)),"")</f>
        <v/>
      </c>
      <c r="F939" s="5" t="n"/>
    </row>
    <row r="940">
      <c r="A940" s="10">
        <f>IF($E940="","",INDEX('Input Transaksi'!$A:$A,$E940))</f>
        <v/>
      </c>
      <c r="B940" s="5">
        <f>IF($E940="","",INDEX('Input Transaksi'!$D:$D,$E940))</f>
        <v/>
      </c>
      <c r="C940">
        <f>IF($E940="","",INDEX('Input Transaksi'!$E:$E,$E940))</f>
        <v/>
      </c>
      <c r="D940" s="5">
        <f>IF($E940="","",INDEX('Input Transaksi'!$F:$F,$E940))</f>
        <v/>
      </c>
      <c r="E940">
        <f>IFERROR(AGGREGATE(15,6,ROW('Input Transaksi'!$B$5:$B$5000)/('Input Transaksi'!$B$5:$B$5000="KLIN WASH"),ROWS($E$5:E940)),"")</f>
        <v/>
      </c>
      <c r="F940" s="5" t="n"/>
    </row>
    <row r="941">
      <c r="A941" s="10">
        <f>IF($E941="","",INDEX('Input Transaksi'!$A:$A,$E941))</f>
        <v/>
      </c>
      <c r="B941" s="5">
        <f>IF($E941="","",INDEX('Input Transaksi'!$D:$D,$E941))</f>
        <v/>
      </c>
      <c r="C941">
        <f>IF($E941="","",INDEX('Input Transaksi'!$E:$E,$E941))</f>
        <v/>
      </c>
      <c r="D941" s="5">
        <f>IF($E941="","",INDEX('Input Transaksi'!$F:$F,$E941))</f>
        <v/>
      </c>
      <c r="E941">
        <f>IFERROR(AGGREGATE(15,6,ROW('Input Transaksi'!$B$5:$B$5000)/('Input Transaksi'!$B$5:$B$5000="KLIN WASH"),ROWS($E$5:E941)),"")</f>
        <v/>
      </c>
      <c r="F941" s="5" t="n"/>
    </row>
    <row r="942">
      <c r="A942" s="10">
        <f>IF($E942="","",INDEX('Input Transaksi'!$A:$A,$E942))</f>
        <v/>
      </c>
      <c r="B942" s="5">
        <f>IF($E942="","",INDEX('Input Transaksi'!$D:$D,$E942))</f>
        <v/>
      </c>
      <c r="C942">
        <f>IF($E942="","",INDEX('Input Transaksi'!$E:$E,$E942))</f>
        <v/>
      </c>
      <c r="D942" s="5">
        <f>IF($E942="","",INDEX('Input Transaksi'!$F:$F,$E942))</f>
        <v/>
      </c>
      <c r="E942">
        <f>IFERROR(AGGREGATE(15,6,ROW('Input Transaksi'!$B$5:$B$5000)/('Input Transaksi'!$B$5:$B$5000="KLIN WASH"),ROWS($E$5:E942)),"")</f>
        <v/>
      </c>
      <c r="F942" s="5" t="n"/>
    </row>
    <row r="943">
      <c r="A943" s="10">
        <f>IF($E943="","",INDEX('Input Transaksi'!$A:$A,$E943))</f>
        <v/>
      </c>
      <c r="B943" s="5">
        <f>IF($E943="","",INDEX('Input Transaksi'!$D:$D,$E943))</f>
        <v/>
      </c>
      <c r="C943">
        <f>IF($E943="","",INDEX('Input Transaksi'!$E:$E,$E943))</f>
        <v/>
      </c>
      <c r="D943" s="5">
        <f>IF($E943="","",INDEX('Input Transaksi'!$F:$F,$E943))</f>
        <v/>
      </c>
      <c r="E943">
        <f>IFERROR(AGGREGATE(15,6,ROW('Input Transaksi'!$B$5:$B$5000)/('Input Transaksi'!$B$5:$B$5000="KLIN WASH"),ROWS($E$5:E943)),"")</f>
        <v/>
      </c>
      <c r="F943" s="5" t="n"/>
    </row>
    <row r="944">
      <c r="A944" s="10">
        <f>IF($E944="","",INDEX('Input Transaksi'!$A:$A,$E944))</f>
        <v/>
      </c>
      <c r="B944" s="5">
        <f>IF($E944="","",INDEX('Input Transaksi'!$D:$D,$E944))</f>
        <v/>
      </c>
      <c r="C944">
        <f>IF($E944="","",INDEX('Input Transaksi'!$E:$E,$E944))</f>
        <v/>
      </c>
      <c r="D944" s="5">
        <f>IF($E944="","",INDEX('Input Transaksi'!$F:$F,$E944))</f>
        <v/>
      </c>
      <c r="E944">
        <f>IFERROR(AGGREGATE(15,6,ROW('Input Transaksi'!$B$5:$B$5000)/('Input Transaksi'!$B$5:$B$5000="KLIN WASH"),ROWS($E$5:E944)),"")</f>
        <v/>
      </c>
      <c r="F944" s="5" t="n"/>
    </row>
    <row r="945">
      <c r="A945" s="10">
        <f>IF($E945="","",INDEX('Input Transaksi'!$A:$A,$E945))</f>
        <v/>
      </c>
      <c r="B945" s="5">
        <f>IF($E945="","",INDEX('Input Transaksi'!$D:$D,$E945))</f>
        <v/>
      </c>
      <c r="C945">
        <f>IF($E945="","",INDEX('Input Transaksi'!$E:$E,$E945))</f>
        <v/>
      </c>
      <c r="D945" s="5">
        <f>IF($E945="","",INDEX('Input Transaksi'!$F:$F,$E945))</f>
        <v/>
      </c>
      <c r="E945">
        <f>IFERROR(AGGREGATE(15,6,ROW('Input Transaksi'!$B$5:$B$5000)/('Input Transaksi'!$B$5:$B$5000="KLIN WASH"),ROWS($E$5:E945)),"")</f>
        <v/>
      </c>
      <c r="F945" s="5" t="n"/>
    </row>
    <row r="946">
      <c r="A946" s="10">
        <f>IF($E946="","",INDEX('Input Transaksi'!$A:$A,$E946))</f>
        <v/>
      </c>
      <c r="B946" s="5">
        <f>IF($E946="","",INDEX('Input Transaksi'!$D:$D,$E946))</f>
        <v/>
      </c>
      <c r="C946">
        <f>IF($E946="","",INDEX('Input Transaksi'!$E:$E,$E946))</f>
        <v/>
      </c>
      <c r="D946" s="5">
        <f>IF($E946="","",INDEX('Input Transaksi'!$F:$F,$E946))</f>
        <v/>
      </c>
      <c r="E946">
        <f>IFERROR(AGGREGATE(15,6,ROW('Input Transaksi'!$B$5:$B$5000)/('Input Transaksi'!$B$5:$B$5000="KLIN WASH"),ROWS($E$5:E946)),"")</f>
        <v/>
      </c>
      <c r="F946" s="5" t="n"/>
    </row>
    <row r="947">
      <c r="A947" s="10">
        <f>IF($E947="","",INDEX('Input Transaksi'!$A:$A,$E947))</f>
        <v/>
      </c>
      <c r="B947" s="5">
        <f>IF($E947="","",INDEX('Input Transaksi'!$D:$D,$E947))</f>
        <v/>
      </c>
      <c r="C947">
        <f>IF($E947="","",INDEX('Input Transaksi'!$E:$E,$E947))</f>
        <v/>
      </c>
      <c r="D947" s="5">
        <f>IF($E947="","",INDEX('Input Transaksi'!$F:$F,$E947))</f>
        <v/>
      </c>
      <c r="E947">
        <f>IFERROR(AGGREGATE(15,6,ROW('Input Transaksi'!$B$5:$B$5000)/('Input Transaksi'!$B$5:$B$5000="KLIN WASH"),ROWS($E$5:E947)),"")</f>
        <v/>
      </c>
      <c r="F947" s="5" t="n"/>
    </row>
    <row r="948">
      <c r="A948" s="10">
        <f>IF($E948="","",INDEX('Input Transaksi'!$A:$A,$E948))</f>
        <v/>
      </c>
      <c r="B948" s="5">
        <f>IF($E948="","",INDEX('Input Transaksi'!$D:$D,$E948))</f>
        <v/>
      </c>
      <c r="C948">
        <f>IF($E948="","",INDEX('Input Transaksi'!$E:$E,$E948))</f>
        <v/>
      </c>
      <c r="D948" s="5">
        <f>IF($E948="","",INDEX('Input Transaksi'!$F:$F,$E948))</f>
        <v/>
      </c>
      <c r="E948">
        <f>IFERROR(AGGREGATE(15,6,ROW('Input Transaksi'!$B$5:$B$5000)/('Input Transaksi'!$B$5:$B$5000="KLIN WASH"),ROWS($E$5:E948)),"")</f>
        <v/>
      </c>
      <c r="F948" s="5" t="n"/>
    </row>
    <row r="949">
      <c r="A949" s="10">
        <f>IF($E949="","",INDEX('Input Transaksi'!$A:$A,$E949))</f>
        <v/>
      </c>
      <c r="B949" s="5">
        <f>IF($E949="","",INDEX('Input Transaksi'!$D:$D,$E949))</f>
        <v/>
      </c>
      <c r="C949">
        <f>IF($E949="","",INDEX('Input Transaksi'!$E:$E,$E949))</f>
        <v/>
      </c>
      <c r="D949" s="5">
        <f>IF($E949="","",INDEX('Input Transaksi'!$F:$F,$E949))</f>
        <v/>
      </c>
      <c r="E949">
        <f>IFERROR(AGGREGATE(15,6,ROW('Input Transaksi'!$B$5:$B$5000)/('Input Transaksi'!$B$5:$B$5000="KLIN WASH"),ROWS($E$5:E949)),"")</f>
        <v/>
      </c>
      <c r="F949" s="5" t="n"/>
    </row>
    <row r="950">
      <c r="A950" s="10">
        <f>IF($E950="","",INDEX('Input Transaksi'!$A:$A,$E950))</f>
        <v/>
      </c>
      <c r="B950" s="5">
        <f>IF($E950="","",INDEX('Input Transaksi'!$D:$D,$E950))</f>
        <v/>
      </c>
      <c r="C950">
        <f>IF($E950="","",INDEX('Input Transaksi'!$E:$E,$E950))</f>
        <v/>
      </c>
      <c r="D950" s="5">
        <f>IF($E950="","",INDEX('Input Transaksi'!$F:$F,$E950))</f>
        <v/>
      </c>
      <c r="E950">
        <f>IFERROR(AGGREGATE(15,6,ROW('Input Transaksi'!$B$5:$B$5000)/('Input Transaksi'!$B$5:$B$5000="KLIN WASH"),ROWS($E$5:E950)),"")</f>
        <v/>
      </c>
      <c r="F950" s="5" t="n"/>
    </row>
    <row r="951">
      <c r="A951" s="10">
        <f>IF($E951="","",INDEX('Input Transaksi'!$A:$A,$E951))</f>
        <v/>
      </c>
      <c r="B951" s="5">
        <f>IF($E951="","",INDEX('Input Transaksi'!$D:$D,$E951))</f>
        <v/>
      </c>
      <c r="C951">
        <f>IF($E951="","",INDEX('Input Transaksi'!$E:$E,$E951))</f>
        <v/>
      </c>
      <c r="D951" s="5">
        <f>IF($E951="","",INDEX('Input Transaksi'!$F:$F,$E951))</f>
        <v/>
      </c>
      <c r="E951">
        <f>IFERROR(AGGREGATE(15,6,ROW('Input Transaksi'!$B$5:$B$5000)/('Input Transaksi'!$B$5:$B$5000="KLIN WASH"),ROWS($E$5:E951)),"")</f>
        <v/>
      </c>
      <c r="F951" s="5" t="n"/>
    </row>
    <row r="952">
      <c r="A952" s="10">
        <f>IF($E952="","",INDEX('Input Transaksi'!$A:$A,$E952))</f>
        <v/>
      </c>
      <c r="B952" s="5">
        <f>IF($E952="","",INDEX('Input Transaksi'!$D:$D,$E952))</f>
        <v/>
      </c>
      <c r="C952">
        <f>IF($E952="","",INDEX('Input Transaksi'!$E:$E,$E952))</f>
        <v/>
      </c>
      <c r="D952" s="5">
        <f>IF($E952="","",INDEX('Input Transaksi'!$F:$F,$E952))</f>
        <v/>
      </c>
      <c r="E952">
        <f>IFERROR(AGGREGATE(15,6,ROW('Input Transaksi'!$B$5:$B$5000)/('Input Transaksi'!$B$5:$B$5000="KLIN WASH"),ROWS($E$5:E952)),"")</f>
        <v/>
      </c>
      <c r="F952" s="5" t="n"/>
    </row>
    <row r="953">
      <c r="A953" s="10">
        <f>IF($E953="","",INDEX('Input Transaksi'!$A:$A,$E953))</f>
        <v/>
      </c>
      <c r="B953" s="5">
        <f>IF($E953="","",INDEX('Input Transaksi'!$D:$D,$E953))</f>
        <v/>
      </c>
      <c r="C953">
        <f>IF($E953="","",INDEX('Input Transaksi'!$E:$E,$E953))</f>
        <v/>
      </c>
      <c r="D953" s="5">
        <f>IF($E953="","",INDEX('Input Transaksi'!$F:$F,$E953))</f>
        <v/>
      </c>
      <c r="E953">
        <f>IFERROR(AGGREGATE(15,6,ROW('Input Transaksi'!$B$5:$B$5000)/('Input Transaksi'!$B$5:$B$5000="KLIN WASH"),ROWS($E$5:E953)),"")</f>
        <v/>
      </c>
      <c r="F953" s="5" t="n"/>
    </row>
    <row r="954">
      <c r="A954" s="10">
        <f>IF($E954="","",INDEX('Input Transaksi'!$A:$A,$E954))</f>
        <v/>
      </c>
      <c r="B954" s="5">
        <f>IF($E954="","",INDEX('Input Transaksi'!$D:$D,$E954))</f>
        <v/>
      </c>
      <c r="C954">
        <f>IF($E954="","",INDEX('Input Transaksi'!$E:$E,$E954))</f>
        <v/>
      </c>
      <c r="D954" s="5">
        <f>IF($E954="","",INDEX('Input Transaksi'!$F:$F,$E954))</f>
        <v/>
      </c>
      <c r="E954">
        <f>IFERROR(AGGREGATE(15,6,ROW('Input Transaksi'!$B$5:$B$5000)/('Input Transaksi'!$B$5:$B$5000="KLIN WASH"),ROWS($E$5:E954)),"")</f>
        <v/>
      </c>
      <c r="F954" s="5" t="n"/>
    </row>
    <row r="955">
      <c r="A955" s="10">
        <f>IF($E955="","",INDEX('Input Transaksi'!$A:$A,$E955))</f>
        <v/>
      </c>
      <c r="B955" s="5">
        <f>IF($E955="","",INDEX('Input Transaksi'!$D:$D,$E955))</f>
        <v/>
      </c>
      <c r="C955">
        <f>IF($E955="","",INDEX('Input Transaksi'!$E:$E,$E955))</f>
        <v/>
      </c>
      <c r="D955" s="5">
        <f>IF($E955="","",INDEX('Input Transaksi'!$F:$F,$E955))</f>
        <v/>
      </c>
      <c r="E955">
        <f>IFERROR(AGGREGATE(15,6,ROW('Input Transaksi'!$B$5:$B$5000)/('Input Transaksi'!$B$5:$B$5000="KLIN WASH"),ROWS($E$5:E955)),"")</f>
        <v/>
      </c>
      <c r="F955" s="5" t="n"/>
    </row>
    <row r="956">
      <c r="A956" s="10">
        <f>IF($E956="","",INDEX('Input Transaksi'!$A:$A,$E956))</f>
        <v/>
      </c>
      <c r="B956" s="5">
        <f>IF($E956="","",INDEX('Input Transaksi'!$D:$D,$E956))</f>
        <v/>
      </c>
      <c r="C956">
        <f>IF($E956="","",INDEX('Input Transaksi'!$E:$E,$E956))</f>
        <v/>
      </c>
      <c r="D956" s="5">
        <f>IF($E956="","",INDEX('Input Transaksi'!$F:$F,$E956))</f>
        <v/>
      </c>
      <c r="E956">
        <f>IFERROR(AGGREGATE(15,6,ROW('Input Transaksi'!$B$5:$B$5000)/('Input Transaksi'!$B$5:$B$5000="KLIN WASH"),ROWS($E$5:E956)),"")</f>
        <v/>
      </c>
      <c r="F956" s="5" t="n"/>
    </row>
    <row r="957">
      <c r="A957" s="10">
        <f>IF($E957="","",INDEX('Input Transaksi'!$A:$A,$E957))</f>
        <v/>
      </c>
      <c r="B957" s="5">
        <f>IF($E957="","",INDEX('Input Transaksi'!$D:$D,$E957))</f>
        <v/>
      </c>
      <c r="C957">
        <f>IF($E957="","",INDEX('Input Transaksi'!$E:$E,$E957))</f>
        <v/>
      </c>
      <c r="D957" s="5">
        <f>IF($E957="","",INDEX('Input Transaksi'!$F:$F,$E957))</f>
        <v/>
      </c>
      <c r="E957">
        <f>IFERROR(AGGREGATE(15,6,ROW('Input Transaksi'!$B$5:$B$5000)/('Input Transaksi'!$B$5:$B$5000="KLIN WASH"),ROWS($E$5:E957)),"")</f>
        <v/>
      </c>
      <c r="F957" s="5" t="n"/>
    </row>
    <row r="958">
      <c r="A958" s="10">
        <f>IF($E958="","",INDEX('Input Transaksi'!$A:$A,$E958))</f>
        <v/>
      </c>
      <c r="B958" s="5">
        <f>IF($E958="","",INDEX('Input Transaksi'!$D:$D,$E958))</f>
        <v/>
      </c>
      <c r="C958">
        <f>IF($E958="","",INDEX('Input Transaksi'!$E:$E,$E958))</f>
        <v/>
      </c>
      <c r="D958" s="5">
        <f>IF($E958="","",INDEX('Input Transaksi'!$F:$F,$E958))</f>
        <v/>
      </c>
      <c r="E958">
        <f>IFERROR(AGGREGATE(15,6,ROW('Input Transaksi'!$B$5:$B$5000)/('Input Transaksi'!$B$5:$B$5000="KLIN WASH"),ROWS($E$5:E958)),"")</f>
        <v/>
      </c>
      <c r="F958" s="5" t="n"/>
    </row>
    <row r="959">
      <c r="A959" s="10">
        <f>IF($E959="","",INDEX('Input Transaksi'!$A:$A,$E959))</f>
        <v/>
      </c>
      <c r="B959" s="5">
        <f>IF($E959="","",INDEX('Input Transaksi'!$D:$D,$E959))</f>
        <v/>
      </c>
      <c r="C959">
        <f>IF($E959="","",INDEX('Input Transaksi'!$E:$E,$E959))</f>
        <v/>
      </c>
      <c r="D959" s="5">
        <f>IF($E959="","",INDEX('Input Transaksi'!$F:$F,$E959))</f>
        <v/>
      </c>
      <c r="E959">
        <f>IFERROR(AGGREGATE(15,6,ROW('Input Transaksi'!$B$5:$B$5000)/('Input Transaksi'!$B$5:$B$5000="KLIN WASH"),ROWS($E$5:E959)),"")</f>
        <v/>
      </c>
      <c r="F959" s="5" t="n"/>
    </row>
    <row r="960">
      <c r="A960" s="10">
        <f>IF($E960="","",INDEX('Input Transaksi'!$A:$A,$E960))</f>
        <v/>
      </c>
      <c r="B960" s="5">
        <f>IF($E960="","",INDEX('Input Transaksi'!$D:$D,$E960))</f>
        <v/>
      </c>
      <c r="C960">
        <f>IF($E960="","",INDEX('Input Transaksi'!$E:$E,$E960))</f>
        <v/>
      </c>
      <c r="D960" s="5">
        <f>IF($E960="","",INDEX('Input Transaksi'!$F:$F,$E960))</f>
        <v/>
      </c>
      <c r="E960">
        <f>IFERROR(AGGREGATE(15,6,ROW('Input Transaksi'!$B$5:$B$5000)/('Input Transaksi'!$B$5:$B$5000="KLIN WASH"),ROWS($E$5:E960)),"")</f>
        <v/>
      </c>
      <c r="F960" s="5" t="n"/>
    </row>
    <row r="961">
      <c r="A961" s="10">
        <f>IF($E961="","",INDEX('Input Transaksi'!$A:$A,$E961))</f>
        <v/>
      </c>
      <c r="B961" s="5">
        <f>IF($E961="","",INDEX('Input Transaksi'!$D:$D,$E961))</f>
        <v/>
      </c>
      <c r="C961">
        <f>IF($E961="","",INDEX('Input Transaksi'!$E:$E,$E961))</f>
        <v/>
      </c>
      <c r="D961" s="5">
        <f>IF($E961="","",INDEX('Input Transaksi'!$F:$F,$E961))</f>
        <v/>
      </c>
      <c r="E961">
        <f>IFERROR(AGGREGATE(15,6,ROW('Input Transaksi'!$B$5:$B$5000)/('Input Transaksi'!$B$5:$B$5000="KLIN WASH"),ROWS($E$5:E961)),"")</f>
        <v/>
      </c>
      <c r="F961" s="5" t="n"/>
    </row>
    <row r="962">
      <c r="A962" s="10">
        <f>IF($E962="","",INDEX('Input Transaksi'!$A:$A,$E962))</f>
        <v/>
      </c>
      <c r="B962" s="5">
        <f>IF($E962="","",INDEX('Input Transaksi'!$D:$D,$E962))</f>
        <v/>
      </c>
      <c r="C962">
        <f>IF($E962="","",INDEX('Input Transaksi'!$E:$E,$E962))</f>
        <v/>
      </c>
      <c r="D962" s="5">
        <f>IF($E962="","",INDEX('Input Transaksi'!$F:$F,$E962))</f>
        <v/>
      </c>
      <c r="E962">
        <f>IFERROR(AGGREGATE(15,6,ROW('Input Transaksi'!$B$5:$B$5000)/('Input Transaksi'!$B$5:$B$5000="KLIN WASH"),ROWS($E$5:E962)),"")</f>
        <v/>
      </c>
      <c r="F962" s="5" t="n"/>
    </row>
    <row r="963">
      <c r="A963" s="10">
        <f>IF($E963="","",INDEX('Input Transaksi'!$A:$A,$E963))</f>
        <v/>
      </c>
      <c r="B963" s="5">
        <f>IF($E963="","",INDEX('Input Transaksi'!$D:$D,$E963))</f>
        <v/>
      </c>
      <c r="C963">
        <f>IF($E963="","",INDEX('Input Transaksi'!$E:$E,$E963))</f>
        <v/>
      </c>
      <c r="D963" s="5">
        <f>IF($E963="","",INDEX('Input Transaksi'!$F:$F,$E963))</f>
        <v/>
      </c>
      <c r="E963">
        <f>IFERROR(AGGREGATE(15,6,ROW('Input Transaksi'!$B$5:$B$5000)/('Input Transaksi'!$B$5:$B$5000="KLIN WASH"),ROWS($E$5:E963)),"")</f>
        <v/>
      </c>
      <c r="F963" s="5" t="n"/>
    </row>
    <row r="964">
      <c r="A964" s="10">
        <f>IF($E964="","",INDEX('Input Transaksi'!$A:$A,$E964))</f>
        <v/>
      </c>
      <c r="B964" s="5">
        <f>IF($E964="","",INDEX('Input Transaksi'!$D:$D,$E964))</f>
        <v/>
      </c>
      <c r="C964">
        <f>IF($E964="","",INDEX('Input Transaksi'!$E:$E,$E964))</f>
        <v/>
      </c>
      <c r="D964" s="5">
        <f>IF($E964="","",INDEX('Input Transaksi'!$F:$F,$E964))</f>
        <v/>
      </c>
      <c r="E964">
        <f>IFERROR(AGGREGATE(15,6,ROW('Input Transaksi'!$B$5:$B$5000)/('Input Transaksi'!$B$5:$B$5000="KLIN WASH"),ROWS($E$5:E964)),"")</f>
        <v/>
      </c>
      <c r="F964" s="5" t="n"/>
    </row>
    <row r="965">
      <c r="A965" s="10">
        <f>IF($E965="","",INDEX('Input Transaksi'!$A:$A,$E965))</f>
        <v/>
      </c>
      <c r="B965" s="5">
        <f>IF($E965="","",INDEX('Input Transaksi'!$D:$D,$E965))</f>
        <v/>
      </c>
      <c r="C965">
        <f>IF($E965="","",INDEX('Input Transaksi'!$E:$E,$E965))</f>
        <v/>
      </c>
      <c r="D965" s="5">
        <f>IF($E965="","",INDEX('Input Transaksi'!$F:$F,$E965))</f>
        <v/>
      </c>
      <c r="E965">
        <f>IFERROR(AGGREGATE(15,6,ROW('Input Transaksi'!$B$5:$B$5000)/('Input Transaksi'!$B$5:$B$5000="KLIN WASH"),ROWS($E$5:E965)),"")</f>
        <v/>
      </c>
      <c r="F965" s="5" t="n"/>
    </row>
    <row r="966">
      <c r="A966" s="10">
        <f>IF($E966="","",INDEX('Input Transaksi'!$A:$A,$E966))</f>
        <v/>
      </c>
      <c r="B966" s="5">
        <f>IF($E966="","",INDEX('Input Transaksi'!$D:$D,$E966))</f>
        <v/>
      </c>
      <c r="C966">
        <f>IF($E966="","",INDEX('Input Transaksi'!$E:$E,$E966))</f>
        <v/>
      </c>
      <c r="D966" s="5">
        <f>IF($E966="","",INDEX('Input Transaksi'!$F:$F,$E966))</f>
        <v/>
      </c>
      <c r="E966">
        <f>IFERROR(AGGREGATE(15,6,ROW('Input Transaksi'!$B$5:$B$5000)/('Input Transaksi'!$B$5:$B$5000="KLIN WASH"),ROWS($E$5:E966)),"")</f>
        <v/>
      </c>
      <c r="F966" s="5" t="n"/>
    </row>
    <row r="967">
      <c r="A967" s="10">
        <f>IF($E967="","",INDEX('Input Transaksi'!$A:$A,$E967))</f>
        <v/>
      </c>
      <c r="B967" s="5">
        <f>IF($E967="","",INDEX('Input Transaksi'!$D:$D,$E967))</f>
        <v/>
      </c>
      <c r="C967">
        <f>IF($E967="","",INDEX('Input Transaksi'!$E:$E,$E967))</f>
        <v/>
      </c>
      <c r="D967" s="5">
        <f>IF($E967="","",INDEX('Input Transaksi'!$F:$F,$E967))</f>
        <v/>
      </c>
      <c r="E967">
        <f>IFERROR(AGGREGATE(15,6,ROW('Input Transaksi'!$B$5:$B$5000)/('Input Transaksi'!$B$5:$B$5000="KLIN WASH"),ROWS($E$5:E967)),"")</f>
        <v/>
      </c>
      <c r="F967" s="5" t="n"/>
    </row>
    <row r="968">
      <c r="A968" s="10">
        <f>IF($E968="","",INDEX('Input Transaksi'!$A:$A,$E968))</f>
        <v/>
      </c>
      <c r="B968" s="5">
        <f>IF($E968="","",INDEX('Input Transaksi'!$D:$D,$E968))</f>
        <v/>
      </c>
      <c r="C968">
        <f>IF($E968="","",INDEX('Input Transaksi'!$E:$E,$E968))</f>
        <v/>
      </c>
      <c r="D968" s="5">
        <f>IF($E968="","",INDEX('Input Transaksi'!$F:$F,$E968))</f>
        <v/>
      </c>
      <c r="E968">
        <f>IFERROR(AGGREGATE(15,6,ROW('Input Transaksi'!$B$5:$B$5000)/('Input Transaksi'!$B$5:$B$5000="KLIN WASH"),ROWS($E$5:E968)),"")</f>
        <v/>
      </c>
      <c r="F968" s="5" t="n"/>
    </row>
    <row r="969">
      <c r="A969" s="10">
        <f>IF($E969="","",INDEX('Input Transaksi'!$A:$A,$E969))</f>
        <v/>
      </c>
      <c r="B969" s="5">
        <f>IF($E969="","",INDEX('Input Transaksi'!$D:$D,$E969))</f>
        <v/>
      </c>
      <c r="C969">
        <f>IF($E969="","",INDEX('Input Transaksi'!$E:$E,$E969))</f>
        <v/>
      </c>
      <c r="D969" s="5">
        <f>IF($E969="","",INDEX('Input Transaksi'!$F:$F,$E969))</f>
        <v/>
      </c>
      <c r="E969">
        <f>IFERROR(AGGREGATE(15,6,ROW('Input Transaksi'!$B$5:$B$5000)/('Input Transaksi'!$B$5:$B$5000="KLIN WASH"),ROWS($E$5:E969)),"")</f>
        <v/>
      </c>
      <c r="F969" s="5" t="n"/>
    </row>
    <row r="970">
      <c r="A970" s="10">
        <f>IF($E970="","",INDEX('Input Transaksi'!$A:$A,$E970))</f>
        <v/>
      </c>
      <c r="B970" s="5">
        <f>IF($E970="","",INDEX('Input Transaksi'!$D:$D,$E970))</f>
        <v/>
      </c>
      <c r="C970">
        <f>IF($E970="","",INDEX('Input Transaksi'!$E:$E,$E970))</f>
        <v/>
      </c>
      <c r="D970" s="5">
        <f>IF($E970="","",INDEX('Input Transaksi'!$F:$F,$E970))</f>
        <v/>
      </c>
      <c r="E970">
        <f>IFERROR(AGGREGATE(15,6,ROW('Input Transaksi'!$B$5:$B$5000)/('Input Transaksi'!$B$5:$B$5000="KLIN WASH"),ROWS($E$5:E970)),"")</f>
        <v/>
      </c>
      <c r="F970" s="5" t="n"/>
    </row>
    <row r="971">
      <c r="A971" s="10">
        <f>IF($E971="","",INDEX('Input Transaksi'!$A:$A,$E971))</f>
        <v/>
      </c>
      <c r="B971" s="5">
        <f>IF($E971="","",INDEX('Input Transaksi'!$D:$D,$E971))</f>
        <v/>
      </c>
      <c r="C971">
        <f>IF($E971="","",INDEX('Input Transaksi'!$E:$E,$E971))</f>
        <v/>
      </c>
      <c r="D971" s="5">
        <f>IF($E971="","",INDEX('Input Transaksi'!$F:$F,$E971))</f>
        <v/>
      </c>
      <c r="E971">
        <f>IFERROR(AGGREGATE(15,6,ROW('Input Transaksi'!$B$5:$B$5000)/('Input Transaksi'!$B$5:$B$5000="KLIN WASH"),ROWS($E$5:E971)),"")</f>
        <v/>
      </c>
      <c r="F971" s="5" t="n"/>
    </row>
    <row r="972">
      <c r="A972" s="10">
        <f>IF($E972="","",INDEX('Input Transaksi'!$A:$A,$E972))</f>
        <v/>
      </c>
      <c r="B972" s="5">
        <f>IF($E972="","",INDEX('Input Transaksi'!$D:$D,$E972))</f>
        <v/>
      </c>
      <c r="C972">
        <f>IF($E972="","",INDEX('Input Transaksi'!$E:$E,$E972))</f>
        <v/>
      </c>
      <c r="D972" s="5">
        <f>IF($E972="","",INDEX('Input Transaksi'!$F:$F,$E972))</f>
        <v/>
      </c>
      <c r="E972">
        <f>IFERROR(AGGREGATE(15,6,ROW('Input Transaksi'!$B$5:$B$5000)/('Input Transaksi'!$B$5:$B$5000="KLIN WASH"),ROWS($E$5:E972)),"")</f>
        <v/>
      </c>
      <c r="F972" s="5" t="n"/>
    </row>
    <row r="973">
      <c r="A973" s="10">
        <f>IF($E973="","",INDEX('Input Transaksi'!$A:$A,$E973))</f>
        <v/>
      </c>
      <c r="B973" s="5">
        <f>IF($E973="","",INDEX('Input Transaksi'!$D:$D,$E973))</f>
        <v/>
      </c>
      <c r="C973">
        <f>IF($E973="","",INDEX('Input Transaksi'!$E:$E,$E973))</f>
        <v/>
      </c>
      <c r="D973" s="5">
        <f>IF($E973="","",INDEX('Input Transaksi'!$F:$F,$E973))</f>
        <v/>
      </c>
      <c r="E973">
        <f>IFERROR(AGGREGATE(15,6,ROW('Input Transaksi'!$B$5:$B$5000)/('Input Transaksi'!$B$5:$B$5000="KLIN WASH"),ROWS($E$5:E973)),"")</f>
        <v/>
      </c>
      <c r="F973" s="5" t="n"/>
    </row>
    <row r="974">
      <c r="A974" s="10">
        <f>IF($E974="","",INDEX('Input Transaksi'!$A:$A,$E974))</f>
        <v/>
      </c>
      <c r="B974" s="5">
        <f>IF($E974="","",INDEX('Input Transaksi'!$D:$D,$E974))</f>
        <v/>
      </c>
      <c r="C974">
        <f>IF($E974="","",INDEX('Input Transaksi'!$E:$E,$E974))</f>
        <v/>
      </c>
      <c r="D974" s="5">
        <f>IF($E974="","",INDEX('Input Transaksi'!$F:$F,$E974))</f>
        <v/>
      </c>
      <c r="E974">
        <f>IFERROR(AGGREGATE(15,6,ROW('Input Transaksi'!$B$5:$B$5000)/('Input Transaksi'!$B$5:$B$5000="KLIN WASH"),ROWS($E$5:E974)),"")</f>
        <v/>
      </c>
      <c r="F974" s="5" t="n"/>
    </row>
    <row r="975">
      <c r="A975" s="10">
        <f>IF($E975="","",INDEX('Input Transaksi'!$A:$A,$E975))</f>
        <v/>
      </c>
      <c r="B975" s="5">
        <f>IF($E975="","",INDEX('Input Transaksi'!$D:$D,$E975))</f>
        <v/>
      </c>
      <c r="C975">
        <f>IF($E975="","",INDEX('Input Transaksi'!$E:$E,$E975))</f>
        <v/>
      </c>
      <c r="D975" s="5">
        <f>IF($E975="","",INDEX('Input Transaksi'!$F:$F,$E975))</f>
        <v/>
      </c>
      <c r="E975">
        <f>IFERROR(AGGREGATE(15,6,ROW('Input Transaksi'!$B$5:$B$5000)/('Input Transaksi'!$B$5:$B$5000="KLIN WASH"),ROWS($E$5:E975)),"")</f>
        <v/>
      </c>
      <c r="F975" s="5" t="n"/>
    </row>
    <row r="976">
      <c r="A976" s="10">
        <f>IF($E976="","",INDEX('Input Transaksi'!$A:$A,$E976))</f>
        <v/>
      </c>
      <c r="B976" s="5">
        <f>IF($E976="","",INDEX('Input Transaksi'!$D:$D,$E976))</f>
        <v/>
      </c>
      <c r="C976">
        <f>IF($E976="","",INDEX('Input Transaksi'!$E:$E,$E976))</f>
        <v/>
      </c>
      <c r="D976" s="5">
        <f>IF($E976="","",INDEX('Input Transaksi'!$F:$F,$E976))</f>
        <v/>
      </c>
      <c r="E976">
        <f>IFERROR(AGGREGATE(15,6,ROW('Input Transaksi'!$B$5:$B$5000)/('Input Transaksi'!$B$5:$B$5000="KLIN WASH"),ROWS($E$5:E976)),"")</f>
        <v/>
      </c>
      <c r="F976" s="5" t="n"/>
    </row>
    <row r="977">
      <c r="A977" s="10">
        <f>IF($E977="","",INDEX('Input Transaksi'!$A:$A,$E977))</f>
        <v/>
      </c>
      <c r="B977" s="5">
        <f>IF($E977="","",INDEX('Input Transaksi'!$D:$D,$E977))</f>
        <v/>
      </c>
      <c r="C977">
        <f>IF($E977="","",INDEX('Input Transaksi'!$E:$E,$E977))</f>
        <v/>
      </c>
      <c r="D977" s="5">
        <f>IF($E977="","",INDEX('Input Transaksi'!$F:$F,$E977))</f>
        <v/>
      </c>
      <c r="E977">
        <f>IFERROR(AGGREGATE(15,6,ROW('Input Transaksi'!$B$5:$B$5000)/('Input Transaksi'!$B$5:$B$5000="KLIN WASH"),ROWS($E$5:E977)),"")</f>
        <v/>
      </c>
      <c r="F977" s="5" t="n"/>
    </row>
    <row r="978">
      <c r="A978" s="10">
        <f>IF($E978="","",INDEX('Input Transaksi'!$A:$A,$E978))</f>
        <v/>
      </c>
      <c r="B978" s="5">
        <f>IF($E978="","",INDEX('Input Transaksi'!$D:$D,$E978))</f>
        <v/>
      </c>
      <c r="C978">
        <f>IF($E978="","",INDEX('Input Transaksi'!$E:$E,$E978))</f>
        <v/>
      </c>
      <c r="D978" s="5">
        <f>IF($E978="","",INDEX('Input Transaksi'!$F:$F,$E978))</f>
        <v/>
      </c>
      <c r="E978">
        <f>IFERROR(AGGREGATE(15,6,ROW('Input Transaksi'!$B$5:$B$5000)/('Input Transaksi'!$B$5:$B$5000="KLIN WASH"),ROWS($E$5:E978)),"")</f>
        <v/>
      </c>
      <c r="F978" s="5" t="n"/>
    </row>
    <row r="979">
      <c r="A979" s="10">
        <f>IF($E979="","",INDEX('Input Transaksi'!$A:$A,$E979))</f>
        <v/>
      </c>
      <c r="B979" s="5">
        <f>IF($E979="","",INDEX('Input Transaksi'!$D:$D,$E979))</f>
        <v/>
      </c>
      <c r="C979">
        <f>IF($E979="","",INDEX('Input Transaksi'!$E:$E,$E979))</f>
        <v/>
      </c>
      <c r="D979" s="5">
        <f>IF($E979="","",INDEX('Input Transaksi'!$F:$F,$E979))</f>
        <v/>
      </c>
      <c r="E979">
        <f>IFERROR(AGGREGATE(15,6,ROW('Input Transaksi'!$B$5:$B$5000)/('Input Transaksi'!$B$5:$B$5000="KLIN WASH"),ROWS($E$5:E979)),"")</f>
        <v/>
      </c>
      <c r="F979" s="5" t="n"/>
    </row>
    <row r="980">
      <c r="A980" s="10">
        <f>IF($E980="","",INDEX('Input Transaksi'!$A:$A,$E980))</f>
        <v/>
      </c>
      <c r="B980" s="5">
        <f>IF($E980="","",INDEX('Input Transaksi'!$D:$D,$E980))</f>
        <v/>
      </c>
      <c r="C980">
        <f>IF($E980="","",INDEX('Input Transaksi'!$E:$E,$E980))</f>
        <v/>
      </c>
      <c r="D980" s="5">
        <f>IF($E980="","",INDEX('Input Transaksi'!$F:$F,$E980))</f>
        <v/>
      </c>
      <c r="E980">
        <f>IFERROR(AGGREGATE(15,6,ROW('Input Transaksi'!$B$5:$B$5000)/('Input Transaksi'!$B$5:$B$5000="KLIN WASH"),ROWS($E$5:E980)),"")</f>
        <v/>
      </c>
      <c r="F980" s="5" t="n"/>
    </row>
    <row r="981">
      <c r="A981" s="10">
        <f>IF($E981="","",INDEX('Input Transaksi'!$A:$A,$E981))</f>
        <v/>
      </c>
      <c r="B981" s="5">
        <f>IF($E981="","",INDEX('Input Transaksi'!$D:$D,$E981))</f>
        <v/>
      </c>
      <c r="C981">
        <f>IF($E981="","",INDEX('Input Transaksi'!$E:$E,$E981))</f>
        <v/>
      </c>
      <c r="D981" s="5">
        <f>IF($E981="","",INDEX('Input Transaksi'!$F:$F,$E981))</f>
        <v/>
      </c>
      <c r="E981">
        <f>IFERROR(AGGREGATE(15,6,ROW('Input Transaksi'!$B$5:$B$5000)/('Input Transaksi'!$B$5:$B$5000="KLIN WASH"),ROWS($E$5:E981)),"")</f>
        <v/>
      </c>
      <c r="F981" s="5" t="n"/>
    </row>
    <row r="982">
      <c r="A982" s="10">
        <f>IF($E982="","",INDEX('Input Transaksi'!$A:$A,$E982))</f>
        <v/>
      </c>
      <c r="B982" s="5">
        <f>IF($E982="","",INDEX('Input Transaksi'!$D:$D,$E982))</f>
        <v/>
      </c>
      <c r="C982">
        <f>IF($E982="","",INDEX('Input Transaksi'!$E:$E,$E982))</f>
        <v/>
      </c>
      <c r="D982" s="5">
        <f>IF($E982="","",INDEX('Input Transaksi'!$F:$F,$E982))</f>
        <v/>
      </c>
      <c r="E982">
        <f>IFERROR(AGGREGATE(15,6,ROW('Input Transaksi'!$B$5:$B$5000)/('Input Transaksi'!$B$5:$B$5000="KLIN WASH"),ROWS($E$5:E982)),"")</f>
        <v/>
      </c>
      <c r="F982" s="5" t="n"/>
    </row>
    <row r="983">
      <c r="A983" s="10">
        <f>IF($E983="","",INDEX('Input Transaksi'!$A:$A,$E983))</f>
        <v/>
      </c>
      <c r="B983" s="5">
        <f>IF($E983="","",INDEX('Input Transaksi'!$D:$D,$E983))</f>
        <v/>
      </c>
      <c r="C983">
        <f>IF($E983="","",INDEX('Input Transaksi'!$E:$E,$E983))</f>
        <v/>
      </c>
      <c r="D983" s="5">
        <f>IF($E983="","",INDEX('Input Transaksi'!$F:$F,$E983))</f>
        <v/>
      </c>
      <c r="E983">
        <f>IFERROR(AGGREGATE(15,6,ROW('Input Transaksi'!$B$5:$B$5000)/('Input Transaksi'!$B$5:$B$5000="KLIN WASH"),ROWS($E$5:E983)),"")</f>
        <v/>
      </c>
      <c r="F983" s="5" t="n"/>
    </row>
    <row r="984">
      <c r="A984" s="10">
        <f>IF($E984="","",INDEX('Input Transaksi'!$A:$A,$E984))</f>
        <v/>
      </c>
      <c r="B984" s="5">
        <f>IF($E984="","",INDEX('Input Transaksi'!$D:$D,$E984))</f>
        <v/>
      </c>
      <c r="C984">
        <f>IF($E984="","",INDEX('Input Transaksi'!$E:$E,$E984))</f>
        <v/>
      </c>
      <c r="D984" s="5">
        <f>IF($E984="","",INDEX('Input Transaksi'!$F:$F,$E984))</f>
        <v/>
      </c>
      <c r="E984">
        <f>IFERROR(AGGREGATE(15,6,ROW('Input Transaksi'!$B$5:$B$5000)/('Input Transaksi'!$B$5:$B$5000="KLIN WASH"),ROWS($E$5:E984)),"")</f>
        <v/>
      </c>
      <c r="F984" s="5" t="n"/>
    </row>
    <row r="985">
      <c r="A985" s="10">
        <f>IF($E985="","",INDEX('Input Transaksi'!$A:$A,$E985))</f>
        <v/>
      </c>
      <c r="B985" s="5">
        <f>IF($E985="","",INDEX('Input Transaksi'!$D:$D,$E985))</f>
        <v/>
      </c>
      <c r="C985">
        <f>IF($E985="","",INDEX('Input Transaksi'!$E:$E,$E985))</f>
        <v/>
      </c>
      <c r="D985" s="5">
        <f>IF($E985="","",INDEX('Input Transaksi'!$F:$F,$E985))</f>
        <v/>
      </c>
      <c r="E985">
        <f>IFERROR(AGGREGATE(15,6,ROW('Input Transaksi'!$B$5:$B$5000)/('Input Transaksi'!$B$5:$B$5000="KLIN WASH"),ROWS($E$5:E985)),"")</f>
        <v/>
      </c>
      <c r="F985" s="5" t="n"/>
    </row>
    <row r="986">
      <c r="A986" s="10">
        <f>IF($E986="","",INDEX('Input Transaksi'!$A:$A,$E986))</f>
        <v/>
      </c>
      <c r="B986" s="5">
        <f>IF($E986="","",INDEX('Input Transaksi'!$D:$D,$E986))</f>
        <v/>
      </c>
      <c r="C986">
        <f>IF($E986="","",INDEX('Input Transaksi'!$E:$E,$E986))</f>
        <v/>
      </c>
      <c r="D986" s="5">
        <f>IF($E986="","",INDEX('Input Transaksi'!$F:$F,$E986))</f>
        <v/>
      </c>
      <c r="E986">
        <f>IFERROR(AGGREGATE(15,6,ROW('Input Transaksi'!$B$5:$B$5000)/('Input Transaksi'!$B$5:$B$5000="KLIN WASH"),ROWS($E$5:E986)),"")</f>
        <v/>
      </c>
      <c r="F986" s="5" t="n"/>
    </row>
    <row r="987">
      <c r="A987" s="10">
        <f>IF($E987="","",INDEX('Input Transaksi'!$A:$A,$E987))</f>
        <v/>
      </c>
      <c r="B987" s="5">
        <f>IF($E987="","",INDEX('Input Transaksi'!$D:$D,$E987))</f>
        <v/>
      </c>
      <c r="C987">
        <f>IF($E987="","",INDEX('Input Transaksi'!$E:$E,$E987))</f>
        <v/>
      </c>
      <c r="D987" s="5">
        <f>IF($E987="","",INDEX('Input Transaksi'!$F:$F,$E987))</f>
        <v/>
      </c>
      <c r="E987">
        <f>IFERROR(AGGREGATE(15,6,ROW('Input Transaksi'!$B$5:$B$5000)/('Input Transaksi'!$B$5:$B$5000="KLIN WASH"),ROWS($E$5:E987)),"")</f>
        <v/>
      </c>
      <c r="F987" s="5" t="n"/>
    </row>
    <row r="988">
      <c r="A988" s="10">
        <f>IF($E988="","",INDEX('Input Transaksi'!$A:$A,$E988))</f>
        <v/>
      </c>
      <c r="B988" s="5">
        <f>IF($E988="","",INDEX('Input Transaksi'!$D:$D,$E988))</f>
        <v/>
      </c>
      <c r="C988">
        <f>IF($E988="","",INDEX('Input Transaksi'!$E:$E,$E988))</f>
        <v/>
      </c>
      <c r="D988" s="5">
        <f>IF($E988="","",INDEX('Input Transaksi'!$F:$F,$E988))</f>
        <v/>
      </c>
      <c r="E988">
        <f>IFERROR(AGGREGATE(15,6,ROW('Input Transaksi'!$B$5:$B$5000)/('Input Transaksi'!$B$5:$B$5000="KLIN WASH"),ROWS($E$5:E988)),"")</f>
        <v/>
      </c>
      <c r="F988" s="5" t="n"/>
    </row>
    <row r="989">
      <c r="A989" s="10">
        <f>IF($E989="","",INDEX('Input Transaksi'!$A:$A,$E989))</f>
        <v/>
      </c>
      <c r="B989" s="5">
        <f>IF($E989="","",INDEX('Input Transaksi'!$D:$D,$E989))</f>
        <v/>
      </c>
      <c r="C989">
        <f>IF($E989="","",INDEX('Input Transaksi'!$E:$E,$E989))</f>
        <v/>
      </c>
      <c r="D989" s="5">
        <f>IF($E989="","",INDEX('Input Transaksi'!$F:$F,$E989))</f>
        <v/>
      </c>
      <c r="E989">
        <f>IFERROR(AGGREGATE(15,6,ROW('Input Transaksi'!$B$5:$B$5000)/('Input Transaksi'!$B$5:$B$5000="KLIN WASH"),ROWS($E$5:E989)),"")</f>
        <v/>
      </c>
      <c r="F989" s="5" t="n"/>
    </row>
    <row r="990">
      <c r="A990" s="10">
        <f>IF($E990="","",INDEX('Input Transaksi'!$A:$A,$E990))</f>
        <v/>
      </c>
      <c r="B990" s="5">
        <f>IF($E990="","",INDEX('Input Transaksi'!$D:$D,$E990))</f>
        <v/>
      </c>
      <c r="C990">
        <f>IF($E990="","",INDEX('Input Transaksi'!$E:$E,$E990))</f>
        <v/>
      </c>
      <c r="D990" s="5">
        <f>IF($E990="","",INDEX('Input Transaksi'!$F:$F,$E990))</f>
        <v/>
      </c>
      <c r="E990">
        <f>IFERROR(AGGREGATE(15,6,ROW('Input Transaksi'!$B$5:$B$5000)/('Input Transaksi'!$B$5:$B$5000="KLIN WASH"),ROWS($E$5:E990)),"")</f>
        <v/>
      </c>
      <c r="F990" s="5" t="n"/>
    </row>
    <row r="991">
      <c r="A991" s="10">
        <f>IF($E991="","",INDEX('Input Transaksi'!$A:$A,$E991))</f>
        <v/>
      </c>
      <c r="B991" s="5">
        <f>IF($E991="","",INDEX('Input Transaksi'!$D:$D,$E991))</f>
        <v/>
      </c>
      <c r="C991">
        <f>IF($E991="","",INDEX('Input Transaksi'!$E:$E,$E991))</f>
        <v/>
      </c>
      <c r="D991" s="5">
        <f>IF($E991="","",INDEX('Input Transaksi'!$F:$F,$E991))</f>
        <v/>
      </c>
      <c r="E991">
        <f>IFERROR(AGGREGATE(15,6,ROW('Input Transaksi'!$B$5:$B$5000)/('Input Transaksi'!$B$5:$B$5000="KLIN WASH"),ROWS($E$5:E991)),"")</f>
        <v/>
      </c>
      <c r="F991" s="5" t="n"/>
    </row>
    <row r="992">
      <c r="A992" s="10">
        <f>IF($E992="","",INDEX('Input Transaksi'!$A:$A,$E992))</f>
        <v/>
      </c>
      <c r="B992" s="5">
        <f>IF($E992="","",INDEX('Input Transaksi'!$D:$D,$E992))</f>
        <v/>
      </c>
      <c r="C992">
        <f>IF($E992="","",INDEX('Input Transaksi'!$E:$E,$E992))</f>
        <v/>
      </c>
      <c r="D992" s="5">
        <f>IF($E992="","",INDEX('Input Transaksi'!$F:$F,$E992))</f>
        <v/>
      </c>
      <c r="E992">
        <f>IFERROR(AGGREGATE(15,6,ROW('Input Transaksi'!$B$5:$B$5000)/('Input Transaksi'!$B$5:$B$5000="KLIN WASH"),ROWS($E$5:E992)),"")</f>
        <v/>
      </c>
      <c r="F992" s="5" t="n"/>
    </row>
    <row r="993">
      <c r="A993" s="10">
        <f>IF($E993="","",INDEX('Input Transaksi'!$A:$A,$E993))</f>
        <v/>
      </c>
      <c r="B993" s="5">
        <f>IF($E993="","",INDEX('Input Transaksi'!$D:$D,$E993))</f>
        <v/>
      </c>
      <c r="C993">
        <f>IF($E993="","",INDEX('Input Transaksi'!$E:$E,$E993))</f>
        <v/>
      </c>
      <c r="D993" s="5">
        <f>IF($E993="","",INDEX('Input Transaksi'!$F:$F,$E993))</f>
        <v/>
      </c>
      <c r="E993">
        <f>IFERROR(AGGREGATE(15,6,ROW('Input Transaksi'!$B$5:$B$5000)/('Input Transaksi'!$B$5:$B$5000="KLIN WASH"),ROWS($E$5:E993)),"")</f>
        <v/>
      </c>
      <c r="F993" s="5" t="n"/>
    </row>
    <row r="994">
      <c r="A994" s="10">
        <f>IF($E994="","",INDEX('Input Transaksi'!$A:$A,$E994))</f>
        <v/>
      </c>
      <c r="B994" s="5">
        <f>IF($E994="","",INDEX('Input Transaksi'!$D:$D,$E994))</f>
        <v/>
      </c>
      <c r="C994">
        <f>IF($E994="","",INDEX('Input Transaksi'!$E:$E,$E994))</f>
        <v/>
      </c>
      <c r="D994" s="5">
        <f>IF($E994="","",INDEX('Input Transaksi'!$F:$F,$E994))</f>
        <v/>
      </c>
      <c r="E994">
        <f>IFERROR(AGGREGATE(15,6,ROW('Input Transaksi'!$B$5:$B$5000)/('Input Transaksi'!$B$5:$B$5000="KLIN WASH"),ROWS($E$5:E994)),"")</f>
        <v/>
      </c>
      <c r="F994" s="5" t="n"/>
    </row>
    <row r="995">
      <c r="A995" s="10">
        <f>IF($E995="","",INDEX('Input Transaksi'!$A:$A,$E995))</f>
        <v/>
      </c>
      <c r="B995" s="5">
        <f>IF($E995="","",INDEX('Input Transaksi'!$D:$D,$E995))</f>
        <v/>
      </c>
      <c r="C995">
        <f>IF($E995="","",INDEX('Input Transaksi'!$E:$E,$E995))</f>
        <v/>
      </c>
      <c r="D995" s="5">
        <f>IF($E995="","",INDEX('Input Transaksi'!$F:$F,$E995))</f>
        <v/>
      </c>
      <c r="E995">
        <f>IFERROR(AGGREGATE(15,6,ROW('Input Transaksi'!$B$5:$B$5000)/('Input Transaksi'!$B$5:$B$5000="KLIN WASH"),ROWS($E$5:E995)),"")</f>
        <v/>
      </c>
      <c r="F995" s="5" t="n"/>
    </row>
    <row r="996">
      <c r="A996" s="10">
        <f>IF($E996="","",INDEX('Input Transaksi'!$A:$A,$E996))</f>
        <v/>
      </c>
      <c r="B996" s="5">
        <f>IF($E996="","",INDEX('Input Transaksi'!$D:$D,$E996))</f>
        <v/>
      </c>
      <c r="C996">
        <f>IF($E996="","",INDEX('Input Transaksi'!$E:$E,$E996))</f>
        <v/>
      </c>
      <c r="D996" s="5">
        <f>IF($E996="","",INDEX('Input Transaksi'!$F:$F,$E996))</f>
        <v/>
      </c>
      <c r="E996">
        <f>IFERROR(AGGREGATE(15,6,ROW('Input Transaksi'!$B$5:$B$5000)/('Input Transaksi'!$B$5:$B$5000="KLIN WASH"),ROWS($E$5:E996)),"")</f>
        <v/>
      </c>
      <c r="F996" s="5" t="n"/>
    </row>
    <row r="997">
      <c r="A997" s="10">
        <f>IF($E997="","",INDEX('Input Transaksi'!$A:$A,$E997))</f>
        <v/>
      </c>
      <c r="B997" s="5">
        <f>IF($E997="","",INDEX('Input Transaksi'!$D:$D,$E997))</f>
        <v/>
      </c>
      <c r="C997">
        <f>IF($E997="","",INDEX('Input Transaksi'!$E:$E,$E997))</f>
        <v/>
      </c>
      <c r="D997" s="5">
        <f>IF($E997="","",INDEX('Input Transaksi'!$F:$F,$E997))</f>
        <v/>
      </c>
      <c r="E997">
        <f>IFERROR(AGGREGATE(15,6,ROW('Input Transaksi'!$B$5:$B$5000)/('Input Transaksi'!$B$5:$B$5000="KLIN WASH"),ROWS($E$5:E997)),"")</f>
        <v/>
      </c>
      <c r="F997" s="5" t="n"/>
    </row>
    <row r="998">
      <c r="A998" s="10">
        <f>IF($E998="","",INDEX('Input Transaksi'!$A:$A,$E998))</f>
        <v/>
      </c>
      <c r="B998" s="5">
        <f>IF($E998="","",INDEX('Input Transaksi'!$D:$D,$E998))</f>
        <v/>
      </c>
      <c r="C998">
        <f>IF($E998="","",INDEX('Input Transaksi'!$E:$E,$E998))</f>
        <v/>
      </c>
      <c r="D998" s="5">
        <f>IF($E998="","",INDEX('Input Transaksi'!$F:$F,$E998))</f>
        <v/>
      </c>
      <c r="E998">
        <f>IFERROR(AGGREGATE(15,6,ROW('Input Transaksi'!$B$5:$B$5000)/('Input Transaksi'!$B$5:$B$5000="KLIN WASH"),ROWS($E$5:E998)),"")</f>
        <v/>
      </c>
      <c r="F998" s="5" t="n"/>
    </row>
    <row r="999">
      <c r="A999" s="10">
        <f>IF($E999="","",INDEX('Input Transaksi'!$A:$A,$E999))</f>
        <v/>
      </c>
      <c r="B999" s="5">
        <f>IF($E999="","",INDEX('Input Transaksi'!$D:$D,$E999))</f>
        <v/>
      </c>
      <c r="C999">
        <f>IF($E999="","",INDEX('Input Transaksi'!$E:$E,$E999))</f>
        <v/>
      </c>
      <c r="D999" s="5">
        <f>IF($E999="","",INDEX('Input Transaksi'!$F:$F,$E999))</f>
        <v/>
      </c>
      <c r="E999">
        <f>IFERROR(AGGREGATE(15,6,ROW('Input Transaksi'!$B$5:$B$5000)/('Input Transaksi'!$B$5:$B$5000="KLIN WASH"),ROWS($E$5:E999)),"")</f>
        <v/>
      </c>
      <c r="F999" s="5" t="n"/>
    </row>
    <row r="1000">
      <c r="A1000" s="10">
        <f>IF($E1000="","",INDEX('Input Transaksi'!$A:$A,$E1000))</f>
        <v/>
      </c>
      <c r="B1000" s="5">
        <f>IF($E1000="","",INDEX('Input Transaksi'!$D:$D,$E1000))</f>
        <v/>
      </c>
      <c r="C1000">
        <f>IF($E1000="","",INDEX('Input Transaksi'!$E:$E,$E1000))</f>
        <v/>
      </c>
      <c r="D1000" s="5">
        <f>IF($E1000="","",INDEX('Input Transaksi'!$F:$F,$E1000))</f>
        <v/>
      </c>
      <c r="E1000">
        <f>IFERROR(AGGREGATE(15,6,ROW('Input Transaksi'!$B$5:$B$5000)/('Input Transaksi'!$B$5:$B$5000="KLIN WASH"),ROWS($E$5:E1000)),"")</f>
        <v/>
      </c>
      <c r="F1000" s="5" t="n"/>
    </row>
  </sheetData>
  <autoFilter ref="A4:D1000"/>
  <mergeCells count="1">
    <mergeCell ref="A1:E1"/>
  </mergeCells>
  <hyperlinks>
    <hyperlink ref="F1" location="'Beranda'!A1" display="Kembali ke Beranda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000"/>
  <sheetViews>
    <sheetView workbookViewId="0">
      <pane ySplit="4" topLeftCell="A5" activePane="bottomLeft" state="frozen"/>
      <selection pane="bottomLeft" activeCell="A1" sqref="A1"/>
    </sheetView>
  </sheetViews>
  <sheetFormatPr baseColWidth="10" defaultColWidth="8.83203125" defaultRowHeight="15"/>
  <cols>
    <col width="16" customWidth="1" min="1" max="1"/>
    <col width="22" customWidth="1" min="2" max="2"/>
    <col width="12" customWidth="1" min="3" max="3"/>
    <col width="26" customWidth="1" min="4" max="4"/>
    <col hidden="1" width="12.6640625" customWidth="1" min="5" max="5"/>
    <col width="16" customWidth="1" min="6" max="6"/>
    <col hidden="1" width="13" customWidth="1" min="7" max="7"/>
  </cols>
  <sheetData>
    <row r="1" ht="24" customHeight="1">
      <c r="A1" s="11" t="inlineStr">
        <is>
          <t>LONDRI DEWE</t>
        </is>
      </c>
      <c r="F1" s="3" t="inlineStr">
        <is>
          <t>Kembali ke Beranda</t>
        </is>
      </c>
    </row>
    <row r="2">
      <c r="A2" s="13" t="inlineStr">
        <is>
          <t>Wilayah</t>
        </is>
      </c>
      <c r="B2" s="13" t="inlineStr">
        <is>
          <t>SELATAN</t>
        </is>
      </c>
      <c r="C2" s="13" t="inlineStr">
        <is>
          <t>Total Qty</t>
        </is>
      </c>
      <c r="D2" s="2">
        <f>SUMIFS('Input Transaksi'!$E$5:$E$5000,'Input Transaksi'!$B$5:$B$5000,"LONDRI DEWE")</f>
        <v/>
      </c>
      <c r="E2" s="13" t="inlineStr">
        <is>
          <t>Jumlah Transaksi</t>
        </is>
      </c>
      <c r="F2" s="2">
        <f>COUNTIF('Input Transaksi'!$B$5:$B$5000,"LONDRI DEWE")</f>
        <v/>
      </c>
    </row>
    <row r="3"/>
    <row r="4">
      <c r="A4" s="4" t="inlineStr">
        <is>
          <t>Tanggal</t>
        </is>
      </c>
      <c r="B4" s="4" t="inlineStr">
        <is>
          <t>Item</t>
        </is>
      </c>
      <c r="C4" s="4" t="inlineStr">
        <is>
          <t>Qty Keluar</t>
        </is>
      </c>
      <c r="D4" s="4" t="inlineStr">
        <is>
          <t>Catatan</t>
        </is>
      </c>
      <c r="E4" t="inlineStr">
        <is>
          <t>RowRef</t>
        </is>
      </c>
      <c r="F4" s="4" t="n"/>
    </row>
    <row r="5">
      <c r="A5" s="10">
        <f>IF($E5="","",INDEX('Input Transaksi'!$A:$A,$E5))</f>
        <v/>
      </c>
      <c r="B5" s="5">
        <f>IF($E5="","",INDEX('Input Transaksi'!$D:$D,$E5))</f>
        <v/>
      </c>
      <c r="C5">
        <f>IF($E5="","",INDEX('Input Transaksi'!$E:$E,$E5))</f>
        <v/>
      </c>
      <c r="D5" s="5">
        <f>IF($E5="","",INDEX('Input Transaksi'!$F:$F,$E5))</f>
        <v/>
      </c>
      <c r="E5">
        <f>IFERROR(AGGREGATE(15,6,ROW('Input Transaksi'!$B$5:$B$5000)/('Input Transaksi'!$B$5:$B$5000="LONDRI DEWE"),ROWS($E$5:E5)),"")</f>
        <v/>
      </c>
      <c r="F5" s="5" t="n"/>
    </row>
    <row r="6">
      <c r="A6" s="10">
        <f>IF($E6="","",INDEX('Input Transaksi'!$A:$A,$E6))</f>
        <v/>
      </c>
      <c r="B6" s="5">
        <f>IF($E6="","",INDEX('Input Transaksi'!$D:$D,$E6))</f>
        <v/>
      </c>
      <c r="C6">
        <f>IF($E6="","",INDEX('Input Transaksi'!$E:$E,$E6))</f>
        <v/>
      </c>
      <c r="D6" s="5">
        <f>IF($E6="","",INDEX('Input Transaksi'!$F:$F,$E6))</f>
        <v/>
      </c>
      <c r="E6">
        <f>IFERROR(AGGREGATE(15,6,ROW('Input Transaksi'!$B$5:$B$5000)/('Input Transaksi'!$B$5:$B$5000="LONDRI DEWE"),ROWS($E$5:E6)),"")</f>
        <v/>
      </c>
      <c r="F6" s="5" t="n"/>
    </row>
    <row r="7">
      <c r="A7" s="10">
        <f>IF($E7="","",INDEX('Input Transaksi'!$A:$A,$E7))</f>
        <v/>
      </c>
      <c r="B7" s="5">
        <f>IF($E7="","",INDEX('Input Transaksi'!$D:$D,$E7))</f>
        <v/>
      </c>
      <c r="C7">
        <f>IF($E7="","",INDEX('Input Transaksi'!$E:$E,$E7))</f>
        <v/>
      </c>
      <c r="D7" s="5">
        <f>IF($E7="","",INDEX('Input Transaksi'!$F:$F,$E7))</f>
        <v/>
      </c>
      <c r="E7">
        <f>IFERROR(AGGREGATE(15,6,ROW('Input Transaksi'!$B$5:$B$5000)/('Input Transaksi'!$B$5:$B$5000="LONDRI DEWE"),ROWS($E$5:E7)),"")</f>
        <v/>
      </c>
      <c r="F7" s="5" t="n"/>
    </row>
    <row r="8">
      <c r="A8" s="10">
        <f>IF($E8="","",INDEX('Input Transaksi'!$A:$A,$E8))</f>
        <v/>
      </c>
      <c r="B8" s="5">
        <f>IF($E8="","",INDEX('Input Transaksi'!$D:$D,$E8))</f>
        <v/>
      </c>
      <c r="C8">
        <f>IF($E8="","",INDEX('Input Transaksi'!$E:$E,$E8))</f>
        <v/>
      </c>
      <c r="D8" s="5">
        <f>IF($E8="","",INDEX('Input Transaksi'!$F:$F,$E8))</f>
        <v/>
      </c>
      <c r="E8">
        <f>IFERROR(AGGREGATE(15,6,ROW('Input Transaksi'!$B$5:$B$5000)/('Input Transaksi'!$B$5:$B$5000="LONDRI DEWE"),ROWS($E$5:E8)),"")</f>
        <v/>
      </c>
      <c r="F8" s="5" t="n"/>
    </row>
    <row r="9">
      <c r="A9" s="10">
        <f>IF($E9="","",INDEX('Input Transaksi'!$A:$A,$E9))</f>
        <v/>
      </c>
      <c r="B9" s="5">
        <f>IF($E9="","",INDEX('Input Transaksi'!$D:$D,$E9))</f>
        <v/>
      </c>
      <c r="C9">
        <f>IF($E9="","",INDEX('Input Transaksi'!$E:$E,$E9))</f>
        <v/>
      </c>
      <c r="D9" s="5">
        <f>IF($E9="","",INDEX('Input Transaksi'!$F:$F,$E9))</f>
        <v/>
      </c>
      <c r="E9">
        <f>IFERROR(AGGREGATE(15,6,ROW('Input Transaksi'!$B$5:$B$5000)/('Input Transaksi'!$B$5:$B$5000="LONDRI DEWE"),ROWS($E$5:E9)),"")</f>
        <v/>
      </c>
      <c r="F9" s="5" t="n"/>
    </row>
    <row r="10">
      <c r="A10" s="10">
        <f>IF($E10="","",INDEX('Input Transaksi'!$A:$A,$E10))</f>
        <v/>
      </c>
      <c r="B10" s="5">
        <f>IF($E10="","",INDEX('Input Transaksi'!$D:$D,$E10))</f>
        <v/>
      </c>
      <c r="C10">
        <f>IF($E10="","",INDEX('Input Transaksi'!$E:$E,$E10))</f>
        <v/>
      </c>
      <c r="D10" s="5">
        <f>IF($E10="","",INDEX('Input Transaksi'!$F:$F,$E10))</f>
        <v/>
      </c>
      <c r="E10">
        <f>IFERROR(AGGREGATE(15,6,ROW('Input Transaksi'!$B$5:$B$5000)/('Input Transaksi'!$B$5:$B$5000="LONDRI DEWE"),ROWS($E$5:E10)),"")</f>
        <v/>
      </c>
      <c r="F10" s="5" t="n"/>
    </row>
    <row r="11">
      <c r="A11" s="10">
        <f>IF($E11="","",INDEX('Input Transaksi'!$A:$A,$E11))</f>
        <v/>
      </c>
      <c r="B11" s="5">
        <f>IF($E11="","",INDEX('Input Transaksi'!$D:$D,$E11))</f>
        <v/>
      </c>
      <c r="C11">
        <f>IF($E11="","",INDEX('Input Transaksi'!$E:$E,$E11))</f>
        <v/>
      </c>
      <c r="D11" s="5">
        <f>IF($E11="","",INDEX('Input Transaksi'!$F:$F,$E11))</f>
        <v/>
      </c>
      <c r="E11">
        <f>IFERROR(AGGREGATE(15,6,ROW('Input Transaksi'!$B$5:$B$5000)/('Input Transaksi'!$B$5:$B$5000="LONDRI DEWE"),ROWS($E$5:E11)),"")</f>
        <v/>
      </c>
      <c r="F11" s="5" t="n"/>
    </row>
    <row r="12">
      <c r="A12" s="10">
        <f>IF($E12="","",INDEX('Input Transaksi'!$A:$A,$E12))</f>
        <v/>
      </c>
      <c r="B12" s="5">
        <f>IF($E12="","",INDEX('Input Transaksi'!$D:$D,$E12))</f>
        <v/>
      </c>
      <c r="C12">
        <f>IF($E12="","",INDEX('Input Transaksi'!$E:$E,$E12))</f>
        <v/>
      </c>
      <c r="D12" s="5">
        <f>IF($E12="","",INDEX('Input Transaksi'!$F:$F,$E12))</f>
        <v/>
      </c>
      <c r="E12">
        <f>IFERROR(AGGREGATE(15,6,ROW('Input Transaksi'!$B$5:$B$5000)/('Input Transaksi'!$B$5:$B$5000="LONDRI DEWE"),ROWS($E$5:E12)),"")</f>
        <v/>
      </c>
      <c r="F12" s="5" t="n"/>
    </row>
    <row r="13">
      <c r="A13" s="10">
        <f>IF($E13="","",INDEX('Input Transaksi'!$A:$A,$E13))</f>
        <v/>
      </c>
      <c r="B13" s="5">
        <f>IF($E13="","",INDEX('Input Transaksi'!$D:$D,$E13))</f>
        <v/>
      </c>
      <c r="C13">
        <f>IF($E13="","",INDEX('Input Transaksi'!$E:$E,$E13))</f>
        <v/>
      </c>
      <c r="D13" s="5">
        <f>IF($E13="","",INDEX('Input Transaksi'!$F:$F,$E13))</f>
        <v/>
      </c>
      <c r="E13">
        <f>IFERROR(AGGREGATE(15,6,ROW('Input Transaksi'!$B$5:$B$5000)/('Input Transaksi'!$B$5:$B$5000="LONDRI DEWE"),ROWS($E$5:E13)),"")</f>
        <v/>
      </c>
      <c r="F13" s="5" t="n"/>
    </row>
    <row r="14">
      <c r="A14" s="10">
        <f>IF($E14="","",INDEX('Input Transaksi'!$A:$A,$E14))</f>
        <v/>
      </c>
      <c r="B14" s="5">
        <f>IF($E14="","",INDEX('Input Transaksi'!$D:$D,$E14))</f>
        <v/>
      </c>
      <c r="C14">
        <f>IF($E14="","",INDEX('Input Transaksi'!$E:$E,$E14))</f>
        <v/>
      </c>
      <c r="D14" s="5">
        <f>IF($E14="","",INDEX('Input Transaksi'!$F:$F,$E14))</f>
        <v/>
      </c>
      <c r="E14">
        <f>IFERROR(AGGREGATE(15,6,ROW('Input Transaksi'!$B$5:$B$5000)/('Input Transaksi'!$B$5:$B$5000="LONDRI DEWE"),ROWS($E$5:E14)),"")</f>
        <v/>
      </c>
      <c r="F14" s="5" t="n"/>
    </row>
    <row r="15">
      <c r="A15" s="10">
        <f>IF($E15="","",INDEX('Input Transaksi'!$A:$A,$E15))</f>
        <v/>
      </c>
      <c r="B15" s="5">
        <f>IF($E15="","",INDEX('Input Transaksi'!$D:$D,$E15))</f>
        <v/>
      </c>
      <c r="C15">
        <f>IF($E15="","",INDEX('Input Transaksi'!$E:$E,$E15))</f>
        <v/>
      </c>
      <c r="D15" s="5">
        <f>IF($E15="","",INDEX('Input Transaksi'!$F:$F,$E15))</f>
        <v/>
      </c>
      <c r="E15">
        <f>IFERROR(AGGREGATE(15,6,ROW('Input Transaksi'!$B$5:$B$5000)/('Input Transaksi'!$B$5:$B$5000="LONDRI DEWE"),ROWS($E$5:E15)),"")</f>
        <v/>
      </c>
      <c r="F15" s="5" t="n"/>
    </row>
    <row r="16">
      <c r="A16" s="10">
        <f>IF($E16="","",INDEX('Input Transaksi'!$A:$A,$E16))</f>
        <v/>
      </c>
      <c r="B16" s="5">
        <f>IF($E16="","",INDEX('Input Transaksi'!$D:$D,$E16))</f>
        <v/>
      </c>
      <c r="C16">
        <f>IF($E16="","",INDEX('Input Transaksi'!$E:$E,$E16))</f>
        <v/>
      </c>
      <c r="D16" s="5">
        <f>IF($E16="","",INDEX('Input Transaksi'!$F:$F,$E16))</f>
        <v/>
      </c>
      <c r="E16">
        <f>IFERROR(AGGREGATE(15,6,ROW('Input Transaksi'!$B$5:$B$5000)/('Input Transaksi'!$B$5:$B$5000="LONDRI DEWE"),ROWS($E$5:E16)),"")</f>
        <v/>
      </c>
      <c r="F16" s="5" t="n"/>
    </row>
    <row r="17">
      <c r="A17" s="10">
        <f>IF($E17="","",INDEX('Input Transaksi'!$A:$A,$E17))</f>
        <v/>
      </c>
      <c r="B17" s="5">
        <f>IF($E17="","",INDEX('Input Transaksi'!$D:$D,$E17))</f>
        <v/>
      </c>
      <c r="C17">
        <f>IF($E17="","",INDEX('Input Transaksi'!$E:$E,$E17))</f>
        <v/>
      </c>
      <c r="D17" s="5">
        <f>IF($E17="","",INDEX('Input Transaksi'!$F:$F,$E17))</f>
        <v/>
      </c>
      <c r="E17">
        <f>IFERROR(AGGREGATE(15,6,ROW('Input Transaksi'!$B$5:$B$5000)/('Input Transaksi'!$B$5:$B$5000="LONDRI DEWE"),ROWS($E$5:E17)),"")</f>
        <v/>
      </c>
      <c r="F17" s="5" t="n"/>
    </row>
    <row r="18">
      <c r="A18" s="10">
        <f>IF($E18="","",INDEX('Input Transaksi'!$A:$A,$E18))</f>
        <v/>
      </c>
      <c r="B18" s="5">
        <f>IF($E18="","",INDEX('Input Transaksi'!$D:$D,$E18))</f>
        <v/>
      </c>
      <c r="C18">
        <f>IF($E18="","",INDEX('Input Transaksi'!$E:$E,$E18))</f>
        <v/>
      </c>
      <c r="D18" s="5">
        <f>IF($E18="","",INDEX('Input Transaksi'!$F:$F,$E18))</f>
        <v/>
      </c>
      <c r="E18">
        <f>IFERROR(AGGREGATE(15,6,ROW('Input Transaksi'!$B$5:$B$5000)/('Input Transaksi'!$B$5:$B$5000="LONDRI DEWE"),ROWS($E$5:E18)),"")</f>
        <v/>
      </c>
      <c r="F18" s="5" t="n"/>
    </row>
    <row r="19">
      <c r="A19" s="10">
        <f>IF($E19="","",INDEX('Input Transaksi'!$A:$A,$E19))</f>
        <v/>
      </c>
      <c r="B19" s="5">
        <f>IF($E19="","",INDEX('Input Transaksi'!$D:$D,$E19))</f>
        <v/>
      </c>
      <c r="C19">
        <f>IF($E19="","",INDEX('Input Transaksi'!$E:$E,$E19))</f>
        <v/>
      </c>
      <c r="D19" s="5">
        <f>IF($E19="","",INDEX('Input Transaksi'!$F:$F,$E19))</f>
        <v/>
      </c>
      <c r="E19">
        <f>IFERROR(AGGREGATE(15,6,ROW('Input Transaksi'!$B$5:$B$5000)/('Input Transaksi'!$B$5:$B$5000="LONDRI DEWE"),ROWS($E$5:E19)),"")</f>
        <v/>
      </c>
      <c r="F19" s="5" t="n"/>
    </row>
    <row r="20">
      <c r="A20" s="10">
        <f>IF($E20="","",INDEX('Input Transaksi'!$A:$A,$E20))</f>
        <v/>
      </c>
      <c r="B20" s="5">
        <f>IF($E20="","",INDEX('Input Transaksi'!$D:$D,$E20))</f>
        <v/>
      </c>
      <c r="C20">
        <f>IF($E20="","",INDEX('Input Transaksi'!$E:$E,$E20))</f>
        <v/>
      </c>
      <c r="D20" s="5">
        <f>IF($E20="","",INDEX('Input Transaksi'!$F:$F,$E20))</f>
        <v/>
      </c>
      <c r="E20">
        <f>IFERROR(AGGREGATE(15,6,ROW('Input Transaksi'!$B$5:$B$5000)/('Input Transaksi'!$B$5:$B$5000="LONDRI DEWE"),ROWS($E$5:E20)),"")</f>
        <v/>
      </c>
      <c r="F20" s="5" t="n"/>
    </row>
    <row r="21">
      <c r="A21" s="10">
        <f>IF($E21="","",INDEX('Input Transaksi'!$A:$A,$E21))</f>
        <v/>
      </c>
      <c r="B21" s="5">
        <f>IF($E21="","",INDEX('Input Transaksi'!$D:$D,$E21))</f>
        <v/>
      </c>
      <c r="C21">
        <f>IF($E21="","",INDEX('Input Transaksi'!$E:$E,$E21))</f>
        <v/>
      </c>
      <c r="D21" s="5">
        <f>IF($E21="","",INDEX('Input Transaksi'!$F:$F,$E21))</f>
        <v/>
      </c>
      <c r="E21">
        <f>IFERROR(AGGREGATE(15,6,ROW('Input Transaksi'!$B$5:$B$5000)/('Input Transaksi'!$B$5:$B$5000="LONDRI DEWE"),ROWS($E$5:E21)),"")</f>
        <v/>
      </c>
      <c r="F21" s="5" t="n"/>
    </row>
    <row r="22">
      <c r="A22" s="10">
        <f>IF($E22="","",INDEX('Input Transaksi'!$A:$A,$E22))</f>
        <v/>
      </c>
      <c r="B22" s="5">
        <f>IF($E22="","",INDEX('Input Transaksi'!$D:$D,$E22))</f>
        <v/>
      </c>
      <c r="C22">
        <f>IF($E22="","",INDEX('Input Transaksi'!$E:$E,$E22))</f>
        <v/>
      </c>
      <c r="D22" s="5">
        <f>IF($E22="","",INDEX('Input Transaksi'!$F:$F,$E22))</f>
        <v/>
      </c>
      <c r="E22">
        <f>IFERROR(AGGREGATE(15,6,ROW('Input Transaksi'!$B$5:$B$5000)/('Input Transaksi'!$B$5:$B$5000="LONDRI DEWE"),ROWS($E$5:E22)),"")</f>
        <v/>
      </c>
      <c r="F22" s="5" t="n"/>
    </row>
    <row r="23">
      <c r="A23" s="10">
        <f>IF($E23="","",INDEX('Input Transaksi'!$A:$A,$E23))</f>
        <v/>
      </c>
      <c r="B23" s="5">
        <f>IF($E23="","",INDEX('Input Transaksi'!$D:$D,$E23))</f>
        <v/>
      </c>
      <c r="C23">
        <f>IF($E23="","",INDEX('Input Transaksi'!$E:$E,$E23))</f>
        <v/>
      </c>
      <c r="D23" s="5">
        <f>IF($E23="","",INDEX('Input Transaksi'!$F:$F,$E23))</f>
        <v/>
      </c>
      <c r="E23">
        <f>IFERROR(AGGREGATE(15,6,ROW('Input Transaksi'!$B$5:$B$5000)/('Input Transaksi'!$B$5:$B$5000="LONDRI DEWE"),ROWS($E$5:E23)),"")</f>
        <v/>
      </c>
      <c r="F23" s="5" t="n"/>
    </row>
    <row r="24">
      <c r="A24" s="10">
        <f>IF($E24="","",INDEX('Input Transaksi'!$A:$A,$E24))</f>
        <v/>
      </c>
      <c r="B24" s="5">
        <f>IF($E24="","",INDEX('Input Transaksi'!$D:$D,$E24))</f>
        <v/>
      </c>
      <c r="C24">
        <f>IF($E24="","",INDEX('Input Transaksi'!$E:$E,$E24))</f>
        <v/>
      </c>
      <c r="D24" s="5">
        <f>IF($E24="","",INDEX('Input Transaksi'!$F:$F,$E24))</f>
        <v/>
      </c>
      <c r="E24">
        <f>IFERROR(AGGREGATE(15,6,ROW('Input Transaksi'!$B$5:$B$5000)/('Input Transaksi'!$B$5:$B$5000="LONDRI DEWE"),ROWS($E$5:E24)),"")</f>
        <v/>
      </c>
      <c r="F24" s="5" t="n"/>
    </row>
    <row r="25">
      <c r="A25" s="10">
        <f>IF($E25="","",INDEX('Input Transaksi'!$A:$A,$E25))</f>
        <v/>
      </c>
      <c r="B25" s="5">
        <f>IF($E25="","",INDEX('Input Transaksi'!$D:$D,$E25))</f>
        <v/>
      </c>
      <c r="C25">
        <f>IF($E25="","",INDEX('Input Transaksi'!$E:$E,$E25))</f>
        <v/>
      </c>
      <c r="D25" s="5">
        <f>IF($E25="","",INDEX('Input Transaksi'!$F:$F,$E25))</f>
        <v/>
      </c>
      <c r="E25">
        <f>IFERROR(AGGREGATE(15,6,ROW('Input Transaksi'!$B$5:$B$5000)/('Input Transaksi'!$B$5:$B$5000="LONDRI DEWE"),ROWS($E$5:E25)),"")</f>
        <v/>
      </c>
      <c r="F25" s="5" t="n"/>
    </row>
    <row r="26">
      <c r="A26" s="10">
        <f>IF($E26="","",INDEX('Input Transaksi'!$A:$A,$E26))</f>
        <v/>
      </c>
      <c r="B26" s="5">
        <f>IF($E26="","",INDEX('Input Transaksi'!$D:$D,$E26))</f>
        <v/>
      </c>
      <c r="C26">
        <f>IF($E26="","",INDEX('Input Transaksi'!$E:$E,$E26))</f>
        <v/>
      </c>
      <c r="D26" s="5">
        <f>IF($E26="","",INDEX('Input Transaksi'!$F:$F,$E26))</f>
        <v/>
      </c>
      <c r="E26">
        <f>IFERROR(AGGREGATE(15,6,ROW('Input Transaksi'!$B$5:$B$5000)/('Input Transaksi'!$B$5:$B$5000="LONDRI DEWE"),ROWS($E$5:E26)),"")</f>
        <v/>
      </c>
      <c r="F26" s="5" t="n"/>
    </row>
    <row r="27">
      <c r="A27" s="10">
        <f>IF($E27="","",INDEX('Input Transaksi'!$A:$A,$E27))</f>
        <v/>
      </c>
      <c r="B27" s="5">
        <f>IF($E27="","",INDEX('Input Transaksi'!$D:$D,$E27))</f>
        <v/>
      </c>
      <c r="C27">
        <f>IF($E27="","",INDEX('Input Transaksi'!$E:$E,$E27))</f>
        <v/>
      </c>
      <c r="D27" s="5">
        <f>IF($E27="","",INDEX('Input Transaksi'!$F:$F,$E27))</f>
        <v/>
      </c>
      <c r="E27">
        <f>IFERROR(AGGREGATE(15,6,ROW('Input Transaksi'!$B$5:$B$5000)/('Input Transaksi'!$B$5:$B$5000="LONDRI DEWE"),ROWS($E$5:E27)),"")</f>
        <v/>
      </c>
      <c r="F27" s="5" t="n"/>
    </row>
    <row r="28">
      <c r="A28" s="10">
        <f>IF($E28="","",INDEX('Input Transaksi'!$A:$A,$E28))</f>
        <v/>
      </c>
      <c r="B28" s="5">
        <f>IF($E28="","",INDEX('Input Transaksi'!$D:$D,$E28))</f>
        <v/>
      </c>
      <c r="C28">
        <f>IF($E28="","",INDEX('Input Transaksi'!$E:$E,$E28))</f>
        <v/>
      </c>
      <c r="D28" s="5">
        <f>IF($E28="","",INDEX('Input Transaksi'!$F:$F,$E28))</f>
        <v/>
      </c>
      <c r="E28">
        <f>IFERROR(AGGREGATE(15,6,ROW('Input Transaksi'!$B$5:$B$5000)/('Input Transaksi'!$B$5:$B$5000="LONDRI DEWE"),ROWS($E$5:E28)),"")</f>
        <v/>
      </c>
      <c r="F28" s="5" t="n"/>
    </row>
    <row r="29">
      <c r="A29" s="10">
        <f>IF($E29="","",INDEX('Input Transaksi'!$A:$A,$E29))</f>
        <v/>
      </c>
      <c r="B29" s="5">
        <f>IF($E29="","",INDEX('Input Transaksi'!$D:$D,$E29))</f>
        <v/>
      </c>
      <c r="C29">
        <f>IF($E29="","",INDEX('Input Transaksi'!$E:$E,$E29))</f>
        <v/>
      </c>
      <c r="D29" s="5">
        <f>IF($E29="","",INDEX('Input Transaksi'!$F:$F,$E29))</f>
        <v/>
      </c>
      <c r="E29">
        <f>IFERROR(AGGREGATE(15,6,ROW('Input Transaksi'!$B$5:$B$5000)/('Input Transaksi'!$B$5:$B$5000="LONDRI DEWE"),ROWS($E$5:E29)),"")</f>
        <v/>
      </c>
      <c r="F29" s="5" t="n"/>
    </row>
    <row r="30">
      <c r="A30" s="10">
        <f>IF($E30="","",INDEX('Input Transaksi'!$A:$A,$E30))</f>
        <v/>
      </c>
      <c r="B30" s="5">
        <f>IF($E30="","",INDEX('Input Transaksi'!$D:$D,$E30))</f>
        <v/>
      </c>
      <c r="C30">
        <f>IF($E30="","",INDEX('Input Transaksi'!$E:$E,$E30))</f>
        <v/>
      </c>
      <c r="D30" s="5">
        <f>IF($E30="","",INDEX('Input Transaksi'!$F:$F,$E30))</f>
        <v/>
      </c>
      <c r="E30">
        <f>IFERROR(AGGREGATE(15,6,ROW('Input Transaksi'!$B$5:$B$5000)/('Input Transaksi'!$B$5:$B$5000="LONDRI DEWE"),ROWS($E$5:E30)),"")</f>
        <v/>
      </c>
      <c r="F30" s="5" t="n"/>
    </row>
    <row r="31">
      <c r="A31" s="10">
        <f>IF($E31="","",INDEX('Input Transaksi'!$A:$A,$E31))</f>
        <v/>
      </c>
      <c r="B31" s="5">
        <f>IF($E31="","",INDEX('Input Transaksi'!$D:$D,$E31))</f>
        <v/>
      </c>
      <c r="C31">
        <f>IF($E31="","",INDEX('Input Transaksi'!$E:$E,$E31))</f>
        <v/>
      </c>
      <c r="D31" s="5">
        <f>IF($E31="","",INDEX('Input Transaksi'!$F:$F,$E31))</f>
        <v/>
      </c>
      <c r="E31">
        <f>IFERROR(AGGREGATE(15,6,ROW('Input Transaksi'!$B$5:$B$5000)/('Input Transaksi'!$B$5:$B$5000="LONDRI DEWE"),ROWS($E$5:E31)),"")</f>
        <v/>
      </c>
      <c r="F31" s="5" t="n"/>
    </row>
    <row r="32">
      <c r="A32" s="10">
        <f>IF($E32="","",INDEX('Input Transaksi'!$A:$A,$E32))</f>
        <v/>
      </c>
      <c r="B32" s="5">
        <f>IF($E32="","",INDEX('Input Transaksi'!$D:$D,$E32))</f>
        <v/>
      </c>
      <c r="C32">
        <f>IF($E32="","",INDEX('Input Transaksi'!$E:$E,$E32))</f>
        <v/>
      </c>
      <c r="D32" s="5">
        <f>IF($E32="","",INDEX('Input Transaksi'!$F:$F,$E32))</f>
        <v/>
      </c>
      <c r="E32">
        <f>IFERROR(AGGREGATE(15,6,ROW('Input Transaksi'!$B$5:$B$5000)/('Input Transaksi'!$B$5:$B$5000="LONDRI DEWE"),ROWS($E$5:E32)),"")</f>
        <v/>
      </c>
      <c r="F32" s="5" t="n"/>
    </row>
    <row r="33">
      <c r="A33" s="10">
        <f>IF($E33="","",INDEX('Input Transaksi'!$A:$A,$E33))</f>
        <v/>
      </c>
      <c r="B33" s="5">
        <f>IF($E33="","",INDEX('Input Transaksi'!$D:$D,$E33))</f>
        <v/>
      </c>
      <c r="C33">
        <f>IF($E33="","",INDEX('Input Transaksi'!$E:$E,$E33))</f>
        <v/>
      </c>
      <c r="D33" s="5">
        <f>IF($E33="","",INDEX('Input Transaksi'!$F:$F,$E33))</f>
        <v/>
      </c>
      <c r="E33">
        <f>IFERROR(AGGREGATE(15,6,ROW('Input Transaksi'!$B$5:$B$5000)/('Input Transaksi'!$B$5:$B$5000="LONDRI DEWE"),ROWS($E$5:E33)),"")</f>
        <v/>
      </c>
      <c r="F33" s="5" t="n"/>
    </row>
    <row r="34">
      <c r="A34" s="10">
        <f>IF($E34="","",INDEX('Input Transaksi'!$A:$A,$E34))</f>
        <v/>
      </c>
      <c r="B34" s="5">
        <f>IF($E34="","",INDEX('Input Transaksi'!$D:$D,$E34))</f>
        <v/>
      </c>
      <c r="C34">
        <f>IF($E34="","",INDEX('Input Transaksi'!$E:$E,$E34))</f>
        <v/>
      </c>
      <c r="D34" s="5">
        <f>IF($E34="","",INDEX('Input Transaksi'!$F:$F,$E34))</f>
        <v/>
      </c>
      <c r="E34">
        <f>IFERROR(AGGREGATE(15,6,ROW('Input Transaksi'!$B$5:$B$5000)/('Input Transaksi'!$B$5:$B$5000="LONDRI DEWE"),ROWS($E$5:E34)),"")</f>
        <v/>
      </c>
      <c r="F34" s="5" t="n"/>
    </row>
    <row r="35">
      <c r="A35" s="10">
        <f>IF($E35="","",INDEX('Input Transaksi'!$A:$A,$E35))</f>
        <v/>
      </c>
      <c r="B35" s="5">
        <f>IF($E35="","",INDEX('Input Transaksi'!$D:$D,$E35))</f>
        <v/>
      </c>
      <c r="C35">
        <f>IF($E35="","",INDEX('Input Transaksi'!$E:$E,$E35))</f>
        <v/>
      </c>
      <c r="D35" s="5">
        <f>IF($E35="","",INDEX('Input Transaksi'!$F:$F,$E35))</f>
        <v/>
      </c>
      <c r="E35">
        <f>IFERROR(AGGREGATE(15,6,ROW('Input Transaksi'!$B$5:$B$5000)/('Input Transaksi'!$B$5:$B$5000="LONDRI DEWE"),ROWS($E$5:E35)),"")</f>
        <v/>
      </c>
      <c r="F35" s="5" t="n"/>
    </row>
    <row r="36">
      <c r="A36" s="10">
        <f>IF($E36="","",INDEX('Input Transaksi'!$A:$A,$E36))</f>
        <v/>
      </c>
      <c r="B36" s="5">
        <f>IF($E36="","",INDEX('Input Transaksi'!$D:$D,$E36))</f>
        <v/>
      </c>
      <c r="C36">
        <f>IF($E36="","",INDEX('Input Transaksi'!$E:$E,$E36))</f>
        <v/>
      </c>
      <c r="D36" s="5">
        <f>IF($E36="","",INDEX('Input Transaksi'!$F:$F,$E36))</f>
        <v/>
      </c>
      <c r="E36">
        <f>IFERROR(AGGREGATE(15,6,ROW('Input Transaksi'!$B$5:$B$5000)/('Input Transaksi'!$B$5:$B$5000="LONDRI DEWE"),ROWS($E$5:E36)),"")</f>
        <v/>
      </c>
      <c r="F36" s="5" t="n"/>
    </row>
    <row r="37">
      <c r="A37" s="10">
        <f>IF($E37="","",INDEX('Input Transaksi'!$A:$A,$E37))</f>
        <v/>
      </c>
      <c r="B37" s="5">
        <f>IF($E37="","",INDEX('Input Transaksi'!$D:$D,$E37))</f>
        <v/>
      </c>
      <c r="C37">
        <f>IF($E37="","",INDEX('Input Transaksi'!$E:$E,$E37))</f>
        <v/>
      </c>
      <c r="D37" s="5">
        <f>IF($E37="","",INDEX('Input Transaksi'!$F:$F,$E37))</f>
        <v/>
      </c>
      <c r="E37">
        <f>IFERROR(AGGREGATE(15,6,ROW('Input Transaksi'!$B$5:$B$5000)/('Input Transaksi'!$B$5:$B$5000="LONDRI DEWE"),ROWS($E$5:E37)),"")</f>
        <v/>
      </c>
      <c r="F37" s="5" t="n"/>
    </row>
    <row r="38">
      <c r="A38" s="10">
        <f>IF($E38="","",INDEX('Input Transaksi'!$A:$A,$E38))</f>
        <v/>
      </c>
      <c r="B38" s="5">
        <f>IF($E38="","",INDEX('Input Transaksi'!$D:$D,$E38))</f>
        <v/>
      </c>
      <c r="C38">
        <f>IF($E38="","",INDEX('Input Transaksi'!$E:$E,$E38))</f>
        <v/>
      </c>
      <c r="D38" s="5">
        <f>IF($E38="","",INDEX('Input Transaksi'!$F:$F,$E38))</f>
        <v/>
      </c>
      <c r="E38">
        <f>IFERROR(AGGREGATE(15,6,ROW('Input Transaksi'!$B$5:$B$5000)/('Input Transaksi'!$B$5:$B$5000="LONDRI DEWE"),ROWS($E$5:E38)),"")</f>
        <v/>
      </c>
      <c r="F38" s="5" t="n"/>
    </row>
    <row r="39">
      <c r="A39" s="10">
        <f>IF($E39="","",INDEX('Input Transaksi'!$A:$A,$E39))</f>
        <v/>
      </c>
      <c r="B39" s="5">
        <f>IF($E39="","",INDEX('Input Transaksi'!$D:$D,$E39))</f>
        <v/>
      </c>
      <c r="C39">
        <f>IF($E39="","",INDEX('Input Transaksi'!$E:$E,$E39))</f>
        <v/>
      </c>
      <c r="D39" s="5">
        <f>IF($E39="","",INDEX('Input Transaksi'!$F:$F,$E39))</f>
        <v/>
      </c>
      <c r="E39">
        <f>IFERROR(AGGREGATE(15,6,ROW('Input Transaksi'!$B$5:$B$5000)/('Input Transaksi'!$B$5:$B$5000="LONDRI DEWE"),ROWS($E$5:E39)),"")</f>
        <v/>
      </c>
      <c r="F39" s="5" t="n"/>
    </row>
    <row r="40">
      <c r="A40" s="10">
        <f>IF($E40="","",INDEX('Input Transaksi'!$A:$A,$E40))</f>
        <v/>
      </c>
      <c r="B40" s="5">
        <f>IF($E40="","",INDEX('Input Transaksi'!$D:$D,$E40))</f>
        <v/>
      </c>
      <c r="C40">
        <f>IF($E40="","",INDEX('Input Transaksi'!$E:$E,$E40))</f>
        <v/>
      </c>
      <c r="D40" s="5">
        <f>IF($E40="","",INDEX('Input Transaksi'!$F:$F,$E40))</f>
        <v/>
      </c>
      <c r="E40">
        <f>IFERROR(AGGREGATE(15,6,ROW('Input Transaksi'!$B$5:$B$5000)/('Input Transaksi'!$B$5:$B$5000="LONDRI DEWE"),ROWS($E$5:E40)),"")</f>
        <v/>
      </c>
      <c r="F40" s="5" t="n"/>
    </row>
    <row r="41">
      <c r="A41" s="10">
        <f>IF($E41="","",INDEX('Input Transaksi'!$A:$A,$E41))</f>
        <v/>
      </c>
      <c r="B41" s="5">
        <f>IF($E41="","",INDEX('Input Transaksi'!$D:$D,$E41))</f>
        <v/>
      </c>
      <c r="C41">
        <f>IF($E41="","",INDEX('Input Transaksi'!$E:$E,$E41))</f>
        <v/>
      </c>
      <c r="D41" s="5">
        <f>IF($E41="","",INDEX('Input Transaksi'!$F:$F,$E41))</f>
        <v/>
      </c>
      <c r="E41">
        <f>IFERROR(AGGREGATE(15,6,ROW('Input Transaksi'!$B$5:$B$5000)/('Input Transaksi'!$B$5:$B$5000="LONDRI DEWE"),ROWS($E$5:E41)),"")</f>
        <v/>
      </c>
      <c r="F41" s="5" t="n"/>
    </row>
    <row r="42">
      <c r="A42" s="10">
        <f>IF($E42="","",INDEX('Input Transaksi'!$A:$A,$E42))</f>
        <v/>
      </c>
      <c r="B42" s="5">
        <f>IF($E42="","",INDEX('Input Transaksi'!$D:$D,$E42))</f>
        <v/>
      </c>
      <c r="C42">
        <f>IF($E42="","",INDEX('Input Transaksi'!$E:$E,$E42))</f>
        <v/>
      </c>
      <c r="D42" s="5">
        <f>IF($E42="","",INDEX('Input Transaksi'!$F:$F,$E42))</f>
        <v/>
      </c>
      <c r="E42">
        <f>IFERROR(AGGREGATE(15,6,ROW('Input Transaksi'!$B$5:$B$5000)/('Input Transaksi'!$B$5:$B$5000="LONDRI DEWE"),ROWS($E$5:E42)),"")</f>
        <v/>
      </c>
      <c r="F42" s="5" t="n"/>
    </row>
    <row r="43">
      <c r="A43" s="10">
        <f>IF($E43="","",INDEX('Input Transaksi'!$A:$A,$E43))</f>
        <v/>
      </c>
      <c r="B43" s="5">
        <f>IF($E43="","",INDEX('Input Transaksi'!$D:$D,$E43))</f>
        <v/>
      </c>
      <c r="C43">
        <f>IF($E43="","",INDEX('Input Transaksi'!$E:$E,$E43))</f>
        <v/>
      </c>
      <c r="D43" s="5">
        <f>IF($E43="","",INDEX('Input Transaksi'!$F:$F,$E43))</f>
        <v/>
      </c>
      <c r="E43">
        <f>IFERROR(AGGREGATE(15,6,ROW('Input Transaksi'!$B$5:$B$5000)/('Input Transaksi'!$B$5:$B$5000="LONDRI DEWE"),ROWS($E$5:E43)),"")</f>
        <v/>
      </c>
      <c r="F43" s="5" t="n"/>
    </row>
    <row r="44">
      <c r="A44" s="10">
        <f>IF($E44="","",INDEX('Input Transaksi'!$A:$A,$E44))</f>
        <v/>
      </c>
      <c r="B44" s="5">
        <f>IF($E44="","",INDEX('Input Transaksi'!$D:$D,$E44))</f>
        <v/>
      </c>
      <c r="C44">
        <f>IF($E44="","",INDEX('Input Transaksi'!$E:$E,$E44))</f>
        <v/>
      </c>
      <c r="D44" s="5">
        <f>IF($E44="","",INDEX('Input Transaksi'!$F:$F,$E44))</f>
        <v/>
      </c>
      <c r="E44">
        <f>IFERROR(AGGREGATE(15,6,ROW('Input Transaksi'!$B$5:$B$5000)/('Input Transaksi'!$B$5:$B$5000="LONDRI DEWE"),ROWS($E$5:E44)),"")</f>
        <v/>
      </c>
      <c r="F44" s="5" t="n"/>
    </row>
    <row r="45">
      <c r="A45" s="10">
        <f>IF($E45="","",INDEX('Input Transaksi'!$A:$A,$E45))</f>
        <v/>
      </c>
      <c r="B45" s="5">
        <f>IF($E45="","",INDEX('Input Transaksi'!$D:$D,$E45))</f>
        <v/>
      </c>
      <c r="C45">
        <f>IF($E45="","",INDEX('Input Transaksi'!$E:$E,$E45))</f>
        <v/>
      </c>
      <c r="D45" s="5">
        <f>IF($E45="","",INDEX('Input Transaksi'!$F:$F,$E45))</f>
        <v/>
      </c>
      <c r="E45">
        <f>IFERROR(AGGREGATE(15,6,ROW('Input Transaksi'!$B$5:$B$5000)/('Input Transaksi'!$B$5:$B$5000="LONDRI DEWE"),ROWS($E$5:E45)),"")</f>
        <v/>
      </c>
      <c r="F45" s="5" t="n"/>
    </row>
    <row r="46">
      <c r="A46" s="10">
        <f>IF($E46="","",INDEX('Input Transaksi'!$A:$A,$E46))</f>
        <v/>
      </c>
      <c r="B46" s="5">
        <f>IF($E46="","",INDEX('Input Transaksi'!$D:$D,$E46))</f>
        <v/>
      </c>
      <c r="C46">
        <f>IF($E46="","",INDEX('Input Transaksi'!$E:$E,$E46))</f>
        <v/>
      </c>
      <c r="D46" s="5">
        <f>IF($E46="","",INDEX('Input Transaksi'!$F:$F,$E46))</f>
        <v/>
      </c>
      <c r="E46">
        <f>IFERROR(AGGREGATE(15,6,ROW('Input Transaksi'!$B$5:$B$5000)/('Input Transaksi'!$B$5:$B$5000="LONDRI DEWE"),ROWS($E$5:E46)),"")</f>
        <v/>
      </c>
      <c r="F46" s="5" t="n"/>
    </row>
    <row r="47">
      <c r="A47" s="10">
        <f>IF($E47="","",INDEX('Input Transaksi'!$A:$A,$E47))</f>
        <v/>
      </c>
      <c r="B47" s="5">
        <f>IF($E47="","",INDEX('Input Transaksi'!$D:$D,$E47))</f>
        <v/>
      </c>
      <c r="C47">
        <f>IF($E47="","",INDEX('Input Transaksi'!$E:$E,$E47))</f>
        <v/>
      </c>
      <c r="D47" s="5">
        <f>IF($E47="","",INDEX('Input Transaksi'!$F:$F,$E47))</f>
        <v/>
      </c>
      <c r="E47">
        <f>IFERROR(AGGREGATE(15,6,ROW('Input Transaksi'!$B$5:$B$5000)/('Input Transaksi'!$B$5:$B$5000="LONDRI DEWE"),ROWS($E$5:E47)),"")</f>
        <v/>
      </c>
      <c r="F47" s="5" t="n"/>
    </row>
    <row r="48">
      <c r="A48" s="10">
        <f>IF($E48="","",INDEX('Input Transaksi'!$A:$A,$E48))</f>
        <v/>
      </c>
      <c r="B48" s="5">
        <f>IF($E48="","",INDEX('Input Transaksi'!$D:$D,$E48))</f>
        <v/>
      </c>
      <c r="C48">
        <f>IF($E48="","",INDEX('Input Transaksi'!$E:$E,$E48))</f>
        <v/>
      </c>
      <c r="D48" s="5">
        <f>IF($E48="","",INDEX('Input Transaksi'!$F:$F,$E48))</f>
        <v/>
      </c>
      <c r="E48">
        <f>IFERROR(AGGREGATE(15,6,ROW('Input Transaksi'!$B$5:$B$5000)/('Input Transaksi'!$B$5:$B$5000="LONDRI DEWE"),ROWS($E$5:E48)),"")</f>
        <v/>
      </c>
      <c r="F48" s="5" t="n"/>
    </row>
    <row r="49">
      <c r="A49" s="10">
        <f>IF($E49="","",INDEX('Input Transaksi'!$A:$A,$E49))</f>
        <v/>
      </c>
      <c r="B49" s="5">
        <f>IF($E49="","",INDEX('Input Transaksi'!$D:$D,$E49))</f>
        <v/>
      </c>
      <c r="C49">
        <f>IF($E49="","",INDEX('Input Transaksi'!$E:$E,$E49))</f>
        <v/>
      </c>
      <c r="D49" s="5">
        <f>IF($E49="","",INDEX('Input Transaksi'!$F:$F,$E49))</f>
        <v/>
      </c>
      <c r="E49">
        <f>IFERROR(AGGREGATE(15,6,ROW('Input Transaksi'!$B$5:$B$5000)/('Input Transaksi'!$B$5:$B$5000="LONDRI DEWE"),ROWS($E$5:E49)),"")</f>
        <v/>
      </c>
      <c r="F49" s="5" t="n"/>
    </row>
    <row r="50">
      <c r="A50" s="10">
        <f>IF($E50="","",INDEX('Input Transaksi'!$A:$A,$E50))</f>
        <v/>
      </c>
      <c r="B50" s="5">
        <f>IF($E50="","",INDEX('Input Transaksi'!$D:$D,$E50))</f>
        <v/>
      </c>
      <c r="C50">
        <f>IF($E50="","",INDEX('Input Transaksi'!$E:$E,$E50))</f>
        <v/>
      </c>
      <c r="D50" s="5">
        <f>IF($E50="","",INDEX('Input Transaksi'!$F:$F,$E50))</f>
        <v/>
      </c>
      <c r="E50">
        <f>IFERROR(AGGREGATE(15,6,ROW('Input Transaksi'!$B$5:$B$5000)/('Input Transaksi'!$B$5:$B$5000="LONDRI DEWE"),ROWS($E$5:E50)),"")</f>
        <v/>
      </c>
      <c r="F50" s="5" t="n"/>
    </row>
    <row r="51">
      <c r="A51" s="10">
        <f>IF($E51="","",INDEX('Input Transaksi'!$A:$A,$E51))</f>
        <v/>
      </c>
      <c r="B51" s="5">
        <f>IF($E51="","",INDEX('Input Transaksi'!$D:$D,$E51))</f>
        <v/>
      </c>
      <c r="C51">
        <f>IF($E51="","",INDEX('Input Transaksi'!$E:$E,$E51))</f>
        <v/>
      </c>
      <c r="D51" s="5">
        <f>IF($E51="","",INDEX('Input Transaksi'!$F:$F,$E51))</f>
        <v/>
      </c>
      <c r="E51">
        <f>IFERROR(AGGREGATE(15,6,ROW('Input Transaksi'!$B$5:$B$5000)/('Input Transaksi'!$B$5:$B$5000="LONDRI DEWE"),ROWS($E$5:E51)),"")</f>
        <v/>
      </c>
      <c r="F51" s="5" t="n"/>
    </row>
    <row r="52">
      <c r="A52" s="10">
        <f>IF($E52="","",INDEX('Input Transaksi'!$A:$A,$E52))</f>
        <v/>
      </c>
      <c r="B52" s="5">
        <f>IF($E52="","",INDEX('Input Transaksi'!$D:$D,$E52))</f>
        <v/>
      </c>
      <c r="C52">
        <f>IF($E52="","",INDEX('Input Transaksi'!$E:$E,$E52))</f>
        <v/>
      </c>
      <c r="D52" s="5">
        <f>IF($E52="","",INDEX('Input Transaksi'!$F:$F,$E52))</f>
        <v/>
      </c>
      <c r="E52">
        <f>IFERROR(AGGREGATE(15,6,ROW('Input Transaksi'!$B$5:$B$5000)/('Input Transaksi'!$B$5:$B$5000="LONDRI DEWE"),ROWS($E$5:E52)),"")</f>
        <v/>
      </c>
      <c r="F52" s="5" t="n"/>
    </row>
    <row r="53">
      <c r="A53" s="10">
        <f>IF($E53="","",INDEX('Input Transaksi'!$A:$A,$E53))</f>
        <v/>
      </c>
      <c r="B53" s="5">
        <f>IF($E53="","",INDEX('Input Transaksi'!$D:$D,$E53))</f>
        <v/>
      </c>
      <c r="C53">
        <f>IF($E53="","",INDEX('Input Transaksi'!$E:$E,$E53))</f>
        <v/>
      </c>
      <c r="D53" s="5">
        <f>IF($E53="","",INDEX('Input Transaksi'!$F:$F,$E53))</f>
        <v/>
      </c>
      <c r="E53">
        <f>IFERROR(AGGREGATE(15,6,ROW('Input Transaksi'!$B$5:$B$5000)/('Input Transaksi'!$B$5:$B$5000="LONDRI DEWE"),ROWS($E$5:E53)),"")</f>
        <v/>
      </c>
      <c r="F53" s="5" t="n"/>
    </row>
    <row r="54">
      <c r="A54" s="10">
        <f>IF($E54="","",INDEX('Input Transaksi'!$A:$A,$E54))</f>
        <v/>
      </c>
      <c r="B54" s="5">
        <f>IF($E54="","",INDEX('Input Transaksi'!$D:$D,$E54))</f>
        <v/>
      </c>
      <c r="C54">
        <f>IF($E54="","",INDEX('Input Transaksi'!$E:$E,$E54))</f>
        <v/>
      </c>
      <c r="D54" s="5">
        <f>IF($E54="","",INDEX('Input Transaksi'!$F:$F,$E54))</f>
        <v/>
      </c>
      <c r="E54">
        <f>IFERROR(AGGREGATE(15,6,ROW('Input Transaksi'!$B$5:$B$5000)/('Input Transaksi'!$B$5:$B$5000="LONDRI DEWE"),ROWS($E$5:E54)),"")</f>
        <v/>
      </c>
      <c r="F54" s="5" t="n"/>
    </row>
    <row r="55">
      <c r="A55" s="10">
        <f>IF($E55="","",INDEX('Input Transaksi'!$A:$A,$E55))</f>
        <v/>
      </c>
      <c r="B55" s="5">
        <f>IF($E55="","",INDEX('Input Transaksi'!$D:$D,$E55))</f>
        <v/>
      </c>
      <c r="C55">
        <f>IF($E55="","",INDEX('Input Transaksi'!$E:$E,$E55))</f>
        <v/>
      </c>
      <c r="D55" s="5">
        <f>IF($E55="","",INDEX('Input Transaksi'!$F:$F,$E55))</f>
        <v/>
      </c>
      <c r="E55">
        <f>IFERROR(AGGREGATE(15,6,ROW('Input Transaksi'!$B$5:$B$5000)/('Input Transaksi'!$B$5:$B$5000="LONDRI DEWE"),ROWS($E$5:E55)),"")</f>
        <v/>
      </c>
      <c r="F55" s="5" t="n"/>
    </row>
    <row r="56">
      <c r="A56" s="10">
        <f>IF($E56="","",INDEX('Input Transaksi'!$A:$A,$E56))</f>
        <v/>
      </c>
      <c r="B56" s="5">
        <f>IF($E56="","",INDEX('Input Transaksi'!$D:$D,$E56))</f>
        <v/>
      </c>
      <c r="C56">
        <f>IF($E56="","",INDEX('Input Transaksi'!$E:$E,$E56))</f>
        <v/>
      </c>
      <c r="D56" s="5">
        <f>IF($E56="","",INDEX('Input Transaksi'!$F:$F,$E56))</f>
        <v/>
      </c>
      <c r="E56">
        <f>IFERROR(AGGREGATE(15,6,ROW('Input Transaksi'!$B$5:$B$5000)/('Input Transaksi'!$B$5:$B$5000="LONDRI DEWE"),ROWS($E$5:E56)),"")</f>
        <v/>
      </c>
      <c r="F56" s="5" t="n"/>
    </row>
    <row r="57">
      <c r="A57" s="10">
        <f>IF($E57="","",INDEX('Input Transaksi'!$A:$A,$E57))</f>
        <v/>
      </c>
      <c r="B57" s="5">
        <f>IF($E57="","",INDEX('Input Transaksi'!$D:$D,$E57))</f>
        <v/>
      </c>
      <c r="C57">
        <f>IF($E57="","",INDEX('Input Transaksi'!$E:$E,$E57))</f>
        <v/>
      </c>
      <c r="D57" s="5">
        <f>IF($E57="","",INDEX('Input Transaksi'!$F:$F,$E57))</f>
        <v/>
      </c>
      <c r="E57">
        <f>IFERROR(AGGREGATE(15,6,ROW('Input Transaksi'!$B$5:$B$5000)/('Input Transaksi'!$B$5:$B$5000="LONDRI DEWE"),ROWS($E$5:E57)),"")</f>
        <v/>
      </c>
      <c r="F57" s="5" t="n"/>
    </row>
    <row r="58">
      <c r="A58" s="10">
        <f>IF($E58="","",INDEX('Input Transaksi'!$A:$A,$E58))</f>
        <v/>
      </c>
      <c r="B58" s="5">
        <f>IF($E58="","",INDEX('Input Transaksi'!$D:$D,$E58))</f>
        <v/>
      </c>
      <c r="C58">
        <f>IF($E58="","",INDEX('Input Transaksi'!$E:$E,$E58))</f>
        <v/>
      </c>
      <c r="D58" s="5">
        <f>IF($E58="","",INDEX('Input Transaksi'!$F:$F,$E58))</f>
        <v/>
      </c>
      <c r="E58">
        <f>IFERROR(AGGREGATE(15,6,ROW('Input Transaksi'!$B$5:$B$5000)/('Input Transaksi'!$B$5:$B$5000="LONDRI DEWE"),ROWS($E$5:E58)),"")</f>
        <v/>
      </c>
      <c r="F58" s="5" t="n"/>
    </row>
    <row r="59">
      <c r="A59" s="10">
        <f>IF($E59="","",INDEX('Input Transaksi'!$A:$A,$E59))</f>
        <v/>
      </c>
      <c r="B59" s="5">
        <f>IF($E59="","",INDEX('Input Transaksi'!$D:$D,$E59))</f>
        <v/>
      </c>
      <c r="C59">
        <f>IF($E59="","",INDEX('Input Transaksi'!$E:$E,$E59))</f>
        <v/>
      </c>
      <c r="D59" s="5">
        <f>IF($E59="","",INDEX('Input Transaksi'!$F:$F,$E59))</f>
        <v/>
      </c>
      <c r="E59">
        <f>IFERROR(AGGREGATE(15,6,ROW('Input Transaksi'!$B$5:$B$5000)/('Input Transaksi'!$B$5:$B$5000="LONDRI DEWE"),ROWS($E$5:E59)),"")</f>
        <v/>
      </c>
      <c r="F59" s="5" t="n"/>
    </row>
    <row r="60">
      <c r="A60" s="10">
        <f>IF($E60="","",INDEX('Input Transaksi'!$A:$A,$E60))</f>
        <v/>
      </c>
      <c r="B60" s="5">
        <f>IF($E60="","",INDEX('Input Transaksi'!$D:$D,$E60))</f>
        <v/>
      </c>
      <c r="C60">
        <f>IF($E60="","",INDEX('Input Transaksi'!$E:$E,$E60))</f>
        <v/>
      </c>
      <c r="D60" s="5">
        <f>IF($E60="","",INDEX('Input Transaksi'!$F:$F,$E60))</f>
        <v/>
      </c>
      <c r="E60">
        <f>IFERROR(AGGREGATE(15,6,ROW('Input Transaksi'!$B$5:$B$5000)/('Input Transaksi'!$B$5:$B$5000="LONDRI DEWE"),ROWS($E$5:E60)),"")</f>
        <v/>
      </c>
      <c r="F60" s="5" t="n"/>
    </row>
    <row r="61">
      <c r="A61" s="10">
        <f>IF($E61="","",INDEX('Input Transaksi'!$A:$A,$E61))</f>
        <v/>
      </c>
      <c r="B61" s="5">
        <f>IF($E61="","",INDEX('Input Transaksi'!$D:$D,$E61))</f>
        <v/>
      </c>
      <c r="C61">
        <f>IF($E61="","",INDEX('Input Transaksi'!$E:$E,$E61))</f>
        <v/>
      </c>
      <c r="D61" s="5">
        <f>IF($E61="","",INDEX('Input Transaksi'!$F:$F,$E61))</f>
        <v/>
      </c>
      <c r="E61">
        <f>IFERROR(AGGREGATE(15,6,ROW('Input Transaksi'!$B$5:$B$5000)/('Input Transaksi'!$B$5:$B$5000="LONDRI DEWE"),ROWS($E$5:E61)),"")</f>
        <v/>
      </c>
      <c r="F61" s="5" t="n"/>
    </row>
    <row r="62">
      <c r="A62" s="10">
        <f>IF($E62="","",INDEX('Input Transaksi'!$A:$A,$E62))</f>
        <v/>
      </c>
      <c r="B62" s="5">
        <f>IF($E62="","",INDEX('Input Transaksi'!$D:$D,$E62))</f>
        <v/>
      </c>
      <c r="C62">
        <f>IF($E62="","",INDEX('Input Transaksi'!$E:$E,$E62))</f>
        <v/>
      </c>
      <c r="D62" s="5">
        <f>IF($E62="","",INDEX('Input Transaksi'!$F:$F,$E62))</f>
        <v/>
      </c>
      <c r="E62">
        <f>IFERROR(AGGREGATE(15,6,ROW('Input Transaksi'!$B$5:$B$5000)/('Input Transaksi'!$B$5:$B$5000="LONDRI DEWE"),ROWS($E$5:E62)),"")</f>
        <v/>
      </c>
      <c r="F62" s="5" t="n"/>
    </row>
    <row r="63">
      <c r="A63" s="10">
        <f>IF($E63="","",INDEX('Input Transaksi'!$A:$A,$E63))</f>
        <v/>
      </c>
      <c r="B63" s="5">
        <f>IF($E63="","",INDEX('Input Transaksi'!$D:$D,$E63))</f>
        <v/>
      </c>
      <c r="C63">
        <f>IF($E63="","",INDEX('Input Transaksi'!$E:$E,$E63))</f>
        <v/>
      </c>
      <c r="D63" s="5">
        <f>IF($E63="","",INDEX('Input Transaksi'!$F:$F,$E63))</f>
        <v/>
      </c>
      <c r="E63">
        <f>IFERROR(AGGREGATE(15,6,ROW('Input Transaksi'!$B$5:$B$5000)/('Input Transaksi'!$B$5:$B$5000="LONDRI DEWE"),ROWS($E$5:E63)),"")</f>
        <v/>
      </c>
      <c r="F63" s="5" t="n"/>
    </row>
    <row r="64">
      <c r="A64" s="10">
        <f>IF($E64="","",INDEX('Input Transaksi'!$A:$A,$E64))</f>
        <v/>
      </c>
      <c r="B64" s="5">
        <f>IF($E64="","",INDEX('Input Transaksi'!$D:$D,$E64))</f>
        <v/>
      </c>
      <c r="C64">
        <f>IF($E64="","",INDEX('Input Transaksi'!$E:$E,$E64))</f>
        <v/>
      </c>
      <c r="D64" s="5">
        <f>IF($E64="","",INDEX('Input Transaksi'!$F:$F,$E64))</f>
        <v/>
      </c>
      <c r="E64">
        <f>IFERROR(AGGREGATE(15,6,ROW('Input Transaksi'!$B$5:$B$5000)/('Input Transaksi'!$B$5:$B$5000="LONDRI DEWE"),ROWS($E$5:E64)),"")</f>
        <v/>
      </c>
      <c r="F64" s="5" t="n"/>
    </row>
    <row r="65">
      <c r="A65" s="10">
        <f>IF($E65="","",INDEX('Input Transaksi'!$A:$A,$E65))</f>
        <v/>
      </c>
      <c r="B65" s="5">
        <f>IF($E65="","",INDEX('Input Transaksi'!$D:$D,$E65))</f>
        <v/>
      </c>
      <c r="C65">
        <f>IF($E65="","",INDEX('Input Transaksi'!$E:$E,$E65))</f>
        <v/>
      </c>
      <c r="D65" s="5">
        <f>IF($E65="","",INDEX('Input Transaksi'!$F:$F,$E65))</f>
        <v/>
      </c>
      <c r="E65">
        <f>IFERROR(AGGREGATE(15,6,ROW('Input Transaksi'!$B$5:$B$5000)/('Input Transaksi'!$B$5:$B$5000="LONDRI DEWE"),ROWS($E$5:E65)),"")</f>
        <v/>
      </c>
      <c r="F65" s="5" t="n"/>
    </row>
    <row r="66">
      <c r="A66" s="10">
        <f>IF($E66="","",INDEX('Input Transaksi'!$A:$A,$E66))</f>
        <v/>
      </c>
      <c r="B66" s="5">
        <f>IF($E66="","",INDEX('Input Transaksi'!$D:$D,$E66))</f>
        <v/>
      </c>
      <c r="C66">
        <f>IF($E66="","",INDEX('Input Transaksi'!$E:$E,$E66))</f>
        <v/>
      </c>
      <c r="D66" s="5">
        <f>IF($E66="","",INDEX('Input Transaksi'!$F:$F,$E66))</f>
        <v/>
      </c>
      <c r="E66">
        <f>IFERROR(AGGREGATE(15,6,ROW('Input Transaksi'!$B$5:$B$5000)/('Input Transaksi'!$B$5:$B$5000="LONDRI DEWE"),ROWS($E$5:E66)),"")</f>
        <v/>
      </c>
      <c r="F66" s="5" t="n"/>
    </row>
    <row r="67">
      <c r="A67" s="10">
        <f>IF($E67="","",INDEX('Input Transaksi'!$A:$A,$E67))</f>
        <v/>
      </c>
      <c r="B67" s="5">
        <f>IF($E67="","",INDEX('Input Transaksi'!$D:$D,$E67))</f>
        <v/>
      </c>
      <c r="C67">
        <f>IF($E67="","",INDEX('Input Transaksi'!$E:$E,$E67))</f>
        <v/>
      </c>
      <c r="D67" s="5">
        <f>IF($E67="","",INDEX('Input Transaksi'!$F:$F,$E67))</f>
        <v/>
      </c>
      <c r="E67">
        <f>IFERROR(AGGREGATE(15,6,ROW('Input Transaksi'!$B$5:$B$5000)/('Input Transaksi'!$B$5:$B$5000="LONDRI DEWE"),ROWS($E$5:E67)),"")</f>
        <v/>
      </c>
      <c r="F67" s="5" t="n"/>
    </row>
    <row r="68">
      <c r="A68" s="10">
        <f>IF($E68="","",INDEX('Input Transaksi'!$A:$A,$E68))</f>
        <v/>
      </c>
      <c r="B68" s="5">
        <f>IF($E68="","",INDEX('Input Transaksi'!$D:$D,$E68))</f>
        <v/>
      </c>
      <c r="C68">
        <f>IF($E68="","",INDEX('Input Transaksi'!$E:$E,$E68))</f>
        <v/>
      </c>
      <c r="D68" s="5">
        <f>IF($E68="","",INDEX('Input Transaksi'!$F:$F,$E68))</f>
        <v/>
      </c>
      <c r="E68">
        <f>IFERROR(AGGREGATE(15,6,ROW('Input Transaksi'!$B$5:$B$5000)/('Input Transaksi'!$B$5:$B$5000="LONDRI DEWE"),ROWS($E$5:E68)),"")</f>
        <v/>
      </c>
      <c r="F68" s="5" t="n"/>
    </row>
    <row r="69">
      <c r="A69" s="10">
        <f>IF($E69="","",INDEX('Input Transaksi'!$A:$A,$E69))</f>
        <v/>
      </c>
      <c r="B69" s="5">
        <f>IF($E69="","",INDEX('Input Transaksi'!$D:$D,$E69))</f>
        <v/>
      </c>
      <c r="C69">
        <f>IF($E69="","",INDEX('Input Transaksi'!$E:$E,$E69))</f>
        <v/>
      </c>
      <c r="D69" s="5">
        <f>IF($E69="","",INDEX('Input Transaksi'!$F:$F,$E69))</f>
        <v/>
      </c>
      <c r="E69">
        <f>IFERROR(AGGREGATE(15,6,ROW('Input Transaksi'!$B$5:$B$5000)/('Input Transaksi'!$B$5:$B$5000="LONDRI DEWE"),ROWS($E$5:E69)),"")</f>
        <v/>
      </c>
      <c r="F69" s="5" t="n"/>
    </row>
    <row r="70">
      <c r="A70" s="10">
        <f>IF($E70="","",INDEX('Input Transaksi'!$A:$A,$E70))</f>
        <v/>
      </c>
      <c r="B70" s="5">
        <f>IF($E70="","",INDEX('Input Transaksi'!$D:$D,$E70))</f>
        <v/>
      </c>
      <c r="C70">
        <f>IF($E70="","",INDEX('Input Transaksi'!$E:$E,$E70))</f>
        <v/>
      </c>
      <c r="D70" s="5">
        <f>IF($E70="","",INDEX('Input Transaksi'!$F:$F,$E70))</f>
        <v/>
      </c>
      <c r="E70">
        <f>IFERROR(AGGREGATE(15,6,ROW('Input Transaksi'!$B$5:$B$5000)/('Input Transaksi'!$B$5:$B$5000="LONDRI DEWE"),ROWS($E$5:E70)),"")</f>
        <v/>
      </c>
      <c r="F70" s="5" t="n"/>
    </row>
    <row r="71">
      <c r="A71" s="10">
        <f>IF($E71="","",INDEX('Input Transaksi'!$A:$A,$E71))</f>
        <v/>
      </c>
      <c r="B71" s="5">
        <f>IF($E71="","",INDEX('Input Transaksi'!$D:$D,$E71))</f>
        <v/>
      </c>
      <c r="C71">
        <f>IF($E71="","",INDEX('Input Transaksi'!$E:$E,$E71))</f>
        <v/>
      </c>
      <c r="D71" s="5">
        <f>IF($E71="","",INDEX('Input Transaksi'!$F:$F,$E71))</f>
        <v/>
      </c>
      <c r="E71">
        <f>IFERROR(AGGREGATE(15,6,ROW('Input Transaksi'!$B$5:$B$5000)/('Input Transaksi'!$B$5:$B$5000="LONDRI DEWE"),ROWS($E$5:E71)),"")</f>
        <v/>
      </c>
      <c r="F71" s="5" t="n"/>
    </row>
    <row r="72">
      <c r="A72" s="10">
        <f>IF($E72="","",INDEX('Input Transaksi'!$A:$A,$E72))</f>
        <v/>
      </c>
      <c r="B72" s="5">
        <f>IF($E72="","",INDEX('Input Transaksi'!$D:$D,$E72))</f>
        <v/>
      </c>
      <c r="C72">
        <f>IF($E72="","",INDEX('Input Transaksi'!$E:$E,$E72))</f>
        <v/>
      </c>
      <c r="D72" s="5">
        <f>IF($E72="","",INDEX('Input Transaksi'!$F:$F,$E72))</f>
        <v/>
      </c>
      <c r="E72">
        <f>IFERROR(AGGREGATE(15,6,ROW('Input Transaksi'!$B$5:$B$5000)/('Input Transaksi'!$B$5:$B$5000="LONDRI DEWE"),ROWS($E$5:E72)),"")</f>
        <v/>
      </c>
      <c r="F72" s="5" t="n"/>
    </row>
    <row r="73">
      <c r="A73" s="10">
        <f>IF($E73="","",INDEX('Input Transaksi'!$A:$A,$E73))</f>
        <v/>
      </c>
      <c r="B73" s="5">
        <f>IF($E73="","",INDEX('Input Transaksi'!$D:$D,$E73))</f>
        <v/>
      </c>
      <c r="C73">
        <f>IF($E73="","",INDEX('Input Transaksi'!$E:$E,$E73))</f>
        <v/>
      </c>
      <c r="D73" s="5">
        <f>IF($E73="","",INDEX('Input Transaksi'!$F:$F,$E73))</f>
        <v/>
      </c>
      <c r="E73">
        <f>IFERROR(AGGREGATE(15,6,ROW('Input Transaksi'!$B$5:$B$5000)/('Input Transaksi'!$B$5:$B$5000="LONDRI DEWE"),ROWS($E$5:E73)),"")</f>
        <v/>
      </c>
      <c r="F73" s="5" t="n"/>
    </row>
    <row r="74">
      <c r="A74" s="10">
        <f>IF($E74="","",INDEX('Input Transaksi'!$A:$A,$E74))</f>
        <v/>
      </c>
      <c r="B74" s="5">
        <f>IF($E74="","",INDEX('Input Transaksi'!$D:$D,$E74))</f>
        <v/>
      </c>
      <c r="C74">
        <f>IF($E74="","",INDEX('Input Transaksi'!$E:$E,$E74))</f>
        <v/>
      </c>
      <c r="D74" s="5">
        <f>IF($E74="","",INDEX('Input Transaksi'!$F:$F,$E74))</f>
        <v/>
      </c>
      <c r="E74">
        <f>IFERROR(AGGREGATE(15,6,ROW('Input Transaksi'!$B$5:$B$5000)/('Input Transaksi'!$B$5:$B$5000="LONDRI DEWE"),ROWS($E$5:E74)),"")</f>
        <v/>
      </c>
      <c r="F74" s="5" t="n"/>
    </row>
    <row r="75">
      <c r="A75" s="10">
        <f>IF($E75="","",INDEX('Input Transaksi'!$A:$A,$E75))</f>
        <v/>
      </c>
      <c r="B75" s="5">
        <f>IF($E75="","",INDEX('Input Transaksi'!$D:$D,$E75))</f>
        <v/>
      </c>
      <c r="C75">
        <f>IF($E75="","",INDEX('Input Transaksi'!$E:$E,$E75))</f>
        <v/>
      </c>
      <c r="D75" s="5">
        <f>IF($E75="","",INDEX('Input Transaksi'!$F:$F,$E75))</f>
        <v/>
      </c>
      <c r="E75">
        <f>IFERROR(AGGREGATE(15,6,ROW('Input Transaksi'!$B$5:$B$5000)/('Input Transaksi'!$B$5:$B$5000="LONDRI DEWE"),ROWS($E$5:E75)),"")</f>
        <v/>
      </c>
      <c r="F75" s="5" t="n"/>
    </row>
    <row r="76">
      <c r="A76" s="10">
        <f>IF($E76="","",INDEX('Input Transaksi'!$A:$A,$E76))</f>
        <v/>
      </c>
      <c r="B76" s="5">
        <f>IF($E76="","",INDEX('Input Transaksi'!$D:$D,$E76))</f>
        <v/>
      </c>
      <c r="C76">
        <f>IF($E76="","",INDEX('Input Transaksi'!$E:$E,$E76))</f>
        <v/>
      </c>
      <c r="D76" s="5">
        <f>IF($E76="","",INDEX('Input Transaksi'!$F:$F,$E76))</f>
        <v/>
      </c>
      <c r="E76">
        <f>IFERROR(AGGREGATE(15,6,ROW('Input Transaksi'!$B$5:$B$5000)/('Input Transaksi'!$B$5:$B$5000="LONDRI DEWE"),ROWS($E$5:E76)),"")</f>
        <v/>
      </c>
      <c r="F76" s="5" t="n"/>
    </row>
    <row r="77">
      <c r="A77" s="10">
        <f>IF($E77="","",INDEX('Input Transaksi'!$A:$A,$E77))</f>
        <v/>
      </c>
      <c r="B77" s="5">
        <f>IF($E77="","",INDEX('Input Transaksi'!$D:$D,$E77))</f>
        <v/>
      </c>
      <c r="C77">
        <f>IF($E77="","",INDEX('Input Transaksi'!$E:$E,$E77))</f>
        <v/>
      </c>
      <c r="D77" s="5">
        <f>IF($E77="","",INDEX('Input Transaksi'!$F:$F,$E77))</f>
        <v/>
      </c>
      <c r="E77">
        <f>IFERROR(AGGREGATE(15,6,ROW('Input Transaksi'!$B$5:$B$5000)/('Input Transaksi'!$B$5:$B$5000="LONDRI DEWE"),ROWS($E$5:E77)),"")</f>
        <v/>
      </c>
      <c r="F77" s="5" t="n"/>
    </row>
    <row r="78">
      <c r="A78" s="10">
        <f>IF($E78="","",INDEX('Input Transaksi'!$A:$A,$E78))</f>
        <v/>
      </c>
      <c r="B78" s="5">
        <f>IF($E78="","",INDEX('Input Transaksi'!$D:$D,$E78))</f>
        <v/>
      </c>
      <c r="C78">
        <f>IF($E78="","",INDEX('Input Transaksi'!$E:$E,$E78))</f>
        <v/>
      </c>
      <c r="D78" s="5">
        <f>IF($E78="","",INDEX('Input Transaksi'!$F:$F,$E78))</f>
        <v/>
      </c>
      <c r="E78">
        <f>IFERROR(AGGREGATE(15,6,ROW('Input Transaksi'!$B$5:$B$5000)/('Input Transaksi'!$B$5:$B$5000="LONDRI DEWE"),ROWS($E$5:E78)),"")</f>
        <v/>
      </c>
      <c r="F78" s="5" t="n"/>
    </row>
    <row r="79">
      <c r="A79" s="10">
        <f>IF($E79="","",INDEX('Input Transaksi'!$A:$A,$E79))</f>
        <v/>
      </c>
      <c r="B79" s="5">
        <f>IF($E79="","",INDEX('Input Transaksi'!$D:$D,$E79))</f>
        <v/>
      </c>
      <c r="C79">
        <f>IF($E79="","",INDEX('Input Transaksi'!$E:$E,$E79))</f>
        <v/>
      </c>
      <c r="D79" s="5">
        <f>IF($E79="","",INDEX('Input Transaksi'!$F:$F,$E79))</f>
        <v/>
      </c>
      <c r="E79">
        <f>IFERROR(AGGREGATE(15,6,ROW('Input Transaksi'!$B$5:$B$5000)/('Input Transaksi'!$B$5:$B$5000="LONDRI DEWE"),ROWS($E$5:E79)),"")</f>
        <v/>
      </c>
      <c r="F79" s="5" t="n"/>
    </row>
    <row r="80">
      <c r="A80" s="10">
        <f>IF($E80="","",INDEX('Input Transaksi'!$A:$A,$E80))</f>
        <v/>
      </c>
      <c r="B80" s="5">
        <f>IF($E80="","",INDEX('Input Transaksi'!$D:$D,$E80))</f>
        <v/>
      </c>
      <c r="C80">
        <f>IF($E80="","",INDEX('Input Transaksi'!$E:$E,$E80))</f>
        <v/>
      </c>
      <c r="D80" s="5">
        <f>IF($E80="","",INDEX('Input Transaksi'!$F:$F,$E80))</f>
        <v/>
      </c>
      <c r="E80">
        <f>IFERROR(AGGREGATE(15,6,ROW('Input Transaksi'!$B$5:$B$5000)/('Input Transaksi'!$B$5:$B$5000="LONDRI DEWE"),ROWS($E$5:E80)),"")</f>
        <v/>
      </c>
      <c r="F80" s="5" t="n"/>
    </row>
    <row r="81">
      <c r="A81" s="10">
        <f>IF($E81="","",INDEX('Input Transaksi'!$A:$A,$E81))</f>
        <v/>
      </c>
      <c r="B81" s="5">
        <f>IF($E81="","",INDEX('Input Transaksi'!$D:$D,$E81))</f>
        <v/>
      </c>
      <c r="C81">
        <f>IF($E81="","",INDEX('Input Transaksi'!$E:$E,$E81))</f>
        <v/>
      </c>
      <c r="D81" s="5">
        <f>IF($E81="","",INDEX('Input Transaksi'!$F:$F,$E81))</f>
        <v/>
      </c>
      <c r="E81">
        <f>IFERROR(AGGREGATE(15,6,ROW('Input Transaksi'!$B$5:$B$5000)/('Input Transaksi'!$B$5:$B$5000="LONDRI DEWE"),ROWS($E$5:E81)),"")</f>
        <v/>
      </c>
      <c r="F81" s="5" t="n"/>
    </row>
    <row r="82">
      <c r="A82" s="10">
        <f>IF($E82="","",INDEX('Input Transaksi'!$A:$A,$E82))</f>
        <v/>
      </c>
      <c r="B82" s="5">
        <f>IF($E82="","",INDEX('Input Transaksi'!$D:$D,$E82))</f>
        <v/>
      </c>
      <c r="C82">
        <f>IF($E82="","",INDEX('Input Transaksi'!$E:$E,$E82))</f>
        <v/>
      </c>
      <c r="D82" s="5">
        <f>IF($E82="","",INDEX('Input Transaksi'!$F:$F,$E82))</f>
        <v/>
      </c>
      <c r="E82">
        <f>IFERROR(AGGREGATE(15,6,ROW('Input Transaksi'!$B$5:$B$5000)/('Input Transaksi'!$B$5:$B$5000="LONDRI DEWE"),ROWS($E$5:E82)),"")</f>
        <v/>
      </c>
      <c r="F82" s="5" t="n"/>
    </row>
    <row r="83">
      <c r="A83" s="10">
        <f>IF($E83="","",INDEX('Input Transaksi'!$A:$A,$E83))</f>
        <v/>
      </c>
      <c r="B83" s="5">
        <f>IF($E83="","",INDEX('Input Transaksi'!$D:$D,$E83))</f>
        <v/>
      </c>
      <c r="C83">
        <f>IF($E83="","",INDEX('Input Transaksi'!$E:$E,$E83))</f>
        <v/>
      </c>
      <c r="D83" s="5">
        <f>IF($E83="","",INDEX('Input Transaksi'!$F:$F,$E83))</f>
        <v/>
      </c>
      <c r="E83">
        <f>IFERROR(AGGREGATE(15,6,ROW('Input Transaksi'!$B$5:$B$5000)/('Input Transaksi'!$B$5:$B$5000="LONDRI DEWE"),ROWS($E$5:E83)),"")</f>
        <v/>
      </c>
      <c r="F83" s="5" t="n"/>
    </row>
    <row r="84">
      <c r="A84" s="10">
        <f>IF($E84="","",INDEX('Input Transaksi'!$A:$A,$E84))</f>
        <v/>
      </c>
      <c r="B84" s="5">
        <f>IF($E84="","",INDEX('Input Transaksi'!$D:$D,$E84))</f>
        <v/>
      </c>
      <c r="C84">
        <f>IF($E84="","",INDEX('Input Transaksi'!$E:$E,$E84))</f>
        <v/>
      </c>
      <c r="D84" s="5">
        <f>IF($E84="","",INDEX('Input Transaksi'!$F:$F,$E84))</f>
        <v/>
      </c>
      <c r="E84">
        <f>IFERROR(AGGREGATE(15,6,ROW('Input Transaksi'!$B$5:$B$5000)/('Input Transaksi'!$B$5:$B$5000="LONDRI DEWE"),ROWS($E$5:E84)),"")</f>
        <v/>
      </c>
      <c r="F84" s="5" t="n"/>
    </row>
    <row r="85">
      <c r="A85" s="10">
        <f>IF($E85="","",INDEX('Input Transaksi'!$A:$A,$E85))</f>
        <v/>
      </c>
      <c r="B85" s="5">
        <f>IF($E85="","",INDEX('Input Transaksi'!$D:$D,$E85))</f>
        <v/>
      </c>
      <c r="C85">
        <f>IF($E85="","",INDEX('Input Transaksi'!$E:$E,$E85))</f>
        <v/>
      </c>
      <c r="D85" s="5">
        <f>IF($E85="","",INDEX('Input Transaksi'!$F:$F,$E85))</f>
        <v/>
      </c>
      <c r="E85">
        <f>IFERROR(AGGREGATE(15,6,ROW('Input Transaksi'!$B$5:$B$5000)/('Input Transaksi'!$B$5:$B$5000="LONDRI DEWE"),ROWS($E$5:E85)),"")</f>
        <v/>
      </c>
      <c r="F85" s="5" t="n"/>
    </row>
    <row r="86">
      <c r="A86" s="10">
        <f>IF($E86="","",INDEX('Input Transaksi'!$A:$A,$E86))</f>
        <v/>
      </c>
      <c r="B86" s="5">
        <f>IF($E86="","",INDEX('Input Transaksi'!$D:$D,$E86))</f>
        <v/>
      </c>
      <c r="C86">
        <f>IF($E86="","",INDEX('Input Transaksi'!$E:$E,$E86))</f>
        <v/>
      </c>
      <c r="D86" s="5">
        <f>IF($E86="","",INDEX('Input Transaksi'!$F:$F,$E86))</f>
        <v/>
      </c>
      <c r="E86">
        <f>IFERROR(AGGREGATE(15,6,ROW('Input Transaksi'!$B$5:$B$5000)/('Input Transaksi'!$B$5:$B$5000="LONDRI DEWE"),ROWS($E$5:E86)),"")</f>
        <v/>
      </c>
      <c r="F86" s="5" t="n"/>
    </row>
    <row r="87">
      <c r="A87" s="10">
        <f>IF($E87="","",INDEX('Input Transaksi'!$A:$A,$E87))</f>
        <v/>
      </c>
      <c r="B87" s="5">
        <f>IF($E87="","",INDEX('Input Transaksi'!$D:$D,$E87))</f>
        <v/>
      </c>
      <c r="C87">
        <f>IF($E87="","",INDEX('Input Transaksi'!$E:$E,$E87))</f>
        <v/>
      </c>
      <c r="D87" s="5">
        <f>IF($E87="","",INDEX('Input Transaksi'!$F:$F,$E87))</f>
        <v/>
      </c>
      <c r="E87">
        <f>IFERROR(AGGREGATE(15,6,ROW('Input Transaksi'!$B$5:$B$5000)/('Input Transaksi'!$B$5:$B$5000="LONDRI DEWE"),ROWS($E$5:E87)),"")</f>
        <v/>
      </c>
      <c r="F87" s="5" t="n"/>
    </row>
    <row r="88">
      <c r="A88" s="10">
        <f>IF($E88="","",INDEX('Input Transaksi'!$A:$A,$E88))</f>
        <v/>
      </c>
      <c r="B88" s="5">
        <f>IF($E88="","",INDEX('Input Transaksi'!$D:$D,$E88))</f>
        <v/>
      </c>
      <c r="C88">
        <f>IF($E88="","",INDEX('Input Transaksi'!$E:$E,$E88))</f>
        <v/>
      </c>
      <c r="D88" s="5">
        <f>IF($E88="","",INDEX('Input Transaksi'!$F:$F,$E88))</f>
        <v/>
      </c>
      <c r="E88">
        <f>IFERROR(AGGREGATE(15,6,ROW('Input Transaksi'!$B$5:$B$5000)/('Input Transaksi'!$B$5:$B$5000="LONDRI DEWE"),ROWS($E$5:E88)),"")</f>
        <v/>
      </c>
      <c r="F88" s="5" t="n"/>
    </row>
    <row r="89">
      <c r="A89" s="10">
        <f>IF($E89="","",INDEX('Input Transaksi'!$A:$A,$E89))</f>
        <v/>
      </c>
      <c r="B89" s="5">
        <f>IF($E89="","",INDEX('Input Transaksi'!$D:$D,$E89))</f>
        <v/>
      </c>
      <c r="C89">
        <f>IF($E89="","",INDEX('Input Transaksi'!$E:$E,$E89))</f>
        <v/>
      </c>
      <c r="D89" s="5">
        <f>IF($E89="","",INDEX('Input Transaksi'!$F:$F,$E89))</f>
        <v/>
      </c>
      <c r="E89">
        <f>IFERROR(AGGREGATE(15,6,ROW('Input Transaksi'!$B$5:$B$5000)/('Input Transaksi'!$B$5:$B$5000="LONDRI DEWE"),ROWS($E$5:E89)),"")</f>
        <v/>
      </c>
      <c r="F89" s="5" t="n"/>
    </row>
    <row r="90">
      <c r="A90" s="10">
        <f>IF($E90="","",INDEX('Input Transaksi'!$A:$A,$E90))</f>
        <v/>
      </c>
      <c r="B90" s="5">
        <f>IF($E90="","",INDEX('Input Transaksi'!$D:$D,$E90))</f>
        <v/>
      </c>
      <c r="C90">
        <f>IF($E90="","",INDEX('Input Transaksi'!$E:$E,$E90))</f>
        <v/>
      </c>
      <c r="D90" s="5">
        <f>IF($E90="","",INDEX('Input Transaksi'!$F:$F,$E90))</f>
        <v/>
      </c>
      <c r="E90">
        <f>IFERROR(AGGREGATE(15,6,ROW('Input Transaksi'!$B$5:$B$5000)/('Input Transaksi'!$B$5:$B$5000="LONDRI DEWE"),ROWS($E$5:E90)),"")</f>
        <v/>
      </c>
      <c r="F90" s="5" t="n"/>
    </row>
    <row r="91">
      <c r="A91" s="10">
        <f>IF($E91="","",INDEX('Input Transaksi'!$A:$A,$E91))</f>
        <v/>
      </c>
      <c r="B91" s="5">
        <f>IF($E91="","",INDEX('Input Transaksi'!$D:$D,$E91))</f>
        <v/>
      </c>
      <c r="C91">
        <f>IF($E91="","",INDEX('Input Transaksi'!$E:$E,$E91))</f>
        <v/>
      </c>
      <c r="D91" s="5">
        <f>IF($E91="","",INDEX('Input Transaksi'!$F:$F,$E91))</f>
        <v/>
      </c>
      <c r="E91">
        <f>IFERROR(AGGREGATE(15,6,ROW('Input Transaksi'!$B$5:$B$5000)/('Input Transaksi'!$B$5:$B$5000="LONDRI DEWE"),ROWS($E$5:E91)),"")</f>
        <v/>
      </c>
      <c r="F91" s="5" t="n"/>
    </row>
    <row r="92">
      <c r="A92" s="10">
        <f>IF($E92="","",INDEX('Input Transaksi'!$A:$A,$E92))</f>
        <v/>
      </c>
      <c r="B92" s="5">
        <f>IF($E92="","",INDEX('Input Transaksi'!$D:$D,$E92))</f>
        <v/>
      </c>
      <c r="C92">
        <f>IF($E92="","",INDEX('Input Transaksi'!$E:$E,$E92))</f>
        <v/>
      </c>
      <c r="D92" s="5">
        <f>IF($E92="","",INDEX('Input Transaksi'!$F:$F,$E92))</f>
        <v/>
      </c>
      <c r="E92">
        <f>IFERROR(AGGREGATE(15,6,ROW('Input Transaksi'!$B$5:$B$5000)/('Input Transaksi'!$B$5:$B$5000="LONDRI DEWE"),ROWS($E$5:E92)),"")</f>
        <v/>
      </c>
      <c r="F92" s="5" t="n"/>
    </row>
    <row r="93">
      <c r="A93" s="10">
        <f>IF($E93="","",INDEX('Input Transaksi'!$A:$A,$E93))</f>
        <v/>
      </c>
      <c r="B93" s="5">
        <f>IF($E93="","",INDEX('Input Transaksi'!$D:$D,$E93))</f>
        <v/>
      </c>
      <c r="C93">
        <f>IF($E93="","",INDEX('Input Transaksi'!$E:$E,$E93))</f>
        <v/>
      </c>
      <c r="D93" s="5">
        <f>IF($E93="","",INDEX('Input Transaksi'!$F:$F,$E93))</f>
        <v/>
      </c>
      <c r="E93">
        <f>IFERROR(AGGREGATE(15,6,ROW('Input Transaksi'!$B$5:$B$5000)/('Input Transaksi'!$B$5:$B$5000="LONDRI DEWE"),ROWS($E$5:E93)),"")</f>
        <v/>
      </c>
      <c r="F93" s="5" t="n"/>
    </row>
    <row r="94">
      <c r="A94" s="10">
        <f>IF($E94="","",INDEX('Input Transaksi'!$A:$A,$E94))</f>
        <v/>
      </c>
      <c r="B94" s="5">
        <f>IF($E94="","",INDEX('Input Transaksi'!$D:$D,$E94))</f>
        <v/>
      </c>
      <c r="C94">
        <f>IF($E94="","",INDEX('Input Transaksi'!$E:$E,$E94))</f>
        <v/>
      </c>
      <c r="D94" s="5">
        <f>IF($E94="","",INDEX('Input Transaksi'!$F:$F,$E94))</f>
        <v/>
      </c>
      <c r="E94">
        <f>IFERROR(AGGREGATE(15,6,ROW('Input Transaksi'!$B$5:$B$5000)/('Input Transaksi'!$B$5:$B$5000="LONDRI DEWE"),ROWS($E$5:E94)),"")</f>
        <v/>
      </c>
      <c r="F94" s="5" t="n"/>
    </row>
    <row r="95">
      <c r="A95" s="10">
        <f>IF($E95="","",INDEX('Input Transaksi'!$A:$A,$E95))</f>
        <v/>
      </c>
      <c r="B95" s="5">
        <f>IF($E95="","",INDEX('Input Transaksi'!$D:$D,$E95))</f>
        <v/>
      </c>
      <c r="C95">
        <f>IF($E95="","",INDEX('Input Transaksi'!$E:$E,$E95))</f>
        <v/>
      </c>
      <c r="D95" s="5">
        <f>IF($E95="","",INDEX('Input Transaksi'!$F:$F,$E95))</f>
        <v/>
      </c>
      <c r="E95">
        <f>IFERROR(AGGREGATE(15,6,ROW('Input Transaksi'!$B$5:$B$5000)/('Input Transaksi'!$B$5:$B$5000="LONDRI DEWE"),ROWS($E$5:E95)),"")</f>
        <v/>
      </c>
      <c r="F95" s="5" t="n"/>
    </row>
    <row r="96">
      <c r="A96" s="10">
        <f>IF($E96="","",INDEX('Input Transaksi'!$A:$A,$E96))</f>
        <v/>
      </c>
      <c r="B96" s="5">
        <f>IF($E96="","",INDEX('Input Transaksi'!$D:$D,$E96))</f>
        <v/>
      </c>
      <c r="C96">
        <f>IF($E96="","",INDEX('Input Transaksi'!$E:$E,$E96))</f>
        <v/>
      </c>
      <c r="D96" s="5">
        <f>IF($E96="","",INDEX('Input Transaksi'!$F:$F,$E96))</f>
        <v/>
      </c>
      <c r="E96">
        <f>IFERROR(AGGREGATE(15,6,ROW('Input Transaksi'!$B$5:$B$5000)/('Input Transaksi'!$B$5:$B$5000="LONDRI DEWE"),ROWS($E$5:E96)),"")</f>
        <v/>
      </c>
      <c r="F96" s="5" t="n"/>
    </row>
    <row r="97">
      <c r="A97" s="10">
        <f>IF($E97="","",INDEX('Input Transaksi'!$A:$A,$E97))</f>
        <v/>
      </c>
      <c r="B97" s="5">
        <f>IF($E97="","",INDEX('Input Transaksi'!$D:$D,$E97))</f>
        <v/>
      </c>
      <c r="C97">
        <f>IF($E97="","",INDEX('Input Transaksi'!$E:$E,$E97))</f>
        <v/>
      </c>
      <c r="D97" s="5">
        <f>IF($E97="","",INDEX('Input Transaksi'!$F:$F,$E97))</f>
        <v/>
      </c>
      <c r="E97">
        <f>IFERROR(AGGREGATE(15,6,ROW('Input Transaksi'!$B$5:$B$5000)/('Input Transaksi'!$B$5:$B$5000="LONDRI DEWE"),ROWS($E$5:E97)),"")</f>
        <v/>
      </c>
      <c r="F97" s="5" t="n"/>
    </row>
    <row r="98">
      <c r="A98" s="10">
        <f>IF($E98="","",INDEX('Input Transaksi'!$A:$A,$E98))</f>
        <v/>
      </c>
      <c r="B98" s="5">
        <f>IF($E98="","",INDEX('Input Transaksi'!$D:$D,$E98))</f>
        <v/>
      </c>
      <c r="C98">
        <f>IF($E98="","",INDEX('Input Transaksi'!$E:$E,$E98))</f>
        <v/>
      </c>
      <c r="D98" s="5">
        <f>IF($E98="","",INDEX('Input Transaksi'!$F:$F,$E98))</f>
        <v/>
      </c>
      <c r="E98">
        <f>IFERROR(AGGREGATE(15,6,ROW('Input Transaksi'!$B$5:$B$5000)/('Input Transaksi'!$B$5:$B$5000="LONDRI DEWE"),ROWS($E$5:E98)),"")</f>
        <v/>
      </c>
      <c r="F98" s="5" t="n"/>
    </row>
    <row r="99">
      <c r="A99" s="10">
        <f>IF($E99="","",INDEX('Input Transaksi'!$A:$A,$E99))</f>
        <v/>
      </c>
      <c r="B99" s="5">
        <f>IF($E99="","",INDEX('Input Transaksi'!$D:$D,$E99))</f>
        <v/>
      </c>
      <c r="C99">
        <f>IF($E99="","",INDEX('Input Transaksi'!$E:$E,$E99))</f>
        <v/>
      </c>
      <c r="D99" s="5">
        <f>IF($E99="","",INDEX('Input Transaksi'!$F:$F,$E99))</f>
        <v/>
      </c>
      <c r="E99">
        <f>IFERROR(AGGREGATE(15,6,ROW('Input Transaksi'!$B$5:$B$5000)/('Input Transaksi'!$B$5:$B$5000="LONDRI DEWE"),ROWS($E$5:E99)),"")</f>
        <v/>
      </c>
      <c r="F99" s="5" t="n"/>
    </row>
    <row r="100">
      <c r="A100" s="10">
        <f>IF($E100="","",INDEX('Input Transaksi'!$A:$A,$E100))</f>
        <v/>
      </c>
      <c r="B100" s="5">
        <f>IF($E100="","",INDEX('Input Transaksi'!$D:$D,$E100))</f>
        <v/>
      </c>
      <c r="C100">
        <f>IF($E100="","",INDEX('Input Transaksi'!$E:$E,$E100))</f>
        <v/>
      </c>
      <c r="D100" s="5">
        <f>IF($E100="","",INDEX('Input Transaksi'!$F:$F,$E100))</f>
        <v/>
      </c>
      <c r="E100">
        <f>IFERROR(AGGREGATE(15,6,ROW('Input Transaksi'!$B$5:$B$5000)/('Input Transaksi'!$B$5:$B$5000="LONDRI DEWE"),ROWS($E$5:E100)),"")</f>
        <v/>
      </c>
      <c r="F100" s="5" t="n"/>
    </row>
    <row r="101">
      <c r="A101" s="10">
        <f>IF($E101="","",INDEX('Input Transaksi'!$A:$A,$E101))</f>
        <v/>
      </c>
      <c r="B101" s="5">
        <f>IF($E101="","",INDEX('Input Transaksi'!$D:$D,$E101))</f>
        <v/>
      </c>
      <c r="C101">
        <f>IF($E101="","",INDEX('Input Transaksi'!$E:$E,$E101))</f>
        <v/>
      </c>
      <c r="D101" s="5">
        <f>IF($E101="","",INDEX('Input Transaksi'!$F:$F,$E101))</f>
        <v/>
      </c>
      <c r="E101">
        <f>IFERROR(AGGREGATE(15,6,ROW('Input Transaksi'!$B$5:$B$5000)/('Input Transaksi'!$B$5:$B$5000="LONDRI DEWE"),ROWS($E$5:E101)),"")</f>
        <v/>
      </c>
      <c r="F101" s="5" t="n"/>
    </row>
    <row r="102">
      <c r="A102" s="10">
        <f>IF($E102="","",INDEX('Input Transaksi'!$A:$A,$E102))</f>
        <v/>
      </c>
      <c r="B102" s="5">
        <f>IF($E102="","",INDEX('Input Transaksi'!$D:$D,$E102))</f>
        <v/>
      </c>
      <c r="C102">
        <f>IF($E102="","",INDEX('Input Transaksi'!$E:$E,$E102))</f>
        <v/>
      </c>
      <c r="D102" s="5">
        <f>IF($E102="","",INDEX('Input Transaksi'!$F:$F,$E102))</f>
        <v/>
      </c>
      <c r="E102">
        <f>IFERROR(AGGREGATE(15,6,ROW('Input Transaksi'!$B$5:$B$5000)/('Input Transaksi'!$B$5:$B$5000="LONDRI DEWE"),ROWS($E$5:E102)),"")</f>
        <v/>
      </c>
      <c r="F102" s="5" t="n"/>
    </row>
    <row r="103">
      <c r="A103" s="10">
        <f>IF($E103="","",INDEX('Input Transaksi'!$A:$A,$E103))</f>
        <v/>
      </c>
      <c r="B103" s="5">
        <f>IF($E103="","",INDEX('Input Transaksi'!$D:$D,$E103))</f>
        <v/>
      </c>
      <c r="C103">
        <f>IF($E103="","",INDEX('Input Transaksi'!$E:$E,$E103))</f>
        <v/>
      </c>
      <c r="D103" s="5">
        <f>IF($E103="","",INDEX('Input Transaksi'!$F:$F,$E103))</f>
        <v/>
      </c>
      <c r="E103">
        <f>IFERROR(AGGREGATE(15,6,ROW('Input Transaksi'!$B$5:$B$5000)/('Input Transaksi'!$B$5:$B$5000="LONDRI DEWE"),ROWS($E$5:E103)),"")</f>
        <v/>
      </c>
      <c r="F103" s="5" t="n"/>
    </row>
    <row r="104">
      <c r="A104" s="10">
        <f>IF($E104="","",INDEX('Input Transaksi'!$A:$A,$E104))</f>
        <v/>
      </c>
      <c r="B104" s="5">
        <f>IF($E104="","",INDEX('Input Transaksi'!$D:$D,$E104))</f>
        <v/>
      </c>
      <c r="C104">
        <f>IF($E104="","",INDEX('Input Transaksi'!$E:$E,$E104))</f>
        <v/>
      </c>
      <c r="D104" s="5">
        <f>IF($E104="","",INDEX('Input Transaksi'!$F:$F,$E104))</f>
        <v/>
      </c>
      <c r="E104">
        <f>IFERROR(AGGREGATE(15,6,ROW('Input Transaksi'!$B$5:$B$5000)/('Input Transaksi'!$B$5:$B$5000="LONDRI DEWE"),ROWS($E$5:E104)),"")</f>
        <v/>
      </c>
      <c r="F104" s="5" t="n"/>
    </row>
    <row r="105">
      <c r="A105" s="10">
        <f>IF($E105="","",INDEX('Input Transaksi'!$A:$A,$E105))</f>
        <v/>
      </c>
      <c r="B105" s="5">
        <f>IF($E105="","",INDEX('Input Transaksi'!$D:$D,$E105))</f>
        <v/>
      </c>
      <c r="C105">
        <f>IF($E105="","",INDEX('Input Transaksi'!$E:$E,$E105))</f>
        <v/>
      </c>
      <c r="D105" s="5">
        <f>IF($E105="","",INDEX('Input Transaksi'!$F:$F,$E105))</f>
        <v/>
      </c>
      <c r="E105">
        <f>IFERROR(AGGREGATE(15,6,ROW('Input Transaksi'!$B$5:$B$5000)/('Input Transaksi'!$B$5:$B$5000="LONDRI DEWE"),ROWS($E$5:E105)),"")</f>
        <v/>
      </c>
      <c r="F105" s="5" t="n"/>
    </row>
    <row r="106">
      <c r="A106" s="10">
        <f>IF($E106="","",INDEX('Input Transaksi'!$A:$A,$E106))</f>
        <v/>
      </c>
      <c r="B106" s="5">
        <f>IF($E106="","",INDEX('Input Transaksi'!$D:$D,$E106))</f>
        <v/>
      </c>
      <c r="C106">
        <f>IF($E106="","",INDEX('Input Transaksi'!$E:$E,$E106))</f>
        <v/>
      </c>
      <c r="D106" s="5">
        <f>IF($E106="","",INDEX('Input Transaksi'!$F:$F,$E106))</f>
        <v/>
      </c>
      <c r="E106">
        <f>IFERROR(AGGREGATE(15,6,ROW('Input Transaksi'!$B$5:$B$5000)/('Input Transaksi'!$B$5:$B$5000="LONDRI DEWE"),ROWS($E$5:E106)),"")</f>
        <v/>
      </c>
      <c r="F106" s="5" t="n"/>
    </row>
    <row r="107">
      <c r="A107" s="10">
        <f>IF($E107="","",INDEX('Input Transaksi'!$A:$A,$E107))</f>
        <v/>
      </c>
      <c r="B107" s="5">
        <f>IF($E107="","",INDEX('Input Transaksi'!$D:$D,$E107))</f>
        <v/>
      </c>
      <c r="C107">
        <f>IF($E107="","",INDEX('Input Transaksi'!$E:$E,$E107))</f>
        <v/>
      </c>
      <c r="D107" s="5">
        <f>IF($E107="","",INDEX('Input Transaksi'!$F:$F,$E107))</f>
        <v/>
      </c>
      <c r="E107">
        <f>IFERROR(AGGREGATE(15,6,ROW('Input Transaksi'!$B$5:$B$5000)/('Input Transaksi'!$B$5:$B$5000="LONDRI DEWE"),ROWS($E$5:E107)),"")</f>
        <v/>
      </c>
      <c r="F107" s="5" t="n"/>
    </row>
    <row r="108">
      <c r="A108" s="10">
        <f>IF($E108="","",INDEX('Input Transaksi'!$A:$A,$E108))</f>
        <v/>
      </c>
      <c r="B108" s="5">
        <f>IF($E108="","",INDEX('Input Transaksi'!$D:$D,$E108))</f>
        <v/>
      </c>
      <c r="C108">
        <f>IF($E108="","",INDEX('Input Transaksi'!$E:$E,$E108))</f>
        <v/>
      </c>
      <c r="D108" s="5">
        <f>IF($E108="","",INDEX('Input Transaksi'!$F:$F,$E108))</f>
        <v/>
      </c>
      <c r="E108">
        <f>IFERROR(AGGREGATE(15,6,ROW('Input Transaksi'!$B$5:$B$5000)/('Input Transaksi'!$B$5:$B$5000="LONDRI DEWE"),ROWS($E$5:E108)),"")</f>
        <v/>
      </c>
      <c r="F108" s="5" t="n"/>
    </row>
    <row r="109">
      <c r="A109" s="10">
        <f>IF($E109="","",INDEX('Input Transaksi'!$A:$A,$E109))</f>
        <v/>
      </c>
      <c r="B109" s="5">
        <f>IF($E109="","",INDEX('Input Transaksi'!$D:$D,$E109))</f>
        <v/>
      </c>
      <c r="C109">
        <f>IF($E109="","",INDEX('Input Transaksi'!$E:$E,$E109))</f>
        <v/>
      </c>
      <c r="D109" s="5">
        <f>IF($E109="","",INDEX('Input Transaksi'!$F:$F,$E109))</f>
        <v/>
      </c>
      <c r="E109">
        <f>IFERROR(AGGREGATE(15,6,ROW('Input Transaksi'!$B$5:$B$5000)/('Input Transaksi'!$B$5:$B$5000="LONDRI DEWE"),ROWS($E$5:E109)),"")</f>
        <v/>
      </c>
      <c r="F109" s="5" t="n"/>
    </row>
    <row r="110">
      <c r="A110" s="10">
        <f>IF($E110="","",INDEX('Input Transaksi'!$A:$A,$E110))</f>
        <v/>
      </c>
      <c r="B110" s="5">
        <f>IF($E110="","",INDEX('Input Transaksi'!$D:$D,$E110))</f>
        <v/>
      </c>
      <c r="C110">
        <f>IF($E110="","",INDEX('Input Transaksi'!$E:$E,$E110))</f>
        <v/>
      </c>
      <c r="D110" s="5">
        <f>IF($E110="","",INDEX('Input Transaksi'!$F:$F,$E110))</f>
        <v/>
      </c>
      <c r="E110">
        <f>IFERROR(AGGREGATE(15,6,ROW('Input Transaksi'!$B$5:$B$5000)/('Input Transaksi'!$B$5:$B$5000="LONDRI DEWE"),ROWS($E$5:E110)),"")</f>
        <v/>
      </c>
      <c r="F110" s="5" t="n"/>
    </row>
    <row r="111">
      <c r="A111" s="10">
        <f>IF($E111="","",INDEX('Input Transaksi'!$A:$A,$E111))</f>
        <v/>
      </c>
      <c r="B111" s="5">
        <f>IF($E111="","",INDEX('Input Transaksi'!$D:$D,$E111))</f>
        <v/>
      </c>
      <c r="C111">
        <f>IF($E111="","",INDEX('Input Transaksi'!$E:$E,$E111))</f>
        <v/>
      </c>
      <c r="D111" s="5">
        <f>IF($E111="","",INDEX('Input Transaksi'!$F:$F,$E111))</f>
        <v/>
      </c>
      <c r="E111">
        <f>IFERROR(AGGREGATE(15,6,ROW('Input Transaksi'!$B$5:$B$5000)/('Input Transaksi'!$B$5:$B$5000="LONDRI DEWE"),ROWS($E$5:E111)),"")</f>
        <v/>
      </c>
      <c r="F111" s="5" t="n"/>
    </row>
    <row r="112">
      <c r="A112" s="10">
        <f>IF($E112="","",INDEX('Input Transaksi'!$A:$A,$E112))</f>
        <v/>
      </c>
      <c r="B112" s="5">
        <f>IF($E112="","",INDEX('Input Transaksi'!$D:$D,$E112))</f>
        <v/>
      </c>
      <c r="C112">
        <f>IF($E112="","",INDEX('Input Transaksi'!$E:$E,$E112))</f>
        <v/>
      </c>
      <c r="D112" s="5">
        <f>IF($E112="","",INDEX('Input Transaksi'!$F:$F,$E112))</f>
        <v/>
      </c>
      <c r="E112">
        <f>IFERROR(AGGREGATE(15,6,ROW('Input Transaksi'!$B$5:$B$5000)/('Input Transaksi'!$B$5:$B$5000="LONDRI DEWE"),ROWS($E$5:E112)),"")</f>
        <v/>
      </c>
      <c r="F112" s="5" t="n"/>
    </row>
    <row r="113">
      <c r="A113" s="10">
        <f>IF($E113="","",INDEX('Input Transaksi'!$A:$A,$E113))</f>
        <v/>
      </c>
      <c r="B113" s="5">
        <f>IF($E113="","",INDEX('Input Transaksi'!$D:$D,$E113))</f>
        <v/>
      </c>
      <c r="C113">
        <f>IF($E113="","",INDEX('Input Transaksi'!$E:$E,$E113))</f>
        <v/>
      </c>
      <c r="D113" s="5">
        <f>IF($E113="","",INDEX('Input Transaksi'!$F:$F,$E113))</f>
        <v/>
      </c>
      <c r="E113">
        <f>IFERROR(AGGREGATE(15,6,ROW('Input Transaksi'!$B$5:$B$5000)/('Input Transaksi'!$B$5:$B$5000="LONDRI DEWE"),ROWS($E$5:E113)),"")</f>
        <v/>
      </c>
      <c r="F113" s="5" t="n"/>
    </row>
    <row r="114">
      <c r="A114" s="10">
        <f>IF($E114="","",INDEX('Input Transaksi'!$A:$A,$E114))</f>
        <v/>
      </c>
      <c r="B114" s="5">
        <f>IF($E114="","",INDEX('Input Transaksi'!$D:$D,$E114))</f>
        <v/>
      </c>
      <c r="C114">
        <f>IF($E114="","",INDEX('Input Transaksi'!$E:$E,$E114))</f>
        <v/>
      </c>
      <c r="D114" s="5">
        <f>IF($E114="","",INDEX('Input Transaksi'!$F:$F,$E114))</f>
        <v/>
      </c>
      <c r="E114">
        <f>IFERROR(AGGREGATE(15,6,ROW('Input Transaksi'!$B$5:$B$5000)/('Input Transaksi'!$B$5:$B$5000="LONDRI DEWE"),ROWS($E$5:E114)),"")</f>
        <v/>
      </c>
      <c r="F114" s="5" t="n"/>
    </row>
    <row r="115">
      <c r="A115" s="10">
        <f>IF($E115="","",INDEX('Input Transaksi'!$A:$A,$E115))</f>
        <v/>
      </c>
      <c r="B115" s="5">
        <f>IF($E115="","",INDEX('Input Transaksi'!$D:$D,$E115))</f>
        <v/>
      </c>
      <c r="C115">
        <f>IF($E115="","",INDEX('Input Transaksi'!$E:$E,$E115))</f>
        <v/>
      </c>
      <c r="D115" s="5">
        <f>IF($E115="","",INDEX('Input Transaksi'!$F:$F,$E115))</f>
        <v/>
      </c>
      <c r="E115">
        <f>IFERROR(AGGREGATE(15,6,ROW('Input Transaksi'!$B$5:$B$5000)/('Input Transaksi'!$B$5:$B$5000="LONDRI DEWE"),ROWS($E$5:E115)),"")</f>
        <v/>
      </c>
      <c r="F115" s="5" t="n"/>
    </row>
    <row r="116">
      <c r="A116" s="10">
        <f>IF($E116="","",INDEX('Input Transaksi'!$A:$A,$E116))</f>
        <v/>
      </c>
      <c r="B116" s="5">
        <f>IF($E116="","",INDEX('Input Transaksi'!$D:$D,$E116))</f>
        <v/>
      </c>
      <c r="C116">
        <f>IF($E116="","",INDEX('Input Transaksi'!$E:$E,$E116))</f>
        <v/>
      </c>
      <c r="D116" s="5">
        <f>IF($E116="","",INDEX('Input Transaksi'!$F:$F,$E116))</f>
        <v/>
      </c>
      <c r="E116">
        <f>IFERROR(AGGREGATE(15,6,ROW('Input Transaksi'!$B$5:$B$5000)/('Input Transaksi'!$B$5:$B$5000="LONDRI DEWE"),ROWS($E$5:E116)),"")</f>
        <v/>
      </c>
      <c r="F116" s="5" t="n"/>
    </row>
    <row r="117">
      <c r="A117" s="10">
        <f>IF($E117="","",INDEX('Input Transaksi'!$A:$A,$E117))</f>
        <v/>
      </c>
      <c r="B117" s="5">
        <f>IF($E117="","",INDEX('Input Transaksi'!$D:$D,$E117))</f>
        <v/>
      </c>
      <c r="C117">
        <f>IF($E117="","",INDEX('Input Transaksi'!$E:$E,$E117))</f>
        <v/>
      </c>
      <c r="D117" s="5">
        <f>IF($E117="","",INDEX('Input Transaksi'!$F:$F,$E117))</f>
        <v/>
      </c>
      <c r="E117">
        <f>IFERROR(AGGREGATE(15,6,ROW('Input Transaksi'!$B$5:$B$5000)/('Input Transaksi'!$B$5:$B$5000="LONDRI DEWE"),ROWS($E$5:E117)),"")</f>
        <v/>
      </c>
      <c r="F117" s="5" t="n"/>
    </row>
    <row r="118">
      <c r="A118" s="10">
        <f>IF($E118="","",INDEX('Input Transaksi'!$A:$A,$E118))</f>
        <v/>
      </c>
      <c r="B118" s="5">
        <f>IF($E118="","",INDEX('Input Transaksi'!$D:$D,$E118))</f>
        <v/>
      </c>
      <c r="C118">
        <f>IF($E118="","",INDEX('Input Transaksi'!$E:$E,$E118))</f>
        <v/>
      </c>
      <c r="D118" s="5">
        <f>IF($E118="","",INDEX('Input Transaksi'!$F:$F,$E118))</f>
        <v/>
      </c>
      <c r="E118">
        <f>IFERROR(AGGREGATE(15,6,ROW('Input Transaksi'!$B$5:$B$5000)/('Input Transaksi'!$B$5:$B$5000="LONDRI DEWE"),ROWS($E$5:E118)),"")</f>
        <v/>
      </c>
      <c r="F118" s="5" t="n"/>
    </row>
    <row r="119">
      <c r="A119" s="10">
        <f>IF($E119="","",INDEX('Input Transaksi'!$A:$A,$E119))</f>
        <v/>
      </c>
      <c r="B119" s="5">
        <f>IF($E119="","",INDEX('Input Transaksi'!$D:$D,$E119))</f>
        <v/>
      </c>
      <c r="C119">
        <f>IF($E119="","",INDEX('Input Transaksi'!$E:$E,$E119))</f>
        <v/>
      </c>
      <c r="D119" s="5">
        <f>IF($E119="","",INDEX('Input Transaksi'!$F:$F,$E119))</f>
        <v/>
      </c>
      <c r="E119">
        <f>IFERROR(AGGREGATE(15,6,ROW('Input Transaksi'!$B$5:$B$5000)/('Input Transaksi'!$B$5:$B$5000="LONDRI DEWE"),ROWS($E$5:E119)),"")</f>
        <v/>
      </c>
      <c r="F119" s="5" t="n"/>
    </row>
    <row r="120">
      <c r="A120" s="10">
        <f>IF($E120="","",INDEX('Input Transaksi'!$A:$A,$E120))</f>
        <v/>
      </c>
      <c r="B120" s="5">
        <f>IF($E120="","",INDEX('Input Transaksi'!$D:$D,$E120))</f>
        <v/>
      </c>
      <c r="C120">
        <f>IF($E120="","",INDEX('Input Transaksi'!$E:$E,$E120))</f>
        <v/>
      </c>
      <c r="D120" s="5">
        <f>IF($E120="","",INDEX('Input Transaksi'!$F:$F,$E120))</f>
        <v/>
      </c>
      <c r="E120">
        <f>IFERROR(AGGREGATE(15,6,ROW('Input Transaksi'!$B$5:$B$5000)/('Input Transaksi'!$B$5:$B$5000="LONDRI DEWE"),ROWS($E$5:E120)),"")</f>
        <v/>
      </c>
      <c r="F120" s="5" t="n"/>
    </row>
    <row r="121">
      <c r="A121" s="10">
        <f>IF($E121="","",INDEX('Input Transaksi'!$A:$A,$E121))</f>
        <v/>
      </c>
      <c r="B121" s="5">
        <f>IF($E121="","",INDEX('Input Transaksi'!$D:$D,$E121))</f>
        <v/>
      </c>
      <c r="C121">
        <f>IF($E121="","",INDEX('Input Transaksi'!$E:$E,$E121))</f>
        <v/>
      </c>
      <c r="D121" s="5">
        <f>IF($E121="","",INDEX('Input Transaksi'!$F:$F,$E121))</f>
        <v/>
      </c>
      <c r="E121">
        <f>IFERROR(AGGREGATE(15,6,ROW('Input Transaksi'!$B$5:$B$5000)/('Input Transaksi'!$B$5:$B$5000="LONDRI DEWE"),ROWS($E$5:E121)),"")</f>
        <v/>
      </c>
      <c r="F121" s="5" t="n"/>
    </row>
    <row r="122">
      <c r="A122" s="10">
        <f>IF($E122="","",INDEX('Input Transaksi'!$A:$A,$E122))</f>
        <v/>
      </c>
      <c r="B122" s="5">
        <f>IF($E122="","",INDEX('Input Transaksi'!$D:$D,$E122))</f>
        <v/>
      </c>
      <c r="C122">
        <f>IF($E122="","",INDEX('Input Transaksi'!$E:$E,$E122))</f>
        <v/>
      </c>
      <c r="D122" s="5">
        <f>IF($E122="","",INDEX('Input Transaksi'!$F:$F,$E122))</f>
        <v/>
      </c>
      <c r="E122">
        <f>IFERROR(AGGREGATE(15,6,ROW('Input Transaksi'!$B$5:$B$5000)/('Input Transaksi'!$B$5:$B$5000="LONDRI DEWE"),ROWS($E$5:E122)),"")</f>
        <v/>
      </c>
      <c r="F122" s="5" t="n"/>
    </row>
    <row r="123">
      <c r="A123" s="10">
        <f>IF($E123="","",INDEX('Input Transaksi'!$A:$A,$E123))</f>
        <v/>
      </c>
      <c r="B123" s="5">
        <f>IF($E123="","",INDEX('Input Transaksi'!$D:$D,$E123))</f>
        <v/>
      </c>
      <c r="C123">
        <f>IF($E123="","",INDEX('Input Transaksi'!$E:$E,$E123))</f>
        <v/>
      </c>
      <c r="D123" s="5">
        <f>IF($E123="","",INDEX('Input Transaksi'!$F:$F,$E123))</f>
        <v/>
      </c>
      <c r="E123">
        <f>IFERROR(AGGREGATE(15,6,ROW('Input Transaksi'!$B$5:$B$5000)/('Input Transaksi'!$B$5:$B$5000="LONDRI DEWE"),ROWS($E$5:E123)),"")</f>
        <v/>
      </c>
      <c r="F123" s="5" t="n"/>
    </row>
    <row r="124">
      <c r="A124" s="10">
        <f>IF($E124="","",INDEX('Input Transaksi'!$A:$A,$E124))</f>
        <v/>
      </c>
      <c r="B124" s="5">
        <f>IF($E124="","",INDEX('Input Transaksi'!$D:$D,$E124))</f>
        <v/>
      </c>
      <c r="C124">
        <f>IF($E124="","",INDEX('Input Transaksi'!$E:$E,$E124))</f>
        <v/>
      </c>
      <c r="D124" s="5">
        <f>IF($E124="","",INDEX('Input Transaksi'!$F:$F,$E124))</f>
        <v/>
      </c>
      <c r="E124">
        <f>IFERROR(AGGREGATE(15,6,ROW('Input Transaksi'!$B$5:$B$5000)/('Input Transaksi'!$B$5:$B$5000="LONDRI DEWE"),ROWS($E$5:E124)),"")</f>
        <v/>
      </c>
      <c r="F124" s="5" t="n"/>
    </row>
    <row r="125">
      <c r="A125" s="10">
        <f>IF($E125="","",INDEX('Input Transaksi'!$A:$A,$E125))</f>
        <v/>
      </c>
      <c r="B125" s="5">
        <f>IF($E125="","",INDEX('Input Transaksi'!$D:$D,$E125))</f>
        <v/>
      </c>
      <c r="C125">
        <f>IF($E125="","",INDEX('Input Transaksi'!$E:$E,$E125))</f>
        <v/>
      </c>
      <c r="D125" s="5">
        <f>IF($E125="","",INDEX('Input Transaksi'!$F:$F,$E125))</f>
        <v/>
      </c>
      <c r="E125">
        <f>IFERROR(AGGREGATE(15,6,ROW('Input Transaksi'!$B$5:$B$5000)/('Input Transaksi'!$B$5:$B$5000="LONDRI DEWE"),ROWS($E$5:E125)),"")</f>
        <v/>
      </c>
      <c r="F125" s="5" t="n"/>
    </row>
    <row r="126">
      <c r="A126" s="10">
        <f>IF($E126="","",INDEX('Input Transaksi'!$A:$A,$E126))</f>
        <v/>
      </c>
      <c r="B126" s="5">
        <f>IF($E126="","",INDEX('Input Transaksi'!$D:$D,$E126))</f>
        <v/>
      </c>
      <c r="C126">
        <f>IF($E126="","",INDEX('Input Transaksi'!$E:$E,$E126))</f>
        <v/>
      </c>
      <c r="D126" s="5">
        <f>IF($E126="","",INDEX('Input Transaksi'!$F:$F,$E126))</f>
        <v/>
      </c>
      <c r="E126">
        <f>IFERROR(AGGREGATE(15,6,ROW('Input Transaksi'!$B$5:$B$5000)/('Input Transaksi'!$B$5:$B$5000="LONDRI DEWE"),ROWS($E$5:E126)),"")</f>
        <v/>
      </c>
      <c r="F126" s="5" t="n"/>
    </row>
    <row r="127">
      <c r="A127" s="10">
        <f>IF($E127="","",INDEX('Input Transaksi'!$A:$A,$E127))</f>
        <v/>
      </c>
      <c r="B127" s="5">
        <f>IF($E127="","",INDEX('Input Transaksi'!$D:$D,$E127))</f>
        <v/>
      </c>
      <c r="C127">
        <f>IF($E127="","",INDEX('Input Transaksi'!$E:$E,$E127))</f>
        <v/>
      </c>
      <c r="D127" s="5">
        <f>IF($E127="","",INDEX('Input Transaksi'!$F:$F,$E127))</f>
        <v/>
      </c>
      <c r="E127">
        <f>IFERROR(AGGREGATE(15,6,ROW('Input Transaksi'!$B$5:$B$5000)/('Input Transaksi'!$B$5:$B$5000="LONDRI DEWE"),ROWS($E$5:E127)),"")</f>
        <v/>
      </c>
      <c r="F127" s="5" t="n"/>
    </row>
    <row r="128">
      <c r="A128" s="10">
        <f>IF($E128="","",INDEX('Input Transaksi'!$A:$A,$E128))</f>
        <v/>
      </c>
      <c r="B128" s="5">
        <f>IF($E128="","",INDEX('Input Transaksi'!$D:$D,$E128))</f>
        <v/>
      </c>
      <c r="C128">
        <f>IF($E128="","",INDEX('Input Transaksi'!$E:$E,$E128))</f>
        <v/>
      </c>
      <c r="D128" s="5">
        <f>IF($E128="","",INDEX('Input Transaksi'!$F:$F,$E128))</f>
        <v/>
      </c>
      <c r="E128">
        <f>IFERROR(AGGREGATE(15,6,ROW('Input Transaksi'!$B$5:$B$5000)/('Input Transaksi'!$B$5:$B$5000="LONDRI DEWE"),ROWS($E$5:E128)),"")</f>
        <v/>
      </c>
      <c r="F128" s="5" t="n"/>
    </row>
    <row r="129">
      <c r="A129" s="10">
        <f>IF($E129="","",INDEX('Input Transaksi'!$A:$A,$E129))</f>
        <v/>
      </c>
      <c r="B129" s="5">
        <f>IF($E129="","",INDEX('Input Transaksi'!$D:$D,$E129))</f>
        <v/>
      </c>
      <c r="C129">
        <f>IF($E129="","",INDEX('Input Transaksi'!$E:$E,$E129))</f>
        <v/>
      </c>
      <c r="D129" s="5">
        <f>IF($E129="","",INDEX('Input Transaksi'!$F:$F,$E129))</f>
        <v/>
      </c>
      <c r="E129">
        <f>IFERROR(AGGREGATE(15,6,ROW('Input Transaksi'!$B$5:$B$5000)/('Input Transaksi'!$B$5:$B$5000="LONDRI DEWE"),ROWS($E$5:E129)),"")</f>
        <v/>
      </c>
      <c r="F129" s="5" t="n"/>
    </row>
    <row r="130">
      <c r="A130" s="10">
        <f>IF($E130="","",INDEX('Input Transaksi'!$A:$A,$E130))</f>
        <v/>
      </c>
      <c r="B130" s="5">
        <f>IF($E130="","",INDEX('Input Transaksi'!$D:$D,$E130))</f>
        <v/>
      </c>
      <c r="C130">
        <f>IF($E130="","",INDEX('Input Transaksi'!$E:$E,$E130))</f>
        <v/>
      </c>
      <c r="D130" s="5">
        <f>IF($E130="","",INDEX('Input Transaksi'!$F:$F,$E130))</f>
        <v/>
      </c>
      <c r="E130">
        <f>IFERROR(AGGREGATE(15,6,ROW('Input Transaksi'!$B$5:$B$5000)/('Input Transaksi'!$B$5:$B$5000="LONDRI DEWE"),ROWS($E$5:E130)),"")</f>
        <v/>
      </c>
      <c r="F130" s="5" t="n"/>
    </row>
    <row r="131">
      <c r="A131" s="10">
        <f>IF($E131="","",INDEX('Input Transaksi'!$A:$A,$E131))</f>
        <v/>
      </c>
      <c r="B131" s="5">
        <f>IF($E131="","",INDEX('Input Transaksi'!$D:$D,$E131))</f>
        <v/>
      </c>
      <c r="C131">
        <f>IF($E131="","",INDEX('Input Transaksi'!$E:$E,$E131))</f>
        <v/>
      </c>
      <c r="D131" s="5">
        <f>IF($E131="","",INDEX('Input Transaksi'!$F:$F,$E131))</f>
        <v/>
      </c>
      <c r="E131">
        <f>IFERROR(AGGREGATE(15,6,ROW('Input Transaksi'!$B$5:$B$5000)/('Input Transaksi'!$B$5:$B$5000="LONDRI DEWE"),ROWS($E$5:E131)),"")</f>
        <v/>
      </c>
      <c r="F131" s="5" t="n"/>
    </row>
    <row r="132">
      <c r="A132" s="10">
        <f>IF($E132="","",INDEX('Input Transaksi'!$A:$A,$E132))</f>
        <v/>
      </c>
      <c r="B132" s="5">
        <f>IF($E132="","",INDEX('Input Transaksi'!$D:$D,$E132))</f>
        <v/>
      </c>
      <c r="C132">
        <f>IF($E132="","",INDEX('Input Transaksi'!$E:$E,$E132))</f>
        <v/>
      </c>
      <c r="D132" s="5">
        <f>IF($E132="","",INDEX('Input Transaksi'!$F:$F,$E132))</f>
        <v/>
      </c>
      <c r="E132">
        <f>IFERROR(AGGREGATE(15,6,ROW('Input Transaksi'!$B$5:$B$5000)/('Input Transaksi'!$B$5:$B$5000="LONDRI DEWE"),ROWS($E$5:E132)),"")</f>
        <v/>
      </c>
      <c r="F132" s="5" t="n"/>
    </row>
    <row r="133">
      <c r="A133" s="10">
        <f>IF($E133="","",INDEX('Input Transaksi'!$A:$A,$E133))</f>
        <v/>
      </c>
      <c r="B133" s="5">
        <f>IF($E133="","",INDEX('Input Transaksi'!$D:$D,$E133))</f>
        <v/>
      </c>
      <c r="C133">
        <f>IF($E133="","",INDEX('Input Transaksi'!$E:$E,$E133))</f>
        <v/>
      </c>
      <c r="D133" s="5">
        <f>IF($E133="","",INDEX('Input Transaksi'!$F:$F,$E133))</f>
        <v/>
      </c>
      <c r="E133">
        <f>IFERROR(AGGREGATE(15,6,ROW('Input Transaksi'!$B$5:$B$5000)/('Input Transaksi'!$B$5:$B$5000="LONDRI DEWE"),ROWS($E$5:E133)),"")</f>
        <v/>
      </c>
      <c r="F133" s="5" t="n"/>
    </row>
    <row r="134">
      <c r="A134" s="10">
        <f>IF($E134="","",INDEX('Input Transaksi'!$A:$A,$E134))</f>
        <v/>
      </c>
      <c r="B134" s="5">
        <f>IF($E134="","",INDEX('Input Transaksi'!$D:$D,$E134))</f>
        <v/>
      </c>
      <c r="C134">
        <f>IF($E134="","",INDEX('Input Transaksi'!$E:$E,$E134))</f>
        <v/>
      </c>
      <c r="D134" s="5">
        <f>IF($E134="","",INDEX('Input Transaksi'!$F:$F,$E134))</f>
        <v/>
      </c>
      <c r="E134">
        <f>IFERROR(AGGREGATE(15,6,ROW('Input Transaksi'!$B$5:$B$5000)/('Input Transaksi'!$B$5:$B$5000="LONDRI DEWE"),ROWS($E$5:E134)),"")</f>
        <v/>
      </c>
      <c r="F134" s="5" t="n"/>
    </row>
    <row r="135">
      <c r="A135" s="10">
        <f>IF($E135="","",INDEX('Input Transaksi'!$A:$A,$E135))</f>
        <v/>
      </c>
      <c r="B135" s="5">
        <f>IF($E135="","",INDEX('Input Transaksi'!$D:$D,$E135))</f>
        <v/>
      </c>
      <c r="C135">
        <f>IF($E135="","",INDEX('Input Transaksi'!$E:$E,$E135))</f>
        <v/>
      </c>
      <c r="D135" s="5">
        <f>IF($E135="","",INDEX('Input Transaksi'!$F:$F,$E135))</f>
        <v/>
      </c>
      <c r="E135">
        <f>IFERROR(AGGREGATE(15,6,ROW('Input Transaksi'!$B$5:$B$5000)/('Input Transaksi'!$B$5:$B$5000="LONDRI DEWE"),ROWS($E$5:E135)),"")</f>
        <v/>
      </c>
      <c r="F135" s="5" t="n"/>
    </row>
    <row r="136">
      <c r="A136" s="10">
        <f>IF($E136="","",INDEX('Input Transaksi'!$A:$A,$E136))</f>
        <v/>
      </c>
      <c r="B136" s="5">
        <f>IF($E136="","",INDEX('Input Transaksi'!$D:$D,$E136))</f>
        <v/>
      </c>
      <c r="C136">
        <f>IF($E136="","",INDEX('Input Transaksi'!$E:$E,$E136))</f>
        <v/>
      </c>
      <c r="D136" s="5">
        <f>IF($E136="","",INDEX('Input Transaksi'!$F:$F,$E136))</f>
        <v/>
      </c>
      <c r="E136">
        <f>IFERROR(AGGREGATE(15,6,ROW('Input Transaksi'!$B$5:$B$5000)/('Input Transaksi'!$B$5:$B$5000="LONDRI DEWE"),ROWS($E$5:E136)),"")</f>
        <v/>
      </c>
      <c r="F136" s="5" t="n"/>
    </row>
    <row r="137">
      <c r="A137" s="10">
        <f>IF($E137="","",INDEX('Input Transaksi'!$A:$A,$E137))</f>
        <v/>
      </c>
      <c r="B137" s="5">
        <f>IF($E137="","",INDEX('Input Transaksi'!$D:$D,$E137))</f>
        <v/>
      </c>
      <c r="C137">
        <f>IF($E137="","",INDEX('Input Transaksi'!$E:$E,$E137))</f>
        <v/>
      </c>
      <c r="D137" s="5">
        <f>IF($E137="","",INDEX('Input Transaksi'!$F:$F,$E137))</f>
        <v/>
      </c>
      <c r="E137">
        <f>IFERROR(AGGREGATE(15,6,ROW('Input Transaksi'!$B$5:$B$5000)/('Input Transaksi'!$B$5:$B$5000="LONDRI DEWE"),ROWS($E$5:E137)),"")</f>
        <v/>
      </c>
      <c r="F137" s="5" t="n"/>
    </row>
    <row r="138">
      <c r="A138" s="10">
        <f>IF($E138="","",INDEX('Input Transaksi'!$A:$A,$E138))</f>
        <v/>
      </c>
      <c r="B138" s="5">
        <f>IF($E138="","",INDEX('Input Transaksi'!$D:$D,$E138))</f>
        <v/>
      </c>
      <c r="C138">
        <f>IF($E138="","",INDEX('Input Transaksi'!$E:$E,$E138))</f>
        <v/>
      </c>
      <c r="D138" s="5">
        <f>IF($E138="","",INDEX('Input Transaksi'!$F:$F,$E138))</f>
        <v/>
      </c>
      <c r="E138">
        <f>IFERROR(AGGREGATE(15,6,ROW('Input Transaksi'!$B$5:$B$5000)/('Input Transaksi'!$B$5:$B$5000="LONDRI DEWE"),ROWS($E$5:E138)),"")</f>
        <v/>
      </c>
      <c r="F138" s="5" t="n"/>
    </row>
    <row r="139">
      <c r="A139" s="10">
        <f>IF($E139="","",INDEX('Input Transaksi'!$A:$A,$E139))</f>
        <v/>
      </c>
      <c r="B139" s="5">
        <f>IF($E139="","",INDEX('Input Transaksi'!$D:$D,$E139))</f>
        <v/>
      </c>
      <c r="C139">
        <f>IF($E139="","",INDEX('Input Transaksi'!$E:$E,$E139))</f>
        <v/>
      </c>
      <c r="D139" s="5">
        <f>IF($E139="","",INDEX('Input Transaksi'!$F:$F,$E139))</f>
        <v/>
      </c>
      <c r="E139">
        <f>IFERROR(AGGREGATE(15,6,ROW('Input Transaksi'!$B$5:$B$5000)/('Input Transaksi'!$B$5:$B$5000="LONDRI DEWE"),ROWS($E$5:E139)),"")</f>
        <v/>
      </c>
      <c r="F139" s="5" t="n"/>
    </row>
    <row r="140">
      <c r="A140" s="10">
        <f>IF($E140="","",INDEX('Input Transaksi'!$A:$A,$E140))</f>
        <v/>
      </c>
      <c r="B140" s="5">
        <f>IF($E140="","",INDEX('Input Transaksi'!$D:$D,$E140))</f>
        <v/>
      </c>
      <c r="C140">
        <f>IF($E140="","",INDEX('Input Transaksi'!$E:$E,$E140))</f>
        <v/>
      </c>
      <c r="D140" s="5">
        <f>IF($E140="","",INDEX('Input Transaksi'!$F:$F,$E140))</f>
        <v/>
      </c>
      <c r="E140">
        <f>IFERROR(AGGREGATE(15,6,ROW('Input Transaksi'!$B$5:$B$5000)/('Input Transaksi'!$B$5:$B$5000="LONDRI DEWE"),ROWS($E$5:E140)),"")</f>
        <v/>
      </c>
      <c r="F140" s="5" t="n"/>
    </row>
    <row r="141">
      <c r="A141" s="10">
        <f>IF($E141="","",INDEX('Input Transaksi'!$A:$A,$E141))</f>
        <v/>
      </c>
      <c r="B141" s="5">
        <f>IF($E141="","",INDEX('Input Transaksi'!$D:$D,$E141))</f>
        <v/>
      </c>
      <c r="C141">
        <f>IF($E141="","",INDEX('Input Transaksi'!$E:$E,$E141))</f>
        <v/>
      </c>
      <c r="D141" s="5">
        <f>IF($E141="","",INDEX('Input Transaksi'!$F:$F,$E141))</f>
        <v/>
      </c>
      <c r="E141">
        <f>IFERROR(AGGREGATE(15,6,ROW('Input Transaksi'!$B$5:$B$5000)/('Input Transaksi'!$B$5:$B$5000="LONDRI DEWE"),ROWS($E$5:E141)),"")</f>
        <v/>
      </c>
      <c r="F141" s="5" t="n"/>
    </row>
    <row r="142">
      <c r="A142" s="10">
        <f>IF($E142="","",INDEX('Input Transaksi'!$A:$A,$E142))</f>
        <v/>
      </c>
      <c r="B142" s="5">
        <f>IF($E142="","",INDEX('Input Transaksi'!$D:$D,$E142))</f>
        <v/>
      </c>
      <c r="C142">
        <f>IF($E142="","",INDEX('Input Transaksi'!$E:$E,$E142))</f>
        <v/>
      </c>
      <c r="D142" s="5">
        <f>IF($E142="","",INDEX('Input Transaksi'!$F:$F,$E142))</f>
        <v/>
      </c>
      <c r="E142">
        <f>IFERROR(AGGREGATE(15,6,ROW('Input Transaksi'!$B$5:$B$5000)/('Input Transaksi'!$B$5:$B$5000="LONDRI DEWE"),ROWS($E$5:E142)),"")</f>
        <v/>
      </c>
      <c r="F142" s="5" t="n"/>
    </row>
    <row r="143">
      <c r="A143" s="10">
        <f>IF($E143="","",INDEX('Input Transaksi'!$A:$A,$E143))</f>
        <v/>
      </c>
      <c r="B143" s="5">
        <f>IF($E143="","",INDEX('Input Transaksi'!$D:$D,$E143))</f>
        <v/>
      </c>
      <c r="C143">
        <f>IF($E143="","",INDEX('Input Transaksi'!$E:$E,$E143))</f>
        <v/>
      </c>
      <c r="D143" s="5">
        <f>IF($E143="","",INDEX('Input Transaksi'!$F:$F,$E143))</f>
        <v/>
      </c>
      <c r="E143">
        <f>IFERROR(AGGREGATE(15,6,ROW('Input Transaksi'!$B$5:$B$5000)/('Input Transaksi'!$B$5:$B$5000="LONDRI DEWE"),ROWS($E$5:E143)),"")</f>
        <v/>
      </c>
      <c r="F143" s="5" t="n"/>
    </row>
    <row r="144">
      <c r="A144" s="10">
        <f>IF($E144="","",INDEX('Input Transaksi'!$A:$A,$E144))</f>
        <v/>
      </c>
      <c r="B144" s="5">
        <f>IF($E144="","",INDEX('Input Transaksi'!$D:$D,$E144))</f>
        <v/>
      </c>
      <c r="C144">
        <f>IF($E144="","",INDEX('Input Transaksi'!$E:$E,$E144))</f>
        <v/>
      </c>
      <c r="D144" s="5">
        <f>IF($E144="","",INDEX('Input Transaksi'!$F:$F,$E144))</f>
        <v/>
      </c>
      <c r="E144">
        <f>IFERROR(AGGREGATE(15,6,ROW('Input Transaksi'!$B$5:$B$5000)/('Input Transaksi'!$B$5:$B$5000="LONDRI DEWE"),ROWS($E$5:E144)),"")</f>
        <v/>
      </c>
      <c r="F144" s="5" t="n"/>
    </row>
    <row r="145">
      <c r="A145" s="10">
        <f>IF($E145="","",INDEX('Input Transaksi'!$A:$A,$E145))</f>
        <v/>
      </c>
      <c r="B145" s="5">
        <f>IF($E145="","",INDEX('Input Transaksi'!$D:$D,$E145))</f>
        <v/>
      </c>
      <c r="C145">
        <f>IF($E145="","",INDEX('Input Transaksi'!$E:$E,$E145))</f>
        <v/>
      </c>
      <c r="D145" s="5">
        <f>IF($E145="","",INDEX('Input Transaksi'!$F:$F,$E145))</f>
        <v/>
      </c>
      <c r="E145">
        <f>IFERROR(AGGREGATE(15,6,ROW('Input Transaksi'!$B$5:$B$5000)/('Input Transaksi'!$B$5:$B$5000="LONDRI DEWE"),ROWS($E$5:E145)),"")</f>
        <v/>
      </c>
      <c r="F145" s="5" t="n"/>
    </row>
    <row r="146">
      <c r="A146" s="10">
        <f>IF($E146="","",INDEX('Input Transaksi'!$A:$A,$E146))</f>
        <v/>
      </c>
      <c r="B146" s="5">
        <f>IF($E146="","",INDEX('Input Transaksi'!$D:$D,$E146))</f>
        <v/>
      </c>
      <c r="C146">
        <f>IF($E146="","",INDEX('Input Transaksi'!$E:$E,$E146))</f>
        <v/>
      </c>
      <c r="D146" s="5">
        <f>IF($E146="","",INDEX('Input Transaksi'!$F:$F,$E146))</f>
        <v/>
      </c>
      <c r="E146">
        <f>IFERROR(AGGREGATE(15,6,ROW('Input Transaksi'!$B$5:$B$5000)/('Input Transaksi'!$B$5:$B$5000="LONDRI DEWE"),ROWS($E$5:E146)),"")</f>
        <v/>
      </c>
      <c r="F146" s="5" t="n"/>
    </row>
    <row r="147">
      <c r="A147" s="10">
        <f>IF($E147="","",INDEX('Input Transaksi'!$A:$A,$E147))</f>
        <v/>
      </c>
      <c r="B147" s="5">
        <f>IF($E147="","",INDEX('Input Transaksi'!$D:$D,$E147))</f>
        <v/>
      </c>
      <c r="C147">
        <f>IF($E147="","",INDEX('Input Transaksi'!$E:$E,$E147))</f>
        <v/>
      </c>
      <c r="D147" s="5">
        <f>IF($E147="","",INDEX('Input Transaksi'!$F:$F,$E147))</f>
        <v/>
      </c>
      <c r="E147">
        <f>IFERROR(AGGREGATE(15,6,ROW('Input Transaksi'!$B$5:$B$5000)/('Input Transaksi'!$B$5:$B$5000="LONDRI DEWE"),ROWS($E$5:E147)),"")</f>
        <v/>
      </c>
      <c r="F147" s="5" t="n"/>
    </row>
    <row r="148">
      <c r="A148" s="10">
        <f>IF($E148="","",INDEX('Input Transaksi'!$A:$A,$E148))</f>
        <v/>
      </c>
      <c r="B148" s="5">
        <f>IF($E148="","",INDEX('Input Transaksi'!$D:$D,$E148))</f>
        <v/>
      </c>
      <c r="C148">
        <f>IF($E148="","",INDEX('Input Transaksi'!$E:$E,$E148))</f>
        <v/>
      </c>
      <c r="D148" s="5">
        <f>IF($E148="","",INDEX('Input Transaksi'!$F:$F,$E148))</f>
        <v/>
      </c>
      <c r="E148">
        <f>IFERROR(AGGREGATE(15,6,ROW('Input Transaksi'!$B$5:$B$5000)/('Input Transaksi'!$B$5:$B$5000="LONDRI DEWE"),ROWS($E$5:E148)),"")</f>
        <v/>
      </c>
      <c r="F148" s="5" t="n"/>
    </row>
    <row r="149">
      <c r="A149" s="10">
        <f>IF($E149="","",INDEX('Input Transaksi'!$A:$A,$E149))</f>
        <v/>
      </c>
      <c r="B149" s="5">
        <f>IF($E149="","",INDEX('Input Transaksi'!$D:$D,$E149))</f>
        <v/>
      </c>
      <c r="C149">
        <f>IF($E149="","",INDEX('Input Transaksi'!$E:$E,$E149))</f>
        <v/>
      </c>
      <c r="D149" s="5">
        <f>IF($E149="","",INDEX('Input Transaksi'!$F:$F,$E149))</f>
        <v/>
      </c>
      <c r="E149">
        <f>IFERROR(AGGREGATE(15,6,ROW('Input Transaksi'!$B$5:$B$5000)/('Input Transaksi'!$B$5:$B$5000="LONDRI DEWE"),ROWS($E$5:E149)),"")</f>
        <v/>
      </c>
      <c r="F149" s="5" t="n"/>
    </row>
    <row r="150">
      <c r="A150" s="10">
        <f>IF($E150="","",INDEX('Input Transaksi'!$A:$A,$E150))</f>
        <v/>
      </c>
      <c r="B150" s="5">
        <f>IF($E150="","",INDEX('Input Transaksi'!$D:$D,$E150))</f>
        <v/>
      </c>
      <c r="C150">
        <f>IF($E150="","",INDEX('Input Transaksi'!$E:$E,$E150))</f>
        <v/>
      </c>
      <c r="D150" s="5">
        <f>IF($E150="","",INDEX('Input Transaksi'!$F:$F,$E150))</f>
        <v/>
      </c>
      <c r="E150">
        <f>IFERROR(AGGREGATE(15,6,ROW('Input Transaksi'!$B$5:$B$5000)/('Input Transaksi'!$B$5:$B$5000="LONDRI DEWE"),ROWS($E$5:E150)),"")</f>
        <v/>
      </c>
      <c r="F150" s="5" t="n"/>
    </row>
    <row r="151">
      <c r="A151" s="10">
        <f>IF($E151="","",INDEX('Input Transaksi'!$A:$A,$E151))</f>
        <v/>
      </c>
      <c r="B151" s="5">
        <f>IF($E151="","",INDEX('Input Transaksi'!$D:$D,$E151))</f>
        <v/>
      </c>
      <c r="C151">
        <f>IF($E151="","",INDEX('Input Transaksi'!$E:$E,$E151))</f>
        <v/>
      </c>
      <c r="D151" s="5">
        <f>IF($E151="","",INDEX('Input Transaksi'!$F:$F,$E151))</f>
        <v/>
      </c>
      <c r="E151">
        <f>IFERROR(AGGREGATE(15,6,ROW('Input Transaksi'!$B$5:$B$5000)/('Input Transaksi'!$B$5:$B$5000="LONDRI DEWE"),ROWS($E$5:E151)),"")</f>
        <v/>
      </c>
      <c r="F151" s="5" t="n"/>
    </row>
    <row r="152">
      <c r="A152" s="10">
        <f>IF($E152="","",INDEX('Input Transaksi'!$A:$A,$E152))</f>
        <v/>
      </c>
      <c r="B152" s="5">
        <f>IF($E152="","",INDEX('Input Transaksi'!$D:$D,$E152))</f>
        <v/>
      </c>
      <c r="C152">
        <f>IF($E152="","",INDEX('Input Transaksi'!$E:$E,$E152))</f>
        <v/>
      </c>
      <c r="D152" s="5">
        <f>IF($E152="","",INDEX('Input Transaksi'!$F:$F,$E152))</f>
        <v/>
      </c>
      <c r="E152">
        <f>IFERROR(AGGREGATE(15,6,ROW('Input Transaksi'!$B$5:$B$5000)/('Input Transaksi'!$B$5:$B$5000="LONDRI DEWE"),ROWS($E$5:E152)),"")</f>
        <v/>
      </c>
      <c r="F152" s="5" t="n"/>
    </row>
    <row r="153">
      <c r="A153" s="10">
        <f>IF($E153="","",INDEX('Input Transaksi'!$A:$A,$E153))</f>
        <v/>
      </c>
      <c r="B153" s="5">
        <f>IF($E153="","",INDEX('Input Transaksi'!$D:$D,$E153))</f>
        <v/>
      </c>
      <c r="C153">
        <f>IF($E153="","",INDEX('Input Transaksi'!$E:$E,$E153))</f>
        <v/>
      </c>
      <c r="D153" s="5">
        <f>IF($E153="","",INDEX('Input Transaksi'!$F:$F,$E153))</f>
        <v/>
      </c>
      <c r="E153">
        <f>IFERROR(AGGREGATE(15,6,ROW('Input Transaksi'!$B$5:$B$5000)/('Input Transaksi'!$B$5:$B$5000="LONDRI DEWE"),ROWS($E$5:E153)),"")</f>
        <v/>
      </c>
      <c r="F153" s="5" t="n"/>
    </row>
    <row r="154">
      <c r="A154" s="10">
        <f>IF($E154="","",INDEX('Input Transaksi'!$A:$A,$E154))</f>
        <v/>
      </c>
      <c r="B154" s="5">
        <f>IF($E154="","",INDEX('Input Transaksi'!$D:$D,$E154))</f>
        <v/>
      </c>
      <c r="C154">
        <f>IF($E154="","",INDEX('Input Transaksi'!$E:$E,$E154))</f>
        <v/>
      </c>
      <c r="D154" s="5">
        <f>IF($E154="","",INDEX('Input Transaksi'!$F:$F,$E154))</f>
        <v/>
      </c>
      <c r="E154">
        <f>IFERROR(AGGREGATE(15,6,ROW('Input Transaksi'!$B$5:$B$5000)/('Input Transaksi'!$B$5:$B$5000="LONDRI DEWE"),ROWS($E$5:E154)),"")</f>
        <v/>
      </c>
      <c r="F154" s="5" t="n"/>
    </row>
    <row r="155">
      <c r="A155" s="10">
        <f>IF($E155="","",INDEX('Input Transaksi'!$A:$A,$E155))</f>
        <v/>
      </c>
      <c r="B155" s="5">
        <f>IF($E155="","",INDEX('Input Transaksi'!$D:$D,$E155))</f>
        <v/>
      </c>
      <c r="C155">
        <f>IF($E155="","",INDEX('Input Transaksi'!$E:$E,$E155))</f>
        <v/>
      </c>
      <c r="D155" s="5">
        <f>IF($E155="","",INDEX('Input Transaksi'!$F:$F,$E155))</f>
        <v/>
      </c>
      <c r="E155">
        <f>IFERROR(AGGREGATE(15,6,ROW('Input Transaksi'!$B$5:$B$5000)/('Input Transaksi'!$B$5:$B$5000="LONDRI DEWE"),ROWS($E$5:E155)),"")</f>
        <v/>
      </c>
      <c r="F155" s="5" t="n"/>
    </row>
    <row r="156">
      <c r="A156" s="10">
        <f>IF($E156="","",INDEX('Input Transaksi'!$A:$A,$E156))</f>
        <v/>
      </c>
      <c r="B156" s="5">
        <f>IF($E156="","",INDEX('Input Transaksi'!$D:$D,$E156))</f>
        <v/>
      </c>
      <c r="C156">
        <f>IF($E156="","",INDEX('Input Transaksi'!$E:$E,$E156))</f>
        <v/>
      </c>
      <c r="D156" s="5">
        <f>IF($E156="","",INDEX('Input Transaksi'!$F:$F,$E156))</f>
        <v/>
      </c>
      <c r="E156">
        <f>IFERROR(AGGREGATE(15,6,ROW('Input Transaksi'!$B$5:$B$5000)/('Input Transaksi'!$B$5:$B$5000="LONDRI DEWE"),ROWS($E$5:E156)),"")</f>
        <v/>
      </c>
      <c r="F156" s="5" t="n"/>
    </row>
    <row r="157">
      <c r="A157" s="10">
        <f>IF($E157="","",INDEX('Input Transaksi'!$A:$A,$E157))</f>
        <v/>
      </c>
      <c r="B157" s="5">
        <f>IF($E157="","",INDEX('Input Transaksi'!$D:$D,$E157))</f>
        <v/>
      </c>
      <c r="C157">
        <f>IF($E157="","",INDEX('Input Transaksi'!$E:$E,$E157))</f>
        <v/>
      </c>
      <c r="D157" s="5">
        <f>IF($E157="","",INDEX('Input Transaksi'!$F:$F,$E157))</f>
        <v/>
      </c>
      <c r="E157">
        <f>IFERROR(AGGREGATE(15,6,ROW('Input Transaksi'!$B$5:$B$5000)/('Input Transaksi'!$B$5:$B$5000="LONDRI DEWE"),ROWS($E$5:E157)),"")</f>
        <v/>
      </c>
      <c r="F157" s="5" t="n"/>
    </row>
    <row r="158">
      <c r="A158" s="10">
        <f>IF($E158="","",INDEX('Input Transaksi'!$A:$A,$E158))</f>
        <v/>
      </c>
      <c r="B158" s="5">
        <f>IF($E158="","",INDEX('Input Transaksi'!$D:$D,$E158))</f>
        <v/>
      </c>
      <c r="C158">
        <f>IF($E158="","",INDEX('Input Transaksi'!$E:$E,$E158))</f>
        <v/>
      </c>
      <c r="D158" s="5">
        <f>IF($E158="","",INDEX('Input Transaksi'!$F:$F,$E158))</f>
        <v/>
      </c>
      <c r="E158">
        <f>IFERROR(AGGREGATE(15,6,ROW('Input Transaksi'!$B$5:$B$5000)/('Input Transaksi'!$B$5:$B$5000="LONDRI DEWE"),ROWS($E$5:E158)),"")</f>
        <v/>
      </c>
      <c r="F158" s="5" t="n"/>
    </row>
    <row r="159">
      <c r="A159" s="10">
        <f>IF($E159="","",INDEX('Input Transaksi'!$A:$A,$E159))</f>
        <v/>
      </c>
      <c r="B159" s="5">
        <f>IF($E159="","",INDEX('Input Transaksi'!$D:$D,$E159))</f>
        <v/>
      </c>
      <c r="C159">
        <f>IF($E159="","",INDEX('Input Transaksi'!$E:$E,$E159))</f>
        <v/>
      </c>
      <c r="D159" s="5">
        <f>IF($E159="","",INDEX('Input Transaksi'!$F:$F,$E159))</f>
        <v/>
      </c>
      <c r="E159">
        <f>IFERROR(AGGREGATE(15,6,ROW('Input Transaksi'!$B$5:$B$5000)/('Input Transaksi'!$B$5:$B$5000="LONDRI DEWE"),ROWS($E$5:E159)),"")</f>
        <v/>
      </c>
      <c r="F159" s="5" t="n"/>
    </row>
    <row r="160">
      <c r="A160" s="10">
        <f>IF($E160="","",INDEX('Input Transaksi'!$A:$A,$E160))</f>
        <v/>
      </c>
      <c r="B160" s="5">
        <f>IF($E160="","",INDEX('Input Transaksi'!$D:$D,$E160))</f>
        <v/>
      </c>
      <c r="C160">
        <f>IF($E160="","",INDEX('Input Transaksi'!$E:$E,$E160))</f>
        <v/>
      </c>
      <c r="D160" s="5">
        <f>IF($E160="","",INDEX('Input Transaksi'!$F:$F,$E160))</f>
        <v/>
      </c>
      <c r="E160">
        <f>IFERROR(AGGREGATE(15,6,ROW('Input Transaksi'!$B$5:$B$5000)/('Input Transaksi'!$B$5:$B$5000="LONDRI DEWE"),ROWS($E$5:E160)),"")</f>
        <v/>
      </c>
      <c r="F160" s="5" t="n"/>
    </row>
    <row r="161">
      <c r="A161" s="10">
        <f>IF($E161="","",INDEX('Input Transaksi'!$A:$A,$E161))</f>
        <v/>
      </c>
      <c r="B161" s="5">
        <f>IF($E161="","",INDEX('Input Transaksi'!$D:$D,$E161))</f>
        <v/>
      </c>
      <c r="C161">
        <f>IF($E161="","",INDEX('Input Transaksi'!$E:$E,$E161))</f>
        <v/>
      </c>
      <c r="D161" s="5">
        <f>IF($E161="","",INDEX('Input Transaksi'!$F:$F,$E161))</f>
        <v/>
      </c>
      <c r="E161">
        <f>IFERROR(AGGREGATE(15,6,ROW('Input Transaksi'!$B$5:$B$5000)/('Input Transaksi'!$B$5:$B$5000="LONDRI DEWE"),ROWS($E$5:E161)),"")</f>
        <v/>
      </c>
      <c r="F161" s="5" t="n"/>
    </row>
    <row r="162">
      <c r="A162" s="10">
        <f>IF($E162="","",INDEX('Input Transaksi'!$A:$A,$E162))</f>
        <v/>
      </c>
      <c r="B162" s="5">
        <f>IF($E162="","",INDEX('Input Transaksi'!$D:$D,$E162))</f>
        <v/>
      </c>
      <c r="C162">
        <f>IF($E162="","",INDEX('Input Transaksi'!$E:$E,$E162))</f>
        <v/>
      </c>
      <c r="D162" s="5">
        <f>IF($E162="","",INDEX('Input Transaksi'!$F:$F,$E162))</f>
        <v/>
      </c>
      <c r="E162">
        <f>IFERROR(AGGREGATE(15,6,ROW('Input Transaksi'!$B$5:$B$5000)/('Input Transaksi'!$B$5:$B$5000="LONDRI DEWE"),ROWS($E$5:E162)),"")</f>
        <v/>
      </c>
      <c r="F162" s="5" t="n"/>
    </row>
    <row r="163">
      <c r="A163" s="10">
        <f>IF($E163="","",INDEX('Input Transaksi'!$A:$A,$E163))</f>
        <v/>
      </c>
      <c r="B163" s="5">
        <f>IF($E163="","",INDEX('Input Transaksi'!$D:$D,$E163))</f>
        <v/>
      </c>
      <c r="C163">
        <f>IF($E163="","",INDEX('Input Transaksi'!$E:$E,$E163))</f>
        <v/>
      </c>
      <c r="D163" s="5">
        <f>IF($E163="","",INDEX('Input Transaksi'!$F:$F,$E163))</f>
        <v/>
      </c>
      <c r="E163">
        <f>IFERROR(AGGREGATE(15,6,ROW('Input Transaksi'!$B$5:$B$5000)/('Input Transaksi'!$B$5:$B$5000="LONDRI DEWE"),ROWS($E$5:E163)),"")</f>
        <v/>
      </c>
      <c r="F163" s="5" t="n"/>
    </row>
    <row r="164">
      <c r="A164" s="10">
        <f>IF($E164="","",INDEX('Input Transaksi'!$A:$A,$E164))</f>
        <v/>
      </c>
      <c r="B164" s="5">
        <f>IF($E164="","",INDEX('Input Transaksi'!$D:$D,$E164))</f>
        <v/>
      </c>
      <c r="C164">
        <f>IF($E164="","",INDEX('Input Transaksi'!$E:$E,$E164))</f>
        <v/>
      </c>
      <c r="D164" s="5">
        <f>IF($E164="","",INDEX('Input Transaksi'!$F:$F,$E164))</f>
        <v/>
      </c>
      <c r="E164">
        <f>IFERROR(AGGREGATE(15,6,ROW('Input Transaksi'!$B$5:$B$5000)/('Input Transaksi'!$B$5:$B$5000="LONDRI DEWE"),ROWS($E$5:E164)),"")</f>
        <v/>
      </c>
      <c r="F164" s="5" t="n"/>
    </row>
    <row r="165">
      <c r="A165" s="10">
        <f>IF($E165="","",INDEX('Input Transaksi'!$A:$A,$E165))</f>
        <v/>
      </c>
      <c r="B165" s="5">
        <f>IF($E165="","",INDEX('Input Transaksi'!$D:$D,$E165))</f>
        <v/>
      </c>
      <c r="C165">
        <f>IF($E165="","",INDEX('Input Transaksi'!$E:$E,$E165))</f>
        <v/>
      </c>
      <c r="D165" s="5">
        <f>IF($E165="","",INDEX('Input Transaksi'!$F:$F,$E165))</f>
        <v/>
      </c>
      <c r="E165">
        <f>IFERROR(AGGREGATE(15,6,ROW('Input Transaksi'!$B$5:$B$5000)/('Input Transaksi'!$B$5:$B$5000="LONDRI DEWE"),ROWS($E$5:E165)),"")</f>
        <v/>
      </c>
      <c r="F165" s="5" t="n"/>
    </row>
    <row r="166">
      <c r="A166" s="10">
        <f>IF($E166="","",INDEX('Input Transaksi'!$A:$A,$E166))</f>
        <v/>
      </c>
      <c r="B166" s="5">
        <f>IF($E166="","",INDEX('Input Transaksi'!$D:$D,$E166))</f>
        <v/>
      </c>
      <c r="C166">
        <f>IF($E166="","",INDEX('Input Transaksi'!$E:$E,$E166))</f>
        <v/>
      </c>
      <c r="D166" s="5">
        <f>IF($E166="","",INDEX('Input Transaksi'!$F:$F,$E166))</f>
        <v/>
      </c>
      <c r="E166">
        <f>IFERROR(AGGREGATE(15,6,ROW('Input Transaksi'!$B$5:$B$5000)/('Input Transaksi'!$B$5:$B$5000="LONDRI DEWE"),ROWS($E$5:E166)),"")</f>
        <v/>
      </c>
      <c r="F166" s="5" t="n"/>
    </row>
    <row r="167">
      <c r="A167" s="10">
        <f>IF($E167="","",INDEX('Input Transaksi'!$A:$A,$E167))</f>
        <v/>
      </c>
      <c r="B167" s="5">
        <f>IF($E167="","",INDEX('Input Transaksi'!$D:$D,$E167))</f>
        <v/>
      </c>
      <c r="C167">
        <f>IF($E167="","",INDEX('Input Transaksi'!$E:$E,$E167))</f>
        <v/>
      </c>
      <c r="D167" s="5">
        <f>IF($E167="","",INDEX('Input Transaksi'!$F:$F,$E167))</f>
        <v/>
      </c>
      <c r="E167">
        <f>IFERROR(AGGREGATE(15,6,ROW('Input Transaksi'!$B$5:$B$5000)/('Input Transaksi'!$B$5:$B$5000="LONDRI DEWE"),ROWS($E$5:E167)),"")</f>
        <v/>
      </c>
      <c r="F167" s="5" t="n"/>
    </row>
    <row r="168">
      <c r="A168" s="10">
        <f>IF($E168="","",INDEX('Input Transaksi'!$A:$A,$E168))</f>
        <v/>
      </c>
      <c r="B168" s="5">
        <f>IF($E168="","",INDEX('Input Transaksi'!$D:$D,$E168))</f>
        <v/>
      </c>
      <c r="C168">
        <f>IF($E168="","",INDEX('Input Transaksi'!$E:$E,$E168))</f>
        <v/>
      </c>
      <c r="D168" s="5">
        <f>IF($E168="","",INDEX('Input Transaksi'!$F:$F,$E168))</f>
        <v/>
      </c>
      <c r="E168">
        <f>IFERROR(AGGREGATE(15,6,ROW('Input Transaksi'!$B$5:$B$5000)/('Input Transaksi'!$B$5:$B$5000="LONDRI DEWE"),ROWS($E$5:E168)),"")</f>
        <v/>
      </c>
      <c r="F168" s="5" t="n"/>
    </row>
    <row r="169">
      <c r="A169" s="10">
        <f>IF($E169="","",INDEX('Input Transaksi'!$A:$A,$E169))</f>
        <v/>
      </c>
      <c r="B169" s="5">
        <f>IF($E169="","",INDEX('Input Transaksi'!$D:$D,$E169))</f>
        <v/>
      </c>
      <c r="C169">
        <f>IF($E169="","",INDEX('Input Transaksi'!$E:$E,$E169))</f>
        <v/>
      </c>
      <c r="D169" s="5">
        <f>IF($E169="","",INDEX('Input Transaksi'!$F:$F,$E169))</f>
        <v/>
      </c>
      <c r="E169">
        <f>IFERROR(AGGREGATE(15,6,ROW('Input Transaksi'!$B$5:$B$5000)/('Input Transaksi'!$B$5:$B$5000="LONDRI DEWE"),ROWS($E$5:E169)),"")</f>
        <v/>
      </c>
      <c r="F169" s="5" t="n"/>
    </row>
    <row r="170">
      <c r="A170" s="10">
        <f>IF($E170="","",INDEX('Input Transaksi'!$A:$A,$E170))</f>
        <v/>
      </c>
      <c r="B170" s="5">
        <f>IF($E170="","",INDEX('Input Transaksi'!$D:$D,$E170))</f>
        <v/>
      </c>
      <c r="C170">
        <f>IF($E170="","",INDEX('Input Transaksi'!$E:$E,$E170))</f>
        <v/>
      </c>
      <c r="D170" s="5">
        <f>IF($E170="","",INDEX('Input Transaksi'!$F:$F,$E170))</f>
        <v/>
      </c>
      <c r="E170">
        <f>IFERROR(AGGREGATE(15,6,ROW('Input Transaksi'!$B$5:$B$5000)/('Input Transaksi'!$B$5:$B$5000="LONDRI DEWE"),ROWS($E$5:E170)),"")</f>
        <v/>
      </c>
      <c r="F170" s="5" t="n"/>
    </row>
    <row r="171">
      <c r="A171" s="10">
        <f>IF($E171="","",INDEX('Input Transaksi'!$A:$A,$E171))</f>
        <v/>
      </c>
      <c r="B171" s="5">
        <f>IF($E171="","",INDEX('Input Transaksi'!$D:$D,$E171))</f>
        <v/>
      </c>
      <c r="C171">
        <f>IF($E171="","",INDEX('Input Transaksi'!$E:$E,$E171))</f>
        <v/>
      </c>
      <c r="D171" s="5">
        <f>IF($E171="","",INDEX('Input Transaksi'!$F:$F,$E171))</f>
        <v/>
      </c>
      <c r="E171">
        <f>IFERROR(AGGREGATE(15,6,ROW('Input Transaksi'!$B$5:$B$5000)/('Input Transaksi'!$B$5:$B$5000="LONDRI DEWE"),ROWS($E$5:E171)),"")</f>
        <v/>
      </c>
      <c r="F171" s="5" t="n"/>
    </row>
    <row r="172">
      <c r="A172" s="10">
        <f>IF($E172="","",INDEX('Input Transaksi'!$A:$A,$E172))</f>
        <v/>
      </c>
      <c r="B172" s="5">
        <f>IF($E172="","",INDEX('Input Transaksi'!$D:$D,$E172))</f>
        <v/>
      </c>
      <c r="C172">
        <f>IF($E172="","",INDEX('Input Transaksi'!$E:$E,$E172))</f>
        <v/>
      </c>
      <c r="D172" s="5">
        <f>IF($E172="","",INDEX('Input Transaksi'!$F:$F,$E172))</f>
        <v/>
      </c>
      <c r="E172">
        <f>IFERROR(AGGREGATE(15,6,ROW('Input Transaksi'!$B$5:$B$5000)/('Input Transaksi'!$B$5:$B$5000="LONDRI DEWE"),ROWS($E$5:E172)),"")</f>
        <v/>
      </c>
      <c r="F172" s="5" t="n"/>
    </row>
    <row r="173">
      <c r="A173" s="10">
        <f>IF($E173="","",INDEX('Input Transaksi'!$A:$A,$E173))</f>
        <v/>
      </c>
      <c r="B173" s="5">
        <f>IF($E173="","",INDEX('Input Transaksi'!$D:$D,$E173))</f>
        <v/>
      </c>
      <c r="C173">
        <f>IF($E173="","",INDEX('Input Transaksi'!$E:$E,$E173))</f>
        <v/>
      </c>
      <c r="D173" s="5">
        <f>IF($E173="","",INDEX('Input Transaksi'!$F:$F,$E173))</f>
        <v/>
      </c>
      <c r="E173">
        <f>IFERROR(AGGREGATE(15,6,ROW('Input Transaksi'!$B$5:$B$5000)/('Input Transaksi'!$B$5:$B$5000="LONDRI DEWE"),ROWS($E$5:E173)),"")</f>
        <v/>
      </c>
      <c r="F173" s="5" t="n"/>
    </row>
    <row r="174">
      <c r="A174" s="10">
        <f>IF($E174="","",INDEX('Input Transaksi'!$A:$A,$E174))</f>
        <v/>
      </c>
      <c r="B174" s="5">
        <f>IF($E174="","",INDEX('Input Transaksi'!$D:$D,$E174))</f>
        <v/>
      </c>
      <c r="C174">
        <f>IF($E174="","",INDEX('Input Transaksi'!$E:$E,$E174))</f>
        <v/>
      </c>
      <c r="D174" s="5">
        <f>IF($E174="","",INDEX('Input Transaksi'!$F:$F,$E174))</f>
        <v/>
      </c>
      <c r="E174">
        <f>IFERROR(AGGREGATE(15,6,ROW('Input Transaksi'!$B$5:$B$5000)/('Input Transaksi'!$B$5:$B$5000="LONDRI DEWE"),ROWS($E$5:E174)),"")</f>
        <v/>
      </c>
      <c r="F174" s="5" t="n"/>
    </row>
    <row r="175">
      <c r="A175" s="10">
        <f>IF($E175="","",INDEX('Input Transaksi'!$A:$A,$E175))</f>
        <v/>
      </c>
      <c r="B175" s="5">
        <f>IF($E175="","",INDEX('Input Transaksi'!$D:$D,$E175))</f>
        <v/>
      </c>
      <c r="C175">
        <f>IF($E175="","",INDEX('Input Transaksi'!$E:$E,$E175))</f>
        <v/>
      </c>
      <c r="D175" s="5">
        <f>IF($E175="","",INDEX('Input Transaksi'!$F:$F,$E175))</f>
        <v/>
      </c>
      <c r="E175">
        <f>IFERROR(AGGREGATE(15,6,ROW('Input Transaksi'!$B$5:$B$5000)/('Input Transaksi'!$B$5:$B$5000="LONDRI DEWE"),ROWS($E$5:E175)),"")</f>
        <v/>
      </c>
      <c r="F175" s="5" t="n"/>
    </row>
    <row r="176">
      <c r="A176" s="10">
        <f>IF($E176="","",INDEX('Input Transaksi'!$A:$A,$E176))</f>
        <v/>
      </c>
      <c r="B176" s="5">
        <f>IF($E176="","",INDEX('Input Transaksi'!$D:$D,$E176))</f>
        <v/>
      </c>
      <c r="C176">
        <f>IF($E176="","",INDEX('Input Transaksi'!$E:$E,$E176))</f>
        <v/>
      </c>
      <c r="D176" s="5">
        <f>IF($E176="","",INDEX('Input Transaksi'!$F:$F,$E176))</f>
        <v/>
      </c>
      <c r="E176">
        <f>IFERROR(AGGREGATE(15,6,ROW('Input Transaksi'!$B$5:$B$5000)/('Input Transaksi'!$B$5:$B$5000="LONDRI DEWE"),ROWS($E$5:E176)),"")</f>
        <v/>
      </c>
      <c r="F176" s="5" t="n"/>
    </row>
    <row r="177">
      <c r="A177" s="10">
        <f>IF($E177="","",INDEX('Input Transaksi'!$A:$A,$E177))</f>
        <v/>
      </c>
      <c r="B177" s="5">
        <f>IF($E177="","",INDEX('Input Transaksi'!$D:$D,$E177))</f>
        <v/>
      </c>
      <c r="C177">
        <f>IF($E177="","",INDEX('Input Transaksi'!$E:$E,$E177))</f>
        <v/>
      </c>
      <c r="D177" s="5">
        <f>IF($E177="","",INDEX('Input Transaksi'!$F:$F,$E177))</f>
        <v/>
      </c>
      <c r="E177">
        <f>IFERROR(AGGREGATE(15,6,ROW('Input Transaksi'!$B$5:$B$5000)/('Input Transaksi'!$B$5:$B$5000="LONDRI DEWE"),ROWS($E$5:E177)),"")</f>
        <v/>
      </c>
      <c r="F177" s="5" t="n"/>
    </row>
    <row r="178">
      <c r="A178" s="10">
        <f>IF($E178="","",INDEX('Input Transaksi'!$A:$A,$E178))</f>
        <v/>
      </c>
      <c r="B178" s="5">
        <f>IF($E178="","",INDEX('Input Transaksi'!$D:$D,$E178))</f>
        <v/>
      </c>
      <c r="C178">
        <f>IF($E178="","",INDEX('Input Transaksi'!$E:$E,$E178))</f>
        <v/>
      </c>
      <c r="D178" s="5">
        <f>IF($E178="","",INDEX('Input Transaksi'!$F:$F,$E178))</f>
        <v/>
      </c>
      <c r="E178">
        <f>IFERROR(AGGREGATE(15,6,ROW('Input Transaksi'!$B$5:$B$5000)/('Input Transaksi'!$B$5:$B$5000="LONDRI DEWE"),ROWS($E$5:E178)),"")</f>
        <v/>
      </c>
      <c r="F178" s="5" t="n"/>
    </row>
    <row r="179">
      <c r="A179" s="10">
        <f>IF($E179="","",INDEX('Input Transaksi'!$A:$A,$E179))</f>
        <v/>
      </c>
      <c r="B179" s="5">
        <f>IF($E179="","",INDEX('Input Transaksi'!$D:$D,$E179))</f>
        <v/>
      </c>
      <c r="C179">
        <f>IF($E179="","",INDEX('Input Transaksi'!$E:$E,$E179))</f>
        <v/>
      </c>
      <c r="D179" s="5">
        <f>IF($E179="","",INDEX('Input Transaksi'!$F:$F,$E179))</f>
        <v/>
      </c>
      <c r="E179">
        <f>IFERROR(AGGREGATE(15,6,ROW('Input Transaksi'!$B$5:$B$5000)/('Input Transaksi'!$B$5:$B$5000="LONDRI DEWE"),ROWS($E$5:E179)),"")</f>
        <v/>
      </c>
      <c r="F179" s="5" t="n"/>
    </row>
    <row r="180">
      <c r="A180" s="10">
        <f>IF($E180="","",INDEX('Input Transaksi'!$A:$A,$E180))</f>
        <v/>
      </c>
      <c r="B180" s="5">
        <f>IF($E180="","",INDEX('Input Transaksi'!$D:$D,$E180))</f>
        <v/>
      </c>
      <c r="C180">
        <f>IF($E180="","",INDEX('Input Transaksi'!$E:$E,$E180))</f>
        <v/>
      </c>
      <c r="D180" s="5">
        <f>IF($E180="","",INDEX('Input Transaksi'!$F:$F,$E180))</f>
        <v/>
      </c>
      <c r="E180">
        <f>IFERROR(AGGREGATE(15,6,ROW('Input Transaksi'!$B$5:$B$5000)/('Input Transaksi'!$B$5:$B$5000="LONDRI DEWE"),ROWS($E$5:E180)),"")</f>
        <v/>
      </c>
      <c r="F180" s="5" t="n"/>
    </row>
    <row r="181">
      <c r="A181" s="10">
        <f>IF($E181="","",INDEX('Input Transaksi'!$A:$A,$E181))</f>
        <v/>
      </c>
      <c r="B181" s="5">
        <f>IF($E181="","",INDEX('Input Transaksi'!$D:$D,$E181))</f>
        <v/>
      </c>
      <c r="C181">
        <f>IF($E181="","",INDEX('Input Transaksi'!$E:$E,$E181))</f>
        <v/>
      </c>
      <c r="D181" s="5">
        <f>IF($E181="","",INDEX('Input Transaksi'!$F:$F,$E181))</f>
        <v/>
      </c>
      <c r="E181">
        <f>IFERROR(AGGREGATE(15,6,ROW('Input Transaksi'!$B$5:$B$5000)/('Input Transaksi'!$B$5:$B$5000="LONDRI DEWE"),ROWS($E$5:E181)),"")</f>
        <v/>
      </c>
      <c r="F181" s="5" t="n"/>
    </row>
    <row r="182">
      <c r="A182" s="10">
        <f>IF($E182="","",INDEX('Input Transaksi'!$A:$A,$E182))</f>
        <v/>
      </c>
      <c r="B182" s="5">
        <f>IF($E182="","",INDEX('Input Transaksi'!$D:$D,$E182))</f>
        <v/>
      </c>
      <c r="C182">
        <f>IF($E182="","",INDEX('Input Transaksi'!$E:$E,$E182))</f>
        <v/>
      </c>
      <c r="D182" s="5">
        <f>IF($E182="","",INDEX('Input Transaksi'!$F:$F,$E182))</f>
        <v/>
      </c>
      <c r="E182">
        <f>IFERROR(AGGREGATE(15,6,ROW('Input Transaksi'!$B$5:$B$5000)/('Input Transaksi'!$B$5:$B$5000="LONDRI DEWE"),ROWS($E$5:E182)),"")</f>
        <v/>
      </c>
      <c r="F182" s="5" t="n"/>
    </row>
    <row r="183">
      <c r="A183" s="10">
        <f>IF($E183="","",INDEX('Input Transaksi'!$A:$A,$E183))</f>
        <v/>
      </c>
      <c r="B183" s="5">
        <f>IF($E183="","",INDEX('Input Transaksi'!$D:$D,$E183))</f>
        <v/>
      </c>
      <c r="C183">
        <f>IF($E183="","",INDEX('Input Transaksi'!$E:$E,$E183))</f>
        <v/>
      </c>
      <c r="D183" s="5">
        <f>IF($E183="","",INDEX('Input Transaksi'!$F:$F,$E183))</f>
        <v/>
      </c>
      <c r="E183">
        <f>IFERROR(AGGREGATE(15,6,ROW('Input Transaksi'!$B$5:$B$5000)/('Input Transaksi'!$B$5:$B$5000="LONDRI DEWE"),ROWS($E$5:E183)),"")</f>
        <v/>
      </c>
      <c r="F183" s="5" t="n"/>
    </row>
    <row r="184">
      <c r="A184" s="10">
        <f>IF($E184="","",INDEX('Input Transaksi'!$A:$A,$E184))</f>
        <v/>
      </c>
      <c r="B184" s="5">
        <f>IF($E184="","",INDEX('Input Transaksi'!$D:$D,$E184))</f>
        <v/>
      </c>
      <c r="C184">
        <f>IF($E184="","",INDEX('Input Transaksi'!$E:$E,$E184))</f>
        <v/>
      </c>
      <c r="D184" s="5">
        <f>IF($E184="","",INDEX('Input Transaksi'!$F:$F,$E184))</f>
        <v/>
      </c>
      <c r="E184">
        <f>IFERROR(AGGREGATE(15,6,ROW('Input Transaksi'!$B$5:$B$5000)/('Input Transaksi'!$B$5:$B$5000="LONDRI DEWE"),ROWS($E$5:E184)),"")</f>
        <v/>
      </c>
      <c r="F184" s="5" t="n"/>
    </row>
    <row r="185">
      <c r="A185" s="10">
        <f>IF($E185="","",INDEX('Input Transaksi'!$A:$A,$E185))</f>
        <v/>
      </c>
      <c r="B185" s="5">
        <f>IF($E185="","",INDEX('Input Transaksi'!$D:$D,$E185))</f>
        <v/>
      </c>
      <c r="C185">
        <f>IF($E185="","",INDEX('Input Transaksi'!$E:$E,$E185))</f>
        <v/>
      </c>
      <c r="D185" s="5">
        <f>IF($E185="","",INDEX('Input Transaksi'!$F:$F,$E185))</f>
        <v/>
      </c>
      <c r="E185">
        <f>IFERROR(AGGREGATE(15,6,ROW('Input Transaksi'!$B$5:$B$5000)/('Input Transaksi'!$B$5:$B$5000="LONDRI DEWE"),ROWS($E$5:E185)),"")</f>
        <v/>
      </c>
      <c r="F185" s="5" t="n"/>
    </row>
    <row r="186">
      <c r="A186" s="10">
        <f>IF($E186="","",INDEX('Input Transaksi'!$A:$A,$E186))</f>
        <v/>
      </c>
      <c r="B186" s="5">
        <f>IF($E186="","",INDEX('Input Transaksi'!$D:$D,$E186))</f>
        <v/>
      </c>
      <c r="C186">
        <f>IF($E186="","",INDEX('Input Transaksi'!$E:$E,$E186))</f>
        <v/>
      </c>
      <c r="D186" s="5">
        <f>IF($E186="","",INDEX('Input Transaksi'!$F:$F,$E186))</f>
        <v/>
      </c>
      <c r="E186">
        <f>IFERROR(AGGREGATE(15,6,ROW('Input Transaksi'!$B$5:$B$5000)/('Input Transaksi'!$B$5:$B$5000="LONDRI DEWE"),ROWS($E$5:E186)),"")</f>
        <v/>
      </c>
      <c r="F186" s="5" t="n"/>
    </row>
    <row r="187">
      <c r="A187" s="10">
        <f>IF($E187="","",INDEX('Input Transaksi'!$A:$A,$E187))</f>
        <v/>
      </c>
      <c r="B187" s="5">
        <f>IF($E187="","",INDEX('Input Transaksi'!$D:$D,$E187))</f>
        <v/>
      </c>
      <c r="C187">
        <f>IF($E187="","",INDEX('Input Transaksi'!$E:$E,$E187))</f>
        <v/>
      </c>
      <c r="D187" s="5">
        <f>IF($E187="","",INDEX('Input Transaksi'!$F:$F,$E187))</f>
        <v/>
      </c>
      <c r="E187">
        <f>IFERROR(AGGREGATE(15,6,ROW('Input Transaksi'!$B$5:$B$5000)/('Input Transaksi'!$B$5:$B$5000="LONDRI DEWE"),ROWS($E$5:E187)),"")</f>
        <v/>
      </c>
      <c r="F187" s="5" t="n"/>
    </row>
    <row r="188">
      <c r="A188" s="10">
        <f>IF($E188="","",INDEX('Input Transaksi'!$A:$A,$E188))</f>
        <v/>
      </c>
      <c r="B188" s="5">
        <f>IF($E188="","",INDEX('Input Transaksi'!$D:$D,$E188))</f>
        <v/>
      </c>
      <c r="C188">
        <f>IF($E188="","",INDEX('Input Transaksi'!$E:$E,$E188))</f>
        <v/>
      </c>
      <c r="D188" s="5">
        <f>IF($E188="","",INDEX('Input Transaksi'!$F:$F,$E188))</f>
        <v/>
      </c>
      <c r="E188">
        <f>IFERROR(AGGREGATE(15,6,ROW('Input Transaksi'!$B$5:$B$5000)/('Input Transaksi'!$B$5:$B$5000="LONDRI DEWE"),ROWS($E$5:E188)),"")</f>
        <v/>
      </c>
      <c r="F188" s="5" t="n"/>
    </row>
    <row r="189">
      <c r="A189" s="10">
        <f>IF($E189="","",INDEX('Input Transaksi'!$A:$A,$E189))</f>
        <v/>
      </c>
      <c r="B189" s="5">
        <f>IF($E189="","",INDEX('Input Transaksi'!$D:$D,$E189))</f>
        <v/>
      </c>
      <c r="C189">
        <f>IF($E189="","",INDEX('Input Transaksi'!$E:$E,$E189))</f>
        <v/>
      </c>
      <c r="D189" s="5">
        <f>IF($E189="","",INDEX('Input Transaksi'!$F:$F,$E189))</f>
        <v/>
      </c>
      <c r="E189">
        <f>IFERROR(AGGREGATE(15,6,ROW('Input Transaksi'!$B$5:$B$5000)/('Input Transaksi'!$B$5:$B$5000="LONDRI DEWE"),ROWS($E$5:E189)),"")</f>
        <v/>
      </c>
      <c r="F189" s="5" t="n"/>
    </row>
    <row r="190">
      <c r="A190" s="10">
        <f>IF($E190="","",INDEX('Input Transaksi'!$A:$A,$E190))</f>
        <v/>
      </c>
      <c r="B190" s="5">
        <f>IF($E190="","",INDEX('Input Transaksi'!$D:$D,$E190))</f>
        <v/>
      </c>
      <c r="C190">
        <f>IF($E190="","",INDEX('Input Transaksi'!$E:$E,$E190))</f>
        <v/>
      </c>
      <c r="D190" s="5">
        <f>IF($E190="","",INDEX('Input Transaksi'!$F:$F,$E190))</f>
        <v/>
      </c>
      <c r="E190">
        <f>IFERROR(AGGREGATE(15,6,ROW('Input Transaksi'!$B$5:$B$5000)/('Input Transaksi'!$B$5:$B$5000="LONDRI DEWE"),ROWS($E$5:E190)),"")</f>
        <v/>
      </c>
      <c r="F190" s="5" t="n"/>
    </row>
    <row r="191">
      <c r="A191" s="10">
        <f>IF($E191="","",INDEX('Input Transaksi'!$A:$A,$E191))</f>
        <v/>
      </c>
      <c r="B191" s="5">
        <f>IF($E191="","",INDEX('Input Transaksi'!$D:$D,$E191))</f>
        <v/>
      </c>
      <c r="C191">
        <f>IF($E191="","",INDEX('Input Transaksi'!$E:$E,$E191))</f>
        <v/>
      </c>
      <c r="D191" s="5">
        <f>IF($E191="","",INDEX('Input Transaksi'!$F:$F,$E191))</f>
        <v/>
      </c>
      <c r="E191">
        <f>IFERROR(AGGREGATE(15,6,ROW('Input Transaksi'!$B$5:$B$5000)/('Input Transaksi'!$B$5:$B$5000="LONDRI DEWE"),ROWS($E$5:E191)),"")</f>
        <v/>
      </c>
      <c r="F191" s="5" t="n"/>
    </row>
    <row r="192">
      <c r="A192" s="10">
        <f>IF($E192="","",INDEX('Input Transaksi'!$A:$A,$E192))</f>
        <v/>
      </c>
      <c r="B192" s="5">
        <f>IF($E192="","",INDEX('Input Transaksi'!$D:$D,$E192))</f>
        <v/>
      </c>
      <c r="C192">
        <f>IF($E192="","",INDEX('Input Transaksi'!$E:$E,$E192))</f>
        <v/>
      </c>
      <c r="D192" s="5">
        <f>IF($E192="","",INDEX('Input Transaksi'!$F:$F,$E192))</f>
        <v/>
      </c>
      <c r="E192">
        <f>IFERROR(AGGREGATE(15,6,ROW('Input Transaksi'!$B$5:$B$5000)/('Input Transaksi'!$B$5:$B$5000="LONDRI DEWE"),ROWS($E$5:E192)),"")</f>
        <v/>
      </c>
      <c r="F192" s="5" t="n"/>
    </row>
    <row r="193">
      <c r="A193" s="10">
        <f>IF($E193="","",INDEX('Input Transaksi'!$A:$A,$E193))</f>
        <v/>
      </c>
      <c r="B193" s="5">
        <f>IF($E193="","",INDEX('Input Transaksi'!$D:$D,$E193))</f>
        <v/>
      </c>
      <c r="C193">
        <f>IF($E193="","",INDEX('Input Transaksi'!$E:$E,$E193))</f>
        <v/>
      </c>
      <c r="D193" s="5">
        <f>IF($E193="","",INDEX('Input Transaksi'!$F:$F,$E193))</f>
        <v/>
      </c>
      <c r="E193">
        <f>IFERROR(AGGREGATE(15,6,ROW('Input Transaksi'!$B$5:$B$5000)/('Input Transaksi'!$B$5:$B$5000="LONDRI DEWE"),ROWS($E$5:E193)),"")</f>
        <v/>
      </c>
      <c r="F193" s="5" t="n"/>
    </row>
    <row r="194">
      <c r="A194" s="10">
        <f>IF($E194="","",INDEX('Input Transaksi'!$A:$A,$E194))</f>
        <v/>
      </c>
      <c r="B194" s="5">
        <f>IF($E194="","",INDEX('Input Transaksi'!$D:$D,$E194))</f>
        <v/>
      </c>
      <c r="C194">
        <f>IF($E194="","",INDEX('Input Transaksi'!$E:$E,$E194))</f>
        <v/>
      </c>
      <c r="D194" s="5">
        <f>IF($E194="","",INDEX('Input Transaksi'!$F:$F,$E194))</f>
        <v/>
      </c>
      <c r="E194">
        <f>IFERROR(AGGREGATE(15,6,ROW('Input Transaksi'!$B$5:$B$5000)/('Input Transaksi'!$B$5:$B$5000="LONDRI DEWE"),ROWS($E$5:E194)),"")</f>
        <v/>
      </c>
      <c r="F194" s="5" t="n"/>
    </row>
    <row r="195">
      <c r="A195" s="10">
        <f>IF($E195="","",INDEX('Input Transaksi'!$A:$A,$E195))</f>
        <v/>
      </c>
      <c r="B195" s="5">
        <f>IF($E195="","",INDEX('Input Transaksi'!$D:$D,$E195))</f>
        <v/>
      </c>
      <c r="C195">
        <f>IF($E195="","",INDEX('Input Transaksi'!$E:$E,$E195))</f>
        <v/>
      </c>
      <c r="D195" s="5">
        <f>IF($E195="","",INDEX('Input Transaksi'!$F:$F,$E195))</f>
        <v/>
      </c>
      <c r="E195">
        <f>IFERROR(AGGREGATE(15,6,ROW('Input Transaksi'!$B$5:$B$5000)/('Input Transaksi'!$B$5:$B$5000="LONDRI DEWE"),ROWS($E$5:E195)),"")</f>
        <v/>
      </c>
      <c r="F195" s="5" t="n"/>
    </row>
    <row r="196">
      <c r="A196" s="10">
        <f>IF($E196="","",INDEX('Input Transaksi'!$A:$A,$E196))</f>
        <v/>
      </c>
      <c r="B196" s="5">
        <f>IF($E196="","",INDEX('Input Transaksi'!$D:$D,$E196))</f>
        <v/>
      </c>
      <c r="C196">
        <f>IF($E196="","",INDEX('Input Transaksi'!$E:$E,$E196))</f>
        <v/>
      </c>
      <c r="D196" s="5">
        <f>IF($E196="","",INDEX('Input Transaksi'!$F:$F,$E196))</f>
        <v/>
      </c>
      <c r="E196">
        <f>IFERROR(AGGREGATE(15,6,ROW('Input Transaksi'!$B$5:$B$5000)/('Input Transaksi'!$B$5:$B$5000="LONDRI DEWE"),ROWS($E$5:E196)),"")</f>
        <v/>
      </c>
      <c r="F196" s="5" t="n"/>
    </row>
    <row r="197">
      <c r="A197" s="10">
        <f>IF($E197="","",INDEX('Input Transaksi'!$A:$A,$E197))</f>
        <v/>
      </c>
      <c r="B197" s="5">
        <f>IF($E197="","",INDEX('Input Transaksi'!$D:$D,$E197))</f>
        <v/>
      </c>
      <c r="C197">
        <f>IF($E197="","",INDEX('Input Transaksi'!$E:$E,$E197))</f>
        <v/>
      </c>
      <c r="D197" s="5">
        <f>IF($E197="","",INDEX('Input Transaksi'!$F:$F,$E197))</f>
        <v/>
      </c>
      <c r="E197">
        <f>IFERROR(AGGREGATE(15,6,ROW('Input Transaksi'!$B$5:$B$5000)/('Input Transaksi'!$B$5:$B$5000="LONDRI DEWE"),ROWS($E$5:E197)),"")</f>
        <v/>
      </c>
      <c r="F197" s="5" t="n"/>
    </row>
    <row r="198">
      <c r="A198" s="10">
        <f>IF($E198="","",INDEX('Input Transaksi'!$A:$A,$E198))</f>
        <v/>
      </c>
      <c r="B198" s="5">
        <f>IF($E198="","",INDEX('Input Transaksi'!$D:$D,$E198))</f>
        <v/>
      </c>
      <c r="C198">
        <f>IF($E198="","",INDEX('Input Transaksi'!$E:$E,$E198))</f>
        <v/>
      </c>
      <c r="D198" s="5">
        <f>IF($E198="","",INDEX('Input Transaksi'!$F:$F,$E198))</f>
        <v/>
      </c>
      <c r="E198">
        <f>IFERROR(AGGREGATE(15,6,ROW('Input Transaksi'!$B$5:$B$5000)/('Input Transaksi'!$B$5:$B$5000="LONDRI DEWE"),ROWS($E$5:E198)),"")</f>
        <v/>
      </c>
      <c r="F198" s="5" t="n"/>
    </row>
    <row r="199">
      <c r="A199" s="10">
        <f>IF($E199="","",INDEX('Input Transaksi'!$A:$A,$E199))</f>
        <v/>
      </c>
      <c r="B199" s="5">
        <f>IF($E199="","",INDEX('Input Transaksi'!$D:$D,$E199))</f>
        <v/>
      </c>
      <c r="C199">
        <f>IF($E199="","",INDEX('Input Transaksi'!$E:$E,$E199))</f>
        <v/>
      </c>
      <c r="D199" s="5">
        <f>IF($E199="","",INDEX('Input Transaksi'!$F:$F,$E199))</f>
        <v/>
      </c>
      <c r="E199">
        <f>IFERROR(AGGREGATE(15,6,ROW('Input Transaksi'!$B$5:$B$5000)/('Input Transaksi'!$B$5:$B$5000="LONDRI DEWE"),ROWS($E$5:E199)),"")</f>
        <v/>
      </c>
      <c r="F199" s="5" t="n"/>
    </row>
    <row r="200">
      <c r="A200" s="10">
        <f>IF($E200="","",INDEX('Input Transaksi'!$A:$A,$E200))</f>
        <v/>
      </c>
      <c r="B200" s="5">
        <f>IF($E200="","",INDEX('Input Transaksi'!$D:$D,$E200))</f>
        <v/>
      </c>
      <c r="C200">
        <f>IF($E200="","",INDEX('Input Transaksi'!$E:$E,$E200))</f>
        <v/>
      </c>
      <c r="D200" s="5">
        <f>IF($E200="","",INDEX('Input Transaksi'!$F:$F,$E200))</f>
        <v/>
      </c>
      <c r="E200">
        <f>IFERROR(AGGREGATE(15,6,ROW('Input Transaksi'!$B$5:$B$5000)/('Input Transaksi'!$B$5:$B$5000="LONDRI DEWE"),ROWS($E$5:E200)),"")</f>
        <v/>
      </c>
      <c r="F200" s="5" t="n"/>
    </row>
    <row r="201">
      <c r="A201" s="10">
        <f>IF($E201="","",INDEX('Input Transaksi'!$A:$A,$E201))</f>
        <v/>
      </c>
      <c r="B201" s="5">
        <f>IF($E201="","",INDEX('Input Transaksi'!$D:$D,$E201))</f>
        <v/>
      </c>
      <c r="C201">
        <f>IF($E201="","",INDEX('Input Transaksi'!$E:$E,$E201))</f>
        <v/>
      </c>
      <c r="D201" s="5">
        <f>IF($E201="","",INDEX('Input Transaksi'!$F:$F,$E201))</f>
        <v/>
      </c>
      <c r="E201">
        <f>IFERROR(AGGREGATE(15,6,ROW('Input Transaksi'!$B$5:$B$5000)/('Input Transaksi'!$B$5:$B$5000="LONDRI DEWE"),ROWS($E$5:E201)),"")</f>
        <v/>
      </c>
      <c r="F201" s="5" t="n"/>
    </row>
    <row r="202">
      <c r="A202" s="10">
        <f>IF($E202="","",INDEX('Input Transaksi'!$A:$A,$E202))</f>
        <v/>
      </c>
      <c r="B202" s="5">
        <f>IF($E202="","",INDEX('Input Transaksi'!$D:$D,$E202))</f>
        <v/>
      </c>
      <c r="C202">
        <f>IF($E202="","",INDEX('Input Transaksi'!$E:$E,$E202))</f>
        <v/>
      </c>
      <c r="D202" s="5">
        <f>IF($E202="","",INDEX('Input Transaksi'!$F:$F,$E202))</f>
        <v/>
      </c>
      <c r="E202">
        <f>IFERROR(AGGREGATE(15,6,ROW('Input Transaksi'!$B$5:$B$5000)/('Input Transaksi'!$B$5:$B$5000="LONDRI DEWE"),ROWS($E$5:E202)),"")</f>
        <v/>
      </c>
      <c r="F202" s="5" t="n"/>
    </row>
    <row r="203">
      <c r="A203" s="10">
        <f>IF($E203="","",INDEX('Input Transaksi'!$A:$A,$E203))</f>
        <v/>
      </c>
      <c r="B203" s="5">
        <f>IF($E203="","",INDEX('Input Transaksi'!$D:$D,$E203))</f>
        <v/>
      </c>
      <c r="C203">
        <f>IF($E203="","",INDEX('Input Transaksi'!$E:$E,$E203))</f>
        <v/>
      </c>
      <c r="D203" s="5">
        <f>IF($E203="","",INDEX('Input Transaksi'!$F:$F,$E203))</f>
        <v/>
      </c>
      <c r="E203">
        <f>IFERROR(AGGREGATE(15,6,ROW('Input Transaksi'!$B$5:$B$5000)/('Input Transaksi'!$B$5:$B$5000="LONDRI DEWE"),ROWS($E$5:E203)),"")</f>
        <v/>
      </c>
      <c r="F203" s="5" t="n"/>
    </row>
    <row r="204">
      <c r="A204" s="10">
        <f>IF($E204="","",INDEX('Input Transaksi'!$A:$A,$E204))</f>
        <v/>
      </c>
      <c r="B204" s="5">
        <f>IF($E204="","",INDEX('Input Transaksi'!$D:$D,$E204))</f>
        <v/>
      </c>
      <c r="C204">
        <f>IF($E204="","",INDEX('Input Transaksi'!$E:$E,$E204))</f>
        <v/>
      </c>
      <c r="D204" s="5">
        <f>IF($E204="","",INDEX('Input Transaksi'!$F:$F,$E204))</f>
        <v/>
      </c>
      <c r="E204">
        <f>IFERROR(AGGREGATE(15,6,ROW('Input Transaksi'!$B$5:$B$5000)/('Input Transaksi'!$B$5:$B$5000="LONDRI DEWE"),ROWS($E$5:E204)),"")</f>
        <v/>
      </c>
      <c r="F204" s="5" t="n"/>
    </row>
    <row r="205">
      <c r="A205" s="10">
        <f>IF($E205="","",INDEX('Input Transaksi'!$A:$A,$E205))</f>
        <v/>
      </c>
      <c r="B205" s="5">
        <f>IF($E205="","",INDEX('Input Transaksi'!$D:$D,$E205))</f>
        <v/>
      </c>
      <c r="C205">
        <f>IF($E205="","",INDEX('Input Transaksi'!$E:$E,$E205))</f>
        <v/>
      </c>
      <c r="D205" s="5">
        <f>IF($E205="","",INDEX('Input Transaksi'!$F:$F,$E205))</f>
        <v/>
      </c>
      <c r="E205">
        <f>IFERROR(AGGREGATE(15,6,ROW('Input Transaksi'!$B$5:$B$5000)/('Input Transaksi'!$B$5:$B$5000="LONDRI DEWE"),ROWS($E$5:E205)),"")</f>
        <v/>
      </c>
      <c r="F205" s="5" t="n"/>
    </row>
    <row r="206">
      <c r="A206" s="10">
        <f>IF($E206="","",INDEX('Input Transaksi'!$A:$A,$E206))</f>
        <v/>
      </c>
      <c r="B206" s="5">
        <f>IF($E206="","",INDEX('Input Transaksi'!$D:$D,$E206))</f>
        <v/>
      </c>
      <c r="C206">
        <f>IF($E206="","",INDEX('Input Transaksi'!$E:$E,$E206))</f>
        <v/>
      </c>
      <c r="D206" s="5">
        <f>IF($E206="","",INDEX('Input Transaksi'!$F:$F,$E206))</f>
        <v/>
      </c>
      <c r="E206">
        <f>IFERROR(AGGREGATE(15,6,ROW('Input Transaksi'!$B$5:$B$5000)/('Input Transaksi'!$B$5:$B$5000="LONDRI DEWE"),ROWS($E$5:E206)),"")</f>
        <v/>
      </c>
      <c r="F206" s="5" t="n"/>
    </row>
    <row r="207">
      <c r="A207" s="10">
        <f>IF($E207="","",INDEX('Input Transaksi'!$A:$A,$E207))</f>
        <v/>
      </c>
      <c r="B207" s="5">
        <f>IF($E207="","",INDEX('Input Transaksi'!$D:$D,$E207))</f>
        <v/>
      </c>
      <c r="C207">
        <f>IF($E207="","",INDEX('Input Transaksi'!$E:$E,$E207))</f>
        <v/>
      </c>
      <c r="D207" s="5">
        <f>IF($E207="","",INDEX('Input Transaksi'!$F:$F,$E207))</f>
        <v/>
      </c>
      <c r="E207">
        <f>IFERROR(AGGREGATE(15,6,ROW('Input Transaksi'!$B$5:$B$5000)/('Input Transaksi'!$B$5:$B$5000="LONDRI DEWE"),ROWS($E$5:E207)),"")</f>
        <v/>
      </c>
      <c r="F207" s="5" t="n"/>
    </row>
    <row r="208">
      <c r="A208" s="10">
        <f>IF($E208="","",INDEX('Input Transaksi'!$A:$A,$E208))</f>
        <v/>
      </c>
      <c r="B208" s="5">
        <f>IF($E208="","",INDEX('Input Transaksi'!$D:$D,$E208))</f>
        <v/>
      </c>
      <c r="C208">
        <f>IF($E208="","",INDEX('Input Transaksi'!$E:$E,$E208))</f>
        <v/>
      </c>
      <c r="D208" s="5">
        <f>IF($E208="","",INDEX('Input Transaksi'!$F:$F,$E208))</f>
        <v/>
      </c>
      <c r="E208">
        <f>IFERROR(AGGREGATE(15,6,ROW('Input Transaksi'!$B$5:$B$5000)/('Input Transaksi'!$B$5:$B$5000="LONDRI DEWE"),ROWS($E$5:E208)),"")</f>
        <v/>
      </c>
      <c r="F208" s="5" t="n"/>
    </row>
    <row r="209">
      <c r="A209" s="10">
        <f>IF($E209="","",INDEX('Input Transaksi'!$A:$A,$E209))</f>
        <v/>
      </c>
      <c r="B209" s="5">
        <f>IF($E209="","",INDEX('Input Transaksi'!$D:$D,$E209))</f>
        <v/>
      </c>
      <c r="C209">
        <f>IF($E209="","",INDEX('Input Transaksi'!$E:$E,$E209))</f>
        <v/>
      </c>
      <c r="D209" s="5">
        <f>IF($E209="","",INDEX('Input Transaksi'!$F:$F,$E209))</f>
        <v/>
      </c>
      <c r="E209">
        <f>IFERROR(AGGREGATE(15,6,ROW('Input Transaksi'!$B$5:$B$5000)/('Input Transaksi'!$B$5:$B$5000="LONDRI DEWE"),ROWS($E$5:E209)),"")</f>
        <v/>
      </c>
      <c r="F209" s="5" t="n"/>
    </row>
    <row r="210">
      <c r="A210" s="10">
        <f>IF($E210="","",INDEX('Input Transaksi'!$A:$A,$E210))</f>
        <v/>
      </c>
      <c r="B210" s="5">
        <f>IF($E210="","",INDEX('Input Transaksi'!$D:$D,$E210))</f>
        <v/>
      </c>
      <c r="C210">
        <f>IF($E210="","",INDEX('Input Transaksi'!$E:$E,$E210))</f>
        <v/>
      </c>
      <c r="D210" s="5">
        <f>IF($E210="","",INDEX('Input Transaksi'!$F:$F,$E210))</f>
        <v/>
      </c>
      <c r="E210">
        <f>IFERROR(AGGREGATE(15,6,ROW('Input Transaksi'!$B$5:$B$5000)/('Input Transaksi'!$B$5:$B$5000="LONDRI DEWE"),ROWS($E$5:E210)),"")</f>
        <v/>
      </c>
      <c r="F210" s="5" t="n"/>
    </row>
    <row r="211">
      <c r="A211" s="10">
        <f>IF($E211="","",INDEX('Input Transaksi'!$A:$A,$E211))</f>
        <v/>
      </c>
      <c r="B211" s="5">
        <f>IF($E211="","",INDEX('Input Transaksi'!$D:$D,$E211))</f>
        <v/>
      </c>
      <c r="C211">
        <f>IF($E211="","",INDEX('Input Transaksi'!$E:$E,$E211))</f>
        <v/>
      </c>
      <c r="D211" s="5">
        <f>IF($E211="","",INDEX('Input Transaksi'!$F:$F,$E211))</f>
        <v/>
      </c>
      <c r="E211">
        <f>IFERROR(AGGREGATE(15,6,ROW('Input Transaksi'!$B$5:$B$5000)/('Input Transaksi'!$B$5:$B$5000="LONDRI DEWE"),ROWS($E$5:E211)),"")</f>
        <v/>
      </c>
      <c r="F211" s="5" t="n"/>
    </row>
    <row r="212">
      <c r="A212" s="10">
        <f>IF($E212="","",INDEX('Input Transaksi'!$A:$A,$E212))</f>
        <v/>
      </c>
      <c r="B212" s="5">
        <f>IF($E212="","",INDEX('Input Transaksi'!$D:$D,$E212))</f>
        <v/>
      </c>
      <c r="C212">
        <f>IF($E212="","",INDEX('Input Transaksi'!$E:$E,$E212))</f>
        <v/>
      </c>
      <c r="D212" s="5">
        <f>IF($E212="","",INDEX('Input Transaksi'!$F:$F,$E212))</f>
        <v/>
      </c>
      <c r="E212">
        <f>IFERROR(AGGREGATE(15,6,ROW('Input Transaksi'!$B$5:$B$5000)/('Input Transaksi'!$B$5:$B$5000="LONDRI DEWE"),ROWS($E$5:E212)),"")</f>
        <v/>
      </c>
      <c r="F212" s="5" t="n"/>
    </row>
    <row r="213">
      <c r="A213" s="10">
        <f>IF($E213="","",INDEX('Input Transaksi'!$A:$A,$E213))</f>
        <v/>
      </c>
      <c r="B213" s="5">
        <f>IF($E213="","",INDEX('Input Transaksi'!$D:$D,$E213))</f>
        <v/>
      </c>
      <c r="C213">
        <f>IF($E213="","",INDEX('Input Transaksi'!$E:$E,$E213))</f>
        <v/>
      </c>
      <c r="D213" s="5">
        <f>IF($E213="","",INDEX('Input Transaksi'!$F:$F,$E213))</f>
        <v/>
      </c>
      <c r="E213">
        <f>IFERROR(AGGREGATE(15,6,ROW('Input Transaksi'!$B$5:$B$5000)/('Input Transaksi'!$B$5:$B$5000="LONDRI DEWE"),ROWS($E$5:E213)),"")</f>
        <v/>
      </c>
      <c r="F213" s="5" t="n"/>
    </row>
    <row r="214">
      <c r="A214" s="10">
        <f>IF($E214="","",INDEX('Input Transaksi'!$A:$A,$E214))</f>
        <v/>
      </c>
      <c r="B214" s="5">
        <f>IF($E214="","",INDEX('Input Transaksi'!$D:$D,$E214))</f>
        <v/>
      </c>
      <c r="C214">
        <f>IF($E214="","",INDEX('Input Transaksi'!$E:$E,$E214))</f>
        <v/>
      </c>
      <c r="D214" s="5">
        <f>IF($E214="","",INDEX('Input Transaksi'!$F:$F,$E214))</f>
        <v/>
      </c>
      <c r="E214">
        <f>IFERROR(AGGREGATE(15,6,ROW('Input Transaksi'!$B$5:$B$5000)/('Input Transaksi'!$B$5:$B$5000="LONDRI DEWE"),ROWS($E$5:E214)),"")</f>
        <v/>
      </c>
      <c r="F214" s="5" t="n"/>
    </row>
    <row r="215">
      <c r="A215" s="10">
        <f>IF($E215="","",INDEX('Input Transaksi'!$A:$A,$E215))</f>
        <v/>
      </c>
      <c r="B215" s="5">
        <f>IF($E215="","",INDEX('Input Transaksi'!$D:$D,$E215))</f>
        <v/>
      </c>
      <c r="C215">
        <f>IF($E215="","",INDEX('Input Transaksi'!$E:$E,$E215))</f>
        <v/>
      </c>
      <c r="D215" s="5">
        <f>IF($E215="","",INDEX('Input Transaksi'!$F:$F,$E215))</f>
        <v/>
      </c>
      <c r="E215">
        <f>IFERROR(AGGREGATE(15,6,ROW('Input Transaksi'!$B$5:$B$5000)/('Input Transaksi'!$B$5:$B$5000="LONDRI DEWE"),ROWS($E$5:E215)),"")</f>
        <v/>
      </c>
      <c r="F215" s="5" t="n"/>
    </row>
    <row r="216">
      <c r="A216" s="10">
        <f>IF($E216="","",INDEX('Input Transaksi'!$A:$A,$E216))</f>
        <v/>
      </c>
      <c r="B216" s="5">
        <f>IF($E216="","",INDEX('Input Transaksi'!$D:$D,$E216))</f>
        <v/>
      </c>
      <c r="C216">
        <f>IF($E216="","",INDEX('Input Transaksi'!$E:$E,$E216))</f>
        <v/>
      </c>
      <c r="D216" s="5">
        <f>IF($E216="","",INDEX('Input Transaksi'!$F:$F,$E216))</f>
        <v/>
      </c>
      <c r="E216">
        <f>IFERROR(AGGREGATE(15,6,ROW('Input Transaksi'!$B$5:$B$5000)/('Input Transaksi'!$B$5:$B$5000="LONDRI DEWE"),ROWS($E$5:E216)),"")</f>
        <v/>
      </c>
      <c r="F216" s="5" t="n"/>
    </row>
    <row r="217">
      <c r="A217" s="10">
        <f>IF($E217="","",INDEX('Input Transaksi'!$A:$A,$E217))</f>
        <v/>
      </c>
      <c r="B217" s="5">
        <f>IF($E217="","",INDEX('Input Transaksi'!$D:$D,$E217))</f>
        <v/>
      </c>
      <c r="C217">
        <f>IF($E217="","",INDEX('Input Transaksi'!$E:$E,$E217))</f>
        <v/>
      </c>
      <c r="D217" s="5">
        <f>IF($E217="","",INDEX('Input Transaksi'!$F:$F,$E217))</f>
        <v/>
      </c>
      <c r="E217">
        <f>IFERROR(AGGREGATE(15,6,ROW('Input Transaksi'!$B$5:$B$5000)/('Input Transaksi'!$B$5:$B$5000="LONDRI DEWE"),ROWS($E$5:E217)),"")</f>
        <v/>
      </c>
      <c r="F217" s="5" t="n"/>
    </row>
    <row r="218">
      <c r="A218" s="10">
        <f>IF($E218="","",INDEX('Input Transaksi'!$A:$A,$E218))</f>
        <v/>
      </c>
      <c r="B218" s="5">
        <f>IF($E218="","",INDEX('Input Transaksi'!$D:$D,$E218))</f>
        <v/>
      </c>
      <c r="C218">
        <f>IF($E218="","",INDEX('Input Transaksi'!$E:$E,$E218))</f>
        <v/>
      </c>
      <c r="D218" s="5">
        <f>IF($E218="","",INDEX('Input Transaksi'!$F:$F,$E218))</f>
        <v/>
      </c>
      <c r="E218">
        <f>IFERROR(AGGREGATE(15,6,ROW('Input Transaksi'!$B$5:$B$5000)/('Input Transaksi'!$B$5:$B$5000="LONDRI DEWE"),ROWS($E$5:E218)),"")</f>
        <v/>
      </c>
      <c r="F218" s="5" t="n"/>
    </row>
    <row r="219">
      <c r="A219" s="10">
        <f>IF($E219="","",INDEX('Input Transaksi'!$A:$A,$E219))</f>
        <v/>
      </c>
      <c r="B219" s="5">
        <f>IF($E219="","",INDEX('Input Transaksi'!$D:$D,$E219))</f>
        <v/>
      </c>
      <c r="C219">
        <f>IF($E219="","",INDEX('Input Transaksi'!$E:$E,$E219))</f>
        <v/>
      </c>
      <c r="D219" s="5">
        <f>IF($E219="","",INDEX('Input Transaksi'!$F:$F,$E219))</f>
        <v/>
      </c>
      <c r="E219">
        <f>IFERROR(AGGREGATE(15,6,ROW('Input Transaksi'!$B$5:$B$5000)/('Input Transaksi'!$B$5:$B$5000="LONDRI DEWE"),ROWS($E$5:E219)),"")</f>
        <v/>
      </c>
      <c r="F219" s="5" t="n"/>
    </row>
    <row r="220">
      <c r="A220" s="10">
        <f>IF($E220="","",INDEX('Input Transaksi'!$A:$A,$E220))</f>
        <v/>
      </c>
      <c r="B220" s="5">
        <f>IF($E220="","",INDEX('Input Transaksi'!$D:$D,$E220))</f>
        <v/>
      </c>
      <c r="C220">
        <f>IF($E220="","",INDEX('Input Transaksi'!$E:$E,$E220))</f>
        <v/>
      </c>
      <c r="D220" s="5">
        <f>IF($E220="","",INDEX('Input Transaksi'!$F:$F,$E220))</f>
        <v/>
      </c>
      <c r="E220">
        <f>IFERROR(AGGREGATE(15,6,ROW('Input Transaksi'!$B$5:$B$5000)/('Input Transaksi'!$B$5:$B$5000="LONDRI DEWE"),ROWS($E$5:E220)),"")</f>
        <v/>
      </c>
      <c r="F220" s="5" t="n"/>
    </row>
    <row r="221">
      <c r="A221" s="10">
        <f>IF($E221="","",INDEX('Input Transaksi'!$A:$A,$E221))</f>
        <v/>
      </c>
      <c r="B221" s="5">
        <f>IF($E221="","",INDEX('Input Transaksi'!$D:$D,$E221))</f>
        <v/>
      </c>
      <c r="C221">
        <f>IF($E221="","",INDEX('Input Transaksi'!$E:$E,$E221))</f>
        <v/>
      </c>
      <c r="D221" s="5">
        <f>IF($E221="","",INDEX('Input Transaksi'!$F:$F,$E221))</f>
        <v/>
      </c>
      <c r="E221">
        <f>IFERROR(AGGREGATE(15,6,ROW('Input Transaksi'!$B$5:$B$5000)/('Input Transaksi'!$B$5:$B$5000="LONDRI DEWE"),ROWS($E$5:E221)),"")</f>
        <v/>
      </c>
      <c r="F221" s="5" t="n"/>
    </row>
    <row r="222">
      <c r="A222" s="10">
        <f>IF($E222="","",INDEX('Input Transaksi'!$A:$A,$E222))</f>
        <v/>
      </c>
      <c r="B222" s="5">
        <f>IF($E222="","",INDEX('Input Transaksi'!$D:$D,$E222))</f>
        <v/>
      </c>
      <c r="C222">
        <f>IF($E222="","",INDEX('Input Transaksi'!$E:$E,$E222))</f>
        <v/>
      </c>
      <c r="D222" s="5">
        <f>IF($E222="","",INDEX('Input Transaksi'!$F:$F,$E222))</f>
        <v/>
      </c>
      <c r="E222">
        <f>IFERROR(AGGREGATE(15,6,ROW('Input Transaksi'!$B$5:$B$5000)/('Input Transaksi'!$B$5:$B$5000="LONDRI DEWE"),ROWS($E$5:E222)),"")</f>
        <v/>
      </c>
      <c r="F222" s="5" t="n"/>
    </row>
    <row r="223">
      <c r="A223" s="10">
        <f>IF($E223="","",INDEX('Input Transaksi'!$A:$A,$E223))</f>
        <v/>
      </c>
      <c r="B223" s="5">
        <f>IF($E223="","",INDEX('Input Transaksi'!$D:$D,$E223))</f>
        <v/>
      </c>
      <c r="C223">
        <f>IF($E223="","",INDEX('Input Transaksi'!$E:$E,$E223))</f>
        <v/>
      </c>
      <c r="D223" s="5">
        <f>IF($E223="","",INDEX('Input Transaksi'!$F:$F,$E223))</f>
        <v/>
      </c>
      <c r="E223">
        <f>IFERROR(AGGREGATE(15,6,ROW('Input Transaksi'!$B$5:$B$5000)/('Input Transaksi'!$B$5:$B$5000="LONDRI DEWE"),ROWS($E$5:E223)),"")</f>
        <v/>
      </c>
      <c r="F223" s="5" t="n"/>
    </row>
    <row r="224">
      <c r="A224" s="10">
        <f>IF($E224="","",INDEX('Input Transaksi'!$A:$A,$E224))</f>
        <v/>
      </c>
      <c r="B224" s="5">
        <f>IF($E224="","",INDEX('Input Transaksi'!$D:$D,$E224))</f>
        <v/>
      </c>
      <c r="C224">
        <f>IF($E224="","",INDEX('Input Transaksi'!$E:$E,$E224))</f>
        <v/>
      </c>
      <c r="D224" s="5">
        <f>IF($E224="","",INDEX('Input Transaksi'!$F:$F,$E224))</f>
        <v/>
      </c>
      <c r="E224">
        <f>IFERROR(AGGREGATE(15,6,ROW('Input Transaksi'!$B$5:$B$5000)/('Input Transaksi'!$B$5:$B$5000="LONDRI DEWE"),ROWS($E$5:E224)),"")</f>
        <v/>
      </c>
      <c r="F224" s="5" t="n"/>
    </row>
    <row r="225">
      <c r="A225" s="10">
        <f>IF($E225="","",INDEX('Input Transaksi'!$A:$A,$E225))</f>
        <v/>
      </c>
      <c r="B225" s="5">
        <f>IF($E225="","",INDEX('Input Transaksi'!$D:$D,$E225))</f>
        <v/>
      </c>
      <c r="C225">
        <f>IF($E225="","",INDEX('Input Transaksi'!$E:$E,$E225))</f>
        <v/>
      </c>
      <c r="D225" s="5">
        <f>IF($E225="","",INDEX('Input Transaksi'!$F:$F,$E225))</f>
        <v/>
      </c>
      <c r="E225">
        <f>IFERROR(AGGREGATE(15,6,ROW('Input Transaksi'!$B$5:$B$5000)/('Input Transaksi'!$B$5:$B$5000="LONDRI DEWE"),ROWS($E$5:E225)),"")</f>
        <v/>
      </c>
      <c r="F225" s="5" t="n"/>
    </row>
    <row r="226">
      <c r="A226" s="10">
        <f>IF($E226="","",INDEX('Input Transaksi'!$A:$A,$E226))</f>
        <v/>
      </c>
      <c r="B226" s="5">
        <f>IF($E226="","",INDEX('Input Transaksi'!$D:$D,$E226))</f>
        <v/>
      </c>
      <c r="C226">
        <f>IF($E226="","",INDEX('Input Transaksi'!$E:$E,$E226))</f>
        <v/>
      </c>
      <c r="D226" s="5">
        <f>IF($E226="","",INDEX('Input Transaksi'!$F:$F,$E226))</f>
        <v/>
      </c>
      <c r="E226">
        <f>IFERROR(AGGREGATE(15,6,ROW('Input Transaksi'!$B$5:$B$5000)/('Input Transaksi'!$B$5:$B$5000="LONDRI DEWE"),ROWS($E$5:E226)),"")</f>
        <v/>
      </c>
      <c r="F226" s="5" t="n"/>
    </row>
    <row r="227">
      <c r="A227" s="10">
        <f>IF($E227="","",INDEX('Input Transaksi'!$A:$A,$E227))</f>
        <v/>
      </c>
      <c r="B227" s="5">
        <f>IF($E227="","",INDEX('Input Transaksi'!$D:$D,$E227))</f>
        <v/>
      </c>
      <c r="C227">
        <f>IF($E227="","",INDEX('Input Transaksi'!$E:$E,$E227))</f>
        <v/>
      </c>
      <c r="D227" s="5">
        <f>IF($E227="","",INDEX('Input Transaksi'!$F:$F,$E227))</f>
        <v/>
      </c>
      <c r="E227">
        <f>IFERROR(AGGREGATE(15,6,ROW('Input Transaksi'!$B$5:$B$5000)/('Input Transaksi'!$B$5:$B$5000="LONDRI DEWE"),ROWS($E$5:E227)),"")</f>
        <v/>
      </c>
      <c r="F227" s="5" t="n"/>
    </row>
    <row r="228">
      <c r="A228" s="10">
        <f>IF($E228="","",INDEX('Input Transaksi'!$A:$A,$E228))</f>
        <v/>
      </c>
      <c r="B228" s="5">
        <f>IF($E228="","",INDEX('Input Transaksi'!$D:$D,$E228))</f>
        <v/>
      </c>
      <c r="C228">
        <f>IF($E228="","",INDEX('Input Transaksi'!$E:$E,$E228))</f>
        <v/>
      </c>
      <c r="D228" s="5">
        <f>IF($E228="","",INDEX('Input Transaksi'!$F:$F,$E228))</f>
        <v/>
      </c>
      <c r="E228">
        <f>IFERROR(AGGREGATE(15,6,ROW('Input Transaksi'!$B$5:$B$5000)/('Input Transaksi'!$B$5:$B$5000="LONDRI DEWE"),ROWS($E$5:E228)),"")</f>
        <v/>
      </c>
      <c r="F228" s="5" t="n"/>
    </row>
    <row r="229">
      <c r="A229" s="10">
        <f>IF($E229="","",INDEX('Input Transaksi'!$A:$A,$E229))</f>
        <v/>
      </c>
      <c r="B229" s="5">
        <f>IF($E229="","",INDEX('Input Transaksi'!$D:$D,$E229))</f>
        <v/>
      </c>
      <c r="C229">
        <f>IF($E229="","",INDEX('Input Transaksi'!$E:$E,$E229))</f>
        <v/>
      </c>
      <c r="D229" s="5">
        <f>IF($E229="","",INDEX('Input Transaksi'!$F:$F,$E229))</f>
        <v/>
      </c>
      <c r="E229">
        <f>IFERROR(AGGREGATE(15,6,ROW('Input Transaksi'!$B$5:$B$5000)/('Input Transaksi'!$B$5:$B$5000="LONDRI DEWE"),ROWS($E$5:E229)),"")</f>
        <v/>
      </c>
      <c r="F229" s="5" t="n"/>
    </row>
    <row r="230">
      <c r="A230" s="10">
        <f>IF($E230="","",INDEX('Input Transaksi'!$A:$A,$E230))</f>
        <v/>
      </c>
      <c r="B230" s="5">
        <f>IF($E230="","",INDEX('Input Transaksi'!$D:$D,$E230))</f>
        <v/>
      </c>
      <c r="C230">
        <f>IF($E230="","",INDEX('Input Transaksi'!$E:$E,$E230))</f>
        <v/>
      </c>
      <c r="D230" s="5">
        <f>IF($E230="","",INDEX('Input Transaksi'!$F:$F,$E230))</f>
        <v/>
      </c>
      <c r="E230">
        <f>IFERROR(AGGREGATE(15,6,ROW('Input Transaksi'!$B$5:$B$5000)/('Input Transaksi'!$B$5:$B$5000="LONDRI DEWE"),ROWS($E$5:E230)),"")</f>
        <v/>
      </c>
      <c r="F230" s="5" t="n"/>
    </row>
    <row r="231">
      <c r="A231" s="10">
        <f>IF($E231="","",INDEX('Input Transaksi'!$A:$A,$E231))</f>
        <v/>
      </c>
      <c r="B231" s="5">
        <f>IF($E231="","",INDEX('Input Transaksi'!$D:$D,$E231))</f>
        <v/>
      </c>
      <c r="C231">
        <f>IF($E231="","",INDEX('Input Transaksi'!$E:$E,$E231))</f>
        <v/>
      </c>
      <c r="D231" s="5">
        <f>IF($E231="","",INDEX('Input Transaksi'!$F:$F,$E231))</f>
        <v/>
      </c>
      <c r="E231">
        <f>IFERROR(AGGREGATE(15,6,ROW('Input Transaksi'!$B$5:$B$5000)/('Input Transaksi'!$B$5:$B$5000="LONDRI DEWE"),ROWS($E$5:E231)),"")</f>
        <v/>
      </c>
      <c r="F231" s="5" t="n"/>
    </row>
    <row r="232">
      <c r="A232" s="10">
        <f>IF($E232="","",INDEX('Input Transaksi'!$A:$A,$E232))</f>
        <v/>
      </c>
      <c r="B232" s="5">
        <f>IF($E232="","",INDEX('Input Transaksi'!$D:$D,$E232))</f>
        <v/>
      </c>
      <c r="C232">
        <f>IF($E232="","",INDEX('Input Transaksi'!$E:$E,$E232))</f>
        <v/>
      </c>
      <c r="D232" s="5">
        <f>IF($E232="","",INDEX('Input Transaksi'!$F:$F,$E232))</f>
        <v/>
      </c>
      <c r="E232">
        <f>IFERROR(AGGREGATE(15,6,ROW('Input Transaksi'!$B$5:$B$5000)/('Input Transaksi'!$B$5:$B$5000="LONDRI DEWE"),ROWS($E$5:E232)),"")</f>
        <v/>
      </c>
      <c r="F232" s="5" t="n"/>
    </row>
    <row r="233">
      <c r="A233" s="10">
        <f>IF($E233="","",INDEX('Input Transaksi'!$A:$A,$E233))</f>
        <v/>
      </c>
      <c r="B233" s="5">
        <f>IF($E233="","",INDEX('Input Transaksi'!$D:$D,$E233))</f>
        <v/>
      </c>
      <c r="C233">
        <f>IF($E233="","",INDEX('Input Transaksi'!$E:$E,$E233))</f>
        <v/>
      </c>
      <c r="D233" s="5">
        <f>IF($E233="","",INDEX('Input Transaksi'!$F:$F,$E233))</f>
        <v/>
      </c>
      <c r="E233">
        <f>IFERROR(AGGREGATE(15,6,ROW('Input Transaksi'!$B$5:$B$5000)/('Input Transaksi'!$B$5:$B$5000="LONDRI DEWE"),ROWS($E$5:E233)),"")</f>
        <v/>
      </c>
      <c r="F233" s="5" t="n"/>
    </row>
    <row r="234">
      <c r="A234" s="10">
        <f>IF($E234="","",INDEX('Input Transaksi'!$A:$A,$E234))</f>
        <v/>
      </c>
      <c r="B234" s="5">
        <f>IF($E234="","",INDEX('Input Transaksi'!$D:$D,$E234))</f>
        <v/>
      </c>
      <c r="C234">
        <f>IF($E234="","",INDEX('Input Transaksi'!$E:$E,$E234))</f>
        <v/>
      </c>
      <c r="D234" s="5">
        <f>IF($E234="","",INDEX('Input Transaksi'!$F:$F,$E234))</f>
        <v/>
      </c>
      <c r="E234">
        <f>IFERROR(AGGREGATE(15,6,ROW('Input Transaksi'!$B$5:$B$5000)/('Input Transaksi'!$B$5:$B$5000="LONDRI DEWE"),ROWS($E$5:E234)),"")</f>
        <v/>
      </c>
      <c r="F234" s="5" t="n"/>
    </row>
    <row r="235">
      <c r="A235" s="10">
        <f>IF($E235="","",INDEX('Input Transaksi'!$A:$A,$E235))</f>
        <v/>
      </c>
      <c r="B235" s="5">
        <f>IF($E235="","",INDEX('Input Transaksi'!$D:$D,$E235))</f>
        <v/>
      </c>
      <c r="C235">
        <f>IF($E235="","",INDEX('Input Transaksi'!$E:$E,$E235))</f>
        <v/>
      </c>
      <c r="D235" s="5">
        <f>IF($E235="","",INDEX('Input Transaksi'!$F:$F,$E235))</f>
        <v/>
      </c>
      <c r="E235">
        <f>IFERROR(AGGREGATE(15,6,ROW('Input Transaksi'!$B$5:$B$5000)/('Input Transaksi'!$B$5:$B$5000="LONDRI DEWE"),ROWS($E$5:E235)),"")</f>
        <v/>
      </c>
      <c r="F235" s="5" t="n"/>
    </row>
    <row r="236">
      <c r="A236" s="10">
        <f>IF($E236="","",INDEX('Input Transaksi'!$A:$A,$E236))</f>
        <v/>
      </c>
      <c r="B236" s="5">
        <f>IF($E236="","",INDEX('Input Transaksi'!$D:$D,$E236))</f>
        <v/>
      </c>
      <c r="C236">
        <f>IF($E236="","",INDEX('Input Transaksi'!$E:$E,$E236))</f>
        <v/>
      </c>
      <c r="D236" s="5">
        <f>IF($E236="","",INDEX('Input Transaksi'!$F:$F,$E236))</f>
        <v/>
      </c>
      <c r="E236">
        <f>IFERROR(AGGREGATE(15,6,ROW('Input Transaksi'!$B$5:$B$5000)/('Input Transaksi'!$B$5:$B$5000="LONDRI DEWE"),ROWS($E$5:E236)),"")</f>
        <v/>
      </c>
      <c r="F236" s="5" t="n"/>
    </row>
    <row r="237">
      <c r="A237" s="10">
        <f>IF($E237="","",INDEX('Input Transaksi'!$A:$A,$E237))</f>
        <v/>
      </c>
      <c r="B237" s="5">
        <f>IF($E237="","",INDEX('Input Transaksi'!$D:$D,$E237))</f>
        <v/>
      </c>
      <c r="C237">
        <f>IF($E237="","",INDEX('Input Transaksi'!$E:$E,$E237))</f>
        <v/>
      </c>
      <c r="D237" s="5">
        <f>IF($E237="","",INDEX('Input Transaksi'!$F:$F,$E237))</f>
        <v/>
      </c>
      <c r="E237">
        <f>IFERROR(AGGREGATE(15,6,ROW('Input Transaksi'!$B$5:$B$5000)/('Input Transaksi'!$B$5:$B$5000="LONDRI DEWE"),ROWS($E$5:E237)),"")</f>
        <v/>
      </c>
      <c r="F237" s="5" t="n"/>
    </row>
    <row r="238">
      <c r="A238" s="10">
        <f>IF($E238="","",INDEX('Input Transaksi'!$A:$A,$E238))</f>
        <v/>
      </c>
      <c r="B238" s="5">
        <f>IF($E238="","",INDEX('Input Transaksi'!$D:$D,$E238))</f>
        <v/>
      </c>
      <c r="C238">
        <f>IF($E238="","",INDEX('Input Transaksi'!$E:$E,$E238))</f>
        <v/>
      </c>
      <c r="D238" s="5">
        <f>IF($E238="","",INDEX('Input Transaksi'!$F:$F,$E238))</f>
        <v/>
      </c>
      <c r="E238">
        <f>IFERROR(AGGREGATE(15,6,ROW('Input Transaksi'!$B$5:$B$5000)/('Input Transaksi'!$B$5:$B$5000="LONDRI DEWE"),ROWS($E$5:E238)),"")</f>
        <v/>
      </c>
      <c r="F238" s="5" t="n"/>
    </row>
    <row r="239">
      <c r="A239" s="10">
        <f>IF($E239="","",INDEX('Input Transaksi'!$A:$A,$E239))</f>
        <v/>
      </c>
      <c r="B239" s="5">
        <f>IF($E239="","",INDEX('Input Transaksi'!$D:$D,$E239))</f>
        <v/>
      </c>
      <c r="C239">
        <f>IF($E239="","",INDEX('Input Transaksi'!$E:$E,$E239))</f>
        <v/>
      </c>
      <c r="D239" s="5">
        <f>IF($E239="","",INDEX('Input Transaksi'!$F:$F,$E239))</f>
        <v/>
      </c>
      <c r="E239">
        <f>IFERROR(AGGREGATE(15,6,ROW('Input Transaksi'!$B$5:$B$5000)/('Input Transaksi'!$B$5:$B$5000="LONDRI DEWE"),ROWS($E$5:E239)),"")</f>
        <v/>
      </c>
      <c r="F239" s="5" t="n"/>
    </row>
    <row r="240">
      <c r="A240" s="10">
        <f>IF($E240="","",INDEX('Input Transaksi'!$A:$A,$E240))</f>
        <v/>
      </c>
      <c r="B240" s="5">
        <f>IF($E240="","",INDEX('Input Transaksi'!$D:$D,$E240))</f>
        <v/>
      </c>
      <c r="C240">
        <f>IF($E240="","",INDEX('Input Transaksi'!$E:$E,$E240))</f>
        <v/>
      </c>
      <c r="D240" s="5">
        <f>IF($E240="","",INDEX('Input Transaksi'!$F:$F,$E240))</f>
        <v/>
      </c>
      <c r="E240">
        <f>IFERROR(AGGREGATE(15,6,ROW('Input Transaksi'!$B$5:$B$5000)/('Input Transaksi'!$B$5:$B$5000="LONDRI DEWE"),ROWS($E$5:E240)),"")</f>
        <v/>
      </c>
      <c r="F240" s="5" t="n"/>
    </row>
    <row r="241">
      <c r="A241" s="10">
        <f>IF($E241="","",INDEX('Input Transaksi'!$A:$A,$E241))</f>
        <v/>
      </c>
      <c r="B241" s="5">
        <f>IF($E241="","",INDEX('Input Transaksi'!$D:$D,$E241))</f>
        <v/>
      </c>
      <c r="C241">
        <f>IF($E241="","",INDEX('Input Transaksi'!$E:$E,$E241))</f>
        <v/>
      </c>
      <c r="D241" s="5">
        <f>IF($E241="","",INDEX('Input Transaksi'!$F:$F,$E241))</f>
        <v/>
      </c>
      <c r="E241">
        <f>IFERROR(AGGREGATE(15,6,ROW('Input Transaksi'!$B$5:$B$5000)/('Input Transaksi'!$B$5:$B$5000="LONDRI DEWE"),ROWS($E$5:E241)),"")</f>
        <v/>
      </c>
      <c r="F241" s="5" t="n"/>
    </row>
    <row r="242">
      <c r="A242" s="10">
        <f>IF($E242="","",INDEX('Input Transaksi'!$A:$A,$E242))</f>
        <v/>
      </c>
      <c r="B242" s="5">
        <f>IF($E242="","",INDEX('Input Transaksi'!$D:$D,$E242))</f>
        <v/>
      </c>
      <c r="C242">
        <f>IF($E242="","",INDEX('Input Transaksi'!$E:$E,$E242))</f>
        <v/>
      </c>
      <c r="D242" s="5">
        <f>IF($E242="","",INDEX('Input Transaksi'!$F:$F,$E242))</f>
        <v/>
      </c>
      <c r="E242">
        <f>IFERROR(AGGREGATE(15,6,ROW('Input Transaksi'!$B$5:$B$5000)/('Input Transaksi'!$B$5:$B$5000="LONDRI DEWE"),ROWS($E$5:E242)),"")</f>
        <v/>
      </c>
      <c r="F242" s="5" t="n"/>
    </row>
    <row r="243">
      <c r="A243" s="10">
        <f>IF($E243="","",INDEX('Input Transaksi'!$A:$A,$E243))</f>
        <v/>
      </c>
      <c r="B243" s="5">
        <f>IF($E243="","",INDEX('Input Transaksi'!$D:$D,$E243))</f>
        <v/>
      </c>
      <c r="C243">
        <f>IF($E243="","",INDEX('Input Transaksi'!$E:$E,$E243))</f>
        <v/>
      </c>
      <c r="D243" s="5">
        <f>IF($E243="","",INDEX('Input Transaksi'!$F:$F,$E243))</f>
        <v/>
      </c>
      <c r="E243">
        <f>IFERROR(AGGREGATE(15,6,ROW('Input Transaksi'!$B$5:$B$5000)/('Input Transaksi'!$B$5:$B$5000="LONDRI DEWE"),ROWS($E$5:E243)),"")</f>
        <v/>
      </c>
      <c r="F243" s="5" t="n"/>
    </row>
    <row r="244">
      <c r="A244" s="10">
        <f>IF($E244="","",INDEX('Input Transaksi'!$A:$A,$E244))</f>
        <v/>
      </c>
      <c r="B244" s="5">
        <f>IF($E244="","",INDEX('Input Transaksi'!$D:$D,$E244))</f>
        <v/>
      </c>
      <c r="C244">
        <f>IF($E244="","",INDEX('Input Transaksi'!$E:$E,$E244))</f>
        <v/>
      </c>
      <c r="D244" s="5">
        <f>IF($E244="","",INDEX('Input Transaksi'!$F:$F,$E244))</f>
        <v/>
      </c>
      <c r="E244">
        <f>IFERROR(AGGREGATE(15,6,ROW('Input Transaksi'!$B$5:$B$5000)/('Input Transaksi'!$B$5:$B$5000="LONDRI DEWE"),ROWS($E$5:E244)),"")</f>
        <v/>
      </c>
      <c r="F244" s="5" t="n"/>
    </row>
    <row r="245">
      <c r="A245" s="10">
        <f>IF($E245="","",INDEX('Input Transaksi'!$A:$A,$E245))</f>
        <v/>
      </c>
      <c r="B245" s="5">
        <f>IF($E245="","",INDEX('Input Transaksi'!$D:$D,$E245))</f>
        <v/>
      </c>
      <c r="C245">
        <f>IF($E245="","",INDEX('Input Transaksi'!$E:$E,$E245))</f>
        <v/>
      </c>
      <c r="D245" s="5">
        <f>IF($E245="","",INDEX('Input Transaksi'!$F:$F,$E245))</f>
        <v/>
      </c>
      <c r="E245">
        <f>IFERROR(AGGREGATE(15,6,ROW('Input Transaksi'!$B$5:$B$5000)/('Input Transaksi'!$B$5:$B$5000="LONDRI DEWE"),ROWS($E$5:E245)),"")</f>
        <v/>
      </c>
      <c r="F245" s="5" t="n"/>
    </row>
    <row r="246">
      <c r="A246" s="10">
        <f>IF($E246="","",INDEX('Input Transaksi'!$A:$A,$E246))</f>
        <v/>
      </c>
      <c r="B246" s="5">
        <f>IF($E246="","",INDEX('Input Transaksi'!$D:$D,$E246))</f>
        <v/>
      </c>
      <c r="C246">
        <f>IF($E246="","",INDEX('Input Transaksi'!$E:$E,$E246))</f>
        <v/>
      </c>
      <c r="D246" s="5">
        <f>IF($E246="","",INDEX('Input Transaksi'!$F:$F,$E246))</f>
        <v/>
      </c>
      <c r="E246">
        <f>IFERROR(AGGREGATE(15,6,ROW('Input Transaksi'!$B$5:$B$5000)/('Input Transaksi'!$B$5:$B$5000="LONDRI DEWE"),ROWS($E$5:E246)),"")</f>
        <v/>
      </c>
      <c r="F246" s="5" t="n"/>
    </row>
    <row r="247">
      <c r="A247" s="10">
        <f>IF($E247="","",INDEX('Input Transaksi'!$A:$A,$E247))</f>
        <v/>
      </c>
      <c r="B247" s="5">
        <f>IF($E247="","",INDEX('Input Transaksi'!$D:$D,$E247))</f>
        <v/>
      </c>
      <c r="C247">
        <f>IF($E247="","",INDEX('Input Transaksi'!$E:$E,$E247))</f>
        <v/>
      </c>
      <c r="D247" s="5">
        <f>IF($E247="","",INDEX('Input Transaksi'!$F:$F,$E247))</f>
        <v/>
      </c>
      <c r="E247">
        <f>IFERROR(AGGREGATE(15,6,ROW('Input Transaksi'!$B$5:$B$5000)/('Input Transaksi'!$B$5:$B$5000="LONDRI DEWE"),ROWS($E$5:E247)),"")</f>
        <v/>
      </c>
      <c r="F247" s="5" t="n"/>
    </row>
    <row r="248">
      <c r="A248" s="10">
        <f>IF($E248="","",INDEX('Input Transaksi'!$A:$A,$E248))</f>
        <v/>
      </c>
      <c r="B248" s="5">
        <f>IF($E248="","",INDEX('Input Transaksi'!$D:$D,$E248))</f>
        <v/>
      </c>
      <c r="C248">
        <f>IF($E248="","",INDEX('Input Transaksi'!$E:$E,$E248))</f>
        <v/>
      </c>
      <c r="D248" s="5">
        <f>IF($E248="","",INDEX('Input Transaksi'!$F:$F,$E248))</f>
        <v/>
      </c>
      <c r="E248">
        <f>IFERROR(AGGREGATE(15,6,ROW('Input Transaksi'!$B$5:$B$5000)/('Input Transaksi'!$B$5:$B$5000="LONDRI DEWE"),ROWS($E$5:E248)),"")</f>
        <v/>
      </c>
      <c r="F248" s="5" t="n"/>
    </row>
    <row r="249">
      <c r="A249" s="10">
        <f>IF($E249="","",INDEX('Input Transaksi'!$A:$A,$E249))</f>
        <v/>
      </c>
      <c r="B249" s="5">
        <f>IF($E249="","",INDEX('Input Transaksi'!$D:$D,$E249))</f>
        <v/>
      </c>
      <c r="C249">
        <f>IF($E249="","",INDEX('Input Transaksi'!$E:$E,$E249))</f>
        <v/>
      </c>
      <c r="D249" s="5">
        <f>IF($E249="","",INDEX('Input Transaksi'!$F:$F,$E249))</f>
        <v/>
      </c>
      <c r="E249">
        <f>IFERROR(AGGREGATE(15,6,ROW('Input Transaksi'!$B$5:$B$5000)/('Input Transaksi'!$B$5:$B$5000="LONDRI DEWE"),ROWS($E$5:E249)),"")</f>
        <v/>
      </c>
      <c r="F249" s="5" t="n"/>
    </row>
    <row r="250">
      <c r="A250" s="10">
        <f>IF($E250="","",INDEX('Input Transaksi'!$A:$A,$E250))</f>
        <v/>
      </c>
      <c r="B250" s="5">
        <f>IF($E250="","",INDEX('Input Transaksi'!$D:$D,$E250))</f>
        <v/>
      </c>
      <c r="C250">
        <f>IF($E250="","",INDEX('Input Transaksi'!$E:$E,$E250))</f>
        <v/>
      </c>
      <c r="D250" s="5">
        <f>IF($E250="","",INDEX('Input Transaksi'!$F:$F,$E250))</f>
        <v/>
      </c>
      <c r="E250">
        <f>IFERROR(AGGREGATE(15,6,ROW('Input Transaksi'!$B$5:$B$5000)/('Input Transaksi'!$B$5:$B$5000="LONDRI DEWE"),ROWS($E$5:E250)),"")</f>
        <v/>
      </c>
      <c r="F250" s="5" t="n"/>
    </row>
    <row r="251">
      <c r="A251" s="10">
        <f>IF($E251="","",INDEX('Input Transaksi'!$A:$A,$E251))</f>
        <v/>
      </c>
      <c r="B251" s="5">
        <f>IF($E251="","",INDEX('Input Transaksi'!$D:$D,$E251))</f>
        <v/>
      </c>
      <c r="C251">
        <f>IF($E251="","",INDEX('Input Transaksi'!$E:$E,$E251))</f>
        <v/>
      </c>
      <c r="D251" s="5">
        <f>IF($E251="","",INDEX('Input Transaksi'!$F:$F,$E251))</f>
        <v/>
      </c>
      <c r="E251">
        <f>IFERROR(AGGREGATE(15,6,ROW('Input Transaksi'!$B$5:$B$5000)/('Input Transaksi'!$B$5:$B$5000="LONDRI DEWE"),ROWS($E$5:E251)),"")</f>
        <v/>
      </c>
      <c r="F251" s="5" t="n"/>
    </row>
    <row r="252">
      <c r="A252" s="10">
        <f>IF($E252="","",INDEX('Input Transaksi'!$A:$A,$E252))</f>
        <v/>
      </c>
      <c r="B252" s="5">
        <f>IF($E252="","",INDEX('Input Transaksi'!$D:$D,$E252))</f>
        <v/>
      </c>
      <c r="C252">
        <f>IF($E252="","",INDEX('Input Transaksi'!$E:$E,$E252))</f>
        <v/>
      </c>
      <c r="D252" s="5">
        <f>IF($E252="","",INDEX('Input Transaksi'!$F:$F,$E252))</f>
        <v/>
      </c>
      <c r="E252">
        <f>IFERROR(AGGREGATE(15,6,ROW('Input Transaksi'!$B$5:$B$5000)/('Input Transaksi'!$B$5:$B$5000="LONDRI DEWE"),ROWS($E$5:E252)),"")</f>
        <v/>
      </c>
      <c r="F252" s="5" t="n"/>
    </row>
    <row r="253">
      <c r="A253" s="10">
        <f>IF($E253="","",INDEX('Input Transaksi'!$A:$A,$E253))</f>
        <v/>
      </c>
      <c r="B253" s="5">
        <f>IF($E253="","",INDEX('Input Transaksi'!$D:$D,$E253))</f>
        <v/>
      </c>
      <c r="C253">
        <f>IF($E253="","",INDEX('Input Transaksi'!$E:$E,$E253))</f>
        <v/>
      </c>
      <c r="D253" s="5">
        <f>IF($E253="","",INDEX('Input Transaksi'!$F:$F,$E253))</f>
        <v/>
      </c>
      <c r="E253">
        <f>IFERROR(AGGREGATE(15,6,ROW('Input Transaksi'!$B$5:$B$5000)/('Input Transaksi'!$B$5:$B$5000="LONDRI DEWE"),ROWS($E$5:E253)),"")</f>
        <v/>
      </c>
      <c r="F253" s="5" t="n"/>
    </row>
    <row r="254">
      <c r="A254" s="10">
        <f>IF($E254="","",INDEX('Input Transaksi'!$A:$A,$E254))</f>
        <v/>
      </c>
      <c r="B254" s="5">
        <f>IF($E254="","",INDEX('Input Transaksi'!$D:$D,$E254))</f>
        <v/>
      </c>
      <c r="C254">
        <f>IF($E254="","",INDEX('Input Transaksi'!$E:$E,$E254))</f>
        <v/>
      </c>
      <c r="D254" s="5">
        <f>IF($E254="","",INDEX('Input Transaksi'!$F:$F,$E254))</f>
        <v/>
      </c>
      <c r="E254">
        <f>IFERROR(AGGREGATE(15,6,ROW('Input Transaksi'!$B$5:$B$5000)/('Input Transaksi'!$B$5:$B$5000="LONDRI DEWE"),ROWS($E$5:E254)),"")</f>
        <v/>
      </c>
      <c r="F254" s="5" t="n"/>
    </row>
    <row r="255">
      <c r="A255" s="10">
        <f>IF($E255="","",INDEX('Input Transaksi'!$A:$A,$E255))</f>
        <v/>
      </c>
      <c r="B255" s="5">
        <f>IF($E255="","",INDEX('Input Transaksi'!$D:$D,$E255))</f>
        <v/>
      </c>
      <c r="C255">
        <f>IF($E255="","",INDEX('Input Transaksi'!$E:$E,$E255))</f>
        <v/>
      </c>
      <c r="D255" s="5">
        <f>IF($E255="","",INDEX('Input Transaksi'!$F:$F,$E255))</f>
        <v/>
      </c>
      <c r="E255">
        <f>IFERROR(AGGREGATE(15,6,ROW('Input Transaksi'!$B$5:$B$5000)/('Input Transaksi'!$B$5:$B$5000="LONDRI DEWE"),ROWS($E$5:E255)),"")</f>
        <v/>
      </c>
      <c r="F255" s="5" t="n"/>
    </row>
    <row r="256">
      <c r="A256" s="10">
        <f>IF($E256="","",INDEX('Input Transaksi'!$A:$A,$E256))</f>
        <v/>
      </c>
      <c r="B256" s="5">
        <f>IF($E256="","",INDEX('Input Transaksi'!$D:$D,$E256))</f>
        <v/>
      </c>
      <c r="C256">
        <f>IF($E256="","",INDEX('Input Transaksi'!$E:$E,$E256))</f>
        <v/>
      </c>
      <c r="D256" s="5">
        <f>IF($E256="","",INDEX('Input Transaksi'!$F:$F,$E256))</f>
        <v/>
      </c>
      <c r="E256">
        <f>IFERROR(AGGREGATE(15,6,ROW('Input Transaksi'!$B$5:$B$5000)/('Input Transaksi'!$B$5:$B$5000="LONDRI DEWE"),ROWS($E$5:E256)),"")</f>
        <v/>
      </c>
      <c r="F256" s="5" t="n"/>
    </row>
    <row r="257">
      <c r="A257" s="10">
        <f>IF($E257="","",INDEX('Input Transaksi'!$A:$A,$E257))</f>
        <v/>
      </c>
      <c r="B257" s="5">
        <f>IF($E257="","",INDEX('Input Transaksi'!$D:$D,$E257))</f>
        <v/>
      </c>
      <c r="C257">
        <f>IF($E257="","",INDEX('Input Transaksi'!$E:$E,$E257))</f>
        <v/>
      </c>
      <c r="D257" s="5">
        <f>IF($E257="","",INDEX('Input Transaksi'!$F:$F,$E257))</f>
        <v/>
      </c>
      <c r="E257">
        <f>IFERROR(AGGREGATE(15,6,ROW('Input Transaksi'!$B$5:$B$5000)/('Input Transaksi'!$B$5:$B$5000="LONDRI DEWE"),ROWS($E$5:E257)),"")</f>
        <v/>
      </c>
      <c r="F257" s="5" t="n"/>
    </row>
    <row r="258">
      <c r="A258" s="10">
        <f>IF($E258="","",INDEX('Input Transaksi'!$A:$A,$E258))</f>
        <v/>
      </c>
      <c r="B258" s="5">
        <f>IF($E258="","",INDEX('Input Transaksi'!$D:$D,$E258))</f>
        <v/>
      </c>
      <c r="C258">
        <f>IF($E258="","",INDEX('Input Transaksi'!$E:$E,$E258))</f>
        <v/>
      </c>
      <c r="D258" s="5">
        <f>IF($E258="","",INDEX('Input Transaksi'!$F:$F,$E258))</f>
        <v/>
      </c>
      <c r="E258">
        <f>IFERROR(AGGREGATE(15,6,ROW('Input Transaksi'!$B$5:$B$5000)/('Input Transaksi'!$B$5:$B$5000="LONDRI DEWE"),ROWS($E$5:E258)),"")</f>
        <v/>
      </c>
      <c r="F258" s="5" t="n"/>
    </row>
    <row r="259">
      <c r="A259" s="10">
        <f>IF($E259="","",INDEX('Input Transaksi'!$A:$A,$E259))</f>
        <v/>
      </c>
      <c r="B259" s="5">
        <f>IF($E259="","",INDEX('Input Transaksi'!$D:$D,$E259))</f>
        <v/>
      </c>
      <c r="C259">
        <f>IF($E259="","",INDEX('Input Transaksi'!$E:$E,$E259))</f>
        <v/>
      </c>
      <c r="D259" s="5">
        <f>IF($E259="","",INDEX('Input Transaksi'!$F:$F,$E259))</f>
        <v/>
      </c>
      <c r="E259">
        <f>IFERROR(AGGREGATE(15,6,ROW('Input Transaksi'!$B$5:$B$5000)/('Input Transaksi'!$B$5:$B$5000="LONDRI DEWE"),ROWS($E$5:E259)),"")</f>
        <v/>
      </c>
      <c r="F259" s="5" t="n"/>
    </row>
    <row r="260">
      <c r="A260" s="10">
        <f>IF($E260="","",INDEX('Input Transaksi'!$A:$A,$E260))</f>
        <v/>
      </c>
      <c r="B260" s="5">
        <f>IF($E260="","",INDEX('Input Transaksi'!$D:$D,$E260))</f>
        <v/>
      </c>
      <c r="C260">
        <f>IF($E260="","",INDEX('Input Transaksi'!$E:$E,$E260))</f>
        <v/>
      </c>
      <c r="D260" s="5">
        <f>IF($E260="","",INDEX('Input Transaksi'!$F:$F,$E260))</f>
        <v/>
      </c>
      <c r="E260">
        <f>IFERROR(AGGREGATE(15,6,ROW('Input Transaksi'!$B$5:$B$5000)/('Input Transaksi'!$B$5:$B$5000="LONDRI DEWE"),ROWS($E$5:E260)),"")</f>
        <v/>
      </c>
      <c r="F260" s="5" t="n"/>
    </row>
    <row r="261">
      <c r="A261" s="10">
        <f>IF($E261="","",INDEX('Input Transaksi'!$A:$A,$E261))</f>
        <v/>
      </c>
      <c r="B261" s="5">
        <f>IF($E261="","",INDEX('Input Transaksi'!$D:$D,$E261))</f>
        <v/>
      </c>
      <c r="C261">
        <f>IF($E261="","",INDEX('Input Transaksi'!$E:$E,$E261))</f>
        <v/>
      </c>
      <c r="D261" s="5">
        <f>IF($E261="","",INDEX('Input Transaksi'!$F:$F,$E261))</f>
        <v/>
      </c>
      <c r="E261">
        <f>IFERROR(AGGREGATE(15,6,ROW('Input Transaksi'!$B$5:$B$5000)/('Input Transaksi'!$B$5:$B$5000="LONDRI DEWE"),ROWS($E$5:E261)),"")</f>
        <v/>
      </c>
      <c r="F261" s="5" t="n"/>
    </row>
    <row r="262">
      <c r="A262" s="10">
        <f>IF($E262="","",INDEX('Input Transaksi'!$A:$A,$E262))</f>
        <v/>
      </c>
      <c r="B262" s="5">
        <f>IF($E262="","",INDEX('Input Transaksi'!$D:$D,$E262))</f>
        <v/>
      </c>
      <c r="C262">
        <f>IF($E262="","",INDEX('Input Transaksi'!$E:$E,$E262))</f>
        <v/>
      </c>
      <c r="D262" s="5">
        <f>IF($E262="","",INDEX('Input Transaksi'!$F:$F,$E262))</f>
        <v/>
      </c>
      <c r="E262">
        <f>IFERROR(AGGREGATE(15,6,ROW('Input Transaksi'!$B$5:$B$5000)/('Input Transaksi'!$B$5:$B$5000="LONDRI DEWE"),ROWS($E$5:E262)),"")</f>
        <v/>
      </c>
      <c r="F262" s="5" t="n"/>
    </row>
    <row r="263">
      <c r="A263" s="10">
        <f>IF($E263="","",INDEX('Input Transaksi'!$A:$A,$E263))</f>
        <v/>
      </c>
      <c r="B263" s="5">
        <f>IF($E263="","",INDEX('Input Transaksi'!$D:$D,$E263))</f>
        <v/>
      </c>
      <c r="C263">
        <f>IF($E263="","",INDEX('Input Transaksi'!$E:$E,$E263))</f>
        <v/>
      </c>
      <c r="D263" s="5">
        <f>IF($E263="","",INDEX('Input Transaksi'!$F:$F,$E263))</f>
        <v/>
      </c>
      <c r="E263">
        <f>IFERROR(AGGREGATE(15,6,ROW('Input Transaksi'!$B$5:$B$5000)/('Input Transaksi'!$B$5:$B$5000="LONDRI DEWE"),ROWS($E$5:E263)),"")</f>
        <v/>
      </c>
      <c r="F263" s="5" t="n"/>
    </row>
    <row r="264">
      <c r="A264" s="10">
        <f>IF($E264="","",INDEX('Input Transaksi'!$A:$A,$E264))</f>
        <v/>
      </c>
      <c r="B264" s="5">
        <f>IF($E264="","",INDEX('Input Transaksi'!$D:$D,$E264))</f>
        <v/>
      </c>
      <c r="C264">
        <f>IF($E264="","",INDEX('Input Transaksi'!$E:$E,$E264))</f>
        <v/>
      </c>
      <c r="D264" s="5">
        <f>IF($E264="","",INDEX('Input Transaksi'!$F:$F,$E264))</f>
        <v/>
      </c>
      <c r="E264">
        <f>IFERROR(AGGREGATE(15,6,ROW('Input Transaksi'!$B$5:$B$5000)/('Input Transaksi'!$B$5:$B$5000="LONDRI DEWE"),ROWS($E$5:E264)),"")</f>
        <v/>
      </c>
      <c r="F264" s="5" t="n"/>
    </row>
    <row r="265">
      <c r="A265" s="10">
        <f>IF($E265="","",INDEX('Input Transaksi'!$A:$A,$E265))</f>
        <v/>
      </c>
      <c r="B265" s="5">
        <f>IF($E265="","",INDEX('Input Transaksi'!$D:$D,$E265))</f>
        <v/>
      </c>
      <c r="C265">
        <f>IF($E265="","",INDEX('Input Transaksi'!$E:$E,$E265))</f>
        <v/>
      </c>
      <c r="D265" s="5">
        <f>IF($E265="","",INDEX('Input Transaksi'!$F:$F,$E265))</f>
        <v/>
      </c>
      <c r="E265">
        <f>IFERROR(AGGREGATE(15,6,ROW('Input Transaksi'!$B$5:$B$5000)/('Input Transaksi'!$B$5:$B$5000="LONDRI DEWE"),ROWS($E$5:E265)),"")</f>
        <v/>
      </c>
      <c r="F265" s="5" t="n"/>
    </row>
    <row r="266">
      <c r="A266" s="10">
        <f>IF($E266="","",INDEX('Input Transaksi'!$A:$A,$E266))</f>
        <v/>
      </c>
      <c r="B266" s="5">
        <f>IF($E266="","",INDEX('Input Transaksi'!$D:$D,$E266))</f>
        <v/>
      </c>
      <c r="C266">
        <f>IF($E266="","",INDEX('Input Transaksi'!$E:$E,$E266))</f>
        <v/>
      </c>
      <c r="D266" s="5">
        <f>IF($E266="","",INDEX('Input Transaksi'!$F:$F,$E266))</f>
        <v/>
      </c>
      <c r="E266">
        <f>IFERROR(AGGREGATE(15,6,ROW('Input Transaksi'!$B$5:$B$5000)/('Input Transaksi'!$B$5:$B$5000="LONDRI DEWE"),ROWS($E$5:E266)),"")</f>
        <v/>
      </c>
      <c r="F266" s="5" t="n"/>
    </row>
    <row r="267">
      <c r="A267" s="10">
        <f>IF($E267="","",INDEX('Input Transaksi'!$A:$A,$E267))</f>
        <v/>
      </c>
      <c r="B267" s="5">
        <f>IF($E267="","",INDEX('Input Transaksi'!$D:$D,$E267))</f>
        <v/>
      </c>
      <c r="C267">
        <f>IF($E267="","",INDEX('Input Transaksi'!$E:$E,$E267))</f>
        <v/>
      </c>
      <c r="D267" s="5">
        <f>IF($E267="","",INDEX('Input Transaksi'!$F:$F,$E267))</f>
        <v/>
      </c>
      <c r="E267">
        <f>IFERROR(AGGREGATE(15,6,ROW('Input Transaksi'!$B$5:$B$5000)/('Input Transaksi'!$B$5:$B$5000="LONDRI DEWE"),ROWS($E$5:E267)),"")</f>
        <v/>
      </c>
      <c r="F267" s="5" t="n"/>
    </row>
    <row r="268">
      <c r="A268" s="10">
        <f>IF($E268="","",INDEX('Input Transaksi'!$A:$A,$E268))</f>
        <v/>
      </c>
      <c r="B268" s="5">
        <f>IF($E268="","",INDEX('Input Transaksi'!$D:$D,$E268))</f>
        <v/>
      </c>
      <c r="C268">
        <f>IF($E268="","",INDEX('Input Transaksi'!$E:$E,$E268))</f>
        <v/>
      </c>
      <c r="D268" s="5">
        <f>IF($E268="","",INDEX('Input Transaksi'!$F:$F,$E268))</f>
        <v/>
      </c>
      <c r="E268">
        <f>IFERROR(AGGREGATE(15,6,ROW('Input Transaksi'!$B$5:$B$5000)/('Input Transaksi'!$B$5:$B$5000="LONDRI DEWE"),ROWS($E$5:E268)),"")</f>
        <v/>
      </c>
      <c r="F268" s="5" t="n"/>
    </row>
    <row r="269">
      <c r="A269" s="10">
        <f>IF($E269="","",INDEX('Input Transaksi'!$A:$A,$E269))</f>
        <v/>
      </c>
      <c r="B269" s="5">
        <f>IF($E269="","",INDEX('Input Transaksi'!$D:$D,$E269))</f>
        <v/>
      </c>
      <c r="C269">
        <f>IF($E269="","",INDEX('Input Transaksi'!$E:$E,$E269))</f>
        <v/>
      </c>
      <c r="D269" s="5">
        <f>IF($E269="","",INDEX('Input Transaksi'!$F:$F,$E269))</f>
        <v/>
      </c>
      <c r="E269">
        <f>IFERROR(AGGREGATE(15,6,ROW('Input Transaksi'!$B$5:$B$5000)/('Input Transaksi'!$B$5:$B$5000="LONDRI DEWE"),ROWS($E$5:E269)),"")</f>
        <v/>
      </c>
      <c r="F269" s="5" t="n"/>
    </row>
    <row r="270">
      <c r="A270" s="10">
        <f>IF($E270="","",INDEX('Input Transaksi'!$A:$A,$E270))</f>
        <v/>
      </c>
      <c r="B270" s="5">
        <f>IF($E270="","",INDEX('Input Transaksi'!$D:$D,$E270))</f>
        <v/>
      </c>
      <c r="C270">
        <f>IF($E270="","",INDEX('Input Transaksi'!$E:$E,$E270))</f>
        <v/>
      </c>
      <c r="D270" s="5">
        <f>IF($E270="","",INDEX('Input Transaksi'!$F:$F,$E270))</f>
        <v/>
      </c>
      <c r="E270">
        <f>IFERROR(AGGREGATE(15,6,ROW('Input Transaksi'!$B$5:$B$5000)/('Input Transaksi'!$B$5:$B$5000="LONDRI DEWE"),ROWS($E$5:E270)),"")</f>
        <v/>
      </c>
      <c r="F270" s="5" t="n"/>
    </row>
    <row r="271">
      <c r="A271" s="10">
        <f>IF($E271="","",INDEX('Input Transaksi'!$A:$A,$E271))</f>
        <v/>
      </c>
      <c r="B271" s="5">
        <f>IF($E271="","",INDEX('Input Transaksi'!$D:$D,$E271))</f>
        <v/>
      </c>
      <c r="C271">
        <f>IF($E271="","",INDEX('Input Transaksi'!$E:$E,$E271))</f>
        <v/>
      </c>
      <c r="D271" s="5">
        <f>IF($E271="","",INDEX('Input Transaksi'!$F:$F,$E271))</f>
        <v/>
      </c>
      <c r="E271">
        <f>IFERROR(AGGREGATE(15,6,ROW('Input Transaksi'!$B$5:$B$5000)/('Input Transaksi'!$B$5:$B$5000="LONDRI DEWE"),ROWS($E$5:E271)),"")</f>
        <v/>
      </c>
      <c r="F271" s="5" t="n"/>
    </row>
    <row r="272">
      <c r="A272" s="10">
        <f>IF($E272="","",INDEX('Input Transaksi'!$A:$A,$E272))</f>
        <v/>
      </c>
      <c r="B272" s="5">
        <f>IF($E272="","",INDEX('Input Transaksi'!$D:$D,$E272))</f>
        <v/>
      </c>
      <c r="C272">
        <f>IF($E272="","",INDEX('Input Transaksi'!$E:$E,$E272))</f>
        <v/>
      </c>
      <c r="D272" s="5">
        <f>IF($E272="","",INDEX('Input Transaksi'!$F:$F,$E272))</f>
        <v/>
      </c>
      <c r="E272">
        <f>IFERROR(AGGREGATE(15,6,ROW('Input Transaksi'!$B$5:$B$5000)/('Input Transaksi'!$B$5:$B$5000="LONDRI DEWE"),ROWS($E$5:E272)),"")</f>
        <v/>
      </c>
      <c r="F272" s="5" t="n"/>
    </row>
    <row r="273">
      <c r="A273" s="10">
        <f>IF($E273="","",INDEX('Input Transaksi'!$A:$A,$E273))</f>
        <v/>
      </c>
      <c r="B273" s="5">
        <f>IF($E273="","",INDEX('Input Transaksi'!$D:$D,$E273))</f>
        <v/>
      </c>
      <c r="C273">
        <f>IF($E273="","",INDEX('Input Transaksi'!$E:$E,$E273))</f>
        <v/>
      </c>
      <c r="D273" s="5">
        <f>IF($E273="","",INDEX('Input Transaksi'!$F:$F,$E273))</f>
        <v/>
      </c>
      <c r="E273">
        <f>IFERROR(AGGREGATE(15,6,ROW('Input Transaksi'!$B$5:$B$5000)/('Input Transaksi'!$B$5:$B$5000="LONDRI DEWE"),ROWS($E$5:E273)),"")</f>
        <v/>
      </c>
      <c r="F273" s="5" t="n"/>
    </row>
    <row r="274">
      <c r="A274" s="10">
        <f>IF($E274="","",INDEX('Input Transaksi'!$A:$A,$E274))</f>
        <v/>
      </c>
      <c r="B274" s="5">
        <f>IF($E274="","",INDEX('Input Transaksi'!$D:$D,$E274))</f>
        <v/>
      </c>
      <c r="C274">
        <f>IF($E274="","",INDEX('Input Transaksi'!$E:$E,$E274))</f>
        <v/>
      </c>
      <c r="D274" s="5">
        <f>IF($E274="","",INDEX('Input Transaksi'!$F:$F,$E274))</f>
        <v/>
      </c>
      <c r="E274">
        <f>IFERROR(AGGREGATE(15,6,ROW('Input Transaksi'!$B$5:$B$5000)/('Input Transaksi'!$B$5:$B$5000="LONDRI DEWE"),ROWS($E$5:E274)),"")</f>
        <v/>
      </c>
      <c r="F274" s="5" t="n"/>
    </row>
    <row r="275">
      <c r="A275" s="10">
        <f>IF($E275="","",INDEX('Input Transaksi'!$A:$A,$E275))</f>
        <v/>
      </c>
      <c r="B275" s="5">
        <f>IF($E275="","",INDEX('Input Transaksi'!$D:$D,$E275))</f>
        <v/>
      </c>
      <c r="C275">
        <f>IF($E275="","",INDEX('Input Transaksi'!$E:$E,$E275))</f>
        <v/>
      </c>
      <c r="D275" s="5">
        <f>IF($E275="","",INDEX('Input Transaksi'!$F:$F,$E275))</f>
        <v/>
      </c>
      <c r="E275">
        <f>IFERROR(AGGREGATE(15,6,ROW('Input Transaksi'!$B$5:$B$5000)/('Input Transaksi'!$B$5:$B$5000="LONDRI DEWE"),ROWS($E$5:E275)),"")</f>
        <v/>
      </c>
      <c r="F275" s="5" t="n"/>
    </row>
    <row r="276">
      <c r="A276" s="10">
        <f>IF($E276="","",INDEX('Input Transaksi'!$A:$A,$E276))</f>
        <v/>
      </c>
      <c r="B276" s="5">
        <f>IF($E276="","",INDEX('Input Transaksi'!$D:$D,$E276))</f>
        <v/>
      </c>
      <c r="C276">
        <f>IF($E276="","",INDEX('Input Transaksi'!$E:$E,$E276))</f>
        <v/>
      </c>
      <c r="D276" s="5">
        <f>IF($E276="","",INDEX('Input Transaksi'!$F:$F,$E276))</f>
        <v/>
      </c>
      <c r="E276">
        <f>IFERROR(AGGREGATE(15,6,ROW('Input Transaksi'!$B$5:$B$5000)/('Input Transaksi'!$B$5:$B$5000="LONDRI DEWE"),ROWS($E$5:E276)),"")</f>
        <v/>
      </c>
      <c r="F276" s="5" t="n"/>
    </row>
    <row r="277">
      <c r="A277" s="10">
        <f>IF($E277="","",INDEX('Input Transaksi'!$A:$A,$E277))</f>
        <v/>
      </c>
      <c r="B277" s="5">
        <f>IF($E277="","",INDEX('Input Transaksi'!$D:$D,$E277))</f>
        <v/>
      </c>
      <c r="C277">
        <f>IF($E277="","",INDEX('Input Transaksi'!$E:$E,$E277))</f>
        <v/>
      </c>
      <c r="D277" s="5">
        <f>IF($E277="","",INDEX('Input Transaksi'!$F:$F,$E277))</f>
        <v/>
      </c>
      <c r="E277">
        <f>IFERROR(AGGREGATE(15,6,ROW('Input Transaksi'!$B$5:$B$5000)/('Input Transaksi'!$B$5:$B$5000="LONDRI DEWE"),ROWS($E$5:E277)),"")</f>
        <v/>
      </c>
      <c r="F277" s="5" t="n"/>
    </row>
    <row r="278">
      <c r="A278" s="10">
        <f>IF($E278="","",INDEX('Input Transaksi'!$A:$A,$E278))</f>
        <v/>
      </c>
      <c r="B278" s="5">
        <f>IF($E278="","",INDEX('Input Transaksi'!$D:$D,$E278))</f>
        <v/>
      </c>
      <c r="C278">
        <f>IF($E278="","",INDEX('Input Transaksi'!$E:$E,$E278))</f>
        <v/>
      </c>
      <c r="D278" s="5">
        <f>IF($E278="","",INDEX('Input Transaksi'!$F:$F,$E278))</f>
        <v/>
      </c>
      <c r="E278">
        <f>IFERROR(AGGREGATE(15,6,ROW('Input Transaksi'!$B$5:$B$5000)/('Input Transaksi'!$B$5:$B$5000="LONDRI DEWE"),ROWS($E$5:E278)),"")</f>
        <v/>
      </c>
      <c r="F278" s="5" t="n"/>
    </row>
    <row r="279">
      <c r="A279" s="10">
        <f>IF($E279="","",INDEX('Input Transaksi'!$A:$A,$E279))</f>
        <v/>
      </c>
      <c r="B279" s="5">
        <f>IF($E279="","",INDEX('Input Transaksi'!$D:$D,$E279))</f>
        <v/>
      </c>
      <c r="C279">
        <f>IF($E279="","",INDEX('Input Transaksi'!$E:$E,$E279))</f>
        <v/>
      </c>
      <c r="D279" s="5">
        <f>IF($E279="","",INDEX('Input Transaksi'!$F:$F,$E279))</f>
        <v/>
      </c>
      <c r="E279">
        <f>IFERROR(AGGREGATE(15,6,ROW('Input Transaksi'!$B$5:$B$5000)/('Input Transaksi'!$B$5:$B$5000="LONDRI DEWE"),ROWS($E$5:E279)),"")</f>
        <v/>
      </c>
      <c r="F279" s="5" t="n"/>
    </row>
    <row r="280">
      <c r="A280" s="10">
        <f>IF($E280="","",INDEX('Input Transaksi'!$A:$A,$E280))</f>
        <v/>
      </c>
      <c r="B280" s="5">
        <f>IF($E280="","",INDEX('Input Transaksi'!$D:$D,$E280))</f>
        <v/>
      </c>
      <c r="C280">
        <f>IF($E280="","",INDEX('Input Transaksi'!$E:$E,$E280))</f>
        <v/>
      </c>
      <c r="D280" s="5">
        <f>IF($E280="","",INDEX('Input Transaksi'!$F:$F,$E280))</f>
        <v/>
      </c>
      <c r="E280">
        <f>IFERROR(AGGREGATE(15,6,ROW('Input Transaksi'!$B$5:$B$5000)/('Input Transaksi'!$B$5:$B$5000="LONDRI DEWE"),ROWS($E$5:E280)),"")</f>
        <v/>
      </c>
      <c r="F280" s="5" t="n"/>
    </row>
    <row r="281">
      <c r="A281" s="10">
        <f>IF($E281="","",INDEX('Input Transaksi'!$A:$A,$E281))</f>
        <v/>
      </c>
      <c r="B281" s="5">
        <f>IF($E281="","",INDEX('Input Transaksi'!$D:$D,$E281))</f>
        <v/>
      </c>
      <c r="C281">
        <f>IF($E281="","",INDEX('Input Transaksi'!$E:$E,$E281))</f>
        <v/>
      </c>
      <c r="D281" s="5">
        <f>IF($E281="","",INDEX('Input Transaksi'!$F:$F,$E281))</f>
        <v/>
      </c>
      <c r="E281">
        <f>IFERROR(AGGREGATE(15,6,ROW('Input Transaksi'!$B$5:$B$5000)/('Input Transaksi'!$B$5:$B$5000="LONDRI DEWE"),ROWS($E$5:E281)),"")</f>
        <v/>
      </c>
      <c r="F281" s="5" t="n"/>
    </row>
    <row r="282">
      <c r="A282" s="10">
        <f>IF($E282="","",INDEX('Input Transaksi'!$A:$A,$E282))</f>
        <v/>
      </c>
      <c r="B282" s="5">
        <f>IF($E282="","",INDEX('Input Transaksi'!$D:$D,$E282))</f>
        <v/>
      </c>
      <c r="C282">
        <f>IF($E282="","",INDEX('Input Transaksi'!$E:$E,$E282))</f>
        <v/>
      </c>
      <c r="D282" s="5">
        <f>IF($E282="","",INDEX('Input Transaksi'!$F:$F,$E282))</f>
        <v/>
      </c>
      <c r="E282">
        <f>IFERROR(AGGREGATE(15,6,ROW('Input Transaksi'!$B$5:$B$5000)/('Input Transaksi'!$B$5:$B$5000="LONDRI DEWE"),ROWS($E$5:E282)),"")</f>
        <v/>
      </c>
      <c r="F282" s="5" t="n"/>
    </row>
    <row r="283">
      <c r="A283" s="10">
        <f>IF($E283="","",INDEX('Input Transaksi'!$A:$A,$E283))</f>
        <v/>
      </c>
      <c r="B283" s="5">
        <f>IF($E283="","",INDEX('Input Transaksi'!$D:$D,$E283))</f>
        <v/>
      </c>
      <c r="C283">
        <f>IF($E283="","",INDEX('Input Transaksi'!$E:$E,$E283))</f>
        <v/>
      </c>
      <c r="D283" s="5">
        <f>IF($E283="","",INDEX('Input Transaksi'!$F:$F,$E283))</f>
        <v/>
      </c>
      <c r="E283">
        <f>IFERROR(AGGREGATE(15,6,ROW('Input Transaksi'!$B$5:$B$5000)/('Input Transaksi'!$B$5:$B$5000="LONDRI DEWE"),ROWS($E$5:E283)),"")</f>
        <v/>
      </c>
      <c r="F283" s="5" t="n"/>
    </row>
    <row r="284">
      <c r="A284" s="10">
        <f>IF($E284="","",INDEX('Input Transaksi'!$A:$A,$E284))</f>
        <v/>
      </c>
      <c r="B284" s="5">
        <f>IF($E284="","",INDEX('Input Transaksi'!$D:$D,$E284))</f>
        <v/>
      </c>
      <c r="C284">
        <f>IF($E284="","",INDEX('Input Transaksi'!$E:$E,$E284))</f>
        <v/>
      </c>
      <c r="D284" s="5">
        <f>IF($E284="","",INDEX('Input Transaksi'!$F:$F,$E284))</f>
        <v/>
      </c>
      <c r="E284">
        <f>IFERROR(AGGREGATE(15,6,ROW('Input Transaksi'!$B$5:$B$5000)/('Input Transaksi'!$B$5:$B$5000="LONDRI DEWE"),ROWS($E$5:E284)),"")</f>
        <v/>
      </c>
      <c r="F284" s="5" t="n"/>
    </row>
    <row r="285">
      <c r="A285" s="10">
        <f>IF($E285="","",INDEX('Input Transaksi'!$A:$A,$E285))</f>
        <v/>
      </c>
      <c r="B285" s="5">
        <f>IF($E285="","",INDEX('Input Transaksi'!$D:$D,$E285))</f>
        <v/>
      </c>
      <c r="C285">
        <f>IF($E285="","",INDEX('Input Transaksi'!$E:$E,$E285))</f>
        <v/>
      </c>
      <c r="D285" s="5">
        <f>IF($E285="","",INDEX('Input Transaksi'!$F:$F,$E285))</f>
        <v/>
      </c>
      <c r="E285">
        <f>IFERROR(AGGREGATE(15,6,ROW('Input Transaksi'!$B$5:$B$5000)/('Input Transaksi'!$B$5:$B$5000="LONDRI DEWE"),ROWS($E$5:E285)),"")</f>
        <v/>
      </c>
      <c r="F285" s="5" t="n"/>
    </row>
    <row r="286">
      <c r="A286" s="10">
        <f>IF($E286="","",INDEX('Input Transaksi'!$A:$A,$E286))</f>
        <v/>
      </c>
      <c r="B286" s="5">
        <f>IF($E286="","",INDEX('Input Transaksi'!$D:$D,$E286))</f>
        <v/>
      </c>
      <c r="C286">
        <f>IF($E286="","",INDEX('Input Transaksi'!$E:$E,$E286))</f>
        <v/>
      </c>
      <c r="D286" s="5">
        <f>IF($E286="","",INDEX('Input Transaksi'!$F:$F,$E286))</f>
        <v/>
      </c>
      <c r="E286">
        <f>IFERROR(AGGREGATE(15,6,ROW('Input Transaksi'!$B$5:$B$5000)/('Input Transaksi'!$B$5:$B$5000="LONDRI DEWE"),ROWS($E$5:E286)),"")</f>
        <v/>
      </c>
      <c r="F286" s="5" t="n"/>
    </row>
    <row r="287">
      <c r="A287" s="10">
        <f>IF($E287="","",INDEX('Input Transaksi'!$A:$A,$E287))</f>
        <v/>
      </c>
      <c r="B287" s="5">
        <f>IF($E287="","",INDEX('Input Transaksi'!$D:$D,$E287))</f>
        <v/>
      </c>
      <c r="C287">
        <f>IF($E287="","",INDEX('Input Transaksi'!$E:$E,$E287))</f>
        <v/>
      </c>
      <c r="D287" s="5">
        <f>IF($E287="","",INDEX('Input Transaksi'!$F:$F,$E287))</f>
        <v/>
      </c>
      <c r="E287">
        <f>IFERROR(AGGREGATE(15,6,ROW('Input Transaksi'!$B$5:$B$5000)/('Input Transaksi'!$B$5:$B$5000="LONDRI DEWE"),ROWS($E$5:E287)),"")</f>
        <v/>
      </c>
      <c r="F287" s="5" t="n"/>
    </row>
    <row r="288">
      <c r="A288" s="10">
        <f>IF($E288="","",INDEX('Input Transaksi'!$A:$A,$E288))</f>
        <v/>
      </c>
      <c r="B288" s="5">
        <f>IF($E288="","",INDEX('Input Transaksi'!$D:$D,$E288))</f>
        <v/>
      </c>
      <c r="C288">
        <f>IF($E288="","",INDEX('Input Transaksi'!$E:$E,$E288))</f>
        <v/>
      </c>
      <c r="D288" s="5">
        <f>IF($E288="","",INDEX('Input Transaksi'!$F:$F,$E288))</f>
        <v/>
      </c>
      <c r="E288">
        <f>IFERROR(AGGREGATE(15,6,ROW('Input Transaksi'!$B$5:$B$5000)/('Input Transaksi'!$B$5:$B$5000="LONDRI DEWE"),ROWS($E$5:E288)),"")</f>
        <v/>
      </c>
      <c r="F288" s="5" t="n"/>
    </row>
    <row r="289">
      <c r="A289" s="10">
        <f>IF($E289="","",INDEX('Input Transaksi'!$A:$A,$E289))</f>
        <v/>
      </c>
      <c r="B289" s="5">
        <f>IF($E289="","",INDEX('Input Transaksi'!$D:$D,$E289))</f>
        <v/>
      </c>
      <c r="C289">
        <f>IF($E289="","",INDEX('Input Transaksi'!$E:$E,$E289))</f>
        <v/>
      </c>
      <c r="D289" s="5">
        <f>IF($E289="","",INDEX('Input Transaksi'!$F:$F,$E289))</f>
        <v/>
      </c>
      <c r="E289">
        <f>IFERROR(AGGREGATE(15,6,ROW('Input Transaksi'!$B$5:$B$5000)/('Input Transaksi'!$B$5:$B$5000="LONDRI DEWE"),ROWS($E$5:E289)),"")</f>
        <v/>
      </c>
      <c r="F289" s="5" t="n"/>
    </row>
    <row r="290">
      <c r="A290" s="10">
        <f>IF($E290="","",INDEX('Input Transaksi'!$A:$A,$E290))</f>
        <v/>
      </c>
      <c r="B290" s="5">
        <f>IF($E290="","",INDEX('Input Transaksi'!$D:$D,$E290))</f>
        <v/>
      </c>
      <c r="C290">
        <f>IF($E290="","",INDEX('Input Transaksi'!$E:$E,$E290))</f>
        <v/>
      </c>
      <c r="D290" s="5">
        <f>IF($E290="","",INDEX('Input Transaksi'!$F:$F,$E290))</f>
        <v/>
      </c>
      <c r="E290">
        <f>IFERROR(AGGREGATE(15,6,ROW('Input Transaksi'!$B$5:$B$5000)/('Input Transaksi'!$B$5:$B$5000="LONDRI DEWE"),ROWS($E$5:E290)),"")</f>
        <v/>
      </c>
      <c r="F290" s="5" t="n"/>
    </row>
    <row r="291">
      <c r="A291" s="10">
        <f>IF($E291="","",INDEX('Input Transaksi'!$A:$A,$E291))</f>
        <v/>
      </c>
      <c r="B291" s="5">
        <f>IF($E291="","",INDEX('Input Transaksi'!$D:$D,$E291))</f>
        <v/>
      </c>
      <c r="C291">
        <f>IF($E291="","",INDEX('Input Transaksi'!$E:$E,$E291))</f>
        <v/>
      </c>
      <c r="D291" s="5">
        <f>IF($E291="","",INDEX('Input Transaksi'!$F:$F,$E291))</f>
        <v/>
      </c>
      <c r="E291">
        <f>IFERROR(AGGREGATE(15,6,ROW('Input Transaksi'!$B$5:$B$5000)/('Input Transaksi'!$B$5:$B$5000="LONDRI DEWE"),ROWS($E$5:E291)),"")</f>
        <v/>
      </c>
      <c r="F291" s="5" t="n"/>
    </row>
    <row r="292">
      <c r="A292" s="10">
        <f>IF($E292="","",INDEX('Input Transaksi'!$A:$A,$E292))</f>
        <v/>
      </c>
      <c r="B292" s="5">
        <f>IF($E292="","",INDEX('Input Transaksi'!$D:$D,$E292))</f>
        <v/>
      </c>
      <c r="C292">
        <f>IF($E292="","",INDEX('Input Transaksi'!$E:$E,$E292))</f>
        <v/>
      </c>
      <c r="D292" s="5">
        <f>IF($E292="","",INDEX('Input Transaksi'!$F:$F,$E292))</f>
        <v/>
      </c>
      <c r="E292">
        <f>IFERROR(AGGREGATE(15,6,ROW('Input Transaksi'!$B$5:$B$5000)/('Input Transaksi'!$B$5:$B$5000="LONDRI DEWE"),ROWS($E$5:E292)),"")</f>
        <v/>
      </c>
      <c r="F292" s="5" t="n"/>
    </row>
    <row r="293">
      <c r="A293" s="10">
        <f>IF($E293="","",INDEX('Input Transaksi'!$A:$A,$E293))</f>
        <v/>
      </c>
      <c r="B293" s="5">
        <f>IF($E293="","",INDEX('Input Transaksi'!$D:$D,$E293))</f>
        <v/>
      </c>
      <c r="C293">
        <f>IF($E293="","",INDEX('Input Transaksi'!$E:$E,$E293))</f>
        <v/>
      </c>
      <c r="D293" s="5">
        <f>IF($E293="","",INDEX('Input Transaksi'!$F:$F,$E293))</f>
        <v/>
      </c>
      <c r="E293">
        <f>IFERROR(AGGREGATE(15,6,ROW('Input Transaksi'!$B$5:$B$5000)/('Input Transaksi'!$B$5:$B$5000="LONDRI DEWE"),ROWS($E$5:E293)),"")</f>
        <v/>
      </c>
      <c r="F293" s="5" t="n"/>
    </row>
    <row r="294">
      <c r="A294" s="10">
        <f>IF($E294="","",INDEX('Input Transaksi'!$A:$A,$E294))</f>
        <v/>
      </c>
      <c r="B294" s="5">
        <f>IF($E294="","",INDEX('Input Transaksi'!$D:$D,$E294))</f>
        <v/>
      </c>
      <c r="C294">
        <f>IF($E294="","",INDEX('Input Transaksi'!$E:$E,$E294))</f>
        <v/>
      </c>
      <c r="D294" s="5">
        <f>IF($E294="","",INDEX('Input Transaksi'!$F:$F,$E294))</f>
        <v/>
      </c>
      <c r="E294">
        <f>IFERROR(AGGREGATE(15,6,ROW('Input Transaksi'!$B$5:$B$5000)/('Input Transaksi'!$B$5:$B$5000="LONDRI DEWE"),ROWS($E$5:E294)),"")</f>
        <v/>
      </c>
      <c r="F294" s="5" t="n"/>
    </row>
    <row r="295">
      <c r="A295" s="10">
        <f>IF($E295="","",INDEX('Input Transaksi'!$A:$A,$E295))</f>
        <v/>
      </c>
      <c r="B295" s="5">
        <f>IF($E295="","",INDEX('Input Transaksi'!$D:$D,$E295))</f>
        <v/>
      </c>
      <c r="C295">
        <f>IF($E295="","",INDEX('Input Transaksi'!$E:$E,$E295))</f>
        <v/>
      </c>
      <c r="D295" s="5">
        <f>IF($E295="","",INDEX('Input Transaksi'!$F:$F,$E295))</f>
        <v/>
      </c>
      <c r="E295">
        <f>IFERROR(AGGREGATE(15,6,ROW('Input Transaksi'!$B$5:$B$5000)/('Input Transaksi'!$B$5:$B$5000="LONDRI DEWE"),ROWS($E$5:E295)),"")</f>
        <v/>
      </c>
      <c r="F295" s="5" t="n"/>
    </row>
    <row r="296">
      <c r="A296" s="10">
        <f>IF($E296="","",INDEX('Input Transaksi'!$A:$A,$E296))</f>
        <v/>
      </c>
      <c r="B296" s="5">
        <f>IF($E296="","",INDEX('Input Transaksi'!$D:$D,$E296))</f>
        <v/>
      </c>
      <c r="C296">
        <f>IF($E296="","",INDEX('Input Transaksi'!$E:$E,$E296))</f>
        <v/>
      </c>
      <c r="D296" s="5">
        <f>IF($E296="","",INDEX('Input Transaksi'!$F:$F,$E296))</f>
        <v/>
      </c>
      <c r="E296">
        <f>IFERROR(AGGREGATE(15,6,ROW('Input Transaksi'!$B$5:$B$5000)/('Input Transaksi'!$B$5:$B$5000="LONDRI DEWE"),ROWS($E$5:E296)),"")</f>
        <v/>
      </c>
      <c r="F296" s="5" t="n"/>
    </row>
    <row r="297">
      <c r="A297" s="10">
        <f>IF($E297="","",INDEX('Input Transaksi'!$A:$A,$E297))</f>
        <v/>
      </c>
      <c r="B297" s="5">
        <f>IF($E297="","",INDEX('Input Transaksi'!$D:$D,$E297))</f>
        <v/>
      </c>
      <c r="C297">
        <f>IF($E297="","",INDEX('Input Transaksi'!$E:$E,$E297))</f>
        <v/>
      </c>
      <c r="D297" s="5">
        <f>IF($E297="","",INDEX('Input Transaksi'!$F:$F,$E297))</f>
        <v/>
      </c>
      <c r="E297">
        <f>IFERROR(AGGREGATE(15,6,ROW('Input Transaksi'!$B$5:$B$5000)/('Input Transaksi'!$B$5:$B$5000="LONDRI DEWE"),ROWS($E$5:E297)),"")</f>
        <v/>
      </c>
      <c r="F297" s="5" t="n"/>
    </row>
    <row r="298">
      <c r="A298" s="10">
        <f>IF($E298="","",INDEX('Input Transaksi'!$A:$A,$E298))</f>
        <v/>
      </c>
      <c r="B298" s="5">
        <f>IF($E298="","",INDEX('Input Transaksi'!$D:$D,$E298))</f>
        <v/>
      </c>
      <c r="C298">
        <f>IF($E298="","",INDEX('Input Transaksi'!$E:$E,$E298))</f>
        <v/>
      </c>
      <c r="D298" s="5">
        <f>IF($E298="","",INDEX('Input Transaksi'!$F:$F,$E298))</f>
        <v/>
      </c>
      <c r="E298">
        <f>IFERROR(AGGREGATE(15,6,ROW('Input Transaksi'!$B$5:$B$5000)/('Input Transaksi'!$B$5:$B$5000="LONDRI DEWE"),ROWS($E$5:E298)),"")</f>
        <v/>
      </c>
      <c r="F298" s="5" t="n"/>
    </row>
    <row r="299">
      <c r="A299" s="10">
        <f>IF($E299="","",INDEX('Input Transaksi'!$A:$A,$E299))</f>
        <v/>
      </c>
      <c r="B299" s="5">
        <f>IF($E299="","",INDEX('Input Transaksi'!$D:$D,$E299))</f>
        <v/>
      </c>
      <c r="C299">
        <f>IF($E299="","",INDEX('Input Transaksi'!$E:$E,$E299))</f>
        <v/>
      </c>
      <c r="D299" s="5">
        <f>IF($E299="","",INDEX('Input Transaksi'!$F:$F,$E299))</f>
        <v/>
      </c>
      <c r="E299">
        <f>IFERROR(AGGREGATE(15,6,ROW('Input Transaksi'!$B$5:$B$5000)/('Input Transaksi'!$B$5:$B$5000="LONDRI DEWE"),ROWS($E$5:E299)),"")</f>
        <v/>
      </c>
      <c r="F299" s="5" t="n"/>
    </row>
    <row r="300">
      <c r="A300" s="10">
        <f>IF($E300="","",INDEX('Input Transaksi'!$A:$A,$E300))</f>
        <v/>
      </c>
      <c r="B300" s="5">
        <f>IF($E300="","",INDEX('Input Transaksi'!$D:$D,$E300))</f>
        <v/>
      </c>
      <c r="C300">
        <f>IF($E300="","",INDEX('Input Transaksi'!$E:$E,$E300))</f>
        <v/>
      </c>
      <c r="D300" s="5">
        <f>IF($E300="","",INDEX('Input Transaksi'!$F:$F,$E300))</f>
        <v/>
      </c>
      <c r="E300">
        <f>IFERROR(AGGREGATE(15,6,ROW('Input Transaksi'!$B$5:$B$5000)/('Input Transaksi'!$B$5:$B$5000="LONDRI DEWE"),ROWS($E$5:E300)),"")</f>
        <v/>
      </c>
      <c r="F300" s="5" t="n"/>
    </row>
    <row r="301">
      <c r="A301" s="10">
        <f>IF($E301="","",INDEX('Input Transaksi'!$A:$A,$E301))</f>
        <v/>
      </c>
      <c r="B301" s="5">
        <f>IF($E301="","",INDEX('Input Transaksi'!$D:$D,$E301))</f>
        <v/>
      </c>
      <c r="C301">
        <f>IF($E301="","",INDEX('Input Transaksi'!$E:$E,$E301))</f>
        <v/>
      </c>
      <c r="D301" s="5">
        <f>IF($E301="","",INDEX('Input Transaksi'!$F:$F,$E301))</f>
        <v/>
      </c>
      <c r="E301">
        <f>IFERROR(AGGREGATE(15,6,ROW('Input Transaksi'!$B$5:$B$5000)/('Input Transaksi'!$B$5:$B$5000="LONDRI DEWE"),ROWS($E$5:E301)),"")</f>
        <v/>
      </c>
      <c r="F301" s="5" t="n"/>
    </row>
    <row r="302">
      <c r="A302" s="10">
        <f>IF($E302="","",INDEX('Input Transaksi'!$A:$A,$E302))</f>
        <v/>
      </c>
      <c r="B302" s="5">
        <f>IF($E302="","",INDEX('Input Transaksi'!$D:$D,$E302))</f>
        <v/>
      </c>
      <c r="C302">
        <f>IF($E302="","",INDEX('Input Transaksi'!$E:$E,$E302))</f>
        <v/>
      </c>
      <c r="D302" s="5">
        <f>IF($E302="","",INDEX('Input Transaksi'!$F:$F,$E302))</f>
        <v/>
      </c>
      <c r="E302">
        <f>IFERROR(AGGREGATE(15,6,ROW('Input Transaksi'!$B$5:$B$5000)/('Input Transaksi'!$B$5:$B$5000="LONDRI DEWE"),ROWS($E$5:E302)),"")</f>
        <v/>
      </c>
      <c r="F302" s="5" t="n"/>
    </row>
    <row r="303">
      <c r="A303" s="10">
        <f>IF($E303="","",INDEX('Input Transaksi'!$A:$A,$E303))</f>
        <v/>
      </c>
      <c r="B303" s="5">
        <f>IF($E303="","",INDEX('Input Transaksi'!$D:$D,$E303))</f>
        <v/>
      </c>
      <c r="C303">
        <f>IF($E303="","",INDEX('Input Transaksi'!$E:$E,$E303))</f>
        <v/>
      </c>
      <c r="D303" s="5">
        <f>IF($E303="","",INDEX('Input Transaksi'!$F:$F,$E303))</f>
        <v/>
      </c>
      <c r="E303">
        <f>IFERROR(AGGREGATE(15,6,ROW('Input Transaksi'!$B$5:$B$5000)/('Input Transaksi'!$B$5:$B$5000="LONDRI DEWE"),ROWS($E$5:E303)),"")</f>
        <v/>
      </c>
      <c r="F303" s="5" t="n"/>
    </row>
    <row r="304">
      <c r="A304" s="10">
        <f>IF($E304="","",INDEX('Input Transaksi'!$A:$A,$E304))</f>
        <v/>
      </c>
      <c r="B304" s="5">
        <f>IF($E304="","",INDEX('Input Transaksi'!$D:$D,$E304))</f>
        <v/>
      </c>
      <c r="C304">
        <f>IF($E304="","",INDEX('Input Transaksi'!$E:$E,$E304))</f>
        <v/>
      </c>
      <c r="D304" s="5">
        <f>IF($E304="","",INDEX('Input Transaksi'!$F:$F,$E304))</f>
        <v/>
      </c>
      <c r="E304">
        <f>IFERROR(AGGREGATE(15,6,ROW('Input Transaksi'!$B$5:$B$5000)/('Input Transaksi'!$B$5:$B$5000="LONDRI DEWE"),ROWS($E$5:E304)),"")</f>
        <v/>
      </c>
      <c r="F304" s="5" t="n"/>
    </row>
    <row r="305">
      <c r="A305" s="10">
        <f>IF($E305="","",INDEX('Input Transaksi'!$A:$A,$E305))</f>
        <v/>
      </c>
      <c r="B305" s="5">
        <f>IF($E305="","",INDEX('Input Transaksi'!$D:$D,$E305))</f>
        <v/>
      </c>
      <c r="C305">
        <f>IF($E305="","",INDEX('Input Transaksi'!$E:$E,$E305))</f>
        <v/>
      </c>
      <c r="D305" s="5">
        <f>IF($E305="","",INDEX('Input Transaksi'!$F:$F,$E305))</f>
        <v/>
      </c>
      <c r="E305">
        <f>IFERROR(AGGREGATE(15,6,ROW('Input Transaksi'!$B$5:$B$5000)/('Input Transaksi'!$B$5:$B$5000="LONDRI DEWE"),ROWS($E$5:E305)),"")</f>
        <v/>
      </c>
      <c r="F305" s="5" t="n"/>
    </row>
    <row r="306">
      <c r="A306" s="10">
        <f>IF($E306="","",INDEX('Input Transaksi'!$A:$A,$E306))</f>
        <v/>
      </c>
      <c r="B306" s="5">
        <f>IF($E306="","",INDEX('Input Transaksi'!$D:$D,$E306))</f>
        <v/>
      </c>
      <c r="C306">
        <f>IF($E306="","",INDEX('Input Transaksi'!$E:$E,$E306))</f>
        <v/>
      </c>
      <c r="D306" s="5">
        <f>IF($E306="","",INDEX('Input Transaksi'!$F:$F,$E306))</f>
        <v/>
      </c>
      <c r="E306">
        <f>IFERROR(AGGREGATE(15,6,ROW('Input Transaksi'!$B$5:$B$5000)/('Input Transaksi'!$B$5:$B$5000="LONDRI DEWE"),ROWS($E$5:E306)),"")</f>
        <v/>
      </c>
      <c r="F306" s="5" t="n"/>
    </row>
    <row r="307">
      <c r="A307" s="10">
        <f>IF($E307="","",INDEX('Input Transaksi'!$A:$A,$E307))</f>
        <v/>
      </c>
      <c r="B307" s="5">
        <f>IF($E307="","",INDEX('Input Transaksi'!$D:$D,$E307))</f>
        <v/>
      </c>
      <c r="C307">
        <f>IF($E307="","",INDEX('Input Transaksi'!$E:$E,$E307))</f>
        <v/>
      </c>
      <c r="D307" s="5">
        <f>IF($E307="","",INDEX('Input Transaksi'!$F:$F,$E307))</f>
        <v/>
      </c>
      <c r="E307">
        <f>IFERROR(AGGREGATE(15,6,ROW('Input Transaksi'!$B$5:$B$5000)/('Input Transaksi'!$B$5:$B$5000="LONDRI DEWE"),ROWS($E$5:E307)),"")</f>
        <v/>
      </c>
      <c r="F307" s="5" t="n"/>
    </row>
    <row r="308">
      <c r="A308" s="10">
        <f>IF($E308="","",INDEX('Input Transaksi'!$A:$A,$E308))</f>
        <v/>
      </c>
      <c r="B308" s="5">
        <f>IF($E308="","",INDEX('Input Transaksi'!$D:$D,$E308))</f>
        <v/>
      </c>
      <c r="C308">
        <f>IF($E308="","",INDEX('Input Transaksi'!$E:$E,$E308))</f>
        <v/>
      </c>
      <c r="D308" s="5">
        <f>IF($E308="","",INDEX('Input Transaksi'!$F:$F,$E308))</f>
        <v/>
      </c>
      <c r="E308">
        <f>IFERROR(AGGREGATE(15,6,ROW('Input Transaksi'!$B$5:$B$5000)/('Input Transaksi'!$B$5:$B$5000="LONDRI DEWE"),ROWS($E$5:E308)),"")</f>
        <v/>
      </c>
      <c r="F308" s="5" t="n"/>
    </row>
    <row r="309">
      <c r="A309" s="10">
        <f>IF($E309="","",INDEX('Input Transaksi'!$A:$A,$E309))</f>
        <v/>
      </c>
      <c r="B309" s="5">
        <f>IF($E309="","",INDEX('Input Transaksi'!$D:$D,$E309))</f>
        <v/>
      </c>
      <c r="C309">
        <f>IF($E309="","",INDEX('Input Transaksi'!$E:$E,$E309))</f>
        <v/>
      </c>
      <c r="D309" s="5">
        <f>IF($E309="","",INDEX('Input Transaksi'!$F:$F,$E309))</f>
        <v/>
      </c>
      <c r="E309">
        <f>IFERROR(AGGREGATE(15,6,ROW('Input Transaksi'!$B$5:$B$5000)/('Input Transaksi'!$B$5:$B$5000="LONDRI DEWE"),ROWS($E$5:E309)),"")</f>
        <v/>
      </c>
      <c r="F309" s="5" t="n"/>
    </row>
    <row r="310">
      <c r="A310" s="10">
        <f>IF($E310="","",INDEX('Input Transaksi'!$A:$A,$E310))</f>
        <v/>
      </c>
      <c r="B310" s="5">
        <f>IF($E310="","",INDEX('Input Transaksi'!$D:$D,$E310))</f>
        <v/>
      </c>
      <c r="C310">
        <f>IF($E310="","",INDEX('Input Transaksi'!$E:$E,$E310))</f>
        <v/>
      </c>
      <c r="D310" s="5">
        <f>IF($E310="","",INDEX('Input Transaksi'!$F:$F,$E310))</f>
        <v/>
      </c>
      <c r="E310">
        <f>IFERROR(AGGREGATE(15,6,ROW('Input Transaksi'!$B$5:$B$5000)/('Input Transaksi'!$B$5:$B$5000="LONDRI DEWE"),ROWS($E$5:E310)),"")</f>
        <v/>
      </c>
      <c r="F310" s="5" t="n"/>
    </row>
    <row r="311">
      <c r="A311" s="10">
        <f>IF($E311="","",INDEX('Input Transaksi'!$A:$A,$E311))</f>
        <v/>
      </c>
      <c r="B311" s="5">
        <f>IF($E311="","",INDEX('Input Transaksi'!$D:$D,$E311))</f>
        <v/>
      </c>
      <c r="C311">
        <f>IF($E311="","",INDEX('Input Transaksi'!$E:$E,$E311))</f>
        <v/>
      </c>
      <c r="D311" s="5">
        <f>IF($E311="","",INDEX('Input Transaksi'!$F:$F,$E311))</f>
        <v/>
      </c>
      <c r="E311">
        <f>IFERROR(AGGREGATE(15,6,ROW('Input Transaksi'!$B$5:$B$5000)/('Input Transaksi'!$B$5:$B$5000="LONDRI DEWE"),ROWS($E$5:E311)),"")</f>
        <v/>
      </c>
      <c r="F311" s="5" t="n"/>
    </row>
    <row r="312">
      <c r="A312" s="10">
        <f>IF($E312="","",INDEX('Input Transaksi'!$A:$A,$E312))</f>
        <v/>
      </c>
      <c r="B312" s="5">
        <f>IF($E312="","",INDEX('Input Transaksi'!$D:$D,$E312))</f>
        <v/>
      </c>
      <c r="C312">
        <f>IF($E312="","",INDEX('Input Transaksi'!$E:$E,$E312))</f>
        <v/>
      </c>
      <c r="D312" s="5">
        <f>IF($E312="","",INDEX('Input Transaksi'!$F:$F,$E312))</f>
        <v/>
      </c>
      <c r="E312">
        <f>IFERROR(AGGREGATE(15,6,ROW('Input Transaksi'!$B$5:$B$5000)/('Input Transaksi'!$B$5:$B$5000="LONDRI DEWE"),ROWS($E$5:E312)),"")</f>
        <v/>
      </c>
      <c r="F312" s="5" t="n"/>
    </row>
    <row r="313">
      <c r="A313" s="10">
        <f>IF($E313="","",INDEX('Input Transaksi'!$A:$A,$E313))</f>
        <v/>
      </c>
      <c r="B313" s="5">
        <f>IF($E313="","",INDEX('Input Transaksi'!$D:$D,$E313))</f>
        <v/>
      </c>
      <c r="C313">
        <f>IF($E313="","",INDEX('Input Transaksi'!$E:$E,$E313))</f>
        <v/>
      </c>
      <c r="D313" s="5">
        <f>IF($E313="","",INDEX('Input Transaksi'!$F:$F,$E313))</f>
        <v/>
      </c>
      <c r="E313">
        <f>IFERROR(AGGREGATE(15,6,ROW('Input Transaksi'!$B$5:$B$5000)/('Input Transaksi'!$B$5:$B$5000="LONDRI DEWE"),ROWS($E$5:E313)),"")</f>
        <v/>
      </c>
      <c r="F313" s="5" t="n"/>
    </row>
    <row r="314">
      <c r="A314" s="10">
        <f>IF($E314="","",INDEX('Input Transaksi'!$A:$A,$E314))</f>
        <v/>
      </c>
      <c r="B314" s="5">
        <f>IF($E314="","",INDEX('Input Transaksi'!$D:$D,$E314))</f>
        <v/>
      </c>
      <c r="C314">
        <f>IF($E314="","",INDEX('Input Transaksi'!$E:$E,$E314))</f>
        <v/>
      </c>
      <c r="D314" s="5">
        <f>IF($E314="","",INDEX('Input Transaksi'!$F:$F,$E314))</f>
        <v/>
      </c>
      <c r="E314">
        <f>IFERROR(AGGREGATE(15,6,ROW('Input Transaksi'!$B$5:$B$5000)/('Input Transaksi'!$B$5:$B$5000="LONDRI DEWE"),ROWS($E$5:E314)),"")</f>
        <v/>
      </c>
      <c r="F314" s="5" t="n"/>
    </row>
    <row r="315">
      <c r="A315" s="10">
        <f>IF($E315="","",INDEX('Input Transaksi'!$A:$A,$E315))</f>
        <v/>
      </c>
      <c r="B315" s="5">
        <f>IF($E315="","",INDEX('Input Transaksi'!$D:$D,$E315))</f>
        <v/>
      </c>
      <c r="C315">
        <f>IF($E315="","",INDEX('Input Transaksi'!$E:$E,$E315))</f>
        <v/>
      </c>
      <c r="D315" s="5">
        <f>IF($E315="","",INDEX('Input Transaksi'!$F:$F,$E315))</f>
        <v/>
      </c>
      <c r="E315">
        <f>IFERROR(AGGREGATE(15,6,ROW('Input Transaksi'!$B$5:$B$5000)/('Input Transaksi'!$B$5:$B$5000="LONDRI DEWE"),ROWS($E$5:E315)),"")</f>
        <v/>
      </c>
      <c r="F315" s="5" t="n"/>
    </row>
    <row r="316">
      <c r="A316" s="10">
        <f>IF($E316="","",INDEX('Input Transaksi'!$A:$A,$E316))</f>
        <v/>
      </c>
      <c r="B316" s="5">
        <f>IF($E316="","",INDEX('Input Transaksi'!$D:$D,$E316))</f>
        <v/>
      </c>
      <c r="C316">
        <f>IF($E316="","",INDEX('Input Transaksi'!$E:$E,$E316))</f>
        <v/>
      </c>
      <c r="D316" s="5">
        <f>IF($E316="","",INDEX('Input Transaksi'!$F:$F,$E316))</f>
        <v/>
      </c>
      <c r="E316">
        <f>IFERROR(AGGREGATE(15,6,ROW('Input Transaksi'!$B$5:$B$5000)/('Input Transaksi'!$B$5:$B$5000="LONDRI DEWE"),ROWS($E$5:E316)),"")</f>
        <v/>
      </c>
      <c r="F316" s="5" t="n"/>
    </row>
    <row r="317">
      <c r="A317" s="10">
        <f>IF($E317="","",INDEX('Input Transaksi'!$A:$A,$E317))</f>
        <v/>
      </c>
      <c r="B317" s="5">
        <f>IF($E317="","",INDEX('Input Transaksi'!$D:$D,$E317))</f>
        <v/>
      </c>
      <c r="C317">
        <f>IF($E317="","",INDEX('Input Transaksi'!$E:$E,$E317))</f>
        <v/>
      </c>
      <c r="D317" s="5">
        <f>IF($E317="","",INDEX('Input Transaksi'!$F:$F,$E317))</f>
        <v/>
      </c>
      <c r="E317">
        <f>IFERROR(AGGREGATE(15,6,ROW('Input Transaksi'!$B$5:$B$5000)/('Input Transaksi'!$B$5:$B$5000="LONDRI DEWE"),ROWS($E$5:E317)),"")</f>
        <v/>
      </c>
      <c r="F317" s="5" t="n"/>
    </row>
    <row r="318">
      <c r="A318" s="10">
        <f>IF($E318="","",INDEX('Input Transaksi'!$A:$A,$E318))</f>
        <v/>
      </c>
      <c r="B318" s="5">
        <f>IF($E318="","",INDEX('Input Transaksi'!$D:$D,$E318))</f>
        <v/>
      </c>
      <c r="C318">
        <f>IF($E318="","",INDEX('Input Transaksi'!$E:$E,$E318))</f>
        <v/>
      </c>
      <c r="D318" s="5">
        <f>IF($E318="","",INDEX('Input Transaksi'!$F:$F,$E318))</f>
        <v/>
      </c>
      <c r="E318">
        <f>IFERROR(AGGREGATE(15,6,ROW('Input Transaksi'!$B$5:$B$5000)/('Input Transaksi'!$B$5:$B$5000="LONDRI DEWE"),ROWS($E$5:E318)),"")</f>
        <v/>
      </c>
      <c r="F318" s="5" t="n"/>
    </row>
    <row r="319">
      <c r="A319" s="10">
        <f>IF($E319="","",INDEX('Input Transaksi'!$A:$A,$E319))</f>
        <v/>
      </c>
      <c r="B319" s="5">
        <f>IF($E319="","",INDEX('Input Transaksi'!$D:$D,$E319))</f>
        <v/>
      </c>
      <c r="C319">
        <f>IF($E319="","",INDEX('Input Transaksi'!$E:$E,$E319))</f>
        <v/>
      </c>
      <c r="D319" s="5">
        <f>IF($E319="","",INDEX('Input Transaksi'!$F:$F,$E319))</f>
        <v/>
      </c>
      <c r="E319">
        <f>IFERROR(AGGREGATE(15,6,ROW('Input Transaksi'!$B$5:$B$5000)/('Input Transaksi'!$B$5:$B$5000="LONDRI DEWE"),ROWS($E$5:E319)),"")</f>
        <v/>
      </c>
      <c r="F319" s="5" t="n"/>
    </row>
    <row r="320">
      <c r="A320" s="10">
        <f>IF($E320="","",INDEX('Input Transaksi'!$A:$A,$E320))</f>
        <v/>
      </c>
      <c r="B320" s="5">
        <f>IF($E320="","",INDEX('Input Transaksi'!$D:$D,$E320))</f>
        <v/>
      </c>
      <c r="C320">
        <f>IF($E320="","",INDEX('Input Transaksi'!$E:$E,$E320))</f>
        <v/>
      </c>
      <c r="D320" s="5">
        <f>IF($E320="","",INDEX('Input Transaksi'!$F:$F,$E320))</f>
        <v/>
      </c>
      <c r="E320">
        <f>IFERROR(AGGREGATE(15,6,ROW('Input Transaksi'!$B$5:$B$5000)/('Input Transaksi'!$B$5:$B$5000="LONDRI DEWE"),ROWS($E$5:E320)),"")</f>
        <v/>
      </c>
      <c r="F320" s="5" t="n"/>
    </row>
    <row r="321">
      <c r="A321" s="10">
        <f>IF($E321="","",INDEX('Input Transaksi'!$A:$A,$E321))</f>
        <v/>
      </c>
      <c r="B321" s="5">
        <f>IF($E321="","",INDEX('Input Transaksi'!$D:$D,$E321))</f>
        <v/>
      </c>
      <c r="C321">
        <f>IF($E321="","",INDEX('Input Transaksi'!$E:$E,$E321))</f>
        <v/>
      </c>
      <c r="D321" s="5">
        <f>IF($E321="","",INDEX('Input Transaksi'!$F:$F,$E321))</f>
        <v/>
      </c>
      <c r="E321">
        <f>IFERROR(AGGREGATE(15,6,ROW('Input Transaksi'!$B$5:$B$5000)/('Input Transaksi'!$B$5:$B$5000="LONDRI DEWE"),ROWS($E$5:E321)),"")</f>
        <v/>
      </c>
      <c r="F321" s="5" t="n"/>
    </row>
    <row r="322">
      <c r="A322" s="10">
        <f>IF($E322="","",INDEX('Input Transaksi'!$A:$A,$E322))</f>
        <v/>
      </c>
      <c r="B322" s="5">
        <f>IF($E322="","",INDEX('Input Transaksi'!$D:$D,$E322))</f>
        <v/>
      </c>
      <c r="C322">
        <f>IF($E322="","",INDEX('Input Transaksi'!$E:$E,$E322))</f>
        <v/>
      </c>
      <c r="D322" s="5">
        <f>IF($E322="","",INDEX('Input Transaksi'!$F:$F,$E322))</f>
        <v/>
      </c>
      <c r="E322">
        <f>IFERROR(AGGREGATE(15,6,ROW('Input Transaksi'!$B$5:$B$5000)/('Input Transaksi'!$B$5:$B$5000="LONDRI DEWE"),ROWS($E$5:E322)),"")</f>
        <v/>
      </c>
      <c r="F322" s="5" t="n"/>
    </row>
    <row r="323">
      <c r="A323" s="10">
        <f>IF($E323="","",INDEX('Input Transaksi'!$A:$A,$E323))</f>
        <v/>
      </c>
      <c r="B323" s="5">
        <f>IF($E323="","",INDEX('Input Transaksi'!$D:$D,$E323))</f>
        <v/>
      </c>
      <c r="C323">
        <f>IF($E323="","",INDEX('Input Transaksi'!$E:$E,$E323))</f>
        <v/>
      </c>
      <c r="D323" s="5">
        <f>IF($E323="","",INDEX('Input Transaksi'!$F:$F,$E323))</f>
        <v/>
      </c>
      <c r="E323">
        <f>IFERROR(AGGREGATE(15,6,ROW('Input Transaksi'!$B$5:$B$5000)/('Input Transaksi'!$B$5:$B$5000="LONDRI DEWE"),ROWS($E$5:E323)),"")</f>
        <v/>
      </c>
      <c r="F323" s="5" t="n"/>
    </row>
    <row r="324">
      <c r="A324" s="10">
        <f>IF($E324="","",INDEX('Input Transaksi'!$A:$A,$E324))</f>
        <v/>
      </c>
      <c r="B324" s="5">
        <f>IF($E324="","",INDEX('Input Transaksi'!$D:$D,$E324))</f>
        <v/>
      </c>
      <c r="C324">
        <f>IF($E324="","",INDEX('Input Transaksi'!$E:$E,$E324))</f>
        <v/>
      </c>
      <c r="D324" s="5">
        <f>IF($E324="","",INDEX('Input Transaksi'!$F:$F,$E324))</f>
        <v/>
      </c>
      <c r="E324">
        <f>IFERROR(AGGREGATE(15,6,ROW('Input Transaksi'!$B$5:$B$5000)/('Input Transaksi'!$B$5:$B$5000="LONDRI DEWE"),ROWS($E$5:E324)),"")</f>
        <v/>
      </c>
      <c r="F324" s="5" t="n"/>
    </row>
    <row r="325">
      <c r="A325" s="10">
        <f>IF($E325="","",INDEX('Input Transaksi'!$A:$A,$E325))</f>
        <v/>
      </c>
      <c r="B325" s="5">
        <f>IF($E325="","",INDEX('Input Transaksi'!$D:$D,$E325))</f>
        <v/>
      </c>
      <c r="C325">
        <f>IF($E325="","",INDEX('Input Transaksi'!$E:$E,$E325))</f>
        <v/>
      </c>
      <c r="D325" s="5">
        <f>IF($E325="","",INDEX('Input Transaksi'!$F:$F,$E325))</f>
        <v/>
      </c>
      <c r="E325">
        <f>IFERROR(AGGREGATE(15,6,ROW('Input Transaksi'!$B$5:$B$5000)/('Input Transaksi'!$B$5:$B$5000="LONDRI DEWE"),ROWS($E$5:E325)),"")</f>
        <v/>
      </c>
      <c r="F325" s="5" t="n"/>
    </row>
    <row r="326">
      <c r="A326" s="10">
        <f>IF($E326="","",INDEX('Input Transaksi'!$A:$A,$E326))</f>
        <v/>
      </c>
      <c r="B326" s="5">
        <f>IF($E326="","",INDEX('Input Transaksi'!$D:$D,$E326))</f>
        <v/>
      </c>
      <c r="C326">
        <f>IF($E326="","",INDEX('Input Transaksi'!$E:$E,$E326))</f>
        <v/>
      </c>
      <c r="D326" s="5">
        <f>IF($E326="","",INDEX('Input Transaksi'!$F:$F,$E326))</f>
        <v/>
      </c>
      <c r="E326">
        <f>IFERROR(AGGREGATE(15,6,ROW('Input Transaksi'!$B$5:$B$5000)/('Input Transaksi'!$B$5:$B$5000="LONDRI DEWE"),ROWS($E$5:E326)),"")</f>
        <v/>
      </c>
      <c r="F326" s="5" t="n"/>
    </row>
    <row r="327">
      <c r="A327" s="10">
        <f>IF($E327="","",INDEX('Input Transaksi'!$A:$A,$E327))</f>
        <v/>
      </c>
      <c r="B327" s="5">
        <f>IF($E327="","",INDEX('Input Transaksi'!$D:$D,$E327))</f>
        <v/>
      </c>
      <c r="C327">
        <f>IF($E327="","",INDEX('Input Transaksi'!$E:$E,$E327))</f>
        <v/>
      </c>
      <c r="D327" s="5">
        <f>IF($E327="","",INDEX('Input Transaksi'!$F:$F,$E327))</f>
        <v/>
      </c>
      <c r="E327">
        <f>IFERROR(AGGREGATE(15,6,ROW('Input Transaksi'!$B$5:$B$5000)/('Input Transaksi'!$B$5:$B$5000="LONDRI DEWE"),ROWS($E$5:E327)),"")</f>
        <v/>
      </c>
      <c r="F327" s="5" t="n"/>
    </row>
    <row r="328">
      <c r="A328" s="10">
        <f>IF($E328="","",INDEX('Input Transaksi'!$A:$A,$E328))</f>
        <v/>
      </c>
      <c r="B328" s="5">
        <f>IF($E328="","",INDEX('Input Transaksi'!$D:$D,$E328))</f>
        <v/>
      </c>
      <c r="C328">
        <f>IF($E328="","",INDEX('Input Transaksi'!$E:$E,$E328))</f>
        <v/>
      </c>
      <c r="D328" s="5">
        <f>IF($E328="","",INDEX('Input Transaksi'!$F:$F,$E328))</f>
        <v/>
      </c>
      <c r="E328">
        <f>IFERROR(AGGREGATE(15,6,ROW('Input Transaksi'!$B$5:$B$5000)/('Input Transaksi'!$B$5:$B$5000="LONDRI DEWE"),ROWS($E$5:E328)),"")</f>
        <v/>
      </c>
      <c r="F328" s="5" t="n"/>
    </row>
    <row r="329">
      <c r="A329" s="10">
        <f>IF($E329="","",INDEX('Input Transaksi'!$A:$A,$E329))</f>
        <v/>
      </c>
      <c r="B329" s="5">
        <f>IF($E329="","",INDEX('Input Transaksi'!$D:$D,$E329))</f>
        <v/>
      </c>
      <c r="C329">
        <f>IF($E329="","",INDEX('Input Transaksi'!$E:$E,$E329))</f>
        <v/>
      </c>
      <c r="D329" s="5">
        <f>IF($E329="","",INDEX('Input Transaksi'!$F:$F,$E329))</f>
        <v/>
      </c>
      <c r="E329">
        <f>IFERROR(AGGREGATE(15,6,ROW('Input Transaksi'!$B$5:$B$5000)/('Input Transaksi'!$B$5:$B$5000="LONDRI DEWE"),ROWS($E$5:E329)),"")</f>
        <v/>
      </c>
      <c r="F329" s="5" t="n"/>
    </row>
    <row r="330">
      <c r="A330" s="10">
        <f>IF($E330="","",INDEX('Input Transaksi'!$A:$A,$E330))</f>
        <v/>
      </c>
      <c r="B330" s="5">
        <f>IF($E330="","",INDEX('Input Transaksi'!$D:$D,$E330))</f>
        <v/>
      </c>
      <c r="C330">
        <f>IF($E330="","",INDEX('Input Transaksi'!$E:$E,$E330))</f>
        <v/>
      </c>
      <c r="D330" s="5">
        <f>IF($E330="","",INDEX('Input Transaksi'!$F:$F,$E330))</f>
        <v/>
      </c>
      <c r="E330">
        <f>IFERROR(AGGREGATE(15,6,ROW('Input Transaksi'!$B$5:$B$5000)/('Input Transaksi'!$B$5:$B$5000="LONDRI DEWE"),ROWS($E$5:E330)),"")</f>
        <v/>
      </c>
      <c r="F330" s="5" t="n"/>
    </row>
    <row r="331">
      <c r="A331" s="10">
        <f>IF($E331="","",INDEX('Input Transaksi'!$A:$A,$E331))</f>
        <v/>
      </c>
      <c r="B331" s="5">
        <f>IF($E331="","",INDEX('Input Transaksi'!$D:$D,$E331))</f>
        <v/>
      </c>
      <c r="C331">
        <f>IF($E331="","",INDEX('Input Transaksi'!$E:$E,$E331))</f>
        <v/>
      </c>
      <c r="D331" s="5">
        <f>IF($E331="","",INDEX('Input Transaksi'!$F:$F,$E331))</f>
        <v/>
      </c>
      <c r="E331">
        <f>IFERROR(AGGREGATE(15,6,ROW('Input Transaksi'!$B$5:$B$5000)/('Input Transaksi'!$B$5:$B$5000="LONDRI DEWE"),ROWS($E$5:E331)),"")</f>
        <v/>
      </c>
      <c r="F331" s="5" t="n"/>
    </row>
    <row r="332">
      <c r="A332" s="10">
        <f>IF($E332="","",INDEX('Input Transaksi'!$A:$A,$E332))</f>
        <v/>
      </c>
      <c r="B332" s="5">
        <f>IF($E332="","",INDEX('Input Transaksi'!$D:$D,$E332))</f>
        <v/>
      </c>
      <c r="C332">
        <f>IF($E332="","",INDEX('Input Transaksi'!$E:$E,$E332))</f>
        <v/>
      </c>
      <c r="D332" s="5">
        <f>IF($E332="","",INDEX('Input Transaksi'!$F:$F,$E332))</f>
        <v/>
      </c>
      <c r="E332">
        <f>IFERROR(AGGREGATE(15,6,ROW('Input Transaksi'!$B$5:$B$5000)/('Input Transaksi'!$B$5:$B$5000="LONDRI DEWE"),ROWS($E$5:E332)),"")</f>
        <v/>
      </c>
      <c r="F332" s="5" t="n"/>
    </row>
    <row r="333">
      <c r="A333" s="10">
        <f>IF($E333="","",INDEX('Input Transaksi'!$A:$A,$E333))</f>
        <v/>
      </c>
      <c r="B333" s="5">
        <f>IF($E333="","",INDEX('Input Transaksi'!$D:$D,$E333))</f>
        <v/>
      </c>
      <c r="C333">
        <f>IF($E333="","",INDEX('Input Transaksi'!$E:$E,$E333))</f>
        <v/>
      </c>
      <c r="D333" s="5">
        <f>IF($E333="","",INDEX('Input Transaksi'!$F:$F,$E333))</f>
        <v/>
      </c>
      <c r="E333">
        <f>IFERROR(AGGREGATE(15,6,ROW('Input Transaksi'!$B$5:$B$5000)/('Input Transaksi'!$B$5:$B$5000="LONDRI DEWE"),ROWS($E$5:E333)),"")</f>
        <v/>
      </c>
      <c r="F333" s="5" t="n"/>
    </row>
    <row r="334">
      <c r="A334" s="10">
        <f>IF($E334="","",INDEX('Input Transaksi'!$A:$A,$E334))</f>
        <v/>
      </c>
      <c r="B334" s="5">
        <f>IF($E334="","",INDEX('Input Transaksi'!$D:$D,$E334))</f>
        <v/>
      </c>
      <c r="C334">
        <f>IF($E334="","",INDEX('Input Transaksi'!$E:$E,$E334))</f>
        <v/>
      </c>
      <c r="D334" s="5">
        <f>IF($E334="","",INDEX('Input Transaksi'!$F:$F,$E334))</f>
        <v/>
      </c>
      <c r="E334">
        <f>IFERROR(AGGREGATE(15,6,ROW('Input Transaksi'!$B$5:$B$5000)/('Input Transaksi'!$B$5:$B$5000="LONDRI DEWE"),ROWS($E$5:E334)),"")</f>
        <v/>
      </c>
      <c r="F334" s="5" t="n"/>
    </row>
    <row r="335">
      <c r="A335" s="10">
        <f>IF($E335="","",INDEX('Input Transaksi'!$A:$A,$E335))</f>
        <v/>
      </c>
      <c r="B335" s="5">
        <f>IF($E335="","",INDEX('Input Transaksi'!$D:$D,$E335))</f>
        <v/>
      </c>
      <c r="C335">
        <f>IF($E335="","",INDEX('Input Transaksi'!$E:$E,$E335))</f>
        <v/>
      </c>
      <c r="D335" s="5">
        <f>IF($E335="","",INDEX('Input Transaksi'!$F:$F,$E335))</f>
        <v/>
      </c>
      <c r="E335">
        <f>IFERROR(AGGREGATE(15,6,ROW('Input Transaksi'!$B$5:$B$5000)/('Input Transaksi'!$B$5:$B$5000="LONDRI DEWE"),ROWS($E$5:E335)),"")</f>
        <v/>
      </c>
      <c r="F335" s="5" t="n"/>
    </row>
    <row r="336">
      <c r="A336" s="10">
        <f>IF($E336="","",INDEX('Input Transaksi'!$A:$A,$E336))</f>
        <v/>
      </c>
      <c r="B336" s="5">
        <f>IF($E336="","",INDEX('Input Transaksi'!$D:$D,$E336))</f>
        <v/>
      </c>
      <c r="C336">
        <f>IF($E336="","",INDEX('Input Transaksi'!$E:$E,$E336))</f>
        <v/>
      </c>
      <c r="D336" s="5">
        <f>IF($E336="","",INDEX('Input Transaksi'!$F:$F,$E336))</f>
        <v/>
      </c>
      <c r="E336">
        <f>IFERROR(AGGREGATE(15,6,ROW('Input Transaksi'!$B$5:$B$5000)/('Input Transaksi'!$B$5:$B$5000="LONDRI DEWE"),ROWS($E$5:E336)),"")</f>
        <v/>
      </c>
      <c r="F336" s="5" t="n"/>
    </row>
    <row r="337">
      <c r="A337" s="10">
        <f>IF($E337="","",INDEX('Input Transaksi'!$A:$A,$E337))</f>
        <v/>
      </c>
      <c r="B337" s="5">
        <f>IF($E337="","",INDEX('Input Transaksi'!$D:$D,$E337))</f>
        <v/>
      </c>
      <c r="C337">
        <f>IF($E337="","",INDEX('Input Transaksi'!$E:$E,$E337))</f>
        <v/>
      </c>
      <c r="D337" s="5">
        <f>IF($E337="","",INDEX('Input Transaksi'!$F:$F,$E337))</f>
        <v/>
      </c>
      <c r="E337">
        <f>IFERROR(AGGREGATE(15,6,ROW('Input Transaksi'!$B$5:$B$5000)/('Input Transaksi'!$B$5:$B$5000="LONDRI DEWE"),ROWS($E$5:E337)),"")</f>
        <v/>
      </c>
      <c r="F337" s="5" t="n"/>
    </row>
    <row r="338">
      <c r="A338" s="10">
        <f>IF($E338="","",INDEX('Input Transaksi'!$A:$A,$E338))</f>
        <v/>
      </c>
      <c r="B338" s="5">
        <f>IF($E338="","",INDEX('Input Transaksi'!$D:$D,$E338))</f>
        <v/>
      </c>
      <c r="C338">
        <f>IF($E338="","",INDEX('Input Transaksi'!$E:$E,$E338))</f>
        <v/>
      </c>
      <c r="D338" s="5">
        <f>IF($E338="","",INDEX('Input Transaksi'!$F:$F,$E338))</f>
        <v/>
      </c>
      <c r="E338">
        <f>IFERROR(AGGREGATE(15,6,ROW('Input Transaksi'!$B$5:$B$5000)/('Input Transaksi'!$B$5:$B$5000="LONDRI DEWE"),ROWS($E$5:E338)),"")</f>
        <v/>
      </c>
      <c r="F338" s="5" t="n"/>
    </row>
    <row r="339">
      <c r="A339" s="10">
        <f>IF($E339="","",INDEX('Input Transaksi'!$A:$A,$E339))</f>
        <v/>
      </c>
      <c r="B339" s="5">
        <f>IF($E339="","",INDEX('Input Transaksi'!$D:$D,$E339))</f>
        <v/>
      </c>
      <c r="C339">
        <f>IF($E339="","",INDEX('Input Transaksi'!$E:$E,$E339))</f>
        <v/>
      </c>
      <c r="D339" s="5">
        <f>IF($E339="","",INDEX('Input Transaksi'!$F:$F,$E339))</f>
        <v/>
      </c>
      <c r="E339">
        <f>IFERROR(AGGREGATE(15,6,ROW('Input Transaksi'!$B$5:$B$5000)/('Input Transaksi'!$B$5:$B$5000="LONDRI DEWE"),ROWS($E$5:E339)),"")</f>
        <v/>
      </c>
      <c r="F339" s="5" t="n"/>
    </row>
    <row r="340">
      <c r="A340" s="10">
        <f>IF($E340="","",INDEX('Input Transaksi'!$A:$A,$E340))</f>
        <v/>
      </c>
      <c r="B340" s="5">
        <f>IF($E340="","",INDEX('Input Transaksi'!$D:$D,$E340))</f>
        <v/>
      </c>
      <c r="C340">
        <f>IF($E340="","",INDEX('Input Transaksi'!$E:$E,$E340))</f>
        <v/>
      </c>
      <c r="D340" s="5">
        <f>IF($E340="","",INDEX('Input Transaksi'!$F:$F,$E340))</f>
        <v/>
      </c>
      <c r="E340">
        <f>IFERROR(AGGREGATE(15,6,ROW('Input Transaksi'!$B$5:$B$5000)/('Input Transaksi'!$B$5:$B$5000="LONDRI DEWE"),ROWS($E$5:E340)),"")</f>
        <v/>
      </c>
      <c r="F340" s="5" t="n"/>
    </row>
    <row r="341">
      <c r="A341" s="10">
        <f>IF($E341="","",INDEX('Input Transaksi'!$A:$A,$E341))</f>
        <v/>
      </c>
      <c r="B341" s="5">
        <f>IF($E341="","",INDEX('Input Transaksi'!$D:$D,$E341))</f>
        <v/>
      </c>
      <c r="C341">
        <f>IF($E341="","",INDEX('Input Transaksi'!$E:$E,$E341))</f>
        <v/>
      </c>
      <c r="D341" s="5">
        <f>IF($E341="","",INDEX('Input Transaksi'!$F:$F,$E341))</f>
        <v/>
      </c>
      <c r="E341">
        <f>IFERROR(AGGREGATE(15,6,ROW('Input Transaksi'!$B$5:$B$5000)/('Input Transaksi'!$B$5:$B$5000="LONDRI DEWE"),ROWS($E$5:E341)),"")</f>
        <v/>
      </c>
      <c r="F341" s="5" t="n"/>
    </row>
    <row r="342">
      <c r="A342" s="10">
        <f>IF($E342="","",INDEX('Input Transaksi'!$A:$A,$E342))</f>
        <v/>
      </c>
      <c r="B342" s="5">
        <f>IF($E342="","",INDEX('Input Transaksi'!$D:$D,$E342))</f>
        <v/>
      </c>
      <c r="C342">
        <f>IF($E342="","",INDEX('Input Transaksi'!$E:$E,$E342))</f>
        <v/>
      </c>
      <c r="D342" s="5">
        <f>IF($E342="","",INDEX('Input Transaksi'!$F:$F,$E342))</f>
        <v/>
      </c>
      <c r="E342">
        <f>IFERROR(AGGREGATE(15,6,ROW('Input Transaksi'!$B$5:$B$5000)/('Input Transaksi'!$B$5:$B$5000="LONDRI DEWE"),ROWS($E$5:E342)),"")</f>
        <v/>
      </c>
      <c r="F342" s="5" t="n"/>
    </row>
    <row r="343">
      <c r="A343" s="10">
        <f>IF($E343="","",INDEX('Input Transaksi'!$A:$A,$E343))</f>
        <v/>
      </c>
      <c r="B343" s="5">
        <f>IF($E343="","",INDEX('Input Transaksi'!$D:$D,$E343))</f>
        <v/>
      </c>
      <c r="C343">
        <f>IF($E343="","",INDEX('Input Transaksi'!$E:$E,$E343))</f>
        <v/>
      </c>
      <c r="D343" s="5">
        <f>IF($E343="","",INDEX('Input Transaksi'!$F:$F,$E343))</f>
        <v/>
      </c>
      <c r="E343">
        <f>IFERROR(AGGREGATE(15,6,ROW('Input Transaksi'!$B$5:$B$5000)/('Input Transaksi'!$B$5:$B$5000="LONDRI DEWE"),ROWS($E$5:E343)),"")</f>
        <v/>
      </c>
      <c r="F343" s="5" t="n"/>
    </row>
    <row r="344">
      <c r="A344" s="10">
        <f>IF($E344="","",INDEX('Input Transaksi'!$A:$A,$E344))</f>
        <v/>
      </c>
      <c r="B344" s="5">
        <f>IF($E344="","",INDEX('Input Transaksi'!$D:$D,$E344))</f>
        <v/>
      </c>
      <c r="C344">
        <f>IF($E344="","",INDEX('Input Transaksi'!$E:$E,$E344))</f>
        <v/>
      </c>
      <c r="D344" s="5">
        <f>IF($E344="","",INDEX('Input Transaksi'!$F:$F,$E344))</f>
        <v/>
      </c>
      <c r="E344">
        <f>IFERROR(AGGREGATE(15,6,ROW('Input Transaksi'!$B$5:$B$5000)/('Input Transaksi'!$B$5:$B$5000="LONDRI DEWE"),ROWS($E$5:E344)),"")</f>
        <v/>
      </c>
      <c r="F344" s="5" t="n"/>
    </row>
    <row r="345">
      <c r="A345" s="10">
        <f>IF($E345="","",INDEX('Input Transaksi'!$A:$A,$E345))</f>
        <v/>
      </c>
      <c r="B345" s="5">
        <f>IF($E345="","",INDEX('Input Transaksi'!$D:$D,$E345))</f>
        <v/>
      </c>
      <c r="C345">
        <f>IF($E345="","",INDEX('Input Transaksi'!$E:$E,$E345))</f>
        <v/>
      </c>
      <c r="D345" s="5">
        <f>IF($E345="","",INDEX('Input Transaksi'!$F:$F,$E345))</f>
        <v/>
      </c>
      <c r="E345">
        <f>IFERROR(AGGREGATE(15,6,ROW('Input Transaksi'!$B$5:$B$5000)/('Input Transaksi'!$B$5:$B$5000="LONDRI DEWE"),ROWS($E$5:E345)),"")</f>
        <v/>
      </c>
      <c r="F345" s="5" t="n"/>
    </row>
    <row r="346">
      <c r="A346" s="10">
        <f>IF($E346="","",INDEX('Input Transaksi'!$A:$A,$E346))</f>
        <v/>
      </c>
      <c r="B346" s="5">
        <f>IF($E346="","",INDEX('Input Transaksi'!$D:$D,$E346))</f>
        <v/>
      </c>
      <c r="C346">
        <f>IF($E346="","",INDEX('Input Transaksi'!$E:$E,$E346))</f>
        <v/>
      </c>
      <c r="D346" s="5">
        <f>IF($E346="","",INDEX('Input Transaksi'!$F:$F,$E346))</f>
        <v/>
      </c>
      <c r="E346">
        <f>IFERROR(AGGREGATE(15,6,ROW('Input Transaksi'!$B$5:$B$5000)/('Input Transaksi'!$B$5:$B$5000="LONDRI DEWE"),ROWS($E$5:E346)),"")</f>
        <v/>
      </c>
      <c r="F346" s="5" t="n"/>
    </row>
    <row r="347">
      <c r="A347" s="10">
        <f>IF($E347="","",INDEX('Input Transaksi'!$A:$A,$E347))</f>
        <v/>
      </c>
      <c r="B347" s="5">
        <f>IF($E347="","",INDEX('Input Transaksi'!$D:$D,$E347))</f>
        <v/>
      </c>
      <c r="C347">
        <f>IF($E347="","",INDEX('Input Transaksi'!$E:$E,$E347))</f>
        <v/>
      </c>
      <c r="D347" s="5">
        <f>IF($E347="","",INDEX('Input Transaksi'!$F:$F,$E347))</f>
        <v/>
      </c>
      <c r="E347">
        <f>IFERROR(AGGREGATE(15,6,ROW('Input Transaksi'!$B$5:$B$5000)/('Input Transaksi'!$B$5:$B$5000="LONDRI DEWE"),ROWS($E$5:E347)),"")</f>
        <v/>
      </c>
      <c r="F347" s="5" t="n"/>
    </row>
    <row r="348">
      <c r="A348" s="10">
        <f>IF($E348="","",INDEX('Input Transaksi'!$A:$A,$E348))</f>
        <v/>
      </c>
      <c r="B348" s="5">
        <f>IF($E348="","",INDEX('Input Transaksi'!$D:$D,$E348))</f>
        <v/>
      </c>
      <c r="C348">
        <f>IF($E348="","",INDEX('Input Transaksi'!$E:$E,$E348))</f>
        <v/>
      </c>
      <c r="D348" s="5">
        <f>IF($E348="","",INDEX('Input Transaksi'!$F:$F,$E348))</f>
        <v/>
      </c>
      <c r="E348">
        <f>IFERROR(AGGREGATE(15,6,ROW('Input Transaksi'!$B$5:$B$5000)/('Input Transaksi'!$B$5:$B$5000="LONDRI DEWE"),ROWS($E$5:E348)),"")</f>
        <v/>
      </c>
      <c r="F348" s="5" t="n"/>
    </row>
    <row r="349">
      <c r="A349" s="10">
        <f>IF($E349="","",INDEX('Input Transaksi'!$A:$A,$E349))</f>
        <v/>
      </c>
      <c r="B349" s="5">
        <f>IF($E349="","",INDEX('Input Transaksi'!$D:$D,$E349))</f>
        <v/>
      </c>
      <c r="C349">
        <f>IF($E349="","",INDEX('Input Transaksi'!$E:$E,$E349))</f>
        <v/>
      </c>
      <c r="D349" s="5">
        <f>IF($E349="","",INDEX('Input Transaksi'!$F:$F,$E349))</f>
        <v/>
      </c>
      <c r="E349">
        <f>IFERROR(AGGREGATE(15,6,ROW('Input Transaksi'!$B$5:$B$5000)/('Input Transaksi'!$B$5:$B$5000="LONDRI DEWE"),ROWS($E$5:E349)),"")</f>
        <v/>
      </c>
      <c r="F349" s="5" t="n"/>
    </row>
    <row r="350">
      <c r="A350" s="10">
        <f>IF($E350="","",INDEX('Input Transaksi'!$A:$A,$E350))</f>
        <v/>
      </c>
      <c r="B350" s="5">
        <f>IF($E350="","",INDEX('Input Transaksi'!$D:$D,$E350))</f>
        <v/>
      </c>
      <c r="C350">
        <f>IF($E350="","",INDEX('Input Transaksi'!$E:$E,$E350))</f>
        <v/>
      </c>
      <c r="D350" s="5">
        <f>IF($E350="","",INDEX('Input Transaksi'!$F:$F,$E350))</f>
        <v/>
      </c>
      <c r="E350">
        <f>IFERROR(AGGREGATE(15,6,ROW('Input Transaksi'!$B$5:$B$5000)/('Input Transaksi'!$B$5:$B$5000="LONDRI DEWE"),ROWS($E$5:E350)),"")</f>
        <v/>
      </c>
      <c r="F350" s="5" t="n"/>
    </row>
    <row r="351">
      <c r="A351" s="10">
        <f>IF($E351="","",INDEX('Input Transaksi'!$A:$A,$E351))</f>
        <v/>
      </c>
      <c r="B351" s="5">
        <f>IF($E351="","",INDEX('Input Transaksi'!$D:$D,$E351))</f>
        <v/>
      </c>
      <c r="C351">
        <f>IF($E351="","",INDEX('Input Transaksi'!$E:$E,$E351))</f>
        <v/>
      </c>
      <c r="D351" s="5">
        <f>IF($E351="","",INDEX('Input Transaksi'!$F:$F,$E351))</f>
        <v/>
      </c>
      <c r="E351">
        <f>IFERROR(AGGREGATE(15,6,ROW('Input Transaksi'!$B$5:$B$5000)/('Input Transaksi'!$B$5:$B$5000="LONDRI DEWE"),ROWS($E$5:E351)),"")</f>
        <v/>
      </c>
      <c r="F351" s="5" t="n"/>
    </row>
    <row r="352">
      <c r="A352" s="10">
        <f>IF($E352="","",INDEX('Input Transaksi'!$A:$A,$E352))</f>
        <v/>
      </c>
      <c r="B352" s="5">
        <f>IF($E352="","",INDEX('Input Transaksi'!$D:$D,$E352))</f>
        <v/>
      </c>
      <c r="C352">
        <f>IF($E352="","",INDEX('Input Transaksi'!$E:$E,$E352))</f>
        <v/>
      </c>
      <c r="D352" s="5">
        <f>IF($E352="","",INDEX('Input Transaksi'!$F:$F,$E352))</f>
        <v/>
      </c>
      <c r="E352">
        <f>IFERROR(AGGREGATE(15,6,ROW('Input Transaksi'!$B$5:$B$5000)/('Input Transaksi'!$B$5:$B$5000="LONDRI DEWE"),ROWS($E$5:E352)),"")</f>
        <v/>
      </c>
      <c r="F352" s="5" t="n"/>
    </row>
    <row r="353">
      <c r="A353" s="10">
        <f>IF($E353="","",INDEX('Input Transaksi'!$A:$A,$E353))</f>
        <v/>
      </c>
      <c r="B353" s="5">
        <f>IF($E353="","",INDEX('Input Transaksi'!$D:$D,$E353))</f>
        <v/>
      </c>
      <c r="C353">
        <f>IF($E353="","",INDEX('Input Transaksi'!$E:$E,$E353))</f>
        <v/>
      </c>
      <c r="D353" s="5">
        <f>IF($E353="","",INDEX('Input Transaksi'!$F:$F,$E353))</f>
        <v/>
      </c>
      <c r="E353">
        <f>IFERROR(AGGREGATE(15,6,ROW('Input Transaksi'!$B$5:$B$5000)/('Input Transaksi'!$B$5:$B$5000="LONDRI DEWE"),ROWS($E$5:E353)),"")</f>
        <v/>
      </c>
      <c r="F353" s="5" t="n"/>
    </row>
    <row r="354">
      <c r="A354" s="10">
        <f>IF($E354="","",INDEX('Input Transaksi'!$A:$A,$E354))</f>
        <v/>
      </c>
      <c r="B354" s="5">
        <f>IF($E354="","",INDEX('Input Transaksi'!$D:$D,$E354))</f>
        <v/>
      </c>
      <c r="C354">
        <f>IF($E354="","",INDEX('Input Transaksi'!$E:$E,$E354))</f>
        <v/>
      </c>
      <c r="D354" s="5">
        <f>IF($E354="","",INDEX('Input Transaksi'!$F:$F,$E354))</f>
        <v/>
      </c>
      <c r="E354">
        <f>IFERROR(AGGREGATE(15,6,ROW('Input Transaksi'!$B$5:$B$5000)/('Input Transaksi'!$B$5:$B$5000="LONDRI DEWE"),ROWS($E$5:E354)),"")</f>
        <v/>
      </c>
      <c r="F354" s="5" t="n"/>
    </row>
    <row r="355">
      <c r="A355" s="10">
        <f>IF($E355="","",INDEX('Input Transaksi'!$A:$A,$E355))</f>
        <v/>
      </c>
      <c r="B355" s="5">
        <f>IF($E355="","",INDEX('Input Transaksi'!$D:$D,$E355))</f>
        <v/>
      </c>
      <c r="C355">
        <f>IF($E355="","",INDEX('Input Transaksi'!$E:$E,$E355))</f>
        <v/>
      </c>
      <c r="D355" s="5">
        <f>IF($E355="","",INDEX('Input Transaksi'!$F:$F,$E355))</f>
        <v/>
      </c>
      <c r="E355">
        <f>IFERROR(AGGREGATE(15,6,ROW('Input Transaksi'!$B$5:$B$5000)/('Input Transaksi'!$B$5:$B$5000="LONDRI DEWE"),ROWS($E$5:E355)),"")</f>
        <v/>
      </c>
      <c r="F355" s="5" t="n"/>
    </row>
    <row r="356">
      <c r="A356" s="10">
        <f>IF($E356="","",INDEX('Input Transaksi'!$A:$A,$E356))</f>
        <v/>
      </c>
      <c r="B356" s="5">
        <f>IF($E356="","",INDEX('Input Transaksi'!$D:$D,$E356))</f>
        <v/>
      </c>
      <c r="C356">
        <f>IF($E356="","",INDEX('Input Transaksi'!$E:$E,$E356))</f>
        <v/>
      </c>
      <c r="D356" s="5">
        <f>IF($E356="","",INDEX('Input Transaksi'!$F:$F,$E356))</f>
        <v/>
      </c>
      <c r="E356">
        <f>IFERROR(AGGREGATE(15,6,ROW('Input Transaksi'!$B$5:$B$5000)/('Input Transaksi'!$B$5:$B$5000="LONDRI DEWE"),ROWS($E$5:E356)),"")</f>
        <v/>
      </c>
      <c r="F356" s="5" t="n"/>
    </row>
    <row r="357">
      <c r="A357" s="10">
        <f>IF($E357="","",INDEX('Input Transaksi'!$A:$A,$E357))</f>
        <v/>
      </c>
      <c r="B357" s="5">
        <f>IF($E357="","",INDEX('Input Transaksi'!$D:$D,$E357))</f>
        <v/>
      </c>
      <c r="C357">
        <f>IF($E357="","",INDEX('Input Transaksi'!$E:$E,$E357))</f>
        <v/>
      </c>
      <c r="D357" s="5">
        <f>IF($E357="","",INDEX('Input Transaksi'!$F:$F,$E357))</f>
        <v/>
      </c>
      <c r="E357">
        <f>IFERROR(AGGREGATE(15,6,ROW('Input Transaksi'!$B$5:$B$5000)/('Input Transaksi'!$B$5:$B$5000="LONDRI DEWE"),ROWS($E$5:E357)),"")</f>
        <v/>
      </c>
      <c r="F357" s="5" t="n"/>
    </row>
    <row r="358">
      <c r="A358" s="10">
        <f>IF($E358="","",INDEX('Input Transaksi'!$A:$A,$E358))</f>
        <v/>
      </c>
      <c r="B358" s="5">
        <f>IF($E358="","",INDEX('Input Transaksi'!$D:$D,$E358))</f>
        <v/>
      </c>
      <c r="C358">
        <f>IF($E358="","",INDEX('Input Transaksi'!$E:$E,$E358))</f>
        <v/>
      </c>
      <c r="D358" s="5">
        <f>IF($E358="","",INDEX('Input Transaksi'!$F:$F,$E358))</f>
        <v/>
      </c>
      <c r="E358">
        <f>IFERROR(AGGREGATE(15,6,ROW('Input Transaksi'!$B$5:$B$5000)/('Input Transaksi'!$B$5:$B$5000="LONDRI DEWE"),ROWS($E$5:E358)),"")</f>
        <v/>
      </c>
      <c r="F358" s="5" t="n"/>
    </row>
    <row r="359">
      <c r="A359" s="10">
        <f>IF($E359="","",INDEX('Input Transaksi'!$A:$A,$E359))</f>
        <v/>
      </c>
      <c r="B359" s="5">
        <f>IF($E359="","",INDEX('Input Transaksi'!$D:$D,$E359))</f>
        <v/>
      </c>
      <c r="C359">
        <f>IF($E359="","",INDEX('Input Transaksi'!$E:$E,$E359))</f>
        <v/>
      </c>
      <c r="D359" s="5">
        <f>IF($E359="","",INDEX('Input Transaksi'!$F:$F,$E359))</f>
        <v/>
      </c>
      <c r="E359">
        <f>IFERROR(AGGREGATE(15,6,ROW('Input Transaksi'!$B$5:$B$5000)/('Input Transaksi'!$B$5:$B$5000="LONDRI DEWE"),ROWS($E$5:E359)),"")</f>
        <v/>
      </c>
      <c r="F359" s="5" t="n"/>
    </row>
    <row r="360">
      <c r="A360" s="10">
        <f>IF($E360="","",INDEX('Input Transaksi'!$A:$A,$E360))</f>
        <v/>
      </c>
      <c r="B360" s="5">
        <f>IF($E360="","",INDEX('Input Transaksi'!$D:$D,$E360))</f>
        <v/>
      </c>
      <c r="C360">
        <f>IF($E360="","",INDEX('Input Transaksi'!$E:$E,$E360))</f>
        <v/>
      </c>
      <c r="D360" s="5">
        <f>IF($E360="","",INDEX('Input Transaksi'!$F:$F,$E360))</f>
        <v/>
      </c>
      <c r="E360">
        <f>IFERROR(AGGREGATE(15,6,ROW('Input Transaksi'!$B$5:$B$5000)/('Input Transaksi'!$B$5:$B$5000="LONDRI DEWE"),ROWS($E$5:E360)),"")</f>
        <v/>
      </c>
      <c r="F360" s="5" t="n"/>
    </row>
    <row r="361">
      <c r="A361" s="10">
        <f>IF($E361="","",INDEX('Input Transaksi'!$A:$A,$E361))</f>
        <v/>
      </c>
      <c r="B361" s="5">
        <f>IF($E361="","",INDEX('Input Transaksi'!$D:$D,$E361))</f>
        <v/>
      </c>
      <c r="C361">
        <f>IF($E361="","",INDEX('Input Transaksi'!$E:$E,$E361))</f>
        <v/>
      </c>
      <c r="D361" s="5">
        <f>IF($E361="","",INDEX('Input Transaksi'!$F:$F,$E361))</f>
        <v/>
      </c>
      <c r="E361">
        <f>IFERROR(AGGREGATE(15,6,ROW('Input Transaksi'!$B$5:$B$5000)/('Input Transaksi'!$B$5:$B$5000="LONDRI DEWE"),ROWS($E$5:E361)),"")</f>
        <v/>
      </c>
      <c r="F361" s="5" t="n"/>
    </row>
    <row r="362">
      <c r="A362" s="10">
        <f>IF($E362="","",INDEX('Input Transaksi'!$A:$A,$E362))</f>
        <v/>
      </c>
      <c r="B362" s="5">
        <f>IF($E362="","",INDEX('Input Transaksi'!$D:$D,$E362))</f>
        <v/>
      </c>
      <c r="C362">
        <f>IF($E362="","",INDEX('Input Transaksi'!$E:$E,$E362))</f>
        <v/>
      </c>
      <c r="D362" s="5">
        <f>IF($E362="","",INDEX('Input Transaksi'!$F:$F,$E362))</f>
        <v/>
      </c>
      <c r="E362">
        <f>IFERROR(AGGREGATE(15,6,ROW('Input Transaksi'!$B$5:$B$5000)/('Input Transaksi'!$B$5:$B$5000="LONDRI DEWE"),ROWS($E$5:E362)),"")</f>
        <v/>
      </c>
      <c r="F362" s="5" t="n"/>
    </row>
    <row r="363">
      <c r="A363" s="10">
        <f>IF($E363="","",INDEX('Input Transaksi'!$A:$A,$E363))</f>
        <v/>
      </c>
      <c r="B363" s="5">
        <f>IF($E363="","",INDEX('Input Transaksi'!$D:$D,$E363))</f>
        <v/>
      </c>
      <c r="C363">
        <f>IF($E363="","",INDEX('Input Transaksi'!$E:$E,$E363))</f>
        <v/>
      </c>
      <c r="D363" s="5">
        <f>IF($E363="","",INDEX('Input Transaksi'!$F:$F,$E363))</f>
        <v/>
      </c>
      <c r="E363">
        <f>IFERROR(AGGREGATE(15,6,ROW('Input Transaksi'!$B$5:$B$5000)/('Input Transaksi'!$B$5:$B$5000="LONDRI DEWE"),ROWS($E$5:E363)),"")</f>
        <v/>
      </c>
      <c r="F363" s="5" t="n"/>
    </row>
    <row r="364">
      <c r="A364" s="10">
        <f>IF($E364="","",INDEX('Input Transaksi'!$A:$A,$E364))</f>
        <v/>
      </c>
      <c r="B364" s="5">
        <f>IF($E364="","",INDEX('Input Transaksi'!$D:$D,$E364))</f>
        <v/>
      </c>
      <c r="C364">
        <f>IF($E364="","",INDEX('Input Transaksi'!$E:$E,$E364))</f>
        <v/>
      </c>
      <c r="D364" s="5">
        <f>IF($E364="","",INDEX('Input Transaksi'!$F:$F,$E364))</f>
        <v/>
      </c>
      <c r="E364">
        <f>IFERROR(AGGREGATE(15,6,ROW('Input Transaksi'!$B$5:$B$5000)/('Input Transaksi'!$B$5:$B$5000="LONDRI DEWE"),ROWS($E$5:E364)),"")</f>
        <v/>
      </c>
      <c r="F364" s="5" t="n"/>
    </row>
    <row r="365">
      <c r="A365" s="10">
        <f>IF($E365="","",INDEX('Input Transaksi'!$A:$A,$E365))</f>
        <v/>
      </c>
      <c r="B365" s="5">
        <f>IF($E365="","",INDEX('Input Transaksi'!$D:$D,$E365))</f>
        <v/>
      </c>
      <c r="C365">
        <f>IF($E365="","",INDEX('Input Transaksi'!$E:$E,$E365))</f>
        <v/>
      </c>
      <c r="D365" s="5">
        <f>IF($E365="","",INDEX('Input Transaksi'!$F:$F,$E365))</f>
        <v/>
      </c>
      <c r="E365">
        <f>IFERROR(AGGREGATE(15,6,ROW('Input Transaksi'!$B$5:$B$5000)/('Input Transaksi'!$B$5:$B$5000="LONDRI DEWE"),ROWS($E$5:E365)),"")</f>
        <v/>
      </c>
      <c r="F365" s="5" t="n"/>
    </row>
    <row r="366">
      <c r="A366" s="10">
        <f>IF($E366="","",INDEX('Input Transaksi'!$A:$A,$E366))</f>
        <v/>
      </c>
      <c r="B366" s="5">
        <f>IF($E366="","",INDEX('Input Transaksi'!$D:$D,$E366))</f>
        <v/>
      </c>
      <c r="C366">
        <f>IF($E366="","",INDEX('Input Transaksi'!$E:$E,$E366))</f>
        <v/>
      </c>
      <c r="D366" s="5">
        <f>IF($E366="","",INDEX('Input Transaksi'!$F:$F,$E366))</f>
        <v/>
      </c>
      <c r="E366">
        <f>IFERROR(AGGREGATE(15,6,ROW('Input Transaksi'!$B$5:$B$5000)/('Input Transaksi'!$B$5:$B$5000="LONDRI DEWE"),ROWS($E$5:E366)),"")</f>
        <v/>
      </c>
      <c r="F366" s="5" t="n"/>
    </row>
    <row r="367">
      <c r="A367" s="10">
        <f>IF($E367="","",INDEX('Input Transaksi'!$A:$A,$E367))</f>
        <v/>
      </c>
      <c r="B367" s="5">
        <f>IF($E367="","",INDEX('Input Transaksi'!$D:$D,$E367))</f>
        <v/>
      </c>
      <c r="C367">
        <f>IF($E367="","",INDEX('Input Transaksi'!$E:$E,$E367))</f>
        <v/>
      </c>
      <c r="D367" s="5">
        <f>IF($E367="","",INDEX('Input Transaksi'!$F:$F,$E367))</f>
        <v/>
      </c>
      <c r="E367">
        <f>IFERROR(AGGREGATE(15,6,ROW('Input Transaksi'!$B$5:$B$5000)/('Input Transaksi'!$B$5:$B$5000="LONDRI DEWE"),ROWS($E$5:E367)),"")</f>
        <v/>
      </c>
      <c r="F367" s="5" t="n"/>
    </row>
    <row r="368">
      <c r="A368" s="10">
        <f>IF($E368="","",INDEX('Input Transaksi'!$A:$A,$E368))</f>
        <v/>
      </c>
      <c r="B368" s="5">
        <f>IF($E368="","",INDEX('Input Transaksi'!$D:$D,$E368))</f>
        <v/>
      </c>
      <c r="C368">
        <f>IF($E368="","",INDEX('Input Transaksi'!$E:$E,$E368))</f>
        <v/>
      </c>
      <c r="D368" s="5">
        <f>IF($E368="","",INDEX('Input Transaksi'!$F:$F,$E368))</f>
        <v/>
      </c>
      <c r="E368">
        <f>IFERROR(AGGREGATE(15,6,ROW('Input Transaksi'!$B$5:$B$5000)/('Input Transaksi'!$B$5:$B$5000="LONDRI DEWE"),ROWS($E$5:E368)),"")</f>
        <v/>
      </c>
      <c r="F368" s="5" t="n"/>
    </row>
    <row r="369">
      <c r="A369" s="10">
        <f>IF($E369="","",INDEX('Input Transaksi'!$A:$A,$E369))</f>
        <v/>
      </c>
      <c r="B369" s="5">
        <f>IF($E369="","",INDEX('Input Transaksi'!$D:$D,$E369))</f>
        <v/>
      </c>
      <c r="C369">
        <f>IF($E369="","",INDEX('Input Transaksi'!$E:$E,$E369))</f>
        <v/>
      </c>
      <c r="D369" s="5">
        <f>IF($E369="","",INDEX('Input Transaksi'!$F:$F,$E369))</f>
        <v/>
      </c>
      <c r="E369">
        <f>IFERROR(AGGREGATE(15,6,ROW('Input Transaksi'!$B$5:$B$5000)/('Input Transaksi'!$B$5:$B$5000="LONDRI DEWE"),ROWS($E$5:E369)),"")</f>
        <v/>
      </c>
      <c r="F369" s="5" t="n"/>
    </row>
    <row r="370">
      <c r="A370" s="10">
        <f>IF($E370="","",INDEX('Input Transaksi'!$A:$A,$E370))</f>
        <v/>
      </c>
      <c r="B370" s="5">
        <f>IF($E370="","",INDEX('Input Transaksi'!$D:$D,$E370))</f>
        <v/>
      </c>
      <c r="C370">
        <f>IF($E370="","",INDEX('Input Transaksi'!$E:$E,$E370))</f>
        <v/>
      </c>
      <c r="D370" s="5">
        <f>IF($E370="","",INDEX('Input Transaksi'!$F:$F,$E370))</f>
        <v/>
      </c>
      <c r="E370">
        <f>IFERROR(AGGREGATE(15,6,ROW('Input Transaksi'!$B$5:$B$5000)/('Input Transaksi'!$B$5:$B$5000="LONDRI DEWE"),ROWS($E$5:E370)),"")</f>
        <v/>
      </c>
      <c r="F370" s="5" t="n"/>
    </row>
    <row r="371">
      <c r="A371" s="10">
        <f>IF($E371="","",INDEX('Input Transaksi'!$A:$A,$E371))</f>
        <v/>
      </c>
      <c r="B371" s="5">
        <f>IF($E371="","",INDEX('Input Transaksi'!$D:$D,$E371))</f>
        <v/>
      </c>
      <c r="C371">
        <f>IF($E371="","",INDEX('Input Transaksi'!$E:$E,$E371))</f>
        <v/>
      </c>
      <c r="D371" s="5">
        <f>IF($E371="","",INDEX('Input Transaksi'!$F:$F,$E371))</f>
        <v/>
      </c>
      <c r="E371">
        <f>IFERROR(AGGREGATE(15,6,ROW('Input Transaksi'!$B$5:$B$5000)/('Input Transaksi'!$B$5:$B$5000="LONDRI DEWE"),ROWS($E$5:E371)),"")</f>
        <v/>
      </c>
      <c r="F371" s="5" t="n"/>
    </row>
    <row r="372">
      <c r="A372" s="10">
        <f>IF($E372="","",INDEX('Input Transaksi'!$A:$A,$E372))</f>
        <v/>
      </c>
      <c r="B372" s="5">
        <f>IF($E372="","",INDEX('Input Transaksi'!$D:$D,$E372))</f>
        <v/>
      </c>
      <c r="C372">
        <f>IF($E372="","",INDEX('Input Transaksi'!$E:$E,$E372))</f>
        <v/>
      </c>
      <c r="D372" s="5">
        <f>IF($E372="","",INDEX('Input Transaksi'!$F:$F,$E372))</f>
        <v/>
      </c>
      <c r="E372">
        <f>IFERROR(AGGREGATE(15,6,ROW('Input Transaksi'!$B$5:$B$5000)/('Input Transaksi'!$B$5:$B$5000="LONDRI DEWE"),ROWS($E$5:E372)),"")</f>
        <v/>
      </c>
      <c r="F372" s="5" t="n"/>
    </row>
    <row r="373">
      <c r="A373" s="10">
        <f>IF($E373="","",INDEX('Input Transaksi'!$A:$A,$E373))</f>
        <v/>
      </c>
      <c r="B373" s="5">
        <f>IF($E373="","",INDEX('Input Transaksi'!$D:$D,$E373))</f>
        <v/>
      </c>
      <c r="C373">
        <f>IF($E373="","",INDEX('Input Transaksi'!$E:$E,$E373))</f>
        <v/>
      </c>
      <c r="D373" s="5">
        <f>IF($E373="","",INDEX('Input Transaksi'!$F:$F,$E373))</f>
        <v/>
      </c>
      <c r="E373">
        <f>IFERROR(AGGREGATE(15,6,ROW('Input Transaksi'!$B$5:$B$5000)/('Input Transaksi'!$B$5:$B$5000="LONDRI DEWE"),ROWS($E$5:E373)),"")</f>
        <v/>
      </c>
      <c r="F373" s="5" t="n"/>
    </row>
    <row r="374">
      <c r="A374" s="10">
        <f>IF($E374="","",INDEX('Input Transaksi'!$A:$A,$E374))</f>
        <v/>
      </c>
      <c r="B374" s="5">
        <f>IF($E374="","",INDEX('Input Transaksi'!$D:$D,$E374))</f>
        <v/>
      </c>
      <c r="C374">
        <f>IF($E374="","",INDEX('Input Transaksi'!$E:$E,$E374))</f>
        <v/>
      </c>
      <c r="D374" s="5">
        <f>IF($E374="","",INDEX('Input Transaksi'!$F:$F,$E374))</f>
        <v/>
      </c>
      <c r="E374">
        <f>IFERROR(AGGREGATE(15,6,ROW('Input Transaksi'!$B$5:$B$5000)/('Input Transaksi'!$B$5:$B$5000="LONDRI DEWE"),ROWS($E$5:E374)),"")</f>
        <v/>
      </c>
      <c r="F374" s="5" t="n"/>
    </row>
    <row r="375">
      <c r="A375" s="10">
        <f>IF($E375="","",INDEX('Input Transaksi'!$A:$A,$E375))</f>
        <v/>
      </c>
      <c r="B375" s="5">
        <f>IF($E375="","",INDEX('Input Transaksi'!$D:$D,$E375))</f>
        <v/>
      </c>
      <c r="C375">
        <f>IF($E375="","",INDEX('Input Transaksi'!$E:$E,$E375))</f>
        <v/>
      </c>
      <c r="D375" s="5">
        <f>IF($E375="","",INDEX('Input Transaksi'!$F:$F,$E375))</f>
        <v/>
      </c>
      <c r="E375">
        <f>IFERROR(AGGREGATE(15,6,ROW('Input Transaksi'!$B$5:$B$5000)/('Input Transaksi'!$B$5:$B$5000="LONDRI DEWE"),ROWS($E$5:E375)),"")</f>
        <v/>
      </c>
      <c r="F375" s="5" t="n"/>
    </row>
    <row r="376">
      <c r="A376" s="10">
        <f>IF($E376="","",INDEX('Input Transaksi'!$A:$A,$E376))</f>
        <v/>
      </c>
      <c r="B376" s="5">
        <f>IF($E376="","",INDEX('Input Transaksi'!$D:$D,$E376))</f>
        <v/>
      </c>
      <c r="C376">
        <f>IF($E376="","",INDEX('Input Transaksi'!$E:$E,$E376))</f>
        <v/>
      </c>
      <c r="D376" s="5">
        <f>IF($E376="","",INDEX('Input Transaksi'!$F:$F,$E376))</f>
        <v/>
      </c>
      <c r="E376">
        <f>IFERROR(AGGREGATE(15,6,ROW('Input Transaksi'!$B$5:$B$5000)/('Input Transaksi'!$B$5:$B$5000="LONDRI DEWE"),ROWS($E$5:E376)),"")</f>
        <v/>
      </c>
      <c r="F376" s="5" t="n"/>
    </row>
    <row r="377">
      <c r="A377" s="10">
        <f>IF($E377="","",INDEX('Input Transaksi'!$A:$A,$E377))</f>
        <v/>
      </c>
      <c r="B377" s="5">
        <f>IF($E377="","",INDEX('Input Transaksi'!$D:$D,$E377))</f>
        <v/>
      </c>
      <c r="C377">
        <f>IF($E377="","",INDEX('Input Transaksi'!$E:$E,$E377))</f>
        <v/>
      </c>
      <c r="D377" s="5">
        <f>IF($E377="","",INDEX('Input Transaksi'!$F:$F,$E377))</f>
        <v/>
      </c>
      <c r="E377">
        <f>IFERROR(AGGREGATE(15,6,ROW('Input Transaksi'!$B$5:$B$5000)/('Input Transaksi'!$B$5:$B$5000="LONDRI DEWE"),ROWS($E$5:E377)),"")</f>
        <v/>
      </c>
      <c r="F377" s="5" t="n"/>
    </row>
    <row r="378">
      <c r="A378" s="10">
        <f>IF($E378="","",INDEX('Input Transaksi'!$A:$A,$E378))</f>
        <v/>
      </c>
      <c r="B378" s="5">
        <f>IF($E378="","",INDEX('Input Transaksi'!$D:$D,$E378))</f>
        <v/>
      </c>
      <c r="C378">
        <f>IF($E378="","",INDEX('Input Transaksi'!$E:$E,$E378))</f>
        <v/>
      </c>
      <c r="D378" s="5">
        <f>IF($E378="","",INDEX('Input Transaksi'!$F:$F,$E378))</f>
        <v/>
      </c>
      <c r="E378">
        <f>IFERROR(AGGREGATE(15,6,ROW('Input Transaksi'!$B$5:$B$5000)/('Input Transaksi'!$B$5:$B$5000="LONDRI DEWE"),ROWS($E$5:E378)),"")</f>
        <v/>
      </c>
      <c r="F378" s="5" t="n"/>
    </row>
    <row r="379">
      <c r="A379" s="10">
        <f>IF($E379="","",INDEX('Input Transaksi'!$A:$A,$E379))</f>
        <v/>
      </c>
      <c r="B379" s="5">
        <f>IF($E379="","",INDEX('Input Transaksi'!$D:$D,$E379))</f>
        <v/>
      </c>
      <c r="C379">
        <f>IF($E379="","",INDEX('Input Transaksi'!$E:$E,$E379))</f>
        <v/>
      </c>
      <c r="D379" s="5">
        <f>IF($E379="","",INDEX('Input Transaksi'!$F:$F,$E379))</f>
        <v/>
      </c>
      <c r="E379">
        <f>IFERROR(AGGREGATE(15,6,ROW('Input Transaksi'!$B$5:$B$5000)/('Input Transaksi'!$B$5:$B$5000="LONDRI DEWE"),ROWS($E$5:E379)),"")</f>
        <v/>
      </c>
      <c r="F379" s="5" t="n"/>
    </row>
    <row r="380">
      <c r="A380" s="10">
        <f>IF($E380="","",INDEX('Input Transaksi'!$A:$A,$E380))</f>
        <v/>
      </c>
      <c r="B380" s="5">
        <f>IF($E380="","",INDEX('Input Transaksi'!$D:$D,$E380))</f>
        <v/>
      </c>
      <c r="C380">
        <f>IF($E380="","",INDEX('Input Transaksi'!$E:$E,$E380))</f>
        <v/>
      </c>
      <c r="D380" s="5">
        <f>IF($E380="","",INDEX('Input Transaksi'!$F:$F,$E380))</f>
        <v/>
      </c>
      <c r="E380">
        <f>IFERROR(AGGREGATE(15,6,ROW('Input Transaksi'!$B$5:$B$5000)/('Input Transaksi'!$B$5:$B$5000="LONDRI DEWE"),ROWS($E$5:E380)),"")</f>
        <v/>
      </c>
      <c r="F380" s="5" t="n"/>
    </row>
    <row r="381">
      <c r="A381" s="10">
        <f>IF($E381="","",INDEX('Input Transaksi'!$A:$A,$E381))</f>
        <v/>
      </c>
      <c r="B381" s="5">
        <f>IF($E381="","",INDEX('Input Transaksi'!$D:$D,$E381))</f>
        <v/>
      </c>
      <c r="C381">
        <f>IF($E381="","",INDEX('Input Transaksi'!$E:$E,$E381))</f>
        <v/>
      </c>
      <c r="D381" s="5">
        <f>IF($E381="","",INDEX('Input Transaksi'!$F:$F,$E381))</f>
        <v/>
      </c>
      <c r="E381">
        <f>IFERROR(AGGREGATE(15,6,ROW('Input Transaksi'!$B$5:$B$5000)/('Input Transaksi'!$B$5:$B$5000="LONDRI DEWE"),ROWS($E$5:E381)),"")</f>
        <v/>
      </c>
      <c r="F381" s="5" t="n"/>
    </row>
    <row r="382">
      <c r="A382" s="10">
        <f>IF($E382="","",INDEX('Input Transaksi'!$A:$A,$E382))</f>
        <v/>
      </c>
      <c r="B382" s="5">
        <f>IF($E382="","",INDEX('Input Transaksi'!$D:$D,$E382))</f>
        <v/>
      </c>
      <c r="C382">
        <f>IF($E382="","",INDEX('Input Transaksi'!$E:$E,$E382))</f>
        <v/>
      </c>
      <c r="D382" s="5">
        <f>IF($E382="","",INDEX('Input Transaksi'!$F:$F,$E382))</f>
        <v/>
      </c>
      <c r="E382">
        <f>IFERROR(AGGREGATE(15,6,ROW('Input Transaksi'!$B$5:$B$5000)/('Input Transaksi'!$B$5:$B$5000="LONDRI DEWE"),ROWS($E$5:E382)),"")</f>
        <v/>
      </c>
      <c r="F382" s="5" t="n"/>
    </row>
    <row r="383">
      <c r="A383" s="10">
        <f>IF($E383="","",INDEX('Input Transaksi'!$A:$A,$E383))</f>
        <v/>
      </c>
      <c r="B383" s="5">
        <f>IF($E383="","",INDEX('Input Transaksi'!$D:$D,$E383))</f>
        <v/>
      </c>
      <c r="C383">
        <f>IF($E383="","",INDEX('Input Transaksi'!$E:$E,$E383))</f>
        <v/>
      </c>
      <c r="D383" s="5">
        <f>IF($E383="","",INDEX('Input Transaksi'!$F:$F,$E383))</f>
        <v/>
      </c>
      <c r="E383">
        <f>IFERROR(AGGREGATE(15,6,ROW('Input Transaksi'!$B$5:$B$5000)/('Input Transaksi'!$B$5:$B$5000="LONDRI DEWE"),ROWS($E$5:E383)),"")</f>
        <v/>
      </c>
      <c r="F383" s="5" t="n"/>
    </row>
    <row r="384">
      <c r="A384" s="10">
        <f>IF($E384="","",INDEX('Input Transaksi'!$A:$A,$E384))</f>
        <v/>
      </c>
      <c r="B384" s="5">
        <f>IF($E384="","",INDEX('Input Transaksi'!$D:$D,$E384))</f>
        <v/>
      </c>
      <c r="C384">
        <f>IF($E384="","",INDEX('Input Transaksi'!$E:$E,$E384))</f>
        <v/>
      </c>
      <c r="D384" s="5">
        <f>IF($E384="","",INDEX('Input Transaksi'!$F:$F,$E384))</f>
        <v/>
      </c>
      <c r="E384">
        <f>IFERROR(AGGREGATE(15,6,ROW('Input Transaksi'!$B$5:$B$5000)/('Input Transaksi'!$B$5:$B$5000="LONDRI DEWE"),ROWS($E$5:E384)),"")</f>
        <v/>
      </c>
      <c r="F384" s="5" t="n"/>
    </row>
    <row r="385">
      <c r="A385" s="10">
        <f>IF($E385="","",INDEX('Input Transaksi'!$A:$A,$E385))</f>
        <v/>
      </c>
      <c r="B385" s="5">
        <f>IF($E385="","",INDEX('Input Transaksi'!$D:$D,$E385))</f>
        <v/>
      </c>
      <c r="C385">
        <f>IF($E385="","",INDEX('Input Transaksi'!$E:$E,$E385))</f>
        <v/>
      </c>
      <c r="D385" s="5">
        <f>IF($E385="","",INDEX('Input Transaksi'!$F:$F,$E385))</f>
        <v/>
      </c>
      <c r="E385">
        <f>IFERROR(AGGREGATE(15,6,ROW('Input Transaksi'!$B$5:$B$5000)/('Input Transaksi'!$B$5:$B$5000="LONDRI DEWE"),ROWS($E$5:E385)),"")</f>
        <v/>
      </c>
      <c r="F385" s="5" t="n"/>
    </row>
    <row r="386">
      <c r="A386" s="10">
        <f>IF($E386="","",INDEX('Input Transaksi'!$A:$A,$E386))</f>
        <v/>
      </c>
      <c r="B386" s="5">
        <f>IF($E386="","",INDEX('Input Transaksi'!$D:$D,$E386))</f>
        <v/>
      </c>
      <c r="C386">
        <f>IF($E386="","",INDEX('Input Transaksi'!$E:$E,$E386))</f>
        <v/>
      </c>
      <c r="D386" s="5">
        <f>IF($E386="","",INDEX('Input Transaksi'!$F:$F,$E386))</f>
        <v/>
      </c>
      <c r="E386">
        <f>IFERROR(AGGREGATE(15,6,ROW('Input Transaksi'!$B$5:$B$5000)/('Input Transaksi'!$B$5:$B$5000="LONDRI DEWE"),ROWS($E$5:E386)),"")</f>
        <v/>
      </c>
      <c r="F386" s="5" t="n"/>
    </row>
    <row r="387">
      <c r="A387" s="10">
        <f>IF($E387="","",INDEX('Input Transaksi'!$A:$A,$E387))</f>
        <v/>
      </c>
      <c r="B387" s="5">
        <f>IF($E387="","",INDEX('Input Transaksi'!$D:$D,$E387))</f>
        <v/>
      </c>
      <c r="C387">
        <f>IF($E387="","",INDEX('Input Transaksi'!$E:$E,$E387))</f>
        <v/>
      </c>
      <c r="D387" s="5">
        <f>IF($E387="","",INDEX('Input Transaksi'!$F:$F,$E387))</f>
        <v/>
      </c>
      <c r="E387">
        <f>IFERROR(AGGREGATE(15,6,ROW('Input Transaksi'!$B$5:$B$5000)/('Input Transaksi'!$B$5:$B$5000="LONDRI DEWE"),ROWS($E$5:E387)),"")</f>
        <v/>
      </c>
      <c r="F387" s="5" t="n"/>
    </row>
    <row r="388">
      <c r="A388" s="10">
        <f>IF($E388="","",INDEX('Input Transaksi'!$A:$A,$E388))</f>
        <v/>
      </c>
      <c r="B388" s="5">
        <f>IF($E388="","",INDEX('Input Transaksi'!$D:$D,$E388))</f>
        <v/>
      </c>
      <c r="C388">
        <f>IF($E388="","",INDEX('Input Transaksi'!$E:$E,$E388))</f>
        <v/>
      </c>
      <c r="D388" s="5">
        <f>IF($E388="","",INDEX('Input Transaksi'!$F:$F,$E388))</f>
        <v/>
      </c>
      <c r="E388">
        <f>IFERROR(AGGREGATE(15,6,ROW('Input Transaksi'!$B$5:$B$5000)/('Input Transaksi'!$B$5:$B$5000="LONDRI DEWE"),ROWS($E$5:E388)),"")</f>
        <v/>
      </c>
      <c r="F388" s="5" t="n"/>
    </row>
    <row r="389">
      <c r="A389" s="10">
        <f>IF($E389="","",INDEX('Input Transaksi'!$A:$A,$E389))</f>
        <v/>
      </c>
      <c r="B389" s="5">
        <f>IF($E389="","",INDEX('Input Transaksi'!$D:$D,$E389))</f>
        <v/>
      </c>
      <c r="C389">
        <f>IF($E389="","",INDEX('Input Transaksi'!$E:$E,$E389))</f>
        <v/>
      </c>
      <c r="D389" s="5">
        <f>IF($E389="","",INDEX('Input Transaksi'!$F:$F,$E389))</f>
        <v/>
      </c>
      <c r="E389">
        <f>IFERROR(AGGREGATE(15,6,ROW('Input Transaksi'!$B$5:$B$5000)/('Input Transaksi'!$B$5:$B$5000="LONDRI DEWE"),ROWS($E$5:E389)),"")</f>
        <v/>
      </c>
      <c r="F389" s="5" t="n"/>
    </row>
    <row r="390">
      <c r="A390" s="10">
        <f>IF($E390="","",INDEX('Input Transaksi'!$A:$A,$E390))</f>
        <v/>
      </c>
      <c r="B390" s="5">
        <f>IF($E390="","",INDEX('Input Transaksi'!$D:$D,$E390))</f>
        <v/>
      </c>
      <c r="C390">
        <f>IF($E390="","",INDEX('Input Transaksi'!$E:$E,$E390))</f>
        <v/>
      </c>
      <c r="D390" s="5">
        <f>IF($E390="","",INDEX('Input Transaksi'!$F:$F,$E390))</f>
        <v/>
      </c>
      <c r="E390">
        <f>IFERROR(AGGREGATE(15,6,ROW('Input Transaksi'!$B$5:$B$5000)/('Input Transaksi'!$B$5:$B$5000="LONDRI DEWE"),ROWS($E$5:E390)),"")</f>
        <v/>
      </c>
      <c r="F390" s="5" t="n"/>
    </row>
    <row r="391">
      <c r="A391" s="10">
        <f>IF($E391="","",INDEX('Input Transaksi'!$A:$A,$E391))</f>
        <v/>
      </c>
      <c r="B391" s="5">
        <f>IF($E391="","",INDEX('Input Transaksi'!$D:$D,$E391))</f>
        <v/>
      </c>
      <c r="C391">
        <f>IF($E391="","",INDEX('Input Transaksi'!$E:$E,$E391))</f>
        <v/>
      </c>
      <c r="D391" s="5">
        <f>IF($E391="","",INDEX('Input Transaksi'!$F:$F,$E391))</f>
        <v/>
      </c>
      <c r="E391">
        <f>IFERROR(AGGREGATE(15,6,ROW('Input Transaksi'!$B$5:$B$5000)/('Input Transaksi'!$B$5:$B$5000="LONDRI DEWE"),ROWS($E$5:E391)),"")</f>
        <v/>
      </c>
      <c r="F391" s="5" t="n"/>
    </row>
    <row r="392">
      <c r="A392" s="10">
        <f>IF($E392="","",INDEX('Input Transaksi'!$A:$A,$E392))</f>
        <v/>
      </c>
      <c r="B392" s="5">
        <f>IF($E392="","",INDEX('Input Transaksi'!$D:$D,$E392))</f>
        <v/>
      </c>
      <c r="C392">
        <f>IF($E392="","",INDEX('Input Transaksi'!$E:$E,$E392))</f>
        <v/>
      </c>
      <c r="D392" s="5">
        <f>IF($E392="","",INDEX('Input Transaksi'!$F:$F,$E392))</f>
        <v/>
      </c>
      <c r="E392">
        <f>IFERROR(AGGREGATE(15,6,ROW('Input Transaksi'!$B$5:$B$5000)/('Input Transaksi'!$B$5:$B$5000="LONDRI DEWE"),ROWS($E$5:E392)),"")</f>
        <v/>
      </c>
      <c r="F392" s="5" t="n"/>
    </row>
    <row r="393">
      <c r="A393" s="10">
        <f>IF($E393="","",INDEX('Input Transaksi'!$A:$A,$E393))</f>
        <v/>
      </c>
      <c r="B393" s="5">
        <f>IF($E393="","",INDEX('Input Transaksi'!$D:$D,$E393))</f>
        <v/>
      </c>
      <c r="C393">
        <f>IF($E393="","",INDEX('Input Transaksi'!$E:$E,$E393))</f>
        <v/>
      </c>
      <c r="D393" s="5">
        <f>IF($E393="","",INDEX('Input Transaksi'!$F:$F,$E393))</f>
        <v/>
      </c>
      <c r="E393">
        <f>IFERROR(AGGREGATE(15,6,ROW('Input Transaksi'!$B$5:$B$5000)/('Input Transaksi'!$B$5:$B$5000="LONDRI DEWE"),ROWS($E$5:E393)),"")</f>
        <v/>
      </c>
      <c r="F393" s="5" t="n"/>
    </row>
    <row r="394">
      <c r="A394" s="10">
        <f>IF($E394="","",INDEX('Input Transaksi'!$A:$A,$E394))</f>
        <v/>
      </c>
      <c r="B394" s="5">
        <f>IF($E394="","",INDEX('Input Transaksi'!$D:$D,$E394))</f>
        <v/>
      </c>
      <c r="C394">
        <f>IF($E394="","",INDEX('Input Transaksi'!$E:$E,$E394))</f>
        <v/>
      </c>
      <c r="D394" s="5">
        <f>IF($E394="","",INDEX('Input Transaksi'!$F:$F,$E394))</f>
        <v/>
      </c>
      <c r="E394">
        <f>IFERROR(AGGREGATE(15,6,ROW('Input Transaksi'!$B$5:$B$5000)/('Input Transaksi'!$B$5:$B$5000="LONDRI DEWE"),ROWS($E$5:E394)),"")</f>
        <v/>
      </c>
      <c r="F394" s="5" t="n"/>
    </row>
    <row r="395">
      <c r="A395" s="10">
        <f>IF($E395="","",INDEX('Input Transaksi'!$A:$A,$E395))</f>
        <v/>
      </c>
      <c r="B395" s="5">
        <f>IF($E395="","",INDEX('Input Transaksi'!$D:$D,$E395))</f>
        <v/>
      </c>
      <c r="C395">
        <f>IF($E395="","",INDEX('Input Transaksi'!$E:$E,$E395))</f>
        <v/>
      </c>
      <c r="D395" s="5">
        <f>IF($E395="","",INDEX('Input Transaksi'!$F:$F,$E395))</f>
        <v/>
      </c>
      <c r="E395">
        <f>IFERROR(AGGREGATE(15,6,ROW('Input Transaksi'!$B$5:$B$5000)/('Input Transaksi'!$B$5:$B$5000="LONDRI DEWE"),ROWS($E$5:E395)),"")</f>
        <v/>
      </c>
      <c r="F395" s="5" t="n"/>
    </row>
    <row r="396">
      <c r="A396" s="10">
        <f>IF($E396="","",INDEX('Input Transaksi'!$A:$A,$E396))</f>
        <v/>
      </c>
      <c r="B396" s="5">
        <f>IF($E396="","",INDEX('Input Transaksi'!$D:$D,$E396))</f>
        <v/>
      </c>
      <c r="C396">
        <f>IF($E396="","",INDEX('Input Transaksi'!$E:$E,$E396))</f>
        <v/>
      </c>
      <c r="D396" s="5">
        <f>IF($E396="","",INDEX('Input Transaksi'!$F:$F,$E396))</f>
        <v/>
      </c>
      <c r="E396">
        <f>IFERROR(AGGREGATE(15,6,ROW('Input Transaksi'!$B$5:$B$5000)/('Input Transaksi'!$B$5:$B$5000="LONDRI DEWE"),ROWS($E$5:E396)),"")</f>
        <v/>
      </c>
      <c r="F396" s="5" t="n"/>
    </row>
    <row r="397">
      <c r="A397" s="10">
        <f>IF($E397="","",INDEX('Input Transaksi'!$A:$A,$E397))</f>
        <v/>
      </c>
      <c r="B397" s="5">
        <f>IF($E397="","",INDEX('Input Transaksi'!$D:$D,$E397))</f>
        <v/>
      </c>
      <c r="C397">
        <f>IF($E397="","",INDEX('Input Transaksi'!$E:$E,$E397))</f>
        <v/>
      </c>
      <c r="D397" s="5">
        <f>IF($E397="","",INDEX('Input Transaksi'!$F:$F,$E397))</f>
        <v/>
      </c>
      <c r="E397">
        <f>IFERROR(AGGREGATE(15,6,ROW('Input Transaksi'!$B$5:$B$5000)/('Input Transaksi'!$B$5:$B$5000="LONDRI DEWE"),ROWS($E$5:E397)),"")</f>
        <v/>
      </c>
      <c r="F397" s="5" t="n"/>
    </row>
    <row r="398">
      <c r="A398" s="10">
        <f>IF($E398="","",INDEX('Input Transaksi'!$A:$A,$E398))</f>
        <v/>
      </c>
      <c r="B398" s="5">
        <f>IF($E398="","",INDEX('Input Transaksi'!$D:$D,$E398))</f>
        <v/>
      </c>
      <c r="C398">
        <f>IF($E398="","",INDEX('Input Transaksi'!$E:$E,$E398))</f>
        <v/>
      </c>
      <c r="D398" s="5">
        <f>IF($E398="","",INDEX('Input Transaksi'!$F:$F,$E398))</f>
        <v/>
      </c>
      <c r="E398">
        <f>IFERROR(AGGREGATE(15,6,ROW('Input Transaksi'!$B$5:$B$5000)/('Input Transaksi'!$B$5:$B$5000="LONDRI DEWE"),ROWS($E$5:E398)),"")</f>
        <v/>
      </c>
      <c r="F398" s="5" t="n"/>
    </row>
    <row r="399">
      <c r="A399" s="10">
        <f>IF($E399="","",INDEX('Input Transaksi'!$A:$A,$E399))</f>
        <v/>
      </c>
      <c r="B399" s="5">
        <f>IF($E399="","",INDEX('Input Transaksi'!$D:$D,$E399))</f>
        <v/>
      </c>
      <c r="C399">
        <f>IF($E399="","",INDEX('Input Transaksi'!$E:$E,$E399))</f>
        <v/>
      </c>
      <c r="D399" s="5">
        <f>IF($E399="","",INDEX('Input Transaksi'!$F:$F,$E399))</f>
        <v/>
      </c>
      <c r="E399">
        <f>IFERROR(AGGREGATE(15,6,ROW('Input Transaksi'!$B$5:$B$5000)/('Input Transaksi'!$B$5:$B$5000="LONDRI DEWE"),ROWS($E$5:E399)),"")</f>
        <v/>
      </c>
      <c r="F399" s="5" t="n"/>
    </row>
    <row r="400">
      <c r="A400" s="10">
        <f>IF($E400="","",INDEX('Input Transaksi'!$A:$A,$E400))</f>
        <v/>
      </c>
      <c r="B400" s="5">
        <f>IF($E400="","",INDEX('Input Transaksi'!$D:$D,$E400))</f>
        <v/>
      </c>
      <c r="C400">
        <f>IF($E400="","",INDEX('Input Transaksi'!$E:$E,$E400))</f>
        <v/>
      </c>
      <c r="D400" s="5">
        <f>IF($E400="","",INDEX('Input Transaksi'!$F:$F,$E400))</f>
        <v/>
      </c>
      <c r="E400">
        <f>IFERROR(AGGREGATE(15,6,ROW('Input Transaksi'!$B$5:$B$5000)/('Input Transaksi'!$B$5:$B$5000="LONDRI DEWE"),ROWS($E$5:E400)),"")</f>
        <v/>
      </c>
      <c r="F400" s="5" t="n"/>
    </row>
    <row r="401">
      <c r="A401" s="10">
        <f>IF($E401="","",INDEX('Input Transaksi'!$A:$A,$E401))</f>
        <v/>
      </c>
      <c r="B401" s="5">
        <f>IF($E401="","",INDEX('Input Transaksi'!$D:$D,$E401))</f>
        <v/>
      </c>
      <c r="C401">
        <f>IF($E401="","",INDEX('Input Transaksi'!$E:$E,$E401))</f>
        <v/>
      </c>
      <c r="D401" s="5">
        <f>IF($E401="","",INDEX('Input Transaksi'!$F:$F,$E401))</f>
        <v/>
      </c>
      <c r="E401">
        <f>IFERROR(AGGREGATE(15,6,ROW('Input Transaksi'!$B$5:$B$5000)/('Input Transaksi'!$B$5:$B$5000="LONDRI DEWE"),ROWS($E$5:E401)),"")</f>
        <v/>
      </c>
      <c r="F401" s="5" t="n"/>
    </row>
    <row r="402">
      <c r="A402" s="10">
        <f>IF($E402="","",INDEX('Input Transaksi'!$A:$A,$E402))</f>
        <v/>
      </c>
      <c r="B402" s="5">
        <f>IF($E402="","",INDEX('Input Transaksi'!$D:$D,$E402))</f>
        <v/>
      </c>
      <c r="C402">
        <f>IF($E402="","",INDEX('Input Transaksi'!$E:$E,$E402))</f>
        <v/>
      </c>
      <c r="D402" s="5">
        <f>IF($E402="","",INDEX('Input Transaksi'!$F:$F,$E402))</f>
        <v/>
      </c>
      <c r="E402">
        <f>IFERROR(AGGREGATE(15,6,ROW('Input Transaksi'!$B$5:$B$5000)/('Input Transaksi'!$B$5:$B$5000="LONDRI DEWE"),ROWS($E$5:E402)),"")</f>
        <v/>
      </c>
      <c r="F402" s="5" t="n"/>
    </row>
    <row r="403">
      <c r="A403" s="10">
        <f>IF($E403="","",INDEX('Input Transaksi'!$A:$A,$E403))</f>
        <v/>
      </c>
      <c r="B403" s="5">
        <f>IF($E403="","",INDEX('Input Transaksi'!$D:$D,$E403))</f>
        <v/>
      </c>
      <c r="C403">
        <f>IF($E403="","",INDEX('Input Transaksi'!$E:$E,$E403))</f>
        <v/>
      </c>
      <c r="D403" s="5">
        <f>IF($E403="","",INDEX('Input Transaksi'!$F:$F,$E403))</f>
        <v/>
      </c>
      <c r="E403">
        <f>IFERROR(AGGREGATE(15,6,ROW('Input Transaksi'!$B$5:$B$5000)/('Input Transaksi'!$B$5:$B$5000="LONDRI DEWE"),ROWS($E$5:E403)),"")</f>
        <v/>
      </c>
      <c r="F403" s="5" t="n"/>
    </row>
    <row r="404">
      <c r="A404" s="10">
        <f>IF($E404="","",INDEX('Input Transaksi'!$A:$A,$E404))</f>
        <v/>
      </c>
      <c r="B404" s="5">
        <f>IF($E404="","",INDEX('Input Transaksi'!$D:$D,$E404))</f>
        <v/>
      </c>
      <c r="C404">
        <f>IF($E404="","",INDEX('Input Transaksi'!$E:$E,$E404))</f>
        <v/>
      </c>
      <c r="D404" s="5">
        <f>IF($E404="","",INDEX('Input Transaksi'!$F:$F,$E404))</f>
        <v/>
      </c>
      <c r="E404">
        <f>IFERROR(AGGREGATE(15,6,ROW('Input Transaksi'!$B$5:$B$5000)/('Input Transaksi'!$B$5:$B$5000="LONDRI DEWE"),ROWS($E$5:E404)),"")</f>
        <v/>
      </c>
      <c r="F404" s="5" t="n"/>
    </row>
    <row r="405">
      <c r="A405" s="10">
        <f>IF($E405="","",INDEX('Input Transaksi'!$A:$A,$E405))</f>
        <v/>
      </c>
      <c r="B405" s="5">
        <f>IF($E405="","",INDEX('Input Transaksi'!$D:$D,$E405))</f>
        <v/>
      </c>
      <c r="C405">
        <f>IF($E405="","",INDEX('Input Transaksi'!$E:$E,$E405))</f>
        <v/>
      </c>
      <c r="D405" s="5">
        <f>IF($E405="","",INDEX('Input Transaksi'!$F:$F,$E405))</f>
        <v/>
      </c>
      <c r="E405">
        <f>IFERROR(AGGREGATE(15,6,ROW('Input Transaksi'!$B$5:$B$5000)/('Input Transaksi'!$B$5:$B$5000="LONDRI DEWE"),ROWS($E$5:E405)),"")</f>
        <v/>
      </c>
      <c r="F405" s="5" t="n"/>
    </row>
    <row r="406">
      <c r="A406" s="10">
        <f>IF($E406="","",INDEX('Input Transaksi'!$A:$A,$E406))</f>
        <v/>
      </c>
      <c r="B406" s="5">
        <f>IF($E406="","",INDEX('Input Transaksi'!$D:$D,$E406))</f>
        <v/>
      </c>
      <c r="C406">
        <f>IF($E406="","",INDEX('Input Transaksi'!$E:$E,$E406))</f>
        <v/>
      </c>
      <c r="D406" s="5">
        <f>IF($E406="","",INDEX('Input Transaksi'!$F:$F,$E406))</f>
        <v/>
      </c>
      <c r="E406">
        <f>IFERROR(AGGREGATE(15,6,ROW('Input Transaksi'!$B$5:$B$5000)/('Input Transaksi'!$B$5:$B$5000="LONDRI DEWE"),ROWS($E$5:E406)),"")</f>
        <v/>
      </c>
      <c r="F406" s="5" t="n"/>
    </row>
    <row r="407">
      <c r="A407" s="10">
        <f>IF($E407="","",INDEX('Input Transaksi'!$A:$A,$E407))</f>
        <v/>
      </c>
      <c r="B407" s="5">
        <f>IF($E407="","",INDEX('Input Transaksi'!$D:$D,$E407))</f>
        <v/>
      </c>
      <c r="C407">
        <f>IF($E407="","",INDEX('Input Transaksi'!$E:$E,$E407))</f>
        <v/>
      </c>
      <c r="D407" s="5">
        <f>IF($E407="","",INDEX('Input Transaksi'!$F:$F,$E407))</f>
        <v/>
      </c>
      <c r="E407">
        <f>IFERROR(AGGREGATE(15,6,ROW('Input Transaksi'!$B$5:$B$5000)/('Input Transaksi'!$B$5:$B$5000="LONDRI DEWE"),ROWS($E$5:E407)),"")</f>
        <v/>
      </c>
      <c r="F407" s="5" t="n"/>
    </row>
    <row r="408">
      <c r="A408" s="10">
        <f>IF($E408="","",INDEX('Input Transaksi'!$A:$A,$E408))</f>
        <v/>
      </c>
      <c r="B408" s="5">
        <f>IF($E408="","",INDEX('Input Transaksi'!$D:$D,$E408))</f>
        <v/>
      </c>
      <c r="C408">
        <f>IF($E408="","",INDEX('Input Transaksi'!$E:$E,$E408))</f>
        <v/>
      </c>
      <c r="D408" s="5">
        <f>IF($E408="","",INDEX('Input Transaksi'!$F:$F,$E408))</f>
        <v/>
      </c>
      <c r="E408">
        <f>IFERROR(AGGREGATE(15,6,ROW('Input Transaksi'!$B$5:$B$5000)/('Input Transaksi'!$B$5:$B$5000="LONDRI DEWE"),ROWS($E$5:E408)),"")</f>
        <v/>
      </c>
      <c r="F408" s="5" t="n"/>
    </row>
    <row r="409">
      <c r="A409" s="10">
        <f>IF($E409="","",INDEX('Input Transaksi'!$A:$A,$E409))</f>
        <v/>
      </c>
      <c r="B409" s="5">
        <f>IF($E409="","",INDEX('Input Transaksi'!$D:$D,$E409))</f>
        <v/>
      </c>
      <c r="C409">
        <f>IF($E409="","",INDEX('Input Transaksi'!$E:$E,$E409))</f>
        <v/>
      </c>
      <c r="D409" s="5">
        <f>IF($E409="","",INDEX('Input Transaksi'!$F:$F,$E409))</f>
        <v/>
      </c>
      <c r="E409">
        <f>IFERROR(AGGREGATE(15,6,ROW('Input Transaksi'!$B$5:$B$5000)/('Input Transaksi'!$B$5:$B$5000="LONDRI DEWE"),ROWS($E$5:E409)),"")</f>
        <v/>
      </c>
      <c r="F409" s="5" t="n"/>
    </row>
    <row r="410">
      <c r="A410" s="10">
        <f>IF($E410="","",INDEX('Input Transaksi'!$A:$A,$E410))</f>
        <v/>
      </c>
      <c r="B410" s="5">
        <f>IF($E410="","",INDEX('Input Transaksi'!$D:$D,$E410))</f>
        <v/>
      </c>
      <c r="C410">
        <f>IF($E410="","",INDEX('Input Transaksi'!$E:$E,$E410))</f>
        <v/>
      </c>
      <c r="D410" s="5">
        <f>IF($E410="","",INDEX('Input Transaksi'!$F:$F,$E410))</f>
        <v/>
      </c>
      <c r="E410">
        <f>IFERROR(AGGREGATE(15,6,ROW('Input Transaksi'!$B$5:$B$5000)/('Input Transaksi'!$B$5:$B$5000="LONDRI DEWE"),ROWS($E$5:E410)),"")</f>
        <v/>
      </c>
      <c r="F410" s="5" t="n"/>
    </row>
    <row r="411">
      <c r="A411" s="10">
        <f>IF($E411="","",INDEX('Input Transaksi'!$A:$A,$E411))</f>
        <v/>
      </c>
      <c r="B411" s="5">
        <f>IF($E411="","",INDEX('Input Transaksi'!$D:$D,$E411))</f>
        <v/>
      </c>
      <c r="C411">
        <f>IF($E411="","",INDEX('Input Transaksi'!$E:$E,$E411))</f>
        <v/>
      </c>
      <c r="D411" s="5">
        <f>IF($E411="","",INDEX('Input Transaksi'!$F:$F,$E411))</f>
        <v/>
      </c>
      <c r="E411">
        <f>IFERROR(AGGREGATE(15,6,ROW('Input Transaksi'!$B$5:$B$5000)/('Input Transaksi'!$B$5:$B$5000="LONDRI DEWE"),ROWS($E$5:E411)),"")</f>
        <v/>
      </c>
      <c r="F411" s="5" t="n"/>
    </row>
    <row r="412">
      <c r="A412" s="10">
        <f>IF($E412="","",INDEX('Input Transaksi'!$A:$A,$E412))</f>
        <v/>
      </c>
      <c r="B412" s="5">
        <f>IF($E412="","",INDEX('Input Transaksi'!$D:$D,$E412))</f>
        <v/>
      </c>
      <c r="C412">
        <f>IF($E412="","",INDEX('Input Transaksi'!$E:$E,$E412))</f>
        <v/>
      </c>
      <c r="D412" s="5">
        <f>IF($E412="","",INDEX('Input Transaksi'!$F:$F,$E412))</f>
        <v/>
      </c>
      <c r="E412">
        <f>IFERROR(AGGREGATE(15,6,ROW('Input Transaksi'!$B$5:$B$5000)/('Input Transaksi'!$B$5:$B$5000="LONDRI DEWE"),ROWS($E$5:E412)),"")</f>
        <v/>
      </c>
      <c r="F412" s="5" t="n"/>
    </row>
    <row r="413">
      <c r="A413" s="10">
        <f>IF($E413="","",INDEX('Input Transaksi'!$A:$A,$E413))</f>
        <v/>
      </c>
      <c r="B413" s="5">
        <f>IF($E413="","",INDEX('Input Transaksi'!$D:$D,$E413))</f>
        <v/>
      </c>
      <c r="C413">
        <f>IF($E413="","",INDEX('Input Transaksi'!$E:$E,$E413))</f>
        <v/>
      </c>
      <c r="D413" s="5">
        <f>IF($E413="","",INDEX('Input Transaksi'!$F:$F,$E413))</f>
        <v/>
      </c>
      <c r="E413">
        <f>IFERROR(AGGREGATE(15,6,ROW('Input Transaksi'!$B$5:$B$5000)/('Input Transaksi'!$B$5:$B$5000="LONDRI DEWE"),ROWS($E$5:E413)),"")</f>
        <v/>
      </c>
      <c r="F413" s="5" t="n"/>
    </row>
    <row r="414">
      <c r="A414" s="10">
        <f>IF($E414="","",INDEX('Input Transaksi'!$A:$A,$E414))</f>
        <v/>
      </c>
      <c r="B414" s="5">
        <f>IF($E414="","",INDEX('Input Transaksi'!$D:$D,$E414))</f>
        <v/>
      </c>
      <c r="C414">
        <f>IF($E414="","",INDEX('Input Transaksi'!$E:$E,$E414))</f>
        <v/>
      </c>
      <c r="D414" s="5">
        <f>IF($E414="","",INDEX('Input Transaksi'!$F:$F,$E414))</f>
        <v/>
      </c>
      <c r="E414">
        <f>IFERROR(AGGREGATE(15,6,ROW('Input Transaksi'!$B$5:$B$5000)/('Input Transaksi'!$B$5:$B$5000="LONDRI DEWE"),ROWS($E$5:E414)),"")</f>
        <v/>
      </c>
      <c r="F414" s="5" t="n"/>
    </row>
    <row r="415">
      <c r="A415" s="10">
        <f>IF($E415="","",INDEX('Input Transaksi'!$A:$A,$E415))</f>
        <v/>
      </c>
      <c r="B415" s="5">
        <f>IF($E415="","",INDEX('Input Transaksi'!$D:$D,$E415))</f>
        <v/>
      </c>
      <c r="C415">
        <f>IF($E415="","",INDEX('Input Transaksi'!$E:$E,$E415))</f>
        <v/>
      </c>
      <c r="D415" s="5">
        <f>IF($E415="","",INDEX('Input Transaksi'!$F:$F,$E415))</f>
        <v/>
      </c>
      <c r="E415">
        <f>IFERROR(AGGREGATE(15,6,ROW('Input Transaksi'!$B$5:$B$5000)/('Input Transaksi'!$B$5:$B$5000="LONDRI DEWE"),ROWS($E$5:E415)),"")</f>
        <v/>
      </c>
      <c r="F415" s="5" t="n"/>
    </row>
    <row r="416">
      <c r="A416" s="10">
        <f>IF($E416="","",INDEX('Input Transaksi'!$A:$A,$E416))</f>
        <v/>
      </c>
      <c r="B416" s="5">
        <f>IF($E416="","",INDEX('Input Transaksi'!$D:$D,$E416))</f>
        <v/>
      </c>
      <c r="C416">
        <f>IF($E416="","",INDEX('Input Transaksi'!$E:$E,$E416))</f>
        <v/>
      </c>
      <c r="D416" s="5">
        <f>IF($E416="","",INDEX('Input Transaksi'!$F:$F,$E416))</f>
        <v/>
      </c>
      <c r="E416">
        <f>IFERROR(AGGREGATE(15,6,ROW('Input Transaksi'!$B$5:$B$5000)/('Input Transaksi'!$B$5:$B$5000="LONDRI DEWE"),ROWS($E$5:E416)),"")</f>
        <v/>
      </c>
      <c r="F416" s="5" t="n"/>
    </row>
    <row r="417">
      <c r="A417" s="10">
        <f>IF($E417="","",INDEX('Input Transaksi'!$A:$A,$E417))</f>
        <v/>
      </c>
      <c r="B417" s="5">
        <f>IF($E417="","",INDEX('Input Transaksi'!$D:$D,$E417))</f>
        <v/>
      </c>
      <c r="C417">
        <f>IF($E417="","",INDEX('Input Transaksi'!$E:$E,$E417))</f>
        <v/>
      </c>
      <c r="D417" s="5">
        <f>IF($E417="","",INDEX('Input Transaksi'!$F:$F,$E417))</f>
        <v/>
      </c>
      <c r="E417">
        <f>IFERROR(AGGREGATE(15,6,ROW('Input Transaksi'!$B$5:$B$5000)/('Input Transaksi'!$B$5:$B$5000="LONDRI DEWE"),ROWS($E$5:E417)),"")</f>
        <v/>
      </c>
      <c r="F417" s="5" t="n"/>
    </row>
    <row r="418">
      <c r="A418" s="10">
        <f>IF($E418="","",INDEX('Input Transaksi'!$A:$A,$E418))</f>
        <v/>
      </c>
      <c r="B418" s="5">
        <f>IF($E418="","",INDEX('Input Transaksi'!$D:$D,$E418))</f>
        <v/>
      </c>
      <c r="C418">
        <f>IF($E418="","",INDEX('Input Transaksi'!$E:$E,$E418))</f>
        <v/>
      </c>
      <c r="D418" s="5">
        <f>IF($E418="","",INDEX('Input Transaksi'!$F:$F,$E418))</f>
        <v/>
      </c>
      <c r="E418">
        <f>IFERROR(AGGREGATE(15,6,ROW('Input Transaksi'!$B$5:$B$5000)/('Input Transaksi'!$B$5:$B$5000="LONDRI DEWE"),ROWS($E$5:E418)),"")</f>
        <v/>
      </c>
      <c r="F418" s="5" t="n"/>
    </row>
    <row r="419">
      <c r="A419" s="10">
        <f>IF($E419="","",INDEX('Input Transaksi'!$A:$A,$E419))</f>
        <v/>
      </c>
      <c r="B419" s="5">
        <f>IF($E419="","",INDEX('Input Transaksi'!$D:$D,$E419))</f>
        <v/>
      </c>
      <c r="C419">
        <f>IF($E419="","",INDEX('Input Transaksi'!$E:$E,$E419))</f>
        <v/>
      </c>
      <c r="D419" s="5">
        <f>IF($E419="","",INDEX('Input Transaksi'!$F:$F,$E419))</f>
        <v/>
      </c>
      <c r="E419">
        <f>IFERROR(AGGREGATE(15,6,ROW('Input Transaksi'!$B$5:$B$5000)/('Input Transaksi'!$B$5:$B$5000="LONDRI DEWE"),ROWS($E$5:E419)),"")</f>
        <v/>
      </c>
      <c r="F419" s="5" t="n"/>
    </row>
    <row r="420">
      <c r="A420" s="10">
        <f>IF($E420="","",INDEX('Input Transaksi'!$A:$A,$E420))</f>
        <v/>
      </c>
      <c r="B420" s="5">
        <f>IF($E420="","",INDEX('Input Transaksi'!$D:$D,$E420))</f>
        <v/>
      </c>
      <c r="C420">
        <f>IF($E420="","",INDEX('Input Transaksi'!$E:$E,$E420))</f>
        <v/>
      </c>
      <c r="D420" s="5">
        <f>IF($E420="","",INDEX('Input Transaksi'!$F:$F,$E420))</f>
        <v/>
      </c>
      <c r="E420">
        <f>IFERROR(AGGREGATE(15,6,ROW('Input Transaksi'!$B$5:$B$5000)/('Input Transaksi'!$B$5:$B$5000="LONDRI DEWE"),ROWS($E$5:E420)),"")</f>
        <v/>
      </c>
      <c r="F420" s="5" t="n"/>
    </row>
    <row r="421">
      <c r="A421" s="10">
        <f>IF($E421="","",INDEX('Input Transaksi'!$A:$A,$E421))</f>
        <v/>
      </c>
      <c r="B421" s="5">
        <f>IF($E421="","",INDEX('Input Transaksi'!$D:$D,$E421))</f>
        <v/>
      </c>
      <c r="C421">
        <f>IF($E421="","",INDEX('Input Transaksi'!$E:$E,$E421))</f>
        <v/>
      </c>
      <c r="D421" s="5">
        <f>IF($E421="","",INDEX('Input Transaksi'!$F:$F,$E421))</f>
        <v/>
      </c>
      <c r="E421">
        <f>IFERROR(AGGREGATE(15,6,ROW('Input Transaksi'!$B$5:$B$5000)/('Input Transaksi'!$B$5:$B$5000="LONDRI DEWE"),ROWS($E$5:E421)),"")</f>
        <v/>
      </c>
      <c r="F421" s="5" t="n"/>
    </row>
    <row r="422">
      <c r="A422" s="10">
        <f>IF($E422="","",INDEX('Input Transaksi'!$A:$A,$E422))</f>
        <v/>
      </c>
      <c r="B422" s="5">
        <f>IF($E422="","",INDEX('Input Transaksi'!$D:$D,$E422))</f>
        <v/>
      </c>
      <c r="C422">
        <f>IF($E422="","",INDEX('Input Transaksi'!$E:$E,$E422))</f>
        <v/>
      </c>
      <c r="D422" s="5">
        <f>IF($E422="","",INDEX('Input Transaksi'!$F:$F,$E422))</f>
        <v/>
      </c>
      <c r="E422">
        <f>IFERROR(AGGREGATE(15,6,ROW('Input Transaksi'!$B$5:$B$5000)/('Input Transaksi'!$B$5:$B$5000="LONDRI DEWE"),ROWS($E$5:E422)),"")</f>
        <v/>
      </c>
      <c r="F422" s="5" t="n"/>
    </row>
    <row r="423">
      <c r="A423" s="10">
        <f>IF($E423="","",INDEX('Input Transaksi'!$A:$A,$E423))</f>
        <v/>
      </c>
      <c r="B423" s="5">
        <f>IF($E423="","",INDEX('Input Transaksi'!$D:$D,$E423))</f>
        <v/>
      </c>
      <c r="C423">
        <f>IF($E423="","",INDEX('Input Transaksi'!$E:$E,$E423))</f>
        <v/>
      </c>
      <c r="D423" s="5">
        <f>IF($E423="","",INDEX('Input Transaksi'!$F:$F,$E423))</f>
        <v/>
      </c>
      <c r="E423">
        <f>IFERROR(AGGREGATE(15,6,ROW('Input Transaksi'!$B$5:$B$5000)/('Input Transaksi'!$B$5:$B$5000="LONDRI DEWE"),ROWS($E$5:E423)),"")</f>
        <v/>
      </c>
      <c r="F423" s="5" t="n"/>
    </row>
    <row r="424">
      <c r="A424" s="10">
        <f>IF($E424="","",INDEX('Input Transaksi'!$A:$A,$E424))</f>
        <v/>
      </c>
      <c r="B424" s="5">
        <f>IF($E424="","",INDEX('Input Transaksi'!$D:$D,$E424))</f>
        <v/>
      </c>
      <c r="C424">
        <f>IF($E424="","",INDEX('Input Transaksi'!$E:$E,$E424))</f>
        <v/>
      </c>
      <c r="D424" s="5">
        <f>IF($E424="","",INDEX('Input Transaksi'!$F:$F,$E424))</f>
        <v/>
      </c>
      <c r="E424">
        <f>IFERROR(AGGREGATE(15,6,ROW('Input Transaksi'!$B$5:$B$5000)/('Input Transaksi'!$B$5:$B$5000="LONDRI DEWE"),ROWS($E$5:E424)),"")</f>
        <v/>
      </c>
      <c r="F424" s="5" t="n"/>
    </row>
    <row r="425">
      <c r="A425" s="10">
        <f>IF($E425="","",INDEX('Input Transaksi'!$A:$A,$E425))</f>
        <v/>
      </c>
      <c r="B425" s="5">
        <f>IF($E425="","",INDEX('Input Transaksi'!$D:$D,$E425))</f>
        <v/>
      </c>
      <c r="C425">
        <f>IF($E425="","",INDEX('Input Transaksi'!$E:$E,$E425))</f>
        <v/>
      </c>
      <c r="D425" s="5">
        <f>IF($E425="","",INDEX('Input Transaksi'!$F:$F,$E425))</f>
        <v/>
      </c>
      <c r="E425">
        <f>IFERROR(AGGREGATE(15,6,ROW('Input Transaksi'!$B$5:$B$5000)/('Input Transaksi'!$B$5:$B$5000="LONDRI DEWE"),ROWS($E$5:E425)),"")</f>
        <v/>
      </c>
      <c r="F425" s="5" t="n"/>
    </row>
    <row r="426">
      <c r="A426" s="10">
        <f>IF($E426="","",INDEX('Input Transaksi'!$A:$A,$E426))</f>
        <v/>
      </c>
      <c r="B426" s="5">
        <f>IF($E426="","",INDEX('Input Transaksi'!$D:$D,$E426))</f>
        <v/>
      </c>
      <c r="C426">
        <f>IF($E426="","",INDEX('Input Transaksi'!$E:$E,$E426))</f>
        <v/>
      </c>
      <c r="D426" s="5">
        <f>IF($E426="","",INDEX('Input Transaksi'!$F:$F,$E426))</f>
        <v/>
      </c>
      <c r="E426">
        <f>IFERROR(AGGREGATE(15,6,ROW('Input Transaksi'!$B$5:$B$5000)/('Input Transaksi'!$B$5:$B$5000="LONDRI DEWE"),ROWS($E$5:E426)),"")</f>
        <v/>
      </c>
      <c r="F426" s="5" t="n"/>
    </row>
    <row r="427">
      <c r="A427" s="10">
        <f>IF($E427="","",INDEX('Input Transaksi'!$A:$A,$E427))</f>
        <v/>
      </c>
      <c r="B427" s="5">
        <f>IF($E427="","",INDEX('Input Transaksi'!$D:$D,$E427))</f>
        <v/>
      </c>
      <c r="C427">
        <f>IF($E427="","",INDEX('Input Transaksi'!$E:$E,$E427))</f>
        <v/>
      </c>
      <c r="D427" s="5">
        <f>IF($E427="","",INDEX('Input Transaksi'!$F:$F,$E427))</f>
        <v/>
      </c>
      <c r="E427">
        <f>IFERROR(AGGREGATE(15,6,ROW('Input Transaksi'!$B$5:$B$5000)/('Input Transaksi'!$B$5:$B$5000="LONDRI DEWE"),ROWS($E$5:E427)),"")</f>
        <v/>
      </c>
      <c r="F427" s="5" t="n"/>
    </row>
    <row r="428">
      <c r="A428" s="10">
        <f>IF($E428="","",INDEX('Input Transaksi'!$A:$A,$E428))</f>
        <v/>
      </c>
      <c r="B428" s="5">
        <f>IF($E428="","",INDEX('Input Transaksi'!$D:$D,$E428))</f>
        <v/>
      </c>
      <c r="C428">
        <f>IF($E428="","",INDEX('Input Transaksi'!$E:$E,$E428))</f>
        <v/>
      </c>
      <c r="D428" s="5">
        <f>IF($E428="","",INDEX('Input Transaksi'!$F:$F,$E428))</f>
        <v/>
      </c>
      <c r="E428">
        <f>IFERROR(AGGREGATE(15,6,ROW('Input Transaksi'!$B$5:$B$5000)/('Input Transaksi'!$B$5:$B$5000="LONDRI DEWE"),ROWS($E$5:E428)),"")</f>
        <v/>
      </c>
      <c r="F428" s="5" t="n"/>
    </row>
    <row r="429">
      <c r="A429" s="10">
        <f>IF($E429="","",INDEX('Input Transaksi'!$A:$A,$E429))</f>
        <v/>
      </c>
      <c r="B429" s="5">
        <f>IF($E429="","",INDEX('Input Transaksi'!$D:$D,$E429))</f>
        <v/>
      </c>
      <c r="C429">
        <f>IF($E429="","",INDEX('Input Transaksi'!$E:$E,$E429))</f>
        <v/>
      </c>
      <c r="D429" s="5">
        <f>IF($E429="","",INDEX('Input Transaksi'!$F:$F,$E429))</f>
        <v/>
      </c>
      <c r="E429">
        <f>IFERROR(AGGREGATE(15,6,ROW('Input Transaksi'!$B$5:$B$5000)/('Input Transaksi'!$B$5:$B$5000="LONDRI DEWE"),ROWS($E$5:E429)),"")</f>
        <v/>
      </c>
      <c r="F429" s="5" t="n"/>
    </row>
    <row r="430">
      <c r="A430" s="10">
        <f>IF($E430="","",INDEX('Input Transaksi'!$A:$A,$E430))</f>
        <v/>
      </c>
      <c r="B430" s="5">
        <f>IF($E430="","",INDEX('Input Transaksi'!$D:$D,$E430))</f>
        <v/>
      </c>
      <c r="C430">
        <f>IF($E430="","",INDEX('Input Transaksi'!$E:$E,$E430))</f>
        <v/>
      </c>
      <c r="D430" s="5">
        <f>IF($E430="","",INDEX('Input Transaksi'!$F:$F,$E430))</f>
        <v/>
      </c>
      <c r="E430">
        <f>IFERROR(AGGREGATE(15,6,ROW('Input Transaksi'!$B$5:$B$5000)/('Input Transaksi'!$B$5:$B$5000="LONDRI DEWE"),ROWS($E$5:E430)),"")</f>
        <v/>
      </c>
      <c r="F430" s="5" t="n"/>
    </row>
    <row r="431">
      <c r="A431" s="10">
        <f>IF($E431="","",INDEX('Input Transaksi'!$A:$A,$E431))</f>
        <v/>
      </c>
      <c r="B431" s="5">
        <f>IF($E431="","",INDEX('Input Transaksi'!$D:$D,$E431))</f>
        <v/>
      </c>
      <c r="C431">
        <f>IF($E431="","",INDEX('Input Transaksi'!$E:$E,$E431))</f>
        <v/>
      </c>
      <c r="D431" s="5">
        <f>IF($E431="","",INDEX('Input Transaksi'!$F:$F,$E431))</f>
        <v/>
      </c>
      <c r="E431">
        <f>IFERROR(AGGREGATE(15,6,ROW('Input Transaksi'!$B$5:$B$5000)/('Input Transaksi'!$B$5:$B$5000="LONDRI DEWE"),ROWS($E$5:E431)),"")</f>
        <v/>
      </c>
      <c r="F431" s="5" t="n"/>
    </row>
    <row r="432">
      <c r="A432" s="10">
        <f>IF($E432="","",INDEX('Input Transaksi'!$A:$A,$E432))</f>
        <v/>
      </c>
      <c r="B432" s="5">
        <f>IF($E432="","",INDEX('Input Transaksi'!$D:$D,$E432))</f>
        <v/>
      </c>
      <c r="C432">
        <f>IF($E432="","",INDEX('Input Transaksi'!$E:$E,$E432))</f>
        <v/>
      </c>
      <c r="D432" s="5">
        <f>IF($E432="","",INDEX('Input Transaksi'!$F:$F,$E432))</f>
        <v/>
      </c>
      <c r="E432">
        <f>IFERROR(AGGREGATE(15,6,ROW('Input Transaksi'!$B$5:$B$5000)/('Input Transaksi'!$B$5:$B$5000="LONDRI DEWE"),ROWS($E$5:E432)),"")</f>
        <v/>
      </c>
      <c r="F432" s="5" t="n"/>
    </row>
    <row r="433">
      <c r="A433" s="10">
        <f>IF($E433="","",INDEX('Input Transaksi'!$A:$A,$E433))</f>
        <v/>
      </c>
      <c r="B433" s="5">
        <f>IF($E433="","",INDEX('Input Transaksi'!$D:$D,$E433))</f>
        <v/>
      </c>
      <c r="C433">
        <f>IF($E433="","",INDEX('Input Transaksi'!$E:$E,$E433))</f>
        <v/>
      </c>
      <c r="D433" s="5">
        <f>IF($E433="","",INDEX('Input Transaksi'!$F:$F,$E433))</f>
        <v/>
      </c>
      <c r="E433">
        <f>IFERROR(AGGREGATE(15,6,ROW('Input Transaksi'!$B$5:$B$5000)/('Input Transaksi'!$B$5:$B$5000="LONDRI DEWE"),ROWS($E$5:E433)),"")</f>
        <v/>
      </c>
      <c r="F433" s="5" t="n"/>
    </row>
    <row r="434">
      <c r="A434" s="10">
        <f>IF($E434="","",INDEX('Input Transaksi'!$A:$A,$E434))</f>
        <v/>
      </c>
      <c r="B434" s="5">
        <f>IF($E434="","",INDEX('Input Transaksi'!$D:$D,$E434))</f>
        <v/>
      </c>
      <c r="C434">
        <f>IF($E434="","",INDEX('Input Transaksi'!$E:$E,$E434))</f>
        <v/>
      </c>
      <c r="D434" s="5">
        <f>IF($E434="","",INDEX('Input Transaksi'!$F:$F,$E434))</f>
        <v/>
      </c>
      <c r="E434">
        <f>IFERROR(AGGREGATE(15,6,ROW('Input Transaksi'!$B$5:$B$5000)/('Input Transaksi'!$B$5:$B$5000="LONDRI DEWE"),ROWS($E$5:E434)),"")</f>
        <v/>
      </c>
      <c r="F434" s="5" t="n"/>
    </row>
    <row r="435">
      <c r="A435" s="10">
        <f>IF($E435="","",INDEX('Input Transaksi'!$A:$A,$E435))</f>
        <v/>
      </c>
      <c r="B435" s="5">
        <f>IF($E435="","",INDEX('Input Transaksi'!$D:$D,$E435))</f>
        <v/>
      </c>
      <c r="C435">
        <f>IF($E435="","",INDEX('Input Transaksi'!$E:$E,$E435))</f>
        <v/>
      </c>
      <c r="D435" s="5">
        <f>IF($E435="","",INDEX('Input Transaksi'!$F:$F,$E435))</f>
        <v/>
      </c>
      <c r="E435">
        <f>IFERROR(AGGREGATE(15,6,ROW('Input Transaksi'!$B$5:$B$5000)/('Input Transaksi'!$B$5:$B$5000="LONDRI DEWE"),ROWS($E$5:E435)),"")</f>
        <v/>
      </c>
      <c r="F435" s="5" t="n"/>
    </row>
    <row r="436">
      <c r="A436" s="10">
        <f>IF($E436="","",INDEX('Input Transaksi'!$A:$A,$E436))</f>
        <v/>
      </c>
      <c r="B436" s="5">
        <f>IF($E436="","",INDEX('Input Transaksi'!$D:$D,$E436))</f>
        <v/>
      </c>
      <c r="C436">
        <f>IF($E436="","",INDEX('Input Transaksi'!$E:$E,$E436))</f>
        <v/>
      </c>
      <c r="D436" s="5">
        <f>IF($E436="","",INDEX('Input Transaksi'!$F:$F,$E436))</f>
        <v/>
      </c>
      <c r="E436">
        <f>IFERROR(AGGREGATE(15,6,ROW('Input Transaksi'!$B$5:$B$5000)/('Input Transaksi'!$B$5:$B$5000="LONDRI DEWE"),ROWS($E$5:E436)),"")</f>
        <v/>
      </c>
      <c r="F436" s="5" t="n"/>
    </row>
    <row r="437">
      <c r="A437" s="10">
        <f>IF($E437="","",INDEX('Input Transaksi'!$A:$A,$E437))</f>
        <v/>
      </c>
      <c r="B437" s="5">
        <f>IF($E437="","",INDEX('Input Transaksi'!$D:$D,$E437))</f>
        <v/>
      </c>
      <c r="C437">
        <f>IF($E437="","",INDEX('Input Transaksi'!$E:$E,$E437))</f>
        <v/>
      </c>
      <c r="D437" s="5">
        <f>IF($E437="","",INDEX('Input Transaksi'!$F:$F,$E437))</f>
        <v/>
      </c>
      <c r="E437">
        <f>IFERROR(AGGREGATE(15,6,ROW('Input Transaksi'!$B$5:$B$5000)/('Input Transaksi'!$B$5:$B$5000="LONDRI DEWE"),ROWS($E$5:E437)),"")</f>
        <v/>
      </c>
      <c r="F437" s="5" t="n"/>
    </row>
    <row r="438">
      <c r="A438" s="10">
        <f>IF($E438="","",INDEX('Input Transaksi'!$A:$A,$E438))</f>
        <v/>
      </c>
      <c r="B438" s="5">
        <f>IF($E438="","",INDEX('Input Transaksi'!$D:$D,$E438))</f>
        <v/>
      </c>
      <c r="C438">
        <f>IF($E438="","",INDEX('Input Transaksi'!$E:$E,$E438))</f>
        <v/>
      </c>
      <c r="D438" s="5">
        <f>IF($E438="","",INDEX('Input Transaksi'!$F:$F,$E438))</f>
        <v/>
      </c>
      <c r="E438">
        <f>IFERROR(AGGREGATE(15,6,ROW('Input Transaksi'!$B$5:$B$5000)/('Input Transaksi'!$B$5:$B$5000="LONDRI DEWE"),ROWS($E$5:E438)),"")</f>
        <v/>
      </c>
      <c r="F438" s="5" t="n"/>
    </row>
    <row r="439">
      <c r="A439" s="10">
        <f>IF($E439="","",INDEX('Input Transaksi'!$A:$A,$E439))</f>
        <v/>
      </c>
      <c r="B439" s="5">
        <f>IF($E439="","",INDEX('Input Transaksi'!$D:$D,$E439))</f>
        <v/>
      </c>
      <c r="C439">
        <f>IF($E439="","",INDEX('Input Transaksi'!$E:$E,$E439))</f>
        <v/>
      </c>
      <c r="D439" s="5">
        <f>IF($E439="","",INDEX('Input Transaksi'!$F:$F,$E439))</f>
        <v/>
      </c>
      <c r="E439">
        <f>IFERROR(AGGREGATE(15,6,ROW('Input Transaksi'!$B$5:$B$5000)/('Input Transaksi'!$B$5:$B$5000="LONDRI DEWE"),ROWS($E$5:E439)),"")</f>
        <v/>
      </c>
      <c r="F439" s="5" t="n"/>
    </row>
    <row r="440">
      <c r="A440" s="10">
        <f>IF($E440="","",INDEX('Input Transaksi'!$A:$A,$E440))</f>
        <v/>
      </c>
      <c r="B440" s="5">
        <f>IF($E440="","",INDEX('Input Transaksi'!$D:$D,$E440))</f>
        <v/>
      </c>
      <c r="C440">
        <f>IF($E440="","",INDEX('Input Transaksi'!$E:$E,$E440))</f>
        <v/>
      </c>
      <c r="D440" s="5">
        <f>IF($E440="","",INDEX('Input Transaksi'!$F:$F,$E440))</f>
        <v/>
      </c>
      <c r="E440">
        <f>IFERROR(AGGREGATE(15,6,ROW('Input Transaksi'!$B$5:$B$5000)/('Input Transaksi'!$B$5:$B$5000="LONDRI DEWE"),ROWS($E$5:E440)),"")</f>
        <v/>
      </c>
      <c r="F440" s="5" t="n"/>
    </row>
    <row r="441">
      <c r="A441" s="10">
        <f>IF($E441="","",INDEX('Input Transaksi'!$A:$A,$E441))</f>
        <v/>
      </c>
      <c r="B441" s="5">
        <f>IF($E441="","",INDEX('Input Transaksi'!$D:$D,$E441))</f>
        <v/>
      </c>
      <c r="C441">
        <f>IF($E441="","",INDEX('Input Transaksi'!$E:$E,$E441))</f>
        <v/>
      </c>
      <c r="D441" s="5">
        <f>IF($E441="","",INDEX('Input Transaksi'!$F:$F,$E441))</f>
        <v/>
      </c>
      <c r="E441">
        <f>IFERROR(AGGREGATE(15,6,ROW('Input Transaksi'!$B$5:$B$5000)/('Input Transaksi'!$B$5:$B$5000="LONDRI DEWE"),ROWS($E$5:E441)),"")</f>
        <v/>
      </c>
      <c r="F441" s="5" t="n"/>
    </row>
    <row r="442">
      <c r="A442" s="10">
        <f>IF($E442="","",INDEX('Input Transaksi'!$A:$A,$E442))</f>
        <v/>
      </c>
      <c r="B442" s="5">
        <f>IF($E442="","",INDEX('Input Transaksi'!$D:$D,$E442))</f>
        <v/>
      </c>
      <c r="C442">
        <f>IF($E442="","",INDEX('Input Transaksi'!$E:$E,$E442))</f>
        <v/>
      </c>
      <c r="D442" s="5">
        <f>IF($E442="","",INDEX('Input Transaksi'!$F:$F,$E442))</f>
        <v/>
      </c>
      <c r="E442">
        <f>IFERROR(AGGREGATE(15,6,ROW('Input Transaksi'!$B$5:$B$5000)/('Input Transaksi'!$B$5:$B$5000="LONDRI DEWE"),ROWS($E$5:E442)),"")</f>
        <v/>
      </c>
      <c r="F442" s="5" t="n"/>
    </row>
    <row r="443">
      <c r="A443" s="10">
        <f>IF($E443="","",INDEX('Input Transaksi'!$A:$A,$E443))</f>
        <v/>
      </c>
      <c r="B443" s="5">
        <f>IF($E443="","",INDEX('Input Transaksi'!$D:$D,$E443))</f>
        <v/>
      </c>
      <c r="C443">
        <f>IF($E443="","",INDEX('Input Transaksi'!$E:$E,$E443))</f>
        <v/>
      </c>
      <c r="D443" s="5">
        <f>IF($E443="","",INDEX('Input Transaksi'!$F:$F,$E443))</f>
        <v/>
      </c>
      <c r="E443">
        <f>IFERROR(AGGREGATE(15,6,ROW('Input Transaksi'!$B$5:$B$5000)/('Input Transaksi'!$B$5:$B$5000="LONDRI DEWE"),ROWS($E$5:E443)),"")</f>
        <v/>
      </c>
      <c r="F443" s="5" t="n"/>
    </row>
    <row r="444">
      <c r="A444" s="10">
        <f>IF($E444="","",INDEX('Input Transaksi'!$A:$A,$E444))</f>
        <v/>
      </c>
      <c r="B444" s="5">
        <f>IF($E444="","",INDEX('Input Transaksi'!$D:$D,$E444))</f>
        <v/>
      </c>
      <c r="C444">
        <f>IF($E444="","",INDEX('Input Transaksi'!$E:$E,$E444))</f>
        <v/>
      </c>
      <c r="D444" s="5">
        <f>IF($E444="","",INDEX('Input Transaksi'!$F:$F,$E444))</f>
        <v/>
      </c>
      <c r="E444">
        <f>IFERROR(AGGREGATE(15,6,ROW('Input Transaksi'!$B$5:$B$5000)/('Input Transaksi'!$B$5:$B$5000="LONDRI DEWE"),ROWS($E$5:E444)),"")</f>
        <v/>
      </c>
      <c r="F444" s="5" t="n"/>
    </row>
    <row r="445">
      <c r="A445" s="10">
        <f>IF($E445="","",INDEX('Input Transaksi'!$A:$A,$E445))</f>
        <v/>
      </c>
      <c r="B445" s="5">
        <f>IF($E445="","",INDEX('Input Transaksi'!$D:$D,$E445))</f>
        <v/>
      </c>
      <c r="C445">
        <f>IF($E445="","",INDEX('Input Transaksi'!$E:$E,$E445))</f>
        <v/>
      </c>
      <c r="D445" s="5">
        <f>IF($E445="","",INDEX('Input Transaksi'!$F:$F,$E445))</f>
        <v/>
      </c>
      <c r="E445">
        <f>IFERROR(AGGREGATE(15,6,ROW('Input Transaksi'!$B$5:$B$5000)/('Input Transaksi'!$B$5:$B$5000="LONDRI DEWE"),ROWS($E$5:E445)),"")</f>
        <v/>
      </c>
      <c r="F445" s="5" t="n"/>
    </row>
    <row r="446">
      <c r="A446" s="10">
        <f>IF($E446="","",INDEX('Input Transaksi'!$A:$A,$E446))</f>
        <v/>
      </c>
      <c r="B446" s="5">
        <f>IF($E446="","",INDEX('Input Transaksi'!$D:$D,$E446))</f>
        <v/>
      </c>
      <c r="C446">
        <f>IF($E446="","",INDEX('Input Transaksi'!$E:$E,$E446))</f>
        <v/>
      </c>
      <c r="D446" s="5">
        <f>IF($E446="","",INDEX('Input Transaksi'!$F:$F,$E446))</f>
        <v/>
      </c>
      <c r="E446">
        <f>IFERROR(AGGREGATE(15,6,ROW('Input Transaksi'!$B$5:$B$5000)/('Input Transaksi'!$B$5:$B$5000="LONDRI DEWE"),ROWS($E$5:E446)),"")</f>
        <v/>
      </c>
      <c r="F446" s="5" t="n"/>
    </row>
    <row r="447">
      <c r="A447" s="10">
        <f>IF($E447="","",INDEX('Input Transaksi'!$A:$A,$E447))</f>
        <v/>
      </c>
      <c r="B447" s="5">
        <f>IF($E447="","",INDEX('Input Transaksi'!$D:$D,$E447))</f>
        <v/>
      </c>
      <c r="C447">
        <f>IF($E447="","",INDEX('Input Transaksi'!$E:$E,$E447))</f>
        <v/>
      </c>
      <c r="D447" s="5">
        <f>IF($E447="","",INDEX('Input Transaksi'!$F:$F,$E447))</f>
        <v/>
      </c>
      <c r="E447">
        <f>IFERROR(AGGREGATE(15,6,ROW('Input Transaksi'!$B$5:$B$5000)/('Input Transaksi'!$B$5:$B$5000="LONDRI DEWE"),ROWS($E$5:E447)),"")</f>
        <v/>
      </c>
      <c r="F447" s="5" t="n"/>
    </row>
    <row r="448">
      <c r="A448" s="10">
        <f>IF($E448="","",INDEX('Input Transaksi'!$A:$A,$E448))</f>
        <v/>
      </c>
      <c r="B448" s="5">
        <f>IF($E448="","",INDEX('Input Transaksi'!$D:$D,$E448))</f>
        <v/>
      </c>
      <c r="C448">
        <f>IF($E448="","",INDEX('Input Transaksi'!$E:$E,$E448))</f>
        <v/>
      </c>
      <c r="D448" s="5">
        <f>IF($E448="","",INDEX('Input Transaksi'!$F:$F,$E448))</f>
        <v/>
      </c>
      <c r="E448">
        <f>IFERROR(AGGREGATE(15,6,ROW('Input Transaksi'!$B$5:$B$5000)/('Input Transaksi'!$B$5:$B$5000="LONDRI DEWE"),ROWS($E$5:E448)),"")</f>
        <v/>
      </c>
      <c r="F448" s="5" t="n"/>
    </row>
    <row r="449">
      <c r="A449" s="10">
        <f>IF($E449="","",INDEX('Input Transaksi'!$A:$A,$E449))</f>
        <v/>
      </c>
      <c r="B449" s="5">
        <f>IF($E449="","",INDEX('Input Transaksi'!$D:$D,$E449))</f>
        <v/>
      </c>
      <c r="C449">
        <f>IF($E449="","",INDEX('Input Transaksi'!$E:$E,$E449))</f>
        <v/>
      </c>
      <c r="D449" s="5">
        <f>IF($E449="","",INDEX('Input Transaksi'!$F:$F,$E449))</f>
        <v/>
      </c>
      <c r="E449">
        <f>IFERROR(AGGREGATE(15,6,ROW('Input Transaksi'!$B$5:$B$5000)/('Input Transaksi'!$B$5:$B$5000="LONDRI DEWE"),ROWS($E$5:E449)),"")</f>
        <v/>
      </c>
      <c r="F449" s="5" t="n"/>
    </row>
    <row r="450">
      <c r="A450" s="10">
        <f>IF($E450="","",INDEX('Input Transaksi'!$A:$A,$E450))</f>
        <v/>
      </c>
      <c r="B450" s="5">
        <f>IF($E450="","",INDEX('Input Transaksi'!$D:$D,$E450))</f>
        <v/>
      </c>
      <c r="C450">
        <f>IF($E450="","",INDEX('Input Transaksi'!$E:$E,$E450))</f>
        <v/>
      </c>
      <c r="D450" s="5">
        <f>IF($E450="","",INDEX('Input Transaksi'!$F:$F,$E450))</f>
        <v/>
      </c>
      <c r="E450">
        <f>IFERROR(AGGREGATE(15,6,ROW('Input Transaksi'!$B$5:$B$5000)/('Input Transaksi'!$B$5:$B$5000="LONDRI DEWE"),ROWS($E$5:E450)),"")</f>
        <v/>
      </c>
      <c r="F450" s="5" t="n"/>
    </row>
    <row r="451">
      <c r="A451" s="10">
        <f>IF($E451="","",INDEX('Input Transaksi'!$A:$A,$E451))</f>
        <v/>
      </c>
      <c r="B451" s="5">
        <f>IF($E451="","",INDEX('Input Transaksi'!$D:$D,$E451))</f>
        <v/>
      </c>
      <c r="C451">
        <f>IF($E451="","",INDEX('Input Transaksi'!$E:$E,$E451))</f>
        <v/>
      </c>
      <c r="D451" s="5">
        <f>IF($E451="","",INDEX('Input Transaksi'!$F:$F,$E451))</f>
        <v/>
      </c>
      <c r="E451">
        <f>IFERROR(AGGREGATE(15,6,ROW('Input Transaksi'!$B$5:$B$5000)/('Input Transaksi'!$B$5:$B$5000="LONDRI DEWE"),ROWS($E$5:E451)),"")</f>
        <v/>
      </c>
      <c r="F451" s="5" t="n"/>
    </row>
    <row r="452">
      <c r="A452" s="10">
        <f>IF($E452="","",INDEX('Input Transaksi'!$A:$A,$E452))</f>
        <v/>
      </c>
      <c r="B452" s="5">
        <f>IF($E452="","",INDEX('Input Transaksi'!$D:$D,$E452))</f>
        <v/>
      </c>
      <c r="C452">
        <f>IF($E452="","",INDEX('Input Transaksi'!$E:$E,$E452))</f>
        <v/>
      </c>
      <c r="D452" s="5">
        <f>IF($E452="","",INDEX('Input Transaksi'!$F:$F,$E452))</f>
        <v/>
      </c>
      <c r="E452">
        <f>IFERROR(AGGREGATE(15,6,ROW('Input Transaksi'!$B$5:$B$5000)/('Input Transaksi'!$B$5:$B$5000="LONDRI DEWE"),ROWS($E$5:E452)),"")</f>
        <v/>
      </c>
      <c r="F452" s="5" t="n"/>
    </row>
    <row r="453">
      <c r="A453" s="10">
        <f>IF($E453="","",INDEX('Input Transaksi'!$A:$A,$E453))</f>
        <v/>
      </c>
      <c r="B453" s="5">
        <f>IF($E453="","",INDEX('Input Transaksi'!$D:$D,$E453))</f>
        <v/>
      </c>
      <c r="C453">
        <f>IF($E453="","",INDEX('Input Transaksi'!$E:$E,$E453))</f>
        <v/>
      </c>
      <c r="D453" s="5">
        <f>IF($E453="","",INDEX('Input Transaksi'!$F:$F,$E453))</f>
        <v/>
      </c>
      <c r="E453">
        <f>IFERROR(AGGREGATE(15,6,ROW('Input Transaksi'!$B$5:$B$5000)/('Input Transaksi'!$B$5:$B$5000="LONDRI DEWE"),ROWS($E$5:E453)),"")</f>
        <v/>
      </c>
      <c r="F453" s="5" t="n"/>
    </row>
    <row r="454">
      <c r="A454" s="10">
        <f>IF($E454="","",INDEX('Input Transaksi'!$A:$A,$E454))</f>
        <v/>
      </c>
      <c r="B454" s="5">
        <f>IF($E454="","",INDEX('Input Transaksi'!$D:$D,$E454))</f>
        <v/>
      </c>
      <c r="C454">
        <f>IF($E454="","",INDEX('Input Transaksi'!$E:$E,$E454))</f>
        <v/>
      </c>
      <c r="D454" s="5">
        <f>IF($E454="","",INDEX('Input Transaksi'!$F:$F,$E454))</f>
        <v/>
      </c>
      <c r="E454">
        <f>IFERROR(AGGREGATE(15,6,ROW('Input Transaksi'!$B$5:$B$5000)/('Input Transaksi'!$B$5:$B$5000="LONDRI DEWE"),ROWS($E$5:E454)),"")</f>
        <v/>
      </c>
      <c r="F454" s="5" t="n"/>
    </row>
    <row r="455">
      <c r="A455" s="10">
        <f>IF($E455="","",INDEX('Input Transaksi'!$A:$A,$E455))</f>
        <v/>
      </c>
      <c r="B455" s="5">
        <f>IF($E455="","",INDEX('Input Transaksi'!$D:$D,$E455))</f>
        <v/>
      </c>
      <c r="C455">
        <f>IF($E455="","",INDEX('Input Transaksi'!$E:$E,$E455))</f>
        <v/>
      </c>
      <c r="D455" s="5">
        <f>IF($E455="","",INDEX('Input Transaksi'!$F:$F,$E455))</f>
        <v/>
      </c>
      <c r="E455">
        <f>IFERROR(AGGREGATE(15,6,ROW('Input Transaksi'!$B$5:$B$5000)/('Input Transaksi'!$B$5:$B$5000="LONDRI DEWE"),ROWS($E$5:E455)),"")</f>
        <v/>
      </c>
      <c r="F455" s="5" t="n"/>
    </row>
    <row r="456">
      <c r="A456" s="10">
        <f>IF($E456="","",INDEX('Input Transaksi'!$A:$A,$E456))</f>
        <v/>
      </c>
      <c r="B456" s="5">
        <f>IF($E456="","",INDEX('Input Transaksi'!$D:$D,$E456))</f>
        <v/>
      </c>
      <c r="C456">
        <f>IF($E456="","",INDEX('Input Transaksi'!$E:$E,$E456))</f>
        <v/>
      </c>
      <c r="D456" s="5">
        <f>IF($E456="","",INDEX('Input Transaksi'!$F:$F,$E456))</f>
        <v/>
      </c>
      <c r="E456">
        <f>IFERROR(AGGREGATE(15,6,ROW('Input Transaksi'!$B$5:$B$5000)/('Input Transaksi'!$B$5:$B$5000="LONDRI DEWE"),ROWS($E$5:E456)),"")</f>
        <v/>
      </c>
      <c r="F456" s="5" t="n"/>
    </row>
    <row r="457">
      <c r="A457" s="10">
        <f>IF($E457="","",INDEX('Input Transaksi'!$A:$A,$E457))</f>
        <v/>
      </c>
      <c r="B457" s="5">
        <f>IF($E457="","",INDEX('Input Transaksi'!$D:$D,$E457))</f>
        <v/>
      </c>
      <c r="C457">
        <f>IF($E457="","",INDEX('Input Transaksi'!$E:$E,$E457))</f>
        <v/>
      </c>
      <c r="D457" s="5">
        <f>IF($E457="","",INDEX('Input Transaksi'!$F:$F,$E457))</f>
        <v/>
      </c>
      <c r="E457">
        <f>IFERROR(AGGREGATE(15,6,ROW('Input Transaksi'!$B$5:$B$5000)/('Input Transaksi'!$B$5:$B$5000="LONDRI DEWE"),ROWS($E$5:E457)),"")</f>
        <v/>
      </c>
      <c r="F457" s="5" t="n"/>
    </row>
    <row r="458">
      <c r="A458" s="10">
        <f>IF($E458="","",INDEX('Input Transaksi'!$A:$A,$E458))</f>
        <v/>
      </c>
      <c r="B458" s="5">
        <f>IF($E458="","",INDEX('Input Transaksi'!$D:$D,$E458))</f>
        <v/>
      </c>
      <c r="C458">
        <f>IF($E458="","",INDEX('Input Transaksi'!$E:$E,$E458))</f>
        <v/>
      </c>
      <c r="D458" s="5">
        <f>IF($E458="","",INDEX('Input Transaksi'!$F:$F,$E458))</f>
        <v/>
      </c>
      <c r="E458">
        <f>IFERROR(AGGREGATE(15,6,ROW('Input Transaksi'!$B$5:$B$5000)/('Input Transaksi'!$B$5:$B$5000="LONDRI DEWE"),ROWS($E$5:E458)),"")</f>
        <v/>
      </c>
      <c r="F458" s="5" t="n"/>
    </row>
    <row r="459">
      <c r="A459" s="10">
        <f>IF($E459="","",INDEX('Input Transaksi'!$A:$A,$E459))</f>
        <v/>
      </c>
      <c r="B459" s="5">
        <f>IF($E459="","",INDEX('Input Transaksi'!$D:$D,$E459))</f>
        <v/>
      </c>
      <c r="C459">
        <f>IF($E459="","",INDEX('Input Transaksi'!$E:$E,$E459))</f>
        <v/>
      </c>
      <c r="D459" s="5">
        <f>IF($E459="","",INDEX('Input Transaksi'!$F:$F,$E459))</f>
        <v/>
      </c>
      <c r="E459">
        <f>IFERROR(AGGREGATE(15,6,ROW('Input Transaksi'!$B$5:$B$5000)/('Input Transaksi'!$B$5:$B$5000="LONDRI DEWE"),ROWS($E$5:E459)),"")</f>
        <v/>
      </c>
      <c r="F459" s="5" t="n"/>
    </row>
    <row r="460">
      <c r="A460" s="10">
        <f>IF($E460="","",INDEX('Input Transaksi'!$A:$A,$E460))</f>
        <v/>
      </c>
      <c r="B460" s="5">
        <f>IF($E460="","",INDEX('Input Transaksi'!$D:$D,$E460))</f>
        <v/>
      </c>
      <c r="C460">
        <f>IF($E460="","",INDEX('Input Transaksi'!$E:$E,$E460))</f>
        <v/>
      </c>
      <c r="D460" s="5">
        <f>IF($E460="","",INDEX('Input Transaksi'!$F:$F,$E460))</f>
        <v/>
      </c>
      <c r="E460">
        <f>IFERROR(AGGREGATE(15,6,ROW('Input Transaksi'!$B$5:$B$5000)/('Input Transaksi'!$B$5:$B$5000="LONDRI DEWE"),ROWS($E$5:E460)),"")</f>
        <v/>
      </c>
      <c r="F460" s="5" t="n"/>
    </row>
    <row r="461">
      <c r="A461" s="10">
        <f>IF($E461="","",INDEX('Input Transaksi'!$A:$A,$E461))</f>
        <v/>
      </c>
      <c r="B461" s="5">
        <f>IF($E461="","",INDEX('Input Transaksi'!$D:$D,$E461))</f>
        <v/>
      </c>
      <c r="C461">
        <f>IF($E461="","",INDEX('Input Transaksi'!$E:$E,$E461))</f>
        <v/>
      </c>
      <c r="D461" s="5">
        <f>IF($E461="","",INDEX('Input Transaksi'!$F:$F,$E461))</f>
        <v/>
      </c>
      <c r="E461">
        <f>IFERROR(AGGREGATE(15,6,ROW('Input Transaksi'!$B$5:$B$5000)/('Input Transaksi'!$B$5:$B$5000="LONDRI DEWE"),ROWS($E$5:E461)),"")</f>
        <v/>
      </c>
      <c r="F461" s="5" t="n"/>
    </row>
    <row r="462">
      <c r="A462" s="10">
        <f>IF($E462="","",INDEX('Input Transaksi'!$A:$A,$E462))</f>
        <v/>
      </c>
      <c r="B462" s="5">
        <f>IF($E462="","",INDEX('Input Transaksi'!$D:$D,$E462))</f>
        <v/>
      </c>
      <c r="C462">
        <f>IF($E462="","",INDEX('Input Transaksi'!$E:$E,$E462))</f>
        <v/>
      </c>
      <c r="D462" s="5">
        <f>IF($E462="","",INDEX('Input Transaksi'!$F:$F,$E462))</f>
        <v/>
      </c>
      <c r="E462">
        <f>IFERROR(AGGREGATE(15,6,ROW('Input Transaksi'!$B$5:$B$5000)/('Input Transaksi'!$B$5:$B$5000="LONDRI DEWE"),ROWS($E$5:E462)),"")</f>
        <v/>
      </c>
      <c r="F462" s="5" t="n"/>
    </row>
    <row r="463">
      <c r="A463" s="10">
        <f>IF($E463="","",INDEX('Input Transaksi'!$A:$A,$E463))</f>
        <v/>
      </c>
      <c r="B463" s="5">
        <f>IF($E463="","",INDEX('Input Transaksi'!$D:$D,$E463))</f>
        <v/>
      </c>
      <c r="C463">
        <f>IF($E463="","",INDEX('Input Transaksi'!$E:$E,$E463))</f>
        <v/>
      </c>
      <c r="D463" s="5">
        <f>IF($E463="","",INDEX('Input Transaksi'!$F:$F,$E463))</f>
        <v/>
      </c>
      <c r="E463">
        <f>IFERROR(AGGREGATE(15,6,ROW('Input Transaksi'!$B$5:$B$5000)/('Input Transaksi'!$B$5:$B$5000="LONDRI DEWE"),ROWS($E$5:E463)),"")</f>
        <v/>
      </c>
      <c r="F463" s="5" t="n"/>
    </row>
    <row r="464">
      <c r="A464" s="10">
        <f>IF($E464="","",INDEX('Input Transaksi'!$A:$A,$E464))</f>
        <v/>
      </c>
      <c r="B464" s="5">
        <f>IF($E464="","",INDEX('Input Transaksi'!$D:$D,$E464))</f>
        <v/>
      </c>
      <c r="C464">
        <f>IF($E464="","",INDEX('Input Transaksi'!$E:$E,$E464))</f>
        <v/>
      </c>
      <c r="D464" s="5">
        <f>IF($E464="","",INDEX('Input Transaksi'!$F:$F,$E464))</f>
        <v/>
      </c>
      <c r="E464">
        <f>IFERROR(AGGREGATE(15,6,ROW('Input Transaksi'!$B$5:$B$5000)/('Input Transaksi'!$B$5:$B$5000="LONDRI DEWE"),ROWS($E$5:E464)),"")</f>
        <v/>
      </c>
      <c r="F464" s="5" t="n"/>
    </row>
    <row r="465">
      <c r="A465" s="10">
        <f>IF($E465="","",INDEX('Input Transaksi'!$A:$A,$E465))</f>
        <v/>
      </c>
      <c r="B465" s="5">
        <f>IF($E465="","",INDEX('Input Transaksi'!$D:$D,$E465))</f>
        <v/>
      </c>
      <c r="C465">
        <f>IF($E465="","",INDEX('Input Transaksi'!$E:$E,$E465))</f>
        <v/>
      </c>
      <c r="D465" s="5">
        <f>IF($E465="","",INDEX('Input Transaksi'!$F:$F,$E465))</f>
        <v/>
      </c>
      <c r="E465">
        <f>IFERROR(AGGREGATE(15,6,ROW('Input Transaksi'!$B$5:$B$5000)/('Input Transaksi'!$B$5:$B$5000="LONDRI DEWE"),ROWS($E$5:E465)),"")</f>
        <v/>
      </c>
      <c r="F465" s="5" t="n"/>
    </row>
    <row r="466">
      <c r="A466" s="10">
        <f>IF($E466="","",INDEX('Input Transaksi'!$A:$A,$E466))</f>
        <v/>
      </c>
      <c r="B466" s="5">
        <f>IF($E466="","",INDEX('Input Transaksi'!$D:$D,$E466))</f>
        <v/>
      </c>
      <c r="C466">
        <f>IF($E466="","",INDEX('Input Transaksi'!$E:$E,$E466))</f>
        <v/>
      </c>
      <c r="D466" s="5">
        <f>IF($E466="","",INDEX('Input Transaksi'!$F:$F,$E466))</f>
        <v/>
      </c>
      <c r="E466">
        <f>IFERROR(AGGREGATE(15,6,ROW('Input Transaksi'!$B$5:$B$5000)/('Input Transaksi'!$B$5:$B$5000="LONDRI DEWE"),ROWS($E$5:E466)),"")</f>
        <v/>
      </c>
      <c r="F466" s="5" t="n"/>
    </row>
    <row r="467">
      <c r="A467" s="10">
        <f>IF($E467="","",INDEX('Input Transaksi'!$A:$A,$E467))</f>
        <v/>
      </c>
      <c r="B467" s="5">
        <f>IF($E467="","",INDEX('Input Transaksi'!$D:$D,$E467))</f>
        <v/>
      </c>
      <c r="C467">
        <f>IF($E467="","",INDEX('Input Transaksi'!$E:$E,$E467))</f>
        <v/>
      </c>
      <c r="D467" s="5">
        <f>IF($E467="","",INDEX('Input Transaksi'!$F:$F,$E467))</f>
        <v/>
      </c>
      <c r="E467">
        <f>IFERROR(AGGREGATE(15,6,ROW('Input Transaksi'!$B$5:$B$5000)/('Input Transaksi'!$B$5:$B$5000="LONDRI DEWE"),ROWS($E$5:E467)),"")</f>
        <v/>
      </c>
      <c r="F467" s="5" t="n"/>
    </row>
    <row r="468">
      <c r="A468" s="10">
        <f>IF($E468="","",INDEX('Input Transaksi'!$A:$A,$E468))</f>
        <v/>
      </c>
      <c r="B468" s="5">
        <f>IF($E468="","",INDEX('Input Transaksi'!$D:$D,$E468))</f>
        <v/>
      </c>
      <c r="C468">
        <f>IF($E468="","",INDEX('Input Transaksi'!$E:$E,$E468))</f>
        <v/>
      </c>
      <c r="D468" s="5">
        <f>IF($E468="","",INDEX('Input Transaksi'!$F:$F,$E468))</f>
        <v/>
      </c>
      <c r="E468">
        <f>IFERROR(AGGREGATE(15,6,ROW('Input Transaksi'!$B$5:$B$5000)/('Input Transaksi'!$B$5:$B$5000="LONDRI DEWE"),ROWS($E$5:E468)),"")</f>
        <v/>
      </c>
      <c r="F468" s="5" t="n"/>
    </row>
    <row r="469">
      <c r="A469" s="10">
        <f>IF($E469="","",INDEX('Input Transaksi'!$A:$A,$E469))</f>
        <v/>
      </c>
      <c r="B469" s="5">
        <f>IF($E469="","",INDEX('Input Transaksi'!$D:$D,$E469))</f>
        <v/>
      </c>
      <c r="C469">
        <f>IF($E469="","",INDEX('Input Transaksi'!$E:$E,$E469))</f>
        <v/>
      </c>
      <c r="D469" s="5">
        <f>IF($E469="","",INDEX('Input Transaksi'!$F:$F,$E469))</f>
        <v/>
      </c>
      <c r="E469">
        <f>IFERROR(AGGREGATE(15,6,ROW('Input Transaksi'!$B$5:$B$5000)/('Input Transaksi'!$B$5:$B$5000="LONDRI DEWE"),ROWS($E$5:E469)),"")</f>
        <v/>
      </c>
      <c r="F469" s="5" t="n"/>
    </row>
    <row r="470">
      <c r="A470" s="10">
        <f>IF($E470="","",INDEX('Input Transaksi'!$A:$A,$E470))</f>
        <v/>
      </c>
      <c r="B470" s="5">
        <f>IF($E470="","",INDEX('Input Transaksi'!$D:$D,$E470))</f>
        <v/>
      </c>
      <c r="C470">
        <f>IF($E470="","",INDEX('Input Transaksi'!$E:$E,$E470))</f>
        <v/>
      </c>
      <c r="D470" s="5">
        <f>IF($E470="","",INDEX('Input Transaksi'!$F:$F,$E470))</f>
        <v/>
      </c>
      <c r="E470">
        <f>IFERROR(AGGREGATE(15,6,ROW('Input Transaksi'!$B$5:$B$5000)/('Input Transaksi'!$B$5:$B$5000="LONDRI DEWE"),ROWS($E$5:E470)),"")</f>
        <v/>
      </c>
      <c r="F470" s="5" t="n"/>
    </row>
    <row r="471">
      <c r="A471" s="10">
        <f>IF($E471="","",INDEX('Input Transaksi'!$A:$A,$E471))</f>
        <v/>
      </c>
      <c r="B471" s="5">
        <f>IF($E471="","",INDEX('Input Transaksi'!$D:$D,$E471))</f>
        <v/>
      </c>
      <c r="C471">
        <f>IF($E471="","",INDEX('Input Transaksi'!$E:$E,$E471))</f>
        <v/>
      </c>
      <c r="D471" s="5">
        <f>IF($E471="","",INDEX('Input Transaksi'!$F:$F,$E471))</f>
        <v/>
      </c>
      <c r="E471">
        <f>IFERROR(AGGREGATE(15,6,ROW('Input Transaksi'!$B$5:$B$5000)/('Input Transaksi'!$B$5:$B$5000="LONDRI DEWE"),ROWS($E$5:E471)),"")</f>
        <v/>
      </c>
      <c r="F471" s="5" t="n"/>
    </row>
    <row r="472">
      <c r="A472" s="10">
        <f>IF($E472="","",INDEX('Input Transaksi'!$A:$A,$E472))</f>
        <v/>
      </c>
      <c r="B472" s="5">
        <f>IF($E472="","",INDEX('Input Transaksi'!$D:$D,$E472))</f>
        <v/>
      </c>
      <c r="C472">
        <f>IF($E472="","",INDEX('Input Transaksi'!$E:$E,$E472))</f>
        <v/>
      </c>
      <c r="D472" s="5">
        <f>IF($E472="","",INDEX('Input Transaksi'!$F:$F,$E472))</f>
        <v/>
      </c>
      <c r="E472">
        <f>IFERROR(AGGREGATE(15,6,ROW('Input Transaksi'!$B$5:$B$5000)/('Input Transaksi'!$B$5:$B$5000="LONDRI DEWE"),ROWS($E$5:E472)),"")</f>
        <v/>
      </c>
      <c r="F472" s="5" t="n"/>
    </row>
    <row r="473">
      <c r="A473" s="10">
        <f>IF($E473="","",INDEX('Input Transaksi'!$A:$A,$E473))</f>
        <v/>
      </c>
      <c r="B473" s="5">
        <f>IF($E473="","",INDEX('Input Transaksi'!$D:$D,$E473))</f>
        <v/>
      </c>
      <c r="C473">
        <f>IF($E473="","",INDEX('Input Transaksi'!$E:$E,$E473))</f>
        <v/>
      </c>
      <c r="D473" s="5">
        <f>IF($E473="","",INDEX('Input Transaksi'!$F:$F,$E473))</f>
        <v/>
      </c>
      <c r="E473">
        <f>IFERROR(AGGREGATE(15,6,ROW('Input Transaksi'!$B$5:$B$5000)/('Input Transaksi'!$B$5:$B$5000="LONDRI DEWE"),ROWS($E$5:E473)),"")</f>
        <v/>
      </c>
      <c r="F473" s="5" t="n"/>
    </row>
    <row r="474">
      <c r="A474" s="10">
        <f>IF($E474="","",INDEX('Input Transaksi'!$A:$A,$E474))</f>
        <v/>
      </c>
      <c r="B474" s="5">
        <f>IF($E474="","",INDEX('Input Transaksi'!$D:$D,$E474))</f>
        <v/>
      </c>
      <c r="C474">
        <f>IF($E474="","",INDEX('Input Transaksi'!$E:$E,$E474))</f>
        <v/>
      </c>
      <c r="D474" s="5">
        <f>IF($E474="","",INDEX('Input Transaksi'!$F:$F,$E474))</f>
        <v/>
      </c>
      <c r="E474">
        <f>IFERROR(AGGREGATE(15,6,ROW('Input Transaksi'!$B$5:$B$5000)/('Input Transaksi'!$B$5:$B$5000="LONDRI DEWE"),ROWS($E$5:E474)),"")</f>
        <v/>
      </c>
      <c r="F474" s="5" t="n"/>
    </row>
    <row r="475">
      <c r="A475" s="10">
        <f>IF($E475="","",INDEX('Input Transaksi'!$A:$A,$E475))</f>
        <v/>
      </c>
      <c r="B475" s="5">
        <f>IF($E475="","",INDEX('Input Transaksi'!$D:$D,$E475))</f>
        <v/>
      </c>
      <c r="C475">
        <f>IF($E475="","",INDEX('Input Transaksi'!$E:$E,$E475))</f>
        <v/>
      </c>
      <c r="D475" s="5">
        <f>IF($E475="","",INDEX('Input Transaksi'!$F:$F,$E475))</f>
        <v/>
      </c>
      <c r="E475">
        <f>IFERROR(AGGREGATE(15,6,ROW('Input Transaksi'!$B$5:$B$5000)/('Input Transaksi'!$B$5:$B$5000="LONDRI DEWE"),ROWS($E$5:E475)),"")</f>
        <v/>
      </c>
      <c r="F475" s="5" t="n"/>
    </row>
    <row r="476">
      <c r="A476" s="10">
        <f>IF($E476="","",INDEX('Input Transaksi'!$A:$A,$E476))</f>
        <v/>
      </c>
      <c r="B476" s="5">
        <f>IF($E476="","",INDEX('Input Transaksi'!$D:$D,$E476))</f>
        <v/>
      </c>
      <c r="C476">
        <f>IF($E476="","",INDEX('Input Transaksi'!$E:$E,$E476))</f>
        <v/>
      </c>
      <c r="D476" s="5">
        <f>IF($E476="","",INDEX('Input Transaksi'!$F:$F,$E476))</f>
        <v/>
      </c>
      <c r="E476">
        <f>IFERROR(AGGREGATE(15,6,ROW('Input Transaksi'!$B$5:$B$5000)/('Input Transaksi'!$B$5:$B$5000="LONDRI DEWE"),ROWS($E$5:E476)),"")</f>
        <v/>
      </c>
      <c r="F476" s="5" t="n"/>
    </row>
    <row r="477">
      <c r="A477" s="10">
        <f>IF($E477="","",INDEX('Input Transaksi'!$A:$A,$E477))</f>
        <v/>
      </c>
      <c r="B477" s="5">
        <f>IF($E477="","",INDEX('Input Transaksi'!$D:$D,$E477))</f>
        <v/>
      </c>
      <c r="C477">
        <f>IF($E477="","",INDEX('Input Transaksi'!$E:$E,$E477))</f>
        <v/>
      </c>
      <c r="D477" s="5">
        <f>IF($E477="","",INDEX('Input Transaksi'!$F:$F,$E477))</f>
        <v/>
      </c>
      <c r="E477">
        <f>IFERROR(AGGREGATE(15,6,ROW('Input Transaksi'!$B$5:$B$5000)/('Input Transaksi'!$B$5:$B$5000="LONDRI DEWE"),ROWS($E$5:E477)),"")</f>
        <v/>
      </c>
      <c r="F477" s="5" t="n"/>
    </row>
    <row r="478">
      <c r="A478" s="10">
        <f>IF($E478="","",INDEX('Input Transaksi'!$A:$A,$E478))</f>
        <v/>
      </c>
      <c r="B478" s="5">
        <f>IF($E478="","",INDEX('Input Transaksi'!$D:$D,$E478))</f>
        <v/>
      </c>
      <c r="C478">
        <f>IF($E478="","",INDEX('Input Transaksi'!$E:$E,$E478))</f>
        <v/>
      </c>
      <c r="D478" s="5">
        <f>IF($E478="","",INDEX('Input Transaksi'!$F:$F,$E478))</f>
        <v/>
      </c>
      <c r="E478">
        <f>IFERROR(AGGREGATE(15,6,ROW('Input Transaksi'!$B$5:$B$5000)/('Input Transaksi'!$B$5:$B$5000="LONDRI DEWE"),ROWS($E$5:E478)),"")</f>
        <v/>
      </c>
      <c r="F478" s="5" t="n"/>
    </row>
    <row r="479">
      <c r="A479" s="10">
        <f>IF($E479="","",INDEX('Input Transaksi'!$A:$A,$E479))</f>
        <v/>
      </c>
      <c r="B479" s="5">
        <f>IF($E479="","",INDEX('Input Transaksi'!$D:$D,$E479))</f>
        <v/>
      </c>
      <c r="C479">
        <f>IF($E479="","",INDEX('Input Transaksi'!$E:$E,$E479))</f>
        <v/>
      </c>
      <c r="D479" s="5">
        <f>IF($E479="","",INDEX('Input Transaksi'!$F:$F,$E479))</f>
        <v/>
      </c>
      <c r="E479">
        <f>IFERROR(AGGREGATE(15,6,ROW('Input Transaksi'!$B$5:$B$5000)/('Input Transaksi'!$B$5:$B$5000="LONDRI DEWE"),ROWS($E$5:E479)),"")</f>
        <v/>
      </c>
      <c r="F479" s="5" t="n"/>
    </row>
    <row r="480">
      <c r="A480" s="10">
        <f>IF($E480="","",INDEX('Input Transaksi'!$A:$A,$E480))</f>
        <v/>
      </c>
      <c r="B480" s="5">
        <f>IF($E480="","",INDEX('Input Transaksi'!$D:$D,$E480))</f>
        <v/>
      </c>
      <c r="C480">
        <f>IF($E480="","",INDEX('Input Transaksi'!$E:$E,$E480))</f>
        <v/>
      </c>
      <c r="D480" s="5">
        <f>IF($E480="","",INDEX('Input Transaksi'!$F:$F,$E480))</f>
        <v/>
      </c>
      <c r="E480">
        <f>IFERROR(AGGREGATE(15,6,ROW('Input Transaksi'!$B$5:$B$5000)/('Input Transaksi'!$B$5:$B$5000="LONDRI DEWE"),ROWS($E$5:E480)),"")</f>
        <v/>
      </c>
      <c r="F480" s="5" t="n"/>
    </row>
    <row r="481">
      <c r="A481" s="10">
        <f>IF($E481="","",INDEX('Input Transaksi'!$A:$A,$E481))</f>
        <v/>
      </c>
      <c r="B481" s="5">
        <f>IF($E481="","",INDEX('Input Transaksi'!$D:$D,$E481))</f>
        <v/>
      </c>
      <c r="C481">
        <f>IF($E481="","",INDEX('Input Transaksi'!$E:$E,$E481))</f>
        <v/>
      </c>
      <c r="D481" s="5">
        <f>IF($E481="","",INDEX('Input Transaksi'!$F:$F,$E481))</f>
        <v/>
      </c>
      <c r="E481">
        <f>IFERROR(AGGREGATE(15,6,ROW('Input Transaksi'!$B$5:$B$5000)/('Input Transaksi'!$B$5:$B$5000="LONDRI DEWE"),ROWS($E$5:E481)),"")</f>
        <v/>
      </c>
      <c r="F481" s="5" t="n"/>
    </row>
    <row r="482">
      <c r="A482" s="10">
        <f>IF($E482="","",INDEX('Input Transaksi'!$A:$A,$E482))</f>
        <v/>
      </c>
      <c r="B482" s="5">
        <f>IF($E482="","",INDEX('Input Transaksi'!$D:$D,$E482))</f>
        <v/>
      </c>
      <c r="C482">
        <f>IF($E482="","",INDEX('Input Transaksi'!$E:$E,$E482))</f>
        <v/>
      </c>
      <c r="D482" s="5">
        <f>IF($E482="","",INDEX('Input Transaksi'!$F:$F,$E482))</f>
        <v/>
      </c>
      <c r="E482">
        <f>IFERROR(AGGREGATE(15,6,ROW('Input Transaksi'!$B$5:$B$5000)/('Input Transaksi'!$B$5:$B$5000="LONDRI DEWE"),ROWS($E$5:E482)),"")</f>
        <v/>
      </c>
      <c r="F482" s="5" t="n"/>
    </row>
    <row r="483">
      <c r="A483" s="10">
        <f>IF($E483="","",INDEX('Input Transaksi'!$A:$A,$E483))</f>
        <v/>
      </c>
      <c r="B483" s="5">
        <f>IF($E483="","",INDEX('Input Transaksi'!$D:$D,$E483))</f>
        <v/>
      </c>
      <c r="C483">
        <f>IF($E483="","",INDEX('Input Transaksi'!$E:$E,$E483))</f>
        <v/>
      </c>
      <c r="D483" s="5">
        <f>IF($E483="","",INDEX('Input Transaksi'!$F:$F,$E483))</f>
        <v/>
      </c>
      <c r="E483">
        <f>IFERROR(AGGREGATE(15,6,ROW('Input Transaksi'!$B$5:$B$5000)/('Input Transaksi'!$B$5:$B$5000="LONDRI DEWE"),ROWS($E$5:E483)),"")</f>
        <v/>
      </c>
      <c r="F483" s="5" t="n"/>
    </row>
    <row r="484">
      <c r="A484" s="10">
        <f>IF($E484="","",INDEX('Input Transaksi'!$A:$A,$E484))</f>
        <v/>
      </c>
      <c r="B484" s="5">
        <f>IF($E484="","",INDEX('Input Transaksi'!$D:$D,$E484))</f>
        <v/>
      </c>
      <c r="C484">
        <f>IF($E484="","",INDEX('Input Transaksi'!$E:$E,$E484))</f>
        <v/>
      </c>
      <c r="D484" s="5">
        <f>IF($E484="","",INDEX('Input Transaksi'!$F:$F,$E484))</f>
        <v/>
      </c>
      <c r="E484">
        <f>IFERROR(AGGREGATE(15,6,ROW('Input Transaksi'!$B$5:$B$5000)/('Input Transaksi'!$B$5:$B$5000="LONDRI DEWE"),ROWS($E$5:E484)),"")</f>
        <v/>
      </c>
      <c r="F484" s="5" t="n"/>
    </row>
    <row r="485">
      <c r="A485" s="10">
        <f>IF($E485="","",INDEX('Input Transaksi'!$A:$A,$E485))</f>
        <v/>
      </c>
      <c r="B485" s="5">
        <f>IF($E485="","",INDEX('Input Transaksi'!$D:$D,$E485))</f>
        <v/>
      </c>
      <c r="C485">
        <f>IF($E485="","",INDEX('Input Transaksi'!$E:$E,$E485))</f>
        <v/>
      </c>
      <c r="D485" s="5">
        <f>IF($E485="","",INDEX('Input Transaksi'!$F:$F,$E485))</f>
        <v/>
      </c>
      <c r="E485">
        <f>IFERROR(AGGREGATE(15,6,ROW('Input Transaksi'!$B$5:$B$5000)/('Input Transaksi'!$B$5:$B$5000="LONDRI DEWE"),ROWS($E$5:E485)),"")</f>
        <v/>
      </c>
      <c r="F485" s="5" t="n"/>
    </row>
    <row r="486">
      <c r="A486" s="10">
        <f>IF($E486="","",INDEX('Input Transaksi'!$A:$A,$E486))</f>
        <v/>
      </c>
      <c r="B486" s="5">
        <f>IF($E486="","",INDEX('Input Transaksi'!$D:$D,$E486))</f>
        <v/>
      </c>
      <c r="C486">
        <f>IF($E486="","",INDEX('Input Transaksi'!$E:$E,$E486))</f>
        <v/>
      </c>
      <c r="D486" s="5">
        <f>IF($E486="","",INDEX('Input Transaksi'!$F:$F,$E486))</f>
        <v/>
      </c>
      <c r="E486">
        <f>IFERROR(AGGREGATE(15,6,ROW('Input Transaksi'!$B$5:$B$5000)/('Input Transaksi'!$B$5:$B$5000="LONDRI DEWE"),ROWS($E$5:E486)),"")</f>
        <v/>
      </c>
      <c r="F486" s="5" t="n"/>
    </row>
    <row r="487">
      <c r="A487" s="10">
        <f>IF($E487="","",INDEX('Input Transaksi'!$A:$A,$E487))</f>
        <v/>
      </c>
      <c r="B487" s="5">
        <f>IF($E487="","",INDEX('Input Transaksi'!$D:$D,$E487))</f>
        <v/>
      </c>
      <c r="C487">
        <f>IF($E487="","",INDEX('Input Transaksi'!$E:$E,$E487))</f>
        <v/>
      </c>
      <c r="D487" s="5">
        <f>IF($E487="","",INDEX('Input Transaksi'!$F:$F,$E487))</f>
        <v/>
      </c>
      <c r="E487">
        <f>IFERROR(AGGREGATE(15,6,ROW('Input Transaksi'!$B$5:$B$5000)/('Input Transaksi'!$B$5:$B$5000="LONDRI DEWE"),ROWS($E$5:E487)),"")</f>
        <v/>
      </c>
      <c r="F487" s="5" t="n"/>
    </row>
    <row r="488">
      <c r="A488" s="10">
        <f>IF($E488="","",INDEX('Input Transaksi'!$A:$A,$E488))</f>
        <v/>
      </c>
      <c r="B488" s="5">
        <f>IF($E488="","",INDEX('Input Transaksi'!$D:$D,$E488))</f>
        <v/>
      </c>
      <c r="C488">
        <f>IF($E488="","",INDEX('Input Transaksi'!$E:$E,$E488))</f>
        <v/>
      </c>
      <c r="D488" s="5">
        <f>IF($E488="","",INDEX('Input Transaksi'!$F:$F,$E488))</f>
        <v/>
      </c>
      <c r="E488">
        <f>IFERROR(AGGREGATE(15,6,ROW('Input Transaksi'!$B$5:$B$5000)/('Input Transaksi'!$B$5:$B$5000="LONDRI DEWE"),ROWS($E$5:E488)),"")</f>
        <v/>
      </c>
      <c r="F488" s="5" t="n"/>
    </row>
    <row r="489">
      <c r="A489" s="10">
        <f>IF($E489="","",INDEX('Input Transaksi'!$A:$A,$E489))</f>
        <v/>
      </c>
      <c r="B489" s="5">
        <f>IF($E489="","",INDEX('Input Transaksi'!$D:$D,$E489))</f>
        <v/>
      </c>
      <c r="C489">
        <f>IF($E489="","",INDEX('Input Transaksi'!$E:$E,$E489))</f>
        <v/>
      </c>
      <c r="D489" s="5">
        <f>IF($E489="","",INDEX('Input Transaksi'!$F:$F,$E489))</f>
        <v/>
      </c>
      <c r="E489">
        <f>IFERROR(AGGREGATE(15,6,ROW('Input Transaksi'!$B$5:$B$5000)/('Input Transaksi'!$B$5:$B$5000="LONDRI DEWE"),ROWS($E$5:E489)),"")</f>
        <v/>
      </c>
      <c r="F489" s="5" t="n"/>
    </row>
    <row r="490">
      <c r="A490" s="10">
        <f>IF($E490="","",INDEX('Input Transaksi'!$A:$A,$E490))</f>
        <v/>
      </c>
      <c r="B490" s="5">
        <f>IF($E490="","",INDEX('Input Transaksi'!$D:$D,$E490))</f>
        <v/>
      </c>
      <c r="C490">
        <f>IF($E490="","",INDEX('Input Transaksi'!$E:$E,$E490))</f>
        <v/>
      </c>
      <c r="D490" s="5">
        <f>IF($E490="","",INDEX('Input Transaksi'!$F:$F,$E490))</f>
        <v/>
      </c>
      <c r="E490">
        <f>IFERROR(AGGREGATE(15,6,ROW('Input Transaksi'!$B$5:$B$5000)/('Input Transaksi'!$B$5:$B$5000="LONDRI DEWE"),ROWS($E$5:E490)),"")</f>
        <v/>
      </c>
      <c r="F490" s="5" t="n"/>
    </row>
    <row r="491">
      <c r="A491" s="10">
        <f>IF($E491="","",INDEX('Input Transaksi'!$A:$A,$E491))</f>
        <v/>
      </c>
      <c r="B491" s="5">
        <f>IF($E491="","",INDEX('Input Transaksi'!$D:$D,$E491))</f>
        <v/>
      </c>
      <c r="C491">
        <f>IF($E491="","",INDEX('Input Transaksi'!$E:$E,$E491))</f>
        <v/>
      </c>
      <c r="D491" s="5">
        <f>IF($E491="","",INDEX('Input Transaksi'!$F:$F,$E491))</f>
        <v/>
      </c>
      <c r="E491">
        <f>IFERROR(AGGREGATE(15,6,ROW('Input Transaksi'!$B$5:$B$5000)/('Input Transaksi'!$B$5:$B$5000="LONDRI DEWE"),ROWS($E$5:E491)),"")</f>
        <v/>
      </c>
      <c r="F491" s="5" t="n"/>
    </row>
    <row r="492">
      <c r="A492" s="10">
        <f>IF($E492="","",INDEX('Input Transaksi'!$A:$A,$E492))</f>
        <v/>
      </c>
      <c r="B492" s="5">
        <f>IF($E492="","",INDEX('Input Transaksi'!$D:$D,$E492))</f>
        <v/>
      </c>
      <c r="C492">
        <f>IF($E492="","",INDEX('Input Transaksi'!$E:$E,$E492))</f>
        <v/>
      </c>
      <c r="D492" s="5">
        <f>IF($E492="","",INDEX('Input Transaksi'!$F:$F,$E492))</f>
        <v/>
      </c>
      <c r="E492">
        <f>IFERROR(AGGREGATE(15,6,ROW('Input Transaksi'!$B$5:$B$5000)/('Input Transaksi'!$B$5:$B$5000="LONDRI DEWE"),ROWS($E$5:E492)),"")</f>
        <v/>
      </c>
      <c r="F492" s="5" t="n"/>
    </row>
    <row r="493">
      <c r="A493" s="10">
        <f>IF($E493="","",INDEX('Input Transaksi'!$A:$A,$E493))</f>
        <v/>
      </c>
      <c r="B493" s="5">
        <f>IF($E493="","",INDEX('Input Transaksi'!$D:$D,$E493))</f>
        <v/>
      </c>
      <c r="C493">
        <f>IF($E493="","",INDEX('Input Transaksi'!$E:$E,$E493))</f>
        <v/>
      </c>
      <c r="D493" s="5">
        <f>IF($E493="","",INDEX('Input Transaksi'!$F:$F,$E493))</f>
        <v/>
      </c>
      <c r="E493">
        <f>IFERROR(AGGREGATE(15,6,ROW('Input Transaksi'!$B$5:$B$5000)/('Input Transaksi'!$B$5:$B$5000="LONDRI DEWE"),ROWS($E$5:E493)),"")</f>
        <v/>
      </c>
      <c r="F493" s="5" t="n"/>
    </row>
    <row r="494">
      <c r="A494" s="10">
        <f>IF($E494="","",INDEX('Input Transaksi'!$A:$A,$E494))</f>
        <v/>
      </c>
      <c r="B494" s="5">
        <f>IF($E494="","",INDEX('Input Transaksi'!$D:$D,$E494))</f>
        <v/>
      </c>
      <c r="C494">
        <f>IF($E494="","",INDEX('Input Transaksi'!$E:$E,$E494))</f>
        <v/>
      </c>
      <c r="D494" s="5">
        <f>IF($E494="","",INDEX('Input Transaksi'!$F:$F,$E494))</f>
        <v/>
      </c>
      <c r="E494">
        <f>IFERROR(AGGREGATE(15,6,ROW('Input Transaksi'!$B$5:$B$5000)/('Input Transaksi'!$B$5:$B$5000="LONDRI DEWE"),ROWS($E$5:E494)),"")</f>
        <v/>
      </c>
      <c r="F494" s="5" t="n"/>
    </row>
    <row r="495">
      <c r="A495" s="10">
        <f>IF($E495="","",INDEX('Input Transaksi'!$A:$A,$E495))</f>
        <v/>
      </c>
      <c r="B495" s="5">
        <f>IF($E495="","",INDEX('Input Transaksi'!$D:$D,$E495))</f>
        <v/>
      </c>
      <c r="C495">
        <f>IF($E495="","",INDEX('Input Transaksi'!$E:$E,$E495))</f>
        <v/>
      </c>
      <c r="D495" s="5">
        <f>IF($E495="","",INDEX('Input Transaksi'!$F:$F,$E495))</f>
        <v/>
      </c>
      <c r="E495">
        <f>IFERROR(AGGREGATE(15,6,ROW('Input Transaksi'!$B$5:$B$5000)/('Input Transaksi'!$B$5:$B$5000="LONDRI DEWE"),ROWS($E$5:E495)),"")</f>
        <v/>
      </c>
      <c r="F495" s="5" t="n"/>
    </row>
    <row r="496">
      <c r="A496" s="10">
        <f>IF($E496="","",INDEX('Input Transaksi'!$A:$A,$E496))</f>
        <v/>
      </c>
      <c r="B496" s="5">
        <f>IF($E496="","",INDEX('Input Transaksi'!$D:$D,$E496))</f>
        <v/>
      </c>
      <c r="C496">
        <f>IF($E496="","",INDEX('Input Transaksi'!$E:$E,$E496))</f>
        <v/>
      </c>
      <c r="D496" s="5">
        <f>IF($E496="","",INDEX('Input Transaksi'!$F:$F,$E496))</f>
        <v/>
      </c>
      <c r="E496">
        <f>IFERROR(AGGREGATE(15,6,ROW('Input Transaksi'!$B$5:$B$5000)/('Input Transaksi'!$B$5:$B$5000="LONDRI DEWE"),ROWS($E$5:E496)),"")</f>
        <v/>
      </c>
      <c r="F496" s="5" t="n"/>
    </row>
    <row r="497">
      <c r="A497" s="10">
        <f>IF($E497="","",INDEX('Input Transaksi'!$A:$A,$E497))</f>
        <v/>
      </c>
      <c r="B497" s="5">
        <f>IF($E497="","",INDEX('Input Transaksi'!$D:$D,$E497))</f>
        <v/>
      </c>
      <c r="C497">
        <f>IF($E497="","",INDEX('Input Transaksi'!$E:$E,$E497))</f>
        <v/>
      </c>
      <c r="D497" s="5">
        <f>IF($E497="","",INDEX('Input Transaksi'!$F:$F,$E497))</f>
        <v/>
      </c>
      <c r="E497">
        <f>IFERROR(AGGREGATE(15,6,ROW('Input Transaksi'!$B$5:$B$5000)/('Input Transaksi'!$B$5:$B$5000="LONDRI DEWE"),ROWS($E$5:E497)),"")</f>
        <v/>
      </c>
      <c r="F497" s="5" t="n"/>
    </row>
    <row r="498">
      <c r="A498" s="10">
        <f>IF($E498="","",INDEX('Input Transaksi'!$A:$A,$E498))</f>
        <v/>
      </c>
      <c r="B498" s="5">
        <f>IF($E498="","",INDEX('Input Transaksi'!$D:$D,$E498))</f>
        <v/>
      </c>
      <c r="C498">
        <f>IF($E498="","",INDEX('Input Transaksi'!$E:$E,$E498))</f>
        <v/>
      </c>
      <c r="D498" s="5">
        <f>IF($E498="","",INDEX('Input Transaksi'!$F:$F,$E498))</f>
        <v/>
      </c>
      <c r="E498">
        <f>IFERROR(AGGREGATE(15,6,ROW('Input Transaksi'!$B$5:$B$5000)/('Input Transaksi'!$B$5:$B$5000="LONDRI DEWE"),ROWS($E$5:E498)),"")</f>
        <v/>
      </c>
      <c r="F498" s="5" t="n"/>
    </row>
    <row r="499">
      <c r="A499" s="10">
        <f>IF($E499="","",INDEX('Input Transaksi'!$A:$A,$E499))</f>
        <v/>
      </c>
      <c r="B499" s="5">
        <f>IF($E499="","",INDEX('Input Transaksi'!$D:$D,$E499))</f>
        <v/>
      </c>
      <c r="C499">
        <f>IF($E499="","",INDEX('Input Transaksi'!$E:$E,$E499))</f>
        <v/>
      </c>
      <c r="D499" s="5">
        <f>IF($E499="","",INDEX('Input Transaksi'!$F:$F,$E499))</f>
        <v/>
      </c>
      <c r="E499">
        <f>IFERROR(AGGREGATE(15,6,ROW('Input Transaksi'!$B$5:$B$5000)/('Input Transaksi'!$B$5:$B$5000="LONDRI DEWE"),ROWS($E$5:E499)),"")</f>
        <v/>
      </c>
      <c r="F499" s="5" t="n"/>
    </row>
    <row r="500">
      <c r="A500" s="10">
        <f>IF($E500="","",INDEX('Input Transaksi'!$A:$A,$E500))</f>
        <v/>
      </c>
      <c r="B500" s="5">
        <f>IF($E500="","",INDEX('Input Transaksi'!$D:$D,$E500))</f>
        <v/>
      </c>
      <c r="C500">
        <f>IF($E500="","",INDEX('Input Transaksi'!$E:$E,$E500))</f>
        <v/>
      </c>
      <c r="D500" s="5">
        <f>IF($E500="","",INDEX('Input Transaksi'!$F:$F,$E500))</f>
        <v/>
      </c>
      <c r="E500">
        <f>IFERROR(AGGREGATE(15,6,ROW('Input Transaksi'!$B$5:$B$5000)/('Input Transaksi'!$B$5:$B$5000="LONDRI DEWE"),ROWS($E$5:E500)),"")</f>
        <v/>
      </c>
      <c r="F500" s="5" t="n"/>
    </row>
    <row r="501">
      <c r="A501" s="10">
        <f>IF($E501="","",INDEX('Input Transaksi'!$A:$A,$E501))</f>
        <v/>
      </c>
      <c r="B501" s="5">
        <f>IF($E501="","",INDEX('Input Transaksi'!$D:$D,$E501))</f>
        <v/>
      </c>
      <c r="C501">
        <f>IF($E501="","",INDEX('Input Transaksi'!$E:$E,$E501))</f>
        <v/>
      </c>
      <c r="D501" s="5">
        <f>IF($E501="","",INDEX('Input Transaksi'!$F:$F,$E501))</f>
        <v/>
      </c>
      <c r="E501">
        <f>IFERROR(AGGREGATE(15,6,ROW('Input Transaksi'!$B$5:$B$5000)/('Input Transaksi'!$B$5:$B$5000="LONDRI DEWE"),ROWS($E$5:E501)),"")</f>
        <v/>
      </c>
      <c r="F501" s="5" t="n"/>
    </row>
    <row r="502">
      <c r="A502" s="10">
        <f>IF($E502="","",INDEX('Input Transaksi'!$A:$A,$E502))</f>
        <v/>
      </c>
      <c r="B502" s="5">
        <f>IF($E502="","",INDEX('Input Transaksi'!$D:$D,$E502))</f>
        <v/>
      </c>
      <c r="C502">
        <f>IF($E502="","",INDEX('Input Transaksi'!$E:$E,$E502))</f>
        <v/>
      </c>
      <c r="D502" s="5">
        <f>IF($E502="","",INDEX('Input Transaksi'!$F:$F,$E502))</f>
        <v/>
      </c>
      <c r="E502">
        <f>IFERROR(AGGREGATE(15,6,ROW('Input Transaksi'!$B$5:$B$5000)/('Input Transaksi'!$B$5:$B$5000="LONDRI DEWE"),ROWS($E$5:E502)),"")</f>
        <v/>
      </c>
      <c r="F502" s="5" t="n"/>
    </row>
    <row r="503">
      <c r="A503" s="10">
        <f>IF($E503="","",INDEX('Input Transaksi'!$A:$A,$E503))</f>
        <v/>
      </c>
      <c r="B503" s="5">
        <f>IF($E503="","",INDEX('Input Transaksi'!$D:$D,$E503))</f>
        <v/>
      </c>
      <c r="C503">
        <f>IF($E503="","",INDEX('Input Transaksi'!$E:$E,$E503))</f>
        <v/>
      </c>
      <c r="D503" s="5">
        <f>IF($E503="","",INDEX('Input Transaksi'!$F:$F,$E503))</f>
        <v/>
      </c>
      <c r="E503">
        <f>IFERROR(AGGREGATE(15,6,ROW('Input Transaksi'!$B$5:$B$5000)/('Input Transaksi'!$B$5:$B$5000="LONDRI DEWE"),ROWS($E$5:E503)),"")</f>
        <v/>
      </c>
      <c r="F503" s="5" t="n"/>
    </row>
    <row r="504">
      <c r="A504" s="10">
        <f>IF($E504="","",INDEX('Input Transaksi'!$A:$A,$E504))</f>
        <v/>
      </c>
      <c r="B504" s="5">
        <f>IF($E504="","",INDEX('Input Transaksi'!$D:$D,$E504))</f>
        <v/>
      </c>
      <c r="C504">
        <f>IF($E504="","",INDEX('Input Transaksi'!$E:$E,$E504))</f>
        <v/>
      </c>
      <c r="D504" s="5">
        <f>IF($E504="","",INDEX('Input Transaksi'!$F:$F,$E504))</f>
        <v/>
      </c>
      <c r="E504">
        <f>IFERROR(AGGREGATE(15,6,ROW('Input Transaksi'!$B$5:$B$5000)/('Input Transaksi'!$B$5:$B$5000="LONDRI DEWE"),ROWS($E$5:E504)),"")</f>
        <v/>
      </c>
      <c r="F504" s="5" t="n"/>
    </row>
    <row r="505">
      <c r="A505" s="10">
        <f>IF($E505="","",INDEX('Input Transaksi'!$A:$A,$E505))</f>
        <v/>
      </c>
      <c r="B505" s="5">
        <f>IF($E505="","",INDEX('Input Transaksi'!$D:$D,$E505))</f>
        <v/>
      </c>
      <c r="C505">
        <f>IF($E505="","",INDEX('Input Transaksi'!$E:$E,$E505))</f>
        <v/>
      </c>
      <c r="D505" s="5">
        <f>IF($E505="","",INDEX('Input Transaksi'!$F:$F,$E505))</f>
        <v/>
      </c>
      <c r="E505">
        <f>IFERROR(AGGREGATE(15,6,ROW('Input Transaksi'!$B$5:$B$5000)/('Input Transaksi'!$B$5:$B$5000="LONDRI DEWE"),ROWS($E$5:E505)),"")</f>
        <v/>
      </c>
      <c r="F505" s="5" t="n"/>
    </row>
    <row r="506">
      <c r="A506" s="10">
        <f>IF($E506="","",INDEX('Input Transaksi'!$A:$A,$E506))</f>
        <v/>
      </c>
      <c r="B506" s="5">
        <f>IF($E506="","",INDEX('Input Transaksi'!$D:$D,$E506))</f>
        <v/>
      </c>
      <c r="C506">
        <f>IF($E506="","",INDEX('Input Transaksi'!$E:$E,$E506))</f>
        <v/>
      </c>
      <c r="D506" s="5">
        <f>IF($E506="","",INDEX('Input Transaksi'!$F:$F,$E506))</f>
        <v/>
      </c>
      <c r="E506">
        <f>IFERROR(AGGREGATE(15,6,ROW('Input Transaksi'!$B$5:$B$5000)/('Input Transaksi'!$B$5:$B$5000="LONDRI DEWE"),ROWS($E$5:E506)),"")</f>
        <v/>
      </c>
      <c r="F506" s="5" t="n"/>
    </row>
    <row r="507">
      <c r="A507" s="10">
        <f>IF($E507="","",INDEX('Input Transaksi'!$A:$A,$E507))</f>
        <v/>
      </c>
      <c r="B507" s="5">
        <f>IF($E507="","",INDEX('Input Transaksi'!$D:$D,$E507))</f>
        <v/>
      </c>
      <c r="C507">
        <f>IF($E507="","",INDEX('Input Transaksi'!$E:$E,$E507))</f>
        <v/>
      </c>
      <c r="D507" s="5">
        <f>IF($E507="","",INDEX('Input Transaksi'!$F:$F,$E507))</f>
        <v/>
      </c>
      <c r="E507">
        <f>IFERROR(AGGREGATE(15,6,ROW('Input Transaksi'!$B$5:$B$5000)/('Input Transaksi'!$B$5:$B$5000="LONDRI DEWE"),ROWS($E$5:E507)),"")</f>
        <v/>
      </c>
      <c r="F507" s="5" t="n"/>
    </row>
    <row r="508">
      <c r="A508" s="10">
        <f>IF($E508="","",INDEX('Input Transaksi'!$A:$A,$E508))</f>
        <v/>
      </c>
      <c r="B508" s="5">
        <f>IF($E508="","",INDEX('Input Transaksi'!$D:$D,$E508))</f>
        <v/>
      </c>
      <c r="C508">
        <f>IF($E508="","",INDEX('Input Transaksi'!$E:$E,$E508))</f>
        <v/>
      </c>
      <c r="D508" s="5">
        <f>IF($E508="","",INDEX('Input Transaksi'!$F:$F,$E508))</f>
        <v/>
      </c>
      <c r="E508">
        <f>IFERROR(AGGREGATE(15,6,ROW('Input Transaksi'!$B$5:$B$5000)/('Input Transaksi'!$B$5:$B$5000="LONDRI DEWE"),ROWS($E$5:E508)),"")</f>
        <v/>
      </c>
      <c r="F508" s="5" t="n"/>
    </row>
    <row r="509">
      <c r="A509" s="10">
        <f>IF($E509="","",INDEX('Input Transaksi'!$A:$A,$E509))</f>
        <v/>
      </c>
      <c r="B509" s="5">
        <f>IF($E509="","",INDEX('Input Transaksi'!$D:$D,$E509))</f>
        <v/>
      </c>
      <c r="C509">
        <f>IF($E509="","",INDEX('Input Transaksi'!$E:$E,$E509))</f>
        <v/>
      </c>
      <c r="D509" s="5">
        <f>IF($E509="","",INDEX('Input Transaksi'!$F:$F,$E509))</f>
        <v/>
      </c>
      <c r="E509">
        <f>IFERROR(AGGREGATE(15,6,ROW('Input Transaksi'!$B$5:$B$5000)/('Input Transaksi'!$B$5:$B$5000="LONDRI DEWE"),ROWS($E$5:E509)),"")</f>
        <v/>
      </c>
      <c r="F509" s="5" t="n"/>
    </row>
    <row r="510">
      <c r="A510" s="10">
        <f>IF($E510="","",INDEX('Input Transaksi'!$A:$A,$E510))</f>
        <v/>
      </c>
      <c r="B510" s="5">
        <f>IF($E510="","",INDEX('Input Transaksi'!$D:$D,$E510))</f>
        <v/>
      </c>
      <c r="C510">
        <f>IF($E510="","",INDEX('Input Transaksi'!$E:$E,$E510))</f>
        <v/>
      </c>
      <c r="D510" s="5">
        <f>IF($E510="","",INDEX('Input Transaksi'!$F:$F,$E510))</f>
        <v/>
      </c>
      <c r="E510">
        <f>IFERROR(AGGREGATE(15,6,ROW('Input Transaksi'!$B$5:$B$5000)/('Input Transaksi'!$B$5:$B$5000="LONDRI DEWE"),ROWS($E$5:E510)),"")</f>
        <v/>
      </c>
      <c r="F510" s="5" t="n"/>
    </row>
    <row r="511">
      <c r="A511" s="10">
        <f>IF($E511="","",INDEX('Input Transaksi'!$A:$A,$E511))</f>
        <v/>
      </c>
      <c r="B511" s="5">
        <f>IF($E511="","",INDEX('Input Transaksi'!$D:$D,$E511))</f>
        <v/>
      </c>
      <c r="C511">
        <f>IF($E511="","",INDEX('Input Transaksi'!$E:$E,$E511))</f>
        <v/>
      </c>
      <c r="D511" s="5">
        <f>IF($E511="","",INDEX('Input Transaksi'!$F:$F,$E511))</f>
        <v/>
      </c>
      <c r="E511">
        <f>IFERROR(AGGREGATE(15,6,ROW('Input Transaksi'!$B$5:$B$5000)/('Input Transaksi'!$B$5:$B$5000="LONDRI DEWE"),ROWS($E$5:E511)),"")</f>
        <v/>
      </c>
      <c r="F511" s="5" t="n"/>
    </row>
    <row r="512">
      <c r="A512" s="10">
        <f>IF($E512="","",INDEX('Input Transaksi'!$A:$A,$E512))</f>
        <v/>
      </c>
      <c r="B512" s="5">
        <f>IF($E512="","",INDEX('Input Transaksi'!$D:$D,$E512))</f>
        <v/>
      </c>
      <c r="C512">
        <f>IF($E512="","",INDEX('Input Transaksi'!$E:$E,$E512))</f>
        <v/>
      </c>
      <c r="D512" s="5">
        <f>IF($E512="","",INDEX('Input Transaksi'!$F:$F,$E512))</f>
        <v/>
      </c>
      <c r="E512">
        <f>IFERROR(AGGREGATE(15,6,ROW('Input Transaksi'!$B$5:$B$5000)/('Input Transaksi'!$B$5:$B$5000="LONDRI DEWE"),ROWS($E$5:E512)),"")</f>
        <v/>
      </c>
      <c r="F512" s="5" t="n"/>
    </row>
    <row r="513">
      <c r="A513" s="10">
        <f>IF($E513="","",INDEX('Input Transaksi'!$A:$A,$E513))</f>
        <v/>
      </c>
      <c r="B513" s="5">
        <f>IF($E513="","",INDEX('Input Transaksi'!$D:$D,$E513))</f>
        <v/>
      </c>
      <c r="C513">
        <f>IF($E513="","",INDEX('Input Transaksi'!$E:$E,$E513))</f>
        <v/>
      </c>
      <c r="D513" s="5">
        <f>IF($E513="","",INDEX('Input Transaksi'!$F:$F,$E513))</f>
        <v/>
      </c>
      <c r="E513">
        <f>IFERROR(AGGREGATE(15,6,ROW('Input Transaksi'!$B$5:$B$5000)/('Input Transaksi'!$B$5:$B$5000="LONDRI DEWE"),ROWS($E$5:E513)),"")</f>
        <v/>
      </c>
      <c r="F513" s="5" t="n"/>
    </row>
    <row r="514">
      <c r="A514" s="10">
        <f>IF($E514="","",INDEX('Input Transaksi'!$A:$A,$E514))</f>
        <v/>
      </c>
      <c r="B514" s="5">
        <f>IF($E514="","",INDEX('Input Transaksi'!$D:$D,$E514))</f>
        <v/>
      </c>
      <c r="C514">
        <f>IF($E514="","",INDEX('Input Transaksi'!$E:$E,$E514))</f>
        <v/>
      </c>
      <c r="D514" s="5">
        <f>IF($E514="","",INDEX('Input Transaksi'!$F:$F,$E514))</f>
        <v/>
      </c>
      <c r="E514">
        <f>IFERROR(AGGREGATE(15,6,ROW('Input Transaksi'!$B$5:$B$5000)/('Input Transaksi'!$B$5:$B$5000="LONDRI DEWE"),ROWS($E$5:E514)),"")</f>
        <v/>
      </c>
      <c r="F514" s="5" t="n"/>
    </row>
    <row r="515">
      <c r="A515" s="10">
        <f>IF($E515="","",INDEX('Input Transaksi'!$A:$A,$E515))</f>
        <v/>
      </c>
      <c r="B515" s="5">
        <f>IF($E515="","",INDEX('Input Transaksi'!$D:$D,$E515))</f>
        <v/>
      </c>
      <c r="C515">
        <f>IF($E515="","",INDEX('Input Transaksi'!$E:$E,$E515))</f>
        <v/>
      </c>
      <c r="D515" s="5">
        <f>IF($E515="","",INDEX('Input Transaksi'!$F:$F,$E515))</f>
        <v/>
      </c>
      <c r="E515">
        <f>IFERROR(AGGREGATE(15,6,ROW('Input Transaksi'!$B$5:$B$5000)/('Input Transaksi'!$B$5:$B$5000="LONDRI DEWE"),ROWS($E$5:E515)),"")</f>
        <v/>
      </c>
      <c r="F515" s="5" t="n"/>
    </row>
    <row r="516">
      <c r="A516" s="10">
        <f>IF($E516="","",INDEX('Input Transaksi'!$A:$A,$E516))</f>
        <v/>
      </c>
      <c r="B516" s="5">
        <f>IF($E516="","",INDEX('Input Transaksi'!$D:$D,$E516))</f>
        <v/>
      </c>
      <c r="C516">
        <f>IF($E516="","",INDEX('Input Transaksi'!$E:$E,$E516))</f>
        <v/>
      </c>
      <c r="D516" s="5">
        <f>IF($E516="","",INDEX('Input Transaksi'!$F:$F,$E516))</f>
        <v/>
      </c>
      <c r="E516">
        <f>IFERROR(AGGREGATE(15,6,ROW('Input Transaksi'!$B$5:$B$5000)/('Input Transaksi'!$B$5:$B$5000="LONDRI DEWE"),ROWS($E$5:E516)),"")</f>
        <v/>
      </c>
      <c r="F516" s="5" t="n"/>
    </row>
    <row r="517">
      <c r="A517" s="10">
        <f>IF($E517="","",INDEX('Input Transaksi'!$A:$A,$E517))</f>
        <v/>
      </c>
      <c r="B517" s="5">
        <f>IF($E517="","",INDEX('Input Transaksi'!$D:$D,$E517))</f>
        <v/>
      </c>
      <c r="C517">
        <f>IF($E517="","",INDEX('Input Transaksi'!$E:$E,$E517))</f>
        <v/>
      </c>
      <c r="D517" s="5">
        <f>IF($E517="","",INDEX('Input Transaksi'!$F:$F,$E517))</f>
        <v/>
      </c>
      <c r="E517">
        <f>IFERROR(AGGREGATE(15,6,ROW('Input Transaksi'!$B$5:$B$5000)/('Input Transaksi'!$B$5:$B$5000="LONDRI DEWE"),ROWS($E$5:E517)),"")</f>
        <v/>
      </c>
      <c r="F517" s="5" t="n"/>
    </row>
    <row r="518">
      <c r="A518" s="10">
        <f>IF($E518="","",INDEX('Input Transaksi'!$A:$A,$E518))</f>
        <v/>
      </c>
      <c r="B518" s="5">
        <f>IF($E518="","",INDEX('Input Transaksi'!$D:$D,$E518))</f>
        <v/>
      </c>
      <c r="C518">
        <f>IF($E518="","",INDEX('Input Transaksi'!$E:$E,$E518))</f>
        <v/>
      </c>
      <c r="D518" s="5">
        <f>IF($E518="","",INDEX('Input Transaksi'!$F:$F,$E518))</f>
        <v/>
      </c>
      <c r="E518">
        <f>IFERROR(AGGREGATE(15,6,ROW('Input Transaksi'!$B$5:$B$5000)/('Input Transaksi'!$B$5:$B$5000="LONDRI DEWE"),ROWS($E$5:E518)),"")</f>
        <v/>
      </c>
      <c r="F518" s="5" t="n"/>
    </row>
    <row r="519">
      <c r="A519" s="10">
        <f>IF($E519="","",INDEX('Input Transaksi'!$A:$A,$E519))</f>
        <v/>
      </c>
      <c r="B519" s="5">
        <f>IF($E519="","",INDEX('Input Transaksi'!$D:$D,$E519))</f>
        <v/>
      </c>
      <c r="C519">
        <f>IF($E519="","",INDEX('Input Transaksi'!$E:$E,$E519))</f>
        <v/>
      </c>
      <c r="D519" s="5">
        <f>IF($E519="","",INDEX('Input Transaksi'!$F:$F,$E519))</f>
        <v/>
      </c>
      <c r="E519">
        <f>IFERROR(AGGREGATE(15,6,ROW('Input Transaksi'!$B$5:$B$5000)/('Input Transaksi'!$B$5:$B$5000="LONDRI DEWE"),ROWS($E$5:E519)),"")</f>
        <v/>
      </c>
      <c r="F519" s="5" t="n"/>
    </row>
    <row r="520">
      <c r="A520" s="10">
        <f>IF($E520="","",INDEX('Input Transaksi'!$A:$A,$E520))</f>
        <v/>
      </c>
      <c r="B520" s="5">
        <f>IF($E520="","",INDEX('Input Transaksi'!$D:$D,$E520))</f>
        <v/>
      </c>
      <c r="C520">
        <f>IF($E520="","",INDEX('Input Transaksi'!$E:$E,$E520))</f>
        <v/>
      </c>
      <c r="D520" s="5">
        <f>IF($E520="","",INDEX('Input Transaksi'!$F:$F,$E520))</f>
        <v/>
      </c>
      <c r="E520">
        <f>IFERROR(AGGREGATE(15,6,ROW('Input Transaksi'!$B$5:$B$5000)/('Input Transaksi'!$B$5:$B$5000="LONDRI DEWE"),ROWS($E$5:E520)),"")</f>
        <v/>
      </c>
      <c r="F520" s="5" t="n"/>
    </row>
    <row r="521">
      <c r="A521" s="10">
        <f>IF($E521="","",INDEX('Input Transaksi'!$A:$A,$E521))</f>
        <v/>
      </c>
      <c r="B521" s="5">
        <f>IF($E521="","",INDEX('Input Transaksi'!$D:$D,$E521))</f>
        <v/>
      </c>
      <c r="C521">
        <f>IF($E521="","",INDEX('Input Transaksi'!$E:$E,$E521))</f>
        <v/>
      </c>
      <c r="D521" s="5">
        <f>IF($E521="","",INDEX('Input Transaksi'!$F:$F,$E521))</f>
        <v/>
      </c>
      <c r="E521">
        <f>IFERROR(AGGREGATE(15,6,ROW('Input Transaksi'!$B$5:$B$5000)/('Input Transaksi'!$B$5:$B$5000="LONDRI DEWE"),ROWS($E$5:E521)),"")</f>
        <v/>
      </c>
      <c r="F521" s="5" t="n"/>
    </row>
    <row r="522">
      <c r="A522" s="10">
        <f>IF($E522="","",INDEX('Input Transaksi'!$A:$A,$E522))</f>
        <v/>
      </c>
      <c r="B522" s="5">
        <f>IF($E522="","",INDEX('Input Transaksi'!$D:$D,$E522))</f>
        <v/>
      </c>
      <c r="C522">
        <f>IF($E522="","",INDEX('Input Transaksi'!$E:$E,$E522))</f>
        <v/>
      </c>
      <c r="D522" s="5">
        <f>IF($E522="","",INDEX('Input Transaksi'!$F:$F,$E522))</f>
        <v/>
      </c>
      <c r="E522">
        <f>IFERROR(AGGREGATE(15,6,ROW('Input Transaksi'!$B$5:$B$5000)/('Input Transaksi'!$B$5:$B$5000="LONDRI DEWE"),ROWS($E$5:E522)),"")</f>
        <v/>
      </c>
      <c r="F522" s="5" t="n"/>
    </row>
    <row r="523">
      <c r="A523" s="10">
        <f>IF($E523="","",INDEX('Input Transaksi'!$A:$A,$E523))</f>
        <v/>
      </c>
      <c r="B523" s="5">
        <f>IF($E523="","",INDEX('Input Transaksi'!$D:$D,$E523))</f>
        <v/>
      </c>
      <c r="C523">
        <f>IF($E523="","",INDEX('Input Transaksi'!$E:$E,$E523))</f>
        <v/>
      </c>
      <c r="D523" s="5">
        <f>IF($E523="","",INDEX('Input Transaksi'!$F:$F,$E523))</f>
        <v/>
      </c>
      <c r="E523">
        <f>IFERROR(AGGREGATE(15,6,ROW('Input Transaksi'!$B$5:$B$5000)/('Input Transaksi'!$B$5:$B$5000="LONDRI DEWE"),ROWS($E$5:E523)),"")</f>
        <v/>
      </c>
      <c r="F523" s="5" t="n"/>
    </row>
    <row r="524">
      <c r="A524" s="10">
        <f>IF($E524="","",INDEX('Input Transaksi'!$A:$A,$E524))</f>
        <v/>
      </c>
      <c r="B524" s="5">
        <f>IF($E524="","",INDEX('Input Transaksi'!$D:$D,$E524))</f>
        <v/>
      </c>
      <c r="C524">
        <f>IF($E524="","",INDEX('Input Transaksi'!$E:$E,$E524))</f>
        <v/>
      </c>
      <c r="D524" s="5">
        <f>IF($E524="","",INDEX('Input Transaksi'!$F:$F,$E524))</f>
        <v/>
      </c>
      <c r="E524">
        <f>IFERROR(AGGREGATE(15,6,ROW('Input Transaksi'!$B$5:$B$5000)/('Input Transaksi'!$B$5:$B$5000="LONDRI DEWE"),ROWS($E$5:E524)),"")</f>
        <v/>
      </c>
      <c r="F524" s="5" t="n"/>
    </row>
    <row r="525">
      <c r="A525" s="10">
        <f>IF($E525="","",INDEX('Input Transaksi'!$A:$A,$E525))</f>
        <v/>
      </c>
      <c r="B525" s="5">
        <f>IF($E525="","",INDEX('Input Transaksi'!$D:$D,$E525))</f>
        <v/>
      </c>
      <c r="C525">
        <f>IF($E525="","",INDEX('Input Transaksi'!$E:$E,$E525))</f>
        <v/>
      </c>
      <c r="D525" s="5">
        <f>IF($E525="","",INDEX('Input Transaksi'!$F:$F,$E525))</f>
        <v/>
      </c>
      <c r="E525">
        <f>IFERROR(AGGREGATE(15,6,ROW('Input Transaksi'!$B$5:$B$5000)/('Input Transaksi'!$B$5:$B$5000="LONDRI DEWE"),ROWS($E$5:E525)),"")</f>
        <v/>
      </c>
      <c r="F525" s="5" t="n"/>
    </row>
    <row r="526">
      <c r="A526" s="10">
        <f>IF($E526="","",INDEX('Input Transaksi'!$A:$A,$E526))</f>
        <v/>
      </c>
      <c r="B526" s="5">
        <f>IF($E526="","",INDEX('Input Transaksi'!$D:$D,$E526))</f>
        <v/>
      </c>
      <c r="C526">
        <f>IF($E526="","",INDEX('Input Transaksi'!$E:$E,$E526))</f>
        <v/>
      </c>
      <c r="D526" s="5">
        <f>IF($E526="","",INDEX('Input Transaksi'!$F:$F,$E526))</f>
        <v/>
      </c>
      <c r="E526">
        <f>IFERROR(AGGREGATE(15,6,ROW('Input Transaksi'!$B$5:$B$5000)/('Input Transaksi'!$B$5:$B$5000="LONDRI DEWE"),ROWS($E$5:E526)),"")</f>
        <v/>
      </c>
      <c r="F526" s="5" t="n"/>
    </row>
    <row r="527">
      <c r="A527" s="10">
        <f>IF($E527="","",INDEX('Input Transaksi'!$A:$A,$E527))</f>
        <v/>
      </c>
      <c r="B527" s="5">
        <f>IF($E527="","",INDEX('Input Transaksi'!$D:$D,$E527))</f>
        <v/>
      </c>
      <c r="C527">
        <f>IF($E527="","",INDEX('Input Transaksi'!$E:$E,$E527))</f>
        <v/>
      </c>
      <c r="D527" s="5">
        <f>IF($E527="","",INDEX('Input Transaksi'!$F:$F,$E527))</f>
        <v/>
      </c>
      <c r="E527">
        <f>IFERROR(AGGREGATE(15,6,ROW('Input Transaksi'!$B$5:$B$5000)/('Input Transaksi'!$B$5:$B$5000="LONDRI DEWE"),ROWS($E$5:E527)),"")</f>
        <v/>
      </c>
      <c r="F527" s="5" t="n"/>
    </row>
    <row r="528">
      <c r="A528" s="10">
        <f>IF($E528="","",INDEX('Input Transaksi'!$A:$A,$E528))</f>
        <v/>
      </c>
      <c r="B528" s="5">
        <f>IF($E528="","",INDEX('Input Transaksi'!$D:$D,$E528))</f>
        <v/>
      </c>
      <c r="C528">
        <f>IF($E528="","",INDEX('Input Transaksi'!$E:$E,$E528))</f>
        <v/>
      </c>
      <c r="D528" s="5">
        <f>IF($E528="","",INDEX('Input Transaksi'!$F:$F,$E528))</f>
        <v/>
      </c>
      <c r="E528">
        <f>IFERROR(AGGREGATE(15,6,ROW('Input Transaksi'!$B$5:$B$5000)/('Input Transaksi'!$B$5:$B$5000="LONDRI DEWE"),ROWS($E$5:E528)),"")</f>
        <v/>
      </c>
      <c r="F528" s="5" t="n"/>
    </row>
    <row r="529">
      <c r="A529" s="10">
        <f>IF($E529="","",INDEX('Input Transaksi'!$A:$A,$E529))</f>
        <v/>
      </c>
      <c r="B529" s="5">
        <f>IF($E529="","",INDEX('Input Transaksi'!$D:$D,$E529))</f>
        <v/>
      </c>
      <c r="C529">
        <f>IF($E529="","",INDEX('Input Transaksi'!$E:$E,$E529))</f>
        <v/>
      </c>
      <c r="D529" s="5">
        <f>IF($E529="","",INDEX('Input Transaksi'!$F:$F,$E529))</f>
        <v/>
      </c>
      <c r="E529">
        <f>IFERROR(AGGREGATE(15,6,ROW('Input Transaksi'!$B$5:$B$5000)/('Input Transaksi'!$B$5:$B$5000="LONDRI DEWE"),ROWS($E$5:E529)),"")</f>
        <v/>
      </c>
      <c r="F529" s="5" t="n"/>
    </row>
    <row r="530">
      <c r="A530" s="10">
        <f>IF($E530="","",INDEX('Input Transaksi'!$A:$A,$E530))</f>
        <v/>
      </c>
      <c r="B530" s="5">
        <f>IF($E530="","",INDEX('Input Transaksi'!$D:$D,$E530))</f>
        <v/>
      </c>
      <c r="C530">
        <f>IF($E530="","",INDEX('Input Transaksi'!$E:$E,$E530))</f>
        <v/>
      </c>
      <c r="D530" s="5">
        <f>IF($E530="","",INDEX('Input Transaksi'!$F:$F,$E530))</f>
        <v/>
      </c>
      <c r="E530">
        <f>IFERROR(AGGREGATE(15,6,ROW('Input Transaksi'!$B$5:$B$5000)/('Input Transaksi'!$B$5:$B$5000="LONDRI DEWE"),ROWS($E$5:E530)),"")</f>
        <v/>
      </c>
      <c r="F530" s="5" t="n"/>
    </row>
    <row r="531">
      <c r="A531" s="10">
        <f>IF($E531="","",INDEX('Input Transaksi'!$A:$A,$E531))</f>
        <v/>
      </c>
      <c r="B531" s="5">
        <f>IF($E531="","",INDEX('Input Transaksi'!$D:$D,$E531))</f>
        <v/>
      </c>
      <c r="C531">
        <f>IF($E531="","",INDEX('Input Transaksi'!$E:$E,$E531))</f>
        <v/>
      </c>
      <c r="D531" s="5">
        <f>IF($E531="","",INDEX('Input Transaksi'!$F:$F,$E531))</f>
        <v/>
      </c>
      <c r="E531">
        <f>IFERROR(AGGREGATE(15,6,ROW('Input Transaksi'!$B$5:$B$5000)/('Input Transaksi'!$B$5:$B$5000="LONDRI DEWE"),ROWS($E$5:E531)),"")</f>
        <v/>
      </c>
      <c r="F531" s="5" t="n"/>
    </row>
    <row r="532">
      <c r="A532" s="10">
        <f>IF($E532="","",INDEX('Input Transaksi'!$A:$A,$E532))</f>
        <v/>
      </c>
      <c r="B532" s="5">
        <f>IF($E532="","",INDEX('Input Transaksi'!$D:$D,$E532))</f>
        <v/>
      </c>
      <c r="C532">
        <f>IF($E532="","",INDEX('Input Transaksi'!$E:$E,$E532))</f>
        <v/>
      </c>
      <c r="D532" s="5">
        <f>IF($E532="","",INDEX('Input Transaksi'!$F:$F,$E532))</f>
        <v/>
      </c>
      <c r="E532">
        <f>IFERROR(AGGREGATE(15,6,ROW('Input Transaksi'!$B$5:$B$5000)/('Input Transaksi'!$B$5:$B$5000="LONDRI DEWE"),ROWS($E$5:E532)),"")</f>
        <v/>
      </c>
      <c r="F532" s="5" t="n"/>
    </row>
    <row r="533">
      <c r="A533" s="10">
        <f>IF($E533="","",INDEX('Input Transaksi'!$A:$A,$E533))</f>
        <v/>
      </c>
      <c r="B533" s="5">
        <f>IF($E533="","",INDEX('Input Transaksi'!$D:$D,$E533))</f>
        <v/>
      </c>
      <c r="C533">
        <f>IF($E533="","",INDEX('Input Transaksi'!$E:$E,$E533))</f>
        <v/>
      </c>
      <c r="D533" s="5">
        <f>IF($E533="","",INDEX('Input Transaksi'!$F:$F,$E533))</f>
        <v/>
      </c>
      <c r="E533">
        <f>IFERROR(AGGREGATE(15,6,ROW('Input Transaksi'!$B$5:$B$5000)/('Input Transaksi'!$B$5:$B$5000="LONDRI DEWE"),ROWS($E$5:E533)),"")</f>
        <v/>
      </c>
      <c r="F533" s="5" t="n"/>
    </row>
    <row r="534">
      <c r="A534" s="10">
        <f>IF($E534="","",INDEX('Input Transaksi'!$A:$A,$E534))</f>
        <v/>
      </c>
      <c r="B534" s="5">
        <f>IF($E534="","",INDEX('Input Transaksi'!$D:$D,$E534))</f>
        <v/>
      </c>
      <c r="C534">
        <f>IF($E534="","",INDEX('Input Transaksi'!$E:$E,$E534))</f>
        <v/>
      </c>
      <c r="D534" s="5">
        <f>IF($E534="","",INDEX('Input Transaksi'!$F:$F,$E534))</f>
        <v/>
      </c>
      <c r="E534">
        <f>IFERROR(AGGREGATE(15,6,ROW('Input Transaksi'!$B$5:$B$5000)/('Input Transaksi'!$B$5:$B$5000="LONDRI DEWE"),ROWS($E$5:E534)),"")</f>
        <v/>
      </c>
      <c r="F534" s="5" t="n"/>
    </row>
    <row r="535">
      <c r="A535" s="10">
        <f>IF($E535="","",INDEX('Input Transaksi'!$A:$A,$E535))</f>
        <v/>
      </c>
      <c r="B535" s="5">
        <f>IF($E535="","",INDEX('Input Transaksi'!$D:$D,$E535))</f>
        <v/>
      </c>
      <c r="C535">
        <f>IF($E535="","",INDEX('Input Transaksi'!$E:$E,$E535))</f>
        <v/>
      </c>
      <c r="D535" s="5">
        <f>IF($E535="","",INDEX('Input Transaksi'!$F:$F,$E535))</f>
        <v/>
      </c>
      <c r="E535">
        <f>IFERROR(AGGREGATE(15,6,ROW('Input Transaksi'!$B$5:$B$5000)/('Input Transaksi'!$B$5:$B$5000="LONDRI DEWE"),ROWS($E$5:E535)),"")</f>
        <v/>
      </c>
      <c r="F535" s="5" t="n"/>
    </row>
    <row r="536">
      <c r="A536" s="10">
        <f>IF($E536="","",INDEX('Input Transaksi'!$A:$A,$E536))</f>
        <v/>
      </c>
      <c r="B536" s="5">
        <f>IF($E536="","",INDEX('Input Transaksi'!$D:$D,$E536))</f>
        <v/>
      </c>
      <c r="C536">
        <f>IF($E536="","",INDEX('Input Transaksi'!$E:$E,$E536))</f>
        <v/>
      </c>
      <c r="D536" s="5">
        <f>IF($E536="","",INDEX('Input Transaksi'!$F:$F,$E536))</f>
        <v/>
      </c>
      <c r="E536">
        <f>IFERROR(AGGREGATE(15,6,ROW('Input Transaksi'!$B$5:$B$5000)/('Input Transaksi'!$B$5:$B$5000="LONDRI DEWE"),ROWS($E$5:E536)),"")</f>
        <v/>
      </c>
      <c r="F536" s="5" t="n"/>
    </row>
    <row r="537">
      <c r="A537" s="10">
        <f>IF($E537="","",INDEX('Input Transaksi'!$A:$A,$E537))</f>
        <v/>
      </c>
      <c r="B537" s="5">
        <f>IF($E537="","",INDEX('Input Transaksi'!$D:$D,$E537))</f>
        <v/>
      </c>
      <c r="C537">
        <f>IF($E537="","",INDEX('Input Transaksi'!$E:$E,$E537))</f>
        <v/>
      </c>
      <c r="D537" s="5">
        <f>IF($E537="","",INDEX('Input Transaksi'!$F:$F,$E537))</f>
        <v/>
      </c>
      <c r="E537">
        <f>IFERROR(AGGREGATE(15,6,ROW('Input Transaksi'!$B$5:$B$5000)/('Input Transaksi'!$B$5:$B$5000="LONDRI DEWE"),ROWS($E$5:E537)),"")</f>
        <v/>
      </c>
      <c r="F537" s="5" t="n"/>
    </row>
    <row r="538">
      <c r="A538" s="10">
        <f>IF($E538="","",INDEX('Input Transaksi'!$A:$A,$E538))</f>
        <v/>
      </c>
      <c r="B538" s="5">
        <f>IF($E538="","",INDEX('Input Transaksi'!$D:$D,$E538))</f>
        <v/>
      </c>
      <c r="C538">
        <f>IF($E538="","",INDEX('Input Transaksi'!$E:$E,$E538))</f>
        <v/>
      </c>
      <c r="D538" s="5">
        <f>IF($E538="","",INDEX('Input Transaksi'!$F:$F,$E538))</f>
        <v/>
      </c>
      <c r="E538">
        <f>IFERROR(AGGREGATE(15,6,ROW('Input Transaksi'!$B$5:$B$5000)/('Input Transaksi'!$B$5:$B$5000="LONDRI DEWE"),ROWS($E$5:E538)),"")</f>
        <v/>
      </c>
      <c r="F538" s="5" t="n"/>
    </row>
    <row r="539">
      <c r="A539" s="10">
        <f>IF($E539="","",INDEX('Input Transaksi'!$A:$A,$E539))</f>
        <v/>
      </c>
      <c r="B539" s="5">
        <f>IF($E539="","",INDEX('Input Transaksi'!$D:$D,$E539))</f>
        <v/>
      </c>
      <c r="C539">
        <f>IF($E539="","",INDEX('Input Transaksi'!$E:$E,$E539))</f>
        <v/>
      </c>
      <c r="D539" s="5">
        <f>IF($E539="","",INDEX('Input Transaksi'!$F:$F,$E539))</f>
        <v/>
      </c>
      <c r="E539">
        <f>IFERROR(AGGREGATE(15,6,ROW('Input Transaksi'!$B$5:$B$5000)/('Input Transaksi'!$B$5:$B$5000="LONDRI DEWE"),ROWS($E$5:E539)),"")</f>
        <v/>
      </c>
      <c r="F539" s="5" t="n"/>
    </row>
    <row r="540">
      <c r="A540" s="10">
        <f>IF($E540="","",INDEX('Input Transaksi'!$A:$A,$E540))</f>
        <v/>
      </c>
      <c r="B540" s="5">
        <f>IF($E540="","",INDEX('Input Transaksi'!$D:$D,$E540))</f>
        <v/>
      </c>
      <c r="C540">
        <f>IF($E540="","",INDEX('Input Transaksi'!$E:$E,$E540))</f>
        <v/>
      </c>
      <c r="D540" s="5">
        <f>IF($E540="","",INDEX('Input Transaksi'!$F:$F,$E540))</f>
        <v/>
      </c>
      <c r="E540">
        <f>IFERROR(AGGREGATE(15,6,ROW('Input Transaksi'!$B$5:$B$5000)/('Input Transaksi'!$B$5:$B$5000="LONDRI DEWE"),ROWS($E$5:E540)),"")</f>
        <v/>
      </c>
      <c r="F540" s="5" t="n"/>
    </row>
    <row r="541">
      <c r="A541" s="10">
        <f>IF($E541="","",INDEX('Input Transaksi'!$A:$A,$E541))</f>
        <v/>
      </c>
      <c r="B541" s="5">
        <f>IF($E541="","",INDEX('Input Transaksi'!$D:$D,$E541))</f>
        <v/>
      </c>
      <c r="C541">
        <f>IF($E541="","",INDEX('Input Transaksi'!$E:$E,$E541))</f>
        <v/>
      </c>
      <c r="D541" s="5">
        <f>IF($E541="","",INDEX('Input Transaksi'!$F:$F,$E541))</f>
        <v/>
      </c>
      <c r="E541">
        <f>IFERROR(AGGREGATE(15,6,ROW('Input Transaksi'!$B$5:$B$5000)/('Input Transaksi'!$B$5:$B$5000="LONDRI DEWE"),ROWS($E$5:E541)),"")</f>
        <v/>
      </c>
      <c r="F541" s="5" t="n"/>
    </row>
    <row r="542">
      <c r="A542" s="10">
        <f>IF($E542="","",INDEX('Input Transaksi'!$A:$A,$E542))</f>
        <v/>
      </c>
      <c r="B542" s="5">
        <f>IF($E542="","",INDEX('Input Transaksi'!$D:$D,$E542))</f>
        <v/>
      </c>
      <c r="C542">
        <f>IF($E542="","",INDEX('Input Transaksi'!$E:$E,$E542))</f>
        <v/>
      </c>
      <c r="D542" s="5">
        <f>IF($E542="","",INDEX('Input Transaksi'!$F:$F,$E542))</f>
        <v/>
      </c>
      <c r="E542">
        <f>IFERROR(AGGREGATE(15,6,ROW('Input Transaksi'!$B$5:$B$5000)/('Input Transaksi'!$B$5:$B$5000="LONDRI DEWE"),ROWS($E$5:E542)),"")</f>
        <v/>
      </c>
      <c r="F542" s="5" t="n"/>
    </row>
    <row r="543">
      <c r="A543" s="10">
        <f>IF($E543="","",INDEX('Input Transaksi'!$A:$A,$E543))</f>
        <v/>
      </c>
      <c r="B543" s="5">
        <f>IF($E543="","",INDEX('Input Transaksi'!$D:$D,$E543))</f>
        <v/>
      </c>
      <c r="C543">
        <f>IF($E543="","",INDEX('Input Transaksi'!$E:$E,$E543))</f>
        <v/>
      </c>
      <c r="D543" s="5">
        <f>IF($E543="","",INDEX('Input Transaksi'!$F:$F,$E543))</f>
        <v/>
      </c>
      <c r="E543">
        <f>IFERROR(AGGREGATE(15,6,ROW('Input Transaksi'!$B$5:$B$5000)/('Input Transaksi'!$B$5:$B$5000="LONDRI DEWE"),ROWS($E$5:E543)),"")</f>
        <v/>
      </c>
      <c r="F543" s="5" t="n"/>
    </row>
    <row r="544">
      <c r="A544" s="10">
        <f>IF($E544="","",INDEX('Input Transaksi'!$A:$A,$E544))</f>
        <v/>
      </c>
      <c r="B544" s="5">
        <f>IF($E544="","",INDEX('Input Transaksi'!$D:$D,$E544))</f>
        <v/>
      </c>
      <c r="C544">
        <f>IF($E544="","",INDEX('Input Transaksi'!$E:$E,$E544))</f>
        <v/>
      </c>
      <c r="D544" s="5">
        <f>IF($E544="","",INDEX('Input Transaksi'!$F:$F,$E544))</f>
        <v/>
      </c>
      <c r="E544">
        <f>IFERROR(AGGREGATE(15,6,ROW('Input Transaksi'!$B$5:$B$5000)/('Input Transaksi'!$B$5:$B$5000="LONDRI DEWE"),ROWS($E$5:E544)),"")</f>
        <v/>
      </c>
      <c r="F544" s="5" t="n"/>
    </row>
    <row r="545">
      <c r="A545" s="10">
        <f>IF($E545="","",INDEX('Input Transaksi'!$A:$A,$E545))</f>
        <v/>
      </c>
      <c r="B545" s="5">
        <f>IF($E545="","",INDEX('Input Transaksi'!$D:$D,$E545))</f>
        <v/>
      </c>
      <c r="C545">
        <f>IF($E545="","",INDEX('Input Transaksi'!$E:$E,$E545))</f>
        <v/>
      </c>
      <c r="D545" s="5">
        <f>IF($E545="","",INDEX('Input Transaksi'!$F:$F,$E545))</f>
        <v/>
      </c>
      <c r="E545">
        <f>IFERROR(AGGREGATE(15,6,ROW('Input Transaksi'!$B$5:$B$5000)/('Input Transaksi'!$B$5:$B$5000="LONDRI DEWE"),ROWS($E$5:E545)),"")</f>
        <v/>
      </c>
      <c r="F545" s="5" t="n"/>
    </row>
    <row r="546">
      <c r="A546" s="10">
        <f>IF($E546="","",INDEX('Input Transaksi'!$A:$A,$E546))</f>
        <v/>
      </c>
      <c r="B546" s="5">
        <f>IF($E546="","",INDEX('Input Transaksi'!$D:$D,$E546))</f>
        <v/>
      </c>
      <c r="C546">
        <f>IF($E546="","",INDEX('Input Transaksi'!$E:$E,$E546))</f>
        <v/>
      </c>
      <c r="D546" s="5">
        <f>IF($E546="","",INDEX('Input Transaksi'!$F:$F,$E546))</f>
        <v/>
      </c>
      <c r="E546">
        <f>IFERROR(AGGREGATE(15,6,ROW('Input Transaksi'!$B$5:$B$5000)/('Input Transaksi'!$B$5:$B$5000="LONDRI DEWE"),ROWS($E$5:E546)),"")</f>
        <v/>
      </c>
      <c r="F546" s="5" t="n"/>
    </row>
    <row r="547">
      <c r="A547" s="10">
        <f>IF($E547="","",INDEX('Input Transaksi'!$A:$A,$E547))</f>
        <v/>
      </c>
      <c r="B547" s="5">
        <f>IF($E547="","",INDEX('Input Transaksi'!$D:$D,$E547))</f>
        <v/>
      </c>
      <c r="C547">
        <f>IF($E547="","",INDEX('Input Transaksi'!$E:$E,$E547))</f>
        <v/>
      </c>
      <c r="D547" s="5">
        <f>IF($E547="","",INDEX('Input Transaksi'!$F:$F,$E547))</f>
        <v/>
      </c>
      <c r="E547">
        <f>IFERROR(AGGREGATE(15,6,ROW('Input Transaksi'!$B$5:$B$5000)/('Input Transaksi'!$B$5:$B$5000="LONDRI DEWE"),ROWS($E$5:E547)),"")</f>
        <v/>
      </c>
      <c r="F547" s="5" t="n"/>
    </row>
    <row r="548">
      <c r="A548" s="10">
        <f>IF($E548="","",INDEX('Input Transaksi'!$A:$A,$E548))</f>
        <v/>
      </c>
      <c r="B548" s="5">
        <f>IF($E548="","",INDEX('Input Transaksi'!$D:$D,$E548))</f>
        <v/>
      </c>
      <c r="C548">
        <f>IF($E548="","",INDEX('Input Transaksi'!$E:$E,$E548))</f>
        <v/>
      </c>
      <c r="D548" s="5">
        <f>IF($E548="","",INDEX('Input Transaksi'!$F:$F,$E548))</f>
        <v/>
      </c>
      <c r="E548">
        <f>IFERROR(AGGREGATE(15,6,ROW('Input Transaksi'!$B$5:$B$5000)/('Input Transaksi'!$B$5:$B$5000="LONDRI DEWE"),ROWS($E$5:E548)),"")</f>
        <v/>
      </c>
      <c r="F548" s="5" t="n"/>
    </row>
    <row r="549">
      <c r="A549" s="10">
        <f>IF($E549="","",INDEX('Input Transaksi'!$A:$A,$E549))</f>
        <v/>
      </c>
      <c r="B549" s="5">
        <f>IF($E549="","",INDEX('Input Transaksi'!$D:$D,$E549))</f>
        <v/>
      </c>
      <c r="C549">
        <f>IF($E549="","",INDEX('Input Transaksi'!$E:$E,$E549))</f>
        <v/>
      </c>
      <c r="D549" s="5">
        <f>IF($E549="","",INDEX('Input Transaksi'!$F:$F,$E549))</f>
        <v/>
      </c>
      <c r="E549">
        <f>IFERROR(AGGREGATE(15,6,ROW('Input Transaksi'!$B$5:$B$5000)/('Input Transaksi'!$B$5:$B$5000="LONDRI DEWE"),ROWS($E$5:E549)),"")</f>
        <v/>
      </c>
      <c r="F549" s="5" t="n"/>
    </row>
    <row r="550">
      <c r="A550" s="10">
        <f>IF($E550="","",INDEX('Input Transaksi'!$A:$A,$E550))</f>
        <v/>
      </c>
      <c r="B550" s="5">
        <f>IF($E550="","",INDEX('Input Transaksi'!$D:$D,$E550))</f>
        <v/>
      </c>
      <c r="C550">
        <f>IF($E550="","",INDEX('Input Transaksi'!$E:$E,$E550))</f>
        <v/>
      </c>
      <c r="D550" s="5">
        <f>IF($E550="","",INDEX('Input Transaksi'!$F:$F,$E550))</f>
        <v/>
      </c>
      <c r="E550">
        <f>IFERROR(AGGREGATE(15,6,ROW('Input Transaksi'!$B$5:$B$5000)/('Input Transaksi'!$B$5:$B$5000="LONDRI DEWE"),ROWS($E$5:E550)),"")</f>
        <v/>
      </c>
      <c r="F550" s="5" t="n"/>
    </row>
    <row r="551">
      <c r="A551" s="10">
        <f>IF($E551="","",INDEX('Input Transaksi'!$A:$A,$E551))</f>
        <v/>
      </c>
      <c r="B551" s="5">
        <f>IF($E551="","",INDEX('Input Transaksi'!$D:$D,$E551))</f>
        <v/>
      </c>
      <c r="C551">
        <f>IF($E551="","",INDEX('Input Transaksi'!$E:$E,$E551))</f>
        <v/>
      </c>
      <c r="D551" s="5">
        <f>IF($E551="","",INDEX('Input Transaksi'!$F:$F,$E551))</f>
        <v/>
      </c>
      <c r="E551">
        <f>IFERROR(AGGREGATE(15,6,ROW('Input Transaksi'!$B$5:$B$5000)/('Input Transaksi'!$B$5:$B$5000="LONDRI DEWE"),ROWS($E$5:E551)),"")</f>
        <v/>
      </c>
      <c r="F551" s="5" t="n"/>
    </row>
    <row r="552">
      <c r="A552" s="10">
        <f>IF($E552="","",INDEX('Input Transaksi'!$A:$A,$E552))</f>
        <v/>
      </c>
      <c r="B552" s="5">
        <f>IF($E552="","",INDEX('Input Transaksi'!$D:$D,$E552))</f>
        <v/>
      </c>
      <c r="C552">
        <f>IF($E552="","",INDEX('Input Transaksi'!$E:$E,$E552))</f>
        <v/>
      </c>
      <c r="D552" s="5">
        <f>IF($E552="","",INDEX('Input Transaksi'!$F:$F,$E552))</f>
        <v/>
      </c>
      <c r="E552">
        <f>IFERROR(AGGREGATE(15,6,ROW('Input Transaksi'!$B$5:$B$5000)/('Input Transaksi'!$B$5:$B$5000="LONDRI DEWE"),ROWS($E$5:E552)),"")</f>
        <v/>
      </c>
      <c r="F552" s="5" t="n"/>
    </row>
    <row r="553">
      <c r="A553" s="10">
        <f>IF($E553="","",INDEX('Input Transaksi'!$A:$A,$E553))</f>
        <v/>
      </c>
      <c r="B553" s="5">
        <f>IF($E553="","",INDEX('Input Transaksi'!$D:$D,$E553))</f>
        <v/>
      </c>
      <c r="C553">
        <f>IF($E553="","",INDEX('Input Transaksi'!$E:$E,$E553))</f>
        <v/>
      </c>
      <c r="D553" s="5">
        <f>IF($E553="","",INDEX('Input Transaksi'!$F:$F,$E553))</f>
        <v/>
      </c>
      <c r="E553">
        <f>IFERROR(AGGREGATE(15,6,ROW('Input Transaksi'!$B$5:$B$5000)/('Input Transaksi'!$B$5:$B$5000="LONDRI DEWE"),ROWS($E$5:E553)),"")</f>
        <v/>
      </c>
      <c r="F553" s="5" t="n"/>
    </row>
    <row r="554">
      <c r="A554" s="10">
        <f>IF($E554="","",INDEX('Input Transaksi'!$A:$A,$E554))</f>
        <v/>
      </c>
      <c r="B554" s="5">
        <f>IF($E554="","",INDEX('Input Transaksi'!$D:$D,$E554))</f>
        <v/>
      </c>
      <c r="C554">
        <f>IF($E554="","",INDEX('Input Transaksi'!$E:$E,$E554))</f>
        <v/>
      </c>
      <c r="D554" s="5">
        <f>IF($E554="","",INDEX('Input Transaksi'!$F:$F,$E554))</f>
        <v/>
      </c>
      <c r="E554">
        <f>IFERROR(AGGREGATE(15,6,ROW('Input Transaksi'!$B$5:$B$5000)/('Input Transaksi'!$B$5:$B$5000="LONDRI DEWE"),ROWS($E$5:E554)),"")</f>
        <v/>
      </c>
      <c r="F554" s="5" t="n"/>
    </row>
    <row r="555">
      <c r="A555" s="10">
        <f>IF($E555="","",INDEX('Input Transaksi'!$A:$A,$E555))</f>
        <v/>
      </c>
      <c r="B555" s="5">
        <f>IF($E555="","",INDEX('Input Transaksi'!$D:$D,$E555))</f>
        <v/>
      </c>
      <c r="C555">
        <f>IF($E555="","",INDEX('Input Transaksi'!$E:$E,$E555))</f>
        <v/>
      </c>
      <c r="D555" s="5">
        <f>IF($E555="","",INDEX('Input Transaksi'!$F:$F,$E555))</f>
        <v/>
      </c>
      <c r="E555">
        <f>IFERROR(AGGREGATE(15,6,ROW('Input Transaksi'!$B$5:$B$5000)/('Input Transaksi'!$B$5:$B$5000="LONDRI DEWE"),ROWS($E$5:E555)),"")</f>
        <v/>
      </c>
      <c r="F555" s="5" t="n"/>
    </row>
    <row r="556">
      <c r="A556" s="10">
        <f>IF($E556="","",INDEX('Input Transaksi'!$A:$A,$E556))</f>
        <v/>
      </c>
      <c r="B556" s="5">
        <f>IF($E556="","",INDEX('Input Transaksi'!$D:$D,$E556))</f>
        <v/>
      </c>
      <c r="C556">
        <f>IF($E556="","",INDEX('Input Transaksi'!$E:$E,$E556))</f>
        <v/>
      </c>
      <c r="D556" s="5">
        <f>IF($E556="","",INDEX('Input Transaksi'!$F:$F,$E556))</f>
        <v/>
      </c>
      <c r="E556">
        <f>IFERROR(AGGREGATE(15,6,ROW('Input Transaksi'!$B$5:$B$5000)/('Input Transaksi'!$B$5:$B$5000="LONDRI DEWE"),ROWS($E$5:E556)),"")</f>
        <v/>
      </c>
      <c r="F556" s="5" t="n"/>
    </row>
    <row r="557">
      <c r="A557" s="10">
        <f>IF($E557="","",INDEX('Input Transaksi'!$A:$A,$E557))</f>
        <v/>
      </c>
      <c r="B557" s="5">
        <f>IF($E557="","",INDEX('Input Transaksi'!$D:$D,$E557))</f>
        <v/>
      </c>
      <c r="C557">
        <f>IF($E557="","",INDEX('Input Transaksi'!$E:$E,$E557))</f>
        <v/>
      </c>
      <c r="D557" s="5">
        <f>IF($E557="","",INDEX('Input Transaksi'!$F:$F,$E557))</f>
        <v/>
      </c>
      <c r="E557">
        <f>IFERROR(AGGREGATE(15,6,ROW('Input Transaksi'!$B$5:$B$5000)/('Input Transaksi'!$B$5:$B$5000="LONDRI DEWE"),ROWS($E$5:E557)),"")</f>
        <v/>
      </c>
      <c r="F557" s="5" t="n"/>
    </row>
    <row r="558">
      <c r="A558" s="10">
        <f>IF($E558="","",INDEX('Input Transaksi'!$A:$A,$E558))</f>
        <v/>
      </c>
      <c r="B558" s="5">
        <f>IF($E558="","",INDEX('Input Transaksi'!$D:$D,$E558))</f>
        <v/>
      </c>
      <c r="C558">
        <f>IF($E558="","",INDEX('Input Transaksi'!$E:$E,$E558))</f>
        <v/>
      </c>
      <c r="D558" s="5">
        <f>IF($E558="","",INDEX('Input Transaksi'!$F:$F,$E558))</f>
        <v/>
      </c>
      <c r="E558">
        <f>IFERROR(AGGREGATE(15,6,ROW('Input Transaksi'!$B$5:$B$5000)/('Input Transaksi'!$B$5:$B$5000="LONDRI DEWE"),ROWS($E$5:E558)),"")</f>
        <v/>
      </c>
      <c r="F558" s="5" t="n"/>
    </row>
    <row r="559">
      <c r="A559" s="10">
        <f>IF($E559="","",INDEX('Input Transaksi'!$A:$A,$E559))</f>
        <v/>
      </c>
      <c r="B559" s="5">
        <f>IF($E559="","",INDEX('Input Transaksi'!$D:$D,$E559))</f>
        <v/>
      </c>
      <c r="C559">
        <f>IF($E559="","",INDEX('Input Transaksi'!$E:$E,$E559))</f>
        <v/>
      </c>
      <c r="D559" s="5">
        <f>IF($E559="","",INDEX('Input Transaksi'!$F:$F,$E559))</f>
        <v/>
      </c>
      <c r="E559">
        <f>IFERROR(AGGREGATE(15,6,ROW('Input Transaksi'!$B$5:$B$5000)/('Input Transaksi'!$B$5:$B$5000="LONDRI DEWE"),ROWS($E$5:E559)),"")</f>
        <v/>
      </c>
      <c r="F559" s="5" t="n"/>
    </row>
    <row r="560">
      <c r="A560" s="10">
        <f>IF($E560="","",INDEX('Input Transaksi'!$A:$A,$E560))</f>
        <v/>
      </c>
      <c r="B560" s="5">
        <f>IF($E560="","",INDEX('Input Transaksi'!$D:$D,$E560))</f>
        <v/>
      </c>
      <c r="C560">
        <f>IF($E560="","",INDEX('Input Transaksi'!$E:$E,$E560))</f>
        <v/>
      </c>
      <c r="D560" s="5">
        <f>IF($E560="","",INDEX('Input Transaksi'!$F:$F,$E560))</f>
        <v/>
      </c>
      <c r="E560">
        <f>IFERROR(AGGREGATE(15,6,ROW('Input Transaksi'!$B$5:$B$5000)/('Input Transaksi'!$B$5:$B$5000="LONDRI DEWE"),ROWS($E$5:E560)),"")</f>
        <v/>
      </c>
      <c r="F560" s="5" t="n"/>
    </row>
    <row r="561">
      <c r="A561" s="10">
        <f>IF($E561="","",INDEX('Input Transaksi'!$A:$A,$E561))</f>
        <v/>
      </c>
      <c r="B561" s="5">
        <f>IF($E561="","",INDEX('Input Transaksi'!$D:$D,$E561))</f>
        <v/>
      </c>
      <c r="C561">
        <f>IF($E561="","",INDEX('Input Transaksi'!$E:$E,$E561))</f>
        <v/>
      </c>
      <c r="D561" s="5">
        <f>IF($E561="","",INDEX('Input Transaksi'!$F:$F,$E561))</f>
        <v/>
      </c>
      <c r="E561">
        <f>IFERROR(AGGREGATE(15,6,ROW('Input Transaksi'!$B$5:$B$5000)/('Input Transaksi'!$B$5:$B$5000="LONDRI DEWE"),ROWS($E$5:E561)),"")</f>
        <v/>
      </c>
      <c r="F561" s="5" t="n"/>
    </row>
    <row r="562">
      <c r="A562" s="10">
        <f>IF($E562="","",INDEX('Input Transaksi'!$A:$A,$E562))</f>
        <v/>
      </c>
      <c r="B562" s="5">
        <f>IF($E562="","",INDEX('Input Transaksi'!$D:$D,$E562))</f>
        <v/>
      </c>
      <c r="C562">
        <f>IF($E562="","",INDEX('Input Transaksi'!$E:$E,$E562))</f>
        <v/>
      </c>
      <c r="D562" s="5">
        <f>IF($E562="","",INDEX('Input Transaksi'!$F:$F,$E562))</f>
        <v/>
      </c>
      <c r="E562">
        <f>IFERROR(AGGREGATE(15,6,ROW('Input Transaksi'!$B$5:$B$5000)/('Input Transaksi'!$B$5:$B$5000="LONDRI DEWE"),ROWS($E$5:E562)),"")</f>
        <v/>
      </c>
      <c r="F562" s="5" t="n"/>
    </row>
    <row r="563">
      <c r="A563" s="10">
        <f>IF($E563="","",INDEX('Input Transaksi'!$A:$A,$E563))</f>
        <v/>
      </c>
      <c r="B563" s="5">
        <f>IF($E563="","",INDEX('Input Transaksi'!$D:$D,$E563))</f>
        <v/>
      </c>
      <c r="C563">
        <f>IF($E563="","",INDEX('Input Transaksi'!$E:$E,$E563))</f>
        <v/>
      </c>
      <c r="D563" s="5">
        <f>IF($E563="","",INDEX('Input Transaksi'!$F:$F,$E563))</f>
        <v/>
      </c>
      <c r="E563">
        <f>IFERROR(AGGREGATE(15,6,ROW('Input Transaksi'!$B$5:$B$5000)/('Input Transaksi'!$B$5:$B$5000="LONDRI DEWE"),ROWS($E$5:E563)),"")</f>
        <v/>
      </c>
      <c r="F563" s="5" t="n"/>
    </row>
    <row r="564">
      <c r="A564" s="10">
        <f>IF($E564="","",INDEX('Input Transaksi'!$A:$A,$E564))</f>
        <v/>
      </c>
      <c r="B564" s="5">
        <f>IF($E564="","",INDEX('Input Transaksi'!$D:$D,$E564))</f>
        <v/>
      </c>
      <c r="C564">
        <f>IF($E564="","",INDEX('Input Transaksi'!$E:$E,$E564))</f>
        <v/>
      </c>
      <c r="D564" s="5">
        <f>IF($E564="","",INDEX('Input Transaksi'!$F:$F,$E564))</f>
        <v/>
      </c>
      <c r="E564">
        <f>IFERROR(AGGREGATE(15,6,ROW('Input Transaksi'!$B$5:$B$5000)/('Input Transaksi'!$B$5:$B$5000="LONDRI DEWE"),ROWS($E$5:E564)),"")</f>
        <v/>
      </c>
      <c r="F564" s="5" t="n"/>
    </row>
    <row r="565">
      <c r="A565" s="10">
        <f>IF($E565="","",INDEX('Input Transaksi'!$A:$A,$E565))</f>
        <v/>
      </c>
      <c r="B565" s="5">
        <f>IF($E565="","",INDEX('Input Transaksi'!$D:$D,$E565))</f>
        <v/>
      </c>
      <c r="C565">
        <f>IF($E565="","",INDEX('Input Transaksi'!$E:$E,$E565))</f>
        <v/>
      </c>
      <c r="D565" s="5">
        <f>IF($E565="","",INDEX('Input Transaksi'!$F:$F,$E565))</f>
        <v/>
      </c>
      <c r="E565">
        <f>IFERROR(AGGREGATE(15,6,ROW('Input Transaksi'!$B$5:$B$5000)/('Input Transaksi'!$B$5:$B$5000="LONDRI DEWE"),ROWS($E$5:E565)),"")</f>
        <v/>
      </c>
      <c r="F565" s="5" t="n"/>
    </row>
    <row r="566">
      <c r="A566" s="10">
        <f>IF($E566="","",INDEX('Input Transaksi'!$A:$A,$E566))</f>
        <v/>
      </c>
      <c r="B566" s="5">
        <f>IF($E566="","",INDEX('Input Transaksi'!$D:$D,$E566))</f>
        <v/>
      </c>
      <c r="C566">
        <f>IF($E566="","",INDEX('Input Transaksi'!$E:$E,$E566))</f>
        <v/>
      </c>
      <c r="D566" s="5">
        <f>IF($E566="","",INDEX('Input Transaksi'!$F:$F,$E566))</f>
        <v/>
      </c>
      <c r="E566">
        <f>IFERROR(AGGREGATE(15,6,ROW('Input Transaksi'!$B$5:$B$5000)/('Input Transaksi'!$B$5:$B$5000="LONDRI DEWE"),ROWS($E$5:E566)),"")</f>
        <v/>
      </c>
      <c r="F566" s="5" t="n"/>
    </row>
    <row r="567">
      <c r="A567" s="10">
        <f>IF($E567="","",INDEX('Input Transaksi'!$A:$A,$E567))</f>
        <v/>
      </c>
      <c r="B567" s="5">
        <f>IF($E567="","",INDEX('Input Transaksi'!$D:$D,$E567))</f>
        <v/>
      </c>
      <c r="C567">
        <f>IF($E567="","",INDEX('Input Transaksi'!$E:$E,$E567))</f>
        <v/>
      </c>
      <c r="D567" s="5">
        <f>IF($E567="","",INDEX('Input Transaksi'!$F:$F,$E567))</f>
        <v/>
      </c>
      <c r="E567">
        <f>IFERROR(AGGREGATE(15,6,ROW('Input Transaksi'!$B$5:$B$5000)/('Input Transaksi'!$B$5:$B$5000="LONDRI DEWE"),ROWS($E$5:E567)),"")</f>
        <v/>
      </c>
      <c r="F567" s="5" t="n"/>
    </row>
    <row r="568">
      <c r="A568" s="10">
        <f>IF($E568="","",INDEX('Input Transaksi'!$A:$A,$E568))</f>
        <v/>
      </c>
      <c r="B568" s="5">
        <f>IF($E568="","",INDEX('Input Transaksi'!$D:$D,$E568))</f>
        <v/>
      </c>
      <c r="C568">
        <f>IF($E568="","",INDEX('Input Transaksi'!$E:$E,$E568))</f>
        <v/>
      </c>
      <c r="D568" s="5">
        <f>IF($E568="","",INDEX('Input Transaksi'!$F:$F,$E568))</f>
        <v/>
      </c>
      <c r="E568">
        <f>IFERROR(AGGREGATE(15,6,ROW('Input Transaksi'!$B$5:$B$5000)/('Input Transaksi'!$B$5:$B$5000="LONDRI DEWE"),ROWS($E$5:E568)),"")</f>
        <v/>
      </c>
      <c r="F568" s="5" t="n"/>
    </row>
    <row r="569">
      <c r="A569" s="10">
        <f>IF($E569="","",INDEX('Input Transaksi'!$A:$A,$E569))</f>
        <v/>
      </c>
      <c r="B569" s="5">
        <f>IF($E569="","",INDEX('Input Transaksi'!$D:$D,$E569))</f>
        <v/>
      </c>
      <c r="C569">
        <f>IF($E569="","",INDEX('Input Transaksi'!$E:$E,$E569))</f>
        <v/>
      </c>
      <c r="D569" s="5">
        <f>IF($E569="","",INDEX('Input Transaksi'!$F:$F,$E569))</f>
        <v/>
      </c>
      <c r="E569">
        <f>IFERROR(AGGREGATE(15,6,ROW('Input Transaksi'!$B$5:$B$5000)/('Input Transaksi'!$B$5:$B$5000="LONDRI DEWE"),ROWS($E$5:E569)),"")</f>
        <v/>
      </c>
      <c r="F569" s="5" t="n"/>
    </row>
    <row r="570">
      <c r="A570" s="10">
        <f>IF($E570="","",INDEX('Input Transaksi'!$A:$A,$E570))</f>
        <v/>
      </c>
      <c r="B570" s="5">
        <f>IF($E570="","",INDEX('Input Transaksi'!$D:$D,$E570))</f>
        <v/>
      </c>
      <c r="C570">
        <f>IF($E570="","",INDEX('Input Transaksi'!$E:$E,$E570))</f>
        <v/>
      </c>
      <c r="D570" s="5">
        <f>IF($E570="","",INDEX('Input Transaksi'!$F:$F,$E570))</f>
        <v/>
      </c>
      <c r="E570">
        <f>IFERROR(AGGREGATE(15,6,ROW('Input Transaksi'!$B$5:$B$5000)/('Input Transaksi'!$B$5:$B$5000="LONDRI DEWE"),ROWS($E$5:E570)),"")</f>
        <v/>
      </c>
      <c r="F570" s="5" t="n"/>
    </row>
    <row r="571">
      <c r="A571" s="10">
        <f>IF($E571="","",INDEX('Input Transaksi'!$A:$A,$E571))</f>
        <v/>
      </c>
      <c r="B571" s="5">
        <f>IF($E571="","",INDEX('Input Transaksi'!$D:$D,$E571))</f>
        <v/>
      </c>
      <c r="C571">
        <f>IF($E571="","",INDEX('Input Transaksi'!$E:$E,$E571))</f>
        <v/>
      </c>
      <c r="D571" s="5">
        <f>IF($E571="","",INDEX('Input Transaksi'!$F:$F,$E571))</f>
        <v/>
      </c>
      <c r="E571">
        <f>IFERROR(AGGREGATE(15,6,ROW('Input Transaksi'!$B$5:$B$5000)/('Input Transaksi'!$B$5:$B$5000="LONDRI DEWE"),ROWS($E$5:E571)),"")</f>
        <v/>
      </c>
      <c r="F571" s="5" t="n"/>
    </row>
    <row r="572">
      <c r="A572" s="10">
        <f>IF($E572="","",INDEX('Input Transaksi'!$A:$A,$E572))</f>
        <v/>
      </c>
      <c r="B572" s="5">
        <f>IF($E572="","",INDEX('Input Transaksi'!$D:$D,$E572))</f>
        <v/>
      </c>
      <c r="C572">
        <f>IF($E572="","",INDEX('Input Transaksi'!$E:$E,$E572))</f>
        <v/>
      </c>
      <c r="D572" s="5">
        <f>IF($E572="","",INDEX('Input Transaksi'!$F:$F,$E572))</f>
        <v/>
      </c>
      <c r="E572">
        <f>IFERROR(AGGREGATE(15,6,ROW('Input Transaksi'!$B$5:$B$5000)/('Input Transaksi'!$B$5:$B$5000="LONDRI DEWE"),ROWS($E$5:E572)),"")</f>
        <v/>
      </c>
      <c r="F572" s="5" t="n"/>
    </row>
    <row r="573">
      <c r="A573" s="10">
        <f>IF($E573="","",INDEX('Input Transaksi'!$A:$A,$E573))</f>
        <v/>
      </c>
      <c r="B573" s="5">
        <f>IF($E573="","",INDEX('Input Transaksi'!$D:$D,$E573))</f>
        <v/>
      </c>
      <c r="C573">
        <f>IF($E573="","",INDEX('Input Transaksi'!$E:$E,$E573))</f>
        <v/>
      </c>
      <c r="D573" s="5">
        <f>IF($E573="","",INDEX('Input Transaksi'!$F:$F,$E573))</f>
        <v/>
      </c>
      <c r="E573">
        <f>IFERROR(AGGREGATE(15,6,ROW('Input Transaksi'!$B$5:$B$5000)/('Input Transaksi'!$B$5:$B$5000="LONDRI DEWE"),ROWS($E$5:E573)),"")</f>
        <v/>
      </c>
      <c r="F573" s="5" t="n"/>
    </row>
    <row r="574">
      <c r="A574" s="10">
        <f>IF($E574="","",INDEX('Input Transaksi'!$A:$A,$E574))</f>
        <v/>
      </c>
      <c r="B574" s="5">
        <f>IF($E574="","",INDEX('Input Transaksi'!$D:$D,$E574))</f>
        <v/>
      </c>
      <c r="C574">
        <f>IF($E574="","",INDEX('Input Transaksi'!$E:$E,$E574))</f>
        <v/>
      </c>
      <c r="D574" s="5">
        <f>IF($E574="","",INDEX('Input Transaksi'!$F:$F,$E574))</f>
        <v/>
      </c>
      <c r="E574">
        <f>IFERROR(AGGREGATE(15,6,ROW('Input Transaksi'!$B$5:$B$5000)/('Input Transaksi'!$B$5:$B$5000="LONDRI DEWE"),ROWS($E$5:E574)),"")</f>
        <v/>
      </c>
      <c r="F574" s="5" t="n"/>
    </row>
    <row r="575">
      <c r="A575" s="10">
        <f>IF($E575="","",INDEX('Input Transaksi'!$A:$A,$E575))</f>
        <v/>
      </c>
      <c r="B575" s="5">
        <f>IF($E575="","",INDEX('Input Transaksi'!$D:$D,$E575))</f>
        <v/>
      </c>
      <c r="C575">
        <f>IF($E575="","",INDEX('Input Transaksi'!$E:$E,$E575))</f>
        <v/>
      </c>
      <c r="D575" s="5">
        <f>IF($E575="","",INDEX('Input Transaksi'!$F:$F,$E575))</f>
        <v/>
      </c>
      <c r="E575">
        <f>IFERROR(AGGREGATE(15,6,ROW('Input Transaksi'!$B$5:$B$5000)/('Input Transaksi'!$B$5:$B$5000="LONDRI DEWE"),ROWS($E$5:E575)),"")</f>
        <v/>
      </c>
      <c r="F575" s="5" t="n"/>
    </row>
    <row r="576">
      <c r="A576" s="10">
        <f>IF($E576="","",INDEX('Input Transaksi'!$A:$A,$E576))</f>
        <v/>
      </c>
      <c r="B576" s="5">
        <f>IF($E576="","",INDEX('Input Transaksi'!$D:$D,$E576))</f>
        <v/>
      </c>
      <c r="C576">
        <f>IF($E576="","",INDEX('Input Transaksi'!$E:$E,$E576))</f>
        <v/>
      </c>
      <c r="D576" s="5">
        <f>IF($E576="","",INDEX('Input Transaksi'!$F:$F,$E576))</f>
        <v/>
      </c>
      <c r="E576">
        <f>IFERROR(AGGREGATE(15,6,ROW('Input Transaksi'!$B$5:$B$5000)/('Input Transaksi'!$B$5:$B$5000="LONDRI DEWE"),ROWS($E$5:E576)),"")</f>
        <v/>
      </c>
      <c r="F576" s="5" t="n"/>
    </row>
    <row r="577">
      <c r="A577" s="10">
        <f>IF($E577="","",INDEX('Input Transaksi'!$A:$A,$E577))</f>
        <v/>
      </c>
      <c r="B577" s="5">
        <f>IF($E577="","",INDEX('Input Transaksi'!$D:$D,$E577))</f>
        <v/>
      </c>
      <c r="C577">
        <f>IF($E577="","",INDEX('Input Transaksi'!$E:$E,$E577))</f>
        <v/>
      </c>
      <c r="D577" s="5">
        <f>IF($E577="","",INDEX('Input Transaksi'!$F:$F,$E577))</f>
        <v/>
      </c>
      <c r="E577">
        <f>IFERROR(AGGREGATE(15,6,ROW('Input Transaksi'!$B$5:$B$5000)/('Input Transaksi'!$B$5:$B$5000="LONDRI DEWE"),ROWS($E$5:E577)),"")</f>
        <v/>
      </c>
      <c r="F577" s="5" t="n"/>
    </row>
    <row r="578">
      <c r="A578" s="10">
        <f>IF($E578="","",INDEX('Input Transaksi'!$A:$A,$E578))</f>
        <v/>
      </c>
      <c r="B578" s="5">
        <f>IF($E578="","",INDEX('Input Transaksi'!$D:$D,$E578))</f>
        <v/>
      </c>
      <c r="C578">
        <f>IF($E578="","",INDEX('Input Transaksi'!$E:$E,$E578))</f>
        <v/>
      </c>
      <c r="D578" s="5">
        <f>IF($E578="","",INDEX('Input Transaksi'!$F:$F,$E578))</f>
        <v/>
      </c>
      <c r="E578">
        <f>IFERROR(AGGREGATE(15,6,ROW('Input Transaksi'!$B$5:$B$5000)/('Input Transaksi'!$B$5:$B$5000="LONDRI DEWE"),ROWS($E$5:E578)),"")</f>
        <v/>
      </c>
      <c r="F578" s="5" t="n"/>
    </row>
    <row r="579">
      <c r="A579" s="10">
        <f>IF($E579="","",INDEX('Input Transaksi'!$A:$A,$E579))</f>
        <v/>
      </c>
      <c r="B579" s="5">
        <f>IF($E579="","",INDEX('Input Transaksi'!$D:$D,$E579))</f>
        <v/>
      </c>
      <c r="C579">
        <f>IF($E579="","",INDEX('Input Transaksi'!$E:$E,$E579))</f>
        <v/>
      </c>
      <c r="D579" s="5">
        <f>IF($E579="","",INDEX('Input Transaksi'!$F:$F,$E579))</f>
        <v/>
      </c>
      <c r="E579">
        <f>IFERROR(AGGREGATE(15,6,ROW('Input Transaksi'!$B$5:$B$5000)/('Input Transaksi'!$B$5:$B$5000="LONDRI DEWE"),ROWS($E$5:E579)),"")</f>
        <v/>
      </c>
      <c r="F579" s="5" t="n"/>
    </row>
    <row r="580">
      <c r="A580" s="10">
        <f>IF($E580="","",INDEX('Input Transaksi'!$A:$A,$E580))</f>
        <v/>
      </c>
      <c r="B580" s="5">
        <f>IF($E580="","",INDEX('Input Transaksi'!$D:$D,$E580))</f>
        <v/>
      </c>
      <c r="C580">
        <f>IF($E580="","",INDEX('Input Transaksi'!$E:$E,$E580))</f>
        <v/>
      </c>
      <c r="D580" s="5">
        <f>IF($E580="","",INDEX('Input Transaksi'!$F:$F,$E580))</f>
        <v/>
      </c>
      <c r="E580">
        <f>IFERROR(AGGREGATE(15,6,ROW('Input Transaksi'!$B$5:$B$5000)/('Input Transaksi'!$B$5:$B$5000="LONDRI DEWE"),ROWS($E$5:E580)),"")</f>
        <v/>
      </c>
      <c r="F580" s="5" t="n"/>
    </row>
    <row r="581">
      <c r="A581" s="10">
        <f>IF($E581="","",INDEX('Input Transaksi'!$A:$A,$E581))</f>
        <v/>
      </c>
      <c r="B581" s="5">
        <f>IF($E581="","",INDEX('Input Transaksi'!$D:$D,$E581))</f>
        <v/>
      </c>
      <c r="C581">
        <f>IF($E581="","",INDEX('Input Transaksi'!$E:$E,$E581))</f>
        <v/>
      </c>
      <c r="D581" s="5">
        <f>IF($E581="","",INDEX('Input Transaksi'!$F:$F,$E581))</f>
        <v/>
      </c>
      <c r="E581">
        <f>IFERROR(AGGREGATE(15,6,ROW('Input Transaksi'!$B$5:$B$5000)/('Input Transaksi'!$B$5:$B$5000="LONDRI DEWE"),ROWS($E$5:E581)),"")</f>
        <v/>
      </c>
      <c r="F581" s="5" t="n"/>
    </row>
    <row r="582">
      <c r="A582" s="10">
        <f>IF($E582="","",INDEX('Input Transaksi'!$A:$A,$E582))</f>
        <v/>
      </c>
      <c r="B582" s="5">
        <f>IF($E582="","",INDEX('Input Transaksi'!$D:$D,$E582))</f>
        <v/>
      </c>
      <c r="C582">
        <f>IF($E582="","",INDEX('Input Transaksi'!$E:$E,$E582))</f>
        <v/>
      </c>
      <c r="D582" s="5">
        <f>IF($E582="","",INDEX('Input Transaksi'!$F:$F,$E582))</f>
        <v/>
      </c>
      <c r="E582">
        <f>IFERROR(AGGREGATE(15,6,ROW('Input Transaksi'!$B$5:$B$5000)/('Input Transaksi'!$B$5:$B$5000="LONDRI DEWE"),ROWS($E$5:E582)),"")</f>
        <v/>
      </c>
      <c r="F582" s="5" t="n"/>
    </row>
    <row r="583">
      <c r="A583" s="10">
        <f>IF($E583="","",INDEX('Input Transaksi'!$A:$A,$E583))</f>
        <v/>
      </c>
      <c r="B583" s="5">
        <f>IF($E583="","",INDEX('Input Transaksi'!$D:$D,$E583))</f>
        <v/>
      </c>
      <c r="C583">
        <f>IF($E583="","",INDEX('Input Transaksi'!$E:$E,$E583))</f>
        <v/>
      </c>
      <c r="D583" s="5">
        <f>IF($E583="","",INDEX('Input Transaksi'!$F:$F,$E583))</f>
        <v/>
      </c>
      <c r="E583">
        <f>IFERROR(AGGREGATE(15,6,ROW('Input Transaksi'!$B$5:$B$5000)/('Input Transaksi'!$B$5:$B$5000="LONDRI DEWE"),ROWS($E$5:E583)),"")</f>
        <v/>
      </c>
      <c r="F583" s="5" t="n"/>
    </row>
    <row r="584">
      <c r="A584" s="10">
        <f>IF($E584="","",INDEX('Input Transaksi'!$A:$A,$E584))</f>
        <v/>
      </c>
      <c r="B584" s="5">
        <f>IF($E584="","",INDEX('Input Transaksi'!$D:$D,$E584))</f>
        <v/>
      </c>
      <c r="C584">
        <f>IF($E584="","",INDEX('Input Transaksi'!$E:$E,$E584))</f>
        <v/>
      </c>
      <c r="D584" s="5">
        <f>IF($E584="","",INDEX('Input Transaksi'!$F:$F,$E584))</f>
        <v/>
      </c>
      <c r="E584">
        <f>IFERROR(AGGREGATE(15,6,ROW('Input Transaksi'!$B$5:$B$5000)/('Input Transaksi'!$B$5:$B$5000="LONDRI DEWE"),ROWS($E$5:E584)),"")</f>
        <v/>
      </c>
      <c r="F584" s="5" t="n"/>
    </row>
    <row r="585">
      <c r="A585" s="10">
        <f>IF($E585="","",INDEX('Input Transaksi'!$A:$A,$E585))</f>
        <v/>
      </c>
      <c r="B585" s="5">
        <f>IF($E585="","",INDEX('Input Transaksi'!$D:$D,$E585))</f>
        <v/>
      </c>
      <c r="C585">
        <f>IF($E585="","",INDEX('Input Transaksi'!$E:$E,$E585))</f>
        <v/>
      </c>
      <c r="D585" s="5">
        <f>IF($E585="","",INDEX('Input Transaksi'!$F:$F,$E585))</f>
        <v/>
      </c>
      <c r="E585">
        <f>IFERROR(AGGREGATE(15,6,ROW('Input Transaksi'!$B$5:$B$5000)/('Input Transaksi'!$B$5:$B$5000="LONDRI DEWE"),ROWS($E$5:E585)),"")</f>
        <v/>
      </c>
      <c r="F585" s="5" t="n"/>
    </row>
    <row r="586">
      <c r="A586" s="10">
        <f>IF($E586="","",INDEX('Input Transaksi'!$A:$A,$E586))</f>
        <v/>
      </c>
      <c r="B586" s="5">
        <f>IF($E586="","",INDEX('Input Transaksi'!$D:$D,$E586))</f>
        <v/>
      </c>
      <c r="C586">
        <f>IF($E586="","",INDEX('Input Transaksi'!$E:$E,$E586))</f>
        <v/>
      </c>
      <c r="D586" s="5">
        <f>IF($E586="","",INDEX('Input Transaksi'!$F:$F,$E586))</f>
        <v/>
      </c>
      <c r="E586">
        <f>IFERROR(AGGREGATE(15,6,ROW('Input Transaksi'!$B$5:$B$5000)/('Input Transaksi'!$B$5:$B$5000="LONDRI DEWE"),ROWS($E$5:E586)),"")</f>
        <v/>
      </c>
      <c r="F586" s="5" t="n"/>
    </row>
    <row r="587">
      <c r="A587" s="10">
        <f>IF($E587="","",INDEX('Input Transaksi'!$A:$A,$E587))</f>
        <v/>
      </c>
      <c r="B587" s="5">
        <f>IF($E587="","",INDEX('Input Transaksi'!$D:$D,$E587))</f>
        <v/>
      </c>
      <c r="C587">
        <f>IF($E587="","",INDEX('Input Transaksi'!$E:$E,$E587))</f>
        <v/>
      </c>
      <c r="D587" s="5">
        <f>IF($E587="","",INDEX('Input Transaksi'!$F:$F,$E587))</f>
        <v/>
      </c>
      <c r="E587">
        <f>IFERROR(AGGREGATE(15,6,ROW('Input Transaksi'!$B$5:$B$5000)/('Input Transaksi'!$B$5:$B$5000="LONDRI DEWE"),ROWS($E$5:E587)),"")</f>
        <v/>
      </c>
      <c r="F587" s="5" t="n"/>
    </row>
    <row r="588">
      <c r="A588" s="10">
        <f>IF($E588="","",INDEX('Input Transaksi'!$A:$A,$E588))</f>
        <v/>
      </c>
      <c r="B588" s="5">
        <f>IF($E588="","",INDEX('Input Transaksi'!$D:$D,$E588))</f>
        <v/>
      </c>
      <c r="C588">
        <f>IF($E588="","",INDEX('Input Transaksi'!$E:$E,$E588))</f>
        <v/>
      </c>
      <c r="D588" s="5">
        <f>IF($E588="","",INDEX('Input Transaksi'!$F:$F,$E588))</f>
        <v/>
      </c>
      <c r="E588">
        <f>IFERROR(AGGREGATE(15,6,ROW('Input Transaksi'!$B$5:$B$5000)/('Input Transaksi'!$B$5:$B$5000="LONDRI DEWE"),ROWS($E$5:E588)),"")</f>
        <v/>
      </c>
      <c r="F588" s="5" t="n"/>
    </row>
    <row r="589">
      <c r="A589" s="10">
        <f>IF($E589="","",INDEX('Input Transaksi'!$A:$A,$E589))</f>
        <v/>
      </c>
      <c r="B589" s="5">
        <f>IF($E589="","",INDEX('Input Transaksi'!$D:$D,$E589))</f>
        <v/>
      </c>
      <c r="C589">
        <f>IF($E589="","",INDEX('Input Transaksi'!$E:$E,$E589))</f>
        <v/>
      </c>
      <c r="D589" s="5">
        <f>IF($E589="","",INDEX('Input Transaksi'!$F:$F,$E589))</f>
        <v/>
      </c>
      <c r="E589">
        <f>IFERROR(AGGREGATE(15,6,ROW('Input Transaksi'!$B$5:$B$5000)/('Input Transaksi'!$B$5:$B$5000="LONDRI DEWE"),ROWS($E$5:E589)),"")</f>
        <v/>
      </c>
      <c r="F589" s="5" t="n"/>
    </row>
    <row r="590">
      <c r="A590" s="10">
        <f>IF($E590="","",INDEX('Input Transaksi'!$A:$A,$E590))</f>
        <v/>
      </c>
      <c r="B590" s="5">
        <f>IF($E590="","",INDEX('Input Transaksi'!$D:$D,$E590))</f>
        <v/>
      </c>
      <c r="C590">
        <f>IF($E590="","",INDEX('Input Transaksi'!$E:$E,$E590))</f>
        <v/>
      </c>
      <c r="D590" s="5">
        <f>IF($E590="","",INDEX('Input Transaksi'!$F:$F,$E590))</f>
        <v/>
      </c>
      <c r="E590">
        <f>IFERROR(AGGREGATE(15,6,ROW('Input Transaksi'!$B$5:$B$5000)/('Input Transaksi'!$B$5:$B$5000="LONDRI DEWE"),ROWS($E$5:E590)),"")</f>
        <v/>
      </c>
      <c r="F590" s="5" t="n"/>
    </row>
    <row r="591">
      <c r="A591" s="10">
        <f>IF($E591="","",INDEX('Input Transaksi'!$A:$A,$E591))</f>
        <v/>
      </c>
      <c r="B591" s="5">
        <f>IF($E591="","",INDEX('Input Transaksi'!$D:$D,$E591))</f>
        <v/>
      </c>
      <c r="C591">
        <f>IF($E591="","",INDEX('Input Transaksi'!$E:$E,$E591))</f>
        <v/>
      </c>
      <c r="D591" s="5">
        <f>IF($E591="","",INDEX('Input Transaksi'!$F:$F,$E591))</f>
        <v/>
      </c>
      <c r="E591">
        <f>IFERROR(AGGREGATE(15,6,ROW('Input Transaksi'!$B$5:$B$5000)/('Input Transaksi'!$B$5:$B$5000="LONDRI DEWE"),ROWS($E$5:E591)),"")</f>
        <v/>
      </c>
      <c r="F591" s="5" t="n"/>
    </row>
    <row r="592">
      <c r="A592" s="10">
        <f>IF($E592="","",INDEX('Input Transaksi'!$A:$A,$E592))</f>
        <v/>
      </c>
      <c r="B592" s="5">
        <f>IF($E592="","",INDEX('Input Transaksi'!$D:$D,$E592))</f>
        <v/>
      </c>
      <c r="C592">
        <f>IF($E592="","",INDEX('Input Transaksi'!$E:$E,$E592))</f>
        <v/>
      </c>
      <c r="D592" s="5">
        <f>IF($E592="","",INDEX('Input Transaksi'!$F:$F,$E592))</f>
        <v/>
      </c>
      <c r="E592">
        <f>IFERROR(AGGREGATE(15,6,ROW('Input Transaksi'!$B$5:$B$5000)/('Input Transaksi'!$B$5:$B$5000="LONDRI DEWE"),ROWS($E$5:E592)),"")</f>
        <v/>
      </c>
      <c r="F592" s="5" t="n"/>
    </row>
    <row r="593">
      <c r="A593" s="10">
        <f>IF($E593="","",INDEX('Input Transaksi'!$A:$A,$E593))</f>
        <v/>
      </c>
      <c r="B593" s="5">
        <f>IF($E593="","",INDEX('Input Transaksi'!$D:$D,$E593))</f>
        <v/>
      </c>
      <c r="C593">
        <f>IF($E593="","",INDEX('Input Transaksi'!$E:$E,$E593))</f>
        <v/>
      </c>
      <c r="D593" s="5">
        <f>IF($E593="","",INDEX('Input Transaksi'!$F:$F,$E593))</f>
        <v/>
      </c>
      <c r="E593">
        <f>IFERROR(AGGREGATE(15,6,ROW('Input Transaksi'!$B$5:$B$5000)/('Input Transaksi'!$B$5:$B$5000="LONDRI DEWE"),ROWS($E$5:E593)),"")</f>
        <v/>
      </c>
      <c r="F593" s="5" t="n"/>
    </row>
    <row r="594">
      <c r="A594" s="10">
        <f>IF($E594="","",INDEX('Input Transaksi'!$A:$A,$E594))</f>
        <v/>
      </c>
      <c r="B594" s="5">
        <f>IF($E594="","",INDEX('Input Transaksi'!$D:$D,$E594))</f>
        <v/>
      </c>
      <c r="C594">
        <f>IF($E594="","",INDEX('Input Transaksi'!$E:$E,$E594))</f>
        <v/>
      </c>
      <c r="D594" s="5">
        <f>IF($E594="","",INDEX('Input Transaksi'!$F:$F,$E594))</f>
        <v/>
      </c>
      <c r="E594">
        <f>IFERROR(AGGREGATE(15,6,ROW('Input Transaksi'!$B$5:$B$5000)/('Input Transaksi'!$B$5:$B$5000="LONDRI DEWE"),ROWS($E$5:E594)),"")</f>
        <v/>
      </c>
      <c r="F594" s="5" t="n"/>
    </row>
    <row r="595">
      <c r="A595" s="10">
        <f>IF($E595="","",INDEX('Input Transaksi'!$A:$A,$E595))</f>
        <v/>
      </c>
      <c r="B595" s="5">
        <f>IF($E595="","",INDEX('Input Transaksi'!$D:$D,$E595))</f>
        <v/>
      </c>
      <c r="C595">
        <f>IF($E595="","",INDEX('Input Transaksi'!$E:$E,$E595))</f>
        <v/>
      </c>
      <c r="D595" s="5">
        <f>IF($E595="","",INDEX('Input Transaksi'!$F:$F,$E595))</f>
        <v/>
      </c>
      <c r="E595">
        <f>IFERROR(AGGREGATE(15,6,ROW('Input Transaksi'!$B$5:$B$5000)/('Input Transaksi'!$B$5:$B$5000="LONDRI DEWE"),ROWS($E$5:E595)),"")</f>
        <v/>
      </c>
      <c r="F595" s="5" t="n"/>
    </row>
    <row r="596">
      <c r="A596" s="10">
        <f>IF($E596="","",INDEX('Input Transaksi'!$A:$A,$E596))</f>
        <v/>
      </c>
      <c r="B596" s="5">
        <f>IF($E596="","",INDEX('Input Transaksi'!$D:$D,$E596))</f>
        <v/>
      </c>
      <c r="C596">
        <f>IF($E596="","",INDEX('Input Transaksi'!$E:$E,$E596))</f>
        <v/>
      </c>
      <c r="D596" s="5">
        <f>IF($E596="","",INDEX('Input Transaksi'!$F:$F,$E596))</f>
        <v/>
      </c>
      <c r="E596">
        <f>IFERROR(AGGREGATE(15,6,ROW('Input Transaksi'!$B$5:$B$5000)/('Input Transaksi'!$B$5:$B$5000="LONDRI DEWE"),ROWS($E$5:E596)),"")</f>
        <v/>
      </c>
      <c r="F596" s="5" t="n"/>
    </row>
    <row r="597">
      <c r="A597" s="10">
        <f>IF($E597="","",INDEX('Input Transaksi'!$A:$A,$E597))</f>
        <v/>
      </c>
      <c r="B597" s="5">
        <f>IF($E597="","",INDEX('Input Transaksi'!$D:$D,$E597))</f>
        <v/>
      </c>
      <c r="C597">
        <f>IF($E597="","",INDEX('Input Transaksi'!$E:$E,$E597))</f>
        <v/>
      </c>
      <c r="D597" s="5">
        <f>IF($E597="","",INDEX('Input Transaksi'!$F:$F,$E597))</f>
        <v/>
      </c>
      <c r="E597">
        <f>IFERROR(AGGREGATE(15,6,ROW('Input Transaksi'!$B$5:$B$5000)/('Input Transaksi'!$B$5:$B$5000="LONDRI DEWE"),ROWS($E$5:E597)),"")</f>
        <v/>
      </c>
      <c r="F597" s="5" t="n"/>
    </row>
    <row r="598">
      <c r="A598" s="10">
        <f>IF($E598="","",INDEX('Input Transaksi'!$A:$A,$E598))</f>
        <v/>
      </c>
      <c r="B598" s="5">
        <f>IF($E598="","",INDEX('Input Transaksi'!$D:$D,$E598))</f>
        <v/>
      </c>
      <c r="C598">
        <f>IF($E598="","",INDEX('Input Transaksi'!$E:$E,$E598))</f>
        <v/>
      </c>
      <c r="D598" s="5">
        <f>IF($E598="","",INDEX('Input Transaksi'!$F:$F,$E598))</f>
        <v/>
      </c>
      <c r="E598">
        <f>IFERROR(AGGREGATE(15,6,ROW('Input Transaksi'!$B$5:$B$5000)/('Input Transaksi'!$B$5:$B$5000="LONDRI DEWE"),ROWS($E$5:E598)),"")</f>
        <v/>
      </c>
      <c r="F598" s="5" t="n"/>
    </row>
    <row r="599">
      <c r="A599" s="10">
        <f>IF($E599="","",INDEX('Input Transaksi'!$A:$A,$E599))</f>
        <v/>
      </c>
      <c r="B599" s="5">
        <f>IF($E599="","",INDEX('Input Transaksi'!$D:$D,$E599))</f>
        <v/>
      </c>
      <c r="C599">
        <f>IF($E599="","",INDEX('Input Transaksi'!$E:$E,$E599))</f>
        <v/>
      </c>
      <c r="D599" s="5">
        <f>IF($E599="","",INDEX('Input Transaksi'!$F:$F,$E599))</f>
        <v/>
      </c>
      <c r="E599">
        <f>IFERROR(AGGREGATE(15,6,ROW('Input Transaksi'!$B$5:$B$5000)/('Input Transaksi'!$B$5:$B$5000="LONDRI DEWE"),ROWS($E$5:E599)),"")</f>
        <v/>
      </c>
      <c r="F599" s="5" t="n"/>
    </row>
    <row r="600">
      <c r="A600" s="10">
        <f>IF($E600="","",INDEX('Input Transaksi'!$A:$A,$E600))</f>
        <v/>
      </c>
      <c r="B600" s="5">
        <f>IF($E600="","",INDEX('Input Transaksi'!$D:$D,$E600))</f>
        <v/>
      </c>
      <c r="C600">
        <f>IF($E600="","",INDEX('Input Transaksi'!$E:$E,$E600))</f>
        <v/>
      </c>
      <c r="D600" s="5">
        <f>IF($E600="","",INDEX('Input Transaksi'!$F:$F,$E600))</f>
        <v/>
      </c>
      <c r="E600">
        <f>IFERROR(AGGREGATE(15,6,ROW('Input Transaksi'!$B$5:$B$5000)/('Input Transaksi'!$B$5:$B$5000="LONDRI DEWE"),ROWS($E$5:E600)),"")</f>
        <v/>
      </c>
      <c r="F600" s="5" t="n"/>
    </row>
    <row r="601">
      <c r="A601" s="10">
        <f>IF($E601="","",INDEX('Input Transaksi'!$A:$A,$E601))</f>
        <v/>
      </c>
      <c r="B601" s="5">
        <f>IF($E601="","",INDEX('Input Transaksi'!$D:$D,$E601))</f>
        <v/>
      </c>
      <c r="C601">
        <f>IF($E601="","",INDEX('Input Transaksi'!$E:$E,$E601))</f>
        <v/>
      </c>
      <c r="D601" s="5">
        <f>IF($E601="","",INDEX('Input Transaksi'!$F:$F,$E601))</f>
        <v/>
      </c>
      <c r="E601">
        <f>IFERROR(AGGREGATE(15,6,ROW('Input Transaksi'!$B$5:$B$5000)/('Input Transaksi'!$B$5:$B$5000="LONDRI DEWE"),ROWS($E$5:E601)),"")</f>
        <v/>
      </c>
      <c r="F601" s="5" t="n"/>
    </row>
    <row r="602">
      <c r="A602" s="10">
        <f>IF($E602="","",INDEX('Input Transaksi'!$A:$A,$E602))</f>
        <v/>
      </c>
      <c r="B602" s="5">
        <f>IF($E602="","",INDEX('Input Transaksi'!$D:$D,$E602))</f>
        <v/>
      </c>
      <c r="C602">
        <f>IF($E602="","",INDEX('Input Transaksi'!$E:$E,$E602))</f>
        <v/>
      </c>
      <c r="D602" s="5">
        <f>IF($E602="","",INDEX('Input Transaksi'!$F:$F,$E602))</f>
        <v/>
      </c>
      <c r="E602">
        <f>IFERROR(AGGREGATE(15,6,ROW('Input Transaksi'!$B$5:$B$5000)/('Input Transaksi'!$B$5:$B$5000="LONDRI DEWE"),ROWS($E$5:E602)),"")</f>
        <v/>
      </c>
      <c r="F602" s="5" t="n"/>
    </row>
    <row r="603">
      <c r="A603" s="10">
        <f>IF($E603="","",INDEX('Input Transaksi'!$A:$A,$E603))</f>
        <v/>
      </c>
      <c r="B603" s="5">
        <f>IF($E603="","",INDEX('Input Transaksi'!$D:$D,$E603))</f>
        <v/>
      </c>
      <c r="C603">
        <f>IF($E603="","",INDEX('Input Transaksi'!$E:$E,$E603))</f>
        <v/>
      </c>
      <c r="D603" s="5">
        <f>IF($E603="","",INDEX('Input Transaksi'!$F:$F,$E603))</f>
        <v/>
      </c>
      <c r="E603">
        <f>IFERROR(AGGREGATE(15,6,ROW('Input Transaksi'!$B$5:$B$5000)/('Input Transaksi'!$B$5:$B$5000="LONDRI DEWE"),ROWS($E$5:E603)),"")</f>
        <v/>
      </c>
      <c r="F603" s="5" t="n"/>
    </row>
    <row r="604">
      <c r="A604" s="10">
        <f>IF($E604="","",INDEX('Input Transaksi'!$A:$A,$E604))</f>
        <v/>
      </c>
      <c r="B604" s="5">
        <f>IF($E604="","",INDEX('Input Transaksi'!$D:$D,$E604))</f>
        <v/>
      </c>
      <c r="C604">
        <f>IF($E604="","",INDEX('Input Transaksi'!$E:$E,$E604))</f>
        <v/>
      </c>
      <c r="D604" s="5">
        <f>IF($E604="","",INDEX('Input Transaksi'!$F:$F,$E604))</f>
        <v/>
      </c>
      <c r="E604">
        <f>IFERROR(AGGREGATE(15,6,ROW('Input Transaksi'!$B$5:$B$5000)/('Input Transaksi'!$B$5:$B$5000="LONDRI DEWE"),ROWS($E$5:E604)),"")</f>
        <v/>
      </c>
      <c r="F604" s="5" t="n"/>
    </row>
    <row r="605">
      <c r="A605" s="10">
        <f>IF($E605="","",INDEX('Input Transaksi'!$A:$A,$E605))</f>
        <v/>
      </c>
      <c r="B605" s="5">
        <f>IF($E605="","",INDEX('Input Transaksi'!$D:$D,$E605))</f>
        <v/>
      </c>
      <c r="C605">
        <f>IF($E605="","",INDEX('Input Transaksi'!$E:$E,$E605))</f>
        <v/>
      </c>
      <c r="D605" s="5">
        <f>IF($E605="","",INDEX('Input Transaksi'!$F:$F,$E605))</f>
        <v/>
      </c>
      <c r="E605">
        <f>IFERROR(AGGREGATE(15,6,ROW('Input Transaksi'!$B$5:$B$5000)/('Input Transaksi'!$B$5:$B$5000="LONDRI DEWE"),ROWS($E$5:E605)),"")</f>
        <v/>
      </c>
      <c r="F605" s="5" t="n"/>
    </row>
    <row r="606">
      <c r="A606" s="10">
        <f>IF($E606="","",INDEX('Input Transaksi'!$A:$A,$E606))</f>
        <v/>
      </c>
      <c r="B606" s="5">
        <f>IF($E606="","",INDEX('Input Transaksi'!$D:$D,$E606))</f>
        <v/>
      </c>
      <c r="C606">
        <f>IF($E606="","",INDEX('Input Transaksi'!$E:$E,$E606))</f>
        <v/>
      </c>
      <c r="D606" s="5">
        <f>IF($E606="","",INDEX('Input Transaksi'!$F:$F,$E606))</f>
        <v/>
      </c>
      <c r="E606">
        <f>IFERROR(AGGREGATE(15,6,ROW('Input Transaksi'!$B$5:$B$5000)/('Input Transaksi'!$B$5:$B$5000="LONDRI DEWE"),ROWS($E$5:E606)),"")</f>
        <v/>
      </c>
      <c r="F606" s="5" t="n"/>
    </row>
    <row r="607">
      <c r="A607" s="10">
        <f>IF($E607="","",INDEX('Input Transaksi'!$A:$A,$E607))</f>
        <v/>
      </c>
      <c r="B607" s="5">
        <f>IF($E607="","",INDEX('Input Transaksi'!$D:$D,$E607))</f>
        <v/>
      </c>
      <c r="C607">
        <f>IF($E607="","",INDEX('Input Transaksi'!$E:$E,$E607))</f>
        <v/>
      </c>
      <c r="D607" s="5">
        <f>IF($E607="","",INDEX('Input Transaksi'!$F:$F,$E607))</f>
        <v/>
      </c>
      <c r="E607">
        <f>IFERROR(AGGREGATE(15,6,ROW('Input Transaksi'!$B$5:$B$5000)/('Input Transaksi'!$B$5:$B$5000="LONDRI DEWE"),ROWS($E$5:E607)),"")</f>
        <v/>
      </c>
      <c r="F607" s="5" t="n"/>
    </row>
    <row r="608">
      <c r="A608" s="10">
        <f>IF($E608="","",INDEX('Input Transaksi'!$A:$A,$E608))</f>
        <v/>
      </c>
      <c r="B608" s="5">
        <f>IF($E608="","",INDEX('Input Transaksi'!$D:$D,$E608))</f>
        <v/>
      </c>
      <c r="C608">
        <f>IF($E608="","",INDEX('Input Transaksi'!$E:$E,$E608))</f>
        <v/>
      </c>
      <c r="D608" s="5">
        <f>IF($E608="","",INDEX('Input Transaksi'!$F:$F,$E608))</f>
        <v/>
      </c>
      <c r="E608">
        <f>IFERROR(AGGREGATE(15,6,ROW('Input Transaksi'!$B$5:$B$5000)/('Input Transaksi'!$B$5:$B$5000="LONDRI DEWE"),ROWS($E$5:E608)),"")</f>
        <v/>
      </c>
      <c r="F608" s="5" t="n"/>
    </row>
    <row r="609">
      <c r="A609" s="10">
        <f>IF($E609="","",INDEX('Input Transaksi'!$A:$A,$E609))</f>
        <v/>
      </c>
      <c r="B609" s="5">
        <f>IF($E609="","",INDEX('Input Transaksi'!$D:$D,$E609))</f>
        <v/>
      </c>
      <c r="C609">
        <f>IF($E609="","",INDEX('Input Transaksi'!$E:$E,$E609))</f>
        <v/>
      </c>
      <c r="D609" s="5">
        <f>IF($E609="","",INDEX('Input Transaksi'!$F:$F,$E609))</f>
        <v/>
      </c>
      <c r="E609">
        <f>IFERROR(AGGREGATE(15,6,ROW('Input Transaksi'!$B$5:$B$5000)/('Input Transaksi'!$B$5:$B$5000="LONDRI DEWE"),ROWS($E$5:E609)),"")</f>
        <v/>
      </c>
      <c r="F609" s="5" t="n"/>
    </row>
    <row r="610">
      <c r="A610" s="10">
        <f>IF($E610="","",INDEX('Input Transaksi'!$A:$A,$E610))</f>
        <v/>
      </c>
      <c r="B610" s="5">
        <f>IF($E610="","",INDEX('Input Transaksi'!$D:$D,$E610))</f>
        <v/>
      </c>
      <c r="C610">
        <f>IF($E610="","",INDEX('Input Transaksi'!$E:$E,$E610))</f>
        <v/>
      </c>
      <c r="D610" s="5">
        <f>IF($E610="","",INDEX('Input Transaksi'!$F:$F,$E610))</f>
        <v/>
      </c>
      <c r="E610">
        <f>IFERROR(AGGREGATE(15,6,ROW('Input Transaksi'!$B$5:$B$5000)/('Input Transaksi'!$B$5:$B$5000="LONDRI DEWE"),ROWS($E$5:E610)),"")</f>
        <v/>
      </c>
      <c r="F610" s="5" t="n"/>
    </row>
    <row r="611">
      <c r="A611" s="10">
        <f>IF($E611="","",INDEX('Input Transaksi'!$A:$A,$E611))</f>
        <v/>
      </c>
      <c r="B611" s="5">
        <f>IF($E611="","",INDEX('Input Transaksi'!$D:$D,$E611))</f>
        <v/>
      </c>
      <c r="C611">
        <f>IF($E611="","",INDEX('Input Transaksi'!$E:$E,$E611))</f>
        <v/>
      </c>
      <c r="D611" s="5">
        <f>IF($E611="","",INDEX('Input Transaksi'!$F:$F,$E611))</f>
        <v/>
      </c>
      <c r="E611">
        <f>IFERROR(AGGREGATE(15,6,ROW('Input Transaksi'!$B$5:$B$5000)/('Input Transaksi'!$B$5:$B$5000="LONDRI DEWE"),ROWS($E$5:E611)),"")</f>
        <v/>
      </c>
      <c r="F611" s="5" t="n"/>
    </row>
    <row r="612">
      <c r="A612" s="10">
        <f>IF($E612="","",INDEX('Input Transaksi'!$A:$A,$E612))</f>
        <v/>
      </c>
      <c r="B612" s="5">
        <f>IF($E612="","",INDEX('Input Transaksi'!$D:$D,$E612))</f>
        <v/>
      </c>
      <c r="C612">
        <f>IF($E612="","",INDEX('Input Transaksi'!$E:$E,$E612))</f>
        <v/>
      </c>
      <c r="D612" s="5">
        <f>IF($E612="","",INDEX('Input Transaksi'!$F:$F,$E612))</f>
        <v/>
      </c>
      <c r="E612">
        <f>IFERROR(AGGREGATE(15,6,ROW('Input Transaksi'!$B$5:$B$5000)/('Input Transaksi'!$B$5:$B$5000="LONDRI DEWE"),ROWS($E$5:E612)),"")</f>
        <v/>
      </c>
      <c r="F612" s="5" t="n"/>
    </row>
    <row r="613">
      <c r="A613" s="10">
        <f>IF($E613="","",INDEX('Input Transaksi'!$A:$A,$E613))</f>
        <v/>
      </c>
      <c r="B613" s="5">
        <f>IF($E613="","",INDEX('Input Transaksi'!$D:$D,$E613))</f>
        <v/>
      </c>
      <c r="C613">
        <f>IF($E613="","",INDEX('Input Transaksi'!$E:$E,$E613))</f>
        <v/>
      </c>
      <c r="D613" s="5">
        <f>IF($E613="","",INDEX('Input Transaksi'!$F:$F,$E613))</f>
        <v/>
      </c>
      <c r="E613">
        <f>IFERROR(AGGREGATE(15,6,ROW('Input Transaksi'!$B$5:$B$5000)/('Input Transaksi'!$B$5:$B$5000="LONDRI DEWE"),ROWS($E$5:E613)),"")</f>
        <v/>
      </c>
      <c r="F613" s="5" t="n"/>
    </row>
    <row r="614">
      <c r="A614" s="10">
        <f>IF($E614="","",INDEX('Input Transaksi'!$A:$A,$E614))</f>
        <v/>
      </c>
      <c r="B614" s="5">
        <f>IF($E614="","",INDEX('Input Transaksi'!$D:$D,$E614))</f>
        <v/>
      </c>
      <c r="C614">
        <f>IF($E614="","",INDEX('Input Transaksi'!$E:$E,$E614))</f>
        <v/>
      </c>
      <c r="D614" s="5">
        <f>IF($E614="","",INDEX('Input Transaksi'!$F:$F,$E614))</f>
        <v/>
      </c>
      <c r="E614">
        <f>IFERROR(AGGREGATE(15,6,ROW('Input Transaksi'!$B$5:$B$5000)/('Input Transaksi'!$B$5:$B$5000="LONDRI DEWE"),ROWS($E$5:E614)),"")</f>
        <v/>
      </c>
      <c r="F614" s="5" t="n"/>
    </row>
    <row r="615">
      <c r="A615" s="10">
        <f>IF($E615="","",INDEX('Input Transaksi'!$A:$A,$E615))</f>
        <v/>
      </c>
      <c r="B615" s="5">
        <f>IF($E615="","",INDEX('Input Transaksi'!$D:$D,$E615))</f>
        <v/>
      </c>
      <c r="C615">
        <f>IF($E615="","",INDEX('Input Transaksi'!$E:$E,$E615))</f>
        <v/>
      </c>
      <c r="D615" s="5">
        <f>IF($E615="","",INDEX('Input Transaksi'!$F:$F,$E615))</f>
        <v/>
      </c>
      <c r="E615">
        <f>IFERROR(AGGREGATE(15,6,ROW('Input Transaksi'!$B$5:$B$5000)/('Input Transaksi'!$B$5:$B$5000="LONDRI DEWE"),ROWS($E$5:E615)),"")</f>
        <v/>
      </c>
      <c r="F615" s="5" t="n"/>
    </row>
    <row r="616">
      <c r="A616" s="10">
        <f>IF($E616="","",INDEX('Input Transaksi'!$A:$A,$E616))</f>
        <v/>
      </c>
      <c r="B616" s="5">
        <f>IF($E616="","",INDEX('Input Transaksi'!$D:$D,$E616))</f>
        <v/>
      </c>
      <c r="C616">
        <f>IF($E616="","",INDEX('Input Transaksi'!$E:$E,$E616))</f>
        <v/>
      </c>
      <c r="D616" s="5">
        <f>IF($E616="","",INDEX('Input Transaksi'!$F:$F,$E616))</f>
        <v/>
      </c>
      <c r="E616">
        <f>IFERROR(AGGREGATE(15,6,ROW('Input Transaksi'!$B$5:$B$5000)/('Input Transaksi'!$B$5:$B$5000="LONDRI DEWE"),ROWS($E$5:E616)),"")</f>
        <v/>
      </c>
      <c r="F616" s="5" t="n"/>
    </row>
    <row r="617">
      <c r="A617" s="10">
        <f>IF($E617="","",INDEX('Input Transaksi'!$A:$A,$E617))</f>
        <v/>
      </c>
      <c r="B617" s="5">
        <f>IF($E617="","",INDEX('Input Transaksi'!$D:$D,$E617))</f>
        <v/>
      </c>
      <c r="C617">
        <f>IF($E617="","",INDEX('Input Transaksi'!$E:$E,$E617))</f>
        <v/>
      </c>
      <c r="D617" s="5">
        <f>IF($E617="","",INDEX('Input Transaksi'!$F:$F,$E617))</f>
        <v/>
      </c>
      <c r="E617">
        <f>IFERROR(AGGREGATE(15,6,ROW('Input Transaksi'!$B$5:$B$5000)/('Input Transaksi'!$B$5:$B$5000="LONDRI DEWE"),ROWS($E$5:E617)),"")</f>
        <v/>
      </c>
      <c r="F617" s="5" t="n"/>
    </row>
    <row r="618">
      <c r="A618" s="10">
        <f>IF($E618="","",INDEX('Input Transaksi'!$A:$A,$E618))</f>
        <v/>
      </c>
      <c r="B618" s="5">
        <f>IF($E618="","",INDEX('Input Transaksi'!$D:$D,$E618))</f>
        <v/>
      </c>
      <c r="C618">
        <f>IF($E618="","",INDEX('Input Transaksi'!$E:$E,$E618))</f>
        <v/>
      </c>
      <c r="D618" s="5">
        <f>IF($E618="","",INDEX('Input Transaksi'!$F:$F,$E618))</f>
        <v/>
      </c>
      <c r="E618">
        <f>IFERROR(AGGREGATE(15,6,ROW('Input Transaksi'!$B$5:$B$5000)/('Input Transaksi'!$B$5:$B$5000="LONDRI DEWE"),ROWS($E$5:E618)),"")</f>
        <v/>
      </c>
      <c r="F618" s="5" t="n"/>
    </row>
    <row r="619">
      <c r="A619" s="10">
        <f>IF($E619="","",INDEX('Input Transaksi'!$A:$A,$E619))</f>
        <v/>
      </c>
      <c r="B619" s="5">
        <f>IF($E619="","",INDEX('Input Transaksi'!$D:$D,$E619))</f>
        <v/>
      </c>
      <c r="C619">
        <f>IF($E619="","",INDEX('Input Transaksi'!$E:$E,$E619))</f>
        <v/>
      </c>
      <c r="D619" s="5">
        <f>IF($E619="","",INDEX('Input Transaksi'!$F:$F,$E619))</f>
        <v/>
      </c>
      <c r="E619">
        <f>IFERROR(AGGREGATE(15,6,ROW('Input Transaksi'!$B$5:$B$5000)/('Input Transaksi'!$B$5:$B$5000="LONDRI DEWE"),ROWS($E$5:E619)),"")</f>
        <v/>
      </c>
      <c r="F619" s="5" t="n"/>
    </row>
    <row r="620">
      <c r="A620" s="10">
        <f>IF($E620="","",INDEX('Input Transaksi'!$A:$A,$E620))</f>
        <v/>
      </c>
      <c r="B620" s="5">
        <f>IF($E620="","",INDEX('Input Transaksi'!$D:$D,$E620))</f>
        <v/>
      </c>
      <c r="C620">
        <f>IF($E620="","",INDEX('Input Transaksi'!$E:$E,$E620))</f>
        <v/>
      </c>
      <c r="D620" s="5">
        <f>IF($E620="","",INDEX('Input Transaksi'!$F:$F,$E620))</f>
        <v/>
      </c>
      <c r="E620">
        <f>IFERROR(AGGREGATE(15,6,ROW('Input Transaksi'!$B$5:$B$5000)/('Input Transaksi'!$B$5:$B$5000="LONDRI DEWE"),ROWS($E$5:E620)),"")</f>
        <v/>
      </c>
      <c r="F620" s="5" t="n"/>
    </row>
    <row r="621">
      <c r="A621" s="10">
        <f>IF($E621="","",INDEX('Input Transaksi'!$A:$A,$E621))</f>
        <v/>
      </c>
      <c r="B621" s="5">
        <f>IF($E621="","",INDEX('Input Transaksi'!$D:$D,$E621))</f>
        <v/>
      </c>
      <c r="C621">
        <f>IF($E621="","",INDEX('Input Transaksi'!$E:$E,$E621))</f>
        <v/>
      </c>
      <c r="D621" s="5">
        <f>IF($E621="","",INDEX('Input Transaksi'!$F:$F,$E621))</f>
        <v/>
      </c>
      <c r="E621">
        <f>IFERROR(AGGREGATE(15,6,ROW('Input Transaksi'!$B$5:$B$5000)/('Input Transaksi'!$B$5:$B$5000="LONDRI DEWE"),ROWS($E$5:E621)),"")</f>
        <v/>
      </c>
      <c r="F621" s="5" t="n"/>
    </row>
    <row r="622">
      <c r="A622" s="10">
        <f>IF($E622="","",INDEX('Input Transaksi'!$A:$A,$E622))</f>
        <v/>
      </c>
      <c r="B622" s="5">
        <f>IF($E622="","",INDEX('Input Transaksi'!$D:$D,$E622))</f>
        <v/>
      </c>
      <c r="C622">
        <f>IF($E622="","",INDEX('Input Transaksi'!$E:$E,$E622))</f>
        <v/>
      </c>
      <c r="D622" s="5">
        <f>IF($E622="","",INDEX('Input Transaksi'!$F:$F,$E622))</f>
        <v/>
      </c>
      <c r="E622">
        <f>IFERROR(AGGREGATE(15,6,ROW('Input Transaksi'!$B$5:$B$5000)/('Input Transaksi'!$B$5:$B$5000="LONDRI DEWE"),ROWS($E$5:E622)),"")</f>
        <v/>
      </c>
      <c r="F622" s="5" t="n"/>
    </row>
    <row r="623">
      <c r="A623" s="10">
        <f>IF($E623="","",INDEX('Input Transaksi'!$A:$A,$E623))</f>
        <v/>
      </c>
      <c r="B623" s="5">
        <f>IF($E623="","",INDEX('Input Transaksi'!$D:$D,$E623))</f>
        <v/>
      </c>
      <c r="C623">
        <f>IF($E623="","",INDEX('Input Transaksi'!$E:$E,$E623))</f>
        <v/>
      </c>
      <c r="D623" s="5">
        <f>IF($E623="","",INDEX('Input Transaksi'!$F:$F,$E623))</f>
        <v/>
      </c>
      <c r="E623">
        <f>IFERROR(AGGREGATE(15,6,ROW('Input Transaksi'!$B$5:$B$5000)/('Input Transaksi'!$B$5:$B$5000="LONDRI DEWE"),ROWS($E$5:E623)),"")</f>
        <v/>
      </c>
      <c r="F623" s="5" t="n"/>
    </row>
    <row r="624">
      <c r="A624" s="10">
        <f>IF($E624="","",INDEX('Input Transaksi'!$A:$A,$E624))</f>
        <v/>
      </c>
      <c r="B624" s="5">
        <f>IF($E624="","",INDEX('Input Transaksi'!$D:$D,$E624))</f>
        <v/>
      </c>
      <c r="C624">
        <f>IF($E624="","",INDEX('Input Transaksi'!$E:$E,$E624))</f>
        <v/>
      </c>
      <c r="D624" s="5">
        <f>IF($E624="","",INDEX('Input Transaksi'!$F:$F,$E624))</f>
        <v/>
      </c>
      <c r="E624">
        <f>IFERROR(AGGREGATE(15,6,ROW('Input Transaksi'!$B$5:$B$5000)/('Input Transaksi'!$B$5:$B$5000="LONDRI DEWE"),ROWS($E$5:E624)),"")</f>
        <v/>
      </c>
      <c r="F624" s="5" t="n"/>
    </row>
    <row r="625">
      <c r="A625" s="10">
        <f>IF($E625="","",INDEX('Input Transaksi'!$A:$A,$E625))</f>
        <v/>
      </c>
      <c r="B625" s="5">
        <f>IF($E625="","",INDEX('Input Transaksi'!$D:$D,$E625))</f>
        <v/>
      </c>
      <c r="C625">
        <f>IF($E625="","",INDEX('Input Transaksi'!$E:$E,$E625))</f>
        <v/>
      </c>
      <c r="D625" s="5">
        <f>IF($E625="","",INDEX('Input Transaksi'!$F:$F,$E625))</f>
        <v/>
      </c>
      <c r="E625">
        <f>IFERROR(AGGREGATE(15,6,ROW('Input Transaksi'!$B$5:$B$5000)/('Input Transaksi'!$B$5:$B$5000="LONDRI DEWE"),ROWS($E$5:E625)),"")</f>
        <v/>
      </c>
      <c r="F625" s="5" t="n"/>
    </row>
    <row r="626">
      <c r="A626" s="10">
        <f>IF($E626="","",INDEX('Input Transaksi'!$A:$A,$E626))</f>
        <v/>
      </c>
      <c r="B626" s="5">
        <f>IF($E626="","",INDEX('Input Transaksi'!$D:$D,$E626))</f>
        <v/>
      </c>
      <c r="C626">
        <f>IF($E626="","",INDEX('Input Transaksi'!$E:$E,$E626))</f>
        <v/>
      </c>
      <c r="D626" s="5">
        <f>IF($E626="","",INDEX('Input Transaksi'!$F:$F,$E626))</f>
        <v/>
      </c>
      <c r="E626">
        <f>IFERROR(AGGREGATE(15,6,ROW('Input Transaksi'!$B$5:$B$5000)/('Input Transaksi'!$B$5:$B$5000="LONDRI DEWE"),ROWS($E$5:E626)),"")</f>
        <v/>
      </c>
      <c r="F626" s="5" t="n"/>
    </row>
    <row r="627">
      <c r="A627" s="10">
        <f>IF($E627="","",INDEX('Input Transaksi'!$A:$A,$E627))</f>
        <v/>
      </c>
      <c r="B627" s="5">
        <f>IF($E627="","",INDEX('Input Transaksi'!$D:$D,$E627))</f>
        <v/>
      </c>
      <c r="C627">
        <f>IF($E627="","",INDEX('Input Transaksi'!$E:$E,$E627))</f>
        <v/>
      </c>
      <c r="D627" s="5">
        <f>IF($E627="","",INDEX('Input Transaksi'!$F:$F,$E627))</f>
        <v/>
      </c>
      <c r="E627">
        <f>IFERROR(AGGREGATE(15,6,ROW('Input Transaksi'!$B$5:$B$5000)/('Input Transaksi'!$B$5:$B$5000="LONDRI DEWE"),ROWS($E$5:E627)),"")</f>
        <v/>
      </c>
      <c r="F627" s="5" t="n"/>
    </row>
    <row r="628">
      <c r="A628" s="10">
        <f>IF($E628="","",INDEX('Input Transaksi'!$A:$A,$E628))</f>
        <v/>
      </c>
      <c r="B628" s="5">
        <f>IF($E628="","",INDEX('Input Transaksi'!$D:$D,$E628))</f>
        <v/>
      </c>
      <c r="C628">
        <f>IF($E628="","",INDEX('Input Transaksi'!$E:$E,$E628))</f>
        <v/>
      </c>
      <c r="D628" s="5">
        <f>IF($E628="","",INDEX('Input Transaksi'!$F:$F,$E628))</f>
        <v/>
      </c>
      <c r="E628">
        <f>IFERROR(AGGREGATE(15,6,ROW('Input Transaksi'!$B$5:$B$5000)/('Input Transaksi'!$B$5:$B$5000="LONDRI DEWE"),ROWS($E$5:E628)),"")</f>
        <v/>
      </c>
      <c r="F628" s="5" t="n"/>
    </row>
    <row r="629">
      <c r="A629" s="10">
        <f>IF($E629="","",INDEX('Input Transaksi'!$A:$A,$E629))</f>
        <v/>
      </c>
      <c r="B629" s="5">
        <f>IF($E629="","",INDEX('Input Transaksi'!$D:$D,$E629))</f>
        <v/>
      </c>
      <c r="C629">
        <f>IF($E629="","",INDEX('Input Transaksi'!$E:$E,$E629))</f>
        <v/>
      </c>
      <c r="D629" s="5">
        <f>IF($E629="","",INDEX('Input Transaksi'!$F:$F,$E629))</f>
        <v/>
      </c>
      <c r="E629">
        <f>IFERROR(AGGREGATE(15,6,ROW('Input Transaksi'!$B$5:$B$5000)/('Input Transaksi'!$B$5:$B$5000="LONDRI DEWE"),ROWS($E$5:E629)),"")</f>
        <v/>
      </c>
      <c r="F629" s="5" t="n"/>
    </row>
    <row r="630">
      <c r="A630" s="10">
        <f>IF($E630="","",INDEX('Input Transaksi'!$A:$A,$E630))</f>
        <v/>
      </c>
      <c r="B630" s="5">
        <f>IF($E630="","",INDEX('Input Transaksi'!$D:$D,$E630))</f>
        <v/>
      </c>
      <c r="C630">
        <f>IF($E630="","",INDEX('Input Transaksi'!$E:$E,$E630))</f>
        <v/>
      </c>
      <c r="D630" s="5">
        <f>IF($E630="","",INDEX('Input Transaksi'!$F:$F,$E630))</f>
        <v/>
      </c>
      <c r="E630">
        <f>IFERROR(AGGREGATE(15,6,ROW('Input Transaksi'!$B$5:$B$5000)/('Input Transaksi'!$B$5:$B$5000="LONDRI DEWE"),ROWS($E$5:E630)),"")</f>
        <v/>
      </c>
      <c r="F630" s="5" t="n"/>
    </row>
    <row r="631">
      <c r="A631" s="10">
        <f>IF($E631="","",INDEX('Input Transaksi'!$A:$A,$E631))</f>
        <v/>
      </c>
      <c r="B631" s="5">
        <f>IF($E631="","",INDEX('Input Transaksi'!$D:$D,$E631))</f>
        <v/>
      </c>
      <c r="C631">
        <f>IF($E631="","",INDEX('Input Transaksi'!$E:$E,$E631))</f>
        <v/>
      </c>
      <c r="D631" s="5">
        <f>IF($E631="","",INDEX('Input Transaksi'!$F:$F,$E631))</f>
        <v/>
      </c>
      <c r="E631">
        <f>IFERROR(AGGREGATE(15,6,ROW('Input Transaksi'!$B$5:$B$5000)/('Input Transaksi'!$B$5:$B$5000="LONDRI DEWE"),ROWS($E$5:E631)),"")</f>
        <v/>
      </c>
      <c r="F631" s="5" t="n"/>
    </row>
    <row r="632">
      <c r="A632" s="10">
        <f>IF($E632="","",INDEX('Input Transaksi'!$A:$A,$E632))</f>
        <v/>
      </c>
      <c r="B632" s="5">
        <f>IF($E632="","",INDEX('Input Transaksi'!$D:$D,$E632))</f>
        <v/>
      </c>
      <c r="C632">
        <f>IF($E632="","",INDEX('Input Transaksi'!$E:$E,$E632))</f>
        <v/>
      </c>
      <c r="D632" s="5">
        <f>IF($E632="","",INDEX('Input Transaksi'!$F:$F,$E632))</f>
        <v/>
      </c>
      <c r="E632">
        <f>IFERROR(AGGREGATE(15,6,ROW('Input Transaksi'!$B$5:$B$5000)/('Input Transaksi'!$B$5:$B$5000="LONDRI DEWE"),ROWS($E$5:E632)),"")</f>
        <v/>
      </c>
      <c r="F632" s="5" t="n"/>
    </row>
    <row r="633">
      <c r="A633" s="10">
        <f>IF($E633="","",INDEX('Input Transaksi'!$A:$A,$E633))</f>
        <v/>
      </c>
      <c r="B633" s="5">
        <f>IF($E633="","",INDEX('Input Transaksi'!$D:$D,$E633))</f>
        <v/>
      </c>
      <c r="C633">
        <f>IF($E633="","",INDEX('Input Transaksi'!$E:$E,$E633))</f>
        <v/>
      </c>
      <c r="D633" s="5">
        <f>IF($E633="","",INDEX('Input Transaksi'!$F:$F,$E633))</f>
        <v/>
      </c>
      <c r="E633">
        <f>IFERROR(AGGREGATE(15,6,ROW('Input Transaksi'!$B$5:$B$5000)/('Input Transaksi'!$B$5:$B$5000="LONDRI DEWE"),ROWS($E$5:E633)),"")</f>
        <v/>
      </c>
      <c r="F633" s="5" t="n"/>
    </row>
    <row r="634">
      <c r="A634" s="10">
        <f>IF($E634="","",INDEX('Input Transaksi'!$A:$A,$E634))</f>
        <v/>
      </c>
      <c r="B634" s="5">
        <f>IF($E634="","",INDEX('Input Transaksi'!$D:$D,$E634))</f>
        <v/>
      </c>
      <c r="C634">
        <f>IF($E634="","",INDEX('Input Transaksi'!$E:$E,$E634))</f>
        <v/>
      </c>
      <c r="D634" s="5">
        <f>IF($E634="","",INDEX('Input Transaksi'!$F:$F,$E634))</f>
        <v/>
      </c>
      <c r="E634">
        <f>IFERROR(AGGREGATE(15,6,ROW('Input Transaksi'!$B$5:$B$5000)/('Input Transaksi'!$B$5:$B$5000="LONDRI DEWE"),ROWS($E$5:E634)),"")</f>
        <v/>
      </c>
      <c r="F634" s="5" t="n"/>
    </row>
    <row r="635">
      <c r="A635" s="10">
        <f>IF($E635="","",INDEX('Input Transaksi'!$A:$A,$E635))</f>
        <v/>
      </c>
      <c r="B635" s="5">
        <f>IF($E635="","",INDEX('Input Transaksi'!$D:$D,$E635))</f>
        <v/>
      </c>
      <c r="C635">
        <f>IF($E635="","",INDEX('Input Transaksi'!$E:$E,$E635))</f>
        <v/>
      </c>
      <c r="D635" s="5">
        <f>IF($E635="","",INDEX('Input Transaksi'!$F:$F,$E635))</f>
        <v/>
      </c>
      <c r="E635">
        <f>IFERROR(AGGREGATE(15,6,ROW('Input Transaksi'!$B$5:$B$5000)/('Input Transaksi'!$B$5:$B$5000="LONDRI DEWE"),ROWS($E$5:E635)),"")</f>
        <v/>
      </c>
      <c r="F635" s="5" t="n"/>
    </row>
    <row r="636">
      <c r="A636" s="10">
        <f>IF($E636="","",INDEX('Input Transaksi'!$A:$A,$E636))</f>
        <v/>
      </c>
      <c r="B636" s="5">
        <f>IF($E636="","",INDEX('Input Transaksi'!$D:$D,$E636))</f>
        <v/>
      </c>
      <c r="C636">
        <f>IF($E636="","",INDEX('Input Transaksi'!$E:$E,$E636))</f>
        <v/>
      </c>
      <c r="D636" s="5">
        <f>IF($E636="","",INDEX('Input Transaksi'!$F:$F,$E636))</f>
        <v/>
      </c>
      <c r="E636">
        <f>IFERROR(AGGREGATE(15,6,ROW('Input Transaksi'!$B$5:$B$5000)/('Input Transaksi'!$B$5:$B$5000="LONDRI DEWE"),ROWS($E$5:E636)),"")</f>
        <v/>
      </c>
      <c r="F636" s="5" t="n"/>
    </row>
    <row r="637">
      <c r="A637" s="10">
        <f>IF($E637="","",INDEX('Input Transaksi'!$A:$A,$E637))</f>
        <v/>
      </c>
      <c r="B637" s="5">
        <f>IF($E637="","",INDEX('Input Transaksi'!$D:$D,$E637))</f>
        <v/>
      </c>
      <c r="C637">
        <f>IF($E637="","",INDEX('Input Transaksi'!$E:$E,$E637))</f>
        <v/>
      </c>
      <c r="D637" s="5">
        <f>IF($E637="","",INDEX('Input Transaksi'!$F:$F,$E637))</f>
        <v/>
      </c>
      <c r="E637">
        <f>IFERROR(AGGREGATE(15,6,ROW('Input Transaksi'!$B$5:$B$5000)/('Input Transaksi'!$B$5:$B$5000="LONDRI DEWE"),ROWS($E$5:E637)),"")</f>
        <v/>
      </c>
      <c r="F637" s="5" t="n"/>
    </row>
    <row r="638">
      <c r="A638" s="10">
        <f>IF($E638="","",INDEX('Input Transaksi'!$A:$A,$E638))</f>
        <v/>
      </c>
      <c r="B638" s="5">
        <f>IF($E638="","",INDEX('Input Transaksi'!$D:$D,$E638))</f>
        <v/>
      </c>
      <c r="C638">
        <f>IF($E638="","",INDEX('Input Transaksi'!$E:$E,$E638))</f>
        <v/>
      </c>
      <c r="D638" s="5">
        <f>IF($E638="","",INDEX('Input Transaksi'!$F:$F,$E638))</f>
        <v/>
      </c>
      <c r="E638">
        <f>IFERROR(AGGREGATE(15,6,ROW('Input Transaksi'!$B$5:$B$5000)/('Input Transaksi'!$B$5:$B$5000="LONDRI DEWE"),ROWS($E$5:E638)),"")</f>
        <v/>
      </c>
      <c r="F638" s="5" t="n"/>
    </row>
    <row r="639">
      <c r="A639" s="10">
        <f>IF($E639="","",INDEX('Input Transaksi'!$A:$A,$E639))</f>
        <v/>
      </c>
      <c r="B639" s="5">
        <f>IF($E639="","",INDEX('Input Transaksi'!$D:$D,$E639))</f>
        <v/>
      </c>
      <c r="C639">
        <f>IF($E639="","",INDEX('Input Transaksi'!$E:$E,$E639))</f>
        <v/>
      </c>
      <c r="D639" s="5">
        <f>IF($E639="","",INDEX('Input Transaksi'!$F:$F,$E639))</f>
        <v/>
      </c>
      <c r="E639">
        <f>IFERROR(AGGREGATE(15,6,ROW('Input Transaksi'!$B$5:$B$5000)/('Input Transaksi'!$B$5:$B$5000="LONDRI DEWE"),ROWS($E$5:E639)),"")</f>
        <v/>
      </c>
      <c r="F639" s="5" t="n"/>
    </row>
    <row r="640">
      <c r="A640" s="10">
        <f>IF($E640="","",INDEX('Input Transaksi'!$A:$A,$E640))</f>
        <v/>
      </c>
      <c r="B640" s="5">
        <f>IF($E640="","",INDEX('Input Transaksi'!$D:$D,$E640))</f>
        <v/>
      </c>
      <c r="C640">
        <f>IF($E640="","",INDEX('Input Transaksi'!$E:$E,$E640))</f>
        <v/>
      </c>
      <c r="D640" s="5">
        <f>IF($E640="","",INDEX('Input Transaksi'!$F:$F,$E640))</f>
        <v/>
      </c>
      <c r="E640">
        <f>IFERROR(AGGREGATE(15,6,ROW('Input Transaksi'!$B$5:$B$5000)/('Input Transaksi'!$B$5:$B$5000="LONDRI DEWE"),ROWS($E$5:E640)),"")</f>
        <v/>
      </c>
      <c r="F640" s="5" t="n"/>
    </row>
    <row r="641">
      <c r="A641" s="10">
        <f>IF($E641="","",INDEX('Input Transaksi'!$A:$A,$E641))</f>
        <v/>
      </c>
      <c r="B641" s="5">
        <f>IF($E641="","",INDEX('Input Transaksi'!$D:$D,$E641))</f>
        <v/>
      </c>
      <c r="C641">
        <f>IF($E641="","",INDEX('Input Transaksi'!$E:$E,$E641))</f>
        <v/>
      </c>
      <c r="D641" s="5">
        <f>IF($E641="","",INDEX('Input Transaksi'!$F:$F,$E641))</f>
        <v/>
      </c>
      <c r="E641">
        <f>IFERROR(AGGREGATE(15,6,ROW('Input Transaksi'!$B$5:$B$5000)/('Input Transaksi'!$B$5:$B$5000="LONDRI DEWE"),ROWS($E$5:E641)),"")</f>
        <v/>
      </c>
      <c r="F641" s="5" t="n"/>
    </row>
    <row r="642">
      <c r="A642" s="10">
        <f>IF($E642="","",INDEX('Input Transaksi'!$A:$A,$E642))</f>
        <v/>
      </c>
      <c r="B642" s="5">
        <f>IF($E642="","",INDEX('Input Transaksi'!$D:$D,$E642))</f>
        <v/>
      </c>
      <c r="C642">
        <f>IF($E642="","",INDEX('Input Transaksi'!$E:$E,$E642))</f>
        <v/>
      </c>
      <c r="D642" s="5">
        <f>IF($E642="","",INDEX('Input Transaksi'!$F:$F,$E642))</f>
        <v/>
      </c>
      <c r="E642">
        <f>IFERROR(AGGREGATE(15,6,ROW('Input Transaksi'!$B$5:$B$5000)/('Input Transaksi'!$B$5:$B$5000="LONDRI DEWE"),ROWS($E$5:E642)),"")</f>
        <v/>
      </c>
      <c r="F642" s="5" t="n"/>
    </row>
    <row r="643">
      <c r="A643" s="10">
        <f>IF($E643="","",INDEX('Input Transaksi'!$A:$A,$E643))</f>
        <v/>
      </c>
      <c r="B643" s="5">
        <f>IF($E643="","",INDEX('Input Transaksi'!$D:$D,$E643))</f>
        <v/>
      </c>
      <c r="C643">
        <f>IF($E643="","",INDEX('Input Transaksi'!$E:$E,$E643))</f>
        <v/>
      </c>
      <c r="D643" s="5">
        <f>IF($E643="","",INDEX('Input Transaksi'!$F:$F,$E643))</f>
        <v/>
      </c>
      <c r="E643">
        <f>IFERROR(AGGREGATE(15,6,ROW('Input Transaksi'!$B$5:$B$5000)/('Input Transaksi'!$B$5:$B$5000="LONDRI DEWE"),ROWS($E$5:E643)),"")</f>
        <v/>
      </c>
      <c r="F643" s="5" t="n"/>
    </row>
    <row r="644">
      <c r="A644" s="10">
        <f>IF($E644="","",INDEX('Input Transaksi'!$A:$A,$E644))</f>
        <v/>
      </c>
      <c r="B644" s="5">
        <f>IF($E644="","",INDEX('Input Transaksi'!$D:$D,$E644))</f>
        <v/>
      </c>
      <c r="C644">
        <f>IF($E644="","",INDEX('Input Transaksi'!$E:$E,$E644))</f>
        <v/>
      </c>
      <c r="D644" s="5">
        <f>IF($E644="","",INDEX('Input Transaksi'!$F:$F,$E644))</f>
        <v/>
      </c>
      <c r="E644">
        <f>IFERROR(AGGREGATE(15,6,ROW('Input Transaksi'!$B$5:$B$5000)/('Input Transaksi'!$B$5:$B$5000="LONDRI DEWE"),ROWS($E$5:E644)),"")</f>
        <v/>
      </c>
      <c r="F644" s="5" t="n"/>
    </row>
    <row r="645">
      <c r="A645" s="10">
        <f>IF($E645="","",INDEX('Input Transaksi'!$A:$A,$E645))</f>
        <v/>
      </c>
      <c r="B645" s="5">
        <f>IF($E645="","",INDEX('Input Transaksi'!$D:$D,$E645))</f>
        <v/>
      </c>
      <c r="C645">
        <f>IF($E645="","",INDEX('Input Transaksi'!$E:$E,$E645))</f>
        <v/>
      </c>
      <c r="D645" s="5">
        <f>IF($E645="","",INDEX('Input Transaksi'!$F:$F,$E645))</f>
        <v/>
      </c>
      <c r="E645">
        <f>IFERROR(AGGREGATE(15,6,ROW('Input Transaksi'!$B$5:$B$5000)/('Input Transaksi'!$B$5:$B$5000="LONDRI DEWE"),ROWS($E$5:E645)),"")</f>
        <v/>
      </c>
      <c r="F645" s="5" t="n"/>
    </row>
    <row r="646">
      <c r="A646" s="10">
        <f>IF($E646="","",INDEX('Input Transaksi'!$A:$A,$E646))</f>
        <v/>
      </c>
      <c r="B646" s="5">
        <f>IF($E646="","",INDEX('Input Transaksi'!$D:$D,$E646))</f>
        <v/>
      </c>
      <c r="C646">
        <f>IF($E646="","",INDEX('Input Transaksi'!$E:$E,$E646))</f>
        <v/>
      </c>
      <c r="D646" s="5">
        <f>IF($E646="","",INDEX('Input Transaksi'!$F:$F,$E646))</f>
        <v/>
      </c>
      <c r="E646">
        <f>IFERROR(AGGREGATE(15,6,ROW('Input Transaksi'!$B$5:$B$5000)/('Input Transaksi'!$B$5:$B$5000="LONDRI DEWE"),ROWS($E$5:E646)),"")</f>
        <v/>
      </c>
      <c r="F646" s="5" t="n"/>
    </row>
    <row r="647">
      <c r="A647" s="10">
        <f>IF($E647="","",INDEX('Input Transaksi'!$A:$A,$E647))</f>
        <v/>
      </c>
      <c r="B647" s="5">
        <f>IF($E647="","",INDEX('Input Transaksi'!$D:$D,$E647))</f>
        <v/>
      </c>
      <c r="C647">
        <f>IF($E647="","",INDEX('Input Transaksi'!$E:$E,$E647))</f>
        <v/>
      </c>
      <c r="D647" s="5">
        <f>IF($E647="","",INDEX('Input Transaksi'!$F:$F,$E647))</f>
        <v/>
      </c>
      <c r="E647">
        <f>IFERROR(AGGREGATE(15,6,ROW('Input Transaksi'!$B$5:$B$5000)/('Input Transaksi'!$B$5:$B$5000="LONDRI DEWE"),ROWS($E$5:E647)),"")</f>
        <v/>
      </c>
      <c r="F647" s="5" t="n"/>
    </row>
    <row r="648">
      <c r="A648" s="10">
        <f>IF($E648="","",INDEX('Input Transaksi'!$A:$A,$E648))</f>
        <v/>
      </c>
      <c r="B648" s="5">
        <f>IF($E648="","",INDEX('Input Transaksi'!$D:$D,$E648))</f>
        <v/>
      </c>
      <c r="C648">
        <f>IF($E648="","",INDEX('Input Transaksi'!$E:$E,$E648))</f>
        <v/>
      </c>
      <c r="D648" s="5">
        <f>IF($E648="","",INDEX('Input Transaksi'!$F:$F,$E648))</f>
        <v/>
      </c>
      <c r="E648">
        <f>IFERROR(AGGREGATE(15,6,ROW('Input Transaksi'!$B$5:$B$5000)/('Input Transaksi'!$B$5:$B$5000="LONDRI DEWE"),ROWS($E$5:E648)),"")</f>
        <v/>
      </c>
      <c r="F648" s="5" t="n"/>
    </row>
    <row r="649">
      <c r="A649" s="10">
        <f>IF($E649="","",INDEX('Input Transaksi'!$A:$A,$E649))</f>
        <v/>
      </c>
      <c r="B649" s="5">
        <f>IF($E649="","",INDEX('Input Transaksi'!$D:$D,$E649))</f>
        <v/>
      </c>
      <c r="C649">
        <f>IF($E649="","",INDEX('Input Transaksi'!$E:$E,$E649))</f>
        <v/>
      </c>
      <c r="D649" s="5">
        <f>IF($E649="","",INDEX('Input Transaksi'!$F:$F,$E649))</f>
        <v/>
      </c>
      <c r="E649">
        <f>IFERROR(AGGREGATE(15,6,ROW('Input Transaksi'!$B$5:$B$5000)/('Input Transaksi'!$B$5:$B$5000="LONDRI DEWE"),ROWS($E$5:E649)),"")</f>
        <v/>
      </c>
      <c r="F649" s="5" t="n"/>
    </row>
    <row r="650">
      <c r="A650" s="10">
        <f>IF($E650="","",INDEX('Input Transaksi'!$A:$A,$E650))</f>
        <v/>
      </c>
      <c r="B650" s="5">
        <f>IF($E650="","",INDEX('Input Transaksi'!$D:$D,$E650))</f>
        <v/>
      </c>
      <c r="C650">
        <f>IF($E650="","",INDEX('Input Transaksi'!$E:$E,$E650))</f>
        <v/>
      </c>
      <c r="D650" s="5">
        <f>IF($E650="","",INDEX('Input Transaksi'!$F:$F,$E650))</f>
        <v/>
      </c>
      <c r="E650">
        <f>IFERROR(AGGREGATE(15,6,ROW('Input Transaksi'!$B$5:$B$5000)/('Input Transaksi'!$B$5:$B$5000="LONDRI DEWE"),ROWS($E$5:E650)),"")</f>
        <v/>
      </c>
      <c r="F650" s="5" t="n"/>
    </row>
    <row r="651">
      <c r="A651" s="10">
        <f>IF($E651="","",INDEX('Input Transaksi'!$A:$A,$E651))</f>
        <v/>
      </c>
      <c r="B651" s="5">
        <f>IF($E651="","",INDEX('Input Transaksi'!$D:$D,$E651))</f>
        <v/>
      </c>
      <c r="C651">
        <f>IF($E651="","",INDEX('Input Transaksi'!$E:$E,$E651))</f>
        <v/>
      </c>
      <c r="D651" s="5">
        <f>IF($E651="","",INDEX('Input Transaksi'!$F:$F,$E651))</f>
        <v/>
      </c>
      <c r="E651">
        <f>IFERROR(AGGREGATE(15,6,ROW('Input Transaksi'!$B$5:$B$5000)/('Input Transaksi'!$B$5:$B$5000="LONDRI DEWE"),ROWS($E$5:E651)),"")</f>
        <v/>
      </c>
      <c r="F651" s="5" t="n"/>
    </row>
    <row r="652">
      <c r="A652" s="10">
        <f>IF($E652="","",INDEX('Input Transaksi'!$A:$A,$E652))</f>
        <v/>
      </c>
      <c r="B652" s="5">
        <f>IF($E652="","",INDEX('Input Transaksi'!$D:$D,$E652))</f>
        <v/>
      </c>
      <c r="C652">
        <f>IF($E652="","",INDEX('Input Transaksi'!$E:$E,$E652))</f>
        <v/>
      </c>
      <c r="D652" s="5">
        <f>IF($E652="","",INDEX('Input Transaksi'!$F:$F,$E652))</f>
        <v/>
      </c>
      <c r="E652">
        <f>IFERROR(AGGREGATE(15,6,ROW('Input Transaksi'!$B$5:$B$5000)/('Input Transaksi'!$B$5:$B$5000="LONDRI DEWE"),ROWS($E$5:E652)),"")</f>
        <v/>
      </c>
      <c r="F652" s="5" t="n"/>
    </row>
    <row r="653">
      <c r="A653" s="10">
        <f>IF($E653="","",INDEX('Input Transaksi'!$A:$A,$E653))</f>
        <v/>
      </c>
      <c r="B653" s="5">
        <f>IF($E653="","",INDEX('Input Transaksi'!$D:$D,$E653))</f>
        <v/>
      </c>
      <c r="C653">
        <f>IF($E653="","",INDEX('Input Transaksi'!$E:$E,$E653))</f>
        <v/>
      </c>
      <c r="D653" s="5">
        <f>IF($E653="","",INDEX('Input Transaksi'!$F:$F,$E653))</f>
        <v/>
      </c>
      <c r="E653">
        <f>IFERROR(AGGREGATE(15,6,ROW('Input Transaksi'!$B$5:$B$5000)/('Input Transaksi'!$B$5:$B$5000="LONDRI DEWE"),ROWS($E$5:E653)),"")</f>
        <v/>
      </c>
      <c r="F653" s="5" t="n"/>
    </row>
    <row r="654">
      <c r="A654" s="10">
        <f>IF($E654="","",INDEX('Input Transaksi'!$A:$A,$E654))</f>
        <v/>
      </c>
      <c r="B654" s="5">
        <f>IF($E654="","",INDEX('Input Transaksi'!$D:$D,$E654))</f>
        <v/>
      </c>
      <c r="C654">
        <f>IF($E654="","",INDEX('Input Transaksi'!$E:$E,$E654))</f>
        <v/>
      </c>
      <c r="D654" s="5">
        <f>IF($E654="","",INDEX('Input Transaksi'!$F:$F,$E654))</f>
        <v/>
      </c>
      <c r="E654">
        <f>IFERROR(AGGREGATE(15,6,ROW('Input Transaksi'!$B$5:$B$5000)/('Input Transaksi'!$B$5:$B$5000="LONDRI DEWE"),ROWS($E$5:E654)),"")</f>
        <v/>
      </c>
      <c r="F654" s="5" t="n"/>
    </row>
    <row r="655">
      <c r="A655" s="10">
        <f>IF($E655="","",INDEX('Input Transaksi'!$A:$A,$E655))</f>
        <v/>
      </c>
      <c r="B655" s="5">
        <f>IF($E655="","",INDEX('Input Transaksi'!$D:$D,$E655))</f>
        <v/>
      </c>
      <c r="C655">
        <f>IF($E655="","",INDEX('Input Transaksi'!$E:$E,$E655))</f>
        <v/>
      </c>
      <c r="D655" s="5">
        <f>IF($E655="","",INDEX('Input Transaksi'!$F:$F,$E655))</f>
        <v/>
      </c>
      <c r="E655">
        <f>IFERROR(AGGREGATE(15,6,ROW('Input Transaksi'!$B$5:$B$5000)/('Input Transaksi'!$B$5:$B$5000="LONDRI DEWE"),ROWS($E$5:E655)),"")</f>
        <v/>
      </c>
      <c r="F655" s="5" t="n"/>
    </row>
    <row r="656">
      <c r="A656" s="10">
        <f>IF($E656="","",INDEX('Input Transaksi'!$A:$A,$E656))</f>
        <v/>
      </c>
      <c r="B656" s="5">
        <f>IF($E656="","",INDEX('Input Transaksi'!$D:$D,$E656))</f>
        <v/>
      </c>
      <c r="C656">
        <f>IF($E656="","",INDEX('Input Transaksi'!$E:$E,$E656))</f>
        <v/>
      </c>
      <c r="D656" s="5">
        <f>IF($E656="","",INDEX('Input Transaksi'!$F:$F,$E656))</f>
        <v/>
      </c>
      <c r="E656">
        <f>IFERROR(AGGREGATE(15,6,ROW('Input Transaksi'!$B$5:$B$5000)/('Input Transaksi'!$B$5:$B$5000="LONDRI DEWE"),ROWS($E$5:E656)),"")</f>
        <v/>
      </c>
      <c r="F656" s="5" t="n"/>
    </row>
    <row r="657">
      <c r="A657" s="10">
        <f>IF($E657="","",INDEX('Input Transaksi'!$A:$A,$E657))</f>
        <v/>
      </c>
      <c r="B657" s="5">
        <f>IF($E657="","",INDEX('Input Transaksi'!$D:$D,$E657))</f>
        <v/>
      </c>
      <c r="C657">
        <f>IF($E657="","",INDEX('Input Transaksi'!$E:$E,$E657))</f>
        <v/>
      </c>
      <c r="D657" s="5">
        <f>IF($E657="","",INDEX('Input Transaksi'!$F:$F,$E657))</f>
        <v/>
      </c>
      <c r="E657">
        <f>IFERROR(AGGREGATE(15,6,ROW('Input Transaksi'!$B$5:$B$5000)/('Input Transaksi'!$B$5:$B$5000="LONDRI DEWE"),ROWS($E$5:E657)),"")</f>
        <v/>
      </c>
      <c r="F657" s="5" t="n"/>
    </row>
    <row r="658">
      <c r="A658" s="10">
        <f>IF($E658="","",INDEX('Input Transaksi'!$A:$A,$E658))</f>
        <v/>
      </c>
      <c r="B658" s="5">
        <f>IF($E658="","",INDEX('Input Transaksi'!$D:$D,$E658))</f>
        <v/>
      </c>
      <c r="C658">
        <f>IF($E658="","",INDEX('Input Transaksi'!$E:$E,$E658))</f>
        <v/>
      </c>
      <c r="D658" s="5">
        <f>IF($E658="","",INDEX('Input Transaksi'!$F:$F,$E658))</f>
        <v/>
      </c>
      <c r="E658">
        <f>IFERROR(AGGREGATE(15,6,ROW('Input Transaksi'!$B$5:$B$5000)/('Input Transaksi'!$B$5:$B$5000="LONDRI DEWE"),ROWS($E$5:E658)),"")</f>
        <v/>
      </c>
      <c r="F658" s="5" t="n"/>
    </row>
    <row r="659">
      <c r="A659" s="10">
        <f>IF($E659="","",INDEX('Input Transaksi'!$A:$A,$E659))</f>
        <v/>
      </c>
      <c r="B659" s="5">
        <f>IF($E659="","",INDEX('Input Transaksi'!$D:$D,$E659))</f>
        <v/>
      </c>
      <c r="C659">
        <f>IF($E659="","",INDEX('Input Transaksi'!$E:$E,$E659))</f>
        <v/>
      </c>
      <c r="D659" s="5">
        <f>IF($E659="","",INDEX('Input Transaksi'!$F:$F,$E659))</f>
        <v/>
      </c>
      <c r="E659">
        <f>IFERROR(AGGREGATE(15,6,ROW('Input Transaksi'!$B$5:$B$5000)/('Input Transaksi'!$B$5:$B$5000="LONDRI DEWE"),ROWS($E$5:E659)),"")</f>
        <v/>
      </c>
      <c r="F659" s="5" t="n"/>
    </row>
    <row r="660">
      <c r="A660" s="10">
        <f>IF($E660="","",INDEX('Input Transaksi'!$A:$A,$E660))</f>
        <v/>
      </c>
      <c r="B660" s="5">
        <f>IF($E660="","",INDEX('Input Transaksi'!$D:$D,$E660))</f>
        <v/>
      </c>
      <c r="C660">
        <f>IF($E660="","",INDEX('Input Transaksi'!$E:$E,$E660))</f>
        <v/>
      </c>
      <c r="D660" s="5">
        <f>IF($E660="","",INDEX('Input Transaksi'!$F:$F,$E660))</f>
        <v/>
      </c>
      <c r="E660">
        <f>IFERROR(AGGREGATE(15,6,ROW('Input Transaksi'!$B$5:$B$5000)/('Input Transaksi'!$B$5:$B$5000="LONDRI DEWE"),ROWS($E$5:E660)),"")</f>
        <v/>
      </c>
      <c r="F660" s="5" t="n"/>
    </row>
    <row r="661">
      <c r="A661" s="10">
        <f>IF($E661="","",INDEX('Input Transaksi'!$A:$A,$E661))</f>
        <v/>
      </c>
      <c r="B661" s="5">
        <f>IF($E661="","",INDEX('Input Transaksi'!$D:$D,$E661))</f>
        <v/>
      </c>
      <c r="C661">
        <f>IF($E661="","",INDEX('Input Transaksi'!$E:$E,$E661))</f>
        <v/>
      </c>
      <c r="D661" s="5">
        <f>IF($E661="","",INDEX('Input Transaksi'!$F:$F,$E661))</f>
        <v/>
      </c>
      <c r="E661">
        <f>IFERROR(AGGREGATE(15,6,ROW('Input Transaksi'!$B$5:$B$5000)/('Input Transaksi'!$B$5:$B$5000="LONDRI DEWE"),ROWS($E$5:E661)),"")</f>
        <v/>
      </c>
      <c r="F661" s="5" t="n"/>
    </row>
    <row r="662">
      <c r="A662" s="10">
        <f>IF($E662="","",INDEX('Input Transaksi'!$A:$A,$E662))</f>
        <v/>
      </c>
      <c r="B662" s="5">
        <f>IF($E662="","",INDEX('Input Transaksi'!$D:$D,$E662))</f>
        <v/>
      </c>
      <c r="C662">
        <f>IF($E662="","",INDEX('Input Transaksi'!$E:$E,$E662))</f>
        <v/>
      </c>
      <c r="D662" s="5">
        <f>IF($E662="","",INDEX('Input Transaksi'!$F:$F,$E662))</f>
        <v/>
      </c>
      <c r="E662">
        <f>IFERROR(AGGREGATE(15,6,ROW('Input Transaksi'!$B$5:$B$5000)/('Input Transaksi'!$B$5:$B$5000="LONDRI DEWE"),ROWS($E$5:E662)),"")</f>
        <v/>
      </c>
      <c r="F662" s="5" t="n"/>
    </row>
    <row r="663">
      <c r="A663" s="10">
        <f>IF($E663="","",INDEX('Input Transaksi'!$A:$A,$E663))</f>
        <v/>
      </c>
      <c r="B663" s="5">
        <f>IF($E663="","",INDEX('Input Transaksi'!$D:$D,$E663))</f>
        <v/>
      </c>
      <c r="C663">
        <f>IF($E663="","",INDEX('Input Transaksi'!$E:$E,$E663))</f>
        <v/>
      </c>
      <c r="D663" s="5">
        <f>IF($E663="","",INDEX('Input Transaksi'!$F:$F,$E663))</f>
        <v/>
      </c>
      <c r="E663">
        <f>IFERROR(AGGREGATE(15,6,ROW('Input Transaksi'!$B$5:$B$5000)/('Input Transaksi'!$B$5:$B$5000="LONDRI DEWE"),ROWS($E$5:E663)),"")</f>
        <v/>
      </c>
      <c r="F663" s="5" t="n"/>
    </row>
    <row r="664">
      <c r="A664" s="10">
        <f>IF($E664="","",INDEX('Input Transaksi'!$A:$A,$E664))</f>
        <v/>
      </c>
      <c r="B664" s="5">
        <f>IF($E664="","",INDEX('Input Transaksi'!$D:$D,$E664))</f>
        <v/>
      </c>
      <c r="C664">
        <f>IF($E664="","",INDEX('Input Transaksi'!$E:$E,$E664))</f>
        <v/>
      </c>
      <c r="D664" s="5">
        <f>IF($E664="","",INDEX('Input Transaksi'!$F:$F,$E664))</f>
        <v/>
      </c>
      <c r="E664">
        <f>IFERROR(AGGREGATE(15,6,ROW('Input Transaksi'!$B$5:$B$5000)/('Input Transaksi'!$B$5:$B$5000="LONDRI DEWE"),ROWS($E$5:E664)),"")</f>
        <v/>
      </c>
      <c r="F664" s="5" t="n"/>
    </row>
    <row r="665">
      <c r="A665" s="10">
        <f>IF($E665="","",INDEX('Input Transaksi'!$A:$A,$E665))</f>
        <v/>
      </c>
      <c r="B665" s="5">
        <f>IF($E665="","",INDEX('Input Transaksi'!$D:$D,$E665))</f>
        <v/>
      </c>
      <c r="C665">
        <f>IF($E665="","",INDEX('Input Transaksi'!$E:$E,$E665))</f>
        <v/>
      </c>
      <c r="D665" s="5">
        <f>IF($E665="","",INDEX('Input Transaksi'!$F:$F,$E665))</f>
        <v/>
      </c>
      <c r="E665">
        <f>IFERROR(AGGREGATE(15,6,ROW('Input Transaksi'!$B$5:$B$5000)/('Input Transaksi'!$B$5:$B$5000="LONDRI DEWE"),ROWS($E$5:E665)),"")</f>
        <v/>
      </c>
      <c r="F665" s="5" t="n"/>
    </row>
    <row r="666">
      <c r="A666" s="10">
        <f>IF($E666="","",INDEX('Input Transaksi'!$A:$A,$E666))</f>
        <v/>
      </c>
      <c r="B666" s="5">
        <f>IF($E666="","",INDEX('Input Transaksi'!$D:$D,$E666))</f>
        <v/>
      </c>
      <c r="C666">
        <f>IF($E666="","",INDEX('Input Transaksi'!$E:$E,$E666))</f>
        <v/>
      </c>
      <c r="D666" s="5">
        <f>IF($E666="","",INDEX('Input Transaksi'!$F:$F,$E666))</f>
        <v/>
      </c>
      <c r="E666">
        <f>IFERROR(AGGREGATE(15,6,ROW('Input Transaksi'!$B$5:$B$5000)/('Input Transaksi'!$B$5:$B$5000="LONDRI DEWE"),ROWS($E$5:E666)),"")</f>
        <v/>
      </c>
      <c r="F666" s="5" t="n"/>
    </row>
    <row r="667">
      <c r="A667" s="10">
        <f>IF($E667="","",INDEX('Input Transaksi'!$A:$A,$E667))</f>
        <v/>
      </c>
      <c r="B667" s="5">
        <f>IF($E667="","",INDEX('Input Transaksi'!$D:$D,$E667))</f>
        <v/>
      </c>
      <c r="C667">
        <f>IF($E667="","",INDEX('Input Transaksi'!$E:$E,$E667))</f>
        <v/>
      </c>
      <c r="D667" s="5">
        <f>IF($E667="","",INDEX('Input Transaksi'!$F:$F,$E667))</f>
        <v/>
      </c>
      <c r="E667">
        <f>IFERROR(AGGREGATE(15,6,ROW('Input Transaksi'!$B$5:$B$5000)/('Input Transaksi'!$B$5:$B$5000="LONDRI DEWE"),ROWS($E$5:E667)),"")</f>
        <v/>
      </c>
      <c r="F667" s="5" t="n"/>
    </row>
    <row r="668">
      <c r="A668" s="10">
        <f>IF($E668="","",INDEX('Input Transaksi'!$A:$A,$E668))</f>
        <v/>
      </c>
      <c r="B668" s="5">
        <f>IF($E668="","",INDEX('Input Transaksi'!$D:$D,$E668))</f>
        <v/>
      </c>
      <c r="C668">
        <f>IF($E668="","",INDEX('Input Transaksi'!$E:$E,$E668))</f>
        <v/>
      </c>
      <c r="D668" s="5">
        <f>IF($E668="","",INDEX('Input Transaksi'!$F:$F,$E668))</f>
        <v/>
      </c>
      <c r="E668">
        <f>IFERROR(AGGREGATE(15,6,ROW('Input Transaksi'!$B$5:$B$5000)/('Input Transaksi'!$B$5:$B$5000="LONDRI DEWE"),ROWS($E$5:E668)),"")</f>
        <v/>
      </c>
      <c r="F668" s="5" t="n"/>
    </row>
    <row r="669">
      <c r="A669" s="10">
        <f>IF($E669="","",INDEX('Input Transaksi'!$A:$A,$E669))</f>
        <v/>
      </c>
      <c r="B669" s="5">
        <f>IF($E669="","",INDEX('Input Transaksi'!$D:$D,$E669))</f>
        <v/>
      </c>
      <c r="C669">
        <f>IF($E669="","",INDEX('Input Transaksi'!$E:$E,$E669))</f>
        <v/>
      </c>
      <c r="D669" s="5">
        <f>IF($E669="","",INDEX('Input Transaksi'!$F:$F,$E669))</f>
        <v/>
      </c>
      <c r="E669">
        <f>IFERROR(AGGREGATE(15,6,ROW('Input Transaksi'!$B$5:$B$5000)/('Input Transaksi'!$B$5:$B$5000="LONDRI DEWE"),ROWS($E$5:E669)),"")</f>
        <v/>
      </c>
      <c r="F669" s="5" t="n"/>
    </row>
    <row r="670">
      <c r="A670" s="10">
        <f>IF($E670="","",INDEX('Input Transaksi'!$A:$A,$E670))</f>
        <v/>
      </c>
      <c r="B670" s="5">
        <f>IF($E670="","",INDEX('Input Transaksi'!$D:$D,$E670))</f>
        <v/>
      </c>
      <c r="C670">
        <f>IF($E670="","",INDEX('Input Transaksi'!$E:$E,$E670))</f>
        <v/>
      </c>
      <c r="D670" s="5">
        <f>IF($E670="","",INDEX('Input Transaksi'!$F:$F,$E670))</f>
        <v/>
      </c>
      <c r="E670">
        <f>IFERROR(AGGREGATE(15,6,ROW('Input Transaksi'!$B$5:$B$5000)/('Input Transaksi'!$B$5:$B$5000="LONDRI DEWE"),ROWS($E$5:E670)),"")</f>
        <v/>
      </c>
      <c r="F670" s="5" t="n"/>
    </row>
    <row r="671">
      <c r="A671" s="10">
        <f>IF($E671="","",INDEX('Input Transaksi'!$A:$A,$E671))</f>
        <v/>
      </c>
      <c r="B671" s="5">
        <f>IF($E671="","",INDEX('Input Transaksi'!$D:$D,$E671))</f>
        <v/>
      </c>
      <c r="C671">
        <f>IF($E671="","",INDEX('Input Transaksi'!$E:$E,$E671))</f>
        <v/>
      </c>
      <c r="D671" s="5">
        <f>IF($E671="","",INDEX('Input Transaksi'!$F:$F,$E671))</f>
        <v/>
      </c>
      <c r="E671">
        <f>IFERROR(AGGREGATE(15,6,ROW('Input Transaksi'!$B$5:$B$5000)/('Input Transaksi'!$B$5:$B$5000="LONDRI DEWE"),ROWS($E$5:E671)),"")</f>
        <v/>
      </c>
      <c r="F671" s="5" t="n"/>
    </row>
    <row r="672">
      <c r="A672" s="10">
        <f>IF($E672="","",INDEX('Input Transaksi'!$A:$A,$E672))</f>
        <v/>
      </c>
      <c r="B672" s="5">
        <f>IF($E672="","",INDEX('Input Transaksi'!$D:$D,$E672))</f>
        <v/>
      </c>
      <c r="C672">
        <f>IF($E672="","",INDEX('Input Transaksi'!$E:$E,$E672))</f>
        <v/>
      </c>
      <c r="D672" s="5">
        <f>IF($E672="","",INDEX('Input Transaksi'!$F:$F,$E672))</f>
        <v/>
      </c>
      <c r="E672">
        <f>IFERROR(AGGREGATE(15,6,ROW('Input Transaksi'!$B$5:$B$5000)/('Input Transaksi'!$B$5:$B$5000="LONDRI DEWE"),ROWS($E$5:E672)),"")</f>
        <v/>
      </c>
      <c r="F672" s="5" t="n"/>
    </row>
    <row r="673">
      <c r="A673" s="10">
        <f>IF($E673="","",INDEX('Input Transaksi'!$A:$A,$E673))</f>
        <v/>
      </c>
      <c r="B673" s="5">
        <f>IF($E673="","",INDEX('Input Transaksi'!$D:$D,$E673))</f>
        <v/>
      </c>
      <c r="C673">
        <f>IF($E673="","",INDEX('Input Transaksi'!$E:$E,$E673))</f>
        <v/>
      </c>
      <c r="D673" s="5">
        <f>IF($E673="","",INDEX('Input Transaksi'!$F:$F,$E673))</f>
        <v/>
      </c>
      <c r="E673">
        <f>IFERROR(AGGREGATE(15,6,ROW('Input Transaksi'!$B$5:$B$5000)/('Input Transaksi'!$B$5:$B$5000="LONDRI DEWE"),ROWS($E$5:E673)),"")</f>
        <v/>
      </c>
      <c r="F673" s="5" t="n"/>
    </row>
    <row r="674">
      <c r="A674" s="10">
        <f>IF($E674="","",INDEX('Input Transaksi'!$A:$A,$E674))</f>
        <v/>
      </c>
      <c r="B674" s="5">
        <f>IF($E674="","",INDEX('Input Transaksi'!$D:$D,$E674))</f>
        <v/>
      </c>
      <c r="C674">
        <f>IF($E674="","",INDEX('Input Transaksi'!$E:$E,$E674))</f>
        <v/>
      </c>
      <c r="D674" s="5">
        <f>IF($E674="","",INDEX('Input Transaksi'!$F:$F,$E674))</f>
        <v/>
      </c>
      <c r="E674">
        <f>IFERROR(AGGREGATE(15,6,ROW('Input Transaksi'!$B$5:$B$5000)/('Input Transaksi'!$B$5:$B$5000="LONDRI DEWE"),ROWS($E$5:E674)),"")</f>
        <v/>
      </c>
      <c r="F674" s="5" t="n"/>
    </row>
    <row r="675">
      <c r="A675" s="10">
        <f>IF($E675="","",INDEX('Input Transaksi'!$A:$A,$E675))</f>
        <v/>
      </c>
      <c r="B675" s="5">
        <f>IF($E675="","",INDEX('Input Transaksi'!$D:$D,$E675))</f>
        <v/>
      </c>
      <c r="C675">
        <f>IF($E675="","",INDEX('Input Transaksi'!$E:$E,$E675))</f>
        <v/>
      </c>
      <c r="D675" s="5">
        <f>IF($E675="","",INDEX('Input Transaksi'!$F:$F,$E675))</f>
        <v/>
      </c>
      <c r="E675">
        <f>IFERROR(AGGREGATE(15,6,ROW('Input Transaksi'!$B$5:$B$5000)/('Input Transaksi'!$B$5:$B$5000="LONDRI DEWE"),ROWS($E$5:E675)),"")</f>
        <v/>
      </c>
      <c r="F675" s="5" t="n"/>
    </row>
    <row r="676">
      <c r="A676" s="10">
        <f>IF($E676="","",INDEX('Input Transaksi'!$A:$A,$E676))</f>
        <v/>
      </c>
      <c r="B676" s="5">
        <f>IF($E676="","",INDEX('Input Transaksi'!$D:$D,$E676))</f>
        <v/>
      </c>
      <c r="C676">
        <f>IF($E676="","",INDEX('Input Transaksi'!$E:$E,$E676))</f>
        <v/>
      </c>
      <c r="D676" s="5">
        <f>IF($E676="","",INDEX('Input Transaksi'!$F:$F,$E676))</f>
        <v/>
      </c>
      <c r="E676">
        <f>IFERROR(AGGREGATE(15,6,ROW('Input Transaksi'!$B$5:$B$5000)/('Input Transaksi'!$B$5:$B$5000="LONDRI DEWE"),ROWS($E$5:E676)),"")</f>
        <v/>
      </c>
      <c r="F676" s="5" t="n"/>
    </row>
    <row r="677">
      <c r="A677" s="10">
        <f>IF($E677="","",INDEX('Input Transaksi'!$A:$A,$E677))</f>
        <v/>
      </c>
      <c r="B677" s="5">
        <f>IF($E677="","",INDEX('Input Transaksi'!$D:$D,$E677))</f>
        <v/>
      </c>
      <c r="C677">
        <f>IF($E677="","",INDEX('Input Transaksi'!$E:$E,$E677))</f>
        <v/>
      </c>
      <c r="D677" s="5">
        <f>IF($E677="","",INDEX('Input Transaksi'!$F:$F,$E677))</f>
        <v/>
      </c>
      <c r="E677">
        <f>IFERROR(AGGREGATE(15,6,ROW('Input Transaksi'!$B$5:$B$5000)/('Input Transaksi'!$B$5:$B$5000="LONDRI DEWE"),ROWS($E$5:E677)),"")</f>
        <v/>
      </c>
      <c r="F677" s="5" t="n"/>
    </row>
    <row r="678">
      <c r="A678" s="10">
        <f>IF($E678="","",INDEX('Input Transaksi'!$A:$A,$E678))</f>
        <v/>
      </c>
      <c r="B678" s="5">
        <f>IF($E678="","",INDEX('Input Transaksi'!$D:$D,$E678))</f>
        <v/>
      </c>
      <c r="C678">
        <f>IF($E678="","",INDEX('Input Transaksi'!$E:$E,$E678))</f>
        <v/>
      </c>
      <c r="D678" s="5">
        <f>IF($E678="","",INDEX('Input Transaksi'!$F:$F,$E678))</f>
        <v/>
      </c>
      <c r="E678">
        <f>IFERROR(AGGREGATE(15,6,ROW('Input Transaksi'!$B$5:$B$5000)/('Input Transaksi'!$B$5:$B$5000="LONDRI DEWE"),ROWS($E$5:E678)),"")</f>
        <v/>
      </c>
      <c r="F678" s="5" t="n"/>
    </row>
    <row r="679">
      <c r="A679" s="10">
        <f>IF($E679="","",INDEX('Input Transaksi'!$A:$A,$E679))</f>
        <v/>
      </c>
      <c r="B679" s="5">
        <f>IF($E679="","",INDEX('Input Transaksi'!$D:$D,$E679))</f>
        <v/>
      </c>
      <c r="C679">
        <f>IF($E679="","",INDEX('Input Transaksi'!$E:$E,$E679))</f>
        <v/>
      </c>
      <c r="D679" s="5">
        <f>IF($E679="","",INDEX('Input Transaksi'!$F:$F,$E679))</f>
        <v/>
      </c>
      <c r="E679">
        <f>IFERROR(AGGREGATE(15,6,ROW('Input Transaksi'!$B$5:$B$5000)/('Input Transaksi'!$B$5:$B$5000="LONDRI DEWE"),ROWS($E$5:E679)),"")</f>
        <v/>
      </c>
      <c r="F679" s="5" t="n"/>
    </row>
    <row r="680">
      <c r="A680" s="10">
        <f>IF($E680="","",INDEX('Input Transaksi'!$A:$A,$E680))</f>
        <v/>
      </c>
      <c r="B680" s="5">
        <f>IF($E680="","",INDEX('Input Transaksi'!$D:$D,$E680))</f>
        <v/>
      </c>
      <c r="C680">
        <f>IF($E680="","",INDEX('Input Transaksi'!$E:$E,$E680))</f>
        <v/>
      </c>
      <c r="D680" s="5">
        <f>IF($E680="","",INDEX('Input Transaksi'!$F:$F,$E680))</f>
        <v/>
      </c>
      <c r="E680">
        <f>IFERROR(AGGREGATE(15,6,ROW('Input Transaksi'!$B$5:$B$5000)/('Input Transaksi'!$B$5:$B$5000="LONDRI DEWE"),ROWS($E$5:E680)),"")</f>
        <v/>
      </c>
      <c r="F680" s="5" t="n"/>
    </row>
    <row r="681">
      <c r="A681" s="10">
        <f>IF($E681="","",INDEX('Input Transaksi'!$A:$A,$E681))</f>
        <v/>
      </c>
      <c r="B681" s="5">
        <f>IF($E681="","",INDEX('Input Transaksi'!$D:$D,$E681))</f>
        <v/>
      </c>
      <c r="C681">
        <f>IF($E681="","",INDEX('Input Transaksi'!$E:$E,$E681))</f>
        <v/>
      </c>
      <c r="D681" s="5">
        <f>IF($E681="","",INDEX('Input Transaksi'!$F:$F,$E681))</f>
        <v/>
      </c>
      <c r="E681">
        <f>IFERROR(AGGREGATE(15,6,ROW('Input Transaksi'!$B$5:$B$5000)/('Input Transaksi'!$B$5:$B$5000="LONDRI DEWE"),ROWS($E$5:E681)),"")</f>
        <v/>
      </c>
      <c r="F681" s="5" t="n"/>
    </row>
    <row r="682">
      <c r="A682" s="10">
        <f>IF($E682="","",INDEX('Input Transaksi'!$A:$A,$E682))</f>
        <v/>
      </c>
      <c r="B682" s="5">
        <f>IF($E682="","",INDEX('Input Transaksi'!$D:$D,$E682))</f>
        <v/>
      </c>
      <c r="C682">
        <f>IF($E682="","",INDEX('Input Transaksi'!$E:$E,$E682))</f>
        <v/>
      </c>
      <c r="D682" s="5">
        <f>IF($E682="","",INDEX('Input Transaksi'!$F:$F,$E682))</f>
        <v/>
      </c>
      <c r="E682">
        <f>IFERROR(AGGREGATE(15,6,ROW('Input Transaksi'!$B$5:$B$5000)/('Input Transaksi'!$B$5:$B$5000="LONDRI DEWE"),ROWS($E$5:E682)),"")</f>
        <v/>
      </c>
      <c r="F682" s="5" t="n"/>
    </row>
    <row r="683">
      <c r="A683" s="10">
        <f>IF($E683="","",INDEX('Input Transaksi'!$A:$A,$E683))</f>
        <v/>
      </c>
      <c r="B683" s="5">
        <f>IF($E683="","",INDEX('Input Transaksi'!$D:$D,$E683))</f>
        <v/>
      </c>
      <c r="C683">
        <f>IF($E683="","",INDEX('Input Transaksi'!$E:$E,$E683))</f>
        <v/>
      </c>
      <c r="D683" s="5">
        <f>IF($E683="","",INDEX('Input Transaksi'!$F:$F,$E683))</f>
        <v/>
      </c>
      <c r="E683">
        <f>IFERROR(AGGREGATE(15,6,ROW('Input Transaksi'!$B$5:$B$5000)/('Input Transaksi'!$B$5:$B$5000="LONDRI DEWE"),ROWS($E$5:E683)),"")</f>
        <v/>
      </c>
      <c r="F683" s="5" t="n"/>
    </row>
    <row r="684">
      <c r="A684" s="10">
        <f>IF($E684="","",INDEX('Input Transaksi'!$A:$A,$E684))</f>
        <v/>
      </c>
      <c r="B684" s="5">
        <f>IF($E684="","",INDEX('Input Transaksi'!$D:$D,$E684))</f>
        <v/>
      </c>
      <c r="C684">
        <f>IF($E684="","",INDEX('Input Transaksi'!$E:$E,$E684))</f>
        <v/>
      </c>
      <c r="D684" s="5">
        <f>IF($E684="","",INDEX('Input Transaksi'!$F:$F,$E684))</f>
        <v/>
      </c>
      <c r="E684">
        <f>IFERROR(AGGREGATE(15,6,ROW('Input Transaksi'!$B$5:$B$5000)/('Input Transaksi'!$B$5:$B$5000="LONDRI DEWE"),ROWS($E$5:E684)),"")</f>
        <v/>
      </c>
      <c r="F684" s="5" t="n"/>
    </row>
    <row r="685">
      <c r="A685" s="10">
        <f>IF($E685="","",INDEX('Input Transaksi'!$A:$A,$E685))</f>
        <v/>
      </c>
      <c r="B685" s="5">
        <f>IF($E685="","",INDEX('Input Transaksi'!$D:$D,$E685))</f>
        <v/>
      </c>
      <c r="C685">
        <f>IF($E685="","",INDEX('Input Transaksi'!$E:$E,$E685))</f>
        <v/>
      </c>
      <c r="D685" s="5">
        <f>IF($E685="","",INDEX('Input Transaksi'!$F:$F,$E685))</f>
        <v/>
      </c>
      <c r="E685">
        <f>IFERROR(AGGREGATE(15,6,ROW('Input Transaksi'!$B$5:$B$5000)/('Input Transaksi'!$B$5:$B$5000="LONDRI DEWE"),ROWS($E$5:E685)),"")</f>
        <v/>
      </c>
      <c r="F685" s="5" t="n"/>
    </row>
    <row r="686">
      <c r="A686" s="10">
        <f>IF($E686="","",INDEX('Input Transaksi'!$A:$A,$E686))</f>
        <v/>
      </c>
      <c r="B686" s="5">
        <f>IF($E686="","",INDEX('Input Transaksi'!$D:$D,$E686))</f>
        <v/>
      </c>
      <c r="C686">
        <f>IF($E686="","",INDEX('Input Transaksi'!$E:$E,$E686))</f>
        <v/>
      </c>
      <c r="D686" s="5">
        <f>IF($E686="","",INDEX('Input Transaksi'!$F:$F,$E686))</f>
        <v/>
      </c>
      <c r="E686">
        <f>IFERROR(AGGREGATE(15,6,ROW('Input Transaksi'!$B$5:$B$5000)/('Input Transaksi'!$B$5:$B$5000="LONDRI DEWE"),ROWS($E$5:E686)),"")</f>
        <v/>
      </c>
      <c r="F686" s="5" t="n"/>
    </row>
    <row r="687">
      <c r="A687" s="10">
        <f>IF($E687="","",INDEX('Input Transaksi'!$A:$A,$E687))</f>
        <v/>
      </c>
      <c r="B687" s="5">
        <f>IF($E687="","",INDEX('Input Transaksi'!$D:$D,$E687))</f>
        <v/>
      </c>
      <c r="C687">
        <f>IF($E687="","",INDEX('Input Transaksi'!$E:$E,$E687))</f>
        <v/>
      </c>
      <c r="D687" s="5">
        <f>IF($E687="","",INDEX('Input Transaksi'!$F:$F,$E687))</f>
        <v/>
      </c>
      <c r="E687">
        <f>IFERROR(AGGREGATE(15,6,ROW('Input Transaksi'!$B$5:$B$5000)/('Input Transaksi'!$B$5:$B$5000="LONDRI DEWE"),ROWS($E$5:E687)),"")</f>
        <v/>
      </c>
      <c r="F687" s="5" t="n"/>
    </row>
    <row r="688">
      <c r="A688" s="10">
        <f>IF($E688="","",INDEX('Input Transaksi'!$A:$A,$E688))</f>
        <v/>
      </c>
      <c r="B688" s="5">
        <f>IF($E688="","",INDEX('Input Transaksi'!$D:$D,$E688))</f>
        <v/>
      </c>
      <c r="C688">
        <f>IF($E688="","",INDEX('Input Transaksi'!$E:$E,$E688))</f>
        <v/>
      </c>
      <c r="D688" s="5">
        <f>IF($E688="","",INDEX('Input Transaksi'!$F:$F,$E688))</f>
        <v/>
      </c>
      <c r="E688">
        <f>IFERROR(AGGREGATE(15,6,ROW('Input Transaksi'!$B$5:$B$5000)/('Input Transaksi'!$B$5:$B$5000="LONDRI DEWE"),ROWS($E$5:E688)),"")</f>
        <v/>
      </c>
      <c r="F688" s="5" t="n"/>
    </row>
    <row r="689">
      <c r="A689" s="10">
        <f>IF($E689="","",INDEX('Input Transaksi'!$A:$A,$E689))</f>
        <v/>
      </c>
      <c r="B689" s="5">
        <f>IF($E689="","",INDEX('Input Transaksi'!$D:$D,$E689))</f>
        <v/>
      </c>
      <c r="C689">
        <f>IF($E689="","",INDEX('Input Transaksi'!$E:$E,$E689))</f>
        <v/>
      </c>
      <c r="D689" s="5">
        <f>IF($E689="","",INDEX('Input Transaksi'!$F:$F,$E689))</f>
        <v/>
      </c>
      <c r="E689">
        <f>IFERROR(AGGREGATE(15,6,ROW('Input Transaksi'!$B$5:$B$5000)/('Input Transaksi'!$B$5:$B$5000="LONDRI DEWE"),ROWS($E$5:E689)),"")</f>
        <v/>
      </c>
      <c r="F689" s="5" t="n"/>
    </row>
    <row r="690">
      <c r="A690" s="10">
        <f>IF($E690="","",INDEX('Input Transaksi'!$A:$A,$E690))</f>
        <v/>
      </c>
      <c r="B690" s="5">
        <f>IF($E690="","",INDEX('Input Transaksi'!$D:$D,$E690))</f>
        <v/>
      </c>
      <c r="C690">
        <f>IF($E690="","",INDEX('Input Transaksi'!$E:$E,$E690))</f>
        <v/>
      </c>
      <c r="D690" s="5">
        <f>IF($E690="","",INDEX('Input Transaksi'!$F:$F,$E690))</f>
        <v/>
      </c>
      <c r="E690">
        <f>IFERROR(AGGREGATE(15,6,ROW('Input Transaksi'!$B$5:$B$5000)/('Input Transaksi'!$B$5:$B$5000="LONDRI DEWE"),ROWS($E$5:E690)),"")</f>
        <v/>
      </c>
      <c r="F690" s="5" t="n"/>
    </row>
    <row r="691">
      <c r="A691" s="10">
        <f>IF($E691="","",INDEX('Input Transaksi'!$A:$A,$E691))</f>
        <v/>
      </c>
      <c r="B691" s="5">
        <f>IF($E691="","",INDEX('Input Transaksi'!$D:$D,$E691))</f>
        <v/>
      </c>
      <c r="C691">
        <f>IF($E691="","",INDEX('Input Transaksi'!$E:$E,$E691))</f>
        <v/>
      </c>
      <c r="D691" s="5">
        <f>IF($E691="","",INDEX('Input Transaksi'!$F:$F,$E691))</f>
        <v/>
      </c>
      <c r="E691">
        <f>IFERROR(AGGREGATE(15,6,ROW('Input Transaksi'!$B$5:$B$5000)/('Input Transaksi'!$B$5:$B$5000="LONDRI DEWE"),ROWS($E$5:E691)),"")</f>
        <v/>
      </c>
      <c r="F691" s="5" t="n"/>
    </row>
    <row r="692">
      <c r="A692" s="10">
        <f>IF($E692="","",INDEX('Input Transaksi'!$A:$A,$E692))</f>
        <v/>
      </c>
      <c r="B692" s="5">
        <f>IF($E692="","",INDEX('Input Transaksi'!$D:$D,$E692))</f>
        <v/>
      </c>
      <c r="C692">
        <f>IF($E692="","",INDEX('Input Transaksi'!$E:$E,$E692))</f>
        <v/>
      </c>
      <c r="D692" s="5">
        <f>IF($E692="","",INDEX('Input Transaksi'!$F:$F,$E692))</f>
        <v/>
      </c>
      <c r="E692">
        <f>IFERROR(AGGREGATE(15,6,ROW('Input Transaksi'!$B$5:$B$5000)/('Input Transaksi'!$B$5:$B$5000="LONDRI DEWE"),ROWS($E$5:E692)),"")</f>
        <v/>
      </c>
      <c r="F692" s="5" t="n"/>
    </row>
    <row r="693">
      <c r="A693" s="10">
        <f>IF($E693="","",INDEX('Input Transaksi'!$A:$A,$E693))</f>
        <v/>
      </c>
      <c r="B693" s="5">
        <f>IF($E693="","",INDEX('Input Transaksi'!$D:$D,$E693))</f>
        <v/>
      </c>
      <c r="C693">
        <f>IF($E693="","",INDEX('Input Transaksi'!$E:$E,$E693))</f>
        <v/>
      </c>
      <c r="D693" s="5">
        <f>IF($E693="","",INDEX('Input Transaksi'!$F:$F,$E693))</f>
        <v/>
      </c>
      <c r="E693">
        <f>IFERROR(AGGREGATE(15,6,ROW('Input Transaksi'!$B$5:$B$5000)/('Input Transaksi'!$B$5:$B$5000="LONDRI DEWE"),ROWS($E$5:E693)),"")</f>
        <v/>
      </c>
      <c r="F693" s="5" t="n"/>
    </row>
    <row r="694">
      <c r="A694" s="10">
        <f>IF($E694="","",INDEX('Input Transaksi'!$A:$A,$E694))</f>
        <v/>
      </c>
      <c r="B694" s="5">
        <f>IF($E694="","",INDEX('Input Transaksi'!$D:$D,$E694))</f>
        <v/>
      </c>
      <c r="C694">
        <f>IF($E694="","",INDEX('Input Transaksi'!$E:$E,$E694))</f>
        <v/>
      </c>
      <c r="D694" s="5">
        <f>IF($E694="","",INDEX('Input Transaksi'!$F:$F,$E694))</f>
        <v/>
      </c>
      <c r="E694">
        <f>IFERROR(AGGREGATE(15,6,ROW('Input Transaksi'!$B$5:$B$5000)/('Input Transaksi'!$B$5:$B$5000="LONDRI DEWE"),ROWS($E$5:E694)),"")</f>
        <v/>
      </c>
      <c r="F694" s="5" t="n"/>
    </row>
    <row r="695">
      <c r="A695" s="10">
        <f>IF($E695="","",INDEX('Input Transaksi'!$A:$A,$E695))</f>
        <v/>
      </c>
      <c r="B695" s="5">
        <f>IF($E695="","",INDEX('Input Transaksi'!$D:$D,$E695))</f>
        <v/>
      </c>
      <c r="C695">
        <f>IF($E695="","",INDEX('Input Transaksi'!$E:$E,$E695))</f>
        <v/>
      </c>
      <c r="D695" s="5">
        <f>IF($E695="","",INDEX('Input Transaksi'!$F:$F,$E695))</f>
        <v/>
      </c>
      <c r="E695">
        <f>IFERROR(AGGREGATE(15,6,ROW('Input Transaksi'!$B$5:$B$5000)/('Input Transaksi'!$B$5:$B$5000="LONDRI DEWE"),ROWS($E$5:E695)),"")</f>
        <v/>
      </c>
      <c r="F695" s="5" t="n"/>
    </row>
    <row r="696">
      <c r="A696" s="10">
        <f>IF($E696="","",INDEX('Input Transaksi'!$A:$A,$E696))</f>
        <v/>
      </c>
      <c r="B696" s="5">
        <f>IF($E696="","",INDEX('Input Transaksi'!$D:$D,$E696))</f>
        <v/>
      </c>
      <c r="C696">
        <f>IF($E696="","",INDEX('Input Transaksi'!$E:$E,$E696))</f>
        <v/>
      </c>
      <c r="D696" s="5">
        <f>IF($E696="","",INDEX('Input Transaksi'!$F:$F,$E696))</f>
        <v/>
      </c>
      <c r="E696">
        <f>IFERROR(AGGREGATE(15,6,ROW('Input Transaksi'!$B$5:$B$5000)/('Input Transaksi'!$B$5:$B$5000="LONDRI DEWE"),ROWS($E$5:E696)),"")</f>
        <v/>
      </c>
      <c r="F696" s="5" t="n"/>
    </row>
    <row r="697">
      <c r="A697" s="10">
        <f>IF($E697="","",INDEX('Input Transaksi'!$A:$A,$E697))</f>
        <v/>
      </c>
      <c r="B697" s="5">
        <f>IF($E697="","",INDEX('Input Transaksi'!$D:$D,$E697))</f>
        <v/>
      </c>
      <c r="C697">
        <f>IF($E697="","",INDEX('Input Transaksi'!$E:$E,$E697))</f>
        <v/>
      </c>
      <c r="D697" s="5">
        <f>IF($E697="","",INDEX('Input Transaksi'!$F:$F,$E697))</f>
        <v/>
      </c>
      <c r="E697">
        <f>IFERROR(AGGREGATE(15,6,ROW('Input Transaksi'!$B$5:$B$5000)/('Input Transaksi'!$B$5:$B$5000="LONDRI DEWE"),ROWS($E$5:E697)),"")</f>
        <v/>
      </c>
      <c r="F697" s="5" t="n"/>
    </row>
    <row r="698">
      <c r="A698" s="10">
        <f>IF($E698="","",INDEX('Input Transaksi'!$A:$A,$E698))</f>
        <v/>
      </c>
      <c r="B698" s="5">
        <f>IF($E698="","",INDEX('Input Transaksi'!$D:$D,$E698))</f>
        <v/>
      </c>
      <c r="C698">
        <f>IF($E698="","",INDEX('Input Transaksi'!$E:$E,$E698))</f>
        <v/>
      </c>
      <c r="D698" s="5">
        <f>IF($E698="","",INDEX('Input Transaksi'!$F:$F,$E698))</f>
        <v/>
      </c>
      <c r="E698">
        <f>IFERROR(AGGREGATE(15,6,ROW('Input Transaksi'!$B$5:$B$5000)/('Input Transaksi'!$B$5:$B$5000="LONDRI DEWE"),ROWS($E$5:E698)),"")</f>
        <v/>
      </c>
      <c r="F698" s="5" t="n"/>
    </row>
    <row r="699">
      <c r="A699" s="10">
        <f>IF($E699="","",INDEX('Input Transaksi'!$A:$A,$E699))</f>
        <v/>
      </c>
      <c r="B699" s="5">
        <f>IF($E699="","",INDEX('Input Transaksi'!$D:$D,$E699))</f>
        <v/>
      </c>
      <c r="C699">
        <f>IF($E699="","",INDEX('Input Transaksi'!$E:$E,$E699))</f>
        <v/>
      </c>
      <c r="D699" s="5">
        <f>IF($E699="","",INDEX('Input Transaksi'!$F:$F,$E699))</f>
        <v/>
      </c>
      <c r="E699">
        <f>IFERROR(AGGREGATE(15,6,ROW('Input Transaksi'!$B$5:$B$5000)/('Input Transaksi'!$B$5:$B$5000="LONDRI DEWE"),ROWS($E$5:E699)),"")</f>
        <v/>
      </c>
      <c r="F699" s="5" t="n"/>
    </row>
    <row r="700">
      <c r="A700" s="10">
        <f>IF($E700="","",INDEX('Input Transaksi'!$A:$A,$E700))</f>
        <v/>
      </c>
      <c r="B700" s="5">
        <f>IF($E700="","",INDEX('Input Transaksi'!$D:$D,$E700))</f>
        <v/>
      </c>
      <c r="C700">
        <f>IF($E700="","",INDEX('Input Transaksi'!$E:$E,$E700))</f>
        <v/>
      </c>
      <c r="D700" s="5">
        <f>IF($E700="","",INDEX('Input Transaksi'!$F:$F,$E700))</f>
        <v/>
      </c>
      <c r="E700">
        <f>IFERROR(AGGREGATE(15,6,ROW('Input Transaksi'!$B$5:$B$5000)/('Input Transaksi'!$B$5:$B$5000="LONDRI DEWE"),ROWS($E$5:E700)),"")</f>
        <v/>
      </c>
      <c r="F700" s="5" t="n"/>
    </row>
    <row r="701">
      <c r="A701" s="10">
        <f>IF($E701="","",INDEX('Input Transaksi'!$A:$A,$E701))</f>
        <v/>
      </c>
      <c r="B701" s="5">
        <f>IF($E701="","",INDEX('Input Transaksi'!$D:$D,$E701))</f>
        <v/>
      </c>
      <c r="C701">
        <f>IF($E701="","",INDEX('Input Transaksi'!$E:$E,$E701))</f>
        <v/>
      </c>
      <c r="D701" s="5">
        <f>IF($E701="","",INDEX('Input Transaksi'!$F:$F,$E701))</f>
        <v/>
      </c>
      <c r="E701">
        <f>IFERROR(AGGREGATE(15,6,ROW('Input Transaksi'!$B$5:$B$5000)/('Input Transaksi'!$B$5:$B$5000="LONDRI DEWE"),ROWS($E$5:E701)),"")</f>
        <v/>
      </c>
      <c r="F701" s="5" t="n"/>
    </row>
    <row r="702">
      <c r="A702" s="10">
        <f>IF($E702="","",INDEX('Input Transaksi'!$A:$A,$E702))</f>
        <v/>
      </c>
      <c r="B702" s="5">
        <f>IF($E702="","",INDEX('Input Transaksi'!$D:$D,$E702))</f>
        <v/>
      </c>
      <c r="C702">
        <f>IF($E702="","",INDEX('Input Transaksi'!$E:$E,$E702))</f>
        <v/>
      </c>
      <c r="D702" s="5">
        <f>IF($E702="","",INDEX('Input Transaksi'!$F:$F,$E702))</f>
        <v/>
      </c>
      <c r="E702">
        <f>IFERROR(AGGREGATE(15,6,ROW('Input Transaksi'!$B$5:$B$5000)/('Input Transaksi'!$B$5:$B$5000="LONDRI DEWE"),ROWS($E$5:E702)),"")</f>
        <v/>
      </c>
      <c r="F702" s="5" t="n"/>
    </row>
    <row r="703">
      <c r="A703" s="10">
        <f>IF($E703="","",INDEX('Input Transaksi'!$A:$A,$E703))</f>
        <v/>
      </c>
      <c r="B703" s="5">
        <f>IF($E703="","",INDEX('Input Transaksi'!$D:$D,$E703))</f>
        <v/>
      </c>
      <c r="C703">
        <f>IF($E703="","",INDEX('Input Transaksi'!$E:$E,$E703))</f>
        <v/>
      </c>
      <c r="D703" s="5">
        <f>IF($E703="","",INDEX('Input Transaksi'!$F:$F,$E703))</f>
        <v/>
      </c>
      <c r="E703">
        <f>IFERROR(AGGREGATE(15,6,ROW('Input Transaksi'!$B$5:$B$5000)/('Input Transaksi'!$B$5:$B$5000="LONDRI DEWE"),ROWS($E$5:E703)),"")</f>
        <v/>
      </c>
      <c r="F703" s="5" t="n"/>
    </row>
    <row r="704">
      <c r="A704" s="10">
        <f>IF($E704="","",INDEX('Input Transaksi'!$A:$A,$E704))</f>
        <v/>
      </c>
      <c r="B704" s="5">
        <f>IF($E704="","",INDEX('Input Transaksi'!$D:$D,$E704))</f>
        <v/>
      </c>
      <c r="C704">
        <f>IF($E704="","",INDEX('Input Transaksi'!$E:$E,$E704))</f>
        <v/>
      </c>
      <c r="D704" s="5">
        <f>IF($E704="","",INDEX('Input Transaksi'!$F:$F,$E704))</f>
        <v/>
      </c>
      <c r="E704">
        <f>IFERROR(AGGREGATE(15,6,ROW('Input Transaksi'!$B$5:$B$5000)/('Input Transaksi'!$B$5:$B$5000="LONDRI DEWE"),ROWS($E$5:E704)),"")</f>
        <v/>
      </c>
      <c r="F704" s="5" t="n"/>
    </row>
    <row r="705">
      <c r="A705" s="10">
        <f>IF($E705="","",INDEX('Input Transaksi'!$A:$A,$E705))</f>
        <v/>
      </c>
      <c r="B705" s="5">
        <f>IF($E705="","",INDEX('Input Transaksi'!$D:$D,$E705))</f>
        <v/>
      </c>
      <c r="C705">
        <f>IF($E705="","",INDEX('Input Transaksi'!$E:$E,$E705))</f>
        <v/>
      </c>
      <c r="D705" s="5">
        <f>IF($E705="","",INDEX('Input Transaksi'!$F:$F,$E705))</f>
        <v/>
      </c>
      <c r="E705">
        <f>IFERROR(AGGREGATE(15,6,ROW('Input Transaksi'!$B$5:$B$5000)/('Input Transaksi'!$B$5:$B$5000="LONDRI DEWE"),ROWS($E$5:E705)),"")</f>
        <v/>
      </c>
      <c r="F705" s="5" t="n"/>
    </row>
    <row r="706">
      <c r="A706" s="10">
        <f>IF($E706="","",INDEX('Input Transaksi'!$A:$A,$E706))</f>
        <v/>
      </c>
      <c r="B706" s="5">
        <f>IF($E706="","",INDEX('Input Transaksi'!$D:$D,$E706))</f>
        <v/>
      </c>
      <c r="C706">
        <f>IF($E706="","",INDEX('Input Transaksi'!$E:$E,$E706))</f>
        <v/>
      </c>
      <c r="D706" s="5">
        <f>IF($E706="","",INDEX('Input Transaksi'!$F:$F,$E706))</f>
        <v/>
      </c>
      <c r="E706">
        <f>IFERROR(AGGREGATE(15,6,ROW('Input Transaksi'!$B$5:$B$5000)/('Input Transaksi'!$B$5:$B$5000="LONDRI DEWE"),ROWS($E$5:E706)),"")</f>
        <v/>
      </c>
      <c r="F706" s="5" t="n"/>
    </row>
    <row r="707">
      <c r="A707" s="10">
        <f>IF($E707="","",INDEX('Input Transaksi'!$A:$A,$E707))</f>
        <v/>
      </c>
      <c r="B707" s="5">
        <f>IF($E707="","",INDEX('Input Transaksi'!$D:$D,$E707))</f>
        <v/>
      </c>
      <c r="C707">
        <f>IF($E707="","",INDEX('Input Transaksi'!$E:$E,$E707))</f>
        <v/>
      </c>
      <c r="D707" s="5">
        <f>IF($E707="","",INDEX('Input Transaksi'!$F:$F,$E707))</f>
        <v/>
      </c>
      <c r="E707">
        <f>IFERROR(AGGREGATE(15,6,ROW('Input Transaksi'!$B$5:$B$5000)/('Input Transaksi'!$B$5:$B$5000="LONDRI DEWE"),ROWS($E$5:E707)),"")</f>
        <v/>
      </c>
      <c r="F707" s="5" t="n"/>
    </row>
    <row r="708">
      <c r="A708" s="10">
        <f>IF($E708="","",INDEX('Input Transaksi'!$A:$A,$E708))</f>
        <v/>
      </c>
      <c r="B708" s="5">
        <f>IF($E708="","",INDEX('Input Transaksi'!$D:$D,$E708))</f>
        <v/>
      </c>
      <c r="C708">
        <f>IF($E708="","",INDEX('Input Transaksi'!$E:$E,$E708))</f>
        <v/>
      </c>
      <c r="D708" s="5">
        <f>IF($E708="","",INDEX('Input Transaksi'!$F:$F,$E708))</f>
        <v/>
      </c>
      <c r="E708">
        <f>IFERROR(AGGREGATE(15,6,ROW('Input Transaksi'!$B$5:$B$5000)/('Input Transaksi'!$B$5:$B$5000="LONDRI DEWE"),ROWS($E$5:E708)),"")</f>
        <v/>
      </c>
      <c r="F708" s="5" t="n"/>
    </row>
    <row r="709">
      <c r="A709" s="10">
        <f>IF($E709="","",INDEX('Input Transaksi'!$A:$A,$E709))</f>
        <v/>
      </c>
      <c r="B709" s="5">
        <f>IF($E709="","",INDEX('Input Transaksi'!$D:$D,$E709))</f>
        <v/>
      </c>
      <c r="C709">
        <f>IF($E709="","",INDEX('Input Transaksi'!$E:$E,$E709))</f>
        <v/>
      </c>
      <c r="D709" s="5">
        <f>IF($E709="","",INDEX('Input Transaksi'!$F:$F,$E709))</f>
        <v/>
      </c>
      <c r="E709">
        <f>IFERROR(AGGREGATE(15,6,ROW('Input Transaksi'!$B$5:$B$5000)/('Input Transaksi'!$B$5:$B$5000="LONDRI DEWE"),ROWS($E$5:E709)),"")</f>
        <v/>
      </c>
      <c r="F709" s="5" t="n"/>
    </row>
    <row r="710">
      <c r="A710" s="10">
        <f>IF($E710="","",INDEX('Input Transaksi'!$A:$A,$E710))</f>
        <v/>
      </c>
      <c r="B710" s="5">
        <f>IF($E710="","",INDEX('Input Transaksi'!$D:$D,$E710))</f>
        <v/>
      </c>
      <c r="C710">
        <f>IF($E710="","",INDEX('Input Transaksi'!$E:$E,$E710))</f>
        <v/>
      </c>
      <c r="D710" s="5">
        <f>IF($E710="","",INDEX('Input Transaksi'!$F:$F,$E710))</f>
        <v/>
      </c>
      <c r="E710">
        <f>IFERROR(AGGREGATE(15,6,ROW('Input Transaksi'!$B$5:$B$5000)/('Input Transaksi'!$B$5:$B$5000="LONDRI DEWE"),ROWS($E$5:E710)),"")</f>
        <v/>
      </c>
      <c r="F710" s="5" t="n"/>
    </row>
    <row r="711">
      <c r="A711" s="10">
        <f>IF($E711="","",INDEX('Input Transaksi'!$A:$A,$E711))</f>
        <v/>
      </c>
      <c r="B711" s="5">
        <f>IF($E711="","",INDEX('Input Transaksi'!$D:$D,$E711))</f>
        <v/>
      </c>
      <c r="C711">
        <f>IF($E711="","",INDEX('Input Transaksi'!$E:$E,$E711))</f>
        <v/>
      </c>
      <c r="D711" s="5">
        <f>IF($E711="","",INDEX('Input Transaksi'!$F:$F,$E711))</f>
        <v/>
      </c>
      <c r="E711">
        <f>IFERROR(AGGREGATE(15,6,ROW('Input Transaksi'!$B$5:$B$5000)/('Input Transaksi'!$B$5:$B$5000="LONDRI DEWE"),ROWS($E$5:E711)),"")</f>
        <v/>
      </c>
      <c r="F711" s="5" t="n"/>
    </row>
    <row r="712">
      <c r="A712" s="10">
        <f>IF($E712="","",INDEX('Input Transaksi'!$A:$A,$E712))</f>
        <v/>
      </c>
      <c r="B712" s="5">
        <f>IF($E712="","",INDEX('Input Transaksi'!$D:$D,$E712))</f>
        <v/>
      </c>
      <c r="C712">
        <f>IF($E712="","",INDEX('Input Transaksi'!$E:$E,$E712))</f>
        <v/>
      </c>
      <c r="D712" s="5">
        <f>IF($E712="","",INDEX('Input Transaksi'!$F:$F,$E712))</f>
        <v/>
      </c>
      <c r="E712">
        <f>IFERROR(AGGREGATE(15,6,ROW('Input Transaksi'!$B$5:$B$5000)/('Input Transaksi'!$B$5:$B$5000="LONDRI DEWE"),ROWS($E$5:E712)),"")</f>
        <v/>
      </c>
      <c r="F712" s="5" t="n"/>
    </row>
    <row r="713">
      <c r="A713" s="10">
        <f>IF($E713="","",INDEX('Input Transaksi'!$A:$A,$E713))</f>
        <v/>
      </c>
      <c r="B713" s="5">
        <f>IF($E713="","",INDEX('Input Transaksi'!$D:$D,$E713))</f>
        <v/>
      </c>
      <c r="C713">
        <f>IF($E713="","",INDEX('Input Transaksi'!$E:$E,$E713))</f>
        <v/>
      </c>
      <c r="D713" s="5">
        <f>IF($E713="","",INDEX('Input Transaksi'!$F:$F,$E713))</f>
        <v/>
      </c>
      <c r="E713">
        <f>IFERROR(AGGREGATE(15,6,ROW('Input Transaksi'!$B$5:$B$5000)/('Input Transaksi'!$B$5:$B$5000="LONDRI DEWE"),ROWS($E$5:E713)),"")</f>
        <v/>
      </c>
      <c r="F713" s="5" t="n"/>
    </row>
    <row r="714">
      <c r="A714" s="10">
        <f>IF($E714="","",INDEX('Input Transaksi'!$A:$A,$E714))</f>
        <v/>
      </c>
      <c r="B714" s="5">
        <f>IF($E714="","",INDEX('Input Transaksi'!$D:$D,$E714))</f>
        <v/>
      </c>
      <c r="C714">
        <f>IF($E714="","",INDEX('Input Transaksi'!$E:$E,$E714))</f>
        <v/>
      </c>
      <c r="D714" s="5">
        <f>IF($E714="","",INDEX('Input Transaksi'!$F:$F,$E714))</f>
        <v/>
      </c>
      <c r="E714">
        <f>IFERROR(AGGREGATE(15,6,ROW('Input Transaksi'!$B$5:$B$5000)/('Input Transaksi'!$B$5:$B$5000="LONDRI DEWE"),ROWS($E$5:E714)),"")</f>
        <v/>
      </c>
      <c r="F714" s="5" t="n"/>
    </row>
    <row r="715">
      <c r="A715" s="10">
        <f>IF($E715="","",INDEX('Input Transaksi'!$A:$A,$E715))</f>
        <v/>
      </c>
      <c r="B715" s="5">
        <f>IF($E715="","",INDEX('Input Transaksi'!$D:$D,$E715))</f>
        <v/>
      </c>
      <c r="C715">
        <f>IF($E715="","",INDEX('Input Transaksi'!$E:$E,$E715))</f>
        <v/>
      </c>
      <c r="D715" s="5">
        <f>IF($E715="","",INDEX('Input Transaksi'!$F:$F,$E715))</f>
        <v/>
      </c>
      <c r="E715">
        <f>IFERROR(AGGREGATE(15,6,ROW('Input Transaksi'!$B$5:$B$5000)/('Input Transaksi'!$B$5:$B$5000="LONDRI DEWE"),ROWS($E$5:E715)),"")</f>
        <v/>
      </c>
      <c r="F715" s="5" t="n"/>
    </row>
    <row r="716">
      <c r="A716" s="10">
        <f>IF($E716="","",INDEX('Input Transaksi'!$A:$A,$E716))</f>
        <v/>
      </c>
      <c r="B716" s="5">
        <f>IF($E716="","",INDEX('Input Transaksi'!$D:$D,$E716))</f>
        <v/>
      </c>
      <c r="C716">
        <f>IF($E716="","",INDEX('Input Transaksi'!$E:$E,$E716))</f>
        <v/>
      </c>
      <c r="D716" s="5">
        <f>IF($E716="","",INDEX('Input Transaksi'!$F:$F,$E716))</f>
        <v/>
      </c>
      <c r="E716">
        <f>IFERROR(AGGREGATE(15,6,ROW('Input Transaksi'!$B$5:$B$5000)/('Input Transaksi'!$B$5:$B$5000="LONDRI DEWE"),ROWS($E$5:E716)),"")</f>
        <v/>
      </c>
      <c r="F716" s="5" t="n"/>
    </row>
    <row r="717">
      <c r="A717" s="10">
        <f>IF($E717="","",INDEX('Input Transaksi'!$A:$A,$E717))</f>
        <v/>
      </c>
      <c r="B717" s="5">
        <f>IF($E717="","",INDEX('Input Transaksi'!$D:$D,$E717))</f>
        <v/>
      </c>
      <c r="C717">
        <f>IF($E717="","",INDEX('Input Transaksi'!$E:$E,$E717))</f>
        <v/>
      </c>
      <c r="D717" s="5">
        <f>IF($E717="","",INDEX('Input Transaksi'!$F:$F,$E717))</f>
        <v/>
      </c>
      <c r="E717">
        <f>IFERROR(AGGREGATE(15,6,ROW('Input Transaksi'!$B$5:$B$5000)/('Input Transaksi'!$B$5:$B$5000="LONDRI DEWE"),ROWS($E$5:E717)),"")</f>
        <v/>
      </c>
      <c r="F717" s="5" t="n"/>
    </row>
    <row r="718">
      <c r="A718" s="10">
        <f>IF($E718="","",INDEX('Input Transaksi'!$A:$A,$E718))</f>
        <v/>
      </c>
      <c r="B718" s="5">
        <f>IF($E718="","",INDEX('Input Transaksi'!$D:$D,$E718))</f>
        <v/>
      </c>
      <c r="C718">
        <f>IF($E718="","",INDEX('Input Transaksi'!$E:$E,$E718))</f>
        <v/>
      </c>
      <c r="D718" s="5">
        <f>IF($E718="","",INDEX('Input Transaksi'!$F:$F,$E718))</f>
        <v/>
      </c>
      <c r="E718">
        <f>IFERROR(AGGREGATE(15,6,ROW('Input Transaksi'!$B$5:$B$5000)/('Input Transaksi'!$B$5:$B$5000="LONDRI DEWE"),ROWS($E$5:E718)),"")</f>
        <v/>
      </c>
      <c r="F718" s="5" t="n"/>
    </row>
    <row r="719">
      <c r="A719" s="10">
        <f>IF($E719="","",INDEX('Input Transaksi'!$A:$A,$E719))</f>
        <v/>
      </c>
      <c r="B719" s="5">
        <f>IF($E719="","",INDEX('Input Transaksi'!$D:$D,$E719))</f>
        <v/>
      </c>
      <c r="C719">
        <f>IF($E719="","",INDEX('Input Transaksi'!$E:$E,$E719))</f>
        <v/>
      </c>
      <c r="D719" s="5">
        <f>IF($E719="","",INDEX('Input Transaksi'!$F:$F,$E719))</f>
        <v/>
      </c>
      <c r="E719">
        <f>IFERROR(AGGREGATE(15,6,ROW('Input Transaksi'!$B$5:$B$5000)/('Input Transaksi'!$B$5:$B$5000="LONDRI DEWE"),ROWS($E$5:E719)),"")</f>
        <v/>
      </c>
      <c r="F719" s="5" t="n"/>
    </row>
    <row r="720">
      <c r="A720" s="10">
        <f>IF($E720="","",INDEX('Input Transaksi'!$A:$A,$E720))</f>
        <v/>
      </c>
      <c r="B720" s="5">
        <f>IF($E720="","",INDEX('Input Transaksi'!$D:$D,$E720))</f>
        <v/>
      </c>
      <c r="C720">
        <f>IF($E720="","",INDEX('Input Transaksi'!$E:$E,$E720))</f>
        <v/>
      </c>
      <c r="D720" s="5">
        <f>IF($E720="","",INDEX('Input Transaksi'!$F:$F,$E720))</f>
        <v/>
      </c>
      <c r="E720">
        <f>IFERROR(AGGREGATE(15,6,ROW('Input Transaksi'!$B$5:$B$5000)/('Input Transaksi'!$B$5:$B$5000="LONDRI DEWE"),ROWS($E$5:E720)),"")</f>
        <v/>
      </c>
      <c r="F720" s="5" t="n"/>
    </row>
    <row r="721">
      <c r="A721" s="10">
        <f>IF($E721="","",INDEX('Input Transaksi'!$A:$A,$E721))</f>
        <v/>
      </c>
      <c r="B721" s="5">
        <f>IF($E721="","",INDEX('Input Transaksi'!$D:$D,$E721))</f>
        <v/>
      </c>
      <c r="C721">
        <f>IF($E721="","",INDEX('Input Transaksi'!$E:$E,$E721))</f>
        <v/>
      </c>
      <c r="D721" s="5">
        <f>IF($E721="","",INDEX('Input Transaksi'!$F:$F,$E721))</f>
        <v/>
      </c>
      <c r="E721">
        <f>IFERROR(AGGREGATE(15,6,ROW('Input Transaksi'!$B$5:$B$5000)/('Input Transaksi'!$B$5:$B$5000="LONDRI DEWE"),ROWS($E$5:E721)),"")</f>
        <v/>
      </c>
      <c r="F721" s="5" t="n"/>
    </row>
    <row r="722">
      <c r="A722" s="10">
        <f>IF($E722="","",INDEX('Input Transaksi'!$A:$A,$E722))</f>
        <v/>
      </c>
      <c r="B722" s="5">
        <f>IF($E722="","",INDEX('Input Transaksi'!$D:$D,$E722))</f>
        <v/>
      </c>
      <c r="C722">
        <f>IF($E722="","",INDEX('Input Transaksi'!$E:$E,$E722))</f>
        <v/>
      </c>
      <c r="D722" s="5">
        <f>IF($E722="","",INDEX('Input Transaksi'!$F:$F,$E722))</f>
        <v/>
      </c>
      <c r="E722">
        <f>IFERROR(AGGREGATE(15,6,ROW('Input Transaksi'!$B$5:$B$5000)/('Input Transaksi'!$B$5:$B$5000="LONDRI DEWE"),ROWS($E$5:E722)),"")</f>
        <v/>
      </c>
      <c r="F722" s="5" t="n"/>
    </row>
    <row r="723">
      <c r="A723" s="10">
        <f>IF($E723="","",INDEX('Input Transaksi'!$A:$A,$E723))</f>
        <v/>
      </c>
      <c r="B723" s="5">
        <f>IF($E723="","",INDEX('Input Transaksi'!$D:$D,$E723))</f>
        <v/>
      </c>
      <c r="C723">
        <f>IF($E723="","",INDEX('Input Transaksi'!$E:$E,$E723))</f>
        <v/>
      </c>
      <c r="D723" s="5">
        <f>IF($E723="","",INDEX('Input Transaksi'!$F:$F,$E723))</f>
        <v/>
      </c>
      <c r="E723">
        <f>IFERROR(AGGREGATE(15,6,ROW('Input Transaksi'!$B$5:$B$5000)/('Input Transaksi'!$B$5:$B$5000="LONDRI DEWE"),ROWS($E$5:E723)),"")</f>
        <v/>
      </c>
      <c r="F723" s="5" t="n"/>
    </row>
    <row r="724">
      <c r="A724" s="10">
        <f>IF($E724="","",INDEX('Input Transaksi'!$A:$A,$E724))</f>
        <v/>
      </c>
      <c r="B724" s="5">
        <f>IF($E724="","",INDEX('Input Transaksi'!$D:$D,$E724))</f>
        <v/>
      </c>
      <c r="C724">
        <f>IF($E724="","",INDEX('Input Transaksi'!$E:$E,$E724))</f>
        <v/>
      </c>
      <c r="D724" s="5">
        <f>IF($E724="","",INDEX('Input Transaksi'!$F:$F,$E724))</f>
        <v/>
      </c>
      <c r="E724">
        <f>IFERROR(AGGREGATE(15,6,ROW('Input Transaksi'!$B$5:$B$5000)/('Input Transaksi'!$B$5:$B$5000="LONDRI DEWE"),ROWS($E$5:E724)),"")</f>
        <v/>
      </c>
      <c r="F724" s="5" t="n"/>
    </row>
    <row r="725">
      <c r="A725" s="10">
        <f>IF($E725="","",INDEX('Input Transaksi'!$A:$A,$E725))</f>
        <v/>
      </c>
      <c r="B725" s="5">
        <f>IF($E725="","",INDEX('Input Transaksi'!$D:$D,$E725))</f>
        <v/>
      </c>
      <c r="C725">
        <f>IF($E725="","",INDEX('Input Transaksi'!$E:$E,$E725))</f>
        <v/>
      </c>
      <c r="D725" s="5">
        <f>IF($E725="","",INDEX('Input Transaksi'!$F:$F,$E725))</f>
        <v/>
      </c>
      <c r="E725">
        <f>IFERROR(AGGREGATE(15,6,ROW('Input Transaksi'!$B$5:$B$5000)/('Input Transaksi'!$B$5:$B$5000="LONDRI DEWE"),ROWS($E$5:E725)),"")</f>
        <v/>
      </c>
      <c r="F725" s="5" t="n"/>
    </row>
    <row r="726">
      <c r="A726" s="10">
        <f>IF($E726="","",INDEX('Input Transaksi'!$A:$A,$E726))</f>
        <v/>
      </c>
      <c r="B726" s="5">
        <f>IF($E726="","",INDEX('Input Transaksi'!$D:$D,$E726))</f>
        <v/>
      </c>
      <c r="C726">
        <f>IF($E726="","",INDEX('Input Transaksi'!$E:$E,$E726))</f>
        <v/>
      </c>
      <c r="D726" s="5">
        <f>IF($E726="","",INDEX('Input Transaksi'!$F:$F,$E726))</f>
        <v/>
      </c>
      <c r="E726">
        <f>IFERROR(AGGREGATE(15,6,ROW('Input Transaksi'!$B$5:$B$5000)/('Input Transaksi'!$B$5:$B$5000="LONDRI DEWE"),ROWS($E$5:E726)),"")</f>
        <v/>
      </c>
      <c r="F726" s="5" t="n"/>
    </row>
    <row r="727">
      <c r="A727" s="10">
        <f>IF($E727="","",INDEX('Input Transaksi'!$A:$A,$E727))</f>
        <v/>
      </c>
      <c r="B727" s="5">
        <f>IF($E727="","",INDEX('Input Transaksi'!$D:$D,$E727))</f>
        <v/>
      </c>
      <c r="C727">
        <f>IF($E727="","",INDEX('Input Transaksi'!$E:$E,$E727))</f>
        <v/>
      </c>
      <c r="D727" s="5">
        <f>IF($E727="","",INDEX('Input Transaksi'!$F:$F,$E727))</f>
        <v/>
      </c>
      <c r="E727">
        <f>IFERROR(AGGREGATE(15,6,ROW('Input Transaksi'!$B$5:$B$5000)/('Input Transaksi'!$B$5:$B$5000="LONDRI DEWE"),ROWS($E$5:E727)),"")</f>
        <v/>
      </c>
      <c r="F727" s="5" t="n"/>
    </row>
    <row r="728">
      <c r="A728" s="10">
        <f>IF($E728="","",INDEX('Input Transaksi'!$A:$A,$E728))</f>
        <v/>
      </c>
      <c r="B728" s="5">
        <f>IF($E728="","",INDEX('Input Transaksi'!$D:$D,$E728))</f>
        <v/>
      </c>
      <c r="C728">
        <f>IF($E728="","",INDEX('Input Transaksi'!$E:$E,$E728))</f>
        <v/>
      </c>
      <c r="D728" s="5">
        <f>IF($E728="","",INDEX('Input Transaksi'!$F:$F,$E728))</f>
        <v/>
      </c>
      <c r="E728">
        <f>IFERROR(AGGREGATE(15,6,ROW('Input Transaksi'!$B$5:$B$5000)/('Input Transaksi'!$B$5:$B$5000="LONDRI DEWE"),ROWS($E$5:E728)),"")</f>
        <v/>
      </c>
      <c r="F728" s="5" t="n"/>
    </row>
    <row r="729">
      <c r="A729" s="10">
        <f>IF($E729="","",INDEX('Input Transaksi'!$A:$A,$E729))</f>
        <v/>
      </c>
      <c r="B729" s="5">
        <f>IF($E729="","",INDEX('Input Transaksi'!$D:$D,$E729))</f>
        <v/>
      </c>
      <c r="C729">
        <f>IF($E729="","",INDEX('Input Transaksi'!$E:$E,$E729))</f>
        <v/>
      </c>
      <c r="D729" s="5">
        <f>IF($E729="","",INDEX('Input Transaksi'!$F:$F,$E729))</f>
        <v/>
      </c>
      <c r="E729">
        <f>IFERROR(AGGREGATE(15,6,ROW('Input Transaksi'!$B$5:$B$5000)/('Input Transaksi'!$B$5:$B$5000="LONDRI DEWE"),ROWS($E$5:E729)),"")</f>
        <v/>
      </c>
      <c r="F729" s="5" t="n"/>
    </row>
    <row r="730">
      <c r="A730" s="10">
        <f>IF($E730="","",INDEX('Input Transaksi'!$A:$A,$E730))</f>
        <v/>
      </c>
      <c r="B730" s="5">
        <f>IF($E730="","",INDEX('Input Transaksi'!$D:$D,$E730))</f>
        <v/>
      </c>
      <c r="C730">
        <f>IF($E730="","",INDEX('Input Transaksi'!$E:$E,$E730))</f>
        <v/>
      </c>
      <c r="D730" s="5">
        <f>IF($E730="","",INDEX('Input Transaksi'!$F:$F,$E730))</f>
        <v/>
      </c>
      <c r="E730">
        <f>IFERROR(AGGREGATE(15,6,ROW('Input Transaksi'!$B$5:$B$5000)/('Input Transaksi'!$B$5:$B$5000="LONDRI DEWE"),ROWS($E$5:E730)),"")</f>
        <v/>
      </c>
      <c r="F730" s="5" t="n"/>
    </row>
    <row r="731">
      <c r="A731" s="10">
        <f>IF($E731="","",INDEX('Input Transaksi'!$A:$A,$E731))</f>
        <v/>
      </c>
      <c r="B731" s="5">
        <f>IF($E731="","",INDEX('Input Transaksi'!$D:$D,$E731))</f>
        <v/>
      </c>
      <c r="C731">
        <f>IF($E731="","",INDEX('Input Transaksi'!$E:$E,$E731))</f>
        <v/>
      </c>
      <c r="D731" s="5">
        <f>IF($E731="","",INDEX('Input Transaksi'!$F:$F,$E731))</f>
        <v/>
      </c>
      <c r="E731">
        <f>IFERROR(AGGREGATE(15,6,ROW('Input Transaksi'!$B$5:$B$5000)/('Input Transaksi'!$B$5:$B$5000="LONDRI DEWE"),ROWS($E$5:E731)),"")</f>
        <v/>
      </c>
      <c r="F731" s="5" t="n"/>
    </row>
    <row r="732">
      <c r="A732" s="10">
        <f>IF($E732="","",INDEX('Input Transaksi'!$A:$A,$E732))</f>
        <v/>
      </c>
      <c r="B732" s="5">
        <f>IF($E732="","",INDEX('Input Transaksi'!$D:$D,$E732))</f>
        <v/>
      </c>
      <c r="C732">
        <f>IF($E732="","",INDEX('Input Transaksi'!$E:$E,$E732))</f>
        <v/>
      </c>
      <c r="D732" s="5">
        <f>IF($E732="","",INDEX('Input Transaksi'!$F:$F,$E732))</f>
        <v/>
      </c>
      <c r="E732">
        <f>IFERROR(AGGREGATE(15,6,ROW('Input Transaksi'!$B$5:$B$5000)/('Input Transaksi'!$B$5:$B$5000="LONDRI DEWE"),ROWS($E$5:E732)),"")</f>
        <v/>
      </c>
      <c r="F732" s="5" t="n"/>
    </row>
    <row r="733">
      <c r="A733" s="10">
        <f>IF($E733="","",INDEX('Input Transaksi'!$A:$A,$E733))</f>
        <v/>
      </c>
      <c r="B733" s="5">
        <f>IF($E733="","",INDEX('Input Transaksi'!$D:$D,$E733))</f>
        <v/>
      </c>
      <c r="C733">
        <f>IF($E733="","",INDEX('Input Transaksi'!$E:$E,$E733))</f>
        <v/>
      </c>
      <c r="D733" s="5">
        <f>IF($E733="","",INDEX('Input Transaksi'!$F:$F,$E733))</f>
        <v/>
      </c>
      <c r="E733">
        <f>IFERROR(AGGREGATE(15,6,ROW('Input Transaksi'!$B$5:$B$5000)/('Input Transaksi'!$B$5:$B$5000="LONDRI DEWE"),ROWS($E$5:E733)),"")</f>
        <v/>
      </c>
      <c r="F733" s="5" t="n"/>
    </row>
    <row r="734">
      <c r="A734" s="10">
        <f>IF($E734="","",INDEX('Input Transaksi'!$A:$A,$E734))</f>
        <v/>
      </c>
      <c r="B734" s="5">
        <f>IF($E734="","",INDEX('Input Transaksi'!$D:$D,$E734))</f>
        <v/>
      </c>
      <c r="C734">
        <f>IF($E734="","",INDEX('Input Transaksi'!$E:$E,$E734))</f>
        <v/>
      </c>
      <c r="D734" s="5">
        <f>IF($E734="","",INDEX('Input Transaksi'!$F:$F,$E734))</f>
        <v/>
      </c>
      <c r="E734">
        <f>IFERROR(AGGREGATE(15,6,ROW('Input Transaksi'!$B$5:$B$5000)/('Input Transaksi'!$B$5:$B$5000="LONDRI DEWE"),ROWS($E$5:E734)),"")</f>
        <v/>
      </c>
      <c r="F734" s="5" t="n"/>
    </row>
    <row r="735">
      <c r="A735" s="10">
        <f>IF($E735="","",INDEX('Input Transaksi'!$A:$A,$E735))</f>
        <v/>
      </c>
      <c r="B735" s="5">
        <f>IF($E735="","",INDEX('Input Transaksi'!$D:$D,$E735))</f>
        <v/>
      </c>
      <c r="C735">
        <f>IF($E735="","",INDEX('Input Transaksi'!$E:$E,$E735))</f>
        <v/>
      </c>
      <c r="D735" s="5">
        <f>IF($E735="","",INDEX('Input Transaksi'!$F:$F,$E735))</f>
        <v/>
      </c>
      <c r="E735">
        <f>IFERROR(AGGREGATE(15,6,ROW('Input Transaksi'!$B$5:$B$5000)/('Input Transaksi'!$B$5:$B$5000="LONDRI DEWE"),ROWS($E$5:E735)),"")</f>
        <v/>
      </c>
      <c r="F735" s="5" t="n"/>
    </row>
    <row r="736">
      <c r="A736" s="10">
        <f>IF($E736="","",INDEX('Input Transaksi'!$A:$A,$E736))</f>
        <v/>
      </c>
      <c r="B736" s="5">
        <f>IF($E736="","",INDEX('Input Transaksi'!$D:$D,$E736))</f>
        <v/>
      </c>
      <c r="C736">
        <f>IF($E736="","",INDEX('Input Transaksi'!$E:$E,$E736))</f>
        <v/>
      </c>
      <c r="D736" s="5">
        <f>IF($E736="","",INDEX('Input Transaksi'!$F:$F,$E736))</f>
        <v/>
      </c>
      <c r="E736">
        <f>IFERROR(AGGREGATE(15,6,ROW('Input Transaksi'!$B$5:$B$5000)/('Input Transaksi'!$B$5:$B$5000="LONDRI DEWE"),ROWS($E$5:E736)),"")</f>
        <v/>
      </c>
      <c r="F736" s="5" t="n"/>
    </row>
    <row r="737">
      <c r="A737" s="10">
        <f>IF($E737="","",INDEX('Input Transaksi'!$A:$A,$E737))</f>
        <v/>
      </c>
      <c r="B737" s="5">
        <f>IF($E737="","",INDEX('Input Transaksi'!$D:$D,$E737))</f>
        <v/>
      </c>
      <c r="C737">
        <f>IF($E737="","",INDEX('Input Transaksi'!$E:$E,$E737))</f>
        <v/>
      </c>
      <c r="D737" s="5">
        <f>IF($E737="","",INDEX('Input Transaksi'!$F:$F,$E737))</f>
        <v/>
      </c>
      <c r="E737">
        <f>IFERROR(AGGREGATE(15,6,ROW('Input Transaksi'!$B$5:$B$5000)/('Input Transaksi'!$B$5:$B$5000="LONDRI DEWE"),ROWS($E$5:E737)),"")</f>
        <v/>
      </c>
      <c r="F737" s="5" t="n"/>
    </row>
    <row r="738">
      <c r="A738" s="10">
        <f>IF($E738="","",INDEX('Input Transaksi'!$A:$A,$E738))</f>
        <v/>
      </c>
      <c r="B738" s="5">
        <f>IF($E738="","",INDEX('Input Transaksi'!$D:$D,$E738))</f>
        <v/>
      </c>
      <c r="C738">
        <f>IF($E738="","",INDEX('Input Transaksi'!$E:$E,$E738))</f>
        <v/>
      </c>
      <c r="D738" s="5">
        <f>IF($E738="","",INDEX('Input Transaksi'!$F:$F,$E738))</f>
        <v/>
      </c>
      <c r="E738">
        <f>IFERROR(AGGREGATE(15,6,ROW('Input Transaksi'!$B$5:$B$5000)/('Input Transaksi'!$B$5:$B$5000="LONDRI DEWE"),ROWS($E$5:E738)),"")</f>
        <v/>
      </c>
      <c r="F738" s="5" t="n"/>
    </row>
    <row r="739">
      <c r="A739" s="10">
        <f>IF($E739="","",INDEX('Input Transaksi'!$A:$A,$E739))</f>
        <v/>
      </c>
      <c r="B739" s="5">
        <f>IF($E739="","",INDEX('Input Transaksi'!$D:$D,$E739))</f>
        <v/>
      </c>
      <c r="C739">
        <f>IF($E739="","",INDEX('Input Transaksi'!$E:$E,$E739))</f>
        <v/>
      </c>
      <c r="D739" s="5">
        <f>IF($E739="","",INDEX('Input Transaksi'!$F:$F,$E739))</f>
        <v/>
      </c>
      <c r="E739">
        <f>IFERROR(AGGREGATE(15,6,ROW('Input Transaksi'!$B$5:$B$5000)/('Input Transaksi'!$B$5:$B$5000="LONDRI DEWE"),ROWS($E$5:E739)),"")</f>
        <v/>
      </c>
      <c r="F739" s="5" t="n"/>
    </row>
    <row r="740">
      <c r="A740" s="10">
        <f>IF($E740="","",INDEX('Input Transaksi'!$A:$A,$E740))</f>
        <v/>
      </c>
      <c r="B740" s="5">
        <f>IF($E740="","",INDEX('Input Transaksi'!$D:$D,$E740))</f>
        <v/>
      </c>
      <c r="C740">
        <f>IF($E740="","",INDEX('Input Transaksi'!$E:$E,$E740))</f>
        <v/>
      </c>
      <c r="D740" s="5">
        <f>IF($E740="","",INDEX('Input Transaksi'!$F:$F,$E740))</f>
        <v/>
      </c>
      <c r="E740">
        <f>IFERROR(AGGREGATE(15,6,ROW('Input Transaksi'!$B$5:$B$5000)/('Input Transaksi'!$B$5:$B$5000="LONDRI DEWE"),ROWS($E$5:E740)),"")</f>
        <v/>
      </c>
      <c r="F740" s="5" t="n"/>
    </row>
    <row r="741">
      <c r="A741" s="10">
        <f>IF($E741="","",INDEX('Input Transaksi'!$A:$A,$E741))</f>
        <v/>
      </c>
      <c r="B741" s="5">
        <f>IF($E741="","",INDEX('Input Transaksi'!$D:$D,$E741))</f>
        <v/>
      </c>
      <c r="C741">
        <f>IF($E741="","",INDEX('Input Transaksi'!$E:$E,$E741))</f>
        <v/>
      </c>
      <c r="D741" s="5">
        <f>IF($E741="","",INDEX('Input Transaksi'!$F:$F,$E741))</f>
        <v/>
      </c>
      <c r="E741">
        <f>IFERROR(AGGREGATE(15,6,ROW('Input Transaksi'!$B$5:$B$5000)/('Input Transaksi'!$B$5:$B$5000="LONDRI DEWE"),ROWS($E$5:E741)),"")</f>
        <v/>
      </c>
      <c r="F741" s="5" t="n"/>
    </row>
    <row r="742">
      <c r="A742" s="10">
        <f>IF($E742="","",INDEX('Input Transaksi'!$A:$A,$E742))</f>
        <v/>
      </c>
      <c r="B742" s="5">
        <f>IF($E742="","",INDEX('Input Transaksi'!$D:$D,$E742))</f>
        <v/>
      </c>
      <c r="C742">
        <f>IF($E742="","",INDEX('Input Transaksi'!$E:$E,$E742))</f>
        <v/>
      </c>
      <c r="D742" s="5">
        <f>IF($E742="","",INDEX('Input Transaksi'!$F:$F,$E742))</f>
        <v/>
      </c>
      <c r="E742">
        <f>IFERROR(AGGREGATE(15,6,ROW('Input Transaksi'!$B$5:$B$5000)/('Input Transaksi'!$B$5:$B$5000="LONDRI DEWE"),ROWS($E$5:E742)),"")</f>
        <v/>
      </c>
      <c r="F742" s="5" t="n"/>
    </row>
    <row r="743">
      <c r="A743" s="10">
        <f>IF($E743="","",INDEX('Input Transaksi'!$A:$A,$E743))</f>
        <v/>
      </c>
      <c r="B743" s="5">
        <f>IF($E743="","",INDEX('Input Transaksi'!$D:$D,$E743))</f>
        <v/>
      </c>
      <c r="C743">
        <f>IF($E743="","",INDEX('Input Transaksi'!$E:$E,$E743))</f>
        <v/>
      </c>
      <c r="D743" s="5">
        <f>IF($E743="","",INDEX('Input Transaksi'!$F:$F,$E743))</f>
        <v/>
      </c>
      <c r="E743">
        <f>IFERROR(AGGREGATE(15,6,ROW('Input Transaksi'!$B$5:$B$5000)/('Input Transaksi'!$B$5:$B$5000="LONDRI DEWE"),ROWS($E$5:E743)),"")</f>
        <v/>
      </c>
      <c r="F743" s="5" t="n"/>
    </row>
    <row r="744">
      <c r="A744" s="10">
        <f>IF($E744="","",INDEX('Input Transaksi'!$A:$A,$E744))</f>
        <v/>
      </c>
      <c r="B744" s="5">
        <f>IF($E744="","",INDEX('Input Transaksi'!$D:$D,$E744))</f>
        <v/>
      </c>
      <c r="C744">
        <f>IF($E744="","",INDEX('Input Transaksi'!$E:$E,$E744))</f>
        <v/>
      </c>
      <c r="D744" s="5">
        <f>IF($E744="","",INDEX('Input Transaksi'!$F:$F,$E744))</f>
        <v/>
      </c>
      <c r="E744">
        <f>IFERROR(AGGREGATE(15,6,ROW('Input Transaksi'!$B$5:$B$5000)/('Input Transaksi'!$B$5:$B$5000="LONDRI DEWE"),ROWS($E$5:E744)),"")</f>
        <v/>
      </c>
      <c r="F744" s="5" t="n"/>
    </row>
    <row r="745">
      <c r="A745" s="10">
        <f>IF($E745="","",INDEX('Input Transaksi'!$A:$A,$E745))</f>
        <v/>
      </c>
      <c r="B745" s="5">
        <f>IF($E745="","",INDEX('Input Transaksi'!$D:$D,$E745))</f>
        <v/>
      </c>
      <c r="C745">
        <f>IF($E745="","",INDEX('Input Transaksi'!$E:$E,$E745))</f>
        <v/>
      </c>
      <c r="D745" s="5">
        <f>IF($E745="","",INDEX('Input Transaksi'!$F:$F,$E745))</f>
        <v/>
      </c>
      <c r="E745">
        <f>IFERROR(AGGREGATE(15,6,ROW('Input Transaksi'!$B$5:$B$5000)/('Input Transaksi'!$B$5:$B$5000="LONDRI DEWE"),ROWS($E$5:E745)),"")</f>
        <v/>
      </c>
      <c r="F745" s="5" t="n"/>
    </row>
    <row r="746">
      <c r="A746" s="10">
        <f>IF($E746="","",INDEX('Input Transaksi'!$A:$A,$E746))</f>
        <v/>
      </c>
      <c r="B746" s="5">
        <f>IF($E746="","",INDEX('Input Transaksi'!$D:$D,$E746))</f>
        <v/>
      </c>
      <c r="C746">
        <f>IF($E746="","",INDEX('Input Transaksi'!$E:$E,$E746))</f>
        <v/>
      </c>
      <c r="D746" s="5">
        <f>IF($E746="","",INDEX('Input Transaksi'!$F:$F,$E746))</f>
        <v/>
      </c>
      <c r="E746">
        <f>IFERROR(AGGREGATE(15,6,ROW('Input Transaksi'!$B$5:$B$5000)/('Input Transaksi'!$B$5:$B$5000="LONDRI DEWE"),ROWS($E$5:E746)),"")</f>
        <v/>
      </c>
      <c r="F746" s="5" t="n"/>
    </row>
    <row r="747">
      <c r="A747" s="10">
        <f>IF($E747="","",INDEX('Input Transaksi'!$A:$A,$E747))</f>
        <v/>
      </c>
      <c r="B747" s="5">
        <f>IF($E747="","",INDEX('Input Transaksi'!$D:$D,$E747))</f>
        <v/>
      </c>
      <c r="C747">
        <f>IF($E747="","",INDEX('Input Transaksi'!$E:$E,$E747))</f>
        <v/>
      </c>
      <c r="D747" s="5">
        <f>IF($E747="","",INDEX('Input Transaksi'!$F:$F,$E747))</f>
        <v/>
      </c>
      <c r="E747">
        <f>IFERROR(AGGREGATE(15,6,ROW('Input Transaksi'!$B$5:$B$5000)/('Input Transaksi'!$B$5:$B$5000="LONDRI DEWE"),ROWS($E$5:E747)),"")</f>
        <v/>
      </c>
      <c r="F747" s="5" t="n"/>
    </row>
    <row r="748">
      <c r="A748" s="10">
        <f>IF($E748="","",INDEX('Input Transaksi'!$A:$A,$E748))</f>
        <v/>
      </c>
      <c r="B748" s="5">
        <f>IF($E748="","",INDEX('Input Transaksi'!$D:$D,$E748))</f>
        <v/>
      </c>
      <c r="C748">
        <f>IF($E748="","",INDEX('Input Transaksi'!$E:$E,$E748))</f>
        <v/>
      </c>
      <c r="D748" s="5">
        <f>IF($E748="","",INDEX('Input Transaksi'!$F:$F,$E748))</f>
        <v/>
      </c>
      <c r="E748">
        <f>IFERROR(AGGREGATE(15,6,ROW('Input Transaksi'!$B$5:$B$5000)/('Input Transaksi'!$B$5:$B$5000="LONDRI DEWE"),ROWS($E$5:E748)),"")</f>
        <v/>
      </c>
      <c r="F748" s="5" t="n"/>
    </row>
    <row r="749">
      <c r="A749" s="10">
        <f>IF($E749="","",INDEX('Input Transaksi'!$A:$A,$E749))</f>
        <v/>
      </c>
      <c r="B749" s="5">
        <f>IF($E749="","",INDEX('Input Transaksi'!$D:$D,$E749))</f>
        <v/>
      </c>
      <c r="C749">
        <f>IF($E749="","",INDEX('Input Transaksi'!$E:$E,$E749))</f>
        <v/>
      </c>
      <c r="D749" s="5">
        <f>IF($E749="","",INDEX('Input Transaksi'!$F:$F,$E749))</f>
        <v/>
      </c>
      <c r="E749">
        <f>IFERROR(AGGREGATE(15,6,ROW('Input Transaksi'!$B$5:$B$5000)/('Input Transaksi'!$B$5:$B$5000="LONDRI DEWE"),ROWS($E$5:E749)),"")</f>
        <v/>
      </c>
      <c r="F749" s="5" t="n"/>
    </row>
    <row r="750">
      <c r="A750" s="10">
        <f>IF($E750="","",INDEX('Input Transaksi'!$A:$A,$E750))</f>
        <v/>
      </c>
      <c r="B750" s="5">
        <f>IF($E750="","",INDEX('Input Transaksi'!$D:$D,$E750))</f>
        <v/>
      </c>
      <c r="C750">
        <f>IF($E750="","",INDEX('Input Transaksi'!$E:$E,$E750))</f>
        <v/>
      </c>
      <c r="D750" s="5">
        <f>IF($E750="","",INDEX('Input Transaksi'!$F:$F,$E750))</f>
        <v/>
      </c>
      <c r="E750">
        <f>IFERROR(AGGREGATE(15,6,ROW('Input Transaksi'!$B$5:$B$5000)/('Input Transaksi'!$B$5:$B$5000="LONDRI DEWE"),ROWS($E$5:E750)),"")</f>
        <v/>
      </c>
      <c r="F750" s="5" t="n"/>
    </row>
    <row r="751">
      <c r="A751" s="10">
        <f>IF($E751="","",INDEX('Input Transaksi'!$A:$A,$E751))</f>
        <v/>
      </c>
      <c r="B751" s="5">
        <f>IF($E751="","",INDEX('Input Transaksi'!$D:$D,$E751))</f>
        <v/>
      </c>
      <c r="C751">
        <f>IF($E751="","",INDEX('Input Transaksi'!$E:$E,$E751))</f>
        <v/>
      </c>
      <c r="D751" s="5">
        <f>IF($E751="","",INDEX('Input Transaksi'!$F:$F,$E751))</f>
        <v/>
      </c>
      <c r="E751">
        <f>IFERROR(AGGREGATE(15,6,ROW('Input Transaksi'!$B$5:$B$5000)/('Input Transaksi'!$B$5:$B$5000="LONDRI DEWE"),ROWS($E$5:E751)),"")</f>
        <v/>
      </c>
      <c r="F751" s="5" t="n"/>
    </row>
    <row r="752">
      <c r="A752" s="10">
        <f>IF($E752="","",INDEX('Input Transaksi'!$A:$A,$E752))</f>
        <v/>
      </c>
      <c r="B752" s="5">
        <f>IF($E752="","",INDEX('Input Transaksi'!$D:$D,$E752))</f>
        <v/>
      </c>
      <c r="C752">
        <f>IF($E752="","",INDEX('Input Transaksi'!$E:$E,$E752))</f>
        <v/>
      </c>
      <c r="D752" s="5">
        <f>IF($E752="","",INDEX('Input Transaksi'!$F:$F,$E752))</f>
        <v/>
      </c>
      <c r="E752">
        <f>IFERROR(AGGREGATE(15,6,ROW('Input Transaksi'!$B$5:$B$5000)/('Input Transaksi'!$B$5:$B$5000="LONDRI DEWE"),ROWS($E$5:E752)),"")</f>
        <v/>
      </c>
      <c r="F752" s="5" t="n"/>
    </row>
    <row r="753">
      <c r="A753" s="10">
        <f>IF($E753="","",INDEX('Input Transaksi'!$A:$A,$E753))</f>
        <v/>
      </c>
      <c r="B753" s="5">
        <f>IF($E753="","",INDEX('Input Transaksi'!$D:$D,$E753))</f>
        <v/>
      </c>
      <c r="C753">
        <f>IF($E753="","",INDEX('Input Transaksi'!$E:$E,$E753))</f>
        <v/>
      </c>
      <c r="D753" s="5">
        <f>IF($E753="","",INDEX('Input Transaksi'!$F:$F,$E753))</f>
        <v/>
      </c>
      <c r="E753">
        <f>IFERROR(AGGREGATE(15,6,ROW('Input Transaksi'!$B$5:$B$5000)/('Input Transaksi'!$B$5:$B$5000="LONDRI DEWE"),ROWS($E$5:E753)),"")</f>
        <v/>
      </c>
      <c r="F753" s="5" t="n"/>
    </row>
    <row r="754">
      <c r="A754" s="10">
        <f>IF($E754="","",INDEX('Input Transaksi'!$A:$A,$E754))</f>
        <v/>
      </c>
      <c r="B754" s="5">
        <f>IF($E754="","",INDEX('Input Transaksi'!$D:$D,$E754))</f>
        <v/>
      </c>
      <c r="C754">
        <f>IF($E754="","",INDEX('Input Transaksi'!$E:$E,$E754))</f>
        <v/>
      </c>
      <c r="D754" s="5">
        <f>IF($E754="","",INDEX('Input Transaksi'!$F:$F,$E754))</f>
        <v/>
      </c>
      <c r="E754">
        <f>IFERROR(AGGREGATE(15,6,ROW('Input Transaksi'!$B$5:$B$5000)/('Input Transaksi'!$B$5:$B$5000="LONDRI DEWE"),ROWS($E$5:E754)),"")</f>
        <v/>
      </c>
      <c r="F754" s="5" t="n"/>
    </row>
    <row r="755">
      <c r="A755" s="10">
        <f>IF($E755="","",INDEX('Input Transaksi'!$A:$A,$E755))</f>
        <v/>
      </c>
      <c r="B755" s="5">
        <f>IF($E755="","",INDEX('Input Transaksi'!$D:$D,$E755))</f>
        <v/>
      </c>
      <c r="C755">
        <f>IF($E755="","",INDEX('Input Transaksi'!$E:$E,$E755))</f>
        <v/>
      </c>
      <c r="D755" s="5">
        <f>IF($E755="","",INDEX('Input Transaksi'!$F:$F,$E755))</f>
        <v/>
      </c>
      <c r="E755">
        <f>IFERROR(AGGREGATE(15,6,ROW('Input Transaksi'!$B$5:$B$5000)/('Input Transaksi'!$B$5:$B$5000="LONDRI DEWE"),ROWS($E$5:E755)),"")</f>
        <v/>
      </c>
      <c r="F755" s="5" t="n"/>
    </row>
    <row r="756">
      <c r="A756" s="10">
        <f>IF($E756="","",INDEX('Input Transaksi'!$A:$A,$E756))</f>
        <v/>
      </c>
      <c r="B756" s="5">
        <f>IF($E756="","",INDEX('Input Transaksi'!$D:$D,$E756))</f>
        <v/>
      </c>
      <c r="C756">
        <f>IF($E756="","",INDEX('Input Transaksi'!$E:$E,$E756))</f>
        <v/>
      </c>
      <c r="D756" s="5">
        <f>IF($E756="","",INDEX('Input Transaksi'!$F:$F,$E756))</f>
        <v/>
      </c>
      <c r="E756">
        <f>IFERROR(AGGREGATE(15,6,ROW('Input Transaksi'!$B$5:$B$5000)/('Input Transaksi'!$B$5:$B$5000="LONDRI DEWE"),ROWS($E$5:E756)),"")</f>
        <v/>
      </c>
      <c r="F756" s="5" t="n"/>
    </row>
    <row r="757">
      <c r="A757" s="10">
        <f>IF($E757="","",INDEX('Input Transaksi'!$A:$A,$E757))</f>
        <v/>
      </c>
      <c r="B757" s="5">
        <f>IF($E757="","",INDEX('Input Transaksi'!$D:$D,$E757))</f>
        <v/>
      </c>
      <c r="C757">
        <f>IF($E757="","",INDEX('Input Transaksi'!$E:$E,$E757))</f>
        <v/>
      </c>
      <c r="D757" s="5">
        <f>IF($E757="","",INDEX('Input Transaksi'!$F:$F,$E757))</f>
        <v/>
      </c>
      <c r="E757">
        <f>IFERROR(AGGREGATE(15,6,ROW('Input Transaksi'!$B$5:$B$5000)/('Input Transaksi'!$B$5:$B$5000="LONDRI DEWE"),ROWS($E$5:E757)),"")</f>
        <v/>
      </c>
      <c r="F757" s="5" t="n"/>
    </row>
    <row r="758">
      <c r="A758" s="10">
        <f>IF($E758="","",INDEX('Input Transaksi'!$A:$A,$E758))</f>
        <v/>
      </c>
      <c r="B758" s="5">
        <f>IF($E758="","",INDEX('Input Transaksi'!$D:$D,$E758))</f>
        <v/>
      </c>
      <c r="C758">
        <f>IF($E758="","",INDEX('Input Transaksi'!$E:$E,$E758))</f>
        <v/>
      </c>
      <c r="D758" s="5">
        <f>IF($E758="","",INDEX('Input Transaksi'!$F:$F,$E758))</f>
        <v/>
      </c>
      <c r="E758">
        <f>IFERROR(AGGREGATE(15,6,ROW('Input Transaksi'!$B$5:$B$5000)/('Input Transaksi'!$B$5:$B$5000="LONDRI DEWE"),ROWS($E$5:E758)),"")</f>
        <v/>
      </c>
      <c r="F758" s="5" t="n"/>
    </row>
    <row r="759">
      <c r="A759" s="10">
        <f>IF($E759="","",INDEX('Input Transaksi'!$A:$A,$E759))</f>
        <v/>
      </c>
      <c r="B759" s="5">
        <f>IF($E759="","",INDEX('Input Transaksi'!$D:$D,$E759))</f>
        <v/>
      </c>
      <c r="C759">
        <f>IF($E759="","",INDEX('Input Transaksi'!$E:$E,$E759))</f>
        <v/>
      </c>
      <c r="D759" s="5">
        <f>IF($E759="","",INDEX('Input Transaksi'!$F:$F,$E759))</f>
        <v/>
      </c>
      <c r="E759">
        <f>IFERROR(AGGREGATE(15,6,ROW('Input Transaksi'!$B$5:$B$5000)/('Input Transaksi'!$B$5:$B$5000="LONDRI DEWE"),ROWS($E$5:E759)),"")</f>
        <v/>
      </c>
      <c r="F759" s="5" t="n"/>
    </row>
    <row r="760">
      <c r="A760" s="10">
        <f>IF($E760="","",INDEX('Input Transaksi'!$A:$A,$E760))</f>
        <v/>
      </c>
      <c r="B760" s="5">
        <f>IF($E760="","",INDEX('Input Transaksi'!$D:$D,$E760))</f>
        <v/>
      </c>
      <c r="C760">
        <f>IF($E760="","",INDEX('Input Transaksi'!$E:$E,$E760))</f>
        <v/>
      </c>
      <c r="D760" s="5">
        <f>IF($E760="","",INDEX('Input Transaksi'!$F:$F,$E760))</f>
        <v/>
      </c>
      <c r="E760">
        <f>IFERROR(AGGREGATE(15,6,ROW('Input Transaksi'!$B$5:$B$5000)/('Input Transaksi'!$B$5:$B$5000="LONDRI DEWE"),ROWS($E$5:E760)),"")</f>
        <v/>
      </c>
      <c r="F760" s="5" t="n"/>
    </row>
    <row r="761">
      <c r="A761" s="10">
        <f>IF($E761="","",INDEX('Input Transaksi'!$A:$A,$E761))</f>
        <v/>
      </c>
      <c r="B761" s="5">
        <f>IF($E761="","",INDEX('Input Transaksi'!$D:$D,$E761))</f>
        <v/>
      </c>
      <c r="C761">
        <f>IF($E761="","",INDEX('Input Transaksi'!$E:$E,$E761))</f>
        <v/>
      </c>
      <c r="D761" s="5">
        <f>IF($E761="","",INDEX('Input Transaksi'!$F:$F,$E761))</f>
        <v/>
      </c>
      <c r="E761">
        <f>IFERROR(AGGREGATE(15,6,ROW('Input Transaksi'!$B$5:$B$5000)/('Input Transaksi'!$B$5:$B$5000="LONDRI DEWE"),ROWS($E$5:E761)),"")</f>
        <v/>
      </c>
      <c r="F761" s="5" t="n"/>
    </row>
    <row r="762">
      <c r="A762" s="10">
        <f>IF($E762="","",INDEX('Input Transaksi'!$A:$A,$E762))</f>
        <v/>
      </c>
      <c r="B762" s="5">
        <f>IF($E762="","",INDEX('Input Transaksi'!$D:$D,$E762))</f>
        <v/>
      </c>
      <c r="C762">
        <f>IF($E762="","",INDEX('Input Transaksi'!$E:$E,$E762))</f>
        <v/>
      </c>
      <c r="D762" s="5">
        <f>IF($E762="","",INDEX('Input Transaksi'!$F:$F,$E762))</f>
        <v/>
      </c>
      <c r="E762">
        <f>IFERROR(AGGREGATE(15,6,ROW('Input Transaksi'!$B$5:$B$5000)/('Input Transaksi'!$B$5:$B$5000="LONDRI DEWE"),ROWS($E$5:E762)),"")</f>
        <v/>
      </c>
      <c r="F762" s="5" t="n"/>
    </row>
    <row r="763">
      <c r="A763" s="10">
        <f>IF($E763="","",INDEX('Input Transaksi'!$A:$A,$E763))</f>
        <v/>
      </c>
      <c r="B763" s="5">
        <f>IF($E763="","",INDEX('Input Transaksi'!$D:$D,$E763))</f>
        <v/>
      </c>
      <c r="C763">
        <f>IF($E763="","",INDEX('Input Transaksi'!$E:$E,$E763))</f>
        <v/>
      </c>
      <c r="D763" s="5">
        <f>IF($E763="","",INDEX('Input Transaksi'!$F:$F,$E763))</f>
        <v/>
      </c>
      <c r="E763">
        <f>IFERROR(AGGREGATE(15,6,ROW('Input Transaksi'!$B$5:$B$5000)/('Input Transaksi'!$B$5:$B$5000="LONDRI DEWE"),ROWS($E$5:E763)),"")</f>
        <v/>
      </c>
      <c r="F763" s="5" t="n"/>
    </row>
    <row r="764">
      <c r="A764" s="10">
        <f>IF($E764="","",INDEX('Input Transaksi'!$A:$A,$E764))</f>
        <v/>
      </c>
      <c r="B764" s="5">
        <f>IF($E764="","",INDEX('Input Transaksi'!$D:$D,$E764))</f>
        <v/>
      </c>
      <c r="C764">
        <f>IF($E764="","",INDEX('Input Transaksi'!$E:$E,$E764))</f>
        <v/>
      </c>
      <c r="D764" s="5">
        <f>IF($E764="","",INDEX('Input Transaksi'!$F:$F,$E764))</f>
        <v/>
      </c>
      <c r="E764">
        <f>IFERROR(AGGREGATE(15,6,ROW('Input Transaksi'!$B$5:$B$5000)/('Input Transaksi'!$B$5:$B$5000="LONDRI DEWE"),ROWS($E$5:E764)),"")</f>
        <v/>
      </c>
      <c r="F764" s="5" t="n"/>
    </row>
    <row r="765">
      <c r="A765" s="10">
        <f>IF($E765="","",INDEX('Input Transaksi'!$A:$A,$E765))</f>
        <v/>
      </c>
      <c r="B765" s="5">
        <f>IF($E765="","",INDEX('Input Transaksi'!$D:$D,$E765))</f>
        <v/>
      </c>
      <c r="C765">
        <f>IF($E765="","",INDEX('Input Transaksi'!$E:$E,$E765))</f>
        <v/>
      </c>
      <c r="D765" s="5">
        <f>IF($E765="","",INDEX('Input Transaksi'!$F:$F,$E765))</f>
        <v/>
      </c>
      <c r="E765">
        <f>IFERROR(AGGREGATE(15,6,ROW('Input Transaksi'!$B$5:$B$5000)/('Input Transaksi'!$B$5:$B$5000="LONDRI DEWE"),ROWS($E$5:E765)),"")</f>
        <v/>
      </c>
      <c r="F765" s="5" t="n"/>
    </row>
    <row r="766">
      <c r="A766" s="10">
        <f>IF($E766="","",INDEX('Input Transaksi'!$A:$A,$E766))</f>
        <v/>
      </c>
      <c r="B766" s="5">
        <f>IF($E766="","",INDEX('Input Transaksi'!$D:$D,$E766))</f>
        <v/>
      </c>
      <c r="C766">
        <f>IF($E766="","",INDEX('Input Transaksi'!$E:$E,$E766))</f>
        <v/>
      </c>
      <c r="D766" s="5">
        <f>IF($E766="","",INDEX('Input Transaksi'!$F:$F,$E766))</f>
        <v/>
      </c>
      <c r="E766">
        <f>IFERROR(AGGREGATE(15,6,ROW('Input Transaksi'!$B$5:$B$5000)/('Input Transaksi'!$B$5:$B$5000="LONDRI DEWE"),ROWS($E$5:E766)),"")</f>
        <v/>
      </c>
      <c r="F766" s="5" t="n"/>
    </row>
    <row r="767">
      <c r="A767" s="10">
        <f>IF($E767="","",INDEX('Input Transaksi'!$A:$A,$E767))</f>
        <v/>
      </c>
      <c r="B767" s="5">
        <f>IF($E767="","",INDEX('Input Transaksi'!$D:$D,$E767))</f>
        <v/>
      </c>
      <c r="C767">
        <f>IF($E767="","",INDEX('Input Transaksi'!$E:$E,$E767))</f>
        <v/>
      </c>
      <c r="D767" s="5">
        <f>IF($E767="","",INDEX('Input Transaksi'!$F:$F,$E767))</f>
        <v/>
      </c>
      <c r="E767">
        <f>IFERROR(AGGREGATE(15,6,ROW('Input Transaksi'!$B$5:$B$5000)/('Input Transaksi'!$B$5:$B$5000="LONDRI DEWE"),ROWS($E$5:E767)),"")</f>
        <v/>
      </c>
      <c r="F767" s="5" t="n"/>
    </row>
    <row r="768">
      <c r="A768" s="10">
        <f>IF($E768="","",INDEX('Input Transaksi'!$A:$A,$E768))</f>
        <v/>
      </c>
      <c r="B768" s="5">
        <f>IF($E768="","",INDEX('Input Transaksi'!$D:$D,$E768))</f>
        <v/>
      </c>
      <c r="C768">
        <f>IF($E768="","",INDEX('Input Transaksi'!$E:$E,$E768))</f>
        <v/>
      </c>
      <c r="D768" s="5">
        <f>IF($E768="","",INDEX('Input Transaksi'!$F:$F,$E768))</f>
        <v/>
      </c>
      <c r="E768">
        <f>IFERROR(AGGREGATE(15,6,ROW('Input Transaksi'!$B$5:$B$5000)/('Input Transaksi'!$B$5:$B$5000="LONDRI DEWE"),ROWS($E$5:E768)),"")</f>
        <v/>
      </c>
      <c r="F768" s="5" t="n"/>
    </row>
    <row r="769">
      <c r="A769" s="10">
        <f>IF($E769="","",INDEX('Input Transaksi'!$A:$A,$E769))</f>
        <v/>
      </c>
      <c r="B769" s="5">
        <f>IF($E769="","",INDEX('Input Transaksi'!$D:$D,$E769))</f>
        <v/>
      </c>
      <c r="C769">
        <f>IF($E769="","",INDEX('Input Transaksi'!$E:$E,$E769))</f>
        <v/>
      </c>
      <c r="D769" s="5">
        <f>IF($E769="","",INDEX('Input Transaksi'!$F:$F,$E769))</f>
        <v/>
      </c>
      <c r="E769">
        <f>IFERROR(AGGREGATE(15,6,ROW('Input Transaksi'!$B$5:$B$5000)/('Input Transaksi'!$B$5:$B$5000="LONDRI DEWE"),ROWS($E$5:E769)),"")</f>
        <v/>
      </c>
      <c r="F769" s="5" t="n"/>
    </row>
    <row r="770">
      <c r="A770" s="10">
        <f>IF($E770="","",INDEX('Input Transaksi'!$A:$A,$E770))</f>
        <v/>
      </c>
      <c r="B770" s="5">
        <f>IF($E770="","",INDEX('Input Transaksi'!$D:$D,$E770))</f>
        <v/>
      </c>
      <c r="C770">
        <f>IF($E770="","",INDEX('Input Transaksi'!$E:$E,$E770))</f>
        <v/>
      </c>
      <c r="D770" s="5">
        <f>IF($E770="","",INDEX('Input Transaksi'!$F:$F,$E770))</f>
        <v/>
      </c>
      <c r="E770">
        <f>IFERROR(AGGREGATE(15,6,ROW('Input Transaksi'!$B$5:$B$5000)/('Input Transaksi'!$B$5:$B$5000="LONDRI DEWE"),ROWS($E$5:E770)),"")</f>
        <v/>
      </c>
      <c r="F770" s="5" t="n"/>
    </row>
    <row r="771">
      <c r="A771" s="10">
        <f>IF($E771="","",INDEX('Input Transaksi'!$A:$A,$E771))</f>
        <v/>
      </c>
      <c r="B771" s="5">
        <f>IF($E771="","",INDEX('Input Transaksi'!$D:$D,$E771))</f>
        <v/>
      </c>
      <c r="C771">
        <f>IF($E771="","",INDEX('Input Transaksi'!$E:$E,$E771))</f>
        <v/>
      </c>
      <c r="D771" s="5">
        <f>IF($E771="","",INDEX('Input Transaksi'!$F:$F,$E771))</f>
        <v/>
      </c>
      <c r="E771">
        <f>IFERROR(AGGREGATE(15,6,ROW('Input Transaksi'!$B$5:$B$5000)/('Input Transaksi'!$B$5:$B$5000="LONDRI DEWE"),ROWS($E$5:E771)),"")</f>
        <v/>
      </c>
      <c r="F771" s="5" t="n"/>
    </row>
    <row r="772">
      <c r="A772" s="10">
        <f>IF($E772="","",INDEX('Input Transaksi'!$A:$A,$E772))</f>
        <v/>
      </c>
      <c r="B772" s="5">
        <f>IF($E772="","",INDEX('Input Transaksi'!$D:$D,$E772))</f>
        <v/>
      </c>
      <c r="C772">
        <f>IF($E772="","",INDEX('Input Transaksi'!$E:$E,$E772))</f>
        <v/>
      </c>
      <c r="D772" s="5">
        <f>IF($E772="","",INDEX('Input Transaksi'!$F:$F,$E772))</f>
        <v/>
      </c>
      <c r="E772">
        <f>IFERROR(AGGREGATE(15,6,ROW('Input Transaksi'!$B$5:$B$5000)/('Input Transaksi'!$B$5:$B$5000="LONDRI DEWE"),ROWS($E$5:E772)),"")</f>
        <v/>
      </c>
      <c r="F772" s="5" t="n"/>
    </row>
    <row r="773">
      <c r="A773" s="10">
        <f>IF($E773="","",INDEX('Input Transaksi'!$A:$A,$E773))</f>
        <v/>
      </c>
      <c r="B773" s="5">
        <f>IF($E773="","",INDEX('Input Transaksi'!$D:$D,$E773))</f>
        <v/>
      </c>
      <c r="C773">
        <f>IF($E773="","",INDEX('Input Transaksi'!$E:$E,$E773))</f>
        <v/>
      </c>
      <c r="D773" s="5">
        <f>IF($E773="","",INDEX('Input Transaksi'!$F:$F,$E773))</f>
        <v/>
      </c>
      <c r="E773">
        <f>IFERROR(AGGREGATE(15,6,ROW('Input Transaksi'!$B$5:$B$5000)/('Input Transaksi'!$B$5:$B$5000="LONDRI DEWE"),ROWS($E$5:E773)),"")</f>
        <v/>
      </c>
      <c r="F773" s="5" t="n"/>
    </row>
    <row r="774">
      <c r="A774" s="10">
        <f>IF($E774="","",INDEX('Input Transaksi'!$A:$A,$E774))</f>
        <v/>
      </c>
      <c r="B774" s="5">
        <f>IF($E774="","",INDEX('Input Transaksi'!$D:$D,$E774))</f>
        <v/>
      </c>
      <c r="C774">
        <f>IF($E774="","",INDEX('Input Transaksi'!$E:$E,$E774))</f>
        <v/>
      </c>
      <c r="D774" s="5">
        <f>IF($E774="","",INDEX('Input Transaksi'!$F:$F,$E774))</f>
        <v/>
      </c>
      <c r="E774">
        <f>IFERROR(AGGREGATE(15,6,ROW('Input Transaksi'!$B$5:$B$5000)/('Input Transaksi'!$B$5:$B$5000="LONDRI DEWE"),ROWS($E$5:E774)),"")</f>
        <v/>
      </c>
      <c r="F774" s="5" t="n"/>
    </row>
    <row r="775">
      <c r="A775" s="10">
        <f>IF($E775="","",INDEX('Input Transaksi'!$A:$A,$E775))</f>
        <v/>
      </c>
      <c r="B775" s="5">
        <f>IF($E775="","",INDEX('Input Transaksi'!$D:$D,$E775))</f>
        <v/>
      </c>
      <c r="C775">
        <f>IF($E775="","",INDEX('Input Transaksi'!$E:$E,$E775))</f>
        <v/>
      </c>
      <c r="D775" s="5">
        <f>IF($E775="","",INDEX('Input Transaksi'!$F:$F,$E775))</f>
        <v/>
      </c>
      <c r="E775">
        <f>IFERROR(AGGREGATE(15,6,ROW('Input Transaksi'!$B$5:$B$5000)/('Input Transaksi'!$B$5:$B$5000="LONDRI DEWE"),ROWS($E$5:E775)),"")</f>
        <v/>
      </c>
      <c r="F775" s="5" t="n"/>
    </row>
    <row r="776">
      <c r="A776" s="10">
        <f>IF($E776="","",INDEX('Input Transaksi'!$A:$A,$E776))</f>
        <v/>
      </c>
      <c r="B776" s="5">
        <f>IF($E776="","",INDEX('Input Transaksi'!$D:$D,$E776))</f>
        <v/>
      </c>
      <c r="C776">
        <f>IF($E776="","",INDEX('Input Transaksi'!$E:$E,$E776))</f>
        <v/>
      </c>
      <c r="D776" s="5">
        <f>IF($E776="","",INDEX('Input Transaksi'!$F:$F,$E776))</f>
        <v/>
      </c>
      <c r="E776">
        <f>IFERROR(AGGREGATE(15,6,ROW('Input Transaksi'!$B$5:$B$5000)/('Input Transaksi'!$B$5:$B$5000="LONDRI DEWE"),ROWS($E$5:E776)),"")</f>
        <v/>
      </c>
      <c r="F776" s="5" t="n"/>
    </row>
    <row r="777">
      <c r="A777" s="10">
        <f>IF($E777="","",INDEX('Input Transaksi'!$A:$A,$E777))</f>
        <v/>
      </c>
      <c r="B777" s="5">
        <f>IF($E777="","",INDEX('Input Transaksi'!$D:$D,$E777))</f>
        <v/>
      </c>
      <c r="C777">
        <f>IF($E777="","",INDEX('Input Transaksi'!$E:$E,$E777))</f>
        <v/>
      </c>
      <c r="D777" s="5">
        <f>IF($E777="","",INDEX('Input Transaksi'!$F:$F,$E777))</f>
        <v/>
      </c>
      <c r="E777">
        <f>IFERROR(AGGREGATE(15,6,ROW('Input Transaksi'!$B$5:$B$5000)/('Input Transaksi'!$B$5:$B$5000="LONDRI DEWE"),ROWS($E$5:E777)),"")</f>
        <v/>
      </c>
      <c r="F777" s="5" t="n"/>
    </row>
    <row r="778">
      <c r="A778" s="10">
        <f>IF($E778="","",INDEX('Input Transaksi'!$A:$A,$E778))</f>
        <v/>
      </c>
      <c r="B778" s="5">
        <f>IF($E778="","",INDEX('Input Transaksi'!$D:$D,$E778))</f>
        <v/>
      </c>
      <c r="C778">
        <f>IF($E778="","",INDEX('Input Transaksi'!$E:$E,$E778))</f>
        <v/>
      </c>
      <c r="D778" s="5">
        <f>IF($E778="","",INDEX('Input Transaksi'!$F:$F,$E778))</f>
        <v/>
      </c>
      <c r="E778">
        <f>IFERROR(AGGREGATE(15,6,ROW('Input Transaksi'!$B$5:$B$5000)/('Input Transaksi'!$B$5:$B$5000="LONDRI DEWE"),ROWS($E$5:E778)),"")</f>
        <v/>
      </c>
      <c r="F778" s="5" t="n"/>
    </row>
    <row r="779">
      <c r="A779" s="10">
        <f>IF($E779="","",INDEX('Input Transaksi'!$A:$A,$E779))</f>
        <v/>
      </c>
      <c r="B779" s="5">
        <f>IF($E779="","",INDEX('Input Transaksi'!$D:$D,$E779))</f>
        <v/>
      </c>
      <c r="C779">
        <f>IF($E779="","",INDEX('Input Transaksi'!$E:$E,$E779))</f>
        <v/>
      </c>
      <c r="D779" s="5">
        <f>IF($E779="","",INDEX('Input Transaksi'!$F:$F,$E779))</f>
        <v/>
      </c>
      <c r="E779">
        <f>IFERROR(AGGREGATE(15,6,ROW('Input Transaksi'!$B$5:$B$5000)/('Input Transaksi'!$B$5:$B$5000="LONDRI DEWE"),ROWS($E$5:E779)),"")</f>
        <v/>
      </c>
      <c r="F779" s="5" t="n"/>
    </row>
    <row r="780">
      <c r="A780" s="10">
        <f>IF($E780="","",INDEX('Input Transaksi'!$A:$A,$E780))</f>
        <v/>
      </c>
      <c r="B780" s="5">
        <f>IF($E780="","",INDEX('Input Transaksi'!$D:$D,$E780))</f>
        <v/>
      </c>
      <c r="C780">
        <f>IF($E780="","",INDEX('Input Transaksi'!$E:$E,$E780))</f>
        <v/>
      </c>
      <c r="D780" s="5">
        <f>IF($E780="","",INDEX('Input Transaksi'!$F:$F,$E780))</f>
        <v/>
      </c>
      <c r="E780">
        <f>IFERROR(AGGREGATE(15,6,ROW('Input Transaksi'!$B$5:$B$5000)/('Input Transaksi'!$B$5:$B$5000="LONDRI DEWE"),ROWS($E$5:E780)),"")</f>
        <v/>
      </c>
      <c r="F780" s="5" t="n"/>
    </row>
    <row r="781">
      <c r="A781" s="10">
        <f>IF($E781="","",INDEX('Input Transaksi'!$A:$A,$E781))</f>
        <v/>
      </c>
      <c r="B781" s="5">
        <f>IF($E781="","",INDEX('Input Transaksi'!$D:$D,$E781))</f>
        <v/>
      </c>
      <c r="C781">
        <f>IF($E781="","",INDEX('Input Transaksi'!$E:$E,$E781))</f>
        <v/>
      </c>
      <c r="D781" s="5">
        <f>IF($E781="","",INDEX('Input Transaksi'!$F:$F,$E781))</f>
        <v/>
      </c>
      <c r="E781">
        <f>IFERROR(AGGREGATE(15,6,ROW('Input Transaksi'!$B$5:$B$5000)/('Input Transaksi'!$B$5:$B$5000="LONDRI DEWE"),ROWS($E$5:E781)),"")</f>
        <v/>
      </c>
      <c r="F781" s="5" t="n"/>
    </row>
    <row r="782">
      <c r="A782" s="10">
        <f>IF($E782="","",INDEX('Input Transaksi'!$A:$A,$E782))</f>
        <v/>
      </c>
      <c r="B782" s="5">
        <f>IF($E782="","",INDEX('Input Transaksi'!$D:$D,$E782))</f>
        <v/>
      </c>
      <c r="C782">
        <f>IF($E782="","",INDEX('Input Transaksi'!$E:$E,$E782))</f>
        <v/>
      </c>
      <c r="D782" s="5">
        <f>IF($E782="","",INDEX('Input Transaksi'!$F:$F,$E782))</f>
        <v/>
      </c>
      <c r="E782">
        <f>IFERROR(AGGREGATE(15,6,ROW('Input Transaksi'!$B$5:$B$5000)/('Input Transaksi'!$B$5:$B$5000="LONDRI DEWE"),ROWS($E$5:E782)),"")</f>
        <v/>
      </c>
      <c r="F782" s="5" t="n"/>
    </row>
    <row r="783">
      <c r="A783" s="10">
        <f>IF($E783="","",INDEX('Input Transaksi'!$A:$A,$E783))</f>
        <v/>
      </c>
      <c r="B783" s="5">
        <f>IF($E783="","",INDEX('Input Transaksi'!$D:$D,$E783))</f>
        <v/>
      </c>
      <c r="C783">
        <f>IF($E783="","",INDEX('Input Transaksi'!$E:$E,$E783))</f>
        <v/>
      </c>
      <c r="D783" s="5">
        <f>IF($E783="","",INDEX('Input Transaksi'!$F:$F,$E783))</f>
        <v/>
      </c>
      <c r="E783">
        <f>IFERROR(AGGREGATE(15,6,ROW('Input Transaksi'!$B$5:$B$5000)/('Input Transaksi'!$B$5:$B$5000="LONDRI DEWE"),ROWS($E$5:E783)),"")</f>
        <v/>
      </c>
      <c r="F783" s="5" t="n"/>
    </row>
    <row r="784">
      <c r="A784" s="10">
        <f>IF($E784="","",INDEX('Input Transaksi'!$A:$A,$E784))</f>
        <v/>
      </c>
      <c r="B784" s="5">
        <f>IF($E784="","",INDEX('Input Transaksi'!$D:$D,$E784))</f>
        <v/>
      </c>
      <c r="C784">
        <f>IF($E784="","",INDEX('Input Transaksi'!$E:$E,$E784))</f>
        <v/>
      </c>
      <c r="D784" s="5">
        <f>IF($E784="","",INDEX('Input Transaksi'!$F:$F,$E784))</f>
        <v/>
      </c>
      <c r="E784">
        <f>IFERROR(AGGREGATE(15,6,ROW('Input Transaksi'!$B$5:$B$5000)/('Input Transaksi'!$B$5:$B$5000="LONDRI DEWE"),ROWS($E$5:E784)),"")</f>
        <v/>
      </c>
      <c r="F784" s="5" t="n"/>
    </row>
    <row r="785">
      <c r="A785" s="10">
        <f>IF($E785="","",INDEX('Input Transaksi'!$A:$A,$E785))</f>
        <v/>
      </c>
      <c r="B785" s="5">
        <f>IF($E785="","",INDEX('Input Transaksi'!$D:$D,$E785))</f>
        <v/>
      </c>
      <c r="C785">
        <f>IF($E785="","",INDEX('Input Transaksi'!$E:$E,$E785))</f>
        <v/>
      </c>
      <c r="D785" s="5">
        <f>IF($E785="","",INDEX('Input Transaksi'!$F:$F,$E785))</f>
        <v/>
      </c>
      <c r="E785">
        <f>IFERROR(AGGREGATE(15,6,ROW('Input Transaksi'!$B$5:$B$5000)/('Input Transaksi'!$B$5:$B$5000="LONDRI DEWE"),ROWS($E$5:E785)),"")</f>
        <v/>
      </c>
      <c r="F785" s="5" t="n"/>
    </row>
    <row r="786">
      <c r="A786" s="10">
        <f>IF($E786="","",INDEX('Input Transaksi'!$A:$A,$E786))</f>
        <v/>
      </c>
      <c r="B786" s="5">
        <f>IF($E786="","",INDEX('Input Transaksi'!$D:$D,$E786))</f>
        <v/>
      </c>
      <c r="C786">
        <f>IF($E786="","",INDEX('Input Transaksi'!$E:$E,$E786))</f>
        <v/>
      </c>
      <c r="D786" s="5">
        <f>IF($E786="","",INDEX('Input Transaksi'!$F:$F,$E786))</f>
        <v/>
      </c>
      <c r="E786">
        <f>IFERROR(AGGREGATE(15,6,ROW('Input Transaksi'!$B$5:$B$5000)/('Input Transaksi'!$B$5:$B$5000="LONDRI DEWE"),ROWS($E$5:E786)),"")</f>
        <v/>
      </c>
      <c r="F786" s="5" t="n"/>
    </row>
    <row r="787">
      <c r="A787" s="10">
        <f>IF($E787="","",INDEX('Input Transaksi'!$A:$A,$E787))</f>
        <v/>
      </c>
      <c r="B787" s="5">
        <f>IF($E787="","",INDEX('Input Transaksi'!$D:$D,$E787))</f>
        <v/>
      </c>
      <c r="C787">
        <f>IF($E787="","",INDEX('Input Transaksi'!$E:$E,$E787))</f>
        <v/>
      </c>
      <c r="D787" s="5">
        <f>IF($E787="","",INDEX('Input Transaksi'!$F:$F,$E787))</f>
        <v/>
      </c>
      <c r="E787">
        <f>IFERROR(AGGREGATE(15,6,ROW('Input Transaksi'!$B$5:$B$5000)/('Input Transaksi'!$B$5:$B$5000="LONDRI DEWE"),ROWS($E$5:E787)),"")</f>
        <v/>
      </c>
      <c r="F787" s="5" t="n"/>
    </row>
    <row r="788">
      <c r="A788" s="10">
        <f>IF($E788="","",INDEX('Input Transaksi'!$A:$A,$E788))</f>
        <v/>
      </c>
      <c r="B788" s="5">
        <f>IF($E788="","",INDEX('Input Transaksi'!$D:$D,$E788))</f>
        <v/>
      </c>
      <c r="C788">
        <f>IF($E788="","",INDEX('Input Transaksi'!$E:$E,$E788))</f>
        <v/>
      </c>
      <c r="D788" s="5">
        <f>IF($E788="","",INDEX('Input Transaksi'!$F:$F,$E788))</f>
        <v/>
      </c>
      <c r="E788">
        <f>IFERROR(AGGREGATE(15,6,ROW('Input Transaksi'!$B$5:$B$5000)/('Input Transaksi'!$B$5:$B$5000="LONDRI DEWE"),ROWS($E$5:E788)),"")</f>
        <v/>
      </c>
      <c r="F788" s="5" t="n"/>
    </row>
    <row r="789">
      <c r="A789" s="10">
        <f>IF($E789="","",INDEX('Input Transaksi'!$A:$A,$E789))</f>
        <v/>
      </c>
      <c r="B789" s="5">
        <f>IF($E789="","",INDEX('Input Transaksi'!$D:$D,$E789))</f>
        <v/>
      </c>
      <c r="C789">
        <f>IF($E789="","",INDEX('Input Transaksi'!$E:$E,$E789))</f>
        <v/>
      </c>
      <c r="D789" s="5">
        <f>IF($E789="","",INDEX('Input Transaksi'!$F:$F,$E789))</f>
        <v/>
      </c>
      <c r="E789">
        <f>IFERROR(AGGREGATE(15,6,ROW('Input Transaksi'!$B$5:$B$5000)/('Input Transaksi'!$B$5:$B$5000="LONDRI DEWE"),ROWS($E$5:E789)),"")</f>
        <v/>
      </c>
      <c r="F789" s="5" t="n"/>
    </row>
    <row r="790">
      <c r="A790" s="10">
        <f>IF($E790="","",INDEX('Input Transaksi'!$A:$A,$E790))</f>
        <v/>
      </c>
      <c r="B790" s="5">
        <f>IF($E790="","",INDEX('Input Transaksi'!$D:$D,$E790))</f>
        <v/>
      </c>
      <c r="C790">
        <f>IF($E790="","",INDEX('Input Transaksi'!$E:$E,$E790))</f>
        <v/>
      </c>
      <c r="D790" s="5">
        <f>IF($E790="","",INDEX('Input Transaksi'!$F:$F,$E790))</f>
        <v/>
      </c>
      <c r="E790">
        <f>IFERROR(AGGREGATE(15,6,ROW('Input Transaksi'!$B$5:$B$5000)/('Input Transaksi'!$B$5:$B$5000="LONDRI DEWE"),ROWS($E$5:E790)),"")</f>
        <v/>
      </c>
      <c r="F790" s="5" t="n"/>
    </row>
    <row r="791">
      <c r="A791" s="10">
        <f>IF($E791="","",INDEX('Input Transaksi'!$A:$A,$E791))</f>
        <v/>
      </c>
      <c r="B791" s="5">
        <f>IF($E791="","",INDEX('Input Transaksi'!$D:$D,$E791))</f>
        <v/>
      </c>
      <c r="C791">
        <f>IF($E791="","",INDEX('Input Transaksi'!$E:$E,$E791))</f>
        <v/>
      </c>
      <c r="D791" s="5">
        <f>IF($E791="","",INDEX('Input Transaksi'!$F:$F,$E791))</f>
        <v/>
      </c>
      <c r="E791">
        <f>IFERROR(AGGREGATE(15,6,ROW('Input Transaksi'!$B$5:$B$5000)/('Input Transaksi'!$B$5:$B$5000="LONDRI DEWE"),ROWS($E$5:E791)),"")</f>
        <v/>
      </c>
      <c r="F791" s="5" t="n"/>
    </row>
    <row r="792">
      <c r="A792" s="10">
        <f>IF($E792="","",INDEX('Input Transaksi'!$A:$A,$E792))</f>
        <v/>
      </c>
      <c r="B792" s="5">
        <f>IF($E792="","",INDEX('Input Transaksi'!$D:$D,$E792))</f>
        <v/>
      </c>
      <c r="C792">
        <f>IF($E792="","",INDEX('Input Transaksi'!$E:$E,$E792))</f>
        <v/>
      </c>
      <c r="D792" s="5">
        <f>IF($E792="","",INDEX('Input Transaksi'!$F:$F,$E792))</f>
        <v/>
      </c>
      <c r="E792">
        <f>IFERROR(AGGREGATE(15,6,ROW('Input Transaksi'!$B$5:$B$5000)/('Input Transaksi'!$B$5:$B$5000="LONDRI DEWE"),ROWS($E$5:E792)),"")</f>
        <v/>
      </c>
      <c r="F792" s="5" t="n"/>
    </row>
    <row r="793">
      <c r="A793" s="10">
        <f>IF($E793="","",INDEX('Input Transaksi'!$A:$A,$E793))</f>
        <v/>
      </c>
      <c r="B793" s="5">
        <f>IF($E793="","",INDEX('Input Transaksi'!$D:$D,$E793))</f>
        <v/>
      </c>
      <c r="C793">
        <f>IF($E793="","",INDEX('Input Transaksi'!$E:$E,$E793))</f>
        <v/>
      </c>
      <c r="D793" s="5">
        <f>IF($E793="","",INDEX('Input Transaksi'!$F:$F,$E793))</f>
        <v/>
      </c>
      <c r="E793">
        <f>IFERROR(AGGREGATE(15,6,ROW('Input Transaksi'!$B$5:$B$5000)/('Input Transaksi'!$B$5:$B$5000="LONDRI DEWE"),ROWS($E$5:E793)),"")</f>
        <v/>
      </c>
      <c r="F793" s="5" t="n"/>
    </row>
    <row r="794">
      <c r="A794" s="10">
        <f>IF($E794="","",INDEX('Input Transaksi'!$A:$A,$E794))</f>
        <v/>
      </c>
      <c r="B794" s="5">
        <f>IF($E794="","",INDEX('Input Transaksi'!$D:$D,$E794))</f>
        <v/>
      </c>
      <c r="C794">
        <f>IF($E794="","",INDEX('Input Transaksi'!$E:$E,$E794))</f>
        <v/>
      </c>
      <c r="D794" s="5">
        <f>IF($E794="","",INDEX('Input Transaksi'!$F:$F,$E794))</f>
        <v/>
      </c>
      <c r="E794">
        <f>IFERROR(AGGREGATE(15,6,ROW('Input Transaksi'!$B$5:$B$5000)/('Input Transaksi'!$B$5:$B$5000="LONDRI DEWE"),ROWS($E$5:E794)),"")</f>
        <v/>
      </c>
      <c r="F794" s="5" t="n"/>
    </row>
    <row r="795">
      <c r="A795" s="10">
        <f>IF($E795="","",INDEX('Input Transaksi'!$A:$A,$E795))</f>
        <v/>
      </c>
      <c r="B795" s="5">
        <f>IF($E795="","",INDEX('Input Transaksi'!$D:$D,$E795))</f>
        <v/>
      </c>
      <c r="C795">
        <f>IF($E795="","",INDEX('Input Transaksi'!$E:$E,$E795))</f>
        <v/>
      </c>
      <c r="D795" s="5">
        <f>IF($E795="","",INDEX('Input Transaksi'!$F:$F,$E795))</f>
        <v/>
      </c>
      <c r="E795">
        <f>IFERROR(AGGREGATE(15,6,ROW('Input Transaksi'!$B$5:$B$5000)/('Input Transaksi'!$B$5:$B$5000="LONDRI DEWE"),ROWS($E$5:E795)),"")</f>
        <v/>
      </c>
      <c r="F795" s="5" t="n"/>
    </row>
    <row r="796">
      <c r="A796" s="10">
        <f>IF($E796="","",INDEX('Input Transaksi'!$A:$A,$E796))</f>
        <v/>
      </c>
      <c r="B796" s="5">
        <f>IF($E796="","",INDEX('Input Transaksi'!$D:$D,$E796))</f>
        <v/>
      </c>
      <c r="C796">
        <f>IF($E796="","",INDEX('Input Transaksi'!$E:$E,$E796))</f>
        <v/>
      </c>
      <c r="D796" s="5">
        <f>IF($E796="","",INDEX('Input Transaksi'!$F:$F,$E796))</f>
        <v/>
      </c>
      <c r="E796">
        <f>IFERROR(AGGREGATE(15,6,ROW('Input Transaksi'!$B$5:$B$5000)/('Input Transaksi'!$B$5:$B$5000="LONDRI DEWE"),ROWS($E$5:E796)),"")</f>
        <v/>
      </c>
      <c r="F796" s="5" t="n"/>
    </row>
    <row r="797">
      <c r="A797" s="10">
        <f>IF($E797="","",INDEX('Input Transaksi'!$A:$A,$E797))</f>
        <v/>
      </c>
      <c r="B797" s="5">
        <f>IF($E797="","",INDEX('Input Transaksi'!$D:$D,$E797))</f>
        <v/>
      </c>
      <c r="C797">
        <f>IF($E797="","",INDEX('Input Transaksi'!$E:$E,$E797))</f>
        <v/>
      </c>
      <c r="D797" s="5">
        <f>IF($E797="","",INDEX('Input Transaksi'!$F:$F,$E797))</f>
        <v/>
      </c>
      <c r="E797">
        <f>IFERROR(AGGREGATE(15,6,ROW('Input Transaksi'!$B$5:$B$5000)/('Input Transaksi'!$B$5:$B$5000="LONDRI DEWE"),ROWS($E$5:E797)),"")</f>
        <v/>
      </c>
      <c r="F797" s="5" t="n"/>
    </row>
    <row r="798">
      <c r="A798" s="10">
        <f>IF($E798="","",INDEX('Input Transaksi'!$A:$A,$E798))</f>
        <v/>
      </c>
      <c r="B798" s="5">
        <f>IF($E798="","",INDEX('Input Transaksi'!$D:$D,$E798))</f>
        <v/>
      </c>
      <c r="C798">
        <f>IF($E798="","",INDEX('Input Transaksi'!$E:$E,$E798))</f>
        <v/>
      </c>
      <c r="D798" s="5">
        <f>IF($E798="","",INDEX('Input Transaksi'!$F:$F,$E798))</f>
        <v/>
      </c>
      <c r="E798">
        <f>IFERROR(AGGREGATE(15,6,ROW('Input Transaksi'!$B$5:$B$5000)/('Input Transaksi'!$B$5:$B$5000="LONDRI DEWE"),ROWS($E$5:E798)),"")</f>
        <v/>
      </c>
      <c r="F798" s="5" t="n"/>
    </row>
    <row r="799">
      <c r="A799" s="10">
        <f>IF($E799="","",INDEX('Input Transaksi'!$A:$A,$E799))</f>
        <v/>
      </c>
      <c r="B799" s="5">
        <f>IF($E799="","",INDEX('Input Transaksi'!$D:$D,$E799))</f>
        <v/>
      </c>
      <c r="C799">
        <f>IF($E799="","",INDEX('Input Transaksi'!$E:$E,$E799))</f>
        <v/>
      </c>
      <c r="D799" s="5">
        <f>IF($E799="","",INDEX('Input Transaksi'!$F:$F,$E799))</f>
        <v/>
      </c>
      <c r="E799">
        <f>IFERROR(AGGREGATE(15,6,ROW('Input Transaksi'!$B$5:$B$5000)/('Input Transaksi'!$B$5:$B$5000="LONDRI DEWE"),ROWS($E$5:E799)),"")</f>
        <v/>
      </c>
      <c r="F799" s="5" t="n"/>
    </row>
    <row r="800">
      <c r="A800" s="10">
        <f>IF($E800="","",INDEX('Input Transaksi'!$A:$A,$E800))</f>
        <v/>
      </c>
      <c r="B800" s="5">
        <f>IF($E800="","",INDEX('Input Transaksi'!$D:$D,$E800))</f>
        <v/>
      </c>
      <c r="C800">
        <f>IF($E800="","",INDEX('Input Transaksi'!$E:$E,$E800))</f>
        <v/>
      </c>
      <c r="D800" s="5">
        <f>IF($E800="","",INDEX('Input Transaksi'!$F:$F,$E800))</f>
        <v/>
      </c>
      <c r="E800">
        <f>IFERROR(AGGREGATE(15,6,ROW('Input Transaksi'!$B$5:$B$5000)/('Input Transaksi'!$B$5:$B$5000="LONDRI DEWE"),ROWS($E$5:E800)),"")</f>
        <v/>
      </c>
      <c r="F800" s="5" t="n"/>
    </row>
    <row r="801">
      <c r="A801" s="10">
        <f>IF($E801="","",INDEX('Input Transaksi'!$A:$A,$E801))</f>
        <v/>
      </c>
      <c r="B801" s="5">
        <f>IF($E801="","",INDEX('Input Transaksi'!$D:$D,$E801))</f>
        <v/>
      </c>
      <c r="C801">
        <f>IF($E801="","",INDEX('Input Transaksi'!$E:$E,$E801))</f>
        <v/>
      </c>
      <c r="D801" s="5">
        <f>IF($E801="","",INDEX('Input Transaksi'!$F:$F,$E801))</f>
        <v/>
      </c>
      <c r="E801">
        <f>IFERROR(AGGREGATE(15,6,ROW('Input Transaksi'!$B$5:$B$5000)/('Input Transaksi'!$B$5:$B$5000="LONDRI DEWE"),ROWS($E$5:E801)),"")</f>
        <v/>
      </c>
      <c r="F801" s="5" t="n"/>
    </row>
    <row r="802">
      <c r="A802" s="10">
        <f>IF($E802="","",INDEX('Input Transaksi'!$A:$A,$E802))</f>
        <v/>
      </c>
      <c r="B802" s="5">
        <f>IF($E802="","",INDEX('Input Transaksi'!$D:$D,$E802))</f>
        <v/>
      </c>
      <c r="C802">
        <f>IF($E802="","",INDEX('Input Transaksi'!$E:$E,$E802))</f>
        <v/>
      </c>
      <c r="D802" s="5">
        <f>IF($E802="","",INDEX('Input Transaksi'!$F:$F,$E802))</f>
        <v/>
      </c>
      <c r="E802">
        <f>IFERROR(AGGREGATE(15,6,ROW('Input Transaksi'!$B$5:$B$5000)/('Input Transaksi'!$B$5:$B$5000="LONDRI DEWE"),ROWS($E$5:E802)),"")</f>
        <v/>
      </c>
      <c r="F802" s="5" t="n"/>
    </row>
    <row r="803">
      <c r="A803" s="10">
        <f>IF($E803="","",INDEX('Input Transaksi'!$A:$A,$E803))</f>
        <v/>
      </c>
      <c r="B803" s="5">
        <f>IF($E803="","",INDEX('Input Transaksi'!$D:$D,$E803))</f>
        <v/>
      </c>
      <c r="C803">
        <f>IF($E803="","",INDEX('Input Transaksi'!$E:$E,$E803))</f>
        <v/>
      </c>
      <c r="D803" s="5">
        <f>IF($E803="","",INDEX('Input Transaksi'!$F:$F,$E803))</f>
        <v/>
      </c>
      <c r="E803">
        <f>IFERROR(AGGREGATE(15,6,ROW('Input Transaksi'!$B$5:$B$5000)/('Input Transaksi'!$B$5:$B$5000="LONDRI DEWE"),ROWS($E$5:E803)),"")</f>
        <v/>
      </c>
      <c r="F803" s="5" t="n"/>
    </row>
    <row r="804">
      <c r="A804" s="10">
        <f>IF($E804="","",INDEX('Input Transaksi'!$A:$A,$E804))</f>
        <v/>
      </c>
      <c r="B804" s="5">
        <f>IF($E804="","",INDEX('Input Transaksi'!$D:$D,$E804))</f>
        <v/>
      </c>
      <c r="C804">
        <f>IF($E804="","",INDEX('Input Transaksi'!$E:$E,$E804))</f>
        <v/>
      </c>
      <c r="D804" s="5">
        <f>IF($E804="","",INDEX('Input Transaksi'!$F:$F,$E804))</f>
        <v/>
      </c>
      <c r="E804">
        <f>IFERROR(AGGREGATE(15,6,ROW('Input Transaksi'!$B$5:$B$5000)/('Input Transaksi'!$B$5:$B$5000="LONDRI DEWE"),ROWS($E$5:E804)),"")</f>
        <v/>
      </c>
      <c r="F804" s="5" t="n"/>
    </row>
    <row r="805">
      <c r="A805" s="10">
        <f>IF($E805="","",INDEX('Input Transaksi'!$A:$A,$E805))</f>
        <v/>
      </c>
      <c r="B805" s="5">
        <f>IF($E805="","",INDEX('Input Transaksi'!$D:$D,$E805))</f>
        <v/>
      </c>
      <c r="C805">
        <f>IF($E805="","",INDEX('Input Transaksi'!$E:$E,$E805))</f>
        <v/>
      </c>
      <c r="D805" s="5">
        <f>IF($E805="","",INDEX('Input Transaksi'!$F:$F,$E805))</f>
        <v/>
      </c>
      <c r="E805">
        <f>IFERROR(AGGREGATE(15,6,ROW('Input Transaksi'!$B$5:$B$5000)/('Input Transaksi'!$B$5:$B$5000="LONDRI DEWE"),ROWS($E$5:E805)),"")</f>
        <v/>
      </c>
      <c r="F805" s="5" t="n"/>
    </row>
    <row r="806">
      <c r="A806" s="10">
        <f>IF($E806="","",INDEX('Input Transaksi'!$A:$A,$E806))</f>
        <v/>
      </c>
      <c r="B806" s="5">
        <f>IF($E806="","",INDEX('Input Transaksi'!$D:$D,$E806))</f>
        <v/>
      </c>
      <c r="C806">
        <f>IF($E806="","",INDEX('Input Transaksi'!$E:$E,$E806))</f>
        <v/>
      </c>
      <c r="D806" s="5">
        <f>IF($E806="","",INDEX('Input Transaksi'!$F:$F,$E806))</f>
        <v/>
      </c>
      <c r="E806">
        <f>IFERROR(AGGREGATE(15,6,ROW('Input Transaksi'!$B$5:$B$5000)/('Input Transaksi'!$B$5:$B$5000="LONDRI DEWE"),ROWS($E$5:E806)),"")</f>
        <v/>
      </c>
      <c r="F806" s="5" t="n"/>
    </row>
    <row r="807">
      <c r="A807" s="10">
        <f>IF($E807="","",INDEX('Input Transaksi'!$A:$A,$E807))</f>
        <v/>
      </c>
      <c r="B807" s="5">
        <f>IF($E807="","",INDEX('Input Transaksi'!$D:$D,$E807))</f>
        <v/>
      </c>
      <c r="C807">
        <f>IF($E807="","",INDEX('Input Transaksi'!$E:$E,$E807))</f>
        <v/>
      </c>
      <c r="D807" s="5">
        <f>IF($E807="","",INDEX('Input Transaksi'!$F:$F,$E807))</f>
        <v/>
      </c>
      <c r="E807">
        <f>IFERROR(AGGREGATE(15,6,ROW('Input Transaksi'!$B$5:$B$5000)/('Input Transaksi'!$B$5:$B$5000="LONDRI DEWE"),ROWS($E$5:E807)),"")</f>
        <v/>
      </c>
      <c r="F807" s="5" t="n"/>
    </row>
    <row r="808">
      <c r="A808" s="10">
        <f>IF($E808="","",INDEX('Input Transaksi'!$A:$A,$E808))</f>
        <v/>
      </c>
      <c r="B808" s="5">
        <f>IF($E808="","",INDEX('Input Transaksi'!$D:$D,$E808))</f>
        <v/>
      </c>
      <c r="C808">
        <f>IF($E808="","",INDEX('Input Transaksi'!$E:$E,$E808))</f>
        <v/>
      </c>
      <c r="D808" s="5">
        <f>IF($E808="","",INDEX('Input Transaksi'!$F:$F,$E808))</f>
        <v/>
      </c>
      <c r="E808">
        <f>IFERROR(AGGREGATE(15,6,ROW('Input Transaksi'!$B$5:$B$5000)/('Input Transaksi'!$B$5:$B$5000="LONDRI DEWE"),ROWS($E$5:E808)),"")</f>
        <v/>
      </c>
      <c r="F808" s="5" t="n"/>
    </row>
    <row r="809">
      <c r="A809" s="10">
        <f>IF($E809="","",INDEX('Input Transaksi'!$A:$A,$E809))</f>
        <v/>
      </c>
      <c r="B809" s="5">
        <f>IF($E809="","",INDEX('Input Transaksi'!$D:$D,$E809))</f>
        <v/>
      </c>
      <c r="C809">
        <f>IF($E809="","",INDEX('Input Transaksi'!$E:$E,$E809))</f>
        <v/>
      </c>
      <c r="D809" s="5">
        <f>IF($E809="","",INDEX('Input Transaksi'!$F:$F,$E809))</f>
        <v/>
      </c>
      <c r="E809">
        <f>IFERROR(AGGREGATE(15,6,ROW('Input Transaksi'!$B$5:$B$5000)/('Input Transaksi'!$B$5:$B$5000="LONDRI DEWE"),ROWS($E$5:E809)),"")</f>
        <v/>
      </c>
      <c r="F809" s="5" t="n"/>
    </row>
    <row r="810">
      <c r="A810" s="10">
        <f>IF($E810="","",INDEX('Input Transaksi'!$A:$A,$E810))</f>
        <v/>
      </c>
      <c r="B810" s="5">
        <f>IF($E810="","",INDEX('Input Transaksi'!$D:$D,$E810))</f>
        <v/>
      </c>
      <c r="C810">
        <f>IF($E810="","",INDEX('Input Transaksi'!$E:$E,$E810))</f>
        <v/>
      </c>
      <c r="D810" s="5">
        <f>IF($E810="","",INDEX('Input Transaksi'!$F:$F,$E810))</f>
        <v/>
      </c>
      <c r="E810">
        <f>IFERROR(AGGREGATE(15,6,ROW('Input Transaksi'!$B$5:$B$5000)/('Input Transaksi'!$B$5:$B$5000="LONDRI DEWE"),ROWS($E$5:E810)),"")</f>
        <v/>
      </c>
      <c r="F810" s="5" t="n"/>
    </row>
    <row r="811">
      <c r="A811" s="10">
        <f>IF($E811="","",INDEX('Input Transaksi'!$A:$A,$E811))</f>
        <v/>
      </c>
      <c r="B811" s="5">
        <f>IF($E811="","",INDEX('Input Transaksi'!$D:$D,$E811))</f>
        <v/>
      </c>
      <c r="C811">
        <f>IF($E811="","",INDEX('Input Transaksi'!$E:$E,$E811))</f>
        <v/>
      </c>
      <c r="D811" s="5">
        <f>IF($E811="","",INDEX('Input Transaksi'!$F:$F,$E811))</f>
        <v/>
      </c>
      <c r="E811">
        <f>IFERROR(AGGREGATE(15,6,ROW('Input Transaksi'!$B$5:$B$5000)/('Input Transaksi'!$B$5:$B$5000="LONDRI DEWE"),ROWS($E$5:E811)),"")</f>
        <v/>
      </c>
      <c r="F811" s="5" t="n"/>
    </row>
    <row r="812">
      <c r="A812" s="10">
        <f>IF($E812="","",INDEX('Input Transaksi'!$A:$A,$E812))</f>
        <v/>
      </c>
      <c r="B812" s="5">
        <f>IF($E812="","",INDEX('Input Transaksi'!$D:$D,$E812))</f>
        <v/>
      </c>
      <c r="C812">
        <f>IF($E812="","",INDEX('Input Transaksi'!$E:$E,$E812))</f>
        <v/>
      </c>
      <c r="D812" s="5">
        <f>IF($E812="","",INDEX('Input Transaksi'!$F:$F,$E812))</f>
        <v/>
      </c>
      <c r="E812">
        <f>IFERROR(AGGREGATE(15,6,ROW('Input Transaksi'!$B$5:$B$5000)/('Input Transaksi'!$B$5:$B$5000="LONDRI DEWE"),ROWS($E$5:E812)),"")</f>
        <v/>
      </c>
      <c r="F812" s="5" t="n"/>
    </row>
    <row r="813">
      <c r="A813" s="10">
        <f>IF($E813="","",INDEX('Input Transaksi'!$A:$A,$E813))</f>
        <v/>
      </c>
      <c r="B813" s="5">
        <f>IF($E813="","",INDEX('Input Transaksi'!$D:$D,$E813))</f>
        <v/>
      </c>
      <c r="C813">
        <f>IF($E813="","",INDEX('Input Transaksi'!$E:$E,$E813))</f>
        <v/>
      </c>
      <c r="D813" s="5">
        <f>IF($E813="","",INDEX('Input Transaksi'!$F:$F,$E813))</f>
        <v/>
      </c>
      <c r="E813">
        <f>IFERROR(AGGREGATE(15,6,ROW('Input Transaksi'!$B$5:$B$5000)/('Input Transaksi'!$B$5:$B$5000="LONDRI DEWE"),ROWS($E$5:E813)),"")</f>
        <v/>
      </c>
      <c r="F813" s="5" t="n"/>
    </row>
    <row r="814">
      <c r="A814" s="10">
        <f>IF($E814="","",INDEX('Input Transaksi'!$A:$A,$E814))</f>
        <v/>
      </c>
      <c r="B814" s="5">
        <f>IF($E814="","",INDEX('Input Transaksi'!$D:$D,$E814))</f>
        <v/>
      </c>
      <c r="C814">
        <f>IF($E814="","",INDEX('Input Transaksi'!$E:$E,$E814))</f>
        <v/>
      </c>
      <c r="D814" s="5">
        <f>IF($E814="","",INDEX('Input Transaksi'!$F:$F,$E814))</f>
        <v/>
      </c>
      <c r="E814">
        <f>IFERROR(AGGREGATE(15,6,ROW('Input Transaksi'!$B$5:$B$5000)/('Input Transaksi'!$B$5:$B$5000="LONDRI DEWE"),ROWS($E$5:E814)),"")</f>
        <v/>
      </c>
      <c r="F814" s="5" t="n"/>
    </row>
    <row r="815">
      <c r="A815" s="10">
        <f>IF($E815="","",INDEX('Input Transaksi'!$A:$A,$E815))</f>
        <v/>
      </c>
      <c r="B815" s="5">
        <f>IF($E815="","",INDEX('Input Transaksi'!$D:$D,$E815))</f>
        <v/>
      </c>
      <c r="C815">
        <f>IF($E815="","",INDEX('Input Transaksi'!$E:$E,$E815))</f>
        <v/>
      </c>
      <c r="D815" s="5">
        <f>IF($E815="","",INDEX('Input Transaksi'!$F:$F,$E815))</f>
        <v/>
      </c>
      <c r="E815">
        <f>IFERROR(AGGREGATE(15,6,ROW('Input Transaksi'!$B$5:$B$5000)/('Input Transaksi'!$B$5:$B$5000="LONDRI DEWE"),ROWS($E$5:E815)),"")</f>
        <v/>
      </c>
      <c r="F815" s="5" t="n"/>
    </row>
    <row r="816">
      <c r="A816" s="10">
        <f>IF($E816="","",INDEX('Input Transaksi'!$A:$A,$E816))</f>
        <v/>
      </c>
      <c r="B816" s="5">
        <f>IF($E816="","",INDEX('Input Transaksi'!$D:$D,$E816))</f>
        <v/>
      </c>
      <c r="C816">
        <f>IF($E816="","",INDEX('Input Transaksi'!$E:$E,$E816))</f>
        <v/>
      </c>
      <c r="D816" s="5">
        <f>IF($E816="","",INDEX('Input Transaksi'!$F:$F,$E816))</f>
        <v/>
      </c>
      <c r="E816">
        <f>IFERROR(AGGREGATE(15,6,ROW('Input Transaksi'!$B$5:$B$5000)/('Input Transaksi'!$B$5:$B$5000="LONDRI DEWE"),ROWS($E$5:E816)),"")</f>
        <v/>
      </c>
      <c r="F816" s="5" t="n"/>
    </row>
    <row r="817">
      <c r="A817" s="10">
        <f>IF($E817="","",INDEX('Input Transaksi'!$A:$A,$E817))</f>
        <v/>
      </c>
      <c r="B817" s="5">
        <f>IF($E817="","",INDEX('Input Transaksi'!$D:$D,$E817))</f>
        <v/>
      </c>
      <c r="C817">
        <f>IF($E817="","",INDEX('Input Transaksi'!$E:$E,$E817))</f>
        <v/>
      </c>
      <c r="D817" s="5">
        <f>IF($E817="","",INDEX('Input Transaksi'!$F:$F,$E817))</f>
        <v/>
      </c>
      <c r="E817">
        <f>IFERROR(AGGREGATE(15,6,ROW('Input Transaksi'!$B$5:$B$5000)/('Input Transaksi'!$B$5:$B$5000="LONDRI DEWE"),ROWS($E$5:E817)),"")</f>
        <v/>
      </c>
      <c r="F817" s="5" t="n"/>
    </row>
    <row r="818">
      <c r="A818" s="10">
        <f>IF($E818="","",INDEX('Input Transaksi'!$A:$A,$E818))</f>
        <v/>
      </c>
      <c r="B818" s="5">
        <f>IF($E818="","",INDEX('Input Transaksi'!$D:$D,$E818))</f>
        <v/>
      </c>
      <c r="C818">
        <f>IF($E818="","",INDEX('Input Transaksi'!$E:$E,$E818))</f>
        <v/>
      </c>
      <c r="D818" s="5">
        <f>IF($E818="","",INDEX('Input Transaksi'!$F:$F,$E818))</f>
        <v/>
      </c>
      <c r="E818">
        <f>IFERROR(AGGREGATE(15,6,ROW('Input Transaksi'!$B$5:$B$5000)/('Input Transaksi'!$B$5:$B$5000="LONDRI DEWE"),ROWS($E$5:E818)),"")</f>
        <v/>
      </c>
      <c r="F818" s="5" t="n"/>
    </row>
    <row r="819">
      <c r="A819" s="10">
        <f>IF($E819="","",INDEX('Input Transaksi'!$A:$A,$E819))</f>
        <v/>
      </c>
      <c r="B819" s="5">
        <f>IF($E819="","",INDEX('Input Transaksi'!$D:$D,$E819))</f>
        <v/>
      </c>
      <c r="C819">
        <f>IF($E819="","",INDEX('Input Transaksi'!$E:$E,$E819))</f>
        <v/>
      </c>
      <c r="D819" s="5">
        <f>IF($E819="","",INDEX('Input Transaksi'!$F:$F,$E819))</f>
        <v/>
      </c>
      <c r="E819">
        <f>IFERROR(AGGREGATE(15,6,ROW('Input Transaksi'!$B$5:$B$5000)/('Input Transaksi'!$B$5:$B$5000="LONDRI DEWE"),ROWS($E$5:E819)),"")</f>
        <v/>
      </c>
      <c r="F819" s="5" t="n"/>
    </row>
    <row r="820">
      <c r="A820" s="10">
        <f>IF($E820="","",INDEX('Input Transaksi'!$A:$A,$E820))</f>
        <v/>
      </c>
      <c r="B820" s="5">
        <f>IF($E820="","",INDEX('Input Transaksi'!$D:$D,$E820))</f>
        <v/>
      </c>
      <c r="C820">
        <f>IF($E820="","",INDEX('Input Transaksi'!$E:$E,$E820))</f>
        <v/>
      </c>
      <c r="D820" s="5">
        <f>IF($E820="","",INDEX('Input Transaksi'!$F:$F,$E820))</f>
        <v/>
      </c>
      <c r="E820">
        <f>IFERROR(AGGREGATE(15,6,ROW('Input Transaksi'!$B$5:$B$5000)/('Input Transaksi'!$B$5:$B$5000="LONDRI DEWE"),ROWS($E$5:E820)),"")</f>
        <v/>
      </c>
      <c r="F820" s="5" t="n"/>
    </row>
    <row r="821">
      <c r="A821" s="10">
        <f>IF($E821="","",INDEX('Input Transaksi'!$A:$A,$E821))</f>
        <v/>
      </c>
      <c r="B821" s="5">
        <f>IF($E821="","",INDEX('Input Transaksi'!$D:$D,$E821))</f>
        <v/>
      </c>
      <c r="C821">
        <f>IF($E821="","",INDEX('Input Transaksi'!$E:$E,$E821))</f>
        <v/>
      </c>
      <c r="D821" s="5">
        <f>IF($E821="","",INDEX('Input Transaksi'!$F:$F,$E821))</f>
        <v/>
      </c>
      <c r="E821">
        <f>IFERROR(AGGREGATE(15,6,ROW('Input Transaksi'!$B$5:$B$5000)/('Input Transaksi'!$B$5:$B$5000="LONDRI DEWE"),ROWS($E$5:E821)),"")</f>
        <v/>
      </c>
      <c r="F821" s="5" t="n"/>
    </row>
    <row r="822">
      <c r="A822" s="10">
        <f>IF($E822="","",INDEX('Input Transaksi'!$A:$A,$E822))</f>
        <v/>
      </c>
      <c r="B822" s="5">
        <f>IF($E822="","",INDEX('Input Transaksi'!$D:$D,$E822))</f>
        <v/>
      </c>
      <c r="C822">
        <f>IF($E822="","",INDEX('Input Transaksi'!$E:$E,$E822))</f>
        <v/>
      </c>
      <c r="D822" s="5">
        <f>IF($E822="","",INDEX('Input Transaksi'!$F:$F,$E822))</f>
        <v/>
      </c>
      <c r="E822">
        <f>IFERROR(AGGREGATE(15,6,ROW('Input Transaksi'!$B$5:$B$5000)/('Input Transaksi'!$B$5:$B$5000="LONDRI DEWE"),ROWS($E$5:E822)),"")</f>
        <v/>
      </c>
      <c r="F822" s="5" t="n"/>
    </row>
    <row r="823">
      <c r="A823" s="10">
        <f>IF($E823="","",INDEX('Input Transaksi'!$A:$A,$E823))</f>
        <v/>
      </c>
      <c r="B823" s="5">
        <f>IF($E823="","",INDEX('Input Transaksi'!$D:$D,$E823))</f>
        <v/>
      </c>
      <c r="C823">
        <f>IF($E823="","",INDEX('Input Transaksi'!$E:$E,$E823))</f>
        <v/>
      </c>
      <c r="D823" s="5">
        <f>IF($E823="","",INDEX('Input Transaksi'!$F:$F,$E823))</f>
        <v/>
      </c>
      <c r="E823">
        <f>IFERROR(AGGREGATE(15,6,ROW('Input Transaksi'!$B$5:$B$5000)/('Input Transaksi'!$B$5:$B$5000="LONDRI DEWE"),ROWS($E$5:E823)),"")</f>
        <v/>
      </c>
      <c r="F823" s="5" t="n"/>
    </row>
    <row r="824">
      <c r="A824" s="10">
        <f>IF($E824="","",INDEX('Input Transaksi'!$A:$A,$E824))</f>
        <v/>
      </c>
      <c r="B824" s="5">
        <f>IF($E824="","",INDEX('Input Transaksi'!$D:$D,$E824))</f>
        <v/>
      </c>
      <c r="C824">
        <f>IF($E824="","",INDEX('Input Transaksi'!$E:$E,$E824))</f>
        <v/>
      </c>
      <c r="D824" s="5">
        <f>IF($E824="","",INDEX('Input Transaksi'!$F:$F,$E824))</f>
        <v/>
      </c>
      <c r="E824">
        <f>IFERROR(AGGREGATE(15,6,ROW('Input Transaksi'!$B$5:$B$5000)/('Input Transaksi'!$B$5:$B$5000="LONDRI DEWE"),ROWS($E$5:E824)),"")</f>
        <v/>
      </c>
      <c r="F824" s="5" t="n"/>
    </row>
    <row r="825">
      <c r="A825" s="10">
        <f>IF($E825="","",INDEX('Input Transaksi'!$A:$A,$E825))</f>
        <v/>
      </c>
      <c r="B825" s="5">
        <f>IF($E825="","",INDEX('Input Transaksi'!$D:$D,$E825))</f>
        <v/>
      </c>
      <c r="C825">
        <f>IF($E825="","",INDEX('Input Transaksi'!$E:$E,$E825))</f>
        <v/>
      </c>
      <c r="D825" s="5">
        <f>IF($E825="","",INDEX('Input Transaksi'!$F:$F,$E825))</f>
        <v/>
      </c>
      <c r="E825">
        <f>IFERROR(AGGREGATE(15,6,ROW('Input Transaksi'!$B$5:$B$5000)/('Input Transaksi'!$B$5:$B$5000="LONDRI DEWE"),ROWS($E$5:E825)),"")</f>
        <v/>
      </c>
      <c r="F825" s="5" t="n"/>
    </row>
    <row r="826">
      <c r="A826" s="10">
        <f>IF($E826="","",INDEX('Input Transaksi'!$A:$A,$E826))</f>
        <v/>
      </c>
      <c r="B826" s="5">
        <f>IF($E826="","",INDEX('Input Transaksi'!$D:$D,$E826))</f>
        <v/>
      </c>
      <c r="C826">
        <f>IF($E826="","",INDEX('Input Transaksi'!$E:$E,$E826))</f>
        <v/>
      </c>
      <c r="D826" s="5">
        <f>IF($E826="","",INDEX('Input Transaksi'!$F:$F,$E826))</f>
        <v/>
      </c>
      <c r="E826">
        <f>IFERROR(AGGREGATE(15,6,ROW('Input Transaksi'!$B$5:$B$5000)/('Input Transaksi'!$B$5:$B$5000="LONDRI DEWE"),ROWS($E$5:E826)),"")</f>
        <v/>
      </c>
      <c r="F826" s="5" t="n"/>
    </row>
    <row r="827">
      <c r="A827" s="10">
        <f>IF($E827="","",INDEX('Input Transaksi'!$A:$A,$E827))</f>
        <v/>
      </c>
      <c r="B827" s="5">
        <f>IF($E827="","",INDEX('Input Transaksi'!$D:$D,$E827))</f>
        <v/>
      </c>
      <c r="C827">
        <f>IF($E827="","",INDEX('Input Transaksi'!$E:$E,$E827))</f>
        <v/>
      </c>
      <c r="D827" s="5">
        <f>IF($E827="","",INDEX('Input Transaksi'!$F:$F,$E827))</f>
        <v/>
      </c>
      <c r="E827">
        <f>IFERROR(AGGREGATE(15,6,ROW('Input Transaksi'!$B$5:$B$5000)/('Input Transaksi'!$B$5:$B$5000="LONDRI DEWE"),ROWS($E$5:E827)),"")</f>
        <v/>
      </c>
      <c r="F827" s="5" t="n"/>
    </row>
    <row r="828">
      <c r="A828" s="10">
        <f>IF($E828="","",INDEX('Input Transaksi'!$A:$A,$E828))</f>
        <v/>
      </c>
      <c r="B828" s="5">
        <f>IF($E828="","",INDEX('Input Transaksi'!$D:$D,$E828))</f>
        <v/>
      </c>
      <c r="C828">
        <f>IF($E828="","",INDEX('Input Transaksi'!$E:$E,$E828))</f>
        <v/>
      </c>
      <c r="D828" s="5">
        <f>IF($E828="","",INDEX('Input Transaksi'!$F:$F,$E828))</f>
        <v/>
      </c>
      <c r="E828">
        <f>IFERROR(AGGREGATE(15,6,ROW('Input Transaksi'!$B$5:$B$5000)/('Input Transaksi'!$B$5:$B$5000="LONDRI DEWE"),ROWS($E$5:E828)),"")</f>
        <v/>
      </c>
      <c r="F828" s="5" t="n"/>
    </row>
    <row r="829">
      <c r="A829" s="10">
        <f>IF($E829="","",INDEX('Input Transaksi'!$A:$A,$E829))</f>
        <v/>
      </c>
      <c r="B829" s="5">
        <f>IF($E829="","",INDEX('Input Transaksi'!$D:$D,$E829))</f>
        <v/>
      </c>
      <c r="C829">
        <f>IF($E829="","",INDEX('Input Transaksi'!$E:$E,$E829))</f>
        <v/>
      </c>
      <c r="D829" s="5">
        <f>IF($E829="","",INDEX('Input Transaksi'!$F:$F,$E829))</f>
        <v/>
      </c>
      <c r="E829">
        <f>IFERROR(AGGREGATE(15,6,ROW('Input Transaksi'!$B$5:$B$5000)/('Input Transaksi'!$B$5:$B$5000="LONDRI DEWE"),ROWS($E$5:E829)),"")</f>
        <v/>
      </c>
      <c r="F829" s="5" t="n"/>
    </row>
    <row r="830">
      <c r="A830" s="10">
        <f>IF($E830="","",INDEX('Input Transaksi'!$A:$A,$E830))</f>
        <v/>
      </c>
      <c r="B830" s="5">
        <f>IF($E830="","",INDEX('Input Transaksi'!$D:$D,$E830))</f>
        <v/>
      </c>
      <c r="C830">
        <f>IF($E830="","",INDEX('Input Transaksi'!$E:$E,$E830))</f>
        <v/>
      </c>
      <c r="D830" s="5">
        <f>IF($E830="","",INDEX('Input Transaksi'!$F:$F,$E830))</f>
        <v/>
      </c>
      <c r="E830">
        <f>IFERROR(AGGREGATE(15,6,ROW('Input Transaksi'!$B$5:$B$5000)/('Input Transaksi'!$B$5:$B$5000="LONDRI DEWE"),ROWS($E$5:E830)),"")</f>
        <v/>
      </c>
      <c r="F830" s="5" t="n"/>
    </row>
    <row r="831">
      <c r="A831" s="10">
        <f>IF($E831="","",INDEX('Input Transaksi'!$A:$A,$E831))</f>
        <v/>
      </c>
      <c r="B831" s="5">
        <f>IF($E831="","",INDEX('Input Transaksi'!$D:$D,$E831))</f>
        <v/>
      </c>
      <c r="C831">
        <f>IF($E831="","",INDEX('Input Transaksi'!$E:$E,$E831))</f>
        <v/>
      </c>
      <c r="D831" s="5">
        <f>IF($E831="","",INDEX('Input Transaksi'!$F:$F,$E831))</f>
        <v/>
      </c>
      <c r="E831">
        <f>IFERROR(AGGREGATE(15,6,ROW('Input Transaksi'!$B$5:$B$5000)/('Input Transaksi'!$B$5:$B$5000="LONDRI DEWE"),ROWS($E$5:E831)),"")</f>
        <v/>
      </c>
      <c r="F831" s="5" t="n"/>
    </row>
    <row r="832">
      <c r="A832" s="10">
        <f>IF($E832="","",INDEX('Input Transaksi'!$A:$A,$E832))</f>
        <v/>
      </c>
      <c r="B832" s="5">
        <f>IF($E832="","",INDEX('Input Transaksi'!$D:$D,$E832))</f>
        <v/>
      </c>
      <c r="C832">
        <f>IF($E832="","",INDEX('Input Transaksi'!$E:$E,$E832))</f>
        <v/>
      </c>
      <c r="D832" s="5">
        <f>IF($E832="","",INDEX('Input Transaksi'!$F:$F,$E832))</f>
        <v/>
      </c>
      <c r="E832">
        <f>IFERROR(AGGREGATE(15,6,ROW('Input Transaksi'!$B$5:$B$5000)/('Input Transaksi'!$B$5:$B$5000="LONDRI DEWE"),ROWS($E$5:E832)),"")</f>
        <v/>
      </c>
      <c r="F832" s="5" t="n"/>
    </row>
    <row r="833">
      <c r="A833" s="10">
        <f>IF($E833="","",INDEX('Input Transaksi'!$A:$A,$E833))</f>
        <v/>
      </c>
      <c r="B833" s="5">
        <f>IF($E833="","",INDEX('Input Transaksi'!$D:$D,$E833))</f>
        <v/>
      </c>
      <c r="C833">
        <f>IF($E833="","",INDEX('Input Transaksi'!$E:$E,$E833))</f>
        <v/>
      </c>
      <c r="D833" s="5">
        <f>IF($E833="","",INDEX('Input Transaksi'!$F:$F,$E833))</f>
        <v/>
      </c>
      <c r="E833">
        <f>IFERROR(AGGREGATE(15,6,ROW('Input Transaksi'!$B$5:$B$5000)/('Input Transaksi'!$B$5:$B$5000="LONDRI DEWE"),ROWS($E$5:E833)),"")</f>
        <v/>
      </c>
      <c r="F833" s="5" t="n"/>
    </row>
    <row r="834">
      <c r="A834" s="10">
        <f>IF($E834="","",INDEX('Input Transaksi'!$A:$A,$E834))</f>
        <v/>
      </c>
      <c r="B834" s="5">
        <f>IF($E834="","",INDEX('Input Transaksi'!$D:$D,$E834))</f>
        <v/>
      </c>
      <c r="C834">
        <f>IF($E834="","",INDEX('Input Transaksi'!$E:$E,$E834))</f>
        <v/>
      </c>
      <c r="D834" s="5">
        <f>IF($E834="","",INDEX('Input Transaksi'!$F:$F,$E834))</f>
        <v/>
      </c>
      <c r="E834">
        <f>IFERROR(AGGREGATE(15,6,ROW('Input Transaksi'!$B$5:$B$5000)/('Input Transaksi'!$B$5:$B$5000="LONDRI DEWE"),ROWS($E$5:E834)),"")</f>
        <v/>
      </c>
      <c r="F834" s="5" t="n"/>
    </row>
    <row r="835">
      <c r="A835" s="10">
        <f>IF($E835="","",INDEX('Input Transaksi'!$A:$A,$E835))</f>
        <v/>
      </c>
      <c r="B835" s="5">
        <f>IF($E835="","",INDEX('Input Transaksi'!$D:$D,$E835))</f>
        <v/>
      </c>
      <c r="C835">
        <f>IF($E835="","",INDEX('Input Transaksi'!$E:$E,$E835))</f>
        <v/>
      </c>
      <c r="D835" s="5">
        <f>IF($E835="","",INDEX('Input Transaksi'!$F:$F,$E835))</f>
        <v/>
      </c>
      <c r="E835">
        <f>IFERROR(AGGREGATE(15,6,ROW('Input Transaksi'!$B$5:$B$5000)/('Input Transaksi'!$B$5:$B$5000="LONDRI DEWE"),ROWS($E$5:E835)),"")</f>
        <v/>
      </c>
      <c r="F835" s="5" t="n"/>
    </row>
    <row r="836">
      <c r="A836" s="10">
        <f>IF($E836="","",INDEX('Input Transaksi'!$A:$A,$E836))</f>
        <v/>
      </c>
      <c r="B836" s="5">
        <f>IF($E836="","",INDEX('Input Transaksi'!$D:$D,$E836))</f>
        <v/>
      </c>
      <c r="C836">
        <f>IF($E836="","",INDEX('Input Transaksi'!$E:$E,$E836))</f>
        <v/>
      </c>
      <c r="D836" s="5">
        <f>IF($E836="","",INDEX('Input Transaksi'!$F:$F,$E836))</f>
        <v/>
      </c>
      <c r="E836">
        <f>IFERROR(AGGREGATE(15,6,ROW('Input Transaksi'!$B$5:$B$5000)/('Input Transaksi'!$B$5:$B$5000="LONDRI DEWE"),ROWS($E$5:E836)),"")</f>
        <v/>
      </c>
      <c r="F836" s="5" t="n"/>
    </row>
    <row r="837">
      <c r="A837" s="10">
        <f>IF($E837="","",INDEX('Input Transaksi'!$A:$A,$E837))</f>
        <v/>
      </c>
      <c r="B837" s="5">
        <f>IF($E837="","",INDEX('Input Transaksi'!$D:$D,$E837))</f>
        <v/>
      </c>
      <c r="C837">
        <f>IF($E837="","",INDEX('Input Transaksi'!$E:$E,$E837))</f>
        <v/>
      </c>
      <c r="D837" s="5">
        <f>IF($E837="","",INDEX('Input Transaksi'!$F:$F,$E837))</f>
        <v/>
      </c>
      <c r="E837">
        <f>IFERROR(AGGREGATE(15,6,ROW('Input Transaksi'!$B$5:$B$5000)/('Input Transaksi'!$B$5:$B$5000="LONDRI DEWE"),ROWS($E$5:E837)),"")</f>
        <v/>
      </c>
      <c r="F837" s="5" t="n"/>
    </row>
    <row r="838">
      <c r="A838" s="10">
        <f>IF($E838="","",INDEX('Input Transaksi'!$A:$A,$E838))</f>
        <v/>
      </c>
      <c r="B838" s="5">
        <f>IF($E838="","",INDEX('Input Transaksi'!$D:$D,$E838))</f>
        <v/>
      </c>
      <c r="C838">
        <f>IF($E838="","",INDEX('Input Transaksi'!$E:$E,$E838))</f>
        <v/>
      </c>
      <c r="D838" s="5">
        <f>IF($E838="","",INDEX('Input Transaksi'!$F:$F,$E838))</f>
        <v/>
      </c>
      <c r="E838">
        <f>IFERROR(AGGREGATE(15,6,ROW('Input Transaksi'!$B$5:$B$5000)/('Input Transaksi'!$B$5:$B$5000="LONDRI DEWE"),ROWS($E$5:E838)),"")</f>
        <v/>
      </c>
      <c r="F838" s="5" t="n"/>
    </row>
    <row r="839">
      <c r="A839" s="10">
        <f>IF($E839="","",INDEX('Input Transaksi'!$A:$A,$E839))</f>
        <v/>
      </c>
      <c r="B839" s="5">
        <f>IF($E839="","",INDEX('Input Transaksi'!$D:$D,$E839))</f>
        <v/>
      </c>
      <c r="C839">
        <f>IF($E839="","",INDEX('Input Transaksi'!$E:$E,$E839))</f>
        <v/>
      </c>
      <c r="D839" s="5">
        <f>IF($E839="","",INDEX('Input Transaksi'!$F:$F,$E839))</f>
        <v/>
      </c>
      <c r="E839">
        <f>IFERROR(AGGREGATE(15,6,ROW('Input Transaksi'!$B$5:$B$5000)/('Input Transaksi'!$B$5:$B$5000="LONDRI DEWE"),ROWS($E$5:E839)),"")</f>
        <v/>
      </c>
      <c r="F839" s="5" t="n"/>
    </row>
    <row r="840">
      <c r="A840" s="10">
        <f>IF($E840="","",INDEX('Input Transaksi'!$A:$A,$E840))</f>
        <v/>
      </c>
      <c r="B840" s="5">
        <f>IF($E840="","",INDEX('Input Transaksi'!$D:$D,$E840))</f>
        <v/>
      </c>
      <c r="C840">
        <f>IF($E840="","",INDEX('Input Transaksi'!$E:$E,$E840))</f>
        <v/>
      </c>
      <c r="D840" s="5">
        <f>IF($E840="","",INDEX('Input Transaksi'!$F:$F,$E840))</f>
        <v/>
      </c>
      <c r="E840">
        <f>IFERROR(AGGREGATE(15,6,ROW('Input Transaksi'!$B$5:$B$5000)/('Input Transaksi'!$B$5:$B$5000="LONDRI DEWE"),ROWS($E$5:E840)),"")</f>
        <v/>
      </c>
      <c r="F840" s="5" t="n"/>
    </row>
    <row r="841">
      <c r="A841" s="10">
        <f>IF($E841="","",INDEX('Input Transaksi'!$A:$A,$E841))</f>
        <v/>
      </c>
      <c r="B841" s="5">
        <f>IF($E841="","",INDEX('Input Transaksi'!$D:$D,$E841))</f>
        <v/>
      </c>
      <c r="C841">
        <f>IF($E841="","",INDEX('Input Transaksi'!$E:$E,$E841))</f>
        <v/>
      </c>
      <c r="D841" s="5">
        <f>IF($E841="","",INDEX('Input Transaksi'!$F:$F,$E841))</f>
        <v/>
      </c>
      <c r="E841">
        <f>IFERROR(AGGREGATE(15,6,ROW('Input Transaksi'!$B$5:$B$5000)/('Input Transaksi'!$B$5:$B$5000="LONDRI DEWE"),ROWS($E$5:E841)),"")</f>
        <v/>
      </c>
      <c r="F841" s="5" t="n"/>
    </row>
    <row r="842">
      <c r="A842" s="10">
        <f>IF($E842="","",INDEX('Input Transaksi'!$A:$A,$E842))</f>
        <v/>
      </c>
      <c r="B842" s="5">
        <f>IF($E842="","",INDEX('Input Transaksi'!$D:$D,$E842))</f>
        <v/>
      </c>
      <c r="C842">
        <f>IF($E842="","",INDEX('Input Transaksi'!$E:$E,$E842))</f>
        <v/>
      </c>
      <c r="D842" s="5">
        <f>IF($E842="","",INDEX('Input Transaksi'!$F:$F,$E842))</f>
        <v/>
      </c>
      <c r="E842">
        <f>IFERROR(AGGREGATE(15,6,ROW('Input Transaksi'!$B$5:$B$5000)/('Input Transaksi'!$B$5:$B$5000="LONDRI DEWE"),ROWS($E$5:E842)),"")</f>
        <v/>
      </c>
      <c r="F842" s="5" t="n"/>
    </row>
    <row r="843">
      <c r="A843" s="10">
        <f>IF($E843="","",INDEX('Input Transaksi'!$A:$A,$E843))</f>
        <v/>
      </c>
      <c r="B843" s="5">
        <f>IF($E843="","",INDEX('Input Transaksi'!$D:$D,$E843))</f>
        <v/>
      </c>
      <c r="C843">
        <f>IF($E843="","",INDEX('Input Transaksi'!$E:$E,$E843))</f>
        <v/>
      </c>
      <c r="D843" s="5">
        <f>IF($E843="","",INDEX('Input Transaksi'!$F:$F,$E843))</f>
        <v/>
      </c>
      <c r="E843">
        <f>IFERROR(AGGREGATE(15,6,ROW('Input Transaksi'!$B$5:$B$5000)/('Input Transaksi'!$B$5:$B$5000="LONDRI DEWE"),ROWS($E$5:E843)),"")</f>
        <v/>
      </c>
      <c r="F843" s="5" t="n"/>
    </row>
    <row r="844">
      <c r="A844" s="10">
        <f>IF($E844="","",INDEX('Input Transaksi'!$A:$A,$E844))</f>
        <v/>
      </c>
      <c r="B844" s="5">
        <f>IF($E844="","",INDEX('Input Transaksi'!$D:$D,$E844))</f>
        <v/>
      </c>
      <c r="C844">
        <f>IF($E844="","",INDEX('Input Transaksi'!$E:$E,$E844))</f>
        <v/>
      </c>
      <c r="D844" s="5">
        <f>IF($E844="","",INDEX('Input Transaksi'!$F:$F,$E844))</f>
        <v/>
      </c>
      <c r="E844">
        <f>IFERROR(AGGREGATE(15,6,ROW('Input Transaksi'!$B$5:$B$5000)/('Input Transaksi'!$B$5:$B$5000="LONDRI DEWE"),ROWS($E$5:E844)),"")</f>
        <v/>
      </c>
      <c r="F844" s="5" t="n"/>
    </row>
    <row r="845">
      <c r="A845" s="10">
        <f>IF($E845="","",INDEX('Input Transaksi'!$A:$A,$E845))</f>
        <v/>
      </c>
      <c r="B845" s="5">
        <f>IF($E845="","",INDEX('Input Transaksi'!$D:$D,$E845))</f>
        <v/>
      </c>
      <c r="C845">
        <f>IF($E845="","",INDEX('Input Transaksi'!$E:$E,$E845))</f>
        <v/>
      </c>
      <c r="D845" s="5">
        <f>IF($E845="","",INDEX('Input Transaksi'!$F:$F,$E845))</f>
        <v/>
      </c>
      <c r="E845">
        <f>IFERROR(AGGREGATE(15,6,ROW('Input Transaksi'!$B$5:$B$5000)/('Input Transaksi'!$B$5:$B$5000="LONDRI DEWE"),ROWS($E$5:E845)),"")</f>
        <v/>
      </c>
      <c r="F845" s="5" t="n"/>
    </row>
    <row r="846">
      <c r="A846" s="10">
        <f>IF($E846="","",INDEX('Input Transaksi'!$A:$A,$E846))</f>
        <v/>
      </c>
      <c r="B846" s="5">
        <f>IF($E846="","",INDEX('Input Transaksi'!$D:$D,$E846))</f>
        <v/>
      </c>
      <c r="C846">
        <f>IF($E846="","",INDEX('Input Transaksi'!$E:$E,$E846))</f>
        <v/>
      </c>
      <c r="D846" s="5">
        <f>IF($E846="","",INDEX('Input Transaksi'!$F:$F,$E846))</f>
        <v/>
      </c>
      <c r="E846">
        <f>IFERROR(AGGREGATE(15,6,ROW('Input Transaksi'!$B$5:$B$5000)/('Input Transaksi'!$B$5:$B$5000="LONDRI DEWE"),ROWS($E$5:E846)),"")</f>
        <v/>
      </c>
      <c r="F846" s="5" t="n"/>
    </row>
    <row r="847">
      <c r="A847" s="10">
        <f>IF($E847="","",INDEX('Input Transaksi'!$A:$A,$E847))</f>
        <v/>
      </c>
      <c r="B847" s="5">
        <f>IF($E847="","",INDEX('Input Transaksi'!$D:$D,$E847))</f>
        <v/>
      </c>
      <c r="C847">
        <f>IF($E847="","",INDEX('Input Transaksi'!$E:$E,$E847))</f>
        <v/>
      </c>
      <c r="D847" s="5">
        <f>IF($E847="","",INDEX('Input Transaksi'!$F:$F,$E847))</f>
        <v/>
      </c>
      <c r="E847">
        <f>IFERROR(AGGREGATE(15,6,ROW('Input Transaksi'!$B$5:$B$5000)/('Input Transaksi'!$B$5:$B$5000="LONDRI DEWE"),ROWS($E$5:E847)),"")</f>
        <v/>
      </c>
      <c r="F847" s="5" t="n"/>
    </row>
    <row r="848">
      <c r="A848" s="10">
        <f>IF($E848="","",INDEX('Input Transaksi'!$A:$A,$E848))</f>
        <v/>
      </c>
      <c r="B848" s="5">
        <f>IF($E848="","",INDEX('Input Transaksi'!$D:$D,$E848))</f>
        <v/>
      </c>
      <c r="C848">
        <f>IF($E848="","",INDEX('Input Transaksi'!$E:$E,$E848))</f>
        <v/>
      </c>
      <c r="D848" s="5">
        <f>IF($E848="","",INDEX('Input Transaksi'!$F:$F,$E848))</f>
        <v/>
      </c>
      <c r="E848">
        <f>IFERROR(AGGREGATE(15,6,ROW('Input Transaksi'!$B$5:$B$5000)/('Input Transaksi'!$B$5:$B$5000="LONDRI DEWE"),ROWS($E$5:E848)),"")</f>
        <v/>
      </c>
      <c r="F848" s="5" t="n"/>
    </row>
    <row r="849">
      <c r="A849" s="10">
        <f>IF($E849="","",INDEX('Input Transaksi'!$A:$A,$E849))</f>
        <v/>
      </c>
      <c r="B849" s="5">
        <f>IF($E849="","",INDEX('Input Transaksi'!$D:$D,$E849))</f>
        <v/>
      </c>
      <c r="C849">
        <f>IF($E849="","",INDEX('Input Transaksi'!$E:$E,$E849))</f>
        <v/>
      </c>
      <c r="D849" s="5">
        <f>IF($E849="","",INDEX('Input Transaksi'!$F:$F,$E849))</f>
        <v/>
      </c>
      <c r="E849">
        <f>IFERROR(AGGREGATE(15,6,ROW('Input Transaksi'!$B$5:$B$5000)/('Input Transaksi'!$B$5:$B$5000="LONDRI DEWE"),ROWS($E$5:E849)),"")</f>
        <v/>
      </c>
      <c r="F849" s="5" t="n"/>
    </row>
    <row r="850">
      <c r="A850" s="10">
        <f>IF($E850="","",INDEX('Input Transaksi'!$A:$A,$E850))</f>
        <v/>
      </c>
      <c r="B850" s="5">
        <f>IF($E850="","",INDEX('Input Transaksi'!$D:$D,$E850))</f>
        <v/>
      </c>
      <c r="C850">
        <f>IF($E850="","",INDEX('Input Transaksi'!$E:$E,$E850))</f>
        <v/>
      </c>
      <c r="D850" s="5">
        <f>IF($E850="","",INDEX('Input Transaksi'!$F:$F,$E850))</f>
        <v/>
      </c>
      <c r="E850">
        <f>IFERROR(AGGREGATE(15,6,ROW('Input Transaksi'!$B$5:$B$5000)/('Input Transaksi'!$B$5:$B$5000="LONDRI DEWE"),ROWS($E$5:E850)),"")</f>
        <v/>
      </c>
      <c r="F850" s="5" t="n"/>
    </row>
    <row r="851">
      <c r="A851" s="10">
        <f>IF($E851="","",INDEX('Input Transaksi'!$A:$A,$E851))</f>
        <v/>
      </c>
      <c r="B851" s="5">
        <f>IF($E851="","",INDEX('Input Transaksi'!$D:$D,$E851))</f>
        <v/>
      </c>
      <c r="C851">
        <f>IF($E851="","",INDEX('Input Transaksi'!$E:$E,$E851))</f>
        <v/>
      </c>
      <c r="D851" s="5">
        <f>IF($E851="","",INDEX('Input Transaksi'!$F:$F,$E851))</f>
        <v/>
      </c>
      <c r="E851">
        <f>IFERROR(AGGREGATE(15,6,ROW('Input Transaksi'!$B$5:$B$5000)/('Input Transaksi'!$B$5:$B$5000="LONDRI DEWE"),ROWS($E$5:E851)),"")</f>
        <v/>
      </c>
      <c r="F851" s="5" t="n"/>
    </row>
    <row r="852">
      <c r="A852" s="10">
        <f>IF($E852="","",INDEX('Input Transaksi'!$A:$A,$E852))</f>
        <v/>
      </c>
      <c r="B852" s="5">
        <f>IF($E852="","",INDEX('Input Transaksi'!$D:$D,$E852))</f>
        <v/>
      </c>
      <c r="C852">
        <f>IF($E852="","",INDEX('Input Transaksi'!$E:$E,$E852))</f>
        <v/>
      </c>
      <c r="D852" s="5">
        <f>IF($E852="","",INDEX('Input Transaksi'!$F:$F,$E852))</f>
        <v/>
      </c>
      <c r="E852">
        <f>IFERROR(AGGREGATE(15,6,ROW('Input Transaksi'!$B$5:$B$5000)/('Input Transaksi'!$B$5:$B$5000="LONDRI DEWE"),ROWS($E$5:E852)),"")</f>
        <v/>
      </c>
      <c r="F852" s="5" t="n"/>
    </row>
    <row r="853">
      <c r="A853" s="10">
        <f>IF($E853="","",INDEX('Input Transaksi'!$A:$A,$E853))</f>
        <v/>
      </c>
      <c r="B853" s="5">
        <f>IF($E853="","",INDEX('Input Transaksi'!$D:$D,$E853))</f>
        <v/>
      </c>
      <c r="C853">
        <f>IF($E853="","",INDEX('Input Transaksi'!$E:$E,$E853))</f>
        <v/>
      </c>
      <c r="D853" s="5">
        <f>IF($E853="","",INDEX('Input Transaksi'!$F:$F,$E853))</f>
        <v/>
      </c>
      <c r="E853">
        <f>IFERROR(AGGREGATE(15,6,ROW('Input Transaksi'!$B$5:$B$5000)/('Input Transaksi'!$B$5:$B$5000="LONDRI DEWE"),ROWS($E$5:E853)),"")</f>
        <v/>
      </c>
      <c r="F853" s="5" t="n"/>
    </row>
    <row r="854">
      <c r="A854" s="10">
        <f>IF($E854="","",INDEX('Input Transaksi'!$A:$A,$E854))</f>
        <v/>
      </c>
      <c r="B854" s="5">
        <f>IF($E854="","",INDEX('Input Transaksi'!$D:$D,$E854))</f>
        <v/>
      </c>
      <c r="C854">
        <f>IF($E854="","",INDEX('Input Transaksi'!$E:$E,$E854))</f>
        <v/>
      </c>
      <c r="D854" s="5">
        <f>IF($E854="","",INDEX('Input Transaksi'!$F:$F,$E854))</f>
        <v/>
      </c>
      <c r="E854">
        <f>IFERROR(AGGREGATE(15,6,ROW('Input Transaksi'!$B$5:$B$5000)/('Input Transaksi'!$B$5:$B$5000="LONDRI DEWE"),ROWS($E$5:E854)),"")</f>
        <v/>
      </c>
      <c r="F854" s="5" t="n"/>
    </row>
    <row r="855">
      <c r="A855" s="10">
        <f>IF($E855="","",INDEX('Input Transaksi'!$A:$A,$E855))</f>
        <v/>
      </c>
      <c r="B855" s="5">
        <f>IF($E855="","",INDEX('Input Transaksi'!$D:$D,$E855))</f>
        <v/>
      </c>
      <c r="C855">
        <f>IF($E855="","",INDEX('Input Transaksi'!$E:$E,$E855))</f>
        <v/>
      </c>
      <c r="D855" s="5">
        <f>IF($E855="","",INDEX('Input Transaksi'!$F:$F,$E855))</f>
        <v/>
      </c>
      <c r="E855">
        <f>IFERROR(AGGREGATE(15,6,ROW('Input Transaksi'!$B$5:$B$5000)/('Input Transaksi'!$B$5:$B$5000="LONDRI DEWE"),ROWS($E$5:E855)),"")</f>
        <v/>
      </c>
      <c r="F855" s="5" t="n"/>
    </row>
    <row r="856">
      <c r="A856" s="10">
        <f>IF($E856="","",INDEX('Input Transaksi'!$A:$A,$E856))</f>
        <v/>
      </c>
      <c r="B856" s="5">
        <f>IF($E856="","",INDEX('Input Transaksi'!$D:$D,$E856))</f>
        <v/>
      </c>
      <c r="C856">
        <f>IF($E856="","",INDEX('Input Transaksi'!$E:$E,$E856))</f>
        <v/>
      </c>
      <c r="D856" s="5">
        <f>IF($E856="","",INDEX('Input Transaksi'!$F:$F,$E856))</f>
        <v/>
      </c>
      <c r="E856">
        <f>IFERROR(AGGREGATE(15,6,ROW('Input Transaksi'!$B$5:$B$5000)/('Input Transaksi'!$B$5:$B$5000="LONDRI DEWE"),ROWS($E$5:E856)),"")</f>
        <v/>
      </c>
      <c r="F856" s="5" t="n"/>
    </row>
    <row r="857">
      <c r="A857" s="10">
        <f>IF($E857="","",INDEX('Input Transaksi'!$A:$A,$E857))</f>
        <v/>
      </c>
      <c r="B857" s="5">
        <f>IF($E857="","",INDEX('Input Transaksi'!$D:$D,$E857))</f>
        <v/>
      </c>
      <c r="C857">
        <f>IF($E857="","",INDEX('Input Transaksi'!$E:$E,$E857))</f>
        <v/>
      </c>
      <c r="D857" s="5">
        <f>IF($E857="","",INDEX('Input Transaksi'!$F:$F,$E857))</f>
        <v/>
      </c>
      <c r="E857">
        <f>IFERROR(AGGREGATE(15,6,ROW('Input Transaksi'!$B$5:$B$5000)/('Input Transaksi'!$B$5:$B$5000="LONDRI DEWE"),ROWS($E$5:E857)),"")</f>
        <v/>
      </c>
      <c r="F857" s="5" t="n"/>
    </row>
    <row r="858">
      <c r="A858" s="10">
        <f>IF($E858="","",INDEX('Input Transaksi'!$A:$A,$E858))</f>
        <v/>
      </c>
      <c r="B858" s="5">
        <f>IF($E858="","",INDEX('Input Transaksi'!$D:$D,$E858))</f>
        <v/>
      </c>
      <c r="C858">
        <f>IF($E858="","",INDEX('Input Transaksi'!$E:$E,$E858))</f>
        <v/>
      </c>
      <c r="D858" s="5">
        <f>IF($E858="","",INDEX('Input Transaksi'!$F:$F,$E858))</f>
        <v/>
      </c>
      <c r="E858">
        <f>IFERROR(AGGREGATE(15,6,ROW('Input Transaksi'!$B$5:$B$5000)/('Input Transaksi'!$B$5:$B$5000="LONDRI DEWE"),ROWS($E$5:E858)),"")</f>
        <v/>
      </c>
      <c r="F858" s="5" t="n"/>
    </row>
    <row r="859">
      <c r="A859" s="10">
        <f>IF($E859="","",INDEX('Input Transaksi'!$A:$A,$E859))</f>
        <v/>
      </c>
      <c r="B859" s="5">
        <f>IF($E859="","",INDEX('Input Transaksi'!$D:$D,$E859))</f>
        <v/>
      </c>
      <c r="C859">
        <f>IF($E859="","",INDEX('Input Transaksi'!$E:$E,$E859))</f>
        <v/>
      </c>
      <c r="D859" s="5">
        <f>IF($E859="","",INDEX('Input Transaksi'!$F:$F,$E859))</f>
        <v/>
      </c>
      <c r="E859">
        <f>IFERROR(AGGREGATE(15,6,ROW('Input Transaksi'!$B$5:$B$5000)/('Input Transaksi'!$B$5:$B$5000="LONDRI DEWE"),ROWS($E$5:E859)),"")</f>
        <v/>
      </c>
      <c r="F859" s="5" t="n"/>
    </row>
    <row r="860">
      <c r="A860" s="10">
        <f>IF($E860="","",INDEX('Input Transaksi'!$A:$A,$E860))</f>
        <v/>
      </c>
      <c r="B860" s="5">
        <f>IF($E860="","",INDEX('Input Transaksi'!$D:$D,$E860))</f>
        <v/>
      </c>
      <c r="C860">
        <f>IF($E860="","",INDEX('Input Transaksi'!$E:$E,$E860))</f>
        <v/>
      </c>
      <c r="D860" s="5">
        <f>IF($E860="","",INDEX('Input Transaksi'!$F:$F,$E860))</f>
        <v/>
      </c>
      <c r="E860">
        <f>IFERROR(AGGREGATE(15,6,ROW('Input Transaksi'!$B$5:$B$5000)/('Input Transaksi'!$B$5:$B$5000="LONDRI DEWE"),ROWS($E$5:E860)),"")</f>
        <v/>
      </c>
      <c r="F860" s="5" t="n"/>
    </row>
    <row r="861">
      <c r="A861" s="10">
        <f>IF($E861="","",INDEX('Input Transaksi'!$A:$A,$E861))</f>
        <v/>
      </c>
      <c r="B861" s="5">
        <f>IF($E861="","",INDEX('Input Transaksi'!$D:$D,$E861))</f>
        <v/>
      </c>
      <c r="C861">
        <f>IF($E861="","",INDEX('Input Transaksi'!$E:$E,$E861))</f>
        <v/>
      </c>
      <c r="D861" s="5">
        <f>IF($E861="","",INDEX('Input Transaksi'!$F:$F,$E861))</f>
        <v/>
      </c>
      <c r="E861">
        <f>IFERROR(AGGREGATE(15,6,ROW('Input Transaksi'!$B$5:$B$5000)/('Input Transaksi'!$B$5:$B$5000="LONDRI DEWE"),ROWS($E$5:E861)),"")</f>
        <v/>
      </c>
      <c r="F861" s="5" t="n"/>
    </row>
    <row r="862">
      <c r="A862" s="10">
        <f>IF($E862="","",INDEX('Input Transaksi'!$A:$A,$E862))</f>
        <v/>
      </c>
      <c r="B862" s="5">
        <f>IF($E862="","",INDEX('Input Transaksi'!$D:$D,$E862))</f>
        <v/>
      </c>
      <c r="C862">
        <f>IF($E862="","",INDEX('Input Transaksi'!$E:$E,$E862))</f>
        <v/>
      </c>
      <c r="D862" s="5">
        <f>IF($E862="","",INDEX('Input Transaksi'!$F:$F,$E862))</f>
        <v/>
      </c>
      <c r="E862">
        <f>IFERROR(AGGREGATE(15,6,ROW('Input Transaksi'!$B$5:$B$5000)/('Input Transaksi'!$B$5:$B$5000="LONDRI DEWE"),ROWS($E$5:E862)),"")</f>
        <v/>
      </c>
      <c r="F862" s="5" t="n"/>
    </row>
    <row r="863">
      <c r="A863" s="10">
        <f>IF($E863="","",INDEX('Input Transaksi'!$A:$A,$E863))</f>
        <v/>
      </c>
      <c r="B863" s="5">
        <f>IF($E863="","",INDEX('Input Transaksi'!$D:$D,$E863))</f>
        <v/>
      </c>
      <c r="C863">
        <f>IF($E863="","",INDEX('Input Transaksi'!$E:$E,$E863))</f>
        <v/>
      </c>
      <c r="D863" s="5">
        <f>IF($E863="","",INDEX('Input Transaksi'!$F:$F,$E863))</f>
        <v/>
      </c>
      <c r="E863">
        <f>IFERROR(AGGREGATE(15,6,ROW('Input Transaksi'!$B$5:$B$5000)/('Input Transaksi'!$B$5:$B$5000="LONDRI DEWE"),ROWS($E$5:E863)),"")</f>
        <v/>
      </c>
      <c r="F863" s="5" t="n"/>
    </row>
    <row r="864">
      <c r="A864" s="10">
        <f>IF($E864="","",INDEX('Input Transaksi'!$A:$A,$E864))</f>
        <v/>
      </c>
      <c r="B864" s="5">
        <f>IF($E864="","",INDEX('Input Transaksi'!$D:$D,$E864))</f>
        <v/>
      </c>
      <c r="C864">
        <f>IF($E864="","",INDEX('Input Transaksi'!$E:$E,$E864))</f>
        <v/>
      </c>
      <c r="D864" s="5">
        <f>IF($E864="","",INDEX('Input Transaksi'!$F:$F,$E864))</f>
        <v/>
      </c>
      <c r="E864">
        <f>IFERROR(AGGREGATE(15,6,ROW('Input Transaksi'!$B$5:$B$5000)/('Input Transaksi'!$B$5:$B$5000="LONDRI DEWE"),ROWS($E$5:E864)),"")</f>
        <v/>
      </c>
      <c r="F864" s="5" t="n"/>
    </row>
    <row r="865">
      <c r="A865" s="10">
        <f>IF($E865="","",INDEX('Input Transaksi'!$A:$A,$E865))</f>
        <v/>
      </c>
      <c r="B865" s="5">
        <f>IF($E865="","",INDEX('Input Transaksi'!$D:$D,$E865))</f>
        <v/>
      </c>
      <c r="C865">
        <f>IF($E865="","",INDEX('Input Transaksi'!$E:$E,$E865))</f>
        <v/>
      </c>
      <c r="D865" s="5">
        <f>IF($E865="","",INDEX('Input Transaksi'!$F:$F,$E865))</f>
        <v/>
      </c>
      <c r="E865">
        <f>IFERROR(AGGREGATE(15,6,ROW('Input Transaksi'!$B$5:$B$5000)/('Input Transaksi'!$B$5:$B$5000="LONDRI DEWE"),ROWS($E$5:E865)),"")</f>
        <v/>
      </c>
      <c r="F865" s="5" t="n"/>
    </row>
    <row r="866">
      <c r="A866" s="10">
        <f>IF($E866="","",INDEX('Input Transaksi'!$A:$A,$E866))</f>
        <v/>
      </c>
      <c r="B866" s="5">
        <f>IF($E866="","",INDEX('Input Transaksi'!$D:$D,$E866))</f>
        <v/>
      </c>
      <c r="C866">
        <f>IF($E866="","",INDEX('Input Transaksi'!$E:$E,$E866))</f>
        <v/>
      </c>
      <c r="D866" s="5">
        <f>IF($E866="","",INDEX('Input Transaksi'!$F:$F,$E866))</f>
        <v/>
      </c>
      <c r="E866">
        <f>IFERROR(AGGREGATE(15,6,ROW('Input Transaksi'!$B$5:$B$5000)/('Input Transaksi'!$B$5:$B$5000="LONDRI DEWE"),ROWS($E$5:E866)),"")</f>
        <v/>
      </c>
      <c r="F866" s="5" t="n"/>
    </row>
    <row r="867">
      <c r="A867" s="10">
        <f>IF($E867="","",INDEX('Input Transaksi'!$A:$A,$E867))</f>
        <v/>
      </c>
      <c r="B867" s="5">
        <f>IF($E867="","",INDEX('Input Transaksi'!$D:$D,$E867))</f>
        <v/>
      </c>
      <c r="C867">
        <f>IF($E867="","",INDEX('Input Transaksi'!$E:$E,$E867))</f>
        <v/>
      </c>
      <c r="D867" s="5">
        <f>IF($E867="","",INDEX('Input Transaksi'!$F:$F,$E867))</f>
        <v/>
      </c>
      <c r="E867">
        <f>IFERROR(AGGREGATE(15,6,ROW('Input Transaksi'!$B$5:$B$5000)/('Input Transaksi'!$B$5:$B$5000="LONDRI DEWE"),ROWS($E$5:E867)),"")</f>
        <v/>
      </c>
      <c r="F867" s="5" t="n"/>
    </row>
    <row r="868">
      <c r="A868" s="10">
        <f>IF($E868="","",INDEX('Input Transaksi'!$A:$A,$E868))</f>
        <v/>
      </c>
      <c r="B868" s="5">
        <f>IF($E868="","",INDEX('Input Transaksi'!$D:$D,$E868))</f>
        <v/>
      </c>
      <c r="C868">
        <f>IF($E868="","",INDEX('Input Transaksi'!$E:$E,$E868))</f>
        <v/>
      </c>
      <c r="D868" s="5">
        <f>IF($E868="","",INDEX('Input Transaksi'!$F:$F,$E868))</f>
        <v/>
      </c>
      <c r="E868">
        <f>IFERROR(AGGREGATE(15,6,ROW('Input Transaksi'!$B$5:$B$5000)/('Input Transaksi'!$B$5:$B$5000="LONDRI DEWE"),ROWS($E$5:E868)),"")</f>
        <v/>
      </c>
      <c r="F868" s="5" t="n"/>
    </row>
    <row r="869">
      <c r="A869" s="10">
        <f>IF($E869="","",INDEX('Input Transaksi'!$A:$A,$E869))</f>
        <v/>
      </c>
      <c r="B869" s="5">
        <f>IF($E869="","",INDEX('Input Transaksi'!$D:$D,$E869))</f>
        <v/>
      </c>
      <c r="C869">
        <f>IF($E869="","",INDEX('Input Transaksi'!$E:$E,$E869))</f>
        <v/>
      </c>
      <c r="D869" s="5">
        <f>IF($E869="","",INDEX('Input Transaksi'!$F:$F,$E869))</f>
        <v/>
      </c>
      <c r="E869">
        <f>IFERROR(AGGREGATE(15,6,ROW('Input Transaksi'!$B$5:$B$5000)/('Input Transaksi'!$B$5:$B$5000="LONDRI DEWE"),ROWS($E$5:E869)),"")</f>
        <v/>
      </c>
      <c r="F869" s="5" t="n"/>
    </row>
    <row r="870">
      <c r="A870" s="10">
        <f>IF($E870="","",INDEX('Input Transaksi'!$A:$A,$E870))</f>
        <v/>
      </c>
      <c r="B870" s="5">
        <f>IF($E870="","",INDEX('Input Transaksi'!$D:$D,$E870))</f>
        <v/>
      </c>
      <c r="C870">
        <f>IF($E870="","",INDEX('Input Transaksi'!$E:$E,$E870))</f>
        <v/>
      </c>
      <c r="D870" s="5">
        <f>IF($E870="","",INDEX('Input Transaksi'!$F:$F,$E870))</f>
        <v/>
      </c>
      <c r="E870">
        <f>IFERROR(AGGREGATE(15,6,ROW('Input Transaksi'!$B$5:$B$5000)/('Input Transaksi'!$B$5:$B$5000="LONDRI DEWE"),ROWS($E$5:E870)),"")</f>
        <v/>
      </c>
      <c r="F870" s="5" t="n"/>
    </row>
    <row r="871">
      <c r="A871" s="10">
        <f>IF($E871="","",INDEX('Input Transaksi'!$A:$A,$E871))</f>
        <v/>
      </c>
      <c r="B871" s="5">
        <f>IF($E871="","",INDEX('Input Transaksi'!$D:$D,$E871))</f>
        <v/>
      </c>
      <c r="C871">
        <f>IF($E871="","",INDEX('Input Transaksi'!$E:$E,$E871))</f>
        <v/>
      </c>
      <c r="D871" s="5">
        <f>IF($E871="","",INDEX('Input Transaksi'!$F:$F,$E871))</f>
        <v/>
      </c>
      <c r="E871">
        <f>IFERROR(AGGREGATE(15,6,ROW('Input Transaksi'!$B$5:$B$5000)/('Input Transaksi'!$B$5:$B$5000="LONDRI DEWE"),ROWS($E$5:E871)),"")</f>
        <v/>
      </c>
      <c r="F871" s="5" t="n"/>
    </row>
    <row r="872">
      <c r="A872" s="10">
        <f>IF($E872="","",INDEX('Input Transaksi'!$A:$A,$E872))</f>
        <v/>
      </c>
      <c r="B872" s="5">
        <f>IF($E872="","",INDEX('Input Transaksi'!$D:$D,$E872))</f>
        <v/>
      </c>
      <c r="C872">
        <f>IF($E872="","",INDEX('Input Transaksi'!$E:$E,$E872))</f>
        <v/>
      </c>
      <c r="D872" s="5">
        <f>IF($E872="","",INDEX('Input Transaksi'!$F:$F,$E872))</f>
        <v/>
      </c>
      <c r="E872">
        <f>IFERROR(AGGREGATE(15,6,ROW('Input Transaksi'!$B$5:$B$5000)/('Input Transaksi'!$B$5:$B$5000="LONDRI DEWE"),ROWS($E$5:E872)),"")</f>
        <v/>
      </c>
      <c r="F872" s="5" t="n"/>
    </row>
    <row r="873">
      <c r="A873" s="10">
        <f>IF($E873="","",INDEX('Input Transaksi'!$A:$A,$E873))</f>
        <v/>
      </c>
      <c r="B873" s="5">
        <f>IF($E873="","",INDEX('Input Transaksi'!$D:$D,$E873))</f>
        <v/>
      </c>
      <c r="C873">
        <f>IF($E873="","",INDEX('Input Transaksi'!$E:$E,$E873))</f>
        <v/>
      </c>
      <c r="D873" s="5">
        <f>IF($E873="","",INDEX('Input Transaksi'!$F:$F,$E873))</f>
        <v/>
      </c>
      <c r="E873">
        <f>IFERROR(AGGREGATE(15,6,ROW('Input Transaksi'!$B$5:$B$5000)/('Input Transaksi'!$B$5:$B$5000="LONDRI DEWE"),ROWS($E$5:E873)),"")</f>
        <v/>
      </c>
      <c r="F873" s="5" t="n"/>
    </row>
    <row r="874">
      <c r="A874" s="10">
        <f>IF($E874="","",INDEX('Input Transaksi'!$A:$A,$E874))</f>
        <v/>
      </c>
      <c r="B874" s="5">
        <f>IF($E874="","",INDEX('Input Transaksi'!$D:$D,$E874))</f>
        <v/>
      </c>
      <c r="C874">
        <f>IF($E874="","",INDEX('Input Transaksi'!$E:$E,$E874))</f>
        <v/>
      </c>
      <c r="D874" s="5">
        <f>IF($E874="","",INDEX('Input Transaksi'!$F:$F,$E874))</f>
        <v/>
      </c>
      <c r="E874">
        <f>IFERROR(AGGREGATE(15,6,ROW('Input Transaksi'!$B$5:$B$5000)/('Input Transaksi'!$B$5:$B$5000="LONDRI DEWE"),ROWS($E$5:E874)),"")</f>
        <v/>
      </c>
      <c r="F874" s="5" t="n"/>
    </row>
    <row r="875">
      <c r="A875" s="10">
        <f>IF($E875="","",INDEX('Input Transaksi'!$A:$A,$E875))</f>
        <v/>
      </c>
      <c r="B875" s="5">
        <f>IF($E875="","",INDEX('Input Transaksi'!$D:$D,$E875))</f>
        <v/>
      </c>
      <c r="C875">
        <f>IF($E875="","",INDEX('Input Transaksi'!$E:$E,$E875))</f>
        <v/>
      </c>
      <c r="D875" s="5">
        <f>IF($E875="","",INDEX('Input Transaksi'!$F:$F,$E875))</f>
        <v/>
      </c>
      <c r="E875">
        <f>IFERROR(AGGREGATE(15,6,ROW('Input Transaksi'!$B$5:$B$5000)/('Input Transaksi'!$B$5:$B$5000="LONDRI DEWE"),ROWS($E$5:E875)),"")</f>
        <v/>
      </c>
      <c r="F875" s="5" t="n"/>
    </row>
    <row r="876">
      <c r="A876" s="10">
        <f>IF($E876="","",INDEX('Input Transaksi'!$A:$A,$E876))</f>
        <v/>
      </c>
      <c r="B876" s="5">
        <f>IF($E876="","",INDEX('Input Transaksi'!$D:$D,$E876))</f>
        <v/>
      </c>
      <c r="C876">
        <f>IF($E876="","",INDEX('Input Transaksi'!$E:$E,$E876))</f>
        <v/>
      </c>
      <c r="D876" s="5">
        <f>IF($E876="","",INDEX('Input Transaksi'!$F:$F,$E876))</f>
        <v/>
      </c>
      <c r="E876">
        <f>IFERROR(AGGREGATE(15,6,ROW('Input Transaksi'!$B$5:$B$5000)/('Input Transaksi'!$B$5:$B$5000="LONDRI DEWE"),ROWS($E$5:E876)),"")</f>
        <v/>
      </c>
      <c r="F876" s="5" t="n"/>
    </row>
    <row r="877">
      <c r="A877" s="10">
        <f>IF($E877="","",INDEX('Input Transaksi'!$A:$A,$E877))</f>
        <v/>
      </c>
      <c r="B877" s="5">
        <f>IF($E877="","",INDEX('Input Transaksi'!$D:$D,$E877))</f>
        <v/>
      </c>
      <c r="C877">
        <f>IF($E877="","",INDEX('Input Transaksi'!$E:$E,$E877))</f>
        <v/>
      </c>
      <c r="D877" s="5">
        <f>IF($E877="","",INDEX('Input Transaksi'!$F:$F,$E877))</f>
        <v/>
      </c>
      <c r="E877">
        <f>IFERROR(AGGREGATE(15,6,ROW('Input Transaksi'!$B$5:$B$5000)/('Input Transaksi'!$B$5:$B$5000="LONDRI DEWE"),ROWS($E$5:E877)),"")</f>
        <v/>
      </c>
      <c r="F877" s="5" t="n"/>
    </row>
    <row r="878">
      <c r="A878" s="10">
        <f>IF($E878="","",INDEX('Input Transaksi'!$A:$A,$E878))</f>
        <v/>
      </c>
      <c r="B878" s="5">
        <f>IF($E878="","",INDEX('Input Transaksi'!$D:$D,$E878))</f>
        <v/>
      </c>
      <c r="C878">
        <f>IF($E878="","",INDEX('Input Transaksi'!$E:$E,$E878))</f>
        <v/>
      </c>
      <c r="D878" s="5">
        <f>IF($E878="","",INDEX('Input Transaksi'!$F:$F,$E878))</f>
        <v/>
      </c>
      <c r="E878">
        <f>IFERROR(AGGREGATE(15,6,ROW('Input Transaksi'!$B$5:$B$5000)/('Input Transaksi'!$B$5:$B$5000="LONDRI DEWE"),ROWS($E$5:E878)),"")</f>
        <v/>
      </c>
      <c r="F878" s="5" t="n"/>
    </row>
    <row r="879">
      <c r="A879" s="10">
        <f>IF($E879="","",INDEX('Input Transaksi'!$A:$A,$E879))</f>
        <v/>
      </c>
      <c r="B879" s="5">
        <f>IF($E879="","",INDEX('Input Transaksi'!$D:$D,$E879))</f>
        <v/>
      </c>
      <c r="C879">
        <f>IF($E879="","",INDEX('Input Transaksi'!$E:$E,$E879))</f>
        <v/>
      </c>
      <c r="D879" s="5">
        <f>IF($E879="","",INDEX('Input Transaksi'!$F:$F,$E879))</f>
        <v/>
      </c>
      <c r="E879">
        <f>IFERROR(AGGREGATE(15,6,ROW('Input Transaksi'!$B$5:$B$5000)/('Input Transaksi'!$B$5:$B$5000="LONDRI DEWE"),ROWS($E$5:E879)),"")</f>
        <v/>
      </c>
      <c r="F879" s="5" t="n"/>
    </row>
    <row r="880">
      <c r="A880" s="10">
        <f>IF($E880="","",INDEX('Input Transaksi'!$A:$A,$E880))</f>
        <v/>
      </c>
      <c r="B880" s="5">
        <f>IF($E880="","",INDEX('Input Transaksi'!$D:$D,$E880))</f>
        <v/>
      </c>
      <c r="C880">
        <f>IF($E880="","",INDEX('Input Transaksi'!$E:$E,$E880))</f>
        <v/>
      </c>
      <c r="D880" s="5">
        <f>IF($E880="","",INDEX('Input Transaksi'!$F:$F,$E880))</f>
        <v/>
      </c>
      <c r="E880">
        <f>IFERROR(AGGREGATE(15,6,ROW('Input Transaksi'!$B$5:$B$5000)/('Input Transaksi'!$B$5:$B$5000="LONDRI DEWE"),ROWS($E$5:E880)),"")</f>
        <v/>
      </c>
      <c r="F880" s="5" t="n"/>
    </row>
    <row r="881">
      <c r="A881" s="10">
        <f>IF($E881="","",INDEX('Input Transaksi'!$A:$A,$E881))</f>
        <v/>
      </c>
      <c r="B881" s="5">
        <f>IF($E881="","",INDEX('Input Transaksi'!$D:$D,$E881))</f>
        <v/>
      </c>
      <c r="C881">
        <f>IF($E881="","",INDEX('Input Transaksi'!$E:$E,$E881))</f>
        <v/>
      </c>
      <c r="D881" s="5">
        <f>IF($E881="","",INDEX('Input Transaksi'!$F:$F,$E881))</f>
        <v/>
      </c>
      <c r="E881">
        <f>IFERROR(AGGREGATE(15,6,ROW('Input Transaksi'!$B$5:$B$5000)/('Input Transaksi'!$B$5:$B$5000="LONDRI DEWE"),ROWS($E$5:E881)),"")</f>
        <v/>
      </c>
      <c r="F881" s="5" t="n"/>
    </row>
    <row r="882">
      <c r="A882" s="10">
        <f>IF($E882="","",INDEX('Input Transaksi'!$A:$A,$E882))</f>
        <v/>
      </c>
      <c r="B882" s="5">
        <f>IF($E882="","",INDEX('Input Transaksi'!$D:$D,$E882))</f>
        <v/>
      </c>
      <c r="C882">
        <f>IF($E882="","",INDEX('Input Transaksi'!$E:$E,$E882))</f>
        <v/>
      </c>
      <c r="D882" s="5">
        <f>IF($E882="","",INDEX('Input Transaksi'!$F:$F,$E882))</f>
        <v/>
      </c>
      <c r="E882">
        <f>IFERROR(AGGREGATE(15,6,ROW('Input Transaksi'!$B$5:$B$5000)/('Input Transaksi'!$B$5:$B$5000="LONDRI DEWE"),ROWS($E$5:E882)),"")</f>
        <v/>
      </c>
      <c r="F882" s="5" t="n"/>
    </row>
    <row r="883">
      <c r="A883" s="10">
        <f>IF($E883="","",INDEX('Input Transaksi'!$A:$A,$E883))</f>
        <v/>
      </c>
      <c r="B883" s="5">
        <f>IF($E883="","",INDEX('Input Transaksi'!$D:$D,$E883))</f>
        <v/>
      </c>
      <c r="C883">
        <f>IF($E883="","",INDEX('Input Transaksi'!$E:$E,$E883))</f>
        <v/>
      </c>
      <c r="D883" s="5">
        <f>IF($E883="","",INDEX('Input Transaksi'!$F:$F,$E883))</f>
        <v/>
      </c>
      <c r="E883">
        <f>IFERROR(AGGREGATE(15,6,ROW('Input Transaksi'!$B$5:$B$5000)/('Input Transaksi'!$B$5:$B$5000="LONDRI DEWE"),ROWS($E$5:E883)),"")</f>
        <v/>
      </c>
      <c r="F883" s="5" t="n"/>
    </row>
    <row r="884">
      <c r="A884" s="10">
        <f>IF($E884="","",INDEX('Input Transaksi'!$A:$A,$E884))</f>
        <v/>
      </c>
      <c r="B884" s="5">
        <f>IF($E884="","",INDEX('Input Transaksi'!$D:$D,$E884))</f>
        <v/>
      </c>
      <c r="C884">
        <f>IF($E884="","",INDEX('Input Transaksi'!$E:$E,$E884))</f>
        <v/>
      </c>
      <c r="D884" s="5">
        <f>IF($E884="","",INDEX('Input Transaksi'!$F:$F,$E884))</f>
        <v/>
      </c>
      <c r="E884">
        <f>IFERROR(AGGREGATE(15,6,ROW('Input Transaksi'!$B$5:$B$5000)/('Input Transaksi'!$B$5:$B$5000="LONDRI DEWE"),ROWS($E$5:E884)),"")</f>
        <v/>
      </c>
      <c r="F884" s="5" t="n"/>
    </row>
    <row r="885">
      <c r="A885" s="10">
        <f>IF($E885="","",INDEX('Input Transaksi'!$A:$A,$E885))</f>
        <v/>
      </c>
      <c r="B885" s="5">
        <f>IF($E885="","",INDEX('Input Transaksi'!$D:$D,$E885))</f>
        <v/>
      </c>
      <c r="C885">
        <f>IF($E885="","",INDEX('Input Transaksi'!$E:$E,$E885))</f>
        <v/>
      </c>
      <c r="D885" s="5">
        <f>IF($E885="","",INDEX('Input Transaksi'!$F:$F,$E885))</f>
        <v/>
      </c>
      <c r="E885">
        <f>IFERROR(AGGREGATE(15,6,ROW('Input Transaksi'!$B$5:$B$5000)/('Input Transaksi'!$B$5:$B$5000="LONDRI DEWE"),ROWS($E$5:E885)),"")</f>
        <v/>
      </c>
      <c r="F885" s="5" t="n"/>
    </row>
    <row r="886">
      <c r="A886" s="10">
        <f>IF($E886="","",INDEX('Input Transaksi'!$A:$A,$E886))</f>
        <v/>
      </c>
      <c r="B886" s="5">
        <f>IF($E886="","",INDEX('Input Transaksi'!$D:$D,$E886))</f>
        <v/>
      </c>
      <c r="C886">
        <f>IF($E886="","",INDEX('Input Transaksi'!$E:$E,$E886))</f>
        <v/>
      </c>
      <c r="D886" s="5">
        <f>IF($E886="","",INDEX('Input Transaksi'!$F:$F,$E886))</f>
        <v/>
      </c>
      <c r="E886">
        <f>IFERROR(AGGREGATE(15,6,ROW('Input Transaksi'!$B$5:$B$5000)/('Input Transaksi'!$B$5:$B$5000="LONDRI DEWE"),ROWS($E$5:E886)),"")</f>
        <v/>
      </c>
      <c r="F886" s="5" t="n"/>
    </row>
    <row r="887">
      <c r="A887" s="10">
        <f>IF($E887="","",INDEX('Input Transaksi'!$A:$A,$E887))</f>
        <v/>
      </c>
      <c r="B887" s="5">
        <f>IF($E887="","",INDEX('Input Transaksi'!$D:$D,$E887))</f>
        <v/>
      </c>
      <c r="C887">
        <f>IF($E887="","",INDEX('Input Transaksi'!$E:$E,$E887))</f>
        <v/>
      </c>
      <c r="D887" s="5">
        <f>IF($E887="","",INDEX('Input Transaksi'!$F:$F,$E887))</f>
        <v/>
      </c>
      <c r="E887">
        <f>IFERROR(AGGREGATE(15,6,ROW('Input Transaksi'!$B$5:$B$5000)/('Input Transaksi'!$B$5:$B$5000="LONDRI DEWE"),ROWS($E$5:E887)),"")</f>
        <v/>
      </c>
      <c r="F887" s="5" t="n"/>
    </row>
    <row r="888">
      <c r="A888" s="10">
        <f>IF($E888="","",INDEX('Input Transaksi'!$A:$A,$E888))</f>
        <v/>
      </c>
      <c r="B888" s="5">
        <f>IF($E888="","",INDEX('Input Transaksi'!$D:$D,$E888))</f>
        <v/>
      </c>
      <c r="C888">
        <f>IF($E888="","",INDEX('Input Transaksi'!$E:$E,$E888))</f>
        <v/>
      </c>
      <c r="D888" s="5">
        <f>IF($E888="","",INDEX('Input Transaksi'!$F:$F,$E888))</f>
        <v/>
      </c>
      <c r="E888">
        <f>IFERROR(AGGREGATE(15,6,ROW('Input Transaksi'!$B$5:$B$5000)/('Input Transaksi'!$B$5:$B$5000="LONDRI DEWE"),ROWS($E$5:E888)),"")</f>
        <v/>
      </c>
      <c r="F888" s="5" t="n"/>
    </row>
    <row r="889">
      <c r="A889" s="10">
        <f>IF($E889="","",INDEX('Input Transaksi'!$A:$A,$E889))</f>
        <v/>
      </c>
      <c r="B889" s="5">
        <f>IF($E889="","",INDEX('Input Transaksi'!$D:$D,$E889))</f>
        <v/>
      </c>
      <c r="C889">
        <f>IF($E889="","",INDEX('Input Transaksi'!$E:$E,$E889))</f>
        <v/>
      </c>
      <c r="D889" s="5">
        <f>IF($E889="","",INDEX('Input Transaksi'!$F:$F,$E889))</f>
        <v/>
      </c>
      <c r="E889">
        <f>IFERROR(AGGREGATE(15,6,ROW('Input Transaksi'!$B$5:$B$5000)/('Input Transaksi'!$B$5:$B$5000="LONDRI DEWE"),ROWS($E$5:E889)),"")</f>
        <v/>
      </c>
      <c r="F889" s="5" t="n"/>
    </row>
    <row r="890">
      <c r="A890" s="10">
        <f>IF($E890="","",INDEX('Input Transaksi'!$A:$A,$E890))</f>
        <v/>
      </c>
      <c r="B890" s="5">
        <f>IF($E890="","",INDEX('Input Transaksi'!$D:$D,$E890))</f>
        <v/>
      </c>
      <c r="C890">
        <f>IF($E890="","",INDEX('Input Transaksi'!$E:$E,$E890))</f>
        <v/>
      </c>
      <c r="D890" s="5">
        <f>IF($E890="","",INDEX('Input Transaksi'!$F:$F,$E890))</f>
        <v/>
      </c>
      <c r="E890">
        <f>IFERROR(AGGREGATE(15,6,ROW('Input Transaksi'!$B$5:$B$5000)/('Input Transaksi'!$B$5:$B$5000="LONDRI DEWE"),ROWS($E$5:E890)),"")</f>
        <v/>
      </c>
      <c r="F890" s="5" t="n"/>
    </row>
    <row r="891">
      <c r="A891" s="10">
        <f>IF($E891="","",INDEX('Input Transaksi'!$A:$A,$E891))</f>
        <v/>
      </c>
      <c r="B891" s="5">
        <f>IF($E891="","",INDEX('Input Transaksi'!$D:$D,$E891))</f>
        <v/>
      </c>
      <c r="C891">
        <f>IF($E891="","",INDEX('Input Transaksi'!$E:$E,$E891))</f>
        <v/>
      </c>
      <c r="D891" s="5">
        <f>IF($E891="","",INDEX('Input Transaksi'!$F:$F,$E891))</f>
        <v/>
      </c>
      <c r="E891">
        <f>IFERROR(AGGREGATE(15,6,ROW('Input Transaksi'!$B$5:$B$5000)/('Input Transaksi'!$B$5:$B$5000="LONDRI DEWE"),ROWS($E$5:E891)),"")</f>
        <v/>
      </c>
      <c r="F891" s="5" t="n"/>
    </row>
    <row r="892">
      <c r="A892" s="10">
        <f>IF($E892="","",INDEX('Input Transaksi'!$A:$A,$E892))</f>
        <v/>
      </c>
      <c r="B892" s="5">
        <f>IF($E892="","",INDEX('Input Transaksi'!$D:$D,$E892))</f>
        <v/>
      </c>
      <c r="C892">
        <f>IF($E892="","",INDEX('Input Transaksi'!$E:$E,$E892))</f>
        <v/>
      </c>
      <c r="D892" s="5">
        <f>IF($E892="","",INDEX('Input Transaksi'!$F:$F,$E892))</f>
        <v/>
      </c>
      <c r="E892">
        <f>IFERROR(AGGREGATE(15,6,ROW('Input Transaksi'!$B$5:$B$5000)/('Input Transaksi'!$B$5:$B$5000="LONDRI DEWE"),ROWS($E$5:E892)),"")</f>
        <v/>
      </c>
      <c r="F892" s="5" t="n"/>
    </row>
    <row r="893">
      <c r="A893" s="10">
        <f>IF($E893="","",INDEX('Input Transaksi'!$A:$A,$E893))</f>
        <v/>
      </c>
      <c r="B893" s="5">
        <f>IF($E893="","",INDEX('Input Transaksi'!$D:$D,$E893))</f>
        <v/>
      </c>
      <c r="C893">
        <f>IF($E893="","",INDEX('Input Transaksi'!$E:$E,$E893))</f>
        <v/>
      </c>
      <c r="D893" s="5">
        <f>IF($E893="","",INDEX('Input Transaksi'!$F:$F,$E893))</f>
        <v/>
      </c>
      <c r="E893">
        <f>IFERROR(AGGREGATE(15,6,ROW('Input Transaksi'!$B$5:$B$5000)/('Input Transaksi'!$B$5:$B$5000="LONDRI DEWE"),ROWS($E$5:E893)),"")</f>
        <v/>
      </c>
      <c r="F893" s="5" t="n"/>
    </row>
    <row r="894">
      <c r="A894" s="10">
        <f>IF($E894="","",INDEX('Input Transaksi'!$A:$A,$E894))</f>
        <v/>
      </c>
      <c r="B894" s="5">
        <f>IF($E894="","",INDEX('Input Transaksi'!$D:$D,$E894))</f>
        <v/>
      </c>
      <c r="C894">
        <f>IF($E894="","",INDEX('Input Transaksi'!$E:$E,$E894))</f>
        <v/>
      </c>
      <c r="D894" s="5">
        <f>IF($E894="","",INDEX('Input Transaksi'!$F:$F,$E894))</f>
        <v/>
      </c>
      <c r="E894">
        <f>IFERROR(AGGREGATE(15,6,ROW('Input Transaksi'!$B$5:$B$5000)/('Input Transaksi'!$B$5:$B$5000="LONDRI DEWE"),ROWS($E$5:E894)),"")</f>
        <v/>
      </c>
      <c r="F894" s="5" t="n"/>
    </row>
    <row r="895">
      <c r="A895" s="10">
        <f>IF($E895="","",INDEX('Input Transaksi'!$A:$A,$E895))</f>
        <v/>
      </c>
      <c r="B895" s="5">
        <f>IF($E895="","",INDEX('Input Transaksi'!$D:$D,$E895))</f>
        <v/>
      </c>
      <c r="C895">
        <f>IF($E895="","",INDEX('Input Transaksi'!$E:$E,$E895))</f>
        <v/>
      </c>
      <c r="D895" s="5">
        <f>IF($E895="","",INDEX('Input Transaksi'!$F:$F,$E895))</f>
        <v/>
      </c>
      <c r="E895">
        <f>IFERROR(AGGREGATE(15,6,ROW('Input Transaksi'!$B$5:$B$5000)/('Input Transaksi'!$B$5:$B$5000="LONDRI DEWE"),ROWS($E$5:E895)),"")</f>
        <v/>
      </c>
      <c r="F895" s="5" t="n"/>
    </row>
    <row r="896">
      <c r="A896" s="10">
        <f>IF($E896="","",INDEX('Input Transaksi'!$A:$A,$E896))</f>
        <v/>
      </c>
      <c r="B896" s="5">
        <f>IF($E896="","",INDEX('Input Transaksi'!$D:$D,$E896))</f>
        <v/>
      </c>
      <c r="C896">
        <f>IF($E896="","",INDEX('Input Transaksi'!$E:$E,$E896))</f>
        <v/>
      </c>
      <c r="D896" s="5">
        <f>IF($E896="","",INDEX('Input Transaksi'!$F:$F,$E896))</f>
        <v/>
      </c>
      <c r="E896">
        <f>IFERROR(AGGREGATE(15,6,ROW('Input Transaksi'!$B$5:$B$5000)/('Input Transaksi'!$B$5:$B$5000="LONDRI DEWE"),ROWS($E$5:E896)),"")</f>
        <v/>
      </c>
      <c r="F896" s="5" t="n"/>
    </row>
    <row r="897">
      <c r="A897" s="10">
        <f>IF($E897="","",INDEX('Input Transaksi'!$A:$A,$E897))</f>
        <v/>
      </c>
      <c r="B897" s="5">
        <f>IF($E897="","",INDEX('Input Transaksi'!$D:$D,$E897))</f>
        <v/>
      </c>
      <c r="C897">
        <f>IF($E897="","",INDEX('Input Transaksi'!$E:$E,$E897))</f>
        <v/>
      </c>
      <c r="D897" s="5">
        <f>IF($E897="","",INDEX('Input Transaksi'!$F:$F,$E897))</f>
        <v/>
      </c>
      <c r="E897">
        <f>IFERROR(AGGREGATE(15,6,ROW('Input Transaksi'!$B$5:$B$5000)/('Input Transaksi'!$B$5:$B$5000="LONDRI DEWE"),ROWS($E$5:E897)),"")</f>
        <v/>
      </c>
      <c r="F897" s="5" t="n"/>
    </row>
    <row r="898">
      <c r="A898" s="10">
        <f>IF($E898="","",INDEX('Input Transaksi'!$A:$A,$E898))</f>
        <v/>
      </c>
      <c r="B898" s="5">
        <f>IF($E898="","",INDEX('Input Transaksi'!$D:$D,$E898))</f>
        <v/>
      </c>
      <c r="C898">
        <f>IF($E898="","",INDEX('Input Transaksi'!$E:$E,$E898))</f>
        <v/>
      </c>
      <c r="D898" s="5">
        <f>IF($E898="","",INDEX('Input Transaksi'!$F:$F,$E898))</f>
        <v/>
      </c>
      <c r="E898">
        <f>IFERROR(AGGREGATE(15,6,ROW('Input Transaksi'!$B$5:$B$5000)/('Input Transaksi'!$B$5:$B$5000="LONDRI DEWE"),ROWS($E$5:E898)),"")</f>
        <v/>
      </c>
      <c r="F898" s="5" t="n"/>
    </row>
    <row r="899">
      <c r="A899" s="10">
        <f>IF($E899="","",INDEX('Input Transaksi'!$A:$A,$E899))</f>
        <v/>
      </c>
      <c r="B899" s="5">
        <f>IF($E899="","",INDEX('Input Transaksi'!$D:$D,$E899))</f>
        <v/>
      </c>
      <c r="C899">
        <f>IF($E899="","",INDEX('Input Transaksi'!$E:$E,$E899))</f>
        <v/>
      </c>
      <c r="D899" s="5">
        <f>IF($E899="","",INDEX('Input Transaksi'!$F:$F,$E899))</f>
        <v/>
      </c>
      <c r="E899">
        <f>IFERROR(AGGREGATE(15,6,ROW('Input Transaksi'!$B$5:$B$5000)/('Input Transaksi'!$B$5:$B$5000="LONDRI DEWE"),ROWS($E$5:E899)),"")</f>
        <v/>
      </c>
      <c r="F899" s="5" t="n"/>
    </row>
    <row r="900">
      <c r="A900" s="10">
        <f>IF($E900="","",INDEX('Input Transaksi'!$A:$A,$E900))</f>
        <v/>
      </c>
      <c r="B900" s="5">
        <f>IF($E900="","",INDEX('Input Transaksi'!$D:$D,$E900))</f>
        <v/>
      </c>
      <c r="C900">
        <f>IF($E900="","",INDEX('Input Transaksi'!$E:$E,$E900))</f>
        <v/>
      </c>
      <c r="D900" s="5">
        <f>IF($E900="","",INDEX('Input Transaksi'!$F:$F,$E900))</f>
        <v/>
      </c>
      <c r="E900">
        <f>IFERROR(AGGREGATE(15,6,ROW('Input Transaksi'!$B$5:$B$5000)/('Input Transaksi'!$B$5:$B$5000="LONDRI DEWE"),ROWS($E$5:E900)),"")</f>
        <v/>
      </c>
      <c r="F900" s="5" t="n"/>
    </row>
    <row r="901">
      <c r="A901" s="10">
        <f>IF($E901="","",INDEX('Input Transaksi'!$A:$A,$E901))</f>
        <v/>
      </c>
      <c r="B901" s="5">
        <f>IF($E901="","",INDEX('Input Transaksi'!$D:$D,$E901))</f>
        <v/>
      </c>
      <c r="C901">
        <f>IF($E901="","",INDEX('Input Transaksi'!$E:$E,$E901))</f>
        <v/>
      </c>
      <c r="D901" s="5">
        <f>IF($E901="","",INDEX('Input Transaksi'!$F:$F,$E901))</f>
        <v/>
      </c>
      <c r="E901">
        <f>IFERROR(AGGREGATE(15,6,ROW('Input Transaksi'!$B$5:$B$5000)/('Input Transaksi'!$B$5:$B$5000="LONDRI DEWE"),ROWS($E$5:E901)),"")</f>
        <v/>
      </c>
      <c r="F901" s="5" t="n"/>
    </row>
    <row r="902">
      <c r="A902" s="10">
        <f>IF($E902="","",INDEX('Input Transaksi'!$A:$A,$E902))</f>
        <v/>
      </c>
      <c r="B902" s="5">
        <f>IF($E902="","",INDEX('Input Transaksi'!$D:$D,$E902))</f>
        <v/>
      </c>
      <c r="C902">
        <f>IF($E902="","",INDEX('Input Transaksi'!$E:$E,$E902))</f>
        <v/>
      </c>
      <c r="D902" s="5">
        <f>IF($E902="","",INDEX('Input Transaksi'!$F:$F,$E902))</f>
        <v/>
      </c>
      <c r="E902">
        <f>IFERROR(AGGREGATE(15,6,ROW('Input Transaksi'!$B$5:$B$5000)/('Input Transaksi'!$B$5:$B$5000="LONDRI DEWE"),ROWS($E$5:E902)),"")</f>
        <v/>
      </c>
      <c r="F902" s="5" t="n"/>
    </row>
    <row r="903">
      <c r="A903" s="10">
        <f>IF($E903="","",INDEX('Input Transaksi'!$A:$A,$E903))</f>
        <v/>
      </c>
      <c r="B903" s="5">
        <f>IF($E903="","",INDEX('Input Transaksi'!$D:$D,$E903))</f>
        <v/>
      </c>
      <c r="C903">
        <f>IF($E903="","",INDEX('Input Transaksi'!$E:$E,$E903))</f>
        <v/>
      </c>
      <c r="D903" s="5">
        <f>IF($E903="","",INDEX('Input Transaksi'!$F:$F,$E903))</f>
        <v/>
      </c>
      <c r="E903">
        <f>IFERROR(AGGREGATE(15,6,ROW('Input Transaksi'!$B$5:$B$5000)/('Input Transaksi'!$B$5:$B$5000="LONDRI DEWE"),ROWS($E$5:E903)),"")</f>
        <v/>
      </c>
      <c r="F903" s="5" t="n"/>
    </row>
    <row r="904">
      <c r="A904" s="10">
        <f>IF($E904="","",INDEX('Input Transaksi'!$A:$A,$E904))</f>
        <v/>
      </c>
      <c r="B904" s="5">
        <f>IF($E904="","",INDEX('Input Transaksi'!$D:$D,$E904))</f>
        <v/>
      </c>
      <c r="C904">
        <f>IF($E904="","",INDEX('Input Transaksi'!$E:$E,$E904))</f>
        <v/>
      </c>
      <c r="D904" s="5">
        <f>IF($E904="","",INDEX('Input Transaksi'!$F:$F,$E904))</f>
        <v/>
      </c>
      <c r="E904">
        <f>IFERROR(AGGREGATE(15,6,ROW('Input Transaksi'!$B$5:$B$5000)/('Input Transaksi'!$B$5:$B$5000="LONDRI DEWE"),ROWS($E$5:E904)),"")</f>
        <v/>
      </c>
      <c r="F904" s="5" t="n"/>
    </row>
    <row r="905">
      <c r="A905" s="10">
        <f>IF($E905="","",INDEX('Input Transaksi'!$A:$A,$E905))</f>
        <v/>
      </c>
      <c r="B905" s="5">
        <f>IF($E905="","",INDEX('Input Transaksi'!$D:$D,$E905))</f>
        <v/>
      </c>
      <c r="C905">
        <f>IF($E905="","",INDEX('Input Transaksi'!$E:$E,$E905))</f>
        <v/>
      </c>
      <c r="D905" s="5">
        <f>IF($E905="","",INDEX('Input Transaksi'!$F:$F,$E905))</f>
        <v/>
      </c>
      <c r="E905">
        <f>IFERROR(AGGREGATE(15,6,ROW('Input Transaksi'!$B$5:$B$5000)/('Input Transaksi'!$B$5:$B$5000="LONDRI DEWE"),ROWS($E$5:E905)),"")</f>
        <v/>
      </c>
      <c r="F905" s="5" t="n"/>
    </row>
    <row r="906">
      <c r="A906" s="10">
        <f>IF($E906="","",INDEX('Input Transaksi'!$A:$A,$E906))</f>
        <v/>
      </c>
      <c r="B906" s="5">
        <f>IF($E906="","",INDEX('Input Transaksi'!$D:$D,$E906))</f>
        <v/>
      </c>
      <c r="C906">
        <f>IF($E906="","",INDEX('Input Transaksi'!$E:$E,$E906))</f>
        <v/>
      </c>
      <c r="D906" s="5">
        <f>IF($E906="","",INDEX('Input Transaksi'!$F:$F,$E906))</f>
        <v/>
      </c>
      <c r="E906">
        <f>IFERROR(AGGREGATE(15,6,ROW('Input Transaksi'!$B$5:$B$5000)/('Input Transaksi'!$B$5:$B$5000="LONDRI DEWE"),ROWS($E$5:E906)),"")</f>
        <v/>
      </c>
      <c r="F906" s="5" t="n"/>
    </row>
    <row r="907">
      <c r="A907" s="10">
        <f>IF($E907="","",INDEX('Input Transaksi'!$A:$A,$E907))</f>
        <v/>
      </c>
      <c r="B907" s="5">
        <f>IF($E907="","",INDEX('Input Transaksi'!$D:$D,$E907))</f>
        <v/>
      </c>
      <c r="C907">
        <f>IF($E907="","",INDEX('Input Transaksi'!$E:$E,$E907))</f>
        <v/>
      </c>
      <c r="D907" s="5">
        <f>IF($E907="","",INDEX('Input Transaksi'!$F:$F,$E907))</f>
        <v/>
      </c>
      <c r="E907">
        <f>IFERROR(AGGREGATE(15,6,ROW('Input Transaksi'!$B$5:$B$5000)/('Input Transaksi'!$B$5:$B$5000="LONDRI DEWE"),ROWS($E$5:E907)),"")</f>
        <v/>
      </c>
      <c r="F907" s="5" t="n"/>
    </row>
    <row r="908">
      <c r="A908" s="10">
        <f>IF($E908="","",INDEX('Input Transaksi'!$A:$A,$E908))</f>
        <v/>
      </c>
      <c r="B908" s="5">
        <f>IF($E908="","",INDEX('Input Transaksi'!$D:$D,$E908))</f>
        <v/>
      </c>
      <c r="C908">
        <f>IF($E908="","",INDEX('Input Transaksi'!$E:$E,$E908))</f>
        <v/>
      </c>
      <c r="D908" s="5">
        <f>IF($E908="","",INDEX('Input Transaksi'!$F:$F,$E908))</f>
        <v/>
      </c>
      <c r="E908">
        <f>IFERROR(AGGREGATE(15,6,ROW('Input Transaksi'!$B$5:$B$5000)/('Input Transaksi'!$B$5:$B$5000="LONDRI DEWE"),ROWS($E$5:E908)),"")</f>
        <v/>
      </c>
      <c r="F908" s="5" t="n"/>
    </row>
    <row r="909">
      <c r="A909" s="10">
        <f>IF($E909="","",INDEX('Input Transaksi'!$A:$A,$E909))</f>
        <v/>
      </c>
      <c r="B909" s="5">
        <f>IF($E909="","",INDEX('Input Transaksi'!$D:$D,$E909))</f>
        <v/>
      </c>
      <c r="C909">
        <f>IF($E909="","",INDEX('Input Transaksi'!$E:$E,$E909))</f>
        <v/>
      </c>
      <c r="D909" s="5">
        <f>IF($E909="","",INDEX('Input Transaksi'!$F:$F,$E909))</f>
        <v/>
      </c>
      <c r="E909">
        <f>IFERROR(AGGREGATE(15,6,ROW('Input Transaksi'!$B$5:$B$5000)/('Input Transaksi'!$B$5:$B$5000="LONDRI DEWE"),ROWS($E$5:E909)),"")</f>
        <v/>
      </c>
      <c r="F909" s="5" t="n"/>
    </row>
    <row r="910">
      <c r="A910" s="10">
        <f>IF($E910="","",INDEX('Input Transaksi'!$A:$A,$E910))</f>
        <v/>
      </c>
      <c r="B910" s="5">
        <f>IF($E910="","",INDEX('Input Transaksi'!$D:$D,$E910))</f>
        <v/>
      </c>
      <c r="C910">
        <f>IF($E910="","",INDEX('Input Transaksi'!$E:$E,$E910))</f>
        <v/>
      </c>
      <c r="D910" s="5">
        <f>IF($E910="","",INDEX('Input Transaksi'!$F:$F,$E910))</f>
        <v/>
      </c>
      <c r="E910">
        <f>IFERROR(AGGREGATE(15,6,ROW('Input Transaksi'!$B$5:$B$5000)/('Input Transaksi'!$B$5:$B$5000="LONDRI DEWE"),ROWS($E$5:E910)),"")</f>
        <v/>
      </c>
      <c r="F910" s="5" t="n"/>
    </row>
    <row r="911">
      <c r="A911" s="10">
        <f>IF($E911="","",INDEX('Input Transaksi'!$A:$A,$E911))</f>
        <v/>
      </c>
      <c r="B911" s="5">
        <f>IF($E911="","",INDEX('Input Transaksi'!$D:$D,$E911))</f>
        <v/>
      </c>
      <c r="C911">
        <f>IF($E911="","",INDEX('Input Transaksi'!$E:$E,$E911))</f>
        <v/>
      </c>
      <c r="D911" s="5">
        <f>IF($E911="","",INDEX('Input Transaksi'!$F:$F,$E911))</f>
        <v/>
      </c>
      <c r="E911">
        <f>IFERROR(AGGREGATE(15,6,ROW('Input Transaksi'!$B$5:$B$5000)/('Input Transaksi'!$B$5:$B$5000="LONDRI DEWE"),ROWS($E$5:E911)),"")</f>
        <v/>
      </c>
      <c r="F911" s="5" t="n"/>
    </row>
    <row r="912">
      <c r="A912" s="10">
        <f>IF($E912="","",INDEX('Input Transaksi'!$A:$A,$E912))</f>
        <v/>
      </c>
      <c r="B912" s="5">
        <f>IF($E912="","",INDEX('Input Transaksi'!$D:$D,$E912))</f>
        <v/>
      </c>
      <c r="C912">
        <f>IF($E912="","",INDEX('Input Transaksi'!$E:$E,$E912))</f>
        <v/>
      </c>
      <c r="D912" s="5">
        <f>IF($E912="","",INDEX('Input Transaksi'!$F:$F,$E912))</f>
        <v/>
      </c>
      <c r="E912">
        <f>IFERROR(AGGREGATE(15,6,ROW('Input Transaksi'!$B$5:$B$5000)/('Input Transaksi'!$B$5:$B$5000="LONDRI DEWE"),ROWS($E$5:E912)),"")</f>
        <v/>
      </c>
      <c r="F912" s="5" t="n"/>
    </row>
    <row r="913">
      <c r="A913" s="10">
        <f>IF($E913="","",INDEX('Input Transaksi'!$A:$A,$E913))</f>
        <v/>
      </c>
      <c r="B913" s="5">
        <f>IF($E913="","",INDEX('Input Transaksi'!$D:$D,$E913))</f>
        <v/>
      </c>
      <c r="C913">
        <f>IF($E913="","",INDEX('Input Transaksi'!$E:$E,$E913))</f>
        <v/>
      </c>
      <c r="D913" s="5">
        <f>IF($E913="","",INDEX('Input Transaksi'!$F:$F,$E913))</f>
        <v/>
      </c>
      <c r="E913">
        <f>IFERROR(AGGREGATE(15,6,ROW('Input Transaksi'!$B$5:$B$5000)/('Input Transaksi'!$B$5:$B$5000="LONDRI DEWE"),ROWS($E$5:E913)),"")</f>
        <v/>
      </c>
      <c r="F913" s="5" t="n"/>
    </row>
    <row r="914">
      <c r="A914" s="10">
        <f>IF($E914="","",INDEX('Input Transaksi'!$A:$A,$E914))</f>
        <v/>
      </c>
      <c r="B914" s="5">
        <f>IF($E914="","",INDEX('Input Transaksi'!$D:$D,$E914))</f>
        <v/>
      </c>
      <c r="C914">
        <f>IF($E914="","",INDEX('Input Transaksi'!$E:$E,$E914))</f>
        <v/>
      </c>
      <c r="D914" s="5">
        <f>IF($E914="","",INDEX('Input Transaksi'!$F:$F,$E914))</f>
        <v/>
      </c>
      <c r="E914">
        <f>IFERROR(AGGREGATE(15,6,ROW('Input Transaksi'!$B$5:$B$5000)/('Input Transaksi'!$B$5:$B$5000="LONDRI DEWE"),ROWS($E$5:E914)),"")</f>
        <v/>
      </c>
      <c r="F914" s="5" t="n"/>
    </row>
    <row r="915">
      <c r="A915" s="10">
        <f>IF($E915="","",INDEX('Input Transaksi'!$A:$A,$E915))</f>
        <v/>
      </c>
      <c r="B915" s="5">
        <f>IF($E915="","",INDEX('Input Transaksi'!$D:$D,$E915))</f>
        <v/>
      </c>
      <c r="C915">
        <f>IF($E915="","",INDEX('Input Transaksi'!$E:$E,$E915))</f>
        <v/>
      </c>
      <c r="D915" s="5">
        <f>IF($E915="","",INDEX('Input Transaksi'!$F:$F,$E915))</f>
        <v/>
      </c>
      <c r="E915">
        <f>IFERROR(AGGREGATE(15,6,ROW('Input Transaksi'!$B$5:$B$5000)/('Input Transaksi'!$B$5:$B$5000="LONDRI DEWE"),ROWS($E$5:E915)),"")</f>
        <v/>
      </c>
      <c r="F915" s="5" t="n"/>
    </row>
    <row r="916">
      <c r="A916" s="10">
        <f>IF($E916="","",INDEX('Input Transaksi'!$A:$A,$E916))</f>
        <v/>
      </c>
      <c r="B916" s="5">
        <f>IF($E916="","",INDEX('Input Transaksi'!$D:$D,$E916))</f>
        <v/>
      </c>
      <c r="C916">
        <f>IF($E916="","",INDEX('Input Transaksi'!$E:$E,$E916))</f>
        <v/>
      </c>
      <c r="D916" s="5">
        <f>IF($E916="","",INDEX('Input Transaksi'!$F:$F,$E916))</f>
        <v/>
      </c>
      <c r="E916">
        <f>IFERROR(AGGREGATE(15,6,ROW('Input Transaksi'!$B$5:$B$5000)/('Input Transaksi'!$B$5:$B$5000="LONDRI DEWE"),ROWS($E$5:E916)),"")</f>
        <v/>
      </c>
      <c r="F916" s="5" t="n"/>
    </row>
    <row r="917">
      <c r="A917" s="10">
        <f>IF($E917="","",INDEX('Input Transaksi'!$A:$A,$E917))</f>
        <v/>
      </c>
      <c r="B917" s="5">
        <f>IF($E917="","",INDEX('Input Transaksi'!$D:$D,$E917))</f>
        <v/>
      </c>
      <c r="C917">
        <f>IF($E917="","",INDEX('Input Transaksi'!$E:$E,$E917))</f>
        <v/>
      </c>
      <c r="D917" s="5">
        <f>IF($E917="","",INDEX('Input Transaksi'!$F:$F,$E917))</f>
        <v/>
      </c>
      <c r="E917">
        <f>IFERROR(AGGREGATE(15,6,ROW('Input Transaksi'!$B$5:$B$5000)/('Input Transaksi'!$B$5:$B$5000="LONDRI DEWE"),ROWS($E$5:E917)),"")</f>
        <v/>
      </c>
      <c r="F917" s="5" t="n"/>
    </row>
    <row r="918">
      <c r="A918" s="10">
        <f>IF($E918="","",INDEX('Input Transaksi'!$A:$A,$E918))</f>
        <v/>
      </c>
      <c r="B918" s="5">
        <f>IF($E918="","",INDEX('Input Transaksi'!$D:$D,$E918))</f>
        <v/>
      </c>
      <c r="C918">
        <f>IF($E918="","",INDEX('Input Transaksi'!$E:$E,$E918))</f>
        <v/>
      </c>
      <c r="D918" s="5">
        <f>IF($E918="","",INDEX('Input Transaksi'!$F:$F,$E918))</f>
        <v/>
      </c>
      <c r="E918">
        <f>IFERROR(AGGREGATE(15,6,ROW('Input Transaksi'!$B$5:$B$5000)/('Input Transaksi'!$B$5:$B$5000="LONDRI DEWE"),ROWS($E$5:E918)),"")</f>
        <v/>
      </c>
      <c r="F918" s="5" t="n"/>
    </row>
    <row r="919">
      <c r="A919" s="10">
        <f>IF($E919="","",INDEX('Input Transaksi'!$A:$A,$E919))</f>
        <v/>
      </c>
      <c r="B919" s="5">
        <f>IF($E919="","",INDEX('Input Transaksi'!$D:$D,$E919))</f>
        <v/>
      </c>
      <c r="C919">
        <f>IF($E919="","",INDEX('Input Transaksi'!$E:$E,$E919))</f>
        <v/>
      </c>
      <c r="D919" s="5">
        <f>IF($E919="","",INDEX('Input Transaksi'!$F:$F,$E919))</f>
        <v/>
      </c>
      <c r="E919">
        <f>IFERROR(AGGREGATE(15,6,ROW('Input Transaksi'!$B$5:$B$5000)/('Input Transaksi'!$B$5:$B$5000="LONDRI DEWE"),ROWS($E$5:E919)),"")</f>
        <v/>
      </c>
      <c r="F919" s="5" t="n"/>
    </row>
    <row r="920">
      <c r="A920" s="10">
        <f>IF($E920="","",INDEX('Input Transaksi'!$A:$A,$E920))</f>
        <v/>
      </c>
      <c r="B920" s="5">
        <f>IF($E920="","",INDEX('Input Transaksi'!$D:$D,$E920))</f>
        <v/>
      </c>
      <c r="C920">
        <f>IF($E920="","",INDEX('Input Transaksi'!$E:$E,$E920))</f>
        <v/>
      </c>
      <c r="D920" s="5">
        <f>IF($E920="","",INDEX('Input Transaksi'!$F:$F,$E920))</f>
        <v/>
      </c>
      <c r="E920">
        <f>IFERROR(AGGREGATE(15,6,ROW('Input Transaksi'!$B$5:$B$5000)/('Input Transaksi'!$B$5:$B$5000="LONDRI DEWE"),ROWS($E$5:E920)),"")</f>
        <v/>
      </c>
      <c r="F920" s="5" t="n"/>
    </row>
    <row r="921">
      <c r="A921" s="10">
        <f>IF($E921="","",INDEX('Input Transaksi'!$A:$A,$E921))</f>
        <v/>
      </c>
      <c r="B921" s="5">
        <f>IF($E921="","",INDEX('Input Transaksi'!$D:$D,$E921))</f>
        <v/>
      </c>
      <c r="C921">
        <f>IF($E921="","",INDEX('Input Transaksi'!$E:$E,$E921))</f>
        <v/>
      </c>
      <c r="D921" s="5">
        <f>IF($E921="","",INDEX('Input Transaksi'!$F:$F,$E921))</f>
        <v/>
      </c>
      <c r="E921">
        <f>IFERROR(AGGREGATE(15,6,ROW('Input Transaksi'!$B$5:$B$5000)/('Input Transaksi'!$B$5:$B$5000="LONDRI DEWE"),ROWS($E$5:E921)),"")</f>
        <v/>
      </c>
      <c r="F921" s="5" t="n"/>
    </row>
    <row r="922">
      <c r="A922" s="10">
        <f>IF($E922="","",INDEX('Input Transaksi'!$A:$A,$E922))</f>
        <v/>
      </c>
      <c r="B922" s="5">
        <f>IF($E922="","",INDEX('Input Transaksi'!$D:$D,$E922))</f>
        <v/>
      </c>
      <c r="C922">
        <f>IF($E922="","",INDEX('Input Transaksi'!$E:$E,$E922))</f>
        <v/>
      </c>
      <c r="D922" s="5">
        <f>IF($E922="","",INDEX('Input Transaksi'!$F:$F,$E922))</f>
        <v/>
      </c>
      <c r="E922">
        <f>IFERROR(AGGREGATE(15,6,ROW('Input Transaksi'!$B$5:$B$5000)/('Input Transaksi'!$B$5:$B$5000="LONDRI DEWE"),ROWS($E$5:E922)),"")</f>
        <v/>
      </c>
      <c r="F922" s="5" t="n"/>
    </row>
    <row r="923">
      <c r="A923" s="10">
        <f>IF($E923="","",INDEX('Input Transaksi'!$A:$A,$E923))</f>
        <v/>
      </c>
      <c r="B923" s="5">
        <f>IF($E923="","",INDEX('Input Transaksi'!$D:$D,$E923))</f>
        <v/>
      </c>
      <c r="C923">
        <f>IF($E923="","",INDEX('Input Transaksi'!$E:$E,$E923))</f>
        <v/>
      </c>
      <c r="D923" s="5">
        <f>IF($E923="","",INDEX('Input Transaksi'!$F:$F,$E923))</f>
        <v/>
      </c>
      <c r="E923">
        <f>IFERROR(AGGREGATE(15,6,ROW('Input Transaksi'!$B$5:$B$5000)/('Input Transaksi'!$B$5:$B$5000="LONDRI DEWE"),ROWS($E$5:E923)),"")</f>
        <v/>
      </c>
      <c r="F923" s="5" t="n"/>
    </row>
    <row r="924">
      <c r="A924" s="10">
        <f>IF($E924="","",INDEX('Input Transaksi'!$A:$A,$E924))</f>
        <v/>
      </c>
      <c r="B924" s="5">
        <f>IF($E924="","",INDEX('Input Transaksi'!$D:$D,$E924))</f>
        <v/>
      </c>
      <c r="C924">
        <f>IF($E924="","",INDEX('Input Transaksi'!$E:$E,$E924))</f>
        <v/>
      </c>
      <c r="D924" s="5">
        <f>IF($E924="","",INDEX('Input Transaksi'!$F:$F,$E924))</f>
        <v/>
      </c>
      <c r="E924">
        <f>IFERROR(AGGREGATE(15,6,ROW('Input Transaksi'!$B$5:$B$5000)/('Input Transaksi'!$B$5:$B$5000="LONDRI DEWE"),ROWS($E$5:E924)),"")</f>
        <v/>
      </c>
      <c r="F924" s="5" t="n"/>
    </row>
    <row r="925">
      <c r="A925" s="10">
        <f>IF($E925="","",INDEX('Input Transaksi'!$A:$A,$E925))</f>
        <v/>
      </c>
      <c r="B925" s="5">
        <f>IF($E925="","",INDEX('Input Transaksi'!$D:$D,$E925))</f>
        <v/>
      </c>
      <c r="C925">
        <f>IF($E925="","",INDEX('Input Transaksi'!$E:$E,$E925))</f>
        <v/>
      </c>
      <c r="D925" s="5">
        <f>IF($E925="","",INDEX('Input Transaksi'!$F:$F,$E925))</f>
        <v/>
      </c>
      <c r="E925">
        <f>IFERROR(AGGREGATE(15,6,ROW('Input Transaksi'!$B$5:$B$5000)/('Input Transaksi'!$B$5:$B$5000="LONDRI DEWE"),ROWS($E$5:E925)),"")</f>
        <v/>
      </c>
      <c r="F925" s="5" t="n"/>
    </row>
    <row r="926">
      <c r="A926" s="10">
        <f>IF($E926="","",INDEX('Input Transaksi'!$A:$A,$E926))</f>
        <v/>
      </c>
      <c r="B926" s="5">
        <f>IF($E926="","",INDEX('Input Transaksi'!$D:$D,$E926))</f>
        <v/>
      </c>
      <c r="C926">
        <f>IF($E926="","",INDEX('Input Transaksi'!$E:$E,$E926))</f>
        <v/>
      </c>
      <c r="D926" s="5">
        <f>IF($E926="","",INDEX('Input Transaksi'!$F:$F,$E926))</f>
        <v/>
      </c>
      <c r="E926">
        <f>IFERROR(AGGREGATE(15,6,ROW('Input Transaksi'!$B$5:$B$5000)/('Input Transaksi'!$B$5:$B$5000="LONDRI DEWE"),ROWS($E$5:E926)),"")</f>
        <v/>
      </c>
      <c r="F926" s="5" t="n"/>
    </row>
    <row r="927">
      <c r="A927" s="10">
        <f>IF($E927="","",INDEX('Input Transaksi'!$A:$A,$E927))</f>
        <v/>
      </c>
      <c r="B927" s="5">
        <f>IF($E927="","",INDEX('Input Transaksi'!$D:$D,$E927))</f>
        <v/>
      </c>
      <c r="C927">
        <f>IF($E927="","",INDEX('Input Transaksi'!$E:$E,$E927))</f>
        <v/>
      </c>
      <c r="D927" s="5">
        <f>IF($E927="","",INDEX('Input Transaksi'!$F:$F,$E927))</f>
        <v/>
      </c>
      <c r="E927">
        <f>IFERROR(AGGREGATE(15,6,ROW('Input Transaksi'!$B$5:$B$5000)/('Input Transaksi'!$B$5:$B$5000="LONDRI DEWE"),ROWS($E$5:E927)),"")</f>
        <v/>
      </c>
      <c r="F927" s="5" t="n"/>
    </row>
    <row r="928">
      <c r="A928" s="10">
        <f>IF($E928="","",INDEX('Input Transaksi'!$A:$A,$E928))</f>
        <v/>
      </c>
      <c r="B928" s="5">
        <f>IF($E928="","",INDEX('Input Transaksi'!$D:$D,$E928))</f>
        <v/>
      </c>
      <c r="C928">
        <f>IF($E928="","",INDEX('Input Transaksi'!$E:$E,$E928))</f>
        <v/>
      </c>
      <c r="D928" s="5">
        <f>IF($E928="","",INDEX('Input Transaksi'!$F:$F,$E928))</f>
        <v/>
      </c>
      <c r="E928">
        <f>IFERROR(AGGREGATE(15,6,ROW('Input Transaksi'!$B$5:$B$5000)/('Input Transaksi'!$B$5:$B$5000="LONDRI DEWE"),ROWS($E$5:E928)),"")</f>
        <v/>
      </c>
      <c r="F928" s="5" t="n"/>
    </row>
    <row r="929">
      <c r="A929" s="10">
        <f>IF($E929="","",INDEX('Input Transaksi'!$A:$A,$E929))</f>
        <v/>
      </c>
      <c r="B929" s="5">
        <f>IF($E929="","",INDEX('Input Transaksi'!$D:$D,$E929))</f>
        <v/>
      </c>
      <c r="C929">
        <f>IF($E929="","",INDEX('Input Transaksi'!$E:$E,$E929))</f>
        <v/>
      </c>
      <c r="D929" s="5">
        <f>IF($E929="","",INDEX('Input Transaksi'!$F:$F,$E929))</f>
        <v/>
      </c>
      <c r="E929">
        <f>IFERROR(AGGREGATE(15,6,ROW('Input Transaksi'!$B$5:$B$5000)/('Input Transaksi'!$B$5:$B$5000="LONDRI DEWE"),ROWS($E$5:E929)),"")</f>
        <v/>
      </c>
      <c r="F929" s="5" t="n"/>
    </row>
    <row r="930">
      <c r="A930" s="10">
        <f>IF($E930="","",INDEX('Input Transaksi'!$A:$A,$E930))</f>
        <v/>
      </c>
      <c r="B930" s="5">
        <f>IF($E930="","",INDEX('Input Transaksi'!$D:$D,$E930))</f>
        <v/>
      </c>
      <c r="C930">
        <f>IF($E930="","",INDEX('Input Transaksi'!$E:$E,$E930))</f>
        <v/>
      </c>
      <c r="D930" s="5">
        <f>IF($E930="","",INDEX('Input Transaksi'!$F:$F,$E930))</f>
        <v/>
      </c>
      <c r="E930">
        <f>IFERROR(AGGREGATE(15,6,ROW('Input Transaksi'!$B$5:$B$5000)/('Input Transaksi'!$B$5:$B$5000="LONDRI DEWE"),ROWS($E$5:E930)),"")</f>
        <v/>
      </c>
      <c r="F930" s="5" t="n"/>
    </row>
    <row r="931">
      <c r="A931" s="10">
        <f>IF($E931="","",INDEX('Input Transaksi'!$A:$A,$E931))</f>
        <v/>
      </c>
      <c r="B931" s="5">
        <f>IF($E931="","",INDEX('Input Transaksi'!$D:$D,$E931))</f>
        <v/>
      </c>
      <c r="C931">
        <f>IF($E931="","",INDEX('Input Transaksi'!$E:$E,$E931))</f>
        <v/>
      </c>
      <c r="D931" s="5">
        <f>IF($E931="","",INDEX('Input Transaksi'!$F:$F,$E931))</f>
        <v/>
      </c>
      <c r="E931">
        <f>IFERROR(AGGREGATE(15,6,ROW('Input Transaksi'!$B$5:$B$5000)/('Input Transaksi'!$B$5:$B$5000="LONDRI DEWE"),ROWS($E$5:E931)),"")</f>
        <v/>
      </c>
      <c r="F931" s="5" t="n"/>
    </row>
    <row r="932">
      <c r="A932" s="10">
        <f>IF($E932="","",INDEX('Input Transaksi'!$A:$A,$E932))</f>
        <v/>
      </c>
      <c r="B932" s="5">
        <f>IF($E932="","",INDEX('Input Transaksi'!$D:$D,$E932))</f>
        <v/>
      </c>
      <c r="C932">
        <f>IF($E932="","",INDEX('Input Transaksi'!$E:$E,$E932))</f>
        <v/>
      </c>
      <c r="D932" s="5">
        <f>IF($E932="","",INDEX('Input Transaksi'!$F:$F,$E932))</f>
        <v/>
      </c>
      <c r="E932">
        <f>IFERROR(AGGREGATE(15,6,ROW('Input Transaksi'!$B$5:$B$5000)/('Input Transaksi'!$B$5:$B$5000="LONDRI DEWE"),ROWS($E$5:E932)),"")</f>
        <v/>
      </c>
      <c r="F932" s="5" t="n"/>
    </row>
    <row r="933">
      <c r="A933" s="10">
        <f>IF($E933="","",INDEX('Input Transaksi'!$A:$A,$E933))</f>
        <v/>
      </c>
      <c r="B933" s="5">
        <f>IF($E933="","",INDEX('Input Transaksi'!$D:$D,$E933))</f>
        <v/>
      </c>
      <c r="C933">
        <f>IF($E933="","",INDEX('Input Transaksi'!$E:$E,$E933))</f>
        <v/>
      </c>
      <c r="D933" s="5">
        <f>IF($E933="","",INDEX('Input Transaksi'!$F:$F,$E933))</f>
        <v/>
      </c>
      <c r="E933">
        <f>IFERROR(AGGREGATE(15,6,ROW('Input Transaksi'!$B$5:$B$5000)/('Input Transaksi'!$B$5:$B$5000="LONDRI DEWE"),ROWS($E$5:E933)),"")</f>
        <v/>
      </c>
      <c r="F933" s="5" t="n"/>
    </row>
    <row r="934">
      <c r="A934" s="10">
        <f>IF($E934="","",INDEX('Input Transaksi'!$A:$A,$E934))</f>
        <v/>
      </c>
      <c r="B934" s="5">
        <f>IF($E934="","",INDEX('Input Transaksi'!$D:$D,$E934))</f>
        <v/>
      </c>
      <c r="C934">
        <f>IF($E934="","",INDEX('Input Transaksi'!$E:$E,$E934))</f>
        <v/>
      </c>
      <c r="D934" s="5">
        <f>IF($E934="","",INDEX('Input Transaksi'!$F:$F,$E934))</f>
        <v/>
      </c>
      <c r="E934">
        <f>IFERROR(AGGREGATE(15,6,ROW('Input Transaksi'!$B$5:$B$5000)/('Input Transaksi'!$B$5:$B$5000="LONDRI DEWE"),ROWS($E$5:E934)),"")</f>
        <v/>
      </c>
      <c r="F934" s="5" t="n"/>
    </row>
    <row r="935">
      <c r="A935" s="10">
        <f>IF($E935="","",INDEX('Input Transaksi'!$A:$A,$E935))</f>
        <v/>
      </c>
      <c r="B935" s="5">
        <f>IF($E935="","",INDEX('Input Transaksi'!$D:$D,$E935))</f>
        <v/>
      </c>
      <c r="C935">
        <f>IF($E935="","",INDEX('Input Transaksi'!$E:$E,$E935))</f>
        <v/>
      </c>
      <c r="D935" s="5">
        <f>IF($E935="","",INDEX('Input Transaksi'!$F:$F,$E935))</f>
        <v/>
      </c>
      <c r="E935">
        <f>IFERROR(AGGREGATE(15,6,ROW('Input Transaksi'!$B$5:$B$5000)/('Input Transaksi'!$B$5:$B$5000="LONDRI DEWE"),ROWS($E$5:E935)),"")</f>
        <v/>
      </c>
      <c r="F935" s="5" t="n"/>
    </row>
    <row r="936">
      <c r="A936" s="10">
        <f>IF($E936="","",INDEX('Input Transaksi'!$A:$A,$E936))</f>
        <v/>
      </c>
      <c r="B936" s="5">
        <f>IF($E936="","",INDEX('Input Transaksi'!$D:$D,$E936))</f>
        <v/>
      </c>
      <c r="C936">
        <f>IF($E936="","",INDEX('Input Transaksi'!$E:$E,$E936))</f>
        <v/>
      </c>
      <c r="D936" s="5">
        <f>IF($E936="","",INDEX('Input Transaksi'!$F:$F,$E936))</f>
        <v/>
      </c>
      <c r="E936">
        <f>IFERROR(AGGREGATE(15,6,ROW('Input Transaksi'!$B$5:$B$5000)/('Input Transaksi'!$B$5:$B$5000="LONDRI DEWE"),ROWS($E$5:E936)),"")</f>
        <v/>
      </c>
      <c r="F936" s="5" t="n"/>
    </row>
    <row r="937">
      <c r="A937" s="10">
        <f>IF($E937="","",INDEX('Input Transaksi'!$A:$A,$E937))</f>
        <v/>
      </c>
      <c r="B937" s="5">
        <f>IF($E937="","",INDEX('Input Transaksi'!$D:$D,$E937))</f>
        <v/>
      </c>
      <c r="C937">
        <f>IF($E937="","",INDEX('Input Transaksi'!$E:$E,$E937))</f>
        <v/>
      </c>
      <c r="D937" s="5">
        <f>IF($E937="","",INDEX('Input Transaksi'!$F:$F,$E937))</f>
        <v/>
      </c>
      <c r="E937">
        <f>IFERROR(AGGREGATE(15,6,ROW('Input Transaksi'!$B$5:$B$5000)/('Input Transaksi'!$B$5:$B$5000="LONDRI DEWE"),ROWS($E$5:E937)),"")</f>
        <v/>
      </c>
      <c r="F937" s="5" t="n"/>
    </row>
    <row r="938">
      <c r="A938" s="10">
        <f>IF($E938="","",INDEX('Input Transaksi'!$A:$A,$E938))</f>
        <v/>
      </c>
      <c r="B938" s="5">
        <f>IF($E938="","",INDEX('Input Transaksi'!$D:$D,$E938))</f>
        <v/>
      </c>
      <c r="C938">
        <f>IF($E938="","",INDEX('Input Transaksi'!$E:$E,$E938))</f>
        <v/>
      </c>
      <c r="D938" s="5">
        <f>IF($E938="","",INDEX('Input Transaksi'!$F:$F,$E938))</f>
        <v/>
      </c>
      <c r="E938">
        <f>IFERROR(AGGREGATE(15,6,ROW('Input Transaksi'!$B$5:$B$5000)/('Input Transaksi'!$B$5:$B$5000="LONDRI DEWE"),ROWS($E$5:E938)),"")</f>
        <v/>
      </c>
      <c r="F938" s="5" t="n"/>
    </row>
    <row r="939">
      <c r="A939" s="10">
        <f>IF($E939="","",INDEX('Input Transaksi'!$A:$A,$E939))</f>
        <v/>
      </c>
      <c r="B939" s="5">
        <f>IF($E939="","",INDEX('Input Transaksi'!$D:$D,$E939))</f>
        <v/>
      </c>
      <c r="C939">
        <f>IF($E939="","",INDEX('Input Transaksi'!$E:$E,$E939))</f>
        <v/>
      </c>
      <c r="D939" s="5">
        <f>IF($E939="","",INDEX('Input Transaksi'!$F:$F,$E939))</f>
        <v/>
      </c>
      <c r="E939">
        <f>IFERROR(AGGREGATE(15,6,ROW('Input Transaksi'!$B$5:$B$5000)/('Input Transaksi'!$B$5:$B$5000="LONDRI DEWE"),ROWS($E$5:E939)),"")</f>
        <v/>
      </c>
      <c r="F939" s="5" t="n"/>
    </row>
    <row r="940">
      <c r="A940" s="10">
        <f>IF($E940="","",INDEX('Input Transaksi'!$A:$A,$E940))</f>
        <v/>
      </c>
      <c r="B940" s="5">
        <f>IF($E940="","",INDEX('Input Transaksi'!$D:$D,$E940))</f>
        <v/>
      </c>
      <c r="C940">
        <f>IF($E940="","",INDEX('Input Transaksi'!$E:$E,$E940))</f>
        <v/>
      </c>
      <c r="D940" s="5">
        <f>IF($E940="","",INDEX('Input Transaksi'!$F:$F,$E940))</f>
        <v/>
      </c>
      <c r="E940">
        <f>IFERROR(AGGREGATE(15,6,ROW('Input Transaksi'!$B$5:$B$5000)/('Input Transaksi'!$B$5:$B$5000="LONDRI DEWE"),ROWS($E$5:E940)),"")</f>
        <v/>
      </c>
      <c r="F940" s="5" t="n"/>
    </row>
    <row r="941">
      <c r="A941" s="10">
        <f>IF($E941="","",INDEX('Input Transaksi'!$A:$A,$E941))</f>
        <v/>
      </c>
      <c r="B941" s="5">
        <f>IF($E941="","",INDEX('Input Transaksi'!$D:$D,$E941))</f>
        <v/>
      </c>
      <c r="C941">
        <f>IF($E941="","",INDEX('Input Transaksi'!$E:$E,$E941))</f>
        <v/>
      </c>
      <c r="D941" s="5">
        <f>IF($E941="","",INDEX('Input Transaksi'!$F:$F,$E941))</f>
        <v/>
      </c>
      <c r="E941">
        <f>IFERROR(AGGREGATE(15,6,ROW('Input Transaksi'!$B$5:$B$5000)/('Input Transaksi'!$B$5:$B$5000="LONDRI DEWE"),ROWS($E$5:E941)),"")</f>
        <v/>
      </c>
      <c r="F941" s="5" t="n"/>
    </row>
    <row r="942">
      <c r="A942" s="10">
        <f>IF($E942="","",INDEX('Input Transaksi'!$A:$A,$E942))</f>
        <v/>
      </c>
      <c r="B942" s="5">
        <f>IF($E942="","",INDEX('Input Transaksi'!$D:$D,$E942))</f>
        <v/>
      </c>
      <c r="C942">
        <f>IF($E942="","",INDEX('Input Transaksi'!$E:$E,$E942))</f>
        <v/>
      </c>
      <c r="D942" s="5">
        <f>IF($E942="","",INDEX('Input Transaksi'!$F:$F,$E942))</f>
        <v/>
      </c>
      <c r="E942">
        <f>IFERROR(AGGREGATE(15,6,ROW('Input Transaksi'!$B$5:$B$5000)/('Input Transaksi'!$B$5:$B$5000="LONDRI DEWE"),ROWS($E$5:E942)),"")</f>
        <v/>
      </c>
      <c r="F942" s="5" t="n"/>
    </row>
    <row r="943">
      <c r="A943" s="10">
        <f>IF($E943="","",INDEX('Input Transaksi'!$A:$A,$E943))</f>
        <v/>
      </c>
      <c r="B943" s="5">
        <f>IF($E943="","",INDEX('Input Transaksi'!$D:$D,$E943))</f>
        <v/>
      </c>
      <c r="C943">
        <f>IF($E943="","",INDEX('Input Transaksi'!$E:$E,$E943))</f>
        <v/>
      </c>
      <c r="D943" s="5">
        <f>IF($E943="","",INDEX('Input Transaksi'!$F:$F,$E943))</f>
        <v/>
      </c>
      <c r="E943">
        <f>IFERROR(AGGREGATE(15,6,ROW('Input Transaksi'!$B$5:$B$5000)/('Input Transaksi'!$B$5:$B$5000="LONDRI DEWE"),ROWS($E$5:E943)),"")</f>
        <v/>
      </c>
      <c r="F943" s="5" t="n"/>
    </row>
    <row r="944">
      <c r="A944" s="10">
        <f>IF($E944="","",INDEX('Input Transaksi'!$A:$A,$E944))</f>
        <v/>
      </c>
      <c r="B944" s="5">
        <f>IF($E944="","",INDEX('Input Transaksi'!$D:$D,$E944))</f>
        <v/>
      </c>
      <c r="C944">
        <f>IF($E944="","",INDEX('Input Transaksi'!$E:$E,$E944))</f>
        <v/>
      </c>
      <c r="D944" s="5">
        <f>IF($E944="","",INDEX('Input Transaksi'!$F:$F,$E944))</f>
        <v/>
      </c>
      <c r="E944">
        <f>IFERROR(AGGREGATE(15,6,ROW('Input Transaksi'!$B$5:$B$5000)/('Input Transaksi'!$B$5:$B$5000="LONDRI DEWE"),ROWS($E$5:E944)),"")</f>
        <v/>
      </c>
      <c r="F944" s="5" t="n"/>
    </row>
    <row r="945">
      <c r="A945" s="10">
        <f>IF($E945="","",INDEX('Input Transaksi'!$A:$A,$E945))</f>
        <v/>
      </c>
      <c r="B945" s="5">
        <f>IF($E945="","",INDEX('Input Transaksi'!$D:$D,$E945))</f>
        <v/>
      </c>
      <c r="C945">
        <f>IF($E945="","",INDEX('Input Transaksi'!$E:$E,$E945))</f>
        <v/>
      </c>
      <c r="D945" s="5">
        <f>IF($E945="","",INDEX('Input Transaksi'!$F:$F,$E945))</f>
        <v/>
      </c>
      <c r="E945">
        <f>IFERROR(AGGREGATE(15,6,ROW('Input Transaksi'!$B$5:$B$5000)/('Input Transaksi'!$B$5:$B$5000="LONDRI DEWE"),ROWS($E$5:E945)),"")</f>
        <v/>
      </c>
      <c r="F945" s="5" t="n"/>
    </row>
    <row r="946">
      <c r="A946" s="10">
        <f>IF($E946="","",INDEX('Input Transaksi'!$A:$A,$E946))</f>
        <v/>
      </c>
      <c r="B946" s="5">
        <f>IF($E946="","",INDEX('Input Transaksi'!$D:$D,$E946))</f>
        <v/>
      </c>
      <c r="C946">
        <f>IF($E946="","",INDEX('Input Transaksi'!$E:$E,$E946))</f>
        <v/>
      </c>
      <c r="D946" s="5">
        <f>IF($E946="","",INDEX('Input Transaksi'!$F:$F,$E946))</f>
        <v/>
      </c>
      <c r="E946">
        <f>IFERROR(AGGREGATE(15,6,ROW('Input Transaksi'!$B$5:$B$5000)/('Input Transaksi'!$B$5:$B$5000="LONDRI DEWE"),ROWS($E$5:E946)),"")</f>
        <v/>
      </c>
      <c r="F946" s="5" t="n"/>
    </row>
    <row r="947">
      <c r="A947" s="10">
        <f>IF($E947="","",INDEX('Input Transaksi'!$A:$A,$E947))</f>
        <v/>
      </c>
      <c r="B947" s="5">
        <f>IF($E947="","",INDEX('Input Transaksi'!$D:$D,$E947))</f>
        <v/>
      </c>
      <c r="C947">
        <f>IF($E947="","",INDEX('Input Transaksi'!$E:$E,$E947))</f>
        <v/>
      </c>
      <c r="D947" s="5">
        <f>IF($E947="","",INDEX('Input Transaksi'!$F:$F,$E947))</f>
        <v/>
      </c>
      <c r="E947">
        <f>IFERROR(AGGREGATE(15,6,ROW('Input Transaksi'!$B$5:$B$5000)/('Input Transaksi'!$B$5:$B$5000="LONDRI DEWE"),ROWS($E$5:E947)),"")</f>
        <v/>
      </c>
      <c r="F947" s="5" t="n"/>
    </row>
    <row r="948">
      <c r="A948" s="10">
        <f>IF($E948="","",INDEX('Input Transaksi'!$A:$A,$E948))</f>
        <v/>
      </c>
      <c r="B948" s="5">
        <f>IF($E948="","",INDEX('Input Transaksi'!$D:$D,$E948))</f>
        <v/>
      </c>
      <c r="C948">
        <f>IF($E948="","",INDEX('Input Transaksi'!$E:$E,$E948))</f>
        <v/>
      </c>
      <c r="D948" s="5">
        <f>IF($E948="","",INDEX('Input Transaksi'!$F:$F,$E948))</f>
        <v/>
      </c>
      <c r="E948">
        <f>IFERROR(AGGREGATE(15,6,ROW('Input Transaksi'!$B$5:$B$5000)/('Input Transaksi'!$B$5:$B$5000="LONDRI DEWE"),ROWS($E$5:E948)),"")</f>
        <v/>
      </c>
      <c r="F948" s="5" t="n"/>
    </row>
    <row r="949">
      <c r="A949" s="10">
        <f>IF($E949="","",INDEX('Input Transaksi'!$A:$A,$E949))</f>
        <v/>
      </c>
      <c r="B949" s="5">
        <f>IF($E949="","",INDEX('Input Transaksi'!$D:$D,$E949))</f>
        <v/>
      </c>
      <c r="C949">
        <f>IF($E949="","",INDEX('Input Transaksi'!$E:$E,$E949))</f>
        <v/>
      </c>
      <c r="D949" s="5">
        <f>IF($E949="","",INDEX('Input Transaksi'!$F:$F,$E949))</f>
        <v/>
      </c>
      <c r="E949">
        <f>IFERROR(AGGREGATE(15,6,ROW('Input Transaksi'!$B$5:$B$5000)/('Input Transaksi'!$B$5:$B$5000="LONDRI DEWE"),ROWS($E$5:E949)),"")</f>
        <v/>
      </c>
      <c r="F949" s="5" t="n"/>
    </row>
    <row r="950">
      <c r="A950" s="10">
        <f>IF($E950="","",INDEX('Input Transaksi'!$A:$A,$E950))</f>
        <v/>
      </c>
      <c r="B950" s="5">
        <f>IF($E950="","",INDEX('Input Transaksi'!$D:$D,$E950))</f>
        <v/>
      </c>
      <c r="C950">
        <f>IF($E950="","",INDEX('Input Transaksi'!$E:$E,$E950))</f>
        <v/>
      </c>
      <c r="D950" s="5">
        <f>IF($E950="","",INDEX('Input Transaksi'!$F:$F,$E950))</f>
        <v/>
      </c>
      <c r="E950">
        <f>IFERROR(AGGREGATE(15,6,ROW('Input Transaksi'!$B$5:$B$5000)/('Input Transaksi'!$B$5:$B$5000="LONDRI DEWE"),ROWS($E$5:E950)),"")</f>
        <v/>
      </c>
      <c r="F950" s="5" t="n"/>
    </row>
    <row r="951">
      <c r="A951" s="10">
        <f>IF($E951="","",INDEX('Input Transaksi'!$A:$A,$E951))</f>
        <v/>
      </c>
      <c r="B951" s="5">
        <f>IF($E951="","",INDEX('Input Transaksi'!$D:$D,$E951))</f>
        <v/>
      </c>
      <c r="C951">
        <f>IF($E951="","",INDEX('Input Transaksi'!$E:$E,$E951))</f>
        <v/>
      </c>
      <c r="D951" s="5">
        <f>IF($E951="","",INDEX('Input Transaksi'!$F:$F,$E951))</f>
        <v/>
      </c>
      <c r="E951">
        <f>IFERROR(AGGREGATE(15,6,ROW('Input Transaksi'!$B$5:$B$5000)/('Input Transaksi'!$B$5:$B$5000="LONDRI DEWE"),ROWS($E$5:E951)),"")</f>
        <v/>
      </c>
      <c r="F951" s="5" t="n"/>
    </row>
    <row r="952">
      <c r="A952" s="10">
        <f>IF($E952="","",INDEX('Input Transaksi'!$A:$A,$E952))</f>
        <v/>
      </c>
      <c r="B952" s="5">
        <f>IF($E952="","",INDEX('Input Transaksi'!$D:$D,$E952))</f>
        <v/>
      </c>
      <c r="C952">
        <f>IF($E952="","",INDEX('Input Transaksi'!$E:$E,$E952))</f>
        <v/>
      </c>
      <c r="D952" s="5">
        <f>IF($E952="","",INDEX('Input Transaksi'!$F:$F,$E952))</f>
        <v/>
      </c>
      <c r="E952">
        <f>IFERROR(AGGREGATE(15,6,ROW('Input Transaksi'!$B$5:$B$5000)/('Input Transaksi'!$B$5:$B$5000="LONDRI DEWE"),ROWS($E$5:E952)),"")</f>
        <v/>
      </c>
      <c r="F952" s="5" t="n"/>
    </row>
    <row r="953">
      <c r="A953" s="10">
        <f>IF($E953="","",INDEX('Input Transaksi'!$A:$A,$E953))</f>
        <v/>
      </c>
      <c r="B953" s="5">
        <f>IF($E953="","",INDEX('Input Transaksi'!$D:$D,$E953))</f>
        <v/>
      </c>
      <c r="C953">
        <f>IF($E953="","",INDEX('Input Transaksi'!$E:$E,$E953))</f>
        <v/>
      </c>
      <c r="D953" s="5">
        <f>IF($E953="","",INDEX('Input Transaksi'!$F:$F,$E953))</f>
        <v/>
      </c>
      <c r="E953">
        <f>IFERROR(AGGREGATE(15,6,ROW('Input Transaksi'!$B$5:$B$5000)/('Input Transaksi'!$B$5:$B$5000="LONDRI DEWE"),ROWS($E$5:E953)),"")</f>
        <v/>
      </c>
      <c r="F953" s="5" t="n"/>
    </row>
    <row r="954">
      <c r="A954" s="10">
        <f>IF($E954="","",INDEX('Input Transaksi'!$A:$A,$E954))</f>
        <v/>
      </c>
      <c r="B954" s="5">
        <f>IF($E954="","",INDEX('Input Transaksi'!$D:$D,$E954))</f>
        <v/>
      </c>
      <c r="C954">
        <f>IF($E954="","",INDEX('Input Transaksi'!$E:$E,$E954))</f>
        <v/>
      </c>
      <c r="D954" s="5">
        <f>IF($E954="","",INDEX('Input Transaksi'!$F:$F,$E954))</f>
        <v/>
      </c>
      <c r="E954">
        <f>IFERROR(AGGREGATE(15,6,ROW('Input Transaksi'!$B$5:$B$5000)/('Input Transaksi'!$B$5:$B$5000="LONDRI DEWE"),ROWS($E$5:E954)),"")</f>
        <v/>
      </c>
      <c r="F954" s="5" t="n"/>
    </row>
    <row r="955">
      <c r="A955" s="10">
        <f>IF($E955="","",INDEX('Input Transaksi'!$A:$A,$E955))</f>
        <v/>
      </c>
      <c r="B955" s="5">
        <f>IF($E955="","",INDEX('Input Transaksi'!$D:$D,$E955))</f>
        <v/>
      </c>
      <c r="C955">
        <f>IF($E955="","",INDEX('Input Transaksi'!$E:$E,$E955))</f>
        <v/>
      </c>
      <c r="D955" s="5">
        <f>IF($E955="","",INDEX('Input Transaksi'!$F:$F,$E955))</f>
        <v/>
      </c>
      <c r="E955">
        <f>IFERROR(AGGREGATE(15,6,ROW('Input Transaksi'!$B$5:$B$5000)/('Input Transaksi'!$B$5:$B$5000="LONDRI DEWE"),ROWS($E$5:E955)),"")</f>
        <v/>
      </c>
      <c r="F955" s="5" t="n"/>
    </row>
    <row r="956">
      <c r="A956" s="10">
        <f>IF($E956="","",INDEX('Input Transaksi'!$A:$A,$E956))</f>
        <v/>
      </c>
      <c r="B956" s="5">
        <f>IF($E956="","",INDEX('Input Transaksi'!$D:$D,$E956))</f>
        <v/>
      </c>
      <c r="C956">
        <f>IF($E956="","",INDEX('Input Transaksi'!$E:$E,$E956))</f>
        <v/>
      </c>
      <c r="D956" s="5">
        <f>IF($E956="","",INDEX('Input Transaksi'!$F:$F,$E956))</f>
        <v/>
      </c>
      <c r="E956">
        <f>IFERROR(AGGREGATE(15,6,ROW('Input Transaksi'!$B$5:$B$5000)/('Input Transaksi'!$B$5:$B$5000="LONDRI DEWE"),ROWS($E$5:E956)),"")</f>
        <v/>
      </c>
      <c r="F956" s="5" t="n"/>
    </row>
    <row r="957">
      <c r="A957" s="10">
        <f>IF($E957="","",INDEX('Input Transaksi'!$A:$A,$E957))</f>
        <v/>
      </c>
      <c r="B957" s="5">
        <f>IF($E957="","",INDEX('Input Transaksi'!$D:$D,$E957))</f>
        <v/>
      </c>
      <c r="C957">
        <f>IF($E957="","",INDEX('Input Transaksi'!$E:$E,$E957))</f>
        <v/>
      </c>
      <c r="D957" s="5">
        <f>IF($E957="","",INDEX('Input Transaksi'!$F:$F,$E957))</f>
        <v/>
      </c>
      <c r="E957">
        <f>IFERROR(AGGREGATE(15,6,ROW('Input Transaksi'!$B$5:$B$5000)/('Input Transaksi'!$B$5:$B$5000="LONDRI DEWE"),ROWS($E$5:E957)),"")</f>
        <v/>
      </c>
      <c r="F957" s="5" t="n"/>
    </row>
    <row r="958">
      <c r="A958" s="10">
        <f>IF($E958="","",INDEX('Input Transaksi'!$A:$A,$E958))</f>
        <v/>
      </c>
      <c r="B958" s="5">
        <f>IF($E958="","",INDEX('Input Transaksi'!$D:$D,$E958))</f>
        <v/>
      </c>
      <c r="C958">
        <f>IF($E958="","",INDEX('Input Transaksi'!$E:$E,$E958))</f>
        <v/>
      </c>
      <c r="D958" s="5">
        <f>IF($E958="","",INDEX('Input Transaksi'!$F:$F,$E958))</f>
        <v/>
      </c>
      <c r="E958">
        <f>IFERROR(AGGREGATE(15,6,ROW('Input Transaksi'!$B$5:$B$5000)/('Input Transaksi'!$B$5:$B$5000="LONDRI DEWE"),ROWS($E$5:E958)),"")</f>
        <v/>
      </c>
      <c r="F958" s="5" t="n"/>
    </row>
    <row r="959">
      <c r="A959" s="10">
        <f>IF($E959="","",INDEX('Input Transaksi'!$A:$A,$E959))</f>
        <v/>
      </c>
      <c r="B959" s="5">
        <f>IF($E959="","",INDEX('Input Transaksi'!$D:$D,$E959))</f>
        <v/>
      </c>
      <c r="C959">
        <f>IF($E959="","",INDEX('Input Transaksi'!$E:$E,$E959))</f>
        <v/>
      </c>
      <c r="D959" s="5">
        <f>IF($E959="","",INDEX('Input Transaksi'!$F:$F,$E959))</f>
        <v/>
      </c>
      <c r="E959">
        <f>IFERROR(AGGREGATE(15,6,ROW('Input Transaksi'!$B$5:$B$5000)/('Input Transaksi'!$B$5:$B$5000="LONDRI DEWE"),ROWS($E$5:E959)),"")</f>
        <v/>
      </c>
      <c r="F959" s="5" t="n"/>
    </row>
    <row r="960">
      <c r="A960" s="10">
        <f>IF($E960="","",INDEX('Input Transaksi'!$A:$A,$E960))</f>
        <v/>
      </c>
      <c r="B960" s="5">
        <f>IF($E960="","",INDEX('Input Transaksi'!$D:$D,$E960))</f>
        <v/>
      </c>
      <c r="C960">
        <f>IF($E960="","",INDEX('Input Transaksi'!$E:$E,$E960))</f>
        <v/>
      </c>
      <c r="D960" s="5">
        <f>IF($E960="","",INDEX('Input Transaksi'!$F:$F,$E960))</f>
        <v/>
      </c>
      <c r="E960">
        <f>IFERROR(AGGREGATE(15,6,ROW('Input Transaksi'!$B$5:$B$5000)/('Input Transaksi'!$B$5:$B$5000="LONDRI DEWE"),ROWS($E$5:E960)),"")</f>
        <v/>
      </c>
      <c r="F960" s="5" t="n"/>
    </row>
    <row r="961">
      <c r="A961" s="10">
        <f>IF($E961="","",INDEX('Input Transaksi'!$A:$A,$E961))</f>
        <v/>
      </c>
      <c r="B961" s="5">
        <f>IF($E961="","",INDEX('Input Transaksi'!$D:$D,$E961))</f>
        <v/>
      </c>
      <c r="C961">
        <f>IF($E961="","",INDEX('Input Transaksi'!$E:$E,$E961))</f>
        <v/>
      </c>
      <c r="D961" s="5">
        <f>IF($E961="","",INDEX('Input Transaksi'!$F:$F,$E961))</f>
        <v/>
      </c>
      <c r="E961">
        <f>IFERROR(AGGREGATE(15,6,ROW('Input Transaksi'!$B$5:$B$5000)/('Input Transaksi'!$B$5:$B$5000="LONDRI DEWE"),ROWS($E$5:E961)),"")</f>
        <v/>
      </c>
      <c r="F961" s="5" t="n"/>
    </row>
    <row r="962">
      <c r="A962" s="10">
        <f>IF($E962="","",INDEX('Input Transaksi'!$A:$A,$E962))</f>
        <v/>
      </c>
      <c r="B962" s="5">
        <f>IF($E962="","",INDEX('Input Transaksi'!$D:$D,$E962))</f>
        <v/>
      </c>
      <c r="C962">
        <f>IF($E962="","",INDEX('Input Transaksi'!$E:$E,$E962))</f>
        <v/>
      </c>
      <c r="D962" s="5">
        <f>IF($E962="","",INDEX('Input Transaksi'!$F:$F,$E962))</f>
        <v/>
      </c>
      <c r="E962">
        <f>IFERROR(AGGREGATE(15,6,ROW('Input Transaksi'!$B$5:$B$5000)/('Input Transaksi'!$B$5:$B$5000="LONDRI DEWE"),ROWS($E$5:E962)),"")</f>
        <v/>
      </c>
      <c r="F962" s="5" t="n"/>
    </row>
    <row r="963">
      <c r="A963" s="10">
        <f>IF($E963="","",INDEX('Input Transaksi'!$A:$A,$E963))</f>
        <v/>
      </c>
      <c r="B963" s="5">
        <f>IF($E963="","",INDEX('Input Transaksi'!$D:$D,$E963))</f>
        <v/>
      </c>
      <c r="C963">
        <f>IF($E963="","",INDEX('Input Transaksi'!$E:$E,$E963))</f>
        <v/>
      </c>
      <c r="D963" s="5">
        <f>IF($E963="","",INDEX('Input Transaksi'!$F:$F,$E963))</f>
        <v/>
      </c>
      <c r="E963">
        <f>IFERROR(AGGREGATE(15,6,ROW('Input Transaksi'!$B$5:$B$5000)/('Input Transaksi'!$B$5:$B$5000="LONDRI DEWE"),ROWS($E$5:E963)),"")</f>
        <v/>
      </c>
      <c r="F963" s="5" t="n"/>
    </row>
    <row r="964">
      <c r="A964" s="10">
        <f>IF($E964="","",INDEX('Input Transaksi'!$A:$A,$E964))</f>
        <v/>
      </c>
      <c r="B964" s="5">
        <f>IF($E964="","",INDEX('Input Transaksi'!$D:$D,$E964))</f>
        <v/>
      </c>
      <c r="C964">
        <f>IF($E964="","",INDEX('Input Transaksi'!$E:$E,$E964))</f>
        <v/>
      </c>
      <c r="D964" s="5">
        <f>IF($E964="","",INDEX('Input Transaksi'!$F:$F,$E964))</f>
        <v/>
      </c>
      <c r="E964">
        <f>IFERROR(AGGREGATE(15,6,ROW('Input Transaksi'!$B$5:$B$5000)/('Input Transaksi'!$B$5:$B$5000="LONDRI DEWE"),ROWS($E$5:E964)),"")</f>
        <v/>
      </c>
      <c r="F964" s="5" t="n"/>
    </row>
    <row r="965">
      <c r="A965" s="10">
        <f>IF($E965="","",INDEX('Input Transaksi'!$A:$A,$E965))</f>
        <v/>
      </c>
      <c r="B965" s="5">
        <f>IF($E965="","",INDEX('Input Transaksi'!$D:$D,$E965))</f>
        <v/>
      </c>
      <c r="C965">
        <f>IF($E965="","",INDEX('Input Transaksi'!$E:$E,$E965))</f>
        <v/>
      </c>
      <c r="D965" s="5">
        <f>IF($E965="","",INDEX('Input Transaksi'!$F:$F,$E965))</f>
        <v/>
      </c>
      <c r="E965">
        <f>IFERROR(AGGREGATE(15,6,ROW('Input Transaksi'!$B$5:$B$5000)/('Input Transaksi'!$B$5:$B$5000="LONDRI DEWE"),ROWS($E$5:E965)),"")</f>
        <v/>
      </c>
      <c r="F965" s="5" t="n"/>
    </row>
    <row r="966">
      <c r="A966" s="10">
        <f>IF($E966="","",INDEX('Input Transaksi'!$A:$A,$E966))</f>
        <v/>
      </c>
      <c r="B966" s="5">
        <f>IF($E966="","",INDEX('Input Transaksi'!$D:$D,$E966))</f>
        <v/>
      </c>
      <c r="C966">
        <f>IF($E966="","",INDEX('Input Transaksi'!$E:$E,$E966))</f>
        <v/>
      </c>
      <c r="D966" s="5">
        <f>IF($E966="","",INDEX('Input Transaksi'!$F:$F,$E966))</f>
        <v/>
      </c>
      <c r="E966">
        <f>IFERROR(AGGREGATE(15,6,ROW('Input Transaksi'!$B$5:$B$5000)/('Input Transaksi'!$B$5:$B$5000="LONDRI DEWE"),ROWS($E$5:E966)),"")</f>
        <v/>
      </c>
      <c r="F966" s="5" t="n"/>
    </row>
    <row r="967">
      <c r="A967" s="10">
        <f>IF($E967="","",INDEX('Input Transaksi'!$A:$A,$E967))</f>
        <v/>
      </c>
      <c r="B967" s="5">
        <f>IF($E967="","",INDEX('Input Transaksi'!$D:$D,$E967))</f>
        <v/>
      </c>
      <c r="C967">
        <f>IF($E967="","",INDEX('Input Transaksi'!$E:$E,$E967))</f>
        <v/>
      </c>
      <c r="D967" s="5">
        <f>IF($E967="","",INDEX('Input Transaksi'!$F:$F,$E967))</f>
        <v/>
      </c>
      <c r="E967">
        <f>IFERROR(AGGREGATE(15,6,ROW('Input Transaksi'!$B$5:$B$5000)/('Input Transaksi'!$B$5:$B$5000="LONDRI DEWE"),ROWS($E$5:E967)),"")</f>
        <v/>
      </c>
      <c r="F967" s="5" t="n"/>
    </row>
    <row r="968">
      <c r="A968" s="10">
        <f>IF($E968="","",INDEX('Input Transaksi'!$A:$A,$E968))</f>
        <v/>
      </c>
      <c r="B968" s="5">
        <f>IF($E968="","",INDEX('Input Transaksi'!$D:$D,$E968))</f>
        <v/>
      </c>
      <c r="C968">
        <f>IF($E968="","",INDEX('Input Transaksi'!$E:$E,$E968))</f>
        <v/>
      </c>
      <c r="D968" s="5">
        <f>IF($E968="","",INDEX('Input Transaksi'!$F:$F,$E968))</f>
        <v/>
      </c>
      <c r="E968">
        <f>IFERROR(AGGREGATE(15,6,ROW('Input Transaksi'!$B$5:$B$5000)/('Input Transaksi'!$B$5:$B$5000="LONDRI DEWE"),ROWS($E$5:E968)),"")</f>
        <v/>
      </c>
      <c r="F968" s="5" t="n"/>
    </row>
    <row r="969">
      <c r="A969" s="10">
        <f>IF($E969="","",INDEX('Input Transaksi'!$A:$A,$E969))</f>
        <v/>
      </c>
      <c r="B969" s="5">
        <f>IF($E969="","",INDEX('Input Transaksi'!$D:$D,$E969))</f>
        <v/>
      </c>
      <c r="C969">
        <f>IF($E969="","",INDEX('Input Transaksi'!$E:$E,$E969))</f>
        <v/>
      </c>
      <c r="D969" s="5">
        <f>IF($E969="","",INDEX('Input Transaksi'!$F:$F,$E969))</f>
        <v/>
      </c>
      <c r="E969">
        <f>IFERROR(AGGREGATE(15,6,ROW('Input Transaksi'!$B$5:$B$5000)/('Input Transaksi'!$B$5:$B$5000="LONDRI DEWE"),ROWS($E$5:E969)),"")</f>
        <v/>
      </c>
      <c r="F969" s="5" t="n"/>
    </row>
    <row r="970">
      <c r="A970" s="10">
        <f>IF($E970="","",INDEX('Input Transaksi'!$A:$A,$E970))</f>
        <v/>
      </c>
      <c r="B970" s="5">
        <f>IF($E970="","",INDEX('Input Transaksi'!$D:$D,$E970))</f>
        <v/>
      </c>
      <c r="C970">
        <f>IF($E970="","",INDEX('Input Transaksi'!$E:$E,$E970))</f>
        <v/>
      </c>
      <c r="D970" s="5">
        <f>IF($E970="","",INDEX('Input Transaksi'!$F:$F,$E970))</f>
        <v/>
      </c>
      <c r="E970">
        <f>IFERROR(AGGREGATE(15,6,ROW('Input Transaksi'!$B$5:$B$5000)/('Input Transaksi'!$B$5:$B$5000="LONDRI DEWE"),ROWS($E$5:E970)),"")</f>
        <v/>
      </c>
      <c r="F970" s="5" t="n"/>
    </row>
    <row r="971">
      <c r="A971" s="10">
        <f>IF($E971="","",INDEX('Input Transaksi'!$A:$A,$E971))</f>
        <v/>
      </c>
      <c r="B971" s="5">
        <f>IF($E971="","",INDEX('Input Transaksi'!$D:$D,$E971))</f>
        <v/>
      </c>
      <c r="C971">
        <f>IF($E971="","",INDEX('Input Transaksi'!$E:$E,$E971))</f>
        <v/>
      </c>
      <c r="D971" s="5">
        <f>IF($E971="","",INDEX('Input Transaksi'!$F:$F,$E971))</f>
        <v/>
      </c>
      <c r="E971">
        <f>IFERROR(AGGREGATE(15,6,ROW('Input Transaksi'!$B$5:$B$5000)/('Input Transaksi'!$B$5:$B$5000="LONDRI DEWE"),ROWS($E$5:E971)),"")</f>
        <v/>
      </c>
      <c r="F971" s="5" t="n"/>
    </row>
    <row r="972">
      <c r="A972" s="10">
        <f>IF($E972="","",INDEX('Input Transaksi'!$A:$A,$E972))</f>
        <v/>
      </c>
      <c r="B972" s="5">
        <f>IF($E972="","",INDEX('Input Transaksi'!$D:$D,$E972))</f>
        <v/>
      </c>
      <c r="C972">
        <f>IF($E972="","",INDEX('Input Transaksi'!$E:$E,$E972))</f>
        <v/>
      </c>
      <c r="D972" s="5">
        <f>IF($E972="","",INDEX('Input Transaksi'!$F:$F,$E972))</f>
        <v/>
      </c>
      <c r="E972">
        <f>IFERROR(AGGREGATE(15,6,ROW('Input Transaksi'!$B$5:$B$5000)/('Input Transaksi'!$B$5:$B$5000="LONDRI DEWE"),ROWS($E$5:E972)),"")</f>
        <v/>
      </c>
      <c r="F972" s="5" t="n"/>
    </row>
    <row r="973">
      <c r="A973" s="10">
        <f>IF($E973="","",INDEX('Input Transaksi'!$A:$A,$E973))</f>
        <v/>
      </c>
      <c r="B973" s="5">
        <f>IF($E973="","",INDEX('Input Transaksi'!$D:$D,$E973))</f>
        <v/>
      </c>
      <c r="C973">
        <f>IF($E973="","",INDEX('Input Transaksi'!$E:$E,$E973))</f>
        <v/>
      </c>
      <c r="D973" s="5">
        <f>IF($E973="","",INDEX('Input Transaksi'!$F:$F,$E973))</f>
        <v/>
      </c>
      <c r="E973">
        <f>IFERROR(AGGREGATE(15,6,ROW('Input Transaksi'!$B$5:$B$5000)/('Input Transaksi'!$B$5:$B$5000="LONDRI DEWE"),ROWS($E$5:E973)),"")</f>
        <v/>
      </c>
      <c r="F973" s="5" t="n"/>
    </row>
    <row r="974">
      <c r="A974" s="10">
        <f>IF($E974="","",INDEX('Input Transaksi'!$A:$A,$E974))</f>
        <v/>
      </c>
      <c r="B974" s="5">
        <f>IF($E974="","",INDEX('Input Transaksi'!$D:$D,$E974))</f>
        <v/>
      </c>
      <c r="C974">
        <f>IF($E974="","",INDEX('Input Transaksi'!$E:$E,$E974))</f>
        <v/>
      </c>
      <c r="D974" s="5">
        <f>IF($E974="","",INDEX('Input Transaksi'!$F:$F,$E974))</f>
        <v/>
      </c>
      <c r="E974">
        <f>IFERROR(AGGREGATE(15,6,ROW('Input Transaksi'!$B$5:$B$5000)/('Input Transaksi'!$B$5:$B$5000="LONDRI DEWE"),ROWS($E$5:E974)),"")</f>
        <v/>
      </c>
      <c r="F974" s="5" t="n"/>
    </row>
    <row r="975">
      <c r="A975" s="10">
        <f>IF($E975="","",INDEX('Input Transaksi'!$A:$A,$E975))</f>
        <v/>
      </c>
      <c r="B975" s="5">
        <f>IF($E975="","",INDEX('Input Transaksi'!$D:$D,$E975))</f>
        <v/>
      </c>
      <c r="C975">
        <f>IF($E975="","",INDEX('Input Transaksi'!$E:$E,$E975))</f>
        <v/>
      </c>
      <c r="D975" s="5">
        <f>IF($E975="","",INDEX('Input Transaksi'!$F:$F,$E975))</f>
        <v/>
      </c>
      <c r="E975">
        <f>IFERROR(AGGREGATE(15,6,ROW('Input Transaksi'!$B$5:$B$5000)/('Input Transaksi'!$B$5:$B$5000="LONDRI DEWE"),ROWS($E$5:E975)),"")</f>
        <v/>
      </c>
      <c r="F975" s="5" t="n"/>
    </row>
    <row r="976">
      <c r="A976" s="10">
        <f>IF($E976="","",INDEX('Input Transaksi'!$A:$A,$E976))</f>
        <v/>
      </c>
      <c r="B976" s="5">
        <f>IF($E976="","",INDEX('Input Transaksi'!$D:$D,$E976))</f>
        <v/>
      </c>
      <c r="C976">
        <f>IF($E976="","",INDEX('Input Transaksi'!$E:$E,$E976))</f>
        <v/>
      </c>
      <c r="D976" s="5">
        <f>IF($E976="","",INDEX('Input Transaksi'!$F:$F,$E976))</f>
        <v/>
      </c>
      <c r="E976">
        <f>IFERROR(AGGREGATE(15,6,ROW('Input Transaksi'!$B$5:$B$5000)/('Input Transaksi'!$B$5:$B$5000="LONDRI DEWE"),ROWS($E$5:E976)),"")</f>
        <v/>
      </c>
      <c r="F976" s="5" t="n"/>
    </row>
    <row r="977">
      <c r="A977" s="10">
        <f>IF($E977="","",INDEX('Input Transaksi'!$A:$A,$E977))</f>
        <v/>
      </c>
      <c r="B977" s="5">
        <f>IF($E977="","",INDEX('Input Transaksi'!$D:$D,$E977))</f>
        <v/>
      </c>
      <c r="C977">
        <f>IF($E977="","",INDEX('Input Transaksi'!$E:$E,$E977))</f>
        <v/>
      </c>
      <c r="D977" s="5">
        <f>IF($E977="","",INDEX('Input Transaksi'!$F:$F,$E977))</f>
        <v/>
      </c>
      <c r="E977">
        <f>IFERROR(AGGREGATE(15,6,ROW('Input Transaksi'!$B$5:$B$5000)/('Input Transaksi'!$B$5:$B$5000="LONDRI DEWE"),ROWS($E$5:E977)),"")</f>
        <v/>
      </c>
      <c r="F977" s="5" t="n"/>
    </row>
    <row r="978">
      <c r="A978" s="10">
        <f>IF($E978="","",INDEX('Input Transaksi'!$A:$A,$E978))</f>
        <v/>
      </c>
      <c r="B978" s="5">
        <f>IF($E978="","",INDEX('Input Transaksi'!$D:$D,$E978))</f>
        <v/>
      </c>
      <c r="C978">
        <f>IF($E978="","",INDEX('Input Transaksi'!$E:$E,$E978))</f>
        <v/>
      </c>
      <c r="D978" s="5">
        <f>IF($E978="","",INDEX('Input Transaksi'!$F:$F,$E978))</f>
        <v/>
      </c>
      <c r="E978">
        <f>IFERROR(AGGREGATE(15,6,ROW('Input Transaksi'!$B$5:$B$5000)/('Input Transaksi'!$B$5:$B$5000="LONDRI DEWE"),ROWS($E$5:E978)),"")</f>
        <v/>
      </c>
      <c r="F978" s="5" t="n"/>
    </row>
    <row r="979">
      <c r="A979" s="10">
        <f>IF($E979="","",INDEX('Input Transaksi'!$A:$A,$E979))</f>
        <v/>
      </c>
      <c r="B979" s="5">
        <f>IF($E979="","",INDEX('Input Transaksi'!$D:$D,$E979))</f>
        <v/>
      </c>
      <c r="C979">
        <f>IF($E979="","",INDEX('Input Transaksi'!$E:$E,$E979))</f>
        <v/>
      </c>
      <c r="D979" s="5">
        <f>IF($E979="","",INDEX('Input Transaksi'!$F:$F,$E979))</f>
        <v/>
      </c>
      <c r="E979">
        <f>IFERROR(AGGREGATE(15,6,ROW('Input Transaksi'!$B$5:$B$5000)/('Input Transaksi'!$B$5:$B$5000="LONDRI DEWE"),ROWS($E$5:E979)),"")</f>
        <v/>
      </c>
      <c r="F979" s="5" t="n"/>
    </row>
    <row r="980">
      <c r="A980" s="10">
        <f>IF($E980="","",INDEX('Input Transaksi'!$A:$A,$E980))</f>
        <v/>
      </c>
      <c r="B980" s="5">
        <f>IF($E980="","",INDEX('Input Transaksi'!$D:$D,$E980))</f>
        <v/>
      </c>
      <c r="C980">
        <f>IF($E980="","",INDEX('Input Transaksi'!$E:$E,$E980))</f>
        <v/>
      </c>
      <c r="D980" s="5">
        <f>IF($E980="","",INDEX('Input Transaksi'!$F:$F,$E980))</f>
        <v/>
      </c>
      <c r="E980">
        <f>IFERROR(AGGREGATE(15,6,ROW('Input Transaksi'!$B$5:$B$5000)/('Input Transaksi'!$B$5:$B$5000="LONDRI DEWE"),ROWS($E$5:E980)),"")</f>
        <v/>
      </c>
      <c r="F980" s="5" t="n"/>
    </row>
    <row r="981">
      <c r="A981" s="10">
        <f>IF($E981="","",INDEX('Input Transaksi'!$A:$A,$E981))</f>
        <v/>
      </c>
      <c r="B981" s="5">
        <f>IF($E981="","",INDEX('Input Transaksi'!$D:$D,$E981))</f>
        <v/>
      </c>
      <c r="C981">
        <f>IF($E981="","",INDEX('Input Transaksi'!$E:$E,$E981))</f>
        <v/>
      </c>
      <c r="D981" s="5">
        <f>IF($E981="","",INDEX('Input Transaksi'!$F:$F,$E981))</f>
        <v/>
      </c>
      <c r="E981">
        <f>IFERROR(AGGREGATE(15,6,ROW('Input Transaksi'!$B$5:$B$5000)/('Input Transaksi'!$B$5:$B$5000="LONDRI DEWE"),ROWS($E$5:E981)),"")</f>
        <v/>
      </c>
      <c r="F981" s="5" t="n"/>
    </row>
    <row r="982">
      <c r="A982" s="10">
        <f>IF($E982="","",INDEX('Input Transaksi'!$A:$A,$E982))</f>
        <v/>
      </c>
      <c r="B982" s="5">
        <f>IF($E982="","",INDEX('Input Transaksi'!$D:$D,$E982))</f>
        <v/>
      </c>
      <c r="C982">
        <f>IF($E982="","",INDEX('Input Transaksi'!$E:$E,$E982))</f>
        <v/>
      </c>
      <c r="D982" s="5">
        <f>IF($E982="","",INDEX('Input Transaksi'!$F:$F,$E982))</f>
        <v/>
      </c>
      <c r="E982">
        <f>IFERROR(AGGREGATE(15,6,ROW('Input Transaksi'!$B$5:$B$5000)/('Input Transaksi'!$B$5:$B$5000="LONDRI DEWE"),ROWS($E$5:E982)),"")</f>
        <v/>
      </c>
      <c r="F982" s="5" t="n"/>
    </row>
    <row r="983">
      <c r="A983" s="10">
        <f>IF($E983="","",INDEX('Input Transaksi'!$A:$A,$E983))</f>
        <v/>
      </c>
      <c r="B983" s="5">
        <f>IF($E983="","",INDEX('Input Transaksi'!$D:$D,$E983))</f>
        <v/>
      </c>
      <c r="C983">
        <f>IF($E983="","",INDEX('Input Transaksi'!$E:$E,$E983))</f>
        <v/>
      </c>
      <c r="D983" s="5">
        <f>IF($E983="","",INDEX('Input Transaksi'!$F:$F,$E983))</f>
        <v/>
      </c>
      <c r="E983">
        <f>IFERROR(AGGREGATE(15,6,ROW('Input Transaksi'!$B$5:$B$5000)/('Input Transaksi'!$B$5:$B$5000="LONDRI DEWE"),ROWS($E$5:E983)),"")</f>
        <v/>
      </c>
      <c r="F983" s="5" t="n"/>
    </row>
    <row r="984">
      <c r="A984" s="10">
        <f>IF($E984="","",INDEX('Input Transaksi'!$A:$A,$E984))</f>
        <v/>
      </c>
      <c r="B984" s="5">
        <f>IF($E984="","",INDEX('Input Transaksi'!$D:$D,$E984))</f>
        <v/>
      </c>
      <c r="C984">
        <f>IF($E984="","",INDEX('Input Transaksi'!$E:$E,$E984))</f>
        <v/>
      </c>
      <c r="D984" s="5">
        <f>IF($E984="","",INDEX('Input Transaksi'!$F:$F,$E984))</f>
        <v/>
      </c>
      <c r="E984">
        <f>IFERROR(AGGREGATE(15,6,ROW('Input Transaksi'!$B$5:$B$5000)/('Input Transaksi'!$B$5:$B$5000="LONDRI DEWE"),ROWS($E$5:E984)),"")</f>
        <v/>
      </c>
      <c r="F984" s="5" t="n"/>
    </row>
    <row r="985">
      <c r="A985" s="10">
        <f>IF($E985="","",INDEX('Input Transaksi'!$A:$A,$E985))</f>
        <v/>
      </c>
      <c r="B985" s="5">
        <f>IF($E985="","",INDEX('Input Transaksi'!$D:$D,$E985))</f>
        <v/>
      </c>
      <c r="C985">
        <f>IF($E985="","",INDEX('Input Transaksi'!$E:$E,$E985))</f>
        <v/>
      </c>
      <c r="D985" s="5">
        <f>IF($E985="","",INDEX('Input Transaksi'!$F:$F,$E985))</f>
        <v/>
      </c>
      <c r="E985">
        <f>IFERROR(AGGREGATE(15,6,ROW('Input Transaksi'!$B$5:$B$5000)/('Input Transaksi'!$B$5:$B$5000="LONDRI DEWE"),ROWS($E$5:E985)),"")</f>
        <v/>
      </c>
      <c r="F985" s="5" t="n"/>
    </row>
    <row r="986">
      <c r="A986" s="10">
        <f>IF($E986="","",INDEX('Input Transaksi'!$A:$A,$E986))</f>
        <v/>
      </c>
      <c r="B986" s="5">
        <f>IF($E986="","",INDEX('Input Transaksi'!$D:$D,$E986))</f>
        <v/>
      </c>
      <c r="C986">
        <f>IF($E986="","",INDEX('Input Transaksi'!$E:$E,$E986))</f>
        <v/>
      </c>
      <c r="D986" s="5">
        <f>IF($E986="","",INDEX('Input Transaksi'!$F:$F,$E986))</f>
        <v/>
      </c>
      <c r="E986">
        <f>IFERROR(AGGREGATE(15,6,ROW('Input Transaksi'!$B$5:$B$5000)/('Input Transaksi'!$B$5:$B$5000="LONDRI DEWE"),ROWS($E$5:E986)),"")</f>
        <v/>
      </c>
      <c r="F986" s="5" t="n"/>
    </row>
    <row r="987">
      <c r="A987" s="10">
        <f>IF($E987="","",INDEX('Input Transaksi'!$A:$A,$E987))</f>
        <v/>
      </c>
      <c r="B987" s="5">
        <f>IF($E987="","",INDEX('Input Transaksi'!$D:$D,$E987))</f>
        <v/>
      </c>
      <c r="C987">
        <f>IF($E987="","",INDEX('Input Transaksi'!$E:$E,$E987))</f>
        <v/>
      </c>
      <c r="D987" s="5">
        <f>IF($E987="","",INDEX('Input Transaksi'!$F:$F,$E987))</f>
        <v/>
      </c>
      <c r="E987">
        <f>IFERROR(AGGREGATE(15,6,ROW('Input Transaksi'!$B$5:$B$5000)/('Input Transaksi'!$B$5:$B$5000="LONDRI DEWE"),ROWS($E$5:E987)),"")</f>
        <v/>
      </c>
      <c r="F987" s="5" t="n"/>
    </row>
    <row r="988">
      <c r="A988" s="10">
        <f>IF($E988="","",INDEX('Input Transaksi'!$A:$A,$E988))</f>
        <v/>
      </c>
      <c r="B988" s="5">
        <f>IF($E988="","",INDEX('Input Transaksi'!$D:$D,$E988))</f>
        <v/>
      </c>
      <c r="C988">
        <f>IF($E988="","",INDEX('Input Transaksi'!$E:$E,$E988))</f>
        <v/>
      </c>
      <c r="D988" s="5">
        <f>IF($E988="","",INDEX('Input Transaksi'!$F:$F,$E988))</f>
        <v/>
      </c>
      <c r="E988">
        <f>IFERROR(AGGREGATE(15,6,ROW('Input Transaksi'!$B$5:$B$5000)/('Input Transaksi'!$B$5:$B$5000="LONDRI DEWE"),ROWS($E$5:E988)),"")</f>
        <v/>
      </c>
      <c r="F988" s="5" t="n"/>
    </row>
    <row r="989">
      <c r="A989" s="10">
        <f>IF($E989="","",INDEX('Input Transaksi'!$A:$A,$E989))</f>
        <v/>
      </c>
      <c r="B989" s="5">
        <f>IF($E989="","",INDEX('Input Transaksi'!$D:$D,$E989))</f>
        <v/>
      </c>
      <c r="C989">
        <f>IF($E989="","",INDEX('Input Transaksi'!$E:$E,$E989))</f>
        <v/>
      </c>
      <c r="D989" s="5">
        <f>IF($E989="","",INDEX('Input Transaksi'!$F:$F,$E989))</f>
        <v/>
      </c>
      <c r="E989">
        <f>IFERROR(AGGREGATE(15,6,ROW('Input Transaksi'!$B$5:$B$5000)/('Input Transaksi'!$B$5:$B$5000="LONDRI DEWE"),ROWS($E$5:E989)),"")</f>
        <v/>
      </c>
      <c r="F989" s="5" t="n"/>
    </row>
    <row r="990">
      <c r="A990" s="10">
        <f>IF($E990="","",INDEX('Input Transaksi'!$A:$A,$E990))</f>
        <v/>
      </c>
      <c r="B990" s="5">
        <f>IF($E990="","",INDEX('Input Transaksi'!$D:$D,$E990))</f>
        <v/>
      </c>
      <c r="C990">
        <f>IF($E990="","",INDEX('Input Transaksi'!$E:$E,$E990))</f>
        <v/>
      </c>
      <c r="D990" s="5">
        <f>IF($E990="","",INDEX('Input Transaksi'!$F:$F,$E990))</f>
        <v/>
      </c>
      <c r="E990">
        <f>IFERROR(AGGREGATE(15,6,ROW('Input Transaksi'!$B$5:$B$5000)/('Input Transaksi'!$B$5:$B$5000="LONDRI DEWE"),ROWS($E$5:E990)),"")</f>
        <v/>
      </c>
      <c r="F990" s="5" t="n"/>
    </row>
    <row r="991">
      <c r="A991" s="10">
        <f>IF($E991="","",INDEX('Input Transaksi'!$A:$A,$E991))</f>
        <v/>
      </c>
      <c r="B991" s="5">
        <f>IF($E991="","",INDEX('Input Transaksi'!$D:$D,$E991))</f>
        <v/>
      </c>
      <c r="C991">
        <f>IF($E991="","",INDEX('Input Transaksi'!$E:$E,$E991))</f>
        <v/>
      </c>
      <c r="D991" s="5">
        <f>IF($E991="","",INDEX('Input Transaksi'!$F:$F,$E991))</f>
        <v/>
      </c>
      <c r="E991">
        <f>IFERROR(AGGREGATE(15,6,ROW('Input Transaksi'!$B$5:$B$5000)/('Input Transaksi'!$B$5:$B$5000="LONDRI DEWE"),ROWS($E$5:E991)),"")</f>
        <v/>
      </c>
      <c r="F991" s="5" t="n"/>
    </row>
    <row r="992">
      <c r="A992" s="10">
        <f>IF($E992="","",INDEX('Input Transaksi'!$A:$A,$E992))</f>
        <v/>
      </c>
      <c r="B992" s="5">
        <f>IF($E992="","",INDEX('Input Transaksi'!$D:$D,$E992))</f>
        <v/>
      </c>
      <c r="C992">
        <f>IF($E992="","",INDEX('Input Transaksi'!$E:$E,$E992))</f>
        <v/>
      </c>
      <c r="D992" s="5">
        <f>IF($E992="","",INDEX('Input Transaksi'!$F:$F,$E992))</f>
        <v/>
      </c>
      <c r="E992">
        <f>IFERROR(AGGREGATE(15,6,ROW('Input Transaksi'!$B$5:$B$5000)/('Input Transaksi'!$B$5:$B$5000="LONDRI DEWE"),ROWS($E$5:E992)),"")</f>
        <v/>
      </c>
      <c r="F992" s="5" t="n"/>
    </row>
    <row r="993">
      <c r="A993" s="10">
        <f>IF($E993="","",INDEX('Input Transaksi'!$A:$A,$E993))</f>
        <v/>
      </c>
      <c r="B993" s="5">
        <f>IF($E993="","",INDEX('Input Transaksi'!$D:$D,$E993))</f>
        <v/>
      </c>
      <c r="C993">
        <f>IF($E993="","",INDEX('Input Transaksi'!$E:$E,$E993))</f>
        <v/>
      </c>
      <c r="D993" s="5">
        <f>IF($E993="","",INDEX('Input Transaksi'!$F:$F,$E993))</f>
        <v/>
      </c>
      <c r="E993">
        <f>IFERROR(AGGREGATE(15,6,ROW('Input Transaksi'!$B$5:$B$5000)/('Input Transaksi'!$B$5:$B$5000="LONDRI DEWE"),ROWS($E$5:E993)),"")</f>
        <v/>
      </c>
      <c r="F993" s="5" t="n"/>
    </row>
    <row r="994">
      <c r="A994" s="10">
        <f>IF($E994="","",INDEX('Input Transaksi'!$A:$A,$E994))</f>
        <v/>
      </c>
      <c r="B994" s="5">
        <f>IF($E994="","",INDEX('Input Transaksi'!$D:$D,$E994))</f>
        <v/>
      </c>
      <c r="C994">
        <f>IF($E994="","",INDEX('Input Transaksi'!$E:$E,$E994))</f>
        <v/>
      </c>
      <c r="D994" s="5">
        <f>IF($E994="","",INDEX('Input Transaksi'!$F:$F,$E994))</f>
        <v/>
      </c>
      <c r="E994">
        <f>IFERROR(AGGREGATE(15,6,ROW('Input Transaksi'!$B$5:$B$5000)/('Input Transaksi'!$B$5:$B$5000="LONDRI DEWE"),ROWS($E$5:E994)),"")</f>
        <v/>
      </c>
      <c r="F994" s="5" t="n"/>
    </row>
    <row r="995">
      <c r="A995" s="10">
        <f>IF($E995="","",INDEX('Input Transaksi'!$A:$A,$E995))</f>
        <v/>
      </c>
      <c r="B995" s="5">
        <f>IF($E995="","",INDEX('Input Transaksi'!$D:$D,$E995))</f>
        <v/>
      </c>
      <c r="C995">
        <f>IF($E995="","",INDEX('Input Transaksi'!$E:$E,$E995))</f>
        <v/>
      </c>
      <c r="D995" s="5">
        <f>IF($E995="","",INDEX('Input Transaksi'!$F:$F,$E995))</f>
        <v/>
      </c>
      <c r="E995">
        <f>IFERROR(AGGREGATE(15,6,ROW('Input Transaksi'!$B$5:$B$5000)/('Input Transaksi'!$B$5:$B$5000="LONDRI DEWE"),ROWS($E$5:E995)),"")</f>
        <v/>
      </c>
      <c r="F995" s="5" t="n"/>
    </row>
    <row r="996">
      <c r="A996" s="10">
        <f>IF($E996="","",INDEX('Input Transaksi'!$A:$A,$E996))</f>
        <v/>
      </c>
      <c r="B996" s="5">
        <f>IF($E996="","",INDEX('Input Transaksi'!$D:$D,$E996))</f>
        <v/>
      </c>
      <c r="C996">
        <f>IF($E996="","",INDEX('Input Transaksi'!$E:$E,$E996))</f>
        <v/>
      </c>
      <c r="D996" s="5">
        <f>IF($E996="","",INDEX('Input Transaksi'!$F:$F,$E996))</f>
        <v/>
      </c>
      <c r="E996">
        <f>IFERROR(AGGREGATE(15,6,ROW('Input Transaksi'!$B$5:$B$5000)/('Input Transaksi'!$B$5:$B$5000="LONDRI DEWE"),ROWS($E$5:E996)),"")</f>
        <v/>
      </c>
      <c r="F996" s="5" t="n"/>
    </row>
    <row r="997">
      <c r="A997" s="10">
        <f>IF($E997="","",INDEX('Input Transaksi'!$A:$A,$E997))</f>
        <v/>
      </c>
      <c r="B997" s="5">
        <f>IF($E997="","",INDEX('Input Transaksi'!$D:$D,$E997))</f>
        <v/>
      </c>
      <c r="C997">
        <f>IF($E997="","",INDEX('Input Transaksi'!$E:$E,$E997))</f>
        <v/>
      </c>
      <c r="D997" s="5">
        <f>IF($E997="","",INDEX('Input Transaksi'!$F:$F,$E997))</f>
        <v/>
      </c>
      <c r="E997">
        <f>IFERROR(AGGREGATE(15,6,ROW('Input Transaksi'!$B$5:$B$5000)/('Input Transaksi'!$B$5:$B$5000="LONDRI DEWE"),ROWS($E$5:E997)),"")</f>
        <v/>
      </c>
      <c r="F997" s="5" t="n"/>
    </row>
    <row r="998">
      <c r="A998" s="10">
        <f>IF($E998="","",INDEX('Input Transaksi'!$A:$A,$E998))</f>
        <v/>
      </c>
      <c r="B998" s="5">
        <f>IF($E998="","",INDEX('Input Transaksi'!$D:$D,$E998))</f>
        <v/>
      </c>
      <c r="C998">
        <f>IF($E998="","",INDEX('Input Transaksi'!$E:$E,$E998))</f>
        <v/>
      </c>
      <c r="D998" s="5">
        <f>IF($E998="","",INDEX('Input Transaksi'!$F:$F,$E998))</f>
        <v/>
      </c>
      <c r="E998">
        <f>IFERROR(AGGREGATE(15,6,ROW('Input Transaksi'!$B$5:$B$5000)/('Input Transaksi'!$B$5:$B$5000="LONDRI DEWE"),ROWS($E$5:E998)),"")</f>
        <v/>
      </c>
      <c r="F998" s="5" t="n"/>
    </row>
    <row r="999">
      <c r="A999" s="10">
        <f>IF($E999="","",INDEX('Input Transaksi'!$A:$A,$E999))</f>
        <v/>
      </c>
      <c r="B999" s="5">
        <f>IF($E999="","",INDEX('Input Transaksi'!$D:$D,$E999))</f>
        <v/>
      </c>
      <c r="C999">
        <f>IF($E999="","",INDEX('Input Transaksi'!$E:$E,$E999))</f>
        <v/>
      </c>
      <c r="D999" s="5">
        <f>IF($E999="","",INDEX('Input Transaksi'!$F:$F,$E999))</f>
        <v/>
      </c>
      <c r="E999">
        <f>IFERROR(AGGREGATE(15,6,ROW('Input Transaksi'!$B$5:$B$5000)/('Input Transaksi'!$B$5:$B$5000="LONDRI DEWE"),ROWS($E$5:E999)),"")</f>
        <v/>
      </c>
      <c r="F999" s="5" t="n"/>
    </row>
    <row r="1000">
      <c r="A1000" s="10">
        <f>IF($E1000="","",INDEX('Input Transaksi'!$A:$A,$E1000))</f>
        <v/>
      </c>
      <c r="B1000" s="5">
        <f>IF($E1000="","",INDEX('Input Transaksi'!$D:$D,$E1000))</f>
        <v/>
      </c>
      <c r="C1000">
        <f>IF($E1000="","",INDEX('Input Transaksi'!$E:$E,$E1000))</f>
        <v/>
      </c>
      <c r="D1000" s="5">
        <f>IF($E1000="","",INDEX('Input Transaksi'!$F:$F,$E1000))</f>
        <v/>
      </c>
      <c r="E1000">
        <f>IFERROR(AGGREGATE(15,6,ROW('Input Transaksi'!$B$5:$B$5000)/('Input Transaksi'!$B$5:$B$5000="LONDRI DEWE"),ROWS($E$5:E1000)),"")</f>
        <v/>
      </c>
      <c r="F1000" s="5" t="n"/>
    </row>
  </sheetData>
  <autoFilter ref="A4:D1000"/>
  <mergeCells count="1">
    <mergeCell ref="A1:E1"/>
  </mergeCells>
  <hyperlinks>
    <hyperlink ref="F1" location="'Beranda'!A1" display="Kembali ke Beranda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000"/>
  <sheetViews>
    <sheetView workbookViewId="0">
      <pane ySplit="4" topLeftCell="A5" activePane="bottomLeft" state="frozen"/>
      <selection pane="bottomLeft" activeCell="A1" sqref="A1"/>
    </sheetView>
  </sheetViews>
  <sheetFormatPr baseColWidth="10" defaultColWidth="8.83203125" defaultRowHeight="15"/>
  <cols>
    <col width="16" customWidth="1" min="1" max="1"/>
    <col width="22" customWidth="1" min="2" max="2"/>
    <col width="12" customWidth="1" min="3" max="3"/>
    <col width="26" customWidth="1" min="4" max="4"/>
    <col hidden="1" width="12.6640625" customWidth="1" min="5" max="5"/>
    <col width="16" customWidth="1" min="6" max="6"/>
    <col hidden="1" width="13" customWidth="1" min="7" max="7"/>
  </cols>
  <sheetData>
    <row r="1" ht="24" customHeight="1">
      <c r="A1" s="11" t="inlineStr">
        <is>
          <t>DIY</t>
        </is>
      </c>
      <c r="F1" s="3" t="inlineStr">
        <is>
          <t>Kembali ke Beranda</t>
        </is>
      </c>
    </row>
    <row r="2">
      <c r="A2" s="13" t="inlineStr">
        <is>
          <t>Wilayah</t>
        </is>
      </c>
      <c r="B2" s="13" t="inlineStr">
        <is>
          <t>SELATAN</t>
        </is>
      </c>
      <c r="C2" s="13" t="inlineStr">
        <is>
          <t>Total Qty</t>
        </is>
      </c>
      <c r="D2" s="2">
        <f>SUMIFS('Input Transaksi'!$E$5:$E$5000,'Input Transaksi'!$B$5:$B$5000,"DIY")</f>
        <v/>
      </c>
      <c r="E2" s="13" t="inlineStr">
        <is>
          <t>Jumlah Transaksi</t>
        </is>
      </c>
      <c r="F2" s="2">
        <f>COUNTIF('Input Transaksi'!$B$5:$B$5000,"DIY")</f>
        <v/>
      </c>
    </row>
    <row r="3"/>
    <row r="4">
      <c r="A4" s="4" t="inlineStr">
        <is>
          <t>Tanggal</t>
        </is>
      </c>
      <c r="B4" s="4" t="inlineStr">
        <is>
          <t>Item</t>
        </is>
      </c>
      <c r="C4" s="4" t="inlineStr">
        <is>
          <t>Qty Keluar</t>
        </is>
      </c>
      <c r="D4" s="4" t="inlineStr">
        <is>
          <t>Catatan</t>
        </is>
      </c>
      <c r="E4" t="inlineStr">
        <is>
          <t>RowRef</t>
        </is>
      </c>
      <c r="F4" s="4" t="n"/>
    </row>
    <row r="5">
      <c r="A5" s="10">
        <f>IF($E5="","",INDEX('Input Transaksi'!$A:$A,$E5))</f>
        <v/>
      </c>
      <c r="B5" s="5">
        <f>IF($E5="","",INDEX('Input Transaksi'!$D:$D,$E5))</f>
        <v/>
      </c>
      <c r="C5">
        <f>IF($E5="","",INDEX('Input Transaksi'!$E:$E,$E5))</f>
        <v/>
      </c>
      <c r="D5" s="5">
        <f>IF($E5="","",INDEX('Input Transaksi'!$F:$F,$E5))</f>
        <v/>
      </c>
      <c r="E5">
        <f>IFERROR(AGGREGATE(15,6,ROW('Input Transaksi'!$B$5:$B$5000)/('Input Transaksi'!$B$5:$B$5000="DIY"),ROWS($E$5:E5)),"")</f>
        <v/>
      </c>
      <c r="F5" s="5" t="n"/>
    </row>
    <row r="6">
      <c r="A6" s="10">
        <f>IF($E6="","",INDEX('Input Transaksi'!$A:$A,$E6))</f>
        <v/>
      </c>
      <c r="B6" s="5">
        <f>IF($E6="","",INDEX('Input Transaksi'!$D:$D,$E6))</f>
        <v/>
      </c>
      <c r="C6">
        <f>IF($E6="","",INDEX('Input Transaksi'!$E:$E,$E6))</f>
        <v/>
      </c>
      <c r="D6" s="5">
        <f>IF($E6="","",INDEX('Input Transaksi'!$F:$F,$E6))</f>
        <v/>
      </c>
      <c r="E6">
        <f>IFERROR(AGGREGATE(15,6,ROW('Input Transaksi'!$B$5:$B$5000)/('Input Transaksi'!$B$5:$B$5000="DIY"),ROWS($E$5:E6)),"")</f>
        <v/>
      </c>
      <c r="F6" s="5" t="n"/>
    </row>
    <row r="7">
      <c r="A7" s="10">
        <f>IF($E7="","",INDEX('Input Transaksi'!$A:$A,$E7))</f>
        <v/>
      </c>
      <c r="B7" s="5">
        <f>IF($E7="","",INDEX('Input Transaksi'!$D:$D,$E7))</f>
        <v/>
      </c>
      <c r="C7">
        <f>IF($E7="","",INDEX('Input Transaksi'!$E:$E,$E7))</f>
        <v/>
      </c>
      <c r="D7" s="5">
        <f>IF($E7="","",INDEX('Input Transaksi'!$F:$F,$E7))</f>
        <v/>
      </c>
      <c r="E7">
        <f>IFERROR(AGGREGATE(15,6,ROW('Input Transaksi'!$B$5:$B$5000)/('Input Transaksi'!$B$5:$B$5000="DIY"),ROWS($E$5:E7)),"")</f>
        <v/>
      </c>
      <c r="F7" s="5" t="n"/>
    </row>
    <row r="8">
      <c r="A8" s="10">
        <f>IF($E8="","",INDEX('Input Transaksi'!$A:$A,$E8))</f>
        <v/>
      </c>
      <c r="B8" s="5">
        <f>IF($E8="","",INDEX('Input Transaksi'!$D:$D,$E8))</f>
        <v/>
      </c>
      <c r="C8">
        <f>IF($E8="","",INDEX('Input Transaksi'!$E:$E,$E8))</f>
        <v/>
      </c>
      <c r="D8" s="5">
        <f>IF($E8="","",INDEX('Input Transaksi'!$F:$F,$E8))</f>
        <v/>
      </c>
      <c r="E8">
        <f>IFERROR(AGGREGATE(15,6,ROW('Input Transaksi'!$B$5:$B$5000)/('Input Transaksi'!$B$5:$B$5000="DIY"),ROWS($E$5:E8)),"")</f>
        <v/>
      </c>
      <c r="F8" s="5" t="n"/>
    </row>
    <row r="9">
      <c r="A9" s="10">
        <f>IF($E9="","",INDEX('Input Transaksi'!$A:$A,$E9))</f>
        <v/>
      </c>
      <c r="B9" s="5">
        <f>IF($E9="","",INDEX('Input Transaksi'!$D:$D,$E9))</f>
        <v/>
      </c>
      <c r="C9">
        <f>IF($E9="","",INDEX('Input Transaksi'!$E:$E,$E9))</f>
        <v/>
      </c>
      <c r="D9" s="5">
        <f>IF($E9="","",INDEX('Input Transaksi'!$F:$F,$E9))</f>
        <v/>
      </c>
      <c r="E9">
        <f>IFERROR(AGGREGATE(15,6,ROW('Input Transaksi'!$B$5:$B$5000)/('Input Transaksi'!$B$5:$B$5000="DIY"),ROWS($E$5:E9)),"")</f>
        <v/>
      </c>
      <c r="F9" s="5" t="n"/>
    </row>
    <row r="10">
      <c r="A10" s="10">
        <f>IF($E10="","",INDEX('Input Transaksi'!$A:$A,$E10))</f>
        <v/>
      </c>
      <c r="B10" s="5">
        <f>IF($E10="","",INDEX('Input Transaksi'!$D:$D,$E10))</f>
        <v/>
      </c>
      <c r="C10">
        <f>IF($E10="","",INDEX('Input Transaksi'!$E:$E,$E10))</f>
        <v/>
      </c>
      <c r="D10" s="5">
        <f>IF($E10="","",INDEX('Input Transaksi'!$F:$F,$E10))</f>
        <v/>
      </c>
      <c r="E10">
        <f>IFERROR(AGGREGATE(15,6,ROW('Input Transaksi'!$B$5:$B$5000)/('Input Transaksi'!$B$5:$B$5000="DIY"),ROWS($E$5:E10)),"")</f>
        <v/>
      </c>
      <c r="F10" s="5" t="n"/>
    </row>
    <row r="11">
      <c r="A11" s="10">
        <f>IF($E11="","",INDEX('Input Transaksi'!$A:$A,$E11))</f>
        <v/>
      </c>
      <c r="B11" s="5">
        <f>IF($E11="","",INDEX('Input Transaksi'!$D:$D,$E11))</f>
        <v/>
      </c>
      <c r="C11">
        <f>IF($E11="","",INDEX('Input Transaksi'!$E:$E,$E11))</f>
        <v/>
      </c>
      <c r="D11" s="5">
        <f>IF($E11="","",INDEX('Input Transaksi'!$F:$F,$E11))</f>
        <v/>
      </c>
      <c r="E11">
        <f>IFERROR(AGGREGATE(15,6,ROW('Input Transaksi'!$B$5:$B$5000)/('Input Transaksi'!$B$5:$B$5000="DIY"),ROWS($E$5:E11)),"")</f>
        <v/>
      </c>
      <c r="F11" s="5" t="n"/>
    </row>
    <row r="12">
      <c r="A12" s="10">
        <f>IF($E12="","",INDEX('Input Transaksi'!$A:$A,$E12))</f>
        <v/>
      </c>
      <c r="B12" s="5">
        <f>IF($E12="","",INDEX('Input Transaksi'!$D:$D,$E12))</f>
        <v/>
      </c>
      <c r="C12">
        <f>IF($E12="","",INDEX('Input Transaksi'!$E:$E,$E12))</f>
        <v/>
      </c>
      <c r="D12" s="5">
        <f>IF($E12="","",INDEX('Input Transaksi'!$F:$F,$E12))</f>
        <v/>
      </c>
      <c r="E12">
        <f>IFERROR(AGGREGATE(15,6,ROW('Input Transaksi'!$B$5:$B$5000)/('Input Transaksi'!$B$5:$B$5000="DIY"),ROWS($E$5:E12)),"")</f>
        <v/>
      </c>
      <c r="F12" s="5" t="n"/>
    </row>
    <row r="13">
      <c r="A13" s="10">
        <f>IF($E13="","",INDEX('Input Transaksi'!$A:$A,$E13))</f>
        <v/>
      </c>
      <c r="B13" s="5">
        <f>IF($E13="","",INDEX('Input Transaksi'!$D:$D,$E13))</f>
        <v/>
      </c>
      <c r="C13">
        <f>IF($E13="","",INDEX('Input Transaksi'!$E:$E,$E13))</f>
        <v/>
      </c>
      <c r="D13" s="5">
        <f>IF($E13="","",INDEX('Input Transaksi'!$F:$F,$E13))</f>
        <v/>
      </c>
      <c r="E13">
        <f>IFERROR(AGGREGATE(15,6,ROW('Input Transaksi'!$B$5:$B$5000)/('Input Transaksi'!$B$5:$B$5000="DIY"),ROWS($E$5:E13)),"")</f>
        <v/>
      </c>
      <c r="F13" s="5" t="n"/>
    </row>
    <row r="14">
      <c r="A14" s="10">
        <f>IF($E14="","",INDEX('Input Transaksi'!$A:$A,$E14))</f>
        <v/>
      </c>
      <c r="B14" s="5">
        <f>IF($E14="","",INDEX('Input Transaksi'!$D:$D,$E14))</f>
        <v/>
      </c>
      <c r="C14">
        <f>IF($E14="","",INDEX('Input Transaksi'!$E:$E,$E14))</f>
        <v/>
      </c>
      <c r="D14" s="5">
        <f>IF($E14="","",INDEX('Input Transaksi'!$F:$F,$E14))</f>
        <v/>
      </c>
      <c r="E14">
        <f>IFERROR(AGGREGATE(15,6,ROW('Input Transaksi'!$B$5:$B$5000)/('Input Transaksi'!$B$5:$B$5000="DIY"),ROWS($E$5:E14)),"")</f>
        <v/>
      </c>
      <c r="F14" s="5" t="n"/>
    </row>
    <row r="15">
      <c r="A15" s="10">
        <f>IF($E15="","",INDEX('Input Transaksi'!$A:$A,$E15))</f>
        <v/>
      </c>
      <c r="B15" s="5">
        <f>IF($E15="","",INDEX('Input Transaksi'!$D:$D,$E15))</f>
        <v/>
      </c>
      <c r="C15">
        <f>IF($E15="","",INDEX('Input Transaksi'!$E:$E,$E15))</f>
        <v/>
      </c>
      <c r="D15" s="5">
        <f>IF($E15="","",INDEX('Input Transaksi'!$F:$F,$E15))</f>
        <v/>
      </c>
      <c r="E15">
        <f>IFERROR(AGGREGATE(15,6,ROW('Input Transaksi'!$B$5:$B$5000)/('Input Transaksi'!$B$5:$B$5000="DIY"),ROWS($E$5:E15)),"")</f>
        <v/>
      </c>
      <c r="F15" s="5" t="n"/>
    </row>
    <row r="16">
      <c r="A16" s="10">
        <f>IF($E16="","",INDEX('Input Transaksi'!$A:$A,$E16))</f>
        <v/>
      </c>
      <c r="B16" s="5">
        <f>IF($E16="","",INDEX('Input Transaksi'!$D:$D,$E16))</f>
        <v/>
      </c>
      <c r="C16">
        <f>IF($E16="","",INDEX('Input Transaksi'!$E:$E,$E16))</f>
        <v/>
      </c>
      <c r="D16" s="5">
        <f>IF($E16="","",INDEX('Input Transaksi'!$F:$F,$E16))</f>
        <v/>
      </c>
      <c r="E16">
        <f>IFERROR(AGGREGATE(15,6,ROW('Input Transaksi'!$B$5:$B$5000)/('Input Transaksi'!$B$5:$B$5000="DIY"),ROWS($E$5:E16)),"")</f>
        <v/>
      </c>
      <c r="F16" s="5" t="n"/>
    </row>
    <row r="17">
      <c r="A17" s="10">
        <f>IF($E17="","",INDEX('Input Transaksi'!$A:$A,$E17))</f>
        <v/>
      </c>
      <c r="B17" s="5">
        <f>IF($E17="","",INDEX('Input Transaksi'!$D:$D,$E17))</f>
        <v/>
      </c>
      <c r="C17">
        <f>IF($E17="","",INDEX('Input Transaksi'!$E:$E,$E17))</f>
        <v/>
      </c>
      <c r="D17" s="5">
        <f>IF($E17="","",INDEX('Input Transaksi'!$F:$F,$E17))</f>
        <v/>
      </c>
      <c r="E17">
        <f>IFERROR(AGGREGATE(15,6,ROW('Input Transaksi'!$B$5:$B$5000)/('Input Transaksi'!$B$5:$B$5000="DIY"),ROWS($E$5:E17)),"")</f>
        <v/>
      </c>
      <c r="F17" s="5" t="n"/>
    </row>
    <row r="18">
      <c r="A18" s="10">
        <f>IF($E18="","",INDEX('Input Transaksi'!$A:$A,$E18))</f>
        <v/>
      </c>
      <c r="B18" s="5">
        <f>IF($E18="","",INDEX('Input Transaksi'!$D:$D,$E18))</f>
        <v/>
      </c>
      <c r="C18">
        <f>IF($E18="","",INDEX('Input Transaksi'!$E:$E,$E18))</f>
        <v/>
      </c>
      <c r="D18" s="5">
        <f>IF($E18="","",INDEX('Input Transaksi'!$F:$F,$E18))</f>
        <v/>
      </c>
      <c r="E18">
        <f>IFERROR(AGGREGATE(15,6,ROW('Input Transaksi'!$B$5:$B$5000)/('Input Transaksi'!$B$5:$B$5000="DIY"),ROWS($E$5:E18)),"")</f>
        <v/>
      </c>
      <c r="F18" s="5" t="n"/>
    </row>
    <row r="19">
      <c r="A19" s="10">
        <f>IF($E19="","",INDEX('Input Transaksi'!$A:$A,$E19))</f>
        <v/>
      </c>
      <c r="B19" s="5">
        <f>IF($E19="","",INDEX('Input Transaksi'!$D:$D,$E19))</f>
        <v/>
      </c>
      <c r="C19">
        <f>IF($E19="","",INDEX('Input Transaksi'!$E:$E,$E19))</f>
        <v/>
      </c>
      <c r="D19" s="5">
        <f>IF($E19="","",INDEX('Input Transaksi'!$F:$F,$E19))</f>
        <v/>
      </c>
      <c r="E19">
        <f>IFERROR(AGGREGATE(15,6,ROW('Input Transaksi'!$B$5:$B$5000)/('Input Transaksi'!$B$5:$B$5000="DIY"),ROWS($E$5:E19)),"")</f>
        <v/>
      </c>
      <c r="F19" s="5" t="n"/>
    </row>
    <row r="20">
      <c r="A20" s="10">
        <f>IF($E20="","",INDEX('Input Transaksi'!$A:$A,$E20))</f>
        <v/>
      </c>
      <c r="B20" s="5">
        <f>IF($E20="","",INDEX('Input Transaksi'!$D:$D,$E20))</f>
        <v/>
      </c>
      <c r="C20">
        <f>IF($E20="","",INDEX('Input Transaksi'!$E:$E,$E20))</f>
        <v/>
      </c>
      <c r="D20" s="5">
        <f>IF($E20="","",INDEX('Input Transaksi'!$F:$F,$E20))</f>
        <v/>
      </c>
      <c r="E20">
        <f>IFERROR(AGGREGATE(15,6,ROW('Input Transaksi'!$B$5:$B$5000)/('Input Transaksi'!$B$5:$B$5000="DIY"),ROWS($E$5:E20)),"")</f>
        <v/>
      </c>
      <c r="F20" s="5" t="n"/>
    </row>
    <row r="21">
      <c r="A21" s="10">
        <f>IF($E21="","",INDEX('Input Transaksi'!$A:$A,$E21))</f>
        <v/>
      </c>
      <c r="B21" s="5">
        <f>IF($E21="","",INDEX('Input Transaksi'!$D:$D,$E21))</f>
        <v/>
      </c>
      <c r="C21">
        <f>IF($E21="","",INDEX('Input Transaksi'!$E:$E,$E21))</f>
        <v/>
      </c>
      <c r="D21" s="5">
        <f>IF($E21="","",INDEX('Input Transaksi'!$F:$F,$E21))</f>
        <v/>
      </c>
      <c r="E21">
        <f>IFERROR(AGGREGATE(15,6,ROW('Input Transaksi'!$B$5:$B$5000)/('Input Transaksi'!$B$5:$B$5000="DIY"),ROWS($E$5:E21)),"")</f>
        <v/>
      </c>
      <c r="F21" s="5" t="n"/>
    </row>
    <row r="22">
      <c r="A22" s="10">
        <f>IF($E22="","",INDEX('Input Transaksi'!$A:$A,$E22))</f>
        <v/>
      </c>
      <c r="B22" s="5">
        <f>IF($E22="","",INDEX('Input Transaksi'!$D:$D,$E22))</f>
        <v/>
      </c>
      <c r="C22">
        <f>IF($E22="","",INDEX('Input Transaksi'!$E:$E,$E22))</f>
        <v/>
      </c>
      <c r="D22" s="5">
        <f>IF($E22="","",INDEX('Input Transaksi'!$F:$F,$E22))</f>
        <v/>
      </c>
      <c r="E22">
        <f>IFERROR(AGGREGATE(15,6,ROW('Input Transaksi'!$B$5:$B$5000)/('Input Transaksi'!$B$5:$B$5000="DIY"),ROWS($E$5:E22)),"")</f>
        <v/>
      </c>
      <c r="F22" s="5" t="n"/>
    </row>
    <row r="23">
      <c r="A23" s="10">
        <f>IF($E23="","",INDEX('Input Transaksi'!$A:$A,$E23))</f>
        <v/>
      </c>
      <c r="B23" s="5">
        <f>IF($E23="","",INDEX('Input Transaksi'!$D:$D,$E23))</f>
        <v/>
      </c>
      <c r="C23">
        <f>IF($E23="","",INDEX('Input Transaksi'!$E:$E,$E23))</f>
        <v/>
      </c>
      <c r="D23" s="5">
        <f>IF($E23="","",INDEX('Input Transaksi'!$F:$F,$E23))</f>
        <v/>
      </c>
      <c r="E23">
        <f>IFERROR(AGGREGATE(15,6,ROW('Input Transaksi'!$B$5:$B$5000)/('Input Transaksi'!$B$5:$B$5000="DIY"),ROWS($E$5:E23)),"")</f>
        <v/>
      </c>
      <c r="F23" s="5" t="n"/>
    </row>
    <row r="24">
      <c r="A24" s="10">
        <f>IF($E24="","",INDEX('Input Transaksi'!$A:$A,$E24))</f>
        <v/>
      </c>
      <c r="B24" s="5">
        <f>IF($E24="","",INDEX('Input Transaksi'!$D:$D,$E24))</f>
        <v/>
      </c>
      <c r="C24">
        <f>IF($E24="","",INDEX('Input Transaksi'!$E:$E,$E24))</f>
        <v/>
      </c>
      <c r="D24" s="5">
        <f>IF($E24="","",INDEX('Input Transaksi'!$F:$F,$E24))</f>
        <v/>
      </c>
      <c r="E24">
        <f>IFERROR(AGGREGATE(15,6,ROW('Input Transaksi'!$B$5:$B$5000)/('Input Transaksi'!$B$5:$B$5000="DIY"),ROWS($E$5:E24)),"")</f>
        <v/>
      </c>
      <c r="F24" s="5" t="n"/>
    </row>
    <row r="25">
      <c r="A25" s="10">
        <f>IF($E25="","",INDEX('Input Transaksi'!$A:$A,$E25))</f>
        <v/>
      </c>
      <c r="B25" s="5">
        <f>IF($E25="","",INDEX('Input Transaksi'!$D:$D,$E25))</f>
        <v/>
      </c>
      <c r="C25">
        <f>IF($E25="","",INDEX('Input Transaksi'!$E:$E,$E25))</f>
        <v/>
      </c>
      <c r="D25" s="5">
        <f>IF($E25="","",INDEX('Input Transaksi'!$F:$F,$E25))</f>
        <v/>
      </c>
      <c r="E25">
        <f>IFERROR(AGGREGATE(15,6,ROW('Input Transaksi'!$B$5:$B$5000)/('Input Transaksi'!$B$5:$B$5000="DIY"),ROWS($E$5:E25)),"")</f>
        <v/>
      </c>
      <c r="F25" s="5" t="n"/>
    </row>
    <row r="26">
      <c r="A26" s="10">
        <f>IF($E26="","",INDEX('Input Transaksi'!$A:$A,$E26))</f>
        <v/>
      </c>
      <c r="B26" s="5">
        <f>IF($E26="","",INDEX('Input Transaksi'!$D:$D,$E26))</f>
        <v/>
      </c>
      <c r="C26">
        <f>IF($E26="","",INDEX('Input Transaksi'!$E:$E,$E26))</f>
        <v/>
      </c>
      <c r="D26" s="5">
        <f>IF($E26="","",INDEX('Input Transaksi'!$F:$F,$E26))</f>
        <v/>
      </c>
      <c r="E26">
        <f>IFERROR(AGGREGATE(15,6,ROW('Input Transaksi'!$B$5:$B$5000)/('Input Transaksi'!$B$5:$B$5000="DIY"),ROWS($E$5:E26)),"")</f>
        <v/>
      </c>
      <c r="F26" s="5" t="n"/>
    </row>
    <row r="27">
      <c r="A27" s="10">
        <f>IF($E27="","",INDEX('Input Transaksi'!$A:$A,$E27))</f>
        <v/>
      </c>
      <c r="B27" s="5">
        <f>IF($E27="","",INDEX('Input Transaksi'!$D:$D,$E27))</f>
        <v/>
      </c>
      <c r="C27">
        <f>IF($E27="","",INDEX('Input Transaksi'!$E:$E,$E27))</f>
        <v/>
      </c>
      <c r="D27" s="5">
        <f>IF($E27="","",INDEX('Input Transaksi'!$F:$F,$E27))</f>
        <v/>
      </c>
      <c r="E27">
        <f>IFERROR(AGGREGATE(15,6,ROW('Input Transaksi'!$B$5:$B$5000)/('Input Transaksi'!$B$5:$B$5000="DIY"),ROWS($E$5:E27)),"")</f>
        <v/>
      </c>
      <c r="F27" s="5" t="n"/>
    </row>
    <row r="28">
      <c r="A28" s="10">
        <f>IF($E28="","",INDEX('Input Transaksi'!$A:$A,$E28))</f>
        <v/>
      </c>
      <c r="B28" s="5">
        <f>IF($E28="","",INDEX('Input Transaksi'!$D:$D,$E28))</f>
        <v/>
      </c>
      <c r="C28">
        <f>IF($E28="","",INDEX('Input Transaksi'!$E:$E,$E28))</f>
        <v/>
      </c>
      <c r="D28" s="5">
        <f>IF($E28="","",INDEX('Input Transaksi'!$F:$F,$E28))</f>
        <v/>
      </c>
      <c r="E28">
        <f>IFERROR(AGGREGATE(15,6,ROW('Input Transaksi'!$B$5:$B$5000)/('Input Transaksi'!$B$5:$B$5000="DIY"),ROWS($E$5:E28)),"")</f>
        <v/>
      </c>
      <c r="F28" s="5" t="n"/>
    </row>
    <row r="29">
      <c r="A29" s="10">
        <f>IF($E29="","",INDEX('Input Transaksi'!$A:$A,$E29))</f>
        <v/>
      </c>
      <c r="B29" s="5">
        <f>IF($E29="","",INDEX('Input Transaksi'!$D:$D,$E29))</f>
        <v/>
      </c>
      <c r="C29">
        <f>IF($E29="","",INDEX('Input Transaksi'!$E:$E,$E29))</f>
        <v/>
      </c>
      <c r="D29" s="5">
        <f>IF($E29="","",INDEX('Input Transaksi'!$F:$F,$E29))</f>
        <v/>
      </c>
      <c r="E29">
        <f>IFERROR(AGGREGATE(15,6,ROW('Input Transaksi'!$B$5:$B$5000)/('Input Transaksi'!$B$5:$B$5000="DIY"),ROWS($E$5:E29)),"")</f>
        <v/>
      </c>
      <c r="F29" s="5" t="n"/>
    </row>
    <row r="30">
      <c r="A30" s="10">
        <f>IF($E30="","",INDEX('Input Transaksi'!$A:$A,$E30))</f>
        <v/>
      </c>
      <c r="B30" s="5">
        <f>IF($E30="","",INDEX('Input Transaksi'!$D:$D,$E30))</f>
        <v/>
      </c>
      <c r="C30">
        <f>IF($E30="","",INDEX('Input Transaksi'!$E:$E,$E30))</f>
        <v/>
      </c>
      <c r="D30" s="5">
        <f>IF($E30="","",INDEX('Input Transaksi'!$F:$F,$E30))</f>
        <v/>
      </c>
      <c r="E30">
        <f>IFERROR(AGGREGATE(15,6,ROW('Input Transaksi'!$B$5:$B$5000)/('Input Transaksi'!$B$5:$B$5000="DIY"),ROWS($E$5:E30)),"")</f>
        <v/>
      </c>
      <c r="F30" s="5" t="n"/>
    </row>
    <row r="31">
      <c r="A31" s="10">
        <f>IF($E31="","",INDEX('Input Transaksi'!$A:$A,$E31))</f>
        <v/>
      </c>
      <c r="B31" s="5">
        <f>IF($E31="","",INDEX('Input Transaksi'!$D:$D,$E31))</f>
        <v/>
      </c>
      <c r="C31">
        <f>IF($E31="","",INDEX('Input Transaksi'!$E:$E,$E31))</f>
        <v/>
      </c>
      <c r="D31" s="5">
        <f>IF($E31="","",INDEX('Input Transaksi'!$F:$F,$E31))</f>
        <v/>
      </c>
      <c r="E31">
        <f>IFERROR(AGGREGATE(15,6,ROW('Input Transaksi'!$B$5:$B$5000)/('Input Transaksi'!$B$5:$B$5000="DIY"),ROWS($E$5:E31)),"")</f>
        <v/>
      </c>
      <c r="F31" s="5" t="n"/>
    </row>
    <row r="32">
      <c r="A32" s="10">
        <f>IF($E32="","",INDEX('Input Transaksi'!$A:$A,$E32))</f>
        <v/>
      </c>
      <c r="B32" s="5">
        <f>IF($E32="","",INDEX('Input Transaksi'!$D:$D,$E32))</f>
        <v/>
      </c>
      <c r="C32">
        <f>IF($E32="","",INDEX('Input Transaksi'!$E:$E,$E32))</f>
        <v/>
      </c>
      <c r="D32" s="5">
        <f>IF($E32="","",INDEX('Input Transaksi'!$F:$F,$E32))</f>
        <v/>
      </c>
      <c r="E32">
        <f>IFERROR(AGGREGATE(15,6,ROW('Input Transaksi'!$B$5:$B$5000)/('Input Transaksi'!$B$5:$B$5000="DIY"),ROWS($E$5:E32)),"")</f>
        <v/>
      </c>
      <c r="F32" s="5" t="n"/>
    </row>
    <row r="33">
      <c r="A33" s="10">
        <f>IF($E33="","",INDEX('Input Transaksi'!$A:$A,$E33))</f>
        <v/>
      </c>
      <c r="B33" s="5">
        <f>IF($E33="","",INDEX('Input Transaksi'!$D:$D,$E33))</f>
        <v/>
      </c>
      <c r="C33">
        <f>IF($E33="","",INDEX('Input Transaksi'!$E:$E,$E33))</f>
        <v/>
      </c>
      <c r="D33" s="5">
        <f>IF($E33="","",INDEX('Input Transaksi'!$F:$F,$E33))</f>
        <v/>
      </c>
      <c r="E33">
        <f>IFERROR(AGGREGATE(15,6,ROW('Input Transaksi'!$B$5:$B$5000)/('Input Transaksi'!$B$5:$B$5000="DIY"),ROWS($E$5:E33)),"")</f>
        <v/>
      </c>
      <c r="F33" s="5" t="n"/>
    </row>
    <row r="34">
      <c r="A34" s="10">
        <f>IF($E34="","",INDEX('Input Transaksi'!$A:$A,$E34))</f>
        <v/>
      </c>
      <c r="B34" s="5">
        <f>IF($E34="","",INDEX('Input Transaksi'!$D:$D,$E34))</f>
        <v/>
      </c>
      <c r="C34">
        <f>IF($E34="","",INDEX('Input Transaksi'!$E:$E,$E34))</f>
        <v/>
      </c>
      <c r="D34" s="5">
        <f>IF($E34="","",INDEX('Input Transaksi'!$F:$F,$E34))</f>
        <v/>
      </c>
      <c r="E34">
        <f>IFERROR(AGGREGATE(15,6,ROW('Input Transaksi'!$B$5:$B$5000)/('Input Transaksi'!$B$5:$B$5000="DIY"),ROWS($E$5:E34)),"")</f>
        <v/>
      </c>
      <c r="F34" s="5" t="n"/>
    </row>
    <row r="35">
      <c r="A35" s="10">
        <f>IF($E35="","",INDEX('Input Transaksi'!$A:$A,$E35))</f>
        <v/>
      </c>
      <c r="B35" s="5">
        <f>IF($E35="","",INDEX('Input Transaksi'!$D:$D,$E35))</f>
        <v/>
      </c>
      <c r="C35">
        <f>IF($E35="","",INDEX('Input Transaksi'!$E:$E,$E35))</f>
        <v/>
      </c>
      <c r="D35" s="5">
        <f>IF($E35="","",INDEX('Input Transaksi'!$F:$F,$E35))</f>
        <v/>
      </c>
      <c r="E35">
        <f>IFERROR(AGGREGATE(15,6,ROW('Input Transaksi'!$B$5:$B$5000)/('Input Transaksi'!$B$5:$B$5000="DIY"),ROWS($E$5:E35)),"")</f>
        <v/>
      </c>
      <c r="F35" s="5" t="n"/>
    </row>
    <row r="36">
      <c r="A36" s="10">
        <f>IF($E36="","",INDEX('Input Transaksi'!$A:$A,$E36))</f>
        <v/>
      </c>
      <c r="B36" s="5">
        <f>IF($E36="","",INDEX('Input Transaksi'!$D:$D,$E36))</f>
        <v/>
      </c>
      <c r="C36">
        <f>IF($E36="","",INDEX('Input Transaksi'!$E:$E,$E36))</f>
        <v/>
      </c>
      <c r="D36" s="5">
        <f>IF($E36="","",INDEX('Input Transaksi'!$F:$F,$E36))</f>
        <v/>
      </c>
      <c r="E36">
        <f>IFERROR(AGGREGATE(15,6,ROW('Input Transaksi'!$B$5:$B$5000)/('Input Transaksi'!$B$5:$B$5000="DIY"),ROWS($E$5:E36)),"")</f>
        <v/>
      </c>
      <c r="F36" s="5" t="n"/>
    </row>
    <row r="37">
      <c r="A37" s="10">
        <f>IF($E37="","",INDEX('Input Transaksi'!$A:$A,$E37))</f>
        <v/>
      </c>
      <c r="B37" s="5">
        <f>IF($E37="","",INDEX('Input Transaksi'!$D:$D,$E37))</f>
        <v/>
      </c>
      <c r="C37">
        <f>IF($E37="","",INDEX('Input Transaksi'!$E:$E,$E37))</f>
        <v/>
      </c>
      <c r="D37" s="5">
        <f>IF($E37="","",INDEX('Input Transaksi'!$F:$F,$E37))</f>
        <v/>
      </c>
      <c r="E37">
        <f>IFERROR(AGGREGATE(15,6,ROW('Input Transaksi'!$B$5:$B$5000)/('Input Transaksi'!$B$5:$B$5000="DIY"),ROWS($E$5:E37)),"")</f>
        <v/>
      </c>
      <c r="F37" s="5" t="n"/>
    </row>
    <row r="38">
      <c r="A38" s="10">
        <f>IF($E38="","",INDEX('Input Transaksi'!$A:$A,$E38))</f>
        <v/>
      </c>
      <c r="B38" s="5">
        <f>IF($E38="","",INDEX('Input Transaksi'!$D:$D,$E38))</f>
        <v/>
      </c>
      <c r="C38">
        <f>IF($E38="","",INDEX('Input Transaksi'!$E:$E,$E38))</f>
        <v/>
      </c>
      <c r="D38" s="5">
        <f>IF($E38="","",INDEX('Input Transaksi'!$F:$F,$E38))</f>
        <v/>
      </c>
      <c r="E38">
        <f>IFERROR(AGGREGATE(15,6,ROW('Input Transaksi'!$B$5:$B$5000)/('Input Transaksi'!$B$5:$B$5000="DIY"),ROWS($E$5:E38)),"")</f>
        <v/>
      </c>
      <c r="F38" s="5" t="n"/>
    </row>
    <row r="39">
      <c r="A39" s="10">
        <f>IF($E39="","",INDEX('Input Transaksi'!$A:$A,$E39))</f>
        <v/>
      </c>
      <c r="B39" s="5">
        <f>IF($E39="","",INDEX('Input Transaksi'!$D:$D,$E39))</f>
        <v/>
      </c>
      <c r="C39">
        <f>IF($E39="","",INDEX('Input Transaksi'!$E:$E,$E39))</f>
        <v/>
      </c>
      <c r="D39" s="5">
        <f>IF($E39="","",INDEX('Input Transaksi'!$F:$F,$E39))</f>
        <v/>
      </c>
      <c r="E39">
        <f>IFERROR(AGGREGATE(15,6,ROW('Input Transaksi'!$B$5:$B$5000)/('Input Transaksi'!$B$5:$B$5000="DIY"),ROWS($E$5:E39)),"")</f>
        <v/>
      </c>
      <c r="F39" s="5" t="n"/>
    </row>
    <row r="40">
      <c r="A40" s="10">
        <f>IF($E40="","",INDEX('Input Transaksi'!$A:$A,$E40))</f>
        <v/>
      </c>
      <c r="B40" s="5">
        <f>IF($E40="","",INDEX('Input Transaksi'!$D:$D,$E40))</f>
        <v/>
      </c>
      <c r="C40">
        <f>IF($E40="","",INDEX('Input Transaksi'!$E:$E,$E40))</f>
        <v/>
      </c>
      <c r="D40" s="5">
        <f>IF($E40="","",INDEX('Input Transaksi'!$F:$F,$E40))</f>
        <v/>
      </c>
      <c r="E40">
        <f>IFERROR(AGGREGATE(15,6,ROW('Input Transaksi'!$B$5:$B$5000)/('Input Transaksi'!$B$5:$B$5000="DIY"),ROWS($E$5:E40)),"")</f>
        <v/>
      </c>
      <c r="F40" s="5" t="n"/>
    </row>
    <row r="41">
      <c r="A41" s="10">
        <f>IF($E41="","",INDEX('Input Transaksi'!$A:$A,$E41))</f>
        <v/>
      </c>
      <c r="B41" s="5">
        <f>IF($E41="","",INDEX('Input Transaksi'!$D:$D,$E41))</f>
        <v/>
      </c>
      <c r="C41">
        <f>IF($E41="","",INDEX('Input Transaksi'!$E:$E,$E41))</f>
        <v/>
      </c>
      <c r="D41" s="5">
        <f>IF($E41="","",INDEX('Input Transaksi'!$F:$F,$E41))</f>
        <v/>
      </c>
      <c r="E41">
        <f>IFERROR(AGGREGATE(15,6,ROW('Input Transaksi'!$B$5:$B$5000)/('Input Transaksi'!$B$5:$B$5000="DIY"),ROWS($E$5:E41)),"")</f>
        <v/>
      </c>
      <c r="F41" s="5" t="n"/>
    </row>
    <row r="42">
      <c r="A42" s="10">
        <f>IF($E42="","",INDEX('Input Transaksi'!$A:$A,$E42))</f>
        <v/>
      </c>
      <c r="B42" s="5">
        <f>IF($E42="","",INDEX('Input Transaksi'!$D:$D,$E42))</f>
        <v/>
      </c>
      <c r="C42">
        <f>IF($E42="","",INDEX('Input Transaksi'!$E:$E,$E42))</f>
        <v/>
      </c>
      <c r="D42" s="5">
        <f>IF($E42="","",INDEX('Input Transaksi'!$F:$F,$E42))</f>
        <v/>
      </c>
      <c r="E42">
        <f>IFERROR(AGGREGATE(15,6,ROW('Input Transaksi'!$B$5:$B$5000)/('Input Transaksi'!$B$5:$B$5000="DIY"),ROWS($E$5:E42)),"")</f>
        <v/>
      </c>
      <c r="F42" s="5" t="n"/>
    </row>
    <row r="43">
      <c r="A43" s="10">
        <f>IF($E43="","",INDEX('Input Transaksi'!$A:$A,$E43))</f>
        <v/>
      </c>
      <c r="B43" s="5">
        <f>IF($E43="","",INDEX('Input Transaksi'!$D:$D,$E43))</f>
        <v/>
      </c>
      <c r="C43">
        <f>IF($E43="","",INDEX('Input Transaksi'!$E:$E,$E43))</f>
        <v/>
      </c>
      <c r="D43" s="5">
        <f>IF($E43="","",INDEX('Input Transaksi'!$F:$F,$E43))</f>
        <v/>
      </c>
      <c r="E43">
        <f>IFERROR(AGGREGATE(15,6,ROW('Input Transaksi'!$B$5:$B$5000)/('Input Transaksi'!$B$5:$B$5000="DIY"),ROWS($E$5:E43)),"")</f>
        <v/>
      </c>
      <c r="F43" s="5" t="n"/>
    </row>
    <row r="44">
      <c r="A44" s="10">
        <f>IF($E44="","",INDEX('Input Transaksi'!$A:$A,$E44))</f>
        <v/>
      </c>
      <c r="B44" s="5">
        <f>IF($E44="","",INDEX('Input Transaksi'!$D:$D,$E44))</f>
        <v/>
      </c>
      <c r="C44">
        <f>IF($E44="","",INDEX('Input Transaksi'!$E:$E,$E44))</f>
        <v/>
      </c>
      <c r="D44" s="5">
        <f>IF($E44="","",INDEX('Input Transaksi'!$F:$F,$E44))</f>
        <v/>
      </c>
      <c r="E44">
        <f>IFERROR(AGGREGATE(15,6,ROW('Input Transaksi'!$B$5:$B$5000)/('Input Transaksi'!$B$5:$B$5000="DIY"),ROWS($E$5:E44)),"")</f>
        <v/>
      </c>
      <c r="F44" s="5" t="n"/>
    </row>
    <row r="45">
      <c r="A45" s="10">
        <f>IF($E45="","",INDEX('Input Transaksi'!$A:$A,$E45))</f>
        <v/>
      </c>
      <c r="B45" s="5">
        <f>IF($E45="","",INDEX('Input Transaksi'!$D:$D,$E45))</f>
        <v/>
      </c>
      <c r="C45">
        <f>IF($E45="","",INDEX('Input Transaksi'!$E:$E,$E45))</f>
        <v/>
      </c>
      <c r="D45" s="5">
        <f>IF($E45="","",INDEX('Input Transaksi'!$F:$F,$E45))</f>
        <v/>
      </c>
      <c r="E45">
        <f>IFERROR(AGGREGATE(15,6,ROW('Input Transaksi'!$B$5:$B$5000)/('Input Transaksi'!$B$5:$B$5000="DIY"),ROWS($E$5:E45)),"")</f>
        <v/>
      </c>
      <c r="F45" s="5" t="n"/>
    </row>
    <row r="46">
      <c r="A46" s="10">
        <f>IF($E46="","",INDEX('Input Transaksi'!$A:$A,$E46))</f>
        <v/>
      </c>
      <c r="B46" s="5">
        <f>IF($E46="","",INDEX('Input Transaksi'!$D:$D,$E46))</f>
        <v/>
      </c>
      <c r="C46">
        <f>IF($E46="","",INDEX('Input Transaksi'!$E:$E,$E46))</f>
        <v/>
      </c>
      <c r="D46" s="5">
        <f>IF($E46="","",INDEX('Input Transaksi'!$F:$F,$E46))</f>
        <v/>
      </c>
      <c r="E46">
        <f>IFERROR(AGGREGATE(15,6,ROW('Input Transaksi'!$B$5:$B$5000)/('Input Transaksi'!$B$5:$B$5000="DIY"),ROWS($E$5:E46)),"")</f>
        <v/>
      </c>
      <c r="F46" s="5" t="n"/>
    </row>
    <row r="47">
      <c r="A47" s="10">
        <f>IF($E47="","",INDEX('Input Transaksi'!$A:$A,$E47))</f>
        <v/>
      </c>
      <c r="B47" s="5">
        <f>IF($E47="","",INDEX('Input Transaksi'!$D:$D,$E47))</f>
        <v/>
      </c>
      <c r="C47">
        <f>IF($E47="","",INDEX('Input Transaksi'!$E:$E,$E47))</f>
        <v/>
      </c>
      <c r="D47" s="5">
        <f>IF($E47="","",INDEX('Input Transaksi'!$F:$F,$E47))</f>
        <v/>
      </c>
      <c r="E47">
        <f>IFERROR(AGGREGATE(15,6,ROW('Input Transaksi'!$B$5:$B$5000)/('Input Transaksi'!$B$5:$B$5000="DIY"),ROWS($E$5:E47)),"")</f>
        <v/>
      </c>
      <c r="F47" s="5" t="n"/>
    </row>
    <row r="48">
      <c r="A48" s="10">
        <f>IF($E48="","",INDEX('Input Transaksi'!$A:$A,$E48))</f>
        <v/>
      </c>
      <c r="B48" s="5">
        <f>IF($E48="","",INDEX('Input Transaksi'!$D:$D,$E48))</f>
        <v/>
      </c>
      <c r="C48">
        <f>IF($E48="","",INDEX('Input Transaksi'!$E:$E,$E48))</f>
        <v/>
      </c>
      <c r="D48" s="5">
        <f>IF($E48="","",INDEX('Input Transaksi'!$F:$F,$E48))</f>
        <v/>
      </c>
      <c r="E48">
        <f>IFERROR(AGGREGATE(15,6,ROW('Input Transaksi'!$B$5:$B$5000)/('Input Transaksi'!$B$5:$B$5000="DIY"),ROWS($E$5:E48)),"")</f>
        <v/>
      </c>
      <c r="F48" s="5" t="n"/>
    </row>
    <row r="49">
      <c r="A49" s="10">
        <f>IF($E49="","",INDEX('Input Transaksi'!$A:$A,$E49))</f>
        <v/>
      </c>
      <c r="B49" s="5">
        <f>IF($E49="","",INDEX('Input Transaksi'!$D:$D,$E49))</f>
        <v/>
      </c>
      <c r="C49">
        <f>IF($E49="","",INDEX('Input Transaksi'!$E:$E,$E49))</f>
        <v/>
      </c>
      <c r="D49" s="5">
        <f>IF($E49="","",INDEX('Input Transaksi'!$F:$F,$E49))</f>
        <v/>
      </c>
      <c r="E49">
        <f>IFERROR(AGGREGATE(15,6,ROW('Input Transaksi'!$B$5:$B$5000)/('Input Transaksi'!$B$5:$B$5000="DIY"),ROWS($E$5:E49)),"")</f>
        <v/>
      </c>
      <c r="F49" s="5" t="n"/>
    </row>
    <row r="50">
      <c r="A50" s="10">
        <f>IF($E50="","",INDEX('Input Transaksi'!$A:$A,$E50))</f>
        <v/>
      </c>
      <c r="B50" s="5">
        <f>IF($E50="","",INDEX('Input Transaksi'!$D:$D,$E50))</f>
        <v/>
      </c>
      <c r="C50">
        <f>IF($E50="","",INDEX('Input Transaksi'!$E:$E,$E50))</f>
        <v/>
      </c>
      <c r="D50" s="5">
        <f>IF($E50="","",INDEX('Input Transaksi'!$F:$F,$E50))</f>
        <v/>
      </c>
      <c r="E50">
        <f>IFERROR(AGGREGATE(15,6,ROW('Input Transaksi'!$B$5:$B$5000)/('Input Transaksi'!$B$5:$B$5000="DIY"),ROWS($E$5:E50)),"")</f>
        <v/>
      </c>
      <c r="F50" s="5" t="n"/>
    </row>
    <row r="51">
      <c r="A51" s="10">
        <f>IF($E51="","",INDEX('Input Transaksi'!$A:$A,$E51))</f>
        <v/>
      </c>
      <c r="B51" s="5">
        <f>IF($E51="","",INDEX('Input Transaksi'!$D:$D,$E51))</f>
        <v/>
      </c>
      <c r="C51">
        <f>IF($E51="","",INDEX('Input Transaksi'!$E:$E,$E51))</f>
        <v/>
      </c>
      <c r="D51" s="5">
        <f>IF($E51="","",INDEX('Input Transaksi'!$F:$F,$E51))</f>
        <v/>
      </c>
      <c r="E51">
        <f>IFERROR(AGGREGATE(15,6,ROW('Input Transaksi'!$B$5:$B$5000)/('Input Transaksi'!$B$5:$B$5000="DIY"),ROWS($E$5:E51)),"")</f>
        <v/>
      </c>
      <c r="F51" s="5" t="n"/>
    </row>
    <row r="52">
      <c r="A52" s="10">
        <f>IF($E52="","",INDEX('Input Transaksi'!$A:$A,$E52))</f>
        <v/>
      </c>
      <c r="B52" s="5">
        <f>IF($E52="","",INDEX('Input Transaksi'!$D:$D,$E52))</f>
        <v/>
      </c>
      <c r="C52">
        <f>IF($E52="","",INDEX('Input Transaksi'!$E:$E,$E52))</f>
        <v/>
      </c>
      <c r="D52" s="5">
        <f>IF($E52="","",INDEX('Input Transaksi'!$F:$F,$E52))</f>
        <v/>
      </c>
      <c r="E52">
        <f>IFERROR(AGGREGATE(15,6,ROW('Input Transaksi'!$B$5:$B$5000)/('Input Transaksi'!$B$5:$B$5000="DIY"),ROWS($E$5:E52)),"")</f>
        <v/>
      </c>
      <c r="F52" s="5" t="n"/>
    </row>
    <row r="53">
      <c r="A53" s="10">
        <f>IF($E53="","",INDEX('Input Transaksi'!$A:$A,$E53))</f>
        <v/>
      </c>
      <c r="B53" s="5">
        <f>IF($E53="","",INDEX('Input Transaksi'!$D:$D,$E53))</f>
        <v/>
      </c>
      <c r="C53">
        <f>IF($E53="","",INDEX('Input Transaksi'!$E:$E,$E53))</f>
        <v/>
      </c>
      <c r="D53" s="5">
        <f>IF($E53="","",INDEX('Input Transaksi'!$F:$F,$E53))</f>
        <v/>
      </c>
      <c r="E53">
        <f>IFERROR(AGGREGATE(15,6,ROW('Input Transaksi'!$B$5:$B$5000)/('Input Transaksi'!$B$5:$B$5000="DIY"),ROWS($E$5:E53)),"")</f>
        <v/>
      </c>
      <c r="F53" s="5" t="n"/>
    </row>
    <row r="54">
      <c r="A54" s="10">
        <f>IF($E54="","",INDEX('Input Transaksi'!$A:$A,$E54))</f>
        <v/>
      </c>
      <c r="B54" s="5">
        <f>IF($E54="","",INDEX('Input Transaksi'!$D:$D,$E54))</f>
        <v/>
      </c>
      <c r="C54">
        <f>IF($E54="","",INDEX('Input Transaksi'!$E:$E,$E54))</f>
        <v/>
      </c>
      <c r="D54" s="5">
        <f>IF($E54="","",INDEX('Input Transaksi'!$F:$F,$E54))</f>
        <v/>
      </c>
      <c r="E54">
        <f>IFERROR(AGGREGATE(15,6,ROW('Input Transaksi'!$B$5:$B$5000)/('Input Transaksi'!$B$5:$B$5000="DIY"),ROWS($E$5:E54)),"")</f>
        <v/>
      </c>
      <c r="F54" s="5" t="n"/>
    </row>
    <row r="55">
      <c r="A55" s="10">
        <f>IF($E55="","",INDEX('Input Transaksi'!$A:$A,$E55))</f>
        <v/>
      </c>
      <c r="B55" s="5">
        <f>IF($E55="","",INDEX('Input Transaksi'!$D:$D,$E55))</f>
        <v/>
      </c>
      <c r="C55">
        <f>IF($E55="","",INDEX('Input Transaksi'!$E:$E,$E55))</f>
        <v/>
      </c>
      <c r="D55" s="5">
        <f>IF($E55="","",INDEX('Input Transaksi'!$F:$F,$E55))</f>
        <v/>
      </c>
      <c r="E55">
        <f>IFERROR(AGGREGATE(15,6,ROW('Input Transaksi'!$B$5:$B$5000)/('Input Transaksi'!$B$5:$B$5000="DIY"),ROWS($E$5:E55)),"")</f>
        <v/>
      </c>
      <c r="F55" s="5" t="n"/>
    </row>
    <row r="56">
      <c r="A56" s="10">
        <f>IF($E56="","",INDEX('Input Transaksi'!$A:$A,$E56))</f>
        <v/>
      </c>
      <c r="B56" s="5">
        <f>IF($E56="","",INDEX('Input Transaksi'!$D:$D,$E56))</f>
        <v/>
      </c>
      <c r="C56">
        <f>IF($E56="","",INDEX('Input Transaksi'!$E:$E,$E56))</f>
        <v/>
      </c>
      <c r="D56" s="5">
        <f>IF($E56="","",INDEX('Input Transaksi'!$F:$F,$E56))</f>
        <v/>
      </c>
      <c r="E56">
        <f>IFERROR(AGGREGATE(15,6,ROW('Input Transaksi'!$B$5:$B$5000)/('Input Transaksi'!$B$5:$B$5000="DIY"),ROWS($E$5:E56)),"")</f>
        <v/>
      </c>
      <c r="F56" s="5" t="n"/>
    </row>
    <row r="57">
      <c r="A57" s="10">
        <f>IF($E57="","",INDEX('Input Transaksi'!$A:$A,$E57))</f>
        <v/>
      </c>
      <c r="B57" s="5">
        <f>IF($E57="","",INDEX('Input Transaksi'!$D:$D,$E57))</f>
        <v/>
      </c>
      <c r="C57">
        <f>IF($E57="","",INDEX('Input Transaksi'!$E:$E,$E57))</f>
        <v/>
      </c>
      <c r="D57" s="5">
        <f>IF($E57="","",INDEX('Input Transaksi'!$F:$F,$E57))</f>
        <v/>
      </c>
      <c r="E57">
        <f>IFERROR(AGGREGATE(15,6,ROW('Input Transaksi'!$B$5:$B$5000)/('Input Transaksi'!$B$5:$B$5000="DIY"),ROWS($E$5:E57)),"")</f>
        <v/>
      </c>
      <c r="F57" s="5" t="n"/>
    </row>
    <row r="58">
      <c r="A58" s="10">
        <f>IF($E58="","",INDEX('Input Transaksi'!$A:$A,$E58))</f>
        <v/>
      </c>
      <c r="B58" s="5">
        <f>IF($E58="","",INDEX('Input Transaksi'!$D:$D,$E58))</f>
        <v/>
      </c>
      <c r="C58">
        <f>IF($E58="","",INDEX('Input Transaksi'!$E:$E,$E58))</f>
        <v/>
      </c>
      <c r="D58" s="5">
        <f>IF($E58="","",INDEX('Input Transaksi'!$F:$F,$E58))</f>
        <v/>
      </c>
      <c r="E58">
        <f>IFERROR(AGGREGATE(15,6,ROW('Input Transaksi'!$B$5:$B$5000)/('Input Transaksi'!$B$5:$B$5000="DIY"),ROWS($E$5:E58)),"")</f>
        <v/>
      </c>
      <c r="F58" s="5" t="n"/>
    </row>
    <row r="59">
      <c r="A59" s="10">
        <f>IF($E59="","",INDEX('Input Transaksi'!$A:$A,$E59))</f>
        <v/>
      </c>
      <c r="B59" s="5">
        <f>IF($E59="","",INDEX('Input Transaksi'!$D:$D,$E59))</f>
        <v/>
      </c>
      <c r="C59">
        <f>IF($E59="","",INDEX('Input Transaksi'!$E:$E,$E59))</f>
        <v/>
      </c>
      <c r="D59" s="5">
        <f>IF($E59="","",INDEX('Input Transaksi'!$F:$F,$E59))</f>
        <v/>
      </c>
      <c r="E59">
        <f>IFERROR(AGGREGATE(15,6,ROW('Input Transaksi'!$B$5:$B$5000)/('Input Transaksi'!$B$5:$B$5000="DIY"),ROWS($E$5:E59)),"")</f>
        <v/>
      </c>
      <c r="F59" s="5" t="n"/>
    </row>
    <row r="60">
      <c r="A60" s="10">
        <f>IF($E60="","",INDEX('Input Transaksi'!$A:$A,$E60))</f>
        <v/>
      </c>
      <c r="B60" s="5">
        <f>IF($E60="","",INDEX('Input Transaksi'!$D:$D,$E60))</f>
        <v/>
      </c>
      <c r="C60">
        <f>IF($E60="","",INDEX('Input Transaksi'!$E:$E,$E60))</f>
        <v/>
      </c>
      <c r="D60" s="5">
        <f>IF($E60="","",INDEX('Input Transaksi'!$F:$F,$E60))</f>
        <v/>
      </c>
      <c r="E60">
        <f>IFERROR(AGGREGATE(15,6,ROW('Input Transaksi'!$B$5:$B$5000)/('Input Transaksi'!$B$5:$B$5000="DIY"),ROWS($E$5:E60)),"")</f>
        <v/>
      </c>
      <c r="F60" s="5" t="n"/>
    </row>
    <row r="61">
      <c r="A61" s="10">
        <f>IF($E61="","",INDEX('Input Transaksi'!$A:$A,$E61))</f>
        <v/>
      </c>
      <c r="B61" s="5">
        <f>IF($E61="","",INDEX('Input Transaksi'!$D:$D,$E61))</f>
        <v/>
      </c>
      <c r="C61">
        <f>IF($E61="","",INDEX('Input Transaksi'!$E:$E,$E61))</f>
        <v/>
      </c>
      <c r="D61" s="5">
        <f>IF($E61="","",INDEX('Input Transaksi'!$F:$F,$E61))</f>
        <v/>
      </c>
      <c r="E61">
        <f>IFERROR(AGGREGATE(15,6,ROW('Input Transaksi'!$B$5:$B$5000)/('Input Transaksi'!$B$5:$B$5000="DIY"),ROWS($E$5:E61)),"")</f>
        <v/>
      </c>
      <c r="F61" s="5" t="n"/>
    </row>
    <row r="62">
      <c r="A62" s="10">
        <f>IF($E62="","",INDEX('Input Transaksi'!$A:$A,$E62))</f>
        <v/>
      </c>
      <c r="B62" s="5">
        <f>IF($E62="","",INDEX('Input Transaksi'!$D:$D,$E62))</f>
        <v/>
      </c>
      <c r="C62">
        <f>IF($E62="","",INDEX('Input Transaksi'!$E:$E,$E62))</f>
        <v/>
      </c>
      <c r="D62" s="5">
        <f>IF($E62="","",INDEX('Input Transaksi'!$F:$F,$E62))</f>
        <v/>
      </c>
      <c r="E62">
        <f>IFERROR(AGGREGATE(15,6,ROW('Input Transaksi'!$B$5:$B$5000)/('Input Transaksi'!$B$5:$B$5000="DIY"),ROWS($E$5:E62)),"")</f>
        <v/>
      </c>
      <c r="F62" s="5" t="n"/>
    </row>
    <row r="63">
      <c r="A63" s="10">
        <f>IF($E63="","",INDEX('Input Transaksi'!$A:$A,$E63))</f>
        <v/>
      </c>
      <c r="B63" s="5">
        <f>IF($E63="","",INDEX('Input Transaksi'!$D:$D,$E63))</f>
        <v/>
      </c>
      <c r="C63">
        <f>IF($E63="","",INDEX('Input Transaksi'!$E:$E,$E63))</f>
        <v/>
      </c>
      <c r="D63" s="5">
        <f>IF($E63="","",INDEX('Input Transaksi'!$F:$F,$E63))</f>
        <v/>
      </c>
      <c r="E63">
        <f>IFERROR(AGGREGATE(15,6,ROW('Input Transaksi'!$B$5:$B$5000)/('Input Transaksi'!$B$5:$B$5000="DIY"),ROWS($E$5:E63)),"")</f>
        <v/>
      </c>
      <c r="F63" s="5" t="n"/>
    </row>
    <row r="64">
      <c r="A64" s="10">
        <f>IF($E64="","",INDEX('Input Transaksi'!$A:$A,$E64))</f>
        <v/>
      </c>
      <c r="B64" s="5">
        <f>IF($E64="","",INDEX('Input Transaksi'!$D:$D,$E64))</f>
        <v/>
      </c>
      <c r="C64">
        <f>IF($E64="","",INDEX('Input Transaksi'!$E:$E,$E64))</f>
        <v/>
      </c>
      <c r="D64" s="5">
        <f>IF($E64="","",INDEX('Input Transaksi'!$F:$F,$E64))</f>
        <v/>
      </c>
      <c r="E64">
        <f>IFERROR(AGGREGATE(15,6,ROW('Input Transaksi'!$B$5:$B$5000)/('Input Transaksi'!$B$5:$B$5000="DIY"),ROWS($E$5:E64)),"")</f>
        <v/>
      </c>
      <c r="F64" s="5" t="n"/>
    </row>
    <row r="65">
      <c r="A65" s="10">
        <f>IF($E65="","",INDEX('Input Transaksi'!$A:$A,$E65))</f>
        <v/>
      </c>
      <c r="B65" s="5">
        <f>IF($E65="","",INDEX('Input Transaksi'!$D:$D,$E65))</f>
        <v/>
      </c>
      <c r="C65">
        <f>IF($E65="","",INDEX('Input Transaksi'!$E:$E,$E65))</f>
        <v/>
      </c>
      <c r="D65" s="5">
        <f>IF($E65="","",INDEX('Input Transaksi'!$F:$F,$E65))</f>
        <v/>
      </c>
      <c r="E65">
        <f>IFERROR(AGGREGATE(15,6,ROW('Input Transaksi'!$B$5:$B$5000)/('Input Transaksi'!$B$5:$B$5000="DIY"),ROWS($E$5:E65)),"")</f>
        <v/>
      </c>
      <c r="F65" s="5" t="n"/>
    </row>
    <row r="66">
      <c r="A66" s="10">
        <f>IF($E66="","",INDEX('Input Transaksi'!$A:$A,$E66))</f>
        <v/>
      </c>
      <c r="B66" s="5">
        <f>IF($E66="","",INDEX('Input Transaksi'!$D:$D,$E66))</f>
        <v/>
      </c>
      <c r="C66">
        <f>IF($E66="","",INDEX('Input Transaksi'!$E:$E,$E66))</f>
        <v/>
      </c>
      <c r="D66" s="5">
        <f>IF($E66="","",INDEX('Input Transaksi'!$F:$F,$E66))</f>
        <v/>
      </c>
      <c r="E66">
        <f>IFERROR(AGGREGATE(15,6,ROW('Input Transaksi'!$B$5:$B$5000)/('Input Transaksi'!$B$5:$B$5000="DIY"),ROWS($E$5:E66)),"")</f>
        <v/>
      </c>
      <c r="F66" s="5" t="n"/>
    </row>
    <row r="67">
      <c r="A67" s="10">
        <f>IF($E67="","",INDEX('Input Transaksi'!$A:$A,$E67))</f>
        <v/>
      </c>
      <c r="B67" s="5">
        <f>IF($E67="","",INDEX('Input Transaksi'!$D:$D,$E67))</f>
        <v/>
      </c>
      <c r="C67">
        <f>IF($E67="","",INDEX('Input Transaksi'!$E:$E,$E67))</f>
        <v/>
      </c>
      <c r="D67" s="5">
        <f>IF($E67="","",INDEX('Input Transaksi'!$F:$F,$E67))</f>
        <v/>
      </c>
      <c r="E67">
        <f>IFERROR(AGGREGATE(15,6,ROW('Input Transaksi'!$B$5:$B$5000)/('Input Transaksi'!$B$5:$B$5000="DIY"),ROWS($E$5:E67)),"")</f>
        <v/>
      </c>
      <c r="F67" s="5" t="n"/>
    </row>
    <row r="68">
      <c r="A68" s="10">
        <f>IF($E68="","",INDEX('Input Transaksi'!$A:$A,$E68))</f>
        <v/>
      </c>
      <c r="B68" s="5">
        <f>IF($E68="","",INDEX('Input Transaksi'!$D:$D,$E68))</f>
        <v/>
      </c>
      <c r="C68">
        <f>IF($E68="","",INDEX('Input Transaksi'!$E:$E,$E68))</f>
        <v/>
      </c>
      <c r="D68" s="5">
        <f>IF($E68="","",INDEX('Input Transaksi'!$F:$F,$E68))</f>
        <v/>
      </c>
      <c r="E68">
        <f>IFERROR(AGGREGATE(15,6,ROW('Input Transaksi'!$B$5:$B$5000)/('Input Transaksi'!$B$5:$B$5000="DIY"),ROWS($E$5:E68)),"")</f>
        <v/>
      </c>
      <c r="F68" s="5" t="n"/>
    </row>
    <row r="69">
      <c r="A69" s="10">
        <f>IF($E69="","",INDEX('Input Transaksi'!$A:$A,$E69))</f>
        <v/>
      </c>
      <c r="B69" s="5">
        <f>IF($E69="","",INDEX('Input Transaksi'!$D:$D,$E69))</f>
        <v/>
      </c>
      <c r="C69">
        <f>IF($E69="","",INDEX('Input Transaksi'!$E:$E,$E69))</f>
        <v/>
      </c>
      <c r="D69" s="5">
        <f>IF($E69="","",INDEX('Input Transaksi'!$F:$F,$E69))</f>
        <v/>
      </c>
      <c r="E69">
        <f>IFERROR(AGGREGATE(15,6,ROW('Input Transaksi'!$B$5:$B$5000)/('Input Transaksi'!$B$5:$B$5000="DIY"),ROWS($E$5:E69)),"")</f>
        <v/>
      </c>
      <c r="F69" s="5" t="n"/>
    </row>
    <row r="70">
      <c r="A70" s="10">
        <f>IF($E70="","",INDEX('Input Transaksi'!$A:$A,$E70))</f>
        <v/>
      </c>
      <c r="B70" s="5">
        <f>IF($E70="","",INDEX('Input Transaksi'!$D:$D,$E70))</f>
        <v/>
      </c>
      <c r="C70">
        <f>IF($E70="","",INDEX('Input Transaksi'!$E:$E,$E70))</f>
        <v/>
      </c>
      <c r="D70" s="5">
        <f>IF($E70="","",INDEX('Input Transaksi'!$F:$F,$E70))</f>
        <v/>
      </c>
      <c r="E70">
        <f>IFERROR(AGGREGATE(15,6,ROW('Input Transaksi'!$B$5:$B$5000)/('Input Transaksi'!$B$5:$B$5000="DIY"),ROWS($E$5:E70)),"")</f>
        <v/>
      </c>
      <c r="F70" s="5" t="n"/>
    </row>
    <row r="71">
      <c r="A71" s="10">
        <f>IF($E71="","",INDEX('Input Transaksi'!$A:$A,$E71))</f>
        <v/>
      </c>
      <c r="B71" s="5">
        <f>IF($E71="","",INDEX('Input Transaksi'!$D:$D,$E71))</f>
        <v/>
      </c>
      <c r="C71">
        <f>IF($E71="","",INDEX('Input Transaksi'!$E:$E,$E71))</f>
        <v/>
      </c>
      <c r="D71" s="5">
        <f>IF($E71="","",INDEX('Input Transaksi'!$F:$F,$E71))</f>
        <v/>
      </c>
      <c r="E71">
        <f>IFERROR(AGGREGATE(15,6,ROW('Input Transaksi'!$B$5:$B$5000)/('Input Transaksi'!$B$5:$B$5000="DIY"),ROWS($E$5:E71)),"")</f>
        <v/>
      </c>
      <c r="F71" s="5" t="n"/>
    </row>
    <row r="72">
      <c r="A72" s="10">
        <f>IF($E72="","",INDEX('Input Transaksi'!$A:$A,$E72))</f>
        <v/>
      </c>
      <c r="B72" s="5">
        <f>IF($E72="","",INDEX('Input Transaksi'!$D:$D,$E72))</f>
        <v/>
      </c>
      <c r="C72">
        <f>IF($E72="","",INDEX('Input Transaksi'!$E:$E,$E72))</f>
        <v/>
      </c>
      <c r="D72" s="5">
        <f>IF($E72="","",INDEX('Input Transaksi'!$F:$F,$E72))</f>
        <v/>
      </c>
      <c r="E72">
        <f>IFERROR(AGGREGATE(15,6,ROW('Input Transaksi'!$B$5:$B$5000)/('Input Transaksi'!$B$5:$B$5000="DIY"),ROWS($E$5:E72)),"")</f>
        <v/>
      </c>
      <c r="F72" s="5" t="n"/>
    </row>
    <row r="73">
      <c r="A73" s="10">
        <f>IF($E73="","",INDEX('Input Transaksi'!$A:$A,$E73))</f>
        <v/>
      </c>
      <c r="B73" s="5">
        <f>IF($E73="","",INDEX('Input Transaksi'!$D:$D,$E73))</f>
        <v/>
      </c>
      <c r="C73">
        <f>IF($E73="","",INDEX('Input Transaksi'!$E:$E,$E73))</f>
        <v/>
      </c>
      <c r="D73" s="5">
        <f>IF($E73="","",INDEX('Input Transaksi'!$F:$F,$E73))</f>
        <v/>
      </c>
      <c r="E73">
        <f>IFERROR(AGGREGATE(15,6,ROW('Input Transaksi'!$B$5:$B$5000)/('Input Transaksi'!$B$5:$B$5000="DIY"),ROWS($E$5:E73)),"")</f>
        <v/>
      </c>
      <c r="F73" s="5" t="n"/>
    </row>
    <row r="74">
      <c r="A74" s="10">
        <f>IF($E74="","",INDEX('Input Transaksi'!$A:$A,$E74))</f>
        <v/>
      </c>
      <c r="B74" s="5">
        <f>IF($E74="","",INDEX('Input Transaksi'!$D:$D,$E74))</f>
        <v/>
      </c>
      <c r="C74">
        <f>IF($E74="","",INDEX('Input Transaksi'!$E:$E,$E74))</f>
        <v/>
      </c>
      <c r="D74" s="5">
        <f>IF($E74="","",INDEX('Input Transaksi'!$F:$F,$E74))</f>
        <v/>
      </c>
      <c r="E74">
        <f>IFERROR(AGGREGATE(15,6,ROW('Input Transaksi'!$B$5:$B$5000)/('Input Transaksi'!$B$5:$B$5000="DIY"),ROWS($E$5:E74)),"")</f>
        <v/>
      </c>
      <c r="F74" s="5" t="n"/>
    </row>
    <row r="75">
      <c r="A75" s="10">
        <f>IF($E75="","",INDEX('Input Transaksi'!$A:$A,$E75))</f>
        <v/>
      </c>
      <c r="B75" s="5">
        <f>IF($E75="","",INDEX('Input Transaksi'!$D:$D,$E75))</f>
        <v/>
      </c>
      <c r="C75">
        <f>IF($E75="","",INDEX('Input Transaksi'!$E:$E,$E75))</f>
        <v/>
      </c>
      <c r="D75" s="5">
        <f>IF($E75="","",INDEX('Input Transaksi'!$F:$F,$E75))</f>
        <v/>
      </c>
      <c r="E75">
        <f>IFERROR(AGGREGATE(15,6,ROW('Input Transaksi'!$B$5:$B$5000)/('Input Transaksi'!$B$5:$B$5000="DIY"),ROWS($E$5:E75)),"")</f>
        <v/>
      </c>
      <c r="F75" s="5" t="n"/>
    </row>
    <row r="76">
      <c r="A76" s="10">
        <f>IF($E76="","",INDEX('Input Transaksi'!$A:$A,$E76))</f>
        <v/>
      </c>
      <c r="B76" s="5">
        <f>IF($E76="","",INDEX('Input Transaksi'!$D:$D,$E76))</f>
        <v/>
      </c>
      <c r="C76">
        <f>IF($E76="","",INDEX('Input Transaksi'!$E:$E,$E76))</f>
        <v/>
      </c>
      <c r="D76" s="5">
        <f>IF($E76="","",INDEX('Input Transaksi'!$F:$F,$E76))</f>
        <v/>
      </c>
      <c r="E76">
        <f>IFERROR(AGGREGATE(15,6,ROW('Input Transaksi'!$B$5:$B$5000)/('Input Transaksi'!$B$5:$B$5000="DIY"),ROWS($E$5:E76)),"")</f>
        <v/>
      </c>
      <c r="F76" s="5" t="n"/>
    </row>
    <row r="77">
      <c r="A77" s="10">
        <f>IF($E77="","",INDEX('Input Transaksi'!$A:$A,$E77))</f>
        <v/>
      </c>
      <c r="B77" s="5">
        <f>IF($E77="","",INDEX('Input Transaksi'!$D:$D,$E77))</f>
        <v/>
      </c>
      <c r="C77">
        <f>IF($E77="","",INDEX('Input Transaksi'!$E:$E,$E77))</f>
        <v/>
      </c>
      <c r="D77" s="5">
        <f>IF($E77="","",INDEX('Input Transaksi'!$F:$F,$E77))</f>
        <v/>
      </c>
      <c r="E77">
        <f>IFERROR(AGGREGATE(15,6,ROW('Input Transaksi'!$B$5:$B$5000)/('Input Transaksi'!$B$5:$B$5000="DIY"),ROWS($E$5:E77)),"")</f>
        <v/>
      </c>
      <c r="F77" s="5" t="n"/>
    </row>
    <row r="78">
      <c r="A78" s="10">
        <f>IF($E78="","",INDEX('Input Transaksi'!$A:$A,$E78))</f>
        <v/>
      </c>
      <c r="B78" s="5">
        <f>IF($E78="","",INDEX('Input Transaksi'!$D:$D,$E78))</f>
        <v/>
      </c>
      <c r="C78">
        <f>IF($E78="","",INDEX('Input Transaksi'!$E:$E,$E78))</f>
        <v/>
      </c>
      <c r="D78" s="5">
        <f>IF($E78="","",INDEX('Input Transaksi'!$F:$F,$E78))</f>
        <v/>
      </c>
      <c r="E78">
        <f>IFERROR(AGGREGATE(15,6,ROW('Input Transaksi'!$B$5:$B$5000)/('Input Transaksi'!$B$5:$B$5000="DIY"),ROWS($E$5:E78)),"")</f>
        <v/>
      </c>
      <c r="F78" s="5" t="n"/>
    </row>
    <row r="79">
      <c r="A79" s="10">
        <f>IF($E79="","",INDEX('Input Transaksi'!$A:$A,$E79))</f>
        <v/>
      </c>
      <c r="B79" s="5">
        <f>IF($E79="","",INDEX('Input Transaksi'!$D:$D,$E79))</f>
        <v/>
      </c>
      <c r="C79">
        <f>IF($E79="","",INDEX('Input Transaksi'!$E:$E,$E79))</f>
        <v/>
      </c>
      <c r="D79" s="5">
        <f>IF($E79="","",INDEX('Input Transaksi'!$F:$F,$E79))</f>
        <v/>
      </c>
      <c r="E79">
        <f>IFERROR(AGGREGATE(15,6,ROW('Input Transaksi'!$B$5:$B$5000)/('Input Transaksi'!$B$5:$B$5000="DIY"),ROWS($E$5:E79)),"")</f>
        <v/>
      </c>
      <c r="F79" s="5" t="n"/>
    </row>
    <row r="80">
      <c r="A80" s="10">
        <f>IF($E80="","",INDEX('Input Transaksi'!$A:$A,$E80))</f>
        <v/>
      </c>
      <c r="B80" s="5">
        <f>IF($E80="","",INDEX('Input Transaksi'!$D:$D,$E80))</f>
        <v/>
      </c>
      <c r="C80">
        <f>IF($E80="","",INDEX('Input Transaksi'!$E:$E,$E80))</f>
        <v/>
      </c>
      <c r="D80" s="5">
        <f>IF($E80="","",INDEX('Input Transaksi'!$F:$F,$E80))</f>
        <v/>
      </c>
      <c r="E80">
        <f>IFERROR(AGGREGATE(15,6,ROW('Input Transaksi'!$B$5:$B$5000)/('Input Transaksi'!$B$5:$B$5000="DIY"),ROWS($E$5:E80)),"")</f>
        <v/>
      </c>
      <c r="F80" s="5" t="n"/>
    </row>
    <row r="81">
      <c r="A81" s="10">
        <f>IF($E81="","",INDEX('Input Transaksi'!$A:$A,$E81))</f>
        <v/>
      </c>
      <c r="B81" s="5">
        <f>IF($E81="","",INDEX('Input Transaksi'!$D:$D,$E81))</f>
        <v/>
      </c>
      <c r="C81">
        <f>IF($E81="","",INDEX('Input Transaksi'!$E:$E,$E81))</f>
        <v/>
      </c>
      <c r="D81" s="5">
        <f>IF($E81="","",INDEX('Input Transaksi'!$F:$F,$E81))</f>
        <v/>
      </c>
      <c r="E81">
        <f>IFERROR(AGGREGATE(15,6,ROW('Input Transaksi'!$B$5:$B$5000)/('Input Transaksi'!$B$5:$B$5000="DIY"),ROWS($E$5:E81)),"")</f>
        <v/>
      </c>
      <c r="F81" s="5" t="n"/>
    </row>
    <row r="82">
      <c r="A82" s="10">
        <f>IF($E82="","",INDEX('Input Transaksi'!$A:$A,$E82))</f>
        <v/>
      </c>
      <c r="B82" s="5">
        <f>IF($E82="","",INDEX('Input Transaksi'!$D:$D,$E82))</f>
        <v/>
      </c>
      <c r="C82">
        <f>IF($E82="","",INDEX('Input Transaksi'!$E:$E,$E82))</f>
        <v/>
      </c>
      <c r="D82" s="5">
        <f>IF($E82="","",INDEX('Input Transaksi'!$F:$F,$E82))</f>
        <v/>
      </c>
      <c r="E82">
        <f>IFERROR(AGGREGATE(15,6,ROW('Input Transaksi'!$B$5:$B$5000)/('Input Transaksi'!$B$5:$B$5000="DIY"),ROWS($E$5:E82)),"")</f>
        <v/>
      </c>
      <c r="F82" s="5" t="n"/>
    </row>
    <row r="83">
      <c r="A83" s="10">
        <f>IF($E83="","",INDEX('Input Transaksi'!$A:$A,$E83))</f>
        <v/>
      </c>
      <c r="B83" s="5">
        <f>IF($E83="","",INDEX('Input Transaksi'!$D:$D,$E83))</f>
        <v/>
      </c>
      <c r="C83">
        <f>IF($E83="","",INDEX('Input Transaksi'!$E:$E,$E83))</f>
        <v/>
      </c>
      <c r="D83" s="5">
        <f>IF($E83="","",INDEX('Input Transaksi'!$F:$F,$E83))</f>
        <v/>
      </c>
      <c r="E83">
        <f>IFERROR(AGGREGATE(15,6,ROW('Input Transaksi'!$B$5:$B$5000)/('Input Transaksi'!$B$5:$B$5000="DIY"),ROWS($E$5:E83)),"")</f>
        <v/>
      </c>
      <c r="F83" s="5" t="n"/>
    </row>
    <row r="84">
      <c r="A84" s="10">
        <f>IF($E84="","",INDEX('Input Transaksi'!$A:$A,$E84))</f>
        <v/>
      </c>
      <c r="B84" s="5">
        <f>IF($E84="","",INDEX('Input Transaksi'!$D:$D,$E84))</f>
        <v/>
      </c>
      <c r="C84">
        <f>IF($E84="","",INDEX('Input Transaksi'!$E:$E,$E84))</f>
        <v/>
      </c>
      <c r="D84" s="5">
        <f>IF($E84="","",INDEX('Input Transaksi'!$F:$F,$E84))</f>
        <v/>
      </c>
      <c r="E84">
        <f>IFERROR(AGGREGATE(15,6,ROW('Input Transaksi'!$B$5:$B$5000)/('Input Transaksi'!$B$5:$B$5000="DIY"),ROWS($E$5:E84)),"")</f>
        <v/>
      </c>
      <c r="F84" s="5" t="n"/>
    </row>
    <row r="85">
      <c r="A85" s="10">
        <f>IF($E85="","",INDEX('Input Transaksi'!$A:$A,$E85))</f>
        <v/>
      </c>
      <c r="B85" s="5">
        <f>IF($E85="","",INDEX('Input Transaksi'!$D:$D,$E85))</f>
        <v/>
      </c>
      <c r="C85">
        <f>IF($E85="","",INDEX('Input Transaksi'!$E:$E,$E85))</f>
        <v/>
      </c>
      <c r="D85" s="5">
        <f>IF($E85="","",INDEX('Input Transaksi'!$F:$F,$E85))</f>
        <v/>
      </c>
      <c r="E85">
        <f>IFERROR(AGGREGATE(15,6,ROW('Input Transaksi'!$B$5:$B$5000)/('Input Transaksi'!$B$5:$B$5000="DIY"),ROWS($E$5:E85)),"")</f>
        <v/>
      </c>
      <c r="F85" s="5" t="n"/>
    </row>
    <row r="86">
      <c r="A86" s="10">
        <f>IF($E86="","",INDEX('Input Transaksi'!$A:$A,$E86))</f>
        <v/>
      </c>
      <c r="B86" s="5">
        <f>IF($E86="","",INDEX('Input Transaksi'!$D:$D,$E86))</f>
        <v/>
      </c>
      <c r="C86">
        <f>IF($E86="","",INDEX('Input Transaksi'!$E:$E,$E86))</f>
        <v/>
      </c>
      <c r="D86" s="5">
        <f>IF($E86="","",INDEX('Input Transaksi'!$F:$F,$E86))</f>
        <v/>
      </c>
      <c r="E86">
        <f>IFERROR(AGGREGATE(15,6,ROW('Input Transaksi'!$B$5:$B$5000)/('Input Transaksi'!$B$5:$B$5000="DIY"),ROWS($E$5:E86)),"")</f>
        <v/>
      </c>
      <c r="F86" s="5" t="n"/>
    </row>
    <row r="87">
      <c r="A87" s="10">
        <f>IF($E87="","",INDEX('Input Transaksi'!$A:$A,$E87))</f>
        <v/>
      </c>
      <c r="B87" s="5">
        <f>IF($E87="","",INDEX('Input Transaksi'!$D:$D,$E87))</f>
        <v/>
      </c>
      <c r="C87">
        <f>IF($E87="","",INDEX('Input Transaksi'!$E:$E,$E87))</f>
        <v/>
      </c>
      <c r="D87" s="5">
        <f>IF($E87="","",INDEX('Input Transaksi'!$F:$F,$E87))</f>
        <v/>
      </c>
      <c r="E87">
        <f>IFERROR(AGGREGATE(15,6,ROW('Input Transaksi'!$B$5:$B$5000)/('Input Transaksi'!$B$5:$B$5000="DIY"),ROWS($E$5:E87)),"")</f>
        <v/>
      </c>
      <c r="F87" s="5" t="n"/>
    </row>
    <row r="88">
      <c r="A88" s="10">
        <f>IF($E88="","",INDEX('Input Transaksi'!$A:$A,$E88))</f>
        <v/>
      </c>
      <c r="B88" s="5">
        <f>IF($E88="","",INDEX('Input Transaksi'!$D:$D,$E88))</f>
        <v/>
      </c>
      <c r="C88">
        <f>IF($E88="","",INDEX('Input Transaksi'!$E:$E,$E88))</f>
        <v/>
      </c>
      <c r="D88" s="5">
        <f>IF($E88="","",INDEX('Input Transaksi'!$F:$F,$E88))</f>
        <v/>
      </c>
      <c r="E88">
        <f>IFERROR(AGGREGATE(15,6,ROW('Input Transaksi'!$B$5:$B$5000)/('Input Transaksi'!$B$5:$B$5000="DIY"),ROWS($E$5:E88)),"")</f>
        <v/>
      </c>
      <c r="F88" s="5" t="n"/>
    </row>
    <row r="89">
      <c r="A89" s="10">
        <f>IF($E89="","",INDEX('Input Transaksi'!$A:$A,$E89))</f>
        <v/>
      </c>
      <c r="B89" s="5">
        <f>IF($E89="","",INDEX('Input Transaksi'!$D:$D,$E89))</f>
        <v/>
      </c>
      <c r="C89">
        <f>IF($E89="","",INDEX('Input Transaksi'!$E:$E,$E89))</f>
        <v/>
      </c>
      <c r="D89" s="5">
        <f>IF($E89="","",INDEX('Input Transaksi'!$F:$F,$E89))</f>
        <v/>
      </c>
      <c r="E89">
        <f>IFERROR(AGGREGATE(15,6,ROW('Input Transaksi'!$B$5:$B$5000)/('Input Transaksi'!$B$5:$B$5000="DIY"),ROWS($E$5:E89)),"")</f>
        <v/>
      </c>
      <c r="F89" s="5" t="n"/>
    </row>
    <row r="90">
      <c r="A90" s="10">
        <f>IF($E90="","",INDEX('Input Transaksi'!$A:$A,$E90))</f>
        <v/>
      </c>
      <c r="B90" s="5">
        <f>IF($E90="","",INDEX('Input Transaksi'!$D:$D,$E90))</f>
        <v/>
      </c>
      <c r="C90">
        <f>IF($E90="","",INDEX('Input Transaksi'!$E:$E,$E90))</f>
        <v/>
      </c>
      <c r="D90" s="5">
        <f>IF($E90="","",INDEX('Input Transaksi'!$F:$F,$E90))</f>
        <v/>
      </c>
      <c r="E90">
        <f>IFERROR(AGGREGATE(15,6,ROW('Input Transaksi'!$B$5:$B$5000)/('Input Transaksi'!$B$5:$B$5000="DIY"),ROWS($E$5:E90)),"")</f>
        <v/>
      </c>
      <c r="F90" s="5" t="n"/>
    </row>
    <row r="91">
      <c r="A91" s="10">
        <f>IF($E91="","",INDEX('Input Transaksi'!$A:$A,$E91))</f>
        <v/>
      </c>
      <c r="B91" s="5">
        <f>IF($E91="","",INDEX('Input Transaksi'!$D:$D,$E91))</f>
        <v/>
      </c>
      <c r="C91">
        <f>IF($E91="","",INDEX('Input Transaksi'!$E:$E,$E91))</f>
        <v/>
      </c>
      <c r="D91" s="5">
        <f>IF($E91="","",INDEX('Input Transaksi'!$F:$F,$E91))</f>
        <v/>
      </c>
      <c r="E91">
        <f>IFERROR(AGGREGATE(15,6,ROW('Input Transaksi'!$B$5:$B$5000)/('Input Transaksi'!$B$5:$B$5000="DIY"),ROWS($E$5:E91)),"")</f>
        <v/>
      </c>
      <c r="F91" s="5" t="n"/>
    </row>
    <row r="92">
      <c r="A92" s="10">
        <f>IF($E92="","",INDEX('Input Transaksi'!$A:$A,$E92))</f>
        <v/>
      </c>
      <c r="B92" s="5">
        <f>IF($E92="","",INDEX('Input Transaksi'!$D:$D,$E92))</f>
        <v/>
      </c>
      <c r="C92">
        <f>IF($E92="","",INDEX('Input Transaksi'!$E:$E,$E92))</f>
        <v/>
      </c>
      <c r="D92" s="5">
        <f>IF($E92="","",INDEX('Input Transaksi'!$F:$F,$E92))</f>
        <v/>
      </c>
      <c r="E92">
        <f>IFERROR(AGGREGATE(15,6,ROW('Input Transaksi'!$B$5:$B$5000)/('Input Transaksi'!$B$5:$B$5000="DIY"),ROWS($E$5:E92)),"")</f>
        <v/>
      </c>
      <c r="F92" s="5" t="n"/>
    </row>
    <row r="93">
      <c r="A93" s="10">
        <f>IF($E93="","",INDEX('Input Transaksi'!$A:$A,$E93))</f>
        <v/>
      </c>
      <c r="B93" s="5">
        <f>IF($E93="","",INDEX('Input Transaksi'!$D:$D,$E93))</f>
        <v/>
      </c>
      <c r="C93">
        <f>IF($E93="","",INDEX('Input Transaksi'!$E:$E,$E93))</f>
        <v/>
      </c>
      <c r="D93" s="5">
        <f>IF($E93="","",INDEX('Input Transaksi'!$F:$F,$E93))</f>
        <v/>
      </c>
      <c r="E93">
        <f>IFERROR(AGGREGATE(15,6,ROW('Input Transaksi'!$B$5:$B$5000)/('Input Transaksi'!$B$5:$B$5000="DIY"),ROWS($E$5:E93)),"")</f>
        <v/>
      </c>
      <c r="F93" s="5" t="n"/>
    </row>
    <row r="94">
      <c r="A94" s="10">
        <f>IF($E94="","",INDEX('Input Transaksi'!$A:$A,$E94))</f>
        <v/>
      </c>
      <c r="B94" s="5">
        <f>IF($E94="","",INDEX('Input Transaksi'!$D:$D,$E94))</f>
        <v/>
      </c>
      <c r="C94">
        <f>IF($E94="","",INDEX('Input Transaksi'!$E:$E,$E94))</f>
        <v/>
      </c>
      <c r="D94" s="5">
        <f>IF($E94="","",INDEX('Input Transaksi'!$F:$F,$E94))</f>
        <v/>
      </c>
      <c r="E94">
        <f>IFERROR(AGGREGATE(15,6,ROW('Input Transaksi'!$B$5:$B$5000)/('Input Transaksi'!$B$5:$B$5000="DIY"),ROWS($E$5:E94)),"")</f>
        <v/>
      </c>
      <c r="F94" s="5" t="n"/>
    </row>
    <row r="95">
      <c r="A95" s="10">
        <f>IF($E95="","",INDEX('Input Transaksi'!$A:$A,$E95))</f>
        <v/>
      </c>
      <c r="B95" s="5">
        <f>IF($E95="","",INDEX('Input Transaksi'!$D:$D,$E95))</f>
        <v/>
      </c>
      <c r="C95">
        <f>IF($E95="","",INDEX('Input Transaksi'!$E:$E,$E95))</f>
        <v/>
      </c>
      <c r="D95" s="5">
        <f>IF($E95="","",INDEX('Input Transaksi'!$F:$F,$E95))</f>
        <v/>
      </c>
      <c r="E95">
        <f>IFERROR(AGGREGATE(15,6,ROW('Input Transaksi'!$B$5:$B$5000)/('Input Transaksi'!$B$5:$B$5000="DIY"),ROWS($E$5:E95)),"")</f>
        <v/>
      </c>
      <c r="F95" s="5" t="n"/>
    </row>
    <row r="96">
      <c r="A96" s="10">
        <f>IF($E96="","",INDEX('Input Transaksi'!$A:$A,$E96))</f>
        <v/>
      </c>
      <c r="B96" s="5">
        <f>IF($E96="","",INDEX('Input Transaksi'!$D:$D,$E96))</f>
        <v/>
      </c>
      <c r="C96">
        <f>IF($E96="","",INDEX('Input Transaksi'!$E:$E,$E96))</f>
        <v/>
      </c>
      <c r="D96" s="5">
        <f>IF($E96="","",INDEX('Input Transaksi'!$F:$F,$E96))</f>
        <v/>
      </c>
      <c r="E96">
        <f>IFERROR(AGGREGATE(15,6,ROW('Input Transaksi'!$B$5:$B$5000)/('Input Transaksi'!$B$5:$B$5000="DIY"),ROWS($E$5:E96)),"")</f>
        <v/>
      </c>
      <c r="F96" s="5" t="n"/>
    </row>
    <row r="97">
      <c r="A97" s="10">
        <f>IF($E97="","",INDEX('Input Transaksi'!$A:$A,$E97))</f>
        <v/>
      </c>
      <c r="B97" s="5">
        <f>IF($E97="","",INDEX('Input Transaksi'!$D:$D,$E97))</f>
        <v/>
      </c>
      <c r="C97">
        <f>IF($E97="","",INDEX('Input Transaksi'!$E:$E,$E97))</f>
        <v/>
      </c>
      <c r="D97" s="5">
        <f>IF($E97="","",INDEX('Input Transaksi'!$F:$F,$E97))</f>
        <v/>
      </c>
      <c r="E97">
        <f>IFERROR(AGGREGATE(15,6,ROW('Input Transaksi'!$B$5:$B$5000)/('Input Transaksi'!$B$5:$B$5000="DIY"),ROWS($E$5:E97)),"")</f>
        <v/>
      </c>
      <c r="F97" s="5" t="n"/>
    </row>
    <row r="98">
      <c r="A98" s="10">
        <f>IF($E98="","",INDEX('Input Transaksi'!$A:$A,$E98))</f>
        <v/>
      </c>
      <c r="B98" s="5">
        <f>IF($E98="","",INDEX('Input Transaksi'!$D:$D,$E98))</f>
        <v/>
      </c>
      <c r="C98">
        <f>IF($E98="","",INDEX('Input Transaksi'!$E:$E,$E98))</f>
        <v/>
      </c>
      <c r="D98" s="5">
        <f>IF($E98="","",INDEX('Input Transaksi'!$F:$F,$E98))</f>
        <v/>
      </c>
      <c r="E98">
        <f>IFERROR(AGGREGATE(15,6,ROW('Input Transaksi'!$B$5:$B$5000)/('Input Transaksi'!$B$5:$B$5000="DIY"),ROWS($E$5:E98)),"")</f>
        <v/>
      </c>
      <c r="F98" s="5" t="n"/>
    </row>
    <row r="99">
      <c r="A99" s="10">
        <f>IF($E99="","",INDEX('Input Transaksi'!$A:$A,$E99))</f>
        <v/>
      </c>
      <c r="B99" s="5">
        <f>IF($E99="","",INDEX('Input Transaksi'!$D:$D,$E99))</f>
        <v/>
      </c>
      <c r="C99">
        <f>IF($E99="","",INDEX('Input Transaksi'!$E:$E,$E99))</f>
        <v/>
      </c>
      <c r="D99" s="5">
        <f>IF($E99="","",INDEX('Input Transaksi'!$F:$F,$E99))</f>
        <v/>
      </c>
      <c r="E99">
        <f>IFERROR(AGGREGATE(15,6,ROW('Input Transaksi'!$B$5:$B$5000)/('Input Transaksi'!$B$5:$B$5000="DIY"),ROWS($E$5:E99)),"")</f>
        <v/>
      </c>
      <c r="F99" s="5" t="n"/>
    </row>
    <row r="100">
      <c r="A100" s="10">
        <f>IF($E100="","",INDEX('Input Transaksi'!$A:$A,$E100))</f>
        <v/>
      </c>
      <c r="B100" s="5">
        <f>IF($E100="","",INDEX('Input Transaksi'!$D:$D,$E100))</f>
        <v/>
      </c>
      <c r="C100">
        <f>IF($E100="","",INDEX('Input Transaksi'!$E:$E,$E100))</f>
        <v/>
      </c>
      <c r="D100" s="5">
        <f>IF($E100="","",INDEX('Input Transaksi'!$F:$F,$E100))</f>
        <v/>
      </c>
      <c r="E100">
        <f>IFERROR(AGGREGATE(15,6,ROW('Input Transaksi'!$B$5:$B$5000)/('Input Transaksi'!$B$5:$B$5000="DIY"),ROWS($E$5:E100)),"")</f>
        <v/>
      </c>
      <c r="F100" s="5" t="n"/>
    </row>
    <row r="101">
      <c r="A101" s="10">
        <f>IF($E101="","",INDEX('Input Transaksi'!$A:$A,$E101))</f>
        <v/>
      </c>
      <c r="B101" s="5">
        <f>IF($E101="","",INDEX('Input Transaksi'!$D:$D,$E101))</f>
        <v/>
      </c>
      <c r="C101">
        <f>IF($E101="","",INDEX('Input Transaksi'!$E:$E,$E101))</f>
        <v/>
      </c>
      <c r="D101" s="5">
        <f>IF($E101="","",INDEX('Input Transaksi'!$F:$F,$E101))</f>
        <v/>
      </c>
      <c r="E101">
        <f>IFERROR(AGGREGATE(15,6,ROW('Input Transaksi'!$B$5:$B$5000)/('Input Transaksi'!$B$5:$B$5000="DIY"),ROWS($E$5:E101)),"")</f>
        <v/>
      </c>
      <c r="F101" s="5" t="n"/>
    </row>
    <row r="102">
      <c r="A102" s="10">
        <f>IF($E102="","",INDEX('Input Transaksi'!$A:$A,$E102))</f>
        <v/>
      </c>
      <c r="B102" s="5">
        <f>IF($E102="","",INDEX('Input Transaksi'!$D:$D,$E102))</f>
        <v/>
      </c>
      <c r="C102">
        <f>IF($E102="","",INDEX('Input Transaksi'!$E:$E,$E102))</f>
        <v/>
      </c>
      <c r="D102" s="5">
        <f>IF($E102="","",INDEX('Input Transaksi'!$F:$F,$E102))</f>
        <v/>
      </c>
      <c r="E102">
        <f>IFERROR(AGGREGATE(15,6,ROW('Input Transaksi'!$B$5:$B$5000)/('Input Transaksi'!$B$5:$B$5000="DIY"),ROWS($E$5:E102)),"")</f>
        <v/>
      </c>
      <c r="F102" s="5" t="n"/>
    </row>
    <row r="103">
      <c r="A103" s="10">
        <f>IF($E103="","",INDEX('Input Transaksi'!$A:$A,$E103))</f>
        <v/>
      </c>
      <c r="B103" s="5">
        <f>IF($E103="","",INDEX('Input Transaksi'!$D:$D,$E103))</f>
        <v/>
      </c>
      <c r="C103">
        <f>IF($E103="","",INDEX('Input Transaksi'!$E:$E,$E103))</f>
        <v/>
      </c>
      <c r="D103" s="5">
        <f>IF($E103="","",INDEX('Input Transaksi'!$F:$F,$E103))</f>
        <v/>
      </c>
      <c r="E103">
        <f>IFERROR(AGGREGATE(15,6,ROW('Input Transaksi'!$B$5:$B$5000)/('Input Transaksi'!$B$5:$B$5000="DIY"),ROWS($E$5:E103)),"")</f>
        <v/>
      </c>
      <c r="F103" s="5" t="n"/>
    </row>
    <row r="104">
      <c r="A104" s="10">
        <f>IF($E104="","",INDEX('Input Transaksi'!$A:$A,$E104))</f>
        <v/>
      </c>
      <c r="B104" s="5">
        <f>IF($E104="","",INDEX('Input Transaksi'!$D:$D,$E104))</f>
        <v/>
      </c>
      <c r="C104">
        <f>IF($E104="","",INDEX('Input Transaksi'!$E:$E,$E104))</f>
        <v/>
      </c>
      <c r="D104" s="5">
        <f>IF($E104="","",INDEX('Input Transaksi'!$F:$F,$E104))</f>
        <v/>
      </c>
      <c r="E104">
        <f>IFERROR(AGGREGATE(15,6,ROW('Input Transaksi'!$B$5:$B$5000)/('Input Transaksi'!$B$5:$B$5000="DIY"),ROWS($E$5:E104)),"")</f>
        <v/>
      </c>
      <c r="F104" s="5" t="n"/>
    </row>
    <row r="105">
      <c r="A105" s="10">
        <f>IF($E105="","",INDEX('Input Transaksi'!$A:$A,$E105))</f>
        <v/>
      </c>
      <c r="B105" s="5">
        <f>IF($E105="","",INDEX('Input Transaksi'!$D:$D,$E105))</f>
        <v/>
      </c>
      <c r="C105">
        <f>IF($E105="","",INDEX('Input Transaksi'!$E:$E,$E105))</f>
        <v/>
      </c>
      <c r="D105" s="5">
        <f>IF($E105="","",INDEX('Input Transaksi'!$F:$F,$E105))</f>
        <v/>
      </c>
      <c r="E105">
        <f>IFERROR(AGGREGATE(15,6,ROW('Input Transaksi'!$B$5:$B$5000)/('Input Transaksi'!$B$5:$B$5000="DIY"),ROWS($E$5:E105)),"")</f>
        <v/>
      </c>
      <c r="F105" s="5" t="n"/>
    </row>
    <row r="106">
      <c r="A106" s="10">
        <f>IF($E106="","",INDEX('Input Transaksi'!$A:$A,$E106))</f>
        <v/>
      </c>
      <c r="B106" s="5">
        <f>IF($E106="","",INDEX('Input Transaksi'!$D:$D,$E106))</f>
        <v/>
      </c>
      <c r="C106">
        <f>IF($E106="","",INDEX('Input Transaksi'!$E:$E,$E106))</f>
        <v/>
      </c>
      <c r="D106" s="5">
        <f>IF($E106="","",INDEX('Input Transaksi'!$F:$F,$E106))</f>
        <v/>
      </c>
      <c r="E106">
        <f>IFERROR(AGGREGATE(15,6,ROW('Input Transaksi'!$B$5:$B$5000)/('Input Transaksi'!$B$5:$B$5000="DIY"),ROWS($E$5:E106)),"")</f>
        <v/>
      </c>
      <c r="F106" s="5" t="n"/>
    </row>
    <row r="107">
      <c r="A107" s="10">
        <f>IF($E107="","",INDEX('Input Transaksi'!$A:$A,$E107))</f>
        <v/>
      </c>
      <c r="B107" s="5">
        <f>IF($E107="","",INDEX('Input Transaksi'!$D:$D,$E107))</f>
        <v/>
      </c>
      <c r="C107">
        <f>IF($E107="","",INDEX('Input Transaksi'!$E:$E,$E107))</f>
        <v/>
      </c>
      <c r="D107" s="5">
        <f>IF($E107="","",INDEX('Input Transaksi'!$F:$F,$E107))</f>
        <v/>
      </c>
      <c r="E107">
        <f>IFERROR(AGGREGATE(15,6,ROW('Input Transaksi'!$B$5:$B$5000)/('Input Transaksi'!$B$5:$B$5000="DIY"),ROWS($E$5:E107)),"")</f>
        <v/>
      </c>
      <c r="F107" s="5" t="n"/>
    </row>
    <row r="108">
      <c r="A108" s="10">
        <f>IF($E108="","",INDEX('Input Transaksi'!$A:$A,$E108))</f>
        <v/>
      </c>
      <c r="B108" s="5">
        <f>IF($E108="","",INDEX('Input Transaksi'!$D:$D,$E108))</f>
        <v/>
      </c>
      <c r="C108">
        <f>IF($E108="","",INDEX('Input Transaksi'!$E:$E,$E108))</f>
        <v/>
      </c>
      <c r="D108" s="5">
        <f>IF($E108="","",INDEX('Input Transaksi'!$F:$F,$E108))</f>
        <v/>
      </c>
      <c r="E108">
        <f>IFERROR(AGGREGATE(15,6,ROW('Input Transaksi'!$B$5:$B$5000)/('Input Transaksi'!$B$5:$B$5000="DIY"),ROWS($E$5:E108)),"")</f>
        <v/>
      </c>
      <c r="F108" s="5" t="n"/>
    </row>
    <row r="109">
      <c r="A109" s="10">
        <f>IF($E109="","",INDEX('Input Transaksi'!$A:$A,$E109))</f>
        <v/>
      </c>
      <c r="B109" s="5">
        <f>IF($E109="","",INDEX('Input Transaksi'!$D:$D,$E109))</f>
        <v/>
      </c>
      <c r="C109">
        <f>IF($E109="","",INDEX('Input Transaksi'!$E:$E,$E109))</f>
        <v/>
      </c>
      <c r="D109" s="5">
        <f>IF($E109="","",INDEX('Input Transaksi'!$F:$F,$E109))</f>
        <v/>
      </c>
      <c r="E109">
        <f>IFERROR(AGGREGATE(15,6,ROW('Input Transaksi'!$B$5:$B$5000)/('Input Transaksi'!$B$5:$B$5000="DIY"),ROWS($E$5:E109)),"")</f>
        <v/>
      </c>
      <c r="F109" s="5" t="n"/>
    </row>
    <row r="110">
      <c r="A110" s="10">
        <f>IF($E110="","",INDEX('Input Transaksi'!$A:$A,$E110))</f>
        <v/>
      </c>
      <c r="B110" s="5">
        <f>IF($E110="","",INDEX('Input Transaksi'!$D:$D,$E110))</f>
        <v/>
      </c>
      <c r="C110">
        <f>IF($E110="","",INDEX('Input Transaksi'!$E:$E,$E110))</f>
        <v/>
      </c>
      <c r="D110" s="5">
        <f>IF($E110="","",INDEX('Input Transaksi'!$F:$F,$E110))</f>
        <v/>
      </c>
      <c r="E110">
        <f>IFERROR(AGGREGATE(15,6,ROW('Input Transaksi'!$B$5:$B$5000)/('Input Transaksi'!$B$5:$B$5000="DIY"),ROWS($E$5:E110)),"")</f>
        <v/>
      </c>
      <c r="F110" s="5" t="n"/>
    </row>
    <row r="111">
      <c r="A111" s="10">
        <f>IF($E111="","",INDEX('Input Transaksi'!$A:$A,$E111))</f>
        <v/>
      </c>
      <c r="B111" s="5">
        <f>IF($E111="","",INDEX('Input Transaksi'!$D:$D,$E111))</f>
        <v/>
      </c>
      <c r="C111">
        <f>IF($E111="","",INDEX('Input Transaksi'!$E:$E,$E111))</f>
        <v/>
      </c>
      <c r="D111" s="5">
        <f>IF($E111="","",INDEX('Input Transaksi'!$F:$F,$E111))</f>
        <v/>
      </c>
      <c r="E111">
        <f>IFERROR(AGGREGATE(15,6,ROW('Input Transaksi'!$B$5:$B$5000)/('Input Transaksi'!$B$5:$B$5000="DIY"),ROWS($E$5:E111)),"")</f>
        <v/>
      </c>
      <c r="F111" s="5" t="n"/>
    </row>
    <row r="112">
      <c r="A112" s="10">
        <f>IF($E112="","",INDEX('Input Transaksi'!$A:$A,$E112))</f>
        <v/>
      </c>
      <c r="B112" s="5">
        <f>IF($E112="","",INDEX('Input Transaksi'!$D:$D,$E112))</f>
        <v/>
      </c>
      <c r="C112">
        <f>IF($E112="","",INDEX('Input Transaksi'!$E:$E,$E112))</f>
        <v/>
      </c>
      <c r="D112" s="5">
        <f>IF($E112="","",INDEX('Input Transaksi'!$F:$F,$E112))</f>
        <v/>
      </c>
      <c r="E112">
        <f>IFERROR(AGGREGATE(15,6,ROW('Input Transaksi'!$B$5:$B$5000)/('Input Transaksi'!$B$5:$B$5000="DIY"),ROWS($E$5:E112)),"")</f>
        <v/>
      </c>
      <c r="F112" s="5" t="n"/>
    </row>
    <row r="113">
      <c r="A113" s="10">
        <f>IF($E113="","",INDEX('Input Transaksi'!$A:$A,$E113))</f>
        <v/>
      </c>
      <c r="B113" s="5">
        <f>IF($E113="","",INDEX('Input Transaksi'!$D:$D,$E113))</f>
        <v/>
      </c>
      <c r="C113">
        <f>IF($E113="","",INDEX('Input Transaksi'!$E:$E,$E113))</f>
        <v/>
      </c>
      <c r="D113" s="5">
        <f>IF($E113="","",INDEX('Input Transaksi'!$F:$F,$E113))</f>
        <v/>
      </c>
      <c r="E113">
        <f>IFERROR(AGGREGATE(15,6,ROW('Input Transaksi'!$B$5:$B$5000)/('Input Transaksi'!$B$5:$B$5000="DIY"),ROWS($E$5:E113)),"")</f>
        <v/>
      </c>
      <c r="F113" s="5" t="n"/>
    </row>
    <row r="114">
      <c r="A114" s="10">
        <f>IF($E114="","",INDEX('Input Transaksi'!$A:$A,$E114))</f>
        <v/>
      </c>
      <c r="B114" s="5">
        <f>IF($E114="","",INDEX('Input Transaksi'!$D:$D,$E114))</f>
        <v/>
      </c>
      <c r="C114">
        <f>IF($E114="","",INDEX('Input Transaksi'!$E:$E,$E114))</f>
        <v/>
      </c>
      <c r="D114" s="5">
        <f>IF($E114="","",INDEX('Input Transaksi'!$F:$F,$E114))</f>
        <v/>
      </c>
      <c r="E114">
        <f>IFERROR(AGGREGATE(15,6,ROW('Input Transaksi'!$B$5:$B$5000)/('Input Transaksi'!$B$5:$B$5000="DIY"),ROWS($E$5:E114)),"")</f>
        <v/>
      </c>
      <c r="F114" s="5" t="n"/>
    </row>
    <row r="115">
      <c r="A115" s="10">
        <f>IF($E115="","",INDEX('Input Transaksi'!$A:$A,$E115))</f>
        <v/>
      </c>
      <c r="B115" s="5">
        <f>IF($E115="","",INDEX('Input Transaksi'!$D:$D,$E115))</f>
        <v/>
      </c>
      <c r="C115">
        <f>IF($E115="","",INDEX('Input Transaksi'!$E:$E,$E115))</f>
        <v/>
      </c>
      <c r="D115" s="5">
        <f>IF($E115="","",INDEX('Input Transaksi'!$F:$F,$E115))</f>
        <v/>
      </c>
      <c r="E115">
        <f>IFERROR(AGGREGATE(15,6,ROW('Input Transaksi'!$B$5:$B$5000)/('Input Transaksi'!$B$5:$B$5000="DIY"),ROWS($E$5:E115)),"")</f>
        <v/>
      </c>
      <c r="F115" s="5" t="n"/>
    </row>
    <row r="116">
      <c r="A116" s="10">
        <f>IF($E116="","",INDEX('Input Transaksi'!$A:$A,$E116))</f>
        <v/>
      </c>
      <c r="B116" s="5">
        <f>IF($E116="","",INDEX('Input Transaksi'!$D:$D,$E116))</f>
        <v/>
      </c>
      <c r="C116">
        <f>IF($E116="","",INDEX('Input Transaksi'!$E:$E,$E116))</f>
        <v/>
      </c>
      <c r="D116" s="5">
        <f>IF($E116="","",INDEX('Input Transaksi'!$F:$F,$E116))</f>
        <v/>
      </c>
      <c r="E116">
        <f>IFERROR(AGGREGATE(15,6,ROW('Input Transaksi'!$B$5:$B$5000)/('Input Transaksi'!$B$5:$B$5000="DIY"),ROWS($E$5:E116)),"")</f>
        <v/>
      </c>
      <c r="F116" s="5" t="n"/>
    </row>
    <row r="117">
      <c r="A117" s="10">
        <f>IF($E117="","",INDEX('Input Transaksi'!$A:$A,$E117))</f>
        <v/>
      </c>
      <c r="B117" s="5">
        <f>IF($E117="","",INDEX('Input Transaksi'!$D:$D,$E117))</f>
        <v/>
      </c>
      <c r="C117">
        <f>IF($E117="","",INDEX('Input Transaksi'!$E:$E,$E117))</f>
        <v/>
      </c>
      <c r="D117" s="5">
        <f>IF($E117="","",INDEX('Input Transaksi'!$F:$F,$E117))</f>
        <v/>
      </c>
      <c r="E117">
        <f>IFERROR(AGGREGATE(15,6,ROW('Input Transaksi'!$B$5:$B$5000)/('Input Transaksi'!$B$5:$B$5000="DIY"),ROWS($E$5:E117)),"")</f>
        <v/>
      </c>
      <c r="F117" s="5" t="n"/>
    </row>
    <row r="118">
      <c r="A118" s="10">
        <f>IF($E118="","",INDEX('Input Transaksi'!$A:$A,$E118))</f>
        <v/>
      </c>
      <c r="B118" s="5">
        <f>IF($E118="","",INDEX('Input Transaksi'!$D:$D,$E118))</f>
        <v/>
      </c>
      <c r="C118">
        <f>IF($E118="","",INDEX('Input Transaksi'!$E:$E,$E118))</f>
        <v/>
      </c>
      <c r="D118" s="5">
        <f>IF($E118="","",INDEX('Input Transaksi'!$F:$F,$E118))</f>
        <v/>
      </c>
      <c r="E118">
        <f>IFERROR(AGGREGATE(15,6,ROW('Input Transaksi'!$B$5:$B$5000)/('Input Transaksi'!$B$5:$B$5000="DIY"),ROWS($E$5:E118)),"")</f>
        <v/>
      </c>
      <c r="F118" s="5" t="n"/>
    </row>
    <row r="119">
      <c r="A119" s="10">
        <f>IF($E119="","",INDEX('Input Transaksi'!$A:$A,$E119))</f>
        <v/>
      </c>
      <c r="B119" s="5">
        <f>IF($E119="","",INDEX('Input Transaksi'!$D:$D,$E119))</f>
        <v/>
      </c>
      <c r="C119">
        <f>IF($E119="","",INDEX('Input Transaksi'!$E:$E,$E119))</f>
        <v/>
      </c>
      <c r="D119" s="5">
        <f>IF($E119="","",INDEX('Input Transaksi'!$F:$F,$E119))</f>
        <v/>
      </c>
      <c r="E119">
        <f>IFERROR(AGGREGATE(15,6,ROW('Input Transaksi'!$B$5:$B$5000)/('Input Transaksi'!$B$5:$B$5000="DIY"),ROWS($E$5:E119)),"")</f>
        <v/>
      </c>
      <c r="F119" s="5" t="n"/>
    </row>
    <row r="120">
      <c r="A120" s="10">
        <f>IF($E120="","",INDEX('Input Transaksi'!$A:$A,$E120))</f>
        <v/>
      </c>
      <c r="B120" s="5">
        <f>IF($E120="","",INDEX('Input Transaksi'!$D:$D,$E120))</f>
        <v/>
      </c>
      <c r="C120">
        <f>IF($E120="","",INDEX('Input Transaksi'!$E:$E,$E120))</f>
        <v/>
      </c>
      <c r="D120" s="5">
        <f>IF($E120="","",INDEX('Input Transaksi'!$F:$F,$E120))</f>
        <v/>
      </c>
      <c r="E120">
        <f>IFERROR(AGGREGATE(15,6,ROW('Input Transaksi'!$B$5:$B$5000)/('Input Transaksi'!$B$5:$B$5000="DIY"),ROWS($E$5:E120)),"")</f>
        <v/>
      </c>
      <c r="F120" s="5" t="n"/>
    </row>
    <row r="121">
      <c r="A121" s="10">
        <f>IF($E121="","",INDEX('Input Transaksi'!$A:$A,$E121))</f>
        <v/>
      </c>
      <c r="B121" s="5">
        <f>IF($E121="","",INDEX('Input Transaksi'!$D:$D,$E121))</f>
        <v/>
      </c>
      <c r="C121">
        <f>IF($E121="","",INDEX('Input Transaksi'!$E:$E,$E121))</f>
        <v/>
      </c>
      <c r="D121" s="5">
        <f>IF($E121="","",INDEX('Input Transaksi'!$F:$F,$E121))</f>
        <v/>
      </c>
      <c r="E121">
        <f>IFERROR(AGGREGATE(15,6,ROW('Input Transaksi'!$B$5:$B$5000)/('Input Transaksi'!$B$5:$B$5000="DIY"),ROWS($E$5:E121)),"")</f>
        <v/>
      </c>
      <c r="F121" s="5" t="n"/>
    </row>
    <row r="122">
      <c r="A122" s="10">
        <f>IF($E122="","",INDEX('Input Transaksi'!$A:$A,$E122))</f>
        <v/>
      </c>
      <c r="B122" s="5">
        <f>IF($E122="","",INDEX('Input Transaksi'!$D:$D,$E122))</f>
        <v/>
      </c>
      <c r="C122">
        <f>IF($E122="","",INDEX('Input Transaksi'!$E:$E,$E122))</f>
        <v/>
      </c>
      <c r="D122" s="5">
        <f>IF($E122="","",INDEX('Input Transaksi'!$F:$F,$E122))</f>
        <v/>
      </c>
      <c r="E122">
        <f>IFERROR(AGGREGATE(15,6,ROW('Input Transaksi'!$B$5:$B$5000)/('Input Transaksi'!$B$5:$B$5000="DIY"),ROWS($E$5:E122)),"")</f>
        <v/>
      </c>
      <c r="F122" s="5" t="n"/>
    </row>
    <row r="123">
      <c r="A123" s="10">
        <f>IF($E123="","",INDEX('Input Transaksi'!$A:$A,$E123))</f>
        <v/>
      </c>
      <c r="B123" s="5">
        <f>IF($E123="","",INDEX('Input Transaksi'!$D:$D,$E123))</f>
        <v/>
      </c>
      <c r="C123">
        <f>IF($E123="","",INDEX('Input Transaksi'!$E:$E,$E123))</f>
        <v/>
      </c>
      <c r="D123" s="5">
        <f>IF($E123="","",INDEX('Input Transaksi'!$F:$F,$E123))</f>
        <v/>
      </c>
      <c r="E123">
        <f>IFERROR(AGGREGATE(15,6,ROW('Input Transaksi'!$B$5:$B$5000)/('Input Transaksi'!$B$5:$B$5000="DIY"),ROWS($E$5:E123)),"")</f>
        <v/>
      </c>
      <c r="F123" s="5" t="n"/>
    </row>
    <row r="124">
      <c r="A124" s="10">
        <f>IF($E124="","",INDEX('Input Transaksi'!$A:$A,$E124))</f>
        <v/>
      </c>
      <c r="B124" s="5">
        <f>IF($E124="","",INDEX('Input Transaksi'!$D:$D,$E124))</f>
        <v/>
      </c>
      <c r="C124">
        <f>IF($E124="","",INDEX('Input Transaksi'!$E:$E,$E124))</f>
        <v/>
      </c>
      <c r="D124" s="5">
        <f>IF($E124="","",INDEX('Input Transaksi'!$F:$F,$E124))</f>
        <v/>
      </c>
      <c r="E124">
        <f>IFERROR(AGGREGATE(15,6,ROW('Input Transaksi'!$B$5:$B$5000)/('Input Transaksi'!$B$5:$B$5000="DIY"),ROWS($E$5:E124)),"")</f>
        <v/>
      </c>
      <c r="F124" s="5" t="n"/>
    </row>
    <row r="125">
      <c r="A125" s="10">
        <f>IF($E125="","",INDEX('Input Transaksi'!$A:$A,$E125))</f>
        <v/>
      </c>
      <c r="B125" s="5">
        <f>IF($E125="","",INDEX('Input Transaksi'!$D:$D,$E125))</f>
        <v/>
      </c>
      <c r="C125">
        <f>IF($E125="","",INDEX('Input Transaksi'!$E:$E,$E125))</f>
        <v/>
      </c>
      <c r="D125" s="5">
        <f>IF($E125="","",INDEX('Input Transaksi'!$F:$F,$E125))</f>
        <v/>
      </c>
      <c r="E125">
        <f>IFERROR(AGGREGATE(15,6,ROW('Input Transaksi'!$B$5:$B$5000)/('Input Transaksi'!$B$5:$B$5000="DIY"),ROWS($E$5:E125)),"")</f>
        <v/>
      </c>
      <c r="F125" s="5" t="n"/>
    </row>
    <row r="126">
      <c r="A126" s="10">
        <f>IF($E126="","",INDEX('Input Transaksi'!$A:$A,$E126))</f>
        <v/>
      </c>
      <c r="B126" s="5">
        <f>IF($E126="","",INDEX('Input Transaksi'!$D:$D,$E126))</f>
        <v/>
      </c>
      <c r="C126">
        <f>IF($E126="","",INDEX('Input Transaksi'!$E:$E,$E126))</f>
        <v/>
      </c>
      <c r="D126" s="5">
        <f>IF($E126="","",INDEX('Input Transaksi'!$F:$F,$E126))</f>
        <v/>
      </c>
      <c r="E126">
        <f>IFERROR(AGGREGATE(15,6,ROW('Input Transaksi'!$B$5:$B$5000)/('Input Transaksi'!$B$5:$B$5000="DIY"),ROWS($E$5:E126)),"")</f>
        <v/>
      </c>
      <c r="F126" s="5" t="n"/>
    </row>
    <row r="127">
      <c r="A127" s="10">
        <f>IF($E127="","",INDEX('Input Transaksi'!$A:$A,$E127))</f>
        <v/>
      </c>
      <c r="B127" s="5">
        <f>IF($E127="","",INDEX('Input Transaksi'!$D:$D,$E127))</f>
        <v/>
      </c>
      <c r="C127">
        <f>IF($E127="","",INDEX('Input Transaksi'!$E:$E,$E127))</f>
        <v/>
      </c>
      <c r="D127" s="5">
        <f>IF($E127="","",INDEX('Input Transaksi'!$F:$F,$E127))</f>
        <v/>
      </c>
      <c r="E127">
        <f>IFERROR(AGGREGATE(15,6,ROW('Input Transaksi'!$B$5:$B$5000)/('Input Transaksi'!$B$5:$B$5000="DIY"),ROWS($E$5:E127)),"")</f>
        <v/>
      </c>
      <c r="F127" s="5" t="n"/>
    </row>
    <row r="128">
      <c r="A128" s="10">
        <f>IF($E128="","",INDEX('Input Transaksi'!$A:$A,$E128))</f>
        <v/>
      </c>
      <c r="B128" s="5">
        <f>IF($E128="","",INDEX('Input Transaksi'!$D:$D,$E128))</f>
        <v/>
      </c>
      <c r="C128">
        <f>IF($E128="","",INDEX('Input Transaksi'!$E:$E,$E128))</f>
        <v/>
      </c>
      <c r="D128" s="5">
        <f>IF($E128="","",INDEX('Input Transaksi'!$F:$F,$E128))</f>
        <v/>
      </c>
      <c r="E128">
        <f>IFERROR(AGGREGATE(15,6,ROW('Input Transaksi'!$B$5:$B$5000)/('Input Transaksi'!$B$5:$B$5000="DIY"),ROWS($E$5:E128)),"")</f>
        <v/>
      </c>
      <c r="F128" s="5" t="n"/>
    </row>
    <row r="129">
      <c r="A129" s="10">
        <f>IF($E129="","",INDEX('Input Transaksi'!$A:$A,$E129))</f>
        <v/>
      </c>
      <c r="B129" s="5">
        <f>IF($E129="","",INDEX('Input Transaksi'!$D:$D,$E129))</f>
        <v/>
      </c>
      <c r="C129">
        <f>IF($E129="","",INDEX('Input Transaksi'!$E:$E,$E129))</f>
        <v/>
      </c>
      <c r="D129" s="5">
        <f>IF($E129="","",INDEX('Input Transaksi'!$F:$F,$E129))</f>
        <v/>
      </c>
      <c r="E129">
        <f>IFERROR(AGGREGATE(15,6,ROW('Input Transaksi'!$B$5:$B$5000)/('Input Transaksi'!$B$5:$B$5000="DIY"),ROWS($E$5:E129)),"")</f>
        <v/>
      </c>
      <c r="F129" s="5" t="n"/>
    </row>
    <row r="130">
      <c r="A130" s="10">
        <f>IF($E130="","",INDEX('Input Transaksi'!$A:$A,$E130))</f>
        <v/>
      </c>
      <c r="B130" s="5">
        <f>IF($E130="","",INDEX('Input Transaksi'!$D:$D,$E130))</f>
        <v/>
      </c>
      <c r="C130">
        <f>IF($E130="","",INDEX('Input Transaksi'!$E:$E,$E130))</f>
        <v/>
      </c>
      <c r="D130" s="5">
        <f>IF($E130="","",INDEX('Input Transaksi'!$F:$F,$E130))</f>
        <v/>
      </c>
      <c r="E130">
        <f>IFERROR(AGGREGATE(15,6,ROW('Input Transaksi'!$B$5:$B$5000)/('Input Transaksi'!$B$5:$B$5000="DIY"),ROWS($E$5:E130)),"")</f>
        <v/>
      </c>
      <c r="F130" s="5" t="n"/>
    </row>
    <row r="131">
      <c r="A131" s="10">
        <f>IF($E131="","",INDEX('Input Transaksi'!$A:$A,$E131))</f>
        <v/>
      </c>
      <c r="B131" s="5">
        <f>IF($E131="","",INDEX('Input Transaksi'!$D:$D,$E131))</f>
        <v/>
      </c>
      <c r="C131">
        <f>IF($E131="","",INDEX('Input Transaksi'!$E:$E,$E131))</f>
        <v/>
      </c>
      <c r="D131" s="5">
        <f>IF($E131="","",INDEX('Input Transaksi'!$F:$F,$E131))</f>
        <v/>
      </c>
      <c r="E131">
        <f>IFERROR(AGGREGATE(15,6,ROW('Input Transaksi'!$B$5:$B$5000)/('Input Transaksi'!$B$5:$B$5000="DIY"),ROWS($E$5:E131)),"")</f>
        <v/>
      </c>
      <c r="F131" s="5" t="n"/>
    </row>
    <row r="132">
      <c r="A132" s="10">
        <f>IF($E132="","",INDEX('Input Transaksi'!$A:$A,$E132))</f>
        <v/>
      </c>
      <c r="B132" s="5">
        <f>IF($E132="","",INDEX('Input Transaksi'!$D:$D,$E132))</f>
        <v/>
      </c>
      <c r="C132">
        <f>IF($E132="","",INDEX('Input Transaksi'!$E:$E,$E132))</f>
        <v/>
      </c>
      <c r="D132" s="5">
        <f>IF($E132="","",INDEX('Input Transaksi'!$F:$F,$E132))</f>
        <v/>
      </c>
      <c r="E132">
        <f>IFERROR(AGGREGATE(15,6,ROW('Input Transaksi'!$B$5:$B$5000)/('Input Transaksi'!$B$5:$B$5000="DIY"),ROWS($E$5:E132)),"")</f>
        <v/>
      </c>
      <c r="F132" s="5" t="n"/>
    </row>
    <row r="133">
      <c r="A133" s="10">
        <f>IF($E133="","",INDEX('Input Transaksi'!$A:$A,$E133))</f>
        <v/>
      </c>
      <c r="B133" s="5">
        <f>IF($E133="","",INDEX('Input Transaksi'!$D:$D,$E133))</f>
        <v/>
      </c>
      <c r="C133">
        <f>IF($E133="","",INDEX('Input Transaksi'!$E:$E,$E133))</f>
        <v/>
      </c>
      <c r="D133" s="5">
        <f>IF($E133="","",INDEX('Input Transaksi'!$F:$F,$E133))</f>
        <v/>
      </c>
      <c r="E133">
        <f>IFERROR(AGGREGATE(15,6,ROW('Input Transaksi'!$B$5:$B$5000)/('Input Transaksi'!$B$5:$B$5000="DIY"),ROWS($E$5:E133)),"")</f>
        <v/>
      </c>
      <c r="F133" s="5" t="n"/>
    </row>
    <row r="134">
      <c r="A134" s="10">
        <f>IF($E134="","",INDEX('Input Transaksi'!$A:$A,$E134))</f>
        <v/>
      </c>
      <c r="B134" s="5">
        <f>IF($E134="","",INDEX('Input Transaksi'!$D:$D,$E134))</f>
        <v/>
      </c>
      <c r="C134">
        <f>IF($E134="","",INDEX('Input Transaksi'!$E:$E,$E134))</f>
        <v/>
      </c>
      <c r="D134" s="5">
        <f>IF($E134="","",INDEX('Input Transaksi'!$F:$F,$E134))</f>
        <v/>
      </c>
      <c r="E134">
        <f>IFERROR(AGGREGATE(15,6,ROW('Input Transaksi'!$B$5:$B$5000)/('Input Transaksi'!$B$5:$B$5000="DIY"),ROWS($E$5:E134)),"")</f>
        <v/>
      </c>
      <c r="F134" s="5" t="n"/>
    </row>
    <row r="135">
      <c r="A135" s="10">
        <f>IF($E135="","",INDEX('Input Transaksi'!$A:$A,$E135))</f>
        <v/>
      </c>
      <c r="B135" s="5">
        <f>IF($E135="","",INDEX('Input Transaksi'!$D:$D,$E135))</f>
        <v/>
      </c>
      <c r="C135">
        <f>IF($E135="","",INDEX('Input Transaksi'!$E:$E,$E135))</f>
        <v/>
      </c>
      <c r="D135" s="5">
        <f>IF($E135="","",INDEX('Input Transaksi'!$F:$F,$E135))</f>
        <v/>
      </c>
      <c r="E135">
        <f>IFERROR(AGGREGATE(15,6,ROW('Input Transaksi'!$B$5:$B$5000)/('Input Transaksi'!$B$5:$B$5000="DIY"),ROWS($E$5:E135)),"")</f>
        <v/>
      </c>
      <c r="F135" s="5" t="n"/>
    </row>
    <row r="136">
      <c r="A136" s="10">
        <f>IF($E136="","",INDEX('Input Transaksi'!$A:$A,$E136))</f>
        <v/>
      </c>
      <c r="B136" s="5">
        <f>IF($E136="","",INDEX('Input Transaksi'!$D:$D,$E136))</f>
        <v/>
      </c>
      <c r="C136">
        <f>IF($E136="","",INDEX('Input Transaksi'!$E:$E,$E136))</f>
        <v/>
      </c>
      <c r="D136" s="5">
        <f>IF($E136="","",INDEX('Input Transaksi'!$F:$F,$E136))</f>
        <v/>
      </c>
      <c r="E136">
        <f>IFERROR(AGGREGATE(15,6,ROW('Input Transaksi'!$B$5:$B$5000)/('Input Transaksi'!$B$5:$B$5000="DIY"),ROWS($E$5:E136)),"")</f>
        <v/>
      </c>
      <c r="F136" s="5" t="n"/>
    </row>
    <row r="137">
      <c r="A137" s="10">
        <f>IF($E137="","",INDEX('Input Transaksi'!$A:$A,$E137))</f>
        <v/>
      </c>
      <c r="B137" s="5">
        <f>IF($E137="","",INDEX('Input Transaksi'!$D:$D,$E137))</f>
        <v/>
      </c>
      <c r="C137">
        <f>IF($E137="","",INDEX('Input Transaksi'!$E:$E,$E137))</f>
        <v/>
      </c>
      <c r="D137" s="5">
        <f>IF($E137="","",INDEX('Input Transaksi'!$F:$F,$E137))</f>
        <v/>
      </c>
      <c r="E137">
        <f>IFERROR(AGGREGATE(15,6,ROW('Input Transaksi'!$B$5:$B$5000)/('Input Transaksi'!$B$5:$B$5000="DIY"),ROWS($E$5:E137)),"")</f>
        <v/>
      </c>
      <c r="F137" s="5" t="n"/>
    </row>
    <row r="138">
      <c r="A138" s="10">
        <f>IF($E138="","",INDEX('Input Transaksi'!$A:$A,$E138))</f>
        <v/>
      </c>
      <c r="B138" s="5">
        <f>IF($E138="","",INDEX('Input Transaksi'!$D:$D,$E138))</f>
        <v/>
      </c>
      <c r="C138">
        <f>IF($E138="","",INDEX('Input Transaksi'!$E:$E,$E138))</f>
        <v/>
      </c>
      <c r="D138" s="5">
        <f>IF($E138="","",INDEX('Input Transaksi'!$F:$F,$E138))</f>
        <v/>
      </c>
      <c r="E138">
        <f>IFERROR(AGGREGATE(15,6,ROW('Input Transaksi'!$B$5:$B$5000)/('Input Transaksi'!$B$5:$B$5000="DIY"),ROWS($E$5:E138)),"")</f>
        <v/>
      </c>
      <c r="F138" s="5" t="n"/>
    </row>
    <row r="139">
      <c r="A139" s="10">
        <f>IF($E139="","",INDEX('Input Transaksi'!$A:$A,$E139))</f>
        <v/>
      </c>
      <c r="B139" s="5">
        <f>IF($E139="","",INDEX('Input Transaksi'!$D:$D,$E139))</f>
        <v/>
      </c>
      <c r="C139">
        <f>IF($E139="","",INDEX('Input Transaksi'!$E:$E,$E139))</f>
        <v/>
      </c>
      <c r="D139" s="5">
        <f>IF($E139="","",INDEX('Input Transaksi'!$F:$F,$E139))</f>
        <v/>
      </c>
      <c r="E139">
        <f>IFERROR(AGGREGATE(15,6,ROW('Input Transaksi'!$B$5:$B$5000)/('Input Transaksi'!$B$5:$B$5000="DIY"),ROWS($E$5:E139)),"")</f>
        <v/>
      </c>
      <c r="F139" s="5" t="n"/>
    </row>
    <row r="140">
      <c r="A140" s="10">
        <f>IF($E140="","",INDEX('Input Transaksi'!$A:$A,$E140))</f>
        <v/>
      </c>
      <c r="B140" s="5">
        <f>IF($E140="","",INDEX('Input Transaksi'!$D:$D,$E140))</f>
        <v/>
      </c>
      <c r="C140">
        <f>IF($E140="","",INDEX('Input Transaksi'!$E:$E,$E140))</f>
        <v/>
      </c>
      <c r="D140" s="5">
        <f>IF($E140="","",INDEX('Input Transaksi'!$F:$F,$E140))</f>
        <v/>
      </c>
      <c r="E140">
        <f>IFERROR(AGGREGATE(15,6,ROW('Input Transaksi'!$B$5:$B$5000)/('Input Transaksi'!$B$5:$B$5000="DIY"),ROWS($E$5:E140)),"")</f>
        <v/>
      </c>
      <c r="F140" s="5" t="n"/>
    </row>
    <row r="141">
      <c r="A141" s="10">
        <f>IF($E141="","",INDEX('Input Transaksi'!$A:$A,$E141))</f>
        <v/>
      </c>
      <c r="B141" s="5">
        <f>IF($E141="","",INDEX('Input Transaksi'!$D:$D,$E141))</f>
        <v/>
      </c>
      <c r="C141">
        <f>IF($E141="","",INDEX('Input Transaksi'!$E:$E,$E141))</f>
        <v/>
      </c>
      <c r="D141" s="5">
        <f>IF($E141="","",INDEX('Input Transaksi'!$F:$F,$E141))</f>
        <v/>
      </c>
      <c r="E141">
        <f>IFERROR(AGGREGATE(15,6,ROW('Input Transaksi'!$B$5:$B$5000)/('Input Transaksi'!$B$5:$B$5000="DIY"),ROWS($E$5:E141)),"")</f>
        <v/>
      </c>
      <c r="F141" s="5" t="n"/>
    </row>
    <row r="142">
      <c r="A142" s="10">
        <f>IF($E142="","",INDEX('Input Transaksi'!$A:$A,$E142))</f>
        <v/>
      </c>
      <c r="B142" s="5">
        <f>IF($E142="","",INDEX('Input Transaksi'!$D:$D,$E142))</f>
        <v/>
      </c>
      <c r="C142">
        <f>IF($E142="","",INDEX('Input Transaksi'!$E:$E,$E142))</f>
        <v/>
      </c>
      <c r="D142" s="5">
        <f>IF($E142="","",INDEX('Input Transaksi'!$F:$F,$E142))</f>
        <v/>
      </c>
      <c r="E142">
        <f>IFERROR(AGGREGATE(15,6,ROW('Input Transaksi'!$B$5:$B$5000)/('Input Transaksi'!$B$5:$B$5000="DIY"),ROWS($E$5:E142)),"")</f>
        <v/>
      </c>
      <c r="F142" s="5" t="n"/>
    </row>
    <row r="143">
      <c r="A143" s="10">
        <f>IF($E143="","",INDEX('Input Transaksi'!$A:$A,$E143))</f>
        <v/>
      </c>
      <c r="B143" s="5">
        <f>IF($E143="","",INDEX('Input Transaksi'!$D:$D,$E143))</f>
        <v/>
      </c>
      <c r="C143">
        <f>IF($E143="","",INDEX('Input Transaksi'!$E:$E,$E143))</f>
        <v/>
      </c>
      <c r="D143" s="5">
        <f>IF($E143="","",INDEX('Input Transaksi'!$F:$F,$E143))</f>
        <v/>
      </c>
      <c r="E143">
        <f>IFERROR(AGGREGATE(15,6,ROW('Input Transaksi'!$B$5:$B$5000)/('Input Transaksi'!$B$5:$B$5000="DIY"),ROWS($E$5:E143)),"")</f>
        <v/>
      </c>
      <c r="F143" s="5" t="n"/>
    </row>
    <row r="144">
      <c r="A144" s="10">
        <f>IF($E144="","",INDEX('Input Transaksi'!$A:$A,$E144))</f>
        <v/>
      </c>
      <c r="B144" s="5">
        <f>IF($E144="","",INDEX('Input Transaksi'!$D:$D,$E144))</f>
        <v/>
      </c>
      <c r="C144">
        <f>IF($E144="","",INDEX('Input Transaksi'!$E:$E,$E144))</f>
        <v/>
      </c>
      <c r="D144" s="5">
        <f>IF($E144="","",INDEX('Input Transaksi'!$F:$F,$E144))</f>
        <v/>
      </c>
      <c r="E144">
        <f>IFERROR(AGGREGATE(15,6,ROW('Input Transaksi'!$B$5:$B$5000)/('Input Transaksi'!$B$5:$B$5000="DIY"),ROWS($E$5:E144)),"")</f>
        <v/>
      </c>
      <c r="F144" s="5" t="n"/>
    </row>
    <row r="145">
      <c r="A145" s="10">
        <f>IF($E145="","",INDEX('Input Transaksi'!$A:$A,$E145))</f>
        <v/>
      </c>
      <c r="B145" s="5">
        <f>IF($E145="","",INDEX('Input Transaksi'!$D:$D,$E145))</f>
        <v/>
      </c>
      <c r="C145">
        <f>IF($E145="","",INDEX('Input Transaksi'!$E:$E,$E145))</f>
        <v/>
      </c>
      <c r="D145" s="5">
        <f>IF($E145="","",INDEX('Input Transaksi'!$F:$F,$E145))</f>
        <v/>
      </c>
      <c r="E145">
        <f>IFERROR(AGGREGATE(15,6,ROW('Input Transaksi'!$B$5:$B$5000)/('Input Transaksi'!$B$5:$B$5000="DIY"),ROWS($E$5:E145)),"")</f>
        <v/>
      </c>
      <c r="F145" s="5" t="n"/>
    </row>
    <row r="146">
      <c r="A146" s="10">
        <f>IF($E146="","",INDEX('Input Transaksi'!$A:$A,$E146))</f>
        <v/>
      </c>
      <c r="B146" s="5">
        <f>IF($E146="","",INDEX('Input Transaksi'!$D:$D,$E146))</f>
        <v/>
      </c>
      <c r="C146">
        <f>IF($E146="","",INDEX('Input Transaksi'!$E:$E,$E146))</f>
        <v/>
      </c>
      <c r="D146" s="5">
        <f>IF($E146="","",INDEX('Input Transaksi'!$F:$F,$E146))</f>
        <v/>
      </c>
      <c r="E146">
        <f>IFERROR(AGGREGATE(15,6,ROW('Input Transaksi'!$B$5:$B$5000)/('Input Transaksi'!$B$5:$B$5000="DIY"),ROWS($E$5:E146)),"")</f>
        <v/>
      </c>
      <c r="F146" s="5" t="n"/>
    </row>
    <row r="147">
      <c r="A147" s="10">
        <f>IF($E147="","",INDEX('Input Transaksi'!$A:$A,$E147))</f>
        <v/>
      </c>
      <c r="B147" s="5">
        <f>IF($E147="","",INDEX('Input Transaksi'!$D:$D,$E147))</f>
        <v/>
      </c>
      <c r="C147">
        <f>IF($E147="","",INDEX('Input Transaksi'!$E:$E,$E147))</f>
        <v/>
      </c>
      <c r="D147" s="5">
        <f>IF($E147="","",INDEX('Input Transaksi'!$F:$F,$E147))</f>
        <v/>
      </c>
      <c r="E147">
        <f>IFERROR(AGGREGATE(15,6,ROW('Input Transaksi'!$B$5:$B$5000)/('Input Transaksi'!$B$5:$B$5000="DIY"),ROWS($E$5:E147)),"")</f>
        <v/>
      </c>
      <c r="F147" s="5" t="n"/>
    </row>
    <row r="148">
      <c r="A148" s="10">
        <f>IF($E148="","",INDEX('Input Transaksi'!$A:$A,$E148))</f>
        <v/>
      </c>
      <c r="B148" s="5">
        <f>IF($E148="","",INDEX('Input Transaksi'!$D:$D,$E148))</f>
        <v/>
      </c>
      <c r="C148">
        <f>IF($E148="","",INDEX('Input Transaksi'!$E:$E,$E148))</f>
        <v/>
      </c>
      <c r="D148" s="5">
        <f>IF($E148="","",INDEX('Input Transaksi'!$F:$F,$E148))</f>
        <v/>
      </c>
      <c r="E148">
        <f>IFERROR(AGGREGATE(15,6,ROW('Input Transaksi'!$B$5:$B$5000)/('Input Transaksi'!$B$5:$B$5000="DIY"),ROWS($E$5:E148)),"")</f>
        <v/>
      </c>
      <c r="F148" s="5" t="n"/>
    </row>
    <row r="149">
      <c r="A149" s="10">
        <f>IF($E149="","",INDEX('Input Transaksi'!$A:$A,$E149))</f>
        <v/>
      </c>
      <c r="B149" s="5">
        <f>IF($E149="","",INDEX('Input Transaksi'!$D:$D,$E149))</f>
        <v/>
      </c>
      <c r="C149">
        <f>IF($E149="","",INDEX('Input Transaksi'!$E:$E,$E149))</f>
        <v/>
      </c>
      <c r="D149" s="5">
        <f>IF($E149="","",INDEX('Input Transaksi'!$F:$F,$E149))</f>
        <v/>
      </c>
      <c r="E149">
        <f>IFERROR(AGGREGATE(15,6,ROW('Input Transaksi'!$B$5:$B$5000)/('Input Transaksi'!$B$5:$B$5000="DIY"),ROWS($E$5:E149)),"")</f>
        <v/>
      </c>
      <c r="F149" s="5" t="n"/>
    </row>
    <row r="150">
      <c r="A150" s="10">
        <f>IF($E150="","",INDEX('Input Transaksi'!$A:$A,$E150))</f>
        <v/>
      </c>
      <c r="B150" s="5">
        <f>IF($E150="","",INDEX('Input Transaksi'!$D:$D,$E150))</f>
        <v/>
      </c>
      <c r="C150">
        <f>IF($E150="","",INDEX('Input Transaksi'!$E:$E,$E150))</f>
        <v/>
      </c>
      <c r="D150" s="5">
        <f>IF($E150="","",INDEX('Input Transaksi'!$F:$F,$E150))</f>
        <v/>
      </c>
      <c r="E150">
        <f>IFERROR(AGGREGATE(15,6,ROW('Input Transaksi'!$B$5:$B$5000)/('Input Transaksi'!$B$5:$B$5000="DIY"),ROWS($E$5:E150)),"")</f>
        <v/>
      </c>
      <c r="F150" s="5" t="n"/>
    </row>
    <row r="151">
      <c r="A151" s="10">
        <f>IF($E151="","",INDEX('Input Transaksi'!$A:$A,$E151))</f>
        <v/>
      </c>
      <c r="B151" s="5">
        <f>IF($E151="","",INDEX('Input Transaksi'!$D:$D,$E151))</f>
        <v/>
      </c>
      <c r="C151">
        <f>IF($E151="","",INDEX('Input Transaksi'!$E:$E,$E151))</f>
        <v/>
      </c>
      <c r="D151" s="5">
        <f>IF($E151="","",INDEX('Input Transaksi'!$F:$F,$E151))</f>
        <v/>
      </c>
      <c r="E151">
        <f>IFERROR(AGGREGATE(15,6,ROW('Input Transaksi'!$B$5:$B$5000)/('Input Transaksi'!$B$5:$B$5000="DIY"),ROWS($E$5:E151)),"")</f>
        <v/>
      </c>
      <c r="F151" s="5" t="n"/>
    </row>
    <row r="152">
      <c r="A152" s="10">
        <f>IF($E152="","",INDEX('Input Transaksi'!$A:$A,$E152))</f>
        <v/>
      </c>
      <c r="B152" s="5">
        <f>IF($E152="","",INDEX('Input Transaksi'!$D:$D,$E152))</f>
        <v/>
      </c>
      <c r="C152">
        <f>IF($E152="","",INDEX('Input Transaksi'!$E:$E,$E152))</f>
        <v/>
      </c>
      <c r="D152" s="5">
        <f>IF($E152="","",INDEX('Input Transaksi'!$F:$F,$E152))</f>
        <v/>
      </c>
      <c r="E152">
        <f>IFERROR(AGGREGATE(15,6,ROW('Input Transaksi'!$B$5:$B$5000)/('Input Transaksi'!$B$5:$B$5000="DIY"),ROWS($E$5:E152)),"")</f>
        <v/>
      </c>
      <c r="F152" s="5" t="n"/>
    </row>
    <row r="153">
      <c r="A153" s="10">
        <f>IF($E153="","",INDEX('Input Transaksi'!$A:$A,$E153))</f>
        <v/>
      </c>
      <c r="B153" s="5">
        <f>IF($E153="","",INDEX('Input Transaksi'!$D:$D,$E153))</f>
        <v/>
      </c>
      <c r="C153">
        <f>IF($E153="","",INDEX('Input Transaksi'!$E:$E,$E153))</f>
        <v/>
      </c>
      <c r="D153" s="5">
        <f>IF($E153="","",INDEX('Input Transaksi'!$F:$F,$E153))</f>
        <v/>
      </c>
      <c r="E153">
        <f>IFERROR(AGGREGATE(15,6,ROW('Input Transaksi'!$B$5:$B$5000)/('Input Transaksi'!$B$5:$B$5000="DIY"),ROWS($E$5:E153)),"")</f>
        <v/>
      </c>
      <c r="F153" s="5" t="n"/>
    </row>
    <row r="154">
      <c r="A154" s="10">
        <f>IF($E154="","",INDEX('Input Transaksi'!$A:$A,$E154))</f>
        <v/>
      </c>
      <c r="B154" s="5">
        <f>IF($E154="","",INDEX('Input Transaksi'!$D:$D,$E154))</f>
        <v/>
      </c>
      <c r="C154">
        <f>IF($E154="","",INDEX('Input Transaksi'!$E:$E,$E154))</f>
        <v/>
      </c>
      <c r="D154" s="5">
        <f>IF($E154="","",INDEX('Input Transaksi'!$F:$F,$E154))</f>
        <v/>
      </c>
      <c r="E154">
        <f>IFERROR(AGGREGATE(15,6,ROW('Input Transaksi'!$B$5:$B$5000)/('Input Transaksi'!$B$5:$B$5000="DIY"),ROWS($E$5:E154)),"")</f>
        <v/>
      </c>
      <c r="F154" s="5" t="n"/>
    </row>
    <row r="155">
      <c r="A155" s="10">
        <f>IF($E155="","",INDEX('Input Transaksi'!$A:$A,$E155))</f>
        <v/>
      </c>
      <c r="B155" s="5">
        <f>IF($E155="","",INDEX('Input Transaksi'!$D:$D,$E155))</f>
        <v/>
      </c>
      <c r="C155">
        <f>IF($E155="","",INDEX('Input Transaksi'!$E:$E,$E155))</f>
        <v/>
      </c>
      <c r="D155" s="5">
        <f>IF($E155="","",INDEX('Input Transaksi'!$F:$F,$E155))</f>
        <v/>
      </c>
      <c r="E155">
        <f>IFERROR(AGGREGATE(15,6,ROW('Input Transaksi'!$B$5:$B$5000)/('Input Transaksi'!$B$5:$B$5000="DIY"),ROWS($E$5:E155)),"")</f>
        <v/>
      </c>
      <c r="F155" s="5" t="n"/>
    </row>
    <row r="156">
      <c r="A156" s="10">
        <f>IF($E156="","",INDEX('Input Transaksi'!$A:$A,$E156))</f>
        <v/>
      </c>
      <c r="B156" s="5">
        <f>IF($E156="","",INDEX('Input Transaksi'!$D:$D,$E156))</f>
        <v/>
      </c>
      <c r="C156">
        <f>IF($E156="","",INDEX('Input Transaksi'!$E:$E,$E156))</f>
        <v/>
      </c>
      <c r="D156" s="5">
        <f>IF($E156="","",INDEX('Input Transaksi'!$F:$F,$E156))</f>
        <v/>
      </c>
      <c r="E156">
        <f>IFERROR(AGGREGATE(15,6,ROW('Input Transaksi'!$B$5:$B$5000)/('Input Transaksi'!$B$5:$B$5000="DIY"),ROWS($E$5:E156)),"")</f>
        <v/>
      </c>
      <c r="F156" s="5" t="n"/>
    </row>
    <row r="157">
      <c r="A157" s="10">
        <f>IF($E157="","",INDEX('Input Transaksi'!$A:$A,$E157))</f>
        <v/>
      </c>
      <c r="B157" s="5">
        <f>IF($E157="","",INDEX('Input Transaksi'!$D:$D,$E157))</f>
        <v/>
      </c>
      <c r="C157">
        <f>IF($E157="","",INDEX('Input Transaksi'!$E:$E,$E157))</f>
        <v/>
      </c>
      <c r="D157" s="5">
        <f>IF($E157="","",INDEX('Input Transaksi'!$F:$F,$E157))</f>
        <v/>
      </c>
      <c r="E157">
        <f>IFERROR(AGGREGATE(15,6,ROW('Input Transaksi'!$B$5:$B$5000)/('Input Transaksi'!$B$5:$B$5000="DIY"),ROWS($E$5:E157)),"")</f>
        <v/>
      </c>
      <c r="F157" s="5" t="n"/>
    </row>
    <row r="158">
      <c r="A158" s="10">
        <f>IF($E158="","",INDEX('Input Transaksi'!$A:$A,$E158))</f>
        <v/>
      </c>
      <c r="B158" s="5">
        <f>IF($E158="","",INDEX('Input Transaksi'!$D:$D,$E158))</f>
        <v/>
      </c>
      <c r="C158">
        <f>IF($E158="","",INDEX('Input Transaksi'!$E:$E,$E158))</f>
        <v/>
      </c>
      <c r="D158" s="5">
        <f>IF($E158="","",INDEX('Input Transaksi'!$F:$F,$E158))</f>
        <v/>
      </c>
      <c r="E158">
        <f>IFERROR(AGGREGATE(15,6,ROW('Input Transaksi'!$B$5:$B$5000)/('Input Transaksi'!$B$5:$B$5000="DIY"),ROWS($E$5:E158)),"")</f>
        <v/>
      </c>
      <c r="F158" s="5" t="n"/>
    </row>
    <row r="159">
      <c r="A159" s="10">
        <f>IF($E159="","",INDEX('Input Transaksi'!$A:$A,$E159))</f>
        <v/>
      </c>
      <c r="B159" s="5">
        <f>IF($E159="","",INDEX('Input Transaksi'!$D:$D,$E159))</f>
        <v/>
      </c>
      <c r="C159">
        <f>IF($E159="","",INDEX('Input Transaksi'!$E:$E,$E159))</f>
        <v/>
      </c>
      <c r="D159" s="5">
        <f>IF($E159="","",INDEX('Input Transaksi'!$F:$F,$E159))</f>
        <v/>
      </c>
      <c r="E159">
        <f>IFERROR(AGGREGATE(15,6,ROW('Input Transaksi'!$B$5:$B$5000)/('Input Transaksi'!$B$5:$B$5000="DIY"),ROWS($E$5:E159)),"")</f>
        <v/>
      </c>
      <c r="F159" s="5" t="n"/>
    </row>
    <row r="160">
      <c r="A160" s="10">
        <f>IF($E160="","",INDEX('Input Transaksi'!$A:$A,$E160))</f>
        <v/>
      </c>
      <c r="B160" s="5">
        <f>IF($E160="","",INDEX('Input Transaksi'!$D:$D,$E160))</f>
        <v/>
      </c>
      <c r="C160">
        <f>IF($E160="","",INDEX('Input Transaksi'!$E:$E,$E160))</f>
        <v/>
      </c>
      <c r="D160" s="5">
        <f>IF($E160="","",INDEX('Input Transaksi'!$F:$F,$E160))</f>
        <v/>
      </c>
      <c r="E160">
        <f>IFERROR(AGGREGATE(15,6,ROW('Input Transaksi'!$B$5:$B$5000)/('Input Transaksi'!$B$5:$B$5000="DIY"),ROWS($E$5:E160)),"")</f>
        <v/>
      </c>
      <c r="F160" s="5" t="n"/>
    </row>
    <row r="161">
      <c r="A161" s="10">
        <f>IF($E161="","",INDEX('Input Transaksi'!$A:$A,$E161))</f>
        <v/>
      </c>
      <c r="B161" s="5">
        <f>IF($E161="","",INDEX('Input Transaksi'!$D:$D,$E161))</f>
        <v/>
      </c>
      <c r="C161">
        <f>IF($E161="","",INDEX('Input Transaksi'!$E:$E,$E161))</f>
        <v/>
      </c>
      <c r="D161" s="5">
        <f>IF($E161="","",INDEX('Input Transaksi'!$F:$F,$E161))</f>
        <v/>
      </c>
      <c r="E161">
        <f>IFERROR(AGGREGATE(15,6,ROW('Input Transaksi'!$B$5:$B$5000)/('Input Transaksi'!$B$5:$B$5000="DIY"),ROWS($E$5:E161)),"")</f>
        <v/>
      </c>
      <c r="F161" s="5" t="n"/>
    </row>
    <row r="162">
      <c r="A162" s="10">
        <f>IF($E162="","",INDEX('Input Transaksi'!$A:$A,$E162))</f>
        <v/>
      </c>
      <c r="B162" s="5">
        <f>IF($E162="","",INDEX('Input Transaksi'!$D:$D,$E162))</f>
        <v/>
      </c>
      <c r="C162">
        <f>IF($E162="","",INDEX('Input Transaksi'!$E:$E,$E162))</f>
        <v/>
      </c>
      <c r="D162" s="5">
        <f>IF($E162="","",INDEX('Input Transaksi'!$F:$F,$E162))</f>
        <v/>
      </c>
      <c r="E162">
        <f>IFERROR(AGGREGATE(15,6,ROW('Input Transaksi'!$B$5:$B$5000)/('Input Transaksi'!$B$5:$B$5000="DIY"),ROWS($E$5:E162)),"")</f>
        <v/>
      </c>
      <c r="F162" s="5" t="n"/>
    </row>
    <row r="163">
      <c r="A163" s="10">
        <f>IF($E163="","",INDEX('Input Transaksi'!$A:$A,$E163))</f>
        <v/>
      </c>
      <c r="B163" s="5">
        <f>IF($E163="","",INDEX('Input Transaksi'!$D:$D,$E163))</f>
        <v/>
      </c>
      <c r="C163">
        <f>IF($E163="","",INDEX('Input Transaksi'!$E:$E,$E163))</f>
        <v/>
      </c>
      <c r="D163" s="5">
        <f>IF($E163="","",INDEX('Input Transaksi'!$F:$F,$E163))</f>
        <v/>
      </c>
      <c r="E163">
        <f>IFERROR(AGGREGATE(15,6,ROW('Input Transaksi'!$B$5:$B$5000)/('Input Transaksi'!$B$5:$B$5000="DIY"),ROWS($E$5:E163)),"")</f>
        <v/>
      </c>
      <c r="F163" s="5" t="n"/>
    </row>
    <row r="164">
      <c r="A164" s="10">
        <f>IF($E164="","",INDEX('Input Transaksi'!$A:$A,$E164))</f>
        <v/>
      </c>
      <c r="B164" s="5">
        <f>IF($E164="","",INDEX('Input Transaksi'!$D:$D,$E164))</f>
        <v/>
      </c>
      <c r="C164">
        <f>IF($E164="","",INDEX('Input Transaksi'!$E:$E,$E164))</f>
        <v/>
      </c>
      <c r="D164" s="5">
        <f>IF($E164="","",INDEX('Input Transaksi'!$F:$F,$E164))</f>
        <v/>
      </c>
      <c r="E164">
        <f>IFERROR(AGGREGATE(15,6,ROW('Input Transaksi'!$B$5:$B$5000)/('Input Transaksi'!$B$5:$B$5000="DIY"),ROWS($E$5:E164)),"")</f>
        <v/>
      </c>
      <c r="F164" s="5" t="n"/>
    </row>
    <row r="165">
      <c r="A165" s="10">
        <f>IF($E165="","",INDEX('Input Transaksi'!$A:$A,$E165))</f>
        <v/>
      </c>
      <c r="B165" s="5">
        <f>IF($E165="","",INDEX('Input Transaksi'!$D:$D,$E165))</f>
        <v/>
      </c>
      <c r="C165">
        <f>IF($E165="","",INDEX('Input Transaksi'!$E:$E,$E165))</f>
        <v/>
      </c>
      <c r="D165" s="5">
        <f>IF($E165="","",INDEX('Input Transaksi'!$F:$F,$E165))</f>
        <v/>
      </c>
      <c r="E165">
        <f>IFERROR(AGGREGATE(15,6,ROW('Input Transaksi'!$B$5:$B$5000)/('Input Transaksi'!$B$5:$B$5000="DIY"),ROWS($E$5:E165)),"")</f>
        <v/>
      </c>
      <c r="F165" s="5" t="n"/>
    </row>
    <row r="166">
      <c r="A166" s="10">
        <f>IF($E166="","",INDEX('Input Transaksi'!$A:$A,$E166))</f>
        <v/>
      </c>
      <c r="B166" s="5">
        <f>IF($E166="","",INDEX('Input Transaksi'!$D:$D,$E166))</f>
        <v/>
      </c>
      <c r="C166">
        <f>IF($E166="","",INDEX('Input Transaksi'!$E:$E,$E166))</f>
        <v/>
      </c>
      <c r="D166" s="5">
        <f>IF($E166="","",INDEX('Input Transaksi'!$F:$F,$E166))</f>
        <v/>
      </c>
      <c r="E166">
        <f>IFERROR(AGGREGATE(15,6,ROW('Input Transaksi'!$B$5:$B$5000)/('Input Transaksi'!$B$5:$B$5000="DIY"),ROWS($E$5:E166)),"")</f>
        <v/>
      </c>
      <c r="F166" s="5" t="n"/>
    </row>
    <row r="167">
      <c r="A167" s="10">
        <f>IF($E167="","",INDEX('Input Transaksi'!$A:$A,$E167))</f>
        <v/>
      </c>
      <c r="B167" s="5">
        <f>IF($E167="","",INDEX('Input Transaksi'!$D:$D,$E167))</f>
        <v/>
      </c>
      <c r="C167">
        <f>IF($E167="","",INDEX('Input Transaksi'!$E:$E,$E167))</f>
        <v/>
      </c>
      <c r="D167" s="5">
        <f>IF($E167="","",INDEX('Input Transaksi'!$F:$F,$E167))</f>
        <v/>
      </c>
      <c r="E167">
        <f>IFERROR(AGGREGATE(15,6,ROW('Input Transaksi'!$B$5:$B$5000)/('Input Transaksi'!$B$5:$B$5000="DIY"),ROWS($E$5:E167)),"")</f>
        <v/>
      </c>
      <c r="F167" s="5" t="n"/>
    </row>
    <row r="168">
      <c r="A168" s="10">
        <f>IF($E168="","",INDEX('Input Transaksi'!$A:$A,$E168))</f>
        <v/>
      </c>
      <c r="B168" s="5">
        <f>IF($E168="","",INDEX('Input Transaksi'!$D:$D,$E168))</f>
        <v/>
      </c>
      <c r="C168">
        <f>IF($E168="","",INDEX('Input Transaksi'!$E:$E,$E168))</f>
        <v/>
      </c>
      <c r="D168" s="5">
        <f>IF($E168="","",INDEX('Input Transaksi'!$F:$F,$E168))</f>
        <v/>
      </c>
      <c r="E168">
        <f>IFERROR(AGGREGATE(15,6,ROW('Input Transaksi'!$B$5:$B$5000)/('Input Transaksi'!$B$5:$B$5000="DIY"),ROWS($E$5:E168)),"")</f>
        <v/>
      </c>
      <c r="F168" s="5" t="n"/>
    </row>
    <row r="169">
      <c r="A169" s="10">
        <f>IF($E169="","",INDEX('Input Transaksi'!$A:$A,$E169))</f>
        <v/>
      </c>
      <c r="B169" s="5">
        <f>IF($E169="","",INDEX('Input Transaksi'!$D:$D,$E169))</f>
        <v/>
      </c>
      <c r="C169">
        <f>IF($E169="","",INDEX('Input Transaksi'!$E:$E,$E169))</f>
        <v/>
      </c>
      <c r="D169" s="5">
        <f>IF($E169="","",INDEX('Input Transaksi'!$F:$F,$E169))</f>
        <v/>
      </c>
      <c r="E169">
        <f>IFERROR(AGGREGATE(15,6,ROW('Input Transaksi'!$B$5:$B$5000)/('Input Transaksi'!$B$5:$B$5000="DIY"),ROWS($E$5:E169)),"")</f>
        <v/>
      </c>
      <c r="F169" s="5" t="n"/>
    </row>
    <row r="170">
      <c r="A170" s="10">
        <f>IF($E170="","",INDEX('Input Transaksi'!$A:$A,$E170))</f>
        <v/>
      </c>
      <c r="B170" s="5">
        <f>IF($E170="","",INDEX('Input Transaksi'!$D:$D,$E170))</f>
        <v/>
      </c>
      <c r="C170">
        <f>IF($E170="","",INDEX('Input Transaksi'!$E:$E,$E170))</f>
        <v/>
      </c>
      <c r="D170" s="5">
        <f>IF($E170="","",INDEX('Input Transaksi'!$F:$F,$E170))</f>
        <v/>
      </c>
      <c r="E170">
        <f>IFERROR(AGGREGATE(15,6,ROW('Input Transaksi'!$B$5:$B$5000)/('Input Transaksi'!$B$5:$B$5000="DIY"),ROWS($E$5:E170)),"")</f>
        <v/>
      </c>
      <c r="F170" s="5" t="n"/>
    </row>
    <row r="171">
      <c r="A171" s="10">
        <f>IF($E171="","",INDEX('Input Transaksi'!$A:$A,$E171))</f>
        <v/>
      </c>
      <c r="B171" s="5">
        <f>IF($E171="","",INDEX('Input Transaksi'!$D:$D,$E171))</f>
        <v/>
      </c>
      <c r="C171">
        <f>IF($E171="","",INDEX('Input Transaksi'!$E:$E,$E171))</f>
        <v/>
      </c>
      <c r="D171" s="5">
        <f>IF($E171="","",INDEX('Input Transaksi'!$F:$F,$E171))</f>
        <v/>
      </c>
      <c r="E171">
        <f>IFERROR(AGGREGATE(15,6,ROW('Input Transaksi'!$B$5:$B$5000)/('Input Transaksi'!$B$5:$B$5000="DIY"),ROWS($E$5:E171)),"")</f>
        <v/>
      </c>
      <c r="F171" s="5" t="n"/>
    </row>
    <row r="172">
      <c r="A172" s="10">
        <f>IF($E172="","",INDEX('Input Transaksi'!$A:$A,$E172))</f>
        <v/>
      </c>
      <c r="B172" s="5">
        <f>IF($E172="","",INDEX('Input Transaksi'!$D:$D,$E172))</f>
        <v/>
      </c>
      <c r="C172">
        <f>IF($E172="","",INDEX('Input Transaksi'!$E:$E,$E172))</f>
        <v/>
      </c>
      <c r="D172" s="5">
        <f>IF($E172="","",INDEX('Input Transaksi'!$F:$F,$E172))</f>
        <v/>
      </c>
      <c r="E172">
        <f>IFERROR(AGGREGATE(15,6,ROW('Input Transaksi'!$B$5:$B$5000)/('Input Transaksi'!$B$5:$B$5000="DIY"),ROWS($E$5:E172)),"")</f>
        <v/>
      </c>
      <c r="F172" s="5" t="n"/>
    </row>
    <row r="173">
      <c r="A173" s="10">
        <f>IF($E173="","",INDEX('Input Transaksi'!$A:$A,$E173))</f>
        <v/>
      </c>
      <c r="B173" s="5">
        <f>IF($E173="","",INDEX('Input Transaksi'!$D:$D,$E173))</f>
        <v/>
      </c>
      <c r="C173">
        <f>IF($E173="","",INDEX('Input Transaksi'!$E:$E,$E173))</f>
        <v/>
      </c>
      <c r="D173" s="5">
        <f>IF($E173="","",INDEX('Input Transaksi'!$F:$F,$E173))</f>
        <v/>
      </c>
      <c r="E173">
        <f>IFERROR(AGGREGATE(15,6,ROW('Input Transaksi'!$B$5:$B$5000)/('Input Transaksi'!$B$5:$B$5000="DIY"),ROWS($E$5:E173)),"")</f>
        <v/>
      </c>
      <c r="F173" s="5" t="n"/>
    </row>
    <row r="174">
      <c r="A174" s="10">
        <f>IF($E174="","",INDEX('Input Transaksi'!$A:$A,$E174))</f>
        <v/>
      </c>
      <c r="B174" s="5">
        <f>IF($E174="","",INDEX('Input Transaksi'!$D:$D,$E174))</f>
        <v/>
      </c>
      <c r="C174">
        <f>IF($E174="","",INDEX('Input Transaksi'!$E:$E,$E174))</f>
        <v/>
      </c>
      <c r="D174" s="5">
        <f>IF($E174="","",INDEX('Input Transaksi'!$F:$F,$E174))</f>
        <v/>
      </c>
      <c r="E174">
        <f>IFERROR(AGGREGATE(15,6,ROW('Input Transaksi'!$B$5:$B$5000)/('Input Transaksi'!$B$5:$B$5000="DIY"),ROWS($E$5:E174)),"")</f>
        <v/>
      </c>
      <c r="F174" s="5" t="n"/>
    </row>
    <row r="175">
      <c r="A175" s="10">
        <f>IF($E175="","",INDEX('Input Transaksi'!$A:$A,$E175))</f>
        <v/>
      </c>
      <c r="B175" s="5">
        <f>IF($E175="","",INDEX('Input Transaksi'!$D:$D,$E175))</f>
        <v/>
      </c>
      <c r="C175">
        <f>IF($E175="","",INDEX('Input Transaksi'!$E:$E,$E175))</f>
        <v/>
      </c>
      <c r="D175" s="5">
        <f>IF($E175="","",INDEX('Input Transaksi'!$F:$F,$E175))</f>
        <v/>
      </c>
      <c r="E175">
        <f>IFERROR(AGGREGATE(15,6,ROW('Input Transaksi'!$B$5:$B$5000)/('Input Transaksi'!$B$5:$B$5000="DIY"),ROWS($E$5:E175)),"")</f>
        <v/>
      </c>
      <c r="F175" s="5" t="n"/>
    </row>
    <row r="176">
      <c r="A176" s="10">
        <f>IF($E176="","",INDEX('Input Transaksi'!$A:$A,$E176))</f>
        <v/>
      </c>
      <c r="B176" s="5">
        <f>IF($E176="","",INDEX('Input Transaksi'!$D:$D,$E176))</f>
        <v/>
      </c>
      <c r="C176">
        <f>IF($E176="","",INDEX('Input Transaksi'!$E:$E,$E176))</f>
        <v/>
      </c>
      <c r="D176" s="5">
        <f>IF($E176="","",INDEX('Input Transaksi'!$F:$F,$E176))</f>
        <v/>
      </c>
      <c r="E176">
        <f>IFERROR(AGGREGATE(15,6,ROW('Input Transaksi'!$B$5:$B$5000)/('Input Transaksi'!$B$5:$B$5000="DIY"),ROWS($E$5:E176)),"")</f>
        <v/>
      </c>
      <c r="F176" s="5" t="n"/>
    </row>
    <row r="177">
      <c r="A177" s="10">
        <f>IF($E177="","",INDEX('Input Transaksi'!$A:$A,$E177))</f>
        <v/>
      </c>
      <c r="B177" s="5">
        <f>IF($E177="","",INDEX('Input Transaksi'!$D:$D,$E177))</f>
        <v/>
      </c>
      <c r="C177">
        <f>IF($E177="","",INDEX('Input Transaksi'!$E:$E,$E177))</f>
        <v/>
      </c>
      <c r="D177" s="5">
        <f>IF($E177="","",INDEX('Input Transaksi'!$F:$F,$E177))</f>
        <v/>
      </c>
      <c r="E177">
        <f>IFERROR(AGGREGATE(15,6,ROW('Input Transaksi'!$B$5:$B$5000)/('Input Transaksi'!$B$5:$B$5000="DIY"),ROWS($E$5:E177)),"")</f>
        <v/>
      </c>
      <c r="F177" s="5" t="n"/>
    </row>
    <row r="178">
      <c r="A178" s="10">
        <f>IF($E178="","",INDEX('Input Transaksi'!$A:$A,$E178))</f>
        <v/>
      </c>
      <c r="B178" s="5">
        <f>IF($E178="","",INDEX('Input Transaksi'!$D:$D,$E178))</f>
        <v/>
      </c>
      <c r="C178">
        <f>IF($E178="","",INDEX('Input Transaksi'!$E:$E,$E178))</f>
        <v/>
      </c>
      <c r="D178" s="5">
        <f>IF($E178="","",INDEX('Input Transaksi'!$F:$F,$E178))</f>
        <v/>
      </c>
      <c r="E178">
        <f>IFERROR(AGGREGATE(15,6,ROW('Input Transaksi'!$B$5:$B$5000)/('Input Transaksi'!$B$5:$B$5000="DIY"),ROWS($E$5:E178)),"")</f>
        <v/>
      </c>
      <c r="F178" s="5" t="n"/>
    </row>
    <row r="179">
      <c r="A179" s="10">
        <f>IF($E179="","",INDEX('Input Transaksi'!$A:$A,$E179))</f>
        <v/>
      </c>
      <c r="B179" s="5">
        <f>IF($E179="","",INDEX('Input Transaksi'!$D:$D,$E179))</f>
        <v/>
      </c>
      <c r="C179">
        <f>IF($E179="","",INDEX('Input Transaksi'!$E:$E,$E179))</f>
        <v/>
      </c>
      <c r="D179" s="5">
        <f>IF($E179="","",INDEX('Input Transaksi'!$F:$F,$E179))</f>
        <v/>
      </c>
      <c r="E179">
        <f>IFERROR(AGGREGATE(15,6,ROW('Input Transaksi'!$B$5:$B$5000)/('Input Transaksi'!$B$5:$B$5000="DIY"),ROWS($E$5:E179)),"")</f>
        <v/>
      </c>
      <c r="F179" s="5" t="n"/>
    </row>
    <row r="180">
      <c r="A180" s="10">
        <f>IF($E180="","",INDEX('Input Transaksi'!$A:$A,$E180))</f>
        <v/>
      </c>
      <c r="B180" s="5">
        <f>IF($E180="","",INDEX('Input Transaksi'!$D:$D,$E180))</f>
        <v/>
      </c>
      <c r="C180">
        <f>IF($E180="","",INDEX('Input Transaksi'!$E:$E,$E180))</f>
        <v/>
      </c>
      <c r="D180" s="5">
        <f>IF($E180="","",INDEX('Input Transaksi'!$F:$F,$E180))</f>
        <v/>
      </c>
      <c r="E180">
        <f>IFERROR(AGGREGATE(15,6,ROW('Input Transaksi'!$B$5:$B$5000)/('Input Transaksi'!$B$5:$B$5000="DIY"),ROWS($E$5:E180)),"")</f>
        <v/>
      </c>
      <c r="F180" s="5" t="n"/>
    </row>
    <row r="181">
      <c r="A181" s="10">
        <f>IF($E181="","",INDEX('Input Transaksi'!$A:$A,$E181))</f>
        <v/>
      </c>
      <c r="B181" s="5">
        <f>IF($E181="","",INDEX('Input Transaksi'!$D:$D,$E181))</f>
        <v/>
      </c>
      <c r="C181">
        <f>IF($E181="","",INDEX('Input Transaksi'!$E:$E,$E181))</f>
        <v/>
      </c>
      <c r="D181" s="5">
        <f>IF($E181="","",INDEX('Input Transaksi'!$F:$F,$E181))</f>
        <v/>
      </c>
      <c r="E181">
        <f>IFERROR(AGGREGATE(15,6,ROW('Input Transaksi'!$B$5:$B$5000)/('Input Transaksi'!$B$5:$B$5000="DIY"),ROWS($E$5:E181)),"")</f>
        <v/>
      </c>
      <c r="F181" s="5" t="n"/>
    </row>
    <row r="182">
      <c r="A182" s="10">
        <f>IF($E182="","",INDEX('Input Transaksi'!$A:$A,$E182))</f>
        <v/>
      </c>
      <c r="B182" s="5">
        <f>IF($E182="","",INDEX('Input Transaksi'!$D:$D,$E182))</f>
        <v/>
      </c>
      <c r="C182">
        <f>IF($E182="","",INDEX('Input Transaksi'!$E:$E,$E182))</f>
        <v/>
      </c>
      <c r="D182" s="5">
        <f>IF($E182="","",INDEX('Input Transaksi'!$F:$F,$E182))</f>
        <v/>
      </c>
      <c r="E182">
        <f>IFERROR(AGGREGATE(15,6,ROW('Input Transaksi'!$B$5:$B$5000)/('Input Transaksi'!$B$5:$B$5000="DIY"),ROWS($E$5:E182)),"")</f>
        <v/>
      </c>
      <c r="F182" s="5" t="n"/>
    </row>
    <row r="183">
      <c r="A183" s="10">
        <f>IF($E183="","",INDEX('Input Transaksi'!$A:$A,$E183))</f>
        <v/>
      </c>
      <c r="B183" s="5">
        <f>IF($E183="","",INDEX('Input Transaksi'!$D:$D,$E183))</f>
        <v/>
      </c>
      <c r="C183">
        <f>IF($E183="","",INDEX('Input Transaksi'!$E:$E,$E183))</f>
        <v/>
      </c>
      <c r="D183" s="5">
        <f>IF($E183="","",INDEX('Input Transaksi'!$F:$F,$E183))</f>
        <v/>
      </c>
      <c r="E183">
        <f>IFERROR(AGGREGATE(15,6,ROW('Input Transaksi'!$B$5:$B$5000)/('Input Transaksi'!$B$5:$B$5000="DIY"),ROWS($E$5:E183)),"")</f>
        <v/>
      </c>
      <c r="F183" s="5" t="n"/>
    </row>
    <row r="184">
      <c r="A184" s="10">
        <f>IF($E184="","",INDEX('Input Transaksi'!$A:$A,$E184))</f>
        <v/>
      </c>
      <c r="B184" s="5">
        <f>IF($E184="","",INDEX('Input Transaksi'!$D:$D,$E184))</f>
        <v/>
      </c>
      <c r="C184">
        <f>IF($E184="","",INDEX('Input Transaksi'!$E:$E,$E184))</f>
        <v/>
      </c>
      <c r="D184" s="5">
        <f>IF($E184="","",INDEX('Input Transaksi'!$F:$F,$E184))</f>
        <v/>
      </c>
      <c r="E184">
        <f>IFERROR(AGGREGATE(15,6,ROW('Input Transaksi'!$B$5:$B$5000)/('Input Transaksi'!$B$5:$B$5000="DIY"),ROWS($E$5:E184)),"")</f>
        <v/>
      </c>
      <c r="F184" s="5" t="n"/>
    </row>
    <row r="185">
      <c r="A185" s="10">
        <f>IF($E185="","",INDEX('Input Transaksi'!$A:$A,$E185))</f>
        <v/>
      </c>
      <c r="B185" s="5">
        <f>IF($E185="","",INDEX('Input Transaksi'!$D:$D,$E185))</f>
        <v/>
      </c>
      <c r="C185">
        <f>IF($E185="","",INDEX('Input Transaksi'!$E:$E,$E185))</f>
        <v/>
      </c>
      <c r="D185" s="5">
        <f>IF($E185="","",INDEX('Input Transaksi'!$F:$F,$E185))</f>
        <v/>
      </c>
      <c r="E185">
        <f>IFERROR(AGGREGATE(15,6,ROW('Input Transaksi'!$B$5:$B$5000)/('Input Transaksi'!$B$5:$B$5000="DIY"),ROWS($E$5:E185)),"")</f>
        <v/>
      </c>
      <c r="F185" s="5" t="n"/>
    </row>
    <row r="186">
      <c r="A186" s="10">
        <f>IF($E186="","",INDEX('Input Transaksi'!$A:$A,$E186))</f>
        <v/>
      </c>
      <c r="B186" s="5">
        <f>IF($E186="","",INDEX('Input Transaksi'!$D:$D,$E186))</f>
        <v/>
      </c>
      <c r="C186">
        <f>IF($E186="","",INDEX('Input Transaksi'!$E:$E,$E186))</f>
        <v/>
      </c>
      <c r="D186" s="5">
        <f>IF($E186="","",INDEX('Input Transaksi'!$F:$F,$E186))</f>
        <v/>
      </c>
      <c r="E186">
        <f>IFERROR(AGGREGATE(15,6,ROW('Input Transaksi'!$B$5:$B$5000)/('Input Transaksi'!$B$5:$B$5000="DIY"),ROWS($E$5:E186)),"")</f>
        <v/>
      </c>
      <c r="F186" s="5" t="n"/>
    </row>
    <row r="187">
      <c r="A187" s="10">
        <f>IF($E187="","",INDEX('Input Transaksi'!$A:$A,$E187))</f>
        <v/>
      </c>
      <c r="B187" s="5">
        <f>IF($E187="","",INDEX('Input Transaksi'!$D:$D,$E187))</f>
        <v/>
      </c>
      <c r="C187">
        <f>IF($E187="","",INDEX('Input Transaksi'!$E:$E,$E187))</f>
        <v/>
      </c>
      <c r="D187" s="5">
        <f>IF($E187="","",INDEX('Input Transaksi'!$F:$F,$E187))</f>
        <v/>
      </c>
      <c r="E187">
        <f>IFERROR(AGGREGATE(15,6,ROW('Input Transaksi'!$B$5:$B$5000)/('Input Transaksi'!$B$5:$B$5000="DIY"),ROWS($E$5:E187)),"")</f>
        <v/>
      </c>
      <c r="F187" s="5" t="n"/>
    </row>
    <row r="188">
      <c r="A188" s="10">
        <f>IF($E188="","",INDEX('Input Transaksi'!$A:$A,$E188))</f>
        <v/>
      </c>
      <c r="B188" s="5">
        <f>IF($E188="","",INDEX('Input Transaksi'!$D:$D,$E188))</f>
        <v/>
      </c>
      <c r="C188">
        <f>IF($E188="","",INDEX('Input Transaksi'!$E:$E,$E188))</f>
        <v/>
      </c>
      <c r="D188" s="5">
        <f>IF($E188="","",INDEX('Input Transaksi'!$F:$F,$E188))</f>
        <v/>
      </c>
      <c r="E188">
        <f>IFERROR(AGGREGATE(15,6,ROW('Input Transaksi'!$B$5:$B$5000)/('Input Transaksi'!$B$5:$B$5000="DIY"),ROWS($E$5:E188)),"")</f>
        <v/>
      </c>
      <c r="F188" s="5" t="n"/>
    </row>
    <row r="189">
      <c r="A189" s="10">
        <f>IF($E189="","",INDEX('Input Transaksi'!$A:$A,$E189))</f>
        <v/>
      </c>
      <c r="B189" s="5">
        <f>IF($E189="","",INDEX('Input Transaksi'!$D:$D,$E189))</f>
        <v/>
      </c>
      <c r="C189">
        <f>IF($E189="","",INDEX('Input Transaksi'!$E:$E,$E189))</f>
        <v/>
      </c>
      <c r="D189" s="5">
        <f>IF($E189="","",INDEX('Input Transaksi'!$F:$F,$E189))</f>
        <v/>
      </c>
      <c r="E189">
        <f>IFERROR(AGGREGATE(15,6,ROW('Input Transaksi'!$B$5:$B$5000)/('Input Transaksi'!$B$5:$B$5000="DIY"),ROWS($E$5:E189)),"")</f>
        <v/>
      </c>
      <c r="F189" s="5" t="n"/>
    </row>
    <row r="190">
      <c r="A190" s="10">
        <f>IF($E190="","",INDEX('Input Transaksi'!$A:$A,$E190))</f>
        <v/>
      </c>
      <c r="B190" s="5">
        <f>IF($E190="","",INDEX('Input Transaksi'!$D:$D,$E190))</f>
        <v/>
      </c>
      <c r="C190">
        <f>IF($E190="","",INDEX('Input Transaksi'!$E:$E,$E190))</f>
        <v/>
      </c>
      <c r="D190" s="5">
        <f>IF($E190="","",INDEX('Input Transaksi'!$F:$F,$E190))</f>
        <v/>
      </c>
      <c r="E190">
        <f>IFERROR(AGGREGATE(15,6,ROW('Input Transaksi'!$B$5:$B$5000)/('Input Transaksi'!$B$5:$B$5000="DIY"),ROWS($E$5:E190)),"")</f>
        <v/>
      </c>
      <c r="F190" s="5" t="n"/>
    </row>
    <row r="191">
      <c r="A191" s="10">
        <f>IF($E191="","",INDEX('Input Transaksi'!$A:$A,$E191))</f>
        <v/>
      </c>
      <c r="B191" s="5">
        <f>IF($E191="","",INDEX('Input Transaksi'!$D:$D,$E191))</f>
        <v/>
      </c>
      <c r="C191">
        <f>IF($E191="","",INDEX('Input Transaksi'!$E:$E,$E191))</f>
        <v/>
      </c>
      <c r="D191" s="5">
        <f>IF($E191="","",INDEX('Input Transaksi'!$F:$F,$E191))</f>
        <v/>
      </c>
      <c r="E191">
        <f>IFERROR(AGGREGATE(15,6,ROW('Input Transaksi'!$B$5:$B$5000)/('Input Transaksi'!$B$5:$B$5000="DIY"),ROWS($E$5:E191)),"")</f>
        <v/>
      </c>
      <c r="F191" s="5" t="n"/>
    </row>
    <row r="192">
      <c r="A192" s="10">
        <f>IF($E192="","",INDEX('Input Transaksi'!$A:$A,$E192))</f>
        <v/>
      </c>
      <c r="B192" s="5">
        <f>IF($E192="","",INDEX('Input Transaksi'!$D:$D,$E192))</f>
        <v/>
      </c>
      <c r="C192">
        <f>IF($E192="","",INDEX('Input Transaksi'!$E:$E,$E192))</f>
        <v/>
      </c>
      <c r="D192" s="5">
        <f>IF($E192="","",INDEX('Input Transaksi'!$F:$F,$E192))</f>
        <v/>
      </c>
      <c r="E192">
        <f>IFERROR(AGGREGATE(15,6,ROW('Input Transaksi'!$B$5:$B$5000)/('Input Transaksi'!$B$5:$B$5000="DIY"),ROWS($E$5:E192)),"")</f>
        <v/>
      </c>
      <c r="F192" s="5" t="n"/>
    </row>
    <row r="193">
      <c r="A193" s="10">
        <f>IF($E193="","",INDEX('Input Transaksi'!$A:$A,$E193))</f>
        <v/>
      </c>
      <c r="B193" s="5">
        <f>IF($E193="","",INDEX('Input Transaksi'!$D:$D,$E193))</f>
        <v/>
      </c>
      <c r="C193">
        <f>IF($E193="","",INDEX('Input Transaksi'!$E:$E,$E193))</f>
        <v/>
      </c>
      <c r="D193" s="5">
        <f>IF($E193="","",INDEX('Input Transaksi'!$F:$F,$E193))</f>
        <v/>
      </c>
      <c r="E193">
        <f>IFERROR(AGGREGATE(15,6,ROW('Input Transaksi'!$B$5:$B$5000)/('Input Transaksi'!$B$5:$B$5000="DIY"),ROWS($E$5:E193)),"")</f>
        <v/>
      </c>
      <c r="F193" s="5" t="n"/>
    </row>
    <row r="194">
      <c r="A194" s="10">
        <f>IF($E194="","",INDEX('Input Transaksi'!$A:$A,$E194))</f>
        <v/>
      </c>
      <c r="B194" s="5">
        <f>IF($E194="","",INDEX('Input Transaksi'!$D:$D,$E194))</f>
        <v/>
      </c>
      <c r="C194">
        <f>IF($E194="","",INDEX('Input Transaksi'!$E:$E,$E194))</f>
        <v/>
      </c>
      <c r="D194" s="5">
        <f>IF($E194="","",INDEX('Input Transaksi'!$F:$F,$E194))</f>
        <v/>
      </c>
      <c r="E194">
        <f>IFERROR(AGGREGATE(15,6,ROW('Input Transaksi'!$B$5:$B$5000)/('Input Transaksi'!$B$5:$B$5000="DIY"),ROWS($E$5:E194)),"")</f>
        <v/>
      </c>
      <c r="F194" s="5" t="n"/>
    </row>
    <row r="195">
      <c r="A195" s="10">
        <f>IF($E195="","",INDEX('Input Transaksi'!$A:$A,$E195))</f>
        <v/>
      </c>
      <c r="B195" s="5">
        <f>IF($E195="","",INDEX('Input Transaksi'!$D:$D,$E195))</f>
        <v/>
      </c>
      <c r="C195">
        <f>IF($E195="","",INDEX('Input Transaksi'!$E:$E,$E195))</f>
        <v/>
      </c>
      <c r="D195" s="5">
        <f>IF($E195="","",INDEX('Input Transaksi'!$F:$F,$E195))</f>
        <v/>
      </c>
      <c r="E195">
        <f>IFERROR(AGGREGATE(15,6,ROW('Input Transaksi'!$B$5:$B$5000)/('Input Transaksi'!$B$5:$B$5000="DIY"),ROWS($E$5:E195)),"")</f>
        <v/>
      </c>
      <c r="F195" s="5" t="n"/>
    </row>
    <row r="196">
      <c r="A196" s="10">
        <f>IF($E196="","",INDEX('Input Transaksi'!$A:$A,$E196))</f>
        <v/>
      </c>
      <c r="B196" s="5">
        <f>IF($E196="","",INDEX('Input Transaksi'!$D:$D,$E196))</f>
        <v/>
      </c>
      <c r="C196">
        <f>IF($E196="","",INDEX('Input Transaksi'!$E:$E,$E196))</f>
        <v/>
      </c>
      <c r="D196" s="5">
        <f>IF($E196="","",INDEX('Input Transaksi'!$F:$F,$E196))</f>
        <v/>
      </c>
      <c r="E196">
        <f>IFERROR(AGGREGATE(15,6,ROW('Input Transaksi'!$B$5:$B$5000)/('Input Transaksi'!$B$5:$B$5000="DIY"),ROWS($E$5:E196)),"")</f>
        <v/>
      </c>
      <c r="F196" s="5" t="n"/>
    </row>
    <row r="197">
      <c r="A197" s="10">
        <f>IF($E197="","",INDEX('Input Transaksi'!$A:$A,$E197))</f>
        <v/>
      </c>
      <c r="B197" s="5">
        <f>IF($E197="","",INDEX('Input Transaksi'!$D:$D,$E197))</f>
        <v/>
      </c>
      <c r="C197">
        <f>IF($E197="","",INDEX('Input Transaksi'!$E:$E,$E197))</f>
        <v/>
      </c>
      <c r="D197" s="5">
        <f>IF($E197="","",INDEX('Input Transaksi'!$F:$F,$E197))</f>
        <v/>
      </c>
      <c r="E197">
        <f>IFERROR(AGGREGATE(15,6,ROW('Input Transaksi'!$B$5:$B$5000)/('Input Transaksi'!$B$5:$B$5000="DIY"),ROWS($E$5:E197)),"")</f>
        <v/>
      </c>
      <c r="F197" s="5" t="n"/>
    </row>
    <row r="198">
      <c r="A198" s="10">
        <f>IF($E198="","",INDEX('Input Transaksi'!$A:$A,$E198))</f>
        <v/>
      </c>
      <c r="B198" s="5">
        <f>IF($E198="","",INDEX('Input Transaksi'!$D:$D,$E198))</f>
        <v/>
      </c>
      <c r="C198">
        <f>IF($E198="","",INDEX('Input Transaksi'!$E:$E,$E198))</f>
        <v/>
      </c>
      <c r="D198" s="5">
        <f>IF($E198="","",INDEX('Input Transaksi'!$F:$F,$E198))</f>
        <v/>
      </c>
      <c r="E198">
        <f>IFERROR(AGGREGATE(15,6,ROW('Input Transaksi'!$B$5:$B$5000)/('Input Transaksi'!$B$5:$B$5000="DIY"),ROWS($E$5:E198)),"")</f>
        <v/>
      </c>
      <c r="F198" s="5" t="n"/>
    </row>
    <row r="199">
      <c r="A199" s="10">
        <f>IF($E199="","",INDEX('Input Transaksi'!$A:$A,$E199))</f>
        <v/>
      </c>
      <c r="B199" s="5">
        <f>IF($E199="","",INDEX('Input Transaksi'!$D:$D,$E199))</f>
        <v/>
      </c>
      <c r="C199">
        <f>IF($E199="","",INDEX('Input Transaksi'!$E:$E,$E199))</f>
        <v/>
      </c>
      <c r="D199" s="5">
        <f>IF($E199="","",INDEX('Input Transaksi'!$F:$F,$E199))</f>
        <v/>
      </c>
      <c r="E199">
        <f>IFERROR(AGGREGATE(15,6,ROW('Input Transaksi'!$B$5:$B$5000)/('Input Transaksi'!$B$5:$B$5000="DIY"),ROWS($E$5:E199)),"")</f>
        <v/>
      </c>
      <c r="F199" s="5" t="n"/>
    </row>
    <row r="200">
      <c r="A200" s="10">
        <f>IF($E200="","",INDEX('Input Transaksi'!$A:$A,$E200))</f>
        <v/>
      </c>
      <c r="B200" s="5">
        <f>IF($E200="","",INDEX('Input Transaksi'!$D:$D,$E200))</f>
        <v/>
      </c>
      <c r="C200">
        <f>IF($E200="","",INDEX('Input Transaksi'!$E:$E,$E200))</f>
        <v/>
      </c>
      <c r="D200" s="5">
        <f>IF($E200="","",INDEX('Input Transaksi'!$F:$F,$E200))</f>
        <v/>
      </c>
      <c r="E200">
        <f>IFERROR(AGGREGATE(15,6,ROW('Input Transaksi'!$B$5:$B$5000)/('Input Transaksi'!$B$5:$B$5000="DIY"),ROWS($E$5:E200)),"")</f>
        <v/>
      </c>
      <c r="F200" s="5" t="n"/>
    </row>
    <row r="201">
      <c r="A201" s="10">
        <f>IF($E201="","",INDEX('Input Transaksi'!$A:$A,$E201))</f>
        <v/>
      </c>
      <c r="B201" s="5">
        <f>IF($E201="","",INDEX('Input Transaksi'!$D:$D,$E201))</f>
        <v/>
      </c>
      <c r="C201">
        <f>IF($E201="","",INDEX('Input Transaksi'!$E:$E,$E201))</f>
        <v/>
      </c>
      <c r="D201" s="5">
        <f>IF($E201="","",INDEX('Input Transaksi'!$F:$F,$E201))</f>
        <v/>
      </c>
      <c r="E201">
        <f>IFERROR(AGGREGATE(15,6,ROW('Input Transaksi'!$B$5:$B$5000)/('Input Transaksi'!$B$5:$B$5000="DIY"),ROWS($E$5:E201)),"")</f>
        <v/>
      </c>
      <c r="F201" s="5" t="n"/>
    </row>
    <row r="202">
      <c r="A202" s="10">
        <f>IF($E202="","",INDEX('Input Transaksi'!$A:$A,$E202))</f>
        <v/>
      </c>
      <c r="B202" s="5">
        <f>IF($E202="","",INDEX('Input Transaksi'!$D:$D,$E202))</f>
        <v/>
      </c>
      <c r="C202">
        <f>IF($E202="","",INDEX('Input Transaksi'!$E:$E,$E202))</f>
        <v/>
      </c>
      <c r="D202" s="5">
        <f>IF($E202="","",INDEX('Input Transaksi'!$F:$F,$E202))</f>
        <v/>
      </c>
      <c r="E202">
        <f>IFERROR(AGGREGATE(15,6,ROW('Input Transaksi'!$B$5:$B$5000)/('Input Transaksi'!$B$5:$B$5000="DIY"),ROWS($E$5:E202)),"")</f>
        <v/>
      </c>
      <c r="F202" s="5" t="n"/>
    </row>
    <row r="203">
      <c r="A203" s="10">
        <f>IF($E203="","",INDEX('Input Transaksi'!$A:$A,$E203))</f>
        <v/>
      </c>
      <c r="B203" s="5">
        <f>IF($E203="","",INDEX('Input Transaksi'!$D:$D,$E203))</f>
        <v/>
      </c>
      <c r="C203">
        <f>IF($E203="","",INDEX('Input Transaksi'!$E:$E,$E203))</f>
        <v/>
      </c>
      <c r="D203" s="5">
        <f>IF($E203="","",INDEX('Input Transaksi'!$F:$F,$E203))</f>
        <v/>
      </c>
      <c r="E203">
        <f>IFERROR(AGGREGATE(15,6,ROW('Input Transaksi'!$B$5:$B$5000)/('Input Transaksi'!$B$5:$B$5000="DIY"),ROWS($E$5:E203)),"")</f>
        <v/>
      </c>
      <c r="F203" s="5" t="n"/>
    </row>
    <row r="204">
      <c r="A204" s="10">
        <f>IF($E204="","",INDEX('Input Transaksi'!$A:$A,$E204))</f>
        <v/>
      </c>
      <c r="B204" s="5">
        <f>IF($E204="","",INDEX('Input Transaksi'!$D:$D,$E204))</f>
        <v/>
      </c>
      <c r="C204">
        <f>IF($E204="","",INDEX('Input Transaksi'!$E:$E,$E204))</f>
        <v/>
      </c>
      <c r="D204" s="5">
        <f>IF($E204="","",INDEX('Input Transaksi'!$F:$F,$E204))</f>
        <v/>
      </c>
      <c r="E204">
        <f>IFERROR(AGGREGATE(15,6,ROW('Input Transaksi'!$B$5:$B$5000)/('Input Transaksi'!$B$5:$B$5000="DIY"),ROWS($E$5:E204)),"")</f>
        <v/>
      </c>
      <c r="F204" s="5" t="n"/>
    </row>
    <row r="205">
      <c r="A205" s="10">
        <f>IF($E205="","",INDEX('Input Transaksi'!$A:$A,$E205))</f>
        <v/>
      </c>
      <c r="B205" s="5">
        <f>IF($E205="","",INDEX('Input Transaksi'!$D:$D,$E205))</f>
        <v/>
      </c>
      <c r="C205">
        <f>IF($E205="","",INDEX('Input Transaksi'!$E:$E,$E205))</f>
        <v/>
      </c>
      <c r="D205" s="5">
        <f>IF($E205="","",INDEX('Input Transaksi'!$F:$F,$E205))</f>
        <v/>
      </c>
      <c r="E205">
        <f>IFERROR(AGGREGATE(15,6,ROW('Input Transaksi'!$B$5:$B$5000)/('Input Transaksi'!$B$5:$B$5000="DIY"),ROWS($E$5:E205)),"")</f>
        <v/>
      </c>
      <c r="F205" s="5" t="n"/>
    </row>
    <row r="206">
      <c r="A206" s="10">
        <f>IF($E206="","",INDEX('Input Transaksi'!$A:$A,$E206))</f>
        <v/>
      </c>
      <c r="B206" s="5">
        <f>IF($E206="","",INDEX('Input Transaksi'!$D:$D,$E206))</f>
        <v/>
      </c>
      <c r="C206">
        <f>IF($E206="","",INDEX('Input Transaksi'!$E:$E,$E206))</f>
        <v/>
      </c>
      <c r="D206" s="5">
        <f>IF($E206="","",INDEX('Input Transaksi'!$F:$F,$E206))</f>
        <v/>
      </c>
      <c r="E206">
        <f>IFERROR(AGGREGATE(15,6,ROW('Input Transaksi'!$B$5:$B$5000)/('Input Transaksi'!$B$5:$B$5000="DIY"),ROWS($E$5:E206)),"")</f>
        <v/>
      </c>
      <c r="F206" s="5" t="n"/>
    </row>
    <row r="207">
      <c r="A207" s="10">
        <f>IF($E207="","",INDEX('Input Transaksi'!$A:$A,$E207))</f>
        <v/>
      </c>
      <c r="B207" s="5">
        <f>IF($E207="","",INDEX('Input Transaksi'!$D:$D,$E207))</f>
        <v/>
      </c>
      <c r="C207">
        <f>IF($E207="","",INDEX('Input Transaksi'!$E:$E,$E207))</f>
        <v/>
      </c>
      <c r="D207" s="5">
        <f>IF($E207="","",INDEX('Input Transaksi'!$F:$F,$E207))</f>
        <v/>
      </c>
      <c r="E207">
        <f>IFERROR(AGGREGATE(15,6,ROW('Input Transaksi'!$B$5:$B$5000)/('Input Transaksi'!$B$5:$B$5000="DIY"),ROWS($E$5:E207)),"")</f>
        <v/>
      </c>
      <c r="F207" s="5" t="n"/>
    </row>
    <row r="208">
      <c r="A208" s="10">
        <f>IF($E208="","",INDEX('Input Transaksi'!$A:$A,$E208))</f>
        <v/>
      </c>
      <c r="B208" s="5">
        <f>IF($E208="","",INDEX('Input Transaksi'!$D:$D,$E208))</f>
        <v/>
      </c>
      <c r="C208">
        <f>IF($E208="","",INDEX('Input Transaksi'!$E:$E,$E208))</f>
        <v/>
      </c>
      <c r="D208" s="5">
        <f>IF($E208="","",INDEX('Input Transaksi'!$F:$F,$E208))</f>
        <v/>
      </c>
      <c r="E208">
        <f>IFERROR(AGGREGATE(15,6,ROW('Input Transaksi'!$B$5:$B$5000)/('Input Transaksi'!$B$5:$B$5000="DIY"),ROWS($E$5:E208)),"")</f>
        <v/>
      </c>
      <c r="F208" s="5" t="n"/>
    </row>
    <row r="209">
      <c r="A209" s="10">
        <f>IF($E209="","",INDEX('Input Transaksi'!$A:$A,$E209))</f>
        <v/>
      </c>
      <c r="B209" s="5">
        <f>IF($E209="","",INDEX('Input Transaksi'!$D:$D,$E209))</f>
        <v/>
      </c>
      <c r="C209">
        <f>IF($E209="","",INDEX('Input Transaksi'!$E:$E,$E209))</f>
        <v/>
      </c>
      <c r="D209" s="5">
        <f>IF($E209="","",INDEX('Input Transaksi'!$F:$F,$E209))</f>
        <v/>
      </c>
      <c r="E209">
        <f>IFERROR(AGGREGATE(15,6,ROW('Input Transaksi'!$B$5:$B$5000)/('Input Transaksi'!$B$5:$B$5000="DIY"),ROWS($E$5:E209)),"")</f>
        <v/>
      </c>
      <c r="F209" s="5" t="n"/>
    </row>
    <row r="210">
      <c r="A210" s="10">
        <f>IF($E210="","",INDEX('Input Transaksi'!$A:$A,$E210))</f>
        <v/>
      </c>
      <c r="B210" s="5">
        <f>IF($E210="","",INDEX('Input Transaksi'!$D:$D,$E210))</f>
        <v/>
      </c>
      <c r="C210">
        <f>IF($E210="","",INDEX('Input Transaksi'!$E:$E,$E210))</f>
        <v/>
      </c>
      <c r="D210" s="5">
        <f>IF($E210="","",INDEX('Input Transaksi'!$F:$F,$E210))</f>
        <v/>
      </c>
      <c r="E210">
        <f>IFERROR(AGGREGATE(15,6,ROW('Input Transaksi'!$B$5:$B$5000)/('Input Transaksi'!$B$5:$B$5000="DIY"),ROWS($E$5:E210)),"")</f>
        <v/>
      </c>
      <c r="F210" s="5" t="n"/>
    </row>
    <row r="211">
      <c r="A211" s="10">
        <f>IF($E211="","",INDEX('Input Transaksi'!$A:$A,$E211))</f>
        <v/>
      </c>
      <c r="B211" s="5">
        <f>IF($E211="","",INDEX('Input Transaksi'!$D:$D,$E211))</f>
        <v/>
      </c>
      <c r="C211">
        <f>IF($E211="","",INDEX('Input Transaksi'!$E:$E,$E211))</f>
        <v/>
      </c>
      <c r="D211" s="5">
        <f>IF($E211="","",INDEX('Input Transaksi'!$F:$F,$E211))</f>
        <v/>
      </c>
      <c r="E211">
        <f>IFERROR(AGGREGATE(15,6,ROW('Input Transaksi'!$B$5:$B$5000)/('Input Transaksi'!$B$5:$B$5000="DIY"),ROWS($E$5:E211)),"")</f>
        <v/>
      </c>
      <c r="F211" s="5" t="n"/>
    </row>
    <row r="212">
      <c r="A212" s="10">
        <f>IF($E212="","",INDEX('Input Transaksi'!$A:$A,$E212))</f>
        <v/>
      </c>
      <c r="B212" s="5">
        <f>IF($E212="","",INDEX('Input Transaksi'!$D:$D,$E212))</f>
        <v/>
      </c>
      <c r="C212">
        <f>IF($E212="","",INDEX('Input Transaksi'!$E:$E,$E212))</f>
        <v/>
      </c>
      <c r="D212" s="5">
        <f>IF($E212="","",INDEX('Input Transaksi'!$F:$F,$E212))</f>
        <v/>
      </c>
      <c r="E212">
        <f>IFERROR(AGGREGATE(15,6,ROW('Input Transaksi'!$B$5:$B$5000)/('Input Transaksi'!$B$5:$B$5000="DIY"),ROWS($E$5:E212)),"")</f>
        <v/>
      </c>
      <c r="F212" s="5" t="n"/>
    </row>
    <row r="213">
      <c r="A213" s="10">
        <f>IF($E213="","",INDEX('Input Transaksi'!$A:$A,$E213))</f>
        <v/>
      </c>
      <c r="B213" s="5">
        <f>IF($E213="","",INDEX('Input Transaksi'!$D:$D,$E213))</f>
        <v/>
      </c>
      <c r="C213">
        <f>IF($E213="","",INDEX('Input Transaksi'!$E:$E,$E213))</f>
        <v/>
      </c>
      <c r="D213" s="5">
        <f>IF($E213="","",INDEX('Input Transaksi'!$F:$F,$E213))</f>
        <v/>
      </c>
      <c r="E213">
        <f>IFERROR(AGGREGATE(15,6,ROW('Input Transaksi'!$B$5:$B$5000)/('Input Transaksi'!$B$5:$B$5000="DIY"),ROWS($E$5:E213)),"")</f>
        <v/>
      </c>
      <c r="F213" s="5" t="n"/>
    </row>
    <row r="214">
      <c r="A214" s="10">
        <f>IF($E214="","",INDEX('Input Transaksi'!$A:$A,$E214))</f>
        <v/>
      </c>
      <c r="B214" s="5">
        <f>IF($E214="","",INDEX('Input Transaksi'!$D:$D,$E214))</f>
        <v/>
      </c>
      <c r="C214">
        <f>IF($E214="","",INDEX('Input Transaksi'!$E:$E,$E214))</f>
        <v/>
      </c>
      <c r="D214" s="5">
        <f>IF($E214="","",INDEX('Input Transaksi'!$F:$F,$E214))</f>
        <v/>
      </c>
      <c r="E214">
        <f>IFERROR(AGGREGATE(15,6,ROW('Input Transaksi'!$B$5:$B$5000)/('Input Transaksi'!$B$5:$B$5000="DIY"),ROWS($E$5:E214)),"")</f>
        <v/>
      </c>
      <c r="F214" s="5" t="n"/>
    </row>
    <row r="215">
      <c r="A215" s="10">
        <f>IF($E215="","",INDEX('Input Transaksi'!$A:$A,$E215))</f>
        <v/>
      </c>
      <c r="B215" s="5">
        <f>IF($E215="","",INDEX('Input Transaksi'!$D:$D,$E215))</f>
        <v/>
      </c>
      <c r="C215">
        <f>IF($E215="","",INDEX('Input Transaksi'!$E:$E,$E215))</f>
        <v/>
      </c>
      <c r="D215" s="5">
        <f>IF($E215="","",INDEX('Input Transaksi'!$F:$F,$E215))</f>
        <v/>
      </c>
      <c r="E215">
        <f>IFERROR(AGGREGATE(15,6,ROW('Input Transaksi'!$B$5:$B$5000)/('Input Transaksi'!$B$5:$B$5000="DIY"),ROWS($E$5:E215)),"")</f>
        <v/>
      </c>
      <c r="F215" s="5" t="n"/>
    </row>
    <row r="216">
      <c r="A216" s="10">
        <f>IF($E216="","",INDEX('Input Transaksi'!$A:$A,$E216))</f>
        <v/>
      </c>
      <c r="B216" s="5">
        <f>IF($E216="","",INDEX('Input Transaksi'!$D:$D,$E216))</f>
        <v/>
      </c>
      <c r="C216">
        <f>IF($E216="","",INDEX('Input Transaksi'!$E:$E,$E216))</f>
        <v/>
      </c>
      <c r="D216" s="5">
        <f>IF($E216="","",INDEX('Input Transaksi'!$F:$F,$E216))</f>
        <v/>
      </c>
      <c r="E216">
        <f>IFERROR(AGGREGATE(15,6,ROW('Input Transaksi'!$B$5:$B$5000)/('Input Transaksi'!$B$5:$B$5000="DIY"),ROWS($E$5:E216)),"")</f>
        <v/>
      </c>
      <c r="F216" s="5" t="n"/>
    </row>
    <row r="217">
      <c r="A217" s="10">
        <f>IF($E217="","",INDEX('Input Transaksi'!$A:$A,$E217))</f>
        <v/>
      </c>
      <c r="B217" s="5">
        <f>IF($E217="","",INDEX('Input Transaksi'!$D:$D,$E217))</f>
        <v/>
      </c>
      <c r="C217">
        <f>IF($E217="","",INDEX('Input Transaksi'!$E:$E,$E217))</f>
        <v/>
      </c>
      <c r="D217" s="5">
        <f>IF($E217="","",INDEX('Input Transaksi'!$F:$F,$E217))</f>
        <v/>
      </c>
      <c r="E217">
        <f>IFERROR(AGGREGATE(15,6,ROW('Input Transaksi'!$B$5:$B$5000)/('Input Transaksi'!$B$5:$B$5000="DIY"),ROWS($E$5:E217)),"")</f>
        <v/>
      </c>
      <c r="F217" s="5" t="n"/>
    </row>
    <row r="218">
      <c r="A218" s="10">
        <f>IF($E218="","",INDEX('Input Transaksi'!$A:$A,$E218))</f>
        <v/>
      </c>
      <c r="B218" s="5">
        <f>IF($E218="","",INDEX('Input Transaksi'!$D:$D,$E218))</f>
        <v/>
      </c>
      <c r="C218">
        <f>IF($E218="","",INDEX('Input Transaksi'!$E:$E,$E218))</f>
        <v/>
      </c>
      <c r="D218" s="5">
        <f>IF($E218="","",INDEX('Input Transaksi'!$F:$F,$E218))</f>
        <v/>
      </c>
      <c r="E218">
        <f>IFERROR(AGGREGATE(15,6,ROW('Input Transaksi'!$B$5:$B$5000)/('Input Transaksi'!$B$5:$B$5000="DIY"),ROWS($E$5:E218)),"")</f>
        <v/>
      </c>
      <c r="F218" s="5" t="n"/>
    </row>
    <row r="219">
      <c r="A219" s="10">
        <f>IF($E219="","",INDEX('Input Transaksi'!$A:$A,$E219))</f>
        <v/>
      </c>
      <c r="B219" s="5">
        <f>IF($E219="","",INDEX('Input Transaksi'!$D:$D,$E219))</f>
        <v/>
      </c>
      <c r="C219">
        <f>IF($E219="","",INDEX('Input Transaksi'!$E:$E,$E219))</f>
        <v/>
      </c>
      <c r="D219" s="5">
        <f>IF($E219="","",INDEX('Input Transaksi'!$F:$F,$E219))</f>
        <v/>
      </c>
      <c r="E219">
        <f>IFERROR(AGGREGATE(15,6,ROW('Input Transaksi'!$B$5:$B$5000)/('Input Transaksi'!$B$5:$B$5000="DIY"),ROWS($E$5:E219)),"")</f>
        <v/>
      </c>
      <c r="F219" s="5" t="n"/>
    </row>
    <row r="220">
      <c r="A220" s="10">
        <f>IF($E220="","",INDEX('Input Transaksi'!$A:$A,$E220))</f>
        <v/>
      </c>
      <c r="B220" s="5">
        <f>IF($E220="","",INDEX('Input Transaksi'!$D:$D,$E220))</f>
        <v/>
      </c>
      <c r="C220">
        <f>IF($E220="","",INDEX('Input Transaksi'!$E:$E,$E220))</f>
        <v/>
      </c>
      <c r="D220" s="5">
        <f>IF($E220="","",INDEX('Input Transaksi'!$F:$F,$E220))</f>
        <v/>
      </c>
      <c r="E220">
        <f>IFERROR(AGGREGATE(15,6,ROW('Input Transaksi'!$B$5:$B$5000)/('Input Transaksi'!$B$5:$B$5000="DIY"),ROWS($E$5:E220)),"")</f>
        <v/>
      </c>
      <c r="F220" s="5" t="n"/>
    </row>
    <row r="221">
      <c r="A221" s="10">
        <f>IF($E221="","",INDEX('Input Transaksi'!$A:$A,$E221))</f>
        <v/>
      </c>
      <c r="B221" s="5">
        <f>IF($E221="","",INDEX('Input Transaksi'!$D:$D,$E221))</f>
        <v/>
      </c>
      <c r="C221">
        <f>IF($E221="","",INDEX('Input Transaksi'!$E:$E,$E221))</f>
        <v/>
      </c>
      <c r="D221" s="5">
        <f>IF($E221="","",INDEX('Input Transaksi'!$F:$F,$E221))</f>
        <v/>
      </c>
      <c r="E221">
        <f>IFERROR(AGGREGATE(15,6,ROW('Input Transaksi'!$B$5:$B$5000)/('Input Transaksi'!$B$5:$B$5000="DIY"),ROWS($E$5:E221)),"")</f>
        <v/>
      </c>
      <c r="F221" s="5" t="n"/>
    </row>
    <row r="222">
      <c r="A222" s="10">
        <f>IF($E222="","",INDEX('Input Transaksi'!$A:$A,$E222))</f>
        <v/>
      </c>
      <c r="B222" s="5">
        <f>IF($E222="","",INDEX('Input Transaksi'!$D:$D,$E222))</f>
        <v/>
      </c>
      <c r="C222">
        <f>IF($E222="","",INDEX('Input Transaksi'!$E:$E,$E222))</f>
        <v/>
      </c>
      <c r="D222" s="5">
        <f>IF($E222="","",INDEX('Input Transaksi'!$F:$F,$E222))</f>
        <v/>
      </c>
      <c r="E222">
        <f>IFERROR(AGGREGATE(15,6,ROW('Input Transaksi'!$B$5:$B$5000)/('Input Transaksi'!$B$5:$B$5000="DIY"),ROWS($E$5:E222)),"")</f>
        <v/>
      </c>
      <c r="F222" s="5" t="n"/>
    </row>
    <row r="223">
      <c r="A223" s="10">
        <f>IF($E223="","",INDEX('Input Transaksi'!$A:$A,$E223))</f>
        <v/>
      </c>
      <c r="B223" s="5">
        <f>IF($E223="","",INDEX('Input Transaksi'!$D:$D,$E223))</f>
        <v/>
      </c>
      <c r="C223">
        <f>IF($E223="","",INDEX('Input Transaksi'!$E:$E,$E223))</f>
        <v/>
      </c>
      <c r="D223" s="5">
        <f>IF($E223="","",INDEX('Input Transaksi'!$F:$F,$E223))</f>
        <v/>
      </c>
      <c r="E223">
        <f>IFERROR(AGGREGATE(15,6,ROW('Input Transaksi'!$B$5:$B$5000)/('Input Transaksi'!$B$5:$B$5000="DIY"),ROWS($E$5:E223)),"")</f>
        <v/>
      </c>
      <c r="F223" s="5" t="n"/>
    </row>
    <row r="224">
      <c r="A224" s="10">
        <f>IF($E224="","",INDEX('Input Transaksi'!$A:$A,$E224))</f>
        <v/>
      </c>
      <c r="B224" s="5">
        <f>IF($E224="","",INDEX('Input Transaksi'!$D:$D,$E224))</f>
        <v/>
      </c>
      <c r="C224">
        <f>IF($E224="","",INDEX('Input Transaksi'!$E:$E,$E224))</f>
        <v/>
      </c>
      <c r="D224" s="5">
        <f>IF($E224="","",INDEX('Input Transaksi'!$F:$F,$E224))</f>
        <v/>
      </c>
      <c r="E224">
        <f>IFERROR(AGGREGATE(15,6,ROW('Input Transaksi'!$B$5:$B$5000)/('Input Transaksi'!$B$5:$B$5000="DIY"),ROWS($E$5:E224)),"")</f>
        <v/>
      </c>
      <c r="F224" s="5" t="n"/>
    </row>
    <row r="225">
      <c r="A225" s="10">
        <f>IF($E225="","",INDEX('Input Transaksi'!$A:$A,$E225))</f>
        <v/>
      </c>
      <c r="B225" s="5">
        <f>IF($E225="","",INDEX('Input Transaksi'!$D:$D,$E225))</f>
        <v/>
      </c>
      <c r="C225">
        <f>IF($E225="","",INDEX('Input Transaksi'!$E:$E,$E225))</f>
        <v/>
      </c>
      <c r="D225" s="5">
        <f>IF($E225="","",INDEX('Input Transaksi'!$F:$F,$E225))</f>
        <v/>
      </c>
      <c r="E225">
        <f>IFERROR(AGGREGATE(15,6,ROW('Input Transaksi'!$B$5:$B$5000)/('Input Transaksi'!$B$5:$B$5000="DIY"),ROWS($E$5:E225)),"")</f>
        <v/>
      </c>
      <c r="F225" s="5" t="n"/>
    </row>
    <row r="226">
      <c r="A226" s="10">
        <f>IF($E226="","",INDEX('Input Transaksi'!$A:$A,$E226))</f>
        <v/>
      </c>
      <c r="B226" s="5">
        <f>IF($E226="","",INDEX('Input Transaksi'!$D:$D,$E226))</f>
        <v/>
      </c>
      <c r="C226">
        <f>IF($E226="","",INDEX('Input Transaksi'!$E:$E,$E226))</f>
        <v/>
      </c>
      <c r="D226" s="5">
        <f>IF($E226="","",INDEX('Input Transaksi'!$F:$F,$E226))</f>
        <v/>
      </c>
      <c r="E226">
        <f>IFERROR(AGGREGATE(15,6,ROW('Input Transaksi'!$B$5:$B$5000)/('Input Transaksi'!$B$5:$B$5000="DIY"),ROWS($E$5:E226)),"")</f>
        <v/>
      </c>
      <c r="F226" s="5" t="n"/>
    </row>
    <row r="227">
      <c r="A227" s="10">
        <f>IF($E227="","",INDEX('Input Transaksi'!$A:$A,$E227))</f>
        <v/>
      </c>
      <c r="B227" s="5">
        <f>IF($E227="","",INDEX('Input Transaksi'!$D:$D,$E227))</f>
        <v/>
      </c>
      <c r="C227">
        <f>IF($E227="","",INDEX('Input Transaksi'!$E:$E,$E227))</f>
        <v/>
      </c>
      <c r="D227" s="5">
        <f>IF($E227="","",INDEX('Input Transaksi'!$F:$F,$E227))</f>
        <v/>
      </c>
      <c r="E227">
        <f>IFERROR(AGGREGATE(15,6,ROW('Input Transaksi'!$B$5:$B$5000)/('Input Transaksi'!$B$5:$B$5000="DIY"),ROWS($E$5:E227)),"")</f>
        <v/>
      </c>
      <c r="F227" s="5" t="n"/>
    </row>
    <row r="228">
      <c r="A228" s="10">
        <f>IF($E228="","",INDEX('Input Transaksi'!$A:$A,$E228))</f>
        <v/>
      </c>
      <c r="B228" s="5">
        <f>IF($E228="","",INDEX('Input Transaksi'!$D:$D,$E228))</f>
        <v/>
      </c>
      <c r="C228">
        <f>IF($E228="","",INDEX('Input Transaksi'!$E:$E,$E228))</f>
        <v/>
      </c>
      <c r="D228" s="5">
        <f>IF($E228="","",INDEX('Input Transaksi'!$F:$F,$E228))</f>
        <v/>
      </c>
      <c r="E228">
        <f>IFERROR(AGGREGATE(15,6,ROW('Input Transaksi'!$B$5:$B$5000)/('Input Transaksi'!$B$5:$B$5000="DIY"),ROWS($E$5:E228)),"")</f>
        <v/>
      </c>
      <c r="F228" s="5" t="n"/>
    </row>
    <row r="229">
      <c r="A229" s="10">
        <f>IF($E229="","",INDEX('Input Transaksi'!$A:$A,$E229))</f>
        <v/>
      </c>
      <c r="B229" s="5">
        <f>IF($E229="","",INDEX('Input Transaksi'!$D:$D,$E229))</f>
        <v/>
      </c>
      <c r="C229">
        <f>IF($E229="","",INDEX('Input Transaksi'!$E:$E,$E229))</f>
        <v/>
      </c>
      <c r="D229" s="5">
        <f>IF($E229="","",INDEX('Input Transaksi'!$F:$F,$E229))</f>
        <v/>
      </c>
      <c r="E229">
        <f>IFERROR(AGGREGATE(15,6,ROW('Input Transaksi'!$B$5:$B$5000)/('Input Transaksi'!$B$5:$B$5000="DIY"),ROWS($E$5:E229)),"")</f>
        <v/>
      </c>
      <c r="F229" s="5" t="n"/>
    </row>
    <row r="230">
      <c r="A230" s="10">
        <f>IF($E230="","",INDEX('Input Transaksi'!$A:$A,$E230))</f>
        <v/>
      </c>
      <c r="B230" s="5">
        <f>IF($E230="","",INDEX('Input Transaksi'!$D:$D,$E230))</f>
        <v/>
      </c>
      <c r="C230">
        <f>IF($E230="","",INDEX('Input Transaksi'!$E:$E,$E230))</f>
        <v/>
      </c>
      <c r="D230" s="5">
        <f>IF($E230="","",INDEX('Input Transaksi'!$F:$F,$E230))</f>
        <v/>
      </c>
      <c r="E230">
        <f>IFERROR(AGGREGATE(15,6,ROW('Input Transaksi'!$B$5:$B$5000)/('Input Transaksi'!$B$5:$B$5000="DIY"),ROWS($E$5:E230)),"")</f>
        <v/>
      </c>
      <c r="F230" s="5" t="n"/>
    </row>
    <row r="231">
      <c r="A231" s="10">
        <f>IF($E231="","",INDEX('Input Transaksi'!$A:$A,$E231))</f>
        <v/>
      </c>
      <c r="B231" s="5">
        <f>IF($E231="","",INDEX('Input Transaksi'!$D:$D,$E231))</f>
        <v/>
      </c>
      <c r="C231">
        <f>IF($E231="","",INDEX('Input Transaksi'!$E:$E,$E231))</f>
        <v/>
      </c>
      <c r="D231" s="5">
        <f>IF($E231="","",INDEX('Input Transaksi'!$F:$F,$E231))</f>
        <v/>
      </c>
      <c r="E231">
        <f>IFERROR(AGGREGATE(15,6,ROW('Input Transaksi'!$B$5:$B$5000)/('Input Transaksi'!$B$5:$B$5000="DIY"),ROWS($E$5:E231)),"")</f>
        <v/>
      </c>
      <c r="F231" s="5" t="n"/>
    </row>
    <row r="232">
      <c r="A232" s="10">
        <f>IF($E232="","",INDEX('Input Transaksi'!$A:$A,$E232))</f>
        <v/>
      </c>
      <c r="B232" s="5">
        <f>IF($E232="","",INDEX('Input Transaksi'!$D:$D,$E232))</f>
        <v/>
      </c>
      <c r="C232">
        <f>IF($E232="","",INDEX('Input Transaksi'!$E:$E,$E232))</f>
        <v/>
      </c>
      <c r="D232" s="5">
        <f>IF($E232="","",INDEX('Input Transaksi'!$F:$F,$E232))</f>
        <v/>
      </c>
      <c r="E232">
        <f>IFERROR(AGGREGATE(15,6,ROW('Input Transaksi'!$B$5:$B$5000)/('Input Transaksi'!$B$5:$B$5000="DIY"),ROWS($E$5:E232)),"")</f>
        <v/>
      </c>
      <c r="F232" s="5" t="n"/>
    </row>
    <row r="233">
      <c r="A233" s="10">
        <f>IF($E233="","",INDEX('Input Transaksi'!$A:$A,$E233))</f>
        <v/>
      </c>
      <c r="B233" s="5">
        <f>IF($E233="","",INDEX('Input Transaksi'!$D:$D,$E233))</f>
        <v/>
      </c>
      <c r="C233">
        <f>IF($E233="","",INDEX('Input Transaksi'!$E:$E,$E233))</f>
        <v/>
      </c>
      <c r="D233" s="5">
        <f>IF($E233="","",INDEX('Input Transaksi'!$F:$F,$E233))</f>
        <v/>
      </c>
      <c r="E233">
        <f>IFERROR(AGGREGATE(15,6,ROW('Input Transaksi'!$B$5:$B$5000)/('Input Transaksi'!$B$5:$B$5000="DIY"),ROWS($E$5:E233)),"")</f>
        <v/>
      </c>
      <c r="F233" s="5" t="n"/>
    </row>
    <row r="234">
      <c r="A234" s="10">
        <f>IF($E234="","",INDEX('Input Transaksi'!$A:$A,$E234))</f>
        <v/>
      </c>
      <c r="B234" s="5">
        <f>IF($E234="","",INDEX('Input Transaksi'!$D:$D,$E234))</f>
        <v/>
      </c>
      <c r="C234">
        <f>IF($E234="","",INDEX('Input Transaksi'!$E:$E,$E234))</f>
        <v/>
      </c>
      <c r="D234" s="5">
        <f>IF($E234="","",INDEX('Input Transaksi'!$F:$F,$E234))</f>
        <v/>
      </c>
      <c r="E234">
        <f>IFERROR(AGGREGATE(15,6,ROW('Input Transaksi'!$B$5:$B$5000)/('Input Transaksi'!$B$5:$B$5000="DIY"),ROWS($E$5:E234)),"")</f>
        <v/>
      </c>
      <c r="F234" s="5" t="n"/>
    </row>
    <row r="235">
      <c r="A235" s="10">
        <f>IF($E235="","",INDEX('Input Transaksi'!$A:$A,$E235))</f>
        <v/>
      </c>
      <c r="B235" s="5">
        <f>IF($E235="","",INDEX('Input Transaksi'!$D:$D,$E235))</f>
        <v/>
      </c>
      <c r="C235">
        <f>IF($E235="","",INDEX('Input Transaksi'!$E:$E,$E235))</f>
        <v/>
      </c>
      <c r="D235" s="5">
        <f>IF($E235="","",INDEX('Input Transaksi'!$F:$F,$E235))</f>
        <v/>
      </c>
      <c r="E235">
        <f>IFERROR(AGGREGATE(15,6,ROW('Input Transaksi'!$B$5:$B$5000)/('Input Transaksi'!$B$5:$B$5000="DIY"),ROWS($E$5:E235)),"")</f>
        <v/>
      </c>
      <c r="F235" s="5" t="n"/>
    </row>
    <row r="236">
      <c r="A236" s="10">
        <f>IF($E236="","",INDEX('Input Transaksi'!$A:$A,$E236))</f>
        <v/>
      </c>
      <c r="B236" s="5">
        <f>IF($E236="","",INDEX('Input Transaksi'!$D:$D,$E236))</f>
        <v/>
      </c>
      <c r="C236">
        <f>IF($E236="","",INDEX('Input Transaksi'!$E:$E,$E236))</f>
        <v/>
      </c>
      <c r="D236" s="5">
        <f>IF($E236="","",INDEX('Input Transaksi'!$F:$F,$E236))</f>
        <v/>
      </c>
      <c r="E236">
        <f>IFERROR(AGGREGATE(15,6,ROW('Input Transaksi'!$B$5:$B$5000)/('Input Transaksi'!$B$5:$B$5000="DIY"),ROWS($E$5:E236)),"")</f>
        <v/>
      </c>
      <c r="F236" s="5" t="n"/>
    </row>
    <row r="237">
      <c r="A237" s="10">
        <f>IF($E237="","",INDEX('Input Transaksi'!$A:$A,$E237))</f>
        <v/>
      </c>
      <c r="B237" s="5">
        <f>IF($E237="","",INDEX('Input Transaksi'!$D:$D,$E237))</f>
        <v/>
      </c>
      <c r="C237">
        <f>IF($E237="","",INDEX('Input Transaksi'!$E:$E,$E237))</f>
        <v/>
      </c>
      <c r="D237" s="5">
        <f>IF($E237="","",INDEX('Input Transaksi'!$F:$F,$E237))</f>
        <v/>
      </c>
      <c r="E237">
        <f>IFERROR(AGGREGATE(15,6,ROW('Input Transaksi'!$B$5:$B$5000)/('Input Transaksi'!$B$5:$B$5000="DIY"),ROWS($E$5:E237)),"")</f>
        <v/>
      </c>
      <c r="F237" s="5" t="n"/>
    </row>
    <row r="238">
      <c r="A238" s="10">
        <f>IF($E238="","",INDEX('Input Transaksi'!$A:$A,$E238))</f>
        <v/>
      </c>
      <c r="B238" s="5">
        <f>IF($E238="","",INDEX('Input Transaksi'!$D:$D,$E238))</f>
        <v/>
      </c>
      <c r="C238">
        <f>IF($E238="","",INDEX('Input Transaksi'!$E:$E,$E238))</f>
        <v/>
      </c>
      <c r="D238" s="5">
        <f>IF($E238="","",INDEX('Input Transaksi'!$F:$F,$E238))</f>
        <v/>
      </c>
      <c r="E238">
        <f>IFERROR(AGGREGATE(15,6,ROW('Input Transaksi'!$B$5:$B$5000)/('Input Transaksi'!$B$5:$B$5000="DIY"),ROWS($E$5:E238)),"")</f>
        <v/>
      </c>
      <c r="F238" s="5" t="n"/>
    </row>
    <row r="239">
      <c r="A239" s="10">
        <f>IF($E239="","",INDEX('Input Transaksi'!$A:$A,$E239))</f>
        <v/>
      </c>
      <c r="B239" s="5">
        <f>IF($E239="","",INDEX('Input Transaksi'!$D:$D,$E239))</f>
        <v/>
      </c>
      <c r="C239">
        <f>IF($E239="","",INDEX('Input Transaksi'!$E:$E,$E239))</f>
        <v/>
      </c>
      <c r="D239" s="5">
        <f>IF($E239="","",INDEX('Input Transaksi'!$F:$F,$E239))</f>
        <v/>
      </c>
      <c r="E239">
        <f>IFERROR(AGGREGATE(15,6,ROW('Input Transaksi'!$B$5:$B$5000)/('Input Transaksi'!$B$5:$B$5000="DIY"),ROWS($E$5:E239)),"")</f>
        <v/>
      </c>
      <c r="F239" s="5" t="n"/>
    </row>
    <row r="240">
      <c r="A240" s="10">
        <f>IF($E240="","",INDEX('Input Transaksi'!$A:$A,$E240))</f>
        <v/>
      </c>
      <c r="B240" s="5">
        <f>IF($E240="","",INDEX('Input Transaksi'!$D:$D,$E240))</f>
        <v/>
      </c>
      <c r="C240">
        <f>IF($E240="","",INDEX('Input Transaksi'!$E:$E,$E240))</f>
        <v/>
      </c>
      <c r="D240" s="5">
        <f>IF($E240="","",INDEX('Input Transaksi'!$F:$F,$E240))</f>
        <v/>
      </c>
      <c r="E240">
        <f>IFERROR(AGGREGATE(15,6,ROW('Input Transaksi'!$B$5:$B$5000)/('Input Transaksi'!$B$5:$B$5000="DIY"),ROWS($E$5:E240)),"")</f>
        <v/>
      </c>
      <c r="F240" s="5" t="n"/>
    </row>
    <row r="241">
      <c r="A241" s="10">
        <f>IF($E241="","",INDEX('Input Transaksi'!$A:$A,$E241))</f>
        <v/>
      </c>
      <c r="B241" s="5">
        <f>IF($E241="","",INDEX('Input Transaksi'!$D:$D,$E241))</f>
        <v/>
      </c>
      <c r="C241">
        <f>IF($E241="","",INDEX('Input Transaksi'!$E:$E,$E241))</f>
        <v/>
      </c>
      <c r="D241" s="5">
        <f>IF($E241="","",INDEX('Input Transaksi'!$F:$F,$E241))</f>
        <v/>
      </c>
      <c r="E241">
        <f>IFERROR(AGGREGATE(15,6,ROW('Input Transaksi'!$B$5:$B$5000)/('Input Transaksi'!$B$5:$B$5000="DIY"),ROWS($E$5:E241)),"")</f>
        <v/>
      </c>
      <c r="F241" s="5" t="n"/>
    </row>
    <row r="242">
      <c r="A242" s="10">
        <f>IF($E242="","",INDEX('Input Transaksi'!$A:$A,$E242))</f>
        <v/>
      </c>
      <c r="B242" s="5">
        <f>IF($E242="","",INDEX('Input Transaksi'!$D:$D,$E242))</f>
        <v/>
      </c>
      <c r="C242">
        <f>IF($E242="","",INDEX('Input Transaksi'!$E:$E,$E242))</f>
        <v/>
      </c>
      <c r="D242" s="5">
        <f>IF($E242="","",INDEX('Input Transaksi'!$F:$F,$E242))</f>
        <v/>
      </c>
      <c r="E242">
        <f>IFERROR(AGGREGATE(15,6,ROW('Input Transaksi'!$B$5:$B$5000)/('Input Transaksi'!$B$5:$B$5000="DIY"),ROWS($E$5:E242)),"")</f>
        <v/>
      </c>
      <c r="F242" s="5" t="n"/>
    </row>
    <row r="243">
      <c r="A243" s="10">
        <f>IF($E243="","",INDEX('Input Transaksi'!$A:$A,$E243))</f>
        <v/>
      </c>
      <c r="B243" s="5">
        <f>IF($E243="","",INDEX('Input Transaksi'!$D:$D,$E243))</f>
        <v/>
      </c>
      <c r="C243">
        <f>IF($E243="","",INDEX('Input Transaksi'!$E:$E,$E243))</f>
        <v/>
      </c>
      <c r="D243" s="5">
        <f>IF($E243="","",INDEX('Input Transaksi'!$F:$F,$E243))</f>
        <v/>
      </c>
      <c r="E243">
        <f>IFERROR(AGGREGATE(15,6,ROW('Input Transaksi'!$B$5:$B$5000)/('Input Transaksi'!$B$5:$B$5000="DIY"),ROWS($E$5:E243)),"")</f>
        <v/>
      </c>
      <c r="F243" s="5" t="n"/>
    </row>
    <row r="244">
      <c r="A244" s="10">
        <f>IF($E244="","",INDEX('Input Transaksi'!$A:$A,$E244))</f>
        <v/>
      </c>
      <c r="B244" s="5">
        <f>IF($E244="","",INDEX('Input Transaksi'!$D:$D,$E244))</f>
        <v/>
      </c>
      <c r="C244">
        <f>IF($E244="","",INDEX('Input Transaksi'!$E:$E,$E244))</f>
        <v/>
      </c>
      <c r="D244" s="5">
        <f>IF($E244="","",INDEX('Input Transaksi'!$F:$F,$E244))</f>
        <v/>
      </c>
      <c r="E244">
        <f>IFERROR(AGGREGATE(15,6,ROW('Input Transaksi'!$B$5:$B$5000)/('Input Transaksi'!$B$5:$B$5000="DIY"),ROWS($E$5:E244)),"")</f>
        <v/>
      </c>
      <c r="F244" s="5" t="n"/>
    </row>
    <row r="245">
      <c r="A245" s="10">
        <f>IF($E245="","",INDEX('Input Transaksi'!$A:$A,$E245))</f>
        <v/>
      </c>
      <c r="B245" s="5">
        <f>IF($E245="","",INDEX('Input Transaksi'!$D:$D,$E245))</f>
        <v/>
      </c>
      <c r="C245">
        <f>IF($E245="","",INDEX('Input Transaksi'!$E:$E,$E245))</f>
        <v/>
      </c>
      <c r="D245" s="5">
        <f>IF($E245="","",INDEX('Input Transaksi'!$F:$F,$E245))</f>
        <v/>
      </c>
      <c r="E245">
        <f>IFERROR(AGGREGATE(15,6,ROW('Input Transaksi'!$B$5:$B$5000)/('Input Transaksi'!$B$5:$B$5000="DIY"),ROWS($E$5:E245)),"")</f>
        <v/>
      </c>
      <c r="F245" s="5" t="n"/>
    </row>
    <row r="246">
      <c r="A246" s="10">
        <f>IF($E246="","",INDEX('Input Transaksi'!$A:$A,$E246))</f>
        <v/>
      </c>
      <c r="B246" s="5">
        <f>IF($E246="","",INDEX('Input Transaksi'!$D:$D,$E246))</f>
        <v/>
      </c>
      <c r="C246">
        <f>IF($E246="","",INDEX('Input Transaksi'!$E:$E,$E246))</f>
        <v/>
      </c>
      <c r="D246" s="5">
        <f>IF($E246="","",INDEX('Input Transaksi'!$F:$F,$E246))</f>
        <v/>
      </c>
      <c r="E246">
        <f>IFERROR(AGGREGATE(15,6,ROW('Input Transaksi'!$B$5:$B$5000)/('Input Transaksi'!$B$5:$B$5000="DIY"),ROWS($E$5:E246)),"")</f>
        <v/>
      </c>
      <c r="F246" s="5" t="n"/>
    </row>
    <row r="247">
      <c r="A247" s="10">
        <f>IF($E247="","",INDEX('Input Transaksi'!$A:$A,$E247))</f>
        <v/>
      </c>
      <c r="B247" s="5">
        <f>IF($E247="","",INDEX('Input Transaksi'!$D:$D,$E247))</f>
        <v/>
      </c>
      <c r="C247">
        <f>IF($E247="","",INDEX('Input Transaksi'!$E:$E,$E247))</f>
        <v/>
      </c>
      <c r="D247" s="5">
        <f>IF($E247="","",INDEX('Input Transaksi'!$F:$F,$E247))</f>
        <v/>
      </c>
      <c r="E247">
        <f>IFERROR(AGGREGATE(15,6,ROW('Input Transaksi'!$B$5:$B$5000)/('Input Transaksi'!$B$5:$B$5000="DIY"),ROWS($E$5:E247)),"")</f>
        <v/>
      </c>
      <c r="F247" s="5" t="n"/>
    </row>
    <row r="248">
      <c r="A248" s="10">
        <f>IF($E248="","",INDEX('Input Transaksi'!$A:$A,$E248))</f>
        <v/>
      </c>
      <c r="B248" s="5">
        <f>IF($E248="","",INDEX('Input Transaksi'!$D:$D,$E248))</f>
        <v/>
      </c>
      <c r="C248">
        <f>IF($E248="","",INDEX('Input Transaksi'!$E:$E,$E248))</f>
        <v/>
      </c>
      <c r="D248" s="5">
        <f>IF($E248="","",INDEX('Input Transaksi'!$F:$F,$E248))</f>
        <v/>
      </c>
      <c r="E248">
        <f>IFERROR(AGGREGATE(15,6,ROW('Input Transaksi'!$B$5:$B$5000)/('Input Transaksi'!$B$5:$B$5000="DIY"),ROWS($E$5:E248)),"")</f>
        <v/>
      </c>
      <c r="F248" s="5" t="n"/>
    </row>
    <row r="249">
      <c r="A249" s="10">
        <f>IF($E249="","",INDEX('Input Transaksi'!$A:$A,$E249))</f>
        <v/>
      </c>
      <c r="B249" s="5">
        <f>IF($E249="","",INDEX('Input Transaksi'!$D:$D,$E249))</f>
        <v/>
      </c>
      <c r="C249">
        <f>IF($E249="","",INDEX('Input Transaksi'!$E:$E,$E249))</f>
        <v/>
      </c>
      <c r="D249" s="5">
        <f>IF($E249="","",INDEX('Input Transaksi'!$F:$F,$E249))</f>
        <v/>
      </c>
      <c r="E249">
        <f>IFERROR(AGGREGATE(15,6,ROW('Input Transaksi'!$B$5:$B$5000)/('Input Transaksi'!$B$5:$B$5000="DIY"),ROWS($E$5:E249)),"")</f>
        <v/>
      </c>
      <c r="F249" s="5" t="n"/>
    </row>
    <row r="250">
      <c r="A250" s="10">
        <f>IF($E250="","",INDEX('Input Transaksi'!$A:$A,$E250))</f>
        <v/>
      </c>
      <c r="B250" s="5">
        <f>IF($E250="","",INDEX('Input Transaksi'!$D:$D,$E250))</f>
        <v/>
      </c>
      <c r="C250">
        <f>IF($E250="","",INDEX('Input Transaksi'!$E:$E,$E250))</f>
        <v/>
      </c>
      <c r="D250" s="5">
        <f>IF($E250="","",INDEX('Input Transaksi'!$F:$F,$E250))</f>
        <v/>
      </c>
      <c r="E250">
        <f>IFERROR(AGGREGATE(15,6,ROW('Input Transaksi'!$B$5:$B$5000)/('Input Transaksi'!$B$5:$B$5000="DIY"),ROWS($E$5:E250)),"")</f>
        <v/>
      </c>
      <c r="F250" s="5" t="n"/>
    </row>
    <row r="251">
      <c r="A251" s="10">
        <f>IF($E251="","",INDEX('Input Transaksi'!$A:$A,$E251))</f>
        <v/>
      </c>
      <c r="B251" s="5">
        <f>IF($E251="","",INDEX('Input Transaksi'!$D:$D,$E251))</f>
        <v/>
      </c>
      <c r="C251">
        <f>IF($E251="","",INDEX('Input Transaksi'!$E:$E,$E251))</f>
        <v/>
      </c>
      <c r="D251" s="5">
        <f>IF($E251="","",INDEX('Input Transaksi'!$F:$F,$E251))</f>
        <v/>
      </c>
      <c r="E251">
        <f>IFERROR(AGGREGATE(15,6,ROW('Input Transaksi'!$B$5:$B$5000)/('Input Transaksi'!$B$5:$B$5000="DIY"),ROWS($E$5:E251)),"")</f>
        <v/>
      </c>
      <c r="F251" s="5" t="n"/>
    </row>
    <row r="252">
      <c r="A252" s="10">
        <f>IF($E252="","",INDEX('Input Transaksi'!$A:$A,$E252))</f>
        <v/>
      </c>
      <c r="B252" s="5">
        <f>IF($E252="","",INDEX('Input Transaksi'!$D:$D,$E252))</f>
        <v/>
      </c>
      <c r="C252">
        <f>IF($E252="","",INDEX('Input Transaksi'!$E:$E,$E252))</f>
        <v/>
      </c>
      <c r="D252" s="5">
        <f>IF($E252="","",INDEX('Input Transaksi'!$F:$F,$E252))</f>
        <v/>
      </c>
      <c r="E252">
        <f>IFERROR(AGGREGATE(15,6,ROW('Input Transaksi'!$B$5:$B$5000)/('Input Transaksi'!$B$5:$B$5000="DIY"),ROWS($E$5:E252)),"")</f>
        <v/>
      </c>
      <c r="F252" s="5" t="n"/>
    </row>
    <row r="253">
      <c r="A253" s="10">
        <f>IF($E253="","",INDEX('Input Transaksi'!$A:$A,$E253))</f>
        <v/>
      </c>
      <c r="B253" s="5">
        <f>IF($E253="","",INDEX('Input Transaksi'!$D:$D,$E253))</f>
        <v/>
      </c>
      <c r="C253">
        <f>IF($E253="","",INDEX('Input Transaksi'!$E:$E,$E253))</f>
        <v/>
      </c>
      <c r="D253" s="5">
        <f>IF($E253="","",INDEX('Input Transaksi'!$F:$F,$E253))</f>
        <v/>
      </c>
      <c r="E253">
        <f>IFERROR(AGGREGATE(15,6,ROW('Input Transaksi'!$B$5:$B$5000)/('Input Transaksi'!$B$5:$B$5000="DIY"),ROWS($E$5:E253)),"")</f>
        <v/>
      </c>
      <c r="F253" s="5" t="n"/>
    </row>
    <row r="254">
      <c r="A254" s="10">
        <f>IF($E254="","",INDEX('Input Transaksi'!$A:$A,$E254))</f>
        <v/>
      </c>
      <c r="B254" s="5">
        <f>IF($E254="","",INDEX('Input Transaksi'!$D:$D,$E254))</f>
        <v/>
      </c>
      <c r="C254">
        <f>IF($E254="","",INDEX('Input Transaksi'!$E:$E,$E254))</f>
        <v/>
      </c>
      <c r="D254" s="5">
        <f>IF($E254="","",INDEX('Input Transaksi'!$F:$F,$E254))</f>
        <v/>
      </c>
      <c r="E254">
        <f>IFERROR(AGGREGATE(15,6,ROW('Input Transaksi'!$B$5:$B$5000)/('Input Transaksi'!$B$5:$B$5000="DIY"),ROWS($E$5:E254)),"")</f>
        <v/>
      </c>
      <c r="F254" s="5" t="n"/>
    </row>
    <row r="255">
      <c r="A255" s="10">
        <f>IF($E255="","",INDEX('Input Transaksi'!$A:$A,$E255))</f>
        <v/>
      </c>
      <c r="B255" s="5">
        <f>IF($E255="","",INDEX('Input Transaksi'!$D:$D,$E255))</f>
        <v/>
      </c>
      <c r="C255">
        <f>IF($E255="","",INDEX('Input Transaksi'!$E:$E,$E255))</f>
        <v/>
      </c>
      <c r="D255" s="5">
        <f>IF($E255="","",INDEX('Input Transaksi'!$F:$F,$E255))</f>
        <v/>
      </c>
      <c r="E255">
        <f>IFERROR(AGGREGATE(15,6,ROW('Input Transaksi'!$B$5:$B$5000)/('Input Transaksi'!$B$5:$B$5000="DIY"),ROWS($E$5:E255)),"")</f>
        <v/>
      </c>
      <c r="F255" s="5" t="n"/>
    </row>
    <row r="256">
      <c r="A256" s="10">
        <f>IF($E256="","",INDEX('Input Transaksi'!$A:$A,$E256))</f>
        <v/>
      </c>
      <c r="B256" s="5">
        <f>IF($E256="","",INDEX('Input Transaksi'!$D:$D,$E256))</f>
        <v/>
      </c>
      <c r="C256">
        <f>IF($E256="","",INDEX('Input Transaksi'!$E:$E,$E256))</f>
        <v/>
      </c>
      <c r="D256" s="5">
        <f>IF($E256="","",INDEX('Input Transaksi'!$F:$F,$E256))</f>
        <v/>
      </c>
      <c r="E256">
        <f>IFERROR(AGGREGATE(15,6,ROW('Input Transaksi'!$B$5:$B$5000)/('Input Transaksi'!$B$5:$B$5000="DIY"),ROWS($E$5:E256)),"")</f>
        <v/>
      </c>
      <c r="F256" s="5" t="n"/>
    </row>
    <row r="257">
      <c r="A257" s="10">
        <f>IF($E257="","",INDEX('Input Transaksi'!$A:$A,$E257))</f>
        <v/>
      </c>
      <c r="B257" s="5">
        <f>IF($E257="","",INDEX('Input Transaksi'!$D:$D,$E257))</f>
        <v/>
      </c>
      <c r="C257">
        <f>IF($E257="","",INDEX('Input Transaksi'!$E:$E,$E257))</f>
        <v/>
      </c>
      <c r="D257" s="5">
        <f>IF($E257="","",INDEX('Input Transaksi'!$F:$F,$E257))</f>
        <v/>
      </c>
      <c r="E257">
        <f>IFERROR(AGGREGATE(15,6,ROW('Input Transaksi'!$B$5:$B$5000)/('Input Transaksi'!$B$5:$B$5000="DIY"),ROWS($E$5:E257)),"")</f>
        <v/>
      </c>
      <c r="F257" s="5" t="n"/>
    </row>
    <row r="258">
      <c r="A258" s="10">
        <f>IF($E258="","",INDEX('Input Transaksi'!$A:$A,$E258))</f>
        <v/>
      </c>
      <c r="B258" s="5">
        <f>IF($E258="","",INDEX('Input Transaksi'!$D:$D,$E258))</f>
        <v/>
      </c>
      <c r="C258">
        <f>IF($E258="","",INDEX('Input Transaksi'!$E:$E,$E258))</f>
        <v/>
      </c>
      <c r="D258" s="5">
        <f>IF($E258="","",INDEX('Input Transaksi'!$F:$F,$E258))</f>
        <v/>
      </c>
      <c r="E258">
        <f>IFERROR(AGGREGATE(15,6,ROW('Input Transaksi'!$B$5:$B$5000)/('Input Transaksi'!$B$5:$B$5000="DIY"),ROWS($E$5:E258)),"")</f>
        <v/>
      </c>
      <c r="F258" s="5" t="n"/>
    </row>
    <row r="259">
      <c r="A259" s="10">
        <f>IF($E259="","",INDEX('Input Transaksi'!$A:$A,$E259))</f>
        <v/>
      </c>
      <c r="B259" s="5">
        <f>IF($E259="","",INDEX('Input Transaksi'!$D:$D,$E259))</f>
        <v/>
      </c>
      <c r="C259">
        <f>IF($E259="","",INDEX('Input Transaksi'!$E:$E,$E259))</f>
        <v/>
      </c>
      <c r="D259" s="5">
        <f>IF($E259="","",INDEX('Input Transaksi'!$F:$F,$E259))</f>
        <v/>
      </c>
      <c r="E259">
        <f>IFERROR(AGGREGATE(15,6,ROW('Input Transaksi'!$B$5:$B$5000)/('Input Transaksi'!$B$5:$B$5000="DIY"),ROWS($E$5:E259)),"")</f>
        <v/>
      </c>
      <c r="F259" s="5" t="n"/>
    </row>
    <row r="260">
      <c r="A260" s="10">
        <f>IF($E260="","",INDEX('Input Transaksi'!$A:$A,$E260))</f>
        <v/>
      </c>
      <c r="B260" s="5">
        <f>IF($E260="","",INDEX('Input Transaksi'!$D:$D,$E260))</f>
        <v/>
      </c>
      <c r="C260">
        <f>IF($E260="","",INDEX('Input Transaksi'!$E:$E,$E260))</f>
        <v/>
      </c>
      <c r="D260" s="5">
        <f>IF($E260="","",INDEX('Input Transaksi'!$F:$F,$E260))</f>
        <v/>
      </c>
      <c r="E260">
        <f>IFERROR(AGGREGATE(15,6,ROW('Input Transaksi'!$B$5:$B$5000)/('Input Transaksi'!$B$5:$B$5000="DIY"),ROWS($E$5:E260)),"")</f>
        <v/>
      </c>
      <c r="F260" s="5" t="n"/>
    </row>
    <row r="261">
      <c r="A261" s="10">
        <f>IF($E261="","",INDEX('Input Transaksi'!$A:$A,$E261))</f>
        <v/>
      </c>
      <c r="B261" s="5">
        <f>IF($E261="","",INDEX('Input Transaksi'!$D:$D,$E261))</f>
        <v/>
      </c>
      <c r="C261">
        <f>IF($E261="","",INDEX('Input Transaksi'!$E:$E,$E261))</f>
        <v/>
      </c>
      <c r="D261" s="5">
        <f>IF($E261="","",INDEX('Input Transaksi'!$F:$F,$E261))</f>
        <v/>
      </c>
      <c r="E261">
        <f>IFERROR(AGGREGATE(15,6,ROW('Input Transaksi'!$B$5:$B$5000)/('Input Transaksi'!$B$5:$B$5000="DIY"),ROWS($E$5:E261)),"")</f>
        <v/>
      </c>
      <c r="F261" s="5" t="n"/>
    </row>
    <row r="262">
      <c r="A262" s="10">
        <f>IF($E262="","",INDEX('Input Transaksi'!$A:$A,$E262))</f>
        <v/>
      </c>
      <c r="B262" s="5">
        <f>IF($E262="","",INDEX('Input Transaksi'!$D:$D,$E262))</f>
        <v/>
      </c>
      <c r="C262">
        <f>IF($E262="","",INDEX('Input Transaksi'!$E:$E,$E262))</f>
        <v/>
      </c>
      <c r="D262" s="5">
        <f>IF($E262="","",INDEX('Input Transaksi'!$F:$F,$E262))</f>
        <v/>
      </c>
      <c r="E262">
        <f>IFERROR(AGGREGATE(15,6,ROW('Input Transaksi'!$B$5:$B$5000)/('Input Transaksi'!$B$5:$B$5000="DIY"),ROWS($E$5:E262)),"")</f>
        <v/>
      </c>
      <c r="F262" s="5" t="n"/>
    </row>
    <row r="263">
      <c r="A263" s="10">
        <f>IF($E263="","",INDEX('Input Transaksi'!$A:$A,$E263))</f>
        <v/>
      </c>
      <c r="B263" s="5">
        <f>IF($E263="","",INDEX('Input Transaksi'!$D:$D,$E263))</f>
        <v/>
      </c>
      <c r="C263">
        <f>IF($E263="","",INDEX('Input Transaksi'!$E:$E,$E263))</f>
        <v/>
      </c>
      <c r="D263" s="5">
        <f>IF($E263="","",INDEX('Input Transaksi'!$F:$F,$E263))</f>
        <v/>
      </c>
      <c r="E263">
        <f>IFERROR(AGGREGATE(15,6,ROW('Input Transaksi'!$B$5:$B$5000)/('Input Transaksi'!$B$5:$B$5000="DIY"),ROWS($E$5:E263)),"")</f>
        <v/>
      </c>
      <c r="F263" s="5" t="n"/>
    </row>
    <row r="264">
      <c r="A264" s="10">
        <f>IF($E264="","",INDEX('Input Transaksi'!$A:$A,$E264))</f>
        <v/>
      </c>
      <c r="B264" s="5">
        <f>IF($E264="","",INDEX('Input Transaksi'!$D:$D,$E264))</f>
        <v/>
      </c>
      <c r="C264">
        <f>IF($E264="","",INDEX('Input Transaksi'!$E:$E,$E264))</f>
        <v/>
      </c>
      <c r="D264" s="5">
        <f>IF($E264="","",INDEX('Input Transaksi'!$F:$F,$E264))</f>
        <v/>
      </c>
      <c r="E264">
        <f>IFERROR(AGGREGATE(15,6,ROW('Input Transaksi'!$B$5:$B$5000)/('Input Transaksi'!$B$5:$B$5000="DIY"),ROWS($E$5:E264)),"")</f>
        <v/>
      </c>
      <c r="F264" s="5" t="n"/>
    </row>
    <row r="265">
      <c r="A265" s="10">
        <f>IF($E265="","",INDEX('Input Transaksi'!$A:$A,$E265))</f>
        <v/>
      </c>
      <c r="B265" s="5">
        <f>IF($E265="","",INDEX('Input Transaksi'!$D:$D,$E265))</f>
        <v/>
      </c>
      <c r="C265">
        <f>IF($E265="","",INDEX('Input Transaksi'!$E:$E,$E265))</f>
        <v/>
      </c>
      <c r="D265" s="5">
        <f>IF($E265="","",INDEX('Input Transaksi'!$F:$F,$E265))</f>
        <v/>
      </c>
      <c r="E265">
        <f>IFERROR(AGGREGATE(15,6,ROW('Input Transaksi'!$B$5:$B$5000)/('Input Transaksi'!$B$5:$B$5000="DIY"),ROWS($E$5:E265)),"")</f>
        <v/>
      </c>
      <c r="F265" s="5" t="n"/>
    </row>
    <row r="266">
      <c r="A266" s="10">
        <f>IF($E266="","",INDEX('Input Transaksi'!$A:$A,$E266))</f>
        <v/>
      </c>
      <c r="B266" s="5">
        <f>IF($E266="","",INDEX('Input Transaksi'!$D:$D,$E266))</f>
        <v/>
      </c>
      <c r="C266">
        <f>IF($E266="","",INDEX('Input Transaksi'!$E:$E,$E266))</f>
        <v/>
      </c>
      <c r="D266" s="5">
        <f>IF($E266="","",INDEX('Input Transaksi'!$F:$F,$E266))</f>
        <v/>
      </c>
      <c r="E266">
        <f>IFERROR(AGGREGATE(15,6,ROW('Input Transaksi'!$B$5:$B$5000)/('Input Transaksi'!$B$5:$B$5000="DIY"),ROWS($E$5:E266)),"")</f>
        <v/>
      </c>
      <c r="F266" s="5" t="n"/>
    </row>
    <row r="267">
      <c r="A267" s="10">
        <f>IF($E267="","",INDEX('Input Transaksi'!$A:$A,$E267))</f>
        <v/>
      </c>
      <c r="B267" s="5">
        <f>IF($E267="","",INDEX('Input Transaksi'!$D:$D,$E267))</f>
        <v/>
      </c>
      <c r="C267">
        <f>IF($E267="","",INDEX('Input Transaksi'!$E:$E,$E267))</f>
        <v/>
      </c>
      <c r="D267" s="5">
        <f>IF($E267="","",INDEX('Input Transaksi'!$F:$F,$E267))</f>
        <v/>
      </c>
      <c r="E267">
        <f>IFERROR(AGGREGATE(15,6,ROW('Input Transaksi'!$B$5:$B$5000)/('Input Transaksi'!$B$5:$B$5000="DIY"),ROWS($E$5:E267)),"")</f>
        <v/>
      </c>
      <c r="F267" s="5" t="n"/>
    </row>
    <row r="268">
      <c r="A268" s="10">
        <f>IF($E268="","",INDEX('Input Transaksi'!$A:$A,$E268))</f>
        <v/>
      </c>
      <c r="B268" s="5">
        <f>IF($E268="","",INDEX('Input Transaksi'!$D:$D,$E268))</f>
        <v/>
      </c>
      <c r="C268">
        <f>IF($E268="","",INDEX('Input Transaksi'!$E:$E,$E268))</f>
        <v/>
      </c>
      <c r="D268" s="5">
        <f>IF($E268="","",INDEX('Input Transaksi'!$F:$F,$E268))</f>
        <v/>
      </c>
      <c r="E268">
        <f>IFERROR(AGGREGATE(15,6,ROW('Input Transaksi'!$B$5:$B$5000)/('Input Transaksi'!$B$5:$B$5000="DIY"),ROWS($E$5:E268)),"")</f>
        <v/>
      </c>
      <c r="F268" s="5" t="n"/>
    </row>
    <row r="269">
      <c r="A269" s="10">
        <f>IF($E269="","",INDEX('Input Transaksi'!$A:$A,$E269))</f>
        <v/>
      </c>
      <c r="B269" s="5">
        <f>IF($E269="","",INDEX('Input Transaksi'!$D:$D,$E269))</f>
        <v/>
      </c>
      <c r="C269">
        <f>IF($E269="","",INDEX('Input Transaksi'!$E:$E,$E269))</f>
        <v/>
      </c>
      <c r="D269" s="5">
        <f>IF($E269="","",INDEX('Input Transaksi'!$F:$F,$E269))</f>
        <v/>
      </c>
      <c r="E269">
        <f>IFERROR(AGGREGATE(15,6,ROW('Input Transaksi'!$B$5:$B$5000)/('Input Transaksi'!$B$5:$B$5000="DIY"),ROWS($E$5:E269)),"")</f>
        <v/>
      </c>
      <c r="F269" s="5" t="n"/>
    </row>
    <row r="270">
      <c r="A270" s="10">
        <f>IF($E270="","",INDEX('Input Transaksi'!$A:$A,$E270))</f>
        <v/>
      </c>
      <c r="B270" s="5">
        <f>IF($E270="","",INDEX('Input Transaksi'!$D:$D,$E270))</f>
        <v/>
      </c>
      <c r="C270">
        <f>IF($E270="","",INDEX('Input Transaksi'!$E:$E,$E270))</f>
        <v/>
      </c>
      <c r="D270" s="5">
        <f>IF($E270="","",INDEX('Input Transaksi'!$F:$F,$E270))</f>
        <v/>
      </c>
      <c r="E270">
        <f>IFERROR(AGGREGATE(15,6,ROW('Input Transaksi'!$B$5:$B$5000)/('Input Transaksi'!$B$5:$B$5000="DIY"),ROWS($E$5:E270)),"")</f>
        <v/>
      </c>
      <c r="F270" s="5" t="n"/>
    </row>
    <row r="271">
      <c r="A271" s="10">
        <f>IF($E271="","",INDEX('Input Transaksi'!$A:$A,$E271))</f>
        <v/>
      </c>
      <c r="B271" s="5">
        <f>IF($E271="","",INDEX('Input Transaksi'!$D:$D,$E271))</f>
        <v/>
      </c>
      <c r="C271">
        <f>IF($E271="","",INDEX('Input Transaksi'!$E:$E,$E271))</f>
        <v/>
      </c>
      <c r="D271" s="5">
        <f>IF($E271="","",INDEX('Input Transaksi'!$F:$F,$E271))</f>
        <v/>
      </c>
      <c r="E271">
        <f>IFERROR(AGGREGATE(15,6,ROW('Input Transaksi'!$B$5:$B$5000)/('Input Transaksi'!$B$5:$B$5000="DIY"),ROWS($E$5:E271)),"")</f>
        <v/>
      </c>
      <c r="F271" s="5" t="n"/>
    </row>
    <row r="272">
      <c r="A272" s="10">
        <f>IF($E272="","",INDEX('Input Transaksi'!$A:$A,$E272))</f>
        <v/>
      </c>
      <c r="B272" s="5">
        <f>IF($E272="","",INDEX('Input Transaksi'!$D:$D,$E272))</f>
        <v/>
      </c>
      <c r="C272">
        <f>IF($E272="","",INDEX('Input Transaksi'!$E:$E,$E272))</f>
        <v/>
      </c>
      <c r="D272" s="5">
        <f>IF($E272="","",INDEX('Input Transaksi'!$F:$F,$E272))</f>
        <v/>
      </c>
      <c r="E272">
        <f>IFERROR(AGGREGATE(15,6,ROW('Input Transaksi'!$B$5:$B$5000)/('Input Transaksi'!$B$5:$B$5000="DIY"),ROWS($E$5:E272)),"")</f>
        <v/>
      </c>
      <c r="F272" s="5" t="n"/>
    </row>
    <row r="273">
      <c r="A273" s="10">
        <f>IF($E273="","",INDEX('Input Transaksi'!$A:$A,$E273))</f>
        <v/>
      </c>
      <c r="B273" s="5">
        <f>IF($E273="","",INDEX('Input Transaksi'!$D:$D,$E273))</f>
        <v/>
      </c>
      <c r="C273">
        <f>IF($E273="","",INDEX('Input Transaksi'!$E:$E,$E273))</f>
        <v/>
      </c>
      <c r="D273" s="5">
        <f>IF($E273="","",INDEX('Input Transaksi'!$F:$F,$E273))</f>
        <v/>
      </c>
      <c r="E273">
        <f>IFERROR(AGGREGATE(15,6,ROW('Input Transaksi'!$B$5:$B$5000)/('Input Transaksi'!$B$5:$B$5000="DIY"),ROWS($E$5:E273)),"")</f>
        <v/>
      </c>
      <c r="F273" s="5" t="n"/>
    </row>
    <row r="274">
      <c r="A274" s="10">
        <f>IF($E274="","",INDEX('Input Transaksi'!$A:$A,$E274))</f>
        <v/>
      </c>
      <c r="B274" s="5">
        <f>IF($E274="","",INDEX('Input Transaksi'!$D:$D,$E274))</f>
        <v/>
      </c>
      <c r="C274">
        <f>IF($E274="","",INDEX('Input Transaksi'!$E:$E,$E274))</f>
        <v/>
      </c>
      <c r="D274" s="5">
        <f>IF($E274="","",INDEX('Input Transaksi'!$F:$F,$E274))</f>
        <v/>
      </c>
      <c r="E274">
        <f>IFERROR(AGGREGATE(15,6,ROW('Input Transaksi'!$B$5:$B$5000)/('Input Transaksi'!$B$5:$B$5000="DIY"),ROWS($E$5:E274)),"")</f>
        <v/>
      </c>
      <c r="F274" s="5" t="n"/>
    </row>
    <row r="275">
      <c r="A275" s="10">
        <f>IF($E275="","",INDEX('Input Transaksi'!$A:$A,$E275))</f>
        <v/>
      </c>
      <c r="B275" s="5">
        <f>IF($E275="","",INDEX('Input Transaksi'!$D:$D,$E275))</f>
        <v/>
      </c>
      <c r="C275">
        <f>IF($E275="","",INDEX('Input Transaksi'!$E:$E,$E275))</f>
        <v/>
      </c>
      <c r="D275" s="5">
        <f>IF($E275="","",INDEX('Input Transaksi'!$F:$F,$E275))</f>
        <v/>
      </c>
      <c r="E275">
        <f>IFERROR(AGGREGATE(15,6,ROW('Input Transaksi'!$B$5:$B$5000)/('Input Transaksi'!$B$5:$B$5000="DIY"),ROWS($E$5:E275)),"")</f>
        <v/>
      </c>
      <c r="F275" s="5" t="n"/>
    </row>
    <row r="276">
      <c r="A276" s="10">
        <f>IF($E276="","",INDEX('Input Transaksi'!$A:$A,$E276))</f>
        <v/>
      </c>
      <c r="B276" s="5">
        <f>IF($E276="","",INDEX('Input Transaksi'!$D:$D,$E276))</f>
        <v/>
      </c>
      <c r="C276">
        <f>IF($E276="","",INDEX('Input Transaksi'!$E:$E,$E276))</f>
        <v/>
      </c>
      <c r="D276" s="5">
        <f>IF($E276="","",INDEX('Input Transaksi'!$F:$F,$E276))</f>
        <v/>
      </c>
      <c r="E276">
        <f>IFERROR(AGGREGATE(15,6,ROW('Input Transaksi'!$B$5:$B$5000)/('Input Transaksi'!$B$5:$B$5000="DIY"),ROWS($E$5:E276)),"")</f>
        <v/>
      </c>
      <c r="F276" s="5" t="n"/>
    </row>
    <row r="277">
      <c r="A277" s="10">
        <f>IF($E277="","",INDEX('Input Transaksi'!$A:$A,$E277))</f>
        <v/>
      </c>
      <c r="B277" s="5">
        <f>IF($E277="","",INDEX('Input Transaksi'!$D:$D,$E277))</f>
        <v/>
      </c>
      <c r="C277">
        <f>IF($E277="","",INDEX('Input Transaksi'!$E:$E,$E277))</f>
        <v/>
      </c>
      <c r="D277" s="5">
        <f>IF($E277="","",INDEX('Input Transaksi'!$F:$F,$E277))</f>
        <v/>
      </c>
      <c r="E277">
        <f>IFERROR(AGGREGATE(15,6,ROW('Input Transaksi'!$B$5:$B$5000)/('Input Transaksi'!$B$5:$B$5000="DIY"),ROWS($E$5:E277)),"")</f>
        <v/>
      </c>
      <c r="F277" s="5" t="n"/>
    </row>
    <row r="278">
      <c r="A278" s="10">
        <f>IF($E278="","",INDEX('Input Transaksi'!$A:$A,$E278))</f>
        <v/>
      </c>
      <c r="B278" s="5">
        <f>IF($E278="","",INDEX('Input Transaksi'!$D:$D,$E278))</f>
        <v/>
      </c>
      <c r="C278">
        <f>IF($E278="","",INDEX('Input Transaksi'!$E:$E,$E278))</f>
        <v/>
      </c>
      <c r="D278" s="5">
        <f>IF($E278="","",INDEX('Input Transaksi'!$F:$F,$E278))</f>
        <v/>
      </c>
      <c r="E278">
        <f>IFERROR(AGGREGATE(15,6,ROW('Input Transaksi'!$B$5:$B$5000)/('Input Transaksi'!$B$5:$B$5000="DIY"),ROWS($E$5:E278)),"")</f>
        <v/>
      </c>
      <c r="F278" s="5" t="n"/>
    </row>
    <row r="279">
      <c r="A279" s="10">
        <f>IF($E279="","",INDEX('Input Transaksi'!$A:$A,$E279))</f>
        <v/>
      </c>
      <c r="B279" s="5">
        <f>IF($E279="","",INDEX('Input Transaksi'!$D:$D,$E279))</f>
        <v/>
      </c>
      <c r="C279">
        <f>IF($E279="","",INDEX('Input Transaksi'!$E:$E,$E279))</f>
        <v/>
      </c>
      <c r="D279" s="5">
        <f>IF($E279="","",INDEX('Input Transaksi'!$F:$F,$E279))</f>
        <v/>
      </c>
      <c r="E279">
        <f>IFERROR(AGGREGATE(15,6,ROW('Input Transaksi'!$B$5:$B$5000)/('Input Transaksi'!$B$5:$B$5000="DIY"),ROWS($E$5:E279)),"")</f>
        <v/>
      </c>
      <c r="F279" s="5" t="n"/>
    </row>
    <row r="280">
      <c r="A280" s="10">
        <f>IF($E280="","",INDEX('Input Transaksi'!$A:$A,$E280))</f>
        <v/>
      </c>
      <c r="B280" s="5">
        <f>IF($E280="","",INDEX('Input Transaksi'!$D:$D,$E280))</f>
        <v/>
      </c>
      <c r="C280">
        <f>IF($E280="","",INDEX('Input Transaksi'!$E:$E,$E280))</f>
        <v/>
      </c>
      <c r="D280" s="5">
        <f>IF($E280="","",INDEX('Input Transaksi'!$F:$F,$E280))</f>
        <v/>
      </c>
      <c r="E280">
        <f>IFERROR(AGGREGATE(15,6,ROW('Input Transaksi'!$B$5:$B$5000)/('Input Transaksi'!$B$5:$B$5000="DIY"),ROWS($E$5:E280)),"")</f>
        <v/>
      </c>
      <c r="F280" s="5" t="n"/>
    </row>
    <row r="281">
      <c r="A281" s="10">
        <f>IF($E281="","",INDEX('Input Transaksi'!$A:$A,$E281))</f>
        <v/>
      </c>
      <c r="B281" s="5">
        <f>IF($E281="","",INDEX('Input Transaksi'!$D:$D,$E281))</f>
        <v/>
      </c>
      <c r="C281">
        <f>IF($E281="","",INDEX('Input Transaksi'!$E:$E,$E281))</f>
        <v/>
      </c>
      <c r="D281" s="5">
        <f>IF($E281="","",INDEX('Input Transaksi'!$F:$F,$E281))</f>
        <v/>
      </c>
      <c r="E281">
        <f>IFERROR(AGGREGATE(15,6,ROW('Input Transaksi'!$B$5:$B$5000)/('Input Transaksi'!$B$5:$B$5000="DIY"),ROWS($E$5:E281)),"")</f>
        <v/>
      </c>
      <c r="F281" s="5" t="n"/>
    </row>
    <row r="282">
      <c r="A282" s="10">
        <f>IF($E282="","",INDEX('Input Transaksi'!$A:$A,$E282))</f>
        <v/>
      </c>
      <c r="B282" s="5">
        <f>IF($E282="","",INDEX('Input Transaksi'!$D:$D,$E282))</f>
        <v/>
      </c>
      <c r="C282">
        <f>IF($E282="","",INDEX('Input Transaksi'!$E:$E,$E282))</f>
        <v/>
      </c>
      <c r="D282" s="5">
        <f>IF($E282="","",INDEX('Input Transaksi'!$F:$F,$E282))</f>
        <v/>
      </c>
      <c r="E282">
        <f>IFERROR(AGGREGATE(15,6,ROW('Input Transaksi'!$B$5:$B$5000)/('Input Transaksi'!$B$5:$B$5000="DIY"),ROWS($E$5:E282)),"")</f>
        <v/>
      </c>
      <c r="F282" s="5" t="n"/>
    </row>
    <row r="283">
      <c r="A283" s="10">
        <f>IF($E283="","",INDEX('Input Transaksi'!$A:$A,$E283))</f>
        <v/>
      </c>
      <c r="B283" s="5">
        <f>IF($E283="","",INDEX('Input Transaksi'!$D:$D,$E283))</f>
        <v/>
      </c>
      <c r="C283">
        <f>IF($E283="","",INDEX('Input Transaksi'!$E:$E,$E283))</f>
        <v/>
      </c>
      <c r="D283" s="5">
        <f>IF($E283="","",INDEX('Input Transaksi'!$F:$F,$E283))</f>
        <v/>
      </c>
      <c r="E283">
        <f>IFERROR(AGGREGATE(15,6,ROW('Input Transaksi'!$B$5:$B$5000)/('Input Transaksi'!$B$5:$B$5000="DIY"),ROWS($E$5:E283)),"")</f>
        <v/>
      </c>
      <c r="F283" s="5" t="n"/>
    </row>
    <row r="284">
      <c r="A284" s="10">
        <f>IF($E284="","",INDEX('Input Transaksi'!$A:$A,$E284))</f>
        <v/>
      </c>
      <c r="B284" s="5">
        <f>IF($E284="","",INDEX('Input Transaksi'!$D:$D,$E284))</f>
        <v/>
      </c>
      <c r="C284">
        <f>IF($E284="","",INDEX('Input Transaksi'!$E:$E,$E284))</f>
        <v/>
      </c>
      <c r="D284" s="5">
        <f>IF($E284="","",INDEX('Input Transaksi'!$F:$F,$E284))</f>
        <v/>
      </c>
      <c r="E284">
        <f>IFERROR(AGGREGATE(15,6,ROW('Input Transaksi'!$B$5:$B$5000)/('Input Transaksi'!$B$5:$B$5000="DIY"),ROWS($E$5:E284)),"")</f>
        <v/>
      </c>
      <c r="F284" s="5" t="n"/>
    </row>
    <row r="285">
      <c r="A285" s="10">
        <f>IF($E285="","",INDEX('Input Transaksi'!$A:$A,$E285))</f>
        <v/>
      </c>
      <c r="B285" s="5">
        <f>IF($E285="","",INDEX('Input Transaksi'!$D:$D,$E285))</f>
        <v/>
      </c>
      <c r="C285">
        <f>IF($E285="","",INDEX('Input Transaksi'!$E:$E,$E285))</f>
        <v/>
      </c>
      <c r="D285" s="5">
        <f>IF($E285="","",INDEX('Input Transaksi'!$F:$F,$E285))</f>
        <v/>
      </c>
      <c r="E285">
        <f>IFERROR(AGGREGATE(15,6,ROW('Input Transaksi'!$B$5:$B$5000)/('Input Transaksi'!$B$5:$B$5000="DIY"),ROWS($E$5:E285)),"")</f>
        <v/>
      </c>
      <c r="F285" s="5" t="n"/>
    </row>
    <row r="286">
      <c r="A286" s="10">
        <f>IF($E286="","",INDEX('Input Transaksi'!$A:$A,$E286))</f>
        <v/>
      </c>
      <c r="B286" s="5">
        <f>IF($E286="","",INDEX('Input Transaksi'!$D:$D,$E286))</f>
        <v/>
      </c>
      <c r="C286">
        <f>IF($E286="","",INDEX('Input Transaksi'!$E:$E,$E286))</f>
        <v/>
      </c>
      <c r="D286" s="5">
        <f>IF($E286="","",INDEX('Input Transaksi'!$F:$F,$E286))</f>
        <v/>
      </c>
      <c r="E286">
        <f>IFERROR(AGGREGATE(15,6,ROW('Input Transaksi'!$B$5:$B$5000)/('Input Transaksi'!$B$5:$B$5000="DIY"),ROWS($E$5:E286)),"")</f>
        <v/>
      </c>
      <c r="F286" s="5" t="n"/>
    </row>
    <row r="287">
      <c r="A287" s="10">
        <f>IF($E287="","",INDEX('Input Transaksi'!$A:$A,$E287))</f>
        <v/>
      </c>
      <c r="B287" s="5">
        <f>IF($E287="","",INDEX('Input Transaksi'!$D:$D,$E287))</f>
        <v/>
      </c>
      <c r="C287">
        <f>IF($E287="","",INDEX('Input Transaksi'!$E:$E,$E287))</f>
        <v/>
      </c>
      <c r="D287" s="5">
        <f>IF($E287="","",INDEX('Input Transaksi'!$F:$F,$E287))</f>
        <v/>
      </c>
      <c r="E287">
        <f>IFERROR(AGGREGATE(15,6,ROW('Input Transaksi'!$B$5:$B$5000)/('Input Transaksi'!$B$5:$B$5000="DIY"),ROWS($E$5:E287)),"")</f>
        <v/>
      </c>
      <c r="F287" s="5" t="n"/>
    </row>
    <row r="288">
      <c r="A288" s="10">
        <f>IF($E288="","",INDEX('Input Transaksi'!$A:$A,$E288))</f>
        <v/>
      </c>
      <c r="B288" s="5">
        <f>IF($E288="","",INDEX('Input Transaksi'!$D:$D,$E288))</f>
        <v/>
      </c>
      <c r="C288">
        <f>IF($E288="","",INDEX('Input Transaksi'!$E:$E,$E288))</f>
        <v/>
      </c>
      <c r="D288" s="5">
        <f>IF($E288="","",INDEX('Input Transaksi'!$F:$F,$E288))</f>
        <v/>
      </c>
      <c r="E288">
        <f>IFERROR(AGGREGATE(15,6,ROW('Input Transaksi'!$B$5:$B$5000)/('Input Transaksi'!$B$5:$B$5000="DIY"),ROWS($E$5:E288)),"")</f>
        <v/>
      </c>
      <c r="F288" s="5" t="n"/>
    </row>
    <row r="289">
      <c r="A289" s="10">
        <f>IF($E289="","",INDEX('Input Transaksi'!$A:$A,$E289))</f>
        <v/>
      </c>
      <c r="B289" s="5">
        <f>IF($E289="","",INDEX('Input Transaksi'!$D:$D,$E289))</f>
        <v/>
      </c>
      <c r="C289">
        <f>IF($E289="","",INDEX('Input Transaksi'!$E:$E,$E289))</f>
        <v/>
      </c>
      <c r="D289" s="5">
        <f>IF($E289="","",INDEX('Input Transaksi'!$F:$F,$E289))</f>
        <v/>
      </c>
      <c r="E289">
        <f>IFERROR(AGGREGATE(15,6,ROW('Input Transaksi'!$B$5:$B$5000)/('Input Transaksi'!$B$5:$B$5000="DIY"),ROWS($E$5:E289)),"")</f>
        <v/>
      </c>
      <c r="F289" s="5" t="n"/>
    </row>
    <row r="290">
      <c r="A290" s="10">
        <f>IF($E290="","",INDEX('Input Transaksi'!$A:$A,$E290))</f>
        <v/>
      </c>
      <c r="B290" s="5">
        <f>IF($E290="","",INDEX('Input Transaksi'!$D:$D,$E290))</f>
        <v/>
      </c>
      <c r="C290">
        <f>IF($E290="","",INDEX('Input Transaksi'!$E:$E,$E290))</f>
        <v/>
      </c>
      <c r="D290" s="5">
        <f>IF($E290="","",INDEX('Input Transaksi'!$F:$F,$E290))</f>
        <v/>
      </c>
      <c r="E290">
        <f>IFERROR(AGGREGATE(15,6,ROW('Input Transaksi'!$B$5:$B$5000)/('Input Transaksi'!$B$5:$B$5000="DIY"),ROWS($E$5:E290)),"")</f>
        <v/>
      </c>
      <c r="F290" s="5" t="n"/>
    </row>
    <row r="291">
      <c r="A291" s="10">
        <f>IF($E291="","",INDEX('Input Transaksi'!$A:$A,$E291))</f>
        <v/>
      </c>
      <c r="B291" s="5">
        <f>IF($E291="","",INDEX('Input Transaksi'!$D:$D,$E291))</f>
        <v/>
      </c>
      <c r="C291">
        <f>IF($E291="","",INDEX('Input Transaksi'!$E:$E,$E291))</f>
        <v/>
      </c>
      <c r="D291" s="5">
        <f>IF($E291="","",INDEX('Input Transaksi'!$F:$F,$E291))</f>
        <v/>
      </c>
      <c r="E291">
        <f>IFERROR(AGGREGATE(15,6,ROW('Input Transaksi'!$B$5:$B$5000)/('Input Transaksi'!$B$5:$B$5000="DIY"),ROWS($E$5:E291)),"")</f>
        <v/>
      </c>
      <c r="F291" s="5" t="n"/>
    </row>
    <row r="292">
      <c r="A292" s="10">
        <f>IF($E292="","",INDEX('Input Transaksi'!$A:$A,$E292))</f>
        <v/>
      </c>
      <c r="B292" s="5">
        <f>IF($E292="","",INDEX('Input Transaksi'!$D:$D,$E292))</f>
        <v/>
      </c>
      <c r="C292">
        <f>IF($E292="","",INDEX('Input Transaksi'!$E:$E,$E292))</f>
        <v/>
      </c>
      <c r="D292" s="5">
        <f>IF($E292="","",INDEX('Input Transaksi'!$F:$F,$E292))</f>
        <v/>
      </c>
      <c r="E292">
        <f>IFERROR(AGGREGATE(15,6,ROW('Input Transaksi'!$B$5:$B$5000)/('Input Transaksi'!$B$5:$B$5000="DIY"),ROWS($E$5:E292)),"")</f>
        <v/>
      </c>
      <c r="F292" s="5" t="n"/>
    </row>
    <row r="293">
      <c r="A293" s="10">
        <f>IF($E293="","",INDEX('Input Transaksi'!$A:$A,$E293))</f>
        <v/>
      </c>
      <c r="B293" s="5">
        <f>IF($E293="","",INDEX('Input Transaksi'!$D:$D,$E293))</f>
        <v/>
      </c>
      <c r="C293">
        <f>IF($E293="","",INDEX('Input Transaksi'!$E:$E,$E293))</f>
        <v/>
      </c>
      <c r="D293" s="5">
        <f>IF($E293="","",INDEX('Input Transaksi'!$F:$F,$E293))</f>
        <v/>
      </c>
      <c r="E293">
        <f>IFERROR(AGGREGATE(15,6,ROW('Input Transaksi'!$B$5:$B$5000)/('Input Transaksi'!$B$5:$B$5000="DIY"),ROWS($E$5:E293)),"")</f>
        <v/>
      </c>
      <c r="F293" s="5" t="n"/>
    </row>
    <row r="294">
      <c r="A294" s="10">
        <f>IF($E294="","",INDEX('Input Transaksi'!$A:$A,$E294))</f>
        <v/>
      </c>
      <c r="B294" s="5">
        <f>IF($E294="","",INDEX('Input Transaksi'!$D:$D,$E294))</f>
        <v/>
      </c>
      <c r="C294">
        <f>IF($E294="","",INDEX('Input Transaksi'!$E:$E,$E294))</f>
        <v/>
      </c>
      <c r="D294" s="5">
        <f>IF($E294="","",INDEX('Input Transaksi'!$F:$F,$E294))</f>
        <v/>
      </c>
      <c r="E294">
        <f>IFERROR(AGGREGATE(15,6,ROW('Input Transaksi'!$B$5:$B$5000)/('Input Transaksi'!$B$5:$B$5000="DIY"),ROWS($E$5:E294)),"")</f>
        <v/>
      </c>
      <c r="F294" s="5" t="n"/>
    </row>
    <row r="295">
      <c r="A295" s="10">
        <f>IF($E295="","",INDEX('Input Transaksi'!$A:$A,$E295))</f>
        <v/>
      </c>
      <c r="B295" s="5">
        <f>IF($E295="","",INDEX('Input Transaksi'!$D:$D,$E295))</f>
        <v/>
      </c>
      <c r="C295">
        <f>IF($E295="","",INDEX('Input Transaksi'!$E:$E,$E295))</f>
        <v/>
      </c>
      <c r="D295" s="5">
        <f>IF($E295="","",INDEX('Input Transaksi'!$F:$F,$E295))</f>
        <v/>
      </c>
      <c r="E295">
        <f>IFERROR(AGGREGATE(15,6,ROW('Input Transaksi'!$B$5:$B$5000)/('Input Transaksi'!$B$5:$B$5000="DIY"),ROWS($E$5:E295)),"")</f>
        <v/>
      </c>
      <c r="F295" s="5" t="n"/>
    </row>
    <row r="296">
      <c r="A296" s="10">
        <f>IF($E296="","",INDEX('Input Transaksi'!$A:$A,$E296))</f>
        <v/>
      </c>
      <c r="B296" s="5">
        <f>IF($E296="","",INDEX('Input Transaksi'!$D:$D,$E296))</f>
        <v/>
      </c>
      <c r="C296">
        <f>IF($E296="","",INDEX('Input Transaksi'!$E:$E,$E296))</f>
        <v/>
      </c>
      <c r="D296" s="5">
        <f>IF($E296="","",INDEX('Input Transaksi'!$F:$F,$E296))</f>
        <v/>
      </c>
      <c r="E296">
        <f>IFERROR(AGGREGATE(15,6,ROW('Input Transaksi'!$B$5:$B$5000)/('Input Transaksi'!$B$5:$B$5000="DIY"),ROWS($E$5:E296)),"")</f>
        <v/>
      </c>
      <c r="F296" s="5" t="n"/>
    </row>
    <row r="297">
      <c r="A297" s="10">
        <f>IF($E297="","",INDEX('Input Transaksi'!$A:$A,$E297))</f>
        <v/>
      </c>
      <c r="B297" s="5">
        <f>IF($E297="","",INDEX('Input Transaksi'!$D:$D,$E297))</f>
        <v/>
      </c>
      <c r="C297">
        <f>IF($E297="","",INDEX('Input Transaksi'!$E:$E,$E297))</f>
        <v/>
      </c>
      <c r="D297" s="5">
        <f>IF($E297="","",INDEX('Input Transaksi'!$F:$F,$E297))</f>
        <v/>
      </c>
      <c r="E297">
        <f>IFERROR(AGGREGATE(15,6,ROW('Input Transaksi'!$B$5:$B$5000)/('Input Transaksi'!$B$5:$B$5000="DIY"),ROWS($E$5:E297)),"")</f>
        <v/>
      </c>
      <c r="F297" s="5" t="n"/>
    </row>
    <row r="298">
      <c r="A298" s="10">
        <f>IF($E298="","",INDEX('Input Transaksi'!$A:$A,$E298))</f>
        <v/>
      </c>
      <c r="B298" s="5">
        <f>IF($E298="","",INDEX('Input Transaksi'!$D:$D,$E298))</f>
        <v/>
      </c>
      <c r="C298">
        <f>IF($E298="","",INDEX('Input Transaksi'!$E:$E,$E298))</f>
        <v/>
      </c>
      <c r="D298" s="5">
        <f>IF($E298="","",INDEX('Input Transaksi'!$F:$F,$E298))</f>
        <v/>
      </c>
      <c r="E298">
        <f>IFERROR(AGGREGATE(15,6,ROW('Input Transaksi'!$B$5:$B$5000)/('Input Transaksi'!$B$5:$B$5000="DIY"),ROWS($E$5:E298)),"")</f>
        <v/>
      </c>
      <c r="F298" s="5" t="n"/>
    </row>
    <row r="299">
      <c r="A299" s="10">
        <f>IF($E299="","",INDEX('Input Transaksi'!$A:$A,$E299))</f>
        <v/>
      </c>
      <c r="B299" s="5">
        <f>IF($E299="","",INDEX('Input Transaksi'!$D:$D,$E299))</f>
        <v/>
      </c>
      <c r="C299">
        <f>IF($E299="","",INDEX('Input Transaksi'!$E:$E,$E299))</f>
        <v/>
      </c>
      <c r="D299" s="5">
        <f>IF($E299="","",INDEX('Input Transaksi'!$F:$F,$E299))</f>
        <v/>
      </c>
      <c r="E299">
        <f>IFERROR(AGGREGATE(15,6,ROW('Input Transaksi'!$B$5:$B$5000)/('Input Transaksi'!$B$5:$B$5000="DIY"),ROWS($E$5:E299)),"")</f>
        <v/>
      </c>
      <c r="F299" s="5" t="n"/>
    </row>
    <row r="300">
      <c r="A300" s="10">
        <f>IF($E300="","",INDEX('Input Transaksi'!$A:$A,$E300))</f>
        <v/>
      </c>
      <c r="B300" s="5">
        <f>IF($E300="","",INDEX('Input Transaksi'!$D:$D,$E300))</f>
        <v/>
      </c>
      <c r="C300">
        <f>IF($E300="","",INDEX('Input Transaksi'!$E:$E,$E300))</f>
        <v/>
      </c>
      <c r="D300" s="5">
        <f>IF($E300="","",INDEX('Input Transaksi'!$F:$F,$E300))</f>
        <v/>
      </c>
      <c r="E300">
        <f>IFERROR(AGGREGATE(15,6,ROW('Input Transaksi'!$B$5:$B$5000)/('Input Transaksi'!$B$5:$B$5000="DIY"),ROWS($E$5:E300)),"")</f>
        <v/>
      </c>
      <c r="F300" s="5" t="n"/>
    </row>
    <row r="301">
      <c r="A301" s="10">
        <f>IF($E301="","",INDEX('Input Transaksi'!$A:$A,$E301))</f>
        <v/>
      </c>
      <c r="B301" s="5">
        <f>IF($E301="","",INDEX('Input Transaksi'!$D:$D,$E301))</f>
        <v/>
      </c>
      <c r="C301">
        <f>IF($E301="","",INDEX('Input Transaksi'!$E:$E,$E301))</f>
        <v/>
      </c>
      <c r="D301" s="5">
        <f>IF($E301="","",INDEX('Input Transaksi'!$F:$F,$E301))</f>
        <v/>
      </c>
      <c r="E301">
        <f>IFERROR(AGGREGATE(15,6,ROW('Input Transaksi'!$B$5:$B$5000)/('Input Transaksi'!$B$5:$B$5000="DIY"),ROWS($E$5:E301)),"")</f>
        <v/>
      </c>
      <c r="F301" s="5" t="n"/>
    </row>
    <row r="302">
      <c r="A302" s="10">
        <f>IF($E302="","",INDEX('Input Transaksi'!$A:$A,$E302))</f>
        <v/>
      </c>
      <c r="B302" s="5">
        <f>IF($E302="","",INDEX('Input Transaksi'!$D:$D,$E302))</f>
        <v/>
      </c>
      <c r="C302">
        <f>IF($E302="","",INDEX('Input Transaksi'!$E:$E,$E302))</f>
        <v/>
      </c>
      <c r="D302" s="5">
        <f>IF($E302="","",INDEX('Input Transaksi'!$F:$F,$E302))</f>
        <v/>
      </c>
      <c r="E302">
        <f>IFERROR(AGGREGATE(15,6,ROW('Input Transaksi'!$B$5:$B$5000)/('Input Transaksi'!$B$5:$B$5000="DIY"),ROWS($E$5:E302)),"")</f>
        <v/>
      </c>
      <c r="F302" s="5" t="n"/>
    </row>
    <row r="303">
      <c r="A303" s="10">
        <f>IF($E303="","",INDEX('Input Transaksi'!$A:$A,$E303))</f>
        <v/>
      </c>
      <c r="B303" s="5">
        <f>IF($E303="","",INDEX('Input Transaksi'!$D:$D,$E303))</f>
        <v/>
      </c>
      <c r="C303">
        <f>IF($E303="","",INDEX('Input Transaksi'!$E:$E,$E303))</f>
        <v/>
      </c>
      <c r="D303" s="5">
        <f>IF($E303="","",INDEX('Input Transaksi'!$F:$F,$E303))</f>
        <v/>
      </c>
      <c r="E303">
        <f>IFERROR(AGGREGATE(15,6,ROW('Input Transaksi'!$B$5:$B$5000)/('Input Transaksi'!$B$5:$B$5000="DIY"),ROWS($E$5:E303)),"")</f>
        <v/>
      </c>
      <c r="F303" s="5" t="n"/>
    </row>
    <row r="304">
      <c r="A304" s="10">
        <f>IF($E304="","",INDEX('Input Transaksi'!$A:$A,$E304))</f>
        <v/>
      </c>
      <c r="B304" s="5">
        <f>IF($E304="","",INDEX('Input Transaksi'!$D:$D,$E304))</f>
        <v/>
      </c>
      <c r="C304">
        <f>IF($E304="","",INDEX('Input Transaksi'!$E:$E,$E304))</f>
        <v/>
      </c>
      <c r="D304" s="5">
        <f>IF($E304="","",INDEX('Input Transaksi'!$F:$F,$E304))</f>
        <v/>
      </c>
      <c r="E304">
        <f>IFERROR(AGGREGATE(15,6,ROW('Input Transaksi'!$B$5:$B$5000)/('Input Transaksi'!$B$5:$B$5000="DIY"),ROWS($E$5:E304)),"")</f>
        <v/>
      </c>
      <c r="F304" s="5" t="n"/>
    </row>
    <row r="305">
      <c r="A305" s="10">
        <f>IF($E305="","",INDEX('Input Transaksi'!$A:$A,$E305))</f>
        <v/>
      </c>
      <c r="B305" s="5">
        <f>IF($E305="","",INDEX('Input Transaksi'!$D:$D,$E305))</f>
        <v/>
      </c>
      <c r="C305">
        <f>IF($E305="","",INDEX('Input Transaksi'!$E:$E,$E305))</f>
        <v/>
      </c>
      <c r="D305" s="5">
        <f>IF($E305="","",INDEX('Input Transaksi'!$F:$F,$E305))</f>
        <v/>
      </c>
      <c r="E305">
        <f>IFERROR(AGGREGATE(15,6,ROW('Input Transaksi'!$B$5:$B$5000)/('Input Transaksi'!$B$5:$B$5000="DIY"),ROWS($E$5:E305)),"")</f>
        <v/>
      </c>
      <c r="F305" s="5" t="n"/>
    </row>
    <row r="306">
      <c r="A306" s="10">
        <f>IF($E306="","",INDEX('Input Transaksi'!$A:$A,$E306))</f>
        <v/>
      </c>
      <c r="B306" s="5">
        <f>IF($E306="","",INDEX('Input Transaksi'!$D:$D,$E306))</f>
        <v/>
      </c>
      <c r="C306">
        <f>IF($E306="","",INDEX('Input Transaksi'!$E:$E,$E306))</f>
        <v/>
      </c>
      <c r="D306" s="5">
        <f>IF($E306="","",INDEX('Input Transaksi'!$F:$F,$E306))</f>
        <v/>
      </c>
      <c r="E306">
        <f>IFERROR(AGGREGATE(15,6,ROW('Input Transaksi'!$B$5:$B$5000)/('Input Transaksi'!$B$5:$B$5000="DIY"),ROWS($E$5:E306)),"")</f>
        <v/>
      </c>
      <c r="F306" s="5" t="n"/>
    </row>
    <row r="307">
      <c r="A307" s="10">
        <f>IF($E307="","",INDEX('Input Transaksi'!$A:$A,$E307))</f>
        <v/>
      </c>
      <c r="B307" s="5">
        <f>IF($E307="","",INDEX('Input Transaksi'!$D:$D,$E307))</f>
        <v/>
      </c>
      <c r="C307">
        <f>IF($E307="","",INDEX('Input Transaksi'!$E:$E,$E307))</f>
        <v/>
      </c>
      <c r="D307" s="5">
        <f>IF($E307="","",INDEX('Input Transaksi'!$F:$F,$E307))</f>
        <v/>
      </c>
      <c r="E307">
        <f>IFERROR(AGGREGATE(15,6,ROW('Input Transaksi'!$B$5:$B$5000)/('Input Transaksi'!$B$5:$B$5000="DIY"),ROWS($E$5:E307)),"")</f>
        <v/>
      </c>
      <c r="F307" s="5" t="n"/>
    </row>
    <row r="308">
      <c r="A308" s="10">
        <f>IF($E308="","",INDEX('Input Transaksi'!$A:$A,$E308))</f>
        <v/>
      </c>
      <c r="B308" s="5">
        <f>IF($E308="","",INDEX('Input Transaksi'!$D:$D,$E308))</f>
        <v/>
      </c>
      <c r="C308">
        <f>IF($E308="","",INDEX('Input Transaksi'!$E:$E,$E308))</f>
        <v/>
      </c>
      <c r="D308" s="5">
        <f>IF($E308="","",INDEX('Input Transaksi'!$F:$F,$E308))</f>
        <v/>
      </c>
      <c r="E308">
        <f>IFERROR(AGGREGATE(15,6,ROW('Input Transaksi'!$B$5:$B$5000)/('Input Transaksi'!$B$5:$B$5000="DIY"),ROWS($E$5:E308)),"")</f>
        <v/>
      </c>
      <c r="F308" s="5" t="n"/>
    </row>
    <row r="309">
      <c r="A309" s="10">
        <f>IF($E309="","",INDEX('Input Transaksi'!$A:$A,$E309))</f>
        <v/>
      </c>
      <c r="B309" s="5">
        <f>IF($E309="","",INDEX('Input Transaksi'!$D:$D,$E309))</f>
        <v/>
      </c>
      <c r="C309">
        <f>IF($E309="","",INDEX('Input Transaksi'!$E:$E,$E309))</f>
        <v/>
      </c>
      <c r="D309" s="5">
        <f>IF($E309="","",INDEX('Input Transaksi'!$F:$F,$E309))</f>
        <v/>
      </c>
      <c r="E309">
        <f>IFERROR(AGGREGATE(15,6,ROW('Input Transaksi'!$B$5:$B$5000)/('Input Transaksi'!$B$5:$B$5000="DIY"),ROWS($E$5:E309)),"")</f>
        <v/>
      </c>
      <c r="F309" s="5" t="n"/>
    </row>
    <row r="310">
      <c r="A310" s="10">
        <f>IF($E310="","",INDEX('Input Transaksi'!$A:$A,$E310))</f>
        <v/>
      </c>
      <c r="B310" s="5">
        <f>IF($E310="","",INDEX('Input Transaksi'!$D:$D,$E310))</f>
        <v/>
      </c>
      <c r="C310">
        <f>IF($E310="","",INDEX('Input Transaksi'!$E:$E,$E310))</f>
        <v/>
      </c>
      <c r="D310" s="5">
        <f>IF($E310="","",INDEX('Input Transaksi'!$F:$F,$E310))</f>
        <v/>
      </c>
      <c r="E310">
        <f>IFERROR(AGGREGATE(15,6,ROW('Input Transaksi'!$B$5:$B$5000)/('Input Transaksi'!$B$5:$B$5000="DIY"),ROWS($E$5:E310)),"")</f>
        <v/>
      </c>
      <c r="F310" s="5" t="n"/>
    </row>
    <row r="311">
      <c r="A311" s="10">
        <f>IF($E311="","",INDEX('Input Transaksi'!$A:$A,$E311))</f>
        <v/>
      </c>
      <c r="B311" s="5">
        <f>IF($E311="","",INDEX('Input Transaksi'!$D:$D,$E311))</f>
        <v/>
      </c>
      <c r="C311">
        <f>IF($E311="","",INDEX('Input Transaksi'!$E:$E,$E311))</f>
        <v/>
      </c>
      <c r="D311" s="5">
        <f>IF($E311="","",INDEX('Input Transaksi'!$F:$F,$E311))</f>
        <v/>
      </c>
      <c r="E311">
        <f>IFERROR(AGGREGATE(15,6,ROW('Input Transaksi'!$B$5:$B$5000)/('Input Transaksi'!$B$5:$B$5000="DIY"),ROWS($E$5:E311)),"")</f>
        <v/>
      </c>
      <c r="F311" s="5" t="n"/>
    </row>
    <row r="312">
      <c r="A312" s="10">
        <f>IF($E312="","",INDEX('Input Transaksi'!$A:$A,$E312))</f>
        <v/>
      </c>
      <c r="B312" s="5">
        <f>IF($E312="","",INDEX('Input Transaksi'!$D:$D,$E312))</f>
        <v/>
      </c>
      <c r="C312">
        <f>IF($E312="","",INDEX('Input Transaksi'!$E:$E,$E312))</f>
        <v/>
      </c>
      <c r="D312" s="5">
        <f>IF($E312="","",INDEX('Input Transaksi'!$F:$F,$E312))</f>
        <v/>
      </c>
      <c r="E312">
        <f>IFERROR(AGGREGATE(15,6,ROW('Input Transaksi'!$B$5:$B$5000)/('Input Transaksi'!$B$5:$B$5000="DIY"),ROWS($E$5:E312)),"")</f>
        <v/>
      </c>
      <c r="F312" s="5" t="n"/>
    </row>
    <row r="313">
      <c r="A313" s="10">
        <f>IF($E313="","",INDEX('Input Transaksi'!$A:$A,$E313))</f>
        <v/>
      </c>
      <c r="B313" s="5">
        <f>IF($E313="","",INDEX('Input Transaksi'!$D:$D,$E313))</f>
        <v/>
      </c>
      <c r="C313">
        <f>IF($E313="","",INDEX('Input Transaksi'!$E:$E,$E313))</f>
        <v/>
      </c>
      <c r="D313" s="5">
        <f>IF($E313="","",INDEX('Input Transaksi'!$F:$F,$E313))</f>
        <v/>
      </c>
      <c r="E313">
        <f>IFERROR(AGGREGATE(15,6,ROW('Input Transaksi'!$B$5:$B$5000)/('Input Transaksi'!$B$5:$B$5000="DIY"),ROWS($E$5:E313)),"")</f>
        <v/>
      </c>
      <c r="F313" s="5" t="n"/>
    </row>
    <row r="314">
      <c r="A314" s="10">
        <f>IF($E314="","",INDEX('Input Transaksi'!$A:$A,$E314))</f>
        <v/>
      </c>
      <c r="B314" s="5">
        <f>IF($E314="","",INDEX('Input Transaksi'!$D:$D,$E314))</f>
        <v/>
      </c>
      <c r="C314">
        <f>IF($E314="","",INDEX('Input Transaksi'!$E:$E,$E314))</f>
        <v/>
      </c>
      <c r="D314" s="5">
        <f>IF($E314="","",INDEX('Input Transaksi'!$F:$F,$E314))</f>
        <v/>
      </c>
      <c r="E314">
        <f>IFERROR(AGGREGATE(15,6,ROW('Input Transaksi'!$B$5:$B$5000)/('Input Transaksi'!$B$5:$B$5000="DIY"),ROWS($E$5:E314)),"")</f>
        <v/>
      </c>
      <c r="F314" s="5" t="n"/>
    </row>
    <row r="315">
      <c r="A315" s="10">
        <f>IF($E315="","",INDEX('Input Transaksi'!$A:$A,$E315))</f>
        <v/>
      </c>
      <c r="B315" s="5">
        <f>IF($E315="","",INDEX('Input Transaksi'!$D:$D,$E315))</f>
        <v/>
      </c>
      <c r="C315">
        <f>IF($E315="","",INDEX('Input Transaksi'!$E:$E,$E315))</f>
        <v/>
      </c>
      <c r="D315" s="5">
        <f>IF($E315="","",INDEX('Input Transaksi'!$F:$F,$E315))</f>
        <v/>
      </c>
      <c r="E315">
        <f>IFERROR(AGGREGATE(15,6,ROW('Input Transaksi'!$B$5:$B$5000)/('Input Transaksi'!$B$5:$B$5000="DIY"),ROWS($E$5:E315)),"")</f>
        <v/>
      </c>
      <c r="F315" s="5" t="n"/>
    </row>
    <row r="316">
      <c r="A316" s="10">
        <f>IF($E316="","",INDEX('Input Transaksi'!$A:$A,$E316))</f>
        <v/>
      </c>
      <c r="B316" s="5">
        <f>IF($E316="","",INDEX('Input Transaksi'!$D:$D,$E316))</f>
        <v/>
      </c>
      <c r="C316">
        <f>IF($E316="","",INDEX('Input Transaksi'!$E:$E,$E316))</f>
        <v/>
      </c>
      <c r="D316" s="5">
        <f>IF($E316="","",INDEX('Input Transaksi'!$F:$F,$E316))</f>
        <v/>
      </c>
      <c r="E316">
        <f>IFERROR(AGGREGATE(15,6,ROW('Input Transaksi'!$B$5:$B$5000)/('Input Transaksi'!$B$5:$B$5000="DIY"),ROWS($E$5:E316)),"")</f>
        <v/>
      </c>
      <c r="F316" s="5" t="n"/>
    </row>
    <row r="317">
      <c r="A317" s="10">
        <f>IF($E317="","",INDEX('Input Transaksi'!$A:$A,$E317))</f>
        <v/>
      </c>
      <c r="B317" s="5">
        <f>IF($E317="","",INDEX('Input Transaksi'!$D:$D,$E317))</f>
        <v/>
      </c>
      <c r="C317">
        <f>IF($E317="","",INDEX('Input Transaksi'!$E:$E,$E317))</f>
        <v/>
      </c>
      <c r="D317" s="5">
        <f>IF($E317="","",INDEX('Input Transaksi'!$F:$F,$E317))</f>
        <v/>
      </c>
      <c r="E317">
        <f>IFERROR(AGGREGATE(15,6,ROW('Input Transaksi'!$B$5:$B$5000)/('Input Transaksi'!$B$5:$B$5000="DIY"),ROWS($E$5:E317)),"")</f>
        <v/>
      </c>
      <c r="F317" s="5" t="n"/>
    </row>
    <row r="318">
      <c r="A318" s="10">
        <f>IF($E318="","",INDEX('Input Transaksi'!$A:$A,$E318))</f>
        <v/>
      </c>
      <c r="B318" s="5">
        <f>IF($E318="","",INDEX('Input Transaksi'!$D:$D,$E318))</f>
        <v/>
      </c>
      <c r="C318">
        <f>IF($E318="","",INDEX('Input Transaksi'!$E:$E,$E318))</f>
        <v/>
      </c>
      <c r="D318" s="5">
        <f>IF($E318="","",INDEX('Input Transaksi'!$F:$F,$E318))</f>
        <v/>
      </c>
      <c r="E318">
        <f>IFERROR(AGGREGATE(15,6,ROW('Input Transaksi'!$B$5:$B$5000)/('Input Transaksi'!$B$5:$B$5000="DIY"),ROWS($E$5:E318)),"")</f>
        <v/>
      </c>
      <c r="F318" s="5" t="n"/>
    </row>
    <row r="319">
      <c r="A319" s="10">
        <f>IF($E319="","",INDEX('Input Transaksi'!$A:$A,$E319))</f>
        <v/>
      </c>
      <c r="B319" s="5">
        <f>IF($E319="","",INDEX('Input Transaksi'!$D:$D,$E319))</f>
        <v/>
      </c>
      <c r="C319">
        <f>IF($E319="","",INDEX('Input Transaksi'!$E:$E,$E319))</f>
        <v/>
      </c>
      <c r="D319" s="5">
        <f>IF($E319="","",INDEX('Input Transaksi'!$F:$F,$E319))</f>
        <v/>
      </c>
      <c r="E319">
        <f>IFERROR(AGGREGATE(15,6,ROW('Input Transaksi'!$B$5:$B$5000)/('Input Transaksi'!$B$5:$B$5000="DIY"),ROWS($E$5:E319)),"")</f>
        <v/>
      </c>
      <c r="F319" s="5" t="n"/>
    </row>
    <row r="320">
      <c r="A320" s="10">
        <f>IF($E320="","",INDEX('Input Transaksi'!$A:$A,$E320))</f>
        <v/>
      </c>
      <c r="B320" s="5">
        <f>IF($E320="","",INDEX('Input Transaksi'!$D:$D,$E320))</f>
        <v/>
      </c>
      <c r="C320">
        <f>IF($E320="","",INDEX('Input Transaksi'!$E:$E,$E320))</f>
        <v/>
      </c>
      <c r="D320" s="5">
        <f>IF($E320="","",INDEX('Input Transaksi'!$F:$F,$E320))</f>
        <v/>
      </c>
      <c r="E320">
        <f>IFERROR(AGGREGATE(15,6,ROW('Input Transaksi'!$B$5:$B$5000)/('Input Transaksi'!$B$5:$B$5000="DIY"),ROWS($E$5:E320)),"")</f>
        <v/>
      </c>
      <c r="F320" s="5" t="n"/>
    </row>
    <row r="321">
      <c r="A321" s="10">
        <f>IF($E321="","",INDEX('Input Transaksi'!$A:$A,$E321))</f>
        <v/>
      </c>
      <c r="B321" s="5">
        <f>IF($E321="","",INDEX('Input Transaksi'!$D:$D,$E321))</f>
        <v/>
      </c>
      <c r="C321">
        <f>IF($E321="","",INDEX('Input Transaksi'!$E:$E,$E321))</f>
        <v/>
      </c>
      <c r="D321" s="5">
        <f>IF($E321="","",INDEX('Input Transaksi'!$F:$F,$E321))</f>
        <v/>
      </c>
      <c r="E321">
        <f>IFERROR(AGGREGATE(15,6,ROW('Input Transaksi'!$B$5:$B$5000)/('Input Transaksi'!$B$5:$B$5000="DIY"),ROWS($E$5:E321)),"")</f>
        <v/>
      </c>
      <c r="F321" s="5" t="n"/>
    </row>
    <row r="322">
      <c r="A322" s="10">
        <f>IF($E322="","",INDEX('Input Transaksi'!$A:$A,$E322))</f>
        <v/>
      </c>
      <c r="B322" s="5">
        <f>IF($E322="","",INDEX('Input Transaksi'!$D:$D,$E322))</f>
        <v/>
      </c>
      <c r="C322">
        <f>IF($E322="","",INDEX('Input Transaksi'!$E:$E,$E322))</f>
        <v/>
      </c>
      <c r="D322" s="5">
        <f>IF($E322="","",INDEX('Input Transaksi'!$F:$F,$E322))</f>
        <v/>
      </c>
      <c r="E322">
        <f>IFERROR(AGGREGATE(15,6,ROW('Input Transaksi'!$B$5:$B$5000)/('Input Transaksi'!$B$5:$B$5000="DIY"),ROWS($E$5:E322)),"")</f>
        <v/>
      </c>
      <c r="F322" s="5" t="n"/>
    </row>
    <row r="323">
      <c r="A323" s="10">
        <f>IF($E323="","",INDEX('Input Transaksi'!$A:$A,$E323))</f>
        <v/>
      </c>
      <c r="B323" s="5">
        <f>IF($E323="","",INDEX('Input Transaksi'!$D:$D,$E323))</f>
        <v/>
      </c>
      <c r="C323">
        <f>IF($E323="","",INDEX('Input Transaksi'!$E:$E,$E323))</f>
        <v/>
      </c>
      <c r="D323" s="5">
        <f>IF($E323="","",INDEX('Input Transaksi'!$F:$F,$E323))</f>
        <v/>
      </c>
      <c r="E323">
        <f>IFERROR(AGGREGATE(15,6,ROW('Input Transaksi'!$B$5:$B$5000)/('Input Transaksi'!$B$5:$B$5000="DIY"),ROWS($E$5:E323)),"")</f>
        <v/>
      </c>
      <c r="F323" s="5" t="n"/>
    </row>
    <row r="324">
      <c r="A324" s="10">
        <f>IF($E324="","",INDEX('Input Transaksi'!$A:$A,$E324))</f>
        <v/>
      </c>
      <c r="B324" s="5">
        <f>IF($E324="","",INDEX('Input Transaksi'!$D:$D,$E324))</f>
        <v/>
      </c>
      <c r="C324">
        <f>IF($E324="","",INDEX('Input Transaksi'!$E:$E,$E324))</f>
        <v/>
      </c>
      <c r="D324" s="5">
        <f>IF($E324="","",INDEX('Input Transaksi'!$F:$F,$E324))</f>
        <v/>
      </c>
      <c r="E324">
        <f>IFERROR(AGGREGATE(15,6,ROW('Input Transaksi'!$B$5:$B$5000)/('Input Transaksi'!$B$5:$B$5000="DIY"),ROWS($E$5:E324)),"")</f>
        <v/>
      </c>
      <c r="F324" s="5" t="n"/>
    </row>
    <row r="325">
      <c r="A325" s="10">
        <f>IF($E325="","",INDEX('Input Transaksi'!$A:$A,$E325))</f>
        <v/>
      </c>
      <c r="B325" s="5">
        <f>IF($E325="","",INDEX('Input Transaksi'!$D:$D,$E325))</f>
        <v/>
      </c>
      <c r="C325">
        <f>IF($E325="","",INDEX('Input Transaksi'!$E:$E,$E325))</f>
        <v/>
      </c>
      <c r="D325" s="5">
        <f>IF($E325="","",INDEX('Input Transaksi'!$F:$F,$E325))</f>
        <v/>
      </c>
      <c r="E325">
        <f>IFERROR(AGGREGATE(15,6,ROW('Input Transaksi'!$B$5:$B$5000)/('Input Transaksi'!$B$5:$B$5000="DIY"),ROWS($E$5:E325)),"")</f>
        <v/>
      </c>
      <c r="F325" s="5" t="n"/>
    </row>
    <row r="326">
      <c r="A326" s="10">
        <f>IF($E326="","",INDEX('Input Transaksi'!$A:$A,$E326))</f>
        <v/>
      </c>
      <c r="B326" s="5">
        <f>IF($E326="","",INDEX('Input Transaksi'!$D:$D,$E326))</f>
        <v/>
      </c>
      <c r="C326">
        <f>IF($E326="","",INDEX('Input Transaksi'!$E:$E,$E326))</f>
        <v/>
      </c>
      <c r="D326" s="5">
        <f>IF($E326="","",INDEX('Input Transaksi'!$F:$F,$E326))</f>
        <v/>
      </c>
      <c r="E326">
        <f>IFERROR(AGGREGATE(15,6,ROW('Input Transaksi'!$B$5:$B$5000)/('Input Transaksi'!$B$5:$B$5000="DIY"),ROWS($E$5:E326)),"")</f>
        <v/>
      </c>
      <c r="F326" s="5" t="n"/>
    </row>
    <row r="327">
      <c r="A327" s="10">
        <f>IF($E327="","",INDEX('Input Transaksi'!$A:$A,$E327))</f>
        <v/>
      </c>
      <c r="B327" s="5">
        <f>IF($E327="","",INDEX('Input Transaksi'!$D:$D,$E327))</f>
        <v/>
      </c>
      <c r="C327">
        <f>IF($E327="","",INDEX('Input Transaksi'!$E:$E,$E327))</f>
        <v/>
      </c>
      <c r="D327" s="5">
        <f>IF($E327="","",INDEX('Input Transaksi'!$F:$F,$E327))</f>
        <v/>
      </c>
      <c r="E327">
        <f>IFERROR(AGGREGATE(15,6,ROW('Input Transaksi'!$B$5:$B$5000)/('Input Transaksi'!$B$5:$B$5000="DIY"),ROWS($E$5:E327)),"")</f>
        <v/>
      </c>
      <c r="F327" s="5" t="n"/>
    </row>
    <row r="328">
      <c r="A328" s="10">
        <f>IF($E328="","",INDEX('Input Transaksi'!$A:$A,$E328))</f>
        <v/>
      </c>
      <c r="B328" s="5">
        <f>IF($E328="","",INDEX('Input Transaksi'!$D:$D,$E328))</f>
        <v/>
      </c>
      <c r="C328">
        <f>IF($E328="","",INDEX('Input Transaksi'!$E:$E,$E328))</f>
        <v/>
      </c>
      <c r="D328" s="5">
        <f>IF($E328="","",INDEX('Input Transaksi'!$F:$F,$E328))</f>
        <v/>
      </c>
      <c r="E328">
        <f>IFERROR(AGGREGATE(15,6,ROW('Input Transaksi'!$B$5:$B$5000)/('Input Transaksi'!$B$5:$B$5000="DIY"),ROWS($E$5:E328)),"")</f>
        <v/>
      </c>
      <c r="F328" s="5" t="n"/>
    </row>
    <row r="329">
      <c r="A329" s="10">
        <f>IF($E329="","",INDEX('Input Transaksi'!$A:$A,$E329))</f>
        <v/>
      </c>
      <c r="B329" s="5">
        <f>IF($E329="","",INDEX('Input Transaksi'!$D:$D,$E329))</f>
        <v/>
      </c>
      <c r="C329">
        <f>IF($E329="","",INDEX('Input Transaksi'!$E:$E,$E329))</f>
        <v/>
      </c>
      <c r="D329" s="5">
        <f>IF($E329="","",INDEX('Input Transaksi'!$F:$F,$E329))</f>
        <v/>
      </c>
      <c r="E329">
        <f>IFERROR(AGGREGATE(15,6,ROW('Input Transaksi'!$B$5:$B$5000)/('Input Transaksi'!$B$5:$B$5000="DIY"),ROWS($E$5:E329)),"")</f>
        <v/>
      </c>
      <c r="F329" s="5" t="n"/>
    </row>
    <row r="330">
      <c r="A330" s="10">
        <f>IF($E330="","",INDEX('Input Transaksi'!$A:$A,$E330))</f>
        <v/>
      </c>
      <c r="B330" s="5">
        <f>IF($E330="","",INDEX('Input Transaksi'!$D:$D,$E330))</f>
        <v/>
      </c>
      <c r="C330">
        <f>IF($E330="","",INDEX('Input Transaksi'!$E:$E,$E330))</f>
        <v/>
      </c>
      <c r="D330" s="5">
        <f>IF($E330="","",INDEX('Input Transaksi'!$F:$F,$E330))</f>
        <v/>
      </c>
      <c r="E330">
        <f>IFERROR(AGGREGATE(15,6,ROW('Input Transaksi'!$B$5:$B$5000)/('Input Transaksi'!$B$5:$B$5000="DIY"),ROWS($E$5:E330)),"")</f>
        <v/>
      </c>
      <c r="F330" s="5" t="n"/>
    </row>
    <row r="331">
      <c r="A331" s="10">
        <f>IF($E331="","",INDEX('Input Transaksi'!$A:$A,$E331))</f>
        <v/>
      </c>
      <c r="B331" s="5">
        <f>IF($E331="","",INDEX('Input Transaksi'!$D:$D,$E331))</f>
        <v/>
      </c>
      <c r="C331">
        <f>IF($E331="","",INDEX('Input Transaksi'!$E:$E,$E331))</f>
        <v/>
      </c>
      <c r="D331" s="5">
        <f>IF($E331="","",INDEX('Input Transaksi'!$F:$F,$E331))</f>
        <v/>
      </c>
      <c r="E331">
        <f>IFERROR(AGGREGATE(15,6,ROW('Input Transaksi'!$B$5:$B$5000)/('Input Transaksi'!$B$5:$B$5000="DIY"),ROWS($E$5:E331)),"")</f>
        <v/>
      </c>
      <c r="F331" s="5" t="n"/>
    </row>
    <row r="332">
      <c r="A332" s="10">
        <f>IF($E332="","",INDEX('Input Transaksi'!$A:$A,$E332))</f>
        <v/>
      </c>
      <c r="B332" s="5">
        <f>IF($E332="","",INDEX('Input Transaksi'!$D:$D,$E332))</f>
        <v/>
      </c>
      <c r="C332">
        <f>IF($E332="","",INDEX('Input Transaksi'!$E:$E,$E332))</f>
        <v/>
      </c>
      <c r="D332" s="5">
        <f>IF($E332="","",INDEX('Input Transaksi'!$F:$F,$E332))</f>
        <v/>
      </c>
      <c r="E332">
        <f>IFERROR(AGGREGATE(15,6,ROW('Input Transaksi'!$B$5:$B$5000)/('Input Transaksi'!$B$5:$B$5000="DIY"),ROWS($E$5:E332)),"")</f>
        <v/>
      </c>
      <c r="F332" s="5" t="n"/>
    </row>
    <row r="333">
      <c r="A333" s="10">
        <f>IF($E333="","",INDEX('Input Transaksi'!$A:$A,$E333))</f>
        <v/>
      </c>
      <c r="B333" s="5">
        <f>IF($E333="","",INDEX('Input Transaksi'!$D:$D,$E333))</f>
        <v/>
      </c>
      <c r="C333">
        <f>IF($E333="","",INDEX('Input Transaksi'!$E:$E,$E333))</f>
        <v/>
      </c>
      <c r="D333" s="5">
        <f>IF($E333="","",INDEX('Input Transaksi'!$F:$F,$E333))</f>
        <v/>
      </c>
      <c r="E333">
        <f>IFERROR(AGGREGATE(15,6,ROW('Input Transaksi'!$B$5:$B$5000)/('Input Transaksi'!$B$5:$B$5000="DIY"),ROWS($E$5:E333)),"")</f>
        <v/>
      </c>
      <c r="F333" s="5" t="n"/>
    </row>
    <row r="334">
      <c r="A334" s="10">
        <f>IF($E334="","",INDEX('Input Transaksi'!$A:$A,$E334))</f>
        <v/>
      </c>
      <c r="B334" s="5">
        <f>IF($E334="","",INDEX('Input Transaksi'!$D:$D,$E334))</f>
        <v/>
      </c>
      <c r="C334">
        <f>IF($E334="","",INDEX('Input Transaksi'!$E:$E,$E334))</f>
        <v/>
      </c>
      <c r="D334" s="5">
        <f>IF($E334="","",INDEX('Input Transaksi'!$F:$F,$E334))</f>
        <v/>
      </c>
      <c r="E334">
        <f>IFERROR(AGGREGATE(15,6,ROW('Input Transaksi'!$B$5:$B$5000)/('Input Transaksi'!$B$5:$B$5000="DIY"),ROWS($E$5:E334)),"")</f>
        <v/>
      </c>
      <c r="F334" s="5" t="n"/>
    </row>
    <row r="335">
      <c r="A335" s="10">
        <f>IF($E335="","",INDEX('Input Transaksi'!$A:$A,$E335))</f>
        <v/>
      </c>
      <c r="B335" s="5">
        <f>IF($E335="","",INDEX('Input Transaksi'!$D:$D,$E335))</f>
        <v/>
      </c>
      <c r="C335">
        <f>IF($E335="","",INDEX('Input Transaksi'!$E:$E,$E335))</f>
        <v/>
      </c>
      <c r="D335" s="5">
        <f>IF($E335="","",INDEX('Input Transaksi'!$F:$F,$E335))</f>
        <v/>
      </c>
      <c r="E335">
        <f>IFERROR(AGGREGATE(15,6,ROW('Input Transaksi'!$B$5:$B$5000)/('Input Transaksi'!$B$5:$B$5000="DIY"),ROWS($E$5:E335)),"")</f>
        <v/>
      </c>
      <c r="F335" s="5" t="n"/>
    </row>
    <row r="336">
      <c r="A336" s="10">
        <f>IF($E336="","",INDEX('Input Transaksi'!$A:$A,$E336))</f>
        <v/>
      </c>
      <c r="B336" s="5">
        <f>IF($E336="","",INDEX('Input Transaksi'!$D:$D,$E336))</f>
        <v/>
      </c>
      <c r="C336">
        <f>IF($E336="","",INDEX('Input Transaksi'!$E:$E,$E336))</f>
        <v/>
      </c>
      <c r="D336" s="5">
        <f>IF($E336="","",INDEX('Input Transaksi'!$F:$F,$E336))</f>
        <v/>
      </c>
      <c r="E336">
        <f>IFERROR(AGGREGATE(15,6,ROW('Input Transaksi'!$B$5:$B$5000)/('Input Transaksi'!$B$5:$B$5000="DIY"),ROWS($E$5:E336)),"")</f>
        <v/>
      </c>
      <c r="F336" s="5" t="n"/>
    </row>
    <row r="337">
      <c r="A337" s="10">
        <f>IF($E337="","",INDEX('Input Transaksi'!$A:$A,$E337))</f>
        <v/>
      </c>
      <c r="B337" s="5">
        <f>IF($E337="","",INDEX('Input Transaksi'!$D:$D,$E337))</f>
        <v/>
      </c>
      <c r="C337">
        <f>IF($E337="","",INDEX('Input Transaksi'!$E:$E,$E337))</f>
        <v/>
      </c>
      <c r="D337" s="5">
        <f>IF($E337="","",INDEX('Input Transaksi'!$F:$F,$E337))</f>
        <v/>
      </c>
      <c r="E337">
        <f>IFERROR(AGGREGATE(15,6,ROW('Input Transaksi'!$B$5:$B$5000)/('Input Transaksi'!$B$5:$B$5000="DIY"),ROWS($E$5:E337)),"")</f>
        <v/>
      </c>
      <c r="F337" s="5" t="n"/>
    </row>
    <row r="338">
      <c r="A338" s="10">
        <f>IF($E338="","",INDEX('Input Transaksi'!$A:$A,$E338))</f>
        <v/>
      </c>
      <c r="B338" s="5">
        <f>IF($E338="","",INDEX('Input Transaksi'!$D:$D,$E338))</f>
        <v/>
      </c>
      <c r="C338">
        <f>IF($E338="","",INDEX('Input Transaksi'!$E:$E,$E338))</f>
        <v/>
      </c>
      <c r="D338" s="5">
        <f>IF($E338="","",INDEX('Input Transaksi'!$F:$F,$E338))</f>
        <v/>
      </c>
      <c r="E338">
        <f>IFERROR(AGGREGATE(15,6,ROW('Input Transaksi'!$B$5:$B$5000)/('Input Transaksi'!$B$5:$B$5000="DIY"),ROWS($E$5:E338)),"")</f>
        <v/>
      </c>
      <c r="F338" s="5" t="n"/>
    </row>
    <row r="339">
      <c r="A339" s="10">
        <f>IF($E339="","",INDEX('Input Transaksi'!$A:$A,$E339))</f>
        <v/>
      </c>
      <c r="B339" s="5">
        <f>IF($E339="","",INDEX('Input Transaksi'!$D:$D,$E339))</f>
        <v/>
      </c>
      <c r="C339">
        <f>IF($E339="","",INDEX('Input Transaksi'!$E:$E,$E339))</f>
        <v/>
      </c>
      <c r="D339" s="5">
        <f>IF($E339="","",INDEX('Input Transaksi'!$F:$F,$E339))</f>
        <v/>
      </c>
      <c r="E339">
        <f>IFERROR(AGGREGATE(15,6,ROW('Input Transaksi'!$B$5:$B$5000)/('Input Transaksi'!$B$5:$B$5000="DIY"),ROWS($E$5:E339)),"")</f>
        <v/>
      </c>
      <c r="F339" s="5" t="n"/>
    </row>
    <row r="340">
      <c r="A340" s="10">
        <f>IF($E340="","",INDEX('Input Transaksi'!$A:$A,$E340))</f>
        <v/>
      </c>
      <c r="B340" s="5">
        <f>IF($E340="","",INDEX('Input Transaksi'!$D:$D,$E340))</f>
        <v/>
      </c>
      <c r="C340">
        <f>IF($E340="","",INDEX('Input Transaksi'!$E:$E,$E340))</f>
        <v/>
      </c>
      <c r="D340" s="5">
        <f>IF($E340="","",INDEX('Input Transaksi'!$F:$F,$E340))</f>
        <v/>
      </c>
      <c r="E340">
        <f>IFERROR(AGGREGATE(15,6,ROW('Input Transaksi'!$B$5:$B$5000)/('Input Transaksi'!$B$5:$B$5000="DIY"),ROWS($E$5:E340)),"")</f>
        <v/>
      </c>
      <c r="F340" s="5" t="n"/>
    </row>
    <row r="341">
      <c r="A341" s="10">
        <f>IF($E341="","",INDEX('Input Transaksi'!$A:$A,$E341))</f>
        <v/>
      </c>
      <c r="B341" s="5">
        <f>IF($E341="","",INDEX('Input Transaksi'!$D:$D,$E341))</f>
        <v/>
      </c>
      <c r="C341">
        <f>IF($E341="","",INDEX('Input Transaksi'!$E:$E,$E341))</f>
        <v/>
      </c>
      <c r="D341" s="5">
        <f>IF($E341="","",INDEX('Input Transaksi'!$F:$F,$E341))</f>
        <v/>
      </c>
      <c r="E341">
        <f>IFERROR(AGGREGATE(15,6,ROW('Input Transaksi'!$B$5:$B$5000)/('Input Transaksi'!$B$5:$B$5000="DIY"),ROWS($E$5:E341)),"")</f>
        <v/>
      </c>
      <c r="F341" s="5" t="n"/>
    </row>
    <row r="342">
      <c r="A342" s="10">
        <f>IF($E342="","",INDEX('Input Transaksi'!$A:$A,$E342))</f>
        <v/>
      </c>
      <c r="B342" s="5">
        <f>IF($E342="","",INDEX('Input Transaksi'!$D:$D,$E342))</f>
        <v/>
      </c>
      <c r="C342">
        <f>IF($E342="","",INDEX('Input Transaksi'!$E:$E,$E342))</f>
        <v/>
      </c>
      <c r="D342" s="5">
        <f>IF($E342="","",INDEX('Input Transaksi'!$F:$F,$E342))</f>
        <v/>
      </c>
      <c r="E342">
        <f>IFERROR(AGGREGATE(15,6,ROW('Input Transaksi'!$B$5:$B$5000)/('Input Transaksi'!$B$5:$B$5000="DIY"),ROWS($E$5:E342)),"")</f>
        <v/>
      </c>
      <c r="F342" s="5" t="n"/>
    </row>
    <row r="343">
      <c r="A343" s="10">
        <f>IF($E343="","",INDEX('Input Transaksi'!$A:$A,$E343))</f>
        <v/>
      </c>
      <c r="B343" s="5">
        <f>IF($E343="","",INDEX('Input Transaksi'!$D:$D,$E343))</f>
        <v/>
      </c>
      <c r="C343">
        <f>IF($E343="","",INDEX('Input Transaksi'!$E:$E,$E343))</f>
        <v/>
      </c>
      <c r="D343" s="5">
        <f>IF($E343="","",INDEX('Input Transaksi'!$F:$F,$E343))</f>
        <v/>
      </c>
      <c r="E343">
        <f>IFERROR(AGGREGATE(15,6,ROW('Input Transaksi'!$B$5:$B$5000)/('Input Transaksi'!$B$5:$B$5000="DIY"),ROWS($E$5:E343)),"")</f>
        <v/>
      </c>
      <c r="F343" s="5" t="n"/>
    </row>
    <row r="344">
      <c r="A344" s="10">
        <f>IF($E344="","",INDEX('Input Transaksi'!$A:$A,$E344))</f>
        <v/>
      </c>
      <c r="B344" s="5">
        <f>IF($E344="","",INDEX('Input Transaksi'!$D:$D,$E344))</f>
        <v/>
      </c>
      <c r="C344">
        <f>IF($E344="","",INDEX('Input Transaksi'!$E:$E,$E344))</f>
        <v/>
      </c>
      <c r="D344" s="5">
        <f>IF($E344="","",INDEX('Input Transaksi'!$F:$F,$E344))</f>
        <v/>
      </c>
      <c r="E344">
        <f>IFERROR(AGGREGATE(15,6,ROW('Input Transaksi'!$B$5:$B$5000)/('Input Transaksi'!$B$5:$B$5000="DIY"),ROWS($E$5:E344)),"")</f>
        <v/>
      </c>
      <c r="F344" s="5" t="n"/>
    </row>
    <row r="345">
      <c r="A345" s="10">
        <f>IF($E345="","",INDEX('Input Transaksi'!$A:$A,$E345))</f>
        <v/>
      </c>
      <c r="B345" s="5">
        <f>IF($E345="","",INDEX('Input Transaksi'!$D:$D,$E345))</f>
        <v/>
      </c>
      <c r="C345">
        <f>IF($E345="","",INDEX('Input Transaksi'!$E:$E,$E345))</f>
        <v/>
      </c>
      <c r="D345" s="5">
        <f>IF($E345="","",INDEX('Input Transaksi'!$F:$F,$E345))</f>
        <v/>
      </c>
      <c r="E345">
        <f>IFERROR(AGGREGATE(15,6,ROW('Input Transaksi'!$B$5:$B$5000)/('Input Transaksi'!$B$5:$B$5000="DIY"),ROWS($E$5:E345)),"")</f>
        <v/>
      </c>
      <c r="F345" s="5" t="n"/>
    </row>
    <row r="346">
      <c r="A346" s="10">
        <f>IF($E346="","",INDEX('Input Transaksi'!$A:$A,$E346))</f>
        <v/>
      </c>
      <c r="B346" s="5">
        <f>IF($E346="","",INDEX('Input Transaksi'!$D:$D,$E346))</f>
        <v/>
      </c>
      <c r="C346">
        <f>IF($E346="","",INDEX('Input Transaksi'!$E:$E,$E346))</f>
        <v/>
      </c>
      <c r="D346" s="5">
        <f>IF($E346="","",INDEX('Input Transaksi'!$F:$F,$E346))</f>
        <v/>
      </c>
      <c r="E346">
        <f>IFERROR(AGGREGATE(15,6,ROW('Input Transaksi'!$B$5:$B$5000)/('Input Transaksi'!$B$5:$B$5000="DIY"),ROWS($E$5:E346)),"")</f>
        <v/>
      </c>
      <c r="F346" s="5" t="n"/>
    </row>
    <row r="347">
      <c r="A347" s="10">
        <f>IF($E347="","",INDEX('Input Transaksi'!$A:$A,$E347))</f>
        <v/>
      </c>
      <c r="B347" s="5">
        <f>IF($E347="","",INDEX('Input Transaksi'!$D:$D,$E347))</f>
        <v/>
      </c>
      <c r="C347">
        <f>IF($E347="","",INDEX('Input Transaksi'!$E:$E,$E347))</f>
        <v/>
      </c>
      <c r="D347" s="5">
        <f>IF($E347="","",INDEX('Input Transaksi'!$F:$F,$E347))</f>
        <v/>
      </c>
      <c r="E347">
        <f>IFERROR(AGGREGATE(15,6,ROW('Input Transaksi'!$B$5:$B$5000)/('Input Transaksi'!$B$5:$B$5000="DIY"),ROWS($E$5:E347)),"")</f>
        <v/>
      </c>
      <c r="F347" s="5" t="n"/>
    </row>
    <row r="348">
      <c r="A348" s="10">
        <f>IF($E348="","",INDEX('Input Transaksi'!$A:$A,$E348))</f>
        <v/>
      </c>
      <c r="B348" s="5">
        <f>IF($E348="","",INDEX('Input Transaksi'!$D:$D,$E348))</f>
        <v/>
      </c>
      <c r="C348">
        <f>IF($E348="","",INDEX('Input Transaksi'!$E:$E,$E348))</f>
        <v/>
      </c>
      <c r="D348" s="5">
        <f>IF($E348="","",INDEX('Input Transaksi'!$F:$F,$E348))</f>
        <v/>
      </c>
      <c r="E348">
        <f>IFERROR(AGGREGATE(15,6,ROW('Input Transaksi'!$B$5:$B$5000)/('Input Transaksi'!$B$5:$B$5000="DIY"),ROWS($E$5:E348)),"")</f>
        <v/>
      </c>
      <c r="F348" s="5" t="n"/>
    </row>
    <row r="349">
      <c r="A349" s="10">
        <f>IF($E349="","",INDEX('Input Transaksi'!$A:$A,$E349))</f>
        <v/>
      </c>
      <c r="B349" s="5">
        <f>IF($E349="","",INDEX('Input Transaksi'!$D:$D,$E349))</f>
        <v/>
      </c>
      <c r="C349">
        <f>IF($E349="","",INDEX('Input Transaksi'!$E:$E,$E349))</f>
        <v/>
      </c>
      <c r="D349" s="5">
        <f>IF($E349="","",INDEX('Input Transaksi'!$F:$F,$E349))</f>
        <v/>
      </c>
      <c r="E349">
        <f>IFERROR(AGGREGATE(15,6,ROW('Input Transaksi'!$B$5:$B$5000)/('Input Transaksi'!$B$5:$B$5000="DIY"),ROWS($E$5:E349)),"")</f>
        <v/>
      </c>
      <c r="F349" s="5" t="n"/>
    </row>
    <row r="350">
      <c r="A350" s="10">
        <f>IF($E350="","",INDEX('Input Transaksi'!$A:$A,$E350))</f>
        <v/>
      </c>
      <c r="B350" s="5">
        <f>IF($E350="","",INDEX('Input Transaksi'!$D:$D,$E350))</f>
        <v/>
      </c>
      <c r="C350">
        <f>IF($E350="","",INDEX('Input Transaksi'!$E:$E,$E350))</f>
        <v/>
      </c>
      <c r="D350" s="5">
        <f>IF($E350="","",INDEX('Input Transaksi'!$F:$F,$E350))</f>
        <v/>
      </c>
      <c r="E350">
        <f>IFERROR(AGGREGATE(15,6,ROW('Input Transaksi'!$B$5:$B$5000)/('Input Transaksi'!$B$5:$B$5000="DIY"),ROWS($E$5:E350)),"")</f>
        <v/>
      </c>
      <c r="F350" s="5" t="n"/>
    </row>
    <row r="351">
      <c r="A351" s="10">
        <f>IF($E351="","",INDEX('Input Transaksi'!$A:$A,$E351))</f>
        <v/>
      </c>
      <c r="B351" s="5">
        <f>IF($E351="","",INDEX('Input Transaksi'!$D:$D,$E351))</f>
        <v/>
      </c>
      <c r="C351">
        <f>IF($E351="","",INDEX('Input Transaksi'!$E:$E,$E351))</f>
        <v/>
      </c>
      <c r="D351" s="5">
        <f>IF($E351="","",INDEX('Input Transaksi'!$F:$F,$E351))</f>
        <v/>
      </c>
      <c r="E351">
        <f>IFERROR(AGGREGATE(15,6,ROW('Input Transaksi'!$B$5:$B$5000)/('Input Transaksi'!$B$5:$B$5000="DIY"),ROWS($E$5:E351)),"")</f>
        <v/>
      </c>
      <c r="F351" s="5" t="n"/>
    </row>
    <row r="352">
      <c r="A352" s="10">
        <f>IF($E352="","",INDEX('Input Transaksi'!$A:$A,$E352))</f>
        <v/>
      </c>
      <c r="B352" s="5">
        <f>IF($E352="","",INDEX('Input Transaksi'!$D:$D,$E352))</f>
        <v/>
      </c>
      <c r="C352">
        <f>IF($E352="","",INDEX('Input Transaksi'!$E:$E,$E352))</f>
        <v/>
      </c>
      <c r="D352" s="5">
        <f>IF($E352="","",INDEX('Input Transaksi'!$F:$F,$E352))</f>
        <v/>
      </c>
      <c r="E352">
        <f>IFERROR(AGGREGATE(15,6,ROW('Input Transaksi'!$B$5:$B$5000)/('Input Transaksi'!$B$5:$B$5000="DIY"),ROWS($E$5:E352)),"")</f>
        <v/>
      </c>
      <c r="F352" s="5" t="n"/>
    </row>
    <row r="353">
      <c r="A353" s="10">
        <f>IF($E353="","",INDEX('Input Transaksi'!$A:$A,$E353))</f>
        <v/>
      </c>
      <c r="B353" s="5">
        <f>IF($E353="","",INDEX('Input Transaksi'!$D:$D,$E353))</f>
        <v/>
      </c>
      <c r="C353">
        <f>IF($E353="","",INDEX('Input Transaksi'!$E:$E,$E353))</f>
        <v/>
      </c>
      <c r="D353" s="5">
        <f>IF($E353="","",INDEX('Input Transaksi'!$F:$F,$E353))</f>
        <v/>
      </c>
      <c r="E353">
        <f>IFERROR(AGGREGATE(15,6,ROW('Input Transaksi'!$B$5:$B$5000)/('Input Transaksi'!$B$5:$B$5000="DIY"),ROWS($E$5:E353)),"")</f>
        <v/>
      </c>
      <c r="F353" s="5" t="n"/>
    </row>
    <row r="354">
      <c r="A354" s="10">
        <f>IF($E354="","",INDEX('Input Transaksi'!$A:$A,$E354))</f>
        <v/>
      </c>
      <c r="B354" s="5">
        <f>IF($E354="","",INDEX('Input Transaksi'!$D:$D,$E354))</f>
        <v/>
      </c>
      <c r="C354">
        <f>IF($E354="","",INDEX('Input Transaksi'!$E:$E,$E354))</f>
        <v/>
      </c>
      <c r="D354" s="5">
        <f>IF($E354="","",INDEX('Input Transaksi'!$F:$F,$E354))</f>
        <v/>
      </c>
      <c r="E354">
        <f>IFERROR(AGGREGATE(15,6,ROW('Input Transaksi'!$B$5:$B$5000)/('Input Transaksi'!$B$5:$B$5000="DIY"),ROWS($E$5:E354)),"")</f>
        <v/>
      </c>
      <c r="F354" s="5" t="n"/>
    </row>
    <row r="355">
      <c r="A355" s="10">
        <f>IF($E355="","",INDEX('Input Transaksi'!$A:$A,$E355))</f>
        <v/>
      </c>
      <c r="B355" s="5">
        <f>IF($E355="","",INDEX('Input Transaksi'!$D:$D,$E355))</f>
        <v/>
      </c>
      <c r="C355">
        <f>IF($E355="","",INDEX('Input Transaksi'!$E:$E,$E355))</f>
        <v/>
      </c>
      <c r="D355" s="5">
        <f>IF($E355="","",INDEX('Input Transaksi'!$F:$F,$E355))</f>
        <v/>
      </c>
      <c r="E355">
        <f>IFERROR(AGGREGATE(15,6,ROW('Input Transaksi'!$B$5:$B$5000)/('Input Transaksi'!$B$5:$B$5000="DIY"),ROWS($E$5:E355)),"")</f>
        <v/>
      </c>
      <c r="F355" s="5" t="n"/>
    </row>
    <row r="356">
      <c r="A356" s="10">
        <f>IF($E356="","",INDEX('Input Transaksi'!$A:$A,$E356))</f>
        <v/>
      </c>
      <c r="B356" s="5">
        <f>IF($E356="","",INDEX('Input Transaksi'!$D:$D,$E356))</f>
        <v/>
      </c>
      <c r="C356">
        <f>IF($E356="","",INDEX('Input Transaksi'!$E:$E,$E356))</f>
        <v/>
      </c>
      <c r="D356" s="5">
        <f>IF($E356="","",INDEX('Input Transaksi'!$F:$F,$E356))</f>
        <v/>
      </c>
      <c r="E356">
        <f>IFERROR(AGGREGATE(15,6,ROW('Input Transaksi'!$B$5:$B$5000)/('Input Transaksi'!$B$5:$B$5000="DIY"),ROWS($E$5:E356)),"")</f>
        <v/>
      </c>
      <c r="F356" s="5" t="n"/>
    </row>
    <row r="357">
      <c r="A357" s="10">
        <f>IF($E357="","",INDEX('Input Transaksi'!$A:$A,$E357))</f>
        <v/>
      </c>
      <c r="B357" s="5">
        <f>IF($E357="","",INDEX('Input Transaksi'!$D:$D,$E357))</f>
        <v/>
      </c>
      <c r="C357">
        <f>IF($E357="","",INDEX('Input Transaksi'!$E:$E,$E357))</f>
        <v/>
      </c>
      <c r="D357" s="5">
        <f>IF($E357="","",INDEX('Input Transaksi'!$F:$F,$E357))</f>
        <v/>
      </c>
      <c r="E357">
        <f>IFERROR(AGGREGATE(15,6,ROW('Input Transaksi'!$B$5:$B$5000)/('Input Transaksi'!$B$5:$B$5000="DIY"),ROWS($E$5:E357)),"")</f>
        <v/>
      </c>
      <c r="F357" s="5" t="n"/>
    </row>
    <row r="358">
      <c r="A358" s="10">
        <f>IF($E358="","",INDEX('Input Transaksi'!$A:$A,$E358))</f>
        <v/>
      </c>
      <c r="B358" s="5">
        <f>IF($E358="","",INDEX('Input Transaksi'!$D:$D,$E358))</f>
        <v/>
      </c>
      <c r="C358">
        <f>IF($E358="","",INDEX('Input Transaksi'!$E:$E,$E358))</f>
        <v/>
      </c>
      <c r="D358" s="5">
        <f>IF($E358="","",INDEX('Input Transaksi'!$F:$F,$E358))</f>
        <v/>
      </c>
      <c r="E358">
        <f>IFERROR(AGGREGATE(15,6,ROW('Input Transaksi'!$B$5:$B$5000)/('Input Transaksi'!$B$5:$B$5000="DIY"),ROWS($E$5:E358)),"")</f>
        <v/>
      </c>
      <c r="F358" s="5" t="n"/>
    </row>
    <row r="359">
      <c r="A359" s="10">
        <f>IF($E359="","",INDEX('Input Transaksi'!$A:$A,$E359))</f>
        <v/>
      </c>
      <c r="B359" s="5">
        <f>IF($E359="","",INDEX('Input Transaksi'!$D:$D,$E359))</f>
        <v/>
      </c>
      <c r="C359">
        <f>IF($E359="","",INDEX('Input Transaksi'!$E:$E,$E359))</f>
        <v/>
      </c>
      <c r="D359" s="5">
        <f>IF($E359="","",INDEX('Input Transaksi'!$F:$F,$E359))</f>
        <v/>
      </c>
      <c r="E359">
        <f>IFERROR(AGGREGATE(15,6,ROW('Input Transaksi'!$B$5:$B$5000)/('Input Transaksi'!$B$5:$B$5000="DIY"),ROWS($E$5:E359)),"")</f>
        <v/>
      </c>
      <c r="F359" s="5" t="n"/>
    </row>
    <row r="360">
      <c r="A360" s="10">
        <f>IF($E360="","",INDEX('Input Transaksi'!$A:$A,$E360))</f>
        <v/>
      </c>
      <c r="B360" s="5">
        <f>IF($E360="","",INDEX('Input Transaksi'!$D:$D,$E360))</f>
        <v/>
      </c>
      <c r="C360">
        <f>IF($E360="","",INDEX('Input Transaksi'!$E:$E,$E360))</f>
        <v/>
      </c>
      <c r="D360" s="5">
        <f>IF($E360="","",INDEX('Input Transaksi'!$F:$F,$E360))</f>
        <v/>
      </c>
      <c r="E360">
        <f>IFERROR(AGGREGATE(15,6,ROW('Input Transaksi'!$B$5:$B$5000)/('Input Transaksi'!$B$5:$B$5000="DIY"),ROWS($E$5:E360)),"")</f>
        <v/>
      </c>
      <c r="F360" s="5" t="n"/>
    </row>
    <row r="361">
      <c r="A361" s="10">
        <f>IF($E361="","",INDEX('Input Transaksi'!$A:$A,$E361))</f>
        <v/>
      </c>
      <c r="B361" s="5">
        <f>IF($E361="","",INDEX('Input Transaksi'!$D:$D,$E361))</f>
        <v/>
      </c>
      <c r="C361">
        <f>IF($E361="","",INDEX('Input Transaksi'!$E:$E,$E361))</f>
        <v/>
      </c>
      <c r="D361" s="5">
        <f>IF($E361="","",INDEX('Input Transaksi'!$F:$F,$E361))</f>
        <v/>
      </c>
      <c r="E361">
        <f>IFERROR(AGGREGATE(15,6,ROW('Input Transaksi'!$B$5:$B$5000)/('Input Transaksi'!$B$5:$B$5000="DIY"),ROWS($E$5:E361)),"")</f>
        <v/>
      </c>
      <c r="F361" s="5" t="n"/>
    </row>
    <row r="362">
      <c r="A362" s="10">
        <f>IF($E362="","",INDEX('Input Transaksi'!$A:$A,$E362))</f>
        <v/>
      </c>
      <c r="B362" s="5">
        <f>IF($E362="","",INDEX('Input Transaksi'!$D:$D,$E362))</f>
        <v/>
      </c>
      <c r="C362">
        <f>IF($E362="","",INDEX('Input Transaksi'!$E:$E,$E362))</f>
        <v/>
      </c>
      <c r="D362" s="5">
        <f>IF($E362="","",INDEX('Input Transaksi'!$F:$F,$E362))</f>
        <v/>
      </c>
      <c r="E362">
        <f>IFERROR(AGGREGATE(15,6,ROW('Input Transaksi'!$B$5:$B$5000)/('Input Transaksi'!$B$5:$B$5000="DIY"),ROWS($E$5:E362)),"")</f>
        <v/>
      </c>
      <c r="F362" s="5" t="n"/>
    </row>
    <row r="363">
      <c r="A363" s="10">
        <f>IF($E363="","",INDEX('Input Transaksi'!$A:$A,$E363))</f>
        <v/>
      </c>
      <c r="B363" s="5">
        <f>IF($E363="","",INDEX('Input Transaksi'!$D:$D,$E363))</f>
        <v/>
      </c>
      <c r="C363">
        <f>IF($E363="","",INDEX('Input Transaksi'!$E:$E,$E363))</f>
        <v/>
      </c>
      <c r="D363" s="5">
        <f>IF($E363="","",INDEX('Input Transaksi'!$F:$F,$E363))</f>
        <v/>
      </c>
      <c r="E363">
        <f>IFERROR(AGGREGATE(15,6,ROW('Input Transaksi'!$B$5:$B$5000)/('Input Transaksi'!$B$5:$B$5000="DIY"),ROWS($E$5:E363)),"")</f>
        <v/>
      </c>
      <c r="F363" s="5" t="n"/>
    </row>
    <row r="364">
      <c r="A364" s="10">
        <f>IF($E364="","",INDEX('Input Transaksi'!$A:$A,$E364))</f>
        <v/>
      </c>
      <c r="B364" s="5">
        <f>IF($E364="","",INDEX('Input Transaksi'!$D:$D,$E364))</f>
        <v/>
      </c>
      <c r="C364">
        <f>IF($E364="","",INDEX('Input Transaksi'!$E:$E,$E364))</f>
        <v/>
      </c>
      <c r="D364" s="5">
        <f>IF($E364="","",INDEX('Input Transaksi'!$F:$F,$E364))</f>
        <v/>
      </c>
      <c r="E364">
        <f>IFERROR(AGGREGATE(15,6,ROW('Input Transaksi'!$B$5:$B$5000)/('Input Transaksi'!$B$5:$B$5000="DIY"),ROWS($E$5:E364)),"")</f>
        <v/>
      </c>
      <c r="F364" s="5" t="n"/>
    </row>
    <row r="365">
      <c r="A365" s="10">
        <f>IF($E365="","",INDEX('Input Transaksi'!$A:$A,$E365))</f>
        <v/>
      </c>
      <c r="B365" s="5">
        <f>IF($E365="","",INDEX('Input Transaksi'!$D:$D,$E365))</f>
        <v/>
      </c>
      <c r="C365">
        <f>IF($E365="","",INDEX('Input Transaksi'!$E:$E,$E365))</f>
        <v/>
      </c>
      <c r="D365" s="5">
        <f>IF($E365="","",INDEX('Input Transaksi'!$F:$F,$E365))</f>
        <v/>
      </c>
      <c r="E365">
        <f>IFERROR(AGGREGATE(15,6,ROW('Input Transaksi'!$B$5:$B$5000)/('Input Transaksi'!$B$5:$B$5000="DIY"),ROWS($E$5:E365)),"")</f>
        <v/>
      </c>
      <c r="F365" s="5" t="n"/>
    </row>
    <row r="366">
      <c r="A366" s="10">
        <f>IF($E366="","",INDEX('Input Transaksi'!$A:$A,$E366))</f>
        <v/>
      </c>
      <c r="B366" s="5">
        <f>IF($E366="","",INDEX('Input Transaksi'!$D:$D,$E366))</f>
        <v/>
      </c>
      <c r="C366">
        <f>IF($E366="","",INDEX('Input Transaksi'!$E:$E,$E366))</f>
        <v/>
      </c>
      <c r="D366" s="5">
        <f>IF($E366="","",INDEX('Input Transaksi'!$F:$F,$E366))</f>
        <v/>
      </c>
      <c r="E366">
        <f>IFERROR(AGGREGATE(15,6,ROW('Input Transaksi'!$B$5:$B$5000)/('Input Transaksi'!$B$5:$B$5000="DIY"),ROWS($E$5:E366)),"")</f>
        <v/>
      </c>
      <c r="F366" s="5" t="n"/>
    </row>
    <row r="367">
      <c r="A367" s="10">
        <f>IF($E367="","",INDEX('Input Transaksi'!$A:$A,$E367))</f>
        <v/>
      </c>
      <c r="B367" s="5">
        <f>IF($E367="","",INDEX('Input Transaksi'!$D:$D,$E367))</f>
        <v/>
      </c>
      <c r="C367">
        <f>IF($E367="","",INDEX('Input Transaksi'!$E:$E,$E367))</f>
        <v/>
      </c>
      <c r="D367" s="5">
        <f>IF($E367="","",INDEX('Input Transaksi'!$F:$F,$E367))</f>
        <v/>
      </c>
      <c r="E367">
        <f>IFERROR(AGGREGATE(15,6,ROW('Input Transaksi'!$B$5:$B$5000)/('Input Transaksi'!$B$5:$B$5000="DIY"),ROWS($E$5:E367)),"")</f>
        <v/>
      </c>
      <c r="F367" s="5" t="n"/>
    </row>
    <row r="368">
      <c r="A368" s="10">
        <f>IF($E368="","",INDEX('Input Transaksi'!$A:$A,$E368))</f>
        <v/>
      </c>
      <c r="B368" s="5">
        <f>IF($E368="","",INDEX('Input Transaksi'!$D:$D,$E368))</f>
        <v/>
      </c>
      <c r="C368">
        <f>IF($E368="","",INDEX('Input Transaksi'!$E:$E,$E368))</f>
        <v/>
      </c>
      <c r="D368" s="5">
        <f>IF($E368="","",INDEX('Input Transaksi'!$F:$F,$E368))</f>
        <v/>
      </c>
      <c r="E368">
        <f>IFERROR(AGGREGATE(15,6,ROW('Input Transaksi'!$B$5:$B$5000)/('Input Transaksi'!$B$5:$B$5000="DIY"),ROWS($E$5:E368)),"")</f>
        <v/>
      </c>
      <c r="F368" s="5" t="n"/>
    </row>
    <row r="369">
      <c r="A369" s="10">
        <f>IF($E369="","",INDEX('Input Transaksi'!$A:$A,$E369))</f>
        <v/>
      </c>
      <c r="B369" s="5">
        <f>IF($E369="","",INDEX('Input Transaksi'!$D:$D,$E369))</f>
        <v/>
      </c>
      <c r="C369">
        <f>IF($E369="","",INDEX('Input Transaksi'!$E:$E,$E369))</f>
        <v/>
      </c>
      <c r="D369" s="5">
        <f>IF($E369="","",INDEX('Input Transaksi'!$F:$F,$E369))</f>
        <v/>
      </c>
      <c r="E369">
        <f>IFERROR(AGGREGATE(15,6,ROW('Input Transaksi'!$B$5:$B$5000)/('Input Transaksi'!$B$5:$B$5000="DIY"),ROWS($E$5:E369)),"")</f>
        <v/>
      </c>
      <c r="F369" s="5" t="n"/>
    </row>
    <row r="370">
      <c r="A370" s="10">
        <f>IF($E370="","",INDEX('Input Transaksi'!$A:$A,$E370))</f>
        <v/>
      </c>
      <c r="B370" s="5">
        <f>IF($E370="","",INDEX('Input Transaksi'!$D:$D,$E370))</f>
        <v/>
      </c>
      <c r="C370">
        <f>IF($E370="","",INDEX('Input Transaksi'!$E:$E,$E370))</f>
        <v/>
      </c>
      <c r="D370" s="5">
        <f>IF($E370="","",INDEX('Input Transaksi'!$F:$F,$E370))</f>
        <v/>
      </c>
      <c r="E370">
        <f>IFERROR(AGGREGATE(15,6,ROW('Input Transaksi'!$B$5:$B$5000)/('Input Transaksi'!$B$5:$B$5000="DIY"),ROWS($E$5:E370)),"")</f>
        <v/>
      </c>
      <c r="F370" s="5" t="n"/>
    </row>
    <row r="371">
      <c r="A371" s="10">
        <f>IF($E371="","",INDEX('Input Transaksi'!$A:$A,$E371))</f>
        <v/>
      </c>
      <c r="B371" s="5">
        <f>IF($E371="","",INDEX('Input Transaksi'!$D:$D,$E371))</f>
        <v/>
      </c>
      <c r="C371">
        <f>IF($E371="","",INDEX('Input Transaksi'!$E:$E,$E371))</f>
        <v/>
      </c>
      <c r="D371" s="5">
        <f>IF($E371="","",INDEX('Input Transaksi'!$F:$F,$E371))</f>
        <v/>
      </c>
      <c r="E371">
        <f>IFERROR(AGGREGATE(15,6,ROW('Input Transaksi'!$B$5:$B$5000)/('Input Transaksi'!$B$5:$B$5000="DIY"),ROWS($E$5:E371)),"")</f>
        <v/>
      </c>
      <c r="F371" s="5" t="n"/>
    </row>
    <row r="372">
      <c r="A372" s="10">
        <f>IF($E372="","",INDEX('Input Transaksi'!$A:$A,$E372))</f>
        <v/>
      </c>
      <c r="B372" s="5">
        <f>IF($E372="","",INDEX('Input Transaksi'!$D:$D,$E372))</f>
        <v/>
      </c>
      <c r="C372">
        <f>IF($E372="","",INDEX('Input Transaksi'!$E:$E,$E372))</f>
        <v/>
      </c>
      <c r="D372" s="5">
        <f>IF($E372="","",INDEX('Input Transaksi'!$F:$F,$E372))</f>
        <v/>
      </c>
      <c r="E372">
        <f>IFERROR(AGGREGATE(15,6,ROW('Input Transaksi'!$B$5:$B$5000)/('Input Transaksi'!$B$5:$B$5000="DIY"),ROWS($E$5:E372)),"")</f>
        <v/>
      </c>
      <c r="F372" s="5" t="n"/>
    </row>
    <row r="373">
      <c r="A373" s="10">
        <f>IF($E373="","",INDEX('Input Transaksi'!$A:$A,$E373))</f>
        <v/>
      </c>
      <c r="B373" s="5">
        <f>IF($E373="","",INDEX('Input Transaksi'!$D:$D,$E373))</f>
        <v/>
      </c>
      <c r="C373">
        <f>IF($E373="","",INDEX('Input Transaksi'!$E:$E,$E373))</f>
        <v/>
      </c>
      <c r="D373" s="5">
        <f>IF($E373="","",INDEX('Input Transaksi'!$F:$F,$E373))</f>
        <v/>
      </c>
      <c r="E373">
        <f>IFERROR(AGGREGATE(15,6,ROW('Input Transaksi'!$B$5:$B$5000)/('Input Transaksi'!$B$5:$B$5000="DIY"),ROWS($E$5:E373)),"")</f>
        <v/>
      </c>
      <c r="F373" s="5" t="n"/>
    </row>
    <row r="374">
      <c r="A374" s="10">
        <f>IF($E374="","",INDEX('Input Transaksi'!$A:$A,$E374))</f>
        <v/>
      </c>
      <c r="B374" s="5">
        <f>IF($E374="","",INDEX('Input Transaksi'!$D:$D,$E374))</f>
        <v/>
      </c>
      <c r="C374">
        <f>IF($E374="","",INDEX('Input Transaksi'!$E:$E,$E374))</f>
        <v/>
      </c>
      <c r="D374" s="5">
        <f>IF($E374="","",INDEX('Input Transaksi'!$F:$F,$E374))</f>
        <v/>
      </c>
      <c r="E374">
        <f>IFERROR(AGGREGATE(15,6,ROW('Input Transaksi'!$B$5:$B$5000)/('Input Transaksi'!$B$5:$B$5000="DIY"),ROWS($E$5:E374)),"")</f>
        <v/>
      </c>
      <c r="F374" s="5" t="n"/>
    </row>
    <row r="375">
      <c r="A375" s="10">
        <f>IF($E375="","",INDEX('Input Transaksi'!$A:$A,$E375))</f>
        <v/>
      </c>
      <c r="B375" s="5">
        <f>IF($E375="","",INDEX('Input Transaksi'!$D:$D,$E375))</f>
        <v/>
      </c>
      <c r="C375">
        <f>IF($E375="","",INDEX('Input Transaksi'!$E:$E,$E375))</f>
        <v/>
      </c>
      <c r="D375" s="5">
        <f>IF($E375="","",INDEX('Input Transaksi'!$F:$F,$E375))</f>
        <v/>
      </c>
      <c r="E375">
        <f>IFERROR(AGGREGATE(15,6,ROW('Input Transaksi'!$B$5:$B$5000)/('Input Transaksi'!$B$5:$B$5000="DIY"),ROWS($E$5:E375)),"")</f>
        <v/>
      </c>
      <c r="F375" s="5" t="n"/>
    </row>
    <row r="376">
      <c r="A376" s="10">
        <f>IF($E376="","",INDEX('Input Transaksi'!$A:$A,$E376))</f>
        <v/>
      </c>
      <c r="B376" s="5">
        <f>IF($E376="","",INDEX('Input Transaksi'!$D:$D,$E376))</f>
        <v/>
      </c>
      <c r="C376">
        <f>IF($E376="","",INDEX('Input Transaksi'!$E:$E,$E376))</f>
        <v/>
      </c>
      <c r="D376" s="5">
        <f>IF($E376="","",INDEX('Input Transaksi'!$F:$F,$E376))</f>
        <v/>
      </c>
      <c r="E376">
        <f>IFERROR(AGGREGATE(15,6,ROW('Input Transaksi'!$B$5:$B$5000)/('Input Transaksi'!$B$5:$B$5000="DIY"),ROWS($E$5:E376)),"")</f>
        <v/>
      </c>
      <c r="F376" s="5" t="n"/>
    </row>
    <row r="377">
      <c r="A377" s="10">
        <f>IF($E377="","",INDEX('Input Transaksi'!$A:$A,$E377))</f>
        <v/>
      </c>
      <c r="B377" s="5">
        <f>IF($E377="","",INDEX('Input Transaksi'!$D:$D,$E377))</f>
        <v/>
      </c>
      <c r="C377">
        <f>IF($E377="","",INDEX('Input Transaksi'!$E:$E,$E377))</f>
        <v/>
      </c>
      <c r="D377" s="5">
        <f>IF($E377="","",INDEX('Input Transaksi'!$F:$F,$E377))</f>
        <v/>
      </c>
      <c r="E377">
        <f>IFERROR(AGGREGATE(15,6,ROW('Input Transaksi'!$B$5:$B$5000)/('Input Transaksi'!$B$5:$B$5000="DIY"),ROWS($E$5:E377)),"")</f>
        <v/>
      </c>
      <c r="F377" s="5" t="n"/>
    </row>
    <row r="378">
      <c r="A378" s="10">
        <f>IF($E378="","",INDEX('Input Transaksi'!$A:$A,$E378))</f>
        <v/>
      </c>
      <c r="B378" s="5">
        <f>IF($E378="","",INDEX('Input Transaksi'!$D:$D,$E378))</f>
        <v/>
      </c>
      <c r="C378">
        <f>IF($E378="","",INDEX('Input Transaksi'!$E:$E,$E378))</f>
        <v/>
      </c>
      <c r="D378" s="5">
        <f>IF($E378="","",INDEX('Input Transaksi'!$F:$F,$E378))</f>
        <v/>
      </c>
      <c r="E378">
        <f>IFERROR(AGGREGATE(15,6,ROW('Input Transaksi'!$B$5:$B$5000)/('Input Transaksi'!$B$5:$B$5000="DIY"),ROWS($E$5:E378)),"")</f>
        <v/>
      </c>
      <c r="F378" s="5" t="n"/>
    </row>
    <row r="379">
      <c r="A379" s="10">
        <f>IF($E379="","",INDEX('Input Transaksi'!$A:$A,$E379))</f>
        <v/>
      </c>
      <c r="B379" s="5">
        <f>IF($E379="","",INDEX('Input Transaksi'!$D:$D,$E379))</f>
        <v/>
      </c>
      <c r="C379">
        <f>IF($E379="","",INDEX('Input Transaksi'!$E:$E,$E379))</f>
        <v/>
      </c>
      <c r="D379" s="5">
        <f>IF($E379="","",INDEX('Input Transaksi'!$F:$F,$E379))</f>
        <v/>
      </c>
      <c r="E379">
        <f>IFERROR(AGGREGATE(15,6,ROW('Input Transaksi'!$B$5:$B$5000)/('Input Transaksi'!$B$5:$B$5000="DIY"),ROWS($E$5:E379)),"")</f>
        <v/>
      </c>
      <c r="F379" s="5" t="n"/>
    </row>
    <row r="380">
      <c r="A380" s="10">
        <f>IF($E380="","",INDEX('Input Transaksi'!$A:$A,$E380))</f>
        <v/>
      </c>
      <c r="B380" s="5">
        <f>IF($E380="","",INDEX('Input Transaksi'!$D:$D,$E380))</f>
        <v/>
      </c>
      <c r="C380">
        <f>IF($E380="","",INDEX('Input Transaksi'!$E:$E,$E380))</f>
        <v/>
      </c>
      <c r="D380" s="5">
        <f>IF($E380="","",INDEX('Input Transaksi'!$F:$F,$E380))</f>
        <v/>
      </c>
      <c r="E380">
        <f>IFERROR(AGGREGATE(15,6,ROW('Input Transaksi'!$B$5:$B$5000)/('Input Transaksi'!$B$5:$B$5000="DIY"),ROWS($E$5:E380)),"")</f>
        <v/>
      </c>
      <c r="F380" s="5" t="n"/>
    </row>
    <row r="381">
      <c r="A381" s="10">
        <f>IF($E381="","",INDEX('Input Transaksi'!$A:$A,$E381))</f>
        <v/>
      </c>
      <c r="B381" s="5">
        <f>IF($E381="","",INDEX('Input Transaksi'!$D:$D,$E381))</f>
        <v/>
      </c>
      <c r="C381">
        <f>IF($E381="","",INDEX('Input Transaksi'!$E:$E,$E381))</f>
        <v/>
      </c>
      <c r="D381" s="5">
        <f>IF($E381="","",INDEX('Input Transaksi'!$F:$F,$E381))</f>
        <v/>
      </c>
      <c r="E381">
        <f>IFERROR(AGGREGATE(15,6,ROW('Input Transaksi'!$B$5:$B$5000)/('Input Transaksi'!$B$5:$B$5000="DIY"),ROWS($E$5:E381)),"")</f>
        <v/>
      </c>
      <c r="F381" s="5" t="n"/>
    </row>
    <row r="382">
      <c r="A382" s="10">
        <f>IF($E382="","",INDEX('Input Transaksi'!$A:$A,$E382))</f>
        <v/>
      </c>
      <c r="B382" s="5">
        <f>IF($E382="","",INDEX('Input Transaksi'!$D:$D,$E382))</f>
        <v/>
      </c>
      <c r="C382">
        <f>IF($E382="","",INDEX('Input Transaksi'!$E:$E,$E382))</f>
        <v/>
      </c>
      <c r="D382" s="5">
        <f>IF($E382="","",INDEX('Input Transaksi'!$F:$F,$E382))</f>
        <v/>
      </c>
      <c r="E382">
        <f>IFERROR(AGGREGATE(15,6,ROW('Input Transaksi'!$B$5:$B$5000)/('Input Transaksi'!$B$5:$B$5000="DIY"),ROWS($E$5:E382)),"")</f>
        <v/>
      </c>
      <c r="F382" s="5" t="n"/>
    </row>
    <row r="383">
      <c r="A383" s="10">
        <f>IF($E383="","",INDEX('Input Transaksi'!$A:$A,$E383))</f>
        <v/>
      </c>
      <c r="B383" s="5">
        <f>IF($E383="","",INDEX('Input Transaksi'!$D:$D,$E383))</f>
        <v/>
      </c>
      <c r="C383">
        <f>IF($E383="","",INDEX('Input Transaksi'!$E:$E,$E383))</f>
        <v/>
      </c>
      <c r="D383" s="5">
        <f>IF($E383="","",INDEX('Input Transaksi'!$F:$F,$E383))</f>
        <v/>
      </c>
      <c r="E383">
        <f>IFERROR(AGGREGATE(15,6,ROW('Input Transaksi'!$B$5:$B$5000)/('Input Transaksi'!$B$5:$B$5000="DIY"),ROWS($E$5:E383)),"")</f>
        <v/>
      </c>
      <c r="F383" s="5" t="n"/>
    </row>
    <row r="384">
      <c r="A384" s="10">
        <f>IF($E384="","",INDEX('Input Transaksi'!$A:$A,$E384))</f>
        <v/>
      </c>
      <c r="B384" s="5">
        <f>IF($E384="","",INDEX('Input Transaksi'!$D:$D,$E384))</f>
        <v/>
      </c>
      <c r="C384">
        <f>IF($E384="","",INDEX('Input Transaksi'!$E:$E,$E384))</f>
        <v/>
      </c>
      <c r="D384" s="5">
        <f>IF($E384="","",INDEX('Input Transaksi'!$F:$F,$E384))</f>
        <v/>
      </c>
      <c r="E384">
        <f>IFERROR(AGGREGATE(15,6,ROW('Input Transaksi'!$B$5:$B$5000)/('Input Transaksi'!$B$5:$B$5000="DIY"),ROWS($E$5:E384)),"")</f>
        <v/>
      </c>
      <c r="F384" s="5" t="n"/>
    </row>
    <row r="385">
      <c r="A385" s="10">
        <f>IF($E385="","",INDEX('Input Transaksi'!$A:$A,$E385))</f>
        <v/>
      </c>
      <c r="B385" s="5">
        <f>IF($E385="","",INDEX('Input Transaksi'!$D:$D,$E385))</f>
        <v/>
      </c>
      <c r="C385">
        <f>IF($E385="","",INDEX('Input Transaksi'!$E:$E,$E385))</f>
        <v/>
      </c>
      <c r="D385" s="5">
        <f>IF($E385="","",INDEX('Input Transaksi'!$F:$F,$E385))</f>
        <v/>
      </c>
      <c r="E385">
        <f>IFERROR(AGGREGATE(15,6,ROW('Input Transaksi'!$B$5:$B$5000)/('Input Transaksi'!$B$5:$B$5000="DIY"),ROWS($E$5:E385)),"")</f>
        <v/>
      </c>
      <c r="F385" s="5" t="n"/>
    </row>
    <row r="386">
      <c r="A386" s="10">
        <f>IF($E386="","",INDEX('Input Transaksi'!$A:$A,$E386))</f>
        <v/>
      </c>
      <c r="B386" s="5">
        <f>IF($E386="","",INDEX('Input Transaksi'!$D:$D,$E386))</f>
        <v/>
      </c>
      <c r="C386">
        <f>IF($E386="","",INDEX('Input Transaksi'!$E:$E,$E386))</f>
        <v/>
      </c>
      <c r="D386" s="5">
        <f>IF($E386="","",INDEX('Input Transaksi'!$F:$F,$E386))</f>
        <v/>
      </c>
      <c r="E386">
        <f>IFERROR(AGGREGATE(15,6,ROW('Input Transaksi'!$B$5:$B$5000)/('Input Transaksi'!$B$5:$B$5000="DIY"),ROWS($E$5:E386)),"")</f>
        <v/>
      </c>
      <c r="F386" s="5" t="n"/>
    </row>
    <row r="387">
      <c r="A387" s="10">
        <f>IF($E387="","",INDEX('Input Transaksi'!$A:$A,$E387))</f>
        <v/>
      </c>
      <c r="B387" s="5">
        <f>IF($E387="","",INDEX('Input Transaksi'!$D:$D,$E387))</f>
        <v/>
      </c>
      <c r="C387">
        <f>IF($E387="","",INDEX('Input Transaksi'!$E:$E,$E387))</f>
        <v/>
      </c>
      <c r="D387" s="5">
        <f>IF($E387="","",INDEX('Input Transaksi'!$F:$F,$E387))</f>
        <v/>
      </c>
      <c r="E387">
        <f>IFERROR(AGGREGATE(15,6,ROW('Input Transaksi'!$B$5:$B$5000)/('Input Transaksi'!$B$5:$B$5000="DIY"),ROWS($E$5:E387)),"")</f>
        <v/>
      </c>
      <c r="F387" s="5" t="n"/>
    </row>
    <row r="388">
      <c r="A388" s="10">
        <f>IF($E388="","",INDEX('Input Transaksi'!$A:$A,$E388))</f>
        <v/>
      </c>
      <c r="B388" s="5">
        <f>IF($E388="","",INDEX('Input Transaksi'!$D:$D,$E388))</f>
        <v/>
      </c>
      <c r="C388">
        <f>IF($E388="","",INDEX('Input Transaksi'!$E:$E,$E388))</f>
        <v/>
      </c>
      <c r="D388" s="5">
        <f>IF($E388="","",INDEX('Input Transaksi'!$F:$F,$E388))</f>
        <v/>
      </c>
      <c r="E388">
        <f>IFERROR(AGGREGATE(15,6,ROW('Input Transaksi'!$B$5:$B$5000)/('Input Transaksi'!$B$5:$B$5000="DIY"),ROWS($E$5:E388)),"")</f>
        <v/>
      </c>
      <c r="F388" s="5" t="n"/>
    </row>
    <row r="389">
      <c r="A389" s="10">
        <f>IF($E389="","",INDEX('Input Transaksi'!$A:$A,$E389))</f>
        <v/>
      </c>
      <c r="B389" s="5">
        <f>IF($E389="","",INDEX('Input Transaksi'!$D:$D,$E389))</f>
        <v/>
      </c>
      <c r="C389">
        <f>IF($E389="","",INDEX('Input Transaksi'!$E:$E,$E389))</f>
        <v/>
      </c>
      <c r="D389" s="5">
        <f>IF($E389="","",INDEX('Input Transaksi'!$F:$F,$E389))</f>
        <v/>
      </c>
      <c r="E389">
        <f>IFERROR(AGGREGATE(15,6,ROW('Input Transaksi'!$B$5:$B$5000)/('Input Transaksi'!$B$5:$B$5000="DIY"),ROWS($E$5:E389)),"")</f>
        <v/>
      </c>
      <c r="F389" s="5" t="n"/>
    </row>
    <row r="390">
      <c r="A390" s="10">
        <f>IF($E390="","",INDEX('Input Transaksi'!$A:$A,$E390))</f>
        <v/>
      </c>
      <c r="B390" s="5">
        <f>IF($E390="","",INDEX('Input Transaksi'!$D:$D,$E390))</f>
        <v/>
      </c>
      <c r="C390">
        <f>IF($E390="","",INDEX('Input Transaksi'!$E:$E,$E390))</f>
        <v/>
      </c>
      <c r="D390" s="5">
        <f>IF($E390="","",INDEX('Input Transaksi'!$F:$F,$E390))</f>
        <v/>
      </c>
      <c r="E390">
        <f>IFERROR(AGGREGATE(15,6,ROW('Input Transaksi'!$B$5:$B$5000)/('Input Transaksi'!$B$5:$B$5000="DIY"),ROWS($E$5:E390)),"")</f>
        <v/>
      </c>
      <c r="F390" s="5" t="n"/>
    </row>
    <row r="391">
      <c r="A391" s="10">
        <f>IF($E391="","",INDEX('Input Transaksi'!$A:$A,$E391))</f>
        <v/>
      </c>
      <c r="B391" s="5">
        <f>IF($E391="","",INDEX('Input Transaksi'!$D:$D,$E391))</f>
        <v/>
      </c>
      <c r="C391">
        <f>IF($E391="","",INDEX('Input Transaksi'!$E:$E,$E391))</f>
        <v/>
      </c>
      <c r="D391" s="5">
        <f>IF($E391="","",INDEX('Input Transaksi'!$F:$F,$E391))</f>
        <v/>
      </c>
      <c r="E391">
        <f>IFERROR(AGGREGATE(15,6,ROW('Input Transaksi'!$B$5:$B$5000)/('Input Transaksi'!$B$5:$B$5000="DIY"),ROWS($E$5:E391)),"")</f>
        <v/>
      </c>
      <c r="F391" s="5" t="n"/>
    </row>
    <row r="392">
      <c r="A392" s="10">
        <f>IF($E392="","",INDEX('Input Transaksi'!$A:$A,$E392))</f>
        <v/>
      </c>
      <c r="B392" s="5">
        <f>IF($E392="","",INDEX('Input Transaksi'!$D:$D,$E392))</f>
        <v/>
      </c>
      <c r="C392">
        <f>IF($E392="","",INDEX('Input Transaksi'!$E:$E,$E392))</f>
        <v/>
      </c>
      <c r="D392" s="5">
        <f>IF($E392="","",INDEX('Input Transaksi'!$F:$F,$E392))</f>
        <v/>
      </c>
      <c r="E392">
        <f>IFERROR(AGGREGATE(15,6,ROW('Input Transaksi'!$B$5:$B$5000)/('Input Transaksi'!$B$5:$B$5000="DIY"),ROWS($E$5:E392)),"")</f>
        <v/>
      </c>
      <c r="F392" s="5" t="n"/>
    </row>
    <row r="393">
      <c r="A393" s="10">
        <f>IF($E393="","",INDEX('Input Transaksi'!$A:$A,$E393))</f>
        <v/>
      </c>
      <c r="B393" s="5">
        <f>IF($E393="","",INDEX('Input Transaksi'!$D:$D,$E393))</f>
        <v/>
      </c>
      <c r="C393">
        <f>IF($E393="","",INDEX('Input Transaksi'!$E:$E,$E393))</f>
        <v/>
      </c>
      <c r="D393" s="5">
        <f>IF($E393="","",INDEX('Input Transaksi'!$F:$F,$E393))</f>
        <v/>
      </c>
      <c r="E393">
        <f>IFERROR(AGGREGATE(15,6,ROW('Input Transaksi'!$B$5:$B$5000)/('Input Transaksi'!$B$5:$B$5000="DIY"),ROWS($E$5:E393)),"")</f>
        <v/>
      </c>
      <c r="F393" s="5" t="n"/>
    </row>
    <row r="394">
      <c r="A394" s="10">
        <f>IF($E394="","",INDEX('Input Transaksi'!$A:$A,$E394))</f>
        <v/>
      </c>
      <c r="B394" s="5">
        <f>IF($E394="","",INDEX('Input Transaksi'!$D:$D,$E394))</f>
        <v/>
      </c>
      <c r="C394">
        <f>IF($E394="","",INDEX('Input Transaksi'!$E:$E,$E394))</f>
        <v/>
      </c>
      <c r="D394" s="5">
        <f>IF($E394="","",INDEX('Input Transaksi'!$F:$F,$E394))</f>
        <v/>
      </c>
      <c r="E394">
        <f>IFERROR(AGGREGATE(15,6,ROW('Input Transaksi'!$B$5:$B$5000)/('Input Transaksi'!$B$5:$B$5000="DIY"),ROWS($E$5:E394)),"")</f>
        <v/>
      </c>
      <c r="F394" s="5" t="n"/>
    </row>
    <row r="395">
      <c r="A395" s="10">
        <f>IF($E395="","",INDEX('Input Transaksi'!$A:$A,$E395))</f>
        <v/>
      </c>
      <c r="B395" s="5">
        <f>IF($E395="","",INDEX('Input Transaksi'!$D:$D,$E395))</f>
        <v/>
      </c>
      <c r="C395">
        <f>IF($E395="","",INDEX('Input Transaksi'!$E:$E,$E395))</f>
        <v/>
      </c>
      <c r="D395" s="5">
        <f>IF($E395="","",INDEX('Input Transaksi'!$F:$F,$E395))</f>
        <v/>
      </c>
      <c r="E395">
        <f>IFERROR(AGGREGATE(15,6,ROW('Input Transaksi'!$B$5:$B$5000)/('Input Transaksi'!$B$5:$B$5000="DIY"),ROWS($E$5:E395)),"")</f>
        <v/>
      </c>
      <c r="F395" s="5" t="n"/>
    </row>
    <row r="396">
      <c r="A396" s="10">
        <f>IF($E396="","",INDEX('Input Transaksi'!$A:$A,$E396))</f>
        <v/>
      </c>
      <c r="B396" s="5">
        <f>IF($E396="","",INDEX('Input Transaksi'!$D:$D,$E396))</f>
        <v/>
      </c>
      <c r="C396">
        <f>IF($E396="","",INDEX('Input Transaksi'!$E:$E,$E396))</f>
        <v/>
      </c>
      <c r="D396" s="5">
        <f>IF($E396="","",INDEX('Input Transaksi'!$F:$F,$E396))</f>
        <v/>
      </c>
      <c r="E396">
        <f>IFERROR(AGGREGATE(15,6,ROW('Input Transaksi'!$B$5:$B$5000)/('Input Transaksi'!$B$5:$B$5000="DIY"),ROWS($E$5:E396)),"")</f>
        <v/>
      </c>
      <c r="F396" s="5" t="n"/>
    </row>
    <row r="397">
      <c r="A397" s="10">
        <f>IF($E397="","",INDEX('Input Transaksi'!$A:$A,$E397))</f>
        <v/>
      </c>
      <c r="B397" s="5">
        <f>IF($E397="","",INDEX('Input Transaksi'!$D:$D,$E397))</f>
        <v/>
      </c>
      <c r="C397">
        <f>IF($E397="","",INDEX('Input Transaksi'!$E:$E,$E397))</f>
        <v/>
      </c>
      <c r="D397" s="5">
        <f>IF($E397="","",INDEX('Input Transaksi'!$F:$F,$E397))</f>
        <v/>
      </c>
      <c r="E397">
        <f>IFERROR(AGGREGATE(15,6,ROW('Input Transaksi'!$B$5:$B$5000)/('Input Transaksi'!$B$5:$B$5000="DIY"),ROWS($E$5:E397)),"")</f>
        <v/>
      </c>
      <c r="F397" s="5" t="n"/>
    </row>
    <row r="398">
      <c r="A398" s="10">
        <f>IF($E398="","",INDEX('Input Transaksi'!$A:$A,$E398))</f>
        <v/>
      </c>
      <c r="B398" s="5">
        <f>IF($E398="","",INDEX('Input Transaksi'!$D:$D,$E398))</f>
        <v/>
      </c>
      <c r="C398">
        <f>IF($E398="","",INDEX('Input Transaksi'!$E:$E,$E398))</f>
        <v/>
      </c>
      <c r="D398" s="5">
        <f>IF($E398="","",INDEX('Input Transaksi'!$F:$F,$E398))</f>
        <v/>
      </c>
      <c r="E398">
        <f>IFERROR(AGGREGATE(15,6,ROW('Input Transaksi'!$B$5:$B$5000)/('Input Transaksi'!$B$5:$B$5000="DIY"),ROWS($E$5:E398)),"")</f>
        <v/>
      </c>
      <c r="F398" s="5" t="n"/>
    </row>
    <row r="399">
      <c r="A399" s="10">
        <f>IF($E399="","",INDEX('Input Transaksi'!$A:$A,$E399))</f>
        <v/>
      </c>
      <c r="B399" s="5">
        <f>IF($E399="","",INDEX('Input Transaksi'!$D:$D,$E399))</f>
        <v/>
      </c>
      <c r="C399">
        <f>IF($E399="","",INDEX('Input Transaksi'!$E:$E,$E399))</f>
        <v/>
      </c>
      <c r="D399" s="5">
        <f>IF($E399="","",INDEX('Input Transaksi'!$F:$F,$E399))</f>
        <v/>
      </c>
      <c r="E399">
        <f>IFERROR(AGGREGATE(15,6,ROW('Input Transaksi'!$B$5:$B$5000)/('Input Transaksi'!$B$5:$B$5000="DIY"),ROWS($E$5:E399)),"")</f>
        <v/>
      </c>
      <c r="F399" s="5" t="n"/>
    </row>
    <row r="400">
      <c r="A400" s="10">
        <f>IF($E400="","",INDEX('Input Transaksi'!$A:$A,$E400))</f>
        <v/>
      </c>
      <c r="B400" s="5">
        <f>IF($E400="","",INDEX('Input Transaksi'!$D:$D,$E400))</f>
        <v/>
      </c>
      <c r="C400">
        <f>IF($E400="","",INDEX('Input Transaksi'!$E:$E,$E400))</f>
        <v/>
      </c>
      <c r="D400" s="5">
        <f>IF($E400="","",INDEX('Input Transaksi'!$F:$F,$E400))</f>
        <v/>
      </c>
      <c r="E400">
        <f>IFERROR(AGGREGATE(15,6,ROW('Input Transaksi'!$B$5:$B$5000)/('Input Transaksi'!$B$5:$B$5000="DIY"),ROWS($E$5:E400)),"")</f>
        <v/>
      </c>
      <c r="F400" s="5" t="n"/>
    </row>
    <row r="401">
      <c r="A401" s="10">
        <f>IF($E401="","",INDEX('Input Transaksi'!$A:$A,$E401))</f>
        <v/>
      </c>
      <c r="B401" s="5">
        <f>IF($E401="","",INDEX('Input Transaksi'!$D:$D,$E401))</f>
        <v/>
      </c>
      <c r="C401">
        <f>IF($E401="","",INDEX('Input Transaksi'!$E:$E,$E401))</f>
        <v/>
      </c>
      <c r="D401" s="5">
        <f>IF($E401="","",INDEX('Input Transaksi'!$F:$F,$E401))</f>
        <v/>
      </c>
      <c r="E401">
        <f>IFERROR(AGGREGATE(15,6,ROW('Input Transaksi'!$B$5:$B$5000)/('Input Transaksi'!$B$5:$B$5000="DIY"),ROWS($E$5:E401)),"")</f>
        <v/>
      </c>
      <c r="F401" s="5" t="n"/>
    </row>
    <row r="402">
      <c r="A402" s="10">
        <f>IF($E402="","",INDEX('Input Transaksi'!$A:$A,$E402))</f>
        <v/>
      </c>
      <c r="B402" s="5">
        <f>IF($E402="","",INDEX('Input Transaksi'!$D:$D,$E402))</f>
        <v/>
      </c>
      <c r="C402">
        <f>IF($E402="","",INDEX('Input Transaksi'!$E:$E,$E402))</f>
        <v/>
      </c>
      <c r="D402" s="5">
        <f>IF($E402="","",INDEX('Input Transaksi'!$F:$F,$E402))</f>
        <v/>
      </c>
      <c r="E402">
        <f>IFERROR(AGGREGATE(15,6,ROW('Input Transaksi'!$B$5:$B$5000)/('Input Transaksi'!$B$5:$B$5000="DIY"),ROWS($E$5:E402)),"")</f>
        <v/>
      </c>
      <c r="F402" s="5" t="n"/>
    </row>
    <row r="403">
      <c r="A403" s="10">
        <f>IF($E403="","",INDEX('Input Transaksi'!$A:$A,$E403))</f>
        <v/>
      </c>
      <c r="B403" s="5">
        <f>IF($E403="","",INDEX('Input Transaksi'!$D:$D,$E403))</f>
        <v/>
      </c>
      <c r="C403">
        <f>IF($E403="","",INDEX('Input Transaksi'!$E:$E,$E403))</f>
        <v/>
      </c>
      <c r="D403" s="5">
        <f>IF($E403="","",INDEX('Input Transaksi'!$F:$F,$E403))</f>
        <v/>
      </c>
      <c r="E403">
        <f>IFERROR(AGGREGATE(15,6,ROW('Input Transaksi'!$B$5:$B$5000)/('Input Transaksi'!$B$5:$B$5000="DIY"),ROWS($E$5:E403)),"")</f>
        <v/>
      </c>
      <c r="F403" s="5" t="n"/>
    </row>
    <row r="404">
      <c r="A404" s="10">
        <f>IF($E404="","",INDEX('Input Transaksi'!$A:$A,$E404))</f>
        <v/>
      </c>
      <c r="B404" s="5">
        <f>IF($E404="","",INDEX('Input Transaksi'!$D:$D,$E404))</f>
        <v/>
      </c>
      <c r="C404">
        <f>IF($E404="","",INDEX('Input Transaksi'!$E:$E,$E404))</f>
        <v/>
      </c>
      <c r="D404" s="5">
        <f>IF($E404="","",INDEX('Input Transaksi'!$F:$F,$E404))</f>
        <v/>
      </c>
      <c r="E404">
        <f>IFERROR(AGGREGATE(15,6,ROW('Input Transaksi'!$B$5:$B$5000)/('Input Transaksi'!$B$5:$B$5000="DIY"),ROWS($E$5:E404)),"")</f>
        <v/>
      </c>
      <c r="F404" s="5" t="n"/>
    </row>
    <row r="405">
      <c r="A405" s="10">
        <f>IF($E405="","",INDEX('Input Transaksi'!$A:$A,$E405))</f>
        <v/>
      </c>
      <c r="B405" s="5">
        <f>IF($E405="","",INDEX('Input Transaksi'!$D:$D,$E405))</f>
        <v/>
      </c>
      <c r="C405">
        <f>IF($E405="","",INDEX('Input Transaksi'!$E:$E,$E405))</f>
        <v/>
      </c>
      <c r="D405" s="5">
        <f>IF($E405="","",INDEX('Input Transaksi'!$F:$F,$E405))</f>
        <v/>
      </c>
      <c r="E405">
        <f>IFERROR(AGGREGATE(15,6,ROW('Input Transaksi'!$B$5:$B$5000)/('Input Transaksi'!$B$5:$B$5000="DIY"),ROWS($E$5:E405)),"")</f>
        <v/>
      </c>
      <c r="F405" s="5" t="n"/>
    </row>
    <row r="406">
      <c r="A406" s="10">
        <f>IF($E406="","",INDEX('Input Transaksi'!$A:$A,$E406))</f>
        <v/>
      </c>
      <c r="B406" s="5">
        <f>IF($E406="","",INDEX('Input Transaksi'!$D:$D,$E406))</f>
        <v/>
      </c>
      <c r="C406">
        <f>IF($E406="","",INDEX('Input Transaksi'!$E:$E,$E406))</f>
        <v/>
      </c>
      <c r="D406" s="5">
        <f>IF($E406="","",INDEX('Input Transaksi'!$F:$F,$E406))</f>
        <v/>
      </c>
      <c r="E406">
        <f>IFERROR(AGGREGATE(15,6,ROW('Input Transaksi'!$B$5:$B$5000)/('Input Transaksi'!$B$5:$B$5000="DIY"),ROWS($E$5:E406)),"")</f>
        <v/>
      </c>
      <c r="F406" s="5" t="n"/>
    </row>
    <row r="407">
      <c r="A407" s="10">
        <f>IF($E407="","",INDEX('Input Transaksi'!$A:$A,$E407))</f>
        <v/>
      </c>
      <c r="B407" s="5">
        <f>IF($E407="","",INDEX('Input Transaksi'!$D:$D,$E407))</f>
        <v/>
      </c>
      <c r="C407">
        <f>IF($E407="","",INDEX('Input Transaksi'!$E:$E,$E407))</f>
        <v/>
      </c>
      <c r="D407" s="5">
        <f>IF($E407="","",INDEX('Input Transaksi'!$F:$F,$E407))</f>
        <v/>
      </c>
      <c r="E407">
        <f>IFERROR(AGGREGATE(15,6,ROW('Input Transaksi'!$B$5:$B$5000)/('Input Transaksi'!$B$5:$B$5000="DIY"),ROWS($E$5:E407)),"")</f>
        <v/>
      </c>
      <c r="F407" s="5" t="n"/>
    </row>
    <row r="408">
      <c r="A408" s="10">
        <f>IF($E408="","",INDEX('Input Transaksi'!$A:$A,$E408))</f>
        <v/>
      </c>
      <c r="B408" s="5">
        <f>IF($E408="","",INDEX('Input Transaksi'!$D:$D,$E408))</f>
        <v/>
      </c>
      <c r="C408">
        <f>IF($E408="","",INDEX('Input Transaksi'!$E:$E,$E408))</f>
        <v/>
      </c>
      <c r="D408" s="5">
        <f>IF($E408="","",INDEX('Input Transaksi'!$F:$F,$E408))</f>
        <v/>
      </c>
      <c r="E408">
        <f>IFERROR(AGGREGATE(15,6,ROW('Input Transaksi'!$B$5:$B$5000)/('Input Transaksi'!$B$5:$B$5000="DIY"),ROWS($E$5:E408)),"")</f>
        <v/>
      </c>
      <c r="F408" s="5" t="n"/>
    </row>
    <row r="409">
      <c r="A409" s="10">
        <f>IF($E409="","",INDEX('Input Transaksi'!$A:$A,$E409))</f>
        <v/>
      </c>
      <c r="B409" s="5">
        <f>IF($E409="","",INDEX('Input Transaksi'!$D:$D,$E409))</f>
        <v/>
      </c>
      <c r="C409">
        <f>IF($E409="","",INDEX('Input Transaksi'!$E:$E,$E409))</f>
        <v/>
      </c>
      <c r="D409" s="5">
        <f>IF($E409="","",INDEX('Input Transaksi'!$F:$F,$E409))</f>
        <v/>
      </c>
      <c r="E409">
        <f>IFERROR(AGGREGATE(15,6,ROW('Input Transaksi'!$B$5:$B$5000)/('Input Transaksi'!$B$5:$B$5000="DIY"),ROWS($E$5:E409)),"")</f>
        <v/>
      </c>
      <c r="F409" s="5" t="n"/>
    </row>
    <row r="410">
      <c r="A410" s="10">
        <f>IF($E410="","",INDEX('Input Transaksi'!$A:$A,$E410))</f>
        <v/>
      </c>
      <c r="B410" s="5">
        <f>IF($E410="","",INDEX('Input Transaksi'!$D:$D,$E410))</f>
        <v/>
      </c>
      <c r="C410">
        <f>IF($E410="","",INDEX('Input Transaksi'!$E:$E,$E410))</f>
        <v/>
      </c>
      <c r="D410" s="5">
        <f>IF($E410="","",INDEX('Input Transaksi'!$F:$F,$E410))</f>
        <v/>
      </c>
      <c r="E410">
        <f>IFERROR(AGGREGATE(15,6,ROW('Input Transaksi'!$B$5:$B$5000)/('Input Transaksi'!$B$5:$B$5000="DIY"),ROWS($E$5:E410)),"")</f>
        <v/>
      </c>
      <c r="F410" s="5" t="n"/>
    </row>
    <row r="411">
      <c r="A411" s="10">
        <f>IF($E411="","",INDEX('Input Transaksi'!$A:$A,$E411))</f>
        <v/>
      </c>
      <c r="B411" s="5">
        <f>IF($E411="","",INDEX('Input Transaksi'!$D:$D,$E411))</f>
        <v/>
      </c>
      <c r="C411">
        <f>IF($E411="","",INDEX('Input Transaksi'!$E:$E,$E411))</f>
        <v/>
      </c>
      <c r="D411" s="5">
        <f>IF($E411="","",INDEX('Input Transaksi'!$F:$F,$E411))</f>
        <v/>
      </c>
      <c r="E411">
        <f>IFERROR(AGGREGATE(15,6,ROW('Input Transaksi'!$B$5:$B$5000)/('Input Transaksi'!$B$5:$B$5000="DIY"),ROWS($E$5:E411)),"")</f>
        <v/>
      </c>
      <c r="F411" s="5" t="n"/>
    </row>
    <row r="412">
      <c r="A412" s="10">
        <f>IF($E412="","",INDEX('Input Transaksi'!$A:$A,$E412))</f>
        <v/>
      </c>
      <c r="B412" s="5">
        <f>IF($E412="","",INDEX('Input Transaksi'!$D:$D,$E412))</f>
        <v/>
      </c>
      <c r="C412">
        <f>IF($E412="","",INDEX('Input Transaksi'!$E:$E,$E412))</f>
        <v/>
      </c>
      <c r="D412" s="5">
        <f>IF($E412="","",INDEX('Input Transaksi'!$F:$F,$E412))</f>
        <v/>
      </c>
      <c r="E412">
        <f>IFERROR(AGGREGATE(15,6,ROW('Input Transaksi'!$B$5:$B$5000)/('Input Transaksi'!$B$5:$B$5000="DIY"),ROWS($E$5:E412)),"")</f>
        <v/>
      </c>
      <c r="F412" s="5" t="n"/>
    </row>
    <row r="413">
      <c r="A413" s="10">
        <f>IF($E413="","",INDEX('Input Transaksi'!$A:$A,$E413))</f>
        <v/>
      </c>
      <c r="B413" s="5">
        <f>IF($E413="","",INDEX('Input Transaksi'!$D:$D,$E413))</f>
        <v/>
      </c>
      <c r="C413">
        <f>IF($E413="","",INDEX('Input Transaksi'!$E:$E,$E413))</f>
        <v/>
      </c>
      <c r="D413" s="5">
        <f>IF($E413="","",INDEX('Input Transaksi'!$F:$F,$E413))</f>
        <v/>
      </c>
      <c r="E413">
        <f>IFERROR(AGGREGATE(15,6,ROW('Input Transaksi'!$B$5:$B$5000)/('Input Transaksi'!$B$5:$B$5000="DIY"),ROWS($E$5:E413)),"")</f>
        <v/>
      </c>
      <c r="F413" s="5" t="n"/>
    </row>
    <row r="414">
      <c r="A414" s="10">
        <f>IF($E414="","",INDEX('Input Transaksi'!$A:$A,$E414))</f>
        <v/>
      </c>
      <c r="B414" s="5">
        <f>IF($E414="","",INDEX('Input Transaksi'!$D:$D,$E414))</f>
        <v/>
      </c>
      <c r="C414">
        <f>IF($E414="","",INDEX('Input Transaksi'!$E:$E,$E414))</f>
        <v/>
      </c>
      <c r="D414" s="5">
        <f>IF($E414="","",INDEX('Input Transaksi'!$F:$F,$E414))</f>
        <v/>
      </c>
      <c r="E414">
        <f>IFERROR(AGGREGATE(15,6,ROW('Input Transaksi'!$B$5:$B$5000)/('Input Transaksi'!$B$5:$B$5000="DIY"),ROWS($E$5:E414)),"")</f>
        <v/>
      </c>
      <c r="F414" s="5" t="n"/>
    </row>
    <row r="415">
      <c r="A415" s="10">
        <f>IF($E415="","",INDEX('Input Transaksi'!$A:$A,$E415))</f>
        <v/>
      </c>
      <c r="B415" s="5">
        <f>IF($E415="","",INDEX('Input Transaksi'!$D:$D,$E415))</f>
        <v/>
      </c>
      <c r="C415">
        <f>IF($E415="","",INDEX('Input Transaksi'!$E:$E,$E415))</f>
        <v/>
      </c>
      <c r="D415" s="5">
        <f>IF($E415="","",INDEX('Input Transaksi'!$F:$F,$E415))</f>
        <v/>
      </c>
      <c r="E415">
        <f>IFERROR(AGGREGATE(15,6,ROW('Input Transaksi'!$B$5:$B$5000)/('Input Transaksi'!$B$5:$B$5000="DIY"),ROWS($E$5:E415)),"")</f>
        <v/>
      </c>
      <c r="F415" s="5" t="n"/>
    </row>
    <row r="416">
      <c r="A416" s="10">
        <f>IF($E416="","",INDEX('Input Transaksi'!$A:$A,$E416))</f>
        <v/>
      </c>
      <c r="B416" s="5">
        <f>IF($E416="","",INDEX('Input Transaksi'!$D:$D,$E416))</f>
        <v/>
      </c>
      <c r="C416">
        <f>IF($E416="","",INDEX('Input Transaksi'!$E:$E,$E416))</f>
        <v/>
      </c>
      <c r="D416" s="5">
        <f>IF($E416="","",INDEX('Input Transaksi'!$F:$F,$E416))</f>
        <v/>
      </c>
      <c r="E416">
        <f>IFERROR(AGGREGATE(15,6,ROW('Input Transaksi'!$B$5:$B$5000)/('Input Transaksi'!$B$5:$B$5000="DIY"),ROWS($E$5:E416)),"")</f>
        <v/>
      </c>
      <c r="F416" s="5" t="n"/>
    </row>
    <row r="417">
      <c r="A417" s="10">
        <f>IF($E417="","",INDEX('Input Transaksi'!$A:$A,$E417))</f>
        <v/>
      </c>
      <c r="B417" s="5">
        <f>IF($E417="","",INDEX('Input Transaksi'!$D:$D,$E417))</f>
        <v/>
      </c>
      <c r="C417">
        <f>IF($E417="","",INDEX('Input Transaksi'!$E:$E,$E417))</f>
        <v/>
      </c>
      <c r="D417" s="5">
        <f>IF($E417="","",INDEX('Input Transaksi'!$F:$F,$E417))</f>
        <v/>
      </c>
      <c r="E417">
        <f>IFERROR(AGGREGATE(15,6,ROW('Input Transaksi'!$B$5:$B$5000)/('Input Transaksi'!$B$5:$B$5000="DIY"),ROWS($E$5:E417)),"")</f>
        <v/>
      </c>
      <c r="F417" s="5" t="n"/>
    </row>
    <row r="418">
      <c r="A418" s="10">
        <f>IF($E418="","",INDEX('Input Transaksi'!$A:$A,$E418))</f>
        <v/>
      </c>
      <c r="B418" s="5">
        <f>IF($E418="","",INDEX('Input Transaksi'!$D:$D,$E418))</f>
        <v/>
      </c>
      <c r="C418">
        <f>IF($E418="","",INDEX('Input Transaksi'!$E:$E,$E418))</f>
        <v/>
      </c>
      <c r="D418" s="5">
        <f>IF($E418="","",INDEX('Input Transaksi'!$F:$F,$E418))</f>
        <v/>
      </c>
      <c r="E418">
        <f>IFERROR(AGGREGATE(15,6,ROW('Input Transaksi'!$B$5:$B$5000)/('Input Transaksi'!$B$5:$B$5000="DIY"),ROWS($E$5:E418)),"")</f>
        <v/>
      </c>
      <c r="F418" s="5" t="n"/>
    </row>
    <row r="419">
      <c r="A419" s="10">
        <f>IF($E419="","",INDEX('Input Transaksi'!$A:$A,$E419))</f>
        <v/>
      </c>
      <c r="B419" s="5">
        <f>IF($E419="","",INDEX('Input Transaksi'!$D:$D,$E419))</f>
        <v/>
      </c>
      <c r="C419">
        <f>IF($E419="","",INDEX('Input Transaksi'!$E:$E,$E419))</f>
        <v/>
      </c>
      <c r="D419" s="5">
        <f>IF($E419="","",INDEX('Input Transaksi'!$F:$F,$E419))</f>
        <v/>
      </c>
      <c r="E419">
        <f>IFERROR(AGGREGATE(15,6,ROW('Input Transaksi'!$B$5:$B$5000)/('Input Transaksi'!$B$5:$B$5000="DIY"),ROWS($E$5:E419)),"")</f>
        <v/>
      </c>
      <c r="F419" s="5" t="n"/>
    </row>
    <row r="420">
      <c r="A420" s="10">
        <f>IF($E420="","",INDEX('Input Transaksi'!$A:$A,$E420))</f>
        <v/>
      </c>
      <c r="B420" s="5">
        <f>IF($E420="","",INDEX('Input Transaksi'!$D:$D,$E420))</f>
        <v/>
      </c>
      <c r="C420">
        <f>IF($E420="","",INDEX('Input Transaksi'!$E:$E,$E420))</f>
        <v/>
      </c>
      <c r="D420" s="5">
        <f>IF($E420="","",INDEX('Input Transaksi'!$F:$F,$E420))</f>
        <v/>
      </c>
      <c r="E420">
        <f>IFERROR(AGGREGATE(15,6,ROW('Input Transaksi'!$B$5:$B$5000)/('Input Transaksi'!$B$5:$B$5000="DIY"),ROWS($E$5:E420)),"")</f>
        <v/>
      </c>
      <c r="F420" s="5" t="n"/>
    </row>
    <row r="421">
      <c r="A421" s="10">
        <f>IF($E421="","",INDEX('Input Transaksi'!$A:$A,$E421))</f>
        <v/>
      </c>
      <c r="B421" s="5">
        <f>IF($E421="","",INDEX('Input Transaksi'!$D:$D,$E421))</f>
        <v/>
      </c>
      <c r="C421">
        <f>IF($E421="","",INDEX('Input Transaksi'!$E:$E,$E421))</f>
        <v/>
      </c>
      <c r="D421" s="5">
        <f>IF($E421="","",INDEX('Input Transaksi'!$F:$F,$E421))</f>
        <v/>
      </c>
      <c r="E421">
        <f>IFERROR(AGGREGATE(15,6,ROW('Input Transaksi'!$B$5:$B$5000)/('Input Transaksi'!$B$5:$B$5000="DIY"),ROWS($E$5:E421)),"")</f>
        <v/>
      </c>
      <c r="F421" s="5" t="n"/>
    </row>
    <row r="422">
      <c r="A422" s="10">
        <f>IF($E422="","",INDEX('Input Transaksi'!$A:$A,$E422))</f>
        <v/>
      </c>
      <c r="B422" s="5">
        <f>IF($E422="","",INDEX('Input Transaksi'!$D:$D,$E422))</f>
        <v/>
      </c>
      <c r="C422">
        <f>IF($E422="","",INDEX('Input Transaksi'!$E:$E,$E422))</f>
        <v/>
      </c>
      <c r="D422" s="5">
        <f>IF($E422="","",INDEX('Input Transaksi'!$F:$F,$E422))</f>
        <v/>
      </c>
      <c r="E422">
        <f>IFERROR(AGGREGATE(15,6,ROW('Input Transaksi'!$B$5:$B$5000)/('Input Transaksi'!$B$5:$B$5000="DIY"),ROWS($E$5:E422)),"")</f>
        <v/>
      </c>
      <c r="F422" s="5" t="n"/>
    </row>
    <row r="423">
      <c r="A423" s="10">
        <f>IF($E423="","",INDEX('Input Transaksi'!$A:$A,$E423))</f>
        <v/>
      </c>
      <c r="B423" s="5">
        <f>IF($E423="","",INDEX('Input Transaksi'!$D:$D,$E423))</f>
        <v/>
      </c>
      <c r="C423">
        <f>IF($E423="","",INDEX('Input Transaksi'!$E:$E,$E423))</f>
        <v/>
      </c>
      <c r="D423" s="5">
        <f>IF($E423="","",INDEX('Input Transaksi'!$F:$F,$E423))</f>
        <v/>
      </c>
      <c r="E423">
        <f>IFERROR(AGGREGATE(15,6,ROW('Input Transaksi'!$B$5:$B$5000)/('Input Transaksi'!$B$5:$B$5000="DIY"),ROWS($E$5:E423)),"")</f>
        <v/>
      </c>
      <c r="F423" s="5" t="n"/>
    </row>
    <row r="424">
      <c r="A424" s="10">
        <f>IF($E424="","",INDEX('Input Transaksi'!$A:$A,$E424))</f>
        <v/>
      </c>
      <c r="B424" s="5">
        <f>IF($E424="","",INDEX('Input Transaksi'!$D:$D,$E424))</f>
        <v/>
      </c>
      <c r="C424">
        <f>IF($E424="","",INDEX('Input Transaksi'!$E:$E,$E424))</f>
        <v/>
      </c>
      <c r="D424" s="5">
        <f>IF($E424="","",INDEX('Input Transaksi'!$F:$F,$E424))</f>
        <v/>
      </c>
      <c r="E424">
        <f>IFERROR(AGGREGATE(15,6,ROW('Input Transaksi'!$B$5:$B$5000)/('Input Transaksi'!$B$5:$B$5000="DIY"),ROWS($E$5:E424)),"")</f>
        <v/>
      </c>
      <c r="F424" s="5" t="n"/>
    </row>
    <row r="425">
      <c r="A425" s="10">
        <f>IF($E425="","",INDEX('Input Transaksi'!$A:$A,$E425))</f>
        <v/>
      </c>
      <c r="B425" s="5">
        <f>IF($E425="","",INDEX('Input Transaksi'!$D:$D,$E425))</f>
        <v/>
      </c>
      <c r="C425">
        <f>IF($E425="","",INDEX('Input Transaksi'!$E:$E,$E425))</f>
        <v/>
      </c>
      <c r="D425" s="5">
        <f>IF($E425="","",INDEX('Input Transaksi'!$F:$F,$E425))</f>
        <v/>
      </c>
      <c r="E425">
        <f>IFERROR(AGGREGATE(15,6,ROW('Input Transaksi'!$B$5:$B$5000)/('Input Transaksi'!$B$5:$B$5000="DIY"),ROWS($E$5:E425)),"")</f>
        <v/>
      </c>
      <c r="F425" s="5" t="n"/>
    </row>
    <row r="426">
      <c r="A426" s="10">
        <f>IF($E426="","",INDEX('Input Transaksi'!$A:$A,$E426))</f>
        <v/>
      </c>
      <c r="B426" s="5">
        <f>IF($E426="","",INDEX('Input Transaksi'!$D:$D,$E426))</f>
        <v/>
      </c>
      <c r="C426">
        <f>IF($E426="","",INDEX('Input Transaksi'!$E:$E,$E426))</f>
        <v/>
      </c>
      <c r="D426" s="5">
        <f>IF($E426="","",INDEX('Input Transaksi'!$F:$F,$E426))</f>
        <v/>
      </c>
      <c r="E426">
        <f>IFERROR(AGGREGATE(15,6,ROW('Input Transaksi'!$B$5:$B$5000)/('Input Transaksi'!$B$5:$B$5000="DIY"),ROWS($E$5:E426)),"")</f>
        <v/>
      </c>
      <c r="F426" s="5" t="n"/>
    </row>
    <row r="427">
      <c r="A427" s="10">
        <f>IF($E427="","",INDEX('Input Transaksi'!$A:$A,$E427))</f>
        <v/>
      </c>
      <c r="B427" s="5">
        <f>IF($E427="","",INDEX('Input Transaksi'!$D:$D,$E427))</f>
        <v/>
      </c>
      <c r="C427">
        <f>IF($E427="","",INDEX('Input Transaksi'!$E:$E,$E427))</f>
        <v/>
      </c>
      <c r="D427" s="5">
        <f>IF($E427="","",INDEX('Input Transaksi'!$F:$F,$E427))</f>
        <v/>
      </c>
      <c r="E427">
        <f>IFERROR(AGGREGATE(15,6,ROW('Input Transaksi'!$B$5:$B$5000)/('Input Transaksi'!$B$5:$B$5000="DIY"),ROWS($E$5:E427)),"")</f>
        <v/>
      </c>
      <c r="F427" s="5" t="n"/>
    </row>
    <row r="428">
      <c r="A428" s="10">
        <f>IF($E428="","",INDEX('Input Transaksi'!$A:$A,$E428))</f>
        <v/>
      </c>
      <c r="B428" s="5">
        <f>IF($E428="","",INDEX('Input Transaksi'!$D:$D,$E428))</f>
        <v/>
      </c>
      <c r="C428">
        <f>IF($E428="","",INDEX('Input Transaksi'!$E:$E,$E428))</f>
        <v/>
      </c>
      <c r="D428" s="5">
        <f>IF($E428="","",INDEX('Input Transaksi'!$F:$F,$E428))</f>
        <v/>
      </c>
      <c r="E428">
        <f>IFERROR(AGGREGATE(15,6,ROW('Input Transaksi'!$B$5:$B$5000)/('Input Transaksi'!$B$5:$B$5000="DIY"),ROWS($E$5:E428)),"")</f>
        <v/>
      </c>
      <c r="F428" s="5" t="n"/>
    </row>
    <row r="429">
      <c r="A429" s="10">
        <f>IF($E429="","",INDEX('Input Transaksi'!$A:$A,$E429))</f>
        <v/>
      </c>
      <c r="B429" s="5">
        <f>IF($E429="","",INDEX('Input Transaksi'!$D:$D,$E429))</f>
        <v/>
      </c>
      <c r="C429">
        <f>IF($E429="","",INDEX('Input Transaksi'!$E:$E,$E429))</f>
        <v/>
      </c>
      <c r="D429" s="5">
        <f>IF($E429="","",INDEX('Input Transaksi'!$F:$F,$E429))</f>
        <v/>
      </c>
      <c r="E429">
        <f>IFERROR(AGGREGATE(15,6,ROW('Input Transaksi'!$B$5:$B$5000)/('Input Transaksi'!$B$5:$B$5000="DIY"),ROWS($E$5:E429)),"")</f>
        <v/>
      </c>
      <c r="F429" s="5" t="n"/>
    </row>
    <row r="430">
      <c r="A430" s="10">
        <f>IF($E430="","",INDEX('Input Transaksi'!$A:$A,$E430))</f>
        <v/>
      </c>
      <c r="B430" s="5">
        <f>IF($E430="","",INDEX('Input Transaksi'!$D:$D,$E430))</f>
        <v/>
      </c>
      <c r="C430">
        <f>IF($E430="","",INDEX('Input Transaksi'!$E:$E,$E430))</f>
        <v/>
      </c>
      <c r="D430" s="5">
        <f>IF($E430="","",INDEX('Input Transaksi'!$F:$F,$E430))</f>
        <v/>
      </c>
      <c r="E430">
        <f>IFERROR(AGGREGATE(15,6,ROW('Input Transaksi'!$B$5:$B$5000)/('Input Transaksi'!$B$5:$B$5000="DIY"),ROWS($E$5:E430)),"")</f>
        <v/>
      </c>
      <c r="F430" s="5" t="n"/>
    </row>
    <row r="431">
      <c r="A431" s="10">
        <f>IF($E431="","",INDEX('Input Transaksi'!$A:$A,$E431))</f>
        <v/>
      </c>
      <c r="B431" s="5">
        <f>IF($E431="","",INDEX('Input Transaksi'!$D:$D,$E431))</f>
        <v/>
      </c>
      <c r="C431">
        <f>IF($E431="","",INDEX('Input Transaksi'!$E:$E,$E431))</f>
        <v/>
      </c>
      <c r="D431" s="5">
        <f>IF($E431="","",INDEX('Input Transaksi'!$F:$F,$E431))</f>
        <v/>
      </c>
      <c r="E431">
        <f>IFERROR(AGGREGATE(15,6,ROW('Input Transaksi'!$B$5:$B$5000)/('Input Transaksi'!$B$5:$B$5000="DIY"),ROWS($E$5:E431)),"")</f>
        <v/>
      </c>
      <c r="F431" s="5" t="n"/>
    </row>
    <row r="432">
      <c r="A432" s="10">
        <f>IF($E432="","",INDEX('Input Transaksi'!$A:$A,$E432))</f>
        <v/>
      </c>
      <c r="B432" s="5">
        <f>IF($E432="","",INDEX('Input Transaksi'!$D:$D,$E432))</f>
        <v/>
      </c>
      <c r="C432">
        <f>IF($E432="","",INDEX('Input Transaksi'!$E:$E,$E432))</f>
        <v/>
      </c>
      <c r="D432" s="5">
        <f>IF($E432="","",INDEX('Input Transaksi'!$F:$F,$E432))</f>
        <v/>
      </c>
      <c r="E432">
        <f>IFERROR(AGGREGATE(15,6,ROW('Input Transaksi'!$B$5:$B$5000)/('Input Transaksi'!$B$5:$B$5000="DIY"),ROWS($E$5:E432)),"")</f>
        <v/>
      </c>
      <c r="F432" s="5" t="n"/>
    </row>
    <row r="433">
      <c r="A433" s="10">
        <f>IF($E433="","",INDEX('Input Transaksi'!$A:$A,$E433))</f>
        <v/>
      </c>
      <c r="B433" s="5">
        <f>IF($E433="","",INDEX('Input Transaksi'!$D:$D,$E433))</f>
        <v/>
      </c>
      <c r="C433">
        <f>IF($E433="","",INDEX('Input Transaksi'!$E:$E,$E433))</f>
        <v/>
      </c>
      <c r="D433" s="5">
        <f>IF($E433="","",INDEX('Input Transaksi'!$F:$F,$E433))</f>
        <v/>
      </c>
      <c r="E433">
        <f>IFERROR(AGGREGATE(15,6,ROW('Input Transaksi'!$B$5:$B$5000)/('Input Transaksi'!$B$5:$B$5000="DIY"),ROWS($E$5:E433)),"")</f>
        <v/>
      </c>
      <c r="F433" s="5" t="n"/>
    </row>
    <row r="434">
      <c r="A434" s="10">
        <f>IF($E434="","",INDEX('Input Transaksi'!$A:$A,$E434))</f>
        <v/>
      </c>
      <c r="B434" s="5">
        <f>IF($E434="","",INDEX('Input Transaksi'!$D:$D,$E434))</f>
        <v/>
      </c>
      <c r="C434">
        <f>IF($E434="","",INDEX('Input Transaksi'!$E:$E,$E434))</f>
        <v/>
      </c>
      <c r="D434" s="5">
        <f>IF($E434="","",INDEX('Input Transaksi'!$F:$F,$E434))</f>
        <v/>
      </c>
      <c r="E434">
        <f>IFERROR(AGGREGATE(15,6,ROW('Input Transaksi'!$B$5:$B$5000)/('Input Transaksi'!$B$5:$B$5000="DIY"),ROWS($E$5:E434)),"")</f>
        <v/>
      </c>
      <c r="F434" s="5" t="n"/>
    </row>
    <row r="435">
      <c r="A435" s="10">
        <f>IF($E435="","",INDEX('Input Transaksi'!$A:$A,$E435))</f>
        <v/>
      </c>
      <c r="B435" s="5">
        <f>IF($E435="","",INDEX('Input Transaksi'!$D:$D,$E435))</f>
        <v/>
      </c>
      <c r="C435">
        <f>IF($E435="","",INDEX('Input Transaksi'!$E:$E,$E435))</f>
        <v/>
      </c>
      <c r="D435" s="5">
        <f>IF($E435="","",INDEX('Input Transaksi'!$F:$F,$E435))</f>
        <v/>
      </c>
      <c r="E435">
        <f>IFERROR(AGGREGATE(15,6,ROW('Input Transaksi'!$B$5:$B$5000)/('Input Transaksi'!$B$5:$B$5000="DIY"),ROWS($E$5:E435)),"")</f>
        <v/>
      </c>
      <c r="F435" s="5" t="n"/>
    </row>
    <row r="436">
      <c r="A436" s="10">
        <f>IF($E436="","",INDEX('Input Transaksi'!$A:$A,$E436))</f>
        <v/>
      </c>
      <c r="B436" s="5">
        <f>IF($E436="","",INDEX('Input Transaksi'!$D:$D,$E436))</f>
        <v/>
      </c>
      <c r="C436">
        <f>IF($E436="","",INDEX('Input Transaksi'!$E:$E,$E436))</f>
        <v/>
      </c>
      <c r="D436" s="5">
        <f>IF($E436="","",INDEX('Input Transaksi'!$F:$F,$E436))</f>
        <v/>
      </c>
      <c r="E436">
        <f>IFERROR(AGGREGATE(15,6,ROW('Input Transaksi'!$B$5:$B$5000)/('Input Transaksi'!$B$5:$B$5000="DIY"),ROWS($E$5:E436)),"")</f>
        <v/>
      </c>
      <c r="F436" s="5" t="n"/>
    </row>
    <row r="437">
      <c r="A437" s="10">
        <f>IF($E437="","",INDEX('Input Transaksi'!$A:$A,$E437))</f>
        <v/>
      </c>
      <c r="B437" s="5">
        <f>IF($E437="","",INDEX('Input Transaksi'!$D:$D,$E437))</f>
        <v/>
      </c>
      <c r="C437">
        <f>IF($E437="","",INDEX('Input Transaksi'!$E:$E,$E437))</f>
        <v/>
      </c>
      <c r="D437" s="5">
        <f>IF($E437="","",INDEX('Input Transaksi'!$F:$F,$E437))</f>
        <v/>
      </c>
      <c r="E437">
        <f>IFERROR(AGGREGATE(15,6,ROW('Input Transaksi'!$B$5:$B$5000)/('Input Transaksi'!$B$5:$B$5000="DIY"),ROWS($E$5:E437)),"")</f>
        <v/>
      </c>
      <c r="F437" s="5" t="n"/>
    </row>
    <row r="438">
      <c r="A438" s="10">
        <f>IF($E438="","",INDEX('Input Transaksi'!$A:$A,$E438))</f>
        <v/>
      </c>
      <c r="B438" s="5">
        <f>IF($E438="","",INDEX('Input Transaksi'!$D:$D,$E438))</f>
        <v/>
      </c>
      <c r="C438">
        <f>IF($E438="","",INDEX('Input Transaksi'!$E:$E,$E438))</f>
        <v/>
      </c>
      <c r="D438" s="5">
        <f>IF($E438="","",INDEX('Input Transaksi'!$F:$F,$E438))</f>
        <v/>
      </c>
      <c r="E438">
        <f>IFERROR(AGGREGATE(15,6,ROW('Input Transaksi'!$B$5:$B$5000)/('Input Transaksi'!$B$5:$B$5000="DIY"),ROWS($E$5:E438)),"")</f>
        <v/>
      </c>
      <c r="F438" s="5" t="n"/>
    </row>
    <row r="439">
      <c r="A439" s="10">
        <f>IF($E439="","",INDEX('Input Transaksi'!$A:$A,$E439))</f>
        <v/>
      </c>
      <c r="B439" s="5">
        <f>IF($E439="","",INDEX('Input Transaksi'!$D:$D,$E439))</f>
        <v/>
      </c>
      <c r="C439">
        <f>IF($E439="","",INDEX('Input Transaksi'!$E:$E,$E439))</f>
        <v/>
      </c>
      <c r="D439" s="5">
        <f>IF($E439="","",INDEX('Input Transaksi'!$F:$F,$E439))</f>
        <v/>
      </c>
      <c r="E439">
        <f>IFERROR(AGGREGATE(15,6,ROW('Input Transaksi'!$B$5:$B$5000)/('Input Transaksi'!$B$5:$B$5000="DIY"),ROWS($E$5:E439)),"")</f>
        <v/>
      </c>
      <c r="F439" s="5" t="n"/>
    </row>
    <row r="440">
      <c r="A440" s="10">
        <f>IF($E440="","",INDEX('Input Transaksi'!$A:$A,$E440))</f>
        <v/>
      </c>
      <c r="B440" s="5">
        <f>IF($E440="","",INDEX('Input Transaksi'!$D:$D,$E440))</f>
        <v/>
      </c>
      <c r="C440">
        <f>IF($E440="","",INDEX('Input Transaksi'!$E:$E,$E440))</f>
        <v/>
      </c>
      <c r="D440" s="5">
        <f>IF($E440="","",INDEX('Input Transaksi'!$F:$F,$E440))</f>
        <v/>
      </c>
      <c r="E440">
        <f>IFERROR(AGGREGATE(15,6,ROW('Input Transaksi'!$B$5:$B$5000)/('Input Transaksi'!$B$5:$B$5000="DIY"),ROWS($E$5:E440)),"")</f>
        <v/>
      </c>
      <c r="F440" s="5" t="n"/>
    </row>
    <row r="441">
      <c r="A441" s="10">
        <f>IF($E441="","",INDEX('Input Transaksi'!$A:$A,$E441))</f>
        <v/>
      </c>
      <c r="B441" s="5">
        <f>IF($E441="","",INDEX('Input Transaksi'!$D:$D,$E441))</f>
        <v/>
      </c>
      <c r="C441">
        <f>IF($E441="","",INDEX('Input Transaksi'!$E:$E,$E441))</f>
        <v/>
      </c>
      <c r="D441" s="5">
        <f>IF($E441="","",INDEX('Input Transaksi'!$F:$F,$E441))</f>
        <v/>
      </c>
      <c r="E441">
        <f>IFERROR(AGGREGATE(15,6,ROW('Input Transaksi'!$B$5:$B$5000)/('Input Transaksi'!$B$5:$B$5000="DIY"),ROWS($E$5:E441)),"")</f>
        <v/>
      </c>
      <c r="F441" s="5" t="n"/>
    </row>
    <row r="442">
      <c r="A442" s="10">
        <f>IF($E442="","",INDEX('Input Transaksi'!$A:$A,$E442))</f>
        <v/>
      </c>
      <c r="B442" s="5">
        <f>IF($E442="","",INDEX('Input Transaksi'!$D:$D,$E442))</f>
        <v/>
      </c>
      <c r="C442">
        <f>IF($E442="","",INDEX('Input Transaksi'!$E:$E,$E442))</f>
        <v/>
      </c>
      <c r="D442" s="5">
        <f>IF($E442="","",INDEX('Input Transaksi'!$F:$F,$E442))</f>
        <v/>
      </c>
      <c r="E442">
        <f>IFERROR(AGGREGATE(15,6,ROW('Input Transaksi'!$B$5:$B$5000)/('Input Transaksi'!$B$5:$B$5000="DIY"),ROWS($E$5:E442)),"")</f>
        <v/>
      </c>
      <c r="F442" s="5" t="n"/>
    </row>
    <row r="443">
      <c r="A443" s="10">
        <f>IF($E443="","",INDEX('Input Transaksi'!$A:$A,$E443))</f>
        <v/>
      </c>
      <c r="B443" s="5">
        <f>IF($E443="","",INDEX('Input Transaksi'!$D:$D,$E443))</f>
        <v/>
      </c>
      <c r="C443">
        <f>IF($E443="","",INDEX('Input Transaksi'!$E:$E,$E443))</f>
        <v/>
      </c>
      <c r="D443" s="5">
        <f>IF($E443="","",INDEX('Input Transaksi'!$F:$F,$E443))</f>
        <v/>
      </c>
      <c r="E443">
        <f>IFERROR(AGGREGATE(15,6,ROW('Input Transaksi'!$B$5:$B$5000)/('Input Transaksi'!$B$5:$B$5000="DIY"),ROWS($E$5:E443)),"")</f>
        <v/>
      </c>
      <c r="F443" s="5" t="n"/>
    </row>
    <row r="444">
      <c r="A444" s="10">
        <f>IF($E444="","",INDEX('Input Transaksi'!$A:$A,$E444))</f>
        <v/>
      </c>
      <c r="B444" s="5">
        <f>IF($E444="","",INDEX('Input Transaksi'!$D:$D,$E444))</f>
        <v/>
      </c>
      <c r="C444">
        <f>IF($E444="","",INDEX('Input Transaksi'!$E:$E,$E444))</f>
        <v/>
      </c>
      <c r="D444" s="5">
        <f>IF($E444="","",INDEX('Input Transaksi'!$F:$F,$E444))</f>
        <v/>
      </c>
      <c r="E444">
        <f>IFERROR(AGGREGATE(15,6,ROW('Input Transaksi'!$B$5:$B$5000)/('Input Transaksi'!$B$5:$B$5000="DIY"),ROWS($E$5:E444)),"")</f>
        <v/>
      </c>
      <c r="F444" s="5" t="n"/>
    </row>
    <row r="445">
      <c r="A445" s="10">
        <f>IF($E445="","",INDEX('Input Transaksi'!$A:$A,$E445))</f>
        <v/>
      </c>
      <c r="B445" s="5">
        <f>IF($E445="","",INDEX('Input Transaksi'!$D:$D,$E445))</f>
        <v/>
      </c>
      <c r="C445">
        <f>IF($E445="","",INDEX('Input Transaksi'!$E:$E,$E445))</f>
        <v/>
      </c>
      <c r="D445" s="5">
        <f>IF($E445="","",INDEX('Input Transaksi'!$F:$F,$E445))</f>
        <v/>
      </c>
      <c r="E445">
        <f>IFERROR(AGGREGATE(15,6,ROW('Input Transaksi'!$B$5:$B$5000)/('Input Transaksi'!$B$5:$B$5000="DIY"),ROWS($E$5:E445)),"")</f>
        <v/>
      </c>
      <c r="F445" s="5" t="n"/>
    </row>
    <row r="446">
      <c r="A446" s="10">
        <f>IF($E446="","",INDEX('Input Transaksi'!$A:$A,$E446))</f>
        <v/>
      </c>
      <c r="B446" s="5">
        <f>IF($E446="","",INDEX('Input Transaksi'!$D:$D,$E446))</f>
        <v/>
      </c>
      <c r="C446">
        <f>IF($E446="","",INDEX('Input Transaksi'!$E:$E,$E446))</f>
        <v/>
      </c>
      <c r="D446" s="5">
        <f>IF($E446="","",INDEX('Input Transaksi'!$F:$F,$E446))</f>
        <v/>
      </c>
      <c r="E446">
        <f>IFERROR(AGGREGATE(15,6,ROW('Input Transaksi'!$B$5:$B$5000)/('Input Transaksi'!$B$5:$B$5000="DIY"),ROWS($E$5:E446)),"")</f>
        <v/>
      </c>
      <c r="F446" s="5" t="n"/>
    </row>
    <row r="447">
      <c r="A447" s="10">
        <f>IF($E447="","",INDEX('Input Transaksi'!$A:$A,$E447))</f>
        <v/>
      </c>
      <c r="B447" s="5">
        <f>IF($E447="","",INDEX('Input Transaksi'!$D:$D,$E447))</f>
        <v/>
      </c>
      <c r="C447">
        <f>IF($E447="","",INDEX('Input Transaksi'!$E:$E,$E447))</f>
        <v/>
      </c>
      <c r="D447" s="5">
        <f>IF($E447="","",INDEX('Input Transaksi'!$F:$F,$E447))</f>
        <v/>
      </c>
      <c r="E447">
        <f>IFERROR(AGGREGATE(15,6,ROW('Input Transaksi'!$B$5:$B$5000)/('Input Transaksi'!$B$5:$B$5000="DIY"),ROWS($E$5:E447)),"")</f>
        <v/>
      </c>
      <c r="F447" s="5" t="n"/>
    </row>
    <row r="448">
      <c r="A448" s="10">
        <f>IF($E448="","",INDEX('Input Transaksi'!$A:$A,$E448))</f>
        <v/>
      </c>
      <c r="B448" s="5">
        <f>IF($E448="","",INDEX('Input Transaksi'!$D:$D,$E448))</f>
        <v/>
      </c>
      <c r="C448">
        <f>IF($E448="","",INDEX('Input Transaksi'!$E:$E,$E448))</f>
        <v/>
      </c>
      <c r="D448" s="5">
        <f>IF($E448="","",INDEX('Input Transaksi'!$F:$F,$E448))</f>
        <v/>
      </c>
      <c r="E448">
        <f>IFERROR(AGGREGATE(15,6,ROW('Input Transaksi'!$B$5:$B$5000)/('Input Transaksi'!$B$5:$B$5000="DIY"),ROWS($E$5:E448)),"")</f>
        <v/>
      </c>
      <c r="F448" s="5" t="n"/>
    </row>
    <row r="449">
      <c r="A449" s="10">
        <f>IF($E449="","",INDEX('Input Transaksi'!$A:$A,$E449))</f>
        <v/>
      </c>
      <c r="B449" s="5">
        <f>IF($E449="","",INDEX('Input Transaksi'!$D:$D,$E449))</f>
        <v/>
      </c>
      <c r="C449">
        <f>IF($E449="","",INDEX('Input Transaksi'!$E:$E,$E449))</f>
        <v/>
      </c>
      <c r="D449" s="5">
        <f>IF($E449="","",INDEX('Input Transaksi'!$F:$F,$E449))</f>
        <v/>
      </c>
      <c r="E449">
        <f>IFERROR(AGGREGATE(15,6,ROW('Input Transaksi'!$B$5:$B$5000)/('Input Transaksi'!$B$5:$B$5000="DIY"),ROWS($E$5:E449)),"")</f>
        <v/>
      </c>
      <c r="F449" s="5" t="n"/>
    </row>
    <row r="450">
      <c r="A450" s="10">
        <f>IF($E450="","",INDEX('Input Transaksi'!$A:$A,$E450))</f>
        <v/>
      </c>
      <c r="B450" s="5">
        <f>IF($E450="","",INDEX('Input Transaksi'!$D:$D,$E450))</f>
        <v/>
      </c>
      <c r="C450">
        <f>IF($E450="","",INDEX('Input Transaksi'!$E:$E,$E450))</f>
        <v/>
      </c>
      <c r="D450" s="5">
        <f>IF($E450="","",INDEX('Input Transaksi'!$F:$F,$E450))</f>
        <v/>
      </c>
      <c r="E450">
        <f>IFERROR(AGGREGATE(15,6,ROW('Input Transaksi'!$B$5:$B$5000)/('Input Transaksi'!$B$5:$B$5000="DIY"),ROWS($E$5:E450)),"")</f>
        <v/>
      </c>
      <c r="F450" s="5" t="n"/>
    </row>
    <row r="451">
      <c r="A451" s="10">
        <f>IF($E451="","",INDEX('Input Transaksi'!$A:$A,$E451))</f>
        <v/>
      </c>
      <c r="B451" s="5">
        <f>IF($E451="","",INDEX('Input Transaksi'!$D:$D,$E451))</f>
        <v/>
      </c>
      <c r="C451">
        <f>IF($E451="","",INDEX('Input Transaksi'!$E:$E,$E451))</f>
        <v/>
      </c>
      <c r="D451" s="5">
        <f>IF($E451="","",INDEX('Input Transaksi'!$F:$F,$E451))</f>
        <v/>
      </c>
      <c r="E451">
        <f>IFERROR(AGGREGATE(15,6,ROW('Input Transaksi'!$B$5:$B$5000)/('Input Transaksi'!$B$5:$B$5000="DIY"),ROWS($E$5:E451)),"")</f>
        <v/>
      </c>
      <c r="F451" s="5" t="n"/>
    </row>
    <row r="452">
      <c r="A452" s="10">
        <f>IF($E452="","",INDEX('Input Transaksi'!$A:$A,$E452))</f>
        <v/>
      </c>
      <c r="B452" s="5">
        <f>IF($E452="","",INDEX('Input Transaksi'!$D:$D,$E452))</f>
        <v/>
      </c>
      <c r="C452">
        <f>IF($E452="","",INDEX('Input Transaksi'!$E:$E,$E452))</f>
        <v/>
      </c>
      <c r="D452" s="5">
        <f>IF($E452="","",INDEX('Input Transaksi'!$F:$F,$E452))</f>
        <v/>
      </c>
      <c r="E452">
        <f>IFERROR(AGGREGATE(15,6,ROW('Input Transaksi'!$B$5:$B$5000)/('Input Transaksi'!$B$5:$B$5000="DIY"),ROWS($E$5:E452)),"")</f>
        <v/>
      </c>
      <c r="F452" s="5" t="n"/>
    </row>
    <row r="453">
      <c r="A453" s="10">
        <f>IF($E453="","",INDEX('Input Transaksi'!$A:$A,$E453))</f>
        <v/>
      </c>
      <c r="B453" s="5">
        <f>IF($E453="","",INDEX('Input Transaksi'!$D:$D,$E453))</f>
        <v/>
      </c>
      <c r="C453">
        <f>IF($E453="","",INDEX('Input Transaksi'!$E:$E,$E453))</f>
        <v/>
      </c>
      <c r="D453" s="5">
        <f>IF($E453="","",INDEX('Input Transaksi'!$F:$F,$E453))</f>
        <v/>
      </c>
      <c r="E453">
        <f>IFERROR(AGGREGATE(15,6,ROW('Input Transaksi'!$B$5:$B$5000)/('Input Transaksi'!$B$5:$B$5000="DIY"),ROWS($E$5:E453)),"")</f>
        <v/>
      </c>
      <c r="F453" s="5" t="n"/>
    </row>
    <row r="454">
      <c r="A454" s="10">
        <f>IF($E454="","",INDEX('Input Transaksi'!$A:$A,$E454))</f>
        <v/>
      </c>
      <c r="B454" s="5">
        <f>IF($E454="","",INDEX('Input Transaksi'!$D:$D,$E454))</f>
        <v/>
      </c>
      <c r="C454">
        <f>IF($E454="","",INDEX('Input Transaksi'!$E:$E,$E454))</f>
        <v/>
      </c>
      <c r="D454" s="5">
        <f>IF($E454="","",INDEX('Input Transaksi'!$F:$F,$E454))</f>
        <v/>
      </c>
      <c r="E454">
        <f>IFERROR(AGGREGATE(15,6,ROW('Input Transaksi'!$B$5:$B$5000)/('Input Transaksi'!$B$5:$B$5000="DIY"),ROWS($E$5:E454)),"")</f>
        <v/>
      </c>
      <c r="F454" s="5" t="n"/>
    </row>
    <row r="455">
      <c r="A455" s="10">
        <f>IF($E455="","",INDEX('Input Transaksi'!$A:$A,$E455))</f>
        <v/>
      </c>
      <c r="B455" s="5">
        <f>IF($E455="","",INDEX('Input Transaksi'!$D:$D,$E455))</f>
        <v/>
      </c>
      <c r="C455">
        <f>IF($E455="","",INDEX('Input Transaksi'!$E:$E,$E455))</f>
        <v/>
      </c>
      <c r="D455" s="5">
        <f>IF($E455="","",INDEX('Input Transaksi'!$F:$F,$E455))</f>
        <v/>
      </c>
      <c r="E455">
        <f>IFERROR(AGGREGATE(15,6,ROW('Input Transaksi'!$B$5:$B$5000)/('Input Transaksi'!$B$5:$B$5000="DIY"),ROWS($E$5:E455)),"")</f>
        <v/>
      </c>
      <c r="F455" s="5" t="n"/>
    </row>
    <row r="456">
      <c r="A456" s="10">
        <f>IF($E456="","",INDEX('Input Transaksi'!$A:$A,$E456))</f>
        <v/>
      </c>
      <c r="B456" s="5">
        <f>IF($E456="","",INDEX('Input Transaksi'!$D:$D,$E456))</f>
        <v/>
      </c>
      <c r="C456">
        <f>IF($E456="","",INDEX('Input Transaksi'!$E:$E,$E456))</f>
        <v/>
      </c>
      <c r="D456" s="5">
        <f>IF($E456="","",INDEX('Input Transaksi'!$F:$F,$E456))</f>
        <v/>
      </c>
      <c r="E456">
        <f>IFERROR(AGGREGATE(15,6,ROW('Input Transaksi'!$B$5:$B$5000)/('Input Transaksi'!$B$5:$B$5000="DIY"),ROWS($E$5:E456)),"")</f>
        <v/>
      </c>
      <c r="F456" s="5" t="n"/>
    </row>
    <row r="457">
      <c r="A457" s="10">
        <f>IF($E457="","",INDEX('Input Transaksi'!$A:$A,$E457))</f>
        <v/>
      </c>
      <c r="B457" s="5">
        <f>IF($E457="","",INDEX('Input Transaksi'!$D:$D,$E457))</f>
        <v/>
      </c>
      <c r="C457">
        <f>IF($E457="","",INDEX('Input Transaksi'!$E:$E,$E457))</f>
        <v/>
      </c>
      <c r="D457" s="5">
        <f>IF($E457="","",INDEX('Input Transaksi'!$F:$F,$E457))</f>
        <v/>
      </c>
      <c r="E457">
        <f>IFERROR(AGGREGATE(15,6,ROW('Input Transaksi'!$B$5:$B$5000)/('Input Transaksi'!$B$5:$B$5000="DIY"),ROWS($E$5:E457)),"")</f>
        <v/>
      </c>
      <c r="F457" s="5" t="n"/>
    </row>
    <row r="458">
      <c r="A458" s="10">
        <f>IF($E458="","",INDEX('Input Transaksi'!$A:$A,$E458))</f>
        <v/>
      </c>
      <c r="B458" s="5">
        <f>IF($E458="","",INDEX('Input Transaksi'!$D:$D,$E458))</f>
        <v/>
      </c>
      <c r="C458">
        <f>IF($E458="","",INDEX('Input Transaksi'!$E:$E,$E458))</f>
        <v/>
      </c>
      <c r="D458" s="5">
        <f>IF($E458="","",INDEX('Input Transaksi'!$F:$F,$E458))</f>
        <v/>
      </c>
      <c r="E458">
        <f>IFERROR(AGGREGATE(15,6,ROW('Input Transaksi'!$B$5:$B$5000)/('Input Transaksi'!$B$5:$B$5000="DIY"),ROWS($E$5:E458)),"")</f>
        <v/>
      </c>
      <c r="F458" s="5" t="n"/>
    </row>
    <row r="459">
      <c r="A459" s="10">
        <f>IF($E459="","",INDEX('Input Transaksi'!$A:$A,$E459))</f>
        <v/>
      </c>
      <c r="B459" s="5">
        <f>IF($E459="","",INDEX('Input Transaksi'!$D:$D,$E459))</f>
        <v/>
      </c>
      <c r="C459">
        <f>IF($E459="","",INDEX('Input Transaksi'!$E:$E,$E459))</f>
        <v/>
      </c>
      <c r="D459" s="5">
        <f>IF($E459="","",INDEX('Input Transaksi'!$F:$F,$E459))</f>
        <v/>
      </c>
      <c r="E459">
        <f>IFERROR(AGGREGATE(15,6,ROW('Input Transaksi'!$B$5:$B$5000)/('Input Transaksi'!$B$5:$B$5000="DIY"),ROWS($E$5:E459)),"")</f>
        <v/>
      </c>
      <c r="F459" s="5" t="n"/>
    </row>
    <row r="460">
      <c r="A460" s="10">
        <f>IF($E460="","",INDEX('Input Transaksi'!$A:$A,$E460))</f>
        <v/>
      </c>
      <c r="B460" s="5">
        <f>IF($E460="","",INDEX('Input Transaksi'!$D:$D,$E460))</f>
        <v/>
      </c>
      <c r="C460">
        <f>IF($E460="","",INDEX('Input Transaksi'!$E:$E,$E460))</f>
        <v/>
      </c>
      <c r="D460" s="5">
        <f>IF($E460="","",INDEX('Input Transaksi'!$F:$F,$E460))</f>
        <v/>
      </c>
      <c r="E460">
        <f>IFERROR(AGGREGATE(15,6,ROW('Input Transaksi'!$B$5:$B$5000)/('Input Transaksi'!$B$5:$B$5000="DIY"),ROWS($E$5:E460)),"")</f>
        <v/>
      </c>
      <c r="F460" s="5" t="n"/>
    </row>
    <row r="461">
      <c r="A461" s="10">
        <f>IF($E461="","",INDEX('Input Transaksi'!$A:$A,$E461))</f>
        <v/>
      </c>
      <c r="B461" s="5">
        <f>IF($E461="","",INDEX('Input Transaksi'!$D:$D,$E461))</f>
        <v/>
      </c>
      <c r="C461">
        <f>IF($E461="","",INDEX('Input Transaksi'!$E:$E,$E461))</f>
        <v/>
      </c>
      <c r="D461" s="5">
        <f>IF($E461="","",INDEX('Input Transaksi'!$F:$F,$E461))</f>
        <v/>
      </c>
      <c r="E461">
        <f>IFERROR(AGGREGATE(15,6,ROW('Input Transaksi'!$B$5:$B$5000)/('Input Transaksi'!$B$5:$B$5000="DIY"),ROWS($E$5:E461)),"")</f>
        <v/>
      </c>
      <c r="F461" s="5" t="n"/>
    </row>
    <row r="462">
      <c r="A462" s="10">
        <f>IF($E462="","",INDEX('Input Transaksi'!$A:$A,$E462))</f>
        <v/>
      </c>
      <c r="B462" s="5">
        <f>IF($E462="","",INDEX('Input Transaksi'!$D:$D,$E462))</f>
        <v/>
      </c>
      <c r="C462">
        <f>IF($E462="","",INDEX('Input Transaksi'!$E:$E,$E462))</f>
        <v/>
      </c>
      <c r="D462" s="5">
        <f>IF($E462="","",INDEX('Input Transaksi'!$F:$F,$E462))</f>
        <v/>
      </c>
      <c r="E462">
        <f>IFERROR(AGGREGATE(15,6,ROW('Input Transaksi'!$B$5:$B$5000)/('Input Transaksi'!$B$5:$B$5000="DIY"),ROWS($E$5:E462)),"")</f>
        <v/>
      </c>
      <c r="F462" s="5" t="n"/>
    </row>
    <row r="463">
      <c r="A463" s="10">
        <f>IF($E463="","",INDEX('Input Transaksi'!$A:$A,$E463))</f>
        <v/>
      </c>
      <c r="B463" s="5">
        <f>IF($E463="","",INDEX('Input Transaksi'!$D:$D,$E463))</f>
        <v/>
      </c>
      <c r="C463">
        <f>IF($E463="","",INDEX('Input Transaksi'!$E:$E,$E463))</f>
        <v/>
      </c>
      <c r="D463" s="5">
        <f>IF($E463="","",INDEX('Input Transaksi'!$F:$F,$E463))</f>
        <v/>
      </c>
      <c r="E463">
        <f>IFERROR(AGGREGATE(15,6,ROW('Input Transaksi'!$B$5:$B$5000)/('Input Transaksi'!$B$5:$B$5000="DIY"),ROWS($E$5:E463)),"")</f>
        <v/>
      </c>
      <c r="F463" s="5" t="n"/>
    </row>
    <row r="464">
      <c r="A464" s="10">
        <f>IF($E464="","",INDEX('Input Transaksi'!$A:$A,$E464))</f>
        <v/>
      </c>
      <c r="B464" s="5">
        <f>IF($E464="","",INDEX('Input Transaksi'!$D:$D,$E464))</f>
        <v/>
      </c>
      <c r="C464">
        <f>IF($E464="","",INDEX('Input Transaksi'!$E:$E,$E464))</f>
        <v/>
      </c>
      <c r="D464" s="5">
        <f>IF($E464="","",INDEX('Input Transaksi'!$F:$F,$E464))</f>
        <v/>
      </c>
      <c r="E464">
        <f>IFERROR(AGGREGATE(15,6,ROW('Input Transaksi'!$B$5:$B$5000)/('Input Transaksi'!$B$5:$B$5000="DIY"),ROWS($E$5:E464)),"")</f>
        <v/>
      </c>
      <c r="F464" s="5" t="n"/>
    </row>
    <row r="465">
      <c r="A465" s="10">
        <f>IF($E465="","",INDEX('Input Transaksi'!$A:$A,$E465))</f>
        <v/>
      </c>
      <c r="B465" s="5">
        <f>IF($E465="","",INDEX('Input Transaksi'!$D:$D,$E465))</f>
        <v/>
      </c>
      <c r="C465">
        <f>IF($E465="","",INDEX('Input Transaksi'!$E:$E,$E465))</f>
        <v/>
      </c>
      <c r="D465" s="5">
        <f>IF($E465="","",INDEX('Input Transaksi'!$F:$F,$E465))</f>
        <v/>
      </c>
      <c r="E465">
        <f>IFERROR(AGGREGATE(15,6,ROW('Input Transaksi'!$B$5:$B$5000)/('Input Transaksi'!$B$5:$B$5000="DIY"),ROWS($E$5:E465)),"")</f>
        <v/>
      </c>
      <c r="F465" s="5" t="n"/>
    </row>
    <row r="466">
      <c r="A466" s="10">
        <f>IF($E466="","",INDEX('Input Transaksi'!$A:$A,$E466))</f>
        <v/>
      </c>
      <c r="B466" s="5">
        <f>IF($E466="","",INDEX('Input Transaksi'!$D:$D,$E466))</f>
        <v/>
      </c>
      <c r="C466">
        <f>IF($E466="","",INDEX('Input Transaksi'!$E:$E,$E466))</f>
        <v/>
      </c>
      <c r="D466" s="5">
        <f>IF($E466="","",INDEX('Input Transaksi'!$F:$F,$E466))</f>
        <v/>
      </c>
      <c r="E466">
        <f>IFERROR(AGGREGATE(15,6,ROW('Input Transaksi'!$B$5:$B$5000)/('Input Transaksi'!$B$5:$B$5000="DIY"),ROWS($E$5:E466)),"")</f>
        <v/>
      </c>
      <c r="F466" s="5" t="n"/>
    </row>
    <row r="467">
      <c r="A467" s="10">
        <f>IF($E467="","",INDEX('Input Transaksi'!$A:$A,$E467))</f>
        <v/>
      </c>
      <c r="B467" s="5">
        <f>IF($E467="","",INDEX('Input Transaksi'!$D:$D,$E467))</f>
        <v/>
      </c>
      <c r="C467">
        <f>IF($E467="","",INDEX('Input Transaksi'!$E:$E,$E467))</f>
        <v/>
      </c>
      <c r="D467" s="5">
        <f>IF($E467="","",INDEX('Input Transaksi'!$F:$F,$E467))</f>
        <v/>
      </c>
      <c r="E467">
        <f>IFERROR(AGGREGATE(15,6,ROW('Input Transaksi'!$B$5:$B$5000)/('Input Transaksi'!$B$5:$B$5000="DIY"),ROWS($E$5:E467)),"")</f>
        <v/>
      </c>
      <c r="F467" s="5" t="n"/>
    </row>
    <row r="468">
      <c r="A468" s="10">
        <f>IF($E468="","",INDEX('Input Transaksi'!$A:$A,$E468))</f>
        <v/>
      </c>
      <c r="B468" s="5">
        <f>IF($E468="","",INDEX('Input Transaksi'!$D:$D,$E468))</f>
        <v/>
      </c>
      <c r="C468">
        <f>IF($E468="","",INDEX('Input Transaksi'!$E:$E,$E468))</f>
        <v/>
      </c>
      <c r="D468" s="5">
        <f>IF($E468="","",INDEX('Input Transaksi'!$F:$F,$E468))</f>
        <v/>
      </c>
      <c r="E468">
        <f>IFERROR(AGGREGATE(15,6,ROW('Input Transaksi'!$B$5:$B$5000)/('Input Transaksi'!$B$5:$B$5000="DIY"),ROWS($E$5:E468)),"")</f>
        <v/>
      </c>
      <c r="F468" s="5" t="n"/>
    </row>
    <row r="469">
      <c r="A469" s="10">
        <f>IF($E469="","",INDEX('Input Transaksi'!$A:$A,$E469))</f>
        <v/>
      </c>
      <c r="B469" s="5">
        <f>IF($E469="","",INDEX('Input Transaksi'!$D:$D,$E469))</f>
        <v/>
      </c>
      <c r="C469">
        <f>IF($E469="","",INDEX('Input Transaksi'!$E:$E,$E469))</f>
        <v/>
      </c>
      <c r="D469" s="5">
        <f>IF($E469="","",INDEX('Input Transaksi'!$F:$F,$E469))</f>
        <v/>
      </c>
      <c r="E469">
        <f>IFERROR(AGGREGATE(15,6,ROW('Input Transaksi'!$B$5:$B$5000)/('Input Transaksi'!$B$5:$B$5000="DIY"),ROWS($E$5:E469)),"")</f>
        <v/>
      </c>
      <c r="F469" s="5" t="n"/>
    </row>
    <row r="470">
      <c r="A470" s="10">
        <f>IF($E470="","",INDEX('Input Transaksi'!$A:$A,$E470))</f>
        <v/>
      </c>
      <c r="B470" s="5">
        <f>IF($E470="","",INDEX('Input Transaksi'!$D:$D,$E470))</f>
        <v/>
      </c>
      <c r="C470">
        <f>IF($E470="","",INDEX('Input Transaksi'!$E:$E,$E470))</f>
        <v/>
      </c>
      <c r="D470" s="5">
        <f>IF($E470="","",INDEX('Input Transaksi'!$F:$F,$E470))</f>
        <v/>
      </c>
      <c r="E470">
        <f>IFERROR(AGGREGATE(15,6,ROW('Input Transaksi'!$B$5:$B$5000)/('Input Transaksi'!$B$5:$B$5000="DIY"),ROWS($E$5:E470)),"")</f>
        <v/>
      </c>
      <c r="F470" s="5" t="n"/>
    </row>
    <row r="471">
      <c r="A471" s="10">
        <f>IF($E471="","",INDEX('Input Transaksi'!$A:$A,$E471))</f>
        <v/>
      </c>
      <c r="B471" s="5">
        <f>IF($E471="","",INDEX('Input Transaksi'!$D:$D,$E471))</f>
        <v/>
      </c>
      <c r="C471">
        <f>IF($E471="","",INDEX('Input Transaksi'!$E:$E,$E471))</f>
        <v/>
      </c>
      <c r="D471" s="5">
        <f>IF($E471="","",INDEX('Input Transaksi'!$F:$F,$E471))</f>
        <v/>
      </c>
      <c r="E471">
        <f>IFERROR(AGGREGATE(15,6,ROW('Input Transaksi'!$B$5:$B$5000)/('Input Transaksi'!$B$5:$B$5000="DIY"),ROWS($E$5:E471)),"")</f>
        <v/>
      </c>
      <c r="F471" s="5" t="n"/>
    </row>
    <row r="472">
      <c r="A472" s="10">
        <f>IF($E472="","",INDEX('Input Transaksi'!$A:$A,$E472))</f>
        <v/>
      </c>
      <c r="B472" s="5">
        <f>IF($E472="","",INDEX('Input Transaksi'!$D:$D,$E472))</f>
        <v/>
      </c>
      <c r="C472">
        <f>IF($E472="","",INDEX('Input Transaksi'!$E:$E,$E472))</f>
        <v/>
      </c>
      <c r="D472" s="5">
        <f>IF($E472="","",INDEX('Input Transaksi'!$F:$F,$E472))</f>
        <v/>
      </c>
      <c r="E472">
        <f>IFERROR(AGGREGATE(15,6,ROW('Input Transaksi'!$B$5:$B$5000)/('Input Transaksi'!$B$5:$B$5000="DIY"),ROWS($E$5:E472)),"")</f>
        <v/>
      </c>
      <c r="F472" s="5" t="n"/>
    </row>
    <row r="473">
      <c r="A473" s="10">
        <f>IF($E473="","",INDEX('Input Transaksi'!$A:$A,$E473))</f>
        <v/>
      </c>
      <c r="B473" s="5">
        <f>IF($E473="","",INDEX('Input Transaksi'!$D:$D,$E473))</f>
        <v/>
      </c>
      <c r="C473">
        <f>IF($E473="","",INDEX('Input Transaksi'!$E:$E,$E473))</f>
        <v/>
      </c>
      <c r="D473" s="5">
        <f>IF($E473="","",INDEX('Input Transaksi'!$F:$F,$E473))</f>
        <v/>
      </c>
      <c r="E473">
        <f>IFERROR(AGGREGATE(15,6,ROW('Input Transaksi'!$B$5:$B$5000)/('Input Transaksi'!$B$5:$B$5000="DIY"),ROWS($E$5:E473)),"")</f>
        <v/>
      </c>
      <c r="F473" s="5" t="n"/>
    </row>
    <row r="474">
      <c r="A474" s="10">
        <f>IF($E474="","",INDEX('Input Transaksi'!$A:$A,$E474))</f>
        <v/>
      </c>
      <c r="B474" s="5">
        <f>IF($E474="","",INDEX('Input Transaksi'!$D:$D,$E474))</f>
        <v/>
      </c>
      <c r="C474">
        <f>IF($E474="","",INDEX('Input Transaksi'!$E:$E,$E474))</f>
        <v/>
      </c>
      <c r="D474" s="5">
        <f>IF($E474="","",INDEX('Input Transaksi'!$F:$F,$E474))</f>
        <v/>
      </c>
      <c r="E474">
        <f>IFERROR(AGGREGATE(15,6,ROW('Input Transaksi'!$B$5:$B$5000)/('Input Transaksi'!$B$5:$B$5000="DIY"),ROWS($E$5:E474)),"")</f>
        <v/>
      </c>
      <c r="F474" s="5" t="n"/>
    </row>
    <row r="475">
      <c r="A475" s="10">
        <f>IF($E475="","",INDEX('Input Transaksi'!$A:$A,$E475))</f>
        <v/>
      </c>
      <c r="B475" s="5">
        <f>IF($E475="","",INDEX('Input Transaksi'!$D:$D,$E475))</f>
        <v/>
      </c>
      <c r="C475">
        <f>IF($E475="","",INDEX('Input Transaksi'!$E:$E,$E475))</f>
        <v/>
      </c>
      <c r="D475" s="5">
        <f>IF($E475="","",INDEX('Input Transaksi'!$F:$F,$E475))</f>
        <v/>
      </c>
      <c r="E475">
        <f>IFERROR(AGGREGATE(15,6,ROW('Input Transaksi'!$B$5:$B$5000)/('Input Transaksi'!$B$5:$B$5000="DIY"),ROWS($E$5:E475)),"")</f>
        <v/>
      </c>
      <c r="F475" s="5" t="n"/>
    </row>
    <row r="476">
      <c r="A476" s="10">
        <f>IF($E476="","",INDEX('Input Transaksi'!$A:$A,$E476))</f>
        <v/>
      </c>
      <c r="B476" s="5">
        <f>IF($E476="","",INDEX('Input Transaksi'!$D:$D,$E476))</f>
        <v/>
      </c>
      <c r="C476">
        <f>IF($E476="","",INDEX('Input Transaksi'!$E:$E,$E476))</f>
        <v/>
      </c>
      <c r="D476" s="5">
        <f>IF($E476="","",INDEX('Input Transaksi'!$F:$F,$E476))</f>
        <v/>
      </c>
      <c r="E476">
        <f>IFERROR(AGGREGATE(15,6,ROW('Input Transaksi'!$B$5:$B$5000)/('Input Transaksi'!$B$5:$B$5000="DIY"),ROWS($E$5:E476)),"")</f>
        <v/>
      </c>
      <c r="F476" s="5" t="n"/>
    </row>
    <row r="477">
      <c r="A477" s="10">
        <f>IF($E477="","",INDEX('Input Transaksi'!$A:$A,$E477))</f>
        <v/>
      </c>
      <c r="B477" s="5">
        <f>IF($E477="","",INDEX('Input Transaksi'!$D:$D,$E477))</f>
        <v/>
      </c>
      <c r="C477">
        <f>IF($E477="","",INDEX('Input Transaksi'!$E:$E,$E477))</f>
        <v/>
      </c>
      <c r="D477" s="5">
        <f>IF($E477="","",INDEX('Input Transaksi'!$F:$F,$E477))</f>
        <v/>
      </c>
      <c r="E477">
        <f>IFERROR(AGGREGATE(15,6,ROW('Input Transaksi'!$B$5:$B$5000)/('Input Transaksi'!$B$5:$B$5000="DIY"),ROWS($E$5:E477)),"")</f>
        <v/>
      </c>
      <c r="F477" s="5" t="n"/>
    </row>
    <row r="478">
      <c r="A478" s="10">
        <f>IF($E478="","",INDEX('Input Transaksi'!$A:$A,$E478))</f>
        <v/>
      </c>
      <c r="B478" s="5">
        <f>IF($E478="","",INDEX('Input Transaksi'!$D:$D,$E478))</f>
        <v/>
      </c>
      <c r="C478">
        <f>IF($E478="","",INDEX('Input Transaksi'!$E:$E,$E478))</f>
        <v/>
      </c>
      <c r="D478" s="5">
        <f>IF($E478="","",INDEX('Input Transaksi'!$F:$F,$E478))</f>
        <v/>
      </c>
      <c r="E478">
        <f>IFERROR(AGGREGATE(15,6,ROW('Input Transaksi'!$B$5:$B$5000)/('Input Transaksi'!$B$5:$B$5000="DIY"),ROWS($E$5:E478)),"")</f>
        <v/>
      </c>
      <c r="F478" s="5" t="n"/>
    </row>
    <row r="479">
      <c r="A479" s="10">
        <f>IF($E479="","",INDEX('Input Transaksi'!$A:$A,$E479))</f>
        <v/>
      </c>
      <c r="B479" s="5">
        <f>IF($E479="","",INDEX('Input Transaksi'!$D:$D,$E479))</f>
        <v/>
      </c>
      <c r="C479">
        <f>IF($E479="","",INDEX('Input Transaksi'!$E:$E,$E479))</f>
        <v/>
      </c>
      <c r="D479" s="5">
        <f>IF($E479="","",INDEX('Input Transaksi'!$F:$F,$E479))</f>
        <v/>
      </c>
      <c r="E479">
        <f>IFERROR(AGGREGATE(15,6,ROW('Input Transaksi'!$B$5:$B$5000)/('Input Transaksi'!$B$5:$B$5000="DIY"),ROWS($E$5:E479)),"")</f>
        <v/>
      </c>
      <c r="F479" s="5" t="n"/>
    </row>
    <row r="480">
      <c r="A480" s="10">
        <f>IF($E480="","",INDEX('Input Transaksi'!$A:$A,$E480))</f>
        <v/>
      </c>
      <c r="B480" s="5">
        <f>IF($E480="","",INDEX('Input Transaksi'!$D:$D,$E480))</f>
        <v/>
      </c>
      <c r="C480">
        <f>IF($E480="","",INDEX('Input Transaksi'!$E:$E,$E480))</f>
        <v/>
      </c>
      <c r="D480" s="5">
        <f>IF($E480="","",INDEX('Input Transaksi'!$F:$F,$E480))</f>
        <v/>
      </c>
      <c r="E480">
        <f>IFERROR(AGGREGATE(15,6,ROW('Input Transaksi'!$B$5:$B$5000)/('Input Transaksi'!$B$5:$B$5000="DIY"),ROWS($E$5:E480)),"")</f>
        <v/>
      </c>
      <c r="F480" s="5" t="n"/>
    </row>
    <row r="481">
      <c r="A481" s="10">
        <f>IF($E481="","",INDEX('Input Transaksi'!$A:$A,$E481))</f>
        <v/>
      </c>
      <c r="B481" s="5">
        <f>IF($E481="","",INDEX('Input Transaksi'!$D:$D,$E481))</f>
        <v/>
      </c>
      <c r="C481">
        <f>IF($E481="","",INDEX('Input Transaksi'!$E:$E,$E481))</f>
        <v/>
      </c>
      <c r="D481" s="5">
        <f>IF($E481="","",INDEX('Input Transaksi'!$F:$F,$E481))</f>
        <v/>
      </c>
      <c r="E481">
        <f>IFERROR(AGGREGATE(15,6,ROW('Input Transaksi'!$B$5:$B$5000)/('Input Transaksi'!$B$5:$B$5000="DIY"),ROWS($E$5:E481)),"")</f>
        <v/>
      </c>
      <c r="F481" s="5" t="n"/>
    </row>
    <row r="482">
      <c r="A482" s="10">
        <f>IF($E482="","",INDEX('Input Transaksi'!$A:$A,$E482))</f>
        <v/>
      </c>
      <c r="B482" s="5">
        <f>IF($E482="","",INDEX('Input Transaksi'!$D:$D,$E482))</f>
        <v/>
      </c>
      <c r="C482">
        <f>IF($E482="","",INDEX('Input Transaksi'!$E:$E,$E482))</f>
        <v/>
      </c>
      <c r="D482" s="5">
        <f>IF($E482="","",INDEX('Input Transaksi'!$F:$F,$E482))</f>
        <v/>
      </c>
      <c r="E482">
        <f>IFERROR(AGGREGATE(15,6,ROW('Input Transaksi'!$B$5:$B$5000)/('Input Transaksi'!$B$5:$B$5000="DIY"),ROWS($E$5:E482)),"")</f>
        <v/>
      </c>
      <c r="F482" s="5" t="n"/>
    </row>
    <row r="483">
      <c r="A483" s="10">
        <f>IF($E483="","",INDEX('Input Transaksi'!$A:$A,$E483))</f>
        <v/>
      </c>
      <c r="B483" s="5">
        <f>IF($E483="","",INDEX('Input Transaksi'!$D:$D,$E483))</f>
        <v/>
      </c>
      <c r="C483">
        <f>IF($E483="","",INDEX('Input Transaksi'!$E:$E,$E483))</f>
        <v/>
      </c>
      <c r="D483" s="5">
        <f>IF($E483="","",INDEX('Input Transaksi'!$F:$F,$E483))</f>
        <v/>
      </c>
      <c r="E483">
        <f>IFERROR(AGGREGATE(15,6,ROW('Input Transaksi'!$B$5:$B$5000)/('Input Transaksi'!$B$5:$B$5000="DIY"),ROWS($E$5:E483)),"")</f>
        <v/>
      </c>
      <c r="F483" s="5" t="n"/>
    </row>
    <row r="484">
      <c r="A484" s="10">
        <f>IF($E484="","",INDEX('Input Transaksi'!$A:$A,$E484))</f>
        <v/>
      </c>
      <c r="B484" s="5">
        <f>IF($E484="","",INDEX('Input Transaksi'!$D:$D,$E484))</f>
        <v/>
      </c>
      <c r="C484">
        <f>IF($E484="","",INDEX('Input Transaksi'!$E:$E,$E484))</f>
        <v/>
      </c>
      <c r="D484" s="5">
        <f>IF($E484="","",INDEX('Input Transaksi'!$F:$F,$E484))</f>
        <v/>
      </c>
      <c r="E484">
        <f>IFERROR(AGGREGATE(15,6,ROW('Input Transaksi'!$B$5:$B$5000)/('Input Transaksi'!$B$5:$B$5000="DIY"),ROWS($E$5:E484)),"")</f>
        <v/>
      </c>
      <c r="F484" s="5" t="n"/>
    </row>
    <row r="485">
      <c r="A485" s="10">
        <f>IF($E485="","",INDEX('Input Transaksi'!$A:$A,$E485))</f>
        <v/>
      </c>
      <c r="B485" s="5">
        <f>IF($E485="","",INDEX('Input Transaksi'!$D:$D,$E485))</f>
        <v/>
      </c>
      <c r="C485">
        <f>IF($E485="","",INDEX('Input Transaksi'!$E:$E,$E485))</f>
        <v/>
      </c>
      <c r="D485" s="5">
        <f>IF($E485="","",INDEX('Input Transaksi'!$F:$F,$E485))</f>
        <v/>
      </c>
      <c r="E485">
        <f>IFERROR(AGGREGATE(15,6,ROW('Input Transaksi'!$B$5:$B$5000)/('Input Transaksi'!$B$5:$B$5000="DIY"),ROWS($E$5:E485)),"")</f>
        <v/>
      </c>
      <c r="F485" s="5" t="n"/>
    </row>
    <row r="486">
      <c r="A486" s="10">
        <f>IF($E486="","",INDEX('Input Transaksi'!$A:$A,$E486))</f>
        <v/>
      </c>
      <c r="B486" s="5">
        <f>IF($E486="","",INDEX('Input Transaksi'!$D:$D,$E486))</f>
        <v/>
      </c>
      <c r="C486">
        <f>IF($E486="","",INDEX('Input Transaksi'!$E:$E,$E486))</f>
        <v/>
      </c>
      <c r="D486" s="5">
        <f>IF($E486="","",INDEX('Input Transaksi'!$F:$F,$E486))</f>
        <v/>
      </c>
      <c r="E486">
        <f>IFERROR(AGGREGATE(15,6,ROW('Input Transaksi'!$B$5:$B$5000)/('Input Transaksi'!$B$5:$B$5000="DIY"),ROWS($E$5:E486)),"")</f>
        <v/>
      </c>
      <c r="F486" s="5" t="n"/>
    </row>
    <row r="487">
      <c r="A487" s="10">
        <f>IF($E487="","",INDEX('Input Transaksi'!$A:$A,$E487))</f>
        <v/>
      </c>
      <c r="B487" s="5">
        <f>IF($E487="","",INDEX('Input Transaksi'!$D:$D,$E487))</f>
        <v/>
      </c>
      <c r="C487">
        <f>IF($E487="","",INDEX('Input Transaksi'!$E:$E,$E487))</f>
        <v/>
      </c>
      <c r="D487" s="5">
        <f>IF($E487="","",INDEX('Input Transaksi'!$F:$F,$E487))</f>
        <v/>
      </c>
      <c r="E487">
        <f>IFERROR(AGGREGATE(15,6,ROW('Input Transaksi'!$B$5:$B$5000)/('Input Transaksi'!$B$5:$B$5000="DIY"),ROWS($E$5:E487)),"")</f>
        <v/>
      </c>
      <c r="F487" s="5" t="n"/>
    </row>
    <row r="488">
      <c r="A488" s="10">
        <f>IF($E488="","",INDEX('Input Transaksi'!$A:$A,$E488))</f>
        <v/>
      </c>
      <c r="B488" s="5">
        <f>IF($E488="","",INDEX('Input Transaksi'!$D:$D,$E488))</f>
        <v/>
      </c>
      <c r="C488">
        <f>IF($E488="","",INDEX('Input Transaksi'!$E:$E,$E488))</f>
        <v/>
      </c>
      <c r="D488" s="5">
        <f>IF($E488="","",INDEX('Input Transaksi'!$F:$F,$E488))</f>
        <v/>
      </c>
      <c r="E488">
        <f>IFERROR(AGGREGATE(15,6,ROW('Input Transaksi'!$B$5:$B$5000)/('Input Transaksi'!$B$5:$B$5000="DIY"),ROWS($E$5:E488)),"")</f>
        <v/>
      </c>
      <c r="F488" s="5" t="n"/>
    </row>
    <row r="489">
      <c r="A489" s="10">
        <f>IF($E489="","",INDEX('Input Transaksi'!$A:$A,$E489))</f>
        <v/>
      </c>
      <c r="B489" s="5">
        <f>IF($E489="","",INDEX('Input Transaksi'!$D:$D,$E489))</f>
        <v/>
      </c>
      <c r="C489">
        <f>IF($E489="","",INDEX('Input Transaksi'!$E:$E,$E489))</f>
        <v/>
      </c>
      <c r="D489" s="5">
        <f>IF($E489="","",INDEX('Input Transaksi'!$F:$F,$E489))</f>
        <v/>
      </c>
      <c r="E489">
        <f>IFERROR(AGGREGATE(15,6,ROW('Input Transaksi'!$B$5:$B$5000)/('Input Transaksi'!$B$5:$B$5000="DIY"),ROWS($E$5:E489)),"")</f>
        <v/>
      </c>
      <c r="F489" s="5" t="n"/>
    </row>
    <row r="490">
      <c r="A490" s="10">
        <f>IF($E490="","",INDEX('Input Transaksi'!$A:$A,$E490))</f>
        <v/>
      </c>
      <c r="B490" s="5">
        <f>IF($E490="","",INDEX('Input Transaksi'!$D:$D,$E490))</f>
        <v/>
      </c>
      <c r="C490">
        <f>IF($E490="","",INDEX('Input Transaksi'!$E:$E,$E490))</f>
        <v/>
      </c>
      <c r="D490" s="5">
        <f>IF($E490="","",INDEX('Input Transaksi'!$F:$F,$E490))</f>
        <v/>
      </c>
      <c r="E490">
        <f>IFERROR(AGGREGATE(15,6,ROW('Input Transaksi'!$B$5:$B$5000)/('Input Transaksi'!$B$5:$B$5000="DIY"),ROWS($E$5:E490)),"")</f>
        <v/>
      </c>
      <c r="F490" s="5" t="n"/>
    </row>
    <row r="491">
      <c r="A491" s="10">
        <f>IF($E491="","",INDEX('Input Transaksi'!$A:$A,$E491))</f>
        <v/>
      </c>
      <c r="B491" s="5">
        <f>IF($E491="","",INDEX('Input Transaksi'!$D:$D,$E491))</f>
        <v/>
      </c>
      <c r="C491">
        <f>IF($E491="","",INDEX('Input Transaksi'!$E:$E,$E491))</f>
        <v/>
      </c>
      <c r="D491" s="5">
        <f>IF($E491="","",INDEX('Input Transaksi'!$F:$F,$E491))</f>
        <v/>
      </c>
      <c r="E491">
        <f>IFERROR(AGGREGATE(15,6,ROW('Input Transaksi'!$B$5:$B$5000)/('Input Transaksi'!$B$5:$B$5000="DIY"),ROWS($E$5:E491)),"")</f>
        <v/>
      </c>
      <c r="F491" s="5" t="n"/>
    </row>
    <row r="492">
      <c r="A492" s="10">
        <f>IF($E492="","",INDEX('Input Transaksi'!$A:$A,$E492))</f>
        <v/>
      </c>
      <c r="B492" s="5">
        <f>IF($E492="","",INDEX('Input Transaksi'!$D:$D,$E492))</f>
        <v/>
      </c>
      <c r="C492">
        <f>IF($E492="","",INDEX('Input Transaksi'!$E:$E,$E492))</f>
        <v/>
      </c>
      <c r="D492" s="5">
        <f>IF($E492="","",INDEX('Input Transaksi'!$F:$F,$E492))</f>
        <v/>
      </c>
      <c r="E492">
        <f>IFERROR(AGGREGATE(15,6,ROW('Input Transaksi'!$B$5:$B$5000)/('Input Transaksi'!$B$5:$B$5000="DIY"),ROWS($E$5:E492)),"")</f>
        <v/>
      </c>
      <c r="F492" s="5" t="n"/>
    </row>
    <row r="493">
      <c r="A493" s="10">
        <f>IF($E493="","",INDEX('Input Transaksi'!$A:$A,$E493))</f>
        <v/>
      </c>
      <c r="B493" s="5">
        <f>IF($E493="","",INDEX('Input Transaksi'!$D:$D,$E493))</f>
        <v/>
      </c>
      <c r="C493">
        <f>IF($E493="","",INDEX('Input Transaksi'!$E:$E,$E493))</f>
        <v/>
      </c>
      <c r="D493" s="5">
        <f>IF($E493="","",INDEX('Input Transaksi'!$F:$F,$E493))</f>
        <v/>
      </c>
      <c r="E493">
        <f>IFERROR(AGGREGATE(15,6,ROW('Input Transaksi'!$B$5:$B$5000)/('Input Transaksi'!$B$5:$B$5000="DIY"),ROWS($E$5:E493)),"")</f>
        <v/>
      </c>
      <c r="F493" s="5" t="n"/>
    </row>
    <row r="494">
      <c r="A494" s="10">
        <f>IF($E494="","",INDEX('Input Transaksi'!$A:$A,$E494))</f>
        <v/>
      </c>
      <c r="B494" s="5">
        <f>IF($E494="","",INDEX('Input Transaksi'!$D:$D,$E494))</f>
        <v/>
      </c>
      <c r="C494">
        <f>IF($E494="","",INDEX('Input Transaksi'!$E:$E,$E494))</f>
        <v/>
      </c>
      <c r="D494" s="5">
        <f>IF($E494="","",INDEX('Input Transaksi'!$F:$F,$E494))</f>
        <v/>
      </c>
      <c r="E494">
        <f>IFERROR(AGGREGATE(15,6,ROW('Input Transaksi'!$B$5:$B$5000)/('Input Transaksi'!$B$5:$B$5000="DIY"),ROWS($E$5:E494)),"")</f>
        <v/>
      </c>
      <c r="F494" s="5" t="n"/>
    </row>
    <row r="495">
      <c r="A495" s="10">
        <f>IF($E495="","",INDEX('Input Transaksi'!$A:$A,$E495))</f>
        <v/>
      </c>
      <c r="B495" s="5">
        <f>IF($E495="","",INDEX('Input Transaksi'!$D:$D,$E495))</f>
        <v/>
      </c>
      <c r="C495">
        <f>IF($E495="","",INDEX('Input Transaksi'!$E:$E,$E495))</f>
        <v/>
      </c>
      <c r="D495" s="5">
        <f>IF($E495="","",INDEX('Input Transaksi'!$F:$F,$E495))</f>
        <v/>
      </c>
      <c r="E495">
        <f>IFERROR(AGGREGATE(15,6,ROW('Input Transaksi'!$B$5:$B$5000)/('Input Transaksi'!$B$5:$B$5000="DIY"),ROWS($E$5:E495)),"")</f>
        <v/>
      </c>
      <c r="F495" s="5" t="n"/>
    </row>
    <row r="496">
      <c r="A496" s="10">
        <f>IF($E496="","",INDEX('Input Transaksi'!$A:$A,$E496))</f>
        <v/>
      </c>
      <c r="B496" s="5">
        <f>IF($E496="","",INDEX('Input Transaksi'!$D:$D,$E496))</f>
        <v/>
      </c>
      <c r="C496">
        <f>IF($E496="","",INDEX('Input Transaksi'!$E:$E,$E496))</f>
        <v/>
      </c>
      <c r="D496" s="5">
        <f>IF($E496="","",INDEX('Input Transaksi'!$F:$F,$E496))</f>
        <v/>
      </c>
      <c r="E496">
        <f>IFERROR(AGGREGATE(15,6,ROW('Input Transaksi'!$B$5:$B$5000)/('Input Transaksi'!$B$5:$B$5000="DIY"),ROWS($E$5:E496)),"")</f>
        <v/>
      </c>
      <c r="F496" s="5" t="n"/>
    </row>
    <row r="497">
      <c r="A497" s="10">
        <f>IF($E497="","",INDEX('Input Transaksi'!$A:$A,$E497))</f>
        <v/>
      </c>
      <c r="B497" s="5">
        <f>IF($E497="","",INDEX('Input Transaksi'!$D:$D,$E497))</f>
        <v/>
      </c>
      <c r="C497">
        <f>IF($E497="","",INDEX('Input Transaksi'!$E:$E,$E497))</f>
        <v/>
      </c>
      <c r="D497" s="5">
        <f>IF($E497="","",INDEX('Input Transaksi'!$F:$F,$E497))</f>
        <v/>
      </c>
      <c r="E497">
        <f>IFERROR(AGGREGATE(15,6,ROW('Input Transaksi'!$B$5:$B$5000)/('Input Transaksi'!$B$5:$B$5000="DIY"),ROWS($E$5:E497)),"")</f>
        <v/>
      </c>
      <c r="F497" s="5" t="n"/>
    </row>
    <row r="498">
      <c r="A498" s="10">
        <f>IF($E498="","",INDEX('Input Transaksi'!$A:$A,$E498))</f>
        <v/>
      </c>
      <c r="B498" s="5">
        <f>IF($E498="","",INDEX('Input Transaksi'!$D:$D,$E498))</f>
        <v/>
      </c>
      <c r="C498">
        <f>IF($E498="","",INDEX('Input Transaksi'!$E:$E,$E498))</f>
        <v/>
      </c>
      <c r="D498" s="5">
        <f>IF($E498="","",INDEX('Input Transaksi'!$F:$F,$E498))</f>
        <v/>
      </c>
      <c r="E498">
        <f>IFERROR(AGGREGATE(15,6,ROW('Input Transaksi'!$B$5:$B$5000)/('Input Transaksi'!$B$5:$B$5000="DIY"),ROWS($E$5:E498)),"")</f>
        <v/>
      </c>
      <c r="F498" s="5" t="n"/>
    </row>
    <row r="499">
      <c r="A499" s="10">
        <f>IF($E499="","",INDEX('Input Transaksi'!$A:$A,$E499))</f>
        <v/>
      </c>
      <c r="B499" s="5">
        <f>IF($E499="","",INDEX('Input Transaksi'!$D:$D,$E499))</f>
        <v/>
      </c>
      <c r="C499">
        <f>IF($E499="","",INDEX('Input Transaksi'!$E:$E,$E499))</f>
        <v/>
      </c>
      <c r="D499" s="5">
        <f>IF($E499="","",INDEX('Input Transaksi'!$F:$F,$E499))</f>
        <v/>
      </c>
      <c r="E499">
        <f>IFERROR(AGGREGATE(15,6,ROW('Input Transaksi'!$B$5:$B$5000)/('Input Transaksi'!$B$5:$B$5000="DIY"),ROWS($E$5:E499)),"")</f>
        <v/>
      </c>
      <c r="F499" s="5" t="n"/>
    </row>
    <row r="500">
      <c r="A500" s="10">
        <f>IF($E500="","",INDEX('Input Transaksi'!$A:$A,$E500))</f>
        <v/>
      </c>
      <c r="B500" s="5">
        <f>IF($E500="","",INDEX('Input Transaksi'!$D:$D,$E500))</f>
        <v/>
      </c>
      <c r="C500">
        <f>IF($E500="","",INDEX('Input Transaksi'!$E:$E,$E500))</f>
        <v/>
      </c>
      <c r="D500" s="5">
        <f>IF($E500="","",INDEX('Input Transaksi'!$F:$F,$E500))</f>
        <v/>
      </c>
      <c r="E500">
        <f>IFERROR(AGGREGATE(15,6,ROW('Input Transaksi'!$B$5:$B$5000)/('Input Transaksi'!$B$5:$B$5000="DIY"),ROWS($E$5:E500)),"")</f>
        <v/>
      </c>
      <c r="F500" s="5" t="n"/>
    </row>
    <row r="501">
      <c r="A501" s="10">
        <f>IF($E501="","",INDEX('Input Transaksi'!$A:$A,$E501))</f>
        <v/>
      </c>
      <c r="B501" s="5">
        <f>IF($E501="","",INDEX('Input Transaksi'!$D:$D,$E501))</f>
        <v/>
      </c>
      <c r="C501">
        <f>IF($E501="","",INDEX('Input Transaksi'!$E:$E,$E501))</f>
        <v/>
      </c>
      <c r="D501" s="5">
        <f>IF($E501="","",INDEX('Input Transaksi'!$F:$F,$E501))</f>
        <v/>
      </c>
      <c r="E501">
        <f>IFERROR(AGGREGATE(15,6,ROW('Input Transaksi'!$B$5:$B$5000)/('Input Transaksi'!$B$5:$B$5000="DIY"),ROWS($E$5:E501)),"")</f>
        <v/>
      </c>
      <c r="F501" s="5" t="n"/>
    </row>
    <row r="502">
      <c r="A502" s="10">
        <f>IF($E502="","",INDEX('Input Transaksi'!$A:$A,$E502))</f>
        <v/>
      </c>
      <c r="B502" s="5">
        <f>IF($E502="","",INDEX('Input Transaksi'!$D:$D,$E502))</f>
        <v/>
      </c>
      <c r="C502">
        <f>IF($E502="","",INDEX('Input Transaksi'!$E:$E,$E502))</f>
        <v/>
      </c>
      <c r="D502" s="5">
        <f>IF($E502="","",INDEX('Input Transaksi'!$F:$F,$E502))</f>
        <v/>
      </c>
      <c r="E502">
        <f>IFERROR(AGGREGATE(15,6,ROW('Input Transaksi'!$B$5:$B$5000)/('Input Transaksi'!$B$5:$B$5000="DIY"),ROWS($E$5:E502)),"")</f>
        <v/>
      </c>
      <c r="F502" s="5" t="n"/>
    </row>
    <row r="503">
      <c r="A503" s="10">
        <f>IF($E503="","",INDEX('Input Transaksi'!$A:$A,$E503))</f>
        <v/>
      </c>
      <c r="B503" s="5">
        <f>IF($E503="","",INDEX('Input Transaksi'!$D:$D,$E503))</f>
        <v/>
      </c>
      <c r="C503">
        <f>IF($E503="","",INDEX('Input Transaksi'!$E:$E,$E503))</f>
        <v/>
      </c>
      <c r="D503" s="5">
        <f>IF($E503="","",INDEX('Input Transaksi'!$F:$F,$E503))</f>
        <v/>
      </c>
      <c r="E503">
        <f>IFERROR(AGGREGATE(15,6,ROW('Input Transaksi'!$B$5:$B$5000)/('Input Transaksi'!$B$5:$B$5000="DIY"),ROWS($E$5:E503)),"")</f>
        <v/>
      </c>
      <c r="F503" s="5" t="n"/>
    </row>
    <row r="504">
      <c r="A504" s="10">
        <f>IF($E504="","",INDEX('Input Transaksi'!$A:$A,$E504))</f>
        <v/>
      </c>
      <c r="B504" s="5">
        <f>IF($E504="","",INDEX('Input Transaksi'!$D:$D,$E504))</f>
        <v/>
      </c>
      <c r="C504">
        <f>IF($E504="","",INDEX('Input Transaksi'!$E:$E,$E504))</f>
        <v/>
      </c>
      <c r="D504" s="5">
        <f>IF($E504="","",INDEX('Input Transaksi'!$F:$F,$E504))</f>
        <v/>
      </c>
      <c r="E504">
        <f>IFERROR(AGGREGATE(15,6,ROW('Input Transaksi'!$B$5:$B$5000)/('Input Transaksi'!$B$5:$B$5000="DIY"),ROWS($E$5:E504)),"")</f>
        <v/>
      </c>
      <c r="F504" s="5" t="n"/>
    </row>
    <row r="505">
      <c r="A505" s="10">
        <f>IF($E505="","",INDEX('Input Transaksi'!$A:$A,$E505))</f>
        <v/>
      </c>
      <c r="B505" s="5">
        <f>IF($E505="","",INDEX('Input Transaksi'!$D:$D,$E505))</f>
        <v/>
      </c>
      <c r="C505">
        <f>IF($E505="","",INDEX('Input Transaksi'!$E:$E,$E505))</f>
        <v/>
      </c>
      <c r="D505" s="5">
        <f>IF($E505="","",INDEX('Input Transaksi'!$F:$F,$E505))</f>
        <v/>
      </c>
      <c r="E505">
        <f>IFERROR(AGGREGATE(15,6,ROW('Input Transaksi'!$B$5:$B$5000)/('Input Transaksi'!$B$5:$B$5000="DIY"),ROWS($E$5:E505)),"")</f>
        <v/>
      </c>
      <c r="F505" s="5" t="n"/>
    </row>
    <row r="506">
      <c r="A506" s="10">
        <f>IF($E506="","",INDEX('Input Transaksi'!$A:$A,$E506))</f>
        <v/>
      </c>
      <c r="B506" s="5">
        <f>IF($E506="","",INDEX('Input Transaksi'!$D:$D,$E506))</f>
        <v/>
      </c>
      <c r="C506">
        <f>IF($E506="","",INDEX('Input Transaksi'!$E:$E,$E506))</f>
        <v/>
      </c>
      <c r="D506" s="5">
        <f>IF($E506="","",INDEX('Input Transaksi'!$F:$F,$E506))</f>
        <v/>
      </c>
      <c r="E506">
        <f>IFERROR(AGGREGATE(15,6,ROW('Input Transaksi'!$B$5:$B$5000)/('Input Transaksi'!$B$5:$B$5000="DIY"),ROWS($E$5:E506)),"")</f>
        <v/>
      </c>
      <c r="F506" s="5" t="n"/>
    </row>
    <row r="507">
      <c r="A507" s="10">
        <f>IF($E507="","",INDEX('Input Transaksi'!$A:$A,$E507))</f>
        <v/>
      </c>
      <c r="B507" s="5">
        <f>IF($E507="","",INDEX('Input Transaksi'!$D:$D,$E507))</f>
        <v/>
      </c>
      <c r="C507">
        <f>IF($E507="","",INDEX('Input Transaksi'!$E:$E,$E507))</f>
        <v/>
      </c>
      <c r="D507" s="5">
        <f>IF($E507="","",INDEX('Input Transaksi'!$F:$F,$E507))</f>
        <v/>
      </c>
      <c r="E507">
        <f>IFERROR(AGGREGATE(15,6,ROW('Input Transaksi'!$B$5:$B$5000)/('Input Transaksi'!$B$5:$B$5000="DIY"),ROWS($E$5:E507)),"")</f>
        <v/>
      </c>
      <c r="F507" s="5" t="n"/>
    </row>
    <row r="508">
      <c r="A508" s="10">
        <f>IF($E508="","",INDEX('Input Transaksi'!$A:$A,$E508))</f>
        <v/>
      </c>
      <c r="B508" s="5">
        <f>IF($E508="","",INDEX('Input Transaksi'!$D:$D,$E508))</f>
        <v/>
      </c>
      <c r="C508">
        <f>IF($E508="","",INDEX('Input Transaksi'!$E:$E,$E508))</f>
        <v/>
      </c>
      <c r="D508" s="5">
        <f>IF($E508="","",INDEX('Input Transaksi'!$F:$F,$E508))</f>
        <v/>
      </c>
      <c r="E508">
        <f>IFERROR(AGGREGATE(15,6,ROW('Input Transaksi'!$B$5:$B$5000)/('Input Transaksi'!$B$5:$B$5000="DIY"),ROWS($E$5:E508)),"")</f>
        <v/>
      </c>
      <c r="F508" s="5" t="n"/>
    </row>
    <row r="509">
      <c r="A509" s="10">
        <f>IF($E509="","",INDEX('Input Transaksi'!$A:$A,$E509))</f>
        <v/>
      </c>
      <c r="B509" s="5">
        <f>IF($E509="","",INDEX('Input Transaksi'!$D:$D,$E509))</f>
        <v/>
      </c>
      <c r="C509">
        <f>IF($E509="","",INDEX('Input Transaksi'!$E:$E,$E509))</f>
        <v/>
      </c>
      <c r="D509" s="5">
        <f>IF($E509="","",INDEX('Input Transaksi'!$F:$F,$E509))</f>
        <v/>
      </c>
      <c r="E509">
        <f>IFERROR(AGGREGATE(15,6,ROW('Input Transaksi'!$B$5:$B$5000)/('Input Transaksi'!$B$5:$B$5000="DIY"),ROWS($E$5:E509)),"")</f>
        <v/>
      </c>
      <c r="F509" s="5" t="n"/>
    </row>
    <row r="510">
      <c r="A510" s="10">
        <f>IF($E510="","",INDEX('Input Transaksi'!$A:$A,$E510))</f>
        <v/>
      </c>
      <c r="B510" s="5">
        <f>IF($E510="","",INDEX('Input Transaksi'!$D:$D,$E510))</f>
        <v/>
      </c>
      <c r="C510">
        <f>IF($E510="","",INDEX('Input Transaksi'!$E:$E,$E510))</f>
        <v/>
      </c>
      <c r="D510" s="5">
        <f>IF($E510="","",INDEX('Input Transaksi'!$F:$F,$E510))</f>
        <v/>
      </c>
      <c r="E510">
        <f>IFERROR(AGGREGATE(15,6,ROW('Input Transaksi'!$B$5:$B$5000)/('Input Transaksi'!$B$5:$B$5000="DIY"),ROWS($E$5:E510)),"")</f>
        <v/>
      </c>
      <c r="F510" s="5" t="n"/>
    </row>
    <row r="511">
      <c r="A511" s="10">
        <f>IF($E511="","",INDEX('Input Transaksi'!$A:$A,$E511))</f>
        <v/>
      </c>
      <c r="B511" s="5">
        <f>IF($E511="","",INDEX('Input Transaksi'!$D:$D,$E511))</f>
        <v/>
      </c>
      <c r="C511">
        <f>IF($E511="","",INDEX('Input Transaksi'!$E:$E,$E511))</f>
        <v/>
      </c>
      <c r="D511" s="5">
        <f>IF($E511="","",INDEX('Input Transaksi'!$F:$F,$E511))</f>
        <v/>
      </c>
      <c r="E511">
        <f>IFERROR(AGGREGATE(15,6,ROW('Input Transaksi'!$B$5:$B$5000)/('Input Transaksi'!$B$5:$B$5000="DIY"),ROWS($E$5:E511)),"")</f>
        <v/>
      </c>
      <c r="F511" s="5" t="n"/>
    </row>
    <row r="512">
      <c r="A512" s="10">
        <f>IF($E512="","",INDEX('Input Transaksi'!$A:$A,$E512))</f>
        <v/>
      </c>
      <c r="B512" s="5">
        <f>IF($E512="","",INDEX('Input Transaksi'!$D:$D,$E512))</f>
        <v/>
      </c>
      <c r="C512">
        <f>IF($E512="","",INDEX('Input Transaksi'!$E:$E,$E512))</f>
        <v/>
      </c>
      <c r="D512" s="5">
        <f>IF($E512="","",INDEX('Input Transaksi'!$F:$F,$E512))</f>
        <v/>
      </c>
      <c r="E512">
        <f>IFERROR(AGGREGATE(15,6,ROW('Input Transaksi'!$B$5:$B$5000)/('Input Transaksi'!$B$5:$B$5000="DIY"),ROWS($E$5:E512)),"")</f>
        <v/>
      </c>
      <c r="F512" s="5" t="n"/>
    </row>
    <row r="513">
      <c r="A513" s="10">
        <f>IF($E513="","",INDEX('Input Transaksi'!$A:$A,$E513))</f>
        <v/>
      </c>
      <c r="B513" s="5">
        <f>IF($E513="","",INDEX('Input Transaksi'!$D:$D,$E513))</f>
        <v/>
      </c>
      <c r="C513">
        <f>IF($E513="","",INDEX('Input Transaksi'!$E:$E,$E513))</f>
        <v/>
      </c>
      <c r="D513" s="5">
        <f>IF($E513="","",INDEX('Input Transaksi'!$F:$F,$E513))</f>
        <v/>
      </c>
      <c r="E513">
        <f>IFERROR(AGGREGATE(15,6,ROW('Input Transaksi'!$B$5:$B$5000)/('Input Transaksi'!$B$5:$B$5000="DIY"),ROWS($E$5:E513)),"")</f>
        <v/>
      </c>
      <c r="F513" s="5" t="n"/>
    </row>
    <row r="514">
      <c r="A514" s="10">
        <f>IF($E514="","",INDEX('Input Transaksi'!$A:$A,$E514))</f>
        <v/>
      </c>
      <c r="B514" s="5">
        <f>IF($E514="","",INDEX('Input Transaksi'!$D:$D,$E514))</f>
        <v/>
      </c>
      <c r="C514">
        <f>IF($E514="","",INDEX('Input Transaksi'!$E:$E,$E514))</f>
        <v/>
      </c>
      <c r="D514" s="5">
        <f>IF($E514="","",INDEX('Input Transaksi'!$F:$F,$E514))</f>
        <v/>
      </c>
      <c r="E514">
        <f>IFERROR(AGGREGATE(15,6,ROW('Input Transaksi'!$B$5:$B$5000)/('Input Transaksi'!$B$5:$B$5000="DIY"),ROWS($E$5:E514)),"")</f>
        <v/>
      </c>
      <c r="F514" s="5" t="n"/>
    </row>
    <row r="515">
      <c r="A515" s="10">
        <f>IF($E515="","",INDEX('Input Transaksi'!$A:$A,$E515))</f>
        <v/>
      </c>
      <c r="B515" s="5">
        <f>IF($E515="","",INDEX('Input Transaksi'!$D:$D,$E515))</f>
        <v/>
      </c>
      <c r="C515">
        <f>IF($E515="","",INDEX('Input Transaksi'!$E:$E,$E515))</f>
        <v/>
      </c>
      <c r="D515" s="5">
        <f>IF($E515="","",INDEX('Input Transaksi'!$F:$F,$E515))</f>
        <v/>
      </c>
      <c r="E515">
        <f>IFERROR(AGGREGATE(15,6,ROW('Input Transaksi'!$B$5:$B$5000)/('Input Transaksi'!$B$5:$B$5000="DIY"),ROWS($E$5:E515)),"")</f>
        <v/>
      </c>
      <c r="F515" s="5" t="n"/>
    </row>
    <row r="516">
      <c r="A516" s="10">
        <f>IF($E516="","",INDEX('Input Transaksi'!$A:$A,$E516))</f>
        <v/>
      </c>
      <c r="B516" s="5">
        <f>IF($E516="","",INDEX('Input Transaksi'!$D:$D,$E516))</f>
        <v/>
      </c>
      <c r="C516">
        <f>IF($E516="","",INDEX('Input Transaksi'!$E:$E,$E516))</f>
        <v/>
      </c>
      <c r="D516" s="5">
        <f>IF($E516="","",INDEX('Input Transaksi'!$F:$F,$E516))</f>
        <v/>
      </c>
      <c r="E516">
        <f>IFERROR(AGGREGATE(15,6,ROW('Input Transaksi'!$B$5:$B$5000)/('Input Transaksi'!$B$5:$B$5000="DIY"),ROWS($E$5:E516)),"")</f>
        <v/>
      </c>
      <c r="F516" s="5" t="n"/>
    </row>
    <row r="517">
      <c r="A517" s="10">
        <f>IF($E517="","",INDEX('Input Transaksi'!$A:$A,$E517))</f>
        <v/>
      </c>
      <c r="B517" s="5">
        <f>IF($E517="","",INDEX('Input Transaksi'!$D:$D,$E517))</f>
        <v/>
      </c>
      <c r="C517">
        <f>IF($E517="","",INDEX('Input Transaksi'!$E:$E,$E517))</f>
        <v/>
      </c>
      <c r="D517" s="5">
        <f>IF($E517="","",INDEX('Input Transaksi'!$F:$F,$E517))</f>
        <v/>
      </c>
      <c r="E517">
        <f>IFERROR(AGGREGATE(15,6,ROW('Input Transaksi'!$B$5:$B$5000)/('Input Transaksi'!$B$5:$B$5000="DIY"),ROWS($E$5:E517)),"")</f>
        <v/>
      </c>
      <c r="F517" s="5" t="n"/>
    </row>
    <row r="518">
      <c r="A518" s="10">
        <f>IF($E518="","",INDEX('Input Transaksi'!$A:$A,$E518))</f>
        <v/>
      </c>
      <c r="B518" s="5">
        <f>IF($E518="","",INDEX('Input Transaksi'!$D:$D,$E518))</f>
        <v/>
      </c>
      <c r="C518">
        <f>IF($E518="","",INDEX('Input Transaksi'!$E:$E,$E518))</f>
        <v/>
      </c>
      <c r="D518" s="5">
        <f>IF($E518="","",INDEX('Input Transaksi'!$F:$F,$E518))</f>
        <v/>
      </c>
      <c r="E518">
        <f>IFERROR(AGGREGATE(15,6,ROW('Input Transaksi'!$B$5:$B$5000)/('Input Transaksi'!$B$5:$B$5000="DIY"),ROWS($E$5:E518)),"")</f>
        <v/>
      </c>
      <c r="F518" s="5" t="n"/>
    </row>
    <row r="519">
      <c r="A519" s="10">
        <f>IF($E519="","",INDEX('Input Transaksi'!$A:$A,$E519))</f>
        <v/>
      </c>
      <c r="B519" s="5">
        <f>IF($E519="","",INDEX('Input Transaksi'!$D:$D,$E519))</f>
        <v/>
      </c>
      <c r="C519">
        <f>IF($E519="","",INDEX('Input Transaksi'!$E:$E,$E519))</f>
        <v/>
      </c>
      <c r="D519" s="5">
        <f>IF($E519="","",INDEX('Input Transaksi'!$F:$F,$E519))</f>
        <v/>
      </c>
      <c r="E519">
        <f>IFERROR(AGGREGATE(15,6,ROW('Input Transaksi'!$B$5:$B$5000)/('Input Transaksi'!$B$5:$B$5000="DIY"),ROWS($E$5:E519)),"")</f>
        <v/>
      </c>
      <c r="F519" s="5" t="n"/>
    </row>
    <row r="520">
      <c r="A520" s="10">
        <f>IF($E520="","",INDEX('Input Transaksi'!$A:$A,$E520))</f>
        <v/>
      </c>
      <c r="B520" s="5">
        <f>IF($E520="","",INDEX('Input Transaksi'!$D:$D,$E520))</f>
        <v/>
      </c>
      <c r="C520">
        <f>IF($E520="","",INDEX('Input Transaksi'!$E:$E,$E520))</f>
        <v/>
      </c>
      <c r="D520" s="5">
        <f>IF($E520="","",INDEX('Input Transaksi'!$F:$F,$E520))</f>
        <v/>
      </c>
      <c r="E520">
        <f>IFERROR(AGGREGATE(15,6,ROW('Input Transaksi'!$B$5:$B$5000)/('Input Transaksi'!$B$5:$B$5000="DIY"),ROWS($E$5:E520)),"")</f>
        <v/>
      </c>
      <c r="F520" s="5" t="n"/>
    </row>
    <row r="521">
      <c r="A521" s="10">
        <f>IF($E521="","",INDEX('Input Transaksi'!$A:$A,$E521))</f>
        <v/>
      </c>
      <c r="B521" s="5">
        <f>IF($E521="","",INDEX('Input Transaksi'!$D:$D,$E521))</f>
        <v/>
      </c>
      <c r="C521">
        <f>IF($E521="","",INDEX('Input Transaksi'!$E:$E,$E521))</f>
        <v/>
      </c>
      <c r="D521" s="5">
        <f>IF($E521="","",INDEX('Input Transaksi'!$F:$F,$E521))</f>
        <v/>
      </c>
      <c r="E521">
        <f>IFERROR(AGGREGATE(15,6,ROW('Input Transaksi'!$B$5:$B$5000)/('Input Transaksi'!$B$5:$B$5000="DIY"),ROWS($E$5:E521)),"")</f>
        <v/>
      </c>
      <c r="F521" s="5" t="n"/>
    </row>
    <row r="522">
      <c r="A522" s="10">
        <f>IF($E522="","",INDEX('Input Transaksi'!$A:$A,$E522))</f>
        <v/>
      </c>
      <c r="B522" s="5">
        <f>IF($E522="","",INDEX('Input Transaksi'!$D:$D,$E522))</f>
        <v/>
      </c>
      <c r="C522">
        <f>IF($E522="","",INDEX('Input Transaksi'!$E:$E,$E522))</f>
        <v/>
      </c>
      <c r="D522" s="5">
        <f>IF($E522="","",INDEX('Input Transaksi'!$F:$F,$E522))</f>
        <v/>
      </c>
      <c r="E522">
        <f>IFERROR(AGGREGATE(15,6,ROW('Input Transaksi'!$B$5:$B$5000)/('Input Transaksi'!$B$5:$B$5000="DIY"),ROWS($E$5:E522)),"")</f>
        <v/>
      </c>
      <c r="F522" s="5" t="n"/>
    </row>
    <row r="523">
      <c r="A523" s="10">
        <f>IF($E523="","",INDEX('Input Transaksi'!$A:$A,$E523))</f>
        <v/>
      </c>
      <c r="B523" s="5">
        <f>IF($E523="","",INDEX('Input Transaksi'!$D:$D,$E523))</f>
        <v/>
      </c>
      <c r="C523">
        <f>IF($E523="","",INDEX('Input Transaksi'!$E:$E,$E523))</f>
        <v/>
      </c>
      <c r="D523" s="5">
        <f>IF($E523="","",INDEX('Input Transaksi'!$F:$F,$E523))</f>
        <v/>
      </c>
      <c r="E523">
        <f>IFERROR(AGGREGATE(15,6,ROW('Input Transaksi'!$B$5:$B$5000)/('Input Transaksi'!$B$5:$B$5000="DIY"),ROWS($E$5:E523)),"")</f>
        <v/>
      </c>
      <c r="F523" s="5" t="n"/>
    </row>
    <row r="524">
      <c r="A524" s="10">
        <f>IF($E524="","",INDEX('Input Transaksi'!$A:$A,$E524))</f>
        <v/>
      </c>
      <c r="B524" s="5">
        <f>IF($E524="","",INDEX('Input Transaksi'!$D:$D,$E524))</f>
        <v/>
      </c>
      <c r="C524">
        <f>IF($E524="","",INDEX('Input Transaksi'!$E:$E,$E524))</f>
        <v/>
      </c>
      <c r="D524" s="5">
        <f>IF($E524="","",INDEX('Input Transaksi'!$F:$F,$E524))</f>
        <v/>
      </c>
      <c r="E524">
        <f>IFERROR(AGGREGATE(15,6,ROW('Input Transaksi'!$B$5:$B$5000)/('Input Transaksi'!$B$5:$B$5000="DIY"),ROWS($E$5:E524)),"")</f>
        <v/>
      </c>
      <c r="F524" s="5" t="n"/>
    </row>
    <row r="525">
      <c r="A525" s="10">
        <f>IF($E525="","",INDEX('Input Transaksi'!$A:$A,$E525))</f>
        <v/>
      </c>
      <c r="B525" s="5">
        <f>IF($E525="","",INDEX('Input Transaksi'!$D:$D,$E525))</f>
        <v/>
      </c>
      <c r="C525">
        <f>IF($E525="","",INDEX('Input Transaksi'!$E:$E,$E525))</f>
        <v/>
      </c>
      <c r="D525" s="5">
        <f>IF($E525="","",INDEX('Input Transaksi'!$F:$F,$E525))</f>
        <v/>
      </c>
      <c r="E525">
        <f>IFERROR(AGGREGATE(15,6,ROW('Input Transaksi'!$B$5:$B$5000)/('Input Transaksi'!$B$5:$B$5000="DIY"),ROWS($E$5:E525)),"")</f>
        <v/>
      </c>
      <c r="F525" s="5" t="n"/>
    </row>
    <row r="526">
      <c r="A526" s="10">
        <f>IF($E526="","",INDEX('Input Transaksi'!$A:$A,$E526))</f>
        <v/>
      </c>
      <c r="B526" s="5">
        <f>IF($E526="","",INDEX('Input Transaksi'!$D:$D,$E526))</f>
        <v/>
      </c>
      <c r="C526">
        <f>IF($E526="","",INDEX('Input Transaksi'!$E:$E,$E526))</f>
        <v/>
      </c>
      <c r="D526" s="5">
        <f>IF($E526="","",INDEX('Input Transaksi'!$F:$F,$E526))</f>
        <v/>
      </c>
      <c r="E526">
        <f>IFERROR(AGGREGATE(15,6,ROW('Input Transaksi'!$B$5:$B$5000)/('Input Transaksi'!$B$5:$B$5000="DIY"),ROWS($E$5:E526)),"")</f>
        <v/>
      </c>
      <c r="F526" s="5" t="n"/>
    </row>
    <row r="527">
      <c r="A527" s="10">
        <f>IF($E527="","",INDEX('Input Transaksi'!$A:$A,$E527))</f>
        <v/>
      </c>
      <c r="B527" s="5">
        <f>IF($E527="","",INDEX('Input Transaksi'!$D:$D,$E527))</f>
        <v/>
      </c>
      <c r="C527">
        <f>IF($E527="","",INDEX('Input Transaksi'!$E:$E,$E527))</f>
        <v/>
      </c>
      <c r="D527" s="5">
        <f>IF($E527="","",INDEX('Input Transaksi'!$F:$F,$E527))</f>
        <v/>
      </c>
      <c r="E527">
        <f>IFERROR(AGGREGATE(15,6,ROW('Input Transaksi'!$B$5:$B$5000)/('Input Transaksi'!$B$5:$B$5000="DIY"),ROWS($E$5:E527)),"")</f>
        <v/>
      </c>
      <c r="F527" s="5" t="n"/>
    </row>
    <row r="528">
      <c r="A528" s="10">
        <f>IF($E528="","",INDEX('Input Transaksi'!$A:$A,$E528))</f>
        <v/>
      </c>
      <c r="B528" s="5">
        <f>IF($E528="","",INDEX('Input Transaksi'!$D:$D,$E528))</f>
        <v/>
      </c>
      <c r="C528">
        <f>IF($E528="","",INDEX('Input Transaksi'!$E:$E,$E528))</f>
        <v/>
      </c>
      <c r="D528" s="5">
        <f>IF($E528="","",INDEX('Input Transaksi'!$F:$F,$E528))</f>
        <v/>
      </c>
      <c r="E528">
        <f>IFERROR(AGGREGATE(15,6,ROW('Input Transaksi'!$B$5:$B$5000)/('Input Transaksi'!$B$5:$B$5000="DIY"),ROWS($E$5:E528)),"")</f>
        <v/>
      </c>
      <c r="F528" s="5" t="n"/>
    </row>
    <row r="529">
      <c r="A529" s="10">
        <f>IF($E529="","",INDEX('Input Transaksi'!$A:$A,$E529))</f>
        <v/>
      </c>
      <c r="B529" s="5">
        <f>IF($E529="","",INDEX('Input Transaksi'!$D:$D,$E529))</f>
        <v/>
      </c>
      <c r="C529">
        <f>IF($E529="","",INDEX('Input Transaksi'!$E:$E,$E529))</f>
        <v/>
      </c>
      <c r="D529" s="5">
        <f>IF($E529="","",INDEX('Input Transaksi'!$F:$F,$E529))</f>
        <v/>
      </c>
      <c r="E529">
        <f>IFERROR(AGGREGATE(15,6,ROW('Input Transaksi'!$B$5:$B$5000)/('Input Transaksi'!$B$5:$B$5000="DIY"),ROWS($E$5:E529)),"")</f>
        <v/>
      </c>
      <c r="F529" s="5" t="n"/>
    </row>
    <row r="530">
      <c r="A530" s="10">
        <f>IF($E530="","",INDEX('Input Transaksi'!$A:$A,$E530))</f>
        <v/>
      </c>
      <c r="B530" s="5">
        <f>IF($E530="","",INDEX('Input Transaksi'!$D:$D,$E530))</f>
        <v/>
      </c>
      <c r="C530">
        <f>IF($E530="","",INDEX('Input Transaksi'!$E:$E,$E530))</f>
        <v/>
      </c>
      <c r="D530" s="5">
        <f>IF($E530="","",INDEX('Input Transaksi'!$F:$F,$E530))</f>
        <v/>
      </c>
      <c r="E530">
        <f>IFERROR(AGGREGATE(15,6,ROW('Input Transaksi'!$B$5:$B$5000)/('Input Transaksi'!$B$5:$B$5000="DIY"),ROWS($E$5:E530)),"")</f>
        <v/>
      </c>
      <c r="F530" s="5" t="n"/>
    </row>
    <row r="531">
      <c r="A531" s="10">
        <f>IF($E531="","",INDEX('Input Transaksi'!$A:$A,$E531))</f>
        <v/>
      </c>
      <c r="B531" s="5">
        <f>IF($E531="","",INDEX('Input Transaksi'!$D:$D,$E531))</f>
        <v/>
      </c>
      <c r="C531">
        <f>IF($E531="","",INDEX('Input Transaksi'!$E:$E,$E531))</f>
        <v/>
      </c>
      <c r="D531" s="5">
        <f>IF($E531="","",INDEX('Input Transaksi'!$F:$F,$E531))</f>
        <v/>
      </c>
      <c r="E531">
        <f>IFERROR(AGGREGATE(15,6,ROW('Input Transaksi'!$B$5:$B$5000)/('Input Transaksi'!$B$5:$B$5000="DIY"),ROWS($E$5:E531)),"")</f>
        <v/>
      </c>
      <c r="F531" s="5" t="n"/>
    </row>
    <row r="532">
      <c r="A532" s="10">
        <f>IF($E532="","",INDEX('Input Transaksi'!$A:$A,$E532))</f>
        <v/>
      </c>
      <c r="B532" s="5">
        <f>IF($E532="","",INDEX('Input Transaksi'!$D:$D,$E532))</f>
        <v/>
      </c>
      <c r="C532">
        <f>IF($E532="","",INDEX('Input Transaksi'!$E:$E,$E532))</f>
        <v/>
      </c>
      <c r="D532" s="5">
        <f>IF($E532="","",INDEX('Input Transaksi'!$F:$F,$E532))</f>
        <v/>
      </c>
      <c r="E532">
        <f>IFERROR(AGGREGATE(15,6,ROW('Input Transaksi'!$B$5:$B$5000)/('Input Transaksi'!$B$5:$B$5000="DIY"),ROWS($E$5:E532)),"")</f>
        <v/>
      </c>
      <c r="F532" s="5" t="n"/>
    </row>
    <row r="533">
      <c r="A533" s="10">
        <f>IF($E533="","",INDEX('Input Transaksi'!$A:$A,$E533))</f>
        <v/>
      </c>
      <c r="B533" s="5">
        <f>IF($E533="","",INDEX('Input Transaksi'!$D:$D,$E533))</f>
        <v/>
      </c>
      <c r="C533">
        <f>IF($E533="","",INDEX('Input Transaksi'!$E:$E,$E533))</f>
        <v/>
      </c>
      <c r="D533" s="5">
        <f>IF($E533="","",INDEX('Input Transaksi'!$F:$F,$E533))</f>
        <v/>
      </c>
      <c r="E533">
        <f>IFERROR(AGGREGATE(15,6,ROW('Input Transaksi'!$B$5:$B$5000)/('Input Transaksi'!$B$5:$B$5000="DIY"),ROWS($E$5:E533)),"")</f>
        <v/>
      </c>
      <c r="F533" s="5" t="n"/>
    </row>
    <row r="534">
      <c r="A534" s="10">
        <f>IF($E534="","",INDEX('Input Transaksi'!$A:$A,$E534))</f>
        <v/>
      </c>
      <c r="B534" s="5">
        <f>IF($E534="","",INDEX('Input Transaksi'!$D:$D,$E534))</f>
        <v/>
      </c>
      <c r="C534">
        <f>IF($E534="","",INDEX('Input Transaksi'!$E:$E,$E534))</f>
        <v/>
      </c>
      <c r="D534" s="5">
        <f>IF($E534="","",INDEX('Input Transaksi'!$F:$F,$E534))</f>
        <v/>
      </c>
      <c r="E534">
        <f>IFERROR(AGGREGATE(15,6,ROW('Input Transaksi'!$B$5:$B$5000)/('Input Transaksi'!$B$5:$B$5000="DIY"),ROWS($E$5:E534)),"")</f>
        <v/>
      </c>
      <c r="F534" s="5" t="n"/>
    </row>
    <row r="535">
      <c r="A535" s="10">
        <f>IF($E535="","",INDEX('Input Transaksi'!$A:$A,$E535))</f>
        <v/>
      </c>
      <c r="B535" s="5">
        <f>IF($E535="","",INDEX('Input Transaksi'!$D:$D,$E535))</f>
        <v/>
      </c>
      <c r="C535">
        <f>IF($E535="","",INDEX('Input Transaksi'!$E:$E,$E535))</f>
        <v/>
      </c>
      <c r="D535" s="5">
        <f>IF($E535="","",INDEX('Input Transaksi'!$F:$F,$E535))</f>
        <v/>
      </c>
      <c r="E535">
        <f>IFERROR(AGGREGATE(15,6,ROW('Input Transaksi'!$B$5:$B$5000)/('Input Transaksi'!$B$5:$B$5000="DIY"),ROWS($E$5:E535)),"")</f>
        <v/>
      </c>
      <c r="F535" s="5" t="n"/>
    </row>
    <row r="536">
      <c r="A536" s="10">
        <f>IF($E536="","",INDEX('Input Transaksi'!$A:$A,$E536))</f>
        <v/>
      </c>
      <c r="B536" s="5">
        <f>IF($E536="","",INDEX('Input Transaksi'!$D:$D,$E536))</f>
        <v/>
      </c>
      <c r="C536">
        <f>IF($E536="","",INDEX('Input Transaksi'!$E:$E,$E536))</f>
        <v/>
      </c>
      <c r="D536" s="5">
        <f>IF($E536="","",INDEX('Input Transaksi'!$F:$F,$E536))</f>
        <v/>
      </c>
      <c r="E536">
        <f>IFERROR(AGGREGATE(15,6,ROW('Input Transaksi'!$B$5:$B$5000)/('Input Transaksi'!$B$5:$B$5000="DIY"),ROWS($E$5:E536)),"")</f>
        <v/>
      </c>
      <c r="F536" s="5" t="n"/>
    </row>
    <row r="537">
      <c r="A537" s="10">
        <f>IF($E537="","",INDEX('Input Transaksi'!$A:$A,$E537))</f>
        <v/>
      </c>
      <c r="B537" s="5">
        <f>IF($E537="","",INDEX('Input Transaksi'!$D:$D,$E537))</f>
        <v/>
      </c>
      <c r="C537">
        <f>IF($E537="","",INDEX('Input Transaksi'!$E:$E,$E537))</f>
        <v/>
      </c>
      <c r="D537" s="5">
        <f>IF($E537="","",INDEX('Input Transaksi'!$F:$F,$E537))</f>
        <v/>
      </c>
      <c r="E537">
        <f>IFERROR(AGGREGATE(15,6,ROW('Input Transaksi'!$B$5:$B$5000)/('Input Transaksi'!$B$5:$B$5000="DIY"),ROWS($E$5:E537)),"")</f>
        <v/>
      </c>
      <c r="F537" s="5" t="n"/>
    </row>
    <row r="538">
      <c r="A538" s="10">
        <f>IF($E538="","",INDEX('Input Transaksi'!$A:$A,$E538))</f>
        <v/>
      </c>
      <c r="B538" s="5">
        <f>IF($E538="","",INDEX('Input Transaksi'!$D:$D,$E538))</f>
        <v/>
      </c>
      <c r="C538">
        <f>IF($E538="","",INDEX('Input Transaksi'!$E:$E,$E538))</f>
        <v/>
      </c>
      <c r="D538" s="5">
        <f>IF($E538="","",INDEX('Input Transaksi'!$F:$F,$E538))</f>
        <v/>
      </c>
      <c r="E538">
        <f>IFERROR(AGGREGATE(15,6,ROW('Input Transaksi'!$B$5:$B$5000)/('Input Transaksi'!$B$5:$B$5000="DIY"),ROWS($E$5:E538)),"")</f>
        <v/>
      </c>
      <c r="F538" s="5" t="n"/>
    </row>
    <row r="539">
      <c r="A539" s="10">
        <f>IF($E539="","",INDEX('Input Transaksi'!$A:$A,$E539))</f>
        <v/>
      </c>
      <c r="B539" s="5">
        <f>IF($E539="","",INDEX('Input Transaksi'!$D:$D,$E539))</f>
        <v/>
      </c>
      <c r="C539">
        <f>IF($E539="","",INDEX('Input Transaksi'!$E:$E,$E539))</f>
        <v/>
      </c>
      <c r="D539" s="5">
        <f>IF($E539="","",INDEX('Input Transaksi'!$F:$F,$E539))</f>
        <v/>
      </c>
      <c r="E539">
        <f>IFERROR(AGGREGATE(15,6,ROW('Input Transaksi'!$B$5:$B$5000)/('Input Transaksi'!$B$5:$B$5000="DIY"),ROWS($E$5:E539)),"")</f>
        <v/>
      </c>
      <c r="F539" s="5" t="n"/>
    </row>
    <row r="540">
      <c r="A540" s="10">
        <f>IF($E540="","",INDEX('Input Transaksi'!$A:$A,$E540))</f>
        <v/>
      </c>
      <c r="B540" s="5">
        <f>IF($E540="","",INDEX('Input Transaksi'!$D:$D,$E540))</f>
        <v/>
      </c>
      <c r="C540">
        <f>IF($E540="","",INDEX('Input Transaksi'!$E:$E,$E540))</f>
        <v/>
      </c>
      <c r="D540" s="5">
        <f>IF($E540="","",INDEX('Input Transaksi'!$F:$F,$E540))</f>
        <v/>
      </c>
      <c r="E540">
        <f>IFERROR(AGGREGATE(15,6,ROW('Input Transaksi'!$B$5:$B$5000)/('Input Transaksi'!$B$5:$B$5000="DIY"),ROWS($E$5:E540)),"")</f>
        <v/>
      </c>
      <c r="F540" s="5" t="n"/>
    </row>
    <row r="541">
      <c r="A541" s="10">
        <f>IF($E541="","",INDEX('Input Transaksi'!$A:$A,$E541))</f>
        <v/>
      </c>
      <c r="B541" s="5">
        <f>IF($E541="","",INDEX('Input Transaksi'!$D:$D,$E541))</f>
        <v/>
      </c>
      <c r="C541">
        <f>IF($E541="","",INDEX('Input Transaksi'!$E:$E,$E541))</f>
        <v/>
      </c>
      <c r="D541" s="5">
        <f>IF($E541="","",INDEX('Input Transaksi'!$F:$F,$E541))</f>
        <v/>
      </c>
      <c r="E541">
        <f>IFERROR(AGGREGATE(15,6,ROW('Input Transaksi'!$B$5:$B$5000)/('Input Transaksi'!$B$5:$B$5000="DIY"),ROWS($E$5:E541)),"")</f>
        <v/>
      </c>
      <c r="F541" s="5" t="n"/>
    </row>
    <row r="542">
      <c r="A542" s="10">
        <f>IF($E542="","",INDEX('Input Transaksi'!$A:$A,$E542))</f>
        <v/>
      </c>
      <c r="B542" s="5">
        <f>IF($E542="","",INDEX('Input Transaksi'!$D:$D,$E542))</f>
        <v/>
      </c>
      <c r="C542">
        <f>IF($E542="","",INDEX('Input Transaksi'!$E:$E,$E542))</f>
        <v/>
      </c>
      <c r="D542" s="5">
        <f>IF($E542="","",INDEX('Input Transaksi'!$F:$F,$E542))</f>
        <v/>
      </c>
      <c r="E542">
        <f>IFERROR(AGGREGATE(15,6,ROW('Input Transaksi'!$B$5:$B$5000)/('Input Transaksi'!$B$5:$B$5000="DIY"),ROWS($E$5:E542)),"")</f>
        <v/>
      </c>
      <c r="F542" s="5" t="n"/>
    </row>
    <row r="543">
      <c r="A543" s="10">
        <f>IF($E543="","",INDEX('Input Transaksi'!$A:$A,$E543))</f>
        <v/>
      </c>
      <c r="B543" s="5">
        <f>IF($E543="","",INDEX('Input Transaksi'!$D:$D,$E543))</f>
        <v/>
      </c>
      <c r="C543">
        <f>IF($E543="","",INDEX('Input Transaksi'!$E:$E,$E543))</f>
        <v/>
      </c>
      <c r="D543" s="5">
        <f>IF($E543="","",INDEX('Input Transaksi'!$F:$F,$E543))</f>
        <v/>
      </c>
      <c r="E543">
        <f>IFERROR(AGGREGATE(15,6,ROW('Input Transaksi'!$B$5:$B$5000)/('Input Transaksi'!$B$5:$B$5000="DIY"),ROWS($E$5:E543)),"")</f>
        <v/>
      </c>
      <c r="F543" s="5" t="n"/>
    </row>
    <row r="544">
      <c r="A544" s="10">
        <f>IF($E544="","",INDEX('Input Transaksi'!$A:$A,$E544))</f>
        <v/>
      </c>
      <c r="B544" s="5">
        <f>IF($E544="","",INDEX('Input Transaksi'!$D:$D,$E544))</f>
        <v/>
      </c>
      <c r="C544">
        <f>IF($E544="","",INDEX('Input Transaksi'!$E:$E,$E544))</f>
        <v/>
      </c>
      <c r="D544" s="5">
        <f>IF($E544="","",INDEX('Input Transaksi'!$F:$F,$E544))</f>
        <v/>
      </c>
      <c r="E544">
        <f>IFERROR(AGGREGATE(15,6,ROW('Input Transaksi'!$B$5:$B$5000)/('Input Transaksi'!$B$5:$B$5000="DIY"),ROWS($E$5:E544)),"")</f>
        <v/>
      </c>
      <c r="F544" s="5" t="n"/>
    </row>
    <row r="545">
      <c r="A545" s="10">
        <f>IF($E545="","",INDEX('Input Transaksi'!$A:$A,$E545))</f>
        <v/>
      </c>
      <c r="B545" s="5">
        <f>IF($E545="","",INDEX('Input Transaksi'!$D:$D,$E545))</f>
        <v/>
      </c>
      <c r="C545">
        <f>IF($E545="","",INDEX('Input Transaksi'!$E:$E,$E545))</f>
        <v/>
      </c>
      <c r="D545" s="5">
        <f>IF($E545="","",INDEX('Input Transaksi'!$F:$F,$E545))</f>
        <v/>
      </c>
      <c r="E545">
        <f>IFERROR(AGGREGATE(15,6,ROW('Input Transaksi'!$B$5:$B$5000)/('Input Transaksi'!$B$5:$B$5000="DIY"),ROWS($E$5:E545)),"")</f>
        <v/>
      </c>
      <c r="F545" s="5" t="n"/>
    </row>
    <row r="546">
      <c r="A546" s="10">
        <f>IF($E546="","",INDEX('Input Transaksi'!$A:$A,$E546))</f>
        <v/>
      </c>
      <c r="B546" s="5">
        <f>IF($E546="","",INDEX('Input Transaksi'!$D:$D,$E546))</f>
        <v/>
      </c>
      <c r="C546">
        <f>IF($E546="","",INDEX('Input Transaksi'!$E:$E,$E546))</f>
        <v/>
      </c>
      <c r="D546" s="5">
        <f>IF($E546="","",INDEX('Input Transaksi'!$F:$F,$E546))</f>
        <v/>
      </c>
      <c r="E546">
        <f>IFERROR(AGGREGATE(15,6,ROW('Input Transaksi'!$B$5:$B$5000)/('Input Transaksi'!$B$5:$B$5000="DIY"),ROWS($E$5:E546)),"")</f>
        <v/>
      </c>
      <c r="F546" s="5" t="n"/>
    </row>
    <row r="547">
      <c r="A547" s="10">
        <f>IF($E547="","",INDEX('Input Transaksi'!$A:$A,$E547))</f>
        <v/>
      </c>
      <c r="B547" s="5">
        <f>IF($E547="","",INDEX('Input Transaksi'!$D:$D,$E547))</f>
        <v/>
      </c>
      <c r="C547">
        <f>IF($E547="","",INDEX('Input Transaksi'!$E:$E,$E547))</f>
        <v/>
      </c>
      <c r="D547" s="5">
        <f>IF($E547="","",INDEX('Input Transaksi'!$F:$F,$E547))</f>
        <v/>
      </c>
      <c r="E547">
        <f>IFERROR(AGGREGATE(15,6,ROW('Input Transaksi'!$B$5:$B$5000)/('Input Transaksi'!$B$5:$B$5000="DIY"),ROWS($E$5:E547)),"")</f>
        <v/>
      </c>
      <c r="F547" s="5" t="n"/>
    </row>
    <row r="548">
      <c r="A548" s="10">
        <f>IF($E548="","",INDEX('Input Transaksi'!$A:$A,$E548))</f>
        <v/>
      </c>
      <c r="B548" s="5">
        <f>IF($E548="","",INDEX('Input Transaksi'!$D:$D,$E548))</f>
        <v/>
      </c>
      <c r="C548">
        <f>IF($E548="","",INDEX('Input Transaksi'!$E:$E,$E548))</f>
        <v/>
      </c>
      <c r="D548" s="5">
        <f>IF($E548="","",INDEX('Input Transaksi'!$F:$F,$E548))</f>
        <v/>
      </c>
      <c r="E548">
        <f>IFERROR(AGGREGATE(15,6,ROW('Input Transaksi'!$B$5:$B$5000)/('Input Transaksi'!$B$5:$B$5000="DIY"),ROWS($E$5:E548)),"")</f>
        <v/>
      </c>
      <c r="F548" s="5" t="n"/>
    </row>
    <row r="549">
      <c r="A549" s="10">
        <f>IF($E549="","",INDEX('Input Transaksi'!$A:$A,$E549))</f>
        <v/>
      </c>
      <c r="B549" s="5">
        <f>IF($E549="","",INDEX('Input Transaksi'!$D:$D,$E549))</f>
        <v/>
      </c>
      <c r="C549">
        <f>IF($E549="","",INDEX('Input Transaksi'!$E:$E,$E549))</f>
        <v/>
      </c>
      <c r="D549" s="5">
        <f>IF($E549="","",INDEX('Input Transaksi'!$F:$F,$E549))</f>
        <v/>
      </c>
      <c r="E549">
        <f>IFERROR(AGGREGATE(15,6,ROW('Input Transaksi'!$B$5:$B$5000)/('Input Transaksi'!$B$5:$B$5000="DIY"),ROWS($E$5:E549)),"")</f>
        <v/>
      </c>
      <c r="F549" s="5" t="n"/>
    </row>
    <row r="550">
      <c r="A550" s="10">
        <f>IF($E550="","",INDEX('Input Transaksi'!$A:$A,$E550))</f>
        <v/>
      </c>
      <c r="B550" s="5">
        <f>IF($E550="","",INDEX('Input Transaksi'!$D:$D,$E550))</f>
        <v/>
      </c>
      <c r="C550">
        <f>IF($E550="","",INDEX('Input Transaksi'!$E:$E,$E550))</f>
        <v/>
      </c>
      <c r="D550" s="5">
        <f>IF($E550="","",INDEX('Input Transaksi'!$F:$F,$E550))</f>
        <v/>
      </c>
      <c r="E550">
        <f>IFERROR(AGGREGATE(15,6,ROW('Input Transaksi'!$B$5:$B$5000)/('Input Transaksi'!$B$5:$B$5000="DIY"),ROWS($E$5:E550)),"")</f>
        <v/>
      </c>
      <c r="F550" s="5" t="n"/>
    </row>
    <row r="551">
      <c r="A551" s="10">
        <f>IF($E551="","",INDEX('Input Transaksi'!$A:$A,$E551))</f>
        <v/>
      </c>
      <c r="B551" s="5">
        <f>IF($E551="","",INDEX('Input Transaksi'!$D:$D,$E551))</f>
        <v/>
      </c>
      <c r="C551">
        <f>IF($E551="","",INDEX('Input Transaksi'!$E:$E,$E551))</f>
        <v/>
      </c>
      <c r="D551" s="5">
        <f>IF($E551="","",INDEX('Input Transaksi'!$F:$F,$E551))</f>
        <v/>
      </c>
      <c r="E551">
        <f>IFERROR(AGGREGATE(15,6,ROW('Input Transaksi'!$B$5:$B$5000)/('Input Transaksi'!$B$5:$B$5000="DIY"),ROWS($E$5:E551)),"")</f>
        <v/>
      </c>
      <c r="F551" s="5" t="n"/>
    </row>
    <row r="552">
      <c r="A552" s="10">
        <f>IF($E552="","",INDEX('Input Transaksi'!$A:$A,$E552))</f>
        <v/>
      </c>
      <c r="B552" s="5">
        <f>IF($E552="","",INDEX('Input Transaksi'!$D:$D,$E552))</f>
        <v/>
      </c>
      <c r="C552">
        <f>IF($E552="","",INDEX('Input Transaksi'!$E:$E,$E552))</f>
        <v/>
      </c>
      <c r="D552" s="5">
        <f>IF($E552="","",INDEX('Input Transaksi'!$F:$F,$E552))</f>
        <v/>
      </c>
      <c r="E552">
        <f>IFERROR(AGGREGATE(15,6,ROW('Input Transaksi'!$B$5:$B$5000)/('Input Transaksi'!$B$5:$B$5000="DIY"),ROWS($E$5:E552)),"")</f>
        <v/>
      </c>
      <c r="F552" s="5" t="n"/>
    </row>
    <row r="553">
      <c r="A553" s="10">
        <f>IF($E553="","",INDEX('Input Transaksi'!$A:$A,$E553))</f>
        <v/>
      </c>
      <c r="B553" s="5">
        <f>IF($E553="","",INDEX('Input Transaksi'!$D:$D,$E553))</f>
        <v/>
      </c>
      <c r="C553">
        <f>IF($E553="","",INDEX('Input Transaksi'!$E:$E,$E553))</f>
        <v/>
      </c>
      <c r="D553" s="5">
        <f>IF($E553="","",INDEX('Input Transaksi'!$F:$F,$E553))</f>
        <v/>
      </c>
      <c r="E553">
        <f>IFERROR(AGGREGATE(15,6,ROW('Input Transaksi'!$B$5:$B$5000)/('Input Transaksi'!$B$5:$B$5000="DIY"),ROWS($E$5:E553)),"")</f>
        <v/>
      </c>
      <c r="F553" s="5" t="n"/>
    </row>
    <row r="554">
      <c r="A554" s="10">
        <f>IF($E554="","",INDEX('Input Transaksi'!$A:$A,$E554))</f>
        <v/>
      </c>
      <c r="B554" s="5">
        <f>IF($E554="","",INDEX('Input Transaksi'!$D:$D,$E554))</f>
        <v/>
      </c>
      <c r="C554">
        <f>IF($E554="","",INDEX('Input Transaksi'!$E:$E,$E554))</f>
        <v/>
      </c>
      <c r="D554" s="5">
        <f>IF($E554="","",INDEX('Input Transaksi'!$F:$F,$E554))</f>
        <v/>
      </c>
      <c r="E554">
        <f>IFERROR(AGGREGATE(15,6,ROW('Input Transaksi'!$B$5:$B$5000)/('Input Transaksi'!$B$5:$B$5000="DIY"),ROWS($E$5:E554)),"")</f>
        <v/>
      </c>
      <c r="F554" s="5" t="n"/>
    </row>
    <row r="555">
      <c r="A555" s="10">
        <f>IF($E555="","",INDEX('Input Transaksi'!$A:$A,$E555))</f>
        <v/>
      </c>
      <c r="B555" s="5">
        <f>IF($E555="","",INDEX('Input Transaksi'!$D:$D,$E555))</f>
        <v/>
      </c>
      <c r="C555">
        <f>IF($E555="","",INDEX('Input Transaksi'!$E:$E,$E555))</f>
        <v/>
      </c>
      <c r="D555" s="5">
        <f>IF($E555="","",INDEX('Input Transaksi'!$F:$F,$E555))</f>
        <v/>
      </c>
      <c r="E555">
        <f>IFERROR(AGGREGATE(15,6,ROW('Input Transaksi'!$B$5:$B$5000)/('Input Transaksi'!$B$5:$B$5000="DIY"),ROWS($E$5:E555)),"")</f>
        <v/>
      </c>
      <c r="F555" s="5" t="n"/>
    </row>
    <row r="556">
      <c r="A556" s="10">
        <f>IF($E556="","",INDEX('Input Transaksi'!$A:$A,$E556))</f>
        <v/>
      </c>
      <c r="B556" s="5">
        <f>IF($E556="","",INDEX('Input Transaksi'!$D:$D,$E556))</f>
        <v/>
      </c>
      <c r="C556">
        <f>IF($E556="","",INDEX('Input Transaksi'!$E:$E,$E556))</f>
        <v/>
      </c>
      <c r="D556" s="5">
        <f>IF($E556="","",INDEX('Input Transaksi'!$F:$F,$E556))</f>
        <v/>
      </c>
      <c r="E556">
        <f>IFERROR(AGGREGATE(15,6,ROW('Input Transaksi'!$B$5:$B$5000)/('Input Transaksi'!$B$5:$B$5000="DIY"),ROWS($E$5:E556)),"")</f>
        <v/>
      </c>
      <c r="F556" s="5" t="n"/>
    </row>
    <row r="557">
      <c r="A557" s="10">
        <f>IF($E557="","",INDEX('Input Transaksi'!$A:$A,$E557))</f>
        <v/>
      </c>
      <c r="B557" s="5">
        <f>IF($E557="","",INDEX('Input Transaksi'!$D:$D,$E557))</f>
        <v/>
      </c>
      <c r="C557">
        <f>IF($E557="","",INDEX('Input Transaksi'!$E:$E,$E557))</f>
        <v/>
      </c>
      <c r="D557" s="5">
        <f>IF($E557="","",INDEX('Input Transaksi'!$F:$F,$E557))</f>
        <v/>
      </c>
      <c r="E557">
        <f>IFERROR(AGGREGATE(15,6,ROW('Input Transaksi'!$B$5:$B$5000)/('Input Transaksi'!$B$5:$B$5000="DIY"),ROWS($E$5:E557)),"")</f>
        <v/>
      </c>
      <c r="F557" s="5" t="n"/>
    </row>
    <row r="558">
      <c r="A558" s="10">
        <f>IF($E558="","",INDEX('Input Transaksi'!$A:$A,$E558))</f>
        <v/>
      </c>
      <c r="B558" s="5">
        <f>IF($E558="","",INDEX('Input Transaksi'!$D:$D,$E558))</f>
        <v/>
      </c>
      <c r="C558">
        <f>IF($E558="","",INDEX('Input Transaksi'!$E:$E,$E558))</f>
        <v/>
      </c>
      <c r="D558" s="5">
        <f>IF($E558="","",INDEX('Input Transaksi'!$F:$F,$E558))</f>
        <v/>
      </c>
      <c r="E558">
        <f>IFERROR(AGGREGATE(15,6,ROW('Input Transaksi'!$B$5:$B$5000)/('Input Transaksi'!$B$5:$B$5000="DIY"),ROWS($E$5:E558)),"")</f>
        <v/>
      </c>
      <c r="F558" s="5" t="n"/>
    </row>
    <row r="559">
      <c r="A559" s="10">
        <f>IF($E559="","",INDEX('Input Transaksi'!$A:$A,$E559))</f>
        <v/>
      </c>
      <c r="B559" s="5">
        <f>IF($E559="","",INDEX('Input Transaksi'!$D:$D,$E559))</f>
        <v/>
      </c>
      <c r="C559">
        <f>IF($E559="","",INDEX('Input Transaksi'!$E:$E,$E559))</f>
        <v/>
      </c>
      <c r="D559" s="5">
        <f>IF($E559="","",INDEX('Input Transaksi'!$F:$F,$E559))</f>
        <v/>
      </c>
      <c r="E559">
        <f>IFERROR(AGGREGATE(15,6,ROW('Input Transaksi'!$B$5:$B$5000)/('Input Transaksi'!$B$5:$B$5000="DIY"),ROWS($E$5:E559)),"")</f>
        <v/>
      </c>
      <c r="F559" s="5" t="n"/>
    </row>
    <row r="560">
      <c r="A560" s="10">
        <f>IF($E560="","",INDEX('Input Transaksi'!$A:$A,$E560))</f>
        <v/>
      </c>
      <c r="B560" s="5">
        <f>IF($E560="","",INDEX('Input Transaksi'!$D:$D,$E560))</f>
        <v/>
      </c>
      <c r="C560">
        <f>IF($E560="","",INDEX('Input Transaksi'!$E:$E,$E560))</f>
        <v/>
      </c>
      <c r="D560" s="5">
        <f>IF($E560="","",INDEX('Input Transaksi'!$F:$F,$E560))</f>
        <v/>
      </c>
      <c r="E560">
        <f>IFERROR(AGGREGATE(15,6,ROW('Input Transaksi'!$B$5:$B$5000)/('Input Transaksi'!$B$5:$B$5000="DIY"),ROWS($E$5:E560)),"")</f>
        <v/>
      </c>
      <c r="F560" s="5" t="n"/>
    </row>
    <row r="561">
      <c r="A561" s="10">
        <f>IF($E561="","",INDEX('Input Transaksi'!$A:$A,$E561))</f>
        <v/>
      </c>
      <c r="B561" s="5">
        <f>IF($E561="","",INDEX('Input Transaksi'!$D:$D,$E561))</f>
        <v/>
      </c>
      <c r="C561">
        <f>IF($E561="","",INDEX('Input Transaksi'!$E:$E,$E561))</f>
        <v/>
      </c>
      <c r="D561" s="5">
        <f>IF($E561="","",INDEX('Input Transaksi'!$F:$F,$E561))</f>
        <v/>
      </c>
      <c r="E561">
        <f>IFERROR(AGGREGATE(15,6,ROW('Input Transaksi'!$B$5:$B$5000)/('Input Transaksi'!$B$5:$B$5000="DIY"),ROWS($E$5:E561)),"")</f>
        <v/>
      </c>
      <c r="F561" s="5" t="n"/>
    </row>
    <row r="562">
      <c r="A562" s="10">
        <f>IF($E562="","",INDEX('Input Transaksi'!$A:$A,$E562))</f>
        <v/>
      </c>
      <c r="B562" s="5">
        <f>IF($E562="","",INDEX('Input Transaksi'!$D:$D,$E562))</f>
        <v/>
      </c>
      <c r="C562">
        <f>IF($E562="","",INDEX('Input Transaksi'!$E:$E,$E562))</f>
        <v/>
      </c>
      <c r="D562" s="5">
        <f>IF($E562="","",INDEX('Input Transaksi'!$F:$F,$E562))</f>
        <v/>
      </c>
      <c r="E562">
        <f>IFERROR(AGGREGATE(15,6,ROW('Input Transaksi'!$B$5:$B$5000)/('Input Transaksi'!$B$5:$B$5000="DIY"),ROWS($E$5:E562)),"")</f>
        <v/>
      </c>
      <c r="F562" s="5" t="n"/>
    </row>
    <row r="563">
      <c r="A563" s="10">
        <f>IF($E563="","",INDEX('Input Transaksi'!$A:$A,$E563))</f>
        <v/>
      </c>
      <c r="B563" s="5">
        <f>IF($E563="","",INDEX('Input Transaksi'!$D:$D,$E563))</f>
        <v/>
      </c>
      <c r="C563">
        <f>IF($E563="","",INDEX('Input Transaksi'!$E:$E,$E563))</f>
        <v/>
      </c>
      <c r="D563" s="5">
        <f>IF($E563="","",INDEX('Input Transaksi'!$F:$F,$E563))</f>
        <v/>
      </c>
      <c r="E563">
        <f>IFERROR(AGGREGATE(15,6,ROW('Input Transaksi'!$B$5:$B$5000)/('Input Transaksi'!$B$5:$B$5000="DIY"),ROWS($E$5:E563)),"")</f>
        <v/>
      </c>
      <c r="F563" s="5" t="n"/>
    </row>
    <row r="564">
      <c r="A564" s="10">
        <f>IF($E564="","",INDEX('Input Transaksi'!$A:$A,$E564))</f>
        <v/>
      </c>
      <c r="B564" s="5">
        <f>IF($E564="","",INDEX('Input Transaksi'!$D:$D,$E564))</f>
        <v/>
      </c>
      <c r="C564">
        <f>IF($E564="","",INDEX('Input Transaksi'!$E:$E,$E564))</f>
        <v/>
      </c>
      <c r="D564" s="5">
        <f>IF($E564="","",INDEX('Input Transaksi'!$F:$F,$E564))</f>
        <v/>
      </c>
      <c r="E564">
        <f>IFERROR(AGGREGATE(15,6,ROW('Input Transaksi'!$B$5:$B$5000)/('Input Transaksi'!$B$5:$B$5000="DIY"),ROWS($E$5:E564)),"")</f>
        <v/>
      </c>
      <c r="F564" s="5" t="n"/>
    </row>
    <row r="565">
      <c r="A565" s="10">
        <f>IF($E565="","",INDEX('Input Transaksi'!$A:$A,$E565))</f>
        <v/>
      </c>
      <c r="B565" s="5">
        <f>IF($E565="","",INDEX('Input Transaksi'!$D:$D,$E565))</f>
        <v/>
      </c>
      <c r="C565">
        <f>IF($E565="","",INDEX('Input Transaksi'!$E:$E,$E565))</f>
        <v/>
      </c>
      <c r="D565" s="5">
        <f>IF($E565="","",INDEX('Input Transaksi'!$F:$F,$E565))</f>
        <v/>
      </c>
      <c r="E565">
        <f>IFERROR(AGGREGATE(15,6,ROW('Input Transaksi'!$B$5:$B$5000)/('Input Transaksi'!$B$5:$B$5000="DIY"),ROWS($E$5:E565)),"")</f>
        <v/>
      </c>
      <c r="F565" s="5" t="n"/>
    </row>
    <row r="566">
      <c r="A566" s="10">
        <f>IF($E566="","",INDEX('Input Transaksi'!$A:$A,$E566))</f>
        <v/>
      </c>
      <c r="B566" s="5">
        <f>IF($E566="","",INDEX('Input Transaksi'!$D:$D,$E566))</f>
        <v/>
      </c>
      <c r="C566">
        <f>IF($E566="","",INDEX('Input Transaksi'!$E:$E,$E566))</f>
        <v/>
      </c>
      <c r="D566" s="5">
        <f>IF($E566="","",INDEX('Input Transaksi'!$F:$F,$E566))</f>
        <v/>
      </c>
      <c r="E566">
        <f>IFERROR(AGGREGATE(15,6,ROW('Input Transaksi'!$B$5:$B$5000)/('Input Transaksi'!$B$5:$B$5000="DIY"),ROWS($E$5:E566)),"")</f>
        <v/>
      </c>
      <c r="F566" s="5" t="n"/>
    </row>
    <row r="567">
      <c r="A567" s="10">
        <f>IF($E567="","",INDEX('Input Transaksi'!$A:$A,$E567))</f>
        <v/>
      </c>
      <c r="B567" s="5">
        <f>IF($E567="","",INDEX('Input Transaksi'!$D:$D,$E567))</f>
        <v/>
      </c>
      <c r="C567">
        <f>IF($E567="","",INDEX('Input Transaksi'!$E:$E,$E567))</f>
        <v/>
      </c>
      <c r="D567" s="5">
        <f>IF($E567="","",INDEX('Input Transaksi'!$F:$F,$E567))</f>
        <v/>
      </c>
      <c r="E567">
        <f>IFERROR(AGGREGATE(15,6,ROW('Input Transaksi'!$B$5:$B$5000)/('Input Transaksi'!$B$5:$B$5000="DIY"),ROWS($E$5:E567)),"")</f>
        <v/>
      </c>
      <c r="F567" s="5" t="n"/>
    </row>
    <row r="568">
      <c r="A568" s="10">
        <f>IF($E568="","",INDEX('Input Transaksi'!$A:$A,$E568))</f>
        <v/>
      </c>
      <c r="B568" s="5">
        <f>IF($E568="","",INDEX('Input Transaksi'!$D:$D,$E568))</f>
        <v/>
      </c>
      <c r="C568">
        <f>IF($E568="","",INDEX('Input Transaksi'!$E:$E,$E568))</f>
        <v/>
      </c>
      <c r="D568" s="5">
        <f>IF($E568="","",INDEX('Input Transaksi'!$F:$F,$E568))</f>
        <v/>
      </c>
      <c r="E568">
        <f>IFERROR(AGGREGATE(15,6,ROW('Input Transaksi'!$B$5:$B$5000)/('Input Transaksi'!$B$5:$B$5000="DIY"),ROWS($E$5:E568)),"")</f>
        <v/>
      </c>
      <c r="F568" s="5" t="n"/>
    </row>
    <row r="569">
      <c r="A569" s="10">
        <f>IF($E569="","",INDEX('Input Transaksi'!$A:$A,$E569))</f>
        <v/>
      </c>
      <c r="B569" s="5">
        <f>IF($E569="","",INDEX('Input Transaksi'!$D:$D,$E569))</f>
        <v/>
      </c>
      <c r="C569">
        <f>IF($E569="","",INDEX('Input Transaksi'!$E:$E,$E569))</f>
        <v/>
      </c>
      <c r="D569" s="5">
        <f>IF($E569="","",INDEX('Input Transaksi'!$F:$F,$E569))</f>
        <v/>
      </c>
      <c r="E569">
        <f>IFERROR(AGGREGATE(15,6,ROW('Input Transaksi'!$B$5:$B$5000)/('Input Transaksi'!$B$5:$B$5000="DIY"),ROWS($E$5:E569)),"")</f>
        <v/>
      </c>
      <c r="F569" s="5" t="n"/>
    </row>
    <row r="570">
      <c r="A570" s="10">
        <f>IF($E570="","",INDEX('Input Transaksi'!$A:$A,$E570))</f>
        <v/>
      </c>
      <c r="B570" s="5">
        <f>IF($E570="","",INDEX('Input Transaksi'!$D:$D,$E570))</f>
        <v/>
      </c>
      <c r="C570">
        <f>IF($E570="","",INDEX('Input Transaksi'!$E:$E,$E570))</f>
        <v/>
      </c>
      <c r="D570" s="5">
        <f>IF($E570="","",INDEX('Input Transaksi'!$F:$F,$E570))</f>
        <v/>
      </c>
      <c r="E570">
        <f>IFERROR(AGGREGATE(15,6,ROW('Input Transaksi'!$B$5:$B$5000)/('Input Transaksi'!$B$5:$B$5000="DIY"),ROWS($E$5:E570)),"")</f>
        <v/>
      </c>
      <c r="F570" s="5" t="n"/>
    </row>
    <row r="571">
      <c r="A571" s="10">
        <f>IF($E571="","",INDEX('Input Transaksi'!$A:$A,$E571))</f>
        <v/>
      </c>
      <c r="B571" s="5">
        <f>IF($E571="","",INDEX('Input Transaksi'!$D:$D,$E571))</f>
        <v/>
      </c>
      <c r="C571">
        <f>IF($E571="","",INDEX('Input Transaksi'!$E:$E,$E571))</f>
        <v/>
      </c>
      <c r="D571" s="5">
        <f>IF($E571="","",INDEX('Input Transaksi'!$F:$F,$E571))</f>
        <v/>
      </c>
      <c r="E571">
        <f>IFERROR(AGGREGATE(15,6,ROW('Input Transaksi'!$B$5:$B$5000)/('Input Transaksi'!$B$5:$B$5000="DIY"),ROWS($E$5:E571)),"")</f>
        <v/>
      </c>
      <c r="F571" s="5" t="n"/>
    </row>
    <row r="572">
      <c r="A572" s="10">
        <f>IF($E572="","",INDEX('Input Transaksi'!$A:$A,$E572))</f>
        <v/>
      </c>
      <c r="B572" s="5">
        <f>IF($E572="","",INDEX('Input Transaksi'!$D:$D,$E572))</f>
        <v/>
      </c>
      <c r="C572">
        <f>IF($E572="","",INDEX('Input Transaksi'!$E:$E,$E572))</f>
        <v/>
      </c>
      <c r="D572" s="5">
        <f>IF($E572="","",INDEX('Input Transaksi'!$F:$F,$E572))</f>
        <v/>
      </c>
      <c r="E572">
        <f>IFERROR(AGGREGATE(15,6,ROW('Input Transaksi'!$B$5:$B$5000)/('Input Transaksi'!$B$5:$B$5000="DIY"),ROWS($E$5:E572)),"")</f>
        <v/>
      </c>
      <c r="F572" s="5" t="n"/>
    </row>
    <row r="573">
      <c r="A573" s="10">
        <f>IF($E573="","",INDEX('Input Transaksi'!$A:$A,$E573))</f>
        <v/>
      </c>
      <c r="B573" s="5">
        <f>IF($E573="","",INDEX('Input Transaksi'!$D:$D,$E573))</f>
        <v/>
      </c>
      <c r="C573">
        <f>IF($E573="","",INDEX('Input Transaksi'!$E:$E,$E573))</f>
        <v/>
      </c>
      <c r="D573" s="5">
        <f>IF($E573="","",INDEX('Input Transaksi'!$F:$F,$E573))</f>
        <v/>
      </c>
      <c r="E573">
        <f>IFERROR(AGGREGATE(15,6,ROW('Input Transaksi'!$B$5:$B$5000)/('Input Transaksi'!$B$5:$B$5000="DIY"),ROWS($E$5:E573)),"")</f>
        <v/>
      </c>
      <c r="F573" s="5" t="n"/>
    </row>
    <row r="574">
      <c r="A574" s="10">
        <f>IF($E574="","",INDEX('Input Transaksi'!$A:$A,$E574))</f>
        <v/>
      </c>
      <c r="B574" s="5">
        <f>IF($E574="","",INDEX('Input Transaksi'!$D:$D,$E574))</f>
        <v/>
      </c>
      <c r="C574">
        <f>IF($E574="","",INDEX('Input Transaksi'!$E:$E,$E574))</f>
        <v/>
      </c>
      <c r="D574" s="5">
        <f>IF($E574="","",INDEX('Input Transaksi'!$F:$F,$E574))</f>
        <v/>
      </c>
      <c r="E574">
        <f>IFERROR(AGGREGATE(15,6,ROW('Input Transaksi'!$B$5:$B$5000)/('Input Transaksi'!$B$5:$B$5000="DIY"),ROWS($E$5:E574)),"")</f>
        <v/>
      </c>
      <c r="F574" s="5" t="n"/>
    </row>
    <row r="575">
      <c r="A575" s="10">
        <f>IF($E575="","",INDEX('Input Transaksi'!$A:$A,$E575))</f>
        <v/>
      </c>
      <c r="B575" s="5">
        <f>IF($E575="","",INDEX('Input Transaksi'!$D:$D,$E575))</f>
        <v/>
      </c>
      <c r="C575">
        <f>IF($E575="","",INDEX('Input Transaksi'!$E:$E,$E575))</f>
        <v/>
      </c>
      <c r="D575" s="5">
        <f>IF($E575="","",INDEX('Input Transaksi'!$F:$F,$E575))</f>
        <v/>
      </c>
      <c r="E575">
        <f>IFERROR(AGGREGATE(15,6,ROW('Input Transaksi'!$B$5:$B$5000)/('Input Transaksi'!$B$5:$B$5000="DIY"),ROWS($E$5:E575)),"")</f>
        <v/>
      </c>
      <c r="F575" s="5" t="n"/>
    </row>
    <row r="576">
      <c r="A576" s="10">
        <f>IF($E576="","",INDEX('Input Transaksi'!$A:$A,$E576))</f>
        <v/>
      </c>
      <c r="B576" s="5">
        <f>IF($E576="","",INDEX('Input Transaksi'!$D:$D,$E576))</f>
        <v/>
      </c>
      <c r="C576">
        <f>IF($E576="","",INDEX('Input Transaksi'!$E:$E,$E576))</f>
        <v/>
      </c>
      <c r="D576" s="5">
        <f>IF($E576="","",INDEX('Input Transaksi'!$F:$F,$E576))</f>
        <v/>
      </c>
      <c r="E576">
        <f>IFERROR(AGGREGATE(15,6,ROW('Input Transaksi'!$B$5:$B$5000)/('Input Transaksi'!$B$5:$B$5000="DIY"),ROWS($E$5:E576)),"")</f>
        <v/>
      </c>
      <c r="F576" s="5" t="n"/>
    </row>
    <row r="577">
      <c r="A577" s="10">
        <f>IF($E577="","",INDEX('Input Transaksi'!$A:$A,$E577))</f>
        <v/>
      </c>
      <c r="B577" s="5">
        <f>IF($E577="","",INDEX('Input Transaksi'!$D:$D,$E577))</f>
        <v/>
      </c>
      <c r="C577">
        <f>IF($E577="","",INDEX('Input Transaksi'!$E:$E,$E577))</f>
        <v/>
      </c>
      <c r="D577" s="5">
        <f>IF($E577="","",INDEX('Input Transaksi'!$F:$F,$E577))</f>
        <v/>
      </c>
      <c r="E577">
        <f>IFERROR(AGGREGATE(15,6,ROW('Input Transaksi'!$B$5:$B$5000)/('Input Transaksi'!$B$5:$B$5000="DIY"),ROWS($E$5:E577)),"")</f>
        <v/>
      </c>
      <c r="F577" s="5" t="n"/>
    </row>
    <row r="578">
      <c r="A578" s="10">
        <f>IF($E578="","",INDEX('Input Transaksi'!$A:$A,$E578))</f>
        <v/>
      </c>
      <c r="B578" s="5">
        <f>IF($E578="","",INDEX('Input Transaksi'!$D:$D,$E578))</f>
        <v/>
      </c>
      <c r="C578">
        <f>IF($E578="","",INDEX('Input Transaksi'!$E:$E,$E578))</f>
        <v/>
      </c>
      <c r="D578" s="5">
        <f>IF($E578="","",INDEX('Input Transaksi'!$F:$F,$E578))</f>
        <v/>
      </c>
      <c r="E578">
        <f>IFERROR(AGGREGATE(15,6,ROW('Input Transaksi'!$B$5:$B$5000)/('Input Transaksi'!$B$5:$B$5000="DIY"),ROWS($E$5:E578)),"")</f>
        <v/>
      </c>
      <c r="F578" s="5" t="n"/>
    </row>
    <row r="579">
      <c r="A579" s="10">
        <f>IF($E579="","",INDEX('Input Transaksi'!$A:$A,$E579))</f>
        <v/>
      </c>
      <c r="B579" s="5">
        <f>IF($E579="","",INDEX('Input Transaksi'!$D:$D,$E579))</f>
        <v/>
      </c>
      <c r="C579">
        <f>IF($E579="","",INDEX('Input Transaksi'!$E:$E,$E579))</f>
        <v/>
      </c>
      <c r="D579" s="5">
        <f>IF($E579="","",INDEX('Input Transaksi'!$F:$F,$E579))</f>
        <v/>
      </c>
      <c r="E579">
        <f>IFERROR(AGGREGATE(15,6,ROW('Input Transaksi'!$B$5:$B$5000)/('Input Transaksi'!$B$5:$B$5000="DIY"),ROWS($E$5:E579)),"")</f>
        <v/>
      </c>
      <c r="F579" s="5" t="n"/>
    </row>
    <row r="580">
      <c r="A580" s="10">
        <f>IF($E580="","",INDEX('Input Transaksi'!$A:$A,$E580))</f>
        <v/>
      </c>
      <c r="B580" s="5">
        <f>IF($E580="","",INDEX('Input Transaksi'!$D:$D,$E580))</f>
        <v/>
      </c>
      <c r="C580">
        <f>IF($E580="","",INDEX('Input Transaksi'!$E:$E,$E580))</f>
        <v/>
      </c>
      <c r="D580" s="5">
        <f>IF($E580="","",INDEX('Input Transaksi'!$F:$F,$E580))</f>
        <v/>
      </c>
      <c r="E580">
        <f>IFERROR(AGGREGATE(15,6,ROW('Input Transaksi'!$B$5:$B$5000)/('Input Transaksi'!$B$5:$B$5000="DIY"),ROWS($E$5:E580)),"")</f>
        <v/>
      </c>
      <c r="F580" s="5" t="n"/>
    </row>
    <row r="581">
      <c r="A581" s="10">
        <f>IF($E581="","",INDEX('Input Transaksi'!$A:$A,$E581))</f>
        <v/>
      </c>
      <c r="B581" s="5">
        <f>IF($E581="","",INDEX('Input Transaksi'!$D:$D,$E581))</f>
        <v/>
      </c>
      <c r="C581">
        <f>IF($E581="","",INDEX('Input Transaksi'!$E:$E,$E581))</f>
        <v/>
      </c>
      <c r="D581" s="5">
        <f>IF($E581="","",INDEX('Input Transaksi'!$F:$F,$E581))</f>
        <v/>
      </c>
      <c r="E581">
        <f>IFERROR(AGGREGATE(15,6,ROW('Input Transaksi'!$B$5:$B$5000)/('Input Transaksi'!$B$5:$B$5000="DIY"),ROWS($E$5:E581)),"")</f>
        <v/>
      </c>
      <c r="F581" s="5" t="n"/>
    </row>
    <row r="582">
      <c r="A582" s="10">
        <f>IF($E582="","",INDEX('Input Transaksi'!$A:$A,$E582))</f>
        <v/>
      </c>
      <c r="B582" s="5">
        <f>IF($E582="","",INDEX('Input Transaksi'!$D:$D,$E582))</f>
        <v/>
      </c>
      <c r="C582">
        <f>IF($E582="","",INDEX('Input Transaksi'!$E:$E,$E582))</f>
        <v/>
      </c>
      <c r="D582" s="5">
        <f>IF($E582="","",INDEX('Input Transaksi'!$F:$F,$E582))</f>
        <v/>
      </c>
      <c r="E582">
        <f>IFERROR(AGGREGATE(15,6,ROW('Input Transaksi'!$B$5:$B$5000)/('Input Transaksi'!$B$5:$B$5000="DIY"),ROWS($E$5:E582)),"")</f>
        <v/>
      </c>
      <c r="F582" s="5" t="n"/>
    </row>
    <row r="583">
      <c r="A583" s="10">
        <f>IF($E583="","",INDEX('Input Transaksi'!$A:$A,$E583))</f>
        <v/>
      </c>
      <c r="B583" s="5">
        <f>IF($E583="","",INDEX('Input Transaksi'!$D:$D,$E583))</f>
        <v/>
      </c>
      <c r="C583">
        <f>IF($E583="","",INDEX('Input Transaksi'!$E:$E,$E583))</f>
        <v/>
      </c>
      <c r="D583" s="5">
        <f>IF($E583="","",INDEX('Input Transaksi'!$F:$F,$E583))</f>
        <v/>
      </c>
      <c r="E583">
        <f>IFERROR(AGGREGATE(15,6,ROW('Input Transaksi'!$B$5:$B$5000)/('Input Transaksi'!$B$5:$B$5000="DIY"),ROWS($E$5:E583)),"")</f>
        <v/>
      </c>
      <c r="F583" s="5" t="n"/>
    </row>
    <row r="584">
      <c r="A584" s="10">
        <f>IF($E584="","",INDEX('Input Transaksi'!$A:$A,$E584))</f>
        <v/>
      </c>
      <c r="B584" s="5">
        <f>IF($E584="","",INDEX('Input Transaksi'!$D:$D,$E584))</f>
        <v/>
      </c>
      <c r="C584">
        <f>IF($E584="","",INDEX('Input Transaksi'!$E:$E,$E584))</f>
        <v/>
      </c>
      <c r="D584" s="5">
        <f>IF($E584="","",INDEX('Input Transaksi'!$F:$F,$E584))</f>
        <v/>
      </c>
      <c r="E584">
        <f>IFERROR(AGGREGATE(15,6,ROW('Input Transaksi'!$B$5:$B$5000)/('Input Transaksi'!$B$5:$B$5000="DIY"),ROWS($E$5:E584)),"")</f>
        <v/>
      </c>
      <c r="F584" s="5" t="n"/>
    </row>
    <row r="585">
      <c r="A585" s="10">
        <f>IF($E585="","",INDEX('Input Transaksi'!$A:$A,$E585))</f>
        <v/>
      </c>
      <c r="B585" s="5">
        <f>IF($E585="","",INDEX('Input Transaksi'!$D:$D,$E585))</f>
        <v/>
      </c>
      <c r="C585">
        <f>IF($E585="","",INDEX('Input Transaksi'!$E:$E,$E585))</f>
        <v/>
      </c>
      <c r="D585" s="5">
        <f>IF($E585="","",INDEX('Input Transaksi'!$F:$F,$E585))</f>
        <v/>
      </c>
      <c r="E585">
        <f>IFERROR(AGGREGATE(15,6,ROW('Input Transaksi'!$B$5:$B$5000)/('Input Transaksi'!$B$5:$B$5000="DIY"),ROWS($E$5:E585)),"")</f>
        <v/>
      </c>
      <c r="F585" s="5" t="n"/>
    </row>
    <row r="586">
      <c r="A586" s="10">
        <f>IF($E586="","",INDEX('Input Transaksi'!$A:$A,$E586))</f>
        <v/>
      </c>
      <c r="B586" s="5">
        <f>IF($E586="","",INDEX('Input Transaksi'!$D:$D,$E586))</f>
        <v/>
      </c>
      <c r="C586">
        <f>IF($E586="","",INDEX('Input Transaksi'!$E:$E,$E586))</f>
        <v/>
      </c>
      <c r="D586" s="5">
        <f>IF($E586="","",INDEX('Input Transaksi'!$F:$F,$E586))</f>
        <v/>
      </c>
      <c r="E586">
        <f>IFERROR(AGGREGATE(15,6,ROW('Input Transaksi'!$B$5:$B$5000)/('Input Transaksi'!$B$5:$B$5000="DIY"),ROWS($E$5:E586)),"")</f>
        <v/>
      </c>
      <c r="F586" s="5" t="n"/>
    </row>
    <row r="587">
      <c r="A587" s="10">
        <f>IF($E587="","",INDEX('Input Transaksi'!$A:$A,$E587))</f>
        <v/>
      </c>
      <c r="B587" s="5">
        <f>IF($E587="","",INDEX('Input Transaksi'!$D:$D,$E587))</f>
        <v/>
      </c>
      <c r="C587">
        <f>IF($E587="","",INDEX('Input Transaksi'!$E:$E,$E587))</f>
        <v/>
      </c>
      <c r="D587" s="5">
        <f>IF($E587="","",INDEX('Input Transaksi'!$F:$F,$E587))</f>
        <v/>
      </c>
      <c r="E587">
        <f>IFERROR(AGGREGATE(15,6,ROW('Input Transaksi'!$B$5:$B$5000)/('Input Transaksi'!$B$5:$B$5000="DIY"),ROWS($E$5:E587)),"")</f>
        <v/>
      </c>
      <c r="F587" s="5" t="n"/>
    </row>
    <row r="588">
      <c r="A588" s="10">
        <f>IF($E588="","",INDEX('Input Transaksi'!$A:$A,$E588))</f>
        <v/>
      </c>
      <c r="B588" s="5">
        <f>IF($E588="","",INDEX('Input Transaksi'!$D:$D,$E588))</f>
        <v/>
      </c>
      <c r="C588">
        <f>IF($E588="","",INDEX('Input Transaksi'!$E:$E,$E588))</f>
        <v/>
      </c>
      <c r="D588" s="5">
        <f>IF($E588="","",INDEX('Input Transaksi'!$F:$F,$E588))</f>
        <v/>
      </c>
      <c r="E588">
        <f>IFERROR(AGGREGATE(15,6,ROW('Input Transaksi'!$B$5:$B$5000)/('Input Transaksi'!$B$5:$B$5000="DIY"),ROWS($E$5:E588)),"")</f>
        <v/>
      </c>
      <c r="F588" s="5" t="n"/>
    </row>
    <row r="589">
      <c r="A589" s="10">
        <f>IF($E589="","",INDEX('Input Transaksi'!$A:$A,$E589))</f>
        <v/>
      </c>
      <c r="B589" s="5">
        <f>IF($E589="","",INDEX('Input Transaksi'!$D:$D,$E589))</f>
        <v/>
      </c>
      <c r="C589">
        <f>IF($E589="","",INDEX('Input Transaksi'!$E:$E,$E589))</f>
        <v/>
      </c>
      <c r="D589" s="5">
        <f>IF($E589="","",INDEX('Input Transaksi'!$F:$F,$E589))</f>
        <v/>
      </c>
      <c r="E589">
        <f>IFERROR(AGGREGATE(15,6,ROW('Input Transaksi'!$B$5:$B$5000)/('Input Transaksi'!$B$5:$B$5000="DIY"),ROWS($E$5:E589)),"")</f>
        <v/>
      </c>
      <c r="F589" s="5" t="n"/>
    </row>
    <row r="590">
      <c r="A590" s="10">
        <f>IF($E590="","",INDEX('Input Transaksi'!$A:$A,$E590))</f>
        <v/>
      </c>
      <c r="B590" s="5">
        <f>IF($E590="","",INDEX('Input Transaksi'!$D:$D,$E590))</f>
        <v/>
      </c>
      <c r="C590">
        <f>IF($E590="","",INDEX('Input Transaksi'!$E:$E,$E590))</f>
        <v/>
      </c>
      <c r="D590" s="5">
        <f>IF($E590="","",INDEX('Input Transaksi'!$F:$F,$E590))</f>
        <v/>
      </c>
      <c r="E590">
        <f>IFERROR(AGGREGATE(15,6,ROW('Input Transaksi'!$B$5:$B$5000)/('Input Transaksi'!$B$5:$B$5000="DIY"),ROWS($E$5:E590)),"")</f>
        <v/>
      </c>
      <c r="F590" s="5" t="n"/>
    </row>
    <row r="591">
      <c r="A591" s="10">
        <f>IF($E591="","",INDEX('Input Transaksi'!$A:$A,$E591))</f>
        <v/>
      </c>
      <c r="B591" s="5">
        <f>IF($E591="","",INDEX('Input Transaksi'!$D:$D,$E591))</f>
        <v/>
      </c>
      <c r="C591">
        <f>IF($E591="","",INDEX('Input Transaksi'!$E:$E,$E591))</f>
        <v/>
      </c>
      <c r="D591" s="5">
        <f>IF($E591="","",INDEX('Input Transaksi'!$F:$F,$E591))</f>
        <v/>
      </c>
      <c r="E591">
        <f>IFERROR(AGGREGATE(15,6,ROW('Input Transaksi'!$B$5:$B$5000)/('Input Transaksi'!$B$5:$B$5000="DIY"),ROWS($E$5:E591)),"")</f>
        <v/>
      </c>
      <c r="F591" s="5" t="n"/>
    </row>
    <row r="592">
      <c r="A592" s="10">
        <f>IF($E592="","",INDEX('Input Transaksi'!$A:$A,$E592))</f>
        <v/>
      </c>
      <c r="B592" s="5">
        <f>IF($E592="","",INDEX('Input Transaksi'!$D:$D,$E592))</f>
        <v/>
      </c>
      <c r="C592">
        <f>IF($E592="","",INDEX('Input Transaksi'!$E:$E,$E592))</f>
        <v/>
      </c>
      <c r="D592" s="5">
        <f>IF($E592="","",INDEX('Input Transaksi'!$F:$F,$E592))</f>
        <v/>
      </c>
      <c r="E592">
        <f>IFERROR(AGGREGATE(15,6,ROW('Input Transaksi'!$B$5:$B$5000)/('Input Transaksi'!$B$5:$B$5000="DIY"),ROWS($E$5:E592)),"")</f>
        <v/>
      </c>
      <c r="F592" s="5" t="n"/>
    </row>
    <row r="593">
      <c r="A593" s="10">
        <f>IF($E593="","",INDEX('Input Transaksi'!$A:$A,$E593))</f>
        <v/>
      </c>
      <c r="B593" s="5">
        <f>IF($E593="","",INDEX('Input Transaksi'!$D:$D,$E593))</f>
        <v/>
      </c>
      <c r="C593">
        <f>IF($E593="","",INDEX('Input Transaksi'!$E:$E,$E593))</f>
        <v/>
      </c>
      <c r="D593" s="5">
        <f>IF($E593="","",INDEX('Input Transaksi'!$F:$F,$E593))</f>
        <v/>
      </c>
      <c r="E593">
        <f>IFERROR(AGGREGATE(15,6,ROW('Input Transaksi'!$B$5:$B$5000)/('Input Transaksi'!$B$5:$B$5000="DIY"),ROWS($E$5:E593)),"")</f>
        <v/>
      </c>
      <c r="F593" s="5" t="n"/>
    </row>
    <row r="594">
      <c r="A594" s="10">
        <f>IF($E594="","",INDEX('Input Transaksi'!$A:$A,$E594))</f>
        <v/>
      </c>
      <c r="B594" s="5">
        <f>IF($E594="","",INDEX('Input Transaksi'!$D:$D,$E594))</f>
        <v/>
      </c>
      <c r="C594">
        <f>IF($E594="","",INDEX('Input Transaksi'!$E:$E,$E594))</f>
        <v/>
      </c>
      <c r="D594" s="5">
        <f>IF($E594="","",INDEX('Input Transaksi'!$F:$F,$E594))</f>
        <v/>
      </c>
      <c r="E594">
        <f>IFERROR(AGGREGATE(15,6,ROW('Input Transaksi'!$B$5:$B$5000)/('Input Transaksi'!$B$5:$B$5000="DIY"),ROWS($E$5:E594)),"")</f>
        <v/>
      </c>
      <c r="F594" s="5" t="n"/>
    </row>
    <row r="595">
      <c r="A595" s="10">
        <f>IF($E595="","",INDEX('Input Transaksi'!$A:$A,$E595))</f>
        <v/>
      </c>
      <c r="B595" s="5">
        <f>IF($E595="","",INDEX('Input Transaksi'!$D:$D,$E595))</f>
        <v/>
      </c>
      <c r="C595">
        <f>IF($E595="","",INDEX('Input Transaksi'!$E:$E,$E595))</f>
        <v/>
      </c>
      <c r="D595" s="5">
        <f>IF($E595="","",INDEX('Input Transaksi'!$F:$F,$E595))</f>
        <v/>
      </c>
      <c r="E595">
        <f>IFERROR(AGGREGATE(15,6,ROW('Input Transaksi'!$B$5:$B$5000)/('Input Transaksi'!$B$5:$B$5000="DIY"),ROWS($E$5:E595)),"")</f>
        <v/>
      </c>
      <c r="F595" s="5" t="n"/>
    </row>
    <row r="596">
      <c r="A596" s="10">
        <f>IF($E596="","",INDEX('Input Transaksi'!$A:$A,$E596))</f>
        <v/>
      </c>
      <c r="B596" s="5">
        <f>IF($E596="","",INDEX('Input Transaksi'!$D:$D,$E596))</f>
        <v/>
      </c>
      <c r="C596">
        <f>IF($E596="","",INDEX('Input Transaksi'!$E:$E,$E596))</f>
        <v/>
      </c>
      <c r="D596" s="5">
        <f>IF($E596="","",INDEX('Input Transaksi'!$F:$F,$E596))</f>
        <v/>
      </c>
      <c r="E596">
        <f>IFERROR(AGGREGATE(15,6,ROW('Input Transaksi'!$B$5:$B$5000)/('Input Transaksi'!$B$5:$B$5000="DIY"),ROWS($E$5:E596)),"")</f>
        <v/>
      </c>
      <c r="F596" s="5" t="n"/>
    </row>
    <row r="597">
      <c r="A597" s="10">
        <f>IF($E597="","",INDEX('Input Transaksi'!$A:$A,$E597))</f>
        <v/>
      </c>
      <c r="B597" s="5">
        <f>IF($E597="","",INDEX('Input Transaksi'!$D:$D,$E597))</f>
        <v/>
      </c>
      <c r="C597">
        <f>IF($E597="","",INDEX('Input Transaksi'!$E:$E,$E597))</f>
        <v/>
      </c>
      <c r="D597" s="5">
        <f>IF($E597="","",INDEX('Input Transaksi'!$F:$F,$E597))</f>
        <v/>
      </c>
      <c r="E597">
        <f>IFERROR(AGGREGATE(15,6,ROW('Input Transaksi'!$B$5:$B$5000)/('Input Transaksi'!$B$5:$B$5000="DIY"),ROWS($E$5:E597)),"")</f>
        <v/>
      </c>
      <c r="F597" s="5" t="n"/>
    </row>
    <row r="598">
      <c r="A598" s="10">
        <f>IF($E598="","",INDEX('Input Transaksi'!$A:$A,$E598))</f>
        <v/>
      </c>
      <c r="B598" s="5">
        <f>IF($E598="","",INDEX('Input Transaksi'!$D:$D,$E598))</f>
        <v/>
      </c>
      <c r="C598">
        <f>IF($E598="","",INDEX('Input Transaksi'!$E:$E,$E598))</f>
        <v/>
      </c>
      <c r="D598" s="5">
        <f>IF($E598="","",INDEX('Input Transaksi'!$F:$F,$E598))</f>
        <v/>
      </c>
      <c r="E598">
        <f>IFERROR(AGGREGATE(15,6,ROW('Input Transaksi'!$B$5:$B$5000)/('Input Transaksi'!$B$5:$B$5000="DIY"),ROWS($E$5:E598)),"")</f>
        <v/>
      </c>
      <c r="F598" s="5" t="n"/>
    </row>
    <row r="599">
      <c r="A599" s="10">
        <f>IF($E599="","",INDEX('Input Transaksi'!$A:$A,$E599))</f>
        <v/>
      </c>
      <c r="B599" s="5">
        <f>IF($E599="","",INDEX('Input Transaksi'!$D:$D,$E599))</f>
        <v/>
      </c>
      <c r="C599">
        <f>IF($E599="","",INDEX('Input Transaksi'!$E:$E,$E599))</f>
        <v/>
      </c>
      <c r="D599" s="5">
        <f>IF($E599="","",INDEX('Input Transaksi'!$F:$F,$E599))</f>
        <v/>
      </c>
      <c r="E599">
        <f>IFERROR(AGGREGATE(15,6,ROW('Input Transaksi'!$B$5:$B$5000)/('Input Transaksi'!$B$5:$B$5000="DIY"),ROWS($E$5:E599)),"")</f>
        <v/>
      </c>
      <c r="F599" s="5" t="n"/>
    </row>
    <row r="600">
      <c r="A600" s="10">
        <f>IF($E600="","",INDEX('Input Transaksi'!$A:$A,$E600))</f>
        <v/>
      </c>
      <c r="B600" s="5">
        <f>IF($E600="","",INDEX('Input Transaksi'!$D:$D,$E600))</f>
        <v/>
      </c>
      <c r="C600">
        <f>IF($E600="","",INDEX('Input Transaksi'!$E:$E,$E600))</f>
        <v/>
      </c>
      <c r="D600" s="5">
        <f>IF($E600="","",INDEX('Input Transaksi'!$F:$F,$E600))</f>
        <v/>
      </c>
      <c r="E600">
        <f>IFERROR(AGGREGATE(15,6,ROW('Input Transaksi'!$B$5:$B$5000)/('Input Transaksi'!$B$5:$B$5000="DIY"),ROWS($E$5:E600)),"")</f>
        <v/>
      </c>
      <c r="F600" s="5" t="n"/>
    </row>
    <row r="601">
      <c r="A601" s="10">
        <f>IF($E601="","",INDEX('Input Transaksi'!$A:$A,$E601))</f>
        <v/>
      </c>
      <c r="B601" s="5">
        <f>IF($E601="","",INDEX('Input Transaksi'!$D:$D,$E601))</f>
        <v/>
      </c>
      <c r="C601">
        <f>IF($E601="","",INDEX('Input Transaksi'!$E:$E,$E601))</f>
        <v/>
      </c>
      <c r="D601" s="5">
        <f>IF($E601="","",INDEX('Input Transaksi'!$F:$F,$E601))</f>
        <v/>
      </c>
      <c r="E601">
        <f>IFERROR(AGGREGATE(15,6,ROW('Input Transaksi'!$B$5:$B$5000)/('Input Transaksi'!$B$5:$B$5000="DIY"),ROWS($E$5:E601)),"")</f>
        <v/>
      </c>
      <c r="F601" s="5" t="n"/>
    </row>
    <row r="602">
      <c r="A602" s="10">
        <f>IF($E602="","",INDEX('Input Transaksi'!$A:$A,$E602))</f>
        <v/>
      </c>
      <c r="B602" s="5">
        <f>IF($E602="","",INDEX('Input Transaksi'!$D:$D,$E602))</f>
        <v/>
      </c>
      <c r="C602">
        <f>IF($E602="","",INDEX('Input Transaksi'!$E:$E,$E602))</f>
        <v/>
      </c>
      <c r="D602" s="5">
        <f>IF($E602="","",INDEX('Input Transaksi'!$F:$F,$E602))</f>
        <v/>
      </c>
      <c r="E602">
        <f>IFERROR(AGGREGATE(15,6,ROW('Input Transaksi'!$B$5:$B$5000)/('Input Transaksi'!$B$5:$B$5000="DIY"),ROWS($E$5:E602)),"")</f>
        <v/>
      </c>
      <c r="F602" s="5" t="n"/>
    </row>
    <row r="603">
      <c r="A603" s="10">
        <f>IF($E603="","",INDEX('Input Transaksi'!$A:$A,$E603))</f>
        <v/>
      </c>
      <c r="B603" s="5">
        <f>IF($E603="","",INDEX('Input Transaksi'!$D:$D,$E603))</f>
        <v/>
      </c>
      <c r="C603">
        <f>IF($E603="","",INDEX('Input Transaksi'!$E:$E,$E603))</f>
        <v/>
      </c>
      <c r="D603" s="5">
        <f>IF($E603="","",INDEX('Input Transaksi'!$F:$F,$E603))</f>
        <v/>
      </c>
      <c r="E603">
        <f>IFERROR(AGGREGATE(15,6,ROW('Input Transaksi'!$B$5:$B$5000)/('Input Transaksi'!$B$5:$B$5000="DIY"),ROWS($E$5:E603)),"")</f>
        <v/>
      </c>
      <c r="F603" s="5" t="n"/>
    </row>
    <row r="604">
      <c r="A604" s="10">
        <f>IF($E604="","",INDEX('Input Transaksi'!$A:$A,$E604))</f>
        <v/>
      </c>
      <c r="B604" s="5">
        <f>IF($E604="","",INDEX('Input Transaksi'!$D:$D,$E604))</f>
        <v/>
      </c>
      <c r="C604">
        <f>IF($E604="","",INDEX('Input Transaksi'!$E:$E,$E604))</f>
        <v/>
      </c>
      <c r="D604" s="5">
        <f>IF($E604="","",INDEX('Input Transaksi'!$F:$F,$E604))</f>
        <v/>
      </c>
      <c r="E604">
        <f>IFERROR(AGGREGATE(15,6,ROW('Input Transaksi'!$B$5:$B$5000)/('Input Transaksi'!$B$5:$B$5000="DIY"),ROWS($E$5:E604)),"")</f>
        <v/>
      </c>
      <c r="F604" s="5" t="n"/>
    </row>
    <row r="605">
      <c r="A605" s="10">
        <f>IF($E605="","",INDEX('Input Transaksi'!$A:$A,$E605))</f>
        <v/>
      </c>
      <c r="B605" s="5">
        <f>IF($E605="","",INDEX('Input Transaksi'!$D:$D,$E605))</f>
        <v/>
      </c>
      <c r="C605">
        <f>IF($E605="","",INDEX('Input Transaksi'!$E:$E,$E605))</f>
        <v/>
      </c>
      <c r="D605" s="5">
        <f>IF($E605="","",INDEX('Input Transaksi'!$F:$F,$E605))</f>
        <v/>
      </c>
      <c r="E605">
        <f>IFERROR(AGGREGATE(15,6,ROW('Input Transaksi'!$B$5:$B$5000)/('Input Transaksi'!$B$5:$B$5000="DIY"),ROWS($E$5:E605)),"")</f>
        <v/>
      </c>
      <c r="F605" s="5" t="n"/>
    </row>
    <row r="606">
      <c r="A606" s="10">
        <f>IF($E606="","",INDEX('Input Transaksi'!$A:$A,$E606))</f>
        <v/>
      </c>
      <c r="B606" s="5">
        <f>IF($E606="","",INDEX('Input Transaksi'!$D:$D,$E606))</f>
        <v/>
      </c>
      <c r="C606">
        <f>IF($E606="","",INDEX('Input Transaksi'!$E:$E,$E606))</f>
        <v/>
      </c>
      <c r="D606" s="5">
        <f>IF($E606="","",INDEX('Input Transaksi'!$F:$F,$E606))</f>
        <v/>
      </c>
      <c r="E606">
        <f>IFERROR(AGGREGATE(15,6,ROW('Input Transaksi'!$B$5:$B$5000)/('Input Transaksi'!$B$5:$B$5000="DIY"),ROWS($E$5:E606)),"")</f>
        <v/>
      </c>
      <c r="F606" s="5" t="n"/>
    </row>
    <row r="607">
      <c r="A607" s="10">
        <f>IF($E607="","",INDEX('Input Transaksi'!$A:$A,$E607))</f>
        <v/>
      </c>
      <c r="B607" s="5">
        <f>IF($E607="","",INDEX('Input Transaksi'!$D:$D,$E607))</f>
        <v/>
      </c>
      <c r="C607">
        <f>IF($E607="","",INDEX('Input Transaksi'!$E:$E,$E607))</f>
        <v/>
      </c>
      <c r="D607" s="5">
        <f>IF($E607="","",INDEX('Input Transaksi'!$F:$F,$E607))</f>
        <v/>
      </c>
      <c r="E607">
        <f>IFERROR(AGGREGATE(15,6,ROW('Input Transaksi'!$B$5:$B$5000)/('Input Transaksi'!$B$5:$B$5000="DIY"),ROWS($E$5:E607)),"")</f>
        <v/>
      </c>
      <c r="F607" s="5" t="n"/>
    </row>
    <row r="608">
      <c r="A608" s="10">
        <f>IF($E608="","",INDEX('Input Transaksi'!$A:$A,$E608))</f>
        <v/>
      </c>
      <c r="B608" s="5">
        <f>IF($E608="","",INDEX('Input Transaksi'!$D:$D,$E608))</f>
        <v/>
      </c>
      <c r="C608">
        <f>IF($E608="","",INDEX('Input Transaksi'!$E:$E,$E608))</f>
        <v/>
      </c>
      <c r="D608" s="5">
        <f>IF($E608="","",INDEX('Input Transaksi'!$F:$F,$E608))</f>
        <v/>
      </c>
      <c r="E608">
        <f>IFERROR(AGGREGATE(15,6,ROW('Input Transaksi'!$B$5:$B$5000)/('Input Transaksi'!$B$5:$B$5000="DIY"),ROWS($E$5:E608)),"")</f>
        <v/>
      </c>
      <c r="F608" s="5" t="n"/>
    </row>
    <row r="609">
      <c r="A609" s="10">
        <f>IF($E609="","",INDEX('Input Transaksi'!$A:$A,$E609))</f>
        <v/>
      </c>
      <c r="B609" s="5">
        <f>IF($E609="","",INDEX('Input Transaksi'!$D:$D,$E609))</f>
        <v/>
      </c>
      <c r="C609">
        <f>IF($E609="","",INDEX('Input Transaksi'!$E:$E,$E609))</f>
        <v/>
      </c>
      <c r="D609" s="5">
        <f>IF($E609="","",INDEX('Input Transaksi'!$F:$F,$E609))</f>
        <v/>
      </c>
      <c r="E609">
        <f>IFERROR(AGGREGATE(15,6,ROW('Input Transaksi'!$B$5:$B$5000)/('Input Transaksi'!$B$5:$B$5000="DIY"),ROWS($E$5:E609)),"")</f>
        <v/>
      </c>
      <c r="F609" s="5" t="n"/>
    </row>
    <row r="610">
      <c r="A610" s="10">
        <f>IF($E610="","",INDEX('Input Transaksi'!$A:$A,$E610))</f>
        <v/>
      </c>
      <c r="B610" s="5">
        <f>IF($E610="","",INDEX('Input Transaksi'!$D:$D,$E610))</f>
        <v/>
      </c>
      <c r="C610">
        <f>IF($E610="","",INDEX('Input Transaksi'!$E:$E,$E610))</f>
        <v/>
      </c>
      <c r="D610" s="5">
        <f>IF($E610="","",INDEX('Input Transaksi'!$F:$F,$E610))</f>
        <v/>
      </c>
      <c r="E610">
        <f>IFERROR(AGGREGATE(15,6,ROW('Input Transaksi'!$B$5:$B$5000)/('Input Transaksi'!$B$5:$B$5000="DIY"),ROWS($E$5:E610)),"")</f>
        <v/>
      </c>
      <c r="F610" s="5" t="n"/>
    </row>
    <row r="611">
      <c r="A611" s="10">
        <f>IF($E611="","",INDEX('Input Transaksi'!$A:$A,$E611))</f>
        <v/>
      </c>
      <c r="B611" s="5">
        <f>IF($E611="","",INDEX('Input Transaksi'!$D:$D,$E611))</f>
        <v/>
      </c>
      <c r="C611">
        <f>IF($E611="","",INDEX('Input Transaksi'!$E:$E,$E611))</f>
        <v/>
      </c>
      <c r="D611" s="5">
        <f>IF($E611="","",INDEX('Input Transaksi'!$F:$F,$E611))</f>
        <v/>
      </c>
      <c r="E611">
        <f>IFERROR(AGGREGATE(15,6,ROW('Input Transaksi'!$B$5:$B$5000)/('Input Transaksi'!$B$5:$B$5000="DIY"),ROWS($E$5:E611)),"")</f>
        <v/>
      </c>
      <c r="F611" s="5" t="n"/>
    </row>
    <row r="612">
      <c r="A612" s="10">
        <f>IF($E612="","",INDEX('Input Transaksi'!$A:$A,$E612))</f>
        <v/>
      </c>
      <c r="B612" s="5">
        <f>IF($E612="","",INDEX('Input Transaksi'!$D:$D,$E612))</f>
        <v/>
      </c>
      <c r="C612">
        <f>IF($E612="","",INDEX('Input Transaksi'!$E:$E,$E612))</f>
        <v/>
      </c>
      <c r="D612" s="5">
        <f>IF($E612="","",INDEX('Input Transaksi'!$F:$F,$E612))</f>
        <v/>
      </c>
      <c r="E612">
        <f>IFERROR(AGGREGATE(15,6,ROW('Input Transaksi'!$B$5:$B$5000)/('Input Transaksi'!$B$5:$B$5000="DIY"),ROWS($E$5:E612)),"")</f>
        <v/>
      </c>
      <c r="F612" s="5" t="n"/>
    </row>
    <row r="613">
      <c r="A613" s="10">
        <f>IF($E613="","",INDEX('Input Transaksi'!$A:$A,$E613))</f>
        <v/>
      </c>
      <c r="B613" s="5">
        <f>IF($E613="","",INDEX('Input Transaksi'!$D:$D,$E613))</f>
        <v/>
      </c>
      <c r="C613">
        <f>IF($E613="","",INDEX('Input Transaksi'!$E:$E,$E613))</f>
        <v/>
      </c>
      <c r="D613" s="5">
        <f>IF($E613="","",INDEX('Input Transaksi'!$F:$F,$E613))</f>
        <v/>
      </c>
      <c r="E613">
        <f>IFERROR(AGGREGATE(15,6,ROW('Input Transaksi'!$B$5:$B$5000)/('Input Transaksi'!$B$5:$B$5000="DIY"),ROWS($E$5:E613)),"")</f>
        <v/>
      </c>
      <c r="F613" s="5" t="n"/>
    </row>
    <row r="614">
      <c r="A614" s="10">
        <f>IF($E614="","",INDEX('Input Transaksi'!$A:$A,$E614))</f>
        <v/>
      </c>
      <c r="B614" s="5">
        <f>IF($E614="","",INDEX('Input Transaksi'!$D:$D,$E614))</f>
        <v/>
      </c>
      <c r="C614">
        <f>IF($E614="","",INDEX('Input Transaksi'!$E:$E,$E614))</f>
        <v/>
      </c>
      <c r="D614" s="5">
        <f>IF($E614="","",INDEX('Input Transaksi'!$F:$F,$E614))</f>
        <v/>
      </c>
      <c r="E614">
        <f>IFERROR(AGGREGATE(15,6,ROW('Input Transaksi'!$B$5:$B$5000)/('Input Transaksi'!$B$5:$B$5000="DIY"),ROWS($E$5:E614)),"")</f>
        <v/>
      </c>
      <c r="F614" s="5" t="n"/>
    </row>
    <row r="615">
      <c r="A615" s="10">
        <f>IF($E615="","",INDEX('Input Transaksi'!$A:$A,$E615))</f>
        <v/>
      </c>
      <c r="B615" s="5">
        <f>IF($E615="","",INDEX('Input Transaksi'!$D:$D,$E615))</f>
        <v/>
      </c>
      <c r="C615">
        <f>IF($E615="","",INDEX('Input Transaksi'!$E:$E,$E615))</f>
        <v/>
      </c>
      <c r="D615" s="5">
        <f>IF($E615="","",INDEX('Input Transaksi'!$F:$F,$E615))</f>
        <v/>
      </c>
      <c r="E615">
        <f>IFERROR(AGGREGATE(15,6,ROW('Input Transaksi'!$B$5:$B$5000)/('Input Transaksi'!$B$5:$B$5000="DIY"),ROWS($E$5:E615)),"")</f>
        <v/>
      </c>
      <c r="F615" s="5" t="n"/>
    </row>
    <row r="616">
      <c r="A616" s="10">
        <f>IF($E616="","",INDEX('Input Transaksi'!$A:$A,$E616))</f>
        <v/>
      </c>
      <c r="B616" s="5">
        <f>IF($E616="","",INDEX('Input Transaksi'!$D:$D,$E616))</f>
        <v/>
      </c>
      <c r="C616">
        <f>IF($E616="","",INDEX('Input Transaksi'!$E:$E,$E616))</f>
        <v/>
      </c>
      <c r="D616" s="5">
        <f>IF($E616="","",INDEX('Input Transaksi'!$F:$F,$E616))</f>
        <v/>
      </c>
      <c r="E616">
        <f>IFERROR(AGGREGATE(15,6,ROW('Input Transaksi'!$B$5:$B$5000)/('Input Transaksi'!$B$5:$B$5000="DIY"),ROWS($E$5:E616)),"")</f>
        <v/>
      </c>
      <c r="F616" s="5" t="n"/>
    </row>
    <row r="617">
      <c r="A617" s="10">
        <f>IF($E617="","",INDEX('Input Transaksi'!$A:$A,$E617))</f>
        <v/>
      </c>
      <c r="B617" s="5">
        <f>IF($E617="","",INDEX('Input Transaksi'!$D:$D,$E617))</f>
        <v/>
      </c>
      <c r="C617">
        <f>IF($E617="","",INDEX('Input Transaksi'!$E:$E,$E617))</f>
        <v/>
      </c>
      <c r="D617" s="5">
        <f>IF($E617="","",INDEX('Input Transaksi'!$F:$F,$E617))</f>
        <v/>
      </c>
      <c r="E617">
        <f>IFERROR(AGGREGATE(15,6,ROW('Input Transaksi'!$B$5:$B$5000)/('Input Transaksi'!$B$5:$B$5000="DIY"),ROWS($E$5:E617)),"")</f>
        <v/>
      </c>
      <c r="F617" s="5" t="n"/>
    </row>
    <row r="618">
      <c r="A618" s="10">
        <f>IF($E618="","",INDEX('Input Transaksi'!$A:$A,$E618))</f>
        <v/>
      </c>
      <c r="B618" s="5">
        <f>IF($E618="","",INDEX('Input Transaksi'!$D:$D,$E618))</f>
        <v/>
      </c>
      <c r="C618">
        <f>IF($E618="","",INDEX('Input Transaksi'!$E:$E,$E618))</f>
        <v/>
      </c>
      <c r="D618" s="5">
        <f>IF($E618="","",INDEX('Input Transaksi'!$F:$F,$E618))</f>
        <v/>
      </c>
      <c r="E618">
        <f>IFERROR(AGGREGATE(15,6,ROW('Input Transaksi'!$B$5:$B$5000)/('Input Transaksi'!$B$5:$B$5000="DIY"),ROWS($E$5:E618)),"")</f>
        <v/>
      </c>
      <c r="F618" s="5" t="n"/>
    </row>
    <row r="619">
      <c r="A619" s="10">
        <f>IF($E619="","",INDEX('Input Transaksi'!$A:$A,$E619))</f>
        <v/>
      </c>
      <c r="B619" s="5">
        <f>IF($E619="","",INDEX('Input Transaksi'!$D:$D,$E619))</f>
        <v/>
      </c>
      <c r="C619">
        <f>IF($E619="","",INDEX('Input Transaksi'!$E:$E,$E619))</f>
        <v/>
      </c>
      <c r="D619" s="5">
        <f>IF($E619="","",INDEX('Input Transaksi'!$F:$F,$E619))</f>
        <v/>
      </c>
      <c r="E619">
        <f>IFERROR(AGGREGATE(15,6,ROW('Input Transaksi'!$B$5:$B$5000)/('Input Transaksi'!$B$5:$B$5000="DIY"),ROWS($E$5:E619)),"")</f>
        <v/>
      </c>
      <c r="F619" s="5" t="n"/>
    </row>
    <row r="620">
      <c r="A620" s="10">
        <f>IF($E620="","",INDEX('Input Transaksi'!$A:$A,$E620))</f>
        <v/>
      </c>
      <c r="B620" s="5">
        <f>IF($E620="","",INDEX('Input Transaksi'!$D:$D,$E620))</f>
        <v/>
      </c>
      <c r="C620">
        <f>IF($E620="","",INDEX('Input Transaksi'!$E:$E,$E620))</f>
        <v/>
      </c>
      <c r="D620" s="5">
        <f>IF($E620="","",INDEX('Input Transaksi'!$F:$F,$E620))</f>
        <v/>
      </c>
      <c r="E620">
        <f>IFERROR(AGGREGATE(15,6,ROW('Input Transaksi'!$B$5:$B$5000)/('Input Transaksi'!$B$5:$B$5000="DIY"),ROWS($E$5:E620)),"")</f>
        <v/>
      </c>
      <c r="F620" s="5" t="n"/>
    </row>
    <row r="621">
      <c r="A621" s="10">
        <f>IF($E621="","",INDEX('Input Transaksi'!$A:$A,$E621))</f>
        <v/>
      </c>
      <c r="B621" s="5">
        <f>IF($E621="","",INDEX('Input Transaksi'!$D:$D,$E621))</f>
        <v/>
      </c>
      <c r="C621">
        <f>IF($E621="","",INDEX('Input Transaksi'!$E:$E,$E621))</f>
        <v/>
      </c>
      <c r="D621" s="5">
        <f>IF($E621="","",INDEX('Input Transaksi'!$F:$F,$E621))</f>
        <v/>
      </c>
      <c r="E621">
        <f>IFERROR(AGGREGATE(15,6,ROW('Input Transaksi'!$B$5:$B$5000)/('Input Transaksi'!$B$5:$B$5000="DIY"),ROWS($E$5:E621)),"")</f>
        <v/>
      </c>
      <c r="F621" s="5" t="n"/>
    </row>
    <row r="622">
      <c r="A622" s="10">
        <f>IF($E622="","",INDEX('Input Transaksi'!$A:$A,$E622))</f>
        <v/>
      </c>
      <c r="B622" s="5">
        <f>IF($E622="","",INDEX('Input Transaksi'!$D:$D,$E622))</f>
        <v/>
      </c>
      <c r="C622">
        <f>IF($E622="","",INDEX('Input Transaksi'!$E:$E,$E622))</f>
        <v/>
      </c>
      <c r="D622" s="5">
        <f>IF($E622="","",INDEX('Input Transaksi'!$F:$F,$E622))</f>
        <v/>
      </c>
      <c r="E622">
        <f>IFERROR(AGGREGATE(15,6,ROW('Input Transaksi'!$B$5:$B$5000)/('Input Transaksi'!$B$5:$B$5000="DIY"),ROWS($E$5:E622)),"")</f>
        <v/>
      </c>
      <c r="F622" s="5" t="n"/>
    </row>
    <row r="623">
      <c r="A623" s="10">
        <f>IF($E623="","",INDEX('Input Transaksi'!$A:$A,$E623))</f>
        <v/>
      </c>
      <c r="B623" s="5">
        <f>IF($E623="","",INDEX('Input Transaksi'!$D:$D,$E623))</f>
        <v/>
      </c>
      <c r="C623">
        <f>IF($E623="","",INDEX('Input Transaksi'!$E:$E,$E623))</f>
        <v/>
      </c>
      <c r="D623" s="5">
        <f>IF($E623="","",INDEX('Input Transaksi'!$F:$F,$E623))</f>
        <v/>
      </c>
      <c r="E623">
        <f>IFERROR(AGGREGATE(15,6,ROW('Input Transaksi'!$B$5:$B$5000)/('Input Transaksi'!$B$5:$B$5000="DIY"),ROWS($E$5:E623)),"")</f>
        <v/>
      </c>
      <c r="F623" s="5" t="n"/>
    </row>
    <row r="624">
      <c r="A624" s="10">
        <f>IF($E624="","",INDEX('Input Transaksi'!$A:$A,$E624))</f>
        <v/>
      </c>
      <c r="B624" s="5">
        <f>IF($E624="","",INDEX('Input Transaksi'!$D:$D,$E624))</f>
        <v/>
      </c>
      <c r="C624">
        <f>IF($E624="","",INDEX('Input Transaksi'!$E:$E,$E624))</f>
        <v/>
      </c>
      <c r="D624" s="5">
        <f>IF($E624="","",INDEX('Input Transaksi'!$F:$F,$E624))</f>
        <v/>
      </c>
      <c r="E624">
        <f>IFERROR(AGGREGATE(15,6,ROW('Input Transaksi'!$B$5:$B$5000)/('Input Transaksi'!$B$5:$B$5000="DIY"),ROWS($E$5:E624)),"")</f>
        <v/>
      </c>
      <c r="F624" s="5" t="n"/>
    </row>
    <row r="625">
      <c r="A625" s="10">
        <f>IF($E625="","",INDEX('Input Transaksi'!$A:$A,$E625))</f>
        <v/>
      </c>
      <c r="B625" s="5">
        <f>IF($E625="","",INDEX('Input Transaksi'!$D:$D,$E625))</f>
        <v/>
      </c>
      <c r="C625">
        <f>IF($E625="","",INDEX('Input Transaksi'!$E:$E,$E625))</f>
        <v/>
      </c>
      <c r="D625" s="5">
        <f>IF($E625="","",INDEX('Input Transaksi'!$F:$F,$E625))</f>
        <v/>
      </c>
      <c r="E625">
        <f>IFERROR(AGGREGATE(15,6,ROW('Input Transaksi'!$B$5:$B$5000)/('Input Transaksi'!$B$5:$B$5000="DIY"),ROWS($E$5:E625)),"")</f>
        <v/>
      </c>
      <c r="F625" s="5" t="n"/>
    </row>
    <row r="626">
      <c r="A626" s="10">
        <f>IF($E626="","",INDEX('Input Transaksi'!$A:$A,$E626))</f>
        <v/>
      </c>
      <c r="B626" s="5">
        <f>IF($E626="","",INDEX('Input Transaksi'!$D:$D,$E626))</f>
        <v/>
      </c>
      <c r="C626">
        <f>IF($E626="","",INDEX('Input Transaksi'!$E:$E,$E626))</f>
        <v/>
      </c>
      <c r="D626" s="5">
        <f>IF($E626="","",INDEX('Input Transaksi'!$F:$F,$E626))</f>
        <v/>
      </c>
      <c r="E626">
        <f>IFERROR(AGGREGATE(15,6,ROW('Input Transaksi'!$B$5:$B$5000)/('Input Transaksi'!$B$5:$B$5000="DIY"),ROWS($E$5:E626)),"")</f>
        <v/>
      </c>
      <c r="F626" s="5" t="n"/>
    </row>
    <row r="627">
      <c r="A627" s="10">
        <f>IF($E627="","",INDEX('Input Transaksi'!$A:$A,$E627))</f>
        <v/>
      </c>
      <c r="B627" s="5">
        <f>IF($E627="","",INDEX('Input Transaksi'!$D:$D,$E627))</f>
        <v/>
      </c>
      <c r="C627">
        <f>IF($E627="","",INDEX('Input Transaksi'!$E:$E,$E627))</f>
        <v/>
      </c>
      <c r="D627" s="5">
        <f>IF($E627="","",INDEX('Input Transaksi'!$F:$F,$E627))</f>
        <v/>
      </c>
      <c r="E627">
        <f>IFERROR(AGGREGATE(15,6,ROW('Input Transaksi'!$B$5:$B$5000)/('Input Transaksi'!$B$5:$B$5000="DIY"),ROWS($E$5:E627)),"")</f>
        <v/>
      </c>
      <c r="F627" s="5" t="n"/>
    </row>
    <row r="628">
      <c r="A628" s="10">
        <f>IF($E628="","",INDEX('Input Transaksi'!$A:$A,$E628))</f>
        <v/>
      </c>
      <c r="B628" s="5">
        <f>IF($E628="","",INDEX('Input Transaksi'!$D:$D,$E628))</f>
        <v/>
      </c>
      <c r="C628">
        <f>IF($E628="","",INDEX('Input Transaksi'!$E:$E,$E628))</f>
        <v/>
      </c>
      <c r="D628" s="5">
        <f>IF($E628="","",INDEX('Input Transaksi'!$F:$F,$E628))</f>
        <v/>
      </c>
      <c r="E628">
        <f>IFERROR(AGGREGATE(15,6,ROW('Input Transaksi'!$B$5:$B$5000)/('Input Transaksi'!$B$5:$B$5000="DIY"),ROWS($E$5:E628)),"")</f>
        <v/>
      </c>
      <c r="F628" s="5" t="n"/>
    </row>
    <row r="629">
      <c r="A629" s="10">
        <f>IF($E629="","",INDEX('Input Transaksi'!$A:$A,$E629))</f>
        <v/>
      </c>
      <c r="B629" s="5">
        <f>IF($E629="","",INDEX('Input Transaksi'!$D:$D,$E629))</f>
        <v/>
      </c>
      <c r="C629">
        <f>IF($E629="","",INDEX('Input Transaksi'!$E:$E,$E629))</f>
        <v/>
      </c>
      <c r="D629" s="5">
        <f>IF($E629="","",INDEX('Input Transaksi'!$F:$F,$E629))</f>
        <v/>
      </c>
      <c r="E629">
        <f>IFERROR(AGGREGATE(15,6,ROW('Input Transaksi'!$B$5:$B$5000)/('Input Transaksi'!$B$5:$B$5000="DIY"),ROWS($E$5:E629)),"")</f>
        <v/>
      </c>
      <c r="F629" s="5" t="n"/>
    </row>
    <row r="630">
      <c r="A630" s="10">
        <f>IF($E630="","",INDEX('Input Transaksi'!$A:$A,$E630))</f>
        <v/>
      </c>
      <c r="B630" s="5">
        <f>IF($E630="","",INDEX('Input Transaksi'!$D:$D,$E630))</f>
        <v/>
      </c>
      <c r="C630">
        <f>IF($E630="","",INDEX('Input Transaksi'!$E:$E,$E630))</f>
        <v/>
      </c>
      <c r="D630" s="5">
        <f>IF($E630="","",INDEX('Input Transaksi'!$F:$F,$E630))</f>
        <v/>
      </c>
      <c r="E630">
        <f>IFERROR(AGGREGATE(15,6,ROW('Input Transaksi'!$B$5:$B$5000)/('Input Transaksi'!$B$5:$B$5000="DIY"),ROWS($E$5:E630)),"")</f>
        <v/>
      </c>
      <c r="F630" s="5" t="n"/>
    </row>
    <row r="631">
      <c r="A631" s="10">
        <f>IF($E631="","",INDEX('Input Transaksi'!$A:$A,$E631))</f>
        <v/>
      </c>
      <c r="B631" s="5">
        <f>IF($E631="","",INDEX('Input Transaksi'!$D:$D,$E631))</f>
        <v/>
      </c>
      <c r="C631">
        <f>IF($E631="","",INDEX('Input Transaksi'!$E:$E,$E631))</f>
        <v/>
      </c>
      <c r="D631" s="5">
        <f>IF($E631="","",INDEX('Input Transaksi'!$F:$F,$E631))</f>
        <v/>
      </c>
      <c r="E631">
        <f>IFERROR(AGGREGATE(15,6,ROW('Input Transaksi'!$B$5:$B$5000)/('Input Transaksi'!$B$5:$B$5000="DIY"),ROWS($E$5:E631)),"")</f>
        <v/>
      </c>
      <c r="F631" s="5" t="n"/>
    </row>
    <row r="632">
      <c r="A632" s="10">
        <f>IF($E632="","",INDEX('Input Transaksi'!$A:$A,$E632))</f>
        <v/>
      </c>
      <c r="B632" s="5">
        <f>IF($E632="","",INDEX('Input Transaksi'!$D:$D,$E632))</f>
        <v/>
      </c>
      <c r="C632">
        <f>IF($E632="","",INDEX('Input Transaksi'!$E:$E,$E632))</f>
        <v/>
      </c>
      <c r="D632" s="5">
        <f>IF($E632="","",INDEX('Input Transaksi'!$F:$F,$E632))</f>
        <v/>
      </c>
      <c r="E632">
        <f>IFERROR(AGGREGATE(15,6,ROW('Input Transaksi'!$B$5:$B$5000)/('Input Transaksi'!$B$5:$B$5000="DIY"),ROWS($E$5:E632)),"")</f>
        <v/>
      </c>
      <c r="F632" s="5" t="n"/>
    </row>
    <row r="633">
      <c r="A633" s="10">
        <f>IF($E633="","",INDEX('Input Transaksi'!$A:$A,$E633))</f>
        <v/>
      </c>
      <c r="B633" s="5">
        <f>IF($E633="","",INDEX('Input Transaksi'!$D:$D,$E633))</f>
        <v/>
      </c>
      <c r="C633">
        <f>IF($E633="","",INDEX('Input Transaksi'!$E:$E,$E633))</f>
        <v/>
      </c>
      <c r="D633" s="5">
        <f>IF($E633="","",INDEX('Input Transaksi'!$F:$F,$E633))</f>
        <v/>
      </c>
      <c r="E633">
        <f>IFERROR(AGGREGATE(15,6,ROW('Input Transaksi'!$B$5:$B$5000)/('Input Transaksi'!$B$5:$B$5000="DIY"),ROWS($E$5:E633)),"")</f>
        <v/>
      </c>
      <c r="F633" s="5" t="n"/>
    </row>
    <row r="634">
      <c r="A634" s="10">
        <f>IF($E634="","",INDEX('Input Transaksi'!$A:$A,$E634))</f>
        <v/>
      </c>
      <c r="B634" s="5">
        <f>IF($E634="","",INDEX('Input Transaksi'!$D:$D,$E634))</f>
        <v/>
      </c>
      <c r="C634">
        <f>IF($E634="","",INDEX('Input Transaksi'!$E:$E,$E634))</f>
        <v/>
      </c>
      <c r="D634" s="5">
        <f>IF($E634="","",INDEX('Input Transaksi'!$F:$F,$E634))</f>
        <v/>
      </c>
      <c r="E634">
        <f>IFERROR(AGGREGATE(15,6,ROW('Input Transaksi'!$B$5:$B$5000)/('Input Transaksi'!$B$5:$B$5000="DIY"),ROWS($E$5:E634)),"")</f>
        <v/>
      </c>
      <c r="F634" s="5" t="n"/>
    </row>
    <row r="635">
      <c r="A635" s="10">
        <f>IF($E635="","",INDEX('Input Transaksi'!$A:$A,$E635))</f>
        <v/>
      </c>
      <c r="B635" s="5">
        <f>IF($E635="","",INDEX('Input Transaksi'!$D:$D,$E635))</f>
        <v/>
      </c>
      <c r="C635">
        <f>IF($E635="","",INDEX('Input Transaksi'!$E:$E,$E635))</f>
        <v/>
      </c>
      <c r="D635" s="5">
        <f>IF($E635="","",INDEX('Input Transaksi'!$F:$F,$E635))</f>
        <v/>
      </c>
      <c r="E635">
        <f>IFERROR(AGGREGATE(15,6,ROW('Input Transaksi'!$B$5:$B$5000)/('Input Transaksi'!$B$5:$B$5000="DIY"),ROWS($E$5:E635)),"")</f>
        <v/>
      </c>
      <c r="F635" s="5" t="n"/>
    </row>
    <row r="636">
      <c r="A636" s="10">
        <f>IF($E636="","",INDEX('Input Transaksi'!$A:$A,$E636))</f>
        <v/>
      </c>
      <c r="B636" s="5">
        <f>IF($E636="","",INDEX('Input Transaksi'!$D:$D,$E636))</f>
        <v/>
      </c>
      <c r="C636">
        <f>IF($E636="","",INDEX('Input Transaksi'!$E:$E,$E636))</f>
        <v/>
      </c>
      <c r="D636" s="5">
        <f>IF($E636="","",INDEX('Input Transaksi'!$F:$F,$E636))</f>
        <v/>
      </c>
      <c r="E636">
        <f>IFERROR(AGGREGATE(15,6,ROW('Input Transaksi'!$B$5:$B$5000)/('Input Transaksi'!$B$5:$B$5000="DIY"),ROWS($E$5:E636)),"")</f>
        <v/>
      </c>
      <c r="F636" s="5" t="n"/>
    </row>
    <row r="637">
      <c r="A637" s="10">
        <f>IF($E637="","",INDEX('Input Transaksi'!$A:$A,$E637))</f>
        <v/>
      </c>
      <c r="B637" s="5">
        <f>IF($E637="","",INDEX('Input Transaksi'!$D:$D,$E637))</f>
        <v/>
      </c>
      <c r="C637">
        <f>IF($E637="","",INDEX('Input Transaksi'!$E:$E,$E637))</f>
        <v/>
      </c>
      <c r="D637" s="5">
        <f>IF($E637="","",INDEX('Input Transaksi'!$F:$F,$E637))</f>
        <v/>
      </c>
      <c r="E637">
        <f>IFERROR(AGGREGATE(15,6,ROW('Input Transaksi'!$B$5:$B$5000)/('Input Transaksi'!$B$5:$B$5000="DIY"),ROWS($E$5:E637)),"")</f>
        <v/>
      </c>
      <c r="F637" s="5" t="n"/>
    </row>
    <row r="638">
      <c r="A638" s="10">
        <f>IF($E638="","",INDEX('Input Transaksi'!$A:$A,$E638))</f>
        <v/>
      </c>
      <c r="B638" s="5">
        <f>IF($E638="","",INDEX('Input Transaksi'!$D:$D,$E638))</f>
        <v/>
      </c>
      <c r="C638">
        <f>IF($E638="","",INDEX('Input Transaksi'!$E:$E,$E638))</f>
        <v/>
      </c>
      <c r="D638" s="5">
        <f>IF($E638="","",INDEX('Input Transaksi'!$F:$F,$E638))</f>
        <v/>
      </c>
      <c r="E638">
        <f>IFERROR(AGGREGATE(15,6,ROW('Input Transaksi'!$B$5:$B$5000)/('Input Transaksi'!$B$5:$B$5000="DIY"),ROWS($E$5:E638)),"")</f>
        <v/>
      </c>
      <c r="F638" s="5" t="n"/>
    </row>
    <row r="639">
      <c r="A639" s="10">
        <f>IF($E639="","",INDEX('Input Transaksi'!$A:$A,$E639))</f>
        <v/>
      </c>
      <c r="B639" s="5">
        <f>IF($E639="","",INDEX('Input Transaksi'!$D:$D,$E639))</f>
        <v/>
      </c>
      <c r="C639">
        <f>IF($E639="","",INDEX('Input Transaksi'!$E:$E,$E639))</f>
        <v/>
      </c>
      <c r="D639" s="5">
        <f>IF($E639="","",INDEX('Input Transaksi'!$F:$F,$E639))</f>
        <v/>
      </c>
      <c r="E639">
        <f>IFERROR(AGGREGATE(15,6,ROW('Input Transaksi'!$B$5:$B$5000)/('Input Transaksi'!$B$5:$B$5000="DIY"),ROWS($E$5:E639)),"")</f>
        <v/>
      </c>
      <c r="F639" s="5" t="n"/>
    </row>
    <row r="640">
      <c r="A640" s="10">
        <f>IF($E640="","",INDEX('Input Transaksi'!$A:$A,$E640))</f>
        <v/>
      </c>
      <c r="B640" s="5">
        <f>IF($E640="","",INDEX('Input Transaksi'!$D:$D,$E640))</f>
        <v/>
      </c>
      <c r="C640">
        <f>IF($E640="","",INDEX('Input Transaksi'!$E:$E,$E640))</f>
        <v/>
      </c>
      <c r="D640" s="5">
        <f>IF($E640="","",INDEX('Input Transaksi'!$F:$F,$E640))</f>
        <v/>
      </c>
      <c r="E640">
        <f>IFERROR(AGGREGATE(15,6,ROW('Input Transaksi'!$B$5:$B$5000)/('Input Transaksi'!$B$5:$B$5000="DIY"),ROWS($E$5:E640)),"")</f>
        <v/>
      </c>
      <c r="F640" s="5" t="n"/>
    </row>
    <row r="641">
      <c r="A641" s="10">
        <f>IF($E641="","",INDEX('Input Transaksi'!$A:$A,$E641))</f>
        <v/>
      </c>
      <c r="B641" s="5">
        <f>IF($E641="","",INDEX('Input Transaksi'!$D:$D,$E641))</f>
        <v/>
      </c>
      <c r="C641">
        <f>IF($E641="","",INDEX('Input Transaksi'!$E:$E,$E641))</f>
        <v/>
      </c>
      <c r="D641" s="5">
        <f>IF($E641="","",INDEX('Input Transaksi'!$F:$F,$E641))</f>
        <v/>
      </c>
      <c r="E641">
        <f>IFERROR(AGGREGATE(15,6,ROW('Input Transaksi'!$B$5:$B$5000)/('Input Transaksi'!$B$5:$B$5000="DIY"),ROWS($E$5:E641)),"")</f>
        <v/>
      </c>
      <c r="F641" s="5" t="n"/>
    </row>
    <row r="642">
      <c r="A642" s="10">
        <f>IF($E642="","",INDEX('Input Transaksi'!$A:$A,$E642))</f>
        <v/>
      </c>
      <c r="B642" s="5">
        <f>IF($E642="","",INDEX('Input Transaksi'!$D:$D,$E642))</f>
        <v/>
      </c>
      <c r="C642">
        <f>IF($E642="","",INDEX('Input Transaksi'!$E:$E,$E642))</f>
        <v/>
      </c>
      <c r="D642" s="5">
        <f>IF($E642="","",INDEX('Input Transaksi'!$F:$F,$E642))</f>
        <v/>
      </c>
      <c r="E642">
        <f>IFERROR(AGGREGATE(15,6,ROW('Input Transaksi'!$B$5:$B$5000)/('Input Transaksi'!$B$5:$B$5000="DIY"),ROWS($E$5:E642)),"")</f>
        <v/>
      </c>
      <c r="F642" s="5" t="n"/>
    </row>
    <row r="643">
      <c r="A643" s="10">
        <f>IF($E643="","",INDEX('Input Transaksi'!$A:$A,$E643))</f>
        <v/>
      </c>
      <c r="B643" s="5">
        <f>IF($E643="","",INDEX('Input Transaksi'!$D:$D,$E643))</f>
        <v/>
      </c>
      <c r="C643">
        <f>IF($E643="","",INDEX('Input Transaksi'!$E:$E,$E643))</f>
        <v/>
      </c>
      <c r="D643" s="5">
        <f>IF($E643="","",INDEX('Input Transaksi'!$F:$F,$E643))</f>
        <v/>
      </c>
      <c r="E643">
        <f>IFERROR(AGGREGATE(15,6,ROW('Input Transaksi'!$B$5:$B$5000)/('Input Transaksi'!$B$5:$B$5000="DIY"),ROWS($E$5:E643)),"")</f>
        <v/>
      </c>
      <c r="F643" s="5" t="n"/>
    </row>
    <row r="644">
      <c r="A644" s="10">
        <f>IF($E644="","",INDEX('Input Transaksi'!$A:$A,$E644))</f>
        <v/>
      </c>
      <c r="B644" s="5">
        <f>IF($E644="","",INDEX('Input Transaksi'!$D:$D,$E644))</f>
        <v/>
      </c>
      <c r="C644">
        <f>IF($E644="","",INDEX('Input Transaksi'!$E:$E,$E644))</f>
        <v/>
      </c>
      <c r="D644" s="5">
        <f>IF($E644="","",INDEX('Input Transaksi'!$F:$F,$E644))</f>
        <v/>
      </c>
      <c r="E644">
        <f>IFERROR(AGGREGATE(15,6,ROW('Input Transaksi'!$B$5:$B$5000)/('Input Transaksi'!$B$5:$B$5000="DIY"),ROWS($E$5:E644)),"")</f>
        <v/>
      </c>
      <c r="F644" s="5" t="n"/>
    </row>
    <row r="645">
      <c r="A645" s="10">
        <f>IF($E645="","",INDEX('Input Transaksi'!$A:$A,$E645))</f>
        <v/>
      </c>
      <c r="B645" s="5">
        <f>IF($E645="","",INDEX('Input Transaksi'!$D:$D,$E645))</f>
        <v/>
      </c>
      <c r="C645">
        <f>IF($E645="","",INDEX('Input Transaksi'!$E:$E,$E645))</f>
        <v/>
      </c>
      <c r="D645" s="5">
        <f>IF($E645="","",INDEX('Input Transaksi'!$F:$F,$E645))</f>
        <v/>
      </c>
      <c r="E645">
        <f>IFERROR(AGGREGATE(15,6,ROW('Input Transaksi'!$B$5:$B$5000)/('Input Transaksi'!$B$5:$B$5000="DIY"),ROWS($E$5:E645)),"")</f>
        <v/>
      </c>
      <c r="F645" s="5" t="n"/>
    </row>
    <row r="646">
      <c r="A646" s="10">
        <f>IF($E646="","",INDEX('Input Transaksi'!$A:$A,$E646))</f>
        <v/>
      </c>
      <c r="B646" s="5">
        <f>IF($E646="","",INDEX('Input Transaksi'!$D:$D,$E646))</f>
        <v/>
      </c>
      <c r="C646">
        <f>IF($E646="","",INDEX('Input Transaksi'!$E:$E,$E646))</f>
        <v/>
      </c>
      <c r="D646" s="5">
        <f>IF($E646="","",INDEX('Input Transaksi'!$F:$F,$E646))</f>
        <v/>
      </c>
      <c r="E646">
        <f>IFERROR(AGGREGATE(15,6,ROW('Input Transaksi'!$B$5:$B$5000)/('Input Transaksi'!$B$5:$B$5000="DIY"),ROWS($E$5:E646)),"")</f>
        <v/>
      </c>
      <c r="F646" s="5" t="n"/>
    </row>
    <row r="647">
      <c r="A647" s="10">
        <f>IF($E647="","",INDEX('Input Transaksi'!$A:$A,$E647))</f>
        <v/>
      </c>
      <c r="B647" s="5">
        <f>IF($E647="","",INDEX('Input Transaksi'!$D:$D,$E647))</f>
        <v/>
      </c>
      <c r="C647">
        <f>IF($E647="","",INDEX('Input Transaksi'!$E:$E,$E647))</f>
        <v/>
      </c>
      <c r="D647" s="5">
        <f>IF($E647="","",INDEX('Input Transaksi'!$F:$F,$E647))</f>
        <v/>
      </c>
      <c r="E647">
        <f>IFERROR(AGGREGATE(15,6,ROW('Input Transaksi'!$B$5:$B$5000)/('Input Transaksi'!$B$5:$B$5000="DIY"),ROWS($E$5:E647)),"")</f>
        <v/>
      </c>
      <c r="F647" s="5" t="n"/>
    </row>
    <row r="648">
      <c r="A648" s="10">
        <f>IF($E648="","",INDEX('Input Transaksi'!$A:$A,$E648))</f>
        <v/>
      </c>
      <c r="B648" s="5">
        <f>IF($E648="","",INDEX('Input Transaksi'!$D:$D,$E648))</f>
        <v/>
      </c>
      <c r="C648">
        <f>IF($E648="","",INDEX('Input Transaksi'!$E:$E,$E648))</f>
        <v/>
      </c>
      <c r="D648" s="5">
        <f>IF($E648="","",INDEX('Input Transaksi'!$F:$F,$E648))</f>
        <v/>
      </c>
      <c r="E648">
        <f>IFERROR(AGGREGATE(15,6,ROW('Input Transaksi'!$B$5:$B$5000)/('Input Transaksi'!$B$5:$B$5000="DIY"),ROWS($E$5:E648)),"")</f>
        <v/>
      </c>
      <c r="F648" s="5" t="n"/>
    </row>
    <row r="649">
      <c r="A649" s="10">
        <f>IF($E649="","",INDEX('Input Transaksi'!$A:$A,$E649))</f>
        <v/>
      </c>
      <c r="B649" s="5">
        <f>IF($E649="","",INDEX('Input Transaksi'!$D:$D,$E649))</f>
        <v/>
      </c>
      <c r="C649">
        <f>IF($E649="","",INDEX('Input Transaksi'!$E:$E,$E649))</f>
        <v/>
      </c>
      <c r="D649" s="5">
        <f>IF($E649="","",INDEX('Input Transaksi'!$F:$F,$E649))</f>
        <v/>
      </c>
      <c r="E649">
        <f>IFERROR(AGGREGATE(15,6,ROW('Input Transaksi'!$B$5:$B$5000)/('Input Transaksi'!$B$5:$B$5000="DIY"),ROWS($E$5:E649)),"")</f>
        <v/>
      </c>
      <c r="F649" s="5" t="n"/>
    </row>
    <row r="650">
      <c r="A650" s="10">
        <f>IF($E650="","",INDEX('Input Transaksi'!$A:$A,$E650))</f>
        <v/>
      </c>
      <c r="B650" s="5">
        <f>IF($E650="","",INDEX('Input Transaksi'!$D:$D,$E650))</f>
        <v/>
      </c>
      <c r="C650">
        <f>IF($E650="","",INDEX('Input Transaksi'!$E:$E,$E650))</f>
        <v/>
      </c>
      <c r="D650" s="5">
        <f>IF($E650="","",INDEX('Input Transaksi'!$F:$F,$E650))</f>
        <v/>
      </c>
      <c r="E650">
        <f>IFERROR(AGGREGATE(15,6,ROW('Input Transaksi'!$B$5:$B$5000)/('Input Transaksi'!$B$5:$B$5000="DIY"),ROWS($E$5:E650)),"")</f>
        <v/>
      </c>
      <c r="F650" s="5" t="n"/>
    </row>
    <row r="651">
      <c r="A651" s="10">
        <f>IF($E651="","",INDEX('Input Transaksi'!$A:$A,$E651))</f>
        <v/>
      </c>
      <c r="B651" s="5">
        <f>IF($E651="","",INDEX('Input Transaksi'!$D:$D,$E651))</f>
        <v/>
      </c>
      <c r="C651">
        <f>IF($E651="","",INDEX('Input Transaksi'!$E:$E,$E651))</f>
        <v/>
      </c>
      <c r="D651" s="5">
        <f>IF($E651="","",INDEX('Input Transaksi'!$F:$F,$E651))</f>
        <v/>
      </c>
      <c r="E651">
        <f>IFERROR(AGGREGATE(15,6,ROW('Input Transaksi'!$B$5:$B$5000)/('Input Transaksi'!$B$5:$B$5000="DIY"),ROWS($E$5:E651)),"")</f>
        <v/>
      </c>
      <c r="F651" s="5" t="n"/>
    </row>
    <row r="652">
      <c r="A652" s="10">
        <f>IF($E652="","",INDEX('Input Transaksi'!$A:$A,$E652))</f>
        <v/>
      </c>
      <c r="B652" s="5">
        <f>IF($E652="","",INDEX('Input Transaksi'!$D:$D,$E652))</f>
        <v/>
      </c>
      <c r="C652">
        <f>IF($E652="","",INDEX('Input Transaksi'!$E:$E,$E652))</f>
        <v/>
      </c>
      <c r="D652" s="5">
        <f>IF($E652="","",INDEX('Input Transaksi'!$F:$F,$E652))</f>
        <v/>
      </c>
      <c r="E652">
        <f>IFERROR(AGGREGATE(15,6,ROW('Input Transaksi'!$B$5:$B$5000)/('Input Transaksi'!$B$5:$B$5000="DIY"),ROWS($E$5:E652)),"")</f>
        <v/>
      </c>
      <c r="F652" s="5" t="n"/>
    </row>
    <row r="653">
      <c r="A653" s="10">
        <f>IF($E653="","",INDEX('Input Transaksi'!$A:$A,$E653))</f>
        <v/>
      </c>
      <c r="B653" s="5">
        <f>IF($E653="","",INDEX('Input Transaksi'!$D:$D,$E653))</f>
        <v/>
      </c>
      <c r="C653">
        <f>IF($E653="","",INDEX('Input Transaksi'!$E:$E,$E653))</f>
        <v/>
      </c>
      <c r="D653" s="5">
        <f>IF($E653="","",INDEX('Input Transaksi'!$F:$F,$E653))</f>
        <v/>
      </c>
      <c r="E653">
        <f>IFERROR(AGGREGATE(15,6,ROW('Input Transaksi'!$B$5:$B$5000)/('Input Transaksi'!$B$5:$B$5000="DIY"),ROWS($E$5:E653)),"")</f>
        <v/>
      </c>
      <c r="F653" s="5" t="n"/>
    </row>
    <row r="654">
      <c r="A654" s="10">
        <f>IF($E654="","",INDEX('Input Transaksi'!$A:$A,$E654))</f>
        <v/>
      </c>
      <c r="B654" s="5">
        <f>IF($E654="","",INDEX('Input Transaksi'!$D:$D,$E654))</f>
        <v/>
      </c>
      <c r="C654">
        <f>IF($E654="","",INDEX('Input Transaksi'!$E:$E,$E654))</f>
        <v/>
      </c>
      <c r="D654" s="5">
        <f>IF($E654="","",INDEX('Input Transaksi'!$F:$F,$E654))</f>
        <v/>
      </c>
      <c r="E654">
        <f>IFERROR(AGGREGATE(15,6,ROW('Input Transaksi'!$B$5:$B$5000)/('Input Transaksi'!$B$5:$B$5000="DIY"),ROWS($E$5:E654)),"")</f>
        <v/>
      </c>
      <c r="F654" s="5" t="n"/>
    </row>
    <row r="655">
      <c r="A655" s="10">
        <f>IF($E655="","",INDEX('Input Transaksi'!$A:$A,$E655))</f>
        <v/>
      </c>
      <c r="B655" s="5">
        <f>IF($E655="","",INDEX('Input Transaksi'!$D:$D,$E655))</f>
        <v/>
      </c>
      <c r="C655">
        <f>IF($E655="","",INDEX('Input Transaksi'!$E:$E,$E655))</f>
        <v/>
      </c>
      <c r="D655" s="5">
        <f>IF($E655="","",INDEX('Input Transaksi'!$F:$F,$E655))</f>
        <v/>
      </c>
      <c r="E655">
        <f>IFERROR(AGGREGATE(15,6,ROW('Input Transaksi'!$B$5:$B$5000)/('Input Transaksi'!$B$5:$B$5000="DIY"),ROWS($E$5:E655)),"")</f>
        <v/>
      </c>
      <c r="F655" s="5" t="n"/>
    </row>
    <row r="656">
      <c r="A656" s="10">
        <f>IF($E656="","",INDEX('Input Transaksi'!$A:$A,$E656))</f>
        <v/>
      </c>
      <c r="B656" s="5">
        <f>IF($E656="","",INDEX('Input Transaksi'!$D:$D,$E656))</f>
        <v/>
      </c>
      <c r="C656">
        <f>IF($E656="","",INDEX('Input Transaksi'!$E:$E,$E656))</f>
        <v/>
      </c>
      <c r="D656" s="5">
        <f>IF($E656="","",INDEX('Input Transaksi'!$F:$F,$E656))</f>
        <v/>
      </c>
      <c r="E656">
        <f>IFERROR(AGGREGATE(15,6,ROW('Input Transaksi'!$B$5:$B$5000)/('Input Transaksi'!$B$5:$B$5000="DIY"),ROWS($E$5:E656)),"")</f>
        <v/>
      </c>
      <c r="F656" s="5" t="n"/>
    </row>
    <row r="657">
      <c r="A657" s="10">
        <f>IF($E657="","",INDEX('Input Transaksi'!$A:$A,$E657))</f>
        <v/>
      </c>
      <c r="B657" s="5">
        <f>IF($E657="","",INDEX('Input Transaksi'!$D:$D,$E657))</f>
        <v/>
      </c>
      <c r="C657">
        <f>IF($E657="","",INDEX('Input Transaksi'!$E:$E,$E657))</f>
        <v/>
      </c>
      <c r="D657" s="5">
        <f>IF($E657="","",INDEX('Input Transaksi'!$F:$F,$E657))</f>
        <v/>
      </c>
      <c r="E657">
        <f>IFERROR(AGGREGATE(15,6,ROW('Input Transaksi'!$B$5:$B$5000)/('Input Transaksi'!$B$5:$B$5000="DIY"),ROWS($E$5:E657)),"")</f>
        <v/>
      </c>
      <c r="F657" s="5" t="n"/>
    </row>
    <row r="658">
      <c r="A658" s="10">
        <f>IF($E658="","",INDEX('Input Transaksi'!$A:$A,$E658))</f>
        <v/>
      </c>
      <c r="B658" s="5">
        <f>IF($E658="","",INDEX('Input Transaksi'!$D:$D,$E658))</f>
        <v/>
      </c>
      <c r="C658">
        <f>IF($E658="","",INDEX('Input Transaksi'!$E:$E,$E658))</f>
        <v/>
      </c>
      <c r="D658" s="5">
        <f>IF($E658="","",INDEX('Input Transaksi'!$F:$F,$E658))</f>
        <v/>
      </c>
      <c r="E658">
        <f>IFERROR(AGGREGATE(15,6,ROW('Input Transaksi'!$B$5:$B$5000)/('Input Transaksi'!$B$5:$B$5000="DIY"),ROWS($E$5:E658)),"")</f>
        <v/>
      </c>
      <c r="F658" s="5" t="n"/>
    </row>
    <row r="659">
      <c r="A659" s="10">
        <f>IF($E659="","",INDEX('Input Transaksi'!$A:$A,$E659))</f>
        <v/>
      </c>
      <c r="B659" s="5">
        <f>IF($E659="","",INDEX('Input Transaksi'!$D:$D,$E659))</f>
        <v/>
      </c>
      <c r="C659">
        <f>IF($E659="","",INDEX('Input Transaksi'!$E:$E,$E659))</f>
        <v/>
      </c>
      <c r="D659" s="5">
        <f>IF($E659="","",INDEX('Input Transaksi'!$F:$F,$E659))</f>
        <v/>
      </c>
      <c r="E659">
        <f>IFERROR(AGGREGATE(15,6,ROW('Input Transaksi'!$B$5:$B$5000)/('Input Transaksi'!$B$5:$B$5000="DIY"),ROWS($E$5:E659)),"")</f>
        <v/>
      </c>
      <c r="F659" s="5" t="n"/>
    </row>
    <row r="660">
      <c r="A660" s="10">
        <f>IF($E660="","",INDEX('Input Transaksi'!$A:$A,$E660))</f>
        <v/>
      </c>
      <c r="B660" s="5">
        <f>IF($E660="","",INDEX('Input Transaksi'!$D:$D,$E660))</f>
        <v/>
      </c>
      <c r="C660">
        <f>IF($E660="","",INDEX('Input Transaksi'!$E:$E,$E660))</f>
        <v/>
      </c>
      <c r="D660" s="5">
        <f>IF($E660="","",INDEX('Input Transaksi'!$F:$F,$E660))</f>
        <v/>
      </c>
      <c r="E660">
        <f>IFERROR(AGGREGATE(15,6,ROW('Input Transaksi'!$B$5:$B$5000)/('Input Transaksi'!$B$5:$B$5000="DIY"),ROWS($E$5:E660)),"")</f>
        <v/>
      </c>
      <c r="F660" s="5" t="n"/>
    </row>
    <row r="661">
      <c r="A661" s="10">
        <f>IF($E661="","",INDEX('Input Transaksi'!$A:$A,$E661))</f>
        <v/>
      </c>
      <c r="B661" s="5">
        <f>IF($E661="","",INDEX('Input Transaksi'!$D:$D,$E661))</f>
        <v/>
      </c>
      <c r="C661">
        <f>IF($E661="","",INDEX('Input Transaksi'!$E:$E,$E661))</f>
        <v/>
      </c>
      <c r="D661" s="5">
        <f>IF($E661="","",INDEX('Input Transaksi'!$F:$F,$E661))</f>
        <v/>
      </c>
      <c r="E661">
        <f>IFERROR(AGGREGATE(15,6,ROW('Input Transaksi'!$B$5:$B$5000)/('Input Transaksi'!$B$5:$B$5000="DIY"),ROWS($E$5:E661)),"")</f>
        <v/>
      </c>
      <c r="F661" s="5" t="n"/>
    </row>
    <row r="662">
      <c r="A662" s="10">
        <f>IF($E662="","",INDEX('Input Transaksi'!$A:$A,$E662))</f>
        <v/>
      </c>
      <c r="B662" s="5">
        <f>IF($E662="","",INDEX('Input Transaksi'!$D:$D,$E662))</f>
        <v/>
      </c>
      <c r="C662">
        <f>IF($E662="","",INDEX('Input Transaksi'!$E:$E,$E662))</f>
        <v/>
      </c>
      <c r="D662" s="5">
        <f>IF($E662="","",INDEX('Input Transaksi'!$F:$F,$E662))</f>
        <v/>
      </c>
      <c r="E662">
        <f>IFERROR(AGGREGATE(15,6,ROW('Input Transaksi'!$B$5:$B$5000)/('Input Transaksi'!$B$5:$B$5000="DIY"),ROWS($E$5:E662)),"")</f>
        <v/>
      </c>
      <c r="F662" s="5" t="n"/>
    </row>
    <row r="663">
      <c r="A663" s="10">
        <f>IF($E663="","",INDEX('Input Transaksi'!$A:$A,$E663))</f>
        <v/>
      </c>
      <c r="B663" s="5">
        <f>IF($E663="","",INDEX('Input Transaksi'!$D:$D,$E663))</f>
        <v/>
      </c>
      <c r="C663">
        <f>IF($E663="","",INDEX('Input Transaksi'!$E:$E,$E663))</f>
        <v/>
      </c>
      <c r="D663" s="5">
        <f>IF($E663="","",INDEX('Input Transaksi'!$F:$F,$E663))</f>
        <v/>
      </c>
      <c r="E663">
        <f>IFERROR(AGGREGATE(15,6,ROW('Input Transaksi'!$B$5:$B$5000)/('Input Transaksi'!$B$5:$B$5000="DIY"),ROWS($E$5:E663)),"")</f>
        <v/>
      </c>
      <c r="F663" s="5" t="n"/>
    </row>
    <row r="664">
      <c r="A664" s="10">
        <f>IF($E664="","",INDEX('Input Transaksi'!$A:$A,$E664))</f>
        <v/>
      </c>
      <c r="B664" s="5">
        <f>IF($E664="","",INDEX('Input Transaksi'!$D:$D,$E664))</f>
        <v/>
      </c>
      <c r="C664">
        <f>IF($E664="","",INDEX('Input Transaksi'!$E:$E,$E664))</f>
        <v/>
      </c>
      <c r="D664" s="5">
        <f>IF($E664="","",INDEX('Input Transaksi'!$F:$F,$E664))</f>
        <v/>
      </c>
      <c r="E664">
        <f>IFERROR(AGGREGATE(15,6,ROW('Input Transaksi'!$B$5:$B$5000)/('Input Transaksi'!$B$5:$B$5000="DIY"),ROWS($E$5:E664)),"")</f>
        <v/>
      </c>
      <c r="F664" s="5" t="n"/>
    </row>
    <row r="665">
      <c r="A665" s="10">
        <f>IF($E665="","",INDEX('Input Transaksi'!$A:$A,$E665))</f>
        <v/>
      </c>
      <c r="B665" s="5">
        <f>IF($E665="","",INDEX('Input Transaksi'!$D:$D,$E665))</f>
        <v/>
      </c>
      <c r="C665">
        <f>IF($E665="","",INDEX('Input Transaksi'!$E:$E,$E665))</f>
        <v/>
      </c>
      <c r="D665" s="5">
        <f>IF($E665="","",INDEX('Input Transaksi'!$F:$F,$E665))</f>
        <v/>
      </c>
      <c r="E665">
        <f>IFERROR(AGGREGATE(15,6,ROW('Input Transaksi'!$B$5:$B$5000)/('Input Transaksi'!$B$5:$B$5000="DIY"),ROWS($E$5:E665)),"")</f>
        <v/>
      </c>
      <c r="F665" s="5" t="n"/>
    </row>
    <row r="666">
      <c r="A666" s="10">
        <f>IF($E666="","",INDEX('Input Transaksi'!$A:$A,$E666))</f>
        <v/>
      </c>
      <c r="B666" s="5">
        <f>IF($E666="","",INDEX('Input Transaksi'!$D:$D,$E666))</f>
        <v/>
      </c>
      <c r="C666">
        <f>IF($E666="","",INDEX('Input Transaksi'!$E:$E,$E666))</f>
        <v/>
      </c>
      <c r="D666" s="5">
        <f>IF($E666="","",INDEX('Input Transaksi'!$F:$F,$E666))</f>
        <v/>
      </c>
      <c r="E666">
        <f>IFERROR(AGGREGATE(15,6,ROW('Input Transaksi'!$B$5:$B$5000)/('Input Transaksi'!$B$5:$B$5000="DIY"),ROWS($E$5:E666)),"")</f>
        <v/>
      </c>
      <c r="F666" s="5" t="n"/>
    </row>
    <row r="667">
      <c r="A667" s="10">
        <f>IF($E667="","",INDEX('Input Transaksi'!$A:$A,$E667))</f>
        <v/>
      </c>
      <c r="B667" s="5">
        <f>IF($E667="","",INDEX('Input Transaksi'!$D:$D,$E667))</f>
        <v/>
      </c>
      <c r="C667">
        <f>IF($E667="","",INDEX('Input Transaksi'!$E:$E,$E667))</f>
        <v/>
      </c>
      <c r="D667" s="5">
        <f>IF($E667="","",INDEX('Input Transaksi'!$F:$F,$E667))</f>
        <v/>
      </c>
      <c r="E667">
        <f>IFERROR(AGGREGATE(15,6,ROW('Input Transaksi'!$B$5:$B$5000)/('Input Transaksi'!$B$5:$B$5000="DIY"),ROWS($E$5:E667)),"")</f>
        <v/>
      </c>
      <c r="F667" s="5" t="n"/>
    </row>
    <row r="668">
      <c r="A668" s="10">
        <f>IF($E668="","",INDEX('Input Transaksi'!$A:$A,$E668))</f>
        <v/>
      </c>
      <c r="B668" s="5">
        <f>IF($E668="","",INDEX('Input Transaksi'!$D:$D,$E668))</f>
        <v/>
      </c>
      <c r="C668">
        <f>IF($E668="","",INDEX('Input Transaksi'!$E:$E,$E668))</f>
        <v/>
      </c>
      <c r="D668" s="5">
        <f>IF($E668="","",INDEX('Input Transaksi'!$F:$F,$E668))</f>
        <v/>
      </c>
      <c r="E668">
        <f>IFERROR(AGGREGATE(15,6,ROW('Input Transaksi'!$B$5:$B$5000)/('Input Transaksi'!$B$5:$B$5000="DIY"),ROWS($E$5:E668)),"")</f>
        <v/>
      </c>
      <c r="F668" s="5" t="n"/>
    </row>
    <row r="669">
      <c r="A669" s="10">
        <f>IF($E669="","",INDEX('Input Transaksi'!$A:$A,$E669))</f>
        <v/>
      </c>
      <c r="B669" s="5">
        <f>IF($E669="","",INDEX('Input Transaksi'!$D:$D,$E669))</f>
        <v/>
      </c>
      <c r="C669">
        <f>IF($E669="","",INDEX('Input Transaksi'!$E:$E,$E669))</f>
        <v/>
      </c>
      <c r="D669" s="5">
        <f>IF($E669="","",INDEX('Input Transaksi'!$F:$F,$E669))</f>
        <v/>
      </c>
      <c r="E669">
        <f>IFERROR(AGGREGATE(15,6,ROW('Input Transaksi'!$B$5:$B$5000)/('Input Transaksi'!$B$5:$B$5000="DIY"),ROWS($E$5:E669)),"")</f>
        <v/>
      </c>
      <c r="F669" s="5" t="n"/>
    </row>
    <row r="670">
      <c r="A670" s="10">
        <f>IF($E670="","",INDEX('Input Transaksi'!$A:$A,$E670))</f>
        <v/>
      </c>
      <c r="B670" s="5">
        <f>IF($E670="","",INDEX('Input Transaksi'!$D:$D,$E670))</f>
        <v/>
      </c>
      <c r="C670">
        <f>IF($E670="","",INDEX('Input Transaksi'!$E:$E,$E670))</f>
        <v/>
      </c>
      <c r="D670" s="5">
        <f>IF($E670="","",INDEX('Input Transaksi'!$F:$F,$E670))</f>
        <v/>
      </c>
      <c r="E670">
        <f>IFERROR(AGGREGATE(15,6,ROW('Input Transaksi'!$B$5:$B$5000)/('Input Transaksi'!$B$5:$B$5000="DIY"),ROWS($E$5:E670)),"")</f>
        <v/>
      </c>
      <c r="F670" s="5" t="n"/>
    </row>
    <row r="671">
      <c r="A671" s="10">
        <f>IF($E671="","",INDEX('Input Transaksi'!$A:$A,$E671))</f>
        <v/>
      </c>
      <c r="B671" s="5">
        <f>IF($E671="","",INDEX('Input Transaksi'!$D:$D,$E671))</f>
        <v/>
      </c>
      <c r="C671">
        <f>IF($E671="","",INDEX('Input Transaksi'!$E:$E,$E671))</f>
        <v/>
      </c>
      <c r="D671" s="5">
        <f>IF($E671="","",INDEX('Input Transaksi'!$F:$F,$E671))</f>
        <v/>
      </c>
      <c r="E671">
        <f>IFERROR(AGGREGATE(15,6,ROW('Input Transaksi'!$B$5:$B$5000)/('Input Transaksi'!$B$5:$B$5000="DIY"),ROWS($E$5:E671)),"")</f>
        <v/>
      </c>
      <c r="F671" s="5" t="n"/>
    </row>
    <row r="672">
      <c r="A672" s="10">
        <f>IF($E672="","",INDEX('Input Transaksi'!$A:$A,$E672))</f>
        <v/>
      </c>
      <c r="B672" s="5">
        <f>IF($E672="","",INDEX('Input Transaksi'!$D:$D,$E672))</f>
        <v/>
      </c>
      <c r="C672">
        <f>IF($E672="","",INDEX('Input Transaksi'!$E:$E,$E672))</f>
        <v/>
      </c>
      <c r="D672" s="5">
        <f>IF($E672="","",INDEX('Input Transaksi'!$F:$F,$E672))</f>
        <v/>
      </c>
      <c r="E672">
        <f>IFERROR(AGGREGATE(15,6,ROW('Input Transaksi'!$B$5:$B$5000)/('Input Transaksi'!$B$5:$B$5000="DIY"),ROWS($E$5:E672)),"")</f>
        <v/>
      </c>
      <c r="F672" s="5" t="n"/>
    </row>
    <row r="673">
      <c r="A673" s="10">
        <f>IF($E673="","",INDEX('Input Transaksi'!$A:$A,$E673))</f>
        <v/>
      </c>
      <c r="B673" s="5">
        <f>IF($E673="","",INDEX('Input Transaksi'!$D:$D,$E673))</f>
        <v/>
      </c>
      <c r="C673">
        <f>IF($E673="","",INDEX('Input Transaksi'!$E:$E,$E673))</f>
        <v/>
      </c>
      <c r="D673" s="5">
        <f>IF($E673="","",INDEX('Input Transaksi'!$F:$F,$E673))</f>
        <v/>
      </c>
      <c r="E673">
        <f>IFERROR(AGGREGATE(15,6,ROW('Input Transaksi'!$B$5:$B$5000)/('Input Transaksi'!$B$5:$B$5000="DIY"),ROWS($E$5:E673)),"")</f>
        <v/>
      </c>
      <c r="F673" s="5" t="n"/>
    </row>
    <row r="674">
      <c r="A674" s="10">
        <f>IF($E674="","",INDEX('Input Transaksi'!$A:$A,$E674))</f>
        <v/>
      </c>
      <c r="B674" s="5">
        <f>IF($E674="","",INDEX('Input Transaksi'!$D:$D,$E674))</f>
        <v/>
      </c>
      <c r="C674">
        <f>IF($E674="","",INDEX('Input Transaksi'!$E:$E,$E674))</f>
        <v/>
      </c>
      <c r="D674" s="5">
        <f>IF($E674="","",INDEX('Input Transaksi'!$F:$F,$E674))</f>
        <v/>
      </c>
      <c r="E674">
        <f>IFERROR(AGGREGATE(15,6,ROW('Input Transaksi'!$B$5:$B$5000)/('Input Transaksi'!$B$5:$B$5000="DIY"),ROWS($E$5:E674)),"")</f>
        <v/>
      </c>
      <c r="F674" s="5" t="n"/>
    </row>
    <row r="675">
      <c r="A675" s="10">
        <f>IF($E675="","",INDEX('Input Transaksi'!$A:$A,$E675))</f>
        <v/>
      </c>
      <c r="B675" s="5">
        <f>IF($E675="","",INDEX('Input Transaksi'!$D:$D,$E675))</f>
        <v/>
      </c>
      <c r="C675">
        <f>IF($E675="","",INDEX('Input Transaksi'!$E:$E,$E675))</f>
        <v/>
      </c>
      <c r="D675" s="5">
        <f>IF($E675="","",INDEX('Input Transaksi'!$F:$F,$E675))</f>
        <v/>
      </c>
      <c r="E675">
        <f>IFERROR(AGGREGATE(15,6,ROW('Input Transaksi'!$B$5:$B$5000)/('Input Transaksi'!$B$5:$B$5000="DIY"),ROWS($E$5:E675)),"")</f>
        <v/>
      </c>
      <c r="F675" s="5" t="n"/>
    </row>
    <row r="676">
      <c r="A676" s="10">
        <f>IF($E676="","",INDEX('Input Transaksi'!$A:$A,$E676))</f>
        <v/>
      </c>
      <c r="B676" s="5">
        <f>IF($E676="","",INDEX('Input Transaksi'!$D:$D,$E676))</f>
        <v/>
      </c>
      <c r="C676">
        <f>IF($E676="","",INDEX('Input Transaksi'!$E:$E,$E676))</f>
        <v/>
      </c>
      <c r="D676" s="5">
        <f>IF($E676="","",INDEX('Input Transaksi'!$F:$F,$E676))</f>
        <v/>
      </c>
      <c r="E676">
        <f>IFERROR(AGGREGATE(15,6,ROW('Input Transaksi'!$B$5:$B$5000)/('Input Transaksi'!$B$5:$B$5000="DIY"),ROWS($E$5:E676)),"")</f>
        <v/>
      </c>
      <c r="F676" s="5" t="n"/>
    </row>
    <row r="677">
      <c r="A677" s="10">
        <f>IF($E677="","",INDEX('Input Transaksi'!$A:$A,$E677))</f>
        <v/>
      </c>
      <c r="B677" s="5">
        <f>IF($E677="","",INDEX('Input Transaksi'!$D:$D,$E677))</f>
        <v/>
      </c>
      <c r="C677">
        <f>IF($E677="","",INDEX('Input Transaksi'!$E:$E,$E677))</f>
        <v/>
      </c>
      <c r="D677" s="5">
        <f>IF($E677="","",INDEX('Input Transaksi'!$F:$F,$E677))</f>
        <v/>
      </c>
      <c r="E677">
        <f>IFERROR(AGGREGATE(15,6,ROW('Input Transaksi'!$B$5:$B$5000)/('Input Transaksi'!$B$5:$B$5000="DIY"),ROWS($E$5:E677)),"")</f>
        <v/>
      </c>
      <c r="F677" s="5" t="n"/>
    </row>
    <row r="678">
      <c r="A678" s="10">
        <f>IF($E678="","",INDEX('Input Transaksi'!$A:$A,$E678))</f>
        <v/>
      </c>
      <c r="B678" s="5">
        <f>IF($E678="","",INDEX('Input Transaksi'!$D:$D,$E678))</f>
        <v/>
      </c>
      <c r="C678">
        <f>IF($E678="","",INDEX('Input Transaksi'!$E:$E,$E678))</f>
        <v/>
      </c>
      <c r="D678" s="5">
        <f>IF($E678="","",INDEX('Input Transaksi'!$F:$F,$E678))</f>
        <v/>
      </c>
      <c r="E678">
        <f>IFERROR(AGGREGATE(15,6,ROW('Input Transaksi'!$B$5:$B$5000)/('Input Transaksi'!$B$5:$B$5000="DIY"),ROWS($E$5:E678)),"")</f>
        <v/>
      </c>
      <c r="F678" s="5" t="n"/>
    </row>
    <row r="679">
      <c r="A679" s="10">
        <f>IF($E679="","",INDEX('Input Transaksi'!$A:$A,$E679))</f>
        <v/>
      </c>
      <c r="B679" s="5">
        <f>IF($E679="","",INDEX('Input Transaksi'!$D:$D,$E679))</f>
        <v/>
      </c>
      <c r="C679">
        <f>IF($E679="","",INDEX('Input Transaksi'!$E:$E,$E679))</f>
        <v/>
      </c>
      <c r="D679" s="5">
        <f>IF($E679="","",INDEX('Input Transaksi'!$F:$F,$E679))</f>
        <v/>
      </c>
      <c r="E679">
        <f>IFERROR(AGGREGATE(15,6,ROW('Input Transaksi'!$B$5:$B$5000)/('Input Transaksi'!$B$5:$B$5000="DIY"),ROWS($E$5:E679)),"")</f>
        <v/>
      </c>
      <c r="F679" s="5" t="n"/>
    </row>
    <row r="680">
      <c r="A680" s="10">
        <f>IF($E680="","",INDEX('Input Transaksi'!$A:$A,$E680))</f>
        <v/>
      </c>
      <c r="B680" s="5">
        <f>IF($E680="","",INDEX('Input Transaksi'!$D:$D,$E680))</f>
        <v/>
      </c>
      <c r="C680">
        <f>IF($E680="","",INDEX('Input Transaksi'!$E:$E,$E680))</f>
        <v/>
      </c>
      <c r="D680" s="5">
        <f>IF($E680="","",INDEX('Input Transaksi'!$F:$F,$E680))</f>
        <v/>
      </c>
      <c r="E680">
        <f>IFERROR(AGGREGATE(15,6,ROW('Input Transaksi'!$B$5:$B$5000)/('Input Transaksi'!$B$5:$B$5000="DIY"),ROWS($E$5:E680)),"")</f>
        <v/>
      </c>
      <c r="F680" s="5" t="n"/>
    </row>
    <row r="681">
      <c r="A681" s="10">
        <f>IF($E681="","",INDEX('Input Transaksi'!$A:$A,$E681))</f>
        <v/>
      </c>
      <c r="B681" s="5">
        <f>IF($E681="","",INDEX('Input Transaksi'!$D:$D,$E681))</f>
        <v/>
      </c>
      <c r="C681">
        <f>IF($E681="","",INDEX('Input Transaksi'!$E:$E,$E681))</f>
        <v/>
      </c>
      <c r="D681" s="5">
        <f>IF($E681="","",INDEX('Input Transaksi'!$F:$F,$E681))</f>
        <v/>
      </c>
      <c r="E681">
        <f>IFERROR(AGGREGATE(15,6,ROW('Input Transaksi'!$B$5:$B$5000)/('Input Transaksi'!$B$5:$B$5000="DIY"),ROWS($E$5:E681)),"")</f>
        <v/>
      </c>
      <c r="F681" s="5" t="n"/>
    </row>
    <row r="682">
      <c r="A682" s="10">
        <f>IF($E682="","",INDEX('Input Transaksi'!$A:$A,$E682))</f>
        <v/>
      </c>
      <c r="B682" s="5">
        <f>IF($E682="","",INDEX('Input Transaksi'!$D:$D,$E682))</f>
        <v/>
      </c>
      <c r="C682">
        <f>IF($E682="","",INDEX('Input Transaksi'!$E:$E,$E682))</f>
        <v/>
      </c>
      <c r="D682" s="5">
        <f>IF($E682="","",INDEX('Input Transaksi'!$F:$F,$E682))</f>
        <v/>
      </c>
      <c r="E682">
        <f>IFERROR(AGGREGATE(15,6,ROW('Input Transaksi'!$B$5:$B$5000)/('Input Transaksi'!$B$5:$B$5000="DIY"),ROWS($E$5:E682)),"")</f>
        <v/>
      </c>
      <c r="F682" s="5" t="n"/>
    </row>
    <row r="683">
      <c r="A683" s="10">
        <f>IF($E683="","",INDEX('Input Transaksi'!$A:$A,$E683))</f>
        <v/>
      </c>
      <c r="B683" s="5">
        <f>IF($E683="","",INDEX('Input Transaksi'!$D:$D,$E683))</f>
        <v/>
      </c>
      <c r="C683">
        <f>IF($E683="","",INDEX('Input Transaksi'!$E:$E,$E683))</f>
        <v/>
      </c>
      <c r="D683" s="5">
        <f>IF($E683="","",INDEX('Input Transaksi'!$F:$F,$E683))</f>
        <v/>
      </c>
      <c r="E683">
        <f>IFERROR(AGGREGATE(15,6,ROW('Input Transaksi'!$B$5:$B$5000)/('Input Transaksi'!$B$5:$B$5000="DIY"),ROWS($E$5:E683)),"")</f>
        <v/>
      </c>
      <c r="F683" s="5" t="n"/>
    </row>
    <row r="684">
      <c r="A684" s="10">
        <f>IF($E684="","",INDEX('Input Transaksi'!$A:$A,$E684))</f>
        <v/>
      </c>
      <c r="B684" s="5">
        <f>IF($E684="","",INDEX('Input Transaksi'!$D:$D,$E684))</f>
        <v/>
      </c>
      <c r="C684">
        <f>IF($E684="","",INDEX('Input Transaksi'!$E:$E,$E684))</f>
        <v/>
      </c>
      <c r="D684" s="5">
        <f>IF($E684="","",INDEX('Input Transaksi'!$F:$F,$E684))</f>
        <v/>
      </c>
      <c r="E684">
        <f>IFERROR(AGGREGATE(15,6,ROW('Input Transaksi'!$B$5:$B$5000)/('Input Transaksi'!$B$5:$B$5000="DIY"),ROWS($E$5:E684)),"")</f>
        <v/>
      </c>
      <c r="F684" s="5" t="n"/>
    </row>
    <row r="685">
      <c r="A685" s="10">
        <f>IF($E685="","",INDEX('Input Transaksi'!$A:$A,$E685))</f>
        <v/>
      </c>
      <c r="B685" s="5">
        <f>IF($E685="","",INDEX('Input Transaksi'!$D:$D,$E685))</f>
        <v/>
      </c>
      <c r="C685">
        <f>IF($E685="","",INDEX('Input Transaksi'!$E:$E,$E685))</f>
        <v/>
      </c>
      <c r="D685" s="5">
        <f>IF($E685="","",INDEX('Input Transaksi'!$F:$F,$E685))</f>
        <v/>
      </c>
      <c r="E685">
        <f>IFERROR(AGGREGATE(15,6,ROW('Input Transaksi'!$B$5:$B$5000)/('Input Transaksi'!$B$5:$B$5000="DIY"),ROWS($E$5:E685)),"")</f>
        <v/>
      </c>
      <c r="F685" s="5" t="n"/>
    </row>
    <row r="686">
      <c r="A686" s="10">
        <f>IF($E686="","",INDEX('Input Transaksi'!$A:$A,$E686))</f>
        <v/>
      </c>
      <c r="B686" s="5">
        <f>IF($E686="","",INDEX('Input Transaksi'!$D:$D,$E686))</f>
        <v/>
      </c>
      <c r="C686">
        <f>IF($E686="","",INDEX('Input Transaksi'!$E:$E,$E686))</f>
        <v/>
      </c>
      <c r="D686" s="5">
        <f>IF($E686="","",INDEX('Input Transaksi'!$F:$F,$E686))</f>
        <v/>
      </c>
      <c r="E686">
        <f>IFERROR(AGGREGATE(15,6,ROW('Input Transaksi'!$B$5:$B$5000)/('Input Transaksi'!$B$5:$B$5000="DIY"),ROWS($E$5:E686)),"")</f>
        <v/>
      </c>
      <c r="F686" s="5" t="n"/>
    </row>
    <row r="687">
      <c r="A687" s="10">
        <f>IF($E687="","",INDEX('Input Transaksi'!$A:$A,$E687))</f>
        <v/>
      </c>
      <c r="B687" s="5">
        <f>IF($E687="","",INDEX('Input Transaksi'!$D:$D,$E687))</f>
        <v/>
      </c>
      <c r="C687">
        <f>IF($E687="","",INDEX('Input Transaksi'!$E:$E,$E687))</f>
        <v/>
      </c>
      <c r="D687" s="5">
        <f>IF($E687="","",INDEX('Input Transaksi'!$F:$F,$E687))</f>
        <v/>
      </c>
      <c r="E687">
        <f>IFERROR(AGGREGATE(15,6,ROW('Input Transaksi'!$B$5:$B$5000)/('Input Transaksi'!$B$5:$B$5000="DIY"),ROWS($E$5:E687)),"")</f>
        <v/>
      </c>
      <c r="F687" s="5" t="n"/>
    </row>
    <row r="688">
      <c r="A688" s="10">
        <f>IF($E688="","",INDEX('Input Transaksi'!$A:$A,$E688))</f>
        <v/>
      </c>
      <c r="B688" s="5">
        <f>IF($E688="","",INDEX('Input Transaksi'!$D:$D,$E688))</f>
        <v/>
      </c>
      <c r="C688">
        <f>IF($E688="","",INDEX('Input Transaksi'!$E:$E,$E688))</f>
        <v/>
      </c>
      <c r="D688" s="5">
        <f>IF($E688="","",INDEX('Input Transaksi'!$F:$F,$E688))</f>
        <v/>
      </c>
      <c r="E688">
        <f>IFERROR(AGGREGATE(15,6,ROW('Input Transaksi'!$B$5:$B$5000)/('Input Transaksi'!$B$5:$B$5000="DIY"),ROWS($E$5:E688)),"")</f>
        <v/>
      </c>
      <c r="F688" s="5" t="n"/>
    </row>
    <row r="689">
      <c r="A689" s="10">
        <f>IF($E689="","",INDEX('Input Transaksi'!$A:$A,$E689))</f>
        <v/>
      </c>
      <c r="B689" s="5">
        <f>IF($E689="","",INDEX('Input Transaksi'!$D:$D,$E689))</f>
        <v/>
      </c>
      <c r="C689">
        <f>IF($E689="","",INDEX('Input Transaksi'!$E:$E,$E689))</f>
        <v/>
      </c>
      <c r="D689" s="5">
        <f>IF($E689="","",INDEX('Input Transaksi'!$F:$F,$E689))</f>
        <v/>
      </c>
      <c r="E689">
        <f>IFERROR(AGGREGATE(15,6,ROW('Input Transaksi'!$B$5:$B$5000)/('Input Transaksi'!$B$5:$B$5000="DIY"),ROWS($E$5:E689)),"")</f>
        <v/>
      </c>
      <c r="F689" s="5" t="n"/>
    </row>
    <row r="690">
      <c r="A690" s="10">
        <f>IF($E690="","",INDEX('Input Transaksi'!$A:$A,$E690))</f>
        <v/>
      </c>
      <c r="B690" s="5">
        <f>IF($E690="","",INDEX('Input Transaksi'!$D:$D,$E690))</f>
        <v/>
      </c>
      <c r="C690">
        <f>IF($E690="","",INDEX('Input Transaksi'!$E:$E,$E690))</f>
        <v/>
      </c>
      <c r="D690" s="5">
        <f>IF($E690="","",INDEX('Input Transaksi'!$F:$F,$E690))</f>
        <v/>
      </c>
      <c r="E690">
        <f>IFERROR(AGGREGATE(15,6,ROW('Input Transaksi'!$B$5:$B$5000)/('Input Transaksi'!$B$5:$B$5000="DIY"),ROWS($E$5:E690)),"")</f>
        <v/>
      </c>
      <c r="F690" s="5" t="n"/>
    </row>
    <row r="691">
      <c r="A691" s="10">
        <f>IF($E691="","",INDEX('Input Transaksi'!$A:$A,$E691))</f>
        <v/>
      </c>
      <c r="B691" s="5">
        <f>IF($E691="","",INDEX('Input Transaksi'!$D:$D,$E691))</f>
        <v/>
      </c>
      <c r="C691">
        <f>IF($E691="","",INDEX('Input Transaksi'!$E:$E,$E691))</f>
        <v/>
      </c>
      <c r="D691" s="5">
        <f>IF($E691="","",INDEX('Input Transaksi'!$F:$F,$E691))</f>
        <v/>
      </c>
      <c r="E691">
        <f>IFERROR(AGGREGATE(15,6,ROW('Input Transaksi'!$B$5:$B$5000)/('Input Transaksi'!$B$5:$B$5000="DIY"),ROWS($E$5:E691)),"")</f>
        <v/>
      </c>
      <c r="F691" s="5" t="n"/>
    </row>
    <row r="692">
      <c r="A692" s="10">
        <f>IF($E692="","",INDEX('Input Transaksi'!$A:$A,$E692))</f>
        <v/>
      </c>
      <c r="B692" s="5">
        <f>IF($E692="","",INDEX('Input Transaksi'!$D:$D,$E692))</f>
        <v/>
      </c>
      <c r="C692">
        <f>IF($E692="","",INDEX('Input Transaksi'!$E:$E,$E692))</f>
        <v/>
      </c>
      <c r="D692" s="5">
        <f>IF($E692="","",INDEX('Input Transaksi'!$F:$F,$E692))</f>
        <v/>
      </c>
      <c r="E692">
        <f>IFERROR(AGGREGATE(15,6,ROW('Input Transaksi'!$B$5:$B$5000)/('Input Transaksi'!$B$5:$B$5000="DIY"),ROWS($E$5:E692)),"")</f>
        <v/>
      </c>
      <c r="F692" s="5" t="n"/>
    </row>
    <row r="693">
      <c r="A693" s="10">
        <f>IF($E693="","",INDEX('Input Transaksi'!$A:$A,$E693))</f>
        <v/>
      </c>
      <c r="B693" s="5">
        <f>IF($E693="","",INDEX('Input Transaksi'!$D:$D,$E693))</f>
        <v/>
      </c>
      <c r="C693">
        <f>IF($E693="","",INDEX('Input Transaksi'!$E:$E,$E693))</f>
        <v/>
      </c>
      <c r="D693" s="5">
        <f>IF($E693="","",INDEX('Input Transaksi'!$F:$F,$E693))</f>
        <v/>
      </c>
      <c r="E693">
        <f>IFERROR(AGGREGATE(15,6,ROW('Input Transaksi'!$B$5:$B$5000)/('Input Transaksi'!$B$5:$B$5000="DIY"),ROWS($E$5:E693)),"")</f>
        <v/>
      </c>
      <c r="F693" s="5" t="n"/>
    </row>
    <row r="694">
      <c r="A694" s="10">
        <f>IF($E694="","",INDEX('Input Transaksi'!$A:$A,$E694))</f>
        <v/>
      </c>
      <c r="B694" s="5">
        <f>IF($E694="","",INDEX('Input Transaksi'!$D:$D,$E694))</f>
        <v/>
      </c>
      <c r="C694">
        <f>IF($E694="","",INDEX('Input Transaksi'!$E:$E,$E694))</f>
        <v/>
      </c>
      <c r="D694" s="5">
        <f>IF($E694="","",INDEX('Input Transaksi'!$F:$F,$E694))</f>
        <v/>
      </c>
      <c r="E694">
        <f>IFERROR(AGGREGATE(15,6,ROW('Input Transaksi'!$B$5:$B$5000)/('Input Transaksi'!$B$5:$B$5000="DIY"),ROWS($E$5:E694)),"")</f>
        <v/>
      </c>
      <c r="F694" s="5" t="n"/>
    </row>
    <row r="695">
      <c r="A695" s="10">
        <f>IF($E695="","",INDEX('Input Transaksi'!$A:$A,$E695))</f>
        <v/>
      </c>
      <c r="B695" s="5">
        <f>IF($E695="","",INDEX('Input Transaksi'!$D:$D,$E695))</f>
        <v/>
      </c>
      <c r="C695">
        <f>IF($E695="","",INDEX('Input Transaksi'!$E:$E,$E695))</f>
        <v/>
      </c>
      <c r="D695" s="5">
        <f>IF($E695="","",INDEX('Input Transaksi'!$F:$F,$E695))</f>
        <v/>
      </c>
      <c r="E695">
        <f>IFERROR(AGGREGATE(15,6,ROW('Input Transaksi'!$B$5:$B$5000)/('Input Transaksi'!$B$5:$B$5000="DIY"),ROWS($E$5:E695)),"")</f>
        <v/>
      </c>
      <c r="F695" s="5" t="n"/>
    </row>
    <row r="696">
      <c r="A696" s="10">
        <f>IF($E696="","",INDEX('Input Transaksi'!$A:$A,$E696))</f>
        <v/>
      </c>
      <c r="B696" s="5">
        <f>IF($E696="","",INDEX('Input Transaksi'!$D:$D,$E696))</f>
        <v/>
      </c>
      <c r="C696">
        <f>IF($E696="","",INDEX('Input Transaksi'!$E:$E,$E696))</f>
        <v/>
      </c>
      <c r="D696" s="5">
        <f>IF($E696="","",INDEX('Input Transaksi'!$F:$F,$E696))</f>
        <v/>
      </c>
      <c r="E696">
        <f>IFERROR(AGGREGATE(15,6,ROW('Input Transaksi'!$B$5:$B$5000)/('Input Transaksi'!$B$5:$B$5000="DIY"),ROWS($E$5:E696)),"")</f>
        <v/>
      </c>
      <c r="F696" s="5" t="n"/>
    </row>
    <row r="697">
      <c r="A697" s="10">
        <f>IF($E697="","",INDEX('Input Transaksi'!$A:$A,$E697))</f>
        <v/>
      </c>
      <c r="B697" s="5">
        <f>IF($E697="","",INDEX('Input Transaksi'!$D:$D,$E697))</f>
        <v/>
      </c>
      <c r="C697">
        <f>IF($E697="","",INDEX('Input Transaksi'!$E:$E,$E697))</f>
        <v/>
      </c>
      <c r="D697" s="5">
        <f>IF($E697="","",INDEX('Input Transaksi'!$F:$F,$E697))</f>
        <v/>
      </c>
      <c r="E697">
        <f>IFERROR(AGGREGATE(15,6,ROW('Input Transaksi'!$B$5:$B$5000)/('Input Transaksi'!$B$5:$B$5000="DIY"),ROWS($E$5:E697)),"")</f>
        <v/>
      </c>
      <c r="F697" s="5" t="n"/>
    </row>
    <row r="698">
      <c r="A698" s="10">
        <f>IF($E698="","",INDEX('Input Transaksi'!$A:$A,$E698))</f>
        <v/>
      </c>
      <c r="B698" s="5">
        <f>IF($E698="","",INDEX('Input Transaksi'!$D:$D,$E698))</f>
        <v/>
      </c>
      <c r="C698">
        <f>IF($E698="","",INDEX('Input Transaksi'!$E:$E,$E698))</f>
        <v/>
      </c>
      <c r="D698" s="5">
        <f>IF($E698="","",INDEX('Input Transaksi'!$F:$F,$E698))</f>
        <v/>
      </c>
      <c r="E698">
        <f>IFERROR(AGGREGATE(15,6,ROW('Input Transaksi'!$B$5:$B$5000)/('Input Transaksi'!$B$5:$B$5000="DIY"),ROWS($E$5:E698)),"")</f>
        <v/>
      </c>
      <c r="F698" s="5" t="n"/>
    </row>
    <row r="699">
      <c r="A699" s="10">
        <f>IF($E699="","",INDEX('Input Transaksi'!$A:$A,$E699))</f>
        <v/>
      </c>
      <c r="B699" s="5">
        <f>IF($E699="","",INDEX('Input Transaksi'!$D:$D,$E699))</f>
        <v/>
      </c>
      <c r="C699">
        <f>IF($E699="","",INDEX('Input Transaksi'!$E:$E,$E699))</f>
        <v/>
      </c>
      <c r="D699" s="5">
        <f>IF($E699="","",INDEX('Input Transaksi'!$F:$F,$E699))</f>
        <v/>
      </c>
      <c r="E699">
        <f>IFERROR(AGGREGATE(15,6,ROW('Input Transaksi'!$B$5:$B$5000)/('Input Transaksi'!$B$5:$B$5000="DIY"),ROWS($E$5:E699)),"")</f>
        <v/>
      </c>
      <c r="F699" s="5" t="n"/>
    </row>
    <row r="700">
      <c r="A700" s="10">
        <f>IF($E700="","",INDEX('Input Transaksi'!$A:$A,$E700))</f>
        <v/>
      </c>
      <c r="B700" s="5">
        <f>IF($E700="","",INDEX('Input Transaksi'!$D:$D,$E700))</f>
        <v/>
      </c>
      <c r="C700">
        <f>IF($E700="","",INDEX('Input Transaksi'!$E:$E,$E700))</f>
        <v/>
      </c>
      <c r="D700" s="5">
        <f>IF($E700="","",INDEX('Input Transaksi'!$F:$F,$E700))</f>
        <v/>
      </c>
      <c r="E700">
        <f>IFERROR(AGGREGATE(15,6,ROW('Input Transaksi'!$B$5:$B$5000)/('Input Transaksi'!$B$5:$B$5000="DIY"),ROWS($E$5:E700)),"")</f>
        <v/>
      </c>
      <c r="F700" s="5" t="n"/>
    </row>
    <row r="701">
      <c r="A701" s="10">
        <f>IF($E701="","",INDEX('Input Transaksi'!$A:$A,$E701))</f>
        <v/>
      </c>
      <c r="B701" s="5">
        <f>IF($E701="","",INDEX('Input Transaksi'!$D:$D,$E701))</f>
        <v/>
      </c>
      <c r="C701">
        <f>IF($E701="","",INDEX('Input Transaksi'!$E:$E,$E701))</f>
        <v/>
      </c>
      <c r="D701" s="5">
        <f>IF($E701="","",INDEX('Input Transaksi'!$F:$F,$E701))</f>
        <v/>
      </c>
      <c r="E701">
        <f>IFERROR(AGGREGATE(15,6,ROW('Input Transaksi'!$B$5:$B$5000)/('Input Transaksi'!$B$5:$B$5000="DIY"),ROWS($E$5:E701)),"")</f>
        <v/>
      </c>
      <c r="F701" s="5" t="n"/>
    </row>
    <row r="702">
      <c r="A702" s="10">
        <f>IF($E702="","",INDEX('Input Transaksi'!$A:$A,$E702))</f>
        <v/>
      </c>
      <c r="B702" s="5">
        <f>IF($E702="","",INDEX('Input Transaksi'!$D:$D,$E702))</f>
        <v/>
      </c>
      <c r="C702">
        <f>IF($E702="","",INDEX('Input Transaksi'!$E:$E,$E702))</f>
        <v/>
      </c>
      <c r="D702" s="5">
        <f>IF($E702="","",INDEX('Input Transaksi'!$F:$F,$E702))</f>
        <v/>
      </c>
      <c r="E702">
        <f>IFERROR(AGGREGATE(15,6,ROW('Input Transaksi'!$B$5:$B$5000)/('Input Transaksi'!$B$5:$B$5000="DIY"),ROWS($E$5:E702)),"")</f>
        <v/>
      </c>
      <c r="F702" s="5" t="n"/>
    </row>
    <row r="703">
      <c r="A703" s="10">
        <f>IF($E703="","",INDEX('Input Transaksi'!$A:$A,$E703))</f>
        <v/>
      </c>
      <c r="B703" s="5">
        <f>IF($E703="","",INDEX('Input Transaksi'!$D:$D,$E703))</f>
        <v/>
      </c>
      <c r="C703">
        <f>IF($E703="","",INDEX('Input Transaksi'!$E:$E,$E703))</f>
        <v/>
      </c>
      <c r="D703" s="5">
        <f>IF($E703="","",INDEX('Input Transaksi'!$F:$F,$E703))</f>
        <v/>
      </c>
      <c r="E703">
        <f>IFERROR(AGGREGATE(15,6,ROW('Input Transaksi'!$B$5:$B$5000)/('Input Transaksi'!$B$5:$B$5000="DIY"),ROWS($E$5:E703)),"")</f>
        <v/>
      </c>
      <c r="F703" s="5" t="n"/>
    </row>
    <row r="704">
      <c r="A704" s="10">
        <f>IF($E704="","",INDEX('Input Transaksi'!$A:$A,$E704))</f>
        <v/>
      </c>
      <c r="B704" s="5">
        <f>IF($E704="","",INDEX('Input Transaksi'!$D:$D,$E704))</f>
        <v/>
      </c>
      <c r="C704">
        <f>IF($E704="","",INDEX('Input Transaksi'!$E:$E,$E704))</f>
        <v/>
      </c>
      <c r="D704" s="5">
        <f>IF($E704="","",INDEX('Input Transaksi'!$F:$F,$E704))</f>
        <v/>
      </c>
      <c r="E704">
        <f>IFERROR(AGGREGATE(15,6,ROW('Input Transaksi'!$B$5:$B$5000)/('Input Transaksi'!$B$5:$B$5000="DIY"),ROWS($E$5:E704)),"")</f>
        <v/>
      </c>
      <c r="F704" s="5" t="n"/>
    </row>
    <row r="705">
      <c r="A705" s="10">
        <f>IF($E705="","",INDEX('Input Transaksi'!$A:$A,$E705))</f>
        <v/>
      </c>
      <c r="B705" s="5">
        <f>IF($E705="","",INDEX('Input Transaksi'!$D:$D,$E705))</f>
        <v/>
      </c>
      <c r="C705">
        <f>IF($E705="","",INDEX('Input Transaksi'!$E:$E,$E705))</f>
        <v/>
      </c>
      <c r="D705" s="5">
        <f>IF($E705="","",INDEX('Input Transaksi'!$F:$F,$E705))</f>
        <v/>
      </c>
      <c r="E705">
        <f>IFERROR(AGGREGATE(15,6,ROW('Input Transaksi'!$B$5:$B$5000)/('Input Transaksi'!$B$5:$B$5000="DIY"),ROWS($E$5:E705)),"")</f>
        <v/>
      </c>
      <c r="F705" s="5" t="n"/>
    </row>
    <row r="706">
      <c r="A706" s="10">
        <f>IF($E706="","",INDEX('Input Transaksi'!$A:$A,$E706))</f>
        <v/>
      </c>
      <c r="B706" s="5">
        <f>IF($E706="","",INDEX('Input Transaksi'!$D:$D,$E706))</f>
        <v/>
      </c>
      <c r="C706">
        <f>IF($E706="","",INDEX('Input Transaksi'!$E:$E,$E706))</f>
        <v/>
      </c>
      <c r="D706" s="5">
        <f>IF($E706="","",INDEX('Input Transaksi'!$F:$F,$E706))</f>
        <v/>
      </c>
      <c r="E706">
        <f>IFERROR(AGGREGATE(15,6,ROW('Input Transaksi'!$B$5:$B$5000)/('Input Transaksi'!$B$5:$B$5000="DIY"),ROWS($E$5:E706)),"")</f>
        <v/>
      </c>
      <c r="F706" s="5" t="n"/>
    </row>
    <row r="707">
      <c r="A707" s="10">
        <f>IF($E707="","",INDEX('Input Transaksi'!$A:$A,$E707))</f>
        <v/>
      </c>
      <c r="B707" s="5">
        <f>IF($E707="","",INDEX('Input Transaksi'!$D:$D,$E707))</f>
        <v/>
      </c>
      <c r="C707">
        <f>IF($E707="","",INDEX('Input Transaksi'!$E:$E,$E707))</f>
        <v/>
      </c>
      <c r="D707" s="5">
        <f>IF($E707="","",INDEX('Input Transaksi'!$F:$F,$E707))</f>
        <v/>
      </c>
      <c r="E707">
        <f>IFERROR(AGGREGATE(15,6,ROW('Input Transaksi'!$B$5:$B$5000)/('Input Transaksi'!$B$5:$B$5000="DIY"),ROWS($E$5:E707)),"")</f>
        <v/>
      </c>
      <c r="F707" s="5" t="n"/>
    </row>
    <row r="708">
      <c r="A708" s="10">
        <f>IF($E708="","",INDEX('Input Transaksi'!$A:$A,$E708))</f>
        <v/>
      </c>
      <c r="B708" s="5">
        <f>IF($E708="","",INDEX('Input Transaksi'!$D:$D,$E708))</f>
        <v/>
      </c>
      <c r="C708">
        <f>IF($E708="","",INDEX('Input Transaksi'!$E:$E,$E708))</f>
        <v/>
      </c>
      <c r="D708" s="5">
        <f>IF($E708="","",INDEX('Input Transaksi'!$F:$F,$E708))</f>
        <v/>
      </c>
      <c r="E708">
        <f>IFERROR(AGGREGATE(15,6,ROW('Input Transaksi'!$B$5:$B$5000)/('Input Transaksi'!$B$5:$B$5000="DIY"),ROWS($E$5:E708)),"")</f>
        <v/>
      </c>
      <c r="F708" s="5" t="n"/>
    </row>
    <row r="709">
      <c r="A709" s="10">
        <f>IF($E709="","",INDEX('Input Transaksi'!$A:$A,$E709))</f>
        <v/>
      </c>
      <c r="B709" s="5">
        <f>IF($E709="","",INDEX('Input Transaksi'!$D:$D,$E709))</f>
        <v/>
      </c>
      <c r="C709">
        <f>IF($E709="","",INDEX('Input Transaksi'!$E:$E,$E709))</f>
        <v/>
      </c>
      <c r="D709" s="5">
        <f>IF($E709="","",INDEX('Input Transaksi'!$F:$F,$E709))</f>
        <v/>
      </c>
      <c r="E709">
        <f>IFERROR(AGGREGATE(15,6,ROW('Input Transaksi'!$B$5:$B$5000)/('Input Transaksi'!$B$5:$B$5000="DIY"),ROWS($E$5:E709)),"")</f>
        <v/>
      </c>
      <c r="F709" s="5" t="n"/>
    </row>
    <row r="710">
      <c r="A710" s="10">
        <f>IF($E710="","",INDEX('Input Transaksi'!$A:$A,$E710))</f>
        <v/>
      </c>
      <c r="B710" s="5">
        <f>IF($E710="","",INDEX('Input Transaksi'!$D:$D,$E710))</f>
        <v/>
      </c>
      <c r="C710">
        <f>IF($E710="","",INDEX('Input Transaksi'!$E:$E,$E710))</f>
        <v/>
      </c>
      <c r="D710" s="5">
        <f>IF($E710="","",INDEX('Input Transaksi'!$F:$F,$E710))</f>
        <v/>
      </c>
      <c r="E710">
        <f>IFERROR(AGGREGATE(15,6,ROW('Input Transaksi'!$B$5:$B$5000)/('Input Transaksi'!$B$5:$B$5000="DIY"),ROWS($E$5:E710)),"")</f>
        <v/>
      </c>
      <c r="F710" s="5" t="n"/>
    </row>
    <row r="711">
      <c r="A711" s="10">
        <f>IF($E711="","",INDEX('Input Transaksi'!$A:$A,$E711))</f>
        <v/>
      </c>
      <c r="B711" s="5">
        <f>IF($E711="","",INDEX('Input Transaksi'!$D:$D,$E711))</f>
        <v/>
      </c>
      <c r="C711">
        <f>IF($E711="","",INDEX('Input Transaksi'!$E:$E,$E711))</f>
        <v/>
      </c>
      <c r="D711" s="5">
        <f>IF($E711="","",INDEX('Input Transaksi'!$F:$F,$E711))</f>
        <v/>
      </c>
      <c r="E711">
        <f>IFERROR(AGGREGATE(15,6,ROW('Input Transaksi'!$B$5:$B$5000)/('Input Transaksi'!$B$5:$B$5000="DIY"),ROWS($E$5:E711)),"")</f>
        <v/>
      </c>
      <c r="F711" s="5" t="n"/>
    </row>
    <row r="712">
      <c r="A712" s="10">
        <f>IF($E712="","",INDEX('Input Transaksi'!$A:$A,$E712))</f>
        <v/>
      </c>
      <c r="B712" s="5">
        <f>IF($E712="","",INDEX('Input Transaksi'!$D:$D,$E712))</f>
        <v/>
      </c>
      <c r="C712">
        <f>IF($E712="","",INDEX('Input Transaksi'!$E:$E,$E712))</f>
        <v/>
      </c>
      <c r="D712" s="5">
        <f>IF($E712="","",INDEX('Input Transaksi'!$F:$F,$E712))</f>
        <v/>
      </c>
      <c r="E712">
        <f>IFERROR(AGGREGATE(15,6,ROW('Input Transaksi'!$B$5:$B$5000)/('Input Transaksi'!$B$5:$B$5000="DIY"),ROWS($E$5:E712)),"")</f>
        <v/>
      </c>
      <c r="F712" s="5" t="n"/>
    </row>
    <row r="713">
      <c r="A713" s="10">
        <f>IF($E713="","",INDEX('Input Transaksi'!$A:$A,$E713))</f>
        <v/>
      </c>
      <c r="B713" s="5">
        <f>IF($E713="","",INDEX('Input Transaksi'!$D:$D,$E713))</f>
        <v/>
      </c>
      <c r="C713">
        <f>IF($E713="","",INDEX('Input Transaksi'!$E:$E,$E713))</f>
        <v/>
      </c>
      <c r="D713" s="5">
        <f>IF($E713="","",INDEX('Input Transaksi'!$F:$F,$E713))</f>
        <v/>
      </c>
      <c r="E713">
        <f>IFERROR(AGGREGATE(15,6,ROW('Input Transaksi'!$B$5:$B$5000)/('Input Transaksi'!$B$5:$B$5000="DIY"),ROWS($E$5:E713)),"")</f>
        <v/>
      </c>
      <c r="F713" s="5" t="n"/>
    </row>
    <row r="714">
      <c r="A714" s="10">
        <f>IF($E714="","",INDEX('Input Transaksi'!$A:$A,$E714))</f>
        <v/>
      </c>
      <c r="B714" s="5">
        <f>IF($E714="","",INDEX('Input Transaksi'!$D:$D,$E714))</f>
        <v/>
      </c>
      <c r="C714">
        <f>IF($E714="","",INDEX('Input Transaksi'!$E:$E,$E714))</f>
        <v/>
      </c>
      <c r="D714" s="5">
        <f>IF($E714="","",INDEX('Input Transaksi'!$F:$F,$E714))</f>
        <v/>
      </c>
      <c r="E714">
        <f>IFERROR(AGGREGATE(15,6,ROW('Input Transaksi'!$B$5:$B$5000)/('Input Transaksi'!$B$5:$B$5000="DIY"),ROWS($E$5:E714)),"")</f>
        <v/>
      </c>
      <c r="F714" s="5" t="n"/>
    </row>
    <row r="715">
      <c r="A715" s="10">
        <f>IF($E715="","",INDEX('Input Transaksi'!$A:$A,$E715))</f>
        <v/>
      </c>
      <c r="B715" s="5">
        <f>IF($E715="","",INDEX('Input Transaksi'!$D:$D,$E715))</f>
        <v/>
      </c>
      <c r="C715">
        <f>IF($E715="","",INDEX('Input Transaksi'!$E:$E,$E715))</f>
        <v/>
      </c>
      <c r="D715" s="5">
        <f>IF($E715="","",INDEX('Input Transaksi'!$F:$F,$E715))</f>
        <v/>
      </c>
      <c r="E715">
        <f>IFERROR(AGGREGATE(15,6,ROW('Input Transaksi'!$B$5:$B$5000)/('Input Transaksi'!$B$5:$B$5000="DIY"),ROWS($E$5:E715)),"")</f>
        <v/>
      </c>
      <c r="F715" s="5" t="n"/>
    </row>
    <row r="716">
      <c r="A716" s="10">
        <f>IF($E716="","",INDEX('Input Transaksi'!$A:$A,$E716))</f>
        <v/>
      </c>
      <c r="B716" s="5">
        <f>IF($E716="","",INDEX('Input Transaksi'!$D:$D,$E716))</f>
        <v/>
      </c>
      <c r="C716">
        <f>IF($E716="","",INDEX('Input Transaksi'!$E:$E,$E716))</f>
        <v/>
      </c>
      <c r="D716" s="5">
        <f>IF($E716="","",INDEX('Input Transaksi'!$F:$F,$E716))</f>
        <v/>
      </c>
      <c r="E716">
        <f>IFERROR(AGGREGATE(15,6,ROW('Input Transaksi'!$B$5:$B$5000)/('Input Transaksi'!$B$5:$B$5000="DIY"),ROWS($E$5:E716)),"")</f>
        <v/>
      </c>
      <c r="F716" s="5" t="n"/>
    </row>
    <row r="717">
      <c r="A717" s="10">
        <f>IF($E717="","",INDEX('Input Transaksi'!$A:$A,$E717))</f>
        <v/>
      </c>
      <c r="B717" s="5">
        <f>IF($E717="","",INDEX('Input Transaksi'!$D:$D,$E717))</f>
        <v/>
      </c>
      <c r="C717">
        <f>IF($E717="","",INDEX('Input Transaksi'!$E:$E,$E717))</f>
        <v/>
      </c>
      <c r="D717" s="5">
        <f>IF($E717="","",INDEX('Input Transaksi'!$F:$F,$E717))</f>
        <v/>
      </c>
      <c r="E717">
        <f>IFERROR(AGGREGATE(15,6,ROW('Input Transaksi'!$B$5:$B$5000)/('Input Transaksi'!$B$5:$B$5000="DIY"),ROWS($E$5:E717)),"")</f>
        <v/>
      </c>
      <c r="F717" s="5" t="n"/>
    </row>
    <row r="718">
      <c r="A718" s="10">
        <f>IF($E718="","",INDEX('Input Transaksi'!$A:$A,$E718))</f>
        <v/>
      </c>
      <c r="B718" s="5">
        <f>IF($E718="","",INDEX('Input Transaksi'!$D:$D,$E718))</f>
        <v/>
      </c>
      <c r="C718">
        <f>IF($E718="","",INDEX('Input Transaksi'!$E:$E,$E718))</f>
        <v/>
      </c>
      <c r="D718" s="5">
        <f>IF($E718="","",INDEX('Input Transaksi'!$F:$F,$E718))</f>
        <v/>
      </c>
      <c r="E718">
        <f>IFERROR(AGGREGATE(15,6,ROW('Input Transaksi'!$B$5:$B$5000)/('Input Transaksi'!$B$5:$B$5000="DIY"),ROWS($E$5:E718)),"")</f>
        <v/>
      </c>
      <c r="F718" s="5" t="n"/>
    </row>
    <row r="719">
      <c r="A719" s="10">
        <f>IF($E719="","",INDEX('Input Transaksi'!$A:$A,$E719))</f>
        <v/>
      </c>
      <c r="B719" s="5">
        <f>IF($E719="","",INDEX('Input Transaksi'!$D:$D,$E719))</f>
        <v/>
      </c>
      <c r="C719">
        <f>IF($E719="","",INDEX('Input Transaksi'!$E:$E,$E719))</f>
        <v/>
      </c>
      <c r="D719" s="5">
        <f>IF($E719="","",INDEX('Input Transaksi'!$F:$F,$E719))</f>
        <v/>
      </c>
      <c r="E719">
        <f>IFERROR(AGGREGATE(15,6,ROW('Input Transaksi'!$B$5:$B$5000)/('Input Transaksi'!$B$5:$B$5000="DIY"),ROWS($E$5:E719)),"")</f>
        <v/>
      </c>
      <c r="F719" s="5" t="n"/>
    </row>
    <row r="720">
      <c r="A720" s="10">
        <f>IF($E720="","",INDEX('Input Transaksi'!$A:$A,$E720))</f>
        <v/>
      </c>
      <c r="B720" s="5">
        <f>IF($E720="","",INDEX('Input Transaksi'!$D:$D,$E720))</f>
        <v/>
      </c>
      <c r="C720">
        <f>IF($E720="","",INDEX('Input Transaksi'!$E:$E,$E720))</f>
        <v/>
      </c>
      <c r="D720" s="5">
        <f>IF($E720="","",INDEX('Input Transaksi'!$F:$F,$E720))</f>
        <v/>
      </c>
      <c r="E720">
        <f>IFERROR(AGGREGATE(15,6,ROW('Input Transaksi'!$B$5:$B$5000)/('Input Transaksi'!$B$5:$B$5000="DIY"),ROWS($E$5:E720)),"")</f>
        <v/>
      </c>
      <c r="F720" s="5" t="n"/>
    </row>
    <row r="721">
      <c r="A721" s="10">
        <f>IF($E721="","",INDEX('Input Transaksi'!$A:$A,$E721))</f>
        <v/>
      </c>
      <c r="B721" s="5">
        <f>IF($E721="","",INDEX('Input Transaksi'!$D:$D,$E721))</f>
        <v/>
      </c>
      <c r="C721">
        <f>IF($E721="","",INDEX('Input Transaksi'!$E:$E,$E721))</f>
        <v/>
      </c>
      <c r="D721" s="5">
        <f>IF($E721="","",INDEX('Input Transaksi'!$F:$F,$E721))</f>
        <v/>
      </c>
      <c r="E721">
        <f>IFERROR(AGGREGATE(15,6,ROW('Input Transaksi'!$B$5:$B$5000)/('Input Transaksi'!$B$5:$B$5000="DIY"),ROWS($E$5:E721)),"")</f>
        <v/>
      </c>
      <c r="F721" s="5" t="n"/>
    </row>
    <row r="722">
      <c r="A722" s="10">
        <f>IF($E722="","",INDEX('Input Transaksi'!$A:$A,$E722))</f>
        <v/>
      </c>
      <c r="B722" s="5">
        <f>IF($E722="","",INDEX('Input Transaksi'!$D:$D,$E722))</f>
        <v/>
      </c>
      <c r="C722">
        <f>IF($E722="","",INDEX('Input Transaksi'!$E:$E,$E722))</f>
        <v/>
      </c>
      <c r="D722" s="5">
        <f>IF($E722="","",INDEX('Input Transaksi'!$F:$F,$E722))</f>
        <v/>
      </c>
      <c r="E722">
        <f>IFERROR(AGGREGATE(15,6,ROW('Input Transaksi'!$B$5:$B$5000)/('Input Transaksi'!$B$5:$B$5000="DIY"),ROWS($E$5:E722)),"")</f>
        <v/>
      </c>
      <c r="F722" s="5" t="n"/>
    </row>
    <row r="723">
      <c r="A723" s="10">
        <f>IF($E723="","",INDEX('Input Transaksi'!$A:$A,$E723))</f>
        <v/>
      </c>
      <c r="B723" s="5">
        <f>IF($E723="","",INDEX('Input Transaksi'!$D:$D,$E723))</f>
        <v/>
      </c>
      <c r="C723">
        <f>IF($E723="","",INDEX('Input Transaksi'!$E:$E,$E723))</f>
        <v/>
      </c>
      <c r="D723" s="5">
        <f>IF($E723="","",INDEX('Input Transaksi'!$F:$F,$E723))</f>
        <v/>
      </c>
      <c r="E723">
        <f>IFERROR(AGGREGATE(15,6,ROW('Input Transaksi'!$B$5:$B$5000)/('Input Transaksi'!$B$5:$B$5000="DIY"),ROWS($E$5:E723)),"")</f>
        <v/>
      </c>
      <c r="F723" s="5" t="n"/>
    </row>
    <row r="724">
      <c r="A724" s="10">
        <f>IF($E724="","",INDEX('Input Transaksi'!$A:$A,$E724))</f>
        <v/>
      </c>
      <c r="B724" s="5">
        <f>IF($E724="","",INDEX('Input Transaksi'!$D:$D,$E724))</f>
        <v/>
      </c>
      <c r="C724">
        <f>IF($E724="","",INDEX('Input Transaksi'!$E:$E,$E724))</f>
        <v/>
      </c>
      <c r="D724" s="5">
        <f>IF($E724="","",INDEX('Input Transaksi'!$F:$F,$E724))</f>
        <v/>
      </c>
      <c r="E724">
        <f>IFERROR(AGGREGATE(15,6,ROW('Input Transaksi'!$B$5:$B$5000)/('Input Transaksi'!$B$5:$B$5000="DIY"),ROWS($E$5:E724)),"")</f>
        <v/>
      </c>
      <c r="F724" s="5" t="n"/>
    </row>
    <row r="725">
      <c r="A725" s="10">
        <f>IF($E725="","",INDEX('Input Transaksi'!$A:$A,$E725))</f>
        <v/>
      </c>
      <c r="B725" s="5">
        <f>IF($E725="","",INDEX('Input Transaksi'!$D:$D,$E725))</f>
        <v/>
      </c>
      <c r="C725">
        <f>IF($E725="","",INDEX('Input Transaksi'!$E:$E,$E725))</f>
        <v/>
      </c>
      <c r="D725" s="5">
        <f>IF($E725="","",INDEX('Input Transaksi'!$F:$F,$E725))</f>
        <v/>
      </c>
      <c r="E725">
        <f>IFERROR(AGGREGATE(15,6,ROW('Input Transaksi'!$B$5:$B$5000)/('Input Transaksi'!$B$5:$B$5000="DIY"),ROWS($E$5:E725)),"")</f>
        <v/>
      </c>
      <c r="F725" s="5" t="n"/>
    </row>
    <row r="726">
      <c r="A726" s="10">
        <f>IF($E726="","",INDEX('Input Transaksi'!$A:$A,$E726))</f>
        <v/>
      </c>
      <c r="B726" s="5">
        <f>IF($E726="","",INDEX('Input Transaksi'!$D:$D,$E726))</f>
        <v/>
      </c>
      <c r="C726">
        <f>IF($E726="","",INDEX('Input Transaksi'!$E:$E,$E726))</f>
        <v/>
      </c>
      <c r="D726" s="5">
        <f>IF($E726="","",INDEX('Input Transaksi'!$F:$F,$E726))</f>
        <v/>
      </c>
      <c r="E726">
        <f>IFERROR(AGGREGATE(15,6,ROW('Input Transaksi'!$B$5:$B$5000)/('Input Transaksi'!$B$5:$B$5000="DIY"),ROWS($E$5:E726)),"")</f>
        <v/>
      </c>
      <c r="F726" s="5" t="n"/>
    </row>
    <row r="727">
      <c r="A727" s="10">
        <f>IF($E727="","",INDEX('Input Transaksi'!$A:$A,$E727))</f>
        <v/>
      </c>
      <c r="B727" s="5">
        <f>IF($E727="","",INDEX('Input Transaksi'!$D:$D,$E727))</f>
        <v/>
      </c>
      <c r="C727">
        <f>IF($E727="","",INDEX('Input Transaksi'!$E:$E,$E727))</f>
        <v/>
      </c>
      <c r="D727" s="5">
        <f>IF($E727="","",INDEX('Input Transaksi'!$F:$F,$E727))</f>
        <v/>
      </c>
      <c r="E727">
        <f>IFERROR(AGGREGATE(15,6,ROW('Input Transaksi'!$B$5:$B$5000)/('Input Transaksi'!$B$5:$B$5000="DIY"),ROWS($E$5:E727)),"")</f>
        <v/>
      </c>
      <c r="F727" s="5" t="n"/>
    </row>
    <row r="728">
      <c r="A728" s="10">
        <f>IF($E728="","",INDEX('Input Transaksi'!$A:$A,$E728))</f>
        <v/>
      </c>
      <c r="B728" s="5">
        <f>IF($E728="","",INDEX('Input Transaksi'!$D:$D,$E728))</f>
        <v/>
      </c>
      <c r="C728">
        <f>IF($E728="","",INDEX('Input Transaksi'!$E:$E,$E728))</f>
        <v/>
      </c>
      <c r="D728" s="5">
        <f>IF($E728="","",INDEX('Input Transaksi'!$F:$F,$E728))</f>
        <v/>
      </c>
      <c r="E728">
        <f>IFERROR(AGGREGATE(15,6,ROW('Input Transaksi'!$B$5:$B$5000)/('Input Transaksi'!$B$5:$B$5000="DIY"),ROWS($E$5:E728)),"")</f>
        <v/>
      </c>
      <c r="F728" s="5" t="n"/>
    </row>
    <row r="729">
      <c r="A729" s="10">
        <f>IF($E729="","",INDEX('Input Transaksi'!$A:$A,$E729))</f>
        <v/>
      </c>
      <c r="B729" s="5">
        <f>IF($E729="","",INDEX('Input Transaksi'!$D:$D,$E729))</f>
        <v/>
      </c>
      <c r="C729">
        <f>IF($E729="","",INDEX('Input Transaksi'!$E:$E,$E729))</f>
        <v/>
      </c>
      <c r="D729" s="5">
        <f>IF($E729="","",INDEX('Input Transaksi'!$F:$F,$E729))</f>
        <v/>
      </c>
      <c r="E729">
        <f>IFERROR(AGGREGATE(15,6,ROW('Input Transaksi'!$B$5:$B$5000)/('Input Transaksi'!$B$5:$B$5000="DIY"),ROWS($E$5:E729)),"")</f>
        <v/>
      </c>
      <c r="F729" s="5" t="n"/>
    </row>
    <row r="730">
      <c r="A730" s="10">
        <f>IF($E730="","",INDEX('Input Transaksi'!$A:$A,$E730))</f>
        <v/>
      </c>
      <c r="B730" s="5">
        <f>IF($E730="","",INDEX('Input Transaksi'!$D:$D,$E730))</f>
        <v/>
      </c>
      <c r="C730">
        <f>IF($E730="","",INDEX('Input Transaksi'!$E:$E,$E730))</f>
        <v/>
      </c>
      <c r="D730" s="5">
        <f>IF($E730="","",INDEX('Input Transaksi'!$F:$F,$E730))</f>
        <v/>
      </c>
      <c r="E730">
        <f>IFERROR(AGGREGATE(15,6,ROW('Input Transaksi'!$B$5:$B$5000)/('Input Transaksi'!$B$5:$B$5000="DIY"),ROWS($E$5:E730)),"")</f>
        <v/>
      </c>
      <c r="F730" s="5" t="n"/>
    </row>
    <row r="731">
      <c r="A731" s="10">
        <f>IF($E731="","",INDEX('Input Transaksi'!$A:$A,$E731))</f>
        <v/>
      </c>
      <c r="B731" s="5">
        <f>IF($E731="","",INDEX('Input Transaksi'!$D:$D,$E731))</f>
        <v/>
      </c>
      <c r="C731">
        <f>IF($E731="","",INDEX('Input Transaksi'!$E:$E,$E731))</f>
        <v/>
      </c>
      <c r="D731" s="5">
        <f>IF($E731="","",INDEX('Input Transaksi'!$F:$F,$E731))</f>
        <v/>
      </c>
      <c r="E731">
        <f>IFERROR(AGGREGATE(15,6,ROW('Input Transaksi'!$B$5:$B$5000)/('Input Transaksi'!$B$5:$B$5000="DIY"),ROWS($E$5:E731)),"")</f>
        <v/>
      </c>
      <c r="F731" s="5" t="n"/>
    </row>
    <row r="732">
      <c r="A732" s="10">
        <f>IF($E732="","",INDEX('Input Transaksi'!$A:$A,$E732))</f>
        <v/>
      </c>
      <c r="B732" s="5">
        <f>IF($E732="","",INDEX('Input Transaksi'!$D:$D,$E732))</f>
        <v/>
      </c>
      <c r="C732">
        <f>IF($E732="","",INDEX('Input Transaksi'!$E:$E,$E732))</f>
        <v/>
      </c>
      <c r="D732" s="5">
        <f>IF($E732="","",INDEX('Input Transaksi'!$F:$F,$E732))</f>
        <v/>
      </c>
      <c r="E732">
        <f>IFERROR(AGGREGATE(15,6,ROW('Input Transaksi'!$B$5:$B$5000)/('Input Transaksi'!$B$5:$B$5000="DIY"),ROWS($E$5:E732)),"")</f>
        <v/>
      </c>
      <c r="F732" s="5" t="n"/>
    </row>
    <row r="733">
      <c r="A733" s="10">
        <f>IF($E733="","",INDEX('Input Transaksi'!$A:$A,$E733))</f>
        <v/>
      </c>
      <c r="B733" s="5">
        <f>IF($E733="","",INDEX('Input Transaksi'!$D:$D,$E733))</f>
        <v/>
      </c>
      <c r="C733">
        <f>IF($E733="","",INDEX('Input Transaksi'!$E:$E,$E733))</f>
        <v/>
      </c>
      <c r="D733" s="5">
        <f>IF($E733="","",INDEX('Input Transaksi'!$F:$F,$E733))</f>
        <v/>
      </c>
      <c r="E733">
        <f>IFERROR(AGGREGATE(15,6,ROW('Input Transaksi'!$B$5:$B$5000)/('Input Transaksi'!$B$5:$B$5000="DIY"),ROWS($E$5:E733)),"")</f>
        <v/>
      </c>
      <c r="F733" s="5" t="n"/>
    </row>
    <row r="734">
      <c r="A734" s="10">
        <f>IF($E734="","",INDEX('Input Transaksi'!$A:$A,$E734))</f>
        <v/>
      </c>
      <c r="B734" s="5">
        <f>IF($E734="","",INDEX('Input Transaksi'!$D:$D,$E734))</f>
        <v/>
      </c>
      <c r="C734">
        <f>IF($E734="","",INDEX('Input Transaksi'!$E:$E,$E734))</f>
        <v/>
      </c>
      <c r="D734" s="5">
        <f>IF($E734="","",INDEX('Input Transaksi'!$F:$F,$E734))</f>
        <v/>
      </c>
      <c r="E734">
        <f>IFERROR(AGGREGATE(15,6,ROW('Input Transaksi'!$B$5:$B$5000)/('Input Transaksi'!$B$5:$B$5000="DIY"),ROWS($E$5:E734)),"")</f>
        <v/>
      </c>
      <c r="F734" s="5" t="n"/>
    </row>
    <row r="735">
      <c r="A735" s="10">
        <f>IF($E735="","",INDEX('Input Transaksi'!$A:$A,$E735))</f>
        <v/>
      </c>
      <c r="B735" s="5">
        <f>IF($E735="","",INDEX('Input Transaksi'!$D:$D,$E735))</f>
        <v/>
      </c>
      <c r="C735">
        <f>IF($E735="","",INDEX('Input Transaksi'!$E:$E,$E735))</f>
        <v/>
      </c>
      <c r="D735" s="5">
        <f>IF($E735="","",INDEX('Input Transaksi'!$F:$F,$E735))</f>
        <v/>
      </c>
      <c r="E735">
        <f>IFERROR(AGGREGATE(15,6,ROW('Input Transaksi'!$B$5:$B$5000)/('Input Transaksi'!$B$5:$B$5000="DIY"),ROWS($E$5:E735)),"")</f>
        <v/>
      </c>
      <c r="F735" s="5" t="n"/>
    </row>
    <row r="736">
      <c r="A736" s="10">
        <f>IF($E736="","",INDEX('Input Transaksi'!$A:$A,$E736))</f>
        <v/>
      </c>
      <c r="B736" s="5">
        <f>IF($E736="","",INDEX('Input Transaksi'!$D:$D,$E736))</f>
        <v/>
      </c>
      <c r="C736">
        <f>IF($E736="","",INDEX('Input Transaksi'!$E:$E,$E736))</f>
        <v/>
      </c>
      <c r="D736" s="5">
        <f>IF($E736="","",INDEX('Input Transaksi'!$F:$F,$E736))</f>
        <v/>
      </c>
      <c r="E736">
        <f>IFERROR(AGGREGATE(15,6,ROW('Input Transaksi'!$B$5:$B$5000)/('Input Transaksi'!$B$5:$B$5000="DIY"),ROWS($E$5:E736)),"")</f>
        <v/>
      </c>
      <c r="F736" s="5" t="n"/>
    </row>
    <row r="737">
      <c r="A737" s="10">
        <f>IF($E737="","",INDEX('Input Transaksi'!$A:$A,$E737))</f>
        <v/>
      </c>
      <c r="B737" s="5">
        <f>IF($E737="","",INDEX('Input Transaksi'!$D:$D,$E737))</f>
        <v/>
      </c>
      <c r="C737">
        <f>IF($E737="","",INDEX('Input Transaksi'!$E:$E,$E737))</f>
        <v/>
      </c>
      <c r="D737" s="5">
        <f>IF($E737="","",INDEX('Input Transaksi'!$F:$F,$E737))</f>
        <v/>
      </c>
      <c r="E737">
        <f>IFERROR(AGGREGATE(15,6,ROW('Input Transaksi'!$B$5:$B$5000)/('Input Transaksi'!$B$5:$B$5000="DIY"),ROWS($E$5:E737)),"")</f>
        <v/>
      </c>
      <c r="F737" s="5" t="n"/>
    </row>
    <row r="738">
      <c r="A738" s="10">
        <f>IF($E738="","",INDEX('Input Transaksi'!$A:$A,$E738))</f>
        <v/>
      </c>
      <c r="B738" s="5">
        <f>IF($E738="","",INDEX('Input Transaksi'!$D:$D,$E738))</f>
        <v/>
      </c>
      <c r="C738">
        <f>IF($E738="","",INDEX('Input Transaksi'!$E:$E,$E738))</f>
        <v/>
      </c>
      <c r="D738" s="5">
        <f>IF($E738="","",INDEX('Input Transaksi'!$F:$F,$E738))</f>
        <v/>
      </c>
      <c r="E738">
        <f>IFERROR(AGGREGATE(15,6,ROW('Input Transaksi'!$B$5:$B$5000)/('Input Transaksi'!$B$5:$B$5000="DIY"),ROWS($E$5:E738)),"")</f>
        <v/>
      </c>
      <c r="F738" s="5" t="n"/>
    </row>
    <row r="739">
      <c r="A739" s="10">
        <f>IF($E739="","",INDEX('Input Transaksi'!$A:$A,$E739))</f>
        <v/>
      </c>
      <c r="B739" s="5">
        <f>IF($E739="","",INDEX('Input Transaksi'!$D:$D,$E739))</f>
        <v/>
      </c>
      <c r="C739">
        <f>IF($E739="","",INDEX('Input Transaksi'!$E:$E,$E739))</f>
        <v/>
      </c>
      <c r="D739" s="5">
        <f>IF($E739="","",INDEX('Input Transaksi'!$F:$F,$E739))</f>
        <v/>
      </c>
      <c r="E739">
        <f>IFERROR(AGGREGATE(15,6,ROW('Input Transaksi'!$B$5:$B$5000)/('Input Transaksi'!$B$5:$B$5000="DIY"),ROWS($E$5:E739)),"")</f>
        <v/>
      </c>
      <c r="F739" s="5" t="n"/>
    </row>
    <row r="740">
      <c r="A740" s="10">
        <f>IF($E740="","",INDEX('Input Transaksi'!$A:$A,$E740))</f>
        <v/>
      </c>
      <c r="B740" s="5">
        <f>IF($E740="","",INDEX('Input Transaksi'!$D:$D,$E740))</f>
        <v/>
      </c>
      <c r="C740">
        <f>IF($E740="","",INDEX('Input Transaksi'!$E:$E,$E740))</f>
        <v/>
      </c>
      <c r="D740" s="5">
        <f>IF($E740="","",INDEX('Input Transaksi'!$F:$F,$E740))</f>
        <v/>
      </c>
      <c r="E740">
        <f>IFERROR(AGGREGATE(15,6,ROW('Input Transaksi'!$B$5:$B$5000)/('Input Transaksi'!$B$5:$B$5000="DIY"),ROWS($E$5:E740)),"")</f>
        <v/>
      </c>
      <c r="F740" s="5" t="n"/>
    </row>
    <row r="741">
      <c r="A741" s="10">
        <f>IF($E741="","",INDEX('Input Transaksi'!$A:$A,$E741))</f>
        <v/>
      </c>
      <c r="B741" s="5">
        <f>IF($E741="","",INDEX('Input Transaksi'!$D:$D,$E741))</f>
        <v/>
      </c>
      <c r="C741">
        <f>IF($E741="","",INDEX('Input Transaksi'!$E:$E,$E741))</f>
        <v/>
      </c>
      <c r="D741" s="5">
        <f>IF($E741="","",INDEX('Input Transaksi'!$F:$F,$E741))</f>
        <v/>
      </c>
      <c r="E741">
        <f>IFERROR(AGGREGATE(15,6,ROW('Input Transaksi'!$B$5:$B$5000)/('Input Transaksi'!$B$5:$B$5000="DIY"),ROWS($E$5:E741)),"")</f>
        <v/>
      </c>
      <c r="F741" s="5" t="n"/>
    </row>
    <row r="742">
      <c r="A742" s="10">
        <f>IF($E742="","",INDEX('Input Transaksi'!$A:$A,$E742))</f>
        <v/>
      </c>
      <c r="B742" s="5">
        <f>IF($E742="","",INDEX('Input Transaksi'!$D:$D,$E742))</f>
        <v/>
      </c>
      <c r="C742">
        <f>IF($E742="","",INDEX('Input Transaksi'!$E:$E,$E742))</f>
        <v/>
      </c>
      <c r="D742" s="5">
        <f>IF($E742="","",INDEX('Input Transaksi'!$F:$F,$E742))</f>
        <v/>
      </c>
      <c r="E742">
        <f>IFERROR(AGGREGATE(15,6,ROW('Input Transaksi'!$B$5:$B$5000)/('Input Transaksi'!$B$5:$B$5000="DIY"),ROWS($E$5:E742)),"")</f>
        <v/>
      </c>
      <c r="F742" s="5" t="n"/>
    </row>
    <row r="743">
      <c r="A743" s="10">
        <f>IF($E743="","",INDEX('Input Transaksi'!$A:$A,$E743))</f>
        <v/>
      </c>
      <c r="B743" s="5">
        <f>IF($E743="","",INDEX('Input Transaksi'!$D:$D,$E743))</f>
        <v/>
      </c>
      <c r="C743">
        <f>IF($E743="","",INDEX('Input Transaksi'!$E:$E,$E743))</f>
        <v/>
      </c>
      <c r="D743" s="5">
        <f>IF($E743="","",INDEX('Input Transaksi'!$F:$F,$E743))</f>
        <v/>
      </c>
      <c r="E743">
        <f>IFERROR(AGGREGATE(15,6,ROW('Input Transaksi'!$B$5:$B$5000)/('Input Transaksi'!$B$5:$B$5000="DIY"),ROWS($E$5:E743)),"")</f>
        <v/>
      </c>
      <c r="F743" s="5" t="n"/>
    </row>
    <row r="744">
      <c r="A744" s="10">
        <f>IF($E744="","",INDEX('Input Transaksi'!$A:$A,$E744))</f>
        <v/>
      </c>
      <c r="B744" s="5">
        <f>IF($E744="","",INDEX('Input Transaksi'!$D:$D,$E744))</f>
        <v/>
      </c>
      <c r="C744">
        <f>IF($E744="","",INDEX('Input Transaksi'!$E:$E,$E744))</f>
        <v/>
      </c>
      <c r="D744" s="5">
        <f>IF($E744="","",INDEX('Input Transaksi'!$F:$F,$E744))</f>
        <v/>
      </c>
      <c r="E744">
        <f>IFERROR(AGGREGATE(15,6,ROW('Input Transaksi'!$B$5:$B$5000)/('Input Transaksi'!$B$5:$B$5000="DIY"),ROWS($E$5:E744)),"")</f>
        <v/>
      </c>
      <c r="F744" s="5" t="n"/>
    </row>
    <row r="745">
      <c r="A745" s="10">
        <f>IF($E745="","",INDEX('Input Transaksi'!$A:$A,$E745))</f>
        <v/>
      </c>
      <c r="B745" s="5">
        <f>IF($E745="","",INDEX('Input Transaksi'!$D:$D,$E745))</f>
        <v/>
      </c>
      <c r="C745">
        <f>IF($E745="","",INDEX('Input Transaksi'!$E:$E,$E745))</f>
        <v/>
      </c>
      <c r="D745" s="5">
        <f>IF($E745="","",INDEX('Input Transaksi'!$F:$F,$E745))</f>
        <v/>
      </c>
      <c r="E745">
        <f>IFERROR(AGGREGATE(15,6,ROW('Input Transaksi'!$B$5:$B$5000)/('Input Transaksi'!$B$5:$B$5000="DIY"),ROWS($E$5:E745)),"")</f>
        <v/>
      </c>
      <c r="F745" s="5" t="n"/>
    </row>
    <row r="746">
      <c r="A746" s="10">
        <f>IF($E746="","",INDEX('Input Transaksi'!$A:$A,$E746))</f>
        <v/>
      </c>
      <c r="B746" s="5">
        <f>IF($E746="","",INDEX('Input Transaksi'!$D:$D,$E746))</f>
        <v/>
      </c>
      <c r="C746">
        <f>IF($E746="","",INDEX('Input Transaksi'!$E:$E,$E746))</f>
        <v/>
      </c>
      <c r="D746" s="5">
        <f>IF($E746="","",INDEX('Input Transaksi'!$F:$F,$E746))</f>
        <v/>
      </c>
      <c r="E746">
        <f>IFERROR(AGGREGATE(15,6,ROW('Input Transaksi'!$B$5:$B$5000)/('Input Transaksi'!$B$5:$B$5000="DIY"),ROWS($E$5:E746)),"")</f>
        <v/>
      </c>
      <c r="F746" s="5" t="n"/>
    </row>
    <row r="747">
      <c r="A747" s="10">
        <f>IF($E747="","",INDEX('Input Transaksi'!$A:$A,$E747))</f>
        <v/>
      </c>
      <c r="B747" s="5">
        <f>IF($E747="","",INDEX('Input Transaksi'!$D:$D,$E747))</f>
        <v/>
      </c>
      <c r="C747">
        <f>IF($E747="","",INDEX('Input Transaksi'!$E:$E,$E747))</f>
        <v/>
      </c>
      <c r="D747" s="5">
        <f>IF($E747="","",INDEX('Input Transaksi'!$F:$F,$E747))</f>
        <v/>
      </c>
      <c r="E747">
        <f>IFERROR(AGGREGATE(15,6,ROW('Input Transaksi'!$B$5:$B$5000)/('Input Transaksi'!$B$5:$B$5000="DIY"),ROWS($E$5:E747)),"")</f>
        <v/>
      </c>
      <c r="F747" s="5" t="n"/>
    </row>
    <row r="748">
      <c r="A748" s="10">
        <f>IF($E748="","",INDEX('Input Transaksi'!$A:$A,$E748))</f>
        <v/>
      </c>
      <c r="B748" s="5">
        <f>IF($E748="","",INDEX('Input Transaksi'!$D:$D,$E748))</f>
        <v/>
      </c>
      <c r="C748">
        <f>IF($E748="","",INDEX('Input Transaksi'!$E:$E,$E748))</f>
        <v/>
      </c>
      <c r="D748" s="5">
        <f>IF($E748="","",INDEX('Input Transaksi'!$F:$F,$E748))</f>
        <v/>
      </c>
      <c r="E748">
        <f>IFERROR(AGGREGATE(15,6,ROW('Input Transaksi'!$B$5:$B$5000)/('Input Transaksi'!$B$5:$B$5000="DIY"),ROWS($E$5:E748)),"")</f>
        <v/>
      </c>
      <c r="F748" s="5" t="n"/>
    </row>
    <row r="749">
      <c r="A749" s="10">
        <f>IF($E749="","",INDEX('Input Transaksi'!$A:$A,$E749))</f>
        <v/>
      </c>
      <c r="B749" s="5">
        <f>IF($E749="","",INDEX('Input Transaksi'!$D:$D,$E749))</f>
        <v/>
      </c>
      <c r="C749">
        <f>IF($E749="","",INDEX('Input Transaksi'!$E:$E,$E749))</f>
        <v/>
      </c>
      <c r="D749" s="5">
        <f>IF($E749="","",INDEX('Input Transaksi'!$F:$F,$E749))</f>
        <v/>
      </c>
      <c r="E749">
        <f>IFERROR(AGGREGATE(15,6,ROW('Input Transaksi'!$B$5:$B$5000)/('Input Transaksi'!$B$5:$B$5000="DIY"),ROWS($E$5:E749)),"")</f>
        <v/>
      </c>
      <c r="F749" s="5" t="n"/>
    </row>
    <row r="750">
      <c r="A750" s="10">
        <f>IF($E750="","",INDEX('Input Transaksi'!$A:$A,$E750))</f>
        <v/>
      </c>
      <c r="B750" s="5">
        <f>IF($E750="","",INDEX('Input Transaksi'!$D:$D,$E750))</f>
        <v/>
      </c>
      <c r="C750">
        <f>IF($E750="","",INDEX('Input Transaksi'!$E:$E,$E750))</f>
        <v/>
      </c>
      <c r="D750" s="5">
        <f>IF($E750="","",INDEX('Input Transaksi'!$F:$F,$E750))</f>
        <v/>
      </c>
      <c r="E750">
        <f>IFERROR(AGGREGATE(15,6,ROW('Input Transaksi'!$B$5:$B$5000)/('Input Transaksi'!$B$5:$B$5000="DIY"),ROWS($E$5:E750)),"")</f>
        <v/>
      </c>
      <c r="F750" s="5" t="n"/>
    </row>
    <row r="751">
      <c r="A751" s="10">
        <f>IF($E751="","",INDEX('Input Transaksi'!$A:$A,$E751))</f>
        <v/>
      </c>
      <c r="B751" s="5">
        <f>IF($E751="","",INDEX('Input Transaksi'!$D:$D,$E751))</f>
        <v/>
      </c>
      <c r="C751">
        <f>IF($E751="","",INDEX('Input Transaksi'!$E:$E,$E751))</f>
        <v/>
      </c>
      <c r="D751" s="5">
        <f>IF($E751="","",INDEX('Input Transaksi'!$F:$F,$E751))</f>
        <v/>
      </c>
      <c r="E751">
        <f>IFERROR(AGGREGATE(15,6,ROW('Input Transaksi'!$B$5:$B$5000)/('Input Transaksi'!$B$5:$B$5000="DIY"),ROWS($E$5:E751)),"")</f>
        <v/>
      </c>
      <c r="F751" s="5" t="n"/>
    </row>
    <row r="752">
      <c r="A752" s="10">
        <f>IF($E752="","",INDEX('Input Transaksi'!$A:$A,$E752))</f>
        <v/>
      </c>
      <c r="B752" s="5">
        <f>IF($E752="","",INDEX('Input Transaksi'!$D:$D,$E752))</f>
        <v/>
      </c>
      <c r="C752">
        <f>IF($E752="","",INDEX('Input Transaksi'!$E:$E,$E752))</f>
        <v/>
      </c>
      <c r="D752" s="5">
        <f>IF($E752="","",INDEX('Input Transaksi'!$F:$F,$E752))</f>
        <v/>
      </c>
      <c r="E752">
        <f>IFERROR(AGGREGATE(15,6,ROW('Input Transaksi'!$B$5:$B$5000)/('Input Transaksi'!$B$5:$B$5000="DIY"),ROWS($E$5:E752)),"")</f>
        <v/>
      </c>
      <c r="F752" s="5" t="n"/>
    </row>
    <row r="753">
      <c r="A753" s="10">
        <f>IF($E753="","",INDEX('Input Transaksi'!$A:$A,$E753))</f>
        <v/>
      </c>
      <c r="B753" s="5">
        <f>IF($E753="","",INDEX('Input Transaksi'!$D:$D,$E753))</f>
        <v/>
      </c>
      <c r="C753">
        <f>IF($E753="","",INDEX('Input Transaksi'!$E:$E,$E753))</f>
        <v/>
      </c>
      <c r="D753" s="5">
        <f>IF($E753="","",INDEX('Input Transaksi'!$F:$F,$E753))</f>
        <v/>
      </c>
      <c r="E753">
        <f>IFERROR(AGGREGATE(15,6,ROW('Input Transaksi'!$B$5:$B$5000)/('Input Transaksi'!$B$5:$B$5000="DIY"),ROWS($E$5:E753)),"")</f>
        <v/>
      </c>
      <c r="F753" s="5" t="n"/>
    </row>
    <row r="754">
      <c r="A754" s="10">
        <f>IF($E754="","",INDEX('Input Transaksi'!$A:$A,$E754))</f>
        <v/>
      </c>
      <c r="B754" s="5">
        <f>IF($E754="","",INDEX('Input Transaksi'!$D:$D,$E754))</f>
        <v/>
      </c>
      <c r="C754">
        <f>IF($E754="","",INDEX('Input Transaksi'!$E:$E,$E754))</f>
        <v/>
      </c>
      <c r="D754" s="5">
        <f>IF($E754="","",INDEX('Input Transaksi'!$F:$F,$E754))</f>
        <v/>
      </c>
      <c r="E754">
        <f>IFERROR(AGGREGATE(15,6,ROW('Input Transaksi'!$B$5:$B$5000)/('Input Transaksi'!$B$5:$B$5000="DIY"),ROWS($E$5:E754)),"")</f>
        <v/>
      </c>
      <c r="F754" s="5" t="n"/>
    </row>
    <row r="755">
      <c r="A755" s="10">
        <f>IF($E755="","",INDEX('Input Transaksi'!$A:$A,$E755))</f>
        <v/>
      </c>
      <c r="B755" s="5">
        <f>IF($E755="","",INDEX('Input Transaksi'!$D:$D,$E755))</f>
        <v/>
      </c>
      <c r="C755">
        <f>IF($E755="","",INDEX('Input Transaksi'!$E:$E,$E755))</f>
        <v/>
      </c>
      <c r="D755" s="5">
        <f>IF($E755="","",INDEX('Input Transaksi'!$F:$F,$E755))</f>
        <v/>
      </c>
      <c r="E755">
        <f>IFERROR(AGGREGATE(15,6,ROW('Input Transaksi'!$B$5:$B$5000)/('Input Transaksi'!$B$5:$B$5000="DIY"),ROWS($E$5:E755)),"")</f>
        <v/>
      </c>
      <c r="F755" s="5" t="n"/>
    </row>
    <row r="756">
      <c r="A756" s="10">
        <f>IF($E756="","",INDEX('Input Transaksi'!$A:$A,$E756))</f>
        <v/>
      </c>
      <c r="B756" s="5">
        <f>IF($E756="","",INDEX('Input Transaksi'!$D:$D,$E756))</f>
        <v/>
      </c>
      <c r="C756">
        <f>IF($E756="","",INDEX('Input Transaksi'!$E:$E,$E756))</f>
        <v/>
      </c>
      <c r="D756" s="5">
        <f>IF($E756="","",INDEX('Input Transaksi'!$F:$F,$E756))</f>
        <v/>
      </c>
      <c r="E756">
        <f>IFERROR(AGGREGATE(15,6,ROW('Input Transaksi'!$B$5:$B$5000)/('Input Transaksi'!$B$5:$B$5000="DIY"),ROWS($E$5:E756)),"")</f>
        <v/>
      </c>
      <c r="F756" s="5" t="n"/>
    </row>
    <row r="757">
      <c r="A757" s="10">
        <f>IF($E757="","",INDEX('Input Transaksi'!$A:$A,$E757))</f>
        <v/>
      </c>
      <c r="B757" s="5">
        <f>IF($E757="","",INDEX('Input Transaksi'!$D:$D,$E757))</f>
        <v/>
      </c>
      <c r="C757">
        <f>IF($E757="","",INDEX('Input Transaksi'!$E:$E,$E757))</f>
        <v/>
      </c>
      <c r="D757" s="5">
        <f>IF($E757="","",INDEX('Input Transaksi'!$F:$F,$E757))</f>
        <v/>
      </c>
      <c r="E757">
        <f>IFERROR(AGGREGATE(15,6,ROW('Input Transaksi'!$B$5:$B$5000)/('Input Transaksi'!$B$5:$B$5000="DIY"),ROWS($E$5:E757)),"")</f>
        <v/>
      </c>
      <c r="F757" s="5" t="n"/>
    </row>
    <row r="758">
      <c r="A758" s="10">
        <f>IF($E758="","",INDEX('Input Transaksi'!$A:$A,$E758))</f>
        <v/>
      </c>
      <c r="B758" s="5">
        <f>IF($E758="","",INDEX('Input Transaksi'!$D:$D,$E758))</f>
        <v/>
      </c>
      <c r="C758">
        <f>IF($E758="","",INDEX('Input Transaksi'!$E:$E,$E758))</f>
        <v/>
      </c>
      <c r="D758" s="5">
        <f>IF($E758="","",INDEX('Input Transaksi'!$F:$F,$E758))</f>
        <v/>
      </c>
      <c r="E758">
        <f>IFERROR(AGGREGATE(15,6,ROW('Input Transaksi'!$B$5:$B$5000)/('Input Transaksi'!$B$5:$B$5000="DIY"),ROWS($E$5:E758)),"")</f>
        <v/>
      </c>
      <c r="F758" s="5" t="n"/>
    </row>
    <row r="759">
      <c r="A759" s="10">
        <f>IF($E759="","",INDEX('Input Transaksi'!$A:$A,$E759))</f>
        <v/>
      </c>
      <c r="B759" s="5">
        <f>IF($E759="","",INDEX('Input Transaksi'!$D:$D,$E759))</f>
        <v/>
      </c>
      <c r="C759">
        <f>IF($E759="","",INDEX('Input Transaksi'!$E:$E,$E759))</f>
        <v/>
      </c>
      <c r="D759" s="5">
        <f>IF($E759="","",INDEX('Input Transaksi'!$F:$F,$E759))</f>
        <v/>
      </c>
      <c r="E759">
        <f>IFERROR(AGGREGATE(15,6,ROW('Input Transaksi'!$B$5:$B$5000)/('Input Transaksi'!$B$5:$B$5000="DIY"),ROWS($E$5:E759)),"")</f>
        <v/>
      </c>
      <c r="F759" s="5" t="n"/>
    </row>
    <row r="760">
      <c r="A760" s="10">
        <f>IF($E760="","",INDEX('Input Transaksi'!$A:$A,$E760))</f>
        <v/>
      </c>
      <c r="B760" s="5">
        <f>IF($E760="","",INDEX('Input Transaksi'!$D:$D,$E760))</f>
        <v/>
      </c>
      <c r="C760">
        <f>IF($E760="","",INDEX('Input Transaksi'!$E:$E,$E760))</f>
        <v/>
      </c>
      <c r="D760" s="5">
        <f>IF($E760="","",INDEX('Input Transaksi'!$F:$F,$E760))</f>
        <v/>
      </c>
      <c r="E760">
        <f>IFERROR(AGGREGATE(15,6,ROW('Input Transaksi'!$B$5:$B$5000)/('Input Transaksi'!$B$5:$B$5000="DIY"),ROWS($E$5:E760)),"")</f>
        <v/>
      </c>
      <c r="F760" s="5" t="n"/>
    </row>
    <row r="761">
      <c r="A761" s="10">
        <f>IF($E761="","",INDEX('Input Transaksi'!$A:$A,$E761))</f>
        <v/>
      </c>
      <c r="B761" s="5">
        <f>IF($E761="","",INDEX('Input Transaksi'!$D:$D,$E761))</f>
        <v/>
      </c>
      <c r="C761">
        <f>IF($E761="","",INDEX('Input Transaksi'!$E:$E,$E761))</f>
        <v/>
      </c>
      <c r="D761" s="5">
        <f>IF($E761="","",INDEX('Input Transaksi'!$F:$F,$E761))</f>
        <v/>
      </c>
      <c r="E761">
        <f>IFERROR(AGGREGATE(15,6,ROW('Input Transaksi'!$B$5:$B$5000)/('Input Transaksi'!$B$5:$B$5000="DIY"),ROWS($E$5:E761)),"")</f>
        <v/>
      </c>
      <c r="F761" s="5" t="n"/>
    </row>
    <row r="762">
      <c r="A762" s="10">
        <f>IF($E762="","",INDEX('Input Transaksi'!$A:$A,$E762))</f>
        <v/>
      </c>
      <c r="B762" s="5">
        <f>IF($E762="","",INDEX('Input Transaksi'!$D:$D,$E762))</f>
        <v/>
      </c>
      <c r="C762">
        <f>IF($E762="","",INDEX('Input Transaksi'!$E:$E,$E762))</f>
        <v/>
      </c>
      <c r="D762" s="5">
        <f>IF($E762="","",INDEX('Input Transaksi'!$F:$F,$E762))</f>
        <v/>
      </c>
      <c r="E762">
        <f>IFERROR(AGGREGATE(15,6,ROW('Input Transaksi'!$B$5:$B$5000)/('Input Transaksi'!$B$5:$B$5000="DIY"),ROWS($E$5:E762)),"")</f>
        <v/>
      </c>
      <c r="F762" s="5" t="n"/>
    </row>
    <row r="763">
      <c r="A763" s="10">
        <f>IF($E763="","",INDEX('Input Transaksi'!$A:$A,$E763))</f>
        <v/>
      </c>
      <c r="B763" s="5">
        <f>IF($E763="","",INDEX('Input Transaksi'!$D:$D,$E763))</f>
        <v/>
      </c>
      <c r="C763">
        <f>IF($E763="","",INDEX('Input Transaksi'!$E:$E,$E763))</f>
        <v/>
      </c>
      <c r="D763" s="5">
        <f>IF($E763="","",INDEX('Input Transaksi'!$F:$F,$E763))</f>
        <v/>
      </c>
      <c r="E763">
        <f>IFERROR(AGGREGATE(15,6,ROW('Input Transaksi'!$B$5:$B$5000)/('Input Transaksi'!$B$5:$B$5000="DIY"),ROWS($E$5:E763)),"")</f>
        <v/>
      </c>
      <c r="F763" s="5" t="n"/>
    </row>
    <row r="764">
      <c r="A764" s="10">
        <f>IF($E764="","",INDEX('Input Transaksi'!$A:$A,$E764))</f>
        <v/>
      </c>
      <c r="B764" s="5">
        <f>IF($E764="","",INDEX('Input Transaksi'!$D:$D,$E764))</f>
        <v/>
      </c>
      <c r="C764">
        <f>IF($E764="","",INDEX('Input Transaksi'!$E:$E,$E764))</f>
        <v/>
      </c>
      <c r="D764" s="5">
        <f>IF($E764="","",INDEX('Input Transaksi'!$F:$F,$E764))</f>
        <v/>
      </c>
      <c r="E764">
        <f>IFERROR(AGGREGATE(15,6,ROW('Input Transaksi'!$B$5:$B$5000)/('Input Transaksi'!$B$5:$B$5000="DIY"),ROWS($E$5:E764)),"")</f>
        <v/>
      </c>
      <c r="F764" s="5" t="n"/>
    </row>
    <row r="765">
      <c r="A765" s="10">
        <f>IF($E765="","",INDEX('Input Transaksi'!$A:$A,$E765))</f>
        <v/>
      </c>
      <c r="B765" s="5">
        <f>IF($E765="","",INDEX('Input Transaksi'!$D:$D,$E765))</f>
        <v/>
      </c>
      <c r="C765">
        <f>IF($E765="","",INDEX('Input Transaksi'!$E:$E,$E765))</f>
        <v/>
      </c>
      <c r="D765" s="5">
        <f>IF($E765="","",INDEX('Input Transaksi'!$F:$F,$E765))</f>
        <v/>
      </c>
      <c r="E765">
        <f>IFERROR(AGGREGATE(15,6,ROW('Input Transaksi'!$B$5:$B$5000)/('Input Transaksi'!$B$5:$B$5000="DIY"),ROWS($E$5:E765)),"")</f>
        <v/>
      </c>
      <c r="F765" s="5" t="n"/>
    </row>
    <row r="766">
      <c r="A766" s="10">
        <f>IF($E766="","",INDEX('Input Transaksi'!$A:$A,$E766))</f>
        <v/>
      </c>
      <c r="B766" s="5">
        <f>IF($E766="","",INDEX('Input Transaksi'!$D:$D,$E766))</f>
        <v/>
      </c>
      <c r="C766">
        <f>IF($E766="","",INDEX('Input Transaksi'!$E:$E,$E766))</f>
        <v/>
      </c>
      <c r="D766" s="5">
        <f>IF($E766="","",INDEX('Input Transaksi'!$F:$F,$E766))</f>
        <v/>
      </c>
      <c r="E766">
        <f>IFERROR(AGGREGATE(15,6,ROW('Input Transaksi'!$B$5:$B$5000)/('Input Transaksi'!$B$5:$B$5000="DIY"),ROWS($E$5:E766)),"")</f>
        <v/>
      </c>
      <c r="F766" s="5" t="n"/>
    </row>
    <row r="767">
      <c r="A767" s="10">
        <f>IF($E767="","",INDEX('Input Transaksi'!$A:$A,$E767))</f>
        <v/>
      </c>
      <c r="B767" s="5">
        <f>IF($E767="","",INDEX('Input Transaksi'!$D:$D,$E767))</f>
        <v/>
      </c>
      <c r="C767">
        <f>IF($E767="","",INDEX('Input Transaksi'!$E:$E,$E767))</f>
        <v/>
      </c>
      <c r="D767" s="5">
        <f>IF($E767="","",INDEX('Input Transaksi'!$F:$F,$E767))</f>
        <v/>
      </c>
      <c r="E767">
        <f>IFERROR(AGGREGATE(15,6,ROW('Input Transaksi'!$B$5:$B$5000)/('Input Transaksi'!$B$5:$B$5000="DIY"),ROWS($E$5:E767)),"")</f>
        <v/>
      </c>
      <c r="F767" s="5" t="n"/>
    </row>
    <row r="768">
      <c r="A768" s="10">
        <f>IF($E768="","",INDEX('Input Transaksi'!$A:$A,$E768))</f>
        <v/>
      </c>
      <c r="B768" s="5">
        <f>IF($E768="","",INDEX('Input Transaksi'!$D:$D,$E768))</f>
        <v/>
      </c>
      <c r="C768">
        <f>IF($E768="","",INDEX('Input Transaksi'!$E:$E,$E768))</f>
        <v/>
      </c>
      <c r="D768" s="5">
        <f>IF($E768="","",INDEX('Input Transaksi'!$F:$F,$E768))</f>
        <v/>
      </c>
      <c r="E768">
        <f>IFERROR(AGGREGATE(15,6,ROW('Input Transaksi'!$B$5:$B$5000)/('Input Transaksi'!$B$5:$B$5000="DIY"),ROWS($E$5:E768)),"")</f>
        <v/>
      </c>
      <c r="F768" s="5" t="n"/>
    </row>
    <row r="769">
      <c r="A769" s="10">
        <f>IF($E769="","",INDEX('Input Transaksi'!$A:$A,$E769))</f>
        <v/>
      </c>
      <c r="B769" s="5">
        <f>IF($E769="","",INDEX('Input Transaksi'!$D:$D,$E769))</f>
        <v/>
      </c>
      <c r="C769">
        <f>IF($E769="","",INDEX('Input Transaksi'!$E:$E,$E769))</f>
        <v/>
      </c>
      <c r="D769" s="5">
        <f>IF($E769="","",INDEX('Input Transaksi'!$F:$F,$E769))</f>
        <v/>
      </c>
      <c r="E769">
        <f>IFERROR(AGGREGATE(15,6,ROW('Input Transaksi'!$B$5:$B$5000)/('Input Transaksi'!$B$5:$B$5000="DIY"),ROWS($E$5:E769)),"")</f>
        <v/>
      </c>
      <c r="F769" s="5" t="n"/>
    </row>
    <row r="770">
      <c r="A770" s="10">
        <f>IF($E770="","",INDEX('Input Transaksi'!$A:$A,$E770))</f>
        <v/>
      </c>
      <c r="B770" s="5">
        <f>IF($E770="","",INDEX('Input Transaksi'!$D:$D,$E770))</f>
        <v/>
      </c>
      <c r="C770">
        <f>IF($E770="","",INDEX('Input Transaksi'!$E:$E,$E770))</f>
        <v/>
      </c>
      <c r="D770" s="5">
        <f>IF($E770="","",INDEX('Input Transaksi'!$F:$F,$E770))</f>
        <v/>
      </c>
      <c r="E770">
        <f>IFERROR(AGGREGATE(15,6,ROW('Input Transaksi'!$B$5:$B$5000)/('Input Transaksi'!$B$5:$B$5000="DIY"),ROWS($E$5:E770)),"")</f>
        <v/>
      </c>
      <c r="F770" s="5" t="n"/>
    </row>
    <row r="771">
      <c r="A771" s="10">
        <f>IF($E771="","",INDEX('Input Transaksi'!$A:$A,$E771))</f>
        <v/>
      </c>
      <c r="B771" s="5">
        <f>IF($E771="","",INDEX('Input Transaksi'!$D:$D,$E771))</f>
        <v/>
      </c>
      <c r="C771">
        <f>IF($E771="","",INDEX('Input Transaksi'!$E:$E,$E771))</f>
        <v/>
      </c>
      <c r="D771" s="5">
        <f>IF($E771="","",INDEX('Input Transaksi'!$F:$F,$E771))</f>
        <v/>
      </c>
      <c r="E771">
        <f>IFERROR(AGGREGATE(15,6,ROW('Input Transaksi'!$B$5:$B$5000)/('Input Transaksi'!$B$5:$B$5000="DIY"),ROWS($E$5:E771)),"")</f>
        <v/>
      </c>
      <c r="F771" s="5" t="n"/>
    </row>
    <row r="772">
      <c r="A772" s="10">
        <f>IF($E772="","",INDEX('Input Transaksi'!$A:$A,$E772))</f>
        <v/>
      </c>
      <c r="B772" s="5">
        <f>IF($E772="","",INDEX('Input Transaksi'!$D:$D,$E772))</f>
        <v/>
      </c>
      <c r="C772">
        <f>IF($E772="","",INDEX('Input Transaksi'!$E:$E,$E772))</f>
        <v/>
      </c>
      <c r="D772" s="5">
        <f>IF($E772="","",INDEX('Input Transaksi'!$F:$F,$E772))</f>
        <v/>
      </c>
      <c r="E772">
        <f>IFERROR(AGGREGATE(15,6,ROW('Input Transaksi'!$B$5:$B$5000)/('Input Transaksi'!$B$5:$B$5000="DIY"),ROWS($E$5:E772)),"")</f>
        <v/>
      </c>
      <c r="F772" s="5" t="n"/>
    </row>
    <row r="773">
      <c r="A773" s="10">
        <f>IF($E773="","",INDEX('Input Transaksi'!$A:$A,$E773))</f>
        <v/>
      </c>
      <c r="B773" s="5">
        <f>IF($E773="","",INDEX('Input Transaksi'!$D:$D,$E773))</f>
        <v/>
      </c>
      <c r="C773">
        <f>IF($E773="","",INDEX('Input Transaksi'!$E:$E,$E773))</f>
        <v/>
      </c>
      <c r="D773" s="5">
        <f>IF($E773="","",INDEX('Input Transaksi'!$F:$F,$E773))</f>
        <v/>
      </c>
      <c r="E773">
        <f>IFERROR(AGGREGATE(15,6,ROW('Input Transaksi'!$B$5:$B$5000)/('Input Transaksi'!$B$5:$B$5000="DIY"),ROWS($E$5:E773)),"")</f>
        <v/>
      </c>
      <c r="F773" s="5" t="n"/>
    </row>
    <row r="774">
      <c r="A774" s="10">
        <f>IF($E774="","",INDEX('Input Transaksi'!$A:$A,$E774))</f>
        <v/>
      </c>
      <c r="B774" s="5">
        <f>IF($E774="","",INDEX('Input Transaksi'!$D:$D,$E774))</f>
        <v/>
      </c>
      <c r="C774">
        <f>IF($E774="","",INDEX('Input Transaksi'!$E:$E,$E774))</f>
        <v/>
      </c>
      <c r="D774" s="5">
        <f>IF($E774="","",INDEX('Input Transaksi'!$F:$F,$E774))</f>
        <v/>
      </c>
      <c r="E774">
        <f>IFERROR(AGGREGATE(15,6,ROW('Input Transaksi'!$B$5:$B$5000)/('Input Transaksi'!$B$5:$B$5000="DIY"),ROWS($E$5:E774)),"")</f>
        <v/>
      </c>
      <c r="F774" s="5" t="n"/>
    </row>
    <row r="775">
      <c r="A775" s="10">
        <f>IF($E775="","",INDEX('Input Transaksi'!$A:$A,$E775))</f>
        <v/>
      </c>
      <c r="B775" s="5">
        <f>IF($E775="","",INDEX('Input Transaksi'!$D:$D,$E775))</f>
        <v/>
      </c>
      <c r="C775">
        <f>IF($E775="","",INDEX('Input Transaksi'!$E:$E,$E775))</f>
        <v/>
      </c>
      <c r="D775" s="5">
        <f>IF($E775="","",INDEX('Input Transaksi'!$F:$F,$E775))</f>
        <v/>
      </c>
      <c r="E775">
        <f>IFERROR(AGGREGATE(15,6,ROW('Input Transaksi'!$B$5:$B$5000)/('Input Transaksi'!$B$5:$B$5000="DIY"),ROWS($E$5:E775)),"")</f>
        <v/>
      </c>
      <c r="F775" s="5" t="n"/>
    </row>
    <row r="776">
      <c r="A776" s="10">
        <f>IF($E776="","",INDEX('Input Transaksi'!$A:$A,$E776))</f>
        <v/>
      </c>
      <c r="B776" s="5">
        <f>IF($E776="","",INDEX('Input Transaksi'!$D:$D,$E776))</f>
        <v/>
      </c>
      <c r="C776">
        <f>IF($E776="","",INDEX('Input Transaksi'!$E:$E,$E776))</f>
        <v/>
      </c>
      <c r="D776" s="5">
        <f>IF($E776="","",INDEX('Input Transaksi'!$F:$F,$E776))</f>
        <v/>
      </c>
      <c r="E776">
        <f>IFERROR(AGGREGATE(15,6,ROW('Input Transaksi'!$B$5:$B$5000)/('Input Transaksi'!$B$5:$B$5000="DIY"),ROWS($E$5:E776)),"")</f>
        <v/>
      </c>
      <c r="F776" s="5" t="n"/>
    </row>
    <row r="777">
      <c r="A777" s="10">
        <f>IF($E777="","",INDEX('Input Transaksi'!$A:$A,$E777))</f>
        <v/>
      </c>
      <c r="B777" s="5">
        <f>IF($E777="","",INDEX('Input Transaksi'!$D:$D,$E777))</f>
        <v/>
      </c>
      <c r="C777">
        <f>IF($E777="","",INDEX('Input Transaksi'!$E:$E,$E777))</f>
        <v/>
      </c>
      <c r="D777" s="5">
        <f>IF($E777="","",INDEX('Input Transaksi'!$F:$F,$E777))</f>
        <v/>
      </c>
      <c r="E777">
        <f>IFERROR(AGGREGATE(15,6,ROW('Input Transaksi'!$B$5:$B$5000)/('Input Transaksi'!$B$5:$B$5000="DIY"),ROWS($E$5:E777)),"")</f>
        <v/>
      </c>
      <c r="F777" s="5" t="n"/>
    </row>
    <row r="778">
      <c r="A778" s="10">
        <f>IF($E778="","",INDEX('Input Transaksi'!$A:$A,$E778))</f>
        <v/>
      </c>
      <c r="B778" s="5">
        <f>IF($E778="","",INDEX('Input Transaksi'!$D:$D,$E778))</f>
        <v/>
      </c>
      <c r="C778">
        <f>IF($E778="","",INDEX('Input Transaksi'!$E:$E,$E778))</f>
        <v/>
      </c>
      <c r="D778" s="5">
        <f>IF($E778="","",INDEX('Input Transaksi'!$F:$F,$E778))</f>
        <v/>
      </c>
      <c r="E778">
        <f>IFERROR(AGGREGATE(15,6,ROW('Input Transaksi'!$B$5:$B$5000)/('Input Transaksi'!$B$5:$B$5000="DIY"),ROWS($E$5:E778)),"")</f>
        <v/>
      </c>
      <c r="F778" s="5" t="n"/>
    </row>
    <row r="779">
      <c r="A779" s="10">
        <f>IF($E779="","",INDEX('Input Transaksi'!$A:$A,$E779))</f>
        <v/>
      </c>
      <c r="B779" s="5">
        <f>IF($E779="","",INDEX('Input Transaksi'!$D:$D,$E779))</f>
        <v/>
      </c>
      <c r="C779">
        <f>IF($E779="","",INDEX('Input Transaksi'!$E:$E,$E779))</f>
        <v/>
      </c>
      <c r="D779" s="5">
        <f>IF($E779="","",INDEX('Input Transaksi'!$F:$F,$E779))</f>
        <v/>
      </c>
      <c r="E779">
        <f>IFERROR(AGGREGATE(15,6,ROW('Input Transaksi'!$B$5:$B$5000)/('Input Transaksi'!$B$5:$B$5000="DIY"),ROWS($E$5:E779)),"")</f>
        <v/>
      </c>
      <c r="F779" s="5" t="n"/>
    </row>
    <row r="780">
      <c r="A780" s="10">
        <f>IF($E780="","",INDEX('Input Transaksi'!$A:$A,$E780))</f>
        <v/>
      </c>
      <c r="B780" s="5">
        <f>IF($E780="","",INDEX('Input Transaksi'!$D:$D,$E780))</f>
        <v/>
      </c>
      <c r="C780">
        <f>IF($E780="","",INDEX('Input Transaksi'!$E:$E,$E780))</f>
        <v/>
      </c>
      <c r="D780" s="5">
        <f>IF($E780="","",INDEX('Input Transaksi'!$F:$F,$E780))</f>
        <v/>
      </c>
      <c r="E780">
        <f>IFERROR(AGGREGATE(15,6,ROW('Input Transaksi'!$B$5:$B$5000)/('Input Transaksi'!$B$5:$B$5000="DIY"),ROWS($E$5:E780)),"")</f>
        <v/>
      </c>
      <c r="F780" s="5" t="n"/>
    </row>
    <row r="781">
      <c r="A781" s="10">
        <f>IF($E781="","",INDEX('Input Transaksi'!$A:$A,$E781))</f>
        <v/>
      </c>
      <c r="B781" s="5">
        <f>IF($E781="","",INDEX('Input Transaksi'!$D:$D,$E781))</f>
        <v/>
      </c>
      <c r="C781">
        <f>IF($E781="","",INDEX('Input Transaksi'!$E:$E,$E781))</f>
        <v/>
      </c>
      <c r="D781" s="5">
        <f>IF($E781="","",INDEX('Input Transaksi'!$F:$F,$E781))</f>
        <v/>
      </c>
      <c r="E781">
        <f>IFERROR(AGGREGATE(15,6,ROW('Input Transaksi'!$B$5:$B$5000)/('Input Transaksi'!$B$5:$B$5000="DIY"),ROWS($E$5:E781)),"")</f>
        <v/>
      </c>
      <c r="F781" s="5" t="n"/>
    </row>
    <row r="782">
      <c r="A782" s="10">
        <f>IF($E782="","",INDEX('Input Transaksi'!$A:$A,$E782))</f>
        <v/>
      </c>
      <c r="B782" s="5">
        <f>IF($E782="","",INDEX('Input Transaksi'!$D:$D,$E782))</f>
        <v/>
      </c>
      <c r="C782">
        <f>IF($E782="","",INDEX('Input Transaksi'!$E:$E,$E782))</f>
        <v/>
      </c>
      <c r="D782" s="5">
        <f>IF($E782="","",INDEX('Input Transaksi'!$F:$F,$E782))</f>
        <v/>
      </c>
      <c r="E782">
        <f>IFERROR(AGGREGATE(15,6,ROW('Input Transaksi'!$B$5:$B$5000)/('Input Transaksi'!$B$5:$B$5000="DIY"),ROWS($E$5:E782)),"")</f>
        <v/>
      </c>
      <c r="F782" s="5" t="n"/>
    </row>
    <row r="783">
      <c r="A783" s="10">
        <f>IF($E783="","",INDEX('Input Transaksi'!$A:$A,$E783))</f>
        <v/>
      </c>
      <c r="B783" s="5">
        <f>IF($E783="","",INDEX('Input Transaksi'!$D:$D,$E783))</f>
        <v/>
      </c>
      <c r="C783">
        <f>IF($E783="","",INDEX('Input Transaksi'!$E:$E,$E783))</f>
        <v/>
      </c>
      <c r="D783" s="5">
        <f>IF($E783="","",INDEX('Input Transaksi'!$F:$F,$E783))</f>
        <v/>
      </c>
      <c r="E783">
        <f>IFERROR(AGGREGATE(15,6,ROW('Input Transaksi'!$B$5:$B$5000)/('Input Transaksi'!$B$5:$B$5000="DIY"),ROWS($E$5:E783)),"")</f>
        <v/>
      </c>
      <c r="F783" s="5" t="n"/>
    </row>
    <row r="784">
      <c r="A784" s="10">
        <f>IF($E784="","",INDEX('Input Transaksi'!$A:$A,$E784))</f>
        <v/>
      </c>
      <c r="B784" s="5">
        <f>IF($E784="","",INDEX('Input Transaksi'!$D:$D,$E784))</f>
        <v/>
      </c>
      <c r="C784">
        <f>IF($E784="","",INDEX('Input Transaksi'!$E:$E,$E784))</f>
        <v/>
      </c>
      <c r="D784" s="5">
        <f>IF($E784="","",INDEX('Input Transaksi'!$F:$F,$E784))</f>
        <v/>
      </c>
      <c r="E784">
        <f>IFERROR(AGGREGATE(15,6,ROW('Input Transaksi'!$B$5:$B$5000)/('Input Transaksi'!$B$5:$B$5000="DIY"),ROWS($E$5:E784)),"")</f>
        <v/>
      </c>
      <c r="F784" s="5" t="n"/>
    </row>
    <row r="785">
      <c r="A785" s="10">
        <f>IF($E785="","",INDEX('Input Transaksi'!$A:$A,$E785))</f>
        <v/>
      </c>
      <c r="B785" s="5">
        <f>IF($E785="","",INDEX('Input Transaksi'!$D:$D,$E785))</f>
        <v/>
      </c>
      <c r="C785">
        <f>IF($E785="","",INDEX('Input Transaksi'!$E:$E,$E785))</f>
        <v/>
      </c>
      <c r="D785" s="5">
        <f>IF($E785="","",INDEX('Input Transaksi'!$F:$F,$E785))</f>
        <v/>
      </c>
      <c r="E785">
        <f>IFERROR(AGGREGATE(15,6,ROW('Input Transaksi'!$B$5:$B$5000)/('Input Transaksi'!$B$5:$B$5000="DIY"),ROWS($E$5:E785)),"")</f>
        <v/>
      </c>
      <c r="F785" s="5" t="n"/>
    </row>
    <row r="786">
      <c r="A786" s="10">
        <f>IF($E786="","",INDEX('Input Transaksi'!$A:$A,$E786))</f>
        <v/>
      </c>
      <c r="B786" s="5">
        <f>IF($E786="","",INDEX('Input Transaksi'!$D:$D,$E786))</f>
        <v/>
      </c>
      <c r="C786">
        <f>IF($E786="","",INDEX('Input Transaksi'!$E:$E,$E786))</f>
        <v/>
      </c>
      <c r="D786" s="5">
        <f>IF($E786="","",INDEX('Input Transaksi'!$F:$F,$E786))</f>
        <v/>
      </c>
      <c r="E786">
        <f>IFERROR(AGGREGATE(15,6,ROW('Input Transaksi'!$B$5:$B$5000)/('Input Transaksi'!$B$5:$B$5000="DIY"),ROWS($E$5:E786)),"")</f>
        <v/>
      </c>
      <c r="F786" s="5" t="n"/>
    </row>
    <row r="787">
      <c r="A787" s="10">
        <f>IF($E787="","",INDEX('Input Transaksi'!$A:$A,$E787))</f>
        <v/>
      </c>
      <c r="B787" s="5">
        <f>IF($E787="","",INDEX('Input Transaksi'!$D:$D,$E787))</f>
        <v/>
      </c>
      <c r="C787">
        <f>IF($E787="","",INDEX('Input Transaksi'!$E:$E,$E787))</f>
        <v/>
      </c>
      <c r="D787" s="5">
        <f>IF($E787="","",INDEX('Input Transaksi'!$F:$F,$E787))</f>
        <v/>
      </c>
      <c r="E787">
        <f>IFERROR(AGGREGATE(15,6,ROW('Input Transaksi'!$B$5:$B$5000)/('Input Transaksi'!$B$5:$B$5000="DIY"),ROWS($E$5:E787)),"")</f>
        <v/>
      </c>
      <c r="F787" s="5" t="n"/>
    </row>
    <row r="788">
      <c r="A788" s="10">
        <f>IF($E788="","",INDEX('Input Transaksi'!$A:$A,$E788))</f>
        <v/>
      </c>
      <c r="B788" s="5">
        <f>IF($E788="","",INDEX('Input Transaksi'!$D:$D,$E788))</f>
        <v/>
      </c>
      <c r="C788">
        <f>IF($E788="","",INDEX('Input Transaksi'!$E:$E,$E788))</f>
        <v/>
      </c>
      <c r="D788" s="5">
        <f>IF($E788="","",INDEX('Input Transaksi'!$F:$F,$E788))</f>
        <v/>
      </c>
      <c r="E788">
        <f>IFERROR(AGGREGATE(15,6,ROW('Input Transaksi'!$B$5:$B$5000)/('Input Transaksi'!$B$5:$B$5000="DIY"),ROWS($E$5:E788)),"")</f>
        <v/>
      </c>
      <c r="F788" s="5" t="n"/>
    </row>
    <row r="789">
      <c r="A789" s="10">
        <f>IF($E789="","",INDEX('Input Transaksi'!$A:$A,$E789))</f>
        <v/>
      </c>
      <c r="B789" s="5">
        <f>IF($E789="","",INDEX('Input Transaksi'!$D:$D,$E789))</f>
        <v/>
      </c>
      <c r="C789">
        <f>IF($E789="","",INDEX('Input Transaksi'!$E:$E,$E789))</f>
        <v/>
      </c>
      <c r="D789" s="5">
        <f>IF($E789="","",INDEX('Input Transaksi'!$F:$F,$E789))</f>
        <v/>
      </c>
      <c r="E789">
        <f>IFERROR(AGGREGATE(15,6,ROW('Input Transaksi'!$B$5:$B$5000)/('Input Transaksi'!$B$5:$B$5000="DIY"),ROWS($E$5:E789)),"")</f>
        <v/>
      </c>
      <c r="F789" s="5" t="n"/>
    </row>
    <row r="790">
      <c r="A790" s="10">
        <f>IF($E790="","",INDEX('Input Transaksi'!$A:$A,$E790))</f>
        <v/>
      </c>
      <c r="B790" s="5">
        <f>IF($E790="","",INDEX('Input Transaksi'!$D:$D,$E790))</f>
        <v/>
      </c>
      <c r="C790">
        <f>IF($E790="","",INDEX('Input Transaksi'!$E:$E,$E790))</f>
        <v/>
      </c>
      <c r="D790" s="5">
        <f>IF($E790="","",INDEX('Input Transaksi'!$F:$F,$E790))</f>
        <v/>
      </c>
      <c r="E790">
        <f>IFERROR(AGGREGATE(15,6,ROW('Input Transaksi'!$B$5:$B$5000)/('Input Transaksi'!$B$5:$B$5000="DIY"),ROWS($E$5:E790)),"")</f>
        <v/>
      </c>
      <c r="F790" s="5" t="n"/>
    </row>
    <row r="791">
      <c r="A791" s="10">
        <f>IF($E791="","",INDEX('Input Transaksi'!$A:$A,$E791))</f>
        <v/>
      </c>
      <c r="B791" s="5">
        <f>IF($E791="","",INDEX('Input Transaksi'!$D:$D,$E791))</f>
        <v/>
      </c>
      <c r="C791">
        <f>IF($E791="","",INDEX('Input Transaksi'!$E:$E,$E791))</f>
        <v/>
      </c>
      <c r="D791" s="5">
        <f>IF($E791="","",INDEX('Input Transaksi'!$F:$F,$E791))</f>
        <v/>
      </c>
      <c r="E791">
        <f>IFERROR(AGGREGATE(15,6,ROW('Input Transaksi'!$B$5:$B$5000)/('Input Transaksi'!$B$5:$B$5000="DIY"),ROWS($E$5:E791)),"")</f>
        <v/>
      </c>
      <c r="F791" s="5" t="n"/>
    </row>
    <row r="792">
      <c r="A792" s="10">
        <f>IF($E792="","",INDEX('Input Transaksi'!$A:$A,$E792))</f>
        <v/>
      </c>
      <c r="B792" s="5">
        <f>IF($E792="","",INDEX('Input Transaksi'!$D:$D,$E792))</f>
        <v/>
      </c>
      <c r="C792">
        <f>IF($E792="","",INDEX('Input Transaksi'!$E:$E,$E792))</f>
        <v/>
      </c>
      <c r="D792" s="5">
        <f>IF($E792="","",INDEX('Input Transaksi'!$F:$F,$E792))</f>
        <v/>
      </c>
      <c r="E792">
        <f>IFERROR(AGGREGATE(15,6,ROW('Input Transaksi'!$B$5:$B$5000)/('Input Transaksi'!$B$5:$B$5000="DIY"),ROWS($E$5:E792)),"")</f>
        <v/>
      </c>
      <c r="F792" s="5" t="n"/>
    </row>
    <row r="793">
      <c r="A793" s="10">
        <f>IF($E793="","",INDEX('Input Transaksi'!$A:$A,$E793))</f>
        <v/>
      </c>
      <c r="B793" s="5">
        <f>IF($E793="","",INDEX('Input Transaksi'!$D:$D,$E793))</f>
        <v/>
      </c>
      <c r="C793">
        <f>IF($E793="","",INDEX('Input Transaksi'!$E:$E,$E793))</f>
        <v/>
      </c>
      <c r="D793" s="5">
        <f>IF($E793="","",INDEX('Input Transaksi'!$F:$F,$E793))</f>
        <v/>
      </c>
      <c r="E793">
        <f>IFERROR(AGGREGATE(15,6,ROW('Input Transaksi'!$B$5:$B$5000)/('Input Transaksi'!$B$5:$B$5000="DIY"),ROWS($E$5:E793)),"")</f>
        <v/>
      </c>
      <c r="F793" s="5" t="n"/>
    </row>
    <row r="794">
      <c r="A794" s="10">
        <f>IF($E794="","",INDEX('Input Transaksi'!$A:$A,$E794))</f>
        <v/>
      </c>
      <c r="B794" s="5">
        <f>IF($E794="","",INDEX('Input Transaksi'!$D:$D,$E794))</f>
        <v/>
      </c>
      <c r="C794">
        <f>IF($E794="","",INDEX('Input Transaksi'!$E:$E,$E794))</f>
        <v/>
      </c>
      <c r="D794" s="5">
        <f>IF($E794="","",INDEX('Input Transaksi'!$F:$F,$E794))</f>
        <v/>
      </c>
      <c r="E794">
        <f>IFERROR(AGGREGATE(15,6,ROW('Input Transaksi'!$B$5:$B$5000)/('Input Transaksi'!$B$5:$B$5000="DIY"),ROWS($E$5:E794)),"")</f>
        <v/>
      </c>
      <c r="F794" s="5" t="n"/>
    </row>
    <row r="795">
      <c r="A795" s="10">
        <f>IF($E795="","",INDEX('Input Transaksi'!$A:$A,$E795))</f>
        <v/>
      </c>
      <c r="B795" s="5">
        <f>IF($E795="","",INDEX('Input Transaksi'!$D:$D,$E795))</f>
        <v/>
      </c>
      <c r="C795">
        <f>IF($E795="","",INDEX('Input Transaksi'!$E:$E,$E795))</f>
        <v/>
      </c>
      <c r="D795" s="5">
        <f>IF($E795="","",INDEX('Input Transaksi'!$F:$F,$E795))</f>
        <v/>
      </c>
      <c r="E795">
        <f>IFERROR(AGGREGATE(15,6,ROW('Input Transaksi'!$B$5:$B$5000)/('Input Transaksi'!$B$5:$B$5000="DIY"),ROWS($E$5:E795)),"")</f>
        <v/>
      </c>
      <c r="F795" s="5" t="n"/>
    </row>
    <row r="796">
      <c r="A796" s="10">
        <f>IF($E796="","",INDEX('Input Transaksi'!$A:$A,$E796))</f>
        <v/>
      </c>
      <c r="B796" s="5">
        <f>IF($E796="","",INDEX('Input Transaksi'!$D:$D,$E796))</f>
        <v/>
      </c>
      <c r="C796">
        <f>IF($E796="","",INDEX('Input Transaksi'!$E:$E,$E796))</f>
        <v/>
      </c>
      <c r="D796" s="5">
        <f>IF($E796="","",INDEX('Input Transaksi'!$F:$F,$E796))</f>
        <v/>
      </c>
      <c r="E796">
        <f>IFERROR(AGGREGATE(15,6,ROW('Input Transaksi'!$B$5:$B$5000)/('Input Transaksi'!$B$5:$B$5000="DIY"),ROWS($E$5:E796)),"")</f>
        <v/>
      </c>
      <c r="F796" s="5" t="n"/>
    </row>
    <row r="797">
      <c r="A797" s="10">
        <f>IF($E797="","",INDEX('Input Transaksi'!$A:$A,$E797))</f>
        <v/>
      </c>
      <c r="B797" s="5">
        <f>IF($E797="","",INDEX('Input Transaksi'!$D:$D,$E797))</f>
        <v/>
      </c>
      <c r="C797">
        <f>IF($E797="","",INDEX('Input Transaksi'!$E:$E,$E797))</f>
        <v/>
      </c>
      <c r="D797" s="5">
        <f>IF($E797="","",INDEX('Input Transaksi'!$F:$F,$E797))</f>
        <v/>
      </c>
      <c r="E797">
        <f>IFERROR(AGGREGATE(15,6,ROW('Input Transaksi'!$B$5:$B$5000)/('Input Transaksi'!$B$5:$B$5000="DIY"),ROWS($E$5:E797)),"")</f>
        <v/>
      </c>
      <c r="F797" s="5" t="n"/>
    </row>
    <row r="798">
      <c r="A798" s="10">
        <f>IF($E798="","",INDEX('Input Transaksi'!$A:$A,$E798))</f>
        <v/>
      </c>
      <c r="B798" s="5">
        <f>IF($E798="","",INDEX('Input Transaksi'!$D:$D,$E798))</f>
        <v/>
      </c>
      <c r="C798">
        <f>IF($E798="","",INDEX('Input Transaksi'!$E:$E,$E798))</f>
        <v/>
      </c>
      <c r="D798" s="5">
        <f>IF($E798="","",INDEX('Input Transaksi'!$F:$F,$E798))</f>
        <v/>
      </c>
      <c r="E798">
        <f>IFERROR(AGGREGATE(15,6,ROW('Input Transaksi'!$B$5:$B$5000)/('Input Transaksi'!$B$5:$B$5000="DIY"),ROWS($E$5:E798)),"")</f>
        <v/>
      </c>
      <c r="F798" s="5" t="n"/>
    </row>
    <row r="799">
      <c r="A799" s="10">
        <f>IF($E799="","",INDEX('Input Transaksi'!$A:$A,$E799))</f>
        <v/>
      </c>
      <c r="B799" s="5">
        <f>IF($E799="","",INDEX('Input Transaksi'!$D:$D,$E799))</f>
        <v/>
      </c>
      <c r="C799">
        <f>IF($E799="","",INDEX('Input Transaksi'!$E:$E,$E799))</f>
        <v/>
      </c>
      <c r="D799" s="5">
        <f>IF($E799="","",INDEX('Input Transaksi'!$F:$F,$E799))</f>
        <v/>
      </c>
      <c r="E799">
        <f>IFERROR(AGGREGATE(15,6,ROW('Input Transaksi'!$B$5:$B$5000)/('Input Transaksi'!$B$5:$B$5000="DIY"),ROWS($E$5:E799)),"")</f>
        <v/>
      </c>
      <c r="F799" s="5" t="n"/>
    </row>
    <row r="800">
      <c r="A800" s="10">
        <f>IF($E800="","",INDEX('Input Transaksi'!$A:$A,$E800))</f>
        <v/>
      </c>
      <c r="B800" s="5">
        <f>IF($E800="","",INDEX('Input Transaksi'!$D:$D,$E800))</f>
        <v/>
      </c>
      <c r="C800">
        <f>IF($E800="","",INDEX('Input Transaksi'!$E:$E,$E800))</f>
        <v/>
      </c>
      <c r="D800" s="5">
        <f>IF($E800="","",INDEX('Input Transaksi'!$F:$F,$E800))</f>
        <v/>
      </c>
      <c r="E800">
        <f>IFERROR(AGGREGATE(15,6,ROW('Input Transaksi'!$B$5:$B$5000)/('Input Transaksi'!$B$5:$B$5000="DIY"),ROWS($E$5:E800)),"")</f>
        <v/>
      </c>
      <c r="F800" s="5" t="n"/>
    </row>
    <row r="801">
      <c r="A801" s="10">
        <f>IF($E801="","",INDEX('Input Transaksi'!$A:$A,$E801))</f>
        <v/>
      </c>
      <c r="B801" s="5">
        <f>IF($E801="","",INDEX('Input Transaksi'!$D:$D,$E801))</f>
        <v/>
      </c>
      <c r="C801">
        <f>IF($E801="","",INDEX('Input Transaksi'!$E:$E,$E801))</f>
        <v/>
      </c>
      <c r="D801" s="5">
        <f>IF($E801="","",INDEX('Input Transaksi'!$F:$F,$E801))</f>
        <v/>
      </c>
      <c r="E801">
        <f>IFERROR(AGGREGATE(15,6,ROW('Input Transaksi'!$B$5:$B$5000)/('Input Transaksi'!$B$5:$B$5000="DIY"),ROWS($E$5:E801)),"")</f>
        <v/>
      </c>
      <c r="F801" s="5" t="n"/>
    </row>
    <row r="802">
      <c r="A802" s="10">
        <f>IF($E802="","",INDEX('Input Transaksi'!$A:$A,$E802))</f>
        <v/>
      </c>
      <c r="B802" s="5">
        <f>IF($E802="","",INDEX('Input Transaksi'!$D:$D,$E802))</f>
        <v/>
      </c>
      <c r="C802">
        <f>IF($E802="","",INDEX('Input Transaksi'!$E:$E,$E802))</f>
        <v/>
      </c>
      <c r="D802" s="5">
        <f>IF($E802="","",INDEX('Input Transaksi'!$F:$F,$E802))</f>
        <v/>
      </c>
      <c r="E802">
        <f>IFERROR(AGGREGATE(15,6,ROW('Input Transaksi'!$B$5:$B$5000)/('Input Transaksi'!$B$5:$B$5000="DIY"),ROWS($E$5:E802)),"")</f>
        <v/>
      </c>
      <c r="F802" s="5" t="n"/>
    </row>
    <row r="803">
      <c r="A803" s="10">
        <f>IF($E803="","",INDEX('Input Transaksi'!$A:$A,$E803))</f>
        <v/>
      </c>
      <c r="B803" s="5">
        <f>IF($E803="","",INDEX('Input Transaksi'!$D:$D,$E803))</f>
        <v/>
      </c>
      <c r="C803">
        <f>IF($E803="","",INDEX('Input Transaksi'!$E:$E,$E803))</f>
        <v/>
      </c>
      <c r="D803" s="5">
        <f>IF($E803="","",INDEX('Input Transaksi'!$F:$F,$E803))</f>
        <v/>
      </c>
      <c r="E803">
        <f>IFERROR(AGGREGATE(15,6,ROW('Input Transaksi'!$B$5:$B$5000)/('Input Transaksi'!$B$5:$B$5000="DIY"),ROWS($E$5:E803)),"")</f>
        <v/>
      </c>
      <c r="F803" s="5" t="n"/>
    </row>
    <row r="804">
      <c r="A804" s="10">
        <f>IF($E804="","",INDEX('Input Transaksi'!$A:$A,$E804))</f>
        <v/>
      </c>
      <c r="B804" s="5">
        <f>IF($E804="","",INDEX('Input Transaksi'!$D:$D,$E804))</f>
        <v/>
      </c>
      <c r="C804">
        <f>IF($E804="","",INDEX('Input Transaksi'!$E:$E,$E804))</f>
        <v/>
      </c>
      <c r="D804" s="5">
        <f>IF($E804="","",INDEX('Input Transaksi'!$F:$F,$E804))</f>
        <v/>
      </c>
      <c r="E804">
        <f>IFERROR(AGGREGATE(15,6,ROW('Input Transaksi'!$B$5:$B$5000)/('Input Transaksi'!$B$5:$B$5000="DIY"),ROWS($E$5:E804)),"")</f>
        <v/>
      </c>
      <c r="F804" s="5" t="n"/>
    </row>
    <row r="805">
      <c r="A805" s="10">
        <f>IF($E805="","",INDEX('Input Transaksi'!$A:$A,$E805))</f>
        <v/>
      </c>
      <c r="B805" s="5">
        <f>IF($E805="","",INDEX('Input Transaksi'!$D:$D,$E805))</f>
        <v/>
      </c>
      <c r="C805">
        <f>IF($E805="","",INDEX('Input Transaksi'!$E:$E,$E805))</f>
        <v/>
      </c>
      <c r="D805" s="5">
        <f>IF($E805="","",INDEX('Input Transaksi'!$F:$F,$E805))</f>
        <v/>
      </c>
      <c r="E805">
        <f>IFERROR(AGGREGATE(15,6,ROW('Input Transaksi'!$B$5:$B$5000)/('Input Transaksi'!$B$5:$B$5000="DIY"),ROWS($E$5:E805)),"")</f>
        <v/>
      </c>
      <c r="F805" s="5" t="n"/>
    </row>
    <row r="806">
      <c r="A806" s="10">
        <f>IF($E806="","",INDEX('Input Transaksi'!$A:$A,$E806))</f>
        <v/>
      </c>
      <c r="B806" s="5">
        <f>IF($E806="","",INDEX('Input Transaksi'!$D:$D,$E806))</f>
        <v/>
      </c>
      <c r="C806">
        <f>IF($E806="","",INDEX('Input Transaksi'!$E:$E,$E806))</f>
        <v/>
      </c>
      <c r="D806" s="5">
        <f>IF($E806="","",INDEX('Input Transaksi'!$F:$F,$E806))</f>
        <v/>
      </c>
      <c r="E806">
        <f>IFERROR(AGGREGATE(15,6,ROW('Input Transaksi'!$B$5:$B$5000)/('Input Transaksi'!$B$5:$B$5000="DIY"),ROWS($E$5:E806)),"")</f>
        <v/>
      </c>
      <c r="F806" s="5" t="n"/>
    </row>
    <row r="807">
      <c r="A807" s="10">
        <f>IF($E807="","",INDEX('Input Transaksi'!$A:$A,$E807))</f>
        <v/>
      </c>
      <c r="B807" s="5">
        <f>IF($E807="","",INDEX('Input Transaksi'!$D:$D,$E807))</f>
        <v/>
      </c>
      <c r="C807">
        <f>IF($E807="","",INDEX('Input Transaksi'!$E:$E,$E807))</f>
        <v/>
      </c>
      <c r="D807" s="5">
        <f>IF($E807="","",INDEX('Input Transaksi'!$F:$F,$E807))</f>
        <v/>
      </c>
      <c r="E807">
        <f>IFERROR(AGGREGATE(15,6,ROW('Input Transaksi'!$B$5:$B$5000)/('Input Transaksi'!$B$5:$B$5000="DIY"),ROWS($E$5:E807)),"")</f>
        <v/>
      </c>
      <c r="F807" s="5" t="n"/>
    </row>
    <row r="808">
      <c r="A808" s="10">
        <f>IF($E808="","",INDEX('Input Transaksi'!$A:$A,$E808))</f>
        <v/>
      </c>
      <c r="B808" s="5">
        <f>IF($E808="","",INDEX('Input Transaksi'!$D:$D,$E808))</f>
        <v/>
      </c>
      <c r="C808">
        <f>IF($E808="","",INDEX('Input Transaksi'!$E:$E,$E808))</f>
        <v/>
      </c>
      <c r="D808" s="5">
        <f>IF($E808="","",INDEX('Input Transaksi'!$F:$F,$E808))</f>
        <v/>
      </c>
      <c r="E808">
        <f>IFERROR(AGGREGATE(15,6,ROW('Input Transaksi'!$B$5:$B$5000)/('Input Transaksi'!$B$5:$B$5000="DIY"),ROWS($E$5:E808)),"")</f>
        <v/>
      </c>
      <c r="F808" s="5" t="n"/>
    </row>
    <row r="809">
      <c r="A809" s="10">
        <f>IF($E809="","",INDEX('Input Transaksi'!$A:$A,$E809))</f>
        <v/>
      </c>
      <c r="B809" s="5">
        <f>IF($E809="","",INDEX('Input Transaksi'!$D:$D,$E809))</f>
        <v/>
      </c>
      <c r="C809">
        <f>IF($E809="","",INDEX('Input Transaksi'!$E:$E,$E809))</f>
        <v/>
      </c>
      <c r="D809" s="5">
        <f>IF($E809="","",INDEX('Input Transaksi'!$F:$F,$E809))</f>
        <v/>
      </c>
      <c r="E809">
        <f>IFERROR(AGGREGATE(15,6,ROW('Input Transaksi'!$B$5:$B$5000)/('Input Transaksi'!$B$5:$B$5000="DIY"),ROWS($E$5:E809)),"")</f>
        <v/>
      </c>
      <c r="F809" s="5" t="n"/>
    </row>
    <row r="810">
      <c r="A810" s="10">
        <f>IF($E810="","",INDEX('Input Transaksi'!$A:$A,$E810))</f>
        <v/>
      </c>
      <c r="B810" s="5">
        <f>IF($E810="","",INDEX('Input Transaksi'!$D:$D,$E810))</f>
        <v/>
      </c>
      <c r="C810">
        <f>IF($E810="","",INDEX('Input Transaksi'!$E:$E,$E810))</f>
        <v/>
      </c>
      <c r="D810" s="5">
        <f>IF($E810="","",INDEX('Input Transaksi'!$F:$F,$E810))</f>
        <v/>
      </c>
      <c r="E810">
        <f>IFERROR(AGGREGATE(15,6,ROW('Input Transaksi'!$B$5:$B$5000)/('Input Transaksi'!$B$5:$B$5000="DIY"),ROWS($E$5:E810)),"")</f>
        <v/>
      </c>
      <c r="F810" s="5" t="n"/>
    </row>
    <row r="811">
      <c r="A811" s="10">
        <f>IF($E811="","",INDEX('Input Transaksi'!$A:$A,$E811))</f>
        <v/>
      </c>
      <c r="B811" s="5">
        <f>IF($E811="","",INDEX('Input Transaksi'!$D:$D,$E811))</f>
        <v/>
      </c>
      <c r="C811">
        <f>IF($E811="","",INDEX('Input Transaksi'!$E:$E,$E811))</f>
        <v/>
      </c>
      <c r="D811" s="5">
        <f>IF($E811="","",INDEX('Input Transaksi'!$F:$F,$E811))</f>
        <v/>
      </c>
      <c r="E811">
        <f>IFERROR(AGGREGATE(15,6,ROW('Input Transaksi'!$B$5:$B$5000)/('Input Transaksi'!$B$5:$B$5000="DIY"),ROWS($E$5:E811)),"")</f>
        <v/>
      </c>
      <c r="F811" s="5" t="n"/>
    </row>
    <row r="812">
      <c r="A812" s="10">
        <f>IF($E812="","",INDEX('Input Transaksi'!$A:$A,$E812))</f>
        <v/>
      </c>
      <c r="B812" s="5">
        <f>IF($E812="","",INDEX('Input Transaksi'!$D:$D,$E812))</f>
        <v/>
      </c>
      <c r="C812">
        <f>IF($E812="","",INDEX('Input Transaksi'!$E:$E,$E812))</f>
        <v/>
      </c>
      <c r="D812" s="5">
        <f>IF($E812="","",INDEX('Input Transaksi'!$F:$F,$E812))</f>
        <v/>
      </c>
      <c r="E812">
        <f>IFERROR(AGGREGATE(15,6,ROW('Input Transaksi'!$B$5:$B$5000)/('Input Transaksi'!$B$5:$B$5000="DIY"),ROWS($E$5:E812)),"")</f>
        <v/>
      </c>
      <c r="F812" s="5" t="n"/>
    </row>
    <row r="813">
      <c r="A813" s="10">
        <f>IF($E813="","",INDEX('Input Transaksi'!$A:$A,$E813))</f>
        <v/>
      </c>
      <c r="B813" s="5">
        <f>IF($E813="","",INDEX('Input Transaksi'!$D:$D,$E813))</f>
        <v/>
      </c>
      <c r="C813">
        <f>IF($E813="","",INDEX('Input Transaksi'!$E:$E,$E813))</f>
        <v/>
      </c>
      <c r="D813" s="5">
        <f>IF($E813="","",INDEX('Input Transaksi'!$F:$F,$E813))</f>
        <v/>
      </c>
      <c r="E813">
        <f>IFERROR(AGGREGATE(15,6,ROW('Input Transaksi'!$B$5:$B$5000)/('Input Transaksi'!$B$5:$B$5000="DIY"),ROWS($E$5:E813)),"")</f>
        <v/>
      </c>
      <c r="F813" s="5" t="n"/>
    </row>
    <row r="814">
      <c r="A814" s="10">
        <f>IF($E814="","",INDEX('Input Transaksi'!$A:$A,$E814))</f>
        <v/>
      </c>
      <c r="B814" s="5">
        <f>IF($E814="","",INDEX('Input Transaksi'!$D:$D,$E814))</f>
        <v/>
      </c>
      <c r="C814">
        <f>IF($E814="","",INDEX('Input Transaksi'!$E:$E,$E814))</f>
        <v/>
      </c>
      <c r="D814" s="5">
        <f>IF($E814="","",INDEX('Input Transaksi'!$F:$F,$E814))</f>
        <v/>
      </c>
      <c r="E814">
        <f>IFERROR(AGGREGATE(15,6,ROW('Input Transaksi'!$B$5:$B$5000)/('Input Transaksi'!$B$5:$B$5000="DIY"),ROWS($E$5:E814)),"")</f>
        <v/>
      </c>
      <c r="F814" s="5" t="n"/>
    </row>
    <row r="815">
      <c r="A815" s="10">
        <f>IF($E815="","",INDEX('Input Transaksi'!$A:$A,$E815))</f>
        <v/>
      </c>
      <c r="B815" s="5">
        <f>IF($E815="","",INDEX('Input Transaksi'!$D:$D,$E815))</f>
        <v/>
      </c>
      <c r="C815">
        <f>IF($E815="","",INDEX('Input Transaksi'!$E:$E,$E815))</f>
        <v/>
      </c>
      <c r="D815" s="5">
        <f>IF($E815="","",INDEX('Input Transaksi'!$F:$F,$E815))</f>
        <v/>
      </c>
      <c r="E815">
        <f>IFERROR(AGGREGATE(15,6,ROW('Input Transaksi'!$B$5:$B$5000)/('Input Transaksi'!$B$5:$B$5000="DIY"),ROWS($E$5:E815)),"")</f>
        <v/>
      </c>
      <c r="F815" s="5" t="n"/>
    </row>
    <row r="816">
      <c r="A816" s="10">
        <f>IF($E816="","",INDEX('Input Transaksi'!$A:$A,$E816))</f>
        <v/>
      </c>
      <c r="B816" s="5">
        <f>IF($E816="","",INDEX('Input Transaksi'!$D:$D,$E816))</f>
        <v/>
      </c>
      <c r="C816">
        <f>IF($E816="","",INDEX('Input Transaksi'!$E:$E,$E816))</f>
        <v/>
      </c>
      <c r="D816" s="5">
        <f>IF($E816="","",INDEX('Input Transaksi'!$F:$F,$E816))</f>
        <v/>
      </c>
      <c r="E816">
        <f>IFERROR(AGGREGATE(15,6,ROW('Input Transaksi'!$B$5:$B$5000)/('Input Transaksi'!$B$5:$B$5000="DIY"),ROWS($E$5:E816)),"")</f>
        <v/>
      </c>
      <c r="F816" s="5" t="n"/>
    </row>
    <row r="817">
      <c r="A817" s="10">
        <f>IF($E817="","",INDEX('Input Transaksi'!$A:$A,$E817))</f>
        <v/>
      </c>
      <c r="B817" s="5">
        <f>IF($E817="","",INDEX('Input Transaksi'!$D:$D,$E817))</f>
        <v/>
      </c>
      <c r="C817">
        <f>IF($E817="","",INDEX('Input Transaksi'!$E:$E,$E817))</f>
        <v/>
      </c>
      <c r="D817" s="5">
        <f>IF($E817="","",INDEX('Input Transaksi'!$F:$F,$E817))</f>
        <v/>
      </c>
      <c r="E817">
        <f>IFERROR(AGGREGATE(15,6,ROW('Input Transaksi'!$B$5:$B$5000)/('Input Transaksi'!$B$5:$B$5000="DIY"),ROWS($E$5:E817)),"")</f>
        <v/>
      </c>
      <c r="F817" s="5" t="n"/>
    </row>
    <row r="818">
      <c r="A818" s="10">
        <f>IF($E818="","",INDEX('Input Transaksi'!$A:$A,$E818))</f>
        <v/>
      </c>
      <c r="B818" s="5">
        <f>IF($E818="","",INDEX('Input Transaksi'!$D:$D,$E818))</f>
        <v/>
      </c>
      <c r="C818">
        <f>IF($E818="","",INDEX('Input Transaksi'!$E:$E,$E818))</f>
        <v/>
      </c>
      <c r="D818" s="5">
        <f>IF($E818="","",INDEX('Input Transaksi'!$F:$F,$E818))</f>
        <v/>
      </c>
      <c r="E818">
        <f>IFERROR(AGGREGATE(15,6,ROW('Input Transaksi'!$B$5:$B$5000)/('Input Transaksi'!$B$5:$B$5000="DIY"),ROWS($E$5:E818)),"")</f>
        <v/>
      </c>
      <c r="F818" s="5" t="n"/>
    </row>
    <row r="819">
      <c r="A819" s="10">
        <f>IF($E819="","",INDEX('Input Transaksi'!$A:$A,$E819))</f>
        <v/>
      </c>
      <c r="B819" s="5">
        <f>IF($E819="","",INDEX('Input Transaksi'!$D:$D,$E819))</f>
        <v/>
      </c>
      <c r="C819">
        <f>IF($E819="","",INDEX('Input Transaksi'!$E:$E,$E819))</f>
        <v/>
      </c>
      <c r="D819" s="5">
        <f>IF($E819="","",INDEX('Input Transaksi'!$F:$F,$E819))</f>
        <v/>
      </c>
      <c r="E819">
        <f>IFERROR(AGGREGATE(15,6,ROW('Input Transaksi'!$B$5:$B$5000)/('Input Transaksi'!$B$5:$B$5000="DIY"),ROWS($E$5:E819)),"")</f>
        <v/>
      </c>
      <c r="F819" s="5" t="n"/>
    </row>
    <row r="820">
      <c r="A820" s="10">
        <f>IF($E820="","",INDEX('Input Transaksi'!$A:$A,$E820))</f>
        <v/>
      </c>
      <c r="B820" s="5">
        <f>IF($E820="","",INDEX('Input Transaksi'!$D:$D,$E820))</f>
        <v/>
      </c>
      <c r="C820">
        <f>IF($E820="","",INDEX('Input Transaksi'!$E:$E,$E820))</f>
        <v/>
      </c>
      <c r="D820" s="5">
        <f>IF($E820="","",INDEX('Input Transaksi'!$F:$F,$E820))</f>
        <v/>
      </c>
      <c r="E820">
        <f>IFERROR(AGGREGATE(15,6,ROW('Input Transaksi'!$B$5:$B$5000)/('Input Transaksi'!$B$5:$B$5000="DIY"),ROWS($E$5:E820)),"")</f>
        <v/>
      </c>
      <c r="F820" s="5" t="n"/>
    </row>
    <row r="821">
      <c r="A821" s="10">
        <f>IF($E821="","",INDEX('Input Transaksi'!$A:$A,$E821))</f>
        <v/>
      </c>
      <c r="B821" s="5">
        <f>IF($E821="","",INDEX('Input Transaksi'!$D:$D,$E821))</f>
        <v/>
      </c>
      <c r="C821">
        <f>IF($E821="","",INDEX('Input Transaksi'!$E:$E,$E821))</f>
        <v/>
      </c>
      <c r="D821" s="5">
        <f>IF($E821="","",INDEX('Input Transaksi'!$F:$F,$E821))</f>
        <v/>
      </c>
      <c r="E821">
        <f>IFERROR(AGGREGATE(15,6,ROW('Input Transaksi'!$B$5:$B$5000)/('Input Transaksi'!$B$5:$B$5000="DIY"),ROWS($E$5:E821)),"")</f>
        <v/>
      </c>
      <c r="F821" s="5" t="n"/>
    </row>
    <row r="822">
      <c r="A822" s="10">
        <f>IF($E822="","",INDEX('Input Transaksi'!$A:$A,$E822))</f>
        <v/>
      </c>
      <c r="B822" s="5">
        <f>IF($E822="","",INDEX('Input Transaksi'!$D:$D,$E822))</f>
        <v/>
      </c>
      <c r="C822">
        <f>IF($E822="","",INDEX('Input Transaksi'!$E:$E,$E822))</f>
        <v/>
      </c>
      <c r="D822" s="5">
        <f>IF($E822="","",INDEX('Input Transaksi'!$F:$F,$E822))</f>
        <v/>
      </c>
      <c r="E822">
        <f>IFERROR(AGGREGATE(15,6,ROW('Input Transaksi'!$B$5:$B$5000)/('Input Transaksi'!$B$5:$B$5000="DIY"),ROWS($E$5:E822)),"")</f>
        <v/>
      </c>
      <c r="F822" s="5" t="n"/>
    </row>
    <row r="823">
      <c r="A823" s="10">
        <f>IF($E823="","",INDEX('Input Transaksi'!$A:$A,$E823))</f>
        <v/>
      </c>
      <c r="B823" s="5">
        <f>IF($E823="","",INDEX('Input Transaksi'!$D:$D,$E823))</f>
        <v/>
      </c>
      <c r="C823">
        <f>IF($E823="","",INDEX('Input Transaksi'!$E:$E,$E823))</f>
        <v/>
      </c>
      <c r="D823" s="5">
        <f>IF($E823="","",INDEX('Input Transaksi'!$F:$F,$E823))</f>
        <v/>
      </c>
      <c r="E823">
        <f>IFERROR(AGGREGATE(15,6,ROW('Input Transaksi'!$B$5:$B$5000)/('Input Transaksi'!$B$5:$B$5000="DIY"),ROWS($E$5:E823)),"")</f>
        <v/>
      </c>
      <c r="F823" s="5" t="n"/>
    </row>
    <row r="824">
      <c r="A824" s="10">
        <f>IF($E824="","",INDEX('Input Transaksi'!$A:$A,$E824))</f>
        <v/>
      </c>
      <c r="B824" s="5">
        <f>IF($E824="","",INDEX('Input Transaksi'!$D:$D,$E824))</f>
        <v/>
      </c>
      <c r="C824">
        <f>IF($E824="","",INDEX('Input Transaksi'!$E:$E,$E824))</f>
        <v/>
      </c>
      <c r="D824" s="5">
        <f>IF($E824="","",INDEX('Input Transaksi'!$F:$F,$E824))</f>
        <v/>
      </c>
      <c r="E824">
        <f>IFERROR(AGGREGATE(15,6,ROW('Input Transaksi'!$B$5:$B$5000)/('Input Transaksi'!$B$5:$B$5000="DIY"),ROWS($E$5:E824)),"")</f>
        <v/>
      </c>
      <c r="F824" s="5" t="n"/>
    </row>
    <row r="825">
      <c r="A825" s="10">
        <f>IF($E825="","",INDEX('Input Transaksi'!$A:$A,$E825))</f>
        <v/>
      </c>
      <c r="B825" s="5">
        <f>IF($E825="","",INDEX('Input Transaksi'!$D:$D,$E825))</f>
        <v/>
      </c>
      <c r="C825">
        <f>IF($E825="","",INDEX('Input Transaksi'!$E:$E,$E825))</f>
        <v/>
      </c>
      <c r="D825" s="5">
        <f>IF($E825="","",INDEX('Input Transaksi'!$F:$F,$E825))</f>
        <v/>
      </c>
      <c r="E825">
        <f>IFERROR(AGGREGATE(15,6,ROW('Input Transaksi'!$B$5:$B$5000)/('Input Transaksi'!$B$5:$B$5000="DIY"),ROWS($E$5:E825)),"")</f>
        <v/>
      </c>
      <c r="F825" s="5" t="n"/>
    </row>
    <row r="826">
      <c r="A826" s="10">
        <f>IF($E826="","",INDEX('Input Transaksi'!$A:$A,$E826))</f>
        <v/>
      </c>
      <c r="B826" s="5">
        <f>IF($E826="","",INDEX('Input Transaksi'!$D:$D,$E826))</f>
        <v/>
      </c>
      <c r="C826">
        <f>IF($E826="","",INDEX('Input Transaksi'!$E:$E,$E826))</f>
        <v/>
      </c>
      <c r="D826" s="5">
        <f>IF($E826="","",INDEX('Input Transaksi'!$F:$F,$E826))</f>
        <v/>
      </c>
      <c r="E826">
        <f>IFERROR(AGGREGATE(15,6,ROW('Input Transaksi'!$B$5:$B$5000)/('Input Transaksi'!$B$5:$B$5000="DIY"),ROWS($E$5:E826)),"")</f>
        <v/>
      </c>
      <c r="F826" s="5" t="n"/>
    </row>
    <row r="827">
      <c r="A827" s="10">
        <f>IF($E827="","",INDEX('Input Transaksi'!$A:$A,$E827))</f>
        <v/>
      </c>
      <c r="B827" s="5">
        <f>IF($E827="","",INDEX('Input Transaksi'!$D:$D,$E827))</f>
        <v/>
      </c>
      <c r="C827">
        <f>IF($E827="","",INDEX('Input Transaksi'!$E:$E,$E827))</f>
        <v/>
      </c>
      <c r="D827" s="5">
        <f>IF($E827="","",INDEX('Input Transaksi'!$F:$F,$E827))</f>
        <v/>
      </c>
      <c r="E827">
        <f>IFERROR(AGGREGATE(15,6,ROW('Input Transaksi'!$B$5:$B$5000)/('Input Transaksi'!$B$5:$B$5000="DIY"),ROWS($E$5:E827)),"")</f>
        <v/>
      </c>
      <c r="F827" s="5" t="n"/>
    </row>
    <row r="828">
      <c r="A828" s="10">
        <f>IF($E828="","",INDEX('Input Transaksi'!$A:$A,$E828))</f>
        <v/>
      </c>
      <c r="B828" s="5">
        <f>IF($E828="","",INDEX('Input Transaksi'!$D:$D,$E828))</f>
        <v/>
      </c>
      <c r="C828">
        <f>IF($E828="","",INDEX('Input Transaksi'!$E:$E,$E828))</f>
        <v/>
      </c>
      <c r="D828" s="5">
        <f>IF($E828="","",INDEX('Input Transaksi'!$F:$F,$E828))</f>
        <v/>
      </c>
      <c r="E828">
        <f>IFERROR(AGGREGATE(15,6,ROW('Input Transaksi'!$B$5:$B$5000)/('Input Transaksi'!$B$5:$B$5000="DIY"),ROWS($E$5:E828)),"")</f>
        <v/>
      </c>
      <c r="F828" s="5" t="n"/>
    </row>
    <row r="829">
      <c r="A829" s="10">
        <f>IF($E829="","",INDEX('Input Transaksi'!$A:$A,$E829))</f>
        <v/>
      </c>
      <c r="B829" s="5">
        <f>IF($E829="","",INDEX('Input Transaksi'!$D:$D,$E829))</f>
        <v/>
      </c>
      <c r="C829">
        <f>IF($E829="","",INDEX('Input Transaksi'!$E:$E,$E829))</f>
        <v/>
      </c>
      <c r="D829" s="5">
        <f>IF($E829="","",INDEX('Input Transaksi'!$F:$F,$E829))</f>
        <v/>
      </c>
      <c r="E829">
        <f>IFERROR(AGGREGATE(15,6,ROW('Input Transaksi'!$B$5:$B$5000)/('Input Transaksi'!$B$5:$B$5000="DIY"),ROWS($E$5:E829)),"")</f>
        <v/>
      </c>
      <c r="F829" s="5" t="n"/>
    </row>
    <row r="830">
      <c r="A830" s="10">
        <f>IF($E830="","",INDEX('Input Transaksi'!$A:$A,$E830))</f>
        <v/>
      </c>
      <c r="B830" s="5">
        <f>IF($E830="","",INDEX('Input Transaksi'!$D:$D,$E830))</f>
        <v/>
      </c>
      <c r="C830">
        <f>IF($E830="","",INDEX('Input Transaksi'!$E:$E,$E830))</f>
        <v/>
      </c>
      <c r="D830" s="5">
        <f>IF($E830="","",INDEX('Input Transaksi'!$F:$F,$E830))</f>
        <v/>
      </c>
      <c r="E830">
        <f>IFERROR(AGGREGATE(15,6,ROW('Input Transaksi'!$B$5:$B$5000)/('Input Transaksi'!$B$5:$B$5000="DIY"),ROWS($E$5:E830)),"")</f>
        <v/>
      </c>
      <c r="F830" s="5" t="n"/>
    </row>
    <row r="831">
      <c r="A831" s="10">
        <f>IF($E831="","",INDEX('Input Transaksi'!$A:$A,$E831))</f>
        <v/>
      </c>
      <c r="B831" s="5">
        <f>IF($E831="","",INDEX('Input Transaksi'!$D:$D,$E831))</f>
        <v/>
      </c>
      <c r="C831">
        <f>IF($E831="","",INDEX('Input Transaksi'!$E:$E,$E831))</f>
        <v/>
      </c>
      <c r="D831" s="5">
        <f>IF($E831="","",INDEX('Input Transaksi'!$F:$F,$E831))</f>
        <v/>
      </c>
      <c r="E831">
        <f>IFERROR(AGGREGATE(15,6,ROW('Input Transaksi'!$B$5:$B$5000)/('Input Transaksi'!$B$5:$B$5000="DIY"),ROWS($E$5:E831)),"")</f>
        <v/>
      </c>
      <c r="F831" s="5" t="n"/>
    </row>
    <row r="832">
      <c r="A832" s="10">
        <f>IF($E832="","",INDEX('Input Transaksi'!$A:$A,$E832))</f>
        <v/>
      </c>
      <c r="B832" s="5">
        <f>IF($E832="","",INDEX('Input Transaksi'!$D:$D,$E832))</f>
        <v/>
      </c>
      <c r="C832">
        <f>IF($E832="","",INDEX('Input Transaksi'!$E:$E,$E832))</f>
        <v/>
      </c>
      <c r="D832" s="5">
        <f>IF($E832="","",INDEX('Input Transaksi'!$F:$F,$E832))</f>
        <v/>
      </c>
      <c r="E832">
        <f>IFERROR(AGGREGATE(15,6,ROW('Input Transaksi'!$B$5:$B$5000)/('Input Transaksi'!$B$5:$B$5000="DIY"),ROWS($E$5:E832)),"")</f>
        <v/>
      </c>
      <c r="F832" s="5" t="n"/>
    </row>
    <row r="833">
      <c r="A833" s="10">
        <f>IF($E833="","",INDEX('Input Transaksi'!$A:$A,$E833))</f>
        <v/>
      </c>
      <c r="B833" s="5">
        <f>IF($E833="","",INDEX('Input Transaksi'!$D:$D,$E833))</f>
        <v/>
      </c>
      <c r="C833">
        <f>IF($E833="","",INDEX('Input Transaksi'!$E:$E,$E833))</f>
        <v/>
      </c>
      <c r="D833" s="5">
        <f>IF($E833="","",INDEX('Input Transaksi'!$F:$F,$E833))</f>
        <v/>
      </c>
      <c r="E833">
        <f>IFERROR(AGGREGATE(15,6,ROW('Input Transaksi'!$B$5:$B$5000)/('Input Transaksi'!$B$5:$B$5000="DIY"),ROWS($E$5:E833)),"")</f>
        <v/>
      </c>
      <c r="F833" s="5" t="n"/>
    </row>
    <row r="834">
      <c r="A834" s="10">
        <f>IF($E834="","",INDEX('Input Transaksi'!$A:$A,$E834))</f>
        <v/>
      </c>
      <c r="B834" s="5">
        <f>IF($E834="","",INDEX('Input Transaksi'!$D:$D,$E834))</f>
        <v/>
      </c>
      <c r="C834">
        <f>IF($E834="","",INDEX('Input Transaksi'!$E:$E,$E834))</f>
        <v/>
      </c>
      <c r="D834" s="5">
        <f>IF($E834="","",INDEX('Input Transaksi'!$F:$F,$E834))</f>
        <v/>
      </c>
      <c r="E834">
        <f>IFERROR(AGGREGATE(15,6,ROW('Input Transaksi'!$B$5:$B$5000)/('Input Transaksi'!$B$5:$B$5000="DIY"),ROWS($E$5:E834)),"")</f>
        <v/>
      </c>
      <c r="F834" s="5" t="n"/>
    </row>
    <row r="835">
      <c r="A835" s="10">
        <f>IF($E835="","",INDEX('Input Transaksi'!$A:$A,$E835))</f>
        <v/>
      </c>
      <c r="B835" s="5">
        <f>IF($E835="","",INDEX('Input Transaksi'!$D:$D,$E835))</f>
        <v/>
      </c>
      <c r="C835">
        <f>IF($E835="","",INDEX('Input Transaksi'!$E:$E,$E835))</f>
        <v/>
      </c>
      <c r="D835" s="5">
        <f>IF($E835="","",INDEX('Input Transaksi'!$F:$F,$E835))</f>
        <v/>
      </c>
      <c r="E835">
        <f>IFERROR(AGGREGATE(15,6,ROW('Input Transaksi'!$B$5:$B$5000)/('Input Transaksi'!$B$5:$B$5000="DIY"),ROWS($E$5:E835)),"")</f>
        <v/>
      </c>
      <c r="F835" s="5" t="n"/>
    </row>
    <row r="836">
      <c r="A836" s="10">
        <f>IF($E836="","",INDEX('Input Transaksi'!$A:$A,$E836))</f>
        <v/>
      </c>
      <c r="B836" s="5">
        <f>IF($E836="","",INDEX('Input Transaksi'!$D:$D,$E836))</f>
        <v/>
      </c>
      <c r="C836">
        <f>IF($E836="","",INDEX('Input Transaksi'!$E:$E,$E836))</f>
        <v/>
      </c>
      <c r="D836" s="5">
        <f>IF($E836="","",INDEX('Input Transaksi'!$F:$F,$E836))</f>
        <v/>
      </c>
      <c r="E836">
        <f>IFERROR(AGGREGATE(15,6,ROW('Input Transaksi'!$B$5:$B$5000)/('Input Transaksi'!$B$5:$B$5000="DIY"),ROWS($E$5:E836)),"")</f>
        <v/>
      </c>
      <c r="F836" s="5" t="n"/>
    </row>
    <row r="837">
      <c r="A837" s="10">
        <f>IF($E837="","",INDEX('Input Transaksi'!$A:$A,$E837))</f>
        <v/>
      </c>
      <c r="B837" s="5">
        <f>IF($E837="","",INDEX('Input Transaksi'!$D:$D,$E837))</f>
        <v/>
      </c>
      <c r="C837">
        <f>IF($E837="","",INDEX('Input Transaksi'!$E:$E,$E837))</f>
        <v/>
      </c>
      <c r="D837" s="5">
        <f>IF($E837="","",INDEX('Input Transaksi'!$F:$F,$E837))</f>
        <v/>
      </c>
      <c r="E837">
        <f>IFERROR(AGGREGATE(15,6,ROW('Input Transaksi'!$B$5:$B$5000)/('Input Transaksi'!$B$5:$B$5000="DIY"),ROWS($E$5:E837)),"")</f>
        <v/>
      </c>
      <c r="F837" s="5" t="n"/>
    </row>
    <row r="838">
      <c r="A838" s="10">
        <f>IF($E838="","",INDEX('Input Transaksi'!$A:$A,$E838))</f>
        <v/>
      </c>
      <c r="B838" s="5">
        <f>IF($E838="","",INDEX('Input Transaksi'!$D:$D,$E838))</f>
        <v/>
      </c>
      <c r="C838">
        <f>IF($E838="","",INDEX('Input Transaksi'!$E:$E,$E838))</f>
        <v/>
      </c>
      <c r="D838" s="5">
        <f>IF($E838="","",INDEX('Input Transaksi'!$F:$F,$E838))</f>
        <v/>
      </c>
      <c r="E838">
        <f>IFERROR(AGGREGATE(15,6,ROW('Input Transaksi'!$B$5:$B$5000)/('Input Transaksi'!$B$5:$B$5000="DIY"),ROWS($E$5:E838)),"")</f>
        <v/>
      </c>
      <c r="F838" s="5" t="n"/>
    </row>
    <row r="839">
      <c r="A839" s="10">
        <f>IF($E839="","",INDEX('Input Transaksi'!$A:$A,$E839))</f>
        <v/>
      </c>
      <c r="B839" s="5">
        <f>IF($E839="","",INDEX('Input Transaksi'!$D:$D,$E839))</f>
        <v/>
      </c>
      <c r="C839">
        <f>IF($E839="","",INDEX('Input Transaksi'!$E:$E,$E839))</f>
        <v/>
      </c>
      <c r="D839" s="5">
        <f>IF($E839="","",INDEX('Input Transaksi'!$F:$F,$E839))</f>
        <v/>
      </c>
      <c r="E839">
        <f>IFERROR(AGGREGATE(15,6,ROW('Input Transaksi'!$B$5:$B$5000)/('Input Transaksi'!$B$5:$B$5000="DIY"),ROWS($E$5:E839)),"")</f>
        <v/>
      </c>
      <c r="F839" s="5" t="n"/>
    </row>
    <row r="840">
      <c r="A840" s="10">
        <f>IF($E840="","",INDEX('Input Transaksi'!$A:$A,$E840))</f>
        <v/>
      </c>
      <c r="B840" s="5">
        <f>IF($E840="","",INDEX('Input Transaksi'!$D:$D,$E840))</f>
        <v/>
      </c>
      <c r="C840">
        <f>IF($E840="","",INDEX('Input Transaksi'!$E:$E,$E840))</f>
        <v/>
      </c>
      <c r="D840" s="5">
        <f>IF($E840="","",INDEX('Input Transaksi'!$F:$F,$E840))</f>
        <v/>
      </c>
      <c r="E840">
        <f>IFERROR(AGGREGATE(15,6,ROW('Input Transaksi'!$B$5:$B$5000)/('Input Transaksi'!$B$5:$B$5000="DIY"),ROWS($E$5:E840)),"")</f>
        <v/>
      </c>
      <c r="F840" s="5" t="n"/>
    </row>
    <row r="841">
      <c r="A841" s="10">
        <f>IF($E841="","",INDEX('Input Transaksi'!$A:$A,$E841))</f>
        <v/>
      </c>
      <c r="B841" s="5">
        <f>IF($E841="","",INDEX('Input Transaksi'!$D:$D,$E841))</f>
        <v/>
      </c>
      <c r="C841">
        <f>IF($E841="","",INDEX('Input Transaksi'!$E:$E,$E841))</f>
        <v/>
      </c>
      <c r="D841" s="5">
        <f>IF($E841="","",INDEX('Input Transaksi'!$F:$F,$E841))</f>
        <v/>
      </c>
      <c r="E841">
        <f>IFERROR(AGGREGATE(15,6,ROW('Input Transaksi'!$B$5:$B$5000)/('Input Transaksi'!$B$5:$B$5000="DIY"),ROWS($E$5:E841)),"")</f>
        <v/>
      </c>
      <c r="F841" s="5" t="n"/>
    </row>
    <row r="842">
      <c r="A842" s="10">
        <f>IF($E842="","",INDEX('Input Transaksi'!$A:$A,$E842))</f>
        <v/>
      </c>
      <c r="B842" s="5">
        <f>IF($E842="","",INDEX('Input Transaksi'!$D:$D,$E842))</f>
        <v/>
      </c>
      <c r="C842">
        <f>IF($E842="","",INDEX('Input Transaksi'!$E:$E,$E842))</f>
        <v/>
      </c>
      <c r="D842" s="5">
        <f>IF($E842="","",INDEX('Input Transaksi'!$F:$F,$E842))</f>
        <v/>
      </c>
      <c r="E842">
        <f>IFERROR(AGGREGATE(15,6,ROW('Input Transaksi'!$B$5:$B$5000)/('Input Transaksi'!$B$5:$B$5000="DIY"),ROWS($E$5:E842)),"")</f>
        <v/>
      </c>
      <c r="F842" s="5" t="n"/>
    </row>
    <row r="843">
      <c r="A843" s="10">
        <f>IF($E843="","",INDEX('Input Transaksi'!$A:$A,$E843))</f>
        <v/>
      </c>
      <c r="B843" s="5">
        <f>IF($E843="","",INDEX('Input Transaksi'!$D:$D,$E843))</f>
        <v/>
      </c>
      <c r="C843">
        <f>IF($E843="","",INDEX('Input Transaksi'!$E:$E,$E843))</f>
        <v/>
      </c>
      <c r="D843" s="5">
        <f>IF($E843="","",INDEX('Input Transaksi'!$F:$F,$E843))</f>
        <v/>
      </c>
      <c r="E843">
        <f>IFERROR(AGGREGATE(15,6,ROW('Input Transaksi'!$B$5:$B$5000)/('Input Transaksi'!$B$5:$B$5000="DIY"),ROWS($E$5:E843)),"")</f>
        <v/>
      </c>
      <c r="F843" s="5" t="n"/>
    </row>
    <row r="844">
      <c r="A844" s="10">
        <f>IF($E844="","",INDEX('Input Transaksi'!$A:$A,$E844))</f>
        <v/>
      </c>
      <c r="B844" s="5">
        <f>IF($E844="","",INDEX('Input Transaksi'!$D:$D,$E844))</f>
        <v/>
      </c>
      <c r="C844">
        <f>IF($E844="","",INDEX('Input Transaksi'!$E:$E,$E844))</f>
        <v/>
      </c>
      <c r="D844" s="5">
        <f>IF($E844="","",INDEX('Input Transaksi'!$F:$F,$E844))</f>
        <v/>
      </c>
      <c r="E844">
        <f>IFERROR(AGGREGATE(15,6,ROW('Input Transaksi'!$B$5:$B$5000)/('Input Transaksi'!$B$5:$B$5000="DIY"),ROWS($E$5:E844)),"")</f>
        <v/>
      </c>
      <c r="F844" s="5" t="n"/>
    </row>
    <row r="845">
      <c r="A845" s="10">
        <f>IF($E845="","",INDEX('Input Transaksi'!$A:$A,$E845))</f>
        <v/>
      </c>
      <c r="B845" s="5">
        <f>IF($E845="","",INDEX('Input Transaksi'!$D:$D,$E845))</f>
        <v/>
      </c>
      <c r="C845">
        <f>IF($E845="","",INDEX('Input Transaksi'!$E:$E,$E845))</f>
        <v/>
      </c>
      <c r="D845" s="5">
        <f>IF($E845="","",INDEX('Input Transaksi'!$F:$F,$E845))</f>
        <v/>
      </c>
      <c r="E845">
        <f>IFERROR(AGGREGATE(15,6,ROW('Input Transaksi'!$B$5:$B$5000)/('Input Transaksi'!$B$5:$B$5000="DIY"),ROWS($E$5:E845)),"")</f>
        <v/>
      </c>
      <c r="F845" s="5" t="n"/>
    </row>
    <row r="846">
      <c r="A846" s="10">
        <f>IF($E846="","",INDEX('Input Transaksi'!$A:$A,$E846))</f>
        <v/>
      </c>
      <c r="B846" s="5">
        <f>IF($E846="","",INDEX('Input Transaksi'!$D:$D,$E846))</f>
        <v/>
      </c>
      <c r="C846">
        <f>IF($E846="","",INDEX('Input Transaksi'!$E:$E,$E846))</f>
        <v/>
      </c>
      <c r="D846" s="5">
        <f>IF($E846="","",INDEX('Input Transaksi'!$F:$F,$E846))</f>
        <v/>
      </c>
      <c r="E846">
        <f>IFERROR(AGGREGATE(15,6,ROW('Input Transaksi'!$B$5:$B$5000)/('Input Transaksi'!$B$5:$B$5000="DIY"),ROWS($E$5:E846)),"")</f>
        <v/>
      </c>
      <c r="F846" s="5" t="n"/>
    </row>
    <row r="847">
      <c r="A847" s="10">
        <f>IF($E847="","",INDEX('Input Transaksi'!$A:$A,$E847))</f>
        <v/>
      </c>
      <c r="B847" s="5">
        <f>IF($E847="","",INDEX('Input Transaksi'!$D:$D,$E847))</f>
        <v/>
      </c>
      <c r="C847">
        <f>IF($E847="","",INDEX('Input Transaksi'!$E:$E,$E847))</f>
        <v/>
      </c>
      <c r="D847" s="5">
        <f>IF($E847="","",INDEX('Input Transaksi'!$F:$F,$E847))</f>
        <v/>
      </c>
      <c r="E847">
        <f>IFERROR(AGGREGATE(15,6,ROW('Input Transaksi'!$B$5:$B$5000)/('Input Transaksi'!$B$5:$B$5000="DIY"),ROWS($E$5:E847)),"")</f>
        <v/>
      </c>
      <c r="F847" s="5" t="n"/>
    </row>
    <row r="848">
      <c r="A848" s="10">
        <f>IF($E848="","",INDEX('Input Transaksi'!$A:$A,$E848))</f>
        <v/>
      </c>
      <c r="B848" s="5">
        <f>IF($E848="","",INDEX('Input Transaksi'!$D:$D,$E848))</f>
        <v/>
      </c>
      <c r="C848">
        <f>IF($E848="","",INDEX('Input Transaksi'!$E:$E,$E848))</f>
        <v/>
      </c>
      <c r="D848" s="5">
        <f>IF($E848="","",INDEX('Input Transaksi'!$F:$F,$E848))</f>
        <v/>
      </c>
      <c r="E848">
        <f>IFERROR(AGGREGATE(15,6,ROW('Input Transaksi'!$B$5:$B$5000)/('Input Transaksi'!$B$5:$B$5000="DIY"),ROWS($E$5:E848)),"")</f>
        <v/>
      </c>
      <c r="F848" s="5" t="n"/>
    </row>
    <row r="849">
      <c r="A849" s="10">
        <f>IF($E849="","",INDEX('Input Transaksi'!$A:$A,$E849))</f>
        <v/>
      </c>
      <c r="B849" s="5">
        <f>IF($E849="","",INDEX('Input Transaksi'!$D:$D,$E849))</f>
        <v/>
      </c>
      <c r="C849">
        <f>IF($E849="","",INDEX('Input Transaksi'!$E:$E,$E849))</f>
        <v/>
      </c>
      <c r="D849" s="5">
        <f>IF($E849="","",INDEX('Input Transaksi'!$F:$F,$E849))</f>
        <v/>
      </c>
      <c r="E849">
        <f>IFERROR(AGGREGATE(15,6,ROW('Input Transaksi'!$B$5:$B$5000)/('Input Transaksi'!$B$5:$B$5000="DIY"),ROWS($E$5:E849)),"")</f>
        <v/>
      </c>
      <c r="F849" s="5" t="n"/>
    </row>
    <row r="850">
      <c r="A850" s="10">
        <f>IF($E850="","",INDEX('Input Transaksi'!$A:$A,$E850))</f>
        <v/>
      </c>
      <c r="B850" s="5">
        <f>IF($E850="","",INDEX('Input Transaksi'!$D:$D,$E850))</f>
        <v/>
      </c>
      <c r="C850">
        <f>IF($E850="","",INDEX('Input Transaksi'!$E:$E,$E850))</f>
        <v/>
      </c>
      <c r="D850" s="5">
        <f>IF($E850="","",INDEX('Input Transaksi'!$F:$F,$E850))</f>
        <v/>
      </c>
      <c r="E850">
        <f>IFERROR(AGGREGATE(15,6,ROW('Input Transaksi'!$B$5:$B$5000)/('Input Transaksi'!$B$5:$B$5000="DIY"),ROWS($E$5:E850)),"")</f>
        <v/>
      </c>
      <c r="F850" s="5" t="n"/>
    </row>
    <row r="851">
      <c r="A851" s="10">
        <f>IF($E851="","",INDEX('Input Transaksi'!$A:$A,$E851))</f>
        <v/>
      </c>
      <c r="B851" s="5">
        <f>IF($E851="","",INDEX('Input Transaksi'!$D:$D,$E851))</f>
        <v/>
      </c>
      <c r="C851">
        <f>IF($E851="","",INDEX('Input Transaksi'!$E:$E,$E851))</f>
        <v/>
      </c>
      <c r="D851" s="5">
        <f>IF($E851="","",INDEX('Input Transaksi'!$F:$F,$E851))</f>
        <v/>
      </c>
      <c r="E851">
        <f>IFERROR(AGGREGATE(15,6,ROW('Input Transaksi'!$B$5:$B$5000)/('Input Transaksi'!$B$5:$B$5000="DIY"),ROWS($E$5:E851)),"")</f>
        <v/>
      </c>
      <c r="F851" s="5" t="n"/>
    </row>
    <row r="852">
      <c r="A852" s="10">
        <f>IF($E852="","",INDEX('Input Transaksi'!$A:$A,$E852))</f>
        <v/>
      </c>
      <c r="B852" s="5">
        <f>IF($E852="","",INDEX('Input Transaksi'!$D:$D,$E852))</f>
        <v/>
      </c>
      <c r="C852">
        <f>IF($E852="","",INDEX('Input Transaksi'!$E:$E,$E852))</f>
        <v/>
      </c>
      <c r="D852" s="5">
        <f>IF($E852="","",INDEX('Input Transaksi'!$F:$F,$E852))</f>
        <v/>
      </c>
      <c r="E852">
        <f>IFERROR(AGGREGATE(15,6,ROW('Input Transaksi'!$B$5:$B$5000)/('Input Transaksi'!$B$5:$B$5000="DIY"),ROWS($E$5:E852)),"")</f>
        <v/>
      </c>
      <c r="F852" s="5" t="n"/>
    </row>
    <row r="853">
      <c r="A853" s="10">
        <f>IF($E853="","",INDEX('Input Transaksi'!$A:$A,$E853))</f>
        <v/>
      </c>
      <c r="B853" s="5">
        <f>IF($E853="","",INDEX('Input Transaksi'!$D:$D,$E853))</f>
        <v/>
      </c>
      <c r="C853">
        <f>IF($E853="","",INDEX('Input Transaksi'!$E:$E,$E853))</f>
        <v/>
      </c>
      <c r="D853" s="5">
        <f>IF($E853="","",INDEX('Input Transaksi'!$F:$F,$E853))</f>
        <v/>
      </c>
      <c r="E853">
        <f>IFERROR(AGGREGATE(15,6,ROW('Input Transaksi'!$B$5:$B$5000)/('Input Transaksi'!$B$5:$B$5000="DIY"),ROWS($E$5:E853)),"")</f>
        <v/>
      </c>
      <c r="F853" s="5" t="n"/>
    </row>
    <row r="854">
      <c r="A854" s="10">
        <f>IF($E854="","",INDEX('Input Transaksi'!$A:$A,$E854))</f>
        <v/>
      </c>
      <c r="B854" s="5">
        <f>IF($E854="","",INDEX('Input Transaksi'!$D:$D,$E854))</f>
        <v/>
      </c>
      <c r="C854">
        <f>IF($E854="","",INDEX('Input Transaksi'!$E:$E,$E854))</f>
        <v/>
      </c>
      <c r="D854" s="5">
        <f>IF($E854="","",INDEX('Input Transaksi'!$F:$F,$E854))</f>
        <v/>
      </c>
      <c r="E854">
        <f>IFERROR(AGGREGATE(15,6,ROW('Input Transaksi'!$B$5:$B$5000)/('Input Transaksi'!$B$5:$B$5000="DIY"),ROWS($E$5:E854)),"")</f>
        <v/>
      </c>
      <c r="F854" s="5" t="n"/>
    </row>
    <row r="855">
      <c r="A855" s="10">
        <f>IF($E855="","",INDEX('Input Transaksi'!$A:$A,$E855))</f>
        <v/>
      </c>
      <c r="B855" s="5">
        <f>IF($E855="","",INDEX('Input Transaksi'!$D:$D,$E855))</f>
        <v/>
      </c>
      <c r="C855">
        <f>IF($E855="","",INDEX('Input Transaksi'!$E:$E,$E855))</f>
        <v/>
      </c>
      <c r="D855" s="5">
        <f>IF($E855="","",INDEX('Input Transaksi'!$F:$F,$E855))</f>
        <v/>
      </c>
      <c r="E855">
        <f>IFERROR(AGGREGATE(15,6,ROW('Input Transaksi'!$B$5:$B$5000)/('Input Transaksi'!$B$5:$B$5000="DIY"),ROWS($E$5:E855)),"")</f>
        <v/>
      </c>
      <c r="F855" s="5" t="n"/>
    </row>
    <row r="856">
      <c r="A856" s="10">
        <f>IF($E856="","",INDEX('Input Transaksi'!$A:$A,$E856))</f>
        <v/>
      </c>
      <c r="B856" s="5">
        <f>IF($E856="","",INDEX('Input Transaksi'!$D:$D,$E856))</f>
        <v/>
      </c>
      <c r="C856">
        <f>IF($E856="","",INDEX('Input Transaksi'!$E:$E,$E856))</f>
        <v/>
      </c>
      <c r="D856" s="5">
        <f>IF($E856="","",INDEX('Input Transaksi'!$F:$F,$E856))</f>
        <v/>
      </c>
      <c r="E856">
        <f>IFERROR(AGGREGATE(15,6,ROW('Input Transaksi'!$B$5:$B$5000)/('Input Transaksi'!$B$5:$B$5000="DIY"),ROWS($E$5:E856)),"")</f>
        <v/>
      </c>
      <c r="F856" s="5" t="n"/>
    </row>
    <row r="857">
      <c r="A857" s="10">
        <f>IF($E857="","",INDEX('Input Transaksi'!$A:$A,$E857))</f>
        <v/>
      </c>
      <c r="B857" s="5">
        <f>IF($E857="","",INDEX('Input Transaksi'!$D:$D,$E857))</f>
        <v/>
      </c>
      <c r="C857">
        <f>IF($E857="","",INDEX('Input Transaksi'!$E:$E,$E857))</f>
        <v/>
      </c>
      <c r="D857" s="5">
        <f>IF($E857="","",INDEX('Input Transaksi'!$F:$F,$E857))</f>
        <v/>
      </c>
      <c r="E857">
        <f>IFERROR(AGGREGATE(15,6,ROW('Input Transaksi'!$B$5:$B$5000)/('Input Transaksi'!$B$5:$B$5000="DIY"),ROWS($E$5:E857)),"")</f>
        <v/>
      </c>
      <c r="F857" s="5" t="n"/>
    </row>
    <row r="858">
      <c r="A858" s="10">
        <f>IF($E858="","",INDEX('Input Transaksi'!$A:$A,$E858))</f>
        <v/>
      </c>
      <c r="B858" s="5">
        <f>IF($E858="","",INDEX('Input Transaksi'!$D:$D,$E858))</f>
        <v/>
      </c>
      <c r="C858">
        <f>IF($E858="","",INDEX('Input Transaksi'!$E:$E,$E858))</f>
        <v/>
      </c>
      <c r="D858" s="5">
        <f>IF($E858="","",INDEX('Input Transaksi'!$F:$F,$E858))</f>
        <v/>
      </c>
      <c r="E858">
        <f>IFERROR(AGGREGATE(15,6,ROW('Input Transaksi'!$B$5:$B$5000)/('Input Transaksi'!$B$5:$B$5000="DIY"),ROWS($E$5:E858)),"")</f>
        <v/>
      </c>
      <c r="F858" s="5" t="n"/>
    </row>
    <row r="859">
      <c r="A859" s="10">
        <f>IF($E859="","",INDEX('Input Transaksi'!$A:$A,$E859))</f>
        <v/>
      </c>
      <c r="B859" s="5">
        <f>IF($E859="","",INDEX('Input Transaksi'!$D:$D,$E859))</f>
        <v/>
      </c>
      <c r="C859">
        <f>IF($E859="","",INDEX('Input Transaksi'!$E:$E,$E859))</f>
        <v/>
      </c>
      <c r="D859" s="5">
        <f>IF($E859="","",INDEX('Input Transaksi'!$F:$F,$E859))</f>
        <v/>
      </c>
      <c r="E859">
        <f>IFERROR(AGGREGATE(15,6,ROW('Input Transaksi'!$B$5:$B$5000)/('Input Transaksi'!$B$5:$B$5000="DIY"),ROWS($E$5:E859)),"")</f>
        <v/>
      </c>
      <c r="F859" s="5" t="n"/>
    </row>
    <row r="860">
      <c r="A860" s="10">
        <f>IF($E860="","",INDEX('Input Transaksi'!$A:$A,$E860))</f>
        <v/>
      </c>
      <c r="B860" s="5">
        <f>IF($E860="","",INDEX('Input Transaksi'!$D:$D,$E860))</f>
        <v/>
      </c>
      <c r="C860">
        <f>IF($E860="","",INDEX('Input Transaksi'!$E:$E,$E860))</f>
        <v/>
      </c>
      <c r="D860" s="5">
        <f>IF($E860="","",INDEX('Input Transaksi'!$F:$F,$E860))</f>
        <v/>
      </c>
      <c r="E860">
        <f>IFERROR(AGGREGATE(15,6,ROW('Input Transaksi'!$B$5:$B$5000)/('Input Transaksi'!$B$5:$B$5000="DIY"),ROWS($E$5:E860)),"")</f>
        <v/>
      </c>
      <c r="F860" s="5" t="n"/>
    </row>
    <row r="861">
      <c r="A861" s="10">
        <f>IF($E861="","",INDEX('Input Transaksi'!$A:$A,$E861))</f>
        <v/>
      </c>
      <c r="B861" s="5">
        <f>IF($E861="","",INDEX('Input Transaksi'!$D:$D,$E861))</f>
        <v/>
      </c>
      <c r="C861">
        <f>IF($E861="","",INDEX('Input Transaksi'!$E:$E,$E861))</f>
        <v/>
      </c>
      <c r="D861" s="5">
        <f>IF($E861="","",INDEX('Input Transaksi'!$F:$F,$E861))</f>
        <v/>
      </c>
      <c r="E861">
        <f>IFERROR(AGGREGATE(15,6,ROW('Input Transaksi'!$B$5:$B$5000)/('Input Transaksi'!$B$5:$B$5000="DIY"),ROWS($E$5:E861)),"")</f>
        <v/>
      </c>
      <c r="F861" s="5" t="n"/>
    </row>
    <row r="862">
      <c r="A862" s="10">
        <f>IF($E862="","",INDEX('Input Transaksi'!$A:$A,$E862))</f>
        <v/>
      </c>
      <c r="B862" s="5">
        <f>IF($E862="","",INDEX('Input Transaksi'!$D:$D,$E862))</f>
        <v/>
      </c>
      <c r="C862">
        <f>IF($E862="","",INDEX('Input Transaksi'!$E:$E,$E862))</f>
        <v/>
      </c>
      <c r="D862" s="5">
        <f>IF($E862="","",INDEX('Input Transaksi'!$F:$F,$E862))</f>
        <v/>
      </c>
      <c r="E862">
        <f>IFERROR(AGGREGATE(15,6,ROW('Input Transaksi'!$B$5:$B$5000)/('Input Transaksi'!$B$5:$B$5000="DIY"),ROWS($E$5:E862)),"")</f>
        <v/>
      </c>
      <c r="F862" s="5" t="n"/>
    </row>
    <row r="863">
      <c r="A863" s="10">
        <f>IF($E863="","",INDEX('Input Transaksi'!$A:$A,$E863))</f>
        <v/>
      </c>
      <c r="B863" s="5">
        <f>IF($E863="","",INDEX('Input Transaksi'!$D:$D,$E863))</f>
        <v/>
      </c>
      <c r="C863">
        <f>IF($E863="","",INDEX('Input Transaksi'!$E:$E,$E863))</f>
        <v/>
      </c>
      <c r="D863" s="5">
        <f>IF($E863="","",INDEX('Input Transaksi'!$F:$F,$E863))</f>
        <v/>
      </c>
      <c r="E863">
        <f>IFERROR(AGGREGATE(15,6,ROW('Input Transaksi'!$B$5:$B$5000)/('Input Transaksi'!$B$5:$B$5000="DIY"),ROWS($E$5:E863)),"")</f>
        <v/>
      </c>
      <c r="F863" s="5" t="n"/>
    </row>
    <row r="864">
      <c r="A864" s="10">
        <f>IF($E864="","",INDEX('Input Transaksi'!$A:$A,$E864))</f>
        <v/>
      </c>
      <c r="B864" s="5">
        <f>IF($E864="","",INDEX('Input Transaksi'!$D:$D,$E864))</f>
        <v/>
      </c>
      <c r="C864">
        <f>IF($E864="","",INDEX('Input Transaksi'!$E:$E,$E864))</f>
        <v/>
      </c>
      <c r="D864" s="5">
        <f>IF($E864="","",INDEX('Input Transaksi'!$F:$F,$E864))</f>
        <v/>
      </c>
      <c r="E864">
        <f>IFERROR(AGGREGATE(15,6,ROW('Input Transaksi'!$B$5:$B$5000)/('Input Transaksi'!$B$5:$B$5000="DIY"),ROWS($E$5:E864)),"")</f>
        <v/>
      </c>
      <c r="F864" s="5" t="n"/>
    </row>
    <row r="865">
      <c r="A865" s="10">
        <f>IF($E865="","",INDEX('Input Transaksi'!$A:$A,$E865))</f>
        <v/>
      </c>
      <c r="B865" s="5">
        <f>IF($E865="","",INDEX('Input Transaksi'!$D:$D,$E865))</f>
        <v/>
      </c>
      <c r="C865">
        <f>IF($E865="","",INDEX('Input Transaksi'!$E:$E,$E865))</f>
        <v/>
      </c>
      <c r="D865" s="5">
        <f>IF($E865="","",INDEX('Input Transaksi'!$F:$F,$E865))</f>
        <v/>
      </c>
      <c r="E865">
        <f>IFERROR(AGGREGATE(15,6,ROW('Input Transaksi'!$B$5:$B$5000)/('Input Transaksi'!$B$5:$B$5000="DIY"),ROWS($E$5:E865)),"")</f>
        <v/>
      </c>
      <c r="F865" s="5" t="n"/>
    </row>
    <row r="866">
      <c r="A866" s="10">
        <f>IF($E866="","",INDEX('Input Transaksi'!$A:$A,$E866))</f>
        <v/>
      </c>
      <c r="B866" s="5">
        <f>IF($E866="","",INDEX('Input Transaksi'!$D:$D,$E866))</f>
        <v/>
      </c>
      <c r="C866">
        <f>IF($E866="","",INDEX('Input Transaksi'!$E:$E,$E866))</f>
        <v/>
      </c>
      <c r="D866" s="5">
        <f>IF($E866="","",INDEX('Input Transaksi'!$F:$F,$E866))</f>
        <v/>
      </c>
      <c r="E866">
        <f>IFERROR(AGGREGATE(15,6,ROW('Input Transaksi'!$B$5:$B$5000)/('Input Transaksi'!$B$5:$B$5000="DIY"),ROWS($E$5:E866)),"")</f>
        <v/>
      </c>
      <c r="F866" s="5" t="n"/>
    </row>
    <row r="867">
      <c r="A867" s="10">
        <f>IF($E867="","",INDEX('Input Transaksi'!$A:$A,$E867))</f>
        <v/>
      </c>
      <c r="B867" s="5">
        <f>IF($E867="","",INDEX('Input Transaksi'!$D:$D,$E867))</f>
        <v/>
      </c>
      <c r="C867">
        <f>IF($E867="","",INDEX('Input Transaksi'!$E:$E,$E867))</f>
        <v/>
      </c>
      <c r="D867" s="5">
        <f>IF($E867="","",INDEX('Input Transaksi'!$F:$F,$E867))</f>
        <v/>
      </c>
      <c r="E867">
        <f>IFERROR(AGGREGATE(15,6,ROW('Input Transaksi'!$B$5:$B$5000)/('Input Transaksi'!$B$5:$B$5000="DIY"),ROWS($E$5:E867)),"")</f>
        <v/>
      </c>
      <c r="F867" s="5" t="n"/>
    </row>
    <row r="868">
      <c r="A868" s="10">
        <f>IF($E868="","",INDEX('Input Transaksi'!$A:$A,$E868))</f>
        <v/>
      </c>
      <c r="B868" s="5">
        <f>IF($E868="","",INDEX('Input Transaksi'!$D:$D,$E868))</f>
        <v/>
      </c>
      <c r="C868">
        <f>IF($E868="","",INDEX('Input Transaksi'!$E:$E,$E868))</f>
        <v/>
      </c>
      <c r="D868" s="5">
        <f>IF($E868="","",INDEX('Input Transaksi'!$F:$F,$E868))</f>
        <v/>
      </c>
      <c r="E868">
        <f>IFERROR(AGGREGATE(15,6,ROW('Input Transaksi'!$B$5:$B$5000)/('Input Transaksi'!$B$5:$B$5000="DIY"),ROWS($E$5:E868)),"")</f>
        <v/>
      </c>
      <c r="F868" s="5" t="n"/>
    </row>
    <row r="869">
      <c r="A869" s="10">
        <f>IF($E869="","",INDEX('Input Transaksi'!$A:$A,$E869))</f>
        <v/>
      </c>
      <c r="B869" s="5">
        <f>IF($E869="","",INDEX('Input Transaksi'!$D:$D,$E869))</f>
        <v/>
      </c>
      <c r="C869">
        <f>IF($E869="","",INDEX('Input Transaksi'!$E:$E,$E869))</f>
        <v/>
      </c>
      <c r="D869" s="5">
        <f>IF($E869="","",INDEX('Input Transaksi'!$F:$F,$E869))</f>
        <v/>
      </c>
      <c r="E869">
        <f>IFERROR(AGGREGATE(15,6,ROW('Input Transaksi'!$B$5:$B$5000)/('Input Transaksi'!$B$5:$B$5000="DIY"),ROWS($E$5:E869)),"")</f>
        <v/>
      </c>
      <c r="F869" s="5" t="n"/>
    </row>
    <row r="870">
      <c r="A870" s="10">
        <f>IF($E870="","",INDEX('Input Transaksi'!$A:$A,$E870))</f>
        <v/>
      </c>
      <c r="B870" s="5">
        <f>IF($E870="","",INDEX('Input Transaksi'!$D:$D,$E870))</f>
        <v/>
      </c>
      <c r="C870">
        <f>IF($E870="","",INDEX('Input Transaksi'!$E:$E,$E870))</f>
        <v/>
      </c>
      <c r="D870" s="5">
        <f>IF($E870="","",INDEX('Input Transaksi'!$F:$F,$E870))</f>
        <v/>
      </c>
      <c r="E870">
        <f>IFERROR(AGGREGATE(15,6,ROW('Input Transaksi'!$B$5:$B$5000)/('Input Transaksi'!$B$5:$B$5000="DIY"),ROWS($E$5:E870)),"")</f>
        <v/>
      </c>
      <c r="F870" s="5" t="n"/>
    </row>
    <row r="871">
      <c r="A871" s="10">
        <f>IF($E871="","",INDEX('Input Transaksi'!$A:$A,$E871))</f>
        <v/>
      </c>
      <c r="B871" s="5">
        <f>IF($E871="","",INDEX('Input Transaksi'!$D:$D,$E871))</f>
        <v/>
      </c>
      <c r="C871">
        <f>IF($E871="","",INDEX('Input Transaksi'!$E:$E,$E871))</f>
        <v/>
      </c>
      <c r="D871" s="5">
        <f>IF($E871="","",INDEX('Input Transaksi'!$F:$F,$E871))</f>
        <v/>
      </c>
      <c r="E871">
        <f>IFERROR(AGGREGATE(15,6,ROW('Input Transaksi'!$B$5:$B$5000)/('Input Transaksi'!$B$5:$B$5000="DIY"),ROWS($E$5:E871)),"")</f>
        <v/>
      </c>
      <c r="F871" s="5" t="n"/>
    </row>
    <row r="872">
      <c r="A872" s="10">
        <f>IF($E872="","",INDEX('Input Transaksi'!$A:$A,$E872))</f>
        <v/>
      </c>
      <c r="B872" s="5">
        <f>IF($E872="","",INDEX('Input Transaksi'!$D:$D,$E872))</f>
        <v/>
      </c>
      <c r="C872">
        <f>IF($E872="","",INDEX('Input Transaksi'!$E:$E,$E872))</f>
        <v/>
      </c>
      <c r="D872" s="5">
        <f>IF($E872="","",INDEX('Input Transaksi'!$F:$F,$E872))</f>
        <v/>
      </c>
      <c r="E872">
        <f>IFERROR(AGGREGATE(15,6,ROW('Input Transaksi'!$B$5:$B$5000)/('Input Transaksi'!$B$5:$B$5000="DIY"),ROWS($E$5:E872)),"")</f>
        <v/>
      </c>
      <c r="F872" s="5" t="n"/>
    </row>
    <row r="873">
      <c r="A873" s="10">
        <f>IF($E873="","",INDEX('Input Transaksi'!$A:$A,$E873))</f>
        <v/>
      </c>
      <c r="B873" s="5">
        <f>IF($E873="","",INDEX('Input Transaksi'!$D:$D,$E873))</f>
        <v/>
      </c>
      <c r="C873">
        <f>IF($E873="","",INDEX('Input Transaksi'!$E:$E,$E873))</f>
        <v/>
      </c>
      <c r="D873" s="5">
        <f>IF($E873="","",INDEX('Input Transaksi'!$F:$F,$E873))</f>
        <v/>
      </c>
      <c r="E873">
        <f>IFERROR(AGGREGATE(15,6,ROW('Input Transaksi'!$B$5:$B$5000)/('Input Transaksi'!$B$5:$B$5000="DIY"),ROWS($E$5:E873)),"")</f>
        <v/>
      </c>
      <c r="F873" s="5" t="n"/>
    </row>
    <row r="874">
      <c r="A874" s="10">
        <f>IF($E874="","",INDEX('Input Transaksi'!$A:$A,$E874))</f>
        <v/>
      </c>
      <c r="B874" s="5">
        <f>IF($E874="","",INDEX('Input Transaksi'!$D:$D,$E874))</f>
        <v/>
      </c>
      <c r="C874">
        <f>IF($E874="","",INDEX('Input Transaksi'!$E:$E,$E874))</f>
        <v/>
      </c>
      <c r="D874" s="5">
        <f>IF($E874="","",INDEX('Input Transaksi'!$F:$F,$E874))</f>
        <v/>
      </c>
      <c r="E874">
        <f>IFERROR(AGGREGATE(15,6,ROW('Input Transaksi'!$B$5:$B$5000)/('Input Transaksi'!$B$5:$B$5000="DIY"),ROWS($E$5:E874)),"")</f>
        <v/>
      </c>
      <c r="F874" s="5" t="n"/>
    </row>
    <row r="875">
      <c r="A875" s="10">
        <f>IF($E875="","",INDEX('Input Transaksi'!$A:$A,$E875))</f>
        <v/>
      </c>
      <c r="B875" s="5">
        <f>IF($E875="","",INDEX('Input Transaksi'!$D:$D,$E875))</f>
        <v/>
      </c>
      <c r="C875">
        <f>IF($E875="","",INDEX('Input Transaksi'!$E:$E,$E875))</f>
        <v/>
      </c>
      <c r="D875" s="5">
        <f>IF($E875="","",INDEX('Input Transaksi'!$F:$F,$E875))</f>
        <v/>
      </c>
      <c r="E875">
        <f>IFERROR(AGGREGATE(15,6,ROW('Input Transaksi'!$B$5:$B$5000)/('Input Transaksi'!$B$5:$B$5000="DIY"),ROWS($E$5:E875)),"")</f>
        <v/>
      </c>
      <c r="F875" s="5" t="n"/>
    </row>
    <row r="876">
      <c r="A876" s="10">
        <f>IF($E876="","",INDEX('Input Transaksi'!$A:$A,$E876))</f>
        <v/>
      </c>
      <c r="B876" s="5">
        <f>IF($E876="","",INDEX('Input Transaksi'!$D:$D,$E876))</f>
        <v/>
      </c>
      <c r="C876">
        <f>IF($E876="","",INDEX('Input Transaksi'!$E:$E,$E876))</f>
        <v/>
      </c>
      <c r="D876" s="5">
        <f>IF($E876="","",INDEX('Input Transaksi'!$F:$F,$E876))</f>
        <v/>
      </c>
      <c r="E876">
        <f>IFERROR(AGGREGATE(15,6,ROW('Input Transaksi'!$B$5:$B$5000)/('Input Transaksi'!$B$5:$B$5000="DIY"),ROWS($E$5:E876)),"")</f>
        <v/>
      </c>
      <c r="F876" s="5" t="n"/>
    </row>
    <row r="877">
      <c r="A877" s="10">
        <f>IF($E877="","",INDEX('Input Transaksi'!$A:$A,$E877))</f>
        <v/>
      </c>
      <c r="B877" s="5">
        <f>IF($E877="","",INDEX('Input Transaksi'!$D:$D,$E877))</f>
        <v/>
      </c>
      <c r="C877">
        <f>IF($E877="","",INDEX('Input Transaksi'!$E:$E,$E877))</f>
        <v/>
      </c>
      <c r="D877" s="5">
        <f>IF($E877="","",INDEX('Input Transaksi'!$F:$F,$E877))</f>
        <v/>
      </c>
      <c r="E877">
        <f>IFERROR(AGGREGATE(15,6,ROW('Input Transaksi'!$B$5:$B$5000)/('Input Transaksi'!$B$5:$B$5000="DIY"),ROWS($E$5:E877)),"")</f>
        <v/>
      </c>
      <c r="F877" s="5" t="n"/>
    </row>
    <row r="878">
      <c r="A878" s="10">
        <f>IF($E878="","",INDEX('Input Transaksi'!$A:$A,$E878))</f>
        <v/>
      </c>
      <c r="B878" s="5">
        <f>IF($E878="","",INDEX('Input Transaksi'!$D:$D,$E878))</f>
        <v/>
      </c>
      <c r="C878">
        <f>IF($E878="","",INDEX('Input Transaksi'!$E:$E,$E878))</f>
        <v/>
      </c>
      <c r="D878" s="5">
        <f>IF($E878="","",INDEX('Input Transaksi'!$F:$F,$E878))</f>
        <v/>
      </c>
      <c r="E878">
        <f>IFERROR(AGGREGATE(15,6,ROW('Input Transaksi'!$B$5:$B$5000)/('Input Transaksi'!$B$5:$B$5000="DIY"),ROWS($E$5:E878)),"")</f>
        <v/>
      </c>
      <c r="F878" s="5" t="n"/>
    </row>
    <row r="879">
      <c r="A879" s="10">
        <f>IF($E879="","",INDEX('Input Transaksi'!$A:$A,$E879))</f>
        <v/>
      </c>
      <c r="B879" s="5">
        <f>IF($E879="","",INDEX('Input Transaksi'!$D:$D,$E879))</f>
        <v/>
      </c>
      <c r="C879">
        <f>IF($E879="","",INDEX('Input Transaksi'!$E:$E,$E879))</f>
        <v/>
      </c>
      <c r="D879" s="5">
        <f>IF($E879="","",INDEX('Input Transaksi'!$F:$F,$E879))</f>
        <v/>
      </c>
      <c r="E879">
        <f>IFERROR(AGGREGATE(15,6,ROW('Input Transaksi'!$B$5:$B$5000)/('Input Transaksi'!$B$5:$B$5000="DIY"),ROWS($E$5:E879)),"")</f>
        <v/>
      </c>
      <c r="F879" s="5" t="n"/>
    </row>
    <row r="880">
      <c r="A880" s="10">
        <f>IF($E880="","",INDEX('Input Transaksi'!$A:$A,$E880))</f>
        <v/>
      </c>
      <c r="B880" s="5">
        <f>IF($E880="","",INDEX('Input Transaksi'!$D:$D,$E880))</f>
        <v/>
      </c>
      <c r="C880">
        <f>IF($E880="","",INDEX('Input Transaksi'!$E:$E,$E880))</f>
        <v/>
      </c>
      <c r="D880" s="5">
        <f>IF($E880="","",INDEX('Input Transaksi'!$F:$F,$E880))</f>
        <v/>
      </c>
      <c r="E880">
        <f>IFERROR(AGGREGATE(15,6,ROW('Input Transaksi'!$B$5:$B$5000)/('Input Transaksi'!$B$5:$B$5000="DIY"),ROWS($E$5:E880)),"")</f>
        <v/>
      </c>
      <c r="F880" s="5" t="n"/>
    </row>
    <row r="881">
      <c r="A881" s="10">
        <f>IF($E881="","",INDEX('Input Transaksi'!$A:$A,$E881))</f>
        <v/>
      </c>
      <c r="B881" s="5">
        <f>IF($E881="","",INDEX('Input Transaksi'!$D:$D,$E881))</f>
        <v/>
      </c>
      <c r="C881">
        <f>IF($E881="","",INDEX('Input Transaksi'!$E:$E,$E881))</f>
        <v/>
      </c>
      <c r="D881" s="5">
        <f>IF($E881="","",INDEX('Input Transaksi'!$F:$F,$E881))</f>
        <v/>
      </c>
      <c r="E881">
        <f>IFERROR(AGGREGATE(15,6,ROW('Input Transaksi'!$B$5:$B$5000)/('Input Transaksi'!$B$5:$B$5000="DIY"),ROWS($E$5:E881)),"")</f>
        <v/>
      </c>
      <c r="F881" s="5" t="n"/>
    </row>
    <row r="882">
      <c r="A882" s="10">
        <f>IF($E882="","",INDEX('Input Transaksi'!$A:$A,$E882))</f>
        <v/>
      </c>
      <c r="B882" s="5">
        <f>IF($E882="","",INDEX('Input Transaksi'!$D:$D,$E882))</f>
        <v/>
      </c>
      <c r="C882">
        <f>IF($E882="","",INDEX('Input Transaksi'!$E:$E,$E882))</f>
        <v/>
      </c>
      <c r="D882" s="5">
        <f>IF($E882="","",INDEX('Input Transaksi'!$F:$F,$E882))</f>
        <v/>
      </c>
      <c r="E882">
        <f>IFERROR(AGGREGATE(15,6,ROW('Input Transaksi'!$B$5:$B$5000)/('Input Transaksi'!$B$5:$B$5000="DIY"),ROWS($E$5:E882)),"")</f>
        <v/>
      </c>
      <c r="F882" s="5" t="n"/>
    </row>
    <row r="883">
      <c r="A883" s="10">
        <f>IF($E883="","",INDEX('Input Transaksi'!$A:$A,$E883))</f>
        <v/>
      </c>
      <c r="B883" s="5">
        <f>IF($E883="","",INDEX('Input Transaksi'!$D:$D,$E883))</f>
        <v/>
      </c>
      <c r="C883">
        <f>IF($E883="","",INDEX('Input Transaksi'!$E:$E,$E883))</f>
        <v/>
      </c>
      <c r="D883" s="5">
        <f>IF($E883="","",INDEX('Input Transaksi'!$F:$F,$E883))</f>
        <v/>
      </c>
      <c r="E883">
        <f>IFERROR(AGGREGATE(15,6,ROW('Input Transaksi'!$B$5:$B$5000)/('Input Transaksi'!$B$5:$B$5000="DIY"),ROWS($E$5:E883)),"")</f>
        <v/>
      </c>
      <c r="F883" s="5" t="n"/>
    </row>
    <row r="884">
      <c r="A884" s="10">
        <f>IF($E884="","",INDEX('Input Transaksi'!$A:$A,$E884))</f>
        <v/>
      </c>
      <c r="B884" s="5">
        <f>IF($E884="","",INDEX('Input Transaksi'!$D:$D,$E884))</f>
        <v/>
      </c>
      <c r="C884">
        <f>IF($E884="","",INDEX('Input Transaksi'!$E:$E,$E884))</f>
        <v/>
      </c>
      <c r="D884" s="5">
        <f>IF($E884="","",INDEX('Input Transaksi'!$F:$F,$E884))</f>
        <v/>
      </c>
      <c r="E884">
        <f>IFERROR(AGGREGATE(15,6,ROW('Input Transaksi'!$B$5:$B$5000)/('Input Transaksi'!$B$5:$B$5000="DIY"),ROWS($E$5:E884)),"")</f>
        <v/>
      </c>
      <c r="F884" s="5" t="n"/>
    </row>
    <row r="885">
      <c r="A885" s="10">
        <f>IF($E885="","",INDEX('Input Transaksi'!$A:$A,$E885))</f>
        <v/>
      </c>
      <c r="B885" s="5">
        <f>IF($E885="","",INDEX('Input Transaksi'!$D:$D,$E885))</f>
        <v/>
      </c>
      <c r="C885">
        <f>IF($E885="","",INDEX('Input Transaksi'!$E:$E,$E885))</f>
        <v/>
      </c>
      <c r="D885" s="5">
        <f>IF($E885="","",INDEX('Input Transaksi'!$F:$F,$E885))</f>
        <v/>
      </c>
      <c r="E885">
        <f>IFERROR(AGGREGATE(15,6,ROW('Input Transaksi'!$B$5:$B$5000)/('Input Transaksi'!$B$5:$B$5000="DIY"),ROWS($E$5:E885)),"")</f>
        <v/>
      </c>
      <c r="F885" s="5" t="n"/>
    </row>
    <row r="886">
      <c r="A886" s="10">
        <f>IF($E886="","",INDEX('Input Transaksi'!$A:$A,$E886))</f>
        <v/>
      </c>
      <c r="B886" s="5">
        <f>IF($E886="","",INDEX('Input Transaksi'!$D:$D,$E886))</f>
        <v/>
      </c>
      <c r="C886">
        <f>IF($E886="","",INDEX('Input Transaksi'!$E:$E,$E886))</f>
        <v/>
      </c>
      <c r="D886" s="5">
        <f>IF($E886="","",INDEX('Input Transaksi'!$F:$F,$E886))</f>
        <v/>
      </c>
      <c r="E886">
        <f>IFERROR(AGGREGATE(15,6,ROW('Input Transaksi'!$B$5:$B$5000)/('Input Transaksi'!$B$5:$B$5000="DIY"),ROWS($E$5:E886)),"")</f>
        <v/>
      </c>
      <c r="F886" s="5" t="n"/>
    </row>
    <row r="887">
      <c r="A887" s="10">
        <f>IF($E887="","",INDEX('Input Transaksi'!$A:$A,$E887))</f>
        <v/>
      </c>
      <c r="B887" s="5">
        <f>IF($E887="","",INDEX('Input Transaksi'!$D:$D,$E887))</f>
        <v/>
      </c>
      <c r="C887">
        <f>IF($E887="","",INDEX('Input Transaksi'!$E:$E,$E887))</f>
        <v/>
      </c>
      <c r="D887" s="5">
        <f>IF($E887="","",INDEX('Input Transaksi'!$F:$F,$E887))</f>
        <v/>
      </c>
      <c r="E887">
        <f>IFERROR(AGGREGATE(15,6,ROW('Input Transaksi'!$B$5:$B$5000)/('Input Transaksi'!$B$5:$B$5000="DIY"),ROWS($E$5:E887)),"")</f>
        <v/>
      </c>
      <c r="F887" s="5" t="n"/>
    </row>
    <row r="888">
      <c r="A888" s="10">
        <f>IF($E888="","",INDEX('Input Transaksi'!$A:$A,$E888))</f>
        <v/>
      </c>
      <c r="B888" s="5">
        <f>IF($E888="","",INDEX('Input Transaksi'!$D:$D,$E888))</f>
        <v/>
      </c>
      <c r="C888">
        <f>IF($E888="","",INDEX('Input Transaksi'!$E:$E,$E888))</f>
        <v/>
      </c>
      <c r="D888" s="5">
        <f>IF($E888="","",INDEX('Input Transaksi'!$F:$F,$E888))</f>
        <v/>
      </c>
      <c r="E888">
        <f>IFERROR(AGGREGATE(15,6,ROW('Input Transaksi'!$B$5:$B$5000)/('Input Transaksi'!$B$5:$B$5000="DIY"),ROWS($E$5:E888)),"")</f>
        <v/>
      </c>
      <c r="F888" s="5" t="n"/>
    </row>
    <row r="889">
      <c r="A889" s="10">
        <f>IF($E889="","",INDEX('Input Transaksi'!$A:$A,$E889))</f>
        <v/>
      </c>
      <c r="B889" s="5">
        <f>IF($E889="","",INDEX('Input Transaksi'!$D:$D,$E889))</f>
        <v/>
      </c>
      <c r="C889">
        <f>IF($E889="","",INDEX('Input Transaksi'!$E:$E,$E889))</f>
        <v/>
      </c>
      <c r="D889" s="5">
        <f>IF($E889="","",INDEX('Input Transaksi'!$F:$F,$E889))</f>
        <v/>
      </c>
      <c r="E889">
        <f>IFERROR(AGGREGATE(15,6,ROW('Input Transaksi'!$B$5:$B$5000)/('Input Transaksi'!$B$5:$B$5000="DIY"),ROWS($E$5:E889)),"")</f>
        <v/>
      </c>
      <c r="F889" s="5" t="n"/>
    </row>
    <row r="890">
      <c r="A890" s="10">
        <f>IF($E890="","",INDEX('Input Transaksi'!$A:$A,$E890))</f>
        <v/>
      </c>
      <c r="B890" s="5">
        <f>IF($E890="","",INDEX('Input Transaksi'!$D:$D,$E890))</f>
        <v/>
      </c>
      <c r="C890">
        <f>IF($E890="","",INDEX('Input Transaksi'!$E:$E,$E890))</f>
        <v/>
      </c>
      <c r="D890" s="5">
        <f>IF($E890="","",INDEX('Input Transaksi'!$F:$F,$E890))</f>
        <v/>
      </c>
      <c r="E890">
        <f>IFERROR(AGGREGATE(15,6,ROW('Input Transaksi'!$B$5:$B$5000)/('Input Transaksi'!$B$5:$B$5000="DIY"),ROWS($E$5:E890)),"")</f>
        <v/>
      </c>
      <c r="F890" s="5" t="n"/>
    </row>
    <row r="891">
      <c r="A891" s="10">
        <f>IF($E891="","",INDEX('Input Transaksi'!$A:$A,$E891))</f>
        <v/>
      </c>
      <c r="B891" s="5">
        <f>IF($E891="","",INDEX('Input Transaksi'!$D:$D,$E891))</f>
        <v/>
      </c>
      <c r="C891">
        <f>IF($E891="","",INDEX('Input Transaksi'!$E:$E,$E891))</f>
        <v/>
      </c>
      <c r="D891" s="5">
        <f>IF($E891="","",INDEX('Input Transaksi'!$F:$F,$E891))</f>
        <v/>
      </c>
      <c r="E891">
        <f>IFERROR(AGGREGATE(15,6,ROW('Input Transaksi'!$B$5:$B$5000)/('Input Transaksi'!$B$5:$B$5000="DIY"),ROWS($E$5:E891)),"")</f>
        <v/>
      </c>
      <c r="F891" s="5" t="n"/>
    </row>
    <row r="892">
      <c r="A892" s="10">
        <f>IF($E892="","",INDEX('Input Transaksi'!$A:$A,$E892))</f>
        <v/>
      </c>
      <c r="B892" s="5">
        <f>IF($E892="","",INDEX('Input Transaksi'!$D:$D,$E892))</f>
        <v/>
      </c>
      <c r="C892">
        <f>IF($E892="","",INDEX('Input Transaksi'!$E:$E,$E892))</f>
        <v/>
      </c>
      <c r="D892" s="5">
        <f>IF($E892="","",INDEX('Input Transaksi'!$F:$F,$E892))</f>
        <v/>
      </c>
      <c r="E892">
        <f>IFERROR(AGGREGATE(15,6,ROW('Input Transaksi'!$B$5:$B$5000)/('Input Transaksi'!$B$5:$B$5000="DIY"),ROWS($E$5:E892)),"")</f>
        <v/>
      </c>
      <c r="F892" s="5" t="n"/>
    </row>
    <row r="893">
      <c r="A893" s="10">
        <f>IF($E893="","",INDEX('Input Transaksi'!$A:$A,$E893))</f>
        <v/>
      </c>
      <c r="B893" s="5">
        <f>IF($E893="","",INDEX('Input Transaksi'!$D:$D,$E893))</f>
        <v/>
      </c>
      <c r="C893">
        <f>IF($E893="","",INDEX('Input Transaksi'!$E:$E,$E893))</f>
        <v/>
      </c>
      <c r="D893" s="5">
        <f>IF($E893="","",INDEX('Input Transaksi'!$F:$F,$E893))</f>
        <v/>
      </c>
      <c r="E893">
        <f>IFERROR(AGGREGATE(15,6,ROW('Input Transaksi'!$B$5:$B$5000)/('Input Transaksi'!$B$5:$B$5000="DIY"),ROWS($E$5:E893)),"")</f>
        <v/>
      </c>
      <c r="F893" s="5" t="n"/>
    </row>
    <row r="894">
      <c r="A894" s="10">
        <f>IF($E894="","",INDEX('Input Transaksi'!$A:$A,$E894))</f>
        <v/>
      </c>
      <c r="B894" s="5">
        <f>IF($E894="","",INDEX('Input Transaksi'!$D:$D,$E894))</f>
        <v/>
      </c>
      <c r="C894">
        <f>IF($E894="","",INDEX('Input Transaksi'!$E:$E,$E894))</f>
        <v/>
      </c>
      <c r="D894" s="5">
        <f>IF($E894="","",INDEX('Input Transaksi'!$F:$F,$E894))</f>
        <v/>
      </c>
      <c r="E894">
        <f>IFERROR(AGGREGATE(15,6,ROW('Input Transaksi'!$B$5:$B$5000)/('Input Transaksi'!$B$5:$B$5000="DIY"),ROWS($E$5:E894)),"")</f>
        <v/>
      </c>
      <c r="F894" s="5" t="n"/>
    </row>
    <row r="895">
      <c r="A895" s="10">
        <f>IF($E895="","",INDEX('Input Transaksi'!$A:$A,$E895))</f>
        <v/>
      </c>
      <c r="B895" s="5">
        <f>IF($E895="","",INDEX('Input Transaksi'!$D:$D,$E895))</f>
        <v/>
      </c>
      <c r="C895">
        <f>IF($E895="","",INDEX('Input Transaksi'!$E:$E,$E895))</f>
        <v/>
      </c>
      <c r="D895" s="5">
        <f>IF($E895="","",INDEX('Input Transaksi'!$F:$F,$E895))</f>
        <v/>
      </c>
      <c r="E895">
        <f>IFERROR(AGGREGATE(15,6,ROW('Input Transaksi'!$B$5:$B$5000)/('Input Transaksi'!$B$5:$B$5000="DIY"),ROWS($E$5:E895)),"")</f>
        <v/>
      </c>
      <c r="F895" s="5" t="n"/>
    </row>
    <row r="896">
      <c r="A896" s="10">
        <f>IF($E896="","",INDEX('Input Transaksi'!$A:$A,$E896))</f>
        <v/>
      </c>
      <c r="B896" s="5">
        <f>IF($E896="","",INDEX('Input Transaksi'!$D:$D,$E896))</f>
        <v/>
      </c>
      <c r="C896">
        <f>IF($E896="","",INDEX('Input Transaksi'!$E:$E,$E896))</f>
        <v/>
      </c>
      <c r="D896" s="5">
        <f>IF($E896="","",INDEX('Input Transaksi'!$F:$F,$E896))</f>
        <v/>
      </c>
      <c r="E896">
        <f>IFERROR(AGGREGATE(15,6,ROW('Input Transaksi'!$B$5:$B$5000)/('Input Transaksi'!$B$5:$B$5000="DIY"),ROWS($E$5:E896)),"")</f>
        <v/>
      </c>
      <c r="F896" s="5" t="n"/>
    </row>
    <row r="897">
      <c r="A897" s="10">
        <f>IF($E897="","",INDEX('Input Transaksi'!$A:$A,$E897))</f>
        <v/>
      </c>
      <c r="B897" s="5">
        <f>IF($E897="","",INDEX('Input Transaksi'!$D:$D,$E897))</f>
        <v/>
      </c>
      <c r="C897">
        <f>IF($E897="","",INDEX('Input Transaksi'!$E:$E,$E897))</f>
        <v/>
      </c>
      <c r="D897" s="5">
        <f>IF($E897="","",INDEX('Input Transaksi'!$F:$F,$E897))</f>
        <v/>
      </c>
      <c r="E897">
        <f>IFERROR(AGGREGATE(15,6,ROW('Input Transaksi'!$B$5:$B$5000)/('Input Transaksi'!$B$5:$B$5000="DIY"),ROWS($E$5:E897)),"")</f>
        <v/>
      </c>
      <c r="F897" s="5" t="n"/>
    </row>
    <row r="898">
      <c r="A898" s="10">
        <f>IF($E898="","",INDEX('Input Transaksi'!$A:$A,$E898))</f>
        <v/>
      </c>
      <c r="B898" s="5">
        <f>IF($E898="","",INDEX('Input Transaksi'!$D:$D,$E898))</f>
        <v/>
      </c>
      <c r="C898">
        <f>IF($E898="","",INDEX('Input Transaksi'!$E:$E,$E898))</f>
        <v/>
      </c>
      <c r="D898" s="5">
        <f>IF($E898="","",INDEX('Input Transaksi'!$F:$F,$E898))</f>
        <v/>
      </c>
      <c r="E898">
        <f>IFERROR(AGGREGATE(15,6,ROW('Input Transaksi'!$B$5:$B$5000)/('Input Transaksi'!$B$5:$B$5000="DIY"),ROWS($E$5:E898)),"")</f>
        <v/>
      </c>
      <c r="F898" s="5" t="n"/>
    </row>
    <row r="899">
      <c r="A899" s="10">
        <f>IF($E899="","",INDEX('Input Transaksi'!$A:$A,$E899))</f>
        <v/>
      </c>
      <c r="B899" s="5">
        <f>IF($E899="","",INDEX('Input Transaksi'!$D:$D,$E899))</f>
        <v/>
      </c>
      <c r="C899">
        <f>IF($E899="","",INDEX('Input Transaksi'!$E:$E,$E899))</f>
        <v/>
      </c>
      <c r="D899" s="5">
        <f>IF($E899="","",INDEX('Input Transaksi'!$F:$F,$E899))</f>
        <v/>
      </c>
      <c r="E899">
        <f>IFERROR(AGGREGATE(15,6,ROW('Input Transaksi'!$B$5:$B$5000)/('Input Transaksi'!$B$5:$B$5000="DIY"),ROWS($E$5:E899)),"")</f>
        <v/>
      </c>
      <c r="F899" s="5" t="n"/>
    </row>
    <row r="900">
      <c r="A900" s="10">
        <f>IF($E900="","",INDEX('Input Transaksi'!$A:$A,$E900))</f>
        <v/>
      </c>
      <c r="B900" s="5">
        <f>IF($E900="","",INDEX('Input Transaksi'!$D:$D,$E900))</f>
        <v/>
      </c>
      <c r="C900">
        <f>IF($E900="","",INDEX('Input Transaksi'!$E:$E,$E900))</f>
        <v/>
      </c>
      <c r="D900" s="5">
        <f>IF($E900="","",INDEX('Input Transaksi'!$F:$F,$E900))</f>
        <v/>
      </c>
      <c r="E900">
        <f>IFERROR(AGGREGATE(15,6,ROW('Input Transaksi'!$B$5:$B$5000)/('Input Transaksi'!$B$5:$B$5000="DIY"),ROWS($E$5:E900)),"")</f>
        <v/>
      </c>
      <c r="F900" s="5" t="n"/>
    </row>
    <row r="901">
      <c r="A901" s="10">
        <f>IF($E901="","",INDEX('Input Transaksi'!$A:$A,$E901))</f>
        <v/>
      </c>
      <c r="B901" s="5">
        <f>IF($E901="","",INDEX('Input Transaksi'!$D:$D,$E901))</f>
        <v/>
      </c>
      <c r="C901">
        <f>IF($E901="","",INDEX('Input Transaksi'!$E:$E,$E901))</f>
        <v/>
      </c>
      <c r="D901" s="5">
        <f>IF($E901="","",INDEX('Input Transaksi'!$F:$F,$E901))</f>
        <v/>
      </c>
      <c r="E901">
        <f>IFERROR(AGGREGATE(15,6,ROW('Input Transaksi'!$B$5:$B$5000)/('Input Transaksi'!$B$5:$B$5000="DIY"),ROWS($E$5:E901)),"")</f>
        <v/>
      </c>
      <c r="F901" s="5" t="n"/>
    </row>
    <row r="902">
      <c r="A902" s="10">
        <f>IF($E902="","",INDEX('Input Transaksi'!$A:$A,$E902))</f>
        <v/>
      </c>
      <c r="B902" s="5">
        <f>IF($E902="","",INDEX('Input Transaksi'!$D:$D,$E902))</f>
        <v/>
      </c>
      <c r="C902">
        <f>IF($E902="","",INDEX('Input Transaksi'!$E:$E,$E902))</f>
        <v/>
      </c>
      <c r="D902" s="5">
        <f>IF($E902="","",INDEX('Input Transaksi'!$F:$F,$E902))</f>
        <v/>
      </c>
      <c r="E902">
        <f>IFERROR(AGGREGATE(15,6,ROW('Input Transaksi'!$B$5:$B$5000)/('Input Transaksi'!$B$5:$B$5000="DIY"),ROWS($E$5:E902)),"")</f>
        <v/>
      </c>
      <c r="F902" s="5" t="n"/>
    </row>
    <row r="903">
      <c r="A903" s="10">
        <f>IF($E903="","",INDEX('Input Transaksi'!$A:$A,$E903))</f>
        <v/>
      </c>
      <c r="B903" s="5">
        <f>IF($E903="","",INDEX('Input Transaksi'!$D:$D,$E903))</f>
        <v/>
      </c>
      <c r="C903">
        <f>IF($E903="","",INDEX('Input Transaksi'!$E:$E,$E903))</f>
        <v/>
      </c>
      <c r="D903" s="5">
        <f>IF($E903="","",INDEX('Input Transaksi'!$F:$F,$E903))</f>
        <v/>
      </c>
      <c r="E903">
        <f>IFERROR(AGGREGATE(15,6,ROW('Input Transaksi'!$B$5:$B$5000)/('Input Transaksi'!$B$5:$B$5000="DIY"),ROWS($E$5:E903)),"")</f>
        <v/>
      </c>
      <c r="F903" s="5" t="n"/>
    </row>
    <row r="904">
      <c r="A904" s="10">
        <f>IF($E904="","",INDEX('Input Transaksi'!$A:$A,$E904))</f>
        <v/>
      </c>
      <c r="B904" s="5">
        <f>IF($E904="","",INDEX('Input Transaksi'!$D:$D,$E904))</f>
        <v/>
      </c>
      <c r="C904">
        <f>IF($E904="","",INDEX('Input Transaksi'!$E:$E,$E904))</f>
        <v/>
      </c>
      <c r="D904" s="5">
        <f>IF($E904="","",INDEX('Input Transaksi'!$F:$F,$E904))</f>
        <v/>
      </c>
      <c r="E904">
        <f>IFERROR(AGGREGATE(15,6,ROW('Input Transaksi'!$B$5:$B$5000)/('Input Transaksi'!$B$5:$B$5000="DIY"),ROWS($E$5:E904)),"")</f>
        <v/>
      </c>
      <c r="F904" s="5" t="n"/>
    </row>
    <row r="905">
      <c r="A905" s="10">
        <f>IF($E905="","",INDEX('Input Transaksi'!$A:$A,$E905))</f>
        <v/>
      </c>
      <c r="B905" s="5">
        <f>IF($E905="","",INDEX('Input Transaksi'!$D:$D,$E905))</f>
        <v/>
      </c>
      <c r="C905">
        <f>IF($E905="","",INDEX('Input Transaksi'!$E:$E,$E905))</f>
        <v/>
      </c>
      <c r="D905" s="5">
        <f>IF($E905="","",INDEX('Input Transaksi'!$F:$F,$E905))</f>
        <v/>
      </c>
      <c r="E905">
        <f>IFERROR(AGGREGATE(15,6,ROW('Input Transaksi'!$B$5:$B$5000)/('Input Transaksi'!$B$5:$B$5000="DIY"),ROWS($E$5:E905)),"")</f>
        <v/>
      </c>
      <c r="F905" s="5" t="n"/>
    </row>
    <row r="906">
      <c r="A906" s="10">
        <f>IF($E906="","",INDEX('Input Transaksi'!$A:$A,$E906))</f>
        <v/>
      </c>
      <c r="B906" s="5">
        <f>IF($E906="","",INDEX('Input Transaksi'!$D:$D,$E906))</f>
        <v/>
      </c>
      <c r="C906">
        <f>IF($E906="","",INDEX('Input Transaksi'!$E:$E,$E906))</f>
        <v/>
      </c>
      <c r="D906" s="5">
        <f>IF($E906="","",INDEX('Input Transaksi'!$F:$F,$E906))</f>
        <v/>
      </c>
      <c r="E906">
        <f>IFERROR(AGGREGATE(15,6,ROW('Input Transaksi'!$B$5:$B$5000)/('Input Transaksi'!$B$5:$B$5000="DIY"),ROWS($E$5:E906)),"")</f>
        <v/>
      </c>
      <c r="F906" s="5" t="n"/>
    </row>
    <row r="907">
      <c r="A907" s="10">
        <f>IF($E907="","",INDEX('Input Transaksi'!$A:$A,$E907))</f>
        <v/>
      </c>
      <c r="B907" s="5">
        <f>IF($E907="","",INDEX('Input Transaksi'!$D:$D,$E907))</f>
        <v/>
      </c>
      <c r="C907">
        <f>IF($E907="","",INDEX('Input Transaksi'!$E:$E,$E907))</f>
        <v/>
      </c>
      <c r="D907" s="5">
        <f>IF($E907="","",INDEX('Input Transaksi'!$F:$F,$E907))</f>
        <v/>
      </c>
      <c r="E907">
        <f>IFERROR(AGGREGATE(15,6,ROW('Input Transaksi'!$B$5:$B$5000)/('Input Transaksi'!$B$5:$B$5000="DIY"),ROWS($E$5:E907)),"")</f>
        <v/>
      </c>
      <c r="F907" s="5" t="n"/>
    </row>
    <row r="908">
      <c r="A908" s="10">
        <f>IF($E908="","",INDEX('Input Transaksi'!$A:$A,$E908))</f>
        <v/>
      </c>
      <c r="B908" s="5">
        <f>IF($E908="","",INDEX('Input Transaksi'!$D:$D,$E908))</f>
        <v/>
      </c>
      <c r="C908">
        <f>IF($E908="","",INDEX('Input Transaksi'!$E:$E,$E908))</f>
        <v/>
      </c>
      <c r="D908" s="5">
        <f>IF($E908="","",INDEX('Input Transaksi'!$F:$F,$E908))</f>
        <v/>
      </c>
      <c r="E908">
        <f>IFERROR(AGGREGATE(15,6,ROW('Input Transaksi'!$B$5:$B$5000)/('Input Transaksi'!$B$5:$B$5000="DIY"),ROWS($E$5:E908)),"")</f>
        <v/>
      </c>
      <c r="F908" s="5" t="n"/>
    </row>
    <row r="909">
      <c r="A909" s="10">
        <f>IF($E909="","",INDEX('Input Transaksi'!$A:$A,$E909))</f>
        <v/>
      </c>
      <c r="B909" s="5">
        <f>IF($E909="","",INDEX('Input Transaksi'!$D:$D,$E909))</f>
        <v/>
      </c>
      <c r="C909">
        <f>IF($E909="","",INDEX('Input Transaksi'!$E:$E,$E909))</f>
        <v/>
      </c>
      <c r="D909" s="5">
        <f>IF($E909="","",INDEX('Input Transaksi'!$F:$F,$E909))</f>
        <v/>
      </c>
      <c r="E909">
        <f>IFERROR(AGGREGATE(15,6,ROW('Input Transaksi'!$B$5:$B$5000)/('Input Transaksi'!$B$5:$B$5000="DIY"),ROWS($E$5:E909)),"")</f>
        <v/>
      </c>
      <c r="F909" s="5" t="n"/>
    </row>
    <row r="910">
      <c r="A910" s="10">
        <f>IF($E910="","",INDEX('Input Transaksi'!$A:$A,$E910))</f>
        <v/>
      </c>
      <c r="B910" s="5">
        <f>IF($E910="","",INDEX('Input Transaksi'!$D:$D,$E910))</f>
        <v/>
      </c>
      <c r="C910">
        <f>IF($E910="","",INDEX('Input Transaksi'!$E:$E,$E910))</f>
        <v/>
      </c>
      <c r="D910" s="5">
        <f>IF($E910="","",INDEX('Input Transaksi'!$F:$F,$E910))</f>
        <v/>
      </c>
      <c r="E910">
        <f>IFERROR(AGGREGATE(15,6,ROW('Input Transaksi'!$B$5:$B$5000)/('Input Transaksi'!$B$5:$B$5000="DIY"),ROWS($E$5:E910)),"")</f>
        <v/>
      </c>
      <c r="F910" s="5" t="n"/>
    </row>
    <row r="911">
      <c r="A911" s="10">
        <f>IF($E911="","",INDEX('Input Transaksi'!$A:$A,$E911))</f>
        <v/>
      </c>
      <c r="B911" s="5">
        <f>IF($E911="","",INDEX('Input Transaksi'!$D:$D,$E911))</f>
        <v/>
      </c>
      <c r="C911">
        <f>IF($E911="","",INDEX('Input Transaksi'!$E:$E,$E911))</f>
        <v/>
      </c>
      <c r="D911" s="5">
        <f>IF($E911="","",INDEX('Input Transaksi'!$F:$F,$E911))</f>
        <v/>
      </c>
      <c r="E911">
        <f>IFERROR(AGGREGATE(15,6,ROW('Input Transaksi'!$B$5:$B$5000)/('Input Transaksi'!$B$5:$B$5000="DIY"),ROWS($E$5:E911)),"")</f>
        <v/>
      </c>
      <c r="F911" s="5" t="n"/>
    </row>
    <row r="912">
      <c r="A912" s="10">
        <f>IF($E912="","",INDEX('Input Transaksi'!$A:$A,$E912))</f>
        <v/>
      </c>
      <c r="B912" s="5">
        <f>IF($E912="","",INDEX('Input Transaksi'!$D:$D,$E912))</f>
        <v/>
      </c>
      <c r="C912">
        <f>IF($E912="","",INDEX('Input Transaksi'!$E:$E,$E912))</f>
        <v/>
      </c>
      <c r="D912" s="5">
        <f>IF($E912="","",INDEX('Input Transaksi'!$F:$F,$E912))</f>
        <v/>
      </c>
      <c r="E912">
        <f>IFERROR(AGGREGATE(15,6,ROW('Input Transaksi'!$B$5:$B$5000)/('Input Transaksi'!$B$5:$B$5000="DIY"),ROWS($E$5:E912)),"")</f>
        <v/>
      </c>
      <c r="F912" s="5" t="n"/>
    </row>
    <row r="913">
      <c r="A913" s="10">
        <f>IF($E913="","",INDEX('Input Transaksi'!$A:$A,$E913))</f>
        <v/>
      </c>
      <c r="B913" s="5">
        <f>IF($E913="","",INDEX('Input Transaksi'!$D:$D,$E913))</f>
        <v/>
      </c>
      <c r="C913">
        <f>IF($E913="","",INDEX('Input Transaksi'!$E:$E,$E913))</f>
        <v/>
      </c>
      <c r="D913" s="5">
        <f>IF($E913="","",INDEX('Input Transaksi'!$F:$F,$E913))</f>
        <v/>
      </c>
      <c r="E913">
        <f>IFERROR(AGGREGATE(15,6,ROW('Input Transaksi'!$B$5:$B$5000)/('Input Transaksi'!$B$5:$B$5000="DIY"),ROWS($E$5:E913)),"")</f>
        <v/>
      </c>
      <c r="F913" s="5" t="n"/>
    </row>
    <row r="914">
      <c r="A914" s="10">
        <f>IF($E914="","",INDEX('Input Transaksi'!$A:$A,$E914))</f>
        <v/>
      </c>
      <c r="B914" s="5">
        <f>IF($E914="","",INDEX('Input Transaksi'!$D:$D,$E914))</f>
        <v/>
      </c>
      <c r="C914">
        <f>IF($E914="","",INDEX('Input Transaksi'!$E:$E,$E914))</f>
        <v/>
      </c>
      <c r="D914" s="5">
        <f>IF($E914="","",INDEX('Input Transaksi'!$F:$F,$E914))</f>
        <v/>
      </c>
      <c r="E914">
        <f>IFERROR(AGGREGATE(15,6,ROW('Input Transaksi'!$B$5:$B$5000)/('Input Transaksi'!$B$5:$B$5000="DIY"),ROWS($E$5:E914)),"")</f>
        <v/>
      </c>
      <c r="F914" s="5" t="n"/>
    </row>
    <row r="915">
      <c r="A915" s="10">
        <f>IF($E915="","",INDEX('Input Transaksi'!$A:$A,$E915))</f>
        <v/>
      </c>
      <c r="B915" s="5">
        <f>IF($E915="","",INDEX('Input Transaksi'!$D:$D,$E915))</f>
        <v/>
      </c>
      <c r="C915">
        <f>IF($E915="","",INDEX('Input Transaksi'!$E:$E,$E915))</f>
        <v/>
      </c>
      <c r="D915" s="5">
        <f>IF($E915="","",INDEX('Input Transaksi'!$F:$F,$E915))</f>
        <v/>
      </c>
      <c r="E915">
        <f>IFERROR(AGGREGATE(15,6,ROW('Input Transaksi'!$B$5:$B$5000)/('Input Transaksi'!$B$5:$B$5000="DIY"),ROWS($E$5:E915)),"")</f>
        <v/>
      </c>
      <c r="F915" s="5" t="n"/>
    </row>
    <row r="916">
      <c r="A916" s="10">
        <f>IF($E916="","",INDEX('Input Transaksi'!$A:$A,$E916))</f>
        <v/>
      </c>
      <c r="B916" s="5">
        <f>IF($E916="","",INDEX('Input Transaksi'!$D:$D,$E916))</f>
        <v/>
      </c>
      <c r="C916">
        <f>IF($E916="","",INDEX('Input Transaksi'!$E:$E,$E916))</f>
        <v/>
      </c>
      <c r="D916" s="5">
        <f>IF($E916="","",INDEX('Input Transaksi'!$F:$F,$E916))</f>
        <v/>
      </c>
      <c r="E916">
        <f>IFERROR(AGGREGATE(15,6,ROW('Input Transaksi'!$B$5:$B$5000)/('Input Transaksi'!$B$5:$B$5000="DIY"),ROWS($E$5:E916)),"")</f>
        <v/>
      </c>
      <c r="F916" s="5" t="n"/>
    </row>
    <row r="917">
      <c r="A917" s="10">
        <f>IF($E917="","",INDEX('Input Transaksi'!$A:$A,$E917))</f>
        <v/>
      </c>
      <c r="B917" s="5">
        <f>IF($E917="","",INDEX('Input Transaksi'!$D:$D,$E917))</f>
        <v/>
      </c>
      <c r="C917">
        <f>IF($E917="","",INDEX('Input Transaksi'!$E:$E,$E917))</f>
        <v/>
      </c>
      <c r="D917" s="5">
        <f>IF($E917="","",INDEX('Input Transaksi'!$F:$F,$E917))</f>
        <v/>
      </c>
      <c r="E917">
        <f>IFERROR(AGGREGATE(15,6,ROW('Input Transaksi'!$B$5:$B$5000)/('Input Transaksi'!$B$5:$B$5000="DIY"),ROWS($E$5:E917)),"")</f>
        <v/>
      </c>
      <c r="F917" s="5" t="n"/>
    </row>
    <row r="918">
      <c r="A918" s="10">
        <f>IF($E918="","",INDEX('Input Transaksi'!$A:$A,$E918))</f>
        <v/>
      </c>
      <c r="B918" s="5">
        <f>IF($E918="","",INDEX('Input Transaksi'!$D:$D,$E918))</f>
        <v/>
      </c>
      <c r="C918">
        <f>IF($E918="","",INDEX('Input Transaksi'!$E:$E,$E918))</f>
        <v/>
      </c>
      <c r="D918" s="5">
        <f>IF($E918="","",INDEX('Input Transaksi'!$F:$F,$E918))</f>
        <v/>
      </c>
      <c r="E918">
        <f>IFERROR(AGGREGATE(15,6,ROW('Input Transaksi'!$B$5:$B$5000)/('Input Transaksi'!$B$5:$B$5000="DIY"),ROWS($E$5:E918)),"")</f>
        <v/>
      </c>
      <c r="F918" s="5" t="n"/>
    </row>
    <row r="919">
      <c r="A919" s="10">
        <f>IF($E919="","",INDEX('Input Transaksi'!$A:$A,$E919))</f>
        <v/>
      </c>
      <c r="B919" s="5">
        <f>IF($E919="","",INDEX('Input Transaksi'!$D:$D,$E919))</f>
        <v/>
      </c>
      <c r="C919">
        <f>IF($E919="","",INDEX('Input Transaksi'!$E:$E,$E919))</f>
        <v/>
      </c>
      <c r="D919" s="5">
        <f>IF($E919="","",INDEX('Input Transaksi'!$F:$F,$E919))</f>
        <v/>
      </c>
      <c r="E919">
        <f>IFERROR(AGGREGATE(15,6,ROW('Input Transaksi'!$B$5:$B$5000)/('Input Transaksi'!$B$5:$B$5000="DIY"),ROWS($E$5:E919)),"")</f>
        <v/>
      </c>
      <c r="F919" s="5" t="n"/>
    </row>
    <row r="920">
      <c r="A920" s="10">
        <f>IF($E920="","",INDEX('Input Transaksi'!$A:$A,$E920))</f>
        <v/>
      </c>
      <c r="B920" s="5">
        <f>IF($E920="","",INDEX('Input Transaksi'!$D:$D,$E920))</f>
        <v/>
      </c>
      <c r="C920">
        <f>IF($E920="","",INDEX('Input Transaksi'!$E:$E,$E920))</f>
        <v/>
      </c>
      <c r="D920" s="5">
        <f>IF($E920="","",INDEX('Input Transaksi'!$F:$F,$E920))</f>
        <v/>
      </c>
      <c r="E920">
        <f>IFERROR(AGGREGATE(15,6,ROW('Input Transaksi'!$B$5:$B$5000)/('Input Transaksi'!$B$5:$B$5000="DIY"),ROWS($E$5:E920)),"")</f>
        <v/>
      </c>
      <c r="F920" s="5" t="n"/>
    </row>
    <row r="921">
      <c r="A921" s="10">
        <f>IF($E921="","",INDEX('Input Transaksi'!$A:$A,$E921))</f>
        <v/>
      </c>
      <c r="B921" s="5">
        <f>IF($E921="","",INDEX('Input Transaksi'!$D:$D,$E921))</f>
        <v/>
      </c>
      <c r="C921">
        <f>IF($E921="","",INDEX('Input Transaksi'!$E:$E,$E921))</f>
        <v/>
      </c>
      <c r="D921" s="5">
        <f>IF($E921="","",INDEX('Input Transaksi'!$F:$F,$E921))</f>
        <v/>
      </c>
      <c r="E921">
        <f>IFERROR(AGGREGATE(15,6,ROW('Input Transaksi'!$B$5:$B$5000)/('Input Transaksi'!$B$5:$B$5000="DIY"),ROWS($E$5:E921)),"")</f>
        <v/>
      </c>
      <c r="F921" s="5" t="n"/>
    </row>
    <row r="922">
      <c r="A922" s="10">
        <f>IF($E922="","",INDEX('Input Transaksi'!$A:$A,$E922))</f>
        <v/>
      </c>
      <c r="B922" s="5">
        <f>IF($E922="","",INDEX('Input Transaksi'!$D:$D,$E922))</f>
        <v/>
      </c>
      <c r="C922">
        <f>IF($E922="","",INDEX('Input Transaksi'!$E:$E,$E922))</f>
        <v/>
      </c>
      <c r="D922" s="5">
        <f>IF($E922="","",INDEX('Input Transaksi'!$F:$F,$E922))</f>
        <v/>
      </c>
      <c r="E922">
        <f>IFERROR(AGGREGATE(15,6,ROW('Input Transaksi'!$B$5:$B$5000)/('Input Transaksi'!$B$5:$B$5000="DIY"),ROWS($E$5:E922)),"")</f>
        <v/>
      </c>
      <c r="F922" s="5" t="n"/>
    </row>
    <row r="923">
      <c r="A923" s="10">
        <f>IF($E923="","",INDEX('Input Transaksi'!$A:$A,$E923))</f>
        <v/>
      </c>
      <c r="B923" s="5">
        <f>IF($E923="","",INDEX('Input Transaksi'!$D:$D,$E923))</f>
        <v/>
      </c>
      <c r="C923">
        <f>IF($E923="","",INDEX('Input Transaksi'!$E:$E,$E923))</f>
        <v/>
      </c>
      <c r="D923" s="5">
        <f>IF($E923="","",INDEX('Input Transaksi'!$F:$F,$E923))</f>
        <v/>
      </c>
      <c r="E923">
        <f>IFERROR(AGGREGATE(15,6,ROW('Input Transaksi'!$B$5:$B$5000)/('Input Transaksi'!$B$5:$B$5000="DIY"),ROWS($E$5:E923)),"")</f>
        <v/>
      </c>
      <c r="F923" s="5" t="n"/>
    </row>
    <row r="924">
      <c r="A924" s="10">
        <f>IF($E924="","",INDEX('Input Transaksi'!$A:$A,$E924))</f>
        <v/>
      </c>
      <c r="B924" s="5">
        <f>IF($E924="","",INDEX('Input Transaksi'!$D:$D,$E924))</f>
        <v/>
      </c>
      <c r="C924">
        <f>IF($E924="","",INDEX('Input Transaksi'!$E:$E,$E924))</f>
        <v/>
      </c>
      <c r="D924" s="5">
        <f>IF($E924="","",INDEX('Input Transaksi'!$F:$F,$E924))</f>
        <v/>
      </c>
      <c r="E924">
        <f>IFERROR(AGGREGATE(15,6,ROW('Input Transaksi'!$B$5:$B$5000)/('Input Transaksi'!$B$5:$B$5000="DIY"),ROWS($E$5:E924)),"")</f>
        <v/>
      </c>
      <c r="F924" s="5" t="n"/>
    </row>
    <row r="925">
      <c r="A925" s="10">
        <f>IF($E925="","",INDEX('Input Transaksi'!$A:$A,$E925))</f>
        <v/>
      </c>
      <c r="B925" s="5">
        <f>IF($E925="","",INDEX('Input Transaksi'!$D:$D,$E925))</f>
        <v/>
      </c>
      <c r="C925">
        <f>IF($E925="","",INDEX('Input Transaksi'!$E:$E,$E925))</f>
        <v/>
      </c>
      <c r="D925" s="5">
        <f>IF($E925="","",INDEX('Input Transaksi'!$F:$F,$E925))</f>
        <v/>
      </c>
      <c r="E925">
        <f>IFERROR(AGGREGATE(15,6,ROW('Input Transaksi'!$B$5:$B$5000)/('Input Transaksi'!$B$5:$B$5000="DIY"),ROWS($E$5:E925)),"")</f>
        <v/>
      </c>
      <c r="F925" s="5" t="n"/>
    </row>
    <row r="926">
      <c r="A926" s="10">
        <f>IF($E926="","",INDEX('Input Transaksi'!$A:$A,$E926))</f>
        <v/>
      </c>
      <c r="B926" s="5">
        <f>IF($E926="","",INDEX('Input Transaksi'!$D:$D,$E926))</f>
        <v/>
      </c>
      <c r="C926">
        <f>IF($E926="","",INDEX('Input Transaksi'!$E:$E,$E926))</f>
        <v/>
      </c>
      <c r="D926" s="5">
        <f>IF($E926="","",INDEX('Input Transaksi'!$F:$F,$E926))</f>
        <v/>
      </c>
      <c r="E926">
        <f>IFERROR(AGGREGATE(15,6,ROW('Input Transaksi'!$B$5:$B$5000)/('Input Transaksi'!$B$5:$B$5000="DIY"),ROWS($E$5:E926)),"")</f>
        <v/>
      </c>
      <c r="F926" s="5" t="n"/>
    </row>
    <row r="927">
      <c r="A927" s="10">
        <f>IF($E927="","",INDEX('Input Transaksi'!$A:$A,$E927))</f>
        <v/>
      </c>
      <c r="B927" s="5">
        <f>IF($E927="","",INDEX('Input Transaksi'!$D:$D,$E927))</f>
        <v/>
      </c>
      <c r="C927">
        <f>IF($E927="","",INDEX('Input Transaksi'!$E:$E,$E927))</f>
        <v/>
      </c>
      <c r="D927" s="5">
        <f>IF($E927="","",INDEX('Input Transaksi'!$F:$F,$E927))</f>
        <v/>
      </c>
      <c r="E927">
        <f>IFERROR(AGGREGATE(15,6,ROW('Input Transaksi'!$B$5:$B$5000)/('Input Transaksi'!$B$5:$B$5000="DIY"),ROWS($E$5:E927)),"")</f>
        <v/>
      </c>
      <c r="F927" s="5" t="n"/>
    </row>
    <row r="928">
      <c r="A928" s="10">
        <f>IF($E928="","",INDEX('Input Transaksi'!$A:$A,$E928))</f>
        <v/>
      </c>
      <c r="B928" s="5">
        <f>IF($E928="","",INDEX('Input Transaksi'!$D:$D,$E928))</f>
        <v/>
      </c>
      <c r="C928">
        <f>IF($E928="","",INDEX('Input Transaksi'!$E:$E,$E928))</f>
        <v/>
      </c>
      <c r="D928" s="5">
        <f>IF($E928="","",INDEX('Input Transaksi'!$F:$F,$E928))</f>
        <v/>
      </c>
      <c r="E928">
        <f>IFERROR(AGGREGATE(15,6,ROW('Input Transaksi'!$B$5:$B$5000)/('Input Transaksi'!$B$5:$B$5000="DIY"),ROWS($E$5:E928)),"")</f>
        <v/>
      </c>
      <c r="F928" s="5" t="n"/>
    </row>
    <row r="929">
      <c r="A929" s="10">
        <f>IF($E929="","",INDEX('Input Transaksi'!$A:$A,$E929))</f>
        <v/>
      </c>
      <c r="B929" s="5">
        <f>IF($E929="","",INDEX('Input Transaksi'!$D:$D,$E929))</f>
        <v/>
      </c>
      <c r="C929">
        <f>IF($E929="","",INDEX('Input Transaksi'!$E:$E,$E929))</f>
        <v/>
      </c>
      <c r="D929" s="5">
        <f>IF($E929="","",INDEX('Input Transaksi'!$F:$F,$E929))</f>
        <v/>
      </c>
      <c r="E929">
        <f>IFERROR(AGGREGATE(15,6,ROW('Input Transaksi'!$B$5:$B$5000)/('Input Transaksi'!$B$5:$B$5000="DIY"),ROWS($E$5:E929)),"")</f>
        <v/>
      </c>
      <c r="F929" s="5" t="n"/>
    </row>
    <row r="930">
      <c r="A930" s="10">
        <f>IF($E930="","",INDEX('Input Transaksi'!$A:$A,$E930))</f>
        <v/>
      </c>
      <c r="B930" s="5">
        <f>IF($E930="","",INDEX('Input Transaksi'!$D:$D,$E930))</f>
        <v/>
      </c>
      <c r="C930">
        <f>IF($E930="","",INDEX('Input Transaksi'!$E:$E,$E930))</f>
        <v/>
      </c>
      <c r="D930" s="5">
        <f>IF($E930="","",INDEX('Input Transaksi'!$F:$F,$E930))</f>
        <v/>
      </c>
      <c r="E930">
        <f>IFERROR(AGGREGATE(15,6,ROW('Input Transaksi'!$B$5:$B$5000)/('Input Transaksi'!$B$5:$B$5000="DIY"),ROWS($E$5:E930)),"")</f>
        <v/>
      </c>
      <c r="F930" s="5" t="n"/>
    </row>
    <row r="931">
      <c r="A931" s="10">
        <f>IF($E931="","",INDEX('Input Transaksi'!$A:$A,$E931))</f>
        <v/>
      </c>
      <c r="B931" s="5">
        <f>IF($E931="","",INDEX('Input Transaksi'!$D:$D,$E931))</f>
        <v/>
      </c>
      <c r="C931">
        <f>IF($E931="","",INDEX('Input Transaksi'!$E:$E,$E931))</f>
        <v/>
      </c>
      <c r="D931" s="5">
        <f>IF($E931="","",INDEX('Input Transaksi'!$F:$F,$E931))</f>
        <v/>
      </c>
      <c r="E931">
        <f>IFERROR(AGGREGATE(15,6,ROW('Input Transaksi'!$B$5:$B$5000)/('Input Transaksi'!$B$5:$B$5000="DIY"),ROWS($E$5:E931)),"")</f>
        <v/>
      </c>
      <c r="F931" s="5" t="n"/>
    </row>
    <row r="932">
      <c r="A932" s="10">
        <f>IF($E932="","",INDEX('Input Transaksi'!$A:$A,$E932))</f>
        <v/>
      </c>
      <c r="B932" s="5">
        <f>IF($E932="","",INDEX('Input Transaksi'!$D:$D,$E932))</f>
        <v/>
      </c>
      <c r="C932">
        <f>IF($E932="","",INDEX('Input Transaksi'!$E:$E,$E932))</f>
        <v/>
      </c>
      <c r="D932" s="5">
        <f>IF($E932="","",INDEX('Input Transaksi'!$F:$F,$E932))</f>
        <v/>
      </c>
      <c r="E932">
        <f>IFERROR(AGGREGATE(15,6,ROW('Input Transaksi'!$B$5:$B$5000)/('Input Transaksi'!$B$5:$B$5000="DIY"),ROWS($E$5:E932)),"")</f>
        <v/>
      </c>
      <c r="F932" s="5" t="n"/>
    </row>
    <row r="933">
      <c r="A933" s="10">
        <f>IF($E933="","",INDEX('Input Transaksi'!$A:$A,$E933))</f>
        <v/>
      </c>
      <c r="B933" s="5">
        <f>IF($E933="","",INDEX('Input Transaksi'!$D:$D,$E933))</f>
        <v/>
      </c>
      <c r="C933">
        <f>IF($E933="","",INDEX('Input Transaksi'!$E:$E,$E933))</f>
        <v/>
      </c>
      <c r="D933" s="5">
        <f>IF($E933="","",INDEX('Input Transaksi'!$F:$F,$E933))</f>
        <v/>
      </c>
      <c r="E933">
        <f>IFERROR(AGGREGATE(15,6,ROW('Input Transaksi'!$B$5:$B$5000)/('Input Transaksi'!$B$5:$B$5000="DIY"),ROWS($E$5:E933)),"")</f>
        <v/>
      </c>
      <c r="F933" s="5" t="n"/>
    </row>
    <row r="934">
      <c r="A934" s="10">
        <f>IF($E934="","",INDEX('Input Transaksi'!$A:$A,$E934))</f>
        <v/>
      </c>
      <c r="B934" s="5">
        <f>IF($E934="","",INDEX('Input Transaksi'!$D:$D,$E934))</f>
        <v/>
      </c>
      <c r="C934">
        <f>IF($E934="","",INDEX('Input Transaksi'!$E:$E,$E934))</f>
        <v/>
      </c>
      <c r="D934" s="5">
        <f>IF($E934="","",INDEX('Input Transaksi'!$F:$F,$E934))</f>
        <v/>
      </c>
      <c r="E934">
        <f>IFERROR(AGGREGATE(15,6,ROW('Input Transaksi'!$B$5:$B$5000)/('Input Transaksi'!$B$5:$B$5000="DIY"),ROWS($E$5:E934)),"")</f>
        <v/>
      </c>
      <c r="F934" s="5" t="n"/>
    </row>
    <row r="935">
      <c r="A935" s="10">
        <f>IF($E935="","",INDEX('Input Transaksi'!$A:$A,$E935))</f>
        <v/>
      </c>
      <c r="B935" s="5">
        <f>IF($E935="","",INDEX('Input Transaksi'!$D:$D,$E935))</f>
        <v/>
      </c>
      <c r="C935">
        <f>IF($E935="","",INDEX('Input Transaksi'!$E:$E,$E935))</f>
        <v/>
      </c>
      <c r="D935" s="5">
        <f>IF($E935="","",INDEX('Input Transaksi'!$F:$F,$E935))</f>
        <v/>
      </c>
      <c r="E935">
        <f>IFERROR(AGGREGATE(15,6,ROW('Input Transaksi'!$B$5:$B$5000)/('Input Transaksi'!$B$5:$B$5000="DIY"),ROWS($E$5:E935)),"")</f>
        <v/>
      </c>
      <c r="F935" s="5" t="n"/>
    </row>
    <row r="936">
      <c r="A936" s="10">
        <f>IF($E936="","",INDEX('Input Transaksi'!$A:$A,$E936))</f>
        <v/>
      </c>
      <c r="B936" s="5">
        <f>IF($E936="","",INDEX('Input Transaksi'!$D:$D,$E936))</f>
        <v/>
      </c>
      <c r="C936">
        <f>IF($E936="","",INDEX('Input Transaksi'!$E:$E,$E936))</f>
        <v/>
      </c>
      <c r="D936" s="5">
        <f>IF($E936="","",INDEX('Input Transaksi'!$F:$F,$E936))</f>
        <v/>
      </c>
      <c r="E936">
        <f>IFERROR(AGGREGATE(15,6,ROW('Input Transaksi'!$B$5:$B$5000)/('Input Transaksi'!$B$5:$B$5000="DIY"),ROWS($E$5:E936)),"")</f>
        <v/>
      </c>
      <c r="F936" s="5" t="n"/>
    </row>
    <row r="937">
      <c r="A937" s="10">
        <f>IF($E937="","",INDEX('Input Transaksi'!$A:$A,$E937))</f>
        <v/>
      </c>
      <c r="B937" s="5">
        <f>IF($E937="","",INDEX('Input Transaksi'!$D:$D,$E937))</f>
        <v/>
      </c>
      <c r="C937">
        <f>IF($E937="","",INDEX('Input Transaksi'!$E:$E,$E937))</f>
        <v/>
      </c>
      <c r="D937" s="5">
        <f>IF($E937="","",INDEX('Input Transaksi'!$F:$F,$E937))</f>
        <v/>
      </c>
      <c r="E937">
        <f>IFERROR(AGGREGATE(15,6,ROW('Input Transaksi'!$B$5:$B$5000)/('Input Transaksi'!$B$5:$B$5000="DIY"),ROWS($E$5:E937)),"")</f>
        <v/>
      </c>
      <c r="F937" s="5" t="n"/>
    </row>
    <row r="938">
      <c r="A938" s="10">
        <f>IF($E938="","",INDEX('Input Transaksi'!$A:$A,$E938))</f>
        <v/>
      </c>
      <c r="B938" s="5">
        <f>IF($E938="","",INDEX('Input Transaksi'!$D:$D,$E938))</f>
        <v/>
      </c>
      <c r="C938">
        <f>IF($E938="","",INDEX('Input Transaksi'!$E:$E,$E938))</f>
        <v/>
      </c>
      <c r="D938" s="5">
        <f>IF($E938="","",INDEX('Input Transaksi'!$F:$F,$E938))</f>
        <v/>
      </c>
      <c r="E938">
        <f>IFERROR(AGGREGATE(15,6,ROW('Input Transaksi'!$B$5:$B$5000)/('Input Transaksi'!$B$5:$B$5000="DIY"),ROWS($E$5:E938)),"")</f>
        <v/>
      </c>
      <c r="F938" s="5" t="n"/>
    </row>
    <row r="939">
      <c r="A939" s="10">
        <f>IF($E939="","",INDEX('Input Transaksi'!$A:$A,$E939))</f>
        <v/>
      </c>
      <c r="B939" s="5">
        <f>IF($E939="","",INDEX('Input Transaksi'!$D:$D,$E939))</f>
        <v/>
      </c>
      <c r="C939">
        <f>IF($E939="","",INDEX('Input Transaksi'!$E:$E,$E939))</f>
        <v/>
      </c>
      <c r="D939" s="5">
        <f>IF($E939="","",INDEX('Input Transaksi'!$F:$F,$E939))</f>
        <v/>
      </c>
      <c r="E939">
        <f>IFERROR(AGGREGATE(15,6,ROW('Input Transaksi'!$B$5:$B$5000)/('Input Transaksi'!$B$5:$B$5000="DIY"),ROWS($E$5:E939)),"")</f>
        <v/>
      </c>
      <c r="F939" s="5" t="n"/>
    </row>
    <row r="940">
      <c r="A940" s="10">
        <f>IF($E940="","",INDEX('Input Transaksi'!$A:$A,$E940))</f>
        <v/>
      </c>
      <c r="B940" s="5">
        <f>IF($E940="","",INDEX('Input Transaksi'!$D:$D,$E940))</f>
        <v/>
      </c>
      <c r="C940">
        <f>IF($E940="","",INDEX('Input Transaksi'!$E:$E,$E940))</f>
        <v/>
      </c>
      <c r="D940" s="5">
        <f>IF($E940="","",INDEX('Input Transaksi'!$F:$F,$E940))</f>
        <v/>
      </c>
      <c r="E940">
        <f>IFERROR(AGGREGATE(15,6,ROW('Input Transaksi'!$B$5:$B$5000)/('Input Transaksi'!$B$5:$B$5000="DIY"),ROWS($E$5:E940)),"")</f>
        <v/>
      </c>
      <c r="F940" s="5" t="n"/>
    </row>
    <row r="941">
      <c r="A941" s="10">
        <f>IF($E941="","",INDEX('Input Transaksi'!$A:$A,$E941))</f>
        <v/>
      </c>
      <c r="B941" s="5">
        <f>IF($E941="","",INDEX('Input Transaksi'!$D:$D,$E941))</f>
        <v/>
      </c>
      <c r="C941">
        <f>IF($E941="","",INDEX('Input Transaksi'!$E:$E,$E941))</f>
        <v/>
      </c>
      <c r="D941" s="5">
        <f>IF($E941="","",INDEX('Input Transaksi'!$F:$F,$E941))</f>
        <v/>
      </c>
      <c r="E941">
        <f>IFERROR(AGGREGATE(15,6,ROW('Input Transaksi'!$B$5:$B$5000)/('Input Transaksi'!$B$5:$B$5000="DIY"),ROWS($E$5:E941)),"")</f>
        <v/>
      </c>
      <c r="F941" s="5" t="n"/>
    </row>
    <row r="942">
      <c r="A942" s="10">
        <f>IF($E942="","",INDEX('Input Transaksi'!$A:$A,$E942))</f>
        <v/>
      </c>
      <c r="B942" s="5">
        <f>IF($E942="","",INDEX('Input Transaksi'!$D:$D,$E942))</f>
        <v/>
      </c>
      <c r="C942">
        <f>IF($E942="","",INDEX('Input Transaksi'!$E:$E,$E942))</f>
        <v/>
      </c>
      <c r="D942" s="5">
        <f>IF($E942="","",INDEX('Input Transaksi'!$F:$F,$E942))</f>
        <v/>
      </c>
      <c r="E942">
        <f>IFERROR(AGGREGATE(15,6,ROW('Input Transaksi'!$B$5:$B$5000)/('Input Transaksi'!$B$5:$B$5000="DIY"),ROWS($E$5:E942)),"")</f>
        <v/>
      </c>
      <c r="F942" s="5" t="n"/>
    </row>
    <row r="943">
      <c r="A943" s="10">
        <f>IF($E943="","",INDEX('Input Transaksi'!$A:$A,$E943))</f>
        <v/>
      </c>
      <c r="B943" s="5">
        <f>IF($E943="","",INDEX('Input Transaksi'!$D:$D,$E943))</f>
        <v/>
      </c>
      <c r="C943">
        <f>IF($E943="","",INDEX('Input Transaksi'!$E:$E,$E943))</f>
        <v/>
      </c>
      <c r="D943" s="5">
        <f>IF($E943="","",INDEX('Input Transaksi'!$F:$F,$E943))</f>
        <v/>
      </c>
      <c r="E943">
        <f>IFERROR(AGGREGATE(15,6,ROW('Input Transaksi'!$B$5:$B$5000)/('Input Transaksi'!$B$5:$B$5000="DIY"),ROWS($E$5:E943)),"")</f>
        <v/>
      </c>
      <c r="F943" s="5" t="n"/>
    </row>
    <row r="944">
      <c r="A944" s="10">
        <f>IF($E944="","",INDEX('Input Transaksi'!$A:$A,$E944))</f>
        <v/>
      </c>
      <c r="B944" s="5">
        <f>IF($E944="","",INDEX('Input Transaksi'!$D:$D,$E944))</f>
        <v/>
      </c>
      <c r="C944">
        <f>IF($E944="","",INDEX('Input Transaksi'!$E:$E,$E944))</f>
        <v/>
      </c>
      <c r="D944" s="5">
        <f>IF($E944="","",INDEX('Input Transaksi'!$F:$F,$E944))</f>
        <v/>
      </c>
      <c r="E944">
        <f>IFERROR(AGGREGATE(15,6,ROW('Input Transaksi'!$B$5:$B$5000)/('Input Transaksi'!$B$5:$B$5000="DIY"),ROWS($E$5:E944)),"")</f>
        <v/>
      </c>
      <c r="F944" s="5" t="n"/>
    </row>
    <row r="945">
      <c r="A945" s="10">
        <f>IF($E945="","",INDEX('Input Transaksi'!$A:$A,$E945))</f>
        <v/>
      </c>
      <c r="B945" s="5">
        <f>IF($E945="","",INDEX('Input Transaksi'!$D:$D,$E945))</f>
        <v/>
      </c>
      <c r="C945">
        <f>IF($E945="","",INDEX('Input Transaksi'!$E:$E,$E945))</f>
        <v/>
      </c>
      <c r="D945" s="5">
        <f>IF($E945="","",INDEX('Input Transaksi'!$F:$F,$E945))</f>
        <v/>
      </c>
      <c r="E945">
        <f>IFERROR(AGGREGATE(15,6,ROW('Input Transaksi'!$B$5:$B$5000)/('Input Transaksi'!$B$5:$B$5000="DIY"),ROWS($E$5:E945)),"")</f>
        <v/>
      </c>
      <c r="F945" s="5" t="n"/>
    </row>
    <row r="946">
      <c r="A946" s="10">
        <f>IF($E946="","",INDEX('Input Transaksi'!$A:$A,$E946))</f>
        <v/>
      </c>
      <c r="B946" s="5">
        <f>IF($E946="","",INDEX('Input Transaksi'!$D:$D,$E946))</f>
        <v/>
      </c>
      <c r="C946">
        <f>IF($E946="","",INDEX('Input Transaksi'!$E:$E,$E946))</f>
        <v/>
      </c>
      <c r="D946" s="5">
        <f>IF($E946="","",INDEX('Input Transaksi'!$F:$F,$E946))</f>
        <v/>
      </c>
      <c r="E946">
        <f>IFERROR(AGGREGATE(15,6,ROW('Input Transaksi'!$B$5:$B$5000)/('Input Transaksi'!$B$5:$B$5000="DIY"),ROWS($E$5:E946)),"")</f>
        <v/>
      </c>
      <c r="F946" s="5" t="n"/>
    </row>
    <row r="947">
      <c r="A947" s="10">
        <f>IF($E947="","",INDEX('Input Transaksi'!$A:$A,$E947))</f>
        <v/>
      </c>
      <c r="B947" s="5">
        <f>IF($E947="","",INDEX('Input Transaksi'!$D:$D,$E947))</f>
        <v/>
      </c>
      <c r="C947">
        <f>IF($E947="","",INDEX('Input Transaksi'!$E:$E,$E947))</f>
        <v/>
      </c>
      <c r="D947" s="5">
        <f>IF($E947="","",INDEX('Input Transaksi'!$F:$F,$E947))</f>
        <v/>
      </c>
      <c r="E947">
        <f>IFERROR(AGGREGATE(15,6,ROW('Input Transaksi'!$B$5:$B$5000)/('Input Transaksi'!$B$5:$B$5000="DIY"),ROWS($E$5:E947)),"")</f>
        <v/>
      </c>
      <c r="F947" s="5" t="n"/>
    </row>
    <row r="948">
      <c r="A948" s="10">
        <f>IF($E948="","",INDEX('Input Transaksi'!$A:$A,$E948))</f>
        <v/>
      </c>
      <c r="B948" s="5">
        <f>IF($E948="","",INDEX('Input Transaksi'!$D:$D,$E948))</f>
        <v/>
      </c>
      <c r="C948">
        <f>IF($E948="","",INDEX('Input Transaksi'!$E:$E,$E948))</f>
        <v/>
      </c>
      <c r="D948" s="5">
        <f>IF($E948="","",INDEX('Input Transaksi'!$F:$F,$E948))</f>
        <v/>
      </c>
      <c r="E948">
        <f>IFERROR(AGGREGATE(15,6,ROW('Input Transaksi'!$B$5:$B$5000)/('Input Transaksi'!$B$5:$B$5000="DIY"),ROWS($E$5:E948)),"")</f>
        <v/>
      </c>
      <c r="F948" s="5" t="n"/>
    </row>
    <row r="949">
      <c r="A949" s="10">
        <f>IF($E949="","",INDEX('Input Transaksi'!$A:$A,$E949))</f>
        <v/>
      </c>
      <c r="B949" s="5">
        <f>IF($E949="","",INDEX('Input Transaksi'!$D:$D,$E949))</f>
        <v/>
      </c>
      <c r="C949">
        <f>IF($E949="","",INDEX('Input Transaksi'!$E:$E,$E949))</f>
        <v/>
      </c>
      <c r="D949" s="5">
        <f>IF($E949="","",INDEX('Input Transaksi'!$F:$F,$E949))</f>
        <v/>
      </c>
      <c r="E949">
        <f>IFERROR(AGGREGATE(15,6,ROW('Input Transaksi'!$B$5:$B$5000)/('Input Transaksi'!$B$5:$B$5000="DIY"),ROWS($E$5:E949)),"")</f>
        <v/>
      </c>
      <c r="F949" s="5" t="n"/>
    </row>
    <row r="950">
      <c r="A950" s="10">
        <f>IF($E950="","",INDEX('Input Transaksi'!$A:$A,$E950))</f>
        <v/>
      </c>
      <c r="B950" s="5">
        <f>IF($E950="","",INDEX('Input Transaksi'!$D:$D,$E950))</f>
        <v/>
      </c>
      <c r="C950">
        <f>IF($E950="","",INDEX('Input Transaksi'!$E:$E,$E950))</f>
        <v/>
      </c>
      <c r="D950" s="5">
        <f>IF($E950="","",INDEX('Input Transaksi'!$F:$F,$E950))</f>
        <v/>
      </c>
      <c r="E950">
        <f>IFERROR(AGGREGATE(15,6,ROW('Input Transaksi'!$B$5:$B$5000)/('Input Transaksi'!$B$5:$B$5000="DIY"),ROWS($E$5:E950)),"")</f>
        <v/>
      </c>
      <c r="F950" s="5" t="n"/>
    </row>
    <row r="951">
      <c r="A951" s="10">
        <f>IF($E951="","",INDEX('Input Transaksi'!$A:$A,$E951))</f>
        <v/>
      </c>
      <c r="B951" s="5">
        <f>IF($E951="","",INDEX('Input Transaksi'!$D:$D,$E951))</f>
        <v/>
      </c>
      <c r="C951">
        <f>IF($E951="","",INDEX('Input Transaksi'!$E:$E,$E951))</f>
        <v/>
      </c>
      <c r="D951" s="5">
        <f>IF($E951="","",INDEX('Input Transaksi'!$F:$F,$E951))</f>
        <v/>
      </c>
      <c r="E951">
        <f>IFERROR(AGGREGATE(15,6,ROW('Input Transaksi'!$B$5:$B$5000)/('Input Transaksi'!$B$5:$B$5000="DIY"),ROWS($E$5:E951)),"")</f>
        <v/>
      </c>
      <c r="F951" s="5" t="n"/>
    </row>
    <row r="952">
      <c r="A952" s="10">
        <f>IF($E952="","",INDEX('Input Transaksi'!$A:$A,$E952))</f>
        <v/>
      </c>
      <c r="B952" s="5">
        <f>IF($E952="","",INDEX('Input Transaksi'!$D:$D,$E952))</f>
        <v/>
      </c>
      <c r="C952">
        <f>IF($E952="","",INDEX('Input Transaksi'!$E:$E,$E952))</f>
        <v/>
      </c>
      <c r="D952" s="5">
        <f>IF($E952="","",INDEX('Input Transaksi'!$F:$F,$E952))</f>
        <v/>
      </c>
      <c r="E952">
        <f>IFERROR(AGGREGATE(15,6,ROW('Input Transaksi'!$B$5:$B$5000)/('Input Transaksi'!$B$5:$B$5000="DIY"),ROWS($E$5:E952)),"")</f>
        <v/>
      </c>
      <c r="F952" s="5" t="n"/>
    </row>
    <row r="953">
      <c r="A953" s="10">
        <f>IF($E953="","",INDEX('Input Transaksi'!$A:$A,$E953))</f>
        <v/>
      </c>
      <c r="B953" s="5">
        <f>IF($E953="","",INDEX('Input Transaksi'!$D:$D,$E953))</f>
        <v/>
      </c>
      <c r="C953">
        <f>IF($E953="","",INDEX('Input Transaksi'!$E:$E,$E953))</f>
        <v/>
      </c>
      <c r="D953" s="5">
        <f>IF($E953="","",INDEX('Input Transaksi'!$F:$F,$E953))</f>
        <v/>
      </c>
      <c r="E953">
        <f>IFERROR(AGGREGATE(15,6,ROW('Input Transaksi'!$B$5:$B$5000)/('Input Transaksi'!$B$5:$B$5000="DIY"),ROWS($E$5:E953)),"")</f>
        <v/>
      </c>
      <c r="F953" s="5" t="n"/>
    </row>
    <row r="954">
      <c r="A954" s="10">
        <f>IF($E954="","",INDEX('Input Transaksi'!$A:$A,$E954))</f>
        <v/>
      </c>
      <c r="B954" s="5">
        <f>IF($E954="","",INDEX('Input Transaksi'!$D:$D,$E954))</f>
        <v/>
      </c>
      <c r="C954">
        <f>IF($E954="","",INDEX('Input Transaksi'!$E:$E,$E954))</f>
        <v/>
      </c>
      <c r="D954" s="5">
        <f>IF($E954="","",INDEX('Input Transaksi'!$F:$F,$E954))</f>
        <v/>
      </c>
      <c r="E954">
        <f>IFERROR(AGGREGATE(15,6,ROW('Input Transaksi'!$B$5:$B$5000)/('Input Transaksi'!$B$5:$B$5000="DIY"),ROWS($E$5:E954)),"")</f>
        <v/>
      </c>
      <c r="F954" s="5" t="n"/>
    </row>
    <row r="955">
      <c r="A955" s="10">
        <f>IF($E955="","",INDEX('Input Transaksi'!$A:$A,$E955))</f>
        <v/>
      </c>
      <c r="B955" s="5">
        <f>IF($E955="","",INDEX('Input Transaksi'!$D:$D,$E955))</f>
        <v/>
      </c>
      <c r="C955">
        <f>IF($E955="","",INDEX('Input Transaksi'!$E:$E,$E955))</f>
        <v/>
      </c>
      <c r="D955" s="5">
        <f>IF($E955="","",INDEX('Input Transaksi'!$F:$F,$E955))</f>
        <v/>
      </c>
      <c r="E955">
        <f>IFERROR(AGGREGATE(15,6,ROW('Input Transaksi'!$B$5:$B$5000)/('Input Transaksi'!$B$5:$B$5000="DIY"),ROWS($E$5:E955)),"")</f>
        <v/>
      </c>
      <c r="F955" s="5" t="n"/>
    </row>
    <row r="956">
      <c r="A956" s="10">
        <f>IF($E956="","",INDEX('Input Transaksi'!$A:$A,$E956))</f>
        <v/>
      </c>
      <c r="B956" s="5">
        <f>IF($E956="","",INDEX('Input Transaksi'!$D:$D,$E956))</f>
        <v/>
      </c>
      <c r="C956">
        <f>IF($E956="","",INDEX('Input Transaksi'!$E:$E,$E956))</f>
        <v/>
      </c>
      <c r="D956" s="5">
        <f>IF($E956="","",INDEX('Input Transaksi'!$F:$F,$E956))</f>
        <v/>
      </c>
      <c r="E956">
        <f>IFERROR(AGGREGATE(15,6,ROW('Input Transaksi'!$B$5:$B$5000)/('Input Transaksi'!$B$5:$B$5000="DIY"),ROWS($E$5:E956)),"")</f>
        <v/>
      </c>
      <c r="F956" s="5" t="n"/>
    </row>
    <row r="957">
      <c r="A957" s="10">
        <f>IF($E957="","",INDEX('Input Transaksi'!$A:$A,$E957))</f>
        <v/>
      </c>
      <c r="B957" s="5">
        <f>IF($E957="","",INDEX('Input Transaksi'!$D:$D,$E957))</f>
        <v/>
      </c>
      <c r="C957">
        <f>IF($E957="","",INDEX('Input Transaksi'!$E:$E,$E957))</f>
        <v/>
      </c>
      <c r="D957" s="5">
        <f>IF($E957="","",INDEX('Input Transaksi'!$F:$F,$E957))</f>
        <v/>
      </c>
      <c r="E957">
        <f>IFERROR(AGGREGATE(15,6,ROW('Input Transaksi'!$B$5:$B$5000)/('Input Transaksi'!$B$5:$B$5000="DIY"),ROWS($E$5:E957)),"")</f>
        <v/>
      </c>
      <c r="F957" s="5" t="n"/>
    </row>
    <row r="958">
      <c r="A958" s="10">
        <f>IF($E958="","",INDEX('Input Transaksi'!$A:$A,$E958))</f>
        <v/>
      </c>
      <c r="B958" s="5">
        <f>IF($E958="","",INDEX('Input Transaksi'!$D:$D,$E958))</f>
        <v/>
      </c>
      <c r="C958">
        <f>IF($E958="","",INDEX('Input Transaksi'!$E:$E,$E958))</f>
        <v/>
      </c>
      <c r="D958" s="5">
        <f>IF($E958="","",INDEX('Input Transaksi'!$F:$F,$E958))</f>
        <v/>
      </c>
      <c r="E958">
        <f>IFERROR(AGGREGATE(15,6,ROW('Input Transaksi'!$B$5:$B$5000)/('Input Transaksi'!$B$5:$B$5000="DIY"),ROWS($E$5:E958)),"")</f>
        <v/>
      </c>
      <c r="F958" s="5" t="n"/>
    </row>
    <row r="959">
      <c r="A959" s="10">
        <f>IF($E959="","",INDEX('Input Transaksi'!$A:$A,$E959))</f>
        <v/>
      </c>
      <c r="B959" s="5">
        <f>IF($E959="","",INDEX('Input Transaksi'!$D:$D,$E959))</f>
        <v/>
      </c>
      <c r="C959">
        <f>IF($E959="","",INDEX('Input Transaksi'!$E:$E,$E959))</f>
        <v/>
      </c>
      <c r="D959" s="5">
        <f>IF($E959="","",INDEX('Input Transaksi'!$F:$F,$E959))</f>
        <v/>
      </c>
      <c r="E959">
        <f>IFERROR(AGGREGATE(15,6,ROW('Input Transaksi'!$B$5:$B$5000)/('Input Transaksi'!$B$5:$B$5000="DIY"),ROWS($E$5:E959)),"")</f>
        <v/>
      </c>
      <c r="F959" s="5" t="n"/>
    </row>
    <row r="960">
      <c r="A960" s="10">
        <f>IF($E960="","",INDEX('Input Transaksi'!$A:$A,$E960))</f>
        <v/>
      </c>
      <c r="B960" s="5">
        <f>IF($E960="","",INDEX('Input Transaksi'!$D:$D,$E960))</f>
        <v/>
      </c>
      <c r="C960">
        <f>IF($E960="","",INDEX('Input Transaksi'!$E:$E,$E960))</f>
        <v/>
      </c>
      <c r="D960" s="5">
        <f>IF($E960="","",INDEX('Input Transaksi'!$F:$F,$E960))</f>
        <v/>
      </c>
      <c r="E960">
        <f>IFERROR(AGGREGATE(15,6,ROW('Input Transaksi'!$B$5:$B$5000)/('Input Transaksi'!$B$5:$B$5000="DIY"),ROWS($E$5:E960)),"")</f>
        <v/>
      </c>
      <c r="F960" s="5" t="n"/>
    </row>
    <row r="961">
      <c r="A961" s="10">
        <f>IF($E961="","",INDEX('Input Transaksi'!$A:$A,$E961))</f>
        <v/>
      </c>
      <c r="B961" s="5">
        <f>IF($E961="","",INDEX('Input Transaksi'!$D:$D,$E961))</f>
        <v/>
      </c>
      <c r="C961">
        <f>IF($E961="","",INDEX('Input Transaksi'!$E:$E,$E961))</f>
        <v/>
      </c>
      <c r="D961" s="5">
        <f>IF($E961="","",INDEX('Input Transaksi'!$F:$F,$E961))</f>
        <v/>
      </c>
      <c r="E961">
        <f>IFERROR(AGGREGATE(15,6,ROW('Input Transaksi'!$B$5:$B$5000)/('Input Transaksi'!$B$5:$B$5000="DIY"),ROWS($E$5:E961)),"")</f>
        <v/>
      </c>
      <c r="F961" s="5" t="n"/>
    </row>
    <row r="962">
      <c r="A962" s="10">
        <f>IF($E962="","",INDEX('Input Transaksi'!$A:$A,$E962))</f>
        <v/>
      </c>
      <c r="B962" s="5">
        <f>IF($E962="","",INDEX('Input Transaksi'!$D:$D,$E962))</f>
        <v/>
      </c>
      <c r="C962">
        <f>IF($E962="","",INDEX('Input Transaksi'!$E:$E,$E962))</f>
        <v/>
      </c>
      <c r="D962" s="5">
        <f>IF($E962="","",INDEX('Input Transaksi'!$F:$F,$E962))</f>
        <v/>
      </c>
      <c r="E962">
        <f>IFERROR(AGGREGATE(15,6,ROW('Input Transaksi'!$B$5:$B$5000)/('Input Transaksi'!$B$5:$B$5000="DIY"),ROWS($E$5:E962)),"")</f>
        <v/>
      </c>
      <c r="F962" s="5" t="n"/>
    </row>
    <row r="963">
      <c r="A963" s="10">
        <f>IF($E963="","",INDEX('Input Transaksi'!$A:$A,$E963))</f>
        <v/>
      </c>
      <c r="B963" s="5">
        <f>IF($E963="","",INDEX('Input Transaksi'!$D:$D,$E963))</f>
        <v/>
      </c>
      <c r="C963">
        <f>IF($E963="","",INDEX('Input Transaksi'!$E:$E,$E963))</f>
        <v/>
      </c>
      <c r="D963" s="5">
        <f>IF($E963="","",INDEX('Input Transaksi'!$F:$F,$E963))</f>
        <v/>
      </c>
      <c r="E963">
        <f>IFERROR(AGGREGATE(15,6,ROW('Input Transaksi'!$B$5:$B$5000)/('Input Transaksi'!$B$5:$B$5000="DIY"),ROWS($E$5:E963)),"")</f>
        <v/>
      </c>
      <c r="F963" s="5" t="n"/>
    </row>
    <row r="964">
      <c r="A964" s="10">
        <f>IF($E964="","",INDEX('Input Transaksi'!$A:$A,$E964))</f>
        <v/>
      </c>
      <c r="B964" s="5">
        <f>IF($E964="","",INDEX('Input Transaksi'!$D:$D,$E964))</f>
        <v/>
      </c>
      <c r="C964">
        <f>IF($E964="","",INDEX('Input Transaksi'!$E:$E,$E964))</f>
        <v/>
      </c>
      <c r="D964" s="5">
        <f>IF($E964="","",INDEX('Input Transaksi'!$F:$F,$E964))</f>
        <v/>
      </c>
      <c r="E964">
        <f>IFERROR(AGGREGATE(15,6,ROW('Input Transaksi'!$B$5:$B$5000)/('Input Transaksi'!$B$5:$B$5000="DIY"),ROWS($E$5:E964)),"")</f>
        <v/>
      </c>
      <c r="F964" s="5" t="n"/>
    </row>
    <row r="965">
      <c r="A965" s="10">
        <f>IF($E965="","",INDEX('Input Transaksi'!$A:$A,$E965))</f>
        <v/>
      </c>
      <c r="B965" s="5">
        <f>IF($E965="","",INDEX('Input Transaksi'!$D:$D,$E965))</f>
        <v/>
      </c>
      <c r="C965">
        <f>IF($E965="","",INDEX('Input Transaksi'!$E:$E,$E965))</f>
        <v/>
      </c>
      <c r="D965" s="5">
        <f>IF($E965="","",INDEX('Input Transaksi'!$F:$F,$E965))</f>
        <v/>
      </c>
      <c r="E965">
        <f>IFERROR(AGGREGATE(15,6,ROW('Input Transaksi'!$B$5:$B$5000)/('Input Transaksi'!$B$5:$B$5000="DIY"),ROWS($E$5:E965)),"")</f>
        <v/>
      </c>
      <c r="F965" s="5" t="n"/>
    </row>
    <row r="966">
      <c r="A966" s="10">
        <f>IF($E966="","",INDEX('Input Transaksi'!$A:$A,$E966))</f>
        <v/>
      </c>
      <c r="B966" s="5">
        <f>IF($E966="","",INDEX('Input Transaksi'!$D:$D,$E966))</f>
        <v/>
      </c>
      <c r="C966">
        <f>IF($E966="","",INDEX('Input Transaksi'!$E:$E,$E966))</f>
        <v/>
      </c>
      <c r="D966" s="5">
        <f>IF($E966="","",INDEX('Input Transaksi'!$F:$F,$E966))</f>
        <v/>
      </c>
      <c r="E966">
        <f>IFERROR(AGGREGATE(15,6,ROW('Input Transaksi'!$B$5:$B$5000)/('Input Transaksi'!$B$5:$B$5000="DIY"),ROWS($E$5:E966)),"")</f>
        <v/>
      </c>
      <c r="F966" s="5" t="n"/>
    </row>
    <row r="967">
      <c r="A967" s="10">
        <f>IF($E967="","",INDEX('Input Transaksi'!$A:$A,$E967))</f>
        <v/>
      </c>
      <c r="B967" s="5">
        <f>IF($E967="","",INDEX('Input Transaksi'!$D:$D,$E967))</f>
        <v/>
      </c>
      <c r="C967">
        <f>IF($E967="","",INDEX('Input Transaksi'!$E:$E,$E967))</f>
        <v/>
      </c>
      <c r="D967" s="5">
        <f>IF($E967="","",INDEX('Input Transaksi'!$F:$F,$E967))</f>
        <v/>
      </c>
      <c r="E967">
        <f>IFERROR(AGGREGATE(15,6,ROW('Input Transaksi'!$B$5:$B$5000)/('Input Transaksi'!$B$5:$B$5000="DIY"),ROWS($E$5:E967)),"")</f>
        <v/>
      </c>
      <c r="F967" s="5" t="n"/>
    </row>
    <row r="968">
      <c r="A968" s="10">
        <f>IF($E968="","",INDEX('Input Transaksi'!$A:$A,$E968))</f>
        <v/>
      </c>
      <c r="B968" s="5">
        <f>IF($E968="","",INDEX('Input Transaksi'!$D:$D,$E968))</f>
        <v/>
      </c>
      <c r="C968">
        <f>IF($E968="","",INDEX('Input Transaksi'!$E:$E,$E968))</f>
        <v/>
      </c>
      <c r="D968" s="5">
        <f>IF($E968="","",INDEX('Input Transaksi'!$F:$F,$E968))</f>
        <v/>
      </c>
      <c r="E968">
        <f>IFERROR(AGGREGATE(15,6,ROW('Input Transaksi'!$B$5:$B$5000)/('Input Transaksi'!$B$5:$B$5000="DIY"),ROWS($E$5:E968)),"")</f>
        <v/>
      </c>
      <c r="F968" s="5" t="n"/>
    </row>
    <row r="969">
      <c r="A969" s="10">
        <f>IF($E969="","",INDEX('Input Transaksi'!$A:$A,$E969))</f>
        <v/>
      </c>
      <c r="B969" s="5">
        <f>IF($E969="","",INDEX('Input Transaksi'!$D:$D,$E969))</f>
        <v/>
      </c>
      <c r="C969">
        <f>IF($E969="","",INDEX('Input Transaksi'!$E:$E,$E969))</f>
        <v/>
      </c>
      <c r="D969" s="5">
        <f>IF($E969="","",INDEX('Input Transaksi'!$F:$F,$E969))</f>
        <v/>
      </c>
      <c r="E969">
        <f>IFERROR(AGGREGATE(15,6,ROW('Input Transaksi'!$B$5:$B$5000)/('Input Transaksi'!$B$5:$B$5000="DIY"),ROWS($E$5:E969)),"")</f>
        <v/>
      </c>
      <c r="F969" s="5" t="n"/>
    </row>
    <row r="970">
      <c r="A970" s="10">
        <f>IF($E970="","",INDEX('Input Transaksi'!$A:$A,$E970))</f>
        <v/>
      </c>
      <c r="B970" s="5">
        <f>IF($E970="","",INDEX('Input Transaksi'!$D:$D,$E970))</f>
        <v/>
      </c>
      <c r="C970">
        <f>IF($E970="","",INDEX('Input Transaksi'!$E:$E,$E970))</f>
        <v/>
      </c>
      <c r="D970" s="5">
        <f>IF($E970="","",INDEX('Input Transaksi'!$F:$F,$E970))</f>
        <v/>
      </c>
      <c r="E970">
        <f>IFERROR(AGGREGATE(15,6,ROW('Input Transaksi'!$B$5:$B$5000)/('Input Transaksi'!$B$5:$B$5000="DIY"),ROWS($E$5:E970)),"")</f>
        <v/>
      </c>
      <c r="F970" s="5" t="n"/>
    </row>
    <row r="971">
      <c r="A971" s="10">
        <f>IF($E971="","",INDEX('Input Transaksi'!$A:$A,$E971))</f>
        <v/>
      </c>
      <c r="B971" s="5">
        <f>IF($E971="","",INDEX('Input Transaksi'!$D:$D,$E971))</f>
        <v/>
      </c>
      <c r="C971">
        <f>IF($E971="","",INDEX('Input Transaksi'!$E:$E,$E971))</f>
        <v/>
      </c>
      <c r="D971" s="5">
        <f>IF($E971="","",INDEX('Input Transaksi'!$F:$F,$E971))</f>
        <v/>
      </c>
      <c r="E971">
        <f>IFERROR(AGGREGATE(15,6,ROW('Input Transaksi'!$B$5:$B$5000)/('Input Transaksi'!$B$5:$B$5000="DIY"),ROWS($E$5:E971)),"")</f>
        <v/>
      </c>
      <c r="F971" s="5" t="n"/>
    </row>
    <row r="972">
      <c r="A972" s="10">
        <f>IF($E972="","",INDEX('Input Transaksi'!$A:$A,$E972))</f>
        <v/>
      </c>
      <c r="B972" s="5">
        <f>IF($E972="","",INDEX('Input Transaksi'!$D:$D,$E972))</f>
        <v/>
      </c>
      <c r="C972">
        <f>IF($E972="","",INDEX('Input Transaksi'!$E:$E,$E972))</f>
        <v/>
      </c>
      <c r="D972" s="5">
        <f>IF($E972="","",INDEX('Input Transaksi'!$F:$F,$E972))</f>
        <v/>
      </c>
      <c r="E972">
        <f>IFERROR(AGGREGATE(15,6,ROW('Input Transaksi'!$B$5:$B$5000)/('Input Transaksi'!$B$5:$B$5000="DIY"),ROWS($E$5:E972)),"")</f>
        <v/>
      </c>
      <c r="F972" s="5" t="n"/>
    </row>
    <row r="973">
      <c r="A973" s="10">
        <f>IF($E973="","",INDEX('Input Transaksi'!$A:$A,$E973))</f>
        <v/>
      </c>
      <c r="B973" s="5">
        <f>IF($E973="","",INDEX('Input Transaksi'!$D:$D,$E973))</f>
        <v/>
      </c>
      <c r="C973">
        <f>IF($E973="","",INDEX('Input Transaksi'!$E:$E,$E973))</f>
        <v/>
      </c>
      <c r="D973" s="5">
        <f>IF($E973="","",INDEX('Input Transaksi'!$F:$F,$E973))</f>
        <v/>
      </c>
      <c r="E973">
        <f>IFERROR(AGGREGATE(15,6,ROW('Input Transaksi'!$B$5:$B$5000)/('Input Transaksi'!$B$5:$B$5000="DIY"),ROWS($E$5:E973)),"")</f>
        <v/>
      </c>
      <c r="F973" s="5" t="n"/>
    </row>
    <row r="974">
      <c r="A974" s="10">
        <f>IF($E974="","",INDEX('Input Transaksi'!$A:$A,$E974))</f>
        <v/>
      </c>
      <c r="B974" s="5">
        <f>IF($E974="","",INDEX('Input Transaksi'!$D:$D,$E974))</f>
        <v/>
      </c>
      <c r="C974">
        <f>IF($E974="","",INDEX('Input Transaksi'!$E:$E,$E974))</f>
        <v/>
      </c>
      <c r="D974" s="5">
        <f>IF($E974="","",INDEX('Input Transaksi'!$F:$F,$E974))</f>
        <v/>
      </c>
      <c r="E974">
        <f>IFERROR(AGGREGATE(15,6,ROW('Input Transaksi'!$B$5:$B$5000)/('Input Transaksi'!$B$5:$B$5000="DIY"),ROWS($E$5:E974)),"")</f>
        <v/>
      </c>
      <c r="F974" s="5" t="n"/>
    </row>
    <row r="975">
      <c r="A975" s="10">
        <f>IF($E975="","",INDEX('Input Transaksi'!$A:$A,$E975))</f>
        <v/>
      </c>
      <c r="B975" s="5">
        <f>IF($E975="","",INDEX('Input Transaksi'!$D:$D,$E975))</f>
        <v/>
      </c>
      <c r="C975">
        <f>IF($E975="","",INDEX('Input Transaksi'!$E:$E,$E975))</f>
        <v/>
      </c>
      <c r="D975" s="5">
        <f>IF($E975="","",INDEX('Input Transaksi'!$F:$F,$E975))</f>
        <v/>
      </c>
      <c r="E975">
        <f>IFERROR(AGGREGATE(15,6,ROW('Input Transaksi'!$B$5:$B$5000)/('Input Transaksi'!$B$5:$B$5000="DIY"),ROWS($E$5:E975)),"")</f>
        <v/>
      </c>
      <c r="F975" s="5" t="n"/>
    </row>
    <row r="976">
      <c r="A976" s="10">
        <f>IF($E976="","",INDEX('Input Transaksi'!$A:$A,$E976))</f>
        <v/>
      </c>
      <c r="B976" s="5">
        <f>IF($E976="","",INDEX('Input Transaksi'!$D:$D,$E976))</f>
        <v/>
      </c>
      <c r="C976">
        <f>IF($E976="","",INDEX('Input Transaksi'!$E:$E,$E976))</f>
        <v/>
      </c>
      <c r="D976" s="5">
        <f>IF($E976="","",INDEX('Input Transaksi'!$F:$F,$E976))</f>
        <v/>
      </c>
      <c r="E976">
        <f>IFERROR(AGGREGATE(15,6,ROW('Input Transaksi'!$B$5:$B$5000)/('Input Transaksi'!$B$5:$B$5000="DIY"),ROWS($E$5:E976)),"")</f>
        <v/>
      </c>
      <c r="F976" s="5" t="n"/>
    </row>
    <row r="977">
      <c r="A977" s="10">
        <f>IF($E977="","",INDEX('Input Transaksi'!$A:$A,$E977))</f>
        <v/>
      </c>
      <c r="B977" s="5">
        <f>IF($E977="","",INDEX('Input Transaksi'!$D:$D,$E977))</f>
        <v/>
      </c>
      <c r="C977">
        <f>IF($E977="","",INDEX('Input Transaksi'!$E:$E,$E977))</f>
        <v/>
      </c>
      <c r="D977" s="5">
        <f>IF($E977="","",INDEX('Input Transaksi'!$F:$F,$E977))</f>
        <v/>
      </c>
      <c r="E977">
        <f>IFERROR(AGGREGATE(15,6,ROW('Input Transaksi'!$B$5:$B$5000)/('Input Transaksi'!$B$5:$B$5000="DIY"),ROWS($E$5:E977)),"")</f>
        <v/>
      </c>
      <c r="F977" s="5" t="n"/>
    </row>
    <row r="978">
      <c r="A978" s="10">
        <f>IF($E978="","",INDEX('Input Transaksi'!$A:$A,$E978))</f>
        <v/>
      </c>
      <c r="B978" s="5">
        <f>IF($E978="","",INDEX('Input Transaksi'!$D:$D,$E978))</f>
        <v/>
      </c>
      <c r="C978">
        <f>IF($E978="","",INDEX('Input Transaksi'!$E:$E,$E978))</f>
        <v/>
      </c>
      <c r="D978" s="5">
        <f>IF($E978="","",INDEX('Input Transaksi'!$F:$F,$E978))</f>
        <v/>
      </c>
      <c r="E978">
        <f>IFERROR(AGGREGATE(15,6,ROW('Input Transaksi'!$B$5:$B$5000)/('Input Transaksi'!$B$5:$B$5000="DIY"),ROWS($E$5:E978)),"")</f>
        <v/>
      </c>
      <c r="F978" s="5" t="n"/>
    </row>
    <row r="979">
      <c r="A979" s="10">
        <f>IF($E979="","",INDEX('Input Transaksi'!$A:$A,$E979))</f>
        <v/>
      </c>
      <c r="B979" s="5">
        <f>IF($E979="","",INDEX('Input Transaksi'!$D:$D,$E979))</f>
        <v/>
      </c>
      <c r="C979">
        <f>IF($E979="","",INDEX('Input Transaksi'!$E:$E,$E979))</f>
        <v/>
      </c>
      <c r="D979" s="5">
        <f>IF($E979="","",INDEX('Input Transaksi'!$F:$F,$E979))</f>
        <v/>
      </c>
      <c r="E979">
        <f>IFERROR(AGGREGATE(15,6,ROW('Input Transaksi'!$B$5:$B$5000)/('Input Transaksi'!$B$5:$B$5000="DIY"),ROWS($E$5:E979)),"")</f>
        <v/>
      </c>
      <c r="F979" s="5" t="n"/>
    </row>
    <row r="980">
      <c r="A980" s="10">
        <f>IF($E980="","",INDEX('Input Transaksi'!$A:$A,$E980))</f>
        <v/>
      </c>
      <c r="B980" s="5">
        <f>IF($E980="","",INDEX('Input Transaksi'!$D:$D,$E980))</f>
        <v/>
      </c>
      <c r="C980">
        <f>IF($E980="","",INDEX('Input Transaksi'!$E:$E,$E980))</f>
        <v/>
      </c>
      <c r="D980" s="5">
        <f>IF($E980="","",INDEX('Input Transaksi'!$F:$F,$E980))</f>
        <v/>
      </c>
      <c r="E980">
        <f>IFERROR(AGGREGATE(15,6,ROW('Input Transaksi'!$B$5:$B$5000)/('Input Transaksi'!$B$5:$B$5000="DIY"),ROWS($E$5:E980)),"")</f>
        <v/>
      </c>
      <c r="F980" s="5" t="n"/>
    </row>
    <row r="981">
      <c r="A981" s="10">
        <f>IF($E981="","",INDEX('Input Transaksi'!$A:$A,$E981))</f>
        <v/>
      </c>
      <c r="B981" s="5">
        <f>IF($E981="","",INDEX('Input Transaksi'!$D:$D,$E981))</f>
        <v/>
      </c>
      <c r="C981">
        <f>IF($E981="","",INDEX('Input Transaksi'!$E:$E,$E981))</f>
        <v/>
      </c>
      <c r="D981" s="5">
        <f>IF($E981="","",INDEX('Input Transaksi'!$F:$F,$E981))</f>
        <v/>
      </c>
      <c r="E981">
        <f>IFERROR(AGGREGATE(15,6,ROW('Input Transaksi'!$B$5:$B$5000)/('Input Transaksi'!$B$5:$B$5000="DIY"),ROWS($E$5:E981)),"")</f>
        <v/>
      </c>
      <c r="F981" s="5" t="n"/>
    </row>
    <row r="982">
      <c r="A982" s="10">
        <f>IF($E982="","",INDEX('Input Transaksi'!$A:$A,$E982))</f>
        <v/>
      </c>
      <c r="B982" s="5">
        <f>IF($E982="","",INDEX('Input Transaksi'!$D:$D,$E982))</f>
        <v/>
      </c>
      <c r="C982">
        <f>IF($E982="","",INDEX('Input Transaksi'!$E:$E,$E982))</f>
        <v/>
      </c>
      <c r="D982" s="5">
        <f>IF($E982="","",INDEX('Input Transaksi'!$F:$F,$E982))</f>
        <v/>
      </c>
      <c r="E982">
        <f>IFERROR(AGGREGATE(15,6,ROW('Input Transaksi'!$B$5:$B$5000)/('Input Transaksi'!$B$5:$B$5000="DIY"),ROWS($E$5:E982)),"")</f>
        <v/>
      </c>
      <c r="F982" s="5" t="n"/>
    </row>
    <row r="983">
      <c r="A983" s="10">
        <f>IF($E983="","",INDEX('Input Transaksi'!$A:$A,$E983))</f>
        <v/>
      </c>
      <c r="B983" s="5">
        <f>IF($E983="","",INDEX('Input Transaksi'!$D:$D,$E983))</f>
        <v/>
      </c>
      <c r="C983">
        <f>IF($E983="","",INDEX('Input Transaksi'!$E:$E,$E983))</f>
        <v/>
      </c>
      <c r="D983" s="5">
        <f>IF($E983="","",INDEX('Input Transaksi'!$F:$F,$E983))</f>
        <v/>
      </c>
      <c r="E983">
        <f>IFERROR(AGGREGATE(15,6,ROW('Input Transaksi'!$B$5:$B$5000)/('Input Transaksi'!$B$5:$B$5000="DIY"),ROWS($E$5:E983)),"")</f>
        <v/>
      </c>
      <c r="F983" s="5" t="n"/>
    </row>
    <row r="984">
      <c r="A984" s="10">
        <f>IF($E984="","",INDEX('Input Transaksi'!$A:$A,$E984))</f>
        <v/>
      </c>
      <c r="B984" s="5">
        <f>IF($E984="","",INDEX('Input Transaksi'!$D:$D,$E984))</f>
        <v/>
      </c>
      <c r="C984">
        <f>IF($E984="","",INDEX('Input Transaksi'!$E:$E,$E984))</f>
        <v/>
      </c>
      <c r="D984" s="5">
        <f>IF($E984="","",INDEX('Input Transaksi'!$F:$F,$E984))</f>
        <v/>
      </c>
      <c r="E984">
        <f>IFERROR(AGGREGATE(15,6,ROW('Input Transaksi'!$B$5:$B$5000)/('Input Transaksi'!$B$5:$B$5000="DIY"),ROWS($E$5:E984)),"")</f>
        <v/>
      </c>
      <c r="F984" s="5" t="n"/>
    </row>
    <row r="985">
      <c r="A985" s="10">
        <f>IF($E985="","",INDEX('Input Transaksi'!$A:$A,$E985))</f>
        <v/>
      </c>
      <c r="B985" s="5">
        <f>IF($E985="","",INDEX('Input Transaksi'!$D:$D,$E985))</f>
        <v/>
      </c>
      <c r="C985">
        <f>IF($E985="","",INDEX('Input Transaksi'!$E:$E,$E985))</f>
        <v/>
      </c>
      <c r="D985" s="5">
        <f>IF($E985="","",INDEX('Input Transaksi'!$F:$F,$E985))</f>
        <v/>
      </c>
      <c r="E985">
        <f>IFERROR(AGGREGATE(15,6,ROW('Input Transaksi'!$B$5:$B$5000)/('Input Transaksi'!$B$5:$B$5000="DIY"),ROWS($E$5:E985)),"")</f>
        <v/>
      </c>
      <c r="F985" s="5" t="n"/>
    </row>
    <row r="986">
      <c r="A986" s="10">
        <f>IF($E986="","",INDEX('Input Transaksi'!$A:$A,$E986))</f>
        <v/>
      </c>
      <c r="B986" s="5">
        <f>IF($E986="","",INDEX('Input Transaksi'!$D:$D,$E986))</f>
        <v/>
      </c>
      <c r="C986">
        <f>IF($E986="","",INDEX('Input Transaksi'!$E:$E,$E986))</f>
        <v/>
      </c>
      <c r="D986" s="5">
        <f>IF($E986="","",INDEX('Input Transaksi'!$F:$F,$E986))</f>
        <v/>
      </c>
      <c r="E986">
        <f>IFERROR(AGGREGATE(15,6,ROW('Input Transaksi'!$B$5:$B$5000)/('Input Transaksi'!$B$5:$B$5000="DIY"),ROWS($E$5:E986)),"")</f>
        <v/>
      </c>
      <c r="F986" s="5" t="n"/>
    </row>
    <row r="987">
      <c r="A987" s="10">
        <f>IF($E987="","",INDEX('Input Transaksi'!$A:$A,$E987))</f>
        <v/>
      </c>
      <c r="B987" s="5">
        <f>IF($E987="","",INDEX('Input Transaksi'!$D:$D,$E987))</f>
        <v/>
      </c>
      <c r="C987">
        <f>IF($E987="","",INDEX('Input Transaksi'!$E:$E,$E987))</f>
        <v/>
      </c>
      <c r="D987" s="5">
        <f>IF($E987="","",INDEX('Input Transaksi'!$F:$F,$E987))</f>
        <v/>
      </c>
      <c r="E987">
        <f>IFERROR(AGGREGATE(15,6,ROW('Input Transaksi'!$B$5:$B$5000)/('Input Transaksi'!$B$5:$B$5000="DIY"),ROWS($E$5:E987)),"")</f>
        <v/>
      </c>
      <c r="F987" s="5" t="n"/>
    </row>
    <row r="988">
      <c r="A988" s="10">
        <f>IF($E988="","",INDEX('Input Transaksi'!$A:$A,$E988))</f>
        <v/>
      </c>
      <c r="B988" s="5">
        <f>IF($E988="","",INDEX('Input Transaksi'!$D:$D,$E988))</f>
        <v/>
      </c>
      <c r="C988">
        <f>IF($E988="","",INDEX('Input Transaksi'!$E:$E,$E988))</f>
        <v/>
      </c>
      <c r="D988" s="5">
        <f>IF($E988="","",INDEX('Input Transaksi'!$F:$F,$E988))</f>
        <v/>
      </c>
      <c r="E988">
        <f>IFERROR(AGGREGATE(15,6,ROW('Input Transaksi'!$B$5:$B$5000)/('Input Transaksi'!$B$5:$B$5000="DIY"),ROWS($E$5:E988)),"")</f>
        <v/>
      </c>
      <c r="F988" s="5" t="n"/>
    </row>
    <row r="989">
      <c r="A989" s="10">
        <f>IF($E989="","",INDEX('Input Transaksi'!$A:$A,$E989))</f>
        <v/>
      </c>
      <c r="B989" s="5">
        <f>IF($E989="","",INDEX('Input Transaksi'!$D:$D,$E989))</f>
        <v/>
      </c>
      <c r="C989">
        <f>IF($E989="","",INDEX('Input Transaksi'!$E:$E,$E989))</f>
        <v/>
      </c>
      <c r="D989" s="5">
        <f>IF($E989="","",INDEX('Input Transaksi'!$F:$F,$E989))</f>
        <v/>
      </c>
      <c r="E989">
        <f>IFERROR(AGGREGATE(15,6,ROW('Input Transaksi'!$B$5:$B$5000)/('Input Transaksi'!$B$5:$B$5000="DIY"),ROWS($E$5:E989)),"")</f>
        <v/>
      </c>
      <c r="F989" s="5" t="n"/>
    </row>
    <row r="990">
      <c r="A990" s="10">
        <f>IF($E990="","",INDEX('Input Transaksi'!$A:$A,$E990))</f>
        <v/>
      </c>
      <c r="B990" s="5">
        <f>IF($E990="","",INDEX('Input Transaksi'!$D:$D,$E990))</f>
        <v/>
      </c>
      <c r="C990">
        <f>IF($E990="","",INDEX('Input Transaksi'!$E:$E,$E990))</f>
        <v/>
      </c>
      <c r="D990" s="5">
        <f>IF($E990="","",INDEX('Input Transaksi'!$F:$F,$E990))</f>
        <v/>
      </c>
      <c r="E990">
        <f>IFERROR(AGGREGATE(15,6,ROW('Input Transaksi'!$B$5:$B$5000)/('Input Transaksi'!$B$5:$B$5000="DIY"),ROWS($E$5:E990)),"")</f>
        <v/>
      </c>
      <c r="F990" s="5" t="n"/>
    </row>
    <row r="991">
      <c r="A991" s="10">
        <f>IF($E991="","",INDEX('Input Transaksi'!$A:$A,$E991))</f>
        <v/>
      </c>
      <c r="B991" s="5">
        <f>IF($E991="","",INDEX('Input Transaksi'!$D:$D,$E991))</f>
        <v/>
      </c>
      <c r="C991">
        <f>IF($E991="","",INDEX('Input Transaksi'!$E:$E,$E991))</f>
        <v/>
      </c>
      <c r="D991" s="5">
        <f>IF($E991="","",INDEX('Input Transaksi'!$F:$F,$E991))</f>
        <v/>
      </c>
      <c r="E991">
        <f>IFERROR(AGGREGATE(15,6,ROW('Input Transaksi'!$B$5:$B$5000)/('Input Transaksi'!$B$5:$B$5000="DIY"),ROWS($E$5:E991)),"")</f>
        <v/>
      </c>
      <c r="F991" s="5" t="n"/>
    </row>
    <row r="992">
      <c r="A992" s="10">
        <f>IF($E992="","",INDEX('Input Transaksi'!$A:$A,$E992))</f>
        <v/>
      </c>
      <c r="B992" s="5">
        <f>IF($E992="","",INDEX('Input Transaksi'!$D:$D,$E992))</f>
        <v/>
      </c>
      <c r="C992">
        <f>IF($E992="","",INDEX('Input Transaksi'!$E:$E,$E992))</f>
        <v/>
      </c>
      <c r="D992" s="5">
        <f>IF($E992="","",INDEX('Input Transaksi'!$F:$F,$E992))</f>
        <v/>
      </c>
      <c r="E992">
        <f>IFERROR(AGGREGATE(15,6,ROW('Input Transaksi'!$B$5:$B$5000)/('Input Transaksi'!$B$5:$B$5000="DIY"),ROWS($E$5:E992)),"")</f>
        <v/>
      </c>
      <c r="F992" s="5" t="n"/>
    </row>
    <row r="993">
      <c r="A993" s="10">
        <f>IF($E993="","",INDEX('Input Transaksi'!$A:$A,$E993))</f>
        <v/>
      </c>
      <c r="B993" s="5">
        <f>IF($E993="","",INDEX('Input Transaksi'!$D:$D,$E993))</f>
        <v/>
      </c>
      <c r="C993">
        <f>IF($E993="","",INDEX('Input Transaksi'!$E:$E,$E993))</f>
        <v/>
      </c>
      <c r="D993" s="5">
        <f>IF($E993="","",INDEX('Input Transaksi'!$F:$F,$E993))</f>
        <v/>
      </c>
      <c r="E993">
        <f>IFERROR(AGGREGATE(15,6,ROW('Input Transaksi'!$B$5:$B$5000)/('Input Transaksi'!$B$5:$B$5000="DIY"),ROWS($E$5:E993)),"")</f>
        <v/>
      </c>
      <c r="F993" s="5" t="n"/>
    </row>
    <row r="994">
      <c r="A994" s="10">
        <f>IF($E994="","",INDEX('Input Transaksi'!$A:$A,$E994))</f>
        <v/>
      </c>
      <c r="B994" s="5">
        <f>IF($E994="","",INDEX('Input Transaksi'!$D:$D,$E994))</f>
        <v/>
      </c>
      <c r="C994">
        <f>IF($E994="","",INDEX('Input Transaksi'!$E:$E,$E994))</f>
        <v/>
      </c>
      <c r="D994" s="5">
        <f>IF($E994="","",INDEX('Input Transaksi'!$F:$F,$E994))</f>
        <v/>
      </c>
      <c r="E994">
        <f>IFERROR(AGGREGATE(15,6,ROW('Input Transaksi'!$B$5:$B$5000)/('Input Transaksi'!$B$5:$B$5000="DIY"),ROWS($E$5:E994)),"")</f>
        <v/>
      </c>
      <c r="F994" s="5" t="n"/>
    </row>
    <row r="995">
      <c r="A995" s="10">
        <f>IF($E995="","",INDEX('Input Transaksi'!$A:$A,$E995))</f>
        <v/>
      </c>
      <c r="B995" s="5">
        <f>IF($E995="","",INDEX('Input Transaksi'!$D:$D,$E995))</f>
        <v/>
      </c>
      <c r="C995">
        <f>IF($E995="","",INDEX('Input Transaksi'!$E:$E,$E995))</f>
        <v/>
      </c>
      <c r="D995" s="5">
        <f>IF($E995="","",INDEX('Input Transaksi'!$F:$F,$E995))</f>
        <v/>
      </c>
      <c r="E995">
        <f>IFERROR(AGGREGATE(15,6,ROW('Input Transaksi'!$B$5:$B$5000)/('Input Transaksi'!$B$5:$B$5000="DIY"),ROWS($E$5:E995)),"")</f>
        <v/>
      </c>
      <c r="F995" s="5" t="n"/>
    </row>
    <row r="996">
      <c r="A996" s="10">
        <f>IF($E996="","",INDEX('Input Transaksi'!$A:$A,$E996))</f>
        <v/>
      </c>
      <c r="B996" s="5">
        <f>IF($E996="","",INDEX('Input Transaksi'!$D:$D,$E996))</f>
        <v/>
      </c>
      <c r="C996">
        <f>IF($E996="","",INDEX('Input Transaksi'!$E:$E,$E996))</f>
        <v/>
      </c>
      <c r="D996" s="5">
        <f>IF($E996="","",INDEX('Input Transaksi'!$F:$F,$E996))</f>
        <v/>
      </c>
      <c r="E996">
        <f>IFERROR(AGGREGATE(15,6,ROW('Input Transaksi'!$B$5:$B$5000)/('Input Transaksi'!$B$5:$B$5000="DIY"),ROWS($E$5:E996)),"")</f>
        <v/>
      </c>
      <c r="F996" s="5" t="n"/>
    </row>
    <row r="997">
      <c r="A997" s="10">
        <f>IF($E997="","",INDEX('Input Transaksi'!$A:$A,$E997))</f>
        <v/>
      </c>
      <c r="B997" s="5">
        <f>IF($E997="","",INDEX('Input Transaksi'!$D:$D,$E997))</f>
        <v/>
      </c>
      <c r="C997">
        <f>IF($E997="","",INDEX('Input Transaksi'!$E:$E,$E997))</f>
        <v/>
      </c>
      <c r="D997" s="5">
        <f>IF($E997="","",INDEX('Input Transaksi'!$F:$F,$E997))</f>
        <v/>
      </c>
      <c r="E997">
        <f>IFERROR(AGGREGATE(15,6,ROW('Input Transaksi'!$B$5:$B$5000)/('Input Transaksi'!$B$5:$B$5000="DIY"),ROWS($E$5:E997)),"")</f>
        <v/>
      </c>
      <c r="F997" s="5" t="n"/>
    </row>
    <row r="998">
      <c r="A998" s="10">
        <f>IF($E998="","",INDEX('Input Transaksi'!$A:$A,$E998))</f>
        <v/>
      </c>
      <c r="B998" s="5">
        <f>IF($E998="","",INDEX('Input Transaksi'!$D:$D,$E998))</f>
        <v/>
      </c>
      <c r="C998">
        <f>IF($E998="","",INDEX('Input Transaksi'!$E:$E,$E998))</f>
        <v/>
      </c>
      <c r="D998" s="5">
        <f>IF($E998="","",INDEX('Input Transaksi'!$F:$F,$E998))</f>
        <v/>
      </c>
      <c r="E998">
        <f>IFERROR(AGGREGATE(15,6,ROW('Input Transaksi'!$B$5:$B$5000)/('Input Transaksi'!$B$5:$B$5000="DIY"),ROWS($E$5:E998)),"")</f>
        <v/>
      </c>
      <c r="F998" s="5" t="n"/>
    </row>
    <row r="999">
      <c r="A999" s="10">
        <f>IF($E999="","",INDEX('Input Transaksi'!$A:$A,$E999))</f>
        <v/>
      </c>
      <c r="B999" s="5">
        <f>IF($E999="","",INDEX('Input Transaksi'!$D:$D,$E999))</f>
        <v/>
      </c>
      <c r="C999">
        <f>IF($E999="","",INDEX('Input Transaksi'!$E:$E,$E999))</f>
        <v/>
      </c>
      <c r="D999" s="5">
        <f>IF($E999="","",INDEX('Input Transaksi'!$F:$F,$E999))</f>
        <v/>
      </c>
      <c r="E999">
        <f>IFERROR(AGGREGATE(15,6,ROW('Input Transaksi'!$B$5:$B$5000)/('Input Transaksi'!$B$5:$B$5000="DIY"),ROWS($E$5:E999)),"")</f>
        <v/>
      </c>
      <c r="F999" s="5" t="n"/>
    </row>
    <row r="1000">
      <c r="A1000" s="10">
        <f>IF($E1000="","",INDEX('Input Transaksi'!$A:$A,$E1000))</f>
        <v/>
      </c>
      <c r="B1000" s="5">
        <f>IF($E1000="","",INDEX('Input Transaksi'!$D:$D,$E1000))</f>
        <v/>
      </c>
      <c r="C1000">
        <f>IF($E1000="","",INDEX('Input Transaksi'!$E:$E,$E1000))</f>
        <v/>
      </c>
      <c r="D1000" s="5">
        <f>IF($E1000="","",INDEX('Input Transaksi'!$F:$F,$E1000))</f>
        <v/>
      </c>
      <c r="E1000">
        <f>IFERROR(AGGREGATE(15,6,ROW('Input Transaksi'!$B$5:$B$5000)/('Input Transaksi'!$B$5:$B$5000="DIY"),ROWS($E$5:E1000)),"")</f>
        <v/>
      </c>
      <c r="F1000" s="5" t="n"/>
    </row>
  </sheetData>
  <autoFilter ref="A4:D1000"/>
  <mergeCells count="1">
    <mergeCell ref="A1:E1"/>
  </mergeCells>
  <hyperlinks>
    <hyperlink ref="F1" location="'Beranda'!A1" display="Kembali ke Beranda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000"/>
  <sheetViews>
    <sheetView workbookViewId="0">
      <pane ySplit="4" topLeftCell="A5" activePane="bottomLeft" state="frozen"/>
      <selection pane="bottomLeft" activeCell="A1" sqref="A1"/>
    </sheetView>
  </sheetViews>
  <sheetFormatPr baseColWidth="10" defaultColWidth="8.83203125" defaultRowHeight="15"/>
  <cols>
    <col width="16" customWidth="1" min="1" max="1"/>
    <col width="22" customWidth="1" min="2" max="2"/>
    <col width="12" customWidth="1" min="3" max="3"/>
    <col width="26" customWidth="1" min="4" max="4"/>
    <col hidden="1" width="12.6640625" customWidth="1" min="5" max="5"/>
    <col width="16" customWidth="1" min="6" max="6"/>
    <col hidden="1" width="13" customWidth="1" min="7" max="7"/>
  </cols>
  <sheetData>
    <row r="1" ht="24" customHeight="1">
      <c r="A1" s="11" t="inlineStr">
        <is>
          <t>JCL PEMOGAN</t>
        </is>
      </c>
      <c r="F1" s="3" t="inlineStr">
        <is>
          <t>Kembali ke Beranda</t>
        </is>
      </c>
    </row>
    <row r="2">
      <c r="A2" s="13" t="inlineStr">
        <is>
          <t>Wilayah</t>
        </is>
      </c>
      <c r="B2" s="13" t="inlineStr">
        <is>
          <t>SELATAN</t>
        </is>
      </c>
      <c r="C2" s="13" t="inlineStr">
        <is>
          <t>Total Qty</t>
        </is>
      </c>
      <c r="D2" s="2">
        <f>SUMIFS('Input Transaksi'!$E$5:$E$5000,'Input Transaksi'!$B$5:$B$5000,"JCL PEMOGAN")</f>
        <v/>
      </c>
      <c r="E2" s="13" t="inlineStr">
        <is>
          <t>Jumlah Transaksi</t>
        </is>
      </c>
      <c r="F2" s="2">
        <f>COUNTIF('Input Transaksi'!$B$5:$B$5000,"JCL PEMOGAN")</f>
        <v/>
      </c>
    </row>
    <row r="3"/>
    <row r="4">
      <c r="A4" s="4" t="inlineStr">
        <is>
          <t>Tanggal</t>
        </is>
      </c>
      <c r="B4" s="4" t="inlineStr">
        <is>
          <t>Item</t>
        </is>
      </c>
      <c r="C4" s="4" t="inlineStr">
        <is>
          <t>Qty Keluar</t>
        </is>
      </c>
      <c r="D4" s="4" t="inlineStr">
        <is>
          <t>Catatan</t>
        </is>
      </c>
      <c r="E4" t="inlineStr">
        <is>
          <t>RowRef</t>
        </is>
      </c>
      <c r="F4" s="4" t="n"/>
    </row>
    <row r="5">
      <c r="A5" s="10">
        <f>IF($E5="","",INDEX('Input Transaksi'!$A:$A,$E5))</f>
        <v/>
      </c>
      <c r="B5" s="5">
        <f>IF($E5="","",INDEX('Input Transaksi'!$D:$D,$E5))</f>
        <v/>
      </c>
      <c r="C5">
        <f>IF($E5="","",INDEX('Input Transaksi'!$E:$E,$E5))</f>
        <v/>
      </c>
      <c r="D5" s="5">
        <f>IF($E5="","",INDEX('Input Transaksi'!$F:$F,$E5))</f>
        <v/>
      </c>
      <c r="E5">
        <f>IFERROR(AGGREGATE(15,6,ROW('Input Transaksi'!$B$5:$B$5000)/('Input Transaksi'!$B$5:$B$5000="JCL PEMOGAN"),ROWS($E$5:E5)),"")</f>
        <v/>
      </c>
      <c r="F5" s="5" t="n"/>
    </row>
    <row r="6">
      <c r="A6" s="10">
        <f>IF($E6="","",INDEX('Input Transaksi'!$A:$A,$E6))</f>
        <v/>
      </c>
      <c r="B6" s="5">
        <f>IF($E6="","",INDEX('Input Transaksi'!$D:$D,$E6))</f>
        <v/>
      </c>
      <c r="C6">
        <f>IF($E6="","",INDEX('Input Transaksi'!$E:$E,$E6))</f>
        <v/>
      </c>
      <c r="D6" s="5">
        <f>IF($E6="","",INDEX('Input Transaksi'!$F:$F,$E6))</f>
        <v/>
      </c>
      <c r="E6">
        <f>IFERROR(AGGREGATE(15,6,ROW('Input Transaksi'!$B$5:$B$5000)/('Input Transaksi'!$B$5:$B$5000="JCL PEMOGAN"),ROWS($E$5:E6)),"")</f>
        <v/>
      </c>
      <c r="F6" s="5" t="n"/>
    </row>
    <row r="7">
      <c r="A7" s="10">
        <f>IF($E7="","",INDEX('Input Transaksi'!$A:$A,$E7))</f>
        <v/>
      </c>
      <c r="B7" s="5">
        <f>IF($E7="","",INDEX('Input Transaksi'!$D:$D,$E7))</f>
        <v/>
      </c>
      <c r="C7">
        <f>IF($E7="","",INDEX('Input Transaksi'!$E:$E,$E7))</f>
        <v/>
      </c>
      <c r="D7" s="5">
        <f>IF($E7="","",INDEX('Input Transaksi'!$F:$F,$E7))</f>
        <v/>
      </c>
      <c r="E7">
        <f>IFERROR(AGGREGATE(15,6,ROW('Input Transaksi'!$B$5:$B$5000)/('Input Transaksi'!$B$5:$B$5000="JCL PEMOGAN"),ROWS($E$5:E7)),"")</f>
        <v/>
      </c>
      <c r="F7" s="5" t="n"/>
    </row>
    <row r="8">
      <c r="A8" s="10">
        <f>IF($E8="","",INDEX('Input Transaksi'!$A:$A,$E8))</f>
        <v/>
      </c>
      <c r="B8" s="5">
        <f>IF($E8="","",INDEX('Input Transaksi'!$D:$D,$E8))</f>
        <v/>
      </c>
      <c r="C8">
        <f>IF($E8="","",INDEX('Input Transaksi'!$E:$E,$E8))</f>
        <v/>
      </c>
      <c r="D8" s="5">
        <f>IF($E8="","",INDEX('Input Transaksi'!$F:$F,$E8))</f>
        <v/>
      </c>
      <c r="E8">
        <f>IFERROR(AGGREGATE(15,6,ROW('Input Transaksi'!$B$5:$B$5000)/('Input Transaksi'!$B$5:$B$5000="JCL PEMOGAN"),ROWS($E$5:E8)),"")</f>
        <v/>
      </c>
      <c r="F8" s="5" t="n"/>
    </row>
    <row r="9">
      <c r="A9" s="10">
        <f>IF($E9="","",INDEX('Input Transaksi'!$A:$A,$E9))</f>
        <v/>
      </c>
      <c r="B9" s="5">
        <f>IF($E9="","",INDEX('Input Transaksi'!$D:$D,$E9))</f>
        <v/>
      </c>
      <c r="C9">
        <f>IF($E9="","",INDEX('Input Transaksi'!$E:$E,$E9))</f>
        <v/>
      </c>
      <c r="D9" s="5">
        <f>IF($E9="","",INDEX('Input Transaksi'!$F:$F,$E9))</f>
        <v/>
      </c>
      <c r="E9">
        <f>IFERROR(AGGREGATE(15,6,ROW('Input Transaksi'!$B$5:$B$5000)/('Input Transaksi'!$B$5:$B$5000="JCL PEMOGAN"),ROWS($E$5:E9)),"")</f>
        <v/>
      </c>
      <c r="F9" s="5" t="n"/>
    </row>
    <row r="10">
      <c r="A10" s="10">
        <f>IF($E10="","",INDEX('Input Transaksi'!$A:$A,$E10))</f>
        <v/>
      </c>
      <c r="B10" s="5">
        <f>IF($E10="","",INDEX('Input Transaksi'!$D:$D,$E10))</f>
        <v/>
      </c>
      <c r="C10">
        <f>IF($E10="","",INDEX('Input Transaksi'!$E:$E,$E10))</f>
        <v/>
      </c>
      <c r="D10" s="5">
        <f>IF($E10="","",INDEX('Input Transaksi'!$F:$F,$E10))</f>
        <v/>
      </c>
      <c r="E10">
        <f>IFERROR(AGGREGATE(15,6,ROW('Input Transaksi'!$B$5:$B$5000)/('Input Transaksi'!$B$5:$B$5000="JCL PEMOGAN"),ROWS($E$5:E10)),"")</f>
        <v/>
      </c>
      <c r="F10" s="5" t="n"/>
    </row>
    <row r="11">
      <c r="A11" s="10">
        <f>IF($E11="","",INDEX('Input Transaksi'!$A:$A,$E11))</f>
        <v/>
      </c>
      <c r="B11" s="5">
        <f>IF($E11="","",INDEX('Input Transaksi'!$D:$D,$E11))</f>
        <v/>
      </c>
      <c r="C11">
        <f>IF($E11="","",INDEX('Input Transaksi'!$E:$E,$E11))</f>
        <v/>
      </c>
      <c r="D11" s="5">
        <f>IF($E11="","",INDEX('Input Transaksi'!$F:$F,$E11))</f>
        <v/>
      </c>
      <c r="E11">
        <f>IFERROR(AGGREGATE(15,6,ROW('Input Transaksi'!$B$5:$B$5000)/('Input Transaksi'!$B$5:$B$5000="JCL PEMOGAN"),ROWS($E$5:E11)),"")</f>
        <v/>
      </c>
      <c r="F11" s="5" t="n"/>
    </row>
    <row r="12">
      <c r="A12" s="10">
        <f>IF($E12="","",INDEX('Input Transaksi'!$A:$A,$E12))</f>
        <v/>
      </c>
      <c r="B12" s="5">
        <f>IF($E12="","",INDEX('Input Transaksi'!$D:$D,$E12))</f>
        <v/>
      </c>
      <c r="C12">
        <f>IF($E12="","",INDEX('Input Transaksi'!$E:$E,$E12))</f>
        <v/>
      </c>
      <c r="D12" s="5">
        <f>IF($E12="","",INDEX('Input Transaksi'!$F:$F,$E12))</f>
        <v/>
      </c>
      <c r="E12">
        <f>IFERROR(AGGREGATE(15,6,ROW('Input Transaksi'!$B$5:$B$5000)/('Input Transaksi'!$B$5:$B$5000="JCL PEMOGAN"),ROWS($E$5:E12)),"")</f>
        <v/>
      </c>
      <c r="F12" s="5" t="n"/>
    </row>
    <row r="13">
      <c r="A13" s="10">
        <f>IF($E13="","",INDEX('Input Transaksi'!$A:$A,$E13))</f>
        <v/>
      </c>
      <c r="B13" s="5">
        <f>IF($E13="","",INDEX('Input Transaksi'!$D:$D,$E13))</f>
        <v/>
      </c>
      <c r="C13">
        <f>IF($E13="","",INDEX('Input Transaksi'!$E:$E,$E13))</f>
        <v/>
      </c>
      <c r="D13" s="5">
        <f>IF($E13="","",INDEX('Input Transaksi'!$F:$F,$E13))</f>
        <v/>
      </c>
      <c r="E13">
        <f>IFERROR(AGGREGATE(15,6,ROW('Input Transaksi'!$B$5:$B$5000)/('Input Transaksi'!$B$5:$B$5000="JCL PEMOGAN"),ROWS($E$5:E13)),"")</f>
        <v/>
      </c>
      <c r="F13" s="5" t="n"/>
    </row>
    <row r="14">
      <c r="A14" s="10">
        <f>IF($E14="","",INDEX('Input Transaksi'!$A:$A,$E14))</f>
        <v/>
      </c>
      <c r="B14" s="5">
        <f>IF($E14="","",INDEX('Input Transaksi'!$D:$D,$E14))</f>
        <v/>
      </c>
      <c r="C14">
        <f>IF($E14="","",INDEX('Input Transaksi'!$E:$E,$E14))</f>
        <v/>
      </c>
      <c r="D14" s="5">
        <f>IF($E14="","",INDEX('Input Transaksi'!$F:$F,$E14))</f>
        <v/>
      </c>
      <c r="E14">
        <f>IFERROR(AGGREGATE(15,6,ROW('Input Transaksi'!$B$5:$B$5000)/('Input Transaksi'!$B$5:$B$5000="JCL PEMOGAN"),ROWS($E$5:E14)),"")</f>
        <v/>
      </c>
      <c r="F14" s="5" t="n"/>
    </row>
    <row r="15">
      <c r="A15" s="10">
        <f>IF($E15="","",INDEX('Input Transaksi'!$A:$A,$E15))</f>
        <v/>
      </c>
      <c r="B15" s="5">
        <f>IF($E15="","",INDEX('Input Transaksi'!$D:$D,$E15))</f>
        <v/>
      </c>
      <c r="C15">
        <f>IF($E15="","",INDEX('Input Transaksi'!$E:$E,$E15))</f>
        <v/>
      </c>
      <c r="D15" s="5">
        <f>IF($E15="","",INDEX('Input Transaksi'!$F:$F,$E15))</f>
        <v/>
      </c>
      <c r="E15">
        <f>IFERROR(AGGREGATE(15,6,ROW('Input Transaksi'!$B$5:$B$5000)/('Input Transaksi'!$B$5:$B$5000="JCL PEMOGAN"),ROWS($E$5:E15)),"")</f>
        <v/>
      </c>
      <c r="F15" s="5" t="n"/>
    </row>
    <row r="16">
      <c r="A16" s="10">
        <f>IF($E16="","",INDEX('Input Transaksi'!$A:$A,$E16))</f>
        <v/>
      </c>
      <c r="B16" s="5">
        <f>IF($E16="","",INDEX('Input Transaksi'!$D:$D,$E16))</f>
        <v/>
      </c>
      <c r="C16">
        <f>IF($E16="","",INDEX('Input Transaksi'!$E:$E,$E16))</f>
        <v/>
      </c>
      <c r="D16" s="5">
        <f>IF($E16="","",INDEX('Input Transaksi'!$F:$F,$E16))</f>
        <v/>
      </c>
      <c r="E16">
        <f>IFERROR(AGGREGATE(15,6,ROW('Input Transaksi'!$B$5:$B$5000)/('Input Transaksi'!$B$5:$B$5000="JCL PEMOGAN"),ROWS($E$5:E16)),"")</f>
        <v/>
      </c>
      <c r="F16" s="5" t="n"/>
    </row>
    <row r="17">
      <c r="A17" s="10">
        <f>IF($E17="","",INDEX('Input Transaksi'!$A:$A,$E17))</f>
        <v/>
      </c>
      <c r="B17" s="5">
        <f>IF($E17="","",INDEX('Input Transaksi'!$D:$D,$E17))</f>
        <v/>
      </c>
      <c r="C17">
        <f>IF($E17="","",INDEX('Input Transaksi'!$E:$E,$E17))</f>
        <v/>
      </c>
      <c r="D17" s="5">
        <f>IF($E17="","",INDEX('Input Transaksi'!$F:$F,$E17))</f>
        <v/>
      </c>
      <c r="E17">
        <f>IFERROR(AGGREGATE(15,6,ROW('Input Transaksi'!$B$5:$B$5000)/('Input Transaksi'!$B$5:$B$5000="JCL PEMOGAN"),ROWS($E$5:E17)),"")</f>
        <v/>
      </c>
      <c r="F17" s="5" t="n"/>
    </row>
    <row r="18">
      <c r="A18" s="10">
        <f>IF($E18="","",INDEX('Input Transaksi'!$A:$A,$E18))</f>
        <v/>
      </c>
      <c r="B18" s="5">
        <f>IF($E18="","",INDEX('Input Transaksi'!$D:$D,$E18))</f>
        <v/>
      </c>
      <c r="C18">
        <f>IF($E18="","",INDEX('Input Transaksi'!$E:$E,$E18))</f>
        <v/>
      </c>
      <c r="D18" s="5">
        <f>IF($E18="","",INDEX('Input Transaksi'!$F:$F,$E18))</f>
        <v/>
      </c>
      <c r="E18">
        <f>IFERROR(AGGREGATE(15,6,ROW('Input Transaksi'!$B$5:$B$5000)/('Input Transaksi'!$B$5:$B$5000="JCL PEMOGAN"),ROWS($E$5:E18)),"")</f>
        <v/>
      </c>
      <c r="F18" s="5" t="n"/>
    </row>
    <row r="19">
      <c r="A19" s="10">
        <f>IF($E19="","",INDEX('Input Transaksi'!$A:$A,$E19))</f>
        <v/>
      </c>
      <c r="B19" s="5">
        <f>IF($E19="","",INDEX('Input Transaksi'!$D:$D,$E19))</f>
        <v/>
      </c>
      <c r="C19">
        <f>IF($E19="","",INDEX('Input Transaksi'!$E:$E,$E19))</f>
        <v/>
      </c>
      <c r="D19" s="5">
        <f>IF($E19="","",INDEX('Input Transaksi'!$F:$F,$E19))</f>
        <v/>
      </c>
      <c r="E19">
        <f>IFERROR(AGGREGATE(15,6,ROW('Input Transaksi'!$B$5:$B$5000)/('Input Transaksi'!$B$5:$B$5000="JCL PEMOGAN"),ROWS($E$5:E19)),"")</f>
        <v/>
      </c>
      <c r="F19" s="5" t="n"/>
    </row>
    <row r="20">
      <c r="A20" s="10">
        <f>IF($E20="","",INDEX('Input Transaksi'!$A:$A,$E20))</f>
        <v/>
      </c>
      <c r="B20" s="5">
        <f>IF($E20="","",INDEX('Input Transaksi'!$D:$D,$E20))</f>
        <v/>
      </c>
      <c r="C20">
        <f>IF($E20="","",INDEX('Input Transaksi'!$E:$E,$E20))</f>
        <v/>
      </c>
      <c r="D20" s="5">
        <f>IF($E20="","",INDEX('Input Transaksi'!$F:$F,$E20))</f>
        <v/>
      </c>
      <c r="E20">
        <f>IFERROR(AGGREGATE(15,6,ROW('Input Transaksi'!$B$5:$B$5000)/('Input Transaksi'!$B$5:$B$5000="JCL PEMOGAN"),ROWS($E$5:E20)),"")</f>
        <v/>
      </c>
      <c r="F20" s="5" t="n"/>
    </row>
    <row r="21">
      <c r="A21" s="10">
        <f>IF($E21="","",INDEX('Input Transaksi'!$A:$A,$E21))</f>
        <v/>
      </c>
      <c r="B21" s="5">
        <f>IF($E21="","",INDEX('Input Transaksi'!$D:$D,$E21))</f>
        <v/>
      </c>
      <c r="C21">
        <f>IF($E21="","",INDEX('Input Transaksi'!$E:$E,$E21))</f>
        <v/>
      </c>
      <c r="D21" s="5">
        <f>IF($E21="","",INDEX('Input Transaksi'!$F:$F,$E21))</f>
        <v/>
      </c>
      <c r="E21">
        <f>IFERROR(AGGREGATE(15,6,ROW('Input Transaksi'!$B$5:$B$5000)/('Input Transaksi'!$B$5:$B$5000="JCL PEMOGAN"),ROWS($E$5:E21)),"")</f>
        <v/>
      </c>
      <c r="F21" s="5" t="n"/>
    </row>
    <row r="22">
      <c r="A22" s="10">
        <f>IF($E22="","",INDEX('Input Transaksi'!$A:$A,$E22))</f>
        <v/>
      </c>
      <c r="B22" s="5">
        <f>IF($E22="","",INDEX('Input Transaksi'!$D:$D,$E22))</f>
        <v/>
      </c>
      <c r="C22">
        <f>IF($E22="","",INDEX('Input Transaksi'!$E:$E,$E22))</f>
        <v/>
      </c>
      <c r="D22" s="5">
        <f>IF($E22="","",INDEX('Input Transaksi'!$F:$F,$E22))</f>
        <v/>
      </c>
      <c r="E22">
        <f>IFERROR(AGGREGATE(15,6,ROW('Input Transaksi'!$B$5:$B$5000)/('Input Transaksi'!$B$5:$B$5000="JCL PEMOGAN"),ROWS($E$5:E22)),"")</f>
        <v/>
      </c>
      <c r="F22" s="5" t="n"/>
    </row>
    <row r="23">
      <c r="A23" s="10">
        <f>IF($E23="","",INDEX('Input Transaksi'!$A:$A,$E23))</f>
        <v/>
      </c>
      <c r="B23" s="5">
        <f>IF($E23="","",INDEX('Input Transaksi'!$D:$D,$E23))</f>
        <v/>
      </c>
      <c r="C23">
        <f>IF($E23="","",INDEX('Input Transaksi'!$E:$E,$E23))</f>
        <v/>
      </c>
      <c r="D23" s="5">
        <f>IF($E23="","",INDEX('Input Transaksi'!$F:$F,$E23))</f>
        <v/>
      </c>
      <c r="E23">
        <f>IFERROR(AGGREGATE(15,6,ROW('Input Transaksi'!$B$5:$B$5000)/('Input Transaksi'!$B$5:$B$5000="JCL PEMOGAN"),ROWS($E$5:E23)),"")</f>
        <v/>
      </c>
      <c r="F23" s="5" t="n"/>
    </row>
    <row r="24">
      <c r="A24" s="10">
        <f>IF($E24="","",INDEX('Input Transaksi'!$A:$A,$E24))</f>
        <v/>
      </c>
      <c r="B24" s="5">
        <f>IF($E24="","",INDEX('Input Transaksi'!$D:$D,$E24))</f>
        <v/>
      </c>
      <c r="C24">
        <f>IF($E24="","",INDEX('Input Transaksi'!$E:$E,$E24))</f>
        <v/>
      </c>
      <c r="D24" s="5">
        <f>IF($E24="","",INDEX('Input Transaksi'!$F:$F,$E24))</f>
        <v/>
      </c>
      <c r="E24">
        <f>IFERROR(AGGREGATE(15,6,ROW('Input Transaksi'!$B$5:$B$5000)/('Input Transaksi'!$B$5:$B$5000="JCL PEMOGAN"),ROWS($E$5:E24)),"")</f>
        <v/>
      </c>
      <c r="F24" s="5" t="n"/>
    </row>
    <row r="25">
      <c r="A25" s="10">
        <f>IF($E25="","",INDEX('Input Transaksi'!$A:$A,$E25))</f>
        <v/>
      </c>
      <c r="B25" s="5">
        <f>IF($E25="","",INDEX('Input Transaksi'!$D:$D,$E25))</f>
        <v/>
      </c>
      <c r="C25">
        <f>IF($E25="","",INDEX('Input Transaksi'!$E:$E,$E25))</f>
        <v/>
      </c>
      <c r="D25" s="5">
        <f>IF($E25="","",INDEX('Input Transaksi'!$F:$F,$E25))</f>
        <v/>
      </c>
      <c r="E25">
        <f>IFERROR(AGGREGATE(15,6,ROW('Input Transaksi'!$B$5:$B$5000)/('Input Transaksi'!$B$5:$B$5000="JCL PEMOGAN"),ROWS($E$5:E25)),"")</f>
        <v/>
      </c>
      <c r="F25" s="5" t="n"/>
    </row>
    <row r="26">
      <c r="A26" s="10">
        <f>IF($E26="","",INDEX('Input Transaksi'!$A:$A,$E26))</f>
        <v/>
      </c>
      <c r="B26" s="5">
        <f>IF($E26="","",INDEX('Input Transaksi'!$D:$D,$E26))</f>
        <v/>
      </c>
      <c r="C26">
        <f>IF($E26="","",INDEX('Input Transaksi'!$E:$E,$E26))</f>
        <v/>
      </c>
      <c r="D26" s="5">
        <f>IF($E26="","",INDEX('Input Transaksi'!$F:$F,$E26))</f>
        <v/>
      </c>
      <c r="E26">
        <f>IFERROR(AGGREGATE(15,6,ROW('Input Transaksi'!$B$5:$B$5000)/('Input Transaksi'!$B$5:$B$5000="JCL PEMOGAN"),ROWS($E$5:E26)),"")</f>
        <v/>
      </c>
      <c r="F26" s="5" t="n"/>
    </row>
    <row r="27">
      <c r="A27" s="10">
        <f>IF($E27="","",INDEX('Input Transaksi'!$A:$A,$E27))</f>
        <v/>
      </c>
      <c r="B27" s="5">
        <f>IF($E27="","",INDEX('Input Transaksi'!$D:$D,$E27))</f>
        <v/>
      </c>
      <c r="C27">
        <f>IF($E27="","",INDEX('Input Transaksi'!$E:$E,$E27))</f>
        <v/>
      </c>
      <c r="D27" s="5">
        <f>IF($E27="","",INDEX('Input Transaksi'!$F:$F,$E27))</f>
        <v/>
      </c>
      <c r="E27">
        <f>IFERROR(AGGREGATE(15,6,ROW('Input Transaksi'!$B$5:$B$5000)/('Input Transaksi'!$B$5:$B$5000="JCL PEMOGAN"),ROWS($E$5:E27)),"")</f>
        <v/>
      </c>
      <c r="F27" s="5" t="n"/>
    </row>
    <row r="28">
      <c r="A28" s="10">
        <f>IF($E28="","",INDEX('Input Transaksi'!$A:$A,$E28))</f>
        <v/>
      </c>
      <c r="B28" s="5">
        <f>IF($E28="","",INDEX('Input Transaksi'!$D:$D,$E28))</f>
        <v/>
      </c>
      <c r="C28">
        <f>IF($E28="","",INDEX('Input Transaksi'!$E:$E,$E28))</f>
        <v/>
      </c>
      <c r="D28" s="5">
        <f>IF($E28="","",INDEX('Input Transaksi'!$F:$F,$E28))</f>
        <v/>
      </c>
      <c r="E28">
        <f>IFERROR(AGGREGATE(15,6,ROW('Input Transaksi'!$B$5:$B$5000)/('Input Transaksi'!$B$5:$B$5000="JCL PEMOGAN"),ROWS($E$5:E28)),"")</f>
        <v/>
      </c>
      <c r="F28" s="5" t="n"/>
    </row>
    <row r="29">
      <c r="A29" s="10">
        <f>IF($E29="","",INDEX('Input Transaksi'!$A:$A,$E29))</f>
        <v/>
      </c>
      <c r="B29" s="5">
        <f>IF($E29="","",INDEX('Input Transaksi'!$D:$D,$E29))</f>
        <v/>
      </c>
      <c r="C29">
        <f>IF($E29="","",INDEX('Input Transaksi'!$E:$E,$E29))</f>
        <v/>
      </c>
      <c r="D29" s="5">
        <f>IF($E29="","",INDEX('Input Transaksi'!$F:$F,$E29))</f>
        <v/>
      </c>
      <c r="E29">
        <f>IFERROR(AGGREGATE(15,6,ROW('Input Transaksi'!$B$5:$B$5000)/('Input Transaksi'!$B$5:$B$5000="JCL PEMOGAN"),ROWS($E$5:E29)),"")</f>
        <v/>
      </c>
      <c r="F29" s="5" t="n"/>
    </row>
    <row r="30">
      <c r="A30" s="10">
        <f>IF($E30="","",INDEX('Input Transaksi'!$A:$A,$E30))</f>
        <v/>
      </c>
      <c r="B30" s="5">
        <f>IF($E30="","",INDEX('Input Transaksi'!$D:$D,$E30))</f>
        <v/>
      </c>
      <c r="C30">
        <f>IF($E30="","",INDEX('Input Transaksi'!$E:$E,$E30))</f>
        <v/>
      </c>
      <c r="D30" s="5">
        <f>IF($E30="","",INDEX('Input Transaksi'!$F:$F,$E30))</f>
        <v/>
      </c>
      <c r="E30">
        <f>IFERROR(AGGREGATE(15,6,ROW('Input Transaksi'!$B$5:$B$5000)/('Input Transaksi'!$B$5:$B$5000="JCL PEMOGAN"),ROWS($E$5:E30)),"")</f>
        <v/>
      </c>
      <c r="F30" s="5" t="n"/>
    </row>
    <row r="31">
      <c r="A31" s="10">
        <f>IF($E31="","",INDEX('Input Transaksi'!$A:$A,$E31))</f>
        <v/>
      </c>
      <c r="B31" s="5">
        <f>IF($E31="","",INDEX('Input Transaksi'!$D:$D,$E31))</f>
        <v/>
      </c>
      <c r="C31">
        <f>IF($E31="","",INDEX('Input Transaksi'!$E:$E,$E31))</f>
        <v/>
      </c>
      <c r="D31" s="5">
        <f>IF($E31="","",INDEX('Input Transaksi'!$F:$F,$E31))</f>
        <v/>
      </c>
      <c r="E31">
        <f>IFERROR(AGGREGATE(15,6,ROW('Input Transaksi'!$B$5:$B$5000)/('Input Transaksi'!$B$5:$B$5000="JCL PEMOGAN"),ROWS($E$5:E31)),"")</f>
        <v/>
      </c>
      <c r="F31" s="5" t="n"/>
    </row>
    <row r="32">
      <c r="A32" s="10">
        <f>IF($E32="","",INDEX('Input Transaksi'!$A:$A,$E32))</f>
        <v/>
      </c>
      <c r="B32" s="5">
        <f>IF($E32="","",INDEX('Input Transaksi'!$D:$D,$E32))</f>
        <v/>
      </c>
      <c r="C32">
        <f>IF($E32="","",INDEX('Input Transaksi'!$E:$E,$E32))</f>
        <v/>
      </c>
      <c r="D32" s="5">
        <f>IF($E32="","",INDEX('Input Transaksi'!$F:$F,$E32))</f>
        <v/>
      </c>
      <c r="E32">
        <f>IFERROR(AGGREGATE(15,6,ROW('Input Transaksi'!$B$5:$B$5000)/('Input Transaksi'!$B$5:$B$5000="JCL PEMOGAN"),ROWS($E$5:E32)),"")</f>
        <v/>
      </c>
      <c r="F32" s="5" t="n"/>
    </row>
    <row r="33">
      <c r="A33" s="10">
        <f>IF($E33="","",INDEX('Input Transaksi'!$A:$A,$E33))</f>
        <v/>
      </c>
      <c r="B33" s="5">
        <f>IF($E33="","",INDEX('Input Transaksi'!$D:$D,$E33))</f>
        <v/>
      </c>
      <c r="C33">
        <f>IF($E33="","",INDEX('Input Transaksi'!$E:$E,$E33))</f>
        <v/>
      </c>
      <c r="D33" s="5">
        <f>IF($E33="","",INDEX('Input Transaksi'!$F:$F,$E33))</f>
        <v/>
      </c>
      <c r="E33">
        <f>IFERROR(AGGREGATE(15,6,ROW('Input Transaksi'!$B$5:$B$5000)/('Input Transaksi'!$B$5:$B$5000="JCL PEMOGAN"),ROWS($E$5:E33)),"")</f>
        <v/>
      </c>
      <c r="F33" s="5" t="n"/>
    </row>
    <row r="34">
      <c r="A34" s="10">
        <f>IF($E34="","",INDEX('Input Transaksi'!$A:$A,$E34))</f>
        <v/>
      </c>
      <c r="B34" s="5">
        <f>IF($E34="","",INDEX('Input Transaksi'!$D:$D,$E34))</f>
        <v/>
      </c>
      <c r="C34">
        <f>IF($E34="","",INDEX('Input Transaksi'!$E:$E,$E34))</f>
        <v/>
      </c>
      <c r="D34" s="5">
        <f>IF($E34="","",INDEX('Input Transaksi'!$F:$F,$E34))</f>
        <v/>
      </c>
      <c r="E34">
        <f>IFERROR(AGGREGATE(15,6,ROW('Input Transaksi'!$B$5:$B$5000)/('Input Transaksi'!$B$5:$B$5000="JCL PEMOGAN"),ROWS($E$5:E34)),"")</f>
        <v/>
      </c>
      <c r="F34" s="5" t="n"/>
    </row>
    <row r="35">
      <c r="A35" s="10">
        <f>IF($E35="","",INDEX('Input Transaksi'!$A:$A,$E35))</f>
        <v/>
      </c>
      <c r="B35" s="5">
        <f>IF($E35="","",INDEX('Input Transaksi'!$D:$D,$E35))</f>
        <v/>
      </c>
      <c r="C35">
        <f>IF($E35="","",INDEX('Input Transaksi'!$E:$E,$E35))</f>
        <v/>
      </c>
      <c r="D35" s="5">
        <f>IF($E35="","",INDEX('Input Transaksi'!$F:$F,$E35))</f>
        <v/>
      </c>
      <c r="E35">
        <f>IFERROR(AGGREGATE(15,6,ROW('Input Transaksi'!$B$5:$B$5000)/('Input Transaksi'!$B$5:$B$5000="JCL PEMOGAN"),ROWS($E$5:E35)),"")</f>
        <v/>
      </c>
      <c r="F35" s="5" t="n"/>
    </row>
    <row r="36">
      <c r="A36" s="10">
        <f>IF($E36="","",INDEX('Input Transaksi'!$A:$A,$E36))</f>
        <v/>
      </c>
      <c r="B36" s="5">
        <f>IF($E36="","",INDEX('Input Transaksi'!$D:$D,$E36))</f>
        <v/>
      </c>
      <c r="C36">
        <f>IF($E36="","",INDEX('Input Transaksi'!$E:$E,$E36))</f>
        <v/>
      </c>
      <c r="D36" s="5">
        <f>IF($E36="","",INDEX('Input Transaksi'!$F:$F,$E36))</f>
        <v/>
      </c>
      <c r="E36">
        <f>IFERROR(AGGREGATE(15,6,ROW('Input Transaksi'!$B$5:$B$5000)/('Input Transaksi'!$B$5:$B$5000="JCL PEMOGAN"),ROWS($E$5:E36)),"")</f>
        <v/>
      </c>
      <c r="F36" s="5" t="n"/>
    </row>
    <row r="37">
      <c r="A37" s="10">
        <f>IF($E37="","",INDEX('Input Transaksi'!$A:$A,$E37))</f>
        <v/>
      </c>
      <c r="B37" s="5">
        <f>IF($E37="","",INDEX('Input Transaksi'!$D:$D,$E37))</f>
        <v/>
      </c>
      <c r="C37">
        <f>IF($E37="","",INDEX('Input Transaksi'!$E:$E,$E37))</f>
        <v/>
      </c>
      <c r="D37" s="5">
        <f>IF($E37="","",INDEX('Input Transaksi'!$F:$F,$E37))</f>
        <v/>
      </c>
      <c r="E37">
        <f>IFERROR(AGGREGATE(15,6,ROW('Input Transaksi'!$B$5:$B$5000)/('Input Transaksi'!$B$5:$B$5000="JCL PEMOGAN"),ROWS($E$5:E37)),"")</f>
        <v/>
      </c>
      <c r="F37" s="5" t="n"/>
    </row>
    <row r="38">
      <c r="A38" s="10">
        <f>IF($E38="","",INDEX('Input Transaksi'!$A:$A,$E38))</f>
        <v/>
      </c>
      <c r="B38" s="5">
        <f>IF($E38="","",INDEX('Input Transaksi'!$D:$D,$E38))</f>
        <v/>
      </c>
      <c r="C38">
        <f>IF($E38="","",INDEX('Input Transaksi'!$E:$E,$E38))</f>
        <v/>
      </c>
      <c r="D38" s="5">
        <f>IF($E38="","",INDEX('Input Transaksi'!$F:$F,$E38))</f>
        <v/>
      </c>
      <c r="E38">
        <f>IFERROR(AGGREGATE(15,6,ROW('Input Transaksi'!$B$5:$B$5000)/('Input Transaksi'!$B$5:$B$5000="JCL PEMOGAN"),ROWS($E$5:E38)),"")</f>
        <v/>
      </c>
      <c r="F38" s="5" t="n"/>
    </row>
    <row r="39">
      <c r="A39" s="10">
        <f>IF($E39="","",INDEX('Input Transaksi'!$A:$A,$E39))</f>
        <v/>
      </c>
      <c r="B39" s="5">
        <f>IF($E39="","",INDEX('Input Transaksi'!$D:$D,$E39))</f>
        <v/>
      </c>
      <c r="C39">
        <f>IF($E39="","",INDEX('Input Transaksi'!$E:$E,$E39))</f>
        <v/>
      </c>
      <c r="D39" s="5">
        <f>IF($E39="","",INDEX('Input Transaksi'!$F:$F,$E39))</f>
        <v/>
      </c>
      <c r="E39">
        <f>IFERROR(AGGREGATE(15,6,ROW('Input Transaksi'!$B$5:$B$5000)/('Input Transaksi'!$B$5:$B$5000="JCL PEMOGAN"),ROWS($E$5:E39)),"")</f>
        <v/>
      </c>
      <c r="F39" s="5" t="n"/>
    </row>
    <row r="40">
      <c r="A40" s="10">
        <f>IF($E40="","",INDEX('Input Transaksi'!$A:$A,$E40))</f>
        <v/>
      </c>
      <c r="B40" s="5">
        <f>IF($E40="","",INDEX('Input Transaksi'!$D:$D,$E40))</f>
        <v/>
      </c>
      <c r="C40">
        <f>IF($E40="","",INDEX('Input Transaksi'!$E:$E,$E40))</f>
        <v/>
      </c>
      <c r="D40" s="5">
        <f>IF($E40="","",INDEX('Input Transaksi'!$F:$F,$E40))</f>
        <v/>
      </c>
      <c r="E40">
        <f>IFERROR(AGGREGATE(15,6,ROW('Input Transaksi'!$B$5:$B$5000)/('Input Transaksi'!$B$5:$B$5000="JCL PEMOGAN"),ROWS($E$5:E40)),"")</f>
        <v/>
      </c>
      <c r="F40" s="5" t="n"/>
    </row>
    <row r="41">
      <c r="A41" s="10">
        <f>IF($E41="","",INDEX('Input Transaksi'!$A:$A,$E41))</f>
        <v/>
      </c>
      <c r="B41" s="5">
        <f>IF($E41="","",INDEX('Input Transaksi'!$D:$D,$E41))</f>
        <v/>
      </c>
      <c r="C41">
        <f>IF($E41="","",INDEX('Input Transaksi'!$E:$E,$E41))</f>
        <v/>
      </c>
      <c r="D41" s="5">
        <f>IF($E41="","",INDEX('Input Transaksi'!$F:$F,$E41))</f>
        <v/>
      </c>
      <c r="E41">
        <f>IFERROR(AGGREGATE(15,6,ROW('Input Transaksi'!$B$5:$B$5000)/('Input Transaksi'!$B$5:$B$5000="JCL PEMOGAN"),ROWS($E$5:E41)),"")</f>
        <v/>
      </c>
      <c r="F41" s="5" t="n"/>
    </row>
    <row r="42">
      <c r="A42" s="10">
        <f>IF($E42="","",INDEX('Input Transaksi'!$A:$A,$E42))</f>
        <v/>
      </c>
      <c r="B42" s="5">
        <f>IF($E42="","",INDEX('Input Transaksi'!$D:$D,$E42))</f>
        <v/>
      </c>
      <c r="C42">
        <f>IF($E42="","",INDEX('Input Transaksi'!$E:$E,$E42))</f>
        <v/>
      </c>
      <c r="D42" s="5">
        <f>IF($E42="","",INDEX('Input Transaksi'!$F:$F,$E42))</f>
        <v/>
      </c>
      <c r="E42">
        <f>IFERROR(AGGREGATE(15,6,ROW('Input Transaksi'!$B$5:$B$5000)/('Input Transaksi'!$B$5:$B$5000="JCL PEMOGAN"),ROWS($E$5:E42)),"")</f>
        <v/>
      </c>
      <c r="F42" s="5" t="n"/>
    </row>
    <row r="43">
      <c r="A43" s="10">
        <f>IF($E43="","",INDEX('Input Transaksi'!$A:$A,$E43))</f>
        <v/>
      </c>
      <c r="B43" s="5">
        <f>IF($E43="","",INDEX('Input Transaksi'!$D:$D,$E43))</f>
        <v/>
      </c>
      <c r="C43">
        <f>IF($E43="","",INDEX('Input Transaksi'!$E:$E,$E43))</f>
        <v/>
      </c>
      <c r="D43" s="5">
        <f>IF($E43="","",INDEX('Input Transaksi'!$F:$F,$E43))</f>
        <v/>
      </c>
      <c r="E43">
        <f>IFERROR(AGGREGATE(15,6,ROW('Input Transaksi'!$B$5:$B$5000)/('Input Transaksi'!$B$5:$B$5000="JCL PEMOGAN"),ROWS($E$5:E43)),"")</f>
        <v/>
      </c>
      <c r="F43" s="5" t="n"/>
    </row>
    <row r="44">
      <c r="A44" s="10">
        <f>IF($E44="","",INDEX('Input Transaksi'!$A:$A,$E44))</f>
        <v/>
      </c>
      <c r="B44" s="5">
        <f>IF($E44="","",INDEX('Input Transaksi'!$D:$D,$E44))</f>
        <v/>
      </c>
      <c r="C44">
        <f>IF($E44="","",INDEX('Input Transaksi'!$E:$E,$E44))</f>
        <v/>
      </c>
      <c r="D44" s="5">
        <f>IF($E44="","",INDEX('Input Transaksi'!$F:$F,$E44))</f>
        <v/>
      </c>
      <c r="E44">
        <f>IFERROR(AGGREGATE(15,6,ROW('Input Transaksi'!$B$5:$B$5000)/('Input Transaksi'!$B$5:$B$5000="JCL PEMOGAN"),ROWS($E$5:E44)),"")</f>
        <v/>
      </c>
      <c r="F44" s="5" t="n"/>
    </row>
    <row r="45">
      <c r="A45" s="10">
        <f>IF($E45="","",INDEX('Input Transaksi'!$A:$A,$E45))</f>
        <v/>
      </c>
      <c r="B45" s="5">
        <f>IF($E45="","",INDEX('Input Transaksi'!$D:$D,$E45))</f>
        <v/>
      </c>
      <c r="C45">
        <f>IF($E45="","",INDEX('Input Transaksi'!$E:$E,$E45))</f>
        <v/>
      </c>
      <c r="D45" s="5">
        <f>IF($E45="","",INDEX('Input Transaksi'!$F:$F,$E45))</f>
        <v/>
      </c>
      <c r="E45">
        <f>IFERROR(AGGREGATE(15,6,ROW('Input Transaksi'!$B$5:$B$5000)/('Input Transaksi'!$B$5:$B$5000="JCL PEMOGAN"),ROWS($E$5:E45)),"")</f>
        <v/>
      </c>
      <c r="F45" s="5" t="n"/>
    </row>
    <row r="46">
      <c r="A46" s="10">
        <f>IF($E46="","",INDEX('Input Transaksi'!$A:$A,$E46))</f>
        <v/>
      </c>
      <c r="B46" s="5">
        <f>IF($E46="","",INDEX('Input Transaksi'!$D:$D,$E46))</f>
        <v/>
      </c>
      <c r="C46">
        <f>IF($E46="","",INDEX('Input Transaksi'!$E:$E,$E46))</f>
        <v/>
      </c>
      <c r="D46" s="5">
        <f>IF($E46="","",INDEX('Input Transaksi'!$F:$F,$E46))</f>
        <v/>
      </c>
      <c r="E46">
        <f>IFERROR(AGGREGATE(15,6,ROW('Input Transaksi'!$B$5:$B$5000)/('Input Transaksi'!$B$5:$B$5000="JCL PEMOGAN"),ROWS($E$5:E46)),"")</f>
        <v/>
      </c>
      <c r="F46" s="5" t="n"/>
    </row>
    <row r="47">
      <c r="A47" s="10">
        <f>IF($E47="","",INDEX('Input Transaksi'!$A:$A,$E47))</f>
        <v/>
      </c>
      <c r="B47" s="5">
        <f>IF($E47="","",INDEX('Input Transaksi'!$D:$D,$E47))</f>
        <v/>
      </c>
      <c r="C47">
        <f>IF($E47="","",INDEX('Input Transaksi'!$E:$E,$E47))</f>
        <v/>
      </c>
      <c r="D47" s="5">
        <f>IF($E47="","",INDEX('Input Transaksi'!$F:$F,$E47))</f>
        <v/>
      </c>
      <c r="E47">
        <f>IFERROR(AGGREGATE(15,6,ROW('Input Transaksi'!$B$5:$B$5000)/('Input Transaksi'!$B$5:$B$5000="JCL PEMOGAN"),ROWS($E$5:E47)),"")</f>
        <v/>
      </c>
      <c r="F47" s="5" t="n"/>
    </row>
    <row r="48">
      <c r="A48" s="10">
        <f>IF($E48="","",INDEX('Input Transaksi'!$A:$A,$E48))</f>
        <v/>
      </c>
      <c r="B48" s="5">
        <f>IF($E48="","",INDEX('Input Transaksi'!$D:$D,$E48))</f>
        <v/>
      </c>
      <c r="C48">
        <f>IF($E48="","",INDEX('Input Transaksi'!$E:$E,$E48))</f>
        <v/>
      </c>
      <c r="D48" s="5">
        <f>IF($E48="","",INDEX('Input Transaksi'!$F:$F,$E48))</f>
        <v/>
      </c>
      <c r="E48">
        <f>IFERROR(AGGREGATE(15,6,ROW('Input Transaksi'!$B$5:$B$5000)/('Input Transaksi'!$B$5:$B$5000="JCL PEMOGAN"),ROWS($E$5:E48)),"")</f>
        <v/>
      </c>
      <c r="F48" s="5" t="n"/>
    </row>
    <row r="49">
      <c r="A49" s="10">
        <f>IF($E49="","",INDEX('Input Transaksi'!$A:$A,$E49))</f>
        <v/>
      </c>
      <c r="B49" s="5">
        <f>IF($E49="","",INDEX('Input Transaksi'!$D:$D,$E49))</f>
        <v/>
      </c>
      <c r="C49">
        <f>IF($E49="","",INDEX('Input Transaksi'!$E:$E,$E49))</f>
        <v/>
      </c>
      <c r="D49" s="5">
        <f>IF($E49="","",INDEX('Input Transaksi'!$F:$F,$E49))</f>
        <v/>
      </c>
      <c r="E49">
        <f>IFERROR(AGGREGATE(15,6,ROW('Input Transaksi'!$B$5:$B$5000)/('Input Transaksi'!$B$5:$B$5000="JCL PEMOGAN"),ROWS($E$5:E49)),"")</f>
        <v/>
      </c>
      <c r="F49" s="5" t="n"/>
    </row>
    <row r="50">
      <c r="A50" s="10">
        <f>IF($E50="","",INDEX('Input Transaksi'!$A:$A,$E50))</f>
        <v/>
      </c>
      <c r="B50" s="5">
        <f>IF($E50="","",INDEX('Input Transaksi'!$D:$D,$E50))</f>
        <v/>
      </c>
      <c r="C50">
        <f>IF($E50="","",INDEX('Input Transaksi'!$E:$E,$E50))</f>
        <v/>
      </c>
      <c r="D50" s="5">
        <f>IF($E50="","",INDEX('Input Transaksi'!$F:$F,$E50))</f>
        <v/>
      </c>
      <c r="E50">
        <f>IFERROR(AGGREGATE(15,6,ROW('Input Transaksi'!$B$5:$B$5000)/('Input Transaksi'!$B$5:$B$5000="JCL PEMOGAN"),ROWS($E$5:E50)),"")</f>
        <v/>
      </c>
      <c r="F50" s="5" t="n"/>
    </row>
    <row r="51">
      <c r="A51" s="10">
        <f>IF($E51="","",INDEX('Input Transaksi'!$A:$A,$E51))</f>
        <v/>
      </c>
      <c r="B51" s="5">
        <f>IF($E51="","",INDEX('Input Transaksi'!$D:$D,$E51))</f>
        <v/>
      </c>
      <c r="C51">
        <f>IF($E51="","",INDEX('Input Transaksi'!$E:$E,$E51))</f>
        <v/>
      </c>
      <c r="D51" s="5">
        <f>IF($E51="","",INDEX('Input Transaksi'!$F:$F,$E51))</f>
        <v/>
      </c>
      <c r="E51">
        <f>IFERROR(AGGREGATE(15,6,ROW('Input Transaksi'!$B$5:$B$5000)/('Input Transaksi'!$B$5:$B$5000="JCL PEMOGAN"),ROWS($E$5:E51)),"")</f>
        <v/>
      </c>
      <c r="F51" s="5" t="n"/>
    </row>
    <row r="52">
      <c r="A52" s="10">
        <f>IF($E52="","",INDEX('Input Transaksi'!$A:$A,$E52))</f>
        <v/>
      </c>
      <c r="B52" s="5">
        <f>IF($E52="","",INDEX('Input Transaksi'!$D:$D,$E52))</f>
        <v/>
      </c>
      <c r="C52">
        <f>IF($E52="","",INDEX('Input Transaksi'!$E:$E,$E52))</f>
        <v/>
      </c>
      <c r="D52" s="5">
        <f>IF($E52="","",INDEX('Input Transaksi'!$F:$F,$E52))</f>
        <v/>
      </c>
      <c r="E52">
        <f>IFERROR(AGGREGATE(15,6,ROW('Input Transaksi'!$B$5:$B$5000)/('Input Transaksi'!$B$5:$B$5000="JCL PEMOGAN"),ROWS($E$5:E52)),"")</f>
        <v/>
      </c>
      <c r="F52" s="5" t="n"/>
    </row>
    <row r="53">
      <c r="A53" s="10">
        <f>IF($E53="","",INDEX('Input Transaksi'!$A:$A,$E53))</f>
        <v/>
      </c>
      <c r="B53" s="5">
        <f>IF($E53="","",INDEX('Input Transaksi'!$D:$D,$E53))</f>
        <v/>
      </c>
      <c r="C53">
        <f>IF($E53="","",INDEX('Input Transaksi'!$E:$E,$E53))</f>
        <v/>
      </c>
      <c r="D53" s="5">
        <f>IF($E53="","",INDEX('Input Transaksi'!$F:$F,$E53))</f>
        <v/>
      </c>
      <c r="E53">
        <f>IFERROR(AGGREGATE(15,6,ROW('Input Transaksi'!$B$5:$B$5000)/('Input Transaksi'!$B$5:$B$5000="JCL PEMOGAN"),ROWS($E$5:E53)),"")</f>
        <v/>
      </c>
      <c r="F53" s="5" t="n"/>
    </row>
    <row r="54">
      <c r="A54" s="10">
        <f>IF($E54="","",INDEX('Input Transaksi'!$A:$A,$E54))</f>
        <v/>
      </c>
      <c r="B54" s="5">
        <f>IF($E54="","",INDEX('Input Transaksi'!$D:$D,$E54))</f>
        <v/>
      </c>
      <c r="C54">
        <f>IF($E54="","",INDEX('Input Transaksi'!$E:$E,$E54))</f>
        <v/>
      </c>
      <c r="D54" s="5">
        <f>IF($E54="","",INDEX('Input Transaksi'!$F:$F,$E54))</f>
        <v/>
      </c>
      <c r="E54">
        <f>IFERROR(AGGREGATE(15,6,ROW('Input Transaksi'!$B$5:$B$5000)/('Input Transaksi'!$B$5:$B$5000="JCL PEMOGAN"),ROWS($E$5:E54)),"")</f>
        <v/>
      </c>
      <c r="F54" s="5" t="n"/>
    </row>
    <row r="55">
      <c r="A55" s="10">
        <f>IF($E55="","",INDEX('Input Transaksi'!$A:$A,$E55))</f>
        <v/>
      </c>
      <c r="B55" s="5">
        <f>IF($E55="","",INDEX('Input Transaksi'!$D:$D,$E55))</f>
        <v/>
      </c>
      <c r="C55">
        <f>IF($E55="","",INDEX('Input Transaksi'!$E:$E,$E55))</f>
        <v/>
      </c>
      <c r="D55" s="5">
        <f>IF($E55="","",INDEX('Input Transaksi'!$F:$F,$E55))</f>
        <v/>
      </c>
      <c r="E55">
        <f>IFERROR(AGGREGATE(15,6,ROW('Input Transaksi'!$B$5:$B$5000)/('Input Transaksi'!$B$5:$B$5000="JCL PEMOGAN"),ROWS($E$5:E55)),"")</f>
        <v/>
      </c>
      <c r="F55" s="5" t="n"/>
    </row>
    <row r="56">
      <c r="A56" s="10">
        <f>IF($E56="","",INDEX('Input Transaksi'!$A:$A,$E56))</f>
        <v/>
      </c>
      <c r="B56" s="5">
        <f>IF($E56="","",INDEX('Input Transaksi'!$D:$D,$E56))</f>
        <v/>
      </c>
      <c r="C56">
        <f>IF($E56="","",INDEX('Input Transaksi'!$E:$E,$E56))</f>
        <v/>
      </c>
      <c r="D56" s="5">
        <f>IF($E56="","",INDEX('Input Transaksi'!$F:$F,$E56))</f>
        <v/>
      </c>
      <c r="E56">
        <f>IFERROR(AGGREGATE(15,6,ROW('Input Transaksi'!$B$5:$B$5000)/('Input Transaksi'!$B$5:$B$5000="JCL PEMOGAN"),ROWS($E$5:E56)),"")</f>
        <v/>
      </c>
      <c r="F56" s="5" t="n"/>
    </row>
    <row r="57">
      <c r="A57" s="10">
        <f>IF($E57="","",INDEX('Input Transaksi'!$A:$A,$E57))</f>
        <v/>
      </c>
      <c r="B57" s="5">
        <f>IF($E57="","",INDEX('Input Transaksi'!$D:$D,$E57))</f>
        <v/>
      </c>
      <c r="C57">
        <f>IF($E57="","",INDEX('Input Transaksi'!$E:$E,$E57))</f>
        <v/>
      </c>
      <c r="D57" s="5">
        <f>IF($E57="","",INDEX('Input Transaksi'!$F:$F,$E57))</f>
        <v/>
      </c>
      <c r="E57">
        <f>IFERROR(AGGREGATE(15,6,ROW('Input Transaksi'!$B$5:$B$5000)/('Input Transaksi'!$B$5:$B$5000="JCL PEMOGAN"),ROWS($E$5:E57)),"")</f>
        <v/>
      </c>
      <c r="F57" s="5" t="n"/>
    </row>
    <row r="58">
      <c r="A58" s="10">
        <f>IF($E58="","",INDEX('Input Transaksi'!$A:$A,$E58))</f>
        <v/>
      </c>
      <c r="B58" s="5">
        <f>IF($E58="","",INDEX('Input Transaksi'!$D:$D,$E58))</f>
        <v/>
      </c>
      <c r="C58">
        <f>IF($E58="","",INDEX('Input Transaksi'!$E:$E,$E58))</f>
        <v/>
      </c>
      <c r="D58" s="5">
        <f>IF($E58="","",INDEX('Input Transaksi'!$F:$F,$E58))</f>
        <v/>
      </c>
      <c r="E58">
        <f>IFERROR(AGGREGATE(15,6,ROW('Input Transaksi'!$B$5:$B$5000)/('Input Transaksi'!$B$5:$B$5000="JCL PEMOGAN"),ROWS($E$5:E58)),"")</f>
        <v/>
      </c>
      <c r="F58" s="5" t="n"/>
    </row>
    <row r="59">
      <c r="A59" s="10">
        <f>IF($E59="","",INDEX('Input Transaksi'!$A:$A,$E59))</f>
        <v/>
      </c>
      <c r="B59" s="5">
        <f>IF($E59="","",INDEX('Input Transaksi'!$D:$D,$E59))</f>
        <v/>
      </c>
      <c r="C59">
        <f>IF($E59="","",INDEX('Input Transaksi'!$E:$E,$E59))</f>
        <v/>
      </c>
      <c r="D59" s="5">
        <f>IF($E59="","",INDEX('Input Transaksi'!$F:$F,$E59))</f>
        <v/>
      </c>
      <c r="E59">
        <f>IFERROR(AGGREGATE(15,6,ROW('Input Transaksi'!$B$5:$B$5000)/('Input Transaksi'!$B$5:$B$5000="JCL PEMOGAN"),ROWS($E$5:E59)),"")</f>
        <v/>
      </c>
      <c r="F59" s="5" t="n"/>
    </row>
    <row r="60">
      <c r="A60" s="10">
        <f>IF($E60="","",INDEX('Input Transaksi'!$A:$A,$E60))</f>
        <v/>
      </c>
      <c r="B60" s="5">
        <f>IF($E60="","",INDEX('Input Transaksi'!$D:$D,$E60))</f>
        <v/>
      </c>
      <c r="C60">
        <f>IF($E60="","",INDEX('Input Transaksi'!$E:$E,$E60))</f>
        <v/>
      </c>
      <c r="D60" s="5">
        <f>IF($E60="","",INDEX('Input Transaksi'!$F:$F,$E60))</f>
        <v/>
      </c>
      <c r="E60">
        <f>IFERROR(AGGREGATE(15,6,ROW('Input Transaksi'!$B$5:$B$5000)/('Input Transaksi'!$B$5:$B$5000="JCL PEMOGAN"),ROWS($E$5:E60)),"")</f>
        <v/>
      </c>
      <c r="F60" s="5" t="n"/>
    </row>
    <row r="61">
      <c r="A61" s="10">
        <f>IF($E61="","",INDEX('Input Transaksi'!$A:$A,$E61))</f>
        <v/>
      </c>
      <c r="B61" s="5">
        <f>IF($E61="","",INDEX('Input Transaksi'!$D:$D,$E61))</f>
        <v/>
      </c>
      <c r="C61">
        <f>IF($E61="","",INDEX('Input Transaksi'!$E:$E,$E61))</f>
        <v/>
      </c>
      <c r="D61" s="5">
        <f>IF($E61="","",INDEX('Input Transaksi'!$F:$F,$E61))</f>
        <v/>
      </c>
      <c r="E61">
        <f>IFERROR(AGGREGATE(15,6,ROW('Input Transaksi'!$B$5:$B$5000)/('Input Transaksi'!$B$5:$B$5000="JCL PEMOGAN"),ROWS($E$5:E61)),"")</f>
        <v/>
      </c>
      <c r="F61" s="5" t="n"/>
    </row>
    <row r="62">
      <c r="A62" s="10">
        <f>IF($E62="","",INDEX('Input Transaksi'!$A:$A,$E62))</f>
        <v/>
      </c>
      <c r="B62" s="5">
        <f>IF($E62="","",INDEX('Input Transaksi'!$D:$D,$E62))</f>
        <v/>
      </c>
      <c r="C62">
        <f>IF($E62="","",INDEX('Input Transaksi'!$E:$E,$E62))</f>
        <v/>
      </c>
      <c r="D62" s="5">
        <f>IF($E62="","",INDEX('Input Transaksi'!$F:$F,$E62))</f>
        <v/>
      </c>
      <c r="E62">
        <f>IFERROR(AGGREGATE(15,6,ROW('Input Transaksi'!$B$5:$B$5000)/('Input Transaksi'!$B$5:$B$5000="JCL PEMOGAN"),ROWS($E$5:E62)),"")</f>
        <v/>
      </c>
      <c r="F62" s="5" t="n"/>
    </row>
    <row r="63">
      <c r="A63" s="10">
        <f>IF($E63="","",INDEX('Input Transaksi'!$A:$A,$E63))</f>
        <v/>
      </c>
      <c r="B63" s="5">
        <f>IF($E63="","",INDEX('Input Transaksi'!$D:$D,$E63))</f>
        <v/>
      </c>
      <c r="C63">
        <f>IF($E63="","",INDEX('Input Transaksi'!$E:$E,$E63))</f>
        <v/>
      </c>
      <c r="D63" s="5">
        <f>IF($E63="","",INDEX('Input Transaksi'!$F:$F,$E63))</f>
        <v/>
      </c>
      <c r="E63">
        <f>IFERROR(AGGREGATE(15,6,ROW('Input Transaksi'!$B$5:$B$5000)/('Input Transaksi'!$B$5:$B$5000="JCL PEMOGAN"),ROWS($E$5:E63)),"")</f>
        <v/>
      </c>
      <c r="F63" s="5" t="n"/>
    </row>
    <row r="64">
      <c r="A64" s="10">
        <f>IF($E64="","",INDEX('Input Transaksi'!$A:$A,$E64))</f>
        <v/>
      </c>
      <c r="B64" s="5">
        <f>IF($E64="","",INDEX('Input Transaksi'!$D:$D,$E64))</f>
        <v/>
      </c>
      <c r="C64">
        <f>IF($E64="","",INDEX('Input Transaksi'!$E:$E,$E64))</f>
        <v/>
      </c>
      <c r="D64" s="5">
        <f>IF($E64="","",INDEX('Input Transaksi'!$F:$F,$E64))</f>
        <v/>
      </c>
      <c r="E64">
        <f>IFERROR(AGGREGATE(15,6,ROW('Input Transaksi'!$B$5:$B$5000)/('Input Transaksi'!$B$5:$B$5000="JCL PEMOGAN"),ROWS($E$5:E64)),"")</f>
        <v/>
      </c>
      <c r="F64" s="5" t="n"/>
    </row>
    <row r="65">
      <c r="A65" s="10">
        <f>IF($E65="","",INDEX('Input Transaksi'!$A:$A,$E65))</f>
        <v/>
      </c>
      <c r="B65" s="5">
        <f>IF($E65="","",INDEX('Input Transaksi'!$D:$D,$E65))</f>
        <v/>
      </c>
      <c r="C65">
        <f>IF($E65="","",INDEX('Input Transaksi'!$E:$E,$E65))</f>
        <v/>
      </c>
      <c r="D65" s="5">
        <f>IF($E65="","",INDEX('Input Transaksi'!$F:$F,$E65))</f>
        <v/>
      </c>
      <c r="E65">
        <f>IFERROR(AGGREGATE(15,6,ROW('Input Transaksi'!$B$5:$B$5000)/('Input Transaksi'!$B$5:$B$5000="JCL PEMOGAN"),ROWS($E$5:E65)),"")</f>
        <v/>
      </c>
      <c r="F65" s="5" t="n"/>
    </row>
    <row r="66">
      <c r="A66" s="10">
        <f>IF($E66="","",INDEX('Input Transaksi'!$A:$A,$E66))</f>
        <v/>
      </c>
      <c r="B66" s="5">
        <f>IF($E66="","",INDEX('Input Transaksi'!$D:$D,$E66))</f>
        <v/>
      </c>
      <c r="C66">
        <f>IF($E66="","",INDEX('Input Transaksi'!$E:$E,$E66))</f>
        <v/>
      </c>
      <c r="D66" s="5">
        <f>IF($E66="","",INDEX('Input Transaksi'!$F:$F,$E66))</f>
        <v/>
      </c>
      <c r="E66">
        <f>IFERROR(AGGREGATE(15,6,ROW('Input Transaksi'!$B$5:$B$5000)/('Input Transaksi'!$B$5:$B$5000="JCL PEMOGAN"),ROWS($E$5:E66)),"")</f>
        <v/>
      </c>
      <c r="F66" s="5" t="n"/>
    </row>
    <row r="67">
      <c r="A67" s="10">
        <f>IF($E67="","",INDEX('Input Transaksi'!$A:$A,$E67))</f>
        <v/>
      </c>
      <c r="B67" s="5">
        <f>IF($E67="","",INDEX('Input Transaksi'!$D:$D,$E67))</f>
        <v/>
      </c>
      <c r="C67">
        <f>IF($E67="","",INDEX('Input Transaksi'!$E:$E,$E67))</f>
        <v/>
      </c>
      <c r="D67" s="5">
        <f>IF($E67="","",INDEX('Input Transaksi'!$F:$F,$E67))</f>
        <v/>
      </c>
      <c r="E67">
        <f>IFERROR(AGGREGATE(15,6,ROW('Input Transaksi'!$B$5:$B$5000)/('Input Transaksi'!$B$5:$B$5000="JCL PEMOGAN"),ROWS($E$5:E67)),"")</f>
        <v/>
      </c>
      <c r="F67" s="5" t="n"/>
    </row>
    <row r="68">
      <c r="A68" s="10">
        <f>IF($E68="","",INDEX('Input Transaksi'!$A:$A,$E68))</f>
        <v/>
      </c>
      <c r="B68" s="5">
        <f>IF($E68="","",INDEX('Input Transaksi'!$D:$D,$E68))</f>
        <v/>
      </c>
      <c r="C68">
        <f>IF($E68="","",INDEX('Input Transaksi'!$E:$E,$E68))</f>
        <v/>
      </c>
      <c r="D68" s="5">
        <f>IF($E68="","",INDEX('Input Transaksi'!$F:$F,$E68))</f>
        <v/>
      </c>
      <c r="E68">
        <f>IFERROR(AGGREGATE(15,6,ROW('Input Transaksi'!$B$5:$B$5000)/('Input Transaksi'!$B$5:$B$5000="JCL PEMOGAN"),ROWS($E$5:E68)),"")</f>
        <v/>
      </c>
      <c r="F68" s="5" t="n"/>
    </row>
    <row r="69">
      <c r="A69" s="10">
        <f>IF($E69="","",INDEX('Input Transaksi'!$A:$A,$E69))</f>
        <v/>
      </c>
      <c r="B69" s="5">
        <f>IF($E69="","",INDEX('Input Transaksi'!$D:$D,$E69))</f>
        <v/>
      </c>
      <c r="C69">
        <f>IF($E69="","",INDEX('Input Transaksi'!$E:$E,$E69))</f>
        <v/>
      </c>
      <c r="D69" s="5">
        <f>IF($E69="","",INDEX('Input Transaksi'!$F:$F,$E69))</f>
        <v/>
      </c>
      <c r="E69">
        <f>IFERROR(AGGREGATE(15,6,ROW('Input Transaksi'!$B$5:$B$5000)/('Input Transaksi'!$B$5:$B$5000="JCL PEMOGAN"),ROWS($E$5:E69)),"")</f>
        <v/>
      </c>
      <c r="F69" s="5" t="n"/>
    </row>
    <row r="70">
      <c r="A70" s="10">
        <f>IF($E70="","",INDEX('Input Transaksi'!$A:$A,$E70))</f>
        <v/>
      </c>
      <c r="B70" s="5">
        <f>IF($E70="","",INDEX('Input Transaksi'!$D:$D,$E70))</f>
        <v/>
      </c>
      <c r="C70">
        <f>IF($E70="","",INDEX('Input Transaksi'!$E:$E,$E70))</f>
        <v/>
      </c>
      <c r="D70" s="5">
        <f>IF($E70="","",INDEX('Input Transaksi'!$F:$F,$E70))</f>
        <v/>
      </c>
      <c r="E70">
        <f>IFERROR(AGGREGATE(15,6,ROW('Input Transaksi'!$B$5:$B$5000)/('Input Transaksi'!$B$5:$B$5000="JCL PEMOGAN"),ROWS($E$5:E70)),"")</f>
        <v/>
      </c>
      <c r="F70" s="5" t="n"/>
    </row>
    <row r="71">
      <c r="A71" s="10">
        <f>IF($E71="","",INDEX('Input Transaksi'!$A:$A,$E71))</f>
        <v/>
      </c>
      <c r="B71" s="5">
        <f>IF($E71="","",INDEX('Input Transaksi'!$D:$D,$E71))</f>
        <v/>
      </c>
      <c r="C71">
        <f>IF($E71="","",INDEX('Input Transaksi'!$E:$E,$E71))</f>
        <v/>
      </c>
      <c r="D71" s="5">
        <f>IF($E71="","",INDEX('Input Transaksi'!$F:$F,$E71))</f>
        <v/>
      </c>
      <c r="E71">
        <f>IFERROR(AGGREGATE(15,6,ROW('Input Transaksi'!$B$5:$B$5000)/('Input Transaksi'!$B$5:$B$5000="JCL PEMOGAN"),ROWS($E$5:E71)),"")</f>
        <v/>
      </c>
      <c r="F71" s="5" t="n"/>
    </row>
    <row r="72">
      <c r="A72" s="10">
        <f>IF($E72="","",INDEX('Input Transaksi'!$A:$A,$E72))</f>
        <v/>
      </c>
      <c r="B72" s="5">
        <f>IF($E72="","",INDEX('Input Transaksi'!$D:$D,$E72))</f>
        <v/>
      </c>
      <c r="C72">
        <f>IF($E72="","",INDEX('Input Transaksi'!$E:$E,$E72))</f>
        <v/>
      </c>
      <c r="D72" s="5">
        <f>IF($E72="","",INDEX('Input Transaksi'!$F:$F,$E72))</f>
        <v/>
      </c>
      <c r="E72">
        <f>IFERROR(AGGREGATE(15,6,ROW('Input Transaksi'!$B$5:$B$5000)/('Input Transaksi'!$B$5:$B$5000="JCL PEMOGAN"),ROWS($E$5:E72)),"")</f>
        <v/>
      </c>
      <c r="F72" s="5" t="n"/>
    </row>
    <row r="73">
      <c r="A73" s="10">
        <f>IF($E73="","",INDEX('Input Transaksi'!$A:$A,$E73))</f>
        <v/>
      </c>
      <c r="B73" s="5">
        <f>IF($E73="","",INDEX('Input Transaksi'!$D:$D,$E73))</f>
        <v/>
      </c>
      <c r="C73">
        <f>IF($E73="","",INDEX('Input Transaksi'!$E:$E,$E73))</f>
        <v/>
      </c>
      <c r="D73" s="5">
        <f>IF($E73="","",INDEX('Input Transaksi'!$F:$F,$E73))</f>
        <v/>
      </c>
      <c r="E73">
        <f>IFERROR(AGGREGATE(15,6,ROW('Input Transaksi'!$B$5:$B$5000)/('Input Transaksi'!$B$5:$B$5000="JCL PEMOGAN"),ROWS($E$5:E73)),"")</f>
        <v/>
      </c>
      <c r="F73" s="5" t="n"/>
    </row>
    <row r="74">
      <c r="A74" s="10">
        <f>IF($E74="","",INDEX('Input Transaksi'!$A:$A,$E74))</f>
        <v/>
      </c>
      <c r="B74" s="5">
        <f>IF($E74="","",INDEX('Input Transaksi'!$D:$D,$E74))</f>
        <v/>
      </c>
      <c r="C74">
        <f>IF($E74="","",INDEX('Input Transaksi'!$E:$E,$E74))</f>
        <v/>
      </c>
      <c r="D74" s="5">
        <f>IF($E74="","",INDEX('Input Transaksi'!$F:$F,$E74))</f>
        <v/>
      </c>
      <c r="E74">
        <f>IFERROR(AGGREGATE(15,6,ROW('Input Transaksi'!$B$5:$B$5000)/('Input Transaksi'!$B$5:$B$5000="JCL PEMOGAN"),ROWS($E$5:E74)),"")</f>
        <v/>
      </c>
      <c r="F74" s="5" t="n"/>
    </row>
    <row r="75">
      <c r="A75" s="10">
        <f>IF($E75="","",INDEX('Input Transaksi'!$A:$A,$E75))</f>
        <v/>
      </c>
      <c r="B75" s="5">
        <f>IF($E75="","",INDEX('Input Transaksi'!$D:$D,$E75))</f>
        <v/>
      </c>
      <c r="C75">
        <f>IF($E75="","",INDEX('Input Transaksi'!$E:$E,$E75))</f>
        <v/>
      </c>
      <c r="D75" s="5">
        <f>IF($E75="","",INDEX('Input Transaksi'!$F:$F,$E75))</f>
        <v/>
      </c>
      <c r="E75">
        <f>IFERROR(AGGREGATE(15,6,ROW('Input Transaksi'!$B$5:$B$5000)/('Input Transaksi'!$B$5:$B$5000="JCL PEMOGAN"),ROWS($E$5:E75)),"")</f>
        <v/>
      </c>
      <c r="F75" s="5" t="n"/>
    </row>
    <row r="76">
      <c r="A76" s="10">
        <f>IF($E76="","",INDEX('Input Transaksi'!$A:$A,$E76))</f>
        <v/>
      </c>
      <c r="B76" s="5">
        <f>IF($E76="","",INDEX('Input Transaksi'!$D:$D,$E76))</f>
        <v/>
      </c>
      <c r="C76">
        <f>IF($E76="","",INDEX('Input Transaksi'!$E:$E,$E76))</f>
        <v/>
      </c>
      <c r="D76" s="5">
        <f>IF($E76="","",INDEX('Input Transaksi'!$F:$F,$E76))</f>
        <v/>
      </c>
      <c r="E76">
        <f>IFERROR(AGGREGATE(15,6,ROW('Input Transaksi'!$B$5:$B$5000)/('Input Transaksi'!$B$5:$B$5000="JCL PEMOGAN"),ROWS($E$5:E76)),"")</f>
        <v/>
      </c>
      <c r="F76" s="5" t="n"/>
    </row>
    <row r="77">
      <c r="A77" s="10">
        <f>IF($E77="","",INDEX('Input Transaksi'!$A:$A,$E77))</f>
        <v/>
      </c>
      <c r="B77" s="5">
        <f>IF($E77="","",INDEX('Input Transaksi'!$D:$D,$E77))</f>
        <v/>
      </c>
      <c r="C77">
        <f>IF($E77="","",INDEX('Input Transaksi'!$E:$E,$E77))</f>
        <v/>
      </c>
      <c r="D77" s="5">
        <f>IF($E77="","",INDEX('Input Transaksi'!$F:$F,$E77))</f>
        <v/>
      </c>
      <c r="E77">
        <f>IFERROR(AGGREGATE(15,6,ROW('Input Transaksi'!$B$5:$B$5000)/('Input Transaksi'!$B$5:$B$5000="JCL PEMOGAN"),ROWS($E$5:E77)),"")</f>
        <v/>
      </c>
      <c r="F77" s="5" t="n"/>
    </row>
    <row r="78">
      <c r="A78" s="10">
        <f>IF($E78="","",INDEX('Input Transaksi'!$A:$A,$E78))</f>
        <v/>
      </c>
      <c r="B78" s="5">
        <f>IF($E78="","",INDEX('Input Transaksi'!$D:$D,$E78))</f>
        <v/>
      </c>
      <c r="C78">
        <f>IF($E78="","",INDEX('Input Transaksi'!$E:$E,$E78))</f>
        <v/>
      </c>
      <c r="D78" s="5">
        <f>IF($E78="","",INDEX('Input Transaksi'!$F:$F,$E78))</f>
        <v/>
      </c>
      <c r="E78">
        <f>IFERROR(AGGREGATE(15,6,ROW('Input Transaksi'!$B$5:$B$5000)/('Input Transaksi'!$B$5:$B$5000="JCL PEMOGAN"),ROWS($E$5:E78)),"")</f>
        <v/>
      </c>
      <c r="F78" s="5" t="n"/>
    </row>
    <row r="79">
      <c r="A79" s="10">
        <f>IF($E79="","",INDEX('Input Transaksi'!$A:$A,$E79))</f>
        <v/>
      </c>
      <c r="B79" s="5">
        <f>IF($E79="","",INDEX('Input Transaksi'!$D:$D,$E79))</f>
        <v/>
      </c>
      <c r="C79">
        <f>IF($E79="","",INDEX('Input Transaksi'!$E:$E,$E79))</f>
        <v/>
      </c>
      <c r="D79" s="5">
        <f>IF($E79="","",INDEX('Input Transaksi'!$F:$F,$E79))</f>
        <v/>
      </c>
      <c r="E79">
        <f>IFERROR(AGGREGATE(15,6,ROW('Input Transaksi'!$B$5:$B$5000)/('Input Transaksi'!$B$5:$B$5000="JCL PEMOGAN"),ROWS($E$5:E79)),"")</f>
        <v/>
      </c>
      <c r="F79" s="5" t="n"/>
    </row>
    <row r="80">
      <c r="A80" s="10">
        <f>IF($E80="","",INDEX('Input Transaksi'!$A:$A,$E80))</f>
        <v/>
      </c>
      <c r="B80" s="5">
        <f>IF($E80="","",INDEX('Input Transaksi'!$D:$D,$E80))</f>
        <v/>
      </c>
      <c r="C80">
        <f>IF($E80="","",INDEX('Input Transaksi'!$E:$E,$E80))</f>
        <v/>
      </c>
      <c r="D80" s="5">
        <f>IF($E80="","",INDEX('Input Transaksi'!$F:$F,$E80))</f>
        <v/>
      </c>
      <c r="E80">
        <f>IFERROR(AGGREGATE(15,6,ROW('Input Transaksi'!$B$5:$B$5000)/('Input Transaksi'!$B$5:$B$5000="JCL PEMOGAN"),ROWS($E$5:E80)),"")</f>
        <v/>
      </c>
      <c r="F80" s="5" t="n"/>
    </row>
    <row r="81">
      <c r="A81" s="10">
        <f>IF($E81="","",INDEX('Input Transaksi'!$A:$A,$E81))</f>
        <v/>
      </c>
      <c r="B81" s="5">
        <f>IF($E81="","",INDEX('Input Transaksi'!$D:$D,$E81))</f>
        <v/>
      </c>
      <c r="C81">
        <f>IF($E81="","",INDEX('Input Transaksi'!$E:$E,$E81))</f>
        <v/>
      </c>
      <c r="D81" s="5">
        <f>IF($E81="","",INDEX('Input Transaksi'!$F:$F,$E81))</f>
        <v/>
      </c>
      <c r="E81">
        <f>IFERROR(AGGREGATE(15,6,ROW('Input Transaksi'!$B$5:$B$5000)/('Input Transaksi'!$B$5:$B$5000="JCL PEMOGAN"),ROWS($E$5:E81)),"")</f>
        <v/>
      </c>
      <c r="F81" s="5" t="n"/>
    </row>
    <row r="82">
      <c r="A82" s="10">
        <f>IF($E82="","",INDEX('Input Transaksi'!$A:$A,$E82))</f>
        <v/>
      </c>
      <c r="B82" s="5">
        <f>IF($E82="","",INDEX('Input Transaksi'!$D:$D,$E82))</f>
        <v/>
      </c>
      <c r="C82">
        <f>IF($E82="","",INDEX('Input Transaksi'!$E:$E,$E82))</f>
        <v/>
      </c>
      <c r="D82" s="5">
        <f>IF($E82="","",INDEX('Input Transaksi'!$F:$F,$E82))</f>
        <v/>
      </c>
      <c r="E82">
        <f>IFERROR(AGGREGATE(15,6,ROW('Input Transaksi'!$B$5:$B$5000)/('Input Transaksi'!$B$5:$B$5000="JCL PEMOGAN"),ROWS($E$5:E82)),"")</f>
        <v/>
      </c>
      <c r="F82" s="5" t="n"/>
    </row>
    <row r="83">
      <c r="A83" s="10">
        <f>IF($E83="","",INDEX('Input Transaksi'!$A:$A,$E83))</f>
        <v/>
      </c>
      <c r="B83" s="5">
        <f>IF($E83="","",INDEX('Input Transaksi'!$D:$D,$E83))</f>
        <v/>
      </c>
      <c r="C83">
        <f>IF($E83="","",INDEX('Input Transaksi'!$E:$E,$E83))</f>
        <v/>
      </c>
      <c r="D83" s="5">
        <f>IF($E83="","",INDEX('Input Transaksi'!$F:$F,$E83))</f>
        <v/>
      </c>
      <c r="E83">
        <f>IFERROR(AGGREGATE(15,6,ROW('Input Transaksi'!$B$5:$B$5000)/('Input Transaksi'!$B$5:$B$5000="JCL PEMOGAN"),ROWS($E$5:E83)),"")</f>
        <v/>
      </c>
      <c r="F83" s="5" t="n"/>
    </row>
    <row r="84">
      <c r="A84" s="10">
        <f>IF($E84="","",INDEX('Input Transaksi'!$A:$A,$E84))</f>
        <v/>
      </c>
      <c r="B84" s="5">
        <f>IF($E84="","",INDEX('Input Transaksi'!$D:$D,$E84))</f>
        <v/>
      </c>
      <c r="C84">
        <f>IF($E84="","",INDEX('Input Transaksi'!$E:$E,$E84))</f>
        <v/>
      </c>
      <c r="D84" s="5">
        <f>IF($E84="","",INDEX('Input Transaksi'!$F:$F,$E84))</f>
        <v/>
      </c>
      <c r="E84">
        <f>IFERROR(AGGREGATE(15,6,ROW('Input Transaksi'!$B$5:$B$5000)/('Input Transaksi'!$B$5:$B$5000="JCL PEMOGAN"),ROWS($E$5:E84)),"")</f>
        <v/>
      </c>
      <c r="F84" s="5" t="n"/>
    </row>
    <row r="85">
      <c r="A85" s="10">
        <f>IF($E85="","",INDEX('Input Transaksi'!$A:$A,$E85))</f>
        <v/>
      </c>
      <c r="B85" s="5">
        <f>IF($E85="","",INDEX('Input Transaksi'!$D:$D,$E85))</f>
        <v/>
      </c>
      <c r="C85">
        <f>IF($E85="","",INDEX('Input Transaksi'!$E:$E,$E85))</f>
        <v/>
      </c>
      <c r="D85" s="5">
        <f>IF($E85="","",INDEX('Input Transaksi'!$F:$F,$E85))</f>
        <v/>
      </c>
      <c r="E85">
        <f>IFERROR(AGGREGATE(15,6,ROW('Input Transaksi'!$B$5:$B$5000)/('Input Transaksi'!$B$5:$B$5000="JCL PEMOGAN"),ROWS($E$5:E85)),"")</f>
        <v/>
      </c>
      <c r="F85" s="5" t="n"/>
    </row>
    <row r="86">
      <c r="A86" s="10">
        <f>IF($E86="","",INDEX('Input Transaksi'!$A:$A,$E86))</f>
        <v/>
      </c>
      <c r="B86" s="5">
        <f>IF($E86="","",INDEX('Input Transaksi'!$D:$D,$E86))</f>
        <v/>
      </c>
      <c r="C86">
        <f>IF($E86="","",INDEX('Input Transaksi'!$E:$E,$E86))</f>
        <v/>
      </c>
      <c r="D86" s="5">
        <f>IF($E86="","",INDEX('Input Transaksi'!$F:$F,$E86))</f>
        <v/>
      </c>
      <c r="E86">
        <f>IFERROR(AGGREGATE(15,6,ROW('Input Transaksi'!$B$5:$B$5000)/('Input Transaksi'!$B$5:$B$5000="JCL PEMOGAN"),ROWS($E$5:E86)),"")</f>
        <v/>
      </c>
      <c r="F86" s="5" t="n"/>
    </row>
    <row r="87">
      <c r="A87" s="10">
        <f>IF($E87="","",INDEX('Input Transaksi'!$A:$A,$E87))</f>
        <v/>
      </c>
      <c r="B87" s="5">
        <f>IF($E87="","",INDEX('Input Transaksi'!$D:$D,$E87))</f>
        <v/>
      </c>
      <c r="C87">
        <f>IF($E87="","",INDEX('Input Transaksi'!$E:$E,$E87))</f>
        <v/>
      </c>
      <c r="D87" s="5">
        <f>IF($E87="","",INDEX('Input Transaksi'!$F:$F,$E87))</f>
        <v/>
      </c>
      <c r="E87">
        <f>IFERROR(AGGREGATE(15,6,ROW('Input Transaksi'!$B$5:$B$5000)/('Input Transaksi'!$B$5:$B$5000="JCL PEMOGAN"),ROWS($E$5:E87)),"")</f>
        <v/>
      </c>
      <c r="F87" s="5" t="n"/>
    </row>
    <row r="88">
      <c r="A88" s="10">
        <f>IF($E88="","",INDEX('Input Transaksi'!$A:$A,$E88))</f>
        <v/>
      </c>
      <c r="B88" s="5">
        <f>IF($E88="","",INDEX('Input Transaksi'!$D:$D,$E88))</f>
        <v/>
      </c>
      <c r="C88">
        <f>IF($E88="","",INDEX('Input Transaksi'!$E:$E,$E88))</f>
        <v/>
      </c>
      <c r="D88" s="5">
        <f>IF($E88="","",INDEX('Input Transaksi'!$F:$F,$E88))</f>
        <v/>
      </c>
      <c r="E88">
        <f>IFERROR(AGGREGATE(15,6,ROW('Input Transaksi'!$B$5:$B$5000)/('Input Transaksi'!$B$5:$B$5000="JCL PEMOGAN"),ROWS($E$5:E88)),"")</f>
        <v/>
      </c>
      <c r="F88" s="5" t="n"/>
    </row>
    <row r="89">
      <c r="A89" s="10">
        <f>IF($E89="","",INDEX('Input Transaksi'!$A:$A,$E89))</f>
        <v/>
      </c>
      <c r="B89" s="5">
        <f>IF($E89="","",INDEX('Input Transaksi'!$D:$D,$E89))</f>
        <v/>
      </c>
      <c r="C89">
        <f>IF($E89="","",INDEX('Input Transaksi'!$E:$E,$E89))</f>
        <v/>
      </c>
      <c r="D89" s="5">
        <f>IF($E89="","",INDEX('Input Transaksi'!$F:$F,$E89))</f>
        <v/>
      </c>
      <c r="E89">
        <f>IFERROR(AGGREGATE(15,6,ROW('Input Transaksi'!$B$5:$B$5000)/('Input Transaksi'!$B$5:$B$5000="JCL PEMOGAN"),ROWS($E$5:E89)),"")</f>
        <v/>
      </c>
      <c r="F89" s="5" t="n"/>
    </row>
    <row r="90">
      <c r="A90" s="10">
        <f>IF($E90="","",INDEX('Input Transaksi'!$A:$A,$E90))</f>
        <v/>
      </c>
      <c r="B90" s="5">
        <f>IF($E90="","",INDEX('Input Transaksi'!$D:$D,$E90))</f>
        <v/>
      </c>
      <c r="C90">
        <f>IF($E90="","",INDEX('Input Transaksi'!$E:$E,$E90))</f>
        <v/>
      </c>
      <c r="D90" s="5">
        <f>IF($E90="","",INDEX('Input Transaksi'!$F:$F,$E90))</f>
        <v/>
      </c>
      <c r="E90">
        <f>IFERROR(AGGREGATE(15,6,ROW('Input Transaksi'!$B$5:$B$5000)/('Input Transaksi'!$B$5:$B$5000="JCL PEMOGAN"),ROWS($E$5:E90)),"")</f>
        <v/>
      </c>
      <c r="F90" s="5" t="n"/>
    </row>
    <row r="91">
      <c r="A91" s="10">
        <f>IF($E91="","",INDEX('Input Transaksi'!$A:$A,$E91))</f>
        <v/>
      </c>
      <c r="B91" s="5">
        <f>IF($E91="","",INDEX('Input Transaksi'!$D:$D,$E91))</f>
        <v/>
      </c>
      <c r="C91">
        <f>IF($E91="","",INDEX('Input Transaksi'!$E:$E,$E91))</f>
        <v/>
      </c>
      <c r="D91" s="5">
        <f>IF($E91="","",INDEX('Input Transaksi'!$F:$F,$E91))</f>
        <v/>
      </c>
      <c r="E91">
        <f>IFERROR(AGGREGATE(15,6,ROW('Input Transaksi'!$B$5:$B$5000)/('Input Transaksi'!$B$5:$B$5000="JCL PEMOGAN"),ROWS($E$5:E91)),"")</f>
        <v/>
      </c>
      <c r="F91" s="5" t="n"/>
    </row>
    <row r="92">
      <c r="A92" s="10">
        <f>IF($E92="","",INDEX('Input Transaksi'!$A:$A,$E92))</f>
        <v/>
      </c>
      <c r="B92" s="5">
        <f>IF($E92="","",INDEX('Input Transaksi'!$D:$D,$E92))</f>
        <v/>
      </c>
      <c r="C92">
        <f>IF($E92="","",INDEX('Input Transaksi'!$E:$E,$E92))</f>
        <v/>
      </c>
      <c r="D92" s="5">
        <f>IF($E92="","",INDEX('Input Transaksi'!$F:$F,$E92))</f>
        <v/>
      </c>
      <c r="E92">
        <f>IFERROR(AGGREGATE(15,6,ROW('Input Transaksi'!$B$5:$B$5000)/('Input Transaksi'!$B$5:$B$5000="JCL PEMOGAN"),ROWS($E$5:E92)),"")</f>
        <v/>
      </c>
      <c r="F92" s="5" t="n"/>
    </row>
    <row r="93">
      <c r="A93" s="10">
        <f>IF($E93="","",INDEX('Input Transaksi'!$A:$A,$E93))</f>
        <v/>
      </c>
      <c r="B93" s="5">
        <f>IF($E93="","",INDEX('Input Transaksi'!$D:$D,$E93))</f>
        <v/>
      </c>
      <c r="C93">
        <f>IF($E93="","",INDEX('Input Transaksi'!$E:$E,$E93))</f>
        <v/>
      </c>
      <c r="D93" s="5">
        <f>IF($E93="","",INDEX('Input Transaksi'!$F:$F,$E93))</f>
        <v/>
      </c>
      <c r="E93">
        <f>IFERROR(AGGREGATE(15,6,ROW('Input Transaksi'!$B$5:$B$5000)/('Input Transaksi'!$B$5:$B$5000="JCL PEMOGAN"),ROWS($E$5:E93)),"")</f>
        <v/>
      </c>
      <c r="F93" s="5" t="n"/>
    </row>
    <row r="94">
      <c r="A94" s="10">
        <f>IF($E94="","",INDEX('Input Transaksi'!$A:$A,$E94))</f>
        <v/>
      </c>
      <c r="B94" s="5">
        <f>IF($E94="","",INDEX('Input Transaksi'!$D:$D,$E94))</f>
        <v/>
      </c>
      <c r="C94">
        <f>IF($E94="","",INDEX('Input Transaksi'!$E:$E,$E94))</f>
        <v/>
      </c>
      <c r="D94" s="5">
        <f>IF($E94="","",INDEX('Input Transaksi'!$F:$F,$E94))</f>
        <v/>
      </c>
      <c r="E94">
        <f>IFERROR(AGGREGATE(15,6,ROW('Input Transaksi'!$B$5:$B$5000)/('Input Transaksi'!$B$5:$B$5000="JCL PEMOGAN"),ROWS($E$5:E94)),"")</f>
        <v/>
      </c>
      <c r="F94" s="5" t="n"/>
    </row>
    <row r="95">
      <c r="A95" s="10">
        <f>IF($E95="","",INDEX('Input Transaksi'!$A:$A,$E95))</f>
        <v/>
      </c>
      <c r="B95" s="5">
        <f>IF($E95="","",INDEX('Input Transaksi'!$D:$D,$E95))</f>
        <v/>
      </c>
      <c r="C95">
        <f>IF($E95="","",INDEX('Input Transaksi'!$E:$E,$E95))</f>
        <v/>
      </c>
      <c r="D95" s="5">
        <f>IF($E95="","",INDEX('Input Transaksi'!$F:$F,$E95))</f>
        <v/>
      </c>
      <c r="E95">
        <f>IFERROR(AGGREGATE(15,6,ROW('Input Transaksi'!$B$5:$B$5000)/('Input Transaksi'!$B$5:$B$5000="JCL PEMOGAN"),ROWS($E$5:E95)),"")</f>
        <v/>
      </c>
      <c r="F95" s="5" t="n"/>
    </row>
    <row r="96">
      <c r="A96" s="10">
        <f>IF($E96="","",INDEX('Input Transaksi'!$A:$A,$E96))</f>
        <v/>
      </c>
      <c r="B96" s="5">
        <f>IF($E96="","",INDEX('Input Transaksi'!$D:$D,$E96))</f>
        <v/>
      </c>
      <c r="C96">
        <f>IF($E96="","",INDEX('Input Transaksi'!$E:$E,$E96))</f>
        <v/>
      </c>
      <c r="D96" s="5">
        <f>IF($E96="","",INDEX('Input Transaksi'!$F:$F,$E96))</f>
        <v/>
      </c>
      <c r="E96">
        <f>IFERROR(AGGREGATE(15,6,ROW('Input Transaksi'!$B$5:$B$5000)/('Input Transaksi'!$B$5:$B$5000="JCL PEMOGAN"),ROWS($E$5:E96)),"")</f>
        <v/>
      </c>
      <c r="F96" s="5" t="n"/>
    </row>
    <row r="97">
      <c r="A97" s="10">
        <f>IF($E97="","",INDEX('Input Transaksi'!$A:$A,$E97))</f>
        <v/>
      </c>
      <c r="B97" s="5">
        <f>IF($E97="","",INDEX('Input Transaksi'!$D:$D,$E97))</f>
        <v/>
      </c>
      <c r="C97">
        <f>IF($E97="","",INDEX('Input Transaksi'!$E:$E,$E97))</f>
        <v/>
      </c>
      <c r="D97" s="5">
        <f>IF($E97="","",INDEX('Input Transaksi'!$F:$F,$E97))</f>
        <v/>
      </c>
      <c r="E97">
        <f>IFERROR(AGGREGATE(15,6,ROW('Input Transaksi'!$B$5:$B$5000)/('Input Transaksi'!$B$5:$B$5000="JCL PEMOGAN"),ROWS($E$5:E97)),"")</f>
        <v/>
      </c>
      <c r="F97" s="5" t="n"/>
    </row>
    <row r="98">
      <c r="A98" s="10">
        <f>IF($E98="","",INDEX('Input Transaksi'!$A:$A,$E98))</f>
        <v/>
      </c>
      <c r="B98" s="5">
        <f>IF($E98="","",INDEX('Input Transaksi'!$D:$D,$E98))</f>
        <v/>
      </c>
      <c r="C98">
        <f>IF($E98="","",INDEX('Input Transaksi'!$E:$E,$E98))</f>
        <v/>
      </c>
      <c r="D98" s="5">
        <f>IF($E98="","",INDEX('Input Transaksi'!$F:$F,$E98))</f>
        <v/>
      </c>
      <c r="E98">
        <f>IFERROR(AGGREGATE(15,6,ROW('Input Transaksi'!$B$5:$B$5000)/('Input Transaksi'!$B$5:$B$5000="JCL PEMOGAN"),ROWS($E$5:E98)),"")</f>
        <v/>
      </c>
      <c r="F98" s="5" t="n"/>
    </row>
    <row r="99">
      <c r="A99" s="10">
        <f>IF($E99="","",INDEX('Input Transaksi'!$A:$A,$E99))</f>
        <v/>
      </c>
      <c r="B99" s="5">
        <f>IF($E99="","",INDEX('Input Transaksi'!$D:$D,$E99))</f>
        <v/>
      </c>
      <c r="C99">
        <f>IF($E99="","",INDEX('Input Transaksi'!$E:$E,$E99))</f>
        <v/>
      </c>
      <c r="D99" s="5">
        <f>IF($E99="","",INDEX('Input Transaksi'!$F:$F,$E99))</f>
        <v/>
      </c>
      <c r="E99">
        <f>IFERROR(AGGREGATE(15,6,ROW('Input Transaksi'!$B$5:$B$5000)/('Input Transaksi'!$B$5:$B$5000="JCL PEMOGAN"),ROWS($E$5:E99)),"")</f>
        <v/>
      </c>
      <c r="F99" s="5" t="n"/>
    </row>
    <row r="100">
      <c r="A100" s="10">
        <f>IF($E100="","",INDEX('Input Transaksi'!$A:$A,$E100))</f>
        <v/>
      </c>
      <c r="B100" s="5">
        <f>IF($E100="","",INDEX('Input Transaksi'!$D:$D,$E100))</f>
        <v/>
      </c>
      <c r="C100">
        <f>IF($E100="","",INDEX('Input Transaksi'!$E:$E,$E100))</f>
        <v/>
      </c>
      <c r="D100" s="5">
        <f>IF($E100="","",INDEX('Input Transaksi'!$F:$F,$E100))</f>
        <v/>
      </c>
      <c r="E100">
        <f>IFERROR(AGGREGATE(15,6,ROW('Input Transaksi'!$B$5:$B$5000)/('Input Transaksi'!$B$5:$B$5000="JCL PEMOGAN"),ROWS($E$5:E100)),"")</f>
        <v/>
      </c>
      <c r="F100" s="5" t="n"/>
    </row>
    <row r="101">
      <c r="A101" s="10">
        <f>IF($E101="","",INDEX('Input Transaksi'!$A:$A,$E101))</f>
        <v/>
      </c>
      <c r="B101" s="5">
        <f>IF($E101="","",INDEX('Input Transaksi'!$D:$D,$E101))</f>
        <v/>
      </c>
      <c r="C101">
        <f>IF($E101="","",INDEX('Input Transaksi'!$E:$E,$E101))</f>
        <v/>
      </c>
      <c r="D101" s="5">
        <f>IF($E101="","",INDEX('Input Transaksi'!$F:$F,$E101))</f>
        <v/>
      </c>
      <c r="E101">
        <f>IFERROR(AGGREGATE(15,6,ROW('Input Transaksi'!$B$5:$B$5000)/('Input Transaksi'!$B$5:$B$5000="JCL PEMOGAN"),ROWS($E$5:E101)),"")</f>
        <v/>
      </c>
      <c r="F101" s="5" t="n"/>
    </row>
    <row r="102">
      <c r="A102" s="10">
        <f>IF($E102="","",INDEX('Input Transaksi'!$A:$A,$E102))</f>
        <v/>
      </c>
      <c r="B102" s="5">
        <f>IF($E102="","",INDEX('Input Transaksi'!$D:$D,$E102))</f>
        <v/>
      </c>
      <c r="C102">
        <f>IF($E102="","",INDEX('Input Transaksi'!$E:$E,$E102))</f>
        <v/>
      </c>
      <c r="D102" s="5">
        <f>IF($E102="","",INDEX('Input Transaksi'!$F:$F,$E102))</f>
        <v/>
      </c>
      <c r="E102">
        <f>IFERROR(AGGREGATE(15,6,ROW('Input Transaksi'!$B$5:$B$5000)/('Input Transaksi'!$B$5:$B$5000="JCL PEMOGAN"),ROWS($E$5:E102)),"")</f>
        <v/>
      </c>
      <c r="F102" s="5" t="n"/>
    </row>
    <row r="103">
      <c r="A103" s="10">
        <f>IF($E103="","",INDEX('Input Transaksi'!$A:$A,$E103))</f>
        <v/>
      </c>
      <c r="B103" s="5">
        <f>IF($E103="","",INDEX('Input Transaksi'!$D:$D,$E103))</f>
        <v/>
      </c>
      <c r="C103">
        <f>IF($E103="","",INDEX('Input Transaksi'!$E:$E,$E103))</f>
        <v/>
      </c>
      <c r="D103" s="5">
        <f>IF($E103="","",INDEX('Input Transaksi'!$F:$F,$E103))</f>
        <v/>
      </c>
      <c r="E103">
        <f>IFERROR(AGGREGATE(15,6,ROW('Input Transaksi'!$B$5:$B$5000)/('Input Transaksi'!$B$5:$B$5000="JCL PEMOGAN"),ROWS($E$5:E103)),"")</f>
        <v/>
      </c>
      <c r="F103" s="5" t="n"/>
    </row>
    <row r="104">
      <c r="A104" s="10">
        <f>IF($E104="","",INDEX('Input Transaksi'!$A:$A,$E104))</f>
        <v/>
      </c>
      <c r="B104" s="5">
        <f>IF($E104="","",INDEX('Input Transaksi'!$D:$D,$E104))</f>
        <v/>
      </c>
      <c r="C104">
        <f>IF($E104="","",INDEX('Input Transaksi'!$E:$E,$E104))</f>
        <v/>
      </c>
      <c r="D104" s="5">
        <f>IF($E104="","",INDEX('Input Transaksi'!$F:$F,$E104))</f>
        <v/>
      </c>
      <c r="E104">
        <f>IFERROR(AGGREGATE(15,6,ROW('Input Transaksi'!$B$5:$B$5000)/('Input Transaksi'!$B$5:$B$5000="JCL PEMOGAN"),ROWS($E$5:E104)),"")</f>
        <v/>
      </c>
      <c r="F104" s="5" t="n"/>
    </row>
    <row r="105">
      <c r="A105" s="10">
        <f>IF($E105="","",INDEX('Input Transaksi'!$A:$A,$E105))</f>
        <v/>
      </c>
      <c r="B105" s="5">
        <f>IF($E105="","",INDEX('Input Transaksi'!$D:$D,$E105))</f>
        <v/>
      </c>
      <c r="C105">
        <f>IF($E105="","",INDEX('Input Transaksi'!$E:$E,$E105))</f>
        <v/>
      </c>
      <c r="D105" s="5">
        <f>IF($E105="","",INDEX('Input Transaksi'!$F:$F,$E105))</f>
        <v/>
      </c>
      <c r="E105">
        <f>IFERROR(AGGREGATE(15,6,ROW('Input Transaksi'!$B$5:$B$5000)/('Input Transaksi'!$B$5:$B$5000="JCL PEMOGAN"),ROWS($E$5:E105)),"")</f>
        <v/>
      </c>
      <c r="F105" s="5" t="n"/>
    </row>
    <row r="106">
      <c r="A106" s="10">
        <f>IF($E106="","",INDEX('Input Transaksi'!$A:$A,$E106))</f>
        <v/>
      </c>
      <c r="B106" s="5">
        <f>IF($E106="","",INDEX('Input Transaksi'!$D:$D,$E106))</f>
        <v/>
      </c>
      <c r="C106">
        <f>IF($E106="","",INDEX('Input Transaksi'!$E:$E,$E106))</f>
        <v/>
      </c>
      <c r="D106" s="5">
        <f>IF($E106="","",INDEX('Input Transaksi'!$F:$F,$E106))</f>
        <v/>
      </c>
      <c r="E106">
        <f>IFERROR(AGGREGATE(15,6,ROW('Input Transaksi'!$B$5:$B$5000)/('Input Transaksi'!$B$5:$B$5000="JCL PEMOGAN"),ROWS($E$5:E106)),"")</f>
        <v/>
      </c>
      <c r="F106" s="5" t="n"/>
    </row>
    <row r="107">
      <c r="A107" s="10">
        <f>IF($E107="","",INDEX('Input Transaksi'!$A:$A,$E107))</f>
        <v/>
      </c>
      <c r="B107" s="5">
        <f>IF($E107="","",INDEX('Input Transaksi'!$D:$D,$E107))</f>
        <v/>
      </c>
      <c r="C107">
        <f>IF($E107="","",INDEX('Input Transaksi'!$E:$E,$E107))</f>
        <v/>
      </c>
      <c r="D107" s="5">
        <f>IF($E107="","",INDEX('Input Transaksi'!$F:$F,$E107))</f>
        <v/>
      </c>
      <c r="E107">
        <f>IFERROR(AGGREGATE(15,6,ROW('Input Transaksi'!$B$5:$B$5000)/('Input Transaksi'!$B$5:$B$5000="JCL PEMOGAN"),ROWS($E$5:E107)),"")</f>
        <v/>
      </c>
      <c r="F107" s="5" t="n"/>
    </row>
    <row r="108">
      <c r="A108" s="10">
        <f>IF($E108="","",INDEX('Input Transaksi'!$A:$A,$E108))</f>
        <v/>
      </c>
      <c r="B108" s="5">
        <f>IF($E108="","",INDEX('Input Transaksi'!$D:$D,$E108))</f>
        <v/>
      </c>
      <c r="C108">
        <f>IF($E108="","",INDEX('Input Transaksi'!$E:$E,$E108))</f>
        <v/>
      </c>
      <c r="D108" s="5">
        <f>IF($E108="","",INDEX('Input Transaksi'!$F:$F,$E108))</f>
        <v/>
      </c>
      <c r="E108">
        <f>IFERROR(AGGREGATE(15,6,ROW('Input Transaksi'!$B$5:$B$5000)/('Input Transaksi'!$B$5:$B$5000="JCL PEMOGAN"),ROWS($E$5:E108)),"")</f>
        <v/>
      </c>
      <c r="F108" s="5" t="n"/>
    </row>
    <row r="109">
      <c r="A109" s="10">
        <f>IF($E109="","",INDEX('Input Transaksi'!$A:$A,$E109))</f>
        <v/>
      </c>
      <c r="B109" s="5">
        <f>IF($E109="","",INDEX('Input Transaksi'!$D:$D,$E109))</f>
        <v/>
      </c>
      <c r="C109">
        <f>IF($E109="","",INDEX('Input Transaksi'!$E:$E,$E109))</f>
        <v/>
      </c>
      <c r="D109" s="5">
        <f>IF($E109="","",INDEX('Input Transaksi'!$F:$F,$E109))</f>
        <v/>
      </c>
      <c r="E109">
        <f>IFERROR(AGGREGATE(15,6,ROW('Input Transaksi'!$B$5:$B$5000)/('Input Transaksi'!$B$5:$B$5000="JCL PEMOGAN"),ROWS($E$5:E109)),"")</f>
        <v/>
      </c>
      <c r="F109" s="5" t="n"/>
    </row>
    <row r="110">
      <c r="A110" s="10">
        <f>IF($E110="","",INDEX('Input Transaksi'!$A:$A,$E110))</f>
        <v/>
      </c>
      <c r="B110" s="5">
        <f>IF($E110="","",INDEX('Input Transaksi'!$D:$D,$E110))</f>
        <v/>
      </c>
      <c r="C110">
        <f>IF($E110="","",INDEX('Input Transaksi'!$E:$E,$E110))</f>
        <v/>
      </c>
      <c r="D110" s="5">
        <f>IF($E110="","",INDEX('Input Transaksi'!$F:$F,$E110))</f>
        <v/>
      </c>
      <c r="E110">
        <f>IFERROR(AGGREGATE(15,6,ROW('Input Transaksi'!$B$5:$B$5000)/('Input Transaksi'!$B$5:$B$5000="JCL PEMOGAN"),ROWS($E$5:E110)),"")</f>
        <v/>
      </c>
      <c r="F110" s="5" t="n"/>
    </row>
    <row r="111">
      <c r="A111" s="10">
        <f>IF($E111="","",INDEX('Input Transaksi'!$A:$A,$E111))</f>
        <v/>
      </c>
      <c r="B111" s="5">
        <f>IF($E111="","",INDEX('Input Transaksi'!$D:$D,$E111))</f>
        <v/>
      </c>
      <c r="C111">
        <f>IF($E111="","",INDEX('Input Transaksi'!$E:$E,$E111))</f>
        <v/>
      </c>
      <c r="D111" s="5">
        <f>IF($E111="","",INDEX('Input Transaksi'!$F:$F,$E111))</f>
        <v/>
      </c>
      <c r="E111">
        <f>IFERROR(AGGREGATE(15,6,ROW('Input Transaksi'!$B$5:$B$5000)/('Input Transaksi'!$B$5:$B$5000="JCL PEMOGAN"),ROWS($E$5:E111)),"")</f>
        <v/>
      </c>
      <c r="F111" s="5" t="n"/>
    </row>
    <row r="112">
      <c r="A112" s="10">
        <f>IF($E112="","",INDEX('Input Transaksi'!$A:$A,$E112))</f>
        <v/>
      </c>
      <c r="B112" s="5">
        <f>IF($E112="","",INDEX('Input Transaksi'!$D:$D,$E112))</f>
        <v/>
      </c>
      <c r="C112">
        <f>IF($E112="","",INDEX('Input Transaksi'!$E:$E,$E112))</f>
        <v/>
      </c>
      <c r="D112" s="5">
        <f>IF($E112="","",INDEX('Input Transaksi'!$F:$F,$E112))</f>
        <v/>
      </c>
      <c r="E112">
        <f>IFERROR(AGGREGATE(15,6,ROW('Input Transaksi'!$B$5:$B$5000)/('Input Transaksi'!$B$5:$B$5000="JCL PEMOGAN"),ROWS($E$5:E112)),"")</f>
        <v/>
      </c>
      <c r="F112" s="5" t="n"/>
    </row>
    <row r="113">
      <c r="A113" s="10">
        <f>IF($E113="","",INDEX('Input Transaksi'!$A:$A,$E113))</f>
        <v/>
      </c>
      <c r="B113" s="5">
        <f>IF($E113="","",INDEX('Input Transaksi'!$D:$D,$E113))</f>
        <v/>
      </c>
      <c r="C113">
        <f>IF($E113="","",INDEX('Input Transaksi'!$E:$E,$E113))</f>
        <v/>
      </c>
      <c r="D113" s="5">
        <f>IF($E113="","",INDEX('Input Transaksi'!$F:$F,$E113))</f>
        <v/>
      </c>
      <c r="E113">
        <f>IFERROR(AGGREGATE(15,6,ROW('Input Transaksi'!$B$5:$B$5000)/('Input Transaksi'!$B$5:$B$5000="JCL PEMOGAN"),ROWS($E$5:E113)),"")</f>
        <v/>
      </c>
      <c r="F113" s="5" t="n"/>
    </row>
    <row r="114">
      <c r="A114" s="10">
        <f>IF($E114="","",INDEX('Input Transaksi'!$A:$A,$E114))</f>
        <v/>
      </c>
      <c r="B114" s="5">
        <f>IF($E114="","",INDEX('Input Transaksi'!$D:$D,$E114))</f>
        <v/>
      </c>
      <c r="C114">
        <f>IF($E114="","",INDEX('Input Transaksi'!$E:$E,$E114))</f>
        <v/>
      </c>
      <c r="D114" s="5">
        <f>IF($E114="","",INDEX('Input Transaksi'!$F:$F,$E114))</f>
        <v/>
      </c>
      <c r="E114">
        <f>IFERROR(AGGREGATE(15,6,ROW('Input Transaksi'!$B$5:$B$5000)/('Input Transaksi'!$B$5:$B$5000="JCL PEMOGAN"),ROWS($E$5:E114)),"")</f>
        <v/>
      </c>
      <c r="F114" s="5" t="n"/>
    </row>
    <row r="115">
      <c r="A115" s="10">
        <f>IF($E115="","",INDEX('Input Transaksi'!$A:$A,$E115))</f>
        <v/>
      </c>
      <c r="B115" s="5">
        <f>IF($E115="","",INDEX('Input Transaksi'!$D:$D,$E115))</f>
        <v/>
      </c>
      <c r="C115">
        <f>IF($E115="","",INDEX('Input Transaksi'!$E:$E,$E115))</f>
        <v/>
      </c>
      <c r="D115" s="5">
        <f>IF($E115="","",INDEX('Input Transaksi'!$F:$F,$E115))</f>
        <v/>
      </c>
      <c r="E115">
        <f>IFERROR(AGGREGATE(15,6,ROW('Input Transaksi'!$B$5:$B$5000)/('Input Transaksi'!$B$5:$B$5000="JCL PEMOGAN"),ROWS($E$5:E115)),"")</f>
        <v/>
      </c>
      <c r="F115" s="5" t="n"/>
    </row>
    <row r="116">
      <c r="A116" s="10">
        <f>IF($E116="","",INDEX('Input Transaksi'!$A:$A,$E116))</f>
        <v/>
      </c>
      <c r="B116" s="5">
        <f>IF($E116="","",INDEX('Input Transaksi'!$D:$D,$E116))</f>
        <v/>
      </c>
      <c r="C116">
        <f>IF($E116="","",INDEX('Input Transaksi'!$E:$E,$E116))</f>
        <v/>
      </c>
      <c r="D116" s="5">
        <f>IF($E116="","",INDEX('Input Transaksi'!$F:$F,$E116))</f>
        <v/>
      </c>
      <c r="E116">
        <f>IFERROR(AGGREGATE(15,6,ROW('Input Transaksi'!$B$5:$B$5000)/('Input Transaksi'!$B$5:$B$5000="JCL PEMOGAN"),ROWS($E$5:E116)),"")</f>
        <v/>
      </c>
      <c r="F116" s="5" t="n"/>
    </row>
    <row r="117">
      <c r="A117" s="10">
        <f>IF($E117="","",INDEX('Input Transaksi'!$A:$A,$E117))</f>
        <v/>
      </c>
      <c r="B117" s="5">
        <f>IF($E117="","",INDEX('Input Transaksi'!$D:$D,$E117))</f>
        <v/>
      </c>
      <c r="C117">
        <f>IF($E117="","",INDEX('Input Transaksi'!$E:$E,$E117))</f>
        <v/>
      </c>
      <c r="D117" s="5">
        <f>IF($E117="","",INDEX('Input Transaksi'!$F:$F,$E117))</f>
        <v/>
      </c>
      <c r="E117">
        <f>IFERROR(AGGREGATE(15,6,ROW('Input Transaksi'!$B$5:$B$5000)/('Input Transaksi'!$B$5:$B$5000="JCL PEMOGAN"),ROWS($E$5:E117)),"")</f>
        <v/>
      </c>
      <c r="F117" s="5" t="n"/>
    </row>
    <row r="118">
      <c r="A118" s="10">
        <f>IF($E118="","",INDEX('Input Transaksi'!$A:$A,$E118))</f>
        <v/>
      </c>
      <c r="B118" s="5">
        <f>IF($E118="","",INDEX('Input Transaksi'!$D:$D,$E118))</f>
        <v/>
      </c>
      <c r="C118">
        <f>IF($E118="","",INDEX('Input Transaksi'!$E:$E,$E118))</f>
        <v/>
      </c>
      <c r="D118" s="5">
        <f>IF($E118="","",INDEX('Input Transaksi'!$F:$F,$E118))</f>
        <v/>
      </c>
      <c r="E118">
        <f>IFERROR(AGGREGATE(15,6,ROW('Input Transaksi'!$B$5:$B$5000)/('Input Transaksi'!$B$5:$B$5000="JCL PEMOGAN"),ROWS($E$5:E118)),"")</f>
        <v/>
      </c>
      <c r="F118" s="5" t="n"/>
    </row>
    <row r="119">
      <c r="A119" s="10">
        <f>IF($E119="","",INDEX('Input Transaksi'!$A:$A,$E119))</f>
        <v/>
      </c>
      <c r="B119" s="5">
        <f>IF($E119="","",INDEX('Input Transaksi'!$D:$D,$E119))</f>
        <v/>
      </c>
      <c r="C119">
        <f>IF($E119="","",INDEX('Input Transaksi'!$E:$E,$E119))</f>
        <v/>
      </c>
      <c r="D119" s="5">
        <f>IF($E119="","",INDEX('Input Transaksi'!$F:$F,$E119))</f>
        <v/>
      </c>
      <c r="E119">
        <f>IFERROR(AGGREGATE(15,6,ROW('Input Transaksi'!$B$5:$B$5000)/('Input Transaksi'!$B$5:$B$5000="JCL PEMOGAN"),ROWS($E$5:E119)),"")</f>
        <v/>
      </c>
      <c r="F119" s="5" t="n"/>
    </row>
    <row r="120">
      <c r="A120" s="10">
        <f>IF($E120="","",INDEX('Input Transaksi'!$A:$A,$E120))</f>
        <v/>
      </c>
      <c r="B120" s="5">
        <f>IF($E120="","",INDEX('Input Transaksi'!$D:$D,$E120))</f>
        <v/>
      </c>
      <c r="C120">
        <f>IF($E120="","",INDEX('Input Transaksi'!$E:$E,$E120))</f>
        <v/>
      </c>
      <c r="D120" s="5">
        <f>IF($E120="","",INDEX('Input Transaksi'!$F:$F,$E120))</f>
        <v/>
      </c>
      <c r="E120">
        <f>IFERROR(AGGREGATE(15,6,ROW('Input Transaksi'!$B$5:$B$5000)/('Input Transaksi'!$B$5:$B$5000="JCL PEMOGAN"),ROWS($E$5:E120)),"")</f>
        <v/>
      </c>
      <c r="F120" s="5" t="n"/>
    </row>
    <row r="121">
      <c r="A121" s="10">
        <f>IF($E121="","",INDEX('Input Transaksi'!$A:$A,$E121))</f>
        <v/>
      </c>
      <c r="B121" s="5">
        <f>IF($E121="","",INDEX('Input Transaksi'!$D:$D,$E121))</f>
        <v/>
      </c>
      <c r="C121">
        <f>IF($E121="","",INDEX('Input Transaksi'!$E:$E,$E121))</f>
        <v/>
      </c>
      <c r="D121" s="5">
        <f>IF($E121="","",INDEX('Input Transaksi'!$F:$F,$E121))</f>
        <v/>
      </c>
      <c r="E121">
        <f>IFERROR(AGGREGATE(15,6,ROW('Input Transaksi'!$B$5:$B$5000)/('Input Transaksi'!$B$5:$B$5000="JCL PEMOGAN"),ROWS($E$5:E121)),"")</f>
        <v/>
      </c>
      <c r="F121" s="5" t="n"/>
    </row>
    <row r="122">
      <c r="A122" s="10">
        <f>IF($E122="","",INDEX('Input Transaksi'!$A:$A,$E122))</f>
        <v/>
      </c>
      <c r="B122" s="5">
        <f>IF($E122="","",INDEX('Input Transaksi'!$D:$D,$E122))</f>
        <v/>
      </c>
      <c r="C122">
        <f>IF($E122="","",INDEX('Input Transaksi'!$E:$E,$E122))</f>
        <v/>
      </c>
      <c r="D122" s="5">
        <f>IF($E122="","",INDEX('Input Transaksi'!$F:$F,$E122))</f>
        <v/>
      </c>
      <c r="E122">
        <f>IFERROR(AGGREGATE(15,6,ROW('Input Transaksi'!$B$5:$B$5000)/('Input Transaksi'!$B$5:$B$5000="JCL PEMOGAN"),ROWS($E$5:E122)),"")</f>
        <v/>
      </c>
      <c r="F122" s="5" t="n"/>
    </row>
    <row r="123">
      <c r="A123" s="10">
        <f>IF($E123="","",INDEX('Input Transaksi'!$A:$A,$E123))</f>
        <v/>
      </c>
      <c r="B123" s="5">
        <f>IF($E123="","",INDEX('Input Transaksi'!$D:$D,$E123))</f>
        <v/>
      </c>
      <c r="C123">
        <f>IF($E123="","",INDEX('Input Transaksi'!$E:$E,$E123))</f>
        <v/>
      </c>
      <c r="D123" s="5">
        <f>IF($E123="","",INDEX('Input Transaksi'!$F:$F,$E123))</f>
        <v/>
      </c>
      <c r="E123">
        <f>IFERROR(AGGREGATE(15,6,ROW('Input Transaksi'!$B$5:$B$5000)/('Input Transaksi'!$B$5:$B$5000="JCL PEMOGAN"),ROWS($E$5:E123)),"")</f>
        <v/>
      </c>
      <c r="F123" s="5" t="n"/>
    </row>
    <row r="124">
      <c r="A124" s="10">
        <f>IF($E124="","",INDEX('Input Transaksi'!$A:$A,$E124))</f>
        <v/>
      </c>
      <c r="B124" s="5">
        <f>IF($E124="","",INDEX('Input Transaksi'!$D:$D,$E124))</f>
        <v/>
      </c>
      <c r="C124">
        <f>IF($E124="","",INDEX('Input Transaksi'!$E:$E,$E124))</f>
        <v/>
      </c>
      <c r="D124" s="5">
        <f>IF($E124="","",INDEX('Input Transaksi'!$F:$F,$E124))</f>
        <v/>
      </c>
      <c r="E124">
        <f>IFERROR(AGGREGATE(15,6,ROW('Input Transaksi'!$B$5:$B$5000)/('Input Transaksi'!$B$5:$B$5000="JCL PEMOGAN"),ROWS($E$5:E124)),"")</f>
        <v/>
      </c>
      <c r="F124" s="5" t="n"/>
    </row>
    <row r="125">
      <c r="A125" s="10">
        <f>IF($E125="","",INDEX('Input Transaksi'!$A:$A,$E125))</f>
        <v/>
      </c>
      <c r="B125" s="5">
        <f>IF($E125="","",INDEX('Input Transaksi'!$D:$D,$E125))</f>
        <v/>
      </c>
      <c r="C125">
        <f>IF($E125="","",INDEX('Input Transaksi'!$E:$E,$E125))</f>
        <v/>
      </c>
      <c r="D125" s="5">
        <f>IF($E125="","",INDEX('Input Transaksi'!$F:$F,$E125))</f>
        <v/>
      </c>
      <c r="E125">
        <f>IFERROR(AGGREGATE(15,6,ROW('Input Transaksi'!$B$5:$B$5000)/('Input Transaksi'!$B$5:$B$5000="JCL PEMOGAN"),ROWS($E$5:E125)),"")</f>
        <v/>
      </c>
      <c r="F125" s="5" t="n"/>
    </row>
    <row r="126">
      <c r="A126" s="10">
        <f>IF($E126="","",INDEX('Input Transaksi'!$A:$A,$E126))</f>
        <v/>
      </c>
      <c r="B126" s="5">
        <f>IF($E126="","",INDEX('Input Transaksi'!$D:$D,$E126))</f>
        <v/>
      </c>
      <c r="C126">
        <f>IF($E126="","",INDEX('Input Transaksi'!$E:$E,$E126))</f>
        <v/>
      </c>
      <c r="D126" s="5">
        <f>IF($E126="","",INDEX('Input Transaksi'!$F:$F,$E126))</f>
        <v/>
      </c>
      <c r="E126">
        <f>IFERROR(AGGREGATE(15,6,ROW('Input Transaksi'!$B$5:$B$5000)/('Input Transaksi'!$B$5:$B$5000="JCL PEMOGAN"),ROWS($E$5:E126)),"")</f>
        <v/>
      </c>
      <c r="F126" s="5" t="n"/>
    </row>
    <row r="127">
      <c r="A127" s="10">
        <f>IF($E127="","",INDEX('Input Transaksi'!$A:$A,$E127))</f>
        <v/>
      </c>
      <c r="B127" s="5">
        <f>IF($E127="","",INDEX('Input Transaksi'!$D:$D,$E127))</f>
        <v/>
      </c>
      <c r="C127">
        <f>IF($E127="","",INDEX('Input Transaksi'!$E:$E,$E127))</f>
        <v/>
      </c>
      <c r="D127" s="5">
        <f>IF($E127="","",INDEX('Input Transaksi'!$F:$F,$E127))</f>
        <v/>
      </c>
      <c r="E127">
        <f>IFERROR(AGGREGATE(15,6,ROW('Input Transaksi'!$B$5:$B$5000)/('Input Transaksi'!$B$5:$B$5000="JCL PEMOGAN"),ROWS($E$5:E127)),"")</f>
        <v/>
      </c>
      <c r="F127" s="5" t="n"/>
    </row>
    <row r="128">
      <c r="A128" s="10">
        <f>IF($E128="","",INDEX('Input Transaksi'!$A:$A,$E128))</f>
        <v/>
      </c>
      <c r="B128" s="5">
        <f>IF($E128="","",INDEX('Input Transaksi'!$D:$D,$E128))</f>
        <v/>
      </c>
      <c r="C128">
        <f>IF($E128="","",INDEX('Input Transaksi'!$E:$E,$E128))</f>
        <v/>
      </c>
      <c r="D128" s="5">
        <f>IF($E128="","",INDEX('Input Transaksi'!$F:$F,$E128))</f>
        <v/>
      </c>
      <c r="E128">
        <f>IFERROR(AGGREGATE(15,6,ROW('Input Transaksi'!$B$5:$B$5000)/('Input Transaksi'!$B$5:$B$5000="JCL PEMOGAN"),ROWS($E$5:E128)),"")</f>
        <v/>
      </c>
      <c r="F128" s="5" t="n"/>
    </row>
    <row r="129">
      <c r="A129" s="10">
        <f>IF($E129="","",INDEX('Input Transaksi'!$A:$A,$E129))</f>
        <v/>
      </c>
      <c r="B129" s="5">
        <f>IF($E129="","",INDEX('Input Transaksi'!$D:$D,$E129))</f>
        <v/>
      </c>
      <c r="C129">
        <f>IF($E129="","",INDEX('Input Transaksi'!$E:$E,$E129))</f>
        <v/>
      </c>
      <c r="D129" s="5">
        <f>IF($E129="","",INDEX('Input Transaksi'!$F:$F,$E129))</f>
        <v/>
      </c>
      <c r="E129">
        <f>IFERROR(AGGREGATE(15,6,ROW('Input Transaksi'!$B$5:$B$5000)/('Input Transaksi'!$B$5:$B$5000="JCL PEMOGAN"),ROWS($E$5:E129)),"")</f>
        <v/>
      </c>
      <c r="F129" s="5" t="n"/>
    </row>
    <row r="130">
      <c r="A130" s="10">
        <f>IF($E130="","",INDEX('Input Transaksi'!$A:$A,$E130))</f>
        <v/>
      </c>
      <c r="B130" s="5">
        <f>IF($E130="","",INDEX('Input Transaksi'!$D:$D,$E130))</f>
        <v/>
      </c>
      <c r="C130">
        <f>IF($E130="","",INDEX('Input Transaksi'!$E:$E,$E130))</f>
        <v/>
      </c>
      <c r="D130" s="5">
        <f>IF($E130="","",INDEX('Input Transaksi'!$F:$F,$E130))</f>
        <v/>
      </c>
      <c r="E130">
        <f>IFERROR(AGGREGATE(15,6,ROW('Input Transaksi'!$B$5:$B$5000)/('Input Transaksi'!$B$5:$B$5000="JCL PEMOGAN"),ROWS($E$5:E130)),"")</f>
        <v/>
      </c>
      <c r="F130" s="5" t="n"/>
    </row>
    <row r="131">
      <c r="A131" s="10">
        <f>IF($E131="","",INDEX('Input Transaksi'!$A:$A,$E131))</f>
        <v/>
      </c>
      <c r="B131" s="5">
        <f>IF($E131="","",INDEX('Input Transaksi'!$D:$D,$E131))</f>
        <v/>
      </c>
      <c r="C131">
        <f>IF($E131="","",INDEX('Input Transaksi'!$E:$E,$E131))</f>
        <v/>
      </c>
      <c r="D131" s="5">
        <f>IF($E131="","",INDEX('Input Transaksi'!$F:$F,$E131))</f>
        <v/>
      </c>
      <c r="E131">
        <f>IFERROR(AGGREGATE(15,6,ROW('Input Transaksi'!$B$5:$B$5000)/('Input Transaksi'!$B$5:$B$5000="JCL PEMOGAN"),ROWS($E$5:E131)),"")</f>
        <v/>
      </c>
      <c r="F131" s="5" t="n"/>
    </row>
    <row r="132">
      <c r="A132" s="10">
        <f>IF($E132="","",INDEX('Input Transaksi'!$A:$A,$E132))</f>
        <v/>
      </c>
      <c r="B132" s="5">
        <f>IF($E132="","",INDEX('Input Transaksi'!$D:$D,$E132))</f>
        <v/>
      </c>
      <c r="C132">
        <f>IF($E132="","",INDEX('Input Transaksi'!$E:$E,$E132))</f>
        <v/>
      </c>
      <c r="D132" s="5">
        <f>IF($E132="","",INDEX('Input Transaksi'!$F:$F,$E132))</f>
        <v/>
      </c>
      <c r="E132">
        <f>IFERROR(AGGREGATE(15,6,ROW('Input Transaksi'!$B$5:$B$5000)/('Input Transaksi'!$B$5:$B$5000="JCL PEMOGAN"),ROWS($E$5:E132)),"")</f>
        <v/>
      </c>
      <c r="F132" s="5" t="n"/>
    </row>
    <row r="133">
      <c r="A133" s="10">
        <f>IF($E133="","",INDEX('Input Transaksi'!$A:$A,$E133))</f>
        <v/>
      </c>
      <c r="B133" s="5">
        <f>IF($E133="","",INDEX('Input Transaksi'!$D:$D,$E133))</f>
        <v/>
      </c>
      <c r="C133">
        <f>IF($E133="","",INDEX('Input Transaksi'!$E:$E,$E133))</f>
        <v/>
      </c>
      <c r="D133" s="5">
        <f>IF($E133="","",INDEX('Input Transaksi'!$F:$F,$E133))</f>
        <v/>
      </c>
      <c r="E133">
        <f>IFERROR(AGGREGATE(15,6,ROW('Input Transaksi'!$B$5:$B$5000)/('Input Transaksi'!$B$5:$B$5000="JCL PEMOGAN"),ROWS($E$5:E133)),"")</f>
        <v/>
      </c>
      <c r="F133" s="5" t="n"/>
    </row>
    <row r="134">
      <c r="A134" s="10">
        <f>IF($E134="","",INDEX('Input Transaksi'!$A:$A,$E134))</f>
        <v/>
      </c>
      <c r="B134" s="5">
        <f>IF($E134="","",INDEX('Input Transaksi'!$D:$D,$E134))</f>
        <v/>
      </c>
      <c r="C134">
        <f>IF($E134="","",INDEX('Input Transaksi'!$E:$E,$E134))</f>
        <v/>
      </c>
      <c r="D134" s="5">
        <f>IF($E134="","",INDEX('Input Transaksi'!$F:$F,$E134))</f>
        <v/>
      </c>
      <c r="E134">
        <f>IFERROR(AGGREGATE(15,6,ROW('Input Transaksi'!$B$5:$B$5000)/('Input Transaksi'!$B$5:$B$5000="JCL PEMOGAN"),ROWS($E$5:E134)),"")</f>
        <v/>
      </c>
      <c r="F134" s="5" t="n"/>
    </row>
    <row r="135">
      <c r="A135" s="10">
        <f>IF($E135="","",INDEX('Input Transaksi'!$A:$A,$E135))</f>
        <v/>
      </c>
      <c r="B135" s="5">
        <f>IF($E135="","",INDEX('Input Transaksi'!$D:$D,$E135))</f>
        <v/>
      </c>
      <c r="C135">
        <f>IF($E135="","",INDEX('Input Transaksi'!$E:$E,$E135))</f>
        <v/>
      </c>
      <c r="D135" s="5">
        <f>IF($E135="","",INDEX('Input Transaksi'!$F:$F,$E135))</f>
        <v/>
      </c>
      <c r="E135">
        <f>IFERROR(AGGREGATE(15,6,ROW('Input Transaksi'!$B$5:$B$5000)/('Input Transaksi'!$B$5:$B$5000="JCL PEMOGAN"),ROWS($E$5:E135)),"")</f>
        <v/>
      </c>
      <c r="F135" s="5" t="n"/>
    </row>
    <row r="136">
      <c r="A136" s="10">
        <f>IF($E136="","",INDEX('Input Transaksi'!$A:$A,$E136))</f>
        <v/>
      </c>
      <c r="B136" s="5">
        <f>IF($E136="","",INDEX('Input Transaksi'!$D:$D,$E136))</f>
        <v/>
      </c>
      <c r="C136">
        <f>IF($E136="","",INDEX('Input Transaksi'!$E:$E,$E136))</f>
        <v/>
      </c>
      <c r="D136" s="5">
        <f>IF($E136="","",INDEX('Input Transaksi'!$F:$F,$E136))</f>
        <v/>
      </c>
      <c r="E136">
        <f>IFERROR(AGGREGATE(15,6,ROW('Input Transaksi'!$B$5:$B$5000)/('Input Transaksi'!$B$5:$B$5000="JCL PEMOGAN"),ROWS($E$5:E136)),"")</f>
        <v/>
      </c>
      <c r="F136" s="5" t="n"/>
    </row>
    <row r="137">
      <c r="A137" s="10">
        <f>IF($E137="","",INDEX('Input Transaksi'!$A:$A,$E137))</f>
        <v/>
      </c>
      <c r="B137" s="5">
        <f>IF($E137="","",INDEX('Input Transaksi'!$D:$D,$E137))</f>
        <v/>
      </c>
      <c r="C137">
        <f>IF($E137="","",INDEX('Input Transaksi'!$E:$E,$E137))</f>
        <v/>
      </c>
      <c r="D137" s="5">
        <f>IF($E137="","",INDEX('Input Transaksi'!$F:$F,$E137))</f>
        <v/>
      </c>
      <c r="E137">
        <f>IFERROR(AGGREGATE(15,6,ROW('Input Transaksi'!$B$5:$B$5000)/('Input Transaksi'!$B$5:$B$5000="JCL PEMOGAN"),ROWS($E$5:E137)),"")</f>
        <v/>
      </c>
      <c r="F137" s="5" t="n"/>
    </row>
    <row r="138">
      <c r="A138" s="10">
        <f>IF($E138="","",INDEX('Input Transaksi'!$A:$A,$E138))</f>
        <v/>
      </c>
      <c r="B138" s="5">
        <f>IF($E138="","",INDEX('Input Transaksi'!$D:$D,$E138))</f>
        <v/>
      </c>
      <c r="C138">
        <f>IF($E138="","",INDEX('Input Transaksi'!$E:$E,$E138))</f>
        <v/>
      </c>
      <c r="D138" s="5">
        <f>IF($E138="","",INDEX('Input Transaksi'!$F:$F,$E138))</f>
        <v/>
      </c>
      <c r="E138">
        <f>IFERROR(AGGREGATE(15,6,ROW('Input Transaksi'!$B$5:$B$5000)/('Input Transaksi'!$B$5:$B$5000="JCL PEMOGAN"),ROWS($E$5:E138)),"")</f>
        <v/>
      </c>
      <c r="F138" s="5" t="n"/>
    </row>
    <row r="139">
      <c r="A139" s="10">
        <f>IF($E139="","",INDEX('Input Transaksi'!$A:$A,$E139))</f>
        <v/>
      </c>
      <c r="B139" s="5">
        <f>IF($E139="","",INDEX('Input Transaksi'!$D:$D,$E139))</f>
        <v/>
      </c>
      <c r="C139">
        <f>IF($E139="","",INDEX('Input Transaksi'!$E:$E,$E139))</f>
        <v/>
      </c>
      <c r="D139" s="5">
        <f>IF($E139="","",INDEX('Input Transaksi'!$F:$F,$E139))</f>
        <v/>
      </c>
      <c r="E139">
        <f>IFERROR(AGGREGATE(15,6,ROW('Input Transaksi'!$B$5:$B$5000)/('Input Transaksi'!$B$5:$B$5000="JCL PEMOGAN"),ROWS($E$5:E139)),"")</f>
        <v/>
      </c>
      <c r="F139" s="5" t="n"/>
    </row>
    <row r="140">
      <c r="A140" s="10">
        <f>IF($E140="","",INDEX('Input Transaksi'!$A:$A,$E140))</f>
        <v/>
      </c>
      <c r="B140" s="5">
        <f>IF($E140="","",INDEX('Input Transaksi'!$D:$D,$E140))</f>
        <v/>
      </c>
      <c r="C140">
        <f>IF($E140="","",INDEX('Input Transaksi'!$E:$E,$E140))</f>
        <v/>
      </c>
      <c r="D140" s="5">
        <f>IF($E140="","",INDEX('Input Transaksi'!$F:$F,$E140))</f>
        <v/>
      </c>
      <c r="E140">
        <f>IFERROR(AGGREGATE(15,6,ROW('Input Transaksi'!$B$5:$B$5000)/('Input Transaksi'!$B$5:$B$5000="JCL PEMOGAN"),ROWS($E$5:E140)),"")</f>
        <v/>
      </c>
      <c r="F140" s="5" t="n"/>
    </row>
    <row r="141">
      <c r="A141" s="10">
        <f>IF($E141="","",INDEX('Input Transaksi'!$A:$A,$E141))</f>
        <v/>
      </c>
      <c r="B141" s="5">
        <f>IF($E141="","",INDEX('Input Transaksi'!$D:$D,$E141))</f>
        <v/>
      </c>
      <c r="C141">
        <f>IF($E141="","",INDEX('Input Transaksi'!$E:$E,$E141))</f>
        <v/>
      </c>
      <c r="D141" s="5">
        <f>IF($E141="","",INDEX('Input Transaksi'!$F:$F,$E141))</f>
        <v/>
      </c>
      <c r="E141">
        <f>IFERROR(AGGREGATE(15,6,ROW('Input Transaksi'!$B$5:$B$5000)/('Input Transaksi'!$B$5:$B$5000="JCL PEMOGAN"),ROWS($E$5:E141)),"")</f>
        <v/>
      </c>
      <c r="F141" s="5" t="n"/>
    </row>
    <row r="142">
      <c r="A142" s="10">
        <f>IF($E142="","",INDEX('Input Transaksi'!$A:$A,$E142))</f>
        <v/>
      </c>
      <c r="B142" s="5">
        <f>IF($E142="","",INDEX('Input Transaksi'!$D:$D,$E142))</f>
        <v/>
      </c>
      <c r="C142">
        <f>IF($E142="","",INDEX('Input Transaksi'!$E:$E,$E142))</f>
        <v/>
      </c>
      <c r="D142" s="5">
        <f>IF($E142="","",INDEX('Input Transaksi'!$F:$F,$E142))</f>
        <v/>
      </c>
      <c r="E142">
        <f>IFERROR(AGGREGATE(15,6,ROW('Input Transaksi'!$B$5:$B$5000)/('Input Transaksi'!$B$5:$B$5000="JCL PEMOGAN"),ROWS($E$5:E142)),"")</f>
        <v/>
      </c>
      <c r="F142" s="5" t="n"/>
    </row>
    <row r="143">
      <c r="A143" s="10">
        <f>IF($E143="","",INDEX('Input Transaksi'!$A:$A,$E143))</f>
        <v/>
      </c>
      <c r="B143" s="5">
        <f>IF($E143="","",INDEX('Input Transaksi'!$D:$D,$E143))</f>
        <v/>
      </c>
      <c r="C143">
        <f>IF($E143="","",INDEX('Input Transaksi'!$E:$E,$E143))</f>
        <v/>
      </c>
      <c r="D143" s="5">
        <f>IF($E143="","",INDEX('Input Transaksi'!$F:$F,$E143))</f>
        <v/>
      </c>
      <c r="E143">
        <f>IFERROR(AGGREGATE(15,6,ROW('Input Transaksi'!$B$5:$B$5000)/('Input Transaksi'!$B$5:$B$5000="JCL PEMOGAN"),ROWS($E$5:E143)),"")</f>
        <v/>
      </c>
      <c r="F143" s="5" t="n"/>
    </row>
    <row r="144">
      <c r="A144" s="10">
        <f>IF($E144="","",INDEX('Input Transaksi'!$A:$A,$E144))</f>
        <v/>
      </c>
      <c r="B144" s="5">
        <f>IF($E144="","",INDEX('Input Transaksi'!$D:$D,$E144))</f>
        <v/>
      </c>
      <c r="C144">
        <f>IF($E144="","",INDEX('Input Transaksi'!$E:$E,$E144))</f>
        <v/>
      </c>
      <c r="D144" s="5">
        <f>IF($E144="","",INDEX('Input Transaksi'!$F:$F,$E144))</f>
        <v/>
      </c>
      <c r="E144">
        <f>IFERROR(AGGREGATE(15,6,ROW('Input Transaksi'!$B$5:$B$5000)/('Input Transaksi'!$B$5:$B$5000="JCL PEMOGAN"),ROWS($E$5:E144)),"")</f>
        <v/>
      </c>
      <c r="F144" s="5" t="n"/>
    </row>
    <row r="145">
      <c r="A145" s="10">
        <f>IF($E145="","",INDEX('Input Transaksi'!$A:$A,$E145))</f>
        <v/>
      </c>
      <c r="B145" s="5">
        <f>IF($E145="","",INDEX('Input Transaksi'!$D:$D,$E145))</f>
        <v/>
      </c>
      <c r="C145">
        <f>IF($E145="","",INDEX('Input Transaksi'!$E:$E,$E145))</f>
        <v/>
      </c>
      <c r="D145" s="5">
        <f>IF($E145="","",INDEX('Input Transaksi'!$F:$F,$E145))</f>
        <v/>
      </c>
      <c r="E145">
        <f>IFERROR(AGGREGATE(15,6,ROW('Input Transaksi'!$B$5:$B$5000)/('Input Transaksi'!$B$5:$B$5000="JCL PEMOGAN"),ROWS($E$5:E145)),"")</f>
        <v/>
      </c>
      <c r="F145" s="5" t="n"/>
    </row>
    <row r="146">
      <c r="A146" s="10">
        <f>IF($E146="","",INDEX('Input Transaksi'!$A:$A,$E146))</f>
        <v/>
      </c>
      <c r="B146" s="5">
        <f>IF($E146="","",INDEX('Input Transaksi'!$D:$D,$E146))</f>
        <v/>
      </c>
      <c r="C146">
        <f>IF($E146="","",INDEX('Input Transaksi'!$E:$E,$E146))</f>
        <v/>
      </c>
      <c r="D146" s="5">
        <f>IF($E146="","",INDEX('Input Transaksi'!$F:$F,$E146))</f>
        <v/>
      </c>
      <c r="E146">
        <f>IFERROR(AGGREGATE(15,6,ROW('Input Transaksi'!$B$5:$B$5000)/('Input Transaksi'!$B$5:$B$5000="JCL PEMOGAN"),ROWS($E$5:E146)),"")</f>
        <v/>
      </c>
      <c r="F146" s="5" t="n"/>
    </row>
    <row r="147">
      <c r="A147" s="10">
        <f>IF($E147="","",INDEX('Input Transaksi'!$A:$A,$E147))</f>
        <v/>
      </c>
      <c r="B147" s="5">
        <f>IF($E147="","",INDEX('Input Transaksi'!$D:$D,$E147))</f>
        <v/>
      </c>
      <c r="C147">
        <f>IF($E147="","",INDEX('Input Transaksi'!$E:$E,$E147))</f>
        <v/>
      </c>
      <c r="D147" s="5">
        <f>IF($E147="","",INDEX('Input Transaksi'!$F:$F,$E147))</f>
        <v/>
      </c>
      <c r="E147">
        <f>IFERROR(AGGREGATE(15,6,ROW('Input Transaksi'!$B$5:$B$5000)/('Input Transaksi'!$B$5:$B$5000="JCL PEMOGAN"),ROWS($E$5:E147)),"")</f>
        <v/>
      </c>
      <c r="F147" s="5" t="n"/>
    </row>
    <row r="148">
      <c r="A148" s="10">
        <f>IF($E148="","",INDEX('Input Transaksi'!$A:$A,$E148))</f>
        <v/>
      </c>
      <c r="B148" s="5">
        <f>IF($E148="","",INDEX('Input Transaksi'!$D:$D,$E148))</f>
        <v/>
      </c>
      <c r="C148">
        <f>IF($E148="","",INDEX('Input Transaksi'!$E:$E,$E148))</f>
        <v/>
      </c>
      <c r="D148" s="5">
        <f>IF($E148="","",INDEX('Input Transaksi'!$F:$F,$E148))</f>
        <v/>
      </c>
      <c r="E148">
        <f>IFERROR(AGGREGATE(15,6,ROW('Input Transaksi'!$B$5:$B$5000)/('Input Transaksi'!$B$5:$B$5000="JCL PEMOGAN"),ROWS($E$5:E148)),"")</f>
        <v/>
      </c>
      <c r="F148" s="5" t="n"/>
    </row>
    <row r="149">
      <c r="A149" s="10">
        <f>IF($E149="","",INDEX('Input Transaksi'!$A:$A,$E149))</f>
        <v/>
      </c>
      <c r="B149" s="5">
        <f>IF($E149="","",INDEX('Input Transaksi'!$D:$D,$E149))</f>
        <v/>
      </c>
      <c r="C149">
        <f>IF($E149="","",INDEX('Input Transaksi'!$E:$E,$E149))</f>
        <v/>
      </c>
      <c r="D149" s="5">
        <f>IF($E149="","",INDEX('Input Transaksi'!$F:$F,$E149))</f>
        <v/>
      </c>
      <c r="E149">
        <f>IFERROR(AGGREGATE(15,6,ROW('Input Transaksi'!$B$5:$B$5000)/('Input Transaksi'!$B$5:$B$5000="JCL PEMOGAN"),ROWS($E$5:E149)),"")</f>
        <v/>
      </c>
      <c r="F149" s="5" t="n"/>
    </row>
    <row r="150">
      <c r="A150" s="10">
        <f>IF($E150="","",INDEX('Input Transaksi'!$A:$A,$E150))</f>
        <v/>
      </c>
      <c r="B150" s="5">
        <f>IF($E150="","",INDEX('Input Transaksi'!$D:$D,$E150))</f>
        <v/>
      </c>
      <c r="C150">
        <f>IF($E150="","",INDEX('Input Transaksi'!$E:$E,$E150))</f>
        <v/>
      </c>
      <c r="D150" s="5">
        <f>IF($E150="","",INDEX('Input Transaksi'!$F:$F,$E150))</f>
        <v/>
      </c>
      <c r="E150">
        <f>IFERROR(AGGREGATE(15,6,ROW('Input Transaksi'!$B$5:$B$5000)/('Input Transaksi'!$B$5:$B$5000="JCL PEMOGAN"),ROWS($E$5:E150)),"")</f>
        <v/>
      </c>
      <c r="F150" s="5" t="n"/>
    </row>
    <row r="151">
      <c r="A151" s="10">
        <f>IF($E151="","",INDEX('Input Transaksi'!$A:$A,$E151))</f>
        <v/>
      </c>
      <c r="B151" s="5">
        <f>IF($E151="","",INDEX('Input Transaksi'!$D:$D,$E151))</f>
        <v/>
      </c>
      <c r="C151">
        <f>IF($E151="","",INDEX('Input Transaksi'!$E:$E,$E151))</f>
        <v/>
      </c>
      <c r="D151" s="5">
        <f>IF($E151="","",INDEX('Input Transaksi'!$F:$F,$E151))</f>
        <v/>
      </c>
      <c r="E151">
        <f>IFERROR(AGGREGATE(15,6,ROW('Input Transaksi'!$B$5:$B$5000)/('Input Transaksi'!$B$5:$B$5000="JCL PEMOGAN"),ROWS($E$5:E151)),"")</f>
        <v/>
      </c>
      <c r="F151" s="5" t="n"/>
    </row>
    <row r="152">
      <c r="A152" s="10">
        <f>IF($E152="","",INDEX('Input Transaksi'!$A:$A,$E152))</f>
        <v/>
      </c>
      <c r="B152" s="5">
        <f>IF($E152="","",INDEX('Input Transaksi'!$D:$D,$E152))</f>
        <v/>
      </c>
      <c r="C152">
        <f>IF($E152="","",INDEX('Input Transaksi'!$E:$E,$E152))</f>
        <v/>
      </c>
      <c r="D152" s="5">
        <f>IF($E152="","",INDEX('Input Transaksi'!$F:$F,$E152))</f>
        <v/>
      </c>
      <c r="E152">
        <f>IFERROR(AGGREGATE(15,6,ROW('Input Transaksi'!$B$5:$B$5000)/('Input Transaksi'!$B$5:$B$5000="JCL PEMOGAN"),ROWS($E$5:E152)),"")</f>
        <v/>
      </c>
      <c r="F152" s="5" t="n"/>
    </row>
    <row r="153">
      <c r="A153" s="10">
        <f>IF($E153="","",INDEX('Input Transaksi'!$A:$A,$E153))</f>
        <v/>
      </c>
      <c r="B153" s="5">
        <f>IF($E153="","",INDEX('Input Transaksi'!$D:$D,$E153))</f>
        <v/>
      </c>
      <c r="C153">
        <f>IF($E153="","",INDEX('Input Transaksi'!$E:$E,$E153))</f>
        <v/>
      </c>
      <c r="D153" s="5">
        <f>IF($E153="","",INDEX('Input Transaksi'!$F:$F,$E153))</f>
        <v/>
      </c>
      <c r="E153">
        <f>IFERROR(AGGREGATE(15,6,ROW('Input Transaksi'!$B$5:$B$5000)/('Input Transaksi'!$B$5:$B$5000="JCL PEMOGAN"),ROWS($E$5:E153)),"")</f>
        <v/>
      </c>
      <c r="F153" s="5" t="n"/>
    </row>
    <row r="154">
      <c r="A154" s="10">
        <f>IF($E154="","",INDEX('Input Transaksi'!$A:$A,$E154))</f>
        <v/>
      </c>
      <c r="B154" s="5">
        <f>IF($E154="","",INDEX('Input Transaksi'!$D:$D,$E154))</f>
        <v/>
      </c>
      <c r="C154">
        <f>IF($E154="","",INDEX('Input Transaksi'!$E:$E,$E154))</f>
        <v/>
      </c>
      <c r="D154" s="5">
        <f>IF($E154="","",INDEX('Input Transaksi'!$F:$F,$E154))</f>
        <v/>
      </c>
      <c r="E154">
        <f>IFERROR(AGGREGATE(15,6,ROW('Input Transaksi'!$B$5:$B$5000)/('Input Transaksi'!$B$5:$B$5000="JCL PEMOGAN"),ROWS($E$5:E154)),"")</f>
        <v/>
      </c>
      <c r="F154" s="5" t="n"/>
    </row>
    <row r="155">
      <c r="A155" s="10">
        <f>IF($E155="","",INDEX('Input Transaksi'!$A:$A,$E155))</f>
        <v/>
      </c>
      <c r="B155" s="5">
        <f>IF($E155="","",INDEX('Input Transaksi'!$D:$D,$E155))</f>
        <v/>
      </c>
      <c r="C155">
        <f>IF($E155="","",INDEX('Input Transaksi'!$E:$E,$E155))</f>
        <v/>
      </c>
      <c r="D155" s="5">
        <f>IF($E155="","",INDEX('Input Transaksi'!$F:$F,$E155))</f>
        <v/>
      </c>
      <c r="E155">
        <f>IFERROR(AGGREGATE(15,6,ROW('Input Transaksi'!$B$5:$B$5000)/('Input Transaksi'!$B$5:$B$5000="JCL PEMOGAN"),ROWS($E$5:E155)),"")</f>
        <v/>
      </c>
      <c r="F155" s="5" t="n"/>
    </row>
    <row r="156">
      <c r="A156" s="10">
        <f>IF($E156="","",INDEX('Input Transaksi'!$A:$A,$E156))</f>
        <v/>
      </c>
      <c r="B156" s="5">
        <f>IF($E156="","",INDEX('Input Transaksi'!$D:$D,$E156))</f>
        <v/>
      </c>
      <c r="C156">
        <f>IF($E156="","",INDEX('Input Transaksi'!$E:$E,$E156))</f>
        <v/>
      </c>
      <c r="D156" s="5">
        <f>IF($E156="","",INDEX('Input Transaksi'!$F:$F,$E156))</f>
        <v/>
      </c>
      <c r="E156">
        <f>IFERROR(AGGREGATE(15,6,ROW('Input Transaksi'!$B$5:$B$5000)/('Input Transaksi'!$B$5:$B$5000="JCL PEMOGAN"),ROWS($E$5:E156)),"")</f>
        <v/>
      </c>
      <c r="F156" s="5" t="n"/>
    </row>
    <row r="157">
      <c r="A157" s="10">
        <f>IF($E157="","",INDEX('Input Transaksi'!$A:$A,$E157))</f>
        <v/>
      </c>
      <c r="B157" s="5">
        <f>IF($E157="","",INDEX('Input Transaksi'!$D:$D,$E157))</f>
        <v/>
      </c>
      <c r="C157">
        <f>IF($E157="","",INDEX('Input Transaksi'!$E:$E,$E157))</f>
        <v/>
      </c>
      <c r="D157" s="5">
        <f>IF($E157="","",INDEX('Input Transaksi'!$F:$F,$E157))</f>
        <v/>
      </c>
      <c r="E157">
        <f>IFERROR(AGGREGATE(15,6,ROW('Input Transaksi'!$B$5:$B$5000)/('Input Transaksi'!$B$5:$B$5000="JCL PEMOGAN"),ROWS($E$5:E157)),"")</f>
        <v/>
      </c>
      <c r="F157" s="5" t="n"/>
    </row>
    <row r="158">
      <c r="A158" s="10">
        <f>IF($E158="","",INDEX('Input Transaksi'!$A:$A,$E158))</f>
        <v/>
      </c>
      <c r="B158" s="5">
        <f>IF($E158="","",INDEX('Input Transaksi'!$D:$D,$E158))</f>
        <v/>
      </c>
      <c r="C158">
        <f>IF($E158="","",INDEX('Input Transaksi'!$E:$E,$E158))</f>
        <v/>
      </c>
      <c r="D158" s="5">
        <f>IF($E158="","",INDEX('Input Transaksi'!$F:$F,$E158))</f>
        <v/>
      </c>
      <c r="E158">
        <f>IFERROR(AGGREGATE(15,6,ROW('Input Transaksi'!$B$5:$B$5000)/('Input Transaksi'!$B$5:$B$5000="JCL PEMOGAN"),ROWS($E$5:E158)),"")</f>
        <v/>
      </c>
      <c r="F158" s="5" t="n"/>
    </row>
    <row r="159">
      <c r="A159" s="10">
        <f>IF($E159="","",INDEX('Input Transaksi'!$A:$A,$E159))</f>
        <v/>
      </c>
      <c r="B159" s="5">
        <f>IF($E159="","",INDEX('Input Transaksi'!$D:$D,$E159))</f>
        <v/>
      </c>
      <c r="C159">
        <f>IF($E159="","",INDEX('Input Transaksi'!$E:$E,$E159))</f>
        <v/>
      </c>
      <c r="D159" s="5">
        <f>IF($E159="","",INDEX('Input Transaksi'!$F:$F,$E159))</f>
        <v/>
      </c>
      <c r="E159">
        <f>IFERROR(AGGREGATE(15,6,ROW('Input Transaksi'!$B$5:$B$5000)/('Input Transaksi'!$B$5:$B$5000="JCL PEMOGAN"),ROWS($E$5:E159)),"")</f>
        <v/>
      </c>
      <c r="F159" s="5" t="n"/>
    </row>
    <row r="160">
      <c r="A160" s="10">
        <f>IF($E160="","",INDEX('Input Transaksi'!$A:$A,$E160))</f>
        <v/>
      </c>
      <c r="B160" s="5">
        <f>IF($E160="","",INDEX('Input Transaksi'!$D:$D,$E160))</f>
        <v/>
      </c>
      <c r="C160">
        <f>IF($E160="","",INDEX('Input Transaksi'!$E:$E,$E160))</f>
        <v/>
      </c>
      <c r="D160" s="5">
        <f>IF($E160="","",INDEX('Input Transaksi'!$F:$F,$E160))</f>
        <v/>
      </c>
      <c r="E160">
        <f>IFERROR(AGGREGATE(15,6,ROW('Input Transaksi'!$B$5:$B$5000)/('Input Transaksi'!$B$5:$B$5000="JCL PEMOGAN"),ROWS($E$5:E160)),"")</f>
        <v/>
      </c>
      <c r="F160" s="5" t="n"/>
    </row>
    <row r="161">
      <c r="A161" s="10">
        <f>IF($E161="","",INDEX('Input Transaksi'!$A:$A,$E161))</f>
        <v/>
      </c>
      <c r="B161" s="5">
        <f>IF($E161="","",INDEX('Input Transaksi'!$D:$D,$E161))</f>
        <v/>
      </c>
      <c r="C161">
        <f>IF($E161="","",INDEX('Input Transaksi'!$E:$E,$E161))</f>
        <v/>
      </c>
      <c r="D161" s="5">
        <f>IF($E161="","",INDEX('Input Transaksi'!$F:$F,$E161))</f>
        <v/>
      </c>
      <c r="E161">
        <f>IFERROR(AGGREGATE(15,6,ROW('Input Transaksi'!$B$5:$B$5000)/('Input Transaksi'!$B$5:$B$5000="JCL PEMOGAN"),ROWS($E$5:E161)),"")</f>
        <v/>
      </c>
      <c r="F161" s="5" t="n"/>
    </row>
    <row r="162">
      <c r="A162" s="10">
        <f>IF($E162="","",INDEX('Input Transaksi'!$A:$A,$E162))</f>
        <v/>
      </c>
      <c r="B162" s="5">
        <f>IF($E162="","",INDEX('Input Transaksi'!$D:$D,$E162))</f>
        <v/>
      </c>
      <c r="C162">
        <f>IF($E162="","",INDEX('Input Transaksi'!$E:$E,$E162))</f>
        <v/>
      </c>
      <c r="D162" s="5">
        <f>IF($E162="","",INDEX('Input Transaksi'!$F:$F,$E162))</f>
        <v/>
      </c>
      <c r="E162">
        <f>IFERROR(AGGREGATE(15,6,ROW('Input Transaksi'!$B$5:$B$5000)/('Input Transaksi'!$B$5:$B$5000="JCL PEMOGAN"),ROWS($E$5:E162)),"")</f>
        <v/>
      </c>
      <c r="F162" s="5" t="n"/>
    </row>
    <row r="163">
      <c r="A163" s="10">
        <f>IF($E163="","",INDEX('Input Transaksi'!$A:$A,$E163))</f>
        <v/>
      </c>
      <c r="B163" s="5">
        <f>IF($E163="","",INDEX('Input Transaksi'!$D:$D,$E163))</f>
        <v/>
      </c>
      <c r="C163">
        <f>IF($E163="","",INDEX('Input Transaksi'!$E:$E,$E163))</f>
        <v/>
      </c>
      <c r="D163" s="5">
        <f>IF($E163="","",INDEX('Input Transaksi'!$F:$F,$E163))</f>
        <v/>
      </c>
      <c r="E163">
        <f>IFERROR(AGGREGATE(15,6,ROW('Input Transaksi'!$B$5:$B$5000)/('Input Transaksi'!$B$5:$B$5000="JCL PEMOGAN"),ROWS($E$5:E163)),"")</f>
        <v/>
      </c>
      <c r="F163" s="5" t="n"/>
    </row>
    <row r="164">
      <c r="A164" s="10">
        <f>IF($E164="","",INDEX('Input Transaksi'!$A:$A,$E164))</f>
        <v/>
      </c>
      <c r="B164" s="5">
        <f>IF($E164="","",INDEX('Input Transaksi'!$D:$D,$E164))</f>
        <v/>
      </c>
      <c r="C164">
        <f>IF($E164="","",INDEX('Input Transaksi'!$E:$E,$E164))</f>
        <v/>
      </c>
      <c r="D164" s="5">
        <f>IF($E164="","",INDEX('Input Transaksi'!$F:$F,$E164))</f>
        <v/>
      </c>
      <c r="E164">
        <f>IFERROR(AGGREGATE(15,6,ROW('Input Transaksi'!$B$5:$B$5000)/('Input Transaksi'!$B$5:$B$5000="JCL PEMOGAN"),ROWS($E$5:E164)),"")</f>
        <v/>
      </c>
      <c r="F164" s="5" t="n"/>
    </row>
    <row r="165">
      <c r="A165" s="10">
        <f>IF($E165="","",INDEX('Input Transaksi'!$A:$A,$E165))</f>
        <v/>
      </c>
      <c r="B165" s="5">
        <f>IF($E165="","",INDEX('Input Transaksi'!$D:$D,$E165))</f>
        <v/>
      </c>
      <c r="C165">
        <f>IF($E165="","",INDEX('Input Transaksi'!$E:$E,$E165))</f>
        <v/>
      </c>
      <c r="D165" s="5">
        <f>IF($E165="","",INDEX('Input Transaksi'!$F:$F,$E165))</f>
        <v/>
      </c>
      <c r="E165">
        <f>IFERROR(AGGREGATE(15,6,ROW('Input Transaksi'!$B$5:$B$5000)/('Input Transaksi'!$B$5:$B$5000="JCL PEMOGAN"),ROWS($E$5:E165)),"")</f>
        <v/>
      </c>
      <c r="F165" s="5" t="n"/>
    </row>
    <row r="166">
      <c r="A166" s="10">
        <f>IF($E166="","",INDEX('Input Transaksi'!$A:$A,$E166))</f>
        <v/>
      </c>
      <c r="B166" s="5">
        <f>IF($E166="","",INDEX('Input Transaksi'!$D:$D,$E166))</f>
        <v/>
      </c>
      <c r="C166">
        <f>IF($E166="","",INDEX('Input Transaksi'!$E:$E,$E166))</f>
        <v/>
      </c>
      <c r="D166" s="5">
        <f>IF($E166="","",INDEX('Input Transaksi'!$F:$F,$E166))</f>
        <v/>
      </c>
      <c r="E166">
        <f>IFERROR(AGGREGATE(15,6,ROW('Input Transaksi'!$B$5:$B$5000)/('Input Transaksi'!$B$5:$B$5000="JCL PEMOGAN"),ROWS($E$5:E166)),"")</f>
        <v/>
      </c>
      <c r="F166" s="5" t="n"/>
    </row>
    <row r="167">
      <c r="A167" s="10">
        <f>IF($E167="","",INDEX('Input Transaksi'!$A:$A,$E167))</f>
        <v/>
      </c>
      <c r="B167" s="5">
        <f>IF($E167="","",INDEX('Input Transaksi'!$D:$D,$E167))</f>
        <v/>
      </c>
      <c r="C167">
        <f>IF($E167="","",INDEX('Input Transaksi'!$E:$E,$E167))</f>
        <v/>
      </c>
      <c r="D167" s="5">
        <f>IF($E167="","",INDEX('Input Transaksi'!$F:$F,$E167))</f>
        <v/>
      </c>
      <c r="E167">
        <f>IFERROR(AGGREGATE(15,6,ROW('Input Transaksi'!$B$5:$B$5000)/('Input Transaksi'!$B$5:$B$5000="JCL PEMOGAN"),ROWS($E$5:E167)),"")</f>
        <v/>
      </c>
      <c r="F167" s="5" t="n"/>
    </row>
    <row r="168">
      <c r="A168" s="10">
        <f>IF($E168="","",INDEX('Input Transaksi'!$A:$A,$E168))</f>
        <v/>
      </c>
      <c r="B168" s="5">
        <f>IF($E168="","",INDEX('Input Transaksi'!$D:$D,$E168))</f>
        <v/>
      </c>
      <c r="C168">
        <f>IF($E168="","",INDEX('Input Transaksi'!$E:$E,$E168))</f>
        <v/>
      </c>
      <c r="D168" s="5">
        <f>IF($E168="","",INDEX('Input Transaksi'!$F:$F,$E168))</f>
        <v/>
      </c>
      <c r="E168">
        <f>IFERROR(AGGREGATE(15,6,ROW('Input Transaksi'!$B$5:$B$5000)/('Input Transaksi'!$B$5:$B$5000="JCL PEMOGAN"),ROWS($E$5:E168)),"")</f>
        <v/>
      </c>
      <c r="F168" s="5" t="n"/>
    </row>
    <row r="169">
      <c r="A169" s="10">
        <f>IF($E169="","",INDEX('Input Transaksi'!$A:$A,$E169))</f>
        <v/>
      </c>
      <c r="B169" s="5">
        <f>IF($E169="","",INDEX('Input Transaksi'!$D:$D,$E169))</f>
        <v/>
      </c>
      <c r="C169">
        <f>IF($E169="","",INDEX('Input Transaksi'!$E:$E,$E169))</f>
        <v/>
      </c>
      <c r="D169" s="5">
        <f>IF($E169="","",INDEX('Input Transaksi'!$F:$F,$E169))</f>
        <v/>
      </c>
      <c r="E169">
        <f>IFERROR(AGGREGATE(15,6,ROW('Input Transaksi'!$B$5:$B$5000)/('Input Transaksi'!$B$5:$B$5000="JCL PEMOGAN"),ROWS($E$5:E169)),"")</f>
        <v/>
      </c>
      <c r="F169" s="5" t="n"/>
    </row>
    <row r="170">
      <c r="A170" s="10">
        <f>IF($E170="","",INDEX('Input Transaksi'!$A:$A,$E170))</f>
        <v/>
      </c>
      <c r="B170" s="5">
        <f>IF($E170="","",INDEX('Input Transaksi'!$D:$D,$E170))</f>
        <v/>
      </c>
      <c r="C170">
        <f>IF($E170="","",INDEX('Input Transaksi'!$E:$E,$E170))</f>
        <v/>
      </c>
      <c r="D170" s="5">
        <f>IF($E170="","",INDEX('Input Transaksi'!$F:$F,$E170))</f>
        <v/>
      </c>
      <c r="E170">
        <f>IFERROR(AGGREGATE(15,6,ROW('Input Transaksi'!$B$5:$B$5000)/('Input Transaksi'!$B$5:$B$5000="JCL PEMOGAN"),ROWS($E$5:E170)),"")</f>
        <v/>
      </c>
      <c r="F170" s="5" t="n"/>
    </row>
    <row r="171">
      <c r="A171" s="10">
        <f>IF($E171="","",INDEX('Input Transaksi'!$A:$A,$E171))</f>
        <v/>
      </c>
      <c r="B171" s="5">
        <f>IF($E171="","",INDEX('Input Transaksi'!$D:$D,$E171))</f>
        <v/>
      </c>
      <c r="C171">
        <f>IF($E171="","",INDEX('Input Transaksi'!$E:$E,$E171))</f>
        <v/>
      </c>
      <c r="D171" s="5">
        <f>IF($E171="","",INDEX('Input Transaksi'!$F:$F,$E171))</f>
        <v/>
      </c>
      <c r="E171">
        <f>IFERROR(AGGREGATE(15,6,ROW('Input Transaksi'!$B$5:$B$5000)/('Input Transaksi'!$B$5:$B$5000="JCL PEMOGAN"),ROWS($E$5:E171)),"")</f>
        <v/>
      </c>
      <c r="F171" s="5" t="n"/>
    </row>
    <row r="172">
      <c r="A172" s="10">
        <f>IF($E172="","",INDEX('Input Transaksi'!$A:$A,$E172))</f>
        <v/>
      </c>
      <c r="B172" s="5">
        <f>IF($E172="","",INDEX('Input Transaksi'!$D:$D,$E172))</f>
        <v/>
      </c>
      <c r="C172">
        <f>IF($E172="","",INDEX('Input Transaksi'!$E:$E,$E172))</f>
        <v/>
      </c>
      <c r="D172" s="5">
        <f>IF($E172="","",INDEX('Input Transaksi'!$F:$F,$E172))</f>
        <v/>
      </c>
      <c r="E172">
        <f>IFERROR(AGGREGATE(15,6,ROW('Input Transaksi'!$B$5:$B$5000)/('Input Transaksi'!$B$5:$B$5000="JCL PEMOGAN"),ROWS($E$5:E172)),"")</f>
        <v/>
      </c>
      <c r="F172" s="5" t="n"/>
    </row>
    <row r="173">
      <c r="A173" s="10">
        <f>IF($E173="","",INDEX('Input Transaksi'!$A:$A,$E173))</f>
        <v/>
      </c>
      <c r="B173" s="5">
        <f>IF($E173="","",INDEX('Input Transaksi'!$D:$D,$E173))</f>
        <v/>
      </c>
      <c r="C173">
        <f>IF($E173="","",INDEX('Input Transaksi'!$E:$E,$E173))</f>
        <v/>
      </c>
      <c r="D173" s="5">
        <f>IF($E173="","",INDEX('Input Transaksi'!$F:$F,$E173))</f>
        <v/>
      </c>
      <c r="E173">
        <f>IFERROR(AGGREGATE(15,6,ROW('Input Transaksi'!$B$5:$B$5000)/('Input Transaksi'!$B$5:$B$5000="JCL PEMOGAN"),ROWS($E$5:E173)),"")</f>
        <v/>
      </c>
      <c r="F173" s="5" t="n"/>
    </row>
    <row r="174">
      <c r="A174" s="10">
        <f>IF($E174="","",INDEX('Input Transaksi'!$A:$A,$E174))</f>
        <v/>
      </c>
      <c r="B174" s="5">
        <f>IF($E174="","",INDEX('Input Transaksi'!$D:$D,$E174))</f>
        <v/>
      </c>
      <c r="C174">
        <f>IF($E174="","",INDEX('Input Transaksi'!$E:$E,$E174))</f>
        <v/>
      </c>
      <c r="D174" s="5">
        <f>IF($E174="","",INDEX('Input Transaksi'!$F:$F,$E174))</f>
        <v/>
      </c>
      <c r="E174">
        <f>IFERROR(AGGREGATE(15,6,ROW('Input Transaksi'!$B$5:$B$5000)/('Input Transaksi'!$B$5:$B$5000="JCL PEMOGAN"),ROWS($E$5:E174)),"")</f>
        <v/>
      </c>
      <c r="F174" s="5" t="n"/>
    </row>
    <row r="175">
      <c r="A175" s="10">
        <f>IF($E175="","",INDEX('Input Transaksi'!$A:$A,$E175))</f>
        <v/>
      </c>
      <c r="B175" s="5">
        <f>IF($E175="","",INDEX('Input Transaksi'!$D:$D,$E175))</f>
        <v/>
      </c>
      <c r="C175">
        <f>IF($E175="","",INDEX('Input Transaksi'!$E:$E,$E175))</f>
        <v/>
      </c>
      <c r="D175" s="5">
        <f>IF($E175="","",INDEX('Input Transaksi'!$F:$F,$E175))</f>
        <v/>
      </c>
      <c r="E175">
        <f>IFERROR(AGGREGATE(15,6,ROW('Input Transaksi'!$B$5:$B$5000)/('Input Transaksi'!$B$5:$B$5000="JCL PEMOGAN"),ROWS($E$5:E175)),"")</f>
        <v/>
      </c>
      <c r="F175" s="5" t="n"/>
    </row>
    <row r="176">
      <c r="A176" s="10">
        <f>IF($E176="","",INDEX('Input Transaksi'!$A:$A,$E176))</f>
        <v/>
      </c>
      <c r="B176" s="5">
        <f>IF($E176="","",INDEX('Input Transaksi'!$D:$D,$E176))</f>
        <v/>
      </c>
      <c r="C176">
        <f>IF($E176="","",INDEX('Input Transaksi'!$E:$E,$E176))</f>
        <v/>
      </c>
      <c r="D176" s="5">
        <f>IF($E176="","",INDEX('Input Transaksi'!$F:$F,$E176))</f>
        <v/>
      </c>
      <c r="E176">
        <f>IFERROR(AGGREGATE(15,6,ROW('Input Transaksi'!$B$5:$B$5000)/('Input Transaksi'!$B$5:$B$5000="JCL PEMOGAN"),ROWS($E$5:E176)),"")</f>
        <v/>
      </c>
      <c r="F176" s="5" t="n"/>
    </row>
    <row r="177">
      <c r="A177" s="10">
        <f>IF($E177="","",INDEX('Input Transaksi'!$A:$A,$E177))</f>
        <v/>
      </c>
      <c r="B177" s="5">
        <f>IF($E177="","",INDEX('Input Transaksi'!$D:$D,$E177))</f>
        <v/>
      </c>
      <c r="C177">
        <f>IF($E177="","",INDEX('Input Transaksi'!$E:$E,$E177))</f>
        <v/>
      </c>
      <c r="D177" s="5">
        <f>IF($E177="","",INDEX('Input Transaksi'!$F:$F,$E177))</f>
        <v/>
      </c>
      <c r="E177">
        <f>IFERROR(AGGREGATE(15,6,ROW('Input Transaksi'!$B$5:$B$5000)/('Input Transaksi'!$B$5:$B$5000="JCL PEMOGAN"),ROWS($E$5:E177)),"")</f>
        <v/>
      </c>
      <c r="F177" s="5" t="n"/>
    </row>
    <row r="178">
      <c r="A178" s="10">
        <f>IF($E178="","",INDEX('Input Transaksi'!$A:$A,$E178))</f>
        <v/>
      </c>
      <c r="B178" s="5">
        <f>IF($E178="","",INDEX('Input Transaksi'!$D:$D,$E178))</f>
        <v/>
      </c>
      <c r="C178">
        <f>IF($E178="","",INDEX('Input Transaksi'!$E:$E,$E178))</f>
        <v/>
      </c>
      <c r="D178" s="5">
        <f>IF($E178="","",INDEX('Input Transaksi'!$F:$F,$E178))</f>
        <v/>
      </c>
      <c r="E178">
        <f>IFERROR(AGGREGATE(15,6,ROW('Input Transaksi'!$B$5:$B$5000)/('Input Transaksi'!$B$5:$B$5000="JCL PEMOGAN"),ROWS($E$5:E178)),"")</f>
        <v/>
      </c>
      <c r="F178" s="5" t="n"/>
    </row>
    <row r="179">
      <c r="A179" s="10">
        <f>IF($E179="","",INDEX('Input Transaksi'!$A:$A,$E179))</f>
        <v/>
      </c>
      <c r="B179" s="5">
        <f>IF($E179="","",INDEX('Input Transaksi'!$D:$D,$E179))</f>
        <v/>
      </c>
      <c r="C179">
        <f>IF($E179="","",INDEX('Input Transaksi'!$E:$E,$E179))</f>
        <v/>
      </c>
      <c r="D179" s="5">
        <f>IF($E179="","",INDEX('Input Transaksi'!$F:$F,$E179))</f>
        <v/>
      </c>
      <c r="E179">
        <f>IFERROR(AGGREGATE(15,6,ROW('Input Transaksi'!$B$5:$B$5000)/('Input Transaksi'!$B$5:$B$5000="JCL PEMOGAN"),ROWS($E$5:E179)),"")</f>
        <v/>
      </c>
      <c r="F179" s="5" t="n"/>
    </row>
    <row r="180">
      <c r="A180" s="10">
        <f>IF($E180="","",INDEX('Input Transaksi'!$A:$A,$E180))</f>
        <v/>
      </c>
      <c r="B180" s="5">
        <f>IF($E180="","",INDEX('Input Transaksi'!$D:$D,$E180))</f>
        <v/>
      </c>
      <c r="C180">
        <f>IF($E180="","",INDEX('Input Transaksi'!$E:$E,$E180))</f>
        <v/>
      </c>
      <c r="D180" s="5">
        <f>IF($E180="","",INDEX('Input Transaksi'!$F:$F,$E180))</f>
        <v/>
      </c>
      <c r="E180">
        <f>IFERROR(AGGREGATE(15,6,ROW('Input Transaksi'!$B$5:$B$5000)/('Input Transaksi'!$B$5:$B$5000="JCL PEMOGAN"),ROWS($E$5:E180)),"")</f>
        <v/>
      </c>
      <c r="F180" s="5" t="n"/>
    </row>
    <row r="181">
      <c r="A181" s="10">
        <f>IF($E181="","",INDEX('Input Transaksi'!$A:$A,$E181))</f>
        <v/>
      </c>
      <c r="B181" s="5">
        <f>IF($E181="","",INDEX('Input Transaksi'!$D:$D,$E181))</f>
        <v/>
      </c>
      <c r="C181">
        <f>IF($E181="","",INDEX('Input Transaksi'!$E:$E,$E181))</f>
        <v/>
      </c>
      <c r="D181" s="5">
        <f>IF($E181="","",INDEX('Input Transaksi'!$F:$F,$E181))</f>
        <v/>
      </c>
      <c r="E181">
        <f>IFERROR(AGGREGATE(15,6,ROW('Input Transaksi'!$B$5:$B$5000)/('Input Transaksi'!$B$5:$B$5000="JCL PEMOGAN"),ROWS($E$5:E181)),"")</f>
        <v/>
      </c>
      <c r="F181" s="5" t="n"/>
    </row>
    <row r="182">
      <c r="A182" s="10">
        <f>IF($E182="","",INDEX('Input Transaksi'!$A:$A,$E182))</f>
        <v/>
      </c>
      <c r="B182" s="5">
        <f>IF($E182="","",INDEX('Input Transaksi'!$D:$D,$E182))</f>
        <v/>
      </c>
      <c r="C182">
        <f>IF($E182="","",INDEX('Input Transaksi'!$E:$E,$E182))</f>
        <v/>
      </c>
      <c r="D182" s="5">
        <f>IF($E182="","",INDEX('Input Transaksi'!$F:$F,$E182))</f>
        <v/>
      </c>
      <c r="E182">
        <f>IFERROR(AGGREGATE(15,6,ROW('Input Transaksi'!$B$5:$B$5000)/('Input Transaksi'!$B$5:$B$5000="JCL PEMOGAN"),ROWS($E$5:E182)),"")</f>
        <v/>
      </c>
      <c r="F182" s="5" t="n"/>
    </row>
    <row r="183">
      <c r="A183" s="10">
        <f>IF($E183="","",INDEX('Input Transaksi'!$A:$A,$E183))</f>
        <v/>
      </c>
      <c r="B183" s="5">
        <f>IF($E183="","",INDEX('Input Transaksi'!$D:$D,$E183))</f>
        <v/>
      </c>
      <c r="C183">
        <f>IF($E183="","",INDEX('Input Transaksi'!$E:$E,$E183))</f>
        <v/>
      </c>
      <c r="D183" s="5">
        <f>IF($E183="","",INDEX('Input Transaksi'!$F:$F,$E183))</f>
        <v/>
      </c>
      <c r="E183">
        <f>IFERROR(AGGREGATE(15,6,ROW('Input Transaksi'!$B$5:$B$5000)/('Input Transaksi'!$B$5:$B$5000="JCL PEMOGAN"),ROWS($E$5:E183)),"")</f>
        <v/>
      </c>
      <c r="F183" s="5" t="n"/>
    </row>
    <row r="184">
      <c r="A184" s="10">
        <f>IF($E184="","",INDEX('Input Transaksi'!$A:$A,$E184))</f>
        <v/>
      </c>
      <c r="B184" s="5">
        <f>IF($E184="","",INDEX('Input Transaksi'!$D:$D,$E184))</f>
        <v/>
      </c>
      <c r="C184">
        <f>IF($E184="","",INDEX('Input Transaksi'!$E:$E,$E184))</f>
        <v/>
      </c>
      <c r="D184" s="5">
        <f>IF($E184="","",INDEX('Input Transaksi'!$F:$F,$E184))</f>
        <v/>
      </c>
      <c r="E184">
        <f>IFERROR(AGGREGATE(15,6,ROW('Input Transaksi'!$B$5:$B$5000)/('Input Transaksi'!$B$5:$B$5000="JCL PEMOGAN"),ROWS($E$5:E184)),"")</f>
        <v/>
      </c>
      <c r="F184" s="5" t="n"/>
    </row>
    <row r="185">
      <c r="A185" s="10">
        <f>IF($E185="","",INDEX('Input Transaksi'!$A:$A,$E185))</f>
        <v/>
      </c>
      <c r="B185" s="5">
        <f>IF($E185="","",INDEX('Input Transaksi'!$D:$D,$E185))</f>
        <v/>
      </c>
      <c r="C185">
        <f>IF($E185="","",INDEX('Input Transaksi'!$E:$E,$E185))</f>
        <v/>
      </c>
      <c r="D185" s="5">
        <f>IF($E185="","",INDEX('Input Transaksi'!$F:$F,$E185))</f>
        <v/>
      </c>
      <c r="E185">
        <f>IFERROR(AGGREGATE(15,6,ROW('Input Transaksi'!$B$5:$B$5000)/('Input Transaksi'!$B$5:$B$5000="JCL PEMOGAN"),ROWS($E$5:E185)),"")</f>
        <v/>
      </c>
      <c r="F185" s="5" t="n"/>
    </row>
    <row r="186">
      <c r="A186" s="10">
        <f>IF($E186="","",INDEX('Input Transaksi'!$A:$A,$E186))</f>
        <v/>
      </c>
      <c r="B186" s="5">
        <f>IF($E186="","",INDEX('Input Transaksi'!$D:$D,$E186))</f>
        <v/>
      </c>
      <c r="C186">
        <f>IF($E186="","",INDEX('Input Transaksi'!$E:$E,$E186))</f>
        <v/>
      </c>
      <c r="D186" s="5">
        <f>IF($E186="","",INDEX('Input Transaksi'!$F:$F,$E186))</f>
        <v/>
      </c>
      <c r="E186">
        <f>IFERROR(AGGREGATE(15,6,ROW('Input Transaksi'!$B$5:$B$5000)/('Input Transaksi'!$B$5:$B$5000="JCL PEMOGAN"),ROWS($E$5:E186)),"")</f>
        <v/>
      </c>
      <c r="F186" s="5" t="n"/>
    </row>
    <row r="187">
      <c r="A187" s="10">
        <f>IF($E187="","",INDEX('Input Transaksi'!$A:$A,$E187))</f>
        <v/>
      </c>
      <c r="B187" s="5">
        <f>IF($E187="","",INDEX('Input Transaksi'!$D:$D,$E187))</f>
        <v/>
      </c>
      <c r="C187">
        <f>IF($E187="","",INDEX('Input Transaksi'!$E:$E,$E187))</f>
        <v/>
      </c>
      <c r="D187" s="5">
        <f>IF($E187="","",INDEX('Input Transaksi'!$F:$F,$E187))</f>
        <v/>
      </c>
      <c r="E187">
        <f>IFERROR(AGGREGATE(15,6,ROW('Input Transaksi'!$B$5:$B$5000)/('Input Transaksi'!$B$5:$B$5000="JCL PEMOGAN"),ROWS($E$5:E187)),"")</f>
        <v/>
      </c>
      <c r="F187" s="5" t="n"/>
    </row>
    <row r="188">
      <c r="A188" s="10">
        <f>IF($E188="","",INDEX('Input Transaksi'!$A:$A,$E188))</f>
        <v/>
      </c>
      <c r="B188" s="5">
        <f>IF($E188="","",INDEX('Input Transaksi'!$D:$D,$E188))</f>
        <v/>
      </c>
      <c r="C188">
        <f>IF($E188="","",INDEX('Input Transaksi'!$E:$E,$E188))</f>
        <v/>
      </c>
      <c r="D188" s="5">
        <f>IF($E188="","",INDEX('Input Transaksi'!$F:$F,$E188))</f>
        <v/>
      </c>
      <c r="E188">
        <f>IFERROR(AGGREGATE(15,6,ROW('Input Transaksi'!$B$5:$B$5000)/('Input Transaksi'!$B$5:$B$5000="JCL PEMOGAN"),ROWS($E$5:E188)),"")</f>
        <v/>
      </c>
      <c r="F188" s="5" t="n"/>
    </row>
    <row r="189">
      <c r="A189" s="10">
        <f>IF($E189="","",INDEX('Input Transaksi'!$A:$A,$E189))</f>
        <v/>
      </c>
      <c r="B189" s="5">
        <f>IF($E189="","",INDEX('Input Transaksi'!$D:$D,$E189))</f>
        <v/>
      </c>
      <c r="C189">
        <f>IF($E189="","",INDEX('Input Transaksi'!$E:$E,$E189))</f>
        <v/>
      </c>
      <c r="D189" s="5">
        <f>IF($E189="","",INDEX('Input Transaksi'!$F:$F,$E189))</f>
        <v/>
      </c>
      <c r="E189">
        <f>IFERROR(AGGREGATE(15,6,ROW('Input Transaksi'!$B$5:$B$5000)/('Input Transaksi'!$B$5:$B$5000="JCL PEMOGAN"),ROWS($E$5:E189)),"")</f>
        <v/>
      </c>
      <c r="F189" s="5" t="n"/>
    </row>
    <row r="190">
      <c r="A190" s="10">
        <f>IF($E190="","",INDEX('Input Transaksi'!$A:$A,$E190))</f>
        <v/>
      </c>
      <c r="B190" s="5">
        <f>IF($E190="","",INDEX('Input Transaksi'!$D:$D,$E190))</f>
        <v/>
      </c>
      <c r="C190">
        <f>IF($E190="","",INDEX('Input Transaksi'!$E:$E,$E190))</f>
        <v/>
      </c>
      <c r="D190" s="5">
        <f>IF($E190="","",INDEX('Input Transaksi'!$F:$F,$E190))</f>
        <v/>
      </c>
      <c r="E190">
        <f>IFERROR(AGGREGATE(15,6,ROW('Input Transaksi'!$B$5:$B$5000)/('Input Transaksi'!$B$5:$B$5000="JCL PEMOGAN"),ROWS($E$5:E190)),"")</f>
        <v/>
      </c>
      <c r="F190" s="5" t="n"/>
    </row>
    <row r="191">
      <c r="A191" s="10">
        <f>IF($E191="","",INDEX('Input Transaksi'!$A:$A,$E191))</f>
        <v/>
      </c>
      <c r="B191" s="5">
        <f>IF($E191="","",INDEX('Input Transaksi'!$D:$D,$E191))</f>
        <v/>
      </c>
      <c r="C191">
        <f>IF($E191="","",INDEX('Input Transaksi'!$E:$E,$E191))</f>
        <v/>
      </c>
      <c r="D191" s="5">
        <f>IF($E191="","",INDEX('Input Transaksi'!$F:$F,$E191))</f>
        <v/>
      </c>
      <c r="E191">
        <f>IFERROR(AGGREGATE(15,6,ROW('Input Transaksi'!$B$5:$B$5000)/('Input Transaksi'!$B$5:$B$5000="JCL PEMOGAN"),ROWS($E$5:E191)),"")</f>
        <v/>
      </c>
      <c r="F191" s="5" t="n"/>
    </row>
    <row r="192">
      <c r="A192" s="10">
        <f>IF($E192="","",INDEX('Input Transaksi'!$A:$A,$E192))</f>
        <v/>
      </c>
      <c r="B192" s="5">
        <f>IF($E192="","",INDEX('Input Transaksi'!$D:$D,$E192))</f>
        <v/>
      </c>
      <c r="C192">
        <f>IF($E192="","",INDEX('Input Transaksi'!$E:$E,$E192))</f>
        <v/>
      </c>
      <c r="D192" s="5">
        <f>IF($E192="","",INDEX('Input Transaksi'!$F:$F,$E192))</f>
        <v/>
      </c>
      <c r="E192">
        <f>IFERROR(AGGREGATE(15,6,ROW('Input Transaksi'!$B$5:$B$5000)/('Input Transaksi'!$B$5:$B$5000="JCL PEMOGAN"),ROWS($E$5:E192)),"")</f>
        <v/>
      </c>
      <c r="F192" s="5" t="n"/>
    </row>
    <row r="193">
      <c r="A193" s="10">
        <f>IF($E193="","",INDEX('Input Transaksi'!$A:$A,$E193))</f>
        <v/>
      </c>
      <c r="B193" s="5">
        <f>IF($E193="","",INDEX('Input Transaksi'!$D:$D,$E193))</f>
        <v/>
      </c>
      <c r="C193">
        <f>IF($E193="","",INDEX('Input Transaksi'!$E:$E,$E193))</f>
        <v/>
      </c>
      <c r="D193" s="5">
        <f>IF($E193="","",INDEX('Input Transaksi'!$F:$F,$E193))</f>
        <v/>
      </c>
      <c r="E193">
        <f>IFERROR(AGGREGATE(15,6,ROW('Input Transaksi'!$B$5:$B$5000)/('Input Transaksi'!$B$5:$B$5000="JCL PEMOGAN"),ROWS($E$5:E193)),"")</f>
        <v/>
      </c>
      <c r="F193" s="5" t="n"/>
    </row>
    <row r="194">
      <c r="A194" s="10">
        <f>IF($E194="","",INDEX('Input Transaksi'!$A:$A,$E194))</f>
        <v/>
      </c>
      <c r="B194" s="5">
        <f>IF($E194="","",INDEX('Input Transaksi'!$D:$D,$E194))</f>
        <v/>
      </c>
      <c r="C194">
        <f>IF($E194="","",INDEX('Input Transaksi'!$E:$E,$E194))</f>
        <v/>
      </c>
      <c r="D194" s="5">
        <f>IF($E194="","",INDEX('Input Transaksi'!$F:$F,$E194))</f>
        <v/>
      </c>
      <c r="E194">
        <f>IFERROR(AGGREGATE(15,6,ROW('Input Transaksi'!$B$5:$B$5000)/('Input Transaksi'!$B$5:$B$5000="JCL PEMOGAN"),ROWS($E$5:E194)),"")</f>
        <v/>
      </c>
      <c r="F194" s="5" t="n"/>
    </row>
    <row r="195">
      <c r="A195" s="10">
        <f>IF($E195="","",INDEX('Input Transaksi'!$A:$A,$E195))</f>
        <v/>
      </c>
      <c r="B195" s="5">
        <f>IF($E195="","",INDEX('Input Transaksi'!$D:$D,$E195))</f>
        <v/>
      </c>
      <c r="C195">
        <f>IF($E195="","",INDEX('Input Transaksi'!$E:$E,$E195))</f>
        <v/>
      </c>
      <c r="D195" s="5">
        <f>IF($E195="","",INDEX('Input Transaksi'!$F:$F,$E195))</f>
        <v/>
      </c>
      <c r="E195">
        <f>IFERROR(AGGREGATE(15,6,ROW('Input Transaksi'!$B$5:$B$5000)/('Input Transaksi'!$B$5:$B$5000="JCL PEMOGAN"),ROWS($E$5:E195)),"")</f>
        <v/>
      </c>
      <c r="F195" s="5" t="n"/>
    </row>
    <row r="196">
      <c r="A196" s="10">
        <f>IF($E196="","",INDEX('Input Transaksi'!$A:$A,$E196))</f>
        <v/>
      </c>
      <c r="B196" s="5">
        <f>IF($E196="","",INDEX('Input Transaksi'!$D:$D,$E196))</f>
        <v/>
      </c>
      <c r="C196">
        <f>IF($E196="","",INDEX('Input Transaksi'!$E:$E,$E196))</f>
        <v/>
      </c>
      <c r="D196" s="5">
        <f>IF($E196="","",INDEX('Input Transaksi'!$F:$F,$E196))</f>
        <v/>
      </c>
      <c r="E196">
        <f>IFERROR(AGGREGATE(15,6,ROW('Input Transaksi'!$B$5:$B$5000)/('Input Transaksi'!$B$5:$B$5000="JCL PEMOGAN"),ROWS($E$5:E196)),"")</f>
        <v/>
      </c>
      <c r="F196" s="5" t="n"/>
    </row>
    <row r="197">
      <c r="A197" s="10">
        <f>IF($E197="","",INDEX('Input Transaksi'!$A:$A,$E197))</f>
        <v/>
      </c>
      <c r="B197" s="5">
        <f>IF($E197="","",INDEX('Input Transaksi'!$D:$D,$E197))</f>
        <v/>
      </c>
      <c r="C197">
        <f>IF($E197="","",INDEX('Input Transaksi'!$E:$E,$E197))</f>
        <v/>
      </c>
      <c r="D197" s="5">
        <f>IF($E197="","",INDEX('Input Transaksi'!$F:$F,$E197))</f>
        <v/>
      </c>
      <c r="E197">
        <f>IFERROR(AGGREGATE(15,6,ROW('Input Transaksi'!$B$5:$B$5000)/('Input Transaksi'!$B$5:$B$5000="JCL PEMOGAN"),ROWS($E$5:E197)),"")</f>
        <v/>
      </c>
      <c r="F197" s="5" t="n"/>
    </row>
    <row r="198">
      <c r="A198" s="10">
        <f>IF($E198="","",INDEX('Input Transaksi'!$A:$A,$E198))</f>
        <v/>
      </c>
      <c r="B198" s="5">
        <f>IF($E198="","",INDEX('Input Transaksi'!$D:$D,$E198))</f>
        <v/>
      </c>
      <c r="C198">
        <f>IF($E198="","",INDEX('Input Transaksi'!$E:$E,$E198))</f>
        <v/>
      </c>
      <c r="D198" s="5">
        <f>IF($E198="","",INDEX('Input Transaksi'!$F:$F,$E198))</f>
        <v/>
      </c>
      <c r="E198">
        <f>IFERROR(AGGREGATE(15,6,ROW('Input Transaksi'!$B$5:$B$5000)/('Input Transaksi'!$B$5:$B$5000="JCL PEMOGAN"),ROWS($E$5:E198)),"")</f>
        <v/>
      </c>
      <c r="F198" s="5" t="n"/>
    </row>
    <row r="199">
      <c r="A199" s="10">
        <f>IF($E199="","",INDEX('Input Transaksi'!$A:$A,$E199))</f>
        <v/>
      </c>
      <c r="B199" s="5">
        <f>IF($E199="","",INDEX('Input Transaksi'!$D:$D,$E199))</f>
        <v/>
      </c>
      <c r="C199">
        <f>IF($E199="","",INDEX('Input Transaksi'!$E:$E,$E199))</f>
        <v/>
      </c>
      <c r="D199" s="5">
        <f>IF($E199="","",INDEX('Input Transaksi'!$F:$F,$E199))</f>
        <v/>
      </c>
      <c r="E199">
        <f>IFERROR(AGGREGATE(15,6,ROW('Input Transaksi'!$B$5:$B$5000)/('Input Transaksi'!$B$5:$B$5000="JCL PEMOGAN"),ROWS($E$5:E199)),"")</f>
        <v/>
      </c>
      <c r="F199" s="5" t="n"/>
    </row>
    <row r="200">
      <c r="A200" s="10">
        <f>IF($E200="","",INDEX('Input Transaksi'!$A:$A,$E200))</f>
        <v/>
      </c>
      <c r="B200" s="5">
        <f>IF($E200="","",INDEX('Input Transaksi'!$D:$D,$E200))</f>
        <v/>
      </c>
      <c r="C200">
        <f>IF($E200="","",INDEX('Input Transaksi'!$E:$E,$E200))</f>
        <v/>
      </c>
      <c r="D200" s="5">
        <f>IF($E200="","",INDEX('Input Transaksi'!$F:$F,$E200))</f>
        <v/>
      </c>
      <c r="E200">
        <f>IFERROR(AGGREGATE(15,6,ROW('Input Transaksi'!$B$5:$B$5000)/('Input Transaksi'!$B$5:$B$5000="JCL PEMOGAN"),ROWS($E$5:E200)),"")</f>
        <v/>
      </c>
      <c r="F200" s="5" t="n"/>
    </row>
    <row r="201">
      <c r="A201" s="10">
        <f>IF($E201="","",INDEX('Input Transaksi'!$A:$A,$E201))</f>
        <v/>
      </c>
      <c r="B201" s="5">
        <f>IF($E201="","",INDEX('Input Transaksi'!$D:$D,$E201))</f>
        <v/>
      </c>
      <c r="C201">
        <f>IF($E201="","",INDEX('Input Transaksi'!$E:$E,$E201))</f>
        <v/>
      </c>
      <c r="D201" s="5">
        <f>IF($E201="","",INDEX('Input Transaksi'!$F:$F,$E201))</f>
        <v/>
      </c>
      <c r="E201">
        <f>IFERROR(AGGREGATE(15,6,ROW('Input Transaksi'!$B$5:$B$5000)/('Input Transaksi'!$B$5:$B$5000="JCL PEMOGAN"),ROWS($E$5:E201)),"")</f>
        <v/>
      </c>
      <c r="F201" s="5" t="n"/>
    </row>
    <row r="202">
      <c r="A202" s="10">
        <f>IF($E202="","",INDEX('Input Transaksi'!$A:$A,$E202))</f>
        <v/>
      </c>
      <c r="B202" s="5">
        <f>IF($E202="","",INDEX('Input Transaksi'!$D:$D,$E202))</f>
        <v/>
      </c>
      <c r="C202">
        <f>IF($E202="","",INDEX('Input Transaksi'!$E:$E,$E202))</f>
        <v/>
      </c>
      <c r="D202" s="5">
        <f>IF($E202="","",INDEX('Input Transaksi'!$F:$F,$E202))</f>
        <v/>
      </c>
      <c r="E202">
        <f>IFERROR(AGGREGATE(15,6,ROW('Input Transaksi'!$B$5:$B$5000)/('Input Transaksi'!$B$5:$B$5000="JCL PEMOGAN"),ROWS($E$5:E202)),"")</f>
        <v/>
      </c>
      <c r="F202" s="5" t="n"/>
    </row>
    <row r="203">
      <c r="A203" s="10">
        <f>IF($E203="","",INDEX('Input Transaksi'!$A:$A,$E203))</f>
        <v/>
      </c>
      <c r="B203" s="5">
        <f>IF($E203="","",INDEX('Input Transaksi'!$D:$D,$E203))</f>
        <v/>
      </c>
      <c r="C203">
        <f>IF($E203="","",INDEX('Input Transaksi'!$E:$E,$E203))</f>
        <v/>
      </c>
      <c r="D203" s="5">
        <f>IF($E203="","",INDEX('Input Transaksi'!$F:$F,$E203))</f>
        <v/>
      </c>
      <c r="E203">
        <f>IFERROR(AGGREGATE(15,6,ROW('Input Transaksi'!$B$5:$B$5000)/('Input Transaksi'!$B$5:$B$5000="JCL PEMOGAN"),ROWS($E$5:E203)),"")</f>
        <v/>
      </c>
      <c r="F203" s="5" t="n"/>
    </row>
    <row r="204">
      <c r="A204" s="10">
        <f>IF($E204="","",INDEX('Input Transaksi'!$A:$A,$E204))</f>
        <v/>
      </c>
      <c r="B204" s="5">
        <f>IF($E204="","",INDEX('Input Transaksi'!$D:$D,$E204))</f>
        <v/>
      </c>
      <c r="C204">
        <f>IF($E204="","",INDEX('Input Transaksi'!$E:$E,$E204))</f>
        <v/>
      </c>
      <c r="D204" s="5">
        <f>IF($E204="","",INDEX('Input Transaksi'!$F:$F,$E204))</f>
        <v/>
      </c>
      <c r="E204">
        <f>IFERROR(AGGREGATE(15,6,ROW('Input Transaksi'!$B$5:$B$5000)/('Input Transaksi'!$B$5:$B$5000="JCL PEMOGAN"),ROWS($E$5:E204)),"")</f>
        <v/>
      </c>
      <c r="F204" s="5" t="n"/>
    </row>
    <row r="205">
      <c r="A205" s="10">
        <f>IF($E205="","",INDEX('Input Transaksi'!$A:$A,$E205))</f>
        <v/>
      </c>
      <c r="B205" s="5">
        <f>IF($E205="","",INDEX('Input Transaksi'!$D:$D,$E205))</f>
        <v/>
      </c>
      <c r="C205">
        <f>IF($E205="","",INDEX('Input Transaksi'!$E:$E,$E205))</f>
        <v/>
      </c>
      <c r="D205" s="5">
        <f>IF($E205="","",INDEX('Input Transaksi'!$F:$F,$E205))</f>
        <v/>
      </c>
      <c r="E205">
        <f>IFERROR(AGGREGATE(15,6,ROW('Input Transaksi'!$B$5:$B$5000)/('Input Transaksi'!$B$5:$B$5000="JCL PEMOGAN"),ROWS($E$5:E205)),"")</f>
        <v/>
      </c>
      <c r="F205" s="5" t="n"/>
    </row>
    <row r="206">
      <c r="A206" s="10">
        <f>IF($E206="","",INDEX('Input Transaksi'!$A:$A,$E206))</f>
        <v/>
      </c>
      <c r="B206" s="5">
        <f>IF($E206="","",INDEX('Input Transaksi'!$D:$D,$E206))</f>
        <v/>
      </c>
      <c r="C206">
        <f>IF($E206="","",INDEX('Input Transaksi'!$E:$E,$E206))</f>
        <v/>
      </c>
      <c r="D206" s="5">
        <f>IF($E206="","",INDEX('Input Transaksi'!$F:$F,$E206))</f>
        <v/>
      </c>
      <c r="E206">
        <f>IFERROR(AGGREGATE(15,6,ROW('Input Transaksi'!$B$5:$B$5000)/('Input Transaksi'!$B$5:$B$5000="JCL PEMOGAN"),ROWS($E$5:E206)),"")</f>
        <v/>
      </c>
      <c r="F206" s="5" t="n"/>
    </row>
    <row r="207">
      <c r="A207" s="10">
        <f>IF($E207="","",INDEX('Input Transaksi'!$A:$A,$E207))</f>
        <v/>
      </c>
      <c r="B207" s="5">
        <f>IF($E207="","",INDEX('Input Transaksi'!$D:$D,$E207))</f>
        <v/>
      </c>
      <c r="C207">
        <f>IF($E207="","",INDEX('Input Transaksi'!$E:$E,$E207))</f>
        <v/>
      </c>
      <c r="D207" s="5">
        <f>IF($E207="","",INDEX('Input Transaksi'!$F:$F,$E207))</f>
        <v/>
      </c>
      <c r="E207">
        <f>IFERROR(AGGREGATE(15,6,ROW('Input Transaksi'!$B$5:$B$5000)/('Input Transaksi'!$B$5:$B$5000="JCL PEMOGAN"),ROWS($E$5:E207)),"")</f>
        <v/>
      </c>
      <c r="F207" s="5" t="n"/>
    </row>
    <row r="208">
      <c r="A208" s="10">
        <f>IF($E208="","",INDEX('Input Transaksi'!$A:$A,$E208))</f>
        <v/>
      </c>
      <c r="B208" s="5">
        <f>IF($E208="","",INDEX('Input Transaksi'!$D:$D,$E208))</f>
        <v/>
      </c>
      <c r="C208">
        <f>IF($E208="","",INDEX('Input Transaksi'!$E:$E,$E208))</f>
        <v/>
      </c>
      <c r="D208" s="5">
        <f>IF($E208="","",INDEX('Input Transaksi'!$F:$F,$E208))</f>
        <v/>
      </c>
      <c r="E208">
        <f>IFERROR(AGGREGATE(15,6,ROW('Input Transaksi'!$B$5:$B$5000)/('Input Transaksi'!$B$5:$B$5000="JCL PEMOGAN"),ROWS($E$5:E208)),"")</f>
        <v/>
      </c>
      <c r="F208" s="5" t="n"/>
    </row>
    <row r="209">
      <c r="A209" s="10">
        <f>IF($E209="","",INDEX('Input Transaksi'!$A:$A,$E209))</f>
        <v/>
      </c>
      <c r="B209" s="5">
        <f>IF($E209="","",INDEX('Input Transaksi'!$D:$D,$E209))</f>
        <v/>
      </c>
      <c r="C209">
        <f>IF($E209="","",INDEX('Input Transaksi'!$E:$E,$E209))</f>
        <v/>
      </c>
      <c r="D209" s="5">
        <f>IF($E209="","",INDEX('Input Transaksi'!$F:$F,$E209))</f>
        <v/>
      </c>
      <c r="E209">
        <f>IFERROR(AGGREGATE(15,6,ROW('Input Transaksi'!$B$5:$B$5000)/('Input Transaksi'!$B$5:$B$5000="JCL PEMOGAN"),ROWS($E$5:E209)),"")</f>
        <v/>
      </c>
      <c r="F209" s="5" t="n"/>
    </row>
    <row r="210">
      <c r="A210" s="10">
        <f>IF($E210="","",INDEX('Input Transaksi'!$A:$A,$E210))</f>
        <v/>
      </c>
      <c r="B210" s="5">
        <f>IF($E210="","",INDEX('Input Transaksi'!$D:$D,$E210))</f>
        <v/>
      </c>
      <c r="C210">
        <f>IF($E210="","",INDEX('Input Transaksi'!$E:$E,$E210))</f>
        <v/>
      </c>
      <c r="D210" s="5">
        <f>IF($E210="","",INDEX('Input Transaksi'!$F:$F,$E210))</f>
        <v/>
      </c>
      <c r="E210">
        <f>IFERROR(AGGREGATE(15,6,ROW('Input Transaksi'!$B$5:$B$5000)/('Input Transaksi'!$B$5:$B$5000="JCL PEMOGAN"),ROWS($E$5:E210)),"")</f>
        <v/>
      </c>
      <c r="F210" s="5" t="n"/>
    </row>
    <row r="211">
      <c r="A211" s="10">
        <f>IF($E211="","",INDEX('Input Transaksi'!$A:$A,$E211))</f>
        <v/>
      </c>
      <c r="B211" s="5">
        <f>IF($E211="","",INDEX('Input Transaksi'!$D:$D,$E211))</f>
        <v/>
      </c>
      <c r="C211">
        <f>IF($E211="","",INDEX('Input Transaksi'!$E:$E,$E211))</f>
        <v/>
      </c>
      <c r="D211" s="5">
        <f>IF($E211="","",INDEX('Input Transaksi'!$F:$F,$E211))</f>
        <v/>
      </c>
      <c r="E211">
        <f>IFERROR(AGGREGATE(15,6,ROW('Input Transaksi'!$B$5:$B$5000)/('Input Transaksi'!$B$5:$B$5000="JCL PEMOGAN"),ROWS($E$5:E211)),"")</f>
        <v/>
      </c>
      <c r="F211" s="5" t="n"/>
    </row>
    <row r="212">
      <c r="A212" s="10">
        <f>IF($E212="","",INDEX('Input Transaksi'!$A:$A,$E212))</f>
        <v/>
      </c>
      <c r="B212" s="5">
        <f>IF($E212="","",INDEX('Input Transaksi'!$D:$D,$E212))</f>
        <v/>
      </c>
      <c r="C212">
        <f>IF($E212="","",INDEX('Input Transaksi'!$E:$E,$E212))</f>
        <v/>
      </c>
      <c r="D212" s="5">
        <f>IF($E212="","",INDEX('Input Transaksi'!$F:$F,$E212))</f>
        <v/>
      </c>
      <c r="E212">
        <f>IFERROR(AGGREGATE(15,6,ROW('Input Transaksi'!$B$5:$B$5000)/('Input Transaksi'!$B$5:$B$5000="JCL PEMOGAN"),ROWS($E$5:E212)),"")</f>
        <v/>
      </c>
      <c r="F212" s="5" t="n"/>
    </row>
    <row r="213">
      <c r="A213" s="10">
        <f>IF($E213="","",INDEX('Input Transaksi'!$A:$A,$E213))</f>
        <v/>
      </c>
      <c r="B213" s="5">
        <f>IF($E213="","",INDEX('Input Transaksi'!$D:$D,$E213))</f>
        <v/>
      </c>
      <c r="C213">
        <f>IF($E213="","",INDEX('Input Transaksi'!$E:$E,$E213))</f>
        <v/>
      </c>
      <c r="D213" s="5">
        <f>IF($E213="","",INDEX('Input Transaksi'!$F:$F,$E213))</f>
        <v/>
      </c>
      <c r="E213">
        <f>IFERROR(AGGREGATE(15,6,ROW('Input Transaksi'!$B$5:$B$5000)/('Input Transaksi'!$B$5:$B$5000="JCL PEMOGAN"),ROWS($E$5:E213)),"")</f>
        <v/>
      </c>
      <c r="F213" s="5" t="n"/>
    </row>
    <row r="214">
      <c r="A214" s="10">
        <f>IF($E214="","",INDEX('Input Transaksi'!$A:$A,$E214))</f>
        <v/>
      </c>
      <c r="B214" s="5">
        <f>IF($E214="","",INDEX('Input Transaksi'!$D:$D,$E214))</f>
        <v/>
      </c>
      <c r="C214">
        <f>IF($E214="","",INDEX('Input Transaksi'!$E:$E,$E214))</f>
        <v/>
      </c>
      <c r="D214" s="5">
        <f>IF($E214="","",INDEX('Input Transaksi'!$F:$F,$E214))</f>
        <v/>
      </c>
      <c r="E214">
        <f>IFERROR(AGGREGATE(15,6,ROW('Input Transaksi'!$B$5:$B$5000)/('Input Transaksi'!$B$5:$B$5000="JCL PEMOGAN"),ROWS($E$5:E214)),"")</f>
        <v/>
      </c>
      <c r="F214" s="5" t="n"/>
    </row>
    <row r="215">
      <c r="A215" s="10">
        <f>IF($E215="","",INDEX('Input Transaksi'!$A:$A,$E215))</f>
        <v/>
      </c>
      <c r="B215" s="5">
        <f>IF($E215="","",INDEX('Input Transaksi'!$D:$D,$E215))</f>
        <v/>
      </c>
      <c r="C215">
        <f>IF($E215="","",INDEX('Input Transaksi'!$E:$E,$E215))</f>
        <v/>
      </c>
      <c r="D215" s="5">
        <f>IF($E215="","",INDEX('Input Transaksi'!$F:$F,$E215))</f>
        <v/>
      </c>
      <c r="E215">
        <f>IFERROR(AGGREGATE(15,6,ROW('Input Transaksi'!$B$5:$B$5000)/('Input Transaksi'!$B$5:$B$5000="JCL PEMOGAN"),ROWS($E$5:E215)),"")</f>
        <v/>
      </c>
      <c r="F215" s="5" t="n"/>
    </row>
    <row r="216">
      <c r="A216" s="10">
        <f>IF($E216="","",INDEX('Input Transaksi'!$A:$A,$E216))</f>
        <v/>
      </c>
      <c r="B216" s="5">
        <f>IF($E216="","",INDEX('Input Transaksi'!$D:$D,$E216))</f>
        <v/>
      </c>
      <c r="C216">
        <f>IF($E216="","",INDEX('Input Transaksi'!$E:$E,$E216))</f>
        <v/>
      </c>
      <c r="D216" s="5">
        <f>IF($E216="","",INDEX('Input Transaksi'!$F:$F,$E216))</f>
        <v/>
      </c>
      <c r="E216">
        <f>IFERROR(AGGREGATE(15,6,ROW('Input Transaksi'!$B$5:$B$5000)/('Input Transaksi'!$B$5:$B$5000="JCL PEMOGAN"),ROWS($E$5:E216)),"")</f>
        <v/>
      </c>
      <c r="F216" s="5" t="n"/>
    </row>
    <row r="217">
      <c r="A217" s="10">
        <f>IF($E217="","",INDEX('Input Transaksi'!$A:$A,$E217))</f>
        <v/>
      </c>
      <c r="B217" s="5">
        <f>IF($E217="","",INDEX('Input Transaksi'!$D:$D,$E217))</f>
        <v/>
      </c>
      <c r="C217">
        <f>IF($E217="","",INDEX('Input Transaksi'!$E:$E,$E217))</f>
        <v/>
      </c>
      <c r="D217" s="5">
        <f>IF($E217="","",INDEX('Input Transaksi'!$F:$F,$E217))</f>
        <v/>
      </c>
      <c r="E217">
        <f>IFERROR(AGGREGATE(15,6,ROW('Input Transaksi'!$B$5:$B$5000)/('Input Transaksi'!$B$5:$B$5000="JCL PEMOGAN"),ROWS($E$5:E217)),"")</f>
        <v/>
      </c>
      <c r="F217" s="5" t="n"/>
    </row>
    <row r="218">
      <c r="A218" s="10">
        <f>IF($E218="","",INDEX('Input Transaksi'!$A:$A,$E218))</f>
        <v/>
      </c>
      <c r="B218" s="5">
        <f>IF($E218="","",INDEX('Input Transaksi'!$D:$D,$E218))</f>
        <v/>
      </c>
      <c r="C218">
        <f>IF($E218="","",INDEX('Input Transaksi'!$E:$E,$E218))</f>
        <v/>
      </c>
      <c r="D218" s="5">
        <f>IF($E218="","",INDEX('Input Transaksi'!$F:$F,$E218))</f>
        <v/>
      </c>
      <c r="E218">
        <f>IFERROR(AGGREGATE(15,6,ROW('Input Transaksi'!$B$5:$B$5000)/('Input Transaksi'!$B$5:$B$5000="JCL PEMOGAN"),ROWS($E$5:E218)),"")</f>
        <v/>
      </c>
      <c r="F218" s="5" t="n"/>
    </row>
    <row r="219">
      <c r="A219" s="10">
        <f>IF($E219="","",INDEX('Input Transaksi'!$A:$A,$E219))</f>
        <v/>
      </c>
      <c r="B219" s="5">
        <f>IF($E219="","",INDEX('Input Transaksi'!$D:$D,$E219))</f>
        <v/>
      </c>
      <c r="C219">
        <f>IF($E219="","",INDEX('Input Transaksi'!$E:$E,$E219))</f>
        <v/>
      </c>
      <c r="D219" s="5">
        <f>IF($E219="","",INDEX('Input Transaksi'!$F:$F,$E219))</f>
        <v/>
      </c>
      <c r="E219">
        <f>IFERROR(AGGREGATE(15,6,ROW('Input Transaksi'!$B$5:$B$5000)/('Input Transaksi'!$B$5:$B$5000="JCL PEMOGAN"),ROWS($E$5:E219)),"")</f>
        <v/>
      </c>
      <c r="F219" s="5" t="n"/>
    </row>
    <row r="220">
      <c r="A220" s="10">
        <f>IF($E220="","",INDEX('Input Transaksi'!$A:$A,$E220))</f>
        <v/>
      </c>
      <c r="B220" s="5">
        <f>IF($E220="","",INDEX('Input Transaksi'!$D:$D,$E220))</f>
        <v/>
      </c>
      <c r="C220">
        <f>IF($E220="","",INDEX('Input Transaksi'!$E:$E,$E220))</f>
        <v/>
      </c>
      <c r="D220" s="5">
        <f>IF($E220="","",INDEX('Input Transaksi'!$F:$F,$E220))</f>
        <v/>
      </c>
      <c r="E220">
        <f>IFERROR(AGGREGATE(15,6,ROW('Input Transaksi'!$B$5:$B$5000)/('Input Transaksi'!$B$5:$B$5000="JCL PEMOGAN"),ROWS($E$5:E220)),"")</f>
        <v/>
      </c>
      <c r="F220" s="5" t="n"/>
    </row>
    <row r="221">
      <c r="A221" s="10">
        <f>IF($E221="","",INDEX('Input Transaksi'!$A:$A,$E221))</f>
        <v/>
      </c>
      <c r="B221" s="5">
        <f>IF($E221="","",INDEX('Input Transaksi'!$D:$D,$E221))</f>
        <v/>
      </c>
      <c r="C221">
        <f>IF($E221="","",INDEX('Input Transaksi'!$E:$E,$E221))</f>
        <v/>
      </c>
      <c r="D221" s="5">
        <f>IF($E221="","",INDEX('Input Transaksi'!$F:$F,$E221))</f>
        <v/>
      </c>
      <c r="E221">
        <f>IFERROR(AGGREGATE(15,6,ROW('Input Transaksi'!$B$5:$B$5000)/('Input Transaksi'!$B$5:$B$5000="JCL PEMOGAN"),ROWS($E$5:E221)),"")</f>
        <v/>
      </c>
      <c r="F221" s="5" t="n"/>
    </row>
    <row r="222">
      <c r="A222" s="10">
        <f>IF($E222="","",INDEX('Input Transaksi'!$A:$A,$E222))</f>
        <v/>
      </c>
      <c r="B222" s="5">
        <f>IF($E222="","",INDEX('Input Transaksi'!$D:$D,$E222))</f>
        <v/>
      </c>
      <c r="C222">
        <f>IF($E222="","",INDEX('Input Transaksi'!$E:$E,$E222))</f>
        <v/>
      </c>
      <c r="D222" s="5">
        <f>IF($E222="","",INDEX('Input Transaksi'!$F:$F,$E222))</f>
        <v/>
      </c>
      <c r="E222">
        <f>IFERROR(AGGREGATE(15,6,ROW('Input Transaksi'!$B$5:$B$5000)/('Input Transaksi'!$B$5:$B$5000="JCL PEMOGAN"),ROWS($E$5:E222)),"")</f>
        <v/>
      </c>
      <c r="F222" s="5" t="n"/>
    </row>
    <row r="223">
      <c r="A223" s="10">
        <f>IF($E223="","",INDEX('Input Transaksi'!$A:$A,$E223))</f>
        <v/>
      </c>
      <c r="B223" s="5">
        <f>IF($E223="","",INDEX('Input Transaksi'!$D:$D,$E223))</f>
        <v/>
      </c>
      <c r="C223">
        <f>IF($E223="","",INDEX('Input Transaksi'!$E:$E,$E223))</f>
        <v/>
      </c>
      <c r="D223" s="5">
        <f>IF($E223="","",INDEX('Input Transaksi'!$F:$F,$E223))</f>
        <v/>
      </c>
      <c r="E223">
        <f>IFERROR(AGGREGATE(15,6,ROW('Input Transaksi'!$B$5:$B$5000)/('Input Transaksi'!$B$5:$B$5000="JCL PEMOGAN"),ROWS($E$5:E223)),"")</f>
        <v/>
      </c>
      <c r="F223" s="5" t="n"/>
    </row>
    <row r="224">
      <c r="A224" s="10">
        <f>IF($E224="","",INDEX('Input Transaksi'!$A:$A,$E224))</f>
        <v/>
      </c>
      <c r="B224" s="5">
        <f>IF($E224="","",INDEX('Input Transaksi'!$D:$D,$E224))</f>
        <v/>
      </c>
      <c r="C224">
        <f>IF($E224="","",INDEX('Input Transaksi'!$E:$E,$E224))</f>
        <v/>
      </c>
      <c r="D224" s="5">
        <f>IF($E224="","",INDEX('Input Transaksi'!$F:$F,$E224))</f>
        <v/>
      </c>
      <c r="E224">
        <f>IFERROR(AGGREGATE(15,6,ROW('Input Transaksi'!$B$5:$B$5000)/('Input Transaksi'!$B$5:$B$5000="JCL PEMOGAN"),ROWS($E$5:E224)),"")</f>
        <v/>
      </c>
      <c r="F224" s="5" t="n"/>
    </row>
    <row r="225">
      <c r="A225" s="10">
        <f>IF($E225="","",INDEX('Input Transaksi'!$A:$A,$E225))</f>
        <v/>
      </c>
      <c r="B225" s="5">
        <f>IF($E225="","",INDEX('Input Transaksi'!$D:$D,$E225))</f>
        <v/>
      </c>
      <c r="C225">
        <f>IF($E225="","",INDEX('Input Transaksi'!$E:$E,$E225))</f>
        <v/>
      </c>
      <c r="D225" s="5">
        <f>IF($E225="","",INDEX('Input Transaksi'!$F:$F,$E225))</f>
        <v/>
      </c>
      <c r="E225">
        <f>IFERROR(AGGREGATE(15,6,ROW('Input Transaksi'!$B$5:$B$5000)/('Input Transaksi'!$B$5:$B$5000="JCL PEMOGAN"),ROWS($E$5:E225)),"")</f>
        <v/>
      </c>
      <c r="F225" s="5" t="n"/>
    </row>
    <row r="226">
      <c r="A226" s="10">
        <f>IF($E226="","",INDEX('Input Transaksi'!$A:$A,$E226))</f>
        <v/>
      </c>
      <c r="B226" s="5">
        <f>IF($E226="","",INDEX('Input Transaksi'!$D:$D,$E226))</f>
        <v/>
      </c>
      <c r="C226">
        <f>IF($E226="","",INDEX('Input Transaksi'!$E:$E,$E226))</f>
        <v/>
      </c>
      <c r="D226" s="5">
        <f>IF($E226="","",INDEX('Input Transaksi'!$F:$F,$E226))</f>
        <v/>
      </c>
      <c r="E226">
        <f>IFERROR(AGGREGATE(15,6,ROW('Input Transaksi'!$B$5:$B$5000)/('Input Transaksi'!$B$5:$B$5000="JCL PEMOGAN"),ROWS($E$5:E226)),"")</f>
        <v/>
      </c>
      <c r="F226" s="5" t="n"/>
    </row>
    <row r="227">
      <c r="A227" s="10">
        <f>IF($E227="","",INDEX('Input Transaksi'!$A:$A,$E227))</f>
        <v/>
      </c>
      <c r="B227" s="5">
        <f>IF($E227="","",INDEX('Input Transaksi'!$D:$D,$E227))</f>
        <v/>
      </c>
      <c r="C227">
        <f>IF($E227="","",INDEX('Input Transaksi'!$E:$E,$E227))</f>
        <v/>
      </c>
      <c r="D227" s="5">
        <f>IF($E227="","",INDEX('Input Transaksi'!$F:$F,$E227))</f>
        <v/>
      </c>
      <c r="E227">
        <f>IFERROR(AGGREGATE(15,6,ROW('Input Transaksi'!$B$5:$B$5000)/('Input Transaksi'!$B$5:$B$5000="JCL PEMOGAN"),ROWS($E$5:E227)),"")</f>
        <v/>
      </c>
      <c r="F227" s="5" t="n"/>
    </row>
    <row r="228">
      <c r="A228" s="10">
        <f>IF($E228="","",INDEX('Input Transaksi'!$A:$A,$E228))</f>
        <v/>
      </c>
      <c r="B228" s="5">
        <f>IF($E228="","",INDEX('Input Transaksi'!$D:$D,$E228))</f>
        <v/>
      </c>
      <c r="C228">
        <f>IF($E228="","",INDEX('Input Transaksi'!$E:$E,$E228))</f>
        <v/>
      </c>
      <c r="D228" s="5">
        <f>IF($E228="","",INDEX('Input Transaksi'!$F:$F,$E228))</f>
        <v/>
      </c>
      <c r="E228">
        <f>IFERROR(AGGREGATE(15,6,ROW('Input Transaksi'!$B$5:$B$5000)/('Input Transaksi'!$B$5:$B$5000="JCL PEMOGAN"),ROWS($E$5:E228)),"")</f>
        <v/>
      </c>
      <c r="F228" s="5" t="n"/>
    </row>
    <row r="229">
      <c r="A229" s="10">
        <f>IF($E229="","",INDEX('Input Transaksi'!$A:$A,$E229))</f>
        <v/>
      </c>
      <c r="B229" s="5">
        <f>IF($E229="","",INDEX('Input Transaksi'!$D:$D,$E229))</f>
        <v/>
      </c>
      <c r="C229">
        <f>IF($E229="","",INDEX('Input Transaksi'!$E:$E,$E229))</f>
        <v/>
      </c>
      <c r="D229" s="5">
        <f>IF($E229="","",INDEX('Input Transaksi'!$F:$F,$E229))</f>
        <v/>
      </c>
      <c r="E229">
        <f>IFERROR(AGGREGATE(15,6,ROW('Input Transaksi'!$B$5:$B$5000)/('Input Transaksi'!$B$5:$B$5000="JCL PEMOGAN"),ROWS($E$5:E229)),"")</f>
        <v/>
      </c>
      <c r="F229" s="5" t="n"/>
    </row>
    <row r="230">
      <c r="A230" s="10">
        <f>IF($E230="","",INDEX('Input Transaksi'!$A:$A,$E230))</f>
        <v/>
      </c>
      <c r="B230" s="5">
        <f>IF($E230="","",INDEX('Input Transaksi'!$D:$D,$E230))</f>
        <v/>
      </c>
      <c r="C230">
        <f>IF($E230="","",INDEX('Input Transaksi'!$E:$E,$E230))</f>
        <v/>
      </c>
      <c r="D230" s="5">
        <f>IF($E230="","",INDEX('Input Transaksi'!$F:$F,$E230))</f>
        <v/>
      </c>
      <c r="E230">
        <f>IFERROR(AGGREGATE(15,6,ROW('Input Transaksi'!$B$5:$B$5000)/('Input Transaksi'!$B$5:$B$5000="JCL PEMOGAN"),ROWS($E$5:E230)),"")</f>
        <v/>
      </c>
      <c r="F230" s="5" t="n"/>
    </row>
    <row r="231">
      <c r="A231" s="10">
        <f>IF($E231="","",INDEX('Input Transaksi'!$A:$A,$E231))</f>
        <v/>
      </c>
      <c r="B231" s="5">
        <f>IF($E231="","",INDEX('Input Transaksi'!$D:$D,$E231))</f>
        <v/>
      </c>
      <c r="C231">
        <f>IF($E231="","",INDEX('Input Transaksi'!$E:$E,$E231))</f>
        <v/>
      </c>
      <c r="D231" s="5">
        <f>IF($E231="","",INDEX('Input Transaksi'!$F:$F,$E231))</f>
        <v/>
      </c>
      <c r="E231">
        <f>IFERROR(AGGREGATE(15,6,ROW('Input Transaksi'!$B$5:$B$5000)/('Input Transaksi'!$B$5:$B$5000="JCL PEMOGAN"),ROWS($E$5:E231)),"")</f>
        <v/>
      </c>
      <c r="F231" s="5" t="n"/>
    </row>
    <row r="232">
      <c r="A232" s="10">
        <f>IF($E232="","",INDEX('Input Transaksi'!$A:$A,$E232))</f>
        <v/>
      </c>
      <c r="B232" s="5">
        <f>IF($E232="","",INDEX('Input Transaksi'!$D:$D,$E232))</f>
        <v/>
      </c>
      <c r="C232">
        <f>IF($E232="","",INDEX('Input Transaksi'!$E:$E,$E232))</f>
        <v/>
      </c>
      <c r="D232" s="5">
        <f>IF($E232="","",INDEX('Input Transaksi'!$F:$F,$E232))</f>
        <v/>
      </c>
      <c r="E232">
        <f>IFERROR(AGGREGATE(15,6,ROW('Input Transaksi'!$B$5:$B$5000)/('Input Transaksi'!$B$5:$B$5000="JCL PEMOGAN"),ROWS($E$5:E232)),"")</f>
        <v/>
      </c>
      <c r="F232" s="5" t="n"/>
    </row>
    <row r="233">
      <c r="A233" s="10">
        <f>IF($E233="","",INDEX('Input Transaksi'!$A:$A,$E233))</f>
        <v/>
      </c>
      <c r="B233" s="5">
        <f>IF($E233="","",INDEX('Input Transaksi'!$D:$D,$E233))</f>
        <v/>
      </c>
      <c r="C233">
        <f>IF($E233="","",INDEX('Input Transaksi'!$E:$E,$E233))</f>
        <v/>
      </c>
      <c r="D233" s="5">
        <f>IF($E233="","",INDEX('Input Transaksi'!$F:$F,$E233))</f>
        <v/>
      </c>
      <c r="E233">
        <f>IFERROR(AGGREGATE(15,6,ROW('Input Transaksi'!$B$5:$B$5000)/('Input Transaksi'!$B$5:$B$5000="JCL PEMOGAN"),ROWS($E$5:E233)),"")</f>
        <v/>
      </c>
      <c r="F233" s="5" t="n"/>
    </row>
    <row r="234">
      <c r="A234" s="10">
        <f>IF($E234="","",INDEX('Input Transaksi'!$A:$A,$E234))</f>
        <v/>
      </c>
      <c r="B234" s="5">
        <f>IF($E234="","",INDEX('Input Transaksi'!$D:$D,$E234))</f>
        <v/>
      </c>
      <c r="C234">
        <f>IF($E234="","",INDEX('Input Transaksi'!$E:$E,$E234))</f>
        <v/>
      </c>
      <c r="D234" s="5">
        <f>IF($E234="","",INDEX('Input Transaksi'!$F:$F,$E234))</f>
        <v/>
      </c>
      <c r="E234">
        <f>IFERROR(AGGREGATE(15,6,ROW('Input Transaksi'!$B$5:$B$5000)/('Input Transaksi'!$B$5:$B$5000="JCL PEMOGAN"),ROWS($E$5:E234)),"")</f>
        <v/>
      </c>
      <c r="F234" s="5" t="n"/>
    </row>
    <row r="235">
      <c r="A235" s="10">
        <f>IF($E235="","",INDEX('Input Transaksi'!$A:$A,$E235))</f>
        <v/>
      </c>
      <c r="B235" s="5">
        <f>IF($E235="","",INDEX('Input Transaksi'!$D:$D,$E235))</f>
        <v/>
      </c>
      <c r="C235">
        <f>IF($E235="","",INDEX('Input Transaksi'!$E:$E,$E235))</f>
        <v/>
      </c>
      <c r="D235" s="5">
        <f>IF($E235="","",INDEX('Input Transaksi'!$F:$F,$E235))</f>
        <v/>
      </c>
      <c r="E235">
        <f>IFERROR(AGGREGATE(15,6,ROW('Input Transaksi'!$B$5:$B$5000)/('Input Transaksi'!$B$5:$B$5000="JCL PEMOGAN"),ROWS($E$5:E235)),"")</f>
        <v/>
      </c>
      <c r="F235" s="5" t="n"/>
    </row>
    <row r="236">
      <c r="A236" s="10">
        <f>IF($E236="","",INDEX('Input Transaksi'!$A:$A,$E236))</f>
        <v/>
      </c>
      <c r="B236" s="5">
        <f>IF($E236="","",INDEX('Input Transaksi'!$D:$D,$E236))</f>
        <v/>
      </c>
      <c r="C236">
        <f>IF($E236="","",INDEX('Input Transaksi'!$E:$E,$E236))</f>
        <v/>
      </c>
      <c r="D236" s="5">
        <f>IF($E236="","",INDEX('Input Transaksi'!$F:$F,$E236))</f>
        <v/>
      </c>
      <c r="E236">
        <f>IFERROR(AGGREGATE(15,6,ROW('Input Transaksi'!$B$5:$B$5000)/('Input Transaksi'!$B$5:$B$5000="JCL PEMOGAN"),ROWS($E$5:E236)),"")</f>
        <v/>
      </c>
      <c r="F236" s="5" t="n"/>
    </row>
    <row r="237">
      <c r="A237" s="10">
        <f>IF($E237="","",INDEX('Input Transaksi'!$A:$A,$E237))</f>
        <v/>
      </c>
      <c r="B237" s="5">
        <f>IF($E237="","",INDEX('Input Transaksi'!$D:$D,$E237))</f>
        <v/>
      </c>
      <c r="C237">
        <f>IF($E237="","",INDEX('Input Transaksi'!$E:$E,$E237))</f>
        <v/>
      </c>
      <c r="D237" s="5">
        <f>IF($E237="","",INDEX('Input Transaksi'!$F:$F,$E237))</f>
        <v/>
      </c>
      <c r="E237">
        <f>IFERROR(AGGREGATE(15,6,ROW('Input Transaksi'!$B$5:$B$5000)/('Input Transaksi'!$B$5:$B$5000="JCL PEMOGAN"),ROWS($E$5:E237)),"")</f>
        <v/>
      </c>
      <c r="F237" s="5" t="n"/>
    </row>
    <row r="238">
      <c r="A238" s="10">
        <f>IF($E238="","",INDEX('Input Transaksi'!$A:$A,$E238))</f>
        <v/>
      </c>
      <c r="B238" s="5">
        <f>IF($E238="","",INDEX('Input Transaksi'!$D:$D,$E238))</f>
        <v/>
      </c>
      <c r="C238">
        <f>IF($E238="","",INDEX('Input Transaksi'!$E:$E,$E238))</f>
        <v/>
      </c>
      <c r="D238" s="5">
        <f>IF($E238="","",INDEX('Input Transaksi'!$F:$F,$E238))</f>
        <v/>
      </c>
      <c r="E238">
        <f>IFERROR(AGGREGATE(15,6,ROW('Input Transaksi'!$B$5:$B$5000)/('Input Transaksi'!$B$5:$B$5000="JCL PEMOGAN"),ROWS($E$5:E238)),"")</f>
        <v/>
      </c>
      <c r="F238" s="5" t="n"/>
    </row>
    <row r="239">
      <c r="A239" s="10">
        <f>IF($E239="","",INDEX('Input Transaksi'!$A:$A,$E239))</f>
        <v/>
      </c>
      <c r="B239" s="5">
        <f>IF($E239="","",INDEX('Input Transaksi'!$D:$D,$E239))</f>
        <v/>
      </c>
      <c r="C239">
        <f>IF($E239="","",INDEX('Input Transaksi'!$E:$E,$E239))</f>
        <v/>
      </c>
      <c r="D239" s="5">
        <f>IF($E239="","",INDEX('Input Transaksi'!$F:$F,$E239))</f>
        <v/>
      </c>
      <c r="E239">
        <f>IFERROR(AGGREGATE(15,6,ROW('Input Transaksi'!$B$5:$B$5000)/('Input Transaksi'!$B$5:$B$5000="JCL PEMOGAN"),ROWS($E$5:E239)),"")</f>
        <v/>
      </c>
      <c r="F239" s="5" t="n"/>
    </row>
    <row r="240">
      <c r="A240" s="10">
        <f>IF($E240="","",INDEX('Input Transaksi'!$A:$A,$E240))</f>
        <v/>
      </c>
      <c r="B240" s="5">
        <f>IF($E240="","",INDEX('Input Transaksi'!$D:$D,$E240))</f>
        <v/>
      </c>
      <c r="C240">
        <f>IF($E240="","",INDEX('Input Transaksi'!$E:$E,$E240))</f>
        <v/>
      </c>
      <c r="D240" s="5">
        <f>IF($E240="","",INDEX('Input Transaksi'!$F:$F,$E240))</f>
        <v/>
      </c>
      <c r="E240">
        <f>IFERROR(AGGREGATE(15,6,ROW('Input Transaksi'!$B$5:$B$5000)/('Input Transaksi'!$B$5:$B$5000="JCL PEMOGAN"),ROWS($E$5:E240)),"")</f>
        <v/>
      </c>
      <c r="F240" s="5" t="n"/>
    </row>
    <row r="241">
      <c r="A241" s="10">
        <f>IF($E241="","",INDEX('Input Transaksi'!$A:$A,$E241))</f>
        <v/>
      </c>
      <c r="B241" s="5">
        <f>IF($E241="","",INDEX('Input Transaksi'!$D:$D,$E241))</f>
        <v/>
      </c>
      <c r="C241">
        <f>IF($E241="","",INDEX('Input Transaksi'!$E:$E,$E241))</f>
        <v/>
      </c>
      <c r="D241" s="5">
        <f>IF($E241="","",INDEX('Input Transaksi'!$F:$F,$E241))</f>
        <v/>
      </c>
      <c r="E241">
        <f>IFERROR(AGGREGATE(15,6,ROW('Input Transaksi'!$B$5:$B$5000)/('Input Transaksi'!$B$5:$B$5000="JCL PEMOGAN"),ROWS($E$5:E241)),"")</f>
        <v/>
      </c>
      <c r="F241" s="5" t="n"/>
    </row>
    <row r="242">
      <c r="A242" s="10">
        <f>IF($E242="","",INDEX('Input Transaksi'!$A:$A,$E242))</f>
        <v/>
      </c>
      <c r="B242" s="5">
        <f>IF($E242="","",INDEX('Input Transaksi'!$D:$D,$E242))</f>
        <v/>
      </c>
      <c r="C242">
        <f>IF($E242="","",INDEX('Input Transaksi'!$E:$E,$E242))</f>
        <v/>
      </c>
      <c r="D242" s="5">
        <f>IF($E242="","",INDEX('Input Transaksi'!$F:$F,$E242))</f>
        <v/>
      </c>
      <c r="E242">
        <f>IFERROR(AGGREGATE(15,6,ROW('Input Transaksi'!$B$5:$B$5000)/('Input Transaksi'!$B$5:$B$5000="JCL PEMOGAN"),ROWS($E$5:E242)),"")</f>
        <v/>
      </c>
      <c r="F242" s="5" t="n"/>
    </row>
    <row r="243">
      <c r="A243" s="10">
        <f>IF($E243="","",INDEX('Input Transaksi'!$A:$A,$E243))</f>
        <v/>
      </c>
      <c r="B243" s="5">
        <f>IF($E243="","",INDEX('Input Transaksi'!$D:$D,$E243))</f>
        <v/>
      </c>
      <c r="C243">
        <f>IF($E243="","",INDEX('Input Transaksi'!$E:$E,$E243))</f>
        <v/>
      </c>
      <c r="D243" s="5">
        <f>IF($E243="","",INDEX('Input Transaksi'!$F:$F,$E243))</f>
        <v/>
      </c>
      <c r="E243">
        <f>IFERROR(AGGREGATE(15,6,ROW('Input Transaksi'!$B$5:$B$5000)/('Input Transaksi'!$B$5:$B$5000="JCL PEMOGAN"),ROWS($E$5:E243)),"")</f>
        <v/>
      </c>
      <c r="F243" s="5" t="n"/>
    </row>
    <row r="244">
      <c r="A244" s="10">
        <f>IF($E244="","",INDEX('Input Transaksi'!$A:$A,$E244))</f>
        <v/>
      </c>
      <c r="B244" s="5">
        <f>IF($E244="","",INDEX('Input Transaksi'!$D:$D,$E244))</f>
        <v/>
      </c>
      <c r="C244">
        <f>IF($E244="","",INDEX('Input Transaksi'!$E:$E,$E244))</f>
        <v/>
      </c>
      <c r="D244" s="5">
        <f>IF($E244="","",INDEX('Input Transaksi'!$F:$F,$E244))</f>
        <v/>
      </c>
      <c r="E244">
        <f>IFERROR(AGGREGATE(15,6,ROW('Input Transaksi'!$B$5:$B$5000)/('Input Transaksi'!$B$5:$B$5000="JCL PEMOGAN"),ROWS($E$5:E244)),"")</f>
        <v/>
      </c>
      <c r="F244" s="5" t="n"/>
    </row>
    <row r="245">
      <c r="A245" s="10">
        <f>IF($E245="","",INDEX('Input Transaksi'!$A:$A,$E245))</f>
        <v/>
      </c>
      <c r="B245" s="5">
        <f>IF($E245="","",INDEX('Input Transaksi'!$D:$D,$E245))</f>
        <v/>
      </c>
      <c r="C245">
        <f>IF($E245="","",INDEX('Input Transaksi'!$E:$E,$E245))</f>
        <v/>
      </c>
      <c r="D245" s="5">
        <f>IF($E245="","",INDEX('Input Transaksi'!$F:$F,$E245))</f>
        <v/>
      </c>
      <c r="E245">
        <f>IFERROR(AGGREGATE(15,6,ROW('Input Transaksi'!$B$5:$B$5000)/('Input Transaksi'!$B$5:$B$5000="JCL PEMOGAN"),ROWS($E$5:E245)),"")</f>
        <v/>
      </c>
      <c r="F245" s="5" t="n"/>
    </row>
    <row r="246">
      <c r="A246" s="10">
        <f>IF($E246="","",INDEX('Input Transaksi'!$A:$A,$E246))</f>
        <v/>
      </c>
      <c r="B246" s="5">
        <f>IF($E246="","",INDEX('Input Transaksi'!$D:$D,$E246))</f>
        <v/>
      </c>
      <c r="C246">
        <f>IF($E246="","",INDEX('Input Transaksi'!$E:$E,$E246))</f>
        <v/>
      </c>
      <c r="D246" s="5">
        <f>IF($E246="","",INDEX('Input Transaksi'!$F:$F,$E246))</f>
        <v/>
      </c>
      <c r="E246">
        <f>IFERROR(AGGREGATE(15,6,ROW('Input Transaksi'!$B$5:$B$5000)/('Input Transaksi'!$B$5:$B$5000="JCL PEMOGAN"),ROWS($E$5:E246)),"")</f>
        <v/>
      </c>
      <c r="F246" s="5" t="n"/>
    </row>
    <row r="247">
      <c r="A247" s="10">
        <f>IF($E247="","",INDEX('Input Transaksi'!$A:$A,$E247))</f>
        <v/>
      </c>
      <c r="B247" s="5">
        <f>IF($E247="","",INDEX('Input Transaksi'!$D:$D,$E247))</f>
        <v/>
      </c>
      <c r="C247">
        <f>IF($E247="","",INDEX('Input Transaksi'!$E:$E,$E247))</f>
        <v/>
      </c>
      <c r="D247" s="5">
        <f>IF($E247="","",INDEX('Input Transaksi'!$F:$F,$E247))</f>
        <v/>
      </c>
      <c r="E247">
        <f>IFERROR(AGGREGATE(15,6,ROW('Input Transaksi'!$B$5:$B$5000)/('Input Transaksi'!$B$5:$B$5000="JCL PEMOGAN"),ROWS($E$5:E247)),"")</f>
        <v/>
      </c>
      <c r="F247" s="5" t="n"/>
    </row>
    <row r="248">
      <c r="A248" s="10">
        <f>IF($E248="","",INDEX('Input Transaksi'!$A:$A,$E248))</f>
        <v/>
      </c>
      <c r="B248" s="5">
        <f>IF($E248="","",INDEX('Input Transaksi'!$D:$D,$E248))</f>
        <v/>
      </c>
      <c r="C248">
        <f>IF($E248="","",INDEX('Input Transaksi'!$E:$E,$E248))</f>
        <v/>
      </c>
      <c r="D248" s="5">
        <f>IF($E248="","",INDEX('Input Transaksi'!$F:$F,$E248))</f>
        <v/>
      </c>
      <c r="E248">
        <f>IFERROR(AGGREGATE(15,6,ROW('Input Transaksi'!$B$5:$B$5000)/('Input Transaksi'!$B$5:$B$5000="JCL PEMOGAN"),ROWS($E$5:E248)),"")</f>
        <v/>
      </c>
      <c r="F248" s="5" t="n"/>
    </row>
    <row r="249">
      <c r="A249" s="10">
        <f>IF($E249="","",INDEX('Input Transaksi'!$A:$A,$E249))</f>
        <v/>
      </c>
      <c r="B249" s="5">
        <f>IF($E249="","",INDEX('Input Transaksi'!$D:$D,$E249))</f>
        <v/>
      </c>
      <c r="C249">
        <f>IF($E249="","",INDEX('Input Transaksi'!$E:$E,$E249))</f>
        <v/>
      </c>
      <c r="D249" s="5">
        <f>IF($E249="","",INDEX('Input Transaksi'!$F:$F,$E249))</f>
        <v/>
      </c>
      <c r="E249">
        <f>IFERROR(AGGREGATE(15,6,ROW('Input Transaksi'!$B$5:$B$5000)/('Input Transaksi'!$B$5:$B$5000="JCL PEMOGAN"),ROWS($E$5:E249)),"")</f>
        <v/>
      </c>
      <c r="F249" s="5" t="n"/>
    </row>
    <row r="250">
      <c r="A250" s="10">
        <f>IF($E250="","",INDEX('Input Transaksi'!$A:$A,$E250))</f>
        <v/>
      </c>
      <c r="B250" s="5">
        <f>IF($E250="","",INDEX('Input Transaksi'!$D:$D,$E250))</f>
        <v/>
      </c>
      <c r="C250">
        <f>IF($E250="","",INDEX('Input Transaksi'!$E:$E,$E250))</f>
        <v/>
      </c>
      <c r="D250" s="5">
        <f>IF($E250="","",INDEX('Input Transaksi'!$F:$F,$E250))</f>
        <v/>
      </c>
      <c r="E250">
        <f>IFERROR(AGGREGATE(15,6,ROW('Input Transaksi'!$B$5:$B$5000)/('Input Transaksi'!$B$5:$B$5000="JCL PEMOGAN"),ROWS($E$5:E250)),"")</f>
        <v/>
      </c>
      <c r="F250" s="5" t="n"/>
    </row>
    <row r="251">
      <c r="A251" s="10">
        <f>IF($E251="","",INDEX('Input Transaksi'!$A:$A,$E251))</f>
        <v/>
      </c>
      <c r="B251" s="5">
        <f>IF($E251="","",INDEX('Input Transaksi'!$D:$D,$E251))</f>
        <v/>
      </c>
      <c r="C251">
        <f>IF($E251="","",INDEX('Input Transaksi'!$E:$E,$E251))</f>
        <v/>
      </c>
      <c r="D251" s="5">
        <f>IF($E251="","",INDEX('Input Transaksi'!$F:$F,$E251))</f>
        <v/>
      </c>
      <c r="E251">
        <f>IFERROR(AGGREGATE(15,6,ROW('Input Transaksi'!$B$5:$B$5000)/('Input Transaksi'!$B$5:$B$5000="JCL PEMOGAN"),ROWS($E$5:E251)),"")</f>
        <v/>
      </c>
      <c r="F251" s="5" t="n"/>
    </row>
    <row r="252">
      <c r="A252" s="10">
        <f>IF($E252="","",INDEX('Input Transaksi'!$A:$A,$E252))</f>
        <v/>
      </c>
      <c r="B252" s="5">
        <f>IF($E252="","",INDEX('Input Transaksi'!$D:$D,$E252))</f>
        <v/>
      </c>
      <c r="C252">
        <f>IF($E252="","",INDEX('Input Transaksi'!$E:$E,$E252))</f>
        <v/>
      </c>
      <c r="D252" s="5">
        <f>IF($E252="","",INDEX('Input Transaksi'!$F:$F,$E252))</f>
        <v/>
      </c>
      <c r="E252">
        <f>IFERROR(AGGREGATE(15,6,ROW('Input Transaksi'!$B$5:$B$5000)/('Input Transaksi'!$B$5:$B$5000="JCL PEMOGAN"),ROWS($E$5:E252)),"")</f>
        <v/>
      </c>
      <c r="F252" s="5" t="n"/>
    </row>
    <row r="253">
      <c r="A253" s="10">
        <f>IF($E253="","",INDEX('Input Transaksi'!$A:$A,$E253))</f>
        <v/>
      </c>
      <c r="B253" s="5">
        <f>IF($E253="","",INDEX('Input Transaksi'!$D:$D,$E253))</f>
        <v/>
      </c>
      <c r="C253">
        <f>IF($E253="","",INDEX('Input Transaksi'!$E:$E,$E253))</f>
        <v/>
      </c>
      <c r="D253" s="5">
        <f>IF($E253="","",INDEX('Input Transaksi'!$F:$F,$E253))</f>
        <v/>
      </c>
      <c r="E253">
        <f>IFERROR(AGGREGATE(15,6,ROW('Input Transaksi'!$B$5:$B$5000)/('Input Transaksi'!$B$5:$B$5000="JCL PEMOGAN"),ROWS($E$5:E253)),"")</f>
        <v/>
      </c>
      <c r="F253" s="5" t="n"/>
    </row>
    <row r="254">
      <c r="A254" s="10">
        <f>IF($E254="","",INDEX('Input Transaksi'!$A:$A,$E254))</f>
        <v/>
      </c>
      <c r="B254" s="5">
        <f>IF($E254="","",INDEX('Input Transaksi'!$D:$D,$E254))</f>
        <v/>
      </c>
      <c r="C254">
        <f>IF($E254="","",INDEX('Input Transaksi'!$E:$E,$E254))</f>
        <v/>
      </c>
      <c r="D254" s="5">
        <f>IF($E254="","",INDEX('Input Transaksi'!$F:$F,$E254))</f>
        <v/>
      </c>
      <c r="E254">
        <f>IFERROR(AGGREGATE(15,6,ROW('Input Transaksi'!$B$5:$B$5000)/('Input Transaksi'!$B$5:$B$5000="JCL PEMOGAN"),ROWS($E$5:E254)),"")</f>
        <v/>
      </c>
      <c r="F254" s="5" t="n"/>
    </row>
    <row r="255">
      <c r="A255" s="10">
        <f>IF($E255="","",INDEX('Input Transaksi'!$A:$A,$E255))</f>
        <v/>
      </c>
      <c r="B255" s="5">
        <f>IF($E255="","",INDEX('Input Transaksi'!$D:$D,$E255))</f>
        <v/>
      </c>
      <c r="C255">
        <f>IF($E255="","",INDEX('Input Transaksi'!$E:$E,$E255))</f>
        <v/>
      </c>
      <c r="D255" s="5">
        <f>IF($E255="","",INDEX('Input Transaksi'!$F:$F,$E255))</f>
        <v/>
      </c>
      <c r="E255">
        <f>IFERROR(AGGREGATE(15,6,ROW('Input Transaksi'!$B$5:$B$5000)/('Input Transaksi'!$B$5:$B$5000="JCL PEMOGAN"),ROWS($E$5:E255)),"")</f>
        <v/>
      </c>
      <c r="F255" s="5" t="n"/>
    </row>
    <row r="256">
      <c r="A256" s="10">
        <f>IF($E256="","",INDEX('Input Transaksi'!$A:$A,$E256))</f>
        <v/>
      </c>
      <c r="B256" s="5">
        <f>IF($E256="","",INDEX('Input Transaksi'!$D:$D,$E256))</f>
        <v/>
      </c>
      <c r="C256">
        <f>IF($E256="","",INDEX('Input Transaksi'!$E:$E,$E256))</f>
        <v/>
      </c>
      <c r="D256" s="5">
        <f>IF($E256="","",INDEX('Input Transaksi'!$F:$F,$E256))</f>
        <v/>
      </c>
      <c r="E256">
        <f>IFERROR(AGGREGATE(15,6,ROW('Input Transaksi'!$B$5:$B$5000)/('Input Transaksi'!$B$5:$B$5000="JCL PEMOGAN"),ROWS($E$5:E256)),"")</f>
        <v/>
      </c>
      <c r="F256" s="5" t="n"/>
    </row>
    <row r="257">
      <c r="A257" s="10">
        <f>IF($E257="","",INDEX('Input Transaksi'!$A:$A,$E257))</f>
        <v/>
      </c>
      <c r="B257" s="5">
        <f>IF($E257="","",INDEX('Input Transaksi'!$D:$D,$E257))</f>
        <v/>
      </c>
      <c r="C257">
        <f>IF($E257="","",INDEX('Input Transaksi'!$E:$E,$E257))</f>
        <v/>
      </c>
      <c r="D257" s="5">
        <f>IF($E257="","",INDEX('Input Transaksi'!$F:$F,$E257))</f>
        <v/>
      </c>
      <c r="E257">
        <f>IFERROR(AGGREGATE(15,6,ROW('Input Transaksi'!$B$5:$B$5000)/('Input Transaksi'!$B$5:$B$5000="JCL PEMOGAN"),ROWS($E$5:E257)),"")</f>
        <v/>
      </c>
      <c r="F257" s="5" t="n"/>
    </row>
    <row r="258">
      <c r="A258" s="10">
        <f>IF($E258="","",INDEX('Input Transaksi'!$A:$A,$E258))</f>
        <v/>
      </c>
      <c r="B258" s="5">
        <f>IF($E258="","",INDEX('Input Transaksi'!$D:$D,$E258))</f>
        <v/>
      </c>
      <c r="C258">
        <f>IF($E258="","",INDEX('Input Transaksi'!$E:$E,$E258))</f>
        <v/>
      </c>
      <c r="D258" s="5">
        <f>IF($E258="","",INDEX('Input Transaksi'!$F:$F,$E258))</f>
        <v/>
      </c>
      <c r="E258">
        <f>IFERROR(AGGREGATE(15,6,ROW('Input Transaksi'!$B$5:$B$5000)/('Input Transaksi'!$B$5:$B$5000="JCL PEMOGAN"),ROWS($E$5:E258)),"")</f>
        <v/>
      </c>
      <c r="F258" s="5" t="n"/>
    </row>
    <row r="259">
      <c r="A259" s="10">
        <f>IF($E259="","",INDEX('Input Transaksi'!$A:$A,$E259))</f>
        <v/>
      </c>
      <c r="B259" s="5">
        <f>IF($E259="","",INDEX('Input Transaksi'!$D:$D,$E259))</f>
        <v/>
      </c>
      <c r="C259">
        <f>IF($E259="","",INDEX('Input Transaksi'!$E:$E,$E259))</f>
        <v/>
      </c>
      <c r="D259" s="5">
        <f>IF($E259="","",INDEX('Input Transaksi'!$F:$F,$E259))</f>
        <v/>
      </c>
      <c r="E259">
        <f>IFERROR(AGGREGATE(15,6,ROW('Input Transaksi'!$B$5:$B$5000)/('Input Transaksi'!$B$5:$B$5000="JCL PEMOGAN"),ROWS($E$5:E259)),"")</f>
        <v/>
      </c>
      <c r="F259" s="5" t="n"/>
    </row>
    <row r="260">
      <c r="A260" s="10">
        <f>IF($E260="","",INDEX('Input Transaksi'!$A:$A,$E260))</f>
        <v/>
      </c>
      <c r="B260" s="5">
        <f>IF($E260="","",INDEX('Input Transaksi'!$D:$D,$E260))</f>
        <v/>
      </c>
      <c r="C260">
        <f>IF($E260="","",INDEX('Input Transaksi'!$E:$E,$E260))</f>
        <v/>
      </c>
      <c r="D260" s="5">
        <f>IF($E260="","",INDEX('Input Transaksi'!$F:$F,$E260))</f>
        <v/>
      </c>
      <c r="E260">
        <f>IFERROR(AGGREGATE(15,6,ROW('Input Transaksi'!$B$5:$B$5000)/('Input Transaksi'!$B$5:$B$5000="JCL PEMOGAN"),ROWS($E$5:E260)),"")</f>
        <v/>
      </c>
      <c r="F260" s="5" t="n"/>
    </row>
    <row r="261">
      <c r="A261" s="10">
        <f>IF($E261="","",INDEX('Input Transaksi'!$A:$A,$E261))</f>
        <v/>
      </c>
      <c r="B261" s="5">
        <f>IF($E261="","",INDEX('Input Transaksi'!$D:$D,$E261))</f>
        <v/>
      </c>
      <c r="C261">
        <f>IF($E261="","",INDEX('Input Transaksi'!$E:$E,$E261))</f>
        <v/>
      </c>
      <c r="D261" s="5">
        <f>IF($E261="","",INDEX('Input Transaksi'!$F:$F,$E261))</f>
        <v/>
      </c>
      <c r="E261">
        <f>IFERROR(AGGREGATE(15,6,ROW('Input Transaksi'!$B$5:$B$5000)/('Input Transaksi'!$B$5:$B$5000="JCL PEMOGAN"),ROWS($E$5:E261)),"")</f>
        <v/>
      </c>
      <c r="F261" s="5" t="n"/>
    </row>
    <row r="262">
      <c r="A262" s="10">
        <f>IF($E262="","",INDEX('Input Transaksi'!$A:$A,$E262))</f>
        <v/>
      </c>
      <c r="B262" s="5">
        <f>IF($E262="","",INDEX('Input Transaksi'!$D:$D,$E262))</f>
        <v/>
      </c>
      <c r="C262">
        <f>IF($E262="","",INDEX('Input Transaksi'!$E:$E,$E262))</f>
        <v/>
      </c>
      <c r="D262" s="5">
        <f>IF($E262="","",INDEX('Input Transaksi'!$F:$F,$E262))</f>
        <v/>
      </c>
      <c r="E262">
        <f>IFERROR(AGGREGATE(15,6,ROW('Input Transaksi'!$B$5:$B$5000)/('Input Transaksi'!$B$5:$B$5000="JCL PEMOGAN"),ROWS($E$5:E262)),"")</f>
        <v/>
      </c>
      <c r="F262" s="5" t="n"/>
    </row>
    <row r="263">
      <c r="A263" s="10">
        <f>IF($E263="","",INDEX('Input Transaksi'!$A:$A,$E263))</f>
        <v/>
      </c>
      <c r="B263" s="5">
        <f>IF($E263="","",INDEX('Input Transaksi'!$D:$D,$E263))</f>
        <v/>
      </c>
      <c r="C263">
        <f>IF($E263="","",INDEX('Input Transaksi'!$E:$E,$E263))</f>
        <v/>
      </c>
      <c r="D263" s="5">
        <f>IF($E263="","",INDEX('Input Transaksi'!$F:$F,$E263))</f>
        <v/>
      </c>
      <c r="E263">
        <f>IFERROR(AGGREGATE(15,6,ROW('Input Transaksi'!$B$5:$B$5000)/('Input Transaksi'!$B$5:$B$5000="JCL PEMOGAN"),ROWS($E$5:E263)),"")</f>
        <v/>
      </c>
      <c r="F263" s="5" t="n"/>
    </row>
    <row r="264">
      <c r="A264" s="10">
        <f>IF($E264="","",INDEX('Input Transaksi'!$A:$A,$E264))</f>
        <v/>
      </c>
      <c r="B264" s="5">
        <f>IF($E264="","",INDEX('Input Transaksi'!$D:$D,$E264))</f>
        <v/>
      </c>
      <c r="C264">
        <f>IF($E264="","",INDEX('Input Transaksi'!$E:$E,$E264))</f>
        <v/>
      </c>
      <c r="D264" s="5">
        <f>IF($E264="","",INDEX('Input Transaksi'!$F:$F,$E264))</f>
        <v/>
      </c>
      <c r="E264">
        <f>IFERROR(AGGREGATE(15,6,ROW('Input Transaksi'!$B$5:$B$5000)/('Input Transaksi'!$B$5:$B$5000="JCL PEMOGAN"),ROWS($E$5:E264)),"")</f>
        <v/>
      </c>
      <c r="F264" s="5" t="n"/>
    </row>
    <row r="265">
      <c r="A265" s="10">
        <f>IF($E265="","",INDEX('Input Transaksi'!$A:$A,$E265))</f>
        <v/>
      </c>
      <c r="B265" s="5">
        <f>IF($E265="","",INDEX('Input Transaksi'!$D:$D,$E265))</f>
        <v/>
      </c>
      <c r="C265">
        <f>IF($E265="","",INDEX('Input Transaksi'!$E:$E,$E265))</f>
        <v/>
      </c>
      <c r="D265" s="5">
        <f>IF($E265="","",INDEX('Input Transaksi'!$F:$F,$E265))</f>
        <v/>
      </c>
      <c r="E265">
        <f>IFERROR(AGGREGATE(15,6,ROW('Input Transaksi'!$B$5:$B$5000)/('Input Transaksi'!$B$5:$B$5000="JCL PEMOGAN"),ROWS($E$5:E265)),"")</f>
        <v/>
      </c>
      <c r="F265" s="5" t="n"/>
    </row>
    <row r="266">
      <c r="A266" s="10">
        <f>IF($E266="","",INDEX('Input Transaksi'!$A:$A,$E266))</f>
        <v/>
      </c>
      <c r="B266" s="5">
        <f>IF($E266="","",INDEX('Input Transaksi'!$D:$D,$E266))</f>
        <v/>
      </c>
      <c r="C266">
        <f>IF($E266="","",INDEX('Input Transaksi'!$E:$E,$E266))</f>
        <v/>
      </c>
      <c r="D266" s="5">
        <f>IF($E266="","",INDEX('Input Transaksi'!$F:$F,$E266))</f>
        <v/>
      </c>
      <c r="E266">
        <f>IFERROR(AGGREGATE(15,6,ROW('Input Transaksi'!$B$5:$B$5000)/('Input Transaksi'!$B$5:$B$5000="JCL PEMOGAN"),ROWS($E$5:E266)),"")</f>
        <v/>
      </c>
      <c r="F266" s="5" t="n"/>
    </row>
    <row r="267">
      <c r="A267" s="10">
        <f>IF($E267="","",INDEX('Input Transaksi'!$A:$A,$E267))</f>
        <v/>
      </c>
      <c r="B267" s="5">
        <f>IF($E267="","",INDEX('Input Transaksi'!$D:$D,$E267))</f>
        <v/>
      </c>
      <c r="C267">
        <f>IF($E267="","",INDEX('Input Transaksi'!$E:$E,$E267))</f>
        <v/>
      </c>
      <c r="D267" s="5">
        <f>IF($E267="","",INDEX('Input Transaksi'!$F:$F,$E267))</f>
        <v/>
      </c>
      <c r="E267">
        <f>IFERROR(AGGREGATE(15,6,ROW('Input Transaksi'!$B$5:$B$5000)/('Input Transaksi'!$B$5:$B$5000="JCL PEMOGAN"),ROWS($E$5:E267)),"")</f>
        <v/>
      </c>
      <c r="F267" s="5" t="n"/>
    </row>
    <row r="268">
      <c r="A268" s="10">
        <f>IF($E268="","",INDEX('Input Transaksi'!$A:$A,$E268))</f>
        <v/>
      </c>
      <c r="B268" s="5">
        <f>IF($E268="","",INDEX('Input Transaksi'!$D:$D,$E268))</f>
        <v/>
      </c>
      <c r="C268">
        <f>IF($E268="","",INDEX('Input Transaksi'!$E:$E,$E268))</f>
        <v/>
      </c>
      <c r="D268" s="5">
        <f>IF($E268="","",INDEX('Input Transaksi'!$F:$F,$E268))</f>
        <v/>
      </c>
      <c r="E268">
        <f>IFERROR(AGGREGATE(15,6,ROW('Input Transaksi'!$B$5:$B$5000)/('Input Transaksi'!$B$5:$B$5000="JCL PEMOGAN"),ROWS($E$5:E268)),"")</f>
        <v/>
      </c>
      <c r="F268" s="5" t="n"/>
    </row>
    <row r="269">
      <c r="A269" s="10">
        <f>IF($E269="","",INDEX('Input Transaksi'!$A:$A,$E269))</f>
        <v/>
      </c>
      <c r="B269" s="5">
        <f>IF($E269="","",INDEX('Input Transaksi'!$D:$D,$E269))</f>
        <v/>
      </c>
      <c r="C269">
        <f>IF($E269="","",INDEX('Input Transaksi'!$E:$E,$E269))</f>
        <v/>
      </c>
      <c r="D269" s="5">
        <f>IF($E269="","",INDEX('Input Transaksi'!$F:$F,$E269))</f>
        <v/>
      </c>
      <c r="E269">
        <f>IFERROR(AGGREGATE(15,6,ROW('Input Transaksi'!$B$5:$B$5000)/('Input Transaksi'!$B$5:$B$5000="JCL PEMOGAN"),ROWS($E$5:E269)),"")</f>
        <v/>
      </c>
      <c r="F269" s="5" t="n"/>
    </row>
    <row r="270">
      <c r="A270" s="10">
        <f>IF($E270="","",INDEX('Input Transaksi'!$A:$A,$E270))</f>
        <v/>
      </c>
      <c r="B270" s="5">
        <f>IF($E270="","",INDEX('Input Transaksi'!$D:$D,$E270))</f>
        <v/>
      </c>
      <c r="C270">
        <f>IF($E270="","",INDEX('Input Transaksi'!$E:$E,$E270))</f>
        <v/>
      </c>
      <c r="D270" s="5">
        <f>IF($E270="","",INDEX('Input Transaksi'!$F:$F,$E270))</f>
        <v/>
      </c>
      <c r="E270">
        <f>IFERROR(AGGREGATE(15,6,ROW('Input Transaksi'!$B$5:$B$5000)/('Input Transaksi'!$B$5:$B$5000="JCL PEMOGAN"),ROWS($E$5:E270)),"")</f>
        <v/>
      </c>
      <c r="F270" s="5" t="n"/>
    </row>
    <row r="271">
      <c r="A271" s="10">
        <f>IF($E271="","",INDEX('Input Transaksi'!$A:$A,$E271))</f>
        <v/>
      </c>
      <c r="B271" s="5">
        <f>IF($E271="","",INDEX('Input Transaksi'!$D:$D,$E271))</f>
        <v/>
      </c>
      <c r="C271">
        <f>IF($E271="","",INDEX('Input Transaksi'!$E:$E,$E271))</f>
        <v/>
      </c>
      <c r="D271" s="5">
        <f>IF($E271="","",INDEX('Input Transaksi'!$F:$F,$E271))</f>
        <v/>
      </c>
      <c r="E271">
        <f>IFERROR(AGGREGATE(15,6,ROW('Input Transaksi'!$B$5:$B$5000)/('Input Transaksi'!$B$5:$B$5000="JCL PEMOGAN"),ROWS($E$5:E271)),"")</f>
        <v/>
      </c>
      <c r="F271" s="5" t="n"/>
    </row>
    <row r="272">
      <c r="A272" s="10">
        <f>IF($E272="","",INDEX('Input Transaksi'!$A:$A,$E272))</f>
        <v/>
      </c>
      <c r="B272" s="5">
        <f>IF($E272="","",INDEX('Input Transaksi'!$D:$D,$E272))</f>
        <v/>
      </c>
      <c r="C272">
        <f>IF($E272="","",INDEX('Input Transaksi'!$E:$E,$E272))</f>
        <v/>
      </c>
      <c r="D272" s="5">
        <f>IF($E272="","",INDEX('Input Transaksi'!$F:$F,$E272))</f>
        <v/>
      </c>
      <c r="E272">
        <f>IFERROR(AGGREGATE(15,6,ROW('Input Transaksi'!$B$5:$B$5000)/('Input Transaksi'!$B$5:$B$5000="JCL PEMOGAN"),ROWS($E$5:E272)),"")</f>
        <v/>
      </c>
      <c r="F272" s="5" t="n"/>
    </row>
    <row r="273">
      <c r="A273" s="10">
        <f>IF($E273="","",INDEX('Input Transaksi'!$A:$A,$E273))</f>
        <v/>
      </c>
      <c r="B273" s="5">
        <f>IF($E273="","",INDEX('Input Transaksi'!$D:$D,$E273))</f>
        <v/>
      </c>
      <c r="C273">
        <f>IF($E273="","",INDEX('Input Transaksi'!$E:$E,$E273))</f>
        <v/>
      </c>
      <c r="D273" s="5">
        <f>IF($E273="","",INDEX('Input Transaksi'!$F:$F,$E273))</f>
        <v/>
      </c>
      <c r="E273">
        <f>IFERROR(AGGREGATE(15,6,ROW('Input Transaksi'!$B$5:$B$5000)/('Input Transaksi'!$B$5:$B$5000="JCL PEMOGAN"),ROWS($E$5:E273)),"")</f>
        <v/>
      </c>
      <c r="F273" s="5" t="n"/>
    </row>
    <row r="274">
      <c r="A274" s="10">
        <f>IF($E274="","",INDEX('Input Transaksi'!$A:$A,$E274))</f>
        <v/>
      </c>
      <c r="B274" s="5">
        <f>IF($E274="","",INDEX('Input Transaksi'!$D:$D,$E274))</f>
        <v/>
      </c>
      <c r="C274">
        <f>IF($E274="","",INDEX('Input Transaksi'!$E:$E,$E274))</f>
        <v/>
      </c>
      <c r="D274" s="5">
        <f>IF($E274="","",INDEX('Input Transaksi'!$F:$F,$E274))</f>
        <v/>
      </c>
      <c r="E274">
        <f>IFERROR(AGGREGATE(15,6,ROW('Input Transaksi'!$B$5:$B$5000)/('Input Transaksi'!$B$5:$B$5000="JCL PEMOGAN"),ROWS($E$5:E274)),"")</f>
        <v/>
      </c>
      <c r="F274" s="5" t="n"/>
    </row>
    <row r="275">
      <c r="A275" s="10">
        <f>IF($E275="","",INDEX('Input Transaksi'!$A:$A,$E275))</f>
        <v/>
      </c>
      <c r="B275" s="5">
        <f>IF($E275="","",INDEX('Input Transaksi'!$D:$D,$E275))</f>
        <v/>
      </c>
      <c r="C275">
        <f>IF($E275="","",INDEX('Input Transaksi'!$E:$E,$E275))</f>
        <v/>
      </c>
      <c r="D275" s="5">
        <f>IF($E275="","",INDEX('Input Transaksi'!$F:$F,$E275))</f>
        <v/>
      </c>
      <c r="E275">
        <f>IFERROR(AGGREGATE(15,6,ROW('Input Transaksi'!$B$5:$B$5000)/('Input Transaksi'!$B$5:$B$5000="JCL PEMOGAN"),ROWS($E$5:E275)),"")</f>
        <v/>
      </c>
      <c r="F275" s="5" t="n"/>
    </row>
    <row r="276">
      <c r="A276" s="10">
        <f>IF($E276="","",INDEX('Input Transaksi'!$A:$A,$E276))</f>
        <v/>
      </c>
      <c r="B276" s="5">
        <f>IF($E276="","",INDEX('Input Transaksi'!$D:$D,$E276))</f>
        <v/>
      </c>
      <c r="C276">
        <f>IF($E276="","",INDEX('Input Transaksi'!$E:$E,$E276))</f>
        <v/>
      </c>
      <c r="D276" s="5">
        <f>IF($E276="","",INDEX('Input Transaksi'!$F:$F,$E276))</f>
        <v/>
      </c>
      <c r="E276">
        <f>IFERROR(AGGREGATE(15,6,ROW('Input Transaksi'!$B$5:$B$5000)/('Input Transaksi'!$B$5:$B$5000="JCL PEMOGAN"),ROWS($E$5:E276)),"")</f>
        <v/>
      </c>
      <c r="F276" s="5" t="n"/>
    </row>
    <row r="277">
      <c r="A277" s="10">
        <f>IF($E277="","",INDEX('Input Transaksi'!$A:$A,$E277))</f>
        <v/>
      </c>
      <c r="B277" s="5">
        <f>IF($E277="","",INDEX('Input Transaksi'!$D:$D,$E277))</f>
        <v/>
      </c>
      <c r="C277">
        <f>IF($E277="","",INDEX('Input Transaksi'!$E:$E,$E277))</f>
        <v/>
      </c>
      <c r="D277" s="5">
        <f>IF($E277="","",INDEX('Input Transaksi'!$F:$F,$E277))</f>
        <v/>
      </c>
      <c r="E277">
        <f>IFERROR(AGGREGATE(15,6,ROW('Input Transaksi'!$B$5:$B$5000)/('Input Transaksi'!$B$5:$B$5000="JCL PEMOGAN"),ROWS($E$5:E277)),"")</f>
        <v/>
      </c>
      <c r="F277" s="5" t="n"/>
    </row>
    <row r="278">
      <c r="A278" s="10">
        <f>IF($E278="","",INDEX('Input Transaksi'!$A:$A,$E278))</f>
        <v/>
      </c>
      <c r="B278" s="5">
        <f>IF($E278="","",INDEX('Input Transaksi'!$D:$D,$E278))</f>
        <v/>
      </c>
      <c r="C278">
        <f>IF($E278="","",INDEX('Input Transaksi'!$E:$E,$E278))</f>
        <v/>
      </c>
      <c r="D278" s="5">
        <f>IF($E278="","",INDEX('Input Transaksi'!$F:$F,$E278))</f>
        <v/>
      </c>
      <c r="E278">
        <f>IFERROR(AGGREGATE(15,6,ROW('Input Transaksi'!$B$5:$B$5000)/('Input Transaksi'!$B$5:$B$5000="JCL PEMOGAN"),ROWS($E$5:E278)),"")</f>
        <v/>
      </c>
      <c r="F278" s="5" t="n"/>
    </row>
    <row r="279">
      <c r="A279" s="10">
        <f>IF($E279="","",INDEX('Input Transaksi'!$A:$A,$E279))</f>
        <v/>
      </c>
      <c r="B279" s="5">
        <f>IF($E279="","",INDEX('Input Transaksi'!$D:$D,$E279))</f>
        <v/>
      </c>
      <c r="C279">
        <f>IF($E279="","",INDEX('Input Transaksi'!$E:$E,$E279))</f>
        <v/>
      </c>
      <c r="D279" s="5">
        <f>IF($E279="","",INDEX('Input Transaksi'!$F:$F,$E279))</f>
        <v/>
      </c>
      <c r="E279">
        <f>IFERROR(AGGREGATE(15,6,ROW('Input Transaksi'!$B$5:$B$5000)/('Input Transaksi'!$B$5:$B$5000="JCL PEMOGAN"),ROWS($E$5:E279)),"")</f>
        <v/>
      </c>
      <c r="F279" s="5" t="n"/>
    </row>
    <row r="280">
      <c r="A280" s="10">
        <f>IF($E280="","",INDEX('Input Transaksi'!$A:$A,$E280))</f>
        <v/>
      </c>
      <c r="B280" s="5">
        <f>IF($E280="","",INDEX('Input Transaksi'!$D:$D,$E280))</f>
        <v/>
      </c>
      <c r="C280">
        <f>IF($E280="","",INDEX('Input Transaksi'!$E:$E,$E280))</f>
        <v/>
      </c>
      <c r="D280" s="5">
        <f>IF($E280="","",INDEX('Input Transaksi'!$F:$F,$E280))</f>
        <v/>
      </c>
      <c r="E280">
        <f>IFERROR(AGGREGATE(15,6,ROW('Input Transaksi'!$B$5:$B$5000)/('Input Transaksi'!$B$5:$B$5000="JCL PEMOGAN"),ROWS($E$5:E280)),"")</f>
        <v/>
      </c>
      <c r="F280" s="5" t="n"/>
    </row>
    <row r="281">
      <c r="A281" s="10">
        <f>IF($E281="","",INDEX('Input Transaksi'!$A:$A,$E281))</f>
        <v/>
      </c>
      <c r="B281" s="5">
        <f>IF($E281="","",INDEX('Input Transaksi'!$D:$D,$E281))</f>
        <v/>
      </c>
      <c r="C281">
        <f>IF($E281="","",INDEX('Input Transaksi'!$E:$E,$E281))</f>
        <v/>
      </c>
      <c r="D281" s="5">
        <f>IF($E281="","",INDEX('Input Transaksi'!$F:$F,$E281))</f>
        <v/>
      </c>
      <c r="E281">
        <f>IFERROR(AGGREGATE(15,6,ROW('Input Transaksi'!$B$5:$B$5000)/('Input Transaksi'!$B$5:$B$5000="JCL PEMOGAN"),ROWS($E$5:E281)),"")</f>
        <v/>
      </c>
      <c r="F281" s="5" t="n"/>
    </row>
    <row r="282">
      <c r="A282" s="10">
        <f>IF($E282="","",INDEX('Input Transaksi'!$A:$A,$E282))</f>
        <v/>
      </c>
      <c r="B282" s="5">
        <f>IF($E282="","",INDEX('Input Transaksi'!$D:$D,$E282))</f>
        <v/>
      </c>
      <c r="C282">
        <f>IF($E282="","",INDEX('Input Transaksi'!$E:$E,$E282))</f>
        <v/>
      </c>
      <c r="D282" s="5">
        <f>IF($E282="","",INDEX('Input Transaksi'!$F:$F,$E282))</f>
        <v/>
      </c>
      <c r="E282">
        <f>IFERROR(AGGREGATE(15,6,ROW('Input Transaksi'!$B$5:$B$5000)/('Input Transaksi'!$B$5:$B$5000="JCL PEMOGAN"),ROWS($E$5:E282)),"")</f>
        <v/>
      </c>
      <c r="F282" s="5" t="n"/>
    </row>
    <row r="283">
      <c r="A283" s="10">
        <f>IF($E283="","",INDEX('Input Transaksi'!$A:$A,$E283))</f>
        <v/>
      </c>
      <c r="B283" s="5">
        <f>IF($E283="","",INDEX('Input Transaksi'!$D:$D,$E283))</f>
        <v/>
      </c>
      <c r="C283">
        <f>IF($E283="","",INDEX('Input Transaksi'!$E:$E,$E283))</f>
        <v/>
      </c>
      <c r="D283" s="5">
        <f>IF($E283="","",INDEX('Input Transaksi'!$F:$F,$E283))</f>
        <v/>
      </c>
      <c r="E283">
        <f>IFERROR(AGGREGATE(15,6,ROW('Input Transaksi'!$B$5:$B$5000)/('Input Transaksi'!$B$5:$B$5000="JCL PEMOGAN"),ROWS($E$5:E283)),"")</f>
        <v/>
      </c>
      <c r="F283" s="5" t="n"/>
    </row>
    <row r="284">
      <c r="A284" s="10">
        <f>IF($E284="","",INDEX('Input Transaksi'!$A:$A,$E284))</f>
        <v/>
      </c>
      <c r="B284" s="5">
        <f>IF($E284="","",INDEX('Input Transaksi'!$D:$D,$E284))</f>
        <v/>
      </c>
      <c r="C284">
        <f>IF($E284="","",INDEX('Input Transaksi'!$E:$E,$E284))</f>
        <v/>
      </c>
      <c r="D284" s="5">
        <f>IF($E284="","",INDEX('Input Transaksi'!$F:$F,$E284))</f>
        <v/>
      </c>
      <c r="E284">
        <f>IFERROR(AGGREGATE(15,6,ROW('Input Transaksi'!$B$5:$B$5000)/('Input Transaksi'!$B$5:$B$5000="JCL PEMOGAN"),ROWS($E$5:E284)),"")</f>
        <v/>
      </c>
      <c r="F284" s="5" t="n"/>
    </row>
    <row r="285">
      <c r="A285" s="10">
        <f>IF($E285="","",INDEX('Input Transaksi'!$A:$A,$E285))</f>
        <v/>
      </c>
      <c r="B285" s="5">
        <f>IF($E285="","",INDEX('Input Transaksi'!$D:$D,$E285))</f>
        <v/>
      </c>
      <c r="C285">
        <f>IF($E285="","",INDEX('Input Transaksi'!$E:$E,$E285))</f>
        <v/>
      </c>
      <c r="D285" s="5">
        <f>IF($E285="","",INDEX('Input Transaksi'!$F:$F,$E285))</f>
        <v/>
      </c>
      <c r="E285">
        <f>IFERROR(AGGREGATE(15,6,ROW('Input Transaksi'!$B$5:$B$5000)/('Input Transaksi'!$B$5:$B$5000="JCL PEMOGAN"),ROWS($E$5:E285)),"")</f>
        <v/>
      </c>
      <c r="F285" s="5" t="n"/>
    </row>
    <row r="286">
      <c r="A286" s="10">
        <f>IF($E286="","",INDEX('Input Transaksi'!$A:$A,$E286))</f>
        <v/>
      </c>
      <c r="B286" s="5">
        <f>IF($E286="","",INDEX('Input Transaksi'!$D:$D,$E286))</f>
        <v/>
      </c>
      <c r="C286">
        <f>IF($E286="","",INDEX('Input Transaksi'!$E:$E,$E286))</f>
        <v/>
      </c>
      <c r="D286" s="5">
        <f>IF($E286="","",INDEX('Input Transaksi'!$F:$F,$E286))</f>
        <v/>
      </c>
      <c r="E286">
        <f>IFERROR(AGGREGATE(15,6,ROW('Input Transaksi'!$B$5:$B$5000)/('Input Transaksi'!$B$5:$B$5000="JCL PEMOGAN"),ROWS($E$5:E286)),"")</f>
        <v/>
      </c>
      <c r="F286" s="5" t="n"/>
    </row>
    <row r="287">
      <c r="A287" s="10">
        <f>IF($E287="","",INDEX('Input Transaksi'!$A:$A,$E287))</f>
        <v/>
      </c>
      <c r="B287" s="5">
        <f>IF($E287="","",INDEX('Input Transaksi'!$D:$D,$E287))</f>
        <v/>
      </c>
      <c r="C287">
        <f>IF($E287="","",INDEX('Input Transaksi'!$E:$E,$E287))</f>
        <v/>
      </c>
      <c r="D287" s="5">
        <f>IF($E287="","",INDEX('Input Transaksi'!$F:$F,$E287))</f>
        <v/>
      </c>
      <c r="E287">
        <f>IFERROR(AGGREGATE(15,6,ROW('Input Transaksi'!$B$5:$B$5000)/('Input Transaksi'!$B$5:$B$5000="JCL PEMOGAN"),ROWS($E$5:E287)),"")</f>
        <v/>
      </c>
      <c r="F287" s="5" t="n"/>
    </row>
    <row r="288">
      <c r="A288" s="10">
        <f>IF($E288="","",INDEX('Input Transaksi'!$A:$A,$E288))</f>
        <v/>
      </c>
      <c r="B288" s="5">
        <f>IF($E288="","",INDEX('Input Transaksi'!$D:$D,$E288))</f>
        <v/>
      </c>
      <c r="C288">
        <f>IF($E288="","",INDEX('Input Transaksi'!$E:$E,$E288))</f>
        <v/>
      </c>
      <c r="D288" s="5">
        <f>IF($E288="","",INDEX('Input Transaksi'!$F:$F,$E288))</f>
        <v/>
      </c>
      <c r="E288">
        <f>IFERROR(AGGREGATE(15,6,ROW('Input Transaksi'!$B$5:$B$5000)/('Input Transaksi'!$B$5:$B$5000="JCL PEMOGAN"),ROWS($E$5:E288)),"")</f>
        <v/>
      </c>
      <c r="F288" s="5" t="n"/>
    </row>
    <row r="289">
      <c r="A289" s="10">
        <f>IF($E289="","",INDEX('Input Transaksi'!$A:$A,$E289))</f>
        <v/>
      </c>
      <c r="B289" s="5">
        <f>IF($E289="","",INDEX('Input Transaksi'!$D:$D,$E289))</f>
        <v/>
      </c>
      <c r="C289">
        <f>IF($E289="","",INDEX('Input Transaksi'!$E:$E,$E289))</f>
        <v/>
      </c>
      <c r="D289" s="5">
        <f>IF($E289="","",INDEX('Input Transaksi'!$F:$F,$E289))</f>
        <v/>
      </c>
      <c r="E289">
        <f>IFERROR(AGGREGATE(15,6,ROW('Input Transaksi'!$B$5:$B$5000)/('Input Transaksi'!$B$5:$B$5000="JCL PEMOGAN"),ROWS($E$5:E289)),"")</f>
        <v/>
      </c>
      <c r="F289" s="5" t="n"/>
    </row>
    <row r="290">
      <c r="A290" s="10">
        <f>IF($E290="","",INDEX('Input Transaksi'!$A:$A,$E290))</f>
        <v/>
      </c>
      <c r="B290" s="5">
        <f>IF($E290="","",INDEX('Input Transaksi'!$D:$D,$E290))</f>
        <v/>
      </c>
      <c r="C290">
        <f>IF($E290="","",INDEX('Input Transaksi'!$E:$E,$E290))</f>
        <v/>
      </c>
      <c r="D290" s="5">
        <f>IF($E290="","",INDEX('Input Transaksi'!$F:$F,$E290))</f>
        <v/>
      </c>
      <c r="E290">
        <f>IFERROR(AGGREGATE(15,6,ROW('Input Transaksi'!$B$5:$B$5000)/('Input Transaksi'!$B$5:$B$5000="JCL PEMOGAN"),ROWS($E$5:E290)),"")</f>
        <v/>
      </c>
      <c r="F290" s="5" t="n"/>
    </row>
    <row r="291">
      <c r="A291" s="10">
        <f>IF($E291="","",INDEX('Input Transaksi'!$A:$A,$E291))</f>
        <v/>
      </c>
      <c r="B291" s="5">
        <f>IF($E291="","",INDEX('Input Transaksi'!$D:$D,$E291))</f>
        <v/>
      </c>
      <c r="C291">
        <f>IF($E291="","",INDEX('Input Transaksi'!$E:$E,$E291))</f>
        <v/>
      </c>
      <c r="D291" s="5">
        <f>IF($E291="","",INDEX('Input Transaksi'!$F:$F,$E291))</f>
        <v/>
      </c>
      <c r="E291">
        <f>IFERROR(AGGREGATE(15,6,ROW('Input Transaksi'!$B$5:$B$5000)/('Input Transaksi'!$B$5:$B$5000="JCL PEMOGAN"),ROWS($E$5:E291)),"")</f>
        <v/>
      </c>
      <c r="F291" s="5" t="n"/>
    </row>
    <row r="292">
      <c r="A292" s="10">
        <f>IF($E292="","",INDEX('Input Transaksi'!$A:$A,$E292))</f>
        <v/>
      </c>
      <c r="B292" s="5">
        <f>IF($E292="","",INDEX('Input Transaksi'!$D:$D,$E292))</f>
        <v/>
      </c>
      <c r="C292">
        <f>IF($E292="","",INDEX('Input Transaksi'!$E:$E,$E292))</f>
        <v/>
      </c>
      <c r="D292" s="5">
        <f>IF($E292="","",INDEX('Input Transaksi'!$F:$F,$E292))</f>
        <v/>
      </c>
      <c r="E292">
        <f>IFERROR(AGGREGATE(15,6,ROW('Input Transaksi'!$B$5:$B$5000)/('Input Transaksi'!$B$5:$B$5000="JCL PEMOGAN"),ROWS($E$5:E292)),"")</f>
        <v/>
      </c>
      <c r="F292" s="5" t="n"/>
    </row>
    <row r="293">
      <c r="A293" s="10">
        <f>IF($E293="","",INDEX('Input Transaksi'!$A:$A,$E293))</f>
        <v/>
      </c>
      <c r="B293" s="5">
        <f>IF($E293="","",INDEX('Input Transaksi'!$D:$D,$E293))</f>
        <v/>
      </c>
      <c r="C293">
        <f>IF($E293="","",INDEX('Input Transaksi'!$E:$E,$E293))</f>
        <v/>
      </c>
      <c r="D293" s="5">
        <f>IF($E293="","",INDEX('Input Transaksi'!$F:$F,$E293))</f>
        <v/>
      </c>
      <c r="E293">
        <f>IFERROR(AGGREGATE(15,6,ROW('Input Transaksi'!$B$5:$B$5000)/('Input Transaksi'!$B$5:$B$5000="JCL PEMOGAN"),ROWS($E$5:E293)),"")</f>
        <v/>
      </c>
      <c r="F293" s="5" t="n"/>
    </row>
    <row r="294">
      <c r="A294" s="10">
        <f>IF($E294="","",INDEX('Input Transaksi'!$A:$A,$E294))</f>
        <v/>
      </c>
      <c r="B294" s="5">
        <f>IF($E294="","",INDEX('Input Transaksi'!$D:$D,$E294))</f>
        <v/>
      </c>
      <c r="C294">
        <f>IF($E294="","",INDEX('Input Transaksi'!$E:$E,$E294))</f>
        <v/>
      </c>
      <c r="D294" s="5">
        <f>IF($E294="","",INDEX('Input Transaksi'!$F:$F,$E294))</f>
        <v/>
      </c>
      <c r="E294">
        <f>IFERROR(AGGREGATE(15,6,ROW('Input Transaksi'!$B$5:$B$5000)/('Input Transaksi'!$B$5:$B$5000="JCL PEMOGAN"),ROWS($E$5:E294)),"")</f>
        <v/>
      </c>
      <c r="F294" s="5" t="n"/>
    </row>
    <row r="295">
      <c r="A295" s="10">
        <f>IF($E295="","",INDEX('Input Transaksi'!$A:$A,$E295))</f>
        <v/>
      </c>
      <c r="B295" s="5">
        <f>IF($E295="","",INDEX('Input Transaksi'!$D:$D,$E295))</f>
        <v/>
      </c>
      <c r="C295">
        <f>IF($E295="","",INDEX('Input Transaksi'!$E:$E,$E295))</f>
        <v/>
      </c>
      <c r="D295" s="5">
        <f>IF($E295="","",INDEX('Input Transaksi'!$F:$F,$E295))</f>
        <v/>
      </c>
      <c r="E295">
        <f>IFERROR(AGGREGATE(15,6,ROW('Input Transaksi'!$B$5:$B$5000)/('Input Transaksi'!$B$5:$B$5000="JCL PEMOGAN"),ROWS($E$5:E295)),"")</f>
        <v/>
      </c>
      <c r="F295" s="5" t="n"/>
    </row>
    <row r="296">
      <c r="A296" s="10">
        <f>IF($E296="","",INDEX('Input Transaksi'!$A:$A,$E296))</f>
        <v/>
      </c>
      <c r="B296" s="5">
        <f>IF($E296="","",INDEX('Input Transaksi'!$D:$D,$E296))</f>
        <v/>
      </c>
      <c r="C296">
        <f>IF($E296="","",INDEX('Input Transaksi'!$E:$E,$E296))</f>
        <v/>
      </c>
      <c r="D296" s="5">
        <f>IF($E296="","",INDEX('Input Transaksi'!$F:$F,$E296))</f>
        <v/>
      </c>
      <c r="E296">
        <f>IFERROR(AGGREGATE(15,6,ROW('Input Transaksi'!$B$5:$B$5000)/('Input Transaksi'!$B$5:$B$5000="JCL PEMOGAN"),ROWS($E$5:E296)),"")</f>
        <v/>
      </c>
      <c r="F296" s="5" t="n"/>
    </row>
    <row r="297">
      <c r="A297" s="10">
        <f>IF($E297="","",INDEX('Input Transaksi'!$A:$A,$E297))</f>
        <v/>
      </c>
      <c r="B297" s="5">
        <f>IF($E297="","",INDEX('Input Transaksi'!$D:$D,$E297))</f>
        <v/>
      </c>
      <c r="C297">
        <f>IF($E297="","",INDEX('Input Transaksi'!$E:$E,$E297))</f>
        <v/>
      </c>
      <c r="D297" s="5">
        <f>IF($E297="","",INDEX('Input Transaksi'!$F:$F,$E297))</f>
        <v/>
      </c>
      <c r="E297">
        <f>IFERROR(AGGREGATE(15,6,ROW('Input Transaksi'!$B$5:$B$5000)/('Input Transaksi'!$B$5:$B$5000="JCL PEMOGAN"),ROWS($E$5:E297)),"")</f>
        <v/>
      </c>
      <c r="F297" s="5" t="n"/>
    </row>
    <row r="298">
      <c r="A298" s="10">
        <f>IF($E298="","",INDEX('Input Transaksi'!$A:$A,$E298))</f>
        <v/>
      </c>
      <c r="B298" s="5">
        <f>IF($E298="","",INDEX('Input Transaksi'!$D:$D,$E298))</f>
        <v/>
      </c>
      <c r="C298">
        <f>IF($E298="","",INDEX('Input Transaksi'!$E:$E,$E298))</f>
        <v/>
      </c>
      <c r="D298" s="5">
        <f>IF($E298="","",INDEX('Input Transaksi'!$F:$F,$E298))</f>
        <v/>
      </c>
      <c r="E298">
        <f>IFERROR(AGGREGATE(15,6,ROW('Input Transaksi'!$B$5:$B$5000)/('Input Transaksi'!$B$5:$B$5000="JCL PEMOGAN"),ROWS($E$5:E298)),"")</f>
        <v/>
      </c>
      <c r="F298" s="5" t="n"/>
    </row>
    <row r="299">
      <c r="A299" s="10">
        <f>IF($E299="","",INDEX('Input Transaksi'!$A:$A,$E299))</f>
        <v/>
      </c>
      <c r="B299" s="5">
        <f>IF($E299="","",INDEX('Input Transaksi'!$D:$D,$E299))</f>
        <v/>
      </c>
      <c r="C299">
        <f>IF($E299="","",INDEX('Input Transaksi'!$E:$E,$E299))</f>
        <v/>
      </c>
      <c r="D299" s="5">
        <f>IF($E299="","",INDEX('Input Transaksi'!$F:$F,$E299))</f>
        <v/>
      </c>
      <c r="E299">
        <f>IFERROR(AGGREGATE(15,6,ROW('Input Transaksi'!$B$5:$B$5000)/('Input Transaksi'!$B$5:$B$5000="JCL PEMOGAN"),ROWS($E$5:E299)),"")</f>
        <v/>
      </c>
      <c r="F299" s="5" t="n"/>
    </row>
    <row r="300">
      <c r="A300" s="10">
        <f>IF($E300="","",INDEX('Input Transaksi'!$A:$A,$E300))</f>
        <v/>
      </c>
      <c r="B300" s="5">
        <f>IF($E300="","",INDEX('Input Transaksi'!$D:$D,$E300))</f>
        <v/>
      </c>
      <c r="C300">
        <f>IF($E300="","",INDEX('Input Transaksi'!$E:$E,$E300))</f>
        <v/>
      </c>
      <c r="D300" s="5">
        <f>IF($E300="","",INDEX('Input Transaksi'!$F:$F,$E300))</f>
        <v/>
      </c>
      <c r="E300">
        <f>IFERROR(AGGREGATE(15,6,ROW('Input Transaksi'!$B$5:$B$5000)/('Input Transaksi'!$B$5:$B$5000="JCL PEMOGAN"),ROWS($E$5:E300)),"")</f>
        <v/>
      </c>
      <c r="F300" s="5" t="n"/>
    </row>
    <row r="301">
      <c r="A301" s="10">
        <f>IF($E301="","",INDEX('Input Transaksi'!$A:$A,$E301))</f>
        <v/>
      </c>
      <c r="B301" s="5">
        <f>IF($E301="","",INDEX('Input Transaksi'!$D:$D,$E301))</f>
        <v/>
      </c>
      <c r="C301">
        <f>IF($E301="","",INDEX('Input Transaksi'!$E:$E,$E301))</f>
        <v/>
      </c>
      <c r="D301" s="5">
        <f>IF($E301="","",INDEX('Input Transaksi'!$F:$F,$E301))</f>
        <v/>
      </c>
      <c r="E301">
        <f>IFERROR(AGGREGATE(15,6,ROW('Input Transaksi'!$B$5:$B$5000)/('Input Transaksi'!$B$5:$B$5000="JCL PEMOGAN"),ROWS($E$5:E301)),"")</f>
        <v/>
      </c>
      <c r="F301" s="5" t="n"/>
    </row>
    <row r="302">
      <c r="A302" s="10">
        <f>IF($E302="","",INDEX('Input Transaksi'!$A:$A,$E302))</f>
        <v/>
      </c>
      <c r="B302" s="5">
        <f>IF($E302="","",INDEX('Input Transaksi'!$D:$D,$E302))</f>
        <v/>
      </c>
      <c r="C302">
        <f>IF($E302="","",INDEX('Input Transaksi'!$E:$E,$E302))</f>
        <v/>
      </c>
      <c r="D302" s="5">
        <f>IF($E302="","",INDEX('Input Transaksi'!$F:$F,$E302))</f>
        <v/>
      </c>
      <c r="E302">
        <f>IFERROR(AGGREGATE(15,6,ROW('Input Transaksi'!$B$5:$B$5000)/('Input Transaksi'!$B$5:$B$5000="JCL PEMOGAN"),ROWS($E$5:E302)),"")</f>
        <v/>
      </c>
      <c r="F302" s="5" t="n"/>
    </row>
    <row r="303">
      <c r="A303" s="10">
        <f>IF($E303="","",INDEX('Input Transaksi'!$A:$A,$E303))</f>
        <v/>
      </c>
      <c r="B303" s="5">
        <f>IF($E303="","",INDEX('Input Transaksi'!$D:$D,$E303))</f>
        <v/>
      </c>
      <c r="C303">
        <f>IF($E303="","",INDEX('Input Transaksi'!$E:$E,$E303))</f>
        <v/>
      </c>
      <c r="D303" s="5">
        <f>IF($E303="","",INDEX('Input Transaksi'!$F:$F,$E303))</f>
        <v/>
      </c>
      <c r="E303">
        <f>IFERROR(AGGREGATE(15,6,ROW('Input Transaksi'!$B$5:$B$5000)/('Input Transaksi'!$B$5:$B$5000="JCL PEMOGAN"),ROWS($E$5:E303)),"")</f>
        <v/>
      </c>
      <c r="F303" s="5" t="n"/>
    </row>
    <row r="304">
      <c r="A304" s="10">
        <f>IF($E304="","",INDEX('Input Transaksi'!$A:$A,$E304))</f>
        <v/>
      </c>
      <c r="B304" s="5">
        <f>IF($E304="","",INDEX('Input Transaksi'!$D:$D,$E304))</f>
        <v/>
      </c>
      <c r="C304">
        <f>IF($E304="","",INDEX('Input Transaksi'!$E:$E,$E304))</f>
        <v/>
      </c>
      <c r="D304" s="5">
        <f>IF($E304="","",INDEX('Input Transaksi'!$F:$F,$E304))</f>
        <v/>
      </c>
      <c r="E304">
        <f>IFERROR(AGGREGATE(15,6,ROW('Input Transaksi'!$B$5:$B$5000)/('Input Transaksi'!$B$5:$B$5000="JCL PEMOGAN"),ROWS($E$5:E304)),"")</f>
        <v/>
      </c>
      <c r="F304" s="5" t="n"/>
    </row>
    <row r="305">
      <c r="A305" s="10">
        <f>IF($E305="","",INDEX('Input Transaksi'!$A:$A,$E305))</f>
        <v/>
      </c>
      <c r="B305" s="5">
        <f>IF($E305="","",INDEX('Input Transaksi'!$D:$D,$E305))</f>
        <v/>
      </c>
      <c r="C305">
        <f>IF($E305="","",INDEX('Input Transaksi'!$E:$E,$E305))</f>
        <v/>
      </c>
      <c r="D305" s="5">
        <f>IF($E305="","",INDEX('Input Transaksi'!$F:$F,$E305))</f>
        <v/>
      </c>
      <c r="E305">
        <f>IFERROR(AGGREGATE(15,6,ROW('Input Transaksi'!$B$5:$B$5000)/('Input Transaksi'!$B$5:$B$5000="JCL PEMOGAN"),ROWS($E$5:E305)),"")</f>
        <v/>
      </c>
      <c r="F305" s="5" t="n"/>
    </row>
    <row r="306">
      <c r="A306" s="10">
        <f>IF($E306="","",INDEX('Input Transaksi'!$A:$A,$E306))</f>
        <v/>
      </c>
      <c r="B306" s="5">
        <f>IF($E306="","",INDEX('Input Transaksi'!$D:$D,$E306))</f>
        <v/>
      </c>
      <c r="C306">
        <f>IF($E306="","",INDEX('Input Transaksi'!$E:$E,$E306))</f>
        <v/>
      </c>
      <c r="D306" s="5">
        <f>IF($E306="","",INDEX('Input Transaksi'!$F:$F,$E306))</f>
        <v/>
      </c>
      <c r="E306">
        <f>IFERROR(AGGREGATE(15,6,ROW('Input Transaksi'!$B$5:$B$5000)/('Input Transaksi'!$B$5:$B$5000="JCL PEMOGAN"),ROWS($E$5:E306)),"")</f>
        <v/>
      </c>
      <c r="F306" s="5" t="n"/>
    </row>
    <row r="307">
      <c r="A307" s="10">
        <f>IF($E307="","",INDEX('Input Transaksi'!$A:$A,$E307))</f>
        <v/>
      </c>
      <c r="B307" s="5">
        <f>IF($E307="","",INDEX('Input Transaksi'!$D:$D,$E307))</f>
        <v/>
      </c>
      <c r="C307">
        <f>IF($E307="","",INDEX('Input Transaksi'!$E:$E,$E307))</f>
        <v/>
      </c>
      <c r="D307" s="5">
        <f>IF($E307="","",INDEX('Input Transaksi'!$F:$F,$E307))</f>
        <v/>
      </c>
      <c r="E307">
        <f>IFERROR(AGGREGATE(15,6,ROW('Input Transaksi'!$B$5:$B$5000)/('Input Transaksi'!$B$5:$B$5000="JCL PEMOGAN"),ROWS($E$5:E307)),"")</f>
        <v/>
      </c>
      <c r="F307" s="5" t="n"/>
    </row>
    <row r="308">
      <c r="A308" s="10">
        <f>IF($E308="","",INDEX('Input Transaksi'!$A:$A,$E308))</f>
        <v/>
      </c>
      <c r="B308" s="5">
        <f>IF($E308="","",INDEX('Input Transaksi'!$D:$D,$E308))</f>
        <v/>
      </c>
      <c r="C308">
        <f>IF($E308="","",INDEX('Input Transaksi'!$E:$E,$E308))</f>
        <v/>
      </c>
      <c r="D308" s="5">
        <f>IF($E308="","",INDEX('Input Transaksi'!$F:$F,$E308))</f>
        <v/>
      </c>
      <c r="E308">
        <f>IFERROR(AGGREGATE(15,6,ROW('Input Transaksi'!$B$5:$B$5000)/('Input Transaksi'!$B$5:$B$5000="JCL PEMOGAN"),ROWS($E$5:E308)),"")</f>
        <v/>
      </c>
      <c r="F308" s="5" t="n"/>
    </row>
    <row r="309">
      <c r="A309" s="10">
        <f>IF($E309="","",INDEX('Input Transaksi'!$A:$A,$E309))</f>
        <v/>
      </c>
      <c r="B309" s="5">
        <f>IF($E309="","",INDEX('Input Transaksi'!$D:$D,$E309))</f>
        <v/>
      </c>
      <c r="C309">
        <f>IF($E309="","",INDEX('Input Transaksi'!$E:$E,$E309))</f>
        <v/>
      </c>
      <c r="D309" s="5">
        <f>IF($E309="","",INDEX('Input Transaksi'!$F:$F,$E309))</f>
        <v/>
      </c>
      <c r="E309">
        <f>IFERROR(AGGREGATE(15,6,ROW('Input Transaksi'!$B$5:$B$5000)/('Input Transaksi'!$B$5:$B$5000="JCL PEMOGAN"),ROWS($E$5:E309)),"")</f>
        <v/>
      </c>
      <c r="F309" s="5" t="n"/>
    </row>
    <row r="310">
      <c r="A310" s="10">
        <f>IF($E310="","",INDEX('Input Transaksi'!$A:$A,$E310))</f>
        <v/>
      </c>
      <c r="B310" s="5">
        <f>IF($E310="","",INDEX('Input Transaksi'!$D:$D,$E310))</f>
        <v/>
      </c>
      <c r="C310">
        <f>IF($E310="","",INDEX('Input Transaksi'!$E:$E,$E310))</f>
        <v/>
      </c>
      <c r="D310" s="5">
        <f>IF($E310="","",INDEX('Input Transaksi'!$F:$F,$E310))</f>
        <v/>
      </c>
      <c r="E310">
        <f>IFERROR(AGGREGATE(15,6,ROW('Input Transaksi'!$B$5:$B$5000)/('Input Transaksi'!$B$5:$B$5000="JCL PEMOGAN"),ROWS($E$5:E310)),"")</f>
        <v/>
      </c>
      <c r="F310" s="5" t="n"/>
    </row>
    <row r="311">
      <c r="A311" s="10">
        <f>IF($E311="","",INDEX('Input Transaksi'!$A:$A,$E311))</f>
        <v/>
      </c>
      <c r="B311" s="5">
        <f>IF($E311="","",INDEX('Input Transaksi'!$D:$D,$E311))</f>
        <v/>
      </c>
      <c r="C311">
        <f>IF($E311="","",INDEX('Input Transaksi'!$E:$E,$E311))</f>
        <v/>
      </c>
      <c r="D311" s="5">
        <f>IF($E311="","",INDEX('Input Transaksi'!$F:$F,$E311))</f>
        <v/>
      </c>
      <c r="E311">
        <f>IFERROR(AGGREGATE(15,6,ROW('Input Transaksi'!$B$5:$B$5000)/('Input Transaksi'!$B$5:$B$5000="JCL PEMOGAN"),ROWS($E$5:E311)),"")</f>
        <v/>
      </c>
      <c r="F311" s="5" t="n"/>
    </row>
    <row r="312">
      <c r="A312" s="10">
        <f>IF($E312="","",INDEX('Input Transaksi'!$A:$A,$E312))</f>
        <v/>
      </c>
      <c r="B312" s="5">
        <f>IF($E312="","",INDEX('Input Transaksi'!$D:$D,$E312))</f>
        <v/>
      </c>
      <c r="C312">
        <f>IF($E312="","",INDEX('Input Transaksi'!$E:$E,$E312))</f>
        <v/>
      </c>
      <c r="D312" s="5">
        <f>IF($E312="","",INDEX('Input Transaksi'!$F:$F,$E312))</f>
        <v/>
      </c>
      <c r="E312">
        <f>IFERROR(AGGREGATE(15,6,ROW('Input Transaksi'!$B$5:$B$5000)/('Input Transaksi'!$B$5:$B$5000="JCL PEMOGAN"),ROWS($E$5:E312)),"")</f>
        <v/>
      </c>
      <c r="F312" s="5" t="n"/>
    </row>
    <row r="313">
      <c r="A313" s="10">
        <f>IF($E313="","",INDEX('Input Transaksi'!$A:$A,$E313))</f>
        <v/>
      </c>
      <c r="B313" s="5">
        <f>IF($E313="","",INDEX('Input Transaksi'!$D:$D,$E313))</f>
        <v/>
      </c>
      <c r="C313">
        <f>IF($E313="","",INDEX('Input Transaksi'!$E:$E,$E313))</f>
        <v/>
      </c>
      <c r="D313" s="5">
        <f>IF($E313="","",INDEX('Input Transaksi'!$F:$F,$E313))</f>
        <v/>
      </c>
      <c r="E313">
        <f>IFERROR(AGGREGATE(15,6,ROW('Input Transaksi'!$B$5:$B$5000)/('Input Transaksi'!$B$5:$B$5000="JCL PEMOGAN"),ROWS($E$5:E313)),"")</f>
        <v/>
      </c>
      <c r="F313" s="5" t="n"/>
    </row>
    <row r="314">
      <c r="A314" s="10">
        <f>IF($E314="","",INDEX('Input Transaksi'!$A:$A,$E314))</f>
        <v/>
      </c>
      <c r="B314" s="5">
        <f>IF($E314="","",INDEX('Input Transaksi'!$D:$D,$E314))</f>
        <v/>
      </c>
      <c r="C314">
        <f>IF($E314="","",INDEX('Input Transaksi'!$E:$E,$E314))</f>
        <v/>
      </c>
      <c r="D314" s="5">
        <f>IF($E314="","",INDEX('Input Transaksi'!$F:$F,$E314))</f>
        <v/>
      </c>
      <c r="E314">
        <f>IFERROR(AGGREGATE(15,6,ROW('Input Transaksi'!$B$5:$B$5000)/('Input Transaksi'!$B$5:$B$5000="JCL PEMOGAN"),ROWS($E$5:E314)),"")</f>
        <v/>
      </c>
      <c r="F314" s="5" t="n"/>
    </row>
    <row r="315">
      <c r="A315" s="10">
        <f>IF($E315="","",INDEX('Input Transaksi'!$A:$A,$E315))</f>
        <v/>
      </c>
      <c r="B315" s="5">
        <f>IF($E315="","",INDEX('Input Transaksi'!$D:$D,$E315))</f>
        <v/>
      </c>
      <c r="C315">
        <f>IF($E315="","",INDEX('Input Transaksi'!$E:$E,$E315))</f>
        <v/>
      </c>
      <c r="D315" s="5">
        <f>IF($E315="","",INDEX('Input Transaksi'!$F:$F,$E315))</f>
        <v/>
      </c>
      <c r="E315">
        <f>IFERROR(AGGREGATE(15,6,ROW('Input Transaksi'!$B$5:$B$5000)/('Input Transaksi'!$B$5:$B$5000="JCL PEMOGAN"),ROWS($E$5:E315)),"")</f>
        <v/>
      </c>
      <c r="F315" s="5" t="n"/>
    </row>
    <row r="316">
      <c r="A316" s="10">
        <f>IF($E316="","",INDEX('Input Transaksi'!$A:$A,$E316))</f>
        <v/>
      </c>
      <c r="B316" s="5">
        <f>IF($E316="","",INDEX('Input Transaksi'!$D:$D,$E316))</f>
        <v/>
      </c>
      <c r="C316">
        <f>IF($E316="","",INDEX('Input Transaksi'!$E:$E,$E316))</f>
        <v/>
      </c>
      <c r="D316" s="5">
        <f>IF($E316="","",INDEX('Input Transaksi'!$F:$F,$E316))</f>
        <v/>
      </c>
      <c r="E316">
        <f>IFERROR(AGGREGATE(15,6,ROW('Input Transaksi'!$B$5:$B$5000)/('Input Transaksi'!$B$5:$B$5000="JCL PEMOGAN"),ROWS($E$5:E316)),"")</f>
        <v/>
      </c>
      <c r="F316" s="5" t="n"/>
    </row>
    <row r="317">
      <c r="A317" s="10">
        <f>IF($E317="","",INDEX('Input Transaksi'!$A:$A,$E317))</f>
        <v/>
      </c>
      <c r="B317" s="5">
        <f>IF($E317="","",INDEX('Input Transaksi'!$D:$D,$E317))</f>
        <v/>
      </c>
      <c r="C317">
        <f>IF($E317="","",INDEX('Input Transaksi'!$E:$E,$E317))</f>
        <v/>
      </c>
      <c r="D317" s="5">
        <f>IF($E317="","",INDEX('Input Transaksi'!$F:$F,$E317))</f>
        <v/>
      </c>
      <c r="E317">
        <f>IFERROR(AGGREGATE(15,6,ROW('Input Transaksi'!$B$5:$B$5000)/('Input Transaksi'!$B$5:$B$5000="JCL PEMOGAN"),ROWS($E$5:E317)),"")</f>
        <v/>
      </c>
      <c r="F317" s="5" t="n"/>
    </row>
    <row r="318">
      <c r="A318" s="10">
        <f>IF($E318="","",INDEX('Input Transaksi'!$A:$A,$E318))</f>
        <v/>
      </c>
      <c r="B318" s="5">
        <f>IF($E318="","",INDEX('Input Transaksi'!$D:$D,$E318))</f>
        <v/>
      </c>
      <c r="C318">
        <f>IF($E318="","",INDEX('Input Transaksi'!$E:$E,$E318))</f>
        <v/>
      </c>
      <c r="D318" s="5">
        <f>IF($E318="","",INDEX('Input Transaksi'!$F:$F,$E318))</f>
        <v/>
      </c>
      <c r="E318">
        <f>IFERROR(AGGREGATE(15,6,ROW('Input Transaksi'!$B$5:$B$5000)/('Input Transaksi'!$B$5:$B$5000="JCL PEMOGAN"),ROWS($E$5:E318)),"")</f>
        <v/>
      </c>
      <c r="F318" s="5" t="n"/>
    </row>
    <row r="319">
      <c r="A319" s="10">
        <f>IF($E319="","",INDEX('Input Transaksi'!$A:$A,$E319))</f>
        <v/>
      </c>
      <c r="B319" s="5">
        <f>IF($E319="","",INDEX('Input Transaksi'!$D:$D,$E319))</f>
        <v/>
      </c>
      <c r="C319">
        <f>IF($E319="","",INDEX('Input Transaksi'!$E:$E,$E319))</f>
        <v/>
      </c>
      <c r="D319" s="5">
        <f>IF($E319="","",INDEX('Input Transaksi'!$F:$F,$E319))</f>
        <v/>
      </c>
      <c r="E319">
        <f>IFERROR(AGGREGATE(15,6,ROW('Input Transaksi'!$B$5:$B$5000)/('Input Transaksi'!$B$5:$B$5000="JCL PEMOGAN"),ROWS($E$5:E319)),"")</f>
        <v/>
      </c>
      <c r="F319" s="5" t="n"/>
    </row>
    <row r="320">
      <c r="A320" s="10">
        <f>IF($E320="","",INDEX('Input Transaksi'!$A:$A,$E320))</f>
        <v/>
      </c>
      <c r="B320" s="5">
        <f>IF($E320="","",INDEX('Input Transaksi'!$D:$D,$E320))</f>
        <v/>
      </c>
      <c r="C320">
        <f>IF($E320="","",INDEX('Input Transaksi'!$E:$E,$E320))</f>
        <v/>
      </c>
      <c r="D320" s="5">
        <f>IF($E320="","",INDEX('Input Transaksi'!$F:$F,$E320))</f>
        <v/>
      </c>
      <c r="E320">
        <f>IFERROR(AGGREGATE(15,6,ROW('Input Transaksi'!$B$5:$B$5000)/('Input Transaksi'!$B$5:$B$5000="JCL PEMOGAN"),ROWS($E$5:E320)),"")</f>
        <v/>
      </c>
      <c r="F320" s="5" t="n"/>
    </row>
    <row r="321">
      <c r="A321" s="10">
        <f>IF($E321="","",INDEX('Input Transaksi'!$A:$A,$E321))</f>
        <v/>
      </c>
      <c r="B321" s="5">
        <f>IF($E321="","",INDEX('Input Transaksi'!$D:$D,$E321))</f>
        <v/>
      </c>
      <c r="C321">
        <f>IF($E321="","",INDEX('Input Transaksi'!$E:$E,$E321))</f>
        <v/>
      </c>
      <c r="D321" s="5">
        <f>IF($E321="","",INDEX('Input Transaksi'!$F:$F,$E321))</f>
        <v/>
      </c>
      <c r="E321">
        <f>IFERROR(AGGREGATE(15,6,ROW('Input Transaksi'!$B$5:$B$5000)/('Input Transaksi'!$B$5:$B$5000="JCL PEMOGAN"),ROWS($E$5:E321)),"")</f>
        <v/>
      </c>
      <c r="F321" s="5" t="n"/>
    </row>
    <row r="322">
      <c r="A322" s="10">
        <f>IF($E322="","",INDEX('Input Transaksi'!$A:$A,$E322))</f>
        <v/>
      </c>
      <c r="B322" s="5">
        <f>IF($E322="","",INDEX('Input Transaksi'!$D:$D,$E322))</f>
        <v/>
      </c>
      <c r="C322">
        <f>IF($E322="","",INDEX('Input Transaksi'!$E:$E,$E322))</f>
        <v/>
      </c>
      <c r="D322" s="5">
        <f>IF($E322="","",INDEX('Input Transaksi'!$F:$F,$E322))</f>
        <v/>
      </c>
      <c r="E322">
        <f>IFERROR(AGGREGATE(15,6,ROW('Input Transaksi'!$B$5:$B$5000)/('Input Transaksi'!$B$5:$B$5000="JCL PEMOGAN"),ROWS($E$5:E322)),"")</f>
        <v/>
      </c>
      <c r="F322" s="5" t="n"/>
    </row>
    <row r="323">
      <c r="A323" s="10">
        <f>IF($E323="","",INDEX('Input Transaksi'!$A:$A,$E323))</f>
        <v/>
      </c>
      <c r="B323" s="5">
        <f>IF($E323="","",INDEX('Input Transaksi'!$D:$D,$E323))</f>
        <v/>
      </c>
      <c r="C323">
        <f>IF($E323="","",INDEX('Input Transaksi'!$E:$E,$E323))</f>
        <v/>
      </c>
      <c r="D323" s="5">
        <f>IF($E323="","",INDEX('Input Transaksi'!$F:$F,$E323))</f>
        <v/>
      </c>
      <c r="E323">
        <f>IFERROR(AGGREGATE(15,6,ROW('Input Transaksi'!$B$5:$B$5000)/('Input Transaksi'!$B$5:$B$5000="JCL PEMOGAN"),ROWS($E$5:E323)),"")</f>
        <v/>
      </c>
      <c r="F323" s="5" t="n"/>
    </row>
    <row r="324">
      <c r="A324" s="10">
        <f>IF($E324="","",INDEX('Input Transaksi'!$A:$A,$E324))</f>
        <v/>
      </c>
      <c r="B324" s="5">
        <f>IF($E324="","",INDEX('Input Transaksi'!$D:$D,$E324))</f>
        <v/>
      </c>
      <c r="C324">
        <f>IF($E324="","",INDEX('Input Transaksi'!$E:$E,$E324))</f>
        <v/>
      </c>
      <c r="D324" s="5">
        <f>IF($E324="","",INDEX('Input Transaksi'!$F:$F,$E324))</f>
        <v/>
      </c>
      <c r="E324">
        <f>IFERROR(AGGREGATE(15,6,ROW('Input Transaksi'!$B$5:$B$5000)/('Input Transaksi'!$B$5:$B$5000="JCL PEMOGAN"),ROWS($E$5:E324)),"")</f>
        <v/>
      </c>
      <c r="F324" s="5" t="n"/>
    </row>
    <row r="325">
      <c r="A325" s="10">
        <f>IF($E325="","",INDEX('Input Transaksi'!$A:$A,$E325))</f>
        <v/>
      </c>
      <c r="B325" s="5">
        <f>IF($E325="","",INDEX('Input Transaksi'!$D:$D,$E325))</f>
        <v/>
      </c>
      <c r="C325">
        <f>IF($E325="","",INDEX('Input Transaksi'!$E:$E,$E325))</f>
        <v/>
      </c>
      <c r="D325" s="5">
        <f>IF($E325="","",INDEX('Input Transaksi'!$F:$F,$E325))</f>
        <v/>
      </c>
      <c r="E325">
        <f>IFERROR(AGGREGATE(15,6,ROW('Input Transaksi'!$B$5:$B$5000)/('Input Transaksi'!$B$5:$B$5000="JCL PEMOGAN"),ROWS($E$5:E325)),"")</f>
        <v/>
      </c>
      <c r="F325" s="5" t="n"/>
    </row>
    <row r="326">
      <c r="A326" s="10">
        <f>IF($E326="","",INDEX('Input Transaksi'!$A:$A,$E326))</f>
        <v/>
      </c>
      <c r="B326" s="5">
        <f>IF($E326="","",INDEX('Input Transaksi'!$D:$D,$E326))</f>
        <v/>
      </c>
      <c r="C326">
        <f>IF($E326="","",INDEX('Input Transaksi'!$E:$E,$E326))</f>
        <v/>
      </c>
      <c r="D326" s="5">
        <f>IF($E326="","",INDEX('Input Transaksi'!$F:$F,$E326))</f>
        <v/>
      </c>
      <c r="E326">
        <f>IFERROR(AGGREGATE(15,6,ROW('Input Transaksi'!$B$5:$B$5000)/('Input Transaksi'!$B$5:$B$5000="JCL PEMOGAN"),ROWS($E$5:E326)),"")</f>
        <v/>
      </c>
      <c r="F326" s="5" t="n"/>
    </row>
    <row r="327">
      <c r="A327" s="10">
        <f>IF($E327="","",INDEX('Input Transaksi'!$A:$A,$E327))</f>
        <v/>
      </c>
      <c r="B327" s="5">
        <f>IF($E327="","",INDEX('Input Transaksi'!$D:$D,$E327))</f>
        <v/>
      </c>
      <c r="C327">
        <f>IF($E327="","",INDEX('Input Transaksi'!$E:$E,$E327))</f>
        <v/>
      </c>
      <c r="D327" s="5">
        <f>IF($E327="","",INDEX('Input Transaksi'!$F:$F,$E327))</f>
        <v/>
      </c>
      <c r="E327">
        <f>IFERROR(AGGREGATE(15,6,ROW('Input Transaksi'!$B$5:$B$5000)/('Input Transaksi'!$B$5:$B$5000="JCL PEMOGAN"),ROWS($E$5:E327)),"")</f>
        <v/>
      </c>
      <c r="F327" s="5" t="n"/>
    </row>
    <row r="328">
      <c r="A328" s="10">
        <f>IF($E328="","",INDEX('Input Transaksi'!$A:$A,$E328))</f>
        <v/>
      </c>
      <c r="B328" s="5">
        <f>IF($E328="","",INDEX('Input Transaksi'!$D:$D,$E328))</f>
        <v/>
      </c>
      <c r="C328">
        <f>IF($E328="","",INDEX('Input Transaksi'!$E:$E,$E328))</f>
        <v/>
      </c>
      <c r="D328" s="5">
        <f>IF($E328="","",INDEX('Input Transaksi'!$F:$F,$E328))</f>
        <v/>
      </c>
      <c r="E328">
        <f>IFERROR(AGGREGATE(15,6,ROW('Input Transaksi'!$B$5:$B$5000)/('Input Transaksi'!$B$5:$B$5000="JCL PEMOGAN"),ROWS($E$5:E328)),"")</f>
        <v/>
      </c>
      <c r="F328" s="5" t="n"/>
    </row>
    <row r="329">
      <c r="A329" s="10">
        <f>IF($E329="","",INDEX('Input Transaksi'!$A:$A,$E329))</f>
        <v/>
      </c>
      <c r="B329" s="5">
        <f>IF($E329="","",INDEX('Input Transaksi'!$D:$D,$E329))</f>
        <v/>
      </c>
      <c r="C329">
        <f>IF($E329="","",INDEX('Input Transaksi'!$E:$E,$E329))</f>
        <v/>
      </c>
      <c r="D329" s="5">
        <f>IF($E329="","",INDEX('Input Transaksi'!$F:$F,$E329))</f>
        <v/>
      </c>
      <c r="E329">
        <f>IFERROR(AGGREGATE(15,6,ROW('Input Transaksi'!$B$5:$B$5000)/('Input Transaksi'!$B$5:$B$5000="JCL PEMOGAN"),ROWS($E$5:E329)),"")</f>
        <v/>
      </c>
      <c r="F329" s="5" t="n"/>
    </row>
    <row r="330">
      <c r="A330" s="10">
        <f>IF($E330="","",INDEX('Input Transaksi'!$A:$A,$E330))</f>
        <v/>
      </c>
      <c r="B330" s="5">
        <f>IF($E330="","",INDEX('Input Transaksi'!$D:$D,$E330))</f>
        <v/>
      </c>
      <c r="C330">
        <f>IF($E330="","",INDEX('Input Transaksi'!$E:$E,$E330))</f>
        <v/>
      </c>
      <c r="D330" s="5">
        <f>IF($E330="","",INDEX('Input Transaksi'!$F:$F,$E330))</f>
        <v/>
      </c>
      <c r="E330">
        <f>IFERROR(AGGREGATE(15,6,ROW('Input Transaksi'!$B$5:$B$5000)/('Input Transaksi'!$B$5:$B$5000="JCL PEMOGAN"),ROWS($E$5:E330)),"")</f>
        <v/>
      </c>
      <c r="F330" s="5" t="n"/>
    </row>
    <row r="331">
      <c r="A331" s="10">
        <f>IF($E331="","",INDEX('Input Transaksi'!$A:$A,$E331))</f>
        <v/>
      </c>
      <c r="B331" s="5">
        <f>IF($E331="","",INDEX('Input Transaksi'!$D:$D,$E331))</f>
        <v/>
      </c>
      <c r="C331">
        <f>IF($E331="","",INDEX('Input Transaksi'!$E:$E,$E331))</f>
        <v/>
      </c>
      <c r="D331" s="5">
        <f>IF($E331="","",INDEX('Input Transaksi'!$F:$F,$E331))</f>
        <v/>
      </c>
      <c r="E331">
        <f>IFERROR(AGGREGATE(15,6,ROW('Input Transaksi'!$B$5:$B$5000)/('Input Transaksi'!$B$5:$B$5000="JCL PEMOGAN"),ROWS($E$5:E331)),"")</f>
        <v/>
      </c>
      <c r="F331" s="5" t="n"/>
    </row>
    <row r="332">
      <c r="A332" s="10">
        <f>IF($E332="","",INDEX('Input Transaksi'!$A:$A,$E332))</f>
        <v/>
      </c>
      <c r="B332" s="5">
        <f>IF($E332="","",INDEX('Input Transaksi'!$D:$D,$E332))</f>
        <v/>
      </c>
      <c r="C332">
        <f>IF($E332="","",INDEX('Input Transaksi'!$E:$E,$E332))</f>
        <v/>
      </c>
      <c r="D332" s="5">
        <f>IF($E332="","",INDEX('Input Transaksi'!$F:$F,$E332))</f>
        <v/>
      </c>
      <c r="E332">
        <f>IFERROR(AGGREGATE(15,6,ROW('Input Transaksi'!$B$5:$B$5000)/('Input Transaksi'!$B$5:$B$5000="JCL PEMOGAN"),ROWS($E$5:E332)),"")</f>
        <v/>
      </c>
      <c r="F332" s="5" t="n"/>
    </row>
    <row r="333">
      <c r="A333" s="10">
        <f>IF($E333="","",INDEX('Input Transaksi'!$A:$A,$E333))</f>
        <v/>
      </c>
      <c r="B333" s="5">
        <f>IF($E333="","",INDEX('Input Transaksi'!$D:$D,$E333))</f>
        <v/>
      </c>
      <c r="C333">
        <f>IF($E333="","",INDEX('Input Transaksi'!$E:$E,$E333))</f>
        <v/>
      </c>
      <c r="D333" s="5">
        <f>IF($E333="","",INDEX('Input Transaksi'!$F:$F,$E333))</f>
        <v/>
      </c>
      <c r="E333">
        <f>IFERROR(AGGREGATE(15,6,ROW('Input Transaksi'!$B$5:$B$5000)/('Input Transaksi'!$B$5:$B$5000="JCL PEMOGAN"),ROWS($E$5:E333)),"")</f>
        <v/>
      </c>
      <c r="F333" s="5" t="n"/>
    </row>
    <row r="334">
      <c r="A334" s="10">
        <f>IF($E334="","",INDEX('Input Transaksi'!$A:$A,$E334))</f>
        <v/>
      </c>
      <c r="B334" s="5">
        <f>IF($E334="","",INDEX('Input Transaksi'!$D:$D,$E334))</f>
        <v/>
      </c>
      <c r="C334">
        <f>IF($E334="","",INDEX('Input Transaksi'!$E:$E,$E334))</f>
        <v/>
      </c>
      <c r="D334" s="5">
        <f>IF($E334="","",INDEX('Input Transaksi'!$F:$F,$E334))</f>
        <v/>
      </c>
      <c r="E334">
        <f>IFERROR(AGGREGATE(15,6,ROW('Input Transaksi'!$B$5:$B$5000)/('Input Transaksi'!$B$5:$B$5000="JCL PEMOGAN"),ROWS($E$5:E334)),"")</f>
        <v/>
      </c>
      <c r="F334" s="5" t="n"/>
    </row>
    <row r="335">
      <c r="A335" s="10">
        <f>IF($E335="","",INDEX('Input Transaksi'!$A:$A,$E335))</f>
        <v/>
      </c>
      <c r="B335" s="5">
        <f>IF($E335="","",INDEX('Input Transaksi'!$D:$D,$E335))</f>
        <v/>
      </c>
      <c r="C335">
        <f>IF($E335="","",INDEX('Input Transaksi'!$E:$E,$E335))</f>
        <v/>
      </c>
      <c r="D335" s="5">
        <f>IF($E335="","",INDEX('Input Transaksi'!$F:$F,$E335))</f>
        <v/>
      </c>
      <c r="E335">
        <f>IFERROR(AGGREGATE(15,6,ROW('Input Transaksi'!$B$5:$B$5000)/('Input Transaksi'!$B$5:$B$5000="JCL PEMOGAN"),ROWS($E$5:E335)),"")</f>
        <v/>
      </c>
      <c r="F335" s="5" t="n"/>
    </row>
    <row r="336">
      <c r="A336" s="10">
        <f>IF($E336="","",INDEX('Input Transaksi'!$A:$A,$E336))</f>
        <v/>
      </c>
      <c r="B336" s="5">
        <f>IF($E336="","",INDEX('Input Transaksi'!$D:$D,$E336))</f>
        <v/>
      </c>
      <c r="C336">
        <f>IF($E336="","",INDEX('Input Transaksi'!$E:$E,$E336))</f>
        <v/>
      </c>
      <c r="D336" s="5">
        <f>IF($E336="","",INDEX('Input Transaksi'!$F:$F,$E336))</f>
        <v/>
      </c>
      <c r="E336">
        <f>IFERROR(AGGREGATE(15,6,ROW('Input Transaksi'!$B$5:$B$5000)/('Input Transaksi'!$B$5:$B$5000="JCL PEMOGAN"),ROWS($E$5:E336)),"")</f>
        <v/>
      </c>
      <c r="F336" s="5" t="n"/>
    </row>
    <row r="337">
      <c r="A337" s="10">
        <f>IF($E337="","",INDEX('Input Transaksi'!$A:$A,$E337))</f>
        <v/>
      </c>
      <c r="B337" s="5">
        <f>IF($E337="","",INDEX('Input Transaksi'!$D:$D,$E337))</f>
        <v/>
      </c>
      <c r="C337">
        <f>IF($E337="","",INDEX('Input Transaksi'!$E:$E,$E337))</f>
        <v/>
      </c>
      <c r="D337" s="5">
        <f>IF($E337="","",INDEX('Input Transaksi'!$F:$F,$E337))</f>
        <v/>
      </c>
      <c r="E337">
        <f>IFERROR(AGGREGATE(15,6,ROW('Input Transaksi'!$B$5:$B$5000)/('Input Transaksi'!$B$5:$B$5000="JCL PEMOGAN"),ROWS($E$5:E337)),"")</f>
        <v/>
      </c>
      <c r="F337" s="5" t="n"/>
    </row>
    <row r="338">
      <c r="A338" s="10">
        <f>IF($E338="","",INDEX('Input Transaksi'!$A:$A,$E338))</f>
        <v/>
      </c>
      <c r="B338" s="5">
        <f>IF($E338="","",INDEX('Input Transaksi'!$D:$D,$E338))</f>
        <v/>
      </c>
      <c r="C338">
        <f>IF($E338="","",INDEX('Input Transaksi'!$E:$E,$E338))</f>
        <v/>
      </c>
      <c r="D338" s="5">
        <f>IF($E338="","",INDEX('Input Transaksi'!$F:$F,$E338))</f>
        <v/>
      </c>
      <c r="E338">
        <f>IFERROR(AGGREGATE(15,6,ROW('Input Transaksi'!$B$5:$B$5000)/('Input Transaksi'!$B$5:$B$5000="JCL PEMOGAN"),ROWS($E$5:E338)),"")</f>
        <v/>
      </c>
      <c r="F338" s="5" t="n"/>
    </row>
    <row r="339">
      <c r="A339" s="10">
        <f>IF($E339="","",INDEX('Input Transaksi'!$A:$A,$E339))</f>
        <v/>
      </c>
      <c r="B339" s="5">
        <f>IF($E339="","",INDEX('Input Transaksi'!$D:$D,$E339))</f>
        <v/>
      </c>
      <c r="C339">
        <f>IF($E339="","",INDEX('Input Transaksi'!$E:$E,$E339))</f>
        <v/>
      </c>
      <c r="D339" s="5">
        <f>IF($E339="","",INDEX('Input Transaksi'!$F:$F,$E339))</f>
        <v/>
      </c>
      <c r="E339">
        <f>IFERROR(AGGREGATE(15,6,ROW('Input Transaksi'!$B$5:$B$5000)/('Input Transaksi'!$B$5:$B$5000="JCL PEMOGAN"),ROWS($E$5:E339)),"")</f>
        <v/>
      </c>
      <c r="F339" s="5" t="n"/>
    </row>
    <row r="340">
      <c r="A340" s="10">
        <f>IF($E340="","",INDEX('Input Transaksi'!$A:$A,$E340))</f>
        <v/>
      </c>
      <c r="B340" s="5">
        <f>IF($E340="","",INDEX('Input Transaksi'!$D:$D,$E340))</f>
        <v/>
      </c>
      <c r="C340">
        <f>IF($E340="","",INDEX('Input Transaksi'!$E:$E,$E340))</f>
        <v/>
      </c>
      <c r="D340" s="5">
        <f>IF($E340="","",INDEX('Input Transaksi'!$F:$F,$E340))</f>
        <v/>
      </c>
      <c r="E340">
        <f>IFERROR(AGGREGATE(15,6,ROW('Input Transaksi'!$B$5:$B$5000)/('Input Transaksi'!$B$5:$B$5000="JCL PEMOGAN"),ROWS($E$5:E340)),"")</f>
        <v/>
      </c>
      <c r="F340" s="5" t="n"/>
    </row>
    <row r="341">
      <c r="A341" s="10">
        <f>IF($E341="","",INDEX('Input Transaksi'!$A:$A,$E341))</f>
        <v/>
      </c>
      <c r="B341" s="5">
        <f>IF($E341="","",INDEX('Input Transaksi'!$D:$D,$E341))</f>
        <v/>
      </c>
      <c r="C341">
        <f>IF($E341="","",INDEX('Input Transaksi'!$E:$E,$E341))</f>
        <v/>
      </c>
      <c r="D341" s="5">
        <f>IF($E341="","",INDEX('Input Transaksi'!$F:$F,$E341))</f>
        <v/>
      </c>
      <c r="E341">
        <f>IFERROR(AGGREGATE(15,6,ROW('Input Transaksi'!$B$5:$B$5000)/('Input Transaksi'!$B$5:$B$5000="JCL PEMOGAN"),ROWS($E$5:E341)),"")</f>
        <v/>
      </c>
      <c r="F341" s="5" t="n"/>
    </row>
    <row r="342">
      <c r="A342" s="10">
        <f>IF($E342="","",INDEX('Input Transaksi'!$A:$A,$E342))</f>
        <v/>
      </c>
      <c r="B342" s="5">
        <f>IF($E342="","",INDEX('Input Transaksi'!$D:$D,$E342))</f>
        <v/>
      </c>
      <c r="C342">
        <f>IF($E342="","",INDEX('Input Transaksi'!$E:$E,$E342))</f>
        <v/>
      </c>
      <c r="D342" s="5">
        <f>IF($E342="","",INDEX('Input Transaksi'!$F:$F,$E342))</f>
        <v/>
      </c>
      <c r="E342">
        <f>IFERROR(AGGREGATE(15,6,ROW('Input Transaksi'!$B$5:$B$5000)/('Input Transaksi'!$B$5:$B$5000="JCL PEMOGAN"),ROWS($E$5:E342)),"")</f>
        <v/>
      </c>
      <c r="F342" s="5" t="n"/>
    </row>
    <row r="343">
      <c r="A343" s="10">
        <f>IF($E343="","",INDEX('Input Transaksi'!$A:$A,$E343))</f>
        <v/>
      </c>
      <c r="B343" s="5">
        <f>IF($E343="","",INDEX('Input Transaksi'!$D:$D,$E343))</f>
        <v/>
      </c>
      <c r="C343">
        <f>IF($E343="","",INDEX('Input Transaksi'!$E:$E,$E343))</f>
        <v/>
      </c>
      <c r="D343" s="5">
        <f>IF($E343="","",INDEX('Input Transaksi'!$F:$F,$E343))</f>
        <v/>
      </c>
      <c r="E343">
        <f>IFERROR(AGGREGATE(15,6,ROW('Input Transaksi'!$B$5:$B$5000)/('Input Transaksi'!$B$5:$B$5000="JCL PEMOGAN"),ROWS($E$5:E343)),"")</f>
        <v/>
      </c>
      <c r="F343" s="5" t="n"/>
    </row>
    <row r="344">
      <c r="A344" s="10">
        <f>IF($E344="","",INDEX('Input Transaksi'!$A:$A,$E344))</f>
        <v/>
      </c>
      <c r="B344" s="5">
        <f>IF($E344="","",INDEX('Input Transaksi'!$D:$D,$E344))</f>
        <v/>
      </c>
      <c r="C344">
        <f>IF($E344="","",INDEX('Input Transaksi'!$E:$E,$E344))</f>
        <v/>
      </c>
      <c r="D344" s="5">
        <f>IF($E344="","",INDEX('Input Transaksi'!$F:$F,$E344))</f>
        <v/>
      </c>
      <c r="E344">
        <f>IFERROR(AGGREGATE(15,6,ROW('Input Transaksi'!$B$5:$B$5000)/('Input Transaksi'!$B$5:$B$5000="JCL PEMOGAN"),ROWS($E$5:E344)),"")</f>
        <v/>
      </c>
      <c r="F344" s="5" t="n"/>
    </row>
    <row r="345">
      <c r="A345" s="10">
        <f>IF($E345="","",INDEX('Input Transaksi'!$A:$A,$E345))</f>
        <v/>
      </c>
      <c r="B345" s="5">
        <f>IF($E345="","",INDEX('Input Transaksi'!$D:$D,$E345))</f>
        <v/>
      </c>
      <c r="C345">
        <f>IF($E345="","",INDEX('Input Transaksi'!$E:$E,$E345))</f>
        <v/>
      </c>
      <c r="D345" s="5">
        <f>IF($E345="","",INDEX('Input Transaksi'!$F:$F,$E345))</f>
        <v/>
      </c>
      <c r="E345">
        <f>IFERROR(AGGREGATE(15,6,ROW('Input Transaksi'!$B$5:$B$5000)/('Input Transaksi'!$B$5:$B$5000="JCL PEMOGAN"),ROWS($E$5:E345)),"")</f>
        <v/>
      </c>
      <c r="F345" s="5" t="n"/>
    </row>
    <row r="346">
      <c r="A346" s="10">
        <f>IF($E346="","",INDEX('Input Transaksi'!$A:$A,$E346))</f>
        <v/>
      </c>
      <c r="B346" s="5">
        <f>IF($E346="","",INDEX('Input Transaksi'!$D:$D,$E346))</f>
        <v/>
      </c>
      <c r="C346">
        <f>IF($E346="","",INDEX('Input Transaksi'!$E:$E,$E346))</f>
        <v/>
      </c>
      <c r="D346" s="5">
        <f>IF($E346="","",INDEX('Input Transaksi'!$F:$F,$E346))</f>
        <v/>
      </c>
      <c r="E346">
        <f>IFERROR(AGGREGATE(15,6,ROW('Input Transaksi'!$B$5:$B$5000)/('Input Transaksi'!$B$5:$B$5000="JCL PEMOGAN"),ROWS($E$5:E346)),"")</f>
        <v/>
      </c>
      <c r="F346" s="5" t="n"/>
    </row>
    <row r="347">
      <c r="A347" s="10">
        <f>IF($E347="","",INDEX('Input Transaksi'!$A:$A,$E347))</f>
        <v/>
      </c>
      <c r="B347" s="5">
        <f>IF($E347="","",INDEX('Input Transaksi'!$D:$D,$E347))</f>
        <v/>
      </c>
      <c r="C347">
        <f>IF($E347="","",INDEX('Input Transaksi'!$E:$E,$E347))</f>
        <v/>
      </c>
      <c r="D347" s="5">
        <f>IF($E347="","",INDEX('Input Transaksi'!$F:$F,$E347))</f>
        <v/>
      </c>
      <c r="E347">
        <f>IFERROR(AGGREGATE(15,6,ROW('Input Transaksi'!$B$5:$B$5000)/('Input Transaksi'!$B$5:$B$5000="JCL PEMOGAN"),ROWS($E$5:E347)),"")</f>
        <v/>
      </c>
      <c r="F347" s="5" t="n"/>
    </row>
    <row r="348">
      <c r="A348" s="10">
        <f>IF($E348="","",INDEX('Input Transaksi'!$A:$A,$E348))</f>
        <v/>
      </c>
      <c r="B348" s="5">
        <f>IF($E348="","",INDEX('Input Transaksi'!$D:$D,$E348))</f>
        <v/>
      </c>
      <c r="C348">
        <f>IF($E348="","",INDEX('Input Transaksi'!$E:$E,$E348))</f>
        <v/>
      </c>
      <c r="D348" s="5">
        <f>IF($E348="","",INDEX('Input Transaksi'!$F:$F,$E348))</f>
        <v/>
      </c>
      <c r="E348">
        <f>IFERROR(AGGREGATE(15,6,ROW('Input Transaksi'!$B$5:$B$5000)/('Input Transaksi'!$B$5:$B$5000="JCL PEMOGAN"),ROWS($E$5:E348)),"")</f>
        <v/>
      </c>
      <c r="F348" s="5" t="n"/>
    </row>
    <row r="349">
      <c r="A349" s="10">
        <f>IF($E349="","",INDEX('Input Transaksi'!$A:$A,$E349))</f>
        <v/>
      </c>
      <c r="B349" s="5">
        <f>IF($E349="","",INDEX('Input Transaksi'!$D:$D,$E349))</f>
        <v/>
      </c>
      <c r="C349">
        <f>IF($E349="","",INDEX('Input Transaksi'!$E:$E,$E349))</f>
        <v/>
      </c>
      <c r="D349" s="5">
        <f>IF($E349="","",INDEX('Input Transaksi'!$F:$F,$E349))</f>
        <v/>
      </c>
      <c r="E349">
        <f>IFERROR(AGGREGATE(15,6,ROW('Input Transaksi'!$B$5:$B$5000)/('Input Transaksi'!$B$5:$B$5000="JCL PEMOGAN"),ROWS($E$5:E349)),"")</f>
        <v/>
      </c>
      <c r="F349" s="5" t="n"/>
    </row>
    <row r="350">
      <c r="A350" s="10">
        <f>IF($E350="","",INDEX('Input Transaksi'!$A:$A,$E350))</f>
        <v/>
      </c>
      <c r="B350" s="5">
        <f>IF($E350="","",INDEX('Input Transaksi'!$D:$D,$E350))</f>
        <v/>
      </c>
      <c r="C350">
        <f>IF($E350="","",INDEX('Input Transaksi'!$E:$E,$E350))</f>
        <v/>
      </c>
      <c r="D350" s="5">
        <f>IF($E350="","",INDEX('Input Transaksi'!$F:$F,$E350))</f>
        <v/>
      </c>
      <c r="E350">
        <f>IFERROR(AGGREGATE(15,6,ROW('Input Transaksi'!$B$5:$B$5000)/('Input Transaksi'!$B$5:$B$5000="JCL PEMOGAN"),ROWS($E$5:E350)),"")</f>
        <v/>
      </c>
      <c r="F350" s="5" t="n"/>
    </row>
    <row r="351">
      <c r="A351" s="10">
        <f>IF($E351="","",INDEX('Input Transaksi'!$A:$A,$E351))</f>
        <v/>
      </c>
      <c r="B351" s="5">
        <f>IF($E351="","",INDEX('Input Transaksi'!$D:$D,$E351))</f>
        <v/>
      </c>
      <c r="C351">
        <f>IF($E351="","",INDEX('Input Transaksi'!$E:$E,$E351))</f>
        <v/>
      </c>
      <c r="D351" s="5">
        <f>IF($E351="","",INDEX('Input Transaksi'!$F:$F,$E351))</f>
        <v/>
      </c>
      <c r="E351">
        <f>IFERROR(AGGREGATE(15,6,ROW('Input Transaksi'!$B$5:$B$5000)/('Input Transaksi'!$B$5:$B$5000="JCL PEMOGAN"),ROWS($E$5:E351)),"")</f>
        <v/>
      </c>
      <c r="F351" s="5" t="n"/>
    </row>
    <row r="352">
      <c r="A352" s="10">
        <f>IF($E352="","",INDEX('Input Transaksi'!$A:$A,$E352))</f>
        <v/>
      </c>
      <c r="B352" s="5">
        <f>IF($E352="","",INDEX('Input Transaksi'!$D:$D,$E352))</f>
        <v/>
      </c>
      <c r="C352">
        <f>IF($E352="","",INDEX('Input Transaksi'!$E:$E,$E352))</f>
        <v/>
      </c>
      <c r="D352" s="5">
        <f>IF($E352="","",INDEX('Input Transaksi'!$F:$F,$E352))</f>
        <v/>
      </c>
      <c r="E352">
        <f>IFERROR(AGGREGATE(15,6,ROW('Input Transaksi'!$B$5:$B$5000)/('Input Transaksi'!$B$5:$B$5000="JCL PEMOGAN"),ROWS($E$5:E352)),"")</f>
        <v/>
      </c>
      <c r="F352" s="5" t="n"/>
    </row>
    <row r="353">
      <c r="A353" s="10">
        <f>IF($E353="","",INDEX('Input Transaksi'!$A:$A,$E353))</f>
        <v/>
      </c>
      <c r="B353" s="5">
        <f>IF($E353="","",INDEX('Input Transaksi'!$D:$D,$E353))</f>
        <v/>
      </c>
      <c r="C353">
        <f>IF($E353="","",INDEX('Input Transaksi'!$E:$E,$E353))</f>
        <v/>
      </c>
      <c r="D353" s="5">
        <f>IF($E353="","",INDEX('Input Transaksi'!$F:$F,$E353))</f>
        <v/>
      </c>
      <c r="E353">
        <f>IFERROR(AGGREGATE(15,6,ROW('Input Transaksi'!$B$5:$B$5000)/('Input Transaksi'!$B$5:$B$5000="JCL PEMOGAN"),ROWS($E$5:E353)),"")</f>
        <v/>
      </c>
      <c r="F353" s="5" t="n"/>
    </row>
    <row r="354">
      <c r="A354" s="10">
        <f>IF($E354="","",INDEX('Input Transaksi'!$A:$A,$E354))</f>
        <v/>
      </c>
      <c r="B354" s="5">
        <f>IF($E354="","",INDEX('Input Transaksi'!$D:$D,$E354))</f>
        <v/>
      </c>
      <c r="C354">
        <f>IF($E354="","",INDEX('Input Transaksi'!$E:$E,$E354))</f>
        <v/>
      </c>
      <c r="D354" s="5">
        <f>IF($E354="","",INDEX('Input Transaksi'!$F:$F,$E354))</f>
        <v/>
      </c>
      <c r="E354">
        <f>IFERROR(AGGREGATE(15,6,ROW('Input Transaksi'!$B$5:$B$5000)/('Input Transaksi'!$B$5:$B$5000="JCL PEMOGAN"),ROWS($E$5:E354)),"")</f>
        <v/>
      </c>
      <c r="F354" s="5" t="n"/>
    </row>
    <row r="355">
      <c r="A355" s="10">
        <f>IF($E355="","",INDEX('Input Transaksi'!$A:$A,$E355))</f>
        <v/>
      </c>
      <c r="B355" s="5">
        <f>IF($E355="","",INDEX('Input Transaksi'!$D:$D,$E355))</f>
        <v/>
      </c>
      <c r="C355">
        <f>IF($E355="","",INDEX('Input Transaksi'!$E:$E,$E355))</f>
        <v/>
      </c>
      <c r="D355" s="5">
        <f>IF($E355="","",INDEX('Input Transaksi'!$F:$F,$E355))</f>
        <v/>
      </c>
      <c r="E355">
        <f>IFERROR(AGGREGATE(15,6,ROW('Input Transaksi'!$B$5:$B$5000)/('Input Transaksi'!$B$5:$B$5000="JCL PEMOGAN"),ROWS($E$5:E355)),"")</f>
        <v/>
      </c>
      <c r="F355" s="5" t="n"/>
    </row>
    <row r="356">
      <c r="A356" s="10">
        <f>IF($E356="","",INDEX('Input Transaksi'!$A:$A,$E356))</f>
        <v/>
      </c>
      <c r="B356" s="5">
        <f>IF($E356="","",INDEX('Input Transaksi'!$D:$D,$E356))</f>
        <v/>
      </c>
      <c r="C356">
        <f>IF($E356="","",INDEX('Input Transaksi'!$E:$E,$E356))</f>
        <v/>
      </c>
      <c r="D356" s="5">
        <f>IF($E356="","",INDEX('Input Transaksi'!$F:$F,$E356))</f>
        <v/>
      </c>
      <c r="E356">
        <f>IFERROR(AGGREGATE(15,6,ROW('Input Transaksi'!$B$5:$B$5000)/('Input Transaksi'!$B$5:$B$5000="JCL PEMOGAN"),ROWS($E$5:E356)),"")</f>
        <v/>
      </c>
      <c r="F356" s="5" t="n"/>
    </row>
    <row r="357">
      <c r="A357" s="10">
        <f>IF($E357="","",INDEX('Input Transaksi'!$A:$A,$E357))</f>
        <v/>
      </c>
      <c r="B357" s="5">
        <f>IF($E357="","",INDEX('Input Transaksi'!$D:$D,$E357))</f>
        <v/>
      </c>
      <c r="C357">
        <f>IF($E357="","",INDEX('Input Transaksi'!$E:$E,$E357))</f>
        <v/>
      </c>
      <c r="D357" s="5">
        <f>IF($E357="","",INDEX('Input Transaksi'!$F:$F,$E357))</f>
        <v/>
      </c>
      <c r="E357">
        <f>IFERROR(AGGREGATE(15,6,ROW('Input Transaksi'!$B$5:$B$5000)/('Input Transaksi'!$B$5:$B$5000="JCL PEMOGAN"),ROWS($E$5:E357)),"")</f>
        <v/>
      </c>
      <c r="F357" s="5" t="n"/>
    </row>
    <row r="358">
      <c r="A358" s="10">
        <f>IF($E358="","",INDEX('Input Transaksi'!$A:$A,$E358))</f>
        <v/>
      </c>
      <c r="B358" s="5">
        <f>IF($E358="","",INDEX('Input Transaksi'!$D:$D,$E358))</f>
        <v/>
      </c>
      <c r="C358">
        <f>IF($E358="","",INDEX('Input Transaksi'!$E:$E,$E358))</f>
        <v/>
      </c>
      <c r="D358" s="5">
        <f>IF($E358="","",INDEX('Input Transaksi'!$F:$F,$E358))</f>
        <v/>
      </c>
      <c r="E358">
        <f>IFERROR(AGGREGATE(15,6,ROW('Input Transaksi'!$B$5:$B$5000)/('Input Transaksi'!$B$5:$B$5000="JCL PEMOGAN"),ROWS($E$5:E358)),"")</f>
        <v/>
      </c>
      <c r="F358" s="5" t="n"/>
    </row>
    <row r="359">
      <c r="A359" s="10">
        <f>IF($E359="","",INDEX('Input Transaksi'!$A:$A,$E359))</f>
        <v/>
      </c>
      <c r="B359" s="5">
        <f>IF($E359="","",INDEX('Input Transaksi'!$D:$D,$E359))</f>
        <v/>
      </c>
      <c r="C359">
        <f>IF($E359="","",INDEX('Input Transaksi'!$E:$E,$E359))</f>
        <v/>
      </c>
      <c r="D359" s="5">
        <f>IF($E359="","",INDEX('Input Transaksi'!$F:$F,$E359))</f>
        <v/>
      </c>
      <c r="E359">
        <f>IFERROR(AGGREGATE(15,6,ROW('Input Transaksi'!$B$5:$B$5000)/('Input Transaksi'!$B$5:$B$5000="JCL PEMOGAN"),ROWS($E$5:E359)),"")</f>
        <v/>
      </c>
      <c r="F359" s="5" t="n"/>
    </row>
    <row r="360">
      <c r="A360" s="10">
        <f>IF($E360="","",INDEX('Input Transaksi'!$A:$A,$E360))</f>
        <v/>
      </c>
      <c r="B360" s="5">
        <f>IF($E360="","",INDEX('Input Transaksi'!$D:$D,$E360))</f>
        <v/>
      </c>
      <c r="C360">
        <f>IF($E360="","",INDEX('Input Transaksi'!$E:$E,$E360))</f>
        <v/>
      </c>
      <c r="D360" s="5">
        <f>IF($E360="","",INDEX('Input Transaksi'!$F:$F,$E360))</f>
        <v/>
      </c>
      <c r="E360">
        <f>IFERROR(AGGREGATE(15,6,ROW('Input Transaksi'!$B$5:$B$5000)/('Input Transaksi'!$B$5:$B$5000="JCL PEMOGAN"),ROWS($E$5:E360)),"")</f>
        <v/>
      </c>
      <c r="F360" s="5" t="n"/>
    </row>
    <row r="361">
      <c r="A361" s="10">
        <f>IF($E361="","",INDEX('Input Transaksi'!$A:$A,$E361))</f>
        <v/>
      </c>
      <c r="B361" s="5">
        <f>IF($E361="","",INDEX('Input Transaksi'!$D:$D,$E361))</f>
        <v/>
      </c>
      <c r="C361">
        <f>IF($E361="","",INDEX('Input Transaksi'!$E:$E,$E361))</f>
        <v/>
      </c>
      <c r="D361" s="5">
        <f>IF($E361="","",INDEX('Input Transaksi'!$F:$F,$E361))</f>
        <v/>
      </c>
      <c r="E361">
        <f>IFERROR(AGGREGATE(15,6,ROW('Input Transaksi'!$B$5:$B$5000)/('Input Transaksi'!$B$5:$B$5000="JCL PEMOGAN"),ROWS($E$5:E361)),"")</f>
        <v/>
      </c>
      <c r="F361" s="5" t="n"/>
    </row>
    <row r="362">
      <c r="A362" s="10">
        <f>IF($E362="","",INDEX('Input Transaksi'!$A:$A,$E362))</f>
        <v/>
      </c>
      <c r="B362" s="5">
        <f>IF($E362="","",INDEX('Input Transaksi'!$D:$D,$E362))</f>
        <v/>
      </c>
      <c r="C362">
        <f>IF($E362="","",INDEX('Input Transaksi'!$E:$E,$E362))</f>
        <v/>
      </c>
      <c r="D362" s="5">
        <f>IF($E362="","",INDEX('Input Transaksi'!$F:$F,$E362))</f>
        <v/>
      </c>
      <c r="E362">
        <f>IFERROR(AGGREGATE(15,6,ROW('Input Transaksi'!$B$5:$B$5000)/('Input Transaksi'!$B$5:$B$5000="JCL PEMOGAN"),ROWS($E$5:E362)),"")</f>
        <v/>
      </c>
      <c r="F362" s="5" t="n"/>
    </row>
    <row r="363">
      <c r="A363" s="10">
        <f>IF($E363="","",INDEX('Input Transaksi'!$A:$A,$E363))</f>
        <v/>
      </c>
      <c r="B363" s="5">
        <f>IF($E363="","",INDEX('Input Transaksi'!$D:$D,$E363))</f>
        <v/>
      </c>
      <c r="C363">
        <f>IF($E363="","",INDEX('Input Transaksi'!$E:$E,$E363))</f>
        <v/>
      </c>
      <c r="D363" s="5">
        <f>IF($E363="","",INDEX('Input Transaksi'!$F:$F,$E363))</f>
        <v/>
      </c>
      <c r="E363">
        <f>IFERROR(AGGREGATE(15,6,ROW('Input Transaksi'!$B$5:$B$5000)/('Input Transaksi'!$B$5:$B$5000="JCL PEMOGAN"),ROWS($E$5:E363)),"")</f>
        <v/>
      </c>
      <c r="F363" s="5" t="n"/>
    </row>
    <row r="364">
      <c r="A364" s="10">
        <f>IF($E364="","",INDEX('Input Transaksi'!$A:$A,$E364))</f>
        <v/>
      </c>
      <c r="B364" s="5">
        <f>IF($E364="","",INDEX('Input Transaksi'!$D:$D,$E364))</f>
        <v/>
      </c>
      <c r="C364">
        <f>IF($E364="","",INDEX('Input Transaksi'!$E:$E,$E364))</f>
        <v/>
      </c>
      <c r="D364" s="5">
        <f>IF($E364="","",INDEX('Input Transaksi'!$F:$F,$E364))</f>
        <v/>
      </c>
      <c r="E364">
        <f>IFERROR(AGGREGATE(15,6,ROW('Input Transaksi'!$B$5:$B$5000)/('Input Transaksi'!$B$5:$B$5000="JCL PEMOGAN"),ROWS($E$5:E364)),"")</f>
        <v/>
      </c>
      <c r="F364" s="5" t="n"/>
    </row>
    <row r="365">
      <c r="A365" s="10">
        <f>IF($E365="","",INDEX('Input Transaksi'!$A:$A,$E365))</f>
        <v/>
      </c>
      <c r="B365" s="5">
        <f>IF($E365="","",INDEX('Input Transaksi'!$D:$D,$E365))</f>
        <v/>
      </c>
      <c r="C365">
        <f>IF($E365="","",INDEX('Input Transaksi'!$E:$E,$E365))</f>
        <v/>
      </c>
      <c r="D365" s="5">
        <f>IF($E365="","",INDEX('Input Transaksi'!$F:$F,$E365))</f>
        <v/>
      </c>
      <c r="E365">
        <f>IFERROR(AGGREGATE(15,6,ROW('Input Transaksi'!$B$5:$B$5000)/('Input Transaksi'!$B$5:$B$5000="JCL PEMOGAN"),ROWS($E$5:E365)),"")</f>
        <v/>
      </c>
      <c r="F365" s="5" t="n"/>
    </row>
    <row r="366">
      <c r="A366" s="10">
        <f>IF($E366="","",INDEX('Input Transaksi'!$A:$A,$E366))</f>
        <v/>
      </c>
      <c r="B366" s="5">
        <f>IF($E366="","",INDEX('Input Transaksi'!$D:$D,$E366))</f>
        <v/>
      </c>
      <c r="C366">
        <f>IF($E366="","",INDEX('Input Transaksi'!$E:$E,$E366))</f>
        <v/>
      </c>
      <c r="D366" s="5">
        <f>IF($E366="","",INDEX('Input Transaksi'!$F:$F,$E366))</f>
        <v/>
      </c>
      <c r="E366">
        <f>IFERROR(AGGREGATE(15,6,ROW('Input Transaksi'!$B$5:$B$5000)/('Input Transaksi'!$B$5:$B$5000="JCL PEMOGAN"),ROWS($E$5:E366)),"")</f>
        <v/>
      </c>
      <c r="F366" s="5" t="n"/>
    </row>
    <row r="367">
      <c r="A367" s="10">
        <f>IF($E367="","",INDEX('Input Transaksi'!$A:$A,$E367))</f>
        <v/>
      </c>
      <c r="B367" s="5">
        <f>IF($E367="","",INDEX('Input Transaksi'!$D:$D,$E367))</f>
        <v/>
      </c>
      <c r="C367">
        <f>IF($E367="","",INDEX('Input Transaksi'!$E:$E,$E367))</f>
        <v/>
      </c>
      <c r="D367" s="5">
        <f>IF($E367="","",INDEX('Input Transaksi'!$F:$F,$E367))</f>
        <v/>
      </c>
      <c r="E367">
        <f>IFERROR(AGGREGATE(15,6,ROW('Input Transaksi'!$B$5:$B$5000)/('Input Transaksi'!$B$5:$B$5000="JCL PEMOGAN"),ROWS($E$5:E367)),"")</f>
        <v/>
      </c>
      <c r="F367" s="5" t="n"/>
    </row>
    <row r="368">
      <c r="A368" s="10">
        <f>IF($E368="","",INDEX('Input Transaksi'!$A:$A,$E368))</f>
        <v/>
      </c>
      <c r="B368" s="5">
        <f>IF($E368="","",INDEX('Input Transaksi'!$D:$D,$E368))</f>
        <v/>
      </c>
      <c r="C368">
        <f>IF($E368="","",INDEX('Input Transaksi'!$E:$E,$E368))</f>
        <v/>
      </c>
      <c r="D368" s="5">
        <f>IF($E368="","",INDEX('Input Transaksi'!$F:$F,$E368))</f>
        <v/>
      </c>
      <c r="E368">
        <f>IFERROR(AGGREGATE(15,6,ROW('Input Transaksi'!$B$5:$B$5000)/('Input Transaksi'!$B$5:$B$5000="JCL PEMOGAN"),ROWS($E$5:E368)),"")</f>
        <v/>
      </c>
      <c r="F368" s="5" t="n"/>
    </row>
    <row r="369">
      <c r="A369" s="10">
        <f>IF($E369="","",INDEX('Input Transaksi'!$A:$A,$E369))</f>
        <v/>
      </c>
      <c r="B369" s="5">
        <f>IF($E369="","",INDEX('Input Transaksi'!$D:$D,$E369))</f>
        <v/>
      </c>
      <c r="C369">
        <f>IF($E369="","",INDEX('Input Transaksi'!$E:$E,$E369))</f>
        <v/>
      </c>
      <c r="D369" s="5">
        <f>IF($E369="","",INDEX('Input Transaksi'!$F:$F,$E369))</f>
        <v/>
      </c>
      <c r="E369">
        <f>IFERROR(AGGREGATE(15,6,ROW('Input Transaksi'!$B$5:$B$5000)/('Input Transaksi'!$B$5:$B$5000="JCL PEMOGAN"),ROWS($E$5:E369)),"")</f>
        <v/>
      </c>
      <c r="F369" s="5" t="n"/>
    </row>
    <row r="370">
      <c r="A370" s="10">
        <f>IF($E370="","",INDEX('Input Transaksi'!$A:$A,$E370))</f>
        <v/>
      </c>
      <c r="B370" s="5">
        <f>IF($E370="","",INDEX('Input Transaksi'!$D:$D,$E370))</f>
        <v/>
      </c>
      <c r="C370">
        <f>IF($E370="","",INDEX('Input Transaksi'!$E:$E,$E370))</f>
        <v/>
      </c>
      <c r="D370" s="5">
        <f>IF($E370="","",INDEX('Input Transaksi'!$F:$F,$E370))</f>
        <v/>
      </c>
      <c r="E370">
        <f>IFERROR(AGGREGATE(15,6,ROW('Input Transaksi'!$B$5:$B$5000)/('Input Transaksi'!$B$5:$B$5000="JCL PEMOGAN"),ROWS($E$5:E370)),"")</f>
        <v/>
      </c>
      <c r="F370" s="5" t="n"/>
    </row>
    <row r="371">
      <c r="A371" s="10">
        <f>IF($E371="","",INDEX('Input Transaksi'!$A:$A,$E371))</f>
        <v/>
      </c>
      <c r="B371" s="5">
        <f>IF($E371="","",INDEX('Input Transaksi'!$D:$D,$E371))</f>
        <v/>
      </c>
      <c r="C371">
        <f>IF($E371="","",INDEX('Input Transaksi'!$E:$E,$E371))</f>
        <v/>
      </c>
      <c r="D371" s="5">
        <f>IF($E371="","",INDEX('Input Transaksi'!$F:$F,$E371))</f>
        <v/>
      </c>
      <c r="E371">
        <f>IFERROR(AGGREGATE(15,6,ROW('Input Transaksi'!$B$5:$B$5000)/('Input Transaksi'!$B$5:$B$5000="JCL PEMOGAN"),ROWS($E$5:E371)),"")</f>
        <v/>
      </c>
      <c r="F371" s="5" t="n"/>
    </row>
    <row r="372">
      <c r="A372" s="10">
        <f>IF($E372="","",INDEX('Input Transaksi'!$A:$A,$E372))</f>
        <v/>
      </c>
      <c r="B372" s="5">
        <f>IF($E372="","",INDEX('Input Transaksi'!$D:$D,$E372))</f>
        <v/>
      </c>
      <c r="C372">
        <f>IF($E372="","",INDEX('Input Transaksi'!$E:$E,$E372))</f>
        <v/>
      </c>
      <c r="D372" s="5">
        <f>IF($E372="","",INDEX('Input Transaksi'!$F:$F,$E372))</f>
        <v/>
      </c>
      <c r="E372">
        <f>IFERROR(AGGREGATE(15,6,ROW('Input Transaksi'!$B$5:$B$5000)/('Input Transaksi'!$B$5:$B$5000="JCL PEMOGAN"),ROWS($E$5:E372)),"")</f>
        <v/>
      </c>
      <c r="F372" s="5" t="n"/>
    </row>
    <row r="373">
      <c r="A373" s="10">
        <f>IF($E373="","",INDEX('Input Transaksi'!$A:$A,$E373))</f>
        <v/>
      </c>
      <c r="B373" s="5">
        <f>IF($E373="","",INDEX('Input Transaksi'!$D:$D,$E373))</f>
        <v/>
      </c>
      <c r="C373">
        <f>IF($E373="","",INDEX('Input Transaksi'!$E:$E,$E373))</f>
        <v/>
      </c>
      <c r="D373" s="5">
        <f>IF($E373="","",INDEX('Input Transaksi'!$F:$F,$E373))</f>
        <v/>
      </c>
      <c r="E373">
        <f>IFERROR(AGGREGATE(15,6,ROW('Input Transaksi'!$B$5:$B$5000)/('Input Transaksi'!$B$5:$B$5000="JCL PEMOGAN"),ROWS($E$5:E373)),"")</f>
        <v/>
      </c>
      <c r="F373" s="5" t="n"/>
    </row>
    <row r="374">
      <c r="A374" s="10">
        <f>IF($E374="","",INDEX('Input Transaksi'!$A:$A,$E374))</f>
        <v/>
      </c>
      <c r="B374" s="5">
        <f>IF($E374="","",INDEX('Input Transaksi'!$D:$D,$E374))</f>
        <v/>
      </c>
      <c r="C374">
        <f>IF($E374="","",INDEX('Input Transaksi'!$E:$E,$E374))</f>
        <v/>
      </c>
      <c r="D374" s="5">
        <f>IF($E374="","",INDEX('Input Transaksi'!$F:$F,$E374))</f>
        <v/>
      </c>
      <c r="E374">
        <f>IFERROR(AGGREGATE(15,6,ROW('Input Transaksi'!$B$5:$B$5000)/('Input Transaksi'!$B$5:$B$5000="JCL PEMOGAN"),ROWS($E$5:E374)),"")</f>
        <v/>
      </c>
      <c r="F374" s="5" t="n"/>
    </row>
    <row r="375">
      <c r="A375" s="10">
        <f>IF($E375="","",INDEX('Input Transaksi'!$A:$A,$E375))</f>
        <v/>
      </c>
      <c r="B375" s="5">
        <f>IF($E375="","",INDEX('Input Transaksi'!$D:$D,$E375))</f>
        <v/>
      </c>
      <c r="C375">
        <f>IF($E375="","",INDEX('Input Transaksi'!$E:$E,$E375))</f>
        <v/>
      </c>
      <c r="D375" s="5">
        <f>IF($E375="","",INDEX('Input Transaksi'!$F:$F,$E375))</f>
        <v/>
      </c>
      <c r="E375">
        <f>IFERROR(AGGREGATE(15,6,ROW('Input Transaksi'!$B$5:$B$5000)/('Input Transaksi'!$B$5:$B$5000="JCL PEMOGAN"),ROWS($E$5:E375)),"")</f>
        <v/>
      </c>
      <c r="F375" s="5" t="n"/>
    </row>
    <row r="376">
      <c r="A376" s="10">
        <f>IF($E376="","",INDEX('Input Transaksi'!$A:$A,$E376))</f>
        <v/>
      </c>
      <c r="B376" s="5">
        <f>IF($E376="","",INDEX('Input Transaksi'!$D:$D,$E376))</f>
        <v/>
      </c>
      <c r="C376">
        <f>IF($E376="","",INDEX('Input Transaksi'!$E:$E,$E376))</f>
        <v/>
      </c>
      <c r="D376" s="5">
        <f>IF($E376="","",INDEX('Input Transaksi'!$F:$F,$E376))</f>
        <v/>
      </c>
      <c r="E376">
        <f>IFERROR(AGGREGATE(15,6,ROW('Input Transaksi'!$B$5:$B$5000)/('Input Transaksi'!$B$5:$B$5000="JCL PEMOGAN"),ROWS($E$5:E376)),"")</f>
        <v/>
      </c>
      <c r="F376" s="5" t="n"/>
    </row>
    <row r="377">
      <c r="A377" s="10">
        <f>IF($E377="","",INDEX('Input Transaksi'!$A:$A,$E377))</f>
        <v/>
      </c>
      <c r="B377" s="5">
        <f>IF($E377="","",INDEX('Input Transaksi'!$D:$D,$E377))</f>
        <v/>
      </c>
      <c r="C377">
        <f>IF($E377="","",INDEX('Input Transaksi'!$E:$E,$E377))</f>
        <v/>
      </c>
      <c r="D377" s="5">
        <f>IF($E377="","",INDEX('Input Transaksi'!$F:$F,$E377))</f>
        <v/>
      </c>
      <c r="E377">
        <f>IFERROR(AGGREGATE(15,6,ROW('Input Transaksi'!$B$5:$B$5000)/('Input Transaksi'!$B$5:$B$5000="JCL PEMOGAN"),ROWS($E$5:E377)),"")</f>
        <v/>
      </c>
      <c r="F377" s="5" t="n"/>
    </row>
    <row r="378">
      <c r="A378" s="10">
        <f>IF($E378="","",INDEX('Input Transaksi'!$A:$A,$E378))</f>
        <v/>
      </c>
      <c r="B378" s="5">
        <f>IF($E378="","",INDEX('Input Transaksi'!$D:$D,$E378))</f>
        <v/>
      </c>
      <c r="C378">
        <f>IF($E378="","",INDEX('Input Transaksi'!$E:$E,$E378))</f>
        <v/>
      </c>
      <c r="D378" s="5">
        <f>IF($E378="","",INDEX('Input Transaksi'!$F:$F,$E378))</f>
        <v/>
      </c>
      <c r="E378">
        <f>IFERROR(AGGREGATE(15,6,ROW('Input Transaksi'!$B$5:$B$5000)/('Input Transaksi'!$B$5:$B$5000="JCL PEMOGAN"),ROWS($E$5:E378)),"")</f>
        <v/>
      </c>
      <c r="F378" s="5" t="n"/>
    </row>
    <row r="379">
      <c r="A379" s="10">
        <f>IF($E379="","",INDEX('Input Transaksi'!$A:$A,$E379))</f>
        <v/>
      </c>
      <c r="B379" s="5">
        <f>IF($E379="","",INDEX('Input Transaksi'!$D:$D,$E379))</f>
        <v/>
      </c>
      <c r="C379">
        <f>IF($E379="","",INDEX('Input Transaksi'!$E:$E,$E379))</f>
        <v/>
      </c>
      <c r="D379" s="5">
        <f>IF($E379="","",INDEX('Input Transaksi'!$F:$F,$E379))</f>
        <v/>
      </c>
      <c r="E379">
        <f>IFERROR(AGGREGATE(15,6,ROW('Input Transaksi'!$B$5:$B$5000)/('Input Transaksi'!$B$5:$B$5000="JCL PEMOGAN"),ROWS($E$5:E379)),"")</f>
        <v/>
      </c>
      <c r="F379" s="5" t="n"/>
    </row>
    <row r="380">
      <c r="A380" s="10">
        <f>IF($E380="","",INDEX('Input Transaksi'!$A:$A,$E380))</f>
        <v/>
      </c>
      <c r="B380" s="5">
        <f>IF($E380="","",INDEX('Input Transaksi'!$D:$D,$E380))</f>
        <v/>
      </c>
      <c r="C380">
        <f>IF($E380="","",INDEX('Input Transaksi'!$E:$E,$E380))</f>
        <v/>
      </c>
      <c r="D380" s="5">
        <f>IF($E380="","",INDEX('Input Transaksi'!$F:$F,$E380))</f>
        <v/>
      </c>
      <c r="E380">
        <f>IFERROR(AGGREGATE(15,6,ROW('Input Transaksi'!$B$5:$B$5000)/('Input Transaksi'!$B$5:$B$5000="JCL PEMOGAN"),ROWS($E$5:E380)),"")</f>
        <v/>
      </c>
      <c r="F380" s="5" t="n"/>
    </row>
    <row r="381">
      <c r="A381" s="10">
        <f>IF($E381="","",INDEX('Input Transaksi'!$A:$A,$E381))</f>
        <v/>
      </c>
      <c r="B381" s="5">
        <f>IF($E381="","",INDEX('Input Transaksi'!$D:$D,$E381))</f>
        <v/>
      </c>
      <c r="C381">
        <f>IF($E381="","",INDEX('Input Transaksi'!$E:$E,$E381))</f>
        <v/>
      </c>
      <c r="D381" s="5">
        <f>IF($E381="","",INDEX('Input Transaksi'!$F:$F,$E381))</f>
        <v/>
      </c>
      <c r="E381">
        <f>IFERROR(AGGREGATE(15,6,ROW('Input Transaksi'!$B$5:$B$5000)/('Input Transaksi'!$B$5:$B$5000="JCL PEMOGAN"),ROWS($E$5:E381)),"")</f>
        <v/>
      </c>
      <c r="F381" s="5" t="n"/>
    </row>
    <row r="382">
      <c r="A382" s="10">
        <f>IF($E382="","",INDEX('Input Transaksi'!$A:$A,$E382))</f>
        <v/>
      </c>
      <c r="B382" s="5">
        <f>IF($E382="","",INDEX('Input Transaksi'!$D:$D,$E382))</f>
        <v/>
      </c>
      <c r="C382">
        <f>IF($E382="","",INDEX('Input Transaksi'!$E:$E,$E382))</f>
        <v/>
      </c>
      <c r="D382" s="5">
        <f>IF($E382="","",INDEX('Input Transaksi'!$F:$F,$E382))</f>
        <v/>
      </c>
      <c r="E382">
        <f>IFERROR(AGGREGATE(15,6,ROW('Input Transaksi'!$B$5:$B$5000)/('Input Transaksi'!$B$5:$B$5000="JCL PEMOGAN"),ROWS($E$5:E382)),"")</f>
        <v/>
      </c>
      <c r="F382" s="5" t="n"/>
    </row>
    <row r="383">
      <c r="A383" s="10">
        <f>IF($E383="","",INDEX('Input Transaksi'!$A:$A,$E383))</f>
        <v/>
      </c>
      <c r="B383" s="5">
        <f>IF($E383="","",INDEX('Input Transaksi'!$D:$D,$E383))</f>
        <v/>
      </c>
      <c r="C383">
        <f>IF($E383="","",INDEX('Input Transaksi'!$E:$E,$E383))</f>
        <v/>
      </c>
      <c r="D383" s="5">
        <f>IF($E383="","",INDEX('Input Transaksi'!$F:$F,$E383))</f>
        <v/>
      </c>
      <c r="E383">
        <f>IFERROR(AGGREGATE(15,6,ROW('Input Transaksi'!$B$5:$B$5000)/('Input Transaksi'!$B$5:$B$5000="JCL PEMOGAN"),ROWS($E$5:E383)),"")</f>
        <v/>
      </c>
      <c r="F383" s="5" t="n"/>
    </row>
    <row r="384">
      <c r="A384" s="10">
        <f>IF($E384="","",INDEX('Input Transaksi'!$A:$A,$E384))</f>
        <v/>
      </c>
      <c r="B384" s="5">
        <f>IF($E384="","",INDEX('Input Transaksi'!$D:$D,$E384))</f>
        <v/>
      </c>
      <c r="C384">
        <f>IF($E384="","",INDEX('Input Transaksi'!$E:$E,$E384))</f>
        <v/>
      </c>
      <c r="D384" s="5">
        <f>IF($E384="","",INDEX('Input Transaksi'!$F:$F,$E384))</f>
        <v/>
      </c>
      <c r="E384">
        <f>IFERROR(AGGREGATE(15,6,ROW('Input Transaksi'!$B$5:$B$5000)/('Input Transaksi'!$B$5:$B$5000="JCL PEMOGAN"),ROWS($E$5:E384)),"")</f>
        <v/>
      </c>
      <c r="F384" s="5" t="n"/>
    </row>
    <row r="385">
      <c r="A385" s="10">
        <f>IF($E385="","",INDEX('Input Transaksi'!$A:$A,$E385))</f>
        <v/>
      </c>
      <c r="B385" s="5">
        <f>IF($E385="","",INDEX('Input Transaksi'!$D:$D,$E385))</f>
        <v/>
      </c>
      <c r="C385">
        <f>IF($E385="","",INDEX('Input Transaksi'!$E:$E,$E385))</f>
        <v/>
      </c>
      <c r="D385" s="5">
        <f>IF($E385="","",INDEX('Input Transaksi'!$F:$F,$E385))</f>
        <v/>
      </c>
      <c r="E385">
        <f>IFERROR(AGGREGATE(15,6,ROW('Input Transaksi'!$B$5:$B$5000)/('Input Transaksi'!$B$5:$B$5000="JCL PEMOGAN"),ROWS($E$5:E385)),"")</f>
        <v/>
      </c>
      <c r="F385" s="5" t="n"/>
    </row>
    <row r="386">
      <c r="A386" s="10">
        <f>IF($E386="","",INDEX('Input Transaksi'!$A:$A,$E386))</f>
        <v/>
      </c>
      <c r="B386" s="5">
        <f>IF($E386="","",INDEX('Input Transaksi'!$D:$D,$E386))</f>
        <v/>
      </c>
      <c r="C386">
        <f>IF($E386="","",INDEX('Input Transaksi'!$E:$E,$E386))</f>
        <v/>
      </c>
      <c r="D386" s="5">
        <f>IF($E386="","",INDEX('Input Transaksi'!$F:$F,$E386))</f>
        <v/>
      </c>
      <c r="E386">
        <f>IFERROR(AGGREGATE(15,6,ROW('Input Transaksi'!$B$5:$B$5000)/('Input Transaksi'!$B$5:$B$5000="JCL PEMOGAN"),ROWS($E$5:E386)),"")</f>
        <v/>
      </c>
      <c r="F386" s="5" t="n"/>
    </row>
    <row r="387">
      <c r="A387" s="10">
        <f>IF($E387="","",INDEX('Input Transaksi'!$A:$A,$E387))</f>
        <v/>
      </c>
      <c r="B387" s="5">
        <f>IF($E387="","",INDEX('Input Transaksi'!$D:$D,$E387))</f>
        <v/>
      </c>
      <c r="C387">
        <f>IF($E387="","",INDEX('Input Transaksi'!$E:$E,$E387))</f>
        <v/>
      </c>
      <c r="D387" s="5">
        <f>IF($E387="","",INDEX('Input Transaksi'!$F:$F,$E387))</f>
        <v/>
      </c>
      <c r="E387">
        <f>IFERROR(AGGREGATE(15,6,ROW('Input Transaksi'!$B$5:$B$5000)/('Input Transaksi'!$B$5:$B$5000="JCL PEMOGAN"),ROWS($E$5:E387)),"")</f>
        <v/>
      </c>
      <c r="F387" s="5" t="n"/>
    </row>
    <row r="388">
      <c r="A388" s="10">
        <f>IF($E388="","",INDEX('Input Transaksi'!$A:$A,$E388))</f>
        <v/>
      </c>
      <c r="B388" s="5">
        <f>IF($E388="","",INDEX('Input Transaksi'!$D:$D,$E388))</f>
        <v/>
      </c>
      <c r="C388">
        <f>IF($E388="","",INDEX('Input Transaksi'!$E:$E,$E388))</f>
        <v/>
      </c>
      <c r="D388" s="5">
        <f>IF($E388="","",INDEX('Input Transaksi'!$F:$F,$E388))</f>
        <v/>
      </c>
      <c r="E388">
        <f>IFERROR(AGGREGATE(15,6,ROW('Input Transaksi'!$B$5:$B$5000)/('Input Transaksi'!$B$5:$B$5000="JCL PEMOGAN"),ROWS($E$5:E388)),"")</f>
        <v/>
      </c>
      <c r="F388" s="5" t="n"/>
    </row>
    <row r="389">
      <c r="A389" s="10">
        <f>IF($E389="","",INDEX('Input Transaksi'!$A:$A,$E389))</f>
        <v/>
      </c>
      <c r="B389" s="5">
        <f>IF($E389="","",INDEX('Input Transaksi'!$D:$D,$E389))</f>
        <v/>
      </c>
      <c r="C389">
        <f>IF($E389="","",INDEX('Input Transaksi'!$E:$E,$E389))</f>
        <v/>
      </c>
      <c r="D389" s="5">
        <f>IF($E389="","",INDEX('Input Transaksi'!$F:$F,$E389))</f>
        <v/>
      </c>
      <c r="E389">
        <f>IFERROR(AGGREGATE(15,6,ROW('Input Transaksi'!$B$5:$B$5000)/('Input Transaksi'!$B$5:$B$5000="JCL PEMOGAN"),ROWS($E$5:E389)),"")</f>
        <v/>
      </c>
      <c r="F389" s="5" t="n"/>
    </row>
    <row r="390">
      <c r="A390" s="10">
        <f>IF($E390="","",INDEX('Input Transaksi'!$A:$A,$E390))</f>
        <v/>
      </c>
      <c r="B390" s="5">
        <f>IF($E390="","",INDEX('Input Transaksi'!$D:$D,$E390))</f>
        <v/>
      </c>
      <c r="C390">
        <f>IF($E390="","",INDEX('Input Transaksi'!$E:$E,$E390))</f>
        <v/>
      </c>
      <c r="D390" s="5">
        <f>IF($E390="","",INDEX('Input Transaksi'!$F:$F,$E390))</f>
        <v/>
      </c>
      <c r="E390">
        <f>IFERROR(AGGREGATE(15,6,ROW('Input Transaksi'!$B$5:$B$5000)/('Input Transaksi'!$B$5:$B$5000="JCL PEMOGAN"),ROWS($E$5:E390)),"")</f>
        <v/>
      </c>
      <c r="F390" s="5" t="n"/>
    </row>
    <row r="391">
      <c r="A391" s="10">
        <f>IF($E391="","",INDEX('Input Transaksi'!$A:$A,$E391))</f>
        <v/>
      </c>
      <c r="B391" s="5">
        <f>IF($E391="","",INDEX('Input Transaksi'!$D:$D,$E391))</f>
        <v/>
      </c>
      <c r="C391">
        <f>IF($E391="","",INDEX('Input Transaksi'!$E:$E,$E391))</f>
        <v/>
      </c>
      <c r="D391" s="5">
        <f>IF($E391="","",INDEX('Input Transaksi'!$F:$F,$E391))</f>
        <v/>
      </c>
      <c r="E391">
        <f>IFERROR(AGGREGATE(15,6,ROW('Input Transaksi'!$B$5:$B$5000)/('Input Transaksi'!$B$5:$B$5000="JCL PEMOGAN"),ROWS($E$5:E391)),"")</f>
        <v/>
      </c>
      <c r="F391" s="5" t="n"/>
    </row>
    <row r="392">
      <c r="A392" s="10">
        <f>IF($E392="","",INDEX('Input Transaksi'!$A:$A,$E392))</f>
        <v/>
      </c>
      <c r="B392" s="5">
        <f>IF($E392="","",INDEX('Input Transaksi'!$D:$D,$E392))</f>
        <v/>
      </c>
      <c r="C392">
        <f>IF($E392="","",INDEX('Input Transaksi'!$E:$E,$E392))</f>
        <v/>
      </c>
      <c r="D392" s="5">
        <f>IF($E392="","",INDEX('Input Transaksi'!$F:$F,$E392))</f>
        <v/>
      </c>
      <c r="E392">
        <f>IFERROR(AGGREGATE(15,6,ROW('Input Transaksi'!$B$5:$B$5000)/('Input Transaksi'!$B$5:$B$5000="JCL PEMOGAN"),ROWS($E$5:E392)),"")</f>
        <v/>
      </c>
      <c r="F392" s="5" t="n"/>
    </row>
    <row r="393">
      <c r="A393" s="10">
        <f>IF($E393="","",INDEX('Input Transaksi'!$A:$A,$E393))</f>
        <v/>
      </c>
      <c r="B393" s="5">
        <f>IF($E393="","",INDEX('Input Transaksi'!$D:$D,$E393))</f>
        <v/>
      </c>
      <c r="C393">
        <f>IF($E393="","",INDEX('Input Transaksi'!$E:$E,$E393))</f>
        <v/>
      </c>
      <c r="D393" s="5">
        <f>IF($E393="","",INDEX('Input Transaksi'!$F:$F,$E393))</f>
        <v/>
      </c>
      <c r="E393">
        <f>IFERROR(AGGREGATE(15,6,ROW('Input Transaksi'!$B$5:$B$5000)/('Input Transaksi'!$B$5:$B$5000="JCL PEMOGAN"),ROWS($E$5:E393)),"")</f>
        <v/>
      </c>
      <c r="F393" s="5" t="n"/>
    </row>
    <row r="394">
      <c r="A394" s="10">
        <f>IF($E394="","",INDEX('Input Transaksi'!$A:$A,$E394))</f>
        <v/>
      </c>
      <c r="B394" s="5">
        <f>IF($E394="","",INDEX('Input Transaksi'!$D:$D,$E394))</f>
        <v/>
      </c>
      <c r="C394">
        <f>IF($E394="","",INDEX('Input Transaksi'!$E:$E,$E394))</f>
        <v/>
      </c>
      <c r="D394" s="5">
        <f>IF($E394="","",INDEX('Input Transaksi'!$F:$F,$E394))</f>
        <v/>
      </c>
      <c r="E394">
        <f>IFERROR(AGGREGATE(15,6,ROW('Input Transaksi'!$B$5:$B$5000)/('Input Transaksi'!$B$5:$B$5000="JCL PEMOGAN"),ROWS($E$5:E394)),"")</f>
        <v/>
      </c>
      <c r="F394" s="5" t="n"/>
    </row>
    <row r="395">
      <c r="A395" s="10">
        <f>IF($E395="","",INDEX('Input Transaksi'!$A:$A,$E395))</f>
        <v/>
      </c>
      <c r="B395" s="5">
        <f>IF($E395="","",INDEX('Input Transaksi'!$D:$D,$E395))</f>
        <v/>
      </c>
      <c r="C395">
        <f>IF($E395="","",INDEX('Input Transaksi'!$E:$E,$E395))</f>
        <v/>
      </c>
      <c r="D395" s="5">
        <f>IF($E395="","",INDEX('Input Transaksi'!$F:$F,$E395))</f>
        <v/>
      </c>
      <c r="E395">
        <f>IFERROR(AGGREGATE(15,6,ROW('Input Transaksi'!$B$5:$B$5000)/('Input Transaksi'!$B$5:$B$5000="JCL PEMOGAN"),ROWS($E$5:E395)),"")</f>
        <v/>
      </c>
      <c r="F395" s="5" t="n"/>
    </row>
    <row r="396">
      <c r="A396" s="10">
        <f>IF($E396="","",INDEX('Input Transaksi'!$A:$A,$E396))</f>
        <v/>
      </c>
      <c r="B396" s="5">
        <f>IF($E396="","",INDEX('Input Transaksi'!$D:$D,$E396))</f>
        <v/>
      </c>
      <c r="C396">
        <f>IF($E396="","",INDEX('Input Transaksi'!$E:$E,$E396))</f>
        <v/>
      </c>
      <c r="D396" s="5">
        <f>IF($E396="","",INDEX('Input Transaksi'!$F:$F,$E396))</f>
        <v/>
      </c>
      <c r="E396">
        <f>IFERROR(AGGREGATE(15,6,ROW('Input Transaksi'!$B$5:$B$5000)/('Input Transaksi'!$B$5:$B$5000="JCL PEMOGAN"),ROWS($E$5:E396)),"")</f>
        <v/>
      </c>
      <c r="F396" s="5" t="n"/>
    </row>
    <row r="397">
      <c r="A397" s="10">
        <f>IF($E397="","",INDEX('Input Transaksi'!$A:$A,$E397))</f>
        <v/>
      </c>
      <c r="B397" s="5">
        <f>IF($E397="","",INDEX('Input Transaksi'!$D:$D,$E397))</f>
        <v/>
      </c>
      <c r="C397">
        <f>IF($E397="","",INDEX('Input Transaksi'!$E:$E,$E397))</f>
        <v/>
      </c>
      <c r="D397" s="5">
        <f>IF($E397="","",INDEX('Input Transaksi'!$F:$F,$E397))</f>
        <v/>
      </c>
      <c r="E397">
        <f>IFERROR(AGGREGATE(15,6,ROW('Input Transaksi'!$B$5:$B$5000)/('Input Transaksi'!$B$5:$B$5000="JCL PEMOGAN"),ROWS($E$5:E397)),"")</f>
        <v/>
      </c>
      <c r="F397" s="5" t="n"/>
    </row>
    <row r="398">
      <c r="A398" s="10">
        <f>IF($E398="","",INDEX('Input Transaksi'!$A:$A,$E398))</f>
        <v/>
      </c>
      <c r="B398" s="5">
        <f>IF($E398="","",INDEX('Input Transaksi'!$D:$D,$E398))</f>
        <v/>
      </c>
      <c r="C398">
        <f>IF($E398="","",INDEX('Input Transaksi'!$E:$E,$E398))</f>
        <v/>
      </c>
      <c r="D398" s="5">
        <f>IF($E398="","",INDEX('Input Transaksi'!$F:$F,$E398))</f>
        <v/>
      </c>
      <c r="E398">
        <f>IFERROR(AGGREGATE(15,6,ROW('Input Transaksi'!$B$5:$B$5000)/('Input Transaksi'!$B$5:$B$5000="JCL PEMOGAN"),ROWS($E$5:E398)),"")</f>
        <v/>
      </c>
      <c r="F398" s="5" t="n"/>
    </row>
    <row r="399">
      <c r="A399" s="10">
        <f>IF($E399="","",INDEX('Input Transaksi'!$A:$A,$E399))</f>
        <v/>
      </c>
      <c r="B399" s="5">
        <f>IF($E399="","",INDEX('Input Transaksi'!$D:$D,$E399))</f>
        <v/>
      </c>
      <c r="C399">
        <f>IF($E399="","",INDEX('Input Transaksi'!$E:$E,$E399))</f>
        <v/>
      </c>
      <c r="D399" s="5">
        <f>IF($E399="","",INDEX('Input Transaksi'!$F:$F,$E399))</f>
        <v/>
      </c>
      <c r="E399">
        <f>IFERROR(AGGREGATE(15,6,ROW('Input Transaksi'!$B$5:$B$5000)/('Input Transaksi'!$B$5:$B$5000="JCL PEMOGAN"),ROWS($E$5:E399)),"")</f>
        <v/>
      </c>
      <c r="F399" s="5" t="n"/>
    </row>
    <row r="400">
      <c r="A400" s="10">
        <f>IF($E400="","",INDEX('Input Transaksi'!$A:$A,$E400))</f>
        <v/>
      </c>
      <c r="B400" s="5">
        <f>IF($E400="","",INDEX('Input Transaksi'!$D:$D,$E400))</f>
        <v/>
      </c>
      <c r="C400">
        <f>IF($E400="","",INDEX('Input Transaksi'!$E:$E,$E400))</f>
        <v/>
      </c>
      <c r="D400" s="5">
        <f>IF($E400="","",INDEX('Input Transaksi'!$F:$F,$E400))</f>
        <v/>
      </c>
      <c r="E400">
        <f>IFERROR(AGGREGATE(15,6,ROW('Input Transaksi'!$B$5:$B$5000)/('Input Transaksi'!$B$5:$B$5000="JCL PEMOGAN"),ROWS($E$5:E400)),"")</f>
        <v/>
      </c>
      <c r="F400" s="5" t="n"/>
    </row>
    <row r="401">
      <c r="A401" s="10">
        <f>IF($E401="","",INDEX('Input Transaksi'!$A:$A,$E401))</f>
        <v/>
      </c>
      <c r="B401" s="5">
        <f>IF($E401="","",INDEX('Input Transaksi'!$D:$D,$E401))</f>
        <v/>
      </c>
      <c r="C401">
        <f>IF($E401="","",INDEX('Input Transaksi'!$E:$E,$E401))</f>
        <v/>
      </c>
      <c r="D401" s="5">
        <f>IF($E401="","",INDEX('Input Transaksi'!$F:$F,$E401))</f>
        <v/>
      </c>
      <c r="E401">
        <f>IFERROR(AGGREGATE(15,6,ROW('Input Transaksi'!$B$5:$B$5000)/('Input Transaksi'!$B$5:$B$5000="JCL PEMOGAN"),ROWS($E$5:E401)),"")</f>
        <v/>
      </c>
      <c r="F401" s="5" t="n"/>
    </row>
    <row r="402">
      <c r="A402" s="10">
        <f>IF($E402="","",INDEX('Input Transaksi'!$A:$A,$E402))</f>
        <v/>
      </c>
      <c r="B402" s="5">
        <f>IF($E402="","",INDEX('Input Transaksi'!$D:$D,$E402))</f>
        <v/>
      </c>
      <c r="C402">
        <f>IF($E402="","",INDEX('Input Transaksi'!$E:$E,$E402))</f>
        <v/>
      </c>
      <c r="D402" s="5">
        <f>IF($E402="","",INDEX('Input Transaksi'!$F:$F,$E402))</f>
        <v/>
      </c>
      <c r="E402">
        <f>IFERROR(AGGREGATE(15,6,ROW('Input Transaksi'!$B$5:$B$5000)/('Input Transaksi'!$B$5:$B$5000="JCL PEMOGAN"),ROWS($E$5:E402)),"")</f>
        <v/>
      </c>
      <c r="F402" s="5" t="n"/>
    </row>
    <row r="403">
      <c r="A403" s="10">
        <f>IF($E403="","",INDEX('Input Transaksi'!$A:$A,$E403))</f>
        <v/>
      </c>
      <c r="B403" s="5">
        <f>IF($E403="","",INDEX('Input Transaksi'!$D:$D,$E403))</f>
        <v/>
      </c>
      <c r="C403">
        <f>IF($E403="","",INDEX('Input Transaksi'!$E:$E,$E403))</f>
        <v/>
      </c>
      <c r="D403" s="5">
        <f>IF($E403="","",INDEX('Input Transaksi'!$F:$F,$E403))</f>
        <v/>
      </c>
      <c r="E403">
        <f>IFERROR(AGGREGATE(15,6,ROW('Input Transaksi'!$B$5:$B$5000)/('Input Transaksi'!$B$5:$B$5000="JCL PEMOGAN"),ROWS($E$5:E403)),"")</f>
        <v/>
      </c>
      <c r="F403" s="5" t="n"/>
    </row>
    <row r="404">
      <c r="A404" s="10">
        <f>IF($E404="","",INDEX('Input Transaksi'!$A:$A,$E404))</f>
        <v/>
      </c>
      <c r="B404" s="5">
        <f>IF($E404="","",INDEX('Input Transaksi'!$D:$D,$E404))</f>
        <v/>
      </c>
      <c r="C404">
        <f>IF($E404="","",INDEX('Input Transaksi'!$E:$E,$E404))</f>
        <v/>
      </c>
      <c r="D404" s="5">
        <f>IF($E404="","",INDEX('Input Transaksi'!$F:$F,$E404))</f>
        <v/>
      </c>
      <c r="E404">
        <f>IFERROR(AGGREGATE(15,6,ROW('Input Transaksi'!$B$5:$B$5000)/('Input Transaksi'!$B$5:$B$5000="JCL PEMOGAN"),ROWS($E$5:E404)),"")</f>
        <v/>
      </c>
      <c r="F404" s="5" t="n"/>
    </row>
    <row r="405">
      <c r="A405" s="10">
        <f>IF($E405="","",INDEX('Input Transaksi'!$A:$A,$E405))</f>
        <v/>
      </c>
      <c r="B405" s="5">
        <f>IF($E405="","",INDEX('Input Transaksi'!$D:$D,$E405))</f>
        <v/>
      </c>
      <c r="C405">
        <f>IF($E405="","",INDEX('Input Transaksi'!$E:$E,$E405))</f>
        <v/>
      </c>
      <c r="D405" s="5">
        <f>IF($E405="","",INDEX('Input Transaksi'!$F:$F,$E405))</f>
        <v/>
      </c>
      <c r="E405">
        <f>IFERROR(AGGREGATE(15,6,ROW('Input Transaksi'!$B$5:$B$5000)/('Input Transaksi'!$B$5:$B$5000="JCL PEMOGAN"),ROWS($E$5:E405)),"")</f>
        <v/>
      </c>
      <c r="F405" s="5" t="n"/>
    </row>
    <row r="406">
      <c r="A406" s="10">
        <f>IF($E406="","",INDEX('Input Transaksi'!$A:$A,$E406))</f>
        <v/>
      </c>
      <c r="B406" s="5">
        <f>IF($E406="","",INDEX('Input Transaksi'!$D:$D,$E406))</f>
        <v/>
      </c>
      <c r="C406">
        <f>IF($E406="","",INDEX('Input Transaksi'!$E:$E,$E406))</f>
        <v/>
      </c>
      <c r="D406" s="5">
        <f>IF($E406="","",INDEX('Input Transaksi'!$F:$F,$E406))</f>
        <v/>
      </c>
      <c r="E406">
        <f>IFERROR(AGGREGATE(15,6,ROW('Input Transaksi'!$B$5:$B$5000)/('Input Transaksi'!$B$5:$B$5000="JCL PEMOGAN"),ROWS($E$5:E406)),"")</f>
        <v/>
      </c>
      <c r="F406" s="5" t="n"/>
    </row>
    <row r="407">
      <c r="A407" s="10">
        <f>IF($E407="","",INDEX('Input Transaksi'!$A:$A,$E407))</f>
        <v/>
      </c>
      <c r="B407" s="5">
        <f>IF($E407="","",INDEX('Input Transaksi'!$D:$D,$E407))</f>
        <v/>
      </c>
      <c r="C407">
        <f>IF($E407="","",INDEX('Input Transaksi'!$E:$E,$E407))</f>
        <v/>
      </c>
      <c r="D407" s="5">
        <f>IF($E407="","",INDEX('Input Transaksi'!$F:$F,$E407))</f>
        <v/>
      </c>
      <c r="E407">
        <f>IFERROR(AGGREGATE(15,6,ROW('Input Transaksi'!$B$5:$B$5000)/('Input Transaksi'!$B$5:$B$5000="JCL PEMOGAN"),ROWS($E$5:E407)),"")</f>
        <v/>
      </c>
      <c r="F407" s="5" t="n"/>
    </row>
    <row r="408">
      <c r="A408" s="10">
        <f>IF($E408="","",INDEX('Input Transaksi'!$A:$A,$E408))</f>
        <v/>
      </c>
      <c r="B408" s="5">
        <f>IF($E408="","",INDEX('Input Transaksi'!$D:$D,$E408))</f>
        <v/>
      </c>
      <c r="C408">
        <f>IF($E408="","",INDEX('Input Transaksi'!$E:$E,$E408))</f>
        <v/>
      </c>
      <c r="D408" s="5">
        <f>IF($E408="","",INDEX('Input Transaksi'!$F:$F,$E408))</f>
        <v/>
      </c>
      <c r="E408">
        <f>IFERROR(AGGREGATE(15,6,ROW('Input Transaksi'!$B$5:$B$5000)/('Input Transaksi'!$B$5:$B$5000="JCL PEMOGAN"),ROWS($E$5:E408)),"")</f>
        <v/>
      </c>
      <c r="F408" s="5" t="n"/>
    </row>
    <row r="409">
      <c r="A409" s="10">
        <f>IF($E409="","",INDEX('Input Transaksi'!$A:$A,$E409))</f>
        <v/>
      </c>
      <c r="B409" s="5">
        <f>IF($E409="","",INDEX('Input Transaksi'!$D:$D,$E409))</f>
        <v/>
      </c>
      <c r="C409">
        <f>IF($E409="","",INDEX('Input Transaksi'!$E:$E,$E409))</f>
        <v/>
      </c>
      <c r="D409" s="5">
        <f>IF($E409="","",INDEX('Input Transaksi'!$F:$F,$E409))</f>
        <v/>
      </c>
      <c r="E409">
        <f>IFERROR(AGGREGATE(15,6,ROW('Input Transaksi'!$B$5:$B$5000)/('Input Transaksi'!$B$5:$B$5000="JCL PEMOGAN"),ROWS($E$5:E409)),"")</f>
        <v/>
      </c>
      <c r="F409" s="5" t="n"/>
    </row>
    <row r="410">
      <c r="A410" s="10">
        <f>IF($E410="","",INDEX('Input Transaksi'!$A:$A,$E410))</f>
        <v/>
      </c>
      <c r="B410" s="5">
        <f>IF($E410="","",INDEX('Input Transaksi'!$D:$D,$E410))</f>
        <v/>
      </c>
      <c r="C410">
        <f>IF($E410="","",INDEX('Input Transaksi'!$E:$E,$E410))</f>
        <v/>
      </c>
      <c r="D410" s="5">
        <f>IF($E410="","",INDEX('Input Transaksi'!$F:$F,$E410))</f>
        <v/>
      </c>
      <c r="E410">
        <f>IFERROR(AGGREGATE(15,6,ROW('Input Transaksi'!$B$5:$B$5000)/('Input Transaksi'!$B$5:$B$5000="JCL PEMOGAN"),ROWS($E$5:E410)),"")</f>
        <v/>
      </c>
      <c r="F410" s="5" t="n"/>
    </row>
    <row r="411">
      <c r="A411" s="10">
        <f>IF($E411="","",INDEX('Input Transaksi'!$A:$A,$E411))</f>
        <v/>
      </c>
      <c r="B411" s="5">
        <f>IF($E411="","",INDEX('Input Transaksi'!$D:$D,$E411))</f>
        <v/>
      </c>
      <c r="C411">
        <f>IF($E411="","",INDEX('Input Transaksi'!$E:$E,$E411))</f>
        <v/>
      </c>
      <c r="D411" s="5">
        <f>IF($E411="","",INDEX('Input Transaksi'!$F:$F,$E411))</f>
        <v/>
      </c>
      <c r="E411">
        <f>IFERROR(AGGREGATE(15,6,ROW('Input Transaksi'!$B$5:$B$5000)/('Input Transaksi'!$B$5:$B$5000="JCL PEMOGAN"),ROWS($E$5:E411)),"")</f>
        <v/>
      </c>
      <c r="F411" s="5" t="n"/>
    </row>
    <row r="412">
      <c r="A412" s="10">
        <f>IF($E412="","",INDEX('Input Transaksi'!$A:$A,$E412))</f>
        <v/>
      </c>
      <c r="B412" s="5">
        <f>IF($E412="","",INDEX('Input Transaksi'!$D:$D,$E412))</f>
        <v/>
      </c>
      <c r="C412">
        <f>IF($E412="","",INDEX('Input Transaksi'!$E:$E,$E412))</f>
        <v/>
      </c>
      <c r="D412" s="5">
        <f>IF($E412="","",INDEX('Input Transaksi'!$F:$F,$E412))</f>
        <v/>
      </c>
      <c r="E412">
        <f>IFERROR(AGGREGATE(15,6,ROW('Input Transaksi'!$B$5:$B$5000)/('Input Transaksi'!$B$5:$B$5000="JCL PEMOGAN"),ROWS($E$5:E412)),"")</f>
        <v/>
      </c>
      <c r="F412" s="5" t="n"/>
    </row>
    <row r="413">
      <c r="A413" s="10">
        <f>IF($E413="","",INDEX('Input Transaksi'!$A:$A,$E413))</f>
        <v/>
      </c>
      <c r="B413" s="5">
        <f>IF($E413="","",INDEX('Input Transaksi'!$D:$D,$E413))</f>
        <v/>
      </c>
      <c r="C413">
        <f>IF($E413="","",INDEX('Input Transaksi'!$E:$E,$E413))</f>
        <v/>
      </c>
      <c r="D413" s="5">
        <f>IF($E413="","",INDEX('Input Transaksi'!$F:$F,$E413))</f>
        <v/>
      </c>
      <c r="E413">
        <f>IFERROR(AGGREGATE(15,6,ROW('Input Transaksi'!$B$5:$B$5000)/('Input Transaksi'!$B$5:$B$5000="JCL PEMOGAN"),ROWS($E$5:E413)),"")</f>
        <v/>
      </c>
      <c r="F413" s="5" t="n"/>
    </row>
    <row r="414">
      <c r="A414" s="10">
        <f>IF($E414="","",INDEX('Input Transaksi'!$A:$A,$E414))</f>
        <v/>
      </c>
      <c r="B414" s="5">
        <f>IF($E414="","",INDEX('Input Transaksi'!$D:$D,$E414))</f>
        <v/>
      </c>
      <c r="C414">
        <f>IF($E414="","",INDEX('Input Transaksi'!$E:$E,$E414))</f>
        <v/>
      </c>
      <c r="D414" s="5">
        <f>IF($E414="","",INDEX('Input Transaksi'!$F:$F,$E414))</f>
        <v/>
      </c>
      <c r="E414">
        <f>IFERROR(AGGREGATE(15,6,ROW('Input Transaksi'!$B$5:$B$5000)/('Input Transaksi'!$B$5:$B$5000="JCL PEMOGAN"),ROWS($E$5:E414)),"")</f>
        <v/>
      </c>
      <c r="F414" s="5" t="n"/>
    </row>
    <row r="415">
      <c r="A415" s="10">
        <f>IF($E415="","",INDEX('Input Transaksi'!$A:$A,$E415))</f>
        <v/>
      </c>
      <c r="B415" s="5">
        <f>IF($E415="","",INDEX('Input Transaksi'!$D:$D,$E415))</f>
        <v/>
      </c>
      <c r="C415">
        <f>IF($E415="","",INDEX('Input Transaksi'!$E:$E,$E415))</f>
        <v/>
      </c>
      <c r="D415" s="5">
        <f>IF($E415="","",INDEX('Input Transaksi'!$F:$F,$E415))</f>
        <v/>
      </c>
      <c r="E415">
        <f>IFERROR(AGGREGATE(15,6,ROW('Input Transaksi'!$B$5:$B$5000)/('Input Transaksi'!$B$5:$B$5000="JCL PEMOGAN"),ROWS($E$5:E415)),"")</f>
        <v/>
      </c>
      <c r="F415" s="5" t="n"/>
    </row>
    <row r="416">
      <c r="A416" s="10">
        <f>IF($E416="","",INDEX('Input Transaksi'!$A:$A,$E416))</f>
        <v/>
      </c>
      <c r="B416" s="5">
        <f>IF($E416="","",INDEX('Input Transaksi'!$D:$D,$E416))</f>
        <v/>
      </c>
      <c r="C416">
        <f>IF($E416="","",INDEX('Input Transaksi'!$E:$E,$E416))</f>
        <v/>
      </c>
      <c r="D416" s="5">
        <f>IF($E416="","",INDEX('Input Transaksi'!$F:$F,$E416))</f>
        <v/>
      </c>
      <c r="E416">
        <f>IFERROR(AGGREGATE(15,6,ROW('Input Transaksi'!$B$5:$B$5000)/('Input Transaksi'!$B$5:$B$5000="JCL PEMOGAN"),ROWS($E$5:E416)),"")</f>
        <v/>
      </c>
      <c r="F416" s="5" t="n"/>
    </row>
    <row r="417">
      <c r="A417" s="10">
        <f>IF($E417="","",INDEX('Input Transaksi'!$A:$A,$E417))</f>
        <v/>
      </c>
      <c r="B417" s="5">
        <f>IF($E417="","",INDEX('Input Transaksi'!$D:$D,$E417))</f>
        <v/>
      </c>
      <c r="C417">
        <f>IF($E417="","",INDEX('Input Transaksi'!$E:$E,$E417))</f>
        <v/>
      </c>
      <c r="D417" s="5">
        <f>IF($E417="","",INDEX('Input Transaksi'!$F:$F,$E417))</f>
        <v/>
      </c>
      <c r="E417">
        <f>IFERROR(AGGREGATE(15,6,ROW('Input Transaksi'!$B$5:$B$5000)/('Input Transaksi'!$B$5:$B$5000="JCL PEMOGAN"),ROWS($E$5:E417)),"")</f>
        <v/>
      </c>
      <c r="F417" s="5" t="n"/>
    </row>
    <row r="418">
      <c r="A418" s="10">
        <f>IF($E418="","",INDEX('Input Transaksi'!$A:$A,$E418))</f>
        <v/>
      </c>
      <c r="B418" s="5">
        <f>IF($E418="","",INDEX('Input Transaksi'!$D:$D,$E418))</f>
        <v/>
      </c>
      <c r="C418">
        <f>IF($E418="","",INDEX('Input Transaksi'!$E:$E,$E418))</f>
        <v/>
      </c>
      <c r="D418" s="5">
        <f>IF($E418="","",INDEX('Input Transaksi'!$F:$F,$E418))</f>
        <v/>
      </c>
      <c r="E418">
        <f>IFERROR(AGGREGATE(15,6,ROW('Input Transaksi'!$B$5:$B$5000)/('Input Transaksi'!$B$5:$B$5000="JCL PEMOGAN"),ROWS($E$5:E418)),"")</f>
        <v/>
      </c>
      <c r="F418" s="5" t="n"/>
    </row>
    <row r="419">
      <c r="A419" s="10">
        <f>IF($E419="","",INDEX('Input Transaksi'!$A:$A,$E419))</f>
        <v/>
      </c>
      <c r="B419" s="5">
        <f>IF($E419="","",INDEX('Input Transaksi'!$D:$D,$E419))</f>
        <v/>
      </c>
      <c r="C419">
        <f>IF($E419="","",INDEX('Input Transaksi'!$E:$E,$E419))</f>
        <v/>
      </c>
      <c r="D419" s="5">
        <f>IF($E419="","",INDEX('Input Transaksi'!$F:$F,$E419))</f>
        <v/>
      </c>
      <c r="E419">
        <f>IFERROR(AGGREGATE(15,6,ROW('Input Transaksi'!$B$5:$B$5000)/('Input Transaksi'!$B$5:$B$5000="JCL PEMOGAN"),ROWS($E$5:E419)),"")</f>
        <v/>
      </c>
      <c r="F419" s="5" t="n"/>
    </row>
    <row r="420">
      <c r="A420" s="10">
        <f>IF($E420="","",INDEX('Input Transaksi'!$A:$A,$E420))</f>
        <v/>
      </c>
      <c r="B420" s="5">
        <f>IF($E420="","",INDEX('Input Transaksi'!$D:$D,$E420))</f>
        <v/>
      </c>
      <c r="C420">
        <f>IF($E420="","",INDEX('Input Transaksi'!$E:$E,$E420))</f>
        <v/>
      </c>
      <c r="D420" s="5">
        <f>IF($E420="","",INDEX('Input Transaksi'!$F:$F,$E420))</f>
        <v/>
      </c>
      <c r="E420">
        <f>IFERROR(AGGREGATE(15,6,ROW('Input Transaksi'!$B$5:$B$5000)/('Input Transaksi'!$B$5:$B$5000="JCL PEMOGAN"),ROWS($E$5:E420)),"")</f>
        <v/>
      </c>
      <c r="F420" s="5" t="n"/>
    </row>
    <row r="421">
      <c r="A421" s="10">
        <f>IF($E421="","",INDEX('Input Transaksi'!$A:$A,$E421))</f>
        <v/>
      </c>
      <c r="B421" s="5">
        <f>IF($E421="","",INDEX('Input Transaksi'!$D:$D,$E421))</f>
        <v/>
      </c>
      <c r="C421">
        <f>IF($E421="","",INDEX('Input Transaksi'!$E:$E,$E421))</f>
        <v/>
      </c>
      <c r="D421" s="5">
        <f>IF($E421="","",INDEX('Input Transaksi'!$F:$F,$E421))</f>
        <v/>
      </c>
      <c r="E421">
        <f>IFERROR(AGGREGATE(15,6,ROW('Input Transaksi'!$B$5:$B$5000)/('Input Transaksi'!$B$5:$B$5000="JCL PEMOGAN"),ROWS($E$5:E421)),"")</f>
        <v/>
      </c>
      <c r="F421" s="5" t="n"/>
    </row>
    <row r="422">
      <c r="A422" s="10">
        <f>IF($E422="","",INDEX('Input Transaksi'!$A:$A,$E422))</f>
        <v/>
      </c>
      <c r="B422" s="5">
        <f>IF($E422="","",INDEX('Input Transaksi'!$D:$D,$E422))</f>
        <v/>
      </c>
      <c r="C422">
        <f>IF($E422="","",INDEX('Input Transaksi'!$E:$E,$E422))</f>
        <v/>
      </c>
      <c r="D422" s="5">
        <f>IF($E422="","",INDEX('Input Transaksi'!$F:$F,$E422))</f>
        <v/>
      </c>
      <c r="E422">
        <f>IFERROR(AGGREGATE(15,6,ROW('Input Transaksi'!$B$5:$B$5000)/('Input Transaksi'!$B$5:$B$5000="JCL PEMOGAN"),ROWS($E$5:E422)),"")</f>
        <v/>
      </c>
      <c r="F422" s="5" t="n"/>
    </row>
    <row r="423">
      <c r="A423" s="10">
        <f>IF($E423="","",INDEX('Input Transaksi'!$A:$A,$E423))</f>
        <v/>
      </c>
      <c r="B423" s="5">
        <f>IF($E423="","",INDEX('Input Transaksi'!$D:$D,$E423))</f>
        <v/>
      </c>
      <c r="C423">
        <f>IF($E423="","",INDEX('Input Transaksi'!$E:$E,$E423))</f>
        <v/>
      </c>
      <c r="D423" s="5">
        <f>IF($E423="","",INDEX('Input Transaksi'!$F:$F,$E423))</f>
        <v/>
      </c>
      <c r="E423">
        <f>IFERROR(AGGREGATE(15,6,ROW('Input Transaksi'!$B$5:$B$5000)/('Input Transaksi'!$B$5:$B$5000="JCL PEMOGAN"),ROWS($E$5:E423)),"")</f>
        <v/>
      </c>
      <c r="F423" s="5" t="n"/>
    </row>
    <row r="424">
      <c r="A424" s="10">
        <f>IF($E424="","",INDEX('Input Transaksi'!$A:$A,$E424))</f>
        <v/>
      </c>
      <c r="B424" s="5">
        <f>IF($E424="","",INDEX('Input Transaksi'!$D:$D,$E424))</f>
        <v/>
      </c>
      <c r="C424">
        <f>IF($E424="","",INDEX('Input Transaksi'!$E:$E,$E424))</f>
        <v/>
      </c>
      <c r="D424" s="5">
        <f>IF($E424="","",INDEX('Input Transaksi'!$F:$F,$E424))</f>
        <v/>
      </c>
      <c r="E424">
        <f>IFERROR(AGGREGATE(15,6,ROW('Input Transaksi'!$B$5:$B$5000)/('Input Transaksi'!$B$5:$B$5000="JCL PEMOGAN"),ROWS($E$5:E424)),"")</f>
        <v/>
      </c>
      <c r="F424" s="5" t="n"/>
    </row>
    <row r="425">
      <c r="A425" s="10">
        <f>IF($E425="","",INDEX('Input Transaksi'!$A:$A,$E425))</f>
        <v/>
      </c>
      <c r="B425" s="5">
        <f>IF($E425="","",INDEX('Input Transaksi'!$D:$D,$E425))</f>
        <v/>
      </c>
      <c r="C425">
        <f>IF($E425="","",INDEX('Input Transaksi'!$E:$E,$E425))</f>
        <v/>
      </c>
      <c r="D425" s="5">
        <f>IF($E425="","",INDEX('Input Transaksi'!$F:$F,$E425))</f>
        <v/>
      </c>
      <c r="E425">
        <f>IFERROR(AGGREGATE(15,6,ROW('Input Transaksi'!$B$5:$B$5000)/('Input Transaksi'!$B$5:$B$5000="JCL PEMOGAN"),ROWS($E$5:E425)),"")</f>
        <v/>
      </c>
      <c r="F425" s="5" t="n"/>
    </row>
    <row r="426">
      <c r="A426" s="10">
        <f>IF($E426="","",INDEX('Input Transaksi'!$A:$A,$E426))</f>
        <v/>
      </c>
      <c r="B426" s="5">
        <f>IF($E426="","",INDEX('Input Transaksi'!$D:$D,$E426))</f>
        <v/>
      </c>
      <c r="C426">
        <f>IF($E426="","",INDEX('Input Transaksi'!$E:$E,$E426))</f>
        <v/>
      </c>
      <c r="D426" s="5">
        <f>IF($E426="","",INDEX('Input Transaksi'!$F:$F,$E426))</f>
        <v/>
      </c>
      <c r="E426">
        <f>IFERROR(AGGREGATE(15,6,ROW('Input Transaksi'!$B$5:$B$5000)/('Input Transaksi'!$B$5:$B$5000="JCL PEMOGAN"),ROWS($E$5:E426)),"")</f>
        <v/>
      </c>
      <c r="F426" s="5" t="n"/>
    </row>
    <row r="427">
      <c r="A427" s="10">
        <f>IF($E427="","",INDEX('Input Transaksi'!$A:$A,$E427))</f>
        <v/>
      </c>
      <c r="B427" s="5">
        <f>IF($E427="","",INDEX('Input Transaksi'!$D:$D,$E427))</f>
        <v/>
      </c>
      <c r="C427">
        <f>IF($E427="","",INDEX('Input Transaksi'!$E:$E,$E427))</f>
        <v/>
      </c>
      <c r="D427" s="5">
        <f>IF($E427="","",INDEX('Input Transaksi'!$F:$F,$E427))</f>
        <v/>
      </c>
      <c r="E427">
        <f>IFERROR(AGGREGATE(15,6,ROW('Input Transaksi'!$B$5:$B$5000)/('Input Transaksi'!$B$5:$B$5000="JCL PEMOGAN"),ROWS($E$5:E427)),"")</f>
        <v/>
      </c>
      <c r="F427" s="5" t="n"/>
    </row>
    <row r="428">
      <c r="A428" s="10">
        <f>IF($E428="","",INDEX('Input Transaksi'!$A:$A,$E428))</f>
        <v/>
      </c>
      <c r="B428" s="5">
        <f>IF($E428="","",INDEX('Input Transaksi'!$D:$D,$E428))</f>
        <v/>
      </c>
      <c r="C428">
        <f>IF($E428="","",INDEX('Input Transaksi'!$E:$E,$E428))</f>
        <v/>
      </c>
      <c r="D428" s="5">
        <f>IF($E428="","",INDEX('Input Transaksi'!$F:$F,$E428))</f>
        <v/>
      </c>
      <c r="E428">
        <f>IFERROR(AGGREGATE(15,6,ROW('Input Transaksi'!$B$5:$B$5000)/('Input Transaksi'!$B$5:$B$5000="JCL PEMOGAN"),ROWS($E$5:E428)),"")</f>
        <v/>
      </c>
      <c r="F428" s="5" t="n"/>
    </row>
    <row r="429">
      <c r="A429" s="10">
        <f>IF($E429="","",INDEX('Input Transaksi'!$A:$A,$E429))</f>
        <v/>
      </c>
      <c r="B429" s="5">
        <f>IF($E429="","",INDEX('Input Transaksi'!$D:$D,$E429))</f>
        <v/>
      </c>
      <c r="C429">
        <f>IF($E429="","",INDEX('Input Transaksi'!$E:$E,$E429))</f>
        <v/>
      </c>
      <c r="D429" s="5">
        <f>IF($E429="","",INDEX('Input Transaksi'!$F:$F,$E429))</f>
        <v/>
      </c>
      <c r="E429">
        <f>IFERROR(AGGREGATE(15,6,ROW('Input Transaksi'!$B$5:$B$5000)/('Input Transaksi'!$B$5:$B$5000="JCL PEMOGAN"),ROWS($E$5:E429)),"")</f>
        <v/>
      </c>
      <c r="F429" s="5" t="n"/>
    </row>
    <row r="430">
      <c r="A430" s="10">
        <f>IF($E430="","",INDEX('Input Transaksi'!$A:$A,$E430))</f>
        <v/>
      </c>
      <c r="B430" s="5">
        <f>IF($E430="","",INDEX('Input Transaksi'!$D:$D,$E430))</f>
        <v/>
      </c>
      <c r="C430">
        <f>IF($E430="","",INDEX('Input Transaksi'!$E:$E,$E430))</f>
        <v/>
      </c>
      <c r="D430" s="5">
        <f>IF($E430="","",INDEX('Input Transaksi'!$F:$F,$E430))</f>
        <v/>
      </c>
      <c r="E430">
        <f>IFERROR(AGGREGATE(15,6,ROW('Input Transaksi'!$B$5:$B$5000)/('Input Transaksi'!$B$5:$B$5000="JCL PEMOGAN"),ROWS($E$5:E430)),"")</f>
        <v/>
      </c>
      <c r="F430" s="5" t="n"/>
    </row>
    <row r="431">
      <c r="A431" s="10">
        <f>IF($E431="","",INDEX('Input Transaksi'!$A:$A,$E431))</f>
        <v/>
      </c>
      <c r="B431" s="5">
        <f>IF($E431="","",INDEX('Input Transaksi'!$D:$D,$E431))</f>
        <v/>
      </c>
      <c r="C431">
        <f>IF($E431="","",INDEX('Input Transaksi'!$E:$E,$E431))</f>
        <v/>
      </c>
      <c r="D431" s="5">
        <f>IF($E431="","",INDEX('Input Transaksi'!$F:$F,$E431))</f>
        <v/>
      </c>
      <c r="E431">
        <f>IFERROR(AGGREGATE(15,6,ROW('Input Transaksi'!$B$5:$B$5000)/('Input Transaksi'!$B$5:$B$5000="JCL PEMOGAN"),ROWS($E$5:E431)),"")</f>
        <v/>
      </c>
      <c r="F431" s="5" t="n"/>
    </row>
    <row r="432">
      <c r="A432" s="10">
        <f>IF($E432="","",INDEX('Input Transaksi'!$A:$A,$E432))</f>
        <v/>
      </c>
      <c r="B432" s="5">
        <f>IF($E432="","",INDEX('Input Transaksi'!$D:$D,$E432))</f>
        <v/>
      </c>
      <c r="C432">
        <f>IF($E432="","",INDEX('Input Transaksi'!$E:$E,$E432))</f>
        <v/>
      </c>
      <c r="D432" s="5">
        <f>IF($E432="","",INDEX('Input Transaksi'!$F:$F,$E432))</f>
        <v/>
      </c>
      <c r="E432">
        <f>IFERROR(AGGREGATE(15,6,ROW('Input Transaksi'!$B$5:$B$5000)/('Input Transaksi'!$B$5:$B$5000="JCL PEMOGAN"),ROWS($E$5:E432)),"")</f>
        <v/>
      </c>
      <c r="F432" s="5" t="n"/>
    </row>
    <row r="433">
      <c r="A433" s="10">
        <f>IF($E433="","",INDEX('Input Transaksi'!$A:$A,$E433))</f>
        <v/>
      </c>
      <c r="B433" s="5">
        <f>IF($E433="","",INDEX('Input Transaksi'!$D:$D,$E433))</f>
        <v/>
      </c>
      <c r="C433">
        <f>IF($E433="","",INDEX('Input Transaksi'!$E:$E,$E433))</f>
        <v/>
      </c>
      <c r="D433" s="5">
        <f>IF($E433="","",INDEX('Input Transaksi'!$F:$F,$E433))</f>
        <v/>
      </c>
      <c r="E433">
        <f>IFERROR(AGGREGATE(15,6,ROW('Input Transaksi'!$B$5:$B$5000)/('Input Transaksi'!$B$5:$B$5000="JCL PEMOGAN"),ROWS($E$5:E433)),"")</f>
        <v/>
      </c>
      <c r="F433" s="5" t="n"/>
    </row>
    <row r="434">
      <c r="A434" s="10">
        <f>IF($E434="","",INDEX('Input Transaksi'!$A:$A,$E434))</f>
        <v/>
      </c>
      <c r="B434" s="5">
        <f>IF($E434="","",INDEX('Input Transaksi'!$D:$D,$E434))</f>
        <v/>
      </c>
      <c r="C434">
        <f>IF($E434="","",INDEX('Input Transaksi'!$E:$E,$E434))</f>
        <v/>
      </c>
      <c r="D434" s="5">
        <f>IF($E434="","",INDEX('Input Transaksi'!$F:$F,$E434))</f>
        <v/>
      </c>
      <c r="E434">
        <f>IFERROR(AGGREGATE(15,6,ROW('Input Transaksi'!$B$5:$B$5000)/('Input Transaksi'!$B$5:$B$5000="JCL PEMOGAN"),ROWS($E$5:E434)),"")</f>
        <v/>
      </c>
      <c r="F434" s="5" t="n"/>
    </row>
    <row r="435">
      <c r="A435" s="10">
        <f>IF($E435="","",INDEX('Input Transaksi'!$A:$A,$E435))</f>
        <v/>
      </c>
      <c r="B435" s="5">
        <f>IF($E435="","",INDEX('Input Transaksi'!$D:$D,$E435))</f>
        <v/>
      </c>
      <c r="C435">
        <f>IF($E435="","",INDEX('Input Transaksi'!$E:$E,$E435))</f>
        <v/>
      </c>
      <c r="D435" s="5">
        <f>IF($E435="","",INDEX('Input Transaksi'!$F:$F,$E435))</f>
        <v/>
      </c>
      <c r="E435">
        <f>IFERROR(AGGREGATE(15,6,ROW('Input Transaksi'!$B$5:$B$5000)/('Input Transaksi'!$B$5:$B$5000="JCL PEMOGAN"),ROWS($E$5:E435)),"")</f>
        <v/>
      </c>
      <c r="F435" s="5" t="n"/>
    </row>
    <row r="436">
      <c r="A436" s="10">
        <f>IF($E436="","",INDEX('Input Transaksi'!$A:$A,$E436))</f>
        <v/>
      </c>
      <c r="B436" s="5">
        <f>IF($E436="","",INDEX('Input Transaksi'!$D:$D,$E436))</f>
        <v/>
      </c>
      <c r="C436">
        <f>IF($E436="","",INDEX('Input Transaksi'!$E:$E,$E436))</f>
        <v/>
      </c>
      <c r="D436" s="5">
        <f>IF($E436="","",INDEX('Input Transaksi'!$F:$F,$E436))</f>
        <v/>
      </c>
      <c r="E436">
        <f>IFERROR(AGGREGATE(15,6,ROW('Input Transaksi'!$B$5:$B$5000)/('Input Transaksi'!$B$5:$B$5000="JCL PEMOGAN"),ROWS($E$5:E436)),"")</f>
        <v/>
      </c>
      <c r="F436" s="5" t="n"/>
    </row>
    <row r="437">
      <c r="A437" s="10">
        <f>IF($E437="","",INDEX('Input Transaksi'!$A:$A,$E437))</f>
        <v/>
      </c>
      <c r="B437" s="5">
        <f>IF($E437="","",INDEX('Input Transaksi'!$D:$D,$E437))</f>
        <v/>
      </c>
      <c r="C437">
        <f>IF($E437="","",INDEX('Input Transaksi'!$E:$E,$E437))</f>
        <v/>
      </c>
      <c r="D437" s="5">
        <f>IF($E437="","",INDEX('Input Transaksi'!$F:$F,$E437))</f>
        <v/>
      </c>
      <c r="E437">
        <f>IFERROR(AGGREGATE(15,6,ROW('Input Transaksi'!$B$5:$B$5000)/('Input Transaksi'!$B$5:$B$5000="JCL PEMOGAN"),ROWS($E$5:E437)),"")</f>
        <v/>
      </c>
      <c r="F437" s="5" t="n"/>
    </row>
    <row r="438">
      <c r="A438" s="10">
        <f>IF($E438="","",INDEX('Input Transaksi'!$A:$A,$E438))</f>
        <v/>
      </c>
      <c r="B438" s="5">
        <f>IF($E438="","",INDEX('Input Transaksi'!$D:$D,$E438))</f>
        <v/>
      </c>
      <c r="C438">
        <f>IF($E438="","",INDEX('Input Transaksi'!$E:$E,$E438))</f>
        <v/>
      </c>
      <c r="D438" s="5">
        <f>IF($E438="","",INDEX('Input Transaksi'!$F:$F,$E438))</f>
        <v/>
      </c>
      <c r="E438">
        <f>IFERROR(AGGREGATE(15,6,ROW('Input Transaksi'!$B$5:$B$5000)/('Input Transaksi'!$B$5:$B$5000="JCL PEMOGAN"),ROWS($E$5:E438)),"")</f>
        <v/>
      </c>
      <c r="F438" s="5" t="n"/>
    </row>
    <row r="439">
      <c r="A439" s="10">
        <f>IF($E439="","",INDEX('Input Transaksi'!$A:$A,$E439))</f>
        <v/>
      </c>
      <c r="B439" s="5">
        <f>IF($E439="","",INDEX('Input Transaksi'!$D:$D,$E439))</f>
        <v/>
      </c>
      <c r="C439">
        <f>IF($E439="","",INDEX('Input Transaksi'!$E:$E,$E439))</f>
        <v/>
      </c>
      <c r="D439" s="5">
        <f>IF($E439="","",INDEX('Input Transaksi'!$F:$F,$E439))</f>
        <v/>
      </c>
      <c r="E439">
        <f>IFERROR(AGGREGATE(15,6,ROW('Input Transaksi'!$B$5:$B$5000)/('Input Transaksi'!$B$5:$B$5000="JCL PEMOGAN"),ROWS($E$5:E439)),"")</f>
        <v/>
      </c>
      <c r="F439" s="5" t="n"/>
    </row>
    <row r="440">
      <c r="A440" s="10">
        <f>IF($E440="","",INDEX('Input Transaksi'!$A:$A,$E440))</f>
        <v/>
      </c>
      <c r="B440" s="5">
        <f>IF($E440="","",INDEX('Input Transaksi'!$D:$D,$E440))</f>
        <v/>
      </c>
      <c r="C440">
        <f>IF($E440="","",INDEX('Input Transaksi'!$E:$E,$E440))</f>
        <v/>
      </c>
      <c r="D440" s="5">
        <f>IF($E440="","",INDEX('Input Transaksi'!$F:$F,$E440))</f>
        <v/>
      </c>
      <c r="E440">
        <f>IFERROR(AGGREGATE(15,6,ROW('Input Transaksi'!$B$5:$B$5000)/('Input Transaksi'!$B$5:$B$5000="JCL PEMOGAN"),ROWS($E$5:E440)),"")</f>
        <v/>
      </c>
      <c r="F440" s="5" t="n"/>
    </row>
    <row r="441">
      <c r="A441" s="10">
        <f>IF($E441="","",INDEX('Input Transaksi'!$A:$A,$E441))</f>
        <v/>
      </c>
      <c r="B441" s="5">
        <f>IF($E441="","",INDEX('Input Transaksi'!$D:$D,$E441))</f>
        <v/>
      </c>
      <c r="C441">
        <f>IF($E441="","",INDEX('Input Transaksi'!$E:$E,$E441))</f>
        <v/>
      </c>
      <c r="D441" s="5">
        <f>IF($E441="","",INDEX('Input Transaksi'!$F:$F,$E441))</f>
        <v/>
      </c>
      <c r="E441">
        <f>IFERROR(AGGREGATE(15,6,ROW('Input Transaksi'!$B$5:$B$5000)/('Input Transaksi'!$B$5:$B$5000="JCL PEMOGAN"),ROWS($E$5:E441)),"")</f>
        <v/>
      </c>
      <c r="F441" s="5" t="n"/>
    </row>
    <row r="442">
      <c r="A442" s="10">
        <f>IF($E442="","",INDEX('Input Transaksi'!$A:$A,$E442))</f>
        <v/>
      </c>
      <c r="B442" s="5">
        <f>IF($E442="","",INDEX('Input Transaksi'!$D:$D,$E442))</f>
        <v/>
      </c>
      <c r="C442">
        <f>IF($E442="","",INDEX('Input Transaksi'!$E:$E,$E442))</f>
        <v/>
      </c>
      <c r="D442" s="5">
        <f>IF($E442="","",INDEX('Input Transaksi'!$F:$F,$E442))</f>
        <v/>
      </c>
      <c r="E442">
        <f>IFERROR(AGGREGATE(15,6,ROW('Input Transaksi'!$B$5:$B$5000)/('Input Transaksi'!$B$5:$B$5000="JCL PEMOGAN"),ROWS($E$5:E442)),"")</f>
        <v/>
      </c>
      <c r="F442" s="5" t="n"/>
    </row>
    <row r="443">
      <c r="A443" s="10">
        <f>IF($E443="","",INDEX('Input Transaksi'!$A:$A,$E443))</f>
        <v/>
      </c>
      <c r="B443" s="5">
        <f>IF($E443="","",INDEX('Input Transaksi'!$D:$D,$E443))</f>
        <v/>
      </c>
      <c r="C443">
        <f>IF($E443="","",INDEX('Input Transaksi'!$E:$E,$E443))</f>
        <v/>
      </c>
      <c r="D443" s="5">
        <f>IF($E443="","",INDEX('Input Transaksi'!$F:$F,$E443))</f>
        <v/>
      </c>
      <c r="E443">
        <f>IFERROR(AGGREGATE(15,6,ROW('Input Transaksi'!$B$5:$B$5000)/('Input Transaksi'!$B$5:$B$5000="JCL PEMOGAN"),ROWS($E$5:E443)),"")</f>
        <v/>
      </c>
      <c r="F443" s="5" t="n"/>
    </row>
    <row r="444">
      <c r="A444" s="10">
        <f>IF($E444="","",INDEX('Input Transaksi'!$A:$A,$E444))</f>
        <v/>
      </c>
      <c r="B444" s="5">
        <f>IF($E444="","",INDEX('Input Transaksi'!$D:$D,$E444))</f>
        <v/>
      </c>
      <c r="C444">
        <f>IF($E444="","",INDEX('Input Transaksi'!$E:$E,$E444))</f>
        <v/>
      </c>
      <c r="D444" s="5">
        <f>IF($E444="","",INDEX('Input Transaksi'!$F:$F,$E444))</f>
        <v/>
      </c>
      <c r="E444">
        <f>IFERROR(AGGREGATE(15,6,ROW('Input Transaksi'!$B$5:$B$5000)/('Input Transaksi'!$B$5:$B$5000="JCL PEMOGAN"),ROWS($E$5:E444)),"")</f>
        <v/>
      </c>
      <c r="F444" s="5" t="n"/>
    </row>
    <row r="445">
      <c r="A445" s="10">
        <f>IF($E445="","",INDEX('Input Transaksi'!$A:$A,$E445))</f>
        <v/>
      </c>
      <c r="B445" s="5">
        <f>IF($E445="","",INDEX('Input Transaksi'!$D:$D,$E445))</f>
        <v/>
      </c>
      <c r="C445">
        <f>IF($E445="","",INDEX('Input Transaksi'!$E:$E,$E445))</f>
        <v/>
      </c>
      <c r="D445" s="5">
        <f>IF($E445="","",INDEX('Input Transaksi'!$F:$F,$E445))</f>
        <v/>
      </c>
      <c r="E445">
        <f>IFERROR(AGGREGATE(15,6,ROW('Input Transaksi'!$B$5:$B$5000)/('Input Transaksi'!$B$5:$B$5000="JCL PEMOGAN"),ROWS($E$5:E445)),"")</f>
        <v/>
      </c>
      <c r="F445" s="5" t="n"/>
    </row>
    <row r="446">
      <c r="A446" s="10">
        <f>IF($E446="","",INDEX('Input Transaksi'!$A:$A,$E446))</f>
        <v/>
      </c>
      <c r="B446" s="5">
        <f>IF($E446="","",INDEX('Input Transaksi'!$D:$D,$E446))</f>
        <v/>
      </c>
      <c r="C446">
        <f>IF($E446="","",INDEX('Input Transaksi'!$E:$E,$E446))</f>
        <v/>
      </c>
      <c r="D446" s="5">
        <f>IF($E446="","",INDEX('Input Transaksi'!$F:$F,$E446))</f>
        <v/>
      </c>
      <c r="E446">
        <f>IFERROR(AGGREGATE(15,6,ROW('Input Transaksi'!$B$5:$B$5000)/('Input Transaksi'!$B$5:$B$5000="JCL PEMOGAN"),ROWS($E$5:E446)),"")</f>
        <v/>
      </c>
      <c r="F446" s="5" t="n"/>
    </row>
    <row r="447">
      <c r="A447" s="10">
        <f>IF($E447="","",INDEX('Input Transaksi'!$A:$A,$E447))</f>
        <v/>
      </c>
      <c r="B447" s="5">
        <f>IF($E447="","",INDEX('Input Transaksi'!$D:$D,$E447))</f>
        <v/>
      </c>
      <c r="C447">
        <f>IF($E447="","",INDEX('Input Transaksi'!$E:$E,$E447))</f>
        <v/>
      </c>
      <c r="D447" s="5">
        <f>IF($E447="","",INDEX('Input Transaksi'!$F:$F,$E447))</f>
        <v/>
      </c>
      <c r="E447">
        <f>IFERROR(AGGREGATE(15,6,ROW('Input Transaksi'!$B$5:$B$5000)/('Input Transaksi'!$B$5:$B$5000="JCL PEMOGAN"),ROWS($E$5:E447)),"")</f>
        <v/>
      </c>
      <c r="F447" s="5" t="n"/>
    </row>
    <row r="448">
      <c r="A448" s="10">
        <f>IF($E448="","",INDEX('Input Transaksi'!$A:$A,$E448))</f>
        <v/>
      </c>
      <c r="B448" s="5">
        <f>IF($E448="","",INDEX('Input Transaksi'!$D:$D,$E448))</f>
        <v/>
      </c>
      <c r="C448">
        <f>IF($E448="","",INDEX('Input Transaksi'!$E:$E,$E448))</f>
        <v/>
      </c>
      <c r="D448" s="5">
        <f>IF($E448="","",INDEX('Input Transaksi'!$F:$F,$E448))</f>
        <v/>
      </c>
      <c r="E448">
        <f>IFERROR(AGGREGATE(15,6,ROW('Input Transaksi'!$B$5:$B$5000)/('Input Transaksi'!$B$5:$B$5000="JCL PEMOGAN"),ROWS($E$5:E448)),"")</f>
        <v/>
      </c>
      <c r="F448" s="5" t="n"/>
    </row>
    <row r="449">
      <c r="A449" s="10">
        <f>IF($E449="","",INDEX('Input Transaksi'!$A:$A,$E449))</f>
        <v/>
      </c>
      <c r="B449" s="5">
        <f>IF($E449="","",INDEX('Input Transaksi'!$D:$D,$E449))</f>
        <v/>
      </c>
      <c r="C449">
        <f>IF($E449="","",INDEX('Input Transaksi'!$E:$E,$E449))</f>
        <v/>
      </c>
      <c r="D449" s="5">
        <f>IF($E449="","",INDEX('Input Transaksi'!$F:$F,$E449))</f>
        <v/>
      </c>
      <c r="E449">
        <f>IFERROR(AGGREGATE(15,6,ROW('Input Transaksi'!$B$5:$B$5000)/('Input Transaksi'!$B$5:$B$5000="JCL PEMOGAN"),ROWS($E$5:E449)),"")</f>
        <v/>
      </c>
      <c r="F449" s="5" t="n"/>
    </row>
    <row r="450">
      <c r="A450" s="10">
        <f>IF($E450="","",INDEX('Input Transaksi'!$A:$A,$E450))</f>
        <v/>
      </c>
      <c r="B450" s="5">
        <f>IF($E450="","",INDEX('Input Transaksi'!$D:$D,$E450))</f>
        <v/>
      </c>
      <c r="C450">
        <f>IF($E450="","",INDEX('Input Transaksi'!$E:$E,$E450))</f>
        <v/>
      </c>
      <c r="D450" s="5">
        <f>IF($E450="","",INDEX('Input Transaksi'!$F:$F,$E450))</f>
        <v/>
      </c>
      <c r="E450">
        <f>IFERROR(AGGREGATE(15,6,ROW('Input Transaksi'!$B$5:$B$5000)/('Input Transaksi'!$B$5:$B$5000="JCL PEMOGAN"),ROWS($E$5:E450)),"")</f>
        <v/>
      </c>
      <c r="F450" s="5" t="n"/>
    </row>
    <row r="451">
      <c r="A451" s="10">
        <f>IF($E451="","",INDEX('Input Transaksi'!$A:$A,$E451))</f>
        <v/>
      </c>
      <c r="B451" s="5">
        <f>IF($E451="","",INDEX('Input Transaksi'!$D:$D,$E451))</f>
        <v/>
      </c>
      <c r="C451">
        <f>IF($E451="","",INDEX('Input Transaksi'!$E:$E,$E451))</f>
        <v/>
      </c>
      <c r="D451" s="5">
        <f>IF($E451="","",INDEX('Input Transaksi'!$F:$F,$E451))</f>
        <v/>
      </c>
      <c r="E451">
        <f>IFERROR(AGGREGATE(15,6,ROW('Input Transaksi'!$B$5:$B$5000)/('Input Transaksi'!$B$5:$B$5000="JCL PEMOGAN"),ROWS($E$5:E451)),"")</f>
        <v/>
      </c>
      <c r="F451" s="5" t="n"/>
    </row>
    <row r="452">
      <c r="A452" s="10">
        <f>IF($E452="","",INDEX('Input Transaksi'!$A:$A,$E452))</f>
        <v/>
      </c>
      <c r="B452" s="5">
        <f>IF($E452="","",INDEX('Input Transaksi'!$D:$D,$E452))</f>
        <v/>
      </c>
      <c r="C452">
        <f>IF($E452="","",INDEX('Input Transaksi'!$E:$E,$E452))</f>
        <v/>
      </c>
      <c r="D452" s="5">
        <f>IF($E452="","",INDEX('Input Transaksi'!$F:$F,$E452))</f>
        <v/>
      </c>
      <c r="E452">
        <f>IFERROR(AGGREGATE(15,6,ROW('Input Transaksi'!$B$5:$B$5000)/('Input Transaksi'!$B$5:$B$5000="JCL PEMOGAN"),ROWS($E$5:E452)),"")</f>
        <v/>
      </c>
      <c r="F452" s="5" t="n"/>
    </row>
    <row r="453">
      <c r="A453" s="10">
        <f>IF($E453="","",INDEX('Input Transaksi'!$A:$A,$E453))</f>
        <v/>
      </c>
      <c r="B453" s="5">
        <f>IF($E453="","",INDEX('Input Transaksi'!$D:$D,$E453))</f>
        <v/>
      </c>
      <c r="C453">
        <f>IF($E453="","",INDEX('Input Transaksi'!$E:$E,$E453))</f>
        <v/>
      </c>
      <c r="D453" s="5">
        <f>IF($E453="","",INDEX('Input Transaksi'!$F:$F,$E453))</f>
        <v/>
      </c>
      <c r="E453">
        <f>IFERROR(AGGREGATE(15,6,ROW('Input Transaksi'!$B$5:$B$5000)/('Input Transaksi'!$B$5:$B$5000="JCL PEMOGAN"),ROWS($E$5:E453)),"")</f>
        <v/>
      </c>
      <c r="F453" s="5" t="n"/>
    </row>
    <row r="454">
      <c r="A454" s="10">
        <f>IF($E454="","",INDEX('Input Transaksi'!$A:$A,$E454))</f>
        <v/>
      </c>
      <c r="B454" s="5">
        <f>IF($E454="","",INDEX('Input Transaksi'!$D:$D,$E454))</f>
        <v/>
      </c>
      <c r="C454">
        <f>IF($E454="","",INDEX('Input Transaksi'!$E:$E,$E454))</f>
        <v/>
      </c>
      <c r="D454" s="5">
        <f>IF($E454="","",INDEX('Input Transaksi'!$F:$F,$E454))</f>
        <v/>
      </c>
      <c r="E454">
        <f>IFERROR(AGGREGATE(15,6,ROW('Input Transaksi'!$B$5:$B$5000)/('Input Transaksi'!$B$5:$B$5000="JCL PEMOGAN"),ROWS($E$5:E454)),"")</f>
        <v/>
      </c>
      <c r="F454" s="5" t="n"/>
    </row>
    <row r="455">
      <c r="A455" s="10">
        <f>IF($E455="","",INDEX('Input Transaksi'!$A:$A,$E455))</f>
        <v/>
      </c>
      <c r="B455" s="5">
        <f>IF($E455="","",INDEX('Input Transaksi'!$D:$D,$E455))</f>
        <v/>
      </c>
      <c r="C455">
        <f>IF($E455="","",INDEX('Input Transaksi'!$E:$E,$E455))</f>
        <v/>
      </c>
      <c r="D455" s="5">
        <f>IF($E455="","",INDEX('Input Transaksi'!$F:$F,$E455))</f>
        <v/>
      </c>
      <c r="E455">
        <f>IFERROR(AGGREGATE(15,6,ROW('Input Transaksi'!$B$5:$B$5000)/('Input Transaksi'!$B$5:$B$5000="JCL PEMOGAN"),ROWS($E$5:E455)),"")</f>
        <v/>
      </c>
      <c r="F455" s="5" t="n"/>
    </row>
    <row r="456">
      <c r="A456" s="10">
        <f>IF($E456="","",INDEX('Input Transaksi'!$A:$A,$E456))</f>
        <v/>
      </c>
      <c r="B456" s="5">
        <f>IF($E456="","",INDEX('Input Transaksi'!$D:$D,$E456))</f>
        <v/>
      </c>
      <c r="C456">
        <f>IF($E456="","",INDEX('Input Transaksi'!$E:$E,$E456))</f>
        <v/>
      </c>
      <c r="D456" s="5">
        <f>IF($E456="","",INDEX('Input Transaksi'!$F:$F,$E456))</f>
        <v/>
      </c>
      <c r="E456">
        <f>IFERROR(AGGREGATE(15,6,ROW('Input Transaksi'!$B$5:$B$5000)/('Input Transaksi'!$B$5:$B$5000="JCL PEMOGAN"),ROWS($E$5:E456)),"")</f>
        <v/>
      </c>
      <c r="F456" s="5" t="n"/>
    </row>
    <row r="457">
      <c r="A457" s="10">
        <f>IF($E457="","",INDEX('Input Transaksi'!$A:$A,$E457))</f>
        <v/>
      </c>
      <c r="B457" s="5">
        <f>IF($E457="","",INDEX('Input Transaksi'!$D:$D,$E457))</f>
        <v/>
      </c>
      <c r="C457">
        <f>IF($E457="","",INDEX('Input Transaksi'!$E:$E,$E457))</f>
        <v/>
      </c>
      <c r="D457" s="5">
        <f>IF($E457="","",INDEX('Input Transaksi'!$F:$F,$E457))</f>
        <v/>
      </c>
      <c r="E457">
        <f>IFERROR(AGGREGATE(15,6,ROW('Input Transaksi'!$B$5:$B$5000)/('Input Transaksi'!$B$5:$B$5000="JCL PEMOGAN"),ROWS($E$5:E457)),"")</f>
        <v/>
      </c>
      <c r="F457" s="5" t="n"/>
    </row>
    <row r="458">
      <c r="A458" s="10">
        <f>IF($E458="","",INDEX('Input Transaksi'!$A:$A,$E458))</f>
        <v/>
      </c>
      <c r="B458" s="5">
        <f>IF($E458="","",INDEX('Input Transaksi'!$D:$D,$E458))</f>
        <v/>
      </c>
      <c r="C458">
        <f>IF($E458="","",INDEX('Input Transaksi'!$E:$E,$E458))</f>
        <v/>
      </c>
      <c r="D458" s="5">
        <f>IF($E458="","",INDEX('Input Transaksi'!$F:$F,$E458))</f>
        <v/>
      </c>
      <c r="E458">
        <f>IFERROR(AGGREGATE(15,6,ROW('Input Transaksi'!$B$5:$B$5000)/('Input Transaksi'!$B$5:$B$5000="JCL PEMOGAN"),ROWS($E$5:E458)),"")</f>
        <v/>
      </c>
      <c r="F458" s="5" t="n"/>
    </row>
    <row r="459">
      <c r="A459" s="10">
        <f>IF($E459="","",INDEX('Input Transaksi'!$A:$A,$E459))</f>
        <v/>
      </c>
      <c r="B459" s="5">
        <f>IF($E459="","",INDEX('Input Transaksi'!$D:$D,$E459))</f>
        <v/>
      </c>
      <c r="C459">
        <f>IF($E459="","",INDEX('Input Transaksi'!$E:$E,$E459))</f>
        <v/>
      </c>
      <c r="D459" s="5">
        <f>IF($E459="","",INDEX('Input Transaksi'!$F:$F,$E459))</f>
        <v/>
      </c>
      <c r="E459">
        <f>IFERROR(AGGREGATE(15,6,ROW('Input Transaksi'!$B$5:$B$5000)/('Input Transaksi'!$B$5:$B$5000="JCL PEMOGAN"),ROWS($E$5:E459)),"")</f>
        <v/>
      </c>
      <c r="F459" s="5" t="n"/>
    </row>
    <row r="460">
      <c r="A460" s="10">
        <f>IF($E460="","",INDEX('Input Transaksi'!$A:$A,$E460))</f>
        <v/>
      </c>
      <c r="B460" s="5">
        <f>IF($E460="","",INDEX('Input Transaksi'!$D:$D,$E460))</f>
        <v/>
      </c>
      <c r="C460">
        <f>IF($E460="","",INDEX('Input Transaksi'!$E:$E,$E460))</f>
        <v/>
      </c>
      <c r="D460" s="5">
        <f>IF($E460="","",INDEX('Input Transaksi'!$F:$F,$E460))</f>
        <v/>
      </c>
      <c r="E460">
        <f>IFERROR(AGGREGATE(15,6,ROW('Input Transaksi'!$B$5:$B$5000)/('Input Transaksi'!$B$5:$B$5000="JCL PEMOGAN"),ROWS($E$5:E460)),"")</f>
        <v/>
      </c>
      <c r="F460" s="5" t="n"/>
    </row>
    <row r="461">
      <c r="A461" s="10">
        <f>IF($E461="","",INDEX('Input Transaksi'!$A:$A,$E461))</f>
        <v/>
      </c>
      <c r="B461" s="5">
        <f>IF($E461="","",INDEX('Input Transaksi'!$D:$D,$E461))</f>
        <v/>
      </c>
      <c r="C461">
        <f>IF($E461="","",INDEX('Input Transaksi'!$E:$E,$E461))</f>
        <v/>
      </c>
      <c r="D461" s="5">
        <f>IF($E461="","",INDEX('Input Transaksi'!$F:$F,$E461))</f>
        <v/>
      </c>
      <c r="E461">
        <f>IFERROR(AGGREGATE(15,6,ROW('Input Transaksi'!$B$5:$B$5000)/('Input Transaksi'!$B$5:$B$5000="JCL PEMOGAN"),ROWS($E$5:E461)),"")</f>
        <v/>
      </c>
      <c r="F461" s="5" t="n"/>
    </row>
    <row r="462">
      <c r="A462" s="10">
        <f>IF($E462="","",INDEX('Input Transaksi'!$A:$A,$E462))</f>
        <v/>
      </c>
      <c r="B462" s="5">
        <f>IF($E462="","",INDEX('Input Transaksi'!$D:$D,$E462))</f>
        <v/>
      </c>
      <c r="C462">
        <f>IF($E462="","",INDEX('Input Transaksi'!$E:$E,$E462))</f>
        <v/>
      </c>
      <c r="D462" s="5">
        <f>IF($E462="","",INDEX('Input Transaksi'!$F:$F,$E462))</f>
        <v/>
      </c>
      <c r="E462">
        <f>IFERROR(AGGREGATE(15,6,ROW('Input Transaksi'!$B$5:$B$5000)/('Input Transaksi'!$B$5:$B$5000="JCL PEMOGAN"),ROWS($E$5:E462)),"")</f>
        <v/>
      </c>
      <c r="F462" s="5" t="n"/>
    </row>
    <row r="463">
      <c r="A463" s="10">
        <f>IF($E463="","",INDEX('Input Transaksi'!$A:$A,$E463))</f>
        <v/>
      </c>
      <c r="B463" s="5">
        <f>IF($E463="","",INDEX('Input Transaksi'!$D:$D,$E463))</f>
        <v/>
      </c>
      <c r="C463">
        <f>IF($E463="","",INDEX('Input Transaksi'!$E:$E,$E463))</f>
        <v/>
      </c>
      <c r="D463" s="5">
        <f>IF($E463="","",INDEX('Input Transaksi'!$F:$F,$E463))</f>
        <v/>
      </c>
      <c r="E463">
        <f>IFERROR(AGGREGATE(15,6,ROW('Input Transaksi'!$B$5:$B$5000)/('Input Transaksi'!$B$5:$B$5000="JCL PEMOGAN"),ROWS($E$5:E463)),"")</f>
        <v/>
      </c>
      <c r="F463" s="5" t="n"/>
    </row>
    <row r="464">
      <c r="A464" s="10">
        <f>IF($E464="","",INDEX('Input Transaksi'!$A:$A,$E464))</f>
        <v/>
      </c>
      <c r="B464" s="5">
        <f>IF($E464="","",INDEX('Input Transaksi'!$D:$D,$E464))</f>
        <v/>
      </c>
      <c r="C464">
        <f>IF($E464="","",INDEX('Input Transaksi'!$E:$E,$E464))</f>
        <v/>
      </c>
      <c r="D464" s="5">
        <f>IF($E464="","",INDEX('Input Transaksi'!$F:$F,$E464))</f>
        <v/>
      </c>
      <c r="E464">
        <f>IFERROR(AGGREGATE(15,6,ROW('Input Transaksi'!$B$5:$B$5000)/('Input Transaksi'!$B$5:$B$5000="JCL PEMOGAN"),ROWS($E$5:E464)),"")</f>
        <v/>
      </c>
      <c r="F464" s="5" t="n"/>
    </row>
    <row r="465">
      <c r="A465" s="10">
        <f>IF($E465="","",INDEX('Input Transaksi'!$A:$A,$E465))</f>
        <v/>
      </c>
      <c r="B465" s="5">
        <f>IF($E465="","",INDEX('Input Transaksi'!$D:$D,$E465))</f>
        <v/>
      </c>
      <c r="C465">
        <f>IF($E465="","",INDEX('Input Transaksi'!$E:$E,$E465))</f>
        <v/>
      </c>
      <c r="D465" s="5">
        <f>IF($E465="","",INDEX('Input Transaksi'!$F:$F,$E465))</f>
        <v/>
      </c>
      <c r="E465">
        <f>IFERROR(AGGREGATE(15,6,ROW('Input Transaksi'!$B$5:$B$5000)/('Input Transaksi'!$B$5:$B$5000="JCL PEMOGAN"),ROWS($E$5:E465)),"")</f>
        <v/>
      </c>
      <c r="F465" s="5" t="n"/>
    </row>
    <row r="466">
      <c r="A466" s="10">
        <f>IF($E466="","",INDEX('Input Transaksi'!$A:$A,$E466))</f>
        <v/>
      </c>
      <c r="B466" s="5">
        <f>IF($E466="","",INDEX('Input Transaksi'!$D:$D,$E466))</f>
        <v/>
      </c>
      <c r="C466">
        <f>IF($E466="","",INDEX('Input Transaksi'!$E:$E,$E466))</f>
        <v/>
      </c>
      <c r="D466" s="5">
        <f>IF($E466="","",INDEX('Input Transaksi'!$F:$F,$E466))</f>
        <v/>
      </c>
      <c r="E466">
        <f>IFERROR(AGGREGATE(15,6,ROW('Input Transaksi'!$B$5:$B$5000)/('Input Transaksi'!$B$5:$B$5000="JCL PEMOGAN"),ROWS($E$5:E466)),"")</f>
        <v/>
      </c>
      <c r="F466" s="5" t="n"/>
    </row>
    <row r="467">
      <c r="A467" s="10">
        <f>IF($E467="","",INDEX('Input Transaksi'!$A:$A,$E467))</f>
        <v/>
      </c>
      <c r="B467" s="5">
        <f>IF($E467="","",INDEX('Input Transaksi'!$D:$D,$E467))</f>
        <v/>
      </c>
      <c r="C467">
        <f>IF($E467="","",INDEX('Input Transaksi'!$E:$E,$E467))</f>
        <v/>
      </c>
      <c r="D467" s="5">
        <f>IF($E467="","",INDEX('Input Transaksi'!$F:$F,$E467))</f>
        <v/>
      </c>
      <c r="E467">
        <f>IFERROR(AGGREGATE(15,6,ROW('Input Transaksi'!$B$5:$B$5000)/('Input Transaksi'!$B$5:$B$5000="JCL PEMOGAN"),ROWS($E$5:E467)),"")</f>
        <v/>
      </c>
      <c r="F467" s="5" t="n"/>
    </row>
    <row r="468">
      <c r="A468" s="10">
        <f>IF($E468="","",INDEX('Input Transaksi'!$A:$A,$E468))</f>
        <v/>
      </c>
      <c r="B468" s="5">
        <f>IF($E468="","",INDEX('Input Transaksi'!$D:$D,$E468))</f>
        <v/>
      </c>
      <c r="C468">
        <f>IF($E468="","",INDEX('Input Transaksi'!$E:$E,$E468))</f>
        <v/>
      </c>
      <c r="D468" s="5">
        <f>IF($E468="","",INDEX('Input Transaksi'!$F:$F,$E468))</f>
        <v/>
      </c>
      <c r="E468">
        <f>IFERROR(AGGREGATE(15,6,ROW('Input Transaksi'!$B$5:$B$5000)/('Input Transaksi'!$B$5:$B$5000="JCL PEMOGAN"),ROWS($E$5:E468)),"")</f>
        <v/>
      </c>
      <c r="F468" s="5" t="n"/>
    </row>
    <row r="469">
      <c r="A469" s="10">
        <f>IF($E469="","",INDEX('Input Transaksi'!$A:$A,$E469))</f>
        <v/>
      </c>
      <c r="B469" s="5">
        <f>IF($E469="","",INDEX('Input Transaksi'!$D:$D,$E469))</f>
        <v/>
      </c>
      <c r="C469">
        <f>IF($E469="","",INDEX('Input Transaksi'!$E:$E,$E469))</f>
        <v/>
      </c>
      <c r="D469" s="5">
        <f>IF($E469="","",INDEX('Input Transaksi'!$F:$F,$E469))</f>
        <v/>
      </c>
      <c r="E469">
        <f>IFERROR(AGGREGATE(15,6,ROW('Input Transaksi'!$B$5:$B$5000)/('Input Transaksi'!$B$5:$B$5000="JCL PEMOGAN"),ROWS($E$5:E469)),"")</f>
        <v/>
      </c>
      <c r="F469" s="5" t="n"/>
    </row>
    <row r="470">
      <c r="A470" s="10">
        <f>IF($E470="","",INDEX('Input Transaksi'!$A:$A,$E470))</f>
        <v/>
      </c>
      <c r="B470" s="5">
        <f>IF($E470="","",INDEX('Input Transaksi'!$D:$D,$E470))</f>
        <v/>
      </c>
      <c r="C470">
        <f>IF($E470="","",INDEX('Input Transaksi'!$E:$E,$E470))</f>
        <v/>
      </c>
      <c r="D470" s="5">
        <f>IF($E470="","",INDEX('Input Transaksi'!$F:$F,$E470))</f>
        <v/>
      </c>
      <c r="E470">
        <f>IFERROR(AGGREGATE(15,6,ROW('Input Transaksi'!$B$5:$B$5000)/('Input Transaksi'!$B$5:$B$5000="JCL PEMOGAN"),ROWS($E$5:E470)),"")</f>
        <v/>
      </c>
      <c r="F470" s="5" t="n"/>
    </row>
    <row r="471">
      <c r="A471" s="10">
        <f>IF($E471="","",INDEX('Input Transaksi'!$A:$A,$E471))</f>
        <v/>
      </c>
      <c r="B471" s="5">
        <f>IF($E471="","",INDEX('Input Transaksi'!$D:$D,$E471))</f>
        <v/>
      </c>
      <c r="C471">
        <f>IF($E471="","",INDEX('Input Transaksi'!$E:$E,$E471))</f>
        <v/>
      </c>
      <c r="D471" s="5">
        <f>IF($E471="","",INDEX('Input Transaksi'!$F:$F,$E471))</f>
        <v/>
      </c>
      <c r="E471">
        <f>IFERROR(AGGREGATE(15,6,ROW('Input Transaksi'!$B$5:$B$5000)/('Input Transaksi'!$B$5:$B$5000="JCL PEMOGAN"),ROWS($E$5:E471)),"")</f>
        <v/>
      </c>
      <c r="F471" s="5" t="n"/>
    </row>
    <row r="472">
      <c r="A472" s="10">
        <f>IF($E472="","",INDEX('Input Transaksi'!$A:$A,$E472))</f>
        <v/>
      </c>
      <c r="B472" s="5">
        <f>IF($E472="","",INDEX('Input Transaksi'!$D:$D,$E472))</f>
        <v/>
      </c>
      <c r="C472">
        <f>IF($E472="","",INDEX('Input Transaksi'!$E:$E,$E472))</f>
        <v/>
      </c>
      <c r="D472" s="5">
        <f>IF($E472="","",INDEX('Input Transaksi'!$F:$F,$E472))</f>
        <v/>
      </c>
      <c r="E472">
        <f>IFERROR(AGGREGATE(15,6,ROW('Input Transaksi'!$B$5:$B$5000)/('Input Transaksi'!$B$5:$B$5000="JCL PEMOGAN"),ROWS($E$5:E472)),"")</f>
        <v/>
      </c>
      <c r="F472" s="5" t="n"/>
    </row>
    <row r="473">
      <c r="A473" s="10">
        <f>IF($E473="","",INDEX('Input Transaksi'!$A:$A,$E473))</f>
        <v/>
      </c>
      <c r="B473" s="5">
        <f>IF($E473="","",INDEX('Input Transaksi'!$D:$D,$E473))</f>
        <v/>
      </c>
      <c r="C473">
        <f>IF($E473="","",INDEX('Input Transaksi'!$E:$E,$E473))</f>
        <v/>
      </c>
      <c r="D473" s="5">
        <f>IF($E473="","",INDEX('Input Transaksi'!$F:$F,$E473))</f>
        <v/>
      </c>
      <c r="E473">
        <f>IFERROR(AGGREGATE(15,6,ROW('Input Transaksi'!$B$5:$B$5000)/('Input Transaksi'!$B$5:$B$5000="JCL PEMOGAN"),ROWS($E$5:E473)),"")</f>
        <v/>
      </c>
      <c r="F473" s="5" t="n"/>
    </row>
    <row r="474">
      <c r="A474" s="10">
        <f>IF($E474="","",INDEX('Input Transaksi'!$A:$A,$E474))</f>
        <v/>
      </c>
      <c r="B474" s="5">
        <f>IF($E474="","",INDEX('Input Transaksi'!$D:$D,$E474))</f>
        <v/>
      </c>
      <c r="C474">
        <f>IF($E474="","",INDEX('Input Transaksi'!$E:$E,$E474))</f>
        <v/>
      </c>
      <c r="D474" s="5">
        <f>IF($E474="","",INDEX('Input Transaksi'!$F:$F,$E474))</f>
        <v/>
      </c>
      <c r="E474">
        <f>IFERROR(AGGREGATE(15,6,ROW('Input Transaksi'!$B$5:$B$5000)/('Input Transaksi'!$B$5:$B$5000="JCL PEMOGAN"),ROWS($E$5:E474)),"")</f>
        <v/>
      </c>
      <c r="F474" s="5" t="n"/>
    </row>
    <row r="475">
      <c r="A475" s="10">
        <f>IF($E475="","",INDEX('Input Transaksi'!$A:$A,$E475))</f>
        <v/>
      </c>
      <c r="B475" s="5">
        <f>IF($E475="","",INDEX('Input Transaksi'!$D:$D,$E475))</f>
        <v/>
      </c>
      <c r="C475">
        <f>IF($E475="","",INDEX('Input Transaksi'!$E:$E,$E475))</f>
        <v/>
      </c>
      <c r="D475" s="5">
        <f>IF($E475="","",INDEX('Input Transaksi'!$F:$F,$E475))</f>
        <v/>
      </c>
      <c r="E475">
        <f>IFERROR(AGGREGATE(15,6,ROW('Input Transaksi'!$B$5:$B$5000)/('Input Transaksi'!$B$5:$B$5000="JCL PEMOGAN"),ROWS($E$5:E475)),"")</f>
        <v/>
      </c>
      <c r="F475" s="5" t="n"/>
    </row>
    <row r="476">
      <c r="A476" s="10">
        <f>IF($E476="","",INDEX('Input Transaksi'!$A:$A,$E476))</f>
        <v/>
      </c>
      <c r="B476" s="5">
        <f>IF($E476="","",INDEX('Input Transaksi'!$D:$D,$E476))</f>
        <v/>
      </c>
      <c r="C476">
        <f>IF($E476="","",INDEX('Input Transaksi'!$E:$E,$E476))</f>
        <v/>
      </c>
      <c r="D476" s="5">
        <f>IF($E476="","",INDEX('Input Transaksi'!$F:$F,$E476))</f>
        <v/>
      </c>
      <c r="E476">
        <f>IFERROR(AGGREGATE(15,6,ROW('Input Transaksi'!$B$5:$B$5000)/('Input Transaksi'!$B$5:$B$5000="JCL PEMOGAN"),ROWS($E$5:E476)),"")</f>
        <v/>
      </c>
      <c r="F476" s="5" t="n"/>
    </row>
    <row r="477">
      <c r="A477" s="10">
        <f>IF($E477="","",INDEX('Input Transaksi'!$A:$A,$E477))</f>
        <v/>
      </c>
      <c r="B477" s="5">
        <f>IF($E477="","",INDEX('Input Transaksi'!$D:$D,$E477))</f>
        <v/>
      </c>
      <c r="C477">
        <f>IF($E477="","",INDEX('Input Transaksi'!$E:$E,$E477))</f>
        <v/>
      </c>
      <c r="D477" s="5">
        <f>IF($E477="","",INDEX('Input Transaksi'!$F:$F,$E477))</f>
        <v/>
      </c>
      <c r="E477">
        <f>IFERROR(AGGREGATE(15,6,ROW('Input Transaksi'!$B$5:$B$5000)/('Input Transaksi'!$B$5:$B$5000="JCL PEMOGAN"),ROWS($E$5:E477)),"")</f>
        <v/>
      </c>
      <c r="F477" s="5" t="n"/>
    </row>
    <row r="478">
      <c r="A478" s="10">
        <f>IF($E478="","",INDEX('Input Transaksi'!$A:$A,$E478))</f>
        <v/>
      </c>
      <c r="B478" s="5">
        <f>IF($E478="","",INDEX('Input Transaksi'!$D:$D,$E478))</f>
        <v/>
      </c>
      <c r="C478">
        <f>IF($E478="","",INDEX('Input Transaksi'!$E:$E,$E478))</f>
        <v/>
      </c>
      <c r="D478" s="5">
        <f>IF($E478="","",INDEX('Input Transaksi'!$F:$F,$E478))</f>
        <v/>
      </c>
      <c r="E478">
        <f>IFERROR(AGGREGATE(15,6,ROW('Input Transaksi'!$B$5:$B$5000)/('Input Transaksi'!$B$5:$B$5000="JCL PEMOGAN"),ROWS($E$5:E478)),"")</f>
        <v/>
      </c>
      <c r="F478" s="5" t="n"/>
    </row>
    <row r="479">
      <c r="A479" s="10">
        <f>IF($E479="","",INDEX('Input Transaksi'!$A:$A,$E479))</f>
        <v/>
      </c>
      <c r="B479" s="5">
        <f>IF($E479="","",INDEX('Input Transaksi'!$D:$D,$E479))</f>
        <v/>
      </c>
      <c r="C479">
        <f>IF($E479="","",INDEX('Input Transaksi'!$E:$E,$E479))</f>
        <v/>
      </c>
      <c r="D479" s="5">
        <f>IF($E479="","",INDEX('Input Transaksi'!$F:$F,$E479))</f>
        <v/>
      </c>
      <c r="E479">
        <f>IFERROR(AGGREGATE(15,6,ROW('Input Transaksi'!$B$5:$B$5000)/('Input Transaksi'!$B$5:$B$5000="JCL PEMOGAN"),ROWS($E$5:E479)),"")</f>
        <v/>
      </c>
      <c r="F479" s="5" t="n"/>
    </row>
    <row r="480">
      <c r="A480" s="10">
        <f>IF($E480="","",INDEX('Input Transaksi'!$A:$A,$E480))</f>
        <v/>
      </c>
      <c r="B480" s="5">
        <f>IF($E480="","",INDEX('Input Transaksi'!$D:$D,$E480))</f>
        <v/>
      </c>
      <c r="C480">
        <f>IF($E480="","",INDEX('Input Transaksi'!$E:$E,$E480))</f>
        <v/>
      </c>
      <c r="D480" s="5">
        <f>IF($E480="","",INDEX('Input Transaksi'!$F:$F,$E480))</f>
        <v/>
      </c>
      <c r="E480">
        <f>IFERROR(AGGREGATE(15,6,ROW('Input Transaksi'!$B$5:$B$5000)/('Input Transaksi'!$B$5:$B$5000="JCL PEMOGAN"),ROWS($E$5:E480)),"")</f>
        <v/>
      </c>
      <c r="F480" s="5" t="n"/>
    </row>
    <row r="481">
      <c r="A481" s="10">
        <f>IF($E481="","",INDEX('Input Transaksi'!$A:$A,$E481))</f>
        <v/>
      </c>
      <c r="B481" s="5">
        <f>IF($E481="","",INDEX('Input Transaksi'!$D:$D,$E481))</f>
        <v/>
      </c>
      <c r="C481">
        <f>IF($E481="","",INDEX('Input Transaksi'!$E:$E,$E481))</f>
        <v/>
      </c>
      <c r="D481" s="5">
        <f>IF($E481="","",INDEX('Input Transaksi'!$F:$F,$E481))</f>
        <v/>
      </c>
      <c r="E481">
        <f>IFERROR(AGGREGATE(15,6,ROW('Input Transaksi'!$B$5:$B$5000)/('Input Transaksi'!$B$5:$B$5000="JCL PEMOGAN"),ROWS($E$5:E481)),"")</f>
        <v/>
      </c>
      <c r="F481" s="5" t="n"/>
    </row>
    <row r="482">
      <c r="A482" s="10">
        <f>IF($E482="","",INDEX('Input Transaksi'!$A:$A,$E482))</f>
        <v/>
      </c>
      <c r="B482" s="5">
        <f>IF($E482="","",INDEX('Input Transaksi'!$D:$D,$E482))</f>
        <v/>
      </c>
      <c r="C482">
        <f>IF($E482="","",INDEX('Input Transaksi'!$E:$E,$E482))</f>
        <v/>
      </c>
      <c r="D482" s="5">
        <f>IF($E482="","",INDEX('Input Transaksi'!$F:$F,$E482))</f>
        <v/>
      </c>
      <c r="E482">
        <f>IFERROR(AGGREGATE(15,6,ROW('Input Transaksi'!$B$5:$B$5000)/('Input Transaksi'!$B$5:$B$5000="JCL PEMOGAN"),ROWS($E$5:E482)),"")</f>
        <v/>
      </c>
      <c r="F482" s="5" t="n"/>
    </row>
    <row r="483">
      <c r="A483" s="10">
        <f>IF($E483="","",INDEX('Input Transaksi'!$A:$A,$E483))</f>
        <v/>
      </c>
      <c r="B483" s="5">
        <f>IF($E483="","",INDEX('Input Transaksi'!$D:$D,$E483))</f>
        <v/>
      </c>
      <c r="C483">
        <f>IF($E483="","",INDEX('Input Transaksi'!$E:$E,$E483))</f>
        <v/>
      </c>
      <c r="D483" s="5">
        <f>IF($E483="","",INDEX('Input Transaksi'!$F:$F,$E483))</f>
        <v/>
      </c>
      <c r="E483">
        <f>IFERROR(AGGREGATE(15,6,ROW('Input Transaksi'!$B$5:$B$5000)/('Input Transaksi'!$B$5:$B$5000="JCL PEMOGAN"),ROWS($E$5:E483)),"")</f>
        <v/>
      </c>
      <c r="F483" s="5" t="n"/>
    </row>
    <row r="484">
      <c r="A484" s="10">
        <f>IF($E484="","",INDEX('Input Transaksi'!$A:$A,$E484))</f>
        <v/>
      </c>
      <c r="B484" s="5">
        <f>IF($E484="","",INDEX('Input Transaksi'!$D:$D,$E484))</f>
        <v/>
      </c>
      <c r="C484">
        <f>IF($E484="","",INDEX('Input Transaksi'!$E:$E,$E484))</f>
        <v/>
      </c>
      <c r="D484" s="5">
        <f>IF($E484="","",INDEX('Input Transaksi'!$F:$F,$E484))</f>
        <v/>
      </c>
      <c r="E484">
        <f>IFERROR(AGGREGATE(15,6,ROW('Input Transaksi'!$B$5:$B$5000)/('Input Transaksi'!$B$5:$B$5000="JCL PEMOGAN"),ROWS($E$5:E484)),"")</f>
        <v/>
      </c>
      <c r="F484" s="5" t="n"/>
    </row>
    <row r="485">
      <c r="A485" s="10">
        <f>IF($E485="","",INDEX('Input Transaksi'!$A:$A,$E485))</f>
        <v/>
      </c>
      <c r="B485" s="5">
        <f>IF($E485="","",INDEX('Input Transaksi'!$D:$D,$E485))</f>
        <v/>
      </c>
      <c r="C485">
        <f>IF($E485="","",INDEX('Input Transaksi'!$E:$E,$E485))</f>
        <v/>
      </c>
      <c r="D485" s="5">
        <f>IF($E485="","",INDEX('Input Transaksi'!$F:$F,$E485))</f>
        <v/>
      </c>
      <c r="E485">
        <f>IFERROR(AGGREGATE(15,6,ROW('Input Transaksi'!$B$5:$B$5000)/('Input Transaksi'!$B$5:$B$5000="JCL PEMOGAN"),ROWS($E$5:E485)),"")</f>
        <v/>
      </c>
      <c r="F485" s="5" t="n"/>
    </row>
    <row r="486">
      <c r="A486" s="10">
        <f>IF($E486="","",INDEX('Input Transaksi'!$A:$A,$E486))</f>
        <v/>
      </c>
      <c r="B486" s="5">
        <f>IF($E486="","",INDEX('Input Transaksi'!$D:$D,$E486))</f>
        <v/>
      </c>
      <c r="C486">
        <f>IF($E486="","",INDEX('Input Transaksi'!$E:$E,$E486))</f>
        <v/>
      </c>
      <c r="D486" s="5">
        <f>IF($E486="","",INDEX('Input Transaksi'!$F:$F,$E486))</f>
        <v/>
      </c>
      <c r="E486">
        <f>IFERROR(AGGREGATE(15,6,ROW('Input Transaksi'!$B$5:$B$5000)/('Input Transaksi'!$B$5:$B$5000="JCL PEMOGAN"),ROWS($E$5:E486)),"")</f>
        <v/>
      </c>
      <c r="F486" s="5" t="n"/>
    </row>
    <row r="487">
      <c r="A487" s="10">
        <f>IF($E487="","",INDEX('Input Transaksi'!$A:$A,$E487))</f>
        <v/>
      </c>
      <c r="B487" s="5">
        <f>IF($E487="","",INDEX('Input Transaksi'!$D:$D,$E487))</f>
        <v/>
      </c>
      <c r="C487">
        <f>IF($E487="","",INDEX('Input Transaksi'!$E:$E,$E487))</f>
        <v/>
      </c>
      <c r="D487" s="5">
        <f>IF($E487="","",INDEX('Input Transaksi'!$F:$F,$E487))</f>
        <v/>
      </c>
      <c r="E487">
        <f>IFERROR(AGGREGATE(15,6,ROW('Input Transaksi'!$B$5:$B$5000)/('Input Transaksi'!$B$5:$B$5000="JCL PEMOGAN"),ROWS($E$5:E487)),"")</f>
        <v/>
      </c>
      <c r="F487" s="5" t="n"/>
    </row>
    <row r="488">
      <c r="A488" s="10">
        <f>IF($E488="","",INDEX('Input Transaksi'!$A:$A,$E488))</f>
        <v/>
      </c>
      <c r="B488" s="5">
        <f>IF($E488="","",INDEX('Input Transaksi'!$D:$D,$E488))</f>
        <v/>
      </c>
      <c r="C488">
        <f>IF($E488="","",INDEX('Input Transaksi'!$E:$E,$E488))</f>
        <v/>
      </c>
      <c r="D488" s="5">
        <f>IF($E488="","",INDEX('Input Transaksi'!$F:$F,$E488))</f>
        <v/>
      </c>
      <c r="E488">
        <f>IFERROR(AGGREGATE(15,6,ROW('Input Transaksi'!$B$5:$B$5000)/('Input Transaksi'!$B$5:$B$5000="JCL PEMOGAN"),ROWS($E$5:E488)),"")</f>
        <v/>
      </c>
      <c r="F488" s="5" t="n"/>
    </row>
    <row r="489">
      <c r="A489" s="10">
        <f>IF($E489="","",INDEX('Input Transaksi'!$A:$A,$E489))</f>
        <v/>
      </c>
      <c r="B489" s="5">
        <f>IF($E489="","",INDEX('Input Transaksi'!$D:$D,$E489))</f>
        <v/>
      </c>
      <c r="C489">
        <f>IF($E489="","",INDEX('Input Transaksi'!$E:$E,$E489))</f>
        <v/>
      </c>
      <c r="D489" s="5">
        <f>IF($E489="","",INDEX('Input Transaksi'!$F:$F,$E489))</f>
        <v/>
      </c>
      <c r="E489">
        <f>IFERROR(AGGREGATE(15,6,ROW('Input Transaksi'!$B$5:$B$5000)/('Input Transaksi'!$B$5:$B$5000="JCL PEMOGAN"),ROWS($E$5:E489)),"")</f>
        <v/>
      </c>
      <c r="F489" s="5" t="n"/>
    </row>
    <row r="490">
      <c r="A490" s="10">
        <f>IF($E490="","",INDEX('Input Transaksi'!$A:$A,$E490))</f>
        <v/>
      </c>
      <c r="B490" s="5">
        <f>IF($E490="","",INDEX('Input Transaksi'!$D:$D,$E490))</f>
        <v/>
      </c>
      <c r="C490">
        <f>IF($E490="","",INDEX('Input Transaksi'!$E:$E,$E490))</f>
        <v/>
      </c>
      <c r="D490" s="5">
        <f>IF($E490="","",INDEX('Input Transaksi'!$F:$F,$E490))</f>
        <v/>
      </c>
      <c r="E490">
        <f>IFERROR(AGGREGATE(15,6,ROW('Input Transaksi'!$B$5:$B$5000)/('Input Transaksi'!$B$5:$B$5000="JCL PEMOGAN"),ROWS($E$5:E490)),"")</f>
        <v/>
      </c>
      <c r="F490" s="5" t="n"/>
    </row>
    <row r="491">
      <c r="A491" s="10">
        <f>IF($E491="","",INDEX('Input Transaksi'!$A:$A,$E491))</f>
        <v/>
      </c>
      <c r="B491" s="5">
        <f>IF($E491="","",INDEX('Input Transaksi'!$D:$D,$E491))</f>
        <v/>
      </c>
      <c r="C491">
        <f>IF($E491="","",INDEX('Input Transaksi'!$E:$E,$E491))</f>
        <v/>
      </c>
      <c r="D491" s="5">
        <f>IF($E491="","",INDEX('Input Transaksi'!$F:$F,$E491))</f>
        <v/>
      </c>
      <c r="E491">
        <f>IFERROR(AGGREGATE(15,6,ROW('Input Transaksi'!$B$5:$B$5000)/('Input Transaksi'!$B$5:$B$5000="JCL PEMOGAN"),ROWS($E$5:E491)),"")</f>
        <v/>
      </c>
      <c r="F491" s="5" t="n"/>
    </row>
    <row r="492">
      <c r="A492" s="10">
        <f>IF($E492="","",INDEX('Input Transaksi'!$A:$A,$E492))</f>
        <v/>
      </c>
      <c r="B492" s="5">
        <f>IF($E492="","",INDEX('Input Transaksi'!$D:$D,$E492))</f>
        <v/>
      </c>
      <c r="C492">
        <f>IF($E492="","",INDEX('Input Transaksi'!$E:$E,$E492))</f>
        <v/>
      </c>
      <c r="D492" s="5">
        <f>IF($E492="","",INDEX('Input Transaksi'!$F:$F,$E492))</f>
        <v/>
      </c>
      <c r="E492">
        <f>IFERROR(AGGREGATE(15,6,ROW('Input Transaksi'!$B$5:$B$5000)/('Input Transaksi'!$B$5:$B$5000="JCL PEMOGAN"),ROWS($E$5:E492)),"")</f>
        <v/>
      </c>
      <c r="F492" s="5" t="n"/>
    </row>
    <row r="493">
      <c r="A493" s="10">
        <f>IF($E493="","",INDEX('Input Transaksi'!$A:$A,$E493))</f>
        <v/>
      </c>
      <c r="B493" s="5">
        <f>IF($E493="","",INDEX('Input Transaksi'!$D:$D,$E493))</f>
        <v/>
      </c>
      <c r="C493">
        <f>IF($E493="","",INDEX('Input Transaksi'!$E:$E,$E493))</f>
        <v/>
      </c>
      <c r="D493" s="5">
        <f>IF($E493="","",INDEX('Input Transaksi'!$F:$F,$E493))</f>
        <v/>
      </c>
      <c r="E493">
        <f>IFERROR(AGGREGATE(15,6,ROW('Input Transaksi'!$B$5:$B$5000)/('Input Transaksi'!$B$5:$B$5000="JCL PEMOGAN"),ROWS($E$5:E493)),"")</f>
        <v/>
      </c>
      <c r="F493" s="5" t="n"/>
    </row>
    <row r="494">
      <c r="A494" s="10">
        <f>IF($E494="","",INDEX('Input Transaksi'!$A:$A,$E494))</f>
        <v/>
      </c>
      <c r="B494" s="5">
        <f>IF($E494="","",INDEX('Input Transaksi'!$D:$D,$E494))</f>
        <v/>
      </c>
      <c r="C494">
        <f>IF($E494="","",INDEX('Input Transaksi'!$E:$E,$E494))</f>
        <v/>
      </c>
      <c r="D494" s="5">
        <f>IF($E494="","",INDEX('Input Transaksi'!$F:$F,$E494))</f>
        <v/>
      </c>
      <c r="E494">
        <f>IFERROR(AGGREGATE(15,6,ROW('Input Transaksi'!$B$5:$B$5000)/('Input Transaksi'!$B$5:$B$5000="JCL PEMOGAN"),ROWS($E$5:E494)),"")</f>
        <v/>
      </c>
      <c r="F494" s="5" t="n"/>
    </row>
    <row r="495">
      <c r="A495" s="10">
        <f>IF($E495="","",INDEX('Input Transaksi'!$A:$A,$E495))</f>
        <v/>
      </c>
      <c r="B495" s="5">
        <f>IF($E495="","",INDEX('Input Transaksi'!$D:$D,$E495))</f>
        <v/>
      </c>
      <c r="C495">
        <f>IF($E495="","",INDEX('Input Transaksi'!$E:$E,$E495))</f>
        <v/>
      </c>
      <c r="D495" s="5">
        <f>IF($E495="","",INDEX('Input Transaksi'!$F:$F,$E495))</f>
        <v/>
      </c>
      <c r="E495">
        <f>IFERROR(AGGREGATE(15,6,ROW('Input Transaksi'!$B$5:$B$5000)/('Input Transaksi'!$B$5:$B$5000="JCL PEMOGAN"),ROWS($E$5:E495)),"")</f>
        <v/>
      </c>
      <c r="F495" s="5" t="n"/>
    </row>
    <row r="496">
      <c r="A496" s="10">
        <f>IF($E496="","",INDEX('Input Transaksi'!$A:$A,$E496))</f>
        <v/>
      </c>
      <c r="B496" s="5">
        <f>IF($E496="","",INDEX('Input Transaksi'!$D:$D,$E496))</f>
        <v/>
      </c>
      <c r="C496">
        <f>IF($E496="","",INDEX('Input Transaksi'!$E:$E,$E496))</f>
        <v/>
      </c>
      <c r="D496" s="5">
        <f>IF($E496="","",INDEX('Input Transaksi'!$F:$F,$E496))</f>
        <v/>
      </c>
      <c r="E496">
        <f>IFERROR(AGGREGATE(15,6,ROW('Input Transaksi'!$B$5:$B$5000)/('Input Transaksi'!$B$5:$B$5000="JCL PEMOGAN"),ROWS($E$5:E496)),"")</f>
        <v/>
      </c>
      <c r="F496" s="5" t="n"/>
    </row>
    <row r="497">
      <c r="A497" s="10">
        <f>IF($E497="","",INDEX('Input Transaksi'!$A:$A,$E497))</f>
        <v/>
      </c>
      <c r="B497" s="5">
        <f>IF($E497="","",INDEX('Input Transaksi'!$D:$D,$E497))</f>
        <v/>
      </c>
      <c r="C497">
        <f>IF($E497="","",INDEX('Input Transaksi'!$E:$E,$E497))</f>
        <v/>
      </c>
      <c r="D497" s="5">
        <f>IF($E497="","",INDEX('Input Transaksi'!$F:$F,$E497))</f>
        <v/>
      </c>
      <c r="E497">
        <f>IFERROR(AGGREGATE(15,6,ROW('Input Transaksi'!$B$5:$B$5000)/('Input Transaksi'!$B$5:$B$5000="JCL PEMOGAN"),ROWS($E$5:E497)),"")</f>
        <v/>
      </c>
      <c r="F497" s="5" t="n"/>
    </row>
    <row r="498">
      <c r="A498" s="10">
        <f>IF($E498="","",INDEX('Input Transaksi'!$A:$A,$E498))</f>
        <v/>
      </c>
      <c r="B498" s="5">
        <f>IF($E498="","",INDEX('Input Transaksi'!$D:$D,$E498))</f>
        <v/>
      </c>
      <c r="C498">
        <f>IF($E498="","",INDEX('Input Transaksi'!$E:$E,$E498))</f>
        <v/>
      </c>
      <c r="D498" s="5">
        <f>IF($E498="","",INDEX('Input Transaksi'!$F:$F,$E498))</f>
        <v/>
      </c>
      <c r="E498">
        <f>IFERROR(AGGREGATE(15,6,ROW('Input Transaksi'!$B$5:$B$5000)/('Input Transaksi'!$B$5:$B$5000="JCL PEMOGAN"),ROWS($E$5:E498)),"")</f>
        <v/>
      </c>
      <c r="F498" s="5" t="n"/>
    </row>
    <row r="499">
      <c r="A499" s="10">
        <f>IF($E499="","",INDEX('Input Transaksi'!$A:$A,$E499))</f>
        <v/>
      </c>
      <c r="B499" s="5">
        <f>IF($E499="","",INDEX('Input Transaksi'!$D:$D,$E499))</f>
        <v/>
      </c>
      <c r="C499">
        <f>IF($E499="","",INDEX('Input Transaksi'!$E:$E,$E499))</f>
        <v/>
      </c>
      <c r="D499" s="5">
        <f>IF($E499="","",INDEX('Input Transaksi'!$F:$F,$E499))</f>
        <v/>
      </c>
      <c r="E499">
        <f>IFERROR(AGGREGATE(15,6,ROW('Input Transaksi'!$B$5:$B$5000)/('Input Transaksi'!$B$5:$B$5000="JCL PEMOGAN"),ROWS($E$5:E499)),"")</f>
        <v/>
      </c>
      <c r="F499" s="5" t="n"/>
    </row>
    <row r="500">
      <c r="A500" s="10">
        <f>IF($E500="","",INDEX('Input Transaksi'!$A:$A,$E500))</f>
        <v/>
      </c>
      <c r="B500" s="5">
        <f>IF($E500="","",INDEX('Input Transaksi'!$D:$D,$E500))</f>
        <v/>
      </c>
      <c r="C500">
        <f>IF($E500="","",INDEX('Input Transaksi'!$E:$E,$E500))</f>
        <v/>
      </c>
      <c r="D500" s="5">
        <f>IF($E500="","",INDEX('Input Transaksi'!$F:$F,$E500))</f>
        <v/>
      </c>
      <c r="E500">
        <f>IFERROR(AGGREGATE(15,6,ROW('Input Transaksi'!$B$5:$B$5000)/('Input Transaksi'!$B$5:$B$5000="JCL PEMOGAN"),ROWS($E$5:E500)),"")</f>
        <v/>
      </c>
      <c r="F500" s="5" t="n"/>
    </row>
    <row r="501">
      <c r="A501" s="10">
        <f>IF($E501="","",INDEX('Input Transaksi'!$A:$A,$E501))</f>
        <v/>
      </c>
      <c r="B501" s="5">
        <f>IF($E501="","",INDEX('Input Transaksi'!$D:$D,$E501))</f>
        <v/>
      </c>
      <c r="C501">
        <f>IF($E501="","",INDEX('Input Transaksi'!$E:$E,$E501))</f>
        <v/>
      </c>
      <c r="D501" s="5">
        <f>IF($E501="","",INDEX('Input Transaksi'!$F:$F,$E501))</f>
        <v/>
      </c>
      <c r="E501">
        <f>IFERROR(AGGREGATE(15,6,ROW('Input Transaksi'!$B$5:$B$5000)/('Input Transaksi'!$B$5:$B$5000="JCL PEMOGAN"),ROWS($E$5:E501)),"")</f>
        <v/>
      </c>
      <c r="F501" s="5" t="n"/>
    </row>
    <row r="502">
      <c r="A502" s="10">
        <f>IF($E502="","",INDEX('Input Transaksi'!$A:$A,$E502))</f>
        <v/>
      </c>
      <c r="B502" s="5">
        <f>IF($E502="","",INDEX('Input Transaksi'!$D:$D,$E502))</f>
        <v/>
      </c>
      <c r="C502">
        <f>IF($E502="","",INDEX('Input Transaksi'!$E:$E,$E502))</f>
        <v/>
      </c>
      <c r="D502" s="5">
        <f>IF($E502="","",INDEX('Input Transaksi'!$F:$F,$E502))</f>
        <v/>
      </c>
      <c r="E502">
        <f>IFERROR(AGGREGATE(15,6,ROW('Input Transaksi'!$B$5:$B$5000)/('Input Transaksi'!$B$5:$B$5000="JCL PEMOGAN"),ROWS($E$5:E502)),"")</f>
        <v/>
      </c>
      <c r="F502" s="5" t="n"/>
    </row>
    <row r="503">
      <c r="A503" s="10">
        <f>IF($E503="","",INDEX('Input Transaksi'!$A:$A,$E503))</f>
        <v/>
      </c>
      <c r="B503" s="5">
        <f>IF($E503="","",INDEX('Input Transaksi'!$D:$D,$E503))</f>
        <v/>
      </c>
      <c r="C503">
        <f>IF($E503="","",INDEX('Input Transaksi'!$E:$E,$E503))</f>
        <v/>
      </c>
      <c r="D503" s="5">
        <f>IF($E503="","",INDEX('Input Transaksi'!$F:$F,$E503))</f>
        <v/>
      </c>
      <c r="E503">
        <f>IFERROR(AGGREGATE(15,6,ROW('Input Transaksi'!$B$5:$B$5000)/('Input Transaksi'!$B$5:$B$5000="JCL PEMOGAN"),ROWS($E$5:E503)),"")</f>
        <v/>
      </c>
      <c r="F503" s="5" t="n"/>
    </row>
    <row r="504">
      <c r="A504" s="10">
        <f>IF($E504="","",INDEX('Input Transaksi'!$A:$A,$E504))</f>
        <v/>
      </c>
      <c r="B504" s="5">
        <f>IF($E504="","",INDEX('Input Transaksi'!$D:$D,$E504))</f>
        <v/>
      </c>
      <c r="C504">
        <f>IF($E504="","",INDEX('Input Transaksi'!$E:$E,$E504))</f>
        <v/>
      </c>
      <c r="D504" s="5">
        <f>IF($E504="","",INDEX('Input Transaksi'!$F:$F,$E504))</f>
        <v/>
      </c>
      <c r="E504">
        <f>IFERROR(AGGREGATE(15,6,ROW('Input Transaksi'!$B$5:$B$5000)/('Input Transaksi'!$B$5:$B$5000="JCL PEMOGAN"),ROWS($E$5:E504)),"")</f>
        <v/>
      </c>
      <c r="F504" s="5" t="n"/>
    </row>
    <row r="505">
      <c r="A505" s="10">
        <f>IF($E505="","",INDEX('Input Transaksi'!$A:$A,$E505))</f>
        <v/>
      </c>
      <c r="B505" s="5">
        <f>IF($E505="","",INDEX('Input Transaksi'!$D:$D,$E505))</f>
        <v/>
      </c>
      <c r="C505">
        <f>IF($E505="","",INDEX('Input Transaksi'!$E:$E,$E505))</f>
        <v/>
      </c>
      <c r="D505" s="5">
        <f>IF($E505="","",INDEX('Input Transaksi'!$F:$F,$E505))</f>
        <v/>
      </c>
      <c r="E505">
        <f>IFERROR(AGGREGATE(15,6,ROW('Input Transaksi'!$B$5:$B$5000)/('Input Transaksi'!$B$5:$B$5000="JCL PEMOGAN"),ROWS($E$5:E505)),"")</f>
        <v/>
      </c>
      <c r="F505" s="5" t="n"/>
    </row>
    <row r="506">
      <c r="A506" s="10">
        <f>IF($E506="","",INDEX('Input Transaksi'!$A:$A,$E506))</f>
        <v/>
      </c>
      <c r="B506" s="5">
        <f>IF($E506="","",INDEX('Input Transaksi'!$D:$D,$E506))</f>
        <v/>
      </c>
      <c r="C506">
        <f>IF($E506="","",INDEX('Input Transaksi'!$E:$E,$E506))</f>
        <v/>
      </c>
      <c r="D506" s="5">
        <f>IF($E506="","",INDEX('Input Transaksi'!$F:$F,$E506))</f>
        <v/>
      </c>
      <c r="E506">
        <f>IFERROR(AGGREGATE(15,6,ROW('Input Transaksi'!$B$5:$B$5000)/('Input Transaksi'!$B$5:$B$5000="JCL PEMOGAN"),ROWS($E$5:E506)),"")</f>
        <v/>
      </c>
      <c r="F506" s="5" t="n"/>
    </row>
    <row r="507">
      <c r="A507" s="10">
        <f>IF($E507="","",INDEX('Input Transaksi'!$A:$A,$E507))</f>
        <v/>
      </c>
      <c r="B507" s="5">
        <f>IF($E507="","",INDEX('Input Transaksi'!$D:$D,$E507))</f>
        <v/>
      </c>
      <c r="C507">
        <f>IF($E507="","",INDEX('Input Transaksi'!$E:$E,$E507))</f>
        <v/>
      </c>
      <c r="D507" s="5">
        <f>IF($E507="","",INDEX('Input Transaksi'!$F:$F,$E507))</f>
        <v/>
      </c>
      <c r="E507">
        <f>IFERROR(AGGREGATE(15,6,ROW('Input Transaksi'!$B$5:$B$5000)/('Input Transaksi'!$B$5:$B$5000="JCL PEMOGAN"),ROWS($E$5:E507)),"")</f>
        <v/>
      </c>
      <c r="F507" s="5" t="n"/>
    </row>
    <row r="508">
      <c r="A508" s="10">
        <f>IF($E508="","",INDEX('Input Transaksi'!$A:$A,$E508))</f>
        <v/>
      </c>
      <c r="B508" s="5">
        <f>IF($E508="","",INDEX('Input Transaksi'!$D:$D,$E508))</f>
        <v/>
      </c>
      <c r="C508">
        <f>IF($E508="","",INDEX('Input Transaksi'!$E:$E,$E508))</f>
        <v/>
      </c>
      <c r="D508" s="5">
        <f>IF($E508="","",INDEX('Input Transaksi'!$F:$F,$E508))</f>
        <v/>
      </c>
      <c r="E508">
        <f>IFERROR(AGGREGATE(15,6,ROW('Input Transaksi'!$B$5:$B$5000)/('Input Transaksi'!$B$5:$B$5000="JCL PEMOGAN"),ROWS($E$5:E508)),"")</f>
        <v/>
      </c>
      <c r="F508" s="5" t="n"/>
    </row>
    <row r="509">
      <c r="A509" s="10">
        <f>IF($E509="","",INDEX('Input Transaksi'!$A:$A,$E509))</f>
        <v/>
      </c>
      <c r="B509" s="5">
        <f>IF($E509="","",INDEX('Input Transaksi'!$D:$D,$E509))</f>
        <v/>
      </c>
      <c r="C509">
        <f>IF($E509="","",INDEX('Input Transaksi'!$E:$E,$E509))</f>
        <v/>
      </c>
      <c r="D509" s="5">
        <f>IF($E509="","",INDEX('Input Transaksi'!$F:$F,$E509))</f>
        <v/>
      </c>
      <c r="E509">
        <f>IFERROR(AGGREGATE(15,6,ROW('Input Transaksi'!$B$5:$B$5000)/('Input Transaksi'!$B$5:$B$5000="JCL PEMOGAN"),ROWS($E$5:E509)),"")</f>
        <v/>
      </c>
      <c r="F509" s="5" t="n"/>
    </row>
    <row r="510">
      <c r="A510" s="10">
        <f>IF($E510="","",INDEX('Input Transaksi'!$A:$A,$E510))</f>
        <v/>
      </c>
      <c r="B510" s="5">
        <f>IF($E510="","",INDEX('Input Transaksi'!$D:$D,$E510))</f>
        <v/>
      </c>
      <c r="C510">
        <f>IF($E510="","",INDEX('Input Transaksi'!$E:$E,$E510))</f>
        <v/>
      </c>
      <c r="D510" s="5">
        <f>IF($E510="","",INDEX('Input Transaksi'!$F:$F,$E510))</f>
        <v/>
      </c>
      <c r="E510">
        <f>IFERROR(AGGREGATE(15,6,ROW('Input Transaksi'!$B$5:$B$5000)/('Input Transaksi'!$B$5:$B$5000="JCL PEMOGAN"),ROWS($E$5:E510)),"")</f>
        <v/>
      </c>
      <c r="F510" s="5" t="n"/>
    </row>
    <row r="511">
      <c r="A511" s="10">
        <f>IF($E511="","",INDEX('Input Transaksi'!$A:$A,$E511))</f>
        <v/>
      </c>
      <c r="B511" s="5">
        <f>IF($E511="","",INDEX('Input Transaksi'!$D:$D,$E511))</f>
        <v/>
      </c>
      <c r="C511">
        <f>IF($E511="","",INDEX('Input Transaksi'!$E:$E,$E511))</f>
        <v/>
      </c>
      <c r="D511" s="5">
        <f>IF($E511="","",INDEX('Input Transaksi'!$F:$F,$E511))</f>
        <v/>
      </c>
      <c r="E511">
        <f>IFERROR(AGGREGATE(15,6,ROW('Input Transaksi'!$B$5:$B$5000)/('Input Transaksi'!$B$5:$B$5000="JCL PEMOGAN"),ROWS($E$5:E511)),"")</f>
        <v/>
      </c>
      <c r="F511" s="5" t="n"/>
    </row>
    <row r="512">
      <c r="A512" s="10">
        <f>IF($E512="","",INDEX('Input Transaksi'!$A:$A,$E512))</f>
        <v/>
      </c>
      <c r="B512" s="5">
        <f>IF($E512="","",INDEX('Input Transaksi'!$D:$D,$E512))</f>
        <v/>
      </c>
      <c r="C512">
        <f>IF($E512="","",INDEX('Input Transaksi'!$E:$E,$E512))</f>
        <v/>
      </c>
      <c r="D512" s="5">
        <f>IF($E512="","",INDEX('Input Transaksi'!$F:$F,$E512))</f>
        <v/>
      </c>
      <c r="E512">
        <f>IFERROR(AGGREGATE(15,6,ROW('Input Transaksi'!$B$5:$B$5000)/('Input Transaksi'!$B$5:$B$5000="JCL PEMOGAN"),ROWS($E$5:E512)),"")</f>
        <v/>
      </c>
      <c r="F512" s="5" t="n"/>
    </row>
    <row r="513">
      <c r="A513" s="10">
        <f>IF($E513="","",INDEX('Input Transaksi'!$A:$A,$E513))</f>
        <v/>
      </c>
      <c r="B513" s="5">
        <f>IF($E513="","",INDEX('Input Transaksi'!$D:$D,$E513))</f>
        <v/>
      </c>
      <c r="C513">
        <f>IF($E513="","",INDEX('Input Transaksi'!$E:$E,$E513))</f>
        <v/>
      </c>
      <c r="D513" s="5">
        <f>IF($E513="","",INDEX('Input Transaksi'!$F:$F,$E513))</f>
        <v/>
      </c>
      <c r="E513">
        <f>IFERROR(AGGREGATE(15,6,ROW('Input Transaksi'!$B$5:$B$5000)/('Input Transaksi'!$B$5:$B$5000="JCL PEMOGAN"),ROWS($E$5:E513)),"")</f>
        <v/>
      </c>
      <c r="F513" s="5" t="n"/>
    </row>
    <row r="514">
      <c r="A514" s="10">
        <f>IF($E514="","",INDEX('Input Transaksi'!$A:$A,$E514))</f>
        <v/>
      </c>
      <c r="B514" s="5">
        <f>IF($E514="","",INDEX('Input Transaksi'!$D:$D,$E514))</f>
        <v/>
      </c>
      <c r="C514">
        <f>IF($E514="","",INDEX('Input Transaksi'!$E:$E,$E514))</f>
        <v/>
      </c>
      <c r="D514" s="5">
        <f>IF($E514="","",INDEX('Input Transaksi'!$F:$F,$E514))</f>
        <v/>
      </c>
      <c r="E514">
        <f>IFERROR(AGGREGATE(15,6,ROW('Input Transaksi'!$B$5:$B$5000)/('Input Transaksi'!$B$5:$B$5000="JCL PEMOGAN"),ROWS($E$5:E514)),"")</f>
        <v/>
      </c>
      <c r="F514" s="5" t="n"/>
    </row>
    <row r="515">
      <c r="A515" s="10">
        <f>IF($E515="","",INDEX('Input Transaksi'!$A:$A,$E515))</f>
        <v/>
      </c>
      <c r="B515" s="5">
        <f>IF($E515="","",INDEX('Input Transaksi'!$D:$D,$E515))</f>
        <v/>
      </c>
      <c r="C515">
        <f>IF($E515="","",INDEX('Input Transaksi'!$E:$E,$E515))</f>
        <v/>
      </c>
      <c r="D515" s="5">
        <f>IF($E515="","",INDEX('Input Transaksi'!$F:$F,$E515))</f>
        <v/>
      </c>
      <c r="E515">
        <f>IFERROR(AGGREGATE(15,6,ROW('Input Transaksi'!$B$5:$B$5000)/('Input Transaksi'!$B$5:$B$5000="JCL PEMOGAN"),ROWS($E$5:E515)),"")</f>
        <v/>
      </c>
      <c r="F515" s="5" t="n"/>
    </row>
    <row r="516">
      <c r="A516" s="10">
        <f>IF($E516="","",INDEX('Input Transaksi'!$A:$A,$E516))</f>
        <v/>
      </c>
      <c r="B516" s="5">
        <f>IF($E516="","",INDEX('Input Transaksi'!$D:$D,$E516))</f>
        <v/>
      </c>
      <c r="C516">
        <f>IF($E516="","",INDEX('Input Transaksi'!$E:$E,$E516))</f>
        <v/>
      </c>
      <c r="D516" s="5">
        <f>IF($E516="","",INDEX('Input Transaksi'!$F:$F,$E516))</f>
        <v/>
      </c>
      <c r="E516">
        <f>IFERROR(AGGREGATE(15,6,ROW('Input Transaksi'!$B$5:$B$5000)/('Input Transaksi'!$B$5:$B$5000="JCL PEMOGAN"),ROWS($E$5:E516)),"")</f>
        <v/>
      </c>
      <c r="F516" s="5" t="n"/>
    </row>
    <row r="517">
      <c r="A517" s="10">
        <f>IF($E517="","",INDEX('Input Transaksi'!$A:$A,$E517))</f>
        <v/>
      </c>
      <c r="B517" s="5">
        <f>IF($E517="","",INDEX('Input Transaksi'!$D:$D,$E517))</f>
        <v/>
      </c>
      <c r="C517">
        <f>IF($E517="","",INDEX('Input Transaksi'!$E:$E,$E517))</f>
        <v/>
      </c>
      <c r="D517" s="5">
        <f>IF($E517="","",INDEX('Input Transaksi'!$F:$F,$E517))</f>
        <v/>
      </c>
      <c r="E517">
        <f>IFERROR(AGGREGATE(15,6,ROW('Input Transaksi'!$B$5:$B$5000)/('Input Transaksi'!$B$5:$B$5000="JCL PEMOGAN"),ROWS($E$5:E517)),"")</f>
        <v/>
      </c>
      <c r="F517" s="5" t="n"/>
    </row>
    <row r="518">
      <c r="A518" s="10">
        <f>IF($E518="","",INDEX('Input Transaksi'!$A:$A,$E518))</f>
        <v/>
      </c>
      <c r="B518" s="5">
        <f>IF($E518="","",INDEX('Input Transaksi'!$D:$D,$E518))</f>
        <v/>
      </c>
      <c r="C518">
        <f>IF($E518="","",INDEX('Input Transaksi'!$E:$E,$E518))</f>
        <v/>
      </c>
      <c r="D518" s="5">
        <f>IF($E518="","",INDEX('Input Transaksi'!$F:$F,$E518))</f>
        <v/>
      </c>
      <c r="E518">
        <f>IFERROR(AGGREGATE(15,6,ROW('Input Transaksi'!$B$5:$B$5000)/('Input Transaksi'!$B$5:$B$5000="JCL PEMOGAN"),ROWS($E$5:E518)),"")</f>
        <v/>
      </c>
      <c r="F518" s="5" t="n"/>
    </row>
    <row r="519">
      <c r="A519" s="10">
        <f>IF($E519="","",INDEX('Input Transaksi'!$A:$A,$E519))</f>
        <v/>
      </c>
      <c r="B519" s="5">
        <f>IF($E519="","",INDEX('Input Transaksi'!$D:$D,$E519))</f>
        <v/>
      </c>
      <c r="C519">
        <f>IF($E519="","",INDEX('Input Transaksi'!$E:$E,$E519))</f>
        <v/>
      </c>
      <c r="D519" s="5">
        <f>IF($E519="","",INDEX('Input Transaksi'!$F:$F,$E519))</f>
        <v/>
      </c>
      <c r="E519">
        <f>IFERROR(AGGREGATE(15,6,ROW('Input Transaksi'!$B$5:$B$5000)/('Input Transaksi'!$B$5:$B$5000="JCL PEMOGAN"),ROWS($E$5:E519)),"")</f>
        <v/>
      </c>
      <c r="F519" s="5" t="n"/>
    </row>
    <row r="520">
      <c r="A520" s="10">
        <f>IF($E520="","",INDEX('Input Transaksi'!$A:$A,$E520))</f>
        <v/>
      </c>
      <c r="B520" s="5">
        <f>IF($E520="","",INDEX('Input Transaksi'!$D:$D,$E520))</f>
        <v/>
      </c>
      <c r="C520">
        <f>IF($E520="","",INDEX('Input Transaksi'!$E:$E,$E520))</f>
        <v/>
      </c>
      <c r="D520" s="5">
        <f>IF($E520="","",INDEX('Input Transaksi'!$F:$F,$E520))</f>
        <v/>
      </c>
      <c r="E520">
        <f>IFERROR(AGGREGATE(15,6,ROW('Input Transaksi'!$B$5:$B$5000)/('Input Transaksi'!$B$5:$B$5000="JCL PEMOGAN"),ROWS($E$5:E520)),"")</f>
        <v/>
      </c>
      <c r="F520" s="5" t="n"/>
    </row>
    <row r="521">
      <c r="A521" s="10">
        <f>IF($E521="","",INDEX('Input Transaksi'!$A:$A,$E521))</f>
        <v/>
      </c>
      <c r="B521" s="5">
        <f>IF($E521="","",INDEX('Input Transaksi'!$D:$D,$E521))</f>
        <v/>
      </c>
      <c r="C521">
        <f>IF($E521="","",INDEX('Input Transaksi'!$E:$E,$E521))</f>
        <v/>
      </c>
      <c r="D521" s="5">
        <f>IF($E521="","",INDEX('Input Transaksi'!$F:$F,$E521))</f>
        <v/>
      </c>
      <c r="E521">
        <f>IFERROR(AGGREGATE(15,6,ROW('Input Transaksi'!$B$5:$B$5000)/('Input Transaksi'!$B$5:$B$5000="JCL PEMOGAN"),ROWS($E$5:E521)),"")</f>
        <v/>
      </c>
      <c r="F521" s="5" t="n"/>
    </row>
    <row r="522">
      <c r="A522" s="10">
        <f>IF($E522="","",INDEX('Input Transaksi'!$A:$A,$E522))</f>
        <v/>
      </c>
      <c r="B522" s="5">
        <f>IF($E522="","",INDEX('Input Transaksi'!$D:$D,$E522))</f>
        <v/>
      </c>
      <c r="C522">
        <f>IF($E522="","",INDEX('Input Transaksi'!$E:$E,$E522))</f>
        <v/>
      </c>
      <c r="D522" s="5">
        <f>IF($E522="","",INDEX('Input Transaksi'!$F:$F,$E522))</f>
        <v/>
      </c>
      <c r="E522">
        <f>IFERROR(AGGREGATE(15,6,ROW('Input Transaksi'!$B$5:$B$5000)/('Input Transaksi'!$B$5:$B$5000="JCL PEMOGAN"),ROWS($E$5:E522)),"")</f>
        <v/>
      </c>
      <c r="F522" s="5" t="n"/>
    </row>
    <row r="523">
      <c r="A523" s="10">
        <f>IF($E523="","",INDEX('Input Transaksi'!$A:$A,$E523))</f>
        <v/>
      </c>
      <c r="B523" s="5">
        <f>IF($E523="","",INDEX('Input Transaksi'!$D:$D,$E523))</f>
        <v/>
      </c>
      <c r="C523">
        <f>IF($E523="","",INDEX('Input Transaksi'!$E:$E,$E523))</f>
        <v/>
      </c>
      <c r="D523" s="5">
        <f>IF($E523="","",INDEX('Input Transaksi'!$F:$F,$E523))</f>
        <v/>
      </c>
      <c r="E523">
        <f>IFERROR(AGGREGATE(15,6,ROW('Input Transaksi'!$B$5:$B$5000)/('Input Transaksi'!$B$5:$B$5000="JCL PEMOGAN"),ROWS($E$5:E523)),"")</f>
        <v/>
      </c>
      <c r="F523" s="5" t="n"/>
    </row>
    <row r="524">
      <c r="A524" s="10">
        <f>IF($E524="","",INDEX('Input Transaksi'!$A:$A,$E524))</f>
        <v/>
      </c>
      <c r="B524" s="5">
        <f>IF($E524="","",INDEX('Input Transaksi'!$D:$D,$E524))</f>
        <v/>
      </c>
      <c r="C524">
        <f>IF($E524="","",INDEX('Input Transaksi'!$E:$E,$E524))</f>
        <v/>
      </c>
      <c r="D524" s="5">
        <f>IF($E524="","",INDEX('Input Transaksi'!$F:$F,$E524))</f>
        <v/>
      </c>
      <c r="E524">
        <f>IFERROR(AGGREGATE(15,6,ROW('Input Transaksi'!$B$5:$B$5000)/('Input Transaksi'!$B$5:$B$5000="JCL PEMOGAN"),ROWS($E$5:E524)),"")</f>
        <v/>
      </c>
      <c r="F524" s="5" t="n"/>
    </row>
    <row r="525">
      <c r="A525" s="10">
        <f>IF($E525="","",INDEX('Input Transaksi'!$A:$A,$E525))</f>
        <v/>
      </c>
      <c r="B525" s="5">
        <f>IF($E525="","",INDEX('Input Transaksi'!$D:$D,$E525))</f>
        <v/>
      </c>
      <c r="C525">
        <f>IF($E525="","",INDEX('Input Transaksi'!$E:$E,$E525))</f>
        <v/>
      </c>
      <c r="D525" s="5">
        <f>IF($E525="","",INDEX('Input Transaksi'!$F:$F,$E525))</f>
        <v/>
      </c>
      <c r="E525">
        <f>IFERROR(AGGREGATE(15,6,ROW('Input Transaksi'!$B$5:$B$5000)/('Input Transaksi'!$B$5:$B$5000="JCL PEMOGAN"),ROWS($E$5:E525)),"")</f>
        <v/>
      </c>
      <c r="F525" s="5" t="n"/>
    </row>
    <row r="526">
      <c r="A526" s="10">
        <f>IF($E526="","",INDEX('Input Transaksi'!$A:$A,$E526))</f>
        <v/>
      </c>
      <c r="B526" s="5">
        <f>IF($E526="","",INDEX('Input Transaksi'!$D:$D,$E526))</f>
        <v/>
      </c>
      <c r="C526">
        <f>IF($E526="","",INDEX('Input Transaksi'!$E:$E,$E526))</f>
        <v/>
      </c>
      <c r="D526" s="5">
        <f>IF($E526="","",INDEX('Input Transaksi'!$F:$F,$E526))</f>
        <v/>
      </c>
      <c r="E526">
        <f>IFERROR(AGGREGATE(15,6,ROW('Input Transaksi'!$B$5:$B$5000)/('Input Transaksi'!$B$5:$B$5000="JCL PEMOGAN"),ROWS($E$5:E526)),"")</f>
        <v/>
      </c>
      <c r="F526" s="5" t="n"/>
    </row>
    <row r="527">
      <c r="A527" s="10">
        <f>IF($E527="","",INDEX('Input Transaksi'!$A:$A,$E527))</f>
        <v/>
      </c>
      <c r="B527" s="5">
        <f>IF($E527="","",INDEX('Input Transaksi'!$D:$D,$E527))</f>
        <v/>
      </c>
      <c r="C527">
        <f>IF($E527="","",INDEX('Input Transaksi'!$E:$E,$E527))</f>
        <v/>
      </c>
      <c r="D527" s="5">
        <f>IF($E527="","",INDEX('Input Transaksi'!$F:$F,$E527))</f>
        <v/>
      </c>
      <c r="E527">
        <f>IFERROR(AGGREGATE(15,6,ROW('Input Transaksi'!$B$5:$B$5000)/('Input Transaksi'!$B$5:$B$5000="JCL PEMOGAN"),ROWS($E$5:E527)),"")</f>
        <v/>
      </c>
      <c r="F527" s="5" t="n"/>
    </row>
    <row r="528">
      <c r="A528" s="10">
        <f>IF($E528="","",INDEX('Input Transaksi'!$A:$A,$E528))</f>
        <v/>
      </c>
      <c r="B528" s="5">
        <f>IF($E528="","",INDEX('Input Transaksi'!$D:$D,$E528))</f>
        <v/>
      </c>
      <c r="C528">
        <f>IF($E528="","",INDEX('Input Transaksi'!$E:$E,$E528))</f>
        <v/>
      </c>
      <c r="D528" s="5">
        <f>IF($E528="","",INDEX('Input Transaksi'!$F:$F,$E528))</f>
        <v/>
      </c>
      <c r="E528">
        <f>IFERROR(AGGREGATE(15,6,ROW('Input Transaksi'!$B$5:$B$5000)/('Input Transaksi'!$B$5:$B$5000="JCL PEMOGAN"),ROWS($E$5:E528)),"")</f>
        <v/>
      </c>
      <c r="F528" s="5" t="n"/>
    </row>
    <row r="529">
      <c r="A529" s="10">
        <f>IF($E529="","",INDEX('Input Transaksi'!$A:$A,$E529))</f>
        <v/>
      </c>
      <c r="B529" s="5">
        <f>IF($E529="","",INDEX('Input Transaksi'!$D:$D,$E529))</f>
        <v/>
      </c>
      <c r="C529">
        <f>IF($E529="","",INDEX('Input Transaksi'!$E:$E,$E529))</f>
        <v/>
      </c>
      <c r="D529" s="5">
        <f>IF($E529="","",INDEX('Input Transaksi'!$F:$F,$E529))</f>
        <v/>
      </c>
      <c r="E529">
        <f>IFERROR(AGGREGATE(15,6,ROW('Input Transaksi'!$B$5:$B$5000)/('Input Transaksi'!$B$5:$B$5000="JCL PEMOGAN"),ROWS($E$5:E529)),"")</f>
        <v/>
      </c>
      <c r="F529" s="5" t="n"/>
    </row>
    <row r="530">
      <c r="A530" s="10">
        <f>IF($E530="","",INDEX('Input Transaksi'!$A:$A,$E530))</f>
        <v/>
      </c>
      <c r="B530" s="5">
        <f>IF($E530="","",INDEX('Input Transaksi'!$D:$D,$E530))</f>
        <v/>
      </c>
      <c r="C530">
        <f>IF($E530="","",INDEX('Input Transaksi'!$E:$E,$E530))</f>
        <v/>
      </c>
      <c r="D530" s="5">
        <f>IF($E530="","",INDEX('Input Transaksi'!$F:$F,$E530))</f>
        <v/>
      </c>
      <c r="E530">
        <f>IFERROR(AGGREGATE(15,6,ROW('Input Transaksi'!$B$5:$B$5000)/('Input Transaksi'!$B$5:$B$5000="JCL PEMOGAN"),ROWS($E$5:E530)),"")</f>
        <v/>
      </c>
      <c r="F530" s="5" t="n"/>
    </row>
    <row r="531">
      <c r="A531" s="10">
        <f>IF($E531="","",INDEX('Input Transaksi'!$A:$A,$E531))</f>
        <v/>
      </c>
      <c r="B531" s="5">
        <f>IF($E531="","",INDEX('Input Transaksi'!$D:$D,$E531))</f>
        <v/>
      </c>
      <c r="C531">
        <f>IF($E531="","",INDEX('Input Transaksi'!$E:$E,$E531))</f>
        <v/>
      </c>
      <c r="D531" s="5">
        <f>IF($E531="","",INDEX('Input Transaksi'!$F:$F,$E531))</f>
        <v/>
      </c>
      <c r="E531">
        <f>IFERROR(AGGREGATE(15,6,ROW('Input Transaksi'!$B$5:$B$5000)/('Input Transaksi'!$B$5:$B$5000="JCL PEMOGAN"),ROWS($E$5:E531)),"")</f>
        <v/>
      </c>
      <c r="F531" s="5" t="n"/>
    </row>
    <row r="532">
      <c r="A532" s="10">
        <f>IF($E532="","",INDEX('Input Transaksi'!$A:$A,$E532))</f>
        <v/>
      </c>
      <c r="B532" s="5">
        <f>IF($E532="","",INDEX('Input Transaksi'!$D:$D,$E532))</f>
        <v/>
      </c>
      <c r="C532">
        <f>IF($E532="","",INDEX('Input Transaksi'!$E:$E,$E532))</f>
        <v/>
      </c>
      <c r="D532" s="5">
        <f>IF($E532="","",INDEX('Input Transaksi'!$F:$F,$E532))</f>
        <v/>
      </c>
      <c r="E532">
        <f>IFERROR(AGGREGATE(15,6,ROW('Input Transaksi'!$B$5:$B$5000)/('Input Transaksi'!$B$5:$B$5000="JCL PEMOGAN"),ROWS($E$5:E532)),"")</f>
        <v/>
      </c>
      <c r="F532" s="5" t="n"/>
    </row>
    <row r="533">
      <c r="A533" s="10">
        <f>IF($E533="","",INDEX('Input Transaksi'!$A:$A,$E533))</f>
        <v/>
      </c>
      <c r="B533" s="5">
        <f>IF($E533="","",INDEX('Input Transaksi'!$D:$D,$E533))</f>
        <v/>
      </c>
      <c r="C533">
        <f>IF($E533="","",INDEX('Input Transaksi'!$E:$E,$E533))</f>
        <v/>
      </c>
      <c r="D533" s="5">
        <f>IF($E533="","",INDEX('Input Transaksi'!$F:$F,$E533))</f>
        <v/>
      </c>
      <c r="E533">
        <f>IFERROR(AGGREGATE(15,6,ROW('Input Transaksi'!$B$5:$B$5000)/('Input Transaksi'!$B$5:$B$5000="JCL PEMOGAN"),ROWS($E$5:E533)),"")</f>
        <v/>
      </c>
      <c r="F533" s="5" t="n"/>
    </row>
    <row r="534">
      <c r="A534" s="10">
        <f>IF($E534="","",INDEX('Input Transaksi'!$A:$A,$E534))</f>
        <v/>
      </c>
      <c r="B534" s="5">
        <f>IF($E534="","",INDEX('Input Transaksi'!$D:$D,$E534))</f>
        <v/>
      </c>
      <c r="C534">
        <f>IF($E534="","",INDEX('Input Transaksi'!$E:$E,$E534))</f>
        <v/>
      </c>
      <c r="D534" s="5">
        <f>IF($E534="","",INDEX('Input Transaksi'!$F:$F,$E534))</f>
        <v/>
      </c>
      <c r="E534">
        <f>IFERROR(AGGREGATE(15,6,ROW('Input Transaksi'!$B$5:$B$5000)/('Input Transaksi'!$B$5:$B$5000="JCL PEMOGAN"),ROWS($E$5:E534)),"")</f>
        <v/>
      </c>
      <c r="F534" s="5" t="n"/>
    </row>
    <row r="535">
      <c r="A535" s="10">
        <f>IF($E535="","",INDEX('Input Transaksi'!$A:$A,$E535))</f>
        <v/>
      </c>
      <c r="B535" s="5">
        <f>IF($E535="","",INDEX('Input Transaksi'!$D:$D,$E535))</f>
        <v/>
      </c>
      <c r="C535">
        <f>IF($E535="","",INDEX('Input Transaksi'!$E:$E,$E535))</f>
        <v/>
      </c>
      <c r="D535" s="5">
        <f>IF($E535="","",INDEX('Input Transaksi'!$F:$F,$E535))</f>
        <v/>
      </c>
      <c r="E535">
        <f>IFERROR(AGGREGATE(15,6,ROW('Input Transaksi'!$B$5:$B$5000)/('Input Transaksi'!$B$5:$B$5000="JCL PEMOGAN"),ROWS($E$5:E535)),"")</f>
        <v/>
      </c>
      <c r="F535" s="5" t="n"/>
    </row>
    <row r="536">
      <c r="A536" s="10">
        <f>IF($E536="","",INDEX('Input Transaksi'!$A:$A,$E536))</f>
        <v/>
      </c>
      <c r="B536" s="5">
        <f>IF($E536="","",INDEX('Input Transaksi'!$D:$D,$E536))</f>
        <v/>
      </c>
      <c r="C536">
        <f>IF($E536="","",INDEX('Input Transaksi'!$E:$E,$E536))</f>
        <v/>
      </c>
      <c r="D536" s="5">
        <f>IF($E536="","",INDEX('Input Transaksi'!$F:$F,$E536))</f>
        <v/>
      </c>
      <c r="E536">
        <f>IFERROR(AGGREGATE(15,6,ROW('Input Transaksi'!$B$5:$B$5000)/('Input Transaksi'!$B$5:$B$5000="JCL PEMOGAN"),ROWS($E$5:E536)),"")</f>
        <v/>
      </c>
      <c r="F536" s="5" t="n"/>
    </row>
    <row r="537">
      <c r="A537" s="10">
        <f>IF($E537="","",INDEX('Input Transaksi'!$A:$A,$E537))</f>
        <v/>
      </c>
      <c r="B537" s="5">
        <f>IF($E537="","",INDEX('Input Transaksi'!$D:$D,$E537))</f>
        <v/>
      </c>
      <c r="C537">
        <f>IF($E537="","",INDEX('Input Transaksi'!$E:$E,$E537))</f>
        <v/>
      </c>
      <c r="D537" s="5">
        <f>IF($E537="","",INDEX('Input Transaksi'!$F:$F,$E537))</f>
        <v/>
      </c>
      <c r="E537">
        <f>IFERROR(AGGREGATE(15,6,ROW('Input Transaksi'!$B$5:$B$5000)/('Input Transaksi'!$B$5:$B$5000="JCL PEMOGAN"),ROWS($E$5:E537)),"")</f>
        <v/>
      </c>
      <c r="F537" s="5" t="n"/>
    </row>
    <row r="538">
      <c r="A538" s="10">
        <f>IF($E538="","",INDEX('Input Transaksi'!$A:$A,$E538))</f>
        <v/>
      </c>
      <c r="B538" s="5">
        <f>IF($E538="","",INDEX('Input Transaksi'!$D:$D,$E538))</f>
        <v/>
      </c>
      <c r="C538">
        <f>IF($E538="","",INDEX('Input Transaksi'!$E:$E,$E538))</f>
        <v/>
      </c>
      <c r="D538" s="5">
        <f>IF($E538="","",INDEX('Input Transaksi'!$F:$F,$E538))</f>
        <v/>
      </c>
      <c r="E538">
        <f>IFERROR(AGGREGATE(15,6,ROW('Input Transaksi'!$B$5:$B$5000)/('Input Transaksi'!$B$5:$B$5000="JCL PEMOGAN"),ROWS($E$5:E538)),"")</f>
        <v/>
      </c>
      <c r="F538" s="5" t="n"/>
    </row>
    <row r="539">
      <c r="A539" s="10">
        <f>IF($E539="","",INDEX('Input Transaksi'!$A:$A,$E539))</f>
        <v/>
      </c>
      <c r="B539" s="5">
        <f>IF($E539="","",INDEX('Input Transaksi'!$D:$D,$E539))</f>
        <v/>
      </c>
      <c r="C539">
        <f>IF($E539="","",INDEX('Input Transaksi'!$E:$E,$E539))</f>
        <v/>
      </c>
      <c r="D539" s="5">
        <f>IF($E539="","",INDEX('Input Transaksi'!$F:$F,$E539))</f>
        <v/>
      </c>
      <c r="E539">
        <f>IFERROR(AGGREGATE(15,6,ROW('Input Transaksi'!$B$5:$B$5000)/('Input Transaksi'!$B$5:$B$5000="JCL PEMOGAN"),ROWS($E$5:E539)),"")</f>
        <v/>
      </c>
      <c r="F539" s="5" t="n"/>
    </row>
    <row r="540">
      <c r="A540" s="10">
        <f>IF($E540="","",INDEX('Input Transaksi'!$A:$A,$E540))</f>
        <v/>
      </c>
      <c r="B540" s="5">
        <f>IF($E540="","",INDEX('Input Transaksi'!$D:$D,$E540))</f>
        <v/>
      </c>
      <c r="C540">
        <f>IF($E540="","",INDEX('Input Transaksi'!$E:$E,$E540))</f>
        <v/>
      </c>
      <c r="D540" s="5">
        <f>IF($E540="","",INDEX('Input Transaksi'!$F:$F,$E540))</f>
        <v/>
      </c>
      <c r="E540">
        <f>IFERROR(AGGREGATE(15,6,ROW('Input Transaksi'!$B$5:$B$5000)/('Input Transaksi'!$B$5:$B$5000="JCL PEMOGAN"),ROWS($E$5:E540)),"")</f>
        <v/>
      </c>
      <c r="F540" s="5" t="n"/>
    </row>
    <row r="541">
      <c r="A541" s="10">
        <f>IF($E541="","",INDEX('Input Transaksi'!$A:$A,$E541))</f>
        <v/>
      </c>
      <c r="B541" s="5">
        <f>IF($E541="","",INDEX('Input Transaksi'!$D:$D,$E541))</f>
        <v/>
      </c>
      <c r="C541">
        <f>IF($E541="","",INDEX('Input Transaksi'!$E:$E,$E541))</f>
        <v/>
      </c>
      <c r="D541" s="5">
        <f>IF($E541="","",INDEX('Input Transaksi'!$F:$F,$E541))</f>
        <v/>
      </c>
      <c r="E541">
        <f>IFERROR(AGGREGATE(15,6,ROW('Input Transaksi'!$B$5:$B$5000)/('Input Transaksi'!$B$5:$B$5000="JCL PEMOGAN"),ROWS($E$5:E541)),"")</f>
        <v/>
      </c>
      <c r="F541" s="5" t="n"/>
    </row>
    <row r="542">
      <c r="A542" s="10">
        <f>IF($E542="","",INDEX('Input Transaksi'!$A:$A,$E542))</f>
        <v/>
      </c>
      <c r="B542" s="5">
        <f>IF($E542="","",INDEX('Input Transaksi'!$D:$D,$E542))</f>
        <v/>
      </c>
      <c r="C542">
        <f>IF($E542="","",INDEX('Input Transaksi'!$E:$E,$E542))</f>
        <v/>
      </c>
      <c r="D542" s="5">
        <f>IF($E542="","",INDEX('Input Transaksi'!$F:$F,$E542))</f>
        <v/>
      </c>
      <c r="E542">
        <f>IFERROR(AGGREGATE(15,6,ROW('Input Transaksi'!$B$5:$B$5000)/('Input Transaksi'!$B$5:$B$5000="JCL PEMOGAN"),ROWS($E$5:E542)),"")</f>
        <v/>
      </c>
      <c r="F542" s="5" t="n"/>
    </row>
    <row r="543">
      <c r="A543" s="10">
        <f>IF($E543="","",INDEX('Input Transaksi'!$A:$A,$E543))</f>
        <v/>
      </c>
      <c r="B543" s="5">
        <f>IF($E543="","",INDEX('Input Transaksi'!$D:$D,$E543))</f>
        <v/>
      </c>
      <c r="C543">
        <f>IF($E543="","",INDEX('Input Transaksi'!$E:$E,$E543))</f>
        <v/>
      </c>
      <c r="D543" s="5">
        <f>IF($E543="","",INDEX('Input Transaksi'!$F:$F,$E543))</f>
        <v/>
      </c>
      <c r="E543">
        <f>IFERROR(AGGREGATE(15,6,ROW('Input Transaksi'!$B$5:$B$5000)/('Input Transaksi'!$B$5:$B$5000="JCL PEMOGAN"),ROWS($E$5:E543)),"")</f>
        <v/>
      </c>
      <c r="F543" s="5" t="n"/>
    </row>
    <row r="544">
      <c r="A544" s="10">
        <f>IF($E544="","",INDEX('Input Transaksi'!$A:$A,$E544))</f>
        <v/>
      </c>
      <c r="B544" s="5">
        <f>IF($E544="","",INDEX('Input Transaksi'!$D:$D,$E544))</f>
        <v/>
      </c>
      <c r="C544">
        <f>IF($E544="","",INDEX('Input Transaksi'!$E:$E,$E544))</f>
        <v/>
      </c>
      <c r="D544" s="5">
        <f>IF($E544="","",INDEX('Input Transaksi'!$F:$F,$E544))</f>
        <v/>
      </c>
      <c r="E544">
        <f>IFERROR(AGGREGATE(15,6,ROW('Input Transaksi'!$B$5:$B$5000)/('Input Transaksi'!$B$5:$B$5000="JCL PEMOGAN"),ROWS($E$5:E544)),"")</f>
        <v/>
      </c>
      <c r="F544" s="5" t="n"/>
    </row>
    <row r="545">
      <c r="A545" s="10">
        <f>IF($E545="","",INDEX('Input Transaksi'!$A:$A,$E545))</f>
        <v/>
      </c>
      <c r="B545" s="5">
        <f>IF($E545="","",INDEX('Input Transaksi'!$D:$D,$E545))</f>
        <v/>
      </c>
      <c r="C545">
        <f>IF($E545="","",INDEX('Input Transaksi'!$E:$E,$E545))</f>
        <v/>
      </c>
      <c r="D545" s="5">
        <f>IF($E545="","",INDEX('Input Transaksi'!$F:$F,$E545))</f>
        <v/>
      </c>
      <c r="E545">
        <f>IFERROR(AGGREGATE(15,6,ROW('Input Transaksi'!$B$5:$B$5000)/('Input Transaksi'!$B$5:$B$5000="JCL PEMOGAN"),ROWS($E$5:E545)),"")</f>
        <v/>
      </c>
      <c r="F545" s="5" t="n"/>
    </row>
    <row r="546">
      <c r="A546" s="10">
        <f>IF($E546="","",INDEX('Input Transaksi'!$A:$A,$E546))</f>
        <v/>
      </c>
      <c r="B546" s="5">
        <f>IF($E546="","",INDEX('Input Transaksi'!$D:$D,$E546))</f>
        <v/>
      </c>
      <c r="C546">
        <f>IF($E546="","",INDEX('Input Transaksi'!$E:$E,$E546))</f>
        <v/>
      </c>
      <c r="D546" s="5">
        <f>IF($E546="","",INDEX('Input Transaksi'!$F:$F,$E546))</f>
        <v/>
      </c>
      <c r="E546">
        <f>IFERROR(AGGREGATE(15,6,ROW('Input Transaksi'!$B$5:$B$5000)/('Input Transaksi'!$B$5:$B$5000="JCL PEMOGAN"),ROWS($E$5:E546)),"")</f>
        <v/>
      </c>
      <c r="F546" s="5" t="n"/>
    </row>
    <row r="547">
      <c r="A547" s="10">
        <f>IF($E547="","",INDEX('Input Transaksi'!$A:$A,$E547))</f>
        <v/>
      </c>
      <c r="B547" s="5">
        <f>IF($E547="","",INDEX('Input Transaksi'!$D:$D,$E547))</f>
        <v/>
      </c>
      <c r="C547">
        <f>IF($E547="","",INDEX('Input Transaksi'!$E:$E,$E547))</f>
        <v/>
      </c>
      <c r="D547" s="5">
        <f>IF($E547="","",INDEX('Input Transaksi'!$F:$F,$E547))</f>
        <v/>
      </c>
      <c r="E547">
        <f>IFERROR(AGGREGATE(15,6,ROW('Input Transaksi'!$B$5:$B$5000)/('Input Transaksi'!$B$5:$B$5000="JCL PEMOGAN"),ROWS($E$5:E547)),"")</f>
        <v/>
      </c>
      <c r="F547" s="5" t="n"/>
    </row>
    <row r="548">
      <c r="A548" s="10">
        <f>IF($E548="","",INDEX('Input Transaksi'!$A:$A,$E548))</f>
        <v/>
      </c>
      <c r="B548" s="5">
        <f>IF($E548="","",INDEX('Input Transaksi'!$D:$D,$E548))</f>
        <v/>
      </c>
      <c r="C548">
        <f>IF($E548="","",INDEX('Input Transaksi'!$E:$E,$E548))</f>
        <v/>
      </c>
      <c r="D548" s="5">
        <f>IF($E548="","",INDEX('Input Transaksi'!$F:$F,$E548))</f>
        <v/>
      </c>
      <c r="E548">
        <f>IFERROR(AGGREGATE(15,6,ROW('Input Transaksi'!$B$5:$B$5000)/('Input Transaksi'!$B$5:$B$5000="JCL PEMOGAN"),ROWS($E$5:E548)),"")</f>
        <v/>
      </c>
      <c r="F548" s="5" t="n"/>
    </row>
    <row r="549">
      <c r="A549" s="10">
        <f>IF($E549="","",INDEX('Input Transaksi'!$A:$A,$E549))</f>
        <v/>
      </c>
      <c r="B549" s="5">
        <f>IF($E549="","",INDEX('Input Transaksi'!$D:$D,$E549))</f>
        <v/>
      </c>
      <c r="C549">
        <f>IF($E549="","",INDEX('Input Transaksi'!$E:$E,$E549))</f>
        <v/>
      </c>
      <c r="D549" s="5">
        <f>IF($E549="","",INDEX('Input Transaksi'!$F:$F,$E549))</f>
        <v/>
      </c>
      <c r="E549">
        <f>IFERROR(AGGREGATE(15,6,ROW('Input Transaksi'!$B$5:$B$5000)/('Input Transaksi'!$B$5:$B$5000="JCL PEMOGAN"),ROWS($E$5:E549)),"")</f>
        <v/>
      </c>
      <c r="F549" s="5" t="n"/>
    </row>
    <row r="550">
      <c r="A550" s="10">
        <f>IF($E550="","",INDEX('Input Transaksi'!$A:$A,$E550))</f>
        <v/>
      </c>
      <c r="B550" s="5">
        <f>IF($E550="","",INDEX('Input Transaksi'!$D:$D,$E550))</f>
        <v/>
      </c>
      <c r="C550">
        <f>IF($E550="","",INDEX('Input Transaksi'!$E:$E,$E550))</f>
        <v/>
      </c>
      <c r="D550" s="5">
        <f>IF($E550="","",INDEX('Input Transaksi'!$F:$F,$E550))</f>
        <v/>
      </c>
      <c r="E550">
        <f>IFERROR(AGGREGATE(15,6,ROW('Input Transaksi'!$B$5:$B$5000)/('Input Transaksi'!$B$5:$B$5000="JCL PEMOGAN"),ROWS($E$5:E550)),"")</f>
        <v/>
      </c>
      <c r="F550" s="5" t="n"/>
    </row>
    <row r="551">
      <c r="A551" s="10">
        <f>IF($E551="","",INDEX('Input Transaksi'!$A:$A,$E551))</f>
        <v/>
      </c>
      <c r="B551" s="5">
        <f>IF($E551="","",INDEX('Input Transaksi'!$D:$D,$E551))</f>
        <v/>
      </c>
      <c r="C551">
        <f>IF($E551="","",INDEX('Input Transaksi'!$E:$E,$E551))</f>
        <v/>
      </c>
      <c r="D551" s="5">
        <f>IF($E551="","",INDEX('Input Transaksi'!$F:$F,$E551))</f>
        <v/>
      </c>
      <c r="E551">
        <f>IFERROR(AGGREGATE(15,6,ROW('Input Transaksi'!$B$5:$B$5000)/('Input Transaksi'!$B$5:$B$5000="JCL PEMOGAN"),ROWS($E$5:E551)),"")</f>
        <v/>
      </c>
      <c r="F551" s="5" t="n"/>
    </row>
    <row r="552">
      <c r="A552" s="10">
        <f>IF($E552="","",INDEX('Input Transaksi'!$A:$A,$E552))</f>
        <v/>
      </c>
      <c r="B552" s="5">
        <f>IF($E552="","",INDEX('Input Transaksi'!$D:$D,$E552))</f>
        <v/>
      </c>
      <c r="C552">
        <f>IF($E552="","",INDEX('Input Transaksi'!$E:$E,$E552))</f>
        <v/>
      </c>
      <c r="D552" s="5">
        <f>IF($E552="","",INDEX('Input Transaksi'!$F:$F,$E552))</f>
        <v/>
      </c>
      <c r="E552">
        <f>IFERROR(AGGREGATE(15,6,ROW('Input Transaksi'!$B$5:$B$5000)/('Input Transaksi'!$B$5:$B$5000="JCL PEMOGAN"),ROWS($E$5:E552)),"")</f>
        <v/>
      </c>
      <c r="F552" s="5" t="n"/>
    </row>
    <row r="553">
      <c r="A553" s="10">
        <f>IF($E553="","",INDEX('Input Transaksi'!$A:$A,$E553))</f>
        <v/>
      </c>
      <c r="B553" s="5">
        <f>IF($E553="","",INDEX('Input Transaksi'!$D:$D,$E553))</f>
        <v/>
      </c>
      <c r="C553">
        <f>IF($E553="","",INDEX('Input Transaksi'!$E:$E,$E553))</f>
        <v/>
      </c>
      <c r="D553" s="5">
        <f>IF($E553="","",INDEX('Input Transaksi'!$F:$F,$E553))</f>
        <v/>
      </c>
      <c r="E553">
        <f>IFERROR(AGGREGATE(15,6,ROW('Input Transaksi'!$B$5:$B$5000)/('Input Transaksi'!$B$5:$B$5000="JCL PEMOGAN"),ROWS($E$5:E553)),"")</f>
        <v/>
      </c>
      <c r="F553" s="5" t="n"/>
    </row>
    <row r="554">
      <c r="A554" s="10">
        <f>IF($E554="","",INDEX('Input Transaksi'!$A:$A,$E554))</f>
        <v/>
      </c>
      <c r="B554" s="5">
        <f>IF($E554="","",INDEX('Input Transaksi'!$D:$D,$E554))</f>
        <v/>
      </c>
      <c r="C554">
        <f>IF($E554="","",INDEX('Input Transaksi'!$E:$E,$E554))</f>
        <v/>
      </c>
      <c r="D554" s="5">
        <f>IF($E554="","",INDEX('Input Transaksi'!$F:$F,$E554))</f>
        <v/>
      </c>
      <c r="E554">
        <f>IFERROR(AGGREGATE(15,6,ROW('Input Transaksi'!$B$5:$B$5000)/('Input Transaksi'!$B$5:$B$5000="JCL PEMOGAN"),ROWS($E$5:E554)),"")</f>
        <v/>
      </c>
      <c r="F554" s="5" t="n"/>
    </row>
    <row r="555">
      <c r="A555" s="10">
        <f>IF($E555="","",INDEX('Input Transaksi'!$A:$A,$E555))</f>
        <v/>
      </c>
      <c r="B555" s="5">
        <f>IF($E555="","",INDEX('Input Transaksi'!$D:$D,$E555))</f>
        <v/>
      </c>
      <c r="C555">
        <f>IF($E555="","",INDEX('Input Transaksi'!$E:$E,$E555))</f>
        <v/>
      </c>
      <c r="D555" s="5">
        <f>IF($E555="","",INDEX('Input Transaksi'!$F:$F,$E555))</f>
        <v/>
      </c>
      <c r="E555">
        <f>IFERROR(AGGREGATE(15,6,ROW('Input Transaksi'!$B$5:$B$5000)/('Input Transaksi'!$B$5:$B$5000="JCL PEMOGAN"),ROWS($E$5:E555)),"")</f>
        <v/>
      </c>
      <c r="F555" s="5" t="n"/>
    </row>
    <row r="556">
      <c r="A556" s="10">
        <f>IF($E556="","",INDEX('Input Transaksi'!$A:$A,$E556))</f>
        <v/>
      </c>
      <c r="B556" s="5">
        <f>IF($E556="","",INDEX('Input Transaksi'!$D:$D,$E556))</f>
        <v/>
      </c>
      <c r="C556">
        <f>IF($E556="","",INDEX('Input Transaksi'!$E:$E,$E556))</f>
        <v/>
      </c>
      <c r="D556" s="5">
        <f>IF($E556="","",INDEX('Input Transaksi'!$F:$F,$E556))</f>
        <v/>
      </c>
      <c r="E556">
        <f>IFERROR(AGGREGATE(15,6,ROW('Input Transaksi'!$B$5:$B$5000)/('Input Transaksi'!$B$5:$B$5000="JCL PEMOGAN"),ROWS($E$5:E556)),"")</f>
        <v/>
      </c>
      <c r="F556" s="5" t="n"/>
    </row>
    <row r="557">
      <c r="A557" s="10">
        <f>IF($E557="","",INDEX('Input Transaksi'!$A:$A,$E557))</f>
        <v/>
      </c>
      <c r="B557" s="5">
        <f>IF($E557="","",INDEX('Input Transaksi'!$D:$D,$E557))</f>
        <v/>
      </c>
      <c r="C557">
        <f>IF($E557="","",INDEX('Input Transaksi'!$E:$E,$E557))</f>
        <v/>
      </c>
      <c r="D557" s="5">
        <f>IF($E557="","",INDEX('Input Transaksi'!$F:$F,$E557))</f>
        <v/>
      </c>
      <c r="E557">
        <f>IFERROR(AGGREGATE(15,6,ROW('Input Transaksi'!$B$5:$B$5000)/('Input Transaksi'!$B$5:$B$5000="JCL PEMOGAN"),ROWS($E$5:E557)),"")</f>
        <v/>
      </c>
      <c r="F557" s="5" t="n"/>
    </row>
    <row r="558">
      <c r="A558" s="10">
        <f>IF($E558="","",INDEX('Input Transaksi'!$A:$A,$E558))</f>
        <v/>
      </c>
      <c r="B558" s="5">
        <f>IF($E558="","",INDEX('Input Transaksi'!$D:$D,$E558))</f>
        <v/>
      </c>
      <c r="C558">
        <f>IF($E558="","",INDEX('Input Transaksi'!$E:$E,$E558))</f>
        <v/>
      </c>
      <c r="D558" s="5">
        <f>IF($E558="","",INDEX('Input Transaksi'!$F:$F,$E558))</f>
        <v/>
      </c>
      <c r="E558">
        <f>IFERROR(AGGREGATE(15,6,ROW('Input Transaksi'!$B$5:$B$5000)/('Input Transaksi'!$B$5:$B$5000="JCL PEMOGAN"),ROWS($E$5:E558)),"")</f>
        <v/>
      </c>
      <c r="F558" s="5" t="n"/>
    </row>
    <row r="559">
      <c r="A559" s="10">
        <f>IF($E559="","",INDEX('Input Transaksi'!$A:$A,$E559))</f>
        <v/>
      </c>
      <c r="B559" s="5">
        <f>IF($E559="","",INDEX('Input Transaksi'!$D:$D,$E559))</f>
        <v/>
      </c>
      <c r="C559">
        <f>IF($E559="","",INDEX('Input Transaksi'!$E:$E,$E559))</f>
        <v/>
      </c>
      <c r="D559" s="5">
        <f>IF($E559="","",INDEX('Input Transaksi'!$F:$F,$E559))</f>
        <v/>
      </c>
      <c r="E559">
        <f>IFERROR(AGGREGATE(15,6,ROW('Input Transaksi'!$B$5:$B$5000)/('Input Transaksi'!$B$5:$B$5000="JCL PEMOGAN"),ROWS($E$5:E559)),"")</f>
        <v/>
      </c>
      <c r="F559" s="5" t="n"/>
    </row>
    <row r="560">
      <c r="A560" s="10">
        <f>IF($E560="","",INDEX('Input Transaksi'!$A:$A,$E560))</f>
        <v/>
      </c>
      <c r="B560" s="5">
        <f>IF($E560="","",INDEX('Input Transaksi'!$D:$D,$E560))</f>
        <v/>
      </c>
      <c r="C560">
        <f>IF($E560="","",INDEX('Input Transaksi'!$E:$E,$E560))</f>
        <v/>
      </c>
      <c r="D560" s="5">
        <f>IF($E560="","",INDEX('Input Transaksi'!$F:$F,$E560))</f>
        <v/>
      </c>
      <c r="E560">
        <f>IFERROR(AGGREGATE(15,6,ROW('Input Transaksi'!$B$5:$B$5000)/('Input Transaksi'!$B$5:$B$5000="JCL PEMOGAN"),ROWS($E$5:E560)),"")</f>
        <v/>
      </c>
      <c r="F560" s="5" t="n"/>
    </row>
    <row r="561">
      <c r="A561" s="10">
        <f>IF($E561="","",INDEX('Input Transaksi'!$A:$A,$E561))</f>
        <v/>
      </c>
      <c r="B561" s="5">
        <f>IF($E561="","",INDEX('Input Transaksi'!$D:$D,$E561))</f>
        <v/>
      </c>
      <c r="C561">
        <f>IF($E561="","",INDEX('Input Transaksi'!$E:$E,$E561))</f>
        <v/>
      </c>
      <c r="D561" s="5">
        <f>IF($E561="","",INDEX('Input Transaksi'!$F:$F,$E561))</f>
        <v/>
      </c>
      <c r="E561">
        <f>IFERROR(AGGREGATE(15,6,ROW('Input Transaksi'!$B$5:$B$5000)/('Input Transaksi'!$B$5:$B$5000="JCL PEMOGAN"),ROWS($E$5:E561)),"")</f>
        <v/>
      </c>
      <c r="F561" s="5" t="n"/>
    </row>
    <row r="562">
      <c r="A562" s="10">
        <f>IF($E562="","",INDEX('Input Transaksi'!$A:$A,$E562))</f>
        <v/>
      </c>
      <c r="B562" s="5">
        <f>IF($E562="","",INDEX('Input Transaksi'!$D:$D,$E562))</f>
        <v/>
      </c>
      <c r="C562">
        <f>IF($E562="","",INDEX('Input Transaksi'!$E:$E,$E562))</f>
        <v/>
      </c>
      <c r="D562" s="5">
        <f>IF($E562="","",INDEX('Input Transaksi'!$F:$F,$E562))</f>
        <v/>
      </c>
      <c r="E562">
        <f>IFERROR(AGGREGATE(15,6,ROW('Input Transaksi'!$B$5:$B$5000)/('Input Transaksi'!$B$5:$B$5000="JCL PEMOGAN"),ROWS($E$5:E562)),"")</f>
        <v/>
      </c>
      <c r="F562" s="5" t="n"/>
    </row>
    <row r="563">
      <c r="A563" s="10">
        <f>IF($E563="","",INDEX('Input Transaksi'!$A:$A,$E563))</f>
        <v/>
      </c>
      <c r="B563" s="5">
        <f>IF($E563="","",INDEX('Input Transaksi'!$D:$D,$E563))</f>
        <v/>
      </c>
      <c r="C563">
        <f>IF($E563="","",INDEX('Input Transaksi'!$E:$E,$E563))</f>
        <v/>
      </c>
      <c r="D563" s="5">
        <f>IF($E563="","",INDEX('Input Transaksi'!$F:$F,$E563))</f>
        <v/>
      </c>
      <c r="E563">
        <f>IFERROR(AGGREGATE(15,6,ROW('Input Transaksi'!$B$5:$B$5000)/('Input Transaksi'!$B$5:$B$5000="JCL PEMOGAN"),ROWS($E$5:E563)),"")</f>
        <v/>
      </c>
      <c r="F563" s="5" t="n"/>
    </row>
    <row r="564">
      <c r="A564" s="10">
        <f>IF($E564="","",INDEX('Input Transaksi'!$A:$A,$E564))</f>
        <v/>
      </c>
      <c r="B564" s="5">
        <f>IF($E564="","",INDEX('Input Transaksi'!$D:$D,$E564))</f>
        <v/>
      </c>
      <c r="C564">
        <f>IF($E564="","",INDEX('Input Transaksi'!$E:$E,$E564))</f>
        <v/>
      </c>
      <c r="D564" s="5">
        <f>IF($E564="","",INDEX('Input Transaksi'!$F:$F,$E564))</f>
        <v/>
      </c>
      <c r="E564">
        <f>IFERROR(AGGREGATE(15,6,ROW('Input Transaksi'!$B$5:$B$5000)/('Input Transaksi'!$B$5:$B$5000="JCL PEMOGAN"),ROWS($E$5:E564)),"")</f>
        <v/>
      </c>
      <c r="F564" s="5" t="n"/>
    </row>
    <row r="565">
      <c r="A565" s="10">
        <f>IF($E565="","",INDEX('Input Transaksi'!$A:$A,$E565))</f>
        <v/>
      </c>
      <c r="B565" s="5">
        <f>IF($E565="","",INDEX('Input Transaksi'!$D:$D,$E565))</f>
        <v/>
      </c>
      <c r="C565">
        <f>IF($E565="","",INDEX('Input Transaksi'!$E:$E,$E565))</f>
        <v/>
      </c>
      <c r="D565" s="5">
        <f>IF($E565="","",INDEX('Input Transaksi'!$F:$F,$E565))</f>
        <v/>
      </c>
      <c r="E565">
        <f>IFERROR(AGGREGATE(15,6,ROW('Input Transaksi'!$B$5:$B$5000)/('Input Transaksi'!$B$5:$B$5000="JCL PEMOGAN"),ROWS($E$5:E565)),"")</f>
        <v/>
      </c>
      <c r="F565" s="5" t="n"/>
    </row>
    <row r="566">
      <c r="A566" s="10">
        <f>IF($E566="","",INDEX('Input Transaksi'!$A:$A,$E566))</f>
        <v/>
      </c>
      <c r="B566" s="5">
        <f>IF($E566="","",INDEX('Input Transaksi'!$D:$D,$E566))</f>
        <v/>
      </c>
      <c r="C566">
        <f>IF($E566="","",INDEX('Input Transaksi'!$E:$E,$E566))</f>
        <v/>
      </c>
      <c r="D566" s="5">
        <f>IF($E566="","",INDEX('Input Transaksi'!$F:$F,$E566))</f>
        <v/>
      </c>
      <c r="E566">
        <f>IFERROR(AGGREGATE(15,6,ROW('Input Transaksi'!$B$5:$B$5000)/('Input Transaksi'!$B$5:$B$5000="JCL PEMOGAN"),ROWS($E$5:E566)),"")</f>
        <v/>
      </c>
      <c r="F566" s="5" t="n"/>
    </row>
    <row r="567">
      <c r="A567" s="10">
        <f>IF($E567="","",INDEX('Input Transaksi'!$A:$A,$E567))</f>
        <v/>
      </c>
      <c r="B567" s="5">
        <f>IF($E567="","",INDEX('Input Transaksi'!$D:$D,$E567))</f>
        <v/>
      </c>
      <c r="C567">
        <f>IF($E567="","",INDEX('Input Transaksi'!$E:$E,$E567))</f>
        <v/>
      </c>
      <c r="D567" s="5">
        <f>IF($E567="","",INDEX('Input Transaksi'!$F:$F,$E567))</f>
        <v/>
      </c>
      <c r="E567">
        <f>IFERROR(AGGREGATE(15,6,ROW('Input Transaksi'!$B$5:$B$5000)/('Input Transaksi'!$B$5:$B$5000="JCL PEMOGAN"),ROWS($E$5:E567)),"")</f>
        <v/>
      </c>
      <c r="F567" s="5" t="n"/>
    </row>
    <row r="568">
      <c r="A568" s="10">
        <f>IF($E568="","",INDEX('Input Transaksi'!$A:$A,$E568))</f>
        <v/>
      </c>
      <c r="B568" s="5">
        <f>IF($E568="","",INDEX('Input Transaksi'!$D:$D,$E568))</f>
        <v/>
      </c>
      <c r="C568">
        <f>IF($E568="","",INDEX('Input Transaksi'!$E:$E,$E568))</f>
        <v/>
      </c>
      <c r="D568" s="5">
        <f>IF($E568="","",INDEX('Input Transaksi'!$F:$F,$E568))</f>
        <v/>
      </c>
      <c r="E568">
        <f>IFERROR(AGGREGATE(15,6,ROW('Input Transaksi'!$B$5:$B$5000)/('Input Transaksi'!$B$5:$B$5000="JCL PEMOGAN"),ROWS($E$5:E568)),"")</f>
        <v/>
      </c>
      <c r="F568" s="5" t="n"/>
    </row>
    <row r="569">
      <c r="A569" s="10">
        <f>IF($E569="","",INDEX('Input Transaksi'!$A:$A,$E569))</f>
        <v/>
      </c>
      <c r="B569" s="5">
        <f>IF($E569="","",INDEX('Input Transaksi'!$D:$D,$E569))</f>
        <v/>
      </c>
      <c r="C569">
        <f>IF($E569="","",INDEX('Input Transaksi'!$E:$E,$E569))</f>
        <v/>
      </c>
      <c r="D569" s="5">
        <f>IF($E569="","",INDEX('Input Transaksi'!$F:$F,$E569))</f>
        <v/>
      </c>
      <c r="E569">
        <f>IFERROR(AGGREGATE(15,6,ROW('Input Transaksi'!$B$5:$B$5000)/('Input Transaksi'!$B$5:$B$5000="JCL PEMOGAN"),ROWS($E$5:E569)),"")</f>
        <v/>
      </c>
      <c r="F569" s="5" t="n"/>
    </row>
    <row r="570">
      <c r="A570" s="10">
        <f>IF($E570="","",INDEX('Input Transaksi'!$A:$A,$E570))</f>
        <v/>
      </c>
      <c r="B570" s="5">
        <f>IF($E570="","",INDEX('Input Transaksi'!$D:$D,$E570))</f>
        <v/>
      </c>
      <c r="C570">
        <f>IF($E570="","",INDEX('Input Transaksi'!$E:$E,$E570))</f>
        <v/>
      </c>
      <c r="D570" s="5">
        <f>IF($E570="","",INDEX('Input Transaksi'!$F:$F,$E570))</f>
        <v/>
      </c>
      <c r="E570">
        <f>IFERROR(AGGREGATE(15,6,ROW('Input Transaksi'!$B$5:$B$5000)/('Input Transaksi'!$B$5:$B$5000="JCL PEMOGAN"),ROWS($E$5:E570)),"")</f>
        <v/>
      </c>
      <c r="F570" s="5" t="n"/>
    </row>
    <row r="571">
      <c r="A571" s="10">
        <f>IF($E571="","",INDEX('Input Transaksi'!$A:$A,$E571))</f>
        <v/>
      </c>
      <c r="B571" s="5">
        <f>IF($E571="","",INDEX('Input Transaksi'!$D:$D,$E571))</f>
        <v/>
      </c>
      <c r="C571">
        <f>IF($E571="","",INDEX('Input Transaksi'!$E:$E,$E571))</f>
        <v/>
      </c>
      <c r="D571" s="5">
        <f>IF($E571="","",INDEX('Input Transaksi'!$F:$F,$E571))</f>
        <v/>
      </c>
      <c r="E571">
        <f>IFERROR(AGGREGATE(15,6,ROW('Input Transaksi'!$B$5:$B$5000)/('Input Transaksi'!$B$5:$B$5000="JCL PEMOGAN"),ROWS($E$5:E571)),"")</f>
        <v/>
      </c>
      <c r="F571" s="5" t="n"/>
    </row>
    <row r="572">
      <c r="A572" s="10">
        <f>IF($E572="","",INDEX('Input Transaksi'!$A:$A,$E572))</f>
        <v/>
      </c>
      <c r="B572" s="5">
        <f>IF($E572="","",INDEX('Input Transaksi'!$D:$D,$E572))</f>
        <v/>
      </c>
      <c r="C572">
        <f>IF($E572="","",INDEX('Input Transaksi'!$E:$E,$E572))</f>
        <v/>
      </c>
      <c r="D572" s="5">
        <f>IF($E572="","",INDEX('Input Transaksi'!$F:$F,$E572))</f>
        <v/>
      </c>
      <c r="E572">
        <f>IFERROR(AGGREGATE(15,6,ROW('Input Transaksi'!$B$5:$B$5000)/('Input Transaksi'!$B$5:$B$5000="JCL PEMOGAN"),ROWS($E$5:E572)),"")</f>
        <v/>
      </c>
      <c r="F572" s="5" t="n"/>
    </row>
    <row r="573">
      <c r="A573" s="10">
        <f>IF($E573="","",INDEX('Input Transaksi'!$A:$A,$E573))</f>
        <v/>
      </c>
      <c r="B573" s="5">
        <f>IF($E573="","",INDEX('Input Transaksi'!$D:$D,$E573))</f>
        <v/>
      </c>
      <c r="C573">
        <f>IF($E573="","",INDEX('Input Transaksi'!$E:$E,$E573))</f>
        <v/>
      </c>
      <c r="D573" s="5">
        <f>IF($E573="","",INDEX('Input Transaksi'!$F:$F,$E573))</f>
        <v/>
      </c>
      <c r="E573">
        <f>IFERROR(AGGREGATE(15,6,ROW('Input Transaksi'!$B$5:$B$5000)/('Input Transaksi'!$B$5:$B$5000="JCL PEMOGAN"),ROWS($E$5:E573)),"")</f>
        <v/>
      </c>
      <c r="F573" s="5" t="n"/>
    </row>
    <row r="574">
      <c r="A574" s="10">
        <f>IF($E574="","",INDEX('Input Transaksi'!$A:$A,$E574))</f>
        <v/>
      </c>
      <c r="B574" s="5">
        <f>IF($E574="","",INDEX('Input Transaksi'!$D:$D,$E574))</f>
        <v/>
      </c>
      <c r="C574">
        <f>IF($E574="","",INDEX('Input Transaksi'!$E:$E,$E574))</f>
        <v/>
      </c>
      <c r="D574" s="5">
        <f>IF($E574="","",INDEX('Input Transaksi'!$F:$F,$E574))</f>
        <v/>
      </c>
      <c r="E574">
        <f>IFERROR(AGGREGATE(15,6,ROW('Input Transaksi'!$B$5:$B$5000)/('Input Transaksi'!$B$5:$B$5000="JCL PEMOGAN"),ROWS($E$5:E574)),"")</f>
        <v/>
      </c>
      <c r="F574" s="5" t="n"/>
    </row>
    <row r="575">
      <c r="A575" s="10">
        <f>IF($E575="","",INDEX('Input Transaksi'!$A:$A,$E575))</f>
        <v/>
      </c>
      <c r="B575" s="5">
        <f>IF($E575="","",INDEX('Input Transaksi'!$D:$D,$E575))</f>
        <v/>
      </c>
      <c r="C575">
        <f>IF($E575="","",INDEX('Input Transaksi'!$E:$E,$E575))</f>
        <v/>
      </c>
      <c r="D575" s="5">
        <f>IF($E575="","",INDEX('Input Transaksi'!$F:$F,$E575))</f>
        <v/>
      </c>
      <c r="E575">
        <f>IFERROR(AGGREGATE(15,6,ROW('Input Transaksi'!$B$5:$B$5000)/('Input Transaksi'!$B$5:$B$5000="JCL PEMOGAN"),ROWS($E$5:E575)),"")</f>
        <v/>
      </c>
      <c r="F575" s="5" t="n"/>
    </row>
    <row r="576">
      <c r="A576" s="10">
        <f>IF($E576="","",INDEX('Input Transaksi'!$A:$A,$E576))</f>
        <v/>
      </c>
      <c r="B576" s="5">
        <f>IF($E576="","",INDEX('Input Transaksi'!$D:$D,$E576))</f>
        <v/>
      </c>
      <c r="C576">
        <f>IF($E576="","",INDEX('Input Transaksi'!$E:$E,$E576))</f>
        <v/>
      </c>
      <c r="D576" s="5">
        <f>IF($E576="","",INDEX('Input Transaksi'!$F:$F,$E576))</f>
        <v/>
      </c>
      <c r="E576">
        <f>IFERROR(AGGREGATE(15,6,ROW('Input Transaksi'!$B$5:$B$5000)/('Input Transaksi'!$B$5:$B$5000="JCL PEMOGAN"),ROWS($E$5:E576)),"")</f>
        <v/>
      </c>
      <c r="F576" s="5" t="n"/>
    </row>
    <row r="577">
      <c r="A577" s="10">
        <f>IF($E577="","",INDEX('Input Transaksi'!$A:$A,$E577))</f>
        <v/>
      </c>
      <c r="B577" s="5">
        <f>IF($E577="","",INDEX('Input Transaksi'!$D:$D,$E577))</f>
        <v/>
      </c>
      <c r="C577">
        <f>IF($E577="","",INDEX('Input Transaksi'!$E:$E,$E577))</f>
        <v/>
      </c>
      <c r="D577" s="5">
        <f>IF($E577="","",INDEX('Input Transaksi'!$F:$F,$E577))</f>
        <v/>
      </c>
      <c r="E577">
        <f>IFERROR(AGGREGATE(15,6,ROW('Input Transaksi'!$B$5:$B$5000)/('Input Transaksi'!$B$5:$B$5000="JCL PEMOGAN"),ROWS($E$5:E577)),"")</f>
        <v/>
      </c>
      <c r="F577" s="5" t="n"/>
    </row>
    <row r="578">
      <c r="A578" s="10">
        <f>IF($E578="","",INDEX('Input Transaksi'!$A:$A,$E578))</f>
        <v/>
      </c>
      <c r="B578" s="5">
        <f>IF($E578="","",INDEX('Input Transaksi'!$D:$D,$E578))</f>
        <v/>
      </c>
      <c r="C578">
        <f>IF($E578="","",INDEX('Input Transaksi'!$E:$E,$E578))</f>
        <v/>
      </c>
      <c r="D578" s="5">
        <f>IF($E578="","",INDEX('Input Transaksi'!$F:$F,$E578))</f>
        <v/>
      </c>
      <c r="E578">
        <f>IFERROR(AGGREGATE(15,6,ROW('Input Transaksi'!$B$5:$B$5000)/('Input Transaksi'!$B$5:$B$5000="JCL PEMOGAN"),ROWS($E$5:E578)),"")</f>
        <v/>
      </c>
      <c r="F578" s="5" t="n"/>
    </row>
    <row r="579">
      <c r="A579" s="10">
        <f>IF($E579="","",INDEX('Input Transaksi'!$A:$A,$E579))</f>
        <v/>
      </c>
      <c r="B579" s="5">
        <f>IF($E579="","",INDEX('Input Transaksi'!$D:$D,$E579))</f>
        <v/>
      </c>
      <c r="C579">
        <f>IF($E579="","",INDEX('Input Transaksi'!$E:$E,$E579))</f>
        <v/>
      </c>
      <c r="D579" s="5">
        <f>IF($E579="","",INDEX('Input Transaksi'!$F:$F,$E579))</f>
        <v/>
      </c>
      <c r="E579">
        <f>IFERROR(AGGREGATE(15,6,ROW('Input Transaksi'!$B$5:$B$5000)/('Input Transaksi'!$B$5:$B$5000="JCL PEMOGAN"),ROWS($E$5:E579)),"")</f>
        <v/>
      </c>
      <c r="F579" s="5" t="n"/>
    </row>
    <row r="580">
      <c r="A580" s="10">
        <f>IF($E580="","",INDEX('Input Transaksi'!$A:$A,$E580))</f>
        <v/>
      </c>
      <c r="B580" s="5">
        <f>IF($E580="","",INDEX('Input Transaksi'!$D:$D,$E580))</f>
        <v/>
      </c>
      <c r="C580">
        <f>IF($E580="","",INDEX('Input Transaksi'!$E:$E,$E580))</f>
        <v/>
      </c>
      <c r="D580" s="5">
        <f>IF($E580="","",INDEX('Input Transaksi'!$F:$F,$E580))</f>
        <v/>
      </c>
      <c r="E580">
        <f>IFERROR(AGGREGATE(15,6,ROW('Input Transaksi'!$B$5:$B$5000)/('Input Transaksi'!$B$5:$B$5000="JCL PEMOGAN"),ROWS($E$5:E580)),"")</f>
        <v/>
      </c>
      <c r="F580" s="5" t="n"/>
    </row>
    <row r="581">
      <c r="A581" s="10">
        <f>IF($E581="","",INDEX('Input Transaksi'!$A:$A,$E581))</f>
        <v/>
      </c>
      <c r="B581" s="5">
        <f>IF($E581="","",INDEX('Input Transaksi'!$D:$D,$E581))</f>
        <v/>
      </c>
      <c r="C581">
        <f>IF($E581="","",INDEX('Input Transaksi'!$E:$E,$E581))</f>
        <v/>
      </c>
      <c r="D581" s="5">
        <f>IF($E581="","",INDEX('Input Transaksi'!$F:$F,$E581))</f>
        <v/>
      </c>
      <c r="E581">
        <f>IFERROR(AGGREGATE(15,6,ROW('Input Transaksi'!$B$5:$B$5000)/('Input Transaksi'!$B$5:$B$5000="JCL PEMOGAN"),ROWS($E$5:E581)),"")</f>
        <v/>
      </c>
      <c r="F581" s="5" t="n"/>
    </row>
    <row r="582">
      <c r="A582" s="10">
        <f>IF($E582="","",INDEX('Input Transaksi'!$A:$A,$E582))</f>
        <v/>
      </c>
      <c r="B582" s="5">
        <f>IF($E582="","",INDEX('Input Transaksi'!$D:$D,$E582))</f>
        <v/>
      </c>
      <c r="C582">
        <f>IF($E582="","",INDEX('Input Transaksi'!$E:$E,$E582))</f>
        <v/>
      </c>
      <c r="D582" s="5">
        <f>IF($E582="","",INDEX('Input Transaksi'!$F:$F,$E582))</f>
        <v/>
      </c>
      <c r="E582">
        <f>IFERROR(AGGREGATE(15,6,ROW('Input Transaksi'!$B$5:$B$5000)/('Input Transaksi'!$B$5:$B$5000="JCL PEMOGAN"),ROWS($E$5:E582)),"")</f>
        <v/>
      </c>
      <c r="F582" s="5" t="n"/>
    </row>
    <row r="583">
      <c r="A583" s="10">
        <f>IF($E583="","",INDEX('Input Transaksi'!$A:$A,$E583))</f>
        <v/>
      </c>
      <c r="B583" s="5">
        <f>IF($E583="","",INDEX('Input Transaksi'!$D:$D,$E583))</f>
        <v/>
      </c>
      <c r="C583">
        <f>IF($E583="","",INDEX('Input Transaksi'!$E:$E,$E583))</f>
        <v/>
      </c>
      <c r="D583" s="5">
        <f>IF($E583="","",INDEX('Input Transaksi'!$F:$F,$E583))</f>
        <v/>
      </c>
      <c r="E583">
        <f>IFERROR(AGGREGATE(15,6,ROW('Input Transaksi'!$B$5:$B$5000)/('Input Transaksi'!$B$5:$B$5000="JCL PEMOGAN"),ROWS($E$5:E583)),"")</f>
        <v/>
      </c>
      <c r="F583" s="5" t="n"/>
    </row>
    <row r="584">
      <c r="A584" s="10">
        <f>IF($E584="","",INDEX('Input Transaksi'!$A:$A,$E584))</f>
        <v/>
      </c>
      <c r="B584" s="5">
        <f>IF($E584="","",INDEX('Input Transaksi'!$D:$D,$E584))</f>
        <v/>
      </c>
      <c r="C584">
        <f>IF($E584="","",INDEX('Input Transaksi'!$E:$E,$E584))</f>
        <v/>
      </c>
      <c r="D584" s="5">
        <f>IF($E584="","",INDEX('Input Transaksi'!$F:$F,$E584))</f>
        <v/>
      </c>
      <c r="E584">
        <f>IFERROR(AGGREGATE(15,6,ROW('Input Transaksi'!$B$5:$B$5000)/('Input Transaksi'!$B$5:$B$5000="JCL PEMOGAN"),ROWS($E$5:E584)),"")</f>
        <v/>
      </c>
      <c r="F584" s="5" t="n"/>
    </row>
    <row r="585">
      <c r="A585" s="10">
        <f>IF($E585="","",INDEX('Input Transaksi'!$A:$A,$E585))</f>
        <v/>
      </c>
      <c r="B585" s="5">
        <f>IF($E585="","",INDEX('Input Transaksi'!$D:$D,$E585))</f>
        <v/>
      </c>
      <c r="C585">
        <f>IF($E585="","",INDEX('Input Transaksi'!$E:$E,$E585))</f>
        <v/>
      </c>
      <c r="D585" s="5">
        <f>IF($E585="","",INDEX('Input Transaksi'!$F:$F,$E585))</f>
        <v/>
      </c>
      <c r="E585">
        <f>IFERROR(AGGREGATE(15,6,ROW('Input Transaksi'!$B$5:$B$5000)/('Input Transaksi'!$B$5:$B$5000="JCL PEMOGAN"),ROWS($E$5:E585)),"")</f>
        <v/>
      </c>
      <c r="F585" s="5" t="n"/>
    </row>
    <row r="586">
      <c r="A586" s="10">
        <f>IF($E586="","",INDEX('Input Transaksi'!$A:$A,$E586))</f>
        <v/>
      </c>
      <c r="B586" s="5">
        <f>IF($E586="","",INDEX('Input Transaksi'!$D:$D,$E586))</f>
        <v/>
      </c>
      <c r="C586">
        <f>IF($E586="","",INDEX('Input Transaksi'!$E:$E,$E586))</f>
        <v/>
      </c>
      <c r="D586" s="5">
        <f>IF($E586="","",INDEX('Input Transaksi'!$F:$F,$E586))</f>
        <v/>
      </c>
      <c r="E586">
        <f>IFERROR(AGGREGATE(15,6,ROW('Input Transaksi'!$B$5:$B$5000)/('Input Transaksi'!$B$5:$B$5000="JCL PEMOGAN"),ROWS($E$5:E586)),"")</f>
        <v/>
      </c>
      <c r="F586" s="5" t="n"/>
    </row>
    <row r="587">
      <c r="A587" s="10">
        <f>IF($E587="","",INDEX('Input Transaksi'!$A:$A,$E587))</f>
        <v/>
      </c>
      <c r="B587" s="5">
        <f>IF($E587="","",INDEX('Input Transaksi'!$D:$D,$E587))</f>
        <v/>
      </c>
      <c r="C587">
        <f>IF($E587="","",INDEX('Input Transaksi'!$E:$E,$E587))</f>
        <v/>
      </c>
      <c r="D587" s="5">
        <f>IF($E587="","",INDEX('Input Transaksi'!$F:$F,$E587))</f>
        <v/>
      </c>
      <c r="E587">
        <f>IFERROR(AGGREGATE(15,6,ROW('Input Transaksi'!$B$5:$B$5000)/('Input Transaksi'!$B$5:$B$5000="JCL PEMOGAN"),ROWS($E$5:E587)),"")</f>
        <v/>
      </c>
      <c r="F587" s="5" t="n"/>
    </row>
    <row r="588">
      <c r="A588" s="10">
        <f>IF($E588="","",INDEX('Input Transaksi'!$A:$A,$E588))</f>
        <v/>
      </c>
      <c r="B588" s="5">
        <f>IF($E588="","",INDEX('Input Transaksi'!$D:$D,$E588))</f>
        <v/>
      </c>
      <c r="C588">
        <f>IF($E588="","",INDEX('Input Transaksi'!$E:$E,$E588))</f>
        <v/>
      </c>
      <c r="D588" s="5">
        <f>IF($E588="","",INDEX('Input Transaksi'!$F:$F,$E588))</f>
        <v/>
      </c>
      <c r="E588">
        <f>IFERROR(AGGREGATE(15,6,ROW('Input Transaksi'!$B$5:$B$5000)/('Input Transaksi'!$B$5:$B$5000="JCL PEMOGAN"),ROWS($E$5:E588)),"")</f>
        <v/>
      </c>
      <c r="F588" s="5" t="n"/>
    </row>
    <row r="589">
      <c r="A589" s="10">
        <f>IF($E589="","",INDEX('Input Transaksi'!$A:$A,$E589))</f>
        <v/>
      </c>
      <c r="B589" s="5">
        <f>IF($E589="","",INDEX('Input Transaksi'!$D:$D,$E589))</f>
        <v/>
      </c>
      <c r="C589">
        <f>IF($E589="","",INDEX('Input Transaksi'!$E:$E,$E589))</f>
        <v/>
      </c>
      <c r="D589" s="5">
        <f>IF($E589="","",INDEX('Input Transaksi'!$F:$F,$E589))</f>
        <v/>
      </c>
      <c r="E589">
        <f>IFERROR(AGGREGATE(15,6,ROW('Input Transaksi'!$B$5:$B$5000)/('Input Transaksi'!$B$5:$B$5000="JCL PEMOGAN"),ROWS($E$5:E589)),"")</f>
        <v/>
      </c>
      <c r="F589" s="5" t="n"/>
    </row>
    <row r="590">
      <c r="A590" s="10">
        <f>IF($E590="","",INDEX('Input Transaksi'!$A:$A,$E590))</f>
        <v/>
      </c>
      <c r="B590" s="5">
        <f>IF($E590="","",INDEX('Input Transaksi'!$D:$D,$E590))</f>
        <v/>
      </c>
      <c r="C590">
        <f>IF($E590="","",INDEX('Input Transaksi'!$E:$E,$E590))</f>
        <v/>
      </c>
      <c r="D590" s="5">
        <f>IF($E590="","",INDEX('Input Transaksi'!$F:$F,$E590))</f>
        <v/>
      </c>
      <c r="E590">
        <f>IFERROR(AGGREGATE(15,6,ROW('Input Transaksi'!$B$5:$B$5000)/('Input Transaksi'!$B$5:$B$5000="JCL PEMOGAN"),ROWS($E$5:E590)),"")</f>
        <v/>
      </c>
      <c r="F590" s="5" t="n"/>
    </row>
    <row r="591">
      <c r="A591" s="10">
        <f>IF($E591="","",INDEX('Input Transaksi'!$A:$A,$E591))</f>
        <v/>
      </c>
      <c r="B591" s="5">
        <f>IF($E591="","",INDEX('Input Transaksi'!$D:$D,$E591))</f>
        <v/>
      </c>
      <c r="C591">
        <f>IF($E591="","",INDEX('Input Transaksi'!$E:$E,$E591))</f>
        <v/>
      </c>
      <c r="D591" s="5">
        <f>IF($E591="","",INDEX('Input Transaksi'!$F:$F,$E591))</f>
        <v/>
      </c>
      <c r="E591">
        <f>IFERROR(AGGREGATE(15,6,ROW('Input Transaksi'!$B$5:$B$5000)/('Input Transaksi'!$B$5:$B$5000="JCL PEMOGAN"),ROWS($E$5:E591)),"")</f>
        <v/>
      </c>
      <c r="F591" s="5" t="n"/>
    </row>
    <row r="592">
      <c r="A592" s="10">
        <f>IF($E592="","",INDEX('Input Transaksi'!$A:$A,$E592))</f>
        <v/>
      </c>
      <c r="B592" s="5">
        <f>IF($E592="","",INDEX('Input Transaksi'!$D:$D,$E592))</f>
        <v/>
      </c>
      <c r="C592">
        <f>IF($E592="","",INDEX('Input Transaksi'!$E:$E,$E592))</f>
        <v/>
      </c>
      <c r="D592" s="5">
        <f>IF($E592="","",INDEX('Input Transaksi'!$F:$F,$E592))</f>
        <v/>
      </c>
      <c r="E592">
        <f>IFERROR(AGGREGATE(15,6,ROW('Input Transaksi'!$B$5:$B$5000)/('Input Transaksi'!$B$5:$B$5000="JCL PEMOGAN"),ROWS($E$5:E592)),"")</f>
        <v/>
      </c>
      <c r="F592" s="5" t="n"/>
    </row>
    <row r="593">
      <c r="A593" s="10">
        <f>IF($E593="","",INDEX('Input Transaksi'!$A:$A,$E593))</f>
        <v/>
      </c>
      <c r="B593" s="5">
        <f>IF($E593="","",INDEX('Input Transaksi'!$D:$D,$E593))</f>
        <v/>
      </c>
      <c r="C593">
        <f>IF($E593="","",INDEX('Input Transaksi'!$E:$E,$E593))</f>
        <v/>
      </c>
      <c r="D593" s="5">
        <f>IF($E593="","",INDEX('Input Transaksi'!$F:$F,$E593))</f>
        <v/>
      </c>
      <c r="E593">
        <f>IFERROR(AGGREGATE(15,6,ROW('Input Transaksi'!$B$5:$B$5000)/('Input Transaksi'!$B$5:$B$5000="JCL PEMOGAN"),ROWS($E$5:E593)),"")</f>
        <v/>
      </c>
      <c r="F593" s="5" t="n"/>
    </row>
    <row r="594">
      <c r="A594" s="10">
        <f>IF($E594="","",INDEX('Input Transaksi'!$A:$A,$E594))</f>
        <v/>
      </c>
      <c r="B594" s="5">
        <f>IF($E594="","",INDEX('Input Transaksi'!$D:$D,$E594))</f>
        <v/>
      </c>
      <c r="C594">
        <f>IF($E594="","",INDEX('Input Transaksi'!$E:$E,$E594))</f>
        <v/>
      </c>
      <c r="D594" s="5">
        <f>IF($E594="","",INDEX('Input Transaksi'!$F:$F,$E594))</f>
        <v/>
      </c>
      <c r="E594">
        <f>IFERROR(AGGREGATE(15,6,ROW('Input Transaksi'!$B$5:$B$5000)/('Input Transaksi'!$B$5:$B$5000="JCL PEMOGAN"),ROWS($E$5:E594)),"")</f>
        <v/>
      </c>
      <c r="F594" s="5" t="n"/>
    </row>
    <row r="595">
      <c r="A595" s="10">
        <f>IF($E595="","",INDEX('Input Transaksi'!$A:$A,$E595))</f>
        <v/>
      </c>
      <c r="B595" s="5">
        <f>IF($E595="","",INDEX('Input Transaksi'!$D:$D,$E595))</f>
        <v/>
      </c>
      <c r="C595">
        <f>IF($E595="","",INDEX('Input Transaksi'!$E:$E,$E595))</f>
        <v/>
      </c>
      <c r="D595" s="5">
        <f>IF($E595="","",INDEX('Input Transaksi'!$F:$F,$E595))</f>
        <v/>
      </c>
      <c r="E595">
        <f>IFERROR(AGGREGATE(15,6,ROW('Input Transaksi'!$B$5:$B$5000)/('Input Transaksi'!$B$5:$B$5000="JCL PEMOGAN"),ROWS($E$5:E595)),"")</f>
        <v/>
      </c>
      <c r="F595" s="5" t="n"/>
    </row>
    <row r="596">
      <c r="A596" s="10">
        <f>IF($E596="","",INDEX('Input Transaksi'!$A:$A,$E596))</f>
        <v/>
      </c>
      <c r="B596" s="5">
        <f>IF($E596="","",INDEX('Input Transaksi'!$D:$D,$E596))</f>
        <v/>
      </c>
      <c r="C596">
        <f>IF($E596="","",INDEX('Input Transaksi'!$E:$E,$E596))</f>
        <v/>
      </c>
      <c r="D596" s="5">
        <f>IF($E596="","",INDEX('Input Transaksi'!$F:$F,$E596))</f>
        <v/>
      </c>
      <c r="E596">
        <f>IFERROR(AGGREGATE(15,6,ROW('Input Transaksi'!$B$5:$B$5000)/('Input Transaksi'!$B$5:$B$5000="JCL PEMOGAN"),ROWS($E$5:E596)),"")</f>
        <v/>
      </c>
      <c r="F596" s="5" t="n"/>
    </row>
    <row r="597">
      <c r="A597" s="10">
        <f>IF($E597="","",INDEX('Input Transaksi'!$A:$A,$E597))</f>
        <v/>
      </c>
      <c r="B597" s="5">
        <f>IF($E597="","",INDEX('Input Transaksi'!$D:$D,$E597))</f>
        <v/>
      </c>
      <c r="C597">
        <f>IF($E597="","",INDEX('Input Transaksi'!$E:$E,$E597))</f>
        <v/>
      </c>
      <c r="D597" s="5">
        <f>IF($E597="","",INDEX('Input Transaksi'!$F:$F,$E597))</f>
        <v/>
      </c>
      <c r="E597">
        <f>IFERROR(AGGREGATE(15,6,ROW('Input Transaksi'!$B$5:$B$5000)/('Input Transaksi'!$B$5:$B$5000="JCL PEMOGAN"),ROWS($E$5:E597)),"")</f>
        <v/>
      </c>
      <c r="F597" s="5" t="n"/>
    </row>
    <row r="598">
      <c r="A598" s="10">
        <f>IF($E598="","",INDEX('Input Transaksi'!$A:$A,$E598))</f>
        <v/>
      </c>
      <c r="B598" s="5">
        <f>IF($E598="","",INDEX('Input Transaksi'!$D:$D,$E598))</f>
        <v/>
      </c>
      <c r="C598">
        <f>IF($E598="","",INDEX('Input Transaksi'!$E:$E,$E598))</f>
        <v/>
      </c>
      <c r="D598" s="5">
        <f>IF($E598="","",INDEX('Input Transaksi'!$F:$F,$E598))</f>
        <v/>
      </c>
      <c r="E598">
        <f>IFERROR(AGGREGATE(15,6,ROW('Input Transaksi'!$B$5:$B$5000)/('Input Transaksi'!$B$5:$B$5000="JCL PEMOGAN"),ROWS($E$5:E598)),"")</f>
        <v/>
      </c>
      <c r="F598" s="5" t="n"/>
    </row>
    <row r="599">
      <c r="A599" s="10">
        <f>IF($E599="","",INDEX('Input Transaksi'!$A:$A,$E599))</f>
        <v/>
      </c>
      <c r="B599" s="5">
        <f>IF($E599="","",INDEX('Input Transaksi'!$D:$D,$E599))</f>
        <v/>
      </c>
      <c r="C599">
        <f>IF($E599="","",INDEX('Input Transaksi'!$E:$E,$E599))</f>
        <v/>
      </c>
      <c r="D599" s="5">
        <f>IF($E599="","",INDEX('Input Transaksi'!$F:$F,$E599))</f>
        <v/>
      </c>
      <c r="E599">
        <f>IFERROR(AGGREGATE(15,6,ROW('Input Transaksi'!$B$5:$B$5000)/('Input Transaksi'!$B$5:$B$5000="JCL PEMOGAN"),ROWS($E$5:E599)),"")</f>
        <v/>
      </c>
      <c r="F599" s="5" t="n"/>
    </row>
    <row r="600">
      <c r="A600" s="10">
        <f>IF($E600="","",INDEX('Input Transaksi'!$A:$A,$E600))</f>
        <v/>
      </c>
      <c r="B600" s="5">
        <f>IF($E600="","",INDEX('Input Transaksi'!$D:$D,$E600))</f>
        <v/>
      </c>
      <c r="C600">
        <f>IF($E600="","",INDEX('Input Transaksi'!$E:$E,$E600))</f>
        <v/>
      </c>
      <c r="D600" s="5">
        <f>IF($E600="","",INDEX('Input Transaksi'!$F:$F,$E600))</f>
        <v/>
      </c>
      <c r="E600">
        <f>IFERROR(AGGREGATE(15,6,ROW('Input Transaksi'!$B$5:$B$5000)/('Input Transaksi'!$B$5:$B$5000="JCL PEMOGAN"),ROWS($E$5:E600)),"")</f>
        <v/>
      </c>
      <c r="F600" s="5" t="n"/>
    </row>
    <row r="601">
      <c r="A601" s="10">
        <f>IF($E601="","",INDEX('Input Transaksi'!$A:$A,$E601))</f>
        <v/>
      </c>
      <c r="B601" s="5">
        <f>IF($E601="","",INDEX('Input Transaksi'!$D:$D,$E601))</f>
        <v/>
      </c>
      <c r="C601">
        <f>IF($E601="","",INDEX('Input Transaksi'!$E:$E,$E601))</f>
        <v/>
      </c>
      <c r="D601" s="5">
        <f>IF($E601="","",INDEX('Input Transaksi'!$F:$F,$E601))</f>
        <v/>
      </c>
      <c r="E601">
        <f>IFERROR(AGGREGATE(15,6,ROW('Input Transaksi'!$B$5:$B$5000)/('Input Transaksi'!$B$5:$B$5000="JCL PEMOGAN"),ROWS($E$5:E601)),"")</f>
        <v/>
      </c>
      <c r="F601" s="5" t="n"/>
    </row>
    <row r="602">
      <c r="A602" s="10">
        <f>IF($E602="","",INDEX('Input Transaksi'!$A:$A,$E602))</f>
        <v/>
      </c>
      <c r="B602" s="5">
        <f>IF($E602="","",INDEX('Input Transaksi'!$D:$D,$E602))</f>
        <v/>
      </c>
      <c r="C602">
        <f>IF($E602="","",INDEX('Input Transaksi'!$E:$E,$E602))</f>
        <v/>
      </c>
      <c r="D602" s="5">
        <f>IF($E602="","",INDEX('Input Transaksi'!$F:$F,$E602))</f>
        <v/>
      </c>
      <c r="E602">
        <f>IFERROR(AGGREGATE(15,6,ROW('Input Transaksi'!$B$5:$B$5000)/('Input Transaksi'!$B$5:$B$5000="JCL PEMOGAN"),ROWS($E$5:E602)),"")</f>
        <v/>
      </c>
      <c r="F602" s="5" t="n"/>
    </row>
    <row r="603">
      <c r="A603" s="10">
        <f>IF($E603="","",INDEX('Input Transaksi'!$A:$A,$E603))</f>
        <v/>
      </c>
      <c r="B603" s="5">
        <f>IF($E603="","",INDEX('Input Transaksi'!$D:$D,$E603))</f>
        <v/>
      </c>
      <c r="C603">
        <f>IF($E603="","",INDEX('Input Transaksi'!$E:$E,$E603))</f>
        <v/>
      </c>
      <c r="D603" s="5">
        <f>IF($E603="","",INDEX('Input Transaksi'!$F:$F,$E603))</f>
        <v/>
      </c>
      <c r="E603">
        <f>IFERROR(AGGREGATE(15,6,ROW('Input Transaksi'!$B$5:$B$5000)/('Input Transaksi'!$B$5:$B$5000="JCL PEMOGAN"),ROWS($E$5:E603)),"")</f>
        <v/>
      </c>
      <c r="F603" s="5" t="n"/>
    </row>
    <row r="604">
      <c r="A604" s="10">
        <f>IF($E604="","",INDEX('Input Transaksi'!$A:$A,$E604))</f>
        <v/>
      </c>
      <c r="B604" s="5">
        <f>IF($E604="","",INDEX('Input Transaksi'!$D:$D,$E604))</f>
        <v/>
      </c>
      <c r="C604">
        <f>IF($E604="","",INDEX('Input Transaksi'!$E:$E,$E604))</f>
        <v/>
      </c>
      <c r="D604" s="5">
        <f>IF($E604="","",INDEX('Input Transaksi'!$F:$F,$E604))</f>
        <v/>
      </c>
      <c r="E604">
        <f>IFERROR(AGGREGATE(15,6,ROW('Input Transaksi'!$B$5:$B$5000)/('Input Transaksi'!$B$5:$B$5000="JCL PEMOGAN"),ROWS($E$5:E604)),"")</f>
        <v/>
      </c>
      <c r="F604" s="5" t="n"/>
    </row>
    <row r="605">
      <c r="A605" s="10">
        <f>IF($E605="","",INDEX('Input Transaksi'!$A:$A,$E605))</f>
        <v/>
      </c>
      <c r="B605" s="5">
        <f>IF($E605="","",INDEX('Input Transaksi'!$D:$D,$E605))</f>
        <v/>
      </c>
      <c r="C605">
        <f>IF($E605="","",INDEX('Input Transaksi'!$E:$E,$E605))</f>
        <v/>
      </c>
      <c r="D605" s="5">
        <f>IF($E605="","",INDEX('Input Transaksi'!$F:$F,$E605))</f>
        <v/>
      </c>
      <c r="E605">
        <f>IFERROR(AGGREGATE(15,6,ROW('Input Transaksi'!$B$5:$B$5000)/('Input Transaksi'!$B$5:$B$5000="JCL PEMOGAN"),ROWS($E$5:E605)),"")</f>
        <v/>
      </c>
      <c r="F605" s="5" t="n"/>
    </row>
    <row r="606">
      <c r="A606" s="10">
        <f>IF($E606="","",INDEX('Input Transaksi'!$A:$A,$E606))</f>
        <v/>
      </c>
      <c r="B606" s="5">
        <f>IF($E606="","",INDEX('Input Transaksi'!$D:$D,$E606))</f>
        <v/>
      </c>
      <c r="C606">
        <f>IF($E606="","",INDEX('Input Transaksi'!$E:$E,$E606))</f>
        <v/>
      </c>
      <c r="D606" s="5">
        <f>IF($E606="","",INDEX('Input Transaksi'!$F:$F,$E606))</f>
        <v/>
      </c>
      <c r="E606">
        <f>IFERROR(AGGREGATE(15,6,ROW('Input Transaksi'!$B$5:$B$5000)/('Input Transaksi'!$B$5:$B$5000="JCL PEMOGAN"),ROWS($E$5:E606)),"")</f>
        <v/>
      </c>
      <c r="F606" s="5" t="n"/>
    </row>
    <row r="607">
      <c r="A607" s="10">
        <f>IF($E607="","",INDEX('Input Transaksi'!$A:$A,$E607))</f>
        <v/>
      </c>
      <c r="B607" s="5">
        <f>IF($E607="","",INDEX('Input Transaksi'!$D:$D,$E607))</f>
        <v/>
      </c>
      <c r="C607">
        <f>IF($E607="","",INDEX('Input Transaksi'!$E:$E,$E607))</f>
        <v/>
      </c>
      <c r="D607" s="5">
        <f>IF($E607="","",INDEX('Input Transaksi'!$F:$F,$E607))</f>
        <v/>
      </c>
      <c r="E607">
        <f>IFERROR(AGGREGATE(15,6,ROW('Input Transaksi'!$B$5:$B$5000)/('Input Transaksi'!$B$5:$B$5000="JCL PEMOGAN"),ROWS($E$5:E607)),"")</f>
        <v/>
      </c>
      <c r="F607" s="5" t="n"/>
    </row>
    <row r="608">
      <c r="A608" s="10">
        <f>IF($E608="","",INDEX('Input Transaksi'!$A:$A,$E608))</f>
        <v/>
      </c>
      <c r="B608" s="5">
        <f>IF($E608="","",INDEX('Input Transaksi'!$D:$D,$E608))</f>
        <v/>
      </c>
      <c r="C608">
        <f>IF($E608="","",INDEX('Input Transaksi'!$E:$E,$E608))</f>
        <v/>
      </c>
      <c r="D608" s="5">
        <f>IF($E608="","",INDEX('Input Transaksi'!$F:$F,$E608))</f>
        <v/>
      </c>
      <c r="E608">
        <f>IFERROR(AGGREGATE(15,6,ROW('Input Transaksi'!$B$5:$B$5000)/('Input Transaksi'!$B$5:$B$5000="JCL PEMOGAN"),ROWS($E$5:E608)),"")</f>
        <v/>
      </c>
      <c r="F608" s="5" t="n"/>
    </row>
    <row r="609">
      <c r="A609" s="10">
        <f>IF($E609="","",INDEX('Input Transaksi'!$A:$A,$E609))</f>
        <v/>
      </c>
      <c r="B609" s="5">
        <f>IF($E609="","",INDEX('Input Transaksi'!$D:$D,$E609))</f>
        <v/>
      </c>
      <c r="C609">
        <f>IF($E609="","",INDEX('Input Transaksi'!$E:$E,$E609))</f>
        <v/>
      </c>
      <c r="D609" s="5">
        <f>IF($E609="","",INDEX('Input Transaksi'!$F:$F,$E609))</f>
        <v/>
      </c>
      <c r="E609">
        <f>IFERROR(AGGREGATE(15,6,ROW('Input Transaksi'!$B$5:$B$5000)/('Input Transaksi'!$B$5:$B$5000="JCL PEMOGAN"),ROWS($E$5:E609)),"")</f>
        <v/>
      </c>
      <c r="F609" s="5" t="n"/>
    </row>
    <row r="610">
      <c r="A610" s="10">
        <f>IF($E610="","",INDEX('Input Transaksi'!$A:$A,$E610))</f>
        <v/>
      </c>
      <c r="B610" s="5">
        <f>IF($E610="","",INDEX('Input Transaksi'!$D:$D,$E610))</f>
        <v/>
      </c>
      <c r="C610">
        <f>IF($E610="","",INDEX('Input Transaksi'!$E:$E,$E610))</f>
        <v/>
      </c>
      <c r="D610" s="5">
        <f>IF($E610="","",INDEX('Input Transaksi'!$F:$F,$E610))</f>
        <v/>
      </c>
      <c r="E610">
        <f>IFERROR(AGGREGATE(15,6,ROW('Input Transaksi'!$B$5:$B$5000)/('Input Transaksi'!$B$5:$B$5000="JCL PEMOGAN"),ROWS($E$5:E610)),"")</f>
        <v/>
      </c>
      <c r="F610" s="5" t="n"/>
    </row>
    <row r="611">
      <c r="A611" s="10">
        <f>IF($E611="","",INDEX('Input Transaksi'!$A:$A,$E611))</f>
        <v/>
      </c>
      <c r="B611" s="5">
        <f>IF($E611="","",INDEX('Input Transaksi'!$D:$D,$E611))</f>
        <v/>
      </c>
      <c r="C611">
        <f>IF($E611="","",INDEX('Input Transaksi'!$E:$E,$E611))</f>
        <v/>
      </c>
      <c r="D611" s="5">
        <f>IF($E611="","",INDEX('Input Transaksi'!$F:$F,$E611))</f>
        <v/>
      </c>
      <c r="E611">
        <f>IFERROR(AGGREGATE(15,6,ROW('Input Transaksi'!$B$5:$B$5000)/('Input Transaksi'!$B$5:$B$5000="JCL PEMOGAN"),ROWS($E$5:E611)),"")</f>
        <v/>
      </c>
      <c r="F611" s="5" t="n"/>
    </row>
    <row r="612">
      <c r="A612" s="10">
        <f>IF($E612="","",INDEX('Input Transaksi'!$A:$A,$E612))</f>
        <v/>
      </c>
      <c r="B612" s="5">
        <f>IF($E612="","",INDEX('Input Transaksi'!$D:$D,$E612))</f>
        <v/>
      </c>
      <c r="C612">
        <f>IF($E612="","",INDEX('Input Transaksi'!$E:$E,$E612))</f>
        <v/>
      </c>
      <c r="D612" s="5">
        <f>IF($E612="","",INDEX('Input Transaksi'!$F:$F,$E612))</f>
        <v/>
      </c>
      <c r="E612">
        <f>IFERROR(AGGREGATE(15,6,ROW('Input Transaksi'!$B$5:$B$5000)/('Input Transaksi'!$B$5:$B$5000="JCL PEMOGAN"),ROWS($E$5:E612)),"")</f>
        <v/>
      </c>
      <c r="F612" s="5" t="n"/>
    </row>
    <row r="613">
      <c r="A613" s="10">
        <f>IF($E613="","",INDEX('Input Transaksi'!$A:$A,$E613))</f>
        <v/>
      </c>
      <c r="B613" s="5">
        <f>IF($E613="","",INDEX('Input Transaksi'!$D:$D,$E613))</f>
        <v/>
      </c>
      <c r="C613">
        <f>IF($E613="","",INDEX('Input Transaksi'!$E:$E,$E613))</f>
        <v/>
      </c>
      <c r="D613" s="5">
        <f>IF($E613="","",INDEX('Input Transaksi'!$F:$F,$E613))</f>
        <v/>
      </c>
      <c r="E613">
        <f>IFERROR(AGGREGATE(15,6,ROW('Input Transaksi'!$B$5:$B$5000)/('Input Transaksi'!$B$5:$B$5000="JCL PEMOGAN"),ROWS($E$5:E613)),"")</f>
        <v/>
      </c>
      <c r="F613" s="5" t="n"/>
    </row>
    <row r="614">
      <c r="A614" s="10">
        <f>IF($E614="","",INDEX('Input Transaksi'!$A:$A,$E614))</f>
        <v/>
      </c>
      <c r="B614" s="5">
        <f>IF($E614="","",INDEX('Input Transaksi'!$D:$D,$E614))</f>
        <v/>
      </c>
      <c r="C614">
        <f>IF($E614="","",INDEX('Input Transaksi'!$E:$E,$E614))</f>
        <v/>
      </c>
      <c r="D614" s="5">
        <f>IF($E614="","",INDEX('Input Transaksi'!$F:$F,$E614))</f>
        <v/>
      </c>
      <c r="E614">
        <f>IFERROR(AGGREGATE(15,6,ROW('Input Transaksi'!$B$5:$B$5000)/('Input Transaksi'!$B$5:$B$5000="JCL PEMOGAN"),ROWS($E$5:E614)),"")</f>
        <v/>
      </c>
      <c r="F614" s="5" t="n"/>
    </row>
    <row r="615">
      <c r="A615" s="10">
        <f>IF($E615="","",INDEX('Input Transaksi'!$A:$A,$E615))</f>
        <v/>
      </c>
      <c r="B615" s="5">
        <f>IF($E615="","",INDEX('Input Transaksi'!$D:$D,$E615))</f>
        <v/>
      </c>
      <c r="C615">
        <f>IF($E615="","",INDEX('Input Transaksi'!$E:$E,$E615))</f>
        <v/>
      </c>
      <c r="D615" s="5">
        <f>IF($E615="","",INDEX('Input Transaksi'!$F:$F,$E615))</f>
        <v/>
      </c>
      <c r="E615">
        <f>IFERROR(AGGREGATE(15,6,ROW('Input Transaksi'!$B$5:$B$5000)/('Input Transaksi'!$B$5:$B$5000="JCL PEMOGAN"),ROWS($E$5:E615)),"")</f>
        <v/>
      </c>
      <c r="F615" s="5" t="n"/>
    </row>
    <row r="616">
      <c r="A616" s="10">
        <f>IF($E616="","",INDEX('Input Transaksi'!$A:$A,$E616))</f>
        <v/>
      </c>
      <c r="B616" s="5">
        <f>IF($E616="","",INDEX('Input Transaksi'!$D:$D,$E616))</f>
        <v/>
      </c>
      <c r="C616">
        <f>IF($E616="","",INDEX('Input Transaksi'!$E:$E,$E616))</f>
        <v/>
      </c>
      <c r="D616" s="5">
        <f>IF($E616="","",INDEX('Input Transaksi'!$F:$F,$E616))</f>
        <v/>
      </c>
      <c r="E616">
        <f>IFERROR(AGGREGATE(15,6,ROW('Input Transaksi'!$B$5:$B$5000)/('Input Transaksi'!$B$5:$B$5000="JCL PEMOGAN"),ROWS($E$5:E616)),"")</f>
        <v/>
      </c>
      <c r="F616" s="5" t="n"/>
    </row>
    <row r="617">
      <c r="A617" s="10">
        <f>IF($E617="","",INDEX('Input Transaksi'!$A:$A,$E617))</f>
        <v/>
      </c>
      <c r="B617" s="5">
        <f>IF($E617="","",INDEX('Input Transaksi'!$D:$D,$E617))</f>
        <v/>
      </c>
      <c r="C617">
        <f>IF($E617="","",INDEX('Input Transaksi'!$E:$E,$E617))</f>
        <v/>
      </c>
      <c r="D617" s="5">
        <f>IF($E617="","",INDEX('Input Transaksi'!$F:$F,$E617))</f>
        <v/>
      </c>
      <c r="E617">
        <f>IFERROR(AGGREGATE(15,6,ROW('Input Transaksi'!$B$5:$B$5000)/('Input Transaksi'!$B$5:$B$5000="JCL PEMOGAN"),ROWS($E$5:E617)),"")</f>
        <v/>
      </c>
      <c r="F617" s="5" t="n"/>
    </row>
    <row r="618">
      <c r="A618" s="10">
        <f>IF($E618="","",INDEX('Input Transaksi'!$A:$A,$E618))</f>
        <v/>
      </c>
      <c r="B618" s="5">
        <f>IF($E618="","",INDEX('Input Transaksi'!$D:$D,$E618))</f>
        <v/>
      </c>
      <c r="C618">
        <f>IF($E618="","",INDEX('Input Transaksi'!$E:$E,$E618))</f>
        <v/>
      </c>
      <c r="D618" s="5">
        <f>IF($E618="","",INDEX('Input Transaksi'!$F:$F,$E618))</f>
        <v/>
      </c>
      <c r="E618">
        <f>IFERROR(AGGREGATE(15,6,ROW('Input Transaksi'!$B$5:$B$5000)/('Input Transaksi'!$B$5:$B$5000="JCL PEMOGAN"),ROWS($E$5:E618)),"")</f>
        <v/>
      </c>
      <c r="F618" s="5" t="n"/>
    </row>
    <row r="619">
      <c r="A619" s="10">
        <f>IF($E619="","",INDEX('Input Transaksi'!$A:$A,$E619))</f>
        <v/>
      </c>
      <c r="B619" s="5">
        <f>IF($E619="","",INDEX('Input Transaksi'!$D:$D,$E619))</f>
        <v/>
      </c>
      <c r="C619">
        <f>IF($E619="","",INDEX('Input Transaksi'!$E:$E,$E619))</f>
        <v/>
      </c>
      <c r="D619" s="5">
        <f>IF($E619="","",INDEX('Input Transaksi'!$F:$F,$E619))</f>
        <v/>
      </c>
      <c r="E619">
        <f>IFERROR(AGGREGATE(15,6,ROW('Input Transaksi'!$B$5:$B$5000)/('Input Transaksi'!$B$5:$B$5000="JCL PEMOGAN"),ROWS($E$5:E619)),"")</f>
        <v/>
      </c>
      <c r="F619" s="5" t="n"/>
    </row>
    <row r="620">
      <c r="A620" s="10">
        <f>IF($E620="","",INDEX('Input Transaksi'!$A:$A,$E620))</f>
        <v/>
      </c>
      <c r="B620" s="5">
        <f>IF($E620="","",INDEX('Input Transaksi'!$D:$D,$E620))</f>
        <v/>
      </c>
      <c r="C620">
        <f>IF($E620="","",INDEX('Input Transaksi'!$E:$E,$E620))</f>
        <v/>
      </c>
      <c r="D620" s="5">
        <f>IF($E620="","",INDEX('Input Transaksi'!$F:$F,$E620))</f>
        <v/>
      </c>
      <c r="E620">
        <f>IFERROR(AGGREGATE(15,6,ROW('Input Transaksi'!$B$5:$B$5000)/('Input Transaksi'!$B$5:$B$5000="JCL PEMOGAN"),ROWS($E$5:E620)),"")</f>
        <v/>
      </c>
      <c r="F620" s="5" t="n"/>
    </row>
    <row r="621">
      <c r="A621" s="10">
        <f>IF($E621="","",INDEX('Input Transaksi'!$A:$A,$E621))</f>
        <v/>
      </c>
      <c r="B621" s="5">
        <f>IF($E621="","",INDEX('Input Transaksi'!$D:$D,$E621))</f>
        <v/>
      </c>
      <c r="C621">
        <f>IF($E621="","",INDEX('Input Transaksi'!$E:$E,$E621))</f>
        <v/>
      </c>
      <c r="D621" s="5">
        <f>IF($E621="","",INDEX('Input Transaksi'!$F:$F,$E621))</f>
        <v/>
      </c>
      <c r="E621">
        <f>IFERROR(AGGREGATE(15,6,ROW('Input Transaksi'!$B$5:$B$5000)/('Input Transaksi'!$B$5:$B$5000="JCL PEMOGAN"),ROWS($E$5:E621)),"")</f>
        <v/>
      </c>
      <c r="F621" s="5" t="n"/>
    </row>
    <row r="622">
      <c r="A622" s="10">
        <f>IF($E622="","",INDEX('Input Transaksi'!$A:$A,$E622))</f>
        <v/>
      </c>
      <c r="B622" s="5">
        <f>IF($E622="","",INDEX('Input Transaksi'!$D:$D,$E622))</f>
        <v/>
      </c>
      <c r="C622">
        <f>IF($E622="","",INDEX('Input Transaksi'!$E:$E,$E622))</f>
        <v/>
      </c>
      <c r="D622" s="5">
        <f>IF($E622="","",INDEX('Input Transaksi'!$F:$F,$E622))</f>
        <v/>
      </c>
      <c r="E622">
        <f>IFERROR(AGGREGATE(15,6,ROW('Input Transaksi'!$B$5:$B$5000)/('Input Transaksi'!$B$5:$B$5000="JCL PEMOGAN"),ROWS($E$5:E622)),"")</f>
        <v/>
      </c>
      <c r="F622" s="5" t="n"/>
    </row>
    <row r="623">
      <c r="A623" s="10">
        <f>IF($E623="","",INDEX('Input Transaksi'!$A:$A,$E623))</f>
        <v/>
      </c>
      <c r="B623" s="5">
        <f>IF($E623="","",INDEX('Input Transaksi'!$D:$D,$E623))</f>
        <v/>
      </c>
      <c r="C623">
        <f>IF($E623="","",INDEX('Input Transaksi'!$E:$E,$E623))</f>
        <v/>
      </c>
      <c r="D623" s="5">
        <f>IF($E623="","",INDEX('Input Transaksi'!$F:$F,$E623))</f>
        <v/>
      </c>
      <c r="E623">
        <f>IFERROR(AGGREGATE(15,6,ROW('Input Transaksi'!$B$5:$B$5000)/('Input Transaksi'!$B$5:$B$5000="JCL PEMOGAN"),ROWS($E$5:E623)),"")</f>
        <v/>
      </c>
      <c r="F623" s="5" t="n"/>
    </row>
    <row r="624">
      <c r="A624" s="10">
        <f>IF($E624="","",INDEX('Input Transaksi'!$A:$A,$E624))</f>
        <v/>
      </c>
      <c r="B624" s="5">
        <f>IF($E624="","",INDEX('Input Transaksi'!$D:$D,$E624))</f>
        <v/>
      </c>
      <c r="C624">
        <f>IF($E624="","",INDEX('Input Transaksi'!$E:$E,$E624))</f>
        <v/>
      </c>
      <c r="D624" s="5">
        <f>IF($E624="","",INDEX('Input Transaksi'!$F:$F,$E624))</f>
        <v/>
      </c>
      <c r="E624">
        <f>IFERROR(AGGREGATE(15,6,ROW('Input Transaksi'!$B$5:$B$5000)/('Input Transaksi'!$B$5:$B$5000="JCL PEMOGAN"),ROWS($E$5:E624)),"")</f>
        <v/>
      </c>
      <c r="F624" s="5" t="n"/>
    </row>
    <row r="625">
      <c r="A625" s="10">
        <f>IF($E625="","",INDEX('Input Transaksi'!$A:$A,$E625))</f>
        <v/>
      </c>
      <c r="B625" s="5">
        <f>IF($E625="","",INDEX('Input Transaksi'!$D:$D,$E625))</f>
        <v/>
      </c>
      <c r="C625">
        <f>IF($E625="","",INDEX('Input Transaksi'!$E:$E,$E625))</f>
        <v/>
      </c>
      <c r="D625" s="5">
        <f>IF($E625="","",INDEX('Input Transaksi'!$F:$F,$E625))</f>
        <v/>
      </c>
      <c r="E625">
        <f>IFERROR(AGGREGATE(15,6,ROW('Input Transaksi'!$B$5:$B$5000)/('Input Transaksi'!$B$5:$B$5000="JCL PEMOGAN"),ROWS($E$5:E625)),"")</f>
        <v/>
      </c>
      <c r="F625" s="5" t="n"/>
    </row>
    <row r="626">
      <c r="A626" s="10">
        <f>IF($E626="","",INDEX('Input Transaksi'!$A:$A,$E626))</f>
        <v/>
      </c>
      <c r="B626" s="5">
        <f>IF($E626="","",INDEX('Input Transaksi'!$D:$D,$E626))</f>
        <v/>
      </c>
      <c r="C626">
        <f>IF($E626="","",INDEX('Input Transaksi'!$E:$E,$E626))</f>
        <v/>
      </c>
      <c r="D626" s="5">
        <f>IF($E626="","",INDEX('Input Transaksi'!$F:$F,$E626))</f>
        <v/>
      </c>
      <c r="E626">
        <f>IFERROR(AGGREGATE(15,6,ROW('Input Transaksi'!$B$5:$B$5000)/('Input Transaksi'!$B$5:$B$5000="JCL PEMOGAN"),ROWS($E$5:E626)),"")</f>
        <v/>
      </c>
      <c r="F626" s="5" t="n"/>
    </row>
    <row r="627">
      <c r="A627" s="10">
        <f>IF($E627="","",INDEX('Input Transaksi'!$A:$A,$E627))</f>
        <v/>
      </c>
      <c r="B627" s="5">
        <f>IF($E627="","",INDEX('Input Transaksi'!$D:$D,$E627))</f>
        <v/>
      </c>
      <c r="C627">
        <f>IF($E627="","",INDEX('Input Transaksi'!$E:$E,$E627))</f>
        <v/>
      </c>
      <c r="D627" s="5">
        <f>IF($E627="","",INDEX('Input Transaksi'!$F:$F,$E627))</f>
        <v/>
      </c>
      <c r="E627">
        <f>IFERROR(AGGREGATE(15,6,ROW('Input Transaksi'!$B$5:$B$5000)/('Input Transaksi'!$B$5:$B$5000="JCL PEMOGAN"),ROWS($E$5:E627)),"")</f>
        <v/>
      </c>
      <c r="F627" s="5" t="n"/>
    </row>
    <row r="628">
      <c r="A628" s="10">
        <f>IF($E628="","",INDEX('Input Transaksi'!$A:$A,$E628))</f>
        <v/>
      </c>
      <c r="B628" s="5">
        <f>IF($E628="","",INDEX('Input Transaksi'!$D:$D,$E628))</f>
        <v/>
      </c>
      <c r="C628">
        <f>IF($E628="","",INDEX('Input Transaksi'!$E:$E,$E628))</f>
        <v/>
      </c>
      <c r="D628" s="5">
        <f>IF($E628="","",INDEX('Input Transaksi'!$F:$F,$E628))</f>
        <v/>
      </c>
      <c r="E628">
        <f>IFERROR(AGGREGATE(15,6,ROW('Input Transaksi'!$B$5:$B$5000)/('Input Transaksi'!$B$5:$B$5000="JCL PEMOGAN"),ROWS($E$5:E628)),"")</f>
        <v/>
      </c>
      <c r="F628" s="5" t="n"/>
    </row>
    <row r="629">
      <c r="A629" s="10">
        <f>IF($E629="","",INDEX('Input Transaksi'!$A:$A,$E629))</f>
        <v/>
      </c>
      <c r="B629" s="5">
        <f>IF($E629="","",INDEX('Input Transaksi'!$D:$D,$E629))</f>
        <v/>
      </c>
      <c r="C629">
        <f>IF($E629="","",INDEX('Input Transaksi'!$E:$E,$E629))</f>
        <v/>
      </c>
      <c r="D629" s="5">
        <f>IF($E629="","",INDEX('Input Transaksi'!$F:$F,$E629))</f>
        <v/>
      </c>
      <c r="E629">
        <f>IFERROR(AGGREGATE(15,6,ROW('Input Transaksi'!$B$5:$B$5000)/('Input Transaksi'!$B$5:$B$5000="JCL PEMOGAN"),ROWS($E$5:E629)),"")</f>
        <v/>
      </c>
      <c r="F629" s="5" t="n"/>
    </row>
    <row r="630">
      <c r="A630" s="10">
        <f>IF($E630="","",INDEX('Input Transaksi'!$A:$A,$E630))</f>
        <v/>
      </c>
      <c r="B630" s="5">
        <f>IF($E630="","",INDEX('Input Transaksi'!$D:$D,$E630))</f>
        <v/>
      </c>
      <c r="C630">
        <f>IF($E630="","",INDEX('Input Transaksi'!$E:$E,$E630))</f>
        <v/>
      </c>
      <c r="D630" s="5">
        <f>IF($E630="","",INDEX('Input Transaksi'!$F:$F,$E630))</f>
        <v/>
      </c>
      <c r="E630">
        <f>IFERROR(AGGREGATE(15,6,ROW('Input Transaksi'!$B$5:$B$5000)/('Input Transaksi'!$B$5:$B$5000="JCL PEMOGAN"),ROWS($E$5:E630)),"")</f>
        <v/>
      </c>
      <c r="F630" s="5" t="n"/>
    </row>
    <row r="631">
      <c r="A631" s="10">
        <f>IF($E631="","",INDEX('Input Transaksi'!$A:$A,$E631))</f>
        <v/>
      </c>
      <c r="B631" s="5">
        <f>IF($E631="","",INDEX('Input Transaksi'!$D:$D,$E631))</f>
        <v/>
      </c>
      <c r="C631">
        <f>IF($E631="","",INDEX('Input Transaksi'!$E:$E,$E631))</f>
        <v/>
      </c>
      <c r="D631" s="5">
        <f>IF($E631="","",INDEX('Input Transaksi'!$F:$F,$E631))</f>
        <v/>
      </c>
      <c r="E631">
        <f>IFERROR(AGGREGATE(15,6,ROW('Input Transaksi'!$B$5:$B$5000)/('Input Transaksi'!$B$5:$B$5000="JCL PEMOGAN"),ROWS($E$5:E631)),"")</f>
        <v/>
      </c>
      <c r="F631" s="5" t="n"/>
    </row>
    <row r="632">
      <c r="A632" s="10">
        <f>IF($E632="","",INDEX('Input Transaksi'!$A:$A,$E632))</f>
        <v/>
      </c>
      <c r="B632" s="5">
        <f>IF($E632="","",INDEX('Input Transaksi'!$D:$D,$E632))</f>
        <v/>
      </c>
      <c r="C632">
        <f>IF($E632="","",INDEX('Input Transaksi'!$E:$E,$E632))</f>
        <v/>
      </c>
      <c r="D632" s="5">
        <f>IF($E632="","",INDEX('Input Transaksi'!$F:$F,$E632))</f>
        <v/>
      </c>
      <c r="E632">
        <f>IFERROR(AGGREGATE(15,6,ROW('Input Transaksi'!$B$5:$B$5000)/('Input Transaksi'!$B$5:$B$5000="JCL PEMOGAN"),ROWS($E$5:E632)),"")</f>
        <v/>
      </c>
      <c r="F632" s="5" t="n"/>
    </row>
    <row r="633">
      <c r="A633" s="10">
        <f>IF($E633="","",INDEX('Input Transaksi'!$A:$A,$E633))</f>
        <v/>
      </c>
      <c r="B633" s="5">
        <f>IF($E633="","",INDEX('Input Transaksi'!$D:$D,$E633))</f>
        <v/>
      </c>
      <c r="C633">
        <f>IF($E633="","",INDEX('Input Transaksi'!$E:$E,$E633))</f>
        <v/>
      </c>
      <c r="D633" s="5">
        <f>IF($E633="","",INDEX('Input Transaksi'!$F:$F,$E633))</f>
        <v/>
      </c>
      <c r="E633">
        <f>IFERROR(AGGREGATE(15,6,ROW('Input Transaksi'!$B$5:$B$5000)/('Input Transaksi'!$B$5:$B$5000="JCL PEMOGAN"),ROWS($E$5:E633)),"")</f>
        <v/>
      </c>
      <c r="F633" s="5" t="n"/>
    </row>
    <row r="634">
      <c r="A634" s="10">
        <f>IF($E634="","",INDEX('Input Transaksi'!$A:$A,$E634))</f>
        <v/>
      </c>
      <c r="B634" s="5">
        <f>IF($E634="","",INDEX('Input Transaksi'!$D:$D,$E634))</f>
        <v/>
      </c>
      <c r="C634">
        <f>IF($E634="","",INDEX('Input Transaksi'!$E:$E,$E634))</f>
        <v/>
      </c>
      <c r="D634" s="5">
        <f>IF($E634="","",INDEX('Input Transaksi'!$F:$F,$E634))</f>
        <v/>
      </c>
      <c r="E634">
        <f>IFERROR(AGGREGATE(15,6,ROW('Input Transaksi'!$B$5:$B$5000)/('Input Transaksi'!$B$5:$B$5000="JCL PEMOGAN"),ROWS($E$5:E634)),"")</f>
        <v/>
      </c>
      <c r="F634" s="5" t="n"/>
    </row>
    <row r="635">
      <c r="A635" s="10">
        <f>IF($E635="","",INDEX('Input Transaksi'!$A:$A,$E635))</f>
        <v/>
      </c>
      <c r="B635" s="5">
        <f>IF($E635="","",INDEX('Input Transaksi'!$D:$D,$E635))</f>
        <v/>
      </c>
      <c r="C635">
        <f>IF($E635="","",INDEX('Input Transaksi'!$E:$E,$E635))</f>
        <v/>
      </c>
      <c r="D635" s="5">
        <f>IF($E635="","",INDEX('Input Transaksi'!$F:$F,$E635))</f>
        <v/>
      </c>
      <c r="E635">
        <f>IFERROR(AGGREGATE(15,6,ROW('Input Transaksi'!$B$5:$B$5000)/('Input Transaksi'!$B$5:$B$5000="JCL PEMOGAN"),ROWS($E$5:E635)),"")</f>
        <v/>
      </c>
      <c r="F635" s="5" t="n"/>
    </row>
    <row r="636">
      <c r="A636" s="10">
        <f>IF($E636="","",INDEX('Input Transaksi'!$A:$A,$E636))</f>
        <v/>
      </c>
      <c r="B636" s="5">
        <f>IF($E636="","",INDEX('Input Transaksi'!$D:$D,$E636))</f>
        <v/>
      </c>
      <c r="C636">
        <f>IF($E636="","",INDEX('Input Transaksi'!$E:$E,$E636))</f>
        <v/>
      </c>
      <c r="D636" s="5">
        <f>IF($E636="","",INDEX('Input Transaksi'!$F:$F,$E636))</f>
        <v/>
      </c>
      <c r="E636">
        <f>IFERROR(AGGREGATE(15,6,ROW('Input Transaksi'!$B$5:$B$5000)/('Input Transaksi'!$B$5:$B$5000="JCL PEMOGAN"),ROWS($E$5:E636)),"")</f>
        <v/>
      </c>
      <c r="F636" s="5" t="n"/>
    </row>
    <row r="637">
      <c r="A637" s="10">
        <f>IF($E637="","",INDEX('Input Transaksi'!$A:$A,$E637))</f>
        <v/>
      </c>
      <c r="B637" s="5">
        <f>IF($E637="","",INDEX('Input Transaksi'!$D:$D,$E637))</f>
        <v/>
      </c>
      <c r="C637">
        <f>IF($E637="","",INDEX('Input Transaksi'!$E:$E,$E637))</f>
        <v/>
      </c>
      <c r="D637" s="5">
        <f>IF($E637="","",INDEX('Input Transaksi'!$F:$F,$E637))</f>
        <v/>
      </c>
      <c r="E637">
        <f>IFERROR(AGGREGATE(15,6,ROW('Input Transaksi'!$B$5:$B$5000)/('Input Transaksi'!$B$5:$B$5000="JCL PEMOGAN"),ROWS($E$5:E637)),"")</f>
        <v/>
      </c>
      <c r="F637" s="5" t="n"/>
    </row>
    <row r="638">
      <c r="A638" s="10">
        <f>IF($E638="","",INDEX('Input Transaksi'!$A:$A,$E638))</f>
        <v/>
      </c>
      <c r="B638" s="5">
        <f>IF($E638="","",INDEX('Input Transaksi'!$D:$D,$E638))</f>
        <v/>
      </c>
      <c r="C638">
        <f>IF($E638="","",INDEX('Input Transaksi'!$E:$E,$E638))</f>
        <v/>
      </c>
      <c r="D638" s="5">
        <f>IF($E638="","",INDEX('Input Transaksi'!$F:$F,$E638))</f>
        <v/>
      </c>
      <c r="E638">
        <f>IFERROR(AGGREGATE(15,6,ROW('Input Transaksi'!$B$5:$B$5000)/('Input Transaksi'!$B$5:$B$5000="JCL PEMOGAN"),ROWS($E$5:E638)),"")</f>
        <v/>
      </c>
      <c r="F638" s="5" t="n"/>
    </row>
    <row r="639">
      <c r="A639" s="10">
        <f>IF($E639="","",INDEX('Input Transaksi'!$A:$A,$E639))</f>
        <v/>
      </c>
      <c r="B639" s="5">
        <f>IF($E639="","",INDEX('Input Transaksi'!$D:$D,$E639))</f>
        <v/>
      </c>
      <c r="C639">
        <f>IF($E639="","",INDEX('Input Transaksi'!$E:$E,$E639))</f>
        <v/>
      </c>
      <c r="D639" s="5">
        <f>IF($E639="","",INDEX('Input Transaksi'!$F:$F,$E639))</f>
        <v/>
      </c>
      <c r="E639">
        <f>IFERROR(AGGREGATE(15,6,ROW('Input Transaksi'!$B$5:$B$5000)/('Input Transaksi'!$B$5:$B$5000="JCL PEMOGAN"),ROWS($E$5:E639)),"")</f>
        <v/>
      </c>
      <c r="F639" s="5" t="n"/>
    </row>
    <row r="640">
      <c r="A640" s="10">
        <f>IF($E640="","",INDEX('Input Transaksi'!$A:$A,$E640))</f>
        <v/>
      </c>
      <c r="B640" s="5">
        <f>IF($E640="","",INDEX('Input Transaksi'!$D:$D,$E640))</f>
        <v/>
      </c>
      <c r="C640">
        <f>IF($E640="","",INDEX('Input Transaksi'!$E:$E,$E640))</f>
        <v/>
      </c>
      <c r="D640" s="5">
        <f>IF($E640="","",INDEX('Input Transaksi'!$F:$F,$E640))</f>
        <v/>
      </c>
      <c r="E640">
        <f>IFERROR(AGGREGATE(15,6,ROW('Input Transaksi'!$B$5:$B$5000)/('Input Transaksi'!$B$5:$B$5000="JCL PEMOGAN"),ROWS($E$5:E640)),"")</f>
        <v/>
      </c>
      <c r="F640" s="5" t="n"/>
    </row>
    <row r="641">
      <c r="A641" s="10">
        <f>IF($E641="","",INDEX('Input Transaksi'!$A:$A,$E641))</f>
        <v/>
      </c>
      <c r="B641" s="5">
        <f>IF($E641="","",INDEX('Input Transaksi'!$D:$D,$E641))</f>
        <v/>
      </c>
      <c r="C641">
        <f>IF($E641="","",INDEX('Input Transaksi'!$E:$E,$E641))</f>
        <v/>
      </c>
      <c r="D641" s="5">
        <f>IF($E641="","",INDEX('Input Transaksi'!$F:$F,$E641))</f>
        <v/>
      </c>
      <c r="E641">
        <f>IFERROR(AGGREGATE(15,6,ROW('Input Transaksi'!$B$5:$B$5000)/('Input Transaksi'!$B$5:$B$5000="JCL PEMOGAN"),ROWS($E$5:E641)),"")</f>
        <v/>
      </c>
      <c r="F641" s="5" t="n"/>
    </row>
    <row r="642">
      <c r="A642" s="10">
        <f>IF($E642="","",INDEX('Input Transaksi'!$A:$A,$E642))</f>
        <v/>
      </c>
      <c r="B642" s="5">
        <f>IF($E642="","",INDEX('Input Transaksi'!$D:$D,$E642))</f>
        <v/>
      </c>
      <c r="C642">
        <f>IF($E642="","",INDEX('Input Transaksi'!$E:$E,$E642))</f>
        <v/>
      </c>
      <c r="D642" s="5">
        <f>IF($E642="","",INDEX('Input Transaksi'!$F:$F,$E642))</f>
        <v/>
      </c>
      <c r="E642">
        <f>IFERROR(AGGREGATE(15,6,ROW('Input Transaksi'!$B$5:$B$5000)/('Input Transaksi'!$B$5:$B$5000="JCL PEMOGAN"),ROWS($E$5:E642)),"")</f>
        <v/>
      </c>
      <c r="F642" s="5" t="n"/>
    </row>
    <row r="643">
      <c r="A643" s="10">
        <f>IF($E643="","",INDEX('Input Transaksi'!$A:$A,$E643))</f>
        <v/>
      </c>
      <c r="B643" s="5">
        <f>IF($E643="","",INDEX('Input Transaksi'!$D:$D,$E643))</f>
        <v/>
      </c>
      <c r="C643">
        <f>IF($E643="","",INDEX('Input Transaksi'!$E:$E,$E643))</f>
        <v/>
      </c>
      <c r="D643" s="5">
        <f>IF($E643="","",INDEX('Input Transaksi'!$F:$F,$E643))</f>
        <v/>
      </c>
      <c r="E643">
        <f>IFERROR(AGGREGATE(15,6,ROW('Input Transaksi'!$B$5:$B$5000)/('Input Transaksi'!$B$5:$B$5000="JCL PEMOGAN"),ROWS($E$5:E643)),"")</f>
        <v/>
      </c>
      <c r="F643" s="5" t="n"/>
    </row>
    <row r="644">
      <c r="A644" s="10">
        <f>IF($E644="","",INDEX('Input Transaksi'!$A:$A,$E644))</f>
        <v/>
      </c>
      <c r="B644" s="5">
        <f>IF($E644="","",INDEX('Input Transaksi'!$D:$D,$E644))</f>
        <v/>
      </c>
      <c r="C644">
        <f>IF($E644="","",INDEX('Input Transaksi'!$E:$E,$E644))</f>
        <v/>
      </c>
      <c r="D644" s="5">
        <f>IF($E644="","",INDEX('Input Transaksi'!$F:$F,$E644))</f>
        <v/>
      </c>
      <c r="E644">
        <f>IFERROR(AGGREGATE(15,6,ROW('Input Transaksi'!$B$5:$B$5000)/('Input Transaksi'!$B$5:$B$5000="JCL PEMOGAN"),ROWS($E$5:E644)),"")</f>
        <v/>
      </c>
      <c r="F644" s="5" t="n"/>
    </row>
    <row r="645">
      <c r="A645" s="10">
        <f>IF($E645="","",INDEX('Input Transaksi'!$A:$A,$E645))</f>
        <v/>
      </c>
      <c r="B645" s="5">
        <f>IF($E645="","",INDEX('Input Transaksi'!$D:$D,$E645))</f>
        <v/>
      </c>
      <c r="C645">
        <f>IF($E645="","",INDEX('Input Transaksi'!$E:$E,$E645))</f>
        <v/>
      </c>
      <c r="D645" s="5">
        <f>IF($E645="","",INDEX('Input Transaksi'!$F:$F,$E645))</f>
        <v/>
      </c>
      <c r="E645">
        <f>IFERROR(AGGREGATE(15,6,ROW('Input Transaksi'!$B$5:$B$5000)/('Input Transaksi'!$B$5:$B$5000="JCL PEMOGAN"),ROWS($E$5:E645)),"")</f>
        <v/>
      </c>
      <c r="F645" s="5" t="n"/>
    </row>
    <row r="646">
      <c r="A646" s="10">
        <f>IF($E646="","",INDEX('Input Transaksi'!$A:$A,$E646))</f>
        <v/>
      </c>
      <c r="B646" s="5">
        <f>IF($E646="","",INDEX('Input Transaksi'!$D:$D,$E646))</f>
        <v/>
      </c>
      <c r="C646">
        <f>IF($E646="","",INDEX('Input Transaksi'!$E:$E,$E646))</f>
        <v/>
      </c>
      <c r="D646" s="5">
        <f>IF($E646="","",INDEX('Input Transaksi'!$F:$F,$E646))</f>
        <v/>
      </c>
      <c r="E646">
        <f>IFERROR(AGGREGATE(15,6,ROW('Input Transaksi'!$B$5:$B$5000)/('Input Transaksi'!$B$5:$B$5000="JCL PEMOGAN"),ROWS($E$5:E646)),"")</f>
        <v/>
      </c>
      <c r="F646" s="5" t="n"/>
    </row>
    <row r="647">
      <c r="A647" s="10">
        <f>IF($E647="","",INDEX('Input Transaksi'!$A:$A,$E647))</f>
        <v/>
      </c>
      <c r="B647" s="5">
        <f>IF($E647="","",INDEX('Input Transaksi'!$D:$D,$E647))</f>
        <v/>
      </c>
      <c r="C647">
        <f>IF($E647="","",INDEX('Input Transaksi'!$E:$E,$E647))</f>
        <v/>
      </c>
      <c r="D647" s="5">
        <f>IF($E647="","",INDEX('Input Transaksi'!$F:$F,$E647))</f>
        <v/>
      </c>
      <c r="E647">
        <f>IFERROR(AGGREGATE(15,6,ROW('Input Transaksi'!$B$5:$B$5000)/('Input Transaksi'!$B$5:$B$5000="JCL PEMOGAN"),ROWS($E$5:E647)),"")</f>
        <v/>
      </c>
      <c r="F647" s="5" t="n"/>
    </row>
    <row r="648">
      <c r="A648" s="10">
        <f>IF($E648="","",INDEX('Input Transaksi'!$A:$A,$E648))</f>
        <v/>
      </c>
      <c r="B648" s="5">
        <f>IF($E648="","",INDEX('Input Transaksi'!$D:$D,$E648))</f>
        <v/>
      </c>
      <c r="C648">
        <f>IF($E648="","",INDEX('Input Transaksi'!$E:$E,$E648))</f>
        <v/>
      </c>
      <c r="D648" s="5">
        <f>IF($E648="","",INDEX('Input Transaksi'!$F:$F,$E648))</f>
        <v/>
      </c>
      <c r="E648">
        <f>IFERROR(AGGREGATE(15,6,ROW('Input Transaksi'!$B$5:$B$5000)/('Input Transaksi'!$B$5:$B$5000="JCL PEMOGAN"),ROWS($E$5:E648)),"")</f>
        <v/>
      </c>
      <c r="F648" s="5" t="n"/>
    </row>
    <row r="649">
      <c r="A649" s="10">
        <f>IF($E649="","",INDEX('Input Transaksi'!$A:$A,$E649))</f>
        <v/>
      </c>
      <c r="B649" s="5">
        <f>IF($E649="","",INDEX('Input Transaksi'!$D:$D,$E649))</f>
        <v/>
      </c>
      <c r="C649">
        <f>IF($E649="","",INDEX('Input Transaksi'!$E:$E,$E649))</f>
        <v/>
      </c>
      <c r="D649" s="5">
        <f>IF($E649="","",INDEX('Input Transaksi'!$F:$F,$E649))</f>
        <v/>
      </c>
      <c r="E649">
        <f>IFERROR(AGGREGATE(15,6,ROW('Input Transaksi'!$B$5:$B$5000)/('Input Transaksi'!$B$5:$B$5000="JCL PEMOGAN"),ROWS($E$5:E649)),"")</f>
        <v/>
      </c>
      <c r="F649" s="5" t="n"/>
    </row>
    <row r="650">
      <c r="A650" s="10">
        <f>IF($E650="","",INDEX('Input Transaksi'!$A:$A,$E650))</f>
        <v/>
      </c>
      <c r="B650" s="5">
        <f>IF($E650="","",INDEX('Input Transaksi'!$D:$D,$E650))</f>
        <v/>
      </c>
      <c r="C650">
        <f>IF($E650="","",INDEX('Input Transaksi'!$E:$E,$E650))</f>
        <v/>
      </c>
      <c r="D650" s="5">
        <f>IF($E650="","",INDEX('Input Transaksi'!$F:$F,$E650))</f>
        <v/>
      </c>
      <c r="E650">
        <f>IFERROR(AGGREGATE(15,6,ROW('Input Transaksi'!$B$5:$B$5000)/('Input Transaksi'!$B$5:$B$5000="JCL PEMOGAN"),ROWS($E$5:E650)),"")</f>
        <v/>
      </c>
      <c r="F650" s="5" t="n"/>
    </row>
    <row r="651">
      <c r="A651" s="10">
        <f>IF($E651="","",INDEX('Input Transaksi'!$A:$A,$E651))</f>
        <v/>
      </c>
      <c r="B651" s="5">
        <f>IF($E651="","",INDEX('Input Transaksi'!$D:$D,$E651))</f>
        <v/>
      </c>
      <c r="C651">
        <f>IF($E651="","",INDEX('Input Transaksi'!$E:$E,$E651))</f>
        <v/>
      </c>
      <c r="D651" s="5">
        <f>IF($E651="","",INDEX('Input Transaksi'!$F:$F,$E651))</f>
        <v/>
      </c>
      <c r="E651">
        <f>IFERROR(AGGREGATE(15,6,ROW('Input Transaksi'!$B$5:$B$5000)/('Input Transaksi'!$B$5:$B$5000="JCL PEMOGAN"),ROWS($E$5:E651)),"")</f>
        <v/>
      </c>
      <c r="F651" s="5" t="n"/>
    </row>
    <row r="652">
      <c r="A652" s="10">
        <f>IF($E652="","",INDEX('Input Transaksi'!$A:$A,$E652))</f>
        <v/>
      </c>
      <c r="B652" s="5">
        <f>IF($E652="","",INDEX('Input Transaksi'!$D:$D,$E652))</f>
        <v/>
      </c>
      <c r="C652">
        <f>IF($E652="","",INDEX('Input Transaksi'!$E:$E,$E652))</f>
        <v/>
      </c>
      <c r="D652" s="5">
        <f>IF($E652="","",INDEX('Input Transaksi'!$F:$F,$E652))</f>
        <v/>
      </c>
      <c r="E652">
        <f>IFERROR(AGGREGATE(15,6,ROW('Input Transaksi'!$B$5:$B$5000)/('Input Transaksi'!$B$5:$B$5000="JCL PEMOGAN"),ROWS($E$5:E652)),"")</f>
        <v/>
      </c>
      <c r="F652" s="5" t="n"/>
    </row>
    <row r="653">
      <c r="A653" s="10">
        <f>IF($E653="","",INDEX('Input Transaksi'!$A:$A,$E653))</f>
        <v/>
      </c>
      <c r="B653" s="5">
        <f>IF($E653="","",INDEX('Input Transaksi'!$D:$D,$E653))</f>
        <v/>
      </c>
      <c r="C653">
        <f>IF($E653="","",INDEX('Input Transaksi'!$E:$E,$E653))</f>
        <v/>
      </c>
      <c r="D653" s="5">
        <f>IF($E653="","",INDEX('Input Transaksi'!$F:$F,$E653))</f>
        <v/>
      </c>
      <c r="E653">
        <f>IFERROR(AGGREGATE(15,6,ROW('Input Transaksi'!$B$5:$B$5000)/('Input Transaksi'!$B$5:$B$5000="JCL PEMOGAN"),ROWS($E$5:E653)),"")</f>
        <v/>
      </c>
      <c r="F653" s="5" t="n"/>
    </row>
    <row r="654">
      <c r="A654" s="10">
        <f>IF($E654="","",INDEX('Input Transaksi'!$A:$A,$E654))</f>
        <v/>
      </c>
      <c r="B654" s="5">
        <f>IF($E654="","",INDEX('Input Transaksi'!$D:$D,$E654))</f>
        <v/>
      </c>
      <c r="C654">
        <f>IF($E654="","",INDEX('Input Transaksi'!$E:$E,$E654))</f>
        <v/>
      </c>
      <c r="D654" s="5">
        <f>IF($E654="","",INDEX('Input Transaksi'!$F:$F,$E654))</f>
        <v/>
      </c>
      <c r="E654">
        <f>IFERROR(AGGREGATE(15,6,ROW('Input Transaksi'!$B$5:$B$5000)/('Input Transaksi'!$B$5:$B$5000="JCL PEMOGAN"),ROWS($E$5:E654)),"")</f>
        <v/>
      </c>
      <c r="F654" s="5" t="n"/>
    </row>
    <row r="655">
      <c r="A655" s="10">
        <f>IF($E655="","",INDEX('Input Transaksi'!$A:$A,$E655))</f>
        <v/>
      </c>
      <c r="B655" s="5">
        <f>IF($E655="","",INDEX('Input Transaksi'!$D:$D,$E655))</f>
        <v/>
      </c>
      <c r="C655">
        <f>IF($E655="","",INDEX('Input Transaksi'!$E:$E,$E655))</f>
        <v/>
      </c>
      <c r="D655" s="5">
        <f>IF($E655="","",INDEX('Input Transaksi'!$F:$F,$E655))</f>
        <v/>
      </c>
      <c r="E655">
        <f>IFERROR(AGGREGATE(15,6,ROW('Input Transaksi'!$B$5:$B$5000)/('Input Transaksi'!$B$5:$B$5000="JCL PEMOGAN"),ROWS($E$5:E655)),"")</f>
        <v/>
      </c>
      <c r="F655" s="5" t="n"/>
    </row>
    <row r="656">
      <c r="A656" s="10">
        <f>IF($E656="","",INDEX('Input Transaksi'!$A:$A,$E656))</f>
        <v/>
      </c>
      <c r="B656" s="5">
        <f>IF($E656="","",INDEX('Input Transaksi'!$D:$D,$E656))</f>
        <v/>
      </c>
      <c r="C656">
        <f>IF($E656="","",INDEX('Input Transaksi'!$E:$E,$E656))</f>
        <v/>
      </c>
      <c r="D656" s="5">
        <f>IF($E656="","",INDEX('Input Transaksi'!$F:$F,$E656))</f>
        <v/>
      </c>
      <c r="E656">
        <f>IFERROR(AGGREGATE(15,6,ROW('Input Transaksi'!$B$5:$B$5000)/('Input Transaksi'!$B$5:$B$5000="JCL PEMOGAN"),ROWS($E$5:E656)),"")</f>
        <v/>
      </c>
      <c r="F656" s="5" t="n"/>
    </row>
    <row r="657">
      <c r="A657" s="10">
        <f>IF($E657="","",INDEX('Input Transaksi'!$A:$A,$E657))</f>
        <v/>
      </c>
      <c r="B657" s="5">
        <f>IF($E657="","",INDEX('Input Transaksi'!$D:$D,$E657))</f>
        <v/>
      </c>
      <c r="C657">
        <f>IF($E657="","",INDEX('Input Transaksi'!$E:$E,$E657))</f>
        <v/>
      </c>
      <c r="D657" s="5">
        <f>IF($E657="","",INDEX('Input Transaksi'!$F:$F,$E657))</f>
        <v/>
      </c>
      <c r="E657">
        <f>IFERROR(AGGREGATE(15,6,ROW('Input Transaksi'!$B$5:$B$5000)/('Input Transaksi'!$B$5:$B$5000="JCL PEMOGAN"),ROWS($E$5:E657)),"")</f>
        <v/>
      </c>
      <c r="F657" s="5" t="n"/>
    </row>
    <row r="658">
      <c r="A658" s="10">
        <f>IF($E658="","",INDEX('Input Transaksi'!$A:$A,$E658))</f>
        <v/>
      </c>
      <c r="B658" s="5">
        <f>IF($E658="","",INDEX('Input Transaksi'!$D:$D,$E658))</f>
        <v/>
      </c>
      <c r="C658">
        <f>IF($E658="","",INDEX('Input Transaksi'!$E:$E,$E658))</f>
        <v/>
      </c>
      <c r="D658" s="5">
        <f>IF($E658="","",INDEX('Input Transaksi'!$F:$F,$E658))</f>
        <v/>
      </c>
      <c r="E658">
        <f>IFERROR(AGGREGATE(15,6,ROW('Input Transaksi'!$B$5:$B$5000)/('Input Transaksi'!$B$5:$B$5000="JCL PEMOGAN"),ROWS($E$5:E658)),"")</f>
        <v/>
      </c>
      <c r="F658" s="5" t="n"/>
    </row>
    <row r="659">
      <c r="A659" s="10">
        <f>IF($E659="","",INDEX('Input Transaksi'!$A:$A,$E659))</f>
        <v/>
      </c>
      <c r="B659" s="5">
        <f>IF($E659="","",INDEX('Input Transaksi'!$D:$D,$E659))</f>
        <v/>
      </c>
      <c r="C659">
        <f>IF($E659="","",INDEX('Input Transaksi'!$E:$E,$E659))</f>
        <v/>
      </c>
      <c r="D659" s="5">
        <f>IF($E659="","",INDEX('Input Transaksi'!$F:$F,$E659))</f>
        <v/>
      </c>
      <c r="E659">
        <f>IFERROR(AGGREGATE(15,6,ROW('Input Transaksi'!$B$5:$B$5000)/('Input Transaksi'!$B$5:$B$5000="JCL PEMOGAN"),ROWS($E$5:E659)),"")</f>
        <v/>
      </c>
      <c r="F659" s="5" t="n"/>
    </row>
    <row r="660">
      <c r="A660" s="10">
        <f>IF($E660="","",INDEX('Input Transaksi'!$A:$A,$E660))</f>
        <v/>
      </c>
      <c r="B660" s="5">
        <f>IF($E660="","",INDEX('Input Transaksi'!$D:$D,$E660))</f>
        <v/>
      </c>
      <c r="C660">
        <f>IF($E660="","",INDEX('Input Transaksi'!$E:$E,$E660))</f>
        <v/>
      </c>
      <c r="D660" s="5">
        <f>IF($E660="","",INDEX('Input Transaksi'!$F:$F,$E660))</f>
        <v/>
      </c>
      <c r="E660">
        <f>IFERROR(AGGREGATE(15,6,ROW('Input Transaksi'!$B$5:$B$5000)/('Input Transaksi'!$B$5:$B$5000="JCL PEMOGAN"),ROWS($E$5:E660)),"")</f>
        <v/>
      </c>
      <c r="F660" s="5" t="n"/>
    </row>
    <row r="661">
      <c r="A661" s="10">
        <f>IF($E661="","",INDEX('Input Transaksi'!$A:$A,$E661))</f>
        <v/>
      </c>
      <c r="B661" s="5">
        <f>IF($E661="","",INDEX('Input Transaksi'!$D:$D,$E661))</f>
        <v/>
      </c>
      <c r="C661">
        <f>IF($E661="","",INDEX('Input Transaksi'!$E:$E,$E661))</f>
        <v/>
      </c>
      <c r="D661" s="5">
        <f>IF($E661="","",INDEX('Input Transaksi'!$F:$F,$E661))</f>
        <v/>
      </c>
      <c r="E661">
        <f>IFERROR(AGGREGATE(15,6,ROW('Input Transaksi'!$B$5:$B$5000)/('Input Transaksi'!$B$5:$B$5000="JCL PEMOGAN"),ROWS($E$5:E661)),"")</f>
        <v/>
      </c>
      <c r="F661" s="5" t="n"/>
    </row>
    <row r="662">
      <c r="A662" s="10">
        <f>IF($E662="","",INDEX('Input Transaksi'!$A:$A,$E662))</f>
        <v/>
      </c>
      <c r="B662" s="5">
        <f>IF($E662="","",INDEX('Input Transaksi'!$D:$D,$E662))</f>
        <v/>
      </c>
      <c r="C662">
        <f>IF($E662="","",INDEX('Input Transaksi'!$E:$E,$E662))</f>
        <v/>
      </c>
      <c r="D662" s="5">
        <f>IF($E662="","",INDEX('Input Transaksi'!$F:$F,$E662))</f>
        <v/>
      </c>
      <c r="E662">
        <f>IFERROR(AGGREGATE(15,6,ROW('Input Transaksi'!$B$5:$B$5000)/('Input Transaksi'!$B$5:$B$5000="JCL PEMOGAN"),ROWS($E$5:E662)),"")</f>
        <v/>
      </c>
      <c r="F662" s="5" t="n"/>
    </row>
    <row r="663">
      <c r="A663" s="10">
        <f>IF($E663="","",INDEX('Input Transaksi'!$A:$A,$E663))</f>
        <v/>
      </c>
      <c r="B663" s="5">
        <f>IF($E663="","",INDEX('Input Transaksi'!$D:$D,$E663))</f>
        <v/>
      </c>
      <c r="C663">
        <f>IF($E663="","",INDEX('Input Transaksi'!$E:$E,$E663))</f>
        <v/>
      </c>
      <c r="D663" s="5">
        <f>IF($E663="","",INDEX('Input Transaksi'!$F:$F,$E663))</f>
        <v/>
      </c>
      <c r="E663">
        <f>IFERROR(AGGREGATE(15,6,ROW('Input Transaksi'!$B$5:$B$5000)/('Input Transaksi'!$B$5:$B$5000="JCL PEMOGAN"),ROWS($E$5:E663)),"")</f>
        <v/>
      </c>
      <c r="F663" s="5" t="n"/>
    </row>
    <row r="664">
      <c r="A664" s="10">
        <f>IF($E664="","",INDEX('Input Transaksi'!$A:$A,$E664))</f>
        <v/>
      </c>
      <c r="B664" s="5">
        <f>IF($E664="","",INDEX('Input Transaksi'!$D:$D,$E664))</f>
        <v/>
      </c>
      <c r="C664">
        <f>IF($E664="","",INDEX('Input Transaksi'!$E:$E,$E664))</f>
        <v/>
      </c>
      <c r="D664" s="5">
        <f>IF($E664="","",INDEX('Input Transaksi'!$F:$F,$E664))</f>
        <v/>
      </c>
      <c r="E664">
        <f>IFERROR(AGGREGATE(15,6,ROW('Input Transaksi'!$B$5:$B$5000)/('Input Transaksi'!$B$5:$B$5000="JCL PEMOGAN"),ROWS($E$5:E664)),"")</f>
        <v/>
      </c>
      <c r="F664" s="5" t="n"/>
    </row>
    <row r="665">
      <c r="A665" s="10">
        <f>IF($E665="","",INDEX('Input Transaksi'!$A:$A,$E665))</f>
        <v/>
      </c>
      <c r="B665" s="5">
        <f>IF($E665="","",INDEX('Input Transaksi'!$D:$D,$E665))</f>
        <v/>
      </c>
      <c r="C665">
        <f>IF($E665="","",INDEX('Input Transaksi'!$E:$E,$E665))</f>
        <v/>
      </c>
      <c r="D665" s="5">
        <f>IF($E665="","",INDEX('Input Transaksi'!$F:$F,$E665))</f>
        <v/>
      </c>
      <c r="E665">
        <f>IFERROR(AGGREGATE(15,6,ROW('Input Transaksi'!$B$5:$B$5000)/('Input Transaksi'!$B$5:$B$5000="JCL PEMOGAN"),ROWS($E$5:E665)),"")</f>
        <v/>
      </c>
      <c r="F665" s="5" t="n"/>
    </row>
    <row r="666">
      <c r="A666" s="10">
        <f>IF($E666="","",INDEX('Input Transaksi'!$A:$A,$E666))</f>
        <v/>
      </c>
      <c r="B666" s="5">
        <f>IF($E666="","",INDEX('Input Transaksi'!$D:$D,$E666))</f>
        <v/>
      </c>
      <c r="C666">
        <f>IF($E666="","",INDEX('Input Transaksi'!$E:$E,$E666))</f>
        <v/>
      </c>
      <c r="D666" s="5">
        <f>IF($E666="","",INDEX('Input Transaksi'!$F:$F,$E666))</f>
        <v/>
      </c>
      <c r="E666">
        <f>IFERROR(AGGREGATE(15,6,ROW('Input Transaksi'!$B$5:$B$5000)/('Input Transaksi'!$B$5:$B$5000="JCL PEMOGAN"),ROWS($E$5:E666)),"")</f>
        <v/>
      </c>
      <c r="F666" s="5" t="n"/>
    </row>
    <row r="667">
      <c r="A667" s="10">
        <f>IF($E667="","",INDEX('Input Transaksi'!$A:$A,$E667))</f>
        <v/>
      </c>
      <c r="B667" s="5">
        <f>IF($E667="","",INDEX('Input Transaksi'!$D:$D,$E667))</f>
        <v/>
      </c>
      <c r="C667">
        <f>IF($E667="","",INDEX('Input Transaksi'!$E:$E,$E667))</f>
        <v/>
      </c>
      <c r="D667" s="5">
        <f>IF($E667="","",INDEX('Input Transaksi'!$F:$F,$E667))</f>
        <v/>
      </c>
      <c r="E667">
        <f>IFERROR(AGGREGATE(15,6,ROW('Input Transaksi'!$B$5:$B$5000)/('Input Transaksi'!$B$5:$B$5000="JCL PEMOGAN"),ROWS($E$5:E667)),"")</f>
        <v/>
      </c>
      <c r="F667" s="5" t="n"/>
    </row>
    <row r="668">
      <c r="A668" s="10">
        <f>IF($E668="","",INDEX('Input Transaksi'!$A:$A,$E668))</f>
        <v/>
      </c>
      <c r="B668" s="5">
        <f>IF($E668="","",INDEX('Input Transaksi'!$D:$D,$E668))</f>
        <v/>
      </c>
      <c r="C668">
        <f>IF($E668="","",INDEX('Input Transaksi'!$E:$E,$E668))</f>
        <v/>
      </c>
      <c r="D668" s="5">
        <f>IF($E668="","",INDEX('Input Transaksi'!$F:$F,$E668))</f>
        <v/>
      </c>
      <c r="E668">
        <f>IFERROR(AGGREGATE(15,6,ROW('Input Transaksi'!$B$5:$B$5000)/('Input Transaksi'!$B$5:$B$5000="JCL PEMOGAN"),ROWS($E$5:E668)),"")</f>
        <v/>
      </c>
      <c r="F668" s="5" t="n"/>
    </row>
    <row r="669">
      <c r="A669" s="10">
        <f>IF($E669="","",INDEX('Input Transaksi'!$A:$A,$E669))</f>
        <v/>
      </c>
      <c r="B669" s="5">
        <f>IF($E669="","",INDEX('Input Transaksi'!$D:$D,$E669))</f>
        <v/>
      </c>
      <c r="C669">
        <f>IF($E669="","",INDEX('Input Transaksi'!$E:$E,$E669))</f>
        <v/>
      </c>
      <c r="D669" s="5">
        <f>IF($E669="","",INDEX('Input Transaksi'!$F:$F,$E669))</f>
        <v/>
      </c>
      <c r="E669">
        <f>IFERROR(AGGREGATE(15,6,ROW('Input Transaksi'!$B$5:$B$5000)/('Input Transaksi'!$B$5:$B$5000="JCL PEMOGAN"),ROWS($E$5:E669)),"")</f>
        <v/>
      </c>
      <c r="F669" s="5" t="n"/>
    </row>
    <row r="670">
      <c r="A670" s="10">
        <f>IF($E670="","",INDEX('Input Transaksi'!$A:$A,$E670))</f>
        <v/>
      </c>
      <c r="B670" s="5">
        <f>IF($E670="","",INDEX('Input Transaksi'!$D:$D,$E670))</f>
        <v/>
      </c>
      <c r="C670">
        <f>IF($E670="","",INDEX('Input Transaksi'!$E:$E,$E670))</f>
        <v/>
      </c>
      <c r="D670" s="5">
        <f>IF($E670="","",INDEX('Input Transaksi'!$F:$F,$E670))</f>
        <v/>
      </c>
      <c r="E670">
        <f>IFERROR(AGGREGATE(15,6,ROW('Input Transaksi'!$B$5:$B$5000)/('Input Transaksi'!$B$5:$B$5000="JCL PEMOGAN"),ROWS($E$5:E670)),"")</f>
        <v/>
      </c>
      <c r="F670" s="5" t="n"/>
    </row>
    <row r="671">
      <c r="A671" s="10">
        <f>IF($E671="","",INDEX('Input Transaksi'!$A:$A,$E671))</f>
        <v/>
      </c>
      <c r="B671" s="5">
        <f>IF($E671="","",INDEX('Input Transaksi'!$D:$D,$E671))</f>
        <v/>
      </c>
      <c r="C671">
        <f>IF($E671="","",INDEX('Input Transaksi'!$E:$E,$E671))</f>
        <v/>
      </c>
      <c r="D671" s="5">
        <f>IF($E671="","",INDEX('Input Transaksi'!$F:$F,$E671))</f>
        <v/>
      </c>
      <c r="E671">
        <f>IFERROR(AGGREGATE(15,6,ROW('Input Transaksi'!$B$5:$B$5000)/('Input Transaksi'!$B$5:$B$5000="JCL PEMOGAN"),ROWS($E$5:E671)),"")</f>
        <v/>
      </c>
      <c r="F671" s="5" t="n"/>
    </row>
    <row r="672">
      <c r="A672" s="10">
        <f>IF($E672="","",INDEX('Input Transaksi'!$A:$A,$E672))</f>
        <v/>
      </c>
      <c r="B672" s="5">
        <f>IF($E672="","",INDEX('Input Transaksi'!$D:$D,$E672))</f>
        <v/>
      </c>
      <c r="C672">
        <f>IF($E672="","",INDEX('Input Transaksi'!$E:$E,$E672))</f>
        <v/>
      </c>
      <c r="D672" s="5">
        <f>IF($E672="","",INDEX('Input Transaksi'!$F:$F,$E672))</f>
        <v/>
      </c>
      <c r="E672">
        <f>IFERROR(AGGREGATE(15,6,ROW('Input Transaksi'!$B$5:$B$5000)/('Input Transaksi'!$B$5:$B$5000="JCL PEMOGAN"),ROWS($E$5:E672)),"")</f>
        <v/>
      </c>
      <c r="F672" s="5" t="n"/>
    </row>
    <row r="673">
      <c r="A673" s="10">
        <f>IF($E673="","",INDEX('Input Transaksi'!$A:$A,$E673))</f>
        <v/>
      </c>
      <c r="B673" s="5">
        <f>IF($E673="","",INDEX('Input Transaksi'!$D:$D,$E673))</f>
        <v/>
      </c>
      <c r="C673">
        <f>IF($E673="","",INDEX('Input Transaksi'!$E:$E,$E673))</f>
        <v/>
      </c>
      <c r="D673" s="5">
        <f>IF($E673="","",INDEX('Input Transaksi'!$F:$F,$E673))</f>
        <v/>
      </c>
      <c r="E673">
        <f>IFERROR(AGGREGATE(15,6,ROW('Input Transaksi'!$B$5:$B$5000)/('Input Transaksi'!$B$5:$B$5000="JCL PEMOGAN"),ROWS($E$5:E673)),"")</f>
        <v/>
      </c>
      <c r="F673" s="5" t="n"/>
    </row>
    <row r="674">
      <c r="A674" s="10">
        <f>IF($E674="","",INDEX('Input Transaksi'!$A:$A,$E674))</f>
        <v/>
      </c>
      <c r="B674" s="5">
        <f>IF($E674="","",INDEX('Input Transaksi'!$D:$D,$E674))</f>
        <v/>
      </c>
      <c r="C674">
        <f>IF($E674="","",INDEX('Input Transaksi'!$E:$E,$E674))</f>
        <v/>
      </c>
      <c r="D674" s="5">
        <f>IF($E674="","",INDEX('Input Transaksi'!$F:$F,$E674))</f>
        <v/>
      </c>
      <c r="E674">
        <f>IFERROR(AGGREGATE(15,6,ROW('Input Transaksi'!$B$5:$B$5000)/('Input Transaksi'!$B$5:$B$5000="JCL PEMOGAN"),ROWS($E$5:E674)),"")</f>
        <v/>
      </c>
      <c r="F674" s="5" t="n"/>
    </row>
    <row r="675">
      <c r="A675" s="10">
        <f>IF($E675="","",INDEX('Input Transaksi'!$A:$A,$E675))</f>
        <v/>
      </c>
      <c r="B675" s="5">
        <f>IF($E675="","",INDEX('Input Transaksi'!$D:$D,$E675))</f>
        <v/>
      </c>
      <c r="C675">
        <f>IF($E675="","",INDEX('Input Transaksi'!$E:$E,$E675))</f>
        <v/>
      </c>
      <c r="D675" s="5">
        <f>IF($E675="","",INDEX('Input Transaksi'!$F:$F,$E675))</f>
        <v/>
      </c>
      <c r="E675">
        <f>IFERROR(AGGREGATE(15,6,ROW('Input Transaksi'!$B$5:$B$5000)/('Input Transaksi'!$B$5:$B$5000="JCL PEMOGAN"),ROWS($E$5:E675)),"")</f>
        <v/>
      </c>
      <c r="F675" s="5" t="n"/>
    </row>
    <row r="676">
      <c r="A676" s="10">
        <f>IF($E676="","",INDEX('Input Transaksi'!$A:$A,$E676))</f>
        <v/>
      </c>
      <c r="B676" s="5">
        <f>IF($E676="","",INDEX('Input Transaksi'!$D:$D,$E676))</f>
        <v/>
      </c>
      <c r="C676">
        <f>IF($E676="","",INDEX('Input Transaksi'!$E:$E,$E676))</f>
        <v/>
      </c>
      <c r="D676" s="5">
        <f>IF($E676="","",INDEX('Input Transaksi'!$F:$F,$E676))</f>
        <v/>
      </c>
      <c r="E676">
        <f>IFERROR(AGGREGATE(15,6,ROW('Input Transaksi'!$B$5:$B$5000)/('Input Transaksi'!$B$5:$B$5000="JCL PEMOGAN"),ROWS($E$5:E676)),"")</f>
        <v/>
      </c>
      <c r="F676" s="5" t="n"/>
    </row>
    <row r="677">
      <c r="A677" s="10">
        <f>IF($E677="","",INDEX('Input Transaksi'!$A:$A,$E677))</f>
        <v/>
      </c>
      <c r="B677" s="5">
        <f>IF($E677="","",INDEX('Input Transaksi'!$D:$D,$E677))</f>
        <v/>
      </c>
      <c r="C677">
        <f>IF($E677="","",INDEX('Input Transaksi'!$E:$E,$E677))</f>
        <v/>
      </c>
      <c r="D677" s="5">
        <f>IF($E677="","",INDEX('Input Transaksi'!$F:$F,$E677))</f>
        <v/>
      </c>
      <c r="E677">
        <f>IFERROR(AGGREGATE(15,6,ROW('Input Transaksi'!$B$5:$B$5000)/('Input Transaksi'!$B$5:$B$5000="JCL PEMOGAN"),ROWS($E$5:E677)),"")</f>
        <v/>
      </c>
      <c r="F677" s="5" t="n"/>
    </row>
    <row r="678">
      <c r="A678" s="10">
        <f>IF($E678="","",INDEX('Input Transaksi'!$A:$A,$E678))</f>
        <v/>
      </c>
      <c r="B678" s="5">
        <f>IF($E678="","",INDEX('Input Transaksi'!$D:$D,$E678))</f>
        <v/>
      </c>
      <c r="C678">
        <f>IF($E678="","",INDEX('Input Transaksi'!$E:$E,$E678))</f>
        <v/>
      </c>
      <c r="D678" s="5">
        <f>IF($E678="","",INDEX('Input Transaksi'!$F:$F,$E678))</f>
        <v/>
      </c>
      <c r="E678">
        <f>IFERROR(AGGREGATE(15,6,ROW('Input Transaksi'!$B$5:$B$5000)/('Input Transaksi'!$B$5:$B$5000="JCL PEMOGAN"),ROWS($E$5:E678)),"")</f>
        <v/>
      </c>
      <c r="F678" s="5" t="n"/>
    </row>
    <row r="679">
      <c r="A679" s="10">
        <f>IF($E679="","",INDEX('Input Transaksi'!$A:$A,$E679))</f>
        <v/>
      </c>
      <c r="B679" s="5">
        <f>IF($E679="","",INDEX('Input Transaksi'!$D:$D,$E679))</f>
        <v/>
      </c>
      <c r="C679">
        <f>IF($E679="","",INDEX('Input Transaksi'!$E:$E,$E679))</f>
        <v/>
      </c>
      <c r="D679" s="5">
        <f>IF($E679="","",INDEX('Input Transaksi'!$F:$F,$E679))</f>
        <v/>
      </c>
      <c r="E679">
        <f>IFERROR(AGGREGATE(15,6,ROW('Input Transaksi'!$B$5:$B$5000)/('Input Transaksi'!$B$5:$B$5000="JCL PEMOGAN"),ROWS($E$5:E679)),"")</f>
        <v/>
      </c>
      <c r="F679" s="5" t="n"/>
    </row>
    <row r="680">
      <c r="A680" s="10">
        <f>IF($E680="","",INDEX('Input Transaksi'!$A:$A,$E680))</f>
        <v/>
      </c>
      <c r="B680" s="5">
        <f>IF($E680="","",INDEX('Input Transaksi'!$D:$D,$E680))</f>
        <v/>
      </c>
      <c r="C680">
        <f>IF($E680="","",INDEX('Input Transaksi'!$E:$E,$E680))</f>
        <v/>
      </c>
      <c r="D680" s="5">
        <f>IF($E680="","",INDEX('Input Transaksi'!$F:$F,$E680))</f>
        <v/>
      </c>
      <c r="E680">
        <f>IFERROR(AGGREGATE(15,6,ROW('Input Transaksi'!$B$5:$B$5000)/('Input Transaksi'!$B$5:$B$5000="JCL PEMOGAN"),ROWS($E$5:E680)),"")</f>
        <v/>
      </c>
      <c r="F680" s="5" t="n"/>
    </row>
    <row r="681">
      <c r="A681" s="10">
        <f>IF($E681="","",INDEX('Input Transaksi'!$A:$A,$E681))</f>
        <v/>
      </c>
      <c r="B681" s="5">
        <f>IF($E681="","",INDEX('Input Transaksi'!$D:$D,$E681))</f>
        <v/>
      </c>
      <c r="C681">
        <f>IF($E681="","",INDEX('Input Transaksi'!$E:$E,$E681))</f>
        <v/>
      </c>
      <c r="D681" s="5">
        <f>IF($E681="","",INDEX('Input Transaksi'!$F:$F,$E681))</f>
        <v/>
      </c>
      <c r="E681">
        <f>IFERROR(AGGREGATE(15,6,ROW('Input Transaksi'!$B$5:$B$5000)/('Input Transaksi'!$B$5:$B$5000="JCL PEMOGAN"),ROWS($E$5:E681)),"")</f>
        <v/>
      </c>
      <c r="F681" s="5" t="n"/>
    </row>
    <row r="682">
      <c r="A682" s="10">
        <f>IF($E682="","",INDEX('Input Transaksi'!$A:$A,$E682))</f>
        <v/>
      </c>
      <c r="B682" s="5">
        <f>IF($E682="","",INDEX('Input Transaksi'!$D:$D,$E682))</f>
        <v/>
      </c>
      <c r="C682">
        <f>IF($E682="","",INDEX('Input Transaksi'!$E:$E,$E682))</f>
        <v/>
      </c>
      <c r="D682" s="5">
        <f>IF($E682="","",INDEX('Input Transaksi'!$F:$F,$E682))</f>
        <v/>
      </c>
      <c r="E682">
        <f>IFERROR(AGGREGATE(15,6,ROW('Input Transaksi'!$B$5:$B$5000)/('Input Transaksi'!$B$5:$B$5000="JCL PEMOGAN"),ROWS($E$5:E682)),"")</f>
        <v/>
      </c>
      <c r="F682" s="5" t="n"/>
    </row>
    <row r="683">
      <c r="A683" s="10">
        <f>IF($E683="","",INDEX('Input Transaksi'!$A:$A,$E683))</f>
        <v/>
      </c>
      <c r="B683" s="5">
        <f>IF($E683="","",INDEX('Input Transaksi'!$D:$D,$E683))</f>
        <v/>
      </c>
      <c r="C683">
        <f>IF($E683="","",INDEX('Input Transaksi'!$E:$E,$E683))</f>
        <v/>
      </c>
      <c r="D683" s="5">
        <f>IF($E683="","",INDEX('Input Transaksi'!$F:$F,$E683))</f>
        <v/>
      </c>
      <c r="E683">
        <f>IFERROR(AGGREGATE(15,6,ROW('Input Transaksi'!$B$5:$B$5000)/('Input Transaksi'!$B$5:$B$5000="JCL PEMOGAN"),ROWS($E$5:E683)),"")</f>
        <v/>
      </c>
      <c r="F683" s="5" t="n"/>
    </row>
    <row r="684">
      <c r="A684" s="10">
        <f>IF($E684="","",INDEX('Input Transaksi'!$A:$A,$E684))</f>
        <v/>
      </c>
      <c r="B684" s="5">
        <f>IF($E684="","",INDEX('Input Transaksi'!$D:$D,$E684))</f>
        <v/>
      </c>
      <c r="C684">
        <f>IF($E684="","",INDEX('Input Transaksi'!$E:$E,$E684))</f>
        <v/>
      </c>
      <c r="D684" s="5">
        <f>IF($E684="","",INDEX('Input Transaksi'!$F:$F,$E684))</f>
        <v/>
      </c>
      <c r="E684">
        <f>IFERROR(AGGREGATE(15,6,ROW('Input Transaksi'!$B$5:$B$5000)/('Input Transaksi'!$B$5:$B$5000="JCL PEMOGAN"),ROWS($E$5:E684)),"")</f>
        <v/>
      </c>
      <c r="F684" s="5" t="n"/>
    </row>
    <row r="685">
      <c r="A685" s="10">
        <f>IF($E685="","",INDEX('Input Transaksi'!$A:$A,$E685))</f>
        <v/>
      </c>
      <c r="B685" s="5">
        <f>IF($E685="","",INDEX('Input Transaksi'!$D:$D,$E685))</f>
        <v/>
      </c>
      <c r="C685">
        <f>IF($E685="","",INDEX('Input Transaksi'!$E:$E,$E685))</f>
        <v/>
      </c>
      <c r="D685" s="5">
        <f>IF($E685="","",INDEX('Input Transaksi'!$F:$F,$E685))</f>
        <v/>
      </c>
      <c r="E685">
        <f>IFERROR(AGGREGATE(15,6,ROW('Input Transaksi'!$B$5:$B$5000)/('Input Transaksi'!$B$5:$B$5000="JCL PEMOGAN"),ROWS($E$5:E685)),"")</f>
        <v/>
      </c>
      <c r="F685" s="5" t="n"/>
    </row>
    <row r="686">
      <c r="A686" s="10">
        <f>IF($E686="","",INDEX('Input Transaksi'!$A:$A,$E686))</f>
        <v/>
      </c>
      <c r="B686" s="5">
        <f>IF($E686="","",INDEX('Input Transaksi'!$D:$D,$E686))</f>
        <v/>
      </c>
      <c r="C686">
        <f>IF($E686="","",INDEX('Input Transaksi'!$E:$E,$E686))</f>
        <v/>
      </c>
      <c r="D686" s="5">
        <f>IF($E686="","",INDEX('Input Transaksi'!$F:$F,$E686))</f>
        <v/>
      </c>
      <c r="E686">
        <f>IFERROR(AGGREGATE(15,6,ROW('Input Transaksi'!$B$5:$B$5000)/('Input Transaksi'!$B$5:$B$5000="JCL PEMOGAN"),ROWS($E$5:E686)),"")</f>
        <v/>
      </c>
      <c r="F686" s="5" t="n"/>
    </row>
    <row r="687">
      <c r="A687" s="10">
        <f>IF($E687="","",INDEX('Input Transaksi'!$A:$A,$E687))</f>
        <v/>
      </c>
      <c r="B687" s="5">
        <f>IF($E687="","",INDEX('Input Transaksi'!$D:$D,$E687))</f>
        <v/>
      </c>
      <c r="C687">
        <f>IF($E687="","",INDEX('Input Transaksi'!$E:$E,$E687))</f>
        <v/>
      </c>
      <c r="D687" s="5">
        <f>IF($E687="","",INDEX('Input Transaksi'!$F:$F,$E687))</f>
        <v/>
      </c>
      <c r="E687">
        <f>IFERROR(AGGREGATE(15,6,ROW('Input Transaksi'!$B$5:$B$5000)/('Input Transaksi'!$B$5:$B$5000="JCL PEMOGAN"),ROWS($E$5:E687)),"")</f>
        <v/>
      </c>
      <c r="F687" s="5" t="n"/>
    </row>
    <row r="688">
      <c r="A688" s="10">
        <f>IF($E688="","",INDEX('Input Transaksi'!$A:$A,$E688))</f>
        <v/>
      </c>
      <c r="B688" s="5">
        <f>IF($E688="","",INDEX('Input Transaksi'!$D:$D,$E688))</f>
        <v/>
      </c>
      <c r="C688">
        <f>IF($E688="","",INDEX('Input Transaksi'!$E:$E,$E688))</f>
        <v/>
      </c>
      <c r="D688" s="5">
        <f>IF($E688="","",INDEX('Input Transaksi'!$F:$F,$E688))</f>
        <v/>
      </c>
      <c r="E688">
        <f>IFERROR(AGGREGATE(15,6,ROW('Input Transaksi'!$B$5:$B$5000)/('Input Transaksi'!$B$5:$B$5000="JCL PEMOGAN"),ROWS($E$5:E688)),"")</f>
        <v/>
      </c>
      <c r="F688" s="5" t="n"/>
    </row>
    <row r="689">
      <c r="A689" s="10">
        <f>IF($E689="","",INDEX('Input Transaksi'!$A:$A,$E689))</f>
        <v/>
      </c>
      <c r="B689" s="5">
        <f>IF($E689="","",INDEX('Input Transaksi'!$D:$D,$E689))</f>
        <v/>
      </c>
      <c r="C689">
        <f>IF($E689="","",INDEX('Input Transaksi'!$E:$E,$E689))</f>
        <v/>
      </c>
      <c r="D689" s="5">
        <f>IF($E689="","",INDEX('Input Transaksi'!$F:$F,$E689))</f>
        <v/>
      </c>
      <c r="E689">
        <f>IFERROR(AGGREGATE(15,6,ROW('Input Transaksi'!$B$5:$B$5000)/('Input Transaksi'!$B$5:$B$5000="JCL PEMOGAN"),ROWS($E$5:E689)),"")</f>
        <v/>
      </c>
      <c r="F689" s="5" t="n"/>
    </row>
    <row r="690">
      <c r="A690" s="10">
        <f>IF($E690="","",INDEX('Input Transaksi'!$A:$A,$E690))</f>
        <v/>
      </c>
      <c r="B690" s="5">
        <f>IF($E690="","",INDEX('Input Transaksi'!$D:$D,$E690))</f>
        <v/>
      </c>
      <c r="C690">
        <f>IF($E690="","",INDEX('Input Transaksi'!$E:$E,$E690))</f>
        <v/>
      </c>
      <c r="D690" s="5">
        <f>IF($E690="","",INDEX('Input Transaksi'!$F:$F,$E690))</f>
        <v/>
      </c>
      <c r="E690">
        <f>IFERROR(AGGREGATE(15,6,ROW('Input Transaksi'!$B$5:$B$5000)/('Input Transaksi'!$B$5:$B$5000="JCL PEMOGAN"),ROWS($E$5:E690)),"")</f>
        <v/>
      </c>
      <c r="F690" s="5" t="n"/>
    </row>
    <row r="691">
      <c r="A691" s="10">
        <f>IF($E691="","",INDEX('Input Transaksi'!$A:$A,$E691))</f>
        <v/>
      </c>
      <c r="B691" s="5">
        <f>IF($E691="","",INDEX('Input Transaksi'!$D:$D,$E691))</f>
        <v/>
      </c>
      <c r="C691">
        <f>IF($E691="","",INDEX('Input Transaksi'!$E:$E,$E691))</f>
        <v/>
      </c>
      <c r="D691" s="5">
        <f>IF($E691="","",INDEX('Input Transaksi'!$F:$F,$E691))</f>
        <v/>
      </c>
      <c r="E691">
        <f>IFERROR(AGGREGATE(15,6,ROW('Input Transaksi'!$B$5:$B$5000)/('Input Transaksi'!$B$5:$B$5000="JCL PEMOGAN"),ROWS($E$5:E691)),"")</f>
        <v/>
      </c>
      <c r="F691" s="5" t="n"/>
    </row>
    <row r="692">
      <c r="A692" s="10">
        <f>IF($E692="","",INDEX('Input Transaksi'!$A:$A,$E692))</f>
        <v/>
      </c>
      <c r="B692" s="5">
        <f>IF($E692="","",INDEX('Input Transaksi'!$D:$D,$E692))</f>
        <v/>
      </c>
      <c r="C692">
        <f>IF($E692="","",INDEX('Input Transaksi'!$E:$E,$E692))</f>
        <v/>
      </c>
      <c r="D692" s="5">
        <f>IF($E692="","",INDEX('Input Transaksi'!$F:$F,$E692))</f>
        <v/>
      </c>
      <c r="E692">
        <f>IFERROR(AGGREGATE(15,6,ROW('Input Transaksi'!$B$5:$B$5000)/('Input Transaksi'!$B$5:$B$5000="JCL PEMOGAN"),ROWS($E$5:E692)),"")</f>
        <v/>
      </c>
      <c r="F692" s="5" t="n"/>
    </row>
    <row r="693">
      <c r="A693" s="10">
        <f>IF($E693="","",INDEX('Input Transaksi'!$A:$A,$E693))</f>
        <v/>
      </c>
      <c r="B693" s="5">
        <f>IF($E693="","",INDEX('Input Transaksi'!$D:$D,$E693))</f>
        <v/>
      </c>
      <c r="C693">
        <f>IF($E693="","",INDEX('Input Transaksi'!$E:$E,$E693))</f>
        <v/>
      </c>
      <c r="D693" s="5">
        <f>IF($E693="","",INDEX('Input Transaksi'!$F:$F,$E693))</f>
        <v/>
      </c>
      <c r="E693">
        <f>IFERROR(AGGREGATE(15,6,ROW('Input Transaksi'!$B$5:$B$5000)/('Input Transaksi'!$B$5:$B$5000="JCL PEMOGAN"),ROWS($E$5:E693)),"")</f>
        <v/>
      </c>
      <c r="F693" s="5" t="n"/>
    </row>
    <row r="694">
      <c r="A694" s="10">
        <f>IF($E694="","",INDEX('Input Transaksi'!$A:$A,$E694))</f>
        <v/>
      </c>
      <c r="B694" s="5">
        <f>IF($E694="","",INDEX('Input Transaksi'!$D:$D,$E694))</f>
        <v/>
      </c>
      <c r="C694">
        <f>IF($E694="","",INDEX('Input Transaksi'!$E:$E,$E694))</f>
        <v/>
      </c>
      <c r="D694" s="5">
        <f>IF($E694="","",INDEX('Input Transaksi'!$F:$F,$E694))</f>
        <v/>
      </c>
      <c r="E694">
        <f>IFERROR(AGGREGATE(15,6,ROW('Input Transaksi'!$B$5:$B$5000)/('Input Transaksi'!$B$5:$B$5000="JCL PEMOGAN"),ROWS($E$5:E694)),"")</f>
        <v/>
      </c>
      <c r="F694" s="5" t="n"/>
    </row>
    <row r="695">
      <c r="A695" s="10">
        <f>IF($E695="","",INDEX('Input Transaksi'!$A:$A,$E695))</f>
        <v/>
      </c>
      <c r="B695" s="5">
        <f>IF($E695="","",INDEX('Input Transaksi'!$D:$D,$E695))</f>
        <v/>
      </c>
      <c r="C695">
        <f>IF($E695="","",INDEX('Input Transaksi'!$E:$E,$E695))</f>
        <v/>
      </c>
      <c r="D695" s="5">
        <f>IF($E695="","",INDEX('Input Transaksi'!$F:$F,$E695))</f>
        <v/>
      </c>
      <c r="E695">
        <f>IFERROR(AGGREGATE(15,6,ROW('Input Transaksi'!$B$5:$B$5000)/('Input Transaksi'!$B$5:$B$5000="JCL PEMOGAN"),ROWS($E$5:E695)),"")</f>
        <v/>
      </c>
      <c r="F695" s="5" t="n"/>
    </row>
    <row r="696">
      <c r="A696" s="10">
        <f>IF($E696="","",INDEX('Input Transaksi'!$A:$A,$E696))</f>
        <v/>
      </c>
      <c r="B696" s="5">
        <f>IF($E696="","",INDEX('Input Transaksi'!$D:$D,$E696))</f>
        <v/>
      </c>
      <c r="C696">
        <f>IF($E696="","",INDEX('Input Transaksi'!$E:$E,$E696))</f>
        <v/>
      </c>
      <c r="D696" s="5">
        <f>IF($E696="","",INDEX('Input Transaksi'!$F:$F,$E696))</f>
        <v/>
      </c>
      <c r="E696">
        <f>IFERROR(AGGREGATE(15,6,ROW('Input Transaksi'!$B$5:$B$5000)/('Input Transaksi'!$B$5:$B$5000="JCL PEMOGAN"),ROWS($E$5:E696)),"")</f>
        <v/>
      </c>
      <c r="F696" s="5" t="n"/>
    </row>
    <row r="697">
      <c r="A697" s="10">
        <f>IF($E697="","",INDEX('Input Transaksi'!$A:$A,$E697))</f>
        <v/>
      </c>
      <c r="B697" s="5">
        <f>IF($E697="","",INDEX('Input Transaksi'!$D:$D,$E697))</f>
        <v/>
      </c>
      <c r="C697">
        <f>IF($E697="","",INDEX('Input Transaksi'!$E:$E,$E697))</f>
        <v/>
      </c>
      <c r="D697" s="5">
        <f>IF($E697="","",INDEX('Input Transaksi'!$F:$F,$E697))</f>
        <v/>
      </c>
      <c r="E697">
        <f>IFERROR(AGGREGATE(15,6,ROW('Input Transaksi'!$B$5:$B$5000)/('Input Transaksi'!$B$5:$B$5000="JCL PEMOGAN"),ROWS($E$5:E697)),"")</f>
        <v/>
      </c>
      <c r="F697" s="5" t="n"/>
    </row>
    <row r="698">
      <c r="A698" s="10">
        <f>IF($E698="","",INDEX('Input Transaksi'!$A:$A,$E698))</f>
        <v/>
      </c>
      <c r="B698" s="5">
        <f>IF($E698="","",INDEX('Input Transaksi'!$D:$D,$E698))</f>
        <v/>
      </c>
      <c r="C698">
        <f>IF($E698="","",INDEX('Input Transaksi'!$E:$E,$E698))</f>
        <v/>
      </c>
      <c r="D698" s="5">
        <f>IF($E698="","",INDEX('Input Transaksi'!$F:$F,$E698))</f>
        <v/>
      </c>
      <c r="E698">
        <f>IFERROR(AGGREGATE(15,6,ROW('Input Transaksi'!$B$5:$B$5000)/('Input Transaksi'!$B$5:$B$5000="JCL PEMOGAN"),ROWS($E$5:E698)),"")</f>
        <v/>
      </c>
      <c r="F698" s="5" t="n"/>
    </row>
    <row r="699">
      <c r="A699" s="10">
        <f>IF($E699="","",INDEX('Input Transaksi'!$A:$A,$E699))</f>
        <v/>
      </c>
      <c r="B699" s="5">
        <f>IF($E699="","",INDEX('Input Transaksi'!$D:$D,$E699))</f>
        <v/>
      </c>
      <c r="C699">
        <f>IF($E699="","",INDEX('Input Transaksi'!$E:$E,$E699))</f>
        <v/>
      </c>
      <c r="D699" s="5">
        <f>IF($E699="","",INDEX('Input Transaksi'!$F:$F,$E699))</f>
        <v/>
      </c>
      <c r="E699">
        <f>IFERROR(AGGREGATE(15,6,ROW('Input Transaksi'!$B$5:$B$5000)/('Input Transaksi'!$B$5:$B$5000="JCL PEMOGAN"),ROWS($E$5:E699)),"")</f>
        <v/>
      </c>
      <c r="F699" s="5" t="n"/>
    </row>
    <row r="700">
      <c r="A700" s="10">
        <f>IF($E700="","",INDEX('Input Transaksi'!$A:$A,$E700))</f>
        <v/>
      </c>
      <c r="B700" s="5">
        <f>IF($E700="","",INDEX('Input Transaksi'!$D:$D,$E700))</f>
        <v/>
      </c>
      <c r="C700">
        <f>IF($E700="","",INDEX('Input Transaksi'!$E:$E,$E700))</f>
        <v/>
      </c>
      <c r="D700" s="5">
        <f>IF($E700="","",INDEX('Input Transaksi'!$F:$F,$E700))</f>
        <v/>
      </c>
      <c r="E700">
        <f>IFERROR(AGGREGATE(15,6,ROW('Input Transaksi'!$B$5:$B$5000)/('Input Transaksi'!$B$5:$B$5000="JCL PEMOGAN"),ROWS($E$5:E700)),"")</f>
        <v/>
      </c>
      <c r="F700" s="5" t="n"/>
    </row>
    <row r="701">
      <c r="A701" s="10">
        <f>IF($E701="","",INDEX('Input Transaksi'!$A:$A,$E701))</f>
        <v/>
      </c>
      <c r="B701" s="5">
        <f>IF($E701="","",INDEX('Input Transaksi'!$D:$D,$E701))</f>
        <v/>
      </c>
      <c r="C701">
        <f>IF($E701="","",INDEX('Input Transaksi'!$E:$E,$E701))</f>
        <v/>
      </c>
      <c r="D701" s="5">
        <f>IF($E701="","",INDEX('Input Transaksi'!$F:$F,$E701))</f>
        <v/>
      </c>
      <c r="E701">
        <f>IFERROR(AGGREGATE(15,6,ROW('Input Transaksi'!$B$5:$B$5000)/('Input Transaksi'!$B$5:$B$5000="JCL PEMOGAN"),ROWS($E$5:E701)),"")</f>
        <v/>
      </c>
      <c r="F701" s="5" t="n"/>
    </row>
    <row r="702">
      <c r="A702" s="10">
        <f>IF($E702="","",INDEX('Input Transaksi'!$A:$A,$E702))</f>
        <v/>
      </c>
      <c r="B702" s="5">
        <f>IF($E702="","",INDEX('Input Transaksi'!$D:$D,$E702))</f>
        <v/>
      </c>
      <c r="C702">
        <f>IF($E702="","",INDEX('Input Transaksi'!$E:$E,$E702))</f>
        <v/>
      </c>
      <c r="D702" s="5">
        <f>IF($E702="","",INDEX('Input Transaksi'!$F:$F,$E702))</f>
        <v/>
      </c>
      <c r="E702">
        <f>IFERROR(AGGREGATE(15,6,ROW('Input Transaksi'!$B$5:$B$5000)/('Input Transaksi'!$B$5:$B$5000="JCL PEMOGAN"),ROWS($E$5:E702)),"")</f>
        <v/>
      </c>
      <c r="F702" s="5" t="n"/>
    </row>
    <row r="703">
      <c r="A703" s="10">
        <f>IF($E703="","",INDEX('Input Transaksi'!$A:$A,$E703))</f>
        <v/>
      </c>
      <c r="B703" s="5">
        <f>IF($E703="","",INDEX('Input Transaksi'!$D:$D,$E703))</f>
        <v/>
      </c>
      <c r="C703">
        <f>IF($E703="","",INDEX('Input Transaksi'!$E:$E,$E703))</f>
        <v/>
      </c>
      <c r="D703" s="5">
        <f>IF($E703="","",INDEX('Input Transaksi'!$F:$F,$E703))</f>
        <v/>
      </c>
      <c r="E703">
        <f>IFERROR(AGGREGATE(15,6,ROW('Input Transaksi'!$B$5:$B$5000)/('Input Transaksi'!$B$5:$B$5000="JCL PEMOGAN"),ROWS($E$5:E703)),"")</f>
        <v/>
      </c>
      <c r="F703" s="5" t="n"/>
    </row>
    <row r="704">
      <c r="A704" s="10">
        <f>IF($E704="","",INDEX('Input Transaksi'!$A:$A,$E704))</f>
        <v/>
      </c>
      <c r="B704" s="5">
        <f>IF($E704="","",INDEX('Input Transaksi'!$D:$D,$E704))</f>
        <v/>
      </c>
      <c r="C704">
        <f>IF($E704="","",INDEX('Input Transaksi'!$E:$E,$E704))</f>
        <v/>
      </c>
      <c r="D704" s="5">
        <f>IF($E704="","",INDEX('Input Transaksi'!$F:$F,$E704))</f>
        <v/>
      </c>
      <c r="E704">
        <f>IFERROR(AGGREGATE(15,6,ROW('Input Transaksi'!$B$5:$B$5000)/('Input Transaksi'!$B$5:$B$5000="JCL PEMOGAN"),ROWS($E$5:E704)),"")</f>
        <v/>
      </c>
      <c r="F704" s="5" t="n"/>
    </row>
    <row r="705">
      <c r="A705" s="10">
        <f>IF($E705="","",INDEX('Input Transaksi'!$A:$A,$E705))</f>
        <v/>
      </c>
      <c r="B705" s="5">
        <f>IF($E705="","",INDEX('Input Transaksi'!$D:$D,$E705))</f>
        <v/>
      </c>
      <c r="C705">
        <f>IF($E705="","",INDEX('Input Transaksi'!$E:$E,$E705))</f>
        <v/>
      </c>
      <c r="D705" s="5">
        <f>IF($E705="","",INDEX('Input Transaksi'!$F:$F,$E705))</f>
        <v/>
      </c>
      <c r="E705">
        <f>IFERROR(AGGREGATE(15,6,ROW('Input Transaksi'!$B$5:$B$5000)/('Input Transaksi'!$B$5:$B$5000="JCL PEMOGAN"),ROWS($E$5:E705)),"")</f>
        <v/>
      </c>
      <c r="F705" s="5" t="n"/>
    </row>
    <row r="706">
      <c r="A706" s="10">
        <f>IF($E706="","",INDEX('Input Transaksi'!$A:$A,$E706))</f>
        <v/>
      </c>
      <c r="B706" s="5">
        <f>IF($E706="","",INDEX('Input Transaksi'!$D:$D,$E706))</f>
        <v/>
      </c>
      <c r="C706">
        <f>IF($E706="","",INDEX('Input Transaksi'!$E:$E,$E706))</f>
        <v/>
      </c>
      <c r="D706" s="5">
        <f>IF($E706="","",INDEX('Input Transaksi'!$F:$F,$E706))</f>
        <v/>
      </c>
      <c r="E706">
        <f>IFERROR(AGGREGATE(15,6,ROW('Input Transaksi'!$B$5:$B$5000)/('Input Transaksi'!$B$5:$B$5000="JCL PEMOGAN"),ROWS($E$5:E706)),"")</f>
        <v/>
      </c>
      <c r="F706" s="5" t="n"/>
    </row>
    <row r="707">
      <c r="A707" s="10">
        <f>IF($E707="","",INDEX('Input Transaksi'!$A:$A,$E707))</f>
        <v/>
      </c>
      <c r="B707" s="5">
        <f>IF($E707="","",INDEX('Input Transaksi'!$D:$D,$E707))</f>
        <v/>
      </c>
      <c r="C707">
        <f>IF($E707="","",INDEX('Input Transaksi'!$E:$E,$E707))</f>
        <v/>
      </c>
      <c r="D707" s="5">
        <f>IF($E707="","",INDEX('Input Transaksi'!$F:$F,$E707))</f>
        <v/>
      </c>
      <c r="E707">
        <f>IFERROR(AGGREGATE(15,6,ROW('Input Transaksi'!$B$5:$B$5000)/('Input Transaksi'!$B$5:$B$5000="JCL PEMOGAN"),ROWS($E$5:E707)),"")</f>
        <v/>
      </c>
      <c r="F707" s="5" t="n"/>
    </row>
    <row r="708">
      <c r="A708" s="10">
        <f>IF($E708="","",INDEX('Input Transaksi'!$A:$A,$E708))</f>
        <v/>
      </c>
      <c r="B708" s="5">
        <f>IF($E708="","",INDEX('Input Transaksi'!$D:$D,$E708))</f>
        <v/>
      </c>
      <c r="C708">
        <f>IF($E708="","",INDEX('Input Transaksi'!$E:$E,$E708))</f>
        <v/>
      </c>
      <c r="D708" s="5">
        <f>IF($E708="","",INDEX('Input Transaksi'!$F:$F,$E708))</f>
        <v/>
      </c>
      <c r="E708">
        <f>IFERROR(AGGREGATE(15,6,ROW('Input Transaksi'!$B$5:$B$5000)/('Input Transaksi'!$B$5:$B$5000="JCL PEMOGAN"),ROWS($E$5:E708)),"")</f>
        <v/>
      </c>
      <c r="F708" s="5" t="n"/>
    </row>
    <row r="709">
      <c r="A709" s="10">
        <f>IF($E709="","",INDEX('Input Transaksi'!$A:$A,$E709))</f>
        <v/>
      </c>
      <c r="B709" s="5">
        <f>IF($E709="","",INDEX('Input Transaksi'!$D:$D,$E709))</f>
        <v/>
      </c>
      <c r="C709">
        <f>IF($E709="","",INDEX('Input Transaksi'!$E:$E,$E709))</f>
        <v/>
      </c>
      <c r="D709" s="5">
        <f>IF($E709="","",INDEX('Input Transaksi'!$F:$F,$E709))</f>
        <v/>
      </c>
      <c r="E709">
        <f>IFERROR(AGGREGATE(15,6,ROW('Input Transaksi'!$B$5:$B$5000)/('Input Transaksi'!$B$5:$B$5000="JCL PEMOGAN"),ROWS($E$5:E709)),"")</f>
        <v/>
      </c>
      <c r="F709" s="5" t="n"/>
    </row>
    <row r="710">
      <c r="A710" s="10">
        <f>IF($E710="","",INDEX('Input Transaksi'!$A:$A,$E710))</f>
        <v/>
      </c>
      <c r="B710" s="5">
        <f>IF($E710="","",INDEX('Input Transaksi'!$D:$D,$E710))</f>
        <v/>
      </c>
      <c r="C710">
        <f>IF($E710="","",INDEX('Input Transaksi'!$E:$E,$E710))</f>
        <v/>
      </c>
      <c r="D710" s="5">
        <f>IF($E710="","",INDEX('Input Transaksi'!$F:$F,$E710))</f>
        <v/>
      </c>
      <c r="E710">
        <f>IFERROR(AGGREGATE(15,6,ROW('Input Transaksi'!$B$5:$B$5000)/('Input Transaksi'!$B$5:$B$5000="JCL PEMOGAN"),ROWS($E$5:E710)),"")</f>
        <v/>
      </c>
      <c r="F710" s="5" t="n"/>
    </row>
    <row r="711">
      <c r="A711" s="10">
        <f>IF($E711="","",INDEX('Input Transaksi'!$A:$A,$E711))</f>
        <v/>
      </c>
      <c r="B711" s="5">
        <f>IF($E711="","",INDEX('Input Transaksi'!$D:$D,$E711))</f>
        <v/>
      </c>
      <c r="C711">
        <f>IF($E711="","",INDEX('Input Transaksi'!$E:$E,$E711))</f>
        <v/>
      </c>
      <c r="D711" s="5">
        <f>IF($E711="","",INDEX('Input Transaksi'!$F:$F,$E711))</f>
        <v/>
      </c>
      <c r="E711">
        <f>IFERROR(AGGREGATE(15,6,ROW('Input Transaksi'!$B$5:$B$5000)/('Input Transaksi'!$B$5:$B$5000="JCL PEMOGAN"),ROWS($E$5:E711)),"")</f>
        <v/>
      </c>
      <c r="F711" s="5" t="n"/>
    </row>
    <row r="712">
      <c r="A712" s="10">
        <f>IF($E712="","",INDEX('Input Transaksi'!$A:$A,$E712))</f>
        <v/>
      </c>
      <c r="B712" s="5">
        <f>IF($E712="","",INDEX('Input Transaksi'!$D:$D,$E712))</f>
        <v/>
      </c>
      <c r="C712">
        <f>IF($E712="","",INDEX('Input Transaksi'!$E:$E,$E712))</f>
        <v/>
      </c>
      <c r="D712" s="5">
        <f>IF($E712="","",INDEX('Input Transaksi'!$F:$F,$E712))</f>
        <v/>
      </c>
      <c r="E712">
        <f>IFERROR(AGGREGATE(15,6,ROW('Input Transaksi'!$B$5:$B$5000)/('Input Transaksi'!$B$5:$B$5000="JCL PEMOGAN"),ROWS($E$5:E712)),"")</f>
        <v/>
      </c>
      <c r="F712" s="5" t="n"/>
    </row>
    <row r="713">
      <c r="A713" s="10">
        <f>IF($E713="","",INDEX('Input Transaksi'!$A:$A,$E713))</f>
        <v/>
      </c>
      <c r="B713" s="5">
        <f>IF($E713="","",INDEX('Input Transaksi'!$D:$D,$E713))</f>
        <v/>
      </c>
      <c r="C713">
        <f>IF($E713="","",INDEX('Input Transaksi'!$E:$E,$E713))</f>
        <v/>
      </c>
      <c r="D713" s="5">
        <f>IF($E713="","",INDEX('Input Transaksi'!$F:$F,$E713))</f>
        <v/>
      </c>
      <c r="E713">
        <f>IFERROR(AGGREGATE(15,6,ROW('Input Transaksi'!$B$5:$B$5000)/('Input Transaksi'!$B$5:$B$5000="JCL PEMOGAN"),ROWS($E$5:E713)),"")</f>
        <v/>
      </c>
      <c r="F713" s="5" t="n"/>
    </row>
    <row r="714">
      <c r="A714" s="10">
        <f>IF($E714="","",INDEX('Input Transaksi'!$A:$A,$E714))</f>
        <v/>
      </c>
      <c r="B714" s="5">
        <f>IF($E714="","",INDEX('Input Transaksi'!$D:$D,$E714))</f>
        <v/>
      </c>
      <c r="C714">
        <f>IF($E714="","",INDEX('Input Transaksi'!$E:$E,$E714))</f>
        <v/>
      </c>
      <c r="D714" s="5">
        <f>IF($E714="","",INDEX('Input Transaksi'!$F:$F,$E714))</f>
        <v/>
      </c>
      <c r="E714">
        <f>IFERROR(AGGREGATE(15,6,ROW('Input Transaksi'!$B$5:$B$5000)/('Input Transaksi'!$B$5:$B$5000="JCL PEMOGAN"),ROWS($E$5:E714)),"")</f>
        <v/>
      </c>
      <c r="F714" s="5" t="n"/>
    </row>
    <row r="715">
      <c r="A715" s="10">
        <f>IF($E715="","",INDEX('Input Transaksi'!$A:$A,$E715))</f>
        <v/>
      </c>
      <c r="B715" s="5">
        <f>IF($E715="","",INDEX('Input Transaksi'!$D:$D,$E715))</f>
        <v/>
      </c>
      <c r="C715">
        <f>IF($E715="","",INDEX('Input Transaksi'!$E:$E,$E715))</f>
        <v/>
      </c>
      <c r="D715" s="5">
        <f>IF($E715="","",INDEX('Input Transaksi'!$F:$F,$E715))</f>
        <v/>
      </c>
      <c r="E715">
        <f>IFERROR(AGGREGATE(15,6,ROW('Input Transaksi'!$B$5:$B$5000)/('Input Transaksi'!$B$5:$B$5000="JCL PEMOGAN"),ROWS($E$5:E715)),"")</f>
        <v/>
      </c>
      <c r="F715" s="5" t="n"/>
    </row>
    <row r="716">
      <c r="A716" s="10">
        <f>IF($E716="","",INDEX('Input Transaksi'!$A:$A,$E716))</f>
        <v/>
      </c>
      <c r="B716" s="5">
        <f>IF($E716="","",INDEX('Input Transaksi'!$D:$D,$E716))</f>
        <v/>
      </c>
      <c r="C716">
        <f>IF($E716="","",INDEX('Input Transaksi'!$E:$E,$E716))</f>
        <v/>
      </c>
      <c r="D716" s="5">
        <f>IF($E716="","",INDEX('Input Transaksi'!$F:$F,$E716))</f>
        <v/>
      </c>
      <c r="E716">
        <f>IFERROR(AGGREGATE(15,6,ROW('Input Transaksi'!$B$5:$B$5000)/('Input Transaksi'!$B$5:$B$5000="JCL PEMOGAN"),ROWS($E$5:E716)),"")</f>
        <v/>
      </c>
      <c r="F716" s="5" t="n"/>
    </row>
    <row r="717">
      <c r="A717" s="10">
        <f>IF($E717="","",INDEX('Input Transaksi'!$A:$A,$E717))</f>
        <v/>
      </c>
      <c r="B717" s="5">
        <f>IF($E717="","",INDEX('Input Transaksi'!$D:$D,$E717))</f>
        <v/>
      </c>
      <c r="C717">
        <f>IF($E717="","",INDEX('Input Transaksi'!$E:$E,$E717))</f>
        <v/>
      </c>
      <c r="D717" s="5">
        <f>IF($E717="","",INDEX('Input Transaksi'!$F:$F,$E717))</f>
        <v/>
      </c>
      <c r="E717">
        <f>IFERROR(AGGREGATE(15,6,ROW('Input Transaksi'!$B$5:$B$5000)/('Input Transaksi'!$B$5:$B$5000="JCL PEMOGAN"),ROWS($E$5:E717)),"")</f>
        <v/>
      </c>
      <c r="F717" s="5" t="n"/>
    </row>
    <row r="718">
      <c r="A718" s="10">
        <f>IF($E718="","",INDEX('Input Transaksi'!$A:$A,$E718))</f>
        <v/>
      </c>
      <c r="B718" s="5">
        <f>IF($E718="","",INDEX('Input Transaksi'!$D:$D,$E718))</f>
        <v/>
      </c>
      <c r="C718">
        <f>IF($E718="","",INDEX('Input Transaksi'!$E:$E,$E718))</f>
        <v/>
      </c>
      <c r="D718" s="5">
        <f>IF($E718="","",INDEX('Input Transaksi'!$F:$F,$E718))</f>
        <v/>
      </c>
      <c r="E718">
        <f>IFERROR(AGGREGATE(15,6,ROW('Input Transaksi'!$B$5:$B$5000)/('Input Transaksi'!$B$5:$B$5000="JCL PEMOGAN"),ROWS($E$5:E718)),"")</f>
        <v/>
      </c>
      <c r="F718" s="5" t="n"/>
    </row>
    <row r="719">
      <c r="A719" s="10">
        <f>IF($E719="","",INDEX('Input Transaksi'!$A:$A,$E719))</f>
        <v/>
      </c>
      <c r="B719" s="5">
        <f>IF($E719="","",INDEX('Input Transaksi'!$D:$D,$E719))</f>
        <v/>
      </c>
      <c r="C719">
        <f>IF($E719="","",INDEX('Input Transaksi'!$E:$E,$E719))</f>
        <v/>
      </c>
      <c r="D719" s="5">
        <f>IF($E719="","",INDEX('Input Transaksi'!$F:$F,$E719))</f>
        <v/>
      </c>
      <c r="E719">
        <f>IFERROR(AGGREGATE(15,6,ROW('Input Transaksi'!$B$5:$B$5000)/('Input Transaksi'!$B$5:$B$5000="JCL PEMOGAN"),ROWS($E$5:E719)),"")</f>
        <v/>
      </c>
      <c r="F719" s="5" t="n"/>
    </row>
    <row r="720">
      <c r="A720" s="10">
        <f>IF($E720="","",INDEX('Input Transaksi'!$A:$A,$E720))</f>
        <v/>
      </c>
      <c r="B720" s="5">
        <f>IF($E720="","",INDEX('Input Transaksi'!$D:$D,$E720))</f>
        <v/>
      </c>
      <c r="C720">
        <f>IF($E720="","",INDEX('Input Transaksi'!$E:$E,$E720))</f>
        <v/>
      </c>
      <c r="D720" s="5">
        <f>IF($E720="","",INDEX('Input Transaksi'!$F:$F,$E720))</f>
        <v/>
      </c>
      <c r="E720">
        <f>IFERROR(AGGREGATE(15,6,ROW('Input Transaksi'!$B$5:$B$5000)/('Input Transaksi'!$B$5:$B$5000="JCL PEMOGAN"),ROWS($E$5:E720)),"")</f>
        <v/>
      </c>
      <c r="F720" s="5" t="n"/>
    </row>
    <row r="721">
      <c r="A721" s="10">
        <f>IF($E721="","",INDEX('Input Transaksi'!$A:$A,$E721))</f>
        <v/>
      </c>
      <c r="B721" s="5">
        <f>IF($E721="","",INDEX('Input Transaksi'!$D:$D,$E721))</f>
        <v/>
      </c>
      <c r="C721">
        <f>IF($E721="","",INDEX('Input Transaksi'!$E:$E,$E721))</f>
        <v/>
      </c>
      <c r="D721" s="5">
        <f>IF($E721="","",INDEX('Input Transaksi'!$F:$F,$E721))</f>
        <v/>
      </c>
      <c r="E721">
        <f>IFERROR(AGGREGATE(15,6,ROW('Input Transaksi'!$B$5:$B$5000)/('Input Transaksi'!$B$5:$B$5000="JCL PEMOGAN"),ROWS($E$5:E721)),"")</f>
        <v/>
      </c>
      <c r="F721" s="5" t="n"/>
    </row>
    <row r="722">
      <c r="A722" s="10">
        <f>IF($E722="","",INDEX('Input Transaksi'!$A:$A,$E722))</f>
        <v/>
      </c>
      <c r="B722" s="5">
        <f>IF($E722="","",INDEX('Input Transaksi'!$D:$D,$E722))</f>
        <v/>
      </c>
      <c r="C722">
        <f>IF($E722="","",INDEX('Input Transaksi'!$E:$E,$E722))</f>
        <v/>
      </c>
      <c r="D722" s="5">
        <f>IF($E722="","",INDEX('Input Transaksi'!$F:$F,$E722))</f>
        <v/>
      </c>
      <c r="E722">
        <f>IFERROR(AGGREGATE(15,6,ROW('Input Transaksi'!$B$5:$B$5000)/('Input Transaksi'!$B$5:$B$5000="JCL PEMOGAN"),ROWS($E$5:E722)),"")</f>
        <v/>
      </c>
      <c r="F722" s="5" t="n"/>
    </row>
    <row r="723">
      <c r="A723" s="10">
        <f>IF($E723="","",INDEX('Input Transaksi'!$A:$A,$E723))</f>
        <v/>
      </c>
      <c r="B723" s="5">
        <f>IF($E723="","",INDEX('Input Transaksi'!$D:$D,$E723))</f>
        <v/>
      </c>
      <c r="C723">
        <f>IF($E723="","",INDEX('Input Transaksi'!$E:$E,$E723))</f>
        <v/>
      </c>
      <c r="D723" s="5">
        <f>IF($E723="","",INDEX('Input Transaksi'!$F:$F,$E723))</f>
        <v/>
      </c>
      <c r="E723">
        <f>IFERROR(AGGREGATE(15,6,ROW('Input Transaksi'!$B$5:$B$5000)/('Input Transaksi'!$B$5:$B$5000="JCL PEMOGAN"),ROWS($E$5:E723)),"")</f>
        <v/>
      </c>
      <c r="F723" s="5" t="n"/>
    </row>
    <row r="724">
      <c r="A724" s="10">
        <f>IF($E724="","",INDEX('Input Transaksi'!$A:$A,$E724))</f>
        <v/>
      </c>
      <c r="B724" s="5">
        <f>IF($E724="","",INDEX('Input Transaksi'!$D:$D,$E724))</f>
        <v/>
      </c>
      <c r="C724">
        <f>IF($E724="","",INDEX('Input Transaksi'!$E:$E,$E724))</f>
        <v/>
      </c>
      <c r="D724" s="5">
        <f>IF($E724="","",INDEX('Input Transaksi'!$F:$F,$E724))</f>
        <v/>
      </c>
      <c r="E724">
        <f>IFERROR(AGGREGATE(15,6,ROW('Input Transaksi'!$B$5:$B$5000)/('Input Transaksi'!$B$5:$B$5000="JCL PEMOGAN"),ROWS($E$5:E724)),"")</f>
        <v/>
      </c>
      <c r="F724" s="5" t="n"/>
    </row>
    <row r="725">
      <c r="A725" s="10">
        <f>IF($E725="","",INDEX('Input Transaksi'!$A:$A,$E725))</f>
        <v/>
      </c>
      <c r="B725" s="5">
        <f>IF($E725="","",INDEX('Input Transaksi'!$D:$D,$E725))</f>
        <v/>
      </c>
      <c r="C725">
        <f>IF($E725="","",INDEX('Input Transaksi'!$E:$E,$E725))</f>
        <v/>
      </c>
      <c r="D725" s="5">
        <f>IF($E725="","",INDEX('Input Transaksi'!$F:$F,$E725))</f>
        <v/>
      </c>
      <c r="E725">
        <f>IFERROR(AGGREGATE(15,6,ROW('Input Transaksi'!$B$5:$B$5000)/('Input Transaksi'!$B$5:$B$5000="JCL PEMOGAN"),ROWS($E$5:E725)),"")</f>
        <v/>
      </c>
      <c r="F725" s="5" t="n"/>
    </row>
    <row r="726">
      <c r="A726" s="10">
        <f>IF($E726="","",INDEX('Input Transaksi'!$A:$A,$E726))</f>
        <v/>
      </c>
      <c r="B726" s="5">
        <f>IF($E726="","",INDEX('Input Transaksi'!$D:$D,$E726))</f>
        <v/>
      </c>
      <c r="C726">
        <f>IF($E726="","",INDEX('Input Transaksi'!$E:$E,$E726))</f>
        <v/>
      </c>
      <c r="D726" s="5">
        <f>IF($E726="","",INDEX('Input Transaksi'!$F:$F,$E726))</f>
        <v/>
      </c>
      <c r="E726">
        <f>IFERROR(AGGREGATE(15,6,ROW('Input Transaksi'!$B$5:$B$5000)/('Input Transaksi'!$B$5:$B$5000="JCL PEMOGAN"),ROWS($E$5:E726)),"")</f>
        <v/>
      </c>
      <c r="F726" s="5" t="n"/>
    </row>
    <row r="727">
      <c r="A727" s="10">
        <f>IF($E727="","",INDEX('Input Transaksi'!$A:$A,$E727))</f>
        <v/>
      </c>
      <c r="B727" s="5">
        <f>IF($E727="","",INDEX('Input Transaksi'!$D:$D,$E727))</f>
        <v/>
      </c>
      <c r="C727">
        <f>IF($E727="","",INDEX('Input Transaksi'!$E:$E,$E727))</f>
        <v/>
      </c>
      <c r="D727" s="5">
        <f>IF($E727="","",INDEX('Input Transaksi'!$F:$F,$E727))</f>
        <v/>
      </c>
      <c r="E727">
        <f>IFERROR(AGGREGATE(15,6,ROW('Input Transaksi'!$B$5:$B$5000)/('Input Transaksi'!$B$5:$B$5000="JCL PEMOGAN"),ROWS($E$5:E727)),"")</f>
        <v/>
      </c>
      <c r="F727" s="5" t="n"/>
    </row>
    <row r="728">
      <c r="A728" s="10">
        <f>IF($E728="","",INDEX('Input Transaksi'!$A:$A,$E728))</f>
        <v/>
      </c>
      <c r="B728" s="5">
        <f>IF($E728="","",INDEX('Input Transaksi'!$D:$D,$E728))</f>
        <v/>
      </c>
      <c r="C728">
        <f>IF($E728="","",INDEX('Input Transaksi'!$E:$E,$E728))</f>
        <v/>
      </c>
      <c r="D728" s="5">
        <f>IF($E728="","",INDEX('Input Transaksi'!$F:$F,$E728))</f>
        <v/>
      </c>
      <c r="E728">
        <f>IFERROR(AGGREGATE(15,6,ROW('Input Transaksi'!$B$5:$B$5000)/('Input Transaksi'!$B$5:$B$5000="JCL PEMOGAN"),ROWS($E$5:E728)),"")</f>
        <v/>
      </c>
      <c r="F728" s="5" t="n"/>
    </row>
    <row r="729">
      <c r="A729" s="10">
        <f>IF($E729="","",INDEX('Input Transaksi'!$A:$A,$E729))</f>
        <v/>
      </c>
      <c r="B729" s="5">
        <f>IF($E729="","",INDEX('Input Transaksi'!$D:$D,$E729))</f>
        <v/>
      </c>
      <c r="C729">
        <f>IF($E729="","",INDEX('Input Transaksi'!$E:$E,$E729))</f>
        <v/>
      </c>
      <c r="D729" s="5">
        <f>IF($E729="","",INDEX('Input Transaksi'!$F:$F,$E729))</f>
        <v/>
      </c>
      <c r="E729">
        <f>IFERROR(AGGREGATE(15,6,ROW('Input Transaksi'!$B$5:$B$5000)/('Input Transaksi'!$B$5:$B$5000="JCL PEMOGAN"),ROWS($E$5:E729)),"")</f>
        <v/>
      </c>
      <c r="F729" s="5" t="n"/>
    </row>
    <row r="730">
      <c r="A730" s="10">
        <f>IF($E730="","",INDEX('Input Transaksi'!$A:$A,$E730))</f>
        <v/>
      </c>
      <c r="B730" s="5">
        <f>IF($E730="","",INDEX('Input Transaksi'!$D:$D,$E730))</f>
        <v/>
      </c>
      <c r="C730">
        <f>IF($E730="","",INDEX('Input Transaksi'!$E:$E,$E730))</f>
        <v/>
      </c>
      <c r="D730" s="5">
        <f>IF($E730="","",INDEX('Input Transaksi'!$F:$F,$E730))</f>
        <v/>
      </c>
      <c r="E730">
        <f>IFERROR(AGGREGATE(15,6,ROW('Input Transaksi'!$B$5:$B$5000)/('Input Transaksi'!$B$5:$B$5000="JCL PEMOGAN"),ROWS($E$5:E730)),"")</f>
        <v/>
      </c>
      <c r="F730" s="5" t="n"/>
    </row>
    <row r="731">
      <c r="A731" s="10">
        <f>IF($E731="","",INDEX('Input Transaksi'!$A:$A,$E731))</f>
        <v/>
      </c>
      <c r="B731" s="5">
        <f>IF($E731="","",INDEX('Input Transaksi'!$D:$D,$E731))</f>
        <v/>
      </c>
      <c r="C731">
        <f>IF($E731="","",INDEX('Input Transaksi'!$E:$E,$E731))</f>
        <v/>
      </c>
      <c r="D731" s="5">
        <f>IF($E731="","",INDEX('Input Transaksi'!$F:$F,$E731))</f>
        <v/>
      </c>
      <c r="E731">
        <f>IFERROR(AGGREGATE(15,6,ROW('Input Transaksi'!$B$5:$B$5000)/('Input Transaksi'!$B$5:$B$5000="JCL PEMOGAN"),ROWS($E$5:E731)),"")</f>
        <v/>
      </c>
      <c r="F731" s="5" t="n"/>
    </row>
    <row r="732">
      <c r="A732" s="10">
        <f>IF($E732="","",INDEX('Input Transaksi'!$A:$A,$E732))</f>
        <v/>
      </c>
      <c r="B732" s="5">
        <f>IF($E732="","",INDEX('Input Transaksi'!$D:$D,$E732))</f>
        <v/>
      </c>
      <c r="C732">
        <f>IF($E732="","",INDEX('Input Transaksi'!$E:$E,$E732))</f>
        <v/>
      </c>
      <c r="D732" s="5">
        <f>IF($E732="","",INDEX('Input Transaksi'!$F:$F,$E732))</f>
        <v/>
      </c>
      <c r="E732">
        <f>IFERROR(AGGREGATE(15,6,ROW('Input Transaksi'!$B$5:$B$5000)/('Input Transaksi'!$B$5:$B$5000="JCL PEMOGAN"),ROWS($E$5:E732)),"")</f>
        <v/>
      </c>
      <c r="F732" s="5" t="n"/>
    </row>
    <row r="733">
      <c r="A733" s="10">
        <f>IF($E733="","",INDEX('Input Transaksi'!$A:$A,$E733))</f>
        <v/>
      </c>
      <c r="B733" s="5">
        <f>IF($E733="","",INDEX('Input Transaksi'!$D:$D,$E733))</f>
        <v/>
      </c>
      <c r="C733">
        <f>IF($E733="","",INDEX('Input Transaksi'!$E:$E,$E733))</f>
        <v/>
      </c>
      <c r="D733" s="5">
        <f>IF($E733="","",INDEX('Input Transaksi'!$F:$F,$E733))</f>
        <v/>
      </c>
      <c r="E733">
        <f>IFERROR(AGGREGATE(15,6,ROW('Input Transaksi'!$B$5:$B$5000)/('Input Transaksi'!$B$5:$B$5000="JCL PEMOGAN"),ROWS($E$5:E733)),"")</f>
        <v/>
      </c>
      <c r="F733" s="5" t="n"/>
    </row>
    <row r="734">
      <c r="A734" s="10">
        <f>IF($E734="","",INDEX('Input Transaksi'!$A:$A,$E734))</f>
        <v/>
      </c>
      <c r="B734" s="5">
        <f>IF($E734="","",INDEX('Input Transaksi'!$D:$D,$E734))</f>
        <v/>
      </c>
      <c r="C734">
        <f>IF($E734="","",INDEX('Input Transaksi'!$E:$E,$E734))</f>
        <v/>
      </c>
      <c r="D734" s="5">
        <f>IF($E734="","",INDEX('Input Transaksi'!$F:$F,$E734))</f>
        <v/>
      </c>
      <c r="E734">
        <f>IFERROR(AGGREGATE(15,6,ROW('Input Transaksi'!$B$5:$B$5000)/('Input Transaksi'!$B$5:$B$5000="JCL PEMOGAN"),ROWS($E$5:E734)),"")</f>
        <v/>
      </c>
      <c r="F734" s="5" t="n"/>
    </row>
    <row r="735">
      <c r="A735" s="10">
        <f>IF($E735="","",INDEX('Input Transaksi'!$A:$A,$E735))</f>
        <v/>
      </c>
      <c r="B735" s="5">
        <f>IF($E735="","",INDEX('Input Transaksi'!$D:$D,$E735))</f>
        <v/>
      </c>
      <c r="C735">
        <f>IF($E735="","",INDEX('Input Transaksi'!$E:$E,$E735))</f>
        <v/>
      </c>
      <c r="D735" s="5">
        <f>IF($E735="","",INDEX('Input Transaksi'!$F:$F,$E735))</f>
        <v/>
      </c>
      <c r="E735">
        <f>IFERROR(AGGREGATE(15,6,ROW('Input Transaksi'!$B$5:$B$5000)/('Input Transaksi'!$B$5:$B$5000="JCL PEMOGAN"),ROWS($E$5:E735)),"")</f>
        <v/>
      </c>
      <c r="F735" s="5" t="n"/>
    </row>
    <row r="736">
      <c r="A736" s="10">
        <f>IF($E736="","",INDEX('Input Transaksi'!$A:$A,$E736))</f>
        <v/>
      </c>
      <c r="B736" s="5">
        <f>IF($E736="","",INDEX('Input Transaksi'!$D:$D,$E736))</f>
        <v/>
      </c>
      <c r="C736">
        <f>IF($E736="","",INDEX('Input Transaksi'!$E:$E,$E736))</f>
        <v/>
      </c>
      <c r="D736" s="5">
        <f>IF($E736="","",INDEX('Input Transaksi'!$F:$F,$E736))</f>
        <v/>
      </c>
      <c r="E736">
        <f>IFERROR(AGGREGATE(15,6,ROW('Input Transaksi'!$B$5:$B$5000)/('Input Transaksi'!$B$5:$B$5000="JCL PEMOGAN"),ROWS($E$5:E736)),"")</f>
        <v/>
      </c>
      <c r="F736" s="5" t="n"/>
    </row>
    <row r="737">
      <c r="A737" s="10">
        <f>IF($E737="","",INDEX('Input Transaksi'!$A:$A,$E737))</f>
        <v/>
      </c>
      <c r="B737" s="5">
        <f>IF($E737="","",INDEX('Input Transaksi'!$D:$D,$E737))</f>
        <v/>
      </c>
      <c r="C737">
        <f>IF($E737="","",INDEX('Input Transaksi'!$E:$E,$E737))</f>
        <v/>
      </c>
      <c r="D737" s="5">
        <f>IF($E737="","",INDEX('Input Transaksi'!$F:$F,$E737))</f>
        <v/>
      </c>
      <c r="E737">
        <f>IFERROR(AGGREGATE(15,6,ROW('Input Transaksi'!$B$5:$B$5000)/('Input Transaksi'!$B$5:$B$5000="JCL PEMOGAN"),ROWS($E$5:E737)),"")</f>
        <v/>
      </c>
      <c r="F737" s="5" t="n"/>
    </row>
    <row r="738">
      <c r="A738" s="10">
        <f>IF($E738="","",INDEX('Input Transaksi'!$A:$A,$E738))</f>
        <v/>
      </c>
      <c r="B738" s="5">
        <f>IF($E738="","",INDEX('Input Transaksi'!$D:$D,$E738))</f>
        <v/>
      </c>
      <c r="C738">
        <f>IF($E738="","",INDEX('Input Transaksi'!$E:$E,$E738))</f>
        <v/>
      </c>
      <c r="D738" s="5">
        <f>IF($E738="","",INDEX('Input Transaksi'!$F:$F,$E738))</f>
        <v/>
      </c>
      <c r="E738">
        <f>IFERROR(AGGREGATE(15,6,ROW('Input Transaksi'!$B$5:$B$5000)/('Input Transaksi'!$B$5:$B$5000="JCL PEMOGAN"),ROWS($E$5:E738)),"")</f>
        <v/>
      </c>
      <c r="F738" s="5" t="n"/>
    </row>
    <row r="739">
      <c r="A739" s="10">
        <f>IF($E739="","",INDEX('Input Transaksi'!$A:$A,$E739))</f>
        <v/>
      </c>
      <c r="B739" s="5">
        <f>IF($E739="","",INDEX('Input Transaksi'!$D:$D,$E739))</f>
        <v/>
      </c>
      <c r="C739">
        <f>IF($E739="","",INDEX('Input Transaksi'!$E:$E,$E739))</f>
        <v/>
      </c>
      <c r="D739" s="5">
        <f>IF($E739="","",INDEX('Input Transaksi'!$F:$F,$E739))</f>
        <v/>
      </c>
      <c r="E739">
        <f>IFERROR(AGGREGATE(15,6,ROW('Input Transaksi'!$B$5:$B$5000)/('Input Transaksi'!$B$5:$B$5000="JCL PEMOGAN"),ROWS($E$5:E739)),"")</f>
        <v/>
      </c>
      <c r="F739" s="5" t="n"/>
    </row>
    <row r="740">
      <c r="A740" s="10">
        <f>IF($E740="","",INDEX('Input Transaksi'!$A:$A,$E740))</f>
        <v/>
      </c>
      <c r="B740" s="5">
        <f>IF($E740="","",INDEX('Input Transaksi'!$D:$D,$E740))</f>
        <v/>
      </c>
      <c r="C740">
        <f>IF($E740="","",INDEX('Input Transaksi'!$E:$E,$E740))</f>
        <v/>
      </c>
      <c r="D740" s="5">
        <f>IF($E740="","",INDEX('Input Transaksi'!$F:$F,$E740))</f>
        <v/>
      </c>
      <c r="E740">
        <f>IFERROR(AGGREGATE(15,6,ROW('Input Transaksi'!$B$5:$B$5000)/('Input Transaksi'!$B$5:$B$5000="JCL PEMOGAN"),ROWS($E$5:E740)),"")</f>
        <v/>
      </c>
      <c r="F740" s="5" t="n"/>
    </row>
    <row r="741">
      <c r="A741" s="10">
        <f>IF($E741="","",INDEX('Input Transaksi'!$A:$A,$E741))</f>
        <v/>
      </c>
      <c r="B741" s="5">
        <f>IF($E741="","",INDEX('Input Transaksi'!$D:$D,$E741))</f>
        <v/>
      </c>
      <c r="C741">
        <f>IF($E741="","",INDEX('Input Transaksi'!$E:$E,$E741))</f>
        <v/>
      </c>
      <c r="D741" s="5">
        <f>IF($E741="","",INDEX('Input Transaksi'!$F:$F,$E741))</f>
        <v/>
      </c>
      <c r="E741">
        <f>IFERROR(AGGREGATE(15,6,ROW('Input Transaksi'!$B$5:$B$5000)/('Input Transaksi'!$B$5:$B$5000="JCL PEMOGAN"),ROWS($E$5:E741)),"")</f>
        <v/>
      </c>
      <c r="F741" s="5" t="n"/>
    </row>
    <row r="742">
      <c r="A742" s="10">
        <f>IF($E742="","",INDEX('Input Transaksi'!$A:$A,$E742))</f>
        <v/>
      </c>
      <c r="B742" s="5">
        <f>IF($E742="","",INDEX('Input Transaksi'!$D:$D,$E742))</f>
        <v/>
      </c>
      <c r="C742">
        <f>IF($E742="","",INDEX('Input Transaksi'!$E:$E,$E742))</f>
        <v/>
      </c>
      <c r="D742" s="5">
        <f>IF($E742="","",INDEX('Input Transaksi'!$F:$F,$E742))</f>
        <v/>
      </c>
      <c r="E742">
        <f>IFERROR(AGGREGATE(15,6,ROW('Input Transaksi'!$B$5:$B$5000)/('Input Transaksi'!$B$5:$B$5000="JCL PEMOGAN"),ROWS($E$5:E742)),"")</f>
        <v/>
      </c>
      <c r="F742" s="5" t="n"/>
    </row>
    <row r="743">
      <c r="A743" s="10">
        <f>IF($E743="","",INDEX('Input Transaksi'!$A:$A,$E743))</f>
        <v/>
      </c>
      <c r="B743" s="5">
        <f>IF($E743="","",INDEX('Input Transaksi'!$D:$D,$E743))</f>
        <v/>
      </c>
      <c r="C743">
        <f>IF($E743="","",INDEX('Input Transaksi'!$E:$E,$E743))</f>
        <v/>
      </c>
      <c r="D743" s="5">
        <f>IF($E743="","",INDEX('Input Transaksi'!$F:$F,$E743))</f>
        <v/>
      </c>
      <c r="E743">
        <f>IFERROR(AGGREGATE(15,6,ROW('Input Transaksi'!$B$5:$B$5000)/('Input Transaksi'!$B$5:$B$5000="JCL PEMOGAN"),ROWS($E$5:E743)),"")</f>
        <v/>
      </c>
      <c r="F743" s="5" t="n"/>
    </row>
    <row r="744">
      <c r="A744" s="10">
        <f>IF($E744="","",INDEX('Input Transaksi'!$A:$A,$E744))</f>
        <v/>
      </c>
      <c r="B744" s="5">
        <f>IF($E744="","",INDEX('Input Transaksi'!$D:$D,$E744))</f>
        <v/>
      </c>
      <c r="C744">
        <f>IF($E744="","",INDEX('Input Transaksi'!$E:$E,$E744))</f>
        <v/>
      </c>
      <c r="D744" s="5">
        <f>IF($E744="","",INDEX('Input Transaksi'!$F:$F,$E744))</f>
        <v/>
      </c>
      <c r="E744">
        <f>IFERROR(AGGREGATE(15,6,ROW('Input Transaksi'!$B$5:$B$5000)/('Input Transaksi'!$B$5:$B$5000="JCL PEMOGAN"),ROWS($E$5:E744)),"")</f>
        <v/>
      </c>
      <c r="F744" s="5" t="n"/>
    </row>
    <row r="745">
      <c r="A745" s="10">
        <f>IF($E745="","",INDEX('Input Transaksi'!$A:$A,$E745))</f>
        <v/>
      </c>
      <c r="B745" s="5">
        <f>IF($E745="","",INDEX('Input Transaksi'!$D:$D,$E745))</f>
        <v/>
      </c>
      <c r="C745">
        <f>IF($E745="","",INDEX('Input Transaksi'!$E:$E,$E745))</f>
        <v/>
      </c>
      <c r="D745" s="5">
        <f>IF($E745="","",INDEX('Input Transaksi'!$F:$F,$E745))</f>
        <v/>
      </c>
      <c r="E745">
        <f>IFERROR(AGGREGATE(15,6,ROW('Input Transaksi'!$B$5:$B$5000)/('Input Transaksi'!$B$5:$B$5000="JCL PEMOGAN"),ROWS($E$5:E745)),"")</f>
        <v/>
      </c>
      <c r="F745" s="5" t="n"/>
    </row>
    <row r="746">
      <c r="A746" s="10">
        <f>IF($E746="","",INDEX('Input Transaksi'!$A:$A,$E746))</f>
        <v/>
      </c>
      <c r="B746" s="5">
        <f>IF($E746="","",INDEX('Input Transaksi'!$D:$D,$E746))</f>
        <v/>
      </c>
      <c r="C746">
        <f>IF($E746="","",INDEX('Input Transaksi'!$E:$E,$E746))</f>
        <v/>
      </c>
      <c r="D746" s="5">
        <f>IF($E746="","",INDEX('Input Transaksi'!$F:$F,$E746))</f>
        <v/>
      </c>
      <c r="E746">
        <f>IFERROR(AGGREGATE(15,6,ROW('Input Transaksi'!$B$5:$B$5000)/('Input Transaksi'!$B$5:$B$5000="JCL PEMOGAN"),ROWS($E$5:E746)),"")</f>
        <v/>
      </c>
      <c r="F746" s="5" t="n"/>
    </row>
    <row r="747">
      <c r="A747" s="10">
        <f>IF($E747="","",INDEX('Input Transaksi'!$A:$A,$E747))</f>
        <v/>
      </c>
      <c r="B747" s="5">
        <f>IF($E747="","",INDEX('Input Transaksi'!$D:$D,$E747))</f>
        <v/>
      </c>
      <c r="C747">
        <f>IF($E747="","",INDEX('Input Transaksi'!$E:$E,$E747))</f>
        <v/>
      </c>
      <c r="D747" s="5">
        <f>IF($E747="","",INDEX('Input Transaksi'!$F:$F,$E747))</f>
        <v/>
      </c>
      <c r="E747">
        <f>IFERROR(AGGREGATE(15,6,ROW('Input Transaksi'!$B$5:$B$5000)/('Input Transaksi'!$B$5:$B$5000="JCL PEMOGAN"),ROWS($E$5:E747)),"")</f>
        <v/>
      </c>
      <c r="F747" s="5" t="n"/>
    </row>
    <row r="748">
      <c r="A748" s="10">
        <f>IF($E748="","",INDEX('Input Transaksi'!$A:$A,$E748))</f>
        <v/>
      </c>
      <c r="B748" s="5">
        <f>IF($E748="","",INDEX('Input Transaksi'!$D:$D,$E748))</f>
        <v/>
      </c>
      <c r="C748">
        <f>IF($E748="","",INDEX('Input Transaksi'!$E:$E,$E748))</f>
        <v/>
      </c>
      <c r="D748" s="5">
        <f>IF($E748="","",INDEX('Input Transaksi'!$F:$F,$E748))</f>
        <v/>
      </c>
      <c r="E748">
        <f>IFERROR(AGGREGATE(15,6,ROW('Input Transaksi'!$B$5:$B$5000)/('Input Transaksi'!$B$5:$B$5000="JCL PEMOGAN"),ROWS($E$5:E748)),"")</f>
        <v/>
      </c>
      <c r="F748" s="5" t="n"/>
    </row>
    <row r="749">
      <c r="A749" s="10">
        <f>IF($E749="","",INDEX('Input Transaksi'!$A:$A,$E749))</f>
        <v/>
      </c>
      <c r="B749" s="5">
        <f>IF($E749="","",INDEX('Input Transaksi'!$D:$D,$E749))</f>
        <v/>
      </c>
      <c r="C749">
        <f>IF($E749="","",INDEX('Input Transaksi'!$E:$E,$E749))</f>
        <v/>
      </c>
      <c r="D749" s="5">
        <f>IF($E749="","",INDEX('Input Transaksi'!$F:$F,$E749))</f>
        <v/>
      </c>
      <c r="E749">
        <f>IFERROR(AGGREGATE(15,6,ROW('Input Transaksi'!$B$5:$B$5000)/('Input Transaksi'!$B$5:$B$5000="JCL PEMOGAN"),ROWS($E$5:E749)),"")</f>
        <v/>
      </c>
      <c r="F749" s="5" t="n"/>
    </row>
    <row r="750">
      <c r="A750" s="10">
        <f>IF($E750="","",INDEX('Input Transaksi'!$A:$A,$E750))</f>
        <v/>
      </c>
      <c r="B750" s="5">
        <f>IF($E750="","",INDEX('Input Transaksi'!$D:$D,$E750))</f>
        <v/>
      </c>
      <c r="C750">
        <f>IF($E750="","",INDEX('Input Transaksi'!$E:$E,$E750))</f>
        <v/>
      </c>
      <c r="D750" s="5">
        <f>IF($E750="","",INDEX('Input Transaksi'!$F:$F,$E750))</f>
        <v/>
      </c>
      <c r="E750">
        <f>IFERROR(AGGREGATE(15,6,ROW('Input Transaksi'!$B$5:$B$5000)/('Input Transaksi'!$B$5:$B$5000="JCL PEMOGAN"),ROWS($E$5:E750)),"")</f>
        <v/>
      </c>
      <c r="F750" s="5" t="n"/>
    </row>
    <row r="751">
      <c r="A751" s="10">
        <f>IF($E751="","",INDEX('Input Transaksi'!$A:$A,$E751))</f>
        <v/>
      </c>
      <c r="B751" s="5">
        <f>IF($E751="","",INDEX('Input Transaksi'!$D:$D,$E751))</f>
        <v/>
      </c>
      <c r="C751">
        <f>IF($E751="","",INDEX('Input Transaksi'!$E:$E,$E751))</f>
        <v/>
      </c>
      <c r="D751" s="5">
        <f>IF($E751="","",INDEX('Input Transaksi'!$F:$F,$E751))</f>
        <v/>
      </c>
      <c r="E751">
        <f>IFERROR(AGGREGATE(15,6,ROW('Input Transaksi'!$B$5:$B$5000)/('Input Transaksi'!$B$5:$B$5000="JCL PEMOGAN"),ROWS($E$5:E751)),"")</f>
        <v/>
      </c>
      <c r="F751" s="5" t="n"/>
    </row>
    <row r="752">
      <c r="A752" s="10">
        <f>IF($E752="","",INDEX('Input Transaksi'!$A:$A,$E752))</f>
        <v/>
      </c>
      <c r="B752" s="5">
        <f>IF($E752="","",INDEX('Input Transaksi'!$D:$D,$E752))</f>
        <v/>
      </c>
      <c r="C752">
        <f>IF($E752="","",INDEX('Input Transaksi'!$E:$E,$E752))</f>
        <v/>
      </c>
      <c r="D752" s="5">
        <f>IF($E752="","",INDEX('Input Transaksi'!$F:$F,$E752))</f>
        <v/>
      </c>
      <c r="E752">
        <f>IFERROR(AGGREGATE(15,6,ROW('Input Transaksi'!$B$5:$B$5000)/('Input Transaksi'!$B$5:$B$5000="JCL PEMOGAN"),ROWS($E$5:E752)),"")</f>
        <v/>
      </c>
      <c r="F752" s="5" t="n"/>
    </row>
    <row r="753">
      <c r="A753" s="10">
        <f>IF($E753="","",INDEX('Input Transaksi'!$A:$A,$E753))</f>
        <v/>
      </c>
      <c r="B753" s="5">
        <f>IF($E753="","",INDEX('Input Transaksi'!$D:$D,$E753))</f>
        <v/>
      </c>
      <c r="C753">
        <f>IF($E753="","",INDEX('Input Transaksi'!$E:$E,$E753))</f>
        <v/>
      </c>
      <c r="D753" s="5">
        <f>IF($E753="","",INDEX('Input Transaksi'!$F:$F,$E753))</f>
        <v/>
      </c>
      <c r="E753">
        <f>IFERROR(AGGREGATE(15,6,ROW('Input Transaksi'!$B$5:$B$5000)/('Input Transaksi'!$B$5:$B$5000="JCL PEMOGAN"),ROWS($E$5:E753)),"")</f>
        <v/>
      </c>
      <c r="F753" s="5" t="n"/>
    </row>
    <row r="754">
      <c r="A754" s="10">
        <f>IF($E754="","",INDEX('Input Transaksi'!$A:$A,$E754))</f>
        <v/>
      </c>
      <c r="B754" s="5">
        <f>IF($E754="","",INDEX('Input Transaksi'!$D:$D,$E754))</f>
        <v/>
      </c>
      <c r="C754">
        <f>IF($E754="","",INDEX('Input Transaksi'!$E:$E,$E754))</f>
        <v/>
      </c>
      <c r="D754" s="5">
        <f>IF($E754="","",INDEX('Input Transaksi'!$F:$F,$E754))</f>
        <v/>
      </c>
      <c r="E754">
        <f>IFERROR(AGGREGATE(15,6,ROW('Input Transaksi'!$B$5:$B$5000)/('Input Transaksi'!$B$5:$B$5000="JCL PEMOGAN"),ROWS($E$5:E754)),"")</f>
        <v/>
      </c>
      <c r="F754" s="5" t="n"/>
    </row>
    <row r="755">
      <c r="A755" s="10">
        <f>IF($E755="","",INDEX('Input Transaksi'!$A:$A,$E755))</f>
        <v/>
      </c>
      <c r="B755" s="5">
        <f>IF($E755="","",INDEX('Input Transaksi'!$D:$D,$E755))</f>
        <v/>
      </c>
      <c r="C755">
        <f>IF($E755="","",INDEX('Input Transaksi'!$E:$E,$E755))</f>
        <v/>
      </c>
      <c r="D755" s="5">
        <f>IF($E755="","",INDEX('Input Transaksi'!$F:$F,$E755))</f>
        <v/>
      </c>
      <c r="E755">
        <f>IFERROR(AGGREGATE(15,6,ROW('Input Transaksi'!$B$5:$B$5000)/('Input Transaksi'!$B$5:$B$5000="JCL PEMOGAN"),ROWS($E$5:E755)),"")</f>
        <v/>
      </c>
      <c r="F755" s="5" t="n"/>
    </row>
    <row r="756">
      <c r="A756" s="10">
        <f>IF($E756="","",INDEX('Input Transaksi'!$A:$A,$E756))</f>
        <v/>
      </c>
      <c r="B756" s="5">
        <f>IF($E756="","",INDEX('Input Transaksi'!$D:$D,$E756))</f>
        <v/>
      </c>
      <c r="C756">
        <f>IF($E756="","",INDEX('Input Transaksi'!$E:$E,$E756))</f>
        <v/>
      </c>
      <c r="D756" s="5">
        <f>IF($E756="","",INDEX('Input Transaksi'!$F:$F,$E756))</f>
        <v/>
      </c>
      <c r="E756">
        <f>IFERROR(AGGREGATE(15,6,ROW('Input Transaksi'!$B$5:$B$5000)/('Input Transaksi'!$B$5:$B$5000="JCL PEMOGAN"),ROWS($E$5:E756)),"")</f>
        <v/>
      </c>
      <c r="F756" s="5" t="n"/>
    </row>
    <row r="757">
      <c r="A757" s="10">
        <f>IF($E757="","",INDEX('Input Transaksi'!$A:$A,$E757))</f>
        <v/>
      </c>
      <c r="B757" s="5">
        <f>IF($E757="","",INDEX('Input Transaksi'!$D:$D,$E757))</f>
        <v/>
      </c>
      <c r="C757">
        <f>IF($E757="","",INDEX('Input Transaksi'!$E:$E,$E757))</f>
        <v/>
      </c>
      <c r="D757" s="5">
        <f>IF($E757="","",INDEX('Input Transaksi'!$F:$F,$E757))</f>
        <v/>
      </c>
      <c r="E757">
        <f>IFERROR(AGGREGATE(15,6,ROW('Input Transaksi'!$B$5:$B$5000)/('Input Transaksi'!$B$5:$B$5000="JCL PEMOGAN"),ROWS($E$5:E757)),"")</f>
        <v/>
      </c>
      <c r="F757" s="5" t="n"/>
    </row>
    <row r="758">
      <c r="A758" s="10">
        <f>IF($E758="","",INDEX('Input Transaksi'!$A:$A,$E758))</f>
        <v/>
      </c>
      <c r="B758" s="5">
        <f>IF($E758="","",INDEX('Input Transaksi'!$D:$D,$E758))</f>
        <v/>
      </c>
      <c r="C758">
        <f>IF($E758="","",INDEX('Input Transaksi'!$E:$E,$E758))</f>
        <v/>
      </c>
      <c r="D758" s="5">
        <f>IF($E758="","",INDEX('Input Transaksi'!$F:$F,$E758))</f>
        <v/>
      </c>
      <c r="E758">
        <f>IFERROR(AGGREGATE(15,6,ROW('Input Transaksi'!$B$5:$B$5000)/('Input Transaksi'!$B$5:$B$5000="JCL PEMOGAN"),ROWS($E$5:E758)),"")</f>
        <v/>
      </c>
      <c r="F758" s="5" t="n"/>
    </row>
    <row r="759">
      <c r="A759" s="10">
        <f>IF($E759="","",INDEX('Input Transaksi'!$A:$A,$E759))</f>
        <v/>
      </c>
      <c r="B759" s="5">
        <f>IF($E759="","",INDEX('Input Transaksi'!$D:$D,$E759))</f>
        <v/>
      </c>
      <c r="C759">
        <f>IF($E759="","",INDEX('Input Transaksi'!$E:$E,$E759))</f>
        <v/>
      </c>
      <c r="D759" s="5">
        <f>IF($E759="","",INDEX('Input Transaksi'!$F:$F,$E759))</f>
        <v/>
      </c>
      <c r="E759">
        <f>IFERROR(AGGREGATE(15,6,ROW('Input Transaksi'!$B$5:$B$5000)/('Input Transaksi'!$B$5:$B$5000="JCL PEMOGAN"),ROWS($E$5:E759)),"")</f>
        <v/>
      </c>
      <c r="F759" s="5" t="n"/>
    </row>
    <row r="760">
      <c r="A760" s="10">
        <f>IF($E760="","",INDEX('Input Transaksi'!$A:$A,$E760))</f>
        <v/>
      </c>
      <c r="B760" s="5">
        <f>IF($E760="","",INDEX('Input Transaksi'!$D:$D,$E760))</f>
        <v/>
      </c>
      <c r="C760">
        <f>IF($E760="","",INDEX('Input Transaksi'!$E:$E,$E760))</f>
        <v/>
      </c>
      <c r="D760" s="5">
        <f>IF($E760="","",INDEX('Input Transaksi'!$F:$F,$E760))</f>
        <v/>
      </c>
      <c r="E760">
        <f>IFERROR(AGGREGATE(15,6,ROW('Input Transaksi'!$B$5:$B$5000)/('Input Transaksi'!$B$5:$B$5000="JCL PEMOGAN"),ROWS($E$5:E760)),"")</f>
        <v/>
      </c>
      <c r="F760" s="5" t="n"/>
    </row>
    <row r="761">
      <c r="A761" s="10">
        <f>IF($E761="","",INDEX('Input Transaksi'!$A:$A,$E761))</f>
        <v/>
      </c>
      <c r="B761" s="5">
        <f>IF($E761="","",INDEX('Input Transaksi'!$D:$D,$E761))</f>
        <v/>
      </c>
      <c r="C761">
        <f>IF($E761="","",INDEX('Input Transaksi'!$E:$E,$E761))</f>
        <v/>
      </c>
      <c r="D761" s="5">
        <f>IF($E761="","",INDEX('Input Transaksi'!$F:$F,$E761))</f>
        <v/>
      </c>
      <c r="E761">
        <f>IFERROR(AGGREGATE(15,6,ROW('Input Transaksi'!$B$5:$B$5000)/('Input Transaksi'!$B$5:$B$5000="JCL PEMOGAN"),ROWS($E$5:E761)),"")</f>
        <v/>
      </c>
      <c r="F761" s="5" t="n"/>
    </row>
    <row r="762">
      <c r="A762" s="10">
        <f>IF($E762="","",INDEX('Input Transaksi'!$A:$A,$E762))</f>
        <v/>
      </c>
      <c r="B762" s="5">
        <f>IF($E762="","",INDEX('Input Transaksi'!$D:$D,$E762))</f>
        <v/>
      </c>
      <c r="C762">
        <f>IF($E762="","",INDEX('Input Transaksi'!$E:$E,$E762))</f>
        <v/>
      </c>
      <c r="D762" s="5">
        <f>IF($E762="","",INDEX('Input Transaksi'!$F:$F,$E762))</f>
        <v/>
      </c>
      <c r="E762">
        <f>IFERROR(AGGREGATE(15,6,ROW('Input Transaksi'!$B$5:$B$5000)/('Input Transaksi'!$B$5:$B$5000="JCL PEMOGAN"),ROWS($E$5:E762)),"")</f>
        <v/>
      </c>
      <c r="F762" s="5" t="n"/>
    </row>
    <row r="763">
      <c r="A763" s="10">
        <f>IF($E763="","",INDEX('Input Transaksi'!$A:$A,$E763))</f>
        <v/>
      </c>
      <c r="B763" s="5">
        <f>IF($E763="","",INDEX('Input Transaksi'!$D:$D,$E763))</f>
        <v/>
      </c>
      <c r="C763">
        <f>IF($E763="","",INDEX('Input Transaksi'!$E:$E,$E763))</f>
        <v/>
      </c>
      <c r="D763" s="5">
        <f>IF($E763="","",INDEX('Input Transaksi'!$F:$F,$E763))</f>
        <v/>
      </c>
      <c r="E763">
        <f>IFERROR(AGGREGATE(15,6,ROW('Input Transaksi'!$B$5:$B$5000)/('Input Transaksi'!$B$5:$B$5000="JCL PEMOGAN"),ROWS($E$5:E763)),"")</f>
        <v/>
      </c>
      <c r="F763" s="5" t="n"/>
    </row>
    <row r="764">
      <c r="A764" s="10">
        <f>IF($E764="","",INDEX('Input Transaksi'!$A:$A,$E764))</f>
        <v/>
      </c>
      <c r="B764" s="5">
        <f>IF($E764="","",INDEX('Input Transaksi'!$D:$D,$E764))</f>
        <v/>
      </c>
      <c r="C764">
        <f>IF($E764="","",INDEX('Input Transaksi'!$E:$E,$E764))</f>
        <v/>
      </c>
      <c r="D764" s="5">
        <f>IF($E764="","",INDEX('Input Transaksi'!$F:$F,$E764))</f>
        <v/>
      </c>
      <c r="E764">
        <f>IFERROR(AGGREGATE(15,6,ROW('Input Transaksi'!$B$5:$B$5000)/('Input Transaksi'!$B$5:$B$5000="JCL PEMOGAN"),ROWS($E$5:E764)),"")</f>
        <v/>
      </c>
      <c r="F764" s="5" t="n"/>
    </row>
    <row r="765">
      <c r="A765" s="10">
        <f>IF($E765="","",INDEX('Input Transaksi'!$A:$A,$E765))</f>
        <v/>
      </c>
      <c r="B765" s="5">
        <f>IF($E765="","",INDEX('Input Transaksi'!$D:$D,$E765))</f>
        <v/>
      </c>
      <c r="C765">
        <f>IF($E765="","",INDEX('Input Transaksi'!$E:$E,$E765))</f>
        <v/>
      </c>
      <c r="D765" s="5">
        <f>IF($E765="","",INDEX('Input Transaksi'!$F:$F,$E765))</f>
        <v/>
      </c>
      <c r="E765">
        <f>IFERROR(AGGREGATE(15,6,ROW('Input Transaksi'!$B$5:$B$5000)/('Input Transaksi'!$B$5:$B$5000="JCL PEMOGAN"),ROWS($E$5:E765)),"")</f>
        <v/>
      </c>
      <c r="F765" s="5" t="n"/>
    </row>
    <row r="766">
      <c r="A766" s="10">
        <f>IF($E766="","",INDEX('Input Transaksi'!$A:$A,$E766))</f>
        <v/>
      </c>
      <c r="B766" s="5">
        <f>IF($E766="","",INDEX('Input Transaksi'!$D:$D,$E766))</f>
        <v/>
      </c>
      <c r="C766">
        <f>IF($E766="","",INDEX('Input Transaksi'!$E:$E,$E766))</f>
        <v/>
      </c>
      <c r="D766" s="5">
        <f>IF($E766="","",INDEX('Input Transaksi'!$F:$F,$E766))</f>
        <v/>
      </c>
      <c r="E766">
        <f>IFERROR(AGGREGATE(15,6,ROW('Input Transaksi'!$B$5:$B$5000)/('Input Transaksi'!$B$5:$B$5000="JCL PEMOGAN"),ROWS($E$5:E766)),"")</f>
        <v/>
      </c>
      <c r="F766" s="5" t="n"/>
    </row>
    <row r="767">
      <c r="A767" s="10">
        <f>IF($E767="","",INDEX('Input Transaksi'!$A:$A,$E767))</f>
        <v/>
      </c>
      <c r="B767" s="5">
        <f>IF($E767="","",INDEX('Input Transaksi'!$D:$D,$E767))</f>
        <v/>
      </c>
      <c r="C767">
        <f>IF($E767="","",INDEX('Input Transaksi'!$E:$E,$E767))</f>
        <v/>
      </c>
      <c r="D767" s="5">
        <f>IF($E767="","",INDEX('Input Transaksi'!$F:$F,$E767))</f>
        <v/>
      </c>
      <c r="E767">
        <f>IFERROR(AGGREGATE(15,6,ROW('Input Transaksi'!$B$5:$B$5000)/('Input Transaksi'!$B$5:$B$5000="JCL PEMOGAN"),ROWS($E$5:E767)),"")</f>
        <v/>
      </c>
      <c r="F767" s="5" t="n"/>
    </row>
    <row r="768">
      <c r="A768" s="10">
        <f>IF($E768="","",INDEX('Input Transaksi'!$A:$A,$E768))</f>
        <v/>
      </c>
      <c r="B768" s="5">
        <f>IF($E768="","",INDEX('Input Transaksi'!$D:$D,$E768))</f>
        <v/>
      </c>
      <c r="C768">
        <f>IF($E768="","",INDEX('Input Transaksi'!$E:$E,$E768))</f>
        <v/>
      </c>
      <c r="D768" s="5">
        <f>IF($E768="","",INDEX('Input Transaksi'!$F:$F,$E768))</f>
        <v/>
      </c>
      <c r="E768">
        <f>IFERROR(AGGREGATE(15,6,ROW('Input Transaksi'!$B$5:$B$5000)/('Input Transaksi'!$B$5:$B$5000="JCL PEMOGAN"),ROWS($E$5:E768)),"")</f>
        <v/>
      </c>
      <c r="F768" s="5" t="n"/>
    </row>
    <row r="769">
      <c r="A769" s="10">
        <f>IF($E769="","",INDEX('Input Transaksi'!$A:$A,$E769))</f>
        <v/>
      </c>
      <c r="B769" s="5">
        <f>IF($E769="","",INDEX('Input Transaksi'!$D:$D,$E769))</f>
        <v/>
      </c>
      <c r="C769">
        <f>IF($E769="","",INDEX('Input Transaksi'!$E:$E,$E769))</f>
        <v/>
      </c>
      <c r="D769" s="5">
        <f>IF($E769="","",INDEX('Input Transaksi'!$F:$F,$E769))</f>
        <v/>
      </c>
      <c r="E769">
        <f>IFERROR(AGGREGATE(15,6,ROW('Input Transaksi'!$B$5:$B$5000)/('Input Transaksi'!$B$5:$B$5000="JCL PEMOGAN"),ROWS($E$5:E769)),"")</f>
        <v/>
      </c>
      <c r="F769" s="5" t="n"/>
    </row>
    <row r="770">
      <c r="A770" s="10">
        <f>IF($E770="","",INDEX('Input Transaksi'!$A:$A,$E770))</f>
        <v/>
      </c>
      <c r="B770" s="5">
        <f>IF($E770="","",INDEX('Input Transaksi'!$D:$D,$E770))</f>
        <v/>
      </c>
      <c r="C770">
        <f>IF($E770="","",INDEX('Input Transaksi'!$E:$E,$E770))</f>
        <v/>
      </c>
      <c r="D770" s="5">
        <f>IF($E770="","",INDEX('Input Transaksi'!$F:$F,$E770))</f>
        <v/>
      </c>
      <c r="E770">
        <f>IFERROR(AGGREGATE(15,6,ROW('Input Transaksi'!$B$5:$B$5000)/('Input Transaksi'!$B$5:$B$5000="JCL PEMOGAN"),ROWS($E$5:E770)),"")</f>
        <v/>
      </c>
      <c r="F770" s="5" t="n"/>
    </row>
    <row r="771">
      <c r="A771" s="10">
        <f>IF($E771="","",INDEX('Input Transaksi'!$A:$A,$E771))</f>
        <v/>
      </c>
      <c r="B771" s="5">
        <f>IF($E771="","",INDEX('Input Transaksi'!$D:$D,$E771))</f>
        <v/>
      </c>
      <c r="C771">
        <f>IF($E771="","",INDEX('Input Transaksi'!$E:$E,$E771))</f>
        <v/>
      </c>
      <c r="D771" s="5">
        <f>IF($E771="","",INDEX('Input Transaksi'!$F:$F,$E771))</f>
        <v/>
      </c>
      <c r="E771">
        <f>IFERROR(AGGREGATE(15,6,ROW('Input Transaksi'!$B$5:$B$5000)/('Input Transaksi'!$B$5:$B$5000="JCL PEMOGAN"),ROWS($E$5:E771)),"")</f>
        <v/>
      </c>
      <c r="F771" s="5" t="n"/>
    </row>
    <row r="772">
      <c r="A772" s="10">
        <f>IF($E772="","",INDEX('Input Transaksi'!$A:$A,$E772))</f>
        <v/>
      </c>
      <c r="B772" s="5">
        <f>IF($E772="","",INDEX('Input Transaksi'!$D:$D,$E772))</f>
        <v/>
      </c>
      <c r="C772">
        <f>IF($E772="","",INDEX('Input Transaksi'!$E:$E,$E772))</f>
        <v/>
      </c>
      <c r="D772" s="5">
        <f>IF($E772="","",INDEX('Input Transaksi'!$F:$F,$E772))</f>
        <v/>
      </c>
      <c r="E772">
        <f>IFERROR(AGGREGATE(15,6,ROW('Input Transaksi'!$B$5:$B$5000)/('Input Transaksi'!$B$5:$B$5000="JCL PEMOGAN"),ROWS($E$5:E772)),"")</f>
        <v/>
      </c>
      <c r="F772" s="5" t="n"/>
    </row>
    <row r="773">
      <c r="A773" s="10">
        <f>IF($E773="","",INDEX('Input Transaksi'!$A:$A,$E773))</f>
        <v/>
      </c>
      <c r="B773" s="5">
        <f>IF($E773="","",INDEX('Input Transaksi'!$D:$D,$E773))</f>
        <v/>
      </c>
      <c r="C773">
        <f>IF($E773="","",INDEX('Input Transaksi'!$E:$E,$E773))</f>
        <v/>
      </c>
      <c r="D773" s="5">
        <f>IF($E773="","",INDEX('Input Transaksi'!$F:$F,$E773))</f>
        <v/>
      </c>
      <c r="E773">
        <f>IFERROR(AGGREGATE(15,6,ROW('Input Transaksi'!$B$5:$B$5000)/('Input Transaksi'!$B$5:$B$5000="JCL PEMOGAN"),ROWS($E$5:E773)),"")</f>
        <v/>
      </c>
      <c r="F773" s="5" t="n"/>
    </row>
    <row r="774">
      <c r="A774" s="10">
        <f>IF($E774="","",INDEX('Input Transaksi'!$A:$A,$E774))</f>
        <v/>
      </c>
      <c r="B774" s="5">
        <f>IF($E774="","",INDEX('Input Transaksi'!$D:$D,$E774))</f>
        <v/>
      </c>
      <c r="C774">
        <f>IF($E774="","",INDEX('Input Transaksi'!$E:$E,$E774))</f>
        <v/>
      </c>
      <c r="D774" s="5">
        <f>IF($E774="","",INDEX('Input Transaksi'!$F:$F,$E774))</f>
        <v/>
      </c>
      <c r="E774">
        <f>IFERROR(AGGREGATE(15,6,ROW('Input Transaksi'!$B$5:$B$5000)/('Input Transaksi'!$B$5:$B$5000="JCL PEMOGAN"),ROWS($E$5:E774)),"")</f>
        <v/>
      </c>
      <c r="F774" s="5" t="n"/>
    </row>
    <row r="775">
      <c r="A775" s="10">
        <f>IF($E775="","",INDEX('Input Transaksi'!$A:$A,$E775))</f>
        <v/>
      </c>
      <c r="B775" s="5">
        <f>IF($E775="","",INDEX('Input Transaksi'!$D:$D,$E775))</f>
        <v/>
      </c>
      <c r="C775">
        <f>IF($E775="","",INDEX('Input Transaksi'!$E:$E,$E775))</f>
        <v/>
      </c>
      <c r="D775" s="5">
        <f>IF($E775="","",INDEX('Input Transaksi'!$F:$F,$E775))</f>
        <v/>
      </c>
      <c r="E775">
        <f>IFERROR(AGGREGATE(15,6,ROW('Input Transaksi'!$B$5:$B$5000)/('Input Transaksi'!$B$5:$B$5000="JCL PEMOGAN"),ROWS($E$5:E775)),"")</f>
        <v/>
      </c>
      <c r="F775" s="5" t="n"/>
    </row>
    <row r="776">
      <c r="A776" s="10">
        <f>IF($E776="","",INDEX('Input Transaksi'!$A:$A,$E776))</f>
        <v/>
      </c>
      <c r="B776" s="5">
        <f>IF($E776="","",INDEX('Input Transaksi'!$D:$D,$E776))</f>
        <v/>
      </c>
      <c r="C776">
        <f>IF($E776="","",INDEX('Input Transaksi'!$E:$E,$E776))</f>
        <v/>
      </c>
      <c r="D776" s="5">
        <f>IF($E776="","",INDEX('Input Transaksi'!$F:$F,$E776))</f>
        <v/>
      </c>
      <c r="E776">
        <f>IFERROR(AGGREGATE(15,6,ROW('Input Transaksi'!$B$5:$B$5000)/('Input Transaksi'!$B$5:$B$5000="JCL PEMOGAN"),ROWS($E$5:E776)),"")</f>
        <v/>
      </c>
      <c r="F776" s="5" t="n"/>
    </row>
    <row r="777">
      <c r="A777" s="10">
        <f>IF($E777="","",INDEX('Input Transaksi'!$A:$A,$E777))</f>
        <v/>
      </c>
      <c r="B777" s="5">
        <f>IF($E777="","",INDEX('Input Transaksi'!$D:$D,$E777))</f>
        <v/>
      </c>
      <c r="C777">
        <f>IF($E777="","",INDEX('Input Transaksi'!$E:$E,$E777))</f>
        <v/>
      </c>
      <c r="D777" s="5">
        <f>IF($E777="","",INDEX('Input Transaksi'!$F:$F,$E777))</f>
        <v/>
      </c>
      <c r="E777">
        <f>IFERROR(AGGREGATE(15,6,ROW('Input Transaksi'!$B$5:$B$5000)/('Input Transaksi'!$B$5:$B$5000="JCL PEMOGAN"),ROWS($E$5:E777)),"")</f>
        <v/>
      </c>
      <c r="F777" s="5" t="n"/>
    </row>
    <row r="778">
      <c r="A778" s="10">
        <f>IF($E778="","",INDEX('Input Transaksi'!$A:$A,$E778))</f>
        <v/>
      </c>
      <c r="B778" s="5">
        <f>IF($E778="","",INDEX('Input Transaksi'!$D:$D,$E778))</f>
        <v/>
      </c>
      <c r="C778">
        <f>IF($E778="","",INDEX('Input Transaksi'!$E:$E,$E778))</f>
        <v/>
      </c>
      <c r="D778" s="5">
        <f>IF($E778="","",INDEX('Input Transaksi'!$F:$F,$E778))</f>
        <v/>
      </c>
      <c r="E778">
        <f>IFERROR(AGGREGATE(15,6,ROW('Input Transaksi'!$B$5:$B$5000)/('Input Transaksi'!$B$5:$B$5000="JCL PEMOGAN"),ROWS($E$5:E778)),"")</f>
        <v/>
      </c>
      <c r="F778" s="5" t="n"/>
    </row>
    <row r="779">
      <c r="A779" s="10">
        <f>IF($E779="","",INDEX('Input Transaksi'!$A:$A,$E779))</f>
        <v/>
      </c>
      <c r="B779" s="5">
        <f>IF($E779="","",INDEX('Input Transaksi'!$D:$D,$E779))</f>
        <v/>
      </c>
      <c r="C779">
        <f>IF($E779="","",INDEX('Input Transaksi'!$E:$E,$E779))</f>
        <v/>
      </c>
      <c r="D779" s="5">
        <f>IF($E779="","",INDEX('Input Transaksi'!$F:$F,$E779))</f>
        <v/>
      </c>
      <c r="E779">
        <f>IFERROR(AGGREGATE(15,6,ROW('Input Transaksi'!$B$5:$B$5000)/('Input Transaksi'!$B$5:$B$5000="JCL PEMOGAN"),ROWS($E$5:E779)),"")</f>
        <v/>
      </c>
      <c r="F779" s="5" t="n"/>
    </row>
    <row r="780">
      <c r="A780" s="10">
        <f>IF($E780="","",INDEX('Input Transaksi'!$A:$A,$E780))</f>
        <v/>
      </c>
      <c r="B780" s="5">
        <f>IF($E780="","",INDEX('Input Transaksi'!$D:$D,$E780))</f>
        <v/>
      </c>
      <c r="C780">
        <f>IF($E780="","",INDEX('Input Transaksi'!$E:$E,$E780))</f>
        <v/>
      </c>
      <c r="D780" s="5">
        <f>IF($E780="","",INDEX('Input Transaksi'!$F:$F,$E780))</f>
        <v/>
      </c>
      <c r="E780">
        <f>IFERROR(AGGREGATE(15,6,ROW('Input Transaksi'!$B$5:$B$5000)/('Input Transaksi'!$B$5:$B$5000="JCL PEMOGAN"),ROWS($E$5:E780)),"")</f>
        <v/>
      </c>
      <c r="F780" s="5" t="n"/>
    </row>
    <row r="781">
      <c r="A781" s="10">
        <f>IF($E781="","",INDEX('Input Transaksi'!$A:$A,$E781))</f>
        <v/>
      </c>
      <c r="B781" s="5">
        <f>IF($E781="","",INDEX('Input Transaksi'!$D:$D,$E781))</f>
        <v/>
      </c>
      <c r="C781">
        <f>IF($E781="","",INDEX('Input Transaksi'!$E:$E,$E781))</f>
        <v/>
      </c>
      <c r="D781" s="5">
        <f>IF($E781="","",INDEX('Input Transaksi'!$F:$F,$E781))</f>
        <v/>
      </c>
      <c r="E781">
        <f>IFERROR(AGGREGATE(15,6,ROW('Input Transaksi'!$B$5:$B$5000)/('Input Transaksi'!$B$5:$B$5000="JCL PEMOGAN"),ROWS($E$5:E781)),"")</f>
        <v/>
      </c>
      <c r="F781" s="5" t="n"/>
    </row>
    <row r="782">
      <c r="A782" s="10">
        <f>IF($E782="","",INDEX('Input Transaksi'!$A:$A,$E782))</f>
        <v/>
      </c>
      <c r="B782" s="5">
        <f>IF($E782="","",INDEX('Input Transaksi'!$D:$D,$E782))</f>
        <v/>
      </c>
      <c r="C782">
        <f>IF($E782="","",INDEX('Input Transaksi'!$E:$E,$E782))</f>
        <v/>
      </c>
      <c r="D782" s="5">
        <f>IF($E782="","",INDEX('Input Transaksi'!$F:$F,$E782))</f>
        <v/>
      </c>
      <c r="E782">
        <f>IFERROR(AGGREGATE(15,6,ROW('Input Transaksi'!$B$5:$B$5000)/('Input Transaksi'!$B$5:$B$5000="JCL PEMOGAN"),ROWS($E$5:E782)),"")</f>
        <v/>
      </c>
      <c r="F782" s="5" t="n"/>
    </row>
    <row r="783">
      <c r="A783" s="10">
        <f>IF($E783="","",INDEX('Input Transaksi'!$A:$A,$E783))</f>
        <v/>
      </c>
      <c r="B783" s="5">
        <f>IF($E783="","",INDEX('Input Transaksi'!$D:$D,$E783))</f>
        <v/>
      </c>
      <c r="C783">
        <f>IF($E783="","",INDEX('Input Transaksi'!$E:$E,$E783))</f>
        <v/>
      </c>
      <c r="D783" s="5">
        <f>IF($E783="","",INDEX('Input Transaksi'!$F:$F,$E783))</f>
        <v/>
      </c>
      <c r="E783">
        <f>IFERROR(AGGREGATE(15,6,ROW('Input Transaksi'!$B$5:$B$5000)/('Input Transaksi'!$B$5:$B$5000="JCL PEMOGAN"),ROWS($E$5:E783)),"")</f>
        <v/>
      </c>
      <c r="F783" s="5" t="n"/>
    </row>
    <row r="784">
      <c r="A784" s="10">
        <f>IF($E784="","",INDEX('Input Transaksi'!$A:$A,$E784))</f>
        <v/>
      </c>
      <c r="B784" s="5">
        <f>IF($E784="","",INDEX('Input Transaksi'!$D:$D,$E784))</f>
        <v/>
      </c>
      <c r="C784">
        <f>IF($E784="","",INDEX('Input Transaksi'!$E:$E,$E784))</f>
        <v/>
      </c>
      <c r="D784" s="5">
        <f>IF($E784="","",INDEX('Input Transaksi'!$F:$F,$E784))</f>
        <v/>
      </c>
      <c r="E784">
        <f>IFERROR(AGGREGATE(15,6,ROW('Input Transaksi'!$B$5:$B$5000)/('Input Transaksi'!$B$5:$B$5000="JCL PEMOGAN"),ROWS($E$5:E784)),"")</f>
        <v/>
      </c>
      <c r="F784" s="5" t="n"/>
    </row>
    <row r="785">
      <c r="A785" s="10">
        <f>IF($E785="","",INDEX('Input Transaksi'!$A:$A,$E785))</f>
        <v/>
      </c>
      <c r="B785" s="5">
        <f>IF($E785="","",INDEX('Input Transaksi'!$D:$D,$E785))</f>
        <v/>
      </c>
      <c r="C785">
        <f>IF($E785="","",INDEX('Input Transaksi'!$E:$E,$E785))</f>
        <v/>
      </c>
      <c r="D785" s="5">
        <f>IF($E785="","",INDEX('Input Transaksi'!$F:$F,$E785))</f>
        <v/>
      </c>
      <c r="E785">
        <f>IFERROR(AGGREGATE(15,6,ROW('Input Transaksi'!$B$5:$B$5000)/('Input Transaksi'!$B$5:$B$5000="JCL PEMOGAN"),ROWS($E$5:E785)),"")</f>
        <v/>
      </c>
      <c r="F785" s="5" t="n"/>
    </row>
    <row r="786">
      <c r="A786" s="10">
        <f>IF($E786="","",INDEX('Input Transaksi'!$A:$A,$E786))</f>
        <v/>
      </c>
      <c r="B786" s="5">
        <f>IF($E786="","",INDEX('Input Transaksi'!$D:$D,$E786))</f>
        <v/>
      </c>
      <c r="C786">
        <f>IF($E786="","",INDEX('Input Transaksi'!$E:$E,$E786))</f>
        <v/>
      </c>
      <c r="D786" s="5">
        <f>IF($E786="","",INDEX('Input Transaksi'!$F:$F,$E786))</f>
        <v/>
      </c>
      <c r="E786">
        <f>IFERROR(AGGREGATE(15,6,ROW('Input Transaksi'!$B$5:$B$5000)/('Input Transaksi'!$B$5:$B$5000="JCL PEMOGAN"),ROWS($E$5:E786)),"")</f>
        <v/>
      </c>
      <c r="F786" s="5" t="n"/>
    </row>
    <row r="787">
      <c r="A787" s="10">
        <f>IF($E787="","",INDEX('Input Transaksi'!$A:$A,$E787))</f>
        <v/>
      </c>
      <c r="B787" s="5">
        <f>IF($E787="","",INDEX('Input Transaksi'!$D:$D,$E787))</f>
        <v/>
      </c>
      <c r="C787">
        <f>IF($E787="","",INDEX('Input Transaksi'!$E:$E,$E787))</f>
        <v/>
      </c>
      <c r="D787" s="5">
        <f>IF($E787="","",INDEX('Input Transaksi'!$F:$F,$E787))</f>
        <v/>
      </c>
      <c r="E787">
        <f>IFERROR(AGGREGATE(15,6,ROW('Input Transaksi'!$B$5:$B$5000)/('Input Transaksi'!$B$5:$B$5000="JCL PEMOGAN"),ROWS($E$5:E787)),"")</f>
        <v/>
      </c>
      <c r="F787" s="5" t="n"/>
    </row>
    <row r="788">
      <c r="A788" s="10">
        <f>IF($E788="","",INDEX('Input Transaksi'!$A:$A,$E788))</f>
        <v/>
      </c>
      <c r="B788" s="5">
        <f>IF($E788="","",INDEX('Input Transaksi'!$D:$D,$E788))</f>
        <v/>
      </c>
      <c r="C788">
        <f>IF($E788="","",INDEX('Input Transaksi'!$E:$E,$E788))</f>
        <v/>
      </c>
      <c r="D788" s="5">
        <f>IF($E788="","",INDEX('Input Transaksi'!$F:$F,$E788))</f>
        <v/>
      </c>
      <c r="E788">
        <f>IFERROR(AGGREGATE(15,6,ROW('Input Transaksi'!$B$5:$B$5000)/('Input Transaksi'!$B$5:$B$5000="JCL PEMOGAN"),ROWS($E$5:E788)),"")</f>
        <v/>
      </c>
      <c r="F788" s="5" t="n"/>
    </row>
    <row r="789">
      <c r="A789" s="10">
        <f>IF($E789="","",INDEX('Input Transaksi'!$A:$A,$E789))</f>
        <v/>
      </c>
      <c r="B789" s="5">
        <f>IF($E789="","",INDEX('Input Transaksi'!$D:$D,$E789))</f>
        <v/>
      </c>
      <c r="C789">
        <f>IF($E789="","",INDEX('Input Transaksi'!$E:$E,$E789))</f>
        <v/>
      </c>
      <c r="D789" s="5">
        <f>IF($E789="","",INDEX('Input Transaksi'!$F:$F,$E789))</f>
        <v/>
      </c>
      <c r="E789">
        <f>IFERROR(AGGREGATE(15,6,ROW('Input Transaksi'!$B$5:$B$5000)/('Input Transaksi'!$B$5:$B$5000="JCL PEMOGAN"),ROWS($E$5:E789)),"")</f>
        <v/>
      </c>
      <c r="F789" s="5" t="n"/>
    </row>
    <row r="790">
      <c r="A790" s="10">
        <f>IF($E790="","",INDEX('Input Transaksi'!$A:$A,$E790))</f>
        <v/>
      </c>
      <c r="B790" s="5">
        <f>IF($E790="","",INDEX('Input Transaksi'!$D:$D,$E790))</f>
        <v/>
      </c>
      <c r="C790">
        <f>IF($E790="","",INDEX('Input Transaksi'!$E:$E,$E790))</f>
        <v/>
      </c>
      <c r="D790" s="5">
        <f>IF($E790="","",INDEX('Input Transaksi'!$F:$F,$E790))</f>
        <v/>
      </c>
      <c r="E790">
        <f>IFERROR(AGGREGATE(15,6,ROW('Input Transaksi'!$B$5:$B$5000)/('Input Transaksi'!$B$5:$B$5000="JCL PEMOGAN"),ROWS($E$5:E790)),"")</f>
        <v/>
      </c>
      <c r="F790" s="5" t="n"/>
    </row>
    <row r="791">
      <c r="A791" s="10">
        <f>IF($E791="","",INDEX('Input Transaksi'!$A:$A,$E791))</f>
        <v/>
      </c>
      <c r="B791" s="5">
        <f>IF($E791="","",INDEX('Input Transaksi'!$D:$D,$E791))</f>
        <v/>
      </c>
      <c r="C791">
        <f>IF($E791="","",INDEX('Input Transaksi'!$E:$E,$E791))</f>
        <v/>
      </c>
      <c r="D791" s="5">
        <f>IF($E791="","",INDEX('Input Transaksi'!$F:$F,$E791))</f>
        <v/>
      </c>
      <c r="E791">
        <f>IFERROR(AGGREGATE(15,6,ROW('Input Transaksi'!$B$5:$B$5000)/('Input Transaksi'!$B$5:$B$5000="JCL PEMOGAN"),ROWS($E$5:E791)),"")</f>
        <v/>
      </c>
      <c r="F791" s="5" t="n"/>
    </row>
    <row r="792">
      <c r="A792" s="10">
        <f>IF($E792="","",INDEX('Input Transaksi'!$A:$A,$E792))</f>
        <v/>
      </c>
      <c r="B792" s="5">
        <f>IF($E792="","",INDEX('Input Transaksi'!$D:$D,$E792))</f>
        <v/>
      </c>
      <c r="C792">
        <f>IF($E792="","",INDEX('Input Transaksi'!$E:$E,$E792))</f>
        <v/>
      </c>
      <c r="D792" s="5">
        <f>IF($E792="","",INDEX('Input Transaksi'!$F:$F,$E792))</f>
        <v/>
      </c>
      <c r="E792">
        <f>IFERROR(AGGREGATE(15,6,ROW('Input Transaksi'!$B$5:$B$5000)/('Input Transaksi'!$B$5:$B$5000="JCL PEMOGAN"),ROWS($E$5:E792)),"")</f>
        <v/>
      </c>
      <c r="F792" s="5" t="n"/>
    </row>
    <row r="793">
      <c r="A793" s="10">
        <f>IF($E793="","",INDEX('Input Transaksi'!$A:$A,$E793))</f>
        <v/>
      </c>
      <c r="B793" s="5">
        <f>IF($E793="","",INDEX('Input Transaksi'!$D:$D,$E793))</f>
        <v/>
      </c>
      <c r="C793">
        <f>IF($E793="","",INDEX('Input Transaksi'!$E:$E,$E793))</f>
        <v/>
      </c>
      <c r="D793" s="5">
        <f>IF($E793="","",INDEX('Input Transaksi'!$F:$F,$E793))</f>
        <v/>
      </c>
      <c r="E793">
        <f>IFERROR(AGGREGATE(15,6,ROW('Input Transaksi'!$B$5:$B$5000)/('Input Transaksi'!$B$5:$B$5000="JCL PEMOGAN"),ROWS($E$5:E793)),"")</f>
        <v/>
      </c>
      <c r="F793" s="5" t="n"/>
    </row>
    <row r="794">
      <c r="A794" s="10">
        <f>IF($E794="","",INDEX('Input Transaksi'!$A:$A,$E794))</f>
        <v/>
      </c>
      <c r="B794" s="5">
        <f>IF($E794="","",INDEX('Input Transaksi'!$D:$D,$E794))</f>
        <v/>
      </c>
      <c r="C794">
        <f>IF($E794="","",INDEX('Input Transaksi'!$E:$E,$E794))</f>
        <v/>
      </c>
      <c r="D794" s="5">
        <f>IF($E794="","",INDEX('Input Transaksi'!$F:$F,$E794))</f>
        <v/>
      </c>
      <c r="E794">
        <f>IFERROR(AGGREGATE(15,6,ROW('Input Transaksi'!$B$5:$B$5000)/('Input Transaksi'!$B$5:$B$5000="JCL PEMOGAN"),ROWS($E$5:E794)),"")</f>
        <v/>
      </c>
      <c r="F794" s="5" t="n"/>
    </row>
    <row r="795">
      <c r="A795" s="10">
        <f>IF($E795="","",INDEX('Input Transaksi'!$A:$A,$E795))</f>
        <v/>
      </c>
      <c r="B795" s="5">
        <f>IF($E795="","",INDEX('Input Transaksi'!$D:$D,$E795))</f>
        <v/>
      </c>
      <c r="C795">
        <f>IF($E795="","",INDEX('Input Transaksi'!$E:$E,$E795))</f>
        <v/>
      </c>
      <c r="D795" s="5">
        <f>IF($E795="","",INDEX('Input Transaksi'!$F:$F,$E795))</f>
        <v/>
      </c>
      <c r="E795">
        <f>IFERROR(AGGREGATE(15,6,ROW('Input Transaksi'!$B$5:$B$5000)/('Input Transaksi'!$B$5:$B$5000="JCL PEMOGAN"),ROWS($E$5:E795)),"")</f>
        <v/>
      </c>
      <c r="F795" s="5" t="n"/>
    </row>
    <row r="796">
      <c r="A796" s="10">
        <f>IF($E796="","",INDEX('Input Transaksi'!$A:$A,$E796))</f>
        <v/>
      </c>
      <c r="B796" s="5">
        <f>IF($E796="","",INDEX('Input Transaksi'!$D:$D,$E796))</f>
        <v/>
      </c>
      <c r="C796">
        <f>IF($E796="","",INDEX('Input Transaksi'!$E:$E,$E796))</f>
        <v/>
      </c>
      <c r="D796" s="5">
        <f>IF($E796="","",INDEX('Input Transaksi'!$F:$F,$E796))</f>
        <v/>
      </c>
      <c r="E796">
        <f>IFERROR(AGGREGATE(15,6,ROW('Input Transaksi'!$B$5:$B$5000)/('Input Transaksi'!$B$5:$B$5000="JCL PEMOGAN"),ROWS($E$5:E796)),"")</f>
        <v/>
      </c>
      <c r="F796" s="5" t="n"/>
    </row>
    <row r="797">
      <c r="A797" s="10">
        <f>IF($E797="","",INDEX('Input Transaksi'!$A:$A,$E797))</f>
        <v/>
      </c>
      <c r="B797" s="5">
        <f>IF($E797="","",INDEX('Input Transaksi'!$D:$D,$E797))</f>
        <v/>
      </c>
      <c r="C797">
        <f>IF($E797="","",INDEX('Input Transaksi'!$E:$E,$E797))</f>
        <v/>
      </c>
      <c r="D797" s="5">
        <f>IF($E797="","",INDEX('Input Transaksi'!$F:$F,$E797))</f>
        <v/>
      </c>
      <c r="E797">
        <f>IFERROR(AGGREGATE(15,6,ROW('Input Transaksi'!$B$5:$B$5000)/('Input Transaksi'!$B$5:$B$5000="JCL PEMOGAN"),ROWS($E$5:E797)),"")</f>
        <v/>
      </c>
      <c r="F797" s="5" t="n"/>
    </row>
    <row r="798">
      <c r="A798" s="10">
        <f>IF($E798="","",INDEX('Input Transaksi'!$A:$A,$E798))</f>
        <v/>
      </c>
      <c r="B798" s="5">
        <f>IF($E798="","",INDEX('Input Transaksi'!$D:$D,$E798))</f>
        <v/>
      </c>
      <c r="C798">
        <f>IF($E798="","",INDEX('Input Transaksi'!$E:$E,$E798))</f>
        <v/>
      </c>
      <c r="D798" s="5">
        <f>IF($E798="","",INDEX('Input Transaksi'!$F:$F,$E798))</f>
        <v/>
      </c>
      <c r="E798">
        <f>IFERROR(AGGREGATE(15,6,ROW('Input Transaksi'!$B$5:$B$5000)/('Input Transaksi'!$B$5:$B$5000="JCL PEMOGAN"),ROWS($E$5:E798)),"")</f>
        <v/>
      </c>
      <c r="F798" s="5" t="n"/>
    </row>
    <row r="799">
      <c r="A799" s="10">
        <f>IF($E799="","",INDEX('Input Transaksi'!$A:$A,$E799))</f>
        <v/>
      </c>
      <c r="B799" s="5">
        <f>IF($E799="","",INDEX('Input Transaksi'!$D:$D,$E799))</f>
        <v/>
      </c>
      <c r="C799">
        <f>IF($E799="","",INDEX('Input Transaksi'!$E:$E,$E799))</f>
        <v/>
      </c>
      <c r="D799" s="5">
        <f>IF($E799="","",INDEX('Input Transaksi'!$F:$F,$E799))</f>
        <v/>
      </c>
      <c r="E799">
        <f>IFERROR(AGGREGATE(15,6,ROW('Input Transaksi'!$B$5:$B$5000)/('Input Transaksi'!$B$5:$B$5000="JCL PEMOGAN"),ROWS($E$5:E799)),"")</f>
        <v/>
      </c>
      <c r="F799" s="5" t="n"/>
    </row>
    <row r="800">
      <c r="A800" s="10">
        <f>IF($E800="","",INDEX('Input Transaksi'!$A:$A,$E800))</f>
        <v/>
      </c>
      <c r="B800" s="5">
        <f>IF($E800="","",INDEX('Input Transaksi'!$D:$D,$E800))</f>
        <v/>
      </c>
      <c r="C800">
        <f>IF($E800="","",INDEX('Input Transaksi'!$E:$E,$E800))</f>
        <v/>
      </c>
      <c r="D800" s="5">
        <f>IF($E800="","",INDEX('Input Transaksi'!$F:$F,$E800))</f>
        <v/>
      </c>
      <c r="E800">
        <f>IFERROR(AGGREGATE(15,6,ROW('Input Transaksi'!$B$5:$B$5000)/('Input Transaksi'!$B$5:$B$5000="JCL PEMOGAN"),ROWS($E$5:E800)),"")</f>
        <v/>
      </c>
      <c r="F800" s="5" t="n"/>
    </row>
    <row r="801">
      <c r="A801" s="10">
        <f>IF($E801="","",INDEX('Input Transaksi'!$A:$A,$E801))</f>
        <v/>
      </c>
      <c r="B801" s="5">
        <f>IF($E801="","",INDEX('Input Transaksi'!$D:$D,$E801))</f>
        <v/>
      </c>
      <c r="C801">
        <f>IF($E801="","",INDEX('Input Transaksi'!$E:$E,$E801))</f>
        <v/>
      </c>
      <c r="D801" s="5">
        <f>IF($E801="","",INDEX('Input Transaksi'!$F:$F,$E801))</f>
        <v/>
      </c>
      <c r="E801">
        <f>IFERROR(AGGREGATE(15,6,ROW('Input Transaksi'!$B$5:$B$5000)/('Input Transaksi'!$B$5:$B$5000="JCL PEMOGAN"),ROWS($E$5:E801)),"")</f>
        <v/>
      </c>
      <c r="F801" s="5" t="n"/>
    </row>
    <row r="802">
      <c r="A802" s="10">
        <f>IF($E802="","",INDEX('Input Transaksi'!$A:$A,$E802))</f>
        <v/>
      </c>
      <c r="B802" s="5">
        <f>IF($E802="","",INDEX('Input Transaksi'!$D:$D,$E802))</f>
        <v/>
      </c>
      <c r="C802">
        <f>IF($E802="","",INDEX('Input Transaksi'!$E:$E,$E802))</f>
        <v/>
      </c>
      <c r="D802" s="5">
        <f>IF($E802="","",INDEX('Input Transaksi'!$F:$F,$E802))</f>
        <v/>
      </c>
      <c r="E802">
        <f>IFERROR(AGGREGATE(15,6,ROW('Input Transaksi'!$B$5:$B$5000)/('Input Transaksi'!$B$5:$B$5000="JCL PEMOGAN"),ROWS($E$5:E802)),"")</f>
        <v/>
      </c>
      <c r="F802" s="5" t="n"/>
    </row>
    <row r="803">
      <c r="A803" s="10">
        <f>IF($E803="","",INDEX('Input Transaksi'!$A:$A,$E803))</f>
        <v/>
      </c>
      <c r="B803" s="5">
        <f>IF($E803="","",INDEX('Input Transaksi'!$D:$D,$E803))</f>
        <v/>
      </c>
      <c r="C803">
        <f>IF($E803="","",INDEX('Input Transaksi'!$E:$E,$E803))</f>
        <v/>
      </c>
      <c r="D803" s="5">
        <f>IF($E803="","",INDEX('Input Transaksi'!$F:$F,$E803))</f>
        <v/>
      </c>
      <c r="E803">
        <f>IFERROR(AGGREGATE(15,6,ROW('Input Transaksi'!$B$5:$B$5000)/('Input Transaksi'!$B$5:$B$5000="JCL PEMOGAN"),ROWS($E$5:E803)),"")</f>
        <v/>
      </c>
      <c r="F803" s="5" t="n"/>
    </row>
    <row r="804">
      <c r="A804" s="10">
        <f>IF($E804="","",INDEX('Input Transaksi'!$A:$A,$E804))</f>
        <v/>
      </c>
      <c r="B804" s="5">
        <f>IF($E804="","",INDEX('Input Transaksi'!$D:$D,$E804))</f>
        <v/>
      </c>
      <c r="C804">
        <f>IF($E804="","",INDEX('Input Transaksi'!$E:$E,$E804))</f>
        <v/>
      </c>
      <c r="D804" s="5">
        <f>IF($E804="","",INDEX('Input Transaksi'!$F:$F,$E804))</f>
        <v/>
      </c>
      <c r="E804">
        <f>IFERROR(AGGREGATE(15,6,ROW('Input Transaksi'!$B$5:$B$5000)/('Input Transaksi'!$B$5:$B$5000="JCL PEMOGAN"),ROWS($E$5:E804)),"")</f>
        <v/>
      </c>
      <c r="F804" s="5" t="n"/>
    </row>
    <row r="805">
      <c r="A805" s="10">
        <f>IF($E805="","",INDEX('Input Transaksi'!$A:$A,$E805))</f>
        <v/>
      </c>
      <c r="B805" s="5">
        <f>IF($E805="","",INDEX('Input Transaksi'!$D:$D,$E805))</f>
        <v/>
      </c>
      <c r="C805">
        <f>IF($E805="","",INDEX('Input Transaksi'!$E:$E,$E805))</f>
        <v/>
      </c>
      <c r="D805" s="5">
        <f>IF($E805="","",INDEX('Input Transaksi'!$F:$F,$E805))</f>
        <v/>
      </c>
      <c r="E805">
        <f>IFERROR(AGGREGATE(15,6,ROW('Input Transaksi'!$B$5:$B$5000)/('Input Transaksi'!$B$5:$B$5000="JCL PEMOGAN"),ROWS($E$5:E805)),"")</f>
        <v/>
      </c>
      <c r="F805" s="5" t="n"/>
    </row>
    <row r="806">
      <c r="A806" s="10">
        <f>IF($E806="","",INDEX('Input Transaksi'!$A:$A,$E806))</f>
        <v/>
      </c>
      <c r="B806" s="5">
        <f>IF($E806="","",INDEX('Input Transaksi'!$D:$D,$E806))</f>
        <v/>
      </c>
      <c r="C806">
        <f>IF($E806="","",INDEX('Input Transaksi'!$E:$E,$E806))</f>
        <v/>
      </c>
      <c r="D806" s="5">
        <f>IF($E806="","",INDEX('Input Transaksi'!$F:$F,$E806))</f>
        <v/>
      </c>
      <c r="E806">
        <f>IFERROR(AGGREGATE(15,6,ROW('Input Transaksi'!$B$5:$B$5000)/('Input Transaksi'!$B$5:$B$5000="JCL PEMOGAN"),ROWS($E$5:E806)),"")</f>
        <v/>
      </c>
      <c r="F806" s="5" t="n"/>
    </row>
    <row r="807">
      <c r="A807" s="10">
        <f>IF($E807="","",INDEX('Input Transaksi'!$A:$A,$E807))</f>
        <v/>
      </c>
      <c r="B807" s="5">
        <f>IF($E807="","",INDEX('Input Transaksi'!$D:$D,$E807))</f>
        <v/>
      </c>
      <c r="C807">
        <f>IF($E807="","",INDEX('Input Transaksi'!$E:$E,$E807))</f>
        <v/>
      </c>
      <c r="D807" s="5">
        <f>IF($E807="","",INDEX('Input Transaksi'!$F:$F,$E807))</f>
        <v/>
      </c>
      <c r="E807">
        <f>IFERROR(AGGREGATE(15,6,ROW('Input Transaksi'!$B$5:$B$5000)/('Input Transaksi'!$B$5:$B$5000="JCL PEMOGAN"),ROWS($E$5:E807)),"")</f>
        <v/>
      </c>
      <c r="F807" s="5" t="n"/>
    </row>
    <row r="808">
      <c r="A808" s="10">
        <f>IF($E808="","",INDEX('Input Transaksi'!$A:$A,$E808))</f>
        <v/>
      </c>
      <c r="B808" s="5">
        <f>IF($E808="","",INDEX('Input Transaksi'!$D:$D,$E808))</f>
        <v/>
      </c>
      <c r="C808">
        <f>IF($E808="","",INDEX('Input Transaksi'!$E:$E,$E808))</f>
        <v/>
      </c>
      <c r="D808" s="5">
        <f>IF($E808="","",INDEX('Input Transaksi'!$F:$F,$E808))</f>
        <v/>
      </c>
      <c r="E808">
        <f>IFERROR(AGGREGATE(15,6,ROW('Input Transaksi'!$B$5:$B$5000)/('Input Transaksi'!$B$5:$B$5000="JCL PEMOGAN"),ROWS($E$5:E808)),"")</f>
        <v/>
      </c>
      <c r="F808" s="5" t="n"/>
    </row>
    <row r="809">
      <c r="A809" s="10">
        <f>IF($E809="","",INDEX('Input Transaksi'!$A:$A,$E809))</f>
        <v/>
      </c>
      <c r="B809" s="5">
        <f>IF($E809="","",INDEX('Input Transaksi'!$D:$D,$E809))</f>
        <v/>
      </c>
      <c r="C809">
        <f>IF($E809="","",INDEX('Input Transaksi'!$E:$E,$E809))</f>
        <v/>
      </c>
      <c r="D809" s="5">
        <f>IF($E809="","",INDEX('Input Transaksi'!$F:$F,$E809))</f>
        <v/>
      </c>
      <c r="E809">
        <f>IFERROR(AGGREGATE(15,6,ROW('Input Transaksi'!$B$5:$B$5000)/('Input Transaksi'!$B$5:$B$5000="JCL PEMOGAN"),ROWS($E$5:E809)),"")</f>
        <v/>
      </c>
      <c r="F809" s="5" t="n"/>
    </row>
    <row r="810">
      <c r="A810" s="10">
        <f>IF($E810="","",INDEX('Input Transaksi'!$A:$A,$E810))</f>
        <v/>
      </c>
      <c r="B810" s="5">
        <f>IF($E810="","",INDEX('Input Transaksi'!$D:$D,$E810))</f>
        <v/>
      </c>
      <c r="C810">
        <f>IF($E810="","",INDEX('Input Transaksi'!$E:$E,$E810))</f>
        <v/>
      </c>
      <c r="D810" s="5">
        <f>IF($E810="","",INDEX('Input Transaksi'!$F:$F,$E810))</f>
        <v/>
      </c>
      <c r="E810">
        <f>IFERROR(AGGREGATE(15,6,ROW('Input Transaksi'!$B$5:$B$5000)/('Input Transaksi'!$B$5:$B$5000="JCL PEMOGAN"),ROWS($E$5:E810)),"")</f>
        <v/>
      </c>
      <c r="F810" s="5" t="n"/>
    </row>
    <row r="811">
      <c r="A811" s="10">
        <f>IF($E811="","",INDEX('Input Transaksi'!$A:$A,$E811))</f>
        <v/>
      </c>
      <c r="B811" s="5">
        <f>IF($E811="","",INDEX('Input Transaksi'!$D:$D,$E811))</f>
        <v/>
      </c>
      <c r="C811">
        <f>IF($E811="","",INDEX('Input Transaksi'!$E:$E,$E811))</f>
        <v/>
      </c>
      <c r="D811" s="5">
        <f>IF($E811="","",INDEX('Input Transaksi'!$F:$F,$E811))</f>
        <v/>
      </c>
      <c r="E811">
        <f>IFERROR(AGGREGATE(15,6,ROW('Input Transaksi'!$B$5:$B$5000)/('Input Transaksi'!$B$5:$B$5000="JCL PEMOGAN"),ROWS($E$5:E811)),"")</f>
        <v/>
      </c>
      <c r="F811" s="5" t="n"/>
    </row>
    <row r="812">
      <c r="A812" s="10">
        <f>IF($E812="","",INDEX('Input Transaksi'!$A:$A,$E812))</f>
        <v/>
      </c>
      <c r="B812" s="5">
        <f>IF($E812="","",INDEX('Input Transaksi'!$D:$D,$E812))</f>
        <v/>
      </c>
      <c r="C812">
        <f>IF($E812="","",INDEX('Input Transaksi'!$E:$E,$E812))</f>
        <v/>
      </c>
      <c r="D812" s="5">
        <f>IF($E812="","",INDEX('Input Transaksi'!$F:$F,$E812))</f>
        <v/>
      </c>
      <c r="E812">
        <f>IFERROR(AGGREGATE(15,6,ROW('Input Transaksi'!$B$5:$B$5000)/('Input Transaksi'!$B$5:$B$5000="JCL PEMOGAN"),ROWS($E$5:E812)),"")</f>
        <v/>
      </c>
      <c r="F812" s="5" t="n"/>
    </row>
    <row r="813">
      <c r="A813" s="10">
        <f>IF($E813="","",INDEX('Input Transaksi'!$A:$A,$E813))</f>
        <v/>
      </c>
      <c r="B813" s="5">
        <f>IF($E813="","",INDEX('Input Transaksi'!$D:$D,$E813))</f>
        <v/>
      </c>
      <c r="C813">
        <f>IF($E813="","",INDEX('Input Transaksi'!$E:$E,$E813))</f>
        <v/>
      </c>
      <c r="D813" s="5">
        <f>IF($E813="","",INDEX('Input Transaksi'!$F:$F,$E813))</f>
        <v/>
      </c>
      <c r="E813">
        <f>IFERROR(AGGREGATE(15,6,ROW('Input Transaksi'!$B$5:$B$5000)/('Input Transaksi'!$B$5:$B$5000="JCL PEMOGAN"),ROWS($E$5:E813)),"")</f>
        <v/>
      </c>
      <c r="F813" s="5" t="n"/>
    </row>
    <row r="814">
      <c r="A814" s="10">
        <f>IF($E814="","",INDEX('Input Transaksi'!$A:$A,$E814))</f>
        <v/>
      </c>
      <c r="B814" s="5">
        <f>IF($E814="","",INDEX('Input Transaksi'!$D:$D,$E814))</f>
        <v/>
      </c>
      <c r="C814">
        <f>IF($E814="","",INDEX('Input Transaksi'!$E:$E,$E814))</f>
        <v/>
      </c>
      <c r="D814" s="5">
        <f>IF($E814="","",INDEX('Input Transaksi'!$F:$F,$E814))</f>
        <v/>
      </c>
      <c r="E814">
        <f>IFERROR(AGGREGATE(15,6,ROW('Input Transaksi'!$B$5:$B$5000)/('Input Transaksi'!$B$5:$B$5000="JCL PEMOGAN"),ROWS($E$5:E814)),"")</f>
        <v/>
      </c>
      <c r="F814" s="5" t="n"/>
    </row>
    <row r="815">
      <c r="A815" s="10">
        <f>IF($E815="","",INDEX('Input Transaksi'!$A:$A,$E815))</f>
        <v/>
      </c>
      <c r="B815" s="5">
        <f>IF($E815="","",INDEX('Input Transaksi'!$D:$D,$E815))</f>
        <v/>
      </c>
      <c r="C815">
        <f>IF($E815="","",INDEX('Input Transaksi'!$E:$E,$E815))</f>
        <v/>
      </c>
      <c r="D815" s="5">
        <f>IF($E815="","",INDEX('Input Transaksi'!$F:$F,$E815))</f>
        <v/>
      </c>
      <c r="E815">
        <f>IFERROR(AGGREGATE(15,6,ROW('Input Transaksi'!$B$5:$B$5000)/('Input Transaksi'!$B$5:$B$5000="JCL PEMOGAN"),ROWS($E$5:E815)),"")</f>
        <v/>
      </c>
      <c r="F815" s="5" t="n"/>
    </row>
    <row r="816">
      <c r="A816" s="10">
        <f>IF($E816="","",INDEX('Input Transaksi'!$A:$A,$E816))</f>
        <v/>
      </c>
      <c r="B816" s="5">
        <f>IF($E816="","",INDEX('Input Transaksi'!$D:$D,$E816))</f>
        <v/>
      </c>
      <c r="C816">
        <f>IF($E816="","",INDEX('Input Transaksi'!$E:$E,$E816))</f>
        <v/>
      </c>
      <c r="D816" s="5">
        <f>IF($E816="","",INDEX('Input Transaksi'!$F:$F,$E816))</f>
        <v/>
      </c>
      <c r="E816">
        <f>IFERROR(AGGREGATE(15,6,ROW('Input Transaksi'!$B$5:$B$5000)/('Input Transaksi'!$B$5:$B$5000="JCL PEMOGAN"),ROWS($E$5:E816)),"")</f>
        <v/>
      </c>
      <c r="F816" s="5" t="n"/>
    </row>
    <row r="817">
      <c r="A817" s="10">
        <f>IF($E817="","",INDEX('Input Transaksi'!$A:$A,$E817))</f>
        <v/>
      </c>
      <c r="B817" s="5">
        <f>IF($E817="","",INDEX('Input Transaksi'!$D:$D,$E817))</f>
        <v/>
      </c>
      <c r="C817">
        <f>IF($E817="","",INDEX('Input Transaksi'!$E:$E,$E817))</f>
        <v/>
      </c>
      <c r="D817" s="5">
        <f>IF($E817="","",INDEX('Input Transaksi'!$F:$F,$E817))</f>
        <v/>
      </c>
      <c r="E817">
        <f>IFERROR(AGGREGATE(15,6,ROW('Input Transaksi'!$B$5:$B$5000)/('Input Transaksi'!$B$5:$B$5000="JCL PEMOGAN"),ROWS($E$5:E817)),"")</f>
        <v/>
      </c>
      <c r="F817" s="5" t="n"/>
    </row>
    <row r="818">
      <c r="A818" s="10">
        <f>IF($E818="","",INDEX('Input Transaksi'!$A:$A,$E818))</f>
        <v/>
      </c>
      <c r="B818" s="5">
        <f>IF($E818="","",INDEX('Input Transaksi'!$D:$D,$E818))</f>
        <v/>
      </c>
      <c r="C818">
        <f>IF($E818="","",INDEX('Input Transaksi'!$E:$E,$E818))</f>
        <v/>
      </c>
      <c r="D818" s="5">
        <f>IF($E818="","",INDEX('Input Transaksi'!$F:$F,$E818))</f>
        <v/>
      </c>
      <c r="E818">
        <f>IFERROR(AGGREGATE(15,6,ROW('Input Transaksi'!$B$5:$B$5000)/('Input Transaksi'!$B$5:$B$5000="JCL PEMOGAN"),ROWS($E$5:E818)),"")</f>
        <v/>
      </c>
      <c r="F818" s="5" t="n"/>
    </row>
    <row r="819">
      <c r="A819" s="10">
        <f>IF($E819="","",INDEX('Input Transaksi'!$A:$A,$E819))</f>
        <v/>
      </c>
      <c r="B819" s="5">
        <f>IF($E819="","",INDEX('Input Transaksi'!$D:$D,$E819))</f>
        <v/>
      </c>
      <c r="C819">
        <f>IF($E819="","",INDEX('Input Transaksi'!$E:$E,$E819))</f>
        <v/>
      </c>
      <c r="D819" s="5">
        <f>IF($E819="","",INDEX('Input Transaksi'!$F:$F,$E819))</f>
        <v/>
      </c>
      <c r="E819">
        <f>IFERROR(AGGREGATE(15,6,ROW('Input Transaksi'!$B$5:$B$5000)/('Input Transaksi'!$B$5:$B$5000="JCL PEMOGAN"),ROWS($E$5:E819)),"")</f>
        <v/>
      </c>
      <c r="F819" s="5" t="n"/>
    </row>
    <row r="820">
      <c r="A820" s="10">
        <f>IF($E820="","",INDEX('Input Transaksi'!$A:$A,$E820))</f>
        <v/>
      </c>
      <c r="B820" s="5">
        <f>IF($E820="","",INDEX('Input Transaksi'!$D:$D,$E820))</f>
        <v/>
      </c>
      <c r="C820">
        <f>IF($E820="","",INDEX('Input Transaksi'!$E:$E,$E820))</f>
        <v/>
      </c>
      <c r="D820" s="5">
        <f>IF($E820="","",INDEX('Input Transaksi'!$F:$F,$E820))</f>
        <v/>
      </c>
      <c r="E820">
        <f>IFERROR(AGGREGATE(15,6,ROW('Input Transaksi'!$B$5:$B$5000)/('Input Transaksi'!$B$5:$B$5000="JCL PEMOGAN"),ROWS($E$5:E820)),"")</f>
        <v/>
      </c>
      <c r="F820" s="5" t="n"/>
    </row>
    <row r="821">
      <c r="A821" s="10">
        <f>IF($E821="","",INDEX('Input Transaksi'!$A:$A,$E821))</f>
        <v/>
      </c>
      <c r="B821" s="5">
        <f>IF($E821="","",INDEX('Input Transaksi'!$D:$D,$E821))</f>
        <v/>
      </c>
      <c r="C821">
        <f>IF($E821="","",INDEX('Input Transaksi'!$E:$E,$E821))</f>
        <v/>
      </c>
      <c r="D821" s="5">
        <f>IF($E821="","",INDEX('Input Transaksi'!$F:$F,$E821))</f>
        <v/>
      </c>
      <c r="E821">
        <f>IFERROR(AGGREGATE(15,6,ROW('Input Transaksi'!$B$5:$B$5000)/('Input Transaksi'!$B$5:$B$5000="JCL PEMOGAN"),ROWS($E$5:E821)),"")</f>
        <v/>
      </c>
      <c r="F821" s="5" t="n"/>
    </row>
    <row r="822">
      <c r="A822" s="10">
        <f>IF($E822="","",INDEX('Input Transaksi'!$A:$A,$E822))</f>
        <v/>
      </c>
      <c r="B822" s="5">
        <f>IF($E822="","",INDEX('Input Transaksi'!$D:$D,$E822))</f>
        <v/>
      </c>
      <c r="C822">
        <f>IF($E822="","",INDEX('Input Transaksi'!$E:$E,$E822))</f>
        <v/>
      </c>
      <c r="D822" s="5">
        <f>IF($E822="","",INDEX('Input Transaksi'!$F:$F,$E822))</f>
        <v/>
      </c>
      <c r="E822">
        <f>IFERROR(AGGREGATE(15,6,ROW('Input Transaksi'!$B$5:$B$5000)/('Input Transaksi'!$B$5:$B$5000="JCL PEMOGAN"),ROWS($E$5:E822)),"")</f>
        <v/>
      </c>
      <c r="F822" s="5" t="n"/>
    </row>
    <row r="823">
      <c r="A823" s="10">
        <f>IF($E823="","",INDEX('Input Transaksi'!$A:$A,$E823))</f>
        <v/>
      </c>
      <c r="B823" s="5">
        <f>IF($E823="","",INDEX('Input Transaksi'!$D:$D,$E823))</f>
        <v/>
      </c>
      <c r="C823">
        <f>IF($E823="","",INDEX('Input Transaksi'!$E:$E,$E823))</f>
        <v/>
      </c>
      <c r="D823" s="5">
        <f>IF($E823="","",INDEX('Input Transaksi'!$F:$F,$E823))</f>
        <v/>
      </c>
      <c r="E823">
        <f>IFERROR(AGGREGATE(15,6,ROW('Input Transaksi'!$B$5:$B$5000)/('Input Transaksi'!$B$5:$B$5000="JCL PEMOGAN"),ROWS($E$5:E823)),"")</f>
        <v/>
      </c>
      <c r="F823" s="5" t="n"/>
    </row>
    <row r="824">
      <c r="A824" s="10">
        <f>IF($E824="","",INDEX('Input Transaksi'!$A:$A,$E824))</f>
        <v/>
      </c>
      <c r="B824" s="5">
        <f>IF($E824="","",INDEX('Input Transaksi'!$D:$D,$E824))</f>
        <v/>
      </c>
      <c r="C824">
        <f>IF($E824="","",INDEX('Input Transaksi'!$E:$E,$E824))</f>
        <v/>
      </c>
      <c r="D824" s="5">
        <f>IF($E824="","",INDEX('Input Transaksi'!$F:$F,$E824))</f>
        <v/>
      </c>
      <c r="E824">
        <f>IFERROR(AGGREGATE(15,6,ROW('Input Transaksi'!$B$5:$B$5000)/('Input Transaksi'!$B$5:$B$5000="JCL PEMOGAN"),ROWS($E$5:E824)),"")</f>
        <v/>
      </c>
      <c r="F824" s="5" t="n"/>
    </row>
    <row r="825">
      <c r="A825" s="10">
        <f>IF($E825="","",INDEX('Input Transaksi'!$A:$A,$E825))</f>
        <v/>
      </c>
      <c r="B825" s="5">
        <f>IF($E825="","",INDEX('Input Transaksi'!$D:$D,$E825))</f>
        <v/>
      </c>
      <c r="C825">
        <f>IF($E825="","",INDEX('Input Transaksi'!$E:$E,$E825))</f>
        <v/>
      </c>
      <c r="D825" s="5">
        <f>IF($E825="","",INDEX('Input Transaksi'!$F:$F,$E825))</f>
        <v/>
      </c>
      <c r="E825">
        <f>IFERROR(AGGREGATE(15,6,ROW('Input Transaksi'!$B$5:$B$5000)/('Input Transaksi'!$B$5:$B$5000="JCL PEMOGAN"),ROWS($E$5:E825)),"")</f>
        <v/>
      </c>
      <c r="F825" s="5" t="n"/>
    </row>
    <row r="826">
      <c r="A826" s="10">
        <f>IF($E826="","",INDEX('Input Transaksi'!$A:$A,$E826))</f>
        <v/>
      </c>
      <c r="B826" s="5">
        <f>IF($E826="","",INDEX('Input Transaksi'!$D:$D,$E826))</f>
        <v/>
      </c>
      <c r="C826">
        <f>IF($E826="","",INDEX('Input Transaksi'!$E:$E,$E826))</f>
        <v/>
      </c>
      <c r="D826" s="5">
        <f>IF($E826="","",INDEX('Input Transaksi'!$F:$F,$E826))</f>
        <v/>
      </c>
      <c r="E826">
        <f>IFERROR(AGGREGATE(15,6,ROW('Input Transaksi'!$B$5:$B$5000)/('Input Transaksi'!$B$5:$B$5000="JCL PEMOGAN"),ROWS($E$5:E826)),"")</f>
        <v/>
      </c>
      <c r="F826" s="5" t="n"/>
    </row>
    <row r="827">
      <c r="A827" s="10">
        <f>IF($E827="","",INDEX('Input Transaksi'!$A:$A,$E827))</f>
        <v/>
      </c>
      <c r="B827" s="5">
        <f>IF($E827="","",INDEX('Input Transaksi'!$D:$D,$E827))</f>
        <v/>
      </c>
      <c r="C827">
        <f>IF($E827="","",INDEX('Input Transaksi'!$E:$E,$E827))</f>
        <v/>
      </c>
      <c r="D827" s="5">
        <f>IF($E827="","",INDEX('Input Transaksi'!$F:$F,$E827))</f>
        <v/>
      </c>
      <c r="E827">
        <f>IFERROR(AGGREGATE(15,6,ROW('Input Transaksi'!$B$5:$B$5000)/('Input Transaksi'!$B$5:$B$5000="JCL PEMOGAN"),ROWS($E$5:E827)),"")</f>
        <v/>
      </c>
      <c r="F827" s="5" t="n"/>
    </row>
    <row r="828">
      <c r="A828" s="10">
        <f>IF($E828="","",INDEX('Input Transaksi'!$A:$A,$E828))</f>
        <v/>
      </c>
      <c r="B828" s="5">
        <f>IF($E828="","",INDEX('Input Transaksi'!$D:$D,$E828))</f>
        <v/>
      </c>
      <c r="C828">
        <f>IF($E828="","",INDEX('Input Transaksi'!$E:$E,$E828))</f>
        <v/>
      </c>
      <c r="D828" s="5">
        <f>IF($E828="","",INDEX('Input Transaksi'!$F:$F,$E828))</f>
        <v/>
      </c>
      <c r="E828">
        <f>IFERROR(AGGREGATE(15,6,ROW('Input Transaksi'!$B$5:$B$5000)/('Input Transaksi'!$B$5:$B$5000="JCL PEMOGAN"),ROWS($E$5:E828)),"")</f>
        <v/>
      </c>
      <c r="F828" s="5" t="n"/>
    </row>
    <row r="829">
      <c r="A829" s="10">
        <f>IF($E829="","",INDEX('Input Transaksi'!$A:$A,$E829))</f>
        <v/>
      </c>
      <c r="B829" s="5">
        <f>IF($E829="","",INDEX('Input Transaksi'!$D:$D,$E829))</f>
        <v/>
      </c>
      <c r="C829">
        <f>IF($E829="","",INDEX('Input Transaksi'!$E:$E,$E829))</f>
        <v/>
      </c>
      <c r="D829" s="5">
        <f>IF($E829="","",INDEX('Input Transaksi'!$F:$F,$E829))</f>
        <v/>
      </c>
      <c r="E829">
        <f>IFERROR(AGGREGATE(15,6,ROW('Input Transaksi'!$B$5:$B$5000)/('Input Transaksi'!$B$5:$B$5000="JCL PEMOGAN"),ROWS($E$5:E829)),"")</f>
        <v/>
      </c>
      <c r="F829" s="5" t="n"/>
    </row>
    <row r="830">
      <c r="A830" s="10">
        <f>IF($E830="","",INDEX('Input Transaksi'!$A:$A,$E830))</f>
        <v/>
      </c>
      <c r="B830" s="5">
        <f>IF($E830="","",INDEX('Input Transaksi'!$D:$D,$E830))</f>
        <v/>
      </c>
      <c r="C830">
        <f>IF($E830="","",INDEX('Input Transaksi'!$E:$E,$E830))</f>
        <v/>
      </c>
      <c r="D830" s="5">
        <f>IF($E830="","",INDEX('Input Transaksi'!$F:$F,$E830))</f>
        <v/>
      </c>
      <c r="E830">
        <f>IFERROR(AGGREGATE(15,6,ROW('Input Transaksi'!$B$5:$B$5000)/('Input Transaksi'!$B$5:$B$5000="JCL PEMOGAN"),ROWS($E$5:E830)),"")</f>
        <v/>
      </c>
      <c r="F830" s="5" t="n"/>
    </row>
    <row r="831">
      <c r="A831" s="10">
        <f>IF($E831="","",INDEX('Input Transaksi'!$A:$A,$E831))</f>
        <v/>
      </c>
      <c r="B831" s="5">
        <f>IF($E831="","",INDEX('Input Transaksi'!$D:$D,$E831))</f>
        <v/>
      </c>
      <c r="C831">
        <f>IF($E831="","",INDEX('Input Transaksi'!$E:$E,$E831))</f>
        <v/>
      </c>
      <c r="D831" s="5">
        <f>IF($E831="","",INDEX('Input Transaksi'!$F:$F,$E831))</f>
        <v/>
      </c>
      <c r="E831">
        <f>IFERROR(AGGREGATE(15,6,ROW('Input Transaksi'!$B$5:$B$5000)/('Input Transaksi'!$B$5:$B$5000="JCL PEMOGAN"),ROWS($E$5:E831)),"")</f>
        <v/>
      </c>
      <c r="F831" s="5" t="n"/>
    </row>
    <row r="832">
      <c r="A832" s="10">
        <f>IF($E832="","",INDEX('Input Transaksi'!$A:$A,$E832))</f>
        <v/>
      </c>
      <c r="B832" s="5">
        <f>IF($E832="","",INDEX('Input Transaksi'!$D:$D,$E832))</f>
        <v/>
      </c>
      <c r="C832">
        <f>IF($E832="","",INDEX('Input Transaksi'!$E:$E,$E832))</f>
        <v/>
      </c>
      <c r="D832" s="5">
        <f>IF($E832="","",INDEX('Input Transaksi'!$F:$F,$E832))</f>
        <v/>
      </c>
      <c r="E832">
        <f>IFERROR(AGGREGATE(15,6,ROW('Input Transaksi'!$B$5:$B$5000)/('Input Transaksi'!$B$5:$B$5000="JCL PEMOGAN"),ROWS($E$5:E832)),"")</f>
        <v/>
      </c>
      <c r="F832" s="5" t="n"/>
    </row>
    <row r="833">
      <c r="A833" s="10">
        <f>IF($E833="","",INDEX('Input Transaksi'!$A:$A,$E833))</f>
        <v/>
      </c>
      <c r="B833" s="5">
        <f>IF($E833="","",INDEX('Input Transaksi'!$D:$D,$E833))</f>
        <v/>
      </c>
      <c r="C833">
        <f>IF($E833="","",INDEX('Input Transaksi'!$E:$E,$E833))</f>
        <v/>
      </c>
      <c r="D833" s="5">
        <f>IF($E833="","",INDEX('Input Transaksi'!$F:$F,$E833))</f>
        <v/>
      </c>
      <c r="E833">
        <f>IFERROR(AGGREGATE(15,6,ROW('Input Transaksi'!$B$5:$B$5000)/('Input Transaksi'!$B$5:$B$5000="JCL PEMOGAN"),ROWS($E$5:E833)),"")</f>
        <v/>
      </c>
      <c r="F833" s="5" t="n"/>
    </row>
    <row r="834">
      <c r="A834" s="10">
        <f>IF($E834="","",INDEX('Input Transaksi'!$A:$A,$E834))</f>
        <v/>
      </c>
      <c r="B834" s="5">
        <f>IF($E834="","",INDEX('Input Transaksi'!$D:$D,$E834))</f>
        <v/>
      </c>
      <c r="C834">
        <f>IF($E834="","",INDEX('Input Transaksi'!$E:$E,$E834))</f>
        <v/>
      </c>
      <c r="D834" s="5">
        <f>IF($E834="","",INDEX('Input Transaksi'!$F:$F,$E834))</f>
        <v/>
      </c>
      <c r="E834">
        <f>IFERROR(AGGREGATE(15,6,ROW('Input Transaksi'!$B$5:$B$5000)/('Input Transaksi'!$B$5:$B$5000="JCL PEMOGAN"),ROWS($E$5:E834)),"")</f>
        <v/>
      </c>
      <c r="F834" s="5" t="n"/>
    </row>
    <row r="835">
      <c r="A835" s="10">
        <f>IF($E835="","",INDEX('Input Transaksi'!$A:$A,$E835))</f>
        <v/>
      </c>
      <c r="B835" s="5">
        <f>IF($E835="","",INDEX('Input Transaksi'!$D:$D,$E835))</f>
        <v/>
      </c>
      <c r="C835">
        <f>IF($E835="","",INDEX('Input Transaksi'!$E:$E,$E835))</f>
        <v/>
      </c>
      <c r="D835" s="5">
        <f>IF($E835="","",INDEX('Input Transaksi'!$F:$F,$E835))</f>
        <v/>
      </c>
      <c r="E835">
        <f>IFERROR(AGGREGATE(15,6,ROW('Input Transaksi'!$B$5:$B$5000)/('Input Transaksi'!$B$5:$B$5000="JCL PEMOGAN"),ROWS($E$5:E835)),"")</f>
        <v/>
      </c>
      <c r="F835" s="5" t="n"/>
    </row>
    <row r="836">
      <c r="A836" s="10">
        <f>IF($E836="","",INDEX('Input Transaksi'!$A:$A,$E836))</f>
        <v/>
      </c>
      <c r="B836" s="5">
        <f>IF($E836="","",INDEX('Input Transaksi'!$D:$D,$E836))</f>
        <v/>
      </c>
      <c r="C836">
        <f>IF($E836="","",INDEX('Input Transaksi'!$E:$E,$E836))</f>
        <v/>
      </c>
      <c r="D836" s="5">
        <f>IF($E836="","",INDEX('Input Transaksi'!$F:$F,$E836))</f>
        <v/>
      </c>
      <c r="E836">
        <f>IFERROR(AGGREGATE(15,6,ROW('Input Transaksi'!$B$5:$B$5000)/('Input Transaksi'!$B$5:$B$5000="JCL PEMOGAN"),ROWS($E$5:E836)),"")</f>
        <v/>
      </c>
      <c r="F836" s="5" t="n"/>
    </row>
    <row r="837">
      <c r="A837" s="10">
        <f>IF($E837="","",INDEX('Input Transaksi'!$A:$A,$E837))</f>
        <v/>
      </c>
      <c r="B837" s="5">
        <f>IF($E837="","",INDEX('Input Transaksi'!$D:$D,$E837))</f>
        <v/>
      </c>
      <c r="C837">
        <f>IF($E837="","",INDEX('Input Transaksi'!$E:$E,$E837))</f>
        <v/>
      </c>
      <c r="D837" s="5">
        <f>IF($E837="","",INDEX('Input Transaksi'!$F:$F,$E837))</f>
        <v/>
      </c>
      <c r="E837">
        <f>IFERROR(AGGREGATE(15,6,ROW('Input Transaksi'!$B$5:$B$5000)/('Input Transaksi'!$B$5:$B$5000="JCL PEMOGAN"),ROWS($E$5:E837)),"")</f>
        <v/>
      </c>
      <c r="F837" s="5" t="n"/>
    </row>
    <row r="838">
      <c r="A838" s="10">
        <f>IF($E838="","",INDEX('Input Transaksi'!$A:$A,$E838))</f>
        <v/>
      </c>
      <c r="B838" s="5">
        <f>IF($E838="","",INDEX('Input Transaksi'!$D:$D,$E838))</f>
        <v/>
      </c>
      <c r="C838">
        <f>IF($E838="","",INDEX('Input Transaksi'!$E:$E,$E838))</f>
        <v/>
      </c>
      <c r="D838" s="5">
        <f>IF($E838="","",INDEX('Input Transaksi'!$F:$F,$E838))</f>
        <v/>
      </c>
      <c r="E838">
        <f>IFERROR(AGGREGATE(15,6,ROW('Input Transaksi'!$B$5:$B$5000)/('Input Transaksi'!$B$5:$B$5000="JCL PEMOGAN"),ROWS($E$5:E838)),"")</f>
        <v/>
      </c>
      <c r="F838" s="5" t="n"/>
    </row>
    <row r="839">
      <c r="A839" s="10">
        <f>IF($E839="","",INDEX('Input Transaksi'!$A:$A,$E839))</f>
        <v/>
      </c>
      <c r="B839" s="5">
        <f>IF($E839="","",INDEX('Input Transaksi'!$D:$D,$E839))</f>
        <v/>
      </c>
      <c r="C839">
        <f>IF($E839="","",INDEX('Input Transaksi'!$E:$E,$E839))</f>
        <v/>
      </c>
      <c r="D839" s="5">
        <f>IF($E839="","",INDEX('Input Transaksi'!$F:$F,$E839))</f>
        <v/>
      </c>
      <c r="E839">
        <f>IFERROR(AGGREGATE(15,6,ROW('Input Transaksi'!$B$5:$B$5000)/('Input Transaksi'!$B$5:$B$5000="JCL PEMOGAN"),ROWS($E$5:E839)),"")</f>
        <v/>
      </c>
      <c r="F839" s="5" t="n"/>
    </row>
    <row r="840">
      <c r="A840" s="10">
        <f>IF($E840="","",INDEX('Input Transaksi'!$A:$A,$E840))</f>
        <v/>
      </c>
      <c r="B840" s="5">
        <f>IF($E840="","",INDEX('Input Transaksi'!$D:$D,$E840))</f>
        <v/>
      </c>
      <c r="C840">
        <f>IF($E840="","",INDEX('Input Transaksi'!$E:$E,$E840))</f>
        <v/>
      </c>
      <c r="D840" s="5">
        <f>IF($E840="","",INDEX('Input Transaksi'!$F:$F,$E840))</f>
        <v/>
      </c>
      <c r="E840">
        <f>IFERROR(AGGREGATE(15,6,ROW('Input Transaksi'!$B$5:$B$5000)/('Input Transaksi'!$B$5:$B$5000="JCL PEMOGAN"),ROWS($E$5:E840)),"")</f>
        <v/>
      </c>
      <c r="F840" s="5" t="n"/>
    </row>
    <row r="841">
      <c r="A841" s="10">
        <f>IF($E841="","",INDEX('Input Transaksi'!$A:$A,$E841))</f>
        <v/>
      </c>
      <c r="B841" s="5">
        <f>IF($E841="","",INDEX('Input Transaksi'!$D:$D,$E841))</f>
        <v/>
      </c>
      <c r="C841">
        <f>IF($E841="","",INDEX('Input Transaksi'!$E:$E,$E841))</f>
        <v/>
      </c>
      <c r="D841" s="5">
        <f>IF($E841="","",INDEX('Input Transaksi'!$F:$F,$E841))</f>
        <v/>
      </c>
      <c r="E841">
        <f>IFERROR(AGGREGATE(15,6,ROW('Input Transaksi'!$B$5:$B$5000)/('Input Transaksi'!$B$5:$B$5000="JCL PEMOGAN"),ROWS($E$5:E841)),"")</f>
        <v/>
      </c>
      <c r="F841" s="5" t="n"/>
    </row>
    <row r="842">
      <c r="A842" s="10">
        <f>IF($E842="","",INDEX('Input Transaksi'!$A:$A,$E842))</f>
        <v/>
      </c>
      <c r="B842" s="5">
        <f>IF($E842="","",INDEX('Input Transaksi'!$D:$D,$E842))</f>
        <v/>
      </c>
      <c r="C842">
        <f>IF($E842="","",INDEX('Input Transaksi'!$E:$E,$E842))</f>
        <v/>
      </c>
      <c r="D842" s="5">
        <f>IF($E842="","",INDEX('Input Transaksi'!$F:$F,$E842))</f>
        <v/>
      </c>
      <c r="E842">
        <f>IFERROR(AGGREGATE(15,6,ROW('Input Transaksi'!$B$5:$B$5000)/('Input Transaksi'!$B$5:$B$5000="JCL PEMOGAN"),ROWS($E$5:E842)),"")</f>
        <v/>
      </c>
      <c r="F842" s="5" t="n"/>
    </row>
    <row r="843">
      <c r="A843" s="10">
        <f>IF($E843="","",INDEX('Input Transaksi'!$A:$A,$E843))</f>
        <v/>
      </c>
      <c r="B843" s="5">
        <f>IF($E843="","",INDEX('Input Transaksi'!$D:$D,$E843))</f>
        <v/>
      </c>
      <c r="C843">
        <f>IF($E843="","",INDEX('Input Transaksi'!$E:$E,$E843))</f>
        <v/>
      </c>
      <c r="D843" s="5">
        <f>IF($E843="","",INDEX('Input Transaksi'!$F:$F,$E843))</f>
        <v/>
      </c>
      <c r="E843">
        <f>IFERROR(AGGREGATE(15,6,ROW('Input Transaksi'!$B$5:$B$5000)/('Input Transaksi'!$B$5:$B$5000="JCL PEMOGAN"),ROWS($E$5:E843)),"")</f>
        <v/>
      </c>
      <c r="F843" s="5" t="n"/>
    </row>
    <row r="844">
      <c r="A844" s="10">
        <f>IF($E844="","",INDEX('Input Transaksi'!$A:$A,$E844))</f>
        <v/>
      </c>
      <c r="B844" s="5">
        <f>IF($E844="","",INDEX('Input Transaksi'!$D:$D,$E844))</f>
        <v/>
      </c>
      <c r="C844">
        <f>IF($E844="","",INDEX('Input Transaksi'!$E:$E,$E844))</f>
        <v/>
      </c>
      <c r="D844" s="5">
        <f>IF($E844="","",INDEX('Input Transaksi'!$F:$F,$E844))</f>
        <v/>
      </c>
      <c r="E844">
        <f>IFERROR(AGGREGATE(15,6,ROW('Input Transaksi'!$B$5:$B$5000)/('Input Transaksi'!$B$5:$B$5000="JCL PEMOGAN"),ROWS($E$5:E844)),"")</f>
        <v/>
      </c>
      <c r="F844" s="5" t="n"/>
    </row>
    <row r="845">
      <c r="A845" s="10">
        <f>IF($E845="","",INDEX('Input Transaksi'!$A:$A,$E845))</f>
        <v/>
      </c>
      <c r="B845" s="5">
        <f>IF($E845="","",INDEX('Input Transaksi'!$D:$D,$E845))</f>
        <v/>
      </c>
      <c r="C845">
        <f>IF($E845="","",INDEX('Input Transaksi'!$E:$E,$E845))</f>
        <v/>
      </c>
      <c r="D845" s="5">
        <f>IF($E845="","",INDEX('Input Transaksi'!$F:$F,$E845))</f>
        <v/>
      </c>
      <c r="E845">
        <f>IFERROR(AGGREGATE(15,6,ROW('Input Transaksi'!$B$5:$B$5000)/('Input Transaksi'!$B$5:$B$5000="JCL PEMOGAN"),ROWS($E$5:E845)),"")</f>
        <v/>
      </c>
      <c r="F845" s="5" t="n"/>
    </row>
    <row r="846">
      <c r="A846" s="10">
        <f>IF($E846="","",INDEX('Input Transaksi'!$A:$A,$E846))</f>
        <v/>
      </c>
      <c r="B846" s="5">
        <f>IF($E846="","",INDEX('Input Transaksi'!$D:$D,$E846))</f>
        <v/>
      </c>
      <c r="C846">
        <f>IF($E846="","",INDEX('Input Transaksi'!$E:$E,$E846))</f>
        <v/>
      </c>
      <c r="D846" s="5">
        <f>IF($E846="","",INDEX('Input Transaksi'!$F:$F,$E846))</f>
        <v/>
      </c>
      <c r="E846">
        <f>IFERROR(AGGREGATE(15,6,ROW('Input Transaksi'!$B$5:$B$5000)/('Input Transaksi'!$B$5:$B$5000="JCL PEMOGAN"),ROWS($E$5:E846)),"")</f>
        <v/>
      </c>
      <c r="F846" s="5" t="n"/>
    </row>
    <row r="847">
      <c r="A847" s="10">
        <f>IF($E847="","",INDEX('Input Transaksi'!$A:$A,$E847))</f>
        <v/>
      </c>
      <c r="B847" s="5">
        <f>IF($E847="","",INDEX('Input Transaksi'!$D:$D,$E847))</f>
        <v/>
      </c>
      <c r="C847">
        <f>IF($E847="","",INDEX('Input Transaksi'!$E:$E,$E847))</f>
        <v/>
      </c>
      <c r="D847" s="5">
        <f>IF($E847="","",INDEX('Input Transaksi'!$F:$F,$E847))</f>
        <v/>
      </c>
      <c r="E847">
        <f>IFERROR(AGGREGATE(15,6,ROW('Input Transaksi'!$B$5:$B$5000)/('Input Transaksi'!$B$5:$B$5000="JCL PEMOGAN"),ROWS($E$5:E847)),"")</f>
        <v/>
      </c>
      <c r="F847" s="5" t="n"/>
    </row>
    <row r="848">
      <c r="A848" s="10">
        <f>IF($E848="","",INDEX('Input Transaksi'!$A:$A,$E848))</f>
        <v/>
      </c>
      <c r="B848" s="5">
        <f>IF($E848="","",INDEX('Input Transaksi'!$D:$D,$E848))</f>
        <v/>
      </c>
      <c r="C848">
        <f>IF($E848="","",INDEX('Input Transaksi'!$E:$E,$E848))</f>
        <v/>
      </c>
      <c r="D848" s="5">
        <f>IF($E848="","",INDEX('Input Transaksi'!$F:$F,$E848))</f>
        <v/>
      </c>
      <c r="E848">
        <f>IFERROR(AGGREGATE(15,6,ROW('Input Transaksi'!$B$5:$B$5000)/('Input Transaksi'!$B$5:$B$5000="JCL PEMOGAN"),ROWS($E$5:E848)),"")</f>
        <v/>
      </c>
      <c r="F848" s="5" t="n"/>
    </row>
    <row r="849">
      <c r="A849" s="10">
        <f>IF($E849="","",INDEX('Input Transaksi'!$A:$A,$E849))</f>
        <v/>
      </c>
      <c r="B849" s="5">
        <f>IF($E849="","",INDEX('Input Transaksi'!$D:$D,$E849))</f>
        <v/>
      </c>
      <c r="C849">
        <f>IF($E849="","",INDEX('Input Transaksi'!$E:$E,$E849))</f>
        <v/>
      </c>
      <c r="D849" s="5">
        <f>IF($E849="","",INDEX('Input Transaksi'!$F:$F,$E849))</f>
        <v/>
      </c>
      <c r="E849">
        <f>IFERROR(AGGREGATE(15,6,ROW('Input Transaksi'!$B$5:$B$5000)/('Input Transaksi'!$B$5:$B$5000="JCL PEMOGAN"),ROWS($E$5:E849)),"")</f>
        <v/>
      </c>
      <c r="F849" s="5" t="n"/>
    </row>
    <row r="850">
      <c r="A850" s="10">
        <f>IF($E850="","",INDEX('Input Transaksi'!$A:$A,$E850))</f>
        <v/>
      </c>
      <c r="B850" s="5">
        <f>IF($E850="","",INDEX('Input Transaksi'!$D:$D,$E850))</f>
        <v/>
      </c>
      <c r="C850">
        <f>IF($E850="","",INDEX('Input Transaksi'!$E:$E,$E850))</f>
        <v/>
      </c>
      <c r="D850" s="5">
        <f>IF($E850="","",INDEX('Input Transaksi'!$F:$F,$E850))</f>
        <v/>
      </c>
      <c r="E850">
        <f>IFERROR(AGGREGATE(15,6,ROW('Input Transaksi'!$B$5:$B$5000)/('Input Transaksi'!$B$5:$B$5000="JCL PEMOGAN"),ROWS($E$5:E850)),"")</f>
        <v/>
      </c>
      <c r="F850" s="5" t="n"/>
    </row>
    <row r="851">
      <c r="A851" s="10">
        <f>IF($E851="","",INDEX('Input Transaksi'!$A:$A,$E851))</f>
        <v/>
      </c>
      <c r="B851" s="5">
        <f>IF($E851="","",INDEX('Input Transaksi'!$D:$D,$E851))</f>
        <v/>
      </c>
      <c r="C851">
        <f>IF($E851="","",INDEX('Input Transaksi'!$E:$E,$E851))</f>
        <v/>
      </c>
      <c r="D851" s="5">
        <f>IF($E851="","",INDEX('Input Transaksi'!$F:$F,$E851))</f>
        <v/>
      </c>
      <c r="E851">
        <f>IFERROR(AGGREGATE(15,6,ROW('Input Transaksi'!$B$5:$B$5000)/('Input Transaksi'!$B$5:$B$5000="JCL PEMOGAN"),ROWS($E$5:E851)),"")</f>
        <v/>
      </c>
      <c r="F851" s="5" t="n"/>
    </row>
    <row r="852">
      <c r="A852" s="10">
        <f>IF($E852="","",INDEX('Input Transaksi'!$A:$A,$E852))</f>
        <v/>
      </c>
      <c r="B852" s="5">
        <f>IF($E852="","",INDEX('Input Transaksi'!$D:$D,$E852))</f>
        <v/>
      </c>
      <c r="C852">
        <f>IF($E852="","",INDEX('Input Transaksi'!$E:$E,$E852))</f>
        <v/>
      </c>
      <c r="D852" s="5">
        <f>IF($E852="","",INDEX('Input Transaksi'!$F:$F,$E852))</f>
        <v/>
      </c>
      <c r="E852">
        <f>IFERROR(AGGREGATE(15,6,ROW('Input Transaksi'!$B$5:$B$5000)/('Input Transaksi'!$B$5:$B$5000="JCL PEMOGAN"),ROWS($E$5:E852)),"")</f>
        <v/>
      </c>
      <c r="F852" s="5" t="n"/>
    </row>
    <row r="853">
      <c r="A853" s="10">
        <f>IF($E853="","",INDEX('Input Transaksi'!$A:$A,$E853))</f>
        <v/>
      </c>
      <c r="B853" s="5">
        <f>IF($E853="","",INDEX('Input Transaksi'!$D:$D,$E853))</f>
        <v/>
      </c>
      <c r="C853">
        <f>IF($E853="","",INDEX('Input Transaksi'!$E:$E,$E853))</f>
        <v/>
      </c>
      <c r="D853" s="5">
        <f>IF($E853="","",INDEX('Input Transaksi'!$F:$F,$E853))</f>
        <v/>
      </c>
      <c r="E853">
        <f>IFERROR(AGGREGATE(15,6,ROW('Input Transaksi'!$B$5:$B$5000)/('Input Transaksi'!$B$5:$B$5000="JCL PEMOGAN"),ROWS($E$5:E853)),"")</f>
        <v/>
      </c>
      <c r="F853" s="5" t="n"/>
    </row>
    <row r="854">
      <c r="A854" s="10">
        <f>IF($E854="","",INDEX('Input Transaksi'!$A:$A,$E854))</f>
        <v/>
      </c>
      <c r="B854" s="5">
        <f>IF($E854="","",INDEX('Input Transaksi'!$D:$D,$E854))</f>
        <v/>
      </c>
      <c r="C854">
        <f>IF($E854="","",INDEX('Input Transaksi'!$E:$E,$E854))</f>
        <v/>
      </c>
      <c r="D854" s="5">
        <f>IF($E854="","",INDEX('Input Transaksi'!$F:$F,$E854))</f>
        <v/>
      </c>
      <c r="E854">
        <f>IFERROR(AGGREGATE(15,6,ROW('Input Transaksi'!$B$5:$B$5000)/('Input Transaksi'!$B$5:$B$5000="JCL PEMOGAN"),ROWS($E$5:E854)),"")</f>
        <v/>
      </c>
      <c r="F854" s="5" t="n"/>
    </row>
    <row r="855">
      <c r="A855" s="10">
        <f>IF($E855="","",INDEX('Input Transaksi'!$A:$A,$E855))</f>
        <v/>
      </c>
      <c r="B855" s="5">
        <f>IF($E855="","",INDEX('Input Transaksi'!$D:$D,$E855))</f>
        <v/>
      </c>
      <c r="C855">
        <f>IF($E855="","",INDEX('Input Transaksi'!$E:$E,$E855))</f>
        <v/>
      </c>
      <c r="D855" s="5">
        <f>IF($E855="","",INDEX('Input Transaksi'!$F:$F,$E855))</f>
        <v/>
      </c>
      <c r="E855">
        <f>IFERROR(AGGREGATE(15,6,ROW('Input Transaksi'!$B$5:$B$5000)/('Input Transaksi'!$B$5:$B$5000="JCL PEMOGAN"),ROWS($E$5:E855)),"")</f>
        <v/>
      </c>
      <c r="F855" s="5" t="n"/>
    </row>
    <row r="856">
      <c r="A856" s="10">
        <f>IF($E856="","",INDEX('Input Transaksi'!$A:$A,$E856))</f>
        <v/>
      </c>
      <c r="B856" s="5">
        <f>IF($E856="","",INDEX('Input Transaksi'!$D:$D,$E856))</f>
        <v/>
      </c>
      <c r="C856">
        <f>IF($E856="","",INDEX('Input Transaksi'!$E:$E,$E856))</f>
        <v/>
      </c>
      <c r="D856" s="5">
        <f>IF($E856="","",INDEX('Input Transaksi'!$F:$F,$E856))</f>
        <v/>
      </c>
      <c r="E856">
        <f>IFERROR(AGGREGATE(15,6,ROW('Input Transaksi'!$B$5:$B$5000)/('Input Transaksi'!$B$5:$B$5000="JCL PEMOGAN"),ROWS($E$5:E856)),"")</f>
        <v/>
      </c>
      <c r="F856" s="5" t="n"/>
    </row>
    <row r="857">
      <c r="A857" s="10">
        <f>IF($E857="","",INDEX('Input Transaksi'!$A:$A,$E857))</f>
        <v/>
      </c>
      <c r="B857" s="5">
        <f>IF($E857="","",INDEX('Input Transaksi'!$D:$D,$E857))</f>
        <v/>
      </c>
      <c r="C857">
        <f>IF($E857="","",INDEX('Input Transaksi'!$E:$E,$E857))</f>
        <v/>
      </c>
      <c r="D857" s="5">
        <f>IF($E857="","",INDEX('Input Transaksi'!$F:$F,$E857))</f>
        <v/>
      </c>
      <c r="E857">
        <f>IFERROR(AGGREGATE(15,6,ROW('Input Transaksi'!$B$5:$B$5000)/('Input Transaksi'!$B$5:$B$5000="JCL PEMOGAN"),ROWS($E$5:E857)),"")</f>
        <v/>
      </c>
      <c r="F857" s="5" t="n"/>
    </row>
    <row r="858">
      <c r="A858" s="10">
        <f>IF($E858="","",INDEX('Input Transaksi'!$A:$A,$E858))</f>
        <v/>
      </c>
      <c r="B858" s="5">
        <f>IF($E858="","",INDEX('Input Transaksi'!$D:$D,$E858))</f>
        <v/>
      </c>
      <c r="C858">
        <f>IF($E858="","",INDEX('Input Transaksi'!$E:$E,$E858))</f>
        <v/>
      </c>
      <c r="D858" s="5">
        <f>IF($E858="","",INDEX('Input Transaksi'!$F:$F,$E858))</f>
        <v/>
      </c>
      <c r="E858">
        <f>IFERROR(AGGREGATE(15,6,ROW('Input Transaksi'!$B$5:$B$5000)/('Input Transaksi'!$B$5:$B$5000="JCL PEMOGAN"),ROWS($E$5:E858)),"")</f>
        <v/>
      </c>
      <c r="F858" s="5" t="n"/>
    </row>
    <row r="859">
      <c r="A859" s="10">
        <f>IF($E859="","",INDEX('Input Transaksi'!$A:$A,$E859))</f>
        <v/>
      </c>
      <c r="B859" s="5">
        <f>IF($E859="","",INDEX('Input Transaksi'!$D:$D,$E859))</f>
        <v/>
      </c>
      <c r="C859">
        <f>IF($E859="","",INDEX('Input Transaksi'!$E:$E,$E859))</f>
        <v/>
      </c>
      <c r="D859" s="5">
        <f>IF($E859="","",INDEX('Input Transaksi'!$F:$F,$E859))</f>
        <v/>
      </c>
      <c r="E859">
        <f>IFERROR(AGGREGATE(15,6,ROW('Input Transaksi'!$B$5:$B$5000)/('Input Transaksi'!$B$5:$B$5000="JCL PEMOGAN"),ROWS($E$5:E859)),"")</f>
        <v/>
      </c>
      <c r="F859" s="5" t="n"/>
    </row>
    <row r="860">
      <c r="A860" s="10">
        <f>IF($E860="","",INDEX('Input Transaksi'!$A:$A,$E860))</f>
        <v/>
      </c>
      <c r="B860" s="5">
        <f>IF($E860="","",INDEX('Input Transaksi'!$D:$D,$E860))</f>
        <v/>
      </c>
      <c r="C860">
        <f>IF($E860="","",INDEX('Input Transaksi'!$E:$E,$E860))</f>
        <v/>
      </c>
      <c r="D860" s="5">
        <f>IF($E860="","",INDEX('Input Transaksi'!$F:$F,$E860))</f>
        <v/>
      </c>
      <c r="E860">
        <f>IFERROR(AGGREGATE(15,6,ROW('Input Transaksi'!$B$5:$B$5000)/('Input Transaksi'!$B$5:$B$5000="JCL PEMOGAN"),ROWS($E$5:E860)),"")</f>
        <v/>
      </c>
      <c r="F860" s="5" t="n"/>
    </row>
    <row r="861">
      <c r="A861" s="10">
        <f>IF($E861="","",INDEX('Input Transaksi'!$A:$A,$E861))</f>
        <v/>
      </c>
      <c r="B861" s="5">
        <f>IF($E861="","",INDEX('Input Transaksi'!$D:$D,$E861))</f>
        <v/>
      </c>
      <c r="C861">
        <f>IF($E861="","",INDEX('Input Transaksi'!$E:$E,$E861))</f>
        <v/>
      </c>
      <c r="D861" s="5">
        <f>IF($E861="","",INDEX('Input Transaksi'!$F:$F,$E861))</f>
        <v/>
      </c>
      <c r="E861">
        <f>IFERROR(AGGREGATE(15,6,ROW('Input Transaksi'!$B$5:$B$5000)/('Input Transaksi'!$B$5:$B$5000="JCL PEMOGAN"),ROWS($E$5:E861)),"")</f>
        <v/>
      </c>
      <c r="F861" s="5" t="n"/>
    </row>
    <row r="862">
      <c r="A862" s="10">
        <f>IF($E862="","",INDEX('Input Transaksi'!$A:$A,$E862))</f>
        <v/>
      </c>
      <c r="B862" s="5">
        <f>IF($E862="","",INDEX('Input Transaksi'!$D:$D,$E862))</f>
        <v/>
      </c>
      <c r="C862">
        <f>IF($E862="","",INDEX('Input Transaksi'!$E:$E,$E862))</f>
        <v/>
      </c>
      <c r="D862" s="5">
        <f>IF($E862="","",INDEX('Input Transaksi'!$F:$F,$E862))</f>
        <v/>
      </c>
      <c r="E862">
        <f>IFERROR(AGGREGATE(15,6,ROW('Input Transaksi'!$B$5:$B$5000)/('Input Transaksi'!$B$5:$B$5000="JCL PEMOGAN"),ROWS($E$5:E862)),"")</f>
        <v/>
      </c>
      <c r="F862" s="5" t="n"/>
    </row>
    <row r="863">
      <c r="A863" s="10">
        <f>IF($E863="","",INDEX('Input Transaksi'!$A:$A,$E863))</f>
        <v/>
      </c>
      <c r="B863" s="5">
        <f>IF($E863="","",INDEX('Input Transaksi'!$D:$D,$E863))</f>
        <v/>
      </c>
      <c r="C863">
        <f>IF($E863="","",INDEX('Input Transaksi'!$E:$E,$E863))</f>
        <v/>
      </c>
      <c r="D863" s="5">
        <f>IF($E863="","",INDEX('Input Transaksi'!$F:$F,$E863))</f>
        <v/>
      </c>
      <c r="E863">
        <f>IFERROR(AGGREGATE(15,6,ROW('Input Transaksi'!$B$5:$B$5000)/('Input Transaksi'!$B$5:$B$5000="JCL PEMOGAN"),ROWS($E$5:E863)),"")</f>
        <v/>
      </c>
      <c r="F863" s="5" t="n"/>
    </row>
    <row r="864">
      <c r="A864" s="10">
        <f>IF($E864="","",INDEX('Input Transaksi'!$A:$A,$E864))</f>
        <v/>
      </c>
      <c r="B864" s="5">
        <f>IF($E864="","",INDEX('Input Transaksi'!$D:$D,$E864))</f>
        <v/>
      </c>
      <c r="C864">
        <f>IF($E864="","",INDEX('Input Transaksi'!$E:$E,$E864))</f>
        <v/>
      </c>
      <c r="D864" s="5">
        <f>IF($E864="","",INDEX('Input Transaksi'!$F:$F,$E864))</f>
        <v/>
      </c>
      <c r="E864">
        <f>IFERROR(AGGREGATE(15,6,ROW('Input Transaksi'!$B$5:$B$5000)/('Input Transaksi'!$B$5:$B$5000="JCL PEMOGAN"),ROWS($E$5:E864)),"")</f>
        <v/>
      </c>
      <c r="F864" s="5" t="n"/>
    </row>
    <row r="865">
      <c r="A865" s="10">
        <f>IF($E865="","",INDEX('Input Transaksi'!$A:$A,$E865))</f>
        <v/>
      </c>
      <c r="B865" s="5">
        <f>IF($E865="","",INDEX('Input Transaksi'!$D:$D,$E865))</f>
        <v/>
      </c>
      <c r="C865">
        <f>IF($E865="","",INDEX('Input Transaksi'!$E:$E,$E865))</f>
        <v/>
      </c>
      <c r="D865" s="5">
        <f>IF($E865="","",INDEX('Input Transaksi'!$F:$F,$E865))</f>
        <v/>
      </c>
      <c r="E865">
        <f>IFERROR(AGGREGATE(15,6,ROW('Input Transaksi'!$B$5:$B$5000)/('Input Transaksi'!$B$5:$B$5000="JCL PEMOGAN"),ROWS($E$5:E865)),"")</f>
        <v/>
      </c>
      <c r="F865" s="5" t="n"/>
    </row>
    <row r="866">
      <c r="A866" s="10">
        <f>IF($E866="","",INDEX('Input Transaksi'!$A:$A,$E866))</f>
        <v/>
      </c>
      <c r="B866" s="5">
        <f>IF($E866="","",INDEX('Input Transaksi'!$D:$D,$E866))</f>
        <v/>
      </c>
      <c r="C866">
        <f>IF($E866="","",INDEX('Input Transaksi'!$E:$E,$E866))</f>
        <v/>
      </c>
      <c r="D866" s="5">
        <f>IF($E866="","",INDEX('Input Transaksi'!$F:$F,$E866))</f>
        <v/>
      </c>
      <c r="E866">
        <f>IFERROR(AGGREGATE(15,6,ROW('Input Transaksi'!$B$5:$B$5000)/('Input Transaksi'!$B$5:$B$5000="JCL PEMOGAN"),ROWS($E$5:E866)),"")</f>
        <v/>
      </c>
      <c r="F866" s="5" t="n"/>
    </row>
    <row r="867">
      <c r="A867" s="10">
        <f>IF($E867="","",INDEX('Input Transaksi'!$A:$A,$E867))</f>
        <v/>
      </c>
      <c r="B867" s="5">
        <f>IF($E867="","",INDEX('Input Transaksi'!$D:$D,$E867))</f>
        <v/>
      </c>
      <c r="C867">
        <f>IF($E867="","",INDEX('Input Transaksi'!$E:$E,$E867))</f>
        <v/>
      </c>
      <c r="D867" s="5">
        <f>IF($E867="","",INDEX('Input Transaksi'!$F:$F,$E867))</f>
        <v/>
      </c>
      <c r="E867">
        <f>IFERROR(AGGREGATE(15,6,ROW('Input Transaksi'!$B$5:$B$5000)/('Input Transaksi'!$B$5:$B$5000="JCL PEMOGAN"),ROWS($E$5:E867)),"")</f>
        <v/>
      </c>
      <c r="F867" s="5" t="n"/>
    </row>
    <row r="868">
      <c r="A868" s="10">
        <f>IF($E868="","",INDEX('Input Transaksi'!$A:$A,$E868))</f>
        <v/>
      </c>
      <c r="B868" s="5">
        <f>IF($E868="","",INDEX('Input Transaksi'!$D:$D,$E868))</f>
        <v/>
      </c>
      <c r="C868">
        <f>IF($E868="","",INDEX('Input Transaksi'!$E:$E,$E868))</f>
        <v/>
      </c>
      <c r="D868" s="5">
        <f>IF($E868="","",INDEX('Input Transaksi'!$F:$F,$E868))</f>
        <v/>
      </c>
      <c r="E868">
        <f>IFERROR(AGGREGATE(15,6,ROW('Input Transaksi'!$B$5:$B$5000)/('Input Transaksi'!$B$5:$B$5000="JCL PEMOGAN"),ROWS($E$5:E868)),"")</f>
        <v/>
      </c>
      <c r="F868" s="5" t="n"/>
    </row>
    <row r="869">
      <c r="A869" s="10">
        <f>IF($E869="","",INDEX('Input Transaksi'!$A:$A,$E869))</f>
        <v/>
      </c>
      <c r="B869" s="5">
        <f>IF($E869="","",INDEX('Input Transaksi'!$D:$D,$E869))</f>
        <v/>
      </c>
      <c r="C869">
        <f>IF($E869="","",INDEX('Input Transaksi'!$E:$E,$E869))</f>
        <v/>
      </c>
      <c r="D869" s="5">
        <f>IF($E869="","",INDEX('Input Transaksi'!$F:$F,$E869))</f>
        <v/>
      </c>
      <c r="E869">
        <f>IFERROR(AGGREGATE(15,6,ROW('Input Transaksi'!$B$5:$B$5000)/('Input Transaksi'!$B$5:$B$5000="JCL PEMOGAN"),ROWS($E$5:E869)),"")</f>
        <v/>
      </c>
      <c r="F869" s="5" t="n"/>
    </row>
    <row r="870">
      <c r="A870" s="10">
        <f>IF($E870="","",INDEX('Input Transaksi'!$A:$A,$E870))</f>
        <v/>
      </c>
      <c r="B870" s="5">
        <f>IF($E870="","",INDEX('Input Transaksi'!$D:$D,$E870))</f>
        <v/>
      </c>
      <c r="C870">
        <f>IF($E870="","",INDEX('Input Transaksi'!$E:$E,$E870))</f>
        <v/>
      </c>
      <c r="D870" s="5">
        <f>IF($E870="","",INDEX('Input Transaksi'!$F:$F,$E870))</f>
        <v/>
      </c>
      <c r="E870">
        <f>IFERROR(AGGREGATE(15,6,ROW('Input Transaksi'!$B$5:$B$5000)/('Input Transaksi'!$B$5:$B$5000="JCL PEMOGAN"),ROWS($E$5:E870)),"")</f>
        <v/>
      </c>
      <c r="F870" s="5" t="n"/>
    </row>
    <row r="871">
      <c r="A871" s="10">
        <f>IF($E871="","",INDEX('Input Transaksi'!$A:$A,$E871))</f>
        <v/>
      </c>
      <c r="B871" s="5">
        <f>IF($E871="","",INDEX('Input Transaksi'!$D:$D,$E871))</f>
        <v/>
      </c>
      <c r="C871">
        <f>IF($E871="","",INDEX('Input Transaksi'!$E:$E,$E871))</f>
        <v/>
      </c>
      <c r="D871" s="5">
        <f>IF($E871="","",INDEX('Input Transaksi'!$F:$F,$E871))</f>
        <v/>
      </c>
      <c r="E871">
        <f>IFERROR(AGGREGATE(15,6,ROW('Input Transaksi'!$B$5:$B$5000)/('Input Transaksi'!$B$5:$B$5000="JCL PEMOGAN"),ROWS($E$5:E871)),"")</f>
        <v/>
      </c>
      <c r="F871" s="5" t="n"/>
    </row>
    <row r="872">
      <c r="A872" s="10">
        <f>IF($E872="","",INDEX('Input Transaksi'!$A:$A,$E872))</f>
        <v/>
      </c>
      <c r="B872" s="5">
        <f>IF($E872="","",INDEX('Input Transaksi'!$D:$D,$E872))</f>
        <v/>
      </c>
      <c r="C872">
        <f>IF($E872="","",INDEX('Input Transaksi'!$E:$E,$E872))</f>
        <v/>
      </c>
      <c r="D872" s="5">
        <f>IF($E872="","",INDEX('Input Transaksi'!$F:$F,$E872))</f>
        <v/>
      </c>
      <c r="E872">
        <f>IFERROR(AGGREGATE(15,6,ROW('Input Transaksi'!$B$5:$B$5000)/('Input Transaksi'!$B$5:$B$5000="JCL PEMOGAN"),ROWS($E$5:E872)),"")</f>
        <v/>
      </c>
      <c r="F872" s="5" t="n"/>
    </row>
    <row r="873">
      <c r="A873" s="10">
        <f>IF($E873="","",INDEX('Input Transaksi'!$A:$A,$E873))</f>
        <v/>
      </c>
      <c r="B873" s="5">
        <f>IF($E873="","",INDEX('Input Transaksi'!$D:$D,$E873))</f>
        <v/>
      </c>
      <c r="C873">
        <f>IF($E873="","",INDEX('Input Transaksi'!$E:$E,$E873))</f>
        <v/>
      </c>
      <c r="D873" s="5">
        <f>IF($E873="","",INDEX('Input Transaksi'!$F:$F,$E873))</f>
        <v/>
      </c>
      <c r="E873">
        <f>IFERROR(AGGREGATE(15,6,ROW('Input Transaksi'!$B$5:$B$5000)/('Input Transaksi'!$B$5:$B$5000="JCL PEMOGAN"),ROWS($E$5:E873)),"")</f>
        <v/>
      </c>
      <c r="F873" s="5" t="n"/>
    </row>
    <row r="874">
      <c r="A874" s="10">
        <f>IF($E874="","",INDEX('Input Transaksi'!$A:$A,$E874))</f>
        <v/>
      </c>
      <c r="B874" s="5">
        <f>IF($E874="","",INDEX('Input Transaksi'!$D:$D,$E874))</f>
        <v/>
      </c>
      <c r="C874">
        <f>IF($E874="","",INDEX('Input Transaksi'!$E:$E,$E874))</f>
        <v/>
      </c>
      <c r="D874" s="5">
        <f>IF($E874="","",INDEX('Input Transaksi'!$F:$F,$E874))</f>
        <v/>
      </c>
      <c r="E874">
        <f>IFERROR(AGGREGATE(15,6,ROW('Input Transaksi'!$B$5:$B$5000)/('Input Transaksi'!$B$5:$B$5000="JCL PEMOGAN"),ROWS($E$5:E874)),"")</f>
        <v/>
      </c>
      <c r="F874" s="5" t="n"/>
    </row>
    <row r="875">
      <c r="A875" s="10">
        <f>IF($E875="","",INDEX('Input Transaksi'!$A:$A,$E875))</f>
        <v/>
      </c>
      <c r="B875" s="5">
        <f>IF($E875="","",INDEX('Input Transaksi'!$D:$D,$E875))</f>
        <v/>
      </c>
      <c r="C875">
        <f>IF($E875="","",INDEX('Input Transaksi'!$E:$E,$E875))</f>
        <v/>
      </c>
      <c r="D875" s="5">
        <f>IF($E875="","",INDEX('Input Transaksi'!$F:$F,$E875))</f>
        <v/>
      </c>
      <c r="E875">
        <f>IFERROR(AGGREGATE(15,6,ROW('Input Transaksi'!$B$5:$B$5000)/('Input Transaksi'!$B$5:$B$5000="JCL PEMOGAN"),ROWS($E$5:E875)),"")</f>
        <v/>
      </c>
      <c r="F875" s="5" t="n"/>
    </row>
    <row r="876">
      <c r="A876" s="10">
        <f>IF($E876="","",INDEX('Input Transaksi'!$A:$A,$E876))</f>
        <v/>
      </c>
      <c r="B876" s="5">
        <f>IF($E876="","",INDEX('Input Transaksi'!$D:$D,$E876))</f>
        <v/>
      </c>
      <c r="C876">
        <f>IF($E876="","",INDEX('Input Transaksi'!$E:$E,$E876))</f>
        <v/>
      </c>
      <c r="D876" s="5">
        <f>IF($E876="","",INDEX('Input Transaksi'!$F:$F,$E876))</f>
        <v/>
      </c>
      <c r="E876">
        <f>IFERROR(AGGREGATE(15,6,ROW('Input Transaksi'!$B$5:$B$5000)/('Input Transaksi'!$B$5:$B$5000="JCL PEMOGAN"),ROWS($E$5:E876)),"")</f>
        <v/>
      </c>
      <c r="F876" s="5" t="n"/>
    </row>
    <row r="877">
      <c r="A877" s="10">
        <f>IF($E877="","",INDEX('Input Transaksi'!$A:$A,$E877))</f>
        <v/>
      </c>
      <c r="B877" s="5">
        <f>IF($E877="","",INDEX('Input Transaksi'!$D:$D,$E877))</f>
        <v/>
      </c>
      <c r="C877">
        <f>IF($E877="","",INDEX('Input Transaksi'!$E:$E,$E877))</f>
        <v/>
      </c>
      <c r="D877" s="5">
        <f>IF($E877="","",INDEX('Input Transaksi'!$F:$F,$E877))</f>
        <v/>
      </c>
      <c r="E877">
        <f>IFERROR(AGGREGATE(15,6,ROW('Input Transaksi'!$B$5:$B$5000)/('Input Transaksi'!$B$5:$B$5000="JCL PEMOGAN"),ROWS($E$5:E877)),"")</f>
        <v/>
      </c>
      <c r="F877" s="5" t="n"/>
    </row>
    <row r="878">
      <c r="A878" s="10">
        <f>IF($E878="","",INDEX('Input Transaksi'!$A:$A,$E878))</f>
        <v/>
      </c>
      <c r="B878" s="5">
        <f>IF($E878="","",INDEX('Input Transaksi'!$D:$D,$E878))</f>
        <v/>
      </c>
      <c r="C878">
        <f>IF($E878="","",INDEX('Input Transaksi'!$E:$E,$E878))</f>
        <v/>
      </c>
      <c r="D878" s="5">
        <f>IF($E878="","",INDEX('Input Transaksi'!$F:$F,$E878))</f>
        <v/>
      </c>
      <c r="E878">
        <f>IFERROR(AGGREGATE(15,6,ROW('Input Transaksi'!$B$5:$B$5000)/('Input Transaksi'!$B$5:$B$5000="JCL PEMOGAN"),ROWS($E$5:E878)),"")</f>
        <v/>
      </c>
      <c r="F878" s="5" t="n"/>
    </row>
    <row r="879">
      <c r="A879" s="10">
        <f>IF($E879="","",INDEX('Input Transaksi'!$A:$A,$E879))</f>
        <v/>
      </c>
      <c r="B879" s="5">
        <f>IF($E879="","",INDEX('Input Transaksi'!$D:$D,$E879))</f>
        <v/>
      </c>
      <c r="C879">
        <f>IF($E879="","",INDEX('Input Transaksi'!$E:$E,$E879))</f>
        <v/>
      </c>
      <c r="D879" s="5">
        <f>IF($E879="","",INDEX('Input Transaksi'!$F:$F,$E879))</f>
        <v/>
      </c>
      <c r="E879">
        <f>IFERROR(AGGREGATE(15,6,ROW('Input Transaksi'!$B$5:$B$5000)/('Input Transaksi'!$B$5:$B$5000="JCL PEMOGAN"),ROWS($E$5:E879)),"")</f>
        <v/>
      </c>
      <c r="F879" s="5" t="n"/>
    </row>
    <row r="880">
      <c r="A880" s="10">
        <f>IF($E880="","",INDEX('Input Transaksi'!$A:$A,$E880))</f>
        <v/>
      </c>
      <c r="B880" s="5">
        <f>IF($E880="","",INDEX('Input Transaksi'!$D:$D,$E880))</f>
        <v/>
      </c>
      <c r="C880">
        <f>IF($E880="","",INDEX('Input Transaksi'!$E:$E,$E880))</f>
        <v/>
      </c>
      <c r="D880" s="5">
        <f>IF($E880="","",INDEX('Input Transaksi'!$F:$F,$E880))</f>
        <v/>
      </c>
      <c r="E880">
        <f>IFERROR(AGGREGATE(15,6,ROW('Input Transaksi'!$B$5:$B$5000)/('Input Transaksi'!$B$5:$B$5000="JCL PEMOGAN"),ROWS($E$5:E880)),"")</f>
        <v/>
      </c>
      <c r="F880" s="5" t="n"/>
    </row>
    <row r="881">
      <c r="A881" s="10">
        <f>IF($E881="","",INDEX('Input Transaksi'!$A:$A,$E881))</f>
        <v/>
      </c>
      <c r="B881" s="5">
        <f>IF($E881="","",INDEX('Input Transaksi'!$D:$D,$E881))</f>
        <v/>
      </c>
      <c r="C881">
        <f>IF($E881="","",INDEX('Input Transaksi'!$E:$E,$E881))</f>
        <v/>
      </c>
      <c r="D881" s="5">
        <f>IF($E881="","",INDEX('Input Transaksi'!$F:$F,$E881))</f>
        <v/>
      </c>
      <c r="E881">
        <f>IFERROR(AGGREGATE(15,6,ROW('Input Transaksi'!$B$5:$B$5000)/('Input Transaksi'!$B$5:$B$5000="JCL PEMOGAN"),ROWS($E$5:E881)),"")</f>
        <v/>
      </c>
      <c r="F881" s="5" t="n"/>
    </row>
    <row r="882">
      <c r="A882" s="10">
        <f>IF($E882="","",INDEX('Input Transaksi'!$A:$A,$E882))</f>
        <v/>
      </c>
      <c r="B882" s="5">
        <f>IF($E882="","",INDEX('Input Transaksi'!$D:$D,$E882))</f>
        <v/>
      </c>
      <c r="C882">
        <f>IF($E882="","",INDEX('Input Transaksi'!$E:$E,$E882))</f>
        <v/>
      </c>
      <c r="D882" s="5">
        <f>IF($E882="","",INDEX('Input Transaksi'!$F:$F,$E882))</f>
        <v/>
      </c>
      <c r="E882">
        <f>IFERROR(AGGREGATE(15,6,ROW('Input Transaksi'!$B$5:$B$5000)/('Input Transaksi'!$B$5:$B$5000="JCL PEMOGAN"),ROWS($E$5:E882)),"")</f>
        <v/>
      </c>
      <c r="F882" s="5" t="n"/>
    </row>
    <row r="883">
      <c r="A883" s="10">
        <f>IF($E883="","",INDEX('Input Transaksi'!$A:$A,$E883))</f>
        <v/>
      </c>
      <c r="B883" s="5">
        <f>IF($E883="","",INDEX('Input Transaksi'!$D:$D,$E883))</f>
        <v/>
      </c>
      <c r="C883">
        <f>IF($E883="","",INDEX('Input Transaksi'!$E:$E,$E883))</f>
        <v/>
      </c>
      <c r="D883" s="5">
        <f>IF($E883="","",INDEX('Input Transaksi'!$F:$F,$E883))</f>
        <v/>
      </c>
      <c r="E883">
        <f>IFERROR(AGGREGATE(15,6,ROW('Input Transaksi'!$B$5:$B$5000)/('Input Transaksi'!$B$5:$B$5000="JCL PEMOGAN"),ROWS($E$5:E883)),"")</f>
        <v/>
      </c>
      <c r="F883" s="5" t="n"/>
    </row>
    <row r="884">
      <c r="A884" s="10">
        <f>IF($E884="","",INDEX('Input Transaksi'!$A:$A,$E884))</f>
        <v/>
      </c>
      <c r="B884" s="5">
        <f>IF($E884="","",INDEX('Input Transaksi'!$D:$D,$E884))</f>
        <v/>
      </c>
      <c r="C884">
        <f>IF($E884="","",INDEX('Input Transaksi'!$E:$E,$E884))</f>
        <v/>
      </c>
      <c r="D884" s="5">
        <f>IF($E884="","",INDEX('Input Transaksi'!$F:$F,$E884))</f>
        <v/>
      </c>
      <c r="E884">
        <f>IFERROR(AGGREGATE(15,6,ROW('Input Transaksi'!$B$5:$B$5000)/('Input Transaksi'!$B$5:$B$5000="JCL PEMOGAN"),ROWS($E$5:E884)),"")</f>
        <v/>
      </c>
      <c r="F884" s="5" t="n"/>
    </row>
    <row r="885">
      <c r="A885" s="10">
        <f>IF($E885="","",INDEX('Input Transaksi'!$A:$A,$E885))</f>
        <v/>
      </c>
      <c r="B885" s="5">
        <f>IF($E885="","",INDEX('Input Transaksi'!$D:$D,$E885))</f>
        <v/>
      </c>
      <c r="C885">
        <f>IF($E885="","",INDEX('Input Transaksi'!$E:$E,$E885))</f>
        <v/>
      </c>
      <c r="D885" s="5">
        <f>IF($E885="","",INDEX('Input Transaksi'!$F:$F,$E885))</f>
        <v/>
      </c>
      <c r="E885">
        <f>IFERROR(AGGREGATE(15,6,ROW('Input Transaksi'!$B$5:$B$5000)/('Input Transaksi'!$B$5:$B$5000="JCL PEMOGAN"),ROWS($E$5:E885)),"")</f>
        <v/>
      </c>
      <c r="F885" s="5" t="n"/>
    </row>
    <row r="886">
      <c r="A886" s="10">
        <f>IF($E886="","",INDEX('Input Transaksi'!$A:$A,$E886))</f>
        <v/>
      </c>
      <c r="B886" s="5">
        <f>IF($E886="","",INDEX('Input Transaksi'!$D:$D,$E886))</f>
        <v/>
      </c>
      <c r="C886">
        <f>IF($E886="","",INDEX('Input Transaksi'!$E:$E,$E886))</f>
        <v/>
      </c>
      <c r="D886" s="5">
        <f>IF($E886="","",INDEX('Input Transaksi'!$F:$F,$E886))</f>
        <v/>
      </c>
      <c r="E886">
        <f>IFERROR(AGGREGATE(15,6,ROW('Input Transaksi'!$B$5:$B$5000)/('Input Transaksi'!$B$5:$B$5000="JCL PEMOGAN"),ROWS($E$5:E886)),"")</f>
        <v/>
      </c>
      <c r="F886" s="5" t="n"/>
    </row>
    <row r="887">
      <c r="A887" s="10">
        <f>IF($E887="","",INDEX('Input Transaksi'!$A:$A,$E887))</f>
        <v/>
      </c>
      <c r="B887" s="5">
        <f>IF($E887="","",INDEX('Input Transaksi'!$D:$D,$E887))</f>
        <v/>
      </c>
      <c r="C887">
        <f>IF($E887="","",INDEX('Input Transaksi'!$E:$E,$E887))</f>
        <v/>
      </c>
      <c r="D887" s="5">
        <f>IF($E887="","",INDEX('Input Transaksi'!$F:$F,$E887))</f>
        <v/>
      </c>
      <c r="E887">
        <f>IFERROR(AGGREGATE(15,6,ROW('Input Transaksi'!$B$5:$B$5000)/('Input Transaksi'!$B$5:$B$5000="JCL PEMOGAN"),ROWS($E$5:E887)),"")</f>
        <v/>
      </c>
      <c r="F887" s="5" t="n"/>
    </row>
    <row r="888">
      <c r="A888" s="10">
        <f>IF($E888="","",INDEX('Input Transaksi'!$A:$A,$E888))</f>
        <v/>
      </c>
      <c r="B888" s="5">
        <f>IF($E888="","",INDEX('Input Transaksi'!$D:$D,$E888))</f>
        <v/>
      </c>
      <c r="C888">
        <f>IF($E888="","",INDEX('Input Transaksi'!$E:$E,$E888))</f>
        <v/>
      </c>
      <c r="D888" s="5">
        <f>IF($E888="","",INDEX('Input Transaksi'!$F:$F,$E888))</f>
        <v/>
      </c>
      <c r="E888">
        <f>IFERROR(AGGREGATE(15,6,ROW('Input Transaksi'!$B$5:$B$5000)/('Input Transaksi'!$B$5:$B$5000="JCL PEMOGAN"),ROWS($E$5:E888)),"")</f>
        <v/>
      </c>
      <c r="F888" s="5" t="n"/>
    </row>
    <row r="889">
      <c r="A889" s="10">
        <f>IF($E889="","",INDEX('Input Transaksi'!$A:$A,$E889))</f>
        <v/>
      </c>
      <c r="B889" s="5">
        <f>IF($E889="","",INDEX('Input Transaksi'!$D:$D,$E889))</f>
        <v/>
      </c>
      <c r="C889">
        <f>IF($E889="","",INDEX('Input Transaksi'!$E:$E,$E889))</f>
        <v/>
      </c>
      <c r="D889" s="5">
        <f>IF($E889="","",INDEX('Input Transaksi'!$F:$F,$E889))</f>
        <v/>
      </c>
      <c r="E889">
        <f>IFERROR(AGGREGATE(15,6,ROW('Input Transaksi'!$B$5:$B$5000)/('Input Transaksi'!$B$5:$B$5000="JCL PEMOGAN"),ROWS($E$5:E889)),"")</f>
        <v/>
      </c>
      <c r="F889" s="5" t="n"/>
    </row>
    <row r="890">
      <c r="A890" s="10">
        <f>IF($E890="","",INDEX('Input Transaksi'!$A:$A,$E890))</f>
        <v/>
      </c>
      <c r="B890" s="5">
        <f>IF($E890="","",INDEX('Input Transaksi'!$D:$D,$E890))</f>
        <v/>
      </c>
      <c r="C890">
        <f>IF($E890="","",INDEX('Input Transaksi'!$E:$E,$E890))</f>
        <v/>
      </c>
      <c r="D890" s="5">
        <f>IF($E890="","",INDEX('Input Transaksi'!$F:$F,$E890))</f>
        <v/>
      </c>
      <c r="E890">
        <f>IFERROR(AGGREGATE(15,6,ROW('Input Transaksi'!$B$5:$B$5000)/('Input Transaksi'!$B$5:$B$5000="JCL PEMOGAN"),ROWS($E$5:E890)),"")</f>
        <v/>
      </c>
      <c r="F890" s="5" t="n"/>
    </row>
    <row r="891">
      <c r="A891" s="10">
        <f>IF($E891="","",INDEX('Input Transaksi'!$A:$A,$E891))</f>
        <v/>
      </c>
      <c r="B891" s="5">
        <f>IF($E891="","",INDEX('Input Transaksi'!$D:$D,$E891))</f>
        <v/>
      </c>
      <c r="C891">
        <f>IF($E891="","",INDEX('Input Transaksi'!$E:$E,$E891))</f>
        <v/>
      </c>
      <c r="D891" s="5">
        <f>IF($E891="","",INDEX('Input Transaksi'!$F:$F,$E891))</f>
        <v/>
      </c>
      <c r="E891">
        <f>IFERROR(AGGREGATE(15,6,ROW('Input Transaksi'!$B$5:$B$5000)/('Input Transaksi'!$B$5:$B$5000="JCL PEMOGAN"),ROWS($E$5:E891)),"")</f>
        <v/>
      </c>
      <c r="F891" s="5" t="n"/>
    </row>
    <row r="892">
      <c r="A892" s="10">
        <f>IF($E892="","",INDEX('Input Transaksi'!$A:$A,$E892))</f>
        <v/>
      </c>
      <c r="B892" s="5">
        <f>IF($E892="","",INDEX('Input Transaksi'!$D:$D,$E892))</f>
        <v/>
      </c>
      <c r="C892">
        <f>IF($E892="","",INDEX('Input Transaksi'!$E:$E,$E892))</f>
        <v/>
      </c>
      <c r="D892" s="5">
        <f>IF($E892="","",INDEX('Input Transaksi'!$F:$F,$E892))</f>
        <v/>
      </c>
      <c r="E892">
        <f>IFERROR(AGGREGATE(15,6,ROW('Input Transaksi'!$B$5:$B$5000)/('Input Transaksi'!$B$5:$B$5000="JCL PEMOGAN"),ROWS($E$5:E892)),"")</f>
        <v/>
      </c>
      <c r="F892" s="5" t="n"/>
    </row>
    <row r="893">
      <c r="A893" s="10">
        <f>IF($E893="","",INDEX('Input Transaksi'!$A:$A,$E893))</f>
        <v/>
      </c>
      <c r="B893" s="5">
        <f>IF($E893="","",INDEX('Input Transaksi'!$D:$D,$E893))</f>
        <v/>
      </c>
      <c r="C893">
        <f>IF($E893="","",INDEX('Input Transaksi'!$E:$E,$E893))</f>
        <v/>
      </c>
      <c r="D893" s="5">
        <f>IF($E893="","",INDEX('Input Transaksi'!$F:$F,$E893))</f>
        <v/>
      </c>
      <c r="E893">
        <f>IFERROR(AGGREGATE(15,6,ROW('Input Transaksi'!$B$5:$B$5000)/('Input Transaksi'!$B$5:$B$5000="JCL PEMOGAN"),ROWS($E$5:E893)),"")</f>
        <v/>
      </c>
      <c r="F893" s="5" t="n"/>
    </row>
    <row r="894">
      <c r="A894" s="10">
        <f>IF($E894="","",INDEX('Input Transaksi'!$A:$A,$E894))</f>
        <v/>
      </c>
      <c r="B894" s="5">
        <f>IF($E894="","",INDEX('Input Transaksi'!$D:$D,$E894))</f>
        <v/>
      </c>
      <c r="C894">
        <f>IF($E894="","",INDEX('Input Transaksi'!$E:$E,$E894))</f>
        <v/>
      </c>
      <c r="D894" s="5">
        <f>IF($E894="","",INDEX('Input Transaksi'!$F:$F,$E894))</f>
        <v/>
      </c>
      <c r="E894">
        <f>IFERROR(AGGREGATE(15,6,ROW('Input Transaksi'!$B$5:$B$5000)/('Input Transaksi'!$B$5:$B$5000="JCL PEMOGAN"),ROWS($E$5:E894)),"")</f>
        <v/>
      </c>
      <c r="F894" s="5" t="n"/>
    </row>
    <row r="895">
      <c r="A895" s="10">
        <f>IF($E895="","",INDEX('Input Transaksi'!$A:$A,$E895))</f>
        <v/>
      </c>
      <c r="B895" s="5">
        <f>IF($E895="","",INDEX('Input Transaksi'!$D:$D,$E895))</f>
        <v/>
      </c>
      <c r="C895">
        <f>IF($E895="","",INDEX('Input Transaksi'!$E:$E,$E895))</f>
        <v/>
      </c>
      <c r="D895" s="5">
        <f>IF($E895="","",INDEX('Input Transaksi'!$F:$F,$E895))</f>
        <v/>
      </c>
      <c r="E895">
        <f>IFERROR(AGGREGATE(15,6,ROW('Input Transaksi'!$B$5:$B$5000)/('Input Transaksi'!$B$5:$B$5000="JCL PEMOGAN"),ROWS($E$5:E895)),"")</f>
        <v/>
      </c>
      <c r="F895" s="5" t="n"/>
    </row>
    <row r="896">
      <c r="A896" s="10">
        <f>IF($E896="","",INDEX('Input Transaksi'!$A:$A,$E896))</f>
        <v/>
      </c>
      <c r="B896" s="5">
        <f>IF($E896="","",INDEX('Input Transaksi'!$D:$D,$E896))</f>
        <v/>
      </c>
      <c r="C896">
        <f>IF($E896="","",INDEX('Input Transaksi'!$E:$E,$E896))</f>
        <v/>
      </c>
      <c r="D896" s="5">
        <f>IF($E896="","",INDEX('Input Transaksi'!$F:$F,$E896))</f>
        <v/>
      </c>
      <c r="E896">
        <f>IFERROR(AGGREGATE(15,6,ROW('Input Transaksi'!$B$5:$B$5000)/('Input Transaksi'!$B$5:$B$5000="JCL PEMOGAN"),ROWS($E$5:E896)),"")</f>
        <v/>
      </c>
      <c r="F896" s="5" t="n"/>
    </row>
    <row r="897">
      <c r="A897" s="10">
        <f>IF($E897="","",INDEX('Input Transaksi'!$A:$A,$E897))</f>
        <v/>
      </c>
      <c r="B897" s="5">
        <f>IF($E897="","",INDEX('Input Transaksi'!$D:$D,$E897))</f>
        <v/>
      </c>
      <c r="C897">
        <f>IF($E897="","",INDEX('Input Transaksi'!$E:$E,$E897))</f>
        <v/>
      </c>
      <c r="D897" s="5">
        <f>IF($E897="","",INDEX('Input Transaksi'!$F:$F,$E897))</f>
        <v/>
      </c>
      <c r="E897">
        <f>IFERROR(AGGREGATE(15,6,ROW('Input Transaksi'!$B$5:$B$5000)/('Input Transaksi'!$B$5:$B$5000="JCL PEMOGAN"),ROWS($E$5:E897)),"")</f>
        <v/>
      </c>
      <c r="F897" s="5" t="n"/>
    </row>
    <row r="898">
      <c r="A898" s="10">
        <f>IF($E898="","",INDEX('Input Transaksi'!$A:$A,$E898))</f>
        <v/>
      </c>
      <c r="B898" s="5">
        <f>IF($E898="","",INDEX('Input Transaksi'!$D:$D,$E898))</f>
        <v/>
      </c>
      <c r="C898">
        <f>IF($E898="","",INDEX('Input Transaksi'!$E:$E,$E898))</f>
        <v/>
      </c>
      <c r="D898" s="5">
        <f>IF($E898="","",INDEX('Input Transaksi'!$F:$F,$E898))</f>
        <v/>
      </c>
      <c r="E898">
        <f>IFERROR(AGGREGATE(15,6,ROW('Input Transaksi'!$B$5:$B$5000)/('Input Transaksi'!$B$5:$B$5000="JCL PEMOGAN"),ROWS($E$5:E898)),"")</f>
        <v/>
      </c>
      <c r="F898" s="5" t="n"/>
    </row>
    <row r="899">
      <c r="A899" s="10">
        <f>IF($E899="","",INDEX('Input Transaksi'!$A:$A,$E899))</f>
        <v/>
      </c>
      <c r="B899" s="5">
        <f>IF($E899="","",INDEX('Input Transaksi'!$D:$D,$E899))</f>
        <v/>
      </c>
      <c r="C899">
        <f>IF($E899="","",INDEX('Input Transaksi'!$E:$E,$E899))</f>
        <v/>
      </c>
      <c r="D899" s="5">
        <f>IF($E899="","",INDEX('Input Transaksi'!$F:$F,$E899))</f>
        <v/>
      </c>
      <c r="E899">
        <f>IFERROR(AGGREGATE(15,6,ROW('Input Transaksi'!$B$5:$B$5000)/('Input Transaksi'!$B$5:$B$5000="JCL PEMOGAN"),ROWS($E$5:E899)),"")</f>
        <v/>
      </c>
      <c r="F899" s="5" t="n"/>
    </row>
    <row r="900">
      <c r="A900" s="10">
        <f>IF($E900="","",INDEX('Input Transaksi'!$A:$A,$E900))</f>
        <v/>
      </c>
      <c r="B900" s="5">
        <f>IF($E900="","",INDEX('Input Transaksi'!$D:$D,$E900))</f>
        <v/>
      </c>
      <c r="C900">
        <f>IF($E900="","",INDEX('Input Transaksi'!$E:$E,$E900))</f>
        <v/>
      </c>
      <c r="D900" s="5">
        <f>IF($E900="","",INDEX('Input Transaksi'!$F:$F,$E900))</f>
        <v/>
      </c>
      <c r="E900">
        <f>IFERROR(AGGREGATE(15,6,ROW('Input Transaksi'!$B$5:$B$5000)/('Input Transaksi'!$B$5:$B$5000="JCL PEMOGAN"),ROWS($E$5:E900)),"")</f>
        <v/>
      </c>
      <c r="F900" s="5" t="n"/>
    </row>
    <row r="901">
      <c r="A901" s="10">
        <f>IF($E901="","",INDEX('Input Transaksi'!$A:$A,$E901))</f>
        <v/>
      </c>
      <c r="B901" s="5">
        <f>IF($E901="","",INDEX('Input Transaksi'!$D:$D,$E901))</f>
        <v/>
      </c>
      <c r="C901">
        <f>IF($E901="","",INDEX('Input Transaksi'!$E:$E,$E901))</f>
        <v/>
      </c>
      <c r="D901" s="5">
        <f>IF($E901="","",INDEX('Input Transaksi'!$F:$F,$E901))</f>
        <v/>
      </c>
      <c r="E901">
        <f>IFERROR(AGGREGATE(15,6,ROW('Input Transaksi'!$B$5:$B$5000)/('Input Transaksi'!$B$5:$B$5000="JCL PEMOGAN"),ROWS($E$5:E901)),"")</f>
        <v/>
      </c>
      <c r="F901" s="5" t="n"/>
    </row>
    <row r="902">
      <c r="A902" s="10">
        <f>IF($E902="","",INDEX('Input Transaksi'!$A:$A,$E902))</f>
        <v/>
      </c>
      <c r="B902" s="5">
        <f>IF($E902="","",INDEX('Input Transaksi'!$D:$D,$E902))</f>
        <v/>
      </c>
      <c r="C902">
        <f>IF($E902="","",INDEX('Input Transaksi'!$E:$E,$E902))</f>
        <v/>
      </c>
      <c r="D902" s="5">
        <f>IF($E902="","",INDEX('Input Transaksi'!$F:$F,$E902))</f>
        <v/>
      </c>
      <c r="E902">
        <f>IFERROR(AGGREGATE(15,6,ROW('Input Transaksi'!$B$5:$B$5000)/('Input Transaksi'!$B$5:$B$5000="JCL PEMOGAN"),ROWS($E$5:E902)),"")</f>
        <v/>
      </c>
      <c r="F902" s="5" t="n"/>
    </row>
    <row r="903">
      <c r="A903" s="10">
        <f>IF($E903="","",INDEX('Input Transaksi'!$A:$A,$E903))</f>
        <v/>
      </c>
      <c r="B903" s="5">
        <f>IF($E903="","",INDEX('Input Transaksi'!$D:$D,$E903))</f>
        <v/>
      </c>
      <c r="C903">
        <f>IF($E903="","",INDEX('Input Transaksi'!$E:$E,$E903))</f>
        <v/>
      </c>
      <c r="D903" s="5">
        <f>IF($E903="","",INDEX('Input Transaksi'!$F:$F,$E903))</f>
        <v/>
      </c>
      <c r="E903">
        <f>IFERROR(AGGREGATE(15,6,ROW('Input Transaksi'!$B$5:$B$5000)/('Input Transaksi'!$B$5:$B$5000="JCL PEMOGAN"),ROWS($E$5:E903)),"")</f>
        <v/>
      </c>
      <c r="F903" s="5" t="n"/>
    </row>
    <row r="904">
      <c r="A904" s="10">
        <f>IF($E904="","",INDEX('Input Transaksi'!$A:$A,$E904))</f>
        <v/>
      </c>
      <c r="B904" s="5">
        <f>IF($E904="","",INDEX('Input Transaksi'!$D:$D,$E904))</f>
        <v/>
      </c>
      <c r="C904">
        <f>IF($E904="","",INDEX('Input Transaksi'!$E:$E,$E904))</f>
        <v/>
      </c>
      <c r="D904" s="5">
        <f>IF($E904="","",INDEX('Input Transaksi'!$F:$F,$E904))</f>
        <v/>
      </c>
      <c r="E904">
        <f>IFERROR(AGGREGATE(15,6,ROW('Input Transaksi'!$B$5:$B$5000)/('Input Transaksi'!$B$5:$B$5000="JCL PEMOGAN"),ROWS($E$5:E904)),"")</f>
        <v/>
      </c>
      <c r="F904" s="5" t="n"/>
    </row>
    <row r="905">
      <c r="A905" s="10">
        <f>IF($E905="","",INDEX('Input Transaksi'!$A:$A,$E905))</f>
        <v/>
      </c>
      <c r="B905" s="5">
        <f>IF($E905="","",INDEX('Input Transaksi'!$D:$D,$E905))</f>
        <v/>
      </c>
      <c r="C905">
        <f>IF($E905="","",INDEX('Input Transaksi'!$E:$E,$E905))</f>
        <v/>
      </c>
      <c r="D905" s="5">
        <f>IF($E905="","",INDEX('Input Transaksi'!$F:$F,$E905))</f>
        <v/>
      </c>
      <c r="E905">
        <f>IFERROR(AGGREGATE(15,6,ROW('Input Transaksi'!$B$5:$B$5000)/('Input Transaksi'!$B$5:$B$5000="JCL PEMOGAN"),ROWS($E$5:E905)),"")</f>
        <v/>
      </c>
      <c r="F905" s="5" t="n"/>
    </row>
    <row r="906">
      <c r="A906" s="10">
        <f>IF($E906="","",INDEX('Input Transaksi'!$A:$A,$E906))</f>
        <v/>
      </c>
      <c r="B906" s="5">
        <f>IF($E906="","",INDEX('Input Transaksi'!$D:$D,$E906))</f>
        <v/>
      </c>
      <c r="C906">
        <f>IF($E906="","",INDEX('Input Transaksi'!$E:$E,$E906))</f>
        <v/>
      </c>
      <c r="D906" s="5">
        <f>IF($E906="","",INDEX('Input Transaksi'!$F:$F,$E906))</f>
        <v/>
      </c>
      <c r="E906">
        <f>IFERROR(AGGREGATE(15,6,ROW('Input Transaksi'!$B$5:$B$5000)/('Input Transaksi'!$B$5:$B$5000="JCL PEMOGAN"),ROWS($E$5:E906)),"")</f>
        <v/>
      </c>
      <c r="F906" s="5" t="n"/>
    </row>
    <row r="907">
      <c r="A907" s="10">
        <f>IF($E907="","",INDEX('Input Transaksi'!$A:$A,$E907))</f>
        <v/>
      </c>
      <c r="B907" s="5">
        <f>IF($E907="","",INDEX('Input Transaksi'!$D:$D,$E907))</f>
        <v/>
      </c>
      <c r="C907">
        <f>IF($E907="","",INDEX('Input Transaksi'!$E:$E,$E907))</f>
        <v/>
      </c>
      <c r="D907" s="5">
        <f>IF($E907="","",INDEX('Input Transaksi'!$F:$F,$E907))</f>
        <v/>
      </c>
      <c r="E907">
        <f>IFERROR(AGGREGATE(15,6,ROW('Input Transaksi'!$B$5:$B$5000)/('Input Transaksi'!$B$5:$B$5000="JCL PEMOGAN"),ROWS($E$5:E907)),"")</f>
        <v/>
      </c>
      <c r="F907" s="5" t="n"/>
    </row>
    <row r="908">
      <c r="A908" s="10">
        <f>IF($E908="","",INDEX('Input Transaksi'!$A:$A,$E908))</f>
        <v/>
      </c>
      <c r="B908" s="5">
        <f>IF($E908="","",INDEX('Input Transaksi'!$D:$D,$E908))</f>
        <v/>
      </c>
      <c r="C908">
        <f>IF($E908="","",INDEX('Input Transaksi'!$E:$E,$E908))</f>
        <v/>
      </c>
      <c r="D908" s="5">
        <f>IF($E908="","",INDEX('Input Transaksi'!$F:$F,$E908))</f>
        <v/>
      </c>
      <c r="E908">
        <f>IFERROR(AGGREGATE(15,6,ROW('Input Transaksi'!$B$5:$B$5000)/('Input Transaksi'!$B$5:$B$5000="JCL PEMOGAN"),ROWS($E$5:E908)),"")</f>
        <v/>
      </c>
      <c r="F908" s="5" t="n"/>
    </row>
    <row r="909">
      <c r="A909" s="10">
        <f>IF($E909="","",INDEX('Input Transaksi'!$A:$A,$E909))</f>
        <v/>
      </c>
      <c r="B909" s="5">
        <f>IF($E909="","",INDEX('Input Transaksi'!$D:$D,$E909))</f>
        <v/>
      </c>
      <c r="C909">
        <f>IF($E909="","",INDEX('Input Transaksi'!$E:$E,$E909))</f>
        <v/>
      </c>
      <c r="D909" s="5">
        <f>IF($E909="","",INDEX('Input Transaksi'!$F:$F,$E909))</f>
        <v/>
      </c>
      <c r="E909">
        <f>IFERROR(AGGREGATE(15,6,ROW('Input Transaksi'!$B$5:$B$5000)/('Input Transaksi'!$B$5:$B$5000="JCL PEMOGAN"),ROWS($E$5:E909)),"")</f>
        <v/>
      </c>
      <c r="F909" s="5" t="n"/>
    </row>
    <row r="910">
      <c r="A910" s="10">
        <f>IF($E910="","",INDEX('Input Transaksi'!$A:$A,$E910))</f>
        <v/>
      </c>
      <c r="B910" s="5">
        <f>IF($E910="","",INDEX('Input Transaksi'!$D:$D,$E910))</f>
        <v/>
      </c>
      <c r="C910">
        <f>IF($E910="","",INDEX('Input Transaksi'!$E:$E,$E910))</f>
        <v/>
      </c>
      <c r="D910" s="5">
        <f>IF($E910="","",INDEX('Input Transaksi'!$F:$F,$E910))</f>
        <v/>
      </c>
      <c r="E910">
        <f>IFERROR(AGGREGATE(15,6,ROW('Input Transaksi'!$B$5:$B$5000)/('Input Transaksi'!$B$5:$B$5000="JCL PEMOGAN"),ROWS($E$5:E910)),"")</f>
        <v/>
      </c>
      <c r="F910" s="5" t="n"/>
    </row>
    <row r="911">
      <c r="A911" s="10">
        <f>IF($E911="","",INDEX('Input Transaksi'!$A:$A,$E911))</f>
        <v/>
      </c>
      <c r="B911" s="5">
        <f>IF($E911="","",INDEX('Input Transaksi'!$D:$D,$E911))</f>
        <v/>
      </c>
      <c r="C911">
        <f>IF($E911="","",INDEX('Input Transaksi'!$E:$E,$E911))</f>
        <v/>
      </c>
      <c r="D911" s="5">
        <f>IF($E911="","",INDEX('Input Transaksi'!$F:$F,$E911))</f>
        <v/>
      </c>
      <c r="E911">
        <f>IFERROR(AGGREGATE(15,6,ROW('Input Transaksi'!$B$5:$B$5000)/('Input Transaksi'!$B$5:$B$5000="JCL PEMOGAN"),ROWS($E$5:E911)),"")</f>
        <v/>
      </c>
      <c r="F911" s="5" t="n"/>
    </row>
    <row r="912">
      <c r="A912" s="10">
        <f>IF($E912="","",INDEX('Input Transaksi'!$A:$A,$E912))</f>
        <v/>
      </c>
      <c r="B912" s="5">
        <f>IF($E912="","",INDEX('Input Transaksi'!$D:$D,$E912))</f>
        <v/>
      </c>
      <c r="C912">
        <f>IF($E912="","",INDEX('Input Transaksi'!$E:$E,$E912))</f>
        <v/>
      </c>
      <c r="D912" s="5">
        <f>IF($E912="","",INDEX('Input Transaksi'!$F:$F,$E912))</f>
        <v/>
      </c>
      <c r="E912">
        <f>IFERROR(AGGREGATE(15,6,ROW('Input Transaksi'!$B$5:$B$5000)/('Input Transaksi'!$B$5:$B$5000="JCL PEMOGAN"),ROWS($E$5:E912)),"")</f>
        <v/>
      </c>
      <c r="F912" s="5" t="n"/>
    </row>
    <row r="913">
      <c r="A913" s="10">
        <f>IF($E913="","",INDEX('Input Transaksi'!$A:$A,$E913))</f>
        <v/>
      </c>
      <c r="B913" s="5">
        <f>IF($E913="","",INDEX('Input Transaksi'!$D:$D,$E913))</f>
        <v/>
      </c>
      <c r="C913">
        <f>IF($E913="","",INDEX('Input Transaksi'!$E:$E,$E913))</f>
        <v/>
      </c>
      <c r="D913" s="5">
        <f>IF($E913="","",INDEX('Input Transaksi'!$F:$F,$E913))</f>
        <v/>
      </c>
      <c r="E913">
        <f>IFERROR(AGGREGATE(15,6,ROW('Input Transaksi'!$B$5:$B$5000)/('Input Transaksi'!$B$5:$B$5000="JCL PEMOGAN"),ROWS($E$5:E913)),"")</f>
        <v/>
      </c>
      <c r="F913" s="5" t="n"/>
    </row>
    <row r="914">
      <c r="A914" s="10">
        <f>IF($E914="","",INDEX('Input Transaksi'!$A:$A,$E914))</f>
        <v/>
      </c>
      <c r="B914" s="5">
        <f>IF($E914="","",INDEX('Input Transaksi'!$D:$D,$E914))</f>
        <v/>
      </c>
      <c r="C914">
        <f>IF($E914="","",INDEX('Input Transaksi'!$E:$E,$E914))</f>
        <v/>
      </c>
      <c r="D914" s="5">
        <f>IF($E914="","",INDEX('Input Transaksi'!$F:$F,$E914))</f>
        <v/>
      </c>
      <c r="E914">
        <f>IFERROR(AGGREGATE(15,6,ROW('Input Transaksi'!$B$5:$B$5000)/('Input Transaksi'!$B$5:$B$5000="JCL PEMOGAN"),ROWS($E$5:E914)),"")</f>
        <v/>
      </c>
      <c r="F914" s="5" t="n"/>
    </row>
    <row r="915">
      <c r="A915" s="10">
        <f>IF($E915="","",INDEX('Input Transaksi'!$A:$A,$E915))</f>
        <v/>
      </c>
      <c r="B915" s="5">
        <f>IF($E915="","",INDEX('Input Transaksi'!$D:$D,$E915))</f>
        <v/>
      </c>
      <c r="C915">
        <f>IF($E915="","",INDEX('Input Transaksi'!$E:$E,$E915))</f>
        <v/>
      </c>
      <c r="D915" s="5">
        <f>IF($E915="","",INDEX('Input Transaksi'!$F:$F,$E915))</f>
        <v/>
      </c>
      <c r="E915">
        <f>IFERROR(AGGREGATE(15,6,ROW('Input Transaksi'!$B$5:$B$5000)/('Input Transaksi'!$B$5:$B$5000="JCL PEMOGAN"),ROWS($E$5:E915)),"")</f>
        <v/>
      </c>
      <c r="F915" s="5" t="n"/>
    </row>
    <row r="916">
      <c r="A916" s="10">
        <f>IF($E916="","",INDEX('Input Transaksi'!$A:$A,$E916))</f>
        <v/>
      </c>
      <c r="B916" s="5">
        <f>IF($E916="","",INDEX('Input Transaksi'!$D:$D,$E916))</f>
        <v/>
      </c>
      <c r="C916">
        <f>IF($E916="","",INDEX('Input Transaksi'!$E:$E,$E916))</f>
        <v/>
      </c>
      <c r="D916" s="5">
        <f>IF($E916="","",INDEX('Input Transaksi'!$F:$F,$E916))</f>
        <v/>
      </c>
      <c r="E916">
        <f>IFERROR(AGGREGATE(15,6,ROW('Input Transaksi'!$B$5:$B$5000)/('Input Transaksi'!$B$5:$B$5000="JCL PEMOGAN"),ROWS($E$5:E916)),"")</f>
        <v/>
      </c>
      <c r="F916" s="5" t="n"/>
    </row>
    <row r="917">
      <c r="A917" s="10">
        <f>IF($E917="","",INDEX('Input Transaksi'!$A:$A,$E917))</f>
        <v/>
      </c>
      <c r="B917" s="5">
        <f>IF($E917="","",INDEX('Input Transaksi'!$D:$D,$E917))</f>
        <v/>
      </c>
      <c r="C917">
        <f>IF($E917="","",INDEX('Input Transaksi'!$E:$E,$E917))</f>
        <v/>
      </c>
      <c r="D917" s="5">
        <f>IF($E917="","",INDEX('Input Transaksi'!$F:$F,$E917))</f>
        <v/>
      </c>
      <c r="E917">
        <f>IFERROR(AGGREGATE(15,6,ROW('Input Transaksi'!$B$5:$B$5000)/('Input Transaksi'!$B$5:$B$5000="JCL PEMOGAN"),ROWS($E$5:E917)),"")</f>
        <v/>
      </c>
      <c r="F917" s="5" t="n"/>
    </row>
    <row r="918">
      <c r="A918" s="10">
        <f>IF($E918="","",INDEX('Input Transaksi'!$A:$A,$E918))</f>
        <v/>
      </c>
      <c r="B918" s="5">
        <f>IF($E918="","",INDEX('Input Transaksi'!$D:$D,$E918))</f>
        <v/>
      </c>
      <c r="C918">
        <f>IF($E918="","",INDEX('Input Transaksi'!$E:$E,$E918))</f>
        <v/>
      </c>
      <c r="D918" s="5">
        <f>IF($E918="","",INDEX('Input Transaksi'!$F:$F,$E918))</f>
        <v/>
      </c>
      <c r="E918">
        <f>IFERROR(AGGREGATE(15,6,ROW('Input Transaksi'!$B$5:$B$5000)/('Input Transaksi'!$B$5:$B$5000="JCL PEMOGAN"),ROWS($E$5:E918)),"")</f>
        <v/>
      </c>
      <c r="F918" s="5" t="n"/>
    </row>
    <row r="919">
      <c r="A919" s="10">
        <f>IF($E919="","",INDEX('Input Transaksi'!$A:$A,$E919))</f>
        <v/>
      </c>
      <c r="B919" s="5">
        <f>IF($E919="","",INDEX('Input Transaksi'!$D:$D,$E919))</f>
        <v/>
      </c>
      <c r="C919">
        <f>IF($E919="","",INDEX('Input Transaksi'!$E:$E,$E919))</f>
        <v/>
      </c>
      <c r="D919" s="5">
        <f>IF($E919="","",INDEX('Input Transaksi'!$F:$F,$E919))</f>
        <v/>
      </c>
      <c r="E919">
        <f>IFERROR(AGGREGATE(15,6,ROW('Input Transaksi'!$B$5:$B$5000)/('Input Transaksi'!$B$5:$B$5000="JCL PEMOGAN"),ROWS($E$5:E919)),"")</f>
        <v/>
      </c>
      <c r="F919" s="5" t="n"/>
    </row>
    <row r="920">
      <c r="A920" s="10">
        <f>IF($E920="","",INDEX('Input Transaksi'!$A:$A,$E920))</f>
        <v/>
      </c>
      <c r="B920" s="5">
        <f>IF($E920="","",INDEX('Input Transaksi'!$D:$D,$E920))</f>
        <v/>
      </c>
      <c r="C920">
        <f>IF($E920="","",INDEX('Input Transaksi'!$E:$E,$E920))</f>
        <v/>
      </c>
      <c r="D920" s="5">
        <f>IF($E920="","",INDEX('Input Transaksi'!$F:$F,$E920))</f>
        <v/>
      </c>
      <c r="E920">
        <f>IFERROR(AGGREGATE(15,6,ROW('Input Transaksi'!$B$5:$B$5000)/('Input Transaksi'!$B$5:$B$5000="JCL PEMOGAN"),ROWS($E$5:E920)),"")</f>
        <v/>
      </c>
      <c r="F920" s="5" t="n"/>
    </row>
    <row r="921">
      <c r="A921" s="10">
        <f>IF($E921="","",INDEX('Input Transaksi'!$A:$A,$E921))</f>
        <v/>
      </c>
      <c r="B921" s="5">
        <f>IF($E921="","",INDEX('Input Transaksi'!$D:$D,$E921))</f>
        <v/>
      </c>
      <c r="C921">
        <f>IF($E921="","",INDEX('Input Transaksi'!$E:$E,$E921))</f>
        <v/>
      </c>
      <c r="D921" s="5">
        <f>IF($E921="","",INDEX('Input Transaksi'!$F:$F,$E921))</f>
        <v/>
      </c>
      <c r="E921">
        <f>IFERROR(AGGREGATE(15,6,ROW('Input Transaksi'!$B$5:$B$5000)/('Input Transaksi'!$B$5:$B$5000="JCL PEMOGAN"),ROWS($E$5:E921)),"")</f>
        <v/>
      </c>
      <c r="F921" s="5" t="n"/>
    </row>
    <row r="922">
      <c r="A922" s="10">
        <f>IF($E922="","",INDEX('Input Transaksi'!$A:$A,$E922))</f>
        <v/>
      </c>
      <c r="B922" s="5">
        <f>IF($E922="","",INDEX('Input Transaksi'!$D:$D,$E922))</f>
        <v/>
      </c>
      <c r="C922">
        <f>IF($E922="","",INDEX('Input Transaksi'!$E:$E,$E922))</f>
        <v/>
      </c>
      <c r="D922" s="5">
        <f>IF($E922="","",INDEX('Input Transaksi'!$F:$F,$E922))</f>
        <v/>
      </c>
      <c r="E922">
        <f>IFERROR(AGGREGATE(15,6,ROW('Input Transaksi'!$B$5:$B$5000)/('Input Transaksi'!$B$5:$B$5000="JCL PEMOGAN"),ROWS($E$5:E922)),"")</f>
        <v/>
      </c>
      <c r="F922" s="5" t="n"/>
    </row>
    <row r="923">
      <c r="A923" s="10">
        <f>IF($E923="","",INDEX('Input Transaksi'!$A:$A,$E923))</f>
        <v/>
      </c>
      <c r="B923" s="5">
        <f>IF($E923="","",INDEX('Input Transaksi'!$D:$D,$E923))</f>
        <v/>
      </c>
      <c r="C923">
        <f>IF($E923="","",INDEX('Input Transaksi'!$E:$E,$E923))</f>
        <v/>
      </c>
      <c r="D923" s="5">
        <f>IF($E923="","",INDEX('Input Transaksi'!$F:$F,$E923))</f>
        <v/>
      </c>
      <c r="E923">
        <f>IFERROR(AGGREGATE(15,6,ROW('Input Transaksi'!$B$5:$B$5000)/('Input Transaksi'!$B$5:$B$5000="JCL PEMOGAN"),ROWS($E$5:E923)),"")</f>
        <v/>
      </c>
      <c r="F923" s="5" t="n"/>
    </row>
    <row r="924">
      <c r="A924" s="10">
        <f>IF($E924="","",INDEX('Input Transaksi'!$A:$A,$E924))</f>
        <v/>
      </c>
      <c r="B924" s="5">
        <f>IF($E924="","",INDEX('Input Transaksi'!$D:$D,$E924))</f>
        <v/>
      </c>
      <c r="C924">
        <f>IF($E924="","",INDEX('Input Transaksi'!$E:$E,$E924))</f>
        <v/>
      </c>
      <c r="D924" s="5">
        <f>IF($E924="","",INDEX('Input Transaksi'!$F:$F,$E924))</f>
        <v/>
      </c>
      <c r="E924">
        <f>IFERROR(AGGREGATE(15,6,ROW('Input Transaksi'!$B$5:$B$5000)/('Input Transaksi'!$B$5:$B$5000="JCL PEMOGAN"),ROWS($E$5:E924)),"")</f>
        <v/>
      </c>
      <c r="F924" s="5" t="n"/>
    </row>
    <row r="925">
      <c r="A925" s="10">
        <f>IF($E925="","",INDEX('Input Transaksi'!$A:$A,$E925))</f>
        <v/>
      </c>
      <c r="B925" s="5">
        <f>IF($E925="","",INDEX('Input Transaksi'!$D:$D,$E925))</f>
        <v/>
      </c>
      <c r="C925">
        <f>IF($E925="","",INDEX('Input Transaksi'!$E:$E,$E925))</f>
        <v/>
      </c>
      <c r="D925" s="5">
        <f>IF($E925="","",INDEX('Input Transaksi'!$F:$F,$E925))</f>
        <v/>
      </c>
      <c r="E925">
        <f>IFERROR(AGGREGATE(15,6,ROW('Input Transaksi'!$B$5:$B$5000)/('Input Transaksi'!$B$5:$B$5000="JCL PEMOGAN"),ROWS($E$5:E925)),"")</f>
        <v/>
      </c>
      <c r="F925" s="5" t="n"/>
    </row>
    <row r="926">
      <c r="A926" s="10">
        <f>IF($E926="","",INDEX('Input Transaksi'!$A:$A,$E926))</f>
        <v/>
      </c>
      <c r="B926" s="5">
        <f>IF($E926="","",INDEX('Input Transaksi'!$D:$D,$E926))</f>
        <v/>
      </c>
      <c r="C926">
        <f>IF($E926="","",INDEX('Input Transaksi'!$E:$E,$E926))</f>
        <v/>
      </c>
      <c r="D926" s="5">
        <f>IF($E926="","",INDEX('Input Transaksi'!$F:$F,$E926))</f>
        <v/>
      </c>
      <c r="E926">
        <f>IFERROR(AGGREGATE(15,6,ROW('Input Transaksi'!$B$5:$B$5000)/('Input Transaksi'!$B$5:$B$5000="JCL PEMOGAN"),ROWS($E$5:E926)),"")</f>
        <v/>
      </c>
      <c r="F926" s="5" t="n"/>
    </row>
    <row r="927">
      <c r="A927" s="10">
        <f>IF($E927="","",INDEX('Input Transaksi'!$A:$A,$E927))</f>
        <v/>
      </c>
      <c r="B927" s="5">
        <f>IF($E927="","",INDEX('Input Transaksi'!$D:$D,$E927))</f>
        <v/>
      </c>
      <c r="C927">
        <f>IF($E927="","",INDEX('Input Transaksi'!$E:$E,$E927))</f>
        <v/>
      </c>
      <c r="D927" s="5">
        <f>IF($E927="","",INDEX('Input Transaksi'!$F:$F,$E927))</f>
        <v/>
      </c>
      <c r="E927">
        <f>IFERROR(AGGREGATE(15,6,ROW('Input Transaksi'!$B$5:$B$5000)/('Input Transaksi'!$B$5:$B$5000="JCL PEMOGAN"),ROWS($E$5:E927)),"")</f>
        <v/>
      </c>
      <c r="F927" s="5" t="n"/>
    </row>
    <row r="928">
      <c r="A928" s="10">
        <f>IF($E928="","",INDEX('Input Transaksi'!$A:$A,$E928))</f>
        <v/>
      </c>
      <c r="B928" s="5">
        <f>IF($E928="","",INDEX('Input Transaksi'!$D:$D,$E928))</f>
        <v/>
      </c>
      <c r="C928">
        <f>IF($E928="","",INDEX('Input Transaksi'!$E:$E,$E928))</f>
        <v/>
      </c>
      <c r="D928" s="5">
        <f>IF($E928="","",INDEX('Input Transaksi'!$F:$F,$E928))</f>
        <v/>
      </c>
      <c r="E928">
        <f>IFERROR(AGGREGATE(15,6,ROW('Input Transaksi'!$B$5:$B$5000)/('Input Transaksi'!$B$5:$B$5000="JCL PEMOGAN"),ROWS($E$5:E928)),"")</f>
        <v/>
      </c>
      <c r="F928" s="5" t="n"/>
    </row>
    <row r="929">
      <c r="A929" s="10">
        <f>IF($E929="","",INDEX('Input Transaksi'!$A:$A,$E929))</f>
        <v/>
      </c>
      <c r="B929" s="5">
        <f>IF($E929="","",INDEX('Input Transaksi'!$D:$D,$E929))</f>
        <v/>
      </c>
      <c r="C929">
        <f>IF($E929="","",INDEX('Input Transaksi'!$E:$E,$E929))</f>
        <v/>
      </c>
      <c r="D929" s="5">
        <f>IF($E929="","",INDEX('Input Transaksi'!$F:$F,$E929))</f>
        <v/>
      </c>
      <c r="E929">
        <f>IFERROR(AGGREGATE(15,6,ROW('Input Transaksi'!$B$5:$B$5000)/('Input Transaksi'!$B$5:$B$5000="JCL PEMOGAN"),ROWS($E$5:E929)),"")</f>
        <v/>
      </c>
      <c r="F929" s="5" t="n"/>
    </row>
    <row r="930">
      <c r="A930" s="10">
        <f>IF($E930="","",INDEX('Input Transaksi'!$A:$A,$E930))</f>
        <v/>
      </c>
      <c r="B930" s="5">
        <f>IF($E930="","",INDEX('Input Transaksi'!$D:$D,$E930))</f>
        <v/>
      </c>
      <c r="C930">
        <f>IF($E930="","",INDEX('Input Transaksi'!$E:$E,$E930))</f>
        <v/>
      </c>
      <c r="D930" s="5">
        <f>IF($E930="","",INDEX('Input Transaksi'!$F:$F,$E930))</f>
        <v/>
      </c>
      <c r="E930">
        <f>IFERROR(AGGREGATE(15,6,ROW('Input Transaksi'!$B$5:$B$5000)/('Input Transaksi'!$B$5:$B$5000="JCL PEMOGAN"),ROWS($E$5:E930)),"")</f>
        <v/>
      </c>
      <c r="F930" s="5" t="n"/>
    </row>
    <row r="931">
      <c r="A931" s="10">
        <f>IF($E931="","",INDEX('Input Transaksi'!$A:$A,$E931))</f>
        <v/>
      </c>
      <c r="B931" s="5">
        <f>IF($E931="","",INDEX('Input Transaksi'!$D:$D,$E931))</f>
        <v/>
      </c>
      <c r="C931">
        <f>IF($E931="","",INDEX('Input Transaksi'!$E:$E,$E931))</f>
        <v/>
      </c>
      <c r="D931" s="5">
        <f>IF($E931="","",INDEX('Input Transaksi'!$F:$F,$E931))</f>
        <v/>
      </c>
      <c r="E931">
        <f>IFERROR(AGGREGATE(15,6,ROW('Input Transaksi'!$B$5:$B$5000)/('Input Transaksi'!$B$5:$B$5000="JCL PEMOGAN"),ROWS($E$5:E931)),"")</f>
        <v/>
      </c>
      <c r="F931" s="5" t="n"/>
    </row>
    <row r="932">
      <c r="A932" s="10">
        <f>IF($E932="","",INDEX('Input Transaksi'!$A:$A,$E932))</f>
        <v/>
      </c>
      <c r="B932" s="5">
        <f>IF($E932="","",INDEX('Input Transaksi'!$D:$D,$E932))</f>
        <v/>
      </c>
      <c r="C932">
        <f>IF($E932="","",INDEX('Input Transaksi'!$E:$E,$E932))</f>
        <v/>
      </c>
      <c r="D932" s="5">
        <f>IF($E932="","",INDEX('Input Transaksi'!$F:$F,$E932))</f>
        <v/>
      </c>
      <c r="E932">
        <f>IFERROR(AGGREGATE(15,6,ROW('Input Transaksi'!$B$5:$B$5000)/('Input Transaksi'!$B$5:$B$5000="JCL PEMOGAN"),ROWS($E$5:E932)),"")</f>
        <v/>
      </c>
      <c r="F932" s="5" t="n"/>
    </row>
    <row r="933">
      <c r="A933" s="10">
        <f>IF($E933="","",INDEX('Input Transaksi'!$A:$A,$E933))</f>
        <v/>
      </c>
      <c r="B933" s="5">
        <f>IF($E933="","",INDEX('Input Transaksi'!$D:$D,$E933))</f>
        <v/>
      </c>
      <c r="C933">
        <f>IF($E933="","",INDEX('Input Transaksi'!$E:$E,$E933))</f>
        <v/>
      </c>
      <c r="D933" s="5">
        <f>IF($E933="","",INDEX('Input Transaksi'!$F:$F,$E933))</f>
        <v/>
      </c>
      <c r="E933">
        <f>IFERROR(AGGREGATE(15,6,ROW('Input Transaksi'!$B$5:$B$5000)/('Input Transaksi'!$B$5:$B$5000="JCL PEMOGAN"),ROWS($E$5:E933)),"")</f>
        <v/>
      </c>
      <c r="F933" s="5" t="n"/>
    </row>
    <row r="934">
      <c r="A934" s="10">
        <f>IF($E934="","",INDEX('Input Transaksi'!$A:$A,$E934))</f>
        <v/>
      </c>
      <c r="B934" s="5">
        <f>IF($E934="","",INDEX('Input Transaksi'!$D:$D,$E934))</f>
        <v/>
      </c>
      <c r="C934">
        <f>IF($E934="","",INDEX('Input Transaksi'!$E:$E,$E934))</f>
        <v/>
      </c>
      <c r="D934" s="5">
        <f>IF($E934="","",INDEX('Input Transaksi'!$F:$F,$E934))</f>
        <v/>
      </c>
      <c r="E934">
        <f>IFERROR(AGGREGATE(15,6,ROW('Input Transaksi'!$B$5:$B$5000)/('Input Transaksi'!$B$5:$B$5000="JCL PEMOGAN"),ROWS($E$5:E934)),"")</f>
        <v/>
      </c>
      <c r="F934" s="5" t="n"/>
    </row>
    <row r="935">
      <c r="A935" s="10">
        <f>IF($E935="","",INDEX('Input Transaksi'!$A:$A,$E935))</f>
        <v/>
      </c>
      <c r="B935" s="5">
        <f>IF($E935="","",INDEX('Input Transaksi'!$D:$D,$E935))</f>
        <v/>
      </c>
      <c r="C935">
        <f>IF($E935="","",INDEX('Input Transaksi'!$E:$E,$E935))</f>
        <v/>
      </c>
      <c r="D935" s="5">
        <f>IF($E935="","",INDEX('Input Transaksi'!$F:$F,$E935))</f>
        <v/>
      </c>
      <c r="E935">
        <f>IFERROR(AGGREGATE(15,6,ROW('Input Transaksi'!$B$5:$B$5000)/('Input Transaksi'!$B$5:$B$5000="JCL PEMOGAN"),ROWS($E$5:E935)),"")</f>
        <v/>
      </c>
      <c r="F935" s="5" t="n"/>
    </row>
    <row r="936">
      <c r="A936" s="10">
        <f>IF($E936="","",INDEX('Input Transaksi'!$A:$A,$E936))</f>
        <v/>
      </c>
      <c r="B936" s="5">
        <f>IF($E936="","",INDEX('Input Transaksi'!$D:$D,$E936))</f>
        <v/>
      </c>
      <c r="C936">
        <f>IF($E936="","",INDEX('Input Transaksi'!$E:$E,$E936))</f>
        <v/>
      </c>
      <c r="D936" s="5">
        <f>IF($E936="","",INDEX('Input Transaksi'!$F:$F,$E936))</f>
        <v/>
      </c>
      <c r="E936">
        <f>IFERROR(AGGREGATE(15,6,ROW('Input Transaksi'!$B$5:$B$5000)/('Input Transaksi'!$B$5:$B$5000="JCL PEMOGAN"),ROWS($E$5:E936)),"")</f>
        <v/>
      </c>
      <c r="F936" s="5" t="n"/>
    </row>
    <row r="937">
      <c r="A937" s="10">
        <f>IF($E937="","",INDEX('Input Transaksi'!$A:$A,$E937))</f>
        <v/>
      </c>
      <c r="B937" s="5">
        <f>IF($E937="","",INDEX('Input Transaksi'!$D:$D,$E937))</f>
        <v/>
      </c>
      <c r="C937">
        <f>IF($E937="","",INDEX('Input Transaksi'!$E:$E,$E937))</f>
        <v/>
      </c>
      <c r="D937" s="5">
        <f>IF($E937="","",INDEX('Input Transaksi'!$F:$F,$E937))</f>
        <v/>
      </c>
      <c r="E937">
        <f>IFERROR(AGGREGATE(15,6,ROW('Input Transaksi'!$B$5:$B$5000)/('Input Transaksi'!$B$5:$B$5000="JCL PEMOGAN"),ROWS($E$5:E937)),"")</f>
        <v/>
      </c>
      <c r="F937" s="5" t="n"/>
    </row>
    <row r="938">
      <c r="A938" s="10">
        <f>IF($E938="","",INDEX('Input Transaksi'!$A:$A,$E938))</f>
        <v/>
      </c>
      <c r="B938" s="5">
        <f>IF($E938="","",INDEX('Input Transaksi'!$D:$D,$E938))</f>
        <v/>
      </c>
      <c r="C938">
        <f>IF($E938="","",INDEX('Input Transaksi'!$E:$E,$E938))</f>
        <v/>
      </c>
      <c r="D938" s="5">
        <f>IF($E938="","",INDEX('Input Transaksi'!$F:$F,$E938))</f>
        <v/>
      </c>
      <c r="E938">
        <f>IFERROR(AGGREGATE(15,6,ROW('Input Transaksi'!$B$5:$B$5000)/('Input Transaksi'!$B$5:$B$5000="JCL PEMOGAN"),ROWS($E$5:E938)),"")</f>
        <v/>
      </c>
      <c r="F938" s="5" t="n"/>
    </row>
    <row r="939">
      <c r="A939" s="10">
        <f>IF($E939="","",INDEX('Input Transaksi'!$A:$A,$E939))</f>
        <v/>
      </c>
      <c r="B939" s="5">
        <f>IF($E939="","",INDEX('Input Transaksi'!$D:$D,$E939))</f>
        <v/>
      </c>
      <c r="C939">
        <f>IF($E939="","",INDEX('Input Transaksi'!$E:$E,$E939))</f>
        <v/>
      </c>
      <c r="D939" s="5">
        <f>IF($E939="","",INDEX('Input Transaksi'!$F:$F,$E939))</f>
        <v/>
      </c>
      <c r="E939">
        <f>IFERROR(AGGREGATE(15,6,ROW('Input Transaksi'!$B$5:$B$5000)/('Input Transaksi'!$B$5:$B$5000="JCL PEMOGAN"),ROWS($E$5:E939)),"")</f>
        <v/>
      </c>
      <c r="F939" s="5" t="n"/>
    </row>
    <row r="940">
      <c r="A940" s="10">
        <f>IF($E940="","",INDEX('Input Transaksi'!$A:$A,$E940))</f>
        <v/>
      </c>
      <c r="B940" s="5">
        <f>IF($E940="","",INDEX('Input Transaksi'!$D:$D,$E940))</f>
        <v/>
      </c>
      <c r="C940">
        <f>IF($E940="","",INDEX('Input Transaksi'!$E:$E,$E940))</f>
        <v/>
      </c>
      <c r="D940" s="5">
        <f>IF($E940="","",INDEX('Input Transaksi'!$F:$F,$E940))</f>
        <v/>
      </c>
      <c r="E940">
        <f>IFERROR(AGGREGATE(15,6,ROW('Input Transaksi'!$B$5:$B$5000)/('Input Transaksi'!$B$5:$B$5000="JCL PEMOGAN"),ROWS($E$5:E940)),"")</f>
        <v/>
      </c>
      <c r="F940" s="5" t="n"/>
    </row>
    <row r="941">
      <c r="A941" s="10">
        <f>IF($E941="","",INDEX('Input Transaksi'!$A:$A,$E941))</f>
        <v/>
      </c>
      <c r="B941" s="5">
        <f>IF($E941="","",INDEX('Input Transaksi'!$D:$D,$E941))</f>
        <v/>
      </c>
      <c r="C941">
        <f>IF($E941="","",INDEX('Input Transaksi'!$E:$E,$E941))</f>
        <v/>
      </c>
      <c r="D941" s="5">
        <f>IF($E941="","",INDEX('Input Transaksi'!$F:$F,$E941))</f>
        <v/>
      </c>
      <c r="E941">
        <f>IFERROR(AGGREGATE(15,6,ROW('Input Transaksi'!$B$5:$B$5000)/('Input Transaksi'!$B$5:$B$5000="JCL PEMOGAN"),ROWS($E$5:E941)),"")</f>
        <v/>
      </c>
      <c r="F941" s="5" t="n"/>
    </row>
    <row r="942">
      <c r="A942" s="10">
        <f>IF($E942="","",INDEX('Input Transaksi'!$A:$A,$E942))</f>
        <v/>
      </c>
      <c r="B942" s="5">
        <f>IF($E942="","",INDEX('Input Transaksi'!$D:$D,$E942))</f>
        <v/>
      </c>
      <c r="C942">
        <f>IF($E942="","",INDEX('Input Transaksi'!$E:$E,$E942))</f>
        <v/>
      </c>
      <c r="D942" s="5">
        <f>IF($E942="","",INDEX('Input Transaksi'!$F:$F,$E942))</f>
        <v/>
      </c>
      <c r="E942">
        <f>IFERROR(AGGREGATE(15,6,ROW('Input Transaksi'!$B$5:$B$5000)/('Input Transaksi'!$B$5:$B$5000="JCL PEMOGAN"),ROWS($E$5:E942)),"")</f>
        <v/>
      </c>
      <c r="F942" s="5" t="n"/>
    </row>
    <row r="943">
      <c r="A943" s="10">
        <f>IF($E943="","",INDEX('Input Transaksi'!$A:$A,$E943))</f>
        <v/>
      </c>
      <c r="B943" s="5">
        <f>IF($E943="","",INDEX('Input Transaksi'!$D:$D,$E943))</f>
        <v/>
      </c>
      <c r="C943">
        <f>IF($E943="","",INDEX('Input Transaksi'!$E:$E,$E943))</f>
        <v/>
      </c>
      <c r="D943" s="5">
        <f>IF($E943="","",INDEX('Input Transaksi'!$F:$F,$E943))</f>
        <v/>
      </c>
      <c r="E943">
        <f>IFERROR(AGGREGATE(15,6,ROW('Input Transaksi'!$B$5:$B$5000)/('Input Transaksi'!$B$5:$B$5000="JCL PEMOGAN"),ROWS($E$5:E943)),"")</f>
        <v/>
      </c>
      <c r="F943" s="5" t="n"/>
    </row>
    <row r="944">
      <c r="A944" s="10">
        <f>IF($E944="","",INDEX('Input Transaksi'!$A:$A,$E944))</f>
        <v/>
      </c>
      <c r="B944" s="5">
        <f>IF($E944="","",INDEX('Input Transaksi'!$D:$D,$E944))</f>
        <v/>
      </c>
      <c r="C944">
        <f>IF($E944="","",INDEX('Input Transaksi'!$E:$E,$E944))</f>
        <v/>
      </c>
      <c r="D944" s="5">
        <f>IF($E944="","",INDEX('Input Transaksi'!$F:$F,$E944))</f>
        <v/>
      </c>
      <c r="E944">
        <f>IFERROR(AGGREGATE(15,6,ROW('Input Transaksi'!$B$5:$B$5000)/('Input Transaksi'!$B$5:$B$5000="JCL PEMOGAN"),ROWS($E$5:E944)),"")</f>
        <v/>
      </c>
      <c r="F944" s="5" t="n"/>
    </row>
    <row r="945">
      <c r="A945" s="10">
        <f>IF($E945="","",INDEX('Input Transaksi'!$A:$A,$E945))</f>
        <v/>
      </c>
      <c r="B945" s="5">
        <f>IF($E945="","",INDEX('Input Transaksi'!$D:$D,$E945))</f>
        <v/>
      </c>
      <c r="C945">
        <f>IF($E945="","",INDEX('Input Transaksi'!$E:$E,$E945))</f>
        <v/>
      </c>
      <c r="D945" s="5">
        <f>IF($E945="","",INDEX('Input Transaksi'!$F:$F,$E945))</f>
        <v/>
      </c>
      <c r="E945">
        <f>IFERROR(AGGREGATE(15,6,ROW('Input Transaksi'!$B$5:$B$5000)/('Input Transaksi'!$B$5:$B$5000="JCL PEMOGAN"),ROWS($E$5:E945)),"")</f>
        <v/>
      </c>
      <c r="F945" s="5" t="n"/>
    </row>
    <row r="946">
      <c r="A946" s="10">
        <f>IF($E946="","",INDEX('Input Transaksi'!$A:$A,$E946))</f>
        <v/>
      </c>
      <c r="B946" s="5">
        <f>IF($E946="","",INDEX('Input Transaksi'!$D:$D,$E946))</f>
        <v/>
      </c>
      <c r="C946">
        <f>IF($E946="","",INDEX('Input Transaksi'!$E:$E,$E946))</f>
        <v/>
      </c>
      <c r="D946" s="5">
        <f>IF($E946="","",INDEX('Input Transaksi'!$F:$F,$E946))</f>
        <v/>
      </c>
      <c r="E946">
        <f>IFERROR(AGGREGATE(15,6,ROW('Input Transaksi'!$B$5:$B$5000)/('Input Transaksi'!$B$5:$B$5000="JCL PEMOGAN"),ROWS($E$5:E946)),"")</f>
        <v/>
      </c>
      <c r="F946" s="5" t="n"/>
    </row>
    <row r="947">
      <c r="A947" s="10">
        <f>IF($E947="","",INDEX('Input Transaksi'!$A:$A,$E947))</f>
        <v/>
      </c>
      <c r="B947" s="5">
        <f>IF($E947="","",INDEX('Input Transaksi'!$D:$D,$E947))</f>
        <v/>
      </c>
      <c r="C947">
        <f>IF($E947="","",INDEX('Input Transaksi'!$E:$E,$E947))</f>
        <v/>
      </c>
      <c r="D947" s="5">
        <f>IF($E947="","",INDEX('Input Transaksi'!$F:$F,$E947))</f>
        <v/>
      </c>
      <c r="E947">
        <f>IFERROR(AGGREGATE(15,6,ROW('Input Transaksi'!$B$5:$B$5000)/('Input Transaksi'!$B$5:$B$5000="JCL PEMOGAN"),ROWS($E$5:E947)),"")</f>
        <v/>
      </c>
      <c r="F947" s="5" t="n"/>
    </row>
    <row r="948">
      <c r="A948" s="10">
        <f>IF($E948="","",INDEX('Input Transaksi'!$A:$A,$E948))</f>
        <v/>
      </c>
      <c r="B948" s="5">
        <f>IF($E948="","",INDEX('Input Transaksi'!$D:$D,$E948))</f>
        <v/>
      </c>
      <c r="C948">
        <f>IF($E948="","",INDEX('Input Transaksi'!$E:$E,$E948))</f>
        <v/>
      </c>
      <c r="D948" s="5">
        <f>IF($E948="","",INDEX('Input Transaksi'!$F:$F,$E948))</f>
        <v/>
      </c>
      <c r="E948">
        <f>IFERROR(AGGREGATE(15,6,ROW('Input Transaksi'!$B$5:$B$5000)/('Input Transaksi'!$B$5:$B$5000="JCL PEMOGAN"),ROWS($E$5:E948)),"")</f>
        <v/>
      </c>
      <c r="F948" s="5" t="n"/>
    </row>
    <row r="949">
      <c r="A949" s="10">
        <f>IF($E949="","",INDEX('Input Transaksi'!$A:$A,$E949))</f>
        <v/>
      </c>
      <c r="B949" s="5">
        <f>IF($E949="","",INDEX('Input Transaksi'!$D:$D,$E949))</f>
        <v/>
      </c>
      <c r="C949">
        <f>IF($E949="","",INDEX('Input Transaksi'!$E:$E,$E949))</f>
        <v/>
      </c>
      <c r="D949" s="5">
        <f>IF($E949="","",INDEX('Input Transaksi'!$F:$F,$E949))</f>
        <v/>
      </c>
      <c r="E949">
        <f>IFERROR(AGGREGATE(15,6,ROW('Input Transaksi'!$B$5:$B$5000)/('Input Transaksi'!$B$5:$B$5000="JCL PEMOGAN"),ROWS($E$5:E949)),"")</f>
        <v/>
      </c>
      <c r="F949" s="5" t="n"/>
    </row>
    <row r="950">
      <c r="A950" s="10">
        <f>IF($E950="","",INDEX('Input Transaksi'!$A:$A,$E950))</f>
        <v/>
      </c>
      <c r="B950" s="5">
        <f>IF($E950="","",INDEX('Input Transaksi'!$D:$D,$E950))</f>
        <v/>
      </c>
      <c r="C950">
        <f>IF($E950="","",INDEX('Input Transaksi'!$E:$E,$E950))</f>
        <v/>
      </c>
      <c r="D950" s="5">
        <f>IF($E950="","",INDEX('Input Transaksi'!$F:$F,$E950))</f>
        <v/>
      </c>
      <c r="E950">
        <f>IFERROR(AGGREGATE(15,6,ROW('Input Transaksi'!$B$5:$B$5000)/('Input Transaksi'!$B$5:$B$5000="JCL PEMOGAN"),ROWS($E$5:E950)),"")</f>
        <v/>
      </c>
      <c r="F950" s="5" t="n"/>
    </row>
    <row r="951">
      <c r="A951" s="10">
        <f>IF($E951="","",INDEX('Input Transaksi'!$A:$A,$E951))</f>
        <v/>
      </c>
      <c r="B951" s="5">
        <f>IF($E951="","",INDEX('Input Transaksi'!$D:$D,$E951))</f>
        <v/>
      </c>
      <c r="C951">
        <f>IF($E951="","",INDEX('Input Transaksi'!$E:$E,$E951))</f>
        <v/>
      </c>
      <c r="D951" s="5">
        <f>IF($E951="","",INDEX('Input Transaksi'!$F:$F,$E951))</f>
        <v/>
      </c>
      <c r="E951">
        <f>IFERROR(AGGREGATE(15,6,ROW('Input Transaksi'!$B$5:$B$5000)/('Input Transaksi'!$B$5:$B$5000="JCL PEMOGAN"),ROWS($E$5:E951)),"")</f>
        <v/>
      </c>
      <c r="F951" s="5" t="n"/>
    </row>
    <row r="952">
      <c r="A952" s="10">
        <f>IF($E952="","",INDEX('Input Transaksi'!$A:$A,$E952))</f>
        <v/>
      </c>
      <c r="B952" s="5">
        <f>IF($E952="","",INDEX('Input Transaksi'!$D:$D,$E952))</f>
        <v/>
      </c>
      <c r="C952">
        <f>IF($E952="","",INDEX('Input Transaksi'!$E:$E,$E952))</f>
        <v/>
      </c>
      <c r="D952" s="5">
        <f>IF($E952="","",INDEX('Input Transaksi'!$F:$F,$E952))</f>
        <v/>
      </c>
      <c r="E952">
        <f>IFERROR(AGGREGATE(15,6,ROW('Input Transaksi'!$B$5:$B$5000)/('Input Transaksi'!$B$5:$B$5000="JCL PEMOGAN"),ROWS($E$5:E952)),"")</f>
        <v/>
      </c>
      <c r="F952" s="5" t="n"/>
    </row>
    <row r="953">
      <c r="A953" s="10">
        <f>IF($E953="","",INDEX('Input Transaksi'!$A:$A,$E953))</f>
        <v/>
      </c>
      <c r="B953" s="5">
        <f>IF($E953="","",INDEX('Input Transaksi'!$D:$D,$E953))</f>
        <v/>
      </c>
      <c r="C953">
        <f>IF($E953="","",INDEX('Input Transaksi'!$E:$E,$E953))</f>
        <v/>
      </c>
      <c r="D953" s="5">
        <f>IF($E953="","",INDEX('Input Transaksi'!$F:$F,$E953))</f>
        <v/>
      </c>
      <c r="E953">
        <f>IFERROR(AGGREGATE(15,6,ROW('Input Transaksi'!$B$5:$B$5000)/('Input Transaksi'!$B$5:$B$5000="JCL PEMOGAN"),ROWS($E$5:E953)),"")</f>
        <v/>
      </c>
      <c r="F953" s="5" t="n"/>
    </row>
    <row r="954">
      <c r="A954" s="10">
        <f>IF($E954="","",INDEX('Input Transaksi'!$A:$A,$E954))</f>
        <v/>
      </c>
      <c r="B954" s="5">
        <f>IF($E954="","",INDEX('Input Transaksi'!$D:$D,$E954))</f>
        <v/>
      </c>
      <c r="C954">
        <f>IF($E954="","",INDEX('Input Transaksi'!$E:$E,$E954))</f>
        <v/>
      </c>
      <c r="D954" s="5">
        <f>IF($E954="","",INDEX('Input Transaksi'!$F:$F,$E954))</f>
        <v/>
      </c>
      <c r="E954">
        <f>IFERROR(AGGREGATE(15,6,ROW('Input Transaksi'!$B$5:$B$5000)/('Input Transaksi'!$B$5:$B$5000="JCL PEMOGAN"),ROWS($E$5:E954)),"")</f>
        <v/>
      </c>
      <c r="F954" s="5" t="n"/>
    </row>
    <row r="955">
      <c r="A955" s="10">
        <f>IF($E955="","",INDEX('Input Transaksi'!$A:$A,$E955))</f>
        <v/>
      </c>
      <c r="B955" s="5">
        <f>IF($E955="","",INDEX('Input Transaksi'!$D:$D,$E955))</f>
        <v/>
      </c>
      <c r="C955">
        <f>IF($E955="","",INDEX('Input Transaksi'!$E:$E,$E955))</f>
        <v/>
      </c>
      <c r="D955" s="5">
        <f>IF($E955="","",INDEX('Input Transaksi'!$F:$F,$E955))</f>
        <v/>
      </c>
      <c r="E955">
        <f>IFERROR(AGGREGATE(15,6,ROW('Input Transaksi'!$B$5:$B$5000)/('Input Transaksi'!$B$5:$B$5000="JCL PEMOGAN"),ROWS($E$5:E955)),"")</f>
        <v/>
      </c>
      <c r="F955" s="5" t="n"/>
    </row>
    <row r="956">
      <c r="A956" s="10">
        <f>IF($E956="","",INDEX('Input Transaksi'!$A:$A,$E956))</f>
        <v/>
      </c>
      <c r="B956" s="5">
        <f>IF($E956="","",INDEX('Input Transaksi'!$D:$D,$E956))</f>
        <v/>
      </c>
      <c r="C956">
        <f>IF($E956="","",INDEX('Input Transaksi'!$E:$E,$E956))</f>
        <v/>
      </c>
      <c r="D956" s="5">
        <f>IF($E956="","",INDEX('Input Transaksi'!$F:$F,$E956))</f>
        <v/>
      </c>
      <c r="E956">
        <f>IFERROR(AGGREGATE(15,6,ROW('Input Transaksi'!$B$5:$B$5000)/('Input Transaksi'!$B$5:$B$5000="JCL PEMOGAN"),ROWS($E$5:E956)),"")</f>
        <v/>
      </c>
      <c r="F956" s="5" t="n"/>
    </row>
    <row r="957">
      <c r="A957" s="10">
        <f>IF($E957="","",INDEX('Input Transaksi'!$A:$A,$E957))</f>
        <v/>
      </c>
      <c r="B957" s="5">
        <f>IF($E957="","",INDEX('Input Transaksi'!$D:$D,$E957))</f>
        <v/>
      </c>
      <c r="C957">
        <f>IF($E957="","",INDEX('Input Transaksi'!$E:$E,$E957))</f>
        <v/>
      </c>
      <c r="D957" s="5">
        <f>IF($E957="","",INDEX('Input Transaksi'!$F:$F,$E957))</f>
        <v/>
      </c>
      <c r="E957">
        <f>IFERROR(AGGREGATE(15,6,ROW('Input Transaksi'!$B$5:$B$5000)/('Input Transaksi'!$B$5:$B$5000="JCL PEMOGAN"),ROWS($E$5:E957)),"")</f>
        <v/>
      </c>
      <c r="F957" s="5" t="n"/>
    </row>
    <row r="958">
      <c r="A958" s="10">
        <f>IF($E958="","",INDEX('Input Transaksi'!$A:$A,$E958))</f>
        <v/>
      </c>
      <c r="B958" s="5">
        <f>IF($E958="","",INDEX('Input Transaksi'!$D:$D,$E958))</f>
        <v/>
      </c>
      <c r="C958">
        <f>IF($E958="","",INDEX('Input Transaksi'!$E:$E,$E958))</f>
        <v/>
      </c>
      <c r="D958" s="5">
        <f>IF($E958="","",INDEX('Input Transaksi'!$F:$F,$E958))</f>
        <v/>
      </c>
      <c r="E958">
        <f>IFERROR(AGGREGATE(15,6,ROW('Input Transaksi'!$B$5:$B$5000)/('Input Transaksi'!$B$5:$B$5000="JCL PEMOGAN"),ROWS($E$5:E958)),"")</f>
        <v/>
      </c>
      <c r="F958" s="5" t="n"/>
    </row>
    <row r="959">
      <c r="A959" s="10">
        <f>IF($E959="","",INDEX('Input Transaksi'!$A:$A,$E959))</f>
        <v/>
      </c>
      <c r="B959" s="5">
        <f>IF($E959="","",INDEX('Input Transaksi'!$D:$D,$E959))</f>
        <v/>
      </c>
      <c r="C959">
        <f>IF($E959="","",INDEX('Input Transaksi'!$E:$E,$E959))</f>
        <v/>
      </c>
      <c r="D959" s="5">
        <f>IF($E959="","",INDEX('Input Transaksi'!$F:$F,$E959))</f>
        <v/>
      </c>
      <c r="E959">
        <f>IFERROR(AGGREGATE(15,6,ROW('Input Transaksi'!$B$5:$B$5000)/('Input Transaksi'!$B$5:$B$5000="JCL PEMOGAN"),ROWS($E$5:E959)),"")</f>
        <v/>
      </c>
      <c r="F959" s="5" t="n"/>
    </row>
    <row r="960">
      <c r="A960" s="10">
        <f>IF($E960="","",INDEX('Input Transaksi'!$A:$A,$E960))</f>
        <v/>
      </c>
      <c r="B960" s="5">
        <f>IF($E960="","",INDEX('Input Transaksi'!$D:$D,$E960))</f>
        <v/>
      </c>
      <c r="C960">
        <f>IF($E960="","",INDEX('Input Transaksi'!$E:$E,$E960))</f>
        <v/>
      </c>
      <c r="D960" s="5">
        <f>IF($E960="","",INDEX('Input Transaksi'!$F:$F,$E960))</f>
        <v/>
      </c>
      <c r="E960">
        <f>IFERROR(AGGREGATE(15,6,ROW('Input Transaksi'!$B$5:$B$5000)/('Input Transaksi'!$B$5:$B$5000="JCL PEMOGAN"),ROWS($E$5:E960)),"")</f>
        <v/>
      </c>
      <c r="F960" s="5" t="n"/>
    </row>
    <row r="961">
      <c r="A961" s="10">
        <f>IF($E961="","",INDEX('Input Transaksi'!$A:$A,$E961))</f>
        <v/>
      </c>
      <c r="B961" s="5">
        <f>IF($E961="","",INDEX('Input Transaksi'!$D:$D,$E961))</f>
        <v/>
      </c>
      <c r="C961">
        <f>IF($E961="","",INDEX('Input Transaksi'!$E:$E,$E961))</f>
        <v/>
      </c>
      <c r="D961" s="5">
        <f>IF($E961="","",INDEX('Input Transaksi'!$F:$F,$E961))</f>
        <v/>
      </c>
      <c r="E961">
        <f>IFERROR(AGGREGATE(15,6,ROW('Input Transaksi'!$B$5:$B$5000)/('Input Transaksi'!$B$5:$B$5000="JCL PEMOGAN"),ROWS($E$5:E961)),"")</f>
        <v/>
      </c>
      <c r="F961" s="5" t="n"/>
    </row>
    <row r="962">
      <c r="A962" s="10">
        <f>IF($E962="","",INDEX('Input Transaksi'!$A:$A,$E962))</f>
        <v/>
      </c>
      <c r="B962" s="5">
        <f>IF($E962="","",INDEX('Input Transaksi'!$D:$D,$E962))</f>
        <v/>
      </c>
      <c r="C962">
        <f>IF($E962="","",INDEX('Input Transaksi'!$E:$E,$E962))</f>
        <v/>
      </c>
      <c r="D962" s="5">
        <f>IF($E962="","",INDEX('Input Transaksi'!$F:$F,$E962))</f>
        <v/>
      </c>
      <c r="E962">
        <f>IFERROR(AGGREGATE(15,6,ROW('Input Transaksi'!$B$5:$B$5000)/('Input Transaksi'!$B$5:$B$5000="JCL PEMOGAN"),ROWS($E$5:E962)),"")</f>
        <v/>
      </c>
      <c r="F962" s="5" t="n"/>
    </row>
    <row r="963">
      <c r="A963" s="10">
        <f>IF($E963="","",INDEX('Input Transaksi'!$A:$A,$E963))</f>
        <v/>
      </c>
      <c r="B963" s="5">
        <f>IF($E963="","",INDEX('Input Transaksi'!$D:$D,$E963))</f>
        <v/>
      </c>
      <c r="C963">
        <f>IF($E963="","",INDEX('Input Transaksi'!$E:$E,$E963))</f>
        <v/>
      </c>
      <c r="D963" s="5">
        <f>IF($E963="","",INDEX('Input Transaksi'!$F:$F,$E963))</f>
        <v/>
      </c>
      <c r="E963">
        <f>IFERROR(AGGREGATE(15,6,ROW('Input Transaksi'!$B$5:$B$5000)/('Input Transaksi'!$B$5:$B$5000="JCL PEMOGAN"),ROWS($E$5:E963)),"")</f>
        <v/>
      </c>
      <c r="F963" s="5" t="n"/>
    </row>
    <row r="964">
      <c r="A964" s="10">
        <f>IF($E964="","",INDEX('Input Transaksi'!$A:$A,$E964))</f>
        <v/>
      </c>
      <c r="B964" s="5">
        <f>IF($E964="","",INDEX('Input Transaksi'!$D:$D,$E964))</f>
        <v/>
      </c>
      <c r="C964">
        <f>IF($E964="","",INDEX('Input Transaksi'!$E:$E,$E964))</f>
        <v/>
      </c>
      <c r="D964" s="5">
        <f>IF($E964="","",INDEX('Input Transaksi'!$F:$F,$E964))</f>
        <v/>
      </c>
      <c r="E964">
        <f>IFERROR(AGGREGATE(15,6,ROW('Input Transaksi'!$B$5:$B$5000)/('Input Transaksi'!$B$5:$B$5000="JCL PEMOGAN"),ROWS($E$5:E964)),"")</f>
        <v/>
      </c>
      <c r="F964" s="5" t="n"/>
    </row>
    <row r="965">
      <c r="A965" s="10">
        <f>IF($E965="","",INDEX('Input Transaksi'!$A:$A,$E965))</f>
        <v/>
      </c>
      <c r="B965" s="5">
        <f>IF($E965="","",INDEX('Input Transaksi'!$D:$D,$E965))</f>
        <v/>
      </c>
      <c r="C965">
        <f>IF($E965="","",INDEX('Input Transaksi'!$E:$E,$E965))</f>
        <v/>
      </c>
      <c r="D965" s="5">
        <f>IF($E965="","",INDEX('Input Transaksi'!$F:$F,$E965))</f>
        <v/>
      </c>
      <c r="E965">
        <f>IFERROR(AGGREGATE(15,6,ROW('Input Transaksi'!$B$5:$B$5000)/('Input Transaksi'!$B$5:$B$5000="JCL PEMOGAN"),ROWS($E$5:E965)),"")</f>
        <v/>
      </c>
      <c r="F965" s="5" t="n"/>
    </row>
    <row r="966">
      <c r="A966" s="10">
        <f>IF($E966="","",INDEX('Input Transaksi'!$A:$A,$E966))</f>
        <v/>
      </c>
      <c r="B966" s="5">
        <f>IF($E966="","",INDEX('Input Transaksi'!$D:$D,$E966))</f>
        <v/>
      </c>
      <c r="C966">
        <f>IF($E966="","",INDEX('Input Transaksi'!$E:$E,$E966))</f>
        <v/>
      </c>
      <c r="D966" s="5">
        <f>IF($E966="","",INDEX('Input Transaksi'!$F:$F,$E966))</f>
        <v/>
      </c>
      <c r="E966">
        <f>IFERROR(AGGREGATE(15,6,ROW('Input Transaksi'!$B$5:$B$5000)/('Input Transaksi'!$B$5:$B$5000="JCL PEMOGAN"),ROWS($E$5:E966)),"")</f>
        <v/>
      </c>
      <c r="F966" s="5" t="n"/>
    </row>
    <row r="967">
      <c r="A967" s="10">
        <f>IF($E967="","",INDEX('Input Transaksi'!$A:$A,$E967))</f>
        <v/>
      </c>
      <c r="B967" s="5">
        <f>IF($E967="","",INDEX('Input Transaksi'!$D:$D,$E967))</f>
        <v/>
      </c>
      <c r="C967">
        <f>IF($E967="","",INDEX('Input Transaksi'!$E:$E,$E967))</f>
        <v/>
      </c>
      <c r="D967" s="5">
        <f>IF($E967="","",INDEX('Input Transaksi'!$F:$F,$E967))</f>
        <v/>
      </c>
      <c r="E967">
        <f>IFERROR(AGGREGATE(15,6,ROW('Input Transaksi'!$B$5:$B$5000)/('Input Transaksi'!$B$5:$B$5000="JCL PEMOGAN"),ROWS($E$5:E967)),"")</f>
        <v/>
      </c>
      <c r="F967" s="5" t="n"/>
    </row>
    <row r="968">
      <c r="A968" s="10">
        <f>IF($E968="","",INDEX('Input Transaksi'!$A:$A,$E968))</f>
        <v/>
      </c>
      <c r="B968" s="5">
        <f>IF($E968="","",INDEX('Input Transaksi'!$D:$D,$E968))</f>
        <v/>
      </c>
      <c r="C968">
        <f>IF($E968="","",INDEX('Input Transaksi'!$E:$E,$E968))</f>
        <v/>
      </c>
      <c r="D968" s="5">
        <f>IF($E968="","",INDEX('Input Transaksi'!$F:$F,$E968))</f>
        <v/>
      </c>
      <c r="E968">
        <f>IFERROR(AGGREGATE(15,6,ROW('Input Transaksi'!$B$5:$B$5000)/('Input Transaksi'!$B$5:$B$5000="JCL PEMOGAN"),ROWS($E$5:E968)),"")</f>
        <v/>
      </c>
      <c r="F968" s="5" t="n"/>
    </row>
    <row r="969">
      <c r="A969" s="10">
        <f>IF($E969="","",INDEX('Input Transaksi'!$A:$A,$E969))</f>
        <v/>
      </c>
      <c r="B969" s="5">
        <f>IF($E969="","",INDEX('Input Transaksi'!$D:$D,$E969))</f>
        <v/>
      </c>
      <c r="C969">
        <f>IF($E969="","",INDEX('Input Transaksi'!$E:$E,$E969))</f>
        <v/>
      </c>
      <c r="D969" s="5">
        <f>IF($E969="","",INDEX('Input Transaksi'!$F:$F,$E969))</f>
        <v/>
      </c>
      <c r="E969">
        <f>IFERROR(AGGREGATE(15,6,ROW('Input Transaksi'!$B$5:$B$5000)/('Input Transaksi'!$B$5:$B$5000="JCL PEMOGAN"),ROWS($E$5:E969)),"")</f>
        <v/>
      </c>
      <c r="F969" s="5" t="n"/>
    </row>
    <row r="970">
      <c r="A970" s="10">
        <f>IF($E970="","",INDEX('Input Transaksi'!$A:$A,$E970))</f>
        <v/>
      </c>
      <c r="B970" s="5">
        <f>IF($E970="","",INDEX('Input Transaksi'!$D:$D,$E970))</f>
        <v/>
      </c>
      <c r="C970">
        <f>IF($E970="","",INDEX('Input Transaksi'!$E:$E,$E970))</f>
        <v/>
      </c>
      <c r="D970" s="5">
        <f>IF($E970="","",INDEX('Input Transaksi'!$F:$F,$E970))</f>
        <v/>
      </c>
      <c r="E970">
        <f>IFERROR(AGGREGATE(15,6,ROW('Input Transaksi'!$B$5:$B$5000)/('Input Transaksi'!$B$5:$B$5000="JCL PEMOGAN"),ROWS($E$5:E970)),"")</f>
        <v/>
      </c>
      <c r="F970" s="5" t="n"/>
    </row>
    <row r="971">
      <c r="A971" s="10">
        <f>IF($E971="","",INDEX('Input Transaksi'!$A:$A,$E971))</f>
        <v/>
      </c>
      <c r="B971" s="5">
        <f>IF($E971="","",INDEX('Input Transaksi'!$D:$D,$E971))</f>
        <v/>
      </c>
      <c r="C971">
        <f>IF($E971="","",INDEX('Input Transaksi'!$E:$E,$E971))</f>
        <v/>
      </c>
      <c r="D971" s="5">
        <f>IF($E971="","",INDEX('Input Transaksi'!$F:$F,$E971))</f>
        <v/>
      </c>
      <c r="E971">
        <f>IFERROR(AGGREGATE(15,6,ROW('Input Transaksi'!$B$5:$B$5000)/('Input Transaksi'!$B$5:$B$5000="JCL PEMOGAN"),ROWS($E$5:E971)),"")</f>
        <v/>
      </c>
      <c r="F971" s="5" t="n"/>
    </row>
    <row r="972">
      <c r="A972" s="10">
        <f>IF($E972="","",INDEX('Input Transaksi'!$A:$A,$E972))</f>
        <v/>
      </c>
      <c r="B972" s="5">
        <f>IF($E972="","",INDEX('Input Transaksi'!$D:$D,$E972))</f>
        <v/>
      </c>
      <c r="C972">
        <f>IF($E972="","",INDEX('Input Transaksi'!$E:$E,$E972))</f>
        <v/>
      </c>
      <c r="D972" s="5">
        <f>IF($E972="","",INDEX('Input Transaksi'!$F:$F,$E972))</f>
        <v/>
      </c>
      <c r="E972">
        <f>IFERROR(AGGREGATE(15,6,ROW('Input Transaksi'!$B$5:$B$5000)/('Input Transaksi'!$B$5:$B$5000="JCL PEMOGAN"),ROWS($E$5:E972)),"")</f>
        <v/>
      </c>
      <c r="F972" s="5" t="n"/>
    </row>
    <row r="973">
      <c r="A973" s="10">
        <f>IF($E973="","",INDEX('Input Transaksi'!$A:$A,$E973))</f>
        <v/>
      </c>
      <c r="B973" s="5">
        <f>IF($E973="","",INDEX('Input Transaksi'!$D:$D,$E973))</f>
        <v/>
      </c>
      <c r="C973">
        <f>IF($E973="","",INDEX('Input Transaksi'!$E:$E,$E973))</f>
        <v/>
      </c>
      <c r="D973" s="5">
        <f>IF($E973="","",INDEX('Input Transaksi'!$F:$F,$E973))</f>
        <v/>
      </c>
      <c r="E973">
        <f>IFERROR(AGGREGATE(15,6,ROW('Input Transaksi'!$B$5:$B$5000)/('Input Transaksi'!$B$5:$B$5000="JCL PEMOGAN"),ROWS($E$5:E973)),"")</f>
        <v/>
      </c>
      <c r="F973" s="5" t="n"/>
    </row>
    <row r="974">
      <c r="A974" s="10">
        <f>IF($E974="","",INDEX('Input Transaksi'!$A:$A,$E974))</f>
        <v/>
      </c>
      <c r="B974" s="5">
        <f>IF($E974="","",INDEX('Input Transaksi'!$D:$D,$E974))</f>
        <v/>
      </c>
      <c r="C974">
        <f>IF($E974="","",INDEX('Input Transaksi'!$E:$E,$E974))</f>
        <v/>
      </c>
      <c r="D974" s="5">
        <f>IF($E974="","",INDEX('Input Transaksi'!$F:$F,$E974))</f>
        <v/>
      </c>
      <c r="E974">
        <f>IFERROR(AGGREGATE(15,6,ROW('Input Transaksi'!$B$5:$B$5000)/('Input Transaksi'!$B$5:$B$5000="JCL PEMOGAN"),ROWS($E$5:E974)),"")</f>
        <v/>
      </c>
      <c r="F974" s="5" t="n"/>
    </row>
    <row r="975">
      <c r="A975" s="10">
        <f>IF($E975="","",INDEX('Input Transaksi'!$A:$A,$E975))</f>
        <v/>
      </c>
      <c r="B975" s="5">
        <f>IF($E975="","",INDEX('Input Transaksi'!$D:$D,$E975))</f>
        <v/>
      </c>
      <c r="C975">
        <f>IF($E975="","",INDEX('Input Transaksi'!$E:$E,$E975))</f>
        <v/>
      </c>
      <c r="D975" s="5">
        <f>IF($E975="","",INDEX('Input Transaksi'!$F:$F,$E975))</f>
        <v/>
      </c>
      <c r="E975">
        <f>IFERROR(AGGREGATE(15,6,ROW('Input Transaksi'!$B$5:$B$5000)/('Input Transaksi'!$B$5:$B$5000="JCL PEMOGAN"),ROWS($E$5:E975)),"")</f>
        <v/>
      </c>
      <c r="F975" s="5" t="n"/>
    </row>
    <row r="976">
      <c r="A976" s="10">
        <f>IF($E976="","",INDEX('Input Transaksi'!$A:$A,$E976))</f>
        <v/>
      </c>
      <c r="B976" s="5">
        <f>IF($E976="","",INDEX('Input Transaksi'!$D:$D,$E976))</f>
        <v/>
      </c>
      <c r="C976">
        <f>IF($E976="","",INDEX('Input Transaksi'!$E:$E,$E976))</f>
        <v/>
      </c>
      <c r="D976" s="5">
        <f>IF($E976="","",INDEX('Input Transaksi'!$F:$F,$E976))</f>
        <v/>
      </c>
      <c r="E976">
        <f>IFERROR(AGGREGATE(15,6,ROW('Input Transaksi'!$B$5:$B$5000)/('Input Transaksi'!$B$5:$B$5000="JCL PEMOGAN"),ROWS($E$5:E976)),"")</f>
        <v/>
      </c>
      <c r="F976" s="5" t="n"/>
    </row>
    <row r="977">
      <c r="A977" s="10">
        <f>IF($E977="","",INDEX('Input Transaksi'!$A:$A,$E977))</f>
        <v/>
      </c>
      <c r="B977" s="5">
        <f>IF($E977="","",INDEX('Input Transaksi'!$D:$D,$E977))</f>
        <v/>
      </c>
      <c r="C977">
        <f>IF($E977="","",INDEX('Input Transaksi'!$E:$E,$E977))</f>
        <v/>
      </c>
      <c r="D977" s="5">
        <f>IF($E977="","",INDEX('Input Transaksi'!$F:$F,$E977))</f>
        <v/>
      </c>
      <c r="E977">
        <f>IFERROR(AGGREGATE(15,6,ROW('Input Transaksi'!$B$5:$B$5000)/('Input Transaksi'!$B$5:$B$5000="JCL PEMOGAN"),ROWS($E$5:E977)),"")</f>
        <v/>
      </c>
      <c r="F977" s="5" t="n"/>
    </row>
    <row r="978">
      <c r="A978" s="10">
        <f>IF($E978="","",INDEX('Input Transaksi'!$A:$A,$E978))</f>
        <v/>
      </c>
      <c r="B978" s="5">
        <f>IF($E978="","",INDEX('Input Transaksi'!$D:$D,$E978))</f>
        <v/>
      </c>
      <c r="C978">
        <f>IF($E978="","",INDEX('Input Transaksi'!$E:$E,$E978))</f>
        <v/>
      </c>
      <c r="D978" s="5">
        <f>IF($E978="","",INDEX('Input Transaksi'!$F:$F,$E978))</f>
        <v/>
      </c>
      <c r="E978">
        <f>IFERROR(AGGREGATE(15,6,ROW('Input Transaksi'!$B$5:$B$5000)/('Input Transaksi'!$B$5:$B$5000="JCL PEMOGAN"),ROWS($E$5:E978)),"")</f>
        <v/>
      </c>
      <c r="F978" s="5" t="n"/>
    </row>
    <row r="979">
      <c r="A979" s="10">
        <f>IF($E979="","",INDEX('Input Transaksi'!$A:$A,$E979))</f>
        <v/>
      </c>
      <c r="B979" s="5">
        <f>IF($E979="","",INDEX('Input Transaksi'!$D:$D,$E979))</f>
        <v/>
      </c>
      <c r="C979">
        <f>IF($E979="","",INDEX('Input Transaksi'!$E:$E,$E979))</f>
        <v/>
      </c>
      <c r="D979" s="5">
        <f>IF($E979="","",INDEX('Input Transaksi'!$F:$F,$E979))</f>
        <v/>
      </c>
      <c r="E979">
        <f>IFERROR(AGGREGATE(15,6,ROW('Input Transaksi'!$B$5:$B$5000)/('Input Transaksi'!$B$5:$B$5000="JCL PEMOGAN"),ROWS($E$5:E979)),"")</f>
        <v/>
      </c>
      <c r="F979" s="5" t="n"/>
    </row>
    <row r="980">
      <c r="A980" s="10">
        <f>IF($E980="","",INDEX('Input Transaksi'!$A:$A,$E980))</f>
        <v/>
      </c>
      <c r="B980" s="5">
        <f>IF($E980="","",INDEX('Input Transaksi'!$D:$D,$E980))</f>
        <v/>
      </c>
      <c r="C980">
        <f>IF($E980="","",INDEX('Input Transaksi'!$E:$E,$E980))</f>
        <v/>
      </c>
      <c r="D980" s="5">
        <f>IF($E980="","",INDEX('Input Transaksi'!$F:$F,$E980))</f>
        <v/>
      </c>
      <c r="E980">
        <f>IFERROR(AGGREGATE(15,6,ROW('Input Transaksi'!$B$5:$B$5000)/('Input Transaksi'!$B$5:$B$5000="JCL PEMOGAN"),ROWS($E$5:E980)),"")</f>
        <v/>
      </c>
      <c r="F980" s="5" t="n"/>
    </row>
    <row r="981">
      <c r="A981" s="10">
        <f>IF($E981="","",INDEX('Input Transaksi'!$A:$A,$E981))</f>
        <v/>
      </c>
      <c r="B981" s="5">
        <f>IF($E981="","",INDEX('Input Transaksi'!$D:$D,$E981))</f>
        <v/>
      </c>
      <c r="C981">
        <f>IF($E981="","",INDEX('Input Transaksi'!$E:$E,$E981))</f>
        <v/>
      </c>
      <c r="D981" s="5">
        <f>IF($E981="","",INDEX('Input Transaksi'!$F:$F,$E981))</f>
        <v/>
      </c>
      <c r="E981">
        <f>IFERROR(AGGREGATE(15,6,ROW('Input Transaksi'!$B$5:$B$5000)/('Input Transaksi'!$B$5:$B$5000="JCL PEMOGAN"),ROWS($E$5:E981)),"")</f>
        <v/>
      </c>
      <c r="F981" s="5" t="n"/>
    </row>
    <row r="982">
      <c r="A982" s="10">
        <f>IF($E982="","",INDEX('Input Transaksi'!$A:$A,$E982))</f>
        <v/>
      </c>
      <c r="B982" s="5">
        <f>IF($E982="","",INDEX('Input Transaksi'!$D:$D,$E982))</f>
        <v/>
      </c>
      <c r="C982">
        <f>IF($E982="","",INDEX('Input Transaksi'!$E:$E,$E982))</f>
        <v/>
      </c>
      <c r="D982" s="5">
        <f>IF($E982="","",INDEX('Input Transaksi'!$F:$F,$E982))</f>
        <v/>
      </c>
      <c r="E982">
        <f>IFERROR(AGGREGATE(15,6,ROW('Input Transaksi'!$B$5:$B$5000)/('Input Transaksi'!$B$5:$B$5000="JCL PEMOGAN"),ROWS($E$5:E982)),"")</f>
        <v/>
      </c>
      <c r="F982" s="5" t="n"/>
    </row>
    <row r="983">
      <c r="A983" s="10">
        <f>IF($E983="","",INDEX('Input Transaksi'!$A:$A,$E983))</f>
        <v/>
      </c>
      <c r="B983" s="5">
        <f>IF($E983="","",INDEX('Input Transaksi'!$D:$D,$E983))</f>
        <v/>
      </c>
      <c r="C983">
        <f>IF($E983="","",INDEX('Input Transaksi'!$E:$E,$E983))</f>
        <v/>
      </c>
      <c r="D983" s="5">
        <f>IF($E983="","",INDEX('Input Transaksi'!$F:$F,$E983))</f>
        <v/>
      </c>
      <c r="E983">
        <f>IFERROR(AGGREGATE(15,6,ROW('Input Transaksi'!$B$5:$B$5000)/('Input Transaksi'!$B$5:$B$5000="JCL PEMOGAN"),ROWS($E$5:E983)),"")</f>
        <v/>
      </c>
      <c r="F983" s="5" t="n"/>
    </row>
    <row r="984">
      <c r="A984" s="10">
        <f>IF($E984="","",INDEX('Input Transaksi'!$A:$A,$E984))</f>
        <v/>
      </c>
      <c r="B984" s="5">
        <f>IF($E984="","",INDEX('Input Transaksi'!$D:$D,$E984))</f>
        <v/>
      </c>
      <c r="C984">
        <f>IF($E984="","",INDEX('Input Transaksi'!$E:$E,$E984))</f>
        <v/>
      </c>
      <c r="D984" s="5">
        <f>IF($E984="","",INDEX('Input Transaksi'!$F:$F,$E984))</f>
        <v/>
      </c>
      <c r="E984">
        <f>IFERROR(AGGREGATE(15,6,ROW('Input Transaksi'!$B$5:$B$5000)/('Input Transaksi'!$B$5:$B$5000="JCL PEMOGAN"),ROWS($E$5:E984)),"")</f>
        <v/>
      </c>
      <c r="F984" s="5" t="n"/>
    </row>
    <row r="985">
      <c r="A985" s="10">
        <f>IF($E985="","",INDEX('Input Transaksi'!$A:$A,$E985))</f>
        <v/>
      </c>
      <c r="B985" s="5">
        <f>IF($E985="","",INDEX('Input Transaksi'!$D:$D,$E985))</f>
        <v/>
      </c>
      <c r="C985">
        <f>IF($E985="","",INDEX('Input Transaksi'!$E:$E,$E985))</f>
        <v/>
      </c>
      <c r="D985" s="5">
        <f>IF($E985="","",INDEX('Input Transaksi'!$F:$F,$E985))</f>
        <v/>
      </c>
      <c r="E985">
        <f>IFERROR(AGGREGATE(15,6,ROW('Input Transaksi'!$B$5:$B$5000)/('Input Transaksi'!$B$5:$B$5000="JCL PEMOGAN"),ROWS($E$5:E985)),"")</f>
        <v/>
      </c>
      <c r="F985" s="5" t="n"/>
    </row>
    <row r="986">
      <c r="A986" s="10">
        <f>IF($E986="","",INDEX('Input Transaksi'!$A:$A,$E986))</f>
        <v/>
      </c>
      <c r="B986" s="5">
        <f>IF($E986="","",INDEX('Input Transaksi'!$D:$D,$E986))</f>
        <v/>
      </c>
      <c r="C986">
        <f>IF($E986="","",INDEX('Input Transaksi'!$E:$E,$E986))</f>
        <v/>
      </c>
      <c r="D986" s="5">
        <f>IF($E986="","",INDEX('Input Transaksi'!$F:$F,$E986))</f>
        <v/>
      </c>
      <c r="E986">
        <f>IFERROR(AGGREGATE(15,6,ROW('Input Transaksi'!$B$5:$B$5000)/('Input Transaksi'!$B$5:$B$5000="JCL PEMOGAN"),ROWS($E$5:E986)),"")</f>
        <v/>
      </c>
      <c r="F986" s="5" t="n"/>
    </row>
    <row r="987">
      <c r="A987" s="10">
        <f>IF($E987="","",INDEX('Input Transaksi'!$A:$A,$E987))</f>
        <v/>
      </c>
      <c r="B987" s="5">
        <f>IF($E987="","",INDEX('Input Transaksi'!$D:$D,$E987))</f>
        <v/>
      </c>
      <c r="C987">
        <f>IF($E987="","",INDEX('Input Transaksi'!$E:$E,$E987))</f>
        <v/>
      </c>
      <c r="D987" s="5">
        <f>IF($E987="","",INDEX('Input Transaksi'!$F:$F,$E987))</f>
        <v/>
      </c>
      <c r="E987">
        <f>IFERROR(AGGREGATE(15,6,ROW('Input Transaksi'!$B$5:$B$5000)/('Input Transaksi'!$B$5:$B$5000="JCL PEMOGAN"),ROWS($E$5:E987)),"")</f>
        <v/>
      </c>
      <c r="F987" s="5" t="n"/>
    </row>
    <row r="988">
      <c r="A988" s="10">
        <f>IF($E988="","",INDEX('Input Transaksi'!$A:$A,$E988))</f>
        <v/>
      </c>
      <c r="B988" s="5">
        <f>IF($E988="","",INDEX('Input Transaksi'!$D:$D,$E988))</f>
        <v/>
      </c>
      <c r="C988">
        <f>IF($E988="","",INDEX('Input Transaksi'!$E:$E,$E988))</f>
        <v/>
      </c>
      <c r="D988" s="5">
        <f>IF($E988="","",INDEX('Input Transaksi'!$F:$F,$E988))</f>
        <v/>
      </c>
      <c r="E988">
        <f>IFERROR(AGGREGATE(15,6,ROW('Input Transaksi'!$B$5:$B$5000)/('Input Transaksi'!$B$5:$B$5000="JCL PEMOGAN"),ROWS($E$5:E988)),"")</f>
        <v/>
      </c>
      <c r="F988" s="5" t="n"/>
    </row>
    <row r="989">
      <c r="A989" s="10">
        <f>IF($E989="","",INDEX('Input Transaksi'!$A:$A,$E989))</f>
        <v/>
      </c>
      <c r="B989" s="5">
        <f>IF($E989="","",INDEX('Input Transaksi'!$D:$D,$E989))</f>
        <v/>
      </c>
      <c r="C989">
        <f>IF($E989="","",INDEX('Input Transaksi'!$E:$E,$E989))</f>
        <v/>
      </c>
      <c r="D989" s="5">
        <f>IF($E989="","",INDEX('Input Transaksi'!$F:$F,$E989))</f>
        <v/>
      </c>
      <c r="E989">
        <f>IFERROR(AGGREGATE(15,6,ROW('Input Transaksi'!$B$5:$B$5000)/('Input Transaksi'!$B$5:$B$5000="JCL PEMOGAN"),ROWS($E$5:E989)),"")</f>
        <v/>
      </c>
      <c r="F989" s="5" t="n"/>
    </row>
    <row r="990">
      <c r="A990" s="10">
        <f>IF($E990="","",INDEX('Input Transaksi'!$A:$A,$E990))</f>
        <v/>
      </c>
      <c r="B990" s="5">
        <f>IF($E990="","",INDEX('Input Transaksi'!$D:$D,$E990))</f>
        <v/>
      </c>
      <c r="C990">
        <f>IF($E990="","",INDEX('Input Transaksi'!$E:$E,$E990))</f>
        <v/>
      </c>
      <c r="D990" s="5">
        <f>IF($E990="","",INDEX('Input Transaksi'!$F:$F,$E990))</f>
        <v/>
      </c>
      <c r="E990">
        <f>IFERROR(AGGREGATE(15,6,ROW('Input Transaksi'!$B$5:$B$5000)/('Input Transaksi'!$B$5:$B$5000="JCL PEMOGAN"),ROWS($E$5:E990)),"")</f>
        <v/>
      </c>
      <c r="F990" s="5" t="n"/>
    </row>
    <row r="991">
      <c r="A991" s="10">
        <f>IF($E991="","",INDEX('Input Transaksi'!$A:$A,$E991))</f>
        <v/>
      </c>
      <c r="B991" s="5">
        <f>IF($E991="","",INDEX('Input Transaksi'!$D:$D,$E991))</f>
        <v/>
      </c>
      <c r="C991">
        <f>IF($E991="","",INDEX('Input Transaksi'!$E:$E,$E991))</f>
        <v/>
      </c>
      <c r="D991" s="5">
        <f>IF($E991="","",INDEX('Input Transaksi'!$F:$F,$E991))</f>
        <v/>
      </c>
      <c r="E991">
        <f>IFERROR(AGGREGATE(15,6,ROW('Input Transaksi'!$B$5:$B$5000)/('Input Transaksi'!$B$5:$B$5000="JCL PEMOGAN"),ROWS($E$5:E991)),"")</f>
        <v/>
      </c>
      <c r="F991" s="5" t="n"/>
    </row>
    <row r="992">
      <c r="A992" s="10">
        <f>IF($E992="","",INDEX('Input Transaksi'!$A:$A,$E992))</f>
        <v/>
      </c>
      <c r="B992" s="5">
        <f>IF($E992="","",INDEX('Input Transaksi'!$D:$D,$E992))</f>
        <v/>
      </c>
      <c r="C992">
        <f>IF($E992="","",INDEX('Input Transaksi'!$E:$E,$E992))</f>
        <v/>
      </c>
      <c r="D992" s="5">
        <f>IF($E992="","",INDEX('Input Transaksi'!$F:$F,$E992))</f>
        <v/>
      </c>
      <c r="E992">
        <f>IFERROR(AGGREGATE(15,6,ROW('Input Transaksi'!$B$5:$B$5000)/('Input Transaksi'!$B$5:$B$5000="JCL PEMOGAN"),ROWS($E$5:E992)),"")</f>
        <v/>
      </c>
      <c r="F992" s="5" t="n"/>
    </row>
    <row r="993">
      <c r="A993" s="10">
        <f>IF($E993="","",INDEX('Input Transaksi'!$A:$A,$E993))</f>
        <v/>
      </c>
      <c r="B993" s="5">
        <f>IF($E993="","",INDEX('Input Transaksi'!$D:$D,$E993))</f>
        <v/>
      </c>
      <c r="C993">
        <f>IF($E993="","",INDEX('Input Transaksi'!$E:$E,$E993))</f>
        <v/>
      </c>
      <c r="D993" s="5">
        <f>IF($E993="","",INDEX('Input Transaksi'!$F:$F,$E993))</f>
        <v/>
      </c>
      <c r="E993">
        <f>IFERROR(AGGREGATE(15,6,ROW('Input Transaksi'!$B$5:$B$5000)/('Input Transaksi'!$B$5:$B$5000="JCL PEMOGAN"),ROWS($E$5:E993)),"")</f>
        <v/>
      </c>
      <c r="F993" s="5" t="n"/>
    </row>
    <row r="994">
      <c r="A994" s="10">
        <f>IF($E994="","",INDEX('Input Transaksi'!$A:$A,$E994))</f>
        <v/>
      </c>
      <c r="B994" s="5">
        <f>IF($E994="","",INDEX('Input Transaksi'!$D:$D,$E994))</f>
        <v/>
      </c>
      <c r="C994">
        <f>IF($E994="","",INDEX('Input Transaksi'!$E:$E,$E994))</f>
        <v/>
      </c>
      <c r="D994" s="5">
        <f>IF($E994="","",INDEX('Input Transaksi'!$F:$F,$E994))</f>
        <v/>
      </c>
      <c r="E994">
        <f>IFERROR(AGGREGATE(15,6,ROW('Input Transaksi'!$B$5:$B$5000)/('Input Transaksi'!$B$5:$B$5000="JCL PEMOGAN"),ROWS($E$5:E994)),"")</f>
        <v/>
      </c>
      <c r="F994" s="5" t="n"/>
    </row>
    <row r="995">
      <c r="A995" s="10">
        <f>IF($E995="","",INDEX('Input Transaksi'!$A:$A,$E995))</f>
        <v/>
      </c>
      <c r="B995" s="5">
        <f>IF($E995="","",INDEX('Input Transaksi'!$D:$D,$E995))</f>
        <v/>
      </c>
      <c r="C995">
        <f>IF($E995="","",INDEX('Input Transaksi'!$E:$E,$E995))</f>
        <v/>
      </c>
      <c r="D995" s="5">
        <f>IF($E995="","",INDEX('Input Transaksi'!$F:$F,$E995))</f>
        <v/>
      </c>
      <c r="E995">
        <f>IFERROR(AGGREGATE(15,6,ROW('Input Transaksi'!$B$5:$B$5000)/('Input Transaksi'!$B$5:$B$5000="JCL PEMOGAN"),ROWS($E$5:E995)),"")</f>
        <v/>
      </c>
      <c r="F995" s="5" t="n"/>
    </row>
    <row r="996">
      <c r="A996" s="10">
        <f>IF($E996="","",INDEX('Input Transaksi'!$A:$A,$E996))</f>
        <v/>
      </c>
      <c r="B996" s="5">
        <f>IF($E996="","",INDEX('Input Transaksi'!$D:$D,$E996))</f>
        <v/>
      </c>
      <c r="C996">
        <f>IF($E996="","",INDEX('Input Transaksi'!$E:$E,$E996))</f>
        <v/>
      </c>
      <c r="D996" s="5">
        <f>IF($E996="","",INDEX('Input Transaksi'!$F:$F,$E996))</f>
        <v/>
      </c>
      <c r="E996">
        <f>IFERROR(AGGREGATE(15,6,ROW('Input Transaksi'!$B$5:$B$5000)/('Input Transaksi'!$B$5:$B$5000="JCL PEMOGAN"),ROWS($E$5:E996)),"")</f>
        <v/>
      </c>
      <c r="F996" s="5" t="n"/>
    </row>
    <row r="997">
      <c r="A997" s="10">
        <f>IF($E997="","",INDEX('Input Transaksi'!$A:$A,$E997))</f>
        <v/>
      </c>
      <c r="B997" s="5">
        <f>IF($E997="","",INDEX('Input Transaksi'!$D:$D,$E997))</f>
        <v/>
      </c>
      <c r="C997">
        <f>IF($E997="","",INDEX('Input Transaksi'!$E:$E,$E997))</f>
        <v/>
      </c>
      <c r="D997" s="5">
        <f>IF($E997="","",INDEX('Input Transaksi'!$F:$F,$E997))</f>
        <v/>
      </c>
      <c r="E997">
        <f>IFERROR(AGGREGATE(15,6,ROW('Input Transaksi'!$B$5:$B$5000)/('Input Transaksi'!$B$5:$B$5000="JCL PEMOGAN"),ROWS($E$5:E997)),"")</f>
        <v/>
      </c>
      <c r="F997" s="5" t="n"/>
    </row>
    <row r="998">
      <c r="A998" s="10">
        <f>IF($E998="","",INDEX('Input Transaksi'!$A:$A,$E998))</f>
        <v/>
      </c>
      <c r="B998" s="5">
        <f>IF($E998="","",INDEX('Input Transaksi'!$D:$D,$E998))</f>
        <v/>
      </c>
      <c r="C998">
        <f>IF($E998="","",INDEX('Input Transaksi'!$E:$E,$E998))</f>
        <v/>
      </c>
      <c r="D998" s="5">
        <f>IF($E998="","",INDEX('Input Transaksi'!$F:$F,$E998))</f>
        <v/>
      </c>
      <c r="E998">
        <f>IFERROR(AGGREGATE(15,6,ROW('Input Transaksi'!$B$5:$B$5000)/('Input Transaksi'!$B$5:$B$5000="JCL PEMOGAN"),ROWS($E$5:E998)),"")</f>
        <v/>
      </c>
      <c r="F998" s="5" t="n"/>
    </row>
    <row r="999">
      <c r="A999" s="10">
        <f>IF($E999="","",INDEX('Input Transaksi'!$A:$A,$E999))</f>
        <v/>
      </c>
      <c r="B999" s="5">
        <f>IF($E999="","",INDEX('Input Transaksi'!$D:$D,$E999))</f>
        <v/>
      </c>
      <c r="C999">
        <f>IF($E999="","",INDEX('Input Transaksi'!$E:$E,$E999))</f>
        <v/>
      </c>
      <c r="D999" s="5">
        <f>IF($E999="","",INDEX('Input Transaksi'!$F:$F,$E999))</f>
        <v/>
      </c>
      <c r="E999">
        <f>IFERROR(AGGREGATE(15,6,ROW('Input Transaksi'!$B$5:$B$5000)/('Input Transaksi'!$B$5:$B$5000="JCL PEMOGAN"),ROWS($E$5:E999)),"")</f>
        <v/>
      </c>
      <c r="F999" s="5" t="n"/>
    </row>
    <row r="1000">
      <c r="A1000" s="10">
        <f>IF($E1000="","",INDEX('Input Transaksi'!$A:$A,$E1000))</f>
        <v/>
      </c>
      <c r="B1000" s="5">
        <f>IF($E1000="","",INDEX('Input Transaksi'!$D:$D,$E1000))</f>
        <v/>
      </c>
      <c r="C1000">
        <f>IF($E1000="","",INDEX('Input Transaksi'!$E:$E,$E1000))</f>
        <v/>
      </c>
      <c r="D1000" s="5">
        <f>IF($E1000="","",INDEX('Input Transaksi'!$F:$F,$E1000))</f>
        <v/>
      </c>
      <c r="E1000">
        <f>IFERROR(AGGREGATE(15,6,ROW('Input Transaksi'!$B$5:$B$5000)/('Input Transaksi'!$B$5:$B$5000="JCL PEMOGAN"),ROWS($E$5:E1000)),"")</f>
        <v/>
      </c>
      <c r="F1000" s="5" t="n"/>
    </row>
  </sheetData>
  <autoFilter ref="A4:D1000"/>
  <mergeCells count="1">
    <mergeCell ref="A1:E1"/>
  </mergeCells>
  <hyperlinks>
    <hyperlink ref="F1" location="'Beranda'!A1" display="Kembali ke Beranda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000"/>
  <sheetViews>
    <sheetView workbookViewId="0">
      <pane ySplit="4" topLeftCell="A5" activePane="bottomLeft" state="frozen"/>
      <selection pane="bottomLeft" activeCell="A1" sqref="A1"/>
    </sheetView>
  </sheetViews>
  <sheetFormatPr baseColWidth="10" defaultColWidth="8.83203125" defaultRowHeight="15"/>
  <cols>
    <col width="16" customWidth="1" min="1" max="1"/>
    <col width="22" customWidth="1" min="2" max="2"/>
    <col width="12" customWidth="1" min="3" max="3"/>
    <col width="26" customWidth="1" min="4" max="4"/>
    <col hidden="1" width="12.6640625" customWidth="1" min="5" max="5"/>
    <col width="16" customWidth="1" min="6" max="6"/>
    <col hidden="1" width="13" customWidth="1" min="7" max="7"/>
  </cols>
  <sheetData>
    <row r="1" ht="24" customHeight="1">
      <c r="A1" s="11" t="inlineStr">
        <is>
          <t>JCL AYANI</t>
        </is>
      </c>
      <c r="F1" s="3" t="inlineStr">
        <is>
          <t>Kembali ke Beranda</t>
        </is>
      </c>
    </row>
    <row r="2">
      <c r="A2" s="13" t="inlineStr">
        <is>
          <t>Wilayah</t>
        </is>
      </c>
      <c r="B2" s="13" t="inlineStr">
        <is>
          <t>UTARA</t>
        </is>
      </c>
      <c r="C2" s="13" t="inlineStr">
        <is>
          <t>Total Qty</t>
        </is>
      </c>
      <c r="D2" s="2">
        <f>SUMIFS('Input Transaksi'!$E$5:$E$5000,'Input Transaksi'!$B$5:$B$5000,"JCL AYANI")</f>
        <v/>
      </c>
      <c r="E2" s="13" t="inlineStr">
        <is>
          <t>Jumlah Transaksi</t>
        </is>
      </c>
      <c r="F2" s="2">
        <f>COUNTIF('Input Transaksi'!$B$5:$B$5000,"JCL AYANI")</f>
        <v/>
      </c>
    </row>
    <row r="3"/>
    <row r="4">
      <c r="A4" s="4" t="inlineStr">
        <is>
          <t>Tanggal</t>
        </is>
      </c>
      <c r="B4" s="4" t="inlineStr">
        <is>
          <t>Item</t>
        </is>
      </c>
      <c r="C4" s="4" t="inlineStr">
        <is>
          <t>Qty Keluar</t>
        </is>
      </c>
      <c r="D4" s="4" t="inlineStr">
        <is>
          <t>Catatan</t>
        </is>
      </c>
      <c r="E4" t="inlineStr">
        <is>
          <t>RowRef</t>
        </is>
      </c>
      <c r="F4" s="4" t="n"/>
    </row>
    <row r="5">
      <c r="A5" s="10">
        <f>IF($E5="","",INDEX('Input Transaksi'!$A:$A,$E5))</f>
        <v/>
      </c>
      <c r="B5" s="5">
        <f>IF($E5="","",INDEX('Input Transaksi'!$D:$D,$E5))</f>
        <v/>
      </c>
      <c r="C5">
        <f>IF($E5="","",INDEX('Input Transaksi'!$E:$E,$E5))</f>
        <v/>
      </c>
      <c r="D5" s="5">
        <f>IF($E5="","",INDEX('Input Transaksi'!$F:$F,$E5))</f>
        <v/>
      </c>
      <c r="E5">
        <f>IFERROR(AGGREGATE(15,6,ROW('Input Transaksi'!$B$5:$B$5000)/('Input Transaksi'!$B$5:$B$5000="JCL AYANI"),ROWS($E$5:E5)),"")</f>
        <v/>
      </c>
      <c r="F5" s="5" t="n"/>
    </row>
    <row r="6">
      <c r="A6" s="10">
        <f>IF($E6="","",INDEX('Input Transaksi'!$A:$A,$E6))</f>
        <v/>
      </c>
      <c r="B6" s="5">
        <f>IF($E6="","",INDEX('Input Transaksi'!$D:$D,$E6))</f>
        <v/>
      </c>
      <c r="C6">
        <f>IF($E6="","",INDEX('Input Transaksi'!$E:$E,$E6))</f>
        <v/>
      </c>
      <c r="D6" s="5">
        <f>IF($E6="","",INDEX('Input Transaksi'!$F:$F,$E6))</f>
        <v/>
      </c>
      <c r="E6">
        <f>IFERROR(AGGREGATE(15,6,ROW('Input Transaksi'!$B$5:$B$5000)/('Input Transaksi'!$B$5:$B$5000="JCL AYANI"),ROWS($E$5:E6)),"")</f>
        <v/>
      </c>
      <c r="F6" s="5" t="n"/>
    </row>
    <row r="7">
      <c r="A7" s="10">
        <f>IF($E7="","",INDEX('Input Transaksi'!$A:$A,$E7))</f>
        <v/>
      </c>
      <c r="B7" s="5">
        <f>IF($E7="","",INDEX('Input Transaksi'!$D:$D,$E7))</f>
        <v/>
      </c>
      <c r="C7">
        <f>IF($E7="","",INDEX('Input Transaksi'!$E:$E,$E7))</f>
        <v/>
      </c>
      <c r="D7" s="5">
        <f>IF($E7="","",INDEX('Input Transaksi'!$F:$F,$E7))</f>
        <v/>
      </c>
      <c r="E7">
        <f>IFERROR(AGGREGATE(15,6,ROW('Input Transaksi'!$B$5:$B$5000)/('Input Transaksi'!$B$5:$B$5000="JCL AYANI"),ROWS($E$5:E7)),"")</f>
        <v/>
      </c>
      <c r="F7" s="5" t="n"/>
    </row>
    <row r="8">
      <c r="A8" s="10">
        <f>IF($E8="","",INDEX('Input Transaksi'!$A:$A,$E8))</f>
        <v/>
      </c>
      <c r="B8" s="5">
        <f>IF($E8="","",INDEX('Input Transaksi'!$D:$D,$E8))</f>
        <v/>
      </c>
      <c r="C8">
        <f>IF($E8="","",INDEX('Input Transaksi'!$E:$E,$E8))</f>
        <v/>
      </c>
      <c r="D8" s="5">
        <f>IF($E8="","",INDEX('Input Transaksi'!$F:$F,$E8))</f>
        <v/>
      </c>
      <c r="E8">
        <f>IFERROR(AGGREGATE(15,6,ROW('Input Transaksi'!$B$5:$B$5000)/('Input Transaksi'!$B$5:$B$5000="JCL AYANI"),ROWS($E$5:E8)),"")</f>
        <v/>
      </c>
      <c r="F8" s="5" t="n"/>
    </row>
    <row r="9">
      <c r="A9" s="10">
        <f>IF($E9="","",INDEX('Input Transaksi'!$A:$A,$E9))</f>
        <v/>
      </c>
      <c r="B9" s="5">
        <f>IF($E9="","",INDEX('Input Transaksi'!$D:$D,$E9))</f>
        <v/>
      </c>
      <c r="C9">
        <f>IF($E9="","",INDEX('Input Transaksi'!$E:$E,$E9))</f>
        <v/>
      </c>
      <c r="D9" s="5">
        <f>IF($E9="","",INDEX('Input Transaksi'!$F:$F,$E9))</f>
        <v/>
      </c>
      <c r="E9">
        <f>IFERROR(AGGREGATE(15,6,ROW('Input Transaksi'!$B$5:$B$5000)/('Input Transaksi'!$B$5:$B$5000="JCL AYANI"),ROWS($E$5:E9)),"")</f>
        <v/>
      </c>
      <c r="F9" s="5" t="n"/>
    </row>
    <row r="10">
      <c r="A10" s="10">
        <f>IF($E10="","",INDEX('Input Transaksi'!$A:$A,$E10))</f>
        <v/>
      </c>
      <c r="B10" s="5">
        <f>IF($E10="","",INDEX('Input Transaksi'!$D:$D,$E10))</f>
        <v/>
      </c>
      <c r="C10">
        <f>IF($E10="","",INDEX('Input Transaksi'!$E:$E,$E10))</f>
        <v/>
      </c>
      <c r="D10" s="5">
        <f>IF($E10="","",INDEX('Input Transaksi'!$F:$F,$E10))</f>
        <v/>
      </c>
      <c r="E10">
        <f>IFERROR(AGGREGATE(15,6,ROW('Input Transaksi'!$B$5:$B$5000)/('Input Transaksi'!$B$5:$B$5000="JCL AYANI"),ROWS($E$5:E10)),"")</f>
        <v/>
      </c>
      <c r="F10" s="5" t="n"/>
    </row>
    <row r="11">
      <c r="A11" s="10">
        <f>IF($E11="","",INDEX('Input Transaksi'!$A:$A,$E11))</f>
        <v/>
      </c>
      <c r="B11" s="5">
        <f>IF($E11="","",INDEX('Input Transaksi'!$D:$D,$E11))</f>
        <v/>
      </c>
      <c r="C11">
        <f>IF($E11="","",INDEX('Input Transaksi'!$E:$E,$E11))</f>
        <v/>
      </c>
      <c r="D11" s="5">
        <f>IF($E11="","",INDEX('Input Transaksi'!$F:$F,$E11))</f>
        <v/>
      </c>
      <c r="E11">
        <f>IFERROR(AGGREGATE(15,6,ROW('Input Transaksi'!$B$5:$B$5000)/('Input Transaksi'!$B$5:$B$5000="JCL AYANI"),ROWS($E$5:E11)),"")</f>
        <v/>
      </c>
      <c r="F11" s="5" t="n"/>
    </row>
    <row r="12">
      <c r="A12" s="10">
        <f>IF($E12="","",INDEX('Input Transaksi'!$A:$A,$E12))</f>
        <v/>
      </c>
      <c r="B12" s="5">
        <f>IF($E12="","",INDEX('Input Transaksi'!$D:$D,$E12))</f>
        <v/>
      </c>
      <c r="C12">
        <f>IF($E12="","",INDEX('Input Transaksi'!$E:$E,$E12))</f>
        <v/>
      </c>
      <c r="D12" s="5">
        <f>IF($E12="","",INDEX('Input Transaksi'!$F:$F,$E12))</f>
        <v/>
      </c>
      <c r="E12">
        <f>IFERROR(AGGREGATE(15,6,ROW('Input Transaksi'!$B$5:$B$5000)/('Input Transaksi'!$B$5:$B$5000="JCL AYANI"),ROWS($E$5:E12)),"")</f>
        <v/>
      </c>
      <c r="F12" s="5" t="n"/>
    </row>
    <row r="13">
      <c r="A13" s="10">
        <f>IF($E13="","",INDEX('Input Transaksi'!$A:$A,$E13))</f>
        <v/>
      </c>
      <c r="B13" s="5">
        <f>IF($E13="","",INDEX('Input Transaksi'!$D:$D,$E13))</f>
        <v/>
      </c>
      <c r="C13">
        <f>IF($E13="","",INDEX('Input Transaksi'!$E:$E,$E13))</f>
        <v/>
      </c>
      <c r="D13" s="5">
        <f>IF($E13="","",INDEX('Input Transaksi'!$F:$F,$E13))</f>
        <v/>
      </c>
      <c r="E13">
        <f>IFERROR(AGGREGATE(15,6,ROW('Input Transaksi'!$B$5:$B$5000)/('Input Transaksi'!$B$5:$B$5000="JCL AYANI"),ROWS($E$5:E13)),"")</f>
        <v/>
      </c>
      <c r="F13" s="5" t="n"/>
    </row>
    <row r="14">
      <c r="A14" s="10">
        <f>IF($E14="","",INDEX('Input Transaksi'!$A:$A,$E14))</f>
        <v/>
      </c>
      <c r="B14" s="5">
        <f>IF($E14="","",INDEX('Input Transaksi'!$D:$D,$E14))</f>
        <v/>
      </c>
      <c r="C14">
        <f>IF($E14="","",INDEX('Input Transaksi'!$E:$E,$E14))</f>
        <v/>
      </c>
      <c r="D14" s="5">
        <f>IF($E14="","",INDEX('Input Transaksi'!$F:$F,$E14))</f>
        <v/>
      </c>
      <c r="E14">
        <f>IFERROR(AGGREGATE(15,6,ROW('Input Transaksi'!$B$5:$B$5000)/('Input Transaksi'!$B$5:$B$5000="JCL AYANI"),ROWS($E$5:E14)),"")</f>
        <v/>
      </c>
      <c r="F14" s="5" t="n"/>
    </row>
    <row r="15">
      <c r="A15" s="10">
        <f>IF($E15="","",INDEX('Input Transaksi'!$A:$A,$E15))</f>
        <v/>
      </c>
      <c r="B15" s="5">
        <f>IF($E15="","",INDEX('Input Transaksi'!$D:$D,$E15))</f>
        <v/>
      </c>
      <c r="C15">
        <f>IF($E15="","",INDEX('Input Transaksi'!$E:$E,$E15))</f>
        <v/>
      </c>
      <c r="D15" s="5">
        <f>IF($E15="","",INDEX('Input Transaksi'!$F:$F,$E15))</f>
        <v/>
      </c>
      <c r="E15">
        <f>IFERROR(AGGREGATE(15,6,ROW('Input Transaksi'!$B$5:$B$5000)/('Input Transaksi'!$B$5:$B$5000="JCL AYANI"),ROWS($E$5:E15)),"")</f>
        <v/>
      </c>
      <c r="F15" s="5" t="n"/>
    </row>
    <row r="16">
      <c r="A16" s="10">
        <f>IF($E16="","",INDEX('Input Transaksi'!$A:$A,$E16))</f>
        <v/>
      </c>
      <c r="B16" s="5">
        <f>IF($E16="","",INDEX('Input Transaksi'!$D:$D,$E16))</f>
        <v/>
      </c>
      <c r="C16">
        <f>IF($E16="","",INDEX('Input Transaksi'!$E:$E,$E16))</f>
        <v/>
      </c>
      <c r="D16" s="5">
        <f>IF($E16="","",INDEX('Input Transaksi'!$F:$F,$E16))</f>
        <v/>
      </c>
      <c r="E16">
        <f>IFERROR(AGGREGATE(15,6,ROW('Input Transaksi'!$B$5:$B$5000)/('Input Transaksi'!$B$5:$B$5000="JCL AYANI"),ROWS($E$5:E16)),"")</f>
        <v/>
      </c>
      <c r="F16" s="5" t="n"/>
    </row>
    <row r="17">
      <c r="A17" s="10">
        <f>IF($E17="","",INDEX('Input Transaksi'!$A:$A,$E17))</f>
        <v/>
      </c>
      <c r="B17" s="5">
        <f>IF($E17="","",INDEX('Input Transaksi'!$D:$D,$E17))</f>
        <v/>
      </c>
      <c r="C17">
        <f>IF($E17="","",INDEX('Input Transaksi'!$E:$E,$E17))</f>
        <v/>
      </c>
      <c r="D17" s="5">
        <f>IF($E17="","",INDEX('Input Transaksi'!$F:$F,$E17))</f>
        <v/>
      </c>
      <c r="E17">
        <f>IFERROR(AGGREGATE(15,6,ROW('Input Transaksi'!$B$5:$B$5000)/('Input Transaksi'!$B$5:$B$5000="JCL AYANI"),ROWS($E$5:E17)),"")</f>
        <v/>
      </c>
      <c r="F17" s="5" t="n"/>
    </row>
    <row r="18">
      <c r="A18" s="10">
        <f>IF($E18="","",INDEX('Input Transaksi'!$A:$A,$E18))</f>
        <v/>
      </c>
      <c r="B18" s="5">
        <f>IF($E18="","",INDEX('Input Transaksi'!$D:$D,$E18))</f>
        <v/>
      </c>
      <c r="C18">
        <f>IF($E18="","",INDEX('Input Transaksi'!$E:$E,$E18))</f>
        <v/>
      </c>
      <c r="D18" s="5">
        <f>IF($E18="","",INDEX('Input Transaksi'!$F:$F,$E18))</f>
        <v/>
      </c>
      <c r="E18">
        <f>IFERROR(AGGREGATE(15,6,ROW('Input Transaksi'!$B$5:$B$5000)/('Input Transaksi'!$B$5:$B$5000="JCL AYANI"),ROWS($E$5:E18)),"")</f>
        <v/>
      </c>
      <c r="F18" s="5" t="n"/>
    </row>
    <row r="19">
      <c r="A19" s="10">
        <f>IF($E19="","",INDEX('Input Transaksi'!$A:$A,$E19))</f>
        <v/>
      </c>
      <c r="B19" s="5">
        <f>IF($E19="","",INDEX('Input Transaksi'!$D:$D,$E19))</f>
        <v/>
      </c>
      <c r="C19">
        <f>IF($E19="","",INDEX('Input Transaksi'!$E:$E,$E19))</f>
        <v/>
      </c>
      <c r="D19" s="5">
        <f>IF($E19="","",INDEX('Input Transaksi'!$F:$F,$E19))</f>
        <v/>
      </c>
      <c r="E19">
        <f>IFERROR(AGGREGATE(15,6,ROW('Input Transaksi'!$B$5:$B$5000)/('Input Transaksi'!$B$5:$B$5000="JCL AYANI"),ROWS($E$5:E19)),"")</f>
        <v/>
      </c>
      <c r="F19" s="5" t="n"/>
    </row>
    <row r="20">
      <c r="A20" s="10">
        <f>IF($E20="","",INDEX('Input Transaksi'!$A:$A,$E20))</f>
        <v/>
      </c>
      <c r="B20" s="5">
        <f>IF($E20="","",INDEX('Input Transaksi'!$D:$D,$E20))</f>
        <v/>
      </c>
      <c r="C20">
        <f>IF($E20="","",INDEX('Input Transaksi'!$E:$E,$E20))</f>
        <v/>
      </c>
      <c r="D20" s="5">
        <f>IF($E20="","",INDEX('Input Transaksi'!$F:$F,$E20))</f>
        <v/>
      </c>
      <c r="E20">
        <f>IFERROR(AGGREGATE(15,6,ROW('Input Transaksi'!$B$5:$B$5000)/('Input Transaksi'!$B$5:$B$5000="JCL AYANI"),ROWS($E$5:E20)),"")</f>
        <v/>
      </c>
      <c r="F20" s="5" t="n"/>
    </row>
    <row r="21">
      <c r="A21" s="10">
        <f>IF($E21="","",INDEX('Input Transaksi'!$A:$A,$E21))</f>
        <v/>
      </c>
      <c r="B21" s="5">
        <f>IF($E21="","",INDEX('Input Transaksi'!$D:$D,$E21))</f>
        <v/>
      </c>
      <c r="C21">
        <f>IF($E21="","",INDEX('Input Transaksi'!$E:$E,$E21))</f>
        <v/>
      </c>
      <c r="D21" s="5">
        <f>IF($E21="","",INDEX('Input Transaksi'!$F:$F,$E21))</f>
        <v/>
      </c>
      <c r="E21">
        <f>IFERROR(AGGREGATE(15,6,ROW('Input Transaksi'!$B$5:$B$5000)/('Input Transaksi'!$B$5:$B$5000="JCL AYANI"),ROWS($E$5:E21)),"")</f>
        <v/>
      </c>
      <c r="F21" s="5" t="n"/>
    </row>
    <row r="22">
      <c r="A22" s="10">
        <f>IF($E22="","",INDEX('Input Transaksi'!$A:$A,$E22))</f>
        <v/>
      </c>
      <c r="B22" s="5">
        <f>IF($E22="","",INDEX('Input Transaksi'!$D:$D,$E22))</f>
        <v/>
      </c>
      <c r="C22">
        <f>IF($E22="","",INDEX('Input Transaksi'!$E:$E,$E22))</f>
        <v/>
      </c>
      <c r="D22" s="5">
        <f>IF($E22="","",INDEX('Input Transaksi'!$F:$F,$E22))</f>
        <v/>
      </c>
      <c r="E22">
        <f>IFERROR(AGGREGATE(15,6,ROW('Input Transaksi'!$B$5:$B$5000)/('Input Transaksi'!$B$5:$B$5000="JCL AYANI"),ROWS($E$5:E22)),"")</f>
        <v/>
      </c>
      <c r="F22" s="5" t="n"/>
    </row>
    <row r="23">
      <c r="A23" s="10">
        <f>IF($E23="","",INDEX('Input Transaksi'!$A:$A,$E23))</f>
        <v/>
      </c>
      <c r="B23" s="5">
        <f>IF($E23="","",INDEX('Input Transaksi'!$D:$D,$E23))</f>
        <v/>
      </c>
      <c r="C23">
        <f>IF($E23="","",INDEX('Input Transaksi'!$E:$E,$E23))</f>
        <v/>
      </c>
      <c r="D23" s="5">
        <f>IF($E23="","",INDEX('Input Transaksi'!$F:$F,$E23))</f>
        <v/>
      </c>
      <c r="E23">
        <f>IFERROR(AGGREGATE(15,6,ROW('Input Transaksi'!$B$5:$B$5000)/('Input Transaksi'!$B$5:$B$5000="JCL AYANI"),ROWS($E$5:E23)),"")</f>
        <v/>
      </c>
      <c r="F23" s="5" t="n"/>
    </row>
    <row r="24">
      <c r="A24" s="10">
        <f>IF($E24="","",INDEX('Input Transaksi'!$A:$A,$E24))</f>
        <v/>
      </c>
      <c r="B24" s="5">
        <f>IF($E24="","",INDEX('Input Transaksi'!$D:$D,$E24))</f>
        <v/>
      </c>
      <c r="C24">
        <f>IF($E24="","",INDEX('Input Transaksi'!$E:$E,$E24))</f>
        <v/>
      </c>
      <c r="D24" s="5">
        <f>IF($E24="","",INDEX('Input Transaksi'!$F:$F,$E24))</f>
        <v/>
      </c>
      <c r="E24">
        <f>IFERROR(AGGREGATE(15,6,ROW('Input Transaksi'!$B$5:$B$5000)/('Input Transaksi'!$B$5:$B$5000="JCL AYANI"),ROWS($E$5:E24)),"")</f>
        <v/>
      </c>
      <c r="F24" s="5" t="n"/>
    </row>
    <row r="25">
      <c r="A25" s="10">
        <f>IF($E25="","",INDEX('Input Transaksi'!$A:$A,$E25))</f>
        <v/>
      </c>
      <c r="B25" s="5">
        <f>IF($E25="","",INDEX('Input Transaksi'!$D:$D,$E25))</f>
        <v/>
      </c>
      <c r="C25">
        <f>IF($E25="","",INDEX('Input Transaksi'!$E:$E,$E25))</f>
        <v/>
      </c>
      <c r="D25" s="5">
        <f>IF($E25="","",INDEX('Input Transaksi'!$F:$F,$E25))</f>
        <v/>
      </c>
      <c r="E25">
        <f>IFERROR(AGGREGATE(15,6,ROW('Input Transaksi'!$B$5:$B$5000)/('Input Transaksi'!$B$5:$B$5000="JCL AYANI"),ROWS($E$5:E25)),"")</f>
        <v/>
      </c>
      <c r="F25" s="5" t="n"/>
    </row>
    <row r="26">
      <c r="A26" s="10">
        <f>IF($E26="","",INDEX('Input Transaksi'!$A:$A,$E26))</f>
        <v/>
      </c>
      <c r="B26" s="5">
        <f>IF($E26="","",INDEX('Input Transaksi'!$D:$D,$E26))</f>
        <v/>
      </c>
      <c r="C26">
        <f>IF($E26="","",INDEX('Input Transaksi'!$E:$E,$E26))</f>
        <v/>
      </c>
      <c r="D26" s="5">
        <f>IF($E26="","",INDEX('Input Transaksi'!$F:$F,$E26))</f>
        <v/>
      </c>
      <c r="E26">
        <f>IFERROR(AGGREGATE(15,6,ROW('Input Transaksi'!$B$5:$B$5000)/('Input Transaksi'!$B$5:$B$5000="JCL AYANI"),ROWS($E$5:E26)),"")</f>
        <v/>
      </c>
      <c r="F26" s="5" t="n"/>
    </row>
    <row r="27">
      <c r="A27" s="10">
        <f>IF($E27="","",INDEX('Input Transaksi'!$A:$A,$E27))</f>
        <v/>
      </c>
      <c r="B27" s="5">
        <f>IF($E27="","",INDEX('Input Transaksi'!$D:$D,$E27))</f>
        <v/>
      </c>
      <c r="C27">
        <f>IF($E27="","",INDEX('Input Transaksi'!$E:$E,$E27))</f>
        <v/>
      </c>
      <c r="D27" s="5">
        <f>IF($E27="","",INDEX('Input Transaksi'!$F:$F,$E27))</f>
        <v/>
      </c>
      <c r="E27">
        <f>IFERROR(AGGREGATE(15,6,ROW('Input Transaksi'!$B$5:$B$5000)/('Input Transaksi'!$B$5:$B$5000="JCL AYANI"),ROWS($E$5:E27)),"")</f>
        <v/>
      </c>
      <c r="F27" s="5" t="n"/>
    </row>
    <row r="28">
      <c r="A28" s="10">
        <f>IF($E28="","",INDEX('Input Transaksi'!$A:$A,$E28))</f>
        <v/>
      </c>
      <c r="B28" s="5">
        <f>IF($E28="","",INDEX('Input Transaksi'!$D:$D,$E28))</f>
        <v/>
      </c>
      <c r="C28">
        <f>IF($E28="","",INDEX('Input Transaksi'!$E:$E,$E28))</f>
        <v/>
      </c>
      <c r="D28" s="5">
        <f>IF($E28="","",INDEX('Input Transaksi'!$F:$F,$E28))</f>
        <v/>
      </c>
      <c r="E28">
        <f>IFERROR(AGGREGATE(15,6,ROW('Input Transaksi'!$B$5:$B$5000)/('Input Transaksi'!$B$5:$B$5000="JCL AYANI"),ROWS($E$5:E28)),"")</f>
        <v/>
      </c>
      <c r="F28" s="5" t="n"/>
    </row>
    <row r="29">
      <c r="A29" s="10">
        <f>IF($E29="","",INDEX('Input Transaksi'!$A:$A,$E29))</f>
        <v/>
      </c>
      <c r="B29" s="5">
        <f>IF($E29="","",INDEX('Input Transaksi'!$D:$D,$E29))</f>
        <v/>
      </c>
      <c r="C29">
        <f>IF($E29="","",INDEX('Input Transaksi'!$E:$E,$E29))</f>
        <v/>
      </c>
      <c r="D29" s="5">
        <f>IF($E29="","",INDEX('Input Transaksi'!$F:$F,$E29))</f>
        <v/>
      </c>
      <c r="E29">
        <f>IFERROR(AGGREGATE(15,6,ROW('Input Transaksi'!$B$5:$B$5000)/('Input Transaksi'!$B$5:$B$5000="JCL AYANI"),ROWS($E$5:E29)),"")</f>
        <v/>
      </c>
      <c r="F29" s="5" t="n"/>
    </row>
    <row r="30">
      <c r="A30" s="10">
        <f>IF($E30="","",INDEX('Input Transaksi'!$A:$A,$E30))</f>
        <v/>
      </c>
      <c r="B30" s="5">
        <f>IF($E30="","",INDEX('Input Transaksi'!$D:$D,$E30))</f>
        <v/>
      </c>
      <c r="C30">
        <f>IF($E30="","",INDEX('Input Transaksi'!$E:$E,$E30))</f>
        <v/>
      </c>
      <c r="D30" s="5">
        <f>IF($E30="","",INDEX('Input Transaksi'!$F:$F,$E30))</f>
        <v/>
      </c>
      <c r="E30">
        <f>IFERROR(AGGREGATE(15,6,ROW('Input Transaksi'!$B$5:$B$5000)/('Input Transaksi'!$B$5:$B$5000="JCL AYANI"),ROWS($E$5:E30)),"")</f>
        <v/>
      </c>
      <c r="F30" s="5" t="n"/>
    </row>
    <row r="31">
      <c r="A31" s="10">
        <f>IF($E31="","",INDEX('Input Transaksi'!$A:$A,$E31))</f>
        <v/>
      </c>
      <c r="B31" s="5">
        <f>IF($E31="","",INDEX('Input Transaksi'!$D:$D,$E31))</f>
        <v/>
      </c>
      <c r="C31">
        <f>IF($E31="","",INDEX('Input Transaksi'!$E:$E,$E31))</f>
        <v/>
      </c>
      <c r="D31" s="5">
        <f>IF($E31="","",INDEX('Input Transaksi'!$F:$F,$E31))</f>
        <v/>
      </c>
      <c r="E31">
        <f>IFERROR(AGGREGATE(15,6,ROW('Input Transaksi'!$B$5:$B$5000)/('Input Transaksi'!$B$5:$B$5000="JCL AYANI"),ROWS($E$5:E31)),"")</f>
        <v/>
      </c>
      <c r="F31" s="5" t="n"/>
    </row>
    <row r="32">
      <c r="A32" s="10">
        <f>IF($E32="","",INDEX('Input Transaksi'!$A:$A,$E32))</f>
        <v/>
      </c>
      <c r="B32" s="5">
        <f>IF($E32="","",INDEX('Input Transaksi'!$D:$D,$E32))</f>
        <v/>
      </c>
      <c r="C32">
        <f>IF($E32="","",INDEX('Input Transaksi'!$E:$E,$E32))</f>
        <v/>
      </c>
      <c r="D32" s="5">
        <f>IF($E32="","",INDEX('Input Transaksi'!$F:$F,$E32))</f>
        <v/>
      </c>
      <c r="E32">
        <f>IFERROR(AGGREGATE(15,6,ROW('Input Transaksi'!$B$5:$B$5000)/('Input Transaksi'!$B$5:$B$5000="JCL AYANI"),ROWS($E$5:E32)),"")</f>
        <v/>
      </c>
      <c r="F32" s="5" t="n"/>
    </row>
    <row r="33">
      <c r="A33" s="10">
        <f>IF($E33="","",INDEX('Input Transaksi'!$A:$A,$E33))</f>
        <v/>
      </c>
      <c r="B33" s="5">
        <f>IF($E33="","",INDEX('Input Transaksi'!$D:$D,$E33))</f>
        <v/>
      </c>
      <c r="C33">
        <f>IF($E33="","",INDEX('Input Transaksi'!$E:$E,$E33))</f>
        <v/>
      </c>
      <c r="D33" s="5">
        <f>IF($E33="","",INDEX('Input Transaksi'!$F:$F,$E33))</f>
        <v/>
      </c>
      <c r="E33">
        <f>IFERROR(AGGREGATE(15,6,ROW('Input Transaksi'!$B$5:$B$5000)/('Input Transaksi'!$B$5:$B$5000="JCL AYANI"),ROWS($E$5:E33)),"")</f>
        <v/>
      </c>
      <c r="F33" s="5" t="n"/>
    </row>
    <row r="34">
      <c r="A34" s="10">
        <f>IF($E34="","",INDEX('Input Transaksi'!$A:$A,$E34))</f>
        <v/>
      </c>
      <c r="B34" s="5">
        <f>IF($E34="","",INDEX('Input Transaksi'!$D:$D,$E34))</f>
        <v/>
      </c>
      <c r="C34">
        <f>IF($E34="","",INDEX('Input Transaksi'!$E:$E,$E34))</f>
        <v/>
      </c>
      <c r="D34" s="5">
        <f>IF($E34="","",INDEX('Input Transaksi'!$F:$F,$E34))</f>
        <v/>
      </c>
      <c r="E34">
        <f>IFERROR(AGGREGATE(15,6,ROW('Input Transaksi'!$B$5:$B$5000)/('Input Transaksi'!$B$5:$B$5000="JCL AYANI"),ROWS($E$5:E34)),"")</f>
        <v/>
      </c>
      <c r="F34" s="5" t="n"/>
    </row>
    <row r="35">
      <c r="A35" s="10">
        <f>IF($E35="","",INDEX('Input Transaksi'!$A:$A,$E35))</f>
        <v/>
      </c>
      <c r="B35" s="5">
        <f>IF($E35="","",INDEX('Input Transaksi'!$D:$D,$E35))</f>
        <v/>
      </c>
      <c r="C35">
        <f>IF($E35="","",INDEX('Input Transaksi'!$E:$E,$E35))</f>
        <v/>
      </c>
      <c r="D35" s="5">
        <f>IF($E35="","",INDEX('Input Transaksi'!$F:$F,$E35))</f>
        <v/>
      </c>
      <c r="E35">
        <f>IFERROR(AGGREGATE(15,6,ROW('Input Transaksi'!$B$5:$B$5000)/('Input Transaksi'!$B$5:$B$5000="JCL AYANI"),ROWS($E$5:E35)),"")</f>
        <v/>
      </c>
      <c r="F35" s="5" t="n"/>
    </row>
    <row r="36">
      <c r="A36" s="10">
        <f>IF($E36="","",INDEX('Input Transaksi'!$A:$A,$E36))</f>
        <v/>
      </c>
      <c r="B36" s="5">
        <f>IF($E36="","",INDEX('Input Transaksi'!$D:$D,$E36))</f>
        <v/>
      </c>
      <c r="C36">
        <f>IF($E36="","",INDEX('Input Transaksi'!$E:$E,$E36))</f>
        <v/>
      </c>
      <c r="D36" s="5">
        <f>IF($E36="","",INDEX('Input Transaksi'!$F:$F,$E36))</f>
        <v/>
      </c>
      <c r="E36">
        <f>IFERROR(AGGREGATE(15,6,ROW('Input Transaksi'!$B$5:$B$5000)/('Input Transaksi'!$B$5:$B$5000="JCL AYANI"),ROWS($E$5:E36)),"")</f>
        <v/>
      </c>
      <c r="F36" s="5" t="n"/>
    </row>
    <row r="37">
      <c r="A37" s="10">
        <f>IF($E37="","",INDEX('Input Transaksi'!$A:$A,$E37))</f>
        <v/>
      </c>
      <c r="B37" s="5">
        <f>IF($E37="","",INDEX('Input Transaksi'!$D:$D,$E37))</f>
        <v/>
      </c>
      <c r="C37">
        <f>IF($E37="","",INDEX('Input Transaksi'!$E:$E,$E37))</f>
        <v/>
      </c>
      <c r="D37" s="5">
        <f>IF($E37="","",INDEX('Input Transaksi'!$F:$F,$E37))</f>
        <v/>
      </c>
      <c r="E37">
        <f>IFERROR(AGGREGATE(15,6,ROW('Input Transaksi'!$B$5:$B$5000)/('Input Transaksi'!$B$5:$B$5000="JCL AYANI"),ROWS($E$5:E37)),"")</f>
        <v/>
      </c>
      <c r="F37" s="5" t="n"/>
    </row>
    <row r="38">
      <c r="A38" s="10">
        <f>IF($E38="","",INDEX('Input Transaksi'!$A:$A,$E38))</f>
        <v/>
      </c>
      <c r="B38" s="5">
        <f>IF($E38="","",INDEX('Input Transaksi'!$D:$D,$E38))</f>
        <v/>
      </c>
      <c r="C38">
        <f>IF($E38="","",INDEX('Input Transaksi'!$E:$E,$E38))</f>
        <v/>
      </c>
      <c r="D38" s="5">
        <f>IF($E38="","",INDEX('Input Transaksi'!$F:$F,$E38))</f>
        <v/>
      </c>
      <c r="E38">
        <f>IFERROR(AGGREGATE(15,6,ROW('Input Transaksi'!$B$5:$B$5000)/('Input Transaksi'!$B$5:$B$5000="JCL AYANI"),ROWS($E$5:E38)),"")</f>
        <v/>
      </c>
      <c r="F38" s="5" t="n"/>
    </row>
    <row r="39">
      <c r="A39" s="10">
        <f>IF($E39="","",INDEX('Input Transaksi'!$A:$A,$E39))</f>
        <v/>
      </c>
      <c r="B39" s="5">
        <f>IF($E39="","",INDEX('Input Transaksi'!$D:$D,$E39))</f>
        <v/>
      </c>
      <c r="C39">
        <f>IF($E39="","",INDEX('Input Transaksi'!$E:$E,$E39))</f>
        <v/>
      </c>
      <c r="D39" s="5">
        <f>IF($E39="","",INDEX('Input Transaksi'!$F:$F,$E39))</f>
        <v/>
      </c>
      <c r="E39">
        <f>IFERROR(AGGREGATE(15,6,ROW('Input Transaksi'!$B$5:$B$5000)/('Input Transaksi'!$B$5:$B$5000="JCL AYANI"),ROWS($E$5:E39)),"")</f>
        <v/>
      </c>
      <c r="F39" s="5" t="n"/>
    </row>
    <row r="40">
      <c r="A40" s="10">
        <f>IF($E40="","",INDEX('Input Transaksi'!$A:$A,$E40))</f>
        <v/>
      </c>
      <c r="B40" s="5">
        <f>IF($E40="","",INDEX('Input Transaksi'!$D:$D,$E40))</f>
        <v/>
      </c>
      <c r="C40">
        <f>IF($E40="","",INDEX('Input Transaksi'!$E:$E,$E40))</f>
        <v/>
      </c>
      <c r="D40" s="5">
        <f>IF($E40="","",INDEX('Input Transaksi'!$F:$F,$E40))</f>
        <v/>
      </c>
      <c r="E40">
        <f>IFERROR(AGGREGATE(15,6,ROW('Input Transaksi'!$B$5:$B$5000)/('Input Transaksi'!$B$5:$B$5000="JCL AYANI"),ROWS($E$5:E40)),"")</f>
        <v/>
      </c>
      <c r="F40" s="5" t="n"/>
    </row>
    <row r="41">
      <c r="A41" s="10">
        <f>IF($E41="","",INDEX('Input Transaksi'!$A:$A,$E41))</f>
        <v/>
      </c>
      <c r="B41" s="5">
        <f>IF($E41="","",INDEX('Input Transaksi'!$D:$D,$E41))</f>
        <v/>
      </c>
      <c r="C41">
        <f>IF($E41="","",INDEX('Input Transaksi'!$E:$E,$E41))</f>
        <v/>
      </c>
      <c r="D41" s="5">
        <f>IF($E41="","",INDEX('Input Transaksi'!$F:$F,$E41))</f>
        <v/>
      </c>
      <c r="E41">
        <f>IFERROR(AGGREGATE(15,6,ROW('Input Transaksi'!$B$5:$B$5000)/('Input Transaksi'!$B$5:$B$5000="JCL AYANI"),ROWS($E$5:E41)),"")</f>
        <v/>
      </c>
      <c r="F41" s="5" t="n"/>
    </row>
    <row r="42">
      <c r="A42" s="10">
        <f>IF($E42="","",INDEX('Input Transaksi'!$A:$A,$E42))</f>
        <v/>
      </c>
      <c r="B42" s="5">
        <f>IF($E42="","",INDEX('Input Transaksi'!$D:$D,$E42))</f>
        <v/>
      </c>
      <c r="C42">
        <f>IF($E42="","",INDEX('Input Transaksi'!$E:$E,$E42))</f>
        <v/>
      </c>
      <c r="D42" s="5">
        <f>IF($E42="","",INDEX('Input Transaksi'!$F:$F,$E42))</f>
        <v/>
      </c>
      <c r="E42">
        <f>IFERROR(AGGREGATE(15,6,ROW('Input Transaksi'!$B$5:$B$5000)/('Input Transaksi'!$B$5:$B$5000="JCL AYANI"),ROWS($E$5:E42)),"")</f>
        <v/>
      </c>
      <c r="F42" s="5" t="n"/>
    </row>
    <row r="43">
      <c r="A43" s="10">
        <f>IF($E43="","",INDEX('Input Transaksi'!$A:$A,$E43))</f>
        <v/>
      </c>
      <c r="B43" s="5">
        <f>IF($E43="","",INDEX('Input Transaksi'!$D:$D,$E43))</f>
        <v/>
      </c>
      <c r="C43">
        <f>IF($E43="","",INDEX('Input Transaksi'!$E:$E,$E43))</f>
        <v/>
      </c>
      <c r="D43" s="5">
        <f>IF($E43="","",INDEX('Input Transaksi'!$F:$F,$E43))</f>
        <v/>
      </c>
      <c r="E43">
        <f>IFERROR(AGGREGATE(15,6,ROW('Input Transaksi'!$B$5:$B$5000)/('Input Transaksi'!$B$5:$B$5000="JCL AYANI"),ROWS($E$5:E43)),"")</f>
        <v/>
      </c>
      <c r="F43" s="5" t="n"/>
    </row>
    <row r="44">
      <c r="A44" s="10">
        <f>IF($E44="","",INDEX('Input Transaksi'!$A:$A,$E44))</f>
        <v/>
      </c>
      <c r="B44" s="5">
        <f>IF($E44="","",INDEX('Input Transaksi'!$D:$D,$E44))</f>
        <v/>
      </c>
      <c r="C44">
        <f>IF($E44="","",INDEX('Input Transaksi'!$E:$E,$E44))</f>
        <v/>
      </c>
      <c r="D44" s="5">
        <f>IF($E44="","",INDEX('Input Transaksi'!$F:$F,$E44))</f>
        <v/>
      </c>
      <c r="E44">
        <f>IFERROR(AGGREGATE(15,6,ROW('Input Transaksi'!$B$5:$B$5000)/('Input Transaksi'!$B$5:$B$5000="JCL AYANI"),ROWS($E$5:E44)),"")</f>
        <v/>
      </c>
      <c r="F44" s="5" t="n"/>
    </row>
    <row r="45">
      <c r="A45" s="10">
        <f>IF($E45="","",INDEX('Input Transaksi'!$A:$A,$E45))</f>
        <v/>
      </c>
      <c r="B45" s="5">
        <f>IF($E45="","",INDEX('Input Transaksi'!$D:$D,$E45))</f>
        <v/>
      </c>
      <c r="C45">
        <f>IF($E45="","",INDEX('Input Transaksi'!$E:$E,$E45))</f>
        <v/>
      </c>
      <c r="D45" s="5">
        <f>IF($E45="","",INDEX('Input Transaksi'!$F:$F,$E45))</f>
        <v/>
      </c>
      <c r="E45">
        <f>IFERROR(AGGREGATE(15,6,ROW('Input Transaksi'!$B$5:$B$5000)/('Input Transaksi'!$B$5:$B$5000="JCL AYANI"),ROWS($E$5:E45)),"")</f>
        <v/>
      </c>
      <c r="F45" s="5" t="n"/>
    </row>
    <row r="46">
      <c r="A46" s="10">
        <f>IF($E46="","",INDEX('Input Transaksi'!$A:$A,$E46))</f>
        <v/>
      </c>
      <c r="B46" s="5">
        <f>IF($E46="","",INDEX('Input Transaksi'!$D:$D,$E46))</f>
        <v/>
      </c>
      <c r="C46">
        <f>IF($E46="","",INDEX('Input Transaksi'!$E:$E,$E46))</f>
        <v/>
      </c>
      <c r="D46" s="5">
        <f>IF($E46="","",INDEX('Input Transaksi'!$F:$F,$E46))</f>
        <v/>
      </c>
      <c r="E46">
        <f>IFERROR(AGGREGATE(15,6,ROW('Input Transaksi'!$B$5:$B$5000)/('Input Transaksi'!$B$5:$B$5000="JCL AYANI"),ROWS($E$5:E46)),"")</f>
        <v/>
      </c>
      <c r="F46" s="5" t="n"/>
    </row>
    <row r="47">
      <c r="A47" s="10">
        <f>IF($E47="","",INDEX('Input Transaksi'!$A:$A,$E47))</f>
        <v/>
      </c>
      <c r="B47" s="5">
        <f>IF($E47="","",INDEX('Input Transaksi'!$D:$D,$E47))</f>
        <v/>
      </c>
      <c r="C47">
        <f>IF($E47="","",INDEX('Input Transaksi'!$E:$E,$E47))</f>
        <v/>
      </c>
      <c r="D47" s="5">
        <f>IF($E47="","",INDEX('Input Transaksi'!$F:$F,$E47))</f>
        <v/>
      </c>
      <c r="E47">
        <f>IFERROR(AGGREGATE(15,6,ROW('Input Transaksi'!$B$5:$B$5000)/('Input Transaksi'!$B$5:$B$5000="JCL AYANI"),ROWS($E$5:E47)),"")</f>
        <v/>
      </c>
      <c r="F47" s="5" t="n"/>
    </row>
    <row r="48">
      <c r="A48" s="10">
        <f>IF($E48="","",INDEX('Input Transaksi'!$A:$A,$E48))</f>
        <v/>
      </c>
      <c r="B48" s="5">
        <f>IF($E48="","",INDEX('Input Transaksi'!$D:$D,$E48))</f>
        <v/>
      </c>
      <c r="C48">
        <f>IF($E48="","",INDEX('Input Transaksi'!$E:$E,$E48))</f>
        <v/>
      </c>
      <c r="D48" s="5">
        <f>IF($E48="","",INDEX('Input Transaksi'!$F:$F,$E48))</f>
        <v/>
      </c>
      <c r="E48">
        <f>IFERROR(AGGREGATE(15,6,ROW('Input Transaksi'!$B$5:$B$5000)/('Input Transaksi'!$B$5:$B$5000="JCL AYANI"),ROWS($E$5:E48)),"")</f>
        <v/>
      </c>
      <c r="F48" s="5" t="n"/>
    </row>
    <row r="49">
      <c r="A49" s="10">
        <f>IF($E49="","",INDEX('Input Transaksi'!$A:$A,$E49))</f>
        <v/>
      </c>
      <c r="B49" s="5">
        <f>IF($E49="","",INDEX('Input Transaksi'!$D:$D,$E49))</f>
        <v/>
      </c>
      <c r="C49">
        <f>IF($E49="","",INDEX('Input Transaksi'!$E:$E,$E49))</f>
        <v/>
      </c>
      <c r="D49" s="5">
        <f>IF($E49="","",INDEX('Input Transaksi'!$F:$F,$E49))</f>
        <v/>
      </c>
      <c r="E49">
        <f>IFERROR(AGGREGATE(15,6,ROW('Input Transaksi'!$B$5:$B$5000)/('Input Transaksi'!$B$5:$B$5000="JCL AYANI"),ROWS($E$5:E49)),"")</f>
        <v/>
      </c>
      <c r="F49" s="5" t="n"/>
    </row>
    <row r="50">
      <c r="A50" s="10">
        <f>IF($E50="","",INDEX('Input Transaksi'!$A:$A,$E50))</f>
        <v/>
      </c>
      <c r="B50" s="5">
        <f>IF($E50="","",INDEX('Input Transaksi'!$D:$D,$E50))</f>
        <v/>
      </c>
      <c r="C50">
        <f>IF($E50="","",INDEX('Input Transaksi'!$E:$E,$E50))</f>
        <v/>
      </c>
      <c r="D50" s="5">
        <f>IF($E50="","",INDEX('Input Transaksi'!$F:$F,$E50))</f>
        <v/>
      </c>
      <c r="E50">
        <f>IFERROR(AGGREGATE(15,6,ROW('Input Transaksi'!$B$5:$B$5000)/('Input Transaksi'!$B$5:$B$5000="JCL AYANI"),ROWS($E$5:E50)),"")</f>
        <v/>
      </c>
      <c r="F50" s="5" t="n"/>
    </row>
    <row r="51">
      <c r="A51" s="10">
        <f>IF($E51="","",INDEX('Input Transaksi'!$A:$A,$E51))</f>
        <v/>
      </c>
      <c r="B51" s="5">
        <f>IF($E51="","",INDEX('Input Transaksi'!$D:$D,$E51))</f>
        <v/>
      </c>
      <c r="C51">
        <f>IF($E51="","",INDEX('Input Transaksi'!$E:$E,$E51))</f>
        <v/>
      </c>
      <c r="D51" s="5">
        <f>IF($E51="","",INDEX('Input Transaksi'!$F:$F,$E51))</f>
        <v/>
      </c>
      <c r="E51">
        <f>IFERROR(AGGREGATE(15,6,ROW('Input Transaksi'!$B$5:$B$5000)/('Input Transaksi'!$B$5:$B$5000="JCL AYANI"),ROWS($E$5:E51)),"")</f>
        <v/>
      </c>
      <c r="F51" s="5" t="n"/>
    </row>
    <row r="52">
      <c r="A52" s="10">
        <f>IF($E52="","",INDEX('Input Transaksi'!$A:$A,$E52))</f>
        <v/>
      </c>
      <c r="B52" s="5">
        <f>IF($E52="","",INDEX('Input Transaksi'!$D:$D,$E52))</f>
        <v/>
      </c>
      <c r="C52">
        <f>IF($E52="","",INDEX('Input Transaksi'!$E:$E,$E52))</f>
        <v/>
      </c>
      <c r="D52" s="5">
        <f>IF($E52="","",INDEX('Input Transaksi'!$F:$F,$E52))</f>
        <v/>
      </c>
      <c r="E52">
        <f>IFERROR(AGGREGATE(15,6,ROW('Input Transaksi'!$B$5:$B$5000)/('Input Transaksi'!$B$5:$B$5000="JCL AYANI"),ROWS($E$5:E52)),"")</f>
        <v/>
      </c>
      <c r="F52" s="5" t="n"/>
    </row>
    <row r="53">
      <c r="A53" s="10">
        <f>IF($E53="","",INDEX('Input Transaksi'!$A:$A,$E53))</f>
        <v/>
      </c>
      <c r="B53" s="5">
        <f>IF($E53="","",INDEX('Input Transaksi'!$D:$D,$E53))</f>
        <v/>
      </c>
      <c r="C53">
        <f>IF($E53="","",INDEX('Input Transaksi'!$E:$E,$E53))</f>
        <v/>
      </c>
      <c r="D53" s="5">
        <f>IF($E53="","",INDEX('Input Transaksi'!$F:$F,$E53))</f>
        <v/>
      </c>
      <c r="E53">
        <f>IFERROR(AGGREGATE(15,6,ROW('Input Transaksi'!$B$5:$B$5000)/('Input Transaksi'!$B$5:$B$5000="JCL AYANI"),ROWS($E$5:E53)),"")</f>
        <v/>
      </c>
      <c r="F53" s="5" t="n"/>
    </row>
    <row r="54">
      <c r="A54" s="10">
        <f>IF($E54="","",INDEX('Input Transaksi'!$A:$A,$E54))</f>
        <v/>
      </c>
      <c r="B54" s="5">
        <f>IF($E54="","",INDEX('Input Transaksi'!$D:$D,$E54))</f>
        <v/>
      </c>
      <c r="C54">
        <f>IF($E54="","",INDEX('Input Transaksi'!$E:$E,$E54))</f>
        <v/>
      </c>
      <c r="D54" s="5">
        <f>IF($E54="","",INDEX('Input Transaksi'!$F:$F,$E54))</f>
        <v/>
      </c>
      <c r="E54">
        <f>IFERROR(AGGREGATE(15,6,ROW('Input Transaksi'!$B$5:$B$5000)/('Input Transaksi'!$B$5:$B$5000="JCL AYANI"),ROWS($E$5:E54)),"")</f>
        <v/>
      </c>
      <c r="F54" s="5" t="n"/>
    </row>
    <row r="55">
      <c r="A55" s="10">
        <f>IF($E55="","",INDEX('Input Transaksi'!$A:$A,$E55))</f>
        <v/>
      </c>
      <c r="B55" s="5">
        <f>IF($E55="","",INDEX('Input Transaksi'!$D:$D,$E55))</f>
        <v/>
      </c>
      <c r="C55">
        <f>IF($E55="","",INDEX('Input Transaksi'!$E:$E,$E55))</f>
        <v/>
      </c>
      <c r="D55" s="5">
        <f>IF($E55="","",INDEX('Input Transaksi'!$F:$F,$E55))</f>
        <v/>
      </c>
      <c r="E55">
        <f>IFERROR(AGGREGATE(15,6,ROW('Input Transaksi'!$B$5:$B$5000)/('Input Transaksi'!$B$5:$B$5000="JCL AYANI"),ROWS($E$5:E55)),"")</f>
        <v/>
      </c>
      <c r="F55" s="5" t="n"/>
    </row>
    <row r="56">
      <c r="A56" s="10">
        <f>IF($E56="","",INDEX('Input Transaksi'!$A:$A,$E56))</f>
        <v/>
      </c>
      <c r="B56" s="5">
        <f>IF($E56="","",INDEX('Input Transaksi'!$D:$D,$E56))</f>
        <v/>
      </c>
      <c r="C56">
        <f>IF($E56="","",INDEX('Input Transaksi'!$E:$E,$E56))</f>
        <v/>
      </c>
      <c r="D56" s="5">
        <f>IF($E56="","",INDEX('Input Transaksi'!$F:$F,$E56))</f>
        <v/>
      </c>
      <c r="E56">
        <f>IFERROR(AGGREGATE(15,6,ROW('Input Transaksi'!$B$5:$B$5000)/('Input Transaksi'!$B$5:$B$5000="JCL AYANI"),ROWS($E$5:E56)),"")</f>
        <v/>
      </c>
      <c r="F56" s="5" t="n"/>
    </row>
    <row r="57">
      <c r="A57" s="10">
        <f>IF($E57="","",INDEX('Input Transaksi'!$A:$A,$E57))</f>
        <v/>
      </c>
      <c r="B57" s="5">
        <f>IF($E57="","",INDEX('Input Transaksi'!$D:$D,$E57))</f>
        <v/>
      </c>
      <c r="C57">
        <f>IF($E57="","",INDEX('Input Transaksi'!$E:$E,$E57))</f>
        <v/>
      </c>
      <c r="D57" s="5">
        <f>IF($E57="","",INDEX('Input Transaksi'!$F:$F,$E57))</f>
        <v/>
      </c>
      <c r="E57">
        <f>IFERROR(AGGREGATE(15,6,ROW('Input Transaksi'!$B$5:$B$5000)/('Input Transaksi'!$B$5:$B$5000="JCL AYANI"),ROWS($E$5:E57)),"")</f>
        <v/>
      </c>
      <c r="F57" s="5" t="n"/>
    </row>
    <row r="58">
      <c r="A58" s="10">
        <f>IF($E58="","",INDEX('Input Transaksi'!$A:$A,$E58))</f>
        <v/>
      </c>
      <c r="B58" s="5">
        <f>IF($E58="","",INDEX('Input Transaksi'!$D:$D,$E58))</f>
        <v/>
      </c>
      <c r="C58">
        <f>IF($E58="","",INDEX('Input Transaksi'!$E:$E,$E58))</f>
        <v/>
      </c>
      <c r="D58" s="5">
        <f>IF($E58="","",INDEX('Input Transaksi'!$F:$F,$E58))</f>
        <v/>
      </c>
      <c r="E58">
        <f>IFERROR(AGGREGATE(15,6,ROW('Input Transaksi'!$B$5:$B$5000)/('Input Transaksi'!$B$5:$B$5000="JCL AYANI"),ROWS($E$5:E58)),"")</f>
        <v/>
      </c>
      <c r="F58" s="5" t="n"/>
    </row>
    <row r="59">
      <c r="A59" s="10">
        <f>IF($E59="","",INDEX('Input Transaksi'!$A:$A,$E59))</f>
        <v/>
      </c>
      <c r="B59" s="5">
        <f>IF($E59="","",INDEX('Input Transaksi'!$D:$D,$E59))</f>
        <v/>
      </c>
      <c r="C59">
        <f>IF($E59="","",INDEX('Input Transaksi'!$E:$E,$E59))</f>
        <v/>
      </c>
      <c r="D59" s="5">
        <f>IF($E59="","",INDEX('Input Transaksi'!$F:$F,$E59))</f>
        <v/>
      </c>
      <c r="E59">
        <f>IFERROR(AGGREGATE(15,6,ROW('Input Transaksi'!$B$5:$B$5000)/('Input Transaksi'!$B$5:$B$5000="JCL AYANI"),ROWS($E$5:E59)),"")</f>
        <v/>
      </c>
      <c r="F59" s="5" t="n"/>
    </row>
    <row r="60">
      <c r="A60" s="10">
        <f>IF($E60="","",INDEX('Input Transaksi'!$A:$A,$E60))</f>
        <v/>
      </c>
      <c r="B60" s="5">
        <f>IF($E60="","",INDEX('Input Transaksi'!$D:$D,$E60))</f>
        <v/>
      </c>
      <c r="C60">
        <f>IF($E60="","",INDEX('Input Transaksi'!$E:$E,$E60))</f>
        <v/>
      </c>
      <c r="D60" s="5">
        <f>IF($E60="","",INDEX('Input Transaksi'!$F:$F,$E60))</f>
        <v/>
      </c>
      <c r="E60">
        <f>IFERROR(AGGREGATE(15,6,ROW('Input Transaksi'!$B$5:$B$5000)/('Input Transaksi'!$B$5:$B$5000="JCL AYANI"),ROWS($E$5:E60)),"")</f>
        <v/>
      </c>
      <c r="F60" s="5" t="n"/>
    </row>
    <row r="61">
      <c r="A61" s="10">
        <f>IF($E61="","",INDEX('Input Transaksi'!$A:$A,$E61))</f>
        <v/>
      </c>
      <c r="B61" s="5">
        <f>IF($E61="","",INDEX('Input Transaksi'!$D:$D,$E61))</f>
        <v/>
      </c>
      <c r="C61">
        <f>IF($E61="","",INDEX('Input Transaksi'!$E:$E,$E61))</f>
        <v/>
      </c>
      <c r="D61" s="5">
        <f>IF($E61="","",INDEX('Input Transaksi'!$F:$F,$E61))</f>
        <v/>
      </c>
      <c r="E61">
        <f>IFERROR(AGGREGATE(15,6,ROW('Input Transaksi'!$B$5:$B$5000)/('Input Transaksi'!$B$5:$B$5000="JCL AYANI"),ROWS($E$5:E61)),"")</f>
        <v/>
      </c>
      <c r="F61" s="5" t="n"/>
    </row>
    <row r="62">
      <c r="A62" s="10">
        <f>IF($E62="","",INDEX('Input Transaksi'!$A:$A,$E62))</f>
        <v/>
      </c>
      <c r="B62" s="5">
        <f>IF($E62="","",INDEX('Input Transaksi'!$D:$D,$E62))</f>
        <v/>
      </c>
      <c r="C62">
        <f>IF($E62="","",INDEX('Input Transaksi'!$E:$E,$E62))</f>
        <v/>
      </c>
      <c r="D62" s="5">
        <f>IF($E62="","",INDEX('Input Transaksi'!$F:$F,$E62))</f>
        <v/>
      </c>
      <c r="E62">
        <f>IFERROR(AGGREGATE(15,6,ROW('Input Transaksi'!$B$5:$B$5000)/('Input Transaksi'!$B$5:$B$5000="JCL AYANI"),ROWS($E$5:E62)),"")</f>
        <v/>
      </c>
      <c r="F62" s="5" t="n"/>
    </row>
    <row r="63">
      <c r="A63" s="10">
        <f>IF($E63="","",INDEX('Input Transaksi'!$A:$A,$E63))</f>
        <v/>
      </c>
      <c r="B63" s="5">
        <f>IF($E63="","",INDEX('Input Transaksi'!$D:$D,$E63))</f>
        <v/>
      </c>
      <c r="C63">
        <f>IF($E63="","",INDEX('Input Transaksi'!$E:$E,$E63))</f>
        <v/>
      </c>
      <c r="D63" s="5">
        <f>IF($E63="","",INDEX('Input Transaksi'!$F:$F,$E63))</f>
        <v/>
      </c>
      <c r="E63">
        <f>IFERROR(AGGREGATE(15,6,ROW('Input Transaksi'!$B$5:$B$5000)/('Input Transaksi'!$B$5:$B$5000="JCL AYANI"),ROWS($E$5:E63)),"")</f>
        <v/>
      </c>
      <c r="F63" s="5" t="n"/>
    </row>
    <row r="64">
      <c r="A64" s="10">
        <f>IF($E64="","",INDEX('Input Transaksi'!$A:$A,$E64))</f>
        <v/>
      </c>
      <c r="B64" s="5">
        <f>IF($E64="","",INDEX('Input Transaksi'!$D:$D,$E64))</f>
        <v/>
      </c>
      <c r="C64">
        <f>IF($E64="","",INDEX('Input Transaksi'!$E:$E,$E64))</f>
        <v/>
      </c>
      <c r="D64" s="5">
        <f>IF($E64="","",INDEX('Input Transaksi'!$F:$F,$E64))</f>
        <v/>
      </c>
      <c r="E64">
        <f>IFERROR(AGGREGATE(15,6,ROW('Input Transaksi'!$B$5:$B$5000)/('Input Transaksi'!$B$5:$B$5000="JCL AYANI"),ROWS($E$5:E64)),"")</f>
        <v/>
      </c>
      <c r="F64" s="5" t="n"/>
    </row>
    <row r="65">
      <c r="A65" s="10">
        <f>IF($E65="","",INDEX('Input Transaksi'!$A:$A,$E65))</f>
        <v/>
      </c>
      <c r="B65" s="5">
        <f>IF($E65="","",INDEX('Input Transaksi'!$D:$D,$E65))</f>
        <v/>
      </c>
      <c r="C65">
        <f>IF($E65="","",INDEX('Input Transaksi'!$E:$E,$E65))</f>
        <v/>
      </c>
      <c r="D65" s="5">
        <f>IF($E65="","",INDEX('Input Transaksi'!$F:$F,$E65))</f>
        <v/>
      </c>
      <c r="E65">
        <f>IFERROR(AGGREGATE(15,6,ROW('Input Transaksi'!$B$5:$B$5000)/('Input Transaksi'!$B$5:$B$5000="JCL AYANI"),ROWS($E$5:E65)),"")</f>
        <v/>
      </c>
      <c r="F65" s="5" t="n"/>
    </row>
    <row r="66">
      <c r="A66" s="10">
        <f>IF($E66="","",INDEX('Input Transaksi'!$A:$A,$E66))</f>
        <v/>
      </c>
      <c r="B66" s="5">
        <f>IF($E66="","",INDEX('Input Transaksi'!$D:$D,$E66))</f>
        <v/>
      </c>
      <c r="C66">
        <f>IF($E66="","",INDEX('Input Transaksi'!$E:$E,$E66))</f>
        <v/>
      </c>
      <c r="D66" s="5">
        <f>IF($E66="","",INDEX('Input Transaksi'!$F:$F,$E66))</f>
        <v/>
      </c>
      <c r="E66">
        <f>IFERROR(AGGREGATE(15,6,ROW('Input Transaksi'!$B$5:$B$5000)/('Input Transaksi'!$B$5:$B$5000="JCL AYANI"),ROWS($E$5:E66)),"")</f>
        <v/>
      </c>
      <c r="F66" s="5" t="n"/>
    </row>
    <row r="67">
      <c r="A67" s="10">
        <f>IF($E67="","",INDEX('Input Transaksi'!$A:$A,$E67))</f>
        <v/>
      </c>
      <c r="B67" s="5">
        <f>IF($E67="","",INDEX('Input Transaksi'!$D:$D,$E67))</f>
        <v/>
      </c>
      <c r="C67">
        <f>IF($E67="","",INDEX('Input Transaksi'!$E:$E,$E67))</f>
        <v/>
      </c>
      <c r="D67" s="5">
        <f>IF($E67="","",INDEX('Input Transaksi'!$F:$F,$E67))</f>
        <v/>
      </c>
      <c r="E67">
        <f>IFERROR(AGGREGATE(15,6,ROW('Input Transaksi'!$B$5:$B$5000)/('Input Transaksi'!$B$5:$B$5000="JCL AYANI"),ROWS($E$5:E67)),"")</f>
        <v/>
      </c>
      <c r="F67" s="5" t="n"/>
    </row>
    <row r="68">
      <c r="A68" s="10">
        <f>IF($E68="","",INDEX('Input Transaksi'!$A:$A,$E68))</f>
        <v/>
      </c>
      <c r="B68" s="5">
        <f>IF($E68="","",INDEX('Input Transaksi'!$D:$D,$E68))</f>
        <v/>
      </c>
      <c r="C68">
        <f>IF($E68="","",INDEX('Input Transaksi'!$E:$E,$E68))</f>
        <v/>
      </c>
      <c r="D68" s="5">
        <f>IF($E68="","",INDEX('Input Transaksi'!$F:$F,$E68))</f>
        <v/>
      </c>
      <c r="E68">
        <f>IFERROR(AGGREGATE(15,6,ROW('Input Transaksi'!$B$5:$B$5000)/('Input Transaksi'!$B$5:$B$5000="JCL AYANI"),ROWS($E$5:E68)),"")</f>
        <v/>
      </c>
      <c r="F68" s="5" t="n"/>
    </row>
    <row r="69">
      <c r="A69" s="10">
        <f>IF($E69="","",INDEX('Input Transaksi'!$A:$A,$E69))</f>
        <v/>
      </c>
      <c r="B69" s="5">
        <f>IF($E69="","",INDEX('Input Transaksi'!$D:$D,$E69))</f>
        <v/>
      </c>
      <c r="C69">
        <f>IF($E69="","",INDEX('Input Transaksi'!$E:$E,$E69))</f>
        <v/>
      </c>
      <c r="D69" s="5">
        <f>IF($E69="","",INDEX('Input Transaksi'!$F:$F,$E69))</f>
        <v/>
      </c>
      <c r="E69">
        <f>IFERROR(AGGREGATE(15,6,ROW('Input Transaksi'!$B$5:$B$5000)/('Input Transaksi'!$B$5:$B$5000="JCL AYANI"),ROWS($E$5:E69)),"")</f>
        <v/>
      </c>
      <c r="F69" s="5" t="n"/>
    </row>
    <row r="70">
      <c r="A70" s="10">
        <f>IF($E70="","",INDEX('Input Transaksi'!$A:$A,$E70))</f>
        <v/>
      </c>
      <c r="B70" s="5">
        <f>IF($E70="","",INDEX('Input Transaksi'!$D:$D,$E70))</f>
        <v/>
      </c>
      <c r="C70">
        <f>IF($E70="","",INDEX('Input Transaksi'!$E:$E,$E70))</f>
        <v/>
      </c>
      <c r="D70" s="5">
        <f>IF($E70="","",INDEX('Input Transaksi'!$F:$F,$E70))</f>
        <v/>
      </c>
      <c r="E70">
        <f>IFERROR(AGGREGATE(15,6,ROW('Input Transaksi'!$B$5:$B$5000)/('Input Transaksi'!$B$5:$B$5000="JCL AYANI"),ROWS($E$5:E70)),"")</f>
        <v/>
      </c>
      <c r="F70" s="5" t="n"/>
    </row>
    <row r="71">
      <c r="A71" s="10">
        <f>IF($E71="","",INDEX('Input Transaksi'!$A:$A,$E71))</f>
        <v/>
      </c>
      <c r="B71" s="5">
        <f>IF($E71="","",INDEX('Input Transaksi'!$D:$D,$E71))</f>
        <v/>
      </c>
      <c r="C71">
        <f>IF($E71="","",INDEX('Input Transaksi'!$E:$E,$E71))</f>
        <v/>
      </c>
      <c r="D71" s="5">
        <f>IF($E71="","",INDEX('Input Transaksi'!$F:$F,$E71))</f>
        <v/>
      </c>
      <c r="E71">
        <f>IFERROR(AGGREGATE(15,6,ROW('Input Transaksi'!$B$5:$B$5000)/('Input Transaksi'!$B$5:$B$5000="JCL AYANI"),ROWS($E$5:E71)),"")</f>
        <v/>
      </c>
      <c r="F71" s="5" t="n"/>
    </row>
    <row r="72">
      <c r="A72" s="10">
        <f>IF($E72="","",INDEX('Input Transaksi'!$A:$A,$E72))</f>
        <v/>
      </c>
      <c r="B72" s="5">
        <f>IF($E72="","",INDEX('Input Transaksi'!$D:$D,$E72))</f>
        <v/>
      </c>
      <c r="C72">
        <f>IF($E72="","",INDEX('Input Transaksi'!$E:$E,$E72))</f>
        <v/>
      </c>
      <c r="D72" s="5">
        <f>IF($E72="","",INDEX('Input Transaksi'!$F:$F,$E72))</f>
        <v/>
      </c>
      <c r="E72">
        <f>IFERROR(AGGREGATE(15,6,ROW('Input Transaksi'!$B$5:$B$5000)/('Input Transaksi'!$B$5:$B$5000="JCL AYANI"),ROWS($E$5:E72)),"")</f>
        <v/>
      </c>
      <c r="F72" s="5" t="n"/>
    </row>
    <row r="73">
      <c r="A73" s="10">
        <f>IF($E73="","",INDEX('Input Transaksi'!$A:$A,$E73))</f>
        <v/>
      </c>
      <c r="B73" s="5">
        <f>IF($E73="","",INDEX('Input Transaksi'!$D:$D,$E73))</f>
        <v/>
      </c>
      <c r="C73">
        <f>IF($E73="","",INDEX('Input Transaksi'!$E:$E,$E73))</f>
        <v/>
      </c>
      <c r="D73" s="5">
        <f>IF($E73="","",INDEX('Input Transaksi'!$F:$F,$E73))</f>
        <v/>
      </c>
      <c r="E73">
        <f>IFERROR(AGGREGATE(15,6,ROW('Input Transaksi'!$B$5:$B$5000)/('Input Transaksi'!$B$5:$B$5000="JCL AYANI"),ROWS($E$5:E73)),"")</f>
        <v/>
      </c>
      <c r="F73" s="5" t="n"/>
    </row>
    <row r="74">
      <c r="A74" s="10">
        <f>IF($E74="","",INDEX('Input Transaksi'!$A:$A,$E74))</f>
        <v/>
      </c>
      <c r="B74" s="5">
        <f>IF($E74="","",INDEX('Input Transaksi'!$D:$D,$E74))</f>
        <v/>
      </c>
      <c r="C74">
        <f>IF($E74="","",INDEX('Input Transaksi'!$E:$E,$E74))</f>
        <v/>
      </c>
      <c r="D74" s="5">
        <f>IF($E74="","",INDEX('Input Transaksi'!$F:$F,$E74))</f>
        <v/>
      </c>
      <c r="E74">
        <f>IFERROR(AGGREGATE(15,6,ROW('Input Transaksi'!$B$5:$B$5000)/('Input Transaksi'!$B$5:$B$5000="JCL AYANI"),ROWS($E$5:E74)),"")</f>
        <v/>
      </c>
      <c r="F74" s="5" t="n"/>
    </row>
    <row r="75">
      <c r="A75" s="10">
        <f>IF($E75="","",INDEX('Input Transaksi'!$A:$A,$E75))</f>
        <v/>
      </c>
      <c r="B75" s="5">
        <f>IF($E75="","",INDEX('Input Transaksi'!$D:$D,$E75))</f>
        <v/>
      </c>
      <c r="C75">
        <f>IF($E75="","",INDEX('Input Transaksi'!$E:$E,$E75))</f>
        <v/>
      </c>
      <c r="D75" s="5">
        <f>IF($E75="","",INDEX('Input Transaksi'!$F:$F,$E75))</f>
        <v/>
      </c>
      <c r="E75">
        <f>IFERROR(AGGREGATE(15,6,ROW('Input Transaksi'!$B$5:$B$5000)/('Input Transaksi'!$B$5:$B$5000="JCL AYANI"),ROWS($E$5:E75)),"")</f>
        <v/>
      </c>
      <c r="F75" s="5" t="n"/>
    </row>
    <row r="76">
      <c r="A76" s="10">
        <f>IF($E76="","",INDEX('Input Transaksi'!$A:$A,$E76))</f>
        <v/>
      </c>
      <c r="B76" s="5">
        <f>IF($E76="","",INDEX('Input Transaksi'!$D:$D,$E76))</f>
        <v/>
      </c>
      <c r="C76">
        <f>IF($E76="","",INDEX('Input Transaksi'!$E:$E,$E76))</f>
        <v/>
      </c>
      <c r="D76" s="5">
        <f>IF($E76="","",INDEX('Input Transaksi'!$F:$F,$E76))</f>
        <v/>
      </c>
      <c r="E76">
        <f>IFERROR(AGGREGATE(15,6,ROW('Input Transaksi'!$B$5:$B$5000)/('Input Transaksi'!$B$5:$B$5000="JCL AYANI"),ROWS($E$5:E76)),"")</f>
        <v/>
      </c>
      <c r="F76" s="5" t="n"/>
    </row>
    <row r="77">
      <c r="A77" s="10">
        <f>IF($E77="","",INDEX('Input Transaksi'!$A:$A,$E77))</f>
        <v/>
      </c>
      <c r="B77" s="5">
        <f>IF($E77="","",INDEX('Input Transaksi'!$D:$D,$E77))</f>
        <v/>
      </c>
      <c r="C77">
        <f>IF($E77="","",INDEX('Input Transaksi'!$E:$E,$E77))</f>
        <v/>
      </c>
      <c r="D77" s="5">
        <f>IF($E77="","",INDEX('Input Transaksi'!$F:$F,$E77))</f>
        <v/>
      </c>
      <c r="E77">
        <f>IFERROR(AGGREGATE(15,6,ROW('Input Transaksi'!$B$5:$B$5000)/('Input Transaksi'!$B$5:$B$5000="JCL AYANI"),ROWS($E$5:E77)),"")</f>
        <v/>
      </c>
      <c r="F77" s="5" t="n"/>
    </row>
    <row r="78">
      <c r="A78" s="10">
        <f>IF($E78="","",INDEX('Input Transaksi'!$A:$A,$E78))</f>
        <v/>
      </c>
      <c r="B78" s="5">
        <f>IF($E78="","",INDEX('Input Transaksi'!$D:$D,$E78))</f>
        <v/>
      </c>
      <c r="C78">
        <f>IF($E78="","",INDEX('Input Transaksi'!$E:$E,$E78))</f>
        <v/>
      </c>
      <c r="D78" s="5">
        <f>IF($E78="","",INDEX('Input Transaksi'!$F:$F,$E78))</f>
        <v/>
      </c>
      <c r="E78">
        <f>IFERROR(AGGREGATE(15,6,ROW('Input Transaksi'!$B$5:$B$5000)/('Input Transaksi'!$B$5:$B$5000="JCL AYANI"),ROWS($E$5:E78)),"")</f>
        <v/>
      </c>
      <c r="F78" s="5" t="n"/>
    </row>
    <row r="79">
      <c r="A79" s="10">
        <f>IF($E79="","",INDEX('Input Transaksi'!$A:$A,$E79))</f>
        <v/>
      </c>
      <c r="B79" s="5">
        <f>IF($E79="","",INDEX('Input Transaksi'!$D:$D,$E79))</f>
        <v/>
      </c>
      <c r="C79">
        <f>IF($E79="","",INDEX('Input Transaksi'!$E:$E,$E79))</f>
        <v/>
      </c>
      <c r="D79" s="5">
        <f>IF($E79="","",INDEX('Input Transaksi'!$F:$F,$E79))</f>
        <v/>
      </c>
      <c r="E79">
        <f>IFERROR(AGGREGATE(15,6,ROW('Input Transaksi'!$B$5:$B$5000)/('Input Transaksi'!$B$5:$B$5000="JCL AYANI"),ROWS($E$5:E79)),"")</f>
        <v/>
      </c>
      <c r="F79" s="5" t="n"/>
    </row>
    <row r="80">
      <c r="A80" s="10">
        <f>IF($E80="","",INDEX('Input Transaksi'!$A:$A,$E80))</f>
        <v/>
      </c>
      <c r="B80" s="5">
        <f>IF($E80="","",INDEX('Input Transaksi'!$D:$D,$E80))</f>
        <v/>
      </c>
      <c r="C80">
        <f>IF($E80="","",INDEX('Input Transaksi'!$E:$E,$E80))</f>
        <v/>
      </c>
      <c r="D80" s="5">
        <f>IF($E80="","",INDEX('Input Transaksi'!$F:$F,$E80))</f>
        <v/>
      </c>
      <c r="E80">
        <f>IFERROR(AGGREGATE(15,6,ROW('Input Transaksi'!$B$5:$B$5000)/('Input Transaksi'!$B$5:$B$5000="JCL AYANI"),ROWS($E$5:E80)),"")</f>
        <v/>
      </c>
      <c r="F80" s="5" t="n"/>
    </row>
    <row r="81">
      <c r="A81" s="10">
        <f>IF($E81="","",INDEX('Input Transaksi'!$A:$A,$E81))</f>
        <v/>
      </c>
      <c r="B81" s="5">
        <f>IF($E81="","",INDEX('Input Transaksi'!$D:$D,$E81))</f>
        <v/>
      </c>
      <c r="C81">
        <f>IF($E81="","",INDEX('Input Transaksi'!$E:$E,$E81))</f>
        <v/>
      </c>
      <c r="D81" s="5">
        <f>IF($E81="","",INDEX('Input Transaksi'!$F:$F,$E81))</f>
        <v/>
      </c>
      <c r="E81">
        <f>IFERROR(AGGREGATE(15,6,ROW('Input Transaksi'!$B$5:$B$5000)/('Input Transaksi'!$B$5:$B$5000="JCL AYANI"),ROWS($E$5:E81)),"")</f>
        <v/>
      </c>
      <c r="F81" s="5" t="n"/>
    </row>
    <row r="82">
      <c r="A82" s="10">
        <f>IF($E82="","",INDEX('Input Transaksi'!$A:$A,$E82))</f>
        <v/>
      </c>
      <c r="B82" s="5">
        <f>IF($E82="","",INDEX('Input Transaksi'!$D:$D,$E82))</f>
        <v/>
      </c>
      <c r="C82">
        <f>IF($E82="","",INDEX('Input Transaksi'!$E:$E,$E82))</f>
        <v/>
      </c>
      <c r="D82" s="5">
        <f>IF($E82="","",INDEX('Input Transaksi'!$F:$F,$E82))</f>
        <v/>
      </c>
      <c r="E82">
        <f>IFERROR(AGGREGATE(15,6,ROW('Input Transaksi'!$B$5:$B$5000)/('Input Transaksi'!$B$5:$B$5000="JCL AYANI"),ROWS($E$5:E82)),"")</f>
        <v/>
      </c>
      <c r="F82" s="5" t="n"/>
    </row>
    <row r="83">
      <c r="A83" s="10">
        <f>IF($E83="","",INDEX('Input Transaksi'!$A:$A,$E83))</f>
        <v/>
      </c>
      <c r="B83" s="5">
        <f>IF($E83="","",INDEX('Input Transaksi'!$D:$D,$E83))</f>
        <v/>
      </c>
      <c r="C83">
        <f>IF($E83="","",INDEX('Input Transaksi'!$E:$E,$E83))</f>
        <v/>
      </c>
      <c r="D83" s="5">
        <f>IF($E83="","",INDEX('Input Transaksi'!$F:$F,$E83))</f>
        <v/>
      </c>
      <c r="E83">
        <f>IFERROR(AGGREGATE(15,6,ROW('Input Transaksi'!$B$5:$B$5000)/('Input Transaksi'!$B$5:$B$5000="JCL AYANI"),ROWS($E$5:E83)),"")</f>
        <v/>
      </c>
      <c r="F83" s="5" t="n"/>
    </row>
    <row r="84">
      <c r="A84" s="10">
        <f>IF($E84="","",INDEX('Input Transaksi'!$A:$A,$E84))</f>
        <v/>
      </c>
      <c r="B84" s="5">
        <f>IF($E84="","",INDEX('Input Transaksi'!$D:$D,$E84))</f>
        <v/>
      </c>
      <c r="C84">
        <f>IF($E84="","",INDEX('Input Transaksi'!$E:$E,$E84))</f>
        <v/>
      </c>
      <c r="D84" s="5">
        <f>IF($E84="","",INDEX('Input Transaksi'!$F:$F,$E84))</f>
        <v/>
      </c>
      <c r="E84">
        <f>IFERROR(AGGREGATE(15,6,ROW('Input Transaksi'!$B$5:$B$5000)/('Input Transaksi'!$B$5:$B$5000="JCL AYANI"),ROWS($E$5:E84)),"")</f>
        <v/>
      </c>
      <c r="F84" s="5" t="n"/>
    </row>
    <row r="85">
      <c r="A85" s="10">
        <f>IF($E85="","",INDEX('Input Transaksi'!$A:$A,$E85))</f>
        <v/>
      </c>
      <c r="B85" s="5">
        <f>IF($E85="","",INDEX('Input Transaksi'!$D:$D,$E85))</f>
        <v/>
      </c>
      <c r="C85">
        <f>IF($E85="","",INDEX('Input Transaksi'!$E:$E,$E85))</f>
        <v/>
      </c>
      <c r="D85" s="5">
        <f>IF($E85="","",INDEX('Input Transaksi'!$F:$F,$E85))</f>
        <v/>
      </c>
      <c r="E85">
        <f>IFERROR(AGGREGATE(15,6,ROW('Input Transaksi'!$B$5:$B$5000)/('Input Transaksi'!$B$5:$B$5000="JCL AYANI"),ROWS($E$5:E85)),"")</f>
        <v/>
      </c>
      <c r="F85" s="5" t="n"/>
    </row>
    <row r="86">
      <c r="A86" s="10">
        <f>IF($E86="","",INDEX('Input Transaksi'!$A:$A,$E86))</f>
        <v/>
      </c>
      <c r="B86" s="5">
        <f>IF($E86="","",INDEX('Input Transaksi'!$D:$D,$E86))</f>
        <v/>
      </c>
      <c r="C86">
        <f>IF($E86="","",INDEX('Input Transaksi'!$E:$E,$E86))</f>
        <v/>
      </c>
      <c r="D86" s="5">
        <f>IF($E86="","",INDEX('Input Transaksi'!$F:$F,$E86))</f>
        <v/>
      </c>
      <c r="E86">
        <f>IFERROR(AGGREGATE(15,6,ROW('Input Transaksi'!$B$5:$B$5000)/('Input Transaksi'!$B$5:$B$5000="JCL AYANI"),ROWS($E$5:E86)),"")</f>
        <v/>
      </c>
      <c r="F86" s="5" t="n"/>
    </row>
    <row r="87">
      <c r="A87" s="10">
        <f>IF($E87="","",INDEX('Input Transaksi'!$A:$A,$E87))</f>
        <v/>
      </c>
      <c r="B87" s="5">
        <f>IF($E87="","",INDEX('Input Transaksi'!$D:$D,$E87))</f>
        <v/>
      </c>
      <c r="C87">
        <f>IF($E87="","",INDEX('Input Transaksi'!$E:$E,$E87))</f>
        <v/>
      </c>
      <c r="D87" s="5">
        <f>IF($E87="","",INDEX('Input Transaksi'!$F:$F,$E87))</f>
        <v/>
      </c>
      <c r="E87">
        <f>IFERROR(AGGREGATE(15,6,ROW('Input Transaksi'!$B$5:$B$5000)/('Input Transaksi'!$B$5:$B$5000="JCL AYANI"),ROWS($E$5:E87)),"")</f>
        <v/>
      </c>
      <c r="F87" s="5" t="n"/>
    </row>
    <row r="88">
      <c r="A88" s="10">
        <f>IF($E88="","",INDEX('Input Transaksi'!$A:$A,$E88))</f>
        <v/>
      </c>
      <c r="B88" s="5">
        <f>IF($E88="","",INDEX('Input Transaksi'!$D:$D,$E88))</f>
        <v/>
      </c>
      <c r="C88">
        <f>IF($E88="","",INDEX('Input Transaksi'!$E:$E,$E88))</f>
        <v/>
      </c>
      <c r="D88" s="5">
        <f>IF($E88="","",INDEX('Input Transaksi'!$F:$F,$E88))</f>
        <v/>
      </c>
      <c r="E88">
        <f>IFERROR(AGGREGATE(15,6,ROW('Input Transaksi'!$B$5:$B$5000)/('Input Transaksi'!$B$5:$B$5000="JCL AYANI"),ROWS($E$5:E88)),"")</f>
        <v/>
      </c>
      <c r="F88" s="5" t="n"/>
    </row>
    <row r="89">
      <c r="A89" s="10">
        <f>IF($E89="","",INDEX('Input Transaksi'!$A:$A,$E89))</f>
        <v/>
      </c>
      <c r="B89" s="5">
        <f>IF($E89="","",INDEX('Input Transaksi'!$D:$D,$E89))</f>
        <v/>
      </c>
      <c r="C89">
        <f>IF($E89="","",INDEX('Input Transaksi'!$E:$E,$E89))</f>
        <v/>
      </c>
      <c r="D89" s="5">
        <f>IF($E89="","",INDEX('Input Transaksi'!$F:$F,$E89))</f>
        <v/>
      </c>
      <c r="E89">
        <f>IFERROR(AGGREGATE(15,6,ROW('Input Transaksi'!$B$5:$B$5000)/('Input Transaksi'!$B$5:$B$5000="JCL AYANI"),ROWS($E$5:E89)),"")</f>
        <v/>
      </c>
      <c r="F89" s="5" t="n"/>
    </row>
    <row r="90">
      <c r="A90" s="10">
        <f>IF($E90="","",INDEX('Input Transaksi'!$A:$A,$E90))</f>
        <v/>
      </c>
      <c r="B90" s="5">
        <f>IF($E90="","",INDEX('Input Transaksi'!$D:$D,$E90))</f>
        <v/>
      </c>
      <c r="C90">
        <f>IF($E90="","",INDEX('Input Transaksi'!$E:$E,$E90))</f>
        <v/>
      </c>
      <c r="D90" s="5">
        <f>IF($E90="","",INDEX('Input Transaksi'!$F:$F,$E90))</f>
        <v/>
      </c>
      <c r="E90">
        <f>IFERROR(AGGREGATE(15,6,ROW('Input Transaksi'!$B$5:$B$5000)/('Input Transaksi'!$B$5:$B$5000="JCL AYANI"),ROWS($E$5:E90)),"")</f>
        <v/>
      </c>
      <c r="F90" s="5" t="n"/>
    </row>
    <row r="91">
      <c r="A91" s="10">
        <f>IF($E91="","",INDEX('Input Transaksi'!$A:$A,$E91))</f>
        <v/>
      </c>
      <c r="B91" s="5">
        <f>IF($E91="","",INDEX('Input Transaksi'!$D:$D,$E91))</f>
        <v/>
      </c>
      <c r="C91">
        <f>IF($E91="","",INDEX('Input Transaksi'!$E:$E,$E91))</f>
        <v/>
      </c>
      <c r="D91" s="5">
        <f>IF($E91="","",INDEX('Input Transaksi'!$F:$F,$E91))</f>
        <v/>
      </c>
      <c r="E91">
        <f>IFERROR(AGGREGATE(15,6,ROW('Input Transaksi'!$B$5:$B$5000)/('Input Transaksi'!$B$5:$B$5000="JCL AYANI"),ROWS($E$5:E91)),"")</f>
        <v/>
      </c>
      <c r="F91" s="5" t="n"/>
    </row>
    <row r="92">
      <c r="A92" s="10">
        <f>IF($E92="","",INDEX('Input Transaksi'!$A:$A,$E92))</f>
        <v/>
      </c>
      <c r="B92" s="5">
        <f>IF($E92="","",INDEX('Input Transaksi'!$D:$D,$E92))</f>
        <v/>
      </c>
      <c r="C92">
        <f>IF($E92="","",INDEX('Input Transaksi'!$E:$E,$E92))</f>
        <v/>
      </c>
      <c r="D92" s="5">
        <f>IF($E92="","",INDEX('Input Transaksi'!$F:$F,$E92))</f>
        <v/>
      </c>
      <c r="E92">
        <f>IFERROR(AGGREGATE(15,6,ROW('Input Transaksi'!$B$5:$B$5000)/('Input Transaksi'!$B$5:$B$5000="JCL AYANI"),ROWS($E$5:E92)),"")</f>
        <v/>
      </c>
      <c r="F92" s="5" t="n"/>
    </row>
    <row r="93">
      <c r="A93" s="10">
        <f>IF($E93="","",INDEX('Input Transaksi'!$A:$A,$E93))</f>
        <v/>
      </c>
      <c r="B93" s="5">
        <f>IF($E93="","",INDEX('Input Transaksi'!$D:$D,$E93))</f>
        <v/>
      </c>
      <c r="C93">
        <f>IF($E93="","",INDEX('Input Transaksi'!$E:$E,$E93))</f>
        <v/>
      </c>
      <c r="D93" s="5">
        <f>IF($E93="","",INDEX('Input Transaksi'!$F:$F,$E93))</f>
        <v/>
      </c>
      <c r="E93">
        <f>IFERROR(AGGREGATE(15,6,ROW('Input Transaksi'!$B$5:$B$5000)/('Input Transaksi'!$B$5:$B$5000="JCL AYANI"),ROWS($E$5:E93)),"")</f>
        <v/>
      </c>
      <c r="F93" s="5" t="n"/>
    </row>
    <row r="94">
      <c r="A94" s="10">
        <f>IF($E94="","",INDEX('Input Transaksi'!$A:$A,$E94))</f>
        <v/>
      </c>
      <c r="B94" s="5">
        <f>IF($E94="","",INDEX('Input Transaksi'!$D:$D,$E94))</f>
        <v/>
      </c>
      <c r="C94">
        <f>IF($E94="","",INDEX('Input Transaksi'!$E:$E,$E94))</f>
        <v/>
      </c>
      <c r="D94" s="5">
        <f>IF($E94="","",INDEX('Input Transaksi'!$F:$F,$E94))</f>
        <v/>
      </c>
      <c r="E94">
        <f>IFERROR(AGGREGATE(15,6,ROW('Input Transaksi'!$B$5:$B$5000)/('Input Transaksi'!$B$5:$B$5000="JCL AYANI"),ROWS($E$5:E94)),"")</f>
        <v/>
      </c>
      <c r="F94" s="5" t="n"/>
    </row>
    <row r="95">
      <c r="A95" s="10">
        <f>IF($E95="","",INDEX('Input Transaksi'!$A:$A,$E95))</f>
        <v/>
      </c>
      <c r="B95" s="5">
        <f>IF($E95="","",INDEX('Input Transaksi'!$D:$D,$E95))</f>
        <v/>
      </c>
      <c r="C95">
        <f>IF($E95="","",INDEX('Input Transaksi'!$E:$E,$E95))</f>
        <v/>
      </c>
      <c r="D95" s="5">
        <f>IF($E95="","",INDEX('Input Transaksi'!$F:$F,$E95))</f>
        <v/>
      </c>
      <c r="E95">
        <f>IFERROR(AGGREGATE(15,6,ROW('Input Transaksi'!$B$5:$B$5000)/('Input Transaksi'!$B$5:$B$5000="JCL AYANI"),ROWS($E$5:E95)),"")</f>
        <v/>
      </c>
      <c r="F95" s="5" t="n"/>
    </row>
    <row r="96">
      <c r="A96" s="10">
        <f>IF($E96="","",INDEX('Input Transaksi'!$A:$A,$E96))</f>
        <v/>
      </c>
      <c r="B96" s="5">
        <f>IF($E96="","",INDEX('Input Transaksi'!$D:$D,$E96))</f>
        <v/>
      </c>
      <c r="C96">
        <f>IF($E96="","",INDEX('Input Transaksi'!$E:$E,$E96))</f>
        <v/>
      </c>
      <c r="D96" s="5">
        <f>IF($E96="","",INDEX('Input Transaksi'!$F:$F,$E96))</f>
        <v/>
      </c>
      <c r="E96">
        <f>IFERROR(AGGREGATE(15,6,ROW('Input Transaksi'!$B$5:$B$5000)/('Input Transaksi'!$B$5:$B$5000="JCL AYANI"),ROWS($E$5:E96)),"")</f>
        <v/>
      </c>
      <c r="F96" s="5" t="n"/>
    </row>
    <row r="97">
      <c r="A97" s="10">
        <f>IF($E97="","",INDEX('Input Transaksi'!$A:$A,$E97))</f>
        <v/>
      </c>
      <c r="B97" s="5">
        <f>IF($E97="","",INDEX('Input Transaksi'!$D:$D,$E97))</f>
        <v/>
      </c>
      <c r="C97">
        <f>IF($E97="","",INDEX('Input Transaksi'!$E:$E,$E97))</f>
        <v/>
      </c>
      <c r="D97" s="5">
        <f>IF($E97="","",INDEX('Input Transaksi'!$F:$F,$E97))</f>
        <v/>
      </c>
      <c r="E97">
        <f>IFERROR(AGGREGATE(15,6,ROW('Input Transaksi'!$B$5:$B$5000)/('Input Transaksi'!$B$5:$B$5000="JCL AYANI"),ROWS($E$5:E97)),"")</f>
        <v/>
      </c>
      <c r="F97" s="5" t="n"/>
    </row>
    <row r="98">
      <c r="A98" s="10">
        <f>IF($E98="","",INDEX('Input Transaksi'!$A:$A,$E98))</f>
        <v/>
      </c>
      <c r="B98" s="5">
        <f>IF($E98="","",INDEX('Input Transaksi'!$D:$D,$E98))</f>
        <v/>
      </c>
      <c r="C98">
        <f>IF($E98="","",INDEX('Input Transaksi'!$E:$E,$E98))</f>
        <v/>
      </c>
      <c r="D98" s="5">
        <f>IF($E98="","",INDEX('Input Transaksi'!$F:$F,$E98))</f>
        <v/>
      </c>
      <c r="E98">
        <f>IFERROR(AGGREGATE(15,6,ROW('Input Transaksi'!$B$5:$B$5000)/('Input Transaksi'!$B$5:$B$5000="JCL AYANI"),ROWS($E$5:E98)),"")</f>
        <v/>
      </c>
      <c r="F98" s="5" t="n"/>
    </row>
    <row r="99">
      <c r="A99" s="10">
        <f>IF($E99="","",INDEX('Input Transaksi'!$A:$A,$E99))</f>
        <v/>
      </c>
      <c r="B99" s="5">
        <f>IF($E99="","",INDEX('Input Transaksi'!$D:$D,$E99))</f>
        <v/>
      </c>
      <c r="C99">
        <f>IF($E99="","",INDEX('Input Transaksi'!$E:$E,$E99))</f>
        <v/>
      </c>
      <c r="D99" s="5">
        <f>IF($E99="","",INDEX('Input Transaksi'!$F:$F,$E99))</f>
        <v/>
      </c>
      <c r="E99">
        <f>IFERROR(AGGREGATE(15,6,ROW('Input Transaksi'!$B$5:$B$5000)/('Input Transaksi'!$B$5:$B$5000="JCL AYANI"),ROWS($E$5:E99)),"")</f>
        <v/>
      </c>
      <c r="F99" s="5" t="n"/>
    </row>
    <row r="100">
      <c r="A100" s="10">
        <f>IF($E100="","",INDEX('Input Transaksi'!$A:$A,$E100))</f>
        <v/>
      </c>
      <c r="B100" s="5">
        <f>IF($E100="","",INDEX('Input Transaksi'!$D:$D,$E100))</f>
        <v/>
      </c>
      <c r="C100">
        <f>IF($E100="","",INDEX('Input Transaksi'!$E:$E,$E100))</f>
        <v/>
      </c>
      <c r="D100" s="5">
        <f>IF($E100="","",INDEX('Input Transaksi'!$F:$F,$E100))</f>
        <v/>
      </c>
      <c r="E100">
        <f>IFERROR(AGGREGATE(15,6,ROW('Input Transaksi'!$B$5:$B$5000)/('Input Transaksi'!$B$5:$B$5000="JCL AYANI"),ROWS($E$5:E100)),"")</f>
        <v/>
      </c>
      <c r="F100" s="5" t="n"/>
    </row>
    <row r="101">
      <c r="A101" s="10">
        <f>IF($E101="","",INDEX('Input Transaksi'!$A:$A,$E101))</f>
        <v/>
      </c>
      <c r="B101" s="5">
        <f>IF($E101="","",INDEX('Input Transaksi'!$D:$D,$E101))</f>
        <v/>
      </c>
      <c r="C101">
        <f>IF($E101="","",INDEX('Input Transaksi'!$E:$E,$E101))</f>
        <v/>
      </c>
      <c r="D101" s="5">
        <f>IF($E101="","",INDEX('Input Transaksi'!$F:$F,$E101))</f>
        <v/>
      </c>
      <c r="E101">
        <f>IFERROR(AGGREGATE(15,6,ROW('Input Transaksi'!$B$5:$B$5000)/('Input Transaksi'!$B$5:$B$5000="JCL AYANI"),ROWS($E$5:E101)),"")</f>
        <v/>
      </c>
      <c r="F101" s="5" t="n"/>
    </row>
    <row r="102">
      <c r="A102" s="10">
        <f>IF($E102="","",INDEX('Input Transaksi'!$A:$A,$E102))</f>
        <v/>
      </c>
      <c r="B102" s="5">
        <f>IF($E102="","",INDEX('Input Transaksi'!$D:$D,$E102))</f>
        <v/>
      </c>
      <c r="C102">
        <f>IF($E102="","",INDEX('Input Transaksi'!$E:$E,$E102))</f>
        <v/>
      </c>
      <c r="D102" s="5">
        <f>IF($E102="","",INDEX('Input Transaksi'!$F:$F,$E102))</f>
        <v/>
      </c>
      <c r="E102">
        <f>IFERROR(AGGREGATE(15,6,ROW('Input Transaksi'!$B$5:$B$5000)/('Input Transaksi'!$B$5:$B$5000="JCL AYANI"),ROWS($E$5:E102)),"")</f>
        <v/>
      </c>
      <c r="F102" s="5" t="n"/>
    </row>
    <row r="103">
      <c r="A103" s="10">
        <f>IF($E103="","",INDEX('Input Transaksi'!$A:$A,$E103))</f>
        <v/>
      </c>
      <c r="B103" s="5">
        <f>IF($E103="","",INDEX('Input Transaksi'!$D:$D,$E103))</f>
        <v/>
      </c>
      <c r="C103">
        <f>IF($E103="","",INDEX('Input Transaksi'!$E:$E,$E103))</f>
        <v/>
      </c>
      <c r="D103" s="5">
        <f>IF($E103="","",INDEX('Input Transaksi'!$F:$F,$E103))</f>
        <v/>
      </c>
      <c r="E103">
        <f>IFERROR(AGGREGATE(15,6,ROW('Input Transaksi'!$B$5:$B$5000)/('Input Transaksi'!$B$5:$B$5000="JCL AYANI"),ROWS($E$5:E103)),"")</f>
        <v/>
      </c>
      <c r="F103" s="5" t="n"/>
    </row>
    <row r="104">
      <c r="A104" s="10">
        <f>IF($E104="","",INDEX('Input Transaksi'!$A:$A,$E104))</f>
        <v/>
      </c>
      <c r="B104" s="5">
        <f>IF($E104="","",INDEX('Input Transaksi'!$D:$D,$E104))</f>
        <v/>
      </c>
      <c r="C104">
        <f>IF($E104="","",INDEX('Input Transaksi'!$E:$E,$E104))</f>
        <v/>
      </c>
      <c r="D104" s="5">
        <f>IF($E104="","",INDEX('Input Transaksi'!$F:$F,$E104))</f>
        <v/>
      </c>
      <c r="E104">
        <f>IFERROR(AGGREGATE(15,6,ROW('Input Transaksi'!$B$5:$B$5000)/('Input Transaksi'!$B$5:$B$5000="JCL AYANI"),ROWS($E$5:E104)),"")</f>
        <v/>
      </c>
      <c r="F104" s="5" t="n"/>
    </row>
    <row r="105">
      <c r="A105" s="10">
        <f>IF($E105="","",INDEX('Input Transaksi'!$A:$A,$E105))</f>
        <v/>
      </c>
      <c r="B105" s="5">
        <f>IF($E105="","",INDEX('Input Transaksi'!$D:$D,$E105))</f>
        <v/>
      </c>
      <c r="C105">
        <f>IF($E105="","",INDEX('Input Transaksi'!$E:$E,$E105))</f>
        <v/>
      </c>
      <c r="D105" s="5">
        <f>IF($E105="","",INDEX('Input Transaksi'!$F:$F,$E105))</f>
        <v/>
      </c>
      <c r="E105">
        <f>IFERROR(AGGREGATE(15,6,ROW('Input Transaksi'!$B$5:$B$5000)/('Input Transaksi'!$B$5:$B$5000="JCL AYANI"),ROWS($E$5:E105)),"")</f>
        <v/>
      </c>
      <c r="F105" s="5" t="n"/>
    </row>
    <row r="106">
      <c r="A106" s="10">
        <f>IF($E106="","",INDEX('Input Transaksi'!$A:$A,$E106))</f>
        <v/>
      </c>
      <c r="B106" s="5">
        <f>IF($E106="","",INDEX('Input Transaksi'!$D:$D,$E106))</f>
        <v/>
      </c>
      <c r="C106">
        <f>IF($E106="","",INDEX('Input Transaksi'!$E:$E,$E106))</f>
        <v/>
      </c>
      <c r="D106" s="5">
        <f>IF($E106="","",INDEX('Input Transaksi'!$F:$F,$E106))</f>
        <v/>
      </c>
      <c r="E106">
        <f>IFERROR(AGGREGATE(15,6,ROW('Input Transaksi'!$B$5:$B$5000)/('Input Transaksi'!$B$5:$B$5000="JCL AYANI"),ROWS($E$5:E106)),"")</f>
        <v/>
      </c>
      <c r="F106" s="5" t="n"/>
    </row>
    <row r="107">
      <c r="A107" s="10">
        <f>IF($E107="","",INDEX('Input Transaksi'!$A:$A,$E107))</f>
        <v/>
      </c>
      <c r="B107" s="5">
        <f>IF($E107="","",INDEX('Input Transaksi'!$D:$D,$E107))</f>
        <v/>
      </c>
      <c r="C107">
        <f>IF($E107="","",INDEX('Input Transaksi'!$E:$E,$E107))</f>
        <v/>
      </c>
      <c r="D107" s="5">
        <f>IF($E107="","",INDEX('Input Transaksi'!$F:$F,$E107))</f>
        <v/>
      </c>
      <c r="E107">
        <f>IFERROR(AGGREGATE(15,6,ROW('Input Transaksi'!$B$5:$B$5000)/('Input Transaksi'!$B$5:$B$5000="JCL AYANI"),ROWS($E$5:E107)),"")</f>
        <v/>
      </c>
      <c r="F107" s="5" t="n"/>
    </row>
    <row r="108">
      <c r="A108" s="10">
        <f>IF($E108="","",INDEX('Input Transaksi'!$A:$A,$E108))</f>
        <v/>
      </c>
      <c r="B108" s="5">
        <f>IF($E108="","",INDEX('Input Transaksi'!$D:$D,$E108))</f>
        <v/>
      </c>
      <c r="C108">
        <f>IF($E108="","",INDEX('Input Transaksi'!$E:$E,$E108))</f>
        <v/>
      </c>
      <c r="D108" s="5">
        <f>IF($E108="","",INDEX('Input Transaksi'!$F:$F,$E108))</f>
        <v/>
      </c>
      <c r="E108">
        <f>IFERROR(AGGREGATE(15,6,ROW('Input Transaksi'!$B$5:$B$5000)/('Input Transaksi'!$B$5:$B$5000="JCL AYANI"),ROWS($E$5:E108)),"")</f>
        <v/>
      </c>
      <c r="F108" s="5" t="n"/>
    </row>
    <row r="109">
      <c r="A109" s="10">
        <f>IF($E109="","",INDEX('Input Transaksi'!$A:$A,$E109))</f>
        <v/>
      </c>
      <c r="B109" s="5">
        <f>IF($E109="","",INDEX('Input Transaksi'!$D:$D,$E109))</f>
        <v/>
      </c>
      <c r="C109">
        <f>IF($E109="","",INDEX('Input Transaksi'!$E:$E,$E109))</f>
        <v/>
      </c>
      <c r="D109" s="5">
        <f>IF($E109="","",INDEX('Input Transaksi'!$F:$F,$E109))</f>
        <v/>
      </c>
      <c r="E109">
        <f>IFERROR(AGGREGATE(15,6,ROW('Input Transaksi'!$B$5:$B$5000)/('Input Transaksi'!$B$5:$B$5000="JCL AYANI"),ROWS($E$5:E109)),"")</f>
        <v/>
      </c>
      <c r="F109" s="5" t="n"/>
    </row>
    <row r="110">
      <c r="A110" s="10">
        <f>IF($E110="","",INDEX('Input Transaksi'!$A:$A,$E110))</f>
        <v/>
      </c>
      <c r="B110" s="5">
        <f>IF($E110="","",INDEX('Input Transaksi'!$D:$D,$E110))</f>
        <v/>
      </c>
      <c r="C110">
        <f>IF($E110="","",INDEX('Input Transaksi'!$E:$E,$E110))</f>
        <v/>
      </c>
      <c r="D110" s="5">
        <f>IF($E110="","",INDEX('Input Transaksi'!$F:$F,$E110))</f>
        <v/>
      </c>
      <c r="E110">
        <f>IFERROR(AGGREGATE(15,6,ROW('Input Transaksi'!$B$5:$B$5000)/('Input Transaksi'!$B$5:$B$5000="JCL AYANI"),ROWS($E$5:E110)),"")</f>
        <v/>
      </c>
      <c r="F110" s="5" t="n"/>
    </row>
    <row r="111">
      <c r="A111" s="10">
        <f>IF($E111="","",INDEX('Input Transaksi'!$A:$A,$E111))</f>
        <v/>
      </c>
      <c r="B111" s="5">
        <f>IF($E111="","",INDEX('Input Transaksi'!$D:$D,$E111))</f>
        <v/>
      </c>
      <c r="C111">
        <f>IF($E111="","",INDEX('Input Transaksi'!$E:$E,$E111))</f>
        <v/>
      </c>
      <c r="D111" s="5">
        <f>IF($E111="","",INDEX('Input Transaksi'!$F:$F,$E111))</f>
        <v/>
      </c>
      <c r="E111">
        <f>IFERROR(AGGREGATE(15,6,ROW('Input Transaksi'!$B$5:$B$5000)/('Input Transaksi'!$B$5:$B$5000="JCL AYANI"),ROWS($E$5:E111)),"")</f>
        <v/>
      </c>
      <c r="F111" s="5" t="n"/>
    </row>
    <row r="112">
      <c r="A112" s="10">
        <f>IF($E112="","",INDEX('Input Transaksi'!$A:$A,$E112))</f>
        <v/>
      </c>
      <c r="B112" s="5">
        <f>IF($E112="","",INDEX('Input Transaksi'!$D:$D,$E112))</f>
        <v/>
      </c>
      <c r="C112">
        <f>IF($E112="","",INDEX('Input Transaksi'!$E:$E,$E112))</f>
        <v/>
      </c>
      <c r="D112" s="5">
        <f>IF($E112="","",INDEX('Input Transaksi'!$F:$F,$E112))</f>
        <v/>
      </c>
      <c r="E112">
        <f>IFERROR(AGGREGATE(15,6,ROW('Input Transaksi'!$B$5:$B$5000)/('Input Transaksi'!$B$5:$B$5000="JCL AYANI"),ROWS($E$5:E112)),"")</f>
        <v/>
      </c>
      <c r="F112" s="5" t="n"/>
    </row>
    <row r="113">
      <c r="A113" s="10">
        <f>IF($E113="","",INDEX('Input Transaksi'!$A:$A,$E113))</f>
        <v/>
      </c>
      <c r="B113" s="5">
        <f>IF($E113="","",INDEX('Input Transaksi'!$D:$D,$E113))</f>
        <v/>
      </c>
      <c r="C113">
        <f>IF($E113="","",INDEX('Input Transaksi'!$E:$E,$E113))</f>
        <v/>
      </c>
      <c r="D113" s="5">
        <f>IF($E113="","",INDEX('Input Transaksi'!$F:$F,$E113))</f>
        <v/>
      </c>
      <c r="E113">
        <f>IFERROR(AGGREGATE(15,6,ROW('Input Transaksi'!$B$5:$B$5000)/('Input Transaksi'!$B$5:$B$5000="JCL AYANI"),ROWS($E$5:E113)),"")</f>
        <v/>
      </c>
      <c r="F113" s="5" t="n"/>
    </row>
    <row r="114">
      <c r="A114" s="10">
        <f>IF($E114="","",INDEX('Input Transaksi'!$A:$A,$E114))</f>
        <v/>
      </c>
      <c r="B114" s="5">
        <f>IF($E114="","",INDEX('Input Transaksi'!$D:$D,$E114))</f>
        <v/>
      </c>
      <c r="C114">
        <f>IF($E114="","",INDEX('Input Transaksi'!$E:$E,$E114))</f>
        <v/>
      </c>
      <c r="D114" s="5">
        <f>IF($E114="","",INDEX('Input Transaksi'!$F:$F,$E114))</f>
        <v/>
      </c>
      <c r="E114">
        <f>IFERROR(AGGREGATE(15,6,ROW('Input Transaksi'!$B$5:$B$5000)/('Input Transaksi'!$B$5:$B$5000="JCL AYANI"),ROWS($E$5:E114)),"")</f>
        <v/>
      </c>
      <c r="F114" s="5" t="n"/>
    </row>
    <row r="115">
      <c r="A115" s="10">
        <f>IF($E115="","",INDEX('Input Transaksi'!$A:$A,$E115))</f>
        <v/>
      </c>
      <c r="B115" s="5">
        <f>IF($E115="","",INDEX('Input Transaksi'!$D:$D,$E115))</f>
        <v/>
      </c>
      <c r="C115">
        <f>IF($E115="","",INDEX('Input Transaksi'!$E:$E,$E115))</f>
        <v/>
      </c>
      <c r="D115" s="5">
        <f>IF($E115="","",INDEX('Input Transaksi'!$F:$F,$E115))</f>
        <v/>
      </c>
      <c r="E115">
        <f>IFERROR(AGGREGATE(15,6,ROW('Input Transaksi'!$B$5:$B$5000)/('Input Transaksi'!$B$5:$B$5000="JCL AYANI"),ROWS($E$5:E115)),"")</f>
        <v/>
      </c>
      <c r="F115" s="5" t="n"/>
    </row>
    <row r="116">
      <c r="A116" s="10">
        <f>IF($E116="","",INDEX('Input Transaksi'!$A:$A,$E116))</f>
        <v/>
      </c>
      <c r="B116" s="5">
        <f>IF($E116="","",INDEX('Input Transaksi'!$D:$D,$E116))</f>
        <v/>
      </c>
      <c r="C116">
        <f>IF($E116="","",INDEX('Input Transaksi'!$E:$E,$E116))</f>
        <v/>
      </c>
      <c r="D116" s="5">
        <f>IF($E116="","",INDEX('Input Transaksi'!$F:$F,$E116))</f>
        <v/>
      </c>
      <c r="E116">
        <f>IFERROR(AGGREGATE(15,6,ROW('Input Transaksi'!$B$5:$B$5000)/('Input Transaksi'!$B$5:$B$5000="JCL AYANI"),ROWS($E$5:E116)),"")</f>
        <v/>
      </c>
      <c r="F116" s="5" t="n"/>
    </row>
    <row r="117">
      <c r="A117" s="10">
        <f>IF($E117="","",INDEX('Input Transaksi'!$A:$A,$E117))</f>
        <v/>
      </c>
      <c r="B117" s="5">
        <f>IF($E117="","",INDEX('Input Transaksi'!$D:$D,$E117))</f>
        <v/>
      </c>
      <c r="C117">
        <f>IF($E117="","",INDEX('Input Transaksi'!$E:$E,$E117))</f>
        <v/>
      </c>
      <c r="D117" s="5">
        <f>IF($E117="","",INDEX('Input Transaksi'!$F:$F,$E117))</f>
        <v/>
      </c>
      <c r="E117">
        <f>IFERROR(AGGREGATE(15,6,ROW('Input Transaksi'!$B$5:$B$5000)/('Input Transaksi'!$B$5:$B$5000="JCL AYANI"),ROWS($E$5:E117)),"")</f>
        <v/>
      </c>
      <c r="F117" s="5" t="n"/>
    </row>
    <row r="118">
      <c r="A118" s="10">
        <f>IF($E118="","",INDEX('Input Transaksi'!$A:$A,$E118))</f>
        <v/>
      </c>
      <c r="B118" s="5">
        <f>IF($E118="","",INDEX('Input Transaksi'!$D:$D,$E118))</f>
        <v/>
      </c>
      <c r="C118">
        <f>IF($E118="","",INDEX('Input Transaksi'!$E:$E,$E118))</f>
        <v/>
      </c>
      <c r="D118" s="5">
        <f>IF($E118="","",INDEX('Input Transaksi'!$F:$F,$E118))</f>
        <v/>
      </c>
      <c r="E118">
        <f>IFERROR(AGGREGATE(15,6,ROW('Input Transaksi'!$B$5:$B$5000)/('Input Transaksi'!$B$5:$B$5000="JCL AYANI"),ROWS($E$5:E118)),"")</f>
        <v/>
      </c>
      <c r="F118" s="5" t="n"/>
    </row>
    <row r="119">
      <c r="A119" s="10">
        <f>IF($E119="","",INDEX('Input Transaksi'!$A:$A,$E119))</f>
        <v/>
      </c>
      <c r="B119" s="5">
        <f>IF($E119="","",INDEX('Input Transaksi'!$D:$D,$E119))</f>
        <v/>
      </c>
      <c r="C119">
        <f>IF($E119="","",INDEX('Input Transaksi'!$E:$E,$E119))</f>
        <v/>
      </c>
      <c r="D119" s="5">
        <f>IF($E119="","",INDEX('Input Transaksi'!$F:$F,$E119))</f>
        <v/>
      </c>
      <c r="E119">
        <f>IFERROR(AGGREGATE(15,6,ROW('Input Transaksi'!$B$5:$B$5000)/('Input Transaksi'!$B$5:$B$5000="JCL AYANI"),ROWS($E$5:E119)),"")</f>
        <v/>
      </c>
      <c r="F119" s="5" t="n"/>
    </row>
    <row r="120">
      <c r="A120" s="10">
        <f>IF($E120="","",INDEX('Input Transaksi'!$A:$A,$E120))</f>
        <v/>
      </c>
      <c r="B120" s="5">
        <f>IF($E120="","",INDEX('Input Transaksi'!$D:$D,$E120))</f>
        <v/>
      </c>
      <c r="C120">
        <f>IF($E120="","",INDEX('Input Transaksi'!$E:$E,$E120))</f>
        <v/>
      </c>
      <c r="D120" s="5">
        <f>IF($E120="","",INDEX('Input Transaksi'!$F:$F,$E120))</f>
        <v/>
      </c>
      <c r="E120">
        <f>IFERROR(AGGREGATE(15,6,ROW('Input Transaksi'!$B$5:$B$5000)/('Input Transaksi'!$B$5:$B$5000="JCL AYANI"),ROWS($E$5:E120)),"")</f>
        <v/>
      </c>
      <c r="F120" s="5" t="n"/>
    </row>
    <row r="121">
      <c r="A121" s="10">
        <f>IF($E121="","",INDEX('Input Transaksi'!$A:$A,$E121))</f>
        <v/>
      </c>
      <c r="B121" s="5">
        <f>IF($E121="","",INDEX('Input Transaksi'!$D:$D,$E121))</f>
        <v/>
      </c>
      <c r="C121">
        <f>IF($E121="","",INDEX('Input Transaksi'!$E:$E,$E121))</f>
        <v/>
      </c>
      <c r="D121" s="5">
        <f>IF($E121="","",INDEX('Input Transaksi'!$F:$F,$E121))</f>
        <v/>
      </c>
      <c r="E121">
        <f>IFERROR(AGGREGATE(15,6,ROW('Input Transaksi'!$B$5:$B$5000)/('Input Transaksi'!$B$5:$B$5000="JCL AYANI"),ROWS($E$5:E121)),"")</f>
        <v/>
      </c>
      <c r="F121" s="5" t="n"/>
    </row>
    <row r="122">
      <c r="A122" s="10">
        <f>IF($E122="","",INDEX('Input Transaksi'!$A:$A,$E122))</f>
        <v/>
      </c>
      <c r="B122" s="5">
        <f>IF($E122="","",INDEX('Input Transaksi'!$D:$D,$E122))</f>
        <v/>
      </c>
      <c r="C122">
        <f>IF($E122="","",INDEX('Input Transaksi'!$E:$E,$E122))</f>
        <v/>
      </c>
      <c r="D122" s="5">
        <f>IF($E122="","",INDEX('Input Transaksi'!$F:$F,$E122))</f>
        <v/>
      </c>
      <c r="E122">
        <f>IFERROR(AGGREGATE(15,6,ROW('Input Transaksi'!$B$5:$B$5000)/('Input Transaksi'!$B$5:$B$5000="JCL AYANI"),ROWS($E$5:E122)),"")</f>
        <v/>
      </c>
      <c r="F122" s="5" t="n"/>
    </row>
    <row r="123">
      <c r="A123" s="10">
        <f>IF($E123="","",INDEX('Input Transaksi'!$A:$A,$E123))</f>
        <v/>
      </c>
      <c r="B123" s="5">
        <f>IF($E123="","",INDEX('Input Transaksi'!$D:$D,$E123))</f>
        <v/>
      </c>
      <c r="C123">
        <f>IF($E123="","",INDEX('Input Transaksi'!$E:$E,$E123))</f>
        <v/>
      </c>
      <c r="D123" s="5">
        <f>IF($E123="","",INDEX('Input Transaksi'!$F:$F,$E123))</f>
        <v/>
      </c>
      <c r="E123">
        <f>IFERROR(AGGREGATE(15,6,ROW('Input Transaksi'!$B$5:$B$5000)/('Input Transaksi'!$B$5:$B$5000="JCL AYANI"),ROWS($E$5:E123)),"")</f>
        <v/>
      </c>
      <c r="F123" s="5" t="n"/>
    </row>
    <row r="124">
      <c r="A124" s="10">
        <f>IF($E124="","",INDEX('Input Transaksi'!$A:$A,$E124))</f>
        <v/>
      </c>
      <c r="B124" s="5">
        <f>IF($E124="","",INDEX('Input Transaksi'!$D:$D,$E124))</f>
        <v/>
      </c>
      <c r="C124">
        <f>IF($E124="","",INDEX('Input Transaksi'!$E:$E,$E124))</f>
        <v/>
      </c>
      <c r="D124" s="5">
        <f>IF($E124="","",INDEX('Input Transaksi'!$F:$F,$E124))</f>
        <v/>
      </c>
      <c r="E124">
        <f>IFERROR(AGGREGATE(15,6,ROW('Input Transaksi'!$B$5:$B$5000)/('Input Transaksi'!$B$5:$B$5000="JCL AYANI"),ROWS($E$5:E124)),"")</f>
        <v/>
      </c>
      <c r="F124" s="5" t="n"/>
    </row>
    <row r="125">
      <c r="A125" s="10">
        <f>IF($E125="","",INDEX('Input Transaksi'!$A:$A,$E125))</f>
        <v/>
      </c>
      <c r="B125" s="5">
        <f>IF($E125="","",INDEX('Input Transaksi'!$D:$D,$E125))</f>
        <v/>
      </c>
      <c r="C125">
        <f>IF($E125="","",INDEX('Input Transaksi'!$E:$E,$E125))</f>
        <v/>
      </c>
      <c r="D125" s="5">
        <f>IF($E125="","",INDEX('Input Transaksi'!$F:$F,$E125))</f>
        <v/>
      </c>
      <c r="E125">
        <f>IFERROR(AGGREGATE(15,6,ROW('Input Transaksi'!$B$5:$B$5000)/('Input Transaksi'!$B$5:$B$5000="JCL AYANI"),ROWS($E$5:E125)),"")</f>
        <v/>
      </c>
      <c r="F125" s="5" t="n"/>
    </row>
    <row r="126">
      <c r="A126" s="10">
        <f>IF($E126="","",INDEX('Input Transaksi'!$A:$A,$E126))</f>
        <v/>
      </c>
      <c r="B126" s="5">
        <f>IF($E126="","",INDEX('Input Transaksi'!$D:$D,$E126))</f>
        <v/>
      </c>
      <c r="C126">
        <f>IF($E126="","",INDEX('Input Transaksi'!$E:$E,$E126))</f>
        <v/>
      </c>
      <c r="D126" s="5">
        <f>IF($E126="","",INDEX('Input Transaksi'!$F:$F,$E126))</f>
        <v/>
      </c>
      <c r="E126">
        <f>IFERROR(AGGREGATE(15,6,ROW('Input Transaksi'!$B$5:$B$5000)/('Input Transaksi'!$B$5:$B$5000="JCL AYANI"),ROWS($E$5:E126)),"")</f>
        <v/>
      </c>
      <c r="F126" s="5" t="n"/>
    </row>
    <row r="127">
      <c r="A127" s="10">
        <f>IF($E127="","",INDEX('Input Transaksi'!$A:$A,$E127))</f>
        <v/>
      </c>
      <c r="B127" s="5">
        <f>IF($E127="","",INDEX('Input Transaksi'!$D:$D,$E127))</f>
        <v/>
      </c>
      <c r="C127">
        <f>IF($E127="","",INDEX('Input Transaksi'!$E:$E,$E127))</f>
        <v/>
      </c>
      <c r="D127" s="5">
        <f>IF($E127="","",INDEX('Input Transaksi'!$F:$F,$E127))</f>
        <v/>
      </c>
      <c r="E127">
        <f>IFERROR(AGGREGATE(15,6,ROW('Input Transaksi'!$B$5:$B$5000)/('Input Transaksi'!$B$5:$B$5000="JCL AYANI"),ROWS($E$5:E127)),"")</f>
        <v/>
      </c>
      <c r="F127" s="5" t="n"/>
    </row>
    <row r="128">
      <c r="A128" s="10">
        <f>IF($E128="","",INDEX('Input Transaksi'!$A:$A,$E128))</f>
        <v/>
      </c>
      <c r="B128" s="5">
        <f>IF($E128="","",INDEX('Input Transaksi'!$D:$D,$E128))</f>
        <v/>
      </c>
      <c r="C128">
        <f>IF($E128="","",INDEX('Input Transaksi'!$E:$E,$E128))</f>
        <v/>
      </c>
      <c r="D128" s="5">
        <f>IF($E128="","",INDEX('Input Transaksi'!$F:$F,$E128))</f>
        <v/>
      </c>
      <c r="E128">
        <f>IFERROR(AGGREGATE(15,6,ROW('Input Transaksi'!$B$5:$B$5000)/('Input Transaksi'!$B$5:$B$5000="JCL AYANI"),ROWS($E$5:E128)),"")</f>
        <v/>
      </c>
      <c r="F128" s="5" t="n"/>
    </row>
    <row r="129">
      <c r="A129" s="10">
        <f>IF($E129="","",INDEX('Input Transaksi'!$A:$A,$E129))</f>
        <v/>
      </c>
      <c r="B129" s="5">
        <f>IF($E129="","",INDEX('Input Transaksi'!$D:$D,$E129))</f>
        <v/>
      </c>
      <c r="C129">
        <f>IF($E129="","",INDEX('Input Transaksi'!$E:$E,$E129))</f>
        <v/>
      </c>
      <c r="D129" s="5">
        <f>IF($E129="","",INDEX('Input Transaksi'!$F:$F,$E129))</f>
        <v/>
      </c>
      <c r="E129">
        <f>IFERROR(AGGREGATE(15,6,ROW('Input Transaksi'!$B$5:$B$5000)/('Input Transaksi'!$B$5:$B$5000="JCL AYANI"),ROWS($E$5:E129)),"")</f>
        <v/>
      </c>
      <c r="F129" s="5" t="n"/>
    </row>
    <row r="130">
      <c r="A130" s="10">
        <f>IF($E130="","",INDEX('Input Transaksi'!$A:$A,$E130))</f>
        <v/>
      </c>
      <c r="B130" s="5">
        <f>IF($E130="","",INDEX('Input Transaksi'!$D:$D,$E130))</f>
        <v/>
      </c>
      <c r="C130">
        <f>IF($E130="","",INDEX('Input Transaksi'!$E:$E,$E130))</f>
        <v/>
      </c>
      <c r="D130" s="5">
        <f>IF($E130="","",INDEX('Input Transaksi'!$F:$F,$E130))</f>
        <v/>
      </c>
      <c r="E130">
        <f>IFERROR(AGGREGATE(15,6,ROW('Input Transaksi'!$B$5:$B$5000)/('Input Transaksi'!$B$5:$B$5000="JCL AYANI"),ROWS($E$5:E130)),"")</f>
        <v/>
      </c>
      <c r="F130" s="5" t="n"/>
    </row>
    <row r="131">
      <c r="A131" s="10">
        <f>IF($E131="","",INDEX('Input Transaksi'!$A:$A,$E131))</f>
        <v/>
      </c>
      <c r="B131" s="5">
        <f>IF($E131="","",INDEX('Input Transaksi'!$D:$D,$E131))</f>
        <v/>
      </c>
      <c r="C131">
        <f>IF($E131="","",INDEX('Input Transaksi'!$E:$E,$E131))</f>
        <v/>
      </c>
      <c r="D131" s="5">
        <f>IF($E131="","",INDEX('Input Transaksi'!$F:$F,$E131))</f>
        <v/>
      </c>
      <c r="E131">
        <f>IFERROR(AGGREGATE(15,6,ROW('Input Transaksi'!$B$5:$B$5000)/('Input Transaksi'!$B$5:$B$5000="JCL AYANI"),ROWS($E$5:E131)),"")</f>
        <v/>
      </c>
      <c r="F131" s="5" t="n"/>
    </row>
    <row r="132">
      <c r="A132" s="10">
        <f>IF($E132="","",INDEX('Input Transaksi'!$A:$A,$E132))</f>
        <v/>
      </c>
      <c r="B132" s="5">
        <f>IF($E132="","",INDEX('Input Transaksi'!$D:$D,$E132))</f>
        <v/>
      </c>
      <c r="C132">
        <f>IF($E132="","",INDEX('Input Transaksi'!$E:$E,$E132))</f>
        <v/>
      </c>
      <c r="D132" s="5">
        <f>IF($E132="","",INDEX('Input Transaksi'!$F:$F,$E132))</f>
        <v/>
      </c>
      <c r="E132">
        <f>IFERROR(AGGREGATE(15,6,ROW('Input Transaksi'!$B$5:$B$5000)/('Input Transaksi'!$B$5:$B$5000="JCL AYANI"),ROWS($E$5:E132)),"")</f>
        <v/>
      </c>
      <c r="F132" s="5" t="n"/>
    </row>
    <row r="133">
      <c r="A133" s="10">
        <f>IF($E133="","",INDEX('Input Transaksi'!$A:$A,$E133))</f>
        <v/>
      </c>
      <c r="B133" s="5">
        <f>IF($E133="","",INDEX('Input Transaksi'!$D:$D,$E133))</f>
        <v/>
      </c>
      <c r="C133">
        <f>IF($E133="","",INDEX('Input Transaksi'!$E:$E,$E133))</f>
        <v/>
      </c>
      <c r="D133" s="5">
        <f>IF($E133="","",INDEX('Input Transaksi'!$F:$F,$E133))</f>
        <v/>
      </c>
      <c r="E133">
        <f>IFERROR(AGGREGATE(15,6,ROW('Input Transaksi'!$B$5:$B$5000)/('Input Transaksi'!$B$5:$B$5000="JCL AYANI"),ROWS($E$5:E133)),"")</f>
        <v/>
      </c>
      <c r="F133" s="5" t="n"/>
    </row>
    <row r="134">
      <c r="A134" s="10">
        <f>IF($E134="","",INDEX('Input Transaksi'!$A:$A,$E134))</f>
        <v/>
      </c>
      <c r="B134" s="5">
        <f>IF($E134="","",INDEX('Input Transaksi'!$D:$D,$E134))</f>
        <v/>
      </c>
      <c r="C134">
        <f>IF($E134="","",INDEX('Input Transaksi'!$E:$E,$E134))</f>
        <v/>
      </c>
      <c r="D134" s="5">
        <f>IF($E134="","",INDEX('Input Transaksi'!$F:$F,$E134))</f>
        <v/>
      </c>
      <c r="E134">
        <f>IFERROR(AGGREGATE(15,6,ROW('Input Transaksi'!$B$5:$B$5000)/('Input Transaksi'!$B$5:$B$5000="JCL AYANI"),ROWS($E$5:E134)),"")</f>
        <v/>
      </c>
      <c r="F134" s="5" t="n"/>
    </row>
    <row r="135">
      <c r="A135" s="10">
        <f>IF($E135="","",INDEX('Input Transaksi'!$A:$A,$E135))</f>
        <v/>
      </c>
      <c r="B135" s="5">
        <f>IF($E135="","",INDEX('Input Transaksi'!$D:$D,$E135))</f>
        <v/>
      </c>
      <c r="C135">
        <f>IF($E135="","",INDEX('Input Transaksi'!$E:$E,$E135))</f>
        <v/>
      </c>
      <c r="D135" s="5">
        <f>IF($E135="","",INDEX('Input Transaksi'!$F:$F,$E135))</f>
        <v/>
      </c>
      <c r="E135">
        <f>IFERROR(AGGREGATE(15,6,ROW('Input Transaksi'!$B$5:$B$5000)/('Input Transaksi'!$B$5:$B$5000="JCL AYANI"),ROWS($E$5:E135)),"")</f>
        <v/>
      </c>
      <c r="F135" s="5" t="n"/>
    </row>
    <row r="136">
      <c r="A136" s="10">
        <f>IF($E136="","",INDEX('Input Transaksi'!$A:$A,$E136))</f>
        <v/>
      </c>
      <c r="B136" s="5">
        <f>IF($E136="","",INDEX('Input Transaksi'!$D:$D,$E136))</f>
        <v/>
      </c>
      <c r="C136">
        <f>IF($E136="","",INDEX('Input Transaksi'!$E:$E,$E136))</f>
        <v/>
      </c>
      <c r="D136" s="5">
        <f>IF($E136="","",INDEX('Input Transaksi'!$F:$F,$E136))</f>
        <v/>
      </c>
      <c r="E136">
        <f>IFERROR(AGGREGATE(15,6,ROW('Input Transaksi'!$B$5:$B$5000)/('Input Transaksi'!$B$5:$B$5000="JCL AYANI"),ROWS($E$5:E136)),"")</f>
        <v/>
      </c>
      <c r="F136" s="5" t="n"/>
    </row>
    <row r="137">
      <c r="A137" s="10">
        <f>IF($E137="","",INDEX('Input Transaksi'!$A:$A,$E137))</f>
        <v/>
      </c>
      <c r="B137" s="5">
        <f>IF($E137="","",INDEX('Input Transaksi'!$D:$D,$E137))</f>
        <v/>
      </c>
      <c r="C137">
        <f>IF($E137="","",INDEX('Input Transaksi'!$E:$E,$E137))</f>
        <v/>
      </c>
      <c r="D137" s="5">
        <f>IF($E137="","",INDEX('Input Transaksi'!$F:$F,$E137))</f>
        <v/>
      </c>
      <c r="E137">
        <f>IFERROR(AGGREGATE(15,6,ROW('Input Transaksi'!$B$5:$B$5000)/('Input Transaksi'!$B$5:$B$5000="JCL AYANI"),ROWS($E$5:E137)),"")</f>
        <v/>
      </c>
      <c r="F137" s="5" t="n"/>
    </row>
    <row r="138">
      <c r="A138" s="10">
        <f>IF($E138="","",INDEX('Input Transaksi'!$A:$A,$E138))</f>
        <v/>
      </c>
      <c r="B138" s="5">
        <f>IF($E138="","",INDEX('Input Transaksi'!$D:$D,$E138))</f>
        <v/>
      </c>
      <c r="C138">
        <f>IF($E138="","",INDEX('Input Transaksi'!$E:$E,$E138))</f>
        <v/>
      </c>
      <c r="D138" s="5">
        <f>IF($E138="","",INDEX('Input Transaksi'!$F:$F,$E138))</f>
        <v/>
      </c>
      <c r="E138">
        <f>IFERROR(AGGREGATE(15,6,ROW('Input Transaksi'!$B$5:$B$5000)/('Input Transaksi'!$B$5:$B$5000="JCL AYANI"),ROWS($E$5:E138)),"")</f>
        <v/>
      </c>
      <c r="F138" s="5" t="n"/>
    </row>
    <row r="139">
      <c r="A139" s="10">
        <f>IF($E139="","",INDEX('Input Transaksi'!$A:$A,$E139))</f>
        <v/>
      </c>
      <c r="B139" s="5">
        <f>IF($E139="","",INDEX('Input Transaksi'!$D:$D,$E139))</f>
        <v/>
      </c>
      <c r="C139">
        <f>IF($E139="","",INDEX('Input Transaksi'!$E:$E,$E139))</f>
        <v/>
      </c>
      <c r="D139" s="5">
        <f>IF($E139="","",INDEX('Input Transaksi'!$F:$F,$E139))</f>
        <v/>
      </c>
      <c r="E139">
        <f>IFERROR(AGGREGATE(15,6,ROW('Input Transaksi'!$B$5:$B$5000)/('Input Transaksi'!$B$5:$B$5000="JCL AYANI"),ROWS($E$5:E139)),"")</f>
        <v/>
      </c>
      <c r="F139" s="5" t="n"/>
    </row>
    <row r="140">
      <c r="A140" s="10">
        <f>IF($E140="","",INDEX('Input Transaksi'!$A:$A,$E140))</f>
        <v/>
      </c>
      <c r="B140" s="5">
        <f>IF($E140="","",INDEX('Input Transaksi'!$D:$D,$E140))</f>
        <v/>
      </c>
      <c r="C140">
        <f>IF($E140="","",INDEX('Input Transaksi'!$E:$E,$E140))</f>
        <v/>
      </c>
      <c r="D140" s="5">
        <f>IF($E140="","",INDEX('Input Transaksi'!$F:$F,$E140))</f>
        <v/>
      </c>
      <c r="E140">
        <f>IFERROR(AGGREGATE(15,6,ROW('Input Transaksi'!$B$5:$B$5000)/('Input Transaksi'!$B$5:$B$5000="JCL AYANI"),ROWS($E$5:E140)),"")</f>
        <v/>
      </c>
      <c r="F140" s="5" t="n"/>
    </row>
    <row r="141">
      <c r="A141" s="10">
        <f>IF($E141="","",INDEX('Input Transaksi'!$A:$A,$E141))</f>
        <v/>
      </c>
      <c r="B141" s="5">
        <f>IF($E141="","",INDEX('Input Transaksi'!$D:$D,$E141))</f>
        <v/>
      </c>
      <c r="C141">
        <f>IF($E141="","",INDEX('Input Transaksi'!$E:$E,$E141))</f>
        <v/>
      </c>
      <c r="D141" s="5">
        <f>IF($E141="","",INDEX('Input Transaksi'!$F:$F,$E141))</f>
        <v/>
      </c>
      <c r="E141">
        <f>IFERROR(AGGREGATE(15,6,ROW('Input Transaksi'!$B$5:$B$5000)/('Input Transaksi'!$B$5:$B$5000="JCL AYANI"),ROWS($E$5:E141)),"")</f>
        <v/>
      </c>
      <c r="F141" s="5" t="n"/>
    </row>
    <row r="142">
      <c r="A142" s="10">
        <f>IF($E142="","",INDEX('Input Transaksi'!$A:$A,$E142))</f>
        <v/>
      </c>
      <c r="B142" s="5">
        <f>IF($E142="","",INDEX('Input Transaksi'!$D:$D,$E142))</f>
        <v/>
      </c>
      <c r="C142">
        <f>IF($E142="","",INDEX('Input Transaksi'!$E:$E,$E142))</f>
        <v/>
      </c>
      <c r="D142" s="5">
        <f>IF($E142="","",INDEX('Input Transaksi'!$F:$F,$E142))</f>
        <v/>
      </c>
      <c r="E142">
        <f>IFERROR(AGGREGATE(15,6,ROW('Input Transaksi'!$B$5:$B$5000)/('Input Transaksi'!$B$5:$B$5000="JCL AYANI"),ROWS($E$5:E142)),"")</f>
        <v/>
      </c>
      <c r="F142" s="5" t="n"/>
    </row>
    <row r="143">
      <c r="A143" s="10">
        <f>IF($E143="","",INDEX('Input Transaksi'!$A:$A,$E143))</f>
        <v/>
      </c>
      <c r="B143" s="5">
        <f>IF($E143="","",INDEX('Input Transaksi'!$D:$D,$E143))</f>
        <v/>
      </c>
      <c r="C143">
        <f>IF($E143="","",INDEX('Input Transaksi'!$E:$E,$E143))</f>
        <v/>
      </c>
      <c r="D143" s="5">
        <f>IF($E143="","",INDEX('Input Transaksi'!$F:$F,$E143))</f>
        <v/>
      </c>
      <c r="E143">
        <f>IFERROR(AGGREGATE(15,6,ROW('Input Transaksi'!$B$5:$B$5000)/('Input Transaksi'!$B$5:$B$5000="JCL AYANI"),ROWS($E$5:E143)),"")</f>
        <v/>
      </c>
      <c r="F143" s="5" t="n"/>
    </row>
    <row r="144">
      <c r="A144" s="10">
        <f>IF($E144="","",INDEX('Input Transaksi'!$A:$A,$E144))</f>
        <v/>
      </c>
      <c r="B144" s="5">
        <f>IF($E144="","",INDEX('Input Transaksi'!$D:$D,$E144))</f>
        <v/>
      </c>
      <c r="C144">
        <f>IF($E144="","",INDEX('Input Transaksi'!$E:$E,$E144))</f>
        <v/>
      </c>
      <c r="D144" s="5">
        <f>IF($E144="","",INDEX('Input Transaksi'!$F:$F,$E144))</f>
        <v/>
      </c>
      <c r="E144">
        <f>IFERROR(AGGREGATE(15,6,ROW('Input Transaksi'!$B$5:$B$5000)/('Input Transaksi'!$B$5:$B$5000="JCL AYANI"),ROWS($E$5:E144)),"")</f>
        <v/>
      </c>
      <c r="F144" s="5" t="n"/>
    </row>
    <row r="145">
      <c r="A145" s="10">
        <f>IF($E145="","",INDEX('Input Transaksi'!$A:$A,$E145))</f>
        <v/>
      </c>
      <c r="B145" s="5">
        <f>IF($E145="","",INDEX('Input Transaksi'!$D:$D,$E145))</f>
        <v/>
      </c>
      <c r="C145">
        <f>IF($E145="","",INDEX('Input Transaksi'!$E:$E,$E145))</f>
        <v/>
      </c>
      <c r="D145" s="5">
        <f>IF($E145="","",INDEX('Input Transaksi'!$F:$F,$E145))</f>
        <v/>
      </c>
      <c r="E145">
        <f>IFERROR(AGGREGATE(15,6,ROW('Input Transaksi'!$B$5:$B$5000)/('Input Transaksi'!$B$5:$B$5000="JCL AYANI"),ROWS($E$5:E145)),"")</f>
        <v/>
      </c>
      <c r="F145" s="5" t="n"/>
    </row>
    <row r="146">
      <c r="A146" s="10">
        <f>IF($E146="","",INDEX('Input Transaksi'!$A:$A,$E146))</f>
        <v/>
      </c>
      <c r="B146" s="5">
        <f>IF($E146="","",INDEX('Input Transaksi'!$D:$D,$E146))</f>
        <v/>
      </c>
      <c r="C146">
        <f>IF($E146="","",INDEX('Input Transaksi'!$E:$E,$E146))</f>
        <v/>
      </c>
      <c r="D146" s="5">
        <f>IF($E146="","",INDEX('Input Transaksi'!$F:$F,$E146))</f>
        <v/>
      </c>
      <c r="E146">
        <f>IFERROR(AGGREGATE(15,6,ROW('Input Transaksi'!$B$5:$B$5000)/('Input Transaksi'!$B$5:$B$5000="JCL AYANI"),ROWS($E$5:E146)),"")</f>
        <v/>
      </c>
      <c r="F146" s="5" t="n"/>
    </row>
    <row r="147">
      <c r="A147" s="10">
        <f>IF($E147="","",INDEX('Input Transaksi'!$A:$A,$E147))</f>
        <v/>
      </c>
      <c r="B147" s="5">
        <f>IF($E147="","",INDEX('Input Transaksi'!$D:$D,$E147))</f>
        <v/>
      </c>
      <c r="C147">
        <f>IF($E147="","",INDEX('Input Transaksi'!$E:$E,$E147))</f>
        <v/>
      </c>
      <c r="D147" s="5">
        <f>IF($E147="","",INDEX('Input Transaksi'!$F:$F,$E147))</f>
        <v/>
      </c>
      <c r="E147">
        <f>IFERROR(AGGREGATE(15,6,ROW('Input Transaksi'!$B$5:$B$5000)/('Input Transaksi'!$B$5:$B$5000="JCL AYANI"),ROWS($E$5:E147)),"")</f>
        <v/>
      </c>
      <c r="F147" s="5" t="n"/>
    </row>
    <row r="148">
      <c r="A148" s="10">
        <f>IF($E148="","",INDEX('Input Transaksi'!$A:$A,$E148))</f>
        <v/>
      </c>
      <c r="B148" s="5">
        <f>IF($E148="","",INDEX('Input Transaksi'!$D:$D,$E148))</f>
        <v/>
      </c>
      <c r="C148">
        <f>IF($E148="","",INDEX('Input Transaksi'!$E:$E,$E148))</f>
        <v/>
      </c>
      <c r="D148" s="5">
        <f>IF($E148="","",INDEX('Input Transaksi'!$F:$F,$E148))</f>
        <v/>
      </c>
      <c r="E148">
        <f>IFERROR(AGGREGATE(15,6,ROW('Input Transaksi'!$B$5:$B$5000)/('Input Transaksi'!$B$5:$B$5000="JCL AYANI"),ROWS($E$5:E148)),"")</f>
        <v/>
      </c>
      <c r="F148" s="5" t="n"/>
    </row>
    <row r="149">
      <c r="A149" s="10">
        <f>IF($E149="","",INDEX('Input Transaksi'!$A:$A,$E149))</f>
        <v/>
      </c>
      <c r="B149" s="5">
        <f>IF($E149="","",INDEX('Input Transaksi'!$D:$D,$E149))</f>
        <v/>
      </c>
      <c r="C149">
        <f>IF($E149="","",INDEX('Input Transaksi'!$E:$E,$E149))</f>
        <v/>
      </c>
      <c r="D149" s="5">
        <f>IF($E149="","",INDEX('Input Transaksi'!$F:$F,$E149))</f>
        <v/>
      </c>
      <c r="E149">
        <f>IFERROR(AGGREGATE(15,6,ROW('Input Transaksi'!$B$5:$B$5000)/('Input Transaksi'!$B$5:$B$5000="JCL AYANI"),ROWS($E$5:E149)),"")</f>
        <v/>
      </c>
      <c r="F149" s="5" t="n"/>
    </row>
    <row r="150">
      <c r="A150" s="10">
        <f>IF($E150="","",INDEX('Input Transaksi'!$A:$A,$E150))</f>
        <v/>
      </c>
      <c r="B150" s="5">
        <f>IF($E150="","",INDEX('Input Transaksi'!$D:$D,$E150))</f>
        <v/>
      </c>
      <c r="C150">
        <f>IF($E150="","",INDEX('Input Transaksi'!$E:$E,$E150))</f>
        <v/>
      </c>
      <c r="D150" s="5">
        <f>IF($E150="","",INDEX('Input Transaksi'!$F:$F,$E150))</f>
        <v/>
      </c>
      <c r="E150">
        <f>IFERROR(AGGREGATE(15,6,ROW('Input Transaksi'!$B$5:$B$5000)/('Input Transaksi'!$B$5:$B$5000="JCL AYANI"),ROWS($E$5:E150)),"")</f>
        <v/>
      </c>
      <c r="F150" s="5" t="n"/>
    </row>
    <row r="151">
      <c r="A151" s="10">
        <f>IF($E151="","",INDEX('Input Transaksi'!$A:$A,$E151))</f>
        <v/>
      </c>
      <c r="B151" s="5">
        <f>IF($E151="","",INDEX('Input Transaksi'!$D:$D,$E151))</f>
        <v/>
      </c>
      <c r="C151">
        <f>IF($E151="","",INDEX('Input Transaksi'!$E:$E,$E151))</f>
        <v/>
      </c>
      <c r="D151" s="5">
        <f>IF($E151="","",INDEX('Input Transaksi'!$F:$F,$E151))</f>
        <v/>
      </c>
      <c r="E151">
        <f>IFERROR(AGGREGATE(15,6,ROW('Input Transaksi'!$B$5:$B$5000)/('Input Transaksi'!$B$5:$B$5000="JCL AYANI"),ROWS($E$5:E151)),"")</f>
        <v/>
      </c>
      <c r="F151" s="5" t="n"/>
    </row>
    <row r="152">
      <c r="A152" s="10">
        <f>IF($E152="","",INDEX('Input Transaksi'!$A:$A,$E152))</f>
        <v/>
      </c>
      <c r="B152" s="5">
        <f>IF($E152="","",INDEX('Input Transaksi'!$D:$D,$E152))</f>
        <v/>
      </c>
      <c r="C152">
        <f>IF($E152="","",INDEX('Input Transaksi'!$E:$E,$E152))</f>
        <v/>
      </c>
      <c r="D152" s="5">
        <f>IF($E152="","",INDEX('Input Transaksi'!$F:$F,$E152))</f>
        <v/>
      </c>
      <c r="E152">
        <f>IFERROR(AGGREGATE(15,6,ROW('Input Transaksi'!$B$5:$B$5000)/('Input Transaksi'!$B$5:$B$5000="JCL AYANI"),ROWS($E$5:E152)),"")</f>
        <v/>
      </c>
      <c r="F152" s="5" t="n"/>
    </row>
    <row r="153">
      <c r="A153" s="10">
        <f>IF($E153="","",INDEX('Input Transaksi'!$A:$A,$E153))</f>
        <v/>
      </c>
      <c r="B153" s="5">
        <f>IF($E153="","",INDEX('Input Transaksi'!$D:$D,$E153))</f>
        <v/>
      </c>
      <c r="C153">
        <f>IF($E153="","",INDEX('Input Transaksi'!$E:$E,$E153))</f>
        <v/>
      </c>
      <c r="D153" s="5">
        <f>IF($E153="","",INDEX('Input Transaksi'!$F:$F,$E153))</f>
        <v/>
      </c>
      <c r="E153">
        <f>IFERROR(AGGREGATE(15,6,ROW('Input Transaksi'!$B$5:$B$5000)/('Input Transaksi'!$B$5:$B$5000="JCL AYANI"),ROWS($E$5:E153)),"")</f>
        <v/>
      </c>
      <c r="F153" s="5" t="n"/>
    </row>
    <row r="154">
      <c r="A154" s="10">
        <f>IF($E154="","",INDEX('Input Transaksi'!$A:$A,$E154))</f>
        <v/>
      </c>
      <c r="B154" s="5">
        <f>IF($E154="","",INDEX('Input Transaksi'!$D:$D,$E154))</f>
        <v/>
      </c>
      <c r="C154">
        <f>IF($E154="","",INDEX('Input Transaksi'!$E:$E,$E154))</f>
        <v/>
      </c>
      <c r="D154" s="5">
        <f>IF($E154="","",INDEX('Input Transaksi'!$F:$F,$E154))</f>
        <v/>
      </c>
      <c r="E154">
        <f>IFERROR(AGGREGATE(15,6,ROW('Input Transaksi'!$B$5:$B$5000)/('Input Transaksi'!$B$5:$B$5000="JCL AYANI"),ROWS($E$5:E154)),"")</f>
        <v/>
      </c>
      <c r="F154" s="5" t="n"/>
    </row>
    <row r="155">
      <c r="A155" s="10">
        <f>IF($E155="","",INDEX('Input Transaksi'!$A:$A,$E155))</f>
        <v/>
      </c>
      <c r="B155" s="5">
        <f>IF($E155="","",INDEX('Input Transaksi'!$D:$D,$E155))</f>
        <v/>
      </c>
      <c r="C155">
        <f>IF($E155="","",INDEX('Input Transaksi'!$E:$E,$E155))</f>
        <v/>
      </c>
      <c r="D155" s="5">
        <f>IF($E155="","",INDEX('Input Transaksi'!$F:$F,$E155))</f>
        <v/>
      </c>
      <c r="E155">
        <f>IFERROR(AGGREGATE(15,6,ROW('Input Transaksi'!$B$5:$B$5000)/('Input Transaksi'!$B$5:$B$5000="JCL AYANI"),ROWS($E$5:E155)),"")</f>
        <v/>
      </c>
      <c r="F155" s="5" t="n"/>
    </row>
    <row r="156">
      <c r="A156" s="10">
        <f>IF($E156="","",INDEX('Input Transaksi'!$A:$A,$E156))</f>
        <v/>
      </c>
      <c r="B156" s="5">
        <f>IF($E156="","",INDEX('Input Transaksi'!$D:$D,$E156))</f>
        <v/>
      </c>
      <c r="C156">
        <f>IF($E156="","",INDEX('Input Transaksi'!$E:$E,$E156))</f>
        <v/>
      </c>
      <c r="D156" s="5">
        <f>IF($E156="","",INDEX('Input Transaksi'!$F:$F,$E156))</f>
        <v/>
      </c>
      <c r="E156">
        <f>IFERROR(AGGREGATE(15,6,ROW('Input Transaksi'!$B$5:$B$5000)/('Input Transaksi'!$B$5:$B$5000="JCL AYANI"),ROWS($E$5:E156)),"")</f>
        <v/>
      </c>
      <c r="F156" s="5" t="n"/>
    </row>
    <row r="157">
      <c r="A157" s="10">
        <f>IF($E157="","",INDEX('Input Transaksi'!$A:$A,$E157))</f>
        <v/>
      </c>
      <c r="B157" s="5">
        <f>IF($E157="","",INDEX('Input Transaksi'!$D:$D,$E157))</f>
        <v/>
      </c>
      <c r="C157">
        <f>IF($E157="","",INDEX('Input Transaksi'!$E:$E,$E157))</f>
        <v/>
      </c>
      <c r="D157" s="5">
        <f>IF($E157="","",INDEX('Input Transaksi'!$F:$F,$E157))</f>
        <v/>
      </c>
      <c r="E157">
        <f>IFERROR(AGGREGATE(15,6,ROW('Input Transaksi'!$B$5:$B$5000)/('Input Transaksi'!$B$5:$B$5000="JCL AYANI"),ROWS($E$5:E157)),"")</f>
        <v/>
      </c>
      <c r="F157" s="5" t="n"/>
    </row>
    <row r="158">
      <c r="A158" s="10">
        <f>IF($E158="","",INDEX('Input Transaksi'!$A:$A,$E158))</f>
        <v/>
      </c>
      <c r="B158" s="5">
        <f>IF($E158="","",INDEX('Input Transaksi'!$D:$D,$E158))</f>
        <v/>
      </c>
      <c r="C158">
        <f>IF($E158="","",INDEX('Input Transaksi'!$E:$E,$E158))</f>
        <v/>
      </c>
      <c r="D158" s="5">
        <f>IF($E158="","",INDEX('Input Transaksi'!$F:$F,$E158))</f>
        <v/>
      </c>
      <c r="E158">
        <f>IFERROR(AGGREGATE(15,6,ROW('Input Transaksi'!$B$5:$B$5000)/('Input Transaksi'!$B$5:$B$5000="JCL AYANI"),ROWS($E$5:E158)),"")</f>
        <v/>
      </c>
      <c r="F158" s="5" t="n"/>
    </row>
    <row r="159">
      <c r="A159" s="10">
        <f>IF($E159="","",INDEX('Input Transaksi'!$A:$A,$E159))</f>
        <v/>
      </c>
      <c r="B159" s="5">
        <f>IF($E159="","",INDEX('Input Transaksi'!$D:$D,$E159))</f>
        <v/>
      </c>
      <c r="C159">
        <f>IF($E159="","",INDEX('Input Transaksi'!$E:$E,$E159))</f>
        <v/>
      </c>
      <c r="D159" s="5">
        <f>IF($E159="","",INDEX('Input Transaksi'!$F:$F,$E159))</f>
        <v/>
      </c>
      <c r="E159">
        <f>IFERROR(AGGREGATE(15,6,ROW('Input Transaksi'!$B$5:$B$5000)/('Input Transaksi'!$B$5:$B$5000="JCL AYANI"),ROWS($E$5:E159)),"")</f>
        <v/>
      </c>
      <c r="F159" s="5" t="n"/>
    </row>
    <row r="160">
      <c r="A160" s="10">
        <f>IF($E160="","",INDEX('Input Transaksi'!$A:$A,$E160))</f>
        <v/>
      </c>
      <c r="B160" s="5">
        <f>IF($E160="","",INDEX('Input Transaksi'!$D:$D,$E160))</f>
        <v/>
      </c>
      <c r="C160">
        <f>IF($E160="","",INDEX('Input Transaksi'!$E:$E,$E160))</f>
        <v/>
      </c>
      <c r="D160" s="5">
        <f>IF($E160="","",INDEX('Input Transaksi'!$F:$F,$E160))</f>
        <v/>
      </c>
      <c r="E160">
        <f>IFERROR(AGGREGATE(15,6,ROW('Input Transaksi'!$B$5:$B$5000)/('Input Transaksi'!$B$5:$B$5000="JCL AYANI"),ROWS($E$5:E160)),"")</f>
        <v/>
      </c>
      <c r="F160" s="5" t="n"/>
    </row>
    <row r="161">
      <c r="A161" s="10">
        <f>IF($E161="","",INDEX('Input Transaksi'!$A:$A,$E161))</f>
        <v/>
      </c>
      <c r="B161" s="5">
        <f>IF($E161="","",INDEX('Input Transaksi'!$D:$D,$E161))</f>
        <v/>
      </c>
      <c r="C161">
        <f>IF($E161="","",INDEX('Input Transaksi'!$E:$E,$E161))</f>
        <v/>
      </c>
      <c r="D161" s="5">
        <f>IF($E161="","",INDEX('Input Transaksi'!$F:$F,$E161))</f>
        <v/>
      </c>
      <c r="E161">
        <f>IFERROR(AGGREGATE(15,6,ROW('Input Transaksi'!$B$5:$B$5000)/('Input Transaksi'!$B$5:$B$5000="JCL AYANI"),ROWS($E$5:E161)),"")</f>
        <v/>
      </c>
      <c r="F161" s="5" t="n"/>
    </row>
    <row r="162">
      <c r="A162" s="10">
        <f>IF($E162="","",INDEX('Input Transaksi'!$A:$A,$E162))</f>
        <v/>
      </c>
      <c r="B162" s="5">
        <f>IF($E162="","",INDEX('Input Transaksi'!$D:$D,$E162))</f>
        <v/>
      </c>
      <c r="C162">
        <f>IF($E162="","",INDEX('Input Transaksi'!$E:$E,$E162))</f>
        <v/>
      </c>
      <c r="D162" s="5">
        <f>IF($E162="","",INDEX('Input Transaksi'!$F:$F,$E162))</f>
        <v/>
      </c>
      <c r="E162">
        <f>IFERROR(AGGREGATE(15,6,ROW('Input Transaksi'!$B$5:$B$5000)/('Input Transaksi'!$B$5:$B$5000="JCL AYANI"),ROWS($E$5:E162)),"")</f>
        <v/>
      </c>
      <c r="F162" s="5" t="n"/>
    </row>
    <row r="163">
      <c r="A163" s="10">
        <f>IF($E163="","",INDEX('Input Transaksi'!$A:$A,$E163))</f>
        <v/>
      </c>
      <c r="B163" s="5">
        <f>IF($E163="","",INDEX('Input Transaksi'!$D:$D,$E163))</f>
        <v/>
      </c>
      <c r="C163">
        <f>IF($E163="","",INDEX('Input Transaksi'!$E:$E,$E163))</f>
        <v/>
      </c>
      <c r="D163" s="5">
        <f>IF($E163="","",INDEX('Input Transaksi'!$F:$F,$E163))</f>
        <v/>
      </c>
      <c r="E163">
        <f>IFERROR(AGGREGATE(15,6,ROW('Input Transaksi'!$B$5:$B$5000)/('Input Transaksi'!$B$5:$B$5000="JCL AYANI"),ROWS($E$5:E163)),"")</f>
        <v/>
      </c>
      <c r="F163" s="5" t="n"/>
    </row>
    <row r="164">
      <c r="A164" s="10">
        <f>IF($E164="","",INDEX('Input Transaksi'!$A:$A,$E164))</f>
        <v/>
      </c>
      <c r="B164" s="5">
        <f>IF($E164="","",INDEX('Input Transaksi'!$D:$D,$E164))</f>
        <v/>
      </c>
      <c r="C164">
        <f>IF($E164="","",INDEX('Input Transaksi'!$E:$E,$E164))</f>
        <v/>
      </c>
      <c r="D164" s="5">
        <f>IF($E164="","",INDEX('Input Transaksi'!$F:$F,$E164))</f>
        <v/>
      </c>
      <c r="E164">
        <f>IFERROR(AGGREGATE(15,6,ROW('Input Transaksi'!$B$5:$B$5000)/('Input Transaksi'!$B$5:$B$5000="JCL AYANI"),ROWS($E$5:E164)),"")</f>
        <v/>
      </c>
      <c r="F164" s="5" t="n"/>
    </row>
    <row r="165">
      <c r="A165" s="10">
        <f>IF($E165="","",INDEX('Input Transaksi'!$A:$A,$E165))</f>
        <v/>
      </c>
      <c r="B165" s="5">
        <f>IF($E165="","",INDEX('Input Transaksi'!$D:$D,$E165))</f>
        <v/>
      </c>
      <c r="C165">
        <f>IF($E165="","",INDEX('Input Transaksi'!$E:$E,$E165))</f>
        <v/>
      </c>
      <c r="D165" s="5">
        <f>IF($E165="","",INDEX('Input Transaksi'!$F:$F,$E165))</f>
        <v/>
      </c>
      <c r="E165">
        <f>IFERROR(AGGREGATE(15,6,ROW('Input Transaksi'!$B$5:$B$5000)/('Input Transaksi'!$B$5:$B$5000="JCL AYANI"),ROWS($E$5:E165)),"")</f>
        <v/>
      </c>
      <c r="F165" s="5" t="n"/>
    </row>
    <row r="166">
      <c r="A166" s="10">
        <f>IF($E166="","",INDEX('Input Transaksi'!$A:$A,$E166))</f>
        <v/>
      </c>
      <c r="B166" s="5">
        <f>IF($E166="","",INDEX('Input Transaksi'!$D:$D,$E166))</f>
        <v/>
      </c>
      <c r="C166">
        <f>IF($E166="","",INDEX('Input Transaksi'!$E:$E,$E166))</f>
        <v/>
      </c>
      <c r="D166" s="5">
        <f>IF($E166="","",INDEX('Input Transaksi'!$F:$F,$E166))</f>
        <v/>
      </c>
      <c r="E166">
        <f>IFERROR(AGGREGATE(15,6,ROW('Input Transaksi'!$B$5:$B$5000)/('Input Transaksi'!$B$5:$B$5000="JCL AYANI"),ROWS($E$5:E166)),"")</f>
        <v/>
      </c>
      <c r="F166" s="5" t="n"/>
    </row>
    <row r="167">
      <c r="A167" s="10">
        <f>IF($E167="","",INDEX('Input Transaksi'!$A:$A,$E167))</f>
        <v/>
      </c>
      <c r="B167" s="5">
        <f>IF($E167="","",INDEX('Input Transaksi'!$D:$D,$E167))</f>
        <v/>
      </c>
      <c r="C167">
        <f>IF($E167="","",INDEX('Input Transaksi'!$E:$E,$E167))</f>
        <v/>
      </c>
      <c r="D167" s="5">
        <f>IF($E167="","",INDEX('Input Transaksi'!$F:$F,$E167))</f>
        <v/>
      </c>
      <c r="E167">
        <f>IFERROR(AGGREGATE(15,6,ROW('Input Transaksi'!$B$5:$B$5000)/('Input Transaksi'!$B$5:$B$5000="JCL AYANI"),ROWS($E$5:E167)),"")</f>
        <v/>
      </c>
      <c r="F167" s="5" t="n"/>
    </row>
    <row r="168">
      <c r="A168" s="10">
        <f>IF($E168="","",INDEX('Input Transaksi'!$A:$A,$E168))</f>
        <v/>
      </c>
      <c r="B168" s="5">
        <f>IF($E168="","",INDEX('Input Transaksi'!$D:$D,$E168))</f>
        <v/>
      </c>
      <c r="C168">
        <f>IF($E168="","",INDEX('Input Transaksi'!$E:$E,$E168))</f>
        <v/>
      </c>
      <c r="D168" s="5">
        <f>IF($E168="","",INDEX('Input Transaksi'!$F:$F,$E168))</f>
        <v/>
      </c>
      <c r="E168">
        <f>IFERROR(AGGREGATE(15,6,ROW('Input Transaksi'!$B$5:$B$5000)/('Input Transaksi'!$B$5:$B$5000="JCL AYANI"),ROWS($E$5:E168)),"")</f>
        <v/>
      </c>
      <c r="F168" s="5" t="n"/>
    </row>
    <row r="169">
      <c r="A169" s="10">
        <f>IF($E169="","",INDEX('Input Transaksi'!$A:$A,$E169))</f>
        <v/>
      </c>
      <c r="B169" s="5">
        <f>IF($E169="","",INDEX('Input Transaksi'!$D:$D,$E169))</f>
        <v/>
      </c>
      <c r="C169">
        <f>IF($E169="","",INDEX('Input Transaksi'!$E:$E,$E169))</f>
        <v/>
      </c>
      <c r="D169" s="5">
        <f>IF($E169="","",INDEX('Input Transaksi'!$F:$F,$E169))</f>
        <v/>
      </c>
      <c r="E169">
        <f>IFERROR(AGGREGATE(15,6,ROW('Input Transaksi'!$B$5:$B$5000)/('Input Transaksi'!$B$5:$B$5000="JCL AYANI"),ROWS($E$5:E169)),"")</f>
        <v/>
      </c>
      <c r="F169" s="5" t="n"/>
    </row>
    <row r="170">
      <c r="A170" s="10">
        <f>IF($E170="","",INDEX('Input Transaksi'!$A:$A,$E170))</f>
        <v/>
      </c>
      <c r="B170" s="5">
        <f>IF($E170="","",INDEX('Input Transaksi'!$D:$D,$E170))</f>
        <v/>
      </c>
      <c r="C170">
        <f>IF($E170="","",INDEX('Input Transaksi'!$E:$E,$E170))</f>
        <v/>
      </c>
      <c r="D170" s="5">
        <f>IF($E170="","",INDEX('Input Transaksi'!$F:$F,$E170))</f>
        <v/>
      </c>
      <c r="E170">
        <f>IFERROR(AGGREGATE(15,6,ROW('Input Transaksi'!$B$5:$B$5000)/('Input Transaksi'!$B$5:$B$5000="JCL AYANI"),ROWS($E$5:E170)),"")</f>
        <v/>
      </c>
      <c r="F170" s="5" t="n"/>
    </row>
    <row r="171">
      <c r="A171" s="10">
        <f>IF($E171="","",INDEX('Input Transaksi'!$A:$A,$E171))</f>
        <v/>
      </c>
      <c r="B171" s="5">
        <f>IF($E171="","",INDEX('Input Transaksi'!$D:$D,$E171))</f>
        <v/>
      </c>
      <c r="C171">
        <f>IF($E171="","",INDEX('Input Transaksi'!$E:$E,$E171))</f>
        <v/>
      </c>
      <c r="D171" s="5">
        <f>IF($E171="","",INDEX('Input Transaksi'!$F:$F,$E171))</f>
        <v/>
      </c>
      <c r="E171">
        <f>IFERROR(AGGREGATE(15,6,ROW('Input Transaksi'!$B$5:$B$5000)/('Input Transaksi'!$B$5:$B$5000="JCL AYANI"),ROWS($E$5:E171)),"")</f>
        <v/>
      </c>
      <c r="F171" s="5" t="n"/>
    </row>
    <row r="172">
      <c r="A172" s="10">
        <f>IF($E172="","",INDEX('Input Transaksi'!$A:$A,$E172))</f>
        <v/>
      </c>
      <c r="B172" s="5">
        <f>IF($E172="","",INDEX('Input Transaksi'!$D:$D,$E172))</f>
        <v/>
      </c>
      <c r="C172">
        <f>IF($E172="","",INDEX('Input Transaksi'!$E:$E,$E172))</f>
        <v/>
      </c>
      <c r="D172" s="5">
        <f>IF($E172="","",INDEX('Input Transaksi'!$F:$F,$E172))</f>
        <v/>
      </c>
      <c r="E172">
        <f>IFERROR(AGGREGATE(15,6,ROW('Input Transaksi'!$B$5:$B$5000)/('Input Transaksi'!$B$5:$B$5000="JCL AYANI"),ROWS($E$5:E172)),"")</f>
        <v/>
      </c>
      <c r="F172" s="5" t="n"/>
    </row>
    <row r="173">
      <c r="A173" s="10">
        <f>IF($E173="","",INDEX('Input Transaksi'!$A:$A,$E173))</f>
        <v/>
      </c>
      <c r="B173" s="5">
        <f>IF($E173="","",INDEX('Input Transaksi'!$D:$D,$E173))</f>
        <v/>
      </c>
      <c r="C173">
        <f>IF($E173="","",INDEX('Input Transaksi'!$E:$E,$E173))</f>
        <v/>
      </c>
      <c r="D173" s="5">
        <f>IF($E173="","",INDEX('Input Transaksi'!$F:$F,$E173))</f>
        <v/>
      </c>
      <c r="E173">
        <f>IFERROR(AGGREGATE(15,6,ROW('Input Transaksi'!$B$5:$B$5000)/('Input Transaksi'!$B$5:$B$5000="JCL AYANI"),ROWS($E$5:E173)),"")</f>
        <v/>
      </c>
      <c r="F173" s="5" t="n"/>
    </row>
    <row r="174">
      <c r="A174" s="10">
        <f>IF($E174="","",INDEX('Input Transaksi'!$A:$A,$E174))</f>
        <v/>
      </c>
      <c r="B174" s="5">
        <f>IF($E174="","",INDEX('Input Transaksi'!$D:$D,$E174))</f>
        <v/>
      </c>
      <c r="C174">
        <f>IF($E174="","",INDEX('Input Transaksi'!$E:$E,$E174))</f>
        <v/>
      </c>
      <c r="D174" s="5">
        <f>IF($E174="","",INDEX('Input Transaksi'!$F:$F,$E174))</f>
        <v/>
      </c>
      <c r="E174">
        <f>IFERROR(AGGREGATE(15,6,ROW('Input Transaksi'!$B$5:$B$5000)/('Input Transaksi'!$B$5:$B$5000="JCL AYANI"),ROWS($E$5:E174)),"")</f>
        <v/>
      </c>
      <c r="F174" s="5" t="n"/>
    </row>
    <row r="175">
      <c r="A175" s="10">
        <f>IF($E175="","",INDEX('Input Transaksi'!$A:$A,$E175))</f>
        <v/>
      </c>
      <c r="B175" s="5">
        <f>IF($E175="","",INDEX('Input Transaksi'!$D:$D,$E175))</f>
        <v/>
      </c>
      <c r="C175">
        <f>IF($E175="","",INDEX('Input Transaksi'!$E:$E,$E175))</f>
        <v/>
      </c>
      <c r="D175" s="5">
        <f>IF($E175="","",INDEX('Input Transaksi'!$F:$F,$E175))</f>
        <v/>
      </c>
      <c r="E175">
        <f>IFERROR(AGGREGATE(15,6,ROW('Input Transaksi'!$B$5:$B$5000)/('Input Transaksi'!$B$5:$B$5000="JCL AYANI"),ROWS($E$5:E175)),"")</f>
        <v/>
      </c>
      <c r="F175" s="5" t="n"/>
    </row>
    <row r="176">
      <c r="A176" s="10">
        <f>IF($E176="","",INDEX('Input Transaksi'!$A:$A,$E176))</f>
        <v/>
      </c>
      <c r="B176" s="5">
        <f>IF($E176="","",INDEX('Input Transaksi'!$D:$D,$E176))</f>
        <v/>
      </c>
      <c r="C176">
        <f>IF($E176="","",INDEX('Input Transaksi'!$E:$E,$E176))</f>
        <v/>
      </c>
      <c r="D176" s="5">
        <f>IF($E176="","",INDEX('Input Transaksi'!$F:$F,$E176))</f>
        <v/>
      </c>
      <c r="E176">
        <f>IFERROR(AGGREGATE(15,6,ROW('Input Transaksi'!$B$5:$B$5000)/('Input Transaksi'!$B$5:$B$5000="JCL AYANI"),ROWS($E$5:E176)),"")</f>
        <v/>
      </c>
      <c r="F176" s="5" t="n"/>
    </row>
    <row r="177">
      <c r="A177" s="10">
        <f>IF($E177="","",INDEX('Input Transaksi'!$A:$A,$E177))</f>
        <v/>
      </c>
      <c r="B177" s="5">
        <f>IF($E177="","",INDEX('Input Transaksi'!$D:$D,$E177))</f>
        <v/>
      </c>
      <c r="C177">
        <f>IF($E177="","",INDEX('Input Transaksi'!$E:$E,$E177))</f>
        <v/>
      </c>
      <c r="D177" s="5">
        <f>IF($E177="","",INDEX('Input Transaksi'!$F:$F,$E177))</f>
        <v/>
      </c>
      <c r="E177">
        <f>IFERROR(AGGREGATE(15,6,ROW('Input Transaksi'!$B$5:$B$5000)/('Input Transaksi'!$B$5:$B$5000="JCL AYANI"),ROWS($E$5:E177)),"")</f>
        <v/>
      </c>
      <c r="F177" s="5" t="n"/>
    </row>
    <row r="178">
      <c r="A178" s="10">
        <f>IF($E178="","",INDEX('Input Transaksi'!$A:$A,$E178))</f>
        <v/>
      </c>
      <c r="B178" s="5">
        <f>IF($E178="","",INDEX('Input Transaksi'!$D:$D,$E178))</f>
        <v/>
      </c>
      <c r="C178">
        <f>IF($E178="","",INDEX('Input Transaksi'!$E:$E,$E178))</f>
        <v/>
      </c>
      <c r="D178" s="5">
        <f>IF($E178="","",INDEX('Input Transaksi'!$F:$F,$E178))</f>
        <v/>
      </c>
      <c r="E178">
        <f>IFERROR(AGGREGATE(15,6,ROW('Input Transaksi'!$B$5:$B$5000)/('Input Transaksi'!$B$5:$B$5000="JCL AYANI"),ROWS($E$5:E178)),"")</f>
        <v/>
      </c>
      <c r="F178" s="5" t="n"/>
    </row>
    <row r="179">
      <c r="A179" s="10">
        <f>IF($E179="","",INDEX('Input Transaksi'!$A:$A,$E179))</f>
        <v/>
      </c>
      <c r="B179" s="5">
        <f>IF($E179="","",INDEX('Input Transaksi'!$D:$D,$E179))</f>
        <v/>
      </c>
      <c r="C179">
        <f>IF($E179="","",INDEX('Input Transaksi'!$E:$E,$E179))</f>
        <v/>
      </c>
      <c r="D179" s="5">
        <f>IF($E179="","",INDEX('Input Transaksi'!$F:$F,$E179))</f>
        <v/>
      </c>
      <c r="E179">
        <f>IFERROR(AGGREGATE(15,6,ROW('Input Transaksi'!$B$5:$B$5000)/('Input Transaksi'!$B$5:$B$5000="JCL AYANI"),ROWS($E$5:E179)),"")</f>
        <v/>
      </c>
      <c r="F179" s="5" t="n"/>
    </row>
    <row r="180">
      <c r="A180" s="10">
        <f>IF($E180="","",INDEX('Input Transaksi'!$A:$A,$E180))</f>
        <v/>
      </c>
      <c r="B180" s="5">
        <f>IF($E180="","",INDEX('Input Transaksi'!$D:$D,$E180))</f>
        <v/>
      </c>
      <c r="C180">
        <f>IF($E180="","",INDEX('Input Transaksi'!$E:$E,$E180))</f>
        <v/>
      </c>
      <c r="D180" s="5">
        <f>IF($E180="","",INDEX('Input Transaksi'!$F:$F,$E180))</f>
        <v/>
      </c>
      <c r="E180">
        <f>IFERROR(AGGREGATE(15,6,ROW('Input Transaksi'!$B$5:$B$5000)/('Input Transaksi'!$B$5:$B$5000="JCL AYANI"),ROWS($E$5:E180)),"")</f>
        <v/>
      </c>
      <c r="F180" s="5" t="n"/>
    </row>
    <row r="181">
      <c r="A181" s="10">
        <f>IF($E181="","",INDEX('Input Transaksi'!$A:$A,$E181))</f>
        <v/>
      </c>
      <c r="B181" s="5">
        <f>IF($E181="","",INDEX('Input Transaksi'!$D:$D,$E181))</f>
        <v/>
      </c>
      <c r="C181">
        <f>IF($E181="","",INDEX('Input Transaksi'!$E:$E,$E181))</f>
        <v/>
      </c>
      <c r="D181" s="5">
        <f>IF($E181="","",INDEX('Input Transaksi'!$F:$F,$E181))</f>
        <v/>
      </c>
      <c r="E181">
        <f>IFERROR(AGGREGATE(15,6,ROW('Input Transaksi'!$B$5:$B$5000)/('Input Transaksi'!$B$5:$B$5000="JCL AYANI"),ROWS($E$5:E181)),"")</f>
        <v/>
      </c>
      <c r="F181" s="5" t="n"/>
    </row>
    <row r="182">
      <c r="A182" s="10">
        <f>IF($E182="","",INDEX('Input Transaksi'!$A:$A,$E182))</f>
        <v/>
      </c>
      <c r="B182" s="5">
        <f>IF($E182="","",INDEX('Input Transaksi'!$D:$D,$E182))</f>
        <v/>
      </c>
      <c r="C182">
        <f>IF($E182="","",INDEX('Input Transaksi'!$E:$E,$E182))</f>
        <v/>
      </c>
      <c r="D182" s="5">
        <f>IF($E182="","",INDEX('Input Transaksi'!$F:$F,$E182))</f>
        <v/>
      </c>
      <c r="E182">
        <f>IFERROR(AGGREGATE(15,6,ROW('Input Transaksi'!$B$5:$B$5000)/('Input Transaksi'!$B$5:$B$5000="JCL AYANI"),ROWS($E$5:E182)),"")</f>
        <v/>
      </c>
      <c r="F182" s="5" t="n"/>
    </row>
    <row r="183">
      <c r="A183" s="10">
        <f>IF($E183="","",INDEX('Input Transaksi'!$A:$A,$E183))</f>
        <v/>
      </c>
      <c r="B183" s="5">
        <f>IF($E183="","",INDEX('Input Transaksi'!$D:$D,$E183))</f>
        <v/>
      </c>
      <c r="C183">
        <f>IF($E183="","",INDEX('Input Transaksi'!$E:$E,$E183))</f>
        <v/>
      </c>
      <c r="D183" s="5">
        <f>IF($E183="","",INDEX('Input Transaksi'!$F:$F,$E183))</f>
        <v/>
      </c>
      <c r="E183">
        <f>IFERROR(AGGREGATE(15,6,ROW('Input Transaksi'!$B$5:$B$5000)/('Input Transaksi'!$B$5:$B$5000="JCL AYANI"),ROWS($E$5:E183)),"")</f>
        <v/>
      </c>
      <c r="F183" s="5" t="n"/>
    </row>
    <row r="184">
      <c r="A184" s="10">
        <f>IF($E184="","",INDEX('Input Transaksi'!$A:$A,$E184))</f>
        <v/>
      </c>
      <c r="B184" s="5">
        <f>IF($E184="","",INDEX('Input Transaksi'!$D:$D,$E184))</f>
        <v/>
      </c>
      <c r="C184">
        <f>IF($E184="","",INDEX('Input Transaksi'!$E:$E,$E184))</f>
        <v/>
      </c>
      <c r="D184" s="5">
        <f>IF($E184="","",INDEX('Input Transaksi'!$F:$F,$E184))</f>
        <v/>
      </c>
      <c r="E184">
        <f>IFERROR(AGGREGATE(15,6,ROW('Input Transaksi'!$B$5:$B$5000)/('Input Transaksi'!$B$5:$B$5000="JCL AYANI"),ROWS($E$5:E184)),"")</f>
        <v/>
      </c>
      <c r="F184" s="5" t="n"/>
    </row>
    <row r="185">
      <c r="A185" s="10">
        <f>IF($E185="","",INDEX('Input Transaksi'!$A:$A,$E185))</f>
        <v/>
      </c>
      <c r="B185" s="5">
        <f>IF($E185="","",INDEX('Input Transaksi'!$D:$D,$E185))</f>
        <v/>
      </c>
      <c r="C185">
        <f>IF($E185="","",INDEX('Input Transaksi'!$E:$E,$E185))</f>
        <v/>
      </c>
      <c r="D185" s="5">
        <f>IF($E185="","",INDEX('Input Transaksi'!$F:$F,$E185))</f>
        <v/>
      </c>
      <c r="E185">
        <f>IFERROR(AGGREGATE(15,6,ROW('Input Transaksi'!$B$5:$B$5000)/('Input Transaksi'!$B$5:$B$5000="JCL AYANI"),ROWS($E$5:E185)),"")</f>
        <v/>
      </c>
      <c r="F185" s="5" t="n"/>
    </row>
    <row r="186">
      <c r="A186" s="10">
        <f>IF($E186="","",INDEX('Input Transaksi'!$A:$A,$E186))</f>
        <v/>
      </c>
      <c r="B186" s="5">
        <f>IF($E186="","",INDEX('Input Transaksi'!$D:$D,$E186))</f>
        <v/>
      </c>
      <c r="C186">
        <f>IF($E186="","",INDEX('Input Transaksi'!$E:$E,$E186))</f>
        <v/>
      </c>
      <c r="D186" s="5">
        <f>IF($E186="","",INDEX('Input Transaksi'!$F:$F,$E186))</f>
        <v/>
      </c>
      <c r="E186">
        <f>IFERROR(AGGREGATE(15,6,ROW('Input Transaksi'!$B$5:$B$5000)/('Input Transaksi'!$B$5:$B$5000="JCL AYANI"),ROWS($E$5:E186)),"")</f>
        <v/>
      </c>
      <c r="F186" s="5" t="n"/>
    </row>
    <row r="187">
      <c r="A187" s="10">
        <f>IF($E187="","",INDEX('Input Transaksi'!$A:$A,$E187))</f>
        <v/>
      </c>
      <c r="B187" s="5">
        <f>IF($E187="","",INDEX('Input Transaksi'!$D:$D,$E187))</f>
        <v/>
      </c>
      <c r="C187">
        <f>IF($E187="","",INDEX('Input Transaksi'!$E:$E,$E187))</f>
        <v/>
      </c>
      <c r="D187" s="5">
        <f>IF($E187="","",INDEX('Input Transaksi'!$F:$F,$E187))</f>
        <v/>
      </c>
      <c r="E187">
        <f>IFERROR(AGGREGATE(15,6,ROW('Input Transaksi'!$B$5:$B$5000)/('Input Transaksi'!$B$5:$B$5000="JCL AYANI"),ROWS($E$5:E187)),"")</f>
        <v/>
      </c>
      <c r="F187" s="5" t="n"/>
    </row>
    <row r="188">
      <c r="A188" s="10">
        <f>IF($E188="","",INDEX('Input Transaksi'!$A:$A,$E188))</f>
        <v/>
      </c>
      <c r="B188" s="5">
        <f>IF($E188="","",INDEX('Input Transaksi'!$D:$D,$E188))</f>
        <v/>
      </c>
      <c r="C188">
        <f>IF($E188="","",INDEX('Input Transaksi'!$E:$E,$E188))</f>
        <v/>
      </c>
      <c r="D188" s="5">
        <f>IF($E188="","",INDEX('Input Transaksi'!$F:$F,$E188))</f>
        <v/>
      </c>
      <c r="E188">
        <f>IFERROR(AGGREGATE(15,6,ROW('Input Transaksi'!$B$5:$B$5000)/('Input Transaksi'!$B$5:$B$5000="JCL AYANI"),ROWS($E$5:E188)),"")</f>
        <v/>
      </c>
      <c r="F188" s="5" t="n"/>
    </row>
    <row r="189">
      <c r="A189" s="10">
        <f>IF($E189="","",INDEX('Input Transaksi'!$A:$A,$E189))</f>
        <v/>
      </c>
      <c r="B189" s="5">
        <f>IF($E189="","",INDEX('Input Transaksi'!$D:$D,$E189))</f>
        <v/>
      </c>
      <c r="C189">
        <f>IF($E189="","",INDEX('Input Transaksi'!$E:$E,$E189))</f>
        <v/>
      </c>
      <c r="D189" s="5">
        <f>IF($E189="","",INDEX('Input Transaksi'!$F:$F,$E189))</f>
        <v/>
      </c>
      <c r="E189">
        <f>IFERROR(AGGREGATE(15,6,ROW('Input Transaksi'!$B$5:$B$5000)/('Input Transaksi'!$B$5:$B$5000="JCL AYANI"),ROWS($E$5:E189)),"")</f>
        <v/>
      </c>
      <c r="F189" s="5" t="n"/>
    </row>
    <row r="190">
      <c r="A190" s="10">
        <f>IF($E190="","",INDEX('Input Transaksi'!$A:$A,$E190))</f>
        <v/>
      </c>
      <c r="B190" s="5">
        <f>IF($E190="","",INDEX('Input Transaksi'!$D:$D,$E190))</f>
        <v/>
      </c>
      <c r="C190">
        <f>IF($E190="","",INDEX('Input Transaksi'!$E:$E,$E190))</f>
        <v/>
      </c>
      <c r="D190" s="5">
        <f>IF($E190="","",INDEX('Input Transaksi'!$F:$F,$E190))</f>
        <v/>
      </c>
      <c r="E190">
        <f>IFERROR(AGGREGATE(15,6,ROW('Input Transaksi'!$B$5:$B$5000)/('Input Transaksi'!$B$5:$B$5000="JCL AYANI"),ROWS($E$5:E190)),"")</f>
        <v/>
      </c>
      <c r="F190" s="5" t="n"/>
    </row>
    <row r="191">
      <c r="A191" s="10">
        <f>IF($E191="","",INDEX('Input Transaksi'!$A:$A,$E191))</f>
        <v/>
      </c>
      <c r="B191" s="5">
        <f>IF($E191="","",INDEX('Input Transaksi'!$D:$D,$E191))</f>
        <v/>
      </c>
      <c r="C191">
        <f>IF($E191="","",INDEX('Input Transaksi'!$E:$E,$E191))</f>
        <v/>
      </c>
      <c r="D191" s="5">
        <f>IF($E191="","",INDEX('Input Transaksi'!$F:$F,$E191))</f>
        <v/>
      </c>
      <c r="E191">
        <f>IFERROR(AGGREGATE(15,6,ROW('Input Transaksi'!$B$5:$B$5000)/('Input Transaksi'!$B$5:$B$5000="JCL AYANI"),ROWS($E$5:E191)),"")</f>
        <v/>
      </c>
      <c r="F191" s="5" t="n"/>
    </row>
    <row r="192">
      <c r="A192" s="10">
        <f>IF($E192="","",INDEX('Input Transaksi'!$A:$A,$E192))</f>
        <v/>
      </c>
      <c r="B192" s="5">
        <f>IF($E192="","",INDEX('Input Transaksi'!$D:$D,$E192))</f>
        <v/>
      </c>
      <c r="C192">
        <f>IF($E192="","",INDEX('Input Transaksi'!$E:$E,$E192))</f>
        <v/>
      </c>
      <c r="D192" s="5">
        <f>IF($E192="","",INDEX('Input Transaksi'!$F:$F,$E192))</f>
        <v/>
      </c>
      <c r="E192">
        <f>IFERROR(AGGREGATE(15,6,ROW('Input Transaksi'!$B$5:$B$5000)/('Input Transaksi'!$B$5:$B$5000="JCL AYANI"),ROWS($E$5:E192)),"")</f>
        <v/>
      </c>
      <c r="F192" s="5" t="n"/>
    </row>
    <row r="193">
      <c r="A193" s="10">
        <f>IF($E193="","",INDEX('Input Transaksi'!$A:$A,$E193))</f>
        <v/>
      </c>
      <c r="B193" s="5">
        <f>IF($E193="","",INDEX('Input Transaksi'!$D:$D,$E193))</f>
        <v/>
      </c>
      <c r="C193">
        <f>IF($E193="","",INDEX('Input Transaksi'!$E:$E,$E193))</f>
        <v/>
      </c>
      <c r="D193" s="5">
        <f>IF($E193="","",INDEX('Input Transaksi'!$F:$F,$E193))</f>
        <v/>
      </c>
      <c r="E193">
        <f>IFERROR(AGGREGATE(15,6,ROW('Input Transaksi'!$B$5:$B$5000)/('Input Transaksi'!$B$5:$B$5000="JCL AYANI"),ROWS($E$5:E193)),"")</f>
        <v/>
      </c>
      <c r="F193" s="5" t="n"/>
    </row>
    <row r="194">
      <c r="A194" s="10">
        <f>IF($E194="","",INDEX('Input Transaksi'!$A:$A,$E194))</f>
        <v/>
      </c>
      <c r="B194" s="5">
        <f>IF($E194="","",INDEX('Input Transaksi'!$D:$D,$E194))</f>
        <v/>
      </c>
      <c r="C194">
        <f>IF($E194="","",INDEX('Input Transaksi'!$E:$E,$E194))</f>
        <v/>
      </c>
      <c r="D194" s="5">
        <f>IF($E194="","",INDEX('Input Transaksi'!$F:$F,$E194))</f>
        <v/>
      </c>
      <c r="E194">
        <f>IFERROR(AGGREGATE(15,6,ROW('Input Transaksi'!$B$5:$B$5000)/('Input Transaksi'!$B$5:$B$5000="JCL AYANI"),ROWS($E$5:E194)),"")</f>
        <v/>
      </c>
      <c r="F194" s="5" t="n"/>
    </row>
    <row r="195">
      <c r="A195" s="10">
        <f>IF($E195="","",INDEX('Input Transaksi'!$A:$A,$E195))</f>
        <v/>
      </c>
      <c r="B195" s="5">
        <f>IF($E195="","",INDEX('Input Transaksi'!$D:$D,$E195))</f>
        <v/>
      </c>
      <c r="C195">
        <f>IF($E195="","",INDEX('Input Transaksi'!$E:$E,$E195))</f>
        <v/>
      </c>
      <c r="D195" s="5">
        <f>IF($E195="","",INDEX('Input Transaksi'!$F:$F,$E195))</f>
        <v/>
      </c>
      <c r="E195">
        <f>IFERROR(AGGREGATE(15,6,ROW('Input Transaksi'!$B$5:$B$5000)/('Input Transaksi'!$B$5:$B$5000="JCL AYANI"),ROWS($E$5:E195)),"")</f>
        <v/>
      </c>
      <c r="F195" s="5" t="n"/>
    </row>
    <row r="196">
      <c r="A196" s="10">
        <f>IF($E196="","",INDEX('Input Transaksi'!$A:$A,$E196))</f>
        <v/>
      </c>
      <c r="B196" s="5">
        <f>IF($E196="","",INDEX('Input Transaksi'!$D:$D,$E196))</f>
        <v/>
      </c>
      <c r="C196">
        <f>IF($E196="","",INDEX('Input Transaksi'!$E:$E,$E196))</f>
        <v/>
      </c>
      <c r="D196" s="5">
        <f>IF($E196="","",INDEX('Input Transaksi'!$F:$F,$E196))</f>
        <v/>
      </c>
      <c r="E196">
        <f>IFERROR(AGGREGATE(15,6,ROW('Input Transaksi'!$B$5:$B$5000)/('Input Transaksi'!$B$5:$B$5000="JCL AYANI"),ROWS($E$5:E196)),"")</f>
        <v/>
      </c>
      <c r="F196" s="5" t="n"/>
    </row>
    <row r="197">
      <c r="A197" s="10">
        <f>IF($E197="","",INDEX('Input Transaksi'!$A:$A,$E197))</f>
        <v/>
      </c>
      <c r="B197" s="5">
        <f>IF($E197="","",INDEX('Input Transaksi'!$D:$D,$E197))</f>
        <v/>
      </c>
      <c r="C197">
        <f>IF($E197="","",INDEX('Input Transaksi'!$E:$E,$E197))</f>
        <v/>
      </c>
      <c r="D197" s="5">
        <f>IF($E197="","",INDEX('Input Transaksi'!$F:$F,$E197))</f>
        <v/>
      </c>
      <c r="E197">
        <f>IFERROR(AGGREGATE(15,6,ROW('Input Transaksi'!$B$5:$B$5000)/('Input Transaksi'!$B$5:$B$5000="JCL AYANI"),ROWS($E$5:E197)),"")</f>
        <v/>
      </c>
      <c r="F197" s="5" t="n"/>
    </row>
    <row r="198">
      <c r="A198" s="10">
        <f>IF($E198="","",INDEX('Input Transaksi'!$A:$A,$E198))</f>
        <v/>
      </c>
      <c r="B198" s="5">
        <f>IF($E198="","",INDEX('Input Transaksi'!$D:$D,$E198))</f>
        <v/>
      </c>
      <c r="C198">
        <f>IF($E198="","",INDEX('Input Transaksi'!$E:$E,$E198))</f>
        <v/>
      </c>
      <c r="D198" s="5">
        <f>IF($E198="","",INDEX('Input Transaksi'!$F:$F,$E198))</f>
        <v/>
      </c>
      <c r="E198">
        <f>IFERROR(AGGREGATE(15,6,ROW('Input Transaksi'!$B$5:$B$5000)/('Input Transaksi'!$B$5:$B$5000="JCL AYANI"),ROWS($E$5:E198)),"")</f>
        <v/>
      </c>
      <c r="F198" s="5" t="n"/>
    </row>
    <row r="199">
      <c r="A199" s="10">
        <f>IF($E199="","",INDEX('Input Transaksi'!$A:$A,$E199))</f>
        <v/>
      </c>
      <c r="B199" s="5">
        <f>IF($E199="","",INDEX('Input Transaksi'!$D:$D,$E199))</f>
        <v/>
      </c>
      <c r="C199">
        <f>IF($E199="","",INDEX('Input Transaksi'!$E:$E,$E199))</f>
        <v/>
      </c>
      <c r="D199" s="5">
        <f>IF($E199="","",INDEX('Input Transaksi'!$F:$F,$E199))</f>
        <v/>
      </c>
      <c r="E199">
        <f>IFERROR(AGGREGATE(15,6,ROW('Input Transaksi'!$B$5:$B$5000)/('Input Transaksi'!$B$5:$B$5000="JCL AYANI"),ROWS($E$5:E199)),"")</f>
        <v/>
      </c>
      <c r="F199" s="5" t="n"/>
    </row>
    <row r="200">
      <c r="A200" s="10">
        <f>IF($E200="","",INDEX('Input Transaksi'!$A:$A,$E200))</f>
        <v/>
      </c>
      <c r="B200" s="5">
        <f>IF($E200="","",INDEX('Input Transaksi'!$D:$D,$E200))</f>
        <v/>
      </c>
      <c r="C200">
        <f>IF($E200="","",INDEX('Input Transaksi'!$E:$E,$E200))</f>
        <v/>
      </c>
      <c r="D200" s="5">
        <f>IF($E200="","",INDEX('Input Transaksi'!$F:$F,$E200))</f>
        <v/>
      </c>
      <c r="E200">
        <f>IFERROR(AGGREGATE(15,6,ROW('Input Transaksi'!$B$5:$B$5000)/('Input Transaksi'!$B$5:$B$5000="JCL AYANI"),ROWS($E$5:E200)),"")</f>
        <v/>
      </c>
      <c r="F200" s="5" t="n"/>
    </row>
    <row r="201">
      <c r="A201" s="10">
        <f>IF($E201="","",INDEX('Input Transaksi'!$A:$A,$E201))</f>
        <v/>
      </c>
      <c r="B201" s="5">
        <f>IF($E201="","",INDEX('Input Transaksi'!$D:$D,$E201))</f>
        <v/>
      </c>
      <c r="C201">
        <f>IF($E201="","",INDEX('Input Transaksi'!$E:$E,$E201))</f>
        <v/>
      </c>
      <c r="D201" s="5">
        <f>IF($E201="","",INDEX('Input Transaksi'!$F:$F,$E201))</f>
        <v/>
      </c>
      <c r="E201">
        <f>IFERROR(AGGREGATE(15,6,ROW('Input Transaksi'!$B$5:$B$5000)/('Input Transaksi'!$B$5:$B$5000="JCL AYANI"),ROWS($E$5:E201)),"")</f>
        <v/>
      </c>
      <c r="F201" s="5" t="n"/>
    </row>
    <row r="202">
      <c r="A202" s="10">
        <f>IF($E202="","",INDEX('Input Transaksi'!$A:$A,$E202))</f>
        <v/>
      </c>
      <c r="B202" s="5">
        <f>IF($E202="","",INDEX('Input Transaksi'!$D:$D,$E202))</f>
        <v/>
      </c>
      <c r="C202">
        <f>IF($E202="","",INDEX('Input Transaksi'!$E:$E,$E202))</f>
        <v/>
      </c>
      <c r="D202" s="5">
        <f>IF($E202="","",INDEX('Input Transaksi'!$F:$F,$E202))</f>
        <v/>
      </c>
      <c r="E202">
        <f>IFERROR(AGGREGATE(15,6,ROW('Input Transaksi'!$B$5:$B$5000)/('Input Transaksi'!$B$5:$B$5000="JCL AYANI"),ROWS($E$5:E202)),"")</f>
        <v/>
      </c>
      <c r="F202" s="5" t="n"/>
    </row>
    <row r="203">
      <c r="A203" s="10">
        <f>IF($E203="","",INDEX('Input Transaksi'!$A:$A,$E203))</f>
        <v/>
      </c>
      <c r="B203" s="5">
        <f>IF($E203="","",INDEX('Input Transaksi'!$D:$D,$E203))</f>
        <v/>
      </c>
      <c r="C203">
        <f>IF($E203="","",INDEX('Input Transaksi'!$E:$E,$E203))</f>
        <v/>
      </c>
      <c r="D203" s="5">
        <f>IF($E203="","",INDEX('Input Transaksi'!$F:$F,$E203))</f>
        <v/>
      </c>
      <c r="E203">
        <f>IFERROR(AGGREGATE(15,6,ROW('Input Transaksi'!$B$5:$B$5000)/('Input Transaksi'!$B$5:$B$5000="JCL AYANI"),ROWS($E$5:E203)),"")</f>
        <v/>
      </c>
      <c r="F203" s="5" t="n"/>
    </row>
    <row r="204">
      <c r="A204" s="10">
        <f>IF($E204="","",INDEX('Input Transaksi'!$A:$A,$E204))</f>
        <v/>
      </c>
      <c r="B204" s="5">
        <f>IF($E204="","",INDEX('Input Transaksi'!$D:$D,$E204))</f>
        <v/>
      </c>
      <c r="C204">
        <f>IF($E204="","",INDEX('Input Transaksi'!$E:$E,$E204))</f>
        <v/>
      </c>
      <c r="D204" s="5">
        <f>IF($E204="","",INDEX('Input Transaksi'!$F:$F,$E204))</f>
        <v/>
      </c>
      <c r="E204">
        <f>IFERROR(AGGREGATE(15,6,ROW('Input Transaksi'!$B$5:$B$5000)/('Input Transaksi'!$B$5:$B$5000="JCL AYANI"),ROWS($E$5:E204)),"")</f>
        <v/>
      </c>
      <c r="F204" s="5" t="n"/>
    </row>
    <row r="205">
      <c r="A205" s="10">
        <f>IF($E205="","",INDEX('Input Transaksi'!$A:$A,$E205))</f>
        <v/>
      </c>
      <c r="B205" s="5">
        <f>IF($E205="","",INDEX('Input Transaksi'!$D:$D,$E205))</f>
        <v/>
      </c>
      <c r="C205">
        <f>IF($E205="","",INDEX('Input Transaksi'!$E:$E,$E205))</f>
        <v/>
      </c>
      <c r="D205" s="5">
        <f>IF($E205="","",INDEX('Input Transaksi'!$F:$F,$E205))</f>
        <v/>
      </c>
      <c r="E205">
        <f>IFERROR(AGGREGATE(15,6,ROW('Input Transaksi'!$B$5:$B$5000)/('Input Transaksi'!$B$5:$B$5000="JCL AYANI"),ROWS($E$5:E205)),"")</f>
        <v/>
      </c>
      <c r="F205" s="5" t="n"/>
    </row>
    <row r="206">
      <c r="A206" s="10">
        <f>IF($E206="","",INDEX('Input Transaksi'!$A:$A,$E206))</f>
        <v/>
      </c>
      <c r="B206" s="5">
        <f>IF($E206="","",INDEX('Input Transaksi'!$D:$D,$E206))</f>
        <v/>
      </c>
      <c r="C206">
        <f>IF($E206="","",INDEX('Input Transaksi'!$E:$E,$E206))</f>
        <v/>
      </c>
      <c r="D206" s="5">
        <f>IF($E206="","",INDEX('Input Transaksi'!$F:$F,$E206))</f>
        <v/>
      </c>
      <c r="E206">
        <f>IFERROR(AGGREGATE(15,6,ROW('Input Transaksi'!$B$5:$B$5000)/('Input Transaksi'!$B$5:$B$5000="JCL AYANI"),ROWS($E$5:E206)),"")</f>
        <v/>
      </c>
      <c r="F206" s="5" t="n"/>
    </row>
    <row r="207">
      <c r="A207" s="10">
        <f>IF($E207="","",INDEX('Input Transaksi'!$A:$A,$E207))</f>
        <v/>
      </c>
      <c r="B207" s="5">
        <f>IF($E207="","",INDEX('Input Transaksi'!$D:$D,$E207))</f>
        <v/>
      </c>
      <c r="C207">
        <f>IF($E207="","",INDEX('Input Transaksi'!$E:$E,$E207))</f>
        <v/>
      </c>
      <c r="D207" s="5">
        <f>IF($E207="","",INDEX('Input Transaksi'!$F:$F,$E207))</f>
        <v/>
      </c>
      <c r="E207">
        <f>IFERROR(AGGREGATE(15,6,ROW('Input Transaksi'!$B$5:$B$5000)/('Input Transaksi'!$B$5:$B$5000="JCL AYANI"),ROWS($E$5:E207)),"")</f>
        <v/>
      </c>
      <c r="F207" s="5" t="n"/>
    </row>
    <row r="208">
      <c r="A208" s="10">
        <f>IF($E208="","",INDEX('Input Transaksi'!$A:$A,$E208))</f>
        <v/>
      </c>
      <c r="B208" s="5">
        <f>IF($E208="","",INDEX('Input Transaksi'!$D:$D,$E208))</f>
        <v/>
      </c>
      <c r="C208">
        <f>IF($E208="","",INDEX('Input Transaksi'!$E:$E,$E208))</f>
        <v/>
      </c>
      <c r="D208" s="5">
        <f>IF($E208="","",INDEX('Input Transaksi'!$F:$F,$E208))</f>
        <v/>
      </c>
      <c r="E208">
        <f>IFERROR(AGGREGATE(15,6,ROW('Input Transaksi'!$B$5:$B$5000)/('Input Transaksi'!$B$5:$B$5000="JCL AYANI"),ROWS($E$5:E208)),"")</f>
        <v/>
      </c>
      <c r="F208" s="5" t="n"/>
    </row>
    <row r="209">
      <c r="A209" s="10">
        <f>IF($E209="","",INDEX('Input Transaksi'!$A:$A,$E209))</f>
        <v/>
      </c>
      <c r="B209" s="5">
        <f>IF($E209="","",INDEX('Input Transaksi'!$D:$D,$E209))</f>
        <v/>
      </c>
      <c r="C209">
        <f>IF($E209="","",INDEX('Input Transaksi'!$E:$E,$E209))</f>
        <v/>
      </c>
      <c r="D209" s="5">
        <f>IF($E209="","",INDEX('Input Transaksi'!$F:$F,$E209))</f>
        <v/>
      </c>
      <c r="E209">
        <f>IFERROR(AGGREGATE(15,6,ROW('Input Transaksi'!$B$5:$B$5000)/('Input Transaksi'!$B$5:$B$5000="JCL AYANI"),ROWS($E$5:E209)),"")</f>
        <v/>
      </c>
      <c r="F209" s="5" t="n"/>
    </row>
    <row r="210">
      <c r="A210" s="10">
        <f>IF($E210="","",INDEX('Input Transaksi'!$A:$A,$E210))</f>
        <v/>
      </c>
      <c r="B210" s="5">
        <f>IF($E210="","",INDEX('Input Transaksi'!$D:$D,$E210))</f>
        <v/>
      </c>
      <c r="C210">
        <f>IF($E210="","",INDEX('Input Transaksi'!$E:$E,$E210))</f>
        <v/>
      </c>
      <c r="D210" s="5">
        <f>IF($E210="","",INDEX('Input Transaksi'!$F:$F,$E210))</f>
        <v/>
      </c>
      <c r="E210">
        <f>IFERROR(AGGREGATE(15,6,ROW('Input Transaksi'!$B$5:$B$5000)/('Input Transaksi'!$B$5:$B$5000="JCL AYANI"),ROWS($E$5:E210)),"")</f>
        <v/>
      </c>
      <c r="F210" s="5" t="n"/>
    </row>
    <row r="211">
      <c r="A211" s="10">
        <f>IF($E211="","",INDEX('Input Transaksi'!$A:$A,$E211))</f>
        <v/>
      </c>
      <c r="B211" s="5">
        <f>IF($E211="","",INDEX('Input Transaksi'!$D:$D,$E211))</f>
        <v/>
      </c>
      <c r="C211">
        <f>IF($E211="","",INDEX('Input Transaksi'!$E:$E,$E211))</f>
        <v/>
      </c>
      <c r="D211" s="5">
        <f>IF($E211="","",INDEX('Input Transaksi'!$F:$F,$E211))</f>
        <v/>
      </c>
      <c r="E211">
        <f>IFERROR(AGGREGATE(15,6,ROW('Input Transaksi'!$B$5:$B$5000)/('Input Transaksi'!$B$5:$B$5000="JCL AYANI"),ROWS($E$5:E211)),"")</f>
        <v/>
      </c>
      <c r="F211" s="5" t="n"/>
    </row>
    <row r="212">
      <c r="A212" s="10">
        <f>IF($E212="","",INDEX('Input Transaksi'!$A:$A,$E212))</f>
        <v/>
      </c>
      <c r="B212" s="5">
        <f>IF($E212="","",INDEX('Input Transaksi'!$D:$D,$E212))</f>
        <v/>
      </c>
      <c r="C212">
        <f>IF($E212="","",INDEX('Input Transaksi'!$E:$E,$E212))</f>
        <v/>
      </c>
      <c r="D212" s="5">
        <f>IF($E212="","",INDEX('Input Transaksi'!$F:$F,$E212))</f>
        <v/>
      </c>
      <c r="E212">
        <f>IFERROR(AGGREGATE(15,6,ROW('Input Transaksi'!$B$5:$B$5000)/('Input Transaksi'!$B$5:$B$5000="JCL AYANI"),ROWS($E$5:E212)),"")</f>
        <v/>
      </c>
      <c r="F212" s="5" t="n"/>
    </row>
    <row r="213">
      <c r="A213" s="10">
        <f>IF($E213="","",INDEX('Input Transaksi'!$A:$A,$E213))</f>
        <v/>
      </c>
      <c r="B213" s="5">
        <f>IF($E213="","",INDEX('Input Transaksi'!$D:$D,$E213))</f>
        <v/>
      </c>
      <c r="C213">
        <f>IF($E213="","",INDEX('Input Transaksi'!$E:$E,$E213))</f>
        <v/>
      </c>
      <c r="D213" s="5">
        <f>IF($E213="","",INDEX('Input Transaksi'!$F:$F,$E213))</f>
        <v/>
      </c>
      <c r="E213">
        <f>IFERROR(AGGREGATE(15,6,ROW('Input Transaksi'!$B$5:$B$5000)/('Input Transaksi'!$B$5:$B$5000="JCL AYANI"),ROWS($E$5:E213)),"")</f>
        <v/>
      </c>
      <c r="F213" s="5" t="n"/>
    </row>
    <row r="214">
      <c r="A214" s="10">
        <f>IF($E214="","",INDEX('Input Transaksi'!$A:$A,$E214))</f>
        <v/>
      </c>
      <c r="B214" s="5">
        <f>IF($E214="","",INDEX('Input Transaksi'!$D:$D,$E214))</f>
        <v/>
      </c>
      <c r="C214">
        <f>IF($E214="","",INDEX('Input Transaksi'!$E:$E,$E214))</f>
        <v/>
      </c>
      <c r="D214" s="5">
        <f>IF($E214="","",INDEX('Input Transaksi'!$F:$F,$E214))</f>
        <v/>
      </c>
      <c r="E214">
        <f>IFERROR(AGGREGATE(15,6,ROW('Input Transaksi'!$B$5:$B$5000)/('Input Transaksi'!$B$5:$B$5000="JCL AYANI"),ROWS($E$5:E214)),"")</f>
        <v/>
      </c>
      <c r="F214" s="5" t="n"/>
    </row>
    <row r="215">
      <c r="A215" s="10">
        <f>IF($E215="","",INDEX('Input Transaksi'!$A:$A,$E215))</f>
        <v/>
      </c>
      <c r="B215" s="5">
        <f>IF($E215="","",INDEX('Input Transaksi'!$D:$D,$E215))</f>
        <v/>
      </c>
      <c r="C215">
        <f>IF($E215="","",INDEX('Input Transaksi'!$E:$E,$E215))</f>
        <v/>
      </c>
      <c r="D215" s="5">
        <f>IF($E215="","",INDEX('Input Transaksi'!$F:$F,$E215))</f>
        <v/>
      </c>
      <c r="E215">
        <f>IFERROR(AGGREGATE(15,6,ROW('Input Transaksi'!$B$5:$B$5000)/('Input Transaksi'!$B$5:$B$5000="JCL AYANI"),ROWS($E$5:E215)),"")</f>
        <v/>
      </c>
      <c r="F215" s="5" t="n"/>
    </row>
    <row r="216">
      <c r="A216" s="10">
        <f>IF($E216="","",INDEX('Input Transaksi'!$A:$A,$E216))</f>
        <v/>
      </c>
      <c r="B216" s="5">
        <f>IF($E216="","",INDEX('Input Transaksi'!$D:$D,$E216))</f>
        <v/>
      </c>
      <c r="C216">
        <f>IF($E216="","",INDEX('Input Transaksi'!$E:$E,$E216))</f>
        <v/>
      </c>
      <c r="D216" s="5">
        <f>IF($E216="","",INDEX('Input Transaksi'!$F:$F,$E216))</f>
        <v/>
      </c>
      <c r="E216">
        <f>IFERROR(AGGREGATE(15,6,ROW('Input Transaksi'!$B$5:$B$5000)/('Input Transaksi'!$B$5:$B$5000="JCL AYANI"),ROWS($E$5:E216)),"")</f>
        <v/>
      </c>
      <c r="F216" s="5" t="n"/>
    </row>
    <row r="217">
      <c r="A217" s="10">
        <f>IF($E217="","",INDEX('Input Transaksi'!$A:$A,$E217))</f>
        <v/>
      </c>
      <c r="B217" s="5">
        <f>IF($E217="","",INDEX('Input Transaksi'!$D:$D,$E217))</f>
        <v/>
      </c>
      <c r="C217">
        <f>IF($E217="","",INDEX('Input Transaksi'!$E:$E,$E217))</f>
        <v/>
      </c>
      <c r="D217" s="5">
        <f>IF($E217="","",INDEX('Input Transaksi'!$F:$F,$E217))</f>
        <v/>
      </c>
      <c r="E217">
        <f>IFERROR(AGGREGATE(15,6,ROW('Input Transaksi'!$B$5:$B$5000)/('Input Transaksi'!$B$5:$B$5000="JCL AYANI"),ROWS($E$5:E217)),"")</f>
        <v/>
      </c>
      <c r="F217" s="5" t="n"/>
    </row>
    <row r="218">
      <c r="A218" s="10">
        <f>IF($E218="","",INDEX('Input Transaksi'!$A:$A,$E218))</f>
        <v/>
      </c>
      <c r="B218" s="5">
        <f>IF($E218="","",INDEX('Input Transaksi'!$D:$D,$E218))</f>
        <v/>
      </c>
      <c r="C218">
        <f>IF($E218="","",INDEX('Input Transaksi'!$E:$E,$E218))</f>
        <v/>
      </c>
      <c r="D218" s="5">
        <f>IF($E218="","",INDEX('Input Transaksi'!$F:$F,$E218))</f>
        <v/>
      </c>
      <c r="E218">
        <f>IFERROR(AGGREGATE(15,6,ROW('Input Transaksi'!$B$5:$B$5000)/('Input Transaksi'!$B$5:$B$5000="JCL AYANI"),ROWS($E$5:E218)),"")</f>
        <v/>
      </c>
      <c r="F218" s="5" t="n"/>
    </row>
    <row r="219">
      <c r="A219" s="10">
        <f>IF($E219="","",INDEX('Input Transaksi'!$A:$A,$E219))</f>
        <v/>
      </c>
      <c r="B219" s="5">
        <f>IF($E219="","",INDEX('Input Transaksi'!$D:$D,$E219))</f>
        <v/>
      </c>
      <c r="C219">
        <f>IF($E219="","",INDEX('Input Transaksi'!$E:$E,$E219))</f>
        <v/>
      </c>
      <c r="D219" s="5">
        <f>IF($E219="","",INDEX('Input Transaksi'!$F:$F,$E219))</f>
        <v/>
      </c>
      <c r="E219">
        <f>IFERROR(AGGREGATE(15,6,ROW('Input Transaksi'!$B$5:$B$5000)/('Input Transaksi'!$B$5:$B$5000="JCL AYANI"),ROWS($E$5:E219)),"")</f>
        <v/>
      </c>
      <c r="F219" s="5" t="n"/>
    </row>
    <row r="220">
      <c r="A220" s="10">
        <f>IF($E220="","",INDEX('Input Transaksi'!$A:$A,$E220))</f>
        <v/>
      </c>
      <c r="B220" s="5">
        <f>IF($E220="","",INDEX('Input Transaksi'!$D:$D,$E220))</f>
        <v/>
      </c>
      <c r="C220">
        <f>IF($E220="","",INDEX('Input Transaksi'!$E:$E,$E220))</f>
        <v/>
      </c>
      <c r="D220" s="5">
        <f>IF($E220="","",INDEX('Input Transaksi'!$F:$F,$E220))</f>
        <v/>
      </c>
      <c r="E220">
        <f>IFERROR(AGGREGATE(15,6,ROW('Input Transaksi'!$B$5:$B$5000)/('Input Transaksi'!$B$5:$B$5000="JCL AYANI"),ROWS($E$5:E220)),"")</f>
        <v/>
      </c>
      <c r="F220" s="5" t="n"/>
    </row>
    <row r="221">
      <c r="A221" s="10">
        <f>IF($E221="","",INDEX('Input Transaksi'!$A:$A,$E221))</f>
        <v/>
      </c>
      <c r="B221" s="5">
        <f>IF($E221="","",INDEX('Input Transaksi'!$D:$D,$E221))</f>
        <v/>
      </c>
      <c r="C221">
        <f>IF($E221="","",INDEX('Input Transaksi'!$E:$E,$E221))</f>
        <v/>
      </c>
      <c r="D221" s="5">
        <f>IF($E221="","",INDEX('Input Transaksi'!$F:$F,$E221))</f>
        <v/>
      </c>
      <c r="E221">
        <f>IFERROR(AGGREGATE(15,6,ROW('Input Transaksi'!$B$5:$B$5000)/('Input Transaksi'!$B$5:$B$5000="JCL AYANI"),ROWS($E$5:E221)),"")</f>
        <v/>
      </c>
      <c r="F221" s="5" t="n"/>
    </row>
    <row r="222">
      <c r="A222" s="10">
        <f>IF($E222="","",INDEX('Input Transaksi'!$A:$A,$E222))</f>
        <v/>
      </c>
      <c r="B222" s="5">
        <f>IF($E222="","",INDEX('Input Transaksi'!$D:$D,$E222))</f>
        <v/>
      </c>
      <c r="C222">
        <f>IF($E222="","",INDEX('Input Transaksi'!$E:$E,$E222))</f>
        <v/>
      </c>
      <c r="D222" s="5">
        <f>IF($E222="","",INDEX('Input Transaksi'!$F:$F,$E222))</f>
        <v/>
      </c>
      <c r="E222">
        <f>IFERROR(AGGREGATE(15,6,ROW('Input Transaksi'!$B$5:$B$5000)/('Input Transaksi'!$B$5:$B$5000="JCL AYANI"),ROWS($E$5:E222)),"")</f>
        <v/>
      </c>
      <c r="F222" s="5" t="n"/>
    </row>
    <row r="223">
      <c r="A223" s="10">
        <f>IF($E223="","",INDEX('Input Transaksi'!$A:$A,$E223))</f>
        <v/>
      </c>
      <c r="B223" s="5">
        <f>IF($E223="","",INDEX('Input Transaksi'!$D:$D,$E223))</f>
        <v/>
      </c>
      <c r="C223">
        <f>IF($E223="","",INDEX('Input Transaksi'!$E:$E,$E223))</f>
        <v/>
      </c>
      <c r="D223" s="5">
        <f>IF($E223="","",INDEX('Input Transaksi'!$F:$F,$E223))</f>
        <v/>
      </c>
      <c r="E223">
        <f>IFERROR(AGGREGATE(15,6,ROW('Input Transaksi'!$B$5:$B$5000)/('Input Transaksi'!$B$5:$B$5000="JCL AYANI"),ROWS($E$5:E223)),"")</f>
        <v/>
      </c>
      <c r="F223" s="5" t="n"/>
    </row>
    <row r="224">
      <c r="A224" s="10">
        <f>IF($E224="","",INDEX('Input Transaksi'!$A:$A,$E224))</f>
        <v/>
      </c>
      <c r="B224" s="5">
        <f>IF($E224="","",INDEX('Input Transaksi'!$D:$D,$E224))</f>
        <v/>
      </c>
      <c r="C224">
        <f>IF($E224="","",INDEX('Input Transaksi'!$E:$E,$E224))</f>
        <v/>
      </c>
      <c r="D224" s="5">
        <f>IF($E224="","",INDEX('Input Transaksi'!$F:$F,$E224))</f>
        <v/>
      </c>
      <c r="E224">
        <f>IFERROR(AGGREGATE(15,6,ROW('Input Transaksi'!$B$5:$B$5000)/('Input Transaksi'!$B$5:$B$5000="JCL AYANI"),ROWS($E$5:E224)),"")</f>
        <v/>
      </c>
      <c r="F224" s="5" t="n"/>
    </row>
    <row r="225">
      <c r="A225" s="10">
        <f>IF($E225="","",INDEX('Input Transaksi'!$A:$A,$E225))</f>
        <v/>
      </c>
      <c r="B225" s="5">
        <f>IF($E225="","",INDEX('Input Transaksi'!$D:$D,$E225))</f>
        <v/>
      </c>
      <c r="C225">
        <f>IF($E225="","",INDEX('Input Transaksi'!$E:$E,$E225))</f>
        <v/>
      </c>
      <c r="D225" s="5">
        <f>IF($E225="","",INDEX('Input Transaksi'!$F:$F,$E225))</f>
        <v/>
      </c>
      <c r="E225">
        <f>IFERROR(AGGREGATE(15,6,ROW('Input Transaksi'!$B$5:$B$5000)/('Input Transaksi'!$B$5:$B$5000="JCL AYANI"),ROWS($E$5:E225)),"")</f>
        <v/>
      </c>
      <c r="F225" s="5" t="n"/>
    </row>
    <row r="226">
      <c r="A226" s="10">
        <f>IF($E226="","",INDEX('Input Transaksi'!$A:$A,$E226))</f>
        <v/>
      </c>
      <c r="B226" s="5">
        <f>IF($E226="","",INDEX('Input Transaksi'!$D:$D,$E226))</f>
        <v/>
      </c>
      <c r="C226">
        <f>IF($E226="","",INDEX('Input Transaksi'!$E:$E,$E226))</f>
        <v/>
      </c>
      <c r="D226" s="5">
        <f>IF($E226="","",INDEX('Input Transaksi'!$F:$F,$E226))</f>
        <v/>
      </c>
      <c r="E226">
        <f>IFERROR(AGGREGATE(15,6,ROW('Input Transaksi'!$B$5:$B$5000)/('Input Transaksi'!$B$5:$B$5000="JCL AYANI"),ROWS($E$5:E226)),"")</f>
        <v/>
      </c>
      <c r="F226" s="5" t="n"/>
    </row>
    <row r="227">
      <c r="A227" s="10">
        <f>IF($E227="","",INDEX('Input Transaksi'!$A:$A,$E227))</f>
        <v/>
      </c>
      <c r="B227" s="5">
        <f>IF($E227="","",INDEX('Input Transaksi'!$D:$D,$E227))</f>
        <v/>
      </c>
      <c r="C227">
        <f>IF($E227="","",INDEX('Input Transaksi'!$E:$E,$E227))</f>
        <v/>
      </c>
      <c r="D227" s="5">
        <f>IF($E227="","",INDEX('Input Transaksi'!$F:$F,$E227))</f>
        <v/>
      </c>
      <c r="E227">
        <f>IFERROR(AGGREGATE(15,6,ROW('Input Transaksi'!$B$5:$B$5000)/('Input Transaksi'!$B$5:$B$5000="JCL AYANI"),ROWS($E$5:E227)),"")</f>
        <v/>
      </c>
      <c r="F227" s="5" t="n"/>
    </row>
    <row r="228">
      <c r="A228" s="10">
        <f>IF($E228="","",INDEX('Input Transaksi'!$A:$A,$E228))</f>
        <v/>
      </c>
      <c r="B228" s="5">
        <f>IF($E228="","",INDEX('Input Transaksi'!$D:$D,$E228))</f>
        <v/>
      </c>
      <c r="C228">
        <f>IF($E228="","",INDEX('Input Transaksi'!$E:$E,$E228))</f>
        <v/>
      </c>
      <c r="D228" s="5">
        <f>IF($E228="","",INDEX('Input Transaksi'!$F:$F,$E228))</f>
        <v/>
      </c>
      <c r="E228">
        <f>IFERROR(AGGREGATE(15,6,ROW('Input Transaksi'!$B$5:$B$5000)/('Input Transaksi'!$B$5:$B$5000="JCL AYANI"),ROWS($E$5:E228)),"")</f>
        <v/>
      </c>
      <c r="F228" s="5" t="n"/>
    </row>
    <row r="229">
      <c r="A229" s="10">
        <f>IF($E229="","",INDEX('Input Transaksi'!$A:$A,$E229))</f>
        <v/>
      </c>
      <c r="B229" s="5">
        <f>IF($E229="","",INDEX('Input Transaksi'!$D:$D,$E229))</f>
        <v/>
      </c>
      <c r="C229">
        <f>IF($E229="","",INDEX('Input Transaksi'!$E:$E,$E229))</f>
        <v/>
      </c>
      <c r="D229" s="5">
        <f>IF($E229="","",INDEX('Input Transaksi'!$F:$F,$E229))</f>
        <v/>
      </c>
      <c r="E229">
        <f>IFERROR(AGGREGATE(15,6,ROW('Input Transaksi'!$B$5:$B$5000)/('Input Transaksi'!$B$5:$B$5000="JCL AYANI"),ROWS($E$5:E229)),"")</f>
        <v/>
      </c>
      <c r="F229" s="5" t="n"/>
    </row>
    <row r="230">
      <c r="A230" s="10">
        <f>IF($E230="","",INDEX('Input Transaksi'!$A:$A,$E230))</f>
        <v/>
      </c>
      <c r="B230" s="5">
        <f>IF($E230="","",INDEX('Input Transaksi'!$D:$D,$E230))</f>
        <v/>
      </c>
      <c r="C230">
        <f>IF($E230="","",INDEX('Input Transaksi'!$E:$E,$E230))</f>
        <v/>
      </c>
      <c r="D230" s="5">
        <f>IF($E230="","",INDEX('Input Transaksi'!$F:$F,$E230))</f>
        <v/>
      </c>
      <c r="E230">
        <f>IFERROR(AGGREGATE(15,6,ROW('Input Transaksi'!$B$5:$B$5000)/('Input Transaksi'!$B$5:$B$5000="JCL AYANI"),ROWS($E$5:E230)),"")</f>
        <v/>
      </c>
      <c r="F230" s="5" t="n"/>
    </row>
    <row r="231">
      <c r="A231" s="10">
        <f>IF($E231="","",INDEX('Input Transaksi'!$A:$A,$E231))</f>
        <v/>
      </c>
      <c r="B231" s="5">
        <f>IF($E231="","",INDEX('Input Transaksi'!$D:$D,$E231))</f>
        <v/>
      </c>
      <c r="C231">
        <f>IF($E231="","",INDEX('Input Transaksi'!$E:$E,$E231))</f>
        <v/>
      </c>
      <c r="D231" s="5">
        <f>IF($E231="","",INDEX('Input Transaksi'!$F:$F,$E231))</f>
        <v/>
      </c>
      <c r="E231">
        <f>IFERROR(AGGREGATE(15,6,ROW('Input Transaksi'!$B$5:$B$5000)/('Input Transaksi'!$B$5:$B$5000="JCL AYANI"),ROWS($E$5:E231)),"")</f>
        <v/>
      </c>
      <c r="F231" s="5" t="n"/>
    </row>
    <row r="232">
      <c r="A232" s="10">
        <f>IF($E232="","",INDEX('Input Transaksi'!$A:$A,$E232))</f>
        <v/>
      </c>
      <c r="B232" s="5">
        <f>IF($E232="","",INDEX('Input Transaksi'!$D:$D,$E232))</f>
        <v/>
      </c>
      <c r="C232">
        <f>IF($E232="","",INDEX('Input Transaksi'!$E:$E,$E232))</f>
        <v/>
      </c>
      <c r="D232" s="5">
        <f>IF($E232="","",INDEX('Input Transaksi'!$F:$F,$E232))</f>
        <v/>
      </c>
      <c r="E232">
        <f>IFERROR(AGGREGATE(15,6,ROW('Input Transaksi'!$B$5:$B$5000)/('Input Transaksi'!$B$5:$B$5000="JCL AYANI"),ROWS($E$5:E232)),"")</f>
        <v/>
      </c>
      <c r="F232" s="5" t="n"/>
    </row>
    <row r="233">
      <c r="A233" s="10">
        <f>IF($E233="","",INDEX('Input Transaksi'!$A:$A,$E233))</f>
        <v/>
      </c>
      <c r="B233" s="5">
        <f>IF($E233="","",INDEX('Input Transaksi'!$D:$D,$E233))</f>
        <v/>
      </c>
      <c r="C233">
        <f>IF($E233="","",INDEX('Input Transaksi'!$E:$E,$E233))</f>
        <v/>
      </c>
      <c r="D233" s="5">
        <f>IF($E233="","",INDEX('Input Transaksi'!$F:$F,$E233))</f>
        <v/>
      </c>
      <c r="E233">
        <f>IFERROR(AGGREGATE(15,6,ROW('Input Transaksi'!$B$5:$B$5000)/('Input Transaksi'!$B$5:$B$5000="JCL AYANI"),ROWS($E$5:E233)),"")</f>
        <v/>
      </c>
      <c r="F233" s="5" t="n"/>
    </row>
    <row r="234">
      <c r="A234" s="10">
        <f>IF($E234="","",INDEX('Input Transaksi'!$A:$A,$E234))</f>
        <v/>
      </c>
      <c r="B234" s="5">
        <f>IF($E234="","",INDEX('Input Transaksi'!$D:$D,$E234))</f>
        <v/>
      </c>
      <c r="C234">
        <f>IF($E234="","",INDEX('Input Transaksi'!$E:$E,$E234))</f>
        <v/>
      </c>
      <c r="D234" s="5">
        <f>IF($E234="","",INDEX('Input Transaksi'!$F:$F,$E234))</f>
        <v/>
      </c>
      <c r="E234">
        <f>IFERROR(AGGREGATE(15,6,ROW('Input Transaksi'!$B$5:$B$5000)/('Input Transaksi'!$B$5:$B$5000="JCL AYANI"),ROWS($E$5:E234)),"")</f>
        <v/>
      </c>
      <c r="F234" s="5" t="n"/>
    </row>
    <row r="235">
      <c r="A235" s="10">
        <f>IF($E235="","",INDEX('Input Transaksi'!$A:$A,$E235))</f>
        <v/>
      </c>
      <c r="B235" s="5">
        <f>IF($E235="","",INDEX('Input Transaksi'!$D:$D,$E235))</f>
        <v/>
      </c>
      <c r="C235">
        <f>IF($E235="","",INDEX('Input Transaksi'!$E:$E,$E235))</f>
        <v/>
      </c>
      <c r="D235" s="5">
        <f>IF($E235="","",INDEX('Input Transaksi'!$F:$F,$E235))</f>
        <v/>
      </c>
      <c r="E235">
        <f>IFERROR(AGGREGATE(15,6,ROW('Input Transaksi'!$B$5:$B$5000)/('Input Transaksi'!$B$5:$B$5000="JCL AYANI"),ROWS($E$5:E235)),"")</f>
        <v/>
      </c>
      <c r="F235" s="5" t="n"/>
    </row>
    <row r="236">
      <c r="A236" s="10">
        <f>IF($E236="","",INDEX('Input Transaksi'!$A:$A,$E236))</f>
        <v/>
      </c>
      <c r="B236" s="5">
        <f>IF($E236="","",INDEX('Input Transaksi'!$D:$D,$E236))</f>
        <v/>
      </c>
      <c r="C236">
        <f>IF($E236="","",INDEX('Input Transaksi'!$E:$E,$E236))</f>
        <v/>
      </c>
      <c r="D236" s="5">
        <f>IF($E236="","",INDEX('Input Transaksi'!$F:$F,$E236))</f>
        <v/>
      </c>
      <c r="E236">
        <f>IFERROR(AGGREGATE(15,6,ROW('Input Transaksi'!$B$5:$B$5000)/('Input Transaksi'!$B$5:$B$5000="JCL AYANI"),ROWS($E$5:E236)),"")</f>
        <v/>
      </c>
      <c r="F236" s="5" t="n"/>
    </row>
    <row r="237">
      <c r="A237" s="10">
        <f>IF($E237="","",INDEX('Input Transaksi'!$A:$A,$E237))</f>
        <v/>
      </c>
      <c r="B237" s="5">
        <f>IF($E237="","",INDEX('Input Transaksi'!$D:$D,$E237))</f>
        <v/>
      </c>
      <c r="C237">
        <f>IF($E237="","",INDEX('Input Transaksi'!$E:$E,$E237))</f>
        <v/>
      </c>
      <c r="D237" s="5">
        <f>IF($E237="","",INDEX('Input Transaksi'!$F:$F,$E237))</f>
        <v/>
      </c>
      <c r="E237">
        <f>IFERROR(AGGREGATE(15,6,ROW('Input Transaksi'!$B$5:$B$5000)/('Input Transaksi'!$B$5:$B$5000="JCL AYANI"),ROWS($E$5:E237)),"")</f>
        <v/>
      </c>
      <c r="F237" s="5" t="n"/>
    </row>
    <row r="238">
      <c r="A238" s="10">
        <f>IF($E238="","",INDEX('Input Transaksi'!$A:$A,$E238))</f>
        <v/>
      </c>
      <c r="B238" s="5">
        <f>IF($E238="","",INDEX('Input Transaksi'!$D:$D,$E238))</f>
        <v/>
      </c>
      <c r="C238">
        <f>IF($E238="","",INDEX('Input Transaksi'!$E:$E,$E238))</f>
        <v/>
      </c>
      <c r="D238" s="5">
        <f>IF($E238="","",INDEX('Input Transaksi'!$F:$F,$E238))</f>
        <v/>
      </c>
      <c r="E238">
        <f>IFERROR(AGGREGATE(15,6,ROW('Input Transaksi'!$B$5:$B$5000)/('Input Transaksi'!$B$5:$B$5000="JCL AYANI"),ROWS($E$5:E238)),"")</f>
        <v/>
      </c>
      <c r="F238" s="5" t="n"/>
    </row>
    <row r="239">
      <c r="A239" s="10">
        <f>IF($E239="","",INDEX('Input Transaksi'!$A:$A,$E239))</f>
        <v/>
      </c>
      <c r="B239" s="5">
        <f>IF($E239="","",INDEX('Input Transaksi'!$D:$D,$E239))</f>
        <v/>
      </c>
      <c r="C239">
        <f>IF($E239="","",INDEX('Input Transaksi'!$E:$E,$E239))</f>
        <v/>
      </c>
      <c r="D239" s="5">
        <f>IF($E239="","",INDEX('Input Transaksi'!$F:$F,$E239))</f>
        <v/>
      </c>
      <c r="E239">
        <f>IFERROR(AGGREGATE(15,6,ROW('Input Transaksi'!$B$5:$B$5000)/('Input Transaksi'!$B$5:$B$5000="JCL AYANI"),ROWS($E$5:E239)),"")</f>
        <v/>
      </c>
      <c r="F239" s="5" t="n"/>
    </row>
    <row r="240">
      <c r="A240" s="10">
        <f>IF($E240="","",INDEX('Input Transaksi'!$A:$A,$E240))</f>
        <v/>
      </c>
      <c r="B240" s="5">
        <f>IF($E240="","",INDEX('Input Transaksi'!$D:$D,$E240))</f>
        <v/>
      </c>
      <c r="C240">
        <f>IF($E240="","",INDEX('Input Transaksi'!$E:$E,$E240))</f>
        <v/>
      </c>
      <c r="D240" s="5">
        <f>IF($E240="","",INDEX('Input Transaksi'!$F:$F,$E240))</f>
        <v/>
      </c>
      <c r="E240">
        <f>IFERROR(AGGREGATE(15,6,ROW('Input Transaksi'!$B$5:$B$5000)/('Input Transaksi'!$B$5:$B$5000="JCL AYANI"),ROWS($E$5:E240)),"")</f>
        <v/>
      </c>
      <c r="F240" s="5" t="n"/>
    </row>
    <row r="241">
      <c r="A241" s="10">
        <f>IF($E241="","",INDEX('Input Transaksi'!$A:$A,$E241))</f>
        <v/>
      </c>
      <c r="B241" s="5">
        <f>IF($E241="","",INDEX('Input Transaksi'!$D:$D,$E241))</f>
        <v/>
      </c>
      <c r="C241">
        <f>IF($E241="","",INDEX('Input Transaksi'!$E:$E,$E241))</f>
        <v/>
      </c>
      <c r="D241" s="5">
        <f>IF($E241="","",INDEX('Input Transaksi'!$F:$F,$E241))</f>
        <v/>
      </c>
      <c r="E241">
        <f>IFERROR(AGGREGATE(15,6,ROW('Input Transaksi'!$B$5:$B$5000)/('Input Transaksi'!$B$5:$B$5000="JCL AYANI"),ROWS($E$5:E241)),"")</f>
        <v/>
      </c>
      <c r="F241" s="5" t="n"/>
    </row>
    <row r="242">
      <c r="A242" s="10">
        <f>IF($E242="","",INDEX('Input Transaksi'!$A:$A,$E242))</f>
        <v/>
      </c>
      <c r="B242" s="5">
        <f>IF($E242="","",INDEX('Input Transaksi'!$D:$D,$E242))</f>
        <v/>
      </c>
      <c r="C242">
        <f>IF($E242="","",INDEX('Input Transaksi'!$E:$E,$E242))</f>
        <v/>
      </c>
      <c r="D242" s="5">
        <f>IF($E242="","",INDEX('Input Transaksi'!$F:$F,$E242))</f>
        <v/>
      </c>
      <c r="E242">
        <f>IFERROR(AGGREGATE(15,6,ROW('Input Transaksi'!$B$5:$B$5000)/('Input Transaksi'!$B$5:$B$5000="JCL AYANI"),ROWS($E$5:E242)),"")</f>
        <v/>
      </c>
      <c r="F242" s="5" t="n"/>
    </row>
    <row r="243">
      <c r="A243" s="10">
        <f>IF($E243="","",INDEX('Input Transaksi'!$A:$A,$E243))</f>
        <v/>
      </c>
      <c r="B243" s="5">
        <f>IF($E243="","",INDEX('Input Transaksi'!$D:$D,$E243))</f>
        <v/>
      </c>
      <c r="C243">
        <f>IF($E243="","",INDEX('Input Transaksi'!$E:$E,$E243))</f>
        <v/>
      </c>
      <c r="D243" s="5">
        <f>IF($E243="","",INDEX('Input Transaksi'!$F:$F,$E243))</f>
        <v/>
      </c>
      <c r="E243">
        <f>IFERROR(AGGREGATE(15,6,ROW('Input Transaksi'!$B$5:$B$5000)/('Input Transaksi'!$B$5:$B$5000="JCL AYANI"),ROWS($E$5:E243)),"")</f>
        <v/>
      </c>
      <c r="F243" s="5" t="n"/>
    </row>
    <row r="244">
      <c r="A244" s="10">
        <f>IF($E244="","",INDEX('Input Transaksi'!$A:$A,$E244))</f>
        <v/>
      </c>
      <c r="B244" s="5">
        <f>IF($E244="","",INDEX('Input Transaksi'!$D:$D,$E244))</f>
        <v/>
      </c>
      <c r="C244">
        <f>IF($E244="","",INDEX('Input Transaksi'!$E:$E,$E244))</f>
        <v/>
      </c>
      <c r="D244" s="5">
        <f>IF($E244="","",INDEX('Input Transaksi'!$F:$F,$E244))</f>
        <v/>
      </c>
      <c r="E244">
        <f>IFERROR(AGGREGATE(15,6,ROW('Input Transaksi'!$B$5:$B$5000)/('Input Transaksi'!$B$5:$B$5000="JCL AYANI"),ROWS($E$5:E244)),"")</f>
        <v/>
      </c>
      <c r="F244" s="5" t="n"/>
    </row>
    <row r="245">
      <c r="A245" s="10">
        <f>IF($E245="","",INDEX('Input Transaksi'!$A:$A,$E245))</f>
        <v/>
      </c>
      <c r="B245" s="5">
        <f>IF($E245="","",INDEX('Input Transaksi'!$D:$D,$E245))</f>
        <v/>
      </c>
      <c r="C245">
        <f>IF($E245="","",INDEX('Input Transaksi'!$E:$E,$E245))</f>
        <v/>
      </c>
      <c r="D245" s="5">
        <f>IF($E245="","",INDEX('Input Transaksi'!$F:$F,$E245))</f>
        <v/>
      </c>
      <c r="E245">
        <f>IFERROR(AGGREGATE(15,6,ROW('Input Transaksi'!$B$5:$B$5000)/('Input Transaksi'!$B$5:$B$5000="JCL AYANI"),ROWS($E$5:E245)),"")</f>
        <v/>
      </c>
      <c r="F245" s="5" t="n"/>
    </row>
    <row r="246">
      <c r="A246" s="10">
        <f>IF($E246="","",INDEX('Input Transaksi'!$A:$A,$E246))</f>
        <v/>
      </c>
      <c r="B246" s="5">
        <f>IF($E246="","",INDEX('Input Transaksi'!$D:$D,$E246))</f>
        <v/>
      </c>
      <c r="C246">
        <f>IF($E246="","",INDEX('Input Transaksi'!$E:$E,$E246))</f>
        <v/>
      </c>
      <c r="D246" s="5">
        <f>IF($E246="","",INDEX('Input Transaksi'!$F:$F,$E246))</f>
        <v/>
      </c>
      <c r="E246">
        <f>IFERROR(AGGREGATE(15,6,ROW('Input Transaksi'!$B$5:$B$5000)/('Input Transaksi'!$B$5:$B$5000="JCL AYANI"),ROWS($E$5:E246)),"")</f>
        <v/>
      </c>
      <c r="F246" s="5" t="n"/>
    </row>
    <row r="247">
      <c r="A247" s="10">
        <f>IF($E247="","",INDEX('Input Transaksi'!$A:$A,$E247))</f>
        <v/>
      </c>
      <c r="B247" s="5">
        <f>IF($E247="","",INDEX('Input Transaksi'!$D:$D,$E247))</f>
        <v/>
      </c>
      <c r="C247">
        <f>IF($E247="","",INDEX('Input Transaksi'!$E:$E,$E247))</f>
        <v/>
      </c>
      <c r="D247" s="5">
        <f>IF($E247="","",INDEX('Input Transaksi'!$F:$F,$E247))</f>
        <v/>
      </c>
      <c r="E247">
        <f>IFERROR(AGGREGATE(15,6,ROW('Input Transaksi'!$B$5:$B$5000)/('Input Transaksi'!$B$5:$B$5000="JCL AYANI"),ROWS($E$5:E247)),"")</f>
        <v/>
      </c>
      <c r="F247" s="5" t="n"/>
    </row>
    <row r="248">
      <c r="A248" s="10">
        <f>IF($E248="","",INDEX('Input Transaksi'!$A:$A,$E248))</f>
        <v/>
      </c>
      <c r="B248" s="5">
        <f>IF($E248="","",INDEX('Input Transaksi'!$D:$D,$E248))</f>
        <v/>
      </c>
      <c r="C248">
        <f>IF($E248="","",INDEX('Input Transaksi'!$E:$E,$E248))</f>
        <v/>
      </c>
      <c r="D248" s="5">
        <f>IF($E248="","",INDEX('Input Transaksi'!$F:$F,$E248))</f>
        <v/>
      </c>
      <c r="E248">
        <f>IFERROR(AGGREGATE(15,6,ROW('Input Transaksi'!$B$5:$B$5000)/('Input Transaksi'!$B$5:$B$5000="JCL AYANI"),ROWS($E$5:E248)),"")</f>
        <v/>
      </c>
      <c r="F248" s="5" t="n"/>
    </row>
    <row r="249">
      <c r="A249" s="10">
        <f>IF($E249="","",INDEX('Input Transaksi'!$A:$A,$E249))</f>
        <v/>
      </c>
      <c r="B249" s="5">
        <f>IF($E249="","",INDEX('Input Transaksi'!$D:$D,$E249))</f>
        <v/>
      </c>
      <c r="C249">
        <f>IF($E249="","",INDEX('Input Transaksi'!$E:$E,$E249))</f>
        <v/>
      </c>
      <c r="D249" s="5">
        <f>IF($E249="","",INDEX('Input Transaksi'!$F:$F,$E249))</f>
        <v/>
      </c>
      <c r="E249">
        <f>IFERROR(AGGREGATE(15,6,ROW('Input Transaksi'!$B$5:$B$5000)/('Input Transaksi'!$B$5:$B$5000="JCL AYANI"),ROWS($E$5:E249)),"")</f>
        <v/>
      </c>
      <c r="F249" s="5" t="n"/>
    </row>
    <row r="250">
      <c r="A250" s="10">
        <f>IF($E250="","",INDEX('Input Transaksi'!$A:$A,$E250))</f>
        <v/>
      </c>
      <c r="B250" s="5">
        <f>IF($E250="","",INDEX('Input Transaksi'!$D:$D,$E250))</f>
        <v/>
      </c>
      <c r="C250">
        <f>IF($E250="","",INDEX('Input Transaksi'!$E:$E,$E250))</f>
        <v/>
      </c>
      <c r="D250" s="5">
        <f>IF($E250="","",INDEX('Input Transaksi'!$F:$F,$E250))</f>
        <v/>
      </c>
      <c r="E250">
        <f>IFERROR(AGGREGATE(15,6,ROW('Input Transaksi'!$B$5:$B$5000)/('Input Transaksi'!$B$5:$B$5000="JCL AYANI"),ROWS($E$5:E250)),"")</f>
        <v/>
      </c>
      <c r="F250" s="5" t="n"/>
    </row>
    <row r="251">
      <c r="A251" s="10">
        <f>IF($E251="","",INDEX('Input Transaksi'!$A:$A,$E251))</f>
        <v/>
      </c>
      <c r="B251" s="5">
        <f>IF($E251="","",INDEX('Input Transaksi'!$D:$D,$E251))</f>
        <v/>
      </c>
      <c r="C251">
        <f>IF($E251="","",INDEX('Input Transaksi'!$E:$E,$E251))</f>
        <v/>
      </c>
      <c r="D251" s="5">
        <f>IF($E251="","",INDEX('Input Transaksi'!$F:$F,$E251))</f>
        <v/>
      </c>
      <c r="E251">
        <f>IFERROR(AGGREGATE(15,6,ROW('Input Transaksi'!$B$5:$B$5000)/('Input Transaksi'!$B$5:$B$5000="JCL AYANI"),ROWS($E$5:E251)),"")</f>
        <v/>
      </c>
      <c r="F251" s="5" t="n"/>
    </row>
    <row r="252">
      <c r="A252" s="10">
        <f>IF($E252="","",INDEX('Input Transaksi'!$A:$A,$E252))</f>
        <v/>
      </c>
      <c r="B252" s="5">
        <f>IF($E252="","",INDEX('Input Transaksi'!$D:$D,$E252))</f>
        <v/>
      </c>
      <c r="C252">
        <f>IF($E252="","",INDEX('Input Transaksi'!$E:$E,$E252))</f>
        <v/>
      </c>
      <c r="D252" s="5">
        <f>IF($E252="","",INDEX('Input Transaksi'!$F:$F,$E252))</f>
        <v/>
      </c>
      <c r="E252">
        <f>IFERROR(AGGREGATE(15,6,ROW('Input Transaksi'!$B$5:$B$5000)/('Input Transaksi'!$B$5:$B$5000="JCL AYANI"),ROWS($E$5:E252)),"")</f>
        <v/>
      </c>
      <c r="F252" s="5" t="n"/>
    </row>
    <row r="253">
      <c r="A253" s="10">
        <f>IF($E253="","",INDEX('Input Transaksi'!$A:$A,$E253))</f>
        <v/>
      </c>
      <c r="B253" s="5">
        <f>IF($E253="","",INDEX('Input Transaksi'!$D:$D,$E253))</f>
        <v/>
      </c>
      <c r="C253">
        <f>IF($E253="","",INDEX('Input Transaksi'!$E:$E,$E253))</f>
        <v/>
      </c>
      <c r="D253" s="5">
        <f>IF($E253="","",INDEX('Input Transaksi'!$F:$F,$E253))</f>
        <v/>
      </c>
      <c r="E253">
        <f>IFERROR(AGGREGATE(15,6,ROW('Input Transaksi'!$B$5:$B$5000)/('Input Transaksi'!$B$5:$B$5000="JCL AYANI"),ROWS($E$5:E253)),"")</f>
        <v/>
      </c>
      <c r="F253" s="5" t="n"/>
    </row>
    <row r="254">
      <c r="A254" s="10">
        <f>IF($E254="","",INDEX('Input Transaksi'!$A:$A,$E254))</f>
        <v/>
      </c>
      <c r="B254" s="5">
        <f>IF($E254="","",INDEX('Input Transaksi'!$D:$D,$E254))</f>
        <v/>
      </c>
      <c r="C254">
        <f>IF($E254="","",INDEX('Input Transaksi'!$E:$E,$E254))</f>
        <v/>
      </c>
      <c r="D254" s="5">
        <f>IF($E254="","",INDEX('Input Transaksi'!$F:$F,$E254))</f>
        <v/>
      </c>
      <c r="E254">
        <f>IFERROR(AGGREGATE(15,6,ROW('Input Transaksi'!$B$5:$B$5000)/('Input Transaksi'!$B$5:$B$5000="JCL AYANI"),ROWS($E$5:E254)),"")</f>
        <v/>
      </c>
      <c r="F254" s="5" t="n"/>
    </row>
    <row r="255">
      <c r="A255" s="10">
        <f>IF($E255="","",INDEX('Input Transaksi'!$A:$A,$E255))</f>
        <v/>
      </c>
      <c r="B255" s="5">
        <f>IF($E255="","",INDEX('Input Transaksi'!$D:$D,$E255))</f>
        <v/>
      </c>
      <c r="C255">
        <f>IF($E255="","",INDEX('Input Transaksi'!$E:$E,$E255))</f>
        <v/>
      </c>
      <c r="D255" s="5">
        <f>IF($E255="","",INDEX('Input Transaksi'!$F:$F,$E255))</f>
        <v/>
      </c>
      <c r="E255">
        <f>IFERROR(AGGREGATE(15,6,ROW('Input Transaksi'!$B$5:$B$5000)/('Input Transaksi'!$B$5:$B$5000="JCL AYANI"),ROWS($E$5:E255)),"")</f>
        <v/>
      </c>
      <c r="F255" s="5" t="n"/>
    </row>
    <row r="256">
      <c r="A256" s="10">
        <f>IF($E256="","",INDEX('Input Transaksi'!$A:$A,$E256))</f>
        <v/>
      </c>
      <c r="B256" s="5">
        <f>IF($E256="","",INDEX('Input Transaksi'!$D:$D,$E256))</f>
        <v/>
      </c>
      <c r="C256">
        <f>IF($E256="","",INDEX('Input Transaksi'!$E:$E,$E256))</f>
        <v/>
      </c>
      <c r="D256" s="5">
        <f>IF($E256="","",INDEX('Input Transaksi'!$F:$F,$E256))</f>
        <v/>
      </c>
      <c r="E256">
        <f>IFERROR(AGGREGATE(15,6,ROW('Input Transaksi'!$B$5:$B$5000)/('Input Transaksi'!$B$5:$B$5000="JCL AYANI"),ROWS($E$5:E256)),"")</f>
        <v/>
      </c>
      <c r="F256" s="5" t="n"/>
    </row>
    <row r="257">
      <c r="A257" s="10">
        <f>IF($E257="","",INDEX('Input Transaksi'!$A:$A,$E257))</f>
        <v/>
      </c>
      <c r="B257" s="5">
        <f>IF($E257="","",INDEX('Input Transaksi'!$D:$D,$E257))</f>
        <v/>
      </c>
      <c r="C257">
        <f>IF($E257="","",INDEX('Input Transaksi'!$E:$E,$E257))</f>
        <v/>
      </c>
      <c r="D257" s="5">
        <f>IF($E257="","",INDEX('Input Transaksi'!$F:$F,$E257))</f>
        <v/>
      </c>
      <c r="E257">
        <f>IFERROR(AGGREGATE(15,6,ROW('Input Transaksi'!$B$5:$B$5000)/('Input Transaksi'!$B$5:$B$5000="JCL AYANI"),ROWS($E$5:E257)),"")</f>
        <v/>
      </c>
      <c r="F257" s="5" t="n"/>
    </row>
    <row r="258">
      <c r="A258" s="10">
        <f>IF($E258="","",INDEX('Input Transaksi'!$A:$A,$E258))</f>
        <v/>
      </c>
      <c r="B258" s="5">
        <f>IF($E258="","",INDEX('Input Transaksi'!$D:$D,$E258))</f>
        <v/>
      </c>
      <c r="C258">
        <f>IF($E258="","",INDEX('Input Transaksi'!$E:$E,$E258))</f>
        <v/>
      </c>
      <c r="D258" s="5">
        <f>IF($E258="","",INDEX('Input Transaksi'!$F:$F,$E258))</f>
        <v/>
      </c>
      <c r="E258">
        <f>IFERROR(AGGREGATE(15,6,ROW('Input Transaksi'!$B$5:$B$5000)/('Input Transaksi'!$B$5:$B$5000="JCL AYANI"),ROWS($E$5:E258)),"")</f>
        <v/>
      </c>
      <c r="F258" s="5" t="n"/>
    </row>
    <row r="259">
      <c r="A259" s="10">
        <f>IF($E259="","",INDEX('Input Transaksi'!$A:$A,$E259))</f>
        <v/>
      </c>
      <c r="B259" s="5">
        <f>IF($E259="","",INDEX('Input Transaksi'!$D:$D,$E259))</f>
        <v/>
      </c>
      <c r="C259">
        <f>IF($E259="","",INDEX('Input Transaksi'!$E:$E,$E259))</f>
        <v/>
      </c>
      <c r="D259" s="5">
        <f>IF($E259="","",INDEX('Input Transaksi'!$F:$F,$E259))</f>
        <v/>
      </c>
      <c r="E259">
        <f>IFERROR(AGGREGATE(15,6,ROW('Input Transaksi'!$B$5:$B$5000)/('Input Transaksi'!$B$5:$B$5000="JCL AYANI"),ROWS($E$5:E259)),"")</f>
        <v/>
      </c>
      <c r="F259" s="5" t="n"/>
    </row>
    <row r="260">
      <c r="A260" s="10">
        <f>IF($E260="","",INDEX('Input Transaksi'!$A:$A,$E260))</f>
        <v/>
      </c>
      <c r="B260" s="5">
        <f>IF($E260="","",INDEX('Input Transaksi'!$D:$D,$E260))</f>
        <v/>
      </c>
      <c r="C260">
        <f>IF($E260="","",INDEX('Input Transaksi'!$E:$E,$E260))</f>
        <v/>
      </c>
      <c r="D260" s="5">
        <f>IF($E260="","",INDEX('Input Transaksi'!$F:$F,$E260))</f>
        <v/>
      </c>
      <c r="E260">
        <f>IFERROR(AGGREGATE(15,6,ROW('Input Transaksi'!$B$5:$B$5000)/('Input Transaksi'!$B$5:$B$5000="JCL AYANI"),ROWS($E$5:E260)),"")</f>
        <v/>
      </c>
      <c r="F260" s="5" t="n"/>
    </row>
    <row r="261">
      <c r="A261" s="10">
        <f>IF($E261="","",INDEX('Input Transaksi'!$A:$A,$E261))</f>
        <v/>
      </c>
      <c r="B261" s="5">
        <f>IF($E261="","",INDEX('Input Transaksi'!$D:$D,$E261))</f>
        <v/>
      </c>
      <c r="C261">
        <f>IF($E261="","",INDEX('Input Transaksi'!$E:$E,$E261))</f>
        <v/>
      </c>
      <c r="D261" s="5">
        <f>IF($E261="","",INDEX('Input Transaksi'!$F:$F,$E261))</f>
        <v/>
      </c>
      <c r="E261">
        <f>IFERROR(AGGREGATE(15,6,ROW('Input Transaksi'!$B$5:$B$5000)/('Input Transaksi'!$B$5:$B$5000="JCL AYANI"),ROWS($E$5:E261)),"")</f>
        <v/>
      </c>
      <c r="F261" s="5" t="n"/>
    </row>
    <row r="262">
      <c r="A262" s="10">
        <f>IF($E262="","",INDEX('Input Transaksi'!$A:$A,$E262))</f>
        <v/>
      </c>
      <c r="B262" s="5">
        <f>IF($E262="","",INDEX('Input Transaksi'!$D:$D,$E262))</f>
        <v/>
      </c>
      <c r="C262">
        <f>IF($E262="","",INDEX('Input Transaksi'!$E:$E,$E262))</f>
        <v/>
      </c>
      <c r="D262" s="5">
        <f>IF($E262="","",INDEX('Input Transaksi'!$F:$F,$E262))</f>
        <v/>
      </c>
      <c r="E262">
        <f>IFERROR(AGGREGATE(15,6,ROW('Input Transaksi'!$B$5:$B$5000)/('Input Transaksi'!$B$5:$B$5000="JCL AYANI"),ROWS($E$5:E262)),"")</f>
        <v/>
      </c>
      <c r="F262" s="5" t="n"/>
    </row>
    <row r="263">
      <c r="A263" s="10">
        <f>IF($E263="","",INDEX('Input Transaksi'!$A:$A,$E263))</f>
        <v/>
      </c>
      <c r="B263" s="5">
        <f>IF($E263="","",INDEX('Input Transaksi'!$D:$D,$E263))</f>
        <v/>
      </c>
      <c r="C263">
        <f>IF($E263="","",INDEX('Input Transaksi'!$E:$E,$E263))</f>
        <v/>
      </c>
      <c r="D263" s="5">
        <f>IF($E263="","",INDEX('Input Transaksi'!$F:$F,$E263))</f>
        <v/>
      </c>
      <c r="E263">
        <f>IFERROR(AGGREGATE(15,6,ROW('Input Transaksi'!$B$5:$B$5000)/('Input Transaksi'!$B$5:$B$5000="JCL AYANI"),ROWS($E$5:E263)),"")</f>
        <v/>
      </c>
      <c r="F263" s="5" t="n"/>
    </row>
    <row r="264">
      <c r="A264" s="10">
        <f>IF($E264="","",INDEX('Input Transaksi'!$A:$A,$E264))</f>
        <v/>
      </c>
      <c r="B264" s="5">
        <f>IF($E264="","",INDEX('Input Transaksi'!$D:$D,$E264))</f>
        <v/>
      </c>
      <c r="C264">
        <f>IF($E264="","",INDEX('Input Transaksi'!$E:$E,$E264))</f>
        <v/>
      </c>
      <c r="D264" s="5">
        <f>IF($E264="","",INDEX('Input Transaksi'!$F:$F,$E264))</f>
        <v/>
      </c>
      <c r="E264">
        <f>IFERROR(AGGREGATE(15,6,ROW('Input Transaksi'!$B$5:$B$5000)/('Input Transaksi'!$B$5:$B$5000="JCL AYANI"),ROWS($E$5:E264)),"")</f>
        <v/>
      </c>
      <c r="F264" s="5" t="n"/>
    </row>
    <row r="265">
      <c r="A265" s="10">
        <f>IF($E265="","",INDEX('Input Transaksi'!$A:$A,$E265))</f>
        <v/>
      </c>
      <c r="B265" s="5">
        <f>IF($E265="","",INDEX('Input Transaksi'!$D:$D,$E265))</f>
        <v/>
      </c>
      <c r="C265">
        <f>IF($E265="","",INDEX('Input Transaksi'!$E:$E,$E265))</f>
        <v/>
      </c>
      <c r="D265" s="5">
        <f>IF($E265="","",INDEX('Input Transaksi'!$F:$F,$E265))</f>
        <v/>
      </c>
      <c r="E265">
        <f>IFERROR(AGGREGATE(15,6,ROW('Input Transaksi'!$B$5:$B$5000)/('Input Transaksi'!$B$5:$B$5000="JCL AYANI"),ROWS($E$5:E265)),"")</f>
        <v/>
      </c>
      <c r="F265" s="5" t="n"/>
    </row>
    <row r="266">
      <c r="A266" s="10">
        <f>IF($E266="","",INDEX('Input Transaksi'!$A:$A,$E266))</f>
        <v/>
      </c>
      <c r="B266" s="5">
        <f>IF($E266="","",INDEX('Input Transaksi'!$D:$D,$E266))</f>
        <v/>
      </c>
      <c r="C266">
        <f>IF($E266="","",INDEX('Input Transaksi'!$E:$E,$E266))</f>
        <v/>
      </c>
      <c r="D266" s="5">
        <f>IF($E266="","",INDEX('Input Transaksi'!$F:$F,$E266))</f>
        <v/>
      </c>
      <c r="E266">
        <f>IFERROR(AGGREGATE(15,6,ROW('Input Transaksi'!$B$5:$B$5000)/('Input Transaksi'!$B$5:$B$5000="JCL AYANI"),ROWS($E$5:E266)),"")</f>
        <v/>
      </c>
      <c r="F266" s="5" t="n"/>
    </row>
    <row r="267">
      <c r="A267" s="10">
        <f>IF($E267="","",INDEX('Input Transaksi'!$A:$A,$E267))</f>
        <v/>
      </c>
      <c r="B267" s="5">
        <f>IF($E267="","",INDEX('Input Transaksi'!$D:$D,$E267))</f>
        <v/>
      </c>
      <c r="C267">
        <f>IF($E267="","",INDEX('Input Transaksi'!$E:$E,$E267))</f>
        <v/>
      </c>
      <c r="D267" s="5">
        <f>IF($E267="","",INDEX('Input Transaksi'!$F:$F,$E267))</f>
        <v/>
      </c>
      <c r="E267">
        <f>IFERROR(AGGREGATE(15,6,ROW('Input Transaksi'!$B$5:$B$5000)/('Input Transaksi'!$B$5:$B$5000="JCL AYANI"),ROWS($E$5:E267)),"")</f>
        <v/>
      </c>
      <c r="F267" s="5" t="n"/>
    </row>
    <row r="268">
      <c r="A268" s="10">
        <f>IF($E268="","",INDEX('Input Transaksi'!$A:$A,$E268))</f>
        <v/>
      </c>
      <c r="B268" s="5">
        <f>IF($E268="","",INDEX('Input Transaksi'!$D:$D,$E268))</f>
        <v/>
      </c>
      <c r="C268">
        <f>IF($E268="","",INDEX('Input Transaksi'!$E:$E,$E268))</f>
        <v/>
      </c>
      <c r="D268" s="5">
        <f>IF($E268="","",INDEX('Input Transaksi'!$F:$F,$E268))</f>
        <v/>
      </c>
      <c r="E268">
        <f>IFERROR(AGGREGATE(15,6,ROW('Input Transaksi'!$B$5:$B$5000)/('Input Transaksi'!$B$5:$B$5000="JCL AYANI"),ROWS($E$5:E268)),"")</f>
        <v/>
      </c>
      <c r="F268" s="5" t="n"/>
    </row>
    <row r="269">
      <c r="A269" s="10">
        <f>IF($E269="","",INDEX('Input Transaksi'!$A:$A,$E269))</f>
        <v/>
      </c>
      <c r="B269" s="5">
        <f>IF($E269="","",INDEX('Input Transaksi'!$D:$D,$E269))</f>
        <v/>
      </c>
      <c r="C269">
        <f>IF($E269="","",INDEX('Input Transaksi'!$E:$E,$E269))</f>
        <v/>
      </c>
      <c r="D269" s="5">
        <f>IF($E269="","",INDEX('Input Transaksi'!$F:$F,$E269))</f>
        <v/>
      </c>
      <c r="E269">
        <f>IFERROR(AGGREGATE(15,6,ROW('Input Transaksi'!$B$5:$B$5000)/('Input Transaksi'!$B$5:$B$5000="JCL AYANI"),ROWS($E$5:E269)),"")</f>
        <v/>
      </c>
      <c r="F269" s="5" t="n"/>
    </row>
    <row r="270">
      <c r="A270" s="10">
        <f>IF($E270="","",INDEX('Input Transaksi'!$A:$A,$E270))</f>
        <v/>
      </c>
      <c r="B270" s="5">
        <f>IF($E270="","",INDEX('Input Transaksi'!$D:$D,$E270))</f>
        <v/>
      </c>
      <c r="C270">
        <f>IF($E270="","",INDEX('Input Transaksi'!$E:$E,$E270))</f>
        <v/>
      </c>
      <c r="D270" s="5">
        <f>IF($E270="","",INDEX('Input Transaksi'!$F:$F,$E270))</f>
        <v/>
      </c>
      <c r="E270">
        <f>IFERROR(AGGREGATE(15,6,ROW('Input Transaksi'!$B$5:$B$5000)/('Input Transaksi'!$B$5:$B$5000="JCL AYANI"),ROWS($E$5:E270)),"")</f>
        <v/>
      </c>
      <c r="F270" s="5" t="n"/>
    </row>
    <row r="271">
      <c r="A271" s="10">
        <f>IF($E271="","",INDEX('Input Transaksi'!$A:$A,$E271))</f>
        <v/>
      </c>
      <c r="B271" s="5">
        <f>IF($E271="","",INDEX('Input Transaksi'!$D:$D,$E271))</f>
        <v/>
      </c>
      <c r="C271">
        <f>IF($E271="","",INDEX('Input Transaksi'!$E:$E,$E271))</f>
        <v/>
      </c>
      <c r="D271" s="5">
        <f>IF($E271="","",INDEX('Input Transaksi'!$F:$F,$E271))</f>
        <v/>
      </c>
      <c r="E271">
        <f>IFERROR(AGGREGATE(15,6,ROW('Input Transaksi'!$B$5:$B$5000)/('Input Transaksi'!$B$5:$B$5000="JCL AYANI"),ROWS($E$5:E271)),"")</f>
        <v/>
      </c>
      <c r="F271" s="5" t="n"/>
    </row>
    <row r="272">
      <c r="A272" s="10">
        <f>IF($E272="","",INDEX('Input Transaksi'!$A:$A,$E272))</f>
        <v/>
      </c>
      <c r="B272" s="5">
        <f>IF($E272="","",INDEX('Input Transaksi'!$D:$D,$E272))</f>
        <v/>
      </c>
      <c r="C272">
        <f>IF($E272="","",INDEX('Input Transaksi'!$E:$E,$E272))</f>
        <v/>
      </c>
      <c r="D272" s="5">
        <f>IF($E272="","",INDEX('Input Transaksi'!$F:$F,$E272))</f>
        <v/>
      </c>
      <c r="E272">
        <f>IFERROR(AGGREGATE(15,6,ROW('Input Transaksi'!$B$5:$B$5000)/('Input Transaksi'!$B$5:$B$5000="JCL AYANI"),ROWS($E$5:E272)),"")</f>
        <v/>
      </c>
      <c r="F272" s="5" t="n"/>
    </row>
    <row r="273">
      <c r="A273" s="10">
        <f>IF($E273="","",INDEX('Input Transaksi'!$A:$A,$E273))</f>
        <v/>
      </c>
      <c r="B273" s="5">
        <f>IF($E273="","",INDEX('Input Transaksi'!$D:$D,$E273))</f>
        <v/>
      </c>
      <c r="C273">
        <f>IF($E273="","",INDEX('Input Transaksi'!$E:$E,$E273))</f>
        <v/>
      </c>
      <c r="D273" s="5">
        <f>IF($E273="","",INDEX('Input Transaksi'!$F:$F,$E273))</f>
        <v/>
      </c>
      <c r="E273">
        <f>IFERROR(AGGREGATE(15,6,ROW('Input Transaksi'!$B$5:$B$5000)/('Input Transaksi'!$B$5:$B$5000="JCL AYANI"),ROWS($E$5:E273)),"")</f>
        <v/>
      </c>
      <c r="F273" s="5" t="n"/>
    </row>
    <row r="274">
      <c r="A274" s="10">
        <f>IF($E274="","",INDEX('Input Transaksi'!$A:$A,$E274))</f>
        <v/>
      </c>
      <c r="B274" s="5">
        <f>IF($E274="","",INDEX('Input Transaksi'!$D:$D,$E274))</f>
        <v/>
      </c>
      <c r="C274">
        <f>IF($E274="","",INDEX('Input Transaksi'!$E:$E,$E274))</f>
        <v/>
      </c>
      <c r="D274" s="5">
        <f>IF($E274="","",INDEX('Input Transaksi'!$F:$F,$E274))</f>
        <v/>
      </c>
      <c r="E274">
        <f>IFERROR(AGGREGATE(15,6,ROW('Input Transaksi'!$B$5:$B$5000)/('Input Transaksi'!$B$5:$B$5000="JCL AYANI"),ROWS($E$5:E274)),"")</f>
        <v/>
      </c>
      <c r="F274" s="5" t="n"/>
    </row>
    <row r="275">
      <c r="A275" s="10">
        <f>IF($E275="","",INDEX('Input Transaksi'!$A:$A,$E275))</f>
        <v/>
      </c>
      <c r="B275" s="5">
        <f>IF($E275="","",INDEX('Input Transaksi'!$D:$D,$E275))</f>
        <v/>
      </c>
      <c r="C275">
        <f>IF($E275="","",INDEX('Input Transaksi'!$E:$E,$E275))</f>
        <v/>
      </c>
      <c r="D275" s="5">
        <f>IF($E275="","",INDEX('Input Transaksi'!$F:$F,$E275))</f>
        <v/>
      </c>
      <c r="E275">
        <f>IFERROR(AGGREGATE(15,6,ROW('Input Transaksi'!$B$5:$B$5000)/('Input Transaksi'!$B$5:$B$5000="JCL AYANI"),ROWS($E$5:E275)),"")</f>
        <v/>
      </c>
      <c r="F275" s="5" t="n"/>
    </row>
    <row r="276">
      <c r="A276" s="10">
        <f>IF($E276="","",INDEX('Input Transaksi'!$A:$A,$E276))</f>
        <v/>
      </c>
      <c r="B276" s="5">
        <f>IF($E276="","",INDEX('Input Transaksi'!$D:$D,$E276))</f>
        <v/>
      </c>
      <c r="C276">
        <f>IF($E276="","",INDEX('Input Transaksi'!$E:$E,$E276))</f>
        <v/>
      </c>
      <c r="D276" s="5">
        <f>IF($E276="","",INDEX('Input Transaksi'!$F:$F,$E276))</f>
        <v/>
      </c>
      <c r="E276">
        <f>IFERROR(AGGREGATE(15,6,ROW('Input Transaksi'!$B$5:$B$5000)/('Input Transaksi'!$B$5:$B$5000="JCL AYANI"),ROWS($E$5:E276)),"")</f>
        <v/>
      </c>
      <c r="F276" s="5" t="n"/>
    </row>
    <row r="277">
      <c r="A277" s="10">
        <f>IF($E277="","",INDEX('Input Transaksi'!$A:$A,$E277))</f>
        <v/>
      </c>
      <c r="B277" s="5">
        <f>IF($E277="","",INDEX('Input Transaksi'!$D:$D,$E277))</f>
        <v/>
      </c>
      <c r="C277">
        <f>IF($E277="","",INDEX('Input Transaksi'!$E:$E,$E277))</f>
        <v/>
      </c>
      <c r="D277" s="5">
        <f>IF($E277="","",INDEX('Input Transaksi'!$F:$F,$E277))</f>
        <v/>
      </c>
      <c r="E277">
        <f>IFERROR(AGGREGATE(15,6,ROW('Input Transaksi'!$B$5:$B$5000)/('Input Transaksi'!$B$5:$B$5000="JCL AYANI"),ROWS($E$5:E277)),"")</f>
        <v/>
      </c>
      <c r="F277" s="5" t="n"/>
    </row>
    <row r="278">
      <c r="A278" s="10">
        <f>IF($E278="","",INDEX('Input Transaksi'!$A:$A,$E278))</f>
        <v/>
      </c>
      <c r="B278" s="5">
        <f>IF($E278="","",INDEX('Input Transaksi'!$D:$D,$E278))</f>
        <v/>
      </c>
      <c r="C278">
        <f>IF($E278="","",INDEX('Input Transaksi'!$E:$E,$E278))</f>
        <v/>
      </c>
      <c r="D278" s="5">
        <f>IF($E278="","",INDEX('Input Transaksi'!$F:$F,$E278))</f>
        <v/>
      </c>
      <c r="E278">
        <f>IFERROR(AGGREGATE(15,6,ROW('Input Transaksi'!$B$5:$B$5000)/('Input Transaksi'!$B$5:$B$5000="JCL AYANI"),ROWS($E$5:E278)),"")</f>
        <v/>
      </c>
      <c r="F278" s="5" t="n"/>
    </row>
    <row r="279">
      <c r="A279" s="10">
        <f>IF($E279="","",INDEX('Input Transaksi'!$A:$A,$E279))</f>
        <v/>
      </c>
      <c r="B279" s="5">
        <f>IF($E279="","",INDEX('Input Transaksi'!$D:$D,$E279))</f>
        <v/>
      </c>
      <c r="C279">
        <f>IF($E279="","",INDEX('Input Transaksi'!$E:$E,$E279))</f>
        <v/>
      </c>
      <c r="D279" s="5">
        <f>IF($E279="","",INDEX('Input Transaksi'!$F:$F,$E279))</f>
        <v/>
      </c>
      <c r="E279">
        <f>IFERROR(AGGREGATE(15,6,ROW('Input Transaksi'!$B$5:$B$5000)/('Input Transaksi'!$B$5:$B$5000="JCL AYANI"),ROWS($E$5:E279)),"")</f>
        <v/>
      </c>
      <c r="F279" s="5" t="n"/>
    </row>
    <row r="280">
      <c r="A280" s="10">
        <f>IF($E280="","",INDEX('Input Transaksi'!$A:$A,$E280))</f>
        <v/>
      </c>
      <c r="B280" s="5">
        <f>IF($E280="","",INDEX('Input Transaksi'!$D:$D,$E280))</f>
        <v/>
      </c>
      <c r="C280">
        <f>IF($E280="","",INDEX('Input Transaksi'!$E:$E,$E280))</f>
        <v/>
      </c>
      <c r="D280" s="5">
        <f>IF($E280="","",INDEX('Input Transaksi'!$F:$F,$E280))</f>
        <v/>
      </c>
      <c r="E280">
        <f>IFERROR(AGGREGATE(15,6,ROW('Input Transaksi'!$B$5:$B$5000)/('Input Transaksi'!$B$5:$B$5000="JCL AYANI"),ROWS($E$5:E280)),"")</f>
        <v/>
      </c>
      <c r="F280" s="5" t="n"/>
    </row>
    <row r="281">
      <c r="A281" s="10">
        <f>IF($E281="","",INDEX('Input Transaksi'!$A:$A,$E281))</f>
        <v/>
      </c>
      <c r="B281" s="5">
        <f>IF($E281="","",INDEX('Input Transaksi'!$D:$D,$E281))</f>
        <v/>
      </c>
      <c r="C281">
        <f>IF($E281="","",INDEX('Input Transaksi'!$E:$E,$E281))</f>
        <v/>
      </c>
      <c r="D281" s="5">
        <f>IF($E281="","",INDEX('Input Transaksi'!$F:$F,$E281))</f>
        <v/>
      </c>
      <c r="E281">
        <f>IFERROR(AGGREGATE(15,6,ROW('Input Transaksi'!$B$5:$B$5000)/('Input Transaksi'!$B$5:$B$5000="JCL AYANI"),ROWS($E$5:E281)),"")</f>
        <v/>
      </c>
      <c r="F281" s="5" t="n"/>
    </row>
    <row r="282">
      <c r="A282" s="10">
        <f>IF($E282="","",INDEX('Input Transaksi'!$A:$A,$E282))</f>
        <v/>
      </c>
      <c r="B282" s="5">
        <f>IF($E282="","",INDEX('Input Transaksi'!$D:$D,$E282))</f>
        <v/>
      </c>
      <c r="C282">
        <f>IF($E282="","",INDEX('Input Transaksi'!$E:$E,$E282))</f>
        <v/>
      </c>
      <c r="D282" s="5">
        <f>IF($E282="","",INDEX('Input Transaksi'!$F:$F,$E282))</f>
        <v/>
      </c>
      <c r="E282">
        <f>IFERROR(AGGREGATE(15,6,ROW('Input Transaksi'!$B$5:$B$5000)/('Input Transaksi'!$B$5:$B$5000="JCL AYANI"),ROWS($E$5:E282)),"")</f>
        <v/>
      </c>
      <c r="F282" s="5" t="n"/>
    </row>
    <row r="283">
      <c r="A283" s="10">
        <f>IF($E283="","",INDEX('Input Transaksi'!$A:$A,$E283))</f>
        <v/>
      </c>
      <c r="B283" s="5">
        <f>IF($E283="","",INDEX('Input Transaksi'!$D:$D,$E283))</f>
        <v/>
      </c>
      <c r="C283">
        <f>IF($E283="","",INDEX('Input Transaksi'!$E:$E,$E283))</f>
        <v/>
      </c>
      <c r="D283" s="5">
        <f>IF($E283="","",INDEX('Input Transaksi'!$F:$F,$E283))</f>
        <v/>
      </c>
      <c r="E283">
        <f>IFERROR(AGGREGATE(15,6,ROW('Input Transaksi'!$B$5:$B$5000)/('Input Transaksi'!$B$5:$B$5000="JCL AYANI"),ROWS($E$5:E283)),"")</f>
        <v/>
      </c>
      <c r="F283" s="5" t="n"/>
    </row>
    <row r="284">
      <c r="A284" s="10">
        <f>IF($E284="","",INDEX('Input Transaksi'!$A:$A,$E284))</f>
        <v/>
      </c>
      <c r="B284" s="5">
        <f>IF($E284="","",INDEX('Input Transaksi'!$D:$D,$E284))</f>
        <v/>
      </c>
      <c r="C284">
        <f>IF($E284="","",INDEX('Input Transaksi'!$E:$E,$E284))</f>
        <v/>
      </c>
      <c r="D284" s="5">
        <f>IF($E284="","",INDEX('Input Transaksi'!$F:$F,$E284))</f>
        <v/>
      </c>
      <c r="E284">
        <f>IFERROR(AGGREGATE(15,6,ROW('Input Transaksi'!$B$5:$B$5000)/('Input Transaksi'!$B$5:$B$5000="JCL AYANI"),ROWS($E$5:E284)),"")</f>
        <v/>
      </c>
      <c r="F284" s="5" t="n"/>
    </row>
    <row r="285">
      <c r="A285" s="10">
        <f>IF($E285="","",INDEX('Input Transaksi'!$A:$A,$E285))</f>
        <v/>
      </c>
      <c r="B285" s="5">
        <f>IF($E285="","",INDEX('Input Transaksi'!$D:$D,$E285))</f>
        <v/>
      </c>
      <c r="C285">
        <f>IF($E285="","",INDEX('Input Transaksi'!$E:$E,$E285))</f>
        <v/>
      </c>
      <c r="D285" s="5">
        <f>IF($E285="","",INDEX('Input Transaksi'!$F:$F,$E285))</f>
        <v/>
      </c>
      <c r="E285">
        <f>IFERROR(AGGREGATE(15,6,ROW('Input Transaksi'!$B$5:$B$5000)/('Input Transaksi'!$B$5:$B$5000="JCL AYANI"),ROWS($E$5:E285)),"")</f>
        <v/>
      </c>
      <c r="F285" s="5" t="n"/>
    </row>
    <row r="286">
      <c r="A286" s="10">
        <f>IF($E286="","",INDEX('Input Transaksi'!$A:$A,$E286))</f>
        <v/>
      </c>
      <c r="B286" s="5">
        <f>IF($E286="","",INDEX('Input Transaksi'!$D:$D,$E286))</f>
        <v/>
      </c>
      <c r="C286">
        <f>IF($E286="","",INDEX('Input Transaksi'!$E:$E,$E286))</f>
        <v/>
      </c>
      <c r="D286" s="5">
        <f>IF($E286="","",INDEX('Input Transaksi'!$F:$F,$E286))</f>
        <v/>
      </c>
      <c r="E286">
        <f>IFERROR(AGGREGATE(15,6,ROW('Input Transaksi'!$B$5:$B$5000)/('Input Transaksi'!$B$5:$B$5000="JCL AYANI"),ROWS($E$5:E286)),"")</f>
        <v/>
      </c>
      <c r="F286" s="5" t="n"/>
    </row>
    <row r="287">
      <c r="A287" s="10">
        <f>IF($E287="","",INDEX('Input Transaksi'!$A:$A,$E287))</f>
        <v/>
      </c>
      <c r="B287" s="5">
        <f>IF($E287="","",INDEX('Input Transaksi'!$D:$D,$E287))</f>
        <v/>
      </c>
      <c r="C287">
        <f>IF($E287="","",INDEX('Input Transaksi'!$E:$E,$E287))</f>
        <v/>
      </c>
      <c r="D287" s="5">
        <f>IF($E287="","",INDEX('Input Transaksi'!$F:$F,$E287))</f>
        <v/>
      </c>
      <c r="E287">
        <f>IFERROR(AGGREGATE(15,6,ROW('Input Transaksi'!$B$5:$B$5000)/('Input Transaksi'!$B$5:$B$5000="JCL AYANI"),ROWS($E$5:E287)),"")</f>
        <v/>
      </c>
      <c r="F287" s="5" t="n"/>
    </row>
    <row r="288">
      <c r="A288" s="10">
        <f>IF($E288="","",INDEX('Input Transaksi'!$A:$A,$E288))</f>
        <v/>
      </c>
      <c r="B288" s="5">
        <f>IF($E288="","",INDEX('Input Transaksi'!$D:$D,$E288))</f>
        <v/>
      </c>
      <c r="C288">
        <f>IF($E288="","",INDEX('Input Transaksi'!$E:$E,$E288))</f>
        <v/>
      </c>
      <c r="D288" s="5">
        <f>IF($E288="","",INDEX('Input Transaksi'!$F:$F,$E288))</f>
        <v/>
      </c>
      <c r="E288">
        <f>IFERROR(AGGREGATE(15,6,ROW('Input Transaksi'!$B$5:$B$5000)/('Input Transaksi'!$B$5:$B$5000="JCL AYANI"),ROWS($E$5:E288)),"")</f>
        <v/>
      </c>
      <c r="F288" s="5" t="n"/>
    </row>
    <row r="289">
      <c r="A289" s="10">
        <f>IF($E289="","",INDEX('Input Transaksi'!$A:$A,$E289))</f>
        <v/>
      </c>
      <c r="B289" s="5">
        <f>IF($E289="","",INDEX('Input Transaksi'!$D:$D,$E289))</f>
        <v/>
      </c>
      <c r="C289">
        <f>IF($E289="","",INDEX('Input Transaksi'!$E:$E,$E289))</f>
        <v/>
      </c>
      <c r="D289" s="5">
        <f>IF($E289="","",INDEX('Input Transaksi'!$F:$F,$E289))</f>
        <v/>
      </c>
      <c r="E289">
        <f>IFERROR(AGGREGATE(15,6,ROW('Input Transaksi'!$B$5:$B$5000)/('Input Transaksi'!$B$5:$B$5000="JCL AYANI"),ROWS($E$5:E289)),"")</f>
        <v/>
      </c>
      <c r="F289" s="5" t="n"/>
    </row>
    <row r="290">
      <c r="A290" s="10">
        <f>IF($E290="","",INDEX('Input Transaksi'!$A:$A,$E290))</f>
        <v/>
      </c>
      <c r="B290" s="5">
        <f>IF($E290="","",INDEX('Input Transaksi'!$D:$D,$E290))</f>
        <v/>
      </c>
      <c r="C290">
        <f>IF($E290="","",INDEX('Input Transaksi'!$E:$E,$E290))</f>
        <v/>
      </c>
      <c r="D290" s="5">
        <f>IF($E290="","",INDEX('Input Transaksi'!$F:$F,$E290))</f>
        <v/>
      </c>
      <c r="E290">
        <f>IFERROR(AGGREGATE(15,6,ROW('Input Transaksi'!$B$5:$B$5000)/('Input Transaksi'!$B$5:$B$5000="JCL AYANI"),ROWS($E$5:E290)),"")</f>
        <v/>
      </c>
      <c r="F290" s="5" t="n"/>
    </row>
    <row r="291">
      <c r="A291" s="10">
        <f>IF($E291="","",INDEX('Input Transaksi'!$A:$A,$E291))</f>
        <v/>
      </c>
      <c r="B291" s="5">
        <f>IF($E291="","",INDEX('Input Transaksi'!$D:$D,$E291))</f>
        <v/>
      </c>
      <c r="C291">
        <f>IF($E291="","",INDEX('Input Transaksi'!$E:$E,$E291))</f>
        <v/>
      </c>
      <c r="D291" s="5">
        <f>IF($E291="","",INDEX('Input Transaksi'!$F:$F,$E291))</f>
        <v/>
      </c>
      <c r="E291">
        <f>IFERROR(AGGREGATE(15,6,ROW('Input Transaksi'!$B$5:$B$5000)/('Input Transaksi'!$B$5:$B$5000="JCL AYANI"),ROWS($E$5:E291)),"")</f>
        <v/>
      </c>
      <c r="F291" s="5" t="n"/>
    </row>
    <row r="292">
      <c r="A292" s="10">
        <f>IF($E292="","",INDEX('Input Transaksi'!$A:$A,$E292))</f>
        <v/>
      </c>
      <c r="B292" s="5">
        <f>IF($E292="","",INDEX('Input Transaksi'!$D:$D,$E292))</f>
        <v/>
      </c>
      <c r="C292">
        <f>IF($E292="","",INDEX('Input Transaksi'!$E:$E,$E292))</f>
        <v/>
      </c>
      <c r="D292" s="5">
        <f>IF($E292="","",INDEX('Input Transaksi'!$F:$F,$E292))</f>
        <v/>
      </c>
      <c r="E292">
        <f>IFERROR(AGGREGATE(15,6,ROW('Input Transaksi'!$B$5:$B$5000)/('Input Transaksi'!$B$5:$B$5000="JCL AYANI"),ROWS($E$5:E292)),"")</f>
        <v/>
      </c>
      <c r="F292" s="5" t="n"/>
    </row>
    <row r="293">
      <c r="A293" s="10">
        <f>IF($E293="","",INDEX('Input Transaksi'!$A:$A,$E293))</f>
        <v/>
      </c>
      <c r="B293" s="5">
        <f>IF($E293="","",INDEX('Input Transaksi'!$D:$D,$E293))</f>
        <v/>
      </c>
      <c r="C293">
        <f>IF($E293="","",INDEX('Input Transaksi'!$E:$E,$E293))</f>
        <v/>
      </c>
      <c r="D293" s="5">
        <f>IF($E293="","",INDEX('Input Transaksi'!$F:$F,$E293))</f>
        <v/>
      </c>
      <c r="E293">
        <f>IFERROR(AGGREGATE(15,6,ROW('Input Transaksi'!$B$5:$B$5000)/('Input Transaksi'!$B$5:$B$5000="JCL AYANI"),ROWS($E$5:E293)),"")</f>
        <v/>
      </c>
      <c r="F293" s="5" t="n"/>
    </row>
    <row r="294">
      <c r="A294" s="10">
        <f>IF($E294="","",INDEX('Input Transaksi'!$A:$A,$E294))</f>
        <v/>
      </c>
      <c r="B294" s="5">
        <f>IF($E294="","",INDEX('Input Transaksi'!$D:$D,$E294))</f>
        <v/>
      </c>
      <c r="C294">
        <f>IF($E294="","",INDEX('Input Transaksi'!$E:$E,$E294))</f>
        <v/>
      </c>
      <c r="D294" s="5">
        <f>IF($E294="","",INDEX('Input Transaksi'!$F:$F,$E294))</f>
        <v/>
      </c>
      <c r="E294">
        <f>IFERROR(AGGREGATE(15,6,ROW('Input Transaksi'!$B$5:$B$5000)/('Input Transaksi'!$B$5:$B$5000="JCL AYANI"),ROWS($E$5:E294)),"")</f>
        <v/>
      </c>
      <c r="F294" s="5" t="n"/>
    </row>
    <row r="295">
      <c r="A295" s="10">
        <f>IF($E295="","",INDEX('Input Transaksi'!$A:$A,$E295))</f>
        <v/>
      </c>
      <c r="B295" s="5">
        <f>IF($E295="","",INDEX('Input Transaksi'!$D:$D,$E295))</f>
        <v/>
      </c>
      <c r="C295">
        <f>IF($E295="","",INDEX('Input Transaksi'!$E:$E,$E295))</f>
        <v/>
      </c>
      <c r="D295" s="5">
        <f>IF($E295="","",INDEX('Input Transaksi'!$F:$F,$E295))</f>
        <v/>
      </c>
      <c r="E295">
        <f>IFERROR(AGGREGATE(15,6,ROW('Input Transaksi'!$B$5:$B$5000)/('Input Transaksi'!$B$5:$B$5000="JCL AYANI"),ROWS($E$5:E295)),"")</f>
        <v/>
      </c>
      <c r="F295" s="5" t="n"/>
    </row>
    <row r="296">
      <c r="A296" s="10">
        <f>IF($E296="","",INDEX('Input Transaksi'!$A:$A,$E296))</f>
        <v/>
      </c>
      <c r="B296" s="5">
        <f>IF($E296="","",INDEX('Input Transaksi'!$D:$D,$E296))</f>
        <v/>
      </c>
      <c r="C296">
        <f>IF($E296="","",INDEX('Input Transaksi'!$E:$E,$E296))</f>
        <v/>
      </c>
      <c r="D296" s="5">
        <f>IF($E296="","",INDEX('Input Transaksi'!$F:$F,$E296))</f>
        <v/>
      </c>
      <c r="E296">
        <f>IFERROR(AGGREGATE(15,6,ROW('Input Transaksi'!$B$5:$B$5000)/('Input Transaksi'!$B$5:$B$5000="JCL AYANI"),ROWS($E$5:E296)),"")</f>
        <v/>
      </c>
      <c r="F296" s="5" t="n"/>
    </row>
    <row r="297">
      <c r="A297" s="10">
        <f>IF($E297="","",INDEX('Input Transaksi'!$A:$A,$E297))</f>
        <v/>
      </c>
      <c r="B297" s="5">
        <f>IF($E297="","",INDEX('Input Transaksi'!$D:$D,$E297))</f>
        <v/>
      </c>
      <c r="C297">
        <f>IF($E297="","",INDEX('Input Transaksi'!$E:$E,$E297))</f>
        <v/>
      </c>
      <c r="D297" s="5">
        <f>IF($E297="","",INDEX('Input Transaksi'!$F:$F,$E297))</f>
        <v/>
      </c>
      <c r="E297">
        <f>IFERROR(AGGREGATE(15,6,ROW('Input Transaksi'!$B$5:$B$5000)/('Input Transaksi'!$B$5:$B$5000="JCL AYANI"),ROWS($E$5:E297)),"")</f>
        <v/>
      </c>
      <c r="F297" s="5" t="n"/>
    </row>
    <row r="298">
      <c r="A298" s="10">
        <f>IF($E298="","",INDEX('Input Transaksi'!$A:$A,$E298))</f>
        <v/>
      </c>
      <c r="B298" s="5">
        <f>IF($E298="","",INDEX('Input Transaksi'!$D:$D,$E298))</f>
        <v/>
      </c>
      <c r="C298">
        <f>IF($E298="","",INDEX('Input Transaksi'!$E:$E,$E298))</f>
        <v/>
      </c>
      <c r="D298" s="5">
        <f>IF($E298="","",INDEX('Input Transaksi'!$F:$F,$E298))</f>
        <v/>
      </c>
      <c r="E298">
        <f>IFERROR(AGGREGATE(15,6,ROW('Input Transaksi'!$B$5:$B$5000)/('Input Transaksi'!$B$5:$B$5000="JCL AYANI"),ROWS($E$5:E298)),"")</f>
        <v/>
      </c>
      <c r="F298" s="5" t="n"/>
    </row>
    <row r="299">
      <c r="A299" s="10">
        <f>IF($E299="","",INDEX('Input Transaksi'!$A:$A,$E299))</f>
        <v/>
      </c>
      <c r="B299" s="5">
        <f>IF($E299="","",INDEX('Input Transaksi'!$D:$D,$E299))</f>
        <v/>
      </c>
      <c r="C299">
        <f>IF($E299="","",INDEX('Input Transaksi'!$E:$E,$E299))</f>
        <v/>
      </c>
      <c r="D299" s="5">
        <f>IF($E299="","",INDEX('Input Transaksi'!$F:$F,$E299))</f>
        <v/>
      </c>
      <c r="E299">
        <f>IFERROR(AGGREGATE(15,6,ROW('Input Transaksi'!$B$5:$B$5000)/('Input Transaksi'!$B$5:$B$5000="JCL AYANI"),ROWS($E$5:E299)),"")</f>
        <v/>
      </c>
      <c r="F299" s="5" t="n"/>
    </row>
    <row r="300">
      <c r="A300" s="10">
        <f>IF($E300="","",INDEX('Input Transaksi'!$A:$A,$E300))</f>
        <v/>
      </c>
      <c r="B300" s="5">
        <f>IF($E300="","",INDEX('Input Transaksi'!$D:$D,$E300))</f>
        <v/>
      </c>
      <c r="C300">
        <f>IF($E300="","",INDEX('Input Transaksi'!$E:$E,$E300))</f>
        <v/>
      </c>
      <c r="D300" s="5">
        <f>IF($E300="","",INDEX('Input Transaksi'!$F:$F,$E300))</f>
        <v/>
      </c>
      <c r="E300">
        <f>IFERROR(AGGREGATE(15,6,ROW('Input Transaksi'!$B$5:$B$5000)/('Input Transaksi'!$B$5:$B$5000="JCL AYANI"),ROWS($E$5:E300)),"")</f>
        <v/>
      </c>
      <c r="F300" s="5" t="n"/>
    </row>
    <row r="301">
      <c r="A301" s="10">
        <f>IF($E301="","",INDEX('Input Transaksi'!$A:$A,$E301))</f>
        <v/>
      </c>
      <c r="B301" s="5">
        <f>IF($E301="","",INDEX('Input Transaksi'!$D:$D,$E301))</f>
        <v/>
      </c>
      <c r="C301">
        <f>IF($E301="","",INDEX('Input Transaksi'!$E:$E,$E301))</f>
        <v/>
      </c>
      <c r="D301" s="5">
        <f>IF($E301="","",INDEX('Input Transaksi'!$F:$F,$E301))</f>
        <v/>
      </c>
      <c r="E301">
        <f>IFERROR(AGGREGATE(15,6,ROW('Input Transaksi'!$B$5:$B$5000)/('Input Transaksi'!$B$5:$B$5000="JCL AYANI"),ROWS($E$5:E301)),"")</f>
        <v/>
      </c>
      <c r="F301" s="5" t="n"/>
    </row>
    <row r="302">
      <c r="A302" s="10">
        <f>IF($E302="","",INDEX('Input Transaksi'!$A:$A,$E302))</f>
        <v/>
      </c>
      <c r="B302" s="5">
        <f>IF($E302="","",INDEX('Input Transaksi'!$D:$D,$E302))</f>
        <v/>
      </c>
      <c r="C302">
        <f>IF($E302="","",INDEX('Input Transaksi'!$E:$E,$E302))</f>
        <v/>
      </c>
      <c r="D302" s="5">
        <f>IF($E302="","",INDEX('Input Transaksi'!$F:$F,$E302))</f>
        <v/>
      </c>
      <c r="E302">
        <f>IFERROR(AGGREGATE(15,6,ROW('Input Transaksi'!$B$5:$B$5000)/('Input Transaksi'!$B$5:$B$5000="JCL AYANI"),ROWS($E$5:E302)),"")</f>
        <v/>
      </c>
      <c r="F302" s="5" t="n"/>
    </row>
    <row r="303">
      <c r="A303" s="10">
        <f>IF($E303="","",INDEX('Input Transaksi'!$A:$A,$E303))</f>
        <v/>
      </c>
      <c r="B303" s="5">
        <f>IF($E303="","",INDEX('Input Transaksi'!$D:$D,$E303))</f>
        <v/>
      </c>
      <c r="C303">
        <f>IF($E303="","",INDEX('Input Transaksi'!$E:$E,$E303))</f>
        <v/>
      </c>
      <c r="D303" s="5">
        <f>IF($E303="","",INDEX('Input Transaksi'!$F:$F,$E303))</f>
        <v/>
      </c>
      <c r="E303">
        <f>IFERROR(AGGREGATE(15,6,ROW('Input Transaksi'!$B$5:$B$5000)/('Input Transaksi'!$B$5:$B$5000="JCL AYANI"),ROWS($E$5:E303)),"")</f>
        <v/>
      </c>
      <c r="F303" s="5" t="n"/>
    </row>
    <row r="304">
      <c r="A304" s="10">
        <f>IF($E304="","",INDEX('Input Transaksi'!$A:$A,$E304))</f>
        <v/>
      </c>
      <c r="B304" s="5">
        <f>IF($E304="","",INDEX('Input Transaksi'!$D:$D,$E304))</f>
        <v/>
      </c>
      <c r="C304">
        <f>IF($E304="","",INDEX('Input Transaksi'!$E:$E,$E304))</f>
        <v/>
      </c>
      <c r="D304" s="5">
        <f>IF($E304="","",INDEX('Input Transaksi'!$F:$F,$E304))</f>
        <v/>
      </c>
      <c r="E304">
        <f>IFERROR(AGGREGATE(15,6,ROW('Input Transaksi'!$B$5:$B$5000)/('Input Transaksi'!$B$5:$B$5000="JCL AYANI"),ROWS($E$5:E304)),"")</f>
        <v/>
      </c>
      <c r="F304" s="5" t="n"/>
    </row>
    <row r="305">
      <c r="A305" s="10">
        <f>IF($E305="","",INDEX('Input Transaksi'!$A:$A,$E305))</f>
        <v/>
      </c>
      <c r="B305" s="5">
        <f>IF($E305="","",INDEX('Input Transaksi'!$D:$D,$E305))</f>
        <v/>
      </c>
      <c r="C305">
        <f>IF($E305="","",INDEX('Input Transaksi'!$E:$E,$E305))</f>
        <v/>
      </c>
      <c r="D305" s="5">
        <f>IF($E305="","",INDEX('Input Transaksi'!$F:$F,$E305))</f>
        <v/>
      </c>
      <c r="E305">
        <f>IFERROR(AGGREGATE(15,6,ROW('Input Transaksi'!$B$5:$B$5000)/('Input Transaksi'!$B$5:$B$5000="JCL AYANI"),ROWS($E$5:E305)),"")</f>
        <v/>
      </c>
      <c r="F305" s="5" t="n"/>
    </row>
    <row r="306">
      <c r="A306" s="10">
        <f>IF($E306="","",INDEX('Input Transaksi'!$A:$A,$E306))</f>
        <v/>
      </c>
      <c r="B306" s="5">
        <f>IF($E306="","",INDEX('Input Transaksi'!$D:$D,$E306))</f>
        <v/>
      </c>
      <c r="C306">
        <f>IF($E306="","",INDEX('Input Transaksi'!$E:$E,$E306))</f>
        <v/>
      </c>
      <c r="D306" s="5">
        <f>IF($E306="","",INDEX('Input Transaksi'!$F:$F,$E306))</f>
        <v/>
      </c>
      <c r="E306">
        <f>IFERROR(AGGREGATE(15,6,ROW('Input Transaksi'!$B$5:$B$5000)/('Input Transaksi'!$B$5:$B$5000="JCL AYANI"),ROWS($E$5:E306)),"")</f>
        <v/>
      </c>
      <c r="F306" s="5" t="n"/>
    </row>
    <row r="307">
      <c r="A307" s="10">
        <f>IF($E307="","",INDEX('Input Transaksi'!$A:$A,$E307))</f>
        <v/>
      </c>
      <c r="B307" s="5">
        <f>IF($E307="","",INDEX('Input Transaksi'!$D:$D,$E307))</f>
        <v/>
      </c>
      <c r="C307">
        <f>IF($E307="","",INDEX('Input Transaksi'!$E:$E,$E307))</f>
        <v/>
      </c>
      <c r="D307" s="5">
        <f>IF($E307="","",INDEX('Input Transaksi'!$F:$F,$E307))</f>
        <v/>
      </c>
      <c r="E307">
        <f>IFERROR(AGGREGATE(15,6,ROW('Input Transaksi'!$B$5:$B$5000)/('Input Transaksi'!$B$5:$B$5000="JCL AYANI"),ROWS($E$5:E307)),"")</f>
        <v/>
      </c>
      <c r="F307" s="5" t="n"/>
    </row>
    <row r="308">
      <c r="A308" s="10">
        <f>IF($E308="","",INDEX('Input Transaksi'!$A:$A,$E308))</f>
        <v/>
      </c>
      <c r="B308" s="5">
        <f>IF($E308="","",INDEX('Input Transaksi'!$D:$D,$E308))</f>
        <v/>
      </c>
      <c r="C308">
        <f>IF($E308="","",INDEX('Input Transaksi'!$E:$E,$E308))</f>
        <v/>
      </c>
      <c r="D308" s="5">
        <f>IF($E308="","",INDEX('Input Transaksi'!$F:$F,$E308))</f>
        <v/>
      </c>
      <c r="E308">
        <f>IFERROR(AGGREGATE(15,6,ROW('Input Transaksi'!$B$5:$B$5000)/('Input Transaksi'!$B$5:$B$5000="JCL AYANI"),ROWS($E$5:E308)),"")</f>
        <v/>
      </c>
      <c r="F308" s="5" t="n"/>
    </row>
    <row r="309">
      <c r="A309" s="10">
        <f>IF($E309="","",INDEX('Input Transaksi'!$A:$A,$E309))</f>
        <v/>
      </c>
      <c r="B309" s="5">
        <f>IF($E309="","",INDEX('Input Transaksi'!$D:$D,$E309))</f>
        <v/>
      </c>
      <c r="C309">
        <f>IF($E309="","",INDEX('Input Transaksi'!$E:$E,$E309))</f>
        <v/>
      </c>
      <c r="D309" s="5">
        <f>IF($E309="","",INDEX('Input Transaksi'!$F:$F,$E309))</f>
        <v/>
      </c>
      <c r="E309">
        <f>IFERROR(AGGREGATE(15,6,ROW('Input Transaksi'!$B$5:$B$5000)/('Input Transaksi'!$B$5:$B$5000="JCL AYANI"),ROWS($E$5:E309)),"")</f>
        <v/>
      </c>
      <c r="F309" s="5" t="n"/>
    </row>
    <row r="310">
      <c r="A310" s="10">
        <f>IF($E310="","",INDEX('Input Transaksi'!$A:$A,$E310))</f>
        <v/>
      </c>
      <c r="B310" s="5">
        <f>IF($E310="","",INDEX('Input Transaksi'!$D:$D,$E310))</f>
        <v/>
      </c>
      <c r="C310">
        <f>IF($E310="","",INDEX('Input Transaksi'!$E:$E,$E310))</f>
        <v/>
      </c>
      <c r="D310" s="5">
        <f>IF($E310="","",INDEX('Input Transaksi'!$F:$F,$E310))</f>
        <v/>
      </c>
      <c r="E310">
        <f>IFERROR(AGGREGATE(15,6,ROW('Input Transaksi'!$B$5:$B$5000)/('Input Transaksi'!$B$5:$B$5000="JCL AYANI"),ROWS($E$5:E310)),"")</f>
        <v/>
      </c>
      <c r="F310" s="5" t="n"/>
    </row>
    <row r="311">
      <c r="A311" s="10">
        <f>IF($E311="","",INDEX('Input Transaksi'!$A:$A,$E311))</f>
        <v/>
      </c>
      <c r="B311" s="5">
        <f>IF($E311="","",INDEX('Input Transaksi'!$D:$D,$E311))</f>
        <v/>
      </c>
      <c r="C311">
        <f>IF($E311="","",INDEX('Input Transaksi'!$E:$E,$E311))</f>
        <v/>
      </c>
      <c r="D311" s="5">
        <f>IF($E311="","",INDEX('Input Transaksi'!$F:$F,$E311))</f>
        <v/>
      </c>
      <c r="E311">
        <f>IFERROR(AGGREGATE(15,6,ROW('Input Transaksi'!$B$5:$B$5000)/('Input Transaksi'!$B$5:$B$5000="JCL AYANI"),ROWS($E$5:E311)),"")</f>
        <v/>
      </c>
      <c r="F311" s="5" t="n"/>
    </row>
    <row r="312">
      <c r="A312" s="10">
        <f>IF($E312="","",INDEX('Input Transaksi'!$A:$A,$E312))</f>
        <v/>
      </c>
      <c r="B312" s="5">
        <f>IF($E312="","",INDEX('Input Transaksi'!$D:$D,$E312))</f>
        <v/>
      </c>
      <c r="C312">
        <f>IF($E312="","",INDEX('Input Transaksi'!$E:$E,$E312))</f>
        <v/>
      </c>
      <c r="D312" s="5">
        <f>IF($E312="","",INDEX('Input Transaksi'!$F:$F,$E312))</f>
        <v/>
      </c>
      <c r="E312">
        <f>IFERROR(AGGREGATE(15,6,ROW('Input Transaksi'!$B$5:$B$5000)/('Input Transaksi'!$B$5:$B$5000="JCL AYANI"),ROWS($E$5:E312)),"")</f>
        <v/>
      </c>
      <c r="F312" s="5" t="n"/>
    </row>
    <row r="313">
      <c r="A313" s="10">
        <f>IF($E313="","",INDEX('Input Transaksi'!$A:$A,$E313))</f>
        <v/>
      </c>
      <c r="B313" s="5">
        <f>IF($E313="","",INDEX('Input Transaksi'!$D:$D,$E313))</f>
        <v/>
      </c>
      <c r="C313">
        <f>IF($E313="","",INDEX('Input Transaksi'!$E:$E,$E313))</f>
        <v/>
      </c>
      <c r="D313" s="5">
        <f>IF($E313="","",INDEX('Input Transaksi'!$F:$F,$E313))</f>
        <v/>
      </c>
      <c r="E313">
        <f>IFERROR(AGGREGATE(15,6,ROW('Input Transaksi'!$B$5:$B$5000)/('Input Transaksi'!$B$5:$B$5000="JCL AYANI"),ROWS($E$5:E313)),"")</f>
        <v/>
      </c>
      <c r="F313" s="5" t="n"/>
    </row>
    <row r="314">
      <c r="A314" s="10">
        <f>IF($E314="","",INDEX('Input Transaksi'!$A:$A,$E314))</f>
        <v/>
      </c>
      <c r="B314" s="5">
        <f>IF($E314="","",INDEX('Input Transaksi'!$D:$D,$E314))</f>
        <v/>
      </c>
      <c r="C314">
        <f>IF($E314="","",INDEX('Input Transaksi'!$E:$E,$E314))</f>
        <v/>
      </c>
      <c r="D314" s="5">
        <f>IF($E314="","",INDEX('Input Transaksi'!$F:$F,$E314))</f>
        <v/>
      </c>
      <c r="E314">
        <f>IFERROR(AGGREGATE(15,6,ROW('Input Transaksi'!$B$5:$B$5000)/('Input Transaksi'!$B$5:$B$5000="JCL AYANI"),ROWS($E$5:E314)),"")</f>
        <v/>
      </c>
      <c r="F314" s="5" t="n"/>
    </row>
    <row r="315">
      <c r="A315" s="10">
        <f>IF($E315="","",INDEX('Input Transaksi'!$A:$A,$E315))</f>
        <v/>
      </c>
      <c r="B315" s="5">
        <f>IF($E315="","",INDEX('Input Transaksi'!$D:$D,$E315))</f>
        <v/>
      </c>
      <c r="C315">
        <f>IF($E315="","",INDEX('Input Transaksi'!$E:$E,$E315))</f>
        <v/>
      </c>
      <c r="D315" s="5">
        <f>IF($E315="","",INDEX('Input Transaksi'!$F:$F,$E315))</f>
        <v/>
      </c>
      <c r="E315">
        <f>IFERROR(AGGREGATE(15,6,ROW('Input Transaksi'!$B$5:$B$5000)/('Input Transaksi'!$B$5:$B$5000="JCL AYANI"),ROWS($E$5:E315)),"")</f>
        <v/>
      </c>
      <c r="F315" s="5" t="n"/>
    </row>
    <row r="316">
      <c r="A316" s="10">
        <f>IF($E316="","",INDEX('Input Transaksi'!$A:$A,$E316))</f>
        <v/>
      </c>
      <c r="B316" s="5">
        <f>IF($E316="","",INDEX('Input Transaksi'!$D:$D,$E316))</f>
        <v/>
      </c>
      <c r="C316">
        <f>IF($E316="","",INDEX('Input Transaksi'!$E:$E,$E316))</f>
        <v/>
      </c>
      <c r="D316" s="5">
        <f>IF($E316="","",INDEX('Input Transaksi'!$F:$F,$E316))</f>
        <v/>
      </c>
      <c r="E316">
        <f>IFERROR(AGGREGATE(15,6,ROW('Input Transaksi'!$B$5:$B$5000)/('Input Transaksi'!$B$5:$B$5000="JCL AYANI"),ROWS($E$5:E316)),"")</f>
        <v/>
      </c>
      <c r="F316" s="5" t="n"/>
    </row>
    <row r="317">
      <c r="A317" s="10">
        <f>IF($E317="","",INDEX('Input Transaksi'!$A:$A,$E317))</f>
        <v/>
      </c>
      <c r="B317" s="5">
        <f>IF($E317="","",INDEX('Input Transaksi'!$D:$D,$E317))</f>
        <v/>
      </c>
      <c r="C317">
        <f>IF($E317="","",INDEX('Input Transaksi'!$E:$E,$E317))</f>
        <v/>
      </c>
      <c r="D317" s="5">
        <f>IF($E317="","",INDEX('Input Transaksi'!$F:$F,$E317))</f>
        <v/>
      </c>
      <c r="E317">
        <f>IFERROR(AGGREGATE(15,6,ROW('Input Transaksi'!$B$5:$B$5000)/('Input Transaksi'!$B$5:$B$5000="JCL AYANI"),ROWS($E$5:E317)),"")</f>
        <v/>
      </c>
      <c r="F317" s="5" t="n"/>
    </row>
    <row r="318">
      <c r="A318" s="10">
        <f>IF($E318="","",INDEX('Input Transaksi'!$A:$A,$E318))</f>
        <v/>
      </c>
      <c r="B318" s="5">
        <f>IF($E318="","",INDEX('Input Transaksi'!$D:$D,$E318))</f>
        <v/>
      </c>
      <c r="C318">
        <f>IF($E318="","",INDEX('Input Transaksi'!$E:$E,$E318))</f>
        <v/>
      </c>
      <c r="D318" s="5">
        <f>IF($E318="","",INDEX('Input Transaksi'!$F:$F,$E318))</f>
        <v/>
      </c>
      <c r="E318">
        <f>IFERROR(AGGREGATE(15,6,ROW('Input Transaksi'!$B$5:$B$5000)/('Input Transaksi'!$B$5:$B$5000="JCL AYANI"),ROWS($E$5:E318)),"")</f>
        <v/>
      </c>
      <c r="F318" s="5" t="n"/>
    </row>
    <row r="319">
      <c r="A319" s="10">
        <f>IF($E319="","",INDEX('Input Transaksi'!$A:$A,$E319))</f>
        <v/>
      </c>
      <c r="B319" s="5">
        <f>IF($E319="","",INDEX('Input Transaksi'!$D:$D,$E319))</f>
        <v/>
      </c>
      <c r="C319">
        <f>IF($E319="","",INDEX('Input Transaksi'!$E:$E,$E319))</f>
        <v/>
      </c>
      <c r="D319" s="5">
        <f>IF($E319="","",INDEX('Input Transaksi'!$F:$F,$E319))</f>
        <v/>
      </c>
      <c r="E319">
        <f>IFERROR(AGGREGATE(15,6,ROW('Input Transaksi'!$B$5:$B$5000)/('Input Transaksi'!$B$5:$B$5000="JCL AYANI"),ROWS($E$5:E319)),"")</f>
        <v/>
      </c>
      <c r="F319" s="5" t="n"/>
    </row>
    <row r="320">
      <c r="A320" s="10">
        <f>IF($E320="","",INDEX('Input Transaksi'!$A:$A,$E320))</f>
        <v/>
      </c>
      <c r="B320" s="5">
        <f>IF($E320="","",INDEX('Input Transaksi'!$D:$D,$E320))</f>
        <v/>
      </c>
      <c r="C320">
        <f>IF($E320="","",INDEX('Input Transaksi'!$E:$E,$E320))</f>
        <v/>
      </c>
      <c r="D320" s="5">
        <f>IF($E320="","",INDEX('Input Transaksi'!$F:$F,$E320))</f>
        <v/>
      </c>
      <c r="E320">
        <f>IFERROR(AGGREGATE(15,6,ROW('Input Transaksi'!$B$5:$B$5000)/('Input Transaksi'!$B$5:$B$5000="JCL AYANI"),ROWS($E$5:E320)),"")</f>
        <v/>
      </c>
      <c r="F320" s="5" t="n"/>
    </row>
    <row r="321">
      <c r="A321" s="10">
        <f>IF($E321="","",INDEX('Input Transaksi'!$A:$A,$E321))</f>
        <v/>
      </c>
      <c r="B321" s="5">
        <f>IF($E321="","",INDEX('Input Transaksi'!$D:$D,$E321))</f>
        <v/>
      </c>
      <c r="C321">
        <f>IF($E321="","",INDEX('Input Transaksi'!$E:$E,$E321))</f>
        <v/>
      </c>
      <c r="D321" s="5">
        <f>IF($E321="","",INDEX('Input Transaksi'!$F:$F,$E321))</f>
        <v/>
      </c>
      <c r="E321">
        <f>IFERROR(AGGREGATE(15,6,ROW('Input Transaksi'!$B$5:$B$5000)/('Input Transaksi'!$B$5:$B$5000="JCL AYANI"),ROWS($E$5:E321)),"")</f>
        <v/>
      </c>
      <c r="F321" s="5" t="n"/>
    </row>
    <row r="322">
      <c r="A322" s="10">
        <f>IF($E322="","",INDEX('Input Transaksi'!$A:$A,$E322))</f>
        <v/>
      </c>
      <c r="B322" s="5">
        <f>IF($E322="","",INDEX('Input Transaksi'!$D:$D,$E322))</f>
        <v/>
      </c>
      <c r="C322">
        <f>IF($E322="","",INDEX('Input Transaksi'!$E:$E,$E322))</f>
        <v/>
      </c>
      <c r="D322" s="5">
        <f>IF($E322="","",INDEX('Input Transaksi'!$F:$F,$E322))</f>
        <v/>
      </c>
      <c r="E322">
        <f>IFERROR(AGGREGATE(15,6,ROW('Input Transaksi'!$B$5:$B$5000)/('Input Transaksi'!$B$5:$B$5000="JCL AYANI"),ROWS($E$5:E322)),"")</f>
        <v/>
      </c>
      <c r="F322" s="5" t="n"/>
    </row>
    <row r="323">
      <c r="A323" s="10">
        <f>IF($E323="","",INDEX('Input Transaksi'!$A:$A,$E323))</f>
        <v/>
      </c>
      <c r="B323" s="5">
        <f>IF($E323="","",INDEX('Input Transaksi'!$D:$D,$E323))</f>
        <v/>
      </c>
      <c r="C323">
        <f>IF($E323="","",INDEX('Input Transaksi'!$E:$E,$E323))</f>
        <v/>
      </c>
      <c r="D323" s="5">
        <f>IF($E323="","",INDEX('Input Transaksi'!$F:$F,$E323))</f>
        <v/>
      </c>
      <c r="E323">
        <f>IFERROR(AGGREGATE(15,6,ROW('Input Transaksi'!$B$5:$B$5000)/('Input Transaksi'!$B$5:$B$5000="JCL AYANI"),ROWS($E$5:E323)),"")</f>
        <v/>
      </c>
      <c r="F323" s="5" t="n"/>
    </row>
    <row r="324">
      <c r="A324" s="10">
        <f>IF($E324="","",INDEX('Input Transaksi'!$A:$A,$E324))</f>
        <v/>
      </c>
      <c r="B324" s="5">
        <f>IF($E324="","",INDEX('Input Transaksi'!$D:$D,$E324))</f>
        <v/>
      </c>
      <c r="C324">
        <f>IF($E324="","",INDEX('Input Transaksi'!$E:$E,$E324))</f>
        <v/>
      </c>
      <c r="D324" s="5">
        <f>IF($E324="","",INDEX('Input Transaksi'!$F:$F,$E324))</f>
        <v/>
      </c>
      <c r="E324">
        <f>IFERROR(AGGREGATE(15,6,ROW('Input Transaksi'!$B$5:$B$5000)/('Input Transaksi'!$B$5:$B$5000="JCL AYANI"),ROWS($E$5:E324)),"")</f>
        <v/>
      </c>
      <c r="F324" s="5" t="n"/>
    </row>
    <row r="325">
      <c r="A325" s="10">
        <f>IF($E325="","",INDEX('Input Transaksi'!$A:$A,$E325))</f>
        <v/>
      </c>
      <c r="B325" s="5">
        <f>IF($E325="","",INDEX('Input Transaksi'!$D:$D,$E325))</f>
        <v/>
      </c>
      <c r="C325">
        <f>IF($E325="","",INDEX('Input Transaksi'!$E:$E,$E325))</f>
        <v/>
      </c>
      <c r="D325" s="5">
        <f>IF($E325="","",INDEX('Input Transaksi'!$F:$F,$E325))</f>
        <v/>
      </c>
      <c r="E325">
        <f>IFERROR(AGGREGATE(15,6,ROW('Input Transaksi'!$B$5:$B$5000)/('Input Transaksi'!$B$5:$B$5000="JCL AYANI"),ROWS($E$5:E325)),"")</f>
        <v/>
      </c>
      <c r="F325" s="5" t="n"/>
    </row>
    <row r="326">
      <c r="A326" s="10">
        <f>IF($E326="","",INDEX('Input Transaksi'!$A:$A,$E326))</f>
        <v/>
      </c>
      <c r="B326" s="5">
        <f>IF($E326="","",INDEX('Input Transaksi'!$D:$D,$E326))</f>
        <v/>
      </c>
      <c r="C326">
        <f>IF($E326="","",INDEX('Input Transaksi'!$E:$E,$E326))</f>
        <v/>
      </c>
      <c r="D326" s="5">
        <f>IF($E326="","",INDEX('Input Transaksi'!$F:$F,$E326))</f>
        <v/>
      </c>
      <c r="E326">
        <f>IFERROR(AGGREGATE(15,6,ROW('Input Transaksi'!$B$5:$B$5000)/('Input Transaksi'!$B$5:$B$5000="JCL AYANI"),ROWS($E$5:E326)),"")</f>
        <v/>
      </c>
      <c r="F326" s="5" t="n"/>
    </row>
    <row r="327">
      <c r="A327" s="10">
        <f>IF($E327="","",INDEX('Input Transaksi'!$A:$A,$E327))</f>
        <v/>
      </c>
      <c r="B327" s="5">
        <f>IF($E327="","",INDEX('Input Transaksi'!$D:$D,$E327))</f>
        <v/>
      </c>
      <c r="C327">
        <f>IF($E327="","",INDEX('Input Transaksi'!$E:$E,$E327))</f>
        <v/>
      </c>
      <c r="D327" s="5">
        <f>IF($E327="","",INDEX('Input Transaksi'!$F:$F,$E327))</f>
        <v/>
      </c>
      <c r="E327">
        <f>IFERROR(AGGREGATE(15,6,ROW('Input Transaksi'!$B$5:$B$5000)/('Input Transaksi'!$B$5:$B$5000="JCL AYANI"),ROWS($E$5:E327)),"")</f>
        <v/>
      </c>
      <c r="F327" s="5" t="n"/>
    </row>
    <row r="328">
      <c r="A328" s="10">
        <f>IF($E328="","",INDEX('Input Transaksi'!$A:$A,$E328))</f>
        <v/>
      </c>
      <c r="B328" s="5">
        <f>IF($E328="","",INDEX('Input Transaksi'!$D:$D,$E328))</f>
        <v/>
      </c>
      <c r="C328">
        <f>IF($E328="","",INDEX('Input Transaksi'!$E:$E,$E328))</f>
        <v/>
      </c>
      <c r="D328" s="5">
        <f>IF($E328="","",INDEX('Input Transaksi'!$F:$F,$E328))</f>
        <v/>
      </c>
      <c r="E328">
        <f>IFERROR(AGGREGATE(15,6,ROW('Input Transaksi'!$B$5:$B$5000)/('Input Transaksi'!$B$5:$B$5000="JCL AYANI"),ROWS($E$5:E328)),"")</f>
        <v/>
      </c>
      <c r="F328" s="5" t="n"/>
    </row>
    <row r="329">
      <c r="A329" s="10">
        <f>IF($E329="","",INDEX('Input Transaksi'!$A:$A,$E329))</f>
        <v/>
      </c>
      <c r="B329" s="5">
        <f>IF($E329="","",INDEX('Input Transaksi'!$D:$D,$E329))</f>
        <v/>
      </c>
      <c r="C329">
        <f>IF($E329="","",INDEX('Input Transaksi'!$E:$E,$E329))</f>
        <v/>
      </c>
      <c r="D329" s="5">
        <f>IF($E329="","",INDEX('Input Transaksi'!$F:$F,$E329))</f>
        <v/>
      </c>
      <c r="E329">
        <f>IFERROR(AGGREGATE(15,6,ROW('Input Transaksi'!$B$5:$B$5000)/('Input Transaksi'!$B$5:$B$5000="JCL AYANI"),ROWS($E$5:E329)),"")</f>
        <v/>
      </c>
      <c r="F329" s="5" t="n"/>
    </row>
    <row r="330">
      <c r="A330" s="10">
        <f>IF($E330="","",INDEX('Input Transaksi'!$A:$A,$E330))</f>
        <v/>
      </c>
      <c r="B330" s="5">
        <f>IF($E330="","",INDEX('Input Transaksi'!$D:$D,$E330))</f>
        <v/>
      </c>
      <c r="C330">
        <f>IF($E330="","",INDEX('Input Transaksi'!$E:$E,$E330))</f>
        <v/>
      </c>
      <c r="D330" s="5">
        <f>IF($E330="","",INDEX('Input Transaksi'!$F:$F,$E330))</f>
        <v/>
      </c>
      <c r="E330">
        <f>IFERROR(AGGREGATE(15,6,ROW('Input Transaksi'!$B$5:$B$5000)/('Input Transaksi'!$B$5:$B$5000="JCL AYANI"),ROWS($E$5:E330)),"")</f>
        <v/>
      </c>
      <c r="F330" s="5" t="n"/>
    </row>
    <row r="331">
      <c r="A331" s="10">
        <f>IF($E331="","",INDEX('Input Transaksi'!$A:$A,$E331))</f>
        <v/>
      </c>
      <c r="B331" s="5">
        <f>IF($E331="","",INDEX('Input Transaksi'!$D:$D,$E331))</f>
        <v/>
      </c>
      <c r="C331">
        <f>IF($E331="","",INDEX('Input Transaksi'!$E:$E,$E331))</f>
        <v/>
      </c>
      <c r="D331" s="5">
        <f>IF($E331="","",INDEX('Input Transaksi'!$F:$F,$E331))</f>
        <v/>
      </c>
      <c r="E331">
        <f>IFERROR(AGGREGATE(15,6,ROW('Input Transaksi'!$B$5:$B$5000)/('Input Transaksi'!$B$5:$B$5000="JCL AYANI"),ROWS($E$5:E331)),"")</f>
        <v/>
      </c>
      <c r="F331" s="5" t="n"/>
    </row>
    <row r="332">
      <c r="A332" s="10">
        <f>IF($E332="","",INDEX('Input Transaksi'!$A:$A,$E332))</f>
        <v/>
      </c>
      <c r="B332" s="5">
        <f>IF($E332="","",INDEX('Input Transaksi'!$D:$D,$E332))</f>
        <v/>
      </c>
      <c r="C332">
        <f>IF($E332="","",INDEX('Input Transaksi'!$E:$E,$E332))</f>
        <v/>
      </c>
      <c r="D332" s="5">
        <f>IF($E332="","",INDEX('Input Transaksi'!$F:$F,$E332))</f>
        <v/>
      </c>
      <c r="E332">
        <f>IFERROR(AGGREGATE(15,6,ROW('Input Transaksi'!$B$5:$B$5000)/('Input Transaksi'!$B$5:$B$5000="JCL AYANI"),ROWS($E$5:E332)),"")</f>
        <v/>
      </c>
      <c r="F332" s="5" t="n"/>
    </row>
    <row r="333">
      <c r="A333" s="10">
        <f>IF($E333="","",INDEX('Input Transaksi'!$A:$A,$E333))</f>
        <v/>
      </c>
      <c r="B333" s="5">
        <f>IF($E333="","",INDEX('Input Transaksi'!$D:$D,$E333))</f>
        <v/>
      </c>
      <c r="C333">
        <f>IF($E333="","",INDEX('Input Transaksi'!$E:$E,$E333))</f>
        <v/>
      </c>
      <c r="D333" s="5">
        <f>IF($E333="","",INDEX('Input Transaksi'!$F:$F,$E333))</f>
        <v/>
      </c>
      <c r="E333">
        <f>IFERROR(AGGREGATE(15,6,ROW('Input Transaksi'!$B$5:$B$5000)/('Input Transaksi'!$B$5:$B$5000="JCL AYANI"),ROWS($E$5:E333)),"")</f>
        <v/>
      </c>
      <c r="F333" s="5" t="n"/>
    </row>
    <row r="334">
      <c r="A334" s="10">
        <f>IF($E334="","",INDEX('Input Transaksi'!$A:$A,$E334))</f>
        <v/>
      </c>
      <c r="B334" s="5">
        <f>IF($E334="","",INDEX('Input Transaksi'!$D:$D,$E334))</f>
        <v/>
      </c>
      <c r="C334">
        <f>IF($E334="","",INDEX('Input Transaksi'!$E:$E,$E334))</f>
        <v/>
      </c>
      <c r="D334" s="5">
        <f>IF($E334="","",INDEX('Input Transaksi'!$F:$F,$E334))</f>
        <v/>
      </c>
      <c r="E334">
        <f>IFERROR(AGGREGATE(15,6,ROW('Input Transaksi'!$B$5:$B$5000)/('Input Transaksi'!$B$5:$B$5000="JCL AYANI"),ROWS($E$5:E334)),"")</f>
        <v/>
      </c>
      <c r="F334" s="5" t="n"/>
    </row>
    <row r="335">
      <c r="A335" s="10">
        <f>IF($E335="","",INDEX('Input Transaksi'!$A:$A,$E335))</f>
        <v/>
      </c>
      <c r="B335" s="5">
        <f>IF($E335="","",INDEX('Input Transaksi'!$D:$D,$E335))</f>
        <v/>
      </c>
      <c r="C335">
        <f>IF($E335="","",INDEX('Input Transaksi'!$E:$E,$E335))</f>
        <v/>
      </c>
      <c r="D335" s="5">
        <f>IF($E335="","",INDEX('Input Transaksi'!$F:$F,$E335))</f>
        <v/>
      </c>
      <c r="E335">
        <f>IFERROR(AGGREGATE(15,6,ROW('Input Transaksi'!$B$5:$B$5000)/('Input Transaksi'!$B$5:$B$5000="JCL AYANI"),ROWS($E$5:E335)),"")</f>
        <v/>
      </c>
      <c r="F335" s="5" t="n"/>
    </row>
    <row r="336">
      <c r="A336" s="10">
        <f>IF($E336="","",INDEX('Input Transaksi'!$A:$A,$E336))</f>
        <v/>
      </c>
      <c r="B336" s="5">
        <f>IF($E336="","",INDEX('Input Transaksi'!$D:$D,$E336))</f>
        <v/>
      </c>
      <c r="C336">
        <f>IF($E336="","",INDEX('Input Transaksi'!$E:$E,$E336))</f>
        <v/>
      </c>
      <c r="D336" s="5">
        <f>IF($E336="","",INDEX('Input Transaksi'!$F:$F,$E336))</f>
        <v/>
      </c>
      <c r="E336">
        <f>IFERROR(AGGREGATE(15,6,ROW('Input Transaksi'!$B$5:$B$5000)/('Input Transaksi'!$B$5:$B$5000="JCL AYANI"),ROWS($E$5:E336)),"")</f>
        <v/>
      </c>
      <c r="F336" s="5" t="n"/>
    </row>
    <row r="337">
      <c r="A337" s="10">
        <f>IF($E337="","",INDEX('Input Transaksi'!$A:$A,$E337))</f>
        <v/>
      </c>
      <c r="B337" s="5">
        <f>IF($E337="","",INDEX('Input Transaksi'!$D:$D,$E337))</f>
        <v/>
      </c>
      <c r="C337">
        <f>IF($E337="","",INDEX('Input Transaksi'!$E:$E,$E337))</f>
        <v/>
      </c>
      <c r="D337" s="5">
        <f>IF($E337="","",INDEX('Input Transaksi'!$F:$F,$E337))</f>
        <v/>
      </c>
      <c r="E337">
        <f>IFERROR(AGGREGATE(15,6,ROW('Input Transaksi'!$B$5:$B$5000)/('Input Transaksi'!$B$5:$B$5000="JCL AYANI"),ROWS($E$5:E337)),"")</f>
        <v/>
      </c>
      <c r="F337" s="5" t="n"/>
    </row>
    <row r="338">
      <c r="A338" s="10">
        <f>IF($E338="","",INDEX('Input Transaksi'!$A:$A,$E338))</f>
        <v/>
      </c>
      <c r="B338" s="5">
        <f>IF($E338="","",INDEX('Input Transaksi'!$D:$D,$E338))</f>
        <v/>
      </c>
      <c r="C338">
        <f>IF($E338="","",INDEX('Input Transaksi'!$E:$E,$E338))</f>
        <v/>
      </c>
      <c r="D338" s="5">
        <f>IF($E338="","",INDEX('Input Transaksi'!$F:$F,$E338))</f>
        <v/>
      </c>
      <c r="E338">
        <f>IFERROR(AGGREGATE(15,6,ROW('Input Transaksi'!$B$5:$B$5000)/('Input Transaksi'!$B$5:$B$5000="JCL AYANI"),ROWS($E$5:E338)),"")</f>
        <v/>
      </c>
      <c r="F338" s="5" t="n"/>
    </row>
    <row r="339">
      <c r="A339" s="10">
        <f>IF($E339="","",INDEX('Input Transaksi'!$A:$A,$E339))</f>
        <v/>
      </c>
      <c r="B339" s="5">
        <f>IF($E339="","",INDEX('Input Transaksi'!$D:$D,$E339))</f>
        <v/>
      </c>
      <c r="C339">
        <f>IF($E339="","",INDEX('Input Transaksi'!$E:$E,$E339))</f>
        <v/>
      </c>
      <c r="D339" s="5">
        <f>IF($E339="","",INDEX('Input Transaksi'!$F:$F,$E339))</f>
        <v/>
      </c>
      <c r="E339">
        <f>IFERROR(AGGREGATE(15,6,ROW('Input Transaksi'!$B$5:$B$5000)/('Input Transaksi'!$B$5:$B$5000="JCL AYANI"),ROWS($E$5:E339)),"")</f>
        <v/>
      </c>
      <c r="F339" s="5" t="n"/>
    </row>
    <row r="340">
      <c r="A340" s="10">
        <f>IF($E340="","",INDEX('Input Transaksi'!$A:$A,$E340))</f>
        <v/>
      </c>
      <c r="B340" s="5">
        <f>IF($E340="","",INDEX('Input Transaksi'!$D:$D,$E340))</f>
        <v/>
      </c>
      <c r="C340">
        <f>IF($E340="","",INDEX('Input Transaksi'!$E:$E,$E340))</f>
        <v/>
      </c>
      <c r="D340" s="5">
        <f>IF($E340="","",INDEX('Input Transaksi'!$F:$F,$E340))</f>
        <v/>
      </c>
      <c r="E340">
        <f>IFERROR(AGGREGATE(15,6,ROW('Input Transaksi'!$B$5:$B$5000)/('Input Transaksi'!$B$5:$B$5000="JCL AYANI"),ROWS($E$5:E340)),"")</f>
        <v/>
      </c>
      <c r="F340" s="5" t="n"/>
    </row>
    <row r="341">
      <c r="A341" s="10">
        <f>IF($E341="","",INDEX('Input Transaksi'!$A:$A,$E341))</f>
        <v/>
      </c>
      <c r="B341" s="5">
        <f>IF($E341="","",INDEX('Input Transaksi'!$D:$D,$E341))</f>
        <v/>
      </c>
      <c r="C341">
        <f>IF($E341="","",INDEX('Input Transaksi'!$E:$E,$E341))</f>
        <v/>
      </c>
      <c r="D341" s="5">
        <f>IF($E341="","",INDEX('Input Transaksi'!$F:$F,$E341))</f>
        <v/>
      </c>
      <c r="E341">
        <f>IFERROR(AGGREGATE(15,6,ROW('Input Transaksi'!$B$5:$B$5000)/('Input Transaksi'!$B$5:$B$5000="JCL AYANI"),ROWS($E$5:E341)),"")</f>
        <v/>
      </c>
      <c r="F341" s="5" t="n"/>
    </row>
    <row r="342">
      <c r="A342" s="10">
        <f>IF($E342="","",INDEX('Input Transaksi'!$A:$A,$E342))</f>
        <v/>
      </c>
      <c r="B342" s="5">
        <f>IF($E342="","",INDEX('Input Transaksi'!$D:$D,$E342))</f>
        <v/>
      </c>
      <c r="C342">
        <f>IF($E342="","",INDEX('Input Transaksi'!$E:$E,$E342))</f>
        <v/>
      </c>
      <c r="D342" s="5">
        <f>IF($E342="","",INDEX('Input Transaksi'!$F:$F,$E342))</f>
        <v/>
      </c>
      <c r="E342">
        <f>IFERROR(AGGREGATE(15,6,ROW('Input Transaksi'!$B$5:$B$5000)/('Input Transaksi'!$B$5:$B$5000="JCL AYANI"),ROWS($E$5:E342)),"")</f>
        <v/>
      </c>
      <c r="F342" s="5" t="n"/>
    </row>
    <row r="343">
      <c r="A343" s="10">
        <f>IF($E343="","",INDEX('Input Transaksi'!$A:$A,$E343))</f>
        <v/>
      </c>
      <c r="B343" s="5">
        <f>IF($E343="","",INDEX('Input Transaksi'!$D:$D,$E343))</f>
        <v/>
      </c>
      <c r="C343">
        <f>IF($E343="","",INDEX('Input Transaksi'!$E:$E,$E343))</f>
        <v/>
      </c>
      <c r="D343" s="5">
        <f>IF($E343="","",INDEX('Input Transaksi'!$F:$F,$E343))</f>
        <v/>
      </c>
      <c r="E343">
        <f>IFERROR(AGGREGATE(15,6,ROW('Input Transaksi'!$B$5:$B$5000)/('Input Transaksi'!$B$5:$B$5000="JCL AYANI"),ROWS($E$5:E343)),"")</f>
        <v/>
      </c>
      <c r="F343" s="5" t="n"/>
    </row>
    <row r="344">
      <c r="A344" s="10">
        <f>IF($E344="","",INDEX('Input Transaksi'!$A:$A,$E344))</f>
        <v/>
      </c>
      <c r="B344" s="5">
        <f>IF($E344="","",INDEX('Input Transaksi'!$D:$D,$E344))</f>
        <v/>
      </c>
      <c r="C344">
        <f>IF($E344="","",INDEX('Input Transaksi'!$E:$E,$E344))</f>
        <v/>
      </c>
      <c r="D344" s="5">
        <f>IF($E344="","",INDEX('Input Transaksi'!$F:$F,$E344))</f>
        <v/>
      </c>
      <c r="E344">
        <f>IFERROR(AGGREGATE(15,6,ROW('Input Transaksi'!$B$5:$B$5000)/('Input Transaksi'!$B$5:$B$5000="JCL AYANI"),ROWS($E$5:E344)),"")</f>
        <v/>
      </c>
      <c r="F344" s="5" t="n"/>
    </row>
    <row r="345">
      <c r="A345" s="10">
        <f>IF($E345="","",INDEX('Input Transaksi'!$A:$A,$E345))</f>
        <v/>
      </c>
      <c r="B345" s="5">
        <f>IF($E345="","",INDEX('Input Transaksi'!$D:$D,$E345))</f>
        <v/>
      </c>
      <c r="C345">
        <f>IF($E345="","",INDEX('Input Transaksi'!$E:$E,$E345))</f>
        <v/>
      </c>
      <c r="D345" s="5">
        <f>IF($E345="","",INDEX('Input Transaksi'!$F:$F,$E345))</f>
        <v/>
      </c>
      <c r="E345">
        <f>IFERROR(AGGREGATE(15,6,ROW('Input Transaksi'!$B$5:$B$5000)/('Input Transaksi'!$B$5:$B$5000="JCL AYANI"),ROWS($E$5:E345)),"")</f>
        <v/>
      </c>
      <c r="F345" s="5" t="n"/>
    </row>
    <row r="346">
      <c r="A346" s="10">
        <f>IF($E346="","",INDEX('Input Transaksi'!$A:$A,$E346))</f>
        <v/>
      </c>
      <c r="B346" s="5">
        <f>IF($E346="","",INDEX('Input Transaksi'!$D:$D,$E346))</f>
        <v/>
      </c>
      <c r="C346">
        <f>IF($E346="","",INDEX('Input Transaksi'!$E:$E,$E346))</f>
        <v/>
      </c>
      <c r="D346" s="5">
        <f>IF($E346="","",INDEX('Input Transaksi'!$F:$F,$E346))</f>
        <v/>
      </c>
      <c r="E346">
        <f>IFERROR(AGGREGATE(15,6,ROW('Input Transaksi'!$B$5:$B$5000)/('Input Transaksi'!$B$5:$B$5000="JCL AYANI"),ROWS($E$5:E346)),"")</f>
        <v/>
      </c>
      <c r="F346" s="5" t="n"/>
    </row>
    <row r="347">
      <c r="A347" s="10">
        <f>IF($E347="","",INDEX('Input Transaksi'!$A:$A,$E347))</f>
        <v/>
      </c>
      <c r="B347" s="5">
        <f>IF($E347="","",INDEX('Input Transaksi'!$D:$D,$E347))</f>
        <v/>
      </c>
      <c r="C347">
        <f>IF($E347="","",INDEX('Input Transaksi'!$E:$E,$E347))</f>
        <v/>
      </c>
      <c r="D347" s="5">
        <f>IF($E347="","",INDEX('Input Transaksi'!$F:$F,$E347))</f>
        <v/>
      </c>
      <c r="E347">
        <f>IFERROR(AGGREGATE(15,6,ROW('Input Transaksi'!$B$5:$B$5000)/('Input Transaksi'!$B$5:$B$5000="JCL AYANI"),ROWS($E$5:E347)),"")</f>
        <v/>
      </c>
      <c r="F347" s="5" t="n"/>
    </row>
    <row r="348">
      <c r="A348" s="10">
        <f>IF($E348="","",INDEX('Input Transaksi'!$A:$A,$E348))</f>
        <v/>
      </c>
      <c r="B348" s="5">
        <f>IF($E348="","",INDEX('Input Transaksi'!$D:$D,$E348))</f>
        <v/>
      </c>
      <c r="C348">
        <f>IF($E348="","",INDEX('Input Transaksi'!$E:$E,$E348))</f>
        <v/>
      </c>
      <c r="D348" s="5">
        <f>IF($E348="","",INDEX('Input Transaksi'!$F:$F,$E348))</f>
        <v/>
      </c>
      <c r="E348">
        <f>IFERROR(AGGREGATE(15,6,ROW('Input Transaksi'!$B$5:$B$5000)/('Input Transaksi'!$B$5:$B$5000="JCL AYANI"),ROWS($E$5:E348)),"")</f>
        <v/>
      </c>
      <c r="F348" s="5" t="n"/>
    </row>
    <row r="349">
      <c r="A349" s="10">
        <f>IF($E349="","",INDEX('Input Transaksi'!$A:$A,$E349))</f>
        <v/>
      </c>
      <c r="B349" s="5">
        <f>IF($E349="","",INDEX('Input Transaksi'!$D:$D,$E349))</f>
        <v/>
      </c>
      <c r="C349">
        <f>IF($E349="","",INDEX('Input Transaksi'!$E:$E,$E349))</f>
        <v/>
      </c>
      <c r="D349" s="5">
        <f>IF($E349="","",INDEX('Input Transaksi'!$F:$F,$E349))</f>
        <v/>
      </c>
      <c r="E349">
        <f>IFERROR(AGGREGATE(15,6,ROW('Input Transaksi'!$B$5:$B$5000)/('Input Transaksi'!$B$5:$B$5000="JCL AYANI"),ROWS($E$5:E349)),"")</f>
        <v/>
      </c>
      <c r="F349" s="5" t="n"/>
    </row>
    <row r="350">
      <c r="A350" s="10">
        <f>IF($E350="","",INDEX('Input Transaksi'!$A:$A,$E350))</f>
        <v/>
      </c>
      <c r="B350" s="5">
        <f>IF($E350="","",INDEX('Input Transaksi'!$D:$D,$E350))</f>
        <v/>
      </c>
      <c r="C350">
        <f>IF($E350="","",INDEX('Input Transaksi'!$E:$E,$E350))</f>
        <v/>
      </c>
      <c r="D350" s="5">
        <f>IF($E350="","",INDEX('Input Transaksi'!$F:$F,$E350))</f>
        <v/>
      </c>
      <c r="E350">
        <f>IFERROR(AGGREGATE(15,6,ROW('Input Transaksi'!$B$5:$B$5000)/('Input Transaksi'!$B$5:$B$5000="JCL AYANI"),ROWS($E$5:E350)),"")</f>
        <v/>
      </c>
      <c r="F350" s="5" t="n"/>
    </row>
    <row r="351">
      <c r="A351" s="10">
        <f>IF($E351="","",INDEX('Input Transaksi'!$A:$A,$E351))</f>
        <v/>
      </c>
      <c r="B351" s="5">
        <f>IF($E351="","",INDEX('Input Transaksi'!$D:$D,$E351))</f>
        <v/>
      </c>
      <c r="C351">
        <f>IF($E351="","",INDEX('Input Transaksi'!$E:$E,$E351))</f>
        <v/>
      </c>
      <c r="D351" s="5">
        <f>IF($E351="","",INDEX('Input Transaksi'!$F:$F,$E351))</f>
        <v/>
      </c>
      <c r="E351">
        <f>IFERROR(AGGREGATE(15,6,ROW('Input Transaksi'!$B$5:$B$5000)/('Input Transaksi'!$B$5:$B$5000="JCL AYANI"),ROWS($E$5:E351)),"")</f>
        <v/>
      </c>
      <c r="F351" s="5" t="n"/>
    </row>
    <row r="352">
      <c r="A352" s="10">
        <f>IF($E352="","",INDEX('Input Transaksi'!$A:$A,$E352))</f>
        <v/>
      </c>
      <c r="B352" s="5">
        <f>IF($E352="","",INDEX('Input Transaksi'!$D:$D,$E352))</f>
        <v/>
      </c>
      <c r="C352">
        <f>IF($E352="","",INDEX('Input Transaksi'!$E:$E,$E352))</f>
        <v/>
      </c>
      <c r="D352" s="5">
        <f>IF($E352="","",INDEX('Input Transaksi'!$F:$F,$E352))</f>
        <v/>
      </c>
      <c r="E352">
        <f>IFERROR(AGGREGATE(15,6,ROW('Input Transaksi'!$B$5:$B$5000)/('Input Transaksi'!$B$5:$B$5000="JCL AYANI"),ROWS($E$5:E352)),"")</f>
        <v/>
      </c>
      <c r="F352" s="5" t="n"/>
    </row>
    <row r="353">
      <c r="A353" s="10">
        <f>IF($E353="","",INDEX('Input Transaksi'!$A:$A,$E353))</f>
        <v/>
      </c>
      <c r="B353" s="5">
        <f>IF($E353="","",INDEX('Input Transaksi'!$D:$D,$E353))</f>
        <v/>
      </c>
      <c r="C353">
        <f>IF($E353="","",INDEX('Input Transaksi'!$E:$E,$E353))</f>
        <v/>
      </c>
      <c r="D353" s="5">
        <f>IF($E353="","",INDEX('Input Transaksi'!$F:$F,$E353))</f>
        <v/>
      </c>
      <c r="E353">
        <f>IFERROR(AGGREGATE(15,6,ROW('Input Transaksi'!$B$5:$B$5000)/('Input Transaksi'!$B$5:$B$5000="JCL AYANI"),ROWS($E$5:E353)),"")</f>
        <v/>
      </c>
      <c r="F353" s="5" t="n"/>
    </row>
    <row r="354">
      <c r="A354" s="10">
        <f>IF($E354="","",INDEX('Input Transaksi'!$A:$A,$E354))</f>
        <v/>
      </c>
      <c r="B354" s="5">
        <f>IF($E354="","",INDEX('Input Transaksi'!$D:$D,$E354))</f>
        <v/>
      </c>
      <c r="C354">
        <f>IF($E354="","",INDEX('Input Transaksi'!$E:$E,$E354))</f>
        <v/>
      </c>
      <c r="D354" s="5">
        <f>IF($E354="","",INDEX('Input Transaksi'!$F:$F,$E354))</f>
        <v/>
      </c>
      <c r="E354">
        <f>IFERROR(AGGREGATE(15,6,ROW('Input Transaksi'!$B$5:$B$5000)/('Input Transaksi'!$B$5:$B$5000="JCL AYANI"),ROWS($E$5:E354)),"")</f>
        <v/>
      </c>
      <c r="F354" s="5" t="n"/>
    </row>
    <row r="355">
      <c r="A355" s="10">
        <f>IF($E355="","",INDEX('Input Transaksi'!$A:$A,$E355))</f>
        <v/>
      </c>
      <c r="B355" s="5">
        <f>IF($E355="","",INDEX('Input Transaksi'!$D:$D,$E355))</f>
        <v/>
      </c>
      <c r="C355">
        <f>IF($E355="","",INDEX('Input Transaksi'!$E:$E,$E355))</f>
        <v/>
      </c>
      <c r="D355" s="5">
        <f>IF($E355="","",INDEX('Input Transaksi'!$F:$F,$E355))</f>
        <v/>
      </c>
      <c r="E355">
        <f>IFERROR(AGGREGATE(15,6,ROW('Input Transaksi'!$B$5:$B$5000)/('Input Transaksi'!$B$5:$B$5000="JCL AYANI"),ROWS($E$5:E355)),"")</f>
        <v/>
      </c>
      <c r="F355" s="5" t="n"/>
    </row>
    <row r="356">
      <c r="A356" s="10">
        <f>IF($E356="","",INDEX('Input Transaksi'!$A:$A,$E356))</f>
        <v/>
      </c>
      <c r="B356" s="5">
        <f>IF($E356="","",INDEX('Input Transaksi'!$D:$D,$E356))</f>
        <v/>
      </c>
      <c r="C356">
        <f>IF($E356="","",INDEX('Input Transaksi'!$E:$E,$E356))</f>
        <v/>
      </c>
      <c r="D356" s="5">
        <f>IF($E356="","",INDEX('Input Transaksi'!$F:$F,$E356))</f>
        <v/>
      </c>
      <c r="E356">
        <f>IFERROR(AGGREGATE(15,6,ROW('Input Transaksi'!$B$5:$B$5000)/('Input Transaksi'!$B$5:$B$5000="JCL AYANI"),ROWS($E$5:E356)),"")</f>
        <v/>
      </c>
      <c r="F356" s="5" t="n"/>
    </row>
    <row r="357">
      <c r="A357" s="10">
        <f>IF($E357="","",INDEX('Input Transaksi'!$A:$A,$E357))</f>
        <v/>
      </c>
      <c r="B357" s="5">
        <f>IF($E357="","",INDEX('Input Transaksi'!$D:$D,$E357))</f>
        <v/>
      </c>
      <c r="C357">
        <f>IF($E357="","",INDEX('Input Transaksi'!$E:$E,$E357))</f>
        <v/>
      </c>
      <c r="D357" s="5">
        <f>IF($E357="","",INDEX('Input Transaksi'!$F:$F,$E357))</f>
        <v/>
      </c>
      <c r="E357">
        <f>IFERROR(AGGREGATE(15,6,ROW('Input Transaksi'!$B$5:$B$5000)/('Input Transaksi'!$B$5:$B$5000="JCL AYANI"),ROWS($E$5:E357)),"")</f>
        <v/>
      </c>
      <c r="F357" s="5" t="n"/>
    </row>
    <row r="358">
      <c r="A358" s="10">
        <f>IF($E358="","",INDEX('Input Transaksi'!$A:$A,$E358))</f>
        <v/>
      </c>
      <c r="B358" s="5">
        <f>IF($E358="","",INDEX('Input Transaksi'!$D:$D,$E358))</f>
        <v/>
      </c>
      <c r="C358">
        <f>IF($E358="","",INDEX('Input Transaksi'!$E:$E,$E358))</f>
        <v/>
      </c>
      <c r="D358" s="5">
        <f>IF($E358="","",INDEX('Input Transaksi'!$F:$F,$E358))</f>
        <v/>
      </c>
      <c r="E358">
        <f>IFERROR(AGGREGATE(15,6,ROW('Input Transaksi'!$B$5:$B$5000)/('Input Transaksi'!$B$5:$B$5000="JCL AYANI"),ROWS($E$5:E358)),"")</f>
        <v/>
      </c>
      <c r="F358" s="5" t="n"/>
    </row>
    <row r="359">
      <c r="A359" s="10">
        <f>IF($E359="","",INDEX('Input Transaksi'!$A:$A,$E359))</f>
        <v/>
      </c>
      <c r="B359" s="5">
        <f>IF($E359="","",INDEX('Input Transaksi'!$D:$D,$E359))</f>
        <v/>
      </c>
      <c r="C359">
        <f>IF($E359="","",INDEX('Input Transaksi'!$E:$E,$E359))</f>
        <v/>
      </c>
      <c r="D359" s="5">
        <f>IF($E359="","",INDEX('Input Transaksi'!$F:$F,$E359))</f>
        <v/>
      </c>
      <c r="E359">
        <f>IFERROR(AGGREGATE(15,6,ROW('Input Transaksi'!$B$5:$B$5000)/('Input Transaksi'!$B$5:$B$5000="JCL AYANI"),ROWS($E$5:E359)),"")</f>
        <v/>
      </c>
      <c r="F359" s="5" t="n"/>
    </row>
    <row r="360">
      <c r="A360" s="10">
        <f>IF($E360="","",INDEX('Input Transaksi'!$A:$A,$E360))</f>
        <v/>
      </c>
      <c r="B360" s="5">
        <f>IF($E360="","",INDEX('Input Transaksi'!$D:$D,$E360))</f>
        <v/>
      </c>
      <c r="C360">
        <f>IF($E360="","",INDEX('Input Transaksi'!$E:$E,$E360))</f>
        <v/>
      </c>
      <c r="D360" s="5">
        <f>IF($E360="","",INDEX('Input Transaksi'!$F:$F,$E360))</f>
        <v/>
      </c>
      <c r="E360">
        <f>IFERROR(AGGREGATE(15,6,ROW('Input Transaksi'!$B$5:$B$5000)/('Input Transaksi'!$B$5:$B$5000="JCL AYANI"),ROWS($E$5:E360)),"")</f>
        <v/>
      </c>
      <c r="F360" s="5" t="n"/>
    </row>
    <row r="361">
      <c r="A361" s="10">
        <f>IF($E361="","",INDEX('Input Transaksi'!$A:$A,$E361))</f>
        <v/>
      </c>
      <c r="B361" s="5">
        <f>IF($E361="","",INDEX('Input Transaksi'!$D:$D,$E361))</f>
        <v/>
      </c>
      <c r="C361">
        <f>IF($E361="","",INDEX('Input Transaksi'!$E:$E,$E361))</f>
        <v/>
      </c>
      <c r="D361" s="5">
        <f>IF($E361="","",INDEX('Input Transaksi'!$F:$F,$E361))</f>
        <v/>
      </c>
      <c r="E361">
        <f>IFERROR(AGGREGATE(15,6,ROW('Input Transaksi'!$B$5:$B$5000)/('Input Transaksi'!$B$5:$B$5000="JCL AYANI"),ROWS($E$5:E361)),"")</f>
        <v/>
      </c>
      <c r="F361" s="5" t="n"/>
    </row>
    <row r="362">
      <c r="A362" s="10">
        <f>IF($E362="","",INDEX('Input Transaksi'!$A:$A,$E362))</f>
        <v/>
      </c>
      <c r="B362" s="5">
        <f>IF($E362="","",INDEX('Input Transaksi'!$D:$D,$E362))</f>
        <v/>
      </c>
      <c r="C362">
        <f>IF($E362="","",INDEX('Input Transaksi'!$E:$E,$E362))</f>
        <v/>
      </c>
      <c r="D362" s="5">
        <f>IF($E362="","",INDEX('Input Transaksi'!$F:$F,$E362))</f>
        <v/>
      </c>
      <c r="E362">
        <f>IFERROR(AGGREGATE(15,6,ROW('Input Transaksi'!$B$5:$B$5000)/('Input Transaksi'!$B$5:$B$5000="JCL AYANI"),ROWS($E$5:E362)),"")</f>
        <v/>
      </c>
      <c r="F362" s="5" t="n"/>
    </row>
    <row r="363">
      <c r="A363" s="10">
        <f>IF($E363="","",INDEX('Input Transaksi'!$A:$A,$E363))</f>
        <v/>
      </c>
      <c r="B363" s="5">
        <f>IF($E363="","",INDEX('Input Transaksi'!$D:$D,$E363))</f>
        <v/>
      </c>
      <c r="C363">
        <f>IF($E363="","",INDEX('Input Transaksi'!$E:$E,$E363))</f>
        <v/>
      </c>
      <c r="D363" s="5">
        <f>IF($E363="","",INDEX('Input Transaksi'!$F:$F,$E363))</f>
        <v/>
      </c>
      <c r="E363">
        <f>IFERROR(AGGREGATE(15,6,ROW('Input Transaksi'!$B$5:$B$5000)/('Input Transaksi'!$B$5:$B$5000="JCL AYANI"),ROWS($E$5:E363)),"")</f>
        <v/>
      </c>
      <c r="F363" s="5" t="n"/>
    </row>
    <row r="364">
      <c r="A364" s="10">
        <f>IF($E364="","",INDEX('Input Transaksi'!$A:$A,$E364))</f>
        <v/>
      </c>
      <c r="B364" s="5">
        <f>IF($E364="","",INDEX('Input Transaksi'!$D:$D,$E364))</f>
        <v/>
      </c>
      <c r="C364">
        <f>IF($E364="","",INDEX('Input Transaksi'!$E:$E,$E364))</f>
        <v/>
      </c>
      <c r="D364" s="5">
        <f>IF($E364="","",INDEX('Input Transaksi'!$F:$F,$E364))</f>
        <v/>
      </c>
      <c r="E364">
        <f>IFERROR(AGGREGATE(15,6,ROW('Input Transaksi'!$B$5:$B$5000)/('Input Transaksi'!$B$5:$B$5000="JCL AYANI"),ROWS($E$5:E364)),"")</f>
        <v/>
      </c>
      <c r="F364" s="5" t="n"/>
    </row>
    <row r="365">
      <c r="A365" s="10">
        <f>IF($E365="","",INDEX('Input Transaksi'!$A:$A,$E365))</f>
        <v/>
      </c>
      <c r="B365" s="5">
        <f>IF($E365="","",INDEX('Input Transaksi'!$D:$D,$E365))</f>
        <v/>
      </c>
      <c r="C365">
        <f>IF($E365="","",INDEX('Input Transaksi'!$E:$E,$E365))</f>
        <v/>
      </c>
      <c r="D365" s="5">
        <f>IF($E365="","",INDEX('Input Transaksi'!$F:$F,$E365))</f>
        <v/>
      </c>
      <c r="E365">
        <f>IFERROR(AGGREGATE(15,6,ROW('Input Transaksi'!$B$5:$B$5000)/('Input Transaksi'!$B$5:$B$5000="JCL AYANI"),ROWS($E$5:E365)),"")</f>
        <v/>
      </c>
      <c r="F365" s="5" t="n"/>
    </row>
    <row r="366">
      <c r="A366" s="10">
        <f>IF($E366="","",INDEX('Input Transaksi'!$A:$A,$E366))</f>
        <v/>
      </c>
      <c r="B366" s="5">
        <f>IF($E366="","",INDEX('Input Transaksi'!$D:$D,$E366))</f>
        <v/>
      </c>
      <c r="C366">
        <f>IF($E366="","",INDEX('Input Transaksi'!$E:$E,$E366))</f>
        <v/>
      </c>
      <c r="D366" s="5">
        <f>IF($E366="","",INDEX('Input Transaksi'!$F:$F,$E366))</f>
        <v/>
      </c>
      <c r="E366">
        <f>IFERROR(AGGREGATE(15,6,ROW('Input Transaksi'!$B$5:$B$5000)/('Input Transaksi'!$B$5:$B$5000="JCL AYANI"),ROWS($E$5:E366)),"")</f>
        <v/>
      </c>
      <c r="F366" s="5" t="n"/>
    </row>
    <row r="367">
      <c r="A367" s="10">
        <f>IF($E367="","",INDEX('Input Transaksi'!$A:$A,$E367))</f>
        <v/>
      </c>
      <c r="B367" s="5">
        <f>IF($E367="","",INDEX('Input Transaksi'!$D:$D,$E367))</f>
        <v/>
      </c>
      <c r="C367">
        <f>IF($E367="","",INDEX('Input Transaksi'!$E:$E,$E367))</f>
        <v/>
      </c>
      <c r="D367" s="5">
        <f>IF($E367="","",INDEX('Input Transaksi'!$F:$F,$E367))</f>
        <v/>
      </c>
      <c r="E367">
        <f>IFERROR(AGGREGATE(15,6,ROW('Input Transaksi'!$B$5:$B$5000)/('Input Transaksi'!$B$5:$B$5000="JCL AYANI"),ROWS($E$5:E367)),"")</f>
        <v/>
      </c>
      <c r="F367" s="5" t="n"/>
    </row>
    <row r="368">
      <c r="A368" s="10">
        <f>IF($E368="","",INDEX('Input Transaksi'!$A:$A,$E368))</f>
        <v/>
      </c>
      <c r="B368" s="5">
        <f>IF($E368="","",INDEX('Input Transaksi'!$D:$D,$E368))</f>
        <v/>
      </c>
      <c r="C368">
        <f>IF($E368="","",INDEX('Input Transaksi'!$E:$E,$E368))</f>
        <v/>
      </c>
      <c r="D368" s="5">
        <f>IF($E368="","",INDEX('Input Transaksi'!$F:$F,$E368))</f>
        <v/>
      </c>
      <c r="E368">
        <f>IFERROR(AGGREGATE(15,6,ROW('Input Transaksi'!$B$5:$B$5000)/('Input Transaksi'!$B$5:$B$5000="JCL AYANI"),ROWS($E$5:E368)),"")</f>
        <v/>
      </c>
      <c r="F368" s="5" t="n"/>
    </row>
    <row r="369">
      <c r="A369" s="10">
        <f>IF($E369="","",INDEX('Input Transaksi'!$A:$A,$E369))</f>
        <v/>
      </c>
      <c r="B369" s="5">
        <f>IF($E369="","",INDEX('Input Transaksi'!$D:$D,$E369))</f>
        <v/>
      </c>
      <c r="C369">
        <f>IF($E369="","",INDEX('Input Transaksi'!$E:$E,$E369))</f>
        <v/>
      </c>
      <c r="D369" s="5">
        <f>IF($E369="","",INDEX('Input Transaksi'!$F:$F,$E369))</f>
        <v/>
      </c>
      <c r="E369">
        <f>IFERROR(AGGREGATE(15,6,ROW('Input Transaksi'!$B$5:$B$5000)/('Input Transaksi'!$B$5:$B$5000="JCL AYANI"),ROWS($E$5:E369)),"")</f>
        <v/>
      </c>
      <c r="F369" s="5" t="n"/>
    </row>
    <row r="370">
      <c r="A370" s="10">
        <f>IF($E370="","",INDEX('Input Transaksi'!$A:$A,$E370))</f>
        <v/>
      </c>
      <c r="B370" s="5">
        <f>IF($E370="","",INDEX('Input Transaksi'!$D:$D,$E370))</f>
        <v/>
      </c>
      <c r="C370">
        <f>IF($E370="","",INDEX('Input Transaksi'!$E:$E,$E370))</f>
        <v/>
      </c>
      <c r="D370" s="5">
        <f>IF($E370="","",INDEX('Input Transaksi'!$F:$F,$E370))</f>
        <v/>
      </c>
      <c r="E370">
        <f>IFERROR(AGGREGATE(15,6,ROW('Input Transaksi'!$B$5:$B$5000)/('Input Transaksi'!$B$5:$B$5000="JCL AYANI"),ROWS($E$5:E370)),"")</f>
        <v/>
      </c>
      <c r="F370" s="5" t="n"/>
    </row>
    <row r="371">
      <c r="A371" s="10">
        <f>IF($E371="","",INDEX('Input Transaksi'!$A:$A,$E371))</f>
        <v/>
      </c>
      <c r="B371" s="5">
        <f>IF($E371="","",INDEX('Input Transaksi'!$D:$D,$E371))</f>
        <v/>
      </c>
      <c r="C371">
        <f>IF($E371="","",INDEX('Input Transaksi'!$E:$E,$E371))</f>
        <v/>
      </c>
      <c r="D371" s="5">
        <f>IF($E371="","",INDEX('Input Transaksi'!$F:$F,$E371))</f>
        <v/>
      </c>
      <c r="E371">
        <f>IFERROR(AGGREGATE(15,6,ROW('Input Transaksi'!$B$5:$B$5000)/('Input Transaksi'!$B$5:$B$5000="JCL AYANI"),ROWS($E$5:E371)),"")</f>
        <v/>
      </c>
      <c r="F371" s="5" t="n"/>
    </row>
    <row r="372">
      <c r="A372" s="10">
        <f>IF($E372="","",INDEX('Input Transaksi'!$A:$A,$E372))</f>
        <v/>
      </c>
      <c r="B372" s="5">
        <f>IF($E372="","",INDEX('Input Transaksi'!$D:$D,$E372))</f>
        <v/>
      </c>
      <c r="C372">
        <f>IF($E372="","",INDEX('Input Transaksi'!$E:$E,$E372))</f>
        <v/>
      </c>
      <c r="D372" s="5">
        <f>IF($E372="","",INDEX('Input Transaksi'!$F:$F,$E372))</f>
        <v/>
      </c>
      <c r="E372">
        <f>IFERROR(AGGREGATE(15,6,ROW('Input Transaksi'!$B$5:$B$5000)/('Input Transaksi'!$B$5:$B$5000="JCL AYANI"),ROWS($E$5:E372)),"")</f>
        <v/>
      </c>
      <c r="F372" s="5" t="n"/>
    </row>
    <row r="373">
      <c r="A373" s="10">
        <f>IF($E373="","",INDEX('Input Transaksi'!$A:$A,$E373))</f>
        <v/>
      </c>
      <c r="B373" s="5">
        <f>IF($E373="","",INDEX('Input Transaksi'!$D:$D,$E373))</f>
        <v/>
      </c>
      <c r="C373">
        <f>IF($E373="","",INDEX('Input Transaksi'!$E:$E,$E373))</f>
        <v/>
      </c>
      <c r="D373" s="5">
        <f>IF($E373="","",INDEX('Input Transaksi'!$F:$F,$E373))</f>
        <v/>
      </c>
      <c r="E373">
        <f>IFERROR(AGGREGATE(15,6,ROW('Input Transaksi'!$B$5:$B$5000)/('Input Transaksi'!$B$5:$B$5000="JCL AYANI"),ROWS($E$5:E373)),"")</f>
        <v/>
      </c>
      <c r="F373" s="5" t="n"/>
    </row>
    <row r="374">
      <c r="A374" s="10">
        <f>IF($E374="","",INDEX('Input Transaksi'!$A:$A,$E374))</f>
        <v/>
      </c>
      <c r="B374" s="5">
        <f>IF($E374="","",INDEX('Input Transaksi'!$D:$D,$E374))</f>
        <v/>
      </c>
      <c r="C374">
        <f>IF($E374="","",INDEX('Input Transaksi'!$E:$E,$E374))</f>
        <v/>
      </c>
      <c r="D374" s="5">
        <f>IF($E374="","",INDEX('Input Transaksi'!$F:$F,$E374))</f>
        <v/>
      </c>
      <c r="E374">
        <f>IFERROR(AGGREGATE(15,6,ROW('Input Transaksi'!$B$5:$B$5000)/('Input Transaksi'!$B$5:$B$5000="JCL AYANI"),ROWS($E$5:E374)),"")</f>
        <v/>
      </c>
      <c r="F374" s="5" t="n"/>
    </row>
    <row r="375">
      <c r="A375" s="10">
        <f>IF($E375="","",INDEX('Input Transaksi'!$A:$A,$E375))</f>
        <v/>
      </c>
      <c r="B375" s="5">
        <f>IF($E375="","",INDEX('Input Transaksi'!$D:$D,$E375))</f>
        <v/>
      </c>
      <c r="C375">
        <f>IF($E375="","",INDEX('Input Transaksi'!$E:$E,$E375))</f>
        <v/>
      </c>
      <c r="D375" s="5">
        <f>IF($E375="","",INDEX('Input Transaksi'!$F:$F,$E375))</f>
        <v/>
      </c>
      <c r="E375">
        <f>IFERROR(AGGREGATE(15,6,ROW('Input Transaksi'!$B$5:$B$5000)/('Input Transaksi'!$B$5:$B$5000="JCL AYANI"),ROWS($E$5:E375)),"")</f>
        <v/>
      </c>
      <c r="F375" s="5" t="n"/>
    </row>
    <row r="376">
      <c r="A376" s="10">
        <f>IF($E376="","",INDEX('Input Transaksi'!$A:$A,$E376))</f>
        <v/>
      </c>
      <c r="B376" s="5">
        <f>IF($E376="","",INDEX('Input Transaksi'!$D:$D,$E376))</f>
        <v/>
      </c>
      <c r="C376">
        <f>IF($E376="","",INDEX('Input Transaksi'!$E:$E,$E376))</f>
        <v/>
      </c>
      <c r="D376" s="5">
        <f>IF($E376="","",INDEX('Input Transaksi'!$F:$F,$E376))</f>
        <v/>
      </c>
      <c r="E376">
        <f>IFERROR(AGGREGATE(15,6,ROW('Input Transaksi'!$B$5:$B$5000)/('Input Transaksi'!$B$5:$B$5000="JCL AYANI"),ROWS($E$5:E376)),"")</f>
        <v/>
      </c>
      <c r="F376" s="5" t="n"/>
    </row>
    <row r="377">
      <c r="A377" s="10">
        <f>IF($E377="","",INDEX('Input Transaksi'!$A:$A,$E377))</f>
        <v/>
      </c>
      <c r="B377" s="5">
        <f>IF($E377="","",INDEX('Input Transaksi'!$D:$D,$E377))</f>
        <v/>
      </c>
      <c r="C377">
        <f>IF($E377="","",INDEX('Input Transaksi'!$E:$E,$E377))</f>
        <v/>
      </c>
      <c r="D377" s="5">
        <f>IF($E377="","",INDEX('Input Transaksi'!$F:$F,$E377))</f>
        <v/>
      </c>
      <c r="E377">
        <f>IFERROR(AGGREGATE(15,6,ROW('Input Transaksi'!$B$5:$B$5000)/('Input Transaksi'!$B$5:$B$5000="JCL AYANI"),ROWS($E$5:E377)),"")</f>
        <v/>
      </c>
      <c r="F377" s="5" t="n"/>
    </row>
    <row r="378">
      <c r="A378" s="10">
        <f>IF($E378="","",INDEX('Input Transaksi'!$A:$A,$E378))</f>
        <v/>
      </c>
      <c r="B378" s="5">
        <f>IF($E378="","",INDEX('Input Transaksi'!$D:$D,$E378))</f>
        <v/>
      </c>
      <c r="C378">
        <f>IF($E378="","",INDEX('Input Transaksi'!$E:$E,$E378))</f>
        <v/>
      </c>
      <c r="D378" s="5">
        <f>IF($E378="","",INDEX('Input Transaksi'!$F:$F,$E378))</f>
        <v/>
      </c>
      <c r="E378">
        <f>IFERROR(AGGREGATE(15,6,ROW('Input Transaksi'!$B$5:$B$5000)/('Input Transaksi'!$B$5:$B$5000="JCL AYANI"),ROWS($E$5:E378)),"")</f>
        <v/>
      </c>
      <c r="F378" s="5" t="n"/>
    </row>
    <row r="379">
      <c r="A379" s="10">
        <f>IF($E379="","",INDEX('Input Transaksi'!$A:$A,$E379))</f>
        <v/>
      </c>
      <c r="B379" s="5">
        <f>IF($E379="","",INDEX('Input Transaksi'!$D:$D,$E379))</f>
        <v/>
      </c>
      <c r="C379">
        <f>IF($E379="","",INDEX('Input Transaksi'!$E:$E,$E379))</f>
        <v/>
      </c>
      <c r="D379" s="5">
        <f>IF($E379="","",INDEX('Input Transaksi'!$F:$F,$E379))</f>
        <v/>
      </c>
      <c r="E379">
        <f>IFERROR(AGGREGATE(15,6,ROW('Input Transaksi'!$B$5:$B$5000)/('Input Transaksi'!$B$5:$B$5000="JCL AYANI"),ROWS($E$5:E379)),"")</f>
        <v/>
      </c>
      <c r="F379" s="5" t="n"/>
    </row>
    <row r="380">
      <c r="A380" s="10">
        <f>IF($E380="","",INDEX('Input Transaksi'!$A:$A,$E380))</f>
        <v/>
      </c>
      <c r="B380" s="5">
        <f>IF($E380="","",INDEX('Input Transaksi'!$D:$D,$E380))</f>
        <v/>
      </c>
      <c r="C380">
        <f>IF($E380="","",INDEX('Input Transaksi'!$E:$E,$E380))</f>
        <v/>
      </c>
      <c r="D380" s="5">
        <f>IF($E380="","",INDEX('Input Transaksi'!$F:$F,$E380))</f>
        <v/>
      </c>
      <c r="E380">
        <f>IFERROR(AGGREGATE(15,6,ROW('Input Transaksi'!$B$5:$B$5000)/('Input Transaksi'!$B$5:$B$5000="JCL AYANI"),ROWS($E$5:E380)),"")</f>
        <v/>
      </c>
      <c r="F380" s="5" t="n"/>
    </row>
    <row r="381">
      <c r="A381" s="10">
        <f>IF($E381="","",INDEX('Input Transaksi'!$A:$A,$E381))</f>
        <v/>
      </c>
      <c r="B381" s="5">
        <f>IF($E381="","",INDEX('Input Transaksi'!$D:$D,$E381))</f>
        <v/>
      </c>
      <c r="C381">
        <f>IF($E381="","",INDEX('Input Transaksi'!$E:$E,$E381))</f>
        <v/>
      </c>
      <c r="D381" s="5">
        <f>IF($E381="","",INDEX('Input Transaksi'!$F:$F,$E381))</f>
        <v/>
      </c>
      <c r="E381">
        <f>IFERROR(AGGREGATE(15,6,ROW('Input Transaksi'!$B$5:$B$5000)/('Input Transaksi'!$B$5:$B$5000="JCL AYANI"),ROWS($E$5:E381)),"")</f>
        <v/>
      </c>
      <c r="F381" s="5" t="n"/>
    </row>
    <row r="382">
      <c r="A382" s="10">
        <f>IF($E382="","",INDEX('Input Transaksi'!$A:$A,$E382))</f>
        <v/>
      </c>
      <c r="B382" s="5">
        <f>IF($E382="","",INDEX('Input Transaksi'!$D:$D,$E382))</f>
        <v/>
      </c>
      <c r="C382">
        <f>IF($E382="","",INDEX('Input Transaksi'!$E:$E,$E382))</f>
        <v/>
      </c>
      <c r="D382" s="5">
        <f>IF($E382="","",INDEX('Input Transaksi'!$F:$F,$E382))</f>
        <v/>
      </c>
      <c r="E382">
        <f>IFERROR(AGGREGATE(15,6,ROW('Input Transaksi'!$B$5:$B$5000)/('Input Transaksi'!$B$5:$B$5000="JCL AYANI"),ROWS($E$5:E382)),"")</f>
        <v/>
      </c>
      <c r="F382" s="5" t="n"/>
    </row>
    <row r="383">
      <c r="A383" s="10">
        <f>IF($E383="","",INDEX('Input Transaksi'!$A:$A,$E383))</f>
        <v/>
      </c>
      <c r="B383" s="5">
        <f>IF($E383="","",INDEX('Input Transaksi'!$D:$D,$E383))</f>
        <v/>
      </c>
      <c r="C383">
        <f>IF($E383="","",INDEX('Input Transaksi'!$E:$E,$E383))</f>
        <v/>
      </c>
      <c r="D383" s="5">
        <f>IF($E383="","",INDEX('Input Transaksi'!$F:$F,$E383))</f>
        <v/>
      </c>
      <c r="E383">
        <f>IFERROR(AGGREGATE(15,6,ROW('Input Transaksi'!$B$5:$B$5000)/('Input Transaksi'!$B$5:$B$5000="JCL AYANI"),ROWS($E$5:E383)),"")</f>
        <v/>
      </c>
      <c r="F383" s="5" t="n"/>
    </row>
    <row r="384">
      <c r="A384" s="10">
        <f>IF($E384="","",INDEX('Input Transaksi'!$A:$A,$E384))</f>
        <v/>
      </c>
      <c r="B384" s="5">
        <f>IF($E384="","",INDEX('Input Transaksi'!$D:$D,$E384))</f>
        <v/>
      </c>
      <c r="C384">
        <f>IF($E384="","",INDEX('Input Transaksi'!$E:$E,$E384))</f>
        <v/>
      </c>
      <c r="D384" s="5">
        <f>IF($E384="","",INDEX('Input Transaksi'!$F:$F,$E384))</f>
        <v/>
      </c>
      <c r="E384">
        <f>IFERROR(AGGREGATE(15,6,ROW('Input Transaksi'!$B$5:$B$5000)/('Input Transaksi'!$B$5:$B$5000="JCL AYANI"),ROWS($E$5:E384)),"")</f>
        <v/>
      </c>
      <c r="F384" s="5" t="n"/>
    </row>
    <row r="385">
      <c r="A385" s="10">
        <f>IF($E385="","",INDEX('Input Transaksi'!$A:$A,$E385))</f>
        <v/>
      </c>
      <c r="B385" s="5">
        <f>IF($E385="","",INDEX('Input Transaksi'!$D:$D,$E385))</f>
        <v/>
      </c>
      <c r="C385">
        <f>IF($E385="","",INDEX('Input Transaksi'!$E:$E,$E385))</f>
        <v/>
      </c>
      <c r="D385" s="5">
        <f>IF($E385="","",INDEX('Input Transaksi'!$F:$F,$E385))</f>
        <v/>
      </c>
      <c r="E385">
        <f>IFERROR(AGGREGATE(15,6,ROW('Input Transaksi'!$B$5:$B$5000)/('Input Transaksi'!$B$5:$B$5000="JCL AYANI"),ROWS($E$5:E385)),"")</f>
        <v/>
      </c>
      <c r="F385" s="5" t="n"/>
    </row>
    <row r="386">
      <c r="A386" s="10">
        <f>IF($E386="","",INDEX('Input Transaksi'!$A:$A,$E386))</f>
        <v/>
      </c>
      <c r="B386" s="5">
        <f>IF($E386="","",INDEX('Input Transaksi'!$D:$D,$E386))</f>
        <v/>
      </c>
      <c r="C386">
        <f>IF($E386="","",INDEX('Input Transaksi'!$E:$E,$E386))</f>
        <v/>
      </c>
      <c r="D386" s="5">
        <f>IF($E386="","",INDEX('Input Transaksi'!$F:$F,$E386))</f>
        <v/>
      </c>
      <c r="E386">
        <f>IFERROR(AGGREGATE(15,6,ROW('Input Transaksi'!$B$5:$B$5000)/('Input Transaksi'!$B$5:$B$5000="JCL AYANI"),ROWS($E$5:E386)),"")</f>
        <v/>
      </c>
      <c r="F386" s="5" t="n"/>
    </row>
    <row r="387">
      <c r="A387" s="10">
        <f>IF($E387="","",INDEX('Input Transaksi'!$A:$A,$E387))</f>
        <v/>
      </c>
      <c r="B387" s="5">
        <f>IF($E387="","",INDEX('Input Transaksi'!$D:$D,$E387))</f>
        <v/>
      </c>
      <c r="C387">
        <f>IF($E387="","",INDEX('Input Transaksi'!$E:$E,$E387))</f>
        <v/>
      </c>
      <c r="D387" s="5">
        <f>IF($E387="","",INDEX('Input Transaksi'!$F:$F,$E387))</f>
        <v/>
      </c>
      <c r="E387">
        <f>IFERROR(AGGREGATE(15,6,ROW('Input Transaksi'!$B$5:$B$5000)/('Input Transaksi'!$B$5:$B$5000="JCL AYANI"),ROWS($E$5:E387)),"")</f>
        <v/>
      </c>
      <c r="F387" s="5" t="n"/>
    </row>
    <row r="388">
      <c r="A388" s="10">
        <f>IF($E388="","",INDEX('Input Transaksi'!$A:$A,$E388))</f>
        <v/>
      </c>
      <c r="B388" s="5">
        <f>IF($E388="","",INDEX('Input Transaksi'!$D:$D,$E388))</f>
        <v/>
      </c>
      <c r="C388">
        <f>IF($E388="","",INDEX('Input Transaksi'!$E:$E,$E388))</f>
        <v/>
      </c>
      <c r="D388" s="5">
        <f>IF($E388="","",INDEX('Input Transaksi'!$F:$F,$E388))</f>
        <v/>
      </c>
      <c r="E388">
        <f>IFERROR(AGGREGATE(15,6,ROW('Input Transaksi'!$B$5:$B$5000)/('Input Transaksi'!$B$5:$B$5000="JCL AYANI"),ROWS($E$5:E388)),"")</f>
        <v/>
      </c>
      <c r="F388" s="5" t="n"/>
    </row>
    <row r="389">
      <c r="A389" s="10">
        <f>IF($E389="","",INDEX('Input Transaksi'!$A:$A,$E389))</f>
        <v/>
      </c>
      <c r="B389" s="5">
        <f>IF($E389="","",INDEX('Input Transaksi'!$D:$D,$E389))</f>
        <v/>
      </c>
      <c r="C389">
        <f>IF($E389="","",INDEX('Input Transaksi'!$E:$E,$E389))</f>
        <v/>
      </c>
      <c r="D389" s="5">
        <f>IF($E389="","",INDEX('Input Transaksi'!$F:$F,$E389))</f>
        <v/>
      </c>
      <c r="E389">
        <f>IFERROR(AGGREGATE(15,6,ROW('Input Transaksi'!$B$5:$B$5000)/('Input Transaksi'!$B$5:$B$5000="JCL AYANI"),ROWS($E$5:E389)),"")</f>
        <v/>
      </c>
      <c r="F389" s="5" t="n"/>
    </row>
    <row r="390">
      <c r="A390" s="10">
        <f>IF($E390="","",INDEX('Input Transaksi'!$A:$A,$E390))</f>
        <v/>
      </c>
      <c r="B390" s="5">
        <f>IF($E390="","",INDEX('Input Transaksi'!$D:$D,$E390))</f>
        <v/>
      </c>
      <c r="C390">
        <f>IF($E390="","",INDEX('Input Transaksi'!$E:$E,$E390))</f>
        <v/>
      </c>
      <c r="D390" s="5">
        <f>IF($E390="","",INDEX('Input Transaksi'!$F:$F,$E390))</f>
        <v/>
      </c>
      <c r="E390">
        <f>IFERROR(AGGREGATE(15,6,ROW('Input Transaksi'!$B$5:$B$5000)/('Input Transaksi'!$B$5:$B$5000="JCL AYANI"),ROWS($E$5:E390)),"")</f>
        <v/>
      </c>
      <c r="F390" s="5" t="n"/>
    </row>
    <row r="391">
      <c r="A391" s="10">
        <f>IF($E391="","",INDEX('Input Transaksi'!$A:$A,$E391))</f>
        <v/>
      </c>
      <c r="B391" s="5">
        <f>IF($E391="","",INDEX('Input Transaksi'!$D:$D,$E391))</f>
        <v/>
      </c>
      <c r="C391">
        <f>IF($E391="","",INDEX('Input Transaksi'!$E:$E,$E391))</f>
        <v/>
      </c>
      <c r="D391" s="5">
        <f>IF($E391="","",INDEX('Input Transaksi'!$F:$F,$E391))</f>
        <v/>
      </c>
      <c r="E391">
        <f>IFERROR(AGGREGATE(15,6,ROW('Input Transaksi'!$B$5:$B$5000)/('Input Transaksi'!$B$5:$B$5000="JCL AYANI"),ROWS($E$5:E391)),"")</f>
        <v/>
      </c>
      <c r="F391" s="5" t="n"/>
    </row>
    <row r="392">
      <c r="A392" s="10">
        <f>IF($E392="","",INDEX('Input Transaksi'!$A:$A,$E392))</f>
        <v/>
      </c>
      <c r="B392" s="5">
        <f>IF($E392="","",INDEX('Input Transaksi'!$D:$D,$E392))</f>
        <v/>
      </c>
      <c r="C392">
        <f>IF($E392="","",INDEX('Input Transaksi'!$E:$E,$E392))</f>
        <v/>
      </c>
      <c r="D392" s="5">
        <f>IF($E392="","",INDEX('Input Transaksi'!$F:$F,$E392))</f>
        <v/>
      </c>
      <c r="E392">
        <f>IFERROR(AGGREGATE(15,6,ROW('Input Transaksi'!$B$5:$B$5000)/('Input Transaksi'!$B$5:$B$5000="JCL AYANI"),ROWS($E$5:E392)),"")</f>
        <v/>
      </c>
      <c r="F392" s="5" t="n"/>
    </row>
    <row r="393">
      <c r="A393" s="10">
        <f>IF($E393="","",INDEX('Input Transaksi'!$A:$A,$E393))</f>
        <v/>
      </c>
      <c r="B393" s="5">
        <f>IF($E393="","",INDEX('Input Transaksi'!$D:$D,$E393))</f>
        <v/>
      </c>
      <c r="C393">
        <f>IF($E393="","",INDEX('Input Transaksi'!$E:$E,$E393))</f>
        <v/>
      </c>
      <c r="D393" s="5">
        <f>IF($E393="","",INDEX('Input Transaksi'!$F:$F,$E393))</f>
        <v/>
      </c>
      <c r="E393">
        <f>IFERROR(AGGREGATE(15,6,ROW('Input Transaksi'!$B$5:$B$5000)/('Input Transaksi'!$B$5:$B$5000="JCL AYANI"),ROWS($E$5:E393)),"")</f>
        <v/>
      </c>
      <c r="F393" s="5" t="n"/>
    </row>
    <row r="394">
      <c r="A394" s="10">
        <f>IF($E394="","",INDEX('Input Transaksi'!$A:$A,$E394))</f>
        <v/>
      </c>
      <c r="B394" s="5">
        <f>IF($E394="","",INDEX('Input Transaksi'!$D:$D,$E394))</f>
        <v/>
      </c>
      <c r="C394">
        <f>IF($E394="","",INDEX('Input Transaksi'!$E:$E,$E394))</f>
        <v/>
      </c>
      <c r="D394" s="5">
        <f>IF($E394="","",INDEX('Input Transaksi'!$F:$F,$E394))</f>
        <v/>
      </c>
      <c r="E394">
        <f>IFERROR(AGGREGATE(15,6,ROW('Input Transaksi'!$B$5:$B$5000)/('Input Transaksi'!$B$5:$B$5000="JCL AYANI"),ROWS($E$5:E394)),"")</f>
        <v/>
      </c>
      <c r="F394" s="5" t="n"/>
    </row>
    <row r="395">
      <c r="A395" s="10">
        <f>IF($E395="","",INDEX('Input Transaksi'!$A:$A,$E395))</f>
        <v/>
      </c>
      <c r="B395" s="5">
        <f>IF($E395="","",INDEX('Input Transaksi'!$D:$D,$E395))</f>
        <v/>
      </c>
      <c r="C395">
        <f>IF($E395="","",INDEX('Input Transaksi'!$E:$E,$E395))</f>
        <v/>
      </c>
      <c r="D395" s="5">
        <f>IF($E395="","",INDEX('Input Transaksi'!$F:$F,$E395))</f>
        <v/>
      </c>
      <c r="E395">
        <f>IFERROR(AGGREGATE(15,6,ROW('Input Transaksi'!$B$5:$B$5000)/('Input Transaksi'!$B$5:$B$5000="JCL AYANI"),ROWS($E$5:E395)),"")</f>
        <v/>
      </c>
      <c r="F395" s="5" t="n"/>
    </row>
    <row r="396">
      <c r="A396" s="10">
        <f>IF($E396="","",INDEX('Input Transaksi'!$A:$A,$E396))</f>
        <v/>
      </c>
      <c r="B396" s="5">
        <f>IF($E396="","",INDEX('Input Transaksi'!$D:$D,$E396))</f>
        <v/>
      </c>
      <c r="C396">
        <f>IF($E396="","",INDEX('Input Transaksi'!$E:$E,$E396))</f>
        <v/>
      </c>
      <c r="D396" s="5">
        <f>IF($E396="","",INDEX('Input Transaksi'!$F:$F,$E396))</f>
        <v/>
      </c>
      <c r="E396">
        <f>IFERROR(AGGREGATE(15,6,ROW('Input Transaksi'!$B$5:$B$5000)/('Input Transaksi'!$B$5:$B$5000="JCL AYANI"),ROWS($E$5:E396)),"")</f>
        <v/>
      </c>
      <c r="F396" s="5" t="n"/>
    </row>
    <row r="397">
      <c r="A397" s="10">
        <f>IF($E397="","",INDEX('Input Transaksi'!$A:$A,$E397))</f>
        <v/>
      </c>
      <c r="B397" s="5">
        <f>IF($E397="","",INDEX('Input Transaksi'!$D:$D,$E397))</f>
        <v/>
      </c>
      <c r="C397">
        <f>IF($E397="","",INDEX('Input Transaksi'!$E:$E,$E397))</f>
        <v/>
      </c>
      <c r="D397" s="5">
        <f>IF($E397="","",INDEX('Input Transaksi'!$F:$F,$E397))</f>
        <v/>
      </c>
      <c r="E397">
        <f>IFERROR(AGGREGATE(15,6,ROW('Input Transaksi'!$B$5:$B$5000)/('Input Transaksi'!$B$5:$B$5000="JCL AYANI"),ROWS($E$5:E397)),"")</f>
        <v/>
      </c>
      <c r="F397" s="5" t="n"/>
    </row>
    <row r="398">
      <c r="A398" s="10">
        <f>IF($E398="","",INDEX('Input Transaksi'!$A:$A,$E398))</f>
        <v/>
      </c>
      <c r="B398" s="5">
        <f>IF($E398="","",INDEX('Input Transaksi'!$D:$D,$E398))</f>
        <v/>
      </c>
      <c r="C398">
        <f>IF($E398="","",INDEX('Input Transaksi'!$E:$E,$E398))</f>
        <v/>
      </c>
      <c r="D398" s="5">
        <f>IF($E398="","",INDEX('Input Transaksi'!$F:$F,$E398))</f>
        <v/>
      </c>
      <c r="E398">
        <f>IFERROR(AGGREGATE(15,6,ROW('Input Transaksi'!$B$5:$B$5000)/('Input Transaksi'!$B$5:$B$5000="JCL AYANI"),ROWS($E$5:E398)),"")</f>
        <v/>
      </c>
      <c r="F398" s="5" t="n"/>
    </row>
    <row r="399">
      <c r="A399" s="10">
        <f>IF($E399="","",INDEX('Input Transaksi'!$A:$A,$E399))</f>
        <v/>
      </c>
      <c r="B399" s="5">
        <f>IF($E399="","",INDEX('Input Transaksi'!$D:$D,$E399))</f>
        <v/>
      </c>
      <c r="C399">
        <f>IF($E399="","",INDEX('Input Transaksi'!$E:$E,$E399))</f>
        <v/>
      </c>
      <c r="D399" s="5">
        <f>IF($E399="","",INDEX('Input Transaksi'!$F:$F,$E399))</f>
        <v/>
      </c>
      <c r="E399">
        <f>IFERROR(AGGREGATE(15,6,ROW('Input Transaksi'!$B$5:$B$5000)/('Input Transaksi'!$B$5:$B$5000="JCL AYANI"),ROWS($E$5:E399)),"")</f>
        <v/>
      </c>
      <c r="F399" s="5" t="n"/>
    </row>
    <row r="400">
      <c r="A400" s="10">
        <f>IF($E400="","",INDEX('Input Transaksi'!$A:$A,$E400))</f>
        <v/>
      </c>
      <c r="B400" s="5">
        <f>IF($E400="","",INDEX('Input Transaksi'!$D:$D,$E400))</f>
        <v/>
      </c>
      <c r="C400">
        <f>IF($E400="","",INDEX('Input Transaksi'!$E:$E,$E400))</f>
        <v/>
      </c>
      <c r="D400" s="5">
        <f>IF($E400="","",INDEX('Input Transaksi'!$F:$F,$E400))</f>
        <v/>
      </c>
      <c r="E400">
        <f>IFERROR(AGGREGATE(15,6,ROW('Input Transaksi'!$B$5:$B$5000)/('Input Transaksi'!$B$5:$B$5000="JCL AYANI"),ROWS($E$5:E400)),"")</f>
        <v/>
      </c>
      <c r="F400" s="5" t="n"/>
    </row>
    <row r="401">
      <c r="A401" s="10">
        <f>IF($E401="","",INDEX('Input Transaksi'!$A:$A,$E401))</f>
        <v/>
      </c>
      <c r="B401" s="5">
        <f>IF($E401="","",INDEX('Input Transaksi'!$D:$D,$E401))</f>
        <v/>
      </c>
      <c r="C401">
        <f>IF($E401="","",INDEX('Input Transaksi'!$E:$E,$E401))</f>
        <v/>
      </c>
      <c r="D401" s="5">
        <f>IF($E401="","",INDEX('Input Transaksi'!$F:$F,$E401))</f>
        <v/>
      </c>
      <c r="E401">
        <f>IFERROR(AGGREGATE(15,6,ROW('Input Transaksi'!$B$5:$B$5000)/('Input Transaksi'!$B$5:$B$5000="JCL AYANI"),ROWS($E$5:E401)),"")</f>
        <v/>
      </c>
      <c r="F401" s="5" t="n"/>
    </row>
    <row r="402">
      <c r="A402" s="10">
        <f>IF($E402="","",INDEX('Input Transaksi'!$A:$A,$E402))</f>
        <v/>
      </c>
      <c r="B402" s="5">
        <f>IF($E402="","",INDEX('Input Transaksi'!$D:$D,$E402))</f>
        <v/>
      </c>
      <c r="C402">
        <f>IF($E402="","",INDEX('Input Transaksi'!$E:$E,$E402))</f>
        <v/>
      </c>
      <c r="D402" s="5">
        <f>IF($E402="","",INDEX('Input Transaksi'!$F:$F,$E402))</f>
        <v/>
      </c>
      <c r="E402">
        <f>IFERROR(AGGREGATE(15,6,ROW('Input Transaksi'!$B$5:$B$5000)/('Input Transaksi'!$B$5:$B$5000="JCL AYANI"),ROWS($E$5:E402)),"")</f>
        <v/>
      </c>
      <c r="F402" s="5" t="n"/>
    </row>
    <row r="403">
      <c r="A403" s="10">
        <f>IF($E403="","",INDEX('Input Transaksi'!$A:$A,$E403))</f>
        <v/>
      </c>
      <c r="B403" s="5">
        <f>IF($E403="","",INDEX('Input Transaksi'!$D:$D,$E403))</f>
        <v/>
      </c>
      <c r="C403">
        <f>IF($E403="","",INDEX('Input Transaksi'!$E:$E,$E403))</f>
        <v/>
      </c>
      <c r="D403" s="5">
        <f>IF($E403="","",INDEX('Input Transaksi'!$F:$F,$E403))</f>
        <v/>
      </c>
      <c r="E403">
        <f>IFERROR(AGGREGATE(15,6,ROW('Input Transaksi'!$B$5:$B$5000)/('Input Transaksi'!$B$5:$B$5000="JCL AYANI"),ROWS($E$5:E403)),"")</f>
        <v/>
      </c>
      <c r="F403" s="5" t="n"/>
    </row>
    <row r="404">
      <c r="A404" s="10">
        <f>IF($E404="","",INDEX('Input Transaksi'!$A:$A,$E404))</f>
        <v/>
      </c>
      <c r="B404" s="5">
        <f>IF($E404="","",INDEX('Input Transaksi'!$D:$D,$E404))</f>
        <v/>
      </c>
      <c r="C404">
        <f>IF($E404="","",INDEX('Input Transaksi'!$E:$E,$E404))</f>
        <v/>
      </c>
      <c r="D404" s="5">
        <f>IF($E404="","",INDEX('Input Transaksi'!$F:$F,$E404))</f>
        <v/>
      </c>
      <c r="E404">
        <f>IFERROR(AGGREGATE(15,6,ROW('Input Transaksi'!$B$5:$B$5000)/('Input Transaksi'!$B$5:$B$5000="JCL AYANI"),ROWS($E$5:E404)),"")</f>
        <v/>
      </c>
      <c r="F404" s="5" t="n"/>
    </row>
    <row r="405">
      <c r="A405" s="10">
        <f>IF($E405="","",INDEX('Input Transaksi'!$A:$A,$E405))</f>
        <v/>
      </c>
      <c r="B405" s="5">
        <f>IF($E405="","",INDEX('Input Transaksi'!$D:$D,$E405))</f>
        <v/>
      </c>
      <c r="C405">
        <f>IF($E405="","",INDEX('Input Transaksi'!$E:$E,$E405))</f>
        <v/>
      </c>
      <c r="D405" s="5">
        <f>IF($E405="","",INDEX('Input Transaksi'!$F:$F,$E405))</f>
        <v/>
      </c>
      <c r="E405">
        <f>IFERROR(AGGREGATE(15,6,ROW('Input Transaksi'!$B$5:$B$5000)/('Input Transaksi'!$B$5:$B$5000="JCL AYANI"),ROWS($E$5:E405)),"")</f>
        <v/>
      </c>
      <c r="F405" s="5" t="n"/>
    </row>
    <row r="406">
      <c r="A406" s="10">
        <f>IF($E406="","",INDEX('Input Transaksi'!$A:$A,$E406))</f>
        <v/>
      </c>
      <c r="B406" s="5">
        <f>IF($E406="","",INDEX('Input Transaksi'!$D:$D,$E406))</f>
        <v/>
      </c>
      <c r="C406">
        <f>IF($E406="","",INDEX('Input Transaksi'!$E:$E,$E406))</f>
        <v/>
      </c>
      <c r="D406" s="5">
        <f>IF($E406="","",INDEX('Input Transaksi'!$F:$F,$E406))</f>
        <v/>
      </c>
      <c r="E406">
        <f>IFERROR(AGGREGATE(15,6,ROW('Input Transaksi'!$B$5:$B$5000)/('Input Transaksi'!$B$5:$B$5000="JCL AYANI"),ROWS($E$5:E406)),"")</f>
        <v/>
      </c>
      <c r="F406" s="5" t="n"/>
    </row>
    <row r="407">
      <c r="A407" s="10">
        <f>IF($E407="","",INDEX('Input Transaksi'!$A:$A,$E407))</f>
        <v/>
      </c>
      <c r="B407" s="5">
        <f>IF($E407="","",INDEX('Input Transaksi'!$D:$D,$E407))</f>
        <v/>
      </c>
      <c r="C407">
        <f>IF($E407="","",INDEX('Input Transaksi'!$E:$E,$E407))</f>
        <v/>
      </c>
      <c r="D407" s="5">
        <f>IF($E407="","",INDEX('Input Transaksi'!$F:$F,$E407))</f>
        <v/>
      </c>
      <c r="E407">
        <f>IFERROR(AGGREGATE(15,6,ROW('Input Transaksi'!$B$5:$B$5000)/('Input Transaksi'!$B$5:$B$5000="JCL AYANI"),ROWS($E$5:E407)),"")</f>
        <v/>
      </c>
      <c r="F407" s="5" t="n"/>
    </row>
    <row r="408">
      <c r="A408" s="10">
        <f>IF($E408="","",INDEX('Input Transaksi'!$A:$A,$E408))</f>
        <v/>
      </c>
      <c r="B408" s="5">
        <f>IF($E408="","",INDEX('Input Transaksi'!$D:$D,$E408))</f>
        <v/>
      </c>
      <c r="C408">
        <f>IF($E408="","",INDEX('Input Transaksi'!$E:$E,$E408))</f>
        <v/>
      </c>
      <c r="D408" s="5">
        <f>IF($E408="","",INDEX('Input Transaksi'!$F:$F,$E408))</f>
        <v/>
      </c>
      <c r="E408">
        <f>IFERROR(AGGREGATE(15,6,ROW('Input Transaksi'!$B$5:$B$5000)/('Input Transaksi'!$B$5:$B$5000="JCL AYANI"),ROWS($E$5:E408)),"")</f>
        <v/>
      </c>
      <c r="F408" s="5" t="n"/>
    </row>
    <row r="409">
      <c r="A409" s="10">
        <f>IF($E409="","",INDEX('Input Transaksi'!$A:$A,$E409))</f>
        <v/>
      </c>
      <c r="B409" s="5">
        <f>IF($E409="","",INDEX('Input Transaksi'!$D:$D,$E409))</f>
        <v/>
      </c>
      <c r="C409">
        <f>IF($E409="","",INDEX('Input Transaksi'!$E:$E,$E409))</f>
        <v/>
      </c>
      <c r="D409" s="5">
        <f>IF($E409="","",INDEX('Input Transaksi'!$F:$F,$E409))</f>
        <v/>
      </c>
      <c r="E409">
        <f>IFERROR(AGGREGATE(15,6,ROW('Input Transaksi'!$B$5:$B$5000)/('Input Transaksi'!$B$5:$B$5000="JCL AYANI"),ROWS($E$5:E409)),"")</f>
        <v/>
      </c>
      <c r="F409" s="5" t="n"/>
    </row>
    <row r="410">
      <c r="A410" s="10">
        <f>IF($E410="","",INDEX('Input Transaksi'!$A:$A,$E410))</f>
        <v/>
      </c>
      <c r="B410" s="5">
        <f>IF($E410="","",INDEX('Input Transaksi'!$D:$D,$E410))</f>
        <v/>
      </c>
      <c r="C410">
        <f>IF($E410="","",INDEX('Input Transaksi'!$E:$E,$E410))</f>
        <v/>
      </c>
      <c r="D410" s="5">
        <f>IF($E410="","",INDEX('Input Transaksi'!$F:$F,$E410))</f>
        <v/>
      </c>
      <c r="E410">
        <f>IFERROR(AGGREGATE(15,6,ROW('Input Transaksi'!$B$5:$B$5000)/('Input Transaksi'!$B$5:$B$5000="JCL AYANI"),ROWS($E$5:E410)),"")</f>
        <v/>
      </c>
      <c r="F410" s="5" t="n"/>
    </row>
    <row r="411">
      <c r="A411" s="10">
        <f>IF($E411="","",INDEX('Input Transaksi'!$A:$A,$E411))</f>
        <v/>
      </c>
      <c r="B411" s="5">
        <f>IF($E411="","",INDEX('Input Transaksi'!$D:$D,$E411))</f>
        <v/>
      </c>
      <c r="C411">
        <f>IF($E411="","",INDEX('Input Transaksi'!$E:$E,$E411))</f>
        <v/>
      </c>
      <c r="D411" s="5">
        <f>IF($E411="","",INDEX('Input Transaksi'!$F:$F,$E411))</f>
        <v/>
      </c>
      <c r="E411">
        <f>IFERROR(AGGREGATE(15,6,ROW('Input Transaksi'!$B$5:$B$5000)/('Input Transaksi'!$B$5:$B$5000="JCL AYANI"),ROWS($E$5:E411)),"")</f>
        <v/>
      </c>
      <c r="F411" s="5" t="n"/>
    </row>
    <row r="412">
      <c r="A412" s="10">
        <f>IF($E412="","",INDEX('Input Transaksi'!$A:$A,$E412))</f>
        <v/>
      </c>
      <c r="B412" s="5">
        <f>IF($E412="","",INDEX('Input Transaksi'!$D:$D,$E412))</f>
        <v/>
      </c>
      <c r="C412">
        <f>IF($E412="","",INDEX('Input Transaksi'!$E:$E,$E412))</f>
        <v/>
      </c>
      <c r="D412" s="5">
        <f>IF($E412="","",INDEX('Input Transaksi'!$F:$F,$E412))</f>
        <v/>
      </c>
      <c r="E412">
        <f>IFERROR(AGGREGATE(15,6,ROW('Input Transaksi'!$B$5:$B$5000)/('Input Transaksi'!$B$5:$B$5000="JCL AYANI"),ROWS($E$5:E412)),"")</f>
        <v/>
      </c>
      <c r="F412" s="5" t="n"/>
    </row>
    <row r="413">
      <c r="A413" s="10">
        <f>IF($E413="","",INDEX('Input Transaksi'!$A:$A,$E413))</f>
        <v/>
      </c>
      <c r="B413" s="5">
        <f>IF($E413="","",INDEX('Input Transaksi'!$D:$D,$E413))</f>
        <v/>
      </c>
      <c r="C413">
        <f>IF($E413="","",INDEX('Input Transaksi'!$E:$E,$E413))</f>
        <v/>
      </c>
      <c r="D413" s="5">
        <f>IF($E413="","",INDEX('Input Transaksi'!$F:$F,$E413))</f>
        <v/>
      </c>
      <c r="E413">
        <f>IFERROR(AGGREGATE(15,6,ROW('Input Transaksi'!$B$5:$B$5000)/('Input Transaksi'!$B$5:$B$5000="JCL AYANI"),ROWS($E$5:E413)),"")</f>
        <v/>
      </c>
      <c r="F413" s="5" t="n"/>
    </row>
    <row r="414">
      <c r="A414" s="10">
        <f>IF($E414="","",INDEX('Input Transaksi'!$A:$A,$E414))</f>
        <v/>
      </c>
      <c r="B414" s="5">
        <f>IF($E414="","",INDEX('Input Transaksi'!$D:$D,$E414))</f>
        <v/>
      </c>
      <c r="C414">
        <f>IF($E414="","",INDEX('Input Transaksi'!$E:$E,$E414))</f>
        <v/>
      </c>
      <c r="D414" s="5">
        <f>IF($E414="","",INDEX('Input Transaksi'!$F:$F,$E414))</f>
        <v/>
      </c>
      <c r="E414">
        <f>IFERROR(AGGREGATE(15,6,ROW('Input Transaksi'!$B$5:$B$5000)/('Input Transaksi'!$B$5:$B$5000="JCL AYANI"),ROWS($E$5:E414)),"")</f>
        <v/>
      </c>
      <c r="F414" s="5" t="n"/>
    </row>
    <row r="415">
      <c r="A415" s="10">
        <f>IF($E415="","",INDEX('Input Transaksi'!$A:$A,$E415))</f>
        <v/>
      </c>
      <c r="B415" s="5">
        <f>IF($E415="","",INDEX('Input Transaksi'!$D:$D,$E415))</f>
        <v/>
      </c>
      <c r="C415">
        <f>IF($E415="","",INDEX('Input Transaksi'!$E:$E,$E415))</f>
        <v/>
      </c>
      <c r="D415" s="5">
        <f>IF($E415="","",INDEX('Input Transaksi'!$F:$F,$E415))</f>
        <v/>
      </c>
      <c r="E415">
        <f>IFERROR(AGGREGATE(15,6,ROW('Input Transaksi'!$B$5:$B$5000)/('Input Transaksi'!$B$5:$B$5000="JCL AYANI"),ROWS($E$5:E415)),"")</f>
        <v/>
      </c>
      <c r="F415" s="5" t="n"/>
    </row>
    <row r="416">
      <c r="A416" s="10">
        <f>IF($E416="","",INDEX('Input Transaksi'!$A:$A,$E416))</f>
        <v/>
      </c>
      <c r="B416" s="5">
        <f>IF($E416="","",INDEX('Input Transaksi'!$D:$D,$E416))</f>
        <v/>
      </c>
      <c r="C416">
        <f>IF($E416="","",INDEX('Input Transaksi'!$E:$E,$E416))</f>
        <v/>
      </c>
      <c r="D416" s="5">
        <f>IF($E416="","",INDEX('Input Transaksi'!$F:$F,$E416))</f>
        <v/>
      </c>
      <c r="E416">
        <f>IFERROR(AGGREGATE(15,6,ROW('Input Transaksi'!$B$5:$B$5000)/('Input Transaksi'!$B$5:$B$5000="JCL AYANI"),ROWS($E$5:E416)),"")</f>
        <v/>
      </c>
      <c r="F416" s="5" t="n"/>
    </row>
    <row r="417">
      <c r="A417" s="10">
        <f>IF($E417="","",INDEX('Input Transaksi'!$A:$A,$E417))</f>
        <v/>
      </c>
      <c r="B417" s="5">
        <f>IF($E417="","",INDEX('Input Transaksi'!$D:$D,$E417))</f>
        <v/>
      </c>
      <c r="C417">
        <f>IF($E417="","",INDEX('Input Transaksi'!$E:$E,$E417))</f>
        <v/>
      </c>
      <c r="D417" s="5">
        <f>IF($E417="","",INDEX('Input Transaksi'!$F:$F,$E417))</f>
        <v/>
      </c>
      <c r="E417">
        <f>IFERROR(AGGREGATE(15,6,ROW('Input Transaksi'!$B$5:$B$5000)/('Input Transaksi'!$B$5:$B$5000="JCL AYANI"),ROWS($E$5:E417)),"")</f>
        <v/>
      </c>
      <c r="F417" s="5" t="n"/>
    </row>
    <row r="418">
      <c r="A418" s="10">
        <f>IF($E418="","",INDEX('Input Transaksi'!$A:$A,$E418))</f>
        <v/>
      </c>
      <c r="B418" s="5">
        <f>IF($E418="","",INDEX('Input Transaksi'!$D:$D,$E418))</f>
        <v/>
      </c>
      <c r="C418">
        <f>IF($E418="","",INDEX('Input Transaksi'!$E:$E,$E418))</f>
        <v/>
      </c>
      <c r="D418" s="5">
        <f>IF($E418="","",INDEX('Input Transaksi'!$F:$F,$E418))</f>
        <v/>
      </c>
      <c r="E418">
        <f>IFERROR(AGGREGATE(15,6,ROW('Input Transaksi'!$B$5:$B$5000)/('Input Transaksi'!$B$5:$B$5000="JCL AYANI"),ROWS($E$5:E418)),"")</f>
        <v/>
      </c>
      <c r="F418" s="5" t="n"/>
    </row>
    <row r="419">
      <c r="A419" s="10">
        <f>IF($E419="","",INDEX('Input Transaksi'!$A:$A,$E419))</f>
        <v/>
      </c>
      <c r="B419" s="5">
        <f>IF($E419="","",INDEX('Input Transaksi'!$D:$D,$E419))</f>
        <v/>
      </c>
      <c r="C419">
        <f>IF($E419="","",INDEX('Input Transaksi'!$E:$E,$E419))</f>
        <v/>
      </c>
      <c r="D419" s="5">
        <f>IF($E419="","",INDEX('Input Transaksi'!$F:$F,$E419))</f>
        <v/>
      </c>
      <c r="E419">
        <f>IFERROR(AGGREGATE(15,6,ROW('Input Transaksi'!$B$5:$B$5000)/('Input Transaksi'!$B$5:$B$5000="JCL AYANI"),ROWS($E$5:E419)),"")</f>
        <v/>
      </c>
      <c r="F419" s="5" t="n"/>
    </row>
    <row r="420">
      <c r="A420" s="10">
        <f>IF($E420="","",INDEX('Input Transaksi'!$A:$A,$E420))</f>
        <v/>
      </c>
      <c r="B420" s="5">
        <f>IF($E420="","",INDEX('Input Transaksi'!$D:$D,$E420))</f>
        <v/>
      </c>
      <c r="C420">
        <f>IF($E420="","",INDEX('Input Transaksi'!$E:$E,$E420))</f>
        <v/>
      </c>
      <c r="D420" s="5">
        <f>IF($E420="","",INDEX('Input Transaksi'!$F:$F,$E420))</f>
        <v/>
      </c>
      <c r="E420">
        <f>IFERROR(AGGREGATE(15,6,ROW('Input Transaksi'!$B$5:$B$5000)/('Input Transaksi'!$B$5:$B$5000="JCL AYANI"),ROWS($E$5:E420)),"")</f>
        <v/>
      </c>
      <c r="F420" s="5" t="n"/>
    </row>
    <row r="421">
      <c r="A421" s="10">
        <f>IF($E421="","",INDEX('Input Transaksi'!$A:$A,$E421))</f>
        <v/>
      </c>
      <c r="B421" s="5">
        <f>IF($E421="","",INDEX('Input Transaksi'!$D:$D,$E421))</f>
        <v/>
      </c>
      <c r="C421">
        <f>IF($E421="","",INDEX('Input Transaksi'!$E:$E,$E421))</f>
        <v/>
      </c>
      <c r="D421" s="5">
        <f>IF($E421="","",INDEX('Input Transaksi'!$F:$F,$E421))</f>
        <v/>
      </c>
      <c r="E421">
        <f>IFERROR(AGGREGATE(15,6,ROW('Input Transaksi'!$B$5:$B$5000)/('Input Transaksi'!$B$5:$B$5000="JCL AYANI"),ROWS($E$5:E421)),"")</f>
        <v/>
      </c>
      <c r="F421" s="5" t="n"/>
    </row>
    <row r="422">
      <c r="A422" s="10">
        <f>IF($E422="","",INDEX('Input Transaksi'!$A:$A,$E422))</f>
        <v/>
      </c>
      <c r="B422" s="5">
        <f>IF($E422="","",INDEX('Input Transaksi'!$D:$D,$E422))</f>
        <v/>
      </c>
      <c r="C422">
        <f>IF($E422="","",INDEX('Input Transaksi'!$E:$E,$E422))</f>
        <v/>
      </c>
      <c r="D422" s="5">
        <f>IF($E422="","",INDEX('Input Transaksi'!$F:$F,$E422))</f>
        <v/>
      </c>
      <c r="E422">
        <f>IFERROR(AGGREGATE(15,6,ROW('Input Transaksi'!$B$5:$B$5000)/('Input Transaksi'!$B$5:$B$5000="JCL AYANI"),ROWS($E$5:E422)),"")</f>
        <v/>
      </c>
      <c r="F422" s="5" t="n"/>
    </row>
    <row r="423">
      <c r="A423" s="10">
        <f>IF($E423="","",INDEX('Input Transaksi'!$A:$A,$E423))</f>
        <v/>
      </c>
      <c r="B423" s="5">
        <f>IF($E423="","",INDEX('Input Transaksi'!$D:$D,$E423))</f>
        <v/>
      </c>
      <c r="C423">
        <f>IF($E423="","",INDEX('Input Transaksi'!$E:$E,$E423))</f>
        <v/>
      </c>
      <c r="D423" s="5">
        <f>IF($E423="","",INDEX('Input Transaksi'!$F:$F,$E423))</f>
        <v/>
      </c>
      <c r="E423">
        <f>IFERROR(AGGREGATE(15,6,ROW('Input Transaksi'!$B$5:$B$5000)/('Input Transaksi'!$B$5:$B$5000="JCL AYANI"),ROWS($E$5:E423)),"")</f>
        <v/>
      </c>
      <c r="F423" s="5" t="n"/>
    </row>
    <row r="424">
      <c r="A424" s="10">
        <f>IF($E424="","",INDEX('Input Transaksi'!$A:$A,$E424))</f>
        <v/>
      </c>
      <c r="B424" s="5">
        <f>IF($E424="","",INDEX('Input Transaksi'!$D:$D,$E424))</f>
        <v/>
      </c>
      <c r="C424">
        <f>IF($E424="","",INDEX('Input Transaksi'!$E:$E,$E424))</f>
        <v/>
      </c>
      <c r="D424" s="5">
        <f>IF($E424="","",INDEX('Input Transaksi'!$F:$F,$E424))</f>
        <v/>
      </c>
      <c r="E424">
        <f>IFERROR(AGGREGATE(15,6,ROW('Input Transaksi'!$B$5:$B$5000)/('Input Transaksi'!$B$5:$B$5000="JCL AYANI"),ROWS($E$5:E424)),"")</f>
        <v/>
      </c>
      <c r="F424" s="5" t="n"/>
    </row>
    <row r="425">
      <c r="A425" s="10">
        <f>IF($E425="","",INDEX('Input Transaksi'!$A:$A,$E425))</f>
        <v/>
      </c>
      <c r="B425" s="5">
        <f>IF($E425="","",INDEX('Input Transaksi'!$D:$D,$E425))</f>
        <v/>
      </c>
      <c r="C425">
        <f>IF($E425="","",INDEX('Input Transaksi'!$E:$E,$E425))</f>
        <v/>
      </c>
      <c r="D425" s="5">
        <f>IF($E425="","",INDEX('Input Transaksi'!$F:$F,$E425))</f>
        <v/>
      </c>
      <c r="E425">
        <f>IFERROR(AGGREGATE(15,6,ROW('Input Transaksi'!$B$5:$B$5000)/('Input Transaksi'!$B$5:$B$5000="JCL AYANI"),ROWS($E$5:E425)),"")</f>
        <v/>
      </c>
      <c r="F425" s="5" t="n"/>
    </row>
    <row r="426">
      <c r="A426" s="10">
        <f>IF($E426="","",INDEX('Input Transaksi'!$A:$A,$E426))</f>
        <v/>
      </c>
      <c r="B426" s="5">
        <f>IF($E426="","",INDEX('Input Transaksi'!$D:$D,$E426))</f>
        <v/>
      </c>
      <c r="C426">
        <f>IF($E426="","",INDEX('Input Transaksi'!$E:$E,$E426))</f>
        <v/>
      </c>
      <c r="D426" s="5">
        <f>IF($E426="","",INDEX('Input Transaksi'!$F:$F,$E426))</f>
        <v/>
      </c>
      <c r="E426">
        <f>IFERROR(AGGREGATE(15,6,ROW('Input Transaksi'!$B$5:$B$5000)/('Input Transaksi'!$B$5:$B$5000="JCL AYANI"),ROWS($E$5:E426)),"")</f>
        <v/>
      </c>
      <c r="F426" s="5" t="n"/>
    </row>
    <row r="427">
      <c r="A427" s="10">
        <f>IF($E427="","",INDEX('Input Transaksi'!$A:$A,$E427))</f>
        <v/>
      </c>
      <c r="B427" s="5">
        <f>IF($E427="","",INDEX('Input Transaksi'!$D:$D,$E427))</f>
        <v/>
      </c>
      <c r="C427">
        <f>IF($E427="","",INDEX('Input Transaksi'!$E:$E,$E427))</f>
        <v/>
      </c>
      <c r="D427" s="5">
        <f>IF($E427="","",INDEX('Input Transaksi'!$F:$F,$E427))</f>
        <v/>
      </c>
      <c r="E427">
        <f>IFERROR(AGGREGATE(15,6,ROW('Input Transaksi'!$B$5:$B$5000)/('Input Transaksi'!$B$5:$B$5000="JCL AYANI"),ROWS($E$5:E427)),"")</f>
        <v/>
      </c>
      <c r="F427" s="5" t="n"/>
    </row>
    <row r="428">
      <c r="A428" s="10">
        <f>IF($E428="","",INDEX('Input Transaksi'!$A:$A,$E428))</f>
        <v/>
      </c>
      <c r="B428" s="5">
        <f>IF($E428="","",INDEX('Input Transaksi'!$D:$D,$E428))</f>
        <v/>
      </c>
      <c r="C428">
        <f>IF($E428="","",INDEX('Input Transaksi'!$E:$E,$E428))</f>
        <v/>
      </c>
      <c r="D428" s="5">
        <f>IF($E428="","",INDEX('Input Transaksi'!$F:$F,$E428))</f>
        <v/>
      </c>
      <c r="E428">
        <f>IFERROR(AGGREGATE(15,6,ROW('Input Transaksi'!$B$5:$B$5000)/('Input Transaksi'!$B$5:$B$5000="JCL AYANI"),ROWS($E$5:E428)),"")</f>
        <v/>
      </c>
      <c r="F428" s="5" t="n"/>
    </row>
    <row r="429">
      <c r="A429" s="10">
        <f>IF($E429="","",INDEX('Input Transaksi'!$A:$A,$E429))</f>
        <v/>
      </c>
      <c r="B429" s="5">
        <f>IF($E429="","",INDEX('Input Transaksi'!$D:$D,$E429))</f>
        <v/>
      </c>
      <c r="C429">
        <f>IF($E429="","",INDEX('Input Transaksi'!$E:$E,$E429))</f>
        <v/>
      </c>
      <c r="D429" s="5">
        <f>IF($E429="","",INDEX('Input Transaksi'!$F:$F,$E429))</f>
        <v/>
      </c>
      <c r="E429">
        <f>IFERROR(AGGREGATE(15,6,ROW('Input Transaksi'!$B$5:$B$5000)/('Input Transaksi'!$B$5:$B$5000="JCL AYANI"),ROWS($E$5:E429)),"")</f>
        <v/>
      </c>
      <c r="F429" s="5" t="n"/>
    </row>
    <row r="430">
      <c r="A430" s="10">
        <f>IF($E430="","",INDEX('Input Transaksi'!$A:$A,$E430))</f>
        <v/>
      </c>
      <c r="B430" s="5">
        <f>IF($E430="","",INDEX('Input Transaksi'!$D:$D,$E430))</f>
        <v/>
      </c>
      <c r="C430">
        <f>IF($E430="","",INDEX('Input Transaksi'!$E:$E,$E430))</f>
        <v/>
      </c>
      <c r="D430" s="5">
        <f>IF($E430="","",INDEX('Input Transaksi'!$F:$F,$E430))</f>
        <v/>
      </c>
      <c r="E430">
        <f>IFERROR(AGGREGATE(15,6,ROW('Input Transaksi'!$B$5:$B$5000)/('Input Transaksi'!$B$5:$B$5000="JCL AYANI"),ROWS($E$5:E430)),"")</f>
        <v/>
      </c>
      <c r="F430" s="5" t="n"/>
    </row>
    <row r="431">
      <c r="A431" s="10">
        <f>IF($E431="","",INDEX('Input Transaksi'!$A:$A,$E431))</f>
        <v/>
      </c>
      <c r="B431" s="5">
        <f>IF($E431="","",INDEX('Input Transaksi'!$D:$D,$E431))</f>
        <v/>
      </c>
      <c r="C431">
        <f>IF($E431="","",INDEX('Input Transaksi'!$E:$E,$E431))</f>
        <v/>
      </c>
      <c r="D431" s="5">
        <f>IF($E431="","",INDEX('Input Transaksi'!$F:$F,$E431))</f>
        <v/>
      </c>
      <c r="E431">
        <f>IFERROR(AGGREGATE(15,6,ROW('Input Transaksi'!$B$5:$B$5000)/('Input Transaksi'!$B$5:$B$5000="JCL AYANI"),ROWS($E$5:E431)),"")</f>
        <v/>
      </c>
      <c r="F431" s="5" t="n"/>
    </row>
    <row r="432">
      <c r="A432" s="10">
        <f>IF($E432="","",INDEX('Input Transaksi'!$A:$A,$E432))</f>
        <v/>
      </c>
      <c r="B432" s="5">
        <f>IF($E432="","",INDEX('Input Transaksi'!$D:$D,$E432))</f>
        <v/>
      </c>
      <c r="C432">
        <f>IF($E432="","",INDEX('Input Transaksi'!$E:$E,$E432))</f>
        <v/>
      </c>
      <c r="D432" s="5">
        <f>IF($E432="","",INDEX('Input Transaksi'!$F:$F,$E432))</f>
        <v/>
      </c>
      <c r="E432">
        <f>IFERROR(AGGREGATE(15,6,ROW('Input Transaksi'!$B$5:$B$5000)/('Input Transaksi'!$B$5:$B$5000="JCL AYANI"),ROWS($E$5:E432)),"")</f>
        <v/>
      </c>
      <c r="F432" s="5" t="n"/>
    </row>
    <row r="433">
      <c r="A433" s="10">
        <f>IF($E433="","",INDEX('Input Transaksi'!$A:$A,$E433))</f>
        <v/>
      </c>
      <c r="B433" s="5">
        <f>IF($E433="","",INDEX('Input Transaksi'!$D:$D,$E433))</f>
        <v/>
      </c>
      <c r="C433">
        <f>IF($E433="","",INDEX('Input Transaksi'!$E:$E,$E433))</f>
        <v/>
      </c>
      <c r="D433" s="5">
        <f>IF($E433="","",INDEX('Input Transaksi'!$F:$F,$E433))</f>
        <v/>
      </c>
      <c r="E433">
        <f>IFERROR(AGGREGATE(15,6,ROW('Input Transaksi'!$B$5:$B$5000)/('Input Transaksi'!$B$5:$B$5000="JCL AYANI"),ROWS($E$5:E433)),"")</f>
        <v/>
      </c>
      <c r="F433" s="5" t="n"/>
    </row>
    <row r="434">
      <c r="A434" s="10">
        <f>IF($E434="","",INDEX('Input Transaksi'!$A:$A,$E434))</f>
        <v/>
      </c>
      <c r="B434" s="5">
        <f>IF($E434="","",INDEX('Input Transaksi'!$D:$D,$E434))</f>
        <v/>
      </c>
      <c r="C434">
        <f>IF($E434="","",INDEX('Input Transaksi'!$E:$E,$E434))</f>
        <v/>
      </c>
      <c r="D434" s="5">
        <f>IF($E434="","",INDEX('Input Transaksi'!$F:$F,$E434))</f>
        <v/>
      </c>
      <c r="E434">
        <f>IFERROR(AGGREGATE(15,6,ROW('Input Transaksi'!$B$5:$B$5000)/('Input Transaksi'!$B$5:$B$5000="JCL AYANI"),ROWS($E$5:E434)),"")</f>
        <v/>
      </c>
      <c r="F434" s="5" t="n"/>
    </row>
    <row r="435">
      <c r="A435" s="10">
        <f>IF($E435="","",INDEX('Input Transaksi'!$A:$A,$E435))</f>
        <v/>
      </c>
      <c r="B435" s="5">
        <f>IF($E435="","",INDEX('Input Transaksi'!$D:$D,$E435))</f>
        <v/>
      </c>
      <c r="C435">
        <f>IF($E435="","",INDEX('Input Transaksi'!$E:$E,$E435))</f>
        <v/>
      </c>
      <c r="D435" s="5">
        <f>IF($E435="","",INDEX('Input Transaksi'!$F:$F,$E435))</f>
        <v/>
      </c>
      <c r="E435">
        <f>IFERROR(AGGREGATE(15,6,ROW('Input Transaksi'!$B$5:$B$5000)/('Input Transaksi'!$B$5:$B$5000="JCL AYANI"),ROWS($E$5:E435)),"")</f>
        <v/>
      </c>
      <c r="F435" s="5" t="n"/>
    </row>
    <row r="436">
      <c r="A436" s="10">
        <f>IF($E436="","",INDEX('Input Transaksi'!$A:$A,$E436))</f>
        <v/>
      </c>
      <c r="B436" s="5">
        <f>IF($E436="","",INDEX('Input Transaksi'!$D:$D,$E436))</f>
        <v/>
      </c>
      <c r="C436">
        <f>IF($E436="","",INDEX('Input Transaksi'!$E:$E,$E436))</f>
        <v/>
      </c>
      <c r="D436" s="5">
        <f>IF($E436="","",INDEX('Input Transaksi'!$F:$F,$E436))</f>
        <v/>
      </c>
      <c r="E436">
        <f>IFERROR(AGGREGATE(15,6,ROW('Input Transaksi'!$B$5:$B$5000)/('Input Transaksi'!$B$5:$B$5000="JCL AYANI"),ROWS($E$5:E436)),"")</f>
        <v/>
      </c>
      <c r="F436" s="5" t="n"/>
    </row>
    <row r="437">
      <c r="A437" s="10">
        <f>IF($E437="","",INDEX('Input Transaksi'!$A:$A,$E437))</f>
        <v/>
      </c>
      <c r="B437" s="5">
        <f>IF($E437="","",INDEX('Input Transaksi'!$D:$D,$E437))</f>
        <v/>
      </c>
      <c r="C437">
        <f>IF($E437="","",INDEX('Input Transaksi'!$E:$E,$E437))</f>
        <v/>
      </c>
      <c r="D437" s="5">
        <f>IF($E437="","",INDEX('Input Transaksi'!$F:$F,$E437))</f>
        <v/>
      </c>
      <c r="E437">
        <f>IFERROR(AGGREGATE(15,6,ROW('Input Transaksi'!$B$5:$B$5000)/('Input Transaksi'!$B$5:$B$5000="JCL AYANI"),ROWS($E$5:E437)),"")</f>
        <v/>
      </c>
      <c r="F437" s="5" t="n"/>
    </row>
    <row r="438">
      <c r="A438" s="10">
        <f>IF($E438="","",INDEX('Input Transaksi'!$A:$A,$E438))</f>
        <v/>
      </c>
      <c r="B438" s="5">
        <f>IF($E438="","",INDEX('Input Transaksi'!$D:$D,$E438))</f>
        <v/>
      </c>
      <c r="C438">
        <f>IF($E438="","",INDEX('Input Transaksi'!$E:$E,$E438))</f>
        <v/>
      </c>
      <c r="D438" s="5">
        <f>IF($E438="","",INDEX('Input Transaksi'!$F:$F,$E438))</f>
        <v/>
      </c>
      <c r="E438">
        <f>IFERROR(AGGREGATE(15,6,ROW('Input Transaksi'!$B$5:$B$5000)/('Input Transaksi'!$B$5:$B$5000="JCL AYANI"),ROWS($E$5:E438)),"")</f>
        <v/>
      </c>
      <c r="F438" s="5" t="n"/>
    </row>
    <row r="439">
      <c r="A439" s="10">
        <f>IF($E439="","",INDEX('Input Transaksi'!$A:$A,$E439))</f>
        <v/>
      </c>
      <c r="B439" s="5">
        <f>IF($E439="","",INDEX('Input Transaksi'!$D:$D,$E439))</f>
        <v/>
      </c>
      <c r="C439">
        <f>IF($E439="","",INDEX('Input Transaksi'!$E:$E,$E439))</f>
        <v/>
      </c>
      <c r="D439" s="5">
        <f>IF($E439="","",INDEX('Input Transaksi'!$F:$F,$E439))</f>
        <v/>
      </c>
      <c r="E439">
        <f>IFERROR(AGGREGATE(15,6,ROW('Input Transaksi'!$B$5:$B$5000)/('Input Transaksi'!$B$5:$B$5000="JCL AYANI"),ROWS($E$5:E439)),"")</f>
        <v/>
      </c>
      <c r="F439" s="5" t="n"/>
    </row>
    <row r="440">
      <c r="A440" s="10">
        <f>IF($E440="","",INDEX('Input Transaksi'!$A:$A,$E440))</f>
        <v/>
      </c>
      <c r="B440" s="5">
        <f>IF($E440="","",INDEX('Input Transaksi'!$D:$D,$E440))</f>
        <v/>
      </c>
      <c r="C440">
        <f>IF($E440="","",INDEX('Input Transaksi'!$E:$E,$E440))</f>
        <v/>
      </c>
      <c r="D440" s="5">
        <f>IF($E440="","",INDEX('Input Transaksi'!$F:$F,$E440))</f>
        <v/>
      </c>
      <c r="E440">
        <f>IFERROR(AGGREGATE(15,6,ROW('Input Transaksi'!$B$5:$B$5000)/('Input Transaksi'!$B$5:$B$5000="JCL AYANI"),ROWS($E$5:E440)),"")</f>
        <v/>
      </c>
      <c r="F440" s="5" t="n"/>
    </row>
    <row r="441">
      <c r="A441" s="10">
        <f>IF($E441="","",INDEX('Input Transaksi'!$A:$A,$E441))</f>
        <v/>
      </c>
      <c r="B441" s="5">
        <f>IF($E441="","",INDEX('Input Transaksi'!$D:$D,$E441))</f>
        <v/>
      </c>
      <c r="C441">
        <f>IF($E441="","",INDEX('Input Transaksi'!$E:$E,$E441))</f>
        <v/>
      </c>
      <c r="D441" s="5">
        <f>IF($E441="","",INDEX('Input Transaksi'!$F:$F,$E441))</f>
        <v/>
      </c>
      <c r="E441">
        <f>IFERROR(AGGREGATE(15,6,ROW('Input Transaksi'!$B$5:$B$5000)/('Input Transaksi'!$B$5:$B$5000="JCL AYANI"),ROWS($E$5:E441)),"")</f>
        <v/>
      </c>
      <c r="F441" s="5" t="n"/>
    </row>
    <row r="442">
      <c r="A442" s="10">
        <f>IF($E442="","",INDEX('Input Transaksi'!$A:$A,$E442))</f>
        <v/>
      </c>
      <c r="B442" s="5">
        <f>IF($E442="","",INDEX('Input Transaksi'!$D:$D,$E442))</f>
        <v/>
      </c>
      <c r="C442">
        <f>IF($E442="","",INDEX('Input Transaksi'!$E:$E,$E442))</f>
        <v/>
      </c>
      <c r="D442" s="5">
        <f>IF($E442="","",INDEX('Input Transaksi'!$F:$F,$E442))</f>
        <v/>
      </c>
      <c r="E442">
        <f>IFERROR(AGGREGATE(15,6,ROW('Input Transaksi'!$B$5:$B$5000)/('Input Transaksi'!$B$5:$B$5000="JCL AYANI"),ROWS($E$5:E442)),"")</f>
        <v/>
      </c>
      <c r="F442" s="5" t="n"/>
    </row>
    <row r="443">
      <c r="A443" s="10">
        <f>IF($E443="","",INDEX('Input Transaksi'!$A:$A,$E443))</f>
        <v/>
      </c>
      <c r="B443" s="5">
        <f>IF($E443="","",INDEX('Input Transaksi'!$D:$D,$E443))</f>
        <v/>
      </c>
      <c r="C443">
        <f>IF($E443="","",INDEX('Input Transaksi'!$E:$E,$E443))</f>
        <v/>
      </c>
      <c r="D443" s="5">
        <f>IF($E443="","",INDEX('Input Transaksi'!$F:$F,$E443))</f>
        <v/>
      </c>
      <c r="E443">
        <f>IFERROR(AGGREGATE(15,6,ROW('Input Transaksi'!$B$5:$B$5000)/('Input Transaksi'!$B$5:$B$5000="JCL AYANI"),ROWS($E$5:E443)),"")</f>
        <v/>
      </c>
      <c r="F443" s="5" t="n"/>
    </row>
    <row r="444">
      <c r="A444" s="10">
        <f>IF($E444="","",INDEX('Input Transaksi'!$A:$A,$E444))</f>
        <v/>
      </c>
      <c r="B444" s="5">
        <f>IF($E444="","",INDEX('Input Transaksi'!$D:$D,$E444))</f>
        <v/>
      </c>
      <c r="C444">
        <f>IF($E444="","",INDEX('Input Transaksi'!$E:$E,$E444))</f>
        <v/>
      </c>
      <c r="D444" s="5">
        <f>IF($E444="","",INDEX('Input Transaksi'!$F:$F,$E444))</f>
        <v/>
      </c>
      <c r="E444">
        <f>IFERROR(AGGREGATE(15,6,ROW('Input Transaksi'!$B$5:$B$5000)/('Input Transaksi'!$B$5:$B$5000="JCL AYANI"),ROWS($E$5:E444)),"")</f>
        <v/>
      </c>
      <c r="F444" s="5" t="n"/>
    </row>
    <row r="445">
      <c r="A445" s="10">
        <f>IF($E445="","",INDEX('Input Transaksi'!$A:$A,$E445))</f>
        <v/>
      </c>
      <c r="B445" s="5">
        <f>IF($E445="","",INDEX('Input Transaksi'!$D:$D,$E445))</f>
        <v/>
      </c>
      <c r="C445">
        <f>IF($E445="","",INDEX('Input Transaksi'!$E:$E,$E445))</f>
        <v/>
      </c>
      <c r="D445" s="5">
        <f>IF($E445="","",INDEX('Input Transaksi'!$F:$F,$E445))</f>
        <v/>
      </c>
      <c r="E445">
        <f>IFERROR(AGGREGATE(15,6,ROW('Input Transaksi'!$B$5:$B$5000)/('Input Transaksi'!$B$5:$B$5000="JCL AYANI"),ROWS($E$5:E445)),"")</f>
        <v/>
      </c>
      <c r="F445" s="5" t="n"/>
    </row>
    <row r="446">
      <c r="A446" s="10">
        <f>IF($E446="","",INDEX('Input Transaksi'!$A:$A,$E446))</f>
        <v/>
      </c>
      <c r="B446" s="5">
        <f>IF($E446="","",INDEX('Input Transaksi'!$D:$D,$E446))</f>
        <v/>
      </c>
      <c r="C446">
        <f>IF($E446="","",INDEX('Input Transaksi'!$E:$E,$E446))</f>
        <v/>
      </c>
      <c r="D446" s="5">
        <f>IF($E446="","",INDEX('Input Transaksi'!$F:$F,$E446))</f>
        <v/>
      </c>
      <c r="E446">
        <f>IFERROR(AGGREGATE(15,6,ROW('Input Transaksi'!$B$5:$B$5000)/('Input Transaksi'!$B$5:$B$5000="JCL AYANI"),ROWS($E$5:E446)),"")</f>
        <v/>
      </c>
      <c r="F446" s="5" t="n"/>
    </row>
    <row r="447">
      <c r="A447" s="10">
        <f>IF($E447="","",INDEX('Input Transaksi'!$A:$A,$E447))</f>
        <v/>
      </c>
      <c r="B447" s="5">
        <f>IF($E447="","",INDEX('Input Transaksi'!$D:$D,$E447))</f>
        <v/>
      </c>
      <c r="C447">
        <f>IF($E447="","",INDEX('Input Transaksi'!$E:$E,$E447))</f>
        <v/>
      </c>
      <c r="D447" s="5">
        <f>IF($E447="","",INDEX('Input Transaksi'!$F:$F,$E447))</f>
        <v/>
      </c>
      <c r="E447">
        <f>IFERROR(AGGREGATE(15,6,ROW('Input Transaksi'!$B$5:$B$5000)/('Input Transaksi'!$B$5:$B$5000="JCL AYANI"),ROWS($E$5:E447)),"")</f>
        <v/>
      </c>
      <c r="F447" s="5" t="n"/>
    </row>
    <row r="448">
      <c r="A448" s="10">
        <f>IF($E448="","",INDEX('Input Transaksi'!$A:$A,$E448))</f>
        <v/>
      </c>
      <c r="B448" s="5">
        <f>IF($E448="","",INDEX('Input Transaksi'!$D:$D,$E448))</f>
        <v/>
      </c>
      <c r="C448">
        <f>IF($E448="","",INDEX('Input Transaksi'!$E:$E,$E448))</f>
        <v/>
      </c>
      <c r="D448" s="5">
        <f>IF($E448="","",INDEX('Input Transaksi'!$F:$F,$E448))</f>
        <v/>
      </c>
      <c r="E448">
        <f>IFERROR(AGGREGATE(15,6,ROW('Input Transaksi'!$B$5:$B$5000)/('Input Transaksi'!$B$5:$B$5000="JCL AYANI"),ROWS($E$5:E448)),"")</f>
        <v/>
      </c>
      <c r="F448" s="5" t="n"/>
    </row>
    <row r="449">
      <c r="A449" s="10">
        <f>IF($E449="","",INDEX('Input Transaksi'!$A:$A,$E449))</f>
        <v/>
      </c>
      <c r="B449" s="5">
        <f>IF($E449="","",INDEX('Input Transaksi'!$D:$D,$E449))</f>
        <v/>
      </c>
      <c r="C449">
        <f>IF($E449="","",INDEX('Input Transaksi'!$E:$E,$E449))</f>
        <v/>
      </c>
      <c r="D449" s="5">
        <f>IF($E449="","",INDEX('Input Transaksi'!$F:$F,$E449))</f>
        <v/>
      </c>
      <c r="E449">
        <f>IFERROR(AGGREGATE(15,6,ROW('Input Transaksi'!$B$5:$B$5000)/('Input Transaksi'!$B$5:$B$5000="JCL AYANI"),ROWS($E$5:E449)),"")</f>
        <v/>
      </c>
      <c r="F449" s="5" t="n"/>
    </row>
    <row r="450">
      <c r="A450" s="10">
        <f>IF($E450="","",INDEX('Input Transaksi'!$A:$A,$E450))</f>
        <v/>
      </c>
      <c r="B450" s="5">
        <f>IF($E450="","",INDEX('Input Transaksi'!$D:$D,$E450))</f>
        <v/>
      </c>
      <c r="C450">
        <f>IF($E450="","",INDEX('Input Transaksi'!$E:$E,$E450))</f>
        <v/>
      </c>
      <c r="D450" s="5">
        <f>IF($E450="","",INDEX('Input Transaksi'!$F:$F,$E450))</f>
        <v/>
      </c>
      <c r="E450">
        <f>IFERROR(AGGREGATE(15,6,ROW('Input Transaksi'!$B$5:$B$5000)/('Input Transaksi'!$B$5:$B$5000="JCL AYANI"),ROWS($E$5:E450)),"")</f>
        <v/>
      </c>
      <c r="F450" s="5" t="n"/>
    </row>
    <row r="451">
      <c r="A451" s="10">
        <f>IF($E451="","",INDEX('Input Transaksi'!$A:$A,$E451))</f>
        <v/>
      </c>
      <c r="B451" s="5">
        <f>IF($E451="","",INDEX('Input Transaksi'!$D:$D,$E451))</f>
        <v/>
      </c>
      <c r="C451">
        <f>IF($E451="","",INDEX('Input Transaksi'!$E:$E,$E451))</f>
        <v/>
      </c>
      <c r="D451" s="5">
        <f>IF($E451="","",INDEX('Input Transaksi'!$F:$F,$E451))</f>
        <v/>
      </c>
      <c r="E451">
        <f>IFERROR(AGGREGATE(15,6,ROW('Input Transaksi'!$B$5:$B$5000)/('Input Transaksi'!$B$5:$B$5000="JCL AYANI"),ROWS($E$5:E451)),"")</f>
        <v/>
      </c>
      <c r="F451" s="5" t="n"/>
    </row>
    <row r="452">
      <c r="A452" s="10">
        <f>IF($E452="","",INDEX('Input Transaksi'!$A:$A,$E452))</f>
        <v/>
      </c>
      <c r="B452" s="5">
        <f>IF($E452="","",INDEX('Input Transaksi'!$D:$D,$E452))</f>
        <v/>
      </c>
      <c r="C452">
        <f>IF($E452="","",INDEX('Input Transaksi'!$E:$E,$E452))</f>
        <v/>
      </c>
      <c r="D452" s="5">
        <f>IF($E452="","",INDEX('Input Transaksi'!$F:$F,$E452))</f>
        <v/>
      </c>
      <c r="E452">
        <f>IFERROR(AGGREGATE(15,6,ROW('Input Transaksi'!$B$5:$B$5000)/('Input Transaksi'!$B$5:$B$5000="JCL AYANI"),ROWS($E$5:E452)),"")</f>
        <v/>
      </c>
      <c r="F452" s="5" t="n"/>
    </row>
    <row r="453">
      <c r="A453" s="10">
        <f>IF($E453="","",INDEX('Input Transaksi'!$A:$A,$E453))</f>
        <v/>
      </c>
      <c r="B453" s="5">
        <f>IF($E453="","",INDEX('Input Transaksi'!$D:$D,$E453))</f>
        <v/>
      </c>
      <c r="C453">
        <f>IF($E453="","",INDEX('Input Transaksi'!$E:$E,$E453))</f>
        <v/>
      </c>
      <c r="D453" s="5">
        <f>IF($E453="","",INDEX('Input Transaksi'!$F:$F,$E453))</f>
        <v/>
      </c>
      <c r="E453">
        <f>IFERROR(AGGREGATE(15,6,ROW('Input Transaksi'!$B$5:$B$5000)/('Input Transaksi'!$B$5:$B$5000="JCL AYANI"),ROWS($E$5:E453)),"")</f>
        <v/>
      </c>
      <c r="F453" s="5" t="n"/>
    </row>
    <row r="454">
      <c r="A454" s="10">
        <f>IF($E454="","",INDEX('Input Transaksi'!$A:$A,$E454))</f>
        <v/>
      </c>
      <c r="B454" s="5">
        <f>IF($E454="","",INDEX('Input Transaksi'!$D:$D,$E454))</f>
        <v/>
      </c>
      <c r="C454">
        <f>IF($E454="","",INDEX('Input Transaksi'!$E:$E,$E454))</f>
        <v/>
      </c>
      <c r="D454" s="5">
        <f>IF($E454="","",INDEX('Input Transaksi'!$F:$F,$E454))</f>
        <v/>
      </c>
      <c r="E454">
        <f>IFERROR(AGGREGATE(15,6,ROW('Input Transaksi'!$B$5:$B$5000)/('Input Transaksi'!$B$5:$B$5000="JCL AYANI"),ROWS($E$5:E454)),"")</f>
        <v/>
      </c>
      <c r="F454" s="5" t="n"/>
    </row>
    <row r="455">
      <c r="A455" s="10">
        <f>IF($E455="","",INDEX('Input Transaksi'!$A:$A,$E455))</f>
        <v/>
      </c>
      <c r="B455" s="5">
        <f>IF($E455="","",INDEX('Input Transaksi'!$D:$D,$E455))</f>
        <v/>
      </c>
      <c r="C455">
        <f>IF($E455="","",INDEX('Input Transaksi'!$E:$E,$E455))</f>
        <v/>
      </c>
      <c r="D455" s="5">
        <f>IF($E455="","",INDEX('Input Transaksi'!$F:$F,$E455))</f>
        <v/>
      </c>
      <c r="E455">
        <f>IFERROR(AGGREGATE(15,6,ROW('Input Transaksi'!$B$5:$B$5000)/('Input Transaksi'!$B$5:$B$5000="JCL AYANI"),ROWS($E$5:E455)),"")</f>
        <v/>
      </c>
      <c r="F455" s="5" t="n"/>
    </row>
    <row r="456">
      <c r="A456" s="10">
        <f>IF($E456="","",INDEX('Input Transaksi'!$A:$A,$E456))</f>
        <v/>
      </c>
      <c r="B456" s="5">
        <f>IF($E456="","",INDEX('Input Transaksi'!$D:$D,$E456))</f>
        <v/>
      </c>
      <c r="C456">
        <f>IF($E456="","",INDEX('Input Transaksi'!$E:$E,$E456))</f>
        <v/>
      </c>
      <c r="D456" s="5">
        <f>IF($E456="","",INDEX('Input Transaksi'!$F:$F,$E456))</f>
        <v/>
      </c>
      <c r="E456">
        <f>IFERROR(AGGREGATE(15,6,ROW('Input Transaksi'!$B$5:$B$5000)/('Input Transaksi'!$B$5:$B$5000="JCL AYANI"),ROWS($E$5:E456)),"")</f>
        <v/>
      </c>
      <c r="F456" s="5" t="n"/>
    </row>
    <row r="457">
      <c r="A457" s="10">
        <f>IF($E457="","",INDEX('Input Transaksi'!$A:$A,$E457))</f>
        <v/>
      </c>
      <c r="B457" s="5">
        <f>IF($E457="","",INDEX('Input Transaksi'!$D:$D,$E457))</f>
        <v/>
      </c>
      <c r="C457">
        <f>IF($E457="","",INDEX('Input Transaksi'!$E:$E,$E457))</f>
        <v/>
      </c>
      <c r="D457" s="5">
        <f>IF($E457="","",INDEX('Input Transaksi'!$F:$F,$E457))</f>
        <v/>
      </c>
      <c r="E457">
        <f>IFERROR(AGGREGATE(15,6,ROW('Input Transaksi'!$B$5:$B$5000)/('Input Transaksi'!$B$5:$B$5000="JCL AYANI"),ROWS($E$5:E457)),"")</f>
        <v/>
      </c>
      <c r="F457" s="5" t="n"/>
    </row>
    <row r="458">
      <c r="A458" s="10">
        <f>IF($E458="","",INDEX('Input Transaksi'!$A:$A,$E458))</f>
        <v/>
      </c>
      <c r="B458" s="5">
        <f>IF($E458="","",INDEX('Input Transaksi'!$D:$D,$E458))</f>
        <v/>
      </c>
      <c r="C458">
        <f>IF($E458="","",INDEX('Input Transaksi'!$E:$E,$E458))</f>
        <v/>
      </c>
      <c r="D458" s="5">
        <f>IF($E458="","",INDEX('Input Transaksi'!$F:$F,$E458))</f>
        <v/>
      </c>
      <c r="E458">
        <f>IFERROR(AGGREGATE(15,6,ROW('Input Transaksi'!$B$5:$B$5000)/('Input Transaksi'!$B$5:$B$5000="JCL AYANI"),ROWS($E$5:E458)),"")</f>
        <v/>
      </c>
      <c r="F458" s="5" t="n"/>
    </row>
    <row r="459">
      <c r="A459" s="10">
        <f>IF($E459="","",INDEX('Input Transaksi'!$A:$A,$E459))</f>
        <v/>
      </c>
      <c r="B459" s="5">
        <f>IF($E459="","",INDEX('Input Transaksi'!$D:$D,$E459))</f>
        <v/>
      </c>
      <c r="C459">
        <f>IF($E459="","",INDEX('Input Transaksi'!$E:$E,$E459))</f>
        <v/>
      </c>
      <c r="D459" s="5">
        <f>IF($E459="","",INDEX('Input Transaksi'!$F:$F,$E459))</f>
        <v/>
      </c>
      <c r="E459">
        <f>IFERROR(AGGREGATE(15,6,ROW('Input Transaksi'!$B$5:$B$5000)/('Input Transaksi'!$B$5:$B$5000="JCL AYANI"),ROWS($E$5:E459)),"")</f>
        <v/>
      </c>
      <c r="F459" s="5" t="n"/>
    </row>
    <row r="460">
      <c r="A460" s="10">
        <f>IF($E460="","",INDEX('Input Transaksi'!$A:$A,$E460))</f>
        <v/>
      </c>
      <c r="B460" s="5">
        <f>IF($E460="","",INDEX('Input Transaksi'!$D:$D,$E460))</f>
        <v/>
      </c>
      <c r="C460">
        <f>IF($E460="","",INDEX('Input Transaksi'!$E:$E,$E460))</f>
        <v/>
      </c>
      <c r="D460" s="5">
        <f>IF($E460="","",INDEX('Input Transaksi'!$F:$F,$E460))</f>
        <v/>
      </c>
      <c r="E460">
        <f>IFERROR(AGGREGATE(15,6,ROW('Input Transaksi'!$B$5:$B$5000)/('Input Transaksi'!$B$5:$B$5000="JCL AYANI"),ROWS($E$5:E460)),"")</f>
        <v/>
      </c>
      <c r="F460" s="5" t="n"/>
    </row>
    <row r="461">
      <c r="A461" s="10">
        <f>IF($E461="","",INDEX('Input Transaksi'!$A:$A,$E461))</f>
        <v/>
      </c>
      <c r="B461" s="5">
        <f>IF($E461="","",INDEX('Input Transaksi'!$D:$D,$E461))</f>
        <v/>
      </c>
      <c r="C461">
        <f>IF($E461="","",INDEX('Input Transaksi'!$E:$E,$E461))</f>
        <v/>
      </c>
      <c r="D461" s="5">
        <f>IF($E461="","",INDEX('Input Transaksi'!$F:$F,$E461))</f>
        <v/>
      </c>
      <c r="E461">
        <f>IFERROR(AGGREGATE(15,6,ROW('Input Transaksi'!$B$5:$B$5000)/('Input Transaksi'!$B$5:$B$5000="JCL AYANI"),ROWS($E$5:E461)),"")</f>
        <v/>
      </c>
      <c r="F461" s="5" t="n"/>
    </row>
    <row r="462">
      <c r="A462" s="10">
        <f>IF($E462="","",INDEX('Input Transaksi'!$A:$A,$E462))</f>
        <v/>
      </c>
      <c r="B462" s="5">
        <f>IF($E462="","",INDEX('Input Transaksi'!$D:$D,$E462))</f>
        <v/>
      </c>
      <c r="C462">
        <f>IF($E462="","",INDEX('Input Transaksi'!$E:$E,$E462))</f>
        <v/>
      </c>
      <c r="D462" s="5">
        <f>IF($E462="","",INDEX('Input Transaksi'!$F:$F,$E462))</f>
        <v/>
      </c>
      <c r="E462">
        <f>IFERROR(AGGREGATE(15,6,ROW('Input Transaksi'!$B$5:$B$5000)/('Input Transaksi'!$B$5:$B$5000="JCL AYANI"),ROWS($E$5:E462)),"")</f>
        <v/>
      </c>
      <c r="F462" s="5" t="n"/>
    </row>
    <row r="463">
      <c r="A463" s="10">
        <f>IF($E463="","",INDEX('Input Transaksi'!$A:$A,$E463))</f>
        <v/>
      </c>
      <c r="B463" s="5">
        <f>IF($E463="","",INDEX('Input Transaksi'!$D:$D,$E463))</f>
        <v/>
      </c>
      <c r="C463">
        <f>IF($E463="","",INDEX('Input Transaksi'!$E:$E,$E463))</f>
        <v/>
      </c>
      <c r="D463" s="5">
        <f>IF($E463="","",INDEX('Input Transaksi'!$F:$F,$E463))</f>
        <v/>
      </c>
      <c r="E463">
        <f>IFERROR(AGGREGATE(15,6,ROW('Input Transaksi'!$B$5:$B$5000)/('Input Transaksi'!$B$5:$B$5000="JCL AYANI"),ROWS($E$5:E463)),"")</f>
        <v/>
      </c>
      <c r="F463" s="5" t="n"/>
    </row>
    <row r="464">
      <c r="A464" s="10">
        <f>IF($E464="","",INDEX('Input Transaksi'!$A:$A,$E464))</f>
        <v/>
      </c>
      <c r="B464" s="5">
        <f>IF($E464="","",INDEX('Input Transaksi'!$D:$D,$E464))</f>
        <v/>
      </c>
      <c r="C464">
        <f>IF($E464="","",INDEX('Input Transaksi'!$E:$E,$E464))</f>
        <v/>
      </c>
      <c r="D464" s="5">
        <f>IF($E464="","",INDEX('Input Transaksi'!$F:$F,$E464))</f>
        <v/>
      </c>
      <c r="E464">
        <f>IFERROR(AGGREGATE(15,6,ROW('Input Transaksi'!$B$5:$B$5000)/('Input Transaksi'!$B$5:$B$5000="JCL AYANI"),ROWS($E$5:E464)),"")</f>
        <v/>
      </c>
      <c r="F464" s="5" t="n"/>
    </row>
    <row r="465">
      <c r="A465" s="10">
        <f>IF($E465="","",INDEX('Input Transaksi'!$A:$A,$E465))</f>
        <v/>
      </c>
      <c r="B465" s="5">
        <f>IF($E465="","",INDEX('Input Transaksi'!$D:$D,$E465))</f>
        <v/>
      </c>
      <c r="C465">
        <f>IF($E465="","",INDEX('Input Transaksi'!$E:$E,$E465))</f>
        <v/>
      </c>
      <c r="D465" s="5">
        <f>IF($E465="","",INDEX('Input Transaksi'!$F:$F,$E465))</f>
        <v/>
      </c>
      <c r="E465">
        <f>IFERROR(AGGREGATE(15,6,ROW('Input Transaksi'!$B$5:$B$5000)/('Input Transaksi'!$B$5:$B$5000="JCL AYANI"),ROWS($E$5:E465)),"")</f>
        <v/>
      </c>
      <c r="F465" s="5" t="n"/>
    </row>
    <row r="466">
      <c r="A466" s="10">
        <f>IF($E466="","",INDEX('Input Transaksi'!$A:$A,$E466))</f>
        <v/>
      </c>
      <c r="B466" s="5">
        <f>IF($E466="","",INDEX('Input Transaksi'!$D:$D,$E466))</f>
        <v/>
      </c>
      <c r="C466">
        <f>IF($E466="","",INDEX('Input Transaksi'!$E:$E,$E466))</f>
        <v/>
      </c>
      <c r="D466" s="5">
        <f>IF($E466="","",INDEX('Input Transaksi'!$F:$F,$E466))</f>
        <v/>
      </c>
      <c r="E466">
        <f>IFERROR(AGGREGATE(15,6,ROW('Input Transaksi'!$B$5:$B$5000)/('Input Transaksi'!$B$5:$B$5000="JCL AYANI"),ROWS($E$5:E466)),"")</f>
        <v/>
      </c>
      <c r="F466" s="5" t="n"/>
    </row>
    <row r="467">
      <c r="A467" s="10">
        <f>IF($E467="","",INDEX('Input Transaksi'!$A:$A,$E467))</f>
        <v/>
      </c>
      <c r="B467" s="5">
        <f>IF($E467="","",INDEX('Input Transaksi'!$D:$D,$E467))</f>
        <v/>
      </c>
      <c r="C467">
        <f>IF($E467="","",INDEX('Input Transaksi'!$E:$E,$E467))</f>
        <v/>
      </c>
      <c r="D467" s="5">
        <f>IF($E467="","",INDEX('Input Transaksi'!$F:$F,$E467))</f>
        <v/>
      </c>
      <c r="E467">
        <f>IFERROR(AGGREGATE(15,6,ROW('Input Transaksi'!$B$5:$B$5000)/('Input Transaksi'!$B$5:$B$5000="JCL AYANI"),ROWS($E$5:E467)),"")</f>
        <v/>
      </c>
      <c r="F467" s="5" t="n"/>
    </row>
    <row r="468">
      <c r="A468" s="10">
        <f>IF($E468="","",INDEX('Input Transaksi'!$A:$A,$E468))</f>
        <v/>
      </c>
      <c r="B468" s="5">
        <f>IF($E468="","",INDEX('Input Transaksi'!$D:$D,$E468))</f>
        <v/>
      </c>
      <c r="C468">
        <f>IF($E468="","",INDEX('Input Transaksi'!$E:$E,$E468))</f>
        <v/>
      </c>
      <c r="D468" s="5">
        <f>IF($E468="","",INDEX('Input Transaksi'!$F:$F,$E468))</f>
        <v/>
      </c>
      <c r="E468">
        <f>IFERROR(AGGREGATE(15,6,ROW('Input Transaksi'!$B$5:$B$5000)/('Input Transaksi'!$B$5:$B$5000="JCL AYANI"),ROWS($E$5:E468)),"")</f>
        <v/>
      </c>
      <c r="F468" s="5" t="n"/>
    </row>
    <row r="469">
      <c r="A469" s="10">
        <f>IF($E469="","",INDEX('Input Transaksi'!$A:$A,$E469))</f>
        <v/>
      </c>
      <c r="B469" s="5">
        <f>IF($E469="","",INDEX('Input Transaksi'!$D:$D,$E469))</f>
        <v/>
      </c>
      <c r="C469">
        <f>IF($E469="","",INDEX('Input Transaksi'!$E:$E,$E469))</f>
        <v/>
      </c>
      <c r="D469" s="5">
        <f>IF($E469="","",INDEX('Input Transaksi'!$F:$F,$E469))</f>
        <v/>
      </c>
      <c r="E469">
        <f>IFERROR(AGGREGATE(15,6,ROW('Input Transaksi'!$B$5:$B$5000)/('Input Transaksi'!$B$5:$B$5000="JCL AYANI"),ROWS($E$5:E469)),"")</f>
        <v/>
      </c>
      <c r="F469" s="5" t="n"/>
    </row>
    <row r="470">
      <c r="A470" s="10">
        <f>IF($E470="","",INDEX('Input Transaksi'!$A:$A,$E470))</f>
        <v/>
      </c>
      <c r="B470" s="5">
        <f>IF($E470="","",INDEX('Input Transaksi'!$D:$D,$E470))</f>
        <v/>
      </c>
      <c r="C470">
        <f>IF($E470="","",INDEX('Input Transaksi'!$E:$E,$E470))</f>
        <v/>
      </c>
      <c r="D470" s="5">
        <f>IF($E470="","",INDEX('Input Transaksi'!$F:$F,$E470))</f>
        <v/>
      </c>
      <c r="E470">
        <f>IFERROR(AGGREGATE(15,6,ROW('Input Transaksi'!$B$5:$B$5000)/('Input Transaksi'!$B$5:$B$5000="JCL AYANI"),ROWS($E$5:E470)),"")</f>
        <v/>
      </c>
      <c r="F470" s="5" t="n"/>
    </row>
    <row r="471">
      <c r="A471" s="10">
        <f>IF($E471="","",INDEX('Input Transaksi'!$A:$A,$E471))</f>
        <v/>
      </c>
      <c r="B471" s="5">
        <f>IF($E471="","",INDEX('Input Transaksi'!$D:$D,$E471))</f>
        <v/>
      </c>
      <c r="C471">
        <f>IF($E471="","",INDEX('Input Transaksi'!$E:$E,$E471))</f>
        <v/>
      </c>
      <c r="D471" s="5">
        <f>IF($E471="","",INDEX('Input Transaksi'!$F:$F,$E471))</f>
        <v/>
      </c>
      <c r="E471">
        <f>IFERROR(AGGREGATE(15,6,ROW('Input Transaksi'!$B$5:$B$5000)/('Input Transaksi'!$B$5:$B$5000="JCL AYANI"),ROWS($E$5:E471)),"")</f>
        <v/>
      </c>
      <c r="F471" s="5" t="n"/>
    </row>
    <row r="472">
      <c r="A472" s="10">
        <f>IF($E472="","",INDEX('Input Transaksi'!$A:$A,$E472))</f>
        <v/>
      </c>
      <c r="B472" s="5">
        <f>IF($E472="","",INDEX('Input Transaksi'!$D:$D,$E472))</f>
        <v/>
      </c>
      <c r="C472">
        <f>IF($E472="","",INDEX('Input Transaksi'!$E:$E,$E472))</f>
        <v/>
      </c>
      <c r="D472" s="5">
        <f>IF($E472="","",INDEX('Input Transaksi'!$F:$F,$E472))</f>
        <v/>
      </c>
      <c r="E472">
        <f>IFERROR(AGGREGATE(15,6,ROW('Input Transaksi'!$B$5:$B$5000)/('Input Transaksi'!$B$5:$B$5000="JCL AYANI"),ROWS($E$5:E472)),"")</f>
        <v/>
      </c>
      <c r="F472" s="5" t="n"/>
    </row>
    <row r="473">
      <c r="A473" s="10">
        <f>IF($E473="","",INDEX('Input Transaksi'!$A:$A,$E473))</f>
        <v/>
      </c>
      <c r="B473" s="5">
        <f>IF($E473="","",INDEX('Input Transaksi'!$D:$D,$E473))</f>
        <v/>
      </c>
      <c r="C473">
        <f>IF($E473="","",INDEX('Input Transaksi'!$E:$E,$E473))</f>
        <v/>
      </c>
      <c r="D473" s="5">
        <f>IF($E473="","",INDEX('Input Transaksi'!$F:$F,$E473))</f>
        <v/>
      </c>
      <c r="E473">
        <f>IFERROR(AGGREGATE(15,6,ROW('Input Transaksi'!$B$5:$B$5000)/('Input Transaksi'!$B$5:$B$5000="JCL AYANI"),ROWS($E$5:E473)),"")</f>
        <v/>
      </c>
      <c r="F473" s="5" t="n"/>
    </row>
    <row r="474">
      <c r="A474" s="10">
        <f>IF($E474="","",INDEX('Input Transaksi'!$A:$A,$E474))</f>
        <v/>
      </c>
      <c r="B474" s="5">
        <f>IF($E474="","",INDEX('Input Transaksi'!$D:$D,$E474))</f>
        <v/>
      </c>
      <c r="C474">
        <f>IF($E474="","",INDEX('Input Transaksi'!$E:$E,$E474))</f>
        <v/>
      </c>
      <c r="D474" s="5">
        <f>IF($E474="","",INDEX('Input Transaksi'!$F:$F,$E474))</f>
        <v/>
      </c>
      <c r="E474">
        <f>IFERROR(AGGREGATE(15,6,ROW('Input Transaksi'!$B$5:$B$5000)/('Input Transaksi'!$B$5:$B$5000="JCL AYANI"),ROWS($E$5:E474)),"")</f>
        <v/>
      </c>
      <c r="F474" s="5" t="n"/>
    </row>
    <row r="475">
      <c r="A475" s="10">
        <f>IF($E475="","",INDEX('Input Transaksi'!$A:$A,$E475))</f>
        <v/>
      </c>
      <c r="B475" s="5">
        <f>IF($E475="","",INDEX('Input Transaksi'!$D:$D,$E475))</f>
        <v/>
      </c>
      <c r="C475">
        <f>IF($E475="","",INDEX('Input Transaksi'!$E:$E,$E475))</f>
        <v/>
      </c>
      <c r="D475" s="5">
        <f>IF($E475="","",INDEX('Input Transaksi'!$F:$F,$E475))</f>
        <v/>
      </c>
      <c r="E475">
        <f>IFERROR(AGGREGATE(15,6,ROW('Input Transaksi'!$B$5:$B$5000)/('Input Transaksi'!$B$5:$B$5000="JCL AYANI"),ROWS($E$5:E475)),"")</f>
        <v/>
      </c>
      <c r="F475" s="5" t="n"/>
    </row>
    <row r="476">
      <c r="A476" s="10">
        <f>IF($E476="","",INDEX('Input Transaksi'!$A:$A,$E476))</f>
        <v/>
      </c>
      <c r="B476" s="5">
        <f>IF($E476="","",INDEX('Input Transaksi'!$D:$D,$E476))</f>
        <v/>
      </c>
      <c r="C476">
        <f>IF($E476="","",INDEX('Input Transaksi'!$E:$E,$E476))</f>
        <v/>
      </c>
      <c r="D476" s="5">
        <f>IF($E476="","",INDEX('Input Transaksi'!$F:$F,$E476))</f>
        <v/>
      </c>
      <c r="E476">
        <f>IFERROR(AGGREGATE(15,6,ROW('Input Transaksi'!$B$5:$B$5000)/('Input Transaksi'!$B$5:$B$5000="JCL AYANI"),ROWS($E$5:E476)),"")</f>
        <v/>
      </c>
      <c r="F476" s="5" t="n"/>
    </row>
    <row r="477">
      <c r="A477" s="10">
        <f>IF($E477="","",INDEX('Input Transaksi'!$A:$A,$E477))</f>
        <v/>
      </c>
      <c r="B477" s="5">
        <f>IF($E477="","",INDEX('Input Transaksi'!$D:$D,$E477))</f>
        <v/>
      </c>
      <c r="C477">
        <f>IF($E477="","",INDEX('Input Transaksi'!$E:$E,$E477))</f>
        <v/>
      </c>
      <c r="D477" s="5">
        <f>IF($E477="","",INDEX('Input Transaksi'!$F:$F,$E477))</f>
        <v/>
      </c>
      <c r="E477">
        <f>IFERROR(AGGREGATE(15,6,ROW('Input Transaksi'!$B$5:$B$5000)/('Input Transaksi'!$B$5:$B$5000="JCL AYANI"),ROWS($E$5:E477)),"")</f>
        <v/>
      </c>
      <c r="F477" s="5" t="n"/>
    </row>
    <row r="478">
      <c r="A478" s="10">
        <f>IF($E478="","",INDEX('Input Transaksi'!$A:$A,$E478))</f>
        <v/>
      </c>
      <c r="B478" s="5">
        <f>IF($E478="","",INDEX('Input Transaksi'!$D:$D,$E478))</f>
        <v/>
      </c>
      <c r="C478">
        <f>IF($E478="","",INDEX('Input Transaksi'!$E:$E,$E478))</f>
        <v/>
      </c>
      <c r="D478" s="5">
        <f>IF($E478="","",INDEX('Input Transaksi'!$F:$F,$E478))</f>
        <v/>
      </c>
      <c r="E478">
        <f>IFERROR(AGGREGATE(15,6,ROW('Input Transaksi'!$B$5:$B$5000)/('Input Transaksi'!$B$5:$B$5000="JCL AYANI"),ROWS($E$5:E478)),"")</f>
        <v/>
      </c>
      <c r="F478" s="5" t="n"/>
    </row>
    <row r="479">
      <c r="A479" s="10">
        <f>IF($E479="","",INDEX('Input Transaksi'!$A:$A,$E479))</f>
        <v/>
      </c>
      <c r="B479" s="5">
        <f>IF($E479="","",INDEX('Input Transaksi'!$D:$D,$E479))</f>
        <v/>
      </c>
      <c r="C479">
        <f>IF($E479="","",INDEX('Input Transaksi'!$E:$E,$E479))</f>
        <v/>
      </c>
      <c r="D479" s="5">
        <f>IF($E479="","",INDEX('Input Transaksi'!$F:$F,$E479))</f>
        <v/>
      </c>
      <c r="E479">
        <f>IFERROR(AGGREGATE(15,6,ROW('Input Transaksi'!$B$5:$B$5000)/('Input Transaksi'!$B$5:$B$5000="JCL AYANI"),ROWS($E$5:E479)),"")</f>
        <v/>
      </c>
      <c r="F479" s="5" t="n"/>
    </row>
    <row r="480">
      <c r="A480" s="10">
        <f>IF($E480="","",INDEX('Input Transaksi'!$A:$A,$E480))</f>
        <v/>
      </c>
      <c r="B480" s="5">
        <f>IF($E480="","",INDEX('Input Transaksi'!$D:$D,$E480))</f>
        <v/>
      </c>
      <c r="C480">
        <f>IF($E480="","",INDEX('Input Transaksi'!$E:$E,$E480))</f>
        <v/>
      </c>
      <c r="D480" s="5">
        <f>IF($E480="","",INDEX('Input Transaksi'!$F:$F,$E480))</f>
        <v/>
      </c>
      <c r="E480">
        <f>IFERROR(AGGREGATE(15,6,ROW('Input Transaksi'!$B$5:$B$5000)/('Input Transaksi'!$B$5:$B$5000="JCL AYANI"),ROWS($E$5:E480)),"")</f>
        <v/>
      </c>
      <c r="F480" s="5" t="n"/>
    </row>
    <row r="481">
      <c r="A481" s="10">
        <f>IF($E481="","",INDEX('Input Transaksi'!$A:$A,$E481))</f>
        <v/>
      </c>
      <c r="B481" s="5">
        <f>IF($E481="","",INDEX('Input Transaksi'!$D:$D,$E481))</f>
        <v/>
      </c>
      <c r="C481">
        <f>IF($E481="","",INDEX('Input Transaksi'!$E:$E,$E481))</f>
        <v/>
      </c>
      <c r="D481" s="5">
        <f>IF($E481="","",INDEX('Input Transaksi'!$F:$F,$E481))</f>
        <v/>
      </c>
      <c r="E481">
        <f>IFERROR(AGGREGATE(15,6,ROW('Input Transaksi'!$B$5:$B$5000)/('Input Transaksi'!$B$5:$B$5000="JCL AYANI"),ROWS($E$5:E481)),"")</f>
        <v/>
      </c>
      <c r="F481" s="5" t="n"/>
    </row>
    <row r="482">
      <c r="A482" s="10">
        <f>IF($E482="","",INDEX('Input Transaksi'!$A:$A,$E482))</f>
        <v/>
      </c>
      <c r="B482" s="5">
        <f>IF($E482="","",INDEX('Input Transaksi'!$D:$D,$E482))</f>
        <v/>
      </c>
      <c r="C482">
        <f>IF($E482="","",INDEX('Input Transaksi'!$E:$E,$E482))</f>
        <v/>
      </c>
      <c r="D482" s="5">
        <f>IF($E482="","",INDEX('Input Transaksi'!$F:$F,$E482))</f>
        <v/>
      </c>
      <c r="E482">
        <f>IFERROR(AGGREGATE(15,6,ROW('Input Transaksi'!$B$5:$B$5000)/('Input Transaksi'!$B$5:$B$5000="JCL AYANI"),ROWS($E$5:E482)),"")</f>
        <v/>
      </c>
      <c r="F482" s="5" t="n"/>
    </row>
    <row r="483">
      <c r="A483" s="10">
        <f>IF($E483="","",INDEX('Input Transaksi'!$A:$A,$E483))</f>
        <v/>
      </c>
      <c r="B483" s="5">
        <f>IF($E483="","",INDEX('Input Transaksi'!$D:$D,$E483))</f>
        <v/>
      </c>
      <c r="C483">
        <f>IF($E483="","",INDEX('Input Transaksi'!$E:$E,$E483))</f>
        <v/>
      </c>
      <c r="D483" s="5">
        <f>IF($E483="","",INDEX('Input Transaksi'!$F:$F,$E483))</f>
        <v/>
      </c>
      <c r="E483">
        <f>IFERROR(AGGREGATE(15,6,ROW('Input Transaksi'!$B$5:$B$5000)/('Input Transaksi'!$B$5:$B$5000="JCL AYANI"),ROWS($E$5:E483)),"")</f>
        <v/>
      </c>
      <c r="F483" s="5" t="n"/>
    </row>
    <row r="484">
      <c r="A484" s="10">
        <f>IF($E484="","",INDEX('Input Transaksi'!$A:$A,$E484))</f>
        <v/>
      </c>
      <c r="B484" s="5">
        <f>IF($E484="","",INDEX('Input Transaksi'!$D:$D,$E484))</f>
        <v/>
      </c>
      <c r="C484">
        <f>IF($E484="","",INDEX('Input Transaksi'!$E:$E,$E484))</f>
        <v/>
      </c>
      <c r="D484" s="5">
        <f>IF($E484="","",INDEX('Input Transaksi'!$F:$F,$E484))</f>
        <v/>
      </c>
      <c r="E484">
        <f>IFERROR(AGGREGATE(15,6,ROW('Input Transaksi'!$B$5:$B$5000)/('Input Transaksi'!$B$5:$B$5000="JCL AYANI"),ROWS($E$5:E484)),"")</f>
        <v/>
      </c>
      <c r="F484" s="5" t="n"/>
    </row>
    <row r="485">
      <c r="A485" s="10">
        <f>IF($E485="","",INDEX('Input Transaksi'!$A:$A,$E485))</f>
        <v/>
      </c>
      <c r="B485" s="5">
        <f>IF($E485="","",INDEX('Input Transaksi'!$D:$D,$E485))</f>
        <v/>
      </c>
      <c r="C485">
        <f>IF($E485="","",INDEX('Input Transaksi'!$E:$E,$E485))</f>
        <v/>
      </c>
      <c r="D485" s="5">
        <f>IF($E485="","",INDEX('Input Transaksi'!$F:$F,$E485))</f>
        <v/>
      </c>
      <c r="E485">
        <f>IFERROR(AGGREGATE(15,6,ROW('Input Transaksi'!$B$5:$B$5000)/('Input Transaksi'!$B$5:$B$5000="JCL AYANI"),ROWS($E$5:E485)),"")</f>
        <v/>
      </c>
      <c r="F485" s="5" t="n"/>
    </row>
    <row r="486">
      <c r="A486" s="10">
        <f>IF($E486="","",INDEX('Input Transaksi'!$A:$A,$E486))</f>
        <v/>
      </c>
      <c r="B486" s="5">
        <f>IF($E486="","",INDEX('Input Transaksi'!$D:$D,$E486))</f>
        <v/>
      </c>
      <c r="C486">
        <f>IF($E486="","",INDEX('Input Transaksi'!$E:$E,$E486))</f>
        <v/>
      </c>
      <c r="D486" s="5">
        <f>IF($E486="","",INDEX('Input Transaksi'!$F:$F,$E486))</f>
        <v/>
      </c>
      <c r="E486">
        <f>IFERROR(AGGREGATE(15,6,ROW('Input Transaksi'!$B$5:$B$5000)/('Input Transaksi'!$B$5:$B$5000="JCL AYANI"),ROWS($E$5:E486)),"")</f>
        <v/>
      </c>
      <c r="F486" s="5" t="n"/>
    </row>
    <row r="487">
      <c r="A487" s="10">
        <f>IF($E487="","",INDEX('Input Transaksi'!$A:$A,$E487))</f>
        <v/>
      </c>
      <c r="B487" s="5">
        <f>IF($E487="","",INDEX('Input Transaksi'!$D:$D,$E487))</f>
        <v/>
      </c>
      <c r="C487">
        <f>IF($E487="","",INDEX('Input Transaksi'!$E:$E,$E487))</f>
        <v/>
      </c>
      <c r="D487" s="5">
        <f>IF($E487="","",INDEX('Input Transaksi'!$F:$F,$E487))</f>
        <v/>
      </c>
      <c r="E487">
        <f>IFERROR(AGGREGATE(15,6,ROW('Input Transaksi'!$B$5:$B$5000)/('Input Transaksi'!$B$5:$B$5000="JCL AYANI"),ROWS($E$5:E487)),"")</f>
        <v/>
      </c>
      <c r="F487" s="5" t="n"/>
    </row>
    <row r="488">
      <c r="A488" s="10">
        <f>IF($E488="","",INDEX('Input Transaksi'!$A:$A,$E488))</f>
        <v/>
      </c>
      <c r="B488" s="5">
        <f>IF($E488="","",INDEX('Input Transaksi'!$D:$D,$E488))</f>
        <v/>
      </c>
      <c r="C488">
        <f>IF($E488="","",INDEX('Input Transaksi'!$E:$E,$E488))</f>
        <v/>
      </c>
      <c r="D488" s="5">
        <f>IF($E488="","",INDEX('Input Transaksi'!$F:$F,$E488))</f>
        <v/>
      </c>
      <c r="E488">
        <f>IFERROR(AGGREGATE(15,6,ROW('Input Transaksi'!$B$5:$B$5000)/('Input Transaksi'!$B$5:$B$5000="JCL AYANI"),ROWS($E$5:E488)),"")</f>
        <v/>
      </c>
      <c r="F488" s="5" t="n"/>
    </row>
    <row r="489">
      <c r="A489" s="10">
        <f>IF($E489="","",INDEX('Input Transaksi'!$A:$A,$E489))</f>
        <v/>
      </c>
      <c r="B489" s="5">
        <f>IF($E489="","",INDEX('Input Transaksi'!$D:$D,$E489))</f>
        <v/>
      </c>
      <c r="C489">
        <f>IF($E489="","",INDEX('Input Transaksi'!$E:$E,$E489))</f>
        <v/>
      </c>
      <c r="D489" s="5">
        <f>IF($E489="","",INDEX('Input Transaksi'!$F:$F,$E489))</f>
        <v/>
      </c>
      <c r="E489">
        <f>IFERROR(AGGREGATE(15,6,ROW('Input Transaksi'!$B$5:$B$5000)/('Input Transaksi'!$B$5:$B$5000="JCL AYANI"),ROWS($E$5:E489)),"")</f>
        <v/>
      </c>
      <c r="F489" s="5" t="n"/>
    </row>
    <row r="490">
      <c r="A490" s="10">
        <f>IF($E490="","",INDEX('Input Transaksi'!$A:$A,$E490))</f>
        <v/>
      </c>
      <c r="B490" s="5">
        <f>IF($E490="","",INDEX('Input Transaksi'!$D:$D,$E490))</f>
        <v/>
      </c>
      <c r="C490">
        <f>IF($E490="","",INDEX('Input Transaksi'!$E:$E,$E490))</f>
        <v/>
      </c>
      <c r="D490" s="5">
        <f>IF($E490="","",INDEX('Input Transaksi'!$F:$F,$E490))</f>
        <v/>
      </c>
      <c r="E490">
        <f>IFERROR(AGGREGATE(15,6,ROW('Input Transaksi'!$B$5:$B$5000)/('Input Transaksi'!$B$5:$B$5000="JCL AYANI"),ROWS($E$5:E490)),"")</f>
        <v/>
      </c>
      <c r="F490" s="5" t="n"/>
    </row>
    <row r="491">
      <c r="A491" s="10">
        <f>IF($E491="","",INDEX('Input Transaksi'!$A:$A,$E491))</f>
        <v/>
      </c>
      <c r="B491" s="5">
        <f>IF($E491="","",INDEX('Input Transaksi'!$D:$D,$E491))</f>
        <v/>
      </c>
      <c r="C491">
        <f>IF($E491="","",INDEX('Input Transaksi'!$E:$E,$E491))</f>
        <v/>
      </c>
      <c r="D491" s="5">
        <f>IF($E491="","",INDEX('Input Transaksi'!$F:$F,$E491))</f>
        <v/>
      </c>
      <c r="E491">
        <f>IFERROR(AGGREGATE(15,6,ROW('Input Transaksi'!$B$5:$B$5000)/('Input Transaksi'!$B$5:$B$5000="JCL AYANI"),ROWS($E$5:E491)),"")</f>
        <v/>
      </c>
      <c r="F491" s="5" t="n"/>
    </row>
    <row r="492">
      <c r="A492" s="10">
        <f>IF($E492="","",INDEX('Input Transaksi'!$A:$A,$E492))</f>
        <v/>
      </c>
      <c r="B492" s="5">
        <f>IF($E492="","",INDEX('Input Transaksi'!$D:$D,$E492))</f>
        <v/>
      </c>
      <c r="C492">
        <f>IF($E492="","",INDEX('Input Transaksi'!$E:$E,$E492))</f>
        <v/>
      </c>
      <c r="D492" s="5">
        <f>IF($E492="","",INDEX('Input Transaksi'!$F:$F,$E492))</f>
        <v/>
      </c>
      <c r="E492">
        <f>IFERROR(AGGREGATE(15,6,ROW('Input Transaksi'!$B$5:$B$5000)/('Input Transaksi'!$B$5:$B$5000="JCL AYANI"),ROWS($E$5:E492)),"")</f>
        <v/>
      </c>
      <c r="F492" s="5" t="n"/>
    </row>
    <row r="493">
      <c r="A493" s="10">
        <f>IF($E493="","",INDEX('Input Transaksi'!$A:$A,$E493))</f>
        <v/>
      </c>
      <c r="B493" s="5">
        <f>IF($E493="","",INDEX('Input Transaksi'!$D:$D,$E493))</f>
        <v/>
      </c>
      <c r="C493">
        <f>IF($E493="","",INDEX('Input Transaksi'!$E:$E,$E493))</f>
        <v/>
      </c>
      <c r="D493" s="5">
        <f>IF($E493="","",INDEX('Input Transaksi'!$F:$F,$E493))</f>
        <v/>
      </c>
      <c r="E493">
        <f>IFERROR(AGGREGATE(15,6,ROW('Input Transaksi'!$B$5:$B$5000)/('Input Transaksi'!$B$5:$B$5000="JCL AYANI"),ROWS($E$5:E493)),"")</f>
        <v/>
      </c>
      <c r="F493" s="5" t="n"/>
    </row>
    <row r="494">
      <c r="A494" s="10">
        <f>IF($E494="","",INDEX('Input Transaksi'!$A:$A,$E494))</f>
        <v/>
      </c>
      <c r="B494" s="5">
        <f>IF($E494="","",INDEX('Input Transaksi'!$D:$D,$E494))</f>
        <v/>
      </c>
      <c r="C494">
        <f>IF($E494="","",INDEX('Input Transaksi'!$E:$E,$E494))</f>
        <v/>
      </c>
      <c r="D494" s="5">
        <f>IF($E494="","",INDEX('Input Transaksi'!$F:$F,$E494))</f>
        <v/>
      </c>
      <c r="E494">
        <f>IFERROR(AGGREGATE(15,6,ROW('Input Transaksi'!$B$5:$B$5000)/('Input Transaksi'!$B$5:$B$5000="JCL AYANI"),ROWS($E$5:E494)),"")</f>
        <v/>
      </c>
      <c r="F494" s="5" t="n"/>
    </row>
    <row r="495">
      <c r="A495" s="10">
        <f>IF($E495="","",INDEX('Input Transaksi'!$A:$A,$E495))</f>
        <v/>
      </c>
      <c r="B495" s="5">
        <f>IF($E495="","",INDEX('Input Transaksi'!$D:$D,$E495))</f>
        <v/>
      </c>
      <c r="C495">
        <f>IF($E495="","",INDEX('Input Transaksi'!$E:$E,$E495))</f>
        <v/>
      </c>
      <c r="D495" s="5">
        <f>IF($E495="","",INDEX('Input Transaksi'!$F:$F,$E495))</f>
        <v/>
      </c>
      <c r="E495">
        <f>IFERROR(AGGREGATE(15,6,ROW('Input Transaksi'!$B$5:$B$5000)/('Input Transaksi'!$B$5:$B$5000="JCL AYANI"),ROWS($E$5:E495)),"")</f>
        <v/>
      </c>
      <c r="F495" s="5" t="n"/>
    </row>
    <row r="496">
      <c r="A496" s="10">
        <f>IF($E496="","",INDEX('Input Transaksi'!$A:$A,$E496))</f>
        <v/>
      </c>
      <c r="B496" s="5">
        <f>IF($E496="","",INDEX('Input Transaksi'!$D:$D,$E496))</f>
        <v/>
      </c>
      <c r="C496">
        <f>IF($E496="","",INDEX('Input Transaksi'!$E:$E,$E496))</f>
        <v/>
      </c>
      <c r="D496" s="5">
        <f>IF($E496="","",INDEX('Input Transaksi'!$F:$F,$E496))</f>
        <v/>
      </c>
      <c r="E496">
        <f>IFERROR(AGGREGATE(15,6,ROW('Input Transaksi'!$B$5:$B$5000)/('Input Transaksi'!$B$5:$B$5000="JCL AYANI"),ROWS($E$5:E496)),"")</f>
        <v/>
      </c>
      <c r="F496" s="5" t="n"/>
    </row>
    <row r="497">
      <c r="A497" s="10">
        <f>IF($E497="","",INDEX('Input Transaksi'!$A:$A,$E497))</f>
        <v/>
      </c>
      <c r="B497" s="5">
        <f>IF($E497="","",INDEX('Input Transaksi'!$D:$D,$E497))</f>
        <v/>
      </c>
      <c r="C497">
        <f>IF($E497="","",INDEX('Input Transaksi'!$E:$E,$E497))</f>
        <v/>
      </c>
      <c r="D497" s="5">
        <f>IF($E497="","",INDEX('Input Transaksi'!$F:$F,$E497))</f>
        <v/>
      </c>
      <c r="E497">
        <f>IFERROR(AGGREGATE(15,6,ROW('Input Transaksi'!$B$5:$B$5000)/('Input Transaksi'!$B$5:$B$5000="JCL AYANI"),ROWS($E$5:E497)),"")</f>
        <v/>
      </c>
      <c r="F497" s="5" t="n"/>
    </row>
    <row r="498">
      <c r="A498" s="10">
        <f>IF($E498="","",INDEX('Input Transaksi'!$A:$A,$E498))</f>
        <v/>
      </c>
      <c r="B498" s="5">
        <f>IF($E498="","",INDEX('Input Transaksi'!$D:$D,$E498))</f>
        <v/>
      </c>
      <c r="C498">
        <f>IF($E498="","",INDEX('Input Transaksi'!$E:$E,$E498))</f>
        <v/>
      </c>
      <c r="D498" s="5">
        <f>IF($E498="","",INDEX('Input Transaksi'!$F:$F,$E498))</f>
        <v/>
      </c>
      <c r="E498">
        <f>IFERROR(AGGREGATE(15,6,ROW('Input Transaksi'!$B$5:$B$5000)/('Input Transaksi'!$B$5:$B$5000="JCL AYANI"),ROWS($E$5:E498)),"")</f>
        <v/>
      </c>
      <c r="F498" s="5" t="n"/>
    </row>
    <row r="499">
      <c r="A499" s="10">
        <f>IF($E499="","",INDEX('Input Transaksi'!$A:$A,$E499))</f>
        <v/>
      </c>
      <c r="B499" s="5">
        <f>IF($E499="","",INDEX('Input Transaksi'!$D:$D,$E499))</f>
        <v/>
      </c>
      <c r="C499">
        <f>IF($E499="","",INDEX('Input Transaksi'!$E:$E,$E499))</f>
        <v/>
      </c>
      <c r="D499" s="5">
        <f>IF($E499="","",INDEX('Input Transaksi'!$F:$F,$E499))</f>
        <v/>
      </c>
      <c r="E499">
        <f>IFERROR(AGGREGATE(15,6,ROW('Input Transaksi'!$B$5:$B$5000)/('Input Transaksi'!$B$5:$B$5000="JCL AYANI"),ROWS($E$5:E499)),"")</f>
        <v/>
      </c>
      <c r="F499" s="5" t="n"/>
    </row>
    <row r="500">
      <c r="A500" s="10">
        <f>IF($E500="","",INDEX('Input Transaksi'!$A:$A,$E500))</f>
        <v/>
      </c>
      <c r="B500" s="5">
        <f>IF($E500="","",INDEX('Input Transaksi'!$D:$D,$E500))</f>
        <v/>
      </c>
      <c r="C500">
        <f>IF($E500="","",INDEX('Input Transaksi'!$E:$E,$E500))</f>
        <v/>
      </c>
      <c r="D500" s="5">
        <f>IF($E500="","",INDEX('Input Transaksi'!$F:$F,$E500))</f>
        <v/>
      </c>
      <c r="E500">
        <f>IFERROR(AGGREGATE(15,6,ROW('Input Transaksi'!$B$5:$B$5000)/('Input Transaksi'!$B$5:$B$5000="JCL AYANI"),ROWS($E$5:E500)),"")</f>
        <v/>
      </c>
      <c r="F500" s="5" t="n"/>
    </row>
    <row r="501">
      <c r="A501" s="10">
        <f>IF($E501="","",INDEX('Input Transaksi'!$A:$A,$E501))</f>
        <v/>
      </c>
      <c r="B501" s="5">
        <f>IF($E501="","",INDEX('Input Transaksi'!$D:$D,$E501))</f>
        <v/>
      </c>
      <c r="C501">
        <f>IF($E501="","",INDEX('Input Transaksi'!$E:$E,$E501))</f>
        <v/>
      </c>
      <c r="D501" s="5">
        <f>IF($E501="","",INDEX('Input Transaksi'!$F:$F,$E501))</f>
        <v/>
      </c>
      <c r="E501">
        <f>IFERROR(AGGREGATE(15,6,ROW('Input Transaksi'!$B$5:$B$5000)/('Input Transaksi'!$B$5:$B$5000="JCL AYANI"),ROWS($E$5:E501)),"")</f>
        <v/>
      </c>
      <c r="F501" s="5" t="n"/>
    </row>
    <row r="502">
      <c r="A502" s="10">
        <f>IF($E502="","",INDEX('Input Transaksi'!$A:$A,$E502))</f>
        <v/>
      </c>
      <c r="B502" s="5">
        <f>IF($E502="","",INDEX('Input Transaksi'!$D:$D,$E502))</f>
        <v/>
      </c>
      <c r="C502">
        <f>IF($E502="","",INDEX('Input Transaksi'!$E:$E,$E502))</f>
        <v/>
      </c>
      <c r="D502" s="5">
        <f>IF($E502="","",INDEX('Input Transaksi'!$F:$F,$E502))</f>
        <v/>
      </c>
      <c r="E502">
        <f>IFERROR(AGGREGATE(15,6,ROW('Input Transaksi'!$B$5:$B$5000)/('Input Transaksi'!$B$5:$B$5000="JCL AYANI"),ROWS($E$5:E502)),"")</f>
        <v/>
      </c>
      <c r="F502" s="5" t="n"/>
    </row>
    <row r="503">
      <c r="A503" s="10">
        <f>IF($E503="","",INDEX('Input Transaksi'!$A:$A,$E503))</f>
        <v/>
      </c>
      <c r="B503" s="5">
        <f>IF($E503="","",INDEX('Input Transaksi'!$D:$D,$E503))</f>
        <v/>
      </c>
      <c r="C503">
        <f>IF($E503="","",INDEX('Input Transaksi'!$E:$E,$E503))</f>
        <v/>
      </c>
      <c r="D503" s="5">
        <f>IF($E503="","",INDEX('Input Transaksi'!$F:$F,$E503))</f>
        <v/>
      </c>
      <c r="E503">
        <f>IFERROR(AGGREGATE(15,6,ROW('Input Transaksi'!$B$5:$B$5000)/('Input Transaksi'!$B$5:$B$5000="JCL AYANI"),ROWS($E$5:E503)),"")</f>
        <v/>
      </c>
      <c r="F503" s="5" t="n"/>
    </row>
    <row r="504">
      <c r="A504" s="10">
        <f>IF($E504="","",INDEX('Input Transaksi'!$A:$A,$E504))</f>
        <v/>
      </c>
      <c r="B504" s="5">
        <f>IF($E504="","",INDEX('Input Transaksi'!$D:$D,$E504))</f>
        <v/>
      </c>
      <c r="C504">
        <f>IF($E504="","",INDEX('Input Transaksi'!$E:$E,$E504))</f>
        <v/>
      </c>
      <c r="D504" s="5">
        <f>IF($E504="","",INDEX('Input Transaksi'!$F:$F,$E504))</f>
        <v/>
      </c>
      <c r="E504">
        <f>IFERROR(AGGREGATE(15,6,ROW('Input Transaksi'!$B$5:$B$5000)/('Input Transaksi'!$B$5:$B$5000="JCL AYANI"),ROWS($E$5:E504)),"")</f>
        <v/>
      </c>
      <c r="F504" s="5" t="n"/>
    </row>
    <row r="505">
      <c r="A505" s="10">
        <f>IF($E505="","",INDEX('Input Transaksi'!$A:$A,$E505))</f>
        <v/>
      </c>
      <c r="B505" s="5">
        <f>IF($E505="","",INDEX('Input Transaksi'!$D:$D,$E505))</f>
        <v/>
      </c>
      <c r="C505">
        <f>IF($E505="","",INDEX('Input Transaksi'!$E:$E,$E505))</f>
        <v/>
      </c>
      <c r="D505" s="5">
        <f>IF($E505="","",INDEX('Input Transaksi'!$F:$F,$E505))</f>
        <v/>
      </c>
      <c r="E505">
        <f>IFERROR(AGGREGATE(15,6,ROW('Input Transaksi'!$B$5:$B$5000)/('Input Transaksi'!$B$5:$B$5000="JCL AYANI"),ROWS($E$5:E505)),"")</f>
        <v/>
      </c>
      <c r="F505" s="5" t="n"/>
    </row>
    <row r="506">
      <c r="A506" s="10">
        <f>IF($E506="","",INDEX('Input Transaksi'!$A:$A,$E506))</f>
        <v/>
      </c>
      <c r="B506" s="5">
        <f>IF($E506="","",INDEX('Input Transaksi'!$D:$D,$E506))</f>
        <v/>
      </c>
      <c r="C506">
        <f>IF($E506="","",INDEX('Input Transaksi'!$E:$E,$E506))</f>
        <v/>
      </c>
      <c r="D506" s="5">
        <f>IF($E506="","",INDEX('Input Transaksi'!$F:$F,$E506))</f>
        <v/>
      </c>
      <c r="E506">
        <f>IFERROR(AGGREGATE(15,6,ROW('Input Transaksi'!$B$5:$B$5000)/('Input Transaksi'!$B$5:$B$5000="JCL AYANI"),ROWS($E$5:E506)),"")</f>
        <v/>
      </c>
      <c r="F506" s="5" t="n"/>
    </row>
    <row r="507">
      <c r="A507" s="10">
        <f>IF($E507="","",INDEX('Input Transaksi'!$A:$A,$E507))</f>
        <v/>
      </c>
      <c r="B507" s="5">
        <f>IF($E507="","",INDEX('Input Transaksi'!$D:$D,$E507))</f>
        <v/>
      </c>
      <c r="C507">
        <f>IF($E507="","",INDEX('Input Transaksi'!$E:$E,$E507))</f>
        <v/>
      </c>
      <c r="D507" s="5">
        <f>IF($E507="","",INDEX('Input Transaksi'!$F:$F,$E507))</f>
        <v/>
      </c>
      <c r="E507">
        <f>IFERROR(AGGREGATE(15,6,ROW('Input Transaksi'!$B$5:$B$5000)/('Input Transaksi'!$B$5:$B$5000="JCL AYANI"),ROWS($E$5:E507)),"")</f>
        <v/>
      </c>
      <c r="F507" s="5" t="n"/>
    </row>
    <row r="508">
      <c r="A508" s="10">
        <f>IF($E508="","",INDEX('Input Transaksi'!$A:$A,$E508))</f>
        <v/>
      </c>
      <c r="B508" s="5">
        <f>IF($E508="","",INDEX('Input Transaksi'!$D:$D,$E508))</f>
        <v/>
      </c>
      <c r="C508">
        <f>IF($E508="","",INDEX('Input Transaksi'!$E:$E,$E508))</f>
        <v/>
      </c>
      <c r="D508" s="5">
        <f>IF($E508="","",INDEX('Input Transaksi'!$F:$F,$E508))</f>
        <v/>
      </c>
      <c r="E508">
        <f>IFERROR(AGGREGATE(15,6,ROW('Input Transaksi'!$B$5:$B$5000)/('Input Transaksi'!$B$5:$B$5000="JCL AYANI"),ROWS($E$5:E508)),"")</f>
        <v/>
      </c>
      <c r="F508" s="5" t="n"/>
    </row>
    <row r="509">
      <c r="A509" s="10">
        <f>IF($E509="","",INDEX('Input Transaksi'!$A:$A,$E509))</f>
        <v/>
      </c>
      <c r="B509" s="5">
        <f>IF($E509="","",INDEX('Input Transaksi'!$D:$D,$E509))</f>
        <v/>
      </c>
      <c r="C509">
        <f>IF($E509="","",INDEX('Input Transaksi'!$E:$E,$E509))</f>
        <v/>
      </c>
      <c r="D509" s="5">
        <f>IF($E509="","",INDEX('Input Transaksi'!$F:$F,$E509))</f>
        <v/>
      </c>
      <c r="E509">
        <f>IFERROR(AGGREGATE(15,6,ROW('Input Transaksi'!$B$5:$B$5000)/('Input Transaksi'!$B$5:$B$5000="JCL AYANI"),ROWS($E$5:E509)),"")</f>
        <v/>
      </c>
      <c r="F509" s="5" t="n"/>
    </row>
    <row r="510">
      <c r="A510" s="10">
        <f>IF($E510="","",INDEX('Input Transaksi'!$A:$A,$E510))</f>
        <v/>
      </c>
      <c r="B510" s="5">
        <f>IF($E510="","",INDEX('Input Transaksi'!$D:$D,$E510))</f>
        <v/>
      </c>
      <c r="C510">
        <f>IF($E510="","",INDEX('Input Transaksi'!$E:$E,$E510))</f>
        <v/>
      </c>
      <c r="D510" s="5">
        <f>IF($E510="","",INDEX('Input Transaksi'!$F:$F,$E510))</f>
        <v/>
      </c>
      <c r="E510">
        <f>IFERROR(AGGREGATE(15,6,ROW('Input Transaksi'!$B$5:$B$5000)/('Input Transaksi'!$B$5:$B$5000="JCL AYANI"),ROWS($E$5:E510)),"")</f>
        <v/>
      </c>
      <c r="F510" s="5" t="n"/>
    </row>
    <row r="511">
      <c r="A511" s="10">
        <f>IF($E511="","",INDEX('Input Transaksi'!$A:$A,$E511))</f>
        <v/>
      </c>
      <c r="B511" s="5">
        <f>IF($E511="","",INDEX('Input Transaksi'!$D:$D,$E511))</f>
        <v/>
      </c>
      <c r="C511">
        <f>IF($E511="","",INDEX('Input Transaksi'!$E:$E,$E511))</f>
        <v/>
      </c>
      <c r="D511" s="5">
        <f>IF($E511="","",INDEX('Input Transaksi'!$F:$F,$E511))</f>
        <v/>
      </c>
      <c r="E511">
        <f>IFERROR(AGGREGATE(15,6,ROW('Input Transaksi'!$B$5:$B$5000)/('Input Transaksi'!$B$5:$B$5000="JCL AYANI"),ROWS($E$5:E511)),"")</f>
        <v/>
      </c>
      <c r="F511" s="5" t="n"/>
    </row>
    <row r="512">
      <c r="A512" s="10">
        <f>IF($E512="","",INDEX('Input Transaksi'!$A:$A,$E512))</f>
        <v/>
      </c>
      <c r="B512" s="5">
        <f>IF($E512="","",INDEX('Input Transaksi'!$D:$D,$E512))</f>
        <v/>
      </c>
      <c r="C512">
        <f>IF($E512="","",INDEX('Input Transaksi'!$E:$E,$E512))</f>
        <v/>
      </c>
      <c r="D512" s="5">
        <f>IF($E512="","",INDEX('Input Transaksi'!$F:$F,$E512))</f>
        <v/>
      </c>
      <c r="E512">
        <f>IFERROR(AGGREGATE(15,6,ROW('Input Transaksi'!$B$5:$B$5000)/('Input Transaksi'!$B$5:$B$5000="JCL AYANI"),ROWS($E$5:E512)),"")</f>
        <v/>
      </c>
      <c r="F512" s="5" t="n"/>
    </row>
    <row r="513">
      <c r="A513" s="10">
        <f>IF($E513="","",INDEX('Input Transaksi'!$A:$A,$E513))</f>
        <v/>
      </c>
      <c r="B513" s="5">
        <f>IF($E513="","",INDEX('Input Transaksi'!$D:$D,$E513))</f>
        <v/>
      </c>
      <c r="C513">
        <f>IF($E513="","",INDEX('Input Transaksi'!$E:$E,$E513))</f>
        <v/>
      </c>
      <c r="D513" s="5">
        <f>IF($E513="","",INDEX('Input Transaksi'!$F:$F,$E513))</f>
        <v/>
      </c>
      <c r="E513">
        <f>IFERROR(AGGREGATE(15,6,ROW('Input Transaksi'!$B$5:$B$5000)/('Input Transaksi'!$B$5:$B$5000="JCL AYANI"),ROWS($E$5:E513)),"")</f>
        <v/>
      </c>
      <c r="F513" s="5" t="n"/>
    </row>
    <row r="514">
      <c r="A514" s="10">
        <f>IF($E514="","",INDEX('Input Transaksi'!$A:$A,$E514))</f>
        <v/>
      </c>
      <c r="B514" s="5">
        <f>IF($E514="","",INDEX('Input Transaksi'!$D:$D,$E514))</f>
        <v/>
      </c>
      <c r="C514">
        <f>IF($E514="","",INDEX('Input Transaksi'!$E:$E,$E514))</f>
        <v/>
      </c>
      <c r="D514" s="5">
        <f>IF($E514="","",INDEX('Input Transaksi'!$F:$F,$E514))</f>
        <v/>
      </c>
      <c r="E514">
        <f>IFERROR(AGGREGATE(15,6,ROW('Input Transaksi'!$B$5:$B$5000)/('Input Transaksi'!$B$5:$B$5000="JCL AYANI"),ROWS($E$5:E514)),"")</f>
        <v/>
      </c>
      <c r="F514" s="5" t="n"/>
    </row>
    <row r="515">
      <c r="A515" s="10">
        <f>IF($E515="","",INDEX('Input Transaksi'!$A:$A,$E515))</f>
        <v/>
      </c>
      <c r="B515" s="5">
        <f>IF($E515="","",INDEX('Input Transaksi'!$D:$D,$E515))</f>
        <v/>
      </c>
      <c r="C515">
        <f>IF($E515="","",INDEX('Input Transaksi'!$E:$E,$E515))</f>
        <v/>
      </c>
      <c r="D515" s="5">
        <f>IF($E515="","",INDEX('Input Transaksi'!$F:$F,$E515))</f>
        <v/>
      </c>
      <c r="E515">
        <f>IFERROR(AGGREGATE(15,6,ROW('Input Transaksi'!$B$5:$B$5000)/('Input Transaksi'!$B$5:$B$5000="JCL AYANI"),ROWS($E$5:E515)),"")</f>
        <v/>
      </c>
      <c r="F515" s="5" t="n"/>
    </row>
    <row r="516">
      <c r="A516" s="10">
        <f>IF($E516="","",INDEX('Input Transaksi'!$A:$A,$E516))</f>
        <v/>
      </c>
      <c r="B516" s="5">
        <f>IF($E516="","",INDEX('Input Transaksi'!$D:$D,$E516))</f>
        <v/>
      </c>
      <c r="C516">
        <f>IF($E516="","",INDEX('Input Transaksi'!$E:$E,$E516))</f>
        <v/>
      </c>
      <c r="D516" s="5">
        <f>IF($E516="","",INDEX('Input Transaksi'!$F:$F,$E516))</f>
        <v/>
      </c>
      <c r="E516">
        <f>IFERROR(AGGREGATE(15,6,ROW('Input Transaksi'!$B$5:$B$5000)/('Input Transaksi'!$B$5:$B$5000="JCL AYANI"),ROWS($E$5:E516)),"")</f>
        <v/>
      </c>
      <c r="F516" s="5" t="n"/>
    </row>
    <row r="517">
      <c r="A517" s="10">
        <f>IF($E517="","",INDEX('Input Transaksi'!$A:$A,$E517))</f>
        <v/>
      </c>
      <c r="B517" s="5">
        <f>IF($E517="","",INDEX('Input Transaksi'!$D:$D,$E517))</f>
        <v/>
      </c>
      <c r="C517">
        <f>IF($E517="","",INDEX('Input Transaksi'!$E:$E,$E517))</f>
        <v/>
      </c>
      <c r="D517" s="5">
        <f>IF($E517="","",INDEX('Input Transaksi'!$F:$F,$E517))</f>
        <v/>
      </c>
      <c r="E517">
        <f>IFERROR(AGGREGATE(15,6,ROW('Input Transaksi'!$B$5:$B$5000)/('Input Transaksi'!$B$5:$B$5000="JCL AYANI"),ROWS($E$5:E517)),"")</f>
        <v/>
      </c>
      <c r="F517" s="5" t="n"/>
    </row>
    <row r="518">
      <c r="A518" s="10">
        <f>IF($E518="","",INDEX('Input Transaksi'!$A:$A,$E518))</f>
        <v/>
      </c>
      <c r="B518" s="5">
        <f>IF($E518="","",INDEX('Input Transaksi'!$D:$D,$E518))</f>
        <v/>
      </c>
      <c r="C518">
        <f>IF($E518="","",INDEX('Input Transaksi'!$E:$E,$E518))</f>
        <v/>
      </c>
      <c r="D518" s="5">
        <f>IF($E518="","",INDEX('Input Transaksi'!$F:$F,$E518))</f>
        <v/>
      </c>
      <c r="E518">
        <f>IFERROR(AGGREGATE(15,6,ROW('Input Transaksi'!$B$5:$B$5000)/('Input Transaksi'!$B$5:$B$5000="JCL AYANI"),ROWS($E$5:E518)),"")</f>
        <v/>
      </c>
      <c r="F518" s="5" t="n"/>
    </row>
    <row r="519">
      <c r="A519" s="10">
        <f>IF($E519="","",INDEX('Input Transaksi'!$A:$A,$E519))</f>
        <v/>
      </c>
      <c r="B519" s="5">
        <f>IF($E519="","",INDEX('Input Transaksi'!$D:$D,$E519))</f>
        <v/>
      </c>
      <c r="C519">
        <f>IF($E519="","",INDEX('Input Transaksi'!$E:$E,$E519))</f>
        <v/>
      </c>
      <c r="D519" s="5">
        <f>IF($E519="","",INDEX('Input Transaksi'!$F:$F,$E519))</f>
        <v/>
      </c>
      <c r="E519">
        <f>IFERROR(AGGREGATE(15,6,ROW('Input Transaksi'!$B$5:$B$5000)/('Input Transaksi'!$B$5:$B$5000="JCL AYANI"),ROWS($E$5:E519)),"")</f>
        <v/>
      </c>
      <c r="F519" s="5" t="n"/>
    </row>
    <row r="520">
      <c r="A520" s="10">
        <f>IF($E520="","",INDEX('Input Transaksi'!$A:$A,$E520))</f>
        <v/>
      </c>
      <c r="B520" s="5">
        <f>IF($E520="","",INDEX('Input Transaksi'!$D:$D,$E520))</f>
        <v/>
      </c>
      <c r="C520">
        <f>IF($E520="","",INDEX('Input Transaksi'!$E:$E,$E520))</f>
        <v/>
      </c>
      <c r="D520" s="5">
        <f>IF($E520="","",INDEX('Input Transaksi'!$F:$F,$E520))</f>
        <v/>
      </c>
      <c r="E520">
        <f>IFERROR(AGGREGATE(15,6,ROW('Input Transaksi'!$B$5:$B$5000)/('Input Transaksi'!$B$5:$B$5000="JCL AYANI"),ROWS($E$5:E520)),"")</f>
        <v/>
      </c>
      <c r="F520" s="5" t="n"/>
    </row>
    <row r="521">
      <c r="A521" s="10">
        <f>IF($E521="","",INDEX('Input Transaksi'!$A:$A,$E521))</f>
        <v/>
      </c>
      <c r="B521" s="5">
        <f>IF($E521="","",INDEX('Input Transaksi'!$D:$D,$E521))</f>
        <v/>
      </c>
      <c r="C521">
        <f>IF($E521="","",INDEX('Input Transaksi'!$E:$E,$E521))</f>
        <v/>
      </c>
      <c r="D521" s="5">
        <f>IF($E521="","",INDEX('Input Transaksi'!$F:$F,$E521))</f>
        <v/>
      </c>
      <c r="E521">
        <f>IFERROR(AGGREGATE(15,6,ROW('Input Transaksi'!$B$5:$B$5000)/('Input Transaksi'!$B$5:$B$5000="JCL AYANI"),ROWS($E$5:E521)),"")</f>
        <v/>
      </c>
      <c r="F521" s="5" t="n"/>
    </row>
    <row r="522">
      <c r="A522" s="10">
        <f>IF($E522="","",INDEX('Input Transaksi'!$A:$A,$E522))</f>
        <v/>
      </c>
      <c r="B522" s="5">
        <f>IF($E522="","",INDEX('Input Transaksi'!$D:$D,$E522))</f>
        <v/>
      </c>
      <c r="C522">
        <f>IF($E522="","",INDEX('Input Transaksi'!$E:$E,$E522))</f>
        <v/>
      </c>
      <c r="D522" s="5">
        <f>IF($E522="","",INDEX('Input Transaksi'!$F:$F,$E522))</f>
        <v/>
      </c>
      <c r="E522">
        <f>IFERROR(AGGREGATE(15,6,ROW('Input Transaksi'!$B$5:$B$5000)/('Input Transaksi'!$B$5:$B$5000="JCL AYANI"),ROWS($E$5:E522)),"")</f>
        <v/>
      </c>
      <c r="F522" s="5" t="n"/>
    </row>
    <row r="523">
      <c r="A523" s="10">
        <f>IF($E523="","",INDEX('Input Transaksi'!$A:$A,$E523))</f>
        <v/>
      </c>
      <c r="B523" s="5">
        <f>IF($E523="","",INDEX('Input Transaksi'!$D:$D,$E523))</f>
        <v/>
      </c>
      <c r="C523">
        <f>IF($E523="","",INDEX('Input Transaksi'!$E:$E,$E523))</f>
        <v/>
      </c>
      <c r="D523" s="5">
        <f>IF($E523="","",INDEX('Input Transaksi'!$F:$F,$E523))</f>
        <v/>
      </c>
      <c r="E523">
        <f>IFERROR(AGGREGATE(15,6,ROW('Input Transaksi'!$B$5:$B$5000)/('Input Transaksi'!$B$5:$B$5000="JCL AYANI"),ROWS($E$5:E523)),"")</f>
        <v/>
      </c>
      <c r="F523" s="5" t="n"/>
    </row>
    <row r="524">
      <c r="A524" s="10">
        <f>IF($E524="","",INDEX('Input Transaksi'!$A:$A,$E524))</f>
        <v/>
      </c>
      <c r="B524" s="5">
        <f>IF($E524="","",INDEX('Input Transaksi'!$D:$D,$E524))</f>
        <v/>
      </c>
      <c r="C524">
        <f>IF($E524="","",INDEX('Input Transaksi'!$E:$E,$E524))</f>
        <v/>
      </c>
      <c r="D524" s="5">
        <f>IF($E524="","",INDEX('Input Transaksi'!$F:$F,$E524))</f>
        <v/>
      </c>
      <c r="E524">
        <f>IFERROR(AGGREGATE(15,6,ROW('Input Transaksi'!$B$5:$B$5000)/('Input Transaksi'!$B$5:$B$5000="JCL AYANI"),ROWS($E$5:E524)),"")</f>
        <v/>
      </c>
      <c r="F524" s="5" t="n"/>
    </row>
    <row r="525">
      <c r="A525" s="10">
        <f>IF($E525="","",INDEX('Input Transaksi'!$A:$A,$E525))</f>
        <v/>
      </c>
      <c r="B525" s="5">
        <f>IF($E525="","",INDEX('Input Transaksi'!$D:$D,$E525))</f>
        <v/>
      </c>
      <c r="C525">
        <f>IF($E525="","",INDEX('Input Transaksi'!$E:$E,$E525))</f>
        <v/>
      </c>
      <c r="D525" s="5">
        <f>IF($E525="","",INDEX('Input Transaksi'!$F:$F,$E525))</f>
        <v/>
      </c>
      <c r="E525">
        <f>IFERROR(AGGREGATE(15,6,ROW('Input Transaksi'!$B$5:$B$5000)/('Input Transaksi'!$B$5:$B$5000="JCL AYANI"),ROWS($E$5:E525)),"")</f>
        <v/>
      </c>
      <c r="F525" s="5" t="n"/>
    </row>
    <row r="526">
      <c r="A526" s="10">
        <f>IF($E526="","",INDEX('Input Transaksi'!$A:$A,$E526))</f>
        <v/>
      </c>
      <c r="B526" s="5">
        <f>IF($E526="","",INDEX('Input Transaksi'!$D:$D,$E526))</f>
        <v/>
      </c>
      <c r="C526">
        <f>IF($E526="","",INDEX('Input Transaksi'!$E:$E,$E526))</f>
        <v/>
      </c>
      <c r="D526" s="5">
        <f>IF($E526="","",INDEX('Input Transaksi'!$F:$F,$E526))</f>
        <v/>
      </c>
      <c r="E526">
        <f>IFERROR(AGGREGATE(15,6,ROW('Input Transaksi'!$B$5:$B$5000)/('Input Transaksi'!$B$5:$B$5000="JCL AYANI"),ROWS($E$5:E526)),"")</f>
        <v/>
      </c>
      <c r="F526" s="5" t="n"/>
    </row>
    <row r="527">
      <c r="A527" s="10">
        <f>IF($E527="","",INDEX('Input Transaksi'!$A:$A,$E527))</f>
        <v/>
      </c>
      <c r="B527" s="5">
        <f>IF($E527="","",INDEX('Input Transaksi'!$D:$D,$E527))</f>
        <v/>
      </c>
      <c r="C527">
        <f>IF($E527="","",INDEX('Input Transaksi'!$E:$E,$E527))</f>
        <v/>
      </c>
      <c r="D527" s="5">
        <f>IF($E527="","",INDEX('Input Transaksi'!$F:$F,$E527))</f>
        <v/>
      </c>
      <c r="E527">
        <f>IFERROR(AGGREGATE(15,6,ROW('Input Transaksi'!$B$5:$B$5000)/('Input Transaksi'!$B$5:$B$5000="JCL AYANI"),ROWS($E$5:E527)),"")</f>
        <v/>
      </c>
      <c r="F527" s="5" t="n"/>
    </row>
    <row r="528">
      <c r="A528" s="10">
        <f>IF($E528="","",INDEX('Input Transaksi'!$A:$A,$E528))</f>
        <v/>
      </c>
      <c r="B528" s="5">
        <f>IF($E528="","",INDEX('Input Transaksi'!$D:$D,$E528))</f>
        <v/>
      </c>
      <c r="C528">
        <f>IF($E528="","",INDEX('Input Transaksi'!$E:$E,$E528))</f>
        <v/>
      </c>
      <c r="D528" s="5">
        <f>IF($E528="","",INDEX('Input Transaksi'!$F:$F,$E528))</f>
        <v/>
      </c>
      <c r="E528">
        <f>IFERROR(AGGREGATE(15,6,ROW('Input Transaksi'!$B$5:$B$5000)/('Input Transaksi'!$B$5:$B$5000="JCL AYANI"),ROWS($E$5:E528)),"")</f>
        <v/>
      </c>
      <c r="F528" s="5" t="n"/>
    </row>
    <row r="529">
      <c r="A529" s="10">
        <f>IF($E529="","",INDEX('Input Transaksi'!$A:$A,$E529))</f>
        <v/>
      </c>
      <c r="B529" s="5">
        <f>IF($E529="","",INDEX('Input Transaksi'!$D:$D,$E529))</f>
        <v/>
      </c>
      <c r="C529">
        <f>IF($E529="","",INDEX('Input Transaksi'!$E:$E,$E529))</f>
        <v/>
      </c>
      <c r="D529" s="5">
        <f>IF($E529="","",INDEX('Input Transaksi'!$F:$F,$E529))</f>
        <v/>
      </c>
      <c r="E529">
        <f>IFERROR(AGGREGATE(15,6,ROW('Input Transaksi'!$B$5:$B$5000)/('Input Transaksi'!$B$5:$B$5000="JCL AYANI"),ROWS($E$5:E529)),"")</f>
        <v/>
      </c>
      <c r="F529" s="5" t="n"/>
    </row>
    <row r="530">
      <c r="A530" s="10">
        <f>IF($E530="","",INDEX('Input Transaksi'!$A:$A,$E530))</f>
        <v/>
      </c>
      <c r="B530" s="5">
        <f>IF($E530="","",INDEX('Input Transaksi'!$D:$D,$E530))</f>
        <v/>
      </c>
      <c r="C530">
        <f>IF($E530="","",INDEX('Input Transaksi'!$E:$E,$E530))</f>
        <v/>
      </c>
      <c r="D530" s="5">
        <f>IF($E530="","",INDEX('Input Transaksi'!$F:$F,$E530))</f>
        <v/>
      </c>
      <c r="E530">
        <f>IFERROR(AGGREGATE(15,6,ROW('Input Transaksi'!$B$5:$B$5000)/('Input Transaksi'!$B$5:$B$5000="JCL AYANI"),ROWS($E$5:E530)),"")</f>
        <v/>
      </c>
      <c r="F530" s="5" t="n"/>
    </row>
    <row r="531">
      <c r="A531" s="10">
        <f>IF($E531="","",INDEX('Input Transaksi'!$A:$A,$E531))</f>
        <v/>
      </c>
      <c r="B531" s="5">
        <f>IF($E531="","",INDEX('Input Transaksi'!$D:$D,$E531))</f>
        <v/>
      </c>
      <c r="C531">
        <f>IF($E531="","",INDEX('Input Transaksi'!$E:$E,$E531))</f>
        <v/>
      </c>
      <c r="D531" s="5">
        <f>IF($E531="","",INDEX('Input Transaksi'!$F:$F,$E531))</f>
        <v/>
      </c>
      <c r="E531">
        <f>IFERROR(AGGREGATE(15,6,ROW('Input Transaksi'!$B$5:$B$5000)/('Input Transaksi'!$B$5:$B$5000="JCL AYANI"),ROWS($E$5:E531)),"")</f>
        <v/>
      </c>
      <c r="F531" s="5" t="n"/>
    </row>
    <row r="532">
      <c r="A532" s="10">
        <f>IF($E532="","",INDEX('Input Transaksi'!$A:$A,$E532))</f>
        <v/>
      </c>
      <c r="B532" s="5">
        <f>IF($E532="","",INDEX('Input Transaksi'!$D:$D,$E532))</f>
        <v/>
      </c>
      <c r="C532">
        <f>IF($E532="","",INDEX('Input Transaksi'!$E:$E,$E532))</f>
        <v/>
      </c>
      <c r="D532" s="5">
        <f>IF($E532="","",INDEX('Input Transaksi'!$F:$F,$E532))</f>
        <v/>
      </c>
      <c r="E532">
        <f>IFERROR(AGGREGATE(15,6,ROW('Input Transaksi'!$B$5:$B$5000)/('Input Transaksi'!$B$5:$B$5000="JCL AYANI"),ROWS($E$5:E532)),"")</f>
        <v/>
      </c>
      <c r="F532" s="5" t="n"/>
    </row>
    <row r="533">
      <c r="A533" s="10">
        <f>IF($E533="","",INDEX('Input Transaksi'!$A:$A,$E533))</f>
        <v/>
      </c>
      <c r="B533" s="5">
        <f>IF($E533="","",INDEX('Input Transaksi'!$D:$D,$E533))</f>
        <v/>
      </c>
      <c r="C533">
        <f>IF($E533="","",INDEX('Input Transaksi'!$E:$E,$E533))</f>
        <v/>
      </c>
      <c r="D533" s="5">
        <f>IF($E533="","",INDEX('Input Transaksi'!$F:$F,$E533))</f>
        <v/>
      </c>
      <c r="E533">
        <f>IFERROR(AGGREGATE(15,6,ROW('Input Transaksi'!$B$5:$B$5000)/('Input Transaksi'!$B$5:$B$5000="JCL AYANI"),ROWS($E$5:E533)),"")</f>
        <v/>
      </c>
      <c r="F533" s="5" t="n"/>
    </row>
    <row r="534">
      <c r="A534" s="10">
        <f>IF($E534="","",INDEX('Input Transaksi'!$A:$A,$E534))</f>
        <v/>
      </c>
      <c r="B534" s="5">
        <f>IF($E534="","",INDEX('Input Transaksi'!$D:$D,$E534))</f>
        <v/>
      </c>
      <c r="C534">
        <f>IF($E534="","",INDEX('Input Transaksi'!$E:$E,$E534))</f>
        <v/>
      </c>
      <c r="D534" s="5">
        <f>IF($E534="","",INDEX('Input Transaksi'!$F:$F,$E534))</f>
        <v/>
      </c>
      <c r="E534">
        <f>IFERROR(AGGREGATE(15,6,ROW('Input Transaksi'!$B$5:$B$5000)/('Input Transaksi'!$B$5:$B$5000="JCL AYANI"),ROWS($E$5:E534)),"")</f>
        <v/>
      </c>
      <c r="F534" s="5" t="n"/>
    </row>
    <row r="535">
      <c r="A535" s="10">
        <f>IF($E535="","",INDEX('Input Transaksi'!$A:$A,$E535))</f>
        <v/>
      </c>
      <c r="B535" s="5">
        <f>IF($E535="","",INDEX('Input Transaksi'!$D:$D,$E535))</f>
        <v/>
      </c>
      <c r="C535">
        <f>IF($E535="","",INDEX('Input Transaksi'!$E:$E,$E535))</f>
        <v/>
      </c>
      <c r="D535" s="5">
        <f>IF($E535="","",INDEX('Input Transaksi'!$F:$F,$E535))</f>
        <v/>
      </c>
      <c r="E535">
        <f>IFERROR(AGGREGATE(15,6,ROW('Input Transaksi'!$B$5:$B$5000)/('Input Transaksi'!$B$5:$B$5000="JCL AYANI"),ROWS($E$5:E535)),"")</f>
        <v/>
      </c>
      <c r="F535" s="5" t="n"/>
    </row>
    <row r="536">
      <c r="A536" s="10">
        <f>IF($E536="","",INDEX('Input Transaksi'!$A:$A,$E536))</f>
        <v/>
      </c>
      <c r="B536" s="5">
        <f>IF($E536="","",INDEX('Input Transaksi'!$D:$D,$E536))</f>
        <v/>
      </c>
      <c r="C536">
        <f>IF($E536="","",INDEX('Input Transaksi'!$E:$E,$E536))</f>
        <v/>
      </c>
      <c r="D536" s="5">
        <f>IF($E536="","",INDEX('Input Transaksi'!$F:$F,$E536))</f>
        <v/>
      </c>
      <c r="E536">
        <f>IFERROR(AGGREGATE(15,6,ROW('Input Transaksi'!$B$5:$B$5000)/('Input Transaksi'!$B$5:$B$5000="JCL AYANI"),ROWS($E$5:E536)),"")</f>
        <v/>
      </c>
      <c r="F536" s="5" t="n"/>
    </row>
    <row r="537">
      <c r="A537" s="10">
        <f>IF($E537="","",INDEX('Input Transaksi'!$A:$A,$E537))</f>
        <v/>
      </c>
      <c r="B537" s="5">
        <f>IF($E537="","",INDEX('Input Transaksi'!$D:$D,$E537))</f>
        <v/>
      </c>
      <c r="C537">
        <f>IF($E537="","",INDEX('Input Transaksi'!$E:$E,$E537))</f>
        <v/>
      </c>
      <c r="D537" s="5">
        <f>IF($E537="","",INDEX('Input Transaksi'!$F:$F,$E537))</f>
        <v/>
      </c>
      <c r="E537">
        <f>IFERROR(AGGREGATE(15,6,ROW('Input Transaksi'!$B$5:$B$5000)/('Input Transaksi'!$B$5:$B$5000="JCL AYANI"),ROWS($E$5:E537)),"")</f>
        <v/>
      </c>
      <c r="F537" s="5" t="n"/>
    </row>
    <row r="538">
      <c r="A538" s="10">
        <f>IF($E538="","",INDEX('Input Transaksi'!$A:$A,$E538))</f>
        <v/>
      </c>
      <c r="B538" s="5">
        <f>IF($E538="","",INDEX('Input Transaksi'!$D:$D,$E538))</f>
        <v/>
      </c>
      <c r="C538">
        <f>IF($E538="","",INDEX('Input Transaksi'!$E:$E,$E538))</f>
        <v/>
      </c>
      <c r="D538" s="5">
        <f>IF($E538="","",INDEX('Input Transaksi'!$F:$F,$E538))</f>
        <v/>
      </c>
      <c r="E538">
        <f>IFERROR(AGGREGATE(15,6,ROW('Input Transaksi'!$B$5:$B$5000)/('Input Transaksi'!$B$5:$B$5000="JCL AYANI"),ROWS($E$5:E538)),"")</f>
        <v/>
      </c>
      <c r="F538" s="5" t="n"/>
    </row>
    <row r="539">
      <c r="A539" s="10">
        <f>IF($E539="","",INDEX('Input Transaksi'!$A:$A,$E539))</f>
        <v/>
      </c>
      <c r="B539" s="5">
        <f>IF($E539="","",INDEX('Input Transaksi'!$D:$D,$E539))</f>
        <v/>
      </c>
      <c r="C539">
        <f>IF($E539="","",INDEX('Input Transaksi'!$E:$E,$E539))</f>
        <v/>
      </c>
      <c r="D539" s="5">
        <f>IF($E539="","",INDEX('Input Transaksi'!$F:$F,$E539))</f>
        <v/>
      </c>
      <c r="E539">
        <f>IFERROR(AGGREGATE(15,6,ROW('Input Transaksi'!$B$5:$B$5000)/('Input Transaksi'!$B$5:$B$5000="JCL AYANI"),ROWS($E$5:E539)),"")</f>
        <v/>
      </c>
      <c r="F539" s="5" t="n"/>
    </row>
    <row r="540">
      <c r="A540" s="10">
        <f>IF($E540="","",INDEX('Input Transaksi'!$A:$A,$E540))</f>
        <v/>
      </c>
      <c r="B540" s="5">
        <f>IF($E540="","",INDEX('Input Transaksi'!$D:$D,$E540))</f>
        <v/>
      </c>
      <c r="C540">
        <f>IF($E540="","",INDEX('Input Transaksi'!$E:$E,$E540))</f>
        <v/>
      </c>
      <c r="D540" s="5">
        <f>IF($E540="","",INDEX('Input Transaksi'!$F:$F,$E540))</f>
        <v/>
      </c>
      <c r="E540">
        <f>IFERROR(AGGREGATE(15,6,ROW('Input Transaksi'!$B$5:$B$5000)/('Input Transaksi'!$B$5:$B$5000="JCL AYANI"),ROWS($E$5:E540)),"")</f>
        <v/>
      </c>
      <c r="F540" s="5" t="n"/>
    </row>
    <row r="541">
      <c r="A541" s="10">
        <f>IF($E541="","",INDEX('Input Transaksi'!$A:$A,$E541))</f>
        <v/>
      </c>
      <c r="B541" s="5">
        <f>IF($E541="","",INDEX('Input Transaksi'!$D:$D,$E541))</f>
        <v/>
      </c>
      <c r="C541">
        <f>IF($E541="","",INDEX('Input Transaksi'!$E:$E,$E541))</f>
        <v/>
      </c>
      <c r="D541" s="5">
        <f>IF($E541="","",INDEX('Input Transaksi'!$F:$F,$E541))</f>
        <v/>
      </c>
      <c r="E541">
        <f>IFERROR(AGGREGATE(15,6,ROW('Input Transaksi'!$B$5:$B$5000)/('Input Transaksi'!$B$5:$B$5000="JCL AYANI"),ROWS($E$5:E541)),"")</f>
        <v/>
      </c>
      <c r="F541" s="5" t="n"/>
    </row>
    <row r="542">
      <c r="A542" s="10">
        <f>IF($E542="","",INDEX('Input Transaksi'!$A:$A,$E542))</f>
        <v/>
      </c>
      <c r="B542" s="5">
        <f>IF($E542="","",INDEX('Input Transaksi'!$D:$D,$E542))</f>
        <v/>
      </c>
      <c r="C542">
        <f>IF($E542="","",INDEX('Input Transaksi'!$E:$E,$E542))</f>
        <v/>
      </c>
      <c r="D542" s="5">
        <f>IF($E542="","",INDEX('Input Transaksi'!$F:$F,$E542))</f>
        <v/>
      </c>
      <c r="E542">
        <f>IFERROR(AGGREGATE(15,6,ROW('Input Transaksi'!$B$5:$B$5000)/('Input Transaksi'!$B$5:$B$5000="JCL AYANI"),ROWS($E$5:E542)),"")</f>
        <v/>
      </c>
      <c r="F542" s="5" t="n"/>
    </row>
    <row r="543">
      <c r="A543" s="10">
        <f>IF($E543="","",INDEX('Input Transaksi'!$A:$A,$E543))</f>
        <v/>
      </c>
      <c r="B543" s="5">
        <f>IF($E543="","",INDEX('Input Transaksi'!$D:$D,$E543))</f>
        <v/>
      </c>
      <c r="C543">
        <f>IF($E543="","",INDEX('Input Transaksi'!$E:$E,$E543))</f>
        <v/>
      </c>
      <c r="D543" s="5">
        <f>IF($E543="","",INDEX('Input Transaksi'!$F:$F,$E543))</f>
        <v/>
      </c>
      <c r="E543">
        <f>IFERROR(AGGREGATE(15,6,ROW('Input Transaksi'!$B$5:$B$5000)/('Input Transaksi'!$B$5:$B$5000="JCL AYANI"),ROWS($E$5:E543)),"")</f>
        <v/>
      </c>
      <c r="F543" s="5" t="n"/>
    </row>
    <row r="544">
      <c r="A544" s="10">
        <f>IF($E544="","",INDEX('Input Transaksi'!$A:$A,$E544))</f>
        <v/>
      </c>
      <c r="B544" s="5">
        <f>IF($E544="","",INDEX('Input Transaksi'!$D:$D,$E544))</f>
        <v/>
      </c>
      <c r="C544">
        <f>IF($E544="","",INDEX('Input Transaksi'!$E:$E,$E544))</f>
        <v/>
      </c>
      <c r="D544" s="5">
        <f>IF($E544="","",INDEX('Input Transaksi'!$F:$F,$E544))</f>
        <v/>
      </c>
      <c r="E544">
        <f>IFERROR(AGGREGATE(15,6,ROW('Input Transaksi'!$B$5:$B$5000)/('Input Transaksi'!$B$5:$B$5000="JCL AYANI"),ROWS($E$5:E544)),"")</f>
        <v/>
      </c>
      <c r="F544" s="5" t="n"/>
    </row>
    <row r="545">
      <c r="A545" s="10">
        <f>IF($E545="","",INDEX('Input Transaksi'!$A:$A,$E545))</f>
        <v/>
      </c>
      <c r="B545" s="5">
        <f>IF($E545="","",INDEX('Input Transaksi'!$D:$D,$E545))</f>
        <v/>
      </c>
      <c r="C545">
        <f>IF($E545="","",INDEX('Input Transaksi'!$E:$E,$E545))</f>
        <v/>
      </c>
      <c r="D545" s="5">
        <f>IF($E545="","",INDEX('Input Transaksi'!$F:$F,$E545))</f>
        <v/>
      </c>
      <c r="E545">
        <f>IFERROR(AGGREGATE(15,6,ROW('Input Transaksi'!$B$5:$B$5000)/('Input Transaksi'!$B$5:$B$5000="JCL AYANI"),ROWS($E$5:E545)),"")</f>
        <v/>
      </c>
      <c r="F545" s="5" t="n"/>
    </row>
    <row r="546">
      <c r="A546" s="10">
        <f>IF($E546="","",INDEX('Input Transaksi'!$A:$A,$E546))</f>
        <v/>
      </c>
      <c r="B546" s="5">
        <f>IF($E546="","",INDEX('Input Transaksi'!$D:$D,$E546))</f>
        <v/>
      </c>
      <c r="C546">
        <f>IF($E546="","",INDEX('Input Transaksi'!$E:$E,$E546))</f>
        <v/>
      </c>
      <c r="D546" s="5">
        <f>IF($E546="","",INDEX('Input Transaksi'!$F:$F,$E546))</f>
        <v/>
      </c>
      <c r="E546">
        <f>IFERROR(AGGREGATE(15,6,ROW('Input Transaksi'!$B$5:$B$5000)/('Input Transaksi'!$B$5:$B$5000="JCL AYANI"),ROWS($E$5:E546)),"")</f>
        <v/>
      </c>
      <c r="F546" s="5" t="n"/>
    </row>
    <row r="547">
      <c r="A547" s="10">
        <f>IF($E547="","",INDEX('Input Transaksi'!$A:$A,$E547))</f>
        <v/>
      </c>
      <c r="B547" s="5">
        <f>IF($E547="","",INDEX('Input Transaksi'!$D:$D,$E547))</f>
        <v/>
      </c>
      <c r="C547">
        <f>IF($E547="","",INDEX('Input Transaksi'!$E:$E,$E547))</f>
        <v/>
      </c>
      <c r="D547" s="5">
        <f>IF($E547="","",INDEX('Input Transaksi'!$F:$F,$E547))</f>
        <v/>
      </c>
      <c r="E547">
        <f>IFERROR(AGGREGATE(15,6,ROW('Input Transaksi'!$B$5:$B$5000)/('Input Transaksi'!$B$5:$B$5000="JCL AYANI"),ROWS($E$5:E547)),"")</f>
        <v/>
      </c>
      <c r="F547" s="5" t="n"/>
    </row>
    <row r="548">
      <c r="A548" s="10">
        <f>IF($E548="","",INDEX('Input Transaksi'!$A:$A,$E548))</f>
        <v/>
      </c>
      <c r="B548" s="5">
        <f>IF($E548="","",INDEX('Input Transaksi'!$D:$D,$E548))</f>
        <v/>
      </c>
      <c r="C548">
        <f>IF($E548="","",INDEX('Input Transaksi'!$E:$E,$E548))</f>
        <v/>
      </c>
      <c r="D548" s="5">
        <f>IF($E548="","",INDEX('Input Transaksi'!$F:$F,$E548))</f>
        <v/>
      </c>
      <c r="E548">
        <f>IFERROR(AGGREGATE(15,6,ROW('Input Transaksi'!$B$5:$B$5000)/('Input Transaksi'!$B$5:$B$5000="JCL AYANI"),ROWS($E$5:E548)),"")</f>
        <v/>
      </c>
      <c r="F548" s="5" t="n"/>
    </row>
    <row r="549">
      <c r="A549" s="10">
        <f>IF($E549="","",INDEX('Input Transaksi'!$A:$A,$E549))</f>
        <v/>
      </c>
      <c r="B549" s="5">
        <f>IF($E549="","",INDEX('Input Transaksi'!$D:$D,$E549))</f>
        <v/>
      </c>
      <c r="C549">
        <f>IF($E549="","",INDEX('Input Transaksi'!$E:$E,$E549))</f>
        <v/>
      </c>
      <c r="D549" s="5">
        <f>IF($E549="","",INDEX('Input Transaksi'!$F:$F,$E549))</f>
        <v/>
      </c>
      <c r="E549">
        <f>IFERROR(AGGREGATE(15,6,ROW('Input Transaksi'!$B$5:$B$5000)/('Input Transaksi'!$B$5:$B$5000="JCL AYANI"),ROWS($E$5:E549)),"")</f>
        <v/>
      </c>
      <c r="F549" s="5" t="n"/>
    </row>
    <row r="550">
      <c r="A550" s="10">
        <f>IF($E550="","",INDEX('Input Transaksi'!$A:$A,$E550))</f>
        <v/>
      </c>
      <c r="B550" s="5">
        <f>IF($E550="","",INDEX('Input Transaksi'!$D:$D,$E550))</f>
        <v/>
      </c>
      <c r="C550">
        <f>IF($E550="","",INDEX('Input Transaksi'!$E:$E,$E550))</f>
        <v/>
      </c>
      <c r="D550" s="5">
        <f>IF($E550="","",INDEX('Input Transaksi'!$F:$F,$E550))</f>
        <v/>
      </c>
      <c r="E550">
        <f>IFERROR(AGGREGATE(15,6,ROW('Input Transaksi'!$B$5:$B$5000)/('Input Transaksi'!$B$5:$B$5000="JCL AYANI"),ROWS($E$5:E550)),"")</f>
        <v/>
      </c>
      <c r="F550" s="5" t="n"/>
    </row>
    <row r="551">
      <c r="A551" s="10">
        <f>IF($E551="","",INDEX('Input Transaksi'!$A:$A,$E551))</f>
        <v/>
      </c>
      <c r="B551" s="5">
        <f>IF($E551="","",INDEX('Input Transaksi'!$D:$D,$E551))</f>
        <v/>
      </c>
      <c r="C551">
        <f>IF($E551="","",INDEX('Input Transaksi'!$E:$E,$E551))</f>
        <v/>
      </c>
      <c r="D551" s="5">
        <f>IF($E551="","",INDEX('Input Transaksi'!$F:$F,$E551))</f>
        <v/>
      </c>
      <c r="E551">
        <f>IFERROR(AGGREGATE(15,6,ROW('Input Transaksi'!$B$5:$B$5000)/('Input Transaksi'!$B$5:$B$5000="JCL AYANI"),ROWS($E$5:E551)),"")</f>
        <v/>
      </c>
      <c r="F551" s="5" t="n"/>
    </row>
    <row r="552">
      <c r="A552" s="10">
        <f>IF($E552="","",INDEX('Input Transaksi'!$A:$A,$E552))</f>
        <v/>
      </c>
      <c r="B552" s="5">
        <f>IF($E552="","",INDEX('Input Transaksi'!$D:$D,$E552))</f>
        <v/>
      </c>
      <c r="C552">
        <f>IF($E552="","",INDEX('Input Transaksi'!$E:$E,$E552))</f>
        <v/>
      </c>
      <c r="D552" s="5">
        <f>IF($E552="","",INDEX('Input Transaksi'!$F:$F,$E552))</f>
        <v/>
      </c>
      <c r="E552">
        <f>IFERROR(AGGREGATE(15,6,ROW('Input Transaksi'!$B$5:$B$5000)/('Input Transaksi'!$B$5:$B$5000="JCL AYANI"),ROWS($E$5:E552)),"")</f>
        <v/>
      </c>
      <c r="F552" s="5" t="n"/>
    </row>
    <row r="553">
      <c r="A553" s="10">
        <f>IF($E553="","",INDEX('Input Transaksi'!$A:$A,$E553))</f>
        <v/>
      </c>
      <c r="B553" s="5">
        <f>IF($E553="","",INDEX('Input Transaksi'!$D:$D,$E553))</f>
        <v/>
      </c>
      <c r="C553">
        <f>IF($E553="","",INDEX('Input Transaksi'!$E:$E,$E553))</f>
        <v/>
      </c>
      <c r="D553" s="5">
        <f>IF($E553="","",INDEX('Input Transaksi'!$F:$F,$E553))</f>
        <v/>
      </c>
      <c r="E553">
        <f>IFERROR(AGGREGATE(15,6,ROW('Input Transaksi'!$B$5:$B$5000)/('Input Transaksi'!$B$5:$B$5000="JCL AYANI"),ROWS($E$5:E553)),"")</f>
        <v/>
      </c>
      <c r="F553" s="5" t="n"/>
    </row>
    <row r="554">
      <c r="A554" s="10">
        <f>IF($E554="","",INDEX('Input Transaksi'!$A:$A,$E554))</f>
        <v/>
      </c>
      <c r="B554" s="5">
        <f>IF($E554="","",INDEX('Input Transaksi'!$D:$D,$E554))</f>
        <v/>
      </c>
      <c r="C554">
        <f>IF($E554="","",INDEX('Input Transaksi'!$E:$E,$E554))</f>
        <v/>
      </c>
      <c r="D554" s="5">
        <f>IF($E554="","",INDEX('Input Transaksi'!$F:$F,$E554))</f>
        <v/>
      </c>
      <c r="E554">
        <f>IFERROR(AGGREGATE(15,6,ROW('Input Transaksi'!$B$5:$B$5000)/('Input Transaksi'!$B$5:$B$5000="JCL AYANI"),ROWS($E$5:E554)),"")</f>
        <v/>
      </c>
      <c r="F554" s="5" t="n"/>
    </row>
    <row r="555">
      <c r="A555" s="10">
        <f>IF($E555="","",INDEX('Input Transaksi'!$A:$A,$E555))</f>
        <v/>
      </c>
      <c r="B555" s="5">
        <f>IF($E555="","",INDEX('Input Transaksi'!$D:$D,$E555))</f>
        <v/>
      </c>
      <c r="C555">
        <f>IF($E555="","",INDEX('Input Transaksi'!$E:$E,$E555))</f>
        <v/>
      </c>
      <c r="D555" s="5">
        <f>IF($E555="","",INDEX('Input Transaksi'!$F:$F,$E555))</f>
        <v/>
      </c>
      <c r="E555">
        <f>IFERROR(AGGREGATE(15,6,ROW('Input Transaksi'!$B$5:$B$5000)/('Input Transaksi'!$B$5:$B$5000="JCL AYANI"),ROWS($E$5:E555)),"")</f>
        <v/>
      </c>
      <c r="F555" s="5" t="n"/>
    </row>
    <row r="556">
      <c r="A556" s="10">
        <f>IF($E556="","",INDEX('Input Transaksi'!$A:$A,$E556))</f>
        <v/>
      </c>
      <c r="B556" s="5">
        <f>IF($E556="","",INDEX('Input Transaksi'!$D:$D,$E556))</f>
        <v/>
      </c>
      <c r="C556">
        <f>IF($E556="","",INDEX('Input Transaksi'!$E:$E,$E556))</f>
        <v/>
      </c>
      <c r="D556" s="5">
        <f>IF($E556="","",INDEX('Input Transaksi'!$F:$F,$E556))</f>
        <v/>
      </c>
      <c r="E556">
        <f>IFERROR(AGGREGATE(15,6,ROW('Input Transaksi'!$B$5:$B$5000)/('Input Transaksi'!$B$5:$B$5000="JCL AYANI"),ROWS($E$5:E556)),"")</f>
        <v/>
      </c>
      <c r="F556" s="5" t="n"/>
    </row>
    <row r="557">
      <c r="A557" s="10">
        <f>IF($E557="","",INDEX('Input Transaksi'!$A:$A,$E557))</f>
        <v/>
      </c>
      <c r="B557" s="5">
        <f>IF($E557="","",INDEX('Input Transaksi'!$D:$D,$E557))</f>
        <v/>
      </c>
      <c r="C557">
        <f>IF($E557="","",INDEX('Input Transaksi'!$E:$E,$E557))</f>
        <v/>
      </c>
      <c r="D557" s="5">
        <f>IF($E557="","",INDEX('Input Transaksi'!$F:$F,$E557))</f>
        <v/>
      </c>
      <c r="E557">
        <f>IFERROR(AGGREGATE(15,6,ROW('Input Transaksi'!$B$5:$B$5000)/('Input Transaksi'!$B$5:$B$5000="JCL AYANI"),ROWS($E$5:E557)),"")</f>
        <v/>
      </c>
      <c r="F557" s="5" t="n"/>
    </row>
    <row r="558">
      <c r="A558" s="10">
        <f>IF($E558="","",INDEX('Input Transaksi'!$A:$A,$E558))</f>
        <v/>
      </c>
      <c r="B558" s="5">
        <f>IF($E558="","",INDEX('Input Transaksi'!$D:$D,$E558))</f>
        <v/>
      </c>
      <c r="C558">
        <f>IF($E558="","",INDEX('Input Transaksi'!$E:$E,$E558))</f>
        <v/>
      </c>
      <c r="D558" s="5">
        <f>IF($E558="","",INDEX('Input Transaksi'!$F:$F,$E558))</f>
        <v/>
      </c>
      <c r="E558">
        <f>IFERROR(AGGREGATE(15,6,ROW('Input Transaksi'!$B$5:$B$5000)/('Input Transaksi'!$B$5:$B$5000="JCL AYANI"),ROWS($E$5:E558)),"")</f>
        <v/>
      </c>
      <c r="F558" s="5" t="n"/>
    </row>
    <row r="559">
      <c r="A559" s="10">
        <f>IF($E559="","",INDEX('Input Transaksi'!$A:$A,$E559))</f>
        <v/>
      </c>
      <c r="B559" s="5">
        <f>IF($E559="","",INDEX('Input Transaksi'!$D:$D,$E559))</f>
        <v/>
      </c>
      <c r="C559">
        <f>IF($E559="","",INDEX('Input Transaksi'!$E:$E,$E559))</f>
        <v/>
      </c>
      <c r="D559" s="5">
        <f>IF($E559="","",INDEX('Input Transaksi'!$F:$F,$E559))</f>
        <v/>
      </c>
      <c r="E559">
        <f>IFERROR(AGGREGATE(15,6,ROW('Input Transaksi'!$B$5:$B$5000)/('Input Transaksi'!$B$5:$B$5000="JCL AYANI"),ROWS($E$5:E559)),"")</f>
        <v/>
      </c>
      <c r="F559" s="5" t="n"/>
    </row>
    <row r="560">
      <c r="A560" s="10">
        <f>IF($E560="","",INDEX('Input Transaksi'!$A:$A,$E560))</f>
        <v/>
      </c>
      <c r="B560" s="5">
        <f>IF($E560="","",INDEX('Input Transaksi'!$D:$D,$E560))</f>
        <v/>
      </c>
      <c r="C560">
        <f>IF($E560="","",INDEX('Input Transaksi'!$E:$E,$E560))</f>
        <v/>
      </c>
      <c r="D560" s="5">
        <f>IF($E560="","",INDEX('Input Transaksi'!$F:$F,$E560))</f>
        <v/>
      </c>
      <c r="E560">
        <f>IFERROR(AGGREGATE(15,6,ROW('Input Transaksi'!$B$5:$B$5000)/('Input Transaksi'!$B$5:$B$5000="JCL AYANI"),ROWS($E$5:E560)),"")</f>
        <v/>
      </c>
      <c r="F560" s="5" t="n"/>
    </row>
    <row r="561">
      <c r="A561" s="10">
        <f>IF($E561="","",INDEX('Input Transaksi'!$A:$A,$E561))</f>
        <v/>
      </c>
      <c r="B561" s="5">
        <f>IF($E561="","",INDEX('Input Transaksi'!$D:$D,$E561))</f>
        <v/>
      </c>
      <c r="C561">
        <f>IF($E561="","",INDEX('Input Transaksi'!$E:$E,$E561))</f>
        <v/>
      </c>
      <c r="D561" s="5">
        <f>IF($E561="","",INDEX('Input Transaksi'!$F:$F,$E561))</f>
        <v/>
      </c>
      <c r="E561">
        <f>IFERROR(AGGREGATE(15,6,ROW('Input Transaksi'!$B$5:$B$5000)/('Input Transaksi'!$B$5:$B$5000="JCL AYANI"),ROWS($E$5:E561)),"")</f>
        <v/>
      </c>
      <c r="F561" s="5" t="n"/>
    </row>
    <row r="562">
      <c r="A562" s="10">
        <f>IF($E562="","",INDEX('Input Transaksi'!$A:$A,$E562))</f>
        <v/>
      </c>
      <c r="B562" s="5">
        <f>IF($E562="","",INDEX('Input Transaksi'!$D:$D,$E562))</f>
        <v/>
      </c>
      <c r="C562">
        <f>IF($E562="","",INDEX('Input Transaksi'!$E:$E,$E562))</f>
        <v/>
      </c>
      <c r="D562" s="5">
        <f>IF($E562="","",INDEX('Input Transaksi'!$F:$F,$E562))</f>
        <v/>
      </c>
      <c r="E562">
        <f>IFERROR(AGGREGATE(15,6,ROW('Input Transaksi'!$B$5:$B$5000)/('Input Transaksi'!$B$5:$B$5000="JCL AYANI"),ROWS($E$5:E562)),"")</f>
        <v/>
      </c>
      <c r="F562" s="5" t="n"/>
    </row>
    <row r="563">
      <c r="A563" s="10">
        <f>IF($E563="","",INDEX('Input Transaksi'!$A:$A,$E563))</f>
        <v/>
      </c>
      <c r="B563" s="5">
        <f>IF($E563="","",INDEX('Input Transaksi'!$D:$D,$E563))</f>
        <v/>
      </c>
      <c r="C563">
        <f>IF($E563="","",INDEX('Input Transaksi'!$E:$E,$E563))</f>
        <v/>
      </c>
      <c r="D563" s="5">
        <f>IF($E563="","",INDEX('Input Transaksi'!$F:$F,$E563))</f>
        <v/>
      </c>
      <c r="E563">
        <f>IFERROR(AGGREGATE(15,6,ROW('Input Transaksi'!$B$5:$B$5000)/('Input Transaksi'!$B$5:$B$5000="JCL AYANI"),ROWS($E$5:E563)),"")</f>
        <v/>
      </c>
      <c r="F563" s="5" t="n"/>
    </row>
    <row r="564">
      <c r="A564" s="10">
        <f>IF($E564="","",INDEX('Input Transaksi'!$A:$A,$E564))</f>
        <v/>
      </c>
      <c r="B564" s="5">
        <f>IF($E564="","",INDEX('Input Transaksi'!$D:$D,$E564))</f>
        <v/>
      </c>
      <c r="C564">
        <f>IF($E564="","",INDEX('Input Transaksi'!$E:$E,$E564))</f>
        <v/>
      </c>
      <c r="D564" s="5">
        <f>IF($E564="","",INDEX('Input Transaksi'!$F:$F,$E564))</f>
        <v/>
      </c>
      <c r="E564">
        <f>IFERROR(AGGREGATE(15,6,ROW('Input Transaksi'!$B$5:$B$5000)/('Input Transaksi'!$B$5:$B$5000="JCL AYANI"),ROWS($E$5:E564)),"")</f>
        <v/>
      </c>
      <c r="F564" s="5" t="n"/>
    </row>
    <row r="565">
      <c r="A565" s="10">
        <f>IF($E565="","",INDEX('Input Transaksi'!$A:$A,$E565))</f>
        <v/>
      </c>
      <c r="B565" s="5">
        <f>IF($E565="","",INDEX('Input Transaksi'!$D:$D,$E565))</f>
        <v/>
      </c>
      <c r="C565">
        <f>IF($E565="","",INDEX('Input Transaksi'!$E:$E,$E565))</f>
        <v/>
      </c>
      <c r="D565" s="5">
        <f>IF($E565="","",INDEX('Input Transaksi'!$F:$F,$E565))</f>
        <v/>
      </c>
      <c r="E565">
        <f>IFERROR(AGGREGATE(15,6,ROW('Input Transaksi'!$B$5:$B$5000)/('Input Transaksi'!$B$5:$B$5000="JCL AYANI"),ROWS($E$5:E565)),"")</f>
        <v/>
      </c>
      <c r="F565" s="5" t="n"/>
    </row>
    <row r="566">
      <c r="A566" s="10">
        <f>IF($E566="","",INDEX('Input Transaksi'!$A:$A,$E566))</f>
        <v/>
      </c>
      <c r="B566" s="5">
        <f>IF($E566="","",INDEX('Input Transaksi'!$D:$D,$E566))</f>
        <v/>
      </c>
      <c r="C566">
        <f>IF($E566="","",INDEX('Input Transaksi'!$E:$E,$E566))</f>
        <v/>
      </c>
      <c r="D566" s="5">
        <f>IF($E566="","",INDEX('Input Transaksi'!$F:$F,$E566))</f>
        <v/>
      </c>
      <c r="E566">
        <f>IFERROR(AGGREGATE(15,6,ROW('Input Transaksi'!$B$5:$B$5000)/('Input Transaksi'!$B$5:$B$5000="JCL AYANI"),ROWS($E$5:E566)),"")</f>
        <v/>
      </c>
      <c r="F566" s="5" t="n"/>
    </row>
    <row r="567">
      <c r="A567" s="10">
        <f>IF($E567="","",INDEX('Input Transaksi'!$A:$A,$E567))</f>
        <v/>
      </c>
      <c r="B567" s="5">
        <f>IF($E567="","",INDEX('Input Transaksi'!$D:$D,$E567))</f>
        <v/>
      </c>
      <c r="C567">
        <f>IF($E567="","",INDEX('Input Transaksi'!$E:$E,$E567))</f>
        <v/>
      </c>
      <c r="D567" s="5">
        <f>IF($E567="","",INDEX('Input Transaksi'!$F:$F,$E567))</f>
        <v/>
      </c>
      <c r="E567">
        <f>IFERROR(AGGREGATE(15,6,ROW('Input Transaksi'!$B$5:$B$5000)/('Input Transaksi'!$B$5:$B$5000="JCL AYANI"),ROWS($E$5:E567)),"")</f>
        <v/>
      </c>
      <c r="F567" s="5" t="n"/>
    </row>
    <row r="568">
      <c r="A568" s="10">
        <f>IF($E568="","",INDEX('Input Transaksi'!$A:$A,$E568))</f>
        <v/>
      </c>
      <c r="B568" s="5">
        <f>IF($E568="","",INDEX('Input Transaksi'!$D:$D,$E568))</f>
        <v/>
      </c>
      <c r="C568">
        <f>IF($E568="","",INDEX('Input Transaksi'!$E:$E,$E568))</f>
        <v/>
      </c>
      <c r="D568" s="5">
        <f>IF($E568="","",INDEX('Input Transaksi'!$F:$F,$E568))</f>
        <v/>
      </c>
      <c r="E568">
        <f>IFERROR(AGGREGATE(15,6,ROW('Input Transaksi'!$B$5:$B$5000)/('Input Transaksi'!$B$5:$B$5000="JCL AYANI"),ROWS($E$5:E568)),"")</f>
        <v/>
      </c>
      <c r="F568" s="5" t="n"/>
    </row>
    <row r="569">
      <c r="A569" s="10">
        <f>IF($E569="","",INDEX('Input Transaksi'!$A:$A,$E569))</f>
        <v/>
      </c>
      <c r="B569" s="5">
        <f>IF($E569="","",INDEX('Input Transaksi'!$D:$D,$E569))</f>
        <v/>
      </c>
      <c r="C569">
        <f>IF($E569="","",INDEX('Input Transaksi'!$E:$E,$E569))</f>
        <v/>
      </c>
      <c r="D569" s="5">
        <f>IF($E569="","",INDEX('Input Transaksi'!$F:$F,$E569))</f>
        <v/>
      </c>
      <c r="E569">
        <f>IFERROR(AGGREGATE(15,6,ROW('Input Transaksi'!$B$5:$B$5000)/('Input Transaksi'!$B$5:$B$5000="JCL AYANI"),ROWS($E$5:E569)),"")</f>
        <v/>
      </c>
      <c r="F569" s="5" t="n"/>
    </row>
    <row r="570">
      <c r="A570" s="10">
        <f>IF($E570="","",INDEX('Input Transaksi'!$A:$A,$E570))</f>
        <v/>
      </c>
      <c r="B570" s="5">
        <f>IF($E570="","",INDEX('Input Transaksi'!$D:$D,$E570))</f>
        <v/>
      </c>
      <c r="C570">
        <f>IF($E570="","",INDEX('Input Transaksi'!$E:$E,$E570))</f>
        <v/>
      </c>
      <c r="D570" s="5">
        <f>IF($E570="","",INDEX('Input Transaksi'!$F:$F,$E570))</f>
        <v/>
      </c>
      <c r="E570">
        <f>IFERROR(AGGREGATE(15,6,ROW('Input Transaksi'!$B$5:$B$5000)/('Input Transaksi'!$B$5:$B$5000="JCL AYANI"),ROWS($E$5:E570)),"")</f>
        <v/>
      </c>
      <c r="F570" s="5" t="n"/>
    </row>
    <row r="571">
      <c r="A571" s="10">
        <f>IF($E571="","",INDEX('Input Transaksi'!$A:$A,$E571))</f>
        <v/>
      </c>
      <c r="B571" s="5">
        <f>IF($E571="","",INDEX('Input Transaksi'!$D:$D,$E571))</f>
        <v/>
      </c>
      <c r="C571">
        <f>IF($E571="","",INDEX('Input Transaksi'!$E:$E,$E571))</f>
        <v/>
      </c>
      <c r="D571" s="5">
        <f>IF($E571="","",INDEX('Input Transaksi'!$F:$F,$E571))</f>
        <v/>
      </c>
      <c r="E571">
        <f>IFERROR(AGGREGATE(15,6,ROW('Input Transaksi'!$B$5:$B$5000)/('Input Transaksi'!$B$5:$B$5000="JCL AYANI"),ROWS($E$5:E571)),"")</f>
        <v/>
      </c>
      <c r="F571" s="5" t="n"/>
    </row>
    <row r="572">
      <c r="A572" s="10">
        <f>IF($E572="","",INDEX('Input Transaksi'!$A:$A,$E572))</f>
        <v/>
      </c>
      <c r="B572" s="5">
        <f>IF($E572="","",INDEX('Input Transaksi'!$D:$D,$E572))</f>
        <v/>
      </c>
      <c r="C572">
        <f>IF($E572="","",INDEX('Input Transaksi'!$E:$E,$E572))</f>
        <v/>
      </c>
      <c r="D572" s="5">
        <f>IF($E572="","",INDEX('Input Transaksi'!$F:$F,$E572))</f>
        <v/>
      </c>
      <c r="E572">
        <f>IFERROR(AGGREGATE(15,6,ROW('Input Transaksi'!$B$5:$B$5000)/('Input Transaksi'!$B$5:$B$5000="JCL AYANI"),ROWS($E$5:E572)),"")</f>
        <v/>
      </c>
      <c r="F572" s="5" t="n"/>
    </row>
    <row r="573">
      <c r="A573" s="10">
        <f>IF($E573="","",INDEX('Input Transaksi'!$A:$A,$E573))</f>
        <v/>
      </c>
      <c r="B573" s="5">
        <f>IF($E573="","",INDEX('Input Transaksi'!$D:$D,$E573))</f>
        <v/>
      </c>
      <c r="C573">
        <f>IF($E573="","",INDEX('Input Transaksi'!$E:$E,$E573))</f>
        <v/>
      </c>
      <c r="D573" s="5">
        <f>IF($E573="","",INDEX('Input Transaksi'!$F:$F,$E573))</f>
        <v/>
      </c>
      <c r="E573">
        <f>IFERROR(AGGREGATE(15,6,ROW('Input Transaksi'!$B$5:$B$5000)/('Input Transaksi'!$B$5:$B$5000="JCL AYANI"),ROWS($E$5:E573)),"")</f>
        <v/>
      </c>
      <c r="F573" s="5" t="n"/>
    </row>
    <row r="574">
      <c r="A574" s="10">
        <f>IF($E574="","",INDEX('Input Transaksi'!$A:$A,$E574))</f>
        <v/>
      </c>
      <c r="B574" s="5">
        <f>IF($E574="","",INDEX('Input Transaksi'!$D:$D,$E574))</f>
        <v/>
      </c>
      <c r="C574">
        <f>IF($E574="","",INDEX('Input Transaksi'!$E:$E,$E574))</f>
        <v/>
      </c>
      <c r="D574" s="5">
        <f>IF($E574="","",INDEX('Input Transaksi'!$F:$F,$E574))</f>
        <v/>
      </c>
      <c r="E574">
        <f>IFERROR(AGGREGATE(15,6,ROW('Input Transaksi'!$B$5:$B$5000)/('Input Transaksi'!$B$5:$B$5000="JCL AYANI"),ROWS($E$5:E574)),"")</f>
        <v/>
      </c>
      <c r="F574" s="5" t="n"/>
    </row>
    <row r="575">
      <c r="A575" s="10">
        <f>IF($E575="","",INDEX('Input Transaksi'!$A:$A,$E575))</f>
        <v/>
      </c>
      <c r="B575" s="5">
        <f>IF($E575="","",INDEX('Input Transaksi'!$D:$D,$E575))</f>
        <v/>
      </c>
      <c r="C575">
        <f>IF($E575="","",INDEX('Input Transaksi'!$E:$E,$E575))</f>
        <v/>
      </c>
      <c r="D575" s="5">
        <f>IF($E575="","",INDEX('Input Transaksi'!$F:$F,$E575))</f>
        <v/>
      </c>
      <c r="E575">
        <f>IFERROR(AGGREGATE(15,6,ROW('Input Transaksi'!$B$5:$B$5000)/('Input Transaksi'!$B$5:$B$5000="JCL AYANI"),ROWS($E$5:E575)),"")</f>
        <v/>
      </c>
      <c r="F575" s="5" t="n"/>
    </row>
    <row r="576">
      <c r="A576" s="10">
        <f>IF($E576="","",INDEX('Input Transaksi'!$A:$A,$E576))</f>
        <v/>
      </c>
      <c r="B576" s="5">
        <f>IF($E576="","",INDEX('Input Transaksi'!$D:$D,$E576))</f>
        <v/>
      </c>
      <c r="C576">
        <f>IF($E576="","",INDEX('Input Transaksi'!$E:$E,$E576))</f>
        <v/>
      </c>
      <c r="D576" s="5">
        <f>IF($E576="","",INDEX('Input Transaksi'!$F:$F,$E576))</f>
        <v/>
      </c>
      <c r="E576">
        <f>IFERROR(AGGREGATE(15,6,ROW('Input Transaksi'!$B$5:$B$5000)/('Input Transaksi'!$B$5:$B$5000="JCL AYANI"),ROWS($E$5:E576)),"")</f>
        <v/>
      </c>
      <c r="F576" s="5" t="n"/>
    </row>
    <row r="577">
      <c r="A577" s="10">
        <f>IF($E577="","",INDEX('Input Transaksi'!$A:$A,$E577))</f>
        <v/>
      </c>
      <c r="B577" s="5">
        <f>IF($E577="","",INDEX('Input Transaksi'!$D:$D,$E577))</f>
        <v/>
      </c>
      <c r="C577">
        <f>IF($E577="","",INDEX('Input Transaksi'!$E:$E,$E577))</f>
        <v/>
      </c>
      <c r="D577" s="5">
        <f>IF($E577="","",INDEX('Input Transaksi'!$F:$F,$E577))</f>
        <v/>
      </c>
      <c r="E577">
        <f>IFERROR(AGGREGATE(15,6,ROW('Input Transaksi'!$B$5:$B$5000)/('Input Transaksi'!$B$5:$B$5000="JCL AYANI"),ROWS($E$5:E577)),"")</f>
        <v/>
      </c>
      <c r="F577" s="5" t="n"/>
    </row>
    <row r="578">
      <c r="A578" s="10">
        <f>IF($E578="","",INDEX('Input Transaksi'!$A:$A,$E578))</f>
        <v/>
      </c>
      <c r="B578" s="5">
        <f>IF($E578="","",INDEX('Input Transaksi'!$D:$D,$E578))</f>
        <v/>
      </c>
      <c r="C578">
        <f>IF($E578="","",INDEX('Input Transaksi'!$E:$E,$E578))</f>
        <v/>
      </c>
      <c r="D578" s="5">
        <f>IF($E578="","",INDEX('Input Transaksi'!$F:$F,$E578))</f>
        <v/>
      </c>
      <c r="E578">
        <f>IFERROR(AGGREGATE(15,6,ROW('Input Transaksi'!$B$5:$B$5000)/('Input Transaksi'!$B$5:$B$5000="JCL AYANI"),ROWS($E$5:E578)),"")</f>
        <v/>
      </c>
      <c r="F578" s="5" t="n"/>
    </row>
    <row r="579">
      <c r="A579" s="10">
        <f>IF($E579="","",INDEX('Input Transaksi'!$A:$A,$E579))</f>
        <v/>
      </c>
      <c r="B579" s="5">
        <f>IF($E579="","",INDEX('Input Transaksi'!$D:$D,$E579))</f>
        <v/>
      </c>
      <c r="C579">
        <f>IF($E579="","",INDEX('Input Transaksi'!$E:$E,$E579))</f>
        <v/>
      </c>
      <c r="D579" s="5">
        <f>IF($E579="","",INDEX('Input Transaksi'!$F:$F,$E579))</f>
        <v/>
      </c>
      <c r="E579">
        <f>IFERROR(AGGREGATE(15,6,ROW('Input Transaksi'!$B$5:$B$5000)/('Input Transaksi'!$B$5:$B$5000="JCL AYANI"),ROWS($E$5:E579)),"")</f>
        <v/>
      </c>
      <c r="F579" s="5" t="n"/>
    </row>
    <row r="580">
      <c r="A580" s="10">
        <f>IF($E580="","",INDEX('Input Transaksi'!$A:$A,$E580))</f>
        <v/>
      </c>
      <c r="B580" s="5">
        <f>IF($E580="","",INDEX('Input Transaksi'!$D:$D,$E580))</f>
        <v/>
      </c>
      <c r="C580">
        <f>IF($E580="","",INDEX('Input Transaksi'!$E:$E,$E580))</f>
        <v/>
      </c>
      <c r="D580" s="5">
        <f>IF($E580="","",INDEX('Input Transaksi'!$F:$F,$E580))</f>
        <v/>
      </c>
      <c r="E580">
        <f>IFERROR(AGGREGATE(15,6,ROW('Input Transaksi'!$B$5:$B$5000)/('Input Transaksi'!$B$5:$B$5000="JCL AYANI"),ROWS($E$5:E580)),"")</f>
        <v/>
      </c>
      <c r="F580" s="5" t="n"/>
    </row>
    <row r="581">
      <c r="A581" s="10">
        <f>IF($E581="","",INDEX('Input Transaksi'!$A:$A,$E581))</f>
        <v/>
      </c>
      <c r="B581" s="5">
        <f>IF($E581="","",INDEX('Input Transaksi'!$D:$D,$E581))</f>
        <v/>
      </c>
      <c r="C581">
        <f>IF($E581="","",INDEX('Input Transaksi'!$E:$E,$E581))</f>
        <v/>
      </c>
      <c r="D581" s="5">
        <f>IF($E581="","",INDEX('Input Transaksi'!$F:$F,$E581))</f>
        <v/>
      </c>
      <c r="E581">
        <f>IFERROR(AGGREGATE(15,6,ROW('Input Transaksi'!$B$5:$B$5000)/('Input Transaksi'!$B$5:$B$5000="JCL AYANI"),ROWS($E$5:E581)),"")</f>
        <v/>
      </c>
      <c r="F581" s="5" t="n"/>
    </row>
    <row r="582">
      <c r="A582" s="10">
        <f>IF($E582="","",INDEX('Input Transaksi'!$A:$A,$E582))</f>
        <v/>
      </c>
      <c r="B582" s="5">
        <f>IF($E582="","",INDEX('Input Transaksi'!$D:$D,$E582))</f>
        <v/>
      </c>
      <c r="C582">
        <f>IF($E582="","",INDEX('Input Transaksi'!$E:$E,$E582))</f>
        <v/>
      </c>
      <c r="D582" s="5">
        <f>IF($E582="","",INDEX('Input Transaksi'!$F:$F,$E582))</f>
        <v/>
      </c>
      <c r="E582">
        <f>IFERROR(AGGREGATE(15,6,ROW('Input Transaksi'!$B$5:$B$5000)/('Input Transaksi'!$B$5:$B$5000="JCL AYANI"),ROWS($E$5:E582)),"")</f>
        <v/>
      </c>
      <c r="F582" s="5" t="n"/>
    </row>
    <row r="583">
      <c r="A583" s="10">
        <f>IF($E583="","",INDEX('Input Transaksi'!$A:$A,$E583))</f>
        <v/>
      </c>
      <c r="B583" s="5">
        <f>IF($E583="","",INDEX('Input Transaksi'!$D:$D,$E583))</f>
        <v/>
      </c>
      <c r="C583">
        <f>IF($E583="","",INDEX('Input Transaksi'!$E:$E,$E583))</f>
        <v/>
      </c>
      <c r="D583" s="5">
        <f>IF($E583="","",INDEX('Input Transaksi'!$F:$F,$E583))</f>
        <v/>
      </c>
      <c r="E583">
        <f>IFERROR(AGGREGATE(15,6,ROW('Input Transaksi'!$B$5:$B$5000)/('Input Transaksi'!$B$5:$B$5000="JCL AYANI"),ROWS($E$5:E583)),"")</f>
        <v/>
      </c>
      <c r="F583" s="5" t="n"/>
    </row>
    <row r="584">
      <c r="A584" s="10">
        <f>IF($E584="","",INDEX('Input Transaksi'!$A:$A,$E584))</f>
        <v/>
      </c>
      <c r="B584" s="5">
        <f>IF($E584="","",INDEX('Input Transaksi'!$D:$D,$E584))</f>
        <v/>
      </c>
      <c r="C584">
        <f>IF($E584="","",INDEX('Input Transaksi'!$E:$E,$E584))</f>
        <v/>
      </c>
      <c r="D584" s="5">
        <f>IF($E584="","",INDEX('Input Transaksi'!$F:$F,$E584))</f>
        <v/>
      </c>
      <c r="E584">
        <f>IFERROR(AGGREGATE(15,6,ROW('Input Transaksi'!$B$5:$B$5000)/('Input Transaksi'!$B$5:$B$5000="JCL AYANI"),ROWS($E$5:E584)),"")</f>
        <v/>
      </c>
      <c r="F584" s="5" t="n"/>
    </row>
    <row r="585">
      <c r="A585" s="10">
        <f>IF($E585="","",INDEX('Input Transaksi'!$A:$A,$E585))</f>
        <v/>
      </c>
      <c r="B585" s="5">
        <f>IF($E585="","",INDEX('Input Transaksi'!$D:$D,$E585))</f>
        <v/>
      </c>
      <c r="C585">
        <f>IF($E585="","",INDEX('Input Transaksi'!$E:$E,$E585))</f>
        <v/>
      </c>
      <c r="D585" s="5">
        <f>IF($E585="","",INDEX('Input Transaksi'!$F:$F,$E585))</f>
        <v/>
      </c>
      <c r="E585">
        <f>IFERROR(AGGREGATE(15,6,ROW('Input Transaksi'!$B$5:$B$5000)/('Input Transaksi'!$B$5:$B$5000="JCL AYANI"),ROWS($E$5:E585)),"")</f>
        <v/>
      </c>
      <c r="F585" s="5" t="n"/>
    </row>
    <row r="586">
      <c r="A586" s="10">
        <f>IF($E586="","",INDEX('Input Transaksi'!$A:$A,$E586))</f>
        <v/>
      </c>
      <c r="B586" s="5">
        <f>IF($E586="","",INDEX('Input Transaksi'!$D:$D,$E586))</f>
        <v/>
      </c>
      <c r="C586">
        <f>IF($E586="","",INDEX('Input Transaksi'!$E:$E,$E586))</f>
        <v/>
      </c>
      <c r="D586" s="5">
        <f>IF($E586="","",INDEX('Input Transaksi'!$F:$F,$E586))</f>
        <v/>
      </c>
      <c r="E586">
        <f>IFERROR(AGGREGATE(15,6,ROW('Input Transaksi'!$B$5:$B$5000)/('Input Transaksi'!$B$5:$B$5000="JCL AYANI"),ROWS($E$5:E586)),"")</f>
        <v/>
      </c>
      <c r="F586" s="5" t="n"/>
    </row>
    <row r="587">
      <c r="A587" s="10">
        <f>IF($E587="","",INDEX('Input Transaksi'!$A:$A,$E587))</f>
        <v/>
      </c>
      <c r="B587" s="5">
        <f>IF($E587="","",INDEX('Input Transaksi'!$D:$D,$E587))</f>
        <v/>
      </c>
      <c r="C587">
        <f>IF($E587="","",INDEX('Input Transaksi'!$E:$E,$E587))</f>
        <v/>
      </c>
      <c r="D587" s="5">
        <f>IF($E587="","",INDEX('Input Transaksi'!$F:$F,$E587))</f>
        <v/>
      </c>
      <c r="E587">
        <f>IFERROR(AGGREGATE(15,6,ROW('Input Transaksi'!$B$5:$B$5000)/('Input Transaksi'!$B$5:$B$5000="JCL AYANI"),ROWS($E$5:E587)),"")</f>
        <v/>
      </c>
      <c r="F587" s="5" t="n"/>
    </row>
    <row r="588">
      <c r="A588" s="10">
        <f>IF($E588="","",INDEX('Input Transaksi'!$A:$A,$E588))</f>
        <v/>
      </c>
      <c r="B588" s="5">
        <f>IF($E588="","",INDEX('Input Transaksi'!$D:$D,$E588))</f>
        <v/>
      </c>
      <c r="C588">
        <f>IF($E588="","",INDEX('Input Transaksi'!$E:$E,$E588))</f>
        <v/>
      </c>
      <c r="D588" s="5">
        <f>IF($E588="","",INDEX('Input Transaksi'!$F:$F,$E588))</f>
        <v/>
      </c>
      <c r="E588">
        <f>IFERROR(AGGREGATE(15,6,ROW('Input Transaksi'!$B$5:$B$5000)/('Input Transaksi'!$B$5:$B$5000="JCL AYANI"),ROWS($E$5:E588)),"")</f>
        <v/>
      </c>
      <c r="F588" s="5" t="n"/>
    </row>
    <row r="589">
      <c r="A589" s="10">
        <f>IF($E589="","",INDEX('Input Transaksi'!$A:$A,$E589))</f>
        <v/>
      </c>
      <c r="B589" s="5">
        <f>IF($E589="","",INDEX('Input Transaksi'!$D:$D,$E589))</f>
        <v/>
      </c>
      <c r="C589">
        <f>IF($E589="","",INDEX('Input Transaksi'!$E:$E,$E589))</f>
        <v/>
      </c>
      <c r="D589" s="5">
        <f>IF($E589="","",INDEX('Input Transaksi'!$F:$F,$E589))</f>
        <v/>
      </c>
      <c r="E589">
        <f>IFERROR(AGGREGATE(15,6,ROW('Input Transaksi'!$B$5:$B$5000)/('Input Transaksi'!$B$5:$B$5000="JCL AYANI"),ROWS($E$5:E589)),"")</f>
        <v/>
      </c>
      <c r="F589" s="5" t="n"/>
    </row>
    <row r="590">
      <c r="A590" s="10">
        <f>IF($E590="","",INDEX('Input Transaksi'!$A:$A,$E590))</f>
        <v/>
      </c>
      <c r="B590" s="5">
        <f>IF($E590="","",INDEX('Input Transaksi'!$D:$D,$E590))</f>
        <v/>
      </c>
      <c r="C590">
        <f>IF($E590="","",INDEX('Input Transaksi'!$E:$E,$E590))</f>
        <v/>
      </c>
      <c r="D590" s="5">
        <f>IF($E590="","",INDEX('Input Transaksi'!$F:$F,$E590))</f>
        <v/>
      </c>
      <c r="E590">
        <f>IFERROR(AGGREGATE(15,6,ROW('Input Transaksi'!$B$5:$B$5000)/('Input Transaksi'!$B$5:$B$5000="JCL AYANI"),ROWS($E$5:E590)),"")</f>
        <v/>
      </c>
      <c r="F590" s="5" t="n"/>
    </row>
    <row r="591">
      <c r="A591" s="10">
        <f>IF($E591="","",INDEX('Input Transaksi'!$A:$A,$E591))</f>
        <v/>
      </c>
      <c r="B591" s="5">
        <f>IF($E591="","",INDEX('Input Transaksi'!$D:$D,$E591))</f>
        <v/>
      </c>
      <c r="C591">
        <f>IF($E591="","",INDEX('Input Transaksi'!$E:$E,$E591))</f>
        <v/>
      </c>
      <c r="D591" s="5">
        <f>IF($E591="","",INDEX('Input Transaksi'!$F:$F,$E591))</f>
        <v/>
      </c>
      <c r="E591">
        <f>IFERROR(AGGREGATE(15,6,ROW('Input Transaksi'!$B$5:$B$5000)/('Input Transaksi'!$B$5:$B$5000="JCL AYANI"),ROWS($E$5:E591)),"")</f>
        <v/>
      </c>
      <c r="F591" s="5" t="n"/>
    </row>
    <row r="592">
      <c r="A592" s="10">
        <f>IF($E592="","",INDEX('Input Transaksi'!$A:$A,$E592))</f>
        <v/>
      </c>
      <c r="B592" s="5">
        <f>IF($E592="","",INDEX('Input Transaksi'!$D:$D,$E592))</f>
        <v/>
      </c>
      <c r="C592">
        <f>IF($E592="","",INDEX('Input Transaksi'!$E:$E,$E592))</f>
        <v/>
      </c>
      <c r="D592" s="5">
        <f>IF($E592="","",INDEX('Input Transaksi'!$F:$F,$E592))</f>
        <v/>
      </c>
      <c r="E592">
        <f>IFERROR(AGGREGATE(15,6,ROW('Input Transaksi'!$B$5:$B$5000)/('Input Transaksi'!$B$5:$B$5000="JCL AYANI"),ROWS($E$5:E592)),"")</f>
        <v/>
      </c>
      <c r="F592" s="5" t="n"/>
    </row>
    <row r="593">
      <c r="A593" s="10">
        <f>IF($E593="","",INDEX('Input Transaksi'!$A:$A,$E593))</f>
        <v/>
      </c>
      <c r="B593" s="5">
        <f>IF($E593="","",INDEX('Input Transaksi'!$D:$D,$E593))</f>
        <v/>
      </c>
      <c r="C593">
        <f>IF($E593="","",INDEX('Input Transaksi'!$E:$E,$E593))</f>
        <v/>
      </c>
      <c r="D593" s="5">
        <f>IF($E593="","",INDEX('Input Transaksi'!$F:$F,$E593))</f>
        <v/>
      </c>
      <c r="E593">
        <f>IFERROR(AGGREGATE(15,6,ROW('Input Transaksi'!$B$5:$B$5000)/('Input Transaksi'!$B$5:$B$5000="JCL AYANI"),ROWS($E$5:E593)),"")</f>
        <v/>
      </c>
      <c r="F593" s="5" t="n"/>
    </row>
    <row r="594">
      <c r="A594" s="10">
        <f>IF($E594="","",INDEX('Input Transaksi'!$A:$A,$E594))</f>
        <v/>
      </c>
      <c r="B594" s="5">
        <f>IF($E594="","",INDEX('Input Transaksi'!$D:$D,$E594))</f>
        <v/>
      </c>
      <c r="C594">
        <f>IF($E594="","",INDEX('Input Transaksi'!$E:$E,$E594))</f>
        <v/>
      </c>
      <c r="D594" s="5">
        <f>IF($E594="","",INDEX('Input Transaksi'!$F:$F,$E594))</f>
        <v/>
      </c>
      <c r="E594">
        <f>IFERROR(AGGREGATE(15,6,ROW('Input Transaksi'!$B$5:$B$5000)/('Input Transaksi'!$B$5:$B$5000="JCL AYANI"),ROWS($E$5:E594)),"")</f>
        <v/>
      </c>
      <c r="F594" s="5" t="n"/>
    </row>
    <row r="595">
      <c r="A595" s="10">
        <f>IF($E595="","",INDEX('Input Transaksi'!$A:$A,$E595))</f>
        <v/>
      </c>
      <c r="B595" s="5">
        <f>IF($E595="","",INDEX('Input Transaksi'!$D:$D,$E595))</f>
        <v/>
      </c>
      <c r="C595">
        <f>IF($E595="","",INDEX('Input Transaksi'!$E:$E,$E595))</f>
        <v/>
      </c>
      <c r="D595" s="5">
        <f>IF($E595="","",INDEX('Input Transaksi'!$F:$F,$E595))</f>
        <v/>
      </c>
      <c r="E595">
        <f>IFERROR(AGGREGATE(15,6,ROW('Input Transaksi'!$B$5:$B$5000)/('Input Transaksi'!$B$5:$B$5000="JCL AYANI"),ROWS($E$5:E595)),"")</f>
        <v/>
      </c>
      <c r="F595" s="5" t="n"/>
    </row>
    <row r="596">
      <c r="A596" s="10">
        <f>IF($E596="","",INDEX('Input Transaksi'!$A:$A,$E596))</f>
        <v/>
      </c>
      <c r="B596" s="5">
        <f>IF($E596="","",INDEX('Input Transaksi'!$D:$D,$E596))</f>
        <v/>
      </c>
      <c r="C596">
        <f>IF($E596="","",INDEX('Input Transaksi'!$E:$E,$E596))</f>
        <v/>
      </c>
      <c r="D596" s="5">
        <f>IF($E596="","",INDEX('Input Transaksi'!$F:$F,$E596))</f>
        <v/>
      </c>
      <c r="E596">
        <f>IFERROR(AGGREGATE(15,6,ROW('Input Transaksi'!$B$5:$B$5000)/('Input Transaksi'!$B$5:$B$5000="JCL AYANI"),ROWS($E$5:E596)),"")</f>
        <v/>
      </c>
      <c r="F596" s="5" t="n"/>
    </row>
    <row r="597">
      <c r="A597" s="10">
        <f>IF($E597="","",INDEX('Input Transaksi'!$A:$A,$E597))</f>
        <v/>
      </c>
      <c r="B597" s="5">
        <f>IF($E597="","",INDEX('Input Transaksi'!$D:$D,$E597))</f>
        <v/>
      </c>
      <c r="C597">
        <f>IF($E597="","",INDEX('Input Transaksi'!$E:$E,$E597))</f>
        <v/>
      </c>
      <c r="D597" s="5">
        <f>IF($E597="","",INDEX('Input Transaksi'!$F:$F,$E597))</f>
        <v/>
      </c>
      <c r="E597">
        <f>IFERROR(AGGREGATE(15,6,ROW('Input Transaksi'!$B$5:$B$5000)/('Input Transaksi'!$B$5:$B$5000="JCL AYANI"),ROWS($E$5:E597)),"")</f>
        <v/>
      </c>
      <c r="F597" s="5" t="n"/>
    </row>
    <row r="598">
      <c r="A598" s="10">
        <f>IF($E598="","",INDEX('Input Transaksi'!$A:$A,$E598))</f>
        <v/>
      </c>
      <c r="B598" s="5">
        <f>IF($E598="","",INDEX('Input Transaksi'!$D:$D,$E598))</f>
        <v/>
      </c>
      <c r="C598">
        <f>IF($E598="","",INDEX('Input Transaksi'!$E:$E,$E598))</f>
        <v/>
      </c>
      <c r="D598" s="5">
        <f>IF($E598="","",INDEX('Input Transaksi'!$F:$F,$E598))</f>
        <v/>
      </c>
      <c r="E598">
        <f>IFERROR(AGGREGATE(15,6,ROW('Input Transaksi'!$B$5:$B$5000)/('Input Transaksi'!$B$5:$B$5000="JCL AYANI"),ROWS($E$5:E598)),"")</f>
        <v/>
      </c>
      <c r="F598" s="5" t="n"/>
    </row>
    <row r="599">
      <c r="A599" s="10">
        <f>IF($E599="","",INDEX('Input Transaksi'!$A:$A,$E599))</f>
        <v/>
      </c>
      <c r="B599" s="5">
        <f>IF($E599="","",INDEX('Input Transaksi'!$D:$D,$E599))</f>
        <v/>
      </c>
      <c r="C599">
        <f>IF($E599="","",INDEX('Input Transaksi'!$E:$E,$E599))</f>
        <v/>
      </c>
      <c r="D599" s="5">
        <f>IF($E599="","",INDEX('Input Transaksi'!$F:$F,$E599))</f>
        <v/>
      </c>
      <c r="E599">
        <f>IFERROR(AGGREGATE(15,6,ROW('Input Transaksi'!$B$5:$B$5000)/('Input Transaksi'!$B$5:$B$5000="JCL AYANI"),ROWS($E$5:E599)),"")</f>
        <v/>
      </c>
      <c r="F599" s="5" t="n"/>
    </row>
    <row r="600">
      <c r="A600" s="10">
        <f>IF($E600="","",INDEX('Input Transaksi'!$A:$A,$E600))</f>
        <v/>
      </c>
      <c r="B600" s="5">
        <f>IF($E600="","",INDEX('Input Transaksi'!$D:$D,$E600))</f>
        <v/>
      </c>
      <c r="C600">
        <f>IF($E600="","",INDEX('Input Transaksi'!$E:$E,$E600))</f>
        <v/>
      </c>
      <c r="D600" s="5">
        <f>IF($E600="","",INDEX('Input Transaksi'!$F:$F,$E600))</f>
        <v/>
      </c>
      <c r="E600">
        <f>IFERROR(AGGREGATE(15,6,ROW('Input Transaksi'!$B$5:$B$5000)/('Input Transaksi'!$B$5:$B$5000="JCL AYANI"),ROWS($E$5:E600)),"")</f>
        <v/>
      </c>
      <c r="F600" s="5" t="n"/>
    </row>
    <row r="601">
      <c r="A601" s="10">
        <f>IF($E601="","",INDEX('Input Transaksi'!$A:$A,$E601))</f>
        <v/>
      </c>
      <c r="B601" s="5">
        <f>IF($E601="","",INDEX('Input Transaksi'!$D:$D,$E601))</f>
        <v/>
      </c>
      <c r="C601">
        <f>IF($E601="","",INDEX('Input Transaksi'!$E:$E,$E601))</f>
        <v/>
      </c>
      <c r="D601" s="5">
        <f>IF($E601="","",INDEX('Input Transaksi'!$F:$F,$E601))</f>
        <v/>
      </c>
      <c r="E601">
        <f>IFERROR(AGGREGATE(15,6,ROW('Input Transaksi'!$B$5:$B$5000)/('Input Transaksi'!$B$5:$B$5000="JCL AYANI"),ROWS($E$5:E601)),"")</f>
        <v/>
      </c>
      <c r="F601" s="5" t="n"/>
    </row>
    <row r="602">
      <c r="A602" s="10">
        <f>IF($E602="","",INDEX('Input Transaksi'!$A:$A,$E602))</f>
        <v/>
      </c>
      <c r="B602" s="5">
        <f>IF($E602="","",INDEX('Input Transaksi'!$D:$D,$E602))</f>
        <v/>
      </c>
      <c r="C602">
        <f>IF($E602="","",INDEX('Input Transaksi'!$E:$E,$E602))</f>
        <v/>
      </c>
      <c r="D602" s="5">
        <f>IF($E602="","",INDEX('Input Transaksi'!$F:$F,$E602))</f>
        <v/>
      </c>
      <c r="E602">
        <f>IFERROR(AGGREGATE(15,6,ROW('Input Transaksi'!$B$5:$B$5000)/('Input Transaksi'!$B$5:$B$5000="JCL AYANI"),ROWS($E$5:E602)),"")</f>
        <v/>
      </c>
      <c r="F602" s="5" t="n"/>
    </row>
    <row r="603">
      <c r="A603" s="10">
        <f>IF($E603="","",INDEX('Input Transaksi'!$A:$A,$E603))</f>
        <v/>
      </c>
      <c r="B603" s="5">
        <f>IF($E603="","",INDEX('Input Transaksi'!$D:$D,$E603))</f>
        <v/>
      </c>
      <c r="C603">
        <f>IF($E603="","",INDEX('Input Transaksi'!$E:$E,$E603))</f>
        <v/>
      </c>
      <c r="D603" s="5">
        <f>IF($E603="","",INDEX('Input Transaksi'!$F:$F,$E603))</f>
        <v/>
      </c>
      <c r="E603">
        <f>IFERROR(AGGREGATE(15,6,ROW('Input Transaksi'!$B$5:$B$5000)/('Input Transaksi'!$B$5:$B$5000="JCL AYANI"),ROWS($E$5:E603)),"")</f>
        <v/>
      </c>
      <c r="F603" s="5" t="n"/>
    </row>
    <row r="604">
      <c r="A604" s="10">
        <f>IF($E604="","",INDEX('Input Transaksi'!$A:$A,$E604))</f>
        <v/>
      </c>
      <c r="B604" s="5">
        <f>IF($E604="","",INDEX('Input Transaksi'!$D:$D,$E604))</f>
        <v/>
      </c>
      <c r="C604">
        <f>IF($E604="","",INDEX('Input Transaksi'!$E:$E,$E604))</f>
        <v/>
      </c>
      <c r="D604" s="5">
        <f>IF($E604="","",INDEX('Input Transaksi'!$F:$F,$E604))</f>
        <v/>
      </c>
      <c r="E604">
        <f>IFERROR(AGGREGATE(15,6,ROW('Input Transaksi'!$B$5:$B$5000)/('Input Transaksi'!$B$5:$B$5000="JCL AYANI"),ROWS($E$5:E604)),"")</f>
        <v/>
      </c>
      <c r="F604" s="5" t="n"/>
    </row>
    <row r="605">
      <c r="A605" s="10">
        <f>IF($E605="","",INDEX('Input Transaksi'!$A:$A,$E605))</f>
        <v/>
      </c>
      <c r="B605" s="5">
        <f>IF($E605="","",INDEX('Input Transaksi'!$D:$D,$E605))</f>
        <v/>
      </c>
      <c r="C605">
        <f>IF($E605="","",INDEX('Input Transaksi'!$E:$E,$E605))</f>
        <v/>
      </c>
      <c r="D605" s="5">
        <f>IF($E605="","",INDEX('Input Transaksi'!$F:$F,$E605))</f>
        <v/>
      </c>
      <c r="E605">
        <f>IFERROR(AGGREGATE(15,6,ROW('Input Transaksi'!$B$5:$B$5000)/('Input Transaksi'!$B$5:$B$5000="JCL AYANI"),ROWS($E$5:E605)),"")</f>
        <v/>
      </c>
      <c r="F605" s="5" t="n"/>
    </row>
    <row r="606">
      <c r="A606" s="10">
        <f>IF($E606="","",INDEX('Input Transaksi'!$A:$A,$E606))</f>
        <v/>
      </c>
      <c r="B606" s="5">
        <f>IF($E606="","",INDEX('Input Transaksi'!$D:$D,$E606))</f>
        <v/>
      </c>
      <c r="C606">
        <f>IF($E606="","",INDEX('Input Transaksi'!$E:$E,$E606))</f>
        <v/>
      </c>
      <c r="D606" s="5">
        <f>IF($E606="","",INDEX('Input Transaksi'!$F:$F,$E606))</f>
        <v/>
      </c>
      <c r="E606">
        <f>IFERROR(AGGREGATE(15,6,ROW('Input Transaksi'!$B$5:$B$5000)/('Input Transaksi'!$B$5:$B$5000="JCL AYANI"),ROWS($E$5:E606)),"")</f>
        <v/>
      </c>
      <c r="F606" s="5" t="n"/>
    </row>
    <row r="607">
      <c r="A607" s="10">
        <f>IF($E607="","",INDEX('Input Transaksi'!$A:$A,$E607))</f>
        <v/>
      </c>
      <c r="B607" s="5">
        <f>IF($E607="","",INDEX('Input Transaksi'!$D:$D,$E607))</f>
        <v/>
      </c>
      <c r="C607">
        <f>IF($E607="","",INDEX('Input Transaksi'!$E:$E,$E607))</f>
        <v/>
      </c>
      <c r="D607" s="5">
        <f>IF($E607="","",INDEX('Input Transaksi'!$F:$F,$E607))</f>
        <v/>
      </c>
      <c r="E607">
        <f>IFERROR(AGGREGATE(15,6,ROW('Input Transaksi'!$B$5:$B$5000)/('Input Transaksi'!$B$5:$B$5000="JCL AYANI"),ROWS($E$5:E607)),"")</f>
        <v/>
      </c>
      <c r="F607" s="5" t="n"/>
    </row>
    <row r="608">
      <c r="A608" s="10">
        <f>IF($E608="","",INDEX('Input Transaksi'!$A:$A,$E608))</f>
        <v/>
      </c>
      <c r="B608" s="5">
        <f>IF($E608="","",INDEX('Input Transaksi'!$D:$D,$E608))</f>
        <v/>
      </c>
      <c r="C608">
        <f>IF($E608="","",INDEX('Input Transaksi'!$E:$E,$E608))</f>
        <v/>
      </c>
      <c r="D608" s="5">
        <f>IF($E608="","",INDEX('Input Transaksi'!$F:$F,$E608))</f>
        <v/>
      </c>
      <c r="E608">
        <f>IFERROR(AGGREGATE(15,6,ROW('Input Transaksi'!$B$5:$B$5000)/('Input Transaksi'!$B$5:$B$5000="JCL AYANI"),ROWS($E$5:E608)),"")</f>
        <v/>
      </c>
      <c r="F608" s="5" t="n"/>
    </row>
    <row r="609">
      <c r="A609" s="10">
        <f>IF($E609="","",INDEX('Input Transaksi'!$A:$A,$E609))</f>
        <v/>
      </c>
      <c r="B609" s="5">
        <f>IF($E609="","",INDEX('Input Transaksi'!$D:$D,$E609))</f>
        <v/>
      </c>
      <c r="C609">
        <f>IF($E609="","",INDEX('Input Transaksi'!$E:$E,$E609))</f>
        <v/>
      </c>
      <c r="D609" s="5">
        <f>IF($E609="","",INDEX('Input Transaksi'!$F:$F,$E609))</f>
        <v/>
      </c>
      <c r="E609">
        <f>IFERROR(AGGREGATE(15,6,ROW('Input Transaksi'!$B$5:$B$5000)/('Input Transaksi'!$B$5:$B$5000="JCL AYANI"),ROWS($E$5:E609)),"")</f>
        <v/>
      </c>
      <c r="F609" s="5" t="n"/>
    </row>
    <row r="610">
      <c r="A610" s="10">
        <f>IF($E610="","",INDEX('Input Transaksi'!$A:$A,$E610))</f>
        <v/>
      </c>
      <c r="B610" s="5">
        <f>IF($E610="","",INDEX('Input Transaksi'!$D:$D,$E610))</f>
        <v/>
      </c>
      <c r="C610">
        <f>IF($E610="","",INDEX('Input Transaksi'!$E:$E,$E610))</f>
        <v/>
      </c>
      <c r="D610" s="5">
        <f>IF($E610="","",INDEX('Input Transaksi'!$F:$F,$E610))</f>
        <v/>
      </c>
      <c r="E610">
        <f>IFERROR(AGGREGATE(15,6,ROW('Input Transaksi'!$B$5:$B$5000)/('Input Transaksi'!$B$5:$B$5000="JCL AYANI"),ROWS($E$5:E610)),"")</f>
        <v/>
      </c>
      <c r="F610" s="5" t="n"/>
    </row>
    <row r="611">
      <c r="A611" s="10">
        <f>IF($E611="","",INDEX('Input Transaksi'!$A:$A,$E611))</f>
        <v/>
      </c>
      <c r="B611" s="5">
        <f>IF($E611="","",INDEX('Input Transaksi'!$D:$D,$E611))</f>
        <v/>
      </c>
      <c r="C611">
        <f>IF($E611="","",INDEX('Input Transaksi'!$E:$E,$E611))</f>
        <v/>
      </c>
      <c r="D611" s="5">
        <f>IF($E611="","",INDEX('Input Transaksi'!$F:$F,$E611))</f>
        <v/>
      </c>
      <c r="E611">
        <f>IFERROR(AGGREGATE(15,6,ROW('Input Transaksi'!$B$5:$B$5000)/('Input Transaksi'!$B$5:$B$5000="JCL AYANI"),ROWS($E$5:E611)),"")</f>
        <v/>
      </c>
      <c r="F611" s="5" t="n"/>
    </row>
    <row r="612">
      <c r="A612" s="10">
        <f>IF($E612="","",INDEX('Input Transaksi'!$A:$A,$E612))</f>
        <v/>
      </c>
      <c r="B612" s="5">
        <f>IF($E612="","",INDEX('Input Transaksi'!$D:$D,$E612))</f>
        <v/>
      </c>
      <c r="C612">
        <f>IF($E612="","",INDEX('Input Transaksi'!$E:$E,$E612))</f>
        <v/>
      </c>
      <c r="D612" s="5">
        <f>IF($E612="","",INDEX('Input Transaksi'!$F:$F,$E612))</f>
        <v/>
      </c>
      <c r="E612">
        <f>IFERROR(AGGREGATE(15,6,ROW('Input Transaksi'!$B$5:$B$5000)/('Input Transaksi'!$B$5:$B$5000="JCL AYANI"),ROWS($E$5:E612)),"")</f>
        <v/>
      </c>
      <c r="F612" s="5" t="n"/>
    </row>
    <row r="613">
      <c r="A613" s="10">
        <f>IF($E613="","",INDEX('Input Transaksi'!$A:$A,$E613))</f>
        <v/>
      </c>
      <c r="B613" s="5">
        <f>IF($E613="","",INDEX('Input Transaksi'!$D:$D,$E613))</f>
        <v/>
      </c>
      <c r="C613">
        <f>IF($E613="","",INDEX('Input Transaksi'!$E:$E,$E613))</f>
        <v/>
      </c>
      <c r="D613" s="5">
        <f>IF($E613="","",INDEX('Input Transaksi'!$F:$F,$E613))</f>
        <v/>
      </c>
      <c r="E613">
        <f>IFERROR(AGGREGATE(15,6,ROW('Input Transaksi'!$B$5:$B$5000)/('Input Transaksi'!$B$5:$B$5000="JCL AYANI"),ROWS($E$5:E613)),"")</f>
        <v/>
      </c>
      <c r="F613" s="5" t="n"/>
    </row>
    <row r="614">
      <c r="A614" s="10">
        <f>IF($E614="","",INDEX('Input Transaksi'!$A:$A,$E614))</f>
        <v/>
      </c>
      <c r="B614" s="5">
        <f>IF($E614="","",INDEX('Input Transaksi'!$D:$D,$E614))</f>
        <v/>
      </c>
      <c r="C614">
        <f>IF($E614="","",INDEX('Input Transaksi'!$E:$E,$E614))</f>
        <v/>
      </c>
      <c r="D614" s="5">
        <f>IF($E614="","",INDEX('Input Transaksi'!$F:$F,$E614))</f>
        <v/>
      </c>
      <c r="E614">
        <f>IFERROR(AGGREGATE(15,6,ROW('Input Transaksi'!$B$5:$B$5000)/('Input Transaksi'!$B$5:$B$5000="JCL AYANI"),ROWS($E$5:E614)),"")</f>
        <v/>
      </c>
      <c r="F614" s="5" t="n"/>
    </row>
    <row r="615">
      <c r="A615" s="10">
        <f>IF($E615="","",INDEX('Input Transaksi'!$A:$A,$E615))</f>
        <v/>
      </c>
      <c r="B615" s="5">
        <f>IF($E615="","",INDEX('Input Transaksi'!$D:$D,$E615))</f>
        <v/>
      </c>
      <c r="C615">
        <f>IF($E615="","",INDEX('Input Transaksi'!$E:$E,$E615))</f>
        <v/>
      </c>
      <c r="D615" s="5">
        <f>IF($E615="","",INDEX('Input Transaksi'!$F:$F,$E615))</f>
        <v/>
      </c>
      <c r="E615">
        <f>IFERROR(AGGREGATE(15,6,ROW('Input Transaksi'!$B$5:$B$5000)/('Input Transaksi'!$B$5:$B$5000="JCL AYANI"),ROWS($E$5:E615)),"")</f>
        <v/>
      </c>
      <c r="F615" s="5" t="n"/>
    </row>
    <row r="616">
      <c r="A616" s="10">
        <f>IF($E616="","",INDEX('Input Transaksi'!$A:$A,$E616))</f>
        <v/>
      </c>
      <c r="B616" s="5">
        <f>IF($E616="","",INDEX('Input Transaksi'!$D:$D,$E616))</f>
        <v/>
      </c>
      <c r="C616">
        <f>IF($E616="","",INDEX('Input Transaksi'!$E:$E,$E616))</f>
        <v/>
      </c>
      <c r="D616" s="5">
        <f>IF($E616="","",INDEX('Input Transaksi'!$F:$F,$E616))</f>
        <v/>
      </c>
      <c r="E616">
        <f>IFERROR(AGGREGATE(15,6,ROW('Input Transaksi'!$B$5:$B$5000)/('Input Transaksi'!$B$5:$B$5000="JCL AYANI"),ROWS($E$5:E616)),"")</f>
        <v/>
      </c>
      <c r="F616" s="5" t="n"/>
    </row>
    <row r="617">
      <c r="A617" s="10">
        <f>IF($E617="","",INDEX('Input Transaksi'!$A:$A,$E617))</f>
        <v/>
      </c>
      <c r="B617" s="5">
        <f>IF($E617="","",INDEX('Input Transaksi'!$D:$D,$E617))</f>
        <v/>
      </c>
      <c r="C617">
        <f>IF($E617="","",INDEX('Input Transaksi'!$E:$E,$E617))</f>
        <v/>
      </c>
      <c r="D617" s="5">
        <f>IF($E617="","",INDEX('Input Transaksi'!$F:$F,$E617))</f>
        <v/>
      </c>
      <c r="E617">
        <f>IFERROR(AGGREGATE(15,6,ROW('Input Transaksi'!$B$5:$B$5000)/('Input Transaksi'!$B$5:$B$5000="JCL AYANI"),ROWS($E$5:E617)),"")</f>
        <v/>
      </c>
      <c r="F617" s="5" t="n"/>
    </row>
    <row r="618">
      <c r="A618" s="10">
        <f>IF($E618="","",INDEX('Input Transaksi'!$A:$A,$E618))</f>
        <v/>
      </c>
      <c r="B618" s="5">
        <f>IF($E618="","",INDEX('Input Transaksi'!$D:$D,$E618))</f>
        <v/>
      </c>
      <c r="C618">
        <f>IF($E618="","",INDEX('Input Transaksi'!$E:$E,$E618))</f>
        <v/>
      </c>
      <c r="D618" s="5">
        <f>IF($E618="","",INDEX('Input Transaksi'!$F:$F,$E618))</f>
        <v/>
      </c>
      <c r="E618">
        <f>IFERROR(AGGREGATE(15,6,ROW('Input Transaksi'!$B$5:$B$5000)/('Input Transaksi'!$B$5:$B$5000="JCL AYANI"),ROWS($E$5:E618)),"")</f>
        <v/>
      </c>
      <c r="F618" s="5" t="n"/>
    </row>
    <row r="619">
      <c r="A619" s="10">
        <f>IF($E619="","",INDEX('Input Transaksi'!$A:$A,$E619))</f>
        <v/>
      </c>
      <c r="B619" s="5">
        <f>IF($E619="","",INDEX('Input Transaksi'!$D:$D,$E619))</f>
        <v/>
      </c>
      <c r="C619">
        <f>IF($E619="","",INDEX('Input Transaksi'!$E:$E,$E619))</f>
        <v/>
      </c>
      <c r="D619" s="5">
        <f>IF($E619="","",INDEX('Input Transaksi'!$F:$F,$E619))</f>
        <v/>
      </c>
      <c r="E619">
        <f>IFERROR(AGGREGATE(15,6,ROW('Input Transaksi'!$B$5:$B$5000)/('Input Transaksi'!$B$5:$B$5000="JCL AYANI"),ROWS($E$5:E619)),"")</f>
        <v/>
      </c>
      <c r="F619" s="5" t="n"/>
    </row>
    <row r="620">
      <c r="A620" s="10">
        <f>IF($E620="","",INDEX('Input Transaksi'!$A:$A,$E620))</f>
        <v/>
      </c>
      <c r="B620" s="5">
        <f>IF($E620="","",INDEX('Input Transaksi'!$D:$D,$E620))</f>
        <v/>
      </c>
      <c r="C620">
        <f>IF($E620="","",INDEX('Input Transaksi'!$E:$E,$E620))</f>
        <v/>
      </c>
      <c r="D620" s="5">
        <f>IF($E620="","",INDEX('Input Transaksi'!$F:$F,$E620))</f>
        <v/>
      </c>
      <c r="E620">
        <f>IFERROR(AGGREGATE(15,6,ROW('Input Transaksi'!$B$5:$B$5000)/('Input Transaksi'!$B$5:$B$5000="JCL AYANI"),ROWS($E$5:E620)),"")</f>
        <v/>
      </c>
      <c r="F620" s="5" t="n"/>
    </row>
    <row r="621">
      <c r="A621" s="10">
        <f>IF($E621="","",INDEX('Input Transaksi'!$A:$A,$E621))</f>
        <v/>
      </c>
      <c r="B621" s="5">
        <f>IF($E621="","",INDEX('Input Transaksi'!$D:$D,$E621))</f>
        <v/>
      </c>
      <c r="C621">
        <f>IF($E621="","",INDEX('Input Transaksi'!$E:$E,$E621))</f>
        <v/>
      </c>
      <c r="D621" s="5">
        <f>IF($E621="","",INDEX('Input Transaksi'!$F:$F,$E621))</f>
        <v/>
      </c>
      <c r="E621">
        <f>IFERROR(AGGREGATE(15,6,ROW('Input Transaksi'!$B$5:$B$5000)/('Input Transaksi'!$B$5:$B$5000="JCL AYANI"),ROWS($E$5:E621)),"")</f>
        <v/>
      </c>
      <c r="F621" s="5" t="n"/>
    </row>
    <row r="622">
      <c r="A622" s="10">
        <f>IF($E622="","",INDEX('Input Transaksi'!$A:$A,$E622))</f>
        <v/>
      </c>
      <c r="B622" s="5">
        <f>IF($E622="","",INDEX('Input Transaksi'!$D:$D,$E622))</f>
        <v/>
      </c>
      <c r="C622">
        <f>IF($E622="","",INDEX('Input Transaksi'!$E:$E,$E622))</f>
        <v/>
      </c>
      <c r="D622" s="5">
        <f>IF($E622="","",INDEX('Input Transaksi'!$F:$F,$E622))</f>
        <v/>
      </c>
      <c r="E622">
        <f>IFERROR(AGGREGATE(15,6,ROW('Input Transaksi'!$B$5:$B$5000)/('Input Transaksi'!$B$5:$B$5000="JCL AYANI"),ROWS($E$5:E622)),"")</f>
        <v/>
      </c>
      <c r="F622" s="5" t="n"/>
    </row>
    <row r="623">
      <c r="A623" s="10">
        <f>IF($E623="","",INDEX('Input Transaksi'!$A:$A,$E623))</f>
        <v/>
      </c>
      <c r="B623" s="5">
        <f>IF($E623="","",INDEX('Input Transaksi'!$D:$D,$E623))</f>
        <v/>
      </c>
      <c r="C623">
        <f>IF($E623="","",INDEX('Input Transaksi'!$E:$E,$E623))</f>
        <v/>
      </c>
      <c r="D623" s="5">
        <f>IF($E623="","",INDEX('Input Transaksi'!$F:$F,$E623))</f>
        <v/>
      </c>
      <c r="E623">
        <f>IFERROR(AGGREGATE(15,6,ROW('Input Transaksi'!$B$5:$B$5000)/('Input Transaksi'!$B$5:$B$5000="JCL AYANI"),ROWS($E$5:E623)),"")</f>
        <v/>
      </c>
      <c r="F623" s="5" t="n"/>
    </row>
    <row r="624">
      <c r="A624" s="10">
        <f>IF($E624="","",INDEX('Input Transaksi'!$A:$A,$E624))</f>
        <v/>
      </c>
      <c r="B624" s="5">
        <f>IF($E624="","",INDEX('Input Transaksi'!$D:$D,$E624))</f>
        <v/>
      </c>
      <c r="C624">
        <f>IF($E624="","",INDEX('Input Transaksi'!$E:$E,$E624))</f>
        <v/>
      </c>
      <c r="D624" s="5">
        <f>IF($E624="","",INDEX('Input Transaksi'!$F:$F,$E624))</f>
        <v/>
      </c>
      <c r="E624">
        <f>IFERROR(AGGREGATE(15,6,ROW('Input Transaksi'!$B$5:$B$5000)/('Input Transaksi'!$B$5:$B$5000="JCL AYANI"),ROWS($E$5:E624)),"")</f>
        <v/>
      </c>
      <c r="F624" s="5" t="n"/>
    </row>
    <row r="625">
      <c r="A625" s="10">
        <f>IF($E625="","",INDEX('Input Transaksi'!$A:$A,$E625))</f>
        <v/>
      </c>
      <c r="B625" s="5">
        <f>IF($E625="","",INDEX('Input Transaksi'!$D:$D,$E625))</f>
        <v/>
      </c>
      <c r="C625">
        <f>IF($E625="","",INDEX('Input Transaksi'!$E:$E,$E625))</f>
        <v/>
      </c>
      <c r="D625" s="5">
        <f>IF($E625="","",INDEX('Input Transaksi'!$F:$F,$E625))</f>
        <v/>
      </c>
      <c r="E625">
        <f>IFERROR(AGGREGATE(15,6,ROW('Input Transaksi'!$B$5:$B$5000)/('Input Transaksi'!$B$5:$B$5000="JCL AYANI"),ROWS($E$5:E625)),"")</f>
        <v/>
      </c>
      <c r="F625" s="5" t="n"/>
    </row>
    <row r="626">
      <c r="A626" s="10">
        <f>IF($E626="","",INDEX('Input Transaksi'!$A:$A,$E626))</f>
        <v/>
      </c>
      <c r="B626" s="5">
        <f>IF($E626="","",INDEX('Input Transaksi'!$D:$D,$E626))</f>
        <v/>
      </c>
      <c r="C626">
        <f>IF($E626="","",INDEX('Input Transaksi'!$E:$E,$E626))</f>
        <v/>
      </c>
      <c r="D626" s="5">
        <f>IF($E626="","",INDEX('Input Transaksi'!$F:$F,$E626))</f>
        <v/>
      </c>
      <c r="E626">
        <f>IFERROR(AGGREGATE(15,6,ROW('Input Transaksi'!$B$5:$B$5000)/('Input Transaksi'!$B$5:$B$5000="JCL AYANI"),ROWS($E$5:E626)),"")</f>
        <v/>
      </c>
      <c r="F626" s="5" t="n"/>
    </row>
    <row r="627">
      <c r="A627" s="10">
        <f>IF($E627="","",INDEX('Input Transaksi'!$A:$A,$E627))</f>
        <v/>
      </c>
      <c r="B627" s="5">
        <f>IF($E627="","",INDEX('Input Transaksi'!$D:$D,$E627))</f>
        <v/>
      </c>
      <c r="C627">
        <f>IF($E627="","",INDEX('Input Transaksi'!$E:$E,$E627))</f>
        <v/>
      </c>
      <c r="D627" s="5">
        <f>IF($E627="","",INDEX('Input Transaksi'!$F:$F,$E627))</f>
        <v/>
      </c>
      <c r="E627">
        <f>IFERROR(AGGREGATE(15,6,ROW('Input Transaksi'!$B$5:$B$5000)/('Input Transaksi'!$B$5:$B$5000="JCL AYANI"),ROWS($E$5:E627)),"")</f>
        <v/>
      </c>
      <c r="F627" s="5" t="n"/>
    </row>
    <row r="628">
      <c r="A628" s="10">
        <f>IF($E628="","",INDEX('Input Transaksi'!$A:$A,$E628))</f>
        <v/>
      </c>
      <c r="B628" s="5">
        <f>IF($E628="","",INDEX('Input Transaksi'!$D:$D,$E628))</f>
        <v/>
      </c>
      <c r="C628">
        <f>IF($E628="","",INDEX('Input Transaksi'!$E:$E,$E628))</f>
        <v/>
      </c>
      <c r="D628" s="5">
        <f>IF($E628="","",INDEX('Input Transaksi'!$F:$F,$E628))</f>
        <v/>
      </c>
      <c r="E628">
        <f>IFERROR(AGGREGATE(15,6,ROW('Input Transaksi'!$B$5:$B$5000)/('Input Transaksi'!$B$5:$B$5000="JCL AYANI"),ROWS($E$5:E628)),"")</f>
        <v/>
      </c>
      <c r="F628" s="5" t="n"/>
    </row>
    <row r="629">
      <c r="A629" s="10">
        <f>IF($E629="","",INDEX('Input Transaksi'!$A:$A,$E629))</f>
        <v/>
      </c>
      <c r="B629" s="5">
        <f>IF($E629="","",INDEX('Input Transaksi'!$D:$D,$E629))</f>
        <v/>
      </c>
      <c r="C629">
        <f>IF($E629="","",INDEX('Input Transaksi'!$E:$E,$E629))</f>
        <v/>
      </c>
      <c r="D629" s="5">
        <f>IF($E629="","",INDEX('Input Transaksi'!$F:$F,$E629))</f>
        <v/>
      </c>
      <c r="E629">
        <f>IFERROR(AGGREGATE(15,6,ROW('Input Transaksi'!$B$5:$B$5000)/('Input Transaksi'!$B$5:$B$5000="JCL AYANI"),ROWS($E$5:E629)),"")</f>
        <v/>
      </c>
      <c r="F629" s="5" t="n"/>
    </row>
    <row r="630">
      <c r="A630" s="10">
        <f>IF($E630="","",INDEX('Input Transaksi'!$A:$A,$E630))</f>
        <v/>
      </c>
      <c r="B630" s="5">
        <f>IF($E630="","",INDEX('Input Transaksi'!$D:$D,$E630))</f>
        <v/>
      </c>
      <c r="C630">
        <f>IF($E630="","",INDEX('Input Transaksi'!$E:$E,$E630))</f>
        <v/>
      </c>
      <c r="D630" s="5">
        <f>IF($E630="","",INDEX('Input Transaksi'!$F:$F,$E630))</f>
        <v/>
      </c>
      <c r="E630">
        <f>IFERROR(AGGREGATE(15,6,ROW('Input Transaksi'!$B$5:$B$5000)/('Input Transaksi'!$B$5:$B$5000="JCL AYANI"),ROWS($E$5:E630)),"")</f>
        <v/>
      </c>
      <c r="F630" s="5" t="n"/>
    </row>
    <row r="631">
      <c r="A631" s="10">
        <f>IF($E631="","",INDEX('Input Transaksi'!$A:$A,$E631))</f>
        <v/>
      </c>
      <c r="B631" s="5">
        <f>IF($E631="","",INDEX('Input Transaksi'!$D:$D,$E631))</f>
        <v/>
      </c>
      <c r="C631">
        <f>IF($E631="","",INDEX('Input Transaksi'!$E:$E,$E631))</f>
        <v/>
      </c>
      <c r="D631" s="5">
        <f>IF($E631="","",INDEX('Input Transaksi'!$F:$F,$E631))</f>
        <v/>
      </c>
      <c r="E631">
        <f>IFERROR(AGGREGATE(15,6,ROW('Input Transaksi'!$B$5:$B$5000)/('Input Transaksi'!$B$5:$B$5000="JCL AYANI"),ROWS($E$5:E631)),"")</f>
        <v/>
      </c>
      <c r="F631" s="5" t="n"/>
    </row>
    <row r="632">
      <c r="A632" s="10">
        <f>IF($E632="","",INDEX('Input Transaksi'!$A:$A,$E632))</f>
        <v/>
      </c>
      <c r="B632" s="5">
        <f>IF($E632="","",INDEX('Input Transaksi'!$D:$D,$E632))</f>
        <v/>
      </c>
      <c r="C632">
        <f>IF($E632="","",INDEX('Input Transaksi'!$E:$E,$E632))</f>
        <v/>
      </c>
      <c r="D632" s="5">
        <f>IF($E632="","",INDEX('Input Transaksi'!$F:$F,$E632))</f>
        <v/>
      </c>
      <c r="E632">
        <f>IFERROR(AGGREGATE(15,6,ROW('Input Transaksi'!$B$5:$B$5000)/('Input Transaksi'!$B$5:$B$5000="JCL AYANI"),ROWS($E$5:E632)),"")</f>
        <v/>
      </c>
      <c r="F632" s="5" t="n"/>
    </row>
    <row r="633">
      <c r="A633" s="10">
        <f>IF($E633="","",INDEX('Input Transaksi'!$A:$A,$E633))</f>
        <v/>
      </c>
      <c r="B633" s="5">
        <f>IF($E633="","",INDEX('Input Transaksi'!$D:$D,$E633))</f>
        <v/>
      </c>
      <c r="C633">
        <f>IF($E633="","",INDEX('Input Transaksi'!$E:$E,$E633))</f>
        <v/>
      </c>
      <c r="D633" s="5">
        <f>IF($E633="","",INDEX('Input Transaksi'!$F:$F,$E633))</f>
        <v/>
      </c>
      <c r="E633">
        <f>IFERROR(AGGREGATE(15,6,ROW('Input Transaksi'!$B$5:$B$5000)/('Input Transaksi'!$B$5:$B$5000="JCL AYANI"),ROWS($E$5:E633)),"")</f>
        <v/>
      </c>
      <c r="F633" s="5" t="n"/>
    </row>
    <row r="634">
      <c r="A634" s="10">
        <f>IF($E634="","",INDEX('Input Transaksi'!$A:$A,$E634))</f>
        <v/>
      </c>
      <c r="B634" s="5">
        <f>IF($E634="","",INDEX('Input Transaksi'!$D:$D,$E634))</f>
        <v/>
      </c>
      <c r="C634">
        <f>IF($E634="","",INDEX('Input Transaksi'!$E:$E,$E634))</f>
        <v/>
      </c>
      <c r="D634" s="5">
        <f>IF($E634="","",INDEX('Input Transaksi'!$F:$F,$E634))</f>
        <v/>
      </c>
      <c r="E634">
        <f>IFERROR(AGGREGATE(15,6,ROW('Input Transaksi'!$B$5:$B$5000)/('Input Transaksi'!$B$5:$B$5000="JCL AYANI"),ROWS($E$5:E634)),"")</f>
        <v/>
      </c>
      <c r="F634" s="5" t="n"/>
    </row>
    <row r="635">
      <c r="A635" s="10">
        <f>IF($E635="","",INDEX('Input Transaksi'!$A:$A,$E635))</f>
        <v/>
      </c>
      <c r="B635" s="5">
        <f>IF($E635="","",INDEX('Input Transaksi'!$D:$D,$E635))</f>
        <v/>
      </c>
      <c r="C635">
        <f>IF($E635="","",INDEX('Input Transaksi'!$E:$E,$E635))</f>
        <v/>
      </c>
      <c r="D635" s="5">
        <f>IF($E635="","",INDEX('Input Transaksi'!$F:$F,$E635))</f>
        <v/>
      </c>
      <c r="E635">
        <f>IFERROR(AGGREGATE(15,6,ROW('Input Transaksi'!$B$5:$B$5000)/('Input Transaksi'!$B$5:$B$5000="JCL AYANI"),ROWS($E$5:E635)),"")</f>
        <v/>
      </c>
      <c r="F635" s="5" t="n"/>
    </row>
    <row r="636">
      <c r="A636" s="10">
        <f>IF($E636="","",INDEX('Input Transaksi'!$A:$A,$E636))</f>
        <v/>
      </c>
      <c r="B636" s="5">
        <f>IF($E636="","",INDEX('Input Transaksi'!$D:$D,$E636))</f>
        <v/>
      </c>
      <c r="C636">
        <f>IF($E636="","",INDEX('Input Transaksi'!$E:$E,$E636))</f>
        <v/>
      </c>
      <c r="D636" s="5">
        <f>IF($E636="","",INDEX('Input Transaksi'!$F:$F,$E636))</f>
        <v/>
      </c>
      <c r="E636">
        <f>IFERROR(AGGREGATE(15,6,ROW('Input Transaksi'!$B$5:$B$5000)/('Input Transaksi'!$B$5:$B$5000="JCL AYANI"),ROWS($E$5:E636)),"")</f>
        <v/>
      </c>
      <c r="F636" s="5" t="n"/>
    </row>
    <row r="637">
      <c r="A637" s="10">
        <f>IF($E637="","",INDEX('Input Transaksi'!$A:$A,$E637))</f>
        <v/>
      </c>
      <c r="B637" s="5">
        <f>IF($E637="","",INDEX('Input Transaksi'!$D:$D,$E637))</f>
        <v/>
      </c>
      <c r="C637">
        <f>IF($E637="","",INDEX('Input Transaksi'!$E:$E,$E637))</f>
        <v/>
      </c>
      <c r="D637" s="5">
        <f>IF($E637="","",INDEX('Input Transaksi'!$F:$F,$E637))</f>
        <v/>
      </c>
      <c r="E637">
        <f>IFERROR(AGGREGATE(15,6,ROW('Input Transaksi'!$B$5:$B$5000)/('Input Transaksi'!$B$5:$B$5000="JCL AYANI"),ROWS($E$5:E637)),"")</f>
        <v/>
      </c>
      <c r="F637" s="5" t="n"/>
    </row>
    <row r="638">
      <c r="A638" s="10">
        <f>IF($E638="","",INDEX('Input Transaksi'!$A:$A,$E638))</f>
        <v/>
      </c>
      <c r="B638" s="5">
        <f>IF($E638="","",INDEX('Input Transaksi'!$D:$D,$E638))</f>
        <v/>
      </c>
      <c r="C638">
        <f>IF($E638="","",INDEX('Input Transaksi'!$E:$E,$E638))</f>
        <v/>
      </c>
      <c r="D638" s="5">
        <f>IF($E638="","",INDEX('Input Transaksi'!$F:$F,$E638))</f>
        <v/>
      </c>
      <c r="E638">
        <f>IFERROR(AGGREGATE(15,6,ROW('Input Transaksi'!$B$5:$B$5000)/('Input Transaksi'!$B$5:$B$5000="JCL AYANI"),ROWS($E$5:E638)),"")</f>
        <v/>
      </c>
      <c r="F638" s="5" t="n"/>
    </row>
    <row r="639">
      <c r="A639" s="10">
        <f>IF($E639="","",INDEX('Input Transaksi'!$A:$A,$E639))</f>
        <v/>
      </c>
      <c r="B639" s="5">
        <f>IF($E639="","",INDEX('Input Transaksi'!$D:$D,$E639))</f>
        <v/>
      </c>
      <c r="C639">
        <f>IF($E639="","",INDEX('Input Transaksi'!$E:$E,$E639))</f>
        <v/>
      </c>
      <c r="D639" s="5">
        <f>IF($E639="","",INDEX('Input Transaksi'!$F:$F,$E639))</f>
        <v/>
      </c>
      <c r="E639">
        <f>IFERROR(AGGREGATE(15,6,ROW('Input Transaksi'!$B$5:$B$5000)/('Input Transaksi'!$B$5:$B$5000="JCL AYANI"),ROWS($E$5:E639)),"")</f>
        <v/>
      </c>
      <c r="F639" s="5" t="n"/>
    </row>
    <row r="640">
      <c r="A640" s="10">
        <f>IF($E640="","",INDEX('Input Transaksi'!$A:$A,$E640))</f>
        <v/>
      </c>
      <c r="B640" s="5">
        <f>IF($E640="","",INDEX('Input Transaksi'!$D:$D,$E640))</f>
        <v/>
      </c>
      <c r="C640">
        <f>IF($E640="","",INDEX('Input Transaksi'!$E:$E,$E640))</f>
        <v/>
      </c>
      <c r="D640" s="5">
        <f>IF($E640="","",INDEX('Input Transaksi'!$F:$F,$E640))</f>
        <v/>
      </c>
      <c r="E640">
        <f>IFERROR(AGGREGATE(15,6,ROW('Input Transaksi'!$B$5:$B$5000)/('Input Transaksi'!$B$5:$B$5000="JCL AYANI"),ROWS($E$5:E640)),"")</f>
        <v/>
      </c>
      <c r="F640" s="5" t="n"/>
    </row>
    <row r="641">
      <c r="A641" s="10">
        <f>IF($E641="","",INDEX('Input Transaksi'!$A:$A,$E641))</f>
        <v/>
      </c>
      <c r="B641" s="5">
        <f>IF($E641="","",INDEX('Input Transaksi'!$D:$D,$E641))</f>
        <v/>
      </c>
      <c r="C641">
        <f>IF($E641="","",INDEX('Input Transaksi'!$E:$E,$E641))</f>
        <v/>
      </c>
      <c r="D641" s="5">
        <f>IF($E641="","",INDEX('Input Transaksi'!$F:$F,$E641))</f>
        <v/>
      </c>
      <c r="E641">
        <f>IFERROR(AGGREGATE(15,6,ROW('Input Transaksi'!$B$5:$B$5000)/('Input Transaksi'!$B$5:$B$5000="JCL AYANI"),ROWS($E$5:E641)),"")</f>
        <v/>
      </c>
      <c r="F641" s="5" t="n"/>
    </row>
    <row r="642">
      <c r="A642" s="10">
        <f>IF($E642="","",INDEX('Input Transaksi'!$A:$A,$E642))</f>
        <v/>
      </c>
      <c r="B642" s="5">
        <f>IF($E642="","",INDEX('Input Transaksi'!$D:$D,$E642))</f>
        <v/>
      </c>
      <c r="C642">
        <f>IF($E642="","",INDEX('Input Transaksi'!$E:$E,$E642))</f>
        <v/>
      </c>
      <c r="D642" s="5">
        <f>IF($E642="","",INDEX('Input Transaksi'!$F:$F,$E642))</f>
        <v/>
      </c>
      <c r="E642">
        <f>IFERROR(AGGREGATE(15,6,ROW('Input Transaksi'!$B$5:$B$5000)/('Input Transaksi'!$B$5:$B$5000="JCL AYANI"),ROWS($E$5:E642)),"")</f>
        <v/>
      </c>
      <c r="F642" s="5" t="n"/>
    </row>
    <row r="643">
      <c r="A643" s="10">
        <f>IF($E643="","",INDEX('Input Transaksi'!$A:$A,$E643))</f>
        <v/>
      </c>
      <c r="B643" s="5">
        <f>IF($E643="","",INDEX('Input Transaksi'!$D:$D,$E643))</f>
        <v/>
      </c>
      <c r="C643">
        <f>IF($E643="","",INDEX('Input Transaksi'!$E:$E,$E643))</f>
        <v/>
      </c>
      <c r="D643" s="5">
        <f>IF($E643="","",INDEX('Input Transaksi'!$F:$F,$E643))</f>
        <v/>
      </c>
      <c r="E643">
        <f>IFERROR(AGGREGATE(15,6,ROW('Input Transaksi'!$B$5:$B$5000)/('Input Transaksi'!$B$5:$B$5000="JCL AYANI"),ROWS($E$5:E643)),"")</f>
        <v/>
      </c>
      <c r="F643" s="5" t="n"/>
    </row>
    <row r="644">
      <c r="A644" s="10">
        <f>IF($E644="","",INDEX('Input Transaksi'!$A:$A,$E644))</f>
        <v/>
      </c>
      <c r="B644" s="5">
        <f>IF($E644="","",INDEX('Input Transaksi'!$D:$D,$E644))</f>
        <v/>
      </c>
      <c r="C644">
        <f>IF($E644="","",INDEX('Input Transaksi'!$E:$E,$E644))</f>
        <v/>
      </c>
      <c r="D644" s="5">
        <f>IF($E644="","",INDEX('Input Transaksi'!$F:$F,$E644))</f>
        <v/>
      </c>
      <c r="E644">
        <f>IFERROR(AGGREGATE(15,6,ROW('Input Transaksi'!$B$5:$B$5000)/('Input Transaksi'!$B$5:$B$5000="JCL AYANI"),ROWS($E$5:E644)),"")</f>
        <v/>
      </c>
      <c r="F644" s="5" t="n"/>
    </row>
    <row r="645">
      <c r="A645" s="10">
        <f>IF($E645="","",INDEX('Input Transaksi'!$A:$A,$E645))</f>
        <v/>
      </c>
      <c r="B645" s="5">
        <f>IF($E645="","",INDEX('Input Transaksi'!$D:$D,$E645))</f>
        <v/>
      </c>
      <c r="C645">
        <f>IF($E645="","",INDEX('Input Transaksi'!$E:$E,$E645))</f>
        <v/>
      </c>
      <c r="D645" s="5">
        <f>IF($E645="","",INDEX('Input Transaksi'!$F:$F,$E645))</f>
        <v/>
      </c>
      <c r="E645">
        <f>IFERROR(AGGREGATE(15,6,ROW('Input Transaksi'!$B$5:$B$5000)/('Input Transaksi'!$B$5:$B$5000="JCL AYANI"),ROWS($E$5:E645)),"")</f>
        <v/>
      </c>
      <c r="F645" s="5" t="n"/>
    </row>
    <row r="646">
      <c r="A646" s="10">
        <f>IF($E646="","",INDEX('Input Transaksi'!$A:$A,$E646))</f>
        <v/>
      </c>
      <c r="B646" s="5">
        <f>IF($E646="","",INDEX('Input Transaksi'!$D:$D,$E646))</f>
        <v/>
      </c>
      <c r="C646">
        <f>IF($E646="","",INDEX('Input Transaksi'!$E:$E,$E646))</f>
        <v/>
      </c>
      <c r="D646" s="5">
        <f>IF($E646="","",INDEX('Input Transaksi'!$F:$F,$E646))</f>
        <v/>
      </c>
      <c r="E646">
        <f>IFERROR(AGGREGATE(15,6,ROW('Input Transaksi'!$B$5:$B$5000)/('Input Transaksi'!$B$5:$B$5000="JCL AYANI"),ROWS($E$5:E646)),"")</f>
        <v/>
      </c>
      <c r="F646" s="5" t="n"/>
    </row>
    <row r="647">
      <c r="A647" s="10">
        <f>IF($E647="","",INDEX('Input Transaksi'!$A:$A,$E647))</f>
        <v/>
      </c>
      <c r="B647" s="5">
        <f>IF($E647="","",INDEX('Input Transaksi'!$D:$D,$E647))</f>
        <v/>
      </c>
      <c r="C647">
        <f>IF($E647="","",INDEX('Input Transaksi'!$E:$E,$E647))</f>
        <v/>
      </c>
      <c r="D647" s="5">
        <f>IF($E647="","",INDEX('Input Transaksi'!$F:$F,$E647))</f>
        <v/>
      </c>
      <c r="E647">
        <f>IFERROR(AGGREGATE(15,6,ROW('Input Transaksi'!$B$5:$B$5000)/('Input Transaksi'!$B$5:$B$5000="JCL AYANI"),ROWS($E$5:E647)),"")</f>
        <v/>
      </c>
      <c r="F647" s="5" t="n"/>
    </row>
    <row r="648">
      <c r="A648" s="10">
        <f>IF($E648="","",INDEX('Input Transaksi'!$A:$A,$E648))</f>
        <v/>
      </c>
      <c r="B648" s="5">
        <f>IF($E648="","",INDEX('Input Transaksi'!$D:$D,$E648))</f>
        <v/>
      </c>
      <c r="C648">
        <f>IF($E648="","",INDEX('Input Transaksi'!$E:$E,$E648))</f>
        <v/>
      </c>
      <c r="D648" s="5">
        <f>IF($E648="","",INDEX('Input Transaksi'!$F:$F,$E648))</f>
        <v/>
      </c>
      <c r="E648">
        <f>IFERROR(AGGREGATE(15,6,ROW('Input Transaksi'!$B$5:$B$5000)/('Input Transaksi'!$B$5:$B$5000="JCL AYANI"),ROWS($E$5:E648)),"")</f>
        <v/>
      </c>
      <c r="F648" s="5" t="n"/>
    </row>
    <row r="649">
      <c r="A649" s="10">
        <f>IF($E649="","",INDEX('Input Transaksi'!$A:$A,$E649))</f>
        <v/>
      </c>
      <c r="B649" s="5">
        <f>IF($E649="","",INDEX('Input Transaksi'!$D:$D,$E649))</f>
        <v/>
      </c>
      <c r="C649">
        <f>IF($E649="","",INDEX('Input Transaksi'!$E:$E,$E649))</f>
        <v/>
      </c>
      <c r="D649" s="5">
        <f>IF($E649="","",INDEX('Input Transaksi'!$F:$F,$E649))</f>
        <v/>
      </c>
      <c r="E649">
        <f>IFERROR(AGGREGATE(15,6,ROW('Input Transaksi'!$B$5:$B$5000)/('Input Transaksi'!$B$5:$B$5000="JCL AYANI"),ROWS($E$5:E649)),"")</f>
        <v/>
      </c>
      <c r="F649" s="5" t="n"/>
    </row>
    <row r="650">
      <c r="A650" s="10">
        <f>IF($E650="","",INDEX('Input Transaksi'!$A:$A,$E650))</f>
        <v/>
      </c>
      <c r="B650" s="5">
        <f>IF($E650="","",INDEX('Input Transaksi'!$D:$D,$E650))</f>
        <v/>
      </c>
      <c r="C650">
        <f>IF($E650="","",INDEX('Input Transaksi'!$E:$E,$E650))</f>
        <v/>
      </c>
      <c r="D650" s="5">
        <f>IF($E650="","",INDEX('Input Transaksi'!$F:$F,$E650))</f>
        <v/>
      </c>
      <c r="E650">
        <f>IFERROR(AGGREGATE(15,6,ROW('Input Transaksi'!$B$5:$B$5000)/('Input Transaksi'!$B$5:$B$5000="JCL AYANI"),ROWS($E$5:E650)),"")</f>
        <v/>
      </c>
      <c r="F650" s="5" t="n"/>
    </row>
    <row r="651">
      <c r="A651" s="10">
        <f>IF($E651="","",INDEX('Input Transaksi'!$A:$A,$E651))</f>
        <v/>
      </c>
      <c r="B651" s="5">
        <f>IF($E651="","",INDEX('Input Transaksi'!$D:$D,$E651))</f>
        <v/>
      </c>
      <c r="C651">
        <f>IF($E651="","",INDEX('Input Transaksi'!$E:$E,$E651))</f>
        <v/>
      </c>
      <c r="D651" s="5">
        <f>IF($E651="","",INDEX('Input Transaksi'!$F:$F,$E651))</f>
        <v/>
      </c>
      <c r="E651">
        <f>IFERROR(AGGREGATE(15,6,ROW('Input Transaksi'!$B$5:$B$5000)/('Input Transaksi'!$B$5:$B$5000="JCL AYANI"),ROWS($E$5:E651)),"")</f>
        <v/>
      </c>
      <c r="F651" s="5" t="n"/>
    </row>
    <row r="652">
      <c r="A652" s="10">
        <f>IF($E652="","",INDEX('Input Transaksi'!$A:$A,$E652))</f>
        <v/>
      </c>
      <c r="B652" s="5">
        <f>IF($E652="","",INDEX('Input Transaksi'!$D:$D,$E652))</f>
        <v/>
      </c>
      <c r="C652">
        <f>IF($E652="","",INDEX('Input Transaksi'!$E:$E,$E652))</f>
        <v/>
      </c>
      <c r="D652" s="5">
        <f>IF($E652="","",INDEX('Input Transaksi'!$F:$F,$E652))</f>
        <v/>
      </c>
      <c r="E652">
        <f>IFERROR(AGGREGATE(15,6,ROW('Input Transaksi'!$B$5:$B$5000)/('Input Transaksi'!$B$5:$B$5000="JCL AYANI"),ROWS($E$5:E652)),"")</f>
        <v/>
      </c>
      <c r="F652" s="5" t="n"/>
    </row>
    <row r="653">
      <c r="A653" s="10">
        <f>IF($E653="","",INDEX('Input Transaksi'!$A:$A,$E653))</f>
        <v/>
      </c>
      <c r="B653" s="5">
        <f>IF($E653="","",INDEX('Input Transaksi'!$D:$D,$E653))</f>
        <v/>
      </c>
      <c r="C653">
        <f>IF($E653="","",INDEX('Input Transaksi'!$E:$E,$E653))</f>
        <v/>
      </c>
      <c r="D653" s="5">
        <f>IF($E653="","",INDEX('Input Transaksi'!$F:$F,$E653))</f>
        <v/>
      </c>
      <c r="E653">
        <f>IFERROR(AGGREGATE(15,6,ROW('Input Transaksi'!$B$5:$B$5000)/('Input Transaksi'!$B$5:$B$5000="JCL AYANI"),ROWS($E$5:E653)),"")</f>
        <v/>
      </c>
      <c r="F653" s="5" t="n"/>
    </row>
    <row r="654">
      <c r="A654" s="10">
        <f>IF($E654="","",INDEX('Input Transaksi'!$A:$A,$E654))</f>
        <v/>
      </c>
      <c r="B654" s="5">
        <f>IF($E654="","",INDEX('Input Transaksi'!$D:$D,$E654))</f>
        <v/>
      </c>
      <c r="C654">
        <f>IF($E654="","",INDEX('Input Transaksi'!$E:$E,$E654))</f>
        <v/>
      </c>
      <c r="D654" s="5">
        <f>IF($E654="","",INDEX('Input Transaksi'!$F:$F,$E654))</f>
        <v/>
      </c>
      <c r="E654">
        <f>IFERROR(AGGREGATE(15,6,ROW('Input Transaksi'!$B$5:$B$5000)/('Input Transaksi'!$B$5:$B$5000="JCL AYANI"),ROWS($E$5:E654)),"")</f>
        <v/>
      </c>
      <c r="F654" s="5" t="n"/>
    </row>
    <row r="655">
      <c r="A655" s="10">
        <f>IF($E655="","",INDEX('Input Transaksi'!$A:$A,$E655))</f>
        <v/>
      </c>
      <c r="B655" s="5">
        <f>IF($E655="","",INDEX('Input Transaksi'!$D:$D,$E655))</f>
        <v/>
      </c>
      <c r="C655">
        <f>IF($E655="","",INDEX('Input Transaksi'!$E:$E,$E655))</f>
        <v/>
      </c>
      <c r="D655" s="5">
        <f>IF($E655="","",INDEX('Input Transaksi'!$F:$F,$E655))</f>
        <v/>
      </c>
      <c r="E655">
        <f>IFERROR(AGGREGATE(15,6,ROW('Input Transaksi'!$B$5:$B$5000)/('Input Transaksi'!$B$5:$B$5000="JCL AYANI"),ROWS($E$5:E655)),"")</f>
        <v/>
      </c>
      <c r="F655" s="5" t="n"/>
    </row>
    <row r="656">
      <c r="A656" s="10">
        <f>IF($E656="","",INDEX('Input Transaksi'!$A:$A,$E656))</f>
        <v/>
      </c>
      <c r="B656" s="5">
        <f>IF($E656="","",INDEX('Input Transaksi'!$D:$D,$E656))</f>
        <v/>
      </c>
      <c r="C656">
        <f>IF($E656="","",INDEX('Input Transaksi'!$E:$E,$E656))</f>
        <v/>
      </c>
      <c r="D656" s="5">
        <f>IF($E656="","",INDEX('Input Transaksi'!$F:$F,$E656))</f>
        <v/>
      </c>
      <c r="E656">
        <f>IFERROR(AGGREGATE(15,6,ROW('Input Transaksi'!$B$5:$B$5000)/('Input Transaksi'!$B$5:$B$5000="JCL AYANI"),ROWS($E$5:E656)),"")</f>
        <v/>
      </c>
      <c r="F656" s="5" t="n"/>
    </row>
    <row r="657">
      <c r="A657" s="10">
        <f>IF($E657="","",INDEX('Input Transaksi'!$A:$A,$E657))</f>
        <v/>
      </c>
      <c r="B657" s="5">
        <f>IF($E657="","",INDEX('Input Transaksi'!$D:$D,$E657))</f>
        <v/>
      </c>
      <c r="C657">
        <f>IF($E657="","",INDEX('Input Transaksi'!$E:$E,$E657))</f>
        <v/>
      </c>
      <c r="D657" s="5">
        <f>IF($E657="","",INDEX('Input Transaksi'!$F:$F,$E657))</f>
        <v/>
      </c>
      <c r="E657">
        <f>IFERROR(AGGREGATE(15,6,ROW('Input Transaksi'!$B$5:$B$5000)/('Input Transaksi'!$B$5:$B$5000="JCL AYANI"),ROWS($E$5:E657)),"")</f>
        <v/>
      </c>
      <c r="F657" s="5" t="n"/>
    </row>
    <row r="658">
      <c r="A658" s="10">
        <f>IF($E658="","",INDEX('Input Transaksi'!$A:$A,$E658))</f>
        <v/>
      </c>
      <c r="B658" s="5">
        <f>IF($E658="","",INDEX('Input Transaksi'!$D:$D,$E658))</f>
        <v/>
      </c>
      <c r="C658">
        <f>IF($E658="","",INDEX('Input Transaksi'!$E:$E,$E658))</f>
        <v/>
      </c>
      <c r="D658" s="5">
        <f>IF($E658="","",INDEX('Input Transaksi'!$F:$F,$E658))</f>
        <v/>
      </c>
      <c r="E658">
        <f>IFERROR(AGGREGATE(15,6,ROW('Input Transaksi'!$B$5:$B$5000)/('Input Transaksi'!$B$5:$B$5000="JCL AYANI"),ROWS($E$5:E658)),"")</f>
        <v/>
      </c>
      <c r="F658" s="5" t="n"/>
    </row>
    <row r="659">
      <c r="A659" s="10">
        <f>IF($E659="","",INDEX('Input Transaksi'!$A:$A,$E659))</f>
        <v/>
      </c>
      <c r="B659" s="5">
        <f>IF($E659="","",INDEX('Input Transaksi'!$D:$D,$E659))</f>
        <v/>
      </c>
      <c r="C659">
        <f>IF($E659="","",INDEX('Input Transaksi'!$E:$E,$E659))</f>
        <v/>
      </c>
      <c r="D659" s="5">
        <f>IF($E659="","",INDEX('Input Transaksi'!$F:$F,$E659))</f>
        <v/>
      </c>
      <c r="E659">
        <f>IFERROR(AGGREGATE(15,6,ROW('Input Transaksi'!$B$5:$B$5000)/('Input Transaksi'!$B$5:$B$5000="JCL AYANI"),ROWS($E$5:E659)),"")</f>
        <v/>
      </c>
      <c r="F659" s="5" t="n"/>
    </row>
    <row r="660">
      <c r="A660" s="10">
        <f>IF($E660="","",INDEX('Input Transaksi'!$A:$A,$E660))</f>
        <v/>
      </c>
      <c r="B660" s="5">
        <f>IF($E660="","",INDEX('Input Transaksi'!$D:$D,$E660))</f>
        <v/>
      </c>
      <c r="C660">
        <f>IF($E660="","",INDEX('Input Transaksi'!$E:$E,$E660))</f>
        <v/>
      </c>
      <c r="D660" s="5">
        <f>IF($E660="","",INDEX('Input Transaksi'!$F:$F,$E660))</f>
        <v/>
      </c>
      <c r="E660">
        <f>IFERROR(AGGREGATE(15,6,ROW('Input Transaksi'!$B$5:$B$5000)/('Input Transaksi'!$B$5:$B$5000="JCL AYANI"),ROWS($E$5:E660)),"")</f>
        <v/>
      </c>
      <c r="F660" s="5" t="n"/>
    </row>
    <row r="661">
      <c r="A661" s="10">
        <f>IF($E661="","",INDEX('Input Transaksi'!$A:$A,$E661))</f>
        <v/>
      </c>
      <c r="B661" s="5">
        <f>IF($E661="","",INDEX('Input Transaksi'!$D:$D,$E661))</f>
        <v/>
      </c>
      <c r="C661">
        <f>IF($E661="","",INDEX('Input Transaksi'!$E:$E,$E661))</f>
        <v/>
      </c>
      <c r="D661" s="5">
        <f>IF($E661="","",INDEX('Input Transaksi'!$F:$F,$E661))</f>
        <v/>
      </c>
      <c r="E661">
        <f>IFERROR(AGGREGATE(15,6,ROW('Input Transaksi'!$B$5:$B$5000)/('Input Transaksi'!$B$5:$B$5000="JCL AYANI"),ROWS($E$5:E661)),"")</f>
        <v/>
      </c>
      <c r="F661" s="5" t="n"/>
    </row>
    <row r="662">
      <c r="A662" s="10">
        <f>IF($E662="","",INDEX('Input Transaksi'!$A:$A,$E662))</f>
        <v/>
      </c>
      <c r="B662" s="5">
        <f>IF($E662="","",INDEX('Input Transaksi'!$D:$D,$E662))</f>
        <v/>
      </c>
      <c r="C662">
        <f>IF($E662="","",INDEX('Input Transaksi'!$E:$E,$E662))</f>
        <v/>
      </c>
      <c r="D662" s="5">
        <f>IF($E662="","",INDEX('Input Transaksi'!$F:$F,$E662))</f>
        <v/>
      </c>
      <c r="E662">
        <f>IFERROR(AGGREGATE(15,6,ROW('Input Transaksi'!$B$5:$B$5000)/('Input Transaksi'!$B$5:$B$5000="JCL AYANI"),ROWS($E$5:E662)),"")</f>
        <v/>
      </c>
      <c r="F662" s="5" t="n"/>
    </row>
    <row r="663">
      <c r="A663" s="10">
        <f>IF($E663="","",INDEX('Input Transaksi'!$A:$A,$E663))</f>
        <v/>
      </c>
      <c r="B663" s="5">
        <f>IF($E663="","",INDEX('Input Transaksi'!$D:$D,$E663))</f>
        <v/>
      </c>
      <c r="C663">
        <f>IF($E663="","",INDEX('Input Transaksi'!$E:$E,$E663))</f>
        <v/>
      </c>
      <c r="D663" s="5">
        <f>IF($E663="","",INDEX('Input Transaksi'!$F:$F,$E663))</f>
        <v/>
      </c>
      <c r="E663">
        <f>IFERROR(AGGREGATE(15,6,ROW('Input Transaksi'!$B$5:$B$5000)/('Input Transaksi'!$B$5:$B$5000="JCL AYANI"),ROWS($E$5:E663)),"")</f>
        <v/>
      </c>
      <c r="F663" s="5" t="n"/>
    </row>
    <row r="664">
      <c r="A664" s="10">
        <f>IF($E664="","",INDEX('Input Transaksi'!$A:$A,$E664))</f>
        <v/>
      </c>
      <c r="B664" s="5">
        <f>IF($E664="","",INDEX('Input Transaksi'!$D:$D,$E664))</f>
        <v/>
      </c>
      <c r="C664">
        <f>IF($E664="","",INDEX('Input Transaksi'!$E:$E,$E664))</f>
        <v/>
      </c>
      <c r="D664" s="5">
        <f>IF($E664="","",INDEX('Input Transaksi'!$F:$F,$E664))</f>
        <v/>
      </c>
      <c r="E664">
        <f>IFERROR(AGGREGATE(15,6,ROW('Input Transaksi'!$B$5:$B$5000)/('Input Transaksi'!$B$5:$B$5000="JCL AYANI"),ROWS($E$5:E664)),"")</f>
        <v/>
      </c>
      <c r="F664" s="5" t="n"/>
    </row>
    <row r="665">
      <c r="A665" s="10">
        <f>IF($E665="","",INDEX('Input Transaksi'!$A:$A,$E665))</f>
        <v/>
      </c>
      <c r="B665" s="5">
        <f>IF($E665="","",INDEX('Input Transaksi'!$D:$D,$E665))</f>
        <v/>
      </c>
      <c r="C665">
        <f>IF($E665="","",INDEX('Input Transaksi'!$E:$E,$E665))</f>
        <v/>
      </c>
      <c r="D665" s="5">
        <f>IF($E665="","",INDEX('Input Transaksi'!$F:$F,$E665))</f>
        <v/>
      </c>
      <c r="E665">
        <f>IFERROR(AGGREGATE(15,6,ROW('Input Transaksi'!$B$5:$B$5000)/('Input Transaksi'!$B$5:$B$5000="JCL AYANI"),ROWS($E$5:E665)),"")</f>
        <v/>
      </c>
      <c r="F665" s="5" t="n"/>
    </row>
    <row r="666">
      <c r="A666" s="10">
        <f>IF($E666="","",INDEX('Input Transaksi'!$A:$A,$E666))</f>
        <v/>
      </c>
      <c r="B666" s="5">
        <f>IF($E666="","",INDEX('Input Transaksi'!$D:$D,$E666))</f>
        <v/>
      </c>
      <c r="C666">
        <f>IF($E666="","",INDEX('Input Transaksi'!$E:$E,$E666))</f>
        <v/>
      </c>
      <c r="D666" s="5">
        <f>IF($E666="","",INDEX('Input Transaksi'!$F:$F,$E666))</f>
        <v/>
      </c>
      <c r="E666">
        <f>IFERROR(AGGREGATE(15,6,ROW('Input Transaksi'!$B$5:$B$5000)/('Input Transaksi'!$B$5:$B$5000="JCL AYANI"),ROWS($E$5:E666)),"")</f>
        <v/>
      </c>
      <c r="F666" s="5" t="n"/>
    </row>
    <row r="667">
      <c r="A667" s="10">
        <f>IF($E667="","",INDEX('Input Transaksi'!$A:$A,$E667))</f>
        <v/>
      </c>
      <c r="B667" s="5">
        <f>IF($E667="","",INDEX('Input Transaksi'!$D:$D,$E667))</f>
        <v/>
      </c>
      <c r="C667">
        <f>IF($E667="","",INDEX('Input Transaksi'!$E:$E,$E667))</f>
        <v/>
      </c>
      <c r="D667" s="5">
        <f>IF($E667="","",INDEX('Input Transaksi'!$F:$F,$E667))</f>
        <v/>
      </c>
      <c r="E667">
        <f>IFERROR(AGGREGATE(15,6,ROW('Input Transaksi'!$B$5:$B$5000)/('Input Transaksi'!$B$5:$B$5000="JCL AYANI"),ROWS($E$5:E667)),"")</f>
        <v/>
      </c>
      <c r="F667" s="5" t="n"/>
    </row>
    <row r="668">
      <c r="A668" s="10">
        <f>IF($E668="","",INDEX('Input Transaksi'!$A:$A,$E668))</f>
        <v/>
      </c>
      <c r="B668" s="5">
        <f>IF($E668="","",INDEX('Input Transaksi'!$D:$D,$E668))</f>
        <v/>
      </c>
      <c r="C668">
        <f>IF($E668="","",INDEX('Input Transaksi'!$E:$E,$E668))</f>
        <v/>
      </c>
      <c r="D668" s="5">
        <f>IF($E668="","",INDEX('Input Transaksi'!$F:$F,$E668))</f>
        <v/>
      </c>
      <c r="E668">
        <f>IFERROR(AGGREGATE(15,6,ROW('Input Transaksi'!$B$5:$B$5000)/('Input Transaksi'!$B$5:$B$5000="JCL AYANI"),ROWS($E$5:E668)),"")</f>
        <v/>
      </c>
      <c r="F668" s="5" t="n"/>
    </row>
    <row r="669">
      <c r="A669" s="10">
        <f>IF($E669="","",INDEX('Input Transaksi'!$A:$A,$E669))</f>
        <v/>
      </c>
      <c r="B669" s="5">
        <f>IF($E669="","",INDEX('Input Transaksi'!$D:$D,$E669))</f>
        <v/>
      </c>
      <c r="C669">
        <f>IF($E669="","",INDEX('Input Transaksi'!$E:$E,$E669))</f>
        <v/>
      </c>
      <c r="D669" s="5">
        <f>IF($E669="","",INDEX('Input Transaksi'!$F:$F,$E669))</f>
        <v/>
      </c>
      <c r="E669">
        <f>IFERROR(AGGREGATE(15,6,ROW('Input Transaksi'!$B$5:$B$5000)/('Input Transaksi'!$B$5:$B$5000="JCL AYANI"),ROWS($E$5:E669)),"")</f>
        <v/>
      </c>
      <c r="F669" s="5" t="n"/>
    </row>
    <row r="670">
      <c r="A670" s="10">
        <f>IF($E670="","",INDEX('Input Transaksi'!$A:$A,$E670))</f>
        <v/>
      </c>
      <c r="B670" s="5">
        <f>IF($E670="","",INDEX('Input Transaksi'!$D:$D,$E670))</f>
        <v/>
      </c>
      <c r="C670">
        <f>IF($E670="","",INDEX('Input Transaksi'!$E:$E,$E670))</f>
        <v/>
      </c>
      <c r="D670" s="5">
        <f>IF($E670="","",INDEX('Input Transaksi'!$F:$F,$E670))</f>
        <v/>
      </c>
      <c r="E670">
        <f>IFERROR(AGGREGATE(15,6,ROW('Input Transaksi'!$B$5:$B$5000)/('Input Transaksi'!$B$5:$B$5000="JCL AYANI"),ROWS($E$5:E670)),"")</f>
        <v/>
      </c>
      <c r="F670" s="5" t="n"/>
    </row>
    <row r="671">
      <c r="A671" s="10">
        <f>IF($E671="","",INDEX('Input Transaksi'!$A:$A,$E671))</f>
        <v/>
      </c>
      <c r="B671" s="5">
        <f>IF($E671="","",INDEX('Input Transaksi'!$D:$D,$E671))</f>
        <v/>
      </c>
      <c r="C671">
        <f>IF($E671="","",INDEX('Input Transaksi'!$E:$E,$E671))</f>
        <v/>
      </c>
      <c r="D671" s="5">
        <f>IF($E671="","",INDEX('Input Transaksi'!$F:$F,$E671))</f>
        <v/>
      </c>
      <c r="E671">
        <f>IFERROR(AGGREGATE(15,6,ROW('Input Transaksi'!$B$5:$B$5000)/('Input Transaksi'!$B$5:$B$5000="JCL AYANI"),ROWS($E$5:E671)),"")</f>
        <v/>
      </c>
      <c r="F671" s="5" t="n"/>
    </row>
    <row r="672">
      <c r="A672" s="10">
        <f>IF($E672="","",INDEX('Input Transaksi'!$A:$A,$E672))</f>
        <v/>
      </c>
      <c r="B672" s="5">
        <f>IF($E672="","",INDEX('Input Transaksi'!$D:$D,$E672))</f>
        <v/>
      </c>
      <c r="C672">
        <f>IF($E672="","",INDEX('Input Transaksi'!$E:$E,$E672))</f>
        <v/>
      </c>
      <c r="D672" s="5">
        <f>IF($E672="","",INDEX('Input Transaksi'!$F:$F,$E672))</f>
        <v/>
      </c>
      <c r="E672">
        <f>IFERROR(AGGREGATE(15,6,ROW('Input Transaksi'!$B$5:$B$5000)/('Input Transaksi'!$B$5:$B$5000="JCL AYANI"),ROWS($E$5:E672)),"")</f>
        <v/>
      </c>
      <c r="F672" s="5" t="n"/>
    </row>
    <row r="673">
      <c r="A673" s="10">
        <f>IF($E673="","",INDEX('Input Transaksi'!$A:$A,$E673))</f>
        <v/>
      </c>
      <c r="B673" s="5">
        <f>IF($E673="","",INDEX('Input Transaksi'!$D:$D,$E673))</f>
        <v/>
      </c>
      <c r="C673">
        <f>IF($E673="","",INDEX('Input Transaksi'!$E:$E,$E673))</f>
        <v/>
      </c>
      <c r="D673" s="5">
        <f>IF($E673="","",INDEX('Input Transaksi'!$F:$F,$E673))</f>
        <v/>
      </c>
      <c r="E673">
        <f>IFERROR(AGGREGATE(15,6,ROW('Input Transaksi'!$B$5:$B$5000)/('Input Transaksi'!$B$5:$B$5000="JCL AYANI"),ROWS($E$5:E673)),"")</f>
        <v/>
      </c>
      <c r="F673" s="5" t="n"/>
    </row>
    <row r="674">
      <c r="A674" s="10">
        <f>IF($E674="","",INDEX('Input Transaksi'!$A:$A,$E674))</f>
        <v/>
      </c>
      <c r="B674" s="5">
        <f>IF($E674="","",INDEX('Input Transaksi'!$D:$D,$E674))</f>
        <v/>
      </c>
      <c r="C674">
        <f>IF($E674="","",INDEX('Input Transaksi'!$E:$E,$E674))</f>
        <v/>
      </c>
      <c r="D674" s="5">
        <f>IF($E674="","",INDEX('Input Transaksi'!$F:$F,$E674))</f>
        <v/>
      </c>
      <c r="E674">
        <f>IFERROR(AGGREGATE(15,6,ROW('Input Transaksi'!$B$5:$B$5000)/('Input Transaksi'!$B$5:$B$5000="JCL AYANI"),ROWS($E$5:E674)),"")</f>
        <v/>
      </c>
      <c r="F674" s="5" t="n"/>
    </row>
    <row r="675">
      <c r="A675" s="10">
        <f>IF($E675="","",INDEX('Input Transaksi'!$A:$A,$E675))</f>
        <v/>
      </c>
      <c r="B675" s="5">
        <f>IF($E675="","",INDEX('Input Transaksi'!$D:$D,$E675))</f>
        <v/>
      </c>
      <c r="C675">
        <f>IF($E675="","",INDEX('Input Transaksi'!$E:$E,$E675))</f>
        <v/>
      </c>
      <c r="D675" s="5">
        <f>IF($E675="","",INDEX('Input Transaksi'!$F:$F,$E675))</f>
        <v/>
      </c>
      <c r="E675">
        <f>IFERROR(AGGREGATE(15,6,ROW('Input Transaksi'!$B$5:$B$5000)/('Input Transaksi'!$B$5:$B$5000="JCL AYANI"),ROWS($E$5:E675)),"")</f>
        <v/>
      </c>
      <c r="F675" s="5" t="n"/>
    </row>
    <row r="676">
      <c r="A676" s="10">
        <f>IF($E676="","",INDEX('Input Transaksi'!$A:$A,$E676))</f>
        <v/>
      </c>
      <c r="B676" s="5">
        <f>IF($E676="","",INDEX('Input Transaksi'!$D:$D,$E676))</f>
        <v/>
      </c>
      <c r="C676">
        <f>IF($E676="","",INDEX('Input Transaksi'!$E:$E,$E676))</f>
        <v/>
      </c>
      <c r="D676" s="5">
        <f>IF($E676="","",INDEX('Input Transaksi'!$F:$F,$E676))</f>
        <v/>
      </c>
      <c r="E676">
        <f>IFERROR(AGGREGATE(15,6,ROW('Input Transaksi'!$B$5:$B$5000)/('Input Transaksi'!$B$5:$B$5000="JCL AYANI"),ROWS($E$5:E676)),"")</f>
        <v/>
      </c>
      <c r="F676" s="5" t="n"/>
    </row>
    <row r="677">
      <c r="A677" s="10">
        <f>IF($E677="","",INDEX('Input Transaksi'!$A:$A,$E677))</f>
        <v/>
      </c>
      <c r="B677" s="5">
        <f>IF($E677="","",INDEX('Input Transaksi'!$D:$D,$E677))</f>
        <v/>
      </c>
      <c r="C677">
        <f>IF($E677="","",INDEX('Input Transaksi'!$E:$E,$E677))</f>
        <v/>
      </c>
      <c r="D677" s="5">
        <f>IF($E677="","",INDEX('Input Transaksi'!$F:$F,$E677))</f>
        <v/>
      </c>
      <c r="E677">
        <f>IFERROR(AGGREGATE(15,6,ROW('Input Transaksi'!$B$5:$B$5000)/('Input Transaksi'!$B$5:$B$5000="JCL AYANI"),ROWS($E$5:E677)),"")</f>
        <v/>
      </c>
      <c r="F677" s="5" t="n"/>
    </row>
    <row r="678">
      <c r="A678" s="10">
        <f>IF($E678="","",INDEX('Input Transaksi'!$A:$A,$E678))</f>
        <v/>
      </c>
      <c r="B678" s="5">
        <f>IF($E678="","",INDEX('Input Transaksi'!$D:$D,$E678))</f>
        <v/>
      </c>
      <c r="C678">
        <f>IF($E678="","",INDEX('Input Transaksi'!$E:$E,$E678))</f>
        <v/>
      </c>
      <c r="D678" s="5">
        <f>IF($E678="","",INDEX('Input Transaksi'!$F:$F,$E678))</f>
        <v/>
      </c>
      <c r="E678">
        <f>IFERROR(AGGREGATE(15,6,ROW('Input Transaksi'!$B$5:$B$5000)/('Input Transaksi'!$B$5:$B$5000="JCL AYANI"),ROWS($E$5:E678)),"")</f>
        <v/>
      </c>
      <c r="F678" s="5" t="n"/>
    </row>
    <row r="679">
      <c r="A679" s="10">
        <f>IF($E679="","",INDEX('Input Transaksi'!$A:$A,$E679))</f>
        <v/>
      </c>
      <c r="B679" s="5">
        <f>IF($E679="","",INDEX('Input Transaksi'!$D:$D,$E679))</f>
        <v/>
      </c>
      <c r="C679">
        <f>IF($E679="","",INDEX('Input Transaksi'!$E:$E,$E679))</f>
        <v/>
      </c>
      <c r="D679" s="5">
        <f>IF($E679="","",INDEX('Input Transaksi'!$F:$F,$E679))</f>
        <v/>
      </c>
      <c r="E679">
        <f>IFERROR(AGGREGATE(15,6,ROW('Input Transaksi'!$B$5:$B$5000)/('Input Transaksi'!$B$5:$B$5000="JCL AYANI"),ROWS($E$5:E679)),"")</f>
        <v/>
      </c>
      <c r="F679" s="5" t="n"/>
    </row>
    <row r="680">
      <c r="A680" s="10">
        <f>IF($E680="","",INDEX('Input Transaksi'!$A:$A,$E680))</f>
        <v/>
      </c>
      <c r="B680" s="5">
        <f>IF($E680="","",INDEX('Input Transaksi'!$D:$D,$E680))</f>
        <v/>
      </c>
      <c r="C680">
        <f>IF($E680="","",INDEX('Input Transaksi'!$E:$E,$E680))</f>
        <v/>
      </c>
      <c r="D680" s="5">
        <f>IF($E680="","",INDEX('Input Transaksi'!$F:$F,$E680))</f>
        <v/>
      </c>
      <c r="E680">
        <f>IFERROR(AGGREGATE(15,6,ROW('Input Transaksi'!$B$5:$B$5000)/('Input Transaksi'!$B$5:$B$5000="JCL AYANI"),ROWS($E$5:E680)),"")</f>
        <v/>
      </c>
      <c r="F680" s="5" t="n"/>
    </row>
    <row r="681">
      <c r="A681" s="10">
        <f>IF($E681="","",INDEX('Input Transaksi'!$A:$A,$E681))</f>
        <v/>
      </c>
      <c r="B681" s="5">
        <f>IF($E681="","",INDEX('Input Transaksi'!$D:$D,$E681))</f>
        <v/>
      </c>
      <c r="C681">
        <f>IF($E681="","",INDEX('Input Transaksi'!$E:$E,$E681))</f>
        <v/>
      </c>
      <c r="D681" s="5">
        <f>IF($E681="","",INDEX('Input Transaksi'!$F:$F,$E681))</f>
        <v/>
      </c>
      <c r="E681">
        <f>IFERROR(AGGREGATE(15,6,ROW('Input Transaksi'!$B$5:$B$5000)/('Input Transaksi'!$B$5:$B$5000="JCL AYANI"),ROWS($E$5:E681)),"")</f>
        <v/>
      </c>
      <c r="F681" s="5" t="n"/>
    </row>
    <row r="682">
      <c r="A682" s="10">
        <f>IF($E682="","",INDEX('Input Transaksi'!$A:$A,$E682))</f>
        <v/>
      </c>
      <c r="B682" s="5">
        <f>IF($E682="","",INDEX('Input Transaksi'!$D:$D,$E682))</f>
        <v/>
      </c>
      <c r="C682">
        <f>IF($E682="","",INDEX('Input Transaksi'!$E:$E,$E682))</f>
        <v/>
      </c>
      <c r="D682" s="5">
        <f>IF($E682="","",INDEX('Input Transaksi'!$F:$F,$E682))</f>
        <v/>
      </c>
      <c r="E682">
        <f>IFERROR(AGGREGATE(15,6,ROW('Input Transaksi'!$B$5:$B$5000)/('Input Transaksi'!$B$5:$B$5000="JCL AYANI"),ROWS($E$5:E682)),"")</f>
        <v/>
      </c>
      <c r="F682" s="5" t="n"/>
    </row>
    <row r="683">
      <c r="A683" s="10">
        <f>IF($E683="","",INDEX('Input Transaksi'!$A:$A,$E683))</f>
        <v/>
      </c>
      <c r="B683" s="5">
        <f>IF($E683="","",INDEX('Input Transaksi'!$D:$D,$E683))</f>
        <v/>
      </c>
      <c r="C683">
        <f>IF($E683="","",INDEX('Input Transaksi'!$E:$E,$E683))</f>
        <v/>
      </c>
      <c r="D683" s="5">
        <f>IF($E683="","",INDEX('Input Transaksi'!$F:$F,$E683))</f>
        <v/>
      </c>
      <c r="E683">
        <f>IFERROR(AGGREGATE(15,6,ROW('Input Transaksi'!$B$5:$B$5000)/('Input Transaksi'!$B$5:$B$5000="JCL AYANI"),ROWS($E$5:E683)),"")</f>
        <v/>
      </c>
      <c r="F683" s="5" t="n"/>
    </row>
    <row r="684">
      <c r="A684" s="10">
        <f>IF($E684="","",INDEX('Input Transaksi'!$A:$A,$E684))</f>
        <v/>
      </c>
      <c r="B684" s="5">
        <f>IF($E684="","",INDEX('Input Transaksi'!$D:$D,$E684))</f>
        <v/>
      </c>
      <c r="C684">
        <f>IF($E684="","",INDEX('Input Transaksi'!$E:$E,$E684))</f>
        <v/>
      </c>
      <c r="D684" s="5">
        <f>IF($E684="","",INDEX('Input Transaksi'!$F:$F,$E684))</f>
        <v/>
      </c>
      <c r="E684">
        <f>IFERROR(AGGREGATE(15,6,ROW('Input Transaksi'!$B$5:$B$5000)/('Input Transaksi'!$B$5:$B$5000="JCL AYANI"),ROWS($E$5:E684)),"")</f>
        <v/>
      </c>
      <c r="F684" s="5" t="n"/>
    </row>
    <row r="685">
      <c r="A685" s="10">
        <f>IF($E685="","",INDEX('Input Transaksi'!$A:$A,$E685))</f>
        <v/>
      </c>
      <c r="B685" s="5">
        <f>IF($E685="","",INDEX('Input Transaksi'!$D:$D,$E685))</f>
        <v/>
      </c>
      <c r="C685">
        <f>IF($E685="","",INDEX('Input Transaksi'!$E:$E,$E685))</f>
        <v/>
      </c>
      <c r="D685" s="5">
        <f>IF($E685="","",INDEX('Input Transaksi'!$F:$F,$E685))</f>
        <v/>
      </c>
      <c r="E685">
        <f>IFERROR(AGGREGATE(15,6,ROW('Input Transaksi'!$B$5:$B$5000)/('Input Transaksi'!$B$5:$B$5000="JCL AYANI"),ROWS($E$5:E685)),"")</f>
        <v/>
      </c>
      <c r="F685" s="5" t="n"/>
    </row>
    <row r="686">
      <c r="A686" s="10">
        <f>IF($E686="","",INDEX('Input Transaksi'!$A:$A,$E686))</f>
        <v/>
      </c>
      <c r="B686" s="5">
        <f>IF($E686="","",INDEX('Input Transaksi'!$D:$D,$E686))</f>
        <v/>
      </c>
      <c r="C686">
        <f>IF($E686="","",INDEX('Input Transaksi'!$E:$E,$E686))</f>
        <v/>
      </c>
      <c r="D686" s="5">
        <f>IF($E686="","",INDEX('Input Transaksi'!$F:$F,$E686))</f>
        <v/>
      </c>
      <c r="E686">
        <f>IFERROR(AGGREGATE(15,6,ROW('Input Transaksi'!$B$5:$B$5000)/('Input Transaksi'!$B$5:$B$5000="JCL AYANI"),ROWS($E$5:E686)),"")</f>
        <v/>
      </c>
      <c r="F686" s="5" t="n"/>
    </row>
    <row r="687">
      <c r="A687" s="10">
        <f>IF($E687="","",INDEX('Input Transaksi'!$A:$A,$E687))</f>
        <v/>
      </c>
      <c r="B687" s="5">
        <f>IF($E687="","",INDEX('Input Transaksi'!$D:$D,$E687))</f>
        <v/>
      </c>
      <c r="C687">
        <f>IF($E687="","",INDEX('Input Transaksi'!$E:$E,$E687))</f>
        <v/>
      </c>
      <c r="D687" s="5">
        <f>IF($E687="","",INDEX('Input Transaksi'!$F:$F,$E687))</f>
        <v/>
      </c>
      <c r="E687">
        <f>IFERROR(AGGREGATE(15,6,ROW('Input Transaksi'!$B$5:$B$5000)/('Input Transaksi'!$B$5:$B$5000="JCL AYANI"),ROWS($E$5:E687)),"")</f>
        <v/>
      </c>
      <c r="F687" s="5" t="n"/>
    </row>
    <row r="688">
      <c r="A688" s="10">
        <f>IF($E688="","",INDEX('Input Transaksi'!$A:$A,$E688))</f>
        <v/>
      </c>
      <c r="B688" s="5">
        <f>IF($E688="","",INDEX('Input Transaksi'!$D:$D,$E688))</f>
        <v/>
      </c>
      <c r="C688">
        <f>IF($E688="","",INDEX('Input Transaksi'!$E:$E,$E688))</f>
        <v/>
      </c>
      <c r="D688" s="5">
        <f>IF($E688="","",INDEX('Input Transaksi'!$F:$F,$E688))</f>
        <v/>
      </c>
      <c r="E688">
        <f>IFERROR(AGGREGATE(15,6,ROW('Input Transaksi'!$B$5:$B$5000)/('Input Transaksi'!$B$5:$B$5000="JCL AYANI"),ROWS($E$5:E688)),"")</f>
        <v/>
      </c>
      <c r="F688" s="5" t="n"/>
    </row>
    <row r="689">
      <c r="A689" s="10">
        <f>IF($E689="","",INDEX('Input Transaksi'!$A:$A,$E689))</f>
        <v/>
      </c>
      <c r="B689" s="5">
        <f>IF($E689="","",INDEX('Input Transaksi'!$D:$D,$E689))</f>
        <v/>
      </c>
      <c r="C689">
        <f>IF($E689="","",INDEX('Input Transaksi'!$E:$E,$E689))</f>
        <v/>
      </c>
      <c r="D689" s="5">
        <f>IF($E689="","",INDEX('Input Transaksi'!$F:$F,$E689))</f>
        <v/>
      </c>
      <c r="E689">
        <f>IFERROR(AGGREGATE(15,6,ROW('Input Transaksi'!$B$5:$B$5000)/('Input Transaksi'!$B$5:$B$5000="JCL AYANI"),ROWS($E$5:E689)),"")</f>
        <v/>
      </c>
      <c r="F689" s="5" t="n"/>
    </row>
    <row r="690">
      <c r="A690" s="10">
        <f>IF($E690="","",INDEX('Input Transaksi'!$A:$A,$E690))</f>
        <v/>
      </c>
      <c r="B690" s="5">
        <f>IF($E690="","",INDEX('Input Transaksi'!$D:$D,$E690))</f>
        <v/>
      </c>
      <c r="C690">
        <f>IF($E690="","",INDEX('Input Transaksi'!$E:$E,$E690))</f>
        <v/>
      </c>
      <c r="D690" s="5">
        <f>IF($E690="","",INDEX('Input Transaksi'!$F:$F,$E690))</f>
        <v/>
      </c>
      <c r="E690">
        <f>IFERROR(AGGREGATE(15,6,ROW('Input Transaksi'!$B$5:$B$5000)/('Input Transaksi'!$B$5:$B$5000="JCL AYANI"),ROWS($E$5:E690)),"")</f>
        <v/>
      </c>
      <c r="F690" s="5" t="n"/>
    </row>
    <row r="691">
      <c r="A691" s="10">
        <f>IF($E691="","",INDEX('Input Transaksi'!$A:$A,$E691))</f>
        <v/>
      </c>
      <c r="B691" s="5">
        <f>IF($E691="","",INDEX('Input Transaksi'!$D:$D,$E691))</f>
        <v/>
      </c>
      <c r="C691">
        <f>IF($E691="","",INDEX('Input Transaksi'!$E:$E,$E691))</f>
        <v/>
      </c>
      <c r="D691" s="5">
        <f>IF($E691="","",INDEX('Input Transaksi'!$F:$F,$E691))</f>
        <v/>
      </c>
      <c r="E691">
        <f>IFERROR(AGGREGATE(15,6,ROW('Input Transaksi'!$B$5:$B$5000)/('Input Transaksi'!$B$5:$B$5000="JCL AYANI"),ROWS($E$5:E691)),"")</f>
        <v/>
      </c>
      <c r="F691" s="5" t="n"/>
    </row>
    <row r="692">
      <c r="A692" s="10">
        <f>IF($E692="","",INDEX('Input Transaksi'!$A:$A,$E692))</f>
        <v/>
      </c>
      <c r="B692" s="5">
        <f>IF($E692="","",INDEX('Input Transaksi'!$D:$D,$E692))</f>
        <v/>
      </c>
      <c r="C692">
        <f>IF($E692="","",INDEX('Input Transaksi'!$E:$E,$E692))</f>
        <v/>
      </c>
      <c r="D692" s="5">
        <f>IF($E692="","",INDEX('Input Transaksi'!$F:$F,$E692))</f>
        <v/>
      </c>
      <c r="E692">
        <f>IFERROR(AGGREGATE(15,6,ROW('Input Transaksi'!$B$5:$B$5000)/('Input Transaksi'!$B$5:$B$5000="JCL AYANI"),ROWS($E$5:E692)),"")</f>
        <v/>
      </c>
      <c r="F692" s="5" t="n"/>
    </row>
    <row r="693">
      <c r="A693" s="10">
        <f>IF($E693="","",INDEX('Input Transaksi'!$A:$A,$E693))</f>
        <v/>
      </c>
      <c r="B693" s="5">
        <f>IF($E693="","",INDEX('Input Transaksi'!$D:$D,$E693))</f>
        <v/>
      </c>
      <c r="C693">
        <f>IF($E693="","",INDEX('Input Transaksi'!$E:$E,$E693))</f>
        <v/>
      </c>
      <c r="D693" s="5">
        <f>IF($E693="","",INDEX('Input Transaksi'!$F:$F,$E693))</f>
        <v/>
      </c>
      <c r="E693">
        <f>IFERROR(AGGREGATE(15,6,ROW('Input Transaksi'!$B$5:$B$5000)/('Input Transaksi'!$B$5:$B$5000="JCL AYANI"),ROWS($E$5:E693)),"")</f>
        <v/>
      </c>
      <c r="F693" s="5" t="n"/>
    </row>
    <row r="694">
      <c r="A694" s="10">
        <f>IF($E694="","",INDEX('Input Transaksi'!$A:$A,$E694))</f>
        <v/>
      </c>
      <c r="B694" s="5">
        <f>IF($E694="","",INDEX('Input Transaksi'!$D:$D,$E694))</f>
        <v/>
      </c>
      <c r="C694">
        <f>IF($E694="","",INDEX('Input Transaksi'!$E:$E,$E694))</f>
        <v/>
      </c>
      <c r="D694" s="5">
        <f>IF($E694="","",INDEX('Input Transaksi'!$F:$F,$E694))</f>
        <v/>
      </c>
      <c r="E694">
        <f>IFERROR(AGGREGATE(15,6,ROW('Input Transaksi'!$B$5:$B$5000)/('Input Transaksi'!$B$5:$B$5000="JCL AYANI"),ROWS($E$5:E694)),"")</f>
        <v/>
      </c>
      <c r="F694" s="5" t="n"/>
    </row>
    <row r="695">
      <c r="A695" s="10">
        <f>IF($E695="","",INDEX('Input Transaksi'!$A:$A,$E695))</f>
        <v/>
      </c>
      <c r="B695" s="5">
        <f>IF($E695="","",INDEX('Input Transaksi'!$D:$D,$E695))</f>
        <v/>
      </c>
      <c r="C695">
        <f>IF($E695="","",INDEX('Input Transaksi'!$E:$E,$E695))</f>
        <v/>
      </c>
      <c r="D695" s="5">
        <f>IF($E695="","",INDEX('Input Transaksi'!$F:$F,$E695))</f>
        <v/>
      </c>
      <c r="E695">
        <f>IFERROR(AGGREGATE(15,6,ROW('Input Transaksi'!$B$5:$B$5000)/('Input Transaksi'!$B$5:$B$5000="JCL AYANI"),ROWS($E$5:E695)),"")</f>
        <v/>
      </c>
      <c r="F695" s="5" t="n"/>
    </row>
    <row r="696">
      <c r="A696" s="10">
        <f>IF($E696="","",INDEX('Input Transaksi'!$A:$A,$E696))</f>
        <v/>
      </c>
      <c r="B696" s="5">
        <f>IF($E696="","",INDEX('Input Transaksi'!$D:$D,$E696))</f>
        <v/>
      </c>
      <c r="C696">
        <f>IF($E696="","",INDEX('Input Transaksi'!$E:$E,$E696))</f>
        <v/>
      </c>
      <c r="D696" s="5">
        <f>IF($E696="","",INDEX('Input Transaksi'!$F:$F,$E696))</f>
        <v/>
      </c>
      <c r="E696">
        <f>IFERROR(AGGREGATE(15,6,ROW('Input Transaksi'!$B$5:$B$5000)/('Input Transaksi'!$B$5:$B$5000="JCL AYANI"),ROWS($E$5:E696)),"")</f>
        <v/>
      </c>
      <c r="F696" s="5" t="n"/>
    </row>
    <row r="697">
      <c r="A697" s="10">
        <f>IF($E697="","",INDEX('Input Transaksi'!$A:$A,$E697))</f>
        <v/>
      </c>
      <c r="B697" s="5">
        <f>IF($E697="","",INDEX('Input Transaksi'!$D:$D,$E697))</f>
        <v/>
      </c>
      <c r="C697">
        <f>IF($E697="","",INDEX('Input Transaksi'!$E:$E,$E697))</f>
        <v/>
      </c>
      <c r="D697" s="5">
        <f>IF($E697="","",INDEX('Input Transaksi'!$F:$F,$E697))</f>
        <v/>
      </c>
      <c r="E697">
        <f>IFERROR(AGGREGATE(15,6,ROW('Input Transaksi'!$B$5:$B$5000)/('Input Transaksi'!$B$5:$B$5000="JCL AYANI"),ROWS($E$5:E697)),"")</f>
        <v/>
      </c>
      <c r="F697" s="5" t="n"/>
    </row>
    <row r="698">
      <c r="A698" s="10">
        <f>IF($E698="","",INDEX('Input Transaksi'!$A:$A,$E698))</f>
        <v/>
      </c>
      <c r="B698" s="5">
        <f>IF($E698="","",INDEX('Input Transaksi'!$D:$D,$E698))</f>
        <v/>
      </c>
      <c r="C698">
        <f>IF($E698="","",INDEX('Input Transaksi'!$E:$E,$E698))</f>
        <v/>
      </c>
      <c r="D698" s="5">
        <f>IF($E698="","",INDEX('Input Transaksi'!$F:$F,$E698))</f>
        <v/>
      </c>
      <c r="E698">
        <f>IFERROR(AGGREGATE(15,6,ROW('Input Transaksi'!$B$5:$B$5000)/('Input Transaksi'!$B$5:$B$5000="JCL AYANI"),ROWS($E$5:E698)),"")</f>
        <v/>
      </c>
      <c r="F698" s="5" t="n"/>
    </row>
    <row r="699">
      <c r="A699" s="10">
        <f>IF($E699="","",INDEX('Input Transaksi'!$A:$A,$E699))</f>
        <v/>
      </c>
      <c r="B699" s="5">
        <f>IF($E699="","",INDEX('Input Transaksi'!$D:$D,$E699))</f>
        <v/>
      </c>
      <c r="C699">
        <f>IF($E699="","",INDEX('Input Transaksi'!$E:$E,$E699))</f>
        <v/>
      </c>
      <c r="D699" s="5">
        <f>IF($E699="","",INDEX('Input Transaksi'!$F:$F,$E699))</f>
        <v/>
      </c>
      <c r="E699">
        <f>IFERROR(AGGREGATE(15,6,ROW('Input Transaksi'!$B$5:$B$5000)/('Input Transaksi'!$B$5:$B$5000="JCL AYANI"),ROWS($E$5:E699)),"")</f>
        <v/>
      </c>
      <c r="F699" s="5" t="n"/>
    </row>
    <row r="700">
      <c r="A700" s="10">
        <f>IF($E700="","",INDEX('Input Transaksi'!$A:$A,$E700))</f>
        <v/>
      </c>
      <c r="B700" s="5">
        <f>IF($E700="","",INDEX('Input Transaksi'!$D:$D,$E700))</f>
        <v/>
      </c>
      <c r="C700">
        <f>IF($E700="","",INDEX('Input Transaksi'!$E:$E,$E700))</f>
        <v/>
      </c>
      <c r="D700" s="5">
        <f>IF($E700="","",INDEX('Input Transaksi'!$F:$F,$E700))</f>
        <v/>
      </c>
      <c r="E700">
        <f>IFERROR(AGGREGATE(15,6,ROW('Input Transaksi'!$B$5:$B$5000)/('Input Transaksi'!$B$5:$B$5000="JCL AYANI"),ROWS($E$5:E700)),"")</f>
        <v/>
      </c>
      <c r="F700" s="5" t="n"/>
    </row>
    <row r="701">
      <c r="A701" s="10">
        <f>IF($E701="","",INDEX('Input Transaksi'!$A:$A,$E701))</f>
        <v/>
      </c>
      <c r="B701" s="5">
        <f>IF($E701="","",INDEX('Input Transaksi'!$D:$D,$E701))</f>
        <v/>
      </c>
      <c r="C701">
        <f>IF($E701="","",INDEX('Input Transaksi'!$E:$E,$E701))</f>
        <v/>
      </c>
      <c r="D701" s="5">
        <f>IF($E701="","",INDEX('Input Transaksi'!$F:$F,$E701))</f>
        <v/>
      </c>
      <c r="E701">
        <f>IFERROR(AGGREGATE(15,6,ROW('Input Transaksi'!$B$5:$B$5000)/('Input Transaksi'!$B$5:$B$5000="JCL AYANI"),ROWS($E$5:E701)),"")</f>
        <v/>
      </c>
      <c r="F701" s="5" t="n"/>
    </row>
    <row r="702">
      <c r="A702" s="10">
        <f>IF($E702="","",INDEX('Input Transaksi'!$A:$A,$E702))</f>
        <v/>
      </c>
      <c r="B702" s="5">
        <f>IF($E702="","",INDEX('Input Transaksi'!$D:$D,$E702))</f>
        <v/>
      </c>
      <c r="C702">
        <f>IF($E702="","",INDEX('Input Transaksi'!$E:$E,$E702))</f>
        <v/>
      </c>
      <c r="D702" s="5">
        <f>IF($E702="","",INDEX('Input Transaksi'!$F:$F,$E702))</f>
        <v/>
      </c>
      <c r="E702">
        <f>IFERROR(AGGREGATE(15,6,ROW('Input Transaksi'!$B$5:$B$5000)/('Input Transaksi'!$B$5:$B$5000="JCL AYANI"),ROWS($E$5:E702)),"")</f>
        <v/>
      </c>
      <c r="F702" s="5" t="n"/>
    </row>
    <row r="703">
      <c r="A703" s="10">
        <f>IF($E703="","",INDEX('Input Transaksi'!$A:$A,$E703))</f>
        <v/>
      </c>
      <c r="B703" s="5">
        <f>IF($E703="","",INDEX('Input Transaksi'!$D:$D,$E703))</f>
        <v/>
      </c>
      <c r="C703">
        <f>IF($E703="","",INDEX('Input Transaksi'!$E:$E,$E703))</f>
        <v/>
      </c>
      <c r="D703" s="5">
        <f>IF($E703="","",INDEX('Input Transaksi'!$F:$F,$E703))</f>
        <v/>
      </c>
      <c r="E703">
        <f>IFERROR(AGGREGATE(15,6,ROW('Input Transaksi'!$B$5:$B$5000)/('Input Transaksi'!$B$5:$B$5000="JCL AYANI"),ROWS($E$5:E703)),"")</f>
        <v/>
      </c>
      <c r="F703" s="5" t="n"/>
    </row>
    <row r="704">
      <c r="A704" s="10">
        <f>IF($E704="","",INDEX('Input Transaksi'!$A:$A,$E704))</f>
        <v/>
      </c>
      <c r="B704" s="5">
        <f>IF($E704="","",INDEX('Input Transaksi'!$D:$D,$E704))</f>
        <v/>
      </c>
      <c r="C704">
        <f>IF($E704="","",INDEX('Input Transaksi'!$E:$E,$E704))</f>
        <v/>
      </c>
      <c r="D704" s="5">
        <f>IF($E704="","",INDEX('Input Transaksi'!$F:$F,$E704))</f>
        <v/>
      </c>
      <c r="E704">
        <f>IFERROR(AGGREGATE(15,6,ROW('Input Transaksi'!$B$5:$B$5000)/('Input Transaksi'!$B$5:$B$5000="JCL AYANI"),ROWS($E$5:E704)),"")</f>
        <v/>
      </c>
      <c r="F704" s="5" t="n"/>
    </row>
    <row r="705">
      <c r="A705" s="10">
        <f>IF($E705="","",INDEX('Input Transaksi'!$A:$A,$E705))</f>
        <v/>
      </c>
      <c r="B705" s="5">
        <f>IF($E705="","",INDEX('Input Transaksi'!$D:$D,$E705))</f>
        <v/>
      </c>
      <c r="C705">
        <f>IF($E705="","",INDEX('Input Transaksi'!$E:$E,$E705))</f>
        <v/>
      </c>
      <c r="D705" s="5">
        <f>IF($E705="","",INDEX('Input Transaksi'!$F:$F,$E705))</f>
        <v/>
      </c>
      <c r="E705">
        <f>IFERROR(AGGREGATE(15,6,ROW('Input Transaksi'!$B$5:$B$5000)/('Input Transaksi'!$B$5:$B$5000="JCL AYANI"),ROWS($E$5:E705)),"")</f>
        <v/>
      </c>
      <c r="F705" s="5" t="n"/>
    </row>
    <row r="706">
      <c r="A706" s="10">
        <f>IF($E706="","",INDEX('Input Transaksi'!$A:$A,$E706))</f>
        <v/>
      </c>
      <c r="B706" s="5">
        <f>IF($E706="","",INDEX('Input Transaksi'!$D:$D,$E706))</f>
        <v/>
      </c>
      <c r="C706">
        <f>IF($E706="","",INDEX('Input Transaksi'!$E:$E,$E706))</f>
        <v/>
      </c>
      <c r="D706" s="5">
        <f>IF($E706="","",INDEX('Input Transaksi'!$F:$F,$E706))</f>
        <v/>
      </c>
      <c r="E706">
        <f>IFERROR(AGGREGATE(15,6,ROW('Input Transaksi'!$B$5:$B$5000)/('Input Transaksi'!$B$5:$B$5000="JCL AYANI"),ROWS($E$5:E706)),"")</f>
        <v/>
      </c>
      <c r="F706" s="5" t="n"/>
    </row>
    <row r="707">
      <c r="A707" s="10">
        <f>IF($E707="","",INDEX('Input Transaksi'!$A:$A,$E707))</f>
        <v/>
      </c>
      <c r="B707" s="5">
        <f>IF($E707="","",INDEX('Input Transaksi'!$D:$D,$E707))</f>
        <v/>
      </c>
      <c r="C707">
        <f>IF($E707="","",INDEX('Input Transaksi'!$E:$E,$E707))</f>
        <v/>
      </c>
      <c r="D707" s="5">
        <f>IF($E707="","",INDEX('Input Transaksi'!$F:$F,$E707))</f>
        <v/>
      </c>
      <c r="E707">
        <f>IFERROR(AGGREGATE(15,6,ROW('Input Transaksi'!$B$5:$B$5000)/('Input Transaksi'!$B$5:$B$5000="JCL AYANI"),ROWS($E$5:E707)),"")</f>
        <v/>
      </c>
      <c r="F707" s="5" t="n"/>
    </row>
    <row r="708">
      <c r="A708" s="10">
        <f>IF($E708="","",INDEX('Input Transaksi'!$A:$A,$E708))</f>
        <v/>
      </c>
      <c r="B708" s="5">
        <f>IF($E708="","",INDEX('Input Transaksi'!$D:$D,$E708))</f>
        <v/>
      </c>
      <c r="C708">
        <f>IF($E708="","",INDEX('Input Transaksi'!$E:$E,$E708))</f>
        <v/>
      </c>
      <c r="D708" s="5">
        <f>IF($E708="","",INDEX('Input Transaksi'!$F:$F,$E708))</f>
        <v/>
      </c>
      <c r="E708">
        <f>IFERROR(AGGREGATE(15,6,ROW('Input Transaksi'!$B$5:$B$5000)/('Input Transaksi'!$B$5:$B$5000="JCL AYANI"),ROWS($E$5:E708)),"")</f>
        <v/>
      </c>
      <c r="F708" s="5" t="n"/>
    </row>
    <row r="709">
      <c r="A709" s="10">
        <f>IF($E709="","",INDEX('Input Transaksi'!$A:$A,$E709))</f>
        <v/>
      </c>
      <c r="B709" s="5">
        <f>IF($E709="","",INDEX('Input Transaksi'!$D:$D,$E709))</f>
        <v/>
      </c>
      <c r="C709">
        <f>IF($E709="","",INDEX('Input Transaksi'!$E:$E,$E709))</f>
        <v/>
      </c>
      <c r="D709" s="5">
        <f>IF($E709="","",INDEX('Input Transaksi'!$F:$F,$E709))</f>
        <v/>
      </c>
      <c r="E709">
        <f>IFERROR(AGGREGATE(15,6,ROW('Input Transaksi'!$B$5:$B$5000)/('Input Transaksi'!$B$5:$B$5000="JCL AYANI"),ROWS($E$5:E709)),"")</f>
        <v/>
      </c>
      <c r="F709" s="5" t="n"/>
    </row>
    <row r="710">
      <c r="A710" s="10">
        <f>IF($E710="","",INDEX('Input Transaksi'!$A:$A,$E710))</f>
        <v/>
      </c>
      <c r="B710" s="5">
        <f>IF($E710="","",INDEX('Input Transaksi'!$D:$D,$E710))</f>
        <v/>
      </c>
      <c r="C710">
        <f>IF($E710="","",INDEX('Input Transaksi'!$E:$E,$E710))</f>
        <v/>
      </c>
      <c r="D710" s="5">
        <f>IF($E710="","",INDEX('Input Transaksi'!$F:$F,$E710))</f>
        <v/>
      </c>
      <c r="E710">
        <f>IFERROR(AGGREGATE(15,6,ROW('Input Transaksi'!$B$5:$B$5000)/('Input Transaksi'!$B$5:$B$5000="JCL AYANI"),ROWS($E$5:E710)),"")</f>
        <v/>
      </c>
      <c r="F710" s="5" t="n"/>
    </row>
    <row r="711">
      <c r="A711" s="10">
        <f>IF($E711="","",INDEX('Input Transaksi'!$A:$A,$E711))</f>
        <v/>
      </c>
      <c r="B711" s="5">
        <f>IF($E711="","",INDEX('Input Transaksi'!$D:$D,$E711))</f>
        <v/>
      </c>
      <c r="C711">
        <f>IF($E711="","",INDEX('Input Transaksi'!$E:$E,$E711))</f>
        <v/>
      </c>
      <c r="D711" s="5">
        <f>IF($E711="","",INDEX('Input Transaksi'!$F:$F,$E711))</f>
        <v/>
      </c>
      <c r="E711">
        <f>IFERROR(AGGREGATE(15,6,ROW('Input Transaksi'!$B$5:$B$5000)/('Input Transaksi'!$B$5:$B$5000="JCL AYANI"),ROWS($E$5:E711)),"")</f>
        <v/>
      </c>
      <c r="F711" s="5" t="n"/>
    </row>
    <row r="712">
      <c r="A712" s="10">
        <f>IF($E712="","",INDEX('Input Transaksi'!$A:$A,$E712))</f>
        <v/>
      </c>
      <c r="B712" s="5">
        <f>IF($E712="","",INDEX('Input Transaksi'!$D:$D,$E712))</f>
        <v/>
      </c>
      <c r="C712">
        <f>IF($E712="","",INDEX('Input Transaksi'!$E:$E,$E712))</f>
        <v/>
      </c>
      <c r="D712" s="5">
        <f>IF($E712="","",INDEX('Input Transaksi'!$F:$F,$E712))</f>
        <v/>
      </c>
      <c r="E712">
        <f>IFERROR(AGGREGATE(15,6,ROW('Input Transaksi'!$B$5:$B$5000)/('Input Transaksi'!$B$5:$B$5000="JCL AYANI"),ROWS($E$5:E712)),"")</f>
        <v/>
      </c>
      <c r="F712" s="5" t="n"/>
    </row>
    <row r="713">
      <c r="A713" s="10">
        <f>IF($E713="","",INDEX('Input Transaksi'!$A:$A,$E713))</f>
        <v/>
      </c>
      <c r="B713" s="5">
        <f>IF($E713="","",INDEX('Input Transaksi'!$D:$D,$E713))</f>
        <v/>
      </c>
      <c r="C713">
        <f>IF($E713="","",INDEX('Input Transaksi'!$E:$E,$E713))</f>
        <v/>
      </c>
      <c r="D713" s="5">
        <f>IF($E713="","",INDEX('Input Transaksi'!$F:$F,$E713))</f>
        <v/>
      </c>
      <c r="E713">
        <f>IFERROR(AGGREGATE(15,6,ROW('Input Transaksi'!$B$5:$B$5000)/('Input Transaksi'!$B$5:$B$5000="JCL AYANI"),ROWS($E$5:E713)),"")</f>
        <v/>
      </c>
      <c r="F713" s="5" t="n"/>
    </row>
    <row r="714">
      <c r="A714" s="10">
        <f>IF($E714="","",INDEX('Input Transaksi'!$A:$A,$E714))</f>
        <v/>
      </c>
      <c r="B714" s="5">
        <f>IF($E714="","",INDEX('Input Transaksi'!$D:$D,$E714))</f>
        <v/>
      </c>
      <c r="C714">
        <f>IF($E714="","",INDEX('Input Transaksi'!$E:$E,$E714))</f>
        <v/>
      </c>
      <c r="D714" s="5">
        <f>IF($E714="","",INDEX('Input Transaksi'!$F:$F,$E714))</f>
        <v/>
      </c>
      <c r="E714">
        <f>IFERROR(AGGREGATE(15,6,ROW('Input Transaksi'!$B$5:$B$5000)/('Input Transaksi'!$B$5:$B$5000="JCL AYANI"),ROWS($E$5:E714)),"")</f>
        <v/>
      </c>
      <c r="F714" s="5" t="n"/>
    </row>
    <row r="715">
      <c r="A715" s="10">
        <f>IF($E715="","",INDEX('Input Transaksi'!$A:$A,$E715))</f>
        <v/>
      </c>
      <c r="B715" s="5">
        <f>IF($E715="","",INDEX('Input Transaksi'!$D:$D,$E715))</f>
        <v/>
      </c>
      <c r="C715">
        <f>IF($E715="","",INDEX('Input Transaksi'!$E:$E,$E715))</f>
        <v/>
      </c>
      <c r="D715" s="5">
        <f>IF($E715="","",INDEX('Input Transaksi'!$F:$F,$E715))</f>
        <v/>
      </c>
      <c r="E715">
        <f>IFERROR(AGGREGATE(15,6,ROW('Input Transaksi'!$B$5:$B$5000)/('Input Transaksi'!$B$5:$B$5000="JCL AYANI"),ROWS($E$5:E715)),"")</f>
        <v/>
      </c>
      <c r="F715" s="5" t="n"/>
    </row>
    <row r="716">
      <c r="A716" s="10">
        <f>IF($E716="","",INDEX('Input Transaksi'!$A:$A,$E716))</f>
        <v/>
      </c>
      <c r="B716" s="5">
        <f>IF($E716="","",INDEX('Input Transaksi'!$D:$D,$E716))</f>
        <v/>
      </c>
      <c r="C716">
        <f>IF($E716="","",INDEX('Input Transaksi'!$E:$E,$E716))</f>
        <v/>
      </c>
      <c r="D716" s="5">
        <f>IF($E716="","",INDEX('Input Transaksi'!$F:$F,$E716))</f>
        <v/>
      </c>
      <c r="E716">
        <f>IFERROR(AGGREGATE(15,6,ROW('Input Transaksi'!$B$5:$B$5000)/('Input Transaksi'!$B$5:$B$5000="JCL AYANI"),ROWS($E$5:E716)),"")</f>
        <v/>
      </c>
      <c r="F716" s="5" t="n"/>
    </row>
    <row r="717">
      <c r="A717" s="10">
        <f>IF($E717="","",INDEX('Input Transaksi'!$A:$A,$E717))</f>
        <v/>
      </c>
      <c r="B717" s="5">
        <f>IF($E717="","",INDEX('Input Transaksi'!$D:$D,$E717))</f>
        <v/>
      </c>
      <c r="C717">
        <f>IF($E717="","",INDEX('Input Transaksi'!$E:$E,$E717))</f>
        <v/>
      </c>
      <c r="D717" s="5">
        <f>IF($E717="","",INDEX('Input Transaksi'!$F:$F,$E717))</f>
        <v/>
      </c>
      <c r="E717">
        <f>IFERROR(AGGREGATE(15,6,ROW('Input Transaksi'!$B$5:$B$5000)/('Input Transaksi'!$B$5:$B$5000="JCL AYANI"),ROWS($E$5:E717)),"")</f>
        <v/>
      </c>
      <c r="F717" s="5" t="n"/>
    </row>
    <row r="718">
      <c r="A718" s="10">
        <f>IF($E718="","",INDEX('Input Transaksi'!$A:$A,$E718))</f>
        <v/>
      </c>
      <c r="B718" s="5">
        <f>IF($E718="","",INDEX('Input Transaksi'!$D:$D,$E718))</f>
        <v/>
      </c>
      <c r="C718">
        <f>IF($E718="","",INDEX('Input Transaksi'!$E:$E,$E718))</f>
        <v/>
      </c>
      <c r="D718" s="5">
        <f>IF($E718="","",INDEX('Input Transaksi'!$F:$F,$E718))</f>
        <v/>
      </c>
      <c r="E718">
        <f>IFERROR(AGGREGATE(15,6,ROW('Input Transaksi'!$B$5:$B$5000)/('Input Transaksi'!$B$5:$B$5000="JCL AYANI"),ROWS($E$5:E718)),"")</f>
        <v/>
      </c>
      <c r="F718" s="5" t="n"/>
    </row>
    <row r="719">
      <c r="A719" s="10">
        <f>IF($E719="","",INDEX('Input Transaksi'!$A:$A,$E719))</f>
        <v/>
      </c>
      <c r="B719" s="5">
        <f>IF($E719="","",INDEX('Input Transaksi'!$D:$D,$E719))</f>
        <v/>
      </c>
      <c r="C719">
        <f>IF($E719="","",INDEX('Input Transaksi'!$E:$E,$E719))</f>
        <v/>
      </c>
      <c r="D719" s="5">
        <f>IF($E719="","",INDEX('Input Transaksi'!$F:$F,$E719))</f>
        <v/>
      </c>
      <c r="E719">
        <f>IFERROR(AGGREGATE(15,6,ROW('Input Transaksi'!$B$5:$B$5000)/('Input Transaksi'!$B$5:$B$5000="JCL AYANI"),ROWS($E$5:E719)),"")</f>
        <v/>
      </c>
      <c r="F719" s="5" t="n"/>
    </row>
    <row r="720">
      <c r="A720" s="10">
        <f>IF($E720="","",INDEX('Input Transaksi'!$A:$A,$E720))</f>
        <v/>
      </c>
      <c r="B720" s="5">
        <f>IF($E720="","",INDEX('Input Transaksi'!$D:$D,$E720))</f>
        <v/>
      </c>
      <c r="C720">
        <f>IF($E720="","",INDEX('Input Transaksi'!$E:$E,$E720))</f>
        <v/>
      </c>
      <c r="D720" s="5">
        <f>IF($E720="","",INDEX('Input Transaksi'!$F:$F,$E720))</f>
        <v/>
      </c>
      <c r="E720">
        <f>IFERROR(AGGREGATE(15,6,ROW('Input Transaksi'!$B$5:$B$5000)/('Input Transaksi'!$B$5:$B$5000="JCL AYANI"),ROWS($E$5:E720)),"")</f>
        <v/>
      </c>
      <c r="F720" s="5" t="n"/>
    </row>
    <row r="721">
      <c r="A721" s="10">
        <f>IF($E721="","",INDEX('Input Transaksi'!$A:$A,$E721))</f>
        <v/>
      </c>
      <c r="B721" s="5">
        <f>IF($E721="","",INDEX('Input Transaksi'!$D:$D,$E721))</f>
        <v/>
      </c>
      <c r="C721">
        <f>IF($E721="","",INDEX('Input Transaksi'!$E:$E,$E721))</f>
        <v/>
      </c>
      <c r="D721" s="5">
        <f>IF($E721="","",INDEX('Input Transaksi'!$F:$F,$E721))</f>
        <v/>
      </c>
      <c r="E721">
        <f>IFERROR(AGGREGATE(15,6,ROW('Input Transaksi'!$B$5:$B$5000)/('Input Transaksi'!$B$5:$B$5000="JCL AYANI"),ROWS($E$5:E721)),"")</f>
        <v/>
      </c>
      <c r="F721" s="5" t="n"/>
    </row>
    <row r="722">
      <c r="A722" s="10">
        <f>IF($E722="","",INDEX('Input Transaksi'!$A:$A,$E722))</f>
        <v/>
      </c>
      <c r="B722" s="5">
        <f>IF($E722="","",INDEX('Input Transaksi'!$D:$D,$E722))</f>
        <v/>
      </c>
      <c r="C722">
        <f>IF($E722="","",INDEX('Input Transaksi'!$E:$E,$E722))</f>
        <v/>
      </c>
      <c r="D722" s="5">
        <f>IF($E722="","",INDEX('Input Transaksi'!$F:$F,$E722))</f>
        <v/>
      </c>
      <c r="E722">
        <f>IFERROR(AGGREGATE(15,6,ROW('Input Transaksi'!$B$5:$B$5000)/('Input Transaksi'!$B$5:$B$5000="JCL AYANI"),ROWS($E$5:E722)),"")</f>
        <v/>
      </c>
      <c r="F722" s="5" t="n"/>
    </row>
    <row r="723">
      <c r="A723" s="10">
        <f>IF($E723="","",INDEX('Input Transaksi'!$A:$A,$E723))</f>
        <v/>
      </c>
      <c r="B723" s="5">
        <f>IF($E723="","",INDEX('Input Transaksi'!$D:$D,$E723))</f>
        <v/>
      </c>
      <c r="C723">
        <f>IF($E723="","",INDEX('Input Transaksi'!$E:$E,$E723))</f>
        <v/>
      </c>
      <c r="D723" s="5">
        <f>IF($E723="","",INDEX('Input Transaksi'!$F:$F,$E723))</f>
        <v/>
      </c>
      <c r="E723">
        <f>IFERROR(AGGREGATE(15,6,ROW('Input Transaksi'!$B$5:$B$5000)/('Input Transaksi'!$B$5:$B$5000="JCL AYANI"),ROWS($E$5:E723)),"")</f>
        <v/>
      </c>
      <c r="F723" s="5" t="n"/>
    </row>
    <row r="724">
      <c r="A724" s="10">
        <f>IF($E724="","",INDEX('Input Transaksi'!$A:$A,$E724))</f>
        <v/>
      </c>
      <c r="B724" s="5">
        <f>IF($E724="","",INDEX('Input Transaksi'!$D:$D,$E724))</f>
        <v/>
      </c>
      <c r="C724">
        <f>IF($E724="","",INDEX('Input Transaksi'!$E:$E,$E724))</f>
        <v/>
      </c>
      <c r="D724" s="5">
        <f>IF($E724="","",INDEX('Input Transaksi'!$F:$F,$E724))</f>
        <v/>
      </c>
      <c r="E724">
        <f>IFERROR(AGGREGATE(15,6,ROW('Input Transaksi'!$B$5:$B$5000)/('Input Transaksi'!$B$5:$B$5000="JCL AYANI"),ROWS($E$5:E724)),"")</f>
        <v/>
      </c>
      <c r="F724" s="5" t="n"/>
    </row>
    <row r="725">
      <c r="A725" s="10">
        <f>IF($E725="","",INDEX('Input Transaksi'!$A:$A,$E725))</f>
        <v/>
      </c>
      <c r="B725" s="5">
        <f>IF($E725="","",INDEX('Input Transaksi'!$D:$D,$E725))</f>
        <v/>
      </c>
      <c r="C725">
        <f>IF($E725="","",INDEX('Input Transaksi'!$E:$E,$E725))</f>
        <v/>
      </c>
      <c r="D725" s="5">
        <f>IF($E725="","",INDEX('Input Transaksi'!$F:$F,$E725))</f>
        <v/>
      </c>
      <c r="E725">
        <f>IFERROR(AGGREGATE(15,6,ROW('Input Transaksi'!$B$5:$B$5000)/('Input Transaksi'!$B$5:$B$5000="JCL AYANI"),ROWS($E$5:E725)),"")</f>
        <v/>
      </c>
      <c r="F725" s="5" t="n"/>
    </row>
    <row r="726">
      <c r="A726" s="10">
        <f>IF($E726="","",INDEX('Input Transaksi'!$A:$A,$E726))</f>
        <v/>
      </c>
      <c r="B726" s="5">
        <f>IF($E726="","",INDEX('Input Transaksi'!$D:$D,$E726))</f>
        <v/>
      </c>
      <c r="C726">
        <f>IF($E726="","",INDEX('Input Transaksi'!$E:$E,$E726))</f>
        <v/>
      </c>
      <c r="D726" s="5">
        <f>IF($E726="","",INDEX('Input Transaksi'!$F:$F,$E726))</f>
        <v/>
      </c>
      <c r="E726">
        <f>IFERROR(AGGREGATE(15,6,ROW('Input Transaksi'!$B$5:$B$5000)/('Input Transaksi'!$B$5:$B$5000="JCL AYANI"),ROWS($E$5:E726)),"")</f>
        <v/>
      </c>
      <c r="F726" s="5" t="n"/>
    </row>
    <row r="727">
      <c r="A727" s="10">
        <f>IF($E727="","",INDEX('Input Transaksi'!$A:$A,$E727))</f>
        <v/>
      </c>
      <c r="B727" s="5">
        <f>IF($E727="","",INDEX('Input Transaksi'!$D:$D,$E727))</f>
        <v/>
      </c>
      <c r="C727">
        <f>IF($E727="","",INDEX('Input Transaksi'!$E:$E,$E727))</f>
        <v/>
      </c>
      <c r="D727" s="5">
        <f>IF($E727="","",INDEX('Input Transaksi'!$F:$F,$E727))</f>
        <v/>
      </c>
      <c r="E727">
        <f>IFERROR(AGGREGATE(15,6,ROW('Input Transaksi'!$B$5:$B$5000)/('Input Transaksi'!$B$5:$B$5000="JCL AYANI"),ROWS($E$5:E727)),"")</f>
        <v/>
      </c>
      <c r="F727" s="5" t="n"/>
    </row>
    <row r="728">
      <c r="A728" s="10">
        <f>IF($E728="","",INDEX('Input Transaksi'!$A:$A,$E728))</f>
        <v/>
      </c>
      <c r="B728" s="5">
        <f>IF($E728="","",INDEX('Input Transaksi'!$D:$D,$E728))</f>
        <v/>
      </c>
      <c r="C728">
        <f>IF($E728="","",INDEX('Input Transaksi'!$E:$E,$E728))</f>
        <v/>
      </c>
      <c r="D728" s="5">
        <f>IF($E728="","",INDEX('Input Transaksi'!$F:$F,$E728))</f>
        <v/>
      </c>
      <c r="E728">
        <f>IFERROR(AGGREGATE(15,6,ROW('Input Transaksi'!$B$5:$B$5000)/('Input Transaksi'!$B$5:$B$5000="JCL AYANI"),ROWS($E$5:E728)),"")</f>
        <v/>
      </c>
      <c r="F728" s="5" t="n"/>
    </row>
    <row r="729">
      <c r="A729" s="10">
        <f>IF($E729="","",INDEX('Input Transaksi'!$A:$A,$E729))</f>
        <v/>
      </c>
      <c r="B729" s="5">
        <f>IF($E729="","",INDEX('Input Transaksi'!$D:$D,$E729))</f>
        <v/>
      </c>
      <c r="C729">
        <f>IF($E729="","",INDEX('Input Transaksi'!$E:$E,$E729))</f>
        <v/>
      </c>
      <c r="D729" s="5">
        <f>IF($E729="","",INDEX('Input Transaksi'!$F:$F,$E729))</f>
        <v/>
      </c>
      <c r="E729">
        <f>IFERROR(AGGREGATE(15,6,ROW('Input Transaksi'!$B$5:$B$5000)/('Input Transaksi'!$B$5:$B$5000="JCL AYANI"),ROWS($E$5:E729)),"")</f>
        <v/>
      </c>
      <c r="F729" s="5" t="n"/>
    </row>
    <row r="730">
      <c r="A730" s="10">
        <f>IF($E730="","",INDEX('Input Transaksi'!$A:$A,$E730))</f>
        <v/>
      </c>
      <c r="B730" s="5">
        <f>IF($E730="","",INDEX('Input Transaksi'!$D:$D,$E730))</f>
        <v/>
      </c>
      <c r="C730">
        <f>IF($E730="","",INDEX('Input Transaksi'!$E:$E,$E730))</f>
        <v/>
      </c>
      <c r="D730" s="5">
        <f>IF($E730="","",INDEX('Input Transaksi'!$F:$F,$E730))</f>
        <v/>
      </c>
      <c r="E730">
        <f>IFERROR(AGGREGATE(15,6,ROW('Input Transaksi'!$B$5:$B$5000)/('Input Transaksi'!$B$5:$B$5000="JCL AYANI"),ROWS($E$5:E730)),"")</f>
        <v/>
      </c>
      <c r="F730" s="5" t="n"/>
    </row>
    <row r="731">
      <c r="A731" s="10">
        <f>IF($E731="","",INDEX('Input Transaksi'!$A:$A,$E731))</f>
        <v/>
      </c>
      <c r="B731" s="5">
        <f>IF($E731="","",INDEX('Input Transaksi'!$D:$D,$E731))</f>
        <v/>
      </c>
      <c r="C731">
        <f>IF($E731="","",INDEX('Input Transaksi'!$E:$E,$E731))</f>
        <v/>
      </c>
      <c r="D731" s="5">
        <f>IF($E731="","",INDEX('Input Transaksi'!$F:$F,$E731))</f>
        <v/>
      </c>
      <c r="E731">
        <f>IFERROR(AGGREGATE(15,6,ROW('Input Transaksi'!$B$5:$B$5000)/('Input Transaksi'!$B$5:$B$5000="JCL AYANI"),ROWS($E$5:E731)),"")</f>
        <v/>
      </c>
      <c r="F731" s="5" t="n"/>
    </row>
    <row r="732">
      <c r="A732" s="10">
        <f>IF($E732="","",INDEX('Input Transaksi'!$A:$A,$E732))</f>
        <v/>
      </c>
      <c r="B732" s="5">
        <f>IF($E732="","",INDEX('Input Transaksi'!$D:$D,$E732))</f>
        <v/>
      </c>
      <c r="C732">
        <f>IF($E732="","",INDEX('Input Transaksi'!$E:$E,$E732))</f>
        <v/>
      </c>
      <c r="D732" s="5">
        <f>IF($E732="","",INDEX('Input Transaksi'!$F:$F,$E732))</f>
        <v/>
      </c>
      <c r="E732">
        <f>IFERROR(AGGREGATE(15,6,ROW('Input Transaksi'!$B$5:$B$5000)/('Input Transaksi'!$B$5:$B$5000="JCL AYANI"),ROWS($E$5:E732)),"")</f>
        <v/>
      </c>
      <c r="F732" s="5" t="n"/>
    </row>
    <row r="733">
      <c r="A733" s="10">
        <f>IF($E733="","",INDEX('Input Transaksi'!$A:$A,$E733))</f>
        <v/>
      </c>
      <c r="B733" s="5">
        <f>IF($E733="","",INDEX('Input Transaksi'!$D:$D,$E733))</f>
        <v/>
      </c>
      <c r="C733">
        <f>IF($E733="","",INDEX('Input Transaksi'!$E:$E,$E733))</f>
        <v/>
      </c>
      <c r="D733" s="5">
        <f>IF($E733="","",INDEX('Input Transaksi'!$F:$F,$E733))</f>
        <v/>
      </c>
      <c r="E733">
        <f>IFERROR(AGGREGATE(15,6,ROW('Input Transaksi'!$B$5:$B$5000)/('Input Transaksi'!$B$5:$B$5000="JCL AYANI"),ROWS($E$5:E733)),"")</f>
        <v/>
      </c>
      <c r="F733" s="5" t="n"/>
    </row>
    <row r="734">
      <c r="A734" s="10">
        <f>IF($E734="","",INDEX('Input Transaksi'!$A:$A,$E734))</f>
        <v/>
      </c>
      <c r="B734" s="5">
        <f>IF($E734="","",INDEX('Input Transaksi'!$D:$D,$E734))</f>
        <v/>
      </c>
      <c r="C734">
        <f>IF($E734="","",INDEX('Input Transaksi'!$E:$E,$E734))</f>
        <v/>
      </c>
      <c r="D734" s="5">
        <f>IF($E734="","",INDEX('Input Transaksi'!$F:$F,$E734))</f>
        <v/>
      </c>
      <c r="E734">
        <f>IFERROR(AGGREGATE(15,6,ROW('Input Transaksi'!$B$5:$B$5000)/('Input Transaksi'!$B$5:$B$5000="JCL AYANI"),ROWS($E$5:E734)),"")</f>
        <v/>
      </c>
      <c r="F734" s="5" t="n"/>
    </row>
    <row r="735">
      <c r="A735" s="10">
        <f>IF($E735="","",INDEX('Input Transaksi'!$A:$A,$E735))</f>
        <v/>
      </c>
      <c r="B735" s="5">
        <f>IF($E735="","",INDEX('Input Transaksi'!$D:$D,$E735))</f>
        <v/>
      </c>
      <c r="C735">
        <f>IF($E735="","",INDEX('Input Transaksi'!$E:$E,$E735))</f>
        <v/>
      </c>
      <c r="D735" s="5">
        <f>IF($E735="","",INDEX('Input Transaksi'!$F:$F,$E735))</f>
        <v/>
      </c>
      <c r="E735">
        <f>IFERROR(AGGREGATE(15,6,ROW('Input Transaksi'!$B$5:$B$5000)/('Input Transaksi'!$B$5:$B$5000="JCL AYANI"),ROWS($E$5:E735)),"")</f>
        <v/>
      </c>
      <c r="F735" s="5" t="n"/>
    </row>
    <row r="736">
      <c r="A736" s="10">
        <f>IF($E736="","",INDEX('Input Transaksi'!$A:$A,$E736))</f>
        <v/>
      </c>
      <c r="B736" s="5">
        <f>IF($E736="","",INDEX('Input Transaksi'!$D:$D,$E736))</f>
        <v/>
      </c>
      <c r="C736">
        <f>IF($E736="","",INDEX('Input Transaksi'!$E:$E,$E736))</f>
        <v/>
      </c>
      <c r="D736" s="5">
        <f>IF($E736="","",INDEX('Input Transaksi'!$F:$F,$E736))</f>
        <v/>
      </c>
      <c r="E736">
        <f>IFERROR(AGGREGATE(15,6,ROW('Input Transaksi'!$B$5:$B$5000)/('Input Transaksi'!$B$5:$B$5000="JCL AYANI"),ROWS($E$5:E736)),"")</f>
        <v/>
      </c>
      <c r="F736" s="5" t="n"/>
    </row>
    <row r="737">
      <c r="A737" s="10">
        <f>IF($E737="","",INDEX('Input Transaksi'!$A:$A,$E737))</f>
        <v/>
      </c>
      <c r="B737" s="5">
        <f>IF($E737="","",INDEX('Input Transaksi'!$D:$D,$E737))</f>
        <v/>
      </c>
      <c r="C737">
        <f>IF($E737="","",INDEX('Input Transaksi'!$E:$E,$E737))</f>
        <v/>
      </c>
      <c r="D737" s="5">
        <f>IF($E737="","",INDEX('Input Transaksi'!$F:$F,$E737))</f>
        <v/>
      </c>
      <c r="E737">
        <f>IFERROR(AGGREGATE(15,6,ROW('Input Transaksi'!$B$5:$B$5000)/('Input Transaksi'!$B$5:$B$5000="JCL AYANI"),ROWS($E$5:E737)),"")</f>
        <v/>
      </c>
      <c r="F737" s="5" t="n"/>
    </row>
    <row r="738">
      <c r="A738" s="10">
        <f>IF($E738="","",INDEX('Input Transaksi'!$A:$A,$E738))</f>
        <v/>
      </c>
      <c r="B738" s="5">
        <f>IF($E738="","",INDEX('Input Transaksi'!$D:$D,$E738))</f>
        <v/>
      </c>
      <c r="C738">
        <f>IF($E738="","",INDEX('Input Transaksi'!$E:$E,$E738))</f>
        <v/>
      </c>
      <c r="D738" s="5">
        <f>IF($E738="","",INDEX('Input Transaksi'!$F:$F,$E738))</f>
        <v/>
      </c>
      <c r="E738">
        <f>IFERROR(AGGREGATE(15,6,ROW('Input Transaksi'!$B$5:$B$5000)/('Input Transaksi'!$B$5:$B$5000="JCL AYANI"),ROWS($E$5:E738)),"")</f>
        <v/>
      </c>
      <c r="F738" s="5" t="n"/>
    </row>
    <row r="739">
      <c r="A739" s="10">
        <f>IF($E739="","",INDEX('Input Transaksi'!$A:$A,$E739))</f>
        <v/>
      </c>
      <c r="B739" s="5">
        <f>IF($E739="","",INDEX('Input Transaksi'!$D:$D,$E739))</f>
        <v/>
      </c>
      <c r="C739">
        <f>IF($E739="","",INDEX('Input Transaksi'!$E:$E,$E739))</f>
        <v/>
      </c>
      <c r="D739" s="5">
        <f>IF($E739="","",INDEX('Input Transaksi'!$F:$F,$E739))</f>
        <v/>
      </c>
      <c r="E739">
        <f>IFERROR(AGGREGATE(15,6,ROW('Input Transaksi'!$B$5:$B$5000)/('Input Transaksi'!$B$5:$B$5000="JCL AYANI"),ROWS($E$5:E739)),"")</f>
        <v/>
      </c>
      <c r="F739" s="5" t="n"/>
    </row>
    <row r="740">
      <c r="A740" s="10">
        <f>IF($E740="","",INDEX('Input Transaksi'!$A:$A,$E740))</f>
        <v/>
      </c>
      <c r="B740" s="5">
        <f>IF($E740="","",INDEX('Input Transaksi'!$D:$D,$E740))</f>
        <v/>
      </c>
      <c r="C740">
        <f>IF($E740="","",INDEX('Input Transaksi'!$E:$E,$E740))</f>
        <v/>
      </c>
      <c r="D740" s="5">
        <f>IF($E740="","",INDEX('Input Transaksi'!$F:$F,$E740))</f>
        <v/>
      </c>
      <c r="E740">
        <f>IFERROR(AGGREGATE(15,6,ROW('Input Transaksi'!$B$5:$B$5000)/('Input Transaksi'!$B$5:$B$5000="JCL AYANI"),ROWS($E$5:E740)),"")</f>
        <v/>
      </c>
      <c r="F740" s="5" t="n"/>
    </row>
    <row r="741">
      <c r="A741" s="10">
        <f>IF($E741="","",INDEX('Input Transaksi'!$A:$A,$E741))</f>
        <v/>
      </c>
      <c r="B741" s="5">
        <f>IF($E741="","",INDEX('Input Transaksi'!$D:$D,$E741))</f>
        <v/>
      </c>
      <c r="C741">
        <f>IF($E741="","",INDEX('Input Transaksi'!$E:$E,$E741))</f>
        <v/>
      </c>
      <c r="D741" s="5">
        <f>IF($E741="","",INDEX('Input Transaksi'!$F:$F,$E741))</f>
        <v/>
      </c>
      <c r="E741">
        <f>IFERROR(AGGREGATE(15,6,ROW('Input Transaksi'!$B$5:$B$5000)/('Input Transaksi'!$B$5:$B$5000="JCL AYANI"),ROWS($E$5:E741)),"")</f>
        <v/>
      </c>
      <c r="F741" s="5" t="n"/>
    </row>
    <row r="742">
      <c r="A742" s="10">
        <f>IF($E742="","",INDEX('Input Transaksi'!$A:$A,$E742))</f>
        <v/>
      </c>
      <c r="B742" s="5">
        <f>IF($E742="","",INDEX('Input Transaksi'!$D:$D,$E742))</f>
        <v/>
      </c>
      <c r="C742">
        <f>IF($E742="","",INDEX('Input Transaksi'!$E:$E,$E742))</f>
        <v/>
      </c>
      <c r="D742" s="5">
        <f>IF($E742="","",INDEX('Input Transaksi'!$F:$F,$E742))</f>
        <v/>
      </c>
      <c r="E742">
        <f>IFERROR(AGGREGATE(15,6,ROW('Input Transaksi'!$B$5:$B$5000)/('Input Transaksi'!$B$5:$B$5000="JCL AYANI"),ROWS($E$5:E742)),"")</f>
        <v/>
      </c>
      <c r="F742" s="5" t="n"/>
    </row>
    <row r="743">
      <c r="A743" s="10">
        <f>IF($E743="","",INDEX('Input Transaksi'!$A:$A,$E743))</f>
        <v/>
      </c>
      <c r="B743" s="5">
        <f>IF($E743="","",INDEX('Input Transaksi'!$D:$D,$E743))</f>
        <v/>
      </c>
      <c r="C743">
        <f>IF($E743="","",INDEX('Input Transaksi'!$E:$E,$E743))</f>
        <v/>
      </c>
      <c r="D743" s="5">
        <f>IF($E743="","",INDEX('Input Transaksi'!$F:$F,$E743))</f>
        <v/>
      </c>
      <c r="E743">
        <f>IFERROR(AGGREGATE(15,6,ROW('Input Transaksi'!$B$5:$B$5000)/('Input Transaksi'!$B$5:$B$5000="JCL AYANI"),ROWS($E$5:E743)),"")</f>
        <v/>
      </c>
      <c r="F743" s="5" t="n"/>
    </row>
    <row r="744">
      <c r="A744" s="10">
        <f>IF($E744="","",INDEX('Input Transaksi'!$A:$A,$E744))</f>
        <v/>
      </c>
      <c r="B744" s="5">
        <f>IF($E744="","",INDEX('Input Transaksi'!$D:$D,$E744))</f>
        <v/>
      </c>
      <c r="C744">
        <f>IF($E744="","",INDEX('Input Transaksi'!$E:$E,$E744))</f>
        <v/>
      </c>
      <c r="D744" s="5">
        <f>IF($E744="","",INDEX('Input Transaksi'!$F:$F,$E744))</f>
        <v/>
      </c>
      <c r="E744">
        <f>IFERROR(AGGREGATE(15,6,ROW('Input Transaksi'!$B$5:$B$5000)/('Input Transaksi'!$B$5:$B$5000="JCL AYANI"),ROWS($E$5:E744)),"")</f>
        <v/>
      </c>
      <c r="F744" s="5" t="n"/>
    </row>
    <row r="745">
      <c r="A745" s="10">
        <f>IF($E745="","",INDEX('Input Transaksi'!$A:$A,$E745))</f>
        <v/>
      </c>
      <c r="B745" s="5">
        <f>IF($E745="","",INDEX('Input Transaksi'!$D:$D,$E745))</f>
        <v/>
      </c>
      <c r="C745">
        <f>IF($E745="","",INDEX('Input Transaksi'!$E:$E,$E745))</f>
        <v/>
      </c>
      <c r="D745" s="5">
        <f>IF($E745="","",INDEX('Input Transaksi'!$F:$F,$E745))</f>
        <v/>
      </c>
      <c r="E745">
        <f>IFERROR(AGGREGATE(15,6,ROW('Input Transaksi'!$B$5:$B$5000)/('Input Transaksi'!$B$5:$B$5000="JCL AYANI"),ROWS($E$5:E745)),"")</f>
        <v/>
      </c>
      <c r="F745" s="5" t="n"/>
    </row>
    <row r="746">
      <c r="A746" s="10">
        <f>IF($E746="","",INDEX('Input Transaksi'!$A:$A,$E746))</f>
        <v/>
      </c>
      <c r="B746" s="5">
        <f>IF($E746="","",INDEX('Input Transaksi'!$D:$D,$E746))</f>
        <v/>
      </c>
      <c r="C746">
        <f>IF($E746="","",INDEX('Input Transaksi'!$E:$E,$E746))</f>
        <v/>
      </c>
      <c r="D746" s="5">
        <f>IF($E746="","",INDEX('Input Transaksi'!$F:$F,$E746))</f>
        <v/>
      </c>
      <c r="E746">
        <f>IFERROR(AGGREGATE(15,6,ROW('Input Transaksi'!$B$5:$B$5000)/('Input Transaksi'!$B$5:$B$5000="JCL AYANI"),ROWS($E$5:E746)),"")</f>
        <v/>
      </c>
      <c r="F746" s="5" t="n"/>
    </row>
    <row r="747">
      <c r="A747" s="10">
        <f>IF($E747="","",INDEX('Input Transaksi'!$A:$A,$E747))</f>
        <v/>
      </c>
      <c r="B747" s="5">
        <f>IF($E747="","",INDEX('Input Transaksi'!$D:$D,$E747))</f>
        <v/>
      </c>
      <c r="C747">
        <f>IF($E747="","",INDEX('Input Transaksi'!$E:$E,$E747))</f>
        <v/>
      </c>
      <c r="D747" s="5">
        <f>IF($E747="","",INDEX('Input Transaksi'!$F:$F,$E747))</f>
        <v/>
      </c>
      <c r="E747">
        <f>IFERROR(AGGREGATE(15,6,ROW('Input Transaksi'!$B$5:$B$5000)/('Input Transaksi'!$B$5:$B$5000="JCL AYANI"),ROWS($E$5:E747)),"")</f>
        <v/>
      </c>
      <c r="F747" s="5" t="n"/>
    </row>
    <row r="748">
      <c r="A748" s="10">
        <f>IF($E748="","",INDEX('Input Transaksi'!$A:$A,$E748))</f>
        <v/>
      </c>
      <c r="B748" s="5">
        <f>IF($E748="","",INDEX('Input Transaksi'!$D:$D,$E748))</f>
        <v/>
      </c>
      <c r="C748">
        <f>IF($E748="","",INDEX('Input Transaksi'!$E:$E,$E748))</f>
        <v/>
      </c>
      <c r="D748" s="5">
        <f>IF($E748="","",INDEX('Input Transaksi'!$F:$F,$E748))</f>
        <v/>
      </c>
      <c r="E748">
        <f>IFERROR(AGGREGATE(15,6,ROW('Input Transaksi'!$B$5:$B$5000)/('Input Transaksi'!$B$5:$B$5000="JCL AYANI"),ROWS($E$5:E748)),"")</f>
        <v/>
      </c>
      <c r="F748" s="5" t="n"/>
    </row>
    <row r="749">
      <c r="A749" s="10">
        <f>IF($E749="","",INDEX('Input Transaksi'!$A:$A,$E749))</f>
        <v/>
      </c>
      <c r="B749" s="5">
        <f>IF($E749="","",INDEX('Input Transaksi'!$D:$D,$E749))</f>
        <v/>
      </c>
      <c r="C749">
        <f>IF($E749="","",INDEX('Input Transaksi'!$E:$E,$E749))</f>
        <v/>
      </c>
      <c r="D749" s="5">
        <f>IF($E749="","",INDEX('Input Transaksi'!$F:$F,$E749))</f>
        <v/>
      </c>
      <c r="E749">
        <f>IFERROR(AGGREGATE(15,6,ROW('Input Transaksi'!$B$5:$B$5000)/('Input Transaksi'!$B$5:$B$5000="JCL AYANI"),ROWS($E$5:E749)),"")</f>
        <v/>
      </c>
      <c r="F749" s="5" t="n"/>
    </row>
    <row r="750">
      <c r="A750" s="10">
        <f>IF($E750="","",INDEX('Input Transaksi'!$A:$A,$E750))</f>
        <v/>
      </c>
      <c r="B750" s="5">
        <f>IF($E750="","",INDEX('Input Transaksi'!$D:$D,$E750))</f>
        <v/>
      </c>
      <c r="C750">
        <f>IF($E750="","",INDEX('Input Transaksi'!$E:$E,$E750))</f>
        <v/>
      </c>
      <c r="D750" s="5">
        <f>IF($E750="","",INDEX('Input Transaksi'!$F:$F,$E750))</f>
        <v/>
      </c>
      <c r="E750">
        <f>IFERROR(AGGREGATE(15,6,ROW('Input Transaksi'!$B$5:$B$5000)/('Input Transaksi'!$B$5:$B$5000="JCL AYANI"),ROWS($E$5:E750)),"")</f>
        <v/>
      </c>
      <c r="F750" s="5" t="n"/>
    </row>
    <row r="751">
      <c r="A751" s="10">
        <f>IF($E751="","",INDEX('Input Transaksi'!$A:$A,$E751))</f>
        <v/>
      </c>
      <c r="B751" s="5">
        <f>IF($E751="","",INDEX('Input Transaksi'!$D:$D,$E751))</f>
        <v/>
      </c>
      <c r="C751">
        <f>IF($E751="","",INDEX('Input Transaksi'!$E:$E,$E751))</f>
        <v/>
      </c>
      <c r="D751" s="5">
        <f>IF($E751="","",INDEX('Input Transaksi'!$F:$F,$E751))</f>
        <v/>
      </c>
      <c r="E751">
        <f>IFERROR(AGGREGATE(15,6,ROW('Input Transaksi'!$B$5:$B$5000)/('Input Transaksi'!$B$5:$B$5000="JCL AYANI"),ROWS($E$5:E751)),"")</f>
        <v/>
      </c>
      <c r="F751" s="5" t="n"/>
    </row>
    <row r="752">
      <c r="A752" s="10">
        <f>IF($E752="","",INDEX('Input Transaksi'!$A:$A,$E752))</f>
        <v/>
      </c>
      <c r="B752" s="5">
        <f>IF($E752="","",INDEX('Input Transaksi'!$D:$D,$E752))</f>
        <v/>
      </c>
      <c r="C752">
        <f>IF($E752="","",INDEX('Input Transaksi'!$E:$E,$E752))</f>
        <v/>
      </c>
      <c r="D752" s="5">
        <f>IF($E752="","",INDEX('Input Transaksi'!$F:$F,$E752))</f>
        <v/>
      </c>
      <c r="E752">
        <f>IFERROR(AGGREGATE(15,6,ROW('Input Transaksi'!$B$5:$B$5000)/('Input Transaksi'!$B$5:$B$5000="JCL AYANI"),ROWS($E$5:E752)),"")</f>
        <v/>
      </c>
      <c r="F752" s="5" t="n"/>
    </row>
    <row r="753">
      <c r="A753" s="10">
        <f>IF($E753="","",INDEX('Input Transaksi'!$A:$A,$E753))</f>
        <v/>
      </c>
      <c r="B753" s="5">
        <f>IF($E753="","",INDEX('Input Transaksi'!$D:$D,$E753))</f>
        <v/>
      </c>
      <c r="C753">
        <f>IF($E753="","",INDEX('Input Transaksi'!$E:$E,$E753))</f>
        <v/>
      </c>
      <c r="D753" s="5">
        <f>IF($E753="","",INDEX('Input Transaksi'!$F:$F,$E753))</f>
        <v/>
      </c>
      <c r="E753">
        <f>IFERROR(AGGREGATE(15,6,ROW('Input Transaksi'!$B$5:$B$5000)/('Input Transaksi'!$B$5:$B$5000="JCL AYANI"),ROWS($E$5:E753)),"")</f>
        <v/>
      </c>
      <c r="F753" s="5" t="n"/>
    </row>
    <row r="754">
      <c r="A754" s="10">
        <f>IF($E754="","",INDEX('Input Transaksi'!$A:$A,$E754))</f>
        <v/>
      </c>
      <c r="B754" s="5">
        <f>IF($E754="","",INDEX('Input Transaksi'!$D:$D,$E754))</f>
        <v/>
      </c>
      <c r="C754">
        <f>IF($E754="","",INDEX('Input Transaksi'!$E:$E,$E754))</f>
        <v/>
      </c>
      <c r="D754" s="5">
        <f>IF($E754="","",INDEX('Input Transaksi'!$F:$F,$E754))</f>
        <v/>
      </c>
      <c r="E754">
        <f>IFERROR(AGGREGATE(15,6,ROW('Input Transaksi'!$B$5:$B$5000)/('Input Transaksi'!$B$5:$B$5000="JCL AYANI"),ROWS($E$5:E754)),"")</f>
        <v/>
      </c>
      <c r="F754" s="5" t="n"/>
    </row>
    <row r="755">
      <c r="A755" s="10">
        <f>IF($E755="","",INDEX('Input Transaksi'!$A:$A,$E755))</f>
        <v/>
      </c>
      <c r="B755" s="5">
        <f>IF($E755="","",INDEX('Input Transaksi'!$D:$D,$E755))</f>
        <v/>
      </c>
      <c r="C755">
        <f>IF($E755="","",INDEX('Input Transaksi'!$E:$E,$E755))</f>
        <v/>
      </c>
      <c r="D755" s="5">
        <f>IF($E755="","",INDEX('Input Transaksi'!$F:$F,$E755))</f>
        <v/>
      </c>
      <c r="E755">
        <f>IFERROR(AGGREGATE(15,6,ROW('Input Transaksi'!$B$5:$B$5000)/('Input Transaksi'!$B$5:$B$5000="JCL AYANI"),ROWS($E$5:E755)),"")</f>
        <v/>
      </c>
      <c r="F755" s="5" t="n"/>
    </row>
    <row r="756">
      <c r="A756" s="10">
        <f>IF($E756="","",INDEX('Input Transaksi'!$A:$A,$E756))</f>
        <v/>
      </c>
      <c r="B756" s="5">
        <f>IF($E756="","",INDEX('Input Transaksi'!$D:$D,$E756))</f>
        <v/>
      </c>
      <c r="C756">
        <f>IF($E756="","",INDEX('Input Transaksi'!$E:$E,$E756))</f>
        <v/>
      </c>
      <c r="D756" s="5">
        <f>IF($E756="","",INDEX('Input Transaksi'!$F:$F,$E756))</f>
        <v/>
      </c>
      <c r="E756">
        <f>IFERROR(AGGREGATE(15,6,ROW('Input Transaksi'!$B$5:$B$5000)/('Input Transaksi'!$B$5:$B$5000="JCL AYANI"),ROWS($E$5:E756)),"")</f>
        <v/>
      </c>
      <c r="F756" s="5" t="n"/>
    </row>
    <row r="757">
      <c r="A757" s="10">
        <f>IF($E757="","",INDEX('Input Transaksi'!$A:$A,$E757))</f>
        <v/>
      </c>
      <c r="B757" s="5">
        <f>IF($E757="","",INDEX('Input Transaksi'!$D:$D,$E757))</f>
        <v/>
      </c>
      <c r="C757">
        <f>IF($E757="","",INDEX('Input Transaksi'!$E:$E,$E757))</f>
        <v/>
      </c>
      <c r="D757" s="5">
        <f>IF($E757="","",INDEX('Input Transaksi'!$F:$F,$E757))</f>
        <v/>
      </c>
      <c r="E757">
        <f>IFERROR(AGGREGATE(15,6,ROW('Input Transaksi'!$B$5:$B$5000)/('Input Transaksi'!$B$5:$B$5000="JCL AYANI"),ROWS($E$5:E757)),"")</f>
        <v/>
      </c>
      <c r="F757" s="5" t="n"/>
    </row>
    <row r="758">
      <c r="A758" s="10">
        <f>IF($E758="","",INDEX('Input Transaksi'!$A:$A,$E758))</f>
        <v/>
      </c>
      <c r="B758" s="5">
        <f>IF($E758="","",INDEX('Input Transaksi'!$D:$D,$E758))</f>
        <v/>
      </c>
      <c r="C758">
        <f>IF($E758="","",INDEX('Input Transaksi'!$E:$E,$E758))</f>
        <v/>
      </c>
      <c r="D758" s="5">
        <f>IF($E758="","",INDEX('Input Transaksi'!$F:$F,$E758))</f>
        <v/>
      </c>
      <c r="E758">
        <f>IFERROR(AGGREGATE(15,6,ROW('Input Transaksi'!$B$5:$B$5000)/('Input Transaksi'!$B$5:$B$5000="JCL AYANI"),ROWS($E$5:E758)),"")</f>
        <v/>
      </c>
      <c r="F758" s="5" t="n"/>
    </row>
    <row r="759">
      <c r="A759" s="10">
        <f>IF($E759="","",INDEX('Input Transaksi'!$A:$A,$E759))</f>
        <v/>
      </c>
      <c r="B759" s="5">
        <f>IF($E759="","",INDEX('Input Transaksi'!$D:$D,$E759))</f>
        <v/>
      </c>
      <c r="C759">
        <f>IF($E759="","",INDEX('Input Transaksi'!$E:$E,$E759))</f>
        <v/>
      </c>
      <c r="D759" s="5">
        <f>IF($E759="","",INDEX('Input Transaksi'!$F:$F,$E759))</f>
        <v/>
      </c>
      <c r="E759">
        <f>IFERROR(AGGREGATE(15,6,ROW('Input Transaksi'!$B$5:$B$5000)/('Input Transaksi'!$B$5:$B$5000="JCL AYANI"),ROWS($E$5:E759)),"")</f>
        <v/>
      </c>
      <c r="F759" s="5" t="n"/>
    </row>
    <row r="760">
      <c r="A760" s="10">
        <f>IF($E760="","",INDEX('Input Transaksi'!$A:$A,$E760))</f>
        <v/>
      </c>
      <c r="B760" s="5">
        <f>IF($E760="","",INDEX('Input Transaksi'!$D:$D,$E760))</f>
        <v/>
      </c>
      <c r="C760">
        <f>IF($E760="","",INDEX('Input Transaksi'!$E:$E,$E760))</f>
        <v/>
      </c>
      <c r="D760" s="5">
        <f>IF($E760="","",INDEX('Input Transaksi'!$F:$F,$E760))</f>
        <v/>
      </c>
      <c r="E760">
        <f>IFERROR(AGGREGATE(15,6,ROW('Input Transaksi'!$B$5:$B$5000)/('Input Transaksi'!$B$5:$B$5000="JCL AYANI"),ROWS($E$5:E760)),"")</f>
        <v/>
      </c>
      <c r="F760" s="5" t="n"/>
    </row>
    <row r="761">
      <c r="A761" s="10">
        <f>IF($E761="","",INDEX('Input Transaksi'!$A:$A,$E761))</f>
        <v/>
      </c>
      <c r="B761" s="5">
        <f>IF($E761="","",INDEX('Input Transaksi'!$D:$D,$E761))</f>
        <v/>
      </c>
      <c r="C761">
        <f>IF($E761="","",INDEX('Input Transaksi'!$E:$E,$E761))</f>
        <v/>
      </c>
      <c r="D761" s="5">
        <f>IF($E761="","",INDEX('Input Transaksi'!$F:$F,$E761))</f>
        <v/>
      </c>
      <c r="E761">
        <f>IFERROR(AGGREGATE(15,6,ROW('Input Transaksi'!$B$5:$B$5000)/('Input Transaksi'!$B$5:$B$5000="JCL AYANI"),ROWS($E$5:E761)),"")</f>
        <v/>
      </c>
      <c r="F761" s="5" t="n"/>
    </row>
    <row r="762">
      <c r="A762" s="10">
        <f>IF($E762="","",INDEX('Input Transaksi'!$A:$A,$E762))</f>
        <v/>
      </c>
      <c r="B762" s="5">
        <f>IF($E762="","",INDEX('Input Transaksi'!$D:$D,$E762))</f>
        <v/>
      </c>
      <c r="C762">
        <f>IF($E762="","",INDEX('Input Transaksi'!$E:$E,$E762))</f>
        <v/>
      </c>
      <c r="D762" s="5">
        <f>IF($E762="","",INDEX('Input Transaksi'!$F:$F,$E762))</f>
        <v/>
      </c>
      <c r="E762">
        <f>IFERROR(AGGREGATE(15,6,ROW('Input Transaksi'!$B$5:$B$5000)/('Input Transaksi'!$B$5:$B$5000="JCL AYANI"),ROWS($E$5:E762)),"")</f>
        <v/>
      </c>
      <c r="F762" s="5" t="n"/>
    </row>
    <row r="763">
      <c r="A763" s="10">
        <f>IF($E763="","",INDEX('Input Transaksi'!$A:$A,$E763))</f>
        <v/>
      </c>
      <c r="B763" s="5">
        <f>IF($E763="","",INDEX('Input Transaksi'!$D:$D,$E763))</f>
        <v/>
      </c>
      <c r="C763">
        <f>IF($E763="","",INDEX('Input Transaksi'!$E:$E,$E763))</f>
        <v/>
      </c>
      <c r="D763" s="5">
        <f>IF($E763="","",INDEX('Input Transaksi'!$F:$F,$E763))</f>
        <v/>
      </c>
      <c r="E763">
        <f>IFERROR(AGGREGATE(15,6,ROW('Input Transaksi'!$B$5:$B$5000)/('Input Transaksi'!$B$5:$B$5000="JCL AYANI"),ROWS($E$5:E763)),"")</f>
        <v/>
      </c>
      <c r="F763" s="5" t="n"/>
    </row>
    <row r="764">
      <c r="A764" s="10">
        <f>IF($E764="","",INDEX('Input Transaksi'!$A:$A,$E764))</f>
        <v/>
      </c>
      <c r="B764" s="5">
        <f>IF($E764="","",INDEX('Input Transaksi'!$D:$D,$E764))</f>
        <v/>
      </c>
      <c r="C764">
        <f>IF($E764="","",INDEX('Input Transaksi'!$E:$E,$E764))</f>
        <v/>
      </c>
      <c r="D764" s="5">
        <f>IF($E764="","",INDEX('Input Transaksi'!$F:$F,$E764))</f>
        <v/>
      </c>
      <c r="E764">
        <f>IFERROR(AGGREGATE(15,6,ROW('Input Transaksi'!$B$5:$B$5000)/('Input Transaksi'!$B$5:$B$5000="JCL AYANI"),ROWS($E$5:E764)),"")</f>
        <v/>
      </c>
      <c r="F764" s="5" t="n"/>
    </row>
    <row r="765">
      <c r="A765" s="10">
        <f>IF($E765="","",INDEX('Input Transaksi'!$A:$A,$E765))</f>
        <v/>
      </c>
      <c r="B765" s="5">
        <f>IF($E765="","",INDEX('Input Transaksi'!$D:$D,$E765))</f>
        <v/>
      </c>
      <c r="C765">
        <f>IF($E765="","",INDEX('Input Transaksi'!$E:$E,$E765))</f>
        <v/>
      </c>
      <c r="D765" s="5">
        <f>IF($E765="","",INDEX('Input Transaksi'!$F:$F,$E765))</f>
        <v/>
      </c>
      <c r="E765">
        <f>IFERROR(AGGREGATE(15,6,ROW('Input Transaksi'!$B$5:$B$5000)/('Input Transaksi'!$B$5:$B$5000="JCL AYANI"),ROWS($E$5:E765)),"")</f>
        <v/>
      </c>
      <c r="F765" s="5" t="n"/>
    </row>
    <row r="766">
      <c r="A766" s="10">
        <f>IF($E766="","",INDEX('Input Transaksi'!$A:$A,$E766))</f>
        <v/>
      </c>
      <c r="B766" s="5">
        <f>IF($E766="","",INDEX('Input Transaksi'!$D:$D,$E766))</f>
        <v/>
      </c>
      <c r="C766">
        <f>IF($E766="","",INDEX('Input Transaksi'!$E:$E,$E766))</f>
        <v/>
      </c>
      <c r="D766" s="5">
        <f>IF($E766="","",INDEX('Input Transaksi'!$F:$F,$E766))</f>
        <v/>
      </c>
      <c r="E766">
        <f>IFERROR(AGGREGATE(15,6,ROW('Input Transaksi'!$B$5:$B$5000)/('Input Transaksi'!$B$5:$B$5000="JCL AYANI"),ROWS($E$5:E766)),"")</f>
        <v/>
      </c>
      <c r="F766" s="5" t="n"/>
    </row>
    <row r="767">
      <c r="A767" s="10">
        <f>IF($E767="","",INDEX('Input Transaksi'!$A:$A,$E767))</f>
        <v/>
      </c>
      <c r="B767" s="5">
        <f>IF($E767="","",INDEX('Input Transaksi'!$D:$D,$E767))</f>
        <v/>
      </c>
      <c r="C767">
        <f>IF($E767="","",INDEX('Input Transaksi'!$E:$E,$E767))</f>
        <v/>
      </c>
      <c r="D767" s="5">
        <f>IF($E767="","",INDEX('Input Transaksi'!$F:$F,$E767))</f>
        <v/>
      </c>
      <c r="E767">
        <f>IFERROR(AGGREGATE(15,6,ROW('Input Transaksi'!$B$5:$B$5000)/('Input Transaksi'!$B$5:$B$5000="JCL AYANI"),ROWS($E$5:E767)),"")</f>
        <v/>
      </c>
      <c r="F767" s="5" t="n"/>
    </row>
    <row r="768">
      <c r="A768" s="10">
        <f>IF($E768="","",INDEX('Input Transaksi'!$A:$A,$E768))</f>
        <v/>
      </c>
      <c r="B768" s="5">
        <f>IF($E768="","",INDEX('Input Transaksi'!$D:$D,$E768))</f>
        <v/>
      </c>
      <c r="C768">
        <f>IF($E768="","",INDEX('Input Transaksi'!$E:$E,$E768))</f>
        <v/>
      </c>
      <c r="D768" s="5">
        <f>IF($E768="","",INDEX('Input Transaksi'!$F:$F,$E768))</f>
        <v/>
      </c>
      <c r="E768">
        <f>IFERROR(AGGREGATE(15,6,ROW('Input Transaksi'!$B$5:$B$5000)/('Input Transaksi'!$B$5:$B$5000="JCL AYANI"),ROWS($E$5:E768)),"")</f>
        <v/>
      </c>
      <c r="F768" s="5" t="n"/>
    </row>
    <row r="769">
      <c r="A769" s="10">
        <f>IF($E769="","",INDEX('Input Transaksi'!$A:$A,$E769))</f>
        <v/>
      </c>
      <c r="B769" s="5">
        <f>IF($E769="","",INDEX('Input Transaksi'!$D:$D,$E769))</f>
        <v/>
      </c>
      <c r="C769">
        <f>IF($E769="","",INDEX('Input Transaksi'!$E:$E,$E769))</f>
        <v/>
      </c>
      <c r="D769" s="5">
        <f>IF($E769="","",INDEX('Input Transaksi'!$F:$F,$E769))</f>
        <v/>
      </c>
      <c r="E769">
        <f>IFERROR(AGGREGATE(15,6,ROW('Input Transaksi'!$B$5:$B$5000)/('Input Transaksi'!$B$5:$B$5000="JCL AYANI"),ROWS($E$5:E769)),"")</f>
        <v/>
      </c>
      <c r="F769" s="5" t="n"/>
    </row>
    <row r="770">
      <c r="A770" s="10">
        <f>IF($E770="","",INDEX('Input Transaksi'!$A:$A,$E770))</f>
        <v/>
      </c>
      <c r="B770" s="5">
        <f>IF($E770="","",INDEX('Input Transaksi'!$D:$D,$E770))</f>
        <v/>
      </c>
      <c r="C770">
        <f>IF($E770="","",INDEX('Input Transaksi'!$E:$E,$E770))</f>
        <v/>
      </c>
      <c r="D770" s="5">
        <f>IF($E770="","",INDEX('Input Transaksi'!$F:$F,$E770))</f>
        <v/>
      </c>
      <c r="E770">
        <f>IFERROR(AGGREGATE(15,6,ROW('Input Transaksi'!$B$5:$B$5000)/('Input Transaksi'!$B$5:$B$5000="JCL AYANI"),ROWS($E$5:E770)),"")</f>
        <v/>
      </c>
      <c r="F770" s="5" t="n"/>
    </row>
    <row r="771">
      <c r="A771" s="10">
        <f>IF($E771="","",INDEX('Input Transaksi'!$A:$A,$E771))</f>
        <v/>
      </c>
      <c r="B771" s="5">
        <f>IF($E771="","",INDEX('Input Transaksi'!$D:$D,$E771))</f>
        <v/>
      </c>
      <c r="C771">
        <f>IF($E771="","",INDEX('Input Transaksi'!$E:$E,$E771))</f>
        <v/>
      </c>
      <c r="D771" s="5">
        <f>IF($E771="","",INDEX('Input Transaksi'!$F:$F,$E771))</f>
        <v/>
      </c>
      <c r="E771">
        <f>IFERROR(AGGREGATE(15,6,ROW('Input Transaksi'!$B$5:$B$5000)/('Input Transaksi'!$B$5:$B$5000="JCL AYANI"),ROWS($E$5:E771)),"")</f>
        <v/>
      </c>
      <c r="F771" s="5" t="n"/>
    </row>
    <row r="772">
      <c r="A772" s="10">
        <f>IF($E772="","",INDEX('Input Transaksi'!$A:$A,$E772))</f>
        <v/>
      </c>
      <c r="B772" s="5">
        <f>IF($E772="","",INDEX('Input Transaksi'!$D:$D,$E772))</f>
        <v/>
      </c>
      <c r="C772">
        <f>IF($E772="","",INDEX('Input Transaksi'!$E:$E,$E772))</f>
        <v/>
      </c>
      <c r="D772" s="5">
        <f>IF($E772="","",INDEX('Input Transaksi'!$F:$F,$E772))</f>
        <v/>
      </c>
      <c r="E772">
        <f>IFERROR(AGGREGATE(15,6,ROW('Input Transaksi'!$B$5:$B$5000)/('Input Transaksi'!$B$5:$B$5000="JCL AYANI"),ROWS($E$5:E772)),"")</f>
        <v/>
      </c>
      <c r="F772" s="5" t="n"/>
    </row>
    <row r="773">
      <c r="A773" s="10">
        <f>IF($E773="","",INDEX('Input Transaksi'!$A:$A,$E773))</f>
        <v/>
      </c>
      <c r="B773" s="5">
        <f>IF($E773="","",INDEX('Input Transaksi'!$D:$D,$E773))</f>
        <v/>
      </c>
      <c r="C773">
        <f>IF($E773="","",INDEX('Input Transaksi'!$E:$E,$E773))</f>
        <v/>
      </c>
      <c r="D773" s="5">
        <f>IF($E773="","",INDEX('Input Transaksi'!$F:$F,$E773))</f>
        <v/>
      </c>
      <c r="E773">
        <f>IFERROR(AGGREGATE(15,6,ROW('Input Transaksi'!$B$5:$B$5000)/('Input Transaksi'!$B$5:$B$5000="JCL AYANI"),ROWS($E$5:E773)),"")</f>
        <v/>
      </c>
      <c r="F773" s="5" t="n"/>
    </row>
    <row r="774">
      <c r="A774" s="10">
        <f>IF($E774="","",INDEX('Input Transaksi'!$A:$A,$E774))</f>
        <v/>
      </c>
      <c r="B774" s="5">
        <f>IF($E774="","",INDEX('Input Transaksi'!$D:$D,$E774))</f>
        <v/>
      </c>
      <c r="C774">
        <f>IF($E774="","",INDEX('Input Transaksi'!$E:$E,$E774))</f>
        <v/>
      </c>
      <c r="D774" s="5">
        <f>IF($E774="","",INDEX('Input Transaksi'!$F:$F,$E774))</f>
        <v/>
      </c>
      <c r="E774">
        <f>IFERROR(AGGREGATE(15,6,ROW('Input Transaksi'!$B$5:$B$5000)/('Input Transaksi'!$B$5:$B$5000="JCL AYANI"),ROWS($E$5:E774)),"")</f>
        <v/>
      </c>
      <c r="F774" s="5" t="n"/>
    </row>
    <row r="775">
      <c r="A775" s="10">
        <f>IF($E775="","",INDEX('Input Transaksi'!$A:$A,$E775))</f>
        <v/>
      </c>
      <c r="B775" s="5">
        <f>IF($E775="","",INDEX('Input Transaksi'!$D:$D,$E775))</f>
        <v/>
      </c>
      <c r="C775">
        <f>IF($E775="","",INDEX('Input Transaksi'!$E:$E,$E775))</f>
        <v/>
      </c>
      <c r="D775" s="5">
        <f>IF($E775="","",INDEX('Input Transaksi'!$F:$F,$E775))</f>
        <v/>
      </c>
      <c r="E775">
        <f>IFERROR(AGGREGATE(15,6,ROW('Input Transaksi'!$B$5:$B$5000)/('Input Transaksi'!$B$5:$B$5000="JCL AYANI"),ROWS($E$5:E775)),"")</f>
        <v/>
      </c>
      <c r="F775" s="5" t="n"/>
    </row>
    <row r="776">
      <c r="A776" s="10">
        <f>IF($E776="","",INDEX('Input Transaksi'!$A:$A,$E776))</f>
        <v/>
      </c>
      <c r="B776" s="5">
        <f>IF($E776="","",INDEX('Input Transaksi'!$D:$D,$E776))</f>
        <v/>
      </c>
      <c r="C776">
        <f>IF($E776="","",INDEX('Input Transaksi'!$E:$E,$E776))</f>
        <v/>
      </c>
      <c r="D776" s="5">
        <f>IF($E776="","",INDEX('Input Transaksi'!$F:$F,$E776))</f>
        <v/>
      </c>
      <c r="E776">
        <f>IFERROR(AGGREGATE(15,6,ROW('Input Transaksi'!$B$5:$B$5000)/('Input Transaksi'!$B$5:$B$5000="JCL AYANI"),ROWS($E$5:E776)),"")</f>
        <v/>
      </c>
      <c r="F776" s="5" t="n"/>
    </row>
    <row r="777">
      <c r="A777" s="10">
        <f>IF($E777="","",INDEX('Input Transaksi'!$A:$A,$E777))</f>
        <v/>
      </c>
      <c r="B777" s="5">
        <f>IF($E777="","",INDEX('Input Transaksi'!$D:$D,$E777))</f>
        <v/>
      </c>
      <c r="C777">
        <f>IF($E777="","",INDEX('Input Transaksi'!$E:$E,$E777))</f>
        <v/>
      </c>
      <c r="D777" s="5">
        <f>IF($E777="","",INDEX('Input Transaksi'!$F:$F,$E777))</f>
        <v/>
      </c>
      <c r="E777">
        <f>IFERROR(AGGREGATE(15,6,ROW('Input Transaksi'!$B$5:$B$5000)/('Input Transaksi'!$B$5:$B$5000="JCL AYANI"),ROWS($E$5:E777)),"")</f>
        <v/>
      </c>
      <c r="F777" s="5" t="n"/>
    </row>
    <row r="778">
      <c r="A778" s="10">
        <f>IF($E778="","",INDEX('Input Transaksi'!$A:$A,$E778))</f>
        <v/>
      </c>
      <c r="B778" s="5">
        <f>IF($E778="","",INDEX('Input Transaksi'!$D:$D,$E778))</f>
        <v/>
      </c>
      <c r="C778">
        <f>IF($E778="","",INDEX('Input Transaksi'!$E:$E,$E778))</f>
        <v/>
      </c>
      <c r="D778" s="5">
        <f>IF($E778="","",INDEX('Input Transaksi'!$F:$F,$E778))</f>
        <v/>
      </c>
      <c r="E778">
        <f>IFERROR(AGGREGATE(15,6,ROW('Input Transaksi'!$B$5:$B$5000)/('Input Transaksi'!$B$5:$B$5000="JCL AYANI"),ROWS($E$5:E778)),"")</f>
        <v/>
      </c>
      <c r="F778" s="5" t="n"/>
    </row>
    <row r="779">
      <c r="A779" s="10">
        <f>IF($E779="","",INDEX('Input Transaksi'!$A:$A,$E779))</f>
        <v/>
      </c>
      <c r="B779" s="5">
        <f>IF($E779="","",INDEX('Input Transaksi'!$D:$D,$E779))</f>
        <v/>
      </c>
      <c r="C779">
        <f>IF($E779="","",INDEX('Input Transaksi'!$E:$E,$E779))</f>
        <v/>
      </c>
      <c r="D779" s="5">
        <f>IF($E779="","",INDEX('Input Transaksi'!$F:$F,$E779))</f>
        <v/>
      </c>
      <c r="E779">
        <f>IFERROR(AGGREGATE(15,6,ROW('Input Transaksi'!$B$5:$B$5000)/('Input Transaksi'!$B$5:$B$5000="JCL AYANI"),ROWS($E$5:E779)),"")</f>
        <v/>
      </c>
      <c r="F779" s="5" t="n"/>
    </row>
    <row r="780">
      <c r="A780" s="10">
        <f>IF($E780="","",INDEX('Input Transaksi'!$A:$A,$E780))</f>
        <v/>
      </c>
      <c r="B780" s="5">
        <f>IF($E780="","",INDEX('Input Transaksi'!$D:$D,$E780))</f>
        <v/>
      </c>
      <c r="C780">
        <f>IF($E780="","",INDEX('Input Transaksi'!$E:$E,$E780))</f>
        <v/>
      </c>
      <c r="D780" s="5">
        <f>IF($E780="","",INDEX('Input Transaksi'!$F:$F,$E780))</f>
        <v/>
      </c>
      <c r="E780">
        <f>IFERROR(AGGREGATE(15,6,ROW('Input Transaksi'!$B$5:$B$5000)/('Input Transaksi'!$B$5:$B$5000="JCL AYANI"),ROWS($E$5:E780)),"")</f>
        <v/>
      </c>
      <c r="F780" s="5" t="n"/>
    </row>
    <row r="781">
      <c r="A781" s="10">
        <f>IF($E781="","",INDEX('Input Transaksi'!$A:$A,$E781))</f>
        <v/>
      </c>
      <c r="B781" s="5">
        <f>IF($E781="","",INDEX('Input Transaksi'!$D:$D,$E781))</f>
        <v/>
      </c>
      <c r="C781">
        <f>IF($E781="","",INDEX('Input Transaksi'!$E:$E,$E781))</f>
        <v/>
      </c>
      <c r="D781" s="5">
        <f>IF($E781="","",INDEX('Input Transaksi'!$F:$F,$E781))</f>
        <v/>
      </c>
      <c r="E781">
        <f>IFERROR(AGGREGATE(15,6,ROW('Input Transaksi'!$B$5:$B$5000)/('Input Transaksi'!$B$5:$B$5000="JCL AYANI"),ROWS($E$5:E781)),"")</f>
        <v/>
      </c>
      <c r="F781" s="5" t="n"/>
    </row>
    <row r="782">
      <c r="A782" s="10">
        <f>IF($E782="","",INDEX('Input Transaksi'!$A:$A,$E782))</f>
        <v/>
      </c>
      <c r="B782" s="5">
        <f>IF($E782="","",INDEX('Input Transaksi'!$D:$D,$E782))</f>
        <v/>
      </c>
      <c r="C782">
        <f>IF($E782="","",INDEX('Input Transaksi'!$E:$E,$E782))</f>
        <v/>
      </c>
      <c r="D782" s="5">
        <f>IF($E782="","",INDEX('Input Transaksi'!$F:$F,$E782))</f>
        <v/>
      </c>
      <c r="E782">
        <f>IFERROR(AGGREGATE(15,6,ROW('Input Transaksi'!$B$5:$B$5000)/('Input Transaksi'!$B$5:$B$5000="JCL AYANI"),ROWS($E$5:E782)),"")</f>
        <v/>
      </c>
      <c r="F782" s="5" t="n"/>
    </row>
    <row r="783">
      <c r="A783" s="10">
        <f>IF($E783="","",INDEX('Input Transaksi'!$A:$A,$E783))</f>
        <v/>
      </c>
      <c r="B783" s="5">
        <f>IF($E783="","",INDEX('Input Transaksi'!$D:$D,$E783))</f>
        <v/>
      </c>
      <c r="C783">
        <f>IF($E783="","",INDEX('Input Transaksi'!$E:$E,$E783))</f>
        <v/>
      </c>
      <c r="D783" s="5">
        <f>IF($E783="","",INDEX('Input Transaksi'!$F:$F,$E783))</f>
        <v/>
      </c>
      <c r="E783">
        <f>IFERROR(AGGREGATE(15,6,ROW('Input Transaksi'!$B$5:$B$5000)/('Input Transaksi'!$B$5:$B$5000="JCL AYANI"),ROWS($E$5:E783)),"")</f>
        <v/>
      </c>
      <c r="F783" s="5" t="n"/>
    </row>
    <row r="784">
      <c r="A784" s="10">
        <f>IF($E784="","",INDEX('Input Transaksi'!$A:$A,$E784))</f>
        <v/>
      </c>
      <c r="B784" s="5">
        <f>IF($E784="","",INDEX('Input Transaksi'!$D:$D,$E784))</f>
        <v/>
      </c>
      <c r="C784">
        <f>IF($E784="","",INDEX('Input Transaksi'!$E:$E,$E784))</f>
        <v/>
      </c>
      <c r="D784" s="5">
        <f>IF($E784="","",INDEX('Input Transaksi'!$F:$F,$E784))</f>
        <v/>
      </c>
      <c r="E784">
        <f>IFERROR(AGGREGATE(15,6,ROW('Input Transaksi'!$B$5:$B$5000)/('Input Transaksi'!$B$5:$B$5000="JCL AYANI"),ROWS($E$5:E784)),"")</f>
        <v/>
      </c>
      <c r="F784" s="5" t="n"/>
    </row>
    <row r="785">
      <c r="A785" s="10">
        <f>IF($E785="","",INDEX('Input Transaksi'!$A:$A,$E785))</f>
        <v/>
      </c>
      <c r="B785" s="5">
        <f>IF($E785="","",INDEX('Input Transaksi'!$D:$D,$E785))</f>
        <v/>
      </c>
      <c r="C785">
        <f>IF($E785="","",INDEX('Input Transaksi'!$E:$E,$E785))</f>
        <v/>
      </c>
      <c r="D785" s="5">
        <f>IF($E785="","",INDEX('Input Transaksi'!$F:$F,$E785))</f>
        <v/>
      </c>
      <c r="E785">
        <f>IFERROR(AGGREGATE(15,6,ROW('Input Transaksi'!$B$5:$B$5000)/('Input Transaksi'!$B$5:$B$5000="JCL AYANI"),ROWS($E$5:E785)),"")</f>
        <v/>
      </c>
      <c r="F785" s="5" t="n"/>
    </row>
    <row r="786">
      <c r="A786" s="10">
        <f>IF($E786="","",INDEX('Input Transaksi'!$A:$A,$E786))</f>
        <v/>
      </c>
      <c r="B786" s="5">
        <f>IF($E786="","",INDEX('Input Transaksi'!$D:$D,$E786))</f>
        <v/>
      </c>
      <c r="C786">
        <f>IF($E786="","",INDEX('Input Transaksi'!$E:$E,$E786))</f>
        <v/>
      </c>
      <c r="D786" s="5">
        <f>IF($E786="","",INDEX('Input Transaksi'!$F:$F,$E786))</f>
        <v/>
      </c>
      <c r="E786">
        <f>IFERROR(AGGREGATE(15,6,ROW('Input Transaksi'!$B$5:$B$5000)/('Input Transaksi'!$B$5:$B$5000="JCL AYANI"),ROWS($E$5:E786)),"")</f>
        <v/>
      </c>
      <c r="F786" s="5" t="n"/>
    </row>
    <row r="787">
      <c r="A787" s="10">
        <f>IF($E787="","",INDEX('Input Transaksi'!$A:$A,$E787))</f>
        <v/>
      </c>
      <c r="B787" s="5">
        <f>IF($E787="","",INDEX('Input Transaksi'!$D:$D,$E787))</f>
        <v/>
      </c>
      <c r="C787">
        <f>IF($E787="","",INDEX('Input Transaksi'!$E:$E,$E787))</f>
        <v/>
      </c>
      <c r="D787" s="5">
        <f>IF($E787="","",INDEX('Input Transaksi'!$F:$F,$E787))</f>
        <v/>
      </c>
      <c r="E787">
        <f>IFERROR(AGGREGATE(15,6,ROW('Input Transaksi'!$B$5:$B$5000)/('Input Transaksi'!$B$5:$B$5000="JCL AYANI"),ROWS($E$5:E787)),"")</f>
        <v/>
      </c>
      <c r="F787" s="5" t="n"/>
    </row>
    <row r="788">
      <c r="A788" s="10">
        <f>IF($E788="","",INDEX('Input Transaksi'!$A:$A,$E788))</f>
        <v/>
      </c>
      <c r="B788" s="5">
        <f>IF($E788="","",INDEX('Input Transaksi'!$D:$D,$E788))</f>
        <v/>
      </c>
      <c r="C788">
        <f>IF($E788="","",INDEX('Input Transaksi'!$E:$E,$E788))</f>
        <v/>
      </c>
      <c r="D788" s="5">
        <f>IF($E788="","",INDEX('Input Transaksi'!$F:$F,$E788))</f>
        <v/>
      </c>
      <c r="E788">
        <f>IFERROR(AGGREGATE(15,6,ROW('Input Transaksi'!$B$5:$B$5000)/('Input Transaksi'!$B$5:$B$5000="JCL AYANI"),ROWS($E$5:E788)),"")</f>
        <v/>
      </c>
      <c r="F788" s="5" t="n"/>
    </row>
    <row r="789">
      <c r="A789" s="10">
        <f>IF($E789="","",INDEX('Input Transaksi'!$A:$A,$E789))</f>
        <v/>
      </c>
      <c r="B789" s="5">
        <f>IF($E789="","",INDEX('Input Transaksi'!$D:$D,$E789))</f>
        <v/>
      </c>
      <c r="C789">
        <f>IF($E789="","",INDEX('Input Transaksi'!$E:$E,$E789))</f>
        <v/>
      </c>
      <c r="D789" s="5">
        <f>IF($E789="","",INDEX('Input Transaksi'!$F:$F,$E789))</f>
        <v/>
      </c>
      <c r="E789">
        <f>IFERROR(AGGREGATE(15,6,ROW('Input Transaksi'!$B$5:$B$5000)/('Input Transaksi'!$B$5:$B$5000="JCL AYANI"),ROWS($E$5:E789)),"")</f>
        <v/>
      </c>
      <c r="F789" s="5" t="n"/>
    </row>
    <row r="790">
      <c r="A790" s="10">
        <f>IF($E790="","",INDEX('Input Transaksi'!$A:$A,$E790))</f>
        <v/>
      </c>
      <c r="B790" s="5">
        <f>IF($E790="","",INDEX('Input Transaksi'!$D:$D,$E790))</f>
        <v/>
      </c>
      <c r="C790">
        <f>IF($E790="","",INDEX('Input Transaksi'!$E:$E,$E790))</f>
        <v/>
      </c>
      <c r="D790" s="5">
        <f>IF($E790="","",INDEX('Input Transaksi'!$F:$F,$E790))</f>
        <v/>
      </c>
      <c r="E790">
        <f>IFERROR(AGGREGATE(15,6,ROW('Input Transaksi'!$B$5:$B$5000)/('Input Transaksi'!$B$5:$B$5000="JCL AYANI"),ROWS($E$5:E790)),"")</f>
        <v/>
      </c>
      <c r="F790" s="5" t="n"/>
    </row>
    <row r="791">
      <c r="A791" s="10">
        <f>IF($E791="","",INDEX('Input Transaksi'!$A:$A,$E791))</f>
        <v/>
      </c>
      <c r="B791" s="5">
        <f>IF($E791="","",INDEX('Input Transaksi'!$D:$D,$E791))</f>
        <v/>
      </c>
      <c r="C791">
        <f>IF($E791="","",INDEX('Input Transaksi'!$E:$E,$E791))</f>
        <v/>
      </c>
      <c r="D791" s="5">
        <f>IF($E791="","",INDEX('Input Transaksi'!$F:$F,$E791))</f>
        <v/>
      </c>
      <c r="E791">
        <f>IFERROR(AGGREGATE(15,6,ROW('Input Transaksi'!$B$5:$B$5000)/('Input Transaksi'!$B$5:$B$5000="JCL AYANI"),ROWS($E$5:E791)),"")</f>
        <v/>
      </c>
      <c r="F791" s="5" t="n"/>
    </row>
    <row r="792">
      <c r="A792" s="10">
        <f>IF($E792="","",INDEX('Input Transaksi'!$A:$A,$E792))</f>
        <v/>
      </c>
      <c r="B792" s="5">
        <f>IF($E792="","",INDEX('Input Transaksi'!$D:$D,$E792))</f>
        <v/>
      </c>
      <c r="C792">
        <f>IF($E792="","",INDEX('Input Transaksi'!$E:$E,$E792))</f>
        <v/>
      </c>
      <c r="D792" s="5">
        <f>IF($E792="","",INDEX('Input Transaksi'!$F:$F,$E792))</f>
        <v/>
      </c>
      <c r="E792">
        <f>IFERROR(AGGREGATE(15,6,ROW('Input Transaksi'!$B$5:$B$5000)/('Input Transaksi'!$B$5:$B$5000="JCL AYANI"),ROWS($E$5:E792)),"")</f>
        <v/>
      </c>
      <c r="F792" s="5" t="n"/>
    </row>
    <row r="793">
      <c r="A793" s="10">
        <f>IF($E793="","",INDEX('Input Transaksi'!$A:$A,$E793))</f>
        <v/>
      </c>
      <c r="B793" s="5">
        <f>IF($E793="","",INDEX('Input Transaksi'!$D:$D,$E793))</f>
        <v/>
      </c>
      <c r="C793">
        <f>IF($E793="","",INDEX('Input Transaksi'!$E:$E,$E793))</f>
        <v/>
      </c>
      <c r="D793" s="5">
        <f>IF($E793="","",INDEX('Input Transaksi'!$F:$F,$E793))</f>
        <v/>
      </c>
      <c r="E793">
        <f>IFERROR(AGGREGATE(15,6,ROW('Input Transaksi'!$B$5:$B$5000)/('Input Transaksi'!$B$5:$B$5000="JCL AYANI"),ROWS($E$5:E793)),"")</f>
        <v/>
      </c>
      <c r="F793" s="5" t="n"/>
    </row>
    <row r="794">
      <c r="A794" s="10">
        <f>IF($E794="","",INDEX('Input Transaksi'!$A:$A,$E794))</f>
        <v/>
      </c>
      <c r="B794" s="5">
        <f>IF($E794="","",INDEX('Input Transaksi'!$D:$D,$E794))</f>
        <v/>
      </c>
      <c r="C794">
        <f>IF($E794="","",INDEX('Input Transaksi'!$E:$E,$E794))</f>
        <v/>
      </c>
      <c r="D794" s="5">
        <f>IF($E794="","",INDEX('Input Transaksi'!$F:$F,$E794))</f>
        <v/>
      </c>
      <c r="E794">
        <f>IFERROR(AGGREGATE(15,6,ROW('Input Transaksi'!$B$5:$B$5000)/('Input Transaksi'!$B$5:$B$5000="JCL AYANI"),ROWS($E$5:E794)),"")</f>
        <v/>
      </c>
      <c r="F794" s="5" t="n"/>
    </row>
    <row r="795">
      <c r="A795" s="10">
        <f>IF($E795="","",INDEX('Input Transaksi'!$A:$A,$E795))</f>
        <v/>
      </c>
      <c r="B795" s="5">
        <f>IF($E795="","",INDEX('Input Transaksi'!$D:$D,$E795))</f>
        <v/>
      </c>
      <c r="C795">
        <f>IF($E795="","",INDEX('Input Transaksi'!$E:$E,$E795))</f>
        <v/>
      </c>
      <c r="D795" s="5">
        <f>IF($E795="","",INDEX('Input Transaksi'!$F:$F,$E795))</f>
        <v/>
      </c>
      <c r="E795">
        <f>IFERROR(AGGREGATE(15,6,ROW('Input Transaksi'!$B$5:$B$5000)/('Input Transaksi'!$B$5:$B$5000="JCL AYANI"),ROWS($E$5:E795)),"")</f>
        <v/>
      </c>
      <c r="F795" s="5" t="n"/>
    </row>
    <row r="796">
      <c r="A796" s="10">
        <f>IF($E796="","",INDEX('Input Transaksi'!$A:$A,$E796))</f>
        <v/>
      </c>
      <c r="B796" s="5">
        <f>IF($E796="","",INDEX('Input Transaksi'!$D:$D,$E796))</f>
        <v/>
      </c>
      <c r="C796">
        <f>IF($E796="","",INDEX('Input Transaksi'!$E:$E,$E796))</f>
        <v/>
      </c>
      <c r="D796" s="5">
        <f>IF($E796="","",INDEX('Input Transaksi'!$F:$F,$E796))</f>
        <v/>
      </c>
      <c r="E796">
        <f>IFERROR(AGGREGATE(15,6,ROW('Input Transaksi'!$B$5:$B$5000)/('Input Transaksi'!$B$5:$B$5000="JCL AYANI"),ROWS($E$5:E796)),"")</f>
        <v/>
      </c>
      <c r="F796" s="5" t="n"/>
    </row>
    <row r="797">
      <c r="A797" s="10">
        <f>IF($E797="","",INDEX('Input Transaksi'!$A:$A,$E797))</f>
        <v/>
      </c>
      <c r="B797" s="5">
        <f>IF($E797="","",INDEX('Input Transaksi'!$D:$D,$E797))</f>
        <v/>
      </c>
      <c r="C797">
        <f>IF($E797="","",INDEX('Input Transaksi'!$E:$E,$E797))</f>
        <v/>
      </c>
      <c r="D797" s="5">
        <f>IF($E797="","",INDEX('Input Transaksi'!$F:$F,$E797))</f>
        <v/>
      </c>
      <c r="E797">
        <f>IFERROR(AGGREGATE(15,6,ROW('Input Transaksi'!$B$5:$B$5000)/('Input Transaksi'!$B$5:$B$5000="JCL AYANI"),ROWS($E$5:E797)),"")</f>
        <v/>
      </c>
      <c r="F797" s="5" t="n"/>
    </row>
    <row r="798">
      <c r="A798" s="10">
        <f>IF($E798="","",INDEX('Input Transaksi'!$A:$A,$E798))</f>
        <v/>
      </c>
      <c r="B798" s="5">
        <f>IF($E798="","",INDEX('Input Transaksi'!$D:$D,$E798))</f>
        <v/>
      </c>
      <c r="C798">
        <f>IF($E798="","",INDEX('Input Transaksi'!$E:$E,$E798))</f>
        <v/>
      </c>
      <c r="D798" s="5">
        <f>IF($E798="","",INDEX('Input Transaksi'!$F:$F,$E798))</f>
        <v/>
      </c>
      <c r="E798">
        <f>IFERROR(AGGREGATE(15,6,ROW('Input Transaksi'!$B$5:$B$5000)/('Input Transaksi'!$B$5:$B$5000="JCL AYANI"),ROWS($E$5:E798)),"")</f>
        <v/>
      </c>
      <c r="F798" s="5" t="n"/>
    </row>
    <row r="799">
      <c r="A799" s="10">
        <f>IF($E799="","",INDEX('Input Transaksi'!$A:$A,$E799))</f>
        <v/>
      </c>
      <c r="B799" s="5">
        <f>IF($E799="","",INDEX('Input Transaksi'!$D:$D,$E799))</f>
        <v/>
      </c>
      <c r="C799">
        <f>IF($E799="","",INDEX('Input Transaksi'!$E:$E,$E799))</f>
        <v/>
      </c>
      <c r="D799" s="5">
        <f>IF($E799="","",INDEX('Input Transaksi'!$F:$F,$E799))</f>
        <v/>
      </c>
      <c r="E799">
        <f>IFERROR(AGGREGATE(15,6,ROW('Input Transaksi'!$B$5:$B$5000)/('Input Transaksi'!$B$5:$B$5000="JCL AYANI"),ROWS($E$5:E799)),"")</f>
        <v/>
      </c>
      <c r="F799" s="5" t="n"/>
    </row>
    <row r="800">
      <c r="A800" s="10">
        <f>IF($E800="","",INDEX('Input Transaksi'!$A:$A,$E800))</f>
        <v/>
      </c>
      <c r="B800" s="5">
        <f>IF($E800="","",INDEX('Input Transaksi'!$D:$D,$E800))</f>
        <v/>
      </c>
      <c r="C800">
        <f>IF($E800="","",INDEX('Input Transaksi'!$E:$E,$E800))</f>
        <v/>
      </c>
      <c r="D800" s="5">
        <f>IF($E800="","",INDEX('Input Transaksi'!$F:$F,$E800))</f>
        <v/>
      </c>
      <c r="E800">
        <f>IFERROR(AGGREGATE(15,6,ROW('Input Transaksi'!$B$5:$B$5000)/('Input Transaksi'!$B$5:$B$5000="JCL AYANI"),ROWS($E$5:E800)),"")</f>
        <v/>
      </c>
      <c r="F800" s="5" t="n"/>
    </row>
    <row r="801">
      <c r="A801" s="10">
        <f>IF($E801="","",INDEX('Input Transaksi'!$A:$A,$E801))</f>
        <v/>
      </c>
      <c r="B801" s="5">
        <f>IF($E801="","",INDEX('Input Transaksi'!$D:$D,$E801))</f>
        <v/>
      </c>
      <c r="C801">
        <f>IF($E801="","",INDEX('Input Transaksi'!$E:$E,$E801))</f>
        <v/>
      </c>
      <c r="D801" s="5">
        <f>IF($E801="","",INDEX('Input Transaksi'!$F:$F,$E801))</f>
        <v/>
      </c>
      <c r="E801">
        <f>IFERROR(AGGREGATE(15,6,ROW('Input Transaksi'!$B$5:$B$5000)/('Input Transaksi'!$B$5:$B$5000="JCL AYANI"),ROWS($E$5:E801)),"")</f>
        <v/>
      </c>
      <c r="F801" s="5" t="n"/>
    </row>
    <row r="802">
      <c r="A802" s="10">
        <f>IF($E802="","",INDEX('Input Transaksi'!$A:$A,$E802))</f>
        <v/>
      </c>
      <c r="B802" s="5">
        <f>IF($E802="","",INDEX('Input Transaksi'!$D:$D,$E802))</f>
        <v/>
      </c>
      <c r="C802">
        <f>IF($E802="","",INDEX('Input Transaksi'!$E:$E,$E802))</f>
        <v/>
      </c>
      <c r="D802" s="5">
        <f>IF($E802="","",INDEX('Input Transaksi'!$F:$F,$E802))</f>
        <v/>
      </c>
      <c r="E802">
        <f>IFERROR(AGGREGATE(15,6,ROW('Input Transaksi'!$B$5:$B$5000)/('Input Transaksi'!$B$5:$B$5000="JCL AYANI"),ROWS($E$5:E802)),"")</f>
        <v/>
      </c>
      <c r="F802" s="5" t="n"/>
    </row>
    <row r="803">
      <c r="A803" s="10">
        <f>IF($E803="","",INDEX('Input Transaksi'!$A:$A,$E803))</f>
        <v/>
      </c>
      <c r="B803" s="5">
        <f>IF($E803="","",INDEX('Input Transaksi'!$D:$D,$E803))</f>
        <v/>
      </c>
      <c r="C803">
        <f>IF($E803="","",INDEX('Input Transaksi'!$E:$E,$E803))</f>
        <v/>
      </c>
      <c r="D803" s="5">
        <f>IF($E803="","",INDEX('Input Transaksi'!$F:$F,$E803))</f>
        <v/>
      </c>
      <c r="E803">
        <f>IFERROR(AGGREGATE(15,6,ROW('Input Transaksi'!$B$5:$B$5000)/('Input Transaksi'!$B$5:$B$5000="JCL AYANI"),ROWS($E$5:E803)),"")</f>
        <v/>
      </c>
      <c r="F803" s="5" t="n"/>
    </row>
    <row r="804">
      <c r="A804" s="10">
        <f>IF($E804="","",INDEX('Input Transaksi'!$A:$A,$E804))</f>
        <v/>
      </c>
      <c r="B804" s="5">
        <f>IF($E804="","",INDEX('Input Transaksi'!$D:$D,$E804))</f>
        <v/>
      </c>
      <c r="C804">
        <f>IF($E804="","",INDEX('Input Transaksi'!$E:$E,$E804))</f>
        <v/>
      </c>
      <c r="D804" s="5">
        <f>IF($E804="","",INDEX('Input Transaksi'!$F:$F,$E804))</f>
        <v/>
      </c>
      <c r="E804">
        <f>IFERROR(AGGREGATE(15,6,ROW('Input Transaksi'!$B$5:$B$5000)/('Input Transaksi'!$B$5:$B$5000="JCL AYANI"),ROWS($E$5:E804)),"")</f>
        <v/>
      </c>
      <c r="F804" s="5" t="n"/>
    </row>
    <row r="805">
      <c r="A805" s="10">
        <f>IF($E805="","",INDEX('Input Transaksi'!$A:$A,$E805))</f>
        <v/>
      </c>
      <c r="B805" s="5">
        <f>IF($E805="","",INDEX('Input Transaksi'!$D:$D,$E805))</f>
        <v/>
      </c>
      <c r="C805">
        <f>IF($E805="","",INDEX('Input Transaksi'!$E:$E,$E805))</f>
        <v/>
      </c>
      <c r="D805" s="5">
        <f>IF($E805="","",INDEX('Input Transaksi'!$F:$F,$E805))</f>
        <v/>
      </c>
      <c r="E805">
        <f>IFERROR(AGGREGATE(15,6,ROW('Input Transaksi'!$B$5:$B$5000)/('Input Transaksi'!$B$5:$B$5000="JCL AYANI"),ROWS($E$5:E805)),"")</f>
        <v/>
      </c>
      <c r="F805" s="5" t="n"/>
    </row>
    <row r="806">
      <c r="A806" s="10">
        <f>IF($E806="","",INDEX('Input Transaksi'!$A:$A,$E806))</f>
        <v/>
      </c>
      <c r="B806" s="5">
        <f>IF($E806="","",INDEX('Input Transaksi'!$D:$D,$E806))</f>
        <v/>
      </c>
      <c r="C806">
        <f>IF($E806="","",INDEX('Input Transaksi'!$E:$E,$E806))</f>
        <v/>
      </c>
      <c r="D806" s="5">
        <f>IF($E806="","",INDEX('Input Transaksi'!$F:$F,$E806))</f>
        <v/>
      </c>
      <c r="E806">
        <f>IFERROR(AGGREGATE(15,6,ROW('Input Transaksi'!$B$5:$B$5000)/('Input Transaksi'!$B$5:$B$5000="JCL AYANI"),ROWS($E$5:E806)),"")</f>
        <v/>
      </c>
      <c r="F806" s="5" t="n"/>
    </row>
    <row r="807">
      <c r="A807" s="10">
        <f>IF($E807="","",INDEX('Input Transaksi'!$A:$A,$E807))</f>
        <v/>
      </c>
      <c r="B807" s="5">
        <f>IF($E807="","",INDEX('Input Transaksi'!$D:$D,$E807))</f>
        <v/>
      </c>
      <c r="C807">
        <f>IF($E807="","",INDEX('Input Transaksi'!$E:$E,$E807))</f>
        <v/>
      </c>
      <c r="D807" s="5">
        <f>IF($E807="","",INDEX('Input Transaksi'!$F:$F,$E807))</f>
        <v/>
      </c>
      <c r="E807">
        <f>IFERROR(AGGREGATE(15,6,ROW('Input Transaksi'!$B$5:$B$5000)/('Input Transaksi'!$B$5:$B$5000="JCL AYANI"),ROWS($E$5:E807)),"")</f>
        <v/>
      </c>
      <c r="F807" s="5" t="n"/>
    </row>
    <row r="808">
      <c r="A808" s="10">
        <f>IF($E808="","",INDEX('Input Transaksi'!$A:$A,$E808))</f>
        <v/>
      </c>
      <c r="B808" s="5">
        <f>IF($E808="","",INDEX('Input Transaksi'!$D:$D,$E808))</f>
        <v/>
      </c>
      <c r="C808">
        <f>IF($E808="","",INDEX('Input Transaksi'!$E:$E,$E808))</f>
        <v/>
      </c>
      <c r="D808" s="5">
        <f>IF($E808="","",INDEX('Input Transaksi'!$F:$F,$E808))</f>
        <v/>
      </c>
      <c r="E808">
        <f>IFERROR(AGGREGATE(15,6,ROW('Input Transaksi'!$B$5:$B$5000)/('Input Transaksi'!$B$5:$B$5000="JCL AYANI"),ROWS($E$5:E808)),"")</f>
        <v/>
      </c>
      <c r="F808" s="5" t="n"/>
    </row>
    <row r="809">
      <c r="A809" s="10">
        <f>IF($E809="","",INDEX('Input Transaksi'!$A:$A,$E809))</f>
        <v/>
      </c>
      <c r="B809" s="5">
        <f>IF($E809="","",INDEX('Input Transaksi'!$D:$D,$E809))</f>
        <v/>
      </c>
      <c r="C809">
        <f>IF($E809="","",INDEX('Input Transaksi'!$E:$E,$E809))</f>
        <v/>
      </c>
      <c r="D809" s="5">
        <f>IF($E809="","",INDEX('Input Transaksi'!$F:$F,$E809))</f>
        <v/>
      </c>
      <c r="E809">
        <f>IFERROR(AGGREGATE(15,6,ROW('Input Transaksi'!$B$5:$B$5000)/('Input Transaksi'!$B$5:$B$5000="JCL AYANI"),ROWS($E$5:E809)),"")</f>
        <v/>
      </c>
      <c r="F809" s="5" t="n"/>
    </row>
    <row r="810">
      <c r="A810" s="10">
        <f>IF($E810="","",INDEX('Input Transaksi'!$A:$A,$E810))</f>
        <v/>
      </c>
      <c r="B810" s="5">
        <f>IF($E810="","",INDEX('Input Transaksi'!$D:$D,$E810))</f>
        <v/>
      </c>
      <c r="C810">
        <f>IF($E810="","",INDEX('Input Transaksi'!$E:$E,$E810))</f>
        <v/>
      </c>
      <c r="D810" s="5">
        <f>IF($E810="","",INDEX('Input Transaksi'!$F:$F,$E810))</f>
        <v/>
      </c>
      <c r="E810">
        <f>IFERROR(AGGREGATE(15,6,ROW('Input Transaksi'!$B$5:$B$5000)/('Input Transaksi'!$B$5:$B$5000="JCL AYANI"),ROWS($E$5:E810)),"")</f>
        <v/>
      </c>
      <c r="F810" s="5" t="n"/>
    </row>
    <row r="811">
      <c r="A811" s="10">
        <f>IF($E811="","",INDEX('Input Transaksi'!$A:$A,$E811))</f>
        <v/>
      </c>
      <c r="B811" s="5">
        <f>IF($E811="","",INDEX('Input Transaksi'!$D:$D,$E811))</f>
        <v/>
      </c>
      <c r="C811">
        <f>IF($E811="","",INDEX('Input Transaksi'!$E:$E,$E811))</f>
        <v/>
      </c>
      <c r="D811" s="5">
        <f>IF($E811="","",INDEX('Input Transaksi'!$F:$F,$E811))</f>
        <v/>
      </c>
      <c r="E811">
        <f>IFERROR(AGGREGATE(15,6,ROW('Input Transaksi'!$B$5:$B$5000)/('Input Transaksi'!$B$5:$B$5000="JCL AYANI"),ROWS($E$5:E811)),"")</f>
        <v/>
      </c>
      <c r="F811" s="5" t="n"/>
    </row>
    <row r="812">
      <c r="A812" s="10">
        <f>IF($E812="","",INDEX('Input Transaksi'!$A:$A,$E812))</f>
        <v/>
      </c>
      <c r="B812" s="5">
        <f>IF($E812="","",INDEX('Input Transaksi'!$D:$D,$E812))</f>
        <v/>
      </c>
      <c r="C812">
        <f>IF($E812="","",INDEX('Input Transaksi'!$E:$E,$E812))</f>
        <v/>
      </c>
      <c r="D812" s="5">
        <f>IF($E812="","",INDEX('Input Transaksi'!$F:$F,$E812))</f>
        <v/>
      </c>
      <c r="E812">
        <f>IFERROR(AGGREGATE(15,6,ROW('Input Transaksi'!$B$5:$B$5000)/('Input Transaksi'!$B$5:$B$5000="JCL AYANI"),ROWS($E$5:E812)),"")</f>
        <v/>
      </c>
      <c r="F812" s="5" t="n"/>
    </row>
    <row r="813">
      <c r="A813" s="10">
        <f>IF($E813="","",INDEX('Input Transaksi'!$A:$A,$E813))</f>
        <v/>
      </c>
      <c r="B813" s="5">
        <f>IF($E813="","",INDEX('Input Transaksi'!$D:$D,$E813))</f>
        <v/>
      </c>
      <c r="C813">
        <f>IF($E813="","",INDEX('Input Transaksi'!$E:$E,$E813))</f>
        <v/>
      </c>
      <c r="D813" s="5">
        <f>IF($E813="","",INDEX('Input Transaksi'!$F:$F,$E813))</f>
        <v/>
      </c>
      <c r="E813">
        <f>IFERROR(AGGREGATE(15,6,ROW('Input Transaksi'!$B$5:$B$5000)/('Input Transaksi'!$B$5:$B$5000="JCL AYANI"),ROWS($E$5:E813)),"")</f>
        <v/>
      </c>
      <c r="F813" s="5" t="n"/>
    </row>
    <row r="814">
      <c r="A814" s="10">
        <f>IF($E814="","",INDEX('Input Transaksi'!$A:$A,$E814))</f>
        <v/>
      </c>
      <c r="B814" s="5">
        <f>IF($E814="","",INDEX('Input Transaksi'!$D:$D,$E814))</f>
        <v/>
      </c>
      <c r="C814">
        <f>IF($E814="","",INDEX('Input Transaksi'!$E:$E,$E814))</f>
        <v/>
      </c>
      <c r="D814" s="5">
        <f>IF($E814="","",INDEX('Input Transaksi'!$F:$F,$E814))</f>
        <v/>
      </c>
      <c r="E814">
        <f>IFERROR(AGGREGATE(15,6,ROW('Input Transaksi'!$B$5:$B$5000)/('Input Transaksi'!$B$5:$B$5000="JCL AYANI"),ROWS($E$5:E814)),"")</f>
        <v/>
      </c>
      <c r="F814" s="5" t="n"/>
    </row>
    <row r="815">
      <c r="A815" s="10">
        <f>IF($E815="","",INDEX('Input Transaksi'!$A:$A,$E815))</f>
        <v/>
      </c>
      <c r="B815" s="5">
        <f>IF($E815="","",INDEX('Input Transaksi'!$D:$D,$E815))</f>
        <v/>
      </c>
      <c r="C815">
        <f>IF($E815="","",INDEX('Input Transaksi'!$E:$E,$E815))</f>
        <v/>
      </c>
      <c r="D815" s="5">
        <f>IF($E815="","",INDEX('Input Transaksi'!$F:$F,$E815))</f>
        <v/>
      </c>
      <c r="E815">
        <f>IFERROR(AGGREGATE(15,6,ROW('Input Transaksi'!$B$5:$B$5000)/('Input Transaksi'!$B$5:$B$5000="JCL AYANI"),ROWS($E$5:E815)),"")</f>
        <v/>
      </c>
      <c r="F815" s="5" t="n"/>
    </row>
    <row r="816">
      <c r="A816" s="10">
        <f>IF($E816="","",INDEX('Input Transaksi'!$A:$A,$E816))</f>
        <v/>
      </c>
      <c r="B816" s="5">
        <f>IF($E816="","",INDEX('Input Transaksi'!$D:$D,$E816))</f>
        <v/>
      </c>
      <c r="C816">
        <f>IF($E816="","",INDEX('Input Transaksi'!$E:$E,$E816))</f>
        <v/>
      </c>
      <c r="D816" s="5">
        <f>IF($E816="","",INDEX('Input Transaksi'!$F:$F,$E816))</f>
        <v/>
      </c>
      <c r="E816">
        <f>IFERROR(AGGREGATE(15,6,ROW('Input Transaksi'!$B$5:$B$5000)/('Input Transaksi'!$B$5:$B$5000="JCL AYANI"),ROWS($E$5:E816)),"")</f>
        <v/>
      </c>
      <c r="F816" s="5" t="n"/>
    </row>
    <row r="817">
      <c r="A817" s="10">
        <f>IF($E817="","",INDEX('Input Transaksi'!$A:$A,$E817))</f>
        <v/>
      </c>
      <c r="B817" s="5">
        <f>IF($E817="","",INDEX('Input Transaksi'!$D:$D,$E817))</f>
        <v/>
      </c>
      <c r="C817">
        <f>IF($E817="","",INDEX('Input Transaksi'!$E:$E,$E817))</f>
        <v/>
      </c>
      <c r="D817" s="5">
        <f>IF($E817="","",INDEX('Input Transaksi'!$F:$F,$E817))</f>
        <v/>
      </c>
      <c r="E817">
        <f>IFERROR(AGGREGATE(15,6,ROW('Input Transaksi'!$B$5:$B$5000)/('Input Transaksi'!$B$5:$B$5000="JCL AYANI"),ROWS($E$5:E817)),"")</f>
        <v/>
      </c>
      <c r="F817" s="5" t="n"/>
    </row>
    <row r="818">
      <c r="A818" s="10">
        <f>IF($E818="","",INDEX('Input Transaksi'!$A:$A,$E818))</f>
        <v/>
      </c>
      <c r="B818" s="5">
        <f>IF($E818="","",INDEX('Input Transaksi'!$D:$D,$E818))</f>
        <v/>
      </c>
      <c r="C818">
        <f>IF($E818="","",INDEX('Input Transaksi'!$E:$E,$E818))</f>
        <v/>
      </c>
      <c r="D818" s="5">
        <f>IF($E818="","",INDEX('Input Transaksi'!$F:$F,$E818))</f>
        <v/>
      </c>
      <c r="E818">
        <f>IFERROR(AGGREGATE(15,6,ROW('Input Transaksi'!$B$5:$B$5000)/('Input Transaksi'!$B$5:$B$5000="JCL AYANI"),ROWS($E$5:E818)),"")</f>
        <v/>
      </c>
      <c r="F818" s="5" t="n"/>
    </row>
    <row r="819">
      <c r="A819" s="10">
        <f>IF($E819="","",INDEX('Input Transaksi'!$A:$A,$E819))</f>
        <v/>
      </c>
      <c r="B819" s="5">
        <f>IF($E819="","",INDEX('Input Transaksi'!$D:$D,$E819))</f>
        <v/>
      </c>
      <c r="C819">
        <f>IF($E819="","",INDEX('Input Transaksi'!$E:$E,$E819))</f>
        <v/>
      </c>
      <c r="D819" s="5">
        <f>IF($E819="","",INDEX('Input Transaksi'!$F:$F,$E819))</f>
        <v/>
      </c>
      <c r="E819">
        <f>IFERROR(AGGREGATE(15,6,ROW('Input Transaksi'!$B$5:$B$5000)/('Input Transaksi'!$B$5:$B$5000="JCL AYANI"),ROWS($E$5:E819)),"")</f>
        <v/>
      </c>
      <c r="F819" s="5" t="n"/>
    </row>
    <row r="820">
      <c r="A820" s="10">
        <f>IF($E820="","",INDEX('Input Transaksi'!$A:$A,$E820))</f>
        <v/>
      </c>
      <c r="B820" s="5">
        <f>IF($E820="","",INDEX('Input Transaksi'!$D:$D,$E820))</f>
        <v/>
      </c>
      <c r="C820">
        <f>IF($E820="","",INDEX('Input Transaksi'!$E:$E,$E820))</f>
        <v/>
      </c>
      <c r="D820" s="5">
        <f>IF($E820="","",INDEX('Input Transaksi'!$F:$F,$E820))</f>
        <v/>
      </c>
      <c r="E820">
        <f>IFERROR(AGGREGATE(15,6,ROW('Input Transaksi'!$B$5:$B$5000)/('Input Transaksi'!$B$5:$B$5000="JCL AYANI"),ROWS($E$5:E820)),"")</f>
        <v/>
      </c>
      <c r="F820" s="5" t="n"/>
    </row>
    <row r="821">
      <c r="A821" s="10">
        <f>IF($E821="","",INDEX('Input Transaksi'!$A:$A,$E821))</f>
        <v/>
      </c>
      <c r="B821" s="5">
        <f>IF($E821="","",INDEX('Input Transaksi'!$D:$D,$E821))</f>
        <v/>
      </c>
      <c r="C821">
        <f>IF($E821="","",INDEX('Input Transaksi'!$E:$E,$E821))</f>
        <v/>
      </c>
      <c r="D821" s="5">
        <f>IF($E821="","",INDEX('Input Transaksi'!$F:$F,$E821))</f>
        <v/>
      </c>
      <c r="E821">
        <f>IFERROR(AGGREGATE(15,6,ROW('Input Transaksi'!$B$5:$B$5000)/('Input Transaksi'!$B$5:$B$5000="JCL AYANI"),ROWS($E$5:E821)),"")</f>
        <v/>
      </c>
      <c r="F821" s="5" t="n"/>
    </row>
    <row r="822">
      <c r="A822" s="10">
        <f>IF($E822="","",INDEX('Input Transaksi'!$A:$A,$E822))</f>
        <v/>
      </c>
      <c r="B822" s="5">
        <f>IF($E822="","",INDEX('Input Transaksi'!$D:$D,$E822))</f>
        <v/>
      </c>
      <c r="C822">
        <f>IF($E822="","",INDEX('Input Transaksi'!$E:$E,$E822))</f>
        <v/>
      </c>
      <c r="D822" s="5">
        <f>IF($E822="","",INDEX('Input Transaksi'!$F:$F,$E822))</f>
        <v/>
      </c>
      <c r="E822">
        <f>IFERROR(AGGREGATE(15,6,ROW('Input Transaksi'!$B$5:$B$5000)/('Input Transaksi'!$B$5:$B$5000="JCL AYANI"),ROWS($E$5:E822)),"")</f>
        <v/>
      </c>
      <c r="F822" s="5" t="n"/>
    </row>
    <row r="823">
      <c r="A823" s="10">
        <f>IF($E823="","",INDEX('Input Transaksi'!$A:$A,$E823))</f>
        <v/>
      </c>
      <c r="B823" s="5">
        <f>IF($E823="","",INDEX('Input Transaksi'!$D:$D,$E823))</f>
        <v/>
      </c>
      <c r="C823">
        <f>IF($E823="","",INDEX('Input Transaksi'!$E:$E,$E823))</f>
        <v/>
      </c>
      <c r="D823" s="5">
        <f>IF($E823="","",INDEX('Input Transaksi'!$F:$F,$E823))</f>
        <v/>
      </c>
      <c r="E823">
        <f>IFERROR(AGGREGATE(15,6,ROW('Input Transaksi'!$B$5:$B$5000)/('Input Transaksi'!$B$5:$B$5000="JCL AYANI"),ROWS($E$5:E823)),"")</f>
        <v/>
      </c>
      <c r="F823" s="5" t="n"/>
    </row>
    <row r="824">
      <c r="A824" s="10">
        <f>IF($E824="","",INDEX('Input Transaksi'!$A:$A,$E824))</f>
        <v/>
      </c>
      <c r="B824" s="5">
        <f>IF($E824="","",INDEX('Input Transaksi'!$D:$D,$E824))</f>
        <v/>
      </c>
      <c r="C824">
        <f>IF($E824="","",INDEX('Input Transaksi'!$E:$E,$E824))</f>
        <v/>
      </c>
      <c r="D824" s="5">
        <f>IF($E824="","",INDEX('Input Transaksi'!$F:$F,$E824))</f>
        <v/>
      </c>
      <c r="E824">
        <f>IFERROR(AGGREGATE(15,6,ROW('Input Transaksi'!$B$5:$B$5000)/('Input Transaksi'!$B$5:$B$5000="JCL AYANI"),ROWS($E$5:E824)),"")</f>
        <v/>
      </c>
      <c r="F824" s="5" t="n"/>
    </row>
    <row r="825">
      <c r="A825" s="10">
        <f>IF($E825="","",INDEX('Input Transaksi'!$A:$A,$E825))</f>
        <v/>
      </c>
      <c r="B825" s="5">
        <f>IF($E825="","",INDEX('Input Transaksi'!$D:$D,$E825))</f>
        <v/>
      </c>
      <c r="C825">
        <f>IF($E825="","",INDEX('Input Transaksi'!$E:$E,$E825))</f>
        <v/>
      </c>
      <c r="D825" s="5">
        <f>IF($E825="","",INDEX('Input Transaksi'!$F:$F,$E825))</f>
        <v/>
      </c>
      <c r="E825">
        <f>IFERROR(AGGREGATE(15,6,ROW('Input Transaksi'!$B$5:$B$5000)/('Input Transaksi'!$B$5:$B$5000="JCL AYANI"),ROWS($E$5:E825)),"")</f>
        <v/>
      </c>
      <c r="F825" s="5" t="n"/>
    </row>
    <row r="826">
      <c r="A826" s="10">
        <f>IF($E826="","",INDEX('Input Transaksi'!$A:$A,$E826))</f>
        <v/>
      </c>
      <c r="B826" s="5">
        <f>IF($E826="","",INDEX('Input Transaksi'!$D:$D,$E826))</f>
        <v/>
      </c>
      <c r="C826">
        <f>IF($E826="","",INDEX('Input Transaksi'!$E:$E,$E826))</f>
        <v/>
      </c>
      <c r="D826" s="5">
        <f>IF($E826="","",INDEX('Input Transaksi'!$F:$F,$E826))</f>
        <v/>
      </c>
      <c r="E826">
        <f>IFERROR(AGGREGATE(15,6,ROW('Input Transaksi'!$B$5:$B$5000)/('Input Transaksi'!$B$5:$B$5000="JCL AYANI"),ROWS($E$5:E826)),"")</f>
        <v/>
      </c>
      <c r="F826" s="5" t="n"/>
    </row>
    <row r="827">
      <c r="A827" s="10">
        <f>IF($E827="","",INDEX('Input Transaksi'!$A:$A,$E827))</f>
        <v/>
      </c>
      <c r="B827" s="5">
        <f>IF($E827="","",INDEX('Input Transaksi'!$D:$D,$E827))</f>
        <v/>
      </c>
      <c r="C827">
        <f>IF($E827="","",INDEX('Input Transaksi'!$E:$E,$E827))</f>
        <v/>
      </c>
      <c r="D827" s="5">
        <f>IF($E827="","",INDEX('Input Transaksi'!$F:$F,$E827))</f>
        <v/>
      </c>
      <c r="E827">
        <f>IFERROR(AGGREGATE(15,6,ROW('Input Transaksi'!$B$5:$B$5000)/('Input Transaksi'!$B$5:$B$5000="JCL AYANI"),ROWS($E$5:E827)),"")</f>
        <v/>
      </c>
      <c r="F827" s="5" t="n"/>
    </row>
    <row r="828">
      <c r="A828" s="10">
        <f>IF($E828="","",INDEX('Input Transaksi'!$A:$A,$E828))</f>
        <v/>
      </c>
      <c r="B828" s="5">
        <f>IF($E828="","",INDEX('Input Transaksi'!$D:$D,$E828))</f>
        <v/>
      </c>
      <c r="C828">
        <f>IF($E828="","",INDEX('Input Transaksi'!$E:$E,$E828))</f>
        <v/>
      </c>
      <c r="D828" s="5">
        <f>IF($E828="","",INDEX('Input Transaksi'!$F:$F,$E828))</f>
        <v/>
      </c>
      <c r="E828">
        <f>IFERROR(AGGREGATE(15,6,ROW('Input Transaksi'!$B$5:$B$5000)/('Input Transaksi'!$B$5:$B$5000="JCL AYANI"),ROWS($E$5:E828)),"")</f>
        <v/>
      </c>
      <c r="F828" s="5" t="n"/>
    </row>
    <row r="829">
      <c r="A829" s="10">
        <f>IF($E829="","",INDEX('Input Transaksi'!$A:$A,$E829))</f>
        <v/>
      </c>
      <c r="B829" s="5">
        <f>IF($E829="","",INDEX('Input Transaksi'!$D:$D,$E829))</f>
        <v/>
      </c>
      <c r="C829">
        <f>IF($E829="","",INDEX('Input Transaksi'!$E:$E,$E829))</f>
        <v/>
      </c>
      <c r="D829" s="5">
        <f>IF($E829="","",INDEX('Input Transaksi'!$F:$F,$E829))</f>
        <v/>
      </c>
      <c r="E829">
        <f>IFERROR(AGGREGATE(15,6,ROW('Input Transaksi'!$B$5:$B$5000)/('Input Transaksi'!$B$5:$B$5000="JCL AYANI"),ROWS($E$5:E829)),"")</f>
        <v/>
      </c>
      <c r="F829" s="5" t="n"/>
    </row>
    <row r="830">
      <c r="A830" s="10">
        <f>IF($E830="","",INDEX('Input Transaksi'!$A:$A,$E830))</f>
        <v/>
      </c>
      <c r="B830" s="5">
        <f>IF($E830="","",INDEX('Input Transaksi'!$D:$D,$E830))</f>
        <v/>
      </c>
      <c r="C830">
        <f>IF($E830="","",INDEX('Input Transaksi'!$E:$E,$E830))</f>
        <v/>
      </c>
      <c r="D830" s="5">
        <f>IF($E830="","",INDEX('Input Transaksi'!$F:$F,$E830))</f>
        <v/>
      </c>
      <c r="E830">
        <f>IFERROR(AGGREGATE(15,6,ROW('Input Transaksi'!$B$5:$B$5000)/('Input Transaksi'!$B$5:$B$5000="JCL AYANI"),ROWS($E$5:E830)),"")</f>
        <v/>
      </c>
      <c r="F830" s="5" t="n"/>
    </row>
    <row r="831">
      <c r="A831" s="10">
        <f>IF($E831="","",INDEX('Input Transaksi'!$A:$A,$E831))</f>
        <v/>
      </c>
      <c r="B831" s="5">
        <f>IF($E831="","",INDEX('Input Transaksi'!$D:$D,$E831))</f>
        <v/>
      </c>
      <c r="C831">
        <f>IF($E831="","",INDEX('Input Transaksi'!$E:$E,$E831))</f>
        <v/>
      </c>
      <c r="D831" s="5">
        <f>IF($E831="","",INDEX('Input Transaksi'!$F:$F,$E831))</f>
        <v/>
      </c>
      <c r="E831">
        <f>IFERROR(AGGREGATE(15,6,ROW('Input Transaksi'!$B$5:$B$5000)/('Input Transaksi'!$B$5:$B$5000="JCL AYANI"),ROWS($E$5:E831)),"")</f>
        <v/>
      </c>
      <c r="F831" s="5" t="n"/>
    </row>
    <row r="832">
      <c r="A832" s="10">
        <f>IF($E832="","",INDEX('Input Transaksi'!$A:$A,$E832))</f>
        <v/>
      </c>
      <c r="B832" s="5">
        <f>IF($E832="","",INDEX('Input Transaksi'!$D:$D,$E832))</f>
        <v/>
      </c>
      <c r="C832">
        <f>IF($E832="","",INDEX('Input Transaksi'!$E:$E,$E832))</f>
        <v/>
      </c>
      <c r="D832" s="5">
        <f>IF($E832="","",INDEX('Input Transaksi'!$F:$F,$E832))</f>
        <v/>
      </c>
      <c r="E832">
        <f>IFERROR(AGGREGATE(15,6,ROW('Input Transaksi'!$B$5:$B$5000)/('Input Transaksi'!$B$5:$B$5000="JCL AYANI"),ROWS($E$5:E832)),"")</f>
        <v/>
      </c>
      <c r="F832" s="5" t="n"/>
    </row>
    <row r="833">
      <c r="A833" s="10">
        <f>IF($E833="","",INDEX('Input Transaksi'!$A:$A,$E833))</f>
        <v/>
      </c>
      <c r="B833" s="5">
        <f>IF($E833="","",INDEX('Input Transaksi'!$D:$D,$E833))</f>
        <v/>
      </c>
      <c r="C833">
        <f>IF($E833="","",INDEX('Input Transaksi'!$E:$E,$E833))</f>
        <v/>
      </c>
      <c r="D833" s="5">
        <f>IF($E833="","",INDEX('Input Transaksi'!$F:$F,$E833))</f>
        <v/>
      </c>
      <c r="E833">
        <f>IFERROR(AGGREGATE(15,6,ROW('Input Transaksi'!$B$5:$B$5000)/('Input Transaksi'!$B$5:$B$5000="JCL AYANI"),ROWS($E$5:E833)),"")</f>
        <v/>
      </c>
      <c r="F833" s="5" t="n"/>
    </row>
    <row r="834">
      <c r="A834" s="10">
        <f>IF($E834="","",INDEX('Input Transaksi'!$A:$A,$E834))</f>
        <v/>
      </c>
      <c r="B834" s="5">
        <f>IF($E834="","",INDEX('Input Transaksi'!$D:$D,$E834))</f>
        <v/>
      </c>
      <c r="C834">
        <f>IF($E834="","",INDEX('Input Transaksi'!$E:$E,$E834))</f>
        <v/>
      </c>
      <c r="D834" s="5">
        <f>IF($E834="","",INDEX('Input Transaksi'!$F:$F,$E834))</f>
        <v/>
      </c>
      <c r="E834">
        <f>IFERROR(AGGREGATE(15,6,ROW('Input Transaksi'!$B$5:$B$5000)/('Input Transaksi'!$B$5:$B$5000="JCL AYANI"),ROWS($E$5:E834)),"")</f>
        <v/>
      </c>
      <c r="F834" s="5" t="n"/>
    </row>
    <row r="835">
      <c r="A835" s="10">
        <f>IF($E835="","",INDEX('Input Transaksi'!$A:$A,$E835))</f>
        <v/>
      </c>
      <c r="B835" s="5">
        <f>IF($E835="","",INDEX('Input Transaksi'!$D:$D,$E835))</f>
        <v/>
      </c>
      <c r="C835">
        <f>IF($E835="","",INDEX('Input Transaksi'!$E:$E,$E835))</f>
        <v/>
      </c>
      <c r="D835" s="5">
        <f>IF($E835="","",INDEX('Input Transaksi'!$F:$F,$E835))</f>
        <v/>
      </c>
      <c r="E835">
        <f>IFERROR(AGGREGATE(15,6,ROW('Input Transaksi'!$B$5:$B$5000)/('Input Transaksi'!$B$5:$B$5000="JCL AYANI"),ROWS($E$5:E835)),"")</f>
        <v/>
      </c>
      <c r="F835" s="5" t="n"/>
    </row>
    <row r="836">
      <c r="A836" s="10">
        <f>IF($E836="","",INDEX('Input Transaksi'!$A:$A,$E836))</f>
        <v/>
      </c>
      <c r="B836" s="5">
        <f>IF($E836="","",INDEX('Input Transaksi'!$D:$D,$E836))</f>
        <v/>
      </c>
      <c r="C836">
        <f>IF($E836="","",INDEX('Input Transaksi'!$E:$E,$E836))</f>
        <v/>
      </c>
      <c r="D836" s="5">
        <f>IF($E836="","",INDEX('Input Transaksi'!$F:$F,$E836))</f>
        <v/>
      </c>
      <c r="E836">
        <f>IFERROR(AGGREGATE(15,6,ROW('Input Transaksi'!$B$5:$B$5000)/('Input Transaksi'!$B$5:$B$5000="JCL AYANI"),ROWS($E$5:E836)),"")</f>
        <v/>
      </c>
      <c r="F836" s="5" t="n"/>
    </row>
    <row r="837">
      <c r="A837" s="10">
        <f>IF($E837="","",INDEX('Input Transaksi'!$A:$A,$E837))</f>
        <v/>
      </c>
      <c r="B837" s="5">
        <f>IF($E837="","",INDEX('Input Transaksi'!$D:$D,$E837))</f>
        <v/>
      </c>
      <c r="C837">
        <f>IF($E837="","",INDEX('Input Transaksi'!$E:$E,$E837))</f>
        <v/>
      </c>
      <c r="D837" s="5">
        <f>IF($E837="","",INDEX('Input Transaksi'!$F:$F,$E837))</f>
        <v/>
      </c>
      <c r="E837">
        <f>IFERROR(AGGREGATE(15,6,ROW('Input Transaksi'!$B$5:$B$5000)/('Input Transaksi'!$B$5:$B$5000="JCL AYANI"),ROWS($E$5:E837)),"")</f>
        <v/>
      </c>
      <c r="F837" s="5" t="n"/>
    </row>
    <row r="838">
      <c r="A838" s="10">
        <f>IF($E838="","",INDEX('Input Transaksi'!$A:$A,$E838))</f>
        <v/>
      </c>
      <c r="B838" s="5">
        <f>IF($E838="","",INDEX('Input Transaksi'!$D:$D,$E838))</f>
        <v/>
      </c>
      <c r="C838">
        <f>IF($E838="","",INDEX('Input Transaksi'!$E:$E,$E838))</f>
        <v/>
      </c>
      <c r="D838" s="5">
        <f>IF($E838="","",INDEX('Input Transaksi'!$F:$F,$E838))</f>
        <v/>
      </c>
      <c r="E838">
        <f>IFERROR(AGGREGATE(15,6,ROW('Input Transaksi'!$B$5:$B$5000)/('Input Transaksi'!$B$5:$B$5000="JCL AYANI"),ROWS($E$5:E838)),"")</f>
        <v/>
      </c>
      <c r="F838" s="5" t="n"/>
    </row>
    <row r="839">
      <c r="A839" s="10">
        <f>IF($E839="","",INDEX('Input Transaksi'!$A:$A,$E839))</f>
        <v/>
      </c>
      <c r="B839" s="5">
        <f>IF($E839="","",INDEX('Input Transaksi'!$D:$D,$E839))</f>
        <v/>
      </c>
      <c r="C839">
        <f>IF($E839="","",INDEX('Input Transaksi'!$E:$E,$E839))</f>
        <v/>
      </c>
      <c r="D839" s="5">
        <f>IF($E839="","",INDEX('Input Transaksi'!$F:$F,$E839))</f>
        <v/>
      </c>
      <c r="E839">
        <f>IFERROR(AGGREGATE(15,6,ROW('Input Transaksi'!$B$5:$B$5000)/('Input Transaksi'!$B$5:$B$5000="JCL AYANI"),ROWS($E$5:E839)),"")</f>
        <v/>
      </c>
      <c r="F839" s="5" t="n"/>
    </row>
    <row r="840">
      <c r="A840" s="10">
        <f>IF($E840="","",INDEX('Input Transaksi'!$A:$A,$E840))</f>
        <v/>
      </c>
      <c r="B840" s="5">
        <f>IF($E840="","",INDEX('Input Transaksi'!$D:$D,$E840))</f>
        <v/>
      </c>
      <c r="C840">
        <f>IF($E840="","",INDEX('Input Transaksi'!$E:$E,$E840))</f>
        <v/>
      </c>
      <c r="D840" s="5">
        <f>IF($E840="","",INDEX('Input Transaksi'!$F:$F,$E840))</f>
        <v/>
      </c>
      <c r="E840">
        <f>IFERROR(AGGREGATE(15,6,ROW('Input Transaksi'!$B$5:$B$5000)/('Input Transaksi'!$B$5:$B$5000="JCL AYANI"),ROWS($E$5:E840)),"")</f>
        <v/>
      </c>
      <c r="F840" s="5" t="n"/>
    </row>
    <row r="841">
      <c r="A841" s="10">
        <f>IF($E841="","",INDEX('Input Transaksi'!$A:$A,$E841))</f>
        <v/>
      </c>
      <c r="B841" s="5">
        <f>IF($E841="","",INDEX('Input Transaksi'!$D:$D,$E841))</f>
        <v/>
      </c>
      <c r="C841">
        <f>IF($E841="","",INDEX('Input Transaksi'!$E:$E,$E841))</f>
        <v/>
      </c>
      <c r="D841" s="5">
        <f>IF($E841="","",INDEX('Input Transaksi'!$F:$F,$E841))</f>
        <v/>
      </c>
      <c r="E841">
        <f>IFERROR(AGGREGATE(15,6,ROW('Input Transaksi'!$B$5:$B$5000)/('Input Transaksi'!$B$5:$B$5000="JCL AYANI"),ROWS($E$5:E841)),"")</f>
        <v/>
      </c>
      <c r="F841" s="5" t="n"/>
    </row>
    <row r="842">
      <c r="A842" s="10">
        <f>IF($E842="","",INDEX('Input Transaksi'!$A:$A,$E842))</f>
        <v/>
      </c>
      <c r="B842" s="5">
        <f>IF($E842="","",INDEX('Input Transaksi'!$D:$D,$E842))</f>
        <v/>
      </c>
      <c r="C842">
        <f>IF($E842="","",INDEX('Input Transaksi'!$E:$E,$E842))</f>
        <v/>
      </c>
      <c r="D842" s="5">
        <f>IF($E842="","",INDEX('Input Transaksi'!$F:$F,$E842))</f>
        <v/>
      </c>
      <c r="E842">
        <f>IFERROR(AGGREGATE(15,6,ROW('Input Transaksi'!$B$5:$B$5000)/('Input Transaksi'!$B$5:$B$5000="JCL AYANI"),ROWS($E$5:E842)),"")</f>
        <v/>
      </c>
      <c r="F842" s="5" t="n"/>
    </row>
    <row r="843">
      <c r="A843" s="10">
        <f>IF($E843="","",INDEX('Input Transaksi'!$A:$A,$E843))</f>
        <v/>
      </c>
      <c r="B843" s="5">
        <f>IF($E843="","",INDEX('Input Transaksi'!$D:$D,$E843))</f>
        <v/>
      </c>
      <c r="C843">
        <f>IF($E843="","",INDEX('Input Transaksi'!$E:$E,$E843))</f>
        <v/>
      </c>
      <c r="D843" s="5">
        <f>IF($E843="","",INDEX('Input Transaksi'!$F:$F,$E843))</f>
        <v/>
      </c>
      <c r="E843">
        <f>IFERROR(AGGREGATE(15,6,ROW('Input Transaksi'!$B$5:$B$5000)/('Input Transaksi'!$B$5:$B$5000="JCL AYANI"),ROWS($E$5:E843)),"")</f>
        <v/>
      </c>
      <c r="F843" s="5" t="n"/>
    </row>
    <row r="844">
      <c r="A844" s="10">
        <f>IF($E844="","",INDEX('Input Transaksi'!$A:$A,$E844))</f>
        <v/>
      </c>
      <c r="B844" s="5">
        <f>IF($E844="","",INDEX('Input Transaksi'!$D:$D,$E844))</f>
        <v/>
      </c>
      <c r="C844">
        <f>IF($E844="","",INDEX('Input Transaksi'!$E:$E,$E844))</f>
        <v/>
      </c>
      <c r="D844" s="5">
        <f>IF($E844="","",INDEX('Input Transaksi'!$F:$F,$E844))</f>
        <v/>
      </c>
      <c r="E844">
        <f>IFERROR(AGGREGATE(15,6,ROW('Input Transaksi'!$B$5:$B$5000)/('Input Transaksi'!$B$5:$B$5000="JCL AYANI"),ROWS($E$5:E844)),"")</f>
        <v/>
      </c>
      <c r="F844" s="5" t="n"/>
    </row>
    <row r="845">
      <c r="A845" s="10">
        <f>IF($E845="","",INDEX('Input Transaksi'!$A:$A,$E845))</f>
        <v/>
      </c>
      <c r="B845" s="5">
        <f>IF($E845="","",INDEX('Input Transaksi'!$D:$D,$E845))</f>
        <v/>
      </c>
      <c r="C845">
        <f>IF($E845="","",INDEX('Input Transaksi'!$E:$E,$E845))</f>
        <v/>
      </c>
      <c r="D845" s="5">
        <f>IF($E845="","",INDEX('Input Transaksi'!$F:$F,$E845))</f>
        <v/>
      </c>
      <c r="E845">
        <f>IFERROR(AGGREGATE(15,6,ROW('Input Transaksi'!$B$5:$B$5000)/('Input Transaksi'!$B$5:$B$5000="JCL AYANI"),ROWS($E$5:E845)),"")</f>
        <v/>
      </c>
      <c r="F845" s="5" t="n"/>
    </row>
    <row r="846">
      <c r="A846" s="10">
        <f>IF($E846="","",INDEX('Input Transaksi'!$A:$A,$E846))</f>
        <v/>
      </c>
      <c r="B846" s="5">
        <f>IF($E846="","",INDEX('Input Transaksi'!$D:$D,$E846))</f>
        <v/>
      </c>
      <c r="C846">
        <f>IF($E846="","",INDEX('Input Transaksi'!$E:$E,$E846))</f>
        <v/>
      </c>
      <c r="D846" s="5">
        <f>IF($E846="","",INDEX('Input Transaksi'!$F:$F,$E846))</f>
        <v/>
      </c>
      <c r="E846">
        <f>IFERROR(AGGREGATE(15,6,ROW('Input Transaksi'!$B$5:$B$5000)/('Input Transaksi'!$B$5:$B$5000="JCL AYANI"),ROWS($E$5:E846)),"")</f>
        <v/>
      </c>
      <c r="F846" s="5" t="n"/>
    </row>
    <row r="847">
      <c r="A847" s="10">
        <f>IF($E847="","",INDEX('Input Transaksi'!$A:$A,$E847))</f>
        <v/>
      </c>
      <c r="B847" s="5">
        <f>IF($E847="","",INDEX('Input Transaksi'!$D:$D,$E847))</f>
        <v/>
      </c>
      <c r="C847">
        <f>IF($E847="","",INDEX('Input Transaksi'!$E:$E,$E847))</f>
        <v/>
      </c>
      <c r="D847" s="5">
        <f>IF($E847="","",INDEX('Input Transaksi'!$F:$F,$E847))</f>
        <v/>
      </c>
      <c r="E847">
        <f>IFERROR(AGGREGATE(15,6,ROW('Input Transaksi'!$B$5:$B$5000)/('Input Transaksi'!$B$5:$B$5000="JCL AYANI"),ROWS($E$5:E847)),"")</f>
        <v/>
      </c>
      <c r="F847" s="5" t="n"/>
    </row>
    <row r="848">
      <c r="A848" s="10">
        <f>IF($E848="","",INDEX('Input Transaksi'!$A:$A,$E848))</f>
        <v/>
      </c>
      <c r="B848" s="5">
        <f>IF($E848="","",INDEX('Input Transaksi'!$D:$D,$E848))</f>
        <v/>
      </c>
      <c r="C848">
        <f>IF($E848="","",INDEX('Input Transaksi'!$E:$E,$E848))</f>
        <v/>
      </c>
      <c r="D848" s="5">
        <f>IF($E848="","",INDEX('Input Transaksi'!$F:$F,$E848))</f>
        <v/>
      </c>
      <c r="E848">
        <f>IFERROR(AGGREGATE(15,6,ROW('Input Transaksi'!$B$5:$B$5000)/('Input Transaksi'!$B$5:$B$5000="JCL AYANI"),ROWS($E$5:E848)),"")</f>
        <v/>
      </c>
      <c r="F848" s="5" t="n"/>
    </row>
    <row r="849">
      <c r="A849" s="10">
        <f>IF($E849="","",INDEX('Input Transaksi'!$A:$A,$E849))</f>
        <v/>
      </c>
      <c r="B849" s="5">
        <f>IF($E849="","",INDEX('Input Transaksi'!$D:$D,$E849))</f>
        <v/>
      </c>
      <c r="C849">
        <f>IF($E849="","",INDEX('Input Transaksi'!$E:$E,$E849))</f>
        <v/>
      </c>
      <c r="D849" s="5">
        <f>IF($E849="","",INDEX('Input Transaksi'!$F:$F,$E849))</f>
        <v/>
      </c>
      <c r="E849">
        <f>IFERROR(AGGREGATE(15,6,ROW('Input Transaksi'!$B$5:$B$5000)/('Input Transaksi'!$B$5:$B$5000="JCL AYANI"),ROWS($E$5:E849)),"")</f>
        <v/>
      </c>
      <c r="F849" s="5" t="n"/>
    </row>
    <row r="850">
      <c r="A850" s="10">
        <f>IF($E850="","",INDEX('Input Transaksi'!$A:$A,$E850))</f>
        <v/>
      </c>
      <c r="B850" s="5">
        <f>IF($E850="","",INDEX('Input Transaksi'!$D:$D,$E850))</f>
        <v/>
      </c>
      <c r="C850">
        <f>IF($E850="","",INDEX('Input Transaksi'!$E:$E,$E850))</f>
        <v/>
      </c>
      <c r="D850" s="5">
        <f>IF($E850="","",INDEX('Input Transaksi'!$F:$F,$E850))</f>
        <v/>
      </c>
      <c r="E850">
        <f>IFERROR(AGGREGATE(15,6,ROW('Input Transaksi'!$B$5:$B$5000)/('Input Transaksi'!$B$5:$B$5000="JCL AYANI"),ROWS($E$5:E850)),"")</f>
        <v/>
      </c>
      <c r="F850" s="5" t="n"/>
    </row>
    <row r="851">
      <c r="A851" s="10">
        <f>IF($E851="","",INDEX('Input Transaksi'!$A:$A,$E851))</f>
        <v/>
      </c>
      <c r="B851" s="5">
        <f>IF($E851="","",INDEX('Input Transaksi'!$D:$D,$E851))</f>
        <v/>
      </c>
      <c r="C851">
        <f>IF($E851="","",INDEX('Input Transaksi'!$E:$E,$E851))</f>
        <v/>
      </c>
      <c r="D851" s="5">
        <f>IF($E851="","",INDEX('Input Transaksi'!$F:$F,$E851))</f>
        <v/>
      </c>
      <c r="E851">
        <f>IFERROR(AGGREGATE(15,6,ROW('Input Transaksi'!$B$5:$B$5000)/('Input Transaksi'!$B$5:$B$5000="JCL AYANI"),ROWS($E$5:E851)),"")</f>
        <v/>
      </c>
      <c r="F851" s="5" t="n"/>
    </row>
    <row r="852">
      <c r="A852" s="10">
        <f>IF($E852="","",INDEX('Input Transaksi'!$A:$A,$E852))</f>
        <v/>
      </c>
      <c r="B852" s="5">
        <f>IF($E852="","",INDEX('Input Transaksi'!$D:$D,$E852))</f>
        <v/>
      </c>
      <c r="C852">
        <f>IF($E852="","",INDEX('Input Transaksi'!$E:$E,$E852))</f>
        <v/>
      </c>
      <c r="D852" s="5">
        <f>IF($E852="","",INDEX('Input Transaksi'!$F:$F,$E852))</f>
        <v/>
      </c>
      <c r="E852">
        <f>IFERROR(AGGREGATE(15,6,ROW('Input Transaksi'!$B$5:$B$5000)/('Input Transaksi'!$B$5:$B$5000="JCL AYANI"),ROWS($E$5:E852)),"")</f>
        <v/>
      </c>
      <c r="F852" s="5" t="n"/>
    </row>
    <row r="853">
      <c r="A853" s="10">
        <f>IF($E853="","",INDEX('Input Transaksi'!$A:$A,$E853))</f>
        <v/>
      </c>
      <c r="B853" s="5">
        <f>IF($E853="","",INDEX('Input Transaksi'!$D:$D,$E853))</f>
        <v/>
      </c>
      <c r="C853">
        <f>IF($E853="","",INDEX('Input Transaksi'!$E:$E,$E853))</f>
        <v/>
      </c>
      <c r="D853" s="5">
        <f>IF($E853="","",INDEX('Input Transaksi'!$F:$F,$E853))</f>
        <v/>
      </c>
      <c r="E853">
        <f>IFERROR(AGGREGATE(15,6,ROW('Input Transaksi'!$B$5:$B$5000)/('Input Transaksi'!$B$5:$B$5000="JCL AYANI"),ROWS($E$5:E853)),"")</f>
        <v/>
      </c>
      <c r="F853" s="5" t="n"/>
    </row>
    <row r="854">
      <c r="A854" s="10">
        <f>IF($E854="","",INDEX('Input Transaksi'!$A:$A,$E854))</f>
        <v/>
      </c>
      <c r="B854" s="5">
        <f>IF($E854="","",INDEX('Input Transaksi'!$D:$D,$E854))</f>
        <v/>
      </c>
      <c r="C854">
        <f>IF($E854="","",INDEX('Input Transaksi'!$E:$E,$E854))</f>
        <v/>
      </c>
      <c r="D854" s="5">
        <f>IF($E854="","",INDEX('Input Transaksi'!$F:$F,$E854))</f>
        <v/>
      </c>
      <c r="E854">
        <f>IFERROR(AGGREGATE(15,6,ROW('Input Transaksi'!$B$5:$B$5000)/('Input Transaksi'!$B$5:$B$5000="JCL AYANI"),ROWS($E$5:E854)),"")</f>
        <v/>
      </c>
      <c r="F854" s="5" t="n"/>
    </row>
    <row r="855">
      <c r="A855" s="10">
        <f>IF($E855="","",INDEX('Input Transaksi'!$A:$A,$E855))</f>
        <v/>
      </c>
      <c r="B855" s="5">
        <f>IF($E855="","",INDEX('Input Transaksi'!$D:$D,$E855))</f>
        <v/>
      </c>
      <c r="C855">
        <f>IF($E855="","",INDEX('Input Transaksi'!$E:$E,$E855))</f>
        <v/>
      </c>
      <c r="D855" s="5">
        <f>IF($E855="","",INDEX('Input Transaksi'!$F:$F,$E855))</f>
        <v/>
      </c>
      <c r="E855">
        <f>IFERROR(AGGREGATE(15,6,ROW('Input Transaksi'!$B$5:$B$5000)/('Input Transaksi'!$B$5:$B$5000="JCL AYANI"),ROWS($E$5:E855)),"")</f>
        <v/>
      </c>
      <c r="F855" s="5" t="n"/>
    </row>
    <row r="856">
      <c r="A856" s="10">
        <f>IF($E856="","",INDEX('Input Transaksi'!$A:$A,$E856))</f>
        <v/>
      </c>
      <c r="B856" s="5">
        <f>IF($E856="","",INDEX('Input Transaksi'!$D:$D,$E856))</f>
        <v/>
      </c>
      <c r="C856">
        <f>IF($E856="","",INDEX('Input Transaksi'!$E:$E,$E856))</f>
        <v/>
      </c>
      <c r="D856" s="5">
        <f>IF($E856="","",INDEX('Input Transaksi'!$F:$F,$E856))</f>
        <v/>
      </c>
      <c r="E856">
        <f>IFERROR(AGGREGATE(15,6,ROW('Input Transaksi'!$B$5:$B$5000)/('Input Transaksi'!$B$5:$B$5000="JCL AYANI"),ROWS($E$5:E856)),"")</f>
        <v/>
      </c>
      <c r="F856" s="5" t="n"/>
    </row>
    <row r="857">
      <c r="A857" s="10">
        <f>IF($E857="","",INDEX('Input Transaksi'!$A:$A,$E857))</f>
        <v/>
      </c>
      <c r="B857" s="5">
        <f>IF($E857="","",INDEX('Input Transaksi'!$D:$D,$E857))</f>
        <v/>
      </c>
      <c r="C857">
        <f>IF($E857="","",INDEX('Input Transaksi'!$E:$E,$E857))</f>
        <v/>
      </c>
      <c r="D857" s="5">
        <f>IF($E857="","",INDEX('Input Transaksi'!$F:$F,$E857))</f>
        <v/>
      </c>
      <c r="E857">
        <f>IFERROR(AGGREGATE(15,6,ROW('Input Transaksi'!$B$5:$B$5000)/('Input Transaksi'!$B$5:$B$5000="JCL AYANI"),ROWS($E$5:E857)),"")</f>
        <v/>
      </c>
      <c r="F857" s="5" t="n"/>
    </row>
    <row r="858">
      <c r="A858" s="10">
        <f>IF($E858="","",INDEX('Input Transaksi'!$A:$A,$E858))</f>
        <v/>
      </c>
      <c r="B858" s="5">
        <f>IF($E858="","",INDEX('Input Transaksi'!$D:$D,$E858))</f>
        <v/>
      </c>
      <c r="C858">
        <f>IF($E858="","",INDEX('Input Transaksi'!$E:$E,$E858))</f>
        <v/>
      </c>
      <c r="D858" s="5">
        <f>IF($E858="","",INDEX('Input Transaksi'!$F:$F,$E858))</f>
        <v/>
      </c>
      <c r="E858">
        <f>IFERROR(AGGREGATE(15,6,ROW('Input Transaksi'!$B$5:$B$5000)/('Input Transaksi'!$B$5:$B$5000="JCL AYANI"),ROWS($E$5:E858)),"")</f>
        <v/>
      </c>
      <c r="F858" s="5" t="n"/>
    </row>
    <row r="859">
      <c r="A859" s="10">
        <f>IF($E859="","",INDEX('Input Transaksi'!$A:$A,$E859))</f>
        <v/>
      </c>
      <c r="B859" s="5">
        <f>IF($E859="","",INDEX('Input Transaksi'!$D:$D,$E859))</f>
        <v/>
      </c>
      <c r="C859">
        <f>IF($E859="","",INDEX('Input Transaksi'!$E:$E,$E859))</f>
        <v/>
      </c>
      <c r="D859" s="5">
        <f>IF($E859="","",INDEX('Input Transaksi'!$F:$F,$E859))</f>
        <v/>
      </c>
      <c r="E859">
        <f>IFERROR(AGGREGATE(15,6,ROW('Input Transaksi'!$B$5:$B$5000)/('Input Transaksi'!$B$5:$B$5000="JCL AYANI"),ROWS($E$5:E859)),"")</f>
        <v/>
      </c>
      <c r="F859" s="5" t="n"/>
    </row>
    <row r="860">
      <c r="A860" s="10">
        <f>IF($E860="","",INDEX('Input Transaksi'!$A:$A,$E860))</f>
        <v/>
      </c>
      <c r="B860" s="5">
        <f>IF($E860="","",INDEX('Input Transaksi'!$D:$D,$E860))</f>
        <v/>
      </c>
      <c r="C860">
        <f>IF($E860="","",INDEX('Input Transaksi'!$E:$E,$E860))</f>
        <v/>
      </c>
      <c r="D860" s="5">
        <f>IF($E860="","",INDEX('Input Transaksi'!$F:$F,$E860))</f>
        <v/>
      </c>
      <c r="E860">
        <f>IFERROR(AGGREGATE(15,6,ROW('Input Transaksi'!$B$5:$B$5000)/('Input Transaksi'!$B$5:$B$5000="JCL AYANI"),ROWS($E$5:E860)),"")</f>
        <v/>
      </c>
      <c r="F860" s="5" t="n"/>
    </row>
    <row r="861">
      <c r="A861" s="10">
        <f>IF($E861="","",INDEX('Input Transaksi'!$A:$A,$E861))</f>
        <v/>
      </c>
      <c r="B861" s="5">
        <f>IF($E861="","",INDEX('Input Transaksi'!$D:$D,$E861))</f>
        <v/>
      </c>
      <c r="C861">
        <f>IF($E861="","",INDEX('Input Transaksi'!$E:$E,$E861))</f>
        <v/>
      </c>
      <c r="D861" s="5">
        <f>IF($E861="","",INDEX('Input Transaksi'!$F:$F,$E861))</f>
        <v/>
      </c>
      <c r="E861">
        <f>IFERROR(AGGREGATE(15,6,ROW('Input Transaksi'!$B$5:$B$5000)/('Input Transaksi'!$B$5:$B$5000="JCL AYANI"),ROWS($E$5:E861)),"")</f>
        <v/>
      </c>
      <c r="F861" s="5" t="n"/>
    </row>
    <row r="862">
      <c r="A862" s="10">
        <f>IF($E862="","",INDEX('Input Transaksi'!$A:$A,$E862))</f>
        <v/>
      </c>
      <c r="B862" s="5">
        <f>IF($E862="","",INDEX('Input Transaksi'!$D:$D,$E862))</f>
        <v/>
      </c>
      <c r="C862">
        <f>IF($E862="","",INDEX('Input Transaksi'!$E:$E,$E862))</f>
        <v/>
      </c>
      <c r="D862" s="5">
        <f>IF($E862="","",INDEX('Input Transaksi'!$F:$F,$E862))</f>
        <v/>
      </c>
      <c r="E862">
        <f>IFERROR(AGGREGATE(15,6,ROW('Input Transaksi'!$B$5:$B$5000)/('Input Transaksi'!$B$5:$B$5000="JCL AYANI"),ROWS($E$5:E862)),"")</f>
        <v/>
      </c>
      <c r="F862" s="5" t="n"/>
    </row>
    <row r="863">
      <c r="A863" s="10">
        <f>IF($E863="","",INDEX('Input Transaksi'!$A:$A,$E863))</f>
        <v/>
      </c>
      <c r="B863" s="5">
        <f>IF($E863="","",INDEX('Input Transaksi'!$D:$D,$E863))</f>
        <v/>
      </c>
      <c r="C863">
        <f>IF($E863="","",INDEX('Input Transaksi'!$E:$E,$E863))</f>
        <v/>
      </c>
      <c r="D863" s="5">
        <f>IF($E863="","",INDEX('Input Transaksi'!$F:$F,$E863))</f>
        <v/>
      </c>
      <c r="E863">
        <f>IFERROR(AGGREGATE(15,6,ROW('Input Transaksi'!$B$5:$B$5000)/('Input Transaksi'!$B$5:$B$5000="JCL AYANI"),ROWS($E$5:E863)),"")</f>
        <v/>
      </c>
      <c r="F863" s="5" t="n"/>
    </row>
    <row r="864">
      <c r="A864" s="10">
        <f>IF($E864="","",INDEX('Input Transaksi'!$A:$A,$E864))</f>
        <v/>
      </c>
      <c r="B864" s="5">
        <f>IF($E864="","",INDEX('Input Transaksi'!$D:$D,$E864))</f>
        <v/>
      </c>
      <c r="C864">
        <f>IF($E864="","",INDEX('Input Transaksi'!$E:$E,$E864))</f>
        <v/>
      </c>
      <c r="D864" s="5">
        <f>IF($E864="","",INDEX('Input Transaksi'!$F:$F,$E864))</f>
        <v/>
      </c>
      <c r="E864">
        <f>IFERROR(AGGREGATE(15,6,ROW('Input Transaksi'!$B$5:$B$5000)/('Input Transaksi'!$B$5:$B$5000="JCL AYANI"),ROWS($E$5:E864)),"")</f>
        <v/>
      </c>
      <c r="F864" s="5" t="n"/>
    </row>
    <row r="865">
      <c r="A865" s="10">
        <f>IF($E865="","",INDEX('Input Transaksi'!$A:$A,$E865))</f>
        <v/>
      </c>
      <c r="B865" s="5">
        <f>IF($E865="","",INDEX('Input Transaksi'!$D:$D,$E865))</f>
        <v/>
      </c>
      <c r="C865">
        <f>IF($E865="","",INDEX('Input Transaksi'!$E:$E,$E865))</f>
        <v/>
      </c>
      <c r="D865" s="5">
        <f>IF($E865="","",INDEX('Input Transaksi'!$F:$F,$E865))</f>
        <v/>
      </c>
      <c r="E865">
        <f>IFERROR(AGGREGATE(15,6,ROW('Input Transaksi'!$B$5:$B$5000)/('Input Transaksi'!$B$5:$B$5000="JCL AYANI"),ROWS($E$5:E865)),"")</f>
        <v/>
      </c>
      <c r="F865" s="5" t="n"/>
    </row>
    <row r="866">
      <c r="A866" s="10">
        <f>IF($E866="","",INDEX('Input Transaksi'!$A:$A,$E866))</f>
        <v/>
      </c>
      <c r="B866" s="5">
        <f>IF($E866="","",INDEX('Input Transaksi'!$D:$D,$E866))</f>
        <v/>
      </c>
      <c r="C866">
        <f>IF($E866="","",INDEX('Input Transaksi'!$E:$E,$E866))</f>
        <v/>
      </c>
      <c r="D866" s="5">
        <f>IF($E866="","",INDEX('Input Transaksi'!$F:$F,$E866))</f>
        <v/>
      </c>
      <c r="E866">
        <f>IFERROR(AGGREGATE(15,6,ROW('Input Transaksi'!$B$5:$B$5000)/('Input Transaksi'!$B$5:$B$5000="JCL AYANI"),ROWS($E$5:E866)),"")</f>
        <v/>
      </c>
      <c r="F866" s="5" t="n"/>
    </row>
    <row r="867">
      <c r="A867" s="10">
        <f>IF($E867="","",INDEX('Input Transaksi'!$A:$A,$E867))</f>
        <v/>
      </c>
      <c r="B867" s="5">
        <f>IF($E867="","",INDEX('Input Transaksi'!$D:$D,$E867))</f>
        <v/>
      </c>
      <c r="C867">
        <f>IF($E867="","",INDEX('Input Transaksi'!$E:$E,$E867))</f>
        <v/>
      </c>
      <c r="D867" s="5">
        <f>IF($E867="","",INDEX('Input Transaksi'!$F:$F,$E867))</f>
        <v/>
      </c>
      <c r="E867">
        <f>IFERROR(AGGREGATE(15,6,ROW('Input Transaksi'!$B$5:$B$5000)/('Input Transaksi'!$B$5:$B$5000="JCL AYANI"),ROWS($E$5:E867)),"")</f>
        <v/>
      </c>
      <c r="F867" s="5" t="n"/>
    </row>
    <row r="868">
      <c r="A868" s="10">
        <f>IF($E868="","",INDEX('Input Transaksi'!$A:$A,$E868))</f>
        <v/>
      </c>
      <c r="B868" s="5">
        <f>IF($E868="","",INDEX('Input Transaksi'!$D:$D,$E868))</f>
        <v/>
      </c>
      <c r="C868">
        <f>IF($E868="","",INDEX('Input Transaksi'!$E:$E,$E868))</f>
        <v/>
      </c>
      <c r="D868" s="5">
        <f>IF($E868="","",INDEX('Input Transaksi'!$F:$F,$E868))</f>
        <v/>
      </c>
      <c r="E868">
        <f>IFERROR(AGGREGATE(15,6,ROW('Input Transaksi'!$B$5:$B$5000)/('Input Transaksi'!$B$5:$B$5000="JCL AYANI"),ROWS($E$5:E868)),"")</f>
        <v/>
      </c>
      <c r="F868" s="5" t="n"/>
    </row>
    <row r="869">
      <c r="A869" s="10">
        <f>IF($E869="","",INDEX('Input Transaksi'!$A:$A,$E869))</f>
        <v/>
      </c>
      <c r="B869" s="5">
        <f>IF($E869="","",INDEX('Input Transaksi'!$D:$D,$E869))</f>
        <v/>
      </c>
      <c r="C869">
        <f>IF($E869="","",INDEX('Input Transaksi'!$E:$E,$E869))</f>
        <v/>
      </c>
      <c r="D869" s="5">
        <f>IF($E869="","",INDEX('Input Transaksi'!$F:$F,$E869))</f>
        <v/>
      </c>
      <c r="E869">
        <f>IFERROR(AGGREGATE(15,6,ROW('Input Transaksi'!$B$5:$B$5000)/('Input Transaksi'!$B$5:$B$5000="JCL AYANI"),ROWS($E$5:E869)),"")</f>
        <v/>
      </c>
      <c r="F869" s="5" t="n"/>
    </row>
    <row r="870">
      <c r="A870" s="10">
        <f>IF($E870="","",INDEX('Input Transaksi'!$A:$A,$E870))</f>
        <v/>
      </c>
      <c r="B870" s="5">
        <f>IF($E870="","",INDEX('Input Transaksi'!$D:$D,$E870))</f>
        <v/>
      </c>
      <c r="C870">
        <f>IF($E870="","",INDEX('Input Transaksi'!$E:$E,$E870))</f>
        <v/>
      </c>
      <c r="D870" s="5">
        <f>IF($E870="","",INDEX('Input Transaksi'!$F:$F,$E870))</f>
        <v/>
      </c>
      <c r="E870">
        <f>IFERROR(AGGREGATE(15,6,ROW('Input Transaksi'!$B$5:$B$5000)/('Input Transaksi'!$B$5:$B$5000="JCL AYANI"),ROWS($E$5:E870)),"")</f>
        <v/>
      </c>
      <c r="F870" s="5" t="n"/>
    </row>
    <row r="871">
      <c r="A871" s="10">
        <f>IF($E871="","",INDEX('Input Transaksi'!$A:$A,$E871))</f>
        <v/>
      </c>
      <c r="B871" s="5">
        <f>IF($E871="","",INDEX('Input Transaksi'!$D:$D,$E871))</f>
        <v/>
      </c>
      <c r="C871">
        <f>IF($E871="","",INDEX('Input Transaksi'!$E:$E,$E871))</f>
        <v/>
      </c>
      <c r="D871" s="5">
        <f>IF($E871="","",INDEX('Input Transaksi'!$F:$F,$E871))</f>
        <v/>
      </c>
      <c r="E871">
        <f>IFERROR(AGGREGATE(15,6,ROW('Input Transaksi'!$B$5:$B$5000)/('Input Transaksi'!$B$5:$B$5000="JCL AYANI"),ROWS($E$5:E871)),"")</f>
        <v/>
      </c>
      <c r="F871" s="5" t="n"/>
    </row>
    <row r="872">
      <c r="A872" s="10">
        <f>IF($E872="","",INDEX('Input Transaksi'!$A:$A,$E872))</f>
        <v/>
      </c>
      <c r="B872" s="5">
        <f>IF($E872="","",INDEX('Input Transaksi'!$D:$D,$E872))</f>
        <v/>
      </c>
      <c r="C872">
        <f>IF($E872="","",INDEX('Input Transaksi'!$E:$E,$E872))</f>
        <v/>
      </c>
      <c r="D872" s="5">
        <f>IF($E872="","",INDEX('Input Transaksi'!$F:$F,$E872))</f>
        <v/>
      </c>
      <c r="E872">
        <f>IFERROR(AGGREGATE(15,6,ROW('Input Transaksi'!$B$5:$B$5000)/('Input Transaksi'!$B$5:$B$5000="JCL AYANI"),ROWS($E$5:E872)),"")</f>
        <v/>
      </c>
      <c r="F872" s="5" t="n"/>
    </row>
    <row r="873">
      <c r="A873" s="10">
        <f>IF($E873="","",INDEX('Input Transaksi'!$A:$A,$E873))</f>
        <v/>
      </c>
      <c r="B873" s="5">
        <f>IF($E873="","",INDEX('Input Transaksi'!$D:$D,$E873))</f>
        <v/>
      </c>
      <c r="C873">
        <f>IF($E873="","",INDEX('Input Transaksi'!$E:$E,$E873))</f>
        <v/>
      </c>
      <c r="D873" s="5">
        <f>IF($E873="","",INDEX('Input Transaksi'!$F:$F,$E873))</f>
        <v/>
      </c>
      <c r="E873">
        <f>IFERROR(AGGREGATE(15,6,ROW('Input Transaksi'!$B$5:$B$5000)/('Input Transaksi'!$B$5:$B$5000="JCL AYANI"),ROWS($E$5:E873)),"")</f>
        <v/>
      </c>
      <c r="F873" s="5" t="n"/>
    </row>
    <row r="874">
      <c r="A874" s="10">
        <f>IF($E874="","",INDEX('Input Transaksi'!$A:$A,$E874))</f>
        <v/>
      </c>
      <c r="B874" s="5">
        <f>IF($E874="","",INDEX('Input Transaksi'!$D:$D,$E874))</f>
        <v/>
      </c>
      <c r="C874">
        <f>IF($E874="","",INDEX('Input Transaksi'!$E:$E,$E874))</f>
        <v/>
      </c>
      <c r="D874" s="5">
        <f>IF($E874="","",INDEX('Input Transaksi'!$F:$F,$E874))</f>
        <v/>
      </c>
      <c r="E874">
        <f>IFERROR(AGGREGATE(15,6,ROW('Input Transaksi'!$B$5:$B$5000)/('Input Transaksi'!$B$5:$B$5000="JCL AYANI"),ROWS($E$5:E874)),"")</f>
        <v/>
      </c>
      <c r="F874" s="5" t="n"/>
    </row>
    <row r="875">
      <c r="A875" s="10">
        <f>IF($E875="","",INDEX('Input Transaksi'!$A:$A,$E875))</f>
        <v/>
      </c>
      <c r="B875" s="5">
        <f>IF($E875="","",INDEX('Input Transaksi'!$D:$D,$E875))</f>
        <v/>
      </c>
      <c r="C875">
        <f>IF($E875="","",INDEX('Input Transaksi'!$E:$E,$E875))</f>
        <v/>
      </c>
      <c r="D875" s="5">
        <f>IF($E875="","",INDEX('Input Transaksi'!$F:$F,$E875))</f>
        <v/>
      </c>
      <c r="E875">
        <f>IFERROR(AGGREGATE(15,6,ROW('Input Transaksi'!$B$5:$B$5000)/('Input Transaksi'!$B$5:$B$5000="JCL AYANI"),ROWS($E$5:E875)),"")</f>
        <v/>
      </c>
      <c r="F875" s="5" t="n"/>
    </row>
    <row r="876">
      <c r="A876" s="10">
        <f>IF($E876="","",INDEX('Input Transaksi'!$A:$A,$E876))</f>
        <v/>
      </c>
      <c r="B876" s="5">
        <f>IF($E876="","",INDEX('Input Transaksi'!$D:$D,$E876))</f>
        <v/>
      </c>
      <c r="C876">
        <f>IF($E876="","",INDEX('Input Transaksi'!$E:$E,$E876))</f>
        <v/>
      </c>
      <c r="D876" s="5">
        <f>IF($E876="","",INDEX('Input Transaksi'!$F:$F,$E876))</f>
        <v/>
      </c>
      <c r="E876">
        <f>IFERROR(AGGREGATE(15,6,ROW('Input Transaksi'!$B$5:$B$5000)/('Input Transaksi'!$B$5:$B$5000="JCL AYANI"),ROWS($E$5:E876)),"")</f>
        <v/>
      </c>
      <c r="F876" s="5" t="n"/>
    </row>
    <row r="877">
      <c r="A877" s="10">
        <f>IF($E877="","",INDEX('Input Transaksi'!$A:$A,$E877))</f>
        <v/>
      </c>
      <c r="B877" s="5">
        <f>IF($E877="","",INDEX('Input Transaksi'!$D:$D,$E877))</f>
        <v/>
      </c>
      <c r="C877">
        <f>IF($E877="","",INDEX('Input Transaksi'!$E:$E,$E877))</f>
        <v/>
      </c>
      <c r="D877" s="5">
        <f>IF($E877="","",INDEX('Input Transaksi'!$F:$F,$E877))</f>
        <v/>
      </c>
      <c r="E877">
        <f>IFERROR(AGGREGATE(15,6,ROW('Input Transaksi'!$B$5:$B$5000)/('Input Transaksi'!$B$5:$B$5000="JCL AYANI"),ROWS($E$5:E877)),"")</f>
        <v/>
      </c>
      <c r="F877" s="5" t="n"/>
    </row>
    <row r="878">
      <c r="A878" s="10">
        <f>IF($E878="","",INDEX('Input Transaksi'!$A:$A,$E878))</f>
        <v/>
      </c>
      <c r="B878" s="5">
        <f>IF($E878="","",INDEX('Input Transaksi'!$D:$D,$E878))</f>
        <v/>
      </c>
      <c r="C878">
        <f>IF($E878="","",INDEX('Input Transaksi'!$E:$E,$E878))</f>
        <v/>
      </c>
      <c r="D878" s="5">
        <f>IF($E878="","",INDEX('Input Transaksi'!$F:$F,$E878))</f>
        <v/>
      </c>
      <c r="E878">
        <f>IFERROR(AGGREGATE(15,6,ROW('Input Transaksi'!$B$5:$B$5000)/('Input Transaksi'!$B$5:$B$5000="JCL AYANI"),ROWS($E$5:E878)),"")</f>
        <v/>
      </c>
      <c r="F878" s="5" t="n"/>
    </row>
    <row r="879">
      <c r="A879" s="10">
        <f>IF($E879="","",INDEX('Input Transaksi'!$A:$A,$E879))</f>
        <v/>
      </c>
      <c r="B879" s="5">
        <f>IF($E879="","",INDEX('Input Transaksi'!$D:$D,$E879))</f>
        <v/>
      </c>
      <c r="C879">
        <f>IF($E879="","",INDEX('Input Transaksi'!$E:$E,$E879))</f>
        <v/>
      </c>
      <c r="D879" s="5">
        <f>IF($E879="","",INDEX('Input Transaksi'!$F:$F,$E879))</f>
        <v/>
      </c>
      <c r="E879">
        <f>IFERROR(AGGREGATE(15,6,ROW('Input Transaksi'!$B$5:$B$5000)/('Input Transaksi'!$B$5:$B$5000="JCL AYANI"),ROWS($E$5:E879)),"")</f>
        <v/>
      </c>
      <c r="F879" s="5" t="n"/>
    </row>
    <row r="880">
      <c r="A880" s="10">
        <f>IF($E880="","",INDEX('Input Transaksi'!$A:$A,$E880))</f>
        <v/>
      </c>
      <c r="B880" s="5">
        <f>IF($E880="","",INDEX('Input Transaksi'!$D:$D,$E880))</f>
        <v/>
      </c>
      <c r="C880">
        <f>IF($E880="","",INDEX('Input Transaksi'!$E:$E,$E880))</f>
        <v/>
      </c>
      <c r="D880" s="5">
        <f>IF($E880="","",INDEX('Input Transaksi'!$F:$F,$E880))</f>
        <v/>
      </c>
      <c r="E880">
        <f>IFERROR(AGGREGATE(15,6,ROW('Input Transaksi'!$B$5:$B$5000)/('Input Transaksi'!$B$5:$B$5000="JCL AYANI"),ROWS($E$5:E880)),"")</f>
        <v/>
      </c>
      <c r="F880" s="5" t="n"/>
    </row>
    <row r="881">
      <c r="A881" s="10">
        <f>IF($E881="","",INDEX('Input Transaksi'!$A:$A,$E881))</f>
        <v/>
      </c>
      <c r="B881" s="5">
        <f>IF($E881="","",INDEX('Input Transaksi'!$D:$D,$E881))</f>
        <v/>
      </c>
      <c r="C881">
        <f>IF($E881="","",INDEX('Input Transaksi'!$E:$E,$E881))</f>
        <v/>
      </c>
      <c r="D881" s="5">
        <f>IF($E881="","",INDEX('Input Transaksi'!$F:$F,$E881))</f>
        <v/>
      </c>
      <c r="E881">
        <f>IFERROR(AGGREGATE(15,6,ROW('Input Transaksi'!$B$5:$B$5000)/('Input Transaksi'!$B$5:$B$5000="JCL AYANI"),ROWS($E$5:E881)),"")</f>
        <v/>
      </c>
      <c r="F881" s="5" t="n"/>
    </row>
    <row r="882">
      <c r="A882" s="10">
        <f>IF($E882="","",INDEX('Input Transaksi'!$A:$A,$E882))</f>
        <v/>
      </c>
      <c r="B882" s="5">
        <f>IF($E882="","",INDEX('Input Transaksi'!$D:$D,$E882))</f>
        <v/>
      </c>
      <c r="C882">
        <f>IF($E882="","",INDEX('Input Transaksi'!$E:$E,$E882))</f>
        <v/>
      </c>
      <c r="D882" s="5">
        <f>IF($E882="","",INDEX('Input Transaksi'!$F:$F,$E882))</f>
        <v/>
      </c>
      <c r="E882">
        <f>IFERROR(AGGREGATE(15,6,ROW('Input Transaksi'!$B$5:$B$5000)/('Input Transaksi'!$B$5:$B$5000="JCL AYANI"),ROWS($E$5:E882)),"")</f>
        <v/>
      </c>
      <c r="F882" s="5" t="n"/>
    </row>
    <row r="883">
      <c r="A883" s="10">
        <f>IF($E883="","",INDEX('Input Transaksi'!$A:$A,$E883))</f>
        <v/>
      </c>
      <c r="B883" s="5">
        <f>IF($E883="","",INDEX('Input Transaksi'!$D:$D,$E883))</f>
        <v/>
      </c>
      <c r="C883">
        <f>IF($E883="","",INDEX('Input Transaksi'!$E:$E,$E883))</f>
        <v/>
      </c>
      <c r="D883" s="5">
        <f>IF($E883="","",INDEX('Input Transaksi'!$F:$F,$E883))</f>
        <v/>
      </c>
      <c r="E883">
        <f>IFERROR(AGGREGATE(15,6,ROW('Input Transaksi'!$B$5:$B$5000)/('Input Transaksi'!$B$5:$B$5000="JCL AYANI"),ROWS($E$5:E883)),"")</f>
        <v/>
      </c>
      <c r="F883" s="5" t="n"/>
    </row>
    <row r="884">
      <c r="A884" s="10">
        <f>IF($E884="","",INDEX('Input Transaksi'!$A:$A,$E884))</f>
        <v/>
      </c>
      <c r="B884" s="5">
        <f>IF($E884="","",INDEX('Input Transaksi'!$D:$D,$E884))</f>
        <v/>
      </c>
      <c r="C884">
        <f>IF($E884="","",INDEX('Input Transaksi'!$E:$E,$E884))</f>
        <v/>
      </c>
      <c r="D884" s="5">
        <f>IF($E884="","",INDEX('Input Transaksi'!$F:$F,$E884))</f>
        <v/>
      </c>
      <c r="E884">
        <f>IFERROR(AGGREGATE(15,6,ROW('Input Transaksi'!$B$5:$B$5000)/('Input Transaksi'!$B$5:$B$5000="JCL AYANI"),ROWS($E$5:E884)),"")</f>
        <v/>
      </c>
      <c r="F884" s="5" t="n"/>
    </row>
    <row r="885">
      <c r="A885" s="10">
        <f>IF($E885="","",INDEX('Input Transaksi'!$A:$A,$E885))</f>
        <v/>
      </c>
      <c r="B885" s="5">
        <f>IF($E885="","",INDEX('Input Transaksi'!$D:$D,$E885))</f>
        <v/>
      </c>
      <c r="C885">
        <f>IF($E885="","",INDEX('Input Transaksi'!$E:$E,$E885))</f>
        <v/>
      </c>
      <c r="D885" s="5">
        <f>IF($E885="","",INDEX('Input Transaksi'!$F:$F,$E885))</f>
        <v/>
      </c>
      <c r="E885">
        <f>IFERROR(AGGREGATE(15,6,ROW('Input Transaksi'!$B$5:$B$5000)/('Input Transaksi'!$B$5:$B$5000="JCL AYANI"),ROWS($E$5:E885)),"")</f>
        <v/>
      </c>
      <c r="F885" s="5" t="n"/>
    </row>
    <row r="886">
      <c r="A886" s="10">
        <f>IF($E886="","",INDEX('Input Transaksi'!$A:$A,$E886))</f>
        <v/>
      </c>
      <c r="B886" s="5">
        <f>IF($E886="","",INDEX('Input Transaksi'!$D:$D,$E886))</f>
        <v/>
      </c>
      <c r="C886">
        <f>IF($E886="","",INDEX('Input Transaksi'!$E:$E,$E886))</f>
        <v/>
      </c>
      <c r="D886" s="5">
        <f>IF($E886="","",INDEX('Input Transaksi'!$F:$F,$E886))</f>
        <v/>
      </c>
      <c r="E886">
        <f>IFERROR(AGGREGATE(15,6,ROW('Input Transaksi'!$B$5:$B$5000)/('Input Transaksi'!$B$5:$B$5000="JCL AYANI"),ROWS($E$5:E886)),"")</f>
        <v/>
      </c>
      <c r="F886" s="5" t="n"/>
    </row>
    <row r="887">
      <c r="A887" s="10">
        <f>IF($E887="","",INDEX('Input Transaksi'!$A:$A,$E887))</f>
        <v/>
      </c>
      <c r="B887" s="5">
        <f>IF($E887="","",INDEX('Input Transaksi'!$D:$D,$E887))</f>
        <v/>
      </c>
      <c r="C887">
        <f>IF($E887="","",INDEX('Input Transaksi'!$E:$E,$E887))</f>
        <v/>
      </c>
      <c r="D887" s="5">
        <f>IF($E887="","",INDEX('Input Transaksi'!$F:$F,$E887))</f>
        <v/>
      </c>
      <c r="E887">
        <f>IFERROR(AGGREGATE(15,6,ROW('Input Transaksi'!$B$5:$B$5000)/('Input Transaksi'!$B$5:$B$5000="JCL AYANI"),ROWS($E$5:E887)),"")</f>
        <v/>
      </c>
      <c r="F887" s="5" t="n"/>
    </row>
    <row r="888">
      <c r="A888" s="10">
        <f>IF($E888="","",INDEX('Input Transaksi'!$A:$A,$E888))</f>
        <v/>
      </c>
      <c r="B888" s="5">
        <f>IF($E888="","",INDEX('Input Transaksi'!$D:$D,$E888))</f>
        <v/>
      </c>
      <c r="C888">
        <f>IF($E888="","",INDEX('Input Transaksi'!$E:$E,$E888))</f>
        <v/>
      </c>
      <c r="D888" s="5">
        <f>IF($E888="","",INDEX('Input Transaksi'!$F:$F,$E888))</f>
        <v/>
      </c>
      <c r="E888">
        <f>IFERROR(AGGREGATE(15,6,ROW('Input Transaksi'!$B$5:$B$5000)/('Input Transaksi'!$B$5:$B$5000="JCL AYANI"),ROWS($E$5:E888)),"")</f>
        <v/>
      </c>
      <c r="F888" s="5" t="n"/>
    </row>
    <row r="889">
      <c r="A889" s="10">
        <f>IF($E889="","",INDEX('Input Transaksi'!$A:$A,$E889))</f>
        <v/>
      </c>
      <c r="B889" s="5">
        <f>IF($E889="","",INDEX('Input Transaksi'!$D:$D,$E889))</f>
        <v/>
      </c>
      <c r="C889">
        <f>IF($E889="","",INDEX('Input Transaksi'!$E:$E,$E889))</f>
        <v/>
      </c>
      <c r="D889" s="5">
        <f>IF($E889="","",INDEX('Input Transaksi'!$F:$F,$E889))</f>
        <v/>
      </c>
      <c r="E889">
        <f>IFERROR(AGGREGATE(15,6,ROW('Input Transaksi'!$B$5:$B$5000)/('Input Transaksi'!$B$5:$B$5000="JCL AYANI"),ROWS($E$5:E889)),"")</f>
        <v/>
      </c>
      <c r="F889" s="5" t="n"/>
    </row>
    <row r="890">
      <c r="A890" s="10">
        <f>IF($E890="","",INDEX('Input Transaksi'!$A:$A,$E890))</f>
        <v/>
      </c>
      <c r="B890" s="5">
        <f>IF($E890="","",INDEX('Input Transaksi'!$D:$D,$E890))</f>
        <v/>
      </c>
      <c r="C890">
        <f>IF($E890="","",INDEX('Input Transaksi'!$E:$E,$E890))</f>
        <v/>
      </c>
      <c r="D890" s="5">
        <f>IF($E890="","",INDEX('Input Transaksi'!$F:$F,$E890))</f>
        <v/>
      </c>
      <c r="E890">
        <f>IFERROR(AGGREGATE(15,6,ROW('Input Transaksi'!$B$5:$B$5000)/('Input Transaksi'!$B$5:$B$5000="JCL AYANI"),ROWS($E$5:E890)),"")</f>
        <v/>
      </c>
      <c r="F890" s="5" t="n"/>
    </row>
    <row r="891">
      <c r="A891" s="10">
        <f>IF($E891="","",INDEX('Input Transaksi'!$A:$A,$E891))</f>
        <v/>
      </c>
      <c r="B891" s="5">
        <f>IF($E891="","",INDEX('Input Transaksi'!$D:$D,$E891))</f>
        <v/>
      </c>
      <c r="C891">
        <f>IF($E891="","",INDEX('Input Transaksi'!$E:$E,$E891))</f>
        <v/>
      </c>
      <c r="D891" s="5">
        <f>IF($E891="","",INDEX('Input Transaksi'!$F:$F,$E891))</f>
        <v/>
      </c>
      <c r="E891">
        <f>IFERROR(AGGREGATE(15,6,ROW('Input Transaksi'!$B$5:$B$5000)/('Input Transaksi'!$B$5:$B$5000="JCL AYANI"),ROWS($E$5:E891)),"")</f>
        <v/>
      </c>
      <c r="F891" s="5" t="n"/>
    </row>
    <row r="892">
      <c r="A892" s="10">
        <f>IF($E892="","",INDEX('Input Transaksi'!$A:$A,$E892))</f>
        <v/>
      </c>
      <c r="B892" s="5">
        <f>IF($E892="","",INDEX('Input Transaksi'!$D:$D,$E892))</f>
        <v/>
      </c>
      <c r="C892">
        <f>IF($E892="","",INDEX('Input Transaksi'!$E:$E,$E892))</f>
        <v/>
      </c>
      <c r="D892" s="5">
        <f>IF($E892="","",INDEX('Input Transaksi'!$F:$F,$E892))</f>
        <v/>
      </c>
      <c r="E892">
        <f>IFERROR(AGGREGATE(15,6,ROW('Input Transaksi'!$B$5:$B$5000)/('Input Transaksi'!$B$5:$B$5000="JCL AYANI"),ROWS($E$5:E892)),"")</f>
        <v/>
      </c>
      <c r="F892" s="5" t="n"/>
    </row>
    <row r="893">
      <c r="A893" s="10">
        <f>IF($E893="","",INDEX('Input Transaksi'!$A:$A,$E893))</f>
        <v/>
      </c>
      <c r="B893" s="5">
        <f>IF($E893="","",INDEX('Input Transaksi'!$D:$D,$E893))</f>
        <v/>
      </c>
      <c r="C893">
        <f>IF($E893="","",INDEX('Input Transaksi'!$E:$E,$E893))</f>
        <v/>
      </c>
      <c r="D893" s="5">
        <f>IF($E893="","",INDEX('Input Transaksi'!$F:$F,$E893))</f>
        <v/>
      </c>
      <c r="E893">
        <f>IFERROR(AGGREGATE(15,6,ROW('Input Transaksi'!$B$5:$B$5000)/('Input Transaksi'!$B$5:$B$5000="JCL AYANI"),ROWS($E$5:E893)),"")</f>
        <v/>
      </c>
      <c r="F893" s="5" t="n"/>
    </row>
    <row r="894">
      <c r="A894" s="10">
        <f>IF($E894="","",INDEX('Input Transaksi'!$A:$A,$E894))</f>
        <v/>
      </c>
      <c r="B894" s="5">
        <f>IF($E894="","",INDEX('Input Transaksi'!$D:$D,$E894))</f>
        <v/>
      </c>
      <c r="C894">
        <f>IF($E894="","",INDEX('Input Transaksi'!$E:$E,$E894))</f>
        <v/>
      </c>
      <c r="D894" s="5">
        <f>IF($E894="","",INDEX('Input Transaksi'!$F:$F,$E894))</f>
        <v/>
      </c>
      <c r="E894">
        <f>IFERROR(AGGREGATE(15,6,ROW('Input Transaksi'!$B$5:$B$5000)/('Input Transaksi'!$B$5:$B$5000="JCL AYANI"),ROWS($E$5:E894)),"")</f>
        <v/>
      </c>
      <c r="F894" s="5" t="n"/>
    </row>
    <row r="895">
      <c r="A895" s="10">
        <f>IF($E895="","",INDEX('Input Transaksi'!$A:$A,$E895))</f>
        <v/>
      </c>
      <c r="B895" s="5">
        <f>IF($E895="","",INDEX('Input Transaksi'!$D:$D,$E895))</f>
        <v/>
      </c>
      <c r="C895">
        <f>IF($E895="","",INDEX('Input Transaksi'!$E:$E,$E895))</f>
        <v/>
      </c>
      <c r="D895" s="5">
        <f>IF($E895="","",INDEX('Input Transaksi'!$F:$F,$E895))</f>
        <v/>
      </c>
      <c r="E895">
        <f>IFERROR(AGGREGATE(15,6,ROW('Input Transaksi'!$B$5:$B$5000)/('Input Transaksi'!$B$5:$B$5000="JCL AYANI"),ROWS($E$5:E895)),"")</f>
        <v/>
      </c>
      <c r="F895" s="5" t="n"/>
    </row>
    <row r="896">
      <c r="A896" s="10">
        <f>IF($E896="","",INDEX('Input Transaksi'!$A:$A,$E896))</f>
        <v/>
      </c>
      <c r="B896" s="5">
        <f>IF($E896="","",INDEX('Input Transaksi'!$D:$D,$E896))</f>
        <v/>
      </c>
      <c r="C896">
        <f>IF($E896="","",INDEX('Input Transaksi'!$E:$E,$E896))</f>
        <v/>
      </c>
      <c r="D896" s="5">
        <f>IF($E896="","",INDEX('Input Transaksi'!$F:$F,$E896))</f>
        <v/>
      </c>
      <c r="E896">
        <f>IFERROR(AGGREGATE(15,6,ROW('Input Transaksi'!$B$5:$B$5000)/('Input Transaksi'!$B$5:$B$5000="JCL AYANI"),ROWS($E$5:E896)),"")</f>
        <v/>
      </c>
      <c r="F896" s="5" t="n"/>
    </row>
    <row r="897">
      <c r="A897" s="10">
        <f>IF($E897="","",INDEX('Input Transaksi'!$A:$A,$E897))</f>
        <v/>
      </c>
      <c r="B897" s="5">
        <f>IF($E897="","",INDEX('Input Transaksi'!$D:$D,$E897))</f>
        <v/>
      </c>
      <c r="C897">
        <f>IF($E897="","",INDEX('Input Transaksi'!$E:$E,$E897))</f>
        <v/>
      </c>
      <c r="D897" s="5">
        <f>IF($E897="","",INDEX('Input Transaksi'!$F:$F,$E897))</f>
        <v/>
      </c>
      <c r="E897">
        <f>IFERROR(AGGREGATE(15,6,ROW('Input Transaksi'!$B$5:$B$5000)/('Input Transaksi'!$B$5:$B$5000="JCL AYANI"),ROWS($E$5:E897)),"")</f>
        <v/>
      </c>
      <c r="F897" s="5" t="n"/>
    </row>
    <row r="898">
      <c r="A898" s="10">
        <f>IF($E898="","",INDEX('Input Transaksi'!$A:$A,$E898))</f>
        <v/>
      </c>
      <c r="B898" s="5">
        <f>IF($E898="","",INDEX('Input Transaksi'!$D:$D,$E898))</f>
        <v/>
      </c>
      <c r="C898">
        <f>IF($E898="","",INDEX('Input Transaksi'!$E:$E,$E898))</f>
        <v/>
      </c>
      <c r="D898" s="5">
        <f>IF($E898="","",INDEX('Input Transaksi'!$F:$F,$E898))</f>
        <v/>
      </c>
      <c r="E898">
        <f>IFERROR(AGGREGATE(15,6,ROW('Input Transaksi'!$B$5:$B$5000)/('Input Transaksi'!$B$5:$B$5000="JCL AYANI"),ROWS($E$5:E898)),"")</f>
        <v/>
      </c>
      <c r="F898" s="5" t="n"/>
    </row>
    <row r="899">
      <c r="A899" s="10">
        <f>IF($E899="","",INDEX('Input Transaksi'!$A:$A,$E899))</f>
        <v/>
      </c>
      <c r="B899" s="5">
        <f>IF($E899="","",INDEX('Input Transaksi'!$D:$D,$E899))</f>
        <v/>
      </c>
      <c r="C899">
        <f>IF($E899="","",INDEX('Input Transaksi'!$E:$E,$E899))</f>
        <v/>
      </c>
      <c r="D899" s="5">
        <f>IF($E899="","",INDEX('Input Transaksi'!$F:$F,$E899))</f>
        <v/>
      </c>
      <c r="E899">
        <f>IFERROR(AGGREGATE(15,6,ROW('Input Transaksi'!$B$5:$B$5000)/('Input Transaksi'!$B$5:$B$5000="JCL AYANI"),ROWS($E$5:E899)),"")</f>
        <v/>
      </c>
      <c r="F899" s="5" t="n"/>
    </row>
    <row r="900">
      <c r="A900" s="10">
        <f>IF($E900="","",INDEX('Input Transaksi'!$A:$A,$E900))</f>
        <v/>
      </c>
      <c r="B900" s="5">
        <f>IF($E900="","",INDEX('Input Transaksi'!$D:$D,$E900))</f>
        <v/>
      </c>
      <c r="C900">
        <f>IF($E900="","",INDEX('Input Transaksi'!$E:$E,$E900))</f>
        <v/>
      </c>
      <c r="D900" s="5">
        <f>IF($E900="","",INDEX('Input Transaksi'!$F:$F,$E900))</f>
        <v/>
      </c>
      <c r="E900">
        <f>IFERROR(AGGREGATE(15,6,ROW('Input Transaksi'!$B$5:$B$5000)/('Input Transaksi'!$B$5:$B$5000="JCL AYANI"),ROWS($E$5:E900)),"")</f>
        <v/>
      </c>
      <c r="F900" s="5" t="n"/>
    </row>
    <row r="901">
      <c r="A901" s="10">
        <f>IF($E901="","",INDEX('Input Transaksi'!$A:$A,$E901))</f>
        <v/>
      </c>
      <c r="B901" s="5">
        <f>IF($E901="","",INDEX('Input Transaksi'!$D:$D,$E901))</f>
        <v/>
      </c>
      <c r="C901">
        <f>IF($E901="","",INDEX('Input Transaksi'!$E:$E,$E901))</f>
        <v/>
      </c>
      <c r="D901" s="5">
        <f>IF($E901="","",INDEX('Input Transaksi'!$F:$F,$E901))</f>
        <v/>
      </c>
      <c r="E901">
        <f>IFERROR(AGGREGATE(15,6,ROW('Input Transaksi'!$B$5:$B$5000)/('Input Transaksi'!$B$5:$B$5000="JCL AYANI"),ROWS($E$5:E901)),"")</f>
        <v/>
      </c>
      <c r="F901" s="5" t="n"/>
    </row>
    <row r="902">
      <c r="A902" s="10">
        <f>IF($E902="","",INDEX('Input Transaksi'!$A:$A,$E902))</f>
        <v/>
      </c>
      <c r="B902" s="5">
        <f>IF($E902="","",INDEX('Input Transaksi'!$D:$D,$E902))</f>
        <v/>
      </c>
      <c r="C902">
        <f>IF($E902="","",INDEX('Input Transaksi'!$E:$E,$E902))</f>
        <v/>
      </c>
      <c r="D902" s="5">
        <f>IF($E902="","",INDEX('Input Transaksi'!$F:$F,$E902))</f>
        <v/>
      </c>
      <c r="E902">
        <f>IFERROR(AGGREGATE(15,6,ROW('Input Transaksi'!$B$5:$B$5000)/('Input Transaksi'!$B$5:$B$5000="JCL AYANI"),ROWS($E$5:E902)),"")</f>
        <v/>
      </c>
      <c r="F902" s="5" t="n"/>
    </row>
    <row r="903">
      <c r="A903" s="10">
        <f>IF($E903="","",INDEX('Input Transaksi'!$A:$A,$E903))</f>
        <v/>
      </c>
      <c r="B903" s="5">
        <f>IF($E903="","",INDEX('Input Transaksi'!$D:$D,$E903))</f>
        <v/>
      </c>
      <c r="C903">
        <f>IF($E903="","",INDEX('Input Transaksi'!$E:$E,$E903))</f>
        <v/>
      </c>
      <c r="D903" s="5">
        <f>IF($E903="","",INDEX('Input Transaksi'!$F:$F,$E903))</f>
        <v/>
      </c>
      <c r="E903">
        <f>IFERROR(AGGREGATE(15,6,ROW('Input Transaksi'!$B$5:$B$5000)/('Input Transaksi'!$B$5:$B$5000="JCL AYANI"),ROWS($E$5:E903)),"")</f>
        <v/>
      </c>
      <c r="F903" s="5" t="n"/>
    </row>
    <row r="904">
      <c r="A904" s="10">
        <f>IF($E904="","",INDEX('Input Transaksi'!$A:$A,$E904))</f>
        <v/>
      </c>
      <c r="B904" s="5">
        <f>IF($E904="","",INDEX('Input Transaksi'!$D:$D,$E904))</f>
        <v/>
      </c>
      <c r="C904">
        <f>IF($E904="","",INDEX('Input Transaksi'!$E:$E,$E904))</f>
        <v/>
      </c>
      <c r="D904" s="5">
        <f>IF($E904="","",INDEX('Input Transaksi'!$F:$F,$E904))</f>
        <v/>
      </c>
      <c r="E904">
        <f>IFERROR(AGGREGATE(15,6,ROW('Input Transaksi'!$B$5:$B$5000)/('Input Transaksi'!$B$5:$B$5000="JCL AYANI"),ROWS($E$5:E904)),"")</f>
        <v/>
      </c>
      <c r="F904" s="5" t="n"/>
    </row>
    <row r="905">
      <c r="A905" s="10">
        <f>IF($E905="","",INDEX('Input Transaksi'!$A:$A,$E905))</f>
        <v/>
      </c>
      <c r="B905" s="5">
        <f>IF($E905="","",INDEX('Input Transaksi'!$D:$D,$E905))</f>
        <v/>
      </c>
      <c r="C905">
        <f>IF($E905="","",INDEX('Input Transaksi'!$E:$E,$E905))</f>
        <v/>
      </c>
      <c r="D905" s="5">
        <f>IF($E905="","",INDEX('Input Transaksi'!$F:$F,$E905))</f>
        <v/>
      </c>
      <c r="E905">
        <f>IFERROR(AGGREGATE(15,6,ROW('Input Transaksi'!$B$5:$B$5000)/('Input Transaksi'!$B$5:$B$5000="JCL AYANI"),ROWS($E$5:E905)),"")</f>
        <v/>
      </c>
      <c r="F905" s="5" t="n"/>
    </row>
    <row r="906">
      <c r="A906" s="10">
        <f>IF($E906="","",INDEX('Input Transaksi'!$A:$A,$E906))</f>
        <v/>
      </c>
      <c r="B906" s="5">
        <f>IF($E906="","",INDEX('Input Transaksi'!$D:$D,$E906))</f>
        <v/>
      </c>
      <c r="C906">
        <f>IF($E906="","",INDEX('Input Transaksi'!$E:$E,$E906))</f>
        <v/>
      </c>
      <c r="D906" s="5">
        <f>IF($E906="","",INDEX('Input Transaksi'!$F:$F,$E906))</f>
        <v/>
      </c>
      <c r="E906">
        <f>IFERROR(AGGREGATE(15,6,ROW('Input Transaksi'!$B$5:$B$5000)/('Input Transaksi'!$B$5:$B$5000="JCL AYANI"),ROWS($E$5:E906)),"")</f>
        <v/>
      </c>
      <c r="F906" s="5" t="n"/>
    </row>
    <row r="907">
      <c r="A907" s="10">
        <f>IF($E907="","",INDEX('Input Transaksi'!$A:$A,$E907))</f>
        <v/>
      </c>
      <c r="B907" s="5">
        <f>IF($E907="","",INDEX('Input Transaksi'!$D:$D,$E907))</f>
        <v/>
      </c>
      <c r="C907">
        <f>IF($E907="","",INDEX('Input Transaksi'!$E:$E,$E907))</f>
        <v/>
      </c>
      <c r="D907" s="5">
        <f>IF($E907="","",INDEX('Input Transaksi'!$F:$F,$E907))</f>
        <v/>
      </c>
      <c r="E907">
        <f>IFERROR(AGGREGATE(15,6,ROW('Input Transaksi'!$B$5:$B$5000)/('Input Transaksi'!$B$5:$B$5000="JCL AYANI"),ROWS($E$5:E907)),"")</f>
        <v/>
      </c>
      <c r="F907" s="5" t="n"/>
    </row>
    <row r="908">
      <c r="A908" s="10">
        <f>IF($E908="","",INDEX('Input Transaksi'!$A:$A,$E908))</f>
        <v/>
      </c>
      <c r="B908" s="5">
        <f>IF($E908="","",INDEX('Input Transaksi'!$D:$D,$E908))</f>
        <v/>
      </c>
      <c r="C908">
        <f>IF($E908="","",INDEX('Input Transaksi'!$E:$E,$E908))</f>
        <v/>
      </c>
      <c r="D908" s="5">
        <f>IF($E908="","",INDEX('Input Transaksi'!$F:$F,$E908))</f>
        <v/>
      </c>
      <c r="E908">
        <f>IFERROR(AGGREGATE(15,6,ROW('Input Transaksi'!$B$5:$B$5000)/('Input Transaksi'!$B$5:$B$5000="JCL AYANI"),ROWS($E$5:E908)),"")</f>
        <v/>
      </c>
      <c r="F908" s="5" t="n"/>
    </row>
    <row r="909">
      <c r="A909" s="10">
        <f>IF($E909="","",INDEX('Input Transaksi'!$A:$A,$E909))</f>
        <v/>
      </c>
      <c r="B909" s="5">
        <f>IF($E909="","",INDEX('Input Transaksi'!$D:$D,$E909))</f>
        <v/>
      </c>
      <c r="C909">
        <f>IF($E909="","",INDEX('Input Transaksi'!$E:$E,$E909))</f>
        <v/>
      </c>
      <c r="D909" s="5">
        <f>IF($E909="","",INDEX('Input Transaksi'!$F:$F,$E909))</f>
        <v/>
      </c>
      <c r="E909">
        <f>IFERROR(AGGREGATE(15,6,ROW('Input Transaksi'!$B$5:$B$5000)/('Input Transaksi'!$B$5:$B$5000="JCL AYANI"),ROWS($E$5:E909)),"")</f>
        <v/>
      </c>
      <c r="F909" s="5" t="n"/>
    </row>
    <row r="910">
      <c r="A910" s="10">
        <f>IF($E910="","",INDEX('Input Transaksi'!$A:$A,$E910))</f>
        <v/>
      </c>
      <c r="B910" s="5">
        <f>IF($E910="","",INDEX('Input Transaksi'!$D:$D,$E910))</f>
        <v/>
      </c>
      <c r="C910">
        <f>IF($E910="","",INDEX('Input Transaksi'!$E:$E,$E910))</f>
        <v/>
      </c>
      <c r="D910" s="5">
        <f>IF($E910="","",INDEX('Input Transaksi'!$F:$F,$E910))</f>
        <v/>
      </c>
      <c r="E910">
        <f>IFERROR(AGGREGATE(15,6,ROW('Input Transaksi'!$B$5:$B$5000)/('Input Transaksi'!$B$5:$B$5000="JCL AYANI"),ROWS($E$5:E910)),"")</f>
        <v/>
      </c>
      <c r="F910" s="5" t="n"/>
    </row>
    <row r="911">
      <c r="A911" s="10">
        <f>IF($E911="","",INDEX('Input Transaksi'!$A:$A,$E911))</f>
        <v/>
      </c>
      <c r="B911" s="5">
        <f>IF($E911="","",INDEX('Input Transaksi'!$D:$D,$E911))</f>
        <v/>
      </c>
      <c r="C911">
        <f>IF($E911="","",INDEX('Input Transaksi'!$E:$E,$E911))</f>
        <v/>
      </c>
      <c r="D911" s="5">
        <f>IF($E911="","",INDEX('Input Transaksi'!$F:$F,$E911))</f>
        <v/>
      </c>
      <c r="E911">
        <f>IFERROR(AGGREGATE(15,6,ROW('Input Transaksi'!$B$5:$B$5000)/('Input Transaksi'!$B$5:$B$5000="JCL AYANI"),ROWS($E$5:E911)),"")</f>
        <v/>
      </c>
      <c r="F911" s="5" t="n"/>
    </row>
    <row r="912">
      <c r="A912" s="10">
        <f>IF($E912="","",INDEX('Input Transaksi'!$A:$A,$E912))</f>
        <v/>
      </c>
      <c r="B912" s="5">
        <f>IF($E912="","",INDEX('Input Transaksi'!$D:$D,$E912))</f>
        <v/>
      </c>
      <c r="C912">
        <f>IF($E912="","",INDEX('Input Transaksi'!$E:$E,$E912))</f>
        <v/>
      </c>
      <c r="D912" s="5">
        <f>IF($E912="","",INDEX('Input Transaksi'!$F:$F,$E912))</f>
        <v/>
      </c>
      <c r="E912">
        <f>IFERROR(AGGREGATE(15,6,ROW('Input Transaksi'!$B$5:$B$5000)/('Input Transaksi'!$B$5:$B$5000="JCL AYANI"),ROWS($E$5:E912)),"")</f>
        <v/>
      </c>
      <c r="F912" s="5" t="n"/>
    </row>
    <row r="913">
      <c r="A913" s="10">
        <f>IF($E913="","",INDEX('Input Transaksi'!$A:$A,$E913))</f>
        <v/>
      </c>
      <c r="B913" s="5">
        <f>IF($E913="","",INDEX('Input Transaksi'!$D:$D,$E913))</f>
        <v/>
      </c>
      <c r="C913">
        <f>IF($E913="","",INDEX('Input Transaksi'!$E:$E,$E913))</f>
        <v/>
      </c>
      <c r="D913" s="5">
        <f>IF($E913="","",INDEX('Input Transaksi'!$F:$F,$E913))</f>
        <v/>
      </c>
      <c r="E913">
        <f>IFERROR(AGGREGATE(15,6,ROW('Input Transaksi'!$B$5:$B$5000)/('Input Transaksi'!$B$5:$B$5000="JCL AYANI"),ROWS($E$5:E913)),"")</f>
        <v/>
      </c>
      <c r="F913" s="5" t="n"/>
    </row>
    <row r="914">
      <c r="A914" s="10">
        <f>IF($E914="","",INDEX('Input Transaksi'!$A:$A,$E914))</f>
        <v/>
      </c>
      <c r="B914" s="5">
        <f>IF($E914="","",INDEX('Input Transaksi'!$D:$D,$E914))</f>
        <v/>
      </c>
      <c r="C914">
        <f>IF($E914="","",INDEX('Input Transaksi'!$E:$E,$E914))</f>
        <v/>
      </c>
      <c r="D914" s="5">
        <f>IF($E914="","",INDEX('Input Transaksi'!$F:$F,$E914))</f>
        <v/>
      </c>
      <c r="E914">
        <f>IFERROR(AGGREGATE(15,6,ROW('Input Transaksi'!$B$5:$B$5000)/('Input Transaksi'!$B$5:$B$5000="JCL AYANI"),ROWS($E$5:E914)),"")</f>
        <v/>
      </c>
      <c r="F914" s="5" t="n"/>
    </row>
    <row r="915">
      <c r="A915" s="10">
        <f>IF($E915="","",INDEX('Input Transaksi'!$A:$A,$E915))</f>
        <v/>
      </c>
      <c r="B915" s="5">
        <f>IF($E915="","",INDEX('Input Transaksi'!$D:$D,$E915))</f>
        <v/>
      </c>
      <c r="C915">
        <f>IF($E915="","",INDEX('Input Transaksi'!$E:$E,$E915))</f>
        <v/>
      </c>
      <c r="D915" s="5">
        <f>IF($E915="","",INDEX('Input Transaksi'!$F:$F,$E915))</f>
        <v/>
      </c>
      <c r="E915">
        <f>IFERROR(AGGREGATE(15,6,ROW('Input Transaksi'!$B$5:$B$5000)/('Input Transaksi'!$B$5:$B$5000="JCL AYANI"),ROWS($E$5:E915)),"")</f>
        <v/>
      </c>
      <c r="F915" s="5" t="n"/>
    </row>
    <row r="916">
      <c r="A916" s="10">
        <f>IF($E916="","",INDEX('Input Transaksi'!$A:$A,$E916))</f>
        <v/>
      </c>
      <c r="B916" s="5">
        <f>IF($E916="","",INDEX('Input Transaksi'!$D:$D,$E916))</f>
        <v/>
      </c>
      <c r="C916">
        <f>IF($E916="","",INDEX('Input Transaksi'!$E:$E,$E916))</f>
        <v/>
      </c>
      <c r="D916" s="5">
        <f>IF($E916="","",INDEX('Input Transaksi'!$F:$F,$E916))</f>
        <v/>
      </c>
      <c r="E916">
        <f>IFERROR(AGGREGATE(15,6,ROW('Input Transaksi'!$B$5:$B$5000)/('Input Transaksi'!$B$5:$B$5000="JCL AYANI"),ROWS($E$5:E916)),"")</f>
        <v/>
      </c>
      <c r="F916" s="5" t="n"/>
    </row>
    <row r="917">
      <c r="A917" s="10">
        <f>IF($E917="","",INDEX('Input Transaksi'!$A:$A,$E917))</f>
        <v/>
      </c>
      <c r="B917" s="5">
        <f>IF($E917="","",INDEX('Input Transaksi'!$D:$D,$E917))</f>
        <v/>
      </c>
      <c r="C917">
        <f>IF($E917="","",INDEX('Input Transaksi'!$E:$E,$E917))</f>
        <v/>
      </c>
      <c r="D917" s="5">
        <f>IF($E917="","",INDEX('Input Transaksi'!$F:$F,$E917))</f>
        <v/>
      </c>
      <c r="E917">
        <f>IFERROR(AGGREGATE(15,6,ROW('Input Transaksi'!$B$5:$B$5000)/('Input Transaksi'!$B$5:$B$5000="JCL AYANI"),ROWS($E$5:E917)),"")</f>
        <v/>
      </c>
      <c r="F917" s="5" t="n"/>
    </row>
    <row r="918">
      <c r="A918" s="10">
        <f>IF($E918="","",INDEX('Input Transaksi'!$A:$A,$E918))</f>
        <v/>
      </c>
      <c r="B918" s="5">
        <f>IF($E918="","",INDEX('Input Transaksi'!$D:$D,$E918))</f>
        <v/>
      </c>
      <c r="C918">
        <f>IF($E918="","",INDEX('Input Transaksi'!$E:$E,$E918))</f>
        <v/>
      </c>
      <c r="D918" s="5">
        <f>IF($E918="","",INDEX('Input Transaksi'!$F:$F,$E918))</f>
        <v/>
      </c>
      <c r="E918">
        <f>IFERROR(AGGREGATE(15,6,ROW('Input Transaksi'!$B$5:$B$5000)/('Input Transaksi'!$B$5:$B$5000="JCL AYANI"),ROWS($E$5:E918)),"")</f>
        <v/>
      </c>
      <c r="F918" s="5" t="n"/>
    </row>
    <row r="919">
      <c r="A919" s="10">
        <f>IF($E919="","",INDEX('Input Transaksi'!$A:$A,$E919))</f>
        <v/>
      </c>
      <c r="B919" s="5">
        <f>IF($E919="","",INDEX('Input Transaksi'!$D:$D,$E919))</f>
        <v/>
      </c>
      <c r="C919">
        <f>IF($E919="","",INDEX('Input Transaksi'!$E:$E,$E919))</f>
        <v/>
      </c>
      <c r="D919" s="5">
        <f>IF($E919="","",INDEX('Input Transaksi'!$F:$F,$E919))</f>
        <v/>
      </c>
      <c r="E919">
        <f>IFERROR(AGGREGATE(15,6,ROW('Input Transaksi'!$B$5:$B$5000)/('Input Transaksi'!$B$5:$B$5000="JCL AYANI"),ROWS($E$5:E919)),"")</f>
        <v/>
      </c>
      <c r="F919" s="5" t="n"/>
    </row>
    <row r="920">
      <c r="A920" s="10">
        <f>IF($E920="","",INDEX('Input Transaksi'!$A:$A,$E920))</f>
        <v/>
      </c>
      <c r="B920" s="5">
        <f>IF($E920="","",INDEX('Input Transaksi'!$D:$D,$E920))</f>
        <v/>
      </c>
      <c r="C920">
        <f>IF($E920="","",INDEX('Input Transaksi'!$E:$E,$E920))</f>
        <v/>
      </c>
      <c r="D920" s="5">
        <f>IF($E920="","",INDEX('Input Transaksi'!$F:$F,$E920))</f>
        <v/>
      </c>
      <c r="E920">
        <f>IFERROR(AGGREGATE(15,6,ROW('Input Transaksi'!$B$5:$B$5000)/('Input Transaksi'!$B$5:$B$5000="JCL AYANI"),ROWS($E$5:E920)),"")</f>
        <v/>
      </c>
      <c r="F920" s="5" t="n"/>
    </row>
    <row r="921">
      <c r="A921" s="10">
        <f>IF($E921="","",INDEX('Input Transaksi'!$A:$A,$E921))</f>
        <v/>
      </c>
      <c r="B921" s="5">
        <f>IF($E921="","",INDEX('Input Transaksi'!$D:$D,$E921))</f>
        <v/>
      </c>
      <c r="C921">
        <f>IF($E921="","",INDEX('Input Transaksi'!$E:$E,$E921))</f>
        <v/>
      </c>
      <c r="D921" s="5">
        <f>IF($E921="","",INDEX('Input Transaksi'!$F:$F,$E921))</f>
        <v/>
      </c>
      <c r="E921">
        <f>IFERROR(AGGREGATE(15,6,ROW('Input Transaksi'!$B$5:$B$5000)/('Input Transaksi'!$B$5:$B$5000="JCL AYANI"),ROWS($E$5:E921)),"")</f>
        <v/>
      </c>
      <c r="F921" s="5" t="n"/>
    </row>
    <row r="922">
      <c r="A922" s="10">
        <f>IF($E922="","",INDEX('Input Transaksi'!$A:$A,$E922))</f>
        <v/>
      </c>
      <c r="B922" s="5">
        <f>IF($E922="","",INDEX('Input Transaksi'!$D:$D,$E922))</f>
        <v/>
      </c>
      <c r="C922">
        <f>IF($E922="","",INDEX('Input Transaksi'!$E:$E,$E922))</f>
        <v/>
      </c>
      <c r="D922" s="5">
        <f>IF($E922="","",INDEX('Input Transaksi'!$F:$F,$E922))</f>
        <v/>
      </c>
      <c r="E922">
        <f>IFERROR(AGGREGATE(15,6,ROW('Input Transaksi'!$B$5:$B$5000)/('Input Transaksi'!$B$5:$B$5000="JCL AYANI"),ROWS($E$5:E922)),"")</f>
        <v/>
      </c>
      <c r="F922" s="5" t="n"/>
    </row>
    <row r="923">
      <c r="A923" s="10">
        <f>IF($E923="","",INDEX('Input Transaksi'!$A:$A,$E923))</f>
        <v/>
      </c>
      <c r="B923" s="5">
        <f>IF($E923="","",INDEX('Input Transaksi'!$D:$D,$E923))</f>
        <v/>
      </c>
      <c r="C923">
        <f>IF($E923="","",INDEX('Input Transaksi'!$E:$E,$E923))</f>
        <v/>
      </c>
      <c r="D923" s="5">
        <f>IF($E923="","",INDEX('Input Transaksi'!$F:$F,$E923))</f>
        <v/>
      </c>
      <c r="E923">
        <f>IFERROR(AGGREGATE(15,6,ROW('Input Transaksi'!$B$5:$B$5000)/('Input Transaksi'!$B$5:$B$5000="JCL AYANI"),ROWS($E$5:E923)),"")</f>
        <v/>
      </c>
      <c r="F923" s="5" t="n"/>
    </row>
    <row r="924">
      <c r="A924" s="10">
        <f>IF($E924="","",INDEX('Input Transaksi'!$A:$A,$E924))</f>
        <v/>
      </c>
      <c r="B924" s="5">
        <f>IF($E924="","",INDEX('Input Transaksi'!$D:$D,$E924))</f>
        <v/>
      </c>
      <c r="C924">
        <f>IF($E924="","",INDEX('Input Transaksi'!$E:$E,$E924))</f>
        <v/>
      </c>
      <c r="D924" s="5">
        <f>IF($E924="","",INDEX('Input Transaksi'!$F:$F,$E924))</f>
        <v/>
      </c>
      <c r="E924">
        <f>IFERROR(AGGREGATE(15,6,ROW('Input Transaksi'!$B$5:$B$5000)/('Input Transaksi'!$B$5:$B$5000="JCL AYANI"),ROWS($E$5:E924)),"")</f>
        <v/>
      </c>
      <c r="F924" s="5" t="n"/>
    </row>
    <row r="925">
      <c r="A925" s="10">
        <f>IF($E925="","",INDEX('Input Transaksi'!$A:$A,$E925))</f>
        <v/>
      </c>
      <c r="B925" s="5">
        <f>IF($E925="","",INDEX('Input Transaksi'!$D:$D,$E925))</f>
        <v/>
      </c>
      <c r="C925">
        <f>IF($E925="","",INDEX('Input Transaksi'!$E:$E,$E925))</f>
        <v/>
      </c>
      <c r="D925" s="5">
        <f>IF($E925="","",INDEX('Input Transaksi'!$F:$F,$E925))</f>
        <v/>
      </c>
      <c r="E925">
        <f>IFERROR(AGGREGATE(15,6,ROW('Input Transaksi'!$B$5:$B$5000)/('Input Transaksi'!$B$5:$B$5000="JCL AYANI"),ROWS($E$5:E925)),"")</f>
        <v/>
      </c>
      <c r="F925" s="5" t="n"/>
    </row>
    <row r="926">
      <c r="A926" s="10">
        <f>IF($E926="","",INDEX('Input Transaksi'!$A:$A,$E926))</f>
        <v/>
      </c>
      <c r="B926" s="5">
        <f>IF($E926="","",INDEX('Input Transaksi'!$D:$D,$E926))</f>
        <v/>
      </c>
      <c r="C926">
        <f>IF($E926="","",INDEX('Input Transaksi'!$E:$E,$E926))</f>
        <v/>
      </c>
      <c r="D926" s="5">
        <f>IF($E926="","",INDEX('Input Transaksi'!$F:$F,$E926))</f>
        <v/>
      </c>
      <c r="E926">
        <f>IFERROR(AGGREGATE(15,6,ROW('Input Transaksi'!$B$5:$B$5000)/('Input Transaksi'!$B$5:$B$5000="JCL AYANI"),ROWS($E$5:E926)),"")</f>
        <v/>
      </c>
      <c r="F926" s="5" t="n"/>
    </row>
    <row r="927">
      <c r="A927" s="10">
        <f>IF($E927="","",INDEX('Input Transaksi'!$A:$A,$E927))</f>
        <v/>
      </c>
      <c r="B927" s="5">
        <f>IF($E927="","",INDEX('Input Transaksi'!$D:$D,$E927))</f>
        <v/>
      </c>
      <c r="C927">
        <f>IF($E927="","",INDEX('Input Transaksi'!$E:$E,$E927))</f>
        <v/>
      </c>
      <c r="D927" s="5">
        <f>IF($E927="","",INDEX('Input Transaksi'!$F:$F,$E927))</f>
        <v/>
      </c>
      <c r="E927">
        <f>IFERROR(AGGREGATE(15,6,ROW('Input Transaksi'!$B$5:$B$5000)/('Input Transaksi'!$B$5:$B$5000="JCL AYANI"),ROWS($E$5:E927)),"")</f>
        <v/>
      </c>
      <c r="F927" s="5" t="n"/>
    </row>
    <row r="928">
      <c r="A928" s="10">
        <f>IF($E928="","",INDEX('Input Transaksi'!$A:$A,$E928))</f>
        <v/>
      </c>
      <c r="B928" s="5">
        <f>IF($E928="","",INDEX('Input Transaksi'!$D:$D,$E928))</f>
        <v/>
      </c>
      <c r="C928">
        <f>IF($E928="","",INDEX('Input Transaksi'!$E:$E,$E928))</f>
        <v/>
      </c>
      <c r="D928" s="5">
        <f>IF($E928="","",INDEX('Input Transaksi'!$F:$F,$E928))</f>
        <v/>
      </c>
      <c r="E928">
        <f>IFERROR(AGGREGATE(15,6,ROW('Input Transaksi'!$B$5:$B$5000)/('Input Transaksi'!$B$5:$B$5000="JCL AYANI"),ROWS($E$5:E928)),"")</f>
        <v/>
      </c>
      <c r="F928" s="5" t="n"/>
    </row>
    <row r="929">
      <c r="A929" s="10">
        <f>IF($E929="","",INDEX('Input Transaksi'!$A:$A,$E929))</f>
        <v/>
      </c>
      <c r="B929" s="5">
        <f>IF($E929="","",INDEX('Input Transaksi'!$D:$D,$E929))</f>
        <v/>
      </c>
      <c r="C929">
        <f>IF($E929="","",INDEX('Input Transaksi'!$E:$E,$E929))</f>
        <v/>
      </c>
      <c r="D929" s="5">
        <f>IF($E929="","",INDEX('Input Transaksi'!$F:$F,$E929))</f>
        <v/>
      </c>
      <c r="E929">
        <f>IFERROR(AGGREGATE(15,6,ROW('Input Transaksi'!$B$5:$B$5000)/('Input Transaksi'!$B$5:$B$5000="JCL AYANI"),ROWS($E$5:E929)),"")</f>
        <v/>
      </c>
      <c r="F929" s="5" t="n"/>
    </row>
    <row r="930">
      <c r="A930" s="10">
        <f>IF($E930="","",INDEX('Input Transaksi'!$A:$A,$E930))</f>
        <v/>
      </c>
      <c r="B930" s="5">
        <f>IF($E930="","",INDEX('Input Transaksi'!$D:$D,$E930))</f>
        <v/>
      </c>
      <c r="C930">
        <f>IF($E930="","",INDEX('Input Transaksi'!$E:$E,$E930))</f>
        <v/>
      </c>
      <c r="D930" s="5">
        <f>IF($E930="","",INDEX('Input Transaksi'!$F:$F,$E930))</f>
        <v/>
      </c>
      <c r="E930">
        <f>IFERROR(AGGREGATE(15,6,ROW('Input Transaksi'!$B$5:$B$5000)/('Input Transaksi'!$B$5:$B$5000="JCL AYANI"),ROWS($E$5:E930)),"")</f>
        <v/>
      </c>
      <c r="F930" s="5" t="n"/>
    </row>
    <row r="931">
      <c r="A931" s="10">
        <f>IF($E931="","",INDEX('Input Transaksi'!$A:$A,$E931))</f>
        <v/>
      </c>
      <c r="B931" s="5">
        <f>IF($E931="","",INDEX('Input Transaksi'!$D:$D,$E931))</f>
        <v/>
      </c>
      <c r="C931">
        <f>IF($E931="","",INDEX('Input Transaksi'!$E:$E,$E931))</f>
        <v/>
      </c>
      <c r="D931" s="5">
        <f>IF($E931="","",INDEX('Input Transaksi'!$F:$F,$E931))</f>
        <v/>
      </c>
      <c r="E931">
        <f>IFERROR(AGGREGATE(15,6,ROW('Input Transaksi'!$B$5:$B$5000)/('Input Transaksi'!$B$5:$B$5000="JCL AYANI"),ROWS($E$5:E931)),"")</f>
        <v/>
      </c>
      <c r="F931" s="5" t="n"/>
    </row>
    <row r="932">
      <c r="A932" s="10">
        <f>IF($E932="","",INDEX('Input Transaksi'!$A:$A,$E932))</f>
        <v/>
      </c>
      <c r="B932" s="5">
        <f>IF($E932="","",INDEX('Input Transaksi'!$D:$D,$E932))</f>
        <v/>
      </c>
      <c r="C932">
        <f>IF($E932="","",INDEX('Input Transaksi'!$E:$E,$E932))</f>
        <v/>
      </c>
      <c r="D932" s="5">
        <f>IF($E932="","",INDEX('Input Transaksi'!$F:$F,$E932))</f>
        <v/>
      </c>
      <c r="E932">
        <f>IFERROR(AGGREGATE(15,6,ROW('Input Transaksi'!$B$5:$B$5000)/('Input Transaksi'!$B$5:$B$5000="JCL AYANI"),ROWS($E$5:E932)),"")</f>
        <v/>
      </c>
      <c r="F932" s="5" t="n"/>
    </row>
    <row r="933">
      <c r="A933" s="10">
        <f>IF($E933="","",INDEX('Input Transaksi'!$A:$A,$E933))</f>
        <v/>
      </c>
      <c r="B933" s="5">
        <f>IF($E933="","",INDEX('Input Transaksi'!$D:$D,$E933))</f>
        <v/>
      </c>
      <c r="C933">
        <f>IF($E933="","",INDEX('Input Transaksi'!$E:$E,$E933))</f>
        <v/>
      </c>
      <c r="D933" s="5">
        <f>IF($E933="","",INDEX('Input Transaksi'!$F:$F,$E933))</f>
        <v/>
      </c>
      <c r="E933">
        <f>IFERROR(AGGREGATE(15,6,ROW('Input Transaksi'!$B$5:$B$5000)/('Input Transaksi'!$B$5:$B$5000="JCL AYANI"),ROWS($E$5:E933)),"")</f>
        <v/>
      </c>
      <c r="F933" s="5" t="n"/>
    </row>
    <row r="934">
      <c r="A934" s="10">
        <f>IF($E934="","",INDEX('Input Transaksi'!$A:$A,$E934))</f>
        <v/>
      </c>
      <c r="B934" s="5">
        <f>IF($E934="","",INDEX('Input Transaksi'!$D:$D,$E934))</f>
        <v/>
      </c>
      <c r="C934">
        <f>IF($E934="","",INDEX('Input Transaksi'!$E:$E,$E934))</f>
        <v/>
      </c>
      <c r="D934" s="5">
        <f>IF($E934="","",INDEX('Input Transaksi'!$F:$F,$E934))</f>
        <v/>
      </c>
      <c r="E934">
        <f>IFERROR(AGGREGATE(15,6,ROW('Input Transaksi'!$B$5:$B$5000)/('Input Transaksi'!$B$5:$B$5000="JCL AYANI"),ROWS($E$5:E934)),"")</f>
        <v/>
      </c>
      <c r="F934" s="5" t="n"/>
    </row>
    <row r="935">
      <c r="A935" s="10">
        <f>IF($E935="","",INDEX('Input Transaksi'!$A:$A,$E935))</f>
        <v/>
      </c>
      <c r="B935" s="5">
        <f>IF($E935="","",INDEX('Input Transaksi'!$D:$D,$E935))</f>
        <v/>
      </c>
      <c r="C935">
        <f>IF($E935="","",INDEX('Input Transaksi'!$E:$E,$E935))</f>
        <v/>
      </c>
      <c r="D935" s="5">
        <f>IF($E935="","",INDEX('Input Transaksi'!$F:$F,$E935))</f>
        <v/>
      </c>
      <c r="E935">
        <f>IFERROR(AGGREGATE(15,6,ROW('Input Transaksi'!$B$5:$B$5000)/('Input Transaksi'!$B$5:$B$5000="JCL AYANI"),ROWS($E$5:E935)),"")</f>
        <v/>
      </c>
      <c r="F935" s="5" t="n"/>
    </row>
    <row r="936">
      <c r="A936" s="10">
        <f>IF($E936="","",INDEX('Input Transaksi'!$A:$A,$E936))</f>
        <v/>
      </c>
      <c r="B936" s="5">
        <f>IF($E936="","",INDEX('Input Transaksi'!$D:$D,$E936))</f>
        <v/>
      </c>
      <c r="C936">
        <f>IF($E936="","",INDEX('Input Transaksi'!$E:$E,$E936))</f>
        <v/>
      </c>
      <c r="D936" s="5">
        <f>IF($E936="","",INDEX('Input Transaksi'!$F:$F,$E936))</f>
        <v/>
      </c>
      <c r="E936">
        <f>IFERROR(AGGREGATE(15,6,ROW('Input Transaksi'!$B$5:$B$5000)/('Input Transaksi'!$B$5:$B$5000="JCL AYANI"),ROWS($E$5:E936)),"")</f>
        <v/>
      </c>
      <c r="F936" s="5" t="n"/>
    </row>
    <row r="937">
      <c r="A937" s="10">
        <f>IF($E937="","",INDEX('Input Transaksi'!$A:$A,$E937))</f>
        <v/>
      </c>
      <c r="B937" s="5">
        <f>IF($E937="","",INDEX('Input Transaksi'!$D:$D,$E937))</f>
        <v/>
      </c>
      <c r="C937">
        <f>IF($E937="","",INDEX('Input Transaksi'!$E:$E,$E937))</f>
        <v/>
      </c>
      <c r="D937" s="5">
        <f>IF($E937="","",INDEX('Input Transaksi'!$F:$F,$E937))</f>
        <v/>
      </c>
      <c r="E937">
        <f>IFERROR(AGGREGATE(15,6,ROW('Input Transaksi'!$B$5:$B$5000)/('Input Transaksi'!$B$5:$B$5000="JCL AYANI"),ROWS($E$5:E937)),"")</f>
        <v/>
      </c>
      <c r="F937" s="5" t="n"/>
    </row>
    <row r="938">
      <c r="A938" s="10">
        <f>IF($E938="","",INDEX('Input Transaksi'!$A:$A,$E938))</f>
        <v/>
      </c>
      <c r="B938" s="5">
        <f>IF($E938="","",INDEX('Input Transaksi'!$D:$D,$E938))</f>
        <v/>
      </c>
      <c r="C938">
        <f>IF($E938="","",INDEX('Input Transaksi'!$E:$E,$E938))</f>
        <v/>
      </c>
      <c r="D938" s="5">
        <f>IF($E938="","",INDEX('Input Transaksi'!$F:$F,$E938))</f>
        <v/>
      </c>
      <c r="E938">
        <f>IFERROR(AGGREGATE(15,6,ROW('Input Transaksi'!$B$5:$B$5000)/('Input Transaksi'!$B$5:$B$5000="JCL AYANI"),ROWS($E$5:E938)),"")</f>
        <v/>
      </c>
      <c r="F938" s="5" t="n"/>
    </row>
    <row r="939">
      <c r="A939" s="10">
        <f>IF($E939="","",INDEX('Input Transaksi'!$A:$A,$E939))</f>
        <v/>
      </c>
      <c r="B939" s="5">
        <f>IF($E939="","",INDEX('Input Transaksi'!$D:$D,$E939))</f>
        <v/>
      </c>
      <c r="C939">
        <f>IF($E939="","",INDEX('Input Transaksi'!$E:$E,$E939))</f>
        <v/>
      </c>
      <c r="D939" s="5">
        <f>IF($E939="","",INDEX('Input Transaksi'!$F:$F,$E939))</f>
        <v/>
      </c>
      <c r="E939">
        <f>IFERROR(AGGREGATE(15,6,ROW('Input Transaksi'!$B$5:$B$5000)/('Input Transaksi'!$B$5:$B$5000="JCL AYANI"),ROWS($E$5:E939)),"")</f>
        <v/>
      </c>
      <c r="F939" s="5" t="n"/>
    </row>
    <row r="940">
      <c r="A940" s="10">
        <f>IF($E940="","",INDEX('Input Transaksi'!$A:$A,$E940))</f>
        <v/>
      </c>
      <c r="B940" s="5">
        <f>IF($E940="","",INDEX('Input Transaksi'!$D:$D,$E940))</f>
        <v/>
      </c>
      <c r="C940">
        <f>IF($E940="","",INDEX('Input Transaksi'!$E:$E,$E940))</f>
        <v/>
      </c>
      <c r="D940" s="5">
        <f>IF($E940="","",INDEX('Input Transaksi'!$F:$F,$E940))</f>
        <v/>
      </c>
      <c r="E940">
        <f>IFERROR(AGGREGATE(15,6,ROW('Input Transaksi'!$B$5:$B$5000)/('Input Transaksi'!$B$5:$B$5000="JCL AYANI"),ROWS($E$5:E940)),"")</f>
        <v/>
      </c>
      <c r="F940" s="5" t="n"/>
    </row>
    <row r="941">
      <c r="A941" s="10">
        <f>IF($E941="","",INDEX('Input Transaksi'!$A:$A,$E941))</f>
        <v/>
      </c>
      <c r="B941" s="5">
        <f>IF($E941="","",INDEX('Input Transaksi'!$D:$D,$E941))</f>
        <v/>
      </c>
      <c r="C941">
        <f>IF($E941="","",INDEX('Input Transaksi'!$E:$E,$E941))</f>
        <v/>
      </c>
      <c r="D941" s="5">
        <f>IF($E941="","",INDEX('Input Transaksi'!$F:$F,$E941))</f>
        <v/>
      </c>
      <c r="E941">
        <f>IFERROR(AGGREGATE(15,6,ROW('Input Transaksi'!$B$5:$B$5000)/('Input Transaksi'!$B$5:$B$5000="JCL AYANI"),ROWS($E$5:E941)),"")</f>
        <v/>
      </c>
      <c r="F941" s="5" t="n"/>
    </row>
    <row r="942">
      <c r="A942" s="10">
        <f>IF($E942="","",INDEX('Input Transaksi'!$A:$A,$E942))</f>
        <v/>
      </c>
      <c r="B942" s="5">
        <f>IF($E942="","",INDEX('Input Transaksi'!$D:$D,$E942))</f>
        <v/>
      </c>
      <c r="C942">
        <f>IF($E942="","",INDEX('Input Transaksi'!$E:$E,$E942))</f>
        <v/>
      </c>
      <c r="D942" s="5">
        <f>IF($E942="","",INDEX('Input Transaksi'!$F:$F,$E942))</f>
        <v/>
      </c>
      <c r="E942">
        <f>IFERROR(AGGREGATE(15,6,ROW('Input Transaksi'!$B$5:$B$5000)/('Input Transaksi'!$B$5:$B$5000="JCL AYANI"),ROWS($E$5:E942)),"")</f>
        <v/>
      </c>
      <c r="F942" s="5" t="n"/>
    </row>
    <row r="943">
      <c r="A943" s="10">
        <f>IF($E943="","",INDEX('Input Transaksi'!$A:$A,$E943))</f>
        <v/>
      </c>
      <c r="B943" s="5">
        <f>IF($E943="","",INDEX('Input Transaksi'!$D:$D,$E943))</f>
        <v/>
      </c>
      <c r="C943">
        <f>IF($E943="","",INDEX('Input Transaksi'!$E:$E,$E943))</f>
        <v/>
      </c>
      <c r="D943" s="5">
        <f>IF($E943="","",INDEX('Input Transaksi'!$F:$F,$E943))</f>
        <v/>
      </c>
      <c r="E943">
        <f>IFERROR(AGGREGATE(15,6,ROW('Input Transaksi'!$B$5:$B$5000)/('Input Transaksi'!$B$5:$B$5000="JCL AYANI"),ROWS($E$5:E943)),"")</f>
        <v/>
      </c>
      <c r="F943" s="5" t="n"/>
    </row>
    <row r="944">
      <c r="A944" s="10">
        <f>IF($E944="","",INDEX('Input Transaksi'!$A:$A,$E944))</f>
        <v/>
      </c>
      <c r="B944" s="5">
        <f>IF($E944="","",INDEX('Input Transaksi'!$D:$D,$E944))</f>
        <v/>
      </c>
      <c r="C944">
        <f>IF($E944="","",INDEX('Input Transaksi'!$E:$E,$E944))</f>
        <v/>
      </c>
      <c r="D944" s="5">
        <f>IF($E944="","",INDEX('Input Transaksi'!$F:$F,$E944))</f>
        <v/>
      </c>
      <c r="E944">
        <f>IFERROR(AGGREGATE(15,6,ROW('Input Transaksi'!$B$5:$B$5000)/('Input Transaksi'!$B$5:$B$5000="JCL AYANI"),ROWS($E$5:E944)),"")</f>
        <v/>
      </c>
      <c r="F944" s="5" t="n"/>
    </row>
    <row r="945">
      <c r="A945" s="10">
        <f>IF($E945="","",INDEX('Input Transaksi'!$A:$A,$E945))</f>
        <v/>
      </c>
      <c r="B945" s="5">
        <f>IF($E945="","",INDEX('Input Transaksi'!$D:$D,$E945))</f>
        <v/>
      </c>
      <c r="C945">
        <f>IF($E945="","",INDEX('Input Transaksi'!$E:$E,$E945))</f>
        <v/>
      </c>
      <c r="D945" s="5">
        <f>IF($E945="","",INDEX('Input Transaksi'!$F:$F,$E945))</f>
        <v/>
      </c>
      <c r="E945">
        <f>IFERROR(AGGREGATE(15,6,ROW('Input Transaksi'!$B$5:$B$5000)/('Input Transaksi'!$B$5:$B$5000="JCL AYANI"),ROWS($E$5:E945)),"")</f>
        <v/>
      </c>
      <c r="F945" s="5" t="n"/>
    </row>
    <row r="946">
      <c r="A946" s="10">
        <f>IF($E946="","",INDEX('Input Transaksi'!$A:$A,$E946))</f>
        <v/>
      </c>
      <c r="B946" s="5">
        <f>IF($E946="","",INDEX('Input Transaksi'!$D:$D,$E946))</f>
        <v/>
      </c>
      <c r="C946">
        <f>IF($E946="","",INDEX('Input Transaksi'!$E:$E,$E946))</f>
        <v/>
      </c>
      <c r="D946" s="5">
        <f>IF($E946="","",INDEX('Input Transaksi'!$F:$F,$E946))</f>
        <v/>
      </c>
      <c r="E946">
        <f>IFERROR(AGGREGATE(15,6,ROW('Input Transaksi'!$B$5:$B$5000)/('Input Transaksi'!$B$5:$B$5000="JCL AYANI"),ROWS($E$5:E946)),"")</f>
        <v/>
      </c>
      <c r="F946" s="5" t="n"/>
    </row>
    <row r="947">
      <c r="A947" s="10">
        <f>IF($E947="","",INDEX('Input Transaksi'!$A:$A,$E947))</f>
        <v/>
      </c>
      <c r="B947" s="5">
        <f>IF($E947="","",INDEX('Input Transaksi'!$D:$D,$E947))</f>
        <v/>
      </c>
      <c r="C947">
        <f>IF($E947="","",INDEX('Input Transaksi'!$E:$E,$E947))</f>
        <v/>
      </c>
      <c r="D947" s="5">
        <f>IF($E947="","",INDEX('Input Transaksi'!$F:$F,$E947))</f>
        <v/>
      </c>
      <c r="E947">
        <f>IFERROR(AGGREGATE(15,6,ROW('Input Transaksi'!$B$5:$B$5000)/('Input Transaksi'!$B$5:$B$5000="JCL AYANI"),ROWS($E$5:E947)),"")</f>
        <v/>
      </c>
      <c r="F947" s="5" t="n"/>
    </row>
    <row r="948">
      <c r="A948" s="10">
        <f>IF($E948="","",INDEX('Input Transaksi'!$A:$A,$E948))</f>
        <v/>
      </c>
      <c r="B948" s="5">
        <f>IF($E948="","",INDEX('Input Transaksi'!$D:$D,$E948))</f>
        <v/>
      </c>
      <c r="C948">
        <f>IF($E948="","",INDEX('Input Transaksi'!$E:$E,$E948))</f>
        <v/>
      </c>
      <c r="D948" s="5">
        <f>IF($E948="","",INDEX('Input Transaksi'!$F:$F,$E948))</f>
        <v/>
      </c>
      <c r="E948">
        <f>IFERROR(AGGREGATE(15,6,ROW('Input Transaksi'!$B$5:$B$5000)/('Input Transaksi'!$B$5:$B$5000="JCL AYANI"),ROWS($E$5:E948)),"")</f>
        <v/>
      </c>
      <c r="F948" s="5" t="n"/>
    </row>
    <row r="949">
      <c r="A949" s="10">
        <f>IF($E949="","",INDEX('Input Transaksi'!$A:$A,$E949))</f>
        <v/>
      </c>
      <c r="B949" s="5">
        <f>IF($E949="","",INDEX('Input Transaksi'!$D:$D,$E949))</f>
        <v/>
      </c>
      <c r="C949">
        <f>IF($E949="","",INDEX('Input Transaksi'!$E:$E,$E949))</f>
        <v/>
      </c>
      <c r="D949" s="5">
        <f>IF($E949="","",INDEX('Input Transaksi'!$F:$F,$E949))</f>
        <v/>
      </c>
      <c r="E949">
        <f>IFERROR(AGGREGATE(15,6,ROW('Input Transaksi'!$B$5:$B$5000)/('Input Transaksi'!$B$5:$B$5000="JCL AYANI"),ROWS($E$5:E949)),"")</f>
        <v/>
      </c>
      <c r="F949" s="5" t="n"/>
    </row>
    <row r="950">
      <c r="A950" s="10">
        <f>IF($E950="","",INDEX('Input Transaksi'!$A:$A,$E950))</f>
        <v/>
      </c>
      <c r="B950" s="5">
        <f>IF($E950="","",INDEX('Input Transaksi'!$D:$D,$E950))</f>
        <v/>
      </c>
      <c r="C950">
        <f>IF($E950="","",INDEX('Input Transaksi'!$E:$E,$E950))</f>
        <v/>
      </c>
      <c r="D950" s="5">
        <f>IF($E950="","",INDEX('Input Transaksi'!$F:$F,$E950))</f>
        <v/>
      </c>
      <c r="E950">
        <f>IFERROR(AGGREGATE(15,6,ROW('Input Transaksi'!$B$5:$B$5000)/('Input Transaksi'!$B$5:$B$5000="JCL AYANI"),ROWS($E$5:E950)),"")</f>
        <v/>
      </c>
      <c r="F950" s="5" t="n"/>
    </row>
    <row r="951">
      <c r="A951" s="10">
        <f>IF($E951="","",INDEX('Input Transaksi'!$A:$A,$E951))</f>
        <v/>
      </c>
      <c r="B951" s="5">
        <f>IF($E951="","",INDEX('Input Transaksi'!$D:$D,$E951))</f>
        <v/>
      </c>
      <c r="C951">
        <f>IF($E951="","",INDEX('Input Transaksi'!$E:$E,$E951))</f>
        <v/>
      </c>
      <c r="D951" s="5">
        <f>IF($E951="","",INDEX('Input Transaksi'!$F:$F,$E951))</f>
        <v/>
      </c>
      <c r="E951">
        <f>IFERROR(AGGREGATE(15,6,ROW('Input Transaksi'!$B$5:$B$5000)/('Input Transaksi'!$B$5:$B$5000="JCL AYANI"),ROWS($E$5:E951)),"")</f>
        <v/>
      </c>
      <c r="F951" s="5" t="n"/>
    </row>
    <row r="952">
      <c r="A952" s="10">
        <f>IF($E952="","",INDEX('Input Transaksi'!$A:$A,$E952))</f>
        <v/>
      </c>
      <c r="B952" s="5">
        <f>IF($E952="","",INDEX('Input Transaksi'!$D:$D,$E952))</f>
        <v/>
      </c>
      <c r="C952">
        <f>IF($E952="","",INDEX('Input Transaksi'!$E:$E,$E952))</f>
        <v/>
      </c>
      <c r="D952" s="5">
        <f>IF($E952="","",INDEX('Input Transaksi'!$F:$F,$E952))</f>
        <v/>
      </c>
      <c r="E952">
        <f>IFERROR(AGGREGATE(15,6,ROW('Input Transaksi'!$B$5:$B$5000)/('Input Transaksi'!$B$5:$B$5000="JCL AYANI"),ROWS($E$5:E952)),"")</f>
        <v/>
      </c>
      <c r="F952" s="5" t="n"/>
    </row>
    <row r="953">
      <c r="A953" s="10">
        <f>IF($E953="","",INDEX('Input Transaksi'!$A:$A,$E953))</f>
        <v/>
      </c>
      <c r="B953" s="5">
        <f>IF($E953="","",INDEX('Input Transaksi'!$D:$D,$E953))</f>
        <v/>
      </c>
      <c r="C953">
        <f>IF($E953="","",INDEX('Input Transaksi'!$E:$E,$E953))</f>
        <v/>
      </c>
      <c r="D953" s="5">
        <f>IF($E953="","",INDEX('Input Transaksi'!$F:$F,$E953))</f>
        <v/>
      </c>
      <c r="E953">
        <f>IFERROR(AGGREGATE(15,6,ROW('Input Transaksi'!$B$5:$B$5000)/('Input Transaksi'!$B$5:$B$5000="JCL AYANI"),ROWS($E$5:E953)),"")</f>
        <v/>
      </c>
      <c r="F953" s="5" t="n"/>
    </row>
    <row r="954">
      <c r="A954" s="10">
        <f>IF($E954="","",INDEX('Input Transaksi'!$A:$A,$E954))</f>
        <v/>
      </c>
      <c r="B954" s="5">
        <f>IF($E954="","",INDEX('Input Transaksi'!$D:$D,$E954))</f>
        <v/>
      </c>
      <c r="C954">
        <f>IF($E954="","",INDEX('Input Transaksi'!$E:$E,$E954))</f>
        <v/>
      </c>
      <c r="D954" s="5">
        <f>IF($E954="","",INDEX('Input Transaksi'!$F:$F,$E954))</f>
        <v/>
      </c>
      <c r="E954">
        <f>IFERROR(AGGREGATE(15,6,ROW('Input Transaksi'!$B$5:$B$5000)/('Input Transaksi'!$B$5:$B$5000="JCL AYANI"),ROWS($E$5:E954)),"")</f>
        <v/>
      </c>
      <c r="F954" s="5" t="n"/>
    </row>
    <row r="955">
      <c r="A955" s="10">
        <f>IF($E955="","",INDEX('Input Transaksi'!$A:$A,$E955))</f>
        <v/>
      </c>
      <c r="B955" s="5">
        <f>IF($E955="","",INDEX('Input Transaksi'!$D:$D,$E955))</f>
        <v/>
      </c>
      <c r="C955">
        <f>IF($E955="","",INDEX('Input Transaksi'!$E:$E,$E955))</f>
        <v/>
      </c>
      <c r="D955" s="5">
        <f>IF($E955="","",INDEX('Input Transaksi'!$F:$F,$E955))</f>
        <v/>
      </c>
      <c r="E955">
        <f>IFERROR(AGGREGATE(15,6,ROW('Input Transaksi'!$B$5:$B$5000)/('Input Transaksi'!$B$5:$B$5000="JCL AYANI"),ROWS($E$5:E955)),"")</f>
        <v/>
      </c>
      <c r="F955" s="5" t="n"/>
    </row>
    <row r="956">
      <c r="A956" s="10">
        <f>IF($E956="","",INDEX('Input Transaksi'!$A:$A,$E956))</f>
        <v/>
      </c>
      <c r="B956" s="5">
        <f>IF($E956="","",INDEX('Input Transaksi'!$D:$D,$E956))</f>
        <v/>
      </c>
      <c r="C956">
        <f>IF($E956="","",INDEX('Input Transaksi'!$E:$E,$E956))</f>
        <v/>
      </c>
      <c r="D956" s="5">
        <f>IF($E956="","",INDEX('Input Transaksi'!$F:$F,$E956))</f>
        <v/>
      </c>
      <c r="E956">
        <f>IFERROR(AGGREGATE(15,6,ROW('Input Transaksi'!$B$5:$B$5000)/('Input Transaksi'!$B$5:$B$5000="JCL AYANI"),ROWS($E$5:E956)),"")</f>
        <v/>
      </c>
      <c r="F956" s="5" t="n"/>
    </row>
    <row r="957">
      <c r="A957" s="10">
        <f>IF($E957="","",INDEX('Input Transaksi'!$A:$A,$E957))</f>
        <v/>
      </c>
      <c r="B957" s="5">
        <f>IF($E957="","",INDEX('Input Transaksi'!$D:$D,$E957))</f>
        <v/>
      </c>
      <c r="C957">
        <f>IF($E957="","",INDEX('Input Transaksi'!$E:$E,$E957))</f>
        <v/>
      </c>
      <c r="D957" s="5">
        <f>IF($E957="","",INDEX('Input Transaksi'!$F:$F,$E957))</f>
        <v/>
      </c>
      <c r="E957">
        <f>IFERROR(AGGREGATE(15,6,ROW('Input Transaksi'!$B$5:$B$5000)/('Input Transaksi'!$B$5:$B$5000="JCL AYANI"),ROWS($E$5:E957)),"")</f>
        <v/>
      </c>
      <c r="F957" s="5" t="n"/>
    </row>
    <row r="958">
      <c r="A958" s="10">
        <f>IF($E958="","",INDEX('Input Transaksi'!$A:$A,$E958))</f>
        <v/>
      </c>
      <c r="B958" s="5">
        <f>IF($E958="","",INDEX('Input Transaksi'!$D:$D,$E958))</f>
        <v/>
      </c>
      <c r="C958">
        <f>IF($E958="","",INDEX('Input Transaksi'!$E:$E,$E958))</f>
        <v/>
      </c>
      <c r="D958" s="5">
        <f>IF($E958="","",INDEX('Input Transaksi'!$F:$F,$E958))</f>
        <v/>
      </c>
      <c r="E958">
        <f>IFERROR(AGGREGATE(15,6,ROW('Input Transaksi'!$B$5:$B$5000)/('Input Transaksi'!$B$5:$B$5000="JCL AYANI"),ROWS($E$5:E958)),"")</f>
        <v/>
      </c>
      <c r="F958" s="5" t="n"/>
    </row>
    <row r="959">
      <c r="A959" s="10">
        <f>IF($E959="","",INDEX('Input Transaksi'!$A:$A,$E959))</f>
        <v/>
      </c>
      <c r="B959" s="5">
        <f>IF($E959="","",INDEX('Input Transaksi'!$D:$D,$E959))</f>
        <v/>
      </c>
      <c r="C959">
        <f>IF($E959="","",INDEX('Input Transaksi'!$E:$E,$E959))</f>
        <v/>
      </c>
      <c r="D959" s="5">
        <f>IF($E959="","",INDEX('Input Transaksi'!$F:$F,$E959))</f>
        <v/>
      </c>
      <c r="E959">
        <f>IFERROR(AGGREGATE(15,6,ROW('Input Transaksi'!$B$5:$B$5000)/('Input Transaksi'!$B$5:$B$5000="JCL AYANI"),ROWS($E$5:E959)),"")</f>
        <v/>
      </c>
      <c r="F959" s="5" t="n"/>
    </row>
    <row r="960">
      <c r="A960" s="10">
        <f>IF($E960="","",INDEX('Input Transaksi'!$A:$A,$E960))</f>
        <v/>
      </c>
      <c r="B960" s="5">
        <f>IF($E960="","",INDEX('Input Transaksi'!$D:$D,$E960))</f>
        <v/>
      </c>
      <c r="C960">
        <f>IF($E960="","",INDEX('Input Transaksi'!$E:$E,$E960))</f>
        <v/>
      </c>
      <c r="D960" s="5">
        <f>IF($E960="","",INDEX('Input Transaksi'!$F:$F,$E960))</f>
        <v/>
      </c>
      <c r="E960">
        <f>IFERROR(AGGREGATE(15,6,ROW('Input Transaksi'!$B$5:$B$5000)/('Input Transaksi'!$B$5:$B$5000="JCL AYANI"),ROWS($E$5:E960)),"")</f>
        <v/>
      </c>
      <c r="F960" s="5" t="n"/>
    </row>
    <row r="961">
      <c r="A961" s="10">
        <f>IF($E961="","",INDEX('Input Transaksi'!$A:$A,$E961))</f>
        <v/>
      </c>
      <c r="B961" s="5">
        <f>IF($E961="","",INDEX('Input Transaksi'!$D:$D,$E961))</f>
        <v/>
      </c>
      <c r="C961">
        <f>IF($E961="","",INDEX('Input Transaksi'!$E:$E,$E961))</f>
        <v/>
      </c>
      <c r="D961" s="5">
        <f>IF($E961="","",INDEX('Input Transaksi'!$F:$F,$E961))</f>
        <v/>
      </c>
      <c r="E961">
        <f>IFERROR(AGGREGATE(15,6,ROW('Input Transaksi'!$B$5:$B$5000)/('Input Transaksi'!$B$5:$B$5000="JCL AYANI"),ROWS($E$5:E961)),"")</f>
        <v/>
      </c>
      <c r="F961" s="5" t="n"/>
    </row>
    <row r="962">
      <c r="A962" s="10">
        <f>IF($E962="","",INDEX('Input Transaksi'!$A:$A,$E962))</f>
        <v/>
      </c>
      <c r="B962" s="5">
        <f>IF($E962="","",INDEX('Input Transaksi'!$D:$D,$E962))</f>
        <v/>
      </c>
      <c r="C962">
        <f>IF($E962="","",INDEX('Input Transaksi'!$E:$E,$E962))</f>
        <v/>
      </c>
      <c r="D962" s="5">
        <f>IF($E962="","",INDEX('Input Transaksi'!$F:$F,$E962))</f>
        <v/>
      </c>
      <c r="E962">
        <f>IFERROR(AGGREGATE(15,6,ROW('Input Transaksi'!$B$5:$B$5000)/('Input Transaksi'!$B$5:$B$5000="JCL AYANI"),ROWS($E$5:E962)),"")</f>
        <v/>
      </c>
      <c r="F962" s="5" t="n"/>
    </row>
    <row r="963">
      <c r="A963" s="10">
        <f>IF($E963="","",INDEX('Input Transaksi'!$A:$A,$E963))</f>
        <v/>
      </c>
      <c r="B963" s="5">
        <f>IF($E963="","",INDEX('Input Transaksi'!$D:$D,$E963))</f>
        <v/>
      </c>
      <c r="C963">
        <f>IF($E963="","",INDEX('Input Transaksi'!$E:$E,$E963))</f>
        <v/>
      </c>
      <c r="D963" s="5">
        <f>IF($E963="","",INDEX('Input Transaksi'!$F:$F,$E963))</f>
        <v/>
      </c>
      <c r="E963">
        <f>IFERROR(AGGREGATE(15,6,ROW('Input Transaksi'!$B$5:$B$5000)/('Input Transaksi'!$B$5:$B$5000="JCL AYANI"),ROWS($E$5:E963)),"")</f>
        <v/>
      </c>
      <c r="F963" s="5" t="n"/>
    </row>
    <row r="964">
      <c r="A964" s="10">
        <f>IF($E964="","",INDEX('Input Transaksi'!$A:$A,$E964))</f>
        <v/>
      </c>
      <c r="B964" s="5">
        <f>IF($E964="","",INDEX('Input Transaksi'!$D:$D,$E964))</f>
        <v/>
      </c>
      <c r="C964">
        <f>IF($E964="","",INDEX('Input Transaksi'!$E:$E,$E964))</f>
        <v/>
      </c>
      <c r="D964" s="5">
        <f>IF($E964="","",INDEX('Input Transaksi'!$F:$F,$E964))</f>
        <v/>
      </c>
      <c r="E964">
        <f>IFERROR(AGGREGATE(15,6,ROW('Input Transaksi'!$B$5:$B$5000)/('Input Transaksi'!$B$5:$B$5000="JCL AYANI"),ROWS($E$5:E964)),"")</f>
        <v/>
      </c>
      <c r="F964" s="5" t="n"/>
    </row>
    <row r="965">
      <c r="A965" s="10">
        <f>IF($E965="","",INDEX('Input Transaksi'!$A:$A,$E965))</f>
        <v/>
      </c>
      <c r="B965" s="5">
        <f>IF($E965="","",INDEX('Input Transaksi'!$D:$D,$E965))</f>
        <v/>
      </c>
      <c r="C965">
        <f>IF($E965="","",INDEX('Input Transaksi'!$E:$E,$E965))</f>
        <v/>
      </c>
      <c r="D965" s="5">
        <f>IF($E965="","",INDEX('Input Transaksi'!$F:$F,$E965))</f>
        <v/>
      </c>
      <c r="E965">
        <f>IFERROR(AGGREGATE(15,6,ROW('Input Transaksi'!$B$5:$B$5000)/('Input Transaksi'!$B$5:$B$5000="JCL AYANI"),ROWS($E$5:E965)),"")</f>
        <v/>
      </c>
      <c r="F965" s="5" t="n"/>
    </row>
    <row r="966">
      <c r="A966" s="10">
        <f>IF($E966="","",INDEX('Input Transaksi'!$A:$A,$E966))</f>
        <v/>
      </c>
      <c r="B966" s="5">
        <f>IF($E966="","",INDEX('Input Transaksi'!$D:$D,$E966))</f>
        <v/>
      </c>
      <c r="C966">
        <f>IF($E966="","",INDEX('Input Transaksi'!$E:$E,$E966))</f>
        <v/>
      </c>
      <c r="D966" s="5">
        <f>IF($E966="","",INDEX('Input Transaksi'!$F:$F,$E966))</f>
        <v/>
      </c>
      <c r="E966">
        <f>IFERROR(AGGREGATE(15,6,ROW('Input Transaksi'!$B$5:$B$5000)/('Input Transaksi'!$B$5:$B$5000="JCL AYANI"),ROWS($E$5:E966)),"")</f>
        <v/>
      </c>
      <c r="F966" s="5" t="n"/>
    </row>
    <row r="967">
      <c r="A967" s="10">
        <f>IF($E967="","",INDEX('Input Transaksi'!$A:$A,$E967))</f>
        <v/>
      </c>
      <c r="B967" s="5">
        <f>IF($E967="","",INDEX('Input Transaksi'!$D:$D,$E967))</f>
        <v/>
      </c>
      <c r="C967">
        <f>IF($E967="","",INDEX('Input Transaksi'!$E:$E,$E967))</f>
        <v/>
      </c>
      <c r="D967" s="5">
        <f>IF($E967="","",INDEX('Input Transaksi'!$F:$F,$E967))</f>
        <v/>
      </c>
      <c r="E967">
        <f>IFERROR(AGGREGATE(15,6,ROW('Input Transaksi'!$B$5:$B$5000)/('Input Transaksi'!$B$5:$B$5000="JCL AYANI"),ROWS($E$5:E967)),"")</f>
        <v/>
      </c>
      <c r="F967" s="5" t="n"/>
    </row>
    <row r="968">
      <c r="A968" s="10">
        <f>IF($E968="","",INDEX('Input Transaksi'!$A:$A,$E968))</f>
        <v/>
      </c>
      <c r="B968" s="5">
        <f>IF($E968="","",INDEX('Input Transaksi'!$D:$D,$E968))</f>
        <v/>
      </c>
      <c r="C968">
        <f>IF($E968="","",INDEX('Input Transaksi'!$E:$E,$E968))</f>
        <v/>
      </c>
      <c r="D968" s="5">
        <f>IF($E968="","",INDEX('Input Transaksi'!$F:$F,$E968))</f>
        <v/>
      </c>
      <c r="E968">
        <f>IFERROR(AGGREGATE(15,6,ROW('Input Transaksi'!$B$5:$B$5000)/('Input Transaksi'!$B$5:$B$5000="JCL AYANI"),ROWS($E$5:E968)),"")</f>
        <v/>
      </c>
      <c r="F968" s="5" t="n"/>
    </row>
    <row r="969">
      <c r="A969" s="10">
        <f>IF($E969="","",INDEX('Input Transaksi'!$A:$A,$E969))</f>
        <v/>
      </c>
      <c r="B969" s="5">
        <f>IF($E969="","",INDEX('Input Transaksi'!$D:$D,$E969))</f>
        <v/>
      </c>
      <c r="C969">
        <f>IF($E969="","",INDEX('Input Transaksi'!$E:$E,$E969))</f>
        <v/>
      </c>
      <c r="D969" s="5">
        <f>IF($E969="","",INDEX('Input Transaksi'!$F:$F,$E969))</f>
        <v/>
      </c>
      <c r="E969">
        <f>IFERROR(AGGREGATE(15,6,ROW('Input Transaksi'!$B$5:$B$5000)/('Input Transaksi'!$B$5:$B$5000="JCL AYANI"),ROWS($E$5:E969)),"")</f>
        <v/>
      </c>
      <c r="F969" s="5" t="n"/>
    </row>
    <row r="970">
      <c r="A970" s="10">
        <f>IF($E970="","",INDEX('Input Transaksi'!$A:$A,$E970))</f>
        <v/>
      </c>
      <c r="B970" s="5">
        <f>IF($E970="","",INDEX('Input Transaksi'!$D:$D,$E970))</f>
        <v/>
      </c>
      <c r="C970">
        <f>IF($E970="","",INDEX('Input Transaksi'!$E:$E,$E970))</f>
        <v/>
      </c>
      <c r="D970" s="5">
        <f>IF($E970="","",INDEX('Input Transaksi'!$F:$F,$E970))</f>
        <v/>
      </c>
      <c r="E970">
        <f>IFERROR(AGGREGATE(15,6,ROW('Input Transaksi'!$B$5:$B$5000)/('Input Transaksi'!$B$5:$B$5000="JCL AYANI"),ROWS($E$5:E970)),"")</f>
        <v/>
      </c>
      <c r="F970" s="5" t="n"/>
    </row>
    <row r="971">
      <c r="A971" s="10">
        <f>IF($E971="","",INDEX('Input Transaksi'!$A:$A,$E971))</f>
        <v/>
      </c>
      <c r="B971" s="5">
        <f>IF($E971="","",INDEX('Input Transaksi'!$D:$D,$E971))</f>
        <v/>
      </c>
      <c r="C971">
        <f>IF($E971="","",INDEX('Input Transaksi'!$E:$E,$E971))</f>
        <v/>
      </c>
      <c r="D971" s="5">
        <f>IF($E971="","",INDEX('Input Transaksi'!$F:$F,$E971))</f>
        <v/>
      </c>
      <c r="E971">
        <f>IFERROR(AGGREGATE(15,6,ROW('Input Transaksi'!$B$5:$B$5000)/('Input Transaksi'!$B$5:$B$5000="JCL AYANI"),ROWS($E$5:E971)),"")</f>
        <v/>
      </c>
      <c r="F971" s="5" t="n"/>
    </row>
    <row r="972">
      <c r="A972" s="10">
        <f>IF($E972="","",INDEX('Input Transaksi'!$A:$A,$E972))</f>
        <v/>
      </c>
      <c r="B972" s="5">
        <f>IF($E972="","",INDEX('Input Transaksi'!$D:$D,$E972))</f>
        <v/>
      </c>
      <c r="C972">
        <f>IF($E972="","",INDEX('Input Transaksi'!$E:$E,$E972))</f>
        <v/>
      </c>
      <c r="D972" s="5">
        <f>IF($E972="","",INDEX('Input Transaksi'!$F:$F,$E972))</f>
        <v/>
      </c>
      <c r="E972">
        <f>IFERROR(AGGREGATE(15,6,ROW('Input Transaksi'!$B$5:$B$5000)/('Input Transaksi'!$B$5:$B$5000="JCL AYANI"),ROWS($E$5:E972)),"")</f>
        <v/>
      </c>
      <c r="F972" s="5" t="n"/>
    </row>
    <row r="973">
      <c r="A973" s="10">
        <f>IF($E973="","",INDEX('Input Transaksi'!$A:$A,$E973))</f>
        <v/>
      </c>
      <c r="B973" s="5">
        <f>IF($E973="","",INDEX('Input Transaksi'!$D:$D,$E973))</f>
        <v/>
      </c>
      <c r="C973">
        <f>IF($E973="","",INDEX('Input Transaksi'!$E:$E,$E973))</f>
        <v/>
      </c>
      <c r="D973" s="5">
        <f>IF($E973="","",INDEX('Input Transaksi'!$F:$F,$E973))</f>
        <v/>
      </c>
      <c r="E973">
        <f>IFERROR(AGGREGATE(15,6,ROW('Input Transaksi'!$B$5:$B$5000)/('Input Transaksi'!$B$5:$B$5000="JCL AYANI"),ROWS($E$5:E973)),"")</f>
        <v/>
      </c>
      <c r="F973" s="5" t="n"/>
    </row>
    <row r="974">
      <c r="A974" s="10">
        <f>IF($E974="","",INDEX('Input Transaksi'!$A:$A,$E974))</f>
        <v/>
      </c>
      <c r="B974" s="5">
        <f>IF($E974="","",INDEX('Input Transaksi'!$D:$D,$E974))</f>
        <v/>
      </c>
      <c r="C974">
        <f>IF($E974="","",INDEX('Input Transaksi'!$E:$E,$E974))</f>
        <v/>
      </c>
      <c r="D974" s="5">
        <f>IF($E974="","",INDEX('Input Transaksi'!$F:$F,$E974))</f>
        <v/>
      </c>
      <c r="E974">
        <f>IFERROR(AGGREGATE(15,6,ROW('Input Transaksi'!$B$5:$B$5000)/('Input Transaksi'!$B$5:$B$5000="JCL AYANI"),ROWS($E$5:E974)),"")</f>
        <v/>
      </c>
      <c r="F974" s="5" t="n"/>
    </row>
    <row r="975">
      <c r="A975" s="10">
        <f>IF($E975="","",INDEX('Input Transaksi'!$A:$A,$E975))</f>
        <v/>
      </c>
      <c r="B975" s="5">
        <f>IF($E975="","",INDEX('Input Transaksi'!$D:$D,$E975))</f>
        <v/>
      </c>
      <c r="C975">
        <f>IF($E975="","",INDEX('Input Transaksi'!$E:$E,$E975))</f>
        <v/>
      </c>
      <c r="D975" s="5">
        <f>IF($E975="","",INDEX('Input Transaksi'!$F:$F,$E975))</f>
        <v/>
      </c>
      <c r="E975">
        <f>IFERROR(AGGREGATE(15,6,ROW('Input Transaksi'!$B$5:$B$5000)/('Input Transaksi'!$B$5:$B$5000="JCL AYANI"),ROWS($E$5:E975)),"")</f>
        <v/>
      </c>
      <c r="F975" s="5" t="n"/>
    </row>
    <row r="976">
      <c r="A976" s="10">
        <f>IF($E976="","",INDEX('Input Transaksi'!$A:$A,$E976))</f>
        <v/>
      </c>
      <c r="B976" s="5">
        <f>IF($E976="","",INDEX('Input Transaksi'!$D:$D,$E976))</f>
        <v/>
      </c>
      <c r="C976">
        <f>IF($E976="","",INDEX('Input Transaksi'!$E:$E,$E976))</f>
        <v/>
      </c>
      <c r="D976" s="5">
        <f>IF($E976="","",INDEX('Input Transaksi'!$F:$F,$E976))</f>
        <v/>
      </c>
      <c r="E976">
        <f>IFERROR(AGGREGATE(15,6,ROW('Input Transaksi'!$B$5:$B$5000)/('Input Transaksi'!$B$5:$B$5000="JCL AYANI"),ROWS($E$5:E976)),"")</f>
        <v/>
      </c>
      <c r="F976" s="5" t="n"/>
    </row>
    <row r="977">
      <c r="A977" s="10">
        <f>IF($E977="","",INDEX('Input Transaksi'!$A:$A,$E977))</f>
        <v/>
      </c>
      <c r="B977" s="5">
        <f>IF($E977="","",INDEX('Input Transaksi'!$D:$D,$E977))</f>
        <v/>
      </c>
      <c r="C977">
        <f>IF($E977="","",INDEX('Input Transaksi'!$E:$E,$E977))</f>
        <v/>
      </c>
      <c r="D977" s="5">
        <f>IF($E977="","",INDEX('Input Transaksi'!$F:$F,$E977))</f>
        <v/>
      </c>
      <c r="E977">
        <f>IFERROR(AGGREGATE(15,6,ROW('Input Transaksi'!$B$5:$B$5000)/('Input Transaksi'!$B$5:$B$5000="JCL AYANI"),ROWS($E$5:E977)),"")</f>
        <v/>
      </c>
      <c r="F977" s="5" t="n"/>
    </row>
    <row r="978">
      <c r="A978" s="10">
        <f>IF($E978="","",INDEX('Input Transaksi'!$A:$A,$E978))</f>
        <v/>
      </c>
      <c r="B978" s="5">
        <f>IF($E978="","",INDEX('Input Transaksi'!$D:$D,$E978))</f>
        <v/>
      </c>
      <c r="C978">
        <f>IF($E978="","",INDEX('Input Transaksi'!$E:$E,$E978))</f>
        <v/>
      </c>
      <c r="D978" s="5">
        <f>IF($E978="","",INDEX('Input Transaksi'!$F:$F,$E978))</f>
        <v/>
      </c>
      <c r="E978">
        <f>IFERROR(AGGREGATE(15,6,ROW('Input Transaksi'!$B$5:$B$5000)/('Input Transaksi'!$B$5:$B$5000="JCL AYANI"),ROWS($E$5:E978)),"")</f>
        <v/>
      </c>
      <c r="F978" s="5" t="n"/>
    </row>
    <row r="979">
      <c r="A979" s="10">
        <f>IF($E979="","",INDEX('Input Transaksi'!$A:$A,$E979))</f>
        <v/>
      </c>
      <c r="B979" s="5">
        <f>IF($E979="","",INDEX('Input Transaksi'!$D:$D,$E979))</f>
        <v/>
      </c>
      <c r="C979">
        <f>IF($E979="","",INDEX('Input Transaksi'!$E:$E,$E979))</f>
        <v/>
      </c>
      <c r="D979" s="5">
        <f>IF($E979="","",INDEX('Input Transaksi'!$F:$F,$E979))</f>
        <v/>
      </c>
      <c r="E979">
        <f>IFERROR(AGGREGATE(15,6,ROW('Input Transaksi'!$B$5:$B$5000)/('Input Transaksi'!$B$5:$B$5000="JCL AYANI"),ROWS($E$5:E979)),"")</f>
        <v/>
      </c>
      <c r="F979" s="5" t="n"/>
    </row>
    <row r="980">
      <c r="A980" s="10">
        <f>IF($E980="","",INDEX('Input Transaksi'!$A:$A,$E980))</f>
        <v/>
      </c>
      <c r="B980" s="5">
        <f>IF($E980="","",INDEX('Input Transaksi'!$D:$D,$E980))</f>
        <v/>
      </c>
      <c r="C980">
        <f>IF($E980="","",INDEX('Input Transaksi'!$E:$E,$E980))</f>
        <v/>
      </c>
      <c r="D980" s="5">
        <f>IF($E980="","",INDEX('Input Transaksi'!$F:$F,$E980))</f>
        <v/>
      </c>
      <c r="E980">
        <f>IFERROR(AGGREGATE(15,6,ROW('Input Transaksi'!$B$5:$B$5000)/('Input Transaksi'!$B$5:$B$5000="JCL AYANI"),ROWS($E$5:E980)),"")</f>
        <v/>
      </c>
      <c r="F980" s="5" t="n"/>
    </row>
    <row r="981">
      <c r="A981" s="10">
        <f>IF($E981="","",INDEX('Input Transaksi'!$A:$A,$E981))</f>
        <v/>
      </c>
      <c r="B981" s="5">
        <f>IF($E981="","",INDEX('Input Transaksi'!$D:$D,$E981))</f>
        <v/>
      </c>
      <c r="C981">
        <f>IF($E981="","",INDEX('Input Transaksi'!$E:$E,$E981))</f>
        <v/>
      </c>
      <c r="D981" s="5">
        <f>IF($E981="","",INDEX('Input Transaksi'!$F:$F,$E981))</f>
        <v/>
      </c>
      <c r="E981">
        <f>IFERROR(AGGREGATE(15,6,ROW('Input Transaksi'!$B$5:$B$5000)/('Input Transaksi'!$B$5:$B$5000="JCL AYANI"),ROWS($E$5:E981)),"")</f>
        <v/>
      </c>
      <c r="F981" s="5" t="n"/>
    </row>
    <row r="982">
      <c r="A982" s="10">
        <f>IF($E982="","",INDEX('Input Transaksi'!$A:$A,$E982))</f>
        <v/>
      </c>
      <c r="B982" s="5">
        <f>IF($E982="","",INDEX('Input Transaksi'!$D:$D,$E982))</f>
        <v/>
      </c>
      <c r="C982">
        <f>IF($E982="","",INDEX('Input Transaksi'!$E:$E,$E982))</f>
        <v/>
      </c>
      <c r="D982" s="5">
        <f>IF($E982="","",INDEX('Input Transaksi'!$F:$F,$E982))</f>
        <v/>
      </c>
      <c r="E982">
        <f>IFERROR(AGGREGATE(15,6,ROW('Input Transaksi'!$B$5:$B$5000)/('Input Transaksi'!$B$5:$B$5000="JCL AYANI"),ROWS($E$5:E982)),"")</f>
        <v/>
      </c>
      <c r="F982" s="5" t="n"/>
    </row>
    <row r="983">
      <c r="A983" s="10">
        <f>IF($E983="","",INDEX('Input Transaksi'!$A:$A,$E983))</f>
        <v/>
      </c>
      <c r="B983" s="5">
        <f>IF($E983="","",INDEX('Input Transaksi'!$D:$D,$E983))</f>
        <v/>
      </c>
      <c r="C983">
        <f>IF($E983="","",INDEX('Input Transaksi'!$E:$E,$E983))</f>
        <v/>
      </c>
      <c r="D983" s="5">
        <f>IF($E983="","",INDEX('Input Transaksi'!$F:$F,$E983))</f>
        <v/>
      </c>
      <c r="E983">
        <f>IFERROR(AGGREGATE(15,6,ROW('Input Transaksi'!$B$5:$B$5000)/('Input Transaksi'!$B$5:$B$5000="JCL AYANI"),ROWS($E$5:E983)),"")</f>
        <v/>
      </c>
      <c r="F983" s="5" t="n"/>
    </row>
    <row r="984">
      <c r="A984" s="10">
        <f>IF($E984="","",INDEX('Input Transaksi'!$A:$A,$E984))</f>
        <v/>
      </c>
      <c r="B984" s="5">
        <f>IF($E984="","",INDEX('Input Transaksi'!$D:$D,$E984))</f>
        <v/>
      </c>
      <c r="C984">
        <f>IF($E984="","",INDEX('Input Transaksi'!$E:$E,$E984))</f>
        <v/>
      </c>
      <c r="D984" s="5">
        <f>IF($E984="","",INDEX('Input Transaksi'!$F:$F,$E984))</f>
        <v/>
      </c>
      <c r="E984">
        <f>IFERROR(AGGREGATE(15,6,ROW('Input Transaksi'!$B$5:$B$5000)/('Input Transaksi'!$B$5:$B$5000="JCL AYANI"),ROWS($E$5:E984)),"")</f>
        <v/>
      </c>
      <c r="F984" s="5" t="n"/>
    </row>
    <row r="985">
      <c r="A985" s="10">
        <f>IF($E985="","",INDEX('Input Transaksi'!$A:$A,$E985))</f>
        <v/>
      </c>
      <c r="B985" s="5">
        <f>IF($E985="","",INDEX('Input Transaksi'!$D:$D,$E985))</f>
        <v/>
      </c>
      <c r="C985">
        <f>IF($E985="","",INDEX('Input Transaksi'!$E:$E,$E985))</f>
        <v/>
      </c>
      <c r="D985" s="5">
        <f>IF($E985="","",INDEX('Input Transaksi'!$F:$F,$E985))</f>
        <v/>
      </c>
      <c r="E985">
        <f>IFERROR(AGGREGATE(15,6,ROW('Input Transaksi'!$B$5:$B$5000)/('Input Transaksi'!$B$5:$B$5000="JCL AYANI"),ROWS($E$5:E985)),"")</f>
        <v/>
      </c>
      <c r="F985" s="5" t="n"/>
    </row>
    <row r="986">
      <c r="A986" s="10">
        <f>IF($E986="","",INDEX('Input Transaksi'!$A:$A,$E986))</f>
        <v/>
      </c>
      <c r="B986" s="5">
        <f>IF($E986="","",INDEX('Input Transaksi'!$D:$D,$E986))</f>
        <v/>
      </c>
      <c r="C986">
        <f>IF($E986="","",INDEX('Input Transaksi'!$E:$E,$E986))</f>
        <v/>
      </c>
      <c r="D986" s="5">
        <f>IF($E986="","",INDEX('Input Transaksi'!$F:$F,$E986))</f>
        <v/>
      </c>
      <c r="E986">
        <f>IFERROR(AGGREGATE(15,6,ROW('Input Transaksi'!$B$5:$B$5000)/('Input Transaksi'!$B$5:$B$5000="JCL AYANI"),ROWS($E$5:E986)),"")</f>
        <v/>
      </c>
      <c r="F986" s="5" t="n"/>
    </row>
    <row r="987">
      <c r="A987" s="10">
        <f>IF($E987="","",INDEX('Input Transaksi'!$A:$A,$E987))</f>
        <v/>
      </c>
      <c r="B987" s="5">
        <f>IF($E987="","",INDEX('Input Transaksi'!$D:$D,$E987))</f>
        <v/>
      </c>
      <c r="C987">
        <f>IF($E987="","",INDEX('Input Transaksi'!$E:$E,$E987))</f>
        <v/>
      </c>
      <c r="D987" s="5">
        <f>IF($E987="","",INDEX('Input Transaksi'!$F:$F,$E987))</f>
        <v/>
      </c>
      <c r="E987">
        <f>IFERROR(AGGREGATE(15,6,ROW('Input Transaksi'!$B$5:$B$5000)/('Input Transaksi'!$B$5:$B$5000="JCL AYANI"),ROWS($E$5:E987)),"")</f>
        <v/>
      </c>
      <c r="F987" s="5" t="n"/>
    </row>
    <row r="988">
      <c r="A988" s="10">
        <f>IF($E988="","",INDEX('Input Transaksi'!$A:$A,$E988))</f>
        <v/>
      </c>
      <c r="B988" s="5">
        <f>IF($E988="","",INDEX('Input Transaksi'!$D:$D,$E988))</f>
        <v/>
      </c>
      <c r="C988">
        <f>IF($E988="","",INDEX('Input Transaksi'!$E:$E,$E988))</f>
        <v/>
      </c>
      <c r="D988" s="5">
        <f>IF($E988="","",INDEX('Input Transaksi'!$F:$F,$E988))</f>
        <v/>
      </c>
      <c r="E988">
        <f>IFERROR(AGGREGATE(15,6,ROW('Input Transaksi'!$B$5:$B$5000)/('Input Transaksi'!$B$5:$B$5000="JCL AYANI"),ROWS($E$5:E988)),"")</f>
        <v/>
      </c>
      <c r="F988" s="5" t="n"/>
    </row>
    <row r="989">
      <c r="A989" s="10">
        <f>IF($E989="","",INDEX('Input Transaksi'!$A:$A,$E989))</f>
        <v/>
      </c>
      <c r="B989" s="5">
        <f>IF($E989="","",INDEX('Input Transaksi'!$D:$D,$E989))</f>
        <v/>
      </c>
      <c r="C989">
        <f>IF($E989="","",INDEX('Input Transaksi'!$E:$E,$E989))</f>
        <v/>
      </c>
      <c r="D989" s="5">
        <f>IF($E989="","",INDEX('Input Transaksi'!$F:$F,$E989))</f>
        <v/>
      </c>
      <c r="E989">
        <f>IFERROR(AGGREGATE(15,6,ROW('Input Transaksi'!$B$5:$B$5000)/('Input Transaksi'!$B$5:$B$5000="JCL AYANI"),ROWS($E$5:E989)),"")</f>
        <v/>
      </c>
      <c r="F989" s="5" t="n"/>
    </row>
    <row r="990">
      <c r="A990" s="10">
        <f>IF($E990="","",INDEX('Input Transaksi'!$A:$A,$E990))</f>
        <v/>
      </c>
      <c r="B990" s="5">
        <f>IF($E990="","",INDEX('Input Transaksi'!$D:$D,$E990))</f>
        <v/>
      </c>
      <c r="C990">
        <f>IF($E990="","",INDEX('Input Transaksi'!$E:$E,$E990))</f>
        <v/>
      </c>
      <c r="D990" s="5">
        <f>IF($E990="","",INDEX('Input Transaksi'!$F:$F,$E990))</f>
        <v/>
      </c>
      <c r="E990">
        <f>IFERROR(AGGREGATE(15,6,ROW('Input Transaksi'!$B$5:$B$5000)/('Input Transaksi'!$B$5:$B$5000="JCL AYANI"),ROWS($E$5:E990)),"")</f>
        <v/>
      </c>
      <c r="F990" s="5" t="n"/>
    </row>
    <row r="991">
      <c r="A991" s="10">
        <f>IF($E991="","",INDEX('Input Transaksi'!$A:$A,$E991))</f>
        <v/>
      </c>
      <c r="B991" s="5">
        <f>IF($E991="","",INDEX('Input Transaksi'!$D:$D,$E991))</f>
        <v/>
      </c>
      <c r="C991">
        <f>IF($E991="","",INDEX('Input Transaksi'!$E:$E,$E991))</f>
        <v/>
      </c>
      <c r="D991" s="5">
        <f>IF($E991="","",INDEX('Input Transaksi'!$F:$F,$E991))</f>
        <v/>
      </c>
      <c r="E991">
        <f>IFERROR(AGGREGATE(15,6,ROW('Input Transaksi'!$B$5:$B$5000)/('Input Transaksi'!$B$5:$B$5000="JCL AYANI"),ROWS($E$5:E991)),"")</f>
        <v/>
      </c>
      <c r="F991" s="5" t="n"/>
    </row>
    <row r="992">
      <c r="A992" s="10">
        <f>IF($E992="","",INDEX('Input Transaksi'!$A:$A,$E992))</f>
        <v/>
      </c>
      <c r="B992" s="5">
        <f>IF($E992="","",INDEX('Input Transaksi'!$D:$D,$E992))</f>
        <v/>
      </c>
      <c r="C992">
        <f>IF($E992="","",INDEX('Input Transaksi'!$E:$E,$E992))</f>
        <v/>
      </c>
      <c r="D992" s="5">
        <f>IF($E992="","",INDEX('Input Transaksi'!$F:$F,$E992))</f>
        <v/>
      </c>
      <c r="E992">
        <f>IFERROR(AGGREGATE(15,6,ROW('Input Transaksi'!$B$5:$B$5000)/('Input Transaksi'!$B$5:$B$5000="JCL AYANI"),ROWS($E$5:E992)),"")</f>
        <v/>
      </c>
      <c r="F992" s="5" t="n"/>
    </row>
    <row r="993">
      <c r="A993" s="10">
        <f>IF($E993="","",INDEX('Input Transaksi'!$A:$A,$E993))</f>
        <v/>
      </c>
      <c r="B993" s="5">
        <f>IF($E993="","",INDEX('Input Transaksi'!$D:$D,$E993))</f>
        <v/>
      </c>
      <c r="C993">
        <f>IF($E993="","",INDEX('Input Transaksi'!$E:$E,$E993))</f>
        <v/>
      </c>
      <c r="D993" s="5">
        <f>IF($E993="","",INDEX('Input Transaksi'!$F:$F,$E993))</f>
        <v/>
      </c>
      <c r="E993">
        <f>IFERROR(AGGREGATE(15,6,ROW('Input Transaksi'!$B$5:$B$5000)/('Input Transaksi'!$B$5:$B$5000="JCL AYANI"),ROWS($E$5:E993)),"")</f>
        <v/>
      </c>
      <c r="F993" s="5" t="n"/>
    </row>
    <row r="994">
      <c r="A994" s="10">
        <f>IF($E994="","",INDEX('Input Transaksi'!$A:$A,$E994))</f>
        <v/>
      </c>
      <c r="B994" s="5">
        <f>IF($E994="","",INDEX('Input Transaksi'!$D:$D,$E994))</f>
        <v/>
      </c>
      <c r="C994">
        <f>IF($E994="","",INDEX('Input Transaksi'!$E:$E,$E994))</f>
        <v/>
      </c>
      <c r="D994" s="5">
        <f>IF($E994="","",INDEX('Input Transaksi'!$F:$F,$E994))</f>
        <v/>
      </c>
      <c r="E994">
        <f>IFERROR(AGGREGATE(15,6,ROW('Input Transaksi'!$B$5:$B$5000)/('Input Transaksi'!$B$5:$B$5000="JCL AYANI"),ROWS($E$5:E994)),"")</f>
        <v/>
      </c>
      <c r="F994" s="5" t="n"/>
    </row>
    <row r="995">
      <c r="A995" s="10">
        <f>IF($E995="","",INDEX('Input Transaksi'!$A:$A,$E995))</f>
        <v/>
      </c>
      <c r="B995" s="5">
        <f>IF($E995="","",INDEX('Input Transaksi'!$D:$D,$E995))</f>
        <v/>
      </c>
      <c r="C995">
        <f>IF($E995="","",INDEX('Input Transaksi'!$E:$E,$E995))</f>
        <v/>
      </c>
      <c r="D995" s="5">
        <f>IF($E995="","",INDEX('Input Transaksi'!$F:$F,$E995))</f>
        <v/>
      </c>
      <c r="E995">
        <f>IFERROR(AGGREGATE(15,6,ROW('Input Transaksi'!$B$5:$B$5000)/('Input Transaksi'!$B$5:$B$5000="JCL AYANI"),ROWS($E$5:E995)),"")</f>
        <v/>
      </c>
      <c r="F995" s="5" t="n"/>
    </row>
    <row r="996">
      <c r="A996" s="10">
        <f>IF($E996="","",INDEX('Input Transaksi'!$A:$A,$E996))</f>
        <v/>
      </c>
      <c r="B996" s="5">
        <f>IF($E996="","",INDEX('Input Transaksi'!$D:$D,$E996))</f>
        <v/>
      </c>
      <c r="C996">
        <f>IF($E996="","",INDEX('Input Transaksi'!$E:$E,$E996))</f>
        <v/>
      </c>
      <c r="D996" s="5">
        <f>IF($E996="","",INDEX('Input Transaksi'!$F:$F,$E996))</f>
        <v/>
      </c>
      <c r="E996">
        <f>IFERROR(AGGREGATE(15,6,ROW('Input Transaksi'!$B$5:$B$5000)/('Input Transaksi'!$B$5:$B$5000="JCL AYANI"),ROWS($E$5:E996)),"")</f>
        <v/>
      </c>
      <c r="F996" s="5" t="n"/>
    </row>
    <row r="997">
      <c r="A997" s="10">
        <f>IF($E997="","",INDEX('Input Transaksi'!$A:$A,$E997))</f>
        <v/>
      </c>
      <c r="B997" s="5">
        <f>IF($E997="","",INDEX('Input Transaksi'!$D:$D,$E997))</f>
        <v/>
      </c>
      <c r="C997">
        <f>IF($E997="","",INDEX('Input Transaksi'!$E:$E,$E997))</f>
        <v/>
      </c>
      <c r="D997" s="5">
        <f>IF($E997="","",INDEX('Input Transaksi'!$F:$F,$E997))</f>
        <v/>
      </c>
      <c r="E997">
        <f>IFERROR(AGGREGATE(15,6,ROW('Input Transaksi'!$B$5:$B$5000)/('Input Transaksi'!$B$5:$B$5000="JCL AYANI"),ROWS($E$5:E997)),"")</f>
        <v/>
      </c>
      <c r="F997" s="5" t="n"/>
    </row>
    <row r="998">
      <c r="A998" s="10">
        <f>IF($E998="","",INDEX('Input Transaksi'!$A:$A,$E998))</f>
        <v/>
      </c>
      <c r="B998" s="5">
        <f>IF($E998="","",INDEX('Input Transaksi'!$D:$D,$E998))</f>
        <v/>
      </c>
      <c r="C998">
        <f>IF($E998="","",INDEX('Input Transaksi'!$E:$E,$E998))</f>
        <v/>
      </c>
      <c r="D998" s="5">
        <f>IF($E998="","",INDEX('Input Transaksi'!$F:$F,$E998))</f>
        <v/>
      </c>
      <c r="E998">
        <f>IFERROR(AGGREGATE(15,6,ROW('Input Transaksi'!$B$5:$B$5000)/('Input Transaksi'!$B$5:$B$5000="JCL AYANI"),ROWS($E$5:E998)),"")</f>
        <v/>
      </c>
      <c r="F998" s="5" t="n"/>
    </row>
    <row r="999">
      <c r="A999" s="10">
        <f>IF($E999="","",INDEX('Input Transaksi'!$A:$A,$E999))</f>
        <v/>
      </c>
      <c r="B999" s="5">
        <f>IF($E999="","",INDEX('Input Transaksi'!$D:$D,$E999))</f>
        <v/>
      </c>
      <c r="C999">
        <f>IF($E999="","",INDEX('Input Transaksi'!$E:$E,$E999))</f>
        <v/>
      </c>
      <c r="D999" s="5">
        <f>IF($E999="","",INDEX('Input Transaksi'!$F:$F,$E999))</f>
        <v/>
      </c>
      <c r="E999">
        <f>IFERROR(AGGREGATE(15,6,ROW('Input Transaksi'!$B$5:$B$5000)/('Input Transaksi'!$B$5:$B$5000="JCL AYANI"),ROWS($E$5:E999)),"")</f>
        <v/>
      </c>
      <c r="F999" s="5" t="n"/>
    </row>
    <row r="1000">
      <c r="A1000" s="10">
        <f>IF($E1000="","",INDEX('Input Transaksi'!$A:$A,$E1000))</f>
        <v/>
      </c>
      <c r="B1000" s="5">
        <f>IF($E1000="","",INDEX('Input Transaksi'!$D:$D,$E1000))</f>
        <v/>
      </c>
      <c r="C1000">
        <f>IF($E1000="","",INDEX('Input Transaksi'!$E:$E,$E1000))</f>
        <v/>
      </c>
      <c r="D1000" s="5">
        <f>IF($E1000="","",INDEX('Input Transaksi'!$F:$F,$E1000))</f>
        <v/>
      </c>
      <c r="E1000">
        <f>IFERROR(AGGREGATE(15,6,ROW('Input Transaksi'!$B$5:$B$5000)/('Input Transaksi'!$B$5:$B$5000="JCL AYANI"),ROWS($E$5:E1000)),"")</f>
        <v/>
      </c>
      <c r="F1000" s="5" t="n"/>
    </row>
  </sheetData>
  <autoFilter ref="A4:D1000"/>
  <mergeCells count="1">
    <mergeCell ref="A1:E1"/>
  </mergeCells>
  <hyperlinks>
    <hyperlink ref="F1" location="'Beranda'!A1" display="Kembali ke Beranda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000"/>
  <sheetViews>
    <sheetView workbookViewId="0">
      <pane ySplit="4" topLeftCell="A5" activePane="bottomLeft" state="frozen"/>
      <selection pane="bottomLeft" activeCell="A1" sqref="A1"/>
    </sheetView>
  </sheetViews>
  <sheetFormatPr baseColWidth="10" defaultColWidth="8.83203125" defaultRowHeight="15"/>
  <cols>
    <col width="16" customWidth="1" min="1" max="1"/>
    <col width="22" customWidth="1" min="2" max="2"/>
    <col width="12" customWidth="1" min="3" max="3"/>
    <col width="26" customWidth="1" min="4" max="4"/>
    <col hidden="1" width="12.6640625" customWidth="1" min="5" max="5"/>
    <col width="16" customWidth="1" min="6" max="6"/>
    <col hidden="1" width="13" customWidth="1" min="7" max="7"/>
  </cols>
  <sheetData>
    <row r="1" ht="24" customHeight="1">
      <c r="A1" s="11" t="inlineStr">
        <is>
          <t>CUCI DEWE</t>
        </is>
      </c>
      <c r="F1" s="3" t="inlineStr">
        <is>
          <t>Kembali ke Beranda</t>
        </is>
      </c>
    </row>
    <row r="2">
      <c r="A2" s="13" t="inlineStr">
        <is>
          <t>Wilayah</t>
        </is>
      </c>
      <c r="B2" s="13" t="inlineStr">
        <is>
          <t>UTARA</t>
        </is>
      </c>
      <c r="C2" s="13" t="inlineStr">
        <is>
          <t>Total Qty</t>
        </is>
      </c>
      <c r="D2" s="2">
        <f>SUMIFS('Input Transaksi'!$E$5:$E$5000,'Input Transaksi'!$B$5:$B$5000,"CUCI DEWE")</f>
        <v/>
      </c>
      <c r="E2" s="13" t="inlineStr">
        <is>
          <t>Jumlah Transaksi</t>
        </is>
      </c>
      <c r="F2" s="2">
        <f>COUNTIF('Input Transaksi'!$B$5:$B$5000,"CUCI DEWE")</f>
        <v/>
      </c>
    </row>
    <row r="3"/>
    <row r="4">
      <c r="A4" s="4" t="inlineStr">
        <is>
          <t>Tanggal</t>
        </is>
      </c>
      <c r="B4" s="4" t="inlineStr">
        <is>
          <t>Item</t>
        </is>
      </c>
      <c r="C4" s="4" t="inlineStr">
        <is>
          <t>Qty Keluar</t>
        </is>
      </c>
      <c r="D4" s="4" t="inlineStr">
        <is>
          <t>Catatan</t>
        </is>
      </c>
      <c r="E4" t="inlineStr">
        <is>
          <t>RowRef</t>
        </is>
      </c>
      <c r="F4" s="4" t="n"/>
    </row>
    <row r="5">
      <c r="A5" s="10">
        <f>IF($E5="","",INDEX('Input Transaksi'!$A:$A,$E5))</f>
        <v/>
      </c>
      <c r="B5" s="5">
        <f>IF($E5="","",INDEX('Input Transaksi'!$D:$D,$E5))</f>
        <v/>
      </c>
      <c r="C5">
        <f>IF($E5="","",INDEX('Input Transaksi'!$E:$E,$E5))</f>
        <v/>
      </c>
      <c r="D5" s="5">
        <f>IF($E5="","",INDEX('Input Transaksi'!$F:$F,$E5))</f>
        <v/>
      </c>
      <c r="E5">
        <f>IFERROR(AGGREGATE(15,6,ROW('Input Transaksi'!$B$5:$B$5000)/('Input Transaksi'!$B$5:$B$5000="CUCI DEWE"),ROWS($E$5:E5)),"")</f>
        <v/>
      </c>
      <c r="F5" s="5" t="n"/>
    </row>
    <row r="6">
      <c r="A6" s="10">
        <f>IF($E6="","",INDEX('Input Transaksi'!$A:$A,$E6))</f>
        <v/>
      </c>
      <c r="B6" s="5">
        <f>IF($E6="","",INDEX('Input Transaksi'!$D:$D,$E6))</f>
        <v/>
      </c>
      <c r="C6">
        <f>IF($E6="","",INDEX('Input Transaksi'!$E:$E,$E6))</f>
        <v/>
      </c>
      <c r="D6" s="5">
        <f>IF($E6="","",INDEX('Input Transaksi'!$F:$F,$E6))</f>
        <v/>
      </c>
      <c r="E6">
        <f>IFERROR(AGGREGATE(15,6,ROW('Input Transaksi'!$B$5:$B$5000)/('Input Transaksi'!$B$5:$B$5000="CUCI DEWE"),ROWS($E$5:E6)),"")</f>
        <v/>
      </c>
      <c r="F6" s="5" t="n"/>
    </row>
    <row r="7">
      <c r="A7" s="10">
        <f>IF($E7="","",INDEX('Input Transaksi'!$A:$A,$E7))</f>
        <v/>
      </c>
      <c r="B7" s="5">
        <f>IF($E7="","",INDEX('Input Transaksi'!$D:$D,$E7))</f>
        <v/>
      </c>
      <c r="C7">
        <f>IF($E7="","",INDEX('Input Transaksi'!$E:$E,$E7))</f>
        <v/>
      </c>
      <c r="D7" s="5">
        <f>IF($E7="","",INDEX('Input Transaksi'!$F:$F,$E7))</f>
        <v/>
      </c>
      <c r="E7">
        <f>IFERROR(AGGREGATE(15,6,ROW('Input Transaksi'!$B$5:$B$5000)/('Input Transaksi'!$B$5:$B$5000="CUCI DEWE"),ROWS($E$5:E7)),"")</f>
        <v/>
      </c>
      <c r="F7" s="5" t="n"/>
    </row>
    <row r="8">
      <c r="A8" s="10">
        <f>IF($E8="","",INDEX('Input Transaksi'!$A:$A,$E8))</f>
        <v/>
      </c>
      <c r="B8" s="5">
        <f>IF($E8="","",INDEX('Input Transaksi'!$D:$D,$E8))</f>
        <v/>
      </c>
      <c r="C8">
        <f>IF($E8="","",INDEX('Input Transaksi'!$E:$E,$E8))</f>
        <v/>
      </c>
      <c r="D8" s="5">
        <f>IF($E8="","",INDEX('Input Transaksi'!$F:$F,$E8))</f>
        <v/>
      </c>
      <c r="E8">
        <f>IFERROR(AGGREGATE(15,6,ROW('Input Transaksi'!$B$5:$B$5000)/('Input Transaksi'!$B$5:$B$5000="CUCI DEWE"),ROWS($E$5:E8)),"")</f>
        <v/>
      </c>
      <c r="F8" s="5" t="n"/>
    </row>
    <row r="9">
      <c r="A9" s="10">
        <f>IF($E9="","",INDEX('Input Transaksi'!$A:$A,$E9))</f>
        <v/>
      </c>
      <c r="B9" s="5">
        <f>IF($E9="","",INDEX('Input Transaksi'!$D:$D,$E9))</f>
        <v/>
      </c>
      <c r="C9">
        <f>IF($E9="","",INDEX('Input Transaksi'!$E:$E,$E9))</f>
        <v/>
      </c>
      <c r="D9" s="5">
        <f>IF($E9="","",INDEX('Input Transaksi'!$F:$F,$E9))</f>
        <v/>
      </c>
      <c r="E9">
        <f>IFERROR(AGGREGATE(15,6,ROW('Input Transaksi'!$B$5:$B$5000)/('Input Transaksi'!$B$5:$B$5000="CUCI DEWE"),ROWS($E$5:E9)),"")</f>
        <v/>
      </c>
      <c r="F9" s="5" t="n"/>
    </row>
    <row r="10">
      <c r="A10" s="10">
        <f>IF($E10="","",INDEX('Input Transaksi'!$A:$A,$E10))</f>
        <v/>
      </c>
      <c r="B10" s="5">
        <f>IF($E10="","",INDEX('Input Transaksi'!$D:$D,$E10))</f>
        <v/>
      </c>
      <c r="C10">
        <f>IF($E10="","",INDEX('Input Transaksi'!$E:$E,$E10))</f>
        <v/>
      </c>
      <c r="D10" s="5">
        <f>IF($E10="","",INDEX('Input Transaksi'!$F:$F,$E10))</f>
        <v/>
      </c>
      <c r="E10">
        <f>IFERROR(AGGREGATE(15,6,ROW('Input Transaksi'!$B$5:$B$5000)/('Input Transaksi'!$B$5:$B$5000="CUCI DEWE"),ROWS($E$5:E10)),"")</f>
        <v/>
      </c>
      <c r="F10" s="5" t="n"/>
    </row>
    <row r="11">
      <c r="A11" s="10">
        <f>IF($E11="","",INDEX('Input Transaksi'!$A:$A,$E11))</f>
        <v/>
      </c>
      <c r="B11" s="5">
        <f>IF($E11="","",INDEX('Input Transaksi'!$D:$D,$E11))</f>
        <v/>
      </c>
      <c r="C11">
        <f>IF($E11="","",INDEX('Input Transaksi'!$E:$E,$E11))</f>
        <v/>
      </c>
      <c r="D11" s="5">
        <f>IF($E11="","",INDEX('Input Transaksi'!$F:$F,$E11))</f>
        <v/>
      </c>
      <c r="E11">
        <f>IFERROR(AGGREGATE(15,6,ROW('Input Transaksi'!$B$5:$B$5000)/('Input Transaksi'!$B$5:$B$5000="CUCI DEWE"),ROWS($E$5:E11)),"")</f>
        <v/>
      </c>
      <c r="F11" s="5" t="n"/>
    </row>
    <row r="12">
      <c r="A12" s="10">
        <f>IF($E12="","",INDEX('Input Transaksi'!$A:$A,$E12))</f>
        <v/>
      </c>
      <c r="B12" s="5">
        <f>IF($E12="","",INDEX('Input Transaksi'!$D:$D,$E12))</f>
        <v/>
      </c>
      <c r="C12">
        <f>IF($E12="","",INDEX('Input Transaksi'!$E:$E,$E12))</f>
        <v/>
      </c>
      <c r="D12" s="5">
        <f>IF($E12="","",INDEX('Input Transaksi'!$F:$F,$E12))</f>
        <v/>
      </c>
      <c r="E12">
        <f>IFERROR(AGGREGATE(15,6,ROW('Input Transaksi'!$B$5:$B$5000)/('Input Transaksi'!$B$5:$B$5000="CUCI DEWE"),ROWS($E$5:E12)),"")</f>
        <v/>
      </c>
      <c r="F12" s="5" t="n"/>
    </row>
    <row r="13">
      <c r="A13" s="10">
        <f>IF($E13="","",INDEX('Input Transaksi'!$A:$A,$E13))</f>
        <v/>
      </c>
      <c r="B13" s="5">
        <f>IF($E13="","",INDEX('Input Transaksi'!$D:$D,$E13))</f>
        <v/>
      </c>
      <c r="C13">
        <f>IF($E13="","",INDEX('Input Transaksi'!$E:$E,$E13))</f>
        <v/>
      </c>
      <c r="D13" s="5">
        <f>IF($E13="","",INDEX('Input Transaksi'!$F:$F,$E13))</f>
        <v/>
      </c>
      <c r="E13">
        <f>IFERROR(AGGREGATE(15,6,ROW('Input Transaksi'!$B$5:$B$5000)/('Input Transaksi'!$B$5:$B$5000="CUCI DEWE"),ROWS($E$5:E13)),"")</f>
        <v/>
      </c>
      <c r="F13" s="5" t="n"/>
    </row>
    <row r="14">
      <c r="A14" s="10">
        <f>IF($E14="","",INDEX('Input Transaksi'!$A:$A,$E14))</f>
        <v/>
      </c>
      <c r="B14" s="5">
        <f>IF($E14="","",INDEX('Input Transaksi'!$D:$D,$E14))</f>
        <v/>
      </c>
      <c r="C14">
        <f>IF($E14="","",INDEX('Input Transaksi'!$E:$E,$E14))</f>
        <v/>
      </c>
      <c r="D14" s="5">
        <f>IF($E14="","",INDEX('Input Transaksi'!$F:$F,$E14))</f>
        <v/>
      </c>
      <c r="E14">
        <f>IFERROR(AGGREGATE(15,6,ROW('Input Transaksi'!$B$5:$B$5000)/('Input Transaksi'!$B$5:$B$5000="CUCI DEWE"),ROWS($E$5:E14)),"")</f>
        <v/>
      </c>
      <c r="F14" s="5" t="n"/>
    </row>
    <row r="15">
      <c r="A15" s="10">
        <f>IF($E15="","",INDEX('Input Transaksi'!$A:$A,$E15))</f>
        <v/>
      </c>
      <c r="B15" s="5">
        <f>IF($E15="","",INDEX('Input Transaksi'!$D:$D,$E15))</f>
        <v/>
      </c>
      <c r="C15">
        <f>IF($E15="","",INDEX('Input Transaksi'!$E:$E,$E15))</f>
        <v/>
      </c>
      <c r="D15" s="5">
        <f>IF($E15="","",INDEX('Input Transaksi'!$F:$F,$E15))</f>
        <v/>
      </c>
      <c r="E15">
        <f>IFERROR(AGGREGATE(15,6,ROW('Input Transaksi'!$B$5:$B$5000)/('Input Transaksi'!$B$5:$B$5000="CUCI DEWE"),ROWS($E$5:E15)),"")</f>
        <v/>
      </c>
      <c r="F15" s="5" t="n"/>
    </row>
    <row r="16">
      <c r="A16" s="10">
        <f>IF($E16="","",INDEX('Input Transaksi'!$A:$A,$E16))</f>
        <v/>
      </c>
      <c r="B16" s="5">
        <f>IF($E16="","",INDEX('Input Transaksi'!$D:$D,$E16))</f>
        <v/>
      </c>
      <c r="C16">
        <f>IF($E16="","",INDEX('Input Transaksi'!$E:$E,$E16))</f>
        <v/>
      </c>
      <c r="D16" s="5">
        <f>IF($E16="","",INDEX('Input Transaksi'!$F:$F,$E16))</f>
        <v/>
      </c>
      <c r="E16">
        <f>IFERROR(AGGREGATE(15,6,ROW('Input Transaksi'!$B$5:$B$5000)/('Input Transaksi'!$B$5:$B$5000="CUCI DEWE"),ROWS($E$5:E16)),"")</f>
        <v/>
      </c>
      <c r="F16" s="5" t="n"/>
    </row>
    <row r="17">
      <c r="A17" s="10">
        <f>IF($E17="","",INDEX('Input Transaksi'!$A:$A,$E17))</f>
        <v/>
      </c>
      <c r="B17" s="5">
        <f>IF($E17="","",INDEX('Input Transaksi'!$D:$D,$E17))</f>
        <v/>
      </c>
      <c r="C17">
        <f>IF($E17="","",INDEX('Input Transaksi'!$E:$E,$E17))</f>
        <v/>
      </c>
      <c r="D17" s="5">
        <f>IF($E17="","",INDEX('Input Transaksi'!$F:$F,$E17))</f>
        <v/>
      </c>
      <c r="E17">
        <f>IFERROR(AGGREGATE(15,6,ROW('Input Transaksi'!$B$5:$B$5000)/('Input Transaksi'!$B$5:$B$5000="CUCI DEWE"),ROWS($E$5:E17)),"")</f>
        <v/>
      </c>
      <c r="F17" s="5" t="n"/>
    </row>
    <row r="18">
      <c r="A18" s="10">
        <f>IF($E18="","",INDEX('Input Transaksi'!$A:$A,$E18))</f>
        <v/>
      </c>
      <c r="B18" s="5">
        <f>IF($E18="","",INDEX('Input Transaksi'!$D:$D,$E18))</f>
        <v/>
      </c>
      <c r="C18">
        <f>IF($E18="","",INDEX('Input Transaksi'!$E:$E,$E18))</f>
        <v/>
      </c>
      <c r="D18" s="5">
        <f>IF($E18="","",INDEX('Input Transaksi'!$F:$F,$E18))</f>
        <v/>
      </c>
      <c r="E18">
        <f>IFERROR(AGGREGATE(15,6,ROW('Input Transaksi'!$B$5:$B$5000)/('Input Transaksi'!$B$5:$B$5000="CUCI DEWE"),ROWS($E$5:E18)),"")</f>
        <v/>
      </c>
      <c r="F18" s="5" t="n"/>
    </row>
    <row r="19">
      <c r="A19" s="10">
        <f>IF($E19="","",INDEX('Input Transaksi'!$A:$A,$E19))</f>
        <v/>
      </c>
      <c r="B19" s="5">
        <f>IF($E19="","",INDEX('Input Transaksi'!$D:$D,$E19))</f>
        <v/>
      </c>
      <c r="C19">
        <f>IF($E19="","",INDEX('Input Transaksi'!$E:$E,$E19))</f>
        <v/>
      </c>
      <c r="D19" s="5">
        <f>IF($E19="","",INDEX('Input Transaksi'!$F:$F,$E19))</f>
        <v/>
      </c>
      <c r="E19">
        <f>IFERROR(AGGREGATE(15,6,ROW('Input Transaksi'!$B$5:$B$5000)/('Input Transaksi'!$B$5:$B$5000="CUCI DEWE"),ROWS($E$5:E19)),"")</f>
        <v/>
      </c>
      <c r="F19" s="5" t="n"/>
    </row>
    <row r="20">
      <c r="A20" s="10">
        <f>IF($E20="","",INDEX('Input Transaksi'!$A:$A,$E20))</f>
        <v/>
      </c>
      <c r="B20" s="5">
        <f>IF($E20="","",INDEX('Input Transaksi'!$D:$D,$E20))</f>
        <v/>
      </c>
      <c r="C20">
        <f>IF($E20="","",INDEX('Input Transaksi'!$E:$E,$E20))</f>
        <v/>
      </c>
      <c r="D20" s="5">
        <f>IF($E20="","",INDEX('Input Transaksi'!$F:$F,$E20))</f>
        <v/>
      </c>
      <c r="E20">
        <f>IFERROR(AGGREGATE(15,6,ROW('Input Transaksi'!$B$5:$B$5000)/('Input Transaksi'!$B$5:$B$5000="CUCI DEWE"),ROWS($E$5:E20)),"")</f>
        <v/>
      </c>
      <c r="F20" s="5" t="n"/>
    </row>
    <row r="21">
      <c r="A21" s="10">
        <f>IF($E21="","",INDEX('Input Transaksi'!$A:$A,$E21))</f>
        <v/>
      </c>
      <c r="B21" s="5">
        <f>IF($E21="","",INDEX('Input Transaksi'!$D:$D,$E21))</f>
        <v/>
      </c>
      <c r="C21">
        <f>IF($E21="","",INDEX('Input Transaksi'!$E:$E,$E21))</f>
        <v/>
      </c>
      <c r="D21" s="5">
        <f>IF($E21="","",INDEX('Input Transaksi'!$F:$F,$E21))</f>
        <v/>
      </c>
      <c r="E21">
        <f>IFERROR(AGGREGATE(15,6,ROW('Input Transaksi'!$B$5:$B$5000)/('Input Transaksi'!$B$5:$B$5000="CUCI DEWE"),ROWS($E$5:E21)),"")</f>
        <v/>
      </c>
      <c r="F21" s="5" t="n"/>
    </row>
    <row r="22">
      <c r="A22" s="10">
        <f>IF($E22="","",INDEX('Input Transaksi'!$A:$A,$E22))</f>
        <v/>
      </c>
      <c r="B22" s="5">
        <f>IF($E22="","",INDEX('Input Transaksi'!$D:$D,$E22))</f>
        <v/>
      </c>
      <c r="C22">
        <f>IF($E22="","",INDEX('Input Transaksi'!$E:$E,$E22))</f>
        <v/>
      </c>
      <c r="D22" s="5">
        <f>IF($E22="","",INDEX('Input Transaksi'!$F:$F,$E22))</f>
        <v/>
      </c>
      <c r="E22">
        <f>IFERROR(AGGREGATE(15,6,ROW('Input Transaksi'!$B$5:$B$5000)/('Input Transaksi'!$B$5:$B$5000="CUCI DEWE"),ROWS($E$5:E22)),"")</f>
        <v/>
      </c>
      <c r="F22" s="5" t="n"/>
    </row>
    <row r="23">
      <c r="A23" s="10">
        <f>IF($E23="","",INDEX('Input Transaksi'!$A:$A,$E23))</f>
        <v/>
      </c>
      <c r="B23" s="5">
        <f>IF($E23="","",INDEX('Input Transaksi'!$D:$D,$E23))</f>
        <v/>
      </c>
      <c r="C23">
        <f>IF($E23="","",INDEX('Input Transaksi'!$E:$E,$E23))</f>
        <v/>
      </c>
      <c r="D23" s="5">
        <f>IF($E23="","",INDEX('Input Transaksi'!$F:$F,$E23))</f>
        <v/>
      </c>
      <c r="E23">
        <f>IFERROR(AGGREGATE(15,6,ROW('Input Transaksi'!$B$5:$B$5000)/('Input Transaksi'!$B$5:$B$5000="CUCI DEWE"),ROWS($E$5:E23)),"")</f>
        <v/>
      </c>
      <c r="F23" s="5" t="n"/>
    </row>
    <row r="24">
      <c r="A24" s="10">
        <f>IF($E24="","",INDEX('Input Transaksi'!$A:$A,$E24))</f>
        <v/>
      </c>
      <c r="B24" s="5">
        <f>IF($E24="","",INDEX('Input Transaksi'!$D:$D,$E24))</f>
        <v/>
      </c>
      <c r="C24">
        <f>IF($E24="","",INDEX('Input Transaksi'!$E:$E,$E24))</f>
        <v/>
      </c>
      <c r="D24" s="5">
        <f>IF($E24="","",INDEX('Input Transaksi'!$F:$F,$E24))</f>
        <v/>
      </c>
      <c r="E24">
        <f>IFERROR(AGGREGATE(15,6,ROW('Input Transaksi'!$B$5:$B$5000)/('Input Transaksi'!$B$5:$B$5000="CUCI DEWE"),ROWS($E$5:E24)),"")</f>
        <v/>
      </c>
      <c r="F24" s="5" t="n"/>
    </row>
    <row r="25">
      <c r="A25" s="10">
        <f>IF($E25="","",INDEX('Input Transaksi'!$A:$A,$E25))</f>
        <v/>
      </c>
      <c r="B25" s="5">
        <f>IF($E25="","",INDEX('Input Transaksi'!$D:$D,$E25))</f>
        <v/>
      </c>
      <c r="C25">
        <f>IF($E25="","",INDEX('Input Transaksi'!$E:$E,$E25))</f>
        <v/>
      </c>
      <c r="D25" s="5">
        <f>IF($E25="","",INDEX('Input Transaksi'!$F:$F,$E25))</f>
        <v/>
      </c>
      <c r="E25">
        <f>IFERROR(AGGREGATE(15,6,ROW('Input Transaksi'!$B$5:$B$5000)/('Input Transaksi'!$B$5:$B$5000="CUCI DEWE"),ROWS($E$5:E25)),"")</f>
        <v/>
      </c>
      <c r="F25" s="5" t="n"/>
    </row>
    <row r="26">
      <c r="A26" s="10">
        <f>IF($E26="","",INDEX('Input Transaksi'!$A:$A,$E26))</f>
        <v/>
      </c>
      <c r="B26" s="5">
        <f>IF($E26="","",INDEX('Input Transaksi'!$D:$D,$E26))</f>
        <v/>
      </c>
      <c r="C26">
        <f>IF($E26="","",INDEX('Input Transaksi'!$E:$E,$E26))</f>
        <v/>
      </c>
      <c r="D26" s="5">
        <f>IF($E26="","",INDEX('Input Transaksi'!$F:$F,$E26))</f>
        <v/>
      </c>
      <c r="E26">
        <f>IFERROR(AGGREGATE(15,6,ROW('Input Transaksi'!$B$5:$B$5000)/('Input Transaksi'!$B$5:$B$5000="CUCI DEWE"),ROWS($E$5:E26)),"")</f>
        <v/>
      </c>
      <c r="F26" s="5" t="n"/>
    </row>
    <row r="27">
      <c r="A27" s="10">
        <f>IF($E27="","",INDEX('Input Transaksi'!$A:$A,$E27))</f>
        <v/>
      </c>
      <c r="B27" s="5">
        <f>IF($E27="","",INDEX('Input Transaksi'!$D:$D,$E27))</f>
        <v/>
      </c>
      <c r="C27">
        <f>IF($E27="","",INDEX('Input Transaksi'!$E:$E,$E27))</f>
        <v/>
      </c>
      <c r="D27" s="5">
        <f>IF($E27="","",INDEX('Input Transaksi'!$F:$F,$E27))</f>
        <v/>
      </c>
      <c r="E27">
        <f>IFERROR(AGGREGATE(15,6,ROW('Input Transaksi'!$B$5:$B$5000)/('Input Transaksi'!$B$5:$B$5000="CUCI DEWE"),ROWS($E$5:E27)),"")</f>
        <v/>
      </c>
      <c r="F27" s="5" t="n"/>
    </row>
    <row r="28">
      <c r="A28" s="10">
        <f>IF($E28="","",INDEX('Input Transaksi'!$A:$A,$E28))</f>
        <v/>
      </c>
      <c r="B28" s="5">
        <f>IF($E28="","",INDEX('Input Transaksi'!$D:$D,$E28))</f>
        <v/>
      </c>
      <c r="C28">
        <f>IF($E28="","",INDEX('Input Transaksi'!$E:$E,$E28))</f>
        <v/>
      </c>
      <c r="D28" s="5">
        <f>IF($E28="","",INDEX('Input Transaksi'!$F:$F,$E28))</f>
        <v/>
      </c>
      <c r="E28">
        <f>IFERROR(AGGREGATE(15,6,ROW('Input Transaksi'!$B$5:$B$5000)/('Input Transaksi'!$B$5:$B$5000="CUCI DEWE"),ROWS($E$5:E28)),"")</f>
        <v/>
      </c>
      <c r="F28" s="5" t="n"/>
    </row>
    <row r="29">
      <c r="A29" s="10">
        <f>IF($E29="","",INDEX('Input Transaksi'!$A:$A,$E29))</f>
        <v/>
      </c>
      <c r="B29" s="5">
        <f>IF($E29="","",INDEX('Input Transaksi'!$D:$D,$E29))</f>
        <v/>
      </c>
      <c r="C29">
        <f>IF($E29="","",INDEX('Input Transaksi'!$E:$E,$E29))</f>
        <v/>
      </c>
      <c r="D29" s="5">
        <f>IF($E29="","",INDEX('Input Transaksi'!$F:$F,$E29))</f>
        <v/>
      </c>
      <c r="E29">
        <f>IFERROR(AGGREGATE(15,6,ROW('Input Transaksi'!$B$5:$B$5000)/('Input Transaksi'!$B$5:$B$5000="CUCI DEWE"),ROWS($E$5:E29)),"")</f>
        <v/>
      </c>
      <c r="F29" s="5" t="n"/>
    </row>
    <row r="30">
      <c r="A30" s="10">
        <f>IF($E30="","",INDEX('Input Transaksi'!$A:$A,$E30))</f>
        <v/>
      </c>
      <c r="B30" s="5">
        <f>IF($E30="","",INDEX('Input Transaksi'!$D:$D,$E30))</f>
        <v/>
      </c>
      <c r="C30">
        <f>IF($E30="","",INDEX('Input Transaksi'!$E:$E,$E30))</f>
        <v/>
      </c>
      <c r="D30" s="5">
        <f>IF($E30="","",INDEX('Input Transaksi'!$F:$F,$E30))</f>
        <v/>
      </c>
      <c r="E30">
        <f>IFERROR(AGGREGATE(15,6,ROW('Input Transaksi'!$B$5:$B$5000)/('Input Transaksi'!$B$5:$B$5000="CUCI DEWE"),ROWS($E$5:E30)),"")</f>
        <v/>
      </c>
      <c r="F30" s="5" t="n"/>
    </row>
    <row r="31">
      <c r="A31" s="10">
        <f>IF($E31="","",INDEX('Input Transaksi'!$A:$A,$E31))</f>
        <v/>
      </c>
      <c r="B31" s="5">
        <f>IF($E31="","",INDEX('Input Transaksi'!$D:$D,$E31))</f>
        <v/>
      </c>
      <c r="C31">
        <f>IF($E31="","",INDEX('Input Transaksi'!$E:$E,$E31))</f>
        <v/>
      </c>
      <c r="D31" s="5">
        <f>IF($E31="","",INDEX('Input Transaksi'!$F:$F,$E31))</f>
        <v/>
      </c>
      <c r="E31">
        <f>IFERROR(AGGREGATE(15,6,ROW('Input Transaksi'!$B$5:$B$5000)/('Input Transaksi'!$B$5:$B$5000="CUCI DEWE"),ROWS($E$5:E31)),"")</f>
        <v/>
      </c>
      <c r="F31" s="5" t="n"/>
    </row>
    <row r="32">
      <c r="A32" s="10">
        <f>IF($E32="","",INDEX('Input Transaksi'!$A:$A,$E32))</f>
        <v/>
      </c>
      <c r="B32" s="5">
        <f>IF($E32="","",INDEX('Input Transaksi'!$D:$D,$E32))</f>
        <v/>
      </c>
      <c r="C32">
        <f>IF($E32="","",INDEX('Input Transaksi'!$E:$E,$E32))</f>
        <v/>
      </c>
      <c r="D32" s="5">
        <f>IF($E32="","",INDEX('Input Transaksi'!$F:$F,$E32))</f>
        <v/>
      </c>
      <c r="E32">
        <f>IFERROR(AGGREGATE(15,6,ROW('Input Transaksi'!$B$5:$B$5000)/('Input Transaksi'!$B$5:$B$5000="CUCI DEWE"),ROWS($E$5:E32)),"")</f>
        <v/>
      </c>
      <c r="F32" s="5" t="n"/>
    </row>
    <row r="33">
      <c r="A33" s="10">
        <f>IF($E33="","",INDEX('Input Transaksi'!$A:$A,$E33))</f>
        <v/>
      </c>
      <c r="B33" s="5">
        <f>IF($E33="","",INDEX('Input Transaksi'!$D:$D,$E33))</f>
        <v/>
      </c>
      <c r="C33">
        <f>IF($E33="","",INDEX('Input Transaksi'!$E:$E,$E33))</f>
        <v/>
      </c>
      <c r="D33" s="5">
        <f>IF($E33="","",INDEX('Input Transaksi'!$F:$F,$E33))</f>
        <v/>
      </c>
      <c r="E33">
        <f>IFERROR(AGGREGATE(15,6,ROW('Input Transaksi'!$B$5:$B$5000)/('Input Transaksi'!$B$5:$B$5000="CUCI DEWE"),ROWS($E$5:E33)),"")</f>
        <v/>
      </c>
      <c r="F33" s="5" t="n"/>
    </row>
    <row r="34">
      <c r="A34" s="10">
        <f>IF($E34="","",INDEX('Input Transaksi'!$A:$A,$E34))</f>
        <v/>
      </c>
      <c r="B34" s="5">
        <f>IF($E34="","",INDEX('Input Transaksi'!$D:$D,$E34))</f>
        <v/>
      </c>
      <c r="C34">
        <f>IF($E34="","",INDEX('Input Transaksi'!$E:$E,$E34))</f>
        <v/>
      </c>
      <c r="D34" s="5">
        <f>IF($E34="","",INDEX('Input Transaksi'!$F:$F,$E34))</f>
        <v/>
      </c>
      <c r="E34">
        <f>IFERROR(AGGREGATE(15,6,ROW('Input Transaksi'!$B$5:$B$5000)/('Input Transaksi'!$B$5:$B$5000="CUCI DEWE"),ROWS($E$5:E34)),"")</f>
        <v/>
      </c>
      <c r="F34" s="5" t="n"/>
    </row>
    <row r="35">
      <c r="A35" s="10">
        <f>IF($E35="","",INDEX('Input Transaksi'!$A:$A,$E35))</f>
        <v/>
      </c>
      <c r="B35" s="5">
        <f>IF($E35="","",INDEX('Input Transaksi'!$D:$D,$E35))</f>
        <v/>
      </c>
      <c r="C35">
        <f>IF($E35="","",INDEX('Input Transaksi'!$E:$E,$E35))</f>
        <v/>
      </c>
      <c r="D35" s="5">
        <f>IF($E35="","",INDEX('Input Transaksi'!$F:$F,$E35))</f>
        <v/>
      </c>
      <c r="E35">
        <f>IFERROR(AGGREGATE(15,6,ROW('Input Transaksi'!$B$5:$B$5000)/('Input Transaksi'!$B$5:$B$5000="CUCI DEWE"),ROWS($E$5:E35)),"")</f>
        <v/>
      </c>
      <c r="F35" s="5" t="n"/>
    </row>
    <row r="36">
      <c r="A36" s="10">
        <f>IF($E36="","",INDEX('Input Transaksi'!$A:$A,$E36))</f>
        <v/>
      </c>
      <c r="B36" s="5">
        <f>IF($E36="","",INDEX('Input Transaksi'!$D:$D,$E36))</f>
        <v/>
      </c>
      <c r="C36">
        <f>IF($E36="","",INDEX('Input Transaksi'!$E:$E,$E36))</f>
        <v/>
      </c>
      <c r="D36" s="5">
        <f>IF($E36="","",INDEX('Input Transaksi'!$F:$F,$E36))</f>
        <v/>
      </c>
      <c r="E36">
        <f>IFERROR(AGGREGATE(15,6,ROW('Input Transaksi'!$B$5:$B$5000)/('Input Transaksi'!$B$5:$B$5000="CUCI DEWE"),ROWS($E$5:E36)),"")</f>
        <v/>
      </c>
      <c r="F36" s="5" t="n"/>
    </row>
    <row r="37">
      <c r="A37" s="10">
        <f>IF($E37="","",INDEX('Input Transaksi'!$A:$A,$E37))</f>
        <v/>
      </c>
      <c r="B37" s="5">
        <f>IF($E37="","",INDEX('Input Transaksi'!$D:$D,$E37))</f>
        <v/>
      </c>
      <c r="C37">
        <f>IF($E37="","",INDEX('Input Transaksi'!$E:$E,$E37))</f>
        <v/>
      </c>
      <c r="D37" s="5">
        <f>IF($E37="","",INDEX('Input Transaksi'!$F:$F,$E37))</f>
        <v/>
      </c>
      <c r="E37">
        <f>IFERROR(AGGREGATE(15,6,ROW('Input Transaksi'!$B$5:$B$5000)/('Input Transaksi'!$B$5:$B$5000="CUCI DEWE"),ROWS($E$5:E37)),"")</f>
        <v/>
      </c>
      <c r="F37" s="5" t="n"/>
    </row>
    <row r="38">
      <c r="A38" s="10">
        <f>IF($E38="","",INDEX('Input Transaksi'!$A:$A,$E38))</f>
        <v/>
      </c>
      <c r="B38" s="5">
        <f>IF($E38="","",INDEX('Input Transaksi'!$D:$D,$E38))</f>
        <v/>
      </c>
      <c r="C38">
        <f>IF($E38="","",INDEX('Input Transaksi'!$E:$E,$E38))</f>
        <v/>
      </c>
      <c r="D38" s="5">
        <f>IF($E38="","",INDEX('Input Transaksi'!$F:$F,$E38))</f>
        <v/>
      </c>
      <c r="E38">
        <f>IFERROR(AGGREGATE(15,6,ROW('Input Transaksi'!$B$5:$B$5000)/('Input Transaksi'!$B$5:$B$5000="CUCI DEWE"),ROWS($E$5:E38)),"")</f>
        <v/>
      </c>
      <c r="F38" s="5" t="n"/>
    </row>
    <row r="39">
      <c r="A39" s="10">
        <f>IF($E39="","",INDEX('Input Transaksi'!$A:$A,$E39))</f>
        <v/>
      </c>
      <c r="B39" s="5">
        <f>IF($E39="","",INDEX('Input Transaksi'!$D:$D,$E39))</f>
        <v/>
      </c>
      <c r="C39">
        <f>IF($E39="","",INDEX('Input Transaksi'!$E:$E,$E39))</f>
        <v/>
      </c>
      <c r="D39" s="5">
        <f>IF($E39="","",INDEX('Input Transaksi'!$F:$F,$E39))</f>
        <v/>
      </c>
      <c r="E39">
        <f>IFERROR(AGGREGATE(15,6,ROW('Input Transaksi'!$B$5:$B$5000)/('Input Transaksi'!$B$5:$B$5000="CUCI DEWE"),ROWS($E$5:E39)),"")</f>
        <v/>
      </c>
      <c r="F39" s="5" t="n"/>
    </row>
    <row r="40">
      <c r="A40" s="10">
        <f>IF($E40="","",INDEX('Input Transaksi'!$A:$A,$E40))</f>
        <v/>
      </c>
      <c r="B40" s="5">
        <f>IF($E40="","",INDEX('Input Transaksi'!$D:$D,$E40))</f>
        <v/>
      </c>
      <c r="C40">
        <f>IF($E40="","",INDEX('Input Transaksi'!$E:$E,$E40))</f>
        <v/>
      </c>
      <c r="D40" s="5">
        <f>IF($E40="","",INDEX('Input Transaksi'!$F:$F,$E40))</f>
        <v/>
      </c>
      <c r="E40">
        <f>IFERROR(AGGREGATE(15,6,ROW('Input Transaksi'!$B$5:$B$5000)/('Input Transaksi'!$B$5:$B$5000="CUCI DEWE"),ROWS($E$5:E40)),"")</f>
        <v/>
      </c>
      <c r="F40" s="5" t="n"/>
    </row>
    <row r="41">
      <c r="A41" s="10">
        <f>IF($E41="","",INDEX('Input Transaksi'!$A:$A,$E41))</f>
        <v/>
      </c>
      <c r="B41" s="5">
        <f>IF($E41="","",INDEX('Input Transaksi'!$D:$D,$E41))</f>
        <v/>
      </c>
      <c r="C41">
        <f>IF($E41="","",INDEX('Input Transaksi'!$E:$E,$E41))</f>
        <v/>
      </c>
      <c r="D41" s="5">
        <f>IF($E41="","",INDEX('Input Transaksi'!$F:$F,$E41))</f>
        <v/>
      </c>
      <c r="E41">
        <f>IFERROR(AGGREGATE(15,6,ROW('Input Transaksi'!$B$5:$B$5000)/('Input Transaksi'!$B$5:$B$5000="CUCI DEWE"),ROWS($E$5:E41)),"")</f>
        <v/>
      </c>
      <c r="F41" s="5" t="n"/>
    </row>
    <row r="42">
      <c r="A42" s="10">
        <f>IF($E42="","",INDEX('Input Transaksi'!$A:$A,$E42))</f>
        <v/>
      </c>
      <c r="B42" s="5">
        <f>IF($E42="","",INDEX('Input Transaksi'!$D:$D,$E42))</f>
        <v/>
      </c>
      <c r="C42">
        <f>IF($E42="","",INDEX('Input Transaksi'!$E:$E,$E42))</f>
        <v/>
      </c>
      <c r="D42" s="5">
        <f>IF($E42="","",INDEX('Input Transaksi'!$F:$F,$E42))</f>
        <v/>
      </c>
      <c r="E42">
        <f>IFERROR(AGGREGATE(15,6,ROW('Input Transaksi'!$B$5:$B$5000)/('Input Transaksi'!$B$5:$B$5000="CUCI DEWE"),ROWS($E$5:E42)),"")</f>
        <v/>
      </c>
      <c r="F42" s="5" t="n"/>
    </row>
    <row r="43">
      <c r="A43" s="10">
        <f>IF($E43="","",INDEX('Input Transaksi'!$A:$A,$E43))</f>
        <v/>
      </c>
      <c r="B43" s="5">
        <f>IF($E43="","",INDEX('Input Transaksi'!$D:$D,$E43))</f>
        <v/>
      </c>
      <c r="C43">
        <f>IF($E43="","",INDEX('Input Transaksi'!$E:$E,$E43))</f>
        <v/>
      </c>
      <c r="D43" s="5">
        <f>IF($E43="","",INDEX('Input Transaksi'!$F:$F,$E43))</f>
        <v/>
      </c>
      <c r="E43">
        <f>IFERROR(AGGREGATE(15,6,ROW('Input Transaksi'!$B$5:$B$5000)/('Input Transaksi'!$B$5:$B$5000="CUCI DEWE"),ROWS($E$5:E43)),"")</f>
        <v/>
      </c>
      <c r="F43" s="5" t="n"/>
    </row>
    <row r="44">
      <c r="A44" s="10">
        <f>IF($E44="","",INDEX('Input Transaksi'!$A:$A,$E44))</f>
        <v/>
      </c>
      <c r="B44" s="5">
        <f>IF($E44="","",INDEX('Input Transaksi'!$D:$D,$E44))</f>
        <v/>
      </c>
      <c r="C44">
        <f>IF($E44="","",INDEX('Input Transaksi'!$E:$E,$E44))</f>
        <v/>
      </c>
      <c r="D44" s="5">
        <f>IF($E44="","",INDEX('Input Transaksi'!$F:$F,$E44))</f>
        <v/>
      </c>
      <c r="E44">
        <f>IFERROR(AGGREGATE(15,6,ROW('Input Transaksi'!$B$5:$B$5000)/('Input Transaksi'!$B$5:$B$5000="CUCI DEWE"),ROWS($E$5:E44)),"")</f>
        <v/>
      </c>
      <c r="F44" s="5" t="n"/>
    </row>
    <row r="45">
      <c r="A45" s="10">
        <f>IF($E45="","",INDEX('Input Transaksi'!$A:$A,$E45))</f>
        <v/>
      </c>
      <c r="B45" s="5">
        <f>IF($E45="","",INDEX('Input Transaksi'!$D:$D,$E45))</f>
        <v/>
      </c>
      <c r="C45">
        <f>IF($E45="","",INDEX('Input Transaksi'!$E:$E,$E45))</f>
        <v/>
      </c>
      <c r="D45" s="5">
        <f>IF($E45="","",INDEX('Input Transaksi'!$F:$F,$E45))</f>
        <v/>
      </c>
      <c r="E45">
        <f>IFERROR(AGGREGATE(15,6,ROW('Input Transaksi'!$B$5:$B$5000)/('Input Transaksi'!$B$5:$B$5000="CUCI DEWE"),ROWS($E$5:E45)),"")</f>
        <v/>
      </c>
      <c r="F45" s="5" t="n"/>
    </row>
    <row r="46">
      <c r="A46" s="10">
        <f>IF($E46="","",INDEX('Input Transaksi'!$A:$A,$E46))</f>
        <v/>
      </c>
      <c r="B46" s="5">
        <f>IF($E46="","",INDEX('Input Transaksi'!$D:$D,$E46))</f>
        <v/>
      </c>
      <c r="C46">
        <f>IF($E46="","",INDEX('Input Transaksi'!$E:$E,$E46))</f>
        <v/>
      </c>
      <c r="D46" s="5">
        <f>IF($E46="","",INDEX('Input Transaksi'!$F:$F,$E46))</f>
        <v/>
      </c>
      <c r="E46">
        <f>IFERROR(AGGREGATE(15,6,ROW('Input Transaksi'!$B$5:$B$5000)/('Input Transaksi'!$B$5:$B$5000="CUCI DEWE"),ROWS($E$5:E46)),"")</f>
        <v/>
      </c>
      <c r="F46" s="5" t="n"/>
    </row>
    <row r="47">
      <c r="A47" s="10">
        <f>IF($E47="","",INDEX('Input Transaksi'!$A:$A,$E47))</f>
        <v/>
      </c>
      <c r="B47" s="5">
        <f>IF($E47="","",INDEX('Input Transaksi'!$D:$D,$E47))</f>
        <v/>
      </c>
      <c r="C47">
        <f>IF($E47="","",INDEX('Input Transaksi'!$E:$E,$E47))</f>
        <v/>
      </c>
      <c r="D47" s="5">
        <f>IF($E47="","",INDEX('Input Transaksi'!$F:$F,$E47))</f>
        <v/>
      </c>
      <c r="E47">
        <f>IFERROR(AGGREGATE(15,6,ROW('Input Transaksi'!$B$5:$B$5000)/('Input Transaksi'!$B$5:$B$5000="CUCI DEWE"),ROWS($E$5:E47)),"")</f>
        <v/>
      </c>
      <c r="F47" s="5" t="n"/>
    </row>
    <row r="48">
      <c r="A48" s="10">
        <f>IF($E48="","",INDEX('Input Transaksi'!$A:$A,$E48))</f>
        <v/>
      </c>
      <c r="B48" s="5">
        <f>IF($E48="","",INDEX('Input Transaksi'!$D:$D,$E48))</f>
        <v/>
      </c>
      <c r="C48">
        <f>IF($E48="","",INDEX('Input Transaksi'!$E:$E,$E48))</f>
        <v/>
      </c>
      <c r="D48" s="5">
        <f>IF($E48="","",INDEX('Input Transaksi'!$F:$F,$E48))</f>
        <v/>
      </c>
      <c r="E48">
        <f>IFERROR(AGGREGATE(15,6,ROW('Input Transaksi'!$B$5:$B$5000)/('Input Transaksi'!$B$5:$B$5000="CUCI DEWE"),ROWS($E$5:E48)),"")</f>
        <v/>
      </c>
      <c r="F48" s="5" t="n"/>
    </row>
    <row r="49">
      <c r="A49" s="10">
        <f>IF($E49="","",INDEX('Input Transaksi'!$A:$A,$E49))</f>
        <v/>
      </c>
      <c r="B49" s="5">
        <f>IF($E49="","",INDEX('Input Transaksi'!$D:$D,$E49))</f>
        <v/>
      </c>
      <c r="C49">
        <f>IF($E49="","",INDEX('Input Transaksi'!$E:$E,$E49))</f>
        <v/>
      </c>
      <c r="D49" s="5">
        <f>IF($E49="","",INDEX('Input Transaksi'!$F:$F,$E49))</f>
        <v/>
      </c>
      <c r="E49">
        <f>IFERROR(AGGREGATE(15,6,ROW('Input Transaksi'!$B$5:$B$5000)/('Input Transaksi'!$B$5:$B$5000="CUCI DEWE"),ROWS($E$5:E49)),"")</f>
        <v/>
      </c>
      <c r="F49" s="5" t="n"/>
    </row>
    <row r="50">
      <c r="A50" s="10">
        <f>IF($E50="","",INDEX('Input Transaksi'!$A:$A,$E50))</f>
        <v/>
      </c>
      <c r="B50" s="5">
        <f>IF($E50="","",INDEX('Input Transaksi'!$D:$D,$E50))</f>
        <v/>
      </c>
      <c r="C50">
        <f>IF($E50="","",INDEX('Input Transaksi'!$E:$E,$E50))</f>
        <v/>
      </c>
      <c r="D50" s="5">
        <f>IF($E50="","",INDEX('Input Transaksi'!$F:$F,$E50))</f>
        <v/>
      </c>
      <c r="E50">
        <f>IFERROR(AGGREGATE(15,6,ROW('Input Transaksi'!$B$5:$B$5000)/('Input Transaksi'!$B$5:$B$5000="CUCI DEWE"),ROWS($E$5:E50)),"")</f>
        <v/>
      </c>
      <c r="F50" s="5" t="n"/>
    </row>
    <row r="51">
      <c r="A51" s="10">
        <f>IF($E51="","",INDEX('Input Transaksi'!$A:$A,$E51))</f>
        <v/>
      </c>
      <c r="B51" s="5">
        <f>IF($E51="","",INDEX('Input Transaksi'!$D:$D,$E51))</f>
        <v/>
      </c>
      <c r="C51">
        <f>IF($E51="","",INDEX('Input Transaksi'!$E:$E,$E51))</f>
        <v/>
      </c>
      <c r="D51" s="5">
        <f>IF($E51="","",INDEX('Input Transaksi'!$F:$F,$E51))</f>
        <v/>
      </c>
      <c r="E51">
        <f>IFERROR(AGGREGATE(15,6,ROW('Input Transaksi'!$B$5:$B$5000)/('Input Transaksi'!$B$5:$B$5000="CUCI DEWE"),ROWS($E$5:E51)),"")</f>
        <v/>
      </c>
      <c r="F51" s="5" t="n"/>
    </row>
    <row r="52">
      <c r="A52" s="10">
        <f>IF($E52="","",INDEX('Input Transaksi'!$A:$A,$E52))</f>
        <v/>
      </c>
      <c r="B52" s="5">
        <f>IF($E52="","",INDEX('Input Transaksi'!$D:$D,$E52))</f>
        <v/>
      </c>
      <c r="C52">
        <f>IF($E52="","",INDEX('Input Transaksi'!$E:$E,$E52))</f>
        <v/>
      </c>
      <c r="D52" s="5">
        <f>IF($E52="","",INDEX('Input Transaksi'!$F:$F,$E52))</f>
        <v/>
      </c>
      <c r="E52">
        <f>IFERROR(AGGREGATE(15,6,ROW('Input Transaksi'!$B$5:$B$5000)/('Input Transaksi'!$B$5:$B$5000="CUCI DEWE"),ROWS($E$5:E52)),"")</f>
        <v/>
      </c>
      <c r="F52" s="5" t="n"/>
    </row>
    <row r="53">
      <c r="A53" s="10">
        <f>IF($E53="","",INDEX('Input Transaksi'!$A:$A,$E53))</f>
        <v/>
      </c>
      <c r="B53" s="5">
        <f>IF($E53="","",INDEX('Input Transaksi'!$D:$D,$E53))</f>
        <v/>
      </c>
      <c r="C53">
        <f>IF($E53="","",INDEX('Input Transaksi'!$E:$E,$E53))</f>
        <v/>
      </c>
      <c r="D53" s="5">
        <f>IF($E53="","",INDEX('Input Transaksi'!$F:$F,$E53))</f>
        <v/>
      </c>
      <c r="E53">
        <f>IFERROR(AGGREGATE(15,6,ROW('Input Transaksi'!$B$5:$B$5000)/('Input Transaksi'!$B$5:$B$5000="CUCI DEWE"),ROWS($E$5:E53)),"")</f>
        <v/>
      </c>
      <c r="F53" s="5" t="n"/>
    </row>
    <row r="54">
      <c r="A54" s="10">
        <f>IF($E54="","",INDEX('Input Transaksi'!$A:$A,$E54))</f>
        <v/>
      </c>
      <c r="B54" s="5">
        <f>IF($E54="","",INDEX('Input Transaksi'!$D:$D,$E54))</f>
        <v/>
      </c>
      <c r="C54">
        <f>IF($E54="","",INDEX('Input Transaksi'!$E:$E,$E54))</f>
        <v/>
      </c>
      <c r="D54" s="5">
        <f>IF($E54="","",INDEX('Input Transaksi'!$F:$F,$E54))</f>
        <v/>
      </c>
      <c r="E54">
        <f>IFERROR(AGGREGATE(15,6,ROW('Input Transaksi'!$B$5:$B$5000)/('Input Transaksi'!$B$5:$B$5000="CUCI DEWE"),ROWS($E$5:E54)),"")</f>
        <v/>
      </c>
      <c r="F54" s="5" t="n"/>
    </row>
    <row r="55">
      <c r="A55" s="10">
        <f>IF($E55="","",INDEX('Input Transaksi'!$A:$A,$E55))</f>
        <v/>
      </c>
      <c r="B55" s="5">
        <f>IF($E55="","",INDEX('Input Transaksi'!$D:$D,$E55))</f>
        <v/>
      </c>
      <c r="C55">
        <f>IF($E55="","",INDEX('Input Transaksi'!$E:$E,$E55))</f>
        <v/>
      </c>
      <c r="D55" s="5">
        <f>IF($E55="","",INDEX('Input Transaksi'!$F:$F,$E55))</f>
        <v/>
      </c>
      <c r="E55">
        <f>IFERROR(AGGREGATE(15,6,ROW('Input Transaksi'!$B$5:$B$5000)/('Input Transaksi'!$B$5:$B$5000="CUCI DEWE"),ROWS($E$5:E55)),"")</f>
        <v/>
      </c>
      <c r="F55" s="5" t="n"/>
    </row>
    <row r="56">
      <c r="A56" s="10">
        <f>IF($E56="","",INDEX('Input Transaksi'!$A:$A,$E56))</f>
        <v/>
      </c>
      <c r="B56" s="5">
        <f>IF($E56="","",INDEX('Input Transaksi'!$D:$D,$E56))</f>
        <v/>
      </c>
      <c r="C56">
        <f>IF($E56="","",INDEX('Input Transaksi'!$E:$E,$E56))</f>
        <v/>
      </c>
      <c r="D56" s="5">
        <f>IF($E56="","",INDEX('Input Transaksi'!$F:$F,$E56))</f>
        <v/>
      </c>
      <c r="E56">
        <f>IFERROR(AGGREGATE(15,6,ROW('Input Transaksi'!$B$5:$B$5000)/('Input Transaksi'!$B$5:$B$5000="CUCI DEWE"),ROWS($E$5:E56)),"")</f>
        <v/>
      </c>
      <c r="F56" s="5" t="n"/>
    </row>
    <row r="57">
      <c r="A57" s="10">
        <f>IF($E57="","",INDEX('Input Transaksi'!$A:$A,$E57))</f>
        <v/>
      </c>
      <c r="B57" s="5">
        <f>IF($E57="","",INDEX('Input Transaksi'!$D:$D,$E57))</f>
        <v/>
      </c>
      <c r="C57">
        <f>IF($E57="","",INDEX('Input Transaksi'!$E:$E,$E57))</f>
        <v/>
      </c>
      <c r="D57" s="5">
        <f>IF($E57="","",INDEX('Input Transaksi'!$F:$F,$E57))</f>
        <v/>
      </c>
      <c r="E57">
        <f>IFERROR(AGGREGATE(15,6,ROW('Input Transaksi'!$B$5:$B$5000)/('Input Transaksi'!$B$5:$B$5000="CUCI DEWE"),ROWS($E$5:E57)),"")</f>
        <v/>
      </c>
      <c r="F57" s="5" t="n"/>
    </row>
    <row r="58">
      <c r="A58" s="10">
        <f>IF($E58="","",INDEX('Input Transaksi'!$A:$A,$E58))</f>
        <v/>
      </c>
      <c r="B58" s="5">
        <f>IF($E58="","",INDEX('Input Transaksi'!$D:$D,$E58))</f>
        <v/>
      </c>
      <c r="C58">
        <f>IF($E58="","",INDEX('Input Transaksi'!$E:$E,$E58))</f>
        <v/>
      </c>
      <c r="D58" s="5">
        <f>IF($E58="","",INDEX('Input Transaksi'!$F:$F,$E58))</f>
        <v/>
      </c>
      <c r="E58">
        <f>IFERROR(AGGREGATE(15,6,ROW('Input Transaksi'!$B$5:$B$5000)/('Input Transaksi'!$B$5:$B$5000="CUCI DEWE"),ROWS($E$5:E58)),"")</f>
        <v/>
      </c>
      <c r="F58" s="5" t="n"/>
    </row>
    <row r="59">
      <c r="A59" s="10">
        <f>IF($E59="","",INDEX('Input Transaksi'!$A:$A,$E59))</f>
        <v/>
      </c>
      <c r="B59" s="5">
        <f>IF($E59="","",INDEX('Input Transaksi'!$D:$D,$E59))</f>
        <v/>
      </c>
      <c r="C59">
        <f>IF($E59="","",INDEX('Input Transaksi'!$E:$E,$E59))</f>
        <v/>
      </c>
      <c r="D59" s="5">
        <f>IF($E59="","",INDEX('Input Transaksi'!$F:$F,$E59))</f>
        <v/>
      </c>
      <c r="E59">
        <f>IFERROR(AGGREGATE(15,6,ROW('Input Transaksi'!$B$5:$B$5000)/('Input Transaksi'!$B$5:$B$5000="CUCI DEWE"),ROWS($E$5:E59)),"")</f>
        <v/>
      </c>
      <c r="F59" s="5" t="n"/>
    </row>
    <row r="60">
      <c r="A60" s="10">
        <f>IF($E60="","",INDEX('Input Transaksi'!$A:$A,$E60))</f>
        <v/>
      </c>
      <c r="B60" s="5">
        <f>IF($E60="","",INDEX('Input Transaksi'!$D:$D,$E60))</f>
        <v/>
      </c>
      <c r="C60">
        <f>IF($E60="","",INDEX('Input Transaksi'!$E:$E,$E60))</f>
        <v/>
      </c>
      <c r="D60" s="5">
        <f>IF($E60="","",INDEX('Input Transaksi'!$F:$F,$E60))</f>
        <v/>
      </c>
      <c r="E60">
        <f>IFERROR(AGGREGATE(15,6,ROW('Input Transaksi'!$B$5:$B$5000)/('Input Transaksi'!$B$5:$B$5000="CUCI DEWE"),ROWS($E$5:E60)),"")</f>
        <v/>
      </c>
      <c r="F60" s="5" t="n"/>
    </row>
    <row r="61">
      <c r="A61" s="10">
        <f>IF($E61="","",INDEX('Input Transaksi'!$A:$A,$E61))</f>
        <v/>
      </c>
      <c r="B61" s="5">
        <f>IF($E61="","",INDEX('Input Transaksi'!$D:$D,$E61))</f>
        <v/>
      </c>
      <c r="C61">
        <f>IF($E61="","",INDEX('Input Transaksi'!$E:$E,$E61))</f>
        <v/>
      </c>
      <c r="D61" s="5">
        <f>IF($E61="","",INDEX('Input Transaksi'!$F:$F,$E61))</f>
        <v/>
      </c>
      <c r="E61">
        <f>IFERROR(AGGREGATE(15,6,ROW('Input Transaksi'!$B$5:$B$5000)/('Input Transaksi'!$B$5:$B$5000="CUCI DEWE"),ROWS($E$5:E61)),"")</f>
        <v/>
      </c>
      <c r="F61" s="5" t="n"/>
    </row>
    <row r="62">
      <c r="A62" s="10">
        <f>IF($E62="","",INDEX('Input Transaksi'!$A:$A,$E62))</f>
        <v/>
      </c>
      <c r="B62" s="5">
        <f>IF($E62="","",INDEX('Input Transaksi'!$D:$D,$E62))</f>
        <v/>
      </c>
      <c r="C62">
        <f>IF($E62="","",INDEX('Input Transaksi'!$E:$E,$E62))</f>
        <v/>
      </c>
      <c r="D62" s="5">
        <f>IF($E62="","",INDEX('Input Transaksi'!$F:$F,$E62))</f>
        <v/>
      </c>
      <c r="E62">
        <f>IFERROR(AGGREGATE(15,6,ROW('Input Transaksi'!$B$5:$B$5000)/('Input Transaksi'!$B$5:$B$5000="CUCI DEWE"),ROWS($E$5:E62)),"")</f>
        <v/>
      </c>
      <c r="F62" s="5" t="n"/>
    </row>
    <row r="63">
      <c r="A63" s="10">
        <f>IF($E63="","",INDEX('Input Transaksi'!$A:$A,$E63))</f>
        <v/>
      </c>
      <c r="B63" s="5">
        <f>IF($E63="","",INDEX('Input Transaksi'!$D:$D,$E63))</f>
        <v/>
      </c>
      <c r="C63">
        <f>IF($E63="","",INDEX('Input Transaksi'!$E:$E,$E63))</f>
        <v/>
      </c>
      <c r="D63" s="5">
        <f>IF($E63="","",INDEX('Input Transaksi'!$F:$F,$E63))</f>
        <v/>
      </c>
      <c r="E63">
        <f>IFERROR(AGGREGATE(15,6,ROW('Input Transaksi'!$B$5:$B$5000)/('Input Transaksi'!$B$5:$B$5000="CUCI DEWE"),ROWS($E$5:E63)),"")</f>
        <v/>
      </c>
      <c r="F63" s="5" t="n"/>
    </row>
    <row r="64">
      <c r="A64" s="10">
        <f>IF($E64="","",INDEX('Input Transaksi'!$A:$A,$E64))</f>
        <v/>
      </c>
      <c r="B64" s="5">
        <f>IF($E64="","",INDEX('Input Transaksi'!$D:$D,$E64))</f>
        <v/>
      </c>
      <c r="C64">
        <f>IF($E64="","",INDEX('Input Transaksi'!$E:$E,$E64))</f>
        <v/>
      </c>
      <c r="D64" s="5">
        <f>IF($E64="","",INDEX('Input Transaksi'!$F:$F,$E64))</f>
        <v/>
      </c>
      <c r="E64">
        <f>IFERROR(AGGREGATE(15,6,ROW('Input Transaksi'!$B$5:$B$5000)/('Input Transaksi'!$B$5:$B$5000="CUCI DEWE"),ROWS($E$5:E64)),"")</f>
        <v/>
      </c>
      <c r="F64" s="5" t="n"/>
    </row>
    <row r="65">
      <c r="A65" s="10">
        <f>IF($E65="","",INDEX('Input Transaksi'!$A:$A,$E65))</f>
        <v/>
      </c>
      <c r="B65" s="5">
        <f>IF($E65="","",INDEX('Input Transaksi'!$D:$D,$E65))</f>
        <v/>
      </c>
      <c r="C65">
        <f>IF($E65="","",INDEX('Input Transaksi'!$E:$E,$E65))</f>
        <v/>
      </c>
      <c r="D65" s="5">
        <f>IF($E65="","",INDEX('Input Transaksi'!$F:$F,$E65))</f>
        <v/>
      </c>
      <c r="E65">
        <f>IFERROR(AGGREGATE(15,6,ROW('Input Transaksi'!$B$5:$B$5000)/('Input Transaksi'!$B$5:$B$5000="CUCI DEWE"),ROWS($E$5:E65)),"")</f>
        <v/>
      </c>
      <c r="F65" s="5" t="n"/>
    </row>
    <row r="66">
      <c r="A66" s="10">
        <f>IF($E66="","",INDEX('Input Transaksi'!$A:$A,$E66))</f>
        <v/>
      </c>
      <c r="B66" s="5">
        <f>IF($E66="","",INDEX('Input Transaksi'!$D:$D,$E66))</f>
        <v/>
      </c>
      <c r="C66">
        <f>IF($E66="","",INDEX('Input Transaksi'!$E:$E,$E66))</f>
        <v/>
      </c>
      <c r="D66" s="5">
        <f>IF($E66="","",INDEX('Input Transaksi'!$F:$F,$E66))</f>
        <v/>
      </c>
      <c r="E66">
        <f>IFERROR(AGGREGATE(15,6,ROW('Input Transaksi'!$B$5:$B$5000)/('Input Transaksi'!$B$5:$B$5000="CUCI DEWE"),ROWS($E$5:E66)),"")</f>
        <v/>
      </c>
      <c r="F66" s="5" t="n"/>
    </row>
    <row r="67">
      <c r="A67" s="10">
        <f>IF($E67="","",INDEX('Input Transaksi'!$A:$A,$E67))</f>
        <v/>
      </c>
      <c r="B67" s="5">
        <f>IF($E67="","",INDEX('Input Transaksi'!$D:$D,$E67))</f>
        <v/>
      </c>
      <c r="C67">
        <f>IF($E67="","",INDEX('Input Transaksi'!$E:$E,$E67))</f>
        <v/>
      </c>
      <c r="D67" s="5">
        <f>IF($E67="","",INDEX('Input Transaksi'!$F:$F,$E67))</f>
        <v/>
      </c>
      <c r="E67">
        <f>IFERROR(AGGREGATE(15,6,ROW('Input Transaksi'!$B$5:$B$5000)/('Input Transaksi'!$B$5:$B$5000="CUCI DEWE"),ROWS($E$5:E67)),"")</f>
        <v/>
      </c>
      <c r="F67" s="5" t="n"/>
    </row>
    <row r="68">
      <c r="A68" s="10">
        <f>IF($E68="","",INDEX('Input Transaksi'!$A:$A,$E68))</f>
        <v/>
      </c>
      <c r="B68" s="5">
        <f>IF($E68="","",INDEX('Input Transaksi'!$D:$D,$E68))</f>
        <v/>
      </c>
      <c r="C68">
        <f>IF($E68="","",INDEX('Input Transaksi'!$E:$E,$E68))</f>
        <v/>
      </c>
      <c r="D68" s="5">
        <f>IF($E68="","",INDEX('Input Transaksi'!$F:$F,$E68))</f>
        <v/>
      </c>
      <c r="E68">
        <f>IFERROR(AGGREGATE(15,6,ROW('Input Transaksi'!$B$5:$B$5000)/('Input Transaksi'!$B$5:$B$5000="CUCI DEWE"),ROWS($E$5:E68)),"")</f>
        <v/>
      </c>
      <c r="F68" s="5" t="n"/>
    </row>
    <row r="69">
      <c r="A69" s="10">
        <f>IF($E69="","",INDEX('Input Transaksi'!$A:$A,$E69))</f>
        <v/>
      </c>
      <c r="B69" s="5">
        <f>IF($E69="","",INDEX('Input Transaksi'!$D:$D,$E69))</f>
        <v/>
      </c>
      <c r="C69">
        <f>IF($E69="","",INDEX('Input Transaksi'!$E:$E,$E69))</f>
        <v/>
      </c>
      <c r="D69" s="5">
        <f>IF($E69="","",INDEX('Input Transaksi'!$F:$F,$E69))</f>
        <v/>
      </c>
      <c r="E69">
        <f>IFERROR(AGGREGATE(15,6,ROW('Input Transaksi'!$B$5:$B$5000)/('Input Transaksi'!$B$5:$B$5000="CUCI DEWE"),ROWS($E$5:E69)),"")</f>
        <v/>
      </c>
      <c r="F69" s="5" t="n"/>
    </row>
    <row r="70">
      <c r="A70" s="10">
        <f>IF($E70="","",INDEX('Input Transaksi'!$A:$A,$E70))</f>
        <v/>
      </c>
      <c r="B70" s="5">
        <f>IF($E70="","",INDEX('Input Transaksi'!$D:$D,$E70))</f>
        <v/>
      </c>
      <c r="C70">
        <f>IF($E70="","",INDEX('Input Transaksi'!$E:$E,$E70))</f>
        <v/>
      </c>
      <c r="D70" s="5">
        <f>IF($E70="","",INDEX('Input Transaksi'!$F:$F,$E70))</f>
        <v/>
      </c>
      <c r="E70">
        <f>IFERROR(AGGREGATE(15,6,ROW('Input Transaksi'!$B$5:$B$5000)/('Input Transaksi'!$B$5:$B$5000="CUCI DEWE"),ROWS($E$5:E70)),"")</f>
        <v/>
      </c>
      <c r="F70" s="5" t="n"/>
    </row>
    <row r="71">
      <c r="A71" s="10">
        <f>IF($E71="","",INDEX('Input Transaksi'!$A:$A,$E71))</f>
        <v/>
      </c>
      <c r="B71" s="5">
        <f>IF($E71="","",INDEX('Input Transaksi'!$D:$D,$E71))</f>
        <v/>
      </c>
      <c r="C71">
        <f>IF($E71="","",INDEX('Input Transaksi'!$E:$E,$E71))</f>
        <v/>
      </c>
      <c r="D71" s="5">
        <f>IF($E71="","",INDEX('Input Transaksi'!$F:$F,$E71))</f>
        <v/>
      </c>
      <c r="E71">
        <f>IFERROR(AGGREGATE(15,6,ROW('Input Transaksi'!$B$5:$B$5000)/('Input Transaksi'!$B$5:$B$5000="CUCI DEWE"),ROWS($E$5:E71)),"")</f>
        <v/>
      </c>
      <c r="F71" s="5" t="n"/>
    </row>
    <row r="72">
      <c r="A72" s="10">
        <f>IF($E72="","",INDEX('Input Transaksi'!$A:$A,$E72))</f>
        <v/>
      </c>
      <c r="B72" s="5">
        <f>IF($E72="","",INDEX('Input Transaksi'!$D:$D,$E72))</f>
        <v/>
      </c>
      <c r="C72">
        <f>IF($E72="","",INDEX('Input Transaksi'!$E:$E,$E72))</f>
        <v/>
      </c>
      <c r="D72" s="5">
        <f>IF($E72="","",INDEX('Input Transaksi'!$F:$F,$E72))</f>
        <v/>
      </c>
      <c r="E72">
        <f>IFERROR(AGGREGATE(15,6,ROW('Input Transaksi'!$B$5:$B$5000)/('Input Transaksi'!$B$5:$B$5000="CUCI DEWE"),ROWS($E$5:E72)),"")</f>
        <v/>
      </c>
      <c r="F72" s="5" t="n"/>
    </row>
    <row r="73">
      <c r="A73" s="10">
        <f>IF($E73="","",INDEX('Input Transaksi'!$A:$A,$E73))</f>
        <v/>
      </c>
      <c r="B73" s="5">
        <f>IF($E73="","",INDEX('Input Transaksi'!$D:$D,$E73))</f>
        <v/>
      </c>
      <c r="C73">
        <f>IF($E73="","",INDEX('Input Transaksi'!$E:$E,$E73))</f>
        <v/>
      </c>
      <c r="D73" s="5">
        <f>IF($E73="","",INDEX('Input Transaksi'!$F:$F,$E73))</f>
        <v/>
      </c>
      <c r="E73">
        <f>IFERROR(AGGREGATE(15,6,ROW('Input Transaksi'!$B$5:$B$5000)/('Input Transaksi'!$B$5:$B$5000="CUCI DEWE"),ROWS($E$5:E73)),"")</f>
        <v/>
      </c>
      <c r="F73" s="5" t="n"/>
    </row>
    <row r="74">
      <c r="A74" s="10">
        <f>IF($E74="","",INDEX('Input Transaksi'!$A:$A,$E74))</f>
        <v/>
      </c>
      <c r="B74" s="5">
        <f>IF($E74="","",INDEX('Input Transaksi'!$D:$D,$E74))</f>
        <v/>
      </c>
      <c r="C74">
        <f>IF($E74="","",INDEX('Input Transaksi'!$E:$E,$E74))</f>
        <v/>
      </c>
      <c r="D74" s="5">
        <f>IF($E74="","",INDEX('Input Transaksi'!$F:$F,$E74))</f>
        <v/>
      </c>
      <c r="E74">
        <f>IFERROR(AGGREGATE(15,6,ROW('Input Transaksi'!$B$5:$B$5000)/('Input Transaksi'!$B$5:$B$5000="CUCI DEWE"),ROWS($E$5:E74)),"")</f>
        <v/>
      </c>
      <c r="F74" s="5" t="n"/>
    </row>
    <row r="75">
      <c r="A75" s="10">
        <f>IF($E75="","",INDEX('Input Transaksi'!$A:$A,$E75))</f>
        <v/>
      </c>
      <c r="B75" s="5">
        <f>IF($E75="","",INDEX('Input Transaksi'!$D:$D,$E75))</f>
        <v/>
      </c>
      <c r="C75">
        <f>IF($E75="","",INDEX('Input Transaksi'!$E:$E,$E75))</f>
        <v/>
      </c>
      <c r="D75" s="5">
        <f>IF($E75="","",INDEX('Input Transaksi'!$F:$F,$E75))</f>
        <v/>
      </c>
      <c r="E75">
        <f>IFERROR(AGGREGATE(15,6,ROW('Input Transaksi'!$B$5:$B$5000)/('Input Transaksi'!$B$5:$B$5000="CUCI DEWE"),ROWS($E$5:E75)),"")</f>
        <v/>
      </c>
      <c r="F75" s="5" t="n"/>
    </row>
    <row r="76">
      <c r="A76" s="10">
        <f>IF($E76="","",INDEX('Input Transaksi'!$A:$A,$E76))</f>
        <v/>
      </c>
      <c r="B76" s="5">
        <f>IF($E76="","",INDEX('Input Transaksi'!$D:$D,$E76))</f>
        <v/>
      </c>
      <c r="C76">
        <f>IF($E76="","",INDEX('Input Transaksi'!$E:$E,$E76))</f>
        <v/>
      </c>
      <c r="D76" s="5">
        <f>IF($E76="","",INDEX('Input Transaksi'!$F:$F,$E76))</f>
        <v/>
      </c>
      <c r="E76">
        <f>IFERROR(AGGREGATE(15,6,ROW('Input Transaksi'!$B$5:$B$5000)/('Input Transaksi'!$B$5:$B$5000="CUCI DEWE"),ROWS($E$5:E76)),"")</f>
        <v/>
      </c>
      <c r="F76" s="5" t="n"/>
    </row>
    <row r="77">
      <c r="A77" s="10">
        <f>IF($E77="","",INDEX('Input Transaksi'!$A:$A,$E77))</f>
        <v/>
      </c>
      <c r="B77" s="5">
        <f>IF($E77="","",INDEX('Input Transaksi'!$D:$D,$E77))</f>
        <v/>
      </c>
      <c r="C77">
        <f>IF($E77="","",INDEX('Input Transaksi'!$E:$E,$E77))</f>
        <v/>
      </c>
      <c r="D77" s="5">
        <f>IF($E77="","",INDEX('Input Transaksi'!$F:$F,$E77))</f>
        <v/>
      </c>
      <c r="E77">
        <f>IFERROR(AGGREGATE(15,6,ROW('Input Transaksi'!$B$5:$B$5000)/('Input Transaksi'!$B$5:$B$5000="CUCI DEWE"),ROWS($E$5:E77)),"")</f>
        <v/>
      </c>
      <c r="F77" s="5" t="n"/>
    </row>
    <row r="78">
      <c r="A78" s="10">
        <f>IF($E78="","",INDEX('Input Transaksi'!$A:$A,$E78))</f>
        <v/>
      </c>
      <c r="B78" s="5">
        <f>IF($E78="","",INDEX('Input Transaksi'!$D:$D,$E78))</f>
        <v/>
      </c>
      <c r="C78">
        <f>IF($E78="","",INDEX('Input Transaksi'!$E:$E,$E78))</f>
        <v/>
      </c>
      <c r="D78" s="5">
        <f>IF($E78="","",INDEX('Input Transaksi'!$F:$F,$E78))</f>
        <v/>
      </c>
      <c r="E78">
        <f>IFERROR(AGGREGATE(15,6,ROW('Input Transaksi'!$B$5:$B$5000)/('Input Transaksi'!$B$5:$B$5000="CUCI DEWE"),ROWS($E$5:E78)),"")</f>
        <v/>
      </c>
      <c r="F78" s="5" t="n"/>
    </row>
    <row r="79">
      <c r="A79" s="10">
        <f>IF($E79="","",INDEX('Input Transaksi'!$A:$A,$E79))</f>
        <v/>
      </c>
      <c r="B79" s="5">
        <f>IF($E79="","",INDEX('Input Transaksi'!$D:$D,$E79))</f>
        <v/>
      </c>
      <c r="C79">
        <f>IF($E79="","",INDEX('Input Transaksi'!$E:$E,$E79))</f>
        <v/>
      </c>
      <c r="D79" s="5">
        <f>IF($E79="","",INDEX('Input Transaksi'!$F:$F,$E79))</f>
        <v/>
      </c>
      <c r="E79">
        <f>IFERROR(AGGREGATE(15,6,ROW('Input Transaksi'!$B$5:$B$5000)/('Input Transaksi'!$B$5:$B$5000="CUCI DEWE"),ROWS($E$5:E79)),"")</f>
        <v/>
      </c>
      <c r="F79" s="5" t="n"/>
    </row>
    <row r="80">
      <c r="A80" s="10">
        <f>IF($E80="","",INDEX('Input Transaksi'!$A:$A,$E80))</f>
        <v/>
      </c>
      <c r="B80" s="5">
        <f>IF($E80="","",INDEX('Input Transaksi'!$D:$D,$E80))</f>
        <v/>
      </c>
      <c r="C80">
        <f>IF($E80="","",INDEX('Input Transaksi'!$E:$E,$E80))</f>
        <v/>
      </c>
      <c r="D80" s="5">
        <f>IF($E80="","",INDEX('Input Transaksi'!$F:$F,$E80))</f>
        <v/>
      </c>
      <c r="E80">
        <f>IFERROR(AGGREGATE(15,6,ROW('Input Transaksi'!$B$5:$B$5000)/('Input Transaksi'!$B$5:$B$5000="CUCI DEWE"),ROWS($E$5:E80)),"")</f>
        <v/>
      </c>
      <c r="F80" s="5" t="n"/>
    </row>
    <row r="81">
      <c r="A81" s="10">
        <f>IF($E81="","",INDEX('Input Transaksi'!$A:$A,$E81))</f>
        <v/>
      </c>
      <c r="B81" s="5">
        <f>IF($E81="","",INDEX('Input Transaksi'!$D:$D,$E81))</f>
        <v/>
      </c>
      <c r="C81">
        <f>IF($E81="","",INDEX('Input Transaksi'!$E:$E,$E81))</f>
        <v/>
      </c>
      <c r="D81" s="5">
        <f>IF($E81="","",INDEX('Input Transaksi'!$F:$F,$E81))</f>
        <v/>
      </c>
      <c r="E81">
        <f>IFERROR(AGGREGATE(15,6,ROW('Input Transaksi'!$B$5:$B$5000)/('Input Transaksi'!$B$5:$B$5000="CUCI DEWE"),ROWS($E$5:E81)),"")</f>
        <v/>
      </c>
      <c r="F81" s="5" t="n"/>
    </row>
    <row r="82">
      <c r="A82" s="10">
        <f>IF($E82="","",INDEX('Input Transaksi'!$A:$A,$E82))</f>
        <v/>
      </c>
      <c r="B82" s="5">
        <f>IF($E82="","",INDEX('Input Transaksi'!$D:$D,$E82))</f>
        <v/>
      </c>
      <c r="C82">
        <f>IF($E82="","",INDEX('Input Transaksi'!$E:$E,$E82))</f>
        <v/>
      </c>
      <c r="D82" s="5">
        <f>IF($E82="","",INDEX('Input Transaksi'!$F:$F,$E82))</f>
        <v/>
      </c>
      <c r="E82">
        <f>IFERROR(AGGREGATE(15,6,ROW('Input Transaksi'!$B$5:$B$5000)/('Input Transaksi'!$B$5:$B$5000="CUCI DEWE"),ROWS($E$5:E82)),"")</f>
        <v/>
      </c>
      <c r="F82" s="5" t="n"/>
    </row>
    <row r="83">
      <c r="A83" s="10">
        <f>IF($E83="","",INDEX('Input Transaksi'!$A:$A,$E83))</f>
        <v/>
      </c>
      <c r="B83" s="5">
        <f>IF($E83="","",INDEX('Input Transaksi'!$D:$D,$E83))</f>
        <v/>
      </c>
      <c r="C83">
        <f>IF($E83="","",INDEX('Input Transaksi'!$E:$E,$E83))</f>
        <v/>
      </c>
      <c r="D83" s="5">
        <f>IF($E83="","",INDEX('Input Transaksi'!$F:$F,$E83))</f>
        <v/>
      </c>
      <c r="E83">
        <f>IFERROR(AGGREGATE(15,6,ROW('Input Transaksi'!$B$5:$B$5000)/('Input Transaksi'!$B$5:$B$5000="CUCI DEWE"),ROWS($E$5:E83)),"")</f>
        <v/>
      </c>
      <c r="F83" s="5" t="n"/>
    </row>
    <row r="84">
      <c r="A84" s="10">
        <f>IF($E84="","",INDEX('Input Transaksi'!$A:$A,$E84))</f>
        <v/>
      </c>
      <c r="B84" s="5">
        <f>IF($E84="","",INDEX('Input Transaksi'!$D:$D,$E84))</f>
        <v/>
      </c>
      <c r="C84">
        <f>IF($E84="","",INDEX('Input Transaksi'!$E:$E,$E84))</f>
        <v/>
      </c>
      <c r="D84" s="5">
        <f>IF($E84="","",INDEX('Input Transaksi'!$F:$F,$E84))</f>
        <v/>
      </c>
      <c r="E84">
        <f>IFERROR(AGGREGATE(15,6,ROW('Input Transaksi'!$B$5:$B$5000)/('Input Transaksi'!$B$5:$B$5000="CUCI DEWE"),ROWS($E$5:E84)),"")</f>
        <v/>
      </c>
      <c r="F84" s="5" t="n"/>
    </row>
    <row r="85">
      <c r="A85" s="10">
        <f>IF($E85="","",INDEX('Input Transaksi'!$A:$A,$E85))</f>
        <v/>
      </c>
      <c r="B85" s="5">
        <f>IF($E85="","",INDEX('Input Transaksi'!$D:$D,$E85))</f>
        <v/>
      </c>
      <c r="C85">
        <f>IF($E85="","",INDEX('Input Transaksi'!$E:$E,$E85))</f>
        <v/>
      </c>
      <c r="D85" s="5">
        <f>IF($E85="","",INDEX('Input Transaksi'!$F:$F,$E85))</f>
        <v/>
      </c>
      <c r="E85">
        <f>IFERROR(AGGREGATE(15,6,ROW('Input Transaksi'!$B$5:$B$5000)/('Input Transaksi'!$B$5:$B$5000="CUCI DEWE"),ROWS($E$5:E85)),"")</f>
        <v/>
      </c>
      <c r="F85" s="5" t="n"/>
    </row>
    <row r="86">
      <c r="A86" s="10">
        <f>IF($E86="","",INDEX('Input Transaksi'!$A:$A,$E86))</f>
        <v/>
      </c>
      <c r="B86" s="5">
        <f>IF($E86="","",INDEX('Input Transaksi'!$D:$D,$E86))</f>
        <v/>
      </c>
      <c r="C86">
        <f>IF($E86="","",INDEX('Input Transaksi'!$E:$E,$E86))</f>
        <v/>
      </c>
      <c r="D86" s="5">
        <f>IF($E86="","",INDEX('Input Transaksi'!$F:$F,$E86))</f>
        <v/>
      </c>
      <c r="E86">
        <f>IFERROR(AGGREGATE(15,6,ROW('Input Transaksi'!$B$5:$B$5000)/('Input Transaksi'!$B$5:$B$5000="CUCI DEWE"),ROWS($E$5:E86)),"")</f>
        <v/>
      </c>
      <c r="F86" s="5" t="n"/>
    </row>
    <row r="87">
      <c r="A87" s="10">
        <f>IF($E87="","",INDEX('Input Transaksi'!$A:$A,$E87))</f>
        <v/>
      </c>
      <c r="B87" s="5">
        <f>IF($E87="","",INDEX('Input Transaksi'!$D:$D,$E87))</f>
        <v/>
      </c>
      <c r="C87">
        <f>IF($E87="","",INDEX('Input Transaksi'!$E:$E,$E87))</f>
        <v/>
      </c>
      <c r="D87" s="5">
        <f>IF($E87="","",INDEX('Input Transaksi'!$F:$F,$E87))</f>
        <v/>
      </c>
      <c r="E87">
        <f>IFERROR(AGGREGATE(15,6,ROW('Input Transaksi'!$B$5:$B$5000)/('Input Transaksi'!$B$5:$B$5000="CUCI DEWE"),ROWS($E$5:E87)),"")</f>
        <v/>
      </c>
      <c r="F87" s="5" t="n"/>
    </row>
    <row r="88">
      <c r="A88" s="10">
        <f>IF($E88="","",INDEX('Input Transaksi'!$A:$A,$E88))</f>
        <v/>
      </c>
      <c r="B88" s="5">
        <f>IF($E88="","",INDEX('Input Transaksi'!$D:$D,$E88))</f>
        <v/>
      </c>
      <c r="C88">
        <f>IF($E88="","",INDEX('Input Transaksi'!$E:$E,$E88))</f>
        <v/>
      </c>
      <c r="D88" s="5">
        <f>IF($E88="","",INDEX('Input Transaksi'!$F:$F,$E88))</f>
        <v/>
      </c>
      <c r="E88">
        <f>IFERROR(AGGREGATE(15,6,ROW('Input Transaksi'!$B$5:$B$5000)/('Input Transaksi'!$B$5:$B$5000="CUCI DEWE"),ROWS($E$5:E88)),"")</f>
        <v/>
      </c>
      <c r="F88" s="5" t="n"/>
    </row>
    <row r="89">
      <c r="A89" s="10">
        <f>IF($E89="","",INDEX('Input Transaksi'!$A:$A,$E89))</f>
        <v/>
      </c>
      <c r="B89" s="5">
        <f>IF($E89="","",INDEX('Input Transaksi'!$D:$D,$E89))</f>
        <v/>
      </c>
      <c r="C89">
        <f>IF($E89="","",INDEX('Input Transaksi'!$E:$E,$E89))</f>
        <v/>
      </c>
      <c r="D89" s="5">
        <f>IF($E89="","",INDEX('Input Transaksi'!$F:$F,$E89))</f>
        <v/>
      </c>
      <c r="E89">
        <f>IFERROR(AGGREGATE(15,6,ROW('Input Transaksi'!$B$5:$B$5000)/('Input Transaksi'!$B$5:$B$5000="CUCI DEWE"),ROWS($E$5:E89)),"")</f>
        <v/>
      </c>
      <c r="F89" s="5" t="n"/>
    </row>
    <row r="90">
      <c r="A90" s="10">
        <f>IF($E90="","",INDEX('Input Transaksi'!$A:$A,$E90))</f>
        <v/>
      </c>
      <c r="B90" s="5">
        <f>IF($E90="","",INDEX('Input Transaksi'!$D:$D,$E90))</f>
        <v/>
      </c>
      <c r="C90">
        <f>IF($E90="","",INDEX('Input Transaksi'!$E:$E,$E90))</f>
        <v/>
      </c>
      <c r="D90" s="5">
        <f>IF($E90="","",INDEX('Input Transaksi'!$F:$F,$E90))</f>
        <v/>
      </c>
      <c r="E90">
        <f>IFERROR(AGGREGATE(15,6,ROW('Input Transaksi'!$B$5:$B$5000)/('Input Transaksi'!$B$5:$B$5000="CUCI DEWE"),ROWS($E$5:E90)),"")</f>
        <v/>
      </c>
      <c r="F90" s="5" t="n"/>
    </row>
    <row r="91">
      <c r="A91" s="10">
        <f>IF($E91="","",INDEX('Input Transaksi'!$A:$A,$E91))</f>
        <v/>
      </c>
      <c r="B91" s="5">
        <f>IF($E91="","",INDEX('Input Transaksi'!$D:$D,$E91))</f>
        <v/>
      </c>
      <c r="C91">
        <f>IF($E91="","",INDEX('Input Transaksi'!$E:$E,$E91))</f>
        <v/>
      </c>
      <c r="D91" s="5">
        <f>IF($E91="","",INDEX('Input Transaksi'!$F:$F,$E91))</f>
        <v/>
      </c>
      <c r="E91">
        <f>IFERROR(AGGREGATE(15,6,ROW('Input Transaksi'!$B$5:$B$5000)/('Input Transaksi'!$B$5:$B$5000="CUCI DEWE"),ROWS($E$5:E91)),"")</f>
        <v/>
      </c>
      <c r="F91" s="5" t="n"/>
    </row>
    <row r="92">
      <c r="A92" s="10">
        <f>IF($E92="","",INDEX('Input Transaksi'!$A:$A,$E92))</f>
        <v/>
      </c>
      <c r="B92" s="5">
        <f>IF($E92="","",INDEX('Input Transaksi'!$D:$D,$E92))</f>
        <v/>
      </c>
      <c r="C92">
        <f>IF($E92="","",INDEX('Input Transaksi'!$E:$E,$E92))</f>
        <v/>
      </c>
      <c r="D92" s="5">
        <f>IF($E92="","",INDEX('Input Transaksi'!$F:$F,$E92))</f>
        <v/>
      </c>
      <c r="E92">
        <f>IFERROR(AGGREGATE(15,6,ROW('Input Transaksi'!$B$5:$B$5000)/('Input Transaksi'!$B$5:$B$5000="CUCI DEWE"),ROWS($E$5:E92)),"")</f>
        <v/>
      </c>
      <c r="F92" s="5" t="n"/>
    </row>
    <row r="93">
      <c r="A93" s="10">
        <f>IF($E93="","",INDEX('Input Transaksi'!$A:$A,$E93))</f>
        <v/>
      </c>
      <c r="B93" s="5">
        <f>IF($E93="","",INDEX('Input Transaksi'!$D:$D,$E93))</f>
        <v/>
      </c>
      <c r="C93">
        <f>IF($E93="","",INDEX('Input Transaksi'!$E:$E,$E93))</f>
        <v/>
      </c>
      <c r="D93" s="5">
        <f>IF($E93="","",INDEX('Input Transaksi'!$F:$F,$E93))</f>
        <v/>
      </c>
      <c r="E93">
        <f>IFERROR(AGGREGATE(15,6,ROW('Input Transaksi'!$B$5:$B$5000)/('Input Transaksi'!$B$5:$B$5000="CUCI DEWE"),ROWS($E$5:E93)),"")</f>
        <v/>
      </c>
      <c r="F93" s="5" t="n"/>
    </row>
    <row r="94">
      <c r="A94" s="10">
        <f>IF($E94="","",INDEX('Input Transaksi'!$A:$A,$E94))</f>
        <v/>
      </c>
      <c r="B94" s="5">
        <f>IF($E94="","",INDEX('Input Transaksi'!$D:$D,$E94))</f>
        <v/>
      </c>
      <c r="C94">
        <f>IF($E94="","",INDEX('Input Transaksi'!$E:$E,$E94))</f>
        <v/>
      </c>
      <c r="D94" s="5">
        <f>IF($E94="","",INDEX('Input Transaksi'!$F:$F,$E94))</f>
        <v/>
      </c>
      <c r="E94">
        <f>IFERROR(AGGREGATE(15,6,ROW('Input Transaksi'!$B$5:$B$5000)/('Input Transaksi'!$B$5:$B$5000="CUCI DEWE"),ROWS($E$5:E94)),"")</f>
        <v/>
      </c>
      <c r="F94" s="5" t="n"/>
    </row>
    <row r="95">
      <c r="A95" s="10">
        <f>IF($E95="","",INDEX('Input Transaksi'!$A:$A,$E95))</f>
        <v/>
      </c>
      <c r="B95" s="5">
        <f>IF($E95="","",INDEX('Input Transaksi'!$D:$D,$E95))</f>
        <v/>
      </c>
      <c r="C95">
        <f>IF($E95="","",INDEX('Input Transaksi'!$E:$E,$E95))</f>
        <v/>
      </c>
      <c r="D95" s="5">
        <f>IF($E95="","",INDEX('Input Transaksi'!$F:$F,$E95))</f>
        <v/>
      </c>
      <c r="E95">
        <f>IFERROR(AGGREGATE(15,6,ROW('Input Transaksi'!$B$5:$B$5000)/('Input Transaksi'!$B$5:$B$5000="CUCI DEWE"),ROWS($E$5:E95)),"")</f>
        <v/>
      </c>
      <c r="F95" s="5" t="n"/>
    </row>
    <row r="96">
      <c r="A96" s="10">
        <f>IF($E96="","",INDEX('Input Transaksi'!$A:$A,$E96))</f>
        <v/>
      </c>
      <c r="B96" s="5">
        <f>IF($E96="","",INDEX('Input Transaksi'!$D:$D,$E96))</f>
        <v/>
      </c>
      <c r="C96">
        <f>IF($E96="","",INDEX('Input Transaksi'!$E:$E,$E96))</f>
        <v/>
      </c>
      <c r="D96" s="5">
        <f>IF($E96="","",INDEX('Input Transaksi'!$F:$F,$E96))</f>
        <v/>
      </c>
      <c r="E96">
        <f>IFERROR(AGGREGATE(15,6,ROW('Input Transaksi'!$B$5:$B$5000)/('Input Transaksi'!$B$5:$B$5000="CUCI DEWE"),ROWS($E$5:E96)),"")</f>
        <v/>
      </c>
      <c r="F96" s="5" t="n"/>
    </row>
    <row r="97">
      <c r="A97" s="10">
        <f>IF($E97="","",INDEX('Input Transaksi'!$A:$A,$E97))</f>
        <v/>
      </c>
      <c r="B97" s="5">
        <f>IF($E97="","",INDEX('Input Transaksi'!$D:$D,$E97))</f>
        <v/>
      </c>
      <c r="C97">
        <f>IF($E97="","",INDEX('Input Transaksi'!$E:$E,$E97))</f>
        <v/>
      </c>
      <c r="D97" s="5">
        <f>IF($E97="","",INDEX('Input Transaksi'!$F:$F,$E97))</f>
        <v/>
      </c>
      <c r="E97">
        <f>IFERROR(AGGREGATE(15,6,ROW('Input Transaksi'!$B$5:$B$5000)/('Input Transaksi'!$B$5:$B$5000="CUCI DEWE"),ROWS($E$5:E97)),"")</f>
        <v/>
      </c>
      <c r="F97" s="5" t="n"/>
    </row>
    <row r="98">
      <c r="A98" s="10">
        <f>IF($E98="","",INDEX('Input Transaksi'!$A:$A,$E98))</f>
        <v/>
      </c>
      <c r="B98" s="5">
        <f>IF($E98="","",INDEX('Input Transaksi'!$D:$D,$E98))</f>
        <v/>
      </c>
      <c r="C98">
        <f>IF($E98="","",INDEX('Input Transaksi'!$E:$E,$E98))</f>
        <v/>
      </c>
      <c r="D98" s="5">
        <f>IF($E98="","",INDEX('Input Transaksi'!$F:$F,$E98))</f>
        <v/>
      </c>
      <c r="E98">
        <f>IFERROR(AGGREGATE(15,6,ROW('Input Transaksi'!$B$5:$B$5000)/('Input Transaksi'!$B$5:$B$5000="CUCI DEWE"),ROWS($E$5:E98)),"")</f>
        <v/>
      </c>
      <c r="F98" s="5" t="n"/>
    </row>
    <row r="99">
      <c r="A99" s="10">
        <f>IF($E99="","",INDEX('Input Transaksi'!$A:$A,$E99))</f>
        <v/>
      </c>
      <c r="B99" s="5">
        <f>IF($E99="","",INDEX('Input Transaksi'!$D:$D,$E99))</f>
        <v/>
      </c>
      <c r="C99">
        <f>IF($E99="","",INDEX('Input Transaksi'!$E:$E,$E99))</f>
        <v/>
      </c>
      <c r="D99" s="5">
        <f>IF($E99="","",INDEX('Input Transaksi'!$F:$F,$E99))</f>
        <v/>
      </c>
      <c r="E99">
        <f>IFERROR(AGGREGATE(15,6,ROW('Input Transaksi'!$B$5:$B$5000)/('Input Transaksi'!$B$5:$B$5000="CUCI DEWE"),ROWS($E$5:E99)),"")</f>
        <v/>
      </c>
      <c r="F99" s="5" t="n"/>
    </row>
    <row r="100">
      <c r="A100" s="10">
        <f>IF($E100="","",INDEX('Input Transaksi'!$A:$A,$E100))</f>
        <v/>
      </c>
      <c r="B100" s="5">
        <f>IF($E100="","",INDEX('Input Transaksi'!$D:$D,$E100))</f>
        <v/>
      </c>
      <c r="C100">
        <f>IF($E100="","",INDEX('Input Transaksi'!$E:$E,$E100))</f>
        <v/>
      </c>
      <c r="D100" s="5">
        <f>IF($E100="","",INDEX('Input Transaksi'!$F:$F,$E100))</f>
        <v/>
      </c>
      <c r="E100">
        <f>IFERROR(AGGREGATE(15,6,ROW('Input Transaksi'!$B$5:$B$5000)/('Input Transaksi'!$B$5:$B$5000="CUCI DEWE"),ROWS($E$5:E100)),"")</f>
        <v/>
      </c>
      <c r="F100" s="5" t="n"/>
    </row>
    <row r="101">
      <c r="A101" s="10">
        <f>IF($E101="","",INDEX('Input Transaksi'!$A:$A,$E101))</f>
        <v/>
      </c>
      <c r="B101" s="5">
        <f>IF($E101="","",INDEX('Input Transaksi'!$D:$D,$E101))</f>
        <v/>
      </c>
      <c r="C101">
        <f>IF($E101="","",INDEX('Input Transaksi'!$E:$E,$E101))</f>
        <v/>
      </c>
      <c r="D101" s="5">
        <f>IF($E101="","",INDEX('Input Transaksi'!$F:$F,$E101))</f>
        <v/>
      </c>
      <c r="E101">
        <f>IFERROR(AGGREGATE(15,6,ROW('Input Transaksi'!$B$5:$B$5000)/('Input Transaksi'!$B$5:$B$5000="CUCI DEWE"),ROWS($E$5:E101)),"")</f>
        <v/>
      </c>
      <c r="F101" s="5" t="n"/>
    </row>
    <row r="102">
      <c r="A102" s="10">
        <f>IF($E102="","",INDEX('Input Transaksi'!$A:$A,$E102))</f>
        <v/>
      </c>
      <c r="B102" s="5">
        <f>IF($E102="","",INDEX('Input Transaksi'!$D:$D,$E102))</f>
        <v/>
      </c>
      <c r="C102">
        <f>IF($E102="","",INDEX('Input Transaksi'!$E:$E,$E102))</f>
        <v/>
      </c>
      <c r="D102" s="5">
        <f>IF($E102="","",INDEX('Input Transaksi'!$F:$F,$E102))</f>
        <v/>
      </c>
      <c r="E102">
        <f>IFERROR(AGGREGATE(15,6,ROW('Input Transaksi'!$B$5:$B$5000)/('Input Transaksi'!$B$5:$B$5000="CUCI DEWE"),ROWS($E$5:E102)),"")</f>
        <v/>
      </c>
      <c r="F102" s="5" t="n"/>
    </row>
    <row r="103">
      <c r="A103" s="10">
        <f>IF($E103="","",INDEX('Input Transaksi'!$A:$A,$E103))</f>
        <v/>
      </c>
      <c r="B103" s="5">
        <f>IF($E103="","",INDEX('Input Transaksi'!$D:$D,$E103))</f>
        <v/>
      </c>
      <c r="C103">
        <f>IF($E103="","",INDEX('Input Transaksi'!$E:$E,$E103))</f>
        <v/>
      </c>
      <c r="D103" s="5">
        <f>IF($E103="","",INDEX('Input Transaksi'!$F:$F,$E103))</f>
        <v/>
      </c>
      <c r="E103">
        <f>IFERROR(AGGREGATE(15,6,ROW('Input Transaksi'!$B$5:$B$5000)/('Input Transaksi'!$B$5:$B$5000="CUCI DEWE"),ROWS($E$5:E103)),"")</f>
        <v/>
      </c>
      <c r="F103" s="5" t="n"/>
    </row>
    <row r="104">
      <c r="A104" s="10">
        <f>IF($E104="","",INDEX('Input Transaksi'!$A:$A,$E104))</f>
        <v/>
      </c>
      <c r="B104" s="5">
        <f>IF($E104="","",INDEX('Input Transaksi'!$D:$D,$E104))</f>
        <v/>
      </c>
      <c r="C104">
        <f>IF($E104="","",INDEX('Input Transaksi'!$E:$E,$E104))</f>
        <v/>
      </c>
      <c r="D104" s="5">
        <f>IF($E104="","",INDEX('Input Transaksi'!$F:$F,$E104))</f>
        <v/>
      </c>
      <c r="E104">
        <f>IFERROR(AGGREGATE(15,6,ROW('Input Transaksi'!$B$5:$B$5000)/('Input Transaksi'!$B$5:$B$5000="CUCI DEWE"),ROWS($E$5:E104)),"")</f>
        <v/>
      </c>
      <c r="F104" s="5" t="n"/>
    </row>
    <row r="105">
      <c r="A105" s="10">
        <f>IF($E105="","",INDEX('Input Transaksi'!$A:$A,$E105))</f>
        <v/>
      </c>
      <c r="B105" s="5">
        <f>IF($E105="","",INDEX('Input Transaksi'!$D:$D,$E105))</f>
        <v/>
      </c>
      <c r="C105">
        <f>IF($E105="","",INDEX('Input Transaksi'!$E:$E,$E105))</f>
        <v/>
      </c>
      <c r="D105" s="5">
        <f>IF($E105="","",INDEX('Input Transaksi'!$F:$F,$E105))</f>
        <v/>
      </c>
      <c r="E105">
        <f>IFERROR(AGGREGATE(15,6,ROW('Input Transaksi'!$B$5:$B$5000)/('Input Transaksi'!$B$5:$B$5000="CUCI DEWE"),ROWS($E$5:E105)),"")</f>
        <v/>
      </c>
      <c r="F105" s="5" t="n"/>
    </row>
    <row r="106">
      <c r="A106" s="10">
        <f>IF($E106="","",INDEX('Input Transaksi'!$A:$A,$E106))</f>
        <v/>
      </c>
      <c r="B106" s="5">
        <f>IF($E106="","",INDEX('Input Transaksi'!$D:$D,$E106))</f>
        <v/>
      </c>
      <c r="C106">
        <f>IF($E106="","",INDEX('Input Transaksi'!$E:$E,$E106))</f>
        <v/>
      </c>
      <c r="D106" s="5">
        <f>IF($E106="","",INDEX('Input Transaksi'!$F:$F,$E106))</f>
        <v/>
      </c>
      <c r="E106">
        <f>IFERROR(AGGREGATE(15,6,ROW('Input Transaksi'!$B$5:$B$5000)/('Input Transaksi'!$B$5:$B$5000="CUCI DEWE"),ROWS($E$5:E106)),"")</f>
        <v/>
      </c>
      <c r="F106" s="5" t="n"/>
    </row>
    <row r="107">
      <c r="A107" s="10">
        <f>IF($E107="","",INDEX('Input Transaksi'!$A:$A,$E107))</f>
        <v/>
      </c>
      <c r="B107" s="5">
        <f>IF($E107="","",INDEX('Input Transaksi'!$D:$D,$E107))</f>
        <v/>
      </c>
      <c r="C107">
        <f>IF($E107="","",INDEX('Input Transaksi'!$E:$E,$E107))</f>
        <v/>
      </c>
      <c r="D107" s="5">
        <f>IF($E107="","",INDEX('Input Transaksi'!$F:$F,$E107))</f>
        <v/>
      </c>
      <c r="E107">
        <f>IFERROR(AGGREGATE(15,6,ROW('Input Transaksi'!$B$5:$B$5000)/('Input Transaksi'!$B$5:$B$5000="CUCI DEWE"),ROWS($E$5:E107)),"")</f>
        <v/>
      </c>
      <c r="F107" s="5" t="n"/>
    </row>
    <row r="108">
      <c r="A108" s="10">
        <f>IF($E108="","",INDEX('Input Transaksi'!$A:$A,$E108))</f>
        <v/>
      </c>
      <c r="B108" s="5">
        <f>IF($E108="","",INDEX('Input Transaksi'!$D:$D,$E108))</f>
        <v/>
      </c>
      <c r="C108">
        <f>IF($E108="","",INDEX('Input Transaksi'!$E:$E,$E108))</f>
        <v/>
      </c>
      <c r="D108" s="5">
        <f>IF($E108="","",INDEX('Input Transaksi'!$F:$F,$E108))</f>
        <v/>
      </c>
      <c r="E108">
        <f>IFERROR(AGGREGATE(15,6,ROW('Input Transaksi'!$B$5:$B$5000)/('Input Transaksi'!$B$5:$B$5000="CUCI DEWE"),ROWS($E$5:E108)),"")</f>
        <v/>
      </c>
      <c r="F108" s="5" t="n"/>
    </row>
    <row r="109">
      <c r="A109" s="10">
        <f>IF($E109="","",INDEX('Input Transaksi'!$A:$A,$E109))</f>
        <v/>
      </c>
      <c r="B109" s="5">
        <f>IF($E109="","",INDEX('Input Transaksi'!$D:$D,$E109))</f>
        <v/>
      </c>
      <c r="C109">
        <f>IF($E109="","",INDEX('Input Transaksi'!$E:$E,$E109))</f>
        <v/>
      </c>
      <c r="D109" s="5">
        <f>IF($E109="","",INDEX('Input Transaksi'!$F:$F,$E109))</f>
        <v/>
      </c>
      <c r="E109">
        <f>IFERROR(AGGREGATE(15,6,ROW('Input Transaksi'!$B$5:$B$5000)/('Input Transaksi'!$B$5:$B$5000="CUCI DEWE"),ROWS($E$5:E109)),"")</f>
        <v/>
      </c>
      <c r="F109" s="5" t="n"/>
    </row>
    <row r="110">
      <c r="A110" s="10">
        <f>IF($E110="","",INDEX('Input Transaksi'!$A:$A,$E110))</f>
        <v/>
      </c>
      <c r="B110" s="5">
        <f>IF($E110="","",INDEX('Input Transaksi'!$D:$D,$E110))</f>
        <v/>
      </c>
      <c r="C110">
        <f>IF($E110="","",INDEX('Input Transaksi'!$E:$E,$E110))</f>
        <v/>
      </c>
      <c r="D110" s="5">
        <f>IF($E110="","",INDEX('Input Transaksi'!$F:$F,$E110))</f>
        <v/>
      </c>
      <c r="E110">
        <f>IFERROR(AGGREGATE(15,6,ROW('Input Transaksi'!$B$5:$B$5000)/('Input Transaksi'!$B$5:$B$5000="CUCI DEWE"),ROWS($E$5:E110)),"")</f>
        <v/>
      </c>
      <c r="F110" s="5" t="n"/>
    </row>
    <row r="111">
      <c r="A111" s="10">
        <f>IF($E111="","",INDEX('Input Transaksi'!$A:$A,$E111))</f>
        <v/>
      </c>
      <c r="B111" s="5">
        <f>IF($E111="","",INDEX('Input Transaksi'!$D:$D,$E111))</f>
        <v/>
      </c>
      <c r="C111">
        <f>IF($E111="","",INDEX('Input Transaksi'!$E:$E,$E111))</f>
        <v/>
      </c>
      <c r="D111" s="5">
        <f>IF($E111="","",INDEX('Input Transaksi'!$F:$F,$E111))</f>
        <v/>
      </c>
      <c r="E111">
        <f>IFERROR(AGGREGATE(15,6,ROW('Input Transaksi'!$B$5:$B$5000)/('Input Transaksi'!$B$5:$B$5000="CUCI DEWE"),ROWS($E$5:E111)),"")</f>
        <v/>
      </c>
      <c r="F111" s="5" t="n"/>
    </row>
    <row r="112">
      <c r="A112" s="10">
        <f>IF($E112="","",INDEX('Input Transaksi'!$A:$A,$E112))</f>
        <v/>
      </c>
      <c r="B112" s="5">
        <f>IF($E112="","",INDEX('Input Transaksi'!$D:$D,$E112))</f>
        <v/>
      </c>
      <c r="C112">
        <f>IF($E112="","",INDEX('Input Transaksi'!$E:$E,$E112))</f>
        <v/>
      </c>
      <c r="D112" s="5">
        <f>IF($E112="","",INDEX('Input Transaksi'!$F:$F,$E112))</f>
        <v/>
      </c>
      <c r="E112">
        <f>IFERROR(AGGREGATE(15,6,ROW('Input Transaksi'!$B$5:$B$5000)/('Input Transaksi'!$B$5:$B$5000="CUCI DEWE"),ROWS($E$5:E112)),"")</f>
        <v/>
      </c>
      <c r="F112" s="5" t="n"/>
    </row>
    <row r="113">
      <c r="A113" s="10">
        <f>IF($E113="","",INDEX('Input Transaksi'!$A:$A,$E113))</f>
        <v/>
      </c>
      <c r="B113" s="5">
        <f>IF($E113="","",INDEX('Input Transaksi'!$D:$D,$E113))</f>
        <v/>
      </c>
      <c r="C113">
        <f>IF($E113="","",INDEX('Input Transaksi'!$E:$E,$E113))</f>
        <v/>
      </c>
      <c r="D113" s="5">
        <f>IF($E113="","",INDEX('Input Transaksi'!$F:$F,$E113))</f>
        <v/>
      </c>
      <c r="E113">
        <f>IFERROR(AGGREGATE(15,6,ROW('Input Transaksi'!$B$5:$B$5000)/('Input Transaksi'!$B$5:$B$5000="CUCI DEWE"),ROWS($E$5:E113)),"")</f>
        <v/>
      </c>
      <c r="F113" s="5" t="n"/>
    </row>
    <row r="114">
      <c r="A114" s="10">
        <f>IF($E114="","",INDEX('Input Transaksi'!$A:$A,$E114))</f>
        <v/>
      </c>
      <c r="B114" s="5">
        <f>IF($E114="","",INDEX('Input Transaksi'!$D:$D,$E114))</f>
        <v/>
      </c>
      <c r="C114">
        <f>IF($E114="","",INDEX('Input Transaksi'!$E:$E,$E114))</f>
        <v/>
      </c>
      <c r="D114" s="5">
        <f>IF($E114="","",INDEX('Input Transaksi'!$F:$F,$E114))</f>
        <v/>
      </c>
      <c r="E114">
        <f>IFERROR(AGGREGATE(15,6,ROW('Input Transaksi'!$B$5:$B$5000)/('Input Transaksi'!$B$5:$B$5000="CUCI DEWE"),ROWS($E$5:E114)),"")</f>
        <v/>
      </c>
      <c r="F114" s="5" t="n"/>
    </row>
    <row r="115">
      <c r="A115" s="10">
        <f>IF($E115="","",INDEX('Input Transaksi'!$A:$A,$E115))</f>
        <v/>
      </c>
      <c r="B115" s="5">
        <f>IF($E115="","",INDEX('Input Transaksi'!$D:$D,$E115))</f>
        <v/>
      </c>
      <c r="C115">
        <f>IF($E115="","",INDEX('Input Transaksi'!$E:$E,$E115))</f>
        <v/>
      </c>
      <c r="D115" s="5">
        <f>IF($E115="","",INDEX('Input Transaksi'!$F:$F,$E115))</f>
        <v/>
      </c>
      <c r="E115">
        <f>IFERROR(AGGREGATE(15,6,ROW('Input Transaksi'!$B$5:$B$5000)/('Input Transaksi'!$B$5:$B$5000="CUCI DEWE"),ROWS($E$5:E115)),"")</f>
        <v/>
      </c>
      <c r="F115" s="5" t="n"/>
    </row>
    <row r="116">
      <c r="A116" s="10">
        <f>IF($E116="","",INDEX('Input Transaksi'!$A:$A,$E116))</f>
        <v/>
      </c>
      <c r="B116" s="5">
        <f>IF($E116="","",INDEX('Input Transaksi'!$D:$D,$E116))</f>
        <v/>
      </c>
      <c r="C116">
        <f>IF($E116="","",INDEX('Input Transaksi'!$E:$E,$E116))</f>
        <v/>
      </c>
      <c r="D116" s="5">
        <f>IF($E116="","",INDEX('Input Transaksi'!$F:$F,$E116))</f>
        <v/>
      </c>
      <c r="E116">
        <f>IFERROR(AGGREGATE(15,6,ROW('Input Transaksi'!$B$5:$B$5000)/('Input Transaksi'!$B$5:$B$5000="CUCI DEWE"),ROWS($E$5:E116)),"")</f>
        <v/>
      </c>
      <c r="F116" s="5" t="n"/>
    </row>
    <row r="117">
      <c r="A117" s="10">
        <f>IF($E117="","",INDEX('Input Transaksi'!$A:$A,$E117))</f>
        <v/>
      </c>
      <c r="B117" s="5">
        <f>IF($E117="","",INDEX('Input Transaksi'!$D:$D,$E117))</f>
        <v/>
      </c>
      <c r="C117">
        <f>IF($E117="","",INDEX('Input Transaksi'!$E:$E,$E117))</f>
        <v/>
      </c>
      <c r="D117" s="5">
        <f>IF($E117="","",INDEX('Input Transaksi'!$F:$F,$E117))</f>
        <v/>
      </c>
      <c r="E117">
        <f>IFERROR(AGGREGATE(15,6,ROW('Input Transaksi'!$B$5:$B$5000)/('Input Transaksi'!$B$5:$B$5000="CUCI DEWE"),ROWS($E$5:E117)),"")</f>
        <v/>
      </c>
      <c r="F117" s="5" t="n"/>
    </row>
    <row r="118">
      <c r="A118" s="10">
        <f>IF($E118="","",INDEX('Input Transaksi'!$A:$A,$E118))</f>
        <v/>
      </c>
      <c r="B118" s="5">
        <f>IF($E118="","",INDEX('Input Transaksi'!$D:$D,$E118))</f>
        <v/>
      </c>
      <c r="C118">
        <f>IF($E118="","",INDEX('Input Transaksi'!$E:$E,$E118))</f>
        <v/>
      </c>
      <c r="D118" s="5">
        <f>IF($E118="","",INDEX('Input Transaksi'!$F:$F,$E118))</f>
        <v/>
      </c>
      <c r="E118">
        <f>IFERROR(AGGREGATE(15,6,ROW('Input Transaksi'!$B$5:$B$5000)/('Input Transaksi'!$B$5:$B$5000="CUCI DEWE"),ROWS($E$5:E118)),"")</f>
        <v/>
      </c>
      <c r="F118" s="5" t="n"/>
    </row>
    <row r="119">
      <c r="A119" s="10">
        <f>IF($E119="","",INDEX('Input Transaksi'!$A:$A,$E119))</f>
        <v/>
      </c>
      <c r="B119" s="5">
        <f>IF($E119="","",INDEX('Input Transaksi'!$D:$D,$E119))</f>
        <v/>
      </c>
      <c r="C119">
        <f>IF($E119="","",INDEX('Input Transaksi'!$E:$E,$E119))</f>
        <v/>
      </c>
      <c r="D119" s="5">
        <f>IF($E119="","",INDEX('Input Transaksi'!$F:$F,$E119))</f>
        <v/>
      </c>
      <c r="E119">
        <f>IFERROR(AGGREGATE(15,6,ROW('Input Transaksi'!$B$5:$B$5000)/('Input Transaksi'!$B$5:$B$5000="CUCI DEWE"),ROWS($E$5:E119)),"")</f>
        <v/>
      </c>
      <c r="F119" s="5" t="n"/>
    </row>
    <row r="120">
      <c r="A120" s="10">
        <f>IF($E120="","",INDEX('Input Transaksi'!$A:$A,$E120))</f>
        <v/>
      </c>
      <c r="B120" s="5">
        <f>IF($E120="","",INDEX('Input Transaksi'!$D:$D,$E120))</f>
        <v/>
      </c>
      <c r="C120">
        <f>IF($E120="","",INDEX('Input Transaksi'!$E:$E,$E120))</f>
        <v/>
      </c>
      <c r="D120" s="5">
        <f>IF($E120="","",INDEX('Input Transaksi'!$F:$F,$E120))</f>
        <v/>
      </c>
      <c r="E120">
        <f>IFERROR(AGGREGATE(15,6,ROW('Input Transaksi'!$B$5:$B$5000)/('Input Transaksi'!$B$5:$B$5000="CUCI DEWE"),ROWS($E$5:E120)),"")</f>
        <v/>
      </c>
      <c r="F120" s="5" t="n"/>
    </row>
    <row r="121">
      <c r="A121" s="10">
        <f>IF($E121="","",INDEX('Input Transaksi'!$A:$A,$E121))</f>
        <v/>
      </c>
      <c r="B121" s="5">
        <f>IF($E121="","",INDEX('Input Transaksi'!$D:$D,$E121))</f>
        <v/>
      </c>
      <c r="C121">
        <f>IF($E121="","",INDEX('Input Transaksi'!$E:$E,$E121))</f>
        <v/>
      </c>
      <c r="D121" s="5">
        <f>IF($E121="","",INDEX('Input Transaksi'!$F:$F,$E121))</f>
        <v/>
      </c>
      <c r="E121">
        <f>IFERROR(AGGREGATE(15,6,ROW('Input Transaksi'!$B$5:$B$5000)/('Input Transaksi'!$B$5:$B$5000="CUCI DEWE"),ROWS($E$5:E121)),"")</f>
        <v/>
      </c>
      <c r="F121" s="5" t="n"/>
    </row>
    <row r="122">
      <c r="A122" s="10">
        <f>IF($E122="","",INDEX('Input Transaksi'!$A:$A,$E122))</f>
        <v/>
      </c>
      <c r="B122" s="5">
        <f>IF($E122="","",INDEX('Input Transaksi'!$D:$D,$E122))</f>
        <v/>
      </c>
      <c r="C122">
        <f>IF($E122="","",INDEX('Input Transaksi'!$E:$E,$E122))</f>
        <v/>
      </c>
      <c r="D122" s="5">
        <f>IF($E122="","",INDEX('Input Transaksi'!$F:$F,$E122))</f>
        <v/>
      </c>
      <c r="E122">
        <f>IFERROR(AGGREGATE(15,6,ROW('Input Transaksi'!$B$5:$B$5000)/('Input Transaksi'!$B$5:$B$5000="CUCI DEWE"),ROWS($E$5:E122)),"")</f>
        <v/>
      </c>
      <c r="F122" s="5" t="n"/>
    </row>
    <row r="123">
      <c r="A123" s="10">
        <f>IF($E123="","",INDEX('Input Transaksi'!$A:$A,$E123))</f>
        <v/>
      </c>
      <c r="B123" s="5">
        <f>IF($E123="","",INDEX('Input Transaksi'!$D:$D,$E123))</f>
        <v/>
      </c>
      <c r="C123">
        <f>IF($E123="","",INDEX('Input Transaksi'!$E:$E,$E123))</f>
        <v/>
      </c>
      <c r="D123" s="5">
        <f>IF($E123="","",INDEX('Input Transaksi'!$F:$F,$E123))</f>
        <v/>
      </c>
      <c r="E123">
        <f>IFERROR(AGGREGATE(15,6,ROW('Input Transaksi'!$B$5:$B$5000)/('Input Transaksi'!$B$5:$B$5000="CUCI DEWE"),ROWS($E$5:E123)),"")</f>
        <v/>
      </c>
      <c r="F123" s="5" t="n"/>
    </row>
    <row r="124">
      <c r="A124" s="10">
        <f>IF($E124="","",INDEX('Input Transaksi'!$A:$A,$E124))</f>
        <v/>
      </c>
      <c r="B124" s="5">
        <f>IF($E124="","",INDEX('Input Transaksi'!$D:$D,$E124))</f>
        <v/>
      </c>
      <c r="C124">
        <f>IF($E124="","",INDEX('Input Transaksi'!$E:$E,$E124))</f>
        <v/>
      </c>
      <c r="D124" s="5">
        <f>IF($E124="","",INDEX('Input Transaksi'!$F:$F,$E124))</f>
        <v/>
      </c>
      <c r="E124">
        <f>IFERROR(AGGREGATE(15,6,ROW('Input Transaksi'!$B$5:$B$5000)/('Input Transaksi'!$B$5:$B$5000="CUCI DEWE"),ROWS($E$5:E124)),"")</f>
        <v/>
      </c>
      <c r="F124" s="5" t="n"/>
    </row>
    <row r="125">
      <c r="A125" s="10">
        <f>IF($E125="","",INDEX('Input Transaksi'!$A:$A,$E125))</f>
        <v/>
      </c>
      <c r="B125" s="5">
        <f>IF($E125="","",INDEX('Input Transaksi'!$D:$D,$E125))</f>
        <v/>
      </c>
      <c r="C125">
        <f>IF($E125="","",INDEX('Input Transaksi'!$E:$E,$E125))</f>
        <v/>
      </c>
      <c r="D125" s="5">
        <f>IF($E125="","",INDEX('Input Transaksi'!$F:$F,$E125))</f>
        <v/>
      </c>
      <c r="E125">
        <f>IFERROR(AGGREGATE(15,6,ROW('Input Transaksi'!$B$5:$B$5000)/('Input Transaksi'!$B$5:$B$5000="CUCI DEWE"),ROWS($E$5:E125)),"")</f>
        <v/>
      </c>
      <c r="F125" s="5" t="n"/>
    </row>
    <row r="126">
      <c r="A126" s="10">
        <f>IF($E126="","",INDEX('Input Transaksi'!$A:$A,$E126))</f>
        <v/>
      </c>
      <c r="B126" s="5">
        <f>IF($E126="","",INDEX('Input Transaksi'!$D:$D,$E126))</f>
        <v/>
      </c>
      <c r="C126">
        <f>IF($E126="","",INDEX('Input Transaksi'!$E:$E,$E126))</f>
        <v/>
      </c>
      <c r="D126" s="5">
        <f>IF($E126="","",INDEX('Input Transaksi'!$F:$F,$E126))</f>
        <v/>
      </c>
      <c r="E126">
        <f>IFERROR(AGGREGATE(15,6,ROW('Input Transaksi'!$B$5:$B$5000)/('Input Transaksi'!$B$5:$B$5000="CUCI DEWE"),ROWS($E$5:E126)),"")</f>
        <v/>
      </c>
      <c r="F126" s="5" t="n"/>
    </row>
    <row r="127">
      <c r="A127" s="10">
        <f>IF($E127="","",INDEX('Input Transaksi'!$A:$A,$E127))</f>
        <v/>
      </c>
      <c r="B127" s="5">
        <f>IF($E127="","",INDEX('Input Transaksi'!$D:$D,$E127))</f>
        <v/>
      </c>
      <c r="C127">
        <f>IF($E127="","",INDEX('Input Transaksi'!$E:$E,$E127))</f>
        <v/>
      </c>
      <c r="D127" s="5">
        <f>IF($E127="","",INDEX('Input Transaksi'!$F:$F,$E127))</f>
        <v/>
      </c>
      <c r="E127">
        <f>IFERROR(AGGREGATE(15,6,ROW('Input Transaksi'!$B$5:$B$5000)/('Input Transaksi'!$B$5:$B$5000="CUCI DEWE"),ROWS($E$5:E127)),"")</f>
        <v/>
      </c>
      <c r="F127" s="5" t="n"/>
    </row>
    <row r="128">
      <c r="A128" s="10">
        <f>IF($E128="","",INDEX('Input Transaksi'!$A:$A,$E128))</f>
        <v/>
      </c>
      <c r="B128" s="5">
        <f>IF($E128="","",INDEX('Input Transaksi'!$D:$D,$E128))</f>
        <v/>
      </c>
      <c r="C128">
        <f>IF($E128="","",INDEX('Input Transaksi'!$E:$E,$E128))</f>
        <v/>
      </c>
      <c r="D128" s="5">
        <f>IF($E128="","",INDEX('Input Transaksi'!$F:$F,$E128))</f>
        <v/>
      </c>
      <c r="E128">
        <f>IFERROR(AGGREGATE(15,6,ROW('Input Transaksi'!$B$5:$B$5000)/('Input Transaksi'!$B$5:$B$5000="CUCI DEWE"),ROWS($E$5:E128)),"")</f>
        <v/>
      </c>
      <c r="F128" s="5" t="n"/>
    </row>
    <row r="129">
      <c r="A129" s="10">
        <f>IF($E129="","",INDEX('Input Transaksi'!$A:$A,$E129))</f>
        <v/>
      </c>
      <c r="B129" s="5">
        <f>IF($E129="","",INDEX('Input Transaksi'!$D:$D,$E129))</f>
        <v/>
      </c>
      <c r="C129">
        <f>IF($E129="","",INDEX('Input Transaksi'!$E:$E,$E129))</f>
        <v/>
      </c>
      <c r="D129" s="5">
        <f>IF($E129="","",INDEX('Input Transaksi'!$F:$F,$E129))</f>
        <v/>
      </c>
      <c r="E129">
        <f>IFERROR(AGGREGATE(15,6,ROW('Input Transaksi'!$B$5:$B$5000)/('Input Transaksi'!$B$5:$B$5000="CUCI DEWE"),ROWS($E$5:E129)),"")</f>
        <v/>
      </c>
      <c r="F129" s="5" t="n"/>
    </row>
    <row r="130">
      <c r="A130" s="10">
        <f>IF($E130="","",INDEX('Input Transaksi'!$A:$A,$E130))</f>
        <v/>
      </c>
      <c r="B130" s="5">
        <f>IF($E130="","",INDEX('Input Transaksi'!$D:$D,$E130))</f>
        <v/>
      </c>
      <c r="C130">
        <f>IF($E130="","",INDEX('Input Transaksi'!$E:$E,$E130))</f>
        <v/>
      </c>
      <c r="D130" s="5">
        <f>IF($E130="","",INDEX('Input Transaksi'!$F:$F,$E130))</f>
        <v/>
      </c>
      <c r="E130">
        <f>IFERROR(AGGREGATE(15,6,ROW('Input Transaksi'!$B$5:$B$5000)/('Input Transaksi'!$B$5:$B$5000="CUCI DEWE"),ROWS($E$5:E130)),"")</f>
        <v/>
      </c>
      <c r="F130" s="5" t="n"/>
    </row>
    <row r="131">
      <c r="A131" s="10">
        <f>IF($E131="","",INDEX('Input Transaksi'!$A:$A,$E131))</f>
        <v/>
      </c>
      <c r="B131" s="5">
        <f>IF($E131="","",INDEX('Input Transaksi'!$D:$D,$E131))</f>
        <v/>
      </c>
      <c r="C131">
        <f>IF($E131="","",INDEX('Input Transaksi'!$E:$E,$E131))</f>
        <v/>
      </c>
      <c r="D131" s="5">
        <f>IF($E131="","",INDEX('Input Transaksi'!$F:$F,$E131))</f>
        <v/>
      </c>
      <c r="E131">
        <f>IFERROR(AGGREGATE(15,6,ROW('Input Transaksi'!$B$5:$B$5000)/('Input Transaksi'!$B$5:$B$5000="CUCI DEWE"),ROWS($E$5:E131)),"")</f>
        <v/>
      </c>
      <c r="F131" s="5" t="n"/>
    </row>
    <row r="132">
      <c r="A132" s="10">
        <f>IF($E132="","",INDEX('Input Transaksi'!$A:$A,$E132))</f>
        <v/>
      </c>
      <c r="B132" s="5">
        <f>IF($E132="","",INDEX('Input Transaksi'!$D:$D,$E132))</f>
        <v/>
      </c>
      <c r="C132">
        <f>IF($E132="","",INDEX('Input Transaksi'!$E:$E,$E132))</f>
        <v/>
      </c>
      <c r="D132" s="5">
        <f>IF($E132="","",INDEX('Input Transaksi'!$F:$F,$E132))</f>
        <v/>
      </c>
      <c r="E132">
        <f>IFERROR(AGGREGATE(15,6,ROW('Input Transaksi'!$B$5:$B$5000)/('Input Transaksi'!$B$5:$B$5000="CUCI DEWE"),ROWS($E$5:E132)),"")</f>
        <v/>
      </c>
      <c r="F132" s="5" t="n"/>
    </row>
    <row r="133">
      <c r="A133" s="10">
        <f>IF($E133="","",INDEX('Input Transaksi'!$A:$A,$E133))</f>
        <v/>
      </c>
      <c r="B133" s="5">
        <f>IF($E133="","",INDEX('Input Transaksi'!$D:$D,$E133))</f>
        <v/>
      </c>
      <c r="C133">
        <f>IF($E133="","",INDEX('Input Transaksi'!$E:$E,$E133))</f>
        <v/>
      </c>
      <c r="D133" s="5">
        <f>IF($E133="","",INDEX('Input Transaksi'!$F:$F,$E133))</f>
        <v/>
      </c>
      <c r="E133">
        <f>IFERROR(AGGREGATE(15,6,ROW('Input Transaksi'!$B$5:$B$5000)/('Input Transaksi'!$B$5:$B$5000="CUCI DEWE"),ROWS($E$5:E133)),"")</f>
        <v/>
      </c>
      <c r="F133" s="5" t="n"/>
    </row>
    <row r="134">
      <c r="A134" s="10">
        <f>IF($E134="","",INDEX('Input Transaksi'!$A:$A,$E134))</f>
        <v/>
      </c>
      <c r="B134" s="5">
        <f>IF($E134="","",INDEX('Input Transaksi'!$D:$D,$E134))</f>
        <v/>
      </c>
      <c r="C134">
        <f>IF($E134="","",INDEX('Input Transaksi'!$E:$E,$E134))</f>
        <v/>
      </c>
      <c r="D134" s="5">
        <f>IF($E134="","",INDEX('Input Transaksi'!$F:$F,$E134))</f>
        <v/>
      </c>
      <c r="E134">
        <f>IFERROR(AGGREGATE(15,6,ROW('Input Transaksi'!$B$5:$B$5000)/('Input Transaksi'!$B$5:$B$5000="CUCI DEWE"),ROWS($E$5:E134)),"")</f>
        <v/>
      </c>
      <c r="F134" s="5" t="n"/>
    </row>
    <row r="135">
      <c r="A135" s="10">
        <f>IF($E135="","",INDEX('Input Transaksi'!$A:$A,$E135))</f>
        <v/>
      </c>
      <c r="B135" s="5">
        <f>IF($E135="","",INDEX('Input Transaksi'!$D:$D,$E135))</f>
        <v/>
      </c>
      <c r="C135">
        <f>IF($E135="","",INDEX('Input Transaksi'!$E:$E,$E135))</f>
        <v/>
      </c>
      <c r="D135" s="5">
        <f>IF($E135="","",INDEX('Input Transaksi'!$F:$F,$E135))</f>
        <v/>
      </c>
      <c r="E135">
        <f>IFERROR(AGGREGATE(15,6,ROW('Input Transaksi'!$B$5:$B$5000)/('Input Transaksi'!$B$5:$B$5000="CUCI DEWE"),ROWS($E$5:E135)),"")</f>
        <v/>
      </c>
      <c r="F135" s="5" t="n"/>
    </row>
    <row r="136">
      <c r="A136" s="10">
        <f>IF($E136="","",INDEX('Input Transaksi'!$A:$A,$E136))</f>
        <v/>
      </c>
      <c r="B136" s="5">
        <f>IF($E136="","",INDEX('Input Transaksi'!$D:$D,$E136))</f>
        <v/>
      </c>
      <c r="C136">
        <f>IF($E136="","",INDEX('Input Transaksi'!$E:$E,$E136))</f>
        <v/>
      </c>
      <c r="D136" s="5">
        <f>IF($E136="","",INDEX('Input Transaksi'!$F:$F,$E136))</f>
        <v/>
      </c>
      <c r="E136">
        <f>IFERROR(AGGREGATE(15,6,ROW('Input Transaksi'!$B$5:$B$5000)/('Input Transaksi'!$B$5:$B$5000="CUCI DEWE"),ROWS($E$5:E136)),"")</f>
        <v/>
      </c>
      <c r="F136" s="5" t="n"/>
    </row>
    <row r="137">
      <c r="A137" s="10">
        <f>IF($E137="","",INDEX('Input Transaksi'!$A:$A,$E137))</f>
        <v/>
      </c>
      <c r="B137" s="5">
        <f>IF($E137="","",INDEX('Input Transaksi'!$D:$D,$E137))</f>
        <v/>
      </c>
      <c r="C137">
        <f>IF($E137="","",INDEX('Input Transaksi'!$E:$E,$E137))</f>
        <v/>
      </c>
      <c r="D137" s="5">
        <f>IF($E137="","",INDEX('Input Transaksi'!$F:$F,$E137))</f>
        <v/>
      </c>
      <c r="E137">
        <f>IFERROR(AGGREGATE(15,6,ROW('Input Transaksi'!$B$5:$B$5000)/('Input Transaksi'!$B$5:$B$5000="CUCI DEWE"),ROWS($E$5:E137)),"")</f>
        <v/>
      </c>
      <c r="F137" s="5" t="n"/>
    </row>
    <row r="138">
      <c r="A138" s="10">
        <f>IF($E138="","",INDEX('Input Transaksi'!$A:$A,$E138))</f>
        <v/>
      </c>
      <c r="B138" s="5">
        <f>IF($E138="","",INDEX('Input Transaksi'!$D:$D,$E138))</f>
        <v/>
      </c>
      <c r="C138">
        <f>IF($E138="","",INDEX('Input Transaksi'!$E:$E,$E138))</f>
        <v/>
      </c>
      <c r="D138" s="5">
        <f>IF($E138="","",INDEX('Input Transaksi'!$F:$F,$E138))</f>
        <v/>
      </c>
      <c r="E138">
        <f>IFERROR(AGGREGATE(15,6,ROW('Input Transaksi'!$B$5:$B$5000)/('Input Transaksi'!$B$5:$B$5000="CUCI DEWE"),ROWS($E$5:E138)),"")</f>
        <v/>
      </c>
      <c r="F138" s="5" t="n"/>
    </row>
    <row r="139">
      <c r="A139" s="10">
        <f>IF($E139="","",INDEX('Input Transaksi'!$A:$A,$E139))</f>
        <v/>
      </c>
      <c r="B139" s="5">
        <f>IF($E139="","",INDEX('Input Transaksi'!$D:$D,$E139))</f>
        <v/>
      </c>
      <c r="C139">
        <f>IF($E139="","",INDEX('Input Transaksi'!$E:$E,$E139))</f>
        <v/>
      </c>
      <c r="D139" s="5">
        <f>IF($E139="","",INDEX('Input Transaksi'!$F:$F,$E139))</f>
        <v/>
      </c>
      <c r="E139">
        <f>IFERROR(AGGREGATE(15,6,ROW('Input Transaksi'!$B$5:$B$5000)/('Input Transaksi'!$B$5:$B$5000="CUCI DEWE"),ROWS($E$5:E139)),"")</f>
        <v/>
      </c>
      <c r="F139" s="5" t="n"/>
    </row>
    <row r="140">
      <c r="A140" s="10">
        <f>IF($E140="","",INDEX('Input Transaksi'!$A:$A,$E140))</f>
        <v/>
      </c>
      <c r="B140" s="5">
        <f>IF($E140="","",INDEX('Input Transaksi'!$D:$D,$E140))</f>
        <v/>
      </c>
      <c r="C140">
        <f>IF($E140="","",INDEX('Input Transaksi'!$E:$E,$E140))</f>
        <v/>
      </c>
      <c r="D140" s="5">
        <f>IF($E140="","",INDEX('Input Transaksi'!$F:$F,$E140))</f>
        <v/>
      </c>
      <c r="E140">
        <f>IFERROR(AGGREGATE(15,6,ROW('Input Transaksi'!$B$5:$B$5000)/('Input Transaksi'!$B$5:$B$5000="CUCI DEWE"),ROWS($E$5:E140)),"")</f>
        <v/>
      </c>
      <c r="F140" s="5" t="n"/>
    </row>
    <row r="141">
      <c r="A141" s="10">
        <f>IF($E141="","",INDEX('Input Transaksi'!$A:$A,$E141))</f>
        <v/>
      </c>
      <c r="B141" s="5">
        <f>IF($E141="","",INDEX('Input Transaksi'!$D:$D,$E141))</f>
        <v/>
      </c>
      <c r="C141">
        <f>IF($E141="","",INDEX('Input Transaksi'!$E:$E,$E141))</f>
        <v/>
      </c>
      <c r="D141" s="5">
        <f>IF($E141="","",INDEX('Input Transaksi'!$F:$F,$E141))</f>
        <v/>
      </c>
      <c r="E141">
        <f>IFERROR(AGGREGATE(15,6,ROW('Input Transaksi'!$B$5:$B$5000)/('Input Transaksi'!$B$5:$B$5000="CUCI DEWE"),ROWS($E$5:E141)),"")</f>
        <v/>
      </c>
      <c r="F141" s="5" t="n"/>
    </row>
    <row r="142">
      <c r="A142" s="10">
        <f>IF($E142="","",INDEX('Input Transaksi'!$A:$A,$E142))</f>
        <v/>
      </c>
      <c r="B142" s="5">
        <f>IF($E142="","",INDEX('Input Transaksi'!$D:$D,$E142))</f>
        <v/>
      </c>
      <c r="C142">
        <f>IF($E142="","",INDEX('Input Transaksi'!$E:$E,$E142))</f>
        <v/>
      </c>
      <c r="D142" s="5">
        <f>IF($E142="","",INDEX('Input Transaksi'!$F:$F,$E142))</f>
        <v/>
      </c>
      <c r="E142">
        <f>IFERROR(AGGREGATE(15,6,ROW('Input Transaksi'!$B$5:$B$5000)/('Input Transaksi'!$B$5:$B$5000="CUCI DEWE"),ROWS($E$5:E142)),"")</f>
        <v/>
      </c>
      <c r="F142" s="5" t="n"/>
    </row>
    <row r="143">
      <c r="A143" s="10">
        <f>IF($E143="","",INDEX('Input Transaksi'!$A:$A,$E143))</f>
        <v/>
      </c>
      <c r="B143" s="5">
        <f>IF($E143="","",INDEX('Input Transaksi'!$D:$D,$E143))</f>
        <v/>
      </c>
      <c r="C143">
        <f>IF($E143="","",INDEX('Input Transaksi'!$E:$E,$E143))</f>
        <v/>
      </c>
      <c r="D143" s="5">
        <f>IF($E143="","",INDEX('Input Transaksi'!$F:$F,$E143))</f>
        <v/>
      </c>
      <c r="E143">
        <f>IFERROR(AGGREGATE(15,6,ROW('Input Transaksi'!$B$5:$B$5000)/('Input Transaksi'!$B$5:$B$5000="CUCI DEWE"),ROWS($E$5:E143)),"")</f>
        <v/>
      </c>
      <c r="F143" s="5" t="n"/>
    </row>
    <row r="144">
      <c r="A144" s="10">
        <f>IF($E144="","",INDEX('Input Transaksi'!$A:$A,$E144))</f>
        <v/>
      </c>
      <c r="B144" s="5">
        <f>IF($E144="","",INDEX('Input Transaksi'!$D:$D,$E144))</f>
        <v/>
      </c>
      <c r="C144">
        <f>IF($E144="","",INDEX('Input Transaksi'!$E:$E,$E144))</f>
        <v/>
      </c>
      <c r="D144" s="5">
        <f>IF($E144="","",INDEX('Input Transaksi'!$F:$F,$E144))</f>
        <v/>
      </c>
      <c r="E144">
        <f>IFERROR(AGGREGATE(15,6,ROW('Input Transaksi'!$B$5:$B$5000)/('Input Transaksi'!$B$5:$B$5000="CUCI DEWE"),ROWS($E$5:E144)),"")</f>
        <v/>
      </c>
      <c r="F144" s="5" t="n"/>
    </row>
    <row r="145">
      <c r="A145" s="10">
        <f>IF($E145="","",INDEX('Input Transaksi'!$A:$A,$E145))</f>
        <v/>
      </c>
      <c r="B145" s="5">
        <f>IF($E145="","",INDEX('Input Transaksi'!$D:$D,$E145))</f>
        <v/>
      </c>
      <c r="C145">
        <f>IF($E145="","",INDEX('Input Transaksi'!$E:$E,$E145))</f>
        <v/>
      </c>
      <c r="D145" s="5">
        <f>IF($E145="","",INDEX('Input Transaksi'!$F:$F,$E145))</f>
        <v/>
      </c>
      <c r="E145">
        <f>IFERROR(AGGREGATE(15,6,ROW('Input Transaksi'!$B$5:$B$5000)/('Input Transaksi'!$B$5:$B$5000="CUCI DEWE"),ROWS($E$5:E145)),"")</f>
        <v/>
      </c>
      <c r="F145" s="5" t="n"/>
    </row>
    <row r="146">
      <c r="A146" s="10">
        <f>IF($E146="","",INDEX('Input Transaksi'!$A:$A,$E146))</f>
        <v/>
      </c>
      <c r="B146" s="5">
        <f>IF($E146="","",INDEX('Input Transaksi'!$D:$D,$E146))</f>
        <v/>
      </c>
      <c r="C146">
        <f>IF($E146="","",INDEX('Input Transaksi'!$E:$E,$E146))</f>
        <v/>
      </c>
      <c r="D146" s="5">
        <f>IF($E146="","",INDEX('Input Transaksi'!$F:$F,$E146))</f>
        <v/>
      </c>
      <c r="E146">
        <f>IFERROR(AGGREGATE(15,6,ROW('Input Transaksi'!$B$5:$B$5000)/('Input Transaksi'!$B$5:$B$5000="CUCI DEWE"),ROWS($E$5:E146)),"")</f>
        <v/>
      </c>
      <c r="F146" s="5" t="n"/>
    </row>
    <row r="147">
      <c r="A147" s="10">
        <f>IF($E147="","",INDEX('Input Transaksi'!$A:$A,$E147))</f>
        <v/>
      </c>
      <c r="B147" s="5">
        <f>IF($E147="","",INDEX('Input Transaksi'!$D:$D,$E147))</f>
        <v/>
      </c>
      <c r="C147">
        <f>IF($E147="","",INDEX('Input Transaksi'!$E:$E,$E147))</f>
        <v/>
      </c>
      <c r="D147" s="5">
        <f>IF($E147="","",INDEX('Input Transaksi'!$F:$F,$E147))</f>
        <v/>
      </c>
      <c r="E147">
        <f>IFERROR(AGGREGATE(15,6,ROW('Input Transaksi'!$B$5:$B$5000)/('Input Transaksi'!$B$5:$B$5000="CUCI DEWE"),ROWS($E$5:E147)),"")</f>
        <v/>
      </c>
      <c r="F147" s="5" t="n"/>
    </row>
    <row r="148">
      <c r="A148" s="10">
        <f>IF($E148="","",INDEX('Input Transaksi'!$A:$A,$E148))</f>
        <v/>
      </c>
      <c r="B148" s="5">
        <f>IF($E148="","",INDEX('Input Transaksi'!$D:$D,$E148))</f>
        <v/>
      </c>
      <c r="C148">
        <f>IF($E148="","",INDEX('Input Transaksi'!$E:$E,$E148))</f>
        <v/>
      </c>
      <c r="D148" s="5">
        <f>IF($E148="","",INDEX('Input Transaksi'!$F:$F,$E148))</f>
        <v/>
      </c>
      <c r="E148">
        <f>IFERROR(AGGREGATE(15,6,ROW('Input Transaksi'!$B$5:$B$5000)/('Input Transaksi'!$B$5:$B$5000="CUCI DEWE"),ROWS($E$5:E148)),"")</f>
        <v/>
      </c>
      <c r="F148" s="5" t="n"/>
    </row>
    <row r="149">
      <c r="A149" s="10">
        <f>IF($E149="","",INDEX('Input Transaksi'!$A:$A,$E149))</f>
        <v/>
      </c>
      <c r="B149" s="5">
        <f>IF($E149="","",INDEX('Input Transaksi'!$D:$D,$E149))</f>
        <v/>
      </c>
      <c r="C149">
        <f>IF($E149="","",INDEX('Input Transaksi'!$E:$E,$E149))</f>
        <v/>
      </c>
      <c r="D149" s="5">
        <f>IF($E149="","",INDEX('Input Transaksi'!$F:$F,$E149))</f>
        <v/>
      </c>
      <c r="E149">
        <f>IFERROR(AGGREGATE(15,6,ROW('Input Transaksi'!$B$5:$B$5000)/('Input Transaksi'!$B$5:$B$5000="CUCI DEWE"),ROWS($E$5:E149)),"")</f>
        <v/>
      </c>
      <c r="F149" s="5" t="n"/>
    </row>
    <row r="150">
      <c r="A150" s="10">
        <f>IF($E150="","",INDEX('Input Transaksi'!$A:$A,$E150))</f>
        <v/>
      </c>
      <c r="B150" s="5">
        <f>IF($E150="","",INDEX('Input Transaksi'!$D:$D,$E150))</f>
        <v/>
      </c>
      <c r="C150">
        <f>IF($E150="","",INDEX('Input Transaksi'!$E:$E,$E150))</f>
        <v/>
      </c>
      <c r="D150" s="5">
        <f>IF($E150="","",INDEX('Input Transaksi'!$F:$F,$E150))</f>
        <v/>
      </c>
      <c r="E150">
        <f>IFERROR(AGGREGATE(15,6,ROW('Input Transaksi'!$B$5:$B$5000)/('Input Transaksi'!$B$5:$B$5000="CUCI DEWE"),ROWS($E$5:E150)),"")</f>
        <v/>
      </c>
      <c r="F150" s="5" t="n"/>
    </row>
    <row r="151">
      <c r="A151" s="10">
        <f>IF($E151="","",INDEX('Input Transaksi'!$A:$A,$E151))</f>
        <v/>
      </c>
      <c r="B151" s="5">
        <f>IF($E151="","",INDEX('Input Transaksi'!$D:$D,$E151))</f>
        <v/>
      </c>
      <c r="C151">
        <f>IF($E151="","",INDEX('Input Transaksi'!$E:$E,$E151))</f>
        <v/>
      </c>
      <c r="D151" s="5">
        <f>IF($E151="","",INDEX('Input Transaksi'!$F:$F,$E151))</f>
        <v/>
      </c>
      <c r="E151">
        <f>IFERROR(AGGREGATE(15,6,ROW('Input Transaksi'!$B$5:$B$5000)/('Input Transaksi'!$B$5:$B$5000="CUCI DEWE"),ROWS($E$5:E151)),"")</f>
        <v/>
      </c>
      <c r="F151" s="5" t="n"/>
    </row>
    <row r="152">
      <c r="A152" s="10">
        <f>IF($E152="","",INDEX('Input Transaksi'!$A:$A,$E152))</f>
        <v/>
      </c>
      <c r="B152" s="5">
        <f>IF($E152="","",INDEX('Input Transaksi'!$D:$D,$E152))</f>
        <v/>
      </c>
      <c r="C152">
        <f>IF($E152="","",INDEX('Input Transaksi'!$E:$E,$E152))</f>
        <v/>
      </c>
      <c r="D152" s="5">
        <f>IF($E152="","",INDEX('Input Transaksi'!$F:$F,$E152))</f>
        <v/>
      </c>
      <c r="E152">
        <f>IFERROR(AGGREGATE(15,6,ROW('Input Transaksi'!$B$5:$B$5000)/('Input Transaksi'!$B$5:$B$5000="CUCI DEWE"),ROWS($E$5:E152)),"")</f>
        <v/>
      </c>
      <c r="F152" s="5" t="n"/>
    </row>
    <row r="153">
      <c r="A153" s="10">
        <f>IF($E153="","",INDEX('Input Transaksi'!$A:$A,$E153))</f>
        <v/>
      </c>
      <c r="B153" s="5">
        <f>IF($E153="","",INDEX('Input Transaksi'!$D:$D,$E153))</f>
        <v/>
      </c>
      <c r="C153">
        <f>IF($E153="","",INDEX('Input Transaksi'!$E:$E,$E153))</f>
        <v/>
      </c>
      <c r="D153" s="5">
        <f>IF($E153="","",INDEX('Input Transaksi'!$F:$F,$E153))</f>
        <v/>
      </c>
      <c r="E153">
        <f>IFERROR(AGGREGATE(15,6,ROW('Input Transaksi'!$B$5:$B$5000)/('Input Transaksi'!$B$5:$B$5000="CUCI DEWE"),ROWS($E$5:E153)),"")</f>
        <v/>
      </c>
      <c r="F153" s="5" t="n"/>
    </row>
    <row r="154">
      <c r="A154" s="10">
        <f>IF($E154="","",INDEX('Input Transaksi'!$A:$A,$E154))</f>
        <v/>
      </c>
      <c r="B154" s="5">
        <f>IF($E154="","",INDEX('Input Transaksi'!$D:$D,$E154))</f>
        <v/>
      </c>
      <c r="C154">
        <f>IF($E154="","",INDEX('Input Transaksi'!$E:$E,$E154))</f>
        <v/>
      </c>
      <c r="D154" s="5">
        <f>IF($E154="","",INDEX('Input Transaksi'!$F:$F,$E154))</f>
        <v/>
      </c>
      <c r="E154">
        <f>IFERROR(AGGREGATE(15,6,ROW('Input Transaksi'!$B$5:$B$5000)/('Input Transaksi'!$B$5:$B$5000="CUCI DEWE"),ROWS($E$5:E154)),"")</f>
        <v/>
      </c>
      <c r="F154" s="5" t="n"/>
    </row>
    <row r="155">
      <c r="A155" s="10">
        <f>IF($E155="","",INDEX('Input Transaksi'!$A:$A,$E155))</f>
        <v/>
      </c>
      <c r="B155" s="5">
        <f>IF($E155="","",INDEX('Input Transaksi'!$D:$D,$E155))</f>
        <v/>
      </c>
      <c r="C155">
        <f>IF($E155="","",INDEX('Input Transaksi'!$E:$E,$E155))</f>
        <v/>
      </c>
      <c r="D155" s="5">
        <f>IF($E155="","",INDEX('Input Transaksi'!$F:$F,$E155))</f>
        <v/>
      </c>
      <c r="E155">
        <f>IFERROR(AGGREGATE(15,6,ROW('Input Transaksi'!$B$5:$B$5000)/('Input Transaksi'!$B$5:$B$5000="CUCI DEWE"),ROWS($E$5:E155)),"")</f>
        <v/>
      </c>
      <c r="F155" s="5" t="n"/>
    </row>
    <row r="156">
      <c r="A156" s="10">
        <f>IF($E156="","",INDEX('Input Transaksi'!$A:$A,$E156))</f>
        <v/>
      </c>
      <c r="B156" s="5">
        <f>IF($E156="","",INDEX('Input Transaksi'!$D:$D,$E156))</f>
        <v/>
      </c>
      <c r="C156">
        <f>IF($E156="","",INDEX('Input Transaksi'!$E:$E,$E156))</f>
        <v/>
      </c>
      <c r="D156" s="5">
        <f>IF($E156="","",INDEX('Input Transaksi'!$F:$F,$E156))</f>
        <v/>
      </c>
      <c r="E156">
        <f>IFERROR(AGGREGATE(15,6,ROW('Input Transaksi'!$B$5:$B$5000)/('Input Transaksi'!$B$5:$B$5000="CUCI DEWE"),ROWS($E$5:E156)),"")</f>
        <v/>
      </c>
      <c r="F156" s="5" t="n"/>
    </row>
    <row r="157">
      <c r="A157" s="10">
        <f>IF($E157="","",INDEX('Input Transaksi'!$A:$A,$E157))</f>
        <v/>
      </c>
      <c r="B157" s="5">
        <f>IF($E157="","",INDEX('Input Transaksi'!$D:$D,$E157))</f>
        <v/>
      </c>
      <c r="C157">
        <f>IF($E157="","",INDEX('Input Transaksi'!$E:$E,$E157))</f>
        <v/>
      </c>
      <c r="D157" s="5">
        <f>IF($E157="","",INDEX('Input Transaksi'!$F:$F,$E157))</f>
        <v/>
      </c>
      <c r="E157">
        <f>IFERROR(AGGREGATE(15,6,ROW('Input Transaksi'!$B$5:$B$5000)/('Input Transaksi'!$B$5:$B$5000="CUCI DEWE"),ROWS($E$5:E157)),"")</f>
        <v/>
      </c>
      <c r="F157" s="5" t="n"/>
    </row>
    <row r="158">
      <c r="A158" s="10">
        <f>IF($E158="","",INDEX('Input Transaksi'!$A:$A,$E158))</f>
        <v/>
      </c>
      <c r="B158" s="5">
        <f>IF($E158="","",INDEX('Input Transaksi'!$D:$D,$E158))</f>
        <v/>
      </c>
      <c r="C158">
        <f>IF($E158="","",INDEX('Input Transaksi'!$E:$E,$E158))</f>
        <v/>
      </c>
      <c r="D158" s="5">
        <f>IF($E158="","",INDEX('Input Transaksi'!$F:$F,$E158))</f>
        <v/>
      </c>
      <c r="E158">
        <f>IFERROR(AGGREGATE(15,6,ROW('Input Transaksi'!$B$5:$B$5000)/('Input Transaksi'!$B$5:$B$5000="CUCI DEWE"),ROWS($E$5:E158)),"")</f>
        <v/>
      </c>
      <c r="F158" s="5" t="n"/>
    </row>
    <row r="159">
      <c r="A159" s="10">
        <f>IF($E159="","",INDEX('Input Transaksi'!$A:$A,$E159))</f>
        <v/>
      </c>
      <c r="B159" s="5">
        <f>IF($E159="","",INDEX('Input Transaksi'!$D:$D,$E159))</f>
        <v/>
      </c>
      <c r="C159">
        <f>IF($E159="","",INDEX('Input Transaksi'!$E:$E,$E159))</f>
        <v/>
      </c>
      <c r="D159" s="5">
        <f>IF($E159="","",INDEX('Input Transaksi'!$F:$F,$E159))</f>
        <v/>
      </c>
      <c r="E159">
        <f>IFERROR(AGGREGATE(15,6,ROW('Input Transaksi'!$B$5:$B$5000)/('Input Transaksi'!$B$5:$B$5000="CUCI DEWE"),ROWS($E$5:E159)),"")</f>
        <v/>
      </c>
      <c r="F159" s="5" t="n"/>
    </row>
    <row r="160">
      <c r="A160" s="10">
        <f>IF($E160="","",INDEX('Input Transaksi'!$A:$A,$E160))</f>
        <v/>
      </c>
      <c r="B160" s="5">
        <f>IF($E160="","",INDEX('Input Transaksi'!$D:$D,$E160))</f>
        <v/>
      </c>
      <c r="C160">
        <f>IF($E160="","",INDEX('Input Transaksi'!$E:$E,$E160))</f>
        <v/>
      </c>
      <c r="D160" s="5">
        <f>IF($E160="","",INDEX('Input Transaksi'!$F:$F,$E160))</f>
        <v/>
      </c>
      <c r="E160">
        <f>IFERROR(AGGREGATE(15,6,ROW('Input Transaksi'!$B$5:$B$5000)/('Input Transaksi'!$B$5:$B$5000="CUCI DEWE"),ROWS($E$5:E160)),"")</f>
        <v/>
      </c>
      <c r="F160" s="5" t="n"/>
    </row>
    <row r="161">
      <c r="A161" s="10">
        <f>IF($E161="","",INDEX('Input Transaksi'!$A:$A,$E161))</f>
        <v/>
      </c>
      <c r="B161" s="5">
        <f>IF($E161="","",INDEX('Input Transaksi'!$D:$D,$E161))</f>
        <v/>
      </c>
      <c r="C161">
        <f>IF($E161="","",INDEX('Input Transaksi'!$E:$E,$E161))</f>
        <v/>
      </c>
      <c r="D161" s="5">
        <f>IF($E161="","",INDEX('Input Transaksi'!$F:$F,$E161))</f>
        <v/>
      </c>
      <c r="E161">
        <f>IFERROR(AGGREGATE(15,6,ROW('Input Transaksi'!$B$5:$B$5000)/('Input Transaksi'!$B$5:$B$5000="CUCI DEWE"),ROWS($E$5:E161)),"")</f>
        <v/>
      </c>
      <c r="F161" s="5" t="n"/>
    </row>
    <row r="162">
      <c r="A162" s="10">
        <f>IF($E162="","",INDEX('Input Transaksi'!$A:$A,$E162))</f>
        <v/>
      </c>
      <c r="B162" s="5">
        <f>IF($E162="","",INDEX('Input Transaksi'!$D:$D,$E162))</f>
        <v/>
      </c>
      <c r="C162">
        <f>IF($E162="","",INDEX('Input Transaksi'!$E:$E,$E162))</f>
        <v/>
      </c>
      <c r="D162" s="5">
        <f>IF($E162="","",INDEX('Input Transaksi'!$F:$F,$E162))</f>
        <v/>
      </c>
      <c r="E162">
        <f>IFERROR(AGGREGATE(15,6,ROW('Input Transaksi'!$B$5:$B$5000)/('Input Transaksi'!$B$5:$B$5000="CUCI DEWE"),ROWS($E$5:E162)),"")</f>
        <v/>
      </c>
      <c r="F162" s="5" t="n"/>
    </row>
    <row r="163">
      <c r="A163" s="10">
        <f>IF($E163="","",INDEX('Input Transaksi'!$A:$A,$E163))</f>
        <v/>
      </c>
      <c r="B163" s="5">
        <f>IF($E163="","",INDEX('Input Transaksi'!$D:$D,$E163))</f>
        <v/>
      </c>
      <c r="C163">
        <f>IF($E163="","",INDEX('Input Transaksi'!$E:$E,$E163))</f>
        <v/>
      </c>
      <c r="D163" s="5">
        <f>IF($E163="","",INDEX('Input Transaksi'!$F:$F,$E163))</f>
        <v/>
      </c>
      <c r="E163">
        <f>IFERROR(AGGREGATE(15,6,ROW('Input Transaksi'!$B$5:$B$5000)/('Input Transaksi'!$B$5:$B$5000="CUCI DEWE"),ROWS($E$5:E163)),"")</f>
        <v/>
      </c>
      <c r="F163" s="5" t="n"/>
    </row>
    <row r="164">
      <c r="A164" s="10">
        <f>IF($E164="","",INDEX('Input Transaksi'!$A:$A,$E164))</f>
        <v/>
      </c>
      <c r="B164" s="5">
        <f>IF($E164="","",INDEX('Input Transaksi'!$D:$D,$E164))</f>
        <v/>
      </c>
      <c r="C164">
        <f>IF($E164="","",INDEX('Input Transaksi'!$E:$E,$E164))</f>
        <v/>
      </c>
      <c r="D164" s="5">
        <f>IF($E164="","",INDEX('Input Transaksi'!$F:$F,$E164))</f>
        <v/>
      </c>
      <c r="E164">
        <f>IFERROR(AGGREGATE(15,6,ROW('Input Transaksi'!$B$5:$B$5000)/('Input Transaksi'!$B$5:$B$5000="CUCI DEWE"),ROWS($E$5:E164)),"")</f>
        <v/>
      </c>
      <c r="F164" s="5" t="n"/>
    </row>
    <row r="165">
      <c r="A165" s="10">
        <f>IF($E165="","",INDEX('Input Transaksi'!$A:$A,$E165))</f>
        <v/>
      </c>
      <c r="B165" s="5">
        <f>IF($E165="","",INDEX('Input Transaksi'!$D:$D,$E165))</f>
        <v/>
      </c>
      <c r="C165">
        <f>IF($E165="","",INDEX('Input Transaksi'!$E:$E,$E165))</f>
        <v/>
      </c>
      <c r="D165" s="5">
        <f>IF($E165="","",INDEX('Input Transaksi'!$F:$F,$E165))</f>
        <v/>
      </c>
      <c r="E165">
        <f>IFERROR(AGGREGATE(15,6,ROW('Input Transaksi'!$B$5:$B$5000)/('Input Transaksi'!$B$5:$B$5000="CUCI DEWE"),ROWS($E$5:E165)),"")</f>
        <v/>
      </c>
      <c r="F165" s="5" t="n"/>
    </row>
    <row r="166">
      <c r="A166" s="10">
        <f>IF($E166="","",INDEX('Input Transaksi'!$A:$A,$E166))</f>
        <v/>
      </c>
      <c r="B166" s="5">
        <f>IF($E166="","",INDEX('Input Transaksi'!$D:$D,$E166))</f>
        <v/>
      </c>
      <c r="C166">
        <f>IF($E166="","",INDEX('Input Transaksi'!$E:$E,$E166))</f>
        <v/>
      </c>
      <c r="D166" s="5">
        <f>IF($E166="","",INDEX('Input Transaksi'!$F:$F,$E166))</f>
        <v/>
      </c>
      <c r="E166">
        <f>IFERROR(AGGREGATE(15,6,ROW('Input Transaksi'!$B$5:$B$5000)/('Input Transaksi'!$B$5:$B$5000="CUCI DEWE"),ROWS($E$5:E166)),"")</f>
        <v/>
      </c>
      <c r="F166" s="5" t="n"/>
    </row>
    <row r="167">
      <c r="A167" s="10">
        <f>IF($E167="","",INDEX('Input Transaksi'!$A:$A,$E167))</f>
        <v/>
      </c>
      <c r="B167" s="5">
        <f>IF($E167="","",INDEX('Input Transaksi'!$D:$D,$E167))</f>
        <v/>
      </c>
      <c r="C167">
        <f>IF($E167="","",INDEX('Input Transaksi'!$E:$E,$E167))</f>
        <v/>
      </c>
      <c r="D167" s="5">
        <f>IF($E167="","",INDEX('Input Transaksi'!$F:$F,$E167))</f>
        <v/>
      </c>
      <c r="E167">
        <f>IFERROR(AGGREGATE(15,6,ROW('Input Transaksi'!$B$5:$B$5000)/('Input Transaksi'!$B$5:$B$5000="CUCI DEWE"),ROWS($E$5:E167)),"")</f>
        <v/>
      </c>
      <c r="F167" s="5" t="n"/>
    </row>
    <row r="168">
      <c r="A168" s="10">
        <f>IF($E168="","",INDEX('Input Transaksi'!$A:$A,$E168))</f>
        <v/>
      </c>
      <c r="B168" s="5">
        <f>IF($E168="","",INDEX('Input Transaksi'!$D:$D,$E168))</f>
        <v/>
      </c>
      <c r="C168">
        <f>IF($E168="","",INDEX('Input Transaksi'!$E:$E,$E168))</f>
        <v/>
      </c>
      <c r="D168" s="5">
        <f>IF($E168="","",INDEX('Input Transaksi'!$F:$F,$E168))</f>
        <v/>
      </c>
      <c r="E168">
        <f>IFERROR(AGGREGATE(15,6,ROW('Input Transaksi'!$B$5:$B$5000)/('Input Transaksi'!$B$5:$B$5000="CUCI DEWE"),ROWS($E$5:E168)),"")</f>
        <v/>
      </c>
      <c r="F168" s="5" t="n"/>
    </row>
    <row r="169">
      <c r="A169" s="10">
        <f>IF($E169="","",INDEX('Input Transaksi'!$A:$A,$E169))</f>
        <v/>
      </c>
      <c r="B169" s="5">
        <f>IF($E169="","",INDEX('Input Transaksi'!$D:$D,$E169))</f>
        <v/>
      </c>
      <c r="C169">
        <f>IF($E169="","",INDEX('Input Transaksi'!$E:$E,$E169))</f>
        <v/>
      </c>
      <c r="D169" s="5">
        <f>IF($E169="","",INDEX('Input Transaksi'!$F:$F,$E169))</f>
        <v/>
      </c>
      <c r="E169">
        <f>IFERROR(AGGREGATE(15,6,ROW('Input Transaksi'!$B$5:$B$5000)/('Input Transaksi'!$B$5:$B$5000="CUCI DEWE"),ROWS($E$5:E169)),"")</f>
        <v/>
      </c>
      <c r="F169" s="5" t="n"/>
    </row>
    <row r="170">
      <c r="A170" s="10">
        <f>IF($E170="","",INDEX('Input Transaksi'!$A:$A,$E170))</f>
        <v/>
      </c>
      <c r="B170" s="5">
        <f>IF($E170="","",INDEX('Input Transaksi'!$D:$D,$E170))</f>
        <v/>
      </c>
      <c r="C170">
        <f>IF($E170="","",INDEX('Input Transaksi'!$E:$E,$E170))</f>
        <v/>
      </c>
      <c r="D170" s="5">
        <f>IF($E170="","",INDEX('Input Transaksi'!$F:$F,$E170))</f>
        <v/>
      </c>
      <c r="E170">
        <f>IFERROR(AGGREGATE(15,6,ROW('Input Transaksi'!$B$5:$B$5000)/('Input Transaksi'!$B$5:$B$5000="CUCI DEWE"),ROWS($E$5:E170)),"")</f>
        <v/>
      </c>
      <c r="F170" s="5" t="n"/>
    </row>
    <row r="171">
      <c r="A171" s="10">
        <f>IF($E171="","",INDEX('Input Transaksi'!$A:$A,$E171))</f>
        <v/>
      </c>
      <c r="B171" s="5">
        <f>IF($E171="","",INDEX('Input Transaksi'!$D:$D,$E171))</f>
        <v/>
      </c>
      <c r="C171">
        <f>IF($E171="","",INDEX('Input Transaksi'!$E:$E,$E171))</f>
        <v/>
      </c>
      <c r="D171" s="5">
        <f>IF($E171="","",INDEX('Input Transaksi'!$F:$F,$E171))</f>
        <v/>
      </c>
      <c r="E171">
        <f>IFERROR(AGGREGATE(15,6,ROW('Input Transaksi'!$B$5:$B$5000)/('Input Transaksi'!$B$5:$B$5000="CUCI DEWE"),ROWS($E$5:E171)),"")</f>
        <v/>
      </c>
      <c r="F171" s="5" t="n"/>
    </row>
    <row r="172">
      <c r="A172" s="10">
        <f>IF($E172="","",INDEX('Input Transaksi'!$A:$A,$E172))</f>
        <v/>
      </c>
      <c r="B172" s="5">
        <f>IF($E172="","",INDEX('Input Transaksi'!$D:$D,$E172))</f>
        <v/>
      </c>
      <c r="C172">
        <f>IF($E172="","",INDEX('Input Transaksi'!$E:$E,$E172))</f>
        <v/>
      </c>
      <c r="D172" s="5">
        <f>IF($E172="","",INDEX('Input Transaksi'!$F:$F,$E172))</f>
        <v/>
      </c>
      <c r="E172">
        <f>IFERROR(AGGREGATE(15,6,ROW('Input Transaksi'!$B$5:$B$5000)/('Input Transaksi'!$B$5:$B$5000="CUCI DEWE"),ROWS($E$5:E172)),"")</f>
        <v/>
      </c>
      <c r="F172" s="5" t="n"/>
    </row>
    <row r="173">
      <c r="A173" s="10">
        <f>IF($E173="","",INDEX('Input Transaksi'!$A:$A,$E173))</f>
        <v/>
      </c>
      <c r="B173" s="5">
        <f>IF($E173="","",INDEX('Input Transaksi'!$D:$D,$E173))</f>
        <v/>
      </c>
      <c r="C173">
        <f>IF($E173="","",INDEX('Input Transaksi'!$E:$E,$E173))</f>
        <v/>
      </c>
      <c r="D173" s="5">
        <f>IF($E173="","",INDEX('Input Transaksi'!$F:$F,$E173))</f>
        <v/>
      </c>
      <c r="E173">
        <f>IFERROR(AGGREGATE(15,6,ROW('Input Transaksi'!$B$5:$B$5000)/('Input Transaksi'!$B$5:$B$5000="CUCI DEWE"),ROWS($E$5:E173)),"")</f>
        <v/>
      </c>
      <c r="F173" s="5" t="n"/>
    </row>
    <row r="174">
      <c r="A174" s="10">
        <f>IF($E174="","",INDEX('Input Transaksi'!$A:$A,$E174))</f>
        <v/>
      </c>
      <c r="B174" s="5">
        <f>IF($E174="","",INDEX('Input Transaksi'!$D:$D,$E174))</f>
        <v/>
      </c>
      <c r="C174">
        <f>IF($E174="","",INDEX('Input Transaksi'!$E:$E,$E174))</f>
        <v/>
      </c>
      <c r="D174" s="5">
        <f>IF($E174="","",INDEX('Input Transaksi'!$F:$F,$E174))</f>
        <v/>
      </c>
      <c r="E174">
        <f>IFERROR(AGGREGATE(15,6,ROW('Input Transaksi'!$B$5:$B$5000)/('Input Transaksi'!$B$5:$B$5000="CUCI DEWE"),ROWS($E$5:E174)),"")</f>
        <v/>
      </c>
      <c r="F174" s="5" t="n"/>
    </row>
    <row r="175">
      <c r="A175" s="10">
        <f>IF($E175="","",INDEX('Input Transaksi'!$A:$A,$E175))</f>
        <v/>
      </c>
      <c r="B175" s="5">
        <f>IF($E175="","",INDEX('Input Transaksi'!$D:$D,$E175))</f>
        <v/>
      </c>
      <c r="C175">
        <f>IF($E175="","",INDEX('Input Transaksi'!$E:$E,$E175))</f>
        <v/>
      </c>
      <c r="D175" s="5">
        <f>IF($E175="","",INDEX('Input Transaksi'!$F:$F,$E175))</f>
        <v/>
      </c>
      <c r="E175">
        <f>IFERROR(AGGREGATE(15,6,ROW('Input Transaksi'!$B$5:$B$5000)/('Input Transaksi'!$B$5:$B$5000="CUCI DEWE"),ROWS($E$5:E175)),"")</f>
        <v/>
      </c>
      <c r="F175" s="5" t="n"/>
    </row>
    <row r="176">
      <c r="A176" s="10">
        <f>IF($E176="","",INDEX('Input Transaksi'!$A:$A,$E176))</f>
        <v/>
      </c>
      <c r="B176" s="5">
        <f>IF($E176="","",INDEX('Input Transaksi'!$D:$D,$E176))</f>
        <v/>
      </c>
      <c r="C176">
        <f>IF($E176="","",INDEX('Input Transaksi'!$E:$E,$E176))</f>
        <v/>
      </c>
      <c r="D176" s="5">
        <f>IF($E176="","",INDEX('Input Transaksi'!$F:$F,$E176))</f>
        <v/>
      </c>
      <c r="E176">
        <f>IFERROR(AGGREGATE(15,6,ROW('Input Transaksi'!$B$5:$B$5000)/('Input Transaksi'!$B$5:$B$5000="CUCI DEWE"),ROWS($E$5:E176)),"")</f>
        <v/>
      </c>
      <c r="F176" s="5" t="n"/>
    </row>
    <row r="177">
      <c r="A177" s="10">
        <f>IF($E177="","",INDEX('Input Transaksi'!$A:$A,$E177))</f>
        <v/>
      </c>
      <c r="B177" s="5">
        <f>IF($E177="","",INDEX('Input Transaksi'!$D:$D,$E177))</f>
        <v/>
      </c>
      <c r="C177">
        <f>IF($E177="","",INDEX('Input Transaksi'!$E:$E,$E177))</f>
        <v/>
      </c>
      <c r="D177" s="5">
        <f>IF($E177="","",INDEX('Input Transaksi'!$F:$F,$E177))</f>
        <v/>
      </c>
      <c r="E177">
        <f>IFERROR(AGGREGATE(15,6,ROW('Input Transaksi'!$B$5:$B$5000)/('Input Transaksi'!$B$5:$B$5000="CUCI DEWE"),ROWS($E$5:E177)),"")</f>
        <v/>
      </c>
      <c r="F177" s="5" t="n"/>
    </row>
    <row r="178">
      <c r="A178" s="10">
        <f>IF($E178="","",INDEX('Input Transaksi'!$A:$A,$E178))</f>
        <v/>
      </c>
      <c r="B178" s="5">
        <f>IF($E178="","",INDEX('Input Transaksi'!$D:$D,$E178))</f>
        <v/>
      </c>
      <c r="C178">
        <f>IF($E178="","",INDEX('Input Transaksi'!$E:$E,$E178))</f>
        <v/>
      </c>
      <c r="D178" s="5">
        <f>IF($E178="","",INDEX('Input Transaksi'!$F:$F,$E178))</f>
        <v/>
      </c>
      <c r="E178">
        <f>IFERROR(AGGREGATE(15,6,ROW('Input Transaksi'!$B$5:$B$5000)/('Input Transaksi'!$B$5:$B$5000="CUCI DEWE"),ROWS($E$5:E178)),"")</f>
        <v/>
      </c>
      <c r="F178" s="5" t="n"/>
    </row>
    <row r="179">
      <c r="A179" s="10">
        <f>IF($E179="","",INDEX('Input Transaksi'!$A:$A,$E179))</f>
        <v/>
      </c>
      <c r="B179" s="5">
        <f>IF($E179="","",INDEX('Input Transaksi'!$D:$D,$E179))</f>
        <v/>
      </c>
      <c r="C179">
        <f>IF($E179="","",INDEX('Input Transaksi'!$E:$E,$E179))</f>
        <v/>
      </c>
      <c r="D179" s="5">
        <f>IF($E179="","",INDEX('Input Transaksi'!$F:$F,$E179))</f>
        <v/>
      </c>
      <c r="E179">
        <f>IFERROR(AGGREGATE(15,6,ROW('Input Transaksi'!$B$5:$B$5000)/('Input Transaksi'!$B$5:$B$5000="CUCI DEWE"),ROWS($E$5:E179)),"")</f>
        <v/>
      </c>
      <c r="F179" s="5" t="n"/>
    </row>
    <row r="180">
      <c r="A180" s="10">
        <f>IF($E180="","",INDEX('Input Transaksi'!$A:$A,$E180))</f>
        <v/>
      </c>
      <c r="B180" s="5">
        <f>IF($E180="","",INDEX('Input Transaksi'!$D:$D,$E180))</f>
        <v/>
      </c>
      <c r="C180">
        <f>IF($E180="","",INDEX('Input Transaksi'!$E:$E,$E180))</f>
        <v/>
      </c>
      <c r="D180" s="5">
        <f>IF($E180="","",INDEX('Input Transaksi'!$F:$F,$E180))</f>
        <v/>
      </c>
      <c r="E180">
        <f>IFERROR(AGGREGATE(15,6,ROW('Input Transaksi'!$B$5:$B$5000)/('Input Transaksi'!$B$5:$B$5000="CUCI DEWE"),ROWS($E$5:E180)),"")</f>
        <v/>
      </c>
      <c r="F180" s="5" t="n"/>
    </row>
    <row r="181">
      <c r="A181" s="10">
        <f>IF($E181="","",INDEX('Input Transaksi'!$A:$A,$E181))</f>
        <v/>
      </c>
      <c r="B181" s="5">
        <f>IF($E181="","",INDEX('Input Transaksi'!$D:$D,$E181))</f>
        <v/>
      </c>
      <c r="C181">
        <f>IF($E181="","",INDEX('Input Transaksi'!$E:$E,$E181))</f>
        <v/>
      </c>
      <c r="D181" s="5">
        <f>IF($E181="","",INDEX('Input Transaksi'!$F:$F,$E181))</f>
        <v/>
      </c>
      <c r="E181">
        <f>IFERROR(AGGREGATE(15,6,ROW('Input Transaksi'!$B$5:$B$5000)/('Input Transaksi'!$B$5:$B$5000="CUCI DEWE"),ROWS($E$5:E181)),"")</f>
        <v/>
      </c>
      <c r="F181" s="5" t="n"/>
    </row>
    <row r="182">
      <c r="A182" s="10">
        <f>IF($E182="","",INDEX('Input Transaksi'!$A:$A,$E182))</f>
        <v/>
      </c>
      <c r="B182" s="5">
        <f>IF($E182="","",INDEX('Input Transaksi'!$D:$D,$E182))</f>
        <v/>
      </c>
      <c r="C182">
        <f>IF($E182="","",INDEX('Input Transaksi'!$E:$E,$E182))</f>
        <v/>
      </c>
      <c r="D182" s="5">
        <f>IF($E182="","",INDEX('Input Transaksi'!$F:$F,$E182))</f>
        <v/>
      </c>
      <c r="E182">
        <f>IFERROR(AGGREGATE(15,6,ROW('Input Transaksi'!$B$5:$B$5000)/('Input Transaksi'!$B$5:$B$5000="CUCI DEWE"),ROWS($E$5:E182)),"")</f>
        <v/>
      </c>
      <c r="F182" s="5" t="n"/>
    </row>
    <row r="183">
      <c r="A183" s="10">
        <f>IF($E183="","",INDEX('Input Transaksi'!$A:$A,$E183))</f>
        <v/>
      </c>
      <c r="B183" s="5">
        <f>IF($E183="","",INDEX('Input Transaksi'!$D:$D,$E183))</f>
        <v/>
      </c>
      <c r="C183">
        <f>IF($E183="","",INDEX('Input Transaksi'!$E:$E,$E183))</f>
        <v/>
      </c>
      <c r="D183" s="5">
        <f>IF($E183="","",INDEX('Input Transaksi'!$F:$F,$E183))</f>
        <v/>
      </c>
      <c r="E183">
        <f>IFERROR(AGGREGATE(15,6,ROW('Input Transaksi'!$B$5:$B$5000)/('Input Transaksi'!$B$5:$B$5000="CUCI DEWE"),ROWS($E$5:E183)),"")</f>
        <v/>
      </c>
      <c r="F183" s="5" t="n"/>
    </row>
    <row r="184">
      <c r="A184" s="10">
        <f>IF($E184="","",INDEX('Input Transaksi'!$A:$A,$E184))</f>
        <v/>
      </c>
      <c r="B184" s="5">
        <f>IF($E184="","",INDEX('Input Transaksi'!$D:$D,$E184))</f>
        <v/>
      </c>
      <c r="C184">
        <f>IF($E184="","",INDEX('Input Transaksi'!$E:$E,$E184))</f>
        <v/>
      </c>
      <c r="D184" s="5">
        <f>IF($E184="","",INDEX('Input Transaksi'!$F:$F,$E184))</f>
        <v/>
      </c>
      <c r="E184">
        <f>IFERROR(AGGREGATE(15,6,ROW('Input Transaksi'!$B$5:$B$5000)/('Input Transaksi'!$B$5:$B$5000="CUCI DEWE"),ROWS($E$5:E184)),"")</f>
        <v/>
      </c>
      <c r="F184" s="5" t="n"/>
    </row>
    <row r="185">
      <c r="A185" s="10">
        <f>IF($E185="","",INDEX('Input Transaksi'!$A:$A,$E185))</f>
        <v/>
      </c>
      <c r="B185" s="5">
        <f>IF($E185="","",INDEX('Input Transaksi'!$D:$D,$E185))</f>
        <v/>
      </c>
      <c r="C185">
        <f>IF($E185="","",INDEX('Input Transaksi'!$E:$E,$E185))</f>
        <v/>
      </c>
      <c r="D185" s="5">
        <f>IF($E185="","",INDEX('Input Transaksi'!$F:$F,$E185))</f>
        <v/>
      </c>
      <c r="E185">
        <f>IFERROR(AGGREGATE(15,6,ROW('Input Transaksi'!$B$5:$B$5000)/('Input Transaksi'!$B$5:$B$5000="CUCI DEWE"),ROWS($E$5:E185)),"")</f>
        <v/>
      </c>
      <c r="F185" s="5" t="n"/>
    </row>
    <row r="186">
      <c r="A186" s="10">
        <f>IF($E186="","",INDEX('Input Transaksi'!$A:$A,$E186))</f>
        <v/>
      </c>
      <c r="B186" s="5">
        <f>IF($E186="","",INDEX('Input Transaksi'!$D:$D,$E186))</f>
        <v/>
      </c>
      <c r="C186">
        <f>IF($E186="","",INDEX('Input Transaksi'!$E:$E,$E186))</f>
        <v/>
      </c>
      <c r="D186" s="5">
        <f>IF($E186="","",INDEX('Input Transaksi'!$F:$F,$E186))</f>
        <v/>
      </c>
      <c r="E186">
        <f>IFERROR(AGGREGATE(15,6,ROW('Input Transaksi'!$B$5:$B$5000)/('Input Transaksi'!$B$5:$B$5000="CUCI DEWE"),ROWS($E$5:E186)),"")</f>
        <v/>
      </c>
      <c r="F186" s="5" t="n"/>
    </row>
    <row r="187">
      <c r="A187" s="10">
        <f>IF($E187="","",INDEX('Input Transaksi'!$A:$A,$E187))</f>
        <v/>
      </c>
      <c r="B187" s="5">
        <f>IF($E187="","",INDEX('Input Transaksi'!$D:$D,$E187))</f>
        <v/>
      </c>
      <c r="C187">
        <f>IF($E187="","",INDEX('Input Transaksi'!$E:$E,$E187))</f>
        <v/>
      </c>
      <c r="D187" s="5">
        <f>IF($E187="","",INDEX('Input Transaksi'!$F:$F,$E187))</f>
        <v/>
      </c>
      <c r="E187">
        <f>IFERROR(AGGREGATE(15,6,ROW('Input Transaksi'!$B$5:$B$5000)/('Input Transaksi'!$B$5:$B$5000="CUCI DEWE"),ROWS($E$5:E187)),"")</f>
        <v/>
      </c>
      <c r="F187" s="5" t="n"/>
    </row>
    <row r="188">
      <c r="A188" s="10">
        <f>IF($E188="","",INDEX('Input Transaksi'!$A:$A,$E188))</f>
        <v/>
      </c>
      <c r="B188" s="5">
        <f>IF($E188="","",INDEX('Input Transaksi'!$D:$D,$E188))</f>
        <v/>
      </c>
      <c r="C188">
        <f>IF($E188="","",INDEX('Input Transaksi'!$E:$E,$E188))</f>
        <v/>
      </c>
      <c r="D188" s="5">
        <f>IF($E188="","",INDEX('Input Transaksi'!$F:$F,$E188))</f>
        <v/>
      </c>
      <c r="E188">
        <f>IFERROR(AGGREGATE(15,6,ROW('Input Transaksi'!$B$5:$B$5000)/('Input Transaksi'!$B$5:$B$5000="CUCI DEWE"),ROWS($E$5:E188)),"")</f>
        <v/>
      </c>
      <c r="F188" s="5" t="n"/>
    </row>
    <row r="189">
      <c r="A189" s="10">
        <f>IF($E189="","",INDEX('Input Transaksi'!$A:$A,$E189))</f>
        <v/>
      </c>
      <c r="B189" s="5">
        <f>IF($E189="","",INDEX('Input Transaksi'!$D:$D,$E189))</f>
        <v/>
      </c>
      <c r="C189">
        <f>IF($E189="","",INDEX('Input Transaksi'!$E:$E,$E189))</f>
        <v/>
      </c>
      <c r="D189" s="5">
        <f>IF($E189="","",INDEX('Input Transaksi'!$F:$F,$E189))</f>
        <v/>
      </c>
      <c r="E189">
        <f>IFERROR(AGGREGATE(15,6,ROW('Input Transaksi'!$B$5:$B$5000)/('Input Transaksi'!$B$5:$B$5000="CUCI DEWE"),ROWS($E$5:E189)),"")</f>
        <v/>
      </c>
      <c r="F189" s="5" t="n"/>
    </row>
    <row r="190">
      <c r="A190" s="10">
        <f>IF($E190="","",INDEX('Input Transaksi'!$A:$A,$E190))</f>
        <v/>
      </c>
      <c r="B190" s="5">
        <f>IF($E190="","",INDEX('Input Transaksi'!$D:$D,$E190))</f>
        <v/>
      </c>
      <c r="C190">
        <f>IF($E190="","",INDEX('Input Transaksi'!$E:$E,$E190))</f>
        <v/>
      </c>
      <c r="D190" s="5">
        <f>IF($E190="","",INDEX('Input Transaksi'!$F:$F,$E190))</f>
        <v/>
      </c>
      <c r="E190">
        <f>IFERROR(AGGREGATE(15,6,ROW('Input Transaksi'!$B$5:$B$5000)/('Input Transaksi'!$B$5:$B$5000="CUCI DEWE"),ROWS($E$5:E190)),"")</f>
        <v/>
      </c>
      <c r="F190" s="5" t="n"/>
    </row>
    <row r="191">
      <c r="A191" s="10">
        <f>IF($E191="","",INDEX('Input Transaksi'!$A:$A,$E191))</f>
        <v/>
      </c>
      <c r="B191" s="5">
        <f>IF($E191="","",INDEX('Input Transaksi'!$D:$D,$E191))</f>
        <v/>
      </c>
      <c r="C191">
        <f>IF($E191="","",INDEX('Input Transaksi'!$E:$E,$E191))</f>
        <v/>
      </c>
      <c r="D191" s="5">
        <f>IF($E191="","",INDEX('Input Transaksi'!$F:$F,$E191))</f>
        <v/>
      </c>
      <c r="E191">
        <f>IFERROR(AGGREGATE(15,6,ROW('Input Transaksi'!$B$5:$B$5000)/('Input Transaksi'!$B$5:$B$5000="CUCI DEWE"),ROWS($E$5:E191)),"")</f>
        <v/>
      </c>
      <c r="F191" s="5" t="n"/>
    </row>
    <row r="192">
      <c r="A192" s="10">
        <f>IF($E192="","",INDEX('Input Transaksi'!$A:$A,$E192))</f>
        <v/>
      </c>
      <c r="B192" s="5">
        <f>IF($E192="","",INDEX('Input Transaksi'!$D:$D,$E192))</f>
        <v/>
      </c>
      <c r="C192">
        <f>IF($E192="","",INDEX('Input Transaksi'!$E:$E,$E192))</f>
        <v/>
      </c>
      <c r="D192" s="5">
        <f>IF($E192="","",INDEX('Input Transaksi'!$F:$F,$E192))</f>
        <v/>
      </c>
      <c r="E192">
        <f>IFERROR(AGGREGATE(15,6,ROW('Input Transaksi'!$B$5:$B$5000)/('Input Transaksi'!$B$5:$B$5000="CUCI DEWE"),ROWS($E$5:E192)),"")</f>
        <v/>
      </c>
      <c r="F192" s="5" t="n"/>
    </row>
    <row r="193">
      <c r="A193" s="10">
        <f>IF($E193="","",INDEX('Input Transaksi'!$A:$A,$E193))</f>
        <v/>
      </c>
      <c r="B193" s="5">
        <f>IF($E193="","",INDEX('Input Transaksi'!$D:$D,$E193))</f>
        <v/>
      </c>
      <c r="C193">
        <f>IF($E193="","",INDEX('Input Transaksi'!$E:$E,$E193))</f>
        <v/>
      </c>
      <c r="D193" s="5">
        <f>IF($E193="","",INDEX('Input Transaksi'!$F:$F,$E193))</f>
        <v/>
      </c>
      <c r="E193">
        <f>IFERROR(AGGREGATE(15,6,ROW('Input Transaksi'!$B$5:$B$5000)/('Input Transaksi'!$B$5:$B$5000="CUCI DEWE"),ROWS($E$5:E193)),"")</f>
        <v/>
      </c>
      <c r="F193" s="5" t="n"/>
    </row>
    <row r="194">
      <c r="A194" s="10">
        <f>IF($E194="","",INDEX('Input Transaksi'!$A:$A,$E194))</f>
        <v/>
      </c>
      <c r="B194" s="5">
        <f>IF($E194="","",INDEX('Input Transaksi'!$D:$D,$E194))</f>
        <v/>
      </c>
      <c r="C194">
        <f>IF($E194="","",INDEX('Input Transaksi'!$E:$E,$E194))</f>
        <v/>
      </c>
      <c r="D194" s="5">
        <f>IF($E194="","",INDEX('Input Transaksi'!$F:$F,$E194))</f>
        <v/>
      </c>
      <c r="E194">
        <f>IFERROR(AGGREGATE(15,6,ROW('Input Transaksi'!$B$5:$B$5000)/('Input Transaksi'!$B$5:$B$5000="CUCI DEWE"),ROWS($E$5:E194)),"")</f>
        <v/>
      </c>
      <c r="F194" s="5" t="n"/>
    </row>
    <row r="195">
      <c r="A195" s="10">
        <f>IF($E195="","",INDEX('Input Transaksi'!$A:$A,$E195))</f>
        <v/>
      </c>
      <c r="B195" s="5">
        <f>IF($E195="","",INDEX('Input Transaksi'!$D:$D,$E195))</f>
        <v/>
      </c>
      <c r="C195">
        <f>IF($E195="","",INDEX('Input Transaksi'!$E:$E,$E195))</f>
        <v/>
      </c>
      <c r="D195" s="5">
        <f>IF($E195="","",INDEX('Input Transaksi'!$F:$F,$E195))</f>
        <v/>
      </c>
      <c r="E195">
        <f>IFERROR(AGGREGATE(15,6,ROW('Input Transaksi'!$B$5:$B$5000)/('Input Transaksi'!$B$5:$B$5000="CUCI DEWE"),ROWS($E$5:E195)),"")</f>
        <v/>
      </c>
      <c r="F195" s="5" t="n"/>
    </row>
    <row r="196">
      <c r="A196" s="10">
        <f>IF($E196="","",INDEX('Input Transaksi'!$A:$A,$E196))</f>
        <v/>
      </c>
      <c r="B196" s="5">
        <f>IF($E196="","",INDEX('Input Transaksi'!$D:$D,$E196))</f>
        <v/>
      </c>
      <c r="C196">
        <f>IF($E196="","",INDEX('Input Transaksi'!$E:$E,$E196))</f>
        <v/>
      </c>
      <c r="D196" s="5">
        <f>IF($E196="","",INDEX('Input Transaksi'!$F:$F,$E196))</f>
        <v/>
      </c>
      <c r="E196">
        <f>IFERROR(AGGREGATE(15,6,ROW('Input Transaksi'!$B$5:$B$5000)/('Input Transaksi'!$B$5:$B$5000="CUCI DEWE"),ROWS($E$5:E196)),"")</f>
        <v/>
      </c>
      <c r="F196" s="5" t="n"/>
    </row>
    <row r="197">
      <c r="A197" s="10">
        <f>IF($E197="","",INDEX('Input Transaksi'!$A:$A,$E197))</f>
        <v/>
      </c>
      <c r="B197" s="5">
        <f>IF($E197="","",INDEX('Input Transaksi'!$D:$D,$E197))</f>
        <v/>
      </c>
      <c r="C197">
        <f>IF($E197="","",INDEX('Input Transaksi'!$E:$E,$E197))</f>
        <v/>
      </c>
      <c r="D197" s="5">
        <f>IF($E197="","",INDEX('Input Transaksi'!$F:$F,$E197))</f>
        <v/>
      </c>
      <c r="E197">
        <f>IFERROR(AGGREGATE(15,6,ROW('Input Transaksi'!$B$5:$B$5000)/('Input Transaksi'!$B$5:$B$5000="CUCI DEWE"),ROWS($E$5:E197)),"")</f>
        <v/>
      </c>
      <c r="F197" s="5" t="n"/>
    </row>
    <row r="198">
      <c r="A198" s="10">
        <f>IF($E198="","",INDEX('Input Transaksi'!$A:$A,$E198))</f>
        <v/>
      </c>
      <c r="B198" s="5">
        <f>IF($E198="","",INDEX('Input Transaksi'!$D:$D,$E198))</f>
        <v/>
      </c>
      <c r="C198">
        <f>IF($E198="","",INDEX('Input Transaksi'!$E:$E,$E198))</f>
        <v/>
      </c>
      <c r="D198" s="5">
        <f>IF($E198="","",INDEX('Input Transaksi'!$F:$F,$E198))</f>
        <v/>
      </c>
      <c r="E198">
        <f>IFERROR(AGGREGATE(15,6,ROW('Input Transaksi'!$B$5:$B$5000)/('Input Transaksi'!$B$5:$B$5000="CUCI DEWE"),ROWS($E$5:E198)),"")</f>
        <v/>
      </c>
      <c r="F198" s="5" t="n"/>
    </row>
    <row r="199">
      <c r="A199" s="10">
        <f>IF($E199="","",INDEX('Input Transaksi'!$A:$A,$E199))</f>
        <v/>
      </c>
      <c r="B199" s="5">
        <f>IF($E199="","",INDEX('Input Transaksi'!$D:$D,$E199))</f>
        <v/>
      </c>
      <c r="C199">
        <f>IF($E199="","",INDEX('Input Transaksi'!$E:$E,$E199))</f>
        <v/>
      </c>
      <c r="D199" s="5">
        <f>IF($E199="","",INDEX('Input Transaksi'!$F:$F,$E199))</f>
        <v/>
      </c>
      <c r="E199">
        <f>IFERROR(AGGREGATE(15,6,ROW('Input Transaksi'!$B$5:$B$5000)/('Input Transaksi'!$B$5:$B$5000="CUCI DEWE"),ROWS($E$5:E199)),"")</f>
        <v/>
      </c>
      <c r="F199" s="5" t="n"/>
    </row>
    <row r="200">
      <c r="A200" s="10">
        <f>IF($E200="","",INDEX('Input Transaksi'!$A:$A,$E200))</f>
        <v/>
      </c>
      <c r="B200" s="5">
        <f>IF($E200="","",INDEX('Input Transaksi'!$D:$D,$E200))</f>
        <v/>
      </c>
      <c r="C200">
        <f>IF($E200="","",INDEX('Input Transaksi'!$E:$E,$E200))</f>
        <v/>
      </c>
      <c r="D200" s="5">
        <f>IF($E200="","",INDEX('Input Transaksi'!$F:$F,$E200))</f>
        <v/>
      </c>
      <c r="E200">
        <f>IFERROR(AGGREGATE(15,6,ROW('Input Transaksi'!$B$5:$B$5000)/('Input Transaksi'!$B$5:$B$5000="CUCI DEWE"),ROWS($E$5:E200)),"")</f>
        <v/>
      </c>
      <c r="F200" s="5" t="n"/>
    </row>
    <row r="201">
      <c r="A201" s="10">
        <f>IF($E201="","",INDEX('Input Transaksi'!$A:$A,$E201))</f>
        <v/>
      </c>
      <c r="B201" s="5">
        <f>IF($E201="","",INDEX('Input Transaksi'!$D:$D,$E201))</f>
        <v/>
      </c>
      <c r="C201">
        <f>IF($E201="","",INDEX('Input Transaksi'!$E:$E,$E201))</f>
        <v/>
      </c>
      <c r="D201" s="5">
        <f>IF($E201="","",INDEX('Input Transaksi'!$F:$F,$E201))</f>
        <v/>
      </c>
      <c r="E201">
        <f>IFERROR(AGGREGATE(15,6,ROW('Input Transaksi'!$B$5:$B$5000)/('Input Transaksi'!$B$5:$B$5000="CUCI DEWE"),ROWS($E$5:E201)),"")</f>
        <v/>
      </c>
      <c r="F201" s="5" t="n"/>
    </row>
    <row r="202">
      <c r="A202" s="10">
        <f>IF($E202="","",INDEX('Input Transaksi'!$A:$A,$E202))</f>
        <v/>
      </c>
      <c r="B202" s="5">
        <f>IF($E202="","",INDEX('Input Transaksi'!$D:$D,$E202))</f>
        <v/>
      </c>
      <c r="C202">
        <f>IF($E202="","",INDEX('Input Transaksi'!$E:$E,$E202))</f>
        <v/>
      </c>
      <c r="D202" s="5">
        <f>IF($E202="","",INDEX('Input Transaksi'!$F:$F,$E202))</f>
        <v/>
      </c>
      <c r="E202">
        <f>IFERROR(AGGREGATE(15,6,ROW('Input Transaksi'!$B$5:$B$5000)/('Input Transaksi'!$B$5:$B$5000="CUCI DEWE"),ROWS($E$5:E202)),"")</f>
        <v/>
      </c>
      <c r="F202" s="5" t="n"/>
    </row>
    <row r="203">
      <c r="A203" s="10">
        <f>IF($E203="","",INDEX('Input Transaksi'!$A:$A,$E203))</f>
        <v/>
      </c>
      <c r="B203" s="5">
        <f>IF($E203="","",INDEX('Input Transaksi'!$D:$D,$E203))</f>
        <v/>
      </c>
      <c r="C203">
        <f>IF($E203="","",INDEX('Input Transaksi'!$E:$E,$E203))</f>
        <v/>
      </c>
      <c r="D203" s="5">
        <f>IF($E203="","",INDEX('Input Transaksi'!$F:$F,$E203))</f>
        <v/>
      </c>
      <c r="E203">
        <f>IFERROR(AGGREGATE(15,6,ROW('Input Transaksi'!$B$5:$B$5000)/('Input Transaksi'!$B$5:$B$5000="CUCI DEWE"),ROWS($E$5:E203)),"")</f>
        <v/>
      </c>
      <c r="F203" s="5" t="n"/>
    </row>
    <row r="204">
      <c r="A204" s="10">
        <f>IF($E204="","",INDEX('Input Transaksi'!$A:$A,$E204))</f>
        <v/>
      </c>
      <c r="B204" s="5">
        <f>IF($E204="","",INDEX('Input Transaksi'!$D:$D,$E204))</f>
        <v/>
      </c>
      <c r="C204">
        <f>IF($E204="","",INDEX('Input Transaksi'!$E:$E,$E204))</f>
        <v/>
      </c>
      <c r="D204" s="5">
        <f>IF($E204="","",INDEX('Input Transaksi'!$F:$F,$E204))</f>
        <v/>
      </c>
      <c r="E204">
        <f>IFERROR(AGGREGATE(15,6,ROW('Input Transaksi'!$B$5:$B$5000)/('Input Transaksi'!$B$5:$B$5000="CUCI DEWE"),ROWS($E$5:E204)),"")</f>
        <v/>
      </c>
      <c r="F204" s="5" t="n"/>
    </row>
    <row r="205">
      <c r="A205" s="10">
        <f>IF($E205="","",INDEX('Input Transaksi'!$A:$A,$E205))</f>
        <v/>
      </c>
      <c r="B205" s="5">
        <f>IF($E205="","",INDEX('Input Transaksi'!$D:$D,$E205))</f>
        <v/>
      </c>
      <c r="C205">
        <f>IF($E205="","",INDEX('Input Transaksi'!$E:$E,$E205))</f>
        <v/>
      </c>
      <c r="D205" s="5">
        <f>IF($E205="","",INDEX('Input Transaksi'!$F:$F,$E205))</f>
        <v/>
      </c>
      <c r="E205">
        <f>IFERROR(AGGREGATE(15,6,ROW('Input Transaksi'!$B$5:$B$5000)/('Input Transaksi'!$B$5:$B$5000="CUCI DEWE"),ROWS($E$5:E205)),"")</f>
        <v/>
      </c>
      <c r="F205" s="5" t="n"/>
    </row>
    <row r="206">
      <c r="A206" s="10">
        <f>IF($E206="","",INDEX('Input Transaksi'!$A:$A,$E206))</f>
        <v/>
      </c>
      <c r="B206" s="5">
        <f>IF($E206="","",INDEX('Input Transaksi'!$D:$D,$E206))</f>
        <v/>
      </c>
      <c r="C206">
        <f>IF($E206="","",INDEX('Input Transaksi'!$E:$E,$E206))</f>
        <v/>
      </c>
      <c r="D206" s="5">
        <f>IF($E206="","",INDEX('Input Transaksi'!$F:$F,$E206))</f>
        <v/>
      </c>
      <c r="E206">
        <f>IFERROR(AGGREGATE(15,6,ROW('Input Transaksi'!$B$5:$B$5000)/('Input Transaksi'!$B$5:$B$5000="CUCI DEWE"),ROWS($E$5:E206)),"")</f>
        <v/>
      </c>
      <c r="F206" s="5" t="n"/>
    </row>
    <row r="207">
      <c r="A207" s="10">
        <f>IF($E207="","",INDEX('Input Transaksi'!$A:$A,$E207))</f>
        <v/>
      </c>
      <c r="B207" s="5">
        <f>IF($E207="","",INDEX('Input Transaksi'!$D:$D,$E207))</f>
        <v/>
      </c>
      <c r="C207">
        <f>IF($E207="","",INDEX('Input Transaksi'!$E:$E,$E207))</f>
        <v/>
      </c>
      <c r="D207" s="5">
        <f>IF($E207="","",INDEX('Input Transaksi'!$F:$F,$E207))</f>
        <v/>
      </c>
      <c r="E207">
        <f>IFERROR(AGGREGATE(15,6,ROW('Input Transaksi'!$B$5:$B$5000)/('Input Transaksi'!$B$5:$B$5000="CUCI DEWE"),ROWS($E$5:E207)),"")</f>
        <v/>
      </c>
      <c r="F207" s="5" t="n"/>
    </row>
    <row r="208">
      <c r="A208" s="10">
        <f>IF($E208="","",INDEX('Input Transaksi'!$A:$A,$E208))</f>
        <v/>
      </c>
      <c r="B208" s="5">
        <f>IF($E208="","",INDEX('Input Transaksi'!$D:$D,$E208))</f>
        <v/>
      </c>
      <c r="C208">
        <f>IF($E208="","",INDEX('Input Transaksi'!$E:$E,$E208))</f>
        <v/>
      </c>
      <c r="D208" s="5">
        <f>IF($E208="","",INDEX('Input Transaksi'!$F:$F,$E208))</f>
        <v/>
      </c>
      <c r="E208">
        <f>IFERROR(AGGREGATE(15,6,ROW('Input Transaksi'!$B$5:$B$5000)/('Input Transaksi'!$B$5:$B$5000="CUCI DEWE"),ROWS($E$5:E208)),"")</f>
        <v/>
      </c>
      <c r="F208" s="5" t="n"/>
    </row>
    <row r="209">
      <c r="A209" s="10">
        <f>IF($E209="","",INDEX('Input Transaksi'!$A:$A,$E209))</f>
        <v/>
      </c>
      <c r="B209" s="5">
        <f>IF($E209="","",INDEX('Input Transaksi'!$D:$D,$E209))</f>
        <v/>
      </c>
      <c r="C209">
        <f>IF($E209="","",INDEX('Input Transaksi'!$E:$E,$E209))</f>
        <v/>
      </c>
      <c r="D209" s="5">
        <f>IF($E209="","",INDEX('Input Transaksi'!$F:$F,$E209))</f>
        <v/>
      </c>
      <c r="E209">
        <f>IFERROR(AGGREGATE(15,6,ROW('Input Transaksi'!$B$5:$B$5000)/('Input Transaksi'!$B$5:$B$5000="CUCI DEWE"),ROWS($E$5:E209)),"")</f>
        <v/>
      </c>
      <c r="F209" s="5" t="n"/>
    </row>
    <row r="210">
      <c r="A210" s="10">
        <f>IF($E210="","",INDEX('Input Transaksi'!$A:$A,$E210))</f>
        <v/>
      </c>
      <c r="B210" s="5">
        <f>IF($E210="","",INDEX('Input Transaksi'!$D:$D,$E210))</f>
        <v/>
      </c>
      <c r="C210">
        <f>IF($E210="","",INDEX('Input Transaksi'!$E:$E,$E210))</f>
        <v/>
      </c>
      <c r="D210" s="5">
        <f>IF($E210="","",INDEX('Input Transaksi'!$F:$F,$E210))</f>
        <v/>
      </c>
      <c r="E210">
        <f>IFERROR(AGGREGATE(15,6,ROW('Input Transaksi'!$B$5:$B$5000)/('Input Transaksi'!$B$5:$B$5000="CUCI DEWE"),ROWS($E$5:E210)),"")</f>
        <v/>
      </c>
      <c r="F210" s="5" t="n"/>
    </row>
    <row r="211">
      <c r="A211" s="10">
        <f>IF($E211="","",INDEX('Input Transaksi'!$A:$A,$E211))</f>
        <v/>
      </c>
      <c r="B211" s="5">
        <f>IF($E211="","",INDEX('Input Transaksi'!$D:$D,$E211))</f>
        <v/>
      </c>
      <c r="C211">
        <f>IF($E211="","",INDEX('Input Transaksi'!$E:$E,$E211))</f>
        <v/>
      </c>
      <c r="D211" s="5">
        <f>IF($E211="","",INDEX('Input Transaksi'!$F:$F,$E211))</f>
        <v/>
      </c>
      <c r="E211">
        <f>IFERROR(AGGREGATE(15,6,ROW('Input Transaksi'!$B$5:$B$5000)/('Input Transaksi'!$B$5:$B$5000="CUCI DEWE"),ROWS($E$5:E211)),"")</f>
        <v/>
      </c>
      <c r="F211" s="5" t="n"/>
    </row>
    <row r="212">
      <c r="A212" s="10">
        <f>IF($E212="","",INDEX('Input Transaksi'!$A:$A,$E212))</f>
        <v/>
      </c>
      <c r="B212" s="5">
        <f>IF($E212="","",INDEX('Input Transaksi'!$D:$D,$E212))</f>
        <v/>
      </c>
      <c r="C212">
        <f>IF($E212="","",INDEX('Input Transaksi'!$E:$E,$E212))</f>
        <v/>
      </c>
      <c r="D212" s="5">
        <f>IF($E212="","",INDEX('Input Transaksi'!$F:$F,$E212))</f>
        <v/>
      </c>
      <c r="E212">
        <f>IFERROR(AGGREGATE(15,6,ROW('Input Transaksi'!$B$5:$B$5000)/('Input Transaksi'!$B$5:$B$5000="CUCI DEWE"),ROWS($E$5:E212)),"")</f>
        <v/>
      </c>
      <c r="F212" s="5" t="n"/>
    </row>
    <row r="213">
      <c r="A213" s="10">
        <f>IF($E213="","",INDEX('Input Transaksi'!$A:$A,$E213))</f>
        <v/>
      </c>
      <c r="B213" s="5">
        <f>IF($E213="","",INDEX('Input Transaksi'!$D:$D,$E213))</f>
        <v/>
      </c>
      <c r="C213">
        <f>IF($E213="","",INDEX('Input Transaksi'!$E:$E,$E213))</f>
        <v/>
      </c>
      <c r="D213" s="5">
        <f>IF($E213="","",INDEX('Input Transaksi'!$F:$F,$E213))</f>
        <v/>
      </c>
      <c r="E213">
        <f>IFERROR(AGGREGATE(15,6,ROW('Input Transaksi'!$B$5:$B$5000)/('Input Transaksi'!$B$5:$B$5000="CUCI DEWE"),ROWS($E$5:E213)),"")</f>
        <v/>
      </c>
      <c r="F213" s="5" t="n"/>
    </row>
    <row r="214">
      <c r="A214" s="10">
        <f>IF($E214="","",INDEX('Input Transaksi'!$A:$A,$E214))</f>
        <v/>
      </c>
      <c r="B214" s="5">
        <f>IF($E214="","",INDEX('Input Transaksi'!$D:$D,$E214))</f>
        <v/>
      </c>
      <c r="C214">
        <f>IF($E214="","",INDEX('Input Transaksi'!$E:$E,$E214))</f>
        <v/>
      </c>
      <c r="D214" s="5">
        <f>IF($E214="","",INDEX('Input Transaksi'!$F:$F,$E214))</f>
        <v/>
      </c>
      <c r="E214">
        <f>IFERROR(AGGREGATE(15,6,ROW('Input Transaksi'!$B$5:$B$5000)/('Input Transaksi'!$B$5:$B$5000="CUCI DEWE"),ROWS($E$5:E214)),"")</f>
        <v/>
      </c>
      <c r="F214" s="5" t="n"/>
    </row>
    <row r="215">
      <c r="A215" s="10">
        <f>IF($E215="","",INDEX('Input Transaksi'!$A:$A,$E215))</f>
        <v/>
      </c>
      <c r="B215" s="5">
        <f>IF($E215="","",INDEX('Input Transaksi'!$D:$D,$E215))</f>
        <v/>
      </c>
      <c r="C215">
        <f>IF($E215="","",INDEX('Input Transaksi'!$E:$E,$E215))</f>
        <v/>
      </c>
      <c r="D215" s="5">
        <f>IF($E215="","",INDEX('Input Transaksi'!$F:$F,$E215))</f>
        <v/>
      </c>
      <c r="E215">
        <f>IFERROR(AGGREGATE(15,6,ROW('Input Transaksi'!$B$5:$B$5000)/('Input Transaksi'!$B$5:$B$5000="CUCI DEWE"),ROWS($E$5:E215)),"")</f>
        <v/>
      </c>
      <c r="F215" s="5" t="n"/>
    </row>
    <row r="216">
      <c r="A216" s="10">
        <f>IF($E216="","",INDEX('Input Transaksi'!$A:$A,$E216))</f>
        <v/>
      </c>
      <c r="B216" s="5">
        <f>IF($E216="","",INDEX('Input Transaksi'!$D:$D,$E216))</f>
        <v/>
      </c>
      <c r="C216">
        <f>IF($E216="","",INDEX('Input Transaksi'!$E:$E,$E216))</f>
        <v/>
      </c>
      <c r="D216" s="5">
        <f>IF($E216="","",INDEX('Input Transaksi'!$F:$F,$E216))</f>
        <v/>
      </c>
      <c r="E216">
        <f>IFERROR(AGGREGATE(15,6,ROW('Input Transaksi'!$B$5:$B$5000)/('Input Transaksi'!$B$5:$B$5000="CUCI DEWE"),ROWS($E$5:E216)),"")</f>
        <v/>
      </c>
      <c r="F216" s="5" t="n"/>
    </row>
    <row r="217">
      <c r="A217" s="10">
        <f>IF($E217="","",INDEX('Input Transaksi'!$A:$A,$E217))</f>
        <v/>
      </c>
      <c r="B217" s="5">
        <f>IF($E217="","",INDEX('Input Transaksi'!$D:$D,$E217))</f>
        <v/>
      </c>
      <c r="C217">
        <f>IF($E217="","",INDEX('Input Transaksi'!$E:$E,$E217))</f>
        <v/>
      </c>
      <c r="D217" s="5">
        <f>IF($E217="","",INDEX('Input Transaksi'!$F:$F,$E217))</f>
        <v/>
      </c>
      <c r="E217">
        <f>IFERROR(AGGREGATE(15,6,ROW('Input Transaksi'!$B$5:$B$5000)/('Input Transaksi'!$B$5:$B$5000="CUCI DEWE"),ROWS($E$5:E217)),"")</f>
        <v/>
      </c>
      <c r="F217" s="5" t="n"/>
    </row>
    <row r="218">
      <c r="A218" s="10">
        <f>IF($E218="","",INDEX('Input Transaksi'!$A:$A,$E218))</f>
        <v/>
      </c>
      <c r="B218" s="5">
        <f>IF($E218="","",INDEX('Input Transaksi'!$D:$D,$E218))</f>
        <v/>
      </c>
      <c r="C218">
        <f>IF($E218="","",INDEX('Input Transaksi'!$E:$E,$E218))</f>
        <v/>
      </c>
      <c r="D218" s="5">
        <f>IF($E218="","",INDEX('Input Transaksi'!$F:$F,$E218))</f>
        <v/>
      </c>
      <c r="E218">
        <f>IFERROR(AGGREGATE(15,6,ROW('Input Transaksi'!$B$5:$B$5000)/('Input Transaksi'!$B$5:$B$5000="CUCI DEWE"),ROWS($E$5:E218)),"")</f>
        <v/>
      </c>
      <c r="F218" s="5" t="n"/>
    </row>
    <row r="219">
      <c r="A219" s="10">
        <f>IF($E219="","",INDEX('Input Transaksi'!$A:$A,$E219))</f>
        <v/>
      </c>
      <c r="B219" s="5">
        <f>IF($E219="","",INDEX('Input Transaksi'!$D:$D,$E219))</f>
        <v/>
      </c>
      <c r="C219">
        <f>IF($E219="","",INDEX('Input Transaksi'!$E:$E,$E219))</f>
        <v/>
      </c>
      <c r="D219" s="5">
        <f>IF($E219="","",INDEX('Input Transaksi'!$F:$F,$E219))</f>
        <v/>
      </c>
      <c r="E219">
        <f>IFERROR(AGGREGATE(15,6,ROW('Input Transaksi'!$B$5:$B$5000)/('Input Transaksi'!$B$5:$B$5000="CUCI DEWE"),ROWS($E$5:E219)),"")</f>
        <v/>
      </c>
      <c r="F219" s="5" t="n"/>
    </row>
    <row r="220">
      <c r="A220" s="10">
        <f>IF($E220="","",INDEX('Input Transaksi'!$A:$A,$E220))</f>
        <v/>
      </c>
      <c r="B220" s="5">
        <f>IF($E220="","",INDEX('Input Transaksi'!$D:$D,$E220))</f>
        <v/>
      </c>
      <c r="C220">
        <f>IF($E220="","",INDEX('Input Transaksi'!$E:$E,$E220))</f>
        <v/>
      </c>
      <c r="D220" s="5">
        <f>IF($E220="","",INDEX('Input Transaksi'!$F:$F,$E220))</f>
        <v/>
      </c>
      <c r="E220">
        <f>IFERROR(AGGREGATE(15,6,ROW('Input Transaksi'!$B$5:$B$5000)/('Input Transaksi'!$B$5:$B$5000="CUCI DEWE"),ROWS($E$5:E220)),"")</f>
        <v/>
      </c>
      <c r="F220" s="5" t="n"/>
    </row>
    <row r="221">
      <c r="A221" s="10">
        <f>IF($E221="","",INDEX('Input Transaksi'!$A:$A,$E221))</f>
        <v/>
      </c>
      <c r="B221" s="5">
        <f>IF($E221="","",INDEX('Input Transaksi'!$D:$D,$E221))</f>
        <v/>
      </c>
      <c r="C221">
        <f>IF($E221="","",INDEX('Input Transaksi'!$E:$E,$E221))</f>
        <v/>
      </c>
      <c r="D221" s="5">
        <f>IF($E221="","",INDEX('Input Transaksi'!$F:$F,$E221))</f>
        <v/>
      </c>
      <c r="E221">
        <f>IFERROR(AGGREGATE(15,6,ROW('Input Transaksi'!$B$5:$B$5000)/('Input Transaksi'!$B$5:$B$5000="CUCI DEWE"),ROWS($E$5:E221)),"")</f>
        <v/>
      </c>
      <c r="F221" s="5" t="n"/>
    </row>
    <row r="222">
      <c r="A222" s="10">
        <f>IF($E222="","",INDEX('Input Transaksi'!$A:$A,$E222))</f>
        <v/>
      </c>
      <c r="B222" s="5">
        <f>IF($E222="","",INDEX('Input Transaksi'!$D:$D,$E222))</f>
        <v/>
      </c>
      <c r="C222">
        <f>IF($E222="","",INDEX('Input Transaksi'!$E:$E,$E222))</f>
        <v/>
      </c>
      <c r="D222" s="5">
        <f>IF($E222="","",INDEX('Input Transaksi'!$F:$F,$E222))</f>
        <v/>
      </c>
      <c r="E222">
        <f>IFERROR(AGGREGATE(15,6,ROW('Input Transaksi'!$B$5:$B$5000)/('Input Transaksi'!$B$5:$B$5000="CUCI DEWE"),ROWS($E$5:E222)),"")</f>
        <v/>
      </c>
      <c r="F222" s="5" t="n"/>
    </row>
    <row r="223">
      <c r="A223" s="10">
        <f>IF($E223="","",INDEX('Input Transaksi'!$A:$A,$E223))</f>
        <v/>
      </c>
      <c r="B223" s="5">
        <f>IF($E223="","",INDEX('Input Transaksi'!$D:$D,$E223))</f>
        <v/>
      </c>
      <c r="C223">
        <f>IF($E223="","",INDEX('Input Transaksi'!$E:$E,$E223))</f>
        <v/>
      </c>
      <c r="D223" s="5">
        <f>IF($E223="","",INDEX('Input Transaksi'!$F:$F,$E223))</f>
        <v/>
      </c>
      <c r="E223">
        <f>IFERROR(AGGREGATE(15,6,ROW('Input Transaksi'!$B$5:$B$5000)/('Input Transaksi'!$B$5:$B$5000="CUCI DEWE"),ROWS($E$5:E223)),"")</f>
        <v/>
      </c>
      <c r="F223" s="5" t="n"/>
    </row>
    <row r="224">
      <c r="A224" s="10">
        <f>IF($E224="","",INDEX('Input Transaksi'!$A:$A,$E224))</f>
        <v/>
      </c>
      <c r="B224" s="5">
        <f>IF($E224="","",INDEX('Input Transaksi'!$D:$D,$E224))</f>
        <v/>
      </c>
      <c r="C224">
        <f>IF($E224="","",INDEX('Input Transaksi'!$E:$E,$E224))</f>
        <v/>
      </c>
      <c r="D224" s="5">
        <f>IF($E224="","",INDEX('Input Transaksi'!$F:$F,$E224))</f>
        <v/>
      </c>
      <c r="E224">
        <f>IFERROR(AGGREGATE(15,6,ROW('Input Transaksi'!$B$5:$B$5000)/('Input Transaksi'!$B$5:$B$5000="CUCI DEWE"),ROWS($E$5:E224)),"")</f>
        <v/>
      </c>
      <c r="F224" s="5" t="n"/>
    </row>
    <row r="225">
      <c r="A225" s="10">
        <f>IF($E225="","",INDEX('Input Transaksi'!$A:$A,$E225))</f>
        <v/>
      </c>
      <c r="B225" s="5">
        <f>IF($E225="","",INDEX('Input Transaksi'!$D:$D,$E225))</f>
        <v/>
      </c>
      <c r="C225">
        <f>IF($E225="","",INDEX('Input Transaksi'!$E:$E,$E225))</f>
        <v/>
      </c>
      <c r="D225" s="5">
        <f>IF($E225="","",INDEX('Input Transaksi'!$F:$F,$E225))</f>
        <v/>
      </c>
      <c r="E225">
        <f>IFERROR(AGGREGATE(15,6,ROW('Input Transaksi'!$B$5:$B$5000)/('Input Transaksi'!$B$5:$B$5000="CUCI DEWE"),ROWS($E$5:E225)),"")</f>
        <v/>
      </c>
      <c r="F225" s="5" t="n"/>
    </row>
    <row r="226">
      <c r="A226" s="10">
        <f>IF($E226="","",INDEX('Input Transaksi'!$A:$A,$E226))</f>
        <v/>
      </c>
      <c r="B226" s="5">
        <f>IF($E226="","",INDEX('Input Transaksi'!$D:$D,$E226))</f>
        <v/>
      </c>
      <c r="C226">
        <f>IF($E226="","",INDEX('Input Transaksi'!$E:$E,$E226))</f>
        <v/>
      </c>
      <c r="D226" s="5">
        <f>IF($E226="","",INDEX('Input Transaksi'!$F:$F,$E226))</f>
        <v/>
      </c>
      <c r="E226">
        <f>IFERROR(AGGREGATE(15,6,ROW('Input Transaksi'!$B$5:$B$5000)/('Input Transaksi'!$B$5:$B$5000="CUCI DEWE"),ROWS($E$5:E226)),"")</f>
        <v/>
      </c>
      <c r="F226" s="5" t="n"/>
    </row>
    <row r="227">
      <c r="A227" s="10">
        <f>IF($E227="","",INDEX('Input Transaksi'!$A:$A,$E227))</f>
        <v/>
      </c>
      <c r="B227" s="5">
        <f>IF($E227="","",INDEX('Input Transaksi'!$D:$D,$E227))</f>
        <v/>
      </c>
      <c r="C227">
        <f>IF($E227="","",INDEX('Input Transaksi'!$E:$E,$E227))</f>
        <v/>
      </c>
      <c r="D227" s="5">
        <f>IF($E227="","",INDEX('Input Transaksi'!$F:$F,$E227))</f>
        <v/>
      </c>
      <c r="E227">
        <f>IFERROR(AGGREGATE(15,6,ROW('Input Transaksi'!$B$5:$B$5000)/('Input Transaksi'!$B$5:$B$5000="CUCI DEWE"),ROWS($E$5:E227)),"")</f>
        <v/>
      </c>
      <c r="F227" s="5" t="n"/>
    </row>
    <row r="228">
      <c r="A228" s="10">
        <f>IF($E228="","",INDEX('Input Transaksi'!$A:$A,$E228))</f>
        <v/>
      </c>
      <c r="B228" s="5">
        <f>IF($E228="","",INDEX('Input Transaksi'!$D:$D,$E228))</f>
        <v/>
      </c>
      <c r="C228">
        <f>IF($E228="","",INDEX('Input Transaksi'!$E:$E,$E228))</f>
        <v/>
      </c>
      <c r="D228" s="5">
        <f>IF($E228="","",INDEX('Input Transaksi'!$F:$F,$E228))</f>
        <v/>
      </c>
      <c r="E228">
        <f>IFERROR(AGGREGATE(15,6,ROW('Input Transaksi'!$B$5:$B$5000)/('Input Transaksi'!$B$5:$B$5000="CUCI DEWE"),ROWS($E$5:E228)),"")</f>
        <v/>
      </c>
      <c r="F228" s="5" t="n"/>
    </row>
    <row r="229">
      <c r="A229" s="10">
        <f>IF($E229="","",INDEX('Input Transaksi'!$A:$A,$E229))</f>
        <v/>
      </c>
      <c r="B229" s="5">
        <f>IF($E229="","",INDEX('Input Transaksi'!$D:$D,$E229))</f>
        <v/>
      </c>
      <c r="C229">
        <f>IF($E229="","",INDEX('Input Transaksi'!$E:$E,$E229))</f>
        <v/>
      </c>
      <c r="D229" s="5">
        <f>IF($E229="","",INDEX('Input Transaksi'!$F:$F,$E229))</f>
        <v/>
      </c>
      <c r="E229">
        <f>IFERROR(AGGREGATE(15,6,ROW('Input Transaksi'!$B$5:$B$5000)/('Input Transaksi'!$B$5:$B$5000="CUCI DEWE"),ROWS($E$5:E229)),"")</f>
        <v/>
      </c>
      <c r="F229" s="5" t="n"/>
    </row>
    <row r="230">
      <c r="A230" s="10">
        <f>IF($E230="","",INDEX('Input Transaksi'!$A:$A,$E230))</f>
        <v/>
      </c>
      <c r="B230" s="5">
        <f>IF($E230="","",INDEX('Input Transaksi'!$D:$D,$E230))</f>
        <v/>
      </c>
      <c r="C230">
        <f>IF($E230="","",INDEX('Input Transaksi'!$E:$E,$E230))</f>
        <v/>
      </c>
      <c r="D230" s="5">
        <f>IF($E230="","",INDEX('Input Transaksi'!$F:$F,$E230))</f>
        <v/>
      </c>
      <c r="E230">
        <f>IFERROR(AGGREGATE(15,6,ROW('Input Transaksi'!$B$5:$B$5000)/('Input Transaksi'!$B$5:$B$5000="CUCI DEWE"),ROWS($E$5:E230)),"")</f>
        <v/>
      </c>
      <c r="F230" s="5" t="n"/>
    </row>
    <row r="231">
      <c r="A231" s="10">
        <f>IF($E231="","",INDEX('Input Transaksi'!$A:$A,$E231))</f>
        <v/>
      </c>
      <c r="B231" s="5">
        <f>IF($E231="","",INDEX('Input Transaksi'!$D:$D,$E231))</f>
        <v/>
      </c>
      <c r="C231">
        <f>IF($E231="","",INDEX('Input Transaksi'!$E:$E,$E231))</f>
        <v/>
      </c>
      <c r="D231" s="5">
        <f>IF($E231="","",INDEX('Input Transaksi'!$F:$F,$E231))</f>
        <v/>
      </c>
      <c r="E231">
        <f>IFERROR(AGGREGATE(15,6,ROW('Input Transaksi'!$B$5:$B$5000)/('Input Transaksi'!$B$5:$B$5000="CUCI DEWE"),ROWS($E$5:E231)),"")</f>
        <v/>
      </c>
      <c r="F231" s="5" t="n"/>
    </row>
    <row r="232">
      <c r="A232" s="10">
        <f>IF($E232="","",INDEX('Input Transaksi'!$A:$A,$E232))</f>
        <v/>
      </c>
      <c r="B232" s="5">
        <f>IF($E232="","",INDEX('Input Transaksi'!$D:$D,$E232))</f>
        <v/>
      </c>
      <c r="C232">
        <f>IF($E232="","",INDEX('Input Transaksi'!$E:$E,$E232))</f>
        <v/>
      </c>
      <c r="D232" s="5">
        <f>IF($E232="","",INDEX('Input Transaksi'!$F:$F,$E232))</f>
        <v/>
      </c>
      <c r="E232">
        <f>IFERROR(AGGREGATE(15,6,ROW('Input Transaksi'!$B$5:$B$5000)/('Input Transaksi'!$B$5:$B$5000="CUCI DEWE"),ROWS($E$5:E232)),"")</f>
        <v/>
      </c>
      <c r="F232" s="5" t="n"/>
    </row>
    <row r="233">
      <c r="A233" s="10">
        <f>IF($E233="","",INDEX('Input Transaksi'!$A:$A,$E233))</f>
        <v/>
      </c>
      <c r="B233" s="5">
        <f>IF($E233="","",INDEX('Input Transaksi'!$D:$D,$E233))</f>
        <v/>
      </c>
      <c r="C233">
        <f>IF($E233="","",INDEX('Input Transaksi'!$E:$E,$E233))</f>
        <v/>
      </c>
      <c r="D233" s="5">
        <f>IF($E233="","",INDEX('Input Transaksi'!$F:$F,$E233))</f>
        <v/>
      </c>
      <c r="E233">
        <f>IFERROR(AGGREGATE(15,6,ROW('Input Transaksi'!$B$5:$B$5000)/('Input Transaksi'!$B$5:$B$5000="CUCI DEWE"),ROWS($E$5:E233)),"")</f>
        <v/>
      </c>
      <c r="F233" s="5" t="n"/>
    </row>
    <row r="234">
      <c r="A234" s="10">
        <f>IF($E234="","",INDEX('Input Transaksi'!$A:$A,$E234))</f>
        <v/>
      </c>
      <c r="B234" s="5">
        <f>IF($E234="","",INDEX('Input Transaksi'!$D:$D,$E234))</f>
        <v/>
      </c>
      <c r="C234">
        <f>IF($E234="","",INDEX('Input Transaksi'!$E:$E,$E234))</f>
        <v/>
      </c>
      <c r="D234" s="5">
        <f>IF($E234="","",INDEX('Input Transaksi'!$F:$F,$E234))</f>
        <v/>
      </c>
      <c r="E234">
        <f>IFERROR(AGGREGATE(15,6,ROW('Input Transaksi'!$B$5:$B$5000)/('Input Transaksi'!$B$5:$B$5000="CUCI DEWE"),ROWS($E$5:E234)),"")</f>
        <v/>
      </c>
      <c r="F234" s="5" t="n"/>
    </row>
    <row r="235">
      <c r="A235" s="10">
        <f>IF($E235="","",INDEX('Input Transaksi'!$A:$A,$E235))</f>
        <v/>
      </c>
      <c r="B235" s="5">
        <f>IF($E235="","",INDEX('Input Transaksi'!$D:$D,$E235))</f>
        <v/>
      </c>
      <c r="C235">
        <f>IF($E235="","",INDEX('Input Transaksi'!$E:$E,$E235))</f>
        <v/>
      </c>
      <c r="D235" s="5">
        <f>IF($E235="","",INDEX('Input Transaksi'!$F:$F,$E235))</f>
        <v/>
      </c>
      <c r="E235">
        <f>IFERROR(AGGREGATE(15,6,ROW('Input Transaksi'!$B$5:$B$5000)/('Input Transaksi'!$B$5:$B$5000="CUCI DEWE"),ROWS($E$5:E235)),"")</f>
        <v/>
      </c>
      <c r="F235" s="5" t="n"/>
    </row>
    <row r="236">
      <c r="A236" s="10">
        <f>IF($E236="","",INDEX('Input Transaksi'!$A:$A,$E236))</f>
        <v/>
      </c>
      <c r="B236" s="5">
        <f>IF($E236="","",INDEX('Input Transaksi'!$D:$D,$E236))</f>
        <v/>
      </c>
      <c r="C236">
        <f>IF($E236="","",INDEX('Input Transaksi'!$E:$E,$E236))</f>
        <v/>
      </c>
      <c r="D236" s="5">
        <f>IF($E236="","",INDEX('Input Transaksi'!$F:$F,$E236))</f>
        <v/>
      </c>
      <c r="E236">
        <f>IFERROR(AGGREGATE(15,6,ROW('Input Transaksi'!$B$5:$B$5000)/('Input Transaksi'!$B$5:$B$5000="CUCI DEWE"),ROWS($E$5:E236)),"")</f>
        <v/>
      </c>
      <c r="F236" s="5" t="n"/>
    </row>
    <row r="237">
      <c r="A237" s="10">
        <f>IF($E237="","",INDEX('Input Transaksi'!$A:$A,$E237))</f>
        <v/>
      </c>
      <c r="B237" s="5">
        <f>IF($E237="","",INDEX('Input Transaksi'!$D:$D,$E237))</f>
        <v/>
      </c>
      <c r="C237">
        <f>IF($E237="","",INDEX('Input Transaksi'!$E:$E,$E237))</f>
        <v/>
      </c>
      <c r="D237" s="5">
        <f>IF($E237="","",INDEX('Input Transaksi'!$F:$F,$E237))</f>
        <v/>
      </c>
      <c r="E237">
        <f>IFERROR(AGGREGATE(15,6,ROW('Input Transaksi'!$B$5:$B$5000)/('Input Transaksi'!$B$5:$B$5000="CUCI DEWE"),ROWS($E$5:E237)),"")</f>
        <v/>
      </c>
      <c r="F237" s="5" t="n"/>
    </row>
    <row r="238">
      <c r="A238" s="10">
        <f>IF($E238="","",INDEX('Input Transaksi'!$A:$A,$E238))</f>
        <v/>
      </c>
      <c r="B238" s="5">
        <f>IF($E238="","",INDEX('Input Transaksi'!$D:$D,$E238))</f>
        <v/>
      </c>
      <c r="C238">
        <f>IF($E238="","",INDEX('Input Transaksi'!$E:$E,$E238))</f>
        <v/>
      </c>
      <c r="D238" s="5">
        <f>IF($E238="","",INDEX('Input Transaksi'!$F:$F,$E238))</f>
        <v/>
      </c>
      <c r="E238">
        <f>IFERROR(AGGREGATE(15,6,ROW('Input Transaksi'!$B$5:$B$5000)/('Input Transaksi'!$B$5:$B$5000="CUCI DEWE"),ROWS($E$5:E238)),"")</f>
        <v/>
      </c>
      <c r="F238" s="5" t="n"/>
    </row>
    <row r="239">
      <c r="A239" s="10">
        <f>IF($E239="","",INDEX('Input Transaksi'!$A:$A,$E239))</f>
        <v/>
      </c>
      <c r="B239" s="5">
        <f>IF($E239="","",INDEX('Input Transaksi'!$D:$D,$E239))</f>
        <v/>
      </c>
      <c r="C239">
        <f>IF($E239="","",INDEX('Input Transaksi'!$E:$E,$E239))</f>
        <v/>
      </c>
      <c r="D239" s="5">
        <f>IF($E239="","",INDEX('Input Transaksi'!$F:$F,$E239))</f>
        <v/>
      </c>
      <c r="E239">
        <f>IFERROR(AGGREGATE(15,6,ROW('Input Transaksi'!$B$5:$B$5000)/('Input Transaksi'!$B$5:$B$5000="CUCI DEWE"),ROWS($E$5:E239)),"")</f>
        <v/>
      </c>
      <c r="F239" s="5" t="n"/>
    </row>
    <row r="240">
      <c r="A240" s="10">
        <f>IF($E240="","",INDEX('Input Transaksi'!$A:$A,$E240))</f>
        <v/>
      </c>
      <c r="B240" s="5">
        <f>IF($E240="","",INDEX('Input Transaksi'!$D:$D,$E240))</f>
        <v/>
      </c>
      <c r="C240">
        <f>IF($E240="","",INDEX('Input Transaksi'!$E:$E,$E240))</f>
        <v/>
      </c>
      <c r="D240" s="5">
        <f>IF($E240="","",INDEX('Input Transaksi'!$F:$F,$E240))</f>
        <v/>
      </c>
      <c r="E240">
        <f>IFERROR(AGGREGATE(15,6,ROW('Input Transaksi'!$B$5:$B$5000)/('Input Transaksi'!$B$5:$B$5000="CUCI DEWE"),ROWS($E$5:E240)),"")</f>
        <v/>
      </c>
      <c r="F240" s="5" t="n"/>
    </row>
    <row r="241">
      <c r="A241" s="10">
        <f>IF($E241="","",INDEX('Input Transaksi'!$A:$A,$E241))</f>
        <v/>
      </c>
      <c r="B241" s="5">
        <f>IF($E241="","",INDEX('Input Transaksi'!$D:$D,$E241))</f>
        <v/>
      </c>
      <c r="C241">
        <f>IF($E241="","",INDEX('Input Transaksi'!$E:$E,$E241))</f>
        <v/>
      </c>
      <c r="D241" s="5">
        <f>IF($E241="","",INDEX('Input Transaksi'!$F:$F,$E241))</f>
        <v/>
      </c>
      <c r="E241">
        <f>IFERROR(AGGREGATE(15,6,ROW('Input Transaksi'!$B$5:$B$5000)/('Input Transaksi'!$B$5:$B$5000="CUCI DEWE"),ROWS($E$5:E241)),"")</f>
        <v/>
      </c>
      <c r="F241" s="5" t="n"/>
    </row>
    <row r="242">
      <c r="A242" s="10">
        <f>IF($E242="","",INDEX('Input Transaksi'!$A:$A,$E242))</f>
        <v/>
      </c>
      <c r="B242" s="5">
        <f>IF($E242="","",INDEX('Input Transaksi'!$D:$D,$E242))</f>
        <v/>
      </c>
      <c r="C242">
        <f>IF($E242="","",INDEX('Input Transaksi'!$E:$E,$E242))</f>
        <v/>
      </c>
      <c r="D242" s="5">
        <f>IF($E242="","",INDEX('Input Transaksi'!$F:$F,$E242))</f>
        <v/>
      </c>
      <c r="E242">
        <f>IFERROR(AGGREGATE(15,6,ROW('Input Transaksi'!$B$5:$B$5000)/('Input Transaksi'!$B$5:$B$5000="CUCI DEWE"),ROWS($E$5:E242)),"")</f>
        <v/>
      </c>
      <c r="F242" s="5" t="n"/>
    </row>
    <row r="243">
      <c r="A243" s="10">
        <f>IF($E243="","",INDEX('Input Transaksi'!$A:$A,$E243))</f>
        <v/>
      </c>
      <c r="B243" s="5">
        <f>IF($E243="","",INDEX('Input Transaksi'!$D:$D,$E243))</f>
        <v/>
      </c>
      <c r="C243">
        <f>IF($E243="","",INDEX('Input Transaksi'!$E:$E,$E243))</f>
        <v/>
      </c>
      <c r="D243" s="5">
        <f>IF($E243="","",INDEX('Input Transaksi'!$F:$F,$E243))</f>
        <v/>
      </c>
      <c r="E243">
        <f>IFERROR(AGGREGATE(15,6,ROW('Input Transaksi'!$B$5:$B$5000)/('Input Transaksi'!$B$5:$B$5000="CUCI DEWE"),ROWS($E$5:E243)),"")</f>
        <v/>
      </c>
      <c r="F243" s="5" t="n"/>
    </row>
    <row r="244">
      <c r="A244" s="10">
        <f>IF($E244="","",INDEX('Input Transaksi'!$A:$A,$E244))</f>
        <v/>
      </c>
      <c r="B244" s="5">
        <f>IF($E244="","",INDEX('Input Transaksi'!$D:$D,$E244))</f>
        <v/>
      </c>
      <c r="C244">
        <f>IF($E244="","",INDEX('Input Transaksi'!$E:$E,$E244))</f>
        <v/>
      </c>
      <c r="D244" s="5">
        <f>IF($E244="","",INDEX('Input Transaksi'!$F:$F,$E244))</f>
        <v/>
      </c>
      <c r="E244">
        <f>IFERROR(AGGREGATE(15,6,ROW('Input Transaksi'!$B$5:$B$5000)/('Input Transaksi'!$B$5:$B$5000="CUCI DEWE"),ROWS($E$5:E244)),"")</f>
        <v/>
      </c>
      <c r="F244" s="5" t="n"/>
    </row>
    <row r="245">
      <c r="A245" s="10">
        <f>IF($E245="","",INDEX('Input Transaksi'!$A:$A,$E245))</f>
        <v/>
      </c>
      <c r="B245" s="5">
        <f>IF($E245="","",INDEX('Input Transaksi'!$D:$D,$E245))</f>
        <v/>
      </c>
      <c r="C245">
        <f>IF($E245="","",INDEX('Input Transaksi'!$E:$E,$E245))</f>
        <v/>
      </c>
      <c r="D245" s="5">
        <f>IF($E245="","",INDEX('Input Transaksi'!$F:$F,$E245))</f>
        <v/>
      </c>
      <c r="E245">
        <f>IFERROR(AGGREGATE(15,6,ROW('Input Transaksi'!$B$5:$B$5000)/('Input Transaksi'!$B$5:$B$5000="CUCI DEWE"),ROWS($E$5:E245)),"")</f>
        <v/>
      </c>
      <c r="F245" s="5" t="n"/>
    </row>
    <row r="246">
      <c r="A246" s="10">
        <f>IF($E246="","",INDEX('Input Transaksi'!$A:$A,$E246))</f>
        <v/>
      </c>
      <c r="B246" s="5">
        <f>IF($E246="","",INDEX('Input Transaksi'!$D:$D,$E246))</f>
        <v/>
      </c>
      <c r="C246">
        <f>IF($E246="","",INDEX('Input Transaksi'!$E:$E,$E246))</f>
        <v/>
      </c>
      <c r="D246" s="5">
        <f>IF($E246="","",INDEX('Input Transaksi'!$F:$F,$E246))</f>
        <v/>
      </c>
      <c r="E246">
        <f>IFERROR(AGGREGATE(15,6,ROW('Input Transaksi'!$B$5:$B$5000)/('Input Transaksi'!$B$5:$B$5000="CUCI DEWE"),ROWS($E$5:E246)),"")</f>
        <v/>
      </c>
      <c r="F246" s="5" t="n"/>
    </row>
    <row r="247">
      <c r="A247" s="10">
        <f>IF($E247="","",INDEX('Input Transaksi'!$A:$A,$E247))</f>
        <v/>
      </c>
      <c r="B247" s="5">
        <f>IF($E247="","",INDEX('Input Transaksi'!$D:$D,$E247))</f>
        <v/>
      </c>
      <c r="C247">
        <f>IF($E247="","",INDEX('Input Transaksi'!$E:$E,$E247))</f>
        <v/>
      </c>
      <c r="D247" s="5">
        <f>IF($E247="","",INDEX('Input Transaksi'!$F:$F,$E247))</f>
        <v/>
      </c>
      <c r="E247">
        <f>IFERROR(AGGREGATE(15,6,ROW('Input Transaksi'!$B$5:$B$5000)/('Input Transaksi'!$B$5:$B$5000="CUCI DEWE"),ROWS($E$5:E247)),"")</f>
        <v/>
      </c>
      <c r="F247" s="5" t="n"/>
    </row>
    <row r="248">
      <c r="A248" s="10">
        <f>IF($E248="","",INDEX('Input Transaksi'!$A:$A,$E248))</f>
        <v/>
      </c>
      <c r="B248" s="5">
        <f>IF($E248="","",INDEX('Input Transaksi'!$D:$D,$E248))</f>
        <v/>
      </c>
      <c r="C248">
        <f>IF($E248="","",INDEX('Input Transaksi'!$E:$E,$E248))</f>
        <v/>
      </c>
      <c r="D248" s="5">
        <f>IF($E248="","",INDEX('Input Transaksi'!$F:$F,$E248))</f>
        <v/>
      </c>
      <c r="E248">
        <f>IFERROR(AGGREGATE(15,6,ROW('Input Transaksi'!$B$5:$B$5000)/('Input Transaksi'!$B$5:$B$5000="CUCI DEWE"),ROWS($E$5:E248)),"")</f>
        <v/>
      </c>
      <c r="F248" s="5" t="n"/>
    </row>
    <row r="249">
      <c r="A249" s="10">
        <f>IF($E249="","",INDEX('Input Transaksi'!$A:$A,$E249))</f>
        <v/>
      </c>
      <c r="B249" s="5">
        <f>IF($E249="","",INDEX('Input Transaksi'!$D:$D,$E249))</f>
        <v/>
      </c>
      <c r="C249">
        <f>IF($E249="","",INDEX('Input Transaksi'!$E:$E,$E249))</f>
        <v/>
      </c>
      <c r="D249" s="5">
        <f>IF($E249="","",INDEX('Input Transaksi'!$F:$F,$E249))</f>
        <v/>
      </c>
      <c r="E249">
        <f>IFERROR(AGGREGATE(15,6,ROW('Input Transaksi'!$B$5:$B$5000)/('Input Transaksi'!$B$5:$B$5000="CUCI DEWE"),ROWS($E$5:E249)),"")</f>
        <v/>
      </c>
      <c r="F249" s="5" t="n"/>
    </row>
    <row r="250">
      <c r="A250" s="10">
        <f>IF($E250="","",INDEX('Input Transaksi'!$A:$A,$E250))</f>
        <v/>
      </c>
      <c r="B250" s="5">
        <f>IF($E250="","",INDEX('Input Transaksi'!$D:$D,$E250))</f>
        <v/>
      </c>
      <c r="C250">
        <f>IF($E250="","",INDEX('Input Transaksi'!$E:$E,$E250))</f>
        <v/>
      </c>
      <c r="D250" s="5">
        <f>IF($E250="","",INDEX('Input Transaksi'!$F:$F,$E250))</f>
        <v/>
      </c>
      <c r="E250">
        <f>IFERROR(AGGREGATE(15,6,ROW('Input Transaksi'!$B$5:$B$5000)/('Input Transaksi'!$B$5:$B$5000="CUCI DEWE"),ROWS($E$5:E250)),"")</f>
        <v/>
      </c>
      <c r="F250" s="5" t="n"/>
    </row>
    <row r="251">
      <c r="A251" s="10">
        <f>IF($E251="","",INDEX('Input Transaksi'!$A:$A,$E251))</f>
        <v/>
      </c>
      <c r="B251" s="5">
        <f>IF($E251="","",INDEX('Input Transaksi'!$D:$D,$E251))</f>
        <v/>
      </c>
      <c r="C251">
        <f>IF($E251="","",INDEX('Input Transaksi'!$E:$E,$E251))</f>
        <v/>
      </c>
      <c r="D251" s="5">
        <f>IF($E251="","",INDEX('Input Transaksi'!$F:$F,$E251))</f>
        <v/>
      </c>
      <c r="E251">
        <f>IFERROR(AGGREGATE(15,6,ROW('Input Transaksi'!$B$5:$B$5000)/('Input Transaksi'!$B$5:$B$5000="CUCI DEWE"),ROWS($E$5:E251)),"")</f>
        <v/>
      </c>
      <c r="F251" s="5" t="n"/>
    </row>
    <row r="252">
      <c r="A252" s="10">
        <f>IF($E252="","",INDEX('Input Transaksi'!$A:$A,$E252))</f>
        <v/>
      </c>
      <c r="B252" s="5">
        <f>IF($E252="","",INDEX('Input Transaksi'!$D:$D,$E252))</f>
        <v/>
      </c>
      <c r="C252">
        <f>IF($E252="","",INDEX('Input Transaksi'!$E:$E,$E252))</f>
        <v/>
      </c>
      <c r="D252" s="5">
        <f>IF($E252="","",INDEX('Input Transaksi'!$F:$F,$E252))</f>
        <v/>
      </c>
      <c r="E252">
        <f>IFERROR(AGGREGATE(15,6,ROW('Input Transaksi'!$B$5:$B$5000)/('Input Transaksi'!$B$5:$B$5000="CUCI DEWE"),ROWS($E$5:E252)),"")</f>
        <v/>
      </c>
      <c r="F252" s="5" t="n"/>
    </row>
    <row r="253">
      <c r="A253" s="10">
        <f>IF($E253="","",INDEX('Input Transaksi'!$A:$A,$E253))</f>
        <v/>
      </c>
      <c r="B253" s="5">
        <f>IF($E253="","",INDEX('Input Transaksi'!$D:$D,$E253))</f>
        <v/>
      </c>
      <c r="C253">
        <f>IF($E253="","",INDEX('Input Transaksi'!$E:$E,$E253))</f>
        <v/>
      </c>
      <c r="D253" s="5">
        <f>IF($E253="","",INDEX('Input Transaksi'!$F:$F,$E253))</f>
        <v/>
      </c>
      <c r="E253">
        <f>IFERROR(AGGREGATE(15,6,ROW('Input Transaksi'!$B$5:$B$5000)/('Input Transaksi'!$B$5:$B$5000="CUCI DEWE"),ROWS($E$5:E253)),"")</f>
        <v/>
      </c>
      <c r="F253" s="5" t="n"/>
    </row>
    <row r="254">
      <c r="A254" s="10">
        <f>IF($E254="","",INDEX('Input Transaksi'!$A:$A,$E254))</f>
        <v/>
      </c>
      <c r="B254" s="5">
        <f>IF($E254="","",INDEX('Input Transaksi'!$D:$D,$E254))</f>
        <v/>
      </c>
      <c r="C254">
        <f>IF($E254="","",INDEX('Input Transaksi'!$E:$E,$E254))</f>
        <v/>
      </c>
      <c r="D254" s="5">
        <f>IF($E254="","",INDEX('Input Transaksi'!$F:$F,$E254))</f>
        <v/>
      </c>
      <c r="E254">
        <f>IFERROR(AGGREGATE(15,6,ROW('Input Transaksi'!$B$5:$B$5000)/('Input Transaksi'!$B$5:$B$5000="CUCI DEWE"),ROWS($E$5:E254)),"")</f>
        <v/>
      </c>
      <c r="F254" s="5" t="n"/>
    </row>
    <row r="255">
      <c r="A255" s="10">
        <f>IF($E255="","",INDEX('Input Transaksi'!$A:$A,$E255))</f>
        <v/>
      </c>
      <c r="B255" s="5">
        <f>IF($E255="","",INDEX('Input Transaksi'!$D:$D,$E255))</f>
        <v/>
      </c>
      <c r="C255">
        <f>IF($E255="","",INDEX('Input Transaksi'!$E:$E,$E255))</f>
        <v/>
      </c>
      <c r="D255" s="5">
        <f>IF($E255="","",INDEX('Input Transaksi'!$F:$F,$E255))</f>
        <v/>
      </c>
      <c r="E255">
        <f>IFERROR(AGGREGATE(15,6,ROW('Input Transaksi'!$B$5:$B$5000)/('Input Transaksi'!$B$5:$B$5000="CUCI DEWE"),ROWS($E$5:E255)),"")</f>
        <v/>
      </c>
      <c r="F255" s="5" t="n"/>
    </row>
    <row r="256">
      <c r="A256" s="10">
        <f>IF($E256="","",INDEX('Input Transaksi'!$A:$A,$E256))</f>
        <v/>
      </c>
      <c r="B256" s="5">
        <f>IF($E256="","",INDEX('Input Transaksi'!$D:$D,$E256))</f>
        <v/>
      </c>
      <c r="C256">
        <f>IF($E256="","",INDEX('Input Transaksi'!$E:$E,$E256))</f>
        <v/>
      </c>
      <c r="D256" s="5">
        <f>IF($E256="","",INDEX('Input Transaksi'!$F:$F,$E256))</f>
        <v/>
      </c>
      <c r="E256">
        <f>IFERROR(AGGREGATE(15,6,ROW('Input Transaksi'!$B$5:$B$5000)/('Input Transaksi'!$B$5:$B$5000="CUCI DEWE"),ROWS($E$5:E256)),"")</f>
        <v/>
      </c>
      <c r="F256" s="5" t="n"/>
    </row>
    <row r="257">
      <c r="A257" s="10">
        <f>IF($E257="","",INDEX('Input Transaksi'!$A:$A,$E257))</f>
        <v/>
      </c>
      <c r="B257" s="5">
        <f>IF($E257="","",INDEX('Input Transaksi'!$D:$D,$E257))</f>
        <v/>
      </c>
      <c r="C257">
        <f>IF($E257="","",INDEX('Input Transaksi'!$E:$E,$E257))</f>
        <v/>
      </c>
      <c r="D257" s="5">
        <f>IF($E257="","",INDEX('Input Transaksi'!$F:$F,$E257))</f>
        <v/>
      </c>
      <c r="E257">
        <f>IFERROR(AGGREGATE(15,6,ROW('Input Transaksi'!$B$5:$B$5000)/('Input Transaksi'!$B$5:$B$5000="CUCI DEWE"),ROWS($E$5:E257)),"")</f>
        <v/>
      </c>
      <c r="F257" s="5" t="n"/>
    </row>
    <row r="258">
      <c r="A258" s="10">
        <f>IF($E258="","",INDEX('Input Transaksi'!$A:$A,$E258))</f>
        <v/>
      </c>
      <c r="B258" s="5">
        <f>IF($E258="","",INDEX('Input Transaksi'!$D:$D,$E258))</f>
        <v/>
      </c>
      <c r="C258">
        <f>IF($E258="","",INDEX('Input Transaksi'!$E:$E,$E258))</f>
        <v/>
      </c>
      <c r="D258" s="5">
        <f>IF($E258="","",INDEX('Input Transaksi'!$F:$F,$E258))</f>
        <v/>
      </c>
      <c r="E258">
        <f>IFERROR(AGGREGATE(15,6,ROW('Input Transaksi'!$B$5:$B$5000)/('Input Transaksi'!$B$5:$B$5000="CUCI DEWE"),ROWS($E$5:E258)),"")</f>
        <v/>
      </c>
      <c r="F258" s="5" t="n"/>
    </row>
    <row r="259">
      <c r="A259" s="10">
        <f>IF($E259="","",INDEX('Input Transaksi'!$A:$A,$E259))</f>
        <v/>
      </c>
      <c r="B259" s="5">
        <f>IF($E259="","",INDEX('Input Transaksi'!$D:$D,$E259))</f>
        <v/>
      </c>
      <c r="C259">
        <f>IF($E259="","",INDEX('Input Transaksi'!$E:$E,$E259))</f>
        <v/>
      </c>
      <c r="D259" s="5">
        <f>IF($E259="","",INDEX('Input Transaksi'!$F:$F,$E259))</f>
        <v/>
      </c>
      <c r="E259">
        <f>IFERROR(AGGREGATE(15,6,ROW('Input Transaksi'!$B$5:$B$5000)/('Input Transaksi'!$B$5:$B$5000="CUCI DEWE"),ROWS($E$5:E259)),"")</f>
        <v/>
      </c>
      <c r="F259" s="5" t="n"/>
    </row>
    <row r="260">
      <c r="A260" s="10">
        <f>IF($E260="","",INDEX('Input Transaksi'!$A:$A,$E260))</f>
        <v/>
      </c>
      <c r="B260" s="5">
        <f>IF($E260="","",INDEX('Input Transaksi'!$D:$D,$E260))</f>
        <v/>
      </c>
      <c r="C260">
        <f>IF($E260="","",INDEX('Input Transaksi'!$E:$E,$E260))</f>
        <v/>
      </c>
      <c r="D260" s="5">
        <f>IF($E260="","",INDEX('Input Transaksi'!$F:$F,$E260))</f>
        <v/>
      </c>
      <c r="E260">
        <f>IFERROR(AGGREGATE(15,6,ROW('Input Transaksi'!$B$5:$B$5000)/('Input Transaksi'!$B$5:$B$5000="CUCI DEWE"),ROWS($E$5:E260)),"")</f>
        <v/>
      </c>
      <c r="F260" s="5" t="n"/>
    </row>
    <row r="261">
      <c r="A261" s="10">
        <f>IF($E261="","",INDEX('Input Transaksi'!$A:$A,$E261))</f>
        <v/>
      </c>
      <c r="B261" s="5">
        <f>IF($E261="","",INDEX('Input Transaksi'!$D:$D,$E261))</f>
        <v/>
      </c>
      <c r="C261">
        <f>IF($E261="","",INDEX('Input Transaksi'!$E:$E,$E261))</f>
        <v/>
      </c>
      <c r="D261" s="5">
        <f>IF($E261="","",INDEX('Input Transaksi'!$F:$F,$E261))</f>
        <v/>
      </c>
      <c r="E261">
        <f>IFERROR(AGGREGATE(15,6,ROW('Input Transaksi'!$B$5:$B$5000)/('Input Transaksi'!$B$5:$B$5000="CUCI DEWE"),ROWS($E$5:E261)),"")</f>
        <v/>
      </c>
      <c r="F261" s="5" t="n"/>
    </row>
    <row r="262">
      <c r="A262" s="10">
        <f>IF($E262="","",INDEX('Input Transaksi'!$A:$A,$E262))</f>
        <v/>
      </c>
      <c r="B262" s="5">
        <f>IF($E262="","",INDEX('Input Transaksi'!$D:$D,$E262))</f>
        <v/>
      </c>
      <c r="C262">
        <f>IF($E262="","",INDEX('Input Transaksi'!$E:$E,$E262))</f>
        <v/>
      </c>
      <c r="D262" s="5">
        <f>IF($E262="","",INDEX('Input Transaksi'!$F:$F,$E262))</f>
        <v/>
      </c>
      <c r="E262">
        <f>IFERROR(AGGREGATE(15,6,ROW('Input Transaksi'!$B$5:$B$5000)/('Input Transaksi'!$B$5:$B$5000="CUCI DEWE"),ROWS($E$5:E262)),"")</f>
        <v/>
      </c>
      <c r="F262" s="5" t="n"/>
    </row>
    <row r="263">
      <c r="A263" s="10">
        <f>IF($E263="","",INDEX('Input Transaksi'!$A:$A,$E263))</f>
        <v/>
      </c>
      <c r="B263" s="5">
        <f>IF($E263="","",INDEX('Input Transaksi'!$D:$D,$E263))</f>
        <v/>
      </c>
      <c r="C263">
        <f>IF($E263="","",INDEX('Input Transaksi'!$E:$E,$E263))</f>
        <v/>
      </c>
      <c r="D263" s="5">
        <f>IF($E263="","",INDEX('Input Transaksi'!$F:$F,$E263))</f>
        <v/>
      </c>
      <c r="E263">
        <f>IFERROR(AGGREGATE(15,6,ROW('Input Transaksi'!$B$5:$B$5000)/('Input Transaksi'!$B$5:$B$5000="CUCI DEWE"),ROWS($E$5:E263)),"")</f>
        <v/>
      </c>
      <c r="F263" s="5" t="n"/>
    </row>
    <row r="264">
      <c r="A264" s="10">
        <f>IF($E264="","",INDEX('Input Transaksi'!$A:$A,$E264))</f>
        <v/>
      </c>
      <c r="B264" s="5">
        <f>IF($E264="","",INDEX('Input Transaksi'!$D:$D,$E264))</f>
        <v/>
      </c>
      <c r="C264">
        <f>IF($E264="","",INDEX('Input Transaksi'!$E:$E,$E264))</f>
        <v/>
      </c>
      <c r="D264" s="5">
        <f>IF($E264="","",INDEX('Input Transaksi'!$F:$F,$E264))</f>
        <v/>
      </c>
      <c r="E264">
        <f>IFERROR(AGGREGATE(15,6,ROW('Input Transaksi'!$B$5:$B$5000)/('Input Transaksi'!$B$5:$B$5000="CUCI DEWE"),ROWS($E$5:E264)),"")</f>
        <v/>
      </c>
      <c r="F264" s="5" t="n"/>
    </row>
    <row r="265">
      <c r="A265" s="10">
        <f>IF($E265="","",INDEX('Input Transaksi'!$A:$A,$E265))</f>
        <v/>
      </c>
      <c r="B265" s="5">
        <f>IF($E265="","",INDEX('Input Transaksi'!$D:$D,$E265))</f>
        <v/>
      </c>
      <c r="C265">
        <f>IF($E265="","",INDEX('Input Transaksi'!$E:$E,$E265))</f>
        <v/>
      </c>
      <c r="D265" s="5">
        <f>IF($E265="","",INDEX('Input Transaksi'!$F:$F,$E265))</f>
        <v/>
      </c>
      <c r="E265">
        <f>IFERROR(AGGREGATE(15,6,ROW('Input Transaksi'!$B$5:$B$5000)/('Input Transaksi'!$B$5:$B$5000="CUCI DEWE"),ROWS($E$5:E265)),"")</f>
        <v/>
      </c>
      <c r="F265" s="5" t="n"/>
    </row>
    <row r="266">
      <c r="A266" s="10">
        <f>IF($E266="","",INDEX('Input Transaksi'!$A:$A,$E266))</f>
        <v/>
      </c>
      <c r="B266" s="5">
        <f>IF($E266="","",INDEX('Input Transaksi'!$D:$D,$E266))</f>
        <v/>
      </c>
      <c r="C266">
        <f>IF($E266="","",INDEX('Input Transaksi'!$E:$E,$E266))</f>
        <v/>
      </c>
      <c r="D266" s="5">
        <f>IF($E266="","",INDEX('Input Transaksi'!$F:$F,$E266))</f>
        <v/>
      </c>
      <c r="E266">
        <f>IFERROR(AGGREGATE(15,6,ROW('Input Transaksi'!$B$5:$B$5000)/('Input Transaksi'!$B$5:$B$5000="CUCI DEWE"),ROWS($E$5:E266)),"")</f>
        <v/>
      </c>
      <c r="F266" s="5" t="n"/>
    </row>
    <row r="267">
      <c r="A267" s="10">
        <f>IF($E267="","",INDEX('Input Transaksi'!$A:$A,$E267))</f>
        <v/>
      </c>
      <c r="B267" s="5">
        <f>IF($E267="","",INDEX('Input Transaksi'!$D:$D,$E267))</f>
        <v/>
      </c>
      <c r="C267">
        <f>IF($E267="","",INDEX('Input Transaksi'!$E:$E,$E267))</f>
        <v/>
      </c>
      <c r="D267" s="5">
        <f>IF($E267="","",INDEX('Input Transaksi'!$F:$F,$E267))</f>
        <v/>
      </c>
      <c r="E267">
        <f>IFERROR(AGGREGATE(15,6,ROW('Input Transaksi'!$B$5:$B$5000)/('Input Transaksi'!$B$5:$B$5000="CUCI DEWE"),ROWS($E$5:E267)),"")</f>
        <v/>
      </c>
      <c r="F267" s="5" t="n"/>
    </row>
    <row r="268">
      <c r="A268" s="10">
        <f>IF($E268="","",INDEX('Input Transaksi'!$A:$A,$E268))</f>
        <v/>
      </c>
      <c r="B268" s="5">
        <f>IF($E268="","",INDEX('Input Transaksi'!$D:$D,$E268))</f>
        <v/>
      </c>
      <c r="C268">
        <f>IF($E268="","",INDEX('Input Transaksi'!$E:$E,$E268))</f>
        <v/>
      </c>
      <c r="D268" s="5">
        <f>IF($E268="","",INDEX('Input Transaksi'!$F:$F,$E268))</f>
        <v/>
      </c>
      <c r="E268">
        <f>IFERROR(AGGREGATE(15,6,ROW('Input Transaksi'!$B$5:$B$5000)/('Input Transaksi'!$B$5:$B$5000="CUCI DEWE"),ROWS($E$5:E268)),"")</f>
        <v/>
      </c>
      <c r="F268" s="5" t="n"/>
    </row>
    <row r="269">
      <c r="A269" s="10">
        <f>IF($E269="","",INDEX('Input Transaksi'!$A:$A,$E269))</f>
        <v/>
      </c>
      <c r="B269" s="5">
        <f>IF($E269="","",INDEX('Input Transaksi'!$D:$D,$E269))</f>
        <v/>
      </c>
      <c r="C269">
        <f>IF($E269="","",INDEX('Input Transaksi'!$E:$E,$E269))</f>
        <v/>
      </c>
      <c r="D269" s="5">
        <f>IF($E269="","",INDEX('Input Transaksi'!$F:$F,$E269))</f>
        <v/>
      </c>
      <c r="E269">
        <f>IFERROR(AGGREGATE(15,6,ROW('Input Transaksi'!$B$5:$B$5000)/('Input Transaksi'!$B$5:$B$5000="CUCI DEWE"),ROWS($E$5:E269)),"")</f>
        <v/>
      </c>
      <c r="F269" s="5" t="n"/>
    </row>
    <row r="270">
      <c r="A270" s="10">
        <f>IF($E270="","",INDEX('Input Transaksi'!$A:$A,$E270))</f>
        <v/>
      </c>
      <c r="B270" s="5">
        <f>IF($E270="","",INDEX('Input Transaksi'!$D:$D,$E270))</f>
        <v/>
      </c>
      <c r="C270">
        <f>IF($E270="","",INDEX('Input Transaksi'!$E:$E,$E270))</f>
        <v/>
      </c>
      <c r="D270" s="5">
        <f>IF($E270="","",INDEX('Input Transaksi'!$F:$F,$E270))</f>
        <v/>
      </c>
      <c r="E270">
        <f>IFERROR(AGGREGATE(15,6,ROW('Input Transaksi'!$B$5:$B$5000)/('Input Transaksi'!$B$5:$B$5000="CUCI DEWE"),ROWS($E$5:E270)),"")</f>
        <v/>
      </c>
      <c r="F270" s="5" t="n"/>
    </row>
    <row r="271">
      <c r="A271" s="10">
        <f>IF($E271="","",INDEX('Input Transaksi'!$A:$A,$E271))</f>
        <v/>
      </c>
      <c r="B271" s="5">
        <f>IF($E271="","",INDEX('Input Transaksi'!$D:$D,$E271))</f>
        <v/>
      </c>
      <c r="C271">
        <f>IF($E271="","",INDEX('Input Transaksi'!$E:$E,$E271))</f>
        <v/>
      </c>
      <c r="D271" s="5">
        <f>IF($E271="","",INDEX('Input Transaksi'!$F:$F,$E271))</f>
        <v/>
      </c>
      <c r="E271">
        <f>IFERROR(AGGREGATE(15,6,ROW('Input Transaksi'!$B$5:$B$5000)/('Input Transaksi'!$B$5:$B$5000="CUCI DEWE"),ROWS($E$5:E271)),"")</f>
        <v/>
      </c>
      <c r="F271" s="5" t="n"/>
    </row>
    <row r="272">
      <c r="A272" s="10">
        <f>IF($E272="","",INDEX('Input Transaksi'!$A:$A,$E272))</f>
        <v/>
      </c>
      <c r="B272" s="5">
        <f>IF($E272="","",INDEX('Input Transaksi'!$D:$D,$E272))</f>
        <v/>
      </c>
      <c r="C272">
        <f>IF($E272="","",INDEX('Input Transaksi'!$E:$E,$E272))</f>
        <v/>
      </c>
      <c r="D272" s="5">
        <f>IF($E272="","",INDEX('Input Transaksi'!$F:$F,$E272))</f>
        <v/>
      </c>
      <c r="E272">
        <f>IFERROR(AGGREGATE(15,6,ROW('Input Transaksi'!$B$5:$B$5000)/('Input Transaksi'!$B$5:$B$5000="CUCI DEWE"),ROWS($E$5:E272)),"")</f>
        <v/>
      </c>
      <c r="F272" s="5" t="n"/>
    </row>
    <row r="273">
      <c r="A273" s="10">
        <f>IF($E273="","",INDEX('Input Transaksi'!$A:$A,$E273))</f>
        <v/>
      </c>
      <c r="B273" s="5">
        <f>IF($E273="","",INDEX('Input Transaksi'!$D:$D,$E273))</f>
        <v/>
      </c>
      <c r="C273">
        <f>IF($E273="","",INDEX('Input Transaksi'!$E:$E,$E273))</f>
        <v/>
      </c>
      <c r="D273" s="5">
        <f>IF($E273="","",INDEX('Input Transaksi'!$F:$F,$E273))</f>
        <v/>
      </c>
      <c r="E273">
        <f>IFERROR(AGGREGATE(15,6,ROW('Input Transaksi'!$B$5:$B$5000)/('Input Transaksi'!$B$5:$B$5000="CUCI DEWE"),ROWS($E$5:E273)),"")</f>
        <v/>
      </c>
      <c r="F273" s="5" t="n"/>
    </row>
    <row r="274">
      <c r="A274" s="10">
        <f>IF($E274="","",INDEX('Input Transaksi'!$A:$A,$E274))</f>
        <v/>
      </c>
      <c r="B274" s="5">
        <f>IF($E274="","",INDEX('Input Transaksi'!$D:$D,$E274))</f>
        <v/>
      </c>
      <c r="C274">
        <f>IF($E274="","",INDEX('Input Transaksi'!$E:$E,$E274))</f>
        <v/>
      </c>
      <c r="D274" s="5">
        <f>IF($E274="","",INDEX('Input Transaksi'!$F:$F,$E274))</f>
        <v/>
      </c>
      <c r="E274">
        <f>IFERROR(AGGREGATE(15,6,ROW('Input Transaksi'!$B$5:$B$5000)/('Input Transaksi'!$B$5:$B$5000="CUCI DEWE"),ROWS($E$5:E274)),"")</f>
        <v/>
      </c>
      <c r="F274" s="5" t="n"/>
    </row>
    <row r="275">
      <c r="A275" s="10">
        <f>IF($E275="","",INDEX('Input Transaksi'!$A:$A,$E275))</f>
        <v/>
      </c>
      <c r="B275" s="5">
        <f>IF($E275="","",INDEX('Input Transaksi'!$D:$D,$E275))</f>
        <v/>
      </c>
      <c r="C275">
        <f>IF($E275="","",INDEX('Input Transaksi'!$E:$E,$E275))</f>
        <v/>
      </c>
      <c r="D275" s="5">
        <f>IF($E275="","",INDEX('Input Transaksi'!$F:$F,$E275))</f>
        <v/>
      </c>
      <c r="E275">
        <f>IFERROR(AGGREGATE(15,6,ROW('Input Transaksi'!$B$5:$B$5000)/('Input Transaksi'!$B$5:$B$5000="CUCI DEWE"),ROWS($E$5:E275)),"")</f>
        <v/>
      </c>
      <c r="F275" s="5" t="n"/>
    </row>
    <row r="276">
      <c r="A276" s="10">
        <f>IF($E276="","",INDEX('Input Transaksi'!$A:$A,$E276))</f>
        <v/>
      </c>
      <c r="B276" s="5">
        <f>IF($E276="","",INDEX('Input Transaksi'!$D:$D,$E276))</f>
        <v/>
      </c>
      <c r="C276">
        <f>IF($E276="","",INDEX('Input Transaksi'!$E:$E,$E276))</f>
        <v/>
      </c>
      <c r="D276" s="5">
        <f>IF($E276="","",INDEX('Input Transaksi'!$F:$F,$E276))</f>
        <v/>
      </c>
      <c r="E276">
        <f>IFERROR(AGGREGATE(15,6,ROW('Input Transaksi'!$B$5:$B$5000)/('Input Transaksi'!$B$5:$B$5000="CUCI DEWE"),ROWS($E$5:E276)),"")</f>
        <v/>
      </c>
      <c r="F276" s="5" t="n"/>
    </row>
    <row r="277">
      <c r="A277" s="10">
        <f>IF($E277="","",INDEX('Input Transaksi'!$A:$A,$E277))</f>
        <v/>
      </c>
      <c r="B277" s="5">
        <f>IF($E277="","",INDEX('Input Transaksi'!$D:$D,$E277))</f>
        <v/>
      </c>
      <c r="C277">
        <f>IF($E277="","",INDEX('Input Transaksi'!$E:$E,$E277))</f>
        <v/>
      </c>
      <c r="D277" s="5">
        <f>IF($E277="","",INDEX('Input Transaksi'!$F:$F,$E277))</f>
        <v/>
      </c>
      <c r="E277">
        <f>IFERROR(AGGREGATE(15,6,ROW('Input Transaksi'!$B$5:$B$5000)/('Input Transaksi'!$B$5:$B$5000="CUCI DEWE"),ROWS($E$5:E277)),"")</f>
        <v/>
      </c>
      <c r="F277" s="5" t="n"/>
    </row>
    <row r="278">
      <c r="A278" s="10">
        <f>IF($E278="","",INDEX('Input Transaksi'!$A:$A,$E278))</f>
        <v/>
      </c>
      <c r="B278" s="5">
        <f>IF($E278="","",INDEX('Input Transaksi'!$D:$D,$E278))</f>
        <v/>
      </c>
      <c r="C278">
        <f>IF($E278="","",INDEX('Input Transaksi'!$E:$E,$E278))</f>
        <v/>
      </c>
      <c r="D278" s="5">
        <f>IF($E278="","",INDEX('Input Transaksi'!$F:$F,$E278))</f>
        <v/>
      </c>
      <c r="E278">
        <f>IFERROR(AGGREGATE(15,6,ROW('Input Transaksi'!$B$5:$B$5000)/('Input Transaksi'!$B$5:$B$5000="CUCI DEWE"),ROWS($E$5:E278)),"")</f>
        <v/>
      </c>
      <c r="F278" s="5" t="n"/>
    </row>
    <row r="279">
      <c r="A279" s="10">
        <f>IF($E279="","",INDEX('Input Transaksi'!$A:$A,$E279))</f>
        <v/>
      </c>
      <c r="B279" s="5">
        <f>IF($E279="","",INDEX('Input Transaksi'!$D:$D,$E279))</f>
        <v/>
      </c>
      <c r="C279">
        <f>IF($E279="","",INDEX('Input Transaksi'!$E:$E,$E279))</f>
        <v/>
      </c>
      <c r="D279" s="5">
        <f>IF($E279="","",INDEX('Input Transaksi'!$F:$F,$E279))</f>
        <v/>
      </c>
      <c r="E279">
        <f>IFERROR(AGGREGATE(15,6,ROW('Input Transaksi'!$B$5:$B$5000)/('Input Transaksi'!$B$5:$B$5000="CUCI DEWE"),ROWS($E$5:E279)),"")</f>
        <v/>
      </c>
      <c r="F279" s="5" t="n"/>
    </row>
    <row r="280">
      <c r="A280" s="10">
        <f>IF($E280="","",INDEX('Input Transaksi'!$A:$A,$E280))</f>
        <v/>
      </c>
      <c r="B280" s="5">
        <f>IF($E280="","",INDEX('Input Transaksi'!$D:$D,$E280))</f>
        <v/>
      </c>
      <c r="C280">
        <f>IF($E280="","",INDEX('Input Transaksi'!$E:$E,$E280))</f>
        <v/>
      </c>
      <c r="D280" s="5">
        <f>IF($E280="","",INDEX('Input Transaksi'!$F:$F,$E280))</f>
        <v/>
      </c>
      <c r="E280">
        <f>IFERROR(AGGREGATE(15,6,ROW('Input Transaksi'!$B$5:$B$5000)/('Input Transaksi'!$B$5:$B$5000="CUCI DEWE"),ROWS($E$5:E280)),"")</f>
        <v/>
      </c>
      <c r="F280" s="5" t="n"/>
    </row>
    <row r="281">
      <c r="A281" s="10">
        <f>IF($E281="","",INDEX('Input Transaksi'!$A:$A,$E281))</f>
        <v/>
      </c>
      <c r="B281" s="5">
        <f>IF($E281="","",INDEX('Input Transaksi'!$D:$D,$E281))</f>
        <v/>
      </c>
      <c r="C281">
        <f>IF($E281="","",INDEX('Input Transaksi'!$E:$E,$E281))</f>
        <v/>
      </c>
      <c r="D281" s="5">
        <f>IF($E281="","",INDEX('Input Transaksi'!$F:$F,$E281))</f>
        <v/>
      </c>
      <c r="E281">
        <f>IFERROR(AGGREGATE(15,6,ROW('Input Transaksi'!$B$5:$B$5000)/('Input Transaksi'!$B$5:$B$5000="CUCI DEWE"),ROWS($E$5:E281)),"")</f>
        <v/>
      </c>
      <c r="F281" s="5" t="n"/>
    </row>
    <row r="282">
      <c r="A282" s="10">
        <f>IF($E282="","",INDEX('Input Transaksi'!$A:$A,$E282))</f>
        <v/>
      </c>
      <c r="B282" s="5">
        <f>IF($E282="","",INDEX('Input Transaksi'!$D:$D,$E282))</f>
        <v/>
      </c>
      <c r="C282">
        <f>IF($E282="","",INDEX('Input Transaksi'!$E:$E,$E282))</f>
        <v/>
      </c>
      <c r="D282" s="5">
        <f>IF($E282="","",INDEX('Input Transaksi'!$F:$F,$E282))</f>
        <v/>
      </c>
      <c r="E282">
        <f>IFERROR(AGGREGATE(15,6,ROW('Input Transaksi'!$B$5:$B$5000)/('Input Transaksi'!$B$5:$B$5000="CUCI DEWE"),ROWS($E$5:E282)),"")</f>
        <v/>
      </c>
      <c r="F282" s="5" t="n"/>
    </row>
    <row r="283">
      <c r="A283" s="10">
        <f>IF($E283="","",INDEX('Input Transaksi'!$A:$A,$E283))</f>
        <v/>
      </c>
      <c r="B283" s="5">
        <f>IF($E283="","",INDEX('Input Transaksi'!$D:$D,$E283))</f>
        <v/>
      </c>
      <c r="C283">
        <f>IF($E283="","",INDEX('Input Transaksi'!$E:$E,$E283))</f>
        <v/>
      </c>
      <c r="D283" s="5">
        <f>IF($E283="","",INDEX('Input Transaksi'!$F:$F,$E283))</f>
        <v/>
      </c>
      <c r="E283">
        <f>IFERROR(AGGREGATE(15,6,ROW('Input Transaksi'!$B$5:$B$5000)/('Input Transaksi'!$B$5:$B$5000="CUCI DEWE"),ROWS($E$5:E283)),"")</f>
        <v/>
      </c>
      <c r="F283" s="5" t="n"/>
    </row>
    <row r="284">
      <c r="A284" s="10">
        <f>IF($E284="","",INDEX('Input Transaksi'!$A:$A,$E284))</f>
        <v/>
      </c>
      <c r="B284" s="5">
        <f>IF($E284="","",INDEX('Input Transaksi'!$D:$D,$E284))</f>
        <v/>
      </c>
      <c r="C284">
        <f>IF($E284="","",INDEX('Input Transaksi'!$E:$E,$E284))</f>
        <v/>
      </c>
      <c r="D284" s="5">
        <f>IF($E284="","",INDEX('Input Transaksi'!$F:$F,$E284))</f>
        <v/>
      </c>
      <c r="E284">
        <f>IFERROR(AGGREGATE(15,6,ROW('Input Transaksi'!$B$5:$B$5000)/('Input Transaksi'!$B$5:$B$5000="CUCI DEWE"),ROWS($E$5:E284)),"")</f>
        <v/>
      </c>
      <c r="F284" s="5" t="n"/>
    </row>
    <row r="285">
      <c r="A285" s="10">
        <f>IF($E285="","",INDEX('Input Transaksi'!$A:$A,$E285))</f>
        <v/>
      </c>
      <c r="B285" s="5">
        <f>IF($E285="","",INDEX('Input Transaksi'!$D:$D,$E285))</f>
        <v/>
      </c>
      <c r="C285">
        <f>IF($E285="","",INDEX('Input Transaksi'!$E:$E,$E285))</f>
        <v/>
      </c>
      <c r="D285" s="5">
        <f>IF($E285="","",INDEX('Input Transaksi'!$F:$F,$E285))</f>
        <v/>
      </c>
      <c r="E285">
        <f>IFERROR(AGGREGATE(15,6,ROW('Input Transaksi'!$B$5:$B$5000)/('Input Transaksi'!$B$5:$B$5000="CUCI DEWE"),ROWS($E$5:E285)),"")</f>
        <v/>
      </c>
      <c r="F285" s="5" t="n"/>
    </row>
    <row r="286">
      <c r="A286" s="10">
        <f>IF($E286="","",INDEX('Input Transaksi'!$A:$A,$E286))</f>
        <v/>
      </c>
      <c r="B286" s="5">
        <f>IF($E286="","",INDEX('Input Transaksi'!$D:$D,$E286))</f>
        <v/>
      </c>
      <c r="C286">
        <f>IF($E286="","",INDEX('Input Transaksi'!$E:$E,$E286))</f>
        <v/>
      </c>
      <c r="D286" s="5">
        <f>IF($E286="","",INDEX('Input Transaksi'!$F:$F,$E286))</f>
        <v/>
      </c>
      <c r="E286">
        <f>IFERROR(AGGREGATE(15,6,ROW('Input Transaksi'!$B$5:$B$5000)/('Input Transaksi'!$B$5:$B$5000="CUCI DEWE"),ROWS($E$5:E286)),"")</f>
        <v/>
      </c>
      <c r="F286" s="5" t="n"/>
    </row>
    <row r="287">
      <c r="A287" s="10">
        <f>IF($E287="","",INDEX('Input Transaksi'!$A:$A,$E287))</f>
        <v/>
      </c>
      <c r="B287" s="5">
        <f>IF($E287="","",INDEX('Input Transaksi'!$D:$D,$E287))</f>
        <v/>
      </c>
      <c r="C287">
        <f>IF($E287="","",INDEX('Input Transaksi'!$E:$E,$E287))</f>
        <v/>
      </c>
      <c r="D287" s="5">
        <f>IF($E287="","",INDEX('Input Transaksi'!$F:$F,$E287))</f>
        <v/>
      </c>
      <c r="E287">
        <f>IFERROR(AGGREGATE(15,6,ROW('Input Transaksi'!$B$5:$B$5000)/('Input Transaksi'!$B$5:$B$5000="CUCI DEWE"),ROWS($E$5:E287)),"")</f>
        <v/>
      </c>
      <c r="F287" s="5" t="n"/>
    </row>
    <row r="288">
      <c r="A288" s="10">
        <f>IF($E288="","",INDEX('Input Transaksi'!$A:$A,$E288))</f>
        <v/>
      </c>
      <c r="B288" s="5">
        <f>IF($E288="","",INDEX('Input Transaksi'!$D:$D,$E288))</f>
        <v/>
      </c>
      <c r="C288">
        <f>IF($E288="","",INDEX('Input Transaksi'!$E:$E,$E288))</f>
        <v/>
      </c>
      <c r="D288" s="5">
        <f>IF($E288="","",INDEX('Input Transaksi'!$F:$F,$E288))</f>
        <v/>
      </c>
      <c r="E288">
        <f>IFERROR(AGGREGATE(15,6,ROW('Input Transaksi'!$B$5:$B$5000)/('Input Transaksi'!$B$5:$B$5000="CUCI DEWE"),ROWS($E$5:E288)),"")</f>
        <v/>
      </c>
      <c r="F288" s="5" t="n"/>
    </row>
    <row r="289">
      <c r="A289" s="10">
        <f>IF($E289="","",INDEX('Input Transaksi'!$A:$A,$E289))</f>
        <v/>
      </c>
      <c r="B289" s="5">
        <f>IF($E289="","",INDEX('Input Transaksi'!$D:$D,$E289))</f>
        <v/>
      </c>
      <c r="C289">
        <f>IF($E289="","",INDEX('Input Transaksi'!$E:$E,$E289))</f>
        <v/>
      </c>
      <c r="D289" s="5">
        <f>IF($E289="","",INDEX('Input Transaksi'!$F:$F,$E289))</f>
        <v/>
      </c>
      <c r="E289">
        <f>IFERROR(AGGREGATE(15,6,ROW('Input Transaksi'!$B$5:$B$5000)/('Input Transaksi'!$B$5:$B$5000="CUCI DEWE"),ROWS($E$5:E289)),"")</f>
        <v/>
      </c>
      <c r="F289" s="5" t="n"/>
    </row>
    <row r="290">
      <c r="A290" s="10">
        <f>IF($E290="","",INDEX('Input Transaksi'!$A:$A,$E290))</f>
        <v/>
      </c>
      <c r="B290" s="5">
        <f>IF($E290="","",INDEX('Input Transaksi'!$D:$D,$E290))</f>
        <v/>
      </c>
      <c r="C290">
        <f>IF($E290="","",INDEX('Input Transaksi'!$E:$E,$E290))</f>
        <v/>
      </c>
      <c r="D290" s="5">
        <f>IF($E290="","",INDEX('Input Transaksi'!$F:$F,$E290))</f>
        <v/>
      </c>
      <c r="E290">
        <f>IFERROR(AGGREGATE(15,6,ROW('Input Transaksi'!$B$5:$B$5000)/('Input Transaksi'!$B$5:$B$5000="CUCI DEWE"),ROWS($E$5:E290)),"")</f>
        <v/>
      </c>
      <c r="F290" s="5" t="n"/>
    </row>
    <row r="291">
      <c r="A291" s="10">
        <f>IF($E291="","",INDEX('Input Transaksi'!$A:$A,$E291))</f>
        <v/>
      </c>
      <c r="B291" s="5">
        <f>IF($E291="","",INDEX('Input Transaksi'!$D:$D,$E291))</f>
        <v/>
      </c>
      <c r="C291">
        <f>IF($E291="","",INDEX('Input Transaksi'!$E:$E,$E291))</f>
        <v/>
      </c>
      <c r="D291" s="5">
        <f>IF($E291="","",INDEX('Input Transaksi'!$F:$F,$E291))</f>
        <v/>
      </c>
      <c r="E291">
        <f>IFERROR(AGGREGATE(15,6,ROW('Input Transaksi'!$B$5:$B$5000)/('Input Transaksi'!$B$5:$B$5000="CUCI DEWE"),ROWS($E$5:E291)),"")</f>
        <v/>
      </c>
      <c r="F291" s="5" t="n"/>
    </row>
    <row r="292">
      <c r="A292" s="10">
        <f>IF($E292="","",INDEX('Input Transaksi'!$A:$A,$E292))</f>
        <v/>
      </c>
      <c r="B292" s="5">
        <f>IF($E292="","",INDEX('Input Transaksi'!$D:$D,$E292))</f>
        <v/>
      </c>
      <c r="C292">
        <f>IF($E292="","",INDEX('Input Transaksi'!$E:$E,$E292))</f>
        <v/>
      </c>
      <c r="D292" s="5">
        <f>IF($E292="","",INDEX('Input Transaksi'!$F:$F,$E292))</f>
        <v/>
      </c>
      <c r="E292">
        <f>IFERROR(AGGREGATE(15,6,ROW('Input Transaksi'!$B$5:$B$5000)/('Input Transaksi'!$B$5:$B$5000="CUCI DEWE"),ROWS($E$5:E292)),"")</f>
        <v/>
      </c>
      <c r="F292" s="5" t="n"/>
    </row>
    <row r="293">
      <c r="A293" s="10">
        <f>IF($E293="","",INDEX('Input Transaksi'!$A:$A,$E293))</f>
        <v/>
      </c>
      <c r="B293" s="5">
        <f>IF($E293="","",INDEX('Input Transaksi'!$D:$D,$E293))</f>
        <v/>
      </c>
      <c r="C293">
        <f>IF($E293="","",INDEX('Input Transaksi'!$E:$E,$E293))</f>
        <v/>
      </c>
      <c r="D293" s="5">
        <f>IF($E293="","",INDEX('Input Transaksi'!$F:$F,$E293))</f>
        <v/>
      </c>
      <c r="E293">
        <f>IFERROR(AGGREGATE(15,6,ROW('Input Transaksi'!$B$5:$B$5000)/('Input Transaksi'!$B$5:$B$5000="CUCI DEWE"),ROWS($E$5:E293)),"")</f>
        <v/>
      </c>
      <c r="F293" s="5" t="n"/>
    </row>
    <row r="294">
      <c r="A294" s="10">
        <f>IF($E294="","",INDEX('Input Transaksi'!$A:$A,$E294))</f>
        <v/>
      </c>
      <c r="B294" s="5">
        <f>IF($E294="","",INDEX('Input Transaksi'!$D:$D,$E294))</f>
        <v/>
      </c>
      <c r="C294">
        <f>IF($E294="","",INDEX('Input Transaksi'!$E:$E,$E294))</f>
        <v/>
      </c>
      <c r="D294" s="5">
        <f>IF($E294="","",INDEX('Input Transaksi'!$F:$F,$E294))</f>
        <v/>
      </c>
      <c r="E294">
        <f>IFERROR(AGGREGATE(15,6,ROW('Input Transaksi'!$B$5:$B$5000)/('Input Transaksi'!$B$5:$B$5000="CUCI DEWE"),ROWS($E$5:E294)),"")</f>
        <v/>
      </c>
      <c r="F294" s="5" t="n"/>
    </row>
    <row r="295">
      <c r="A295" s="10">
        <f>IF($E295="","",INDEX('Input Transaksi'!$A:$A,$E295))</f>
        <v/>
      </c>
      <c r="B295" s="5">
        <f>IF($E295="","",INDEX('Input Transaksi'!$D:$D,$E295))</f>
        <v/>
      </c>
      <c r="C295">
        <f>IF($E295="","",INDEX('Input Transaksi'!$E:$E,$E295))</f>
        <v/>
      </c>
      <c r="D295" s="5">
        <f>IF($E295="","",INDEX('Input Transaksi'!$F:$F,$E295))</f>
        <v/>
      </c>
      <c r="E295">
        <f>IFERROR(AGGREGATE(15,6,ROW('Input Transaksi'!$B$5:$B$5000)/('Input Transaksi'!$B$5:$B$5000="CUCI DEWE"),ROWS($E$5:E295)),"")</f>
        <v/>
      </c>
      <c r="F295" s="5" t="n"/>
    </row>
    <row r="296">
      <c r="A296" s="10">
        <f>IF($E296="","",INDEX('Input Transaksi'!$A:$A,$E296))</f>
        <v/>
      </c>
      <c r="B296" s="5">
        <f>IF($E296="","",INDEX('Input Transaksi'!$D:$D,$E296))</f>
        <v/>
      </c>
      <c r="C296">
        <f>IF($E296="","",INDEX('Input Transaksi'!$E:$E,$E296))</f>
        <v/>
      </c>
      <c r="D296" s="5">
        <f>IF($E296="","",INDEX('Input Transaksi'!$F:$F,$E296))</f>
        <v/>
      </c>
      <c r="E296">
        <f>IFERROR(AGGREGATE(15,6,ROW('Input Transaksi'!$B$5:$B$5000)/('Input Transaksi'!$B$5:$B$5000="CUCI DEWE"),ROWS($E$5:E296)),"")</f>
        <v/>
      </c>
      <c r="F296" s="5" t="n"/>
    </row>
    <row r="297">
      <c r="A297" s="10">
        <f>IF($E297="","",INDEX('Input Transaksi'!$A:$A,$E297))</f>
        <v/>
      </c>
      <c r="B297" s="5">
        <f>IF($E297="","",INDEX('Input Transaksi'!$D:$D,$E297))</f>
        <v/>
      </c>
      <c r="C297">
        <f>IF($E297="","",INDEX('Input Transaksi'!$E:$E,$E297))</f>
        <v/>
      </c>
      <c r="D297" s="5">
        <f>IF($E297="","",INDEX('Input Transaksi'!$F:$F,$E297))</f>
        <v/>
      </c>
      <c r="E297">
        <f>IFERROR(AGGREGATE(15,6,ROW('Input Transaksi'!$B$5:$B$5000)/('Input Transaksi'!$B$5:$B$5000="CUCI DEWE"),ROWS($E$5:E297)),"")</f>
        <v/>
      </c>
      <c r="F297" s="5" t="n"/>
    </row>
    <row r="298">
      <c r="A298" s="10">
        <f>IF($E298="","",INDEX('Input Transaksi'!$A:$A,$E298))</f>
        <v/>
      </c>
      <c r="B298" s="5">
        <f>IF($E298="","",INDEX('Input Transaksi'!$D:$D,$E298))</f>
        <v/>
      </c>
      <c r="C298">
        <f>IF($E298="","",INDEX('Input Transaksi'!$E:$E,$E298))</f>
        <v/>
      </c>
      <c r="D298" s="5">
        <f>IF($E298="","",INDEX('Input Transaksi'!$F:$F,$E298))</f>
        <v/>
      </c>
      <c r="E298">
        <f>IFERROR(AGGREGATE(15,6,ROW('Input Transaksi'!$B$5:$B$5000)/('Input Transaksi'!$B$5:$B$5000="CUCI DEWE"),ROWS($E$5:E298)),"")</f>
        <v/>
      </c>
      <c r="F298" s="5" t="n"/>
    </row>
    <row r="299">
      <c r="A299" s="10">
        <f>IF($E299="","",INDEX('Input Transaksi'!$A:$A,$E299))</f>
        <v/>
      </c>
      <c r="B299" s="5">
        <f>IF($E299="","",INDEX('Input Transaksi'!$D:$D,$E299))</f>
        <v/>
      </c>
      <c r="C299">
        <f>IF($E299="","",INDEX('Input Transaksi'!$E:$E,$E299))</f>
        <v/>
      </c>
      <c r="D299" s="5">
        <f>IF($E299="","",INDEX('Input Transaksi'!$F:$F,$E299))</f>
        <v/>
      </c>
      <c r="E299">
        <f>IFERROR(AGGREGATE(15,6,ROW('Input Transaksi'!$B$5:$B$5000)/('Input Transaksi'!$B$5:$B$5000="CUCI DEWE"),ROWS($E$5:E299)),"")</f>
        <v/>
      </c>
      <c r="F299" s="5" t="n"/>
    </row>
    <row r="300">
      <c r="A300" s="10">
        <f>IF($E300="","",INDEX('Input Transaksi'!$A:$A,$E300))</f>
        <v/>
      </c>
      <c r="B300" s="5">
        <f>IF($E300="","",INDEX('Input Transaksi'!$D:$D,$E300))</f>
        <v/>
      </c>
      <c r="C300">
        <f>IF($E300="","",INDEX('Input Transaksi'!$E:$E,$E300))</f>
        <v/>
      </c>
      <c r="D300" s="5">
        <f>IF($E300="","",INDEX('Input Transaksi'!$F:$F,$E300))</f>
        <v/>
      </c>
      <c r="E300">
        <f>IFERROR(AGGREGATE(15,6,ROW('Input Transaksi'!$B$5:$B$5000)/('Input Transaksi'!$B$5:$B$5000="CUCI DEWE"),ROWS($E$5:E300)),"")</f>
        <v/>
      </c>
      <c r="F300" s="5" t="n"/>
    </row>
    <row r="301">
      <c r="A301" s="10">
        <f>IF($E301="","",INDEX('Input Transaksi'!$A:$A,$E301))</f>
        <v/>
      </c>
      <c r="B301" s="5">
        <f>IF($E301="","",INDEX('Input Transaksi'!$D:$D,$E301))</f>
        <v/>
      </c>
      <c r="C301">
        <f>IF($E301="","",INDEX('Input Transaksi'!$E:$E,$E301))</f>
        <v/>
      </c>
      <c r="D301" s="5">
        <f>IF($E301="","",INDEX('Input Transaksi'!$F:$F,$E301))</f>
        <v/>
      </c>
      <c r="E301">
        <f>IFERROR(AGGREGATE(15,6,ROW('Input Transaksi'!$B$5:$B$5000)/('Input Transaksi'!$B$5:$B$5000="CUCI DEWE"),ROWS($E$5:E301)),"")</f>
        <v/>
      </c>
      <c r="F301" s="5" t="n"/>
    </row>
    <row r="302">
      <c r="A302" s="10">
        <f>IF($E302="","",INDEX('Input Transaksi'!$A:$A,$E302))</f>
        <v/>
      </c>
      <c r="B302" s="5">
        <f>IF($E302="","",INDEX('Input Transaksi'!$D:$D,$E302))</f>
        <v/>
      </c>
      <c r="C302">
        <f>IF($E302="","",INDEX('Input Transaksi'!$E:$E,$E302))</f>
        <v/>
      </c>
      <c r="D302" s="5">
        <f>IF($E302="","",INDEX('Input Transaksi'!$F:$F,$E302))</f>
        <v/>
      </c>
      <c r="E302">
        <f>IFERROR(AGGREGATE(15,6,ROW('Input Transaksi'!$B$5:$B$5000)/('Input Transaksi'!$B$5:$B$5000="CUCI DEWE"),ROWS($E$5:E302)),"")</f>
        <v/>
      </c>
      <c r="F302" s="5" t="n"/>
    </row>
    <row r="303">
      <c r="A303" s="10">
        <f>IF($E303="","",INDEX('Input Transaksi'!$A:$A,$E303))</f>
        <v/>
      </c>
      <c r="B303" s="5">
        <f>IF($E303="","",INDEX('Input Transaksi'!$D:$D,$E303))</f>
        <v/>
      </c>
      <c r="C303">
        <f>IF($E303="","",INDEX('Input Transaksi'!$E:$E,$E303))</f>
        <v/>
      </c>
      <c r="D303" s="5">
        <f>IF($E303="","",INDEX('Input Transaksi'!$F:$F,$E303))</f>
        <v/>
      </c>
      <c r="E303">
        <f>IFERROR(AGGREGATE(15,6,ROW('Input Transaksi'!$B$5:$B$5000)/('Input Transaksi'!$B$5:$B$5000="CUCI DEWE"),ROWS($E$5:E303)),"")</f>
        <v/>
      </c>
      <c r="F303" s="5" t="n"/>
    </row>
    <row r="304">
      <c r="A304" s="10">
        <f>IF($E304="","",INDEX('Input Transaksi'!$A:$A,$E304))</f>
        <v/>
      </c>
      <c r="B304" s="5">
        <f>IF($E304="","",INDEX('Input Transaksi'!$D:$D,$E304))</f>
        <v/>
      </c>
      <c r="C304">
        <f>IF($E304="","",INDEX('Input Transaksi'!$E:$E,$E304))</f>
        <v/>
      </c>
      <c r="D304" s="5">
        <f>IF($E304="","",INDEX('Input Transaksi'!$F:$F,$E304))</f>
        <v/>
      </c>
      <c r="E304">
        <f>IFERROR(AGGREGATE(15,6,ROW('Input Transaksi'!$B$5:$B$5000)/('Input Transaksi'!$B$5:$B$5000="CUCI DEWE"),ROWS($E$5:E304)),"")</f>
        <v/>
      </c>
      <c r="F304" s="5" t="n"/>
    </row>
    <row r="305">
      <c r="A305" s="10">
        <f>IF($E305="","",INDEX('Input Transaksi'!$A:$A,$E305))</f>
        <v/>
      </c>
      <c r="B305" s="5">
        <f>IF($E305="","",INDEX('Input Transaksi'!$D:$D,$E305))</f>
        <v/>
      </c>
      <c r="C305">
        <f>IF($E305="","",INDEX('Input Transaksi'!$E:$E,$E305))</f>
        <v/>
      </c>
      <c r="D305" s="5">
        <f>IF($E305="","",INDEX('Input Transaksi'!$F:$F,$E305))</f>
        <v/>
      </c>
      <c r="E305">
        <f>IFERROR(AGGREGATE(15,6,ROW('Input Transaksi'!$B$5:$B$5000)/('Input Transaksi'!$B$5:$B$5000="CUCI DEWE"),ROWS($E$5:E305)),"")</f>
        <v/>
      </c>
      <c r="F305" s="5" t="n"/>
    </row>
    <row r="306">
      <c r="A306" s="10">
        <f>IF($E306="","",INDEX('Input Transaksi'!$A:$A,$E306))</f>
        <v/>
      </c>
      <c r="B306" s="5">
        <f>IF($E306="","",INDEX('Input Transaksi'!$D:$D,$E306))</f>
        <v/>
      </c>
      <c r="C306">
        <f>IF($E306="","",INDEX('Input Transaksi'!$E:$E,$E306))</f>
        <v/>
      </c>
      <c r="D306" s="5">
        <f>IF($E306="","",INDEX('Input Transaksi'!$F:$F,$E306))</f>
        <v/>
      </c>
      <c r="E306">
        <f>IFERROR(AGGREGATE(15,6,ROW('Input Transaksi'!$B$5:$B$5000)/('Input Transaksi'!$B$5:$B$5000="CUCI DEWE"),ROWS($E$5:E306)),"")</f>
        <v/>
      </c>
      <c r="F306" s="5" t="n"/>
    </row>
    <row r="307">
      <c r="A307" s="10">
        <f>IF($E307="","",INDEX('Input Transaksi'!$A:$A,$E307))</f>
        <v/>
      </c>
      <c r="B307" s="5">
        <f>IF($E307="","",INDEX('Input Transaksi'!$D:$D,$E307))</f>
        <v/>
      </c>
      <c r="C307">
        <f>IF($E307="","",INDEX('Input Transaksi'!$E:$E,$E307))</f>
        <v/>
      </c>
      <c r="D307" s="5">
        <f>IF($E307="","",INDEX('Input Transaksi'!$F:$F,$E307))</f>
        <v/>
      </c>
      <c r="E307">
        <f>IFERROR(AGGREGATE(15,6,ROW('Input Transaksi'!$B$5:$B$5000)/('Input Transaksi'!$B$5:$B$5000="CUCI DEWE"),ROWS($E$5:E307)),"")</f>
        <v/>
      </c>
      <c r="F307" s="5" t="n"/>
    </row>
    <row r="308">
      <c r="A308" s="10">
        <f>IF($E308="","",INDEX('Input Transaksi'!$A:$A,$E308))</f>
        <v/>
      </c>
      <c r="B308" s="5">
        <f>IF($E308="","",INDEX('Input Transaksi'!$D:$D,$E308))</f>
        <v/>
      </c>
      <c r="C308">
        <f>IF($E308="","",INDEX('Input Transaksi'!$E:$E,$E308))</f>
        <v/>
      </c>
      <c r="D308" s="5">
        <f>IF($E308="","",INDEX('Input Transaksi'!$F:$F,$E308))</f>
        <v/>
      </c>
      <c r="E308">
        <f>IFERROR(AGGREGATE(15,6,ROW('Input Transaksi'!$B$5:$B$5000)/('Input Transaksi'!$B$5:$B$5000="CUCI DEWE"),ROWS($E$5:E308)),"")</f>
        <v/>
      </c>
      <c r="F308" s="5" t="n"/>
    </row>
    <row r="309">
      <c r="A309" s="10">
        <f>IF($E309="","",INDEX('Input Transaksi'!$A:$A,$E309))</f>
        <v/>
      </c>
      <c r="B309" s="5">
        <f>IF($E309="","",INDEX('Input Transaksi'!$D:$D,$E309))</f>
        <v/>
      </c>
      <c r="C309">
        <f>IF($E309="","",INDEX('Input Transaksi'!$E:$E,$E309))</f>
        <v/>
      </c>
      <c r="D309" s="5">
        <f>IF($E309="","",INDEX('Input Transaksi'!$F:$F,$E309))</f>
        <v/>
      </c>
      <c r="E309">
        <f>IFERROR(AGGREGATE(15,6,ROW('Input Transaksi'!$B$5:$B$5000)/('Input Transaksi'!$B$5:$B$5000="CUCI DEWE"),ROWS($E$5:E309)),"")</f>
        <v/>
      </c>
      <c r="F309" s="5" t="n"/>
    </row>
    <row r="310">
      <c r="A310" s="10">
        <f>IF($E310="","",INDEX('Input Transaksi'!$A:$A,$E310))</f>
        <v/>
      </c>
      <c r="B310" s="5">
        <f>IF($E310="","",INDEX('Input Transaksi'!$D:$D,$E310))</f>
        <v/>
      </c>
      <c r="C310">
        <f>IF($E310="","",INDEX('Input Transaksi'!$E:$E,$E310))</f>
        <v/>
      </c>
      <c r="D310" s="5">
        <f>IF($E310="","",INDEX('Input Transaksi'!$F:$F,$E310))</f>
        <v/>
      </c>
      <c r="E310">
        <f>IFERROR(AGGREGATE(15,6,ROW('Input Transaksi'!$B$5:$B$5000)/('Input Transaksi'!$B$5:$B$5000="CUCI DEWE"),ROWS($E$5:E310)),"")</f>
        <v/>
      </c>
      <c r="F310" s="5" t="n"/>
    </row>
    <row r="311">
      <c r="A311" s="10">
        <f>IF($E311="","",INDEX('Input Transaksi'!$A:$A,$E311))</f>
        <v/>
      </c>
      <c r="B311" s="5">
        <f>IF($E311="","",INDEX('Input Transaksi'!$D:$D,$E311))</f>
        <v/>
      </c>
      <c r="C311">
        <f>IF($E311="","",INDEX('Input Transaksi'!$E:$E,$E311))</f>
        <v/>
      </c>
      <c r="D311" s="5">
        <f>IF($E311="","",INDEX('Input Transaksi'!$F:$F,$E311))</f>
        <v/>
      </c>
      <c r="E311">
        <f>IFERROR(AGGREGATE(15,6,ROW('Input Transaksi'!$B$5:$B$5000)/('Input Transaksi'!$B$5:$B$5000="CUCI DEWE"),ROWS($E$5:E311)),"")</f>
        <v/>
      </c>
      <c r="F311" s="5" t="n"/>
    </row>
    <row r="312">
      <c r="A312" s="10">
        <f>IF($E312="","",INDEX('Input Transaksi'!$A:$A,$E312))</f>
        <v/>
      </c>
      <c r="B312" s="5">
        <f>IF($E312="","",INDEX('Input Transaksi'!$D:$D,$E312))</f>
        <v/>
      </c>
      <c r="C312">
        <f>IF($E312="","",INDEX('Input Transaksi'!$E:$E,$E312))</f>
        <v/>
      </c>
      <c r="D312" s="5">
        <f>IF($E312="","",INDEX('Input Transaksi'!$F:$F,$E312))</f>
        <v/>
      </c>
      <c r="E312">
        <f>IFERROR(AGGREGATE(15,6,ROW('Input Transaksi'!$B$5:$B$5000)/('Input Transaksi'!$B$5:$B$5000="CUCI DEWE"),ROWS($E$5:E312)),"")</f>
        <v/>
      </c>
      <c r="F312" s="5" t="n"/>
    </row>
    <row r="313">
      <c r="A313" s="10">
        <f>IF($E313="","",INDEX('Input Transaksi'!$A:$A,$E313))</f>
        <v/>
      </c>
      <c r="B313" s="5">
        <f>IF($E313="","",INDEX('Input Transaksi'!$D:$D,$E313))</f>
        <v/>
      </c>
      <c r="C313">
        <f>IF($E313="","",INDEX('Input Transaksi'!$E:$E,$E313))</f>
        <v/>
      </c>
      <c r="D313" s="5">
        <f>IF($E313="","",INDEX('Input Transaksi'!$F:$F,$E313))</f>
        <v/>
      </c>
      <c r="E313">
        <f>IFERROR(AGGREGATE(15,6,ROW('Input Transaksi'!$B$5:$B$5000)/('Input Transaksi'!$B$5:$B$5000="CUCI DEWE"),ROWS($E$5:E313)),"")</f>
        <v/>
      </c>
      <c r="F313" s="5" t="n"/>
    </row>
    <row r="314">
      <c r="A314" s="10">
        <f>IF($E314="","",INDEX('Input Transaksi'!$A:$A,$E314))</f>
        <v/>
      </c>
      <c r="B314" s="5">
        <f>IF($E314="","",INDEX('Input Transaksi'!$D:$D,$E314))</f>
        <v/>
      </c>
      <c r="C314">
        <f>IF($E314="","",INDEX('Input Transaksi'!$E:$E,$E314))</f>
        <v/>
      </c>
      <c r="D314" s="5">
        <f>IF($E314="","",INDEX('Input Transaksi'!$F:$F,$E314))</f>
        <v/>
      </c>
      <c r="E314">
        <f>IFERROR(AGGREGATE(15,6,ROW('Input Transaksi'!$B$5:$B$5000)/('Input Transaksi'!$B$5:$B$5000="CUCI DEWE"),ROWS($E$5:E314)),"")</f>
        <v/>
      </c>
      <c r="F314" s="5" t="n"/>
    </row>
    <row r="315">
      <c r="A315" s="10">
        <f>IF($E315="","",INDEX('Input Transaksi'!$A:$A,$E315))</f>
        <v/>
      </c>
      <c r="B315" s="5">
        <f>IF($E315="","",INDEX('Input Transaksi'!$D:$D,$E315))</f>
        <v/>
      </c>
      <c r="C315">
        <f>IF($E315="","",INDEX('Input Transaksi'!$E:$E,$E315))</f>
        <v/>
      </c>
      <c r="D315" s="5">
        <f>IF($E315="","",INDEX('Input Transaksi'!$F:$F,$E315))</f>
        <v/>
      </c>
      <c r="E315">
        <f>IFERROR(AGGREGATE(15,6,ROW('Input Transaksi'!$B$5:$B$5000)/('Input Transaksi'!$B$5:$B$5000="CUCI DEWE"),ROWS($E$5:E315)),"")</f>
        <v/>
      </c>
      <c r="F315" s="5" t="n"/>
    </row>
    <row r="316">
      <c r="A316" s="10">
        <f>IF($E316="","",INDEX('Input Transaksi'!$A:$A,$E316))</f>
        <v/>
      </c>
      <c r="B316" s="5">
        <f>IF($E316="","",INDEX('Input Transaksi'!$D:$D,$E316))</f>
        <v/>
      </c>
      <c r="C316">
        <f>IF($E316="","",INDEX('Input Transaksi'!$E:$E,$E316))</f>
        <v/>
      </c>
      <c r="D316" s="5">
        <f>IF($E316="","",INDEX('Input Transaksi'!$F:$F,$E316))</f>
        <v/>
      </c>
      <c r="E316">
        <f>IFERROR(AGGREGATE(15,6,ROW('Input Transaksi'!$B$5:$B$5000)/('Input Transaksi'!$B$5:$B$5000="CUCI DEWE"),ROWS($E$5:E316)),"")</f>
        <v/>
      </c>
      <c r="F316" s="5" t="n"/>
    </row>
    <row r="317">
      <c r="A317" s="10">
        <f>IF($E317="","",INDEX('Input Transaksi'!$A:$A,$E317))</f>
        <v/>
      </c>
      <c r="B317" s="5">
        <f>IF($E317="","",INDEX('Input Transaksi'!$D:$D,$E317))</f>
        <v/>
      </c>
      <c r="C317">
        <f>IF($E317="","",INDEX('Input Transaksi'!$E:$E,$E317))</f>
        <v/>
      </c>
      <c r="D317" s="5">
        <f>IF($E317="","",INDEX('Input Transaksi'!$F:$F,$E317))</f>
        <v/>
      </c>
      <c r="E317">
        <f>IFERROR(AGGREGATE(15,6,ROW('Input Transaksi'!$B$5:$B$5000)/('Input Transaksi'!$B$5:$B$5000="CUCI DEWE"),ROWS($E$5:E317)),"")</f>
        <v/>
      </c>
      <c r="F317" s="5" t="n"/>
    </row>
    <row r="318">
      <c r="A318" s="10">
        <f>IF($E318="","",INDEX('Input Transaksi'!$A:$A,$E318))</f>
        <v/>
      </c>
      <c r="B318" s="5">
        <f>IF($E318="","",INDEX('Input Transaksi'!$D:$D,$E318))</f>
        <v/>
      </c>
      <c r="C318">
        <f>IF($E318="","",INDEX('Input Transaksi'!$E:$E,$E318))</f>
        <v/>
      </c>
      <c r="D318" s="5">
        <f>IF($E318="","",INDEX('Input Transaksi'!$F:$F,$E318))</f>
        <v/>
      </c>
      <c r="E318">
        <f>IFERROR(AGGREGATE(15,6,ROW('Input Transaksi'!$B$5:$B$5000)/('Input Transaksi'!$B$5:$B$5000="CUCI DEWE"),ROWS($E$5:E318)),"")</f>
        <v/>
      </c>
      <c r="F318" s="5" t="n"/>
    </row>
    <row r="319">
      <c r="A319" s="10">
        <f>IF($E319="","",INDEX('Input Transaksi'!$A:$A,$E319))</f>
        <v/>
      </c>
      <c r="B319" s="5">
        <f>IF($E319="","",INDEX('Input Transaksi'!$D:$D,$E319))</f>
        <v/>
      </c>
      <c r="C319">
        <f>IF($E319="","",INDEX('Input Transaksi'!$E:$E,$E319))</f>
        <v/>
      </c>
      <c r="D319" s="5">
        <f>IF($E319="","",INDEX('Input Transaksi'!$F:$F,$E319))</f>
        <v/>
      </c>
      <c r="E319">
        <f>IFERROR(AGGREGATE(15,6,ROW('Input Transaksi'!$B$5:$B$5000)/('Input Transaksi'!$B$5:$B$5000="CUCI DEWE"),ROWS($E$5:E319)),"")</f>
        <v/>
      </c>
      <c r="F319" s="5" t="n"/>
    </row>
    <row r="320">
      <c r="A320" s="10">
        <f>IF($E320="","",INDEX('Input Transaksi'!$A:$A,$E320))</f>
        <v/>
      </c>
      <c r="B320" s="5">
        <f>IF($E320="","",INDEX('Input Transaksi'!$D:$D,$E320))</f>
        <v/>
      </c>
      <c r="C320">
        <f>IF($E320="","",INDEX('Input Transaksi'!$E:$E,$E320))</f>
        <v/>
      </c>
      <c r="D320" s="5">
        <f>IF($E320="","",INDEX('Input Transaksi'!$F:$F,$E320))</f>
        <v/>
      </c>
      <c r="E320">
        <f>IFERROR(AGGREGATE(15,6,ROW('Input Transaksi'!$B$5:$B$5000)/('Input Transaksi'!$B$5:$B$5000="CUCI DEWE"),ROWS($E$5:E320)),"")</f>
        <v/>
      </c>
      <c r="F320" s="5" t="n"/>
    </row>
    <row r="321">
      <c r="A321" s="10">
        <f>IF($E321="","",INDEX('Input Transaksi'!$A:$A,$E321))</f>
        <v/>
      </c>
      <c r="B321" s="5">
        <f>IF($E321="","",INDEX('Input Transaksi'!$D:$D,$E321))</f>
        <v/>
      </c>
      <c r="C321">
        <f>IF($E321="","",INDEX('Input Transaksi'!$E:$E,$E321))</f>
        <v/>
      </c>
      <c r="D321" s="5">
        <f>IF($E321="","",INDEX('Input Transaksi'!$F:$F,$E321))</f>
        <v/>
      </c>
      <c r="E321">
        <f>IFERROR(AGGREGATE(15,6,ROW('Input Transaksi'!$B$5:$B$5000)/('Input Transaksi'!$B$5:$B$5000="CUCI DEWE"),ROWS($E$5:E321)),"")</f>
        <v/>
      </c>
      <c r="F321" s="5" t="n"/>
    </row>
    <row r="322">
      <c r="A322" s="10">
        <f>IF($E322="","",INDEX('Input Transaksi'!$A:$A,$E322))</f>
        <v/>
      </c>
      <c r="B322" s="5">
        <f>IF($E322="","",INDEX('Input Transaksi'!$D:$D,$E322))</f>
        <v/>
      </c>
      <c r="C322">
        <f>IF($E322="","",INDEX('Input Transaksi'!$E:$E,$E322))</f>
        <v/>
      </c>
      <c r="D322" s="5">
        <f>IF($E322="","",INDEX('Input Transaksi'!$F:$F,$E322))</f>
        <v/>
      </c>
      <c r="E322">
        <f>IFERROR(AGGREGATE(15,6,ROW('Input Transaksi'!$B$5:$B$5000)/('Input Transaksi'!$B$5:$B$5000="CUCI DEWE"),ROWS($E$5:E322)),"")</f>
        <v/>
      </c>
      <c r="F322" s="5" t="n"/>
    </row>
    <row r="323">
      <c r="A323" s="10">
        <f>IF($E323="","",INDEX('Input Transaksi'!$A:$A,$E323))</f>
        <v/>
      </c>
      <c r="B323" s="5">
        <f>IF($E323="","",INDEX('Input Transaksi'!$D:$D,$E323))</f>
        <v/>
      </c>
      <c r="C323">
        <f>IF($E323="","",INDEX('Input Transaksi'!$E:$E,$E323))</f>
        <v/>
      </c>
      <c r="D323" s="5">
        <f>IF($E323="","",INDEX('Input Transaksi'!$F:$F,$E323))</f>
        <v/>
      </c>
      <c r="E323">
        <f>IFERROR(AGGREGATE(15,6,ROW('Input Transaksi'!$B$5:$B$5000)/('Input Transaksi'!$B$5:$B$5000="CUCI DEWE"),ROWS($E$5:E323)),"")</f>
        <v/>
      </c>
      <c r="F323" s="5" t="n"/>
    </row>
    <row r="324">
      <c r="A324" s="10">
        <f>IF($E324="","",INDEX('Input Transaksi'!$A:$A,$E324))</f>
        <v/>
      </c>
      <c r="B324" s="5">
        <f>IF($E324="","",INDEX('Input Transaksi'!$D:$D,$E324))</f>
        <v/>
      </c>
      <c r="C324">
        <f>IF($E324="","",INDEX('Input Transaksi'!$E:$E,$E324))</f>
        <v/>
      </c>
      <c r="D324" s="5">
        <f>IF($E324="","",INDEX('Input Transaksi'!$F:$F,$E324))</f>
        <v/>
      </c>
      <c r="E324">
        <f>IFERROR(AGGREGATE(15,6,ROW('Input Transaksi'!$B$5:$B$5000)/('Input Transaksi'!$B$5:$B$5000="CUCI DEWE"),ROWS($E$5:E324)),"")</f>
        <v/>
      </c>
      <c r="F324" s="5" t="n"/>
    </row>
    <row r="325">
      <c r="A325" s="10">
        <f>IF($E325="","",INDEX('Input Transaksi'!$A:$A,$E325))</f>
        <v/>
      </c>
      <c r="B325" s="5">
        <f>IF($E325="","",INDEX('Input Transaksi'!$D:$D,$E325))</f>
        <v/>
      </c>
      <c r="C325">
        <f>IF($E325="","",INDEX('Input Transaksi'!$E:$E,$E325))</f>
        <v/>
      </c>
      <c r="D325" s="5">
        <f>IF($E325="","",INDEX('Input Transaksi'!$F:$F,$E325))</f>
        <v/>
      </c>
      <c r="E325">
        <f>IFERROR(AGGREGATE(15,6,ROW('Input Transaksi'!$B$5:$B$5000)/('Input Transaksi'!$B$5:$B$5000="CUCI DEWE"),ROWS($E$5:E325)),"")</f>
        <v/>
      </c>
      <c r="F325" s="5" t="n"/>
    </row>
    <row r="326">
      <c r="A326" s="10">
        <f>IF($E326="","",INDEX('Input Transaksi'!$A:$A,$E326))</f>
        <v/>
      </c>
      <c r="B326" s="5">
        <f>IF($E326="","",INDEX('Input Transaksi'!$D:$D,$E326))</f>
        <v/>
      </c>
      <c r="C326">
        <f>IF($E326="","",INDEX('Input Transaksi'!$E:$E,$E326))</f>
        <v/>
      </c>
      <c r="D326" s="5">
        <f>IF($E326="","",INDEX('Input Transaksi'!$F:$F,$E326))</f>
        <v/>
      </c>
      <c r="E326">
        <f>IFERROR(AGGREGATE(15,6,ROW('Input Transaksi'!$B$5:$B$5000)/('Input Transaksi'!$B$5:$B$5000="CUCI DEWE"),ROWS($E$5:E326)),"")</f>
        <v/>
      </c>
      <c r="F326" s="5" t="n"/>
    </row>
    <row r="327">
      <c r="A327" s="10">
        <f>IF($E327="","",INDEX('Input Transaksi'!$A:$A,$E327))</f>
        <v/>
      </c>
      <c r="B327" s="5">
        <f>IF($E327="","",INDEX('Input Transaksi'!$D:$D,$E327))</f>
        <v/>
      </c>
      <c r="C327">
        <f>IF($E327="","",INDEX('Input Transaksi'!$E:$E,$E327))</f>
        <v/>
      </c>
      <c r="D327" s="5">
        <f>IF($E327="","",INDEX('Input Transaksi'!$F:$F,$E327))</f>
        <v/>
      </c>
      <c r="E327">
        <f>IFERROR(AGGREGATE(15,6,ROW('Input Transaksi'!$B$5:$B$5000)/('Input Transaksi'!$B$5:$B$5000="CUCI DEWE"),ROWS($E$5:E327)),"")</f>
        <v/>
      </c>
      <c r="F327" s="5" t="n"/>
    </row>
    <row r="328">
      <c r="A328" s="10">
        <f>IF($E328="","",INDEX('Input Transaksi'!$A:$A,$E328))</f>
        <v/>
      </c>
      <c r="B328" s="5">
        <f>IF($E328="","",INDEX('Input Transaksi'!$D:$D,$E328))</f>
        <v/>
      </c>
      <c r="C328">
        <f>IF($E328="","",INDEX('Input Transaksi'!$E:$E,$E328))</f>
        <v/>
      </c>
      <c r="D328" s="5">
        <f>IF($E328="","",INDEX('Input Transaksi'!$F:$F,$E328))</f>
        <v/>
      </c>
      <c r="E328">
        <f>IFERROR(AGGREGATE(15,6,ROW('Input Transaksi'!$B$5:$B$5000)/('Input Transaksi'!$B$5:$B$5000="CUCI DEWE"),ROWS($E$5:E328)),"")</f>
        <v/>
      </c>
      <c r="F328" s="5" t="n"/>
    </row>
    <row r="329">
      <c r="A329" s="10">
        <f>IF($E329="","",INDEX('Input Transaksi'!$A:$A,$E329))</f>
        <v/>
      </c>
      <c r="B329" s="5">
        <f>IF($E329="","",INDEX('Input Transaksi'!$D:$D,$E329))</f>
        <v/>
      </c>
      <c r="C329">
        <f>IF($E329="","",INDEX('Input Transaksi'!$E:$E,$E329))</f>
        <v/>
      </c>
      <c r="D329" s="5">
        <f>IF($E329="","",INDEX('Input Transaksi'!$F:$F,$E329))</f>
        <v/>
      </c>
      <c r="E329">
        <f>IFERROR(AGGREGATE(15,6,ROW('Input Transaksi'!$B$5:$B$5000)/('Input Transaksi'!$B$5:$B$5000="CUCI DEWE"),ROWS($E$5:E329)),"")</f>
        <v/>
      </c>
      <c r="F329" s="5" t="n"/>
    </row>
    <row r="330">
      <c r="A330" s="10">
        <f>IF($E330="","",INDEX('Input Transaksi'!$A:$A,$E330))</f>
        <v/>
      </c>
      <c r="B330" s="5">
        <f>IF($E330="","",INDEX('Input Transaksi'!$D:$D,$E330))</f>
        <v/>
      </c>
      <c r="C330">
        <f>IF($E330="","",INDEX('Input Transaksi'!$E:$E,$E330))</f>
        <v/>
      </c>
      <c r="D330" s="5">
        <f>IF($E330="","",INDEX('Input Transaksi'!$F:$F,$E330))</f>
        <v/>
      </c>
      <c r="E330">
        <f>IFERROR(AGGREGATE(15,6,ROW('Input Transaksi'!$B$5:$B$5000)/('Input Transaksi'!$B$5:$B$5000="CUCI DEWE"),ROWS($E$5:E330)),"")</f>
        <v/>
      </c>
      <c r="F330" s="5" t="n"/>
    </row>
    <row r="331">
      <c r="A331" s="10">
        <f>IF($E331="","",INDEX('Input Transaksi'!$A:$A,$E331))</f>
        <v/>
      </c>
      <c r="B331" s="5">
        <f>IF($E331="","",INDEX('Input Transaksi'!$D:$D,$E331))</f>
        <v/>
      </c>
      <c r="C331">
        <f>IF($E331="","",INDEX('Input Transaksi'!$E:$E,$E331))</f>
        <v/>
      </c>
      <c r="D331" s="5">
        <f>IF($E331="","",INDEX('Input Transaksi'!$F:$F,$E331))</f>
        <v/>
      </c>
      <c r="E331">
        <f>IFERROR(AGGREGATE(15,6,ROW('Input Transaksi'!$B$5:$B$5000)/('Input Transaksi'!$B$5:$B$5000="CUCI DEWE"),ROWS($E$5:E331)),"")</f>
        <v/>
      </c>
      <c r="F331" s="5" t="n"/>
    </row>
    <row r="332">
      <c r="A332" s="10">
        <f>IF($E332="","",INDEX('Input Transaksi'!$A:$A,$E332))</f>
        <v/>
      </c>
      <c r="B332" s="5">
        <f>IF($E332="","",INDEX('Input Transaksi'!$D:$D,$E332))</f>
        <v/>
      </c>
      <c r="C332">
        <f>IF($E332="","",INDEX('Input Transaksi'!$E:$E,$E332))</f>
        <v/>
      </c>
      <c r="D332" s="5">
        <f>IF($E332="","",INDEX('Input Transaksi'!$F:$F,$E332))</f>
        <v/>
      </c>
      <c r="E332">
        <f>IFERROR(AGGREGATE(15,6,ROW('Input Transaksi'!$B$5:$B$5000)/('Input Transaksi'!$B$5:$B$5000="CUCI DEWE"),ROWS($E$5:E332)),"")</f>
        <v/>
      </c>
      <c r="F332" s="5" t="n"/>
    </row>
    <row r="333">
      <c r="A333" s="10">
        <f>IF($E333="","",INDEX('Input Transaksi'!$A:$A,$E333))</f>
        <v/>
      </c>
      <c r="B333" s="5">
        <f>IF($E333="","",INDEX('Input Transaksi'!$D:$D,$E333))</f>
        <v/>
      </c>
      <c r="C333">
        <f>IF($E333="","",INDEX('Input Transaksi'!$E:$E,$E333))</f>
        <v/>
      </c>
      <c r="D333" s="5">
        <f>IF($E333="","",INDEX('Input Transaksi'!$F:$F,$E333))</f>
        <v/>
      </c>
      <c r="E333">
        <f>IFERROR(AGGREGATE(15,6,ROW('Input Transaksi'!$B$5:$B$5000)/('Input Transaksi'!$B$5:$B$5000="CUCI DEWE"),ROWS($E$5:E333)),"")</f>
        <v/>
      </c>
      <c r="F333" s="5" t="n"/>
    </row>
    <row r="334">
      <c r="A334" s="10">
        <f>IF($E334="","",INDEX('Input Transaksi'!$A:$A,$E334))</f>
        <v/>
      </c>
      <c r="B334" s="5">
        <f>IF($E334="","",INDEX('Input Transaksi'!$D:$D,$E334))</f>
        <v/>
      </c>
      <c r="C334">
        <f>IF($E334="","",INDEX('Input Transaksi'!$E:$E,$E334))</f>
        <v/>
      </c>
      <c r="D334" s="5">
        <f>IF($E334="","",INDEX('Input Transaksi'!$F:$F,$E334))</f>
        <v/>
      </c>
      <c r="E334">
        <f>IFERROR(AGGREGATE(15,6,ROW('Input Transaksi'!$B$5:$B$5000)/('Input Transaksi'!$B$5:$B$5000="CUCI DEWE"),ROWS($E$5:E334)),"")</f>
        <v/>
      </c>
      <c r="F334" s="5" t="n"/>
    </row>
    <row r="335">
      <c r="A335" s="10">
        <f>IF($E335="","",INDEX('Input Transaksi'!$A:$A,$E335))</f>
        <v/>
      </c>
      <c r="B335" s="5">
        <f>IF($E335="","",INDEX('Input Transaksi'!$D:$D,$E335))</f>
        <v/>
      </c>
      <c r="C335">
        <f>IF($E335="","",INDEX('Input Transaksi'!$E:$E,$E335))</f>
        <v/>
      </c>
      <c r="D335" s="5">
        <f>IF($E335="","",INDEX('Input Transaksi'!$F:$F,$E335))</f>
        <v/>
      </c>
      <c r="E335">
        <f>IFERROR(AGGREGATE(15,6,ROW('Input Transaksi'!$B$5:$B$5000)/('Input Transaksi'!$B$5:$B$5000="CUCI DEWE"),ROWS($E$5:E335)),"")</f>
        <v/>
      </c>
      <c r="F335" s="5" t="n"/>
    </row>
    <row r="336">
      <c r="A336" s="10">
        <f>IF($E336="","",INDEX('Input Transaksi'!$A:$A,$E336))</f>
        <v/>
      </c>
      <c r="B336" s="5">
        <f>IF($E336="","",INDEX('Input Transaksi'!$D:$D,$E336))</f>
        <v/>
      </c>
      <c r="C336">
        <f>IF($E336="","",INDEX('Input Transaksi'!$E:$E,$E336))</f>
        <v/>
      </c>
      <c r="D336" s="5">
        <f>IF($E336="","",INDEX('Input Transaksi'!$F:$F,$E336))</f>
        <v/>
      </c>
      <c r="E336">
        <f>IFERROR(AGGREGATE(15,6,ROW('Input Transaksi'!$B$5:$B$5000)/('Input Transaksi'!$B$5:$B$5000="CUCI DEWE"),ROWS($E$5:E336)),"")</f>
        <v/>
      </c>
      <c r="F336" s="5" t="n"/>
    </row>
    <row r="337">
      <c r="A337" s="10">
        <f>IF($E337="","",INDEX('Input Transaksi'!$A:$A,$E337))</f>
        <v/>
      </c>
      <c r="B337" s="5">
        <f>IF($E337="","",INDEX('Input Transaksi'!$D:$D,$E337))</f>
        <v/>
      </c>
      <c r="C337">
        <f>IF($E337="","",INDEX('Input Transaksi'!$E:$E,$E337))</f>
        <v/>
      </c>
      <c r="D337" s="5">
        <f>IF($E337="","",INDEX('Input Transaksi'!$F:$F,$E337))</f>
        <v/>
      </c>
      <c r="E337">
        <f>IFERROR(AGGREGATE(15,6,ROW('Input Transaksi'!$B$5:$B$5000)/('Input Transaksi'!$B$5:$B$5000="CUCI DEWE"),ROWS($E$5:E337)),"")</f>
        <v/>
      </c>
      <c r="F337" s="5" t="n"/>
    </row>
    <row r="338">
      <c r="A338" s="10">
        <f>IF($E338="","",INDEX('Input Transaksi'!$A:$A,$E338))</f>
        <v/>
      </c>
      <c r="B338" s="5">
        <f>IF($E338="","",INDEX('Input Transaksi'!$D:$D,$E338))</f>
        <v/>
      </c>
      <c r="C338">
        <f>IF($E338="","",INDEX('Input Transaksi'!$E:$E,$E338))</f>
        <v/>
      </c>
      <c r="D338" s="5">
        <f>IF($E338="","",INDEX('Input Transaksi'!$F:$F,$E338))</f>
        <v/>
      </c>
      <c r="E338">
        <f>IFERROR(AGGREGATE(15,6,ROW('Input Transaksi'!$B$5:$B$5000)/('Input Transaksi'!$B$5:$B$5000="CUCI DEWE"),ROWS($E$5:E338)),"")</f>
        <v/>
      </c>
      <c r="F338" s="5" t="n"/>
    </row>
    <row r="339">
      <c r="A339" s="10">
        <f>IF($E339="","",INDEX('Input Transaksi'!$A:$A,$E339))</f>
        <v/>
      </c>
      <c r="B339" s="5">
        <f>IF($E339="","",INDEX('Input Transaksi'!$D:$D,$E339))</f>
        <v/>
      </c>
      <c r="C339">
        <f>IF($E339="","",INDEX('Input Transaksi'!$E:$E,$E339))</f>
        <v/>
      </c>
      <c r="D339" s="5">
        <f>IF($E339="","",INDEX('Input Transaksi'!$F:$F,$E339))</f>
        <v/>
      </c>
      <c r="E339">
        <f>IFERROR(AGGREGATE(15,6,ROW('Input Transaksi'!$B$5:$B$5000)/('Input Transaksi'!$B$5:$B$5000="CUCI DEWE"),ROWS($E$5:E339)),"")</f>
        <v/>
      </c>
      <c r="F339" s="5" t="n"/>
    </row>
    <row r="340">
      <c r="A340" s="10">
        <f>IF($E340="","",INDEX('Input Transaksi'!$A:$A,$E340))</f>
        <v/>
      </c>
      <c r="B340" s="5">
        <f>IF($E340="","",INDEX('Input Transaksi'!$D:$D,$E340))</f>
        <v/>
      </c>
      <c r="C340">
        <f>IF($E340="","",INDEX('Input Transaksi'!$E:$E,$E340))</f>
        <v/>
      </c>
      <c r="D340" s="5">
        <f>IF($E340="","",INDEX('Input Transaksi'!$F:$F,$E340))</f>
        <v/>
      </c>
      <c r="E340">
        <f>IFERROR(AGGREGATE(15,6,ROW('Input Transaksi'!$B$5:$B$5000)/('Input Transaksi'!$B$5:$B$5000="CUCI DEWE"),ROWS($E$5:E340)),"")</f>
        <v/>
      </c>
      <c r="F340" s="5" t="n"/>
    </row>
    <row r="341">
      <c r="A341" s="10">
        <f>IF($E341="","",INDEX('Input Transaksi'!$A:$A,$E341))</f>
        <v/>
      </c>
      <c r="B341" s="5">
        <f>IF($E341="","",INDEX('Input Transaksi'!$D:$D,$E341))</f>
        <v/>
      </c>
      <c r="C341">
        <f>IF($E341="","",INDEX('Input Transaksi'!$E:$E,$E341))</f>
        <v/>
      </c>
      <c r="D341" s="5">
        <f>IF($E341="","",INDEX('Input Transaksi'!$F:$F,$E341))</f>
        <v/>
      </c>
      <c r="E341">
        <f>IFERROR(AGGREGATE(15,6,ROW('Input Transaksi'!$B$5:$B$5000)/('Input Transaksi'!$B$5:$B$5000="CUCI DEWE"),ROWS($E$5:E341)),"")</f>
        <v/>
      </c>
      <c r="F341" s="5" t="n"/>
    </row>
    <row r="342">
      <c r="A342" s="10">
        <f>IF($E342="","",INDEX('Input Transaksi'!$A:$A,$E342))</f>
        <v/>
      </c>
      <c r="B342" s="5">
        <f>IF($E342="","",INDEX('Input Transaksi'!$D:$D,$E342))</f>
        <v/>
      </c>
      <c r="C342">
        <f>IF($E342="","",INDEX('Input Transaksi'!$E:$E,$E342))</f>
        <v/>
      </c>
      <c r="D342" s="5">
        <f>IF($E342="","",INDEX('Input Transaksi'!$F:$F,$E342))</f>
        <v/>
      </c>
      <c r="E342">
        <f>IFERROR(AGGREGATE(15,6,ROW('Input Transaksi'!$B$5:$B$5000)/('Input Transaksi'!$B$5:$B$5000="CUCI DEWE"),ROWS($E$5:E342)),"")</f>
        <v/>
      </c>
      <c r="F342" s="5" t="n"/>
    </row>
    <row r="343">
      <c r="A343" s="10">
        <f>IF($E343="","",INDEX('Input Transaksi'!$A:$A,$E343))</f>
        <v/>
      </c>
      <c r="B343" s="5">
        <f>IF($E343="","",INDEX('Input Transaksi'!$D:$D,$E343))</f>
        <v/>
      </c>
      <c r="C343">
        <f>IF($E343="","",INDEX('Input Transaksi'!$E:$E,$E343))</f>
        <v/>
      </c>
      <c r="D343" s="5">
        <f>IF($E343="","",INDEX('Input Transaksi'!$F:$F,$E343))</f>
        <v/>
      </c>
      <c r="E343">
        <f>IFERROR(AGGREGATE(15,6,ROW('Input Transaksi'!$B$5:$B$5000)/('Input Transaksi'!$B$5:$B$5000="CUCI DEWE"),ROWS($E$5:E343)),"")</f>
        <v/>
      </c>
      <c r="F343" s="5" t="n"/>
    </row>
    <row r="344">
      <c r="A344" s="10">
        <f>IF($E344="","",INDEX('Input Transaksi'!$A:$A,$E344))</f>
        <v/>
      </c>
      <c r="B344" s="5">
        <f>IF($E344="","",INDEX('Input Transaksi'!$D:$D,$E344))</f>
        <v/>
      </c>
      <c r="C344">
        <f>IF($E344="","",INDEX('Input Transaksi'!$E:$E,$E344))</f>
        <v/>
      </c>
      <c r="D344" s="5">
        <f>IF($E344="","",INDEX('Input Transaksi'!$F:$F,$E344))</f>
        <v/>
      </c>
      <c r="E344">
        <f>IFERROR(AGGREGATE(15,6,ROW('Input Transaksi'!$B$5:$B$5000)/('Input Transaksi'!$B$5:$B$5000="CUCI DEWE"),ROWS($E$5:E344)),"")</f>
        <v/>
      </c>
      <c r="F344" s="5" t="n"/>
    </row>
    <row r="345">
      <c r="A345" s="10">
        <f>IF($E345="","",INDEX('Input Transaksi'!$A:$A,$E345))</f>
        <v/>
      </c>
      <c r="B345" s="5">
        <f>IF($E345="","",INDEX('Input Transaksi'!$D:$D,$E345))</f>
        <v/>
      </c>
      <c r="C345">
        <f>IF($E345="","",INDEX('Input Transaksi'!$E:$E,$E345))</f>
        <v/>
      </c>
      <c r="D345" s="5">
        <f>IF($E345="","",INDEX('Input Transaksi'!$F:$F,$E345))</f>
        <v/>
      </c>
      <c r="E345">
        <f>IFERROR(AGGREGATE(15,6,ROW('Input Transaksi'!$B$5:$B$5000)/('Input Transaksi'!$B$5:$B$5000="CUCI DEWE"),ROWS($E$5:E345)),"")</f>
        <v/>
      </c>
      <c r="F345" s="5" t="n"/>
    </row>
    <row r="346">
      <c r="A346" s="10">
        <f>IF($E346="","",INDEX('Input Transaksi'!$A:$A,$E346))</f>
        <v/>
      </c>
      <c r="B346" s="5">
        <f>IF($E346="","",INDEX('Input Transaksi'!$D:$D,$E346))</f>
        <v/>
      </c>
      <c r="C346">
        <f>IF($E346="","",INDEX('Input Transaksi'!$E:$E,$E346))</f>
        <v/>
      </c>
      <c r="D346" s="5">
        <f>IF($E346="","",INDEX('Input Transaksi'!$F:$F,$E346))</f>
        <v/>
      </c>
      <c r="E346">
        <f>IFERROR(AGGREGATE(15,6,ROW('Input Transaksi'!$B$5:$B$5000)/('Input Transaksi'!$B$5:$B$5000="CUCI DEWE"),ROWS($E$5:E346)),"")</f>
        <v/>
      </c>
      <c r="F346" s="5" t="n"/>
    </row>
    <row r="347">
      <c r="A347" s="10">
        <f>IF($E347="","",INDEX('Input Transaksi'!$A:$A,$E347))</f>
        <v/>
      </c>
      <c r="B347" s="5">
        <f>IF($E347="","",INDEX('Input Transaksi'!$D:$D,$E347))</f>
        <v/>
      </c>
      <c r="C347">
        <f>IF($E347="","",INDEX('Input Transaksi'!$E:$E,$E347))</f>
        <v/>
      </c>
      <c r="D347" s="5">
        <f>IF($E347="","",INDEX('Input Transaksi'!$F:$F,$E347))</f>
        <v/>
      </c>
      <c r="E347">
        <f>IFERROR(AGGREGATE(15,6,ROW('Input Transaksi'!$B$5:$B$5000)/('Input Transaksi'!$B$5:$B$5000="CUCI DEWE"),ROWS($E$5:E347)),"")</f>
        <v/>
      </c>
      <c r="F347" s="5" t="n"/>
    </row>
    <row r="348">
      <c r="A348" s="10">
        <f>IF($E348="","",INDEX('Input Transaksi'!$A:$A,$E348))</f>
        <v/>
      </c>
      <c r="B348" s="5">
        <f>IF($E348="","",INDEX('Input Transaksi'!$D:$D,$E348))</f>
        <v/>
      </c>
      <c r="C348">
        <f>IF($E348="","",INDEX('Input Transaksi'!$E:$E,$E348))</f>
        <v/>
      </c>
      <c r="D348" s="5">
        <f>IF($E348="","",INDEX('Input Transaksi'!$F:$F,$E348))</f>
        <v/>
      </c>
      <c r="E348">
        <f>IFERROR(AGGREGATE(15,6,ROW('Input Transaksi'!$B$5:$B$5000)/('Input Transaksi'!$B$5:$B$5000="CUCI DEWE"),ROWS($E$5:E348)),"")</f>
        <v/>
      </c>
      <c r="F348" s="5" t="n"/>
    </row>
    <row r="349">
      <c r="A349" s="10">
        <f>IF($E349="","",INDEX('Input Transaksi'!$A:$A,$E349))</f>
        <v/>
      </c>
      <c r="B349" s="5">
        <f>IF($E349="","",INDEX('Input Transaksi'!$D:$D,$E349))</f>
        <v/>
      </c>
      <c r="C349">
        <f>IF($E349="","",INDEX('Input Transaksi'!$E:$E,$E349))</f>
        <v/>
      </c>
      <c r="D349" s="5">
        <f>IF($E349="","",INDEX('Input Transaksi'!$F:$F,$E349))</f>
        <v/>
      </c>
      <c r="E349">
        <f>IFERROR(AGGREGATE(15,6,ROW('Input Transaksi'!$B$5:$B$5000)/('Input Transaksi'!$B$5:$B$5000="CUCI DEWE"),ROWS($E$5:E349)),"")</f>
        <v/>
      </c>
      <c r="F349" s="5" t="n"/>
    </row>
    <row r="350">
      <c r="A350" s="10">
        <f>IF($E350="","",INDEX('Input Transaksi'!$A:$A,$E350))</f>
        <v/>
      </c>
      <c r="B350" s="5">
        <f>IF($E350="","",INDEX('Input Transaksi'!$D:$D,$E350))</f>
        <v/>
      </c>
      <c r="C350">
        <f>IF($E350="","",INDEX('Input Transaksi'!$E:$E,$E350))</f>
        <v/>
      </c>
      <c r="D350" s="5">
        <f>IF($E350="","",INDEX('Input Transaksi'!$F:$F,$E350))</f>
        <v/>
      </c>
      <c r="E350">
        <f>IFERROR(AGGREGATE(15,6,ROW('Input Transaksi'!$B$5:$B$5000)/('Input Transaksi'!$B$5:$B$5000="CUCI DEWE"),ROWS($E$5:E350)),"")</f>
        <v/>
      </c>
      <c r="F350" s="5" t="n"/>
    </row>
    <row r="351">
      <c r="A351" s="10">
        <f>IF($E351="","",INDEX('Input Transaksi'!$A:$A,$E351))</f>
        <v/>
      </c>
      <c r="B351" s="5">
        <f>IF($E351="","",INDEX('Input Transaksi'!$D:$D,$E351))</f>
        <v/>
      </c>
      <c r="C351">
        <f>IF($E351="","",INDEX('Input Transaksi'!$E:$E,$E351))</f>
        <v/>
      </c>
      <c r="D351" s="5">
        <f>IF($E351="","",INDEX('Input Transaksi'!$F:$F,$E351))</f>
        <v/>
      </c>
      <c r="E351">
        <f>IFERROR(AGGREGATE(15,6,ROW('Input Transaksi'!$B$5:$B$5000)/('Input Transaksi'!$B$5:$B$5000="CUCI DEWE"),ROWS($E$5:E351)),"")</f>
        <v/>
      </c>
      <c r="F351" s="5" t="n"/>
    </row>
    <row r="352">
      <c r="A352" s="10">
        <f>IF($E352="","",INDEX('Input Transaksi'!$A:$A,$E352))</f>
        <v/>
      </c>
      <c r="B352" s="5">
        <f>IF($E352="","",INDEX('Input Transaksi'!$D:$D,$E352))</f>
        <v/>
      </c>
      <c r="C352">
        <f>IF($E352="","",INDEX('Input Transaksi'!$E:$E,$E352))</f>
        <v/>
      </c>
      <c r="D352" s="5">
        <f>IF($E352="","",INDEX('Input Transaksi'!$F:$F,$E352))</f>
        <v/>
      </c>
      <c r="E352">
        <f>IFERROR(AGGREGATE(15,6,ROW('Input Transaksi'!$B$5:$B$5000)/('Input Transaksi'!$B$5:$B$5000="CUCI DEWE"),ROWS($E$5:E352)),"")</f>
        <v/>
      </c>
      <c r="F352" s="5" t="n"/>
    </row>
    <row r="353">
      <c r="A353" s="10">
        <f>IF($E353="","",INDEX('Input Transaksi'!$A:$A,$E353))</f>
        <v/>
      </c>
      <c r="B353" s="5">
        <f>IF($E353="","",INDEX('Input Transaksi'!$D:$D,$E353))</f>
        <v/>
      </c>
      <c r="C353">
        <f>IF($E353="","",INDEX('Input Transaksi'!$E:$E,$E353))</f>
        <v/>
      </c>
      <c r="D353" s="5">
        <f>IF($E353="","",INDEX('Input Transaksi'!$F:$F,$E353))</f>
        <v/>
      </c>
      <c r="E353">
        <f>IFERROR(AGGREGATE(15,6,ROW('Input Transaksi'!$B$5:$B$5000)/('Input Transaksi'!$B$5:$B$5000="CUCI DEWE"),ROWS($E$5:E353)),"")</f>
        <v/>
      </c>
      <c r="F353" s="5" t="n"/>
    </row>
    <row r="354">
      <c r="A354" s="10">
        <f>IF($E354="","",INDEX('Input Transaksi'!$A:$A,$E354))</f>
        <v/>
      </c>
      <c r="B354" s="5">
        <f>IF($E354="","",INDEX('Input Transaksi'!$D:$D,$E354))</f>
        <v/>
      </c>
      <c r="C354">
        <f>IF($E354="","",INDEX('Input Transaksi'!$E:$E,$E354))</f>
        <v/>
      </c>
      <c r="D354" s="5">
        <f>IF($E354="","",INDEX('Input Transaksi'!$F:$F,$E354))</f>
        <v/>
      </c>
      <c r="E354">
        <f>IFERROR(AGGREGATE(15,6,ROW('Input Transaksi'!$B$5:$B$5000)/('Input Transaksi'!$B$5:$B$5000="CUCI DEWE"),ROWS($E$5:E354)),"")</f>
        <v/>
      </c>
      <c r="F354" s="5" t="n"/>
    </row>
    <row r="355">
      <c r="A355" s="10">
        <f>IF($E355="","",INDEX('Input Transaksi'!$A:$A,$E355))</f>
        <v/>
      </c>
      <c r="B355" s="5">
        <f>IF($E355="","",INDEX('Input Transaksi'!$D:$D,$E355))</f>
        <v/>
      </c>
      <c r="C355">
        <f>IF($E355="","",INDEX('Input Transaksi'!$E:$E,$E355))</f>
        <v/>
      </c>
      <c r="D355" s="5">
        <f>IF($E355="","",INDEX('Input Transaksi'!$F:$F,$E355))</f>
        <v/>
      </c>
      <c r="E355">
        <f>IFERROR(AGGREGATE(15,6,ROW('Input Transaksi'!$B$5:$B$5000)/('Input Transaksi'!$B$5:$B$5000="CUCI DEWE"),ROWS($E$5:E355)),"")</f>
        <v/>
      </c>
      <c r="F355" s="5" t="n"/>
    </row>
    <row r="356">
      <c r="A356" s="10">
        <f>IF($E356="","",INDEX('Input Transaksi'!$A:$A,$E356))</f>
        <v/>
      </c>
      <c r="B356" s="5">
        <f>IF($E356="","",INDEX('Input Transaksi'!$D:$D,$E356))</f>
        <v/>
      </c>
      <c r="C356">
        <f>IF($E356="","",INDEX('Input Transaksi'!$E:$E,$E356))</f>
        <v/>
      </c>
      <c r="D356" s="5">
        <f>IF($E356="","",INDEX('Input Transaksi'!$F:$F,$E356))</f>
        <v/>
      </c>
      <c r="E356">
        <f>IFERROR(AGGREGATE(15,6,ROW('Input Transaksi'!$B$5:$B$5000)/('Input Transaksi'!$B$5:$B$5000="CUCI DEWE"),ROWS($E$5:E356)),"")</f>
        <v/>
      </c>
      <c r="F356" s="5" t="n"/>
    </row>
    <row r="357">
      <c r="A357" s="10">
        <f>IF($E357="","",INDEX('Input Transaksi'!$A:$A,$E357))</f>
        <v/>
      </c>
      <c r="B357" s="5">
        <f>IF($E357="","",INDEX('Input Transaksi'!$D:$D,$E357))</f>
        <v/>
      </c>
      <c r="C357">
        <f>IF($E357="","",INDEX('Input Transaksi'!$E:$E,$E357))</f>
        <v/>
      </c>
      <c r="D357" s="5">
        <f>IF($E357="","",INDEX('Input Transaksi'!$F:$F,$E357))</f>
        <v/>
      </c>
      <c r="E357">
        <f>IFERROR(AGGREGATE(15,6,ROW('Input Transaksi'!$B$5:$B$5000)/('Input Transaksi'!$B$5:$B$5000="CUCI DEWE"),ROWS($E$5:E357)),"")</f>
        <v/>
      </c>
      <c r="F357" s="5" t="n"/>
    </row>
    <row r="358">
      <c r="A358" s="10">
        <f>IF($E358="","",INDEX('Input Transaksi'!$A:$A,$E358))</f>
        <v/>
      </c>
      <c r="B358" s="5">
        <f>IF($E358="","",INDEX('Input Transaksi'!$D:$D,$E358))</f>
        <v/>
      </c>
      <c r="C358">
        <f>IF($E358="","",INDEX('Input Transaksi'!$E:$E,$E358))</f>
        <v/>
      </c>
      <c r="D358" s="5">
        <f>IF($E358="","",INDEX('Input Transaksi'!$F:$F,$E358))</f>
        <v/>
      </c>
      <c r="E358">
        <f>IFERROR(AGGREGATE(15,6,ROW('Input Transaksi'!$B$5:$B$5000)/('Input Transaksi'!$B$5:$B$5000="CUCI DEWE"),ROWS($E$5:E358)),"")</f>
        <v/>
      </c>
      <c r="F358" s="5" t="n"/>
    </row>
    <row r="359">
      <c r="A359" s="10">
        <f>IF($E359="","",INDEX('Input Transaksi'!$A:$A,$E359))</f>
        <v/>
      </c>
      <c r="B359" s="5">
        <f>IF($E359="","",INDEX('Input Transaksi'!$D:$D,$E359))</f>
        <v/>
      </c>
      <c r="C359">
        <f>IF($E359="","",INDEX('Input Transaksi'!$E:$E,$E359))</f>
        <v/>
      </c>
      <c r="D359" s="5">
        <f>IF($E359="","",INDEX('Input Transaksi'!$F:$F,$E359))</f>
        <v/>
      </c>
      <c r="E359">
        <f>IFERROR(AGGREGATE(15,6,ROW('Input Transaksi'!$B$5:$B$5000)/('Input Transaksi'!$B$5:$B$5000="CUCI DEWE"),ROWS($E$5:E359)),"")</f>
        <v/>
      </c>
      <c r="F359" s="5" t="n"/>
    </row>
    <row r="360">
      <c r="A360" s="10">
        <f>IF($E360="","",INDEX('Input Transaksi'!$A:$A,$E360))</f>
        <v/>
      </c>
      <c r="B360" s="5">
        <f>IF($E360="","",INDEX('Input Transaksi'!$D:$D,$E360))</f>
        <v/>
      </c>
      <c r="C360">
        <f>IF($E360="","",INDEX('Input Transaksi'!$E:$E,$E360))</f>
        <v/>
      </c>
      <c r="D360" s="5">
        <f>IF($E360="","",INDEX('Input Transaksi'!$F:$F,$E360))</f>
        <v/>
      </c>
      <c r="E360">
        <f>IFERROR(AGGREGATE(15,6,ROW('Input Transaksi'!$B$5:$B$5000)/('Input Transaksi'!$B$5:$B$5000="CUCI DEWE"),ROWS($E$5:E360)),"")</f>
        <v/>
      </c>
      <c r="F360" s="5" t="n"/>
    </row>
    <row r="361">
      <c r="A361" s="10">
        <f>IF($E361="","",INDEX('Input Transaksi'!$A:$A,$E361))</f>
        <v/>
      </c>
      <c r="B361" s="5">
        <f>IF($E361="","",INDEX('Input Transaksi'!$D:$D,$E361))</f>
        <v/>
      </c>
      <c r="C361">
        <f>IF($E361="","",INDEX('Input Transaksi'!$E:$E,$E361))</f>
        <v/>
      </c>
      <c r="D361" s="5">
        <f>IF($E361="","",INDEX('Input Transaksi'!$F:$F,$E361))</f>
        <v/>
      </c>
      <c r="E361">
        <f>IFERROR(AGGREGATE(15,6,ROW('Input Transaksi'!$B$5:$B$5000)/('Input Transaksi'!$B$5:$B$5000="CUCI DEWE"),ROWS($E$5:E361)),"")</f>
        <v/>
      </c>
      <c r="F361" s="5" t="n"/>
    </row>
    <row r="362">
      <c r="A362" s="10">
        <f>IF($E362="","",INDEX('Input Transaksi'!$A:$A,$E362))</f>
        <v/>
      </c>
      <c r="B362" s="5">
        <f>IF($E362="","",INDEX('Input Transaksi'!$D:$D,$E362))</f>
        <v/>
      </c>
      <c r="C362">
        <f>IF($E362="","",INDEX('Input Transaksi'!$E:$E,$E362))</f>
        <v/>
      </c>
      <c r="D362" s="5">
        <f>IF($E362="","",INDEX('Input Transaksi'!$F:$F,$E362))</f>
        <v/>
      </c>
      <c r="E362">
        <f>IFERROR(AGGREGATE(15,6,ROW('Input Transaksi'!$B$5:$B$5000)/('Input Transaksi'!$B$5:$B$5000="CUCI DEWE"),ROWS($E$5:E362)),"")</f>
        <v/>
      </c>
      <c r="F362" s="5" t="n"/>
    </row>
    <row r="363">
      <c r="A363" s="10">
        <f>IF($E363="","",INDEX('Input Transaksi'!$A:$A,$E363))</f>
        <v/>
      </c>
      <c r="B363" s="5">
        <f>IF($E363="","",INDEX('Input Transaksi'!$D:$D,$E363))</f>
        <v/>
      </c>
      <c r="C363">
        <f>IF($E363="","",INDEX('Input Transaksi'!$E:$E,$E363))</f>
        <v/>
      </c>
      <c r="D363" s="5">
        <f>IF($E363="","",INDEX('Input Transaksi'!$F:$F,$E363))</f>
        <v/>
      </c>
      <c r="E363">
        <f>IFERROR(AGGREGATE(15,6,ROW('Input Transaksi'!$B$5:$B$5000)/('Input Transaksi'!$B$5:$B$5000="CUCI DEWE"),ROWS($E$5:E363)),"")</f>
        <v/>
      </c>
      <c r="F363" s="5" t="n"/>
    </row>
    <row r="364">
      <c r="A364" s="10">
        <f>IF($E364="","",INDEX('Input Transaksi'!$A:$A,$E364))</f>
        <v/>
      </c>
      <c r="B364" s="5">
        <f>IF($E364="","",INDEX('Input Transaksi'!$D:$D,$E364))</f>
        <v/>
      </c>
      <c r="C364">
        <f>IF($E364="","",INDEX('Input Transaksi'!$E:$E,$E364))</f>
        <v/>
      </c>
      <c r="D364" s="5">
        <f>IF($E364="","",INDEX('Input Transaksi'!$F:$F,$E364))</f>
        <v/>
      </c>
      <c r="E364">
        <f>IFERROR(AGGREGATE(15,6,ROW('Input Transaksi'!$B$5:$B$5000)/('Input Transaksi'!$B$5:$B$5000="CUCI DEWE"),ROWS($E$5:E364)),"")</f>
        <v/>
      </c>
      <c r="F364" s="5" t="n"/>
    </row>
    <row r="365">
      <c r="A365" s="10">
        <f>IF($E365="","",INDEX('Input Transaksi'!$A:$A,$E365))</f>
        <v/>
      </c>
      <c r="B365" s="5">
        <f>IF($E365="","",INDEX('Input Transaksi'!$D:$D,$E365))</f>
        <v/>
      </c>
      <c r="C365">
        <f>IF($E365="","",INDEX('Input Transaksi'!$E:$E,$E365))</f>
        <v/>
      </c>
      <c r="D365" s="5">
        <f>IF($E365="","",INDEX('Input Transaksi'!$F:$F,$E365))</f>
        <v/>
      </c>
      <c r="E365">
        <f>IFERROR(AGGREGATE(15,6,ROW('Input Transaksi'!$B$5:$B$5000)/('Input Transaksi'!$B$5:$B$5000="CUCI DEWE"),ROWS($E$5:E365)),"")</f>
        <v/>
      </c>
      <c r="F365" s="5" t="n"/>
    </row>
    <row r="366">
      <c r="A366" s="10">
        <f>IF($E366="","",INDEX('Input Transaksi'!$A:$A,$E366))</f>
        <v/>
      </c>
      <c r="B366" s="5">
        <f>IF($E366="","",INDEX('Input Transaksi'!$D:$D,$E366))</f>
        <v/>
      </c>
      <c r="C366">
        <f>IF($E366="","",INDEX('Input Transaksi'!$E:$E,$E366))</f>
        <v/>
      </c>
      <c r="D366" s="5">
        <f>IF($E366="","",INDEX('Input Transaksi'!$F:$F,$E366))</f>
        <v/>
      </c>
      <c r="E366">
        <f>IFERROR(AGGREGATE(15,6,ROW('Input Transaksi'!$B$5:$B$5000)/('Input Transaksi'!$B$5:$B$5000="CUCI DEWE"),ROWS($E$5:E366)),"")</f>
        <v/>
      </c>
      <c r="F366" s="5" t="n"/>
    </row>
    <row r="367">
      <c r="A367" s="10">
        <f>IF($E367="","",INDEX('Input Transaksi'!$A:$A,$E367))</f>
        <v/>
      </c>
      <c r="B367" s="5">
        <f>IF($E367="","",INDEX('Input Transaksi'!$D:$D,$E367))</f>
        <v/>
      </c>
      <c r="C367">
        <f>IF($E367="","",INDEX('Input Transaksi'!$E:$E,$E367))</f>
        <v/>
      </c>
      <c r="D367" s="5">
        <f>IF($E367="","",INDEX('Input Transaksi'!$F:$F,$E367))</f>
        <v/>
      </c>
      <c r="E367">
        <f>IFERROR(AGGREGATE(15,6,ROW('Input Transaksi'!$B$5:$B$5000)/('Input Transaksi'!$B$5:$B$5000="CUCI DEWE"),ROWS($E$5:E367)),"")</f>
        <v/>
      </c>
      <c r="F367" s="5" t="n"/>
    </row>
    <row r="368">
      <c r="A368" s="10">
        <f>IF($E368="","",INDEX('Input Transaksi'!$A:$A,$E368))</f>
        <v/>
      </c>
      <c r="B368" s="5">
        <f>IF($E368="","",INDEX('Input Transaksi'!$D:$D,$E368))</f>
        <v/>
      </c>
      <c r="C368">
        <f>IF($E368="","",INDEX('Input Transaksi'!$E:$E,$E368))</f>
        <v/>
      </c>
      <c r="D368" s="5">
        <f>IF($E368="","",INDEX('Input Transaksi'!$F:$F,$E368))</f>
        <v/>
      </c>
      <c r="E368">
        <f>IFERROR(AGGREGATE(15,6,ROW('Input Transaksi'!$B$5:$B$5000)/('Input Transaksi'!$B$5:$B$5000="CUCI DEWE"),ROWS($E$5:E368)),"")</f>
        <v/>
      </c>
      <c r="F368" s="5" t="n"/>
    </row>
    <row r="369">
      <c r="A369" s="10">
        <f>IF($E369="","",INDEX('Input Transaksi'!$A:$A,$E369))</f>
        <v/>
      </c>
      <c r="B369" s="5">
        <f>IF($E369="","",INDEX('Input Transaksi'!$D:$D,$E369))</f>
        <v/>
      </c>
      <c r="C369">
        <f>IF($E369="","",INDEX('Input Transaksi'!$E:$E,$E369))</f>
        <v/>
      </c>
      <c r="D369" s="5">
        <f>IF($E369="","",INDEX('Input Transaksi'!$F:$F,$E369))</f>
        <v/>
      </c>
      <c r="E369">
        <f>IFERROR(AGGREGATE(15,6,ROW('Input Transaksi'!$B$5:$B$5000)/('Input Transaksi'!$B$5:$B$5000="CUCI DEWE"),ROWS($E$5:E369)),"")</f>
        <v/>
      </c>
      <c r="F369" s="5" t="n"/>
    </row>
    <row r="370">
      <c r="A370" s="10">
        <f>IF($E370="","",INDEX('Input Transaksi'!$A:$A,$E370))</f>
        <v/>
      </c>
      <c r="B370" s="5">
        <f>IF($E370="","",INDEX('Input Transaksi'!$D:$D,$E370))</f>
        <v/>
      </c>
      <c r="C370">
        <f>IF($E370="","",INDEX('Input Transaksi'!$E:$E,$E370))</f>
        <v/>
      </c>
      <c r="D370" s="5">
        <f>IF($E370="","",INDEX('Input Transaksi'!$F:$F,$E370))</f>
        <v/>
      </c>
      <c r="E370">
        <f>IFERROR(AGGREGATE(15,6,ROW('Input Transaksi'!$B$5:$B$5000)/('Input Transaksi'!$B$5:$B$5000="CUCI DEWE"),ROWS($E$5:E370)),"")</f>
        <v/>
      </c>
      <c r="F370" s="5" t="n"/>
    </row>
    <row r="371">
      <c r="A371" s="10">
        <f>IF($E371="","",INDEX('Input Transaksi'!$A:$A,$E371))</f>
        <v/>
      </c>
      <c r="B371" s="5">
        <f>IF($E371="","",INDEX('Input Transaksi'!$D:$D,$E371))</f>
        <v/>
      </c>
      <c r="C371">
        <f>IF($E371="","",INDEX('Input Transaksi'!$E:$E,$E371))</f>
        <v/>
      </c>
      <c r="D371" s="5">
        <f>IF($E371="","",INDEX('Input Transaksi'!$F:$F,$E371))</f>
        <v/>
      </c>
      <c r="E371">
        <f>IFERROR(AGGREGATE(15,6,ROW('Input Transaksi'!$B$5:$B$5000)/('Input Transaksi'!$B$5:$B$5000="CUCI DEWE"),ROWS($E$5:E371)),"")</f>
        <v/>
      </c>
      <c r="F371" s="5" t="n"/>
    </row>
    <row r="372">
      <c r="A372" s="10">
        <f>IF($E372="","",INDEX('Input Transaksi'!$A:$A,$E372))</f>
        <v/>
      </c>
      <c r="B372" s="5">
        <f>IF($E372="","",INDEX('Input Transaksi'!$D:$D,$E372))</f>
        <v/>
      </c>
      <c r="C372">
        <f>IF($E372="","",INDEX('Input Transaksi'!$E:$E,$E372))</f>
        <v/>
      </c>
      <c r="D372" s="5">
        <f>IF($E372="","",INDEX('Input Transaksi'!$F:$F,$E372))</f>
        <v/>
      </c>
      <c r="E372">
        <f>IFERROR(AGGREGATE(15,6,ROW('Input Transaksi'!$B$5:$B$5000)/('Input Transaksi'!$B$5:$B$5000="CUCI DEWE"),ROWS($E$5:E372)),"")</f>
        <v/>
      </c>
      <c r="F372" s="5" t="n"/>
    </row>
    <row r="373">
      <c r="A373" s="10">
        <f>IF($E373="","",INDEX('Input Transaksi'!$A:$A,$E373))</f>
        <v/>
      </c>
      <c r="B373" s="5">
        <f>IF($E373="","",INDEX('Input Transaksi'!$D:$D,$E373))</f>
        <v/>
      </c>
      <c r="C373">
        <f>IF($E373="","",INDEX('Input Transaksi'!$E:$E,$E373))</f>
        <v/>
      </c>
      <c r="D373" s="5">
        <f>IF($E373="","",INDEX('Input Transaksi'!$F:$F,$E373))</f>
        <v/>
      </c>
      <c r="E373">
        <f>IFERROR(AGGREGATE(15,6,ROW('Input Transaksi'!$B$5:$B$5000)/('Input Transaksi'!$B$5:$B$5000="CUCI DEWE"),ROWS($E$5:E373)),"")</f>
        <v/>
      </c>
      <c r="F373" s="5" t="n"/>
    </row>
    <row r="374">
      <c r="A374" s="10">
        <f>IF($E374="","",INDEX('Input Transaksi'!$A:$A,$E374))</f>
        <v/>
      </c>
      <c r="B374" s="5">
        <f>IF($E374="","",INDEX('Input Transaksi'!$D:$D,$E374))</f>
        <v/>
      </c>
      <c r="C374">
        <f>IF($E374="","",INDEX('Input Transaksi'!$E:$E,$E374))</f>
        <v/>
      </c>
      <c r="D374" s="5">
        <f>IF($E374="","",INDEX('Input Transaksi'!$F:$F,$E374))</f>
        <v/>
      </c>
      <c r="E374">
        <f>IFERROR(AGGREGATE(15,6,ROW('Input Transaksi'!$B$5:$B$5000)/('Input Transaksi'!$B$5:$B$5000="CUCI DEWE"),ROWS($E$5:E374)),"")</f>
        <v/>
      </c>
      <c r="F374" s="5" t="n"/>
    </row>
    <row r="375">
      <c r="A375" s="10">
        <f>IF($E375="","",INDEX('Input Transaksi'!$A:$A,$E375))</f>
        <v/>
      </c>
      <c r="B375" s="5">
        <f>IF($E375="","",INDEX('Input Transaksi'!$D:$D,$E375))</f>
        <v/>
      </c>
      <c r="C375">
        <f>IF($E375="","",INDEX('Input Transaksi'!$E:$E,$E375))</f>
        <v/>
      </c>
      <c r="D375" s="5">
        <f>IF($E375="","",INDEX('Input Transaksi'!$F:$F,$E375))</f>
        <v/>
      </c>
      <c r="E375">
        <f>IFERROR(AGGREGATE(15,6,ROW('Input Transaksi'!$B$5:$B$5000)/('Input Transaksi'!$B$5:$B$5000="CUCI DEWE"),ROWS($E$5:E375)),"")</f>
        <v/>
      </c>
      <c r="F375" s="5" t="n"/>
    </row>
    <row r="376">
      <c r="A376" s="10">
        <f>IF($E376="","",INDEX('Input Transaksi'!$A:$A,$E376))</f>
        <v/>
      </c>
      <c r="B376" s="5">
        <f>IF($E376="","",INDEX('Input Transaksi'!$D:$D,$E376))</f>
        <v/>
      </c>
      <c r="C376">
        <f>IF($E376="","",INDEX('Input Transaksi'!$E:$E,$E376))</f>
        <v/>
      </c>
      <c r="D376" s="5">
        <f>IF($E376="","",INDEX('Input Transaksi'!$F:$F,$E376))</f>
        <v/>
      </c>
      <c r="E376">
        <f>IFERROR(AGGREGATE(15,6,ROW('Input Transaksi'!$B$5:$B$5000)/('Input Transaksi'!$B$5:$B$5000="CUCI DEWE"),ROWS($E$5:E376)),"")</f>
        <v/>
      </c>
      <c r="F376" s="5" t="n"/>
    </row>
    <row r="377">
      <c r="A377" s="10">
        <f>IF($E377="","",INDEX('Input Transaksi'!$A:$A,$E377))</f>
        <v/>
      </c>
      <c r="B377" s="5">
        <f>IF($E377="","",INDEX('Input Transaksi'!$D:$D,$E377))</f>
        <v/>
      </c>
      <c r="C377">
        <f>IF($E377="","",INDEX('Input Transaksi'!$E:$E,$E377))</f>
        <v/>
      </c>
      <c r="D377" s="5">
        <f>IF($E377="","",INDEX('Input Transaksi'!$F:$F,$E377))</f>
        <v/>
      </c>
      <c r="E377">
        <f>IFERROR(AGGREGATE(15,6,ROW('Input Transaksi'!$B$5:$B$5000)/('Input Transaksi'!$B$5:$B$5000="CUCI DEWE"),ROWS($E$5:E377)),"")</f>
        <v/>
      </c>
      <c r="F377" s="5" t="n"/>
    </row>
    <row r="378">
      <c r="A378" s="10">
        <f>IF($E378="","",INDEX('Input Transaksi'!$A:$A,$E378))</f>
        <v/>
      </c>
      <c r="B378" s="5">
        <f>IF($E378="","",INDEX('Input Transaksi'!$D:$D,$E378))</f>
        <v/>
      </c>
      <c r="C378">
        <f>IF($E378="","",INDEX('Input Transaksi'!$E:$E,$E378))</f>
        <v/>
      </c>
      <c r="D378" s="5">
        <f>IF($E378="","",INDEX('Input Transaksi'!$F:$F,$E378))</f>
        <v/>
      </c>
      <c r="E378">
        <f>IFERROR(AGGREGATE(15,6,ROW('Input Transaksi'!$B$5:$B$5000)/('Input Transaksi'!$B$5:$B$5000="CUCI DEWE"),ROWS($E$5:E378)),"")</f>
        <v/>
      </c>
      <c r="F378" s="5" t="n"/>
    </row>
    <row r="379">
      <c r="A379" s="10">
        <f>IF($E379="","",INDEX('Input Transaksi'!$A:$A,$E379))</f>
        <v/>
      </c>
      <c r="B379" s="5">
        <f>IF($E379="","",INDEX('Input Transaksi'!$D:$D,$E379))</f>
        <v/>
      </c>
      <c r="C379">
        <f>IF($E379="","",INDEX('Input Transaksi'!$E:$E,$E379))</f>
        <v/>
      </c>
      <c r="D379" s="5">
        <f>IF($E379="","",INDEX('Input Transaksi'!$F:$F,$E379))</f>
        <v/>
      </c>
      <c r="E379">
        <f>IFERROR(AGGREGATE(15,6,ROW('Input Transaksi'!$B$5:$B$5000)/('Input Transaksi'!$B$5:$B$5000="CUCI DEWE"),ROWS($E$5:E379)),"")</f>
        <v/>
      </c>
      <c r="F379" s="5" t="n"/>
    </row>
    <row r="380">
      <c r="A380" s="10">
        <f>IF($E380="","",INDEX('Input Transaksi'!$A:$A,$E380))</f>
        <v/>
      </c>
      <c r="B380" s="5">
        <f>IF($E380="","",INDEX('Input Transaksi'!$D:$D,$E380))</f>
        <v/>
      </c>
      <c r="C380">
        <f>IF($E380="","",INDEX('Input Transaksi'!$E:$E,$E380))</f>
        <v/>
      </c>
      <c r="D380" s="5">
        <f>IF($E380="","",INDEX('Input Transaksi'!$F:$F,$E380))</f>
        <v/>
      </c>
      <c r="E380">
        <f>IFERROR(AGGREGATE(15,6,ROW('Input Transaksi'!$B$5:$B$5000)/('Input Transaksi'!$B$5:$B$5000="CUCI DEWE"),ROWS($E$5:E380)),"")</f>
        <v/>
      </c>
      <c r="F380" s="5" t="n"/>
    </row>
    <row r="381">
      <c r="A381" s="10">
        <f>IF($E381="","",INDEX('Input Transaksi'!$A:$A,$E381))</f>
        <v/>
      </c>
      <c r="B381" s="5">
        <f>IF($E381="","",INDEX('Input Transaksi'!$D:$D,$E381))</f>
        <v/>
      </c>
      <c r="C381">
        <f>IF($E381="","",INDEX('Input Transaksi'!$E:$E,$E381))</f>
        <v/>
      </c>
      <c r="D381" s="5">
        <f>IF($E381="","",INDEX('Input Transaksi'!$F:$F,$E381))</f>
        <v/>
      </c>
      <c r="E381">
        <f>IFERROR(AGGREGATE(15,6,ROW('Input Transaksi'!$B$5:$B$5000)/('Input Transaksi'!$B$5:$B$5000="CUCI DEWE"),ROWS($E$5:E381)),"")</f>
        <v/>
      </c>
      <c r="F381" s="5" t="n"/>
    </row>
    <row r="382">
      <c r="A382" s="10">
        <f>IF($E382="","",INDEX('Input Transaksi'!$A:$A,$E382))</f>
        <v/>
      </c>
      <c r="B382" s="5">
        <f>IF($E382="","",INDEX('Input Transaksi'!$D:$D,$E382))</f>
        <v/>
      </c>
      <c r="C382">
        <f>IF($E382="","",INDEX('Input Transaksi'!$E:$E,$E382))</f>
        <v/>
      </c>
      <c r="D382" s="5">
        <f>IF($E382="","",INDEX('Input Transaksi'!$F:$F,$E382))</f>
        <v/>
      </c>
      <c r="E382">
        <f>IFERROR(AGGREGATE(15,6,ROW('Input Transaksi'!$B$5:$B$5000)/('Input Transaksi'!$B$5:$B$5000="CUCI DEWE"),ROWS($E$5:E382)),"")</f>
        <v/>
      </c>
      <c r="F382" s="5" t="n"/>
    </row>
    <row r="383">
      <c r="A383" s="10">
        <f>IF($E383="","",INDEX('Input Transaksi'!$A:$A,$E383))</f>
        <v/>
      </c>
      <c r="B383" s="5">
        <f>IF($E383="","",INDEX('Input Transaksi'!$D:$D,$E383))</f>
        <v/>
      </c>
      <c r="C383">
        <f>IF($E383="","",INDEX('Input Transaksi'!$E:$E,$E383))</f>
        <v/>
      </c>
      <c r="D383" s="5">
        <f>IF($E383="","",INDEX('Input Transaksi'!$F:$F,$E383))</f>
        <v/>
      </c>
      <c r="E383">
        <f>IFERROR(AGGREGATE(15,6,ROW('Input Transaksi'!$B$5:$B$5000)/('Input Transaksi'!$B$5:$B$5000="CUCI DEWE"),ROWS($E$5:E383)),"")</f>
        <v/>
      </c>
      <c r="F383" s="5" t="n"/>
    </row>
    <row r="384">
      <c r="A384" s="10">
        <f>IF($E384="","",INDEX('Input Transaksi'!$A:$A,$E384))</f>
        <v/>
      </c>
      <c r="B384" s="5">
        <f>IF($E384="","",INDEX('Input Transaksi'!$D:$D,$E384))</f>
        <v/>
      </c>
      <c r="C384">
        <f>IF($E384="","",INDEX('Input Transaksi'!$E:$E,$E384))</f>
        <v/>
      </c>
      <c r="D384" s="5">
        <f>IF($E384="","",INDEX('Input Transaksi'!$F:$F,$E384))</f>
        <v/>
      </c>
      <c r="E384">
        <f>IFERROR(AGGREGATE(15,6,ROW('Input Transaksi'!$B$5:$B$5000)/('Input Transaksi'!$B$5:$B$5000="CUCI DEWE"),ROWS($E$5:E384)),"")</f>
        <v/>
      </c>
      <c r="F384" s="5" t="n"/>
    </row>
    <row r="385">
      <c r="A385" s="10">
        <f>IF($E385="","",INDEX('Input Transaksi'!$A:$A,$E385))</f>
        <v/>
      </c>
      <c r="B385" s="5">
        <f>IF($E385="","",INDEX('Input Transaksi'!$D:$D,$E385))</f>
        <v/>
      </c>
      <c r="C385">
        <f>IF($E385="","",INDEX('Input Transaksi'!$E:$E,$E385))</f>
        <v/>
      </c>
      <c r="D385" s="5">
        <f>IF($E385="","",INDEX('Input Transaksi'!$F:$F,$E385))</f>
        <v/>
      </c>
      <c r="E385">
        <f>IFERROR(AGGREGATE(15,6,ROW('Input Transaksi'!$B$5:$B$5000)/('Input Transaksi'!$B$5:$B$5000="CUCI DEWE"),ROWS($E$5:E385)),"")</f>
        <v/>
      </c>
      <c r="F385" s="5" t="n"/>
    </row>
    <row r="386">
      <c r="A386" s="10">
        <f>IF($E386="","",INDEX('Input Transaksi'!$A:$A,$E386))</f>
        <v/>
      </c>
      <c r="B386" s="5">
        <f>IF($E386="","",INDEX('Input Transaksi'!$D:$D,$E386))</f>
        <v/>
      </c>
      <c r="C386">
        <f>IF($E386="","",INDEX('Input Transaksi'!$E:$E,$E386))</f>
        <v/>
      </c>
      <c r="D386" s="5">
        <f>IF($E386="","",INDEX('Input Transaksi'!$F:$F,$E386))</f>
        <v/>
      </c>
      <c r="E386">
        <f>IFERROR(AGGREGATE(15,6,ROW('Input Transaksi'!$B$5:$B$5000)/('Input Transaksi'!$B$5:$B$5000="CUCI DEWE"),ROWS($E$5:E386)),"")</f>
        <v/>
      </c>
      <c r="F386" s="5" t="n"/>
    </row>
    <row r="387">
      <c r="A387" s="10">
        <f>IF($E387="","",INDEX('Input Transaksi'!$A:$A,$E387))</f>
        <v/>
      </c>
      <c r="B387" s="5">
        <f>IF($E387="","",INDEX('Input Transaksi'!$D:$D,$E387))</f>
        <v/>
      </c>
      <c r="C387">
        <f>IF($E387="","",INDEX('Input Transaksi'!$E:$E,$E387))</f>
        <v/>
      </c>
      <c r="D387" s="5">
        <f>IF($E387="","",INDEX('Input Transaksi'!$F:$F,$E387))</f>
        <v/>
      </c>
      <c r="E387">
        <f>IFERROR(AGGREGATE(15,6,ROW('Input Transaksi'!$B$5:$B$5000)/('Input Transaksi'!$B$5:$B$5000="CUCI DEWE"),ROWS($E$5:E387)),"")</f>
        <v/>
      </c>
      <c r="F387" s="5" t="n"/>
    </row>
    <row r="388">
      <c r="A388" s="10">
        <f>IF($E388="","",INDEX('Input Transaksi'!$A:$A,$E388))</f>
        <v/>
      </c>
      <c r="B388" s="5">
        <f>IF($E388="","",INDEX('Input Transaksi'!$D:$D,$E388))</f>
        <v/>
      </c>
      <c r="C388">
        <f>IF($E388="","",INDEX('Input Transaksi'!$E:$E,$E388))</f>
        <v/>
      </c>
      <c r="D388" s="5">
        <f>IF($E388="","",INDEX('Input Transaksi'!$F:$F,$E388))</f>
        <v/>
      </c>
      <c r="E388">
        <f>IFERROR(AGGREGATE(15,6,ROW('Input Transaksi'!$B$5:$B$5000)/('Input Transaksi'!$B$5:$B$5000="CUCI DEWE"),ROWS($E$5:E388)),"")</f>
        <v/>
      </c>
      <c r="F388" s="5" t="n"/>
    </row>
    <row r="389">
      <c r="A389" s="10">
        <f>IF($E389="","",INDEX('Input Transaksi'!$A:$A,$E389))</f>
        <v/>
      </c>
      <c r="B389" s="5">
        <f>IF($E389="","",INDEX('Input Transaksi'!$D:$D,$E389))</f>
        <v/>
      </c>
      <c r="C389">
        <f>IF($E389="","",INDEX('Input Transaksi'!$E:$E,$E389))</f>
        <v/>
      </c>
      <c r="D389" s="5">
        <f>IF($E389="","",INDEX('Input Transaksi'!$F:$F,$E389))</f>
        <v/>
      </c>
      <c r="E389">
        <f>IFERROR(AGGREGATE(15,6,ROW('Input Transaksi'!$B$5:$B$5000)/('Input Transaksi'!$B$5:$B$5000="CUCI DEWE"),ROWS($E$5:E389)),"")</f>
        <v/>
      </c>
      <c r="F389" s="5" t="n"/>
    </row>
    <row r="390">
      <c r="A390" s="10">
        <f>IF($E390="","",INDEX('Input Transaksi'!$A:$A,$E390))</f>
        <v/>
      </c>
      <c r="B390" s="5">
        <f>IF($E390="","",INDEX('Input Transaksi'!$D:$D,$E390))</f>
        <v/>
      </c>
      <c r="C390">
        <f>IF($E390="","",INDEX('Input Transaksi'!$E:$E,$E390))</f>
        <v/>
      </c>
      <c r="D390" s="5">
        <f>IF($E390="","",INDEX('Input Transaksi'!$F:$F,$E390))</f>
        <v/>
      </c>
      <c r="E390">
        <f>IFERROR(AGGREGATE(15,6,ROW('Input Transaksi'!$B$5:$B$5000)/('Input Transaksi'!$B$5:$B$5000="CUCI DEWE"),ROWS($E$5:E390)),"")</f>
        <v/>
      </c>
      <c r="F390" s="5" t="n"/>
    </row>
    <row r="391">
      <c r="A391" s="10">
        <f>IF($E391="","",INDEX('Input Transaksi'!$A:$A,$E391))</f>
        <v/>
      </c>
      <c r="B391" s="5">
        <f>IF($E391="","",INDEX('Input Transaksi'!$D:$D,$E391))</f>
        <v/>
      </c>
      <c r="C391">
        <f>IF($E391="","",INDEX('Input Transaksi'!$E:$E,$E391))</f>
        <v/>
      </c>
      <c r="D391" s="5">
        <f>IF($E391="","",INDEX('Input Transaksi'!$F:$F,$E391))</f>
        <v/>
      </c>
      <c r="E391">
        <f>IFERROR(AGGREGATE(15,6,ROW('Input Transaksi'!$B$5:$B$5000)/('Input Transaksi'!$B$5:$B$5000="CUCI DEWE"),ROWS($E$5:E391)),"")</f>
        <v/>
      </c>
      <c r="F391" s="5" t="n"/>
    </row>
    <row r="392">
      <c r="A392" s="10">
        <f>IF($E392="","",INDEX('Input Transaksi'!$A:$A,$E392))</f>
        <v/>
      </c>
      <c r="B392" s="5">
        <f>IF($E392="","",INDEX('Input Transaksi'!$D:$D,$E392))</f>
        <v/>
      </c>
      <c r="C392">
        <f>IF($E392="","",INDEX('Input Transaksi'!$E:$E,$E392))</f>
        <v/>
      </c>
      <c r="D392" s="5">
        <f>IF($E392="","",INDEX('Input Transaksi'!$F:$F,$E392))</f>
        <v/>
      </c>
      <c r="E392">
        <f>IFERROR(AGGREGATE(15,6,ROW('Input Transaksi'!$B$5:$B$5000)/('Input Transaksi'!$B$5:$B$5000="CUCI DEWE"),ROWS($E$5:E392)),"")</f>
        <v/>
      </c>
      <c r="F392" s="5" t="n"/>
    </row>
    <row r="393">
      <c r="A393" s="10">
        <f>IF($E393="","",INDEX('Input Transaksi'!$A:$A,$E393))</f>
        <v/>
      </c>
      <c r="B393" s="5">
        <f>IF($E393="","",INDEX('Input Transaksi'!$D:$D,$E393))</f>
        <v/>
      </c>
      <c r="C393">
        <f>IF($E393="","",INDEX('Input Transaksi'!$E:$E,$E393))</f>
        <v/>
      </c>
      <c r="D393" s="5">
        <f>IF($E393="","",INDEX('Input Transaksi'!$F:$F,$E393))</f>
        <v/>
      </c>
      <c r="E393">
        <f>IFERROR(AGGREGATE(15,6,ROW('Input Transaksi'!$B$5:$B$5000)/('Input Transaksi'!$B$5:$B$5000="CUCI DEWE"),ROWS($E$5:E393)),"")</f>
        <v/>
      </c>
      <c r="F393" s="5" t="n"/>
    </row>
    <row r="394">
      <c r="A394" s="10">
        <f>IF($E394="","",INDEX('Input Transaksi'!$A:$A,$E394))</f>
        <v/>
      </c>
      <c r="B394" s="5">
        <f>IF($E394="","",INDEX('Input Transaksi'!$D:$D,$E394))</f>
        <v/>
      </c>
      <c r="C394">
        <f>IF($E394="","",INDEX('Input Transaksi'!$E:$E,$E394))</f>
        <v/>
      </c>
      <c r="D394" s="5">
        <f>IF($E394="","",INDEX('Input Transaksi'!$F:$F,$E394))</f>
        <v/>
      </c>
      <c r="E394">
        <f>IFERROR(AGGREGATE(15,6,ROW('Input Transaksi'!$B$5:$B$5000)/('Input Transaksi'!$B$5:$B$5000="CUCI DEWE"),ROWS($E$5:E394)),"")</f>
        <v/>
      </c>
      <c r="F394" s="5" t="n"/>
    </row>
    <row r="395">
      <c r="A395" s="10">
        <f>IF($E395="","",INDEX('Input Transaksi'!$A:$A,$E395))</f>
        <v/>
      </c>
      <c r="B395" s="5">
        <f>IF($E395="","",INDEX('Input Transaksi'!$D:$D,$E395))</f>
        <v/>
      </c>
      <c r="C395">
        <f>IF($E395="","",INDEX('Input Transaksi'!$E:$E,$E395))</f>
        <v/>
      </c>
      <c r="D395" s="5">
        <f>IF($E395="","",INDEX('Input Transaksi'!$F:$F,$E395))</f>
        <v/>
      </c>
      <c r="E395">
        <f>IFERROR(AGGREGATE(15,6,ROW('Input Transaksi'!$B$5:$B$5000)/('Input Transaksi'!$B$5:$B$5000="CUCI DEWE"),ROWS($E$5:E395)),"")</f>
        <v/>
      </c>
      <c r="F395" s="5" t="n"/>
    </row>
    <row r="396">
      <c r="A396" s="10">
        <f>IF($E396="","",INDEX('Input Transaksi'!$A:$A,$E396))</f>
        <v/>
      </c>
      <c r="B396" s="5">
        <f>IF($E396="","",INDEX('Input Transaksi'!$D:$D,$E396))</f>
        <v/>
      </c>
      <c r="C396">
        <f>IF($E396="","",INDEX('Input Transaksi'!$E:$E,$E396))</f>
        <v/>
      </c>
      <c r="D396" s="5">
        <f>IF($E396="","",INDEX('Input Transaksi'!$F:$F,$E396))</f>
        <v/>
      </c>
      <c r="E396">
        <f>IFERROR(AGGREGATE(15,6,ROW('Input Transaksi'!$B$5:$B$5000)/('Input Transaksi'!$B$5:$B$5000="CUCI DEWE"),ROWS($E$5:E396)),"")</f>
        <v/>
      </c>
      <c r="F396" s="5" t="n"/>
    </row>
    <row r="397">
      <c r="A397" s="10">
        <f>IF($E397="","",INDEX('Input Transaksi'!$A:$A,$E397))</f>
        <v/>
      </c>
      <c r="B397" s="5">
        <f>IF($E397="","",INDEX('Input Transaksi'!$D:$D,$E397))</f>
        <v/>
      </c>
      <c r="C397">
        <f>IF($E397="","",INDEX('Input Transaksi'!$E:$E,$E397))</f>
        <v/>
      </c>
      <c r="D397" s="5">
        <f>IF($E397="","",INDEX('Input Transaksi'!$F:$F,$E397))</f>
        <v/>
      </c>
      <c r="E397">
        <f>IFERROR(AGGREGATE(15,6,ROW('Input Transaksi'!$B$5:$B$5000)/('Input Transaksi'!$B$5:$B$5000="CUCI DEWE"),ROWS($E$5:E397)),"")</f>
        <v/>
      </c>
      <c r="F397" s="5" t="n"/>
    </row>
    <row r="398">
      <c r="A398" s="10">
        <f>IF($E398="","",INDEX('Input Transaksi'!$A:$A,$E398))</f>
        <v/>
      </c>
      <c r="B398" s="5">
        <f>IF($E398="","",INDEX('Input Transaksi'!$D:$D,$E398))</f>
        <v/>
      </c>
      <c r="C398">
        <f>IF($E398="","",INDEX('Input Transaksi'!$E:$E,$E398))</f>
        <v/>
      </c>
      <c r="D398" s="5">
        <f>IF($E398="","",INDEX('Input Transaksi'!$F:$F,$E398))</f>
        <v/>
      </c>
      <c r="E398">
        <f>IFERROR(AGGREGATE(15,6,ROW('Input Transaksi'!$B$5:$B$5000)/('Input Transaksi'!$B$5:$B$5000="CUCI DEWE"),ROWS($E$5:E398)),"")</f>
        <v/>
      </c>
      <c r="F398" s="5" t="n"/>
    </row>
    <row r="399">
      <c r="A399" s="10">
        <f>IF($E399="","",INDEX('Input Transaksi'!$A:$A,$E399))</f>
        <v/>
      </c>
      <c r="B399" s="5">
        <f>IF($E399="","",INDEX('Input Transaksi'!$D:$D,$E399))</f>
        <v/>
      </c>
      <c r="C399">
        <f>IF($E399="","",INDEX('Input Transaksi'!$E:$E,$E399))</f>
        <v/>
      </c>
      <c r="D399" s="5">
        <f>IF($E399="","",INDEX('Input Transaksi'!$F:$F,$E399))</f>
        <v/>
      </c>
      <c r="E399">
        <f>IFERROR(AGGREGATE(15,6,ROW('Input Transaksi'!$B$5:$B$5000)/('Input Transaksi'!$B$5:$B$5000="CUCI DEWE"),ROWS($E$5:E399)),"")</f>
        <v/>
      </c>
      <c r="F399" s="5" t="n"/>
    </row>
    <row r="400">
      <c r="A400" s="10">
        <f>IF($E400="","",INDEX('Input Transaksi'!$A:$A,$E400))</f>
        <v/>
      </c>
      <c r="B400" s="5">
        <f>IF($E400="","",INDEX('Input Transaksi'!$D:$D,$E400))</f>
        <v/>
      </c>
      <c r="C400">
        <f>IF($E400="","",INDEX('Input Transaksi'!$E:$E,$E400))</f>
        <v/>
      </c>
      <c r="D400" s="5">
        <f>IF($E400="","",INDEX('Input Transaksi'!$F:$F,$E400))</f>
        <v/>
      </c>
      <c r="E400">
        <f>IFERROR(AGGREGATE(15,6,ROW('Input Transaksi'!$B$5:$B$5000)/('Input Transaksi'!$B$5:$B$5000="CUCI DEWE"),ROWS($E$5:E400)),"")</f>
        <v/>
      </c>
      <c r="F400" s="5" t="n"/>
    </row>
    <row r="401">
      <c r="A401" s="10">
        <f>IF($E401="","",INDEX('Input Transaksi'!$A:$A,$E401))</f>
        <v/>
      </c>
      <c r="B401" s="5">
        <f>IF($E401="","",INDEX('Input Transaksi'!$D:$D,$E401))</f>
        <v/>
      </c>
      <c r="C401">
        <f>IF($E401="","",INDEX('Input Transaksi'!$E:$E,$E401))</f>
        <v/>
      </c>
      <c r="D401" s="5">
        <f>IF($E401="","",INDEX('Input Transaksi'!$F:$F,$E401))</f>
        <v/>
      </c>
      <c r="E401">
        <f>IFERROR(AGGREGATE(15,6,ROW('Input Transaksi'!$B$5:$B$5000)/('Input Transaksi'!$B$5:$B$5000="CUCI DEWE"),ROWS($E$5:E401)),"")</f>
        <v/>
      </c>
      <c r="F401" s="5" t="n"/>
    </row>
    <row r="402">
      <c r="A402" s="10">
        <f>IF($E402="","",INDEX('Input Transaksi'!$A:$A,$E402))</f>
        <v/>
      </c>
      <c r="B402" s="5">
        <f>IF($E402="","",INDEX('Input Transaksi'!$D:$D,$E402))</f>
        <v/>
      </c>
      <c r="C402">
        <f>IF($E402="","",INDEX('Input Transaksi'!$E:$E,$E402))</f>
        <v/>
      </c>
      <c r="D402" s="5">
        <f>IF($E402="","",INDEX('Input Transaksi'!$F:$F,$E402))</f>
        <v/>
      </c>
      <c r="E402">
        <f>IFERROR(AGGREGATE(15,6,ROW('Input Transaksi'!$B$5:$B$5000)/('Input Transaksi'!$B$5:$B$5000="CUCI DEWE"),ROWS($E$5:E402)),"")</f>
        <v/>
      </c>
      <c r="F402" s="5" t="n"/>
    </row>
    <row r="403">
      <c r="A403" s="10">
        <f>IF($E403="","",INDEX('Input Transaksi'!$A:$A,$E403))</f>
        <v/>
      </c>
      <c r="B403" s="5">
        <f>IF($E403="","",INDEX('Input Transaksi'!$D:$D,$E403))</f>
        <v/>
      </c>
      <c r="C403">
        <f>IF($E403="","",INDEX('Input Transaksi'!$E:$E,$E403))</f>
        <v/>
      </c>
      <c r="D403" s="5">
        <f>IF($E403="","",INDEX('Input Transaksi'!$F:$F,$E403))</f>
        <v/>
      </c>
      <c r="E403">
        <f>IFERROR(AGGREGATE(15,6,ROW('Input Transaksi'!$B$5:$B$5000)/('Input Transaksi'!$B$5:$B$5000="CUCI DEWE"),ROWS($E$5:E403)),"")</f>
        <v/>
      </c>
      <c r="F403" s="5" t="n"/>
    </row>
    <row r="404">
      <c r="A404" s="10">
        <f>IF($E404="","",INDEX('Input Transaksi'!$A:$A,$E404))</f>
        <v/>
      </c>
      <c r="B404" s="5">
        <f>IF($E404="","",INDEX('Input Transaksi'!$D:$D,$E404))</f>
        <v/>
      </c>
      <c r="C404">
        <f>IF($E404="","",INDEX('Input Transaksi'!$E:$E,$E404))</f>
        <v/>
      </c>
      <c r="D404" s="5">
        <f>IF($E404="","",INDEX('Input Transaksi'!$F:$F,$E404))</f>
        <v/>
      </c>
      <c r="E404">
        <f>IFERROR(AGGREGATE(15,6,ROW('Input Transaksi'!$B$5:$B$5000)/('Input Transaksi'!$B$5:$B$5000="CUCI DEWE"),ROWS($E$5:E404)),"")</f>
        <v/>
      </c>
      <c r="F404" s="5" t="n"/>
    </row>
    <row r="405">
      <c r="A405" s="10">
        <f>IF($E405="","",INDEX('Input Transaksi'!$A:$A,$E405))</f>
        <v/>
      </c>
      <c r="B405" s="5">
        <f>IF($E405="","",INDEX('Input Transaksi'!$D:$D,$E405))</f>
        <v/>
      </c>
      <c r="C405">
        <f>IF($E405="","",INDEX('Input Transaksi'!$E:$E,$E405))</f>
        <v/>
      </c>
      <c r="D405" s="5">
        <f>IF($E405="","",INDEX('Input Transaksi'!$F:$F,$E405))</f>
        <v/>
      </c>
      <c r="E405">
        <f>IFERROR(AGGREGATE(15,6,ROW('Input Transaksi'!$B$5:$B$5000)/('Input Transaksi'!$B$5:$B$5000="CUCI DEWE"),ROWS($E$5:E405)),"")</f>
        <v/>
      </c>
      <c r="F405" s="5" t="n"/>
    </row>
    <row r="406">
      <c r="A406" s="10">
        <f>IF($E406="","",INDEX('Input Transaksi'!$A:$A,$E406))</f>
        <v/>
      </c>
      <c r="B406" s="5">
        <f>IF($E406="","",INDEX('Input Transaksi'!$D:$D,$E406))</f>
        <v/>
      </c>
      <c r="C406">
        <f>IF($E406="","",INDEX('Input Transaksi'!$E:$E,$E406))</f>
        <v/>
      </c>
      <c r="D406" s="5">
        <f>IF($E406="","",INDEX('Input Transaksi'!$F:$F,$E406))</f>
        <v/>
      </c>
      <c r="E406">
        <f>IFERROR(AGGREGATE(15,6,ROW('Input Transaksi'!$B$5:$B$5000)/('Input Transaksi'!$B$5:$B$5000="CUCI DEWE"),ROWS($E$5:E406)),"")</f>
        <v/>
      </c>
      <c r="F406" s="5" t="n"/>
    </row>
    <row r="407">
      <c r="A407" s="10">
        <f>IF($E407="","",INDEX('Input Transaksi'!$A:$A,$E407))</f>
        <v/>
      </c>
      <c r="B407" s="5">
        <f>IF($E407="","",INDEX('Input Transaksi'!$D:$D,$E407))</f>
        <v/>
      </c>
      <c r="C407">
        <f>IF($E407="","",INDEX('Input Transaksi'!$E:$E,$E407))</f>
        <v/>
      </c>
      <c r="D407" s="5">
        <f>IF($E407="","",INDEX('Input Transaksi'!$F:$F,$E407))</f>
        <v/>
      </c>
      <c r="E407">
        <f>IFERROR(AGGREGATE(15,6,ROW('Input Transaksi'!$B$5:$B$5000)/('Input Transaksi'!$B$5:$B$5000="CUCI DEWE"),ROWS($E$5:E407)),"")</f>
        <v/>
      </c>
      <c r="F407" s="5" t="n"/>
    </row>
    <row r="408">
      <c r="A408" s="10">
        <f>IF($E408="","",INDEX('Input Transaksi'!$A:$A,$E408))</f>
        <v/>
      </c>
      <c r="B408" s="5">
        <f>IF($E408="","",INDEX('Input Transaksi'!$D:$D,$E408))</f>
        <v/>
      </c>
      <c r="C408">
        <f>IF($E408="","",INDEX('Input Transaksi'!$E:$E,$E408))</f>
        <v/>
      </c>
      <c r="D408" s="5">
        <f>IF($E408="","",INDEX('Input Transaksi'!$F:$F,$E408))</f>
        <v/>
      </c>
      <c r="E408">
        <f>IFERROR(AGGREGATE(15,6,ROW('Input Transaksi'!$B$5:$B$5000)/('Input Transaksi'!$B$5:$B$5000="CUCI DEWE"),ROWS($E$5:E408)),"")</f>
        <v/>
      </c>
      <c r="F408" s="5" t="n"/>
    </row>
    <row r="409">
      <c r="A409" s="10">
        <f>IF($E409="","",INDEX('Input Transaksi'!$A:$A,$E409))</f>
        <v/>
      </c>
      <c r="B409" s="5">
        <f>IF($E409="","",INDEX('Input Transaksi'!$D:$D,$E409))</f>
        <v/>
      </c>
      <c r="C409">
        <f>IF($E409="","",INDEX('Input Transaksi'!$E:$E,$E409))</f>
        <v/>
      </c>
      <c r="D409" s="5">
        <f>IF($E409="","",INDEX('Input Transaksi'!$F:$F,$E409))</f>
        <v/>
      </c>
      <c r="E409">
        <f>IFERROR(AGGREGATE(15,6,ROW('Input Transaksi'!$B$5:$B$5000)/('Input Transaksi'!$B$5:$B$5000="CUCI DEWE"),ROWS($E$5:E409)),"")</f>
        <v/>
      </c>
      <c r="F409" s="5" t="n"/>
    </row>
    <row r="410">
      <c r="A410" s="10">
        <f>IF($E410="","",INDEX('Input Transaksi'!$A:$A,$E410))</f>
        <v/>
      </c>
      <c r="B410" s="5">
        <f>IF($E410="","",INDEX('Input Transaksi'!$D:$D,$E410))</f>
        <v/>
      </c>
      <c r="C410">
        <f>IF($E410="","",INDEX('Input Transaksi'!$E:$E,$E410))</f>
        <v/>
      </c>
      <c r="D410" s="5">
        <f>IF($E410="","",INDEX('Input Transaksi'!$F:$F,$E410))</f>
        <v/>
      </c>
      <c r="E410">
        <f>IFERROR(AGGREGATE(15,6,ROW('Input Transaksi'!$B$5:$B$5000)/('Input Transaksi'!$B$5:$B$5000="CUCI DEWE"),ROWS($E$5:E410)),"")</f>
        <v/>
      </c>
      <c r="F410" s="5" t="n"/>
    </row>
    <row r="411">
      <c r="A411" s="10">
        <f>IF($E411="","",INDEX('Input Transaksi'!$A:$A,$E411))</f>
        <v/>
      </c>
      <c r="B411" s="5">
        <f>IF($E411="","",INDEX('Input Transaksi'!$D:$D,$E411))</f>
        <v/>
      </c>
      <c r="C411">
        <f>IF($E411="","",INDEX('Input Transaksi'!$E:$E,$E411))</f>
        <v/>
      </c>
      <c r="D411" s="5">
        <f>IF($E411="","",INDEX('Input Transaksi'!$F:$F,$E411))</f>
        <v/>
      </c>
      <c r="E411">
        <f>IFERROR(AGGREGATE(15,6,ROW('Input Transaksi'!$B$5:$B$5000)/('Input Transaksi'!$B$5:$B$5000="CUCI DEWE"),ROWS($E$5:E411)),"")</f>
        <v/>
      </c>
      <c r="F411" s="5" t="n"/>
    </row>
    <row r="412">
      <c r="A412" s="10">
        <f>IF($E412="","",INDEX('Input Transaksi'!$A:$A,$E412))</f>
        <v/>
      </c>
      <c r="B412" s="5">
        <f>IF($E412="","",INDEX('Input Transaksi'!$D:$D,$E412))</f>
        <v/>
      </c>
      <c r="C412">
        <f>IF($E412="","",INDEX('Input Transaksi'!$E:$E,$E412))</f>
        <v/>
      </c>
      <c r="D412" s="5">
        <f>IF($E412="","",INDEX('Input Transaksi'!$F:$F,$E412))</f>
        <v/>
      </c>
      <c r="E412">
        <f>IFERROR(AGGREGATE(15,6,ROW('Input Transaksi'!$B$5:$B$5000)/('Input Transaksi'!$B$5:$B$5000="CUCI DEWE"),ROWS($E$5:E412)),"")</f>
        <v/>
      </c>
      <c r="F412" s="5" t="n"/>
    </row>
    <row r="413">
      <c r="A413" s="10">
        <f>IF($E413="","",INDEX('Input Transaksi'!$A:$A,$E413))</f>
        <v/>
      </c>
      <c r="B413" s="5">
        <f>IF($E413="","",INDEX('Input Transaksi'!$D:$D,$E413))</f>
        <v/>
      </c>
      <c r="C413">
        <f>IF($E413="","",INDEX('Input Transaksi'!$E:$E,$E413))</f>
        <v/>
      </c>
      <c r="D413" s="5">
        <f>IF($E413="","",INDEX('Input Transaksi'!$F:$F,$E413))</f>
        <v/>
      </c>
      <c r="E413">
        <f>IFERROR(AGGREGATE(15,6,ROW('Input Transaksi'!$B$5:$B$5000)/('Input Transaksi'!$B$5:$B$5000="CUCI DEWE"),ROWS($E$5:E413)),"")</f>
        <v/>
      </c>
      <c r="F413" s="5" t="n"/>
    </row>
    <row r="414">
      <c r="A414" s="10">
        <f>IF($E414="","",INDEX('Input Transaksi'!$A:$A,$E414))</f>
        <v/>
      </c>
      <c r="B414" s="5">
        <f>IF($E414="","",INDEX('Input Transaksi'!$D:$D,$E414))</f>
        <v/>
      </c>
      <c r="C414">
        <f>IF($E414="","",INDEX('Input Transaksi'!$E:$E,$E414))</f>
        <v/>
      </c>
      <c r="D414" s="5">
        <f>IF($E414="","",INDEX('Input Transaksi'!$F:$F,$E414))</f>
        <v/>
      </c>
      <c r="E414">
        <f>IFERROR(AGGREGATE(15,6,ROW('Input Transaksi'!$B$5:$B$5000)/('Input Transaksi'!$B$5:$B$5000="CUCI DEWE"),ROWS($E$5:E414)),"")</f>
        <v/>
      </c>
      <c r="F414" s="5" t="n"/>
    </row>
    <row r="415">
      <c r="A415" s="10">
        <f>IF($E415="","",INDEX('Input Transaksi'!$A:$A,$E415))</f>
        <v/>
      </c>
      <c r="B415" s="5">
        <f>IF($E415="","",INDEX('Input Transaksi'!$D:$D,$E415))</f>
        <v/>
      </c>
      <c r="C415">
        <f>IF($E415="","",INDEX('Input Transaksi'!$E:$E,$E415))</f>
        <v/>
      </c>
      <c r="D415" s="5">
        <f>IF($E415="","",INDEX('Input Transaksi'!$F:$F,$E415))</f>
        <v/>
      </c>
      <c r="E415">
        <f>IFERROR(AGGREGATE(15,6,ROW('Input Transaksi'!$B$5:$B$5000)/('Input Transaksi'!$B$5:$B$5000="CUCI DEWE"),ROWS($E$5:E415)),"")</f>
        <v/>
      </c>
      <c r="F415" s="5" t="n"/>
    </row>
    <row r="416">
      <c r="A416" s="10">
        <f>IF($E416="","",INDEX('Input Transaksi'!$A:$A,$E416))</f>
        <v/>
      </c>
      <c r="B416" s="5">
        <f>IF($E416="","",INDEX('Input Transaksi'!$D:$D,$E416))</f>
        <v/>
      </c>
      <c r="C416">
        <f>IF($E416="","",INDEX('Input Transaksi'!$E:$E,$E416))</f>
        <v/>
      </c>
      <c r="D416" s="5">
        <f>IF($E416="","",INDEX('Input Transaksi'!$F:$F,$E416))</f>
        <v/>
      </c>
      <c r="E416">
        <f>IFERROR(AGGREGATE(15,6,ROW('Input Transaksi'!$B$5:$B$5000)/('Input Transaksi'!$B$5:$B$5000="CUCI DEWE"),ROWS($E$5:E416)),"")</f>
        <v/>
      </c>
      <c r="F416" s="5" t="n"/>
    </row>
    <row r="417">
      <c r="A417" s="10">
        <f>IF($E417="","",INDEX('Input Transaksi'!$A:$A,$E417))</f>
        <v/>
      </c>
      <c r="B417" s="5">
        <f>IF($E417="","",INDEX('Input Transaksi'!$D:$D,$E417))</f>
        <v/>
      </c>
      <c r="C417">
        <f>IF($E417="","",INDEX('Input Transaksi'!$E:$E,$E417))</f>
        <v/>
      </c>
      <c r="D417" s="5">
        <f>IF($E417="","",INDEX('Input Transaksi'!$F:$F,$E417))</f>
        <v/>
      </c>
      <c r="E417">
        <f>IFERROR(AGGREGATE(15,6,ROW('Input Transaksi'!$B$5:$B$5000)/('Input Transaksi'!$B$5:$B$5000="CUCI DEWE"),ROWS($E$5:E417)),"")</f>
        <v/>
      </c>
      <c r="F417" s="5" t="n"/>
    </row>
    <row r="418">
      <c r="A418" s="10">
        <f>IF($E418="","",INDEX('Input Transaksi'!$A:$A,$E418))</f>
        <v/>
      </c>
      <c r="B418" s="5">
        <f>IF($E418="","",INDEX('Input Transaksi'!$D:$D,$E418))</f>
        <v/>
      </c>
      <c r="C418">
        <f>IF($E418="","",INDEX('Input Transaksi'!$E:$E,$E418))</f>
        <v/>
      </c>
      <c r="D418" s="5">
        <f>IF($E418="","",INDEX('Input Transaksi'!$F:$F,$E418))</f>
        <v/>
      </c>
      <c r="E418">
        <f>IFERROR(AGGREGATE(15,6,ROW('Input Transaksi'!$B$5:$B$5000)/('Input Transaksi'!$B$5:$B$5000="CUCI DEWE"),ROWS($E$5:E418)),"")</f>
        <v/>
      </c>
      <c r="F418" s="5" t="n"/>
    </row>
    <row r="419">
      <c r="A419" s="10">
        <f>IF($E419="","",INDEX('Input Transaksi'!$A:$A,$E419))</f>
        <v/>
      </c>
      <c r="B419" s="5">
        <f>IF($E419="","",INDEX('Input Transaksi'!$D:$D,$E419))</f>
        <v/>
      </c>
      <c r="C419">
        <f>IF($E419="","",INDEX('Input Transaksi'!$E:$E,$E419))</f>
        <v/>
      </c>
      <c r="D419" s="5">
        <f>IF($E419="","",INDEX('Input Transaksi'!$F:$F,$E419))</f>
        <v/>
      </c>
      <c r="E419">
        <f>IFERROR(AGGREGATE(15,6,ROW('Input Transaksi'!$B$5:$B$5000)/('Input Transaksi'!$B$5:$B$5000="CUCI DEWE"),ROWS($E$5:E419)),"")</f>
        <v/>
      </c>
      <c r="F419" s="5" t="n"/>
    </row>
    <row r="420">
      <c r="A420" s="10">
        <f>IF($E420="","",INDEX('Input Transaksi'!$A:$A,$E420))</f>
        <v/>
      </c>
      <c r="B420" s="5">
        <f>IF($E420="","",INDEX('Input Transaksi'!$D:$D,$E420))</f>
        <v/>
      </c>
      <c r="C420">
        <f>IF($E420="","",INDEX('Input Transaksi'!$E:$E,$E420))</f>
        <v/>
      </c>
      <c r="D420" s="5">
        <f>IF($E420="","",INDEX('Input Transaksi'!$F:$F,$E420))</f>
        <v/>
      </c>
      <c r="E420">
        <f>IFERROR(AGGREGATE(15,6,ROW('Input Transaksi'!$B$5:$B$5000)/('Input Transaksi'!$B$5:$B$5000="CUCI DEWE"),ROWS($E$5:E420)),"")</f>
        <v/>
      </c>
      <c r="F420" s="5" t="n"/>
    </row>
    <row r="421">
      <c r="A421" s="10">
        <f>IF($E421="","",INDEX('Input Transaksi'!$A:$A,$E421))</f>
        <v/>
      </c>
      <c r="B421" s="5">
        <f>IF($E421="","",INDEX('Input Transaksi'!$D:$D,$E421))</f>
        <v/>
      </c>
      <c r="C421">
        <f>IF($E421="","",INDEX('Input Transaksi'!$E:$E,$E421))</f>
        <v/>
      </c>
      <c r="D421" s="5">
        <f>IF($E421="","",INDEX('Input Transaksi'!$F:$F,$E421))</f>
        <v/>
      </c>
      <c r="E421">
        <f>IFERROR(AGGREGATE(15,6,ROW('Input Transaksi'!$B$5:$B$5000)/('Input Transaksi'!$B$5:$B$5000="CUCI DEWE"),ROWS($E$5:E421)),"")</f>
        <v/>
      </c>
      <c r="F421" s="5" t="n"/>
    </row>
    <row r="422">
      <c r="A422" s="10">
        <f>IF($E422="","",INDEX('Input Transaksi'!$A:$A,$E422))</f>
        <v/>
      </c>
      <c r="B422" s="5">
        <f>IF($E422="","",INDEX('Input Transaksi'!$D:$D,$E422))</f>
        <v/>
      </c>
      <c r="C422">
        <f>IF($E422="","",INDEX('Input Transaksi'!$E:$E,$E422))</f>
        <v/>
      </c>
      <c r="D422" s="5">
        <f>IF($E422="","",INDEX('Input Transaksi'!$F:$F,$E422))</f>
        <v/>
      </c>
      <c r="E422">
        <f>IFERROR(AGGREGATE(15,6,ROW('Input Transaksi'!$B$5:$B$5000)/('Input Transaksi'!$B$5:$B$5000="CUCI DEWE"),ROWS($E$5:E422)),"")</f>
        <v/>
      </c>
      <c r="F422" s="5" t="n"/>
    </row>
    <row r="423">
      <c r="A423" s="10">
        <f>IF($E423="","",INDEX('Input Transaksi'!$A:$A,$E423))</f>
        <v/>
      </c>
      <c r="B423" s="5">
        <f>IF($E423="","",INDEX('Input Transaksi'!$D:$D,$E423))</f>
        <v/>
      </c>
      <c r="C423">
        <f>IF($E423="","",INDEX('Input Transaksi'!$E:$E,$E423))</f>
        <v/>
      </c>
      <c r="D423" s="5">
        <f>IF($E423="","",INDEX('Input Transaksi'!$F:$F,$E423))</f>
        <v/>
      </c>
      <c r="E423">
        <f>IFERROR(AGGREGATE(15,6,ROW('Input Transaksi'!$B$5:$B$5000)/('Input Transaksi'!$B$5:$B$5000="CUCI DEWE"),ROWS($E$5:E423)),"")</f>
        <v/>
      </c>
      <c r="F423" s="5" t="n"/>
    </row>
    <row r="424">
      <c r="A424" s="10">
        <f>IF($E424="","",INDEX('Input Transaksi'!$A:$A,$E424))</f>
        <v/>
      </c>
      <c r="B424" s="5">
        <f>IF($E424="","",INDEX('Input Transaksi'!$D:$D,$E424))</f>
        <v/>
      </c>
      <c r="C424">
        <f>IF($E424="","",INDEX('Input Transaksi'!$E:$E,$E424))</f>
        <v/>
      </c>
      <c r="D424" s="5">
        <f>IF($E424="","",INDEX('Input Transaksi'!$F:$F,$E424))</f>
        <v/>
      </c>
      <c r="E424">
        <f>IFERROR(AGGREGATE(15,6,ROW('Input Transaksi'!$B$5:$B$5000)/('Input Transaksi'!$B$5:$B$5000="CUCI DEWE"),ROWS($E$5:E424)),"")</f>
        <v/>
      </c>
      <c r="F424" s="5" t="n"/>
    </row>
    <row r="425">
      <c r="A425" s="10">
        <f>IF($E425="","",INDEX('Input Transaksi'!$A:$A,$E425))</f>
        <v/>
      </c>
      <c r="B425" s="5">
        <f>IF($E425="","",INDEX('Input Transaksi'!$D:$D,$E425))</f>
        <v/>
      </c>
      <c r="C425">
        <f>IF($E425="","",INDEX('Input Transaksi'!$E:$E,$E425))</f>
        <v/>
      </c>
      <c r="D425" s="5">
        <f>IF($E425="","",INDEX('Input Transaksi'!$F:$F,$E425))</f>
        <v/>
      </c>
      <c r="E425">
        <f>IFERROR(AGGREGATE(15,6,ROW('Input Transaksi'!$B$5:$B$5000)/('Input Transaksi'!$B$5:$B$5000="CUCI DEWE"),ROWS($E$5:E425)),"")</f>
        <v/>
      </c>
      <c r="F425" s="5" t="n"/>
    </row>
    <row r="426">
      <c r="A426" s="10">
        <f>IF($E426="","",INDEX('Input Transaksi'!$A:$A,$E426))</f>
        <v/>
      </c>
      <c r="B426" s="5">
        <f>IF($E426="","",INDEX('Input Transaksi'!$D:$D,$E426))</f>
        <v/>
      </c>
      <c r="C426">
        <f>IF($E426="","",INDEX('Input Transaksi'!$E:$E,$E426))</f>
        <v/>
      </c>
      <c r="D426" s="5">
        <f>IF($E426="","",INDEX('Input Transaksi'!$F:$F,$E426))</f>
        <v/>
      </c>
      <c r="E426">
        <f>IFERROR(AGGREGATE(15,6,ROW('Input Transaksi'!$B$5:$B$5000)/('Input Transaksi'!$B$5:$B$5000="CUCI DEWE"),ROWS($E$5:E426)),"")</f>
        <v/>
      </c>
      <c r="F426" s="5" t="n"/>
    </row>
    <row r="427">
      <c r="A427" s="10">
        <f>IF($E427="","",INDEX('Input Transaksi'!$A:$A,$E427))</f>
        <v/>
      </c>
      <c r="B427" s="5">
        <f>IF($E427="","",INDEX('Input Transaksi'!$D:$D,$E427))</f>
        <v/>
      </c>
      <c r="C427">
        <f>IF($E427="","",INDEX('Input Transaksi'!$E:$E,$E427))</f>
        <v/>
      </c>
      <c r="D427" s="5">
        <f>IF($E427="","",INDEX('Input Transaksi'!$F:$F,$E427))</f>
        <v/>
      </c>
      <c r="E427">
        <f>IFERROR(AGGREGATE(15,6,ROW('Input Transaksi'!$B$5:$B$5000)/('Input Transaksi'!$B$5:$B$5000="CUCI DEWE"),ROWS($E$5:E427)),"")</f>
        <v/>
      </c>
      <c r="F427" s="5" t="n"/>
    </row>
    <row r="428">
      <c r="A428" s="10">
        <f>IF($E428="","",INDEX('Input Transaksi'!$A:$A,$E428))</f>
        <v/>
      </c>
      <c r="B428" s="5">
        <f>IF($E428="","",INDEX('Input Transaksi'!$D:$D,$E428))</f>
        <v/>
      </c>
      <c r="C428">
        <f>IF($E428="","",INDEX('Input Transaksi'!$E:$E,$E428))</f>
        <v/>
      </c>
      <c r="D428" s="5">
        <f>IF($E428="","",INDEX('Input Transaksi'!$F:$F,$E428))</f>
        <v/>
      </c>
      <c r="E428">
        <f>IFERROR(AGGREGATE(15,6,ROW('Input Transaksi'!$B$5:$B$5000)/('Input Transaksi'!$B$5:$B$5000="CUCI DEWE"),ROWS($E$5:E428)),"")</f>
        <v/>
      </c>
      <c r="F428" s="5" t="n"/>
    </row>
    <row r="429">
      <c r="A429" s="10">
        <f>IF($E429="","",INDEX('Input Transaksi'!$A:$A,$E429))</f>
        <v/>
      </c>
      <c r="B429" s="5">
        <f>IF($E429="","",INDEX('Input Transaksi'!$D:$D,$E429))</f>
        <v/>
      </c>
      <c r="C429">
        <f>IF($E429="","",INDEX('Input Transaksi'!$E:$E,$E429))</f>
        <v/>
      </c>
      <c r="D429" s="5">
        <f>IF($E429="","",INDEX('Input Transaksi'!$F:$F,$E429))</f>
        <v/>
      </c>
      <c r="E429">
        <f>IFERROR(AGGREGATE(15,6,ROW('Input Transaksi'!$B$5:$B$5000)/('Input Transaksi'!$B$5:$B$5000="CUCI DEWE"),ROWS($E$5:E429)),"")</f>
        <v/>
      </c>
      <c r="F429" s="5" t="n"/>
    </row>
    <row r="430">
      <c r="A430" s="10">
        <f>IF($E430="","",INDEX('Input Transaksi'!$A:$A,$E430))</f>
        <v/>
      </c>
      <c r="B430" s="5">
        <f>IF($E430="","",INDEX('Input Transaksi'!$D:$D,$E430))</f>
        <v/>
      </c>
      <c r="C430">
        <f>IF($E430="","",INDEX('Input Transaksi'!$E:$E,$E430))</f>
        <v/>
      </c>
      <c r="D430" s="5">
        <f>IF($E430="","",INDEX('Input Transaksi'!$F:$F,$E430))</f>
        <v/>
      </c>
      <c r="E430">
        <f>IFERROR(AGGREGATE(15,6,ROW('Input Transaksi'!$B$5:$B$5000)/('Input Transaksi'!$B$5:$B$5000="CUCI DEWE"),ROWS($E$5:E430)),"")</f>
        <v/>
      </c>
      <c r="F430" s="5" t="n"/>
    </row>
    <row r="431">
      <c r="A431" s="10">
        <f>IF($E431="","",INDEX('Input Transaksi'!$A:$A,$E431))</f>
        <v/>
      </c>
      <c r="B431" s="5">
        <f>IF($E431="","",INDEX('Input Transaksi'!$D:$D,$E431))</f>
        <v/>
      </c>
      <c r="C431">
        <f>IF($E431="","",INDEX('Input Transaksi'!$E:$E,$E431))</f>
        <v/>
      </c>
      <c r="D431" s="5">
        <f>IF($E431="","",INDEX('Input Transaksi'!$F:$F,$E431))</f>
        <v/>
      </c>
      <c r="E431">
        <f>IFERROR(AGGREGATE(15,6,ROW('Input Transaksi'!$B$5:$B$5000)/('Input Transaksi'!$B$5:$B$5000="CUCI DEWE"),ROWS($E$5:E431)),"")</f>
        <v/>
      </c>
      <c r="F431" s="5" t="n"/>
    </row>
    <row r="432">
      <c r="A432" s="10">
        <f>IF($E432="","",INDEX('Input Transaksi'!$A:$A,$E432))</f>
        <v/>
      </c>
      <c r="B432" s="5">
        <f>IF($E432="","",INDEX('Input Transaksi'!$D:$D,$E432))</f>
        <v/>
      </c>
      <c r="C432">
        <f>IF($E432="","",INDEX('Input Transaksi'!$E:$E,$E432))</f>
        <v/>
      </c>
      <c r="D432" s="5">
        <f>IF($E432="","",INDEX('Input Transaksi'!$F:$F,$E432))</f>
        <v/>
      </c>
      <c r="E432">
        <f>IFERROR(AGGREGATE(15,6,ROW('Input Transaksi'!$B$5:$B$5000)/('Input Transaksi'!$B$5:$B$5000="CUCI DEWE"),ROWS($E$5:E432)),"")</f>
        <v/>
      </c>
      <c r="F432" s="5" t="n"/>
    </row>
    <row r="433">
      <c r="A433" s="10">
        <f>IF($E433="","",INDEX('Input Transaksi'!$A:$A,$E433))</f>
        <v/>
      </c>
      <c r="B433" s="5">
        <f>IF($E433="","",INDEX('Input Transaksi'!$D:$D,$E433))</f>
        <v/>
      </c>
      <c r="C433">
        <f>IF($E433="","",INDEX('Input Transaksi'!$E:$E,$E433))</f>
        <v/>
      </c>
      <c r="D433" s="5">
        <f>IF($E433="","",INDEX('Input Transaksi'!$F:$F,$E433))</f>
        <v/>
      </c>
      <c r="E433">
        <f>IFERROR(AGGREGATE(15,6,ROW('Input Transaksi'!$B$5:$B$5000)/('Input Transaksi'!$B$5:$B$5000="CUCI DEWE"),ROWS($E$5:E433)),"")</f>
        <v/>
      </c>
      <c r="F433" s="5" t="n"/>
    </row>
    <row r="434">
      <c r="A434" s="10">
        <f>IF($E434="","",INDEX('Input Transaksi'!$A:$A,$E434))</f>
        <v/>
      </c>
      <c r="B434" s="5">
        <f>IF($E434="","",INDEX('Input Transaksi'!$D:$D,$E434))</f>
        <v/>
      </c>
      <c r="C434">
        <f>IF($E434="","",INDEX('Input Transaksi'!$E:$E,$E434))</f>
        <v/>
      </c>
      <c r="D434" s="5">
        <f>IF($E434="","",INDEX('Input Transaksi'!$F:$F,$E434))</f>
        <v/>
      </c>
      <c r="E434">
        <f>IFERROR(AGGREGATE(15,6,ROW('Input Transaksi'!$B$5:$B$5000)/('Input Transaksi'!$B$5:$B$5000="CUCI DEWE"),ROWS($E$5:E434)),"")</f>
        <v/>
      </c>
      <c r="F434" s="5" t="n"/>
    </row>
    <row r="435">
      <c r="A435" s="10">
        <f>IF($E435="","",INDEX('Input Transaksi'!$A:$A,$E435))</f>
        <v/>
      </c>
      <c r="B435" s="5">
        <f>IF($E435="","",INDEX('Input Transaksi'!$D:$D,$E435))</f>
        <v/>
      </c>
      <c r="C435">
        <f>IF($E435="","",INDEX('Input Transaksi'!$E:$E,$E435))</f>
        <v/>
      </c>
      <c r="D435" s="5">
        <f>IF($E435="","",INDEX('Input Transaksi'!$F:$F,$E435))</f>
        <v/>
      </c>
      <c r="E435">
        <f>IFERROR(AGGREGATE(15,6,ROW('Input Transaksi'!$B$5:$B$5000)/('Input Transaksi'!$B$5:$B$5000="CUCI DEWE"),ROWS($E$5:E435)),"")</f>
        <v/>
      </c>
      <c r="F435" s="5" t="n"/>
    </row>
    <row r="436">
      <c r="A436" s="10">
        <f>IF($E436="","",INDEX('Input Transaksi'!$A:$A,$E436))</f>
        <v/>
      </c>
      <c r="B436" s="5">
        <f>IF($E436="","",INDEX('Input Transaksi'!$D:$D,$E436))</f>
        <v/>
      </c>
      <c r="C436">
        <f>IF($E436="","",INDEX('Input Transaksi'!$E:$E,$E436))</f>
        <v/>
      </c>
      <c r="D436" s="5">
        <f>IF($E436="","",INDEX('Input Transaksi'!$F:$F,$E436))</f>
        <v/>
      </c>
      <c r="E436">
        <f>IFERROR(AGGREGATE(15,6,ROW('Input Transaksi'!$B$5:$B$5000)/('Input Transaksi'!$B$5:$B$5000="CUCI DEWE"),ROWS($E$5:E436)),"")</f>
        <v/>
      </c>
      <c r="F436" s="5" t="n"/>
    </row>
    <row r="437">
      <c r="A437" s="10">
        <f>IF($E437="","",INDEX('Input Transaksi'!$A:$A,$E437))</f>
        <v/>
      </c>
      <c r="B437" s="5">
        <f>IF($E437="","",INDEX('Input Transaksi'!$D:$D,$E437))</f>
        <v/>
      </c>
      <c r="C437">
        <f>IF($E437="","",INDEX('Input Transaksi'!$E:$E,$E437))</f>
        <v/>
      </c>
      <c r="D437" s="5">
        <f>IF($E437="","",INDEX('Input Transaksi'!$F:$F,$E437))</f>
        <v/>
      </c>
      <c r="E437">
        <f>IFERROR(AGGREGATE(15,6,ROW('Input Transaksi'!$B$5:$B$5000)/('Input Transaksi'!$B$5:$B$5000="CUCI DEWE"),ROWS($E$5:E437)),"")</f>
        <v/>
      </c>
      <c r="F437" s="5" t="n"/>
    </row>
    <row r="438">
      <c r="A438" s="10">
        <f>IF($E438="","",INDEX('Input Transaksi'!$A:$A,$E438))</f>
        <v/>
      </c>
      <c r="B438" s="5">
        <f>IF($E438="","",INDEX('Input Transaksi'!$D:$D,$E438))</f>
        <v/>
      </c>
      <c r="C438">
        <f>IF($E438="","",INDEX('Input Transaksi'!$E:$E,$E438))</f>
        <v/>
      </c>
      <c r="D438" s="5">
        <f>IF($E438="","",INDEX('Input Transaksi'!$F:$F,$E438))</f>
        <v/>
      </c>
      <c r="E438">
        <f>IFERROR(AGGREGATE(15,6,ROW('Input Transaksi'!$B$5:$B$5000)/('Input Transaksi'!$B$5:$B$5000="CUCI DEWE"),ROWS($E$5:E438)),"")</f>
        <v/>
      </c>
      <c r="F438" s="5" t="n"/>
    </row>
    <row r="439">
      <c r="A439" s="10">
        <f>IF($E439="","",INDEX('Input Transaksi'!$A:$A,$E439))</f>
        <v/>
      </c>
      <c r="B439" s="5">
        <f>IF($E439="","",INDEX('Input Transaksi'!$D:$D,$E439))</f>
        <v/>
      </c>
      <c r="C439">
        <f>IF($E439="","",INDEX('Input Transaksi'!$E:$E,$E439))</f>
        <v/>
      </c>
      <c r="D439" s="5">
        <f>IF($E439="","",INDEX('Input Transaksi'!$F:$F,$E439))</f>
        <v/>
      </c>
      <c r="E439">
        <f>IFERROR(AGGREGATE(15,6,ROW('Input Transaksi'!$B$5:$B$5000)/('Input Transaksi'!$B$5:$B$5000="CUCI DEWE"),ROWS($E$5:E439)),"")</f>
        <v/>
      </c>
      <c r="F439" s="5" t="n"/>
    </row>
    <row r="440">
      <c r="A440" s="10">
        <f>IF($E440="","",INDEX('Input Transaksi'!$A:$A,$E440))</f>
        <v/>
      </c>
      <c r="B440" s="5">
        <f>IF($E440="","",INDEX('Input Transaksi'!$D:$D,$E440))</f>
        <v/>
      </c>
      <c r="C440">
        <f>IF($E440="","",INDEX('Input Transaksi'!$E:$E,$E440))</f>
        <v/>
      </c>
      <c r="D440" s="5">
        <f>IF($E440="","",INDEX('Input Transaksi'!$F:$F,$E440))</f>
        <v/>
      </c>
      <c r="E440">
        <f>IFERROR(AGGREGATE(15,6,ROW('Input Transaksi'!$B$5:$B$5000)/('Input Transaksi'!$B$5:$B$5000="CUCI DEWE"),ROWS($E$5:E440)),"")</f>
        <v/>
      </c>
      <c r="F440" s="5" t="n"/>
    </row>
    <row r="441">
      <c r="A441" s="10">
        <f>IF($E441="","",INDEX('Input Transaksi'!$A:$A,$E441))</f>
        <v/>
      </c>
      <c r="B441" s="5">
        <f>IF($E441="","",INDEX('Input Transaksi'!$D:$D,$E441))</f>
        <v/>
      </c>
      <c r="C441">
        <f>IF($E441="","",INDEX('Input Transaksi'!$E:$E,$E441))</f>
        <v/>
      </c>
      <c r="D441" s="5">
        <f>IF($E441="","",INDEX('Input Transaksi'!$F:$F,$E441))</f>
        <v/>
      </c>
      <c r="E441">
        <f>IFERROR(AGGREGATE(15,6,ROW('Input Transaksi'!$B$5:$B$5000)/('Input Transaksi'!$B$5:$B$5000="CUCI DEWE"),ROWS($E$5:E441)),"")</f>
        <v/>
      </c>
      <c r="F441" s="5" t="n"/>
    </row>
    <row r="442">
      <c r="A442" s="10">
        <f>IF($E442="","",INDEX('Input Transaksi'!$A:$A,$E442))</f>
        <v/>
      </c>
      <c r="B442" s="5">
        <f>IF($E442="","",INDEX('Input Transaksi'!$D:$D,$E442))</f>
        <v/>
      </c>
      <c r="C442">
        <f>IF($E442="","",INDEX('Input Transaksi'!$E:$E,$E442))</f>
        <v/>
      </c>
      <c r="D442" s="5">
        <f>IF($E442="","",INDEX('Input Transaksi'!$F:$F,$E442))</f>
        <v/>
      </c>
      <c r="E442">
        <f>IFERROR(AGGREGATE(15,6,ROW('Input Transaksi'!$B$5:$B$5000)/('Input Transaksi'!$B$5:$B$5000="CUCI DEWE"),ROWS($E$5:E442)),"")</f>
        <v/>
      </c>
      <c r="F442" s="5" t="n"/>
    </row>
    <row r="443">
      <c r="A443" s="10">
        <f>IF($E443="","",INDEX('Input Transaksi'!$A:$A,$E443))</f>
        <v/>
      </c>
      <c r="B443" s="5">
        <f>IF($E443="","",INDEX('Input Transaksi'!$D:$D,$E443))</f>
        <v/>
      </c>
      <c r="C443">
        <f>IF($E443="","",INDEX('Input Transaksi'!$E:$E,$E443))</f>
        <v/>
      </c>
      <c r="D443" s="5">
        <f>IF($E443="","",INDEX('Input Transaksi'!$F:$F,$E443))</f>
        <v/>
      </c>
      <c r="E443">
        <f>IFERROR(AGGREGATE(15,6,ROW('Input Transaksi'!$B$5:$B$5000)/('Input Transaksi'!$B$5:$B$5000="CUCI DEWE"),ROWS($E$5:E443)),"")</f>
        <v/>
      </c>
      <c r="F443" s="5" t="n"/>
    </row>
    <row r="444">
      <c r="A444" s="10">
        <f>IF($E444="","",INDEX('Input Transaksi'!$A:$A,$E444))</f>
        <v/>
      </c>
      <c r="B444" s="5">
        <f>IF($E444="","",INDEX('Input Transaksi'!$D:$D,$E444))</f>
        <v/>
      </c>
      <c r="C444">
        <f>IF($E444="","",INDEX('Input Transaksi'!$E:$E,$E444))</f>
        <v/>
      </c>
      <c r="D444" s="5">
        <f>IF($E444="","",INDEX('Input Transaksi'!$F:$F,$E444))</f>
        <v/>
      </c>
      <c r="E444">
        <f>IFERROR(AGGREGATE(15,6,ROW('Input Transaksi'!$B$5:$B$5000)/('Input Transaksi'!$B$5:$B$5000="CUCI DEWE"),ROWS($E$5:E444)),"")</f>
        <v/>
      </c>
      <c r="F444" s="5" t="n"/>
    </row>
    <row r="445">
      <c r="A445" s="10">
        <f>IF($E445="","",INDEX('Input Transaksi'!$A:$A,$E445))</f>
        <v/>
      </c>
      <c r="B445" s="5">
        <f>IF($E445="","",INDEX('Input Transaksi'!$D:$D,$E445))</f>
        <v/>
      </c>
      <c r="C445">
        <f>IF($E445="","",INDEX('Input Transaksi'!$E:$E,$E445))</f>
        <v/>
      </c>
      <c r="D445" s="5">
        <f>IF($E445="","",INDEX('Input Transaksi'!$F:$F,$E445))</f>
        <v/>
      </c>
      <c r="E445">
        <f>IFERROR(AGGREGATE(15,6,ROW('Input Transaksi'!$B$5:$B$5000)/('Input Transaksi'!$B$5:$B$5000="CUCI DEWE"),ROWS($E$5:E445)),"")</f>
        <v/>
      </c>
      <c r="F445" s="5" t="n"/>
    </row>
    <row r="446">
      <c r="A446" s="10">
        <f>IF($E446="","",INDEX('Input Transaksi'!$A:$A,$E446))</f>
        <v/>
      </c>
      <c r="B446" s="5">
        <f>IF($E446="","",INDEX('Input Transaksi'!$D:$D,$E446))</f>
        <v/>
      </c>
      <c r="C446">
        <f>IF($E446="","",INDEX('Input Transaksi'!$E:$E,$E446))</f>
        <v/>
      </c>
      <c r="D446" s="5">
        <f>IF($E446="","",INDEX('Input Transaksi'!$F:$F,$E446))</f>
        <v/>
      </c>
      <c r="E446">
        <f>IFERROR(AGGREGATE(15,6,ROW('Input Transaksi'!$B$5:$B$5000)/('Input Transaksi'!$B$5:$B$5000="CUCI DEWE"),ROWS($E$5:E446)),"")</f>
        <v/>
      </c>
      <c r="F446" s="5" t="n"/>
    </row>
    <row r="447">
      <c r="A447" s="10">
        <f>IF($E447="","",INDEX('Input Transaksi'!$A:$A,$E447))</f>
        <v/>
      </c>
      <c r="B447" s="5">
        <f>IF($E447="","",INDEX('Input Transaksi'!$D:$D,$E447))</f>
        <v/>
      </c>
      <c r="C447">
        <f>IF($E447="","",INDEX('Input Transaksi'!$E:$E,$E447))</f>
        <v/>
      </c>
      <c r="D447" s="5">
        <f>IF($E447="","",INDEX('Input Transaksi'!$F:$F,$E447))</f>
        <v/>
      </c>
      <c r="E447">
        <f>IFERROR(AGGREGATE(15,6,ROW('Input Transaksi'!$B$5:$B$5000)/('Input Transaksi'!$B$5:$B$5000="CUCI DEWE"),ROWS($E$5:E447)),"")</f>
        <v/>
      </c>
      <c r="F447" s="5" t="n"/>
    </row>
    <row r="448">
      <c r="A448" s="10">
        <f>IF($E448="","",INDEX('Input Transaksi'!$A:$A,$E448))</f>
        <v/>
      </c>
      <c r="B448" s="5">
        <f>IF($E448="","",INDEX('Input Transaksi'!$D:$D,$E448))</f>
        <v/>
      </c>
      <c r="C448">
        <f>IF($E448="","",INDEX('Input Transaksi'!$E:$E,$E448))</f>
        <v/>
      </c>
      <c r="D448" s="5">
        <f>IF($E448="","",INDEX('Input Transaksi'!$F:$F,$E448))</f>
        <v/>
      </c>
      <c r="E448">
        <f>IFERROR(AGGREGATE(15,6,ROW('Input Transaksi'!$B$5:$B$5000)/('Input Transaksi'!$B$5:$B$5000="CUCI DEWE"),ROWS($E$5:E448)),"")</f>
        <v/>
      </c>
      <c r="F448" s="5" t="n"/>
    </row>
    <row r="449">
      <c r="A449" s="10">
        <f>IF($E449="","",INDEX('Input Transaksi'!$A:$A,$E449))</f>
        <v/>
      </c>
      <c r="B449" s="5">
        <f>IF($E449="","",INDEX('Input Transaksi'!$D:$D,$E449))</f>
        <v/>
      </c>
      <c r="C449">
        <f>IF($E449="","",INDEX('Input Transaksi'!$E:$E,$E449))</f>
        <v/>
      </c>
      <c r="D449" s="5">
        <f>IF($E449="","",INDEX('Input Transaksi'!$F:$F,$E449))</f>
        <v/>
      </c>
      <c r="E449">
        <f>IFERROR(AGGREGATE(15,6,ROW('Input Transaksi'!$B$5:$B$5000)/('Input Transaksi'!$B$5:$B$5000="CUCI DEWE"),ROWS($E$5:E449)),"")</f>
        <v/>
      </c>
      <c r="F449" s="5" t="n"/>
    </row>
    <row r="450">
      <c r="A450" s="10">
        <f>IF($E450="","",INDEX('Input Transaksi'!$A:$A,$E450))</f>
        <v/>
      </c>
      <c r="B450" s="5">
        <f>IF($E450="","",INDEX('Input Transaksi'!$D:$D,$E450))</f>
        <v/>
      </c>
      <c r="C450">
        <f>IF($E450="","",INDEX('Input Transaksi'!$E:$E,$E450))</f>
        <v/>
      </c>
      <c r="D450" s="5">
        <f>IF($E450="","",INDEX('Input Transaksi'!$F:$F,$E450))</f>
        <v/>
      </c>
      <c r="E450">
        <f>IFERROR(AGGREGATE(15,6,ROW('Input Transaksi'!$B$5:$B$5000)/('Input Transaksi'!$B$5:$B$5000="CUCI DEWE"),ROWS($E$5:E450)),"")</f>
        <v/>
      </c>
      <c r="F450" s="5" t="n"/>
    </row>
    <row r="451">
      <c r="A451" s="10">
        <f>IF($E451="","",INDEX('Input Transaksi'!$A:$A,$E451))</f>
        <v/>
      </c>
      <c r="B451" s="5">
        <f>IF($E451="","",INDEX('Input Transaksi'!$D:$D,$E451))</f>
        <v/>
      </c>
      <c r="C451">
        <f>IF($E451="","",INDEX('Input Transaksi'!$E:$E,$E451))</f>
        <v/>
      </c>
      <c r="D451" s="5">
        <f>IF($E451="","",INDEX('Input Transaksi'!$F:$F,$E451))</f>
        <v/>
      </c>
      <c r="E451">
        <f>IFERROR(AGGREGATE(15,6,ROW('Input Transaksi'!$B$5:$B$5000)/('Input Transaksi'!$B$5:$B$5000="CUCI DEWE"),ROWS($E$5:E451)),"")</f>
        <v/>
      </c>
      <c r="F451" s="5" t="n"/>
    </row>
    <row r="452">
      <c r="A452" s="10">
        <f>IF($E452="","",INDEX('Input Transaksi'!$A:$A,$E452))</f>
        <v/>
      </c>
      <c r="B452" s="5">
        <f>IF($E452="","",INDEX('Input Transaksi'!$D:$D,$E452))</f>
        <v/>
      </c>
      <c r="C452">
        <f>IF($E452="","",INDEX('Input Transaksi'!$E:$E,$E452))</f>
        <v/>
      </c>
      <c r="D452" s="5">
        <f>IF($E452="","",INDEX('Input Transaksi'!$F:$F,$E452))</f>
        <v/>
      </c>
      <c r="E452">
        <f>IFERROR(AGGREGATE(15,6,ROW('Input Transaksi'!$B$5:$B$5000)/('Input Transaksi'!$B$5:$B$5000="CUCI DEWE"),ROWS($E$5:E452)),"")</f>
        <v/>
      </c>
      <c r="F452" s="5" t="n"/>
    </row>
    <row r="453">
      <c r="A453" s="10">
        <f>IF($E453="","",INDEX('Input Transaksi'!$A:$A,$E453))</f>
        <v/>
      </c>
      <c r="B453" s="5">
        <f>IF($E453="","",INDEX('Input Transaksi'!$D:$D,$E453))</f>
        <v/>
      </c>
      <c r="C453">
        <f>IF($E453="","",INDEX('Input Transaksi'!$E:$E,$E453))</f>
        <v/>
      </c>
      <c r="D453" s="5">
        <f>IF($E453="","",INDEX('Input Transaksi'!$F:$F,$E453))</f>
        <v/>
      </c>
      <c r="E453">
        <f>IFERROR(AGGREGATE(15,6,ROW('Input Transaksi'!$B$5:$B$5000)/('Input Transaksi'!$B$5:$B$5000="CUCI DEWE"),ROWS($E$5:E453)),"")</f>
        <v/>
      </c>
      <c r="F453" s="5" t="n"/>
    </row>
    <row r="454">
      <c r="A454" s="10">
        <f>IF($E454="","",INDEX('Input Transaksi'!$A:$A,$E454))</f>
        <v/>
      </c>
      <c r="B454" s="5">
        <f>IF($E454="","",INDEX('Input Transaksi'!$D:$D,$E454))</f>
        <v/>
      </c>
      <c r="C454">
        <f>IF($E454="","",INDEX('Input Transaksi'!$E:$E,$E454))</f>
        <v/>
      </c>
      <c r="D454" s="5">
        <f>IF($E454="","",INDEX('Input Transaksi'!$F:$F,$E454))</f>
        <v/>
      </c>
      <c r="E454">
        <f>IFERROR(AGGREGATE(15,6,ROW('Input Transaksi'!$B$5:$B$5000)/('Input Transaksi'!$B$5:$B$5000="CUCI DEWE"),ROWS($E$5:E454)),"")</f>
        <v/>
      </c>
      <c r="F454" s="5" t="n"/>
    </row>
    <row r="455">
      <c r="A455" s="10">
        <f>IF($E455="","",INDEX('Input Transaksi'!$A:$A,$E455))</f>
        <v/>
      </c>
      <c r="B455" s="5">
        <f>IF($E455="","",INDEX('Input Transaksi'!$D:$D,$E455))</f>
        <v/>
      </c>
      <c r="C455">
        <f>IF($E455="","",INDEX('Input Transaksi'!$E:$E,$E455))</f>
        <v/>
      </c>
      <c r="D455" s="5">
        <f>IF($E455="","",INDEX('Input Transaksi'!$F:$F,$E455))</f>
        <v/>
      </c>
      <c r="E455">
        <f>IFERROR(AGGREGATE(15,6,ROW('Input Transaksi'!$B$5:$B$5000)/('Input Transaksi'!$B$5:$B$5000="CUCI DEWE"),ROWS($E$5:E455)),"")</f>
        <v/>
      </c>
      <c r="F455" s="5" t="n"/>
    </row>
    <row r="456">
      <c r="A456" s="10">
        <f>IF($E456="","",INDEX('Input Transaksi'!$A:$A,$E456))</f>
        <v/>
      </c>
      <c r="B456" s="5">
        <f>IF($E456="","",INDEX('Input Transaksi'!$D:$D,$E456))</f>
        <v/>
      </c>
      <c r="C456">
        <f>IF($E456="","",INDEX('Input Transaksi'!$E:$E,$E456))</f>
        <v/>
      </c>
      <c r="D456" s="5">
        <f>IF($E456="","",INDEX('Input Transaksi'!$F:$F,$E456))</f>
        <v/>
      </c>
      <c r="E456">
        <f>IFERROR(AGGREGATE(15,6,ROW('Input Transaksi'!$B$5:$B$5000)/('Input Transaksi'!$B$5:$B$5000="CUCI DEWE"),ROWS($E$5:E456)),"")</f>
        <v/>
      </c>
      <c r="F456" s="5" t="n"/>
    </row>
    <row r="457">
      <c r="A457" s="10">
        <f>IF($E457="","",INDEX('Input Transaksi'!$A:$A,$E457))</f>
        <v/>
      </c>
      <c r="B457" s="5">
        <f>IF($E457="","",INDEX('Input Transaksi'!$D:$D,$E457))</f>
        <v/>
      </c>
      <c r="C457">
        <f>IF($E457="","",INDEX('Input Transaksi'!$E:$E,$E457))</f>
        <v/>
      </c>
      <c r="D457" s="5">
        <f>IF($E457="","",INDEX('Input Transaksi'!$F:$F,$E457))</f>
        <v/>
      </c>
      <c r="E457">
        <f>IFERROR(AGGREGATE(15,6,ROW('Input Transaksi'!$B$5:$B$5000)/('Input Transaksi'!$B$5:$B$5000="CUCI DEWE"),ROWS($E$5:E457)),"")</f>
        <v/>
      </c>
      <c r="F457" s="5" t="n"/>
    </row>
    <row r="458">
      <c r="A458" s="10">
        <f>IF($E458="","",INDEX('Input Transaksi'!$A:$A,$E458))</f>
        <v/>
      </c>
      <c r="B458" s="5">
        <f>IF($E458="","",INDEX('Input Transaksi'!$D:$D,$E458))</f>
        <v/>
      </c>
      <c r="C458">
        <f>IF($E458="","",INDEX('Input Transaksi'!$E:$E,$E458))</f>
        <v/>
      </c>
      <c r="D458" s="5">
        <f>IF($E458="","",INDEX('Input Transaksi'!$F:$F,$E458))</f>
        <v/>
      </c>
      <c r="E458">
        <f>IFERROR(AGGREGATE(15,6,ROW('Input Transaksi'!$B$5:$B$5000)/('Input Transaksi'!$B$5:$B$5000="CUCI DEWE"),ROWS($E$5:E458)),"")</f>
        <v/>
      </c>
      <c r="F458" s="5" t="n"/>
    </row>
    <row r="459">
      <c r="A459" s="10">
        <f>IF($E459="","",INDEX('Input Transaksi'!$A:$A,$E459))</f>
        <v/>
      </c>
      <c r="B459" s="5">
        <f>IF($E459="","",INDEX('Input Transaksi'!$D:$D,$E459))</f>
        <v/>
      </c>
      <c r="C459">
        <f>IF($E459="","",INDEX('Input Transaksi'!$E:$E,$E459))</f>
        <v/>
      </c>
      <c r="D459" s="5">
        <f>IF($E459="","",INDEX('Input Transaksi'!$F:$F,$E459))</f>
        <v/>
      </c>
      <c r="E459">
        <f>IFERROR(AGGREGATE(15,6,ROW('Input Transaksi'!$B$5:$B$5000)/('Input Transaksi'!$B$5:$B$5000="CUCI DEWE"),ROWS($E$5:E459)),"")</f>
        <v/>
      </c>
      <c r="F459" s="5" t="n"/>
    </row>
    <row r="460">
      <c r="A460" s="10">
        <f>IF($E460="","",INDEX('Input Transaksi'!$A:$A,$E460))</f>
        <v/>
      </c>
      <c r="B460" s="5">
        <f>IF($E460="","",INDEX('Input Transaksi'!$D:$D,$E460))</f>
        <v/>
      </c>
      <c r="C460">
        <f>IF($E460="","",INDEX('Input Transaksi'!$E:$E,$E460))</f>
        <v/>
      </c>
      <c r="D460" s="5">
        <f>IF($E460="","",INDEX('Input Transaksi'!$F:$F,$E460))</f>
        <v/>
      </c>
      <c r="E460">
        <f>IFERROR(AGGREGATE(15,6,ROW('Input Transaksi'!$B$5:$B$5000)/('Input Transaksi'!$B$5:$B$5000="CUCI DEWE"),ROWS($E$5:E460)),"")</f>
        <v/>
      </c>
      <c r="F460" s="5" t="n"/>
    </row>
    <row r="461">
      <c r="A461" s="10">
        <f>IF($E461="","",INDEX('Input Transaksi'!$A:$A,$E461))</f>
        <v/>
      </c>
      <c r="B461" s="5">
        <f>IF($E461="","",INDEX('Input Transaksi'!$D:$D,$E461))</f>
        <v/>
      </c>
      <c r="C461">
        <f>IF($E461="","",INDEX('Input Transaksi'!$E:$E,$E461))</f>
        <v/>
      </c>
      <c r="D461" s="5">
        <f>IF($E461="","",INDEX('Input Transaksi'!$F:$F,$E461))</f>
        <v/>
      </c>
      <c r="E461">
        <f>IFERROR(AGGREGATE(15,6,ROW('Input Transaksi'!$B$5:$B$5000)/('Input Transaksi'!$B$5:$B$5000="CUCI DEWE"),ROWS($E$5:E461)),"")</f>
        <v/>
      </c>
      <c r="F461" s="5" t="n"/>
    </row>
    <row r="462">
      <c r="A462" s="10">
        <f>IF($E462="","",INDEX('Input Transaksi'!$A:$A,$E462))</f>
        <v/>
      </c>
      <c r="B462" s="5">
        <f>IF($E462="","",INDEX('Input Transaksi'!$D:$D,$E462))</f>
        <v/>
      </c>
      <c r="C462">
        <f>IF($E462="","",INDEX('Input Transaksi'!$E:$E,$E462))</f>
        <v/>
      </c>
      <c r="D462" s="5">
        <f>IF($E462="","",INDEX('Input Transaksi'!$F:$F,$E462))</f>
        <v/>
      </c>
      <c r="E462">
        <f>IFERROR(AGGREGATE(15,6,ROW('Input Transaksi'!$B$5:$B$5000)/('Input Transaksi'!$B$5:$B$5000="CUCI DEWE"),ROWS($E$5:E462)),"")</f>
        <v/>
      </c>
      <c r="F462" s="5" t="n"/>
    </row>
    <row r="463">
      <c r="A463" s="10">
        <f>IF($E463="","",INDEX('Input Transaksi'!$A:$A,$E463))</f>
        <v/>
      </c>
      <c r="B463" s="5">
        <f>IF($E463="","",INDEX('Input Transaksi'!$D:$D,$E463))</f>
        <v/>
      </c>
      <c r="C463">
        <f>IF($E463="","",INDEX('Input Transaksi'!$E:$E,$E463))</f>
        <v/>
      </c>
      <c r="D463" s="5">
        <f>IF($E463="","",INDEX('Input Transaksi'!$F:$F,$E463))</f>
        <v/>
      </c>
      <c r="E463">
        <f>IFERROR(AGGREGATE(15,6,ROW('Input Transaksi'!$B$5:$B$5000)/('Input Transaksi'!$B$5:$B$5000="CUCI DEWE"),ROWS($E$5:E463)),"")</f>
        <v/>
      </c>
      <c r="F463" s="5" t="n"/>
    </row>
    <row r="464">
      <c r="A464" s="10">
        <f>IF($E464="","",INDEX('Input Transaksi'!$A:$A,$E464))</f>
        <v/>
      </c>
      <c r="B464" s="5">
        <f>IF($E464="","",INDEX('Input Transaksi'!$D:$D,$E464))</f>
        <v/>
      </c>
      <c r="C464">
        <f>IF($E464="","",INDEX('Input Transaksi'!$E:$E,$E464))</f>
        <v/>
      </c>
      <c r="D464" s="5">
        <f>IF($E464="","",INDEX('Input Transaksi'!$F:$F,$E464))</f>
        <v/>
      </c>
      <c r="E464">
        <f>IFERROR(AGGREGATE(15,6,ROW('Input Transaksi'!$B$5:$B$5000)/('Input Transaksi'!$B$5:$B$5000="CUCI DEWE"),ROWS($E$5:E464)),"")</f>
        <v/>
      </c>
      <c r="F464" s="5" t="n"/>
    </row>
    <row r="465">
      <c r="A465" s="10">
        <f>IF($E465="","",INDEX('Input Transaksi'!$A:$A,$E465))</f>
        <v/>
      </c>
      <c r="B465" s="5">
        <f>IF($E465="","",INDEX('Input Transaksi'!$D:$D,$E465))</f>
        <v/>
      </c>
      <c r="C465">
        <f>IF($E465="","",INDEX('Input Transaksi'!$E:$E,$E465))</f>
        <v/>
      </c>
      <c r="D465" s="5">
        <f>IF($E465="","",INDEX('Input Transaksi'!$F:$F,$E465))</f>
        <v/>
      </c>
      <c r="E465">
        <f>IFERROR(AGGREGATE(15,6,ROW('Input Transaksi'!$B$5:$B$5000)/('Input Transaksi'!$B$5:$B$5000="CUCI DEWE"),ROWS($E$5:E465)),"")</f>
        <v/>
      </c>
      <c r="F465" s="5" t="n"/>
    </row>
    <row r="466">
      <c r="A466" s="10">
        <f>IF($E466="","",INDEX('Input Transaksi'!$A:$A,$E466))</f>
        <v/>
      </c>
      <c r="B466" s="5">
        <f>IF($E466="","",INDEX('Input Transaksi'!$D:$D,$E466))</f>
        <v/>
      </c>
      <c r="C466">
        <f>IF($E466="","",INDEX('Input Transaksi'!$E:$E,$E466))</f>
        <v/>
      </c>
      <c r="D466" s="5">
        <f>IF($E466="","",INDEX('Input Transaksi'!$F:$F,$E466))</f>
        <v/>
      </c>
      <c r="E466">
        <f>IFERROR(AGGREGATE(15,6,ROW('Input Transaksi'!$B$5:$B$5000)/('Input Transaksi'!$B$5:$B$5000="CUCI DEWE"),ROWS($E$5:E466)),"")</f>
        <v/>
      </c>
      <c r="F466" s="5" t="n"/>
    </row>
    <row r="467">
      <c r="A467" s="10">
        <f>IF($E467="","",INDEX('Input Transaksi'!$A:$A,$E467))</f>
        <v/>
      </c>
      <c r="B467" s="5">
        <f>IF($E467="","",INDEX('Input Transaksi'!$D:$D,$E467))</f>
        <v/>
      </c>
      <c r="C467">
        <f>IF($E467="","",INDEX('Input Transaksi'!$E:$E,$E467))</f>
        <v/>
      </c>
      <c r="D467" s="5">
        <f>IF($E467="","",INDEX('Input Transaksi'!$F:$F,$E467))</f>
        <v/>
      </c>
      <c r="E467">
        <f>IFERROR(AGGREGATE(15,6,ROW('Input Transaksi'!$B$5:$B$5000)/('Input Transaksi'!$B$5:$B$5000="CUCI DEWE"),ROWS($E$5:E467)),"")</f>
        <v/>
      </c>
      <c r="F467" s="5" t="n"/>
    </row>
    <row r="468">
      <c r="A468" s="10">
        <f>IF($E468="","",INDEX('Input Transaksi'!$A:$A,$E468))</f>
        <v/>
      </c>
      <c r="B468" s="5">
        <f>IF($E468="","",INDEX('Input Transaksi'!$D:$D,$E468))</f>
        <v/>
      </c>
      <c r="C468">
        <f>IF($E468="","",INDEX('Input Transaksi'!$E:$E,$E468))</f>
        <v/>
      </c>
      <c r="D468" s="5">
        <f>IF($E468="","",INDEX('Input Transaksi'!$F:$F,$E468))</f>
        <v/>
      </c>
      <c r="E468">
        <f>IFERROR(AGGREGATE(15,6,ROW('Input Transaksi'!$B$5:$B$5000)/('Input Transaksi'!$B$5:$B$5000="CUCI DEWE"),ROWS($E$5:E468)),"")</f>
        <v/>
      </c>
      <c r="F468" s="5" t="n"/>
    </row>
    <row r="469">
      <c r="A469" s="10">
        <f>IF($E469="","",INDEX('Input Transaksi'!$A:$A,$E469))</f>
        <v/>
      </c>
      <c r="B469" s="5">
        <f>IF($E469="","",INDEX('Input Transaksi'!$D:$D,$E469))</f>
        <v/>
      </c>
      <c r="C469">
        <f>IF($E469="","",INDEX('Input Transaksi'!$E:$E,$E469))</f>
        <v/>
      </c>
      <c r="D469" s="5">
        <f>IF($E469="","",INDEX('Input Transaksi'!$F:$F,$E469))</f>
        <v/>
      </c>
      <c r="E469">
        <f>IFERROR(AGGREGATE(15,6,ROW('Input Transaksi'!$B$5:$B$5000)/('Input Transaksi'!$B$5:$B$5000="CUCI DEWE"),ROWS($E$5:E469)),"")</f>
        <v/>
      </c>
      <c r="F469" s="5" t="n"/>
    </row>
    <row r="470">
      <c r="A470" s="10">
        <f>IF($E470="","",INDEX('Input Transaksi'!$A:$A,$E470))</f>
        <v/>
      </c>
      <c r="B470" s="5">
        <f>IF($E470="","",INDEX('Input Transaksi'!$D:$D,$E470))</f>
        <v/>
      </c>
      <c r="C470">
        <f>IF($E470="","",INDEX('Input Transaksi'!$E:$E,$E470))</f>
        <v/>
      </c>
      <c r="D470" s="5">
        <f>IF($E470="","",INDEX('Input Transaksi'!$F:$F,$E470))</f>
        <v/>
      </c>
      <c r="E470">
        <f>IFERROR(AGGREGATE(15,6,ROW('Input Transaksi'!$B$5:$B$5000)/('Input Transaksi'!$B$5:$B$5000="CUCI DEWE"),ROWS($E$5:E470)),"")</f>
        <v/>
      </c>
      <c r="F470" s="5" t="n"/>
    </row>
    <row r="471">
      <c r="A471" s="10">
        <f>IF($E471="","",INDEX('Input Transaksi'!$A:$A,$E471))</f>
        <v/>
      </c>
      <c r="B471" s="5">
        <f>IF($E471="","",INDEX('Input Transaksi'!$D:$D,$E471))</f>
        <v/>
      </c>
      <c r="C471">
        <f>IF($E471="","",INDEX('Input Transaksi'!$E:$E,$E471))</f>
        <v/>
      </c>
      <c r="D471" s="5">
        <f>IF($E471="","",INDEX('Input Transaksi'!$F:$F,$E471))</f>
        <v/>
      </c>
      <c r="E471">
        <f>IFERROR(AGGREGATE(15,6,ROW('Input Transaksi'!$B$5:$B$5000)/('Input Transaksi'!$B$5:$B$5000="CUCI DEWE"),ROWS($E$5:E471)),"")</f>
        <v/>
      </c>
      <c r="F471" s="5" t="n"/>
    </row>
    <row r="472">
      <c r="A472" s="10">
        <f>IF($E472="","",INDEX('Input Transaksi'!$A:$A,$E472))</f>
        <v/>
      </c>
      <c r="B472" s="5">
        <f>IF($E472="","",INDEX('Input Transaksi'!$D:$D,$E472))</f>
        <v/>
      </c>
      <c r="C472">
        <f>IF($E472="","",INDEX('Input Transaksi'!$E:$E,$E472))</f>
        <v/>
      </c>
      <c r="D472" s="5">
        <f>IF($E472="","",INDEX('Input Transaksi'!$F:$F,$E472))</f>
        <v/>
      </c>
      <c r="E472">
        <f>IFERROR(AGGREGATE(15,6,ROW('Input Transaksi'!$B$5:$B$5000)/('Input Transaksi'!$B$5:$B$5000="CUCI DEWE"),ROWS($E$5:E472)),"")</f>
        <v/>
      </c>
      <c r="F472" s="5" t="n"/>
    </row>
    <row r="473">
      <c r="A473" s="10">
        <f>IF($E473="","",INDEX('Input Transaksi'!$A:$A,$E473))</f>
        <v/>
      </c>
      <c r="B473" s="5">
        <f>IF($E473="","",INDEX('Input Transaksi'!$D:$D,$E473))</f>
        <v/>
      </c>
      <c r="C473">
        <f>IF($E473="","",INDEX('Input Transaksi'!$E:$E,$E473))</f>
        <v/>
      </c>
      <c r="D473" s="5">
        <f>IF($E473="","",INDEX('Input Transaksi'!$F:$F,$E473))</f>
        <v/>
      </c>
      <c r="E473">
        <f>IFERROR(AGGREGATE(15,6,ROW('Input Transaksi'!$B$5:$B$5000)/('Input Transaksi'!$B$5:$B$5000="CUCI DEWE"),ROWS($E$5:E473)),"")</f>
        <v/>
      </c>
      <c r="F473" s="5" t="n"/>
    </row>
    <row r="474">
      <c r="A474" s="10">
        <f>IF($E474="","",INDEX('Input Transaksi'!$A:$A,$E474))</f>
        <v/>
      </c>
      <c r="B474" s="5">
        <f>IF($E474="","",INDEX('Input Transaksi'!$D:$D,$E474))</f>
        <v/>
      </c>
      <c r="C474">
        <f>IF($E474="","",INDEX('Input Transaksi'!$E:$E,$E474))</f>
        <v/>
      </c>
      <c r="D474" s="5">
        <f>IF($E474="","",INDEX('Input Transaksi'!$F:$F,$E474))</f>
        <v/>
      </c>
      <c r="E474">
        <f>IFERROR(AGGREGATE(15,6,ROW('Input Transaksi'!$B$5:$B$5000)/('Input Transaksi'!$B$5:$B$5000="CUCI DEWE"),ROWS($E$5:E474)),"")</f>
        <v/>
      </c>
      <c r="F474" s="5" t="n"/>
    </row>
    <row r="475">
      <c r="A475" s="10">
        <f>IF($E475="","",INDEX('Input Transaksi'!$A:$A,$E475))</f>
        <v/>
      </c>
      <c r="B475" s="5">
        <f>IF($E475="","",INDEX('Input Transaksi'!$D:$D,$E475))</f>
        <v/>
      </c>
      <c r="C475">
        <f>IF($E475="","",INDEX('Input Transaksi'!$E:$E,$E475))</f>
        <v/>
      </c>
      <c r="D475" s="5">
        <f>IF($E475="","",INDEX('Input Transaksi'!$F:$F,$E475))</f>
        <v/>
      </c>
      <c r="E475">
        <f>IFERROR(AGGREGATE(15,6,ROW('Input Transaksi'!$B$5:$B$5000)/('Input Transaksi'!$B$5:$B$5000="CUCI DEWE"),ROWS($E$5:E475)),"")</f>
        <v/>
      </c>
      <c r="F475" s="5" t="n"/>
    </row>
    <row r="476">
      <c r="A476" s="10">
        <f>IF($E476="","",INDEX('Input Transaksi'!$A:$A,$E476))</f>
        <v/>
      </c>
      <c r="B476" s="5">
        <f>IF($E476="","",INDEX('Input Transaksi'!$D:$D,$E476))</f>
        <v/>
      </c>
      <c r="C476">
        <f>IF($E476="","",INDEX('Input Transaksi'!$E:$E,$E476))</f>
        <v/>
      </c>
      <c r="D476" s="5">
        <f>IF($E476="","",INDEX('Input Transaksi'!$F:$F,$E476))</f>
        <v/>
      </c>
      <c r="E476">
        <f>IFERROR(AGGREGATE(15,6,ROW('Input Transaksi'!$B$5:$B$5000)/('Input Transaksi'!$B$5:$B$5000="CUCI DEWE"),ROWS($E$5:E476)),"")</f>
        <v/>
      </c>
      <c r="F476" s="5" t="n"/>
    </row>
    <row r="477">
      <c r="A477" s="10">
        <f>IF($E477="","",INDEX('Input Transaksi'!$A:$A,$E477))</f>
        <v/>
      </c>
      <c r="B477" s="5">
        <f>IF($E477="","",INDEX('Input Transaksi'!$D:$D,$E477))</f>
        <v/>
      </c>
      <c r="C477">
        <f>IF($E477="","",INDEX('Input Transaksi'!$E:$E,$E477))</f>
        <v/>
      </c>
      <c r="D477" s="5">
        <f>IF($E477="","",INDEX('Input Transaksi'!$F:$F,$E477))</f>
        <v/>
      </c>
      <c r="E477">
        <f>IFERROR(AGGREGATE(15,6,ROW('Input Transaksi'!$B$5:$B$5000)/('Input Transaksi'!$B$5:$B$5000="CUCI DEWE"),ROWS($E$5:E477)),"")</f>
        <v/>
      </c>
      <c r="F477" s="5" t="n"/>
    </row>
    <row r="478">
      <c r="A478" s="10">
        <f>IF($E478="","",INDEX('Input Transaksi'!$A:$A,$E478))</f>
        <v/>
      </c>
      <c r="B478" s="5">
        <f>IF($E478="","",INDEX('Input Transaksi'!$D:$D,$E478))</f>
        <v/>
      </c>
      <c r="C478">
        <f>IF($E478="","",INDEX('Input Transaksi'!$E:$E,$E478))</f>
        <v/>
      </c>
      <c r="D478" s="5">
        <f>IF($E478="","",INDEX('Input Transaksi'!$F:$F,$E478))</f>
        <v/>
      </c>
      <c r="E478">
        <f>IFERROR(AGGREGATE(15,6,ROW('Input Transaksi'!$B$5:$B$5000)/('Input Transaksi'!$B$5:$B$5000="CUCI DEWE"),ROWS($E$5:E478)),"")</f>
        <v/>
      </c>
      <c r="F478" s="5" t="n"/>
    </row>
    <row r="479">
      <c r="A479" s="10">
        <f>IF($E479="","",INDEX('Input Transaksi'!$A:$A,$E479))</f>
        <v/>
      </c>
      <c r="B479" s="5">
        <f>IF($E479="","",INDEX('Input Transaksi'!$D:$D,$E479))</f>
        <v/>
      </c>
      <c r="C479">
        <f>IF($E479="","",INDEX('Input Transaksi'!$E:$E,$E479))</f>
        <v/>
      </c>
      <c r="D479" s="5">
        <f>IF($E479="","",INDEX('Input Transaksi'!$F:$F,$E479))</f>
        <v/>
      </c>
      <c r="E479">
        <f>IFERROR(AGGREGATE(15,6,ROW('Input Transaksi'!$B$5:$B$5000)/('Input Transaksi'!$B$5:$B$5000="CUCI DEWE"),ROWS($E$5:E479)),"")</f>
        <v/>
      </c>
      <c r="F479" s="5" t="n"/>
    </row>
    <row r="480">
      <c r="A480" s="10">
        <f>IF($E480="","",INDEX('Input Transaksi'!$A:$A,$E480))</f>
        <v/>
      </c>
      <c r="B480" s="5">
        <f>IF($E480="","",INDEX('Input Transaksi'!$D:$D,$E480))</f>
        <v/>
      </c>
      <c r="C480">
        <f>IF($E480="","",INDEX('Input Transaksi'!$E:$E,$E480))</f>
        <v/>
      </c>
      <c r="D480" s="5">
        <f>IF($E480="","",INDEX('Input Transaksi'!$F:$F,$E480))</f>
        <v/>
      </c>
      <c r="E480">
        <f>IFERROR(AGGREGATE(15,6,ROW('Input Transaksi'!$B$5:$B$5000)/('Input Transaksi'!$B$5:$B$5000="CUCI DEWE"),ROWS($E$5:E480)),"")</f>
        <v/>
      </c>
      <c r="F480" s="5" t="n"/>
    </row>
    <row r="481">
      <c r="A481" s="10">
        <f>IF($E481="","",INDEX('Input Transaksi'!$A:$A,$E481))</f>
        <v/>
      </c>
      <c r="B481" s="5">
        <f>IF($E481="","",INDEX('Input Transaksi'!$D:$D,$E481))</f>
        <v/>
      </c>
      <c r="C481">
        <f>IF($E481="","",INDEX('Input Transaksi'!$E:$E,$E481))</f>
        <v/>
      </c>
      <c r="D481" s="5">
        <f>IF($E481="","",INDEX('Input Transaksi'!$F:$F,$E481))</f>
        <v/>
      </c>
      <c r="E481">
        <f>IFERROR(AGGREGATE(15,6,ROW('Input Transaksi'!$B$5:$B$5000)/('Input Transaksi'!$B$5:$B$5000="CUCI DEWE"),ROWS($E$5:E481)),"")</f>
        <v/>
      </c>
      <c r="F481" s="5" t="n"/>
    </row>
    <row r="482">
      <c r="A482" s="10">
        <f>IF($E482="","",INDEX('Input Transaksi'!$A:$A,$E482))</f>
        <v/>
      </c>
      <c r="B482" s="5">
        <f>IF($E482="","",INDEX('Input Transaksi'!$D:$D,$E482))</f>
        <v/>
      </c>
      <c r="C482">
        <f>IF($E482="","",INDEX('Input Transaksi'!$E:$E,$E482))</f>
        <v/>
      </c>
      <c r="D482" s="5">
        <f>IF($E482="","",INDEX('Input Transaksi'!$F:$F,$E482))</f>
        <v/>
      </c>
      <c r="E482">
        <f>IFERROR(AGGREGATE(15,6,ROW('Input Transaksi'!$B$5:$B$5000)/('Input Transaksi'!$B$5:$B$5000="CUCI DEWE"),ROWS($E$5:E482)),"")</f>
        <v/>
      </c>
      <c r="F482" s="5" t="n"/>
    </row>
    <row r="483">
      <c r="A483" s="10">
        <f>IF($E483="","",INDEX('Input Transaksi'!$A:$A,$E483))</f>
        <v/>
      </c>
      <c r="B483" s="5">
        <f>IF($E483="","",INDEX('Input Transaksi'!$D:$D,$E483))</f>
        <v/>
      </c>
      <c r="C483">
        <f>IF($E483="","",INDEX('Input Transaksi'!$E:$E,$E483))</f>
        <v/>
      </c>
      <c r="D483" s="5">
        <f>IF($E483="","",INDEX('Input Transaksi'!$F:$F,$E483))</f>
        <v/>
      </c>
      <c r="E483">
        <f>IFERROR(AGGREGATE(15,6,ROW('Input Transaksi'!$B$5:$B$5000)/('Input Transaksi'!$B$5:$B$5000="CUCI DEWE"),ROWS($E$5:E483)),"")</f>
        <v/>
      </c>
      <c r="F483" s="5" t="n"/>
    </row>
    <row r="484">
      <c r="A484" s="10">
        <f>IF($E484="","",INDEX('Input Transaksi'!$A:$A,$E484))</f>
        <v/>
      </c>
      <c r="B484" s="5">
        <f>IF($E484="","",INDEX('Input Transaksi'!$D:$D,$E484))</f>
        <v/>
      </c>
      <c r="C484">
        <f>IF($E484="","",INDEX('Input Transaksi'!$E:$E,$E484))</f>
        <v/>
      </c>
      <c r="D484" s="5">
        <f>IF($E484="","",INDEX('Input Transaksi'!$F:$F,$E484))</f>
        <v/>
      </c>
      <c r="E484">
        <f>IFERROR(AGGREGATE(15,6,ROW('Input Transaksi'!$B$5:$B$5000)/('Input Transaksi'!$B$5:$B$5000="CUCI DEWE"),ROWS($E$5:E484)),"")</f>
        <v/>
      </c>
      <c r="F484" s="5" t="n"/>
    </row>
    <row r="485">
      <c r="A485" s="10">
        <f>IF($E485="","",INDEX('Input Transaksi'!$A:$A,$E485))</f>
        <v/>
      </c>
      <c r="B485" s="5">
        <f>IF($E485="","",INDEX('Input Transaksi'!$D:$D,$E485))</f>
        <v/>
      </c>
      <c r="C485">
        <f>IF($E485="","",INDEX('Input Transaksi'!$E:$E,$E485))</f>
        <v/>
      </c>
      <c r="D485" s="5">
        <f>IF($E485="","",INDEX('Input Transaksi'!$F:$F,$E485))</f>
        <v/>
      </c>
      <c r="E485">
        <f>IFERROR(AGGREGATE(15,6,ROW('Input Transaksi'!$B$5:$B$5000)/('Input Transaksi'!$B$5:$B$5000="CUCI DEWE"),ROWS($E$5:E485)),"")</f>
        <v/>
      </c>
      <c r="F485" s="5" t="n"/>
    </row>
    <row r="486">
      <c r="A486" s="10">
        <f>IF($E486="","",INDEX('Input Transaksi'!$A:$A,$E486))</f>
        <v/>
      </c>
      <c r="B486" s="5">
        <f>IF($E486="","",INDEX('Input Transaksi'!$D:$D,$E486))</f>
        <v/>
      </c>
      <c r="C486">
        <f>IF($E486="","",INDEX('Input Transaksi'!$E:$E,$E486))</f>
        <v/>
      </c>
      <c r="D486" s="5">
        <f>IF($E486="","",INDEX('Input Transaksi'!$F:$F,$E486))</f>
        <v/>
      </c>
      <c r="E486">
        <f>IFERROR(AGGREGATE(15,6,ROW('Input Transaksi'!$B$5:$B$5000)/('Input Transaksi'!$B$5:$B$5000="CUCI DEWE"),ROWS($E$5:E486)),"")</f>
        <v/>
      </c>
      <c r="F486" s="5" t="n"/>
    </row>
    <row r="487">
      <c r="A487" s="10">
        <f>IF($E487="","",INDEX('Input Transaksi'!$A:$A,$E487))</f>
        <v/>
      </c>
      <c r="B487" s="5">
        <f>IF($E487="","",INDEX('Input Transaksi'!$D:$D,$E487))</f>
        <v/>
      </c>
      <c r="C487">
        <f>IF($E487="","",INDEX('Input Transaksi'!$E:$E,$E487))</f>
        <v/>
      </c>
      <c r="D487" s="5">
        <f>IF($E487="","",INDEX('Input Transaksi'!$F:$F,$E487))</f>
        <v/>
      </c>
      <c r="E487">
        <f>IFERROR(AGGREGATE(15,6,ROW('Input Transaksi'!$B$5:$B$5000)/('Input Transaksi'!$B$5:$B$5000="CUCI DEWE"),ROWS($E$5:E487)),"")</f>
        <v/>
      </c>
      <c r="F487" s="5" t="n"/>
    </row>
    <row r="488">
      <c r="A488" s="10">
        <f>IF($E488="","",INDEX('Input Transaksi'!$A:$A,$E488))</f>
        <v/>
      </c>
      <c r="B488" s="5">
        <f>IF($E488="","",INDEX('Input Transaksi'!$D:$D,$E488))</f>
        <v/>
      </c>
      <c r="C488">
        <f>IF($E488="","",INDEX('Input Transaksi'!$E:$E,$E488))</f>
        <v/>
      </c>
      <c r="D488" s="5">
        <f>IF($E488="","",INDEX('Input Transaksi'!$F:$F,$E488))</f>
        <v/>
      </c>
      <c r="E488">
        <f>IFERROR(AGGREGATE(15,6,ROW('Input Transaksi'!$B$5:$B$5000)/('Input Transaksi'!$B$5:$B$5000="CUCI DEWE"),ROWS($E$5:E488)),"")</f>
        <v/>
      </c>
      <c r="F488" s="5" t="n"/>
    </row>
    <row r="489">
      <c r="A489" s="10">
        <f>IF($E489="","",INDEX('Input Transaksi'!$A:$A,$E489))</f>
        <v/>
      </c>
      <c r="B489" s="5">
        <f>IF($E489="","",INDEX('Input Transaksi'!$D:$D,$E489))</f>
        <v/>
      </c>
      <c r="C489">
        <f>IF($E489="","",INDEX('Input Transaksi'!$E:$E,$E489))</f>
        <v/>
      </c>
      <c r="D489" s="5">
        <f>IF($E489="","",INDEX('Input Transaksi'!$F:$F,$E489))</f>
        <v/>
      </c>
      <c r="E489">
        <f>IFERROR(AGGREGATE(15,6,ROW('Input Transaksi'!$B$5:$B$5000)/('Input Transaksi'!$B$5:$B$5000="CUCI DEWE"),ROWS($E$5:E489)),"")</f>
        <v/>
      </c>
      <c r="F489" s="5" t="n"/>
    </row>
    <row r="490">
      <c r="A490" s="10">
        <f>IF($E490="","",INDEX('Input Transaksi'!$A:$A,$E490))</f>
        <v/>
      </c>
      <c r="B490" s="5">
        <f>IF($E490="","",INDEX('Input Transaksi'!$D:$D,$E490))</f>
        <v/>
      </c>
      <c r="C490">
        <f>IF($E490="","",INDEX('Input Transaksi'!$E:$E,$E490))</f>
        <v/>
      </c>
      <c r="D490" s="5">
        <f>IF($E490="","",INDEX('Input Transaksi'!$F:$F,$E490))</f>
        <v/>
      </c>
      <c r="E490">
        <f>IFERROR(AGGREGATE(15,6,ROW('Input Transaksi'!$B$5:$B$5000)/('Input Transaksi'!$B$5:$B$5000="CUCI DEWE"),ROWS($E$5:E490)),"")</f>
        <v/>
      </c>
      <c r="F490" s="5" t="n"/>
    </row>
    <row r="491">
      <c r="A491" s="10">
        <f>IF($E491="","",INDEX('Input Transaksi'!$A:$A,$E491))</f>
        <v/>
      </c>
      <c r="B491" s="5">
        <f>IF($E491="","",INDEX('Input Transaksi'!$D:$D,$E491))</f>
        <v/>
      </c>
      <c r="C491">
        <f>IF($E491="","",INDEX('Input Transaksi'!$E:$E,$E491))</f>
        <v/>
      </c>
      <c r="D491" s="5">
        <f>IF($E491="","",INDEX('Input Transaksi'!$F:$F,$E491))</f>
        <v/>
      </c>
      <c r="E491">
        <f>IFERROR(AGGREGATE(15,6,ROW('Input Transaksi'!$B$5:$B$5000)/('Input Transaksi'!$B$5:$B$5000="CUCI DEWE"),ROWS($E$5:E491)),"")</f>
        <v/>
      </c>
      <c r="F491" s="5" t="n"/>
    </row>
    <row r="492">
      <c r="A492" s="10">
        <f>IF($E492="","",INDEX('Input Transaksi'!$A:$A,$E492))</f>
        <v/>
      </c>
      <c r="B492" s="5">
        <f>IF($E492="","",INDEX('Input Transaksi'!$D:$D,$E492))</f>
        <v/>
      </c>
      <c r="C492">
        <f>IF($E492="","",INDEX('Input Transaksi'!$E:$E,$E492))</f>
        <v/>
      </c>
      <c r="D492" s="5">
        <f>IF($E492="","",INDEX('Input Transaksi'!$F:$F,$E492))</f>
        <v/>
      </c>
      <c r="E492">
        <f>IFERROR(AGGREGATE(15,6,ROW('Input Transaksi'!$B$5:$B$5000)/('Input Transaksi'!$B$5:$B$5000="CUCI DEWE"),ROWS($E$5:E492)),"")</f>
        <v/>
      </c>
      <c r="F492" s="5" t="n"/>
    </row>
    <row r="493">
      <c r="A493" s="10">
        <f>IF($E493="","",INDEX('Input Transaksi'!$A:$A,$E493))</f>
        <v/>
      </c>
      <c r="B493" s="5">
        <f>IF($E493="","",INDEX('Input Transaksi'!$D:$D,$E493))</f>
        <v/>
      </c>
      <c r="C493">
        <f>IF($E493="","",INDEX('Input Transaksi'!$E:$E,$E493))</f>
        <v/>
      </c>
      <c r="D493" s="5">
        <f>IF($E493="","",INDEX('Input Transaksi'!$F:$F,$E493))</f>
        <v/>
      </c>
      <c r="E493">
        <f>IFERROR(AGGREGATE(15,6,ROW('Input Transaksi'!$B$5:$B$5000)/('Input Transaksi'!$B$5:$B$5000="CUCI DEWE"),ROWS($E$5:E493)),"")</f>
        <v/>
      </c>
      <c r="F493" s="5" t="n"/>
    </row>
    <row r="494">
      <c r="A494" s="10">
        <f>IF($E494="","",INDEX('Input Transaksi'!$A:$A,$E494))</f>
        <v/>
      </c>
      <c r="B494" s="5">
        <f>IF($E494="","",INDEX('Input Transaksi'!$D:$D,$E494))</f>
        <v/>
      </c>
      <c r="C494">
        <f>IF($E494="","",INDEX('Input Transaksi'!$E:$E,$E494))</f>
        <v/>
      </c>
      <c r="D494" s="5">
        <f>IF($E494="","",INDEX('Input Transaksi'!$F:$F,$E494))</f>
        <v/>
      </c>
      <c r="E494">
        <f>IFERROR(AGGREGATE(15,6,ROW('Input Transaksi'!$B$5:$B$5000)/('Input Transaksi'!$B$5:$B$5000="CUCI DEWE"),ROWS($E$5:E494)),"")</f>
        <v/>
      </c>
      <c r="F494" s="5" t="n"/>
    </row>
    <row r="495">
      <c r="A495" s="10">
        <f>IF($E495="","",INDEX('Input Transaksi'!$A:$A,$E495))</f>
        <v/>
      </c>
      <c r="B495" s="5">
        <f>IF($E495="","",INDEX('Input Transaksi'!$D:$D,$E495))</f>
        <v/>
      </c>
      <c r="C495">
        <f>IF($E495="","",INDEX('Input Transaksi'!$E:$E,$E495))</f>
        <v/>
      </c>
      <c r="D495" s="5">
        <f>IF($E495="","",INDEX('Input Transaksi'!$F:$F,$E495))</f>
        <v/>
      </c>
      <c r="E495">
        <f>IFERROR(AGGREGATE(15,6,ROW('Input Transaksi'!$B$5:$B$5000)/('Input Transaksi'!$B$5:$B$5000="CUCI DEWE"),ROWS($E$5:E495)),"")</f>
        <v/>
      </c>
      <c r="F495" s="5" t="n"/>
    </row>
    <row r="496">
      <c r="A496" s="10">
        <f>IF($E496="","",INDEX('Input Transaksi'!$A:$A,$E496))</f>
        <v/>
      </c>
      <c r="B496" s="5">
        <f>IF($E496="","",INDEX('Input Transaksi'!$D:$D,$E496))</f>
        <v/>
      </c>
      <c r="C496">
        <f>IF($E496="","",INDEX('Input Transaksi'!$E:$E,$E496))</f>
        <v/>
      </c>
      <c r="D496" s="5">
        <f>IF($E496="","",INDEX('Input Transaksi'!$F:$F,$E496))</f>
        <v/>
      </c>
      <c r="E496">
        <f>IFERROR(AGGREGATE(15,6,ROW('Input Transaksi'!$B$5:$B$5000)/('Input Transaksi'!$B$5:$B$5000="CUCI DEWE"),ROWS($E$5:E496)),"")</f>
        <v/>
      </c>
      <c r="F496" s="5" t="n"/>
    </row>
    <row r="497">
      <c r="A497" s="10">
        <f>IF($E497="","",INDEX('Input Transaksi'!$A:$A,$E497))</f>
        <v/>
      </c>
      <c r="B497" s="5">
        <f>IF($E497="","",INDEX('Input Transaksi'!$D:$D,$E497))</f>
        <v/>
      </c>
      <c r="C497">
        <f>IF($E497="","",INDEX('Input Transaksi'!$E:$E,$E497))</f>
        <v/>
      </c>
      <c r="D497" s="5">
        <f>IF($E497="","",INDEX('Input Transaksi'!$F:$F,$E497))</f>
        <v/>
      </c>
      <c r="E497">
        <f>IFERROR(AGGREGATE(15,6,ROW('Input Transaksi'!$B$5:$B$5000)/('Input Transaksi'!$B$5:$B$5000="CUCI DEWE"),ROWS($E$5:E497)),"")</f>
        <v/>
      </c>
      <c r="F497" s="5" t="n"/>
    </row>
    <row r="498">
      <c r="A498" s="10">
        <f>IF($E498="","",INDEX('Input Transaksi'!$A:$A,$E498))</f>
        <v/>
      </c>
      <c r="B498" s="5">
        <f>IF($E498="","",INDEX('Input Transaksi'!$D:$D,$E498))</f>
        <v/>
      </c>
      <c r="C498">
        <f>IF($E498="","",INDEX('Input Transaksi'!$E:$E,$E498))</f>
        <v/>
      </c>
      <c r="D498" s="5">
        <f>IF($E498="","",INDEX('Input Transaksi'!$F:$F,$E498))</f>
        <v/>
      </c>
      <c r="E498">
        <f>IFERROR(AGGREGATE(15,6,ROW('Input Transaksi'!$B$5:$B$5000)/('Input Transaksi'!$B$5:$B$5000="CUCI DEWE"),ROWS($E$5:E498)),"")</f>
        <v/>
      </c>
      <c r="F498" s="5" t="n"/>
    </row>
    <row r="499">
      <c r="A499" s="10">
        <f>IF($E499="","",INDEX('Input Transaksi'!$A:$A,$E499))</f>
        <v/>
      </c>
      <c r="B499" s="5">
        <f>IF($E499="","",INDEX('Input Transaksi'!$D:$D,$E499))</f>
        <v/>
      </c>
      <c r="C499">
        <f>IF($E499="","",INDEX('Input Transaksi'!$E:$E,$E499))</f>
        <v/>
      </c>
      <c r="D499" s="5">
        <f>IF($E499="","",INDEX('Input Transaksi'!$F:$F,$E499))</f>
        <v/>
      </c>
      <c r="E499">
        <f>IFERROR(AGGREGATE(15,6,ROW('Input Transaksi'!$B$5:$B$5000)/('Input Transaksi'!$B$5:$B$5000="CUCI DEWE"),ROWS($E$5:E499)),"")</f>
        <v/>
      </c>
      <c r="F499" s="5" t="n"/>
    </row>
    <row r="500">
      <c r="A500" s="10">
        <f>IF($E500="","",INDEX('Input Transaksi'!$A:$A,$E500))</f>
        <v/>
      </c>
      <c r="B500" s="5">
        <f>IF($E500="","",INDEX('Input Transaksi'!$D:$D,$E500))</f>
        <v/>
      </c>
      <c r="C500">
        <f>IF($E500="","",INDEX('Input Transaksi'!$E:$E,$E500))</f>
        <v/>
      </c>
      <c r="D500" s="5">
        <f>IF($E500="","",INDEX('Input Transaksi'!$F:$F,$E500))</f>
        <v/>
      </c>
      <c r="E500">
        <f>IFERROR(AGGREGATE(15,6,ROW('Input Transaksi'!$B$5:$B$5000)/('Input Transaksi'!$B$5:$B$5000="CUCI DEWE"),ROWS($E$5:E500)),"")</f>
        <v/>
      </c>
      <c r="F500" s="5" t="n"/>
    </row>
    <row r="501">
      <c r="A501" s="10">
        <f>IF($E501="","",INDEX('Input Transaksi'!$A:$A,$E501))</f>
        <v/>
      </c>
      <c r="B501" s="5">
        <f>IF($E501="","",INDEX('Input Transaksi'!$D:$D,$E501))</f>
        <v/>
      </c>
      <c r="C501">
        <f>IF($E501="","",INDEX('Input Transaksi'!$E:$E,$E501))</f>
        <v/>
      </c>
      <c r="D501" s="5">
        <f>IF($E501="","",INDEX('Input Transaksi'!$F:$F,$E501))</f>
        <v/>
      </c>
      <c r="E501">
        <f>IFERROR(AGGREGATE(15,6,ROW('Input Transaksi'!$B$5:$B$5000)/('Input Transaksi'!$B$5:$B$5000="CUCI DEWE"),ROWS($E$5:E501)),"")</f>
        <v/>
      </c>
      <c r="F501" s="5" t="n"/>
    </row>
    <row r="502">
      <c r="A502" s="10">
        <f>IF($E502="","",INDEX('Input Transaksi'!$A:$A,$E502))</f>
        <v/>
      </c>
      <c r="B502" s="5">
        <f>IF($E502="","",INDEX('Input Transaksi'!$D:$D,$E502))</f>
        <v/>
      </c>
      <c r="C502">
        <f>IF($E502="","",INDEX('Input Transaksi'!$E:$E,$E502))</f>
        <v/>
      </c>
      <c r="D502" s="5">
        <f>IF($E502="","",INDEX('Input Transaksi'!$F:$F,$E502))</f>
        <v/>
      </c>
      <c r="E502">
        <f>IFERROR(AGGREGATE(15,6,ROW('Input Transaksi'!$B$5:$B$5000)/('Input Transaksi'!$B$5:$B$5000="CUCI DEWE"),ROWS($E$5:E502)),"")</f>
        <v/>
      </c>
      <c r="F502" s="5" t="n"/>
    </row>
    <row r="503">
      <c r="A503" s="10">
        <f>IF($E503="","",INDEX('Input Transaksi'!$A:$A,$E503))</f>
        <v/>
      </c>
      <c r="B503" s="5">
        <f>IF($E503="","",INDEX('Input Transaksi'!$D:$D,$E503))</f>
        <v/>
      </c>
      <c r="C503">
        <f>IF($E503="","",INDEX('Input Transaksi'!$E:$E,$E503))</f>
        <v/>
      </c>
      <c r="D503" s="5">
        <f>IF($E503="","",INDEX('Input Transaksi'!$F:$F,$E503))</f>
        <v/>
      </c>
      <c r="E503">
        <f>IFERROR(AGGREGATE(15,6,ROW('Input Transaksi'!$B$5:$B$5000)/('Input Transaksi'!$B$5:$B$5000="CUCI DEWE"),ROWS($E$5:E503)),"")</f>
        <v/>
      </c>
      <c r="F503" s="5" t="n"/>
    </row>
    <row r="504">
      <c r="A504" s="10">
        <f>IF($E504="","",INDEX('Input Transaksi'!$A:$A,$E504))</f>
        <v/>
      </c>
      <c r="B504" s="5">
        <f>IF($E504="","",INDEX('Input Transaksi'!$D:$D,$E504))</f>
        <v/>
      </c>
      <c r="C504">
        <f>IF($E504="","",INDEX('Input Transaksi'!$E:$E,$E504))</f>
        <v/>
      </c>
      <c r="D504" s="5">
        <f>IF($E504="","",INDEX('Input Transaksi'!$F:$F,$E504))</f>
        <v/>
      </c>
      <c r="E504">
        <f>IFERROR(AGGREGATE(15,6,ROW('Input Transaksi'!$B$5:$B$5000)/('Input Transaksi'!$B$5:$B$5000="CUCI DEWE"),ROWS($E$5:E504)),"")</f>
        <v/>
      </c>
      <c r="F504" s="5" t="n"/>
    </row>
    <row r="505">
      <c r="A505" s="10">
        <f>IF($E505="","",INDEX('Input Transaksi'!$A:$A,$E505))</f>
        <v/>
      </c>
      <c r="B505" s="5">
        <f>IF($E505="","",INDEX('Input Transaksi'!$D:$D,$E505))</f>
        <v/>
      </c>
      <c r="C505">
        <f>IF($E505="","",INDEX('Input Transaksi'!$E:$E,$E505))</f>
        <v/>
      </c>
      <c r="D505" s="5">
        <f>IF($E505="","",INDEX('Input Transaksi'!$F:$F,$E505))</f>
        <v/>
      </c>
      <c r="E505">
        <f>IFERROR(AGGREGATE(15,6,ROW('Input Transaksi'!$B$5:$B$5000)/('Input Transaksi'!$B$5:$B$5000="CUCI DEWE"),ROWS($E$5:E505)),"")</f>
        <v/>
      </c>
      <c r="F505" s="5" t="n"/>
    </row>
    <row r="506">
      <c r="A506" s="10">
        <f>IF($E506="","",INDEX('Input Transaksi'!$A:$A,$E506))</f>
        <v/>
      </c>
      <c r="B506" s="5">
        <f>IF($E506="","",INDEX('Input Transaksi'!$D:$D,$E506))</f>
        <v/>
      </c>
      <c r="C506">
        <f>IF($E506="","",INDEX('Input Transaksi'!$E:$E,$E506))</f>
        <v/>
      </c>
      <c r="D506" s="5">
        <f>IF($E506="","",INDEX('Input Transaksi'!$F:$F,$E506))</f>
        <v/>
      </c>
      <c r="E506">
        <f>IFERROR(AGGREGATE(15,6,ROW('Input Transaksi'!$B$5:$B$5000)/('Input Transaksi'!$B$5:$B$5000="CUCI DEWE"),ROWS($E$5:E506)),"")</f>
        <v/>
      </c>
      <c r="F506" s="5" t="n"/>
    </row>
    <row r="507">
      <c r="A507" s="10">
        <f>IF($E507="","",INDEX('Input Transaksi'!$A:$A,$E507))</f>
        <v/>
      </c>
      <c r="B507" s="5">
        <f>IF($E507="","",INDEX('Input Transaksi'!$D:$D,$E507))</f>
        <v/>
      </c>
      <c r="C507">
        <f>IF($E507="","",INDEX('Input Transaksi'!$E:$E,$E507))</f>
        <v/>
      </c>
      <c r="D507" s="5">
        <f>IF($E507="","",INDEX('Input Transaksi'!$F:$F,$E507))</f>
        <v/>
      </c>
      <c r="E507">
        <f>IFERROR(AGGREGATE(15,6,ROW('Input Transaksi'!$B$5:$B$5000)/('Input Transaksi'!$B$5:$B$5000="CUCI DEWE"),ROWS($E$5:E507)),"")</f>
        <v/>
      </c>
      <c r="F507" s="5" t="n"/>
    </row>
    <row r="508">
      <c r="A508" s="10">
        <f>IF($E508="","",INDEX('Input Transaksi'!$A:$A,$E508))</f>
        <v/>
      </c>
      <c r="B508" s="5">
        <f>IF($E508="","",INDEX('Input Transaksi'!$D:$D,$E508))</f>
        <v/>
      </c>
      <c r="C508">
        <f>IF($E508="","",INDEX('Input Transaksi'!$E:$E,$E508))</f>
        <v/>
      </c>
      <c r="D508" s="5">
        <f>IF($E508="","",INDEX('Input Transaksi'!$F:$F,$E508))</f>
        <v/>
      </c>
      <c r="E508">
        <f>IFERROR(AGGREGATE(15,6,ROW('Input Transaksi'!$B$5:$B$5000)/('Input Transaksi'!$B$5:$B$5000="CUCI DEWE"),ROWS($E$5:E508)),"")</f>
        <v/>
      </c>
      <c r="F508" s="5" t="n"/>
    </row>
    <row r="509">
      <c r="A509" s="10">
        <f>IF($E509="","",INDEX('Input Transaksi'!$A:$A,$E509))</f>
        <v/>
      </c>
      <c r="B509" s="5">
        <f>IF($E509="","",INDEX('Input Transaksi'!$D:$D,$E509))</f>
        <v/>
      </c>
      <c r="C509">
        <f>IF($E509="","",INDEX('Input Transaksi'!$E:$E,$E509))</f>
        <v/>
      </c>
      <c r="D509" s="5">
        <f>IF($E509="","",INDEX('Input Transaksi'!$F:$F,$E509))</f>
        <v/>
      </c>
      <c r="E509">
        <f>IFERROR(AGGREGATE(15,6,ROW('Input Transaksi'!$B$5:$B$5000)/('Input Transaksi'!$B$5:$B$5000="CUCI DEWE"),ROWS($E$5:E509)),"")</f>
        <v/>
      </c>
      <c r="F509" s="5" t="n"/>
    </row>
    <row r="510">
      <c r="A510" s="10">
        <f>IF($E510="","",INDEX('Input Transaksi'!$A:$A,$E510))</f>
        <v/>
      </c>
      <c r="B510" s="5">
        <f>IF($E510="","",INDEX('Input Transaksi'!$D:$D,$E510))</f>
        <v/>
      </c>
      <c r="C510">
        <f>IF($E510="","",INDEX('Input Transaksi'!$E:$E,$E510))</f>
        <v/>
      </c>
      <c r="D510" s="5">
        <f>IF($E510="","",INDEX('Input Transaksi'!$F:$F,$E510))</f>
        <v/>
      </c>
      <c r="E510">
        <f>IFERROR(AGGREGATE(15,6,ROW('Input Transaksi'!$B$5:$B$5000)/('Input Transaksi'!$B$5:$B$5000="CUCI DEWE"),ROWS($E$5:E510)),"")</f>
        <v/>
      </c>
      <c r="F510" s="5" t="n"/>
    </row>
    <row r="511">
      <c r="A511" s="10">
        <f>IF($E511="","",INDEX('Input Transaksi'!$A:$A,$E511))</f>
        <v/>
      </c>
      <c r="B511" s="5">
        <f>IF($E511="","",INDEX('Input Transaksi'!$D:$D,$E511))</f>
        <v/>
      </c>
      <c r="C511">
        <f>IF($E511="","",INDEX('Input Transaksi'!$E:$E,$E511))</f>
        <v/>
      </c>
      <c r="D511" s="5">
        <f>IF($E511="","",INDEX('Input Transaksi'!$F:$F,$E511))</f>
        <v/>
      </c>
      <c r="E511">
        <f>IFERROR(AGGREGATE(15,6,ROW('Input Transaksi'!$B$5:$B$5000)/('Input Transaksi'!$B$5:$B$5000="CUCI DEWE"),ROWS($E$5:E511)),"")</f>
        <v/>
      </c>
      <c r="F511" s="5" t="n"/>
    </row>
    <row r="512">
      <c r="A512" s="10">
        <f>IF($E512="","",INDEX('Input Transaksi'!$A:$A,$E512))</f>
        <v/>
      </c>
      <c r="B512" s="5">
        <f>IF($E512="","",INDEX('Input Transaksi'!$D:$D,$E512))</f>
        <v/>
      </c>
      <c r="C512">
        <f>IF($E512="","",INDEX('Input Transaksi'!$E:$E,$E512))</f>
        <v/>
      </c>
      <c r="D512" s="5">
        <f>IF($E512="","",INDEX('Input Transaksi'!$F:$F,$E512))</f>
        <v/>
      </c>
      <c r="E512">
        <f>IFERROR(AGGREGATE(15,6,ROW('Input Transaksi'!$B$5:$B$5000)/('Input Transaksi'!$B$5:$B$5000="CUCI DEWE"),ROWS($E$5:E512)),"")</f>
        <v/>
      </c>
      <c r="F512" s="5" t="n"/>
    </row>
    <row r="513">
      <c r="A513" s="10">
        <f>IF($E513="","",INDEX('Input Transaksi'!$A:$A,$E513))</f>
        <v/>
      </c>
      <c r="B513" s="5">
        <f>IF($E513="","",INDEX('Input Transaksi'!$D:$D,$E513))</f>
        <v/>
      </c>
      <c r="C513">
        <f>IF($E513="","",INDEX('Input Transaksi'!$E:$E,$E513))</f>
        <v/>
      </c>
      <c r="D513" s="5">
        <f>IF($E513="","",INDEX('Input Transaksi'!$F:$F,$E513))</f>
        <v/>
      </c>
      <c r="E513">
        <f>IFERROR(AGGREGATE(15,6,ROW('Input Transaksi'!$B$5:$B$5000)/('Input Transaksi'!$B$5:$B$5000="CUCI DEWE"),ROWS($E$5:E513)),"")</f>
        <v/>
      </c>
      <c r="F513" s="5" t="n"/>
    </row>
    <row r="514">
      <c r="A514" s="10">
        <f>IF($E514="","",INDEX('Input Transaksi'!$A:$A,$E514))</f>
        <v/>
      </c>
      <c r="B514" s="5">
        <f>IF($E514="","",INDEX('Input Transaksi'!$D:$D,$E514))</f>
        <v/>
      </c>
      <c r="C514">
        <f>IF($E514="","",INDEX('Input Transaksi'!$E:$E,$E514))</f>
        <v/>
      </c>
      <c r="D514" s="5">
        <f>IF($E514="","",INDEX('Input Transaksi'!$F:$F,$E514))</f>
        <v/>
      </c>
      <c r="E514">
        <f>IFERROR(AGGREGATE(15,6,ROW('Input Transaksi'!$B$5:$B$5000)/('Input Transaksi'!$B$5:$B$5000="CUCI DEWE"),ROWS($E$5:E514)),"")</f>
        <v/>
      </c>
      <c r="F514" s="5" t="n"/>
    </row>
    <row r="515">
      <c r="A515" s="10">
        <f>IF($E515="","",INDEX('Input Transaksi'!$A:$A,$E515))</f>
        <v/>
      </c>
      <c r="B515" s="5">
        <f>IF($E515="","",INDEX('Input Transaksi'!$D:$D,$E515))</f>
        <v/>
      </c>
      <c r="C515">
        <f>IF($E515="","",INDEX('Input Transaksi'!$E:$E,$E515))</f>
        <v/>
      </c>
      <c r="D515" s="5">
        <f>IF($E515="","",INDEX('Input Transaksi'!$F:$F,$E515))</f>
        <v/>
      </c>
      <c r="E515">
        <f>IFERROR(AGGREGATE(15,6,ROW('Input Transaksi'!$B$5:$B$5000)/('Input Transaksi'!$B$5:$B$5000="CUCI DEWE"),ROWS($E$5:E515)),"")</f>
        <v/>
      </c>
      <c r="F515" s="5" t="n"/>
    </row>
    <row r="516">
      <c r="A516" s="10">
        <f>IF($E516="","",INDEX('Input Transaksi'!$A:$A,$E516))</f>
        <v/>
      </c>
      <c r="B516" s="5">
        <f>IF($E516="","",INDEX('Input Transaksi'!$D:$D,$E516))</f>
        <v/>
      </c>
      <c r="C516">
        <f>IF($E516="","",INDEX('Input Transaksi'!$E:$E,$E516))</f>
        <v/>
      </c>
      <c r="D516" s="5">
        <f>IF($E516="","",INDEX('Input Transaksi'!$F:$F,$E516))</f>
        <v/>
      </c>
      <c r="E516">
        <f>IFERROR(AGGREGATE(15,6,ROW('Input Transaksi'!$B$5:$B$5000)/('Input Transaksi'!$B$5:$B$5000="CUCI DEWE"),ROWS($E$5:E516)),"")</f>
        <v/>
      </c>
      <c r="F516" s="5" t="n"/>
    </row>
    <row r="517">
      <c r="A517" s="10">
        <f>IF($E517="","",INDEX('Input Transaksi'!$A:$A,$E517))</f>
        <v/>
      </c>
      <c r="B517" s="5">
        <f>IF($E517="","",INDEX('Input Transaksi'!$D:$D,$E517))</f>
        <v/>
      </c>
      <c r="C517">
        <f>IF($E517="","",INDEX('Input Transaksi'!$E:$E,$E517))</f>
        <v/>
      </c>
      <c r="D517" s="5">
        <f>IF($E517="","",INDEX('Input Transaksi'!$F:$F,$E517))</f>
        <v/>
      </c>
      <c r="E517">
        <f>IFERROR(AGGREGATE(15,6,ROW('Input Transaksi'!$B$5:$B$5000)/('Input Transaksi'!$B$5:$B$5000="CUCI DEWE"),ROWS($E$5:E517)),"")</f>
        <v/>
      </c>
      <c r="F517" s="5" t="n"/>
    </row>
    <row r="518">
      <c r="A518" s="10">
        <f>IF($E518="","",INDEX('Input Transaksi'!$A:$A,$E518))</f>
        <v/>
      </c>
      <c r="B518" s="5">
        <f>IF($E518="","",INDEX('Input Transaksi'!$D:$D,$E518))</f>
        <v/>
      </c>
      <c r="C518">
        <f>IF($E518="","",INDEX('Input Transaksi'!$E:$E,$E518))</f>
        <v/>
      </c>
      <c r="D518" s="5">
        <f>IF($E518="","",INDEX('Input Transaksi'!$F:$F,$E518))</f>
        <v/>
      </c>
      <c r="E518">
        <f>IFERROR(AGGREGATE(15,6,ROW('Input Transaksi'!$B$5:$B$5000)/('Input Transaksi'!$B$5:$B$5000="CUCI DEWE"),ROWS($E$5:E518)),"")</f>
        <v/>
      </c>
      <c r="F518" s="5" t="n"/>
    </row>
    <row r="519">
      <c r="A519" s="10">
        <f>IF($E519="","",INDEX('Input Transaksi'!$A:$A,$E519))</f>
        <v/>
      </c>
      <c r="B519" s="5">
        <f>IF($E519="","",INDEX('Input Transaksi'!$D:$D,$E519))</f>
        <v/>
      </c>
      <c r="C519">
        <f>IF($E519="","",INDEX('Input Transaksi'!$E:$E,$E519))</f>
        <v/>
      </c>
      <c r="D519" s="5">
        <f>IF($E519="","",INDEX('Input Transaksi'!$F:$F,$E519))</f>
        <v/>
      </c>
      <c r="E519">
        <f>IFERROR(AGGREGATE(15,6,ROW('Input Transaksi'!$B$5:$B$5000)/('Input Transaksi'!$B$5:$B$5000="CUCI DEWE"),ROWS($E$5:E519)),"")</f>
        <v/>
      </c>
      <c r="F519" s="5" t="n"/>
    </row>
    <row r="520">
      <c r="A520" s="10">
        <f>IF($E520="","",INDEX('Input Transaksi'!$A:$A,$E520))</f>
        <v/>
      </c>
      <c r="B520" s="5">
        <f>IF($E520="","",INDEX('Input Transaksi'!$D:$D,$E520))</f>
        <v/>
      </c>
      <c r="C520">
        <f>IF($E520="","",INDEX('Input Transaksi'!$E:$E,$E520))</f>
        <v/>
      </c>
      <c r="D520" s="5">
        <f>IF($E520="","",INDEX('Input Transaksi'!$F:$F,$E520))</f>
        <v/>
      </c>
      <c r="E520">
        <f>IFERROR(AGGREGATE(15,6,ROW('Input Transaksi'!$B$5:$B$5000)/('Input Transaksi'!$B$5:$B$5000="CUCI DEWE"),ROWS($E$5:E520)),"")</f>
        <v/>
      </c>
      <c r="F520" s="5" t="n"/>
    </row>
    <row r="521">
      <c r="A521" s="10">
        <f>IF($E521="","",INDEX('Input Transaksi'!$A:$A,$E521))</f>
        <v/>
      </c>
      <c r="B521" s="5">
        <f>IF($E521="","",INDEX('Input Transaksi'!$D:$D,$E521))</f>
        <v/>
      </c>
      <c r="C521">
        <f>IF($E521="","",INDEX('Input Transaksi'!$E:$E,$E521))</f>
        <v/>
      </c>
      <c r="D521" s="5">
        <f>IF($E521="","",INDEX('Input Transaksi'!$F:$F,$E521))</f>
        <v/>
      </c>
      <c r="E521">
        <f>IFERROR(AGGREGATE(15,6,ROW('Input Transaksi'!$B$5:$B$5000)/('Input Transaksi'!$B$5:$B$5000="CUCI DEWE"),ROWS($E$5:E521)),"")</f>
        <v/>
      </c>
      <c r="F521" s="5" t="n"/>
    </row>
    <row r="522">
      <c r="A522" s="10">
        <f>IF($E522="","",INDEX('Input Transaksi'!$A:$A,$E522))</f>
        <v/>
      </c>
      <c r="B522" s="5">
        <f>IF($E522="","",INDEX('Input Transaksi'!$D:$D,$E522))</f>
        <v/>
      </c>
      <c r="C522">
        <f>IF($E522="","",INDEX('Input Transaksi'!$E:$E,$E522))</f>
        <v/>
      </c>
      <c r="D522" s="5">
        <f>IF($E522="","",INDEX('Input Transaksi'!$F:$F,$E522))</f>
        <v/>
      </c>
      <c r="E522">
        <f>IFERROR(AGGREGATE(15,6,ROW('Input Transaksi'!$B$5:$B$5000)/('Input Transaksi'!$B$5:$B$5000="CUCI DEWE"),ROWS($E$5:E522)),"")</f>
        <v/>
      </c>
      <c r="F522" s="5" t="n"/>
    </row>
    <row r="523">
      <c r="A523" s="10">
        <f>IF($E523="","",INDEX('Input Transaksi'!$A:$A,$E523))</f>
        <v/>
      </c>
      <c r="B523" s="5">
        <f>IF($E523="","",INDEX('Input Transaksi'!$D:$D,$E523))</f>
        <v/>
      </c>
      <c r="C523">
        <f>IF($E523="","",INDEX('Input Transaksi'!$E:$E,$E523))</f>
        <v/>
      </c>
      <c r="D523" s="5">
        <f>IF($E523="","",INDEX('Input Transaksi'!$F:$F,$E523))</f>
        <v/>
      </c>
      <c r="E523">
        <f>IFERROR(AGGREGATE(15,6,ROW('Input Transaksi'!$B$5:$B$5000)/('Input Transaksi'!$B$5:$B$5000="CUCI DEWE"),ROWS($E$5:E523)),"")</f>
        <v/>
      </c>
      <c r="F523" s="5" t="n"/>
    </row>
    <row r="524">
      <c r="A524" s="10">
        <f>IF($E524="","",INDEX('Input Transaksi'!$A:$A,$E524))</f>
        <v/>
      </c>
      <c r="B524" s="5">
        <f>IF($E524="","",INDEX('Input Transaksi'!$D:$D,$E524))</f>
        <v/>
      </c>
      <c r="C524">
        <f>IF($E524="","",INDEX('Input Transaksi'!$E:$E,$E524))</f>
        <v/>
      </c>
      <c r="D524" s="5">
        <f>IF($E524="","",INDEX('Input Transaksi'!$F:$F,$E524))</f>
        <v/>
      </c>
      <c r="E524">
        <f>IFERROR(AGGREGATE(15,6,ROW('Input Transaksi'!$B$5:$B$5000)/('Input Transaksi'!$B$5:$B$5000="CUCI DEWE"),ROWS($E$5:E524)),"")</f>
        <v/>
      </c>
      <c r="F524" s="5" t="n"/>
    </row>
    <row r="525">
      <c r="A525" s="10">
        <f>IF($E525="","",INDEX('Input Transaksi'!$A:$A,$E525))</f>
        <v/>
      </c>
      <c r="B525" s="5">
        <f>IF($E525="","",INDEX('Input Transaksi'!$D:$D,$E525))</f>
        <v/>
      </c>
      <c r="C525">
        <f>IF($E525="","",INDEX('Input Transaksi'!$E:$E,$E525))</f>
        <v/>
      </c>
      <c r="D525" s="5">
        <f>IF($E525="","",INDEX('Input Transaksi'!$F:$F,$E525))</f>
        <v/>
      </c>
      <c r="E525">
        <f>IFERROR(AGGREGATE(15,6,ROW('Input Transaksi'!$B$5:$B$5000)/('Input Transaksi'!$B$5:$B$5000="CUCI DEWE"),ROWS($E$5:E525)),"")</f>
        <v/>
      </c>
      <c r="F525" s="5" t="n"/>
    </row>
    <row r="526">
      <c r="A526" s="10">
        <f>IF($E526="","",INDEX('Input Transaksi'!$A:$A,$E526))</f>
        <v/>
      </c>
      <c r="B526" s="5">
        <f>IF($E526="","",INDEX('Input Transaksi'!$D:$D,$E526))</f>
        <v/>
      </c>
      <c r="C526">
        <f>IF($E526="","",INDEX('Input Transaksi'!$E:$E,$E526))</f>
        <v/>
      </c>
      <c r="D526" s="5">
        <f>IF($E526="","",INDEX('Input Transaksi'!$F:$F,$E526))</f>
        <v/>
      </c>
      <c r="E526">
        <f>IFERROR(AGGREGATE(15,6,ROW('Input Transaksi'!$B$5:$B$5000)/('Input Transaksi'!$B$5:$B$5000="CUCI DEWE"),ROWS($E$5:E526)),"")</f>
        <v/>
      </c>
      <c r="F526" s="5" t="n"/>
    </row>
    <row r="527">
      <c r="A527" s="10">
        <f>IF($E527="","",INDEX('Input Transaksi'!$A:$A,$E527))</f>
        <v/>
      </c>
      <c r="B527" s="5">
        <f>IF($E527="","",INDEX('Input Transaksi'!$D:$D,$E527))</f>
        <v/>
      </c>
      <c r="C527">
        <f>IF($E527="","",INDEX('Input Transaksi'!$E:$E,$E527))</f>
        <v/>
      </c>
      <c r="D527" s="5">
        <f>IF($E527="","",INDEX('Input Transaksi'!$F:$F,$E527))</f>
        <v/>
      </c>
      <c r="E527">
        <f>IFERROR(AGGREGATE(15,6,ROW('Input Transaksi'!$B$5:$B$5000)/('Input Transaksi'!$B$5:$B$5000="CUCI DEWE"),ROWS($E$5:E527)),"")</f>
        <v/>
      </c>
      <c r="F527" s="5" t="n"/>
    </row>
    <row r="528">
      <c r="A528" s="10">
        <f>IF($E528="","",INDEX('Input Transaksi'!$A:$A,$E528))</f>
        <v/>
      </c>
      <c r="B528" s="5">
        <f>IF($E528="","",INDEX('Input Transaksi'!$D:$D,$E528))</f>
        <v/>
      </c>
      <c r="C528">
        <f>IF($E528="","",INDEX('Input Transaksi'!$E:$E,$E528))</f>
        <v/>
      </c>
      <c r="D528" s="5">
        <f>IF($E528="","",INDEX('Input Transaksi'!$F:$F,$E528))</f>
        <v/>
      </c>
      <c r="E528">
        <f>IFERROR(AGGREGATE(15,6,ROW('Input Transaksi'!$B$5:$B$5000)/('Input Transaksi'!$B$5:$B$5000="CUCI DEWE"),ROWS($E$5:E528)),"")</f>
        <v/>
      </c>
      <c r="F528" s="5" t="n"/>
    </row>
    <row r="529">
      <c r="A529" s="10">
        <f>IF($E529="","",INDEX('Input Transaksi'!$A:$A,$E529))</f>
        <v/>
      </c>
      <c r="B529" s="5">
        <f>IF($E529="","",INDEX('Input Transaksi'!$D:$D,$E529))</f>
        <v/>
      </c>
      <c r="C529">
        <f>IF($E529="","",INDEX('Input Transaksi'!$E:$E,$E529))</f>
        <v/>
      </c>
      <c r="D529" s="5">
        <f>IF($E529="","",INDEX('Input Transaksi'!$F:$F,$E529))</f>
        <v/>
      </c>
      <c r="E529">
        <f>IFERROR(AGGREGATE(15,6,ROW('Input Transaksi'!$B$5:$B$5000)/('Input Transaksi'!$B$5:$B$5000="CUCI DEWE"),ROWS($E$5:E529)),"")</f>
        <v/>
      </c>
      <c r="F529" s="5" t="n"/>
    </row>
    <row r="530">
      <c r="A530" s="10">
        <f>IF($E530="","",INDEX('Input Transaksi'!$A:$A,$E530))</f>
        <v/>
      </c>
      <c r="B530" s="5">
        <f>IF($E530="","",INDEX('Input Transaksi'!$D:$D,$E530))</f>
        <v/>
      </c>
      <c r="C530">
        <f>IF($E530="","",INDEX('Input Transaksi'!$E:$E,$E530))</f>
        <v/>
      </c>
      <c r="D530" s="5">
        <f>IF($E530="","",INDEX('Input Transaksi'!$F:$F,$E530))</f>
        <v/>
      </c>
      <c r="E530">
        <f>IFERROR(AGGREGATE(15,6,ROW('Input Transaksi'!$B$5:$B$5000)/('Input Transaksi'!$B$5:$B$5000="CUCI DEWE"),ROWS($E$5:E530)),"")</f>
        <v/>
      </c>
      <c r="F530" s="5" t="n"/>
    </row>
    <row r="531">
      <c r="A531" s="10">
        <f>IF($E531="","",INDEX('Input Transaksi'!$A:$A,$E531))</f>
        <v/>
      </c>
      <c r="B531" s="5">
        <f>IF($E531="","",INDEX('Input Transaksi'!$D:$D,$E531))</f>
        <v/>
      </c>
      <c r="C531">
        <f>IF($E531="","",INDEX('Input Transaksi'!$E:$E,$E531))</f>
        <v/>
      </c>
      <c r="D531" s="5">
        <f>IF($E531="","",INDEX('Input Transaksi'!$F:$F,$E531))</f>
        <v/>
      </c>
      <c r="E531">
        <f>IFERROR(AGGREGATE(15,6,ROW('Input Transaksi'!$B$5:$B$5000)/('Input Transaksi'!$B$5:$B$5000="CUCI DEWE"),ROWS($E$5:E531)),"")</f>
        <v/>
      </c>
      <c r="F531" s="5" t="n"/>
    </row>
    <row r="532">
      <c r="A532" s="10">
        <f>IF($E532="","",INDEX('Input Transaksi'!$A:$A,$E532))</f>
        <v/>
      </c>
      <c r="B532" s="5">
        <f>IF($E532="","",INDEX('Input Transaksi'!$D:$D,$E532))</f>
        <v/>
      </c>
      <c r="C532">
        <f>IF($E532="","",INDEX('Input Transaksi'!$E:$E,$E532))</f>
        <v/>
      </c>
      <c r="D532" s="5">
        <f>IF($E532="","",INDEX('Input Transaksi'!$F:$F,$E532))</f>
        <v/>
      </c>
      <c r="E532">
        <f>IFERROR(AGGREGATE(15,6,ROW('Input Transaksi'!$B$5:$B$5000)/('Input Transaksi'!$B$5:$B$5000="CUCI DEWE"),ROWS($E$5:E532)),"")</f>
        <v/>
      </c>
      <c r="F532" s="5" t="n"/>
    </row>
    <row r="533">
      <c r="A533" s="10">
        <f>IF($E533="","",INDEX('Input Transaksi'!$A:$A,$E533))</f>
        <v/>
      </c>
      <c r="B533" s="5">
        <f>IF($E533="","",INDEX('Input Transaksi'!$D:$D,$E533))</f>
        <v/>
      </c>
      <c r="C533">
        <f>IF($E533="","",INDEX('Input Transaksi'!$E:$E,$E533))</f>
        <v/>
      </c>
      <c r="D533" s="5">
        <f>IF($E533="","",INDEX('Input Transaksi'!$F:$F,$E533))</f>
        <v/>
      </c>
      <c r="E533">
        <f>IFERROR(AGGREGATE(15,6,ROW('Input Transaksi'!$B$5:$B$5000)/('Input Transaksi'!$B$5:$B$5000="CUCI DEWE"),ROWS($E$5:E533)),"")</f>
        <v/>
      </c>
      <c r="F533" s="5" t="n"/>
    </row>
    <row r="534">
      <c r="A534" s="10">
        <f>IF($E534="","",INDEX('Input Transaksi'!$A:$A,$E534))</f>
        <v/>
      </c>
      <c r="B534" s="5">
        <f>IF($E534="","",INDEX('Input Transaksi'!$D:$D,$E534))</f>
        <v/>
      </c>
      <c r="C534">
        <f>IF($E534="","",INDEX('Input Transaksi'!$E:$E,$E534))</f>
        <v/>
      </c>
      <c r="D534" s="5">
        <f>IF($E534="","",INDEX('Input Transaksi'!$F:$F,$E534))</f>
        <v/>
      </c>
      <c r="E534">
        <f>IFERROR(AGGREGATE(15,6,ROW('Input Transaksi'!$B$5:$B$5000)/('Input Transaksi'!$B$5:$B$5000="CUCI DEWE"),ROWS($E$5:E534)),"")</f>
        <v/>
      </c>
      <c r="F534" s="5" t="n"/>
    </row>
    <row r="535">
      <c r="A535" s="10">
        <f>IF($E535="","",INDEX('Input Transaksi'!$A:$A,$E535))</f>
        <v/>
      </c>
      <c r="B535" s="5">
        <f>IF($E535="","",INDEX('Input Transaksi'!$D:$D,$E535))</f>
        <v/>
      </c>
      <c r="C535">
        <f>IF($E535="","",INDEX('Input Transaksi'!$E:$E,$E535))</f>
        <v/>
      </c>
      <c r="D535" s="5">
        <f>IF($E535="","",INDEX('Input Transaksi'!$F:$F,$E535))</f>
        <v/>
      </c>
      <c r="E535">
        <f>IFERROR(AGGREGATE(15,6,ROW('Input Transaksi'!$B$5:$B$5000)/('Input Transaksi'!$B$5:$B$5000="CUCI DEWE"),ROWS($E$5:E535)),"")</f>
        <v/>
      </c>
      <c r="F535" s="5" t="n"/>
    </row>
    <row r="536">
      <c r="A536" s="10">
        <f>IF($E536="","",INDEX('Input Transaksi'!$A:$A,$E536))</f>
        <v/>
      </c>
      <c r="B536" s="5">
        <f>IF($E536="","",INDEX('Input Transaksi'!$D:$D,$E536))</f>
        <v/>
      </c>
      <c r="C536">
        <f>IF($E536="","",INDEX('Input Transaksi'!$E:$E,$E536))</f>
        <v/>
      </c>
      <c r="D536" s="5">
        <f>IF($E536="","",INDEX('Input Transaksi'!$F:$F,$E536))</f>
        <v/>
      </c>
      <c r="E536">
        <f>IFERROR(AGGREGATE(15,6,ROW('Input Transaksi'!$B$5:$B$5000)/('Input Transaksi'!$B$5:$B$5000="CUCI DEWE"),ROWS($E$5:E536)),"")</f>
        <v/>
      </c>
      <c r="F536" s="5" t="n"/>
    </row>
    <row r="537">
      <c r="A537" s="10">
        <f>IF($E537="","",INDEX('Input Transaksi'!$A:$A,$E537))</f>
        <v/>
      </c>
      <c r="B537" s="5">
        <f>IF($E537="","",INDEX('Input Transaksi'!$D:$D,$E537))</f>
        <v/>
      </c>
      <c r="C537">
        <f>IF($E537="","",INDEX('Input Transaksi'!$E:$E,$E537))</f>
        <v/>
      </c>
      <c r="D537" s="5">
        <f>IF($E537="","",INDEX('Input Transaksi'!$F:$F,$E537))</f>
        <v/>
      </c>
      <c r="E537">
        <f>IFERROR(AGGREGATE(15,6,ROW('Input Transaksi'!$B$5:$B$5000)/('Input Transaksi'!$B$5:$B$5000="CUCI DEWE"),ROWS($E$5:E537)),"")</f>
        <v/>
      </c>
      <c r="F537" s="5" t="n"/>
    </row>
    <row r="538">
      <c r="A538" s="10">
        <f>IF($E538="","",INDEX('Input Transaksi'!$A:$A,$E538))</f>
        <v/>
      </c>
      <c r="B538" s="5">
        <f>IF($E538="","",INDEX('Input Transaksi'!$D:$D,$E538))</f>
        <v/>
      </c>
      <c r="C538">
        <f>IF($E538="","",INDEX('Input Transaksi'!$E:$E,$E538))</f>
        <v/>
      </c>
      <c r="D538" s="5">
        <f>IF($E538="","",INDEX('Input Transaksi'!$F:$F,$E538))</f>
        <v/>
      </c>
      <c r="E538">
        <f>IFERROR(AGGREGATE(15,6,ROW('Input Transaksi'!$B$5:$B$5000)/('Input Transaksi'!$B$5:$B$5000="CUCI DEWE"),ROWS($E$5:E538)),"")</f>
        <v/>
      </c>
      <c r="F538" s="5" t="n"/>
    </row>
    <row r="539">
      <c r="A539" s="10">
        <f>IF($E539="","",INDEX('Input Transaksi'!$A:$A,$E539))</f>
        <v/>
      </c>
      <c r="B539" s="5">
        <f>IF($E539="","",INDEX('Input Transaksi'!$D:$D,$E539))</f>
        <v/>
      </c>
      <c r="C539">
        <f>IF($E539="","",INDEX('Input Transaksi'!$E:$E,$E539))</f>
        <v/>
      </c>
      <c r="D539" s="5">
        <f>IF($E539="","",INDEX('Input Transaksi'!$F:$F,$E539))</f>
        <v/>
      </c>
      <c r="E539">
        <f>IFERROR(AGGREGATE(15,6,ROW('Input Transaksi'!$B$5:$B$5000)/('Input Transaksi'!$B$5:$B$5000="CUCI DEWE"),ROWS($E$5:E539)),"")</f>
        <v/>
      </c>
      <c r="F539" s="5" t="n"/>
    </row>
    <row r="540">
      <c r="A540" s="10">
        <f>IF($E540="","",INDEX('Input Transaksi'!$A:$A,$E540))</f>
        <v/>
      </c>
      <c r="B540" s="5">
        <f>IF($E540="","",INDEX('Input Transaksi'!$D:$D,$E540))</f>
        <v/>
      </c>
      <c r="C540">
        <f>IF($E540="","",INDEX('Input Transaksi'!$E:$E,$E540))</f>
        <v/>
      </c>
      <c r="D540" s="5">
        <f>IF($E540="","",INDEX('Input Transaksi'!$F:$F,$E540))</f>
        <v/>
      </c>
      <c r="E540">
        <f>IFERROR(AGGREGATE(15,6,ROW('Input Transaksi'!$B$5:$B$5000)/('Input Transaksi'!$B$5:$B$5000="CUCI DEWE"),ROWS($E$5:E540)),"")</f>
        <v/>
      </c>
      <c r="F540" s="5" t="n"/>
    </row>
    <row r="541">
      <c r="A541" s="10">
        <f>IF($E541="","",INDEX('Input Transaksi'!$A:$A,$E541))</f>
        <v/>
      </c>
      <c r="B541" s="5">
        <f>IF($E541="","",INDEX('Input Transaksi'!$D:$D,$E541))</f>
        <v/>
      </c>
      <c r="C541">
        <f>IF($E541="","",INDEX('Input Transaksi'!$E:$E,$E541))</f>
        <v/>
      </c>
      <c r="D541" s="5">
        <f>IF($E541="","",INDEX('Input Transaksi'!$F:$F,$E541))</f>
        <v/>
      </c>
      <c r="E541">
        <f>IFERROR(AGGREGATE(15,6,ROW('Input Transaksi'!$B$5:$B$5000)/('Input Transaksi'!$B$5:$B$5000="CUCI DEWE"),ROWS($E$5:E541)),"")</f>
        <v/>
      </c>
      <c r="F541" s="5" t="n"/>
    </row>
    <row r="542">
      <c r="A542" s="10">
        <f>IF($E542="","",INDEX('Input Transaksi'!$A:$A,$E542))</f>
        <v/>
      </c>
      <c r="B542" s="5">
        <f>IF($E542="","",INDEX('Input Transaksi'!$D:$D,$E542))</f>
        <v/>
      </c>
      <c r="C542">
        <f>IF($E542="","",INDEX('Input Transaksi'!$E:$E,$E542))</f>
        <v/>
      </c>
      <c r="D542" s="5">
        <f>IF($E542="","",INDEX('Input Transaksi'!$F:$F,$E542))</f>
        <v/>
      </c>
      <c r="E542">
        <f>IFERROR(AGGREGATE(15,6,ROW('Input Transaksi'!$B$5:$B$5000)/('Input Transaksi'!$B$5:$B$5000="CUCI DEWE"),ROWS($E$5:E542)),"")</f>
        <v/>
      </c>
      <c r="F542" s="5" t="n"/>
    </row>
    <row r="543">
      <c r="A543" s="10">
        <f>IF($E543="","",INDEX('Input Transaksi'!$A:$A,$E543))</f>
        <v/>
      </c>
      <c r="B543" s="5">
        <f>IF($E543="","",INDEX('Input Transaksi'!$D:$D,$E543))</f>
        <v/>
      </c>
      <c r="C543">
        <f>IF($E543="","",INDEX('Input Transaksi'!$E:$E,$E543))</f>
        <v/>
      </c>
      <c r="D543" s="5">
        <f>IF($E543="","",INDEX('Input Transaksi'!$F:$F,$E543))</f>
        <v/>
      </c>
      <c r="E543">
        <f>IFERROR(AGGREGATE(15,6,ROW('Input Transaksi'!$B$5:$B$5000)/('Input Transaksi'!$B$5:$B$5000="CUCI DEWE"),ROWS($E$5:E543)),"")</f>
        <v/>
      </c>
      <c r="F543" s="5" t="n"/>
    </row>
    <row r="544">
      <c r="A544" s="10">
        <f>IF($E544="","",INDEX('Input Transaksi'!$A:$A,$E544))</f>
        <v/>
      </c>
      <c r="B544" s="5">
        <f>IF($E544="","",INDEX('Input Transaksi'!$D:$D,$E544))</f>
        <v/>
      </c>
      <c r="C544">
        <f>IF($E544="","",INDEX('Input Transaksi'!$E:$E,$E544))</f>
        <v/>
      </c>
      <c r="D544" s="5">
        <f>IF($E544="","",INDEX('Input Transaksi'!$F:$F,$E544))</f>
        <v/>
      </c>
      <c r="E544">
        <f>IFERROR(AGGREGATE(15,6,ROW('Input Transaksi'!$B$5:$B$5000)/('Input Transaksi'!$B$5:$B$5000="CUCI DEWE"),ROWS($E$5:E544)),"")</f>
        <v/>
      </c>
      <c r="F544" s="5" t="n"/>
    </row>
    <row r="545">
      <c r="A545" s="10">
        <f>IF($E545="","",INDEX('Input Transaksi'!$A:$A,$E545))</f>
        <v/>
      </c>
      <c r="B545" s="5">
        <f>IF($E545="","",INDEX('Input Transaksi'!$D:$D,$E545))</f>
        <v/>
      </c>
      <c r="C545">
        <f>IF($E545="","",INDEX('Input Transaksi'!$E:$E,$E545))</f>
        <v/>
      </c>
      <c r="D545" s="5">
        <f>IF($E545="","",INDEX('Input Transaksi'!$F:$F,$E545))</f>
        <v/>
      </c>
      <c r="E545">
        <f>IFERROR(AGGREGATE(15,6,ROW('Input Transaksi'!$B$5:$B$5000)/('Input Transaksi'!$B$5:$B$5000="CUCI DEWE"),ROWS($E$5:E545)),"")</f>
        <v/>
      </c>
      <c r="F545" s="5" t="n"/>
    </row>
    <row r="546">
      <c r="A546" s="10">
        <f>IF($E546="","",INDEX('Input Transaksi'!$A:$A,$E546))</f>
        <v/>
      </c>
      <c r="B546" s="5">
        <f>IF($E546="","",INDEX('Input Transaksi'!$D:$D,$E546))</f>
        <v/>
      </c>
      <c r="C546">
        <f>IF($E546="","",INDEX('Input Transaksi'!$E:$E,$E546))</f>
        <v/>
      </c>
      <c r="D546" s="5">
        <f>IF($E546="","",INDEX('Input Transaksi'!$F:$F,$E546))</f>
        <v/>
      </c>
      <c r="E546">
        <f>IFERROR(AGGREGATE(15,6,ROW('Input Transaksi'!$B$5:$B$5000)/('Input Transaksi'!$B$5:$B$5000="CUCI DEWE"),ROWS($E$5:E546)),"")</f>
        <v/>
      </c>
      <c r="F546" s="5" t="n"/>
    </row>
    <row r="547">
      <c r="A547" s="10">
        <f>IF($E547="","",INDEX('Input Transaksi'!$A:$A,$E547))</f>
        <v/>
      </c>
      <c r="B547" s="5">
        <f>IF($E547="","",INDEX('Input Transaksi'!$D:$D,$E547))</f>
        <v/>
      </c>
      <c r="C547">
        <f>IF($E547="","",INDEX('Input Transaksi'!$E:$E,$E547))</f>
        <v/>
      </c>
      <c r="D547" s="5">
        <f>IF($E547="","",INDEX('Input Transaksi'!$F:$F,$E547))</f>
        <v/>
      </c>
      <c r="E547">
        <f>IFERROR(AGGREGATE(15,6,ROW('Input Transaksi'!$B$5:$B$5000)/('Input Transaksi'!$B$5:$B$5000="CUCI DEWE"),ROWS($E$5:E547)),"")</f>
        <v/>
      </c>
      <c r="F547" s="5" t="n"/>
    </row>
    <row r="548">
      <c r="A548" s="10">
        <f>IF($E548="","",INDEX('Input Transaksi'!$A:$A,$E548))</f>
        <v/>
      </c>
      <c r="B548" s="5">
        <f>IF($E548="","",INDEX('Input Transaksi'!$D:$D,$E548))</f>
        <v/>
      </c>
      <c r="C548">
        <f>IF($E548="","",INDEX('Input Transaksi'!$E:$E,$E548))</f>
        <v/>
      </c>
      <c r="D548" s="5">
        <f>IF($E548="","",INDEX('Input Transaksi'!$F:$F,$E548))</f>
        <v/>
      </c>
      <c r="E548">
        <f>IFERROR(AGGREGATE(15,6,ROW('Input Transaksi'!$B$5:$B$5000)/('Input Transaksi'!$B$5:$B$5000="CUCI DEWE"),ROWS($E$5:E548)),"")</f>
        <v/>
      </c>
      <c r="F548" s="5" t="n"/>
    </row>
    <row r="549">
      <c r="A549" s="10">
        <f>IF($E549="","",INDEX('Input Transaksi'!$A:$A,$E549))</f>
        <v/>
      </c>
      <c r="B549" s="5">
        <f>IF($E549="","",INDEX('Input Transaksi'!$D:$D,$E549))</f>
        <v/>
      </c>
      <c r="C549">
        <f>IF($E549="","",INDEX('Input Transaksi'!$E:$E,$E549))</f>
        <v/>
      </c>
      <c r="D549" s="5">
        <f>IF($E549="","",INDEX('Input Transaksi'!$F:$F,$E549))</f>
        <v/>
      </c>
      <c r="E549">
        <f>IFERROR(AGGREGATE(15,6,ROW('Input Transaksi'!$B$5:$B$5000)/('Input Transaksi'!$B$5:$B$5000="CUCI DEWE"),ROWS($E$5:E549)),"")</f>
        <v/>
      </c>
      <c r="F549" s="5" t="n"/>
    </row>
    <row r="550">
      <c r="A550" s="10">
        <f>IF($E550="","",INDEX('Input Transaksi'!$A:$A,$E550))</f>
        <v/>
      </c>
      <c r="B550" s="5">
        <f>IF($E550="","",INDEX('Input Transaksi'!$D:$D,$E550))</f>
        <v/>
      </c>
      <c r="C550">
        <f>IF($E550="","",INDEX('Input Transaksi'!$E:$E,$E550))</f>
        <v/>
      </c>
      <c r="D550" s="5">
        <f>IF($E550="","",INDEX('Input Transaksi'!$F:$F,$E550))</f>
        <v/>
      </c>
      <c r="E550">
        <f>IFERROR(AGGREGATE(15,6,ROW('Input Transaksi'!$B$5:$B$5000)/('Input Transaksi'!$B$5:$B$5000="CUCI DEWE"),ROWS($E$5:E550)),"")</f>
        <v/>
      </c>
      <c r="F550" s="5" t="n"/>
    </row>
    <row r="551">
      <c r="A551" s="10">
        <f>IF($E551="","",INDEX('Input Transaksi'!$A:$A,$E551))</f>
        <v/>
      </c>
      <c r="B551" s="5">
        <f>IF($E551="","",INDEX('Input Transaksi'!$D:$D,$E551))</f>
        <v/>
      </c>
      <c r="C551">
        <f>IF($E551="","",INDEX('Input Transaksi'!$E:$E,$E551))</f>
        <v/>
      </c>
      <c r="D551" s="5">
        <f>IF($E551="","",INDEX('Input Transaksi'!$F:$F,$E551))</f>
        <v/>
      </c>
      <c r="E551">
        <f>IFERROR(AGGREGATE(15,6,ROW('Input Transaksi'!$B$5:$B$5000)/('Input Transaksi'!$B$5:$B$5000="CUCI DEWE"),ROWS($E$5:E551)),"")</f>
        <v/>
      </c>
      <c r="F551" s="5" t="n"/>
    </row>
    <row r="552">
      <c r="A552" s="10">
        <f>IF($E552="","",INDEX('Input Transaksi'!$A:$A,$E552))</f>
        <v/>
      </c>
      <c r="B552" s="5">
        <f>IF($E552="","",INDEX('Input Transaksi'!$D:$D,$E552))</f>
        <v/>
      </c>
      <c r="C552">
        <f>IF($E552="","",INDEX('Input Transaksi'!$E:$E,$E552))</f>
        <v/>
      </c>
      <c r="D552" s="5">
        <f>IF($E552="","",INDEX('Input Transaksi'!$F:$F,$E552))</f>
        <v/>
      </c>
      <c r="E552">
        <f>IFERROR(AGGREGATE(15,6,ROW('Input Transaksi'!$B$5:$B$5000)/('Input Transaksi'!$B$5:$B$5000="CUCI DEWE"),ROWS($E$5:E552)),"")</f>
        <v/>
      </c>
      <c r="F552" s="5" t="n"/>
    </row>
    <row r="553">
      <c r="A553" s="10">
        <f>IF($E553="","",INDEX('Input Transaksi'!$A:$A,$E553))</f>
        <v/>
      </c>
      <c r="B553" s="5">
        <f>IF($E553="","",INDEX('Input Transaksi'!$D:$D,$E553))</f>
        <v/>
      </c>
      <c r="C553">
        <f>IF($E553="","",INDEX('Input Transaksi'!$E:$E,$E553))</f>
        <v/>
      </c>
      <c r="D553" s="5">
        <f>IF($E553="","",INDEX('Input Transaksi'!$F:$F,$E553))</f>
        <v/>
      </c>
      <c r="E553">
        <f>IFERROR(AGGREGATE(15,6,ROW('Input Transaksi'!$B$5:$B$5000)/('Input Transaksi'!$B$5:$B$5000="CUCI DEWE"),ROWS($E$5:E553)),"")</f>
        <v/>
      </c>
      <c r="F553" s="5" t="n"/>
    </row>
    <row r="554">
      <c r="A554" s="10">
        <f>IF($E554="","",INDEX('Input Transaksi'!$A:$A,$E554))</f>
        <v/>
      </c>
      <c r="B554" s="5">
        <f>IF($E554="","",INDEX('Input Transaksi'!$D:$D,$E554))</f>
        <v/>
      </c>
      <c r="C554">
        <f>IF($E554="","",INDEX('Input Transaksi'!$E:$E,$E554))</f>
        <v/>
      </c>
      <c r="D554" s="5">
        <f>IF($E554="","",INDEX('Input Transaksi'!$F:$F,$E554))</f>
        <v/>
      </c>
      <c r="E554">
        <f>IFERROR(AGGREGATE(15,6,ROW('Input Transaksi'!$B$5:$B$5000)/('Input Transaksi'!$B$5:$B$5000="CUCI DEWE"),ROWS($E$5:E554)),"")</f>
        <v/>
      </c>
      <c r="F554" s="5" t="n"/>
    </row>
    <row r="555">
      <c r="A555" s="10">
        <f>IF($E555="","",INDEX('Input Transaksi'!$A:$A,$E555))</f>
        <v/>
      </c>
      <c r="B555" s="5">
        <f>IF($E555="","",INDEX('Input Transaksi'!$D:$D,$E555))</f>
        <v/>
      </c>
      <c r="C555">
        <f>IF($E555="","",INDEX('Input Transaksi'!$E:$E,$E555))</f>
        <v/>
      </c>
      <c r="D555" s="5">
        <f>IF($E555="","",INDEX('Input Transaksi'!$F:$F,$E555))</f>
        <v/>
      </c>
      <c r="E555">
        <f>IFERROR(AGGREGATE(15,6,ROW('Input Transaksi'!$B$5:$B$5000)/('Input Transaksi'!$B$5:$B$5000="CUCI DEWE"),ROWS($E$5:E555)),"")</f>
        <v/>
      </c>
      <c r="F555" s="5" t="n"/>
    </row>
    <row r="556">
      <c r="A556" s="10">
        <f>IF($E556="","",INDEX('Input Transaksi'!$A:$A,$E556))</f>
        <v/>
      </c>
      <c r="B556" s="5">
        <f>IF($E556="","",INDEX('Input Transaksi'!$D:$D,$E556))</f>
        <v/>
      </c>
      <c r="C556">
        <f>IF($E556="","",INDEX('Input Transaksi'!$E:$E,$E556))</f>
        <v/>
      </c>
      <c r="D556" s="5">
        <f>IF($E556="","",INDEX('Input Transaksi'!$F:$F,$E556))</f>
        <v/>
      </c>
      <c r="E556">
        <f>IFERROR(AGGREGATE(15,6,ROW('Input Transaksi'!$B$5:$B$5000)/('Input Transaksi'!$B$5:$B$5000="CUCI DEWE"),ROWS($E$5:E556)),"")</f>
        <v/>
      </c>
      <c r="F556" s="5" t="n"/>
    </row>
    <row r="557">
      <c r="A557" s="10">
        <f>IF($E557="","",INDEX('Input Transaksi'!$A:$A,$E557))</f>
        <v/>
      </c>
      <c r="B557" s="5">
        <f>IF($E557="","",INDEX('Input Transaksi'!$D:$D,$E557))</f>
        <v/>
      </c>
      <c r="C557">
        <f>IF($E557="","",INDEX('Input Transaksi'!$E:$E,$E557))</f>
        <v/>
      </c>
      <c r="D557" s="5">
        <f>IF($E557="","",INDEX('Input Transaksi'!$F:$F,$E557))</f>
        <v/>
      </c>
      <c r="E557">
        <f>IFERROR(AGGREGATE(15,6,ROW('Input Transaksi'!$B$5:$B$5000)/('Input Transaksi'!$B$5:$B$5000="CUCI DEWE"),ROWS($E$5:E557)),"")</f>
        <v/>
      </c>
      <c r="F557" s="5" t="n"/>
    </row>
    <row r="558">
      <c r="A558" s="10">
        <f>IF($E558="","",INDEX('Input Transaksi'!$A:$A,$E558))</f>
        <v/>
      </c>
      <c r="B558" s="5">
        <f>IF($E558="","",INDEX('Input Transaksi'!$D:$D,$E558))</f>
        <v/>
      </c>
      <c r="C558">
        <f>IF($E558="","",INDEX('Input Transaksi'!$E:$E,$E558))</f>
        <v/>
      </c>
      <c r="D558" s="5">
        <f>IF($E558="","",INDEX('Input Transaksi'!$F:$F,$E558))</f>
        <v/>
      </c>
      <c r="E558">
        <f>IFERROR(AGGREGATE(15,6,ROW('Input Transaksi'!$B$5:$B$5000)/('Input Transaksi'!$B$5:$B$5000="CUCI DEWE"),ROWS($E$5:E558)),"")</f>
        <v/>
      </c>
      <c r="F558" s="5" t="n"/>
    </row>
    <row r="559">
      <c r="A559" s="10">
        <f>IF($E559="","",INDEX('Input Transaksi'!$A:$A,$E559))</f>
        <v/>
      </c>
      <c r="B559" s="5">
        <f>IF($E559="","",INDEX('Input Transaksi'!$D:$D,$E559))</f>
        <v/>
      </c>
      <c r="C559">
        <f>IF($E559="","",INDEX('Input Transaksi'!$E:$E,$E559))</f>
        <v/>
      </c>
      <c r="D559" s="5">
        <f>IF($E559="","",INDEX('Input Transaksi'!$F:$F,$E559))</f>
        <v/>
      </c>
      <c r="E559">
        <f>IFERROR(AGGREGATE(15,6,ROW('Input Transaksi'!$B$5:$B$5000)/('Input Transaksi'!$B$5:$B$5000="CUCI DEWE"),ROWS($E$5:E559)),"")</f>
        <v/>
      </c>
      <c r="F559" s="5" t="n"/>
    </row>
    <row r="560">
      <c r="A560" s="10">
        <f>IF($E560="","",INDEX('Input Transaksi'!$A:$A,$E560))</f>
        <v/>
      </c>
      <c r="B560" s="5">
        <f>IF($E560="","",INDEX('Input Transaksi'!$D:$D,$E560))</f>
        <v/>
      </c>
      <c r="C560">
        <f>IF($E560="","",INDEX('Input Transaksi'!$E:$E,$E560))</f>
        <v/>
      </c>
      <c r="D560" s="5">
        <f>IF($E560="","",INDEX('Input Transaksi'!$F:$F,$E560))</f>
        <v/>
      </c>
      <c r="E560">
        <f>IFERROR(AGGREGATE(15,6,ROW('Input Transaksi'!$B$5:$B$5000)/('Input Transaksi'!$B$5:$B$5000="CUCI DEWE"),ROWS($E$5:E560)),"")</f>
        <v/>
      </c>
      <c r="F560" s="5" t="n"/>
    </row>
    <row r="561">
      <c r="A561" s="10">
        <f>IF($E561="","",INDEX('Input Transaksi'!$A:$A,$E561))</f>
        <v/>
      </c>
      <c r="B561" s="5">
        <f>IF($E561="","",INDEX('Input Transaksi'!$D:$D,$E561))</f>
        <v/>
      </c>
      <c r="C561">
        <f>IF($E561="","",INDEX('Input Transaksi'!$E:$E,$E561))</f>
        <v/>
      </c>
      <c r="D561" s="5">
        <f>IF($E561="","",INDEX('Input Transaksi'!$F:$F,$E561))</f>
        <v/>
      </c>
      <c r="E561">
        <f>IFERROR(AGGREGATE(15,6,ROW('Input Transaksi'!$B$5:$B$5000)/('Input Transaksi'!$B$5:$B$5000="CUCI DEWE"),ROWS($E$5:E561)),"")</f>
        <v/>
      </c>
      <c r="F561" s="5" t="n"/>
    </row>
    <row r="562">
      <c r="A562" s="10">
        <f>IF($E562="","",INDEX('Input Transaksi'!$A:$A,$E562))</f>
        <v/>
      </c>
      <c r="B562" s="5">
        <f>IF($E562="","",INDEX('Input Transaksi'!$D:$D,$E562))</f>
        <v/>
      </c>
      <c r="C562">
        <f>IF($E562="","",INDEX('Input Transaksi'!$E:$E,$E562))</f>
        <v/>
      </c>
      <c r="D562" s="5">
        <f>IF($E562="","",INDEX('Input Transaksi'!$F:$F,$E562))</f>
        <v/>
      </c>
      <c r="E562">
        <f>IFERROR(AGGREGATE(15,6,ROW('Input Transaksi'!$B$5:$B$5000)/('Input Transaksi'!$B$5:$B$5000="CUCI DEWE"),ROWS($E$5:E562)),"")</f>
        <v/>
      </c>
      <c r="F562" s="5" t="n"/>
    </row>
    <row r="563">
      <c r="A563" s="10">
        <f>IF($E563="","",INDEX('Input Transaksi'!$A:$A,$E563))</f>
        <v/>
      </c>
      <c r="B563" s="5">
        <f>IF($E563="","",INDEX('Input Transaksi'!$D:$D,$E563))</f>
        <v/>
      </c>
      <c r="C563">
        <f>IF($E563="","",INDEX('Input Transaksi'!$E:$E,$E563))</f>
        <v/>
      </c>
      <c r="D563" s="5">
        <f>IF($E563="","",INDEX('Input Transaksi'!$F:$F,$E563))</f>
        <v/>
      </c>
      <c r="E563">
        <f>IFERROR(AGGREGATE(15,6,ROW('Input Transaksi'!$B$5:$B$5000)/('Input Transaksi'!$B$5:$B$5000="CUCI DEWE"),ROWS($E$5:E563)),"")</f>
        <v/>
      </c>
      <c r="F563" s="5" t="n"/>
    </row>
    <row r="564">
      <c r="A564" s="10">
        <f>IF($E564="","",INDEX('Input Transaksi'!$A:$A,$E564))</f>
        <v/>
      </c>
      <c r="B564" s="5">
        <f>IF($E564="","",INDEX('Input Transaksi'!$D:$D,$E564))</f>
        <v/>
      </c>
      <c r="C564">
        <f>IF($E564="","",INDEX('Input Transaksi'!$E:$E,$E564))</f>
        <v/>
      </c>
      <c r="D564" s="5">
        <f>IF($E564="","",INDEX('Input Transaksi'!$F:$F,$E564))</f>
        <v/>
      </c>
      <c r="E564">
        <f>IFERROR(AGGREGATE(15,6,ROW('Input Transaksi'!$B$5:$B$5000)/('Input Transaksi'!$B$5:$B$5000="CUCI DEWE"),ROWS($E$5:E564)),"")</f>
        <v/>
      </c>
      <c r="F564" s="5" t="n"/>
    </row>
    <row r="565">
      <c r="A565" s="10">
        <f>IF($E565="","",INDEX('Input Transaksi'!$A:$A,$E565))</f>
        <v/>
      </c>
      <c r="B565" s="5">
        <f>IF($E565="","",INDEX('Input Transaksi'!$D:$D,$E565))</f>
        <v/>
      </c>
      <c r="C565">
        <f>IF($E565="","",INDEX('Input Transaksi'!$E:$E,$E565))</f>
        <v/>
      </c>
      <c r="D565" s="5">
        <f>IF($E565="","",INDEX('Input Transaksi'!$F:$F,$E565))</f>
        <v/>
      </c>
      <c r="E565">
        <f>IFERROR(AGGREGATE(15,6,ROW('Input Transaksi'!$B$5:$B$5000)/('Input Transaksi'!$B$5:$B$5000="CUCI DEWE"),ROWS($E$5:E565)),"")</f>
        <v/>
      </c>
      <c r="F565" s="5" t="n"/>
    </row>
    <row r="566">
      <c r="A566" s="10">
        <f>IF($E566="","",INDEX('Input Transaksi'!$A:$A,$E566))</f>
        <v/>
      </c>
      <c r="B566" s="5">
        <f>IF($E566="","",INDEX('Input Transaksi'!$D:$D,$E566))</f>
        <v/>
      </c>
      <c r="C566">
        <f>IF($E566="","",INDEX('Input Transaksi'!$E:$E,$E566))</f>
        <v/>
      </c>
      <c r="D566" s="5">
        <f>IF($E566="","",INDEX('Input Transaksi'!$F:$F,$E566))</f>
        <v/>
      </c>
      <c r="E566">
        <f>IFERROR(AGGREGATE(15,6,ROW('Input Transaksi'!$B$5:$B$5000)/('Input Transaksi'!$B$5:$B$5000="CUCI DEWE"),ROWS($E$5:E566)),"")</f>
        <v/>
      </c>
      <c r="F566" s="5" t="n"/>
    </row>
    <row r="567">
      <c r="A567" s="10">
        <f>IF($E567="","",INDEX('Input Transaksi'!$A:$A,$E567))</f>
        <v/>
      </c>
      <c r="B567" s="5">
        <f>IF($E567="","",INDEX('Input Transaksi'!$D:$D,$E567))</f>
        <v/>
      </c>
      <c r="C567">
        <f>IF($E567="","",INDEX('Input Transaksi'!$E:$E,$E567))</f>
        <v/>
      </c>
      <c r="D567" s="5">
        <f>IF($E567="","",INDEX('Input Transaksi'!$F:$F,$E567))</f>
        <v/>
      </c>
      <c r="E567">
        <f>IFERROR(AGGREGATE(15,6,ROW('Input Transaksi'!$B$5:$B$5000)/('Input Transaksi'!$B$5:$B$5000="CUCI DEWE"),ROWS($E$5:E567)),"")</f>
        <v/>
      </c>
      <c r="F567" s="5" t="n"/>
    </row>
    <row r="568">
      <c r="A568" s="10">
        <f>IF($E568="","",INDEX('Input Transaksi'!$A:$A,$E568))</f>
        <v/>
      </c>
      <c r="B568" s="5">
        <f>IF($E568="","",INDEX('Input Transaksi'!$D:$D,$E568))</f>
        <v/>
      </c>
      <c r="C568">
        <f>IF($E568="","",INDEX('Input Transaksi'!$E:$E,$E568))</f>
        <v/>
      </c>
      <c r="D568" s="5">
        <f>IF($E568="","",INDEX('Input Transaksi'!$F:$F,$E568))</f>
        <v/>
      </c>
      <c r="E568">
        <f>IFERROR(AGGREGATE(15,6,ROW('Input Transaksi'!$B$5:$B$5000)/('Input Transaksi'!$B$5:$B$5000="CUCI DEWE"),ROWS($E$5:E568)),"")</f>
        <v/>
      </c>
      <c r="F568" s="5" t="n"/>
    </row>
    <row r="569">
      <c r="A569" s="10">
        <f>IF($E569="","",INDEX('Input Transaksi'!$A:$A,$E569))</f>
        <v/>
      </c>
      <c r="B569" s="5">
        <f>IF($E569="","",INDEX('Input Transaksi'!$D:$D,$E569))</f>
        <v/>
      </c>
      <c r="C569">
        <f>IF($E569="","",INDEX('Input Transaksi'!$E:$E,$E569))</f>
        <v/>
      </c>
      <c r="D569" s="5">
        <f>IF($E569="","",INDEX('Input Transaksi'!$F:$F,$E569))</f>
        <v/>
      </c>
      <c r="E569">
        <f>IFERROR(AGGREGATE(15,6,ROW('Input Transaksi'!$B$5:$B$5000)/('Input Transaksi'!$B$5:$B$5000="CUCI DEWE"),ROWS($E$5:E569)),"")</f>
        <v/>
      </c>
      <c r="F569" s="5" t="n"/>
    </row>
    <row r="570">
      <c r="A570" s="10">
        <f>IF($E570="","",INDEX('Input Transaksi'!$A:$A,$E570))</f>
        <v/>
      </c>
      <c r="B570" s="5">
        <f>IF($E570="","",INDEX('Input Transaksi'!$D:$D,$E570))</f>
        <v/>
      </c>
      <c r="C570">
        <f>IF($E570="","",INDEX('Input Transaksi'!$E:$E,$E570))</f>
        <v/>
      </c>
      <c r="D570" s="5">
        <f>IF($E570="","",INDEX('Input Transaksi'!$F:$F,$E570))</f>
        <v/>
      </c>
      <c r="E570">
        <f>IFERROR(AGGREGATE(15,6,ROW('Input Transaksi'!$B$5:$B$5000)/('Input Transaksi'!$B$5:$B$5000="CUCI DEWE"),ROWS($E$5:E570)),"")</f>
        <v/>
      </c>
      <c r="F570" s="5" t="n"/>
    </row>
    <row r="571">
      <c r="A571" s="10">
        <f>IF($E571="","",INDEX('Input Transaksi'!$A:$A,$E571))</f>
        <v/>
      </c>
      <c r="B571" s="5">
        <f>IF($E571="","",INDEX('Input Transaksi'!$D:$D,$E571))</f>
        <v/>
      </c>
      <c r="C571">
        <f>IF($E571="","",INDEX('Input Transaksi'!$E:$E,$E571))</f>
        <v/>
      </c>
      <c r="D571" s="5">
        <f>IF($E571="","",INDEX('Input Transaksi'!$F:$F,$E571))</f>
        <v/>
      </c>
      <c r="E571">
        <f>IFERROR(AGGREGATE(15,6,ROW('Input Transaksi'!$B$5:$B$5000)/('Input Transaksi'!$B$5:$B$5000="CUCI DEWE"),ROWS($E$5:E571)),"")</f>
        <v/>
      </c>
      <c r="F571" s="5" t="n"/>
    </row>
    <row r="572">
      <c r="A572" s="10">
        <f>IF($E572="","",INDEX('Input Transaksi'!$A:$A,$E572))</f>
        <v/>
      </c>
      <c r="B572" s="5">
        <f>IF($E572="","",INDEX('Input Transaksi'!$D:$D,$E572))</f>
        <v/>
      </c>
      <c r="C572">
        <f>IF($E572="","",INDEX('Input Transaksi'!$E:$E,$E572))</f>
        <v/>
      </c>
      <c r="D572" s="5">
        <f>IF($E572="","",INDEX('Input Transaksi'!$F:$F,$E572))</f>
        <v/>
      </c>
      <c r="E572">
        <f>IFERROR(AGGREGATE(15,6,ROW('Input Transaksi'!$B$5:$B$5000)/('Input Transaksi'!$B$5:$B$5000="CUCI DEWE"),ROWS($E$5:E572)),"")</f>
        <v/>
      </c>
      <c r="F572" s="5" t="n"/>
    </row>
    <row r="573">
      <c r="A573" s="10">
        <f>IF($E573="","",INDEX('Input Transaksi'!$A:$A,$E573))</f>
        <v/>
      </c>
      <c r="B573" s="5">
        <f>IF($E573="","",INDEX('Input Transaksi'!$D:$D,$E573))</f>
        <v/>
      </c>
      <c r="C573">
        <f>IF($E573="","",INDEX('Input Transaksi'!$E:$E,$E573))</f>
        <v/>
      </c>
      <c r="D573" s="5">
        <f>IF($E573="","",INDEX('Input Transaksi'!$F:$F,$E573))</f>
        <v/>
      </c>
      <c r="E573">
        <f>IFERROR(AGGREGATE(15,6,ROW('Input Transaksi'!$B$5:$B$5000)/('Input Transaksi'!$B$5:$B$5000="CUCI DEWE"),ROWS($E$5:E573)),"")</f>
        <v/>
      </c>
      <c r="F573" s="5" t="n"/>
    </row>
    <row r="574">
      <c r="A574" s="10">
        <f>IF($E574="","",INDEX('Input Transaksi'!$A:$A,$E574))</f>
        <v/>
      </c>
      <c r="B574" s="5">
        <f>IF($E574="","",INDEX('Input Transaksi'!$D:$D,$E574))</f>
        <v/>
      </c>
      <c r="C574">
        <f>IF($E574="","",INDEX('Input Transaksi'!$E:$E,$E574))</f>
        <v/>
      </c>
      <c r="D574" s="5">
        <f>IF($E574="","",INDEX('Input Transaksi'!$F:$F,$E574))</f>
        <v/>
      </c>
      <c r="E574">
        <f>IFERROR(AGGREGATE(15,6,ROW('Input Transaksi'!$B$5:$B$5000)/('Input Transaksi'!$B$5:$B$5000="CUCI DEWE"),ROWS($E$5:E574)),"")</f>
        <v/>
      </c>
      <c r="F574" s="5" t="n"/>
    </row>
    <row r="575">
      <c r="A575" s="10">
        <f>IF($E575="","",INDEX('Input Transaksi'!$A:$A,$E575))</f>
        <v/>
      </c>
      <c r="B575" s="5">
        <f>IF($E575="","",INDEX('Input Transaksi'!$D:$D,$E575))</f>
        <v/>
      </c>
      <c r="C575">
        <f>IF($E575="","",INDEX('Input Transaksi'!$E:$E,$E575))</f>
        <v/>
      </c>
      <c r="D575" s="5">
        <f>IF($E575="","",INDEX('Input Transaksi'!$F:$F,$E575))</f>
        <v/>
      </c>
      <c r="E575">
        <f>IFERROR(AGGREGATE(15,6,ROW('Input Transaksi'!$B$5:$B$5000)/('Input Transaksi'!$B$5:$B$5000="CUCI DEWE"),ROWS($E$5:E575)),"")</f>
        <v/>
      </c>
      <c r="F575" s="5" t="n"/>
    </row>
    <row r="576">
      <c r="A576" s="10">
        <f>IF($E576="","",INDEX('Input Transaksi'!$A:$A,$E576))</f>
        <v/>
      </c>
      <c r="B576" s="5">
        <f>IF($E576="","",INDEX('Input Transaksi'!$D:$D,$E576))</f>
        <v/>
      </c>
      <c r="C576">
        <f>IF($E576="","",INDEX('Input Transaksi'!$E:$E,$E576))</f>
        <v/>
      </c>
      <c r="D576" s="5">
        <f>IF($E576="","",INDEX('Input Transaksi'!$F:$F,$E576))</f>
        <v/>
      </c>
      <c r="E576">
        <f>IFERROR(AGGREGATE(15,6,ROW('Input Transaksi'!$B$5:$B$5000)/('Input Transaksi'!$B$5:$B$5000="CUCI DEWE"),ROWS($E$5:E576)),"")</f>
        <v/>
      </c>
      <c r="F576" s="5" t="n"/>
    </row>
    <row r="577">
      <c r="A577" s="10">
        <f>IF($E577="","",INDEX('Input Transaksi'!$A:$A,$E577))</f>
        <v/>
      </c>
      <c r="B577" s="5">
        <f>IF($E577="","",INDEX('Input Transaksi'!$D:$D,$E577))</f>
        <v/>
      </c>
      <c r="C577">
        <f>IF($E577="","",INDEX('Input Transaksi'!$E:$E,$E577))</f>
        <v/>
      </c>
      <c r="D577" s="5">
        <f>IF($E577="","",INDEX('Input Transaksi'!$F:$F,$E577))</f>
        <v/>
      </c>
      <c r="E577">
        <f>IFERROR(AGGREGATE(15,6,ROW('Input Transaksi'!$B$5:$B$5000)/('Input Transaksi'!$B$5:$B$5000="CUCI DEWE"),ROWS($E$5:E577)),"")</f>
        <v/>
      </c>
      <c r="F577" s="5" t="n"/>
    </row>
    <row r="578">
      <c r="A578" s="10">
        <f>IF($E578="","",INDEX('Input Transaksi'!$A:$A,$E578))</f>
        <v/>
      </c>
      <c r="B578" s="5">
        <f>IF($E578="","",INDEX('Input Transaksi'!$D:$D,$E578))</f>
        <v/>
      </c>
      <c r="C578">
        <f>IF($E578="","",INDEX('Input Transaksi'!$E:$E,$E578))</f>
        <v/>
      </c>
      <c r="D578" s="5">
        <f>IF($E578="","",INDEX('Input Transaksi'!$F:$F,$E578))</f>
        <v/>
      </c>
      <c r="E578">
        <f>IFERROR(AGGREGATE(15,6,ROW('Input Transaksi'!$B$5:$B$5000)/('Input Transaksi'!$B$5:$B$5000="CUCI DEWE"),ROWS($E$5:E578)),"")</f>
        <v/>
      </c>
      <c r="F578" s="5" t="n"/>
    </row>
    <row r="579">
      <c r="A579" s="10">
        <f>IF($E579="","",INDEX('Input Transaksi'!$A:$A,$E579))</f>
        <v/>
      </c>
      <c r="B579" s="5">
        <f>IF($E579="","",INDEX('Input Transaksi'!$D:$D,$E579))</f>
        <v/>
      </c>
      <c r="C579">
        <f>IF($E579="","",INDEX('Input Transaksi'!$E:$E,$E579))</f>
        <v/>
      </c>
      <c r="D579" s="5">
        <f>IF($E579="","",INDEX('Input Transaksi'!$F:$F,$E579))</f>
        <v/>
      </c>
      <c r="E579">
        <f>IFERROR(AGGREGATE(15,6,ROW('Input Transaksi'!$B$5:$B$5000)/('Input Transaksi'!$B$5:$B$5000="CUCI DEWE"),ROWS($E$5:E579)),"")</f>
        <v/>
      </c>
      <c r="F579" s="5" t="n"/>
    </row>
    <row r="580">
      <c r="A580" s="10">
        <f>IF($E580="","",INDEX('Input Transaksi'!$A:$A,$E580))</f>
        <v/>
      </c>
      <c r="B580" s="5">
        <f>IF($E580="","",INDEX('Input Transaksi'!$D:$D,$E580))</f>
        <v/>
      </c>
      <c r="C580">
        <f>IF($E580="","",INDEX('Input Transaksi'!$E:$E,$E580))</f>
        <v/>
      </c>
      <c r="D580" s="5">
        <f>IF($E580="","",INDEX('Input Transaksi'!$F:$F,$E580))</f>
        <v/>
      </c>
      <c r="E580">
        <f>IFERROR(AGGREGATE(15,6,ROW('Input Transaksi'!$B$5:$B$5000)/('Input Transaksi'!$B$5:$B$5000="CUCI DEWE"),ROWS($E$5:E580)),"")</f>
        <v/>
      </c>
      <c r="F580" s="5" t="n"/>
    </row>
    <row r="581">
      <c r="A581" s="10">
        <f>IF($E581="","",INDEX('Input Transaksi'!$A:$A,$E581))</f>
        <v/>
      </c>
      <c r="B581" s="5">
        <f>IF($E581="","",INDEX('Input Transaksi'!$D:$D,$E581))</f>
        <v/>
      </c>
      <c r="C581">
        <f>IF($E581="","",INDEX('Input Transaksi'!$E:$E,$E581))</f>
        <v/>
      </c>
      <c r="D581" s="5">
        <f>IF($E581="","",INDEX('Input Transaksi'!$F:$F,$E581))</f>
        <v/>
      </c>
      <c r="E581">
        <f>IFERROR(AGGREGATE(15,6,ROW('Input Transaksi'!$B$5:$B$5000)/('Input Transaksi'!$B$5:$B$5000="CUCI DEWE"),ROWS($E$5:E581)),"")</f>
        <v/>
      </c>
      <c r="F581" s="5" t="n"/>
    </row>
    <row r="582">
      <c r="A582" s="10">
        <f>IF($E582="","",INDEX('Input Transaksi'!$A:$A,$E582))</f>
        <v/>
      </c>
      <c r="B582" s="5">
        <f>IF($E582="","",INDEX('Input Transaksi'!$D:$D,$E582))</f>
        <v/>
      </c>
      <c r="C582">
        <f>IF($E582="","",INDEX('Input Transaksi'!$E:$E,$E582))</f>
        <v/>
      </c>
      <c r="D582" s="5">
        <f>IF($E582="","",INDEX('Input Transaksi'!$F:$F,$E582))</f>
        <v/>
      </c>
      <c r="E582">
        <f>IFERROR(AGGREGATE(15,6,ROW('Input Transaksi'!$B$5:$B$5000)/('Input Transaksi'!$B$5:$B$5000="CUCI DEWE"),ROWS($E$5:E582)),"")</f>
        <v/>
      </c>
      <c r="F582" s="5" t="n"/>
    </row>
    <row r="583">
      <c r="A583" s="10">
        <f>IF($E583="","",INDEX('Input Transaksi'!$A:$A,$E583))</f>
        <v/>
      </c>
      <c r="B583" s="5">
        <f>IF($E583="","",INDEX('Input Transaksi'!$D:$D,$E583))</f>
        <v/>
      </c>
      <c r="C583">
        <f>IF($E583="","",INDEX('Input Transaksi'!$E:$E,$E583))</f>
        <v/>
      </c>
      <c r="D583" s="5">
        <f>IF($E583="","",INDEX('Input Transaksi'!$F:$F,$E583))</f>
        <v/>
      </c>
      <c r="E583">
        <f>IFERROR(AGGREGATE(15,6,ROW('Input Transaksi'!$B$5:$B$5000)/('Input Transaksi'!$B$5:$B$5000="CUCI DEWE"),ROWS($E$5:E583)),"")</f>
        <v/>
      </c>
      <c r="F583" s="5" t="n"/>
    </row>
    <row r="584">
      <c r="A584" s="10">
        <f>IF($E584="","",INDEX('Input Transaksi'!$A:$A,$E584))</f>
        <v/>
      </c>
      <c r="B584" s="5">
        <f>IF($E584="","",INDEX('Input Transaksi'!$D:$D,$E584))</f>
        <v/>
      </c>
      <c r="C584">
        <f>IF($E584="","",INDEX('Input Transaksi'!$E:$E,$E584))</f>
        <v/>
      </c>
      <c r="D584" s="5">
        <f>IF($E584="","",INDEX('Input Transaksi'!$F:$F,$E584))</f>
        <v/>
      </c>
      <c r="E584">
        <f>IFERROR(AGGREGATE(15,6,ROW('Input Transaksi'!$B$5:$B$5000)/('Input Transaksi'!$B$5:$B$5000="CUCI DEWE"),ROWS($E$5:E584)),"")</f>
        <v/>
      </c>
      <c r="F584" s="5" t="n"/>
    </row>
    <row r="585">
      <c r="A585" s="10">
        <f>IF($E585="","",INDEX('Input Transaksi'!$A:$A,$E585))</f>
        <v/>
      </c>
      <c r="B585" s="5">
        <f>IF($E585="","",INDEX('Input Transaksi'!$D:$D,$E585))</f>
        <v/>
      </c>
      <c r="C585">
        <f>IF($E585="","",INDEX('Input Transaksi'!$E:$E,$E585))</f>
        <v/>
      </c>
      <c r="D585" s="5">
        <f>IF($E585="","",INDEX('Input Transaksi'!$F:$F,$E585))</f>
        <v/>
      </c>
      <c r="E585">
        <f>IFERROR(AGGREGATE(15,6,ROW('Input Transaksi'!$B$5:$B$5000)/('Input Transaksi'!$B$5:$B$5000="CUCI DEWE"),ROWS($E$5:E585)),"")</f>
        <v/>
      </c>
      <c r="F585" s="5" t="n"/>
    </row>
    <row r="586">
      <c r="A586" s="10">
        <f>IF($E586="","",INDEX('Input Transaksi'!$A:$A,$E586))</f>
        <v/>
      </c>
      <c r="B586" s="5">
        <f>IF($E586="","",INDEX('Input Transaksi'!$D:$D,$E586))</f>
        <v/>
      </c>
      <c r="C586">
        <f>IF($E586="","",INDEX('Input Transaksi'!$E:$E,$E586))</f>
        <v/>
      </c>
      <c r="D586" s="5">
        <f>IF($E586="","",INDEX('Input Transaksi'!$F:$F,$E586))</f>
        <v/>
      </c>
      <c r="E586">
        <f>IFERROR(AGGREGATE(15,6,ROW('Input Transaksi'!$B$5:$B$5000)/('Input Transaksi'!$B$5:$B$5000="CUCI DEWE"),ROWS($E$5:E586)),"")</f>
        <v/>
      </c>
      <c r="F586" s="5" t="n"/>
    </row>
    <row r="587">
      <c r="A587" s="10">
        <f>IF($E587="","",INDEX('Input Transaksi'!$A:$A,$E587))</f>
        <v/>
      </c>
      <c r="B587" s="5">
        <f>IF($E587="","",INDEX('Input Transaksi'!$D:$D,$E587))</f>
        <v/>
      </c>
      <c r="C587">
        <f>IF($E587="","",INDEX('Input Transaksi'!$E:$E,$E587))</f>
        <v/>
      </c>
      <c r="D587" s="5">
        <f>IF($E587="","",INDEX('Input Transaksi'!$F:$F,$E587))</f>
        <v/>
      </c>
      <c r="E587">
        <f>IFERROR(AGGREGATE(15,6,ROW('Input Transaksi'!$B$5:$B$5000)/('Input Transaksi'!$B$5:$B$5000="CUCI DEWE"),ROWS($E$5:E587)),"")</f>
        <v/>
      </c>
      <c r="F587" s="5" t="n"/>
    </row>
    <row r="588">
      <c r="A588" s="10">
        <f>IF($E588="","",INDEX('Input Transaksi'!$A:$A,$E588))</f>
        <v/>
      </c>
      <c r="B588" s="5">
        <f>IF($E588="","",INDEX('Input Transaksi'!$D:$D,$E588))</f>
        <v/>
      </c>
      <c r="C588">
        <f>IF($E588="","",INDEX('Input Transaksi'!$E:$E,$E588))</f>
        <v/>
      </c>
      <c r="D588" s="5">
        <f>IF($E588="","",INDEX('Input Transaksi'!$F:$F,$E588))</f>
        <v/>
      </c>
      <c r="E588">
        <f>IFERROR(AGGREGATE(15,6,ROW('Input Transaksi'!$B$5:$B$5000)/('Input Transaksi'!$B$5:$B$5000="CUCI DEWE"),ROWS($E$5:E588)),"")</f>
        <v/>
      </c>
      <c r="F588" s="5" t="n"/>
    </row>
    <row r="589">
      <c r="A589" s="10">
        <f>IF($E589="","",INDEX('Input Transaksi'!$A:$A,$E589))</f>
        <v/>
      </c>
      <c r="B589" s="5">
        <f>IF($E589="","",INDEX('Input Transaksi'!$D:$D,$E589))</f>
        <v/>
      </c>
      <c r="C589">
        <f>IF($E589="","",INDEX('Input Transaksi'!$E:$E,$E589))</f>
        <v/>
      </c>
      <c r="D589" s="5">
        <f>IF($E589="","",INDEX('Input Transaksi'!$F:$F,$E589))</f>
        <v/>
      </c>
      <c r="E589">
        <f>IFERROR(AGGREGATE(15,6,ROW('Input Transaksi'!$B$5:$B$5000)/('Input Transaksi'!$B$5:$B$5000="CUCI DEWE"),ROWS($E$5:E589)),"")</f>
        <v/>
      </c>
      <c r="F589" s="5" t="n"/>
    </row>
    <row r="590">
      <c r="A590" s="10">
        <f>IF($E590="","",INDEX('Input Transaksi'!$A:$A,$E590))</f>
        <v/>
      </c>
      <c r="B590" s="5">
        <f>IF($E590="","",INDEX('Input Transaksi'!$D:$D,$E590))</f>
        <v/>
      </c>
      <c r="C590">
        <f>IF($E590="","",INDEX('Input Transaksi'!$E:$E,$E590))</f>
        <v/>
      </c>
      <c r="D590" s="5">
        <f>IF($E590="","",INDEX('Input Transaksi'!$F:$F,$E590))</f>
        <v/>
      </c>
      <c r="E590">
        <f>IFERROR(AGGREGATE(15,6,ROW('Input Transaksi'!$B$5:$B$5000)/('Input Transaksi'!$B$5:$B$5000="CUCI DEWE"),ROWS($E$5:E590)),"")</f>
        <v/>
      </c>
      <c r="F590" s="5" t="n"/>
    </row>
    <row r="591">
      <c r="A591" s="10">
        <f>IF($E591="","",INDEX('Input Transaksi'!$A:$A,$E591))</f>
        <v/>
      </c>
      <c r="B591" s="5">
        <f>IF($E591="","",INDEX('Input Transaksi'!$D:$D,$E591))</f>
        <v/>
      </c>
      <c r="C591">
        <f>IF($E591="","",INDEX('Input Transaksi'!$E:$E,$E591))</f>
        <v/>
      </c>
      <c r="D591" s="5">
        <f>IF($E591="","",INDEX('Input Transaksi'!$F:$F,$E591))</f>
        <v/>
      </c>
      <c r="E591">
        <f>IFERROR(AGGREGATE(15,6,ROW('Input Transaksi'!$B$5:$B$5000)/('Input Transaksi'!$B$5:$B$5000="CUCI DEWE"),ROWS($E$5:E591)),"")</f>
        <v/>
      </c>
      <c r="F591" s="5" t="n"/>
    </row>
    <row r="592">
      <c r="A592" s="10">
        <f>IF($E592="","",INDEX('Input Transaksi'!$A:$A,$E592))</f>
        <v/>
      </c>
      <c r="B592" s="5">
        <f>IF($E592="","",INDEX('Input Transaksi'!$D:$D,$E592))</f>
        <v/>
      </c>
      <c r="C592">
        <f>IF($E592="","",INDEX('Input Transaksi'!$E:$E,$E592))</f>
        <v/>
      </c>
      <c r="D592" s="5">
        <f>IF($E592="","",INDEX('Input Transaksi'!$F:$F,$E592))</f>
        <v/>
      </c>
      <c r="E592">
        <f>IFERROR(AGGREGATE(15,6,ROW('Input Transaksi'!$B$5:$B$5000)/('Input Transaksi'!$B$5:$B$5000="CUCI DEWE"),ROWS($E$5:E592)),"")</f>
        <v/>
      </c>
      <c r="F592" s="5" t="n"/>
    </row>
    <row r="593">
      <c r="A593" s="10">
        <f>IF($E593="","",INDEX('Input Transaksi'!$A:$A,$E593))</f>
        <v/>
      </c>
      <c r="B593" s="5">
        <f>IF($E593="","",INDEX('Input Transaksi'!$D:$D,$E593))</f>
        <v/>
      </c>
      <c r="C593">
        <f>IF($E593="","",INDEX('Input Transaksi'!$E:$E,$E593))</f>
        <v/>
      </c>
      <c r="D593" s="5">
        <f>IF($E593="","",INDEX('Input Transaksi'!$F:$F,$E593))</f>
        <v/>
      </c>
      <c r="E593">
        <f>IFERROR(AGGREGATE(15,6,ROW('Input Transaksi'!$B$5:$B$5000)/('Input Transaksi'!$B$5:$B$5000="CUCI DEWE"),ROWS($E$5:E593)),"")</f>
        <v/>
      </c>
      <c r="F593" s="5" t="n"/>
    </row>
    <row r="594">
      <c r="A594" s="10">
        <f>IF($E594="","",INDEX('Input Transaksi'!$A:$A,$E594))</f>
        <v/>
      </c>
      <c r="B594" s="5">
        <f>IF($E594="","",INDEX('Input Transaksi'!$D:$D,$E594))</f>
        <v/>
      </c>
      <c r="C594">
        <f>IF($E594="","",INDEX('Input Transaksi'!$E:$E,$E594))</f>
        <v/>
      </c>
      <c r="D594" s="5">
        <f>IF($E594="","",INDEX('Input Transaksi'!$F:$F,$E594))</f>
        <v/>
      </c>
      <c r="E594">
        <f>IFERROR(AGGREGATE(15,6,ROW('Input Transaksi'!$B$5:$B$5000)/('Input Transaksi'!$B$5:$B$5000="CUCI DEWE"),ROWS($E$5:E594)),"")</f>
        <v/>
      </c>
      <c r="F594" s="5" t="n"/>
    </row>
    <row r="595">
      <c r="A595" s="10">
        <f>IF($E595="","",INDEX('Input Transaksi'!$A:$A,$E595))</f>
        <v/>
      </c>
      <c r="B595" s="5">
        <f>IF($E595="","",INDEX('Input Transaksi'!$D:$D,$E595))</f>
        <v/>
      </c>
      <c r="C595">
        <f>IF($E595="","",INDEX('Input Transaksi'!$E:$E,$E595))</f>
        <v/>
      </c>
      <c r="D595" s="5">
        <f>IF($E595="","",INDEX('Input Transaksi'!$F:$F,$E595))</f>
        <v/>
      </c>
      <c r="E595">
        <f>IFERROR(AGGREGATE(15,6,ROW('Input Transaksi'!$B$5:$B$5000)/('Input Transaksi'!$B$5:$B$5000="CUCI DEWE"),ROWS($E$5:E595)),"")</f>
        <v/>
      </c>
      <c r="F595" s="5" t="n"/>
    </row>
    <row r="596">
      <c r="A596" s="10">
        <f>IF($E596="","",INDEX('Input Transaksi'!$A:$A,$E596))</f>
        <v/>
      </c>
      <c r="B596" s="5">
        <f>IF($E596="","",INDEX('Input Transaksi'!$D:$D,$E596))</f>
        <v/>
      </c>
      <c r="C596">
        <f>IF($E596="","",INDEX('Input Transaksi'!$E:$E,$E596))</f>
        <v/>
      </c>
      <c r="D596" s="5">
        <f>IF($E596="","",INDEX('Input Transaksi'!$F:$F,$E596))</f>
        <v/>
      </c>
      <c r="E596">
        <f>IFERROR(AGGREGATE(15,6,ROW('Input Transaksi'!$B$5:$B$5000)/('Input Transaksi'!$B$5:$B$5000="CUCI DEWE"),ROWS($E$5:E596)),"")</f>
        <v/>
      </c>
      <c r="F596" s="5" t="n"/>
    </row>
    <row r="597">
      <c r="A597" s="10">
        <f>IF($E597="","",INDEX('Input Transaksi'!$A:$A,$E597))</f>
        <v/>
      </c>
      <c r="B597" s="5">
        <f>IF($E597="","",INDEX('Input Transaksi'!$D:$D,$E597))</f>
        <v/>
      </c>
      <c r="C597">
        <f>IF($E597="","",INDEX('Input Transaksi'!$E:$E,$E597))</f>
        <v/>
      </c>
      <c r="D597" s="5">
        <f>IF($E597="","",INDEX('Input Transaksi'!$F:$F,$E597))</f>
        <v/>
      </c>
      <c r="E597">
        <f>IFERROR(AGGREGATE(15,6,ROW('Input Transaksi'!$B$5:$B$5000)/('Input Transaksi'!$B$5:$B$5000="CUCI DEWE"),ROWS($E$5:E597)),"")</f>
        <v/>
      </c>
      <c r="F597" s="5" t="n"/>
    </row>
    <row r="598">
      <c r="A598" s="10">
        <f>IF($E598="","",INDEX('Input Transaksi'!$A:$A,$E598))</f>
        <v/>
      </c>
      <c r="B598" s="5">
        <f>IF($E598="","",INDEX('Input Transaksi'!$D:$D,$E598))</f>
        <v/>
      </c>
      <c r="C598">
        <f>IF($E598="","",INDEX('Input Transaksi'!$E:$E,$E598))</f>
        <v/>
      </c>
      <c r="D598" s="5">
        <f>IF($E598="","",INDEX('Input Transaksi'!$F:$F,$E598))</f>
        <v/>
      </c>
      <c r="E598">
        <f>IFERROR(AGGREGATE(15,6,ROW('Input Transaksi'!$B$5:$B$5000)/('Input Transaksi'!$B$5:$B$5000="CUCI DEWE"),ROWS($E$5:E598)),"")</f>
        <v/>
      </c>
      <c r="F598" s="5" t="n"/>
    </row>
    <row r="599">
      <c r="A599" s="10">
        <f>IF($E599="","",INDEX('Input Transaksi'!$A:$A,$E599))</f>
        <v/>
      </c>
      <c r="B599" s="5">
        <f>IF($E599="","",INDEX('Input Transaksi'!$D:$D,$E599))</f>
        <v/>
      </c>
      <c r="C599">
        <f>IF($E599="","",INDEX('Input Transaksi'!$E:$E,$E599))</f>
        <v/>
      </c>
      <c r="D599" s="5">
        <f>IF($E599="","",INDEX('Input Transaksi'!$F:$F,$E599))</f>
        <v/>
      </c>
      <c r="E599">
        <f>IFERROR(AGGREGATE(15,6,ROW('Input Transaksi'!$B$5:$B$5000)/('Input Transaksi'!$B$5:$B$5000="CUCI DEWE"),ROWS($E$5:E599)),"")</f>
        <v/>
      </c>
      <c r="F599" s="5" t="n"/>
    </row>
    <row r="600">
      <c r="A600" s="10">
        <f>IF($E600="","",INDEX('Input Transaksi'!$A:$A,$E600))</f>
        <v/>
      </c>
      <c r="B600" s="5">
        <f>IF($E600="","",INDEX('Input Transaksi'!$D:$D,$E600))</f>
        <v/>
      </c>
      <c r="C600">
        <f>IF($E600="","",INDEX('Input Transaksi'!$E:$E,$E600))</f>
        <v/>
      </c>
      <c r="D600" s="5">
        <f>IF($E600="","",INDEX('Input Transaksi'!$F:$F,$E600))</f>
        <v/>
      </c>
      <c r="E600">
        <f>IFERROR(AGGREGATE(15,6,ROW('Input Transaksi'!$B$5:$B$5000)/('Input Transaksi'!$B$5:$B$5000="CUCI DEWE"),ROWS($E$5:E600)),"")</f>
        <v/>
      </c>
      <c r="F600" s="5" t="n"/>
    </row>
    <row r="601">
      <c r="A601" s="10">
        <f>IF($E601="","",INDEX('Input Transaksi'!$A:$A,$E601))</f>
        <v/>
      </c>
      <c r="B601" s="5">
        <f>IF($E601="","",INDEX('Input Transaksi'!$D:$D,$E601))</f>
        <v/>
      </c>
      <c r="C601">
        <f>IF($E601="","",INDEX('Input Transaksi'!$E:$E,$E601))</f>
        <v/>
      </c>
      <c r="D601" s="5">
        <f>IF($E601="","",INDEX('Input Transaksi'!$F:$F,$E601))</f>
        <v/>
      </c>
      <c r="E601">
        <f>IFERROR(AGGREGATE(15,6,ROW('Input Transaksi'!$B$5:$B$5000)/('Input Transaksi'!$B$5:$B$5000="CUCI DEWE"),ROWS($E$5:E601)),"")</f>
        <v/>
      </c>
      <c r="F601" s="5" t="n"/>
    </row>
    <row r="602">
      <c r="A602" s="10">
        <f>IF($E602="","",INDEX('Input Transaksi'!$A:$A,$E602))</f>
        <v/>
      </c>
      <c r="B602" s="5">
        <f>IF($E602="","",INDEX('Input Transaksi'!$D:$D,$E602))</f>
        <v/>
      </c>
      <c r="C602">
        <f>IF($E602="","",INDEX('Input Transaksi'!$E:$E,$E602))</f>
        <v/>
      </c>
      <c r="D602" s="5">
        <f>IF($E602="","",INDEX('Input Transaksi'!$F:$F,$E602))</f>
        <v/>
      </c>
      <c r="E602">
        <f>IFERROR(AGGREGATE(15,6,ROW('Input Transaksi'!$B$5:$B$5000)/('Input Transaksi'!$B$5:$B$5000="CUCI DEWE"),ROWS($E$5:E602)),"")</f>
        <v/>
      </c>
      <c r="F602" s="5" t="n"/>
    </row>
    <row r="603">
      <c r="A603" s="10">
        <f>IF($E603="","",INDEX('Input Transaksi'!$A:$A,$E603))</f>
        <v/>
      </c>
      <c r="B603" s="5">
        <f>IF($E603="","",INDEX('Input Transaksi'!$D:$D,$E603))</f>
        <v/>
      </c>
      <c r="C603">
        <f>IF($E603="","",INDEX('Input Transaksi'!$E:$E,$E603))</f>
        <v/>
      </c>
      <c r="D603" s="5">
        <f>IF($E603="","",INDEX('Input Transaksi'!$F:$F,$E603))</f>
        <v/>
      </c>
      <c r="E603">
        <f>IFERROR(AGGREGATE(15,6,ROW('Input Transaksi'!$B$5:$B$5000)/('Input Transaksi'!$B$5:$B$5000="CUCI DEWE"),ROWS($E$5:E603)),"")</f>
        <v/>
      </c>
      <c r="F603" s="5" t="n"/>
    </row>
    <row r="604">
      <c r="A604" s="10">
        <f>IF($E604="","",INDEX('Input Transaksi'!$A:$A,$E604))</f>
        <v/>
      </c>
      <c r="B604" s="5">
        <f>IF($E604="","",INDEX('Input Transaksi'!$D:$D,$E604))</f>
        <v/>
      </c>
      <c r="C604">
        <f>IF($E604="","",INDEX('Input Transaksi'!$E:$E,$E604))</f>
        <v/>
      </c>
      <c r="D604" s="5">
        <f>IF($E604="","",INDEX('Input Transaksi'!$F:$F,$E604))</f>
        <v/>
      </c>
      <c r="E604">
        <f>IFERROR(AGGREGATE(15,6,ROW('Input Transaksi'!$B$5:$B$5000)/('Input Transaksi'!$B$5:$B$5000="CUCI DEWE"),ROWS($E$5:E604)),"")</f>
        <v/>
      </c>
      <c r="F604" s="5" t="n"/>
    </row>
    <row r="605">
      <c r="A605" s="10">
        <f>IF($E605="","",INDEX('Input Transaksi'!$A:$A,$E605))</f>
        <v/>
      </c>
      <c r="B605" s="5">
        <f>IF($E605="","",INDEX('Input Transaksi'!$D:$D,$E605))</f>
        <v/>
      </c>
      <c r="C605">
        <f>IF($E605="","",INDEX('Input Transaksi'!$E:$E,$E605))</f>
        <v/>
      </c>
      <c r="D605" s="5">
        <f>IF($E605="","",INDEX('Input Transaksi'!$F:$F,$E605))</f>
        <v/>
      </c>
      <c r="E605">
        <f>IFERROR(AGGREGATE(15,6,ROW('Input Transaksi'!$B$5:$B$5000)/('Input Transaksi'!$B$5:$B$5000="CUCI DEWE"),ROWS($E$5:E605)),"")</f>
        <v/>
      </c>
      <c r="F605" s="5" t="n"/>
    </row>
    <row r="606">
      <c r="A606" s="10">
        <f>IF($E606="","",INDEX('Input Transaksi'!$A:$A,$E606))</f>
        <v/>
      </c>
      <c r="B606" s="5">
        <f>IF($E606="","",INDEX('Input Transaksi'!$D:$D,$E606))</f>
        <v/>
      </c>
      <c r="C606">
        <f>IF($E606="","",INDEX('Input Transaksi'!$E:$E,$E606))</f>
        <v/>
      </c>
      <c r="D606" s="5">
        <f>IF($E606="","",INDEX('Input Transaksi'!$F:$F,$E606))</f>
        <v/>
      </c>
      <c r="E606">
        <f>IFERROR(AGGREGATE(15,6,ROW('Input Transaksi'!$B$5:$B$5000)/('Input Transaksi'!$B$5:$B$5000="CUCI DEWE"),ROWS($E$5:E606)),"")</f>
        <v/>
      </c>
      <c r="F606" s="5" t="n"/>
    </row>
    <row r="607">
      <c r="A607" s="10">
        <f>IF($E607="","",INDEX('Input Transaksi'!$A:$A,$E607))</f>
        <v/>
      </c>
      <c r="B607" s="5">
        <f>IF($E607="","",INDEX('Input Transaksi'!$D:$D,$E607))</f>
        <v/>
      </c>
      <c r="C607">
        <f>IF($E607="","",INDEX('Input Transaksi'!$E:$E,$E607))</f>
        <v/>
      </c>
      <c r="D607" s="5">
        <f>IF($E607="","",INDEX('Input Transaksi'!$F:$F,$E607))</f>
        <v/>
      </c>
      <c r="E607">
        <f>IFERROR(AGGREGATE(15,6,ROW('Input Transaksi'!$B$5:$B$5000)/('Input Transaksi'!$B$5:$B$5000="CUCI DEWE"),ROWS($E$5:E607)),"")</f>
        <v/>
      </c>
      <c r="F607" s="5" t="n"/>
    </row>
    <row r="608">
      <c r="A608" s="10">
        <f>IF($E608="","",INDEX('Input Transaksi'!$A:$A,$E608))</f>
        <v/>
      </c>
      <c r="B608" s="5">
        <f>IF($E608="","",INDEX('Input Transaksi'!$D:$D,$E608))</f>
        <v/>
      </c>
      <c r="C608">
        <f>IF($E608="","",INDEX('Input Transaksi'!$E:$E,$E608))</f>
        <v/>
      </c>
      <c r="D608" s="5">
        <f>IF($E608="","",INDEX('Input Transaksi'!$F:$F,$E608))</f>
        <v/>
      </c>
      <c r="E608">
        <f>IFERROR(AGGREGATE(15,6,ROW('Input Transaksi'!$B$5:$B$5000)/('Input Transaksi'!$B$5:$B$5000="CUCI DEWE"),ROWS($E$5:E608)),"")</f>
        <v/>
      </c>
      <c r="F608" s="5" t="n"/>
    </row>
    <row r="609">
      <c r="A609" s="10">
        <f>IF($E609="","",INDEX('Input Transaksi'!$A:$A,$E609))</f>
        <v/>
      </c>
      <c r="B609" s="5">
        <f>IF($E609="","",INDEX('Input Transaksi'!$D:$D,$E609))</f>
        <v/>
      </c>
      <c r="C609">
        <f>IF($E609="","",INDEX('Input Transaksi'!$E:$E,$E609))</f>
        <v/>
      </c>
      <c r="D609" s="5">
        <f>IF($E609="","",INDEX('Input Transaksi'!$F:$F,$E609))</f>
        <v/>
      </c>
      <c r="E609">
        <f>IFERROR(AGGREGATE(15,6,ROW('Input Transaksi'!$B$5:$B$5000)/('Input Transaksi'!$B$5:$B$5000="CUCI DEWE"),ROWS($E$5:E609)),"")</f>
        <v/>
      </c>
      <c r="F609" s="5" t="n"/>
    </row>
    <row r="610">
      <c r="A610" s="10">
        <f>IF($E610="","",INDEX('Input Transaksi'!$A:$A,$E610))</f>
        <v/>
      </c>
      <c r="B610" s="5">
        <f>IF($E610="","",INDEX('Input Transaksi'!$D:$D,$E610))</f>
        <v/>
      </c>
      <c r="C610">
        <f>IF($E610="","",INDEX('Input Transaksi'!$E:$E,$E610))</f>
        <v/>
      </c>
      <c r="D610" s="5">
        <f>IF($E610="","",INDEX('Input Transaksi'!$F:$F,$E610))</f>
        <v/>
      </c>
      <c r="E610">
        <f>IFERROR(AGGREGATE(15,6,ROW('Input Transaksi'!$B$5:$B$5000)/('Input Transaksi'!$B$5:$B$5000="CUCI DEWE"),ROWS($E$5:E610)),"")</f>
        <v/>
      </c>
      <c r="F610" s="5" t="n"/>
    </row>
    <row r="611">
      <c r="A611" s="10">
        <f>IF($E611="","",INDEX('Input Transaksi'!$A:$A,$E611))</f>
        <v/>
      </c>
      <c r="B611" s="5">
        <f>IF($E611="","",INDEX('Input Transaksi'!$D:$D,$E611))</f>
        <v/>
      </c>
      <c r="C611">
        <f>IF($E611="","",INDEX('Input Transaksi'!$E:$E,$E611))</f>
        <v/>
      </c>
      <c r="D611" s="5">
        <f>IF($E611="","",INDEX('Input Transaksi'!$F:$F,$E611))</f>
        <v/>
      </c>
      <c r="E611">
        <f>IFERROR(AGGREGATE(15,6,ROW('Input Transaksi'!$B$5:$B$5000)/('Input Transaksi'!$B$5:$B$5000="CUCI DEWE"),ROWS($E$5:E611)),"")</f>
        <v/>
      </c>
      <c r="F611" s="5" t="n"/>
    </row>
    <row r="612">
      <c r="A612" s="10">
        <f>IF($E612="","",INDEX('Input Transaksi'!$A:$A,$E612))</f>
        <v/>
      </c>
      <c r="B612" s="5">
        <f>IF($E612="","",INDEX('Input Transaksi'!$D:$D,$E612))</f>
        <v/>
      </c>
      <c r="C612">
        <f>IF($E612="","",INDEX('Input Transaksi'!$E:$E,$E612))</f>
        <v/>
      </c>
      <c r="D612" s="5">
        <f>IF($E612="","",INDEX('Input Transaksi'!$F:$F,$E612))</f>
        <v/>
      </c>
      <c r="E612">
        <f>IFERROR(AGGREGATE(15,6,ROW('Input Transaksi'!$B$5:$B$5000)/('Input Transaksi'!$B$5:$B$5000="CUCI DEWE"),ROWS($E$5:E612)),"")</f>
        <v/>
      </c>
      <c r="F612" s="5" t="n"/>
    </row>
    <row r="613">
      <c r="A613" s="10">
        <f>IF($E613="","",INDEX('Input Transaksi'!$A:$A,$E613))</f>
        <v/>
      </c>
      <c r="B613" s="5">
        <f>IF($E613="","",INDEX('Input Transaksi'!$D:$D,$E613))</f>
        <v/>
      </c>
      <c r="C613">
        <f>IF($E613="","",INDEX('Input Transaksi'!$E:$E,$E613))</f>
        <v/>
      </c>
      <c r="D613" s="5">
        <f>IF($E613="","",INDEX('Input Transaksi'!$F:$F,$E613))</f>
        <v/>
      </c>
      <c r="E613">
        <f>IFERROR(AGGREGATE(15,6,ROW('Input Transaksi'!$B$5:$B$5000)/('Input Transaksi'!$B$5:$B$5000="CUCI DEWE"),ROWS($E$5:E613)),"")</f>
        <v/>
      </c>
      <c r="F613" s="5" t="n"/>
    </row>
    <row r="614">
      <c r="A614" s="10">
        <f>IF($E614="","",INDEX('Input Transaksi'!$A:$A,$E614))</f>
        <v/>
      </c>
      <c r="B614" s="5">
        <f>IF($E614="","",INDEX('Input Transaksi'!$D:$D,$E614))</f>
        <v/>
      </c>
      <c r="C614">
        <f>IF($E614="","",INDEX('Input Transaksi'!$E:$E,$E614))</f>
        <v/>
      </c>
      <c r="D614" s="5">
        <f>IF($E614="","",INDEX('Input Transaksi'!$F:$F,$E614))</f>
        <v/>
      </c>
      <c r="E614">
        <f>IFERROR(AGGREGATE(15,6,ROW('Input Transaksi'!$B$5:$B$5000)/('Input Transaksi'!$B$5:$B$5000="CUCI DEWE"),ROWS($E$5:E614)),"")</f>
        <v/>
      </c>
      <c r="F614" s="5" t="n"/>
    </row>
    <row r="615">
      <c r="A615" s="10">
        <f>IF($E615="","",INDEX('Input Transaksi'!$A:$A,$E615))</f>
        <v/>
      </c>
      <c r="B615" s="5">
        <f>IF($E615="","",INDEX('Input Transaksi'!$D:$D,$E615))</f>
        <v/>
      </c>
      <c r="C615">
        <f>IF($E615="","",INDEX('Input Transaksi'!$E:$E,$E615))</f>
        <v/>
      </c>
      <c r="D615" s="5">
        <f>IF($E615="","",INDEX('Input Transaksi'!$F:$F,$E615))</f>
        <v/>
      </c>
      <c r="E615">
        <f>IFERROR(AGGREGATE(15,6,ROW('Input Transaksi'!$B$5:$B$5000)/('Input Transaksi'!$B$5:$B$5000="CUCI DEWE"),ROWS($E$5:E615)),"")</f>
        <v/>
      </c>
      <c r="F615" s="5" t="n"/>
    </row>
    <row r="616">
      <c r="A616" s="10">
        <f>IF($E616="","",INDEX('Input Transaksi'!$A:$A,$E616))</f>
        <v/>
      </c>
      <c r="B616" s="5">
        <f>IF($E616="","",INDEX('Input Transaksi'!$D:$D,$E616))</f>
        <v/>
      </c>
      <c r="C616">
        <f>IF($E616="","",INDEX('Input Transaksi'!$E:$E,$E616))</f>
        <v/>
      </c>
      <c r="D616" s="5">
        <f>IF($E616="","",INDEX('Input Transaksi'!$F:$F,$E616))</f>
        <v/>
      </c>
      <c r="E616">
        <f>IFERROR(AGGREGATE(15,6,ROW('Input Transaksi'!$B$5:$B$5000)/('Input Transaksi'!$B$5:$B$5000="CUCI DEWE"),ROWS($E$5:E616)),"")</f>
        <v/>
      </c>
      <c r="F616" s="5" t="n"/>
    </row>
    <row r="617">
      <c r="A617" s="10">
        <f>IF($E617="","",INDEX('Input Transaksi'!$A:$A,$E617))</f>
        <v/>
      </c>
      <c r="B617" s="5">
        <f>IF($E617="","",INDEX('Input Transaksi'!$D:$D,$E617))</f>
        <v/>
      </c>
      <c r="C617">
        <f>IF($E617="","",INDEX('Input Transaksi'!$E:$E,$E617))</f>
        <v/>
      </c>
      <c r="D617" s="5">
        <f>IF($E617="","",INDEX('Input Transaksi'!$F:$F,$E617))</f>
        <v/>
      </c>
      <c r="E617">
        <f>IFERROR(AGGREGATE(15,6,ROW('Input Transaksi'!$B$5:$B$5000)/('Input Transaksi'!$B$5:$B$5000="CUCI DEWE"),ROWS($E$5:E617)),"")</f>
        <v/>
      </c>
      <c r="F617" s="5" t="n"/>
    </row>
    <row r="618">
      <c r="A618" s="10">
        <f>IF($E618="","",INDEX('Input Transaksi'!$A:$A,$E618))</f>
        <v/>
      </c>
      <c r="B618" s="5">
        <f>IF($E618="","",INDEX('Input Transaksi'!$D:$D,$E618))</f>
        <v/>
      </c>
      <c r="C618">
        <f>IF($E618="","",INDEX('Input Transaksi'!$E:$E,$E618))</f>
        <v/>
      </c>
      <c r="D618" s="5">
        <f>IF($E618="","",INDEX('Input Transaksi'!$F:$F,$E618))</f>
        <v/>
      </c>
      <c r="E618">
        <f>IFERROR(AGGREGATE(15,6,ROW('Input Transaksi'!$B$5:$B$5000)/('Input Transaksi'!$B$5:$B$5000="CUCI DEWE"),ROWS($E$5:E618)),"")</f>
        <v/>
      </c>
      <c r="F618" s="5" t="n"/>
    </row>
    <row r="619">
      <c r="A619" s="10">
        <f>IF($E619="","",INDEX('Input Transaksi'!$A:$A,$E619))</f>
        <v/>
      </c>
      <c r="B619" s="5">
        <f>IF($E619="","",INDEX('Input Transaksi'!$D:$D,$E619))</f>
        <v/>
      </c>
      <c r="C619">
        <f>IF($E619="","",INDEX('Input Transaksi'!$E:$E,$E619))</f>
        <v/>
      </c>
      <c r="D619" s="5">
        <f>IF($E619="","",INDEX('Input Transaksi'!$F:$F,$E619))</f>
        <v/>
      </c>
      <c r="E619">
        <f>IFERROR(AGGREGATE(15,6,ROW('Input Transaksi'!$B$5:$B$5000)/('Input Transaksi'!$B$5:$B$5000="CUCI DEWE"),ROWS($E$5:E619)),"")</f>
        <v/>
      </c>
      <c r="F619" s="5" t="n"/>
    </row>
    <row r="620">
      <c r="A620" s="10">
        <f>IF($E620="","",INDEX('Input Transaksi'!$A:$A,$E620))</f>
        <v/>
      </c>
      <c r="B620" s="5">
        <f>IF($E620="","",INDEX('Input Transaksi'!$D:$D,$E620))</f>
        <v/>
      </c>
      <c r="C620">
        <f>IF($E620="","",INDEX('Input Transaksi'!$E:$E,$E620))</f>
        <v/>
      </c>
      <c r="D620" s="5">
        <f>IF($E620="","",INDEX('Input Transaksi'!$F:$F,$E620))</f>
        <v/>
      </c>
      <c r="E620">
        <f>IFERROR(AGGREGATE(15,6,ROW('Input Transaksi'!$B$5:$B$5000)/('Input Transaksi'!$B$5:$B$5000="CUCI DEWE"),ROWS($E$5:E620)),"")</f>
        <v/>
      </c>
      <c r="F620" s="5" t="n"/>
    </row>
    <row r="621">
      <c r="A621" s="10">
        <f>IF($E621="","",INDEX('Input Transaksi'!$A:$A,$E621))</f>
        <v/>
      </c>
      <c r="B621" s="5">
        <f>IF($E621="","",INDEX('Input Transaksi'!$D:$D,$E621))</f>
        <v/>
      </c>
      <c r="C621">
        <f>IF($E621="","",INDEX('Input Transaksi'!$E:$E,$E621))</f>
        <v/>
      </c>
      <c r="D621" s="5">
        <f>IF($E621="","",INDEX('Input Transaksi'!$F:$F,$E621))</f>
        <v/>
      </c>
      <c r="E621">
        <f>IFERROR(AGGREGATE(15,6,ROW('Input Transaksi'!$B$5:$B$5000)/('Input Transaksi'!$B$5:$B$5000="CUCI DEWE"),ROWS($E$5:E621)),"")</f>
        <v/>
      </c>
      <c r="F621" s="5" t="n"/>
    </row>
    <row r="622">
      <c r="A622" s="10">
        <f>IF($E622="","",INDEX('Input Transaksi'!$A:$A,$E622))</f>
        <v/>
      </c>
      <c r="B622" s="5">
        <f>IF($E622="","",INDEX('Input Transaksi'!$D:$D,$E622))</f>
        <v/>
      </c>
      <c r="C622">
        <f>IF($E622="","",INDEX('Input Transaksi'!$E:$E,$E622))</f>
        <v/>
      </c>
      <c r="D622" s="5">
        <f>IF($E622="","",INDEX('Input Transaksi'!$F:$F,$E622))</f>
        <v/>
      </c>
      <c r="E622">
        <f>IFERROR(AGGREGATE(15,6,ROW('Input Transaksi'!$B$5:$B$5000)/('Input Transaksi'!$B$5:$B$5000="CUCI DEWE"),ROWS($E$5:E622)),"")</f>
        <v/>
      </c>
      <c r="F622" s="5" t="n"/>
    </row>
    <row r="623">
      <c r="A623" s="10">
        <f>IF($E623="","",INDEX('Input Transaksi'!$A:$A,$E623))</f>
        <v/>
      </c>
      <c r="B623" s="5">
        <f>IF($E623="","",INDEX('Input Transaksi'!$D:$D,$E623))</f>
        <v/>
      </c>
      <c r="C623">
        <f>IF($E623="","",INDEX('Input Transaksi'!$E:$E,$E623))</f>
        <v/>
      </c>
      <c r="D623" s="5">
        <f>IF($E623="","",INDEX('Input Transaksi'!$F:$F,$E623))</f>
        <v/>
      </c>
      <c r="E623">
        <f>IFERROR(AGGREGATE(15,6,ROW('Input Transaksi'!$B$5:$B$5000)/('Input Transaksi'!$B$5:$B$5000="CUCI DEWE"),ROWS($E$5:E623)),"")</f>
        <v/>
      </c>
      <c r="F623" s="5" t="n"/>
    </row>
    <row r="624">
      <c r="A624" s="10">
        <f>IF($E624="","",INDEX('Input Transaksi'!$A:$A,$E624))</f>
        <v/>
      </c>
      <c r="B624" s="5">
        <f>IF($E624="","",INDEX('Input Transaksi'!$D:$D,$E624))</f>
        <v/>
      </c>
      <c r="C624">
        <f>IF($E624="","",INDEX('Input Transaksi'!$E:$E,$E624))</f>
        <v/>
      </c>
      <c r="D624" s="5">
        <f>IF($E624="","",INDEX('Input Transaksi'!$F:$F,$E624))</f>
        <v/>
      </c>
      <c r="E624">
        <f>IFERROR(AGGREGATE(15,6,ROW('Input Transaksi'!$B$5:$B$5000)/('Input Transaksi'!$B$5:$B$5000="CUCI DEWE"),ROWS($E$5:E624)),"")</f>
        <v/>
      </c>
      <c r="F624" s="5" t="n"/>
    </row>
    <row r="625">
      <c r="A625" s="10">
        <f>IF($E625="","",INDEX('Input Transaksi'!$A:$A,$E625))</f>
        <v/>
      </c>
      <c r="B625" s="5">
        <f>IF($E625="","",INDEX('Input Transaksi'!$D:$D,$E625))</f>
        <v/>
      </c>
      <c r="C625">
        <f>IF($E625="","",INDEX('Input Transaksi'!$E:$E,$E625))</f>
        <v/>
      </c>
      <c r="D625" s="5">
        <f>IF($E625="","",INDEX('Input Transaksi'!$F:$F,$E625))</f>
        <v/>
      </c>
      <c r="E625">
        <f>IFERROR(AGGREGATE(15,6,ROW('Input Transaksi'!$B$5:$B$5000)/('Input Transaksi'!$B$5:$B$5000="CUCI DEWE"),ROWS($E$5:E625)),"")</f>
        <v/>
      </c>
      <c r="F625" s="5" t="n"/>
    </row>
    <row r="626">
      <c r="A626" s="10">
        <f>IF($E626="","",INDEX('Input Transaksi'!$A:$A,$E626))</f>
        <v/>
      </c>
      <c r="B626" s="5">
        <f>IF($E626="","",INDEX('Input Transaksi'!$D:$D,$E626))</f>
        <v/>
      </c>
      <c r="C626">
        <f>IF($E626="","",INDEX('Input Transaksi'!$E:$E,$E626))</f>
        <v/>
      </c>
      <c r="D626" s="5">
        <f>IF($E626="","",INDEX('Input Transaksi'!$F:$F,$E626))</f>
        <v/>
      </c>
      <c r="E626">
        <f>IFERROR(AGGREGATE(15,6,ROW('Input Transaksi'!$B$5:$B$5000)/('Input Transaksi'!$B$5:$B$5000="CUCI DEWE"),ROWS($E$5:E626)),"")</f>
        <v/>
      </c>
      <c r="F626" s="5" t="n"/>
    </row>
    <row r="627">
      <c r="A627" s="10">
        <f>IF($E627="","",INDEX('Input Transaksi'!$A:$A,$E627))</f>
        <v/>
      </c>
      <c r="B627" s="5">
        <f>IF($E627="","",INDEX('Input Transaksi'!$D:$D,$E627))</f>
        <v/>
      </c>
      <c r="C627">
        <f>IF($E627="","",INDEX('Input Transaksi'!$E:$E,$E627))</f>
        <v/>
      </c>
      <c r="D627" s="5">
        <f>IF($E627="","",INDEX('Input Transaksi'!$F:$F,$E627))</f>
        <v/>
      </c>
      <c r="E627">
        <f>IFERROR(AGGREGATE(15,6,ROW('Input Transaksi'!$B$5:$B$5000)/('Input Transaksi'!$B$5:$B$5000="CUCI DEWE"),ROWS($E$5:E627)),"")</f>
        <v/>
      </c>
      <c r="F627" s="5" t="n"/>
    </row>
    <row r="628">
      <c r="A628" s="10">
        <f>IF($E628="","",INDEX('Input Transaksi'!$A:$A,$E628))</f>
        <v/>
      </c>
      <c r="B628" s="5">
        <f>IF($E628="","",INDEX('Input Transaksi'!$D:$D,$E628))</f>
        <v/>
      </c>
      <c r="C628">
        <f>IF($E628="","",INDEX('Input Transaksi'!$E:$E,$E628))</f>
        <v/>
      </c>
      <c r="D628" s="5">
        <f>IF($E628="","",INDEX('Input Transaksi'!$F:$F,$E628))</f>
        <v/>
      </c>
      <c r="E628">
        <f>IFERROR(AGGREGATE(15,6,ROW('Input Transaksi'!$B$5:$B$5000)/('Input Transaksi'!$B$5:$B$5000="CUCI DEWE"),ROWS($E$5:E628)),"")</f>
        <v/>
      </c>
      <c r="F628" s="5" t="n"/>
    </row>
    <row r="629">
      <c r="A629" s="10">
        <f>IF($E629="","",INDEX('Input Transaksi'!$A:$A,$E629))</f>
        <v/>
      </c>
      <c r="B629" s="5">
        <f>IF($E629="","",INDEX('Input Transaksi'!$D:$D,$E629))</f>
        <v/>
      </c>
      <c r="C629">
        <f>IF($E629="","",INDEX('Input Transaksi'!$E:$E,$E629))</f>
        <v/>
      </c>
      <c r="D629" s="5">
        <f>IF($E629="","",INDEX('Input Transaksi'!$F:$F,$E629))</f>
        <v/>
      </c>
      <c r="E629">
        <f>IFERROR(AGGREGATE(15,6,ROW('Input Transaksi'!$B$5:$B$5000)/('Input Transaksi'!$B$5:$B$5000="CUCI DEWE"),ROWS($E$5:E629)),"")</f>
        <v/>
      </c>
      <c r="F629" s="5" t="n"/>
    </row>
    <row r="630">
      <c r="A630" s="10">
        <f>IF($E630="","",INDEX('Input Transaksi'!$A:$A,$E630))</f>
        <v/>
      </c>
      <c r="B630" s="5">
        <f>IF($E630="","",INDEX('Input Transaksi'!$D:$D,$E630))</f>
        <v/>
      </c>
      <c r="C630">
        <f>IF($E630="","",INDEX('Input Transaksi'!$E:$E,$E630))</f>
        <v/>
      </c>
      <c r="D630" s="5">
        <f>IF($E630="","",INDEX('Input Transaksi'!$F:$F,$E630))</f>
        <v/>
      </c>
      <c r="E630">
        <f>IFERROR(AGGREGATE(15,6,ROW('Input Transaksi'!$B$5:$B$5000)/('Input Transaksi'!$B$5:$B$5000="CUCI DEWE"),ROWS($E$5:E630)),"")</f>
        <v/>
      </c>
      <c r="F630" s="5" t="n"/>
    </row>
    <row r="631">
      <c r="A631" s="10">
        <f>IF($E631="","",INDEX('Input Transaksi'!$A:$A,$E631))</f>
        <v/>
      </c>
      <c r="B631" s="5">
        <f>IF($E631="","",INDEX('Input Transaksi'!$D:$D,$E631))</f>
        <v/>
      </c>
      <c r="C631">
        <f>IF($E631="","",INDEX('Input Transaksi'!$E:$E,$E631))</f>
        <v/>
      </c>
      <c r="D631" s="5">
        <f>IF($E631="","",INDEX('Input Transaksi'!$F:$F,$E631))</f>
        <v/>
      </c>
      <c r="E631">
        <f>IFERROR(AGGREGATE(15,6,ROW('Input Transaksi'!$B$5:$B$5000)/('Input Transaksi'!$B$5:$B$5000="CUCI DEWE"),ROWS($E$5:E631)),"")</f>
        <v/>
      </c>
      <c r="F631" s="5" t="n"/>
    </row>
    <row r="632">
      <c r="A632" s="10">
        <f>IF($E632="","",INDEX('Input Transaksi'!$A:$A,$E632))</f>
        <v/>
      </c>
      <c r="B632" s="5">
        <f>IF($E632="","",INDEX('Input Transaksi'!$D:$D,$E632))</f>
        <v/>
      </c>
      <c r="C632">
        <f>IF($E632="","",INDEX('Input Transaksi'!$E:$E,$E632))</f>
        <v/>
      </c>
      <c r="D632" s="5">
        <f>IF($E632="","",INDEX('Input Transaksi'!$F:$F,$E632))</f>
        <v/>
      </c>
      <c r="E632">
        <f>IFERROR(AGGREGATE(15,6,ROW('Input Transaksi'!$B$5:$B$5000)/('Input Transaksi'!$B$5:$B$5000="CUCI DEWE"),ROWS($E$5:E632)),"")</f>
        <v/>
      </c>
      <c r="F632" s="5" t="n"/>
    </row>
    <row r="633">
      <c r="A633" s="10">
        <f>IF($E633="","",INDEX('Input Transaksi'!$A:$A,$E633))</f>
        <v/>
      </c>
      <c r="B633" s="5">
        <f>IF($E633="","",INDEX('Input Transaksi'!$D:$D,$E633))</f>
        <v/>
      </c>
      <c r="C633">
        <f>IF($E633="","",INDEX('Input Transaksi'!$E:$E,$E633))</f>
        <v/>
      </c>
      <c r="D633" s="5">
        <f>IF($E633="","",INDEX('Input Transaksi'!$F:$F,$E633))</f>
        <v/>
      </c>
      <c r="E633">
        <f>IFERROR(AGGREGATE(15,6,ROW('Input Transaksi'!$B$5:$B$5000)/('Input Transaksi'!$B$5:$B$5000="CUCI DEWE"),ROWS($E$5:E633)),"")</f>
        <v/>
      </c>
      <c r="F633" s="5" t="n"/>
    </row>
    <row r="634">
      <c r="A634" s="10">
        <f>IF($E634="","",INDEX('Input Transaksi'!$A:$A,$E634))</f>
        <v/>
      </c>
      <c r="B634" s="5">
        <f>IF($E634="","",INDEX('Input Transaksi'!$D:$D,$E634))</f>
        <v/>
      </c>
      <c r="C634">
        <f>IF($E634="","",INDEX('Input Transaksi'!$E:$E,$E634))</f>
        <v/>
      </c>
      <c r="D634" s="5">
        <f>IF($E634="","",INDEX('Input Transaksi'!$F:$F,$E634))</f>
        <v/>
      </c>
      <c r="E634">
        <f>IFERROR(AGGREGATE(15,6,ROW('Input Transaksi'!$B$5:$B$5000)/('Input Transaksi'!$B$5:$B$5000="CUCI DEWE"),ROWS($E$5:E634)),"")</f>
        <v/>
      </c>
      <c r="F634" s="5" t="n"/>
    </row>
    <row r="635">
      <c r="A635" s="10">
        <f>IF($E635="","",INDEX('Input Transaksi'!$A:$A,$E635))</f>
        <v/>
      </c>
      <c r="B635" s="5">
        <f>IF($E635="","",INDEX('Input Transaksi'!$D:$D,$E635))</f>
        <v/>
      </c>
      <c r="C635">
        <f>IF($E635="","",INDEX('Input Transaksi'!$E:$E,$E635))</f>
        <v/>
      </c>
      <c r="D635" s="5">
        <f>IF($E635="","",INDEX('Input Transaksi'!$F:$F,$E635))</f>
        <v/>
      </c>
      <c r="E635">
        <f>IFERROR(AGGREGATE(15,6,ROW('Input Transaksi'!$B$5:$B$5000)/('Input Transaksi'!$B$5:$B$5000="CUCI DEWE"),ROWS($E$5:E635)),"")</f>
        <v/>
      </c>
      <c r="F635" s="5" t="n"/>
    </row>
    <row r="636">
      <c r="A636" s="10">
        <f>IF($E636="","",INDEX('Input Transaksi'!$A:$A,$E636))</f>
        <v/>
      </c>
      <c r="B636" s="5">
        <f>IF($E636="","",INDEX('Input Transaksi'!$D:$D,$E636))</f>
        <v/>
      </c>
      <c r="C636">
        <f>IF($E636="","",INDEX('Input Transaksi'!$E:$E,$E636))</f>
        <v/>
      </c>
      <c r="D636" s="5">
        <f>IF($E636="","",INDEX('Input Transaksi'!$F:$F,$E636))</f>
        <v/>
      </c>
      <c r="E636">
        <f>IFERROR(AGGREGATE(15,6,ROW('Input Transaksi'!$B$5:$B$5000)/('Input Transaksi'!$B$5:$B$5000="CUCI DEWE"),ROWS($E$5:E636)),"")</f>
        <v/>
      </c>
      <c r="F636" s="5" t="n"/>
    </row>
    <row r="637">
      <c r="A637" s="10">
        <f>IF($E637="","",INDEX('Input Transaksi'!$A:$A,$E637))</f>
        <v/>
      </c>
      <c r="B637" s="5">
        <f>IF($E637="","",INDEX('Input Transaksi'!$D:$D,$E637))</f>
        <v/>
      </c>
      <c r="C637">
        <f>IF($E637="","",INDEX('Input Transaksi'!$E:$E,$E637))</f>
        <v/>
      </c>
      <c r="D637" s="5">
        <f>IF($E637="","",INDEX('Input Transaksi'!$F:$F,$E637))</f>
        <v/>
      </c>
      <c r="E637">
        <f>IFERROR(AGGREGATE(15,6,ROW('Input Transaksi'!$B$5:$B$5000)/('Input Transaksi'!$B$5:$B$5000="CUCI DEWE"),ROWS($E$5:E637)),"")</f>
        <v/>
      </c>
      <c r="F637" s="5" t="n"/>
    </row>
    <row r="638">
      <c r="A638" s="10">
        <f>IF($E638="","",INDEX('Input Transaksi'!$A:$A,$E638))</f>
        <v/>
      </c>
      <c r="B638" s="5">
        <f>IF($E638="","",INDEX('Input Transaksi'!$D:$D,$E638))</f>
        <v/>
      </c>
      <c r="C638">
        <f>IF($E638="","",INDEX('Input Transaksi'!$E:$E,$E638))</f>
        <v/>
      </c>
      <c r="D638" s="5">
        <f>IF($E638="","",INDEX('Input Transaksi'!$F:$F,$E638))</f>
        <v/>
      </c>
      <c r="E638">
        <f>IFERROR(AGGREGATE(15,6,ROW('Input Transaksi'!$B$5:$B$5000)/('Input Transaksi'!$B$5:$B$5000="CUCI DEWE"),ROWS($E$5:E638)),"")</f>
        <v/>
      </c>
      <c r="F638" s="5" t="n"/>
    </row>
    <row r="639">
      <c r="A639" s="10">
        <f>IF($E639="","",INDEX('Input Transaksi'!$A:$A,$E639))</f>
        <v/>
      </c>
      <c r="B639" s="5">
        <f>IF($E639="","",INDEX('Input Transaksi'!$D:$D,$E639))</f>
        <v/>
      </c>
      <c r="C639">
        <f>IF($E639="","",INDEX('Input Transaksi'!$E:$E,$E639))</f>
        <v/>
      </c>
      <c r="D639" s="5">
        <f>IF($E639="","",INDEX('Input Transaksi'!$F:$F,$E639))</f>
        <v/>
      </c>
      <c r="E639">
        <f>IFERROR(AGGREGATE(15,6,ROW('Input Transaksi'!$B$5:$B$5000)/('Input Transaksi'!$B$5:$B$5000="CUCI DEWE"),ROWS($E$5:E639)),"")</f>
        <v/>
      </c>
      <c r="F639" s="5" t="n"/>
    </row>
    <row r="640">
      <c r="A640" s="10">
        <f>IF($E640="","",INDEX('Input Transaksi'!$A:$A,$E640))</f>
        <v/>
      </c>
      <c r="B640" s="5">
        <f>IF($E640="","",INDEX('Input Transaksi'!$D:$D,$E640))</f>
        <v/>
      </c>
      <c r="C640">
        <f>IF($E640="","",INDEX('Input Transaksi'!$E:$E,$E640))</f>
        <v/>
      </c>
      <c r="D640" s="5">
        <f>IF($E640="","",INDEX('Input Transaksi'!$F:$F,$E640))</f>
        <v/>
      </c>
      <c r="E640">
        <f>IFERROR(AGGREGATE(15,6,ROW('Input Transaksi'!$B$5:$B$5000)/('Input Transaksi'!$B$5:$B$5000="CUCI DEWE"),ROWS($E$5:E640)),"")</f>
        <v/>
      </c>
      <c r="F640" s="5" t="n"/>
    </row>
    <row r="641">
      <c r="A641" s="10">
        <f>IF($E641="","",INDEX('Input Transaksi'!$A:$A,$E641))</f>
        <v/>
      </c>
      <c r="B641" s="5">
        <f>IF($E641="","",INDEX('Input Transaksi'!$D:$D,$E641))</f>
        <v/>
      </c>
      <c r="C641">
        <f>IF($E641="","",INDEX('Input Transaksi'!$E:$E,$E641))</f>
        <v/>
      </c>
      <c r="D641" s="5">
        <f>IF($E641="","",INDEX('Input Transaksi'!$F:$F,$E641))</f>
        <v/>
      </c>
      <c r="E641">
        <f>IFERROR(AGGREGATE(15,6,ROW('Input Transaksi'!$B$5:$B$5000)/('Input Transaksi'!$B$5:$B$5000="CUCI DEWE"),ROWS($E$5:E641)),"")</f>
        <v/>
      </c>
      <c r="F641" s="5" t="n"/>
    </row>
    <row r="642">
      <c r="A642" s="10">
        <f>IF($E642="","",INDEX('Input Transaksi'!$A:$A,$E642))</f>
        <v/>
      </c>
      <c r="B642" s="5">
        <f>IF($E642="","",INDEX('Input Transaksi'!$D:$D,$E642))</f>
        <v/>
      </c>
      <c r="C642">
        <f>IF($E642="","",INDEX('Input Transaksi'!$E:$E,$E642))</f>
        <v/>
      </c>
      <c r="D642" s="5">
        <f>IF($E642="","",INDEX('Input Transaksi'!$F:$F,$E642))</f>
        <v/>
      </c>
      <c r="E642">
        <f>IFERROR(AGGREGATE(15,6,ROW('Input Transaksi'!$B$5:$B$5000)/('Input Transaksi'!$B$5:$B$5000="CUCI DEWE"),ROWS($E$5:E642)),"")</f>
        <v/>
      </c>
      <c r="F642" s="5" t="n"/>
    </row>
    <row r="643">
      <c r="A643" s="10">
        <f>IF($E643="","",INDEX('Input Transaksi'!$A:$A,$E643))</f>
        <v/>
      </c>
      <c r="B643" s="5">
        <f>IF($E643="","",INDEX('Input Transaksi'!$D:$D,$E643))</f>
        <v/>
      </c>
      <c r="C643">
        <f>IF($E643="","",INDEX('Input Transaksi'!$E:$E,$E643))</f>
        <v/>
      </c>
      <c r="D643" s="5">
        <f>IF($E643="","",INDEX('Input Transaksi'!$F:$F,$E643))</f>
        <v/>
      </c>
      <c r="E643">
        <f>IFERROR(AGGREGATE(15,6,ROW('Input Transaksi'!$B$5:$B$5000)/('Input Transaksi'!$B$5:$B$5000="CUCI DEWE"),ROWS($E$5:E643)),"")</f>
        <v/>
      </c>
      <c r="F643" s="5" t="n"/>
    </row>
    <row r="644">
      <c r="A644" s="10">
        <f>IF($E644="","",INDEX('Input Transaksi'!$A:$A,$E644))</f>
        <v/>
      </c>
      <c r="B644" s="5">
        <f>IF($E644="","",INDEX('Input Transaksi'!$D:$D,$E644))</f>
        <v/>
      </c>
      <c r="C644">
        <f>IF($E644="","",INDEX('Input Transaksi'!$E:$E,$E644))</f>
        <v/>
      </c>
      <c r="D644" s="5">
        <f>IF($E644="","",INDEX('Input Transaksi'!$F:$F,$E644))</f>
        <v/>
      </c>
      <c r="E644">
        <f>IFERROR(AGGREGATE(15,6,ROW('Input Transaksi'!$B$5:$B$5000)/('Input Transaksi'!$B$5:$B$5000="CUCI DEWE"),ROWS($E$5:E644)),"")</f>
        <v/>
      </c>
      <c r="F644" s="5" t="n"/>
    </row>
    <row r="645">
      <c r="A645" s="10">
        <f>IF($E645="","",INDEX('Input Transaksi'!$A:$A,$E645))</f>
        <v/>
      </c>
      <c r="B645" s="5">
        <f>IF($E645="","",INDEX('Input Transaksi'!$D:$D,$E645))</f>
        <v/>
      </c>
      <c r="C645">
        <f>IF($E645="","",INDEX('Input Transaksi'!$E:$E,$E645))</f>
        <v/>
      </c>
      <c r="D645" s="5">
        <f>IF($E645="","",INDEX('Input Transaksi'!$F:$F,$E645))</f>
        <v/>
      </c>
      <c r="E645">
        <f>IFERROR(AGGREGATE(15,6,ROW('Input Transaksi'!$B$5:$B$5000)/('Input Transaksi'!$B$5:$B$5000="CUCI DEWE"),ROWS($E$5:E645)),"")</f>
        <v/>
      </c>
      <c r="F645" s="5" t="n"/>
    </row>
    <row r="646">
      <c r="A646" s="10">
        <f>IF($E646="","",INDEX('Input Transaksi'!$A:$A,$E646))</f>
        <v/>
      </c>
      <c r="B646" s="5">
        <f>IF($E646="","",INDEX('Input Transaksi'!$D:$D,$E646))</f>
        <v/>
      </c>
      <c r="C646">
        <f>IF($E646="","",INDEX('Input Transaksi'!$E:$E,$E646))</f>
        <v/>
      </c>
      <c r="D646" s="5">
        <f>IF($E646="","",INDEX('Input Transaksi'!$F:$F,$E646))</f>
        <v/>
      </c>
      <c r="E646">
        <f>IFERROR(AGGREGATE(15,6,ROW('Input Transaksi'!$B$5:$B$5000)/('Input Transaksi'!$B$5:$B$5000="CUCI DEWE"),ROWS($E$5:E646)),"")</f>
        <v/>
      </c>
      <c r="F646" s="5" t="n"/>
    </row>
    <row r="647">
      <c r="A647" s="10">
        <f>IF($E647="","",INDEX('Input Transaksi'!$A:$A,$E647))</f>
        <v/>
      </c>
      <c r="B647" s="5">
        <f>IF($E647="","",INDEX('Input Transaksi'!$D:$D,$E647))</f>
        <v/>
      </c>
      <c r="C647">
        <f>IF($E647="","",INDEX('Input Transaksi'!$E:$E,$E647))</f>
        <v/>
      </c>
      <c r="D647" s="5">
        <f>IF($E647="","",INDEX('Input Transaksi'!$F:$F,$E647))</f>
        <v/>
      </c>
      <c r="E647">
        <f>IFERROR(AGGREGATE(15,6,ROW('Input Transaksi'!$B$5:$B$5000)/('Input Transaksi'!$B$5:$B$5000="CUCI DEWE"),ROWS($E$5:E647)),"")</f>
        <v/>
      </c>
      <c r="F647" s="5" t="n"/>
    </row>
    <row r="648">
      <c r="A648" s="10">
        <f>IF($E648="","",INDEX('Input Transaksi'!$A:$A,$E648))</f>
        <v/>
      </c>
      <c r="B648" s="5">
        <f>IF($E648="","",INDEX('Input Transaksi'!$D:$D,$E648))</f>
        <v/>
      </c>
      <c r="C648">
        <f>IF($E648="","",INDEX('Input Transaksi'!$E:$E,$E648))</f>
        <v/>
      </c>
      <c r="D648" s="5">
        <f>IF($E648="","",INDEX('Input Transaksi'!$F:$F,$E648))</f>
        <v/>
      </c>
      <c r="E648">
        <f>IFERROR(AGGREGATE(15,6,ROW('Input Transaksi'!$B$5:$B$5000)/('Input Transaksi'!$B$5:$B$5000="CUCI DEWE"),ROWS($E$5:E648)),"")</f>
        <v/>
      </c>
      <c r="F648" s="5" t="n"/>
    </row>
    <row r="649">
      <c r="A649" s="10">
        <f>IF($E649="","",INDEX('Input Transaksi'!$A:$A,$E649))</f>
        <v/>
      </c>
      <c r="B649" s="5">
        <f>IF($E649="","",INDEX('Input Transaksi'!$D:$D,$E649))</f>
        <v/>
      </c>
      <c r="C649">
        <f>IF($E649="","",INDEX('Input Transaksi'!$E:$E,$E649))</f>
        <v/>
      </c>
      <c r="D649" s="5">
        <f>IF($E649="","",INDEX('Input Transaksi'!$F:$F,$E649))</f>
        <v/>
      </c>
      <c r="E649">
        <f>IFERROR(AGGREGATE(15,6,ROW('Input Transaksi'!$B$5:$B$5000)/('Input Transaksi'!$B$5:$B$5000="CUCI DEWE"),ROWS($E$5:E649)),"")</f>
        <v/>
      </c>
      <c r="F649" s="5" t="n"/>
    </row>
    <row r="650">
      <c r="A650" s="10">
        <f>IF($E650="","",INDEX('Input Transaksi'!$A:$A,$E650))</f>
        <v/>
      </c>
      <c r="B650" s="5">
        <f>IF($E650="","",INDEX('Input Transaksi'!$D:$D,$E650))</f>
        <v/>
      </c>
      <c r="C650">
        <f>IF($E650="","",INDEX('Input Transaksi'!$E:$E,$E650))</f>
        <v/>
      </c>
      <c r="D650" s="5">
        <f>IF($E650="","",INDEX('Input Transaksi'!$F:$F,$E650))</f>
        <v/>
      </c>
      <c r="E650">
        <f>IFERROR(AGGREGATE(15,6,ROW('Input Transaksi'!$B$5:$B$5000)/('Input Transaksi'!$B$5:$B$5000="CUCI DEWE"),ROWS($E$5:E650)),"")</f>
        <v/>
      </c>
      <c r="F650" s="5" t="n"/>
    </row>
    <row r="651">
      <c r="A651" s="10">
        <f>IF($E651="","",INDEX('Input Transaksi'!$A:$A,$E651))</f>
        <v/>
      </c>
      <c r="B651" s="5">
        <f>IF($E651="","",INDEX('Input Transaksi'!$D:$D,$E651))</f>
        <v/>
      </c>
      <c r="C651">
        <f>IF($E651="","",INDEX('Input Transaksi'!$E:$E,$E651))</f>
        <v/>
      </c>
      <c r="D651" s="5">
        <f>IF($E651="","",INDEX('Input Transaksi'!$F:$F,$E651))</f>
        <v/>
      </c>
      <c r="E651">
        <f>IFERROR(AGGREGATE(15,6,ROW('Input Transaksi'!$B$5:$B$5000)/('Input Transaksi'!$B$5:$B$5000="CUCI DEWE"),ROWS($E$5:E651)),"")</f>
        <v/>
      </c>
      <c r="F651" s="5" t="n"/>
    </row>
    <row r="652">
      <c r="A652" s="10">
        <f>IF($E652="","",INDEX('Input Transaksi'!$A:$A,$E652))</f>
        <v/>
      </c>
      <c r="B652" s="5">
        <f>IF($E652="","",INDEX('Input Transaksi'!$D:$D,$E652))</f>
        <v/>
      </c>
      <c r="C652">
        <f>IF($E652="","",INDEX('Input Transaksi'!$E:$E,$E652))</f>
        <v/>
      </c>
      <c r="D652" s="5">
        <f>IF($E652="","",INDEX('Input Transaksi'!$F:$F,$E652))</f>
        <v/>
      </c>
      <c r="E652">
        <f>IFERROR(AGGREGATE(15,6,ROW('Input Transaksi'!$B$5:$B$5000)/('Input Transaksi'!$B$5:$B$5000="CUCI DEWE"),ROWS($E$5:E652)),"")</f>
        <v/>
      </c>
      <c r="F652" s="5" t="n"/>
    </row>
    <row r="653">
      <c r="A653" s="10">
        <f>IF($E653="","",INDEX('Input Transaksi'!$A:$A,$E653))</f>
        <v/>
      </c>
      <c r="B653" s="5">
        <f>IF($E653="","",INDEX('Input Transaksi'!$D:$D,$E653))</f>
        <v/>
      </c>
      <c r="C653">
        <f>IF($E653="","",INDEX('Input Transaksi'!$E:$E,$E653))</f>
        <v/>
      </c>
      <c r="D653" s="5">
        <f>IF($E653="","",INDEX('Input Transaksi'!$F:$F,$E653))</f>
        <v/>
      </c>
      <c r="E653">
        <f>IFERROR(AGGREGATE(15,6,ROW('Input Transaksi'!$B$5:$B$5000)/('Input Transaksi'!$B$5:$B$5000="CUCI DEWE"),ROWS($E$5:E653)),"")</f>
        <v/>
      </c>
      <c r="F653" s="5" t="n"/>
    </row>
    <row r="654">
      <c r="A654" s="10">
        <f>IF($E654="","",INDEX('Input Transaksi'!$A:$A,$E654))</f>
        <v/>
      </c>
      <c r="B654" s="5">
        <f>IF($E654="","",INDEX('Input Transaksi'!$D:$D,$E654))</f>
        <v/>
      </c>
      <c r="C654">
        <f>IF($E654="","",INDEX('Input Transaksi'!$E:$E,$E654))</f>
        <v/>
      </c>
      <c r="D654" s="5">
        <f>IF($E654="","",INDEX('Input Transaksi'!$F:$F,$E654))</f>
        <v/>
      </c>
      <c r="E654">
        <f>IFERROR(AGGREGATE(15,6,ROW('Input Transaksi'!$B$5:$B$5000)/('Input Transaksi'!$B$5:$B$5000="CUCI DEWE"),ROWS($E$5:E654)),"")</f>
        <v/>
      </c>
      <c r="F654" s="5" t="n"/>
    </row>
    <row r="655">
      <c r="A655" s="10">
        <f>IF($E655="","",INDEX('Input Transaksi'!$A:$A,$E655))</f>
        <v/>
      </c>
      <c r="B655" s="5">
        <f>IF($E655="","",INDEX('Input Transaksi'!$D:$D,$E655))</f>
        <v/>
      </c>
      <c r="C655">
        <f>IF($E655="","",INDEX('Input Transaksi'!$E:$E,$E655))</f>
        <v/>
      </c>
      <c r="D655" s="5">
        <f>IF($E655="","",INDEX('Input Transaksi'!$F:$F,$E655))</f>
        <v/>
      </c>
      <c r="E655">
        <f>IFERROR(AGGREGATE(15,6,ROW('Input Transaksi'!$B$5:$B$5000)/('Input Transaksi'!$B$5:$B$5000="CUCI DEWE"),ROWS($E$5:E655)),"")</f>
        <v/>
      </c>
      <c r="F655" s="5" t="n"/>
    </row>
    <row r="656">
      <c r="A656" s="10">
        <f>IF($E656="","",INDEX('Input Transaksi'!$A:$A,$E656))</f>
        <v/>
      </c>
      <c r="B656" s="5">
        <f>IF($E656="","",INDEX('Input Transaksi'!$D:$D,$E656))</f>
        <v/>
      </c>
      <c r="C656">
        <f>IF($E656="","",INDEX('Input Transaksi'!$E:$E,$E656))</f>
        <v/>
      </c>
      <c r="D656" s="5">
        <f>IF($E656="","",INDEX('Input Transaksi'!$F:$F,$E656))</f>
        <v/>
      </c>
      <c r="E656">
        <f>IFERROR(AGGREGATE(15,6,ROW('Input Transaksi'!$B$5:$B$5000)/('Input Transaksi'!$B$5:$B$5000="CUCI DEWE"),ROWS($E$5:E656)),"")</f>
        <v/>
      </c>
      <c r="F656" s="5" t="n"/>
    </row>
    <row r="657">
      <c r="A657" s="10">
        <f>IF($E657="","",INDEX('Input Transaksi'!$A:$A,$E657))</f>
        <v/>
      </c>
      <c r="B657" s="5">
        <f>IF($E657="","",INDEX('Input Transaksi'!$D:$D,$E657))</f>
        <v/>
      </c>
      <c r="C657">
        <f>IF($E657="","",INDEX('Input Transaksi'!$E:$E,$E657))</f>
        <v/>
      </c>
      <c r="D657" s="5">
        <f>IF($E657="","",INDEX('Input Transaksi'!$F:$F,$E657))</f>
        <v/>
      </c>
      <c r="E657">
        <f>IFERROR(AGGREGATE(15,6,ROW('Input Transaksi'!$B$5:$B$5000)/('Input Transaksi'!$B$5:$B$5000="CUCI DEWE"),ROWS($E$5:E657)),"")</f>
        <v/>
      </c>
      <c r="F657" s="5" t="n"/>
    </row>
    <row r="658">
      <c r="A658" s="10">
        <f>IF($E658="","",INDEX('Input Transaksi'!$A:$A,$E658))</f>
        <v/>
      </c>
      <c r="B658" s="5">
        <f>IF($E658="","",INDEX('Input Transaksi'!$D:$D,$E658))</f>
        <v/>
      </c>
      <c r="C658">
        <f>IF($E658="","",INDEX('Input Transaksi'!$E:$E,$E658))</f>
        <v/>
      </c>
      <c r="D658" s="5">
        <f>IF($E658="","",INDEX('Input Transaksi'!$F:$F,$E658))</f>
        <v/>
      </c>
      <c r="E658">
        <f>IFERROR(AGGREGATE(15,6,ROW('Input Transaksi'!$B$5:$B$5000)/('Input Transaksi'!$B$5:$B$5000="CUCI DEWE"),ROWS($E$5:E658)),"")</f>
        <v/>
      </c>
      <c r="F658" s="5" t="n"/>
    </row>
    <row r="659">
      <c r="A659" s="10">
        <f>IF($E659="","",INDEX('Input Transaksi'!$A:$A,$E659))</f>
        <v/>
      </c>
      <c r="B659" s="5">
        <f>IF($E659="","",INDEX('Input Transaksi'!$D:$D,$E659))</f>
        <v/>
      </c>
      <c r="C659">
        <f>IF($E659="","",INDEX('Input Transaksi'!$E:$E,$E659))</f>
        <v/>
      </c>
      <c r="D659" s="5">
        <f>IF($E659="","",INDEX('Input Transaksi'!$F:$F,$E659))</f>
        <v/>
      </c>
      <c r="E659">
        <f>IFERROR(AGGREGATE(15,6,ROW('Input Transaksi'!$B$5:$B$5000)/('Input Transaksi'!$B$5:$B$5000="CUCI DEWE"),ROWS($E$5:E659)),"")</f>
        <v/>
      </c>
      <c r="F659" s="5" t="n"/>
    </row>
    <row r="660">
      <c r="A660" s="10">
        <f>IF($E660="","",INDEX('Input Transaksi'!$A:$A,$E660))</f>
        <v/>
      </c>
      <c r="B660" s="5">
        <f>IF($E660="","",INDEX('Input Transaksi'!$D:$D,$E660))</f>
        <v/>
      </c>
      <c r="C660">
        <f>IF($E660="","",INDEX('Input Transaksi'!$E:$E,$E660))</f>
        <v/>
      </c>
      <c r="D660" s="5">
        <f>IF($E660="","",INDEX('Input Transaksi'!$F:$F,$E660))</f>
        <v/>
      </c>
      <c r="E660">
        <f>IFERROR(AGGREGATE(15,6,ROW('Input Transaksi'!$B$5:$B$5000)/('Input Transaksi'!$B$5:$B$5000="CUCI DEWE"),ROWS($E$5:E660)),"")</f>
        <v/>
      </c>
      <c r="F660" s="5" t="n"/>
    </row>
    <row r="661">
      <c r="A661" s="10">
        <f>IF($E661="","",INDEX('Input Transaksi'!$A:$A,$E661))</f>
        <v/>
      </c>
      <c r="B661" s="5">
        <f>IF($E661="","",INDEX('Input Transaksi'!$D:$D,$E661))</f>
        <v/>
      </c>
      <c r="C661">
        <f>IF($E661="","",INDEX('Input Transaksi'!$E:$E,$E661))</f>
        <v/>
      </c>
      <c r="D661" s="5">
        <f>IF($E661="","",INDEX('Input Transaksi'!$F:$F,$E661))</f>
        <v/>
      </c>
      <c r="E661">
        <f>IFERROR(AGGREGATE(15,6,ROW('Input Transaksi'!$B$5:$B$5000)/('Input Transaksi'!$B$5:$B$5000="CUCI DEWE"),ROWS($E$5:E661)),"")</f>
        <v/>
      </c>
      <c r="F661" s="5" t="n"/>
    </row>
    <row r="662">
      <c r="A662" s="10">
        <f>IF($E662="","",INDEX('Input Transaksi'!$A:$A,$E662))</f>
        <v/>
      </c>
      <c r="B662" s="5">
        <f>IF($E662="","",INDEX('Input Transaksi'!$D:$D,$E662))</f>
        <v/>
      </c>
      <c r="C662">
        <f>IF($E662="","",INDEX('Input Transaksi'!$E:$E,$E662))</f>
        <v/>
      </c>
      <c r="D662" s="5">
        <f>IF($E662="","",INDEX('Input Transaksi'!$F:$F,$E662))</f>
        <v/>
      </c>
      <c r="E662">
        <f>IFERROR(AGGREGATE(15,6,ROW('Input Transaksi'!$B$5:$B$5000)/('Input Transaksi'!$B$5:$B$5000="CUCI DEWE"),ROWS($E$5:E662)),"")</f>
        <v/>
      </c>
      <c r="F662" s="5" t="n"/>
    </row>
    <row r="663">
      <c r="A663" s="10">
        <f>IF($E663="","",INDEX('Input Transaksi'!$A:$A,$E663))</f>
        <v/>
      </c>
      <c r="B663" s="5">
        <f>IF($E663="","",INDEX('Input Transaksi'!$D:$D,$E663))</f>
        <v/>
      </c>
      <c r="C663">
        <f>IF($E663="","",INDEX('Input Transaksi'!$E:$E,$E663))</f>
        <v/>
      </c>
      <c r="D663" s="5">
        <f>IF($E663="","",INDEX('Input Transaksi'!$F:$F,$E663))</f>
        <v/>
      </c>
      <c r="E663">
        <f>IFERROR(AGGREGATE(15,6,ROW('Input Transaksi'!$B$5:$B$5000)/('Input Transaksi'!$B$5:$B$5000="CUCI DEWE"),ROWS($E$5:E663)),"")</f>
        <v/>
      </c>
      <c r="F663" s="5" t="n"/>
    </row>
    <row r="664">
      <c r="A664" s="10">
        <f>IF($E664="","",INDEX('Input Transaksi'!$A:$A,$E664))</f>
        <v/>
      </c>
      <c r="B664" s="5">
        <f>IF($E664="","",INDEX('Input Transaksi'!$D:$D,$E664))</f>
        <v/>
      </c>
      <c r="C664">
        <f>IF($E664="","",INDEX('Input Transaksi'!$E:$E,$E664))</f>
        <v/>
      </c>
      <c r="D664" s="5">
        <f>IF($E664="","",INDEX('Input Transaksi'!$F:$F,$E664))</f>
        <v/>
      </c>
      <c r="E664">
        <f>IFERROR(AGGREGATE(15,6,ROW('Input Transaksi'!$B$5:$B$5000)/('Input Transaksi'!$B$5:$B$5000="CUCI DEWE"),ROWS($E$5:E664)),"")</f>
        <v/>
      </c>
      <c r="F664" s="5" t="n"/>
    </row>
    <row r="665">
      <c r="A665" s="10">
        <f>IF($E665="","",INDEX('Input Transaksi'!$A:$A,$E665))</f>
        <v/>
      </c>
      <c r="B665" s="5">
        <f>IF($E665="","",INDEX('Input Transaksi'!$D:$D,$E665))</f>
        <v/>
      </c>
      <c r="C665">
        <f>IF($E665="","",INDEX('Input Transaksi'!$E:$E,$E665))</f>
        <v/>
      </c>
      <c r="D665" s="5">
        <f>IF($E665="","",INDEX('Input Transaksi'!$F:$F,$E665))</f>
        <v/>
      </c>
      <c r="E665">
        <f>IFERROR(AGGREGATE(15,6,ROW('Input Transaksi'!$B$5:$B$5000)/('Input Transaksi'!$B$5:$B$5000="CUCI DEWE"),ROWS($E$5:E665)),"")</f>
        <v/>
      </c>
      <c r="F665" s="5" t="n"/>
    </row>
    <row r="666">
      <c r="A666" s="10">
        <f>IF($E666="","",INDEX('Input Transaksi'!$A:$A,$E666))</f>
        <v/>
      </c>
      <c r="B666" s="5">
        <f>IF($E666="","",INDEX('Input Transaksi'!$D:$D,$E666))</f>
        <v/>
      </c>
      <c r="C666">
        <f>IF($E666="","",INDEX('Input Transaksi'!$E:$E,$E666))</f>
        <v/>
      </c>
      <c r="D666" s="5">
        <f>IF($E666="","",INDEX('Input Transaksi'!$F:$F,$E666))</f>
        <v/>
      </c>
      <c r="E666">
        <f>IFERROR(AGGREGATE(15,6,ROW('Input Transaksi'!$B$5:$B$5000)/('Input Transaksi'!$B$5:$B$5000="CUCI DEWE"),ROWS($E$5:E666)),"")</f>
        <v/>
      </c>
      <c r="F666" s="5" t="n"/>
    </row>
    <row r="667">
      <c r="A667" s="10">
        <f>IF($E667="","",INDEX('Input Transaksi'!$A:$A,$E667))</f>
        <v/>
      </c>
      <c r="B667" s="5">
        <f>IF($E667="","",INDEX('Input Transaksi'!$D:$D,$E667))</f>
        <v/>
      </c>
      <c r="C667">
        <f>IF($E667="","",INDEX('Input Transaksi'!$E:$E,$E667))</f>
        <v/>
      </c>
      <c r="D667" s="5">
        <f>IF($E667="","",INDEX('Input Transaksi'!$F:$F,$E667))</f>
        <v/>
      </c>
      <c r="E667">
        <f>IFERROR(AGGREGATE(15,6,ROW('Input Transaksi'!$B$5:$B$5000)/('Input Transaksi'!$B$5:$B$5000="CUCI DEWE"),ROWS($E$5:E667)),"")</f>
        <v/>
      </c>
      <c r="F667" s="5" t="n"/>
    </row>
    <row r="668">
      <c r="A668" s="10">
        <f>IF($E668="","",INDEX('Input Transaksi'!$A:$A,$E668))</f>
        <v/>
      </c>
      <c r="B668" s="5">
        <f>IF($E668="","",INDEX('Input Transaksi'!$D:$D,$E668))</f>
        <v/>
      </c>
      <c r="C668">
        <f>IF($E668="","",INDEX('Input Transaksi'!$E:$E,$E668))</f>
        <v/>
      </c>
      <c r="D668" s="5">
        <f>IF($E668="","",INDEX('Input Transaksi'!$F:$F,$E668))</f>
        <v/>
      </c>
      <c r="E668">
        <f>IFERROR(AGGREGATE(15,6,ROW('Input Transaksi'!$B$5:$B$5000)/('Input Transaksi'!$B$5:$B$5000="CUCI DEWE"),ROWS($E$5:E668)),"")</f>
        <v/>
      </c>
      <c r="F668" s="5" t="n"/>
    </row>
    <row r="669">
      <c r="A669" s="10">
        <f>IF($E669="","",INDEX('Input Transaksi'!$A:$A,$E669))</f>
        <v/>
      </c>
      <c r="B669" s="5">
        <f>IF($E669="","",INDEX('Input Transaksi'!$D:$D,$E669))</f>
        <v/>
      </c>
      <c r="C669">
        <f>IF($E669="","",INDEX('Input Transaksi'!$E:$E,$E669))</f>
        <v/>
      </c>
      <c r="D669" s="5">
        <f>IF($E669="","",INDEX('Input Transaksi'!$F:$F,$E669))</f>
        <v/>
      </c>
      <c r="E669">
        <f>IFERROR(AGGREGATE(15,6,ROW('Input Transaksi'!$B$5:$B$5000)/('Input Transaksi'!$B$5:$B$5000="CUCI DEWE"),ROWS($E$5:E669)),"")</f>
        <v/>
      </c>
      <c r="F669" s="5" t="n"/>
    </row>
    <row r="670">
      <c r="A670" s="10">
        <f>IF($E670="","",INDEX('Input Transaksi'!$A:$A,$E670))</f>
        <v/>
      </c>
      <c r="B670" s="5">
        <f>IF($E670="","",INDEX('Input Transaksi'!$D:$D,$E670))</f>
        <v/>
      </c>
      <c r="C670">
        <f>IF($E670="","",INDEX('Input Transaksi'!$E:$E,$E670))</f>
        <v/>
      </c>
      <c r="D670" s="5">
        <f>IF($E670="","",INDEX('Input Transaksi'!$F:$F,$E670))</f>
        <v/>
      </c>
      <c r="E670">
        <f>IFERROR(AGGREGATE(15,6,ROW('Input Transaksi'!$B$5:$B$5000)/('Input Transaksi'!$B$5:$B$5000="CUCI DEWE"),ROWS($E$5:E670)),"")</f>
        <v/>
      </c>
      <c r="F670" s="5" t="n"/>
    </row>
    <row r="671">
      <c r="A671" s="10">
        <f>IF($E671="","",INDEX('Input Transaksi'!$A:$A,$E671))</f>
        <v/>
      </c>
      <c r="B671" s="5">
        <f>IF($E671="","",INDEX('Input Transaksi'!$D:$D,$E671))</f>
        <v/>
      </c>
      <c r="C671">
        <f>IF($E671="","",INDEX('Input Transaksi'!$E:$E,$E671))</f>
        <v/>
      </c>
      <c r="D671" s="5">
        <f>IF($E671="","",INDEX('Input Transaksi'!$F:$F,$E671))</f>
        <v/>
      </c>
      <c r="E671">
        <f>IFERROR(AGGREGATE(15,6,ROW('Input Transaksi'!$B$5:$B$5000)/('Input Transaksi'!$B$5:$B$5000="CUCI DEWE"),ROWS($E$5:E671)),"")</f>
        <v/>
      </c>
      <c r="F671" s="5" t="n"/>
    </row>
    <row r="672">
      <c r="A672" s="10">
        <f>IF($E672="","",INDEX('Input Transaksi'!$A:$A,$E672))</f>
        <v/>
      </c>
      <c r="B672" s="5">
        <f>IF($E672="","",INDEX('Input Transaksi'!$D:$D,$E672))</f>
        <v/>
      </c>
      <c r="C672">
        <f>IF($E672="","",INDEX('Input Transaksi'!$E:$E,$E672))</f>
        <v/>
      </c>
      <c r="D672" s="5">
        <f>IF($E672="","",INDEX('Input Transaksi'!$F:$F,$E672))</f>
        <v/>
      </c>
      <c r="E672">
        <f>IFERROR(AGGREGATE(15,6,ROW('Input Transaksi'!$B$5:$B$5000)/('Input Transaksi'!$B$5:$B$5000="CUCI DEWE"),ROWS($E$5:E672)),"")</f>
        <v/>
      </c>
      <c r="F672" s="5" t="n"/>
    </row>
    <row r="673">
      <c r="A673" s="10">
        <f>IF($E673="","",INDEX('Input Transaksi'!$A:$A,$E673))</f>
        <v/>
      </c>
      <c r="B673" s="5">
        <f>IF($E673="","",INDEX('Input Transaksi'!$D:$D,$E673))</f>
        <v/>
      </c>
      <c r="C673">
        <f>IF($E673="","",INDEX('Input Transaksi'!$E:$E,$E673))</f>
        <v/>
      </c>
      <c r="D673" s="5">
        <f>IF($E673="","",INDEX('Input Transaksi'!$F:$F,$E673))</f>
        <v/>
      </c>
      <c r="E673">
        <f>IFERROR(AGGREGATE(15,6,ROW('Input Transaksi'!$B$5:$B$5000)/('Input Transaksi'!$B$5:$B$5000="CUCI DEWE"),ROWS($E$5:E673)),"")</f>
        <v/>
      </c>
      <c r="F673" s="5" t="n"/>
    </row>
    <row r="674">
      <c r="A674" s="10">
        <f>IF($E674="","",INDEX('Input Transaksi'!$A:$A,$E674))</f>
        <v/>
      </c>
      <c r="B674" s="5">
        <f>IF($E674="","",INDEX('Input Transaksi'!$D:$D,$E674))</f>
        <v/>
      </c>
      <c r="C674">
        <f>IF($E674="","",INDEX('Input Transaksi'!$E:$E,$E674))</f>
        <v/>
      </c>
      <c r="D674" s="5">
        <f>IF($E674="","",INDEX('Input Transaksi'!$F:$F,$E674))</f>
        <v/>
      </c>
      <c r="E674">
        <f>IFERROR(AGGREGATE(15,6,ROW('Input Transaksi'!$B$5:$B$5000)/('Input Transaksi'!$B$5:$B$5000="CUCI DEWE"),ROWS($E$5:E674)),"")</f>
        <v/>
      </c>
      <c r="F674" s="5" t="n"/>
    </row>
    <row r="675">
      <c r="A675" s="10">
        <f>IF($E675="","",INDEX('Input Transaksi'!$A:$A,$E675))</f>
        <v/>
      </c>
      <c r="B675" s="5">
        <f>IF($E675="","",INDEX('Input Transaksi'!$D:$D,$E675))</f>
        <v/>
      </c>
      <c r="C675">
        <f>IF($E675="","",INDEX('Input Transaksi'!$E:$E,$E675))</f>
        <v/>
      </c>
      <c r="D675" s="5">
        <f>IF($E675="","",INDEX('Input Transaksi'!$F:$F,$E675))</f>
        <v/>
      </c>
      <c r="E675">
        <f>IFERROR(AGGREGATE(15,6,ROW('Input Transaksi'!$B$5:$B$5000)/('Input Transaksi'!$B$5:$B$5000="CUCI DEWE"),ROWS($E$5:E675)),"")</f>
        <v/>
      </c>
      <c r="F675" s="5" t="n"/>
    </row>
    <row r="676">
      <c r="A676" s="10">
        <f>IF($E676="","",INDEX('Input Transaksi'!$A:$A,$E676))</f>
        <v/>
      </c>
      <c r="B676" s="5">
        <f>IF($E676="","",INDEX('Input Transaksi'!$D:$D,$E676))</f>
        <v/>
      </c>
      <c r="C676">
        <f>IF($E676="","",INDEX('Input Transaksi'!$E:$E,$E676))</f>
        <v/>
      </c>
      <c r="D676" s="5">
        <f>IF($E676="","",INDEX('Input Transaksi'!$F:$F,$E676))</f>
        <v/>
      </c>
      <c r="E676">
        <f>IFERROR(AGGREGATE(15,6,ROW('Input Transaksi'!$B$5:$B$5000)/('Input Transaksi'!$B$5:$B$5000="CUCI DEWE"),ROWS($E$5:E676)),"")</f>
        <v/>
      </c>
      <c r="F676" s="5" t="n"/>
    </row>
    <row r="677">
      <c r="A677" s="10">
        <f>IF($E677="","",INDEX('Input Transaksi'!$A:$A,$E677))</f>
        <v/>
      </c>
      <c r="B677" s="5">
        <f>IF($E677="","",INDEX('Input Transaksi'!$D:$D,$E677))</f>
        <v/>
      </c>
      <c r="C677">
        <f>IF($E677="","",INDEX('Input Transaksi'!$E:$E,$E677))</f>
        <v/>
      </c>
      <c r="D677" s="5">
        <f>IF($E677="","",INDEX('Input Transaksi'!$F:$F,$E677))</f>
        <v/>
      </c>
      <c r="E677">
        <f>IFERROR(AGGREGATE(15,6,ROW('Input Transaksi'!$B$5:$B$5000)/('Input Transaksi'!$B$5:$B$5000="CUCI DEWE"),ROWS($E$5:E677)),"")</f>
        <v/>
      </c>
      <c r="F677" s="5" t="n"/>
    </row>
    <row r="678">
      <c r="A678" s="10">
        <f>IF($E678="","",INDEX('Input Transaksi'!$A:$A,$E678))</f>
        <v/>
      </c>
      <c r="B678" s="5">
        <f>IF($E678="","",INDEX('Input Transaksi'!$D:$D,$E678))</f>
        <v/>
      </c>
      <c r="C678">
        <f>IF($E678="","",INDEX('Input Transaksi'!$E:$E,$E678))</f>
        <v/>
      </c>
      <c r="D678" s="5">
        <f>IF($E678="","",INDEX('Input Transaksi'!$F:$F,$E678))</f>
        <v/>
      </c>
      <c r="E678">
        <f>IFERROR(AGGREGATE(15,6,ROW('Input Transaksi'!$B$5:$B$5000)/('Input Transaksi'!$B$5:$B$5000="CUCI DEWE"),ROWS($E$5:E678)),"")</f>
        <v/>
      </c>
      <c r="F678" s="5" t="n"/>
    </row>
    <row r="679">
      <c r="A679" s="10">
        <f>IF($E679="","",INDEX('Input Transaksi'!$A:$A,$E679))</f>
        <v/>
      </c>
      <c r="B679" s="5">
        <f>IF($E679="","",INDEX('Input Transaksi'!$D:$D,$E679))</f>
        <v/>
      </c>
      <c r="C679">
        <f>IF($E679="","",INDEX('Input Transaksi'!$E:$E,$E679))</f>
        <v/>
      </c>
      <c r="D679" s="5">
        <f>IF($E679="","",INDEX('Input Transaksi'!$F:$F,$E679))</f>
        <v/>
      </c>
      <c r="E679">
        <f>IFERROR(AGGREGATE(15,6,ROW('Input Transaksi'!$B$5:$B$5000)/('Input Transaksi'!$B$5:$B$5000="CUCI DEWE"),ROWS($E$5:E679)),"")</f>
        <v/>
      </c>
      <c r="F679" s="5" t="n"/>
    </row>
    <row r="680">
      <c r="A680" s="10">
        <f>IF($E680="","",INDEX('Input Transaksi'!$A:$A,$E680))</f>
        <v/>
      </c>
      <c r="B680" s="5">
        <f>IF($E680="","",INDEX('Input Transaksi'!$D:$D,$E680))</f>
        <v/>
      </c>
      <c r="C680">
        <f>IF($E680="","",INDEX('Input Transaksi'!$E:$E,$E680))</f>
        <v/>
      </c>
      <c r="D680" s="5">
        <f>IF($E680="","",INDEX('Input Transaksi'!$F:$F,$E680))</f>
        <v/>
      </c>
      <c r="E680">
        <f>IFERROR(AGGREGATE(15,6,ROW('Input Transaksi'!$B$5:$B$5000)/('Input Transaksi'!$B$5:$B$5000="CUCI DEWE"),ROWS($E$5:E680)),"")</f>
        <v/>
      </c>
      <c r="F680" s="5" t="n"/>
    </row>
    <row r="681">
      <c r="A681" s="10">
        <f>IF($E681="","",INDEX('Input Transaksi'!$A:$A,$E681))</f>
        <v/>
      </c>
      <c r="B681" s="5">
        <f>IF($E681="","",INDEX('Input Transaksi'!$D:$D,$E681))</f>
        <v/>
      </c>
      <c r="C681">
        <f>IF($E681="","",INDEX('Input Transaksi'!$E:$E,$E681))</f>
        <v/>
      </c>
      <c r="D681" s="5">
        <f>IF($E681="","",INDEX('Input Transaksi'!$F:$F,$E681))</f>
        <v/>
      </c>
      <c r="E681">
        <f>IFERROR(AGGREGATE(15,6,ROW('Input Transaksi'!$B$5:$B$5000)/('Input Transaksi'!$B$5:$B$5000="CUCI DEWE"),ROWS($E$5:E681)),"")</f>
        <v/>
      </c>
      <c r="F681" s="5" t="n"/>
    </row>
    <row r="682">
      <c r="A682" s="10">
        <f>IF($E682="","",INDEX('Input Transaksi'!$A:$A,$E682))</f>
        <v/>
      </c>
      <c r="B682" s="5">
        <f>IF($E682="","",INDEX('Input Transaksi'!$D:$D,$E682))</f>
        <v/>
      </c>
      <c r="C682">
        <f>IF($E682="","",INDEX('Input Transaksi'!$E:$E,$E682))</f>
        <v/>
      </c>
      <c r="D682" s="5">
        <f>IF($E682="","",INDEX('Input Transaksi'!$F:$F,$E682))</f>
        <v/>
      </c>
      <c r="E682">
        <f>IFERROR(AGGREGATE(15,6,ROW('Input Transaksi'!$B$5:$B$5000)/('Input Transaksi'!$B$5:$B$5000="CUCI DEWE"),ROWS($E$5:E682)),"")</f>
        <v/>
      </c>
      <c r="F682" s="5" t="n"/>
    </row>
    <row r="683">
      <c r="A683" s="10">
        <f>IF($E683="","",INDEX('Input Transaksi'!$A:$A,$E683))</f>
        <v/>
      </c>
      <c r="B683" s="5">
        <f>IF($E683="","",INDEX('Input Transaksi'!$D:$D,$E683))</f>
        <v/>
      </c>
      <c r="C683">
        <f>IF($E683="","",INDEX('Input Transaksi'!$E:$E,$E683))</f>
        <v/>
      </c>
      <c r="D683" s="5">
        <f>IF($E683="","",INDEX('Input Transaksi'!$F:$F,$E683))</f>
        <v/>
      </c>
      <c r="E683">
        <f>IFERROR(AGGREGATE(15,6,ROW('Input Transaksi'!$B$5:$B$5000)/('Input Transaksi'!$B$5:$B$5000="CUCI DEWE"),ROWS($E$5:E683)),"")</f>
        <v/>
      </c>
      <c r="F683" s="5" t="n"/>
    </row>
    <row r="684">
      <c r="A684" s="10">
        <f>IF($E684="","",INDEX('Input Transaksi'!$A:$A,$E684))</f>
        <v/>
      </c>
      <c r="B684" s="5">
        <f>IF($E684="","",INDEX('Input Transaksi'!$D:$D,$E684))</f>
        <v/>
      </c>
      <c r="C684">
        <f>IF($E684="","",INDEX('Input Transaksi'!$E:$E,$E684))</f>
        <v/>
      </c>
      <c r="D684" s="5">
        <f>IF($E684="","",INDEX('Input Transaksi'!$F:$F,$E684))</f>
        <v/>
      </c>
      <c r="E684">
        <f>IFERROR(AGGREGATE(15,6,ROW('Input Transaksi'!$B$5:$B$5000)/('Input Transaksi'!$B$5:$B$5000="CUCI DEWE"),ROWS($E$5:E684)),"")</f>
        <v/>
      </c>
      <c r="F684" s="5" t="n"/>
    </row>
    <row r="685">
      <c r="A685" s="10">
        <f>IF($E685="","",INDEX('Input Transaksi'!$A:$A,$E685))</f>
        <v/>
      </c>
      <c r="B685" s="5">
        <f>IF($E685="","",INDEX('Input Transaksi'!$D:$D,$E685))</f>
        <v/>
      </c>
      <c r="C685">
        <f>IF($E685="","",INDEX('Input Transaksi'!$E:$E,$E685))</f>
        <v/>
      </c>
      <c r="D685" s="5">
        <f>IF($E685="","",INDEX('Input Transaksi'!$F:$F,$E685))</f>
        <v/>
      </c>
      <c r="E685">
        <f>IFERROR(AGGREGATE(15,6,ROW('Input Transaksi'!$B$5:$B$5000)/('Input Transaksi'!$B$5:$B$5000="CUCI DEWE"),ROWS($E$5:E685)),"")</f>
        <v/>
      </c>
      <c r="F685" s="5" t="n"/>
    </row>
    <row r="686">
      <c r="A686" s="10">
        <f>IF($E686="","",INDEX('Input Transaksi'!$A:$A,$E686))</f>
        <v/>
      </c>
      <c r="B686" s="5">
        <f>IF($E686="","",INDEX('Input Transaksi'!$D:$D,$E686))</f>
        <v/>
      </c>
      <c r="C686">
        <f>IF($E686="","",INDEX('Input Transaksi'!$E:$E,$E686))</f>
        <v/>
      </c>
      <c r="D686" s="5">
        <f>IF($E686="","",INDEX('Input Transaksi'!$F:$F,$E686))</f>
        <v/>
      </c>
      <c r="E686">
        <f>IFERROR(AGGREGATE(15,6,ROW('Input Transaksi'!$B$5:$B$5000)/('Input Transaksi'!$B$5:$B$5000="CUCI DEWE"),ROWS($E$5:E686)),"")</f>
        <v/>
      </c>
      <c r="F686" s="5" t="n"/>
    </row>
    <row r="687">
      <c r="A687" s="10">
        <f>IF($E687="","",INDEX('Input Transaksi'!$A:$A,$E687))</f>
        <v/>
      </c>
      <c r="B687" s="5">
        <f>IF($E687="","",INDEX('Input Transaksi'!$D:$D,$E687))</f>
        <v/>
      </c>
      <c r="C687">
        <f>IF($E687="","",INDEX('Input Transaksi'!$E:$E,$E687))</f>
        <v/>
      </c>
      <c r="D687" s="5">
        <f>IF($E687="","",INDEX('Input Transaksi'!$F:$F,$E687))</f>
        <v/>
      </c>
      <c r="E687">
        <f>IFERROR(AGGREGATE(15,6,ROW('Input Transaksi'!$B$5:$B$5000)/('Input Transaksi'!$B$5:$B$5000="CUCI DEWE"),ROWS($E$5:E687)),"")</f>
        <v/>
      </c>
      <c r="F687" s="5" t="n"/>
    </row>
    <row r="688">
      <c r="A688" s="10">
        <f>IF($E688="","",INDEX('Input Transaksi'!$A:$A,$E688))</f>
        <v/>
      </c>
      <c r="B688" s="5">
        <f>IF($E688="","",INDEX('Input Transaksi'!$D:$D,$E688))</f>
        <v/>
      </c>
      <c r="C688">
        <f>IF($E688="","",INDEX('Input Transaksi'!$E:$E,$E688))</f>
        <v/>
      </c>
      <c r="D688" s="5">
        <f>IF($E688="","",INDEX('Input Transaksi'!$F:$F,$E688))</f>
        <v/>
      </c>
      <c r="E688">
        <f>IFERROR(AGGREGATE(15,6,ROW('Input Transaksi'!$B$5:$B$5000)/('Input Transaksi'!$B$5:$B$5000="CUCI DEWE"),ROWS($E$5:E688)),"")</f>
        <v/>
      </c>
      <c r="F688" s="5" t="n"/>
    </row>
    <row r="689">
      <c r="A689" s="10">
        <f>IF($E689="","",INDEX('Input Transaksi'!$A:$A,$E689))</f>
        <v/>
      </c>
      <c r="B689" s="5">
        <f>IF($E689="","",INDEX('Input Transaksi'!$D:$D,$E689))</f>
        <v/>
      </c>
      <c r="C689">
        <f>IF($E689="","",INDEX('Input Transaksi'!$E:$E,$E689))</f>
        <v/>
      </c>
      <c r="D689" s="5">
        <f>IF($E689="","",INDEX('Input Transaksi'!$F:$F,$E689))</f>
        <v/>
      </c>
      <c r="E689">
        <f>IFERROR(AGGREGATE(15,6,ROW('Input Transaksi'!$B$5:$B$5000)/('Input Transaksi'!$B$5:$B$5000="CUCI DEWE"),ROWS($E$5:E689)),"")</f>
        <v/>
      </c>
      <c r="F689" s="5" t="n"/>
    </row>
    <row r="690">
      <c r="A690" s="10">
        <f>IF($E690="","",INDEX('Input Transaksi'!$A:$A,$E690))</f>
        <v/>
      </c>
      <c r="B690" s="5">
        <f>IF($E690="","",INDEX('Input Transaksi'!$D:$D,$E690))</f>
        <v/>
      </c>
      <c r="C690">
        <f>IF($E690="","",INDEX('Input Transaksi'!$E:$E,$E690))</f>
        <v/>
      </c>
      <c r="D690" s="5">
        <f>IF($E690="","",INDEX('Input Transaksi'!$F:$F,$E690))</f>
        <v/>
      </c>
      <c r="E690">
        <f>IFERROR(AGGREGATE(15,6,ROW('Input Transaksi'!$B$5:$B$5000)/('Input Transaksi'!$B$5:$B$5000="CUCI DEWE"),ROWS($E$5:E690)),"")</f>
        <v/>
      </c>
      <c r="F690" s="5" t="n"/>
    </row>
    <row r="691">
      <c r="A691" s="10">
        <f>IF($E691="","",INDEX('Input Transaksi'!$A:$A,$E691))</f>
        <v/>
      </c>
      <c r="B691" s="5">
        <f>IF($E691="","",INDEX('Input Transaksi'!$D:$D,$E691))</f>
        <v/>
      </c>
      <c r="C691">
        <f>IF($E691="","",INDEX('Input Transaksi'!$E:$E,$E691))</f>
        <v/>
      </c>
      <c r="D691" s="5">
        <f>IF($E691="","",INDEX('Input Transaksi'!$F:$F,$E691))</f>
        <v/>
      </c>
      <c r="E691">
        <f>IFERROR(AGGREGATE(15,6,ROW('Input Transaksi'!$B$5:$B$5000)/('Input Transaksi'!$B$5:$B$5000="CUCI DEWE"),ROWS($E$5:E691)),"")</f>
        <v/>
      </c>
      <c r="F691" s="5" t="n"/>
    </row>
    <row r="692">
      <c r="A692" s="10">
        <f>IF($E692="","",INDEX('Input Transaksi'!$A:$A,$E692))</f>
        <v/>
      </c>
      <c r="B692" s="5">
        <f>IF($E692="","",INDEX('Input Transaksi'!$D:$D,$E692))</f>
        <v/>
      </c>
      <c r="C692">
        <f>IF($E692="","",INDEX('Input Transaksi'!$E:$E,$E692))</f>
        <v/>
      </c>
      <c r="D692" s="5">
        <f>IF($E692="","",INDEX('Input Transaksi'!$F:$F,$E692))</f>
        <v/>
      </c>
      <c r="E692">
        <f>IFERROR(AGGREGATE(15,6,ROW('Input Transaksi'!$B$5:$B$5000)/('Input Transaksi'!$B$5:$B$5000="CUCI DEWE"),ROWS($E$5:E692)),"")</f>
        <v/>
      </c>
      <c r="F692" s="5" t="n"/>
    </row>
    <row r="693">
      <c r="A693" s="10">
        <f>IF($E693="","",INDEX('Input Transaksi'!$A:$A,$E693))</f>
        <v/>
      </c>
      <c r="B693" s="5">
        <f>IF($E693="","",INDEX('Input Transaksi'!$D:$D,$E693))</f>
        <v/>
      </c>
      <c r="C693">
        <f>IF($E693="","",INDEX('Input Transaksi'!$E:$E,$E693))</f>
        <v/>
      </c>
      <c r="D693" s="5">
        <f>IF($E693="","",INDEX('Input Transaksi'!$F:$F,$E693))</f>
        <v/>
      </c>
      <c r="E693">
        <f>IFERROR(AGGREGATE(15,6,ROW('Input Transaksi'!$B$5:$B$5000)/('Input Transaksi'!$B$5:$B$5000="CUCI DEWE"),ROWS($E$5:E693)),"")</f>
        <v/>
      </c>
      <c r="F693" s="5" t="n"/>
    </row>
    <row r="694">
      <c r="A694" s="10">
        <f>IF($E694="","",INDEX('Input Transaksi'!$A:$A,$E694))</f>
        <v/>
      </c>
      <c r="B694" s="5">
        <f>IF($E694="","",INDEX('Input Transaksi'!$D:$D,$E694))</f>
        <v/>
      </c>
      <c r="C694">
        <f>IF($E694="","",INDEX('Input Transaksi'!$E:$E,$E694))</f>
        <v/>
      </c>
      <c r="D694" s="5">
        <f>IF($E694="","",INDEX('Input Transaksi'!$F:$F,$E694))</f>
        <v/>
      </c>
      <c r="E694">
        <f>IFERROR(AGGREGATE(15,6,ROW('Input Transaksi'!$B$5:$B$5000)/('Input Transaksi'!$B$5:$B$5000="CUCI DEWE"),ROWS($E$5:E694)),"")</f>
        <v/>
      </c>
      <c r="F694" s="5" t="n"/>
    </row>
    <row r="695">
      <c r="A695" s="10">
        <f>IF($E695="","",INDEX('Input Transaksi'!$A:$A,$E695))</f>
        <v/>
      </c>
      <c r="B695" s="5">
        <f>IF($E695="","",INDEX('Input Transaksi'!$D:$D,$E695))</f>
        <v/>
      </c>
      <c r="C695">
        <f>IF($E695="","",INDEX('Input Transaksi'!$E:$E,$E695))</f>
        <v/>
      </c>
      <c r="D695" s="5">
        <f>IF($E695="","",INDEX('Input Transaksi'!$F:$F,$E695))</f>
        <v/>
      </c>
      <c r="E695">
        <f>IFERROR(AGGREGATE(15,6,ROW('Input Transaksi'!$B$5:$B$5000)/('Input Transaksi'!$B$5:$B$5000="CUCI DEWE"),ROWS($E$5:E695)),"")</f>
        <v/>
      </c>
      <c r="F695" s="5" t="n"/>
    </row>
    <row r="696">
      <c r="A696" s="10">
        <f>IF($E696="","",INDEX('Input Transaksi'!$A:$A,$E696))</f>
        <v/>
      </c>
      <c r="B696" s="5">
        <f>IF($E696="","",INDEX('Input Transaksi'!$D:$D,$E696))</f>
        <v/>
      </c>
      <c r="C696">
        <f>IF($E696="","",INDEX('Input Transaksi'!$E:$E,$E696))</f>
        <v/>
      </c>
      <c r="D696" s="5">
        <f>IF($E696="","",INDEX('Input Transaksi'!$F:$F,$E696))</f>
        <v/>
      </c>
      <c r="E696">
        <f>IFERROR(AGGREGATE(15,6,ROW('Input Transaksi'!$B$5:$B$5000)/('Input Transaksi'!$B$5:$B$5000="CUCI DEWE"),ROWS($E$5:E696)),"")</f>
        <v/>
      </c>
      <c r="F696" s="5" t="n"/>
    </row>
    <row r="697">
      <c r="A697" s="10">
        <f>IF($E697="","",INDEX('Input Transaksi'!$A:$A,$E697))</f>
        <v/>
      </c>
      <c r="B697" s="5">
        <f>IF($E697="","",INDEX('Input Transaksi'!$D:$D,$E697))</f>
        <v/>
      </c>
      <c r="C697">
        <f>IF($E697="","",INDEX('Input Transaksi'!$E:$E,$E697))</f>
        <v/>
      </c>
      <c r="D697" s="5">
        <f>IF($E697="","",INDEX('Input Transaksi'!$F:$F,$E697))</f>
        <v/>
      </c>
      <c r="E697">
        <f>IFERROR(AGGREGATE(15,6,ROW('Input Transaksi'!$B$5:$B$5000)/('Input Transaksi'!$B$5:$B$5000="CUCI DEWE"),ROWS($E$5:E697)),"")</f>
        <v/>
      </c>
      <c r="F697" s="5" t="n"/>
    </row>
    <row r="698">
      <c r="A698" s="10">
        <f>IF($E698="","",INDEX('Input Transaksi'!$A:$A,$E698))</f>
        <v/>
      </c>
      <c r="B698" s="5">
        <f>IF($E698="","",INDEX('Input Transaksi'!$D:$D,$E698))</f>
        <v/>
      </c>
      <c r="C698">
        <f>IF($E698="","",INDEX('Input Transaksi'!$E:$E,$E698))</f>
        <v/>
      </c>
      <c r="D698" s="5">
        <f>IF($E698="","",INDEX('Input Transaksi'!$F:$F,$E698))</f>
        <v/>
      </c>
      <c r="E698">
        <f>IFERROR(AGGREGATE(15,6,ROW('Input Transaksi'!$B$5:$B$5000)/('Input Transaksi'!$B$5:$B$5000="CUCI DEWE"),ROWS($E$5:E698)),"")</f>
        <v/>
      </c>
      <c r="F698" s="5" t="n"/>
    </row>
    <row r="699">
      <c r="A699" s="10">
        <f>IF($E699="","",INDEX('Input Transaksi'!$A:$A,$E699))</f>
        <v/>
      </c>
      <c r="B699" s="5">
        <f>IF($E699="","",INDEX('Input Transaksi'!$D:$D,$E699))</f>
        <v/>
      </c>
      <c r="C699">
        <f>IF($E699="","",INDEX('Input Transaksi'!$E:$E,$E699))</f>
        <v/>
      </c>
      <c r="D699" s="5">
        <f>IF($E699="","",INDEX('Input Transaksi'!$F:$F,$E699))</f>
        <v/>
      </c>
      <c r="E699">
        <f>IFERROR(AGGREGATE(15,6,ROW('Input Transaksi'!$B$5:$B$5000)/('Input Transaksi'!$B$5:$B$5000="CUCI DEWE"),ROWS($E$5:E699)),"")</f>
        <v/>
      </c>
      <c r="F699" s="5" t="n"/>
    </row>
    <row r="700">
      <c r="A700" s="10">
        <f>IF($E700="","",INDEX('Input Transaksi'!$A:$A,$E700))</f>
        <v/>
      </c>
      <c r="B700" s="5">
        <f>IF($E700="","",INDEX('Input Transaksi'!$D:$D,$E700))</f>
        <v/>
      </c>
      <c r="C700">
        <f>IF($E700="","",INDEX('Input Transaksi'!$E:$E,$E700))</f>
        <v/>
      </c>
      <c r="D700" s="5">
        <f>IF($E700="","",INDEX('Input Transaksi'!$F:$F,$E700))</f>
        <v/>
      </c>
      <c r="E700">
        <f>IFERROR(AGGREGATE(15,6,ROW('Input Transaksi'!$B$5:$B$5000)/('Input Transaksi'!$B$5:$B$5000="CUCI DEWE"),ROWS($E$5:E700)),"")</f>
        <v/>
      </c>
      <c r="F700" s="5" t="n"/>
    </row>
    <row r="701">
      <c r="A701" s="10">
        <f>IF($E701="","",INDEX('Input Transaksi'!$A:$A,$E701))</f>
        <v/>
      </c>
      <c r="B701" s="5">
        <f>IF($E701="","",INDEX('Input Transaksi'!$D:$D,$E701))</f>
        <v/>
      </c>
      <c r="C701">
        <f>IF($E701="","",INDEX('Input Transaksi'!$E:$E,$E701))</f>
        <v/>
      </c>
      <c r="D701" s="5">
        <f>IF($E701="","",INDEX('Input Transaksi'!$F:$F,$E701))</f>
        <v/>
      </c>
      <c r="E701">
        <f>IFERROR(AGGREGATE(15,6,ROW('Input Transaksi'!$B$5:$B$5000)/('Input Transaksi'!$B$5:$B$5000="CUCI DEWE"),ROWS($E$5:E701)),"")</f>
        <v/>
      </c>
      <c r="F701" s="5" t="n"/>
    </row>
    <row r="702">
      <c r="A702" s="10">
        <f>IF($E702="","",INDEX('Input Transaksi'!$A:$A,$E702))</f>
        <v/>
      </c>
      <c r="B702" s="5">
        <f>IF($E702="","",INDEX('Input Transaksi'!$D:$D,$E702))</f>
        <v/>
      </c>
      <c r="C702">
        <f>IF($E702="","",INDEX('Input Transaksi'!$E:$E,$E702))</f>
        <v/>
      </c>
      <c r="D702" s="5">
        <f>IF($E702="","",INDEX('Input Transaksi'!$F:$F,$E702))</f>
        <v/>
      </c>
      <c r="E702">
        <f>IFERROR(AGGREGATE(15,6,ROW('Input Transaksi'!$B$5:$B$5000)/('Input Transaksi'!$B$5:$B$5000="CUCI DEWE"),ROWS($E$5:E702)),"")</f>
        <v/>
      </c>
      <c r="F702" s="5" t="n"/>
    </row>
    <row r="703">
      <c r="A703" s="10">
        <f>IF($E703="","",INDEX('Input Transaksi'!$A:$A,$E703))</f>
        <v/>
      </c>
      <c r="B703" s="5">
        <f>IF($E703="","",INDEX('Input Transaksi'!$D:$D,$E703))</f>
        <v/>
      </c>
      <c r="C703">
        <f>IF($E703="","",INDEX('Input Transaksi'!$E:$E,$E703))</f>
        <v/>
      </c>
      <c r="D703" s="5">
        <f>IF($E703="","",INDEX('Input Transaksi'!$F:$F,$E703))</f>
        <v/>
      </c>
      <c r="E703">
        <f>IFERROR(AGGREGATE(15,6,ROW('Input Transaksi'!$B$5:$B$5000)/('Input Transaksi'!$B$5:$B$5000="CUCI DEWE"),ROWS($E$5:E703)),"")</f>
        <v/>
      </c>
      <c r="F703" s="5" t="n"/>
    </row>
    <row r="704">
      <c r="A704" s="10">
        <f>IF($E704="","",INDEX('Input Transaksi'!$A:$A,$E704))</f>
        <v/>
      </c>
      <c r="B704" s="5">
        <f>IF($E704="","",INDEX('Input Transaksi'!$D:$D,$E704))</f>
        <v/>
      </c>
      <c r="C704">
        <f>IF($E704="","",INDEX('Input Transaksi'!$E:$E,$E704))</f>
        <v/>
      </c>
      <c r="D704" s="5">
        <f>IF($E704="","",INDEX('Input Transaksi'!$F:$F,$E704))</f>
        <v/>
      </c>
      <c r="E704">
        <f>IFERROR(AGGREGATE(15,6,ROW('Input Transaksi'!$B$5:$B$5000)/('Input Transaksi'!$B$5:$B$5000="CUCI DEWE"),ROWS($E$5:E704)),"")</f>
        <v/>
      </c>
      <c r="F704" s="5" t="n"/>
    </row>
    <row r="705">
      <c r="A705" s="10">
        <f>IF($E705="","",INDEX('Input Transaksi'!$A:$A,$E705))</f>
        <v/>
      </c>
      <c r="B705" s="5">
        <f>IF($E705="","",INDEX('Input Transaksi'!$D:$D,$E705))</f>
        <v/>
      </c>
      <c r="C705">
        <f>IF($E705="","",INDEX('Input Transaksi'!$E:$E,$E705))</f>
        <v/>
      </c>
      <c r="D705" s="5">
        <f>IF($E705="","",INDEX('Input Transaksi'!$F:$F,$E705))</f>
        <v/>
      </c>
      <c r="E705">
        <f>IFERROR(AGGREGATE(15,6,ROW('Input Transaksi'!$B$5:$B$5000)/('Input Transaksi'!$B$5:$B$5000="CUCI DEWE"),ROWS($E$5:E705)),"")</f>
        <v/>
      </c>
      <c r="F705" s="5" t="n"/>
    </row>
    <row r="706">
      <c r="A706" s="10">
        <f>IF($E706="","",INDEX('Input Transaksi'!$A:$A,$E706))</f>
        <v/>
      </c>
      <c r="B706" s="5">
        <f>IF($E706="","",INDEX('Input Transaksi'!$D:$D,$E706))</f>
        <v/>
      </c>
      <c r="C706">
        <f>IF($E706="","",INDEX('Input Transaksi'!$E:$E,$E706))</f>
        <v/>
      </c>
      <c r="D706" s="5">
        <f>IF($E706="","",INDEX('Input Transaksi'!$F:$F,$E706))</f>
        <v/>
      </c>
      <c r="E706">
        <f>IFERROR(AGGREGATE(15,6,ROW('Input Transaksi'!$B$5:$B$5000)/('Input Transaksi'!$B$5:$B$5000="CUCI DEWE"),ROWS($E$5:E706)),"")</f>
        <v/>
      </c>
      <c r="F706" s="5" t="n"/>
    </row>
    <row r="707">
      <c r="A707" s="10">
        <f>IF($E707="","",INDEX('Input Transaksi'!$A:$A,$E707))</f>
        <v/>
      </c>
      <c r="B707" s="5">
        <f>IF($E707="","",INDEX('Input Transaksi'!$D:$D,$E707))</f>
        <v/>
      </c>
      <c r="C707">
        <f>IF($E707="","",INDEX('Input Transaksi'!$E:$E,$E707))</f>
        <v/>
      </c>
      <c r="D707" s="5">
        <f>IF($E707="","",INDEX('Input Transaksi'!$F:$F,$E707))</f>
        <v/>
      </c>
      <c r="E707">
        <f>IFERROR(AGGREGATE(15,6,ROW('Input Transaksi'!$B$5:$B$5000)/('Input Transaksi'!$B$5:$B$5000="CUCI DEWE"),ROWS($E$5:E707)),"")</f>
        <v/>
      </c>
      <c r="F707" s="5" t="n"/>
    </row>
    <row r="708">
      <c r="A708" s="10">
        <f>IF($E708="","",INDEX('Input Transaksi'!$A:$A,$E708))</f>
        <v/>
      </c>
      <c r="B708" s="5">
        <f>IF($E708="","",INDEX('Input Transaksi'!$D:$D,$E708))</f>
        <v/>
      </c>
      <c r="C708">
        <f>IF($E708="","",INDEX('Input Transaksi'!$E:$E,$E708))</f>
        <v/>
      </c>
      <c r="D708" s="5">
        <f>IF($E708="","",INDEX('Input Transaksi'!$F:$F,$E708))</f>
        <v/>
      </c>
      <c r="E708">
        <f>IFERROR(AGGREGATE(15,6,ROW('Input Transaksi'!$B$5:$B$5000)/('Input Transaksi'!$B$5:$B$5000="CUCI DEWE"),ROWS($E$5:E708)),"")</f>
        <v/>
      </c>
      <c r="F708" s="5" t="n"/>
    </row>
    <row r="709">
      <c r="A709" s="10">
        <f>IF($E709="","",INDEX('Input Transaksi'!$A:$A,$E709))</f>
        <v/>
      </c>
      <c r="B709" s="5">
        <f>IF($E709="","",INDEX('Input Transaksi'!$D:$D,$E709))</f>
        <v/>
      </c>
      <c r="C709">
        <f>IF($E709="","",INDEX('Input Transaksi'!$E:$E,$E709))</f>
        <v/>
      </c>
      <c r="D709" s="5">
        <f>IF($E709="","",INDEX('Input Transaksi'!$F:$F,$E709))</f>
        <v/>
      </c>
      <c r="E709">
        <f>IFERROR(AGGREGATE(15,6,ROW('Input Transaksi'!$B$5:$B$5000)/('Input Transaksi'!$B$5:$B$5000="CUCI DEWE"),ROWS($E$5:E709)),"")</f>
        <v/>
      </c>
      <c r="F709" s="5" t="n"/>
    </row>
    <row r="710">
      <c r="A710" s="10">
        <f>IF($E710="","",INDEX('Input Transaksi'!$A:$A,$E710))</f>
        <v/>
      </c>
      <c r="B710" s="5">
        <f>IF($E710="","",INDEX('Input Transaksi'!$D:$D,$E710))</f>
        <v/>
      </c>
      <c r="C710">
        <f>IF($E710="","",INDEX('Input Transaksi'!$E:$E,$E710))</f>
        <v/>
      </c>
      <c r="D710" s="5">
        <f>IF($E710="","",INDEX('Input Transaksi'!$F:$F,$E710))</f>
        <v/>
      </c>
      <c r="E710">
        <f>IFERROR(AGGREGATE(15,6,ROW('Input Transaksi'!$B$5:$B$5000)/('Input Transaksi'!$B$5:$B$5000="CUCI DEWE"),ROWS($E$5:E710)),"")</f>
        <v/>
      </c>
      <c r="F710" s="5" t="n"/>
    </row>
    <row r="711">
      <c r="A711" s="10">
        <f>IF($E711="","",INDEX('Input Transaksi'!$A:$A,$E711))</f>
        <v/>
      </c>
      <c r="B711" s="5">
        <f>IF($E711="","",INDEX('Input Transaksi'!$D:$D,$E711))</f>
        <v/>
      </c>
      <c r="C711">
        <f>IF($E711="","",INDEX('Input Transaksi'!$E:$E,$E711))</f>
        <v/>
      </c>
      <c r="D711" s="5">
        <f>IF($E711="","",INDEX('Input Transaksi'!$F:$F,$E711))</f>
        <v/>
      </c>
      <c r="E711">
        <f>IFERROR(AGGREGATE(15,6,ROW('Input Transaksi'!$B$5:$B$5000)/('Input Transaksi'!$B$5:$B$5000="CUCI DEWE"),ROWS($E$5:E711)),"")</f>
        <v/>
      </c>
      <c r="F711" s="5" t="n"/>
    </row>
    <row r="712">
      <c r="A712" s="10">
        <f>IF($E712="","",INDEX('Input Transaksi'!$A:$A,$E712))</f>
        <v/>
      </c>
      <c r="B712" s="5">
        <f>IF($E712="","",INDEX('Input Transaksi'!$D:$D,$E712))</f>
        <v/>
      </c>
      <c r="C712">
        <f>IF($E712="","",INDEX('Input Transaksi'!$E:$E,$E712))</f>
        <v/>
      </c>
      <c r="D712" s="5">
        <f>IF($E712="","",INDEX('Input Transaksi'!$F:$F,$E712))</f>
        <v/>
      </c>
      <c r="E712">
        <f>IFERROR(AGGREGATE(15,6,ROW('Input Transaksi'!$B$5:$B$5000)/('Input Transaksi'!$B$5:$B$5000="CUCI DEWE"),ROWS($E$5:E712)),"")</f>
        <v/>
      </c>
      <c r="F712" s="5" t="n"/>
    </row>
    <row r="713">
      <c r="A713" s="10">
        <f>IF($E713="","",INDEX('Input Transaksi'!$A:$A,$E713))</f>
        <v/>
      </c>
      <c r="B713" s="5">
        <f>IF($E713="","",INDEX('Input Transaksi'!$D:$D,$E713))</f>
        <v/>
      </c>
      <c r="C713">
        <f>IF($E713="","",INDEX('Input Transaksi'!$E:$E,$E713))</f>
        <v/>
      </c>
      <c r="D713" s="5">
        <f>IF($E713="","",INDEX('Input Transaksi'!$F:$F,$E713))</f>
        <v/>
      </c>
      <c r="E713">
        <f>IFERROR(AGGREGATE(15,6,ROW('Input Transaksi'!$B$5:$B$5000)/('Input Transaksi'!$B$5:$B$5000="CUCI DEWE"),ROWS($E$5:E713)),"")</f>
        <v/>
      </c>
      <c r="F713" s="5" t="n"/>
    </row>
    <row r="714">
      <c r="A714" s="10">
        <f>IF($E714="","",INDEX('Input Transaksi'!$A:$A,$E714))</f>
        <v/>
      </c>
      <c r="B714" s="5">
        <f>IF($E714="","",INDEX('Input Transaksi'!$D:$D,$E714))</f>
        <v/>
      </c>
      <c r="C714">
        <f>IF($E714="","",INDEX('Input Transaksi'!$E:$E,$E714))</f>
        <v/>
      </c>
      <c r="D714" s="5">
        <f>IF($E714="","",INDEX('Input Transaksi'!$F:$F,$E714))</f>
        <v/>
      </c>
      <c r="E714">
        <f>IFERROR(AGGREGATE(15,6,ROW('Input Transaksi'!$B$5:$B$5000)/('Input Transaksi'!$B$5:$B$5000="CUCI DEWE"),ROWS($E$5:E714)),"")</f>
        <v/>
      </c>
      <c r="F714" s="5" t="n"/>
    </row>
    <row r="715">
      <c r="A715" s="10">
        <f>IF($E715="","",INDEX('Input Transaksi'!$A:$A,$E715))</f>
        <v/>
      </c>
      <c r="B715" s="5">
        <f>IF($E715="","",INDEX('Input Transaksi'!$D:$D,$E715))</f>
        <v/>
      </c>
      <c r="C715">
        <f>IF($E715="","",INDEX('Input Transaksi'!$E:$E,$E715))</f>
        <v/>
      </c>
      <c r="D715" s="5">
        <f>IF($E715="","",INDEX('Input Transaksi'!$F:$F,$E715))</f>
        <v/>
      </c>
      <c r="E715">
        <f>IFERROR(AGGREGATE(15,6,ROW('Input Transaksi'!$B$5:$B$5000)/('Input Transaksi'!$B$5:$B$5000="CUCI DEWE"),ROWS($E$5:E715)),"")</f>
        <v/>
      </c>
      <c r="F715" s="5" t="n"/>
    </row>
    <row r="716">
      <c r="A716" s="10">
        <f>IF($E716="","",INDEX('Input Transaksi'!$A:$A,$E716))</f>
        <v/>
      </c>
      <c r="B716" s="5">
        <f>IF($E716="","",INDEX('Input Transaksi'!$D:$D,$E716))</f>
        <v/>
      </c>
      <c r="C716">
        <f>IF($E716="","",INDEX('Input Transaksi'!$E:$E,$E716))</f>
        <v/>
      </c>
      <c r="D716" s="5">
        <f>IF($E716="","",INDEX('Input Transaksi'!$F:$F,$E716))</f>
        <v/>
      </c>
      <c r="E716">
        <f>IFERROR(AGGREGATE(15,6,ROW('Input Transaksi'!$B$5:$B$5000)/('Input Transaksi'!$B$5:$B$5000="CUCI DEWE"),ROWS($E$5:E716)),"")</f>
        <v/>
      </c>
      <c r="F716" s="5" t="n"/>
    </row>
    <row r="717">
      <c r="A717" s="10">
        <f>IF($E717="","",INDEX('Input Transaksi'!$A:$A,$E717))</f>
        <v/>
      </c>
      <c r="B717" s="5">
        <f>IF($E717="","",INDEX('Input Transaksi'!$D:$D,$E717))</f>
        <v/>
      </c>
      <c r="C717">
        <f>IF($E717="","",INDEX('Input Transaksi'!$E:$E,$E717))</f>
        <v/>
      </c>
      <c r="D717" s="5">
        <f>IF($E717="","",INDEX('Input Transaksi'!$F:$F,$E717))</f>
        <v/>
      </c>
      <c r="E717">
        <f>IFERROR(AGGREGATE(15,6,ROW('Input Transaksi'!$B$5:$B$5000)/('Input Transaksi'!$B$5:$B$5000="CUCI DEWE"),ROWS($E$5:E717)),"")</f>
        <v/>
      </c>
      <c r="F717" s="5" t="n"/>
    </row>
    <row r="718">
      <c r="A718" s="10">
        <f>IF($E718="","",INDEX('Input Transaksi'!$A:$A,$E718))</f>
        <v/>
      </c>
      <c r="B718" s="5">
        <f>IF($E718="","",INDEX('Input Transaksi'!$D:$D,$E718))</f>
        <v/>
      </c>
      <c r="C718">
        <f>IF($E718="","",INDEX('Input Transaksi'!$E:$E,$E718))</f>
        <v/>
      </c>
      <c r="D718" s="5">
        <f>IF($E718="","",INDEX('Input Transaksi'!$F:$F,$E718))</f>
        <v/>
      </c>
      <c r="E718">
        <f>IFERROR(AGGREGATE(15,6,ROW('Input Transaksi'!$B$5:$B$5000)/('Input Transaksi'!$B$5:$B$5000="CUCI DEWE"),ROWS($E$5:E718)),"")</f>
        <v/>
      </c>
      <c r="F718" s="5" t="n"/>
    </row>
    <row r="719">
      <c r="A719" s="10">
        <f>IF($E719="","",INDEX('Input Transaksi'!$A:$A,$E719))</f>
        <v/>
      </c>
      <c r="B719" s="5">
        <f>IF($E719="","",INDEX('Input Transaksi'!$D:$D,$E719))</f>
        <v/>
      </c>
      <c r="C719">
        <f>IF($E719="","",INDEX('Input Transaksi'!$E:$E,$E719))</f>
        <v/>
      </c>
      <c r="D719" s="5">
        <f>IF($E719="","",INDEX('Input Transaksi'!$F:$F,$E719))</f>
        <v/>
      </c>
      <c r="E719">
        <f>IFERROR(AGGREGATE(15,6,ROW('Input Transaksi'!$B$5:$B$5000)/('Input Transaksi'!$B$5:$B$5000="CUCI DEWE"),ROWS($E$5:E719)),"")</f>
        <v/>
      </c>
      <c r="F719" s="5" t="n"/>
    </row>
    <row r="720">
      <c r="A720" s="10">
        <f>IF($E720="","",INDEX('Input Transaksi'!$A:$A,$E720))</f>
        <v/>
      </c>
      <c r="B720" s="5">
        <f>IF($E720="","",INDEX('Input Transaksi'!$D:$D,$E720))</f>
        <v/>
      </c>
      <c r="C720">
        <f>IF($E720="","",INDEX('Input Transaksi'!$E:$E,$E720))</f>
        <v/>
      </c>
      <c r="D720" s="5">
        <f>IF($E720="","",INDEX('Input Transaksi'!$F:$F,$E720))</f>
        <v/>
      </c>
      <c r="E720">
        <f>IFERROR(AGGREGATE(15,6,ROW('Input Transaksi'!$B$5:$B$5000)/('Input Transaksi'!$B$5:$B$5000="CUCI DEWE"),ROWS($E$5:E720)),"")</f>
        <v/>
      </c>
      <c r="F720" s="5" t="n"/>
    </row>
    <row r="721">
      <c r="A721" s="10">
        <f>IF($E721="","",INDEX('Input Transaksi'!$A:$A,$E721))</f>
        <v/>
      </c>
      <c r="B721" s="5">
        <f>IF($E721="","",INDEX('Input Transaksi'!$D:$D,$E721))</f>
        <v/>
      </c>
      <c r="C721">
        <f>IF($E721="","",INDEX('Input Transaksi'!$E:$E,$E721))</f>
        <v/>
      </c>
      <c r="D721" s="5">
        <f>IF($E721="","",INDEX('Input Transaksi'!$F:$F,$E721))</f>
        <v/>
      </c>
      <c r="E721">
        <f>IFERROR(AGGREGATE(15,6,ROW('Input Transaksi'!$B$5:$B$5000)/('Input Transaksi'!$B$5:$B$5000="CUCI DEWE"),ROWS($E$5:E721)),"")</f>
        <v/>
      </c>
      <c r="F721" s="5" t="n"/>
    </row>
    <row r="722">
      <c r="A722" s="10">
        <f>IF($E722="","",INDEX('Input Transaksi'!$A:$A,$E722))</f>
        <v/>
      </c>
      <c r="B722" s="5">
        <f>IF($E722="","",INDEX('Input Transaksi'!$D:$D,$E722))</f>
        <v/>
      </c>
      <c r="C722">
        <f>IF($E722="","",INDEX('Input Transaksi'!$E:$E,$E722))</f>
        <v/>
      </c>
      <c r="D722" s="5">
        <f>IF($E722="","",INDEX('Input Transaksi'!$F:$F,$E722))</f>
        <v/>
      </c>
      <c r="E722">
        <f>IFERROR(AGGREGATE(15,6,ROW('Input Transaksi'!$B$5:$B$5000)/('Input Transaksi'!$B$5:$B$5000="CUCI DEWE"),ROWS($E$5:E722)),"")</f>
        <v/>
      </c>
      <c r="F722" s="5" t="n"/>
    </row>
    <row r="723">
      <c r="A723" s="10">
        <f>IF($E723="","",INDEX('Input Transaksi'!$A:$A,$E723))</f>
        <v/>
      </c>
      <c r="B723" s="5">
        <f>IF($E723="","",INDEX('Input Transaksi'!$D:$D,$E723))</f>
        <v/>
      </c>
      <c r="C723">
        <f>IF($E723="","",INDEX('Input Transaksi'!$E:$E,$E723))</f>
        <v/>
      </c>
      <c r="D723" s="5">
        <f>IF($E723="","",INDEX('Input Transaksi'!$F:$F,$E723))</f>
        <v/>
      </c>
      <c r="E723">
        <f>IFERROR(AGGREGATE(15,6,ROW('Input Transaksi'!$B$5:$B$5000)/('Input Transaksi'!$B$5:$B$5000="CUCI DEWE"),ROWS($E$5:E723)),"")</f>
        <v/>
      </c>
      <c r="F723" s="5" t="n"/>
    </row>
    <row r="724">
      <c r="A724" s="10">
        <f>IF($E724="","",INDEX('Input Transaksi'!$A:$A,$E724))</f>
        <v/>
      </c>
      <c r="B724" s="5">
        <f>IF($E724="","",INDEX('Input Transaksi'!$D:$D,$E724))</f>
        <v/>
      </c>
      <c r="C724">
        <f>IF($E724="","",INDEX('Input Transaksi'!$E:$E,$E724))</f>
        <v/>
      </c>
      <c r="D724" s="5">
        <f>IF($E724="","",INDEX('Input Transaksi'!$F:$F,$E724))</f>
        <v/>
      </c>
      <c r="E724">
        <f>IFERROR(AGGREGATE(15,6,ROW('Input Transaksi'!$B$5:$B$5000)/('Input Transaksi'!$B$5:$B$5000="CUCI DEWE"),ROWS($E$5:E724)),"")</f>
        <v/>
      </c>
      <c r="F724" s="5" t="n"/>
    </row>
    <row r="725">
      <c r="A725" s="10">
        <f>IF($E725="","",INDEX('Input Transaksi'!$A:$A,$E725))</f>
        <v/>
      </c>
      <c r="B725" s="5">
        <f>IF($E725="","",INDEX('Input Transaksi'!$D:$D,$E725))</f>
        <v/>
      </c>
      <c r="C725">
        <f>IF($E725="","",INDEX('Input Transaksi'!$E:$E,$E725))</f>
        <v/>
      </c>
      <c r="D725" s="5">
        <f>IF($E725="","",INDEX('Input Transaksi'!$F:$F,$E725))</f>
        <v/>
      </c>
      <c r="E725">
        <f>IFERROR(AGGREGATE(15,6,ROW('Input Transaksi'!$B$5:$B$5000)/('Input Transaksi'!$B$5:$B$5000="CUCI DEWE"),ROWS($E$5:E725)),"")</f>
        <v/>
      </c>
      <c r="F725" s="5" t="n"/>
    </row>
    <row r="726">
      <c r="A726" s="10">
        <f>IF($E726="","",INDEX('Input Transaksi'!$A:$A,$E726))</f>
        <v/>
      </c>
      <c r="B726" s="5">
        <f>IF($E726="","",INDEX('Input Transaksi'!$D:$D,$E726))</f>
        <v/>
      </c>
      <c r="C726">
        <f>IF($E726="","",INDEX('Input Transaksi'!$E:$E,$E726))</f>
        <v/>
      </c>
      <c r="D726" s="5">
        <f>IF($E726="","",INDEX('Input Transaksi'!$F:$F,$E726))</f>
        <v/>
      </c>
      <c r="E726">
        <f>IFERROR(AGGREGATE(15,6,ROW('Input Transaksi'!$B$5:$B$5000)/('Input Transaksi'!$B$5:$B$5000="CUCI DEWE"),ROWS($E$5:E726)),"")</f>
        <v/>
      </c>
      <c r="F726" s="5" t="n"/>
    </row>
    <row r="727">
      <c r="A727" s="10">
        <f>IF($E727="","",INDEX('Input Transaksi'!$A:$A,$E727))</f>
        <v/>
      </c>
      <c r="B727" s="5">
        <f>IF($E727="","",INDEX('Input Transaksi'!$D:$D,$E727))</f>
        <v/>
      </c>
      <c r="C727">
        <f>IF($E727="","",INDEX('Input Transaksi'!$E:$E,$E727))</f>
        <v/>
      </c>
      <c r="D727" s="5">
        <f>IF($E727="","",INDEX('Input Transaksi'!$F:$F,$E727))</f>
        <v/>
      </c>
      <c r="E727">
        <f>IFERROR(AGGREGATE(15,6,ROW('Input Transaksi'!$B$5:$B$5000)/('Input Transaksi'!$B$5:$B$5000="CUCI DEWE"),ROWS($E$5:E727)),"")</f>
        <v/>
      </c>
      <c r="F727" s="5" t="n"/>
    </row>
    <row r="728">
      <c r="A728" s="10">
        <f>IF($E728="","",INDEX('Input Transaksi'!$A:$A,$E728))</f>
        <v/>
      </c>
      <c r="B728" s="5">
        <f>IF($E728="","",INDEX('Input Transaksi'!$D:$D,$E728))</f>
        <v/>
      </c>
      <c r="C728">
        <f>IF($E728="","",INDEX('Input Transaksi'!$E:$E,$E728))</f>
        <v/>
      </c>
      <c r="D728" s="5">
        <f>IF($E728="","",INDEX('Input Transaksi'!$F:$F,$E728))</f>
        <v/>
      </c>
      <c r="E728">
        <f>IFERROR(AGGREGATE(15,6,ROW('Input Transaksi'!$B$5:$B$5000)/('Input Transaksi'!$B$5:$B$5000="CUCI DEWE"),ROWS($E$5:E728)),"")</f>
        <v/>
      </c>
      <c r="F728" s="5" t="n"/>
    </row>
    <row r="729">
      <c r="A729" s="10">
        <f>IF($E729="","",INDEX('Input Transaksi'!$A:$A,$E729))</f>
        <v/>
      </c>
      <c r="B729" s="5">
        <f>IF($E729="","",INDEX('Input Transaksi'!$D:$D,$E729))</f>
        <v/>
      </c>
      <c r="C729">
        <f>IF($E729="","",INDEX('Input Transaksi'!$E:$E,$E729))</f>
        <v/>
      </c>
      <c r="D729" s="5">
        <f>IF($E729="","",INDEX('Input Transaksi'!$F:$F,$E729))</f>
        <v/>
      </c>
      <c r="E729">
        <f>IFERROR(AGGREGATE(15,6,ROW('Input Transaksi'!$B$5:$B$5000)/('Input Transaksi'!$B$5:$B$5000="CUCI DEWE"),ROWS($E$5:E729)),"")</f>
        <v/>
      </c>
      <c r="F729" s="5" t="n"/>
    </row>
    <row r="730">
      <c r="A730" s="10">
        <f>IF($E730="","",INDEX('Input Transaksi'!$A:$A,$E730))</f>
        <v/>
      </c>
      <c r="B730" s="5">
        <f>IF($E730="","",INDEX('Input Transaksi'!$D:$D,$E730))</f>
        <v/>
      </c>
      <c r="C730">
        <f>IF($E730="","",INDEX('Input Transaksi'!$E:$E,$E730))</f>
        <v/>
      </c>
      <c r="D730" s="5">
        <f>IF($E730="","",INDEX('Input Transaksi'!$F:$F,$E730))</f>
        <v/>
      </c>
      <c r="E730">
        <f>IFERROR(AGGREGATE(15,6,ROW('Input Transaksi'!$B$5:$B$5000)/('Input Transaksi'!$B$5:$B$5000="CUCI DEWE"),ROWS($E$5:E730)),"")</f>
        <v/>
      </c>
      <c r="F730" s="5" t="n"/>
    </row>
    <row r="731">
      <c r="A731" s="10">
        <f>IF($E731="","",INDEX('Input Transaksi'!$A:$A,$E731))</f>
        <v/>
      </c>
      <c r="B731" s="5">
        <f>IF($E731="","",INDEX('Input Transaksi'!$D:$D,$E731))</f>
        <v/>
      </c>
      <c r="C731">
        <f>IF($E731="","",INDEX('Input Transaksi'!$E:$E,$E731))</f>
        <v/>
      </c>
      <c r="D731" s="5">
        <f>IF($E731="","",INDEX('Input Transaksi'!$F:$F,$E731))</f>
        <v/>
      </c>
      <c r="E731">
        <f>IFERROR(AGGREGATE(15,6,ROW('Input Transaksi'!$B$5:$B$5000)/('Input Transaksi'!$B$5:$B$5000="CUCI DEWE"),ROWS($E$5:E731)),"")</f>
        <v/>
      </c>
      <c r="F731" s="5" t="n"/>
    </row>
    <row r="732">
      <c r="A732" s="10">
        <f>IF($E732="","",INDEX('Input Transaksi'!$A:$A,$E732))</f>
        <v/>
      </c>
      <c r="B732" s="5">
        <f>IF($E732="","",INDEX('Input Transaksi'!$D:$D,$E732))</f>
        <v/>
      </c>
      <c r="C732">
        <f>IF($E732="","",INDEX('Input Transaksi'!$E:$E,$E732))</f>
        <v/>
      </c>
      <c r="D732" s="5">
        <f>IF($E732="","",INDEX('Input Transaksi'!$F:$F,$E732))</f>
        <v/>
      </c>
      <c r="E732">
        <f>IFERROR(AGGREGATE(15,6,ROW('Input Transaksi'!$B$5:$B$5000)/('Input Transaksi'!$B$5:$B$5000="CUCI DEWE"),ROWS($E$5:E732)),"")</f>
        <v/>
      </c>
      <c r="F732" s="5" t="n"/>
    </row>
    <row r="733">
      <c r="A733" s="10">
        <f>IF($E733="","",INDEX('Input Transaksi'!$A:$A,$E733))</f>
        <v/>
      </c>
      <c r="B733" s="5">
        <f>IF($E733="","",INDEX('Input Transaksi'!$D:$D,$E733))</f>
        <v/>
      </c>
      <c r="C733">
        <f>IF($E733="","",INDEX('Input Transaksi'!$E:$E,$E733))</f>
        <v/>
      </c>
      <c r="D733" s="5">
        <f>IF($E733="","",INDEX('Input Transaksi'!$F:$F,$E733))</f>
        <v/>
      </c>
      <c r="E733">
        <f>IFERROR(AGGREGATE(15,6,ROW('Input Transaksi'!$B$5:$B$5000)/('Input Transaksi'!$B$5:$B$5000="CUCI DEWE"),ROWS($E$5:E733)),"")</f>
        <v/>
      </c>
      <c r="F733" s="5" t="n"/>
    </row>
    <row r="734">
      <c r="A734" s="10">
        <f>IF($E734="","",INDEX('Input Transaksi'!$A:$A,$E734))</f>
        <v/>
      </c>
      <c r="B734" s="5">
        <f>IF($E734="","",INDEX('Input Transaksi'!$D:$D,$E734))</f>
        <v/>
      </c>
      <c r="C734">
        <f>IF($E734="","",INDEX('Input Transaksi'!$E:$E,$E734))</f>
        <v/>
      </c>
      <c r="D734" s="5">
        <f>IF($E734="","",INDEX('Input Transaksi'!$F:$F,$E734))</f>
        <v/>
      </c>
      <c r="E734">
        <f>IFERROR(AGGREGATE(15,6,ROW('Input Transaksi'!$B$5:$B$5000)/('Input Transaksi'!$B$5:$B$5000="CUCI DEWE"),ROWS($E$5:E734)),"")</f>
        <v/>
      </c>
      <c r="F734" s="5" t="n"/>
    </row>
    <row r="735">
      <c r="A735" s="10">
        <f>IF($E735="","",INDEX('Input Transaksi'!$A:$A,$E735))</f>
        <v/>
      </c>
      <c r="B735" s="5">
        <f>IF($E735="","",INDEX('Input Transaksi'!$D:$D,$E735))</f>
        <v/>
      </c>
      <c r="C735">
        <f>IF($E735="","",INDEX('Input Transaksi'!$E:$E,$E735))</f>
        <v/>
      </c>
      <c r="D735" s="5">
        <f>IF($E735="","",INDEX('Input Transaksi'!$F:$F,$E735))</f>
        <v/>
      </c>
      <c r="E735">
        <f>IFERROR(AGGREGATE(15,6,ROW('Input Transaksi'!$B$5:$B$5000)/('Input Transaksi'!$B$5:$B$5000="CUCI DEWE"),ROWS($E$5:E735)),"")</f>
        <v/>
      </c>
      <c r="F735" s="5" t="n"/>
    </row>
    <row r="736">
      <c r="A736" s="10">
        <f>IF($E736="","",INDEX('Input Transaksi'!$A:$A,$E736))</f>
        <v/>
      </c>
      <c r="B736" s="5">
        <f>IF($E736="","",INDEX('Input Transaksi'!$D:$D,$E736))</f>
        <v/>
      </c>
      <c r="C736">
        <f>IF($E736="","",INDEX('Input Transaksi'!$E:$E,$E736))</f>
        <v/>
      </c>
      <c r="D736" s="5">
        <f>IF($E736="","",INDEX('Input Transaksi'!$F:$F,$E736))</f>
        <v/>
      </c>
      <c r="E736">
        <f>IFERROR(AGGREGATE(15,6,ROW('Input Transaksi'!$B$5:$B$5000)/('Input Transaksi'!$B$5:$B$5000="CUCI DEWE"),ROWS($E$5:E736)),"")</f>
        <v/>
      </c>
      <c r="F736" s="5" t="n"/>
    </row>
    <row r="737">
      <c r="A737" s="10">
        <f>IF($E737="","",INDEX('Input Transaksi'!$A:$A,$E737))</f>
        <v/>
      </c>
      <c r="B737" s="5">
        <f>IF($E737="","",INDEX('Input Transaksi'!$D:$D,$E737))</f>
        <v/>
      </c>
      <c r="C737">
        <f>IF($E737="","",INDEX('Input Transaksi'!$E:$E,$E737))</f>
        <v/>
      </c>
      <c r="D737" s="5">
        <f>IF($E737="","",INDEX('Input Transaksi'!$F:$F,$E737))</f>
        <v/>
      </c>
      <c r="E737">
        <f>IFERROR(AGGREGATE(15,6,ROW('Input Transaksi'!$B$5:$B$5000)/('Input Transaksi'!$B$5:$B$5000="CUCI DEWE"),ROWS($E$5:E737)),"")</f>
        <v/>
      </c>
      <c r="F737" s="5" t="n"/>
    </row>
    <row r="738">
      <c r="A738" s="10">
        <f>IF($E738="","",INDEX('Input Transaksi'!$A:$A,$E738))</f>
        <v/>
      </c>
      <c r="B738" s="5">
        <f>IF($E738="","",INDEX('Input Transaksi'!$D:$D,$E738))</f>
        <v/>
      </c>
      <c r="C738">
        <f>IF($E738="","",INDEX('Input Transaksi'!$E:$E,$E738))</f>
        <v/>
      </c>
      <c r="D738" s="5">
        <f>IF($E738="","",INDEX('Input Transaksi'!$F:$F,$E738))</f>
        <v/>
      </c>
      <c r="E738">
        <f>IFERROR(AGGREGATE(15,6,ROW('Input Transaksi'!$B$5:$B$5000)/('Input Transaksi'!$B$5:$B$5000="CUCI DEWE"),ROWS($E$5:E738)),"")</f>
        <v/>
      </c>
      <c r="F738" s="5" t="n"/>
    </row>
    <row r="739">
      <c r="A739" s="10">
        <f>IF($E739="","",INDEX('Input Transaksi'!$A:$A,$E739))</f>
        <v/>
      </c>
      <c r="B739" s="5">
        <f>IF($E739="","",INDEX('Input Transaksi'!$D:$D,$E739))</f>
        <v/>
      </c>
      <c r="C739">
        <f>IF($E739="","",INDEX('Input Transaksi'!$E:$E,$E739))</f>
        <v/>
      </c>
      <c r="D739" s="5">
        <f>IF($E739="","",INDEX('Input Transaksi'!$F:$F,$E739))</f>
        <v/>
      </c>
      <c r="E739">
        <f>IFERROR(AGGREGATE(15,6,ROW('Input Transaksi'!$B$5:$B$5000)/('Input Transaksi'!$B$5:$B$5000="CUCI DEWE"),ROWS($E$5:E739)),"")</f>
        <v/>
      </c>
      <c r="F739" s="5" t="n"/>
    </row>
    <row r="740">
      <c r="A740" s="10">
        <f>IF($E740="","",INDEX('Input Transaksi'!$A:$A,$E740))</f>
        <v/>
      </c>
      <c r="B740" s="5">
        <f>IF($E740="","",INDEX('Input Transaksi'!$D:$D,$E740))</f>
        <v/>
      </c>
      <c r="C740">
        <f>IF($E740="","",INDEX('Input Transaksi'!$E:$E,$E740))</f>
        <v/>
      </c>
      <c r="D740" s="5">
        <f>IF($E740="","",INDEX('Input Transaksi'!$F:$F,$E740))</f>
        <v/>
      </c>
      <c r="E740">
        <f>IFERROR(AGGREGATE(15,6,ROW('Input Transaksi'!$B$5:$B$5000)/('Input Transaksi'!$B$5:$B$5000="CUCI DEWE"),ROWS($E$5:E740)),"")</f>
        <v/>
      </c>
      <c r="F740" s="5" t="n"/>
    </row>
    <row r="741">
      <c r="A741" s="10">
        <f>IF($E741="","",INDEX('Input Transaksi'!$A:$A,$E741))</f>
        <v/>
      </c>
      <c r="B741" s="5">
        <f>IF($E741="","",INDEX('Input Transaksi'!$D:$D,$E741))</f>
        <v/>
      </c>
      <c r="C741">
        <f>IF($E741="","",INDEX('Input Transaksi'!$E:$E,$E741))</f>
        <v/>
      </c>
      <c r="D741" s="5">
        <f>IF($E741="","",INDEX('Input Transaksi'!$F:$F,$E741))</f>
        <v/>
      </c>
      <c r="E741">
        <f>IFERROR(AGGREGATE(15,6,ROW('Input Transaksi'!$B$5:$B$5000)/('Input Transaksi'!$B$5:$B$5000="CUCI DEWE"),ROWS($E$5:E741)),"")</f>
        <v/>
      </c>
      <c r="F741" s="5" t="n"/>
    </row>
    <row r="742">
      <c r="A742" s="10">
        <f>IF($E742="","",INDEX('Input Transaksi'!$A:$A,$E742))</f>
        <v/>
      </c>
      <c r="B742" s="5">
        <f>IF($E742="","",INDEX('Input Transaksi'!$D:$D,$E742))</f>
        <v/>
      </c>
      <c r="C742">
        <f>IF($E742="","",INDEX('Input Transaksi'!$E:$E,$E742))</f>
        <v/>
      </c>
      <c r="D742" s="5">
        <f>IF($E742="","",INDEX('Input Transaksi'!$F:$F,$E742))</f>
        <v/>
      </c>
      <c r="E742">
        <f>IFERROR(AGGREGATE(15,6,ROW('Input Transaksi'!$B$5:$B$5000)/('Input Transaksi'!$B$5:$B$5000="CUCI DEWE"),ROWS($E$5:E742)),"")</f>
        <v/>
      </c>
      <c r="F742" s="5" t="n"/>
    </row>
    <row r="743">
      <c r="A743" s="10">
        <f>IF($E743="","",INDEX('Input Transaksi'!$A:$A,$E743))</f>
        <v/>
      </c>
      <c r="B743" s="5">
        <f>IF($E743="","",INDEX('Input Transaksi'!$D:$D,$E743))</f>
        <v/>
      </c>
      <c r="C743">
        <f>IF($E743="","",INDEX('Input Transaksi'!$E:$E,$E743))</f>
        <v/>
      </c>
      <c r="D743" s="5">
        <f>IF($E743="","",INDEX('Input Transaksi'!$F:$F,$E743))</f>
        <v/>
      </c>
      <c r="E743">
        <f>IFERROR(AGGREGATE(15,6,ROW('Input Transaksi'!$B$5:$B$5000)/('Input Transaksi'!$B$5:$B$5000="CUCI DEWE"),ROWS($E$5:E743)),"")</f>
        <v/>
      </c>
      <c r="F743" s="5" t="n"/>
    </row>
    <row r="744">
      <c r="A744" s="10">
        <f>IF($E744="","",INDEX('Input Transaksi'!$A:$A,$E744))</f>
        <v/>
      </c>
      <c r="B744" s="5">
        <f>IF($E744="","",INDEX('Input Transaksi'!$D:$D,$E744))</f>
        <v/>
      </c>
      <c r="C744">
        <f>IF($E744="","",INDEX('Input Transaksi'!$E:$E,$E744))</f>
        <v/>
      </c>
      <c r="D744" s="5">
        <f>IF($E744="","",INDEX('Input Transaksi'!$F:$F,$E744))</f>
        <v/>
      </c>
      <c r="E744">
        <f>IFERROR(AGGREGATE(15,6,ROW('Input Transaksi'!$B$5:$B$5000)/('Input Transaksi'!$B$5:$B$5000="CUCI DEWE"),ROWS($E$5:E744)),"")</f>
        <v/>
      </c>
      <c r="F744" s="5" t="n"/>
    </row>
    <row r="745">
      <c r="A745" s="10">
        <f>IF($E745="","",INDEX('Input Transaksi'!$A:$A,$E745))</f>
        <v/>
      </c>
      <c r="B745" s="5">
        <f>IF($E745="","",INDEX('Input Transaksi'!$D:$D,$E745))</f>
        <v/>
      </c>
      <c r="C745">
        <f>IF($E745="","",INDEX('Input Transaksi'!$E:$E,$E745))</f>
        <v/>
      </c>
      <c r="D745" s="5">
        <f>IF($E745="","",INDEX('Input Transaksi'!$F:$F,$E745))</f>
        <v/>
      </c>
      <c r="E745">
        <f>IFERROR(AGGREGATE(15,6,ROW('Input Transaksi'!$B$5:$B$5000)/('Input Transaksi'!$B$5:$B$5000="CUCI DEWE"),ROWS($E$5:E745)),"")</f>
        <v/>
      </c>
      <c r="F745" s="5" t="n"/>
    </row>
    <row r="746">
      <c r="A746" s="10">
        <f>IF($E746="","",INDEX('Input Transaksi'!$A:$A,$E746))</f>
        <v/>
      </c>
      <c r="B746" s="5">
        <f>IF($E746="","",INDEX('Input Transaksi'!$D:$D,$E746))</f>
        <v/>
      </c>
      <c r="C746">
        <f>IF($E746="","",INDEX('Input Transaksi'!$E:$E,$E746))</f>
        <v/>
      </c>
      <c r="D746" s="5">
        <f>IF($E746="","",INDEX('Input Transaksi'!$F:$F,$E746))</f>
        <v/>
      </c>
      <c r="E746">
        <f>IFERROR(AGGREGATE(15,6,ROW('Input Transaksi'!$B$5:$B$5000)/('Input Transaksi'!$B$5:$B$5000="CUCI DEWE"),ROWS($E$5:E746)),"")</f>
        <v/>
      </c>
      <c r="F746" s="5" t="n"/>
    </row>
    <row r="747">
      <c r="A747" s="10">
        <f>IF($E747="","",INDEX('Input Transaksi'!$A:$A,$E747))</f>
        <v/>
      </c>
      <c r="B747" s="5">
        <f>IF($E747="","",INDEX('Input Transaksi'!$D:$D,$E747))</f>
        <v/>
      </c>
      <c r="C747">
        <f>IF($E747="","",INDEX('Input Transaksi'!$E:$E,$E747))</f>
        <v/>
      </c>
      <c r="D747" s="5">
        <f>IF($E747="","",INDEX('Input Transaksi'!$F:$F,$E747))</f>
        <v/>
      </c>
      <c r="E747">
        <f>IFERROR(AGGREGATE(15,6,ROW('Input Transaksi'!$B$5:$B$5000)/('Input Transaksi'!$B$5:$B$5000="CUCI DEWE"),ROWS($E$5:E747)),"")</f>
        <v/>
      </c>
      <c r="F747" s="5" t="n"/>
    </row>
    <row r="748">
      <c r="A748" s="10">
        <f>IF($E748="","",INDEX('Input Transaksi'!$A:$A,$E748))</f>
        <v/>
      </c>
      <c r="B748" s="5">
        <f>IF($E748="","",INDEX('Input Transaksi'!$D:$D,$E748))</f>
        <v/>
      </c>
      <c r="C748">
        <f>IF($E748="","",INDEX('Input Transaksi'!$E:$E,$E748))</f>
        <v/>
      </c>
      <c r="D748" s="5">
        <f>IF($E748="","",INDEX('Input Transaksi'!$F:$F,$E748))</f>
        <v/>
      </c>
      <c r="E748">
        <f>IFERROR(AGGREGATE(15,6,ROW('Input Transaksi'!$B$5:$B$5000)/('Input Transaksi'!$B$5:$B$5000="CUCI DEWE"),ROWS($E$5:E748)),"")</f>
        <v/>
      </c>
      <c r="F748" s="5" t="n"/>
    </row>
    <row r="749">
      <c r="A749" s="10">
        <f>IF($E749="","",INDEX('Input Transaksi'!$A:$A,$E749))</f>
        <v/>
      </c>
      <c r="B749" s="5">
        <f>IF($E749="","",INDEX('Input Transaksi'!$D:$D,$E749))</f>
        <v/>
      </c>
      <c r="C749">
        <f>IF($E749="","",INDEX('Input Transaksi'!$E:$E,$E749))</f>
        <v/>
      </c>
      <c r="D749" s="5">
        <f>IF($E749="","",INDEX('Input Transaksi'!$F:$F,$E749))</f>
        <v/>
      </c>
      <c r="E749">
        <f>IFERROR(AGGREGATE(15,6,ROW('Input Transaksi'!$B$5:$B$5000)/('Input Transaksi'!$B$5:$B$5000="CUCI DEWE"),ROWS($E$5:E749)),"")</f>
        <v/>
      </c>
      <c r="F749" s="5" t="n"/>
    </row>
    <row r="750">
      <c r="A750" s="10">
        <f>IF($E750="","",INDEX('Input Transaksi'!$A:$A,$E750))</f>
        <v/>
      </c>
      <c r="B750" s="5">
        <f>IF($E750="","",INDEX('Input Transaksi'!$D:$D,$E750))</f>
        <v/>
      </c>
      <c r="C750">
        <f>IF($E750="","",INDEX('Input Transaksi'!$E:$E,$E750))</f>
        <v/>
      </c>
      <c r="D750" s="5">
        <f>IF($E750="","",INDEX('Input Transaksi'!$F:$F,$E750))</f>
        <v/>
      </c>
      <c r="E750">
        <f>IFERROR(AGGREGATE(15,6,ROW('Input Transaksi'!$B$5:$B$5000)/('Input Transaksi'!$B$5:$B$5000="CUCI DEWE"),ROWS($E$5:E750)),"")</f>
        <v/>
      </c>
      <c r="F750" s="5" t="n"/>
    </row>
    <row r="751">
      <c r="A751" s="10">
        <f>IF($E751="","",INDEX('Input Transaksi'!$A:$A,$E751))</f>
        <v/>
      </c>
      <c r="B751" s="5">
        <f>IF($E751="","",INDEX('Input Transaksi'!$D:$D,$E751))</f>
        <v/>
      </c>
      <c r="C751">
        <f>IF($E751="","",INDEX('Input Transaksi'!$E:$E,$E751))</f>
        <v/>
      </c>
      <c r="D751" s="5">
        <f>IF($E751="","",INDEX('Input Transaksi'!$F:$F,$E751))</f>
        <v/>
      </c>
      <c r="E751">
        <f>IFERROR(AGGREGATE(15,6,ROW('Input Transaksi'!$B$5:$B$5000)/('Input Transaksi'!$B$5:$B$5000="CUCI DEWE"),ROWS($E$5:E751)),"")</f>
        <v/>
      </c>
      <c r="F751" s="5" t="n"/>
    </row>
    <row r="752">
      <c r="A752" s="10">
        <f>IF($E752="","",INDEX('Input Transaksi'!$A:$A,$E752))</f>
        <v/>
      </c>
      <c r="B752" s="5">
        <f>IF($E752="","",INDEX('Input Transaksi'!$D:$D,$E752))</f>
        <v/>
      </c>
      <c r="C752">
        <f>IF($E752="","",INDEX('Input Transaksi'!$E:$E,$E752))</f>
        <v/>
      </c>
      <c r="D752" s="5">
        <f>IF($E752="","",INDEX('Input Transaksi'!$F:$F,$E752))</f>
        <v/>
      </c>
      <c r="E752">
        <f>IFERROR(AGGREGATE(15,6,ROW('Input Transaksi'!$B$5:$B$5000)/('Input Transaksi'!$B$5:$B$5000="CUCI DEWE"),ROWS($E$5:E752)),"")</f>
        <v/>
      </c>
      <c r="F752" s="5" t="n"/>
    </row>
    <row r="753">
      <c r="A753" s="10">
        <f>IF($E753="","",INDEX('Input Transaksi'!$A:$A,$E753))</f>
        <v/>
      </c>
      <c r="B753" s="5">
        <f>IF($E753="","",INDEX('Input Transaksi'!$D:$D,$E753))</f>
        <v/>
      </c>
      <c r="C753">
        <f>IF($E753="","",INDEX('Input Transaksi'!$E:$E,$E753))</f>
        <v/>
      </c>
      <c r="D753" s="5">
        <f>IF($E753="","",INDEX('Input Transaksi'!$F:$F,$E753))</f>
        <v/>
      </c>
      <c r="E753">
        <f>IFERROR(AGGREGATE(15,6,ROW('Input Transaksi'!$B$5:$B$5000)/('Input Transaksi'!$B$5:$B$5000="CUCI DEWE"),ROWS($E$5:E753)),"")</f>
        <v/>
      </c>
      <c r="F753" s="5" t="n"/>
    </row>
    <row r="754">
      <c r="A754" s="10">
        <f>IF($E754="","",INDEX('Input Transaksi'!$A:$A,$E754))</f>
        <v/>
      </c>
      <c r="B754" s="5">
        <f>IF($E754="","",INDEX('Input Transaksi'!$D:$D,$E754))</f>
        <v/>
      </c>
      <c r="C754">
        <f>IF($E754="","",INDEX('Input Transaksi'!$E:$E,$E754))</f>
        <v/>
      </c>
      <c r="D754" s="5">
        <f>IF($E754="","",INDEX('Input Transaksi'!$F:$F,$E754))</f>
        <v/>
      </c>
      <c r="E754">
        <f>IFERROR(AGGREGATE(15,6,ROW('Input Transaksi'!$B$5:$B$5000)/('Input Transaksi'!$B$5:$B$5000="CUCI DEWE"),ROWS($E$5:E754)),"")</f>
        <v/>
      </c>
      <c r="F754" s="5" t="n"/>
    </row>
    <row r="755">
      <c r="A755" s="10">
        <f>IF($E755="","",INDEX('Input Transaksi'!$A:$A,$E755))</f>
        <v/>
      </c>
      <c r="B755" s="5">
        <f>IF($E755="","",INDEX('Input Transaksi'!$D:$D,$E755))</f>
        <v/>
      </c>
      <c r="C755">
        <f>IF($E755="","",INDEX('Input Transaksi'!$E:$E,$E755))</f>
        <v/>
      </c>
      <c r="D755" s="5">
        <f>IF($E755="","",INDEX('Input Transaksi'!$F:$F,$E755))</f>
        <v/>
      </c>
      <c r="E755">
        <f>IFERROR(AGGREGATE(15,6,ROW('Input Transaksi'!$B$5:$B$5000)/('Input Transaksi'!$B$5:$B$5000="CUCI DEWE"),ROWS($E$5:E755)),"")</f>
        <v/>
      </c>
      <c r="F755" s="5" t="n"/>
    </row>
    <row r="756">
      <c r="A756" s="10">
        <f>IF($E756="","",INDEX('Input Transaksi'!$A:$A,$E756))</f>
        <v/>
      </c>
      <c r="B756" s="5">
        <f>IF($E756="","",INDEX('Input Transaksi'!$D:$D,$E756))</f>
        <v/>
      </c>
      <c r="C756">
        <f>IF($E756="","",INDEX('Input Transaksi'!$E:$E,$E756))</f>
        <v/>
      </c>
      <c r="D756" s="5">
        <f>IF($E756="","",INDEX('Input Transaksi'!$F:$F,$E756))</f>
        <v/>
      </c>
      <c r="E756">
        <f>IFERROR(AGGREGATE(15,6,ROW('Input Transaksi'!$B$5:$B$5000)/('Input Transaksi'!$B$5:$B$5000="CUCI DEWE"),ROWS($E$5:E756)),"")</f>
        <v/>
      </c>
      <c r="F756" s="5" t="n"/>
    </row>
    <row r="757">
      <c r="A757" s="10">
        <f>IF($E757="","",INDEX('Input Transaksi'!$A:$A,$E757))</f>
        <v/>
      </c>
      <c r="B757" s="5">
        <f>IF($E757="","",INDEX('Input Transaksi'!$D:$D,$E757))</f>
        <v/>
      </c>
      <c r="C757">
        <f>IF($E757="","",INDEX('Input Transaksi'!$E:$E,$E757))</f>
        <v/>
      </c>
      <c r="D757" s="5">
        <f>IF($E757="","",INDEX('Input Transaksi'!$F:$F,$E757))</f>
        <v/>
      </c>
      <c r="E757">
        <f>IFERROR(AGGREGATE(15,6,ROW('Input Transaksi'!$B$5:$B$5000)/('Input Transaksi'!$B$5:$B$5000="CUCI DEWE"),ROWS($E$5:E757)),"")</f>
        <v/>
      </c>
      <c r="F757" s="5" t="n"/>
    </row>
    <row r="758">
      <c r="A758" s="10">
        <f>IF($E758="","",INDEX('Input Transaksi'!$A:$A,$E758))</f>
        <v/>
      </c>
      <c r="B758" s="5">
        <f>IF($E758="","",INDEX('Input Transaksi'!$D:$D,$E758))</f>
        <v/>
      </c>
      <c r="C758">
        <f>IF($E758="","",INDEX('Input Transaksi'!$E:$E,$E758))</f>
        <v/>
      </c>
      <c r="D758" s="5">
        <f>IF($E758="","",INDEX('Input Transaksi'!$F:$F,$E758))</f>
        <v/>
      </c>
      <c r="E758">
        <f>IFERROR(AGGREGATE(15,6,ROW('Input Transaksi'!$B$5:$B$5000)/('Input Transaksi'!$B$5:$B$5000="CUCI DEWE"),ROWS($E$5:E758)),"")</f>
        <v/>
      </c>
      <c r="F758" s="5" t="n"/>
    </row>
    <row r="759">
      <c r="A759" s="10">
        <f>IF($E759="","",INDEX('Input Transaksi'!$A:$A,$E759))</f>
        <v/>
      </c>
      <c r="B759" s="5">
        <f>IF($E759="","",INDEX('Input Transaksi'!$D:$D,$E759))</f>
        <v/>
      </c>
      <c r="C759">
        <f>IF($E759="","",INDEX('Input Transaksi'!$E:$E,$E759))</f>
        <v/>
      </c>
      <c r="D759" s="5">
        <f>IF($E759="","",INDEX('Input Transaksi'!$F:$F,$E759))</f>
        <v/>
      </c>
      <c r="E759">
        <f>IFERROR(AGGREGATE(15,6,ROW('Input Transaksi'!$B$5:$B$5000)/('Input Transaksi'!$B$5:$B$5000="CUCI DEWE"),ROWS($E$5:E759)),"")</f>
        <v/>
      </c>
      <c r="F759" s="5" t="n"/>
    </row>
    <row r="760">
      <c r="A760" s="10">
        <f>IF($E760="","",INDEX('Input Transaksi'!$A:$A,$E760))</f>
        <v/>
      </c>
      <c r="B760" s="5">
        <f>IF($E760="","",INDEX('Input Transaksi'!$D:$D,$E760))</f>
        <v/>
      </c>
      <c r="C760">
        <f>IF($E760="","",INDEX('Input Transaksi'!$E:$E,$E760))</f>
        <v/>
      </c>
      <c r="D760" s="5">
        <f>IF($E760="","",INDEX('Input Transaksi'!$F:$F,$E760))</f>
        <v/>
      </c>
      <c r="E760">
        <f>IFERROR(AGGREGATE(15,6,ROW('Input Transaksi'!$B$5:$B$5000)/('Input Transaksi'!$B$5:$B$5000="CUCI DEWE"),ROWS($E$5:E760)),"")</f>
        <v/>
      </c>
      <c r="F760" s="5" t="n"/>
    </row>
    <row r="761">
      <c r="A761" s="10">
        <f>IF($E761="","",INDEX('Input Transaksi'!$A:$A,$E761))</f>
        <v/>
      </c>
      <c r="B761" s="5">
        <f>IF($E761="","",INDEX('Input Transaksi'!$D:$D,$E761))</f>
        <v/>
      </c>
      <c r="C761">
        <f>IF($E761="","",INDEX('Input Transaksi'!$E:$E,$E761))</f>
        <v/>
      </c>
      <c r="D761" s="5">
        <f>IF($E761="","",INDEX('Input Transaksi'!$F:$F,$E761))</f>
        <v/>
      </c>
      <c r="E761">
        <f>IFERROR(AGGREGATE(15,6,ROW('Input Transaksi'!$B$5:$B$5000)/('Input Transaksi'!$B$5:$B$5000="CUCI DEWE"),ROWS($E$5:E761)),"")</f>
        <v/>
      </c>
      <c r="F761" s="5" t="n"/>
    </row>
    <row r="762">
      <c r="A762" s="10">
        <f>IF($E762="","",INDEX('Input Transaksi'!$A:$A,$E762))</f>
        <v/>
      </c>
      <c r="B762" s="5">
        <f>IF($E762="","",INDEX('Input Transaksi'!$D:$D,$E762))</f>
        <v/>
      </c>
      <c r="C762">
        <f>IF($E762="","",INDEX('Input Transaksi'!$E:$E,$E762))</f>
        <v/>
      </c>
      <c r="D762" s="5">
        <f>IF($E762="","",INDEX('Input Transaksi'!$F:$F,$E762))</f>
        <v/>
      </c>
      <c r="E762">
        <f>IFERROR(AGGREGATE(15,6,ROW('Input Transaksi'!$B$5:$B$5000)/('Input Transaksi'!$B$5:$B$5000="CUCI DEWE"),ROWS($E$5:E762)),"")</f>
        <v/>
      </c>
      <c r="F762" s="5" t="n"/>
    </row>
    <row r="763">
      <c r="A763" s="10">
        <f>IF($E763="","",INDEX('Input Transaksi'!$A:$A,$E763))</f>
        <v/>
      </c>
      <c r="B763" s="5">
        <f>IF($E763="","",INDEX('Input Transaksi'!$D:$D,$E763))</f>
        <v/>
      </c>
      <c r="C763">
        <f>IF($E763="","",INDEX('Input Transaksi'!$E:$E,$E763))</f>
        <v/>
      </c>
      <c r="D763" s="5">
        <f>IF($E763="","",INDEX('Input Transaksi'!$F:$F,$E763))</f>
        <v/>
      </c>
      <c r="E763">
        <f>IFERROR(AGGREGATE(15,6,ROW('Input Transaksi'!$B$5:$B$5000)/('Input Transaksi'!$B$5:$B$5000="CUCI DEWE"),ROWS($E$5:E763)),"")</f>
        <v/>
      </c>
      <c r="F763" s="5" t="n"/>
    </row>
    <row r="764">
      <c r="A764" s="10">
        <f>IF($E764="","",INDEX('Input Transaksi'!$A:$A,$E764))</f>
        <v/>
      </c>
      <c r="B764" s="5">
        <f>IF($E764="","",INDEX('Input Transaksi'!$D:$D,$E764))</f>
        <v/>
      </c>
      <c r="C764">
        <f>IF($E764="","",INDEX('Input Transaksi'!$E:$E,$E764))</f>
        <v/>
      </c>
      <c r="D764" s="5">
        <f>IF($E764="","",INDEX('Input Transaksi'!$F:$F,$E764))</f>
        <v/>
      </c>
      <c r="E764">
        <f>IFERROR(AGGREGATE(15,6,ROW('Input Transaksi'!$B$5:$B$5000)/('Input Transaksi'!$B$5:$B$5000="CUCI DEWE"),ROWS($E$5:E764)),"")</f>
        <v/>
      </c>
      <c r="F764" s="5" t="n"/>
    </row>
    <row r="765">
      <c r="A765" s="10">
        <f>IF($E765="","",INDEX('Input Transaksi'!$A:$A,$E765))</f>
        <v/>
      </c>
      <c r="B765" s="5">
        <f>IF($E765="","",INDEX('Input Transaksi'!$D:$D,$E765))</f>
        <v/>
      </c>
      <c r="C765">
        <f>IF($E765="","",INDEX('Input Transaksi'!$E:$E,$E765))</f>
        <v/>
      </c>
      <c r="D765" s="5">
        <f>IF($E765="","",INDEX('Input Transaksi'!$F:$F,$E765))</f>
        <v/>
      </c>
      <c r="E765">
        <f>IFERROR(AGGREGATE(15,6,ROW('Input Transaksi'!$B$5:$B$5000)/('Input Transaksi'!$B$5:$B$5000="CUCI DEWE"),ROWS($E$5:E765)),"")</f>
        <v/>
      </c>
      <c r="F765" s="5" t="n"/>
    </row>
    <row r="766">
      <c r="A766" s="10">
        <f>IF($E766="","",INDEX('Input Transaksi'!$A:$A,$E766))</f>
        <v/>
      </c>
      <c r="B766" s="5">
        <f>IF($E766="","",INDEX('Input Transaksi'!$D:$D,$E766))</f>
        <v/>
      </c>
      <c r="C766">
        <f>IF($E766="","",INDEX('Input Transaksi'!$E:$E,$E766))</f>
        <v/>
      </c>
      <c r="D766" s="5">
        <f>IF($E766="","",INDEX('Input Transaksi'!$F:$F,$E766))</f>
        <v/>
      </c>
      <c r="E766">
        <f>IFERROR(AGGREGATE(15,6,ROW('Input Transaksi'!$B$5:$B$5000)/('Input Transaksi'!$B$5:$B$5000="CUCI DEWE"),ROWS($E$5:E766)),"")</f>
        <v/>
      </c>
      <c r="F766" s="5" t="n"/>
    </row>
    <row r="767">
      <c r="A767" s="10">
        <f>IF($E767="","",INDEX('Input Transaksi'!$A:$A,$E767))</f>
        <v/>
      </c>
      <c r="B767" s="5">
        <f>IF($E767="","",INDEX('Input Transaksi'!$D:$D,$E767))</f>
        <v/>
      </c>
      <c r="C767">
        <f>IF($E767="","",INDEX('Input Transaksi'!$E:$E,$E767))</f>
        <v/>
      </c>
      <c r="D767" s="5">
        <f>IF($E767="","",INDEX('Input Transaksi'!$F:$F,$E767))</f>
        <v/>
      </c>
      <c r="E767">
        <f>IFERROR(AGGREGATE(15,6,ROW('Input Transaksi'!$B$5:$B$5000)/('Input Transaksi'!$B$5:$B$5000="CUCI DEWE"),ROWS($E$5:E767)),"")</f>
        <v/>
      </c>
      <c r="F767" s="5" t="n"/>
    </row>
    <row r="768">
      <c r="A768" s="10">
        <f>IF($E768="","",INDEX('Input Transaksi'!$A:$A,$E768))</f>
        <v/>
      </c>
      <c r="B768" s="5">
        <f>IF($E768="","",INDEX('Input Transaksi'!$D:$D,$E768))</f>
        <v/>
      </c>
      <c r="C768">
        <f>IF($E768="","",INDEX('Input Transaksi'!$E:$E,$E768))</f>
        <v/>
      </c>
      <c r="D768" s="5">
        <f>IF($E768="","",INDEX('Input Transaksi'!$F:$F,$E768))</f>
        <v/>
      </c>
      <c r="E768">
        <f>IFERROR(AGGREGATE(15,6,ROW('Input Transaksi'!$B$5:$B$5000)/('Input Transaksi'!$B$5:$B$5000="CUCI DEWE"),ROWS($E$5:E768)),"")</f>
        <v/>
      </c>
      <c r="F768" s="5" t="n"/>
    </row>
    <row r="769">
      <c r="A769" s="10">
        <f>IF($E769="","",INDEX('Input Transaksi'!$A:$A,$E769))</f>
        <v/>
      </c>
      <c r="B769" s="5">
        <f>IF($E769="","",INDEX('Input Transaksi'!$D:$D,$E769))</f>
        <v/>
      </c>
      <c r="C769">
        <f>IF($E769="","",INDEX('Input Transaksi'!$E:$E,$E769))</f>
        <v/>
      </c>
      <c r="D769" s="5">
        <f>IF($E769="","",INDEX('Input Transaksi'!$F:$F,$E769))</f>
        <v/>
      </c>
      <c r="E769">
        <f>IFERROR(AGGREGATE(15,6,ROW('Input Transaksi'!$B$5:$B$5000)/('Input Transaksi'!$B$5:$B$5000="CUCI DEWE"),ROWS($E$5:E769)),"")</f>
        <v/>
      </c>
      <c r="F769" s="5" t="n"/>
    </row>
    <row r="770">
      <c r="A770" s="10">
        <f>IF($E770="","",INDEX('Input Transaksi'!$A:$A,$E770))</f>
        <v/>
      </c>
      <c r="B770" s="5">
        <f>IF($E770="","",INDEX('Input Transaksi'!$D:$D,$E770))</f>
        <v/>
      </c>
      <c r="C770">
        <f>IF($E770="","",INDEX('Input Transaksi'!$E:$E,$E770))</f>
        <v/>
      </c>
      <c r="D770" s="5">
        <f>IF($E770="","",INDEX('Input Transaksi'!$F:$F,$E770))</f>
        <v/>
      </c>
      <c r="E770">
        <f>IFERROR(AGGREGATE(15,6,ROW('Input Transaksi'!$B$5:$B$5000)/('Input Transaksi'!$B$5:$B$5000="CUCI DEWE"),ROWS($E$5:E770)),"")</f>
        <v/>
      </c>
      <c r="F770" s="5" t="n"/>
    </row>
    <row r="771">
      <c r="A771" s="10">
        <f>IF($E771="","",INDEX('Input Transaksi'!$A:$A,$E771))</f>
        <v/>
      </c>
      <c r="B771" s="5">
        <f>IF($E771="","",INDEX('Input Transaksi'!$D:$D,$E771))</f>
        <v/>
      </c>
      <c r="C771">
        <f>IF($E771="","",INDEX('Input Transaksi'!$E:$E,$E771))</f>
        <v/>
      </c>
      <c r="D771" s="5">
        <f>IF($E771="","",INDEX('Input Transaksi'!$F:$F,$E771))</f>
        <v/>
      </c>
      <c r="E771">
        <f>IFERROR(AGGREGATE(15,6,ROW('Input Transaksi'!$B$5:$B$5000)/('Input Transaksi'!$B$5:$B$5000="CUCI DEWE"),ROWS($E$5:E771)),"")</f>
        <v/>
      </c>
      <c r="F771" s="5" t="n"/>
    </row>
    <row r="772">
      <c r="A772" s="10">
        <f>IF($E772="","",INDEX('Input Transaksi'!$A:$A,$E772))</f>
        <v/>
      </c>
      <c r="B772" s="5">
        <f>IF($E772="","",INDEX('Input Transaksi'!$D:$D,$E772))</f>
        <v/>
      </c>
      <c r="C772">
        <f>IF($E772="","",INDEX('Input Transaksi'!$E:$E,$E772))</f>
        <v/>
      </c>
      <c r="D772" s="5">
        <f>IF($E772="","",INDEX('Input Transaksi'!$F:$F,$E772))</f>
        <v/>
      </c>
      <c r="E772">
        <f>IFERROR(AGGREGATE(15,6,ROW('Input Transaksi'!$B$5:$B$5000)/('Input Transaksi'!$B$5:$B$5000="CUCI DEWE"),ROWS($E$5:E772)),"")</f>
        <v/>
      </c>
      <c r="F772" s="5" t="n"/>
    </row>
    <row r="773">
      <c r="A773" s="10">
        <f>IF($E773="","",INDEX('Input Transaksi'!$A:$A,$E773))</f>
        <v/>
      </c>
      <c r="B773" s="5">
        <f>IF($E773="","",INDEX('Input Transaksi'!$D:$D,$E773))</f>
        <v/>
      </c>
      <c r="C773">
        <f>IF($E773="","",INDEX('Input Transaksi'!$E:$E,$E773))</f>
        <v/>
      </c>
      <c r="D773" s="5">
        <f>IF($E773="","",INDEX('Input Transaksi'!$F:$F,$E773))</f>
        <v/>
      </c>
      <c r="E773">
        <f>IFERROR(AGGREGATE(15,6,ROW('Input Transaksi'!$B$5:$B$5000)/('Input Transaksi'!$B$5:$B$5000="CUCI DEWE"),ROWS($E$5:E773)),"")</f>
        <v/>
      </c>
      <c r="F773" s="5" t="n"/>
    </row>
    <row r="774">
      <c r="A774" s="10">
        <f>IF($E774="","",INDEX('Input Transaksi'!$A:$A,$E774))</f>
        <v/>
      </c>
      <c r="B774" s="5">
        <f>IF($E774="","",INDEX('Input Transaksi'!$D:$D,$E774))</f>
        <v/>
      </c>
      <c r="C774">
        <f>IF($E774="","",INDEX('Input Transaksi'!$E:$E,$E774))</f>
        <v/>
      </c>
      <c r="D774" s="5">
        <f>IF($E774="","",INDEX('Input Transaksi'!$F:$F,$E774))</f>
        <v/>
      </c>
      <c r="E774">
        <f>IFERROR(AGGREGATE(15,6,ROW('Input Transaksi'!$B$5:$B$5000)/('Input Transaksi'!$B$5:$B$5000="CUCI DEWE"),ROWS($E$5:E774)),"")</f>
        <v/>
      </c>
      <c r="F774" s="5" t="n"/>
    </row>
    <row r="775">
      <c r="A775" s="10">
        <f>IF($E775="","",INDEX('Input Transaksi'!$A:$A,$E775))</f>
        <v/>
      </c>
      <c r="B775" s="5">
        <f>IF($E775="","",INDEX('Input Transaksi'!$D:$D,$E775))</f>
        <v/>
      </c>
      <c r="C775">
        <f>IF($E775="","",INDEX('Input Transaksi'!$E:$E,$E775))</f>
        <v/>
      </c>
      <c r="D775" s="5">
        <f>IF($E775="","",INDEX('Input Transaksi'!$F:$F,$E775))</f>
        <v/>
      </c>
      <c r="E775">
        <f>IFERROR(AGGREGATE(15,6,ROW('Input Transaksi'!$B$5:$B$5000)/('Input Transaksi'!$B$5:$B$5000="CUCI DEWE"),ROWS($E$5:E775)),"")</f>
        <v/>
      </c>
      <c r="F775" s="5" t="n"/>
    </row>
    <row r="776">
      <c r="A776" s="10">
        <f>IF($E776="","",INDEX('Input Transaksi'!$A:$A,$E776))</f>
        <v/>
      </c>
      <c r="B776" s="5">
        <f>IF($E776="","",INDEX('Input Transaksi'!$D:$D,$E776))</f>
        <v/>
      </c>
      <c r="C776">
        <f>IF($E776="","",INDEX('Input Transaksi'!$E:$E,$E776))</f>
        <v/>
      </c>
      <c r="D776" s="5">
        <f>IF($E776="","",INDEX('Input Transaksi'!$F:$F,$E776))</f>
        <v/>
      </c>
      <c r="E776">
        <f>IFERROR(AGGREGATE(15,6,ROW('Input Transaksi'!$B$5:$B$5000)/('Input Transaksi'!$B$5:$B$5000="CUCI DEWE"),ROWS($E$5:E776)),"")</f>
        <v/>
      </c>
      <c r="F776" s="5" t="n"/>
    </row>
    <row r="777">
      <c r="A777" s="10">
        <f>IF($E777="","",INDEX('Input Transaksi'!$A:$A,$E777))</f>
        <v/>
      </c>
      <c r="B777" s="5">
        <f>IF($E777="","",INDEX('Input Transaksi'!$D:$D,$E777))</f>
        <v/>
      </c>
      <c r="C777">
        <f>IF($E777="","",INDEX('Input Transaksi'!$E:$E,$E777))</f>
        <v/>
      </c>
      <c r="D777" s="5">
        <f>IF($E777="","",INDEX('Input Transaksi'!$F:$F,$E777))</f>
        <v/>
      </c>
      <c r="E777">
        <f>IFERROR(AGGREGATE(15,6,ROW('Input Transaksi'!$B$5:$B$5000)/('Input Transaksi'!$B$5:$B$5000="CUCI DEWE"),ROWS($E$5:E777)),"")</f>
        <v/>
      </c>
      <c r="F777" s="5" t="n"/>
    </row>
    <row r="778">
      <c r="A778" s="10">
        <f>IF($E778="","",INDEX('Input Transaksi'!$A:$A,$E778))</f>
        <v/>
      </c>
      <c r="B778" s="5">
        <f>IF($E778="","",INDEX('Input Transaksi'!$D:$D,$E778))</f>
        <v/>
      </c>
      <c r="C778">
        <f>IF($E778="","",INDEX('Input Transaksi'!$E:$E,$E778))</f>
        <v/>
      </c>
      <c r="D778" s="5">
        <f>IF($E778="","",INDEX('Input Transaksi'!$F:$F,$E778))</f>
        <v/>
      </c>
      <c r="E778">
        <f>IFERROR(AGGREGATE(15,6,ROW('Input Transaksi'!$B$5:$B$5000)/('Input Transaksi'!$B$5:$B$5000="CUCI DEWE"),ROWS($E$5:E778)),"")</f>
        <v/>
      </c>
      <c r="F778" s="5" t="n"/>
    </row>
    <row r="779">
      <c r="A779" s="10">
        <f>IF($E779="","",INDEX('Input Transaksi'!$A:$A,$E779))</f>
        <v/>
      </c>
      <c r="B779" s="5">
        <f>IF($E779="","",INDEX('Input Transaksi'!$D:$D,$E779))</f>
        <v/>
      </c>
      <c r="C779">
        <f>IF($E779="","",INDEX('Input Transaksi'!$E:$E,$E779))</f>
        <v/>
      </c>
      <c r="D779" s="5">
        <f>IF($E779="","",INDEX('Input Transaksi'!$F:$F,$E779))</f>
        <v/>
      </c>
      <c r="E779">
        <f>IFERROR(AGGREGATE(15,6,ROW('Input Transaksi'!$B$5:$B$5000)/('Input Transaksi'!$B$5:$B$5000="CUCI DEWE"),ROWS($E$5:E779)),"")</f>
        <v/>
      </c>
      <c r="F779" s="5" t="n"/>
    </row>
    <row r="780">
      <c r="A780" s="10">
        <f>IF($E780="","",INDEX('Input Transaksi'!$A:$A,$E780))</f>
        <v/>
      </c>
      <c r="B780" s="5">
        <f>IF($E780="","",INDEX('Input Transaksi'!$D:$D,$E780))</f>
        <v/>
      </c>
      <c r="C780">
        <f>IF($E780="","",INDEX('Input Transaksi'!$E:$E,$E780))</f>
        <v/>
      </c>
      <c r="D780" s="5">
        <f>IF($E780="","",INDEX('Input Transaksi'!$F:$F,$E780))</f>
        <v/>
      </c>
      <c r="E780">
        <f>IFERROR(AGGREGATE(15,6,ROW('Input Transaksi'!$B$5:$B$5000)/('Input Transaksi'!$B$5:$B$5000="CUCI DEWE"),ROWS($E$5:E780)),"")</f>
        <v/>
      </c>
      <c r="F780" s="5" t="n"/>
    </row>
    <row r="781">
      <c r="A781" s="10">
        <f>IF($E781="","",INDEX('Input Transaksi'!$A:$A,$E781))</f>
        <v/>
      </c>
      <c r="B781" s="5">
        <f>IF($E781="","",INDEX('Input Transaksi'!$D:$D,$E781))</f>
        <v/>
      </c>
      <c r="C781">
        <f>IF($E781="","",INDEX('Input Transaksi'!$E:$E,$E781))</f>
        <v/>
      </c>
      <c r="D781" s="5">
        <f>IF($E781="","",INDEX('Input Transaksi'!$F:$F,$E781))</f>
        <v/>
      </c>
      <c r="E781">
        <f>IFERROR(AGGREGATE(15,6,ROW('Input Transaksi'!$B$5:$B$5000)/('Input Transaksi'!$B$5:$B$5000="CUCI DEWE"),ROWS($E$5:E781)),"")</f>
        <v/>
      </c>
      <c r="F781" s="5" t="n"/>
    </row>
    <row r="782">
      <c r="A782" s="10">
        <f>IF($E782="","",INDEX('Input Transaksi'!$A:$A,$E782))</f>
        <v/>
      </c>
      <c r="B782" s="5">
        <f>IF($E782="","",INDEX('Input Transaksi'!$D:$D,$E782))</f>
        <v/>
      </c>
      <c r="C782">
        <f>IF($E782="","",INDEX('Input Transaksi'!$E:$E,$E782))</f>
        <v/>
      </c>
      <c r="D782" s="5">
        <f>IF($E782="","",INDEX('Input Transaksi'!$F:$F,$E782))</f>
        <v/>
      </c>
      <c r="E782">
        <f>IFERROR(AGGREGATE(15,6,ROW('Input Transaksi'!$B$5:$B$5000)/('Input Transaksi'!$B$5:$B$5000="CUCI DEWE"),ROWS($E$5:E782)),"")</f>
        <v/>
      </c>
      <c r="F782" s="5" t="n"/>
    </row>
    <row r="783">
      <c r="A783" s="10">
        <f>IF($E783="","",INDEX('Input Transaksi'!$A:$A,$E783))</f>
        <v/>
      </c>
      <c r="B783" s="5">
        <f>IF($E783="","",INDEX('Input Transaksi'!$D:$D,$E783))</f>
        <v/>
      </c>
      <c r="C783">
        <f>IF($E783="","",INDEX('Input Transaksi'!$E:$E,$E783))</f>
        <v/>
      </c>
      <c r="D783" s="5">
        <f>IF($E783="","",INDEX('Input Transaksi'!$F:$F,$E783))</f>
        <v/>
      </c>
      <c r="E783">
        <f>IFERROR(AGGREGATE(15,6,ROW('Input Transaksi'!$B$5:$B$5000)/('Input Transaksi'!$B$5:$B$5000="CUCI DEWE"),ROWS($E$5:E783)),"")</f>
        <v/>
      </c>
      <c r="F783" s="5" t="n"/>
    </row>
    <row r="784">
      <c r="A784" s="10">
        <f>IF($E784="","",INDEX('Input Transaksi'!$A:$A,$E784))</f>
        <v/>
      </c>
      <c r="B784" s="5">
        <f>IF($E784="","",INDEX('Input Transaksi'!$D:$D,$E784))</f>
        <v/>
      </c>
      <c r="C784">
        <f>IF($E784="","",INDEX('Input Transaksi'!$E:$E,$E784))</f>
        <v/>
      </c>
      <c r="D784" s="5">
        <f>IF($E784="","",INDEX('Input Transaksi'!$F:$F,$E784))</f>
        <v/>
      </c>
      <c r="E784">
        <f>IFERROR(AGGREGATE(15,6,ROW('Input Transaksi'!$B$5:$B$5000)/('Input Transaksi'!$B$5:$B$5000="CUCI DEWE"),ROWS($E$5:E784)),"")</f>
        <v/>
      </c>
      <c r="F784" s="5" t="n"/>
    </row>
    <row r="785">
      <c r="A785" s="10">
        <f>IF($E785="","",INDEX('Input Transaksi'!$A:$A,$E785))</f>
        <v/>
      </c>
      <c r="B785" s="5">
        <f>IF($E785="","",INDEX('Input Transaksi'!$D:$D,$E785))</f>
        <v/>
      </c>
      <c r="C785">
        <f>IF($E785="","",INDEX('Input Transaksi'!$E:$E,$E785))</f>
        <v/>
      </c>
      <c r="D785" s="5">
        <f>IF($E785="","",INDEX('Input Transaksi'!$F:$F,$E785))</f>
        <v/>
      </c>
      <c r="E785">
        <f>IFERROR(AGGREGATE(15,6,ROW('Input Transaksi'!$B$5:$B$5000)/('Input Transaksi'!$B$5:$B$5000="CUCI DEWE"),ROWS($E$5:E785)),"")</f>
        <v/>
      </c>
      <c r="F785" s="5" t="n"/>
    </row>
    <row r="786">
      <c r="A786" s="10">
        <f>IF($E786="","",INDEX('Input Transaksi'!$A:$A,$E786))</f>
        <v/>
      </c>
      <c r="B786" s="5">
        <f>IF($E786="","",INDEX('Input Transaksi'!$D:$D,$E786))</f>
        <v/>
      </c>
      <c r="C786">
        <f>IF($E786="","",INDEX('Input Transaksi'!$E:$E,$E786))</f>
        <v/>
      </c>
      <c r="D786" s="5">
        <f>IF($E786="","",INDEX('Input Transaksi'!$F:$F,$E786))</f>
        <v/>
      </c>
      <c r="E786">
        <f>IFERROR(AGGREGATE(15,6,ROW('Input Transaksi'!$B$5:$B$5000)/('Input Transaksi'!$B$5:$B$5000="CUCI DEWE"),ROWS($E$5:E786)),"")</f>
        <v/>
      </c>
      <c r="F786" s="5" t="n"/>
    </row>
    <row r="787">
      <c r="A787" s="10">
        <f>IF($E787="","",INDEX('Input Transaksi'!$A:$A,$E787))</f>
        <v/>
      </c>
      <c r="B787" s="5">
        <f>IF($E787="","",INDEX('Input Transaksi'!$D:$D,$E787))</f>
        <v/>
      </c>
      <c r="C787">
        <f>IF($E787="","",INDEX('Input Transaksi'!$E:$E,$E787))</f>
        <v/>
      </c>
      <c r="D787" s="5">
        <f>IF($E787="","",INDEX('Input Transaksi'!$F:$F,$E787))</f>
        <v/>
      </c>
      <c r="E787">
        <f>IFERROR(AGGREGATE(15,6,ROW('Input Transaksi'!$B$5:$B$5000)/('Input Transaksi'!$B$5:$B$5000="CUCI DEWE"),ROWS($E$5:E787)),"")</f>
        <v/>
      </c>
      <c r="F787" s="5" t="n"/>
    </row>
    <row r="788">
      <c r="A788" s="10">
        <f>IF($E788="","",INDEX('Input Transaksi'!$A:$A,$E788))</f>
        <v/>
      </c>
      <c r="B788" s="5">
        <f>IF($E788="","",INDEX('Input Transaksi'!$D:$D,$E788))</f>
        <v/>
      </c>
      <c r="C788">
        <f>IF($E788="","",INDEX('Input Transaksi'!$E:$E,$E788))</f>
        <v/>
      </c>
      <c r="D788" s="5">
        <f>IF($E788="","",INDEX('Input Transaksi'!$F:$F,$E788))</f>
        <v/>
      </c>
      <c r="E788">
        <f>IFERROR(AGGREGATE(15,6,ROW('Input Transaksi'!$B$5:$B$5000)/('Input Transaksi'!$B$5:$B$5000="CUCI DEWE"),ROWS($E$5:E788)),"")</f>
        <v/>
      </c>
      <c r="F788" s="5" t="n"/>
    </row>
    <row r="789">
      <c r="A789" s="10">
        <f>IF($E789="","",INDEX('Input Transaksi'!$A:$A,$E789))</f>
        <v/>
      </c>
      <c r="B789" s="5">
        <f>IF($E789="","",INDEX('Input Transaksi'!$D:$D,$E789))</f>
        <v/>
      </c>
      <c r="C789">
        <f>IF($E789="","",INDEX('Input Transaksi'!$E:$E,$E789))</f>
        <v/>
      </c>
      <c r="D789" s="5">
        <f>IF($E789="","",INDEX('Input Transaksi'!$F:$F,$E789))</f>
        <v/>
      </c>
      <c r="E789">
        <f>IFERROR(AGGREGATE(15,6,ROW('Input Transaksi'!$B$5:$B$5000)/('Input Transaksi'!$B$5:$B$5000="CUCI DEWE"),ROWS($E$5:E789)),"")</f>
        <v/>
      </c>
      <c r="F789" s="5" t="n"/>
    </row>
    <row r="790">
      <c r="A790" s="10">
        <f>IF($E790="","",INDEX('Input Transaksi'!$A:$A,$E790))</f>
        <v/>
      </c>
      <c r="B790" s="5">
        <f>IF($E790="","",INDEX('Input Transaksi'!$D:$D,$E790))</f>
        <v/>
      </c>
      <c r="C790">
        <f>IF($E790="","",INDEX('Input Transaksi'!$E:$E,$E790))</f>
        <v/>
      </c>
      <c r="D790" s="5">
        <f>IF($E790="","",INDEX('Input Transaksi'!$F:$F,$E790))</f>
        <v/>
      </c>
      <c r="E790">
        <f>IFERROR(AGGREGATE(15,6,ROW('Input Transaksi'!$B$5:$B$5000)/('Input Transaksi'!$B$5:$B$5000="CUCI DEWE"),ROWS($E$5:E790)),"")</f>
        <v/>
      </c>
      <c r="F790" s="5" t="n"/>
    </row>
    <row r="791">
      <c r="A791" s="10">
        <f>IF($E791="","",INDEX('Input Transaksi'!$A:$A,$E791))</f>
        <v/>
      </c>
      <c r="B791" s="5">
        <f>IF($E791="","",INDEX('Input Transaksi'!$D:$D,$E791))</f>
        <v/>
      </c>
      <c r="C791">
        <f>IF($E791="","",INDEX('Input Transaksi'!$E:$E,$E791))</f>
        <v/>
      </c>
      <c r="D791" s="5">
        <f>IF($E791="","",INDEX('Input Transaksi'!$F:$F,$E791))</f>
        <v/>
      </c>
      <c r="E791">
        <f>IFERROR(AGGREGATE(15,6,ROW('Input Transaksi'!$B$5:$B$5000)/('Input Transaksi'!$B$5:$B$5000="CUCI DEWE"),ROWS($E$5:E791)),"")</f>
        <v/>
      </c>
      <c r="F791" s="5" t="n"/>
    </row>
    <row r="792">
      <c r="A792" s="10">
        <f>IF($E792="","",INDEX('Input Transaksi'!$A:$A,$E792))</f>
        <v/>
      </c>
      <c r="B792" s="5">
        <f>IF($E792="","",INDEX('Input Transaksi'!$D:$D,$E792))</f>
        <v/>
      </c>
      <c r="C792">
        <f>IF($E792="","",INDEX('Input Transaksi'!$E:$E,$E792))</f>
        <v/>
      </c>
      <c r="D792" s="5">
        <f>IF($E792="","",INDEX('Input Transaksi'!$F:$F,$E792))</f>
        <v/>
      </c>
      <c r="E792">
        <f>IFERROR(AGGREGATE(15,6,ROW('Input Transaksi'!$B$5:$B$5000)/('Input Transaksi'!$B$5:$B$5000="CUCI DEWE"),ROWS($E$5:E792)),"")</f>
        <v/>
      </c>
      <c r="F792" s="5" t="n"/>
    </row>
    <row r="793">
      <c r="A793" s="10">
        <f>IF($E793="","",INDEX('Input Transaksi'!$A:$A,$E793))</f>
        <v/>
      </c>
      <c r="B793" s="5">
        <f>IF($E793="","",INDEX('Input Transaksi'!$D:$D,$E793))</f>
        <v/>
      </c>
      <c r="C793">
        <f>IF($E793="","",INDEX('Input Transaksi'!$E:$E,$E793))</f>
        <v/>
      </c>
      <c r="D793" s="5">
        <f>IF($E793="","",INDEX('Input Transaksi'!$F:$F,$E793))</f>
        <v/>
      </c>
      <c r="E793">
        <f>IFERROR(AGGREGATE(15,6,ROW('Input Transaksi'!$B$5:$B$5000)/('Input Transaksi'!$B$5:$B$5000="CUCI DEWE"),ROWS($E$5:E793)),"")</f>
        <v/>
      </c>
      <c r="F793" s="5" t="n"/>
    </row>
    <row r="794">
      <c r="A794" s="10">
        <f>IF($E794="","",INDEX('Input Transaksi'!$A:$A,$E794))</f>
        <v/>
      </c>
      <c r="B794" s="5">
        <f>IF($E794="","",INDEX('Input Transaksi'!$D:$D,$E794))</f>
        <v/>
      </c>
      <c r="C794">
        <f>IF($E794="","",INDEX('Input Transaksi'!$E:$E,$E794))</f>
        <v/>
      </c>
      <c r="D794" s="5">
        <f>IF($E794="","",INDEX('Input Transaksi'!$F:$F,$E794))</f>
        <v/>
      </c>
      <c r="E794">
        <f>IFERROR(AGGREGATE(15,6,ROW('Input Transaksi'!$B$5:$B$5000)/('Input Transaksi'!$B$5:$B$5000="CUCI DEWE"),ROWS($E$5:E794)),"")</f>
        <v/>
      </c>
      <c r="F794" s="5" t="n"/>
    </row>
    <row r="795">
      <c r="A795" s="10">
        <f>IF($E795="","",INDEX('Input Transaksi'!$A:$A,$E795))</f>
        <v/>
      </c>
      <c r="B795" s="5">
        <f>IF($E795="","",INDEX('Input Transaksi'!$D:$D,$E795))</f>
        <v/>
      </c>
      <c r="C795">
        <f>IF($E795="","",INDEX('Input Transaksi'!$E:$E,$E795))</f>
        <v/>
      </c>
      <c r="D795" s="5">
        <f>IF($E795="","",INDEX('Input Transaksi'!$F:$F,$E795))</f>
        <v/>
      </c>
      <c r="E795">
        <f>IFERROR(AGGREGATE(15,6,ROW('Input Transaksi'!$B$5:$B$5000)/('Input Transaksi'!$B$5:$B$5000="CUCI DEWE"),ROWS($E$5:E795)),"")</f>
        <v/>
      </c>
      <c r="F795" s="5" t="n"/>
    </row>
    <row r="796">
      <c r="A796" s="10">
        <f>IF($E796="","",INDEX('Input Transaksi'!$A:$A,$E796))</f>
        <v/>
      </c>
      <c r="B796" s="5">
        <f>IF($E796="","",INDEX('Input Transaksi'!$D:$D,$E796))</f>
        <v/>
      </c>
      <c r="C796">
        <f>IF($E796="","",INDEX('Input Transaksi'!$E:$E,$E796))</f>
        <v/>
      </c>
      <c r="D796" s="5">
        <f>IF($E796="","",INDEX('Input Transaksi'!$F:$F,$E796))</f>
        <v/>
      </c>
      <c r="E796">
        <f>IFERROR(AGGREGATE(15,6,ROW('Input Transaksi'!$B$5:$B$5000)/('Input Transaksi'!$B$5:$B$5000="CUCI DEWE"),ROWS($E$5:E796)),"")</f>
        <v/>
      </c>
      <c r="F796" s="5" t="n"/>
    </row>
    <row r="797">
      <c r="A797" s="10">
        <f>IF($E797="","",INDEX('Input Transaksi'!$A:$A,$E797))</f>
        <v/>
      </c>
      <c r="B797" s="5">
        <f>IF($E797="","",INDEX('Input Transaksi'!$D:$D,$E797))</f>
        <v/>
      </c>
      <c r="C797">
        <f>IF($E797="","",INDEX('Input Transaksi'!$E:$E,$E797))</f>
        <v/>
      </c>
      <c r="D797" s="5">
        <f>IF($E797="","",INDEX('Input Transaksi'!$F:$F,$E797))</f>
        <v/>
      </c>
      <c r="E797">
        <f>IFERROR(AGGREGATE(15,6,ROW('Input Transaksi'!$B$5:$B$5000)/('Input Transaksi'!$B$5:$B$5000="CUCI DEWE"),ROWS($E$5:E797)),"")</f>
        <v/>
      </c>
      <c r="F797" s="5" t="n"/>
    </row>
    <row r="798">
      <c r="A798" s="10">
        <f>IF($E798="","",INDEX('Input Transaksi'!$A:$A,$E798))</f>
        <v/>
      </c>
      <c r="B798" s="5">
        <f>IF($E798="","",INDEX('Input Transaksi'!$D:$D,$E798))</f>
        <v/>
      </c>
      <c r="C798">
        <f>IF($E798="","",INDEX('Input Transaksi'!$E:$E,$E798))</f>
        <v/>
      </c>
      <c r="D798" s="5">
        <f>IF($E798="","",INDEX('Input Transaksi'!$F:$F,$E798))</f>
        <v/>
      </c>
      <c r="E798">
        <f>IFERROR(AGGREGATE(15,6,ROW('Input Transaksi'!$B$5:$B$5000)/('Input Transaksi'!$B$5:$B$5000="CUCI DEWE"),ROWS($E$5:E798)),"")</f>
        <v/>
      </c>
      <c r="F798" s="5" t="n"/>
    </row>
    <row r="799">
      <c r="A799" s="10">
        <f>IF($E799="","",INDEX('Input Transaksi'!$A:$A,$E799))</f>
        <v/>
      </c>
      <c r="B799" s="5">
        <f>IF($E799="","",INDEX('Input Transaksi'!$D:$D,$E799))</f>
        <v/>
      </c>
      <c r="C799">
        <f>IF($E799="","",INDEX('Input Transaksi'!$E:$E,$E799))</f>
        <v/>
      </c>
      <c r="D799" s="5">
        <f>IF($E799="","",INDEX('Input Transaksi'!$F:$F,$E799))</f>
        <v/>
      </c>
      <c r="E799">
        <f>IFERROR(AGGREGATE(15,6,ROW('Input Transaksi'!$B$5:$B$5000)/('Input Transaksi'!$B$5:$B$5000="CUCI DEWE"),ROWS($E$5:E799)),"")</f>
        <v/>
      </c>
      <c r="F799" s="5" t="n"/>
    </row>
    <row r="800">
      <c r="A800" s="10">
        <f>IF($E800="","",INDEX('Input Transaksi'!$A:$A,$E800))</f>
        <v/>
      </c>
      <c r="B800" s="5">
        <f>IF($E800="","",INDEX('Input Transaksi'!$D:$D,$E800))</f>
        <v/>
      </c>
      <c r="C800">
        <f>IF($E800="","",INDEX('Input Transaksi'!$E:$E,$E800))</f>
        <v/>
      </c>
      <c r="D800" s="5">
        <f>IF($E800="","",INDEX('Input Transaksi'!$F:$F,$E800))</f>
        <v/>
      </c>
      <c r="E800">
        <f>IFERROR(AGGREGATE(15,6,ROW('Input Transaksi'!$B$5:$B$5000)/('Input Transaksi'!$B$5:$B$5000="CUCI DEWE"),ROWS($E$5:E800)),"")</f>
        <v/>
      </c>
      <c r="F800" s="5" t="n"/>
    </row>
    <row r="801">
      <c r="A801" s="10">
        <f>IF($E801="","",INDEX('Input Transaksi'!$A:$A,$E801))</f>
        <v/>
      </c>
      <c r="B801" s="5">
        <f>IF($E801="","",INDEX('Input Transaksi'!$D:$D,$E801))</f>
        <v/>
      </c>
      <c r="C801">
        <f>IF($E801="","",INDEX('Input Transaksi'!$E:$E,$E801))</f>
        <v/>
      </c>
      <c r="D801" s="5">
        <f>IF($E801="","",INDEX('Input Transaksi'!$F:$F,$E801))</f>
        <v/>
      </c>
      <c r="E801">
        <f>IFERROR(AGGREGATE(15,6,ROW('Input Transaksi'!$B$5:$B$5000)/('Input Transaksi'!$B$5:$B$5000="CUCI DEWE"),ROWS($E$5:E801)),"")</f>
        <v/>
      </c>
      <c r="F801" s="5" t="n"/>
    </row>
    <row r="802">
      <c r="A802" s="10">
        <f>IF($E802="","",INDEX('Input Transaksi'!$A:$A,$E802))</f>
        <v/>
      </c>
      <c r="B802" s="5">
        <f>IF($E802="","",INDEX('Input Transaksi'!$D:$D,$E802))</f>
        <v/>
      </c>
      <c r="C802">
        <f>IF($E802="","",INDEX('Input Transaksi'!$E:$E,$E802))</f>
        <v/>
      </c>
      <c r="D802" s="5">
        <f>IF($E802="","",INDEX('Input Transaksi'!$F:$F,$E802))</f>
        <v/>
      </c>
      <c r="E802">
        <f>IFERROR(AGGREGATE(15,6,ROW('Input Transaksi'!$B$5:$B$5000)/('Input Transaksi'!$B$5:$B$5000="CUCI DEWE"),ROWS($E$5:E802)),"")</f>
        <v/>
      </c>
      <c r="F802" s="5" t="n"/>
    </row>
    <row r="803">
      <c r="A803" s="10">
        <f>IF($E803="","",INDEX('Input Transaksi'!$A:$A,$E803))</f>
        <v/>
      </c>
      <c r="B803" s="5">
        <f>IF($E803="","",INDEX('Input Transaksi'!$D:$D,$E803))</f>
        <v/>
      </c>
      <c r="C803">
        <f>IF($E803="","",INDEX('Input Transaksi'!$E:$E,$E803))</f>
        <v/>
      </c>
      <c r="D803" s="5">
        <f>IF($E803="","",INDEX('Input Transaksi'!$F:$F,$E803))</f>
        <v/>
      </c>
      <c r="E803">
        <f>IFERROR(AGGREGATE(15,6,ROW('Input Transaksi'!$B$5:$B$5000)/('Input Transaksi'!$B$5:$B$5000="CUCI DEWE"),ROWS($E$5:E803)),"")</f>
        <v/>
      </c>
      <c r="F803" s="5" t="n"/>
    </row>
    <row r="804">
      <c r="A804" s="10">
        <f>IF($E804="","",INDEX('Input Transaksi'!$A:$A,$E804))</f>
        <v/>
      </c>
      <c r="B804" s="5">
        <f>IF($E804="","",INDEX('Input Transaksi'!$D:$D,$E804))</f>
        <v/>
      </c>
      <c r="C804">
        <f>IF($E804="","",INDEX('Input Transaksi'!$E:$E,$E804))</f>
        <v/>
      </c>
      <c r="D804" s="5">
        <f>IF($E804="","",INDEX('Input Transaksi'!$F:$F,$E804))</f>
        <v/>
      </c>
      <c r="E804">
        <f>IFERROR(AGGREGATE(15,6,ROW('Input Transaksi'!$B$5:$B$5000)/('Input Transaksi'!$B$5:$B$5000="CUCI DEWE"),ROWS($E$5:E804)),"")</f>
        <v/>
      </c>
      <c r="F804" s="5" t="n"/>
    </row>
    <row r="805">
      <c r="A805" s="10">
        <f>IF($E805="","",INDEX('Input Transaksi'!$A:$A,$E805))</f>
        <v/>
      </c>
      <c r="B805" s="5">
        <f>IF($E805="","",INDEX('Input Transaksi'!$D:$D,$E805))</f>
        <v/>
      </c>
      <c r="C805">
        <f>IF($E805="","",INDEX('Input Transaksi'!$E:$E,$E805))</f>
        <v/>
      </c>
      <c r="D805" s="5">
        <f>IF($E805="","",INDEX('Input Transaksi'!$F:$F,$E805))</f>
        <v/>
      </c>
      <c r="E805">
        <f>IFERROR(AGGREGATE(15,6,ROW('Input Transaksi'!$B$5:$B$5000)/('Input Transaksi'!$B$5:$B$5000="CUCI DEWE"),ROWS($E$5:E805)),"")</f>
        <v/>
      </c>
      <c r="F805" s="5" t="n"/>
    </row>
    <row r="806">
      <c r="A806" s="10">
        <f>IF($E806="","",INDEX('Input Transaksi'!$A:$A,$E806))</f>
        <v/>
      </c>
      <c r="B806" s="5">
        <f>IF($E806="","",INDEX('Input Transaksi'!$D:$D,$E806))</f>
        <v/>
      </c>
      <c r="C806">
        <f>IF($E806="","",INDEX('Input Transaksi'!$E:$E,$E806))</f>
        <v/>
      </c>
      <c r="D806" s="5">
        <f>IF($E806="","",INDEX('Input Transaksi'!$F:$F,$E806))</f>
        <v/>
      </c>
      <c r="E806">
        <f>IFERROR(AGGREGATE(15,6,ROW('Input Transaksi'!$B$5:$B$5000)/('Input Transaksi'!$B$5:$B$5000="CUCI DEWE"),ROWS($E$5:E806)),"")</f>
        <v/>
      </c>
      <c r="F806" s="5" t="n"/>
    </row>
    <row r="807">
      <c r="A807" s="10">
        <f>IF($E807="","",INDEX('Input Transaksi'!$A:$A,$E807))</f>
        <v/>
      </c>
      <c r="B807" s="5">
        <f>IF($E807="","",INDEX('Input Transaksi'!$D:$D,$E807))</f>
        <v/>
      </c>
      <c r="C807">
        <f>IF($E807="","",INDEX('Input Transaksi'!$E:$E,$E807))</f>
        <v/>
      </c>
      <c r="D807" s="5">
        <f>IF($E807="","",INDEX('Input Transaksi'!$F:$F,$E807))</f>
        <v/>
      </c>
      <c r="E807">
        <f>IFERROR(AGGREGATE(15,6,ROW('Input Transaksi'!$B$5:$B$5000)/('Input Transaksi'!$B$5:$B$5000="CUCI DEWE"),ROWS($E$5:E807)),"")</f>
        <v/>
      </c>
      <c r="F807" s="5" t="n"/>
    </row>
    <row r="808">
      <c r="A808" s="10">
        <f>IF($E808="","",INDEX('Input Transaksi'!$A:$A,$E808))</f>
        <v/>
      </c>
      <c r="B808" s="5">
        <f>IF($E808="","",INDEX('Input Transaksi'!$D:$D,$E808))</f>
        <v/>
      </c>
      <c r="C808">
        <f>IF($E808="","",INDEX('Input Transaksi'!$E:$E,$E808))</f>
        <v/>
      </c>
      <c r="D808" s="5">
        <f>IF($E808="","",INDEX('Input Transaksi'!$F:$F,$E808))</f>
        <v/>
      </c>
      <c r="E808">
        <f>IFERROR(AGGREGATE(15,6,ROW('Input Transaksi'!$B$5:$B$5000)/('Input Transaksi'!$B$5:$B$5000="CUCI DEWE"),ROWS($E$5:E808)),"")</f>
        <v/>
      </c>
      <c r="F808" s="5" t="n"/>
    </row>
    <row r="809">
      <c r="A809" s="10">
        <f>IF($E809="","",INDEX('Input Transaksi'!$A:$A,$E809))</f>
        <v/>
      </c>
      <c r="B809" s="5">
        <f>IF($E809="","",INDEX('Input Transaksi'!$D:$D,$E809))</f>
        <v/>
      </c>
      <c r="C809">
        <f>IF($E809="","",INDEX('Input Transaksi'!$E:$E,$E809))</f>
        <v/>
      </c>
      <c r="D809" s="5">
        <f>IF($E809="","",INDEX('Input Transaksi'!$F:$F,$E809))</f>
        <v/>
      </c>
      <c r="E809">
        <f>IFERROR(AGGREGATE(15,6,ROW('Input Transaksi'!$B$5:$B$5000)/('Input Transaksi'!$B$5:$B$5000="CUCI DEWE"),ROWS($E$5:E809)),"")</f>
        <v/>
      </c>
      <c r="F809" s="5" t="n"/>
    </row>
    <row r="810">
      <c r="A810" s="10">
        <f>IF($E810="","",INDEX('Input Transaksi'!$A:$A,$E810))</f>
        <v/>
      </c>
      <c r="B810" s="5">
        <f>IF($E810="","",INDEX('Input Transaksi'!$D:$D,$E810))</f>
        <v/>
      </c>
      <c r="C810">
        <f>IF($E810="","",INDEX('Input Transaksi'!$E:$E,$E810))</f>
        <v/>
      </c>
      <c r="D810" s="5">
        <f>IF($E810="","",INDEX('Input Transaksi'!$F:$F,$E810))</f>
        <v/>
      </c>
      <c r="E810">
        <f>IFERROR(AGGREGATE(15,6,ROW('Input Transaksi'!$B$5:$B$5000)/('Input Transaksi'!$B$5:$B$5000="CUCI DEWE"),ROWS($E$5:E810)),"")</f>
        <v/>
      </c>
      <c r="F810" s="5" t="n"/>
    </row>
    <row r="811">
      <c r="A811" s="10">
        <f>IF($E811="","",INDEX('Input Transaksi'!$A:$A,$E811))</f>
        <v/>
      </c>
      <c r="B811" s="5">
        <f>IF($E811="","",INDEX('Input Transaksi'!$D:$D,$E811))</f>
        <v/>
      </c>
      <c r="C811">
        <f>IF($E811="","",INDEX('Input Transaksi'!$E:$E,$E811))</f>
        <v/>
      </c>
      <c r="D811" s="5">
        <f>IF($E811="","",INDEX('Input Transaksi'!$F:$F,$E811))</f>
        <v/>
      </c>
      <c r="E811">
        <f>IFERROR(AGGREGATE(15,6,ROW('Input Transaksi'!$B$5:$B$5000)/('Input Transaksi'!$B$5:$B$5000="CUCI DEWE"),ROWS($E$5:E811)),"")</f>
        <v/>
      </c>
      <c r="F811" s="5" t="n"/>
    </row>
    <row r="812">
      <c r="A812" s="10">
        <f>IF($E812="","",INDEX('Input Transaksi'!$A:$A,$E812))</f>
        <v/>
      </c>
      <c r="B812" s="5">
        <f>IF($E812="","",INDEX('Input Transaksi'!$D:$D,$E812))</f>
        <v/>
      </c>
      <c r="C812">
        <f>IF($E812="","",INDEX('Input Transaksi'!$E:$E,$E812))</f>
        <v/>
      </c>
      <c r="D812" s="5">
        <f>IF($E812="","",INDEX('Input Transaksi'!$F:$F,$E812))</f>
        <v/>
      </c>
      <c r="E812">
        <f>IFERROR(AGGREGATE(15,6,ROW('Input Transaksi'!$B$5:$B$5000)/('Input Transaksi'!$B$5:$B$5000="CUCI DEWE"),ROWS($E$5:E812)),"")</f>
        <v/>
      </c>
      <c r="F812" s="5" t="n"/>
    </row>
    <row r="813">
      <c r="A813" s="10">
        <f>IF($E813="","",INDEX('Input Transaksi'!$A:$A,$E813))</f>
        <v/>
      </c>
      <c r="B813" s="5">
        <f>IF($E813="","",INDEX('Input Transaksi'!$D:$D,$E813))</f>
        <v/>
      </c>
      <c r="C813">
        <f>IF($E813="","",INDEX('Input Transaksi'!$E:$E,$E813))</f>
        <v/>
      </c>
      <c r="D813" s="5">
        <f>IF($E813="","",INDEX('Input Transaksi'!$F:$F,$E813))</f>
        <v/>
      </c>
      <c r="E813">
        <f>IFERROR(AGGREGATE(15,6,ROW('Input Transaksi'!$B$5:$B$5000)/('Input Transaksi'!$B$5:$B$5000="CUCI DEWE"),ROWS($E$5:E813)),"")</f>
        <v/>
      </c>
      <c r="F813" s="5" t="n"/>
    </row>
    <row r="814">
      <c r="A814" s="10">
        <f>IF($E814="","",INDEX('Input Transaksi'!$A:$A,$E814))</f>
        <v/>
      </c>
      <c r="B814" s="5">
        <f>IF($E814="","",INDEX('Input Transaksi'!$D:$D,$E814))</f>
        <v/>
      </c>
      <c r="C814">
        <f>IF($E814="","",INDEX('Input Transaksi'!$E:$E,$E814))</f>
        <v/>
      </c>
      <c r="D814" s="5">
        <f>IF($E814="","",INDEX('Input Transaksi'!$F:$F,$E814))</f>
        <v/>
      </c>
      <c r="E814">
        <f>IFERROR(AGGREGATE(15,6,ROW('Input Transaksi'!$B$5:$B$5000)/('Input Transaksi'!$B$5:$B$5000="CUCI DEWE"),ROWS($E$5:E814)),"")</f>
        <v/>
      </c>
      <c r="F814" s="5" t="n"/>
    </row>
    <row r="815">
      <c r="A815" s="10">
        <f>IF($E815="","",INDEX('Input Transaksi'!$A:$A,$E815))</f>
        <v/>
      </c>
      <c r="B815" s="5">
        <f>IF($E815="","",INDEX('Input Transaksi'!$D:$D,$E815))</f>
        <v/>
      </c>
      <c r="C815">
        <f>IF($E815="","",INDEX('Input Transaksi'!$E:$E,$E815))</f>
        <v/>
      </c>
      <c r="D815" s="5">
        <f>IF($E815="","",INDEX('Input Transaksi'!$F:$F,$E815))</f>
        <v/>
      </c>
      <c r="E815">
        <f>IFERROR(AGGREGATE(15,6,ROW('Input Transaksi'!$B$5:$B$5000)/('Input Transaksi'!$B$5:$B$5000="CUCI DEWE"),ROWS($E$5:E815)),"")</f>
        <v/>
      </c>
      <c r="F815" s="5" t="n"/>
    </row>
    <row r="816">
      <c r="A816" s="10">
        <f>IF($E816="","",INDEX('Input Transaksi'!$A:$A,$E816))</f>
        <v/>
      </c>
      <c r="B816" s="5">
        <f>IF($E816="","",INDEX('Input Transaksi'!$D:$D,$E816))</f>
        <v/>
      </c>
      <c r="C816">
        <f>IF($E816="","",INDEX('Input Transaksi'!$E:$E,$E816))</f>
        <v/>
      </c>
      <c r="D816" s="5">
        <f>IF($E816="","",INDEX('Input Transaksi'!$F:$F,$E816))</f>
        <v/>
      </c>
      <c r="E816">
        <f>IFERROR(AGGREGATE(15,6,ROW('Input Transaksi'!$B$5:$B$5000)/('Input Transaksi'!$B$5:$B$5000="CUCI DEWE"),ROWS($E$5:E816)),"")</f>
        <v/>
      </c>
      <c r="F816" s="5" t="n"/>
    </row>
    <row r="817">
      <c r="A817" s="10">
        <f>IF($E817="","",INDEX('Input Transaksi'!$A:$A,$E817))</f>
        <v/>
      </c>
      <c r="B817" s="5">
        <f>IF($E817="","",INDEX('Input Transaksi'!$D:$D,$E817))</f>
        <v/>
      </c>
      <c r="C817">
        <f>IF($E817="","",INDEX('Input Transaksi'!$E:$E,$E817))</f>
        <v/>
      </c>
      <c r="D817" s="5">
        <f>IF($E817="","",INDEX('Input Transaksi'!$F:$F,$E817))</f>
        <v/>
      </c>
      <c r="E817">
        <f>IFERROR(AGGREGATE(15,6,ROW('Input Transaksi'!$B$5:$B$5000)/('Input Transaksi'!$B$5:$B$5000="CUCI DEWE"),ROWS($E$5:E817)),"")</f>
        <v/>
      </c>
      <c r="F817" s="5" t="n"/>
    </row>
    <row r="818">
      <c r="A818" s="10">
        <f>IF($E818="","",INDEX('Input Transaksi'!$A:$A,$E818))</f>
        <v/>
      </c>
      <c r="B818" s="5">
        <f>IF($E818="","",INDEX('Input Transaksi'!$D:$D,$E818))</f>
        <v/>
      </c>
      <c r="C818">
        <f>IF($E818="","",INDEX('Input Transaksi'!$E:$E,$E818))</f>
        <v/>
      </c>
      <c r="D818" s="5">
        <f>IF($E818="","",INDEX('Input Transaksi'!$F:$F,$E818))</f>
        <v/>
      </c>
      <c r="E818">
        <f>IFERROR(AGGREGATE(15,6,ROW('Input Transaksi'!$B$5:$B$5000)/('Input Transaksi'!$B$5:$B$5000="CUCI DEWE"),ROWS($E$5:E818)),"")</f>
        <v/>
      </c>
      <c r="F818" s="5" t="n"/>
    </row>
    <row r="819">
      <c r="A819" s="10">
        <f>IF($E819="","",INDEX('Input Transaksi'!$A:$A,$E819))</f>
        <v/>
      </c>
      <c r="B819" s="5">
        <f>IF($E819="","",INDEX('Input Transaksi'!$D:$D,$E819))</f>
        <v/>
      </c>
      <c r="C819">
        <f>IF($E819="","",INDEX('Input Transaksi'!$E:$E,$E819))</f>
        <v/>
      </c>
      <c r="D819" s="5">
        <f>IF($E819="","",INDEX('Input Transaksi'!$F:$F,$E819))</f>
        <v/>
      </c>
      <c r="E819">
        <f>IFERROR(AGGREGATE(15,6,ROW('Input Transaksi'!$B$5:$B$5000)/('Input Transaksi'!$B$5:$B$5000="CUCI DEWE"),ROWS($E$5:E819)),"")</f>
        <v/>
      </c>
      <c r="F819" s="5" t="n"/>
    </row>
    <row r="820">
      <c r="A820" s="10">
        <f>IF($E820="","",INDEX('Input Transaksi'!$A:$A,$E820))</f>
        <v/>
      </c>
      <c r="B820" s="5">
        <f>IF($E820="","",INDEX('Input Transaksi'!$D:$D,$E820))</f>
        <v/>
      </c>
      <c r="C820">
        <f>IF($E820="","",INDEX('Input Transaksi'!$E:$E,$E820))</f>
        <v/>
      </c>
      <c r="D820" s="5">
        <f>IF($E820="","",INDEX('Input Transaksi'!$F:$F,$E820))</f>
        <v/>
      </c>
      <c r="E820">
        <f>IFERROR(AGGREGATE(15,6,ROW('Input Transaksi'!$B$5:$B$5000)/('Input Transaksi'!$B$5:$B$5000="CUCI DEWE"),ROWS($E$5:E820)),"")</f>
        <v/>
      </c>
      <c r="F820" s="5" t="n"/>
    </row>
    <row r="821">
      <c r="A821" s="10">
        <f>IF($E821="","",INDEX('Input Transaksi'!$A:$A,$E821))</f>
        <v/>
      </c>
      <c r="B821" s="5">
        <f>IF($E821="","",INDEX('Input Transaksi'!$D:$D,$E821))</f>
        <v/>
      </c>
      <c r="C821">
        <f>IF($E821="","",INDEX('Input Transaksi'!$E:$E,$E821))</f>
        <v/>
      </c>
      <c r="D821" s="5">
        <f>IF($E821="","",INDEX('Input Transaksi'!$F:$F,$E821))</f>
        <v/>
      </c>
      <c r="E821">
        <f>IFERROR(AGGREGATE(15,6,ROW('Input Transaksi'!$B$5:$B$5000)/('Input Transaksi'!$B$5:$B$5000="CUCI DEWE"),ROWS($E$5:E821)),"")</f>
        <v/>
      </c>
      <c r="F821" s="5" t="n"/>
    </row>
    <row r="822">
      <c r="A822" s="10">
        <f>IF($E822="","",INDEX('Input Transaksi'!$A:$A,$E822))</f>
        <v/>
      </c>
      <c r="B822" s="5">
        <f>IF($E822="","",INDEX('Input Transaksi'!$D:$D,$E822))</f>
        <v/>
      </c>
      <c r="C822">
        <f>IF($E822="","",INDEX('Input Transaksi'!$E:$E,$E822))</f>
        <v/>
      </c>
      <c r="D822" s="5">
        <f>IF($E822="","",INDEX('Input Transaksi'!$F:$F,$E822))</f>
        <v/>
      </c>
      <c r="E822">
        <f>IFERROR(AGGREGATE(15,6,ROW('Input Transaksi'!$B$5:$B$5000)/('Input Transaksi'!$B$5:$B$5000="CUCI DEWE"),ROWS($E$5:E822)),"")</f>
        <v/>
      </c>
      <c r="F822" s="5" t="n"/>
    </row>
    <row r="823">
      <c r="A823" s="10">
        <f>IF($E823="","",INDEX('Input Transaksi'!$A:$A,$E823))</f>
        <v/>
      </c>
      <c r="B823" s="5">
        <f>IF($E823="","",INDEX('Input Transaksi'!$D:$D,$E823))</f>
        <v/>
      </c>
      <c r="C823">
        <f>IF($E823="","",INDEX('Input Transaksi'!$E:$E,$E823))</f>
        <v/>
      </c>
      <c r="D823" s="5">
        <f>IF($E823="","",INDEX('Input Transaksi'!$F:$F,$E823))</f>
        <v/>
      </c>
      <c r="E823">
        <f>IFERROR(AGGREGATE(15,6,ROW('Input Transaksi'!$B$5:$B$5000)/('Input Transaksi'!$B$5:$B$5000="CUCI DEWE"),ROWS($E$5:E823)),"")</f>
        <v/>
      </c>
      <c r="F823" s="5" t="n"/>
    </row>
    <row r="824">
      <c r="A824" s="10">
        <f>IF($E824="","",INDEX('Input Transaksi'!$A:$A,$E824))</f>
        <v/>
      </c>
      <c r="B824" s="5">
        <f>IF($E824="","",INDEX('Input Transaksi'!$D:$D,$E824))</f>
        <v/>
      </c>
      <c r="C824">
        <f>IF($E824="","",INDEX('Input Transaksi'!$E:$E,$E824))</f>
        <v/>
      </c>
      <c r="D824" s="5">
        <f>IF($E824="","",INDEX('Input Transaksi'!$F:$F,$E824))</f>
        <v/>
      </c>
      <c r="E824">
        <f>IFERROR(AGGREGATE(15,6,ROW('Input Transaksi'!$B$5:$B$5000)/('Input Transaksi'!$B$5:$B$5000="CUCI DEWE"),ROWS($E$5:E824)),"")</f>
        <v/>
      </c>
      <c r="F824" s="5" t="n"/>
    </row>
    <row r="825">
      <c r="A825" s="10">
        <f>IF($E825="","",INDEX('Input Transaksi'!$A:$A,$E825))</f>
        <v/>
      </c>
      <c r="B825" s="5">
        <f>IF($E825="","",INDEX('Input Transaksi'!$D:$D,$E825))</f>
        <v/>
      </c>
      <c r="C825">
        <f>IF($E825="","",INDEX('Input Transaksi'!$E:$E,$E825))</f>
        <v/>
      </c>
      <c r="D825" s="5">
        <f>IF($E825="","",INDEX('Input Transaksi'!$F:$F,$E825))</f>
        <v/>
      </c>
      <c r="E825">
        <f>IFERROR(AGGREGATE(15,6,ROW('Input Transaksi'!$B$5:$B$5000)/('Input Transaksi'!$B$5:$B$5000="CUCI DEWE"),ROWS($E$5:E825)),"")</f>
        <v/>
      </c>
      <c r="F825" s="5" t="n"/>
    </row>
    <row r="826">
      <c r="A826" s="10">
        <f>IF($E826="","",INDEX('Input Transaksi'!$A:$A,$E826))</f>
        <v/>
      </c>
      <c r="B826" s="5">
        <f>IF($E826="","",INDEX('Input Transaksi'!$D:$D,$E826))</f>
        <v/>
      </c>
      <c r="C826">
        <f>IF($E826="","",INDEX('Input Transaksi'!$E:$E,$E826))</f>
        <v/>
      </c>
      <c r="D826" s="5">
        <f>IF($E826="","",INDEX('Input Transaksi'!$F:$F,$E826))</f>
        <v/>
      </c>
      <c r="E826">
        <f>IFERROR(AGGREGATE(15,6,ROW('Input Transaksi'!$B$5:$B$5000)/('Input Transaksi'!$B$5:$B$5000="CUCI DEWE"),ROWS($E$5:E826)),"")</f>
        <v/>
      </c>
      <c r="F826" s="5" t="n"/>
    </row>
    <row r="827">
      <c r="A827" s="10">
        <f>IF($E827="","",INDEX('Input Transaksi'!$A:$A,$E827))</f>
        <v/>
      </c>
      <c r="B827" s="5">
        <f>IF($E827="","",INDEX('Input Transaksi'!$D:$D,$E827))</f>
        <v/>
      </c>
      <c r="C827">
        <f>IF($E827="","",INDEX('Input Transaksi'!$E:$E,$E827))</f>
        <v/>
      </c>
      <c r="D827" s="5">
        <f>IF($E827="","",INDEX('Input Transaksi'!$F:$F,$E827))</f>
        <v/>
      </c>
      <c r="E827">
        <f>IFERROR(AGGREGATE(15,6,ROW('Input Transaksi'!$B$5:$B$5000)/('Input Transaksi'!$B$5:$B$5000="CUCI DEWE"),ROWS($E$5:E827)),"")</f>
        <v/>
      </c>
      <c r="F827" s="5" t="n"/>
    </row>
    <row r="828">
      <c r="A828" s="10">
        <f>IF($E828="","",INDEX('Input Transaksi'!$A:$A,$E828))</f>
        <v/>
      </c>
      <c r="B828" s="5">
        <f>IF($E828="","",INDEX('Input Transaksi'!$D:$D,$E828))</f>
        <v/>
      </c>
      <c r="C828">
        <f>IF($E828="","",INDEX('Input Transaksi'!$E:$E,$E828))</f>
        <v/>
      </c>
      <c r="D828" s="5">
        <f>IF($E828="","",INDEX('Input Transaksi'!$F:$F,$E828))</f>
        <v/>
      </c>
      <c r="E828">
        <f>IFERROR(AGGREGATE(15,6,ROW('Input Transaksi'!$B$5:$B$5000)/('Input Transaksi'!$B$5:$B$5000="CUCI DEWE"),ROWS($E$5:E828)),"")</f>
        <v/>
      </c>
      <c r="F828" s="5" t="n"/>
    </row>
    <row r="829">
      <c r="A829" s="10">
        <f>IF($E829="","",INDEX('Input Transaksi'!$A:$A,$E829))</f>
        <v/>
      </c>
      <c r="B829" s="5">
        <f>IF($E829="","",INDEX('Input Transaksi'!$D:$D,$E829))</f>
        <v/>
      </c>
      <c r="C829">
        <f>IF($E829="","",INDEX('Input Transaksi'!$E:$E,$E829))</f>
        <v/>
      </c>
      <c r="D829" s="5">
        <f>IF($E829="","",INDEX('Input Transaksi'!$F:$F,$E829))</f>
        <v/>
      </c>
      <c r="E829">
        <f>IFERROR(AGGREGATE(15,6,ROW('Input Transaksi'!$B$5:$B$5000)/('Input Transaksi'!$B$5:$B$5000="CUCI DEWE"),ROWS($E$5:E829)),"")</f>
        <v/>
      </c>
      <c r="F829" s="5" t="n"/>
    </row>
    <row r="830">
      <c r="A830" s="10">
        <f>IF($E830="","",INDEX('Input Transaksi'!$A:$A,$E830))</f>
        <v/>
      </c>
      <c r="B830" s="5">
        <f>IF($E830="","",INDEX('Input Transaksi'!$D:$D,$E830))</f>
        <v/>
      </c>
      <c r="C830">
        <f>IF($E830="","",INDEX('Input Transaksi'!$E:$E,$E830))</f>
        <v/>
      </c>
      <c r="D830" s="5">
        <f>IF($E830="","",INDEX('Input Transaksi'!$F:$F,$E830))</f>
        <v/>
      </c>
      <c r="E830">
        <f>IFERROR(AGGREGATE(15,6,ROW('Input Transaksi'!$B$5:$B$5000)/('Input Transaksi'!$B$5:$B$5000="CUCI DEWE"),ROWS($E$5:E830)),"")</f>
        <v/>
      </c>
      <c r="F830" s="5" t="n"/>
    </row>
    <row r="831">
      <c r="A831" s="10">
        <f>IF($E831="","",INDEX('Input Transaksi'!$A:$A,$E831))</f>
        <v/>
      </c>
      <c r="B831" s="5">
        <f>IF($E831="","",INDEX('Input Transaksi'!$D:$D,$E831))</f>
        <v/>
      </c>
      <c r="C831">
        <f>IF($E831="","",INDEX('Input Transaksi'!$E:$E,$E831))</f>
        <v/>
      </c>
      <c r="D831" s="5">
        <f>IF($E831="","",INDEX('Input Transaksi'!$F:$F,$E831))</f>
        <v/>
      </c>
      <c r="E831">
        <f>IFERROR(AGGREGATE(15,6,ROW('Input Transaksi'!$B$5:$B$5000)/('Input Transaksi'!$B$5:$B$5000="CUCI DEWE"),ROWS($E$5:E831)),"")</f>
        <v/>
      </c>
      <c r="F831" s="5" t="n"/>
    </row>
    <row r="832">
      <c r="A832" s="10">
        <f>IF($E832="","",INDEX('Input Transaksi'!$A:$A,$E832))</f>
        <v/>
      </c>
      <c r="B832" s="5">
        <f>IF($E832="","",INDEX('Input Transaksi'!$D:$D,$E832))</f>
        <v/>
      </c>
      <c r="C832">
        <f>IF($E832="","",INDEX('Input Transaksi'!$E:$E,$E832))</f>
        <v/>
      </c>
      <c r="D832" s="5">
        <f>IF($E832="","",INDEX('Input Transaksi'!$F:$F,$E832))</f>
        <v/>
      </c>
      <c r="E832">
        <f>IFERROR(AGGREGATE(15,6,ROW('Input Transaksi'!$B$5:$B$5000)/('Input Transaksi'!$B$5:$B$5000="CUCI DEWE"),ROWS($E$5:E832)),"")</f>
        <v/>
      </c>
      <c r="F832" s="5" t="n"/>
    </row>
    <row r="833">
      <c r="A833" s="10">
        <f>IF($E833="","",INDEX('Input Transaksi'!$A:$A,$E833))</f>
        <v/>
      </c>
      <c r="B833" s="5">
        <f>IF($E833="","",INDEX('Input Transaksi'!$D:$D,$E833))</f>
        <v/>
      </c>
      <c r="C833">
        <f>IF($E833="","",INDEX('Input Transaksi'!$E:$E,$E833))</f>
        <v/>
      </c>
      <c r="D833" s="5">
        <f>IF($E833="","",INDEX('Input Transaksi'!$F:$F,$E833))</f>
        <v/>
      </c>
      <c r="E833">
        <f>IFERROR(AGGREGATE(15,6,ROW('Input Transaksi'!$B$5:$B$5000)/('Input Transaksi'!$B$5:$B$5000="CUCI DEWE"),ROWS($E$5:E833)),"")</f>
        <v/>
      </c>
      <c r="F833" s="5" t="n"/>
    </row>
    <row r="834">
      <c r="A834" s="10">
        <f>IF($E834="","",INDEX('Input Transaksi'!$A:$A,$E834))</f>
        <v/>
      </c>
      <c r="B834" s="5">
        <f>IF($E834="","",INDEX('Input Transaksi'!$D:$D,$E834))</f>
        <v/>
      </c>
      <c r="C834">
        <f>IF($E834="","",INDEX('Input Transaksi'!$E:$E,$E834))</f>
        <v/>
      </c>
      <c r="D834" s="5">
        <f>IF($E834="","",INDEX('Input Transaksi'!$F:$F,$E834))</f>
        <v/>
      </c>
      <c r="E834">
        <f>IFERROR(AGGREGATE(15,6,ROW('Input Transaksi'!$B$5:$B$5000)/('Input Transaksi'!$B$5:$B$5000="CUCI DEWE"),ROWS($E$5:E834)),"")</f>
        <v/>
      </c>
      <c r="F834" s="5" t="n"/>
    </row>
    <row r="835">
      <c r="A835" s="10">
        <f>IF($E835="","",INDEX('Input Transaksi'!$A:$A,$E835))</f>
        <v/>
      </c>
      <c r="B835" s="5">
        <f>IF($E835="","",INDEX('Input Transaksi'!$D:$D,$E835))</f>
        <v/>
      </c>
      <c r="C835">
        <f>IF($E835="","",INDEX('Input Transaksi'!$E:$E,$E835))</f>
        <v/>
      </c>
      <c r="D835" s="5">
        <f>IF($E835="","",INDEX('Input Transaksi'!$F:$F,$E835))</f>
        <v/>
      </c>
      <c r="E835">
        <f>IFERROR(AGGREGATE(15,6,ROW('Input Transaksi'!$B$5:$B$5000)/('Input Transaksi'!$B$5:$B$5000="CUCI DEWE"),ROWS($E$5:E835)),"")</f>
        <v/>
      </c>
      <c r="F835" s="5" t="n"/>
    </row>
    <row r="836">
      <c r="A836" s="10">
        <f>IF($E836="","",INDEX('Input Transaksi'!$A:$A,$E836))</f>
        <v/>
      </c>
      <c r="B836" s="5">
        <f>IF($E836="","",INDEX('Input Transaksi'!$D:$D,$E836))</f>
        <v/>
      </c>
      <c r="C836">
        <f>IF($E836="","",INDEX('Input Transaksi'!$E:$E,$E836))</f>
        <v/>
      </c>
      <c r="D836" s="5">
        <f>IF($E836="","",INDEX('Input Transaksi'!$F:$F,$E836))</f>
        <v/>
      </c>
      <c r="E836">
        <f>IFERROR(AGGREGATE(15,6,ROW('Input Transaksi'!$B$5:$B$5000)/('Input Transaksi'!$B$5:$B$5000="CUCI DEWE"),ROWS($E$5:E836)),"")</f>
        <v/>
      </c>
      <c r="F836" s="5" t="n"/>
    </row>
    <row r="837">
      <c r="A837" s="10">
        <f>IF($E837="","",INDEX('Input Transaksi'!$A:$A,$E837))</f>
        <v/>
      </c>
      <c r="B837" s="5">
        <f>IF($E837="","",INDEX('Input Transaksi'!$D:$D,$E837))</f>
        <v/>
      </c>
      <c r="C837">
        <f>IF($E837="","",INDEX('Input Transaksi'!$E:$E,$E837))</f>
        <v/>
      </c>
      <c r="D837" s="5">
        <f>IF($E837="","",INDEX('Input Transaksi'!$F:$F,$E837))</f>
        <v/>
      </c>
      <c r="E837">
        <f>IFERROR(AGGREGATE(15,6,ROW('Input Transaksi'!$B$5:$B$5000)/('Input Transaksi'!$B$5:$B$5000="CUCI DEWE"),ROWS($E$5:E837)),"")</f>
        <v/>
      </c>
      <c r="F837" s="5" t="n"/>
    </row>
    <row r="838">
      <c r="A838" s="10">
        <f>IF($E838="","",INDEX('Input Transaksi'!$A:$A,$E838))</f>
        <v/>
      </c>
      <c r="B838" s="5">
        <f>IF($E838="","",INDEX('Input Transaksi'!$D:$D,$E838))</f>
        <v/>
      </c>
      <c r="C838">
        <f>IF($E838="","",INDEX('Input Transaksi'!$E:$E,$E838))</f>
        <v/>
      </c>
      <c r="D838" s="5">
        <f>IF($E838="","",INDEX('Input Transaksi'!$F:$F,$E838))</f>
        <v/>
      </c>
      <c r="E838">
        <f>IFERROR(AGGREGATE(15,6,ROW('Input Transaksi'!$B$5:$B$5000)/('Input Transaksi'!$B$5:$B$5000="CUCI DEWE"),ROWS($E$5:E838)),"")</f>
        <v/>
      </c>
      <c r="F838" s="5" t="n"/>
    </row>
    <row r="839">
      <c r="A839" s="10">
        <f>IF($E839="","",INDEX('Input Transaksi'!$A:$A,$E839))</f>
        <v/>
      </c>
      <c r="B839" s="5">
        <f>IF($E839="","",INDEX('Input Transaksi'!$D:$D,$E839))</f>
        <v/>
      </c>
      <c r="C839">
        <f>IF($E839="","",INDEX('Input Transaksi'!$E:$E,$E839))</f>
        <v/>
      </c>
      <c r="D839" s="5">
        <f>IF($E839="","",INDEX('Input Transaksi'!$F:$F,$E839))</f>
        <v/>
      </c>
      <c r="E839">
        <f>IFERROR(AGGREGATE(15,6,ROW('Input Transaksi'!$B$5:$B$5000)/('Input Transaksi'!$B$5:$B$5000="CUCI DEWE"),ROWS($E$5:E839)),"")</f>
        <v/>
      </c>
      <c r="F839" s="5" t="n"/>
    </row>
    <row r="840">
      <c r="A840" s="10">
        <f>IF($E840="","",INDEX('Input Transaksi'!$A:$A,$E840))</f>
        <v/>
      </c>
      <c r="B840" s="5">
        <f>IF($E840="","",INDEX('Input Transaksi'!$D:$D,$E840))</f>
        <v/>
      </c>
      <c r="C840">
        <f>IF($E840="","",INDEX('Input Transaksi'!$E:$E,$E840))</f>
        <v/>
      </c>
      <c r="D840" s="5">
        <f>IF($E840="","",INDEX('Input Transaksi'!$F:$F,$E840))</f>
        <v/>
      </c>
      <c r="E840">
        <f>IFERROR(AGGREGATE(15,6,ROW('Input Transaksi'!$B$5:$B$5000)/('Input Transaksi'!$B$5:$B$5000="CUCI DEWE"),ROWS($E$5:E840)),"")</f>
        <v/>
      </c>
      <c r="F840" s="5" t="n"/>
    </row>
    <row r="841">
      <c r="A841" s="10">
        <f>IF($E841="","",INDEX('Input Transaksi'!$A:$A,$E841))</f>
        <v/>
      </c>
      <c r="B841" s="5">
        <f>IF($E841="","",INDEX('Input Transaksi'!$D:$D,$E841))</f>
        <v/>
      </c>
      <c r="C841">
        <f>IF($E841="","",INDEX('Input Transaksi'!$E:$E,$E841))</f>
        <v/>
      </c>
      <c r="D841" s="5">
        <f>IF($E841="","",INDEX('Input Transaksi'!$F:$F,$E841))</f>
        <v/>
      </c>
      <c r="E841">
        <f>IFERROR(AGGREGATE(15,6,ROW('Input Transaksi'!$B$5:$B$5000)/('Input Transaksi'!$B$5:$B$5000="CUCI DEWE"),ROWS($E$5:E841)),"")</f>
        <v/>
      </c>
      <c r="F841" s="5" t="n"/>
    </row>
    <row r="842">
      <c r="A842" s="10">
        <f>IF($E842="","",INDEX('Input Transaksi'!$A:$A,$E842))</f>
        <v/>
      </c>
      <c r="B842" s="5">
        <f>IF($E842="","",INDEX('Input Transaksi'!$D:$D,$E842))</f>
        <v/>
      </c>
      <c r="C842">
        <f>IF($E842="","",INDEX('Input Transaksi'!$E:$E,$E842))</f>
        <v/>
      </c>
      <c r="D842" s="5">
        <f>IF($E842="","",INDEX('Input Transaksi'!$F:$F,$E842))</f>
        <v/>
      </c>
      <c r="E842">
        <f>IFERROR(AGGREGATE(15,6,ROW('Input Transaksi'!$B$5:$B$5000)/('Input Transaksi'!$B$5:$B$5000="CUCI DEWE"),ROWS($E$5:E842)),"")</f>
        <v/>
      </c>
      <c r="F842" s="5" t="n"/>
    </row>
    <row r="843">
      <c r="A843" s="10">
        <f>IF($E843="","",INDEX('Input Transaksi'!$A:$A,$E843))</f>
        <v/>
      </c>
      <c r="B843" s="5">
        <f>IF($E843="","",INDEX('Input Transaksi'!$D:$D,$E843))</f>
        <v/>
      </c>
      <c r="C843">
        <f>IF($E843="","",INDEX('Input Transaksi'!$E:$E,$E843))</f>
        <v/>
      </c>
      <c r="D843" s="5">
        <f>IF($E843="","",INDEX('Input Transaksi'!$F:$F,$E843))</f>
        <v/>
      </c>
      <c r="E843">
        <f>IFERROR(AGGREGATE(15,6,ROW('Input Transaksi'!$B$5:$B$5000)/('Input Transaksi'!$B$5:$B$5000="CUCI DEWE"),ROWS($E$5:E843)),"")</f>
        <v/>
      </c>
      <c r="F843" s="5" t="n"/>
    </row>
    <row r="844">
      <c r="A844" s="10">
        <f>IF($E844="","",INDEX('Input Transaksi'!$A:$A,$E844))</f>
        <v/>
      </c>
      <c r="B844" s="5">
        <f>IF($E844="","",INDEX('Input Transaksi'!$D:$D,$E844))</f>
        <v/>
      </c>
      <c r="C844">
        <f>IF($E844="","",INDEX('Input Transaksi'!$E:$E,$E844))</f>
        <v/>
      </c>
      <c r="D844" s="5">
        <f>IF($E844="","",INDEX('Input Transaksi'!$F:$F,$E844))</f>
        <v/>
      </c>
      <c r="E844">
        <f>IFERROR(AGGREGATE(15,6,ROW('Input Transaksi'!$B$5:$B$5000)/('Input Transaksi'!$B$5:$B$5000="CUCI DEWE"),ROWS($E$5:E844)),"")</f>
        <v/>
      </c>
      <c r="F844" s="5" t="n"/>
    </row>
    <row r="845">
      <c r="A845" s="10">
        <f>IF($E845="","",INDEX('Input Transaksi'!$A:$A,$E845))</f>
        <v/>
      </c>
      <c r="B845" s="5">
        <f>IF($E845="","",INDEX('Input Transaksi'!$D:$D,$E845))</f>
        <v/>
      </c>
      <c r="C845">
        <f>IF($E845="","",INDEX('Input Transaksi'!$E:$E,$E845))</f>
        <v/>
      </c>
      <c r="D845" s="5">
        <f>IF($E845="","",INDEX('Input Transaksi'!$F:$F,$E845))</f>
        <v/>
      </c>
      <c r="E845">
        <f>IFERROR(AGGREGATE(15,6,ROW('Input Transaksi'!$B$5:$B$5000)/('Input Transaksi'!$B$5:$B$5000="CUCI DEWE"),ROWS($E$5:E845)),"")</f>
        <v/>
      </c>
      <c r="F845" s="5" t="n"/>
    </row>
    <row r="846">
      <c r="A846" s="10">
        <f>IF($E846="","",INDEX('Input Transaksi'!$A:$A,$E846))</f>
        <v/>
      </c>
      <c r="B846" s="5">
        <f>IF($E846="","",INDEX('Input Transaksi'!$D:$D,$E846))</f>
        <v/>
      </c>
      <c r="C846">
        <f>IF($E846="","",INDEX('Input Transaksi'!$E:$E,$E846))</f>
        <v/>
      </c>
      <c r="D846" s="5">
        <f>IF($E846="","",INDEX('Input Transaksi'!$F:$F,$E846))</f>
        <v/>
      </c>
      <c r="E846">
        <f>IFERROR(AGGREGATE(15,6,ROW('Input Transaksi'!$B$5:$B$5000)/('Input Transaksi'!$B$5:$B$5000="CUCI DEWE"),ROWS($E$5:E846)),"")</f>
        <v/>
      </c>
      <c r="F846" s="5" t="n"/>
    </row>
    <row r="847">
      <c r="A847" s="10">
        <f>IF($E847="","",INDEX('Input Transaksi'!$A:$A,$E847))</f>
        <v/>
      </c>
      <c r="B847" s="5">
        <f>IF($E847="","",INDEX('Input Transaksi'!$D:$D,$E847))</f>
        <v/>
      </c>
      <c r="C847">
        <f>IF($E847="","",INDEX('Input Transaksi'!$E:$E,$E847))</f>
        <v/>
      </c>
      <c r="D847" s="5">
        <f>IF($E847="","",INDEX('Input Transaksi'!$F:$F,$E847))</f>
        <v/>
      </c>
      <c r="E847">
        <f>IFERROR(AGGREGATE(15,6,ROW('Input Transaksi'!$B$5:$B$5000)/('Input Transaksi'!$B$5:$B$5000="CUCI DEWE"),ROWS($E$5:E847)),"")</f>
        <v/>
      </c>
      <c r="F847" s="5" t="n"/>
    </row>
    <row r="848">
      <c r="A848" s="10">
        <f>IF($E848="","",INDEX('Input Transaksi'!$A:$A,$E848))</f>
        <v/>
      </c>
      <c r="B848" s="5">
        <f>IF($E848="","",INDEX('Input Transaksi'!$D:$D,$E848))</f>
        <v/>
      </c>
      <c r="C848">
        <f>IF($E848="","",INDEX('Input Transaksi'!$E:$E,$E848))</f>
        <v/>
      </c>
      <c r="D848" s="5">
        <f>IF($E848="","",INDEX('Input Transaksi'!$F:$F,$E848))</f>
        <v/>
      </c>
      <c r="E848">
        <f>IFERROR(AGGREGATE(15,6,ROW('Input Transaksi'!$B$5:$B$5000)/('Input Transaksi'!$B$5:$B$5000="CUCI DEWE"),ROWS($E$5:E848)),"")</f>
        <v/>
      </c>
      <c r="F848" s="5" t="n"/>
    </row>
    <row r="849">
      <c r="A849" s="10">
        <f>IF($E849="","",INDEX('Input Transaksi'!$A:$A,$E849))</f>
        <v/>
      </c>
      <c r="B849" s="5">
        <f>IF($E849="","",INDEX('Input Transaksi'!$D:$D,$E849))</f>
        <v/>
      </c>
      <c r="C849">
        <f>IF($E849="","",INDEX('Input Transaksi'!$E:$E,$E849))</f>
        <v/>
      </c>
      <c r="D849" s="5">
        <f>IF($E849="","",INDEX('Input Transaksi'!$F:$F,$E849))</f>
        <v/>
      </c>
      <c r="E849">
        <f>IFERROR(AGGREGATE(15,6,ROW('Input Transaksi'!$B$5:$B$5000)/('Input Transaksi'!$B$5:$B$5000="CUCI DEWE"),ROWS($E$5:E849)),"")</f>
        <v/>
      </c>
      <c r="F849" s="5" t="n"/>
    </row>
    <row r="850">
      <c r="A850" s="10">
        <f>IF($E850="","",INDEX('Input Transaksi'!$A:$A,$E850))</f>
        <v/>
      </c>
      <c r="B850" s="5">
        <f>IF($E850="","",INDEX('Input Transaksi'!$D:$D,$E850))</f>
        <v/>
      </c>
      <c r="C850">
        <f>IF($E850="","",INDEX('Input Transaksi'!$E:$E,$E850))</f>
        <v/>
      </c>
      <c r="D850" s="5">
        <f>IF($E850="","",INDEX('Input Transaksi'!$F:$F,$E850))</f>
        <v/>
      </c>
      <c r="E850">
        <f>IFERROR(AGGREGATE(15,6,ROW('Input Transaksi'!$B$5:$B$5000)/('Input Transaksi'!$B$5:$B$5000="CUCI DEWE"),ROWS($E$5:E850)),"")</f>
        <v/>
      </c>
      <c r="F850" s="5" t="n"/>
    </row>
    <row r="851">
      <c r="A851" s="10">
        <f>IF($E851="","",INDEX('Input Transaksi'!$A:$A,$E851))</f>
        <v/>
      </c>
      <c r="B851" s="5">
        <f>IF($E851="","",INDEX('Input Transaksi'!$D:$D,$E851))</f>
        <v/>
      </c>
      <c r="C851">
        <f>IF($E851="","",INDEX('Input Transaksi'!$E:$E,$E851))</f>
        <v/>
      </c>
      <c r="D851" s="5">
        <f>IF($E851="","",INDEX('Input Transaksi'!$F:$F,$E851))</f>
        <v/>
      </c>
      <c r="E851">
        <f>IFERROR(AGGREGATE(15,6,ROW('Input Transaksi'!$B$5:$B$5000)/('Input Transaksi'!$B$5:$B$5000="CUCI DEWE"),ROWS($E$5:E851)),"")</f>
        <v/>
      </c>
      <c r="F851" s="5" t="n"/>
    </row>
    <row r="852">
      <c r="A852" s="10">
        <f>IF($E852="","",INDEX('Input Transaksi'!$A:$A,$E852))</f>
        <v/>
      </c>
      <c r="B852" s="5">
        <f>IF($E852="","",INDEX('Input Transaksi'!$D:$D,$E852))</f>
        <v/>
      </c>
      <c r="C852">
        <f>IF($E852="","",INDEX('Input Transaksi'!$E:$E,$E852))</f>
        <v/>
      </c>
      <c r="D852" s="5">
        <f>IF($E852="","",INDEX('Input Transaksi'!$F:$F,$E852))</f>
        <v/>
      </c>
      <c r="E852">
        <f>IFERROR(AGGREGATE(15,6,ROW('Input Transaksi'!$B$5:$B$5000)/('Input Transaksi'!$B$5:$B$5000="CUCI DEWE"),ROWS($E$5:E852)),"")</f>
        <v/>
      </c>
      <c r="F852" s="5" t="n"/>
    </row>
    <row r="853">
      <c r="A853" s="10">
        <f>IF($E853="","",INDEX('Input Transaksi'!$A:$A,$E853))</f>
        <v/>
      </c>
      <c r="B853" s="5">
        <f>IF($E853="","",INDEX('Input Transaksi'!$D:$D,$E853))</f>
        <v/>
      </c>
      <c r="C853">
        <f>IF($E853="","",INDEX('Input Transaksi'!$E:$E,$E853))</f>
        <v/>
      </c>
      <c r="D853" s="5">
        <f>IF($E853="","",INDEX('Input Transaksi'!$F:$F,$E853))</f>
        <v/>
      </c>
      <c r="E853">
        <f>IFERROR(AGGREGATE(15,6,ROW('Input Transaksi'!$B$5:$B$5000)/('Input Transaksi'!$B$5:$B$5000="CUCI DEWE"),ROWS($E$5:E853)),"")</f>
        <v/>
      </c>
      <c r="F853" s="5" t="n"/>
    </row>
    <row r="854">
      <c r="A854" s="10">
        <f>IF($E854="","",INDEX('Input Transaksi'!$A:$A,$E854))</f>
        <v/>
      </c>
      <c r="B854" s="5">
        <f>IF($E854="","",INDEX('Input Transaksi'!$D:$D,$E854))</f>
        <v/>
      </c>
      <c r="C854">
        <f>IF($E854="","",INDEX('Input Transaksi'!$E:$E,$E854))</f>
        <v/>
      </c>
      <c r="D854" s="5">
        <f>IF($E854="","",INDEX('Input Transaksi'!$F:$F,$E854))</f>
        <v/>
      </c>
      <c r="E854">
        <f>IFERROR(AGGREGATE(15,6,ROW('Input Transaksi'!$B$5:$B$5000)/('Input Transaksi'!$B$5:$B$5000="CUCI DEWE"),ROWS($E$5:E854)),"")</f>
        <v/>
      </c>
      <c r="F854" s="5" t="n"/>
    </row>
    <row r="855">
      <c r="A855" s="10">
        <f>IF($E855="","",INDEX('Input Transaksi'!$A:$A,$E855))</f>
        <v/>
      </c>
      <c r="B855" s="5">
        <f>IF($E855="","",INDEX('Input Transaksi'!$D:$D,$E855))</f>
        <v/>
      </c>
      <c r="C855">
        <f>IF($E855="","",INDEX('Input Transaksi'!$E:$E,$E855))</f>
        <v/>
      </c>
      <c r="D855" s="5">
        <f>IF($E855="","",INDEX('Input Transaksi'!$F:$F,$E855))</f>
        <v/>
      </c>
      <c r="E855">
        <f>IFERROR(AGGREGATE(15,6,ROW('Input Transaksi'!$B$5:$B$5000)/('Input Transaksi'!$B$5:$B$5000="CUCI DEWE"),ROWS($E$5:E855)),"")</f>
        <v/>
      </c>
      <c r="F855" s="5" t="n"/>
    </row>
    <row r="856">
      <c r="A856" s="10">
        <f>IF($E856="","",INDEX('Input Transaksi'!$A:$A,$E856))</f>
        <v/>
      </c>
      <c r="B856" s="5">
        <f>IF($E856="","",INDEX('Input Transaksi'!$D:$D,$E856))</f>
        <v/>
      </c>
      <c r="C856">
        <f>IF($E856="","",INDEX('Input Transaksi'!$E:$E,$E856))</f>
        <v/>
      </c>
      <c r="D856" s="5">
        <f>IF($E856="","",INDEX('Input Transaksi'!$F:$F,$E856))</f>
        <v/>
      </c>
      <c r="E856">
        <f>IFERROR(AGGREGATE(15,6,ROW('Input Transaksi'!$B$5:$B$5000)/('Input Transaksi'!$B$5:$B$5000="CUCI DEWE"),ROWS($E$5:E856)),"")</f>
        <v/>
      </c>
      <c r="F856" s="5" t="n"/>
    </row>
    <row r="857">
      <c r="A857" s="10">
        <f>IF($E857="","",INDEX('Input Transaksi'!$A:$A,$E857))</f>
        <v/>
      </c>
      <c r="B857" s="5">
        <f>IF($E857="","",INDEX('Input Transaksi'!$D:$D,$E857))</f>
        <v/>
      </c>
      <c r="C857">
        <f>IF($E857="","",INDEX('Input Transaksi'!$E:$E,$E857))</f>
        <v/>
      </c>
      <c r="D857" s="5">
        <f>IF($E857="","",INDEX('Input Transaksi'!$F:$F,$E857))</f>
        <v/>
      </c>
      <c r="E857">
        <f>IFERROR(AGGREGATE(15,6,ROW('Input Transaksi'!$B$5:$B$5000)/('Input Transaksi'!$B$5:$B$5000="CUCI DEWE"),ROWS($E$5:E857)),"")</f>
        <v/>
      </c>
      <c r="F857" s="5" t="n"/>
    </row>
    <row r="858">
      <c r="A858" s="10">
        <f>IF($E858="","",INDEX('Input Transaksi'!$A:$A,$E858))</f>
        <v/>
      </c>
      <c r="B858" s="5">
        <f>IF($E858="","",INDEX('Input Transaksi'!$D:$D,$E858))</f>
        <v/>
      </c>
      <c r="C858">
        <f>IF($E858="","",INDEX('Input Transaksi'!$E:$E,$E858))</f>
        <v/>
      </c>
      <c r="D858" s="5">
        <f>IF($E858="","",INDEX('Input Transaksi'!$F:$F,$E858))</f>
        <v/>
      </c>
      <c r="E858">
        <f>IFERROR(AGGREGATE(15,6,ROW('Input Transaksi'!$B$5:$B$5000)/('Input Transaksi'!$B$5:$B$5000="CUCI DEWE"),ROWS($E$5:E858)),"")</f>
        <v/>
      </c>
      <c r="F858" s="5" t="n"/>
    </row>
    <row r="859">
      <c r="A859" s="10">
        <f>IF($E859="","",INDEX('Input Transaksi'!$A:$A,$E859))</f>
        <v/>
      </c>
      <c r="B859" s="5">
        <f>IF($E859="","",INDEX('Input Transaksi'!$D:$D,$E859))</f>
        <v/>
      </c>
      <c r="C859">
        <f>IF($E859="","",INDEX('Input Transaksi'!$E:$E,$E859))</f>
        <v/>
      </c>
      <c r="D859" s="5">
        <f>IF($E859="","",INDEX('Input Transaksi'!$F:$F,$E859))</f>
        <v/>
      </c>
      <c r="E859">
        <f>IFERROR(AGGREGATE(15,6,ROW('Input Transaksi'!$B$5:$B$5000)/('Input Transaksi'!$B$5:$B$5000="CUCI DEWE"),ROWS($E$5:E859)),"")</f>
        <v/>
      </c>
      <c r="F859" s="5" t="n"/>
    </row>
    <row r="860">
      <c r="A860" s="10">
        <f>IF($E860="","",INDEX('Input Transaksi'!$A:$A,$E860))</f>
        <v/>
      </c>
      <c r="B860" s="5">
        <f>IF($E860="","",INDEX('Input Transaksi'!$D:$D,$E860))</f>
        <v/>
      </c>
      <c r="C860">
        <f>IF($E860="","",INDEX('Input Transaksi'!$E:$E,$E860))</f>
        <v/>
      </c>
      <c r="D860" s="5">
        <f>IF($E860="","",INDEX('Input Transaksi'!$F:$F,$E860))</f>
        <v/>
      </c>
      <c r="E860">
        <f>IFERROR(AGGREGATE(15,6,ROW('Input Transaksi'!$B$5:$B$5000)/('Input Transaksi'!$B$5:$B$5000="CUCI DEWE"),ROWS($E$5:E860)),"")</f>
        <v/>
      </c>
      <c r="F860" s="5" t="n"/>
    </row>
    <row r="861">
      <c r="A861" s="10">
        <f>IF($E861="","",INDEX('Input Transaksi'!$A:$A,$E861))</f>
        <v/>
      </c>
      <c r="B861" s="5">
        <f>IF($E861="","",INDEX('Input Transaksi'!$D:$D,$E861))</f>
        <v/>
      </c>
      <c r="C861">
        <f>IF($E861="","",INDEX('Input Transaksi'!$E:$E,$E861))</f>
        <v/>
      </c>
      <c r="D861" s="5">
        <f>IF($E861="","",INDEX('Input Transaksi'!$F:$F,$E861))</f>
        <v/>
      </c>
      <c r="E861">
        <f>IFERROR(AGGREGATE(15,6,ROW('Input Transaksi'!$B$5:$B$5000)/('Input Transaksi'!$B$5:$B$5000="CUCI DEWE"),ROWS($E$5:E861)),"")</f>
        <v/>
      </c>
      <c r="F861" s="5" t="n"/>
    </row>
    <row r="862">
      <c r="A862" s="10">
        <f>IF($E862="","",INDEX('Input Transaksi'!$A:$A,$E862))</f>
        <v/>
      </c>
      <c r="B862" s="5">
        <f>IF($E862="","",INDEX('Input Transaksi'!$D:$D,$E862))</f>
        <v/>
      </c>
      <c r="C862">
        <f>IF($E862="","",INDEX('Input Transaksi'!$E:$E,$E862))</f>
        <v/>
      </c>
      <c r="D862" s="5">
        <f>IF($E862="","",INDEX('Input Transaksi'!$F:$F,$E862))</f>
        <v/>
      </c>
      <c r="E862">
        <f>IFERROR(AGGREGATE(15,6,ROW('Input Transaksi'!$B$5:$B$5000)/('Input Transaksi'!$B$5:$B$5000="CUCI DEWE"),ROWS($E$5:E862)),"")</f>
        <v/>
      </c>
      <c r="F862" s="5" t="n"/>
    </row>
    <row r="863">
      <c r="A863" s="10">
        <f>IF($E863="","",INDEX('Input Transaksi'!$A:$A,$E863))</f>
        <v/>
      </c>
      <c r="B863" s="5">
        <f>IF($E863="","",INDEX('Input Transaksi'!$D:$D,$E863))</f>
        <v/>
      </c>
      <c r="C863">
        <f>IF($E863="","",INDEX('Input Transaksi'!$E:$E,$E863))</f>
        <v/>
      </c>
      <c r="D863" s="5">
        <f>IF($E863="","",INDEX('Input Transaksi'!$F:$F,$E863))</f>
        <v/>
      </c>
      <c r="E863">
        <f>IFERROR(AGGREGATE(15,6,ROW('Input Transaksi'!$B$5:$B$5000)/('Input Transaksi'!$B$5:$B$5000="CUCI DEWE"),ROWS($E$5:E863)),"")</f>
        <v/>
      </c>
      <c r="F863" s="5" t="n"/>
    </row>
    <row r="864">
      <c r="A864" s="10">
        <f>IF($E864="","",INDEX('Input Transaksi'!$A:$A,$E864))</f>
        <v/>
      </c>
      <c r="B864" s="5">
        <f>IF($E864="","",INDEX('Input Transaksi'!$D:$D,$E864))</f>
        <v/>
      </c>
      <c r="C864">
        <f>IF($E864="","",INDEX('Input Transaksi'!$E:$E,$E864))</f>
        <v/>
      </c>
      <c r="D864" s="5">
        <f>IF($E864="","",INDEX('Input Transaksi'!$F:$F,$E864))</f>
        <v/>
      </c>
      <c r="E864">
        <f>IFERROR(AGGREGATE(15,6,ROW('Input Transaksi'!$B$5:$B$5000)/('Input Transaksi'!$B$5:$B$5000="CUCI DEWE"),ROWS($E$5:E864)),"")</f>
        <v/>
      </c>
      <c r="F864" s="5" t="n"/>
    </row>
    <row r="865">
      <c r="A865" s="10">
        <f>IF($E865="","",INDEX('Input Transaksi'!$A:$A,$E865))</f>
        <v/>
      </c>
      <c r="B865" s="5">
        <f>IF($E865="","",INDEX('Input Transaksi'!$D:$D,$E865))</f>
        <v/>
      </c>
      <c r="C865">
        <f>IF($E865="","",INDEX('Input Transaksi'!$E:$E,$E865))</f>
        <v/>
      </c>
      <c r="D865" s="5">
        <f>IF($E865="","",INDEX('Input Transaksi'!$F:$F,$E865))</f>
        <v/>
      </c>
      <c r="E865">
        <f>IFERROR(AGGREGATE(15,6,ROW('Input Transaksi'!$B$5:$B$5000)/('Input Transaksi'!$B$5:$B$5000="CUCI DEWE"),ROWS($E$5:E865)),"")</f>
        <v/>
      </c>
      <c r="F865" s="5" t="n"/>
    </row>
    <row r="866">
      <c r="A866" s="10">
        <f>IF($E866="","",INDEX('Input Transaksi'!$A:$A,$E866))</f>
        <v/>
      </c>
      <c r="B866" s="5">
        <f>IF($E866="","",INDEX('Input Transaksi'!$D:$D,$E866))</f>
        <v/>
      </c>
      <c r="C866">
        <f>IF($E866="","",INDEX('Input Transaksi'!$E:$E,$E866))</f>
        <v/>
      </c>
      <c r="D866" s="5">
        <f>IF($E866="","",INDEX('Input Transaksi'!$F:$F,$E866))</f>
        <v/>
      </c>
      <c r="E866">
        <f>IFERROR(AGGREGATE(15,6,ROW('Input Transaksi'!$B$5:$B$5000)/('Input Transaksi'!$B$5:$B$5000="CUCI DEWE"),ROWS($E$5:E866)),"")</f>
        <v/>
      </c>
      <c r="F866" s="5" t="n"/>
    </row>
    <row r="867">
      <c r="A867" s="10">
        <f>IF($E867="","",INDEX('Input Transaksi'!$A:$A,$E867))</f>
        <v/>
      </c>
      <c r="B867" s="5">
        <f>IF($E867="","",INDEX('Input Transaksi'!$D:$D,$E867))</f>
        <v/>
      </c>
      <c r="C867">
        <f>IF($E867="","",INDEX('Input Transaksi'!$E:$E,$E867))</f>
        <v/>
      </c>
      <c r="D867" s="5">
        <f>IF($E867="","",INDEX('Input Transaksi'!$F:$F,$E867))</f>
        <v/>
      </c>
      <c r="E867">
        <f>IFERROR(AGGREGATE(15,6,ROW('Input Transaksi'!$B$5:$B$5000)/('Input Transaksi'!$B$5:$B$5000="CUCI DEWE"),ROWS($E$5:E867)),"")</f>
        <v/>
      </c>
      <c r="F867" s="5" t="n"/>
    </row>
    <row r="868">
      <c r="A868" s="10">
        <f>IF($E868="","",INDEX('Input Transaksi'!$A:$A,$E868))</f>
        <v/>
      </c>
      <c r="B868" s="5">
        <f>IF($E868="","",INDEX('Input Transaksi'!$D:$D,$E868))</f>
        <v/>
      </c>
      <c r="C868">
        <f>IF($E868="","",INDEX('Input Transaksi'!$E:$E,$E868))</f>
        <v/>
      </c>
      <c r="D868" s="5">
        <f>IF($E868="","",INDEX('Input Transaksi'!$F:$F,$E868))</f>
        <v/>
      </c>
      <c r="E868">
        <f>IFERROR(AGGREGATE(15,6,ROW('Input Transaksi'!$B$5:$B$5000)/('Input Transaksi'!$B$5:$B$5000="CUCI DEWE"),ROWS($E$5:E868)),"")</f>
        <v/>
      </c>
      <c r="F868" s="5" t="n"/>
    </row>
    <row r="869">
      <c r="A869" s="10">
        <f>IF($E869="","",INDEX('Input Transaksi'!$A:$A,$E869))</f>
        <v/>
      </c>
      <c r="B869" s="5">
        <f>IF($E869="","",INDEX('Input Transaksi'!$D:$D,$E869))</f>
        <v/>
      </c>
      <c r="C869">
        <f>IF($E869="","",INDEX('Input Transaksi'!$E:$E,$E869))</f>
        <v/>
      </c>
      <c r="D869" s="5">
        <f>IF($E869="","",INDEX('Input Transaksi'!$F:$F,$E869))</f>
        <v/>
      </c>
      <c r="E869">
        <f>IFERROR(AGGREGATE(15,6,ROW('Input Transaksi'!$B$5:$B$5000)/('Input Transaksi'!$B$5:$B$5000="CUCI DEWE"),ROWS($E$5:E869)),"")</f>
        <v/>
      </c>
      <c r="F869" s="5" t="n"/>
    </row>
    <row r="870">
      <c r="A870" s="10">
        <f>IF($E870="","",INDEX('Input Transaksi'!$A:$A,$E870))</f>
        <v/>
      </c>
      <c r="B870" s="5">
        <f>IF($E870="","",INDEX('Input Transaksi'!$D:$D,$E870))</f>
        <v/>
      </c>
      <c r="C870">
        <f>IF($E870="","",INDEX('Input Transaksi'!$E:$E,$E870))</f>
        <v/>
      </c>
      <c r="D870" s="5">
        <f>IF($E870="","",INDEX('Input Transaksi'!$F:$F,$E870))</f>
        <v/>
      </c>
      <c r="E870">
        <f>IFERROR(AGGREGATE(15,6,ROW('Input Transaksi'!$B$5:$B$5000)/('Input Transaksi'!$B$5:$B$5000="CUCI DEWE"),ROWS($E$5:E870)),"")</f>
        <v/>
      </c>
      <c r="F870" s="5" t="n"/>
    </row>
    <row r="871">
      <c r="A871" s="10">
        <f>IF($E871="","",INDEX('Input Transaksi'!$A:$A,$E871))</f>
        <v/>
      </c>
      <c r="B871" s="5">
        <f>IF($E871="","",INDEX('Input Transaksi'!$D:$D,$E871))</f>
        <v/>
      </c>
      <c r="C871">
        <f>IF($E871="","",INDEX('Input Transaksi'!$E:$E,$E871))</f>
        <v/>
      </c>
      <c r="D871" s="5">
        <f>IF($E871="","",INDEX('Input Transaksi'!$F:$F,$E871))</f>
        <v/>
      </c>
      <c r="E871">
        <f>IFERROR(AGGREGATE(15,6,ROW('Input Transaksi'!$B$5:$B$5000)/('Input Transaksi'!$B$5:$B$5000="CUCI DEWE"),ROWS($E$5:E871)),"")</f>
        <v/>
      </c>
      <c r="F871" s="5" t="n"/>
    </row>
    <row r="872">
      <c r="A872" s="10">
        <f>IF($E872="","",INDEX('Input Transaksi'!$A:$A,$E872))</f>
        <v/>
      </c>
      <c r="B872" s="5">
        <f>IF($E872="","",INDEX('Input Transaksi'!$D:$D,$E872))</f>
        <v/>
      </c>
      <c r="C872">
        <f>IF($E872="","",INDEX('Input Transaksi'!$E:$E,$E872))</f>
        <v/>
      </c>
      <c r="D872" s="5">
        <f>IF($E872="","",INDEX('Input Transaksi'!$F:$F,$E872))</f>
        <v/>
      </c>
      <c r="E872">
        <f>IFERROR(AGGREGATE(15,6,ROW('Input Transaksi'!$B$5:$B$5000)/('Input Transaksi'!$B$5:$B$5000="CUCI DEWE"),ROWS($E$5:E872)),"")</f>
        <v/>
      </c>
      <c r="F872" s="5" t="n"/>
    </row>
    <row r="873">
      <c r="A873" s="10">
        <f>IF($E873="","",INDEX('Input Transaksi'!$A:$A,$E873))</f>
        <v/>
      </c>
      <c r="B873" s="5">
        <f>IF($E873="","",INDEX('Input Transaksi'!$D:$D,$E873))</f>
        <v/>
      </c>
      <c r="C873">
        <f>IF($E873="","",INDEX('Input Transaksi'!$E:$E,$E873))</f>
        <v/>
      </c>
      <c r="D873" s="5">
        <f>IF($E873="","",INDEX('Input Transaksi'!$F:$F,$E873))</f>
        <v/>
      </c>
      <c r="E873">
        <f>IFERROR(AGGREGATE(15,6,ROW('Input Transaksi'!$B$5:$B$5000)/('Input Transaksi'!$B$5:$B$5000="CUCI DEWE"),ROWS($E$5:E873)),"")</f>
        <v/>
      </c>
      <c r="F873" s="5" t="n"/>
    </row>
    <row r="874">
      <c r="A874" s="10">
        <f>IF($E874="","",INDEX('Input Transaksi'!$A:$A,$E874))</f>
        <v/>
      </c>
      <c r="B874" s="5">
        <f>IF($E874="","",INDEX('Input Transaksi'!$D:$D,$E874))</f>
        <v/>
      </c>
      <c r="C874">
        <f>IF($E874="","",INDEX('Input Transaksi'!$E:$E,$E874))</f>
        <v/>
      </c>
      <c r="D874" s="5">
        <f>IF($E874="","",INDEX('Input Transaksi'!$F:$F,$E874))</f>
        <v/>
      </c>
      <c r="E874">
        <f>IFERROR(AGGREGATE(15,6,ROW('Input Transaksi'!$B$5:$B$5000)/('Input Transaksi'!$B$5:$B$5000="CUCI DEWE"),ROWS($E$5:E874)),"")</f>
        <v/>
      </c>
      <c r="F874" s="5" t="n"/>
    </row>
    <row r="875">
      <c r="A875" s="10">
        <f>IF($E875="","",INDEX('Input Transaksi'!$A:$A,$E875))</f>
        <v/>
      </c>
      <c r="B875" s="5">
        <f>IF($E875="","",INDEX('Input Transaksi'!$D:$D,$E875))</f>
        <v/>
      </c>
      <c r="C875">
        <f>IF($E875="","",INDEX('Input Transaksi'!$E:$E,$E875))</f>
        <v/>
      </c>
      <c r="D875" s="5">
        <f>IF($E875="","",INDEX('Input Transaksi'!$F:$F,$E875))</f>
        <v/>
      </c>
      <c r="E875">
        <f>IFERROR(AGGREGATE(15,6,ROW('Input Transaksi'!$B$5:$B$5000)/('Input Transaksi'!$B$5:$B$5000="CUCI DEWE"),ROWS($E$5:E875)),"")</f>
        <v/>
      </c>
      <c r="F875" s="5" t="n"/>
    </row>
    <row r="876">
      <c r="A876" s="10">
        <f>IF($E876="","",INDEX('Input Transaksi'!$A:$A,$E876))</f>
        <v/>
      </c>
      <c r="B876" s="5">
        <f>IF($E876="","",INDEX('Input Transaksi'!$D:$D,$E876))</f>
        <v/>
      </c>
      <c r="C876">
        <f>IF($E876="","",INDEX('Input Transaksi'!$E:$E,$E876))</f>
        <v/>
      </c>
      <c r="D876" s="5">
        <f>IF($E876="","",INDEX('Input Transaksi'!$F:$F,$E876))</f>
        <v/>
      </c>
      <c r="E876">
        <f>IFERROR(AGGREGATE(15,6,ROW('Input Transaksi'!$B$5:$B$5000)/('Input Transaksi'!$B$5:$B$5000="CUCI DEWE"),ROWS($E$5:E876)),"")</f>
        <v/>
      </c>
      <c r="F876" s="5" t="n"/>
    </row>
    <row r="877">
      <c r="A877" s="10">
        <f>IF($E877="","",INDEX('Input Transaksi'!$A:$A,$E877))</f>
        <v/>
      </c>
      <c r="B877" s="5">
        <f>IF($E877="","",INDEX('Input Transaksi'!$D:$D,$E877))</f>
        <v/>
      </c>
      <c r="C877">
        <f>IF($E877="","",INDEX('Input Transaksi'!$E:$E,$E877))</f>
        <v/>
      </c>
      <c r="D877" s="5">
        <f>IF($E877="","",INDEX('Input Transaksi'!$F:$F,$E877))</f>
        <v/>
      </c>
      <c r="E877">
        <f>IFERROR(AGGREGATE(15,6,ROW('Input Transaksi'!$B$5:$B$5000)/('Input Transaksi'!$B$5:$B$5000="CUCI DEWE"),ROWS($E$5:E877)),"")</f>
        <v/>
      </c>
      <c r="F877" s="5" t="n"/>
    </row>
    <row r="878">
      <c r="A878" s="10">
        <f>IF($E878="","",INDEX('Input Transaksi'!$A:$A,$E878))</f>
        <v/>
      </c>
      <c r="B878" s="5">
        <f>IF($E878="","",INDEX('Input Transaksi'!$D:$D,$E878))</f>
        <v/>
      </c>
      <c r="C878">
        <f>IF($E878="","",INDEX('Input Transaksi'!$E:$E,$E878))</f>
        <v/>
      </c>
      <c r="D878" s="5">
        <f>IF($E878="","",INDEX('Input Transaksi'!$F:$F,$E878))</f>
        <v/>
      </c>
      <c r="E878">
        <f>IFERROR(AGGREGATE(15,6,ROW('Input Transaksi'!$B$5:$B$5000)/('Input Transaksi'!$B$5:$B$5000="CUCI DEWE"),ROWS($E$5:E878)),"")</f>
        <v/>
      </c>
      <c r="F878" s="5" t="n"/>
    </row>
    <row r="879">
      <c r="A879" s="10">
        <f>IF($E879="","",INDEX('Input Transaksi'!$A:$A,$E879))</f>
        <v/>
      </c>
      <c r="B879" s="5">
        <f>IF($E879="","",INDEX('Input Transaksi'!$D:$D,$E879))</f>
        <v/>
      </c>
      <c r="C879">
        <f>IF($E879="","",INDEX('Input Transaksi'!$E:$E,$E879))</f>
        <v/>
      </c>
      <c r="D879" s="5">
        <f>IF($E879="","",INDEX('Input Transaksi'!$F:$F,$E879))</f>
        <v/>
      </c>
      <c r="E879">
        <f>IFERROR(AGGREGATE(15,6,ROW('Input Transaksi'!$B$5:$B$5000)/('Input Transaksi'!$B$5:$B$5000="CUCI DEWE"),ROWS($E$5:E879)),"")</f>
        <v/>
      </c>
      <c r="F879" s="5" t="n"/>
    </row>
    <row r="880">
      <c r="A880" s="10">
        <f>IF($E880="","",INDEX('Input Transaksi'!$A:$A,$E880))</f>
        <v/>
      </c>
      <c r="B880" s="5">
        <f>IF($E880="","",INDEX('Input Transaksi'!$D:$D,$E880))</f>
        <v/>
      </c>
      <c r="C880">
        <f>IF($E880="","",INDEX('Input Transaksi'!$E:$E,$E880))</f>
        <v/>
      </c>
      <c r="D880" s="5">
        <f>IF($E880="","",INDEX('Input Transaksi'!$F:$F,$E880))</f>
        <v/>
      </c>
      <c r="E880">
        <f>IFERROR(AGGREGATE(15,6,ROW('Input Transaksi'!$B$5:$B$5000)/('Input Transaksi'!$B$5:$B$5000="CUCI DEWE"),ROWS($E$5:E880)),"")</f>
        <v/>
      </c>
      <c r="F880" s="5" t="n"/>
    </row>
    <row r="881">
      <c r="A881" s="10">
        <f>IF($E881="","",INDEX('Input Transaksi'!$A:$A,$E881))</f>
        <v/>
      </c>
      <c r="B881" s="5">
        <f>IF($E881="","",INDEX('Input Transaksi'!$D:$D,$E881))</f>
        <v/>
      </c>
      <c r="C881">
        <f>IF($E881="","",INDEX('Input Transaksi'!$E:$E,$E881))</f>
        <v/>
      </c>
      <c r="D881" s="5">
        <f>IF($E881="","",INDEX('Input Transaksi'!$F:$F,$E881))</f>
        <v/>
      </c>
      <c r="E881">
        <f>IFERROR(AGGREGATE(15,6,ROW('Input Transaksi'!$B$5:$B$5000)/('Input Transaksi'!$B$5:$B$5000="CUCI DEWE"),ROWS($E$5:E881)),"")</f>
        <v/>
      </c>
      <c r="F881" s="5" t="n"/>
    </row>
    <row r="882">
      <c r="A882" s="10">
        <f>IF($E882="","",INDEX('Input Transaksi'!$A:$A,$E882))</f>
        <v/>
      </c>
      <c r="B882" s="5">
        <f>IF($E882="","",INDEX('Input Transaksi'!$D:$D,$E882))</f>
        <v/>
      </c>
      <c r="C882">
        <f>IF($E882="","",INDEX('Input Transaksi'!$E:$E,$E882))</f>
        <v/>
      </c>
      <c r="D882" s="5">
        <f>IF($E882="","",INDEX('Input Transaksi'!$F:$F,$E882))</f>
        <v/>
      </c>
      <c r="E882">
        <f>IFERROR(AGGREGATE(15,6,ROW('Input Transaksi'!$B$5:$B$5000)/('Input Transaksi'!$B$5:$B$5000="CUCI DEWE"),ROWS($E$5:E882)),"")</f>
        <v/>
      </c>
      <c r="F882" s="5" t="n"/>
    </row>
    <row r="883">
      <c r="A883" s="10">
        <f>IF($E883="","",INDEX('Input Transaksi'!$A:$A,$E883))</f>
        <v/>
      </c>
      <c r="B883" s="5">
        <f>IF($E883="","",INDEX('Input Transaksi'!$D:$D,$E883))</f>
        <v/>
      </c>
      <c r="C883">
        <f>IF($E883="","",INDEX('Input Transaksi'!$E:$E,$E883))</f>
        <v/>
      </c>
      <c r="D883" s="5">
        <f>IF($E883="","",INDEX('Input Transaksi'!$F:$F,$E883))</f>
        <v/>
      </c>
      <c r="E883">
        <f>IFERROR(AGGREGATE(15,6,ROW('Input Transaksi'!$B$5:$B$5000)/('Input Transaksi'!$B$5:$B$5000="CUCI DEWE"),ROWS($E$5:E883)),"")</f>
        <v/>
      </c>
      <c r="F883" s="5" t="n"/>
    </row>
    <row r="884">
      <c r="A884" s="10">
        <f>IF($E884="","",INDEX('Input Transaksi'!$A:$A,$E884))</f>
        <v/>
      </c>
      <c r="B884" s="5">
        <f>IF($E884="","",INDEX('Input Transaksi'!$D:$D,$E884))</f>
        <v/>
      </c>
      <c r="C884">
        <f>IF($E884="","",INDEX('Input Transaksi'!$E:$E,$E884))</f>
        <v/>
      </c>
      <c r="D884" s="5">
        <f>IF($E884="","",INDEX('Input Transaksi'!$F:$F,$E884))</f>
        <v/>
      </c>
      <c r="E884">
        <f>IFERROR(AGGREGATE(15,6,ROW('Input Transaksi'!$B$5:$B$5000)/('Input Transaksi'!$B$5:$B$5000="CUCI DEWE"),ROWS($E$5:E884)),"")</f>
        <v/>
      </c>
      <c r="F884" s="5" t="n"/>
    </row>
    <row r="885">
      <c r="A885" s="10">
        <f>IF($E885="","",INDEX('Input Transaksi'!$A:$A,$E885))</f>
        <v/>
      </c>
      <c r="B885" s="5">
        <f>IF($E885="","",INDEX('Input Transaksi'!$D:$D,$E885))</f>
        <v/>
      </c>
      <c r="C885">
        <f>IF($E885="","",INDEX('Input Transaksi'!$E:$E,$E885))</f>
        <v/>
      </c>
      <c r="D885" s="5">
        <f>IF($E885="","",INDEX('Input Transaksi'!$F:$F,$E885))</f>
        <v/>
      </c>
      <c r="E885">
        <f>IFERROR(AGGREGATE(15,6,ROW('Input Transaksi'!$B$5:$B$5000)/('Input Transaksi'!$B$5:$B$5000="CUCI DEWE"),ROWS($E$5:E885)),"")</f>
        <v/>
      </c>
      <c r="F885" s="5" t="n"/>
    </row>
    <row r="886">
      <c r="A886" s="10">
        <f>IF($E886="","",INDEX('Input Transaksi'!$A:$A,$E886))</f>
        <v/>
      </c>
      <c r="B886" s="5">
        <f>IF($E886="","",INDEX('Input Transaksi'!$D:$D,$E886))</f>
        <v/>
      </c>
      <c r="C886">
        <f>IF($E886="","",INDEX('Input Transaksi'!$E:$E,$E886))</f>
        <v/>
      </c>
      <c r="D886" s="5">
        <f>IF($E886="","",INDEX('Input Transaksi'!$F:$F,$E886))</f>
        <v/>
      </c>
      <c r="E886">
        <f>IFERROR(AGGREGATE(15,6,ROW('Input Transaksi'!$B$5:$B$5000)/('Input Transaksi'!$B$5:$B$5000="CUCI DEWE"),ROWS($E$5:E886)),"")</f>
        <v/>
      </c>
      <c r="F886" s="5" t="n"/>
    </row>
    <row r="887">
      <c r="A887" s="10">
        <f>IF($E887="","",INDEX('Input Transaksi'!$A:$A,$E887))</f>
        <v/>
      </c>
      <c r="B887" s="5">
        <f>IF($E887="","",INDEX('Input Transaksi'!$D:$D,$E887))</f>
        <v/>
      </c>
      <c r="C887">
        <f>IF($E887="","",INDEX('Input Transaksi'!$E:$E,$E887))</f>
        <v/>
      </c>
      <c r="D887" s="5">
        <f>IF($E887="","",INDEX('Input Transaksi'!$F:$F,$E887))</f>
        <v/>
      </c>
      <c r="E887">
        <f>IFERROR(AGGREGATE(15,6,ROW('Input Transaksi'!$B$5:$B$5000)/('Input Transaksi'!$B$5:$B$5000="CUCI DEWE"),ROWS($E$5:E887)),"")</f>
        <v/>
      </c>
      <c r="F887" s="5" t="n"/>
    </row>
    <row r="888">
      <c r="A888" s="10">
        <f>IF($E888="","",INDEX('Input Transaksi'!$A:$A,$E888))</f>
        <v/>
      </c>
      <c r="B888" s="5">
        <f>IF($E888="","",INDEX('Input Transaksi'!$D:$D,$E888))</f>
        <v/>
      </c>
      <c r="C888">
        <f>IF($E888="","",INDEX('Input Transaksi'!$E:$E,$E888))</f>
        <v/>
      </c>
      <c r="D888" s="5">
        <f>IF($E888="","",INDEX('Input Transaksi'!$F:$F,$E888))</f>
        <v/>
      </c>
      <c r="E888">
        <f>IFERROR(AGGREGATE(15,6,ROW('Input Transaksi'!$B$5:$B$5000)/('Input Transaksi'!$B$5:$B$5000="CUCI DEWE"),ROWS($E$5:E888)),"")</f>
        <v/>
      </c>
      <c r="F888" s="5" t="n"/>
    </row>
    <row r="889">
      <c r="A889" s="10">
        <f>IF($E889="","",INDEX('Input Transaksi'!$A:$A,$E889))</f>
        <v/>
      </c>
      <c r="B889" s="5">
        <f>IF($E889="","",INDEX('Input Transaksi'!$D:$D,$E889))</f>
        <v/>
      </c>
      <c r="C889">
        <f>IF($E889="","",INDEX('Input Transaksi'!$E:$E,$E889))</f>
        <v/>
      </c>
      <c r="D889" s="5">
        <f>IF($E889="","",INDEX('Input Transaksi'!$F:$F,$E889))</f>
        <v/>
      </c>
      <c r="E889">
        <f>IFERROR(AGGREGATE(15,6,ROW('Input Transaksi'!$B$5:$B$5000)/('Input Transaksi'!$B$5:$B$5000="CUCI DEWE"),ROWS($E$5:E889)),"")</f>
        <v/>
      </c>
      <c r="F889" s="5" t="n"/>
    </row>
    <row r="890">
      <c r="A890" s="10">
        <f>IF($E890="","",INDEX('Input Transaksi'!$A:$A,$E890))</f>
        <v/>
      </c>
      <c r="B890" s="5">
        <f>IF($E890="","",INDEX('Input Transaksi'!$D:$D,$E890))</f>
        <v/>
      </c>
      <c r="C890">
        <f>IF($E890="","",INDEX('Input Transaksi'!$E:$E,$E890))</f>
        <v/>
      </c>
      <c r="D890" s="5">
        <f>IF($E890="","",INDEX('Input Transaksi'!$F:$F,$E890))</f>
        <v/>
      </c>
      <c r="E890">
        <f>IFERROR(AGGREGATE(15,6,ROW('Input Transaksi'!$B$5:$B$5000)/('Input Transaksi'!$B$5:$B$5000="CUCI DEWE"),ROWS($E$5:E890)),"")</f>
        <v/>
      </c>
      <c r="F890" s="5" t="n"/>
    </row>
    <row r="891">
      <c r="A891" s="10">
        <f>IF($E891="","",INDEX('Input Transaksi'!$A:$A,$E891))</f>
        <v/>
      </c>
      <c r="B891" s="5">
        <f>IF($E891="","",INDEX('Input Transaksi'!$D:$D,$E891))</f>
        <v/>
      </c>
      <c r="C891">
        <f>IF($E891="","",INDEX('Input Transaksi'!$E:$E,$E891))</f>
        <v/>
      </c>
      <c r="D891" s="5">
        <f>IF($E891="","",INDEX('Input Transaksi'!$F:$F,$E891))</f>
        <v/>
      </c>
      <c r="E891">
        <f>IFERROR(AGGREGATE(15,6,ROW('Input Transaksi'!$B$5:$B$5000)/('Input Transaksi'!$B$5:$B$5000="CUCI DEWE"),ROWS($E$5:E891)),"")</f>
        <v/>
      </c>
      <c r="F891" s="5" t="n"/>
    </row>
    <row r="892">
      <c r="A892" s="10">
        <f>IF($E892="","",INDEX('Input Transaksi'!$A:$A,$E892))</f>
        <v/>
      </c>
      <c r="B892" s="5">
        <f>IF($E892="","",INDEX('Input Transaksi'!$D:$D,$E892))</f>
        <v/>
      </c>
      <c r="C892">
        <f>IF($E892="","",INDEX('Input Transaksi'!$E:$E,$E892))</f>
        <v/>
      </c>
      <c r="D892" s="5">
        <f>IF($E892="","",INDEX('Input Transaksi'!$F:$F,$E892))</f>
        <v/>
      </c>
      <c r="E892">
        <f>IFERROR(AGGREGATE(15,6,ROW('Input Transaksi'!$B$5:$B$5000)/('Input Transaksi'!$B$5:$B$5000="CUCI DEWE"),ROWS($E$5:E892)),"")</f>
        <v/>
      </c>
      <c r="F892" s="5" t="n"/>
    </row>
    <row r="893">
      <c r="A893" s="10">
        <f>IF($E893="","",INDEX('Input Transaksi'!$A:$A,$E893))</f>
        <v/>
      </c>
      <c r="B893" s="5">
        <f>IF($E893="","",INDEX('Input Transaksi'!$D:$D,$E893))</f>
        <v/>
      </c>
      <c r="C893">
        <f>IF($E893="","",INDEX('Input Transaksi'!$E:$E,$E893))</f>
        <v/>
      </c>
      <c r="D893" s="5">
        <f>IF($E893="","",INDEX('Input Transaksi'!$F:$F,$E893))</f>
        <v/>
      </c>
      <c r="E893">
        <f>IFERROR(AGGREGATE(15,6,ROW('Input Transaksi'!$B$5:$B$5000)/('Input Transaksi'!$B$5:$B$5000="CUCI DEWE"),ROWS($E$5:E893)),"")</f>
        <v/>
      </c>
      <c r="F893" s="5" t="n"/>
    </row>
    <row r="894">
      <c r="A894" s="10">
        <f>IF($E894="","",INDEX('Input Transaksi'!$A:$A,$E894))</f>
        <v/>
      </c>
      <c r="B894" s="5">
        <f>IF($E894="","",INDEX('Input Transaksi'!$D:$D,$E894))</f>
        <v/>
      </c>
      <c r="C894">
        <f>IF($E894="","",INDEX('Input Transaksi'!$E:$E,$E894))</f>
        <v/>
      </c>
      <c r="D894" s="5">
        <f>IF($E894="","",INDEX('Input Transaksi'!$F:$F,$E894))</f>
        <v/>
      </c>
      <c r="E894">
        <f>IFERROR(AGGREGATE(15,6,ROW('Input Transaksi'!$B$5:$B$5000)/('Input Transaksi'!$B$5:$B$5000="CUCI DEWE"),ROWS($E$5:E894)),"")</f>
        <v/>
      </c>
      <c r="F894" s="5" t="n"/>
    </row>
    <row r="895">
      <c r="A895" s="10">
        <f>IF($E895="","",INDEX('Input Transaksi'!$A:$A,$E895))</f>
        <v/>
      </c>
      <c r="B895" s="5">
        <f>IF($E895="","",INDEX('Input Transaksi'!$D:$D,$E895))</f>
        <v/>
      </c>
      <c r="C895">
        <f>IF($E895="","",INDEX('Input Transaksi'!$E:$E,$E895))</f>
        <v/>
      </c>
      <c r="D895" s="5">
        <f>IF($E895="","",INDEX('Input Transaksi'!$F:$F,$E895))</f>
        <v/>
      </c>
      <c r="E895">
        <f>IFERROR(AGGREGATE(15,6,ROW('Input Transaksi'!$B$5:$B$5000)/('Input Transaksi'!$B$5:$B$5000="CUCI DEWE"),ROWS($E$5:E895)),"")</f>
        <v/>
      </c>
      <c r="F895" s="5" t="n"/>
    </row>
    <row r="896">
      <c r="A896" s="10">
        <f>IF($E896="","",INDEX('Input Transaksi'!$A:$A,$E896))</f>
        <v/>
      </c>
      <c r="B896" s="5">
        <f>IF($E896="","",INDEX('Input Transaksi'!$D:$D,$E896))</f>
        <v/>
      </c>
      <c r="C896">
        <f>IF($E896="","",INDEX('Input Transaksi'!$E:$E,$E896))</f>
        <v/>
      </c>
      <c r="D896" s="5">
        <f>IF($E896="","",INDEX('Input Transaksi'!$F:$F,$E896))</f>
        <v/>
      </c>
      <c r="E896">
        <f>IFERROR(AGGREGATE(15,6,ROW('Input Transaksi'!$B$5:$B$5000)/('Input Transaksi'!$B$5:$B$5000="CUCI DEWE"),ROWS($E$5:E896)),"")</f>
        <v/>
      </c>
      <c r="F896" s="5" t="n"/>
    </row>
    <row r="897">
      <c r="A897" s="10">
        <f>IF($E897="","",INDEX('Input Transaksi'!$A:$A,$E897))</f>
        <v/>
      </c>
      <c r="B897" s="5">
        <f>IF($E897="","",INDEX('Input Transaksi'!$D:$D,$E897))</f>
        <v/>
      </c>
      <c r="C897">
        <f>IF($E897="","",INDEX('Input Transaksi'!$E:$E,$E897))</f>
        <v/>
      </c>
      <c r="D897" s="5">
        <f>IF($E897="","",INDEX('Input Transaksi'!$F:$F,$E897))</f>
        <v/>
      </c>
      <c r="E897">
        <f>IFERROR(AGGREGATE(15,6,ROW('Input Transaksi'!$B$5:$B$5000)/('Input Transaksi'!$B$5:$B$5000="CUCI DEWE"),ROWS($E$5:E897)),"")</f>
        <v/>
      </c>
      <c r="F897" s="5" t="n"/>
    </row>
    <row r="898">
      <c r="A898" s="10">
        <f>IF($E898="","",INDEX('Input Transaksi'!$A:$A,$E898))</f>
        <v/>
      </c>
      <c r="B898" s="5">
        <f>IF($E898="","",INDEX('Input Transaksi'!$D:$D,$E898))</f>
        <v/>
      </c>
      <c r="C898">
        <f>IF($E898="","",INDEX('Input Transaksi'!$E:$E,$E898))</f>
        <v/>
      </c>
      <c r="D898" s="5">
        <f>IF($E898="","",INDEX('Input Transaksi'!$F:$F,$E898))</f>
        <v/>
      </c>
      <c r="E898">
        <f>IFERROR(AGGREGATE(15,6,ROW('Input Transaksi'!$B$5:$B$5000)/('Input Transaksi'!$B$5:$B$5000="CUCI DEWE"),ROWS($E$5:E898)),"")</f>
        <v/>
      </c>
      <c r="F898" s="5" t="n"/>
    </row>
    <row r="899">
      <c r="A899" s="10">
        <f>IF($E899="","",INDEX('Input Transaksi'!$A:$A,$E899))</f>
        <v/>
      </c>
      <c r="B899" s="5">
        <f>IF($E899="","",INDEX('Input Transaksi'!$D:$D,$E899))</f>
        <v/>
      </c>
      <c r="C899">
        <f>IF($E899="","",INDEX('Input Transaksi'!$E:$E,$E899))</f>
        <v/>
      </c>
      <c r="D899" s="5">
        <f>IF($E899="","",INDEX('Input Transaksi'!$F:$F,$E899))</f>
        <v/>
      </c>
      <c r="E899">
        <f>IFERROR(AGGREGATE(15,6,ROW('Input Transaksi'!$B$5:$B$5000)/('Input Transaksi'!$B$5:$B$5000="CUCI DEWE"),ROWS($E$5:E899)),"")</f>
        <v/>
      </c>
      <c r="F899" s="5" t="n"/>
    </row>
    <row r="900">
      <c r="A900" s="10">
        <f>IF($E900="","",INDEX('Input Transaksi'!$A:$A,$E900))</f>
        <v/>
      </c>
      <c r="B900" s="5">
        <f>IF($E900="","",INDEX('Input Transaksi'!$D:$D,$E900))</f>
        <v/>
      </c>
      <c r="C900">
        <f>IF($E900="","",INDEX('Input Transaksi'!$E:$E,$E900))</f>
        <v/>
      </c>
      <c r="D900" s="5">
        <f>IF($E900="","",INDEX('Input Transaksi'!$F:$F,$E900))</f>
        <v/>
      </c>
      <c r="E900">
        <f>IFERROR(AGGREGATE(15,6,ROW('Input Transaksi'!$B$5:$B$5000)/('Input Transaksi'!$B$5:$B$5000="CUCI DEWE"),ROWS($E$5:E900)),"")</f>
        <v/>
      </c>
      <c r="F900" s="5" t="n"/>
    </row>
    <row r="901">
      <c r="A901" s="10">
        <f>IF($E901="","",INDEX('Input Transaksi'!$A:$A,$E901))</f>
        <v/>
      </c>
      <c r="B901" s="5">
        <f>IF($E901="","",INDEX('Input Transaksi'!$D:$D,$E901))</f>
        <v/>
      </c>
      <c r="C901">
        <f>IF($E901="","",INDEX('Input Transaksi'!$E:$E,$E901))</f>
        <v/>
      </c>
      <c r="D901" s="5">
        <f>IF($E901="","",INDEX('Input Transaksi'!$F:$F,$E901))</f>
        <v/>
      </c>
      <c r="E901">
        <f>IFERROR(AGGREGATE(15,6,ROW('Input Transaksi'!$B$5:$B$5000)/('Input Transaksi'!$B$5:$B$5000="CUCI DEWE"),ROWS($E$5:E901)),"")</f>
        <v/>
      </c>
      <c r="F901" s="5" t="n"/>
    </row>
    <row r="902">
      <c r="A902" s="10">
        <f>IF($E902="","",INDEX('Input Transaksi'!$A:$A,$E902))</f>
        <v/>
      </c>
      <c r="B902" s="5">
        <f>IF($E902="","",INDEX('Input Transaksi'!$D:$D,$E902))</f>
        <v/>
      </c>
      <c r="C902">
        <f>IF($E902="","",INDEX('Input Transaksi'!$E:$E,$E902))</f>
        <v/>
      </c>
      <c r="D902" s="5">
        <f>IF($E902="","",INDEX('Input Transaksi'!$F:$F,$E902))</f>
        <v/>
      </c>
      <c r="E902">
        <f>IFERROR(AGGREGATE(15,6,ROW('Input Transaksi'!$B$5:$B$5000)/('Input Transaksi'!$B$5:$B$5000="CUCI DEWE"),ROWS($E$5:E902)),"")</f>
        <v/>
      </c>
      <c r="F902" s="5" t="n"/>
    </row>
    <row r="903">
      <c r="A903" s="10">
        <f>IF($E903="","",INDEX('Input Transaksi'!$A:$A,$E903))</f>
        <v/>
      </c>
      <c r="B903" s="5">
        <f>IF($E903="","",INDEX('Input Transaksi'!$D:$D,$E903))</f>
        <v/>
      </c>
      <c r="C903">
        <f>IF($E903="","",INDEX('Input Transaksi'!$E:$E,$E903))</f>
        <v/>
      </c>
      <c r="D903" s="5">
        <f>IF($E903="","",INDEX('Input Transaksi'!$F:$F,$E903))</f>
        <v/>
      </c>
      <c r="E903">
        <f>IFERROR(AGGREGATE(15,6,ROW('Input Transaksi'!$B$5:$B$5000)/('Input Transaksi'!$B$5:$B$5000="CUCI DEWE"),ROWS($E$5:E903)),"")</f>
        <v/>
      </c>
      <c r="F903" s="5" t="n"/>
    </row>
    <row r="904">
      <c r="A904" s="10">
        <f>IF($E904="","",INDEX('Input Transaksi'!$A:$A,$E904))</f>
        <v/>
      </c>
      <c r="B904" s="5">
        <f>IF($E904="","",INDEX('Input Transaksi'!$D:$D,$E904))</f>
        <v/>
      </c>
      <c r="C904">
        <f>IF($E904="","",INDEX('Input Transaksi'!$E:$E,$E904))</f>
        <v/>
      </c>
      <c r="D904" s="5">
        <f>IF($E904="","",INDEX('Input Transaksi'!$F:$F,$E904))</f>
        <v/>
      </c>
      <c r="E904">
        <f>IFERROR(AGGREGATE(15,6,ROW('Input Transaksi'!$B$5:$B$5000)/('Input Transaksi'!$B$5:$B$5000="CUCI DEWE"),ROWS($E$5:E904)),"")</f>
        <v/>
      </c>
      <c r="F904" s="5" t="n"/>
    </row>
    <row r="905">
      <c r="A905" s="10">
        <f>IF($E905="","",INDEX('Input Transaksi'!$A:$A,$E905))</f>
        <v/>
      </c>
      <c r="B905" s="5">
        <f>IF($E905="","",INDEX('Input Transaksi'!$D:$D,$E905))</f>
        <v/>
      </c>
      <c r="C905">
        <f>IF($E905="","",INDEX('Input Transaksi'!$E:$E,$E905))</f>
        <v/>
      </c>
      <c r="D905" s="5">
        <f>IF($E905="","",INDEX('Input Transaksi'!$F:$F,$E905))</f>
        <v/>
      </c>
      <c r="E905">
        <f>IFERROR(AGGREGATE(15,6,ROW('Input Transaksi'!$B$5:$B$5000)/('Input Transaksi'!$B$5:$B$5000="CUCI DEWE"),ROWS($E$5:E905)),"")</f>
        <v/>
      </c>
      <c r="F905" s="5" t="n"/>
    </row>
    <row r="906">
      <c r="A906" s="10">
        <f>IF($E906="","",INDEX('Input Transaksi'!$A:$A,$E906))</f>
        <v/>
      </c>
      <c r="B906" s="5">
        <f>IF($E906="","",INDEX('Input Transaksi'!$D:$D,$E906))</f>
        <v/>
      </c>
      <c r="C906">
        <f>IF($E906="","",INDEX('Input Transaksi'!$E:$E,$E906))</f>
        <v/>
      </c>
      <c r="D906" s="5">
        <f>IF($E906="","",INDEX('Input Transaksi'!$F:$F,$E906))</f>
        <v/>
      </c>
      <c r="E906">
        <f>IFERROR(AGGREGATE(15,6,ROW('Input Transaksi'!$B$5:$B$5000)/('Input Transaksi'!$B$5:$B$5000="CUCI DEWE"),ROWS($E$5:E906)),"")</f>
        <v/>
      </c>
      <c r="F906" s="5" t="n"/>
    </row>
    <row r="907">
      <c r="A907" s="10">
        <f>IF($E907="","",INDEX('Input Transaksi'!$A:$A,$E907))</f>
        <v/>
      </c>
      <c r="B907" s="5">
        <f>IF($E907="","",INDEX('Input Transaksi'!$D:$D,$E907))</f>
        <v/>
      </c>
      <c r="C907">
        <f>IF($E907="","",INDEX('Input Transaksi'!$E:$E,$E907))</f>
        <v/>
      </c>
      <c r="D907" s="5">
        <f>IF($E907="","",INDEX('Input Transaksi'!$F:$F,$E907))</f>
        <v/>
      </c>
      <c r="E907">
        <f>IFERROR(AGGREGATE(15,6,ROW('Input Transaksi'!$B$5:$B$5000)/('Input Transaksi'!$B$5:$B$5000="CUCI DEWE"),ROWS($E$5:E907)),"")</f>
        <v/>
      </c>
      <c r="F907" s="5" t="n"/>
    </row>
    <row r="908">
      <c r="A908" s="10">
        <f>IF($E908="","",INDEX('Input Transaksi'!$A:$A,$E908))</f>
        <v/>
      </c>
      <c r="B908" s="5">
        <f>IF($E908="","",INDEX('Input Transaksi'!$D:$D,$E908))</f>
        <v/>
      </c>
      <c r="C908">
        <f>IF($E908="","",INDEX('Input Transaksi'!$E:$E,$E908))</f>
        <v/>
      </c>
      <c r="D908" s="5">
        <f>IF($E908="","",INDEX('Input Transaksi'!$F:$F,$E908))</f>
        <v/>
      </c>
      <c r="E908">
        <f>IFERROR(AGGREGATE(15,6,ROW('Input Transaksi'!$B$5:$B$5000)/('Input Transaksi'!$B$5:$B$5000="CUCI DEWE"),ROWS($E$5:E908)),"")</f>
        <v/>
      </c>
      <c r="F908" s="5" t="n"/>
    </row>
    <row r="909">
      <c r="A909" s="10">
        <f>IF($E909="","",INDEX('Input Transaksi'!$A:$A,$E909))</f>
        <v/>
      </c>
      <c r="B909" s="5">
        <f>IF($E909="","",INDEX('Input Transaksi'!$D:$D,$E909))</f>
        <v/>
      </c>
      <c r="C909">
        <f>IF($E909="","",INDEX('Input Transaksi'!$E:$E,$E909))</f>
        <v/>
      </c>
      <c r="D909" s="5">
        <f>IF($E909="","",INDEX('Input Transaksi'!$F:$F,$E909))</f>
        <v/>
      </c>
      <c r="E909">
        <f>IFERROR(AGGREGATE(15,6,ROW('Input Transaksi'!$B$5:$B$5000)/('Input Transaksi'!$B$5:$B$5000="CUCI DEWE"),ROWS($E$5:E909)),"")</f>
        <v/>
      </c>
      <c r="F909" s="5" t="n"/>
    </row>
    <row r="910">
      <c r="A910" s="10">
        <f>IF($E910="","",INDEX('Input Transaksi'!$A:$A,$E910))</f>
        <v/>
      </c>
      <c r="B910" s="5">
        <f>IF($E910="","",INDEX('Input Transaksi'!$D:$D,$E910))</f>
        <v/>
      </c>
      <c r="C910">
        <f>IF($E910="","",INDEX('Input Transaksi'!$E:$E,$E910))</f>
        <v/>
      </c>
      <c r="D910" s="5">
        <f>IF($E910="","",INDEX('Input Transaksi'!$F:$F,$E910))</f>
        <v/>
      </c>
      <c r="E910">
        <f>IFERROR(AGGREGATE(15,6,ROW('Input Transaksi'!$B$5:$B$5000)/('Input Transaksi'!$B$5:$B$5000="CUCI DEWE"),ROWS($E$5:E910)),"")</f>
        <v/>
      </c>
      <c r="F910" s="5" t="n"/>
    </row>
    <row r="911">
      <c r="A911" s="10">
        <f>IF($E911="","",INDEX('Input Transaksi'!$A:$A,$E911))</f>
        <v/>
      </c>
      <c r="B911" s="5">
        <f>IF($E911="","",INDEX('Input Transaksi'!$D:$D,$E911))</f>
        <v/>
      </c>
      <c r="C911">
        <f>IF($E911="","",INDEX('Input Transaksi'!$E:$E,$E911))</f>
        <v/>
      </c>
      <c r="D911" s="5">
        <f>IF($E911="","",INDEX('Input Transaksi'!$F:$F,$E911))</f>
        <v/>
      </c>
      <c r="E911">
        <f>IFERROR(AGGREGATE(15,6,ROW('Input Transaksi'!$B$5:$B$5000)/('Input Transaksi'!$B$5:$B$5000="CUCI DEWE"),ROWS($E$5:E911)),"")</f>
        <v/>
      </c>
      <c r="F911" s="5" t="n"/>
    </row>
    <row r="912">
      <c r="A912" s="10">
        <f>IF($E912="","",INDEX('Input Transaksi'!$A:$A,$E912))</f>
        <v/>
      </c>
      <c r="B912" s="5">
        <f>IF($E912="","",INDEX('Input Transaksi'!$D:$D,$E912))</f>
        <v/>
      </c>
      <c r="C912">
        <f>IF($E912="","",INDEX('Input Transaksi'!$E:$E,$E912))</f>
        <v/>
      </c>
      <c r="D912" s="5">
        <f>IF($E912="","",INDEX('Input Transaksi'!$F:$F,$E912))</f>
        <v/>
      </c>
      <c r="E912">
        <f>IFERROR(AGGREGATE(15,6,ROW('Input Transaksi'!$B$5:$B$5000)/('Input Transaksi'!$B$5:$B$5000="CUCI DEWE"),ROWS($E$5:E912)),"")</f>
        <v/>
      </c>
      <c r="F912" s="5" t="n"/>
    </row>
    <row r="913">
      <c r="A913" s="10">
        <f>IF($E913="","",INDEX('Input Transaksi'!$A:$A,$E913))</f>
        <v/>
      </c>
      <c r="B913" s="5">
        <f>IF($E913="","",INDEX('Input Transaksi'!$D:$D,$E913))</f>
        <v/>
      </c>
      <c r="C913">
        <f>IF($E913="","",INDEX('Input Transaksi'!$E:$E,$E913))</f>
        <v/>
      </c>
      <c r="D913" s="5">
        <f>IF($E913="","",INDEX('Input Transaksi'!$F:$F,$E913))</f>
        <v/>
      </c>
      <c r="E913">
        <f>IFERROR(AGGREGATE(15,6,ROW('Input Transaksi'!$B$5:$B$5000)/('Input Transaksi'!$B$5:$B$5000="CUCI DEWE"),ROWS($E$5:E913)),"")</f>
        <v/>
      </c>
      <c r="F913" s="5" t="n"/>
    </row>
    <row r="914">
      <c r="A914" s="10">
        <f>IF($E914="","",INDEX('Input Transaksi'!$A:$A,$E914))</f>
        <v/>
      </c>
      <c r="B914" s="5">
        <f>IF($E914="","",INDEX('Input Transaksi'!$D:$D,$E914))</f>
        <v/>
      </c>
      <c r="C914">
        <f>IF($E914="","",INDEX('Input Transaksi'!$E:$E,$E914))</f>
        <v/>
      </c>
      <c r="D914" s="5">
        <f>IF($E914="","",INDEX('Input Transaksi'!$F:$F,$E914))</f>
        <v/>
      </c>
      <c r="E914">
        <f>IFERROR(AGGREGATE(15,6,ROW('Input Transaksi'!$B$5:$B$5000)/('Input Transaksi'!$B$5:$B$5000="CUCI DEWE"),ROWS($E$5:E914)),"")</f>
        <v/>
      </c>
      <c r="F914" s="5" t="n"/>
    </row>
    <row r="915">
      <c r="A915" s="10">
        <f>IF($E915="","",INDEX('Input Transaksi'!$A:$A,$E915))</f>
        <v/>
      </c>
      <c r="B915" s="5">
        <f>IF($E915="","",INDEX('Input Transaksi'!$D:$D,$E915))</f>
        <v/>
      </c>
      <c r="C915">
        <f>IF($E915="","",INDEX('Input Transaksi'!$E:$E,$E915))</f>
        <v/>
      </c>
      <c r="D915" s="5">
        <f>IF($E915="","",INDEX('Input Transaksi'!$F:$F,$E915))</f>
        <v/>
      </c>
      <c r="E915">
        <f>IFERROR(AGGREGATE(15,6,ROW('Input Transaksi'!$B$5:$B$5000)/('Input Transaksi'!$B$5:$B$5000="CUCI DEWE"),ROWS($E$5:E915)),"")</f>
        <v/>
      </c>
      <c r="F915" s="5" t="n"/>
    </row>
    <row r="916">
      <c r="A916" s="10">
        <f>IF($E916="","",INDEX('Input Transaksi'!$A:$A,$E916))</f>
        <v/>
      </c>
      <c r="B916" s="5">
        <f>IF($E916="","",INDEX('Input Transaksi'!$D:$D,$E916))</f>
        <v/>
      </c>
      <c r="C916">
        <f>IF($E916="","",INDEX('Input Transaksi'!$E:$E,$E916))</f>
        <v/>
      </c>
      <c r="D916" s="5">
        <f>IF($E916="","",INDEX('Input Transaksi'!$F:$F,$E916))</f>
        <v/>
      </c>
      <c r="E916">
        <f>IFERROR(AGGREGATE(15,6,ROW('Input Transaksi'!$B$5:$B$5000)/('Input Transaksi'!$B$5:$B$5000="CUCI DEWE"),ROWS($E$5:E916)),"")</f>
        <v/>
      </c>
      <c r="F916" s="5" t="n"/>
    </row>
    <row r="917">
      <c r="A917" s="10">
        <f>IF($E917="","",INDEX('Input Transaksi'!$A:$A,$E917))</f>
        <v/>
      </c>
      <c r="B917" s="5">
        <f>IF($E917="","",INDEX('Input Transaksi'!$D:$D,$E917))</f>
        <v/>
      </c>
      <c r="C917">
        <f>IF($E917="","",INDEX('Input Transaksi'!$E:$E,$E917))</f>
        <v/>
      </c>
      <c r="D917" s="5">
        <f>IF($E917="","",INDEX('Input Transaksi'!$F:$F,$E917))</f>
        <v/>
      </c>
      <c r="E917">
        <f>IFERROR(AGGREGATE(15,6,ROW('Input Transaksi'!$B$5:$B$5000)/('Input Transaksi'!$B$5:$B$5000="CUCI DEWE"),ROWS($E$5:E917)),"")</f>
        <v/>
      </c>
      <c r="F917" s="5" t="n"/>
    </row>
    <row r="918">
      <c r="A918" s="10">
        <f>IF($E918="","",INDEX('Input Transaksi'!$A:$A,$E918))</f>
        <v/>
      </c>
      <c r="B918" s="5">
        <f>IF($E918="","",INDEX('Input Transaksi'!$D:$D,$E918))</f>
        <v/>
      </c>
      <c r="C918">
        <f>IF($E918="","",INDEX('Input Transaksi'!$E:$E,$E918))</f>
        <v/>
      </c>
      <c r="D918" s="5">
        <f>IF($E918="","",INDEX('Input Transaksi'!$F:$F,$E918))</f>
        <v/>
      </c>
      <c r="E918">
        <f>IFERROR(AGGREGATE(15,6,ROW('Input Transaksi'!$B$5:$B$5000)/('Input Transaksi'!$B$5:$B$5000="CUCI DEWE"),ROWS($E$5:E918)),"")</f>
        <v/>
      </c>
      <c r="F918" s="5" t="n"/>
    </row>
    <row r="919">
      <c r="A919" s="10">
        <f>IF($E919="","",INDEX('Input Transaksi'!$A:$A,$E919))</f>
        <v/>
      </c>
      <c r="B919" s="5">
        <f>IF($E919="","",INDEX('Input Transaksi'!$D:$D,$E919))</f>
        <v/>
      </c>
      <c r="C919">
        <f>IF($E919="","",INDEX('Input Transaksi'!$E:$E,$E919))</f>
        <v/>
      </c>
      <c r="D919" s="5">
        <f>IF($E919="","",INDEX('Input Transaksi'!$F:$F,$E919))</f>
        <v/>
      </c>
      <c r="E919">
        <f>IFERROR(AGGREGATE(15,6,ROW('Input Transaksi'!$B$5:$B$5000)/('Input Transaksi'!$B$5:$B$5000="CUCI DEWE"),ROWS($E$5:E919)),"")</f>
        <v/>
      </c>
      <c r="F919" s="5" t="n"/>
    </row>
    <row r="920">
      <c r="A920" s="10">
        <f>IF($E920="","",INDEX('Input Transaksi'!$A:$A,$E920))</f>
        <v/>
      </c>
      <c r="B920" s="5">
        <f>IF($E920="","",INDEX('Input Transaksi'!$D:$D,$E920))</f>
        <v/>
      </c>
      <c r="C920">
        <f>IF($E920="","",INDEX('Input Transaksi'!$E:$E,$E920))</f>
        <v/>
      </c>
      <c r="D920" s="5">
        <f>IF($E920="","",INDEX('Input Transaksi'!$F:$F,$E920))</f>
        <v/>
      </c>
      <c r="E920">
        <f>IFERROR(AGGREGATE(15,6,ROW('Input Transaksi'!$B$5:$B$5000)/('Input Transaksi'!$B$5:$B$5000="CUCI DEWE"),ROWS($E$5:E920)),"")</f>
        <v/>
      </c>
      <c r="F920" s="5" t="n"/>
    </row>
    <row r="921">
      <c r="A921" s="10">
        <f>IF($E921="","",INDEX('Input Transaksi'!$A:$A,$E921))</f>
        <v/>
      </c>
      <c r="B921" s="5">
        <f>IF($E921="","",INDEX('Input Transaksi'!$D:$D,$E921))</f>
        <v/>
      </c>
      <c r="C921">
        <f>IF($E921="","",INDEX('Input Transaksi'!$E:$E,$E921))</f>
        <v/>
      </c>
      <c r="D921" s="5">
        <f>IF($E921="","",INDEX('Input Transaksi'!$F:$F,$E921))</f>
        <v/>
      </c>
      <c r="E921">
        <f>IFERROR(AGGREGATE(15,6,ROW('Input Transaksi'!$B$5:$B$5000)/('Input Transaksi'!$B$5:$B$5000="CUCI DEWE"),ROWS($E$5:E921)),"")</f>
        <v/>
      </c>
      <c r="F921" s="5" t="n"/>
    </row>
    <row r="922">
      <c r="A922" s="10">
        <f>IF($E922="","",INDEX('Input Transaksi'!$A:$A,$E922))</f>
        <v/>
      </c>
      <c r="B922" s="5">
        <f>IF($E922="","",INDEX('Input Transaksi'!$D:$D,$E922))</f>
        <v/>
      </c>
      <c r="C922">
        <f>IF($E922="","",INDEX('Input Transaksi'!$E:$E,$E922))</f>
        <v/>
      </c>
      <c r="D922" s="5">
        <f>IF($E922="","",INDEX('Input Transaksi'!$F:$F,$E922))</f>
        <v/>
      </c>
      <c r="E922">
        <f>IFERROR(AGGREGATE(15,6,ROW('Input Transaksi'!$B$5:$B$5000)/('Input Transaksi'!$B$5:$B$5000="CUCI DEWE"),ROWS($E$5:E922)),"")</f>
        <v/>
      </c>
      <c r="F922" s="5" t="n"/>
    </row>
    <row r="923">
      <c r="A923" s="10">
        <f>IF($E923="","",INDEX('Input Transaksi'!$A:$A,$E923))</f>
        <v/>
      </c>
      <c r="B923" s="5">
        <f>IF($E923="","",INDEX('Input Transaksi'!$D:$D,$E923))</f>
        <v/>
      </c>
      <c r="C923">
        <f>IF($E923="","",INDEX('Input Transaksi'!$E:$E,$E923))</f>
        <v/>
      </c>
      <c r="D923" s="5">
        <f>IF($E923="","",INDEX('Input Transaksi'!$F:$F,$E923))</f>
        <v/>
      </c>
      <c r="E923">
        <f>IFERROR(AGGREGATE(15,6,ROW('Input Transaksi'!$B$5:$B$5000)/('Input Transaksi'!$B$5:$B$5000="CUCI DEWE"),ROWS($E$5:E923)),"")</f>
        <v/>
      </c>
      <c r="F923" s="5" t="n"/>
    </row>
    <row r="924">
      <c r="A924" s="10">
        <f>IF($E924="","",INDEX('Input Transaksi'!$A:$A,$E924))</f>
        <v/>
      </c>
      <c r="B924" s="5">
        <f>IF($E924="","",INDEX('Input Transaksi'!$D:$D,$E924))</f>
        <v/>
      </c>
      <c r="C924">
        <f>IF($E924="","",INDEX('Input Transaksi'!$E:$E,$E924))</f>
        <v/>
      </c>
      <c r="D924" s="5">
        <f>IF($E924="","",INDEX('Input Transaksi'!$F:$F,$E924))</f>
        <v/>
      </c>
      <c r="E924">
        <f>IFERROR(AGGREGATE(15,6,ROW('Input Transaksi'!$B$5:$B$5000)/('Input Transaksi'!$B$5:$B$5000="CUCI DEWE"),ROWS($E$5:E924)),"")</f>
        <v/>
      </c>
      <c r="F924" s="5" t="n"/>
    </row>
    <row r="925">
      <c r="A925" s="10">
        <f>IF($E925="","",INDEX('Input Transaksi'!$A:$A,$E925))</f>
        <v/>
      </c>
      <c r="B925" s="5">
        <f>IF($E925="","",INDEX('Input Transaksi'!$D:$D,$E925))</f>
        <v/>
      </c>
      <c r="C925">
        <f>IF($E925="","",INDEX('Input Transaksi'!$E:$E,$E925))</f>
        <v/>
      </c>
      <c r="D925" s="5">
        <f>IF($E925="","",INDEX('Input Transaksi'!$F:$F,$E925))</f>
        <v/>
      </c>
      <c r="E925">
        <f>IFERROR(AGGREGATE(15,6,ROW('Input Transaksi'!$B$5:$B$5000)/('Input Transaksi'!$B$5:$B$5000="CUCI DEWE"),ROWS($E$5:E925)),"")</f>
        <v/>
      </c>
      <c r="F925" s="5" t="n"/>
    </row>
    <row r="926">
      <c r="A926" s="10">
        <f>IF($E926="","",INDEX('Input Transaksi'!$A:$A,$E926))</f>
        <v/>
      </c>
      <c r="B926" s="5">
        <f>IF($E926="","",INDEX('Input Transaksi'!$D:$D,$E926))</f>
        <v/>
      </c>
      <c r="C926">
        <f>IF($E926="","",INDEX('Input Transaksi'!$E:$E,$E926))</f>
        <v/>
      </c>
      <c r="D926" s="5">
        <f>IF($E926="","",INDEX('Input Transaksi'!$F:$F,$E926))</f>
        <v/>
      </c>
      <c r="E926">
        <f>IFERROR(AGGREGATE(15,6,ROW('Input Transaksi'!$B$5:$B$5000)/('Input Transaksi'!$B$5:$B$5000="CUCI DEWE"),ROWS($E$5:E926)),"")</f>
        <v/>
      </c>
      <c r="F926" s="5" t="n"/>
    </row>
    <row r="927">
      <c r="A927" s="10">
        <f>IF($E927="","",INDEX('Input Transaksi'!$A:$A,$E927))</f>
        <v/>
      </c>
      <c r="B927" s="5">
        <f>IF($E927="","",INDEX('Input Transaksi'!$D:$D,$E927))</f>
        <v/>
      </c>
      <c r="C927">
        <f>IF($E927="","",INDEX('Input Transaksi'!$E:$E,$E927))</f>
        <v/>
      </c>
      <c r="D927" s="5">
        <f>IF($E927="","",INDEX('Input Transaksi'!$F:$F,$E927))</f>
        <v/>
      </c>
      <c r="E927">
        <f>IFERROR(AGGREGATE(15,6,ROW('Input Transaksi'!$B$5:$B$5000)/('Input Transaksi'!$B$5:$B$5000="CUCI DEWE"),ROWS($E$5:E927)),"")</f>
        <v/>
      </c>
      <c r="F927" s="5" t="n"/>
    </row>
    <row r="928">
      <c r="A928" s="10">
        <f>IF($E928="","",INDEX('Input Transaksi'!$A:$A,$E928))</f>
        <v/>
      </c>
      <c r="B928" s="5">
        <f>IF($E928="","",INDEX('Input Transaksi'!$D:$D,$E928))</f>
        <v/>
      </c>
      <c r="C928">
        <f>IF($E928="","",INDEX('Input Transaksi'!$E:$E,$E928))</f>
        <v/>
      </c>
      <c r="D928" s="5">
        <f>IF($E928="","",INDEX('Input Transaksi'!$F:$F,$E928))</f>
        <v/>
      </c>
      <c r="E928">
        <f>IFERROR(AGGREGATE(15,6,ROW('Input Transaksi'!$B$5:$B$5000)/('Input Transaksi'!$B$5:$B$5000="CUCI DEWE"),ROWS($E$5:E928)),"")</f>
        <v/>
      </c>
      <c r="F928" s="5" t="n"/>
    </row>
    <row r="929">
      <c r="A929" s="10">
        <f>IF($E929="","",INDEX('Input Transaksi'!$A:$A,$E929))</f>
        <v/>
      </c>
      <c r="B929" s="5">
        <f>IF($E929="","",INDEX('Input Transaksi'!$D:$D,$E929))</f>
        <v/>
      </c>
      <c r="C929">
        <f>IF($E929="","",INDEX('Input Transaksi'!$E:$E,$E929))</f>
        <v/>
      </c>
      <c r="D929" s="5">
        <f>IF($E929="","",INDEX('Input Transaksi'!$F:$F,$E929))</f>
        <v/>
      </c>
      <c r="E929">
        <f>IFERROR(AGGREGATE(15,6,ROW('Input Transaksi'!$B$5:$B$5000)/('Input Transaksi'!$B$5:$B$5000="CUCI DEWE"),ROWS($E$5:E929)),"")</f>
        <v/>
      </c>
      <c r="F929" s="5" t="n"/>
    </row>
    <row r="930">
      <c r="A930" s="10">
        <f>IF($E930="","",INDEX('Input Transaksi'!$A:$A,$E930))</f>
        <v/>
      </c>
      <c r="B930" s="5">
        <f>IF($E930="","",INDEX('Input Transaksi'!$D:$D,$E930))</f>
        <v/>
      </c>
      <c r="C930">
        <f>IF($E930="","",INDEX('Input Transaksi'!$E:$E,$E930))</f>
        <v/>
      </c>
      <c r="D930" s="5">
        <f>IF($E930="","",INDEX('Input Transaksi'!$F:$F,$E930))</f>
        <v/>
      </c>
      <c r="E930">
        <f>IFERROR(AGGREGATE(15,6,ROW('Input Transaksi'!$B$5:$B$5000)/('Input Transaksi'!$B$5:$B$5000="CUCI DEWE"),ROWS($E$5:E930)),"")</f>
        <v/>
      </c>
      <c r="F930" s="5" t="n"/>
    </row>
    <row r="931">
      <c r="A931" s="10">
        <f>IF($E931="","",INDEX('Input Transaksi'!$A:$A,$E931))</f>
        <v/>
      </c>
      <c r="B931" s="5">
        <f>IF($E931="","",INDEX('Input Transaksi'!$D:$D,$E931))</f>
        <v/>
      </c>
      <c r="C931">
        <f>IF($E931="","",INDEX('Input Transaksi'!$E:$E,$E931))</f>
        <v/>
      </c>
      <c r="D931" s="5">
        <f>IF($E931="","",INDEX('Input Transaksi'!$F:$F,$E931))</f>
        <v/>
      </c>
      <c r="E931">
        <f>IFERROR(AGGREGATE(15,6,ROW('Input Transaksi'!$B$5:$B$5000)/('Input Transaksi'!$B$5:$B$5000="CUCI DEWE"),ROWS($E$5:E931)),"")</f>
        <v/>
      </c>
      <c r="F931" s="5" t="n"/>
    </row>
    <row r="932">
      <c r="A932" s="10">
        <f>IF($E932="","",INDEX('Input Transaksi'!$A:$A,$E932))</f>
        <v/>
      </c>
      <c r="B932" s="5">
        <f>IF($E932="","",INDEX('Input Transaksi'!$D:$D,$E932))</f>
        <v/>
      </c>
      <c r="C932">
        <f>IF($E932="","",INDEX('Input Transaksi'!$E:$E,$E932))</f>
        <v/>
      </c>
      <c r="D932" s="5">
        <f>IF($E932="","",INDEX('Input Transaksi'!$F:$F,$E932))</f>
        <v/>
      </c>
      <c r="E932">
        <f>IFERROR(AGGREGATE(15,6,ROW('Input Transaksi'!$B$5:$B$5000)/('Input Transaksi'!$B$5:$B$5000="CUCI DEWE"),ROWS($E$5:E932)),"")</f>
        <v/>
      </c>
      <c r="F932" s="5" t="n"/>
    </row>
    <row r="933">
      <c r="A933" s="10">
        <f>IF($E933="","",INDEX('Input Transaksi'!$A:$A,$E933))</f>
        <v/>
      </c>
      <c r="B933" s="5">
        <f>IF($E933="","",INDEX('Input Transaksi'!$D:$D,$E933))</f>
        <v/>
      </c>
      <c r="C933">
        <f>IF($E933="","",INDEX('Input Transaksi'!$E:$E,$E933))</f>
        <v/>
      </c>
      <c r="D933" s="5">
        <f>IF($E933="","",INDEX('Input Transaksi'!$F:$F,$E933))</f>
        <v/>
      </c>
      <c r="E933">
        <f>IFERROR(AGGREGATE(15,6,ROW('Input Transaksi'!$B$5:$B$5000)/('Input Transaksi'!$B$5:$B$5000="CUCI DEWE"),ROWS($E$5:E933)),"")</f>
        <v/>
      </c>
      <c r="F933" s="5" t="n"/>
    </row>
    <row r="934">
      <c r="A934" s="10">
        <f>IF($E934="","",INDEX('Input Transaksi'!$A:$A,$E934))</f>
        <v/>
      </c>
      <c r="B934" s="5">
        <f>IF($E934="","",INDEX('Input Transaksi'!$D:$D,$E934))</f>
        <v/>
      </c>
      <c r="C934">
        <f>IF($E934="","",INDEX('Input Transaksi'!$E:$E,$E934))</f>
        <v/>
      </c>
      <c r="D934" s="5">
        <f>IF($E934="","",INDEX('Input Transaksi'!$F:$F,$E934))</f>
        <v/>
      </c>
      <c r="E934">
        <f>IFERROR(AGGREGATE(15,6,ROW('Input Transaksi'!$B$5:$B$5000)/('Input Transaksi'!$B$5:$B$5000="CUCI DEWE"),ROWS($E$5:E934)),"")</f>
        <v/>
      </c>
      <c r="F934" s="5" t="n"/>
    </row>
    <row r="935">
      <c r="A935" s="10">
        <f>IF($E935="","",INDEX('Input Transaksi'!$A:$A,$E935))</f>
        <v/>
      </c>
      <c r="B935" s="5">
        <f>IF($E935="","",INDEX('Input Transaksi'!$D:$D,$E935))</f>
        <v/>
      </c>
      <c r="C935">
        <f>IF($E935="","",INDEX('Input Transaksi'!$E:$E,$E935))</f>
        <v/>
      </c>
      <c r="D935" s="5">
        <f>IF($E935="","",INDEX('Input Transaksi'!$F:$F,$E935))</f>
        <v/>
      </c>
      <c r="E935">
        <f>IFERROR(AGGREGATE(15,6,ROW('Input Transaksi'!$B$5:$B$5000)/('Input Transaksi'!$B$5:$B$5000="CUCI DEWE"),ROWS($E$5:E935)),"")</f>
        <v/>
      </c>
      <c r="F935" s="5" t="n"/>
    </row>
    <row r="936">
      <c r="A936" s="10">
        <f>IF($E936="","",INDEX('Input Transaksi'!$A:$A,$E936))</f>
        <v/>
      </c>
      <c r="B936" s="5">
        <f>IF($E936="","",INDEX('Input Transaksi'!$D:$D,$E936))</f>
        <v/>
      </c>
      <c r="C936">
        <f>IF($E936="","",INDEX('Input Transaksi'!$E:$E,$E936))</f>
        <v/>
      </c>
      <c r="D936" s="5">
        <f>IF($E936="","",INDEX('Input Transaksi'!$F:$F,$E936))</f>
        <v/>
      </c>
      <c r="E936">
        <f>IFERROR(AGGREGATE(15,6,ROW('Input Transaksi'!$B$5:$B$5000)/('Input Transaksi'!$B$5:$B$5000="CUCI DEWE"),ROWS($E$5:E936)),"")</f>
        <v/>
      </c>
      <c r="F936" s="5" t="n"/>
    </row>
    <row r="937">
      <c r="A937" s="10">
        <f>IF($E937="","",INDEX('Input Transaksi'!$A:$A,$E937))</f>
        <v/>
      </c>
      <c r="B937" s="5">
        <f>IF($E937="","",INDEX('Input Transaksi'!$D:$D,$E937))</f>
        <v/>
      </c>
      <c r="C937">
        <f>IF($E937="","",INDEX('Input Transaksi'!$E:$E,$E937))</f>
        <v/>
      </c>
      <c r="D937" s="5">
        <f>IF($E937="","",INDEX('Input Transaksi'!$F:$F,$E937))</f>
        <v/>
      </c>
      <c r="E937">
        <f>IFERROR(AGGREGATE(15,6,ROW('Input Transaksi'!$B$5:$B$5000)/('Input Transaksi'!$B$5:$B$5000="CUCI DEWE"),ROWS($E$5:E937)),"")</f>
        <v/>
      </c>
      <c r="F937" s="5" t="n"/>
    </row>
    <row r="938">
      <c r="A938" s="10">
        <f>IF($E938="","",INDEX('Input Transaksi'!$A:$A,$E938))</f>
        <v/>
      </c>
      <c r="B938" s="5">
        <f>IF($E938="","",INDEX('Input Transaksi'!$D:$D,$E938))</f>
        <v/>
      </c>
      <c r="C938">
        <f>IF($E938="","",INDEX('Input Transaksi'!$E:$E,$E938))</f>
        <v/>
      </c>
      <c r="D938" s="5">
        <f>IF($E938="","",INDEX('Input Transaksi'!$F:$F,$E938))</f>
        <v/>
      </c>
      <c r="E938">
        <f>IFERROR(AGGREGATE(15,6,ROW('Input Transaksi'!$B$5:$B$5000)/('Input Transaksi'!$B$5:$B$5000="CUCI DEWE"),ROWS($E$5:E938)),"")</f>
        <v/>
      </c>
      <c r="F938" s="5" t="n"/>
    </row>
    <row r="939">
      <c r="A939" s="10">
        <f>IF($E939="","",INDEX('Input Transaksi'!$A:$A,$E939))</f>
        <v/>
      </c>
      <c r="B939" s="5">
        <f>IF($E939="","",INDEX('Input Transaksi'!$D:$D,$E939))</f>
        <v/>
      </c>
      <c r="C939">
        <f>IF($E939="","",INDEX('Input Transaksi'!$E:$E,$E939))</f>
        <v/>
      </c>
      <c r="D939" s="5">
        <f>IF($E939="","",INDEX('Input Transaksi'!$F:$F,$E939))</f>
        <v/>
      </c>
      <c r="E939">
        <f>IFERROR(AGGREGATE(15,6,ROW('Input Transaksi'!$B$5:$B$5000)/('Input Transaksi'!$B$5:$B$5000="CUCI DEWE"),ROWS($E$5:E939)),"")</f>
        <v/>
      </c>
      <c r="F939" s="5" t="n"/>
    </row>
    <row r="940">
      <c r="A940" s="10">
        <f>IF($E940="","",INDEX('Input Transaksi'!$A:$A,$E940))</f>
        <v/>
      </c>
      <c r="B940" s="5">
        <f>IF($E940="","",INDEX('Input Transaksi'!$D:$D,$E940))</f>
        <v/>
      </c>
      <c r="C940">
        <f>IF($E940="","",INDEX('Input Transaksi'!$E:$E,$E940))</f>
        <v/>
      </c>
      <c r="D940" s="5">
        <f>IF($E940="","",INDEX('Input Transaksi'!$F:$F,$E940))</f>
        <v/>
      </c>
      <c r="E940">
        <f>IFERROR(AGGREGATE(15,6,ROW('Input Transaksi'!$B$5:$B$5000)/('Input Transaksi'!$B$5:$B$5000="CUCI DEWE"),ROWS($E$5:E940)),"")</f>
        <v/>
      </c>
      <c r="F940" s="5" t="n"/>
    </row>
    <row r="941">
      <c r="A941" s="10">
        <f>IF($E941="","",INDEX('Input Transaksi'!$A:$A,$E941))</f>
        <v/>
      </c>
      <c r="B941" s="5">
        <f>IF($E941="","",INDEX('Input Transaksi'!$D:$D,$E941))</f>
        <v/>
      </c>
      <c r="C941">
        <f>IF($E941="","",INDEX('Input Transaksi'!$E:$E,$E941))</f>
        <v/>
      </c>
      <c r="D941" s="5">
        <f>IF($E941="","",INDEX('Input Transaksi'!$F:$F,$E941))</f>
        <v/>
      </c>
      <c r="E941">
        <f>IFERROR(AGGREGATE(15,6,ROW('Input Transaksi'!$B$5:$B$5000)/('Input Transaksi'!$B$5:$B$5000="CUCI DEWE"),ROWS($E$5:E941)),"")</f>
        <v/>
      </c>
      <c r="F941" s="5" t="n"/>
    </row>
    <row r="942">
      <c r="A942" s="10">
        <f>IF($E942="","",INDEX('Input Transaksi'!$A:$A,$E942))</f>
        <v/>
      </c>
      <c r="B942" s="5">
        <f>IF($E942="","",INDEX('Input Transaksi'!$D:$D,$E942))</f>
        <v/>
      </c>
      <c r="C942">
        <f>IF($E942="","",INDEX('Input Transaksi'!$E:$E,$E942))</f>
        <v/>
      </c>
      <c r="D942" s="5">
        <f>IF($E942="","",INDEX('Input Transaksi'!$F:$F,$E942))</f>
        <v/>
      </c>
      <c r="E942">
        <f>IFERROR(AGGREGATE(15,6,ROW('Input Transaksi'!$B$5:$B$5000)/('Input Transaksi'!$B$5:$B$5000="CUCI DEWE"),ROWS($E$5:E942)),"")</f>
        <v/>
      </c>
      <c r="F942" s="5" t="n"/>
    </row>
    <row r="943">
      <c r="A943" s="10">
        <f>IF($E943="","",INDEX('Input Transaksi'!$A:$A,$E943))</f>
        <v/>
      </c>
      <c r="B943" s="5">
        <f>IF($E943="","",INDEX('Input Transaksi'!$D:$D,$E943))</f>
        <v/>
      </c>
      <c r="C943">
        <f>IF($E943="","",INDEX('Input Transaksi'!$E:$E,$E943))</f>
        <v/>
      </c>
      <c r="D943" s="5">
        <f>IF($E943="","",INDEX('Input Transaksi'!$F:$F,$E943))</f>
        <v/>
      </c>
      <c r="E943">
        <f>IFERROR(AGGREGATE(15,6,ROW('Input Transaksi'!$B$5:$B$5000)/('Input Transaksi'!$B$5:$B$5000="CUCI DEWE"),ROWS($E$5:E943)),"")</f>
        <v/>
      </c>
      <c r="F943" s="5" t="n"/>
    </row>
    <row r="944">
      <c r="A944" s="10">
        <f>IF($E944="","",INDEX('Input Transaksi'!$A:$A,$E944))</f>
        <v/>
      </c>
      <c r="B944" s="5">
        <f>IF($E944="","",INDEX('Input Transaksi'!$D:$D,$E944))</f>
        <v/>
      </c>
      <c r="C944">
        <f>IF($E944="","",INDEX('Input Transaksi'!$E:$E,$E944))</f>
        <v/>
      </c>
      <c r="D944" s="5">
        <f>IF($E944="","",INDEX('Input Transaksi'!$F:$F,$E944))</f>
        <v/>
      </c>
      <c r="E944">
        <f>IFERROR(AGGREGATE(15,6,ROW('Input Transaksi'!$B$5:$B$5000)/('Input Transaksi'!$B$5:$B$5000="CUCI DEWE"),ROWS($E$5:E944)),"")</f>
        <v/>
      </c>
      <c r="F944" s="5" t="n"/>
    </row>
    <row r="945">
      <c r="A945" s="10">
        <f>IF($E945="","",INDEX('Input Transaksi'!$A:$A,$E945))</f>
        <v/>
      </c>
      <c r="B945" s="5">
        <f>IF($E945="","",INDEX('Input Transaksi'!$D:$D,$E945))</f>
        <v/>
      </c>
      <c r="C945">
        <f>IF($E945="","",INDEX('Input Transaksi'!$E:$E,$E945))</f>
        <v/>
      </c>
      <c r="D945" s="5">
        <f>IF($E945="","",INDEX('Input Transaksi'!$F:$F,$E945))</f>
        <v/>
      </c>
      <c r="E945">
        <f>IFERROR(AGGREGATE(15,6,ROW('Input Transaksi'!$B$5:$B$5000)/('Input Transaksi'!$B$5:$B$5000="CUCI DEWE"),ROWS($E$5:E945)),"")</f>
        <v/>
      </c>
      <c r="F945" s="5" t="n"/>
    </row>
    <row r="946">
      <c r="A946" s="10">
        <f>IF($E946="","",INDEX('Input Transaksi'!$A:$A,$E946))</f>
        <v/>
      </c>
      <c r="B946" s="5">
        <f>IF($E946="","",INDEX('Input Transaksi'!$D:$D,$E946))</f>
        <v/>
      </c>
      <c r="C946">
        <f>IF($E946="","",INDEX('Input Transaksi'!$E:$E,$E946))</f>
        <v/>
      </c>
      <c r="D946" s="5">
        <f>IF($E946="","",INDEX('Input Transaksi'!$F:$F,$E946))</f>
        <v/>
      </c>
      <c r="E946">
        <f>IFERROR(AGGREGATE(15,6,ROW('Input Transaksi'!$B$5:$B$5000)/('Input Transaksi'!$B$5:$B$5000="CUCI DEWE"),ROWS($E$5:E946)),"")</f>
        <v/>
      </c>
      <c r="F946" s="5" t="n"/>
    </row>
    <row r="947">
      <c r="A947" s="10">
        <f>IF($E947="","",INDEX('Input Transaksi'!$A:$A,$E947))</f>
        <v/>
      </c>
      <c r="B947" s="5">
        <f>IF($E947="","",INDEX('Input Transaksi'!$D:$D,$E947))</f>
        <v/>
      </c>
      <c r="C947">
        <f>IF($E947="","",INDEX('Input Transaksi'!$E:$E,$E947))</f>
        <v/>
      </c>
      <c r="D947" s="5">
        <f>IF($E947="","",INDEX('Input Transaksi'!$F:$F,$E947))</f>
        <v/>
      </c>
      <c r="E947">
        <f>IFERROR(AGGREGATE(15,6,ROW('Input Transaksi'!$B$5:$B$5000)/('Input Transaksi'!$B$5:$B$5000="CUCI DEWE"),ROWS($E$5:E947)),"")</f>
        <v/>
      </c>
      <c r="F947" s="5" t="n"/>
    </row>
    <row r="948">
      <c r="A948" s="10">
        <f>IF($E948="","",INDEX('Input Transaksi'!$A:$A,$E948))</f>
        <v/>
      </c>
      <c r="B948" s="5">
        <f>IF($E948="","",INDEX('Input Transaksi'!$D:$D,$E948))</f>
        <v/>
      </c>
      <c r="C948">
        <f>IF($E948="","",INDEX('Input Transaksi'!$E:$E,$E948))</f>
        <v/>
      </c>
      <c r="D948" s="5">
        <f>IF($E948="","",INDEX('Input Transaksi'!$F:$F,$E948))</f>
        <v/>
      </c>
      <c r="E948">
        <f>IFERROR(AGGREGATE(15,6,ROW('Input Transaksi'!$B$5:$B$5000)/('Input Transaksi'!$B$5:$B$5000="CUCI DEWE"),ROWS($E$5:E948)),"")</f>
        <v/>
      </c>
      <c r="F948" s="5" t="n"/>
    </row>
    <row r="949">
      <c r="A949" s="10">
        <f>IF($E949="","",INDEX('Input Transaksi'!$A:$A,$E949))</f>
        <v/>
      </c>
      <c r="B949" s="5">
        <f>IF($E949="","",INDEX('Input Transaksi'!$D:$D,$E949))</f>
        <v/>
      </c>
      <c r="C949">
        <f>IF($E949="","",INDEX('Input Transaksi'!$E:$E,$E949))</f>
        <v/>
      </c>
      <c r="D949" s="5">
        <f>IF($E949="","",INDEX('Input Transaksi'!$F:$F,$E949))</f>
        <v/>
      </c>
      <c r="E949">
        <f>IFERROR(AGGREGATE(15,6,ROW('Input Transaksi'!$B$5:$B$5000)/('Input Transaksi'!$B$5:$B$5000="CUCI DEWE"),ROWS($E$5:E949)),"")</f>
        <v/>
      </c>
      <c r="F949" s="5" t="n"/>
    </row>
    <row r="950">
      <c r="A950" s="10">
        <f>IF($E950="","",INDEX('Input Transaksi'!$A:$A,$E950))</f>
        <v/>
      </c>
      <c r="B950" s="5">
        <f>IF($E950="","",INDEX('Input Transaksi'!$D:$D,$E950))</f>
        <v/>
      </c>
      <c r="C950">
        <f>IF($E950="","",INDEX('Input Transaksi'!$E:$E,$E950))</f>
        <v/>
      </c>
      <c r="D950" s="5">
        <f>IF($E950="","",INDEX('Input Transaksi'!$F:$F,$E950))</f>
        <v/>
      </c>
      <c r="E950">
        <f>IFERROR(AGGREGATE(15,6,ROW('Input Transaksi'!$B$5:$B$5000)/('Input Transaksi'!$B$5:$B$5000="CUCI DEWE"),ROWS($E$5:E950)),"")</f>
        <v/>
      </c>
      <c r="F950" s="5" t="n"/>
    </row>
    <row r="951">
      <c r="A951" s="10">
        <f>IF($E951="","",INDEX('Input Transaksi'!$A:$A,$E951))</f>
        <v/>
      </c>
      <c r="B951" s="5">
        <f>IF($E951="","",INDEX('Input Transaksi'!$D:$D,$E951))</f>
        <v/>
      </c>
      <c r="C951">
        <f>IF($E951="","",INDEX('Input Transaksi'!$E:$E,$E951))</f>
        <v/>
      </c>
      <c r="D951" s="5">
        <f>IF($E951="","",INDEX('Input Transaksi'!$F:$F,$E951))</f>
        <v/>
      </c>
      <c r="E951">
        <f>IFERROR(AGGREGATE(15,6,ROW('Input Transaksi'!$B$5:$B$5000)/('Input Transaksi'!$B$5:$B$5000="CUCI DEWE"),ROWS($E$5:E951)),"")</f>
        <v/>
      </c>
      <c r="F951" s="5" t="n"/>
    </row>
    <row r="952">
      <c r="A952" s="10">
        <f>IF($E952="","",INDEX('Input Transaksi'!$A:$A,$E952))</f>
        <v/>
      </c>
      <c r="B952" s="5">
        <f>IF($E952="","",INDEX('Input Transaksi'!$D:$D,$E952))</f>
        <v/>
      </c>
      <c r="C952">
        <f>IF($E952="","",INDEX('Input Transaksi'!$E:$E,$E952))</f>
        <v/>
      </c>
      <c r="D952" s="5">
        <f>IF($E952="","",INDEX('Input Transaksi'!$F:$F,$E952))</f>
        <v/>
      </c>
      <c r="E952">
        <f>IFERROR(AGGREGATE(15,6,ROW('Input Transaksi'!$B$5:$B$5000)/('Input Transaksi'!$B$5:$B$5000="CUCI DEWE"),ROWS($E$5:E952)),"")</f>
        <v/>
      </c>
      <c r="F952" s="5" t="n"/>
    </row>
    <row r="953">
      <c r="A953" s="10">
        <f>IF($E953="","",INDEX('Input Transaksi'!$A:$A,$E953))</f>
        <v/>
      </c>
      <c r="B953" s="5">
        <f>IF($E953="","",INDEX('Input Transaksi'!$D:$D,$E953))</f>
        <v/>
      </c>
      <c r="C953">
        <f>IF($E953="","",INDEX('Input Transaksi'!$E:$E,$E953))</f>
        <v/>
      </c>
      <c r="D953" s="5">
        <f>IF($E953="","",INDEX('Input Transaksi'!$F:$F,$E953))</f>
        <v/>
      </c>
      <c r="E953">
        <f>IFERROR(AGGREGATE(15,6,ROW('Input Transaksi'!$B$5:$B$5000)/('Input Transaksi'!$B$5:$B$5000="CUCI DEWE"),ROWS($E$5:E953)),"")</f>
        <v/>
      </c>
      <c r="F953" s="5" t="n"/>
    </row>
    <row r="954">
      <c r="A954" s="10">
        <f>IF($E954="","",INDEX('Input Transaksi'!$A:$A,$E954))</f>
        <v/>
      </c>
      <c r="B954" s="5">
        <f>IF($E954="","",INDEX('Input Transaksi'!$D:$D,$E954))</f>
        <v/>
      </c>
      <c r="C954">
        <f>IF($E954="","",INDEX('Input Transaksi'!$E:$E,$E954))</f>
        <v/>
      </c>
      <c r="D954" s="5">
        <f>IF($E954="","",INDEX('Input Transaksi'!$F:$F,$E954))</f>
        <v/>
      </c>
      <c r="E954">
        <f>IFERROR(AGGREGATE(15,6,ROW('Input Transaksi'!$B$5:$B$5000)/('Input Transaksi'!$B$5:$B$5000="CUCI DEWE"),ROWS($E$5:E954)),"")</f>
        <v/>
      </c>
      <c r="F954" s="5" t="n"/>
    </row>
    <row r="955">
      <c r="A955" s="10">
        <f>IF($E955="","",INDEX('Input Transaksi'!$A:$A,$E955))</f>
        <v/>
      </c>
      <c r="B955" s="5">
        <f>IF($E955="","",INDEX('Input Transaksi'!$D:$D,$E955))</f>
        <v/>
      </c>
      <c r="C955">
        <f>IF($E955="","",INDEX('Input Transaksi'!$E:$E,$E955))</f>
        <v/>
      </c>
      <c r="D955" s="5">
        <f>IF($E955="","",INDEX('Input Transaksi'!$F:$F,$E955))</f>
        <v/>
      </c>
      <c r="E955">
        <f>IFERROR(AGGREGATE(15,6,ROW('Input Transaksi'!$B$5:$B$5000)/('Input Transaksi'!$B$5:$B$5000="CUCI DEWE"),ROWS($E$5:E955)),"")</f>
        <v/>
      </c>
      <c r="F955" s="5" t="n"/>
    </row>
    <row r="956">
      <c r="A956" s="10">
        <f>IF($E956="","",INDEX('Input Transaksi'!$A:$A,$E956))</f>
        <v/>
      </c>
      <c r="B956" s="5">
        <f>IF($E956="","",INDEX('Input Transaksi'!$D:$D,$E956))</f>
        <v/>
      </c>
      <c r="C956">
        <f>IF($E956="","",INDEX('Input Transaksi'!$E:$E,$E956))</f>
        <v/>
      </c>
      <c r="D956" s="5">
        <f>IF($E956="","",INDEX('Input Transaksi'!$F:$F,$E956))</f>
        <v/>
      </c>
      <c r="E956">
        <f>IFERROR(AGGREGATE(15,6,ROW('Input Transaksi'!$B$5:$B$5000)/('Input Transaksi'!$B$5:$B$5000="CUCI DEWE"),ROWS($E$5:E956)),"")</f>
        <v/>
      </c>
      <c r="F956" s="5" t="n"/>
    </row>
    <row r="957">
      <c r="A957" s="10">
        <f>IF($E957="","",INDEX('Input Transaksi'!$A:$A,$E957))</f>
        <v/>
      </c>
      <c r="B957" s="5">
        <f>IF($E957="","",INDEX('Input Transaksi'!$D:$D,$E957))</f>
        <v/>
      </c>
      <c r="C957">
        <f>IF($E957="","",INDEX('Input Transaksi'!$E:$E,$E957))</f>
        <v/>
      </c>
      <c r="D957" s="5">
        <f>IF($E957="","",INDEX('Input Transaksi'!$F:$F,$E957))</f>
        <v/>
      </c>
      <c r="E957">
        <f>IFERROR(AGGREGATE(15,6,ROW('Input Transaksi'!$B$5:$B$5000)/('Input Transaksi'!$B$5:$B$5000="CUCI DEWE"),ROWS($E$5:E957)),"")</f>
        <v/>
      </c>
      <c r="F957" s="5" t="n"/>
    </row>
    <row r="958">
      <c r="A958" s="10">
        <f>IF($E958="","",INDEX('Input Transaksi'!$A:$A,$E958))</f>
        <v/>
      </c>
      <c r="B958" s="5">
        <f>IF($E958="","",INDEX('Input Transaksi'!$D:$D,$E958))</f>
        <v/>
      </c>
      <c r="C958">
        <f>IF($E958="","",INDEX('Input Transaksi'!$E:$E,$E958))</f>
        <v/>
      </c>
      <c r="D958" s="5">
        <f>IF($E958="","",INDEX('Input Transaksi'!$F:$F,$E958))</f>
        <v/>
      </c>
      <c r="E958">
        <f>IFERROR(AGGREGATE(15,6,ROW('Input Transaksi'!$B$5:$B$5000)/('Input Transaksi'!$B$5:$B$5000="CUCI DEWE"),ROWS($E$5:E958)),"")</f>
        <v/>
      </c>
      <c r="F958" s="5" t="n"/>
    </row>
    <row r="959">
      <c r="A959" s="10">
        <f>IF($E959="","",INDEX('Input Transaksi'!$A:$A,$E959))</f>
        <v/>
      </c>
      <c r="B959" s="5">
        <f>IF($E959="","",INDEX('Input Transaksi'!$D:$D,$E959))</f>
        <v/>
      </c>
      <c r="C959">
        <f>IF($E959="","",INDEX('Input Transaksi'!$E:$E,$E959))</f>
        <v/>
      </c>
      <c r="D959" s="5">
        <f>IF($E959="","",INDEX('Input Transaksi'!$F:$F,$E959))</f>
        <v/>
      </c>
      <c r="E959">
        <f>IFERROR(AGGREGATE(15,6,ROW('Input Transaksi'!$B$5:$B$5000)/('Input Transaksi'!$B$5:$B$5000="CUCI DEWE"),ROWS($E$5:E959)),"")</f>
        <v/>
      </c>
      <c r="F959" s="5" t="n"/>
    </row>
    <row r="960">
      <c r="A960" s="10">
        <f>IF($E960="","",INDEX('Input Transaksi'!$A:$A,$E960))</f>
        <v/>
      </c>
      <c r="B960" s="5">
        <f>IF($E960="","",INDEX('Input Transaksi'!$D:$D,$E960))</f>
        <v/>
      </c>
      <c r="C960">
        <f>IF($E960="","",INDEX('Input Transaksi'!$E:$E,$E960))</f>
        <v/>
      </c>
      <c r="D960" s="5">
        <f>IF($E960="","",INDEX('Input Transaksi'!$F:$F,$E960))</f>
        <v/>
      </c>
      <c r="E960">
        <f>IFERROR(AGGREGATE(15,6,ROW('Input Transaksi'!$B$5:$B$5000)/('Input Transaksi'!$B$5:$B$5000="CUCI DEWE"),ROWS($E$5:E960)),"")</f>
        <v/>
      </c>
      <c r="F960" s="5" t="n"/>
    </row>
    <row r="961">
      <c r="A961" s="10">
        <f>IF($E961="","",INDEX('Input Transaksi'!$A:$A,$E961))</f>
        <v/>
      </c>
      <c r="B961" s="5">
        <f>IF($E961="","",INDEX('Input Transaksi'!$D:$D,$E961))</f>
        <v/>
      </c>
      <c r="C961">
        <f>IF($E961="","",INDEX('Input Transaksi'!$E:$E,$E961))</f>
        <v/>
      </c>
      <c r="D961" s="5">
        <f>IF($E961="","",INDEX('Input Transaksi'!$F:$F,$E961))</f>
        <v/>
      </c>
      <c r="E961">
        <f>IFERROR(AGGREGATE(15,6,ROW('Input Transaksi'!$B$5:$B$5000)/('Input Transaksi'!$B$5:$B$5000="CUCI DEWE"),ROWS($E$5:E961)),"")</f>
        <v/>
      </c>
      <c r="F961" s="5" t="n"/>
    </row>
    <row r="962">
      <c r="A962" s="10">
        <f>IF($E962="","",INDEX('Input Transaksi'!$A:$A,$E962))</f>
        <v/>
      </c>
      <c r="B962" s="5">
        <f>IF($E962="","",INDEX('Input Transaksi'!$D:$D,$E962))</f>
        <v/>
      </c>
      <c r="C962">
        <f>IF($E962="","",INDEX('Input Transaksi'!$E:$E,$E962))</f>
        <v/>
      </c>
      <c r="D962" s="5">
        <f>IF($E962="","",INDEX('Input Transaksi'!$F:$F,$E962))</f>
        <v/>
      </c>
      <c r="E962">
        <f>IFERROR(AGGREGATE(15,6,ROW('Input Transaksi'!$B$5:$B$5000)/('Input Transaksi'!$B$5:$B$5000="CUCI DEWE"),ROWS($E$5:E962)),"")</f>
        <v/>
      </c>
      <c r="F962" s="5" t="n"/>
    </row>
    <row r="963">
      <c r="A963" s="10">
        <f>IF($E963="","",INDEX('Input Transaksi'!$A:$A,$E963))</f>
        <v/>
      </c>
      <c r="B963" s="5">
        <f>IF($E963="","",INDEX('Input Transaksi'!$D:$D,$E963))</f>
        <v/>
      </c>
      <c r="C963">
        <f>IF($E963="","",INDEX('Input Transaksi'!$E:$E,$E963))</f>
        <v/>
      </c>
      <c r="D963" s="5">
        <f>IF($E963="","",INDEX('Input Transaksi'!$F:$F,$E963))</f>
        <v/>
      </c>
      <c r="E963">
        <f>IFERROR(AGGREGATE(15,6,ROW('Input Transaksi'!$B$5:$B$5000)/('Input Transaksi'!$B$5:$B$5000="CUCI DEWE"),ROWS($E$5:E963)),"")</f>
        <v/>
      </c>
      <c r="F963" s="5" t="n"/>
    </row>
    <row r="964">
      <c r="A964" s="10">
        <f>IF($E964="","",INDEX('Input Transaksi'!$A:$A,$E964))</f>
        <v/>
      </c>
      <c r="B964" s="5">
        <f>IF($E964="","",INDEX('Input Transaksi'!$D:$D,$E964))</f>
        <v/>
      </c>
      <c r="C964">
        <f>IF($E964="","",INDEX('Input Transaksi'!$E:$E,$E964))</f>
        <v/>
      </c>
      <c r="D964" s="5">
        <f>IF($E964="","",INDEX('Input Transaksi'!$F:$F,$E964))</f>
        <v/>
      </c>
      <c r="E964">
        <f>IFERROR(AGGREGATE(15,6,ROW('Input Transaksi'!$B$5:$B$5000)/('Input Transaksi'!$B$5:$B$5000="CUCI DEWE"),ROWS($E$5:E964)),"")</f>
        <v/>
      </c>
      <c r="F964" s="5" t="n"/>
    </row>
    <row r="965">
      <c r="A965" s="10">
        <f>IF($E965="","",INDEX('Input Transaksi'!$A:$A,$E965))</f>
        <v/>
      </c>
      <c r="B965" s="5">
        <f>IF($E965="","",INDEX('Input Transaksi'!$D:$D,$E965))</f>
        <v/>
      </c>
      <c r="C965">
        <f>IF($E965="","",INDEX('Input Transaksi'!$E:$E,$E965))</f>
        <v/>
      </c>
      <c r="D965" s="5">
        <f>IF($E965="","",INDEX('Input Transaksi'!$F:$F,$E965))</f>
        <v/>
      </c>
      <c r="E965">
        <f>IFERROR(AGGREGATE(15,6,ROW('Input Transaksi'!$B$5:$B$5000)/('Input Transaksi'!$B$5:$B$5000="CUCI DEWE"),ROWS($E$5:E965)),"")</f>
        <v/>
      </c>
      <c r="F965" s="5" t="n"/>
    </row>
    <row r="966">
      <c r="A966" s="10">
        <f>IF($E966="","",INDEX('Input Transaksi'!$A:$A,$E966))</f>
        <v/>
      </c>
      <c r="B966" s="5">
        <f>IF($E966="","",INDEX('Input Transaksi'!$D:$D,$E966))</f>
        <v/>
      </c>
      <c r="C966">
        <f>IF($E966="","",INDEX('Input Transaksi'!$E:$E,$E966))</f>
        <v/>
      </c>
      <c r="D966" s="5">
        <f>IF($E966="","",INDEX('Input Transaksi'!$F:$F,$E966))</f>
        <v/>
      </c>
      <c r="E966">
        <f>IFERROR(AGGREGATE(15,6,ROW('Input Transaksi'!$B$5:$B$5000)/('Input Transaksi'!$B$5:$B$5000="CUCI DEWE"),ROWS($E$5:E966)),"")</f>
        <v/>
      </c>
      <c r="F966" s="5" t="n"/>
    </row>
    <row r="967">
      <c r="A967" s="10">
        <f>IF($E967="","",INDEX('Input Transaksi'!$A:$A,$E967))</f>
        <v/>
      </c>
      <c r="B967" s="5">
        <f>IF($E967="","",INDEX('Input Transaksi'!$D:$D,$E967))</f>
        <v/>
      </c>
      <c r="C967">
        <f>IF($E967="","",INDEX('Input Transaksi'!$E:$E,$E967))</f>
        <v/>
      </c>
      <c r="D967" s="5">
        <f>IF($E967="","",INDEX('Input Transaksi'!$F:$F,$E967))</f>
        <v/>
      </c>
      <c r="E967">
        <f>IFERROR(AGGREGATE(15,6,ROW('Input Transaksi'!$B$5:$B$5000)/('Input Transaksi'!$B$5:$B$5000="CUCI DEWE"),ROWS($E$5:E967)),"")</f>
        <v/>
      </c>
      <c r="F967" s="5" t="n"/>
    </row>
    <row r="968">
      <c r="A968" s="10">
        <f>IF($E968="","",INDEX('Input Transaksi'!$A:$A,$E968))</f>
        <v/>
      </c>
      <c r="B968" s="5">
        <f>IF($E968="","",INDEX('Input Transaksi'!$D:$D,$E968))</f>
        <v/>
      </c>
      <c r="C968">
        <f>IF($E968="","",INDEX('Input Transaksi'!$E:$E,$E968))</f>
        <v/>
      </c>
      <c r="D968" s="5">
        <f>IF($E968="","",INDEX('Input Transaksi'!$F:$F,$E968))</f>
        <v/>
      </c>
      <c r="E968">
        <f>IFERROR(AGGREGATE(15,6,ROW('Input Transaksi'!$B$5:$B$5000)/('Input Transaksi'!$B$5:$B$5000="CUCI DEWE"),ROWS($E$5:E968)),"")</f>
        <v/>
      </c>
      <c r="F968" s="5" t="n"/>
    </row>
    <row r="969">
      <c r="A969" s="10">
        <f>IF($E969="","",INDEX('Input Transaksi'!$A:$A,$E969))</f>
        <v/>
      </c>
      <c r="B969" s="5">
        <f>IF($E969="","",INDEX('Input Transaksi'!$D:$D,$E969))</f>
        <v/>
      </c>
      <c r="C969">
        <f>IF($E969="","",INDEX('Input Transaksi'!$E:$E,$E969))</f>
        <v/>
      </c>
      <c r="D969" s="5">
        <f>IF($E969="","",INDEX('Input Transaksi'!$F:$F,$E969))</f>
        <v/>
      </c>
      <c r="E969">
        <f>IFERROR(AGGREGATE(15,6,ROW('Input Transaksi'!$B$5:$B$5000)/('Input Transaksi'!$B$5:$B$5000="CUCI DEWE"),ROWS($E$5:E969)),"")</f>
        <v/>
      </c>
      <c r="F969" s="5" t="n"/>
    </row>
    <row r="970">
      <c r="A970" s="10">
        <f>IF($E970="","",INDEX('Input Transaksi'!$A:$A,$E970))</f>
        <v/>
      </c>
      <c r="B970" s="5">
        <f>IF($E970="","",INDEX('Input Transaksi'!$D:$D,$E970))</f>
        <v/>
      </c>
      <c r="C970">
        <f>IF($E970="","",INDEX('Input Transaksi'!$E:$E,$E970))</f>
        <v/>
      </c>
      <c r="D970" s="5">
        <f>IF($E970="","",INDEX('Input Transaksi'!$F:$F,$E970))</f>
        <v/>
      </c>
      <c r="E970">
        <f>IFERROR(AGGREGATE(15,6,ROW('Input Transaksi'!$B$5:$B$5000)/('Input Transaksi'!$B$5:$B$5000="CUCI DEWE"),ROWS($E$5:E970)),"")</f>
        <v/>
      </c>
      <c r="F970" s="5" t="n"/>
    </row>
    <row r="971">
      <c r="A971" s="10">
        <f>IF($E971="","",INDEX('Input Transaksi'!$A:$A,$E971))</f>
        <v/>
      </c>
      <c r="B971" s="5">
        <f>IF($E971="","",INDEX('Input Transaksi'!$D:$D,$E971))</f>
        <v/>
      </c>
      <c r="C971">
        <f>IF($E971="","",INDEX('Input Transaksi'!$E:$E,$E971))</f>
        <v/>
      </c>
      <c r="D971" s="5">
        <f>IF($E971="","",INDEX('Input Transaksi'!$F:$F,$E971))</f>
        <v/>
      </c>
      <c r="E971">
        <f>IFERROR(AGGREGATE(15,6,ROW('Input Transaksi'!$B$5:$B$5000)/('Input Transaksi'!$B$5:$B$5000="CUCI DEWE"),ROWS($E$5:E971)),"")</f>
        <v/>
      </c>
      <c r="F971" s="5" t="n"/>
    </row>
    <row r="972">
      <c r="A972" s="10">
        <f>IF($E972="","",INDEX('Input Transaksi'!$A:$A,$E972))</f>
        <v/>
      </c>
      <c r="B972" s="5">
        <f>IF($E972="","",INDEX('Input Transaksi'!$D:$D,$E972))</f>
        <v/>
      </c>
      <c r="C972">
        <f>IF($E972="","",INDEX('Input Transaksi'!$E:$E,$E972))</f>
        <v/>
      </c>
      <c r="D972" s="5">
        <f>IF($E972="","",INDEX('Input Transaksi'!$F:$F,$E972))</f>
        <v/>
      </c>
      <c r="E972">
        <f>IFERROR(AGGREGATE(15,6,ROW('Input Transaksi'!$B$5:$B$5000)/('Input Transaksi'!$B$5:$B$5000="CUCI DEWE"),ROWS($E$5:E972)),"")</f>
        <v/>
      </c>
      <c r="F972" s="5" t="n"/>
    </row>
    <row r="973">
      <c r="A973" s="10">
        <f>IF($E973="","",INDEX('Input Transaksi'!$A:$A,$E973))</f>
        <v/>
      </c>
      <c r="B973" s="5">
        <f>IF($E973="","",INDEX('Input Transaksi'!$D:$D,$E973))</f>
        <v/>
      </c>
      <c r="C973">
        <f>IF($E973="","",INDEX('Input Transaksi'!$E:$E,$E973))</f>
        <v/>
      </c>
      <c r="D973" s="5">
        <f>IF($E973="","",INDEX('Input Transaksi'!$F:$F,$E973))</f>
        <v/>
      </c>
      <c r="E973">
        <f>IFERROR(AGGREGATE(15,6,ROW('Input Transaksi'!$B$5:$B$5000)/('Input Transaksi'!$B$5:$B$5000="CUCI DEWE"),ROWS($E$5:E973)),"")</f>
        <v/>
      </c>
      <c r="F973" s="5" t="n"/>
    </row>
    <row r="974">
      <c r="A974" s="10">
        <f>IF($E974="","",INDEX('Input Transaksi'!$A:$A,$E974))</f>
        <v/>
      </c>
      <c r="B974" s="5">
        <f>IF($E974="","",INDEX('Input Transaksi'!$D:$D,$E974))</f>
        <v/>
      </c>
      <c r="C974">
        <f>IF($E974="","",INDEX('Input Transaksi'!$E:$E,$E974))</f>
        <v/>
      </c>
      <c r="D974" s="5">
        <f>IF($E974="","",INDEX('Input Transaksi'!$F:$F,$E974))</f>
        <v/>
      </c>
      <c r="E974">
        <f>IFERROR(AGGREGATE(15,6,ROW('Input Transaksi'!$B$5:$B$5000)/('Input Transaksi'!$B$5:$B$5000="CUCI DEWE"),ROWS($E$5:E974)),"")</f>
        <v/>
      </c>
      <c r="F974" s="5" t="n"/>
    </row>
    <row r="975">
      <c r="A975" s="10">
        <f>IF($E975="","",INDEX('Input Transaksi'!$A:$A,$E975))</f>
        <v/>
      </c>
      <c r="B975" s="5">
        <f>IF($E975="","",INDEX('Input Transaksi'!$D:$D,$E975))</f>
        <v/>
      </c>
      <c r="C975">
        <f>IF($E975="","",INDEX('Input Transaksi'!$E:$E,$E975))</f>
        <v/>
      </c>
      <c r="D975" s="5">
        <f>IF($E975="","",INDEX('Input Transaksi'!$F:$F,$E975))</f>
        <v/>
      </c>
      <c r="E975">
        <f>IFERROR(AGGREGATE(15,6,ROW('Input Transaksi'!$B$5:$B$5000)/('Input Transaksi'!$B$5:$B$5000="CUCI DEWE"),ROWS($E$5:E975)),"")</f>
        <v/>
      </c>
      <c r="F975" s="5" t="n"/>
    </row>
    <row r="976">
      <c r="A976" s="10">
        <f>IF($E976="","",INDEX('Input Transaksi'!$A:$A,$E976))</f>
        <v/>
      </c>
      <c r="B976" s="5">
        <f>IF($E976="","",INDEX('Input Transaksi'!$D:$D,$E976))</f>
        <v/>
      </c>
      <c r="C976">
        <f>IF($E976="","",INDEX('Input Transaksi'!$E:$E,$E976))</f>
        <v/>
      </c>
      <c r="D976" s="5">
        <f>IF($E976="","",INDEX('Input Transaksi'!$F:$F,$E976))</f>
        <v/>
      </c>
      <c r="E976">
        <f>IFERROR(AGGREGATE(15,6,ROW('Input Transaksi'!$B$5:$B$5000)/('Input Transaksi'!$B$5:$B$5000="CUCI DEWE"),ROWS($E$5:E976)),"")</f>
        <v/>
      </c>
      <c r="F976" s="5" t="n"/>
    </row>
    <row r="977">
      <c r="A977" s="10">
        <f>IF($E977="","",INDEX('Input Transaksi'!$A:$A,$E977))</f>
        <v/>
      </c>
      <c r="B977" s="5">
        <f>IF($E977="","",INDEX('Input Transaksi'!$D:$D,$E977))</f>
        <v/>
      </c>
      <c r="C977">
        <f>IF($E977="","",INDEX('Input Transaksi'!$E:$E,$E977))</f>
        <v/>
      </c>
      <c r="D977" s="5">
        <f>IF($E977="","",INDEX('Input Transaksi'!$F:$F,$E977))</f>
        <v/>
      </c>
      <c r="E977">
        <f>IFERROR(AGGREGATE(15,6,ROW('Input Transaksi'!$B$5:$B$5000)/('Input Transaksi'!$B$5:$B$5000="CUCI DEWE"),ROWS($E$5:E977)),"")</f>
        <v/>
      </c>
      <c r="F977" s="5" t="n"/>
    </row>
    <row r="978">
      <c r="A978" s="10">
        <f>IF($E978="","",INDEX('Input Transaksi'!$A:$A,$E978))</f>
        <v/>
      </c>
      <c r="B978" s="5">
        <f>IF($E978="","",INDEX('Input Transaksi'!$D:$D,$E978))</f>
        <v/>
      </c>
      <c r="C978">
        <f>IF($E978="","",INDEX('Input Transaksi'!$E:$E,$E978))</f>
        <v/>
      </c>
      <c r="D978" s="5">
        <f>IF($E978="","",INDEX('Input Transaksi'!$F:$F,$E978))</f>
        <v/>
      </c>
      <c r="E978">
        <f>IFERROR(AGGREGATE(15,6,ROW('Input Transaksi'!$B$5:$B$5000)/('Input Transaksi'!$B$5:$B$5000="CUCI DEWE"),ROWS($E$5:E978)),"")</f>
        <v/>
      </c>
      <c r="F978" s="5" t="n"/>
    </row>
    <row r="979">
      <c r="A979" s="10">
        <f>IF($E979="","",INDEX('Input Transaksi'!$A:$A,$E979))</f>
        <v/>
      </c>
      <c r="B979" s="5">
        <f>IF($E979="","",INDEX('Input Transaksi'!$D:$D,$E979))</f>
        <v/>
      </c>
      <c r="C979">
        <f>IF($E979="","",INDEX('Input Transaksi'!$E:$E,$E979))</f>
        <v/>
      </c>
      <c r="D979" s="5">
        <f>IF($E979="","",INDEX('Input Transaksi'!$F:$F,$E979))</f>
        <v/>
      </c>
      <c r="E979">
        <f>IFERROR(AGGREGATE(15,6,ROW('Input Transaksi'!$B$5:$B$5000)/('Input Transaksi'!$B$5:$B$5000="CUCI DEWE"),ROWS($E$5:E979)),"")</f>
        <v/>
      </c>
      <c r="F979" s="5" t="n"/>
    </row>
    <row r="980">
      <c r="A980" s="10">
        <f>IF($E980="","",INDEX('Input Transaksi'!$A:$A,$E980))</f>
        <v/>
      </c>
      <c r="B980" s="5">
        <f>IF($E980="","",INDEX('Input Transaksi'!$D:$D,$E980))</f>
        <v/>
      </c>
      <c r="C980">
        <f>IF($E980="","",INDEX('Input Transaksi'!$E:$E,$E980))</f>
        <v/>
      </c>
      <c r="D980" s="5">
        <f>IF($E980="","",INDEX('Input Transaksi'!$F:$F,$E980))</f>
        <v/>
      </c>
      <c r="E980">
        <f>IFERROR(AGGREGATE(15,6,ROW('Input Transaksi'!$B$5:$B$5000)/('Input Transaksi'!$B$5:$B$5000="CUCI DEWE"),ROWS($E$5:E980)),"")</f>
        <v/>
      </c>
      <c r="F980" s="5" t="n"/>
    </row>
    <row r="981">
      <c r="A981" s="10">
        <f>IF($E981="","",INDEX('Input Transaksi'!$A:$A,$E981))</f>
        <v/>
      </c>
      <c r="B981" s="5">
        <f>IF($E981="","",INDEX('Input Transaksi'!$D:$D,$E981))</f>
        <v/>
      </c>
      <c r="C981">
        <f>IF($E981="","",INDEX('Input Transaksi'!$E:$E,$E981))</f>
        <v/>
      </c>
      <c r="D981" s="5">
        <f>IF($E981="","",INDEX('Input Transaksi'!$F:$F,$E981))</f>
        <v/>
      </c>
      <c r="E981">
        <f>IFERROR(AGGREGATE(15,6,ROW('Input Transaksi'!$B$5:$B$5000)/('Input Transaksi'!$B$5:$B$5000="CUCI DEWE"),ROWS($E$5:E981)),"")</f>
        <v/>
      </c>
      <c r="F981" s="5" t="n"/>
    </row>
    <row r="982">
      <c r="A982" s="10">
        <f>IF($E982="","",INDEX('Input Transaksi'!$A:$A,$E982))</f>
        <v/>
      </c>
      <c r="B982" s="5">
        <f>IF($E982="","",INDEX('Input Transaksi'!$D:$D,$E982))</f>
        <v/>
      </c>
      <c r="C982">
        <f>IF($E982="","",INDEX('Input Transaksi'!$E:$E,$E982))</f>
        <v/>
      </c>
      <c r="D982" s="5">
        <f>IF($E982="","",INDEX('Input Transaksi'!$F:$F,$E982))</f>
        <v/>
      </c>
      <c r="E982">
        <f>IFERROR(AGGREGATE(15,6,ROW('Input Transaksi'!$B$5:$B$5000)/('Input Transaksi'!$B$5:$B$5000="CUCI DEWE"),ROWS($E$5:E982)),"")</f>
        <v/>
      </c>
      <c r="F982" s="5" t="n"/>
    </row>
    <row r="983">
      <c r="A983" s="10">
        <f>IF($E983="","",INDEX('Input Transaksi'!$A:$A,$E983))</f>
        <v/>
      </c>
      <c r="B983" s="5">
        <f>IF($E983="","",INDEX('Input Transaksi'!$D:$D,$E983))</f>
        <v/>
      </c>
      <c r="C983">
        <f>IF($E983="","",INDEX('Input Transaksi'!$E:$E,$E983))</f>
        <v/>
      </c>
      <c r="D983" s="5">
        <f>IF($E983="","",INDEX('Input Transaksi'!$F:$F,$E983))</f>
        <v/>
      </c>
      <c r="E983">
        <f>IFERROR(AGGREGATE(15,6,ROW('Input Transaksi'!$B$5:$B$5000)/('Input Transaksi'!$B$5:$B$5000="CUCI DEWE"),ROWS($E$5:E983)),"")</f>
        <v/>
      </c>
      <c r="F983" s="5" t="n"/>
    </row>
    <row r="984">
      <c r="A984" s="10">
        <f>IF($E984="","",INDEX('Input Transaksi'!$A:$A,$E984))</f>
        <v/>
      </c>
      <c r="B984" s="5">
        <f>IF($E984="","",INDEX('Input Transaksi'!$D:$D,$E984))</f>
        <v/>
      </c>
      <c r="C984">
        <f>IF($E984="","",INDEX('Input Transaksi'!$E:$E,$E984))</f>
        <v/>
      </c>
      <c r="D984" s="5">
        <f>IF($E984="","",INDEX('Input Transaksi'!$F:$F,$E984))</f>
        <v/>
      </c>
      <c r="E984">
        <f>IFERROR(AGGREGATE(15,6,ROW('Input Transaksi'!$B$5:$B$5000)/('Input Transaksi'!$B$5:$B$5000="CUCI DEWE"),ROWS($E$5:E984)),"")</f>
        <v/>
      </c>
      <c r="F984" s="5" t="n"/>
    </row>
    <row r="985">
      <c r="A985" s="10">
        <f>IF($E985="","",INDEX('Input Transaksi'!$A:$A,$E985))</f>
        <v/>
      </c>
      <c r="B985" s="5">
        <f>IF($E985="","",INDEX('Input Transaksi'!$D:$D,$E985))</f>
        <v/>
      </c>
      <c r="C985">
        <f>IF($E985="","",INDEX('Input Transaksi'!$E:$E,$E985))</f>
        <v/>
      </c>
      <c r="D985" s="5">
        <f>IF($E985="","",INDEX('Input Transaksi'!$F:$F,$E985))</f>
        <v/>
      </c>
      <c r="E985">
        <f>IFERROR(AGGREGATE(15,6,ROW('Input Transaksi'!$B$5:$B$5000)/('Input Transaksi'!$B$5:$B$5000="CUCI DEWE"),ROWS($E$5:E985)),"")</f>
        <v/>
      </c>
      <c r="F985" s="5" t="n"/>
    </row>
    <row r="986">
      <c r="A986" s="10">
        <f>IF($E986="","",INDEX('Input Transaksi'!$A:$A,$E986))</f>
        <v/>
      </c>
      <c r="B986" s="5">
        <f>IF($E986="","",INDEX('Input Transaksi'!$D:$D,$E986))</f>
        <v/>
      </c>
      <c r="C986">
        <f>IF($E986="","",INDEX('Input Transaksi'!$E:$E,$E986))</f>
        <v/>
      </c>
      <c r="D986" s="5">
        <f>IF($E986="","",INDEX('Input Transaksi'!$F:$F,$E986))</f>
        <v/>
      </c>
      <c r="E986">
        <f>IFERROR(AGGREGATE(15,6,ROW('Input Transaksi'!$B$5:$B$5000)/('Input Transaksi'!$B$5:$B$5000="CUCI DEWE"),ROWS($E$5:E986)),"")</f>
        <v/>
      </c>
      <c r="F986" s="5" t="n"/>
    </row>
    <row r="987">
      <c r="A987" s="10">
        <f>IF($E987="","",INDEX('Input Transaksi'!$A:$A,$E987))</f>
        <v/>
      </c>
      <c r="B987" s="5">
        <f>IF($E987="","",INDEX('Input Transaksi'!$D:$D,$E987))</f>
        <v/>
      </c>
      <c r="C987">
        <f>IF($E987="","",INDEX('Input Transaksi'!$E:$E,$E987))</f>
        <v/>
      </c>
      <c r="D987" s="5">
        <f>IF($E987="","",INDEX('Input Transaksi'!$F:$F,$E987))</f>
        <v/>
      </c>
      <c r="E987">
        <f>IFERROR(AGGREGATE(15,6,ROW('Input Transaksi'!$B$5:$B$5000)/('Input Transaksi'!$B$5:$B$5000="CUCI DEWE"),ROWS($E$5:E987)),"")</f>
        <v/>
      </c>
      <c r="F987" s="5" t="n"/>
    </row>
    <row r="988">
      <c r="A988" s="10">
        <f>IF($E988="","",INDEX('Input Transaksi'!$A:$A,$E988))</f>
        <v/>
      </c>
      <c r="B988" s="5">
        <f>IF($E988="","",INDEX('Input Transaksi'!$D:$D,$E988))</f>
        <v/>
      </c>
      <c r="C988">
        <f>IF($E988="","",INDEX('Input Transaksi'!$E:$E,$E988))</f>
        <v/>
      </c>
      <c r="D988" s="5">
        <f>IF($E988="","",INDEX('Input Transaksi'!$F:$F,$E988))</f>
        <v/>
      </c>
      <c r="E988">
        <f>IFERROR(AGGREGATE(15,6,ROW('Input Transaksi'!$B$5:$B$5000)/('Input Transaksi'!$B$5:$B$5000="CUCI DEWE"),ROWS($E$5:E988)),"")</f>
        <v/>
      </c>
      <c r="F988" s="5" t="n"/>
    </row>
    <row r="989">
      <c r="A989" s="10">
        <f>IF($E989="","",INDEX('Input Transaksi'!$A:$A,$E989))</f>
        <v/>
      </c>
      <c r="B989" s="5">
        <f>IF($E989="","",INDEX('Input Transaksi'!$D:$D,$E989))</f>
        <v/>
      </c>
      <c r="C989">
        <f>IF($E989="","",INDEX('Input Transaksi'!$E:$E,$E989))</f>
        <v/>
      </c>
      <c r="D989" s="5">
        <f>IF($E989="","",INDEX('Input Transaksi'!$F:$F,$E989))</f>
        <v/>
      </c>
      <c r="E989">
        <f>IFERROR(AGGREGATE(15,6,ROW('Input Transaksi'!$B$5:$B$5000)/('Input Transaksi'!$B$5:$B$5000="CUCI DEWE"),ROWS($E$5:E989)),"")</f>
        <v/>
      </c>
      <c r="F989" s="5" t="n"/>
    </row>
    <row r="990">
      <c r="A990" s="10">
        <f>IF($E990="","",INDEX('Input Transaksi'!$A:$A,$E990))</f>
        <v/>
      </c>
      <c r="B990" s="5">
        <f>IF($E990="","",INDEX('Input Transaksi'!$D:$D,$E990))</f>
        <v/>
      </c>
      <c r="C990">
        <f>IF($E990="","",INDEX('Input Transaksi'!$E:$E,$E990))</f>
        <v/>
      </c>
      <c r="D990" s="5">
        <f>IF($E990="","",INDEX('Input Transaksi'!$F:$F,$E990))</f>
        <v/>
      </c>
      <c r="E990">
        <f>IFERROR(AGGREGATE(15,6,ROW('Input Transaksi'!$B$5:$B$5000)/('Input Transaksi'!$B$5:$B$5000="CUCI DEWE"),ROWS($E$5:E990)),"")</f>
        <v/>
      </c>
      <c r="F990" s="5" t="n"/>
    </row>
    <row r="991">
      <c r="A991" s="10">
        <f>IF($E991="","",INDEX('Input Transaksi'!$A:$A,$E991))</f>
        <v/>
      </c>
      <c r="B991" s="5">
        <f>IF($E991="","",INDEX('Input Transaksi'!$D:$D,$E991))</f>
        <v/>
      </c>
      <c r="C991">
        <f>IF($E991="","",INDEX('Input Transaksi'!$E:$E,$E991))</f>
        <v/>
      </c>
      <c r="D991" s="5">
        <f>IF($E991="","",INDEX('Input Transaksi'!$F:$F,$E991))</f>
        <v/>
      </c>
      <c r="E991">
        <f>IFERROR(AGGREGATE(15,6,ROW('Input Transaksi'!$B$5:$B$5000)/('Input Transaksi'!$B$5:$B$5000="CUCI DEWE"),ROWS($E$5:E991)),"")</f>
        <v/>
      </c>
      <c r="F991" s="5" t="n"/>
    </row>
    <row r="992">
      <c r="A992" s="10">
        <f>IF($E992="","",INDEX('Input Transaksi'!$A:$A,$E992))</f>
        <v/>
      </c>
      <c r="B992" s="5">
        <f>IF($E992="","",INDEX('Input Transaksi'!$D:$D,$E992))</f>
        <v/>
      </c>
      <c r="C992">
        <f>IF($E992="","",INDEX('Input Transaksi'!$E:$E,$E992))</f>
        <v/>
      </c>
      <c r="D992" s="5">
        <f>IF($E992="","",INDEX('Input Transaksi'!$F:$F,$E992))</f>
        <v/>
      </c>
      <c r="E992">
        <f>IFERROR(AGGREGATE(15,6,ROW('Input Transaksi'!$B$5:$B$5000)/('Input Transaksi'!$B$5:$B$5000="CUCI DEWE"),ROWS($E$5:E992)),"")</f>
        <v/>
      </c>
      <c r="F992" s="5" t="n"/>
    </row>
    <row r="993">
      <c r="A993" s="10">
        <f>IF($E993="","",INDEX('Input Transaksi'!$A:$A,$E993))</f>
        <v/>
      </c>
      <c r="B993" s="5">
        <f>IF($E993="","",INDEX('Input Transaksi'!$D:$D,$E993))</f>
        <v/>
      </c>
      <c r="C993">
        <f>IF($E993="","",INDEX('Input Transaksi'!$E:$E,$E993))</f>
        <v/>
      </c>
      <c r="D993" s="5">
        <f>IF($E993="","",INDEX('Input Transaksi'!$F:$F,$E993))</f>
        <v/>
      </c>
      <c r="E993">
        <f>IFERROR(AGGREGATE(15,6,ROW('Input Transaksi'!$B$5:$B$5000)/('Input Transaksi'!$B$5:$B$5000="CUCI DEWE"),ROWS($E$5:E993)),"")</f>
        <v/>
      </c>
      <c r="F993" s="5" t="n"/>
    </row>
    <row r="994">
      <c r="A994" s="10">
        <f>IF($E994="","",INDEX('Input Transaksi'!$A:$A,$E994))</f>
        <v/>
      </c>
      <c r="B994" s="5">
        <f>IF($E994="","",INDEX('Input Transaksi'!$D:$D,$E994))</f>
        <v/>
      </c>
      <c r="C994">
        <f>IF($E994="","",INDEX('Input Transaksi'!$E:$E,$E994))</f>
        <v/>
      </c>
      <c r="D994" s="5">
        <f>IF($E994="","",INDEX('Input Transaksi'!$F:$F,$E994))</f>
        <v/>
      </c>
      <c r="E994">
        <f>IFERROR(AGGREGATE(15,6,ROW('Input Transaksi'!$B$5:$B$5000)/('Input Transaksi'!$B$5:$B$5000="CUCI DEWE"),ROWS($E$5:E994)),"")</f>
        <v/>
      </c>
      <c r="F994" s="5" t="n"/>
    </row>
    <row r="995">
      <c r="A995" s="10">
        <f>IF($E995="","",INDEX('Input Transaksi'!$A:$A,$E995))</f>
        <v/>
      </c>
      <c r="B995" s="5">
        <f>IF($E995="","",INDEX('Input Transaksi'!$D:$D,$E995))</f>
        <v/>
      </c>
      <c r="C995">
        <f>IF($E995="","",INDEX('Input Transaksi'!$E:$E,$E995))</f>
        <v/>
      </c>
      <c r="D995" s="5">
        <f>IF($E995="","",INDEX('Input Transaksi'!$F:$F,$E995))</f>
        <v/>
      </c>
      <c r="E995">
        <f>IFERROR(AGGREGATE(15,6,ROW('Input Transaksi'!$B$5:$B$5000)/('Input Transaksi'!$B$5:$B$5000="CUCI DEWE"),ROWS($E$5:E995)),"")</f>
        <v/>
      </c>
      <c r="F995" s="5" t="n"/>
    </row>
    <row r="996">
      <c r="A996" s="10">
        <f>IF($E996="","",INDEX('Input Transaksi'!$A:$A,$E996))</f>
        <v/>
      </c>
      <c r="B996" s="5">
        <f>IF($E996="","",INDEX('Input Transaksi'!$D:$D,$E996))</f>
        <v/>
      </c>
      <c r="C996">
        <f>IF($E996="","",INDEX('Input Transaksi'!$E:$E,$E996))</f>
        <v/>
      </c>
      <c r="D996" s="5">
        <f>IF($E996="","",INDEX('Input Transaksi'!$F:$F,$E996))</f>
        <v/>
      </c>
      <c r="E996">
        <f>IFERROR(AGGREGATE(15,6,ROW('Input Transaksi'!$B$5:$B$5000)/('Input Transaksi'!$B$5:$B$5000="CUCI DEWE"),ROWS($E$5:E996)),"")</f>
        <v/>
      </c>
      <c r="F996" s="5" t="n"/>
    </row>
    <row r="997">
      <c r="A997" s="10">
        <f>IF($E997="","",INDEX('Input Transaksi'!$A:$A,$E997))</f>
        <v/>
      </c>
      <c r="B997" s="5">
        <f>IF($E997="","",INDEX('Input Transaksi'!$D:$D,$E997))</f>
        <v/>
      </c>
      <c r="C997">
        <f>IF($E997="","",INDEX('Input Transaksi'!$E:$E,$E997))</f>
        <v/>
      </c>
      <c r="D997" s="5">
        <f>IF($E997="","",INDEX('Input Transaksi'!$F:$F,$E997))</f>
        <v/>
      </c>
      <c r="E997">
        <f>IFERROR(AGGREGATE(15,6,ROW('Input Transaksi'!$B$5:$B$5000)/('Input Transaksi'!$B$5:$B$5000="CUCI DEWE"),ROWS($E$5:E997)),"")</f>
        <v/>
      </c>
      <c r="F997" s="5" t="n"/>
    </row>
    <row r="998">
      <c r="A998" s="10">
        <f>IF($E998="","",INDEX('Input Transaksi'!$A:$A,$E998))</f>
        <v/>
      </c>
      <c r="B998" s="5">
        <f>IF($E998="","",INDEX('Input Transaksi'!$D:$D,$E998))</f>
        <v/>
      </c>
      <c r="C998">
        <f>IF($E998="","",INDEX('Input Transaksi'!$E:$E,$E998))</f>
        <v/>
      </c>
      <c r="D998" s="5">
        <f>IF($E998="","",INDEX('Input Transaksi'!$F:$F,$E998))</f>
        <v/>
      </c>
      <c r="E998">
        <f>IFERROR(AGGREGATE(15,6,ROW('Input Transaksi'!$B$5:$B$5000)/('Input Transaksi'!$B$5:$B$5000="CUCI DEWE"),ROWS($E$5:E998)),"")</f>
        <v/>
      </c>
      <c r="F998" s="5" t="n"/>
    </row>
    <row r="999">
      <c r="A999" s="10">
        <f>IF($E999="","",INDEX('Input Transaksi'!$A:$A,$E999))</f>
        <v/>
      </c>
      <c r="B999" s="5">
        <f>IF($E999="","",INDEX('Input Transaksi'!$D:$D,$E999))</f>
        <v/>
      </c>
      <c r="C999">
        <f>IF($E999="","",INDEX('Input Transaksi'!$E:$E,$E999))</f>
        <v/>
      </c>
      <c r="D999" s="5">
        <f>IF($E999="","",INDEX('Input Transaksi'!$F:$F,$E999))</f>
        <v/>
      </c>
      <c r="E999">
        <f>IFERROR(AGGREGATE(15,6,ROW('Input Transaksi'!$B$5:$B$5000)/('Input Transaksi'!$B$5:$B$5000="CUCI DEWE"),ROWS($E$5:E999)),"")</f>
        <v/>
      </c>
      <c r="F999" s="5" t="n"/>
    </row>
    <row r="1000">
      <c r="A1000" s="10">
        <f>IF($E1000="","",INDEX('Input Transaksi'!$A:$A,$E1000))</f>
        <v/>
      </c>
      <c r="B1000" s="5">
        <f>IF($E1000="","",INDEX('Input Transaksi'!$D:$D,$E1000))</f>
        <v/>
      </c>
      <c r="C1000">
        <f>IF($E1000="","",INDEX('Input Transaksi'!$E:$E,$E1000))</f>
        <v/>
      </c>
      <c r="D1000" s="5">
        <f>IF($E1000="","",INDEX('Input Transaksi'!$F:$F,$E1000))</f>
        <v/>
      </c>
      <c r="E1000">
        <f>IFERROR(AGGREGATE(15,6,ROW('Input Transaksi'!$B$5:$B$5000)/('Input Transaksi'!$B$5:$B$5000="CUCI DEWE"),ROWS($E$5:E1000)),"")</f>
        <v/>
      </c>
      <c r="F1000" s="5" t="n"/>
    </row>
  </sheetData>
  <autoFilter ref="A4:D1000"/>
  <mergeCells count="1">
    <mergeCell ref="A1:E1"/>
  </mergeCells>
  <hyperlinks>
    <hyperlink ref="F1" location="'Beranda'!A1" display="Kembali ke Beranda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000"/>
  <sheetViews>
    <sheetView workbookViewId="0">
      <pane ySplit="4" topLeftCell="A5" activePane="bottomLeft" state="frozen"/>
      <selection pane="bottomLeft" activeCell="A1" sqref="A1"/>
    </sheetView>
  </sheetViews>
  <sheetFormatPr baseColWidth="10" defaultColWidth="8.83203125" defaultRowHeight="15"/>
  <cols>
    <col width="16" customWidth="1" min="1" max="1"/>
    <col width="22" customWidth="1" min="2" max="2"/>
    <col width="12" customWidth="1" min="3" max="3"/>
    <col width="26" customWidth="1" min="4" max="4"/>
    <col hidden="1" width="12.6640625" customWidth="1" min="5" max="5"/>
    <col width="16" customWidth="1" min="6" max="6"/>
    <col hidden="1" width="13" customWidth="1" min="7" max="7"/>
  </cols>
  <sheetData>
    <row r="1" ht="24" customHeight="1">
      <c r="A1" s="11" t="inlineStr">
        <is>
          <t>LONDRI DEWE ANTASURA</t>
        </is>
      </c>
      <c r="F1" s="3" t="inlineStr">
        <is>
          <t>Kembali ke Beranda</t>
        </is>
      </c>
    </row>
    <row r="2">
      <c r="A2" s="13" t="inlineStr">
        <is>
          <t>Wilayah</t>
        </is>
      </c>
      <c r="B2" s="13" t="inlineStr">
        <is>
          <t>UTARA</t>
        </is>
      </c>
      <c r="C2" s="13" t="inlineStr">
        <is>
          <t>Total Qty</t>
        </is>
      </c>
      <c r="D2" s="2">
        <f>SUMIFS('Input Transaksi'!$E$5:$E$5000,'Input Transaksi'!$B$5:$B$5000,"LONDRI DEWE ANTASURA")</f>
        <v/>
      </c>
      <c r="E2" s="13" t="inlineStr">
        <is>
          <t>Jumlah Transaksi</t>
        </is>
      </c>
      <c r="F2" s="2">
        <f>COUNTIF('Input Transaksi'!$B$5:$B$5000,"LONDRI DEWE ANTASURA")</f>
        <v/>
      </c>
    </row>
    <row r="3"/>
    <row r="4">
      <c r="A4" s="4" t="inlineStr">
        <is>
          <t>Tanggal</t>
        </is>
      </c>
      <c r="B4" s="4" t="inlineStr">
        <is>
          <t>Item</t>
        </is>
      </c>
      <c r="C4" s="4" t="inlineStr">
        <is>
          <t>Qty Keluar</t>
        </is>
      </c>
      <c r="D4" s="4" t="inlineStr">
        <is>
          <t>Catatan</t>
        </is>
      </c>
      <c r="E4" t="inlineStr">
        <is>
          <t>RowRef</t>
        </is>
      </c>
      <c r="F4" s="4" t="n"/>
    </row>
    <row r="5">
      <c r="A5" s="10">
        <f>IF($E5="","",INDEX('Input Transaksi'!$A:$A,$E5))</f>
        <v/>
      </c>
      <c r="B5" s="5">
        <f>IF($E5="","",INDEX('Input Transaksi'!$D:$D,$E5))</f>
        <v/>
      </c>
      <c r="C5">
        <f>IF($E5="","",INDEX('Input Transaksi'!$E:$E,$E5))</f>
        <v/>
      </c>
      <c r="D5" s="5">
        <f>IF($E5="","",INDEX('Input Transaksi'!$F:$F,$E5))</f>
        <v/>
      </c>
      <c r="E5">
        <f>IFERROR(AGGREGATE(15,6,ROW('Input Transaksi'!$B$5:$B$5000)/('Input Transaksi'!$B$5:$B$5000="LONDRI DEWE ANTASURA"),ROWS($E$5:E5)),"")</f>
        <v/>
      </c>
      <c r="F5" s="5" t="n"/>
    </row>
    <row r="6">
      <c r="A6" s="10">
        <f>IF($E6="","",INDEX('Input Transaksi'!$A:$A,$E6))</f>
        <v/>
      </c>
      <c r="B6" s="5">
        <f>IF($E6="","",INDEX('Input Transaksi'!$D:$D,$E6))</f>
        <v/>
      </c>
      <c r="C6">
        <f>IF($E6="","",INDEX('Input Transaksi'!$E:$E,$E6))</f>
        <v/>
      </c>
      <c r="D6" s="5">
        <f>IF($E6="","",INDEX('Input Transaksi'!$F:$F,$E6))</f>
        <v/>
      </c>
      <c r="E6">
        <f>IFERROR(AGGREGATE(15,6,ROW('Input Transaksi'!$B$5:$B$5000)/('Input Transaksi'!$B$5:$B$5000="LONDRI DEWE ANTASURA"),ROWS($E$5:E6)),"")</f>
        <v/>
      </c>
      <c r="F6" s="5" t="n"/>
    </row>
    <row r="7">
      <c r="A7" s="10">
        <f>IF($E7="","",INDEX('Input Transaksi'!$A:$A,$E7))</f>
        <v/>
      </c>
      <c r="B7" s="5">
        <f>IF($E7="","",INDEX('Input Transaksi'!$D:$D,$E7))</f>
        <v/>
      </c>
      <c r="C7">
        <f>IF($E7="","",INDEX('Input Transaksi'!$E:$E,$E7))</f>
        <v/>
      </c>
      <c r="D7" s="5">
        <f>IF($E7="","",INDEX('Input Transaksi'!$F:$F,$E7))</f>
        <v/>
      </c>
      <c r="E7">
        <f>IFERROR(AGGREGATE(15,6,ROW('Input Transaksi'!$B$5:$B$5000)/('Input Transaksi'!$B$5:$B$5000="LONDRI DEWE ANTASURA"),ROWS($E$5:E7)),"")</f>
        <v/>
      </c>
      <c r="F7" s="5" t="n"/>
    </row>
    <row r="8">
      <c r="A8" s="10">
        <f>IF($E8="","",INDEX('Input Transaksi'!$A:$A,$E8))</f>
        <v/>
      </c>
      <c r="B8" s="5">
        <f>IF($E8="","",INDEX('Input Transaksi'!$D:$D,$E8))</f>
        <v/>
      </c>
      <c r="C8">
        <f>IF($E8="","",INDEX('Input Transaksi'!$E:$E,$E8))</f>
        <v/>
      </c>
      <c r="D8" s="5">
        <f>IF($E8="","",INDEX('Input Transaksi'!$F:$F,$E8))</f>
        <v/>
      </c>
      <c r="E8">
        <f>IFERROR(AGGREGATE(15,6,ROW('Input Transaksi'!$B$5:$B$5000)/('Input Transaksi'!$B$5:$B$5000="LONDRI DEWE ANTASURA"),ROWS($E$5:E8)),"")</f>
        <v/>
      </c>
      <c r="F8" s="5" t="n"/>
    </row>
    <row r="9">
      <c r="A9" s="10">
        <f>IF($E9="","",INDEX('Input Transaksi'!$A:$A,$E9))</f>
        <v/>
      </c>
      <c r="B9" s="5">
        <f>IF($E9="","",INDEX('Input Transaksi'!$D:$D,$E9))</f>
        <v/>
      </c>
      <c r="C9">
        <f>IF($E9="","",INDEX('Input Transaksi'!$E:$E,$E9))</f>
        <v/>
      </c>
      <c r="D9" s="5">
        <f>IF($E9="","",INDEX('Input Transaksi'!$F:$F,$E9))</f>
        <v/>
      </c>
      <c r="E9">
        <f>IFERROR(AGGREGATE(15,6,ROW('Input Transaksi'!$B$5:$B$5000)/('Input Transaksi'!$B$5:$B$5000="LONDRI DEWE ANTASURA"),ROWS($E$5:E9)),"")</f>
        <v/>
      </c>
      <c r="F9" s="5" t="n"/>
    </row>
    <row r="10">
      <c r="A10" s="10">
        <f>IF($E10="","",INDEX('Input Transaksi'!$A:$A,$E10))</f>
        <v/>
      </c>
      <c r="B10" s="5">
        <f>IF($E10="","",INDEX('Input Transaksi'!$D:$D,$E10))</f>
        <v/>
      </c>
      <c r="C10">
        <f>IF($E10="","",INDEX('Input Transaksi'!$E:$E,$E10))</f>
        <v/>
      </c>
      <c r="D10" s="5">
        <f>IF($E10="","",INDEX('Input Transaksi'!$F:$F,$E10))</f>
        <v/>
      </c>
      <c r="E10">
        <f>IFERROR(AGGREGATE(15,6,ROW('Input Transaksi'!$B$5:$B$5000)/('Input Transaksi'!$B$5:$B$5000="LONDRI DEWE ANTASURA"),ROWS($E$5:E10)),"")</f>
        <v/>
      </c>
      <c r="F10" s="5" t="n"/>
    </row>
    <row r="11">
      <c r="A11" s="10">
        <f>IF($E11="","",INDEX('Input Transaksi'!$A:$A,$E11))</f>
        <v/>
      </c>
      <c r="B11" s="5">
        <f>IF($E11="","",INDEX('Input Transaksi'!$D:$D,$E11))</f>
        <v/>
      </c>
      <c r="C11">
        <f>IF($E11="","",INDEX('Input Transaksi'!$E:$E,$E11))</f>
        <v/>
      </c>
      <c r="D11" s="5">
        <f>IF($E11="","",INDEX('Input Transaksi'!$F:$F,$E11))</f>
        <v/>
      </c>
      <c r="E11">
        <f>IFERROR(AGGREGATE(15,6,ROW('Input Transaksi'!$B$5:$B$5000)/('Input Transaksi'!$B$5:$B$5000="LONDRI DEWE ANTASURA"),ROWS($E$5:E11)),"")</f>
        <v/>
      </c>
      <c r="F11" s="5" t="n"/>
    </row>
    <row r="12">
      <c r="A12" s="10">
        <f>IF($E12="","",INDEX('Input Transaksi'!$A:$A,$E12))</f>
        <v/>
      </c>
      <c r="B12" s="5">
        <f>IF($E12="","",INDEX('Input Transaksi'!$D:$D,$E12))</f>
        <v/>
      </c>
      <c r="C12">
        <f>IF($E12="","",INDEX('Input Transaksi'!$E:$E,$E12))</f>
        <v/>
      </c>
      <c r="D12" s="5">
        <f>IF($E12="","",INDEX('Input Transaksi'!$F:$F,$E12))</f>
        <v/>
      </c>
      <c r="E12">
        <f>IFERROR(AGGREGATE(15,6,ROW('Input Transaksi'!$B$5:$B$5000)/('Input Transaksi'!$B$5:$B$5000="LONDRI DEWE ANTASURA"),ROWS($E$5:E12)),"")</f>
        <v/>
      </c>
      <c r="F12" s="5" t="n"/>
    </row>
    <row r="13">
      <c r="A13" s="10">
        <f>IF($E13="","",INDEX('Input Transaksi'!$A:$A,$E13))</f>
        <v/>
      </c>
      <c r="B13" s="5">
        <f>IF($E13="","",INDEX('Input Transaksi'!$D:$D,$E13))</f>
        <v/>
      </c>
      <c r="C13">
        <f>IF($E13="","",INDEX('Input Transaksi'!$E:$E,$E13))</f>
        <v/>
      </c>
      <c r="D13" s="5">
        <f>IF($E13="","",INDEX('Input Transaksi'!$F:$F,$E13))</f>
        <v/>
      </c>
      <c r="E13">
        <f>IFERROR(AGGREGATE(15,6,ROW('Input Transaksi'!$B$5:$B$5000)/('Input Transaksi'!$B$5:$B$5000="LONDRI DEWE ANTASURA"),ROWS($E$5:E13)),"")</f>
        <v/>
      </c>
      <c r="F13" s="5" t="n"/>
    </row>
    <row r="14">
      <c r="A14" s="10">
        <f>IF($E14="","",INDEX('Input Transaksi'!$A:$A,$E14))</f>
        <v/>
      </c>
      <c r="B14" s="5">
        <f>IF($E14="","",INDEX('Input Transaksi'!$D:$D,$E14))</f>
        <v/>
      </c>
      <c r="C14">
        <f>IF($E14="","",INDEX('Input Transaksi'!$E:$E,$E14))</f>
        <v/>
      </c>
      <c r="D14" s="5">
        <f>IF($E14="","",INDEX('Input Transaksi'!$F:$F,$E14))</f>
        <v/>
      </c>
      <c r="E14">
        <f>IFERROR(AGGREGATE(15,6,ROW('Input Transaksi'!$B$5:$B$5000)/('Input Transaksi'!$B$5:$B$5000="LONDRI DEWE ANTASURA"),ROWS($E$5:E14)),"")</f>
        <v/>
      </c>
      <c r="F14" s="5" t="n"/>
    </row>
    <row r="15">
      <c r="A15" s="10">
        <f>IF($E15="","",INDEX('Input Transaksi'!$A:$A,$E15))</f>
        <v/>
      </c>
      <c r="B15" s="5">
        <f>IF($E15="","",INDEX('Input Transaksi'!$D:$D,$E15))</f>
        <v/>
      </c>
      <c r="C15">
        <f>IF($E15="","",INDEX('Input Transaksi'!$E:$E,$E15))</f>
        <v/>
      </c>
      <c r="D15" s="5">
        <f>IF($E15="","",INDEX('Input Transaksi'!$F:$F,$E15))</f>
        <v/>
      </c>
      <c r="E15">
        <f>IFERROR(AGGREGATE(15,6,ROW('Input Transaksi'!$B$5:$B$5000)/('Input Transaksi'!$B$5:$B$5000="LONDRI DEWE ANTASURA"),ROWS($E$5:E15)),"")</f>
        <v/>
      </c>
      <c r="F15" s="5" t="n"/>
    </row>
    <row r="16">
      <c r="A16" s="10">
        <f>IF($E16="","",INDEX('Input Transaksi'!$A:$A,$E16))</f>
        <v/>
      </c>
      <c r="B16" s="5">
        <f>IF($E16="","",INDEX('Input Transaksi'!$D:$D,$E16))</f>
        <v/>
      </c>
      <c r="C16">
        <f>IF($E16="","",INDEX('Input Transaksi'!$E:$E,$E16))</f>
        <v/>
      </c>
      <c r="D16" s="5">
        <f>IF($E16="","",INDEX('Input Transaksi'!$F:$F,$E16))</f>
        <v/>
      </c>
      <c r="E16">
        <f>IFERROR(AGGREGATE(15,6,ROW('Input Transaksi'!$B$5:$B$5000)/('Input Transaksi'!$B$5:$B$5000="LONDRI DEWE ANTASURA"),ROWS($E$5:E16)),"")</f>
        <v/>
      </c>
      <c r="F16" s="5" t="n"/>
    </row>
    <row r="17">
      <c r="A17" s="10">
        <f>IF($E17="","",INDEX('Input Transaksi'!$A:$A,$E17))</f>
        <v/>
      </c>
      <c r="B17" s="5">
        <f>IF($E17="","",INDEX('Input Transaksi'!$D:$D,$E17))</f>
        <v/>
      </c>
      <c r="C17">
        <f>IF($E17="","",INDEX('Input Transaksi'!$E:$E,$E17))</f>
        <v/>
      </c>
      <c r="D17" s="5">
        <f>IF($E17="","",INDEX('Input Transaksi'!$F:$F,$E17))</f>
        <v/>
      </c>
      <c r="E17">
        <f>IFERROR(AGGREGATE(15,6,ROW('Input Transaksi'!$B$5:$B$5000)/('Input Transaksi'!$B$5:$B$5000="LONDRI DEWE ANTASURA"),ROWS($E$5:E17)),"")</f>
        <v/>
      </c>
      <c r="F17" s="5" t="n"/>
    </row>
    <row r="18">
      <c r="A18" s="10">
        <f>IF($E18="","",INDEX('Input Transaksi'!$A:$A,$E18))</f>
        <v/>
      </c>
      <c r="B18" s="5">
        <f>IF($E18="","",INDEX('Input Transaksi'!$D:$D,$E18))</f>
        <v/>
      </c>
      <c r="C18">
        <f>IF($E18="","",INDEX('Input Transaksi'!$E:$E,$E18))</f>
        <v/>
      </c>
      <c r="D18" s="5">
        <f>IF($E18="","",INDEX('Input Transaksi'!$F:$F,$E18))</f>
        <v/>
      </c>
      <c r="E18">
        <f>IFERROR(AGGREGATE(15,6,ROW('Input Transaksi'!$B$5:$B$5000)/('Input Transaksi'!$B$5:$B$5000="LONDRI DEWE ANTASURA"),ROWS($E$5:E18)),"")</f>
        <v/>
      </c>
      <c r="F18" s="5" t="n"/>
    </row>
    <row r="19">
      <c r="A19" s="10">
        <f>IF($E19="","",INDEX('Input Transaksi'!$A:$A,$E19))</f>
        <v/>
      </c>
      <c r="B19" s="5">
        <f>IF($E19="","",INDEX('Input Transaksi'!$D:$D,$E19))</f>
        <v/>
      </c>
      <c r="C19">
        <f>IF($E19="","",INDEX('Input Transaksi'!$E:$E,$E19))</f>
        <v/>
      </c>
      <c r="D19" s="5">
        <f>IF($E19="","",INDEX('Input Transaksi'!$F:$F,$E19))</f>
        <v/>
      </c>
      <c r="E19">
        <f>IFERROR(AGGREGATE(15,6,ROW('Input Transaksi'!$B$5:$B$5000)/('Input Transaksi'!$B$5:$B$5000="LONDRI DEWE ANTASURA"),ROWS($E$5:E19)),"")</f>
        <v/>
      </c>
      <c r="F19" s="5" t="n"/>
    </row>
    <row r="20">
      <c r="A20" s="10">
        <f>IF($E20="","",INDEX('Input Transaksi'!$A:$A,$E20))</f>
        <v/>
      </c>
      <c r="B20" s="5">
        <f>IF($E20="","",INDEX('Input Transaksi'!$D:$D,$E20))</f>
        <v/>
      </c>
      <c r="C20">
        <f>IF($E20="","",INDEX('Input Transaksi'!$E:$E,$E20))</f>
        <v/>
      </c>
      <c r="D20" s="5">
        <f>IF($E20="","",INDEX('Input Transaksi'!$F:$F,$E20))</f>
        <v/>
      </c>
      <c r="E20">
        <f>IFERROR(AGGREGATE(15,6,ROW('Input Transaksi'!$B$5:$B$5000)/('Input Transaksi'!$B$5:$B$5000="LONDRI DEWE ANTASURA"),ROWS($E$5:E20)),"")</f>
        <v/>
      </c>
      <c r="F20" s="5" t="n"/>
    </row>
    <row r="21">
      <c r="A21" s="10">
        <f>IF($E21="","",INDEX('Input Transaksi'!$A:$A,$E21))</f>
        <v/>
      </c>
      <c r="B21" s="5">
        <f>IF($E21="","",INDEX('Input Transaksi'!$D:$D,$E21))</f>
        <v/>
      </c>
      <c r="C21">
        <f>IF($E21="","",INDEX('Input Transaksi'!$E:$E,$E21))</f>
        <v/>
      </c>
      <c r="D21" s="5">
        <f>IF($E21="","",INDEX('Input Transaksi'!$F:$F,$E21))</f>
        <v/>
      </c>
      <c r="E21">
        <f>IFERROR(AGGREGATE(15,6,ROW('Input Transaksi'!$B$5:$B$5000)/('Input Transaksi'!$B$5:$B$5000="LONDRI DEWE ANTASURA"),ROWS($E$5:E21)),"")</f>
        <v/>
      </c>
      <c r="F21" s="5" t="n"/>
    </row>
    <row r="22">
      <c r="A22" s="10">
        <f>IF($E22="","",INDEX('Input Transaksi'!$A:$A,$E22))</f>
        <v/>
      </c>
      <c r="B22" s="5">
        <f>IF($E22="","",INDEX('Input Transaksi'!$D:$D,$E22))</f>
        <v/>
      </c>
      <c r="C22">
        <f>IF($E22="","",INDEX('Input Transaksi'!$E:$E,$E22))</f>
        <v/>
      </c>
      <c r="D22" s="5">
        <f>IF($E22="","",INDEX('Input Transaksi'!$F:$F,$E22))</f>
        <v/>
      </c>
      <c r="E22">
        <f>IFERROR(AGGREGATE(15,6,ROW('Input Transaksi'!$B$5:$B$5000)/('Input Transaksi'!$B$5:$B$5000="LONDRI DEWE ANTASURA"),ROWS($E$5:E22)),"")</f>
        <v/>
      </c>
      <c r="F22" s="5" t="n"/>
    </row>
    <row r="23">
      <c r="A23" s="10">
        <f>IF($E23="","",INDEX('Input Transaksi'!$A:$A,$E23))</f>
        <v/>
      </c>
      <c r="B23" s="5">
        <f>IF($E23="","",INDEX('Input Transaksi'!$D:$D,$E23))</f>
        <v/>
      </c>
      <c r="C23">
        <f>IF($E23="","",INDEX('Input Transaksi'!$E:$E,$E23))</f>
        <v/>
      </c>
      <c r="D23" s="5">
        <f>IF($E23="","",INDEX('Input Transaksi'!$F:$F,$E23))</f>
        <v/>
      </c>
      <c r="E23">
        <f>IFERROR(AGGREGATE(15,6,ROW('Input Transaksi'!$B$5:$B$5000)/('Input Transaksi'!$B$5:$B$5000="LONDRI DEWE ANTASURA"),ROWS($E$5:E23)),"")</f>
        <v/>
      </c>
      <c r="F23" s="5" t="n"/>
    </row>
    <row r="24">
      <c r="A24" s="10">
        <f>IF($E24="","",INDEX('Input Transaksi'!$A:$A,$E24))</f>
        <v/>
      </c>
      <c r="B24" s="5">
        <f>IF($E24="","",INDEX('Input Transaksi'!$D:$D,$E24))</f>
        <v/>
      </c>
      <c r="C24">
        <f>IF($E24="","",INDEX('Input Transaksi'!$E:$E,$E24))</f>
        <v/>
      </c>
      <c r="D24" s="5">
        <f>IF($E24="","",INDEX('Input Transaksi'!$F:$F,$E24))</f>
        <v/>
      </c>
      <c r="E24">
        <f>IFERROR(AGGREGATE(15,6,ROW('Input Transaksi'!$B$5:$B$5000)/('Input Transaksi'!$B$5:$B$5000="LONDRI DEWE ANTASURA"),ROWS($E$5:E24)),"")</f>
        <v/>
      </c>
      <c r="F24" s="5" t="n"/>
    </row>
    <row r="25">
      <c r="A25" s="10">
        <f>IF($E25="","",INDEX('Input Transaksi'!$A:$A,$E25))</f>
        <v/>
      </c>
      <c r="B25" s="5">
        <f>IF($E25="","",INDEX('Input Transaksi'!$D:$D,$E25))</f>
        <v/>
      </c>
      <c r="C25">
        <f>IF($E25="","",INDEX('Input Transaksi'!$E:$E,$E25))</f>
        <v/>
      </c>
      <c r="D25" s="5">
        <f>IF($E25="","",INDEX('Input Transaksi'!$F:$F,$E25))</f>
        <v/>
      </c>
      <c r="E25">
        <f>IFERROR(AGGREGATE(15,6,ROW('Input Transaksi'!$B$5:$B$5000)/('Input Transaksi'!$B$5:$B$5000="LONDRI DEWE ANTASURA"),ROWS($E$5:E25)),"")</f>
        <v/>
      </c>
      <c r="F25" s="5" t="n"/>
    </row>
    <row r="26">
      <c r="A26" s="10">
        <f>IF($E26="","",INDEX('Input Transaksi'!$A:$A,$E26))</f>
        <v/>
      </c>
      <c r="B26" s="5">
        <f>IF($E26="","",INDEX('Input Transaksi'!$D:$D,$E26))</f>
        <v/>
      </c>
      <c r="C26">
        <f>IF($E26="","",INDEX('Input Transaksi'!$E:$E,$E26))</f>
        <v/>
      </c>
      <c r="D26" s="5">
        <f>IF($E26="","",INDEX('Input Transaksi'!$F:$F,$E26))</f>
        <v/>
      </c>
      <c r="E26">
        <f>IFERROR(AGGREGATE(15,6,ROW('Input Transaksi'!$B$5:$B$5000)/('Input Transaksi'!$B$5:$B$5000="LONDRI DEWE ANTASURA"),ROWS($E$5:E26)),"")</f>
        <v/>
      </c>
      <c r="F26" s="5" t="n"/>
    </row>
    <row r="27">
      <c r="A27" s="10">
        <f>IF($E27="","",INDEX('Input Transaksi'!$A:$A,$E27))</f>
        <v/>
      </c>
      <c r="B27" s="5">
        <f>IF($E27="","",INDEX('Input Transaksi'!$D:$D,$E27))</f>
        <v/>
      </c>
      <c r="C27">
        <f>IF($E27="","",INDEX('Input Transaksi'!$E:$E,$E27))</f>
        <v/>
      </c>
      <c r="D27" s="5">
        <f>IF($E27="","",INDEX('Input Transaksi'!$F:$F,$E27))</f>
        <v/>
      </c>
      <c r="E27">
        <f>IFERROR(AGGREGATE(15,6,ROW('Input Transaksi'!$B$5:$B$5000)/('Input Transaksi'!$B$5:$B$5000="LONDRI DEWE ANTASURA"),ROWS($E$5:E27)),"")</f>
        <v/>
      </c>
      <c r="F27" s="5" t="n"/>
    </row>
    <row r="28">
      <c r="A28" s="10">
        <f>IF($E28="","",INDEX('Input Transaksi'!$A:$A,$E28))</f>
        <v/>
      </c>
      <c r="B28" s="5">
        <f>IF($E28="","",INDEX('Input Transaksi'!$D:$D,$E28))</f>
        <v/>
      </c>
      <c r="C28">
        <f>IF($E28="","",INDEX('Input Transaksi'!$E:$E,$E28))</f>
        <v/>
      </c>
      <c r="D28" s="5">
        <f>IF($E28="","",INDEX('Input Transaksi'!$F:$F,$E28))</f>
        <v/>
      </c>
      <c r="E28">
        <f>IFERROR(AGGREGATE(15,6,ROW('Input Transaksi'!$B$5:$B$5000)/('Input Transaksi'!$B$5:$B$5000="LONDRI DEWE ANTASURA"),ROWS($E$5:E28)),"")</f>
        <v/>
      </c>
      <c r="F28" s="5" t="n"/>
    </row>
    <row r="29">
      <c r="A29" s="10">
        <f>IF($E29="","",INDEX('Input Transaksi'!$A:$A,$E29))</f>
        <v/>
      </c>
      <c r="B29" s="5">
        <f>IF($E29="","",INDEX('Input Transaksi'!$D:$D,$E29))</f>
        <v/>
      </c>
      <c r="C29">
        <f>IF($E29="","",INDEX('Input Transaksi'!$E:$E,$E29))</f>
        <v/>
      </c>
      <c r="D29" s="5">
        <f>IF($E29="","",INDEX('Input Transaksi'!$F:$F,$E29))</f>
        <v/>
      </c>
      <c r="E29">
        <f>IFERROR(AGGREGATE(15,6,ROW('Input Transaksi'!$B$5:$B$5000)/('Input Transaksi'!$B$5:$B$5000="LONDRI DEWE ANTASURA"),ROWS($E$5:E29)),"")</f>
        <v/>
      </c>
      <c r="F29" s="5" t="n"/>
    </row>
    <row r="30">
      <c r="A30" s="10">
        <f>IF($E30="","",INDEX('Input Transaksi'!$A:$A,$E30))</f>
        <v/>
      </c>
      <c r="B30" s="5">
        <f>IF($E30="","",INDEX('Input Transaksi'!$D:$D,$E30))</f>
        <v/>
      </c>
      <c r="C30">
        <f>IF($E30="","",INDEX('Input Transaksi'!$E:$E,$E30))</f>
        <v/>
      </c>
      <c r="D30" s="5">
        <f>IF($E30="","",INDEX('Input Transaksi'!$F:$F,$E30))</f>
        <v/>
      </c>
      <c r="E30">
        <f>IFERROR(AGGREGATE(15,6,ROW('Input Transaksi'!$B$5:$B$5000)/('Input Transaksi'!$B$5:$B$5000="LONDRI DEWE ANTASURA"),ROWS($E$5:E30)),"")</f>
        <v/>
      </c>
      <c r="F30" s="5" t="n"/>
    </row>
    <row r="31">
      <c r="A31" s="10">
        <f>IF($E31="","",INDEX('Input Transaksi'!$A:$A,$E31))</f>
        <v/>
      </c>
      <c r="B31" s="5">
        <f>IF($E31="","",INDEX('Input Transaksi'!$D:$D,$E31))</f>
        <v/>
      </c>
      <c r="C31">
        <f>IF($E31="","",INDEX('Input Transaksi'!$E:$E,$E31))</f>
        <v/>
      </c>
      <c r="D31" s="5">
        <f>IF($E31="","",INDEX('Input Transaksi'!$F:$F,$E31))</f>
        <v/>
      </c>
      <c r="E31">
        <f>IFERROR(AGGREGATE(15,6,ROW('Input Transaksi'!$B$5:$B$5000)/('Input Transaksi'!$B$5:$B$5000="LONDRI DEWE ANTASURA"),ROWS($E$5:E31)),"")</f>
        <v/>
      </c>
      <c r="F31" s="5" t="n"/>
    </row>
    <row r="32">
      <c r="A32" s="10">
        <f>IF($E32="","",INDEX('Input Transaksi'!$A:$A,$E32))</f>
        <v/>
      </c>
      <c r="B32" s="5">
        <f>IF($E32="","",INDEX('Input Transaksi'!$D:$D,$E32))</f>
        <v/>
      </c>
      <c r="C32">
        <f>IF($E32="","",INDEX('Input Transaksi'!$E:$E,$E32))</f>
        <v/>
      </c>
      <c r="D32" s="5">
        <f>IF($E32="","",INDEX('Input Transaksi'!$F:$F,$E32))</f>
        <v/>
      </c>
      <c r="E32">
        <f>IFERROR(AGGREGATE(15,6,ROW('Input Transaksi'!$B$5:$B$5000)/('Input Transaksi'!$B$5:$B$5000="LONDRI DEWE ANTASURA"),ROWS($E$5:E32)),"")</f>
        <v/>
      </c>
      <c r="F32" s="5" t="n"/>
    </row>
    <row r="33">
      <c r="A33" s="10">
        <f>IF($E33="","",INDEX('Input Transaksi'!$A:$A,$E33))</f>
        <v/>
      </c>
      <c r="B33" s="5">
        <f>IF($E33="","",INDEX('Input Transaksi'!$D:$D,$E33))</f>
        <v/>
      </c>
      <c r="C33">
        <f>IF($E33="","",INDEX('Input Transaksi'!$E:$E,$E33))</f>
        <v/>
      </c>
      <c r="D33" s="5">
        <f>IF($E33="","",INDEX('Input Transaksi'!$F:$F,$E33))</f>
        <v/>
      </c>
      <c r="E33">
        <f>IFERROR(AGGREGATE(15,6,ROW('Input Transaksi'!$B$5:$B$5000)/('Input Transaksi'!$B$5:$B$5000="LONDRI DEWE ANTASURA"),ROWS($E$5:E33)),"")</f>
        <v/>
      </c>
      <c r="F33" s="5" t="n"/>
    </row>
    <row r="34">
      <c r="A34" s="10">
        <f>IF($E34="","",INDEX('Input Transaksi'!$A:$A,$E34))</f>
        <v/>
      </c>
      <c r="B34" s="5">
        <f>IF($E34="","",INDEX('Input Transaksi'!$D:$D,$E34))</f>
        <v/>
      </c>
      <c r="C34">
        <f>IF($E34="","",INDEX('Input Transaksi'!$E:$E,$E34))</f>
        <v/>
      </c>
      <c r="D34" s="5">
        <f>IF($E34="","",INDEX('Input Transaksi'!$F:$F,$E34))</f>
        <v/>
      </c>
      <c r="E34">
        <f>IFERROR(AGGREGATE(15,6,ROW('Input Transaksi'!$B$5:$B$5000)/('Input Transaksi'!$B$5:$B$5000="LONDRI DEWE ANTASURA"),ROWS($E$5:E34)),"")</f>
        <v/>
      </c>
      <c r="F34" s="5" t="n"/>
    </row>
    <row r="35">
      <c r="A35" s="10">
        <f>IF($E35="","",INDEX('Input Transaksi'!$A:$A,$E35))</f>
        <v/>
      </c>
      <c r="B35" s="5">
        <f>IF($E35="","",INDEX('Input Transaksi'!$D:$D,$E35))</f>
        <v/>
      </c>
      <c r="C35">
        <f>IF($E35="","",INDEX('Input Transaksi'!$E:$E,$E35))</f>
        <v/>
      </c>
      <c r="D35" s="5">
        <f>IF($E35="","",INDEX('Input Transaksi'!$F:$F,$E35))</f>
        <v/>
      </c>
      <c r="E35">
        <f>IFERROR(AGGREGATE(15,6,ROW('Input Transaksi'!$B$5:$B$5000)/('Input Transaksi'!$B$5:$B$5000="LONDRI DEWE ANTASURA"),ROWS($E$5:E35)),"")</f>
        <v/>
      </c>
      <c r="F35" s="5" t="n"/>
    </row>
    <row r="36">
      <c r="A36" s="10">
        <f>IF($E36="","",INDEX('Input Transaksi'!$A:$A,$E36))</f>
        <v/>
      </c>
      <c r="B36" s="5">
        <f>IF($E36="","",INDEX('Input Transaksi'!$D:$D,$E36))</f>
        <v/>
      </c>
      <c r="C36">
        <f>IF($E36="","",INDEX('Input Transaksi'!$E:$E,$E36))</f>
        <v/>
      </c>
      <c r="D36" s="5">
        <f>IF($E36="","",INDEX('Input Transaksi'!$F:$F,$E36))</f>
        <v/>
      </c>
      <c r="E36">
        <f>IFERROR(AGGREGATE(15,6,ROW('Input Transaksi'!$B$5:$B$5000)/('Input Transaksi'!$B$5:$B$5000="LONDRI DEWE ANTASURA"),ROWS($E$5:E36)),"")</f>
        <v/>
      </c>
      <c r="F36" s="5" t="n"/>
    </row>
    <row r="37">
      <c r="A37" s="10">
        <f>IF($E37="","",INDEX('Input Transaksi'!$A:$A,$E37))</f>
        <v/>
      </c>
      <c r="B37" s="5">
        <f>IF($E37="","",INDEX('Input Transaksi'!$D:$D,$E37))</f>
        <v/>
      </c>
      <c r="C37">
        <f>IF($E37="","",INDEX('Input Transaksi'!$E:$E,$E37))</f>
        <v/>
      </c>
      <c r="D37" s="5">
        <f>IF($E37="","",INDEX('Input Transaksi'!$F:$F,$E37))</f>
        <v/>
      </c>
      <c r="E37">
        <f>IFERROR(AGGREGATE(15,6,ROW('Input Transaksi'!$B$5:$B$5000)/('Input Transaksi'!$B$5:$B$5000="LONDRI DEWE ANTASURA"),ROWS($E$5:E37)),"")</f>
        <v/>
      </c>
      <c r="F37" s="5" t="n"/>
    </row>
    <row r="38">
      <c r="A38" s="10">
        <f>IF($E38="","",INDEX('Input Transaksi'!$A:$A,$E38))</f>
        <v/>
      </c>
      <c r="B38" s="5">
        <f>IF($E38="","",INDEX('Input Transaksi'!$D:$D,$E38))</f>
        <v/>
      </c>
      <c r="C38">
        <f>IF($E38="","",INDEX('Input Transaksi'!$E:$E,$E38))</f>
        <v/>
      </c>
      <c r="D38" s="5">
        <f>IF($E38="","",INDEX('Input Transaksi'!$F:$F,$E38))</f>
        <v/>
      </c>
      <c r="E38">
        <f>IFERROR(AGGREGATE(15,6,ROW('Input Transaksi'!$B$5:$B$5000)/('Input Transaksi'!$B$5:$B$5000="LONDRI DEWE ANTASURA"),ROWS($E$5:E38)),"")</f>
        <v/>
      </c>
      <c r="F38" s="5" t="n"/>
    </row>
    <row r="39">
      <c r="A39" s="10">
        <f>IF($E39="","",INDEX('Input Transaksi'!$A:$A,$E39))</f>
        <v/>
      </c>
      <c r="B39" s="5">
        <f>IF($E39="","",INDEX('Input Transaksi'!$D:$D,$E39))</f>
        <v/>
      </c>
      <c r="C39">
        <f>IF($E39="","",INDEX('Input Transaksi'!$E:$E,$E39))</f>
        <v/>
      </c>
      <c r="D39" s="5">
        <f>IF($E39="","",INDEX('Input Transaksi'!$F:$F,$E39))</f>
        <v/>
      </c>
      <c r="E39">
        <f>IFERROR(AGGREGATE(15,6,ROW('Input Transaksi'!$B$5:$B$5000)/('Input Transaksi'!$B$5:$B$5000="LONDRI DEWE ANTASURA"),ROWS($E$5:E39)),"")</f>
        <v/>
      </c>
      <c r="F39" s="5" t="n"/>
    </row>
    <row r="40">
      <c r="A40" s="10">
        <f>IF($E40="","",INDEX('Input Transaksi'!$A:$A,$E40))</f>
        <v/>
      </c>
      <c r="B40" s="5">
        <f>IF($E40="","",INDEX('Input Transaksi'!$D:$D,$E40))</f>
        <v/>
      </c>
      <c r="C40">
        <f>IF($E40="","",INDEX('Input Transaksi'!$E:$E,$E40))</f>
        <v/>
      </c>
      <c r="D40" s="5">
        <f>IF($E40="","",INDEX('Input Transaksi'!$F:$F,$E40))</f>
        <v/>
      </c>
      <c r="E40">
        <f>IFERROR(AGGREGATE(15,6,ROW('Input Transaksi'!$B$5:$B$5000)/('Input Transaksi'!$B$5:$B$5000="LONDRI DEWE ANTASURA"),ROWS($E$5:E40)),"")</f>
        <v/>
      </c>
      <c r="F40" s="5" t="n"/>
    </row>
    <row r="41">
      <c r="A41" s="10">
        <f>IF($E41="","",INDEX('Input Transaksi'!$A:$A,$E41))</f>
        <v/>
      </c>
      <c r="B41" s="5">
        <f>IF($E41="","",INDEX('Input Transaksi'!$D:$D,$E41))</f>
        <v/>
      </c>
      <c r="C41">
        <f>IF($E41="","",INDEX('Input Transaksi'!$E:$E,$E41))</f>
        <v/>
      </c>
      <c r="D41" s="5">
        <f>IF($E41="","",INDEX('Input Transaksi'!$F:$F,$E41))</f>
        <v/>
      </c>
      <c r="E41">
        <f>IFERROR(AGGREGATE(15,6,ROW('Input Transaksi'!$B$5:$B$5000)/('Input Transaksi'!$B$5:$B$5000="LONDRI DEWE ANTASURA"),ROWS($E$5:E41)),"")</f>
        <v/>
      </c>
      <c r="F41" s="5" t="n"/>
    </row>
    <row r="42">
      <c r="A42" s="10">
        <f>IF($E42="","",INDEX('Input Transaksi'!$A:$A,$E42))</f>
        <v/>
      </c>
      <c r="B42" s="5">
        <f>IF($E42="","",INDEX('Input Transaksi'!$D:$D,$E42))</f>
        <v/>
      </c>
      <c r="C42">
        <f>IF($E42="","",INDEX('Input Transaksi'!$E:$E,$E42))</f>
        <v/>
      </c>
      <c r="D42" s="5">
        <f>IF($E42="","",INDEX('Input Transaksi'!$F:$F,$E42))</f>
        <v/>
      </c>
      <c r="E42">
        <f>IFERROR(AGGREGATE(15,6,ROW('Input Transaksi'!$B$5:$B$5000)/('Input Transaksi'!$B$5:$B$5000="LONDRI DEWE ANTASURA"),ROWS($E$5:E42)),"")</f>
        <v/>
      </c>
      <c r="F42" s="5" t="n"/>
    </row>
    <row r="43">
      <c r="A43" s="10">
        <f>IF($E43="","",INDEX('Input Transaksi'!$A:$A,$E43))</f>
        <v/>
      </c>
      <c r="B43" s="5">
        <f>IF($E43="","",INDEX('Input Transaksi'!$D:$D,$E43))</f>
        <v/>
      </c>
      <c r="C43">
        <f>IF($E43="","",INDEX('Input Transaksi'!$E:$E,$E43))</f>
        <v/>
      </c>
      <c r="D43" s="5">
        <f>IF($E43="","",INDEX('Input Transaksi'!$F:$F,$E43))</f>
        <v/>
      </c>
      <c r="E43">
        <f>IFERROR(AGGREGATE(15,6,ROW('Input Transaksi'!$B$5:$B$5000)/('Input Transaksi'!$B$5:$B$5000="LONDRI DEWE ANTASURA"),ROWS($E$5:E43)),"")</f>
        <v/>
      </c>
      <c r="F43" s="5" t="n"/>
    </row>
    <row r="44">
      <c r="A44" s="10">
        <f>IF($E44="","",INDEX('Input Transaksi'!$A:$A,$E44))</f>
        <v/>
      </c>
      <c r="B44" s="5">
        <f>IF($E44="","",INDEX('Input Transaksi'!$D:$D,$E44))</f>
        <v/>
      </c>
      <c r="C44">
        <f>IF($E44="","",INDEX('Input Transaksi'!$E:$E,$E44))</f>
        <v/>
      </c>
      <c r="D44" s="5">
        <f>IF($E44="","",INDEX('Input Transaksi'!$F:$F,$E44))</f>
        <v/>
      </c>
      <c r="E44">
        <f>IFERROR(AGGREGATE(15,6,ROW('Input Transaksi'!$B$5:$B$5000)/('Input Transaksi'!$B$5:$B$5000="LONDRI DEWE ANTASURA"),ROWS($E$5:E44)),"")</f>
        <v/>
      </c>
      <c r="F44" s="5" t="n"/>
    </row>
    <row r="45">
      <c r="A45" s="10">
        <f>IF($E45="","",INDEX('Input Transaksi'!$A:$A,$E45))</f>
        <v/>
      </c>
      <c r="B45" s="5">
        <f>IF($E45="","",INDEX('Input Transaksi'!$D:$D,$E45))</f>
        <v/>
      </c>
      <c r="C45">
        <f>IF($E45="","",INDEX('Input Transaksi'!$E:$E,$E45))</f>
        <v/>
      </c>
      <c r="D45" s="5">
        <f>IF($E45="","",INDEX('Input Transaksi'!$F:$F,$E45))</f>
        <v/>
      </c>
      <c r="E45">
        <f>IFERROR(AGGREGATE(15,6,ROW('Input Transaksi'!$B$5:$B$5000)/('Input Transaksi'!$B$5:$B$5000="LONDRI DEWE ANTASURA"),ROWS($E$5:E45)),"")</f>
        <v/>
      </c>
      <c r="F45" s="5" t="n"/>
    </row>
    <row r="46">
      <c r="A46" s="10">
        <f>IF($E46="","",INDEX('Input Transaksi'!$A:$A,$E46))</f>
        <v/>
      </c>
      <c r="B46" s="5">
        <f>IF($E46="","",INDEX('Input Transaksi'!$D:$D,$E46))</f>
        <v/>
      </c>
      <c r="C46">
        <f>IF($E46="","",INDEX('Input Transaksi'!$E:$E,$E46))</f>
        <v/>
      </c>
      <c r="D46" s="5">
        <f>IF($E46="","",INDEX('Input Transaksi'!$F:$F,$E46))</f>
        <v/>
      </c>
      <c r="E46">
        <f>IFERROR(AGGREGATE(15,6,ROW('Input Transaksi'!$B$5:$B$5000)/('Input Transaksi'!$B$5:$B$5000="LONDRI DEWE ANTASURA"),ROWS($E$5:E46)),"")</f>
        <v/>
      </c>
      <c r="F46" s="5" t="n"/>
    </row>
    <row r="47">
      <c r="A47" s="10">
        <f>IF($E47="","",INDEX('Input Transaksi'!$A:$A,$E47))</f>
        <v/>
      </c>
      <c r="B47" s="5">
        <f>IF($E47="","",INDEX('Input Transaksi'!$D:$D,$E47))</f>
        <v/>
      </c>
      <c r="C47">
        <f>IF($E47="","",INDEX('Input Transaksi'!$E:$E,$E47))</f>
        <v/>
      </c>
      <c r="D47" s="5">
        <f>IF($E47="","",INDEX('Input Transaksi'!$F:$F,$E47))</f>
        <v/>
      </c>
      <c r="E47">
        <f>IFERROR(AGGREGATE(15,6,ROW('Input Transaksi'!$B$5:$B$5000)/('Input Transaksi'!$B$5:$B$5000="LONDRI DEWE ANTASURA"),ROWS($E$5:E47)),"")</f>
        <v/>
      </c>
      <c r="F47" s="5" t="n"/>
    </row>
    <row r="48">
      <c r="A48" s="10">
        <f>IF($E48="","",INDEX('Input Transaksi'!$A:$A,$E48))</f>
        <v/>
      </c>
      <c r="B48" s="5">
        <f>IF($E48="","",INDEX('Input Transaksi'!$D:$D,$E48))</f>
        <v/>
      </c>
      <c r="C48">
        <f>IF($E48="","",INDEX('Input Transaksi'!$E:$E,$E48))</f>
        <v/>
      </c>
      <c r="D48" s="5">
        <f>IF($E48="","",INDEX('Input Transaksi'!$F:$F,$E48))</f>
        <v/>
      </c>
      <c r="E48">
        <f>IFERROR(AGGREGATE(15,6,ROW('Input Transaksi'!$B$5:$B$5000)/('Input Transaksi'!$B$5:$B$5000="LONDRI DEWE ANTASURA"),ROWS($E$5:E48)),"")</f>
        <v/>
      </c>
      <c r="F48" s="5" t="n"/>
    </row>
    <row r="49">
      <c r="A49" s="10">
        <f>IF($E49="","",INDEX('Input Transaksi'!$A:$A,$E49))</f>
        <v/>
      </c>
      <c r="B49" s="5">
        <f>IF($E49="","",INDEX('Input Transaksi'!$D:$D,$E49))</f>
        <v/>
      </c>
      <c r="C49">
        <f>IF($E49="","",INDEX('Input Transaksi'!$E:$E,$E49))</f>
        <v/>
      </c>
      <c r="D49" s="5">
        <f>IF($E49="","",INDEX('Input Transaksi'!$F:$F,$E49))</f>
        <v/>
      </c>
      <c r="E49">
        <f>IFERROR(AGGREGATE(15,6,ROW('Input Transaksi'!$B$5:$B$5000)/('Input Transaksi'!$B$5:$B$5000="LONDRI DEWE ANTASURA"),ROWS($E$5:E49)),"")</f>
        <v/>
      </c>
      <c r="F49" s="5" t="n"/>
    </row>
    <row r="50">
      <c r="A50" s="10">
        <f>IF($E50="","",INDEX('Input Transaksi'!$A:$A,$E50))</f>
        <v/>
      </c>
      <c r="B50" s="5">
        <f>IF($E50="","",INDEX('Input Transaksi'!$D:$D,$E50))</f>
        <v/>
      </c>
      <c r="C50">
        <f>IF($E50="","",INDEX('Input Transaksi'!$E:$E,$E50))</f>
        <v/>
      </c>
      <c r="D50" s="5">
        <f>IF($E50="","",INDEX('Input Transaksi'!$F:$F,$E50))</f>
        <v/>
      </c>
      <c r="E50">
        <f>IFERROR(AGGREGATE(15,6,ROW('Input Transaksi'!$B$5:$B$5000)/('Input Transaksi'!$B$5:$B$5000="LONDRI DEWE ANTASURA"),ROWS($E$5:E50)),"")</f>
        <v/>
      </c>
      <c r="F50" s="5" t="n"/>
    </row>
    <row r="51">
      <c r="A51" s="10">
        <f>IF($E51="","",INDEX('Input Transaksi'!$A:$A,$E51))</f>
        <v/>
      </c>
      <c r="B51" s="5">
        <f>IF($E51="","",INDEX('Input Transaksi'!$D:$D,$E51))</f>
        <v/>
      </c>
      <c r="C51">
        <f>IF($E51="","",INDEX('Input Transaksi'!$E:$E,$E51))</f>
        <v/>
      </c>
      <c r="D51" s="5">
        <f>IF($E51="","",INDEX('Input Transaksi'!$F:$F,$E51))</f>
        <v/>
      </c>
      <c r="E51">
        <f>IFERROR(AGGREGATE(15,6,ROW('Input Transaksi'!$B$5:$B$5000)/('Input Transaksi'!$B$5:$B$5000="LONDRI DEWE ANTASURA"),ROWS($E$5:E51)),"")</f>
        <v/>
      </c>
      <c r="F51" s="5" t="n"/>
    </row>
    <row r="52">
      <c r="A52" s="10">
        <f>IF($E52="","",INDEX('Input Transaksi'!$A:$A,$E52))</f>
        <v/>
      </c>
      <c r="B52" s="5">
        <f>IF($E52="","",INDEX('Input Transaksi'!$D:$D,$E52))</f>
        <v/>
      </c>
      <c r="C52">
        <f>IF($E52="","",INDEX('Input Transaksi'!$E:$E,$E52))</f>
        <v/>
      </c>
      <c r="D52" s="5">
        <f>IF($E52="","",INDEX('Input Transaksi'!$F:$F,$E52))</f>
        <v/>
      </c>
      <c r="E52">
        <f>IFERROR(AGGREGATE(15,6,ROW('Input Transaksi'!$B$5:$B$5000)/('Input Transaksi'!$B$5:$B$5000="LONDRI DEWE ANTASURA"),ROWS($E$5:E52)),"")</f>
        <v/>
      </c>
      <c r="F52" s="5" t="n"/>
    </row>
    <row r="53">
      <c r="A53" s="10">
        <f>IF($E53="","",INDEX('Input Transaksi'!$A:$A,$E53))</f>
        <v/>
      </c>
      <c r="B53" s="5">
        <f>IF($E53="","",INDEX('Input Transaksi'!$D:$D,$E53))</f>
        <v/>
      </c>
      <c r="C53">
        <f>IF($E53="","",INDEX('Input Transaksi'!$E:$E,$E53))</f>
        <v/>
      </c>
      <c r="D53" s="5">
        <f>IF($E53="","",INDEX('Input Transaksi'!$F:$F,$E53))</f>
        <v/>
      </c>
      <c r="E53">
        <f>IFERROR(AGGREGATE(15,6,ROW('Input Transaksi'!$B$5:$B$5000)/('Input Transaksi'!$B$5:$B$5000="LONDRI DEWE ANTASURA"),ROWS($E$5:E53)),"")</f>
        <v/>
      </c>
      <c r="F53" s="5" t="n"/>
    </row>
    <row r="54">
      <c r="A54" s="10">
        <f>IF($E54="","",INDEX('Input Transaksi'!$A:$A,$E54))</f>
        <v/>
      </c>
      <c r="B54" s="5">
        <f>IF($E54="","",INDEX('Input Transaksi'!$D:$D,$E54))</f>
        <v/>
      </c>
      <c r="C54">
        <f>IF($E54="","",INDEX('Input Transaksi'!$E:$E,$E54))</f>
        <v/>
      </c>
      <c r="D54" s="5">
        <f>IF($E54="","",INDEX('Input Transaksi'!$F:$F,$E54))</f>
        <v/>
      </c>
      <c r="E54">
        <f>IFERROR(AGGREGATE(15,6,ROW('Input Transaksi'!$B$5:$B$5000)/('Input Transaksi'!$B$5:$B$5000="LONDRI DEWE ANTASURA"),ROWS($E$5:E54)),"")</f>
        <v/>
      </c>
      <c r="F54" s="5" t="n"/>
    </row>
    <row r="55">
      <c r="A55" s="10">
        <f>IF($E55="","",INDEX('Input Transaksi'!$A:$A,$E55))</f>
        <v/>
      </c>
      <c r="B55" s="5">
        <f>IF($E55="","",INDEX('Input Transaksi'!$D:$D,$E55))</f>
        <v/>
      </c>
      <c r="C55">
        <f>IF($E55="","",INDEX('Input Transaksi'!$E:$E,$E55))</f>
        <v/>
      </c>
      <c r="D55" s="5">
        <f>IF($E55="","",INDEX('Input Transaksi'!$F:$F,$E55))</f>
        <v/>
      </c>
      <c r="E55">
        <f>IFERROR(AGGREGATE(15,6,ROW('Input Transaksi'!$B$5:$B$5000)/('Input Transaksi'!$B$5:$B$5000="LONDRI DEWE ANTASURA"),ROWS($E$5:E55)),"")</f>
        <v/>
      </c>
      <c r="F55" s="5" t="n"/>
    </row>
    <row r="56">
      <c r="A56" s="10">
        <f>IF($E56="","",INDEX('Input Transaksi'!$A:$A,$E56))</f>
        <v/>
      </c>
      <c r="B56" s="5">
        <f>IF($E56="","",INDEX('Input Transaksi'!$D:$D,$E56))</f>
        <v/>
      </c>
      <c r="C56">
        <f>IF($E56="","",INDEX('Input Transaksi'!$E:$E,$E56))</f>
        <v/>
      </c>
      <c r="D56" s="5">
        <f>IF($E56="","",INDEX('Input Transaksi'!$F:$F,$E56))</f>
        <v/>
      </c>
      <c r="E56">
        <f>IFERROR(AGGREGATE(15,6,ROW('Input Transaksi'!$B$5:$B$5000)/('Input Transaksi'!$B$5:$B$5000="LONDRI DEWE ANTASURA"),ROWS($E$5:E56)),"")</f>
        <v/>
      </c>
      <c r="F56" s="5" t="n"/>
    </row>
    <row r="57">
      <c r="A57" s="10">
        <f>IF($E57="","",INDEX('Input Transaksi'!$A:$A,$E57))</f>
        <v/>
      </c>
      <c r="B57" s="5">
        <f>IF($E57="","",INDEX('Input Transaksi'!$D:$D,$E57))</f>
        <v/>
      </c>
      <c r="C57">
        <f>IF($E57="","",INDEX('Input Transaksi'!$E:$E,$E57))</f>
        <v/>
      </c>
      <c r="D57" s="5">
        <f>IF($E57="","",INDEX('Input Transaksi'!$F:$F,$E57))</f>
        <v/>
      </c>
      <c r="E57">
        <f>IFERROR(AGGREGATE(15,6,ROW('Input Transaksi'!$B$5:$B$5000)/('Input Transaksi'!$B$5:$B$5000="LONDRI DEWE ANTASURA"),ROWS($E$5:E57)),"")</f>
        <v/>
      </c>
      <c r="F57" s="5" t="n"/>
    </row>
    <row r="58">
      <c r="A58" s="10">
        <f>IF($E58="","",INDEX('Input Transaksi'!$A:$A,$E58))</f>
        <v/>
      </c>
      <c r="B58" s="5">
        <f>IF($E58="","",INDEX('Input Transaksi'!$D:$D,$E58))</f>
        <v/>
      </c>
      <c r="C58">
        <f>IF($E58="","",INDEX('Input Transaksi'!$E:$E,$E58))</f>
        <v/>
      </c>
      <c r="D58" s="5">
        <f>IF($E58="","",INDEX('Input Transaksi'!$F:$F,$E58))</f>
        <v/>
      </c>
      <c r="E58">
        <f>IFERROR(AGGREGATE(15,6,ROW('Input Transaksi'!$B$5:$B$5000)/('Input Transaksi'!$B$5:$B$5000="LONDRI DEWE ANTASURA"),ROWS($E$5:E58)),"")</f>
        <v/>
      </c>
      <c r="F58" s="5" t="n"/>
    </row>
    <row r="59">
      <c r="A59" s="10">
        <f>IF($E59="","",INDEX('Input Transaksi'!$A:$A,$E59))</f>
        <v/>
      </c>
      <c r="B59" s="5">
        <f>IF($E59="","",INDEX('Input Transaksi'!$D:$D,$E59))</f>
        <v/>
      </c>
      <c r="C59">
        <f>IF($E59="","",INDEX('Input Transaksi'!$E:$E,$E59))</f>
        <v/>
      </c>
      <c r="D59" s="5">
        <f>IF($E59="","",INDEX('Input Transaksi'!$F:$F,$E59))</f>
        <v/>
      </c>
      <c r="E59">
        <f>IFERROR(AGGREGATE(15,6,ROW('Input Transaksi'!$B$5:$B$5000)/('Input Transaksi'!$B$5:$B$5000="LONDRI DEWE ANTASURA"),ROWS($E$5:E59)),"")</f>
        <v/>
      </c>
      <c r="F59" s="5" t="n"/>
    </row>
    <row r="60">
      <c r="A60" s="10">
        <f>IF($E60="","",INDEX('Input Transaksi'!$A:$A,$E60))</f>
        <v/>
      </c>
      <c r="B60" s="5">
        <f>IF($E60="","",INDEX('Input Transaksi'!$D:$D,$E60))</f>
        <v/>
      </c>
      <c r="C60">
        <f>IF($E60="","",INDEX('Input Transaksi'!$E:$E,$E60))</f>
        <v/>
      </c>
      <c r="D60" s="5">
        <f>IF($E60="","",INDEX('Input Transaksi'!$F:$F,$E60))</f>
        <v/>
      </c>
      <c r="E60">
        <f>IFERROR(AGGREGATE(15,6,ROW('Input Transaksi'!$B$5:$B$5000)/('Input Transaksi'!$B$5:$B$5000="LONDRI DEWE ANTASURA"),ROWS($E$5:E60)),"")</f>
        <v/>
      </c>
      <c r="F60" s="5" t="n"/>
    </row>
    <row r="61">
      <c r="A61" s="10">
        <f>IF($E61="","",INDEX('Input Transaksi'!$A:$A,$E61))</f>
        <v/>
      </c>
      <c r="B61" s="5">
        <f>IF($E61="","",INDEX('Input Transaksi'!$D:$D,$E61))</f>
        <v/>
      </c>
      <c r="C61">
        <f>IF($E61="","",INDEX('Input Transaksi'!$E:$E,$E61))</f>
        <v/>
      </c>
      <c r="D61" s="5">
        <f>IF($E61="","",INDEX('Input Transaksi'!$F:$F,$E61))</f>
        <v/>
      </c>
      <c r="E61">
        <f>IFERROR(AGGREGATE(15,6,ROW('Input Transaksi'!$B$5:$B$5000)/('Input Transaksi'!$B$5:$B$5000="LONDRI DEWE ANTASURA"),ROWS($E$5:E61)),"")</f>
        <v/>
      </c>
      <c r="F61" s="5" t="n"/>
    </row>
    <row r="62">
      <c r="A62" s="10">
        <f>IF($E62="","",INDEX('Input Transaksi'!$A:$A,$E62))</f>
        <v/>
      </c>
      <c r="B62" s="5">
        <f>IF($E62="","",INDEX('Input Transaksi'!$D:$D,$E62))</f>
        <v/>
      </c>
      <c r="C62">
        <f>IF($E62="","",INDEX('Input Transaksi'!$E:$E,$E62))</f>
        <v/>
      </c>
      <c r="D62" s="5">
        <f>IF($E62="","",INDEX('Input Transaksi'!$F:$F,$E62))</f>
        <v/>
      </c>
      <c r="E62">
        <f>IFERROR(AGGREGATE(15,6,ROW('Input Transaksi'!$B$5:$B$5000)/('Input Transaksi'!$B$5:$B$5000="LONDRI DEWE ANTASURA"),ROWS($E$5:E62)),"")</f>
        <v/>
      </c>
      <c r="F62" s="5" t="n"/>
    </row>
    <row r="63">
      <c r="A63" s="10">
        <f>IF($E63="","",INDEX('Input Transaksi'!$A:$A,$E63))</f>
        <v/>
      </c>
      <c r="B63" s="5">
        <f>IF($E63="","",INDEX('Input Transaksi'!$D:$D,$E63))</f>
        <v/>
      </c>
      <c r="C63">
        <f>IF($E63="","",INDEX('Input Transaksi'!$E:$E,$E63))</f>
        <v/>
      </c>
      <c r="D63" s="5">
        <f>IF($E63="","",INDEX('Input Transaksi'!$F:$F,$E63))</f>
        <v/>
      </c>
      <c r="E63">
        <f>IFERROR(AGGREGATE(15,6,ROW('Input Transaksi'!$B$5:$B$5000)/('Input Transaksi'!$B$5:$B$5000="LONDRI DEWE ANTASURA"),ROWS($E$5:E63)),"")</f>
        <v/>
      </c>
      <c r="F63" s="5" t="n"/>
    </row>
    <row r="64">
      <c r="A64" s="10">
        <f>IF($E64="","",INDEX('Input Transaksi'!$A:$A,$E64))</f>
        <v/>
      </c>
      <c r="B64" s="5">
        <f>IF($E64="","",INDEX('Input Transaksi'!$D:$D,$E64))</f>
        <v/>
      </c>
      <c r="C64">
        <f>IF($E64="","",INDEX('Input Transaksi'!$E:$E,$E64))</f>
        <v/>
      </c>
      <c r="D64" s="5">
        <f>IF($E64="","",INDEX('Input Transaksi'!$F:$F,$E64))</f>
        <v/>
      </c>
      <c r="E64">
        <f>IFERROR(AGGREGATE(15,6,ROW('Input Transaksi'!$B$5:$B$5000)/('Input Transaksi'!$B$5:$B$5000="LONDRI DEWE ANTASURA"),ROWS($E$5:E64)),"")</f>
        <v/>
      </c>
      <c r="F64" s="5" t="n"/>
    </row>
    <row r="65">
      <c r="A65" s="10">
        <f>IF($E65="","",INDEX('Input Transaksi'!$A:$A,$E65))</f>
        <v/>
      </c>
      <c r="B65" s="5">
        <f>IF($E65="","",INDEX('Input Transaksi'!$D:$D,$E65))</f>
        <v/>
      </c>
      <c r="C65">
        <f>IF($E65="","",INDEX('Input Transaksi'!$E:$E,$E65))</f>
        <v/>
      </c>
      <c r="D65" s="5">
        <f>IF($E65="","",INDEX('Input Transaksi'!$F:$F,$E65))</f>
        <v/>
      </c>
      <c r="E65">
        <f>IFERROR(AGGREGATE(15,6,ROW('Input Transaksi'!$B$5:$B$5000)/('Input Transaksi'!$B$5:$B$5000="LONDRI DEWE ANTASURA"),ROWS($E$5:E65)),"")</f>
        <v/>
      </c>
      <c r="F65" s="5" t="n"/>
    </row>
    <row r="66">
      <c r="A66" s="10">
        <f>IF($E66="","",INDEX('Input Transaksi'!$A:$A,$E66))</f>
        <v/>
      </c>
      <c r="B66" s="5">
        <f>IF($E66="","",INDEX('Input Transaksi'!$D:$D,$E66))</f>
        <v/>
      </c>
      <c r="C66">
        <f>IF($E66="","",INDEX('Input Transaksi'!$E:$E,$E66))</f>
        <v/>
      </c>
      <c r="D66" s="5">
        <f>IF($E66="","",INDEX('Input Transaksi'!$F:$F,$E66))</f>
        <v/>
      </c>
      <c r="E66">
        <f>IFERROR(AGGREGATE(15,6,ROW('Input Transaksi'!$B$5:$B$5000)/('Input Transaksi'!$B$5:$B$5000="LONDRI DEWE ANTASURA"),ROWS($E$5:E66)),"")</f>
        <v/>
      </c>
      <c r="F66" s="5" t="n"/>
    </row>
    <row r="67">
      <c r="A67" s="10">
        <f>IF($E67="","",INDEX('Input Transaksi'!$A:$A,$E67))</f>
        <v/>
      </c>
      <c r="B67" s="5">
        <f>IF($E67="","",INDEX('Input Transaksi'!$D:$D,$E67))</f>
        <v/>
      </c>
      <c r="C67">
        <f>IF($E67="","",INDEX('Input Transaksi'!$E:$E,$E67))</f>
        <v/>
      </c>
      <c r="D67" s="5">
        <f>IF($E67="","",INDEX('Input Transaksi'!$F:$F,$E67))</f>
        <v/>
      </c>
      <c r="E67">
        <f>IFERROR(AGGREGATE(15,6,ROW('Input Transaksi'!$B$5:$B$5000)/('Input Transaksi'!$B$5:$B$5000="LONDRI DEWE ANTASURA"),ROWS($E$5:E67)),"")</f>
        <v/>
      </c>
      <c r="F67" s="5" t="n"/>
    </row>
    <row r="68">
      <c r="A68" s="10">
        <f>IF($E68="","",INDEX('Input Transaksi'!$A:$A,$E68))</f>
        <v/>
      </c>
      <c r="B68" s="5">
        <f>IF($E68="","",INDEX('Input Transaksi'!$D:$D,$E68))</f>
        <v/>
      </c>
      <c r="C68">
        <f>IF($E68="","",INDEX('Input Transaksi'!$E:$E,$E68))</f>
        <v/>
      </c>
      <c r="D68" s="5">
        <f>IF($E68="","",INDEX('Input Transaksi'!$F:$F,$E68))</f>
        <v/>
      </c>
      <c r="E68">
        <f>IFERROR(AGGREGATE(15,6,ROW('Input Transaksi'!$B$5:$B$5000)/('Input Transaksi'!$B$5:$B$5000="LONDRI DEWE ANTASURA"),ROWS($E$5:E68)),"")</f>
        <v/>
      </c>
      <c r="F68" s="5" t="n"/>
    </row>
    <row r="69">
      <c r="A69" s="10">
        <f>IF($E69="","",INDEX('Input Transaksi'!$A:$A,$E69))</f>
        <v/>
      </c>
      <c r="B69" s="5">
        <f>IF($E69="","",INDEX('Input Transaksi'!$D:$D,$E69))</f>
        <v/>
      </c>
      <c r="C69">
        <f>IF($E69="","",INDEX('Input Transaksi'!$E:$E,$E69))</f>
        <v/>
      </c>
      <c r="D69" s="5">
        <f>IF($E69="","",INDEX('Input Transaksi'!$F:$F,$E69))</f>
        <v/>
      </c>
      <c r="E69">
        <f>IFERROR(AGGREGATE(15,6,ROW('Input Transaksi'!$B$5:$B$5000)/('Input Transaksi'!$B$5:$B$5000="LONDRI DEWE ANTASURA"),ROWS($E$5:E69)),"")</f>
        <v/>
      </c>
      <c r="F69" s="5" t="n"/>
    </row>
    <row r="70">
      <c r="A70" s="10">
        <f>IF($E70="","",INDEX('Input Transaksi'!$A:$A,$E70))</f>
        <v/>
      </c>
      <c r="B70" s="5">
        <f>IF($E70="","",INDEX('Input Transaksi'!$D:$D,$E70))</f>
        <v/>
      </c>
      <c r="C70">
        <f>IF($E70="","",INDEX('Input Transaksi'!$E:$E,$E70))</f>
        <v/>
      </c>
      <c r="D70" s="5">
        <f>IF($E70="","",INDEX('Input Transaksi'!$F:$F,$E70))</f>
        <v/>
      </c>
      <c r="E70">
        <f>IFERROR(AGGREGATE(15,6,ROW('Input Transaksi'!$B$5:$B$5000)/('Input Transaksi'!$B$5:$B$5000="LONDRI DEWE ANTASURA"),ROWS($E$5:E70)),"")</f>
        <v/>
      </c>
      <c r="F70" s="5" t="n"/>
    </row>
    <row r="71">
      <c r="A71" s="10">
        <f>IF($E71="","",INDEX('Input Transaksi'!$A:$A,$E71))</f>
        <v/>
      </c>
      <c r="B71" s="5">
        <f>IF($E71="","",INDEX('Input Transaksi'!$D:$D,$E71))</f>
        <v/>
      </c>
      <c r="C71">
        <f>IF($E71="","",INDEX('Input Transaksi'!$E:$E,$E71))</f>
        <v/>
      </c>
      <c r="D71" s="5">
        <f>IF($E71="","",INDEX('Input Transaksi'!$F:$F,$E71))</f>
        <v/>
      </c>
      <c r="E71">
        <f>IFERROR(AGGREGATE(15,6,ROW('Input Transaksi'!$B$5:$B$5000)/('Input Transaksi'!$B$5:$B$5000="LONDRI DEWE ANTASURA"),ROWS($E$5:E71)),"")</f>
        <v/>
      </c>
      <c r="F71" s="5" t="n"/>
    </row>
    <row r="72">
      <c r="A72" s="10">
        <f>IF($E72="","",INDEX('Input Transaksi'!$A:$A,$E72))</f>
        <v/>
      </c>
      <c r="B72" s="5">
        <f>IF($E72="","",INDEX('Input Transaksi'!$D:$D,$E72))</f>
        <v/>
      </c>
      <c r="C72">
        <f>IF($E72="","",INDEX('Input Transaksi'!$E:$E,$E72))</f>
        <v/>
      </c>
      <c r="D72" s="5">
        <f>IF($E72="","",INDEX('Input Transaksi'!$F:$F,$E72))</f>
        <v/>
      </c>
      <c r="E72">
        <f>IFERROR(AGGREGATE(15,6,ROW('Input Transaksi'!$B$5:$B$5000)/('Input Transaksi'!$B$5:$B$5000="LONDRI DEWE ANTASURA"),ROWS($E$5:E72)),"")</f>
        <v/>
      </c>
      <c r="F72" s="5" t="n"/>
    </row>
    <row r="73">
      <c r="A73" s="10">
        <f>IF($E73="","",INDEX('Input Transaksi'!$A:$A,$E73))</f>
        <v/>
      </c>
      <c r="B73" s="5">
        <f>IF($E73="","",INDEX('Input Transaksi'!$D:$D,$E73))</f>
        <v/>
      </c>
      <c r="C73">
        <f>IF($E73="","",INDEX('Input Transaksi'!$E:$E,$E73))</f>
        <v/>
      </c>
      <c r="D73" s="5">
        <f>IF($E73="","",INDEX('Input Transaksi'!$F:$F,$E73))</f>
        <v/>
      </c>
      <c r="E73">
        <f>IFERROR(AGGREGATE(15,6,ROW('Input Transaksi'!$B$5:$B$5000)/('Input Transaksi'!$B$5:$B$5000="LONDRI DEWE ANTASURA"),ROWS($E$5:E73)),"")</f>
        <v/>
      </c>
      <c r="F73" s="5" t="n"/>
    </row>
    <row r="74">
      <c r="A74" s="10">
        <f>IF($E74="","",INDEX('Input Transaksi'!$A:$A,$E74))</f>
        <v/>
      </c>
      <c r="B74" s="5">
        <f>IF($E74="","",INDEX('Input Transaksi'!$D:$D,$E74))</f>
        <v/>
      </c>
      <c r="C74">
        <f>IF($E74="","",INDEX('Input Transaksi'!$E:$E,$E74))</f>
        <v/>
      </c>
      <c r="D74" s="5">
        <f>IF($E74="","",INDEX('Input Transaksi'!$F:$F,$E74))</f>
        <v/>
      </c>
      <c r="E74">
        <f>IFERROR(AGGREGATE(15,6,ROW('Input Transaksi'!$B$5:$B$5000)/('Input Transaksi'!$B$5:$B$5000="LONDRI DEWE ANTASURA"),ROWS($E$5:E74)),"")</f>
        <v/>
      </c>
      <c r="F74" s="5" t="n"/>
    </row>
    <row r="75">
      <c r="A75" s="10">
        <f>IF($E75="","",INDEX('Input Transaksi'!$A:$A,$E75))</f>
        <v/>
      </c>
      <c r="B75" s="5">
        <f>IF($E75="","",INDEX('Input Transaksi'!$D:$D,$E75))</f>
        <v/>
      </c>
      <c r="C75">
        <f>IF($E75="","",INDEX('Input Transaksi'!$E:$E,$E75))</f>
        <v/>
      </c>
      <c r="D75" s="5">
        <f>IF($E75="","",INDEX('Input Transaksi'!$F:$F,$E75))</f>
        <v/>
      </c>
      <c r="E75">
        <f>IFERROR(AGGREGATE(15,6,ROW('Input Transaksi'!$B$5:$B$5000)/('Input Transaksi'!$B$5:$B$5000="LONDRI DEWE ANTASURA"),ROWS($E$5:E75)),"")</f>
        <v/>
      </c>
      <c r="F75" s="5" t="n"/>
    </row>
    <row r="76">
      <c r="A76" s="10">
        <f>IF($E76="","",INDEX('Input Transaksi'!$A:$A,$E76))</f>
        <v/>
      </c>
      <c r="B76" s="5">
        <f>IF($E76="","",INDEX('Input Transaksi'!$D:$D,$E76))</f>
        <v/>
      </c>
      <c r="C76">
        <f>IF($E76="","",INDEX('Input Transaksi'!$E:$E,$E76))</f>
        <v/>
      </c>
      <c r="D76" s="5">
        <f>IF($E76="","",INDEX('Input Transaksi'!$F:$F,$E76))</f>
        <v/>
      </c>
      <c r="E76">
        <f>IFERROR(AGGREGATE(15,6,ROW('Input Transaksi'!$B$5:$B$5000)/('Input Transaksi'!$B$5:$B$5000="LONDRI DEWE ANTASURA"),ROWS($E$5:E76)),"")</f>
        <v/>
      </c>
      <c r="F76" s="5" t="n"/>
    </row>
    <row r="77">
      <c r="A77" s="10">
        <f>IF($E77="","",INDEX('Input Transaksi'!$A:$A,$E77))</f>
        <v/>
      </c>
      <c r="B77" s="5">
        <f>IF($E77="","",INDEX('Input Transaksi'!$D:$D,$E77))</f>
        <v/>
      </c>
      <c r="C77">
        <f>IF($E77="","",INDEX('Input Transaksi'!$E:$E,$E77))</f>
        <v/>
      </c>
      <c r="D77" s="5">
        <f>IF($E77="","",INDEX('Input Transaksi'!$F:$F,$E77))</f>
        <v/>
      </c>
      <c r="E77">
        <f>IFERROR(AGGREGATE(15,6,ROW('Input Transaksi'!$B$5:$B$5000)/('Input Transaksi'!$B$5:$B$5000="LONDRI DEWE ANTASURA"),ROWS($E$5:E77)),"")</f>
        <v/>
      </c>
      <c r="F77" s="5" t="n"/>
    </row>
    <row r="78">
      <c r="A78" s="10">
        <f>IF($E78="","",INDEX('Input Transaksi'!$A:$A,$E78))</f>
        <v/>
      </c>
      <c r="B78" s="5">
        <f>IF($E78="","",INDEX('Input Transaksi'!$D:$D,$E78))</f>
        <v/>
      </c>
      <c r="C78">
        <f>IF($E78="","",INDEX('Input Transaksi'!$E:$E,$E78))</f>
        <v/>
      </c>
      <c r="D78" s="5">
        <f>IF($E78="","",INDEX('Input Transaksi'!$F:$F,$E78))</f>
        <v/>
      </c>
      <c r="E78">
        <f>IFERROR(AGGREGATE(15,6,ROW('Input Transaksi'!$B$5:$B$5000)/('Input Transaksi'!$B$5:$B$5000="LONDRI DEWE ANTASURA"),ROWS($E$5:E78)),"")</f>
        <v/>
      </c>
      <c r="F78" s="5" t="n"/>
    </row>
    <row r="79">
      <c r="A79" s="10">
        <f>IF($E79="","",INDEX('Input Transaksi'!$A:$A,$E79))</f>
        <v/>
      </c>
      <c r="B79" s="5">
        <f>IF($E79="","",INDEX('Input Transaksi'!$D:$D,$E79))</f>
        <v/>
      </c>
      <c r="C79">
        <f>IF($E79="","",INDEX('Input Transaksi'!$E:$E,$E79))</f>
        <v/>
      </c>
      <c r="D79" s="5">
        <f>IF($E79="","",INDEX('Input Transaksi'!$F:$F,$E79))</f>
        <v/>
      </c>
      <c r="E79">
        <f>IFERROR(AGGREGATE(15,6,ROW('Input Transaksi'!$B$5:$B$5000)/('Input Transaksi'!$B$5:$B$5000="LONDRI DEWE ANTASURA"),ROWS($E$5:E79)),"")</f>
        <v/>
      </c>
      <c r="F79" s="5" t="n"/>
    </row>
    <row r="80">
      <c r="A80" s="10">
        <f>IF($E80="","",INDEX('Input Transaksi'!$A:$A,$E80))</f>
        <v/>
      </c>
      <c r="B80" s="5">
        <f>IF($E80="","",INDEX('Input Transaksi'!$D:$D,$E80))</f>
        <v/>
      </c>
      <c r="C80">
        <f>IF($E80="","",INDEX('Input Transaksi'!$E:$E,$E80))</f>
        <v/>
      </c>
      <c r="D80" s="5">
        <f>IF($E80="","",INDEX('Input Transaksi'!$F:$F,$E80))</f>
        <v/>
      </c>
      <c r="E80">
        <f>IFERROR(AGGREGATE(15,6,ROW('Input Transaksi'!$B$5:$B$5000)/('Input Transaksi'!$B$5:$B$5000="LONDRI DEWE ANTASURA"),ROWS($E$5:E80)),"")</f>
        <v/>
      </c>
      <c r="F80" s="5" t="n"/>
    </row>
    <row r="81">
      <c r="A81" s="10">
        <f>IF($E81="","",INDEX('Input Transaksi'!$A:$A,$E81))</f>
        <v/>
      </c>
      <c r="B81" s="5">
        <f>IF($E81="","",INDEX('Input Transaksi'!$D:$D,$E81))</f>
        <v/>
      </c>
      <c r="C81">
        <f>IF($E81="","",INDEX('Input Transaksi'!$E:$E,$E81))</f>
        <v/>
      </c>
      <c r="D81" s="5">
        <f>IF($E81="","",INDEX('Input Transaksi'!$F:$F,$E81))</f>
        <v/>
      </c>
      <c r="E81">
        <f>IFERROR(AGGREGATE(15,6,ROW('Input Transaksi'!$B$5:$B$5000)/('Input Transaksi'!$B$5:$B$5000="LONDRI DEWE ANTASURA"),ROWS($E$5:E81)),"")</f>
        <v/>
      </c>
      <c r="F81" s="5" t="n"/>
    </row>
    <row r="82">
      <c r="A82" s="10">
        <f>IF($E82="","",INDEX('Input Transaksi'!$A:$A,$E82))</f>
        <v/>
      </c>
      <c r="B82" s="5">
        <f>IF($E82="","",INDEX('Input Transaksi'!$D:$D,$E82))</f>
        <v/>
      </c>
      <c r="C82">
        <f>IF($E82="","",INDEX('Input Transaksi'!$E:$E,$E82))</f>
        <v/>
      </c>
      <c r="D82" s="5">
        <f>IF($E82="","",INDEX('Input Transaksi'!$F:$F,$E82))</f>
        <v/>
      </c>
      <c r="E82">
        <f>IFERROR(AGGREGATE(15,6,ROW('Input Transaksi'!$B$5:$B$5000)/('Input Transaksi'!$B$5:$B$5000="LONDRI DEWE ANTASURA"),ROWS($E$5:E82)),"")</f>
        <v/>
      </c>
      <c r="F82" s="5" t="n"/>
    </row>
    <row r="83">
      <c r="A83" s="10">
        <f>IF($E83="","",INDEX('Input Transaksi'!$A:$A,$E83))</f>
        <v/>
      </c>
      <c r="B83" s="5">
        <f>IF($E83="","",INDEX('Input Transaksi'!$D:$D,$E83))</f>
        <v/>
      </c>
      <c r="C83">
        <f>IF($E83="","",INDEX('Input Transaksi'!$E:$E,$E83))</f>
        <v/>
      </c>
      <c r="D83" s="5">
        <f>IF($E83="","",INDEX('Input Transaksi'!$F:$F,$E83))</f>
        <v/>
      </c>
      <c r="E83">
        <f>IFERROR(AGGREGATE(15,6,ROW('Input Transaksi'!$B$5:$B$5000)/('Input Transaksi'!$B$5:$B$5000="LONDRI DEWE ANTASURA"),ROWS($E$5:E83)),"")</f>
        <v/>
      </c>
      <c r="F83" s="5" t="n"/>
    </row>
    <row r="84">
      <c r="A84" s="10">
        <f>IF($E84="","",INDEX('Input Transaksi'!$A:$A,$E84))</f>
        <v/>
      </c>
      <c r="B84" s="5">
        <f>IF($E84="","",INDEX('Input Transaksi'!$D:$D,$E84))</f>
        <v/>
      </c>
      <c r="C84">
        <f>IF($E84="","",INDEX('Input Transaksi'!$E:$E,$E84))</f>
        <v/>
      </c>
      <c r="D84" s="5">
        <f>IF($E84="","",INDEX('Input Transaksi'!$F:$F,$E84))</f>
        <v/>
      </c>
      <c r="E84">
        <f>IFERROR(AGGREGATE(15,6,ROW('Input Transaksi'!$B$5:$B$5000)/('Input Transaksi'!$B$5:$B$5000="LONDRI DEWE ANTASURA"),ROWS($E$5:E84)),"")</f>
        <v/>
      </c>
      <c r="F84" s="5" t="n"/>
    </row>
    <row r="85">
      <c r="A85" s="10">
        <f>IF($E85="","",INDEX('Input Transaksi'!$A:$A,$E85))</f>
        <v/>
      </c>
      <c r="B85" s="5">
        <f>IF($E85="","",INDEX('Input Transaksi'!$D:$D,$E85))</f>
        <v/>
      </c>
      <c r="C85">
        <f>IF($E85="","",INDEX('Input Transaksi'!$E:$E,$E85))</f>
        <v/>
      </c>
      <c r="D85" s="5">
        <f>IF($E85="","",INDEX('Input Transaksi'!$F:$F,$E85))</f>
        <v/>
      </c>
      <c r="E85">
        <f>IFERROR(AGGREGATE(15,6,ROW('Input Transaksi'!$B$5:$B$5000)/('Input Transaksi'!$B$5:$B$5000="LONDRI DEWE ANTASURA"),ROWS($E$5:E85)),"")</f>
        <v/>
      </c>
      <c r="F85" s="5" t="n"/>
    </row>
    <row r="86">
      <c r="A86" s="10">
        <f>IF($E86="","",INDEX('Input Transaksi'!$A:$A,$E86))</f>
        <v/>
      </c>
      <c r="B86" s="5">
        <f>IF($E86="","",INDEX('Input Transaksi'!$D:$D,$E86))</f>
        <v/>
      </c>
      <c r="C86">
        <f>IF($E86="","",INDEX('Input Transaksi'!$E:$E,$E86))</f>
        <v/>
      </c>
      <c r="D86" s="5">
        <f>IF($E86="","",INDEX('Input Transaksi'!$F:$F,$E86))</f>
        <v/>
      </c>
      <c r="E86">
        <f>IFERROR(AGGREGATE(15,6,ROW('Input Transaksi'!$B$5:$B$5000)/('Input Transaksi'!$B$5:$B$5000="LONDRI DEWE ANTASURA"),ROWS($E$5:E86)),"")</f>
        <v/>
      </c>
      <c r="F86" s="5" t="n"/>
    </row>
    <row r="87">
      <c r="A87" s="10">
        <f>IF($E87="","",INDEX('Input Transaksi'!$A:$A,$E87))</f>
        <v/>
      </c>
      <c r="B87" s="5">
        <f>IF($E87="","",INDEX('Input Transaksi'!$D:$D,$E87))</f>
        <v/>
      </c>
      <c r="C87">
        <f>IF($E87="","",INDEX('Input Transaksi'!$E:$E,$E87))</f>
        <v/>
      </c>
      <c r="D87" s="5">
        <f>IF($E87="","",INDEX('Input Transaksi'!$F:$F,$E87))</f>
        <v/>
      </c>
      <c r="E87">
        <f>IFERROR(AGGREGATE(15,6,ROW('Input Transaksi'!$B$5:$B$5000)/('Input Transaksi'!$B$5:$B$5000="LONDRI DEWE ANTASURA"),ROWS($E$5:E87)),"")</f>
        <v/>
      </c>
      <c r="F87" s="5" t="n"/>
    </row>
    <row r="88">
      <c r="A88" s="10">
        <f>IF($E88="","",INDEX('Input Transaksi'!$A:$A,$E88))</f>
        <v/>
      </c>
      <c r="B88" s="5">
        <f>IF($E88="","",INDEX('Input Transaksi'!$D:$D,$E88))</f>
        <v/>
      </c>
      <c r="C88">
        <f>IF($E88="","",INDEX('Input Transaksi'!$E:$E,$E88))</f>
        <v/>
      </c>
      <c r="D88" s="5">
        <f>IF($E88="","",INDEX('Input Transaksi'!$F:$F,$E88))</f>
        <v/>
      </c>
      <c r="E88">
        <f>IFERROR(AGGREGATE(15,6,ROW('Input Transaksi'!$B$5:$B$5000)/('Input Transaksi'!$B$5:$B$5000="LONDRI DEWE ANTASURA"),ROWS($E$5:E88)),"")</f>
        <v/>
      </c>
      <c r="F88" s="5" t="n"/>
    </row>
    <row r="89">
      <c r="A89" s="10">
        <f>IF($E89="","",INDEX('Input Transaksi'!$A:$A,$E89))</f>
        <v/>
      </c>
      <c r="B89" s="5">
        <f>IF($E89="","",INDEX('Input Transaksi'!$D:$D,$E89))</f>
        <v/>
      </c>
      <c r="C89">
        <f>IF($E89="","",INDEX('Input Transaksi'!$E:$E,$E89))</f>
        <v/>
      </c>
      <c r="D89" s="5">
        <f>IF($E89="","",INDEX('Input Transaksi'!$F:$F,$E89))</f>
        <v/>
      </c>
      <c r="E89">
        <f>IFERROR(AGGREGATE(15,6,ROW('Input Transaksi'!$B$5:$B$5000)/('Input Transaksi'!$B$5:$B$5000="LONDRI DEWE ANTASURA"),ROWS($E$5:E89)),"")</f>
        <v/>
      </c>
      <c r="F89" s="5" t="n"/>
    </row>
    <row r="90">
      <c r="A90" s="10">
        <f>IF($E90="","",INDEX('Input Transaksi'!$A:$A,$E90))</f>
        <v/>
      </c>
      <c r="B90" s="5">
        <f>IF($E90="","",INDEX('Input Transaksi'!$D:$D,$E90))</f>
        <v/>
      </c>
      <c r="C90">
        <f>IF($E90="","",INDEX('Input Transaksi'!$E:$E,$E90))</f>
        <v/>
      </c>
      <c r="D90" s="5">
        <f>IF($E90="","",INDEX('Input Transaksi'!$F:$F,$E90))</f>
        <v/>
      </c>
      <c r="E90">
        <f>IFERROR(AGGREGATE(15,6,ROW('Input Transaksi'!$B$5:$B$5000)/('Input Transaksi'!$B$5:$B$5000="LONDRI DEWE ANTASURA"),ROWS($E$5:E90)),"")</f>
        <v/>
      </c>
      <c r="F90" s="5" t="n"/>
    </row>
    <row r="91">
      <c r="A91" s="10">
        <f>IF($E91="","",INDEX('Input Transaksi'!$A:$A,$E91))</f>
        <v/>
      </c>
      <c r="B91" s="5">
        <f>IF($E91="","",INDEX('Input Transaksi'!$D:$D,$E91))</f>
        <v/>
      </c>
      <c r="C91">
        <f>IF($E91="","",INDEX('Input Transaksi'!$E:$E,$E91))</f>
        <v/>
      </c>
      <c r="D91" s="5">
        <f>IF($E91="","",INDEX('Input Transaksi'!$F:$F,$E91))</f>
        <v/>
      </c>
      <c r="E91">
        <f>IFERROR(AGGREGATE(15,6,ROW('Input Transaksi'!$B$5:$B$5000)/('Input Transaksi'!$B$5:$B$5000="LONDRI DEWE ANTASURA"),ROWS($E$5:E91)),"")</f>
        <v/>
      </c>
      <c r="F91" s="5" t="n"/>
    </row>
    <row r="92">
      <c r="A92" s="10">
        <f>IF($E92="","",INDEX('Input Transaksi'!$A:$A,$E92))</f>
        <v/>
      </c>
      <c r="B92" s="5">
        <f>IF($E92="","",INDEX('Input Transaksi'!$D:$D,$E92))</f>
        <v/>
      </c>
      <c r="C92">
        <f>IF($E92="","",INDEX('Input Transaksi'!$E:$E,$E92))</f>
        <v/>
      </c>
      <c r="D92" s="5">
        <f>IF($E92="","",INDEX('Input Transaksi'!$F:$F,$E92))</f>
        <v/>
      </c>
      <c r="E92">
        <f>IFERROR(AGGREGATE(15,6,ROW('Input Transaksi'!$B$5:$B$5000)/('Input Transaksi'!$B$5:$B$5000="LONDRI DEWE ANTASURA"),ROWS($E$5:E92)),"")</f>
        <v/>
      </c>
      <c r="F92" s="5" t="n"/>
    </row>
    <row r="93">
      <c r="A93" s="10">
        <f>IF($E93="","",INDEX('Input Transaksi'!$A:$A,$E93))</f>
        <v/>
      </c>
      <c r="B93" s="5">
        <f>IF($E93="","",INDEX('Input Transaksi'!$D:$D,$E93))</f>
        <v/>
      </c>
      <c r="C93">
        <f>IF($E93="","",INDEX('Input Transaksi'!$E:$E,$E93))</f>
        <v/>
      </c>
      <c r="D93" s="5">
        <f>IF($E93="","",INDEX('Input Transaksi'!$F:$F,$E93))</f>
        <v/>
      </c>
      <c r="E93">
        <f>IFERROR(AGGREGATE(15,6,ROW('Input Transaksi'!$B$5:$B$5000)/('Input Transaksi'!$B$5:$B$5000="LONDRI DEWE ANTASURA"),ROWS($E$5:E93)),"")</f>
        <v/>
      </c>
      <c r="F93" s="5" t="n"/>
    </row>
    <row r="94">
      <c r="A94" s="10">
        <f>IF($E94="","",INDEX('Input Transaksi'!$A:$A,$E94))</f>
        <v/>
      </c>
      <c r="B94" s="5">
        <f>IF($E94="","",INDEX('Input Transaksi'!$D:$D,$E94))</f>
        <v/>
      </c>
      <c r="C94">
        <f>IF($E94="","",INDEX('Input Transaksi'!$E:$E,$E94))</f>
        <v/>
      </c>
      <c r="D94" s="5">
        <f>IF($E94="","",INDEX('Input Transaksi'!$F:$F,$E94))</f>
        <v/>
      </c>
      <c r="E94">
        <f>IFERROR(AGGREGATE(15,6,ROW('Input Transaksi'!$B$5:$B$5000)/('Input Transaksi'!$B$5:$B$5000="LONDRI DEWE ANTASURA"),ROWS($E$5:E94)),"")</f>
        <v/>
      </c>
      <c r="F94" s="5" t="n"/>
    </row>
    <row r="95">
      <c r="A95" s="10">
        <f>IF($E95="","",INDEX('Input Transaksi'!$A:$A,$E95))</f>
        <v/>
      </c>
      <c r="B95" s="5">
        <f>IF($E95="","",INDEX('Input Transaksi'!$D:$D,$E95))</f>
        <v/>
      </c>
      <c r="C95">
        <f>IF($E95="","",INDEX('Input Transaksi'!$E:$E,$E95))</f>
        <v/>
      </c>
      <c r="D95" s="5">
        <f>IF($E95="","",INDEX('Input Transaksi'!$F:$F,$E95))</f>
        <v/>
      </c>
      <c r="E95">
        <f>IFERROR(AGGREGATE(15,6,ROW('Input Transaksi'!$B$5:$B$5000)/('Input Transaksi'!$B$5:$B$5000="LONDRI DEWE ANTASURA"),ROWS($E$5:E95)),"")</f>
        <v/>
      </c>
      <c r="F95" s="5" t="n"/>
    </row>
    <row r="96">
      <c r="A96" s="10">
        <f>IF($E96="","",INDEX('Input Transaksi'!$A:$A,$E96))</f>
        <v/>
      </c>
      <c r="B96" s="5">
        <f>IF($E96="","",INDEX('Input Transaksi'!$D:$D,$E96))</f>
        <v/>
      </c>
      <c r="C96">
        <f>IF($E96="","",INDEX('Input Transaksi'!$E:$E,$E96))</f>
        <v/>
      </c>
      <c r="D96" s="5">
        <f>IF($E96="","",INDEX('Input Transaksi'!$F:$F,$E96))</f>
        <v/>
      </c>
      <c r="E96">
        <f>IFERROR(AGGREGATE(15,6,ROW('Input Transaksi'!$B$5:$B$5000)/('Input Transaksi'!$B$5:$B$5000="LONDRI DEWE ANTASURA"),ROWS($E$5:E96)),"")</f>
        <v/>
      </c>
      <c r="F96" s="5" t="n"/>
    </row>
    <row r="97">
      <c r="A97" s="10">
        <f>IF($E97="","",INDEX('Input Transaksi'!$A:$A,$E97))</f>
        <v/>
      </c>
      <c r="B97" s="5">
        <f>IF($E97="","",INDEX('Input Transaksi'!$D:$D,$E97))</f>
        <v/>
      </c>
      <c r="C97">
        <f>IF($E97="","",INDEX('Input Transaksi'!$E:$E,$E97))</f>
        <v/>
      </c>
      <c r="D97" s="5">
        <f>IF($E97="","",INDEX('Input Transaksi'!$F:$F,$E97))</f>
        <v/>
      </c>
      <c r="E97">
        <f>IFERROR(AGGREGATE(15,6,ROW('Input Transaksi'!$B$5:$B$5000)/('Input Transaksi'!$B$5:$B$5000="LONDRI DEWE ANTASURA"),ROWS($E$5:E97)),"")</f>
        <v/>
      </c>
      <c r="F97" s="5" t="n"/>
    </row>
    <row r="98">
      <c r="A98" s="10">
        <f>IF($E98="","",INDEX('Input Transaksi'!$A:$A,$E98))</f>
        <v/>
      </c>
      <c r="B98" s="5">
        <f>IF($E98="","",INDEX('Input Transaksi'!$D:$D,$E98))</f>
        <v/>
      </c>
      <c r="C98">
        <f>IF($E98="","",INDEX('Input Transaksi'!$E:$E,$E98))</f>
        <v/>
      </c>
      <c r="D98" s="5">
        <f>IF($E98="","",INDEX('Input Transaksi'!$F:$F,$E98))</f>
        <v/>
      </c>
      <c r="E98">
        <f>IFERROR(AGGREGATE(15,6,ROW('Input Transaksi'!$B$5:$B$5000)/('Input Transaksi'!$B$5:$B$5000="LONDRI DEWE ANTASURA"),ROWS($E$5:E98)),"")</f>
        <v/>
      </c>
      <c r="F98" s="5" t="n"/>
    </row>
    <row r="99">
      <c r="A99" s="10">
        <f>IF($E99="","",INDEX('Input Transaksi'!$A:$A,$E99))</f>
        <v/>
      </c>
      <c r="B99" s="5">
        <f>IF($E99="","",INDEX('Input Transaksi'!$D:$D,$E99))</f>
        <v/>
      </c>
      <c r="C99">
        <f>IF($E99="","",INDEX('Input Transaksi'!$E:$E,$E99))</f>
        <v/>
      </c>
      <c r="D99" s="5">
        <f>IF($E99="","",INDEX('Input Transaksi'!$F:$F,$E99))</f>
        <v/>
      </c>
      <c r="E99">
        <f>IFERROR(AGGREGATE(15,6,ROW('Input Transaksi'!$B$5:$B$5000)/('Input Transaksi'!$B$5:$B$5000="LONDRI DEWE ANTASURA"),ROWS($E$5:E99)),"")</f>
        <v/>
      </c>
      <c r="F99" s="5" t="n"/>
    </row>
    <row r="100">
      <c r="A100" s="10">
        <f>IF($E100="","",INDEX('Input Transaksi'!$A:$A,$E100))</f>
        <v/>
      </c>
      <c r="B100" s="5">
        <f>IF($E100="","",INDEX('Input Transaksi'!$D:$D,$E100))</f>
        <v/>
      </c>
      <c r="C100">
        <f>IF($E100="","",INDEX('Input Transaksi'!$E:$E,$E100))</f>
        <v/>
      </c>
      <c r="D100" s="5">
        <f>IF($E100="","",INDEX('Input Transaksi'!$F:$F,$E100))</f>
        <v/>
      </c>
      <c r="E100">
        <f>IFERROR(AGGREGATE(15,6,ROW('Input Transaksi'!$B$5:$B$5000)/('Input Transaksi'!$B$5:$B$5000="LONDRI DEWE ANTASURA"),ROWS($E$5:E100)),"")</f>
        <v/>
      </c>
      <c r="F100" s="5" t="n"/>
    </row>
    <row r="101">
      <c r="A101" s="10">
        <f>IF($E101="","",INDEX('Input Transaksi'!$A:$A,$E101))</f>
        <v/>
      </c>
      <c r="B101" s="5">
        <f>IF($E101="","",INDEX('Input Transaksi'!$D:$D,$E101))</f>
        <v/>
      </c>
      <c r="C101">
        <f>IF($E101="","",INDEX('Input Transaksi'!$E:$E,$E101))</f>
        <v/>
      </c>
      <c r="D101" s="5">
        <f>IF($E101="","",INDEX('Input Transaksi'!$F:$F,$E101))</f>
        <v/>
      </c>
      <c r="E101">
        <f>IFERROR(AGGREGATE(15,6,ROW('Input Transaksi'!$B$5:$B$5000)/('Input Transaksi'!$B$5:$B$5000="LONDRI DEWE ANTASURA"),ROWS($E$5:E101)),"")</f>
        <v/>
      </c>
      <c r="F101" s="5" t="n"/>
    </row>
    <row r="102">
      <c r="A102" s="10">
        <f>IF($E102="","",INDEX('Input Transaksi'!$A:$A,$E102))</f>
        <v/>
      </c>
      <c r="B102" s="5">
        <f>IF($E102="","",INDEX('Input Transaksi'!$D:$D,$E102))</f>
        <v/>
      </c>
      <c r="C102">
        <f>IF($E102="","",INDEX('Input Transaksi'!$E:$E,$E102))</f>
        <v/>
      </c>
      <c r="D102" s="5">
        <f>IF($E102="","",INDEX('Input Transaksi'!$F:$F,$E102))</f>
        <v/>
      </c>
      <c r="E102">
        <f>IFERROR(AGGREGATE(15,6,ROW('Input Transaksi'!$B$5:$B$5000)/('Input Transaksi'!$B$5:$B$5000="LONDRI DEWE ANTASURA"),ROWS($E$5:E102)),"")</f>
        <v/>
      </c>
      <c r="F102" s="5" t="n"/>
    </row>
    <row r="103">
      <c r="A103" s="10">
        <f>IF($E103="","",INDEX('Input Transaksi'!$A:$A,$E103))</f>
        <v/>
      </c>
      <c r="B103" s="5">
        <f>IF($E103="","",INDEX('Input Transaksi'!$D:$D,$E103))</f>
        <v/>
      </c>
      <c r="C103">
        <f>IF($E103="","",INDEX('Input Transaksi'!$E:$E,$E103))</f>
        <v/>
      </c>
      <c r="D103" s="5">
        <f>IF($E103="","",INDEX('Input Transaksi'!$F:$F,$E103))</f>
        <v/>
      </c>
      <c r="E103">
        <f>IFERROR(AGGREGATE(15,6,ROW('Input Transaksi'!$B$5:$B$5000)/('Input Transaksi'!$B$5:$B$5000="LONDRI DEWE ANTASURA"),ROWS($E$5:E103)),"")</f>
        <v/>
      </c>
      <c r="F103" s="5" t="n"/>
    </row>
    <row r="104">
      <c r="A104" s="10">
        <f>IF($E104="","",INDEX('Input Transaksi'!$A:$A,$E104))</f>
        <v/>
      </c>
      <c r="B104" s="5">
        <f>IF($E104="","",INDEX('Input Transaksi'!$D:$D,$E104))</f>
        <v/>
      </c>
      <c r="C104">
        <f>IF($E104="","",INDEX('Input Transaksi'!$E:$E,$E104))</f>
        <v/>
      </c>
      <c r="D104" s="5">
        <f>IF($E104="","",INDEX('Input Transaksi'!$F:$F,$E104))</f>
        <v/>
      </c>
      <c r="E104">
        <f>IFERROR(AGGREGATE(15,6,ROW('Input Transaksi'!$B$5:$B$5000)/('Input Transaksi'!$B$5:$B$5000="LONDRI DEWE ANTASURA"),ROWS($E$5:E104)),"")</f>
        <v/>
      </c>
      <c r="F104" s="5" t="n"/>
    </row>
    <row r="105">
      <c r="A105" s="10">
        <f>IF($E105="","",INDEX('Input Transaksi'!$A:$A,$E105))</f>
        <v/>
      </c>
      <c r="B105" s="5">
        <f>IF($E105="","",INDEX('Input Transaksi'!$D:$D,$E105))</f>
        <v/>
      </c>
      <c r="C105">
        <f>IF($E105="","",INDEX('Input Transaksi'!$E:$E,$E105))</f>
        <v/>
      </c>
      <c r="D105" s="5">
        <f>IF($E105="","",INDEX('Input Transaksi'!$F:$F,$E105))</f>
        <v/>
      </c>
      <c r="E105">
        <f>IFERROR(AGGREGATE(15,6,ROW('Input Transaksi'!$B$5:$B$5000)/('Input Transaksi'!$B$5:$B$5000="LONDRI DEWE ANTASURA"),ROWS($E$5:E105)),"")</f>
        <v/>
      </c>
      <c r="F105" s="5" t="n"/>
    </row>
    <row r="106">
      <c r="A106" s="10">
        <f>IF($E106="","",INDEX('Input Transaksi'!$A:$A,$E106))</f>
        <v/>
      </c>
      <c r="B106" s="5">
        <f>IF($E106="","",INDEX('Input Transaksi'!$D:$D,$E106))</f>
        <v/>
      </c>
      <c r="C106">
        <f>IF($E106="","",INDEX('Input Transaksi'!$E:$E,$E106))</f>
        <v/>
      </c>
      <c r="D106" s="5">
        <f>IF($E106="","",INDEX('Input Transaksi'!$F:$F,$E106))</f>
        <v/>
      </c>
      <c r="E106">
        <f>IFERROR(AGGREGATE(15,6,ROW('Input Transaksi'!$B$5:$B$5000)/('Input Transaksi'!$B$5:$B$5000="LONDRI DEWE ANTASURA"),ROWS($E$5:E106)),"")</f>
        <v/>
      </c>
      <c r="F106" s="5" t="n"/>
    </row>
    <row r="107">
      <c r="A107" s="10">
        <f>IF($E107="","",INDEX('Input Transaksi'!$A:$A,$E107))</f>
        <v/>
      </c>
      <c r="B107" s="5">
        <f>IF($E107="","",INDEX('Input Transaksi'!$D:$D,$E107))</f>
        <v/>
      </c>
      <c r="C107">
        <f>IF($E107="","",INDEX('Input Transaksi'!$E:$E,$E107))</f>
        <v/>
      </c>
      <c r="D107" s="5">
        <f>IF($E107="","",INDEX('Input Transaksi'!$F:$F,$E107))</f>
        <v/>
      </c>
      <c r="E107">
        <f>IFERROR(AGGREGATE(15,6,ROW('Input Transaksi'!$B$5:$B$5000)/('Input Transaksi'!$B$5:$B$5000="LONDRI DEWE ANTASURA"),ROWS($E$5:E107)),"")</f>
        <v/>
      </c>
      <c r="F107" s="5" t="n"/>
    </row>
    <row r="108">
      <c r="A108" s="10">
        <f>IF($E108="","",INDEX('Input Transaksi'!$A:$A,$E108))</f>
        <v/>
      </c>
      <c r="B108" s="5">
        <f>IF($E108="","",INDEX('Input Transaksi'!$D:$D,$E108))</f>
        <v/>
      </c>
      <c r="C108">
        <f>IF($E108="","",INDEX('Input Transaksi'!$E:$E,$E108))</f>
        <v/>
      </c>
      <c r="D108" s="5">
        <f>IF($E108="","",INDEX('Input Transaksi'!$F:$F,$E108))</f>
        <v/>
      </c>
      <c r="E108">
        <f>IFERROR(AGGREGATE(15,6,ROW('Input Transaksi'!$B$5:$B$5000)/('Input Transaksi'!$B$5:$B$5000="LONDRI DEWE ANTASURA"),ROWS($E$5:E108)),"")</f>
        <v/>
      </c>
      <c r="F108" s="5" t="n"/>
    </row>
    <row r="109">
      <c r="A109" s="10">
        <f>IF($E109="","",INDEX('Input Transaksi'!$A:$A,$E109))</f>
        <v/>
      </c>
      <c r="B109" s="5">
        <f>IF($E109="","",INDEX('Input Transaksi'!$D:$D,$E109))</f>
        <v/>
      </c>
      <c r="C109">
        <f>IF($E109="","",INDEX('Input Transaksi'!$E:$E,$E109))</f>
        <v/>
      </c>
      <c r="D109" s="5">
        <f>IF($E109="","",INDEX('Input Transaksi'!$F:$F,$E109))</f>
        <v/>
      </c>
      <c r="E109">
        <f>IFERROR(AGGREGATE(15,6,ROW('Input Transaksi'!$B$5:$B$5000)/('Input Transaksi'!$B$5:$B$5000="LONDRI DEWE ANTASURA"),ROWS($E$5:E109)),"")</f>
        <v/>
      </c>
      <c r="F109" s="5" t="n"/>
    </row>
    <row r="110">
      <c r="A110" s="10">
        <f>IF($E110="","",INDEX('Input Transaksi'!$A:$A,$E110))</f>
        <v/>
      </c>
      <c r="B110" s="5">
        <f>IF($E110="","",INDEX('Input Transaksi'!$D:$D,$E110))</f>
        <v/>
      </c>
      <c r="C110">
        <f>IF($E110="","",INDEX('Input Transaksi'!$E:$E,$E110))</f>
        <v/>
      </c>
      <c r="D110" s="5">
        <f>IF($E110="","",INDEX('Input Transaksi'!$F:$F,$E110))</f>
        <v/>
      </c>
      <c r="E110">
        <f>IFERROR(AGGREGATE(15,6,ROW('Input Transaksi'!$B$5:$B$5000)/('Input Transaksi'!$B$5:$B$5000="LONDRI DEWE ANTASURA"),ROWS($E$5:E110)),"")</f>
        <v/>
      </c>
      <c r="F110" s="5" t="n"/>
    </row>
    <row r="111">
      <c r="A111" s="10">
        <f>IF($E111="","",INDEX('Input Transaksi'!$A:$A,$E111))</f>
        <v/>
      </c>
      <c r="B111" s="5">
        <f>IF($E111="","",INDEX('Input Transaksi'!$D:$D,$E111))</f>
        <v/>
      </c>
      <c r="C111">
        <f>IF($E111="","",INDEX('Input Transaksi'!$E:$E,$E111))</f>
        <v/>
      </c>
      <c r="D111" s="5">
        <f>IF($E111="","",INDEX('Input Transaksi'!$F:$F,$E111))</f>
        <v/>
      </c>
      <c r="E111">
        <f>IFERROR(AGGREGATE(15,6,ROW('Input Transaksi'!$B$5:$B$5000)/('Input Transaksi'!$B$5:$B$5000="LONDRI DEWE ANTASURA"),ROWS($E$5:E111)),"")</f>
        <v/>
      </c>
      <c r="F111" s="5" t="n"/>
    </row>
    <row r="112">
      <c r="A112" s="10">
        <f>IF($E112="","",INDEX('Input Transaksi'!$A:$A,$E112))</f>
        <v/>
      </c>
      <c r="B112" s="5">
        <f>IF($E112="","",INDEX('Input Transaksi'!$D:$D,$E112))</f>
        <v/>
      </c>
      <c r="C112">
        <f>IF($E112="","",INDEX('Input Transaksi'!$E:$E,$E112))</f>
        <v/>
      </c>
      <c r="D112" s="5">
        <f>IF($E112="","",INDEX('Input Transaksi'!$F:$F,$E112))</f>
        <v/>
      </c>
      <c r="E112">
        <f>IFERROR(AGGREGATE(15,6,ROW('Input Transaksi'!$B$5:$B$5000)/('Input Transaksi'!$B$5:$B$5000="LONDRI DEWE ANTASURA"),ROWS($E$5:E112)),"")</f>
        <v/>
      </c>
      <c r="F112" s="5" t="n"/>
    </row>
    <row r="113">
      <c r="A113" s="10">
        <f>IF($E113="","",INDEX('Input Transaksi'!$A:$A,$E113))</f>
        <v/>
      </c>
      <c r="B113" s="5">
        <f>IF($E113="","",INDEX('Input Transaksi'!$D:$D,$E113))</f>
        <v/>
      </c>
      <c r="C113">
        <f>IF($E113="","",INDEX('Input Transaksi'!$E:$E,$E113))</f>
        <v/>
      </c>
      <c r="D113" s="5">
        <f>IF($E113="","",INDEX('Input Transaksi'!$F:$F,$E113))</f>
        <v/>
      </c>
      <c r="E113">
        <f>IFERROR(AGGREGATE(15,6,ROW('Input Transaksi'!$B$5:$B$5000)/('Input Transaksi'!$B$5:$B$5000="LONDRI DEWE ANTASURA"),ROWS($E$5:E113)),"")</f>
        <v/>
      </c>
      <c r="F113" s="5" t="n"/>
    </row>
    <row r="114">
      <c r="A114" s="10">
        <f>IF($E114="","",INDEX('Input Transaksi'!$A:$A,$E114))</f>
        <v/>
      </c>
      <c r="B114" s="5">
        <f>IF($E114="","",INDEX('Input Transaksi'!$D:$D,$E114))</f>
        <v/>
      </c>
      <c r="C114">
        <f>IF($E114="","",INDEX('Input Transaksi'!$E:$E,$E114))</f>
        <v/>
      </c>
      <c r="D114" s="5">
        <f>IF($E114="","",INDEX('Input Transaksi'!$F:$F,$E114))</f>
        <v/>
      </c>
      <c r="E114">
        <f>IFERROR(AGGREGATE(15,6,ROW('Input Transaksi'!$B$5:$B$5000)/('Input Transaksi'!$B$5:$B$5000="LONDRI DEWE ANTASURA"),ROWS($E$5:E114)),"")</f>
        <v/>
      </c>
      <c r="F114" s="5" t="n"/>
    </row>
    <row r="115">
      <c r="A115" s="10">
        <f>IF($E115="","",INDEX('Input Transaksi'!$A:$A,$E115))</f>
        <v/>
      </c>
      <c r="B115" s="5">
        <f>IF($E115="","",INDEX('Input Transaksi'!$D:$D,$E115))</f>
        <v/>
      </c>
      <c r="C115">
        <f>IF($E115="","",INDEX('Input Transaksi'!$E:$E,$E115))</f>
        <v/>
      </c>
      <c r="D115" s="5">
        <f>IF($E115="","",INDEX('Input Transaksi'!$F:$F,$E115))</f>
        <v/>
      </c>
      <c r="E115">
        <f>IFERROR(AGGREGATE(15,6,ROW('Input Transaksi'!$B$5:$B$5000)/('Input Transaksi'!$B$5:$B$5000="LONDRI DEWE ANTASURA"),ROWS($E$5:E115)),"")</f>
        <v/>
      </c>
      <c r="F115" s="5" t="n"/>
    </row>
    <row r="116">
      <c r="A116" s="10">
        <f>IF($E116="","",INDEX('Input Transaksi'!$A:$A,$E116))</f>
        <v/>
      </c>
      <c r="B116" s="5">
        <f>IF($E116="","",INDEX('Input Transaksi'!$D:$D,$E116))</f>
        <v/>
      </c>
      <c r="C116">
        <f>IF($E116="","",INDEX('Input Transaksi'!$E:$E,$E116))</f>
        <v/>
      </c>
      <c r="D116" s="5">
        <f>IF($E116="","",INDEX('Input Transaksi'!$F:$F,$E116))</f>
        <v/>
      </c>
      <c r="E116">
        <f>IFERROR(AGGREGATE(15,6,ROW('Input Transaksi'!$B$5:$B$5000)/('Input Transaksi'!$B$5:$B$5000="LONDRI DEWE ANTASURA"),ROWS($E$5:E116)),"")</f>
        <v/>
      </c>
      <c r="F116" s="5" t="n"/>
    </row>
    <row r="117">
      <c r="A117" s="10">
        <f>IF($E117="","",INDEX('Input Transaksi'!$A:$A,$E117))</f>
        <v/>
      </c>
      <c r="B117" s="5">
        <f>IF($E117="","",INDEX('Input Transaksi'!$D:$D,$E117))</f>
        <v/>
      </c>
      <c r="C117">
        <f>IF($E117="","",INDEX('Input Transaksi'!$E:$E,$E117))</f>
        <v/>
      </c>
      <c r="D117" s="5">
        <f>IF($E117="","",INDEX('Input Transaksi'!$F:$F,$E117))</f>
        <v/>
      </c>
      <c r="E117">
        <f>IFERROR(AGGREGATE(15,6,ROW('Input Transaksi'!$B$5:$B$5000)/('Input Transaksi'!$B$5:$B$5000="LONDRI DEWE ANTASURA"),ROWS($E$5:E117)),"")</f>
        <v/>
      </c>
      <c r="F117" s="5" t="n"/>
    </row>
    <row r="118">
      <c r="A118" s="10">
        <f>IF($E118="","",INDEX('Input Transaksi'!$A:$A,$E118))</f>
        <v/>
      </c>
      <c r="B118" s="5">
        <f>IF($E118="","",INDEX('Input Transaksi'!$D:$D,$E118))</f>
        <v/>
      </c>
      <c r="C118">
        <f>IF($E118="","",INDEX('Input Transaksi'!$E:$E,$E118))</f>
        <v/>
      </c>
      <c r="D118" s="5">
        <f>IF($E118="","",INDEX('Input Transaksi'!$F:$F,$E118))</f>
        <v/>
      </c>
      <c r="E118">
        <f>IFERROR(AGGREGATE(15,6,ROW('Input Transaksi'!$B$5:$B$5000)/('Input Transaksi'!$B$5:$B$5000="LONDRI DEWE ANTASURA"),ROWS($E$5:E118)),"")</f>
        <v/>
      </c>
      <c r="F118" s="5" t="n"/>
    </row>
    <row r="119">
      <c r="A119" s="10">
        <f>IF($E119="","",INDEX('Input Transaksi'!$A:$A,$E119))</f>
        <v/>
      </c>
      <c r="B119" s="5">
        <f>IF($E119="","",INDEX('Input Transaksi'!$D:$D,$E119))</f>
        <v/>
      </c>
      <c r="C119">
        <f>IF($E119="","",INDEX('Input Transaksi'!$E:$E,$E119))</f>
        <v/>
      </c>
      <c r="D119" s="5">
        <f>IF($E119="","",INDEX('Input Transaksi'!$F:$F,$E119))</f>
        <v/>
      </c>
      <c r="E119">
        <f>IFERROR(AGGREGATE(15,6,ROW('Input Transaksi'!$B$5:$B$5000)/('Input Transaksi'!$B$5:$B$5000="LONDRI DEWE ANTASURA"),ROWS($E$5:E119)),"")</f>
        <v/>
      </c>
      <c r="F119" s="5" t="n"/>
    </row>
    <row r="120">
      <c r="A120" s="10">
        <f>IF($E120="","",INDEX('Input Transaksi'!$A:$A,$E120))</f>
        <v/>
      </c>
      <c r="B120" s="5">
        <f>IF($E120="","",INDEX('Input Transaksi'!$D:$D,$E120))</f>
        <v/>
      </c>
      <c r="C120">
        <f>IF($E120="","",INDEX('Input Transaksi'!$E:$E,$E120))</f>
        <v/>
      </c>
      <c r="D120" s="5">
        <f>IF($E120="","",INDEX('Input Transaksi'!$F:$F,$E120))</f>
        <v/>
      </c>
      <c r="E120">
        <f>IFERROR(AGGREGATE(15,6,ROW('Input Transaksi'!$B$5:$B$5000)/('Input Transaksi'!$B$5:$B$5000="LONDRI DEWE ANTASURA"),ROWS($E$5:E120)),"")</f>
        <v/>
      </c>
      <c r="F120" s="5" t="n"/>
    </row>
    <row r="121">
      <c r="A121" s="10">
        <f>IF($E121="","",INDEX('Input Transaksi'!$A:$A,$E121))</f>
        <v/>
      </c>
      <c r="B121" s="5">
        <f>IF($E121="","",INDEX('Input Transaksi'!$D:$D,$E121))</f>
        <v/>
      </c>
      <c r="C121">
        <f>IF($E121="","",INDEX('Input Transaksi'!$E:$E,$E121))</f>
        <v/>
      </c>
      <c r="D121" s="5">
        <f>IF($E121="","",INDEX('Input Transaksi'!$F:$F,$E121))</f>
        <v/>
      </c>
      <c r="E121">
        <f>IFERROR(AGGREGATE(15,6,ROW('Input Transaksi'!$B$5:$B$5000)/('Input Transaksi'!$B$5:$B$5000="LONDRI DEWE ANTASURA"),ROWS($E$5:E121)),"")</f>
        <v/>
      </c>
      <c r="F121" s="5" t="n"/>
    </row>
    <row r="122">
      <c r="A122" s="10">
        <f>IF($E122="","",INDEX('Input Transaksi'!$A:$A,$E122))</f>
        <v/>
      </c>
      <c r="B122" s="5">
        <f>IF($E122="","",INDEX('Input Transaksi'!$D:$D,$E122))</f>
        <v/>
      </c>
      <c r="C122">
        <f>IF($E122="","",INDEX('Input Transaksi'!$E:$E,$E122))</f>
        <v/>
      </c>
      <c r="D122" s="5">
        <f>IF($E122="","",INDEX('Input Transaksi'!$F:$F,$E122))</f>
        <v/>
      </c>
      <c r="E122">
        <f>IFERROR(AGGREGATE(15,6,ROW('Input Transaksi'!$B$5:$B$5000)/('Input Transaksi'!$B$5:$B$5000="LONDRI DEWE ANTASURA"),ROWS($E$5:E122)),"")</f>
        <v/>
      </c>
      <c r="F122" s="5" t="n"/>
    </row>
    <row r="123">
      <c r="A123" s="10">
        <f>IF($E123="","",INDEX('Input Transaksi'!$A:$A,$E123))</f>
        <v/>
      </c>
      <c r="B123" s="5">
        <f>IF($E123="","",INDEX('Input Transaksi'!$D:$D,$E123))</f>
        <v/>
      </c>
      <c r="C123">
        <f>IF($E123="","",INDEX('Input Transaksi'!$E:$E,$E123))</f>
        <v/>
      </c>
      <c r="D123" s="5">
        <f>IF($E123="","",INDEX('Input Transaksi'!$F:$F,$E123))</f>
        <v/>
      </c>
      <c r="E123">
        <f>IFERROR(AGGREGATE(15,6,ROW('Input Transaksi'!$B$5:$B$5000)/('Input Transaksi'!$B$5:$B$5000="LONDRI DEWE ANTASURA"),ROWS($E$5:E123)),"")</f>
        <v/>
      </c>
      <c r="F123" s="5" t="n"/>
    </row>
    <row r="124">
      <c r="A124" s="10">
        <f>IF($E124="","",INDEX('Input Transaksi'!$A:$A,$E124))</f>
        <v/>
      </c>
      <c r="B124" s="5">
        <f>IF($E124="","",INDEX('Input Transaksi'!$D:$D,$E124))</f>
        <v/>
      </c>
      <c r="C124">
        <f>IF($E124="","",INDEX('Input Transaksi'!$E:$E,$E124))</f>
        <v/>
      </c>
      <c r="D124" s="5">
        <f>IF($E124="","",INDEX('Input Transaksi'!$F:$F,$E124))</f>
        <v/>
      </c>
      <c r="E124">
        <f>IFERROR(AGGREGATE(15,6,ROW('Input Transaksi'!$B$5:$B$5000)/('Input Transaksi'!$B$5:$B$5000="LONDRI DEWE ANTASURA"),ROWS($E$5:E124)),"")</f>
        <v/>
      </c>
      <c r="F124" s="5" t="n"/>
    </row>
    <row r="125">
      <c r="A125" s="10">
        <f>IF($E125="","",INDEX('Input Transaksi'!$A:$A,$E125))</f>
        <v/>
      </c>
      <c r="B125" s="5">
        <f>IF($E125="","",INDEX('Input Transaksi'!$D:$D,$E125))</f>
        <v/>
      </c>
      <c r="C125">
        <f>IF($E125="","",INDEX('Input Transaksi'!$E:$E,$E125))</f>
        <v/>
      </c>
      <c r="D125" s="5">
        <f>IF($E125="","",INDEX('Input Transaksi'!$F:$F,$E125))</f>
        <v/>
      </c>
      <c r="E125">
        <f>IFERROR(AGGREGATE(15,6,ROW('Input Transaksi'!$B$5:$B$5000)/('Input Transaksi'!$B$5:$B$5000="LONDRI DEWE ANTASURA"),ROWS($E$5:E125)),"")</f>
        <v/>
      </c>
      <c r="F125" s="5" t="n"/>
    </row>
    <row r="126">
      <c r="A126" s="10">
        <f>IF($E126="","",INDEX('Input Transaksi'!$A:$A,$E126))</f>
        <v/>
      </c>
      <c r="B126" s="5">
        <f>IF($E126="","",INDEX('Input Transaksi'!$D:$D,$E126))</f>
        <v/>
      </c>
      <c r="C126">
        <f>IF($E126="","",INDEX('Input Transaksi'!$E:$E,$E126))</f>
        <v/>
      </c>
      <c r="D126" s="5">
        <f>IF($E126="","",INDEX('Input Transaksi'!$F:$F,$E126))</f>
        <v/>
      </c>
      <c r="E126">
        <f>IFERROR(AGGREGATE(15,6,ROW('Input Transaksi'!$B$5:$B$5000)/('Input Transaksi'!$B$5:$B$5000="LONDRI DEWE ANTASURA"),ROWS($E$5:E126)),"")</f>
        <v/>
      </c>
      <c r="F126" s="5" t="n"/>
    </row>
    <row r="127">
      <c r="A127" s="10">
        <f>IF($E127="","",INDEX('Input Transaksi'!$A:$A,$E127))</f>
        <v/>
      </c>
      <c r="B127" s="5">
        <f>IF($E127="","",INDEX('Input Transaksi'!$D:$D,$E127))</f>
        <v/>
      </c>
      <c r="C127">
        <f>IF($E127="","",INDEX('Input Transaksi'!$E:$E,$E127))</f>
        <v/>
      </c>
      <c r="D127" s="5">
        <f>IF($E127="","",INDEX('Input Transaksi'!$F:$F,$E127))</f>
        <v/>
      </c>
      <c r="E127">
        <f>IFERROR(AGGREGATE(15,6,ROW('Input Transaksi'!$B$5:$B$5000)/('Input Transaksi'!$B$5:$B$5000="LONDRI DEWE ANTASURA"),ROWS($E$5:E127)),"")</f>
        <v/>
      </c>
      <c r="F127" s="5" t="n"/>
    </row>
    <row r="128">
      <c r="A128" s="10">
        <f>IF($E128="","",INDEX('Input Transaksi'!$A:$A,$E128))</f>
        <v/>
      </c>
      <c r="B128" s="5">
        <f>IF($E128="","",INDEX('Input Transaksi'!$D:$D,$E128))</f>
        <v/>
      </c>
      <c r="C128">
        <f>IF($E128="","",INDEX('Input Transaksi'!$E:$E,$E128))</f>
        <v/>
      </c>
      <c r="D128" s="5">
        <f>IF($E128="","",INDEX('Input Transaksi'!$F:$F,$E128))</f>
        <v/>
      </c>
      <c r="E128">
        <f>IFERROR(AGGREGATE(15,6,ROW('Input Transaksi'!$B$5:$B$5000)/('Input Transaksi'!$B$5:$B$5000="LONDRI DEWE ANTASURA"),ROWS($E$5:E128)),"")</f>
        <v/>
      </c>
      <c r="F128" s="5" t="n"/>
    </row>
    <row r="129">
      <c r="A129" s="10">
        <f>IF($E129="","",INDEX('Input Transaksi'!$A:$A,$E129))</f>
        <v/>
      </c>
      <c r="B129" s="5">
        <f>IF($E129="","",INDEX('Input Transaksi'!$D:$D,$E129))</f>
        <v/>
      </c>
      <c r="C129">
        <f>IF($E129="","",INDEX('Input Transaksi'!$E:$E,$E129))</f>
        <v/>
      </c>
      <c r="D129" s="5">
        <f>IF($E129="","",INDEX('Input Transaksi'!$F:$F,$E129))</f>
        <v/>
      </c>
      <c r="E129">
        <f>IFERROR(AGGREGATE(15,6,ROW('Input Transaksi'!$B$5:$B$5000)/('Input Transaksi'!$B$5:$B$5000="LONDRI DEWE ANTASURA"),ROWS($E$5:E129)),"")</f>
        <v/>
      </c>
      <c r="F129" s="5" t="n"/>
    </row>
    <row r="130">
      <c r="A130" s="10">
        <f>IF($E130="","",INDEX('Input Transaksi'!$A:$A,$E130))</f>
        <v/>
      </c>
      <c r="B130" s="5">
        <f>IF($E130="","",INDEX('Input Transaksi'!$D:$D,$E130))</f>
        <v/>
      </c>
      <c r="C130">
        <f>IF($E130="","",INDEX('Input Transaksi'!$E:$E,$E130))</f>
        <v/>
      </c>
      <c r="D130" s="5">
        <f>IF($E130="","",INDEX('Input Transaksi'!$F:$F,$E130))</f>
        <v/>
      </c>
      <c r="E130">
        <f>IFERROR(AGGREGATE(15,6,ROW('Input Transaksi'!$B$5:$B$5000)/('Input Transaksi'!$B$5:$B$5000="LONDRI DEWE ANTASURA"),ROWS($E$5:E130)),"")</f>
        <v/>
      </c>
      <c r="F130" s="5" t="n"/>
    </row>
    <row r="131">
      <c r="A131" s="10">
        <f>IF($E131="","",INDEX('Input Transaksi'!$A:$A,$E131))</f>
        <v/>
      </c>
      <c r="B131" s="5">
        <f>IF($E131="","",INDEX('Input Transaksi'!$D:$D,$E131))</f>
        <v/>
      </c>
      <c r="C131">
        <f>IF($E131="","",INDEX('Input Transaksi'!$E:$E,$E131))</f>
        <v/>
      </c>
      <c r="D131" s="5">
        <f>IF($E131="","",INDEX('Input Transaksi'!$F:$F,$E131))</f>
        <v/>
      </c>
      <c r="E131">
        <f>IFERROR(AGGREGATE(15,6,ROW('Input Transaksi'!$B$5:$B$5000)/('Input Transaksi'!$B$5:$B$5000="LONDRI DEWE ANTASURA"),ROWS($E$5:E131)),"")</f>
        <v/>
      </c>
      <c r="F131" s="5" t="n"/>
    </row>
    <row r="132">
      <c r="A132" s="10">
        <f>IF($E132="","",INDEX('Input Transaksi'!$A:$A,$E132))</f>
        <v/>
      </c>
      <c r="B132" s="5">
        <f>IF($E132="","",INDEX('Input Transaksi'!$D:$D,$E132))</f>
        <v/>
      </c>
      <c r="C132">
        <f>IF($E132="","",INDEX('Input Transaksi'!$E:$E,$E132))</f>
        <v/>
      </c>
      <c r="D132" s="5">
        <f>IF($E132="","",INDEX('Input Transaksi'!$F:$F,$E132))</f>
        <v/>
      </c>
      <c r="E132">
        <f>IFERROR(AGGREGATE(15,6,ROW('Input Transaksi'!$B$5:$B$5000)/('Input Transaksi'!$B$5:$B$5000="LONDRI DEWE ANTASURA"),ROWS($E$5:E132)),"")</f>
        <v/>
      </c>
      <c r="F132" s="5" t="n"/>
    </row>
    <row r="133">
      <c r="A133" s="10">
        <f>IF($E133="","",INDEX('Input Transaksi'!$A:$A,$E133))</f>
        <v/>
      </c>
      <c r="B133" s="5">
        <f>IF($E133="","",INDEX('Input Transaksi'!$D:$D,$E133))</f>
        <v/>
      </c>
      <c r="C133">
        <f>IF($E133="","",INDEX('Input Transaksi'!$E:$E,$E133))</f>
        <v/>
      </c>
      <c r="D133" s="5">
        <f>IF($E133="","",INDEX('Input Transaksi'!$F:$F,$E133))</f>
        <v/>
      </c>
      <c r="E133">
        <f>IFERROR(AGGREGATE(15,6,ROW('Input Transaksi'!$B$5:$B$5000)/('Input Transaksi'!$B$5:$B$5000="LONDRI DEWE ANTASURA"),ROWS($E$5:E133)),"")</f>
        <v/>
      </c>
      <c r="F133" s="5" t="n"/>
    </row>
    <row r="134">
      <c r="A134" s="10">
        <f>IF($E134="","",INDEX('Input Transaksi'!$A:$A,$E134))</f>
        <v/>
      </c>
      <c r="B134" s="5">
        <f>IF($E134="","",INDEX('Input Transaksi'!$D:$D,$E134))</f>
        <v/>
      </c>
      <c r="C134">
        <f>IF($E134="","",INDEX('Input Transaksi'!$E:$E,$E134))</f>
        <v/>
      </c>
      <c r="D134" s="5">
        <f>IF($E134="","",INDEX('Input Transaksi'!$F:$F,$E134))</f>
        <v/>
      </c>
      <c r="E134">
        <f>IFERROR(AGGREGATE(15,6,ROW('Input Transaksi'!$B$5:$B$5000)/('Input Transaksi'!$B$5:$B$5000="LONDRI DEWE ANTASURA"),ROWS($E$5:E134)),"")</f>
        <v/>
      </c>
      <c r="F134" s="5" t="n"/>
    </row>
    <row r="135">
      <c r="A135" s="10">
        <f>IF($E135="","",INDEX('Input Transaksi'!$A:$A,$E135))</f>
        <v/>
      </c>
      <c r="B135" s="5">
        <f>IF($E135="","",INDEX('Input Transaksi'!$D:$D,$E135))</f>
        <v/>
      </c>
      <c r="C135">
        <f>IF($E135="","",INDEX('Input Transaksi'!$E:$E,$E135))</f>
        <v/>
      </c>
      <c r="D135" s="5">
        <f>IF($E135="","",INDEX('Input Transaksi'!$F:$F,$E135))</f>
        <v/>
      </c>
      <c r="E135">
        <f>IFERROR(AGGREGATE(15,6,ROW('Input Transaksi'!$B$5:$B$5000)/('Input Transaksi'!$B$5:$B$5000="LONDRI DEWE ANTASURA"),ROWS($E$5:E135)),"")</f>
        <v/>
      </c>
      <c r="F135" s="5" t="n"/>
    </row>
    <row r="136">
      <c r="A136" s="10">
        <f>IF($E136="","",INDEX('Input Transaksi'!$A:$A,$E136))</f>
        <v/>
      </c>
      <c r="B136" s="5">
        <f>IF($E136="","",INDEX('Input Transaksi'!$D:$D,$E136))</f>
        <v/>
      </c>
      <c r="C136">
        <f>IF($E136="","",INDEX('Input Transaksi'!$E:$E,$E136))</f>
        <v/>
      </c>
      <c r="D136" s="5">
        <f>IF($E136="","",INDEX('Input Transaksi'!$F:$F,$E136))</f>
        <v/>
      </c>
      <c r="E136">
        <f>IFERROR(AGGREGATE(15,6,ROW('Input Transaksi'!$B$5:$B$5000)/('Input Transaksi'!$B$5:$B$5000="LONDRI DEWE ANTASURA"),ROWS($E$5:E136)),"")</f>
        <v/>
      </c>
      <c r="F136" s="5" t="n"/>
    </row>
    <row r="137">
      <c r="A137" s="10">
        <f>IF($E137="","",INDEX('Input Transaksi'!$A:$A,$E137))</f>
        <v/>
      </c>
      <c r="B137" s="5">
        <f>IF($E137="","",INDEX('Input Transaksi'!$D:$D,$E137))</f>
        <v/>
      </c>
      <c r="C137">
        <f>IF($E137="","",INDEX('Input Transaksi'!$E:$E,$E137))</f>
        <v/>
      </c>
      <c r="D137" s="5">
        <f>IF($E137="","",INDEX('Input Transaksi'!$F:$F,$E137))</f>
        <v/>
      </c>
      <c r="E137">
        <f>IFERROR(AGGREGATE(15,6,ROW('Input Transaksi'!$B$5:$B$5000)/('Input Transaksi'!$B$5:$B$5000="LONDRI DEWE ANTASURA"),ROWS($E$5:E137)),"")</f>
        <v/>
      </c>
      <c r="F137" s="5" t="n"/>
    </row>
    <row r="138">
      <c r="A138" s="10">
        <f>IF($E138="","",INDEX('Input Transaksi'!$A:$A,$E138))</f>
        <v/>
      </c>
      <c r="B138" s="5">
        <f>IF($E138="","",INDEX('Input Transaksi'!$D:$D,$E138))</f>
        <v/>
      </c>
      <c r="C138">
        <f>IF($E138="","",INDEX('Input Transaksi'!$E:$E,$E138))</f>
        <v/>
      </c>
      <c r="D138" s="5">
        <f>IF($E138="","",INDEX('Input Transaksi'!$F:$F,$E138))</f>
        <v/>
      </c>
      <c r="E138">
        <f>IFERROR(AGGREGATE(15,6,ROW('Input Transaksi'!$B$5:$B$5000)/('Input Transaksi'!$B$5:$B$5000="LONDRI DEWE ANTASURA"),ROWS($E$5:E138)),"")</f>
        <v/>
      </c>
      <c r="F138" s="5" t="n"/>
    </row>
    <row r="139">
      <c r="A139" s="10">
        <f>IF($E139="","",INDEX('Input Transaksi'!$A:$A,$E139))</f>
        <v/>
      </c>
      <c r="B139" s="5">
        <f>IF($E139="","",INDEX('Input Transaksi'!$D:$D,$E139))</f>
        <v/>
      </c>
      <c r="C139">
        <f>IF($E139="","",INDEX('Input Transaksi'!$E:$E,$E139))</f>
        <v/>
      </c>
      <c r="D139" s="5">
        <f>IF($E139="","",INDEX('Input Transaksi'!$F:$F,$E139))</f>
        <v/>
      </c>
      <c r="E139">
        <f>IFERROR(AGGREGATE(15,6,ROW('Input Transaksi'!$B$5:$B$5000)/('Input Transaksi'!$B$5:$B$5000="LONDRI DEWE ANTASURA"),ROWS($E$5:E139)),"")</f>
        <v/>
      </c>
      <c r="F139" s="5" t="n"/>
    </row>
    <row r="140">
      <c r="A140" s="10">
        <f>IF($E140="","",INDEX('Input Transaksi'!$A:$A,$E140))</f>
        <v/>
      </c>
      <c r="B140" s="5">
        <f>IF($E140="","",INDEX('Input Transaksi'!$D:$D,$E140))</f>
        <v/>
      </c>
      <c r="C140">
        <f>IF($E140="","",INDEX('Input Transaksi'!$E:$E,$E140))</f>
        <v/>
      </c>
      <c r="D140" s="5">
        <f>IF($E140="","",INDEX('Input Transaksi'!$F:$F,$E140))</f>
        <v/>
      </c>
      <c r="E140">
        <f>IFERROR(AGGREGATE(15,6,ROW('Input Transaksi'!$B$5:$B$5000)/('Input Transaksi'!$B$5:$B$5000="LONDRI DEWE ANTASURA"),ROWS($E$5:E140)),"")</f>
        <v/>
      </c>
      <c r="F140" s="5" t="n"/>
    </row>
    <row r="141">
      <c r="A141" s="10">
        <f>IF($E141="","",INDEX('Input Transaksi'!$A:$A,$E141))</f>
        <v/>
      </c>
      <c r="B141" s="5">
        <f>IF($E141="","",INDEX('Input Transaksi'!$D:$D,$E141))</f>
        <v/>
      </c>
      <c r="C141">
        <f>IF($E141="","",INDEX('Input Transaksi'!$E:$E,$E141))</f>
        <v/>
      </c>
      <c r="D141" s="5">
        <f>IF($E141="","",INDEX('Input Transaksi'!$F:$F,$E141))</f>
        <v/>
      </c>
      <c r="E141">
        <f>IFERROR(AGGREGATE(15,6,ROW('Input Transaksi'!$B$5:$B$5000)/('Input Transaksi'!$B$5:$B$5000="LONDRI DEWE ANTASURA"),ROWS($E$5:E141)),"")</f>
        <v/>
      </c>
      <c r="F141" s="5" t="n"/>
    </row>
    <row r="142">
      <c r="A142" s="10">
        <f>IF($E142="","",INDEX('Input Transaksi'!$A:$A,$E142))</f>
        <v/>
      </c>
      <c r="B142" s="5">
        <f>IF($E142="","",INDEX('Input Transaksi'!$D:$D,$E142))</f>
        <v/>
      </c>
      <c r="C142">
        <f>IF($E142="","",INDEX('Input Transaksi'!$E:$E,$E142))</f>
        <v/>
      </c>
      <c r="D142" s="5">
        <f>IF($E142="","",INDEX('Input Transaksi'!$F:$F,$E142))</f>
        <v/>
      </c>
      <c r="E142">
        <f>IFERROR(AGGREGATE(15,6,ROW('Input Transaksi'!$B$5:$B$5000)/('Input Transaksi'!$B$5:$B$5000="LONDRI DEWE ANTASURA"),ROWS($E$5:E142)),"")</f>
        <v/>
      </c>
      <c r="F142" s="5" t="n"/>
    </row>
    <row r="143">
      <c r="A143" s="10">
        <f>IF($E143="","",INDEX('Input Transaksi'!$A:$A,$E143))</f>
        <v/>
      </c>
      <c r="B143" s="5">
        <f>IF($E143="","",INDEX('Input Transaksi'!$D:$D,$E143))</f>
        <v/>
      </c>
      <c r="C143">
        <f>IF($E143="","",INDEX('Input Transaksi'!$E:$E,$E143))</f>
        <v/>
      </c>
      <c r="D143" s="5">
        <f>IF($E143="","",INDEX('Input Transaksi'!$F:$F,$E143))</f>
        <v/>
      </c>
      <c r="E143">
        <f>IFERROR(AGGREGATE(15,6,ROW('Input Transaksi'!$B$5:$B$5000)/('Input Transaksi'!$B$5:$B$5000="LONDRI DEWE ANTASURA"),ROWS($E$5:E143)),"")</f>
        <v/>
      </c>
      <c r="F143" s="5" t="n"/>
    </row>
    <row r="144">
      <c r="A144" s="10">
        <f>IF($E144="","",INDEX('Input Transaksi'!$A:$A,$E144))</f>
        <v/>
      </c>
      <c r="B144" s="5">
        <f>IF($E144="","",INDEX('Input Transaksi'!$D:$D,$E144))</f>
        <v/>
      </c>
      <c r="C144">
        <f>IF($E144="","",INDEX('Input Transaksi'!$E:$E,$E144))</f>
        <v/>
      </c>
      <c r="D144" s="5">
        <f>IF($E144="","",INDEX('Input Transaksi'!$F:$F,$E144))</f>
        <v/>
      </c>
      <c r="E144">
        <f>IFERROR(AGGREGATE(15,6,ROW('Input Transaksi'!$B$5:$B$5000)/('Input Transaksi'!$B$5:$B$5000="LONDRI DEWE ANTASURA"),ROWS($E$5:E144)),"")</f>
        <v/>
      </c>
      <c r="F144" s="5" t="n"/>
    </row>
    <row r="145">
      <c r="A145" s="10">
        <f>IF($E145="","",INDEX('Input Transaksi'!$A:$A,$E145))</f>
        <v/>
      </c>
      <c r="B145" s="5">
        <f>IF($E145="","",INDEX('Input Transaksi'!$D:$D,$E145))</f>
        <v/>
      </c>
      <c r="C145">
        <f>IF($E145="","",INDEX('Input Transaksi'!$E:$E,$E145))</f>
        <v/>
      </c>
      <c r="D145" s="5">
        <f>IF($E145="","",INDEX('Input Transaksi'!$F:$F,$E145))</f>
        <v/>
      </c>
      <c r="E145">
        <f>IFERROR(AGGREGATE(15,6,ROW('Input Transaksi'!$B$5:$B$5000)/('Input Transaksi'!$B$5:$B$5000="LONDRI DEWE ANTASURA"),ROWS($E$5:E145)),"")</f>
        <v/>
      </c>
      <c r="F145" s="5" t="n"/>
    </row>
    <row r="146">
      <c r="A146" s="10">
        <f>IF($E146="","",INDEX('Input Transaksi'!$A:$A,$E146))</f>
        <v/>
      </c>
      <c r="B146" s="5">
        <f>IF($E146="","",INDEX('Input Transaksi'!$D:$D,$E146))</f>
        <v/>
      </c>
      <c r="C146">
        <f>IF($E146="","",INDEX('Input Transaksi'!$E:$E,$E146))</f>
        <v/>
      </c>
      <c r="D146" s="5">
        <f>IF($E146="","",INDEX('Input Transaksi'!$F:$F,$E146))</f>
        <v/>
      </c>
      <c r="E146">
        <f>IFERROR(AGGREGATE(15,6,ROW('Input Transaksi'!$B$5:$B$5000)/('Input Transaksi'!$B$5:$B$5000="LONDRI DEWE ANTASURA"),ROWS($E$5:E146)),"")</f>
        <v/>
      </c>
      <c r="F146" s="5" t="n"/>
    </row>
    <row r="147">
      <c r="A147" s="10">
        <f>IF($E147="","",INDEX('Input Transaksi'!$A:$A,$E147))</f>
        <v/>
      </c>
      <c r="B147" s="5">
        <f>IF($E147="","",INDEX('Input Transaksi'!$D:$D,$E147))</f>
        <v/>
      </c>
      <c r="C147">
        <f>IF($E147="","",INDEX('Input Transaksi'!$E:$E,$E147))</f>
        <v/>
      </c>
      <c r="D147" s="5">
        <f>IF($E147="","",INDEX('Input Transaksi'!$F:$F,$E147))</f>
        <v/>
      </c>
      <c r="E147">
        <f>IFERROR(AGGREGATE(15,6,ROW('Input Transaksi'!$B$5:$B$5000)/('Input Transaksi'!$B$5:$B$5000="LONDRI DEWE ANTASURA"),ROWS($E$5:E147)),"")</f>
        <v/>
      </c>
      <c r="F147" s="5" t="n"/>
    </row>
    <row r="148">
      <c r="A148" s="10">
        <f>IF($E148="","",INDEX('Input Transaksi'!$A:$A,$E148))</f>
        <v/>
      </c>
      <c r="B148" s="5">
        <f>IF($E148="","",INDEX('Input Transaksi'!$D:$D,$E148))</f>
        <v/>
      </c>
      <c r="C148">
        <f>IF($E148="","",INDEX('Input Transaksi'!$E:$E,$E148))</f>
        <v/>
      </c>
      <c r="D148" s="5">
        <f>IF($E148="","",INDEX('Input Transaksi'!$F:$F,$E148))</f>
        <v/>
      </c>
      <c r="E148">
        <f>IFERROR(AGGREGATE(15,6,ROW('Input Transaksi'!$B$5:$B$5000)/('Input Transaksi'!$B$5:$B$5000="LONDRI DEWE ANTASURA"),ROWS($E$5:E148)),"")</f>
        <v/>
      </c>
      <c r="F148" s="5" t="n"/>
    </row>
    <row r="149">
      <c r="A149" s="10">
        <f>IF($E149="","",INDEX('Input Transaksi'!$A:$A,$E149))</f>
        <v/>
      </c>
      <c r="B149" s="5">
        <f>IF($E149="","",INDEX('Input Transaksi'!$D:$D,$E149))</f>
        <v/>
      </c>
      <c r="C149">
        <f>IF($E149="","",INDEX('Input Transaksi'!$E:$E,$E149))</f>
        <v/>
      </c>
      <c r="D149" s="5">
        <f>IF($E149="","",INDEX('Input Transaksi'!$F:$F,$E149))</f>
        <v/>
      </c>
      <c r="E149">
        <f>IFERROR(AGGREGATE(15,6,ROW('Input Transaksi'!$B$5:$B$5000)/('Input Transaksi'!$B$5:$B$5000="LONDRI DEWE ANTASURA"),ROWS($E$5:E149)),"")</f>
        <v/>
      </c>
      <c r="F149" s="5" t="n"/>
    </row>
    <row r="150">
      <c r="A150" s="10">
        <f>IF($E150="","",INDEX('Input Transaksi'!$A:$A,$E150))</f>
        <v/>
      </c>
      <c r="B150" s="5">
        <f>IF($E150="","",INDEX('Input Transaksi'!$D:$D,$E150))</f>
        <v/>
      </c>
      <c r="C150">
        <f>IF($E150="","",INDEX('Input Transaksi'!$E:$E,$E150))</f>
        <v/>
      </c>
      <c r="D150" s="5">
        <f>IF($E150="","",INDEX('Input Transaksi'!$F:$F,$E150))</f>
        <v/>
      </c>
      <c r="E150">
        <f>IFERROR(AGGREGATE(15,6,ROW('Input Transaksi'!$B$5:$B$5000)/('Input Transaksi'!$B$5:$B$5000="LONDRI DEWE ANTASURA"),ROWS($E$5:E150)),"")</f>
        <v/>
      </c>
      <c r="F150" s="5" t="n"/>
    </row>
    <row r="151">
      <c r="A151" s="10">
        <f>IF($E151="","",INDEX('Input Transaksi'!$A:$A,$E151))</f>
        <v/>
      </c>
      <c r="B151" s="5">
        <f>IF($E151="","",INDEX('Input Transaksi'!$D:$D,$E151))</f>
        <v/>
      </c>
      <c r="C151">
        <f>IF($E151="","",INDEX('Input Transaksi'!$E:$E,$E151))</f>
        <v/>
      </c>
      <c r="D151" s="5">
        <f>IF($E151="","",INDEX('Input Transaksi'!$F:$F,$E151))</f>
        <v/>
      </c>
      <c r="E151">
        <f>IFERROR(AGGREGATE(15,6,ROW('Input Transaksi'!$B$5:$B$5000)/('Input Transaksi'!$B$5:$B$5000="LONDRI DEWE ANTASURA"),ROWS($E$5:E151)),"")</f>
        <v/>
      </c>
      <c r="F151" s="5" t="n"/>
    </row>
    <row r="152">
      <c r="A152" s="10">
        <f>IF($E152="","",INDEX('Input Transaksi'!$A:$A,$E152))</f>
        <v/>
      </c>
      <c r="B152" s="5">
        <f>IF($E152="","",INDEX('Input Transaksi'!$D:$D,$E152))</f>
        <v/>
      </c>
      <c r="C152">
        <f>IF($E152="","",INDEX('Input Transaksi'!$E:$E,$E152))</f>
        <v/>
      </c>
      <c r="D152" s="5">
        <f>IF($E152="","",INDEX('Input Transaksi'!$F:$F,$E152))</f>
        <v/>
      </c>
      <c r="E152">
        <f>IFERROR(AGGREGATE(15,6,ROW('Input Transaksi'!$B$5:$B$5000)/('Input Transaksi'!$B$5:$B$5000="LONDRI DEWE ANTASURA"),ROWS($E$5:E152)),"")</f>
        <v/>
      </c>
      <c r="F152" s="5" t="n"/>
    </row>
    <row r="153">
      <c r="A153" s="10">
        <f>IF($E153="","",INDEX('Input Transaksi'!$A:$A,$E153))</f>
        <v/>
      </c>
      <c r="B153" s="5">
        <f>IF($E153="","",INDEX('Input Transaksi'!$D:$D,$E153))</f>
        <v/>
      </c>
      <c r="C153">
        <f>IF($E153="","",INDEX('Input Transaksi'!$E:$E,$E153))</f>
        <v/>
      </c>
      <c r="D153" s="5">
        <f>IF($E153="","",INDEX('Input Transaksi'!$F:$F,$E153))</f>
        <v/>
      </c>
      <c r="E153">
        <f>IFERROR(AGGREGATE(15,6,ROW('Input Transaksi'!$B$5:$B$5000)/('Input Transaksi'!$B$5:$B$5000="LONDRI DEWE ANTASURA"),ROWS($E$5:E153)),"")</f>
        <v/>
      </c>
      <c r="F153" s="5" t="n"/>
    </row>
    <row r="154">
      <c r="A154" s="10">
        <f>IF($E154="","",INDEX('Input Transaksi'!$A:$A,$E154))</f>
        <v/>
      </c>
      <c r="B154" s="5">
        <f>IF($E154="","",INDEX('Input Transaksi'!$D:$D,$E154))</f>
        <v/>
      </c>
      <c r="C154">
        <f>IF($E154="","",INDEX('Input Transaksi'!$E:$E,$E154))</f>
        <v/>
      </c>
      <c r="D154" s="5">
        <f>IF($E154="","",INDEX('Input Transaksi'!$F:$F,$E154))</f>
        <v/>
      </c>
      <c r="E154">
        <f>IFERROR(AGGREGATE(15,6,ROW('Input Transaksi'!$B$5:$B$5000)/('Input Transaksi'!$B$5:$B$5000="LONDRI DEWE ANTASURA"),ROWS($E$5:E154)),"")</f>
        <v/>
      </c>
      <c r="F154" s="5" t="n"/>
    </row>
    <row r="155">
      <c r="A155" s="10">
        <f>IF($E155="","",INDEX('Input Transaksi'!$A:$A,$E155))</f>
        <v/>
      </c>
      <c r="B155" s="5">
        <f>IF($E155="","",INDEX('Input Transaksi'!$D:$D,$E155))</f>
        <v/>
      </c>
      <c r="C155">
        <f>IF($E155="","",INDEX('Input Transaksi'!$E:$E,$E155))</f>
        <v/>
      </c>
      <c r="D155" s="5">
        <f>IF($E155="","",INDEX('Input Transaksi'!$F:$F,$E155))</f>
        <v/>
      </c>
      <c r="E155">
        <f>IFERROR(AGGREGATE(15,6,ROW('Input Transaksi'!$B$5:$B$5000)/('Input Transaksi'!$B$5:$B$5000="LONDRI DEWE ANTASURA"),ROWS($E$5:E155)),"")</f>
        <v/>
      </c>
      <c r="F155" s="5" t="n"/>
    </row>
    <row r="156">
      <c r="A156" s="10">
        <f>IF($E156="","",INDEX('Input Transaksi'!$A:$A,$E156))</f>
        <v/>
      </c>
      <c r="B156" s="5">
        <f>IF($E156="","",INDEX('Input Transaksi'!$D:$D,$E156))</f>
        <v/>
      </c>
      <c r="C156">
        <f>IF($E156="","",INDEX('Input Transaksi'!$E:$E,$E156))</f>
        <v/>
      </c>
      <c r="D156" s="5">
        <f>IF($E156="","",INDEX('Input Transaksi'!$F:$F,$E156))</f>
        <v/>
      </c>
      <c r="E156">
        <f>IFERROR(AGGREGATE(15,6,ROW('Input Transaksi'!$B$5:$B$5000)/('Input Transaksi'!$B$5:$B$5000="LONDRI DEWE ANTASURA"),ROWS($E$5:E156)),"")</f>
        <v/>
      </c>
      <c r="F156" s="5" t="n"/>
    </row>
    <row r="157">
      <c r="A157" s="10">
        <f>IF($E157="","",INDEX('Input Transaksi'!$A:$A,$E157))</f>
        <v/>
      </c>
      <c r="B157" s="5">
        <f>IF($E157="","",INDEX('Input Transaksi'!$D:$D,$E157))</f>
        <v/>
      </c>
      <c r="C157">
        <f>IF($E157="","",INDEX('Input Transaksi'!$E:$E,$E157))</f>
        <v/>
      </c>
      <c r="D157" s="5">
        <f>IF($E157="","",INDEX('Input Transaksi'!$F:$F,$E157))</f>
        <v/>
      </c>
      <c r="E157">
        <f>IFERROR(AGGREGATE(15,6,ROW('Input Transaksi'!$B$5:$B$5000)/('Input Transaksi'!$B$5:$B$5000="LONDRI DEWE ANTASURA"),ROWS($E$5:E157)),"")</f>
        <v/>
      </c>
      <c r="F157" s="5" t="n"/>
    </row>
    <row r="158">
      <c r="A158" s="10">
        <f>IF($E158="","",INDEX('Input Transaksi'!$A:$A,$E158))</f>
        <v/>
      </c>
      <c r="B158" s="5">
        <f>IF($E158="","",INDEX('Input Transaksi'!$D:$D,$E158))</f>
        <v/>
      </c>
      <c r="C158">
        <f>IF($E158="","",INDEX('Input Transaksi'!$E:$E,$E158))</f>
        <v/>
      </c>
      <c r="D158" s="5">
        <f>IF($E158="","",INDEX('Input Transaksi'!$F:$F,$E158))</f>
        <v/>
      </c>
      <c r="E158">
        <f>IFERROR(AGGREGATE(15,6,ROW('Input Transaksi'!$B$5:$B$5000)/('Input Transaksi'!$B$5:$B$5000="LONDRI DEWE ANTASURA"),ROWS($E$5:E158)),"")</f>
        <v/>
      </c>
      <c r="F158" s="5" t="n"/>
    </row>
    <row r="159">
      <c r="A159" s="10">
        <f>IF($E159="","",INDEX('Input Transaksi'!$A:$A,$E159))</f>
        <v/>
      </c>
      <c r="B159" s="5">
        <f>IF($E159="","",INDEX('Input Transaksi'!$D:$D,$E159))</f>
        <v/>
      </c>
      <c r="C159">
        <f>IF($E159="","",INDEX('Input Transaksi'!$E:$E,$E159))</f>
        <v/>
      </c>
      <c r="D159" s="5">
        <f>IF($E159="","",INDEX('Input Transaksi'!$F:$F,$E159))</f>
        <v/>
      </c>
      <c r="E159">
        <f>IFERROR(AGGREGATE(15,6,ROW('Input Transaksi'!$B$5:$B$5000)/('Input Transaksi'!$B$5:$B$5000="LONDRI DEWE ANTASURA"),ROWS($E$5:E159)),"")</f>
        <v/>
      </c>
      <c r="F159" s="5" t="n"/>
    </row>
    <row r="160">
      <c r="A160" s="10">
        <f>IF($E160="","",INDEX('Input Transaksi'!$A:$A,$E160))</f>
        <v/>
      </c>
      <c r="B160" s="5">
        <f>IF($E160="","",INDEX('Input Transaksi'!$D:$D,$E160))</f>
        <v/>
      </c>
      <c r="C160">
        <f>IF($E160="","",INDEX('Input Transaksi'!$E:$E,$E160))</f>
        <v/>
      </c>
      <c r="D160" s="5">
        <f>IF($E160="","",INDEX('Input Transaksi'!$F:$F,$E160))</f>
        <v/>
      </c>
      <c r="E160">
        <f>IFERROR(AGGREGATE(15,6,ROW('Input Transaksi'!$B$5:$B$5000)/('Input Transaksi'!$B$5:$B$5000="LONDRI DEWE ANTASURA"),ROWS($E$5:E160)),"")</f>
        <v/>
      </c>
      <c r="F160" s="5" t="n"/>
    </row>
    <row r="161">
      <c r="A161" s="10">
        <f>IF($E161="","",INDEX('Input Transaksi'!$A:$A,$E161))</f>
        <v/>
      </c>
      <c r="B161" s="5">
        <f>IF($E161="","",INDEX('Input Transaksi'!$D:$D,$E161))</f>
        <v/>
      </c>
      <c r="C161">
        <f>IF($E161="","",INDEX('Input Transaksi'!$E:$E,$E161))</f>
        <v/>
      </c>
      <c r="D161" s="5">
        <f>IF($E161="","",INDEX('Input Transaksi'!$F:$F,$E161))</f>
        <v/>
      </c>
      <c r="E161">
        <f>IFERROR(AGGREGATE(15,6,ROW('Input Transaksi'!$B$5:$B$5000)/('Input Transaksi'!$B$5:$B$5000="LONDRI DEWE ANTASURA"),ROWS($E$5:E161)),"")</f>
        <v/>
      </c>
      <c r="F161" s="5" t="n"/>
    </row>
    <row r="162">
      <c r="A162" s="10">
        <f>IF($E162="","",INDEX('Input Transaksi'!$A:$A,$E162))</f>
        <v/>
      </c>
      <c r="B162" s="5">
        <f>IF($E162="","",INDEX('Input Transaksi'!$D:$D,$E162))</f>
        <v/>
      </c>
      <c r="C162">
        <f>IF($E162="","",INDEX('Input Transaksi'!$E:$E,$E162))</f>
        <v/>
      </c>
      <c r="D162" s="5">
        <f>IF($E162="","",INDEX('Input Transaksi'!$F:$F,$E162))</f>
        <v/>
      </c>
      <c r="E162">
        <f>IFERROR(AGGREGATE(15,6,ROW('Input Transaksi'!$B$5:$B$5000)/('Input Transaksi'!$B$5:$B$5000="LONDRI DEWE ANTASURA"),ROWS($E$5:E162)),"")</f>
        <v/>
      </c>
      <c r="F162" s="5" t="n"/>
    </row>
    <row r="163">
      <c r="A163" s="10">
        <f>IF($E163="","",INDEX('Input Transaksi'!$A:$A,$E163))</f>
        <v/>
      </c>
      <c r="B163" s="5">
        <f>IF($E163="","",INDEX('Input Transaksi'!$D:$D,$E163))</f>
        <v/>
      </c>
      <c r="C163">
        <f>IF($E163="","",INDEX('Input Transaksi'!$E:$E,$E163))</f>
        <v/>
      </c>
      <c r="D163" s="5">
        <f>IF($E163="","",INDEX('Input Transaksi'!$F:$F,$E163))</f>
        <v/>
      </c>
      <c r="E163">
        <f>IFERROR(AGGREGATE(15,6,ROW('Input Transaksi'!$B$5:$B$5000)/('Input Transaksi'!$B$5:$B$5000="LONDRI DEWE ANTASURA"),ROWS($E$5:E163)),"")</f>
        <v/>
      </c>
      <c r="F163" s="5" t="n"/>
    </row>
    <row r="164">
      <c r="A164" s="10">
        <f>IF($E164="","",INDEX('Input Transaksi'!$A:$A,$E164))</f>
        <v/>
      </c>
      <c r="B164" s="5">
        <f>IF($E164="","",INDEX('Input Transaksi'!$D:$D,$E164))</f>
        <v/>
      </c>
      <c r="C164">
        <f>IF($E164="","",INDEX('Input Transaksi'!$E:$E,$E164))</f>
        <v/>
      </c>
      <c r="D164" s="5">
        <f>IF($E164="","",INDEX('Input Transaksi'!$F:$F,$E164))</f>
        <v/>
      </c>
      <c r="E164">
        <f>IFERROR(AGGREGATE(15,6,ROW('Input Transaksi'!$B$5:$B$5000)/('Input Transaksi'!$B$5:$B$5000="LONDRI DEWE ANTASURA"),ROWS($E$5:E164)),"")</f>
        <v/>
      </c>
      <c r="F164" s="5" t="n"/>
    </row>
    <row r="165">
      <c r="A165" s="10">
        <f>IF($E165="","",INDEX('Input Transaksi'!$A:$A,$E165))</f>
        <v/>
      </c>
      <c r="B165" s="5">
        <f>IF($E165="","",INDEX('Input Transaksi'!$D:$D,$E165))</f>
        <v/>
      </c>
      <c r="C165">
        <f>IF($E165="","",INDEX('Input Transaksi'!$E:$E,$E165))</f>
        <v/>
      </c>
      <c r="D165" s="5">
        <f>IF($E165="","",INDEX('Input Transaksi'!$F:$F,$E165))</f>
        <v/>
      </c>
      <c r="E165">
        <f>IFERROR(AGGREGATE(15,6,ROW('Input Transaksi'!$B$5:$B$5000)/('Input Transaksi'!$B$5:$B$5000="LONDRI DEWE ANTASURA"),ROWS($E$5:E165)),"")</f>
        <v/>
      </c>
      <c r="F165" s="5" t="n"/>
    </row>
    <row r="166">
      <c r="A166" s="10">
        <f>IF($E166="","",INDEX('Input Transaksi'!$A:$A,$E166))</f>
        <v/>
      </c>
      <c r="B166" s="5">
        <f>IF($E166="","",INDEX('Input Transaksi'!$D:$D,$E166))</f>
        <v/>
      </c>
      <c r="C166">
        <f>IF($E166="","",INDEX('Input Transaksi'!$E:$E,$E166))</f>
        <v/>
      </c>
      <c r="D166" s="5">
        <f>IF($E166="","",INDEX('Input Transaksi'!$F:$F,$E166))</f>
        <v/>
      </c>
      <c r="E166">
        <f>IFERROR(AGGREGATE(15,6,ROW('Input Transaksi'!$B$5:$B$5000)/('Input Transaksi'!$B$5:$B$5000="LONDRI DEWE ANTASURA"),ROWS($E$5:E166)),"")</f>
        <v/>
      </c>
      <c r="F166" s="5" t="n"/>
    </row>
    <row r="167">
      <c r="A167" s="10">
        <f>IF($E167="","",INDEX('Input Transaksi'!$A:$A,$E167))</f>
        <v/>
      </c>
      <c r="B167" s="5">
        <f>IF($E167="","",INDEX('Input Transaksi'!$D:$D,$E167))</f>
        <v/>
      </c>
      <c r="C167">
        <f>IF($E167="","",INDEX('Input Transaksi'!$E:$E,$E167))</f>
        <v/>
      </c>
      <c r="D167" s="5">
        <f>IF($E167="","",INDEX('Input Transaksi'!$F:$F,$E167))</f>
        <v/>
      </c>
      <c r="E167">
        <f>IFERROR(AGGREGATE(15,6,ROW('Input Transaksi'!$B$5:$B$5000)/('Input Transaksi'!$B$5:$B$5000="LONDRI DEWE ANTASURA"),ROWS($E$5:E167)),"")</f>
        <v/>
      </c>
      <c r="F167" s="5" t="n"/>
    </row>
    <row r="168">
      <c r="A168" s="10">
        <f>IF($E168="","",INDEX('Input Transaksi'!$A:$A,$E168))</f>
        <v/>
      </c>
      <c r="B168" s="5">
        <f>IF($E168="","",INDEX('Input Transaksi'!$D:$D,$E168))</f>
        <v/>
      </c>
      <c r="C168">
        <f>IF($E168="","",INDEX('Input Transaksi'!$E:$E,$E168))</f>
        <v/>
      </c>
      <c r="D168" s="5">
        <f>IF($E168="","",INDEX('Input Transaksi'!$F:$F,$E168))</f>
        <v/>
      </c>
      <c r="E168">
        <f>IFERROR(AGGREGATE(15,6,ROW('Input Transaksi'!$B$5:$B$5000)/('Input Transaksi'!$B$5:$B$5000="LONDRI DEWE ANTASURA"),ROWS($E$5:E168)),"")</f>
        <v/>
      </c>
      <c r="F168" s="5" t="n"/>
    </row>
    <row r="169">
      <c r="A169" s="10">
        <f>IF($E169="","",INDEX('Input Transaksi'!$A:$A,$E169))</f>
        <v/>
      </c>
      <c r="B169" s="5">
        <f>IF($E169="","",INDEX('Input Transaksi'!$D:$D,$E169))</f>
        <v/>
      </c>
      <c r="C169">
        <f>IF($E169="","",INDEX('Input Transaksi'!$E:$E,$E169))</f>
        <v/>
      </c>
      <c r="D169" s="5">
        <f>IF($E169="","",INDEX('Input Transaksi'!$F:$F,$E169))</f>
        <v/>
      </c>
      <c r="E169">
        <f>IFERROR(AGGREGATE(15,6,ROW('Input Transaksi'!$B$5:$B$5000)/('Input Transaksi'!$B$5:$B$5000="LONDRI DEWE ANTASURA"),ROWS($E$5:E169)),"")</f>
        <v/>
      </c>
      <c r="F169" s="5" t="n"/>
    </row>
    <row r="170">
      <c r="A170" s="10">
        <f>IF($E170="","",INDEX('Input Transaksi'!$A:$A,$E170))</f>
        <v/>
      </c>
      <c r="B170" s="5">
        <f>IF($E170="","",INDEX('Input Transaksi'!$D:$D,$E170))</f>
        <v/>
      </c>
      <c r="C170">
        <f>IF($E170="","",INDEX('Input Transaksi'!$E:$E,$E170))</f>
        <v/>
      </c>
      <c r="D170" s="5">
        <f>IF($E170="","",INDEX('Input Transaksi'!$F:$F,$E170))</f>
        <v/>
      </c>
      <c r="E170">
        <f>IFERROR(AGGREGATE(15,6,ROW('Input Transaksi'!$B$5:$B$5000)/('Input Transaksi'!$B$5:$B$5000="LONDRI DEWE ANTASURA"),ROWS($E$5:E170)),"")</f>
        <v/>
      </c>
      <c r="F170" s="5" t="n"/>
    </row>
    <row r="171">
      <c r="A171" s="10">
        <f>IF($E171="","",INDEX('Input Transaksi'!$A:$A,$E171))</f>
        <v/>
      </c>
      <c r="B171" s="5">
        <f>IF($E171="","",INDEX('Input Transaksi'!$D:$D,$E171))</f>
        <v/>
      </c>
      <c r="C171">
        <f>IF($E171="","",INDEX('Input Transaksi'!$E:$E,$E171))</f>
        <v/>
      </c>
      <c r="D171" s="5">
        <f>IF($E171="","",INDEX('Input Transaksi'!$F:$F,$E171))</f>
        <v/>
      </c>
      <c r="E171">
        <f>IFERROR(AGGREGATE(15,6,ROW('Input Transaksi'!$B$5:$B$5000)/('Input Transaksi'!$B$5:$B$5000="LONDRI DEWE ANTASURA"),ROWS($E$5:E171)),"")</f>
        <v/>
      </c>
      <c r="F171" s="5" t="n"/>
    </row>
    <row r="172">
      <c r="A172" s="10">
        <f>IF($E172="","",INDEX('Input Transaksi'!$A:$A,$E172))</f>
        <v/>
      </c>
      <c r="B172" s="5">
        <f>IF($E172="","",INDEX('Input Transaksi'!$D:$D,$E172))</f>
        <v/>
      </c>
      <c r="C172">
        <f>IF($E172="","",INDEX('Input Transaksi'!$E:$E,$E172))</f>
        <v/>
      </c>
      <c r="D172" s="5">
        <f>IF($E172="","",INDEX('Input Transaksi'!$F:$F,$E172))</f>
        <v/>
      </c>
      <c r="E172">
        <f>IFERROR(AGGREGATE(15,6,ROW('Input Transaksi'!$B$5:$B$5000)/('Input Transaksi'!$B$5:$B$5000="LONDRI DEWE ANTASURA"),ROWS($E$5:E172)),"")</f>
        <v/>
      </c>
      <c r="F172" s="5" t="n"/>
    </row>
    <row r="173">
      <c r="A173" s="10">
        <f>IF($E173="","",INDEX('Input Transaksi'!$A:$A,$E173))</f>
        <v/>
      </c>
      <c r="B173" s="5">
        <f>IF($E173="","",INDEX('Input Transaksi'!$D:$D,$E173))</f>
        <v/>
      </c>
      <c r="C173">
        <f>IF($E173="","",INDEX('Input Transaksi'!$E:$E,$E173))</f>
        <v/>
      </c>
      <c r="D173" s="5">
        <f>IF($E173="","",INDEX('Input Transaksi'!$F:$F,$E173))</f>
        <v/>
      </c>
      <c r="E173">
        <f>IFERROR(AGGREGATE(15,6,ROW('Input Transaksi'!$B$5:$B$5000)/('Input Transaksi'!$B$5:$B$5000="LONDRI DEWE ANTASURA"),ROWS($E$5:E173)),"")</f>
        <v/>
      </c>
      <c r="F173" s="5" t="n"/>
    </row>
    <row r="174">
      <c r="A174" s="10">
        <f>IF($E174="","",INDEX('Input Transaksi'!$A:$A,$E174))</f>
        <v/>
      </c>
      <c r="B174" s="5">
        <f>IF($E174="","",INDEX('Input Transaksi'!$D:$D,$E174))</f>
        <v/>
      </c>
      <c r="C174">
        <f>IF($E174="","",INDEX('Input Transaksi'!$E:$E,$E174))</f>
        <v/>
      </c>
      <c r="D174" s="5">
        <f>IF($E174="","",INDEX('Input Transaksi'!$F:$F,$E174))</f>
        <v/>
      </c>
      <c r="E174">
        <f>IFERROR(AGGREGATE(15,6,ROW('Input Transaksi'!$B$5:$B$5000)/('Input Transaksi'!$B$5:$B$5000="LONDRI DEWE ANTASURA"),ROWS($E$5:E174)),"")</f>
        <v/>
      </c>
      <c r="F174" s="5" t="n"/>
    </row>
    <row r="175">
      <c r="A175" s="10">
        <f>IF($E175="","",INDEX('Input Transaksi'!$A:$A,$E175))</f>
        <v/>
      </c>
      <c r="B175" s="5">
        <f>IF($E175="","",INDEX('Input Transaksi'!$D:$D,$E175))</f>
        <v/>
      </c>
      <c r="C175">
        <f>IF($E175="","",INDEX('Input Transaksi'!$E:$E,$E175))</f>
        <v/>
      </c>
      <c r="D175" s="5">
        <f>IF($E175="","",INDEX('Input Transaksi'!$F:$F,$E175))</f>
        <v/>
      </c>
      <c r="E175">
        <f>IFERROR(AGGREGATE(15,6,ROW('Input Transaksi'!$B$5:$B$5000)/('Input Transaksi'!$B$5:$B$5000="LONDRI DEWE ANTASURA"),ROWS($E$5:E175)),"")</f>
        <v/>
      </c>
      <c r="F175" s="5" t="n"/>
    </row>
    <row r="176">
      <c r="A176" s="10">
        <f>IF($E176="","",INDEX('Input Transaksi'!$A:$A,$E176))</f>
        <v/>
      </c>
      <c r="B176" s="5">
        <f>IF($E176="","",INDEX('Input Transaksi'!$D:$D,$E176))</f>
        <v/>
      </c>
      <c r="C176">
        <f>IF($E176="","",INDEX('Input Transaksi'!$E:$E,$E176))</f>
        <v/>
      </c>
      <c r="D176" s="5">
        <f>IF($E176="","",INDEX('Input Transaksi'!$F:$F,$E176))</f>
        <v/>
      </c>
      <c r="E176">
        <f>IFERROR(AGGREGATE(15,6,ROW('Input Transaksi'!$B$5:$B$5000)/('Input Transaksi'!$B$5:$B$5000="LONDRI DEWE ANTASURA"),ROWS($E$5:E176)),"")</f>
        <v/>
      </c>
      <c r="F176" s="5" t="n"/>
    </row>
    <row r="177">
      <c r="A177" s="10">
        <f>IF($E177="","",INDEX('Input Transaksi'!$A:$A,$E177))</f>
        <v/>
      </c>
      <c r="B177" s="5">
        <f>IF($E177="","",INDEX('Input Transaksi'!$D:$D,$E177))</f>
        <v/>
      </c>
      <c r="C177">
        <f>IF($E177="","",INDEX('Input Transaksi'!$E:$E,$E177))</f>
        <v/>
      </c>
      <c r="D177" s="5">
        <f>IF($E177="","",INDEX('Input Transaksi'!$F:$F,$E177))</f>
        <v/>
      </c>
      <c r="E177">
        <f>IFERROR(AGGREGATE(15,6,ROW('Input Transaksi'!$B$5:$B$5000)/('Input Transaksi'!$B$5:$B$5000="LONDRI DEWE ANTASURA"),ROWS($E$5:E177)),"")</f>
        <v/>
      </c>
      <c r="F177" s="5" t="n"/>
    </row>
    <row r="178">
      <c r="A178" s="10">
        <f>IF($E178="","",INDEX('Input Transaksi'!$A:$A,$E178))</f>
        <v/>
      </c>
      <c r="B178" s="5">
        <f>IF($E178="","",INDEX('Input Transaksi'!$D:$D,$E178))</f>
        <v/>
      </c>
      <c r="C178">
        <f>IF($E178="","",INDEX('Input Transaksi'!$E:$E,$E178))</f>
        <v/>
      </c>
      <c r="D178" s="5">
        <f>IF($E178="","",INDEX('Input Transaksi'!$F:$F,$E178))</f>
        <v/>
      </c>
      <c r="E178">
        <f>IFERROR(AGGREGATE(15,6,ROW('Input Transaksi'!$B$5:$B$5000)/('Input Transaksi'!$B$5:$B$5000="LONDRI DEWE ANTASURA"),ROWS($E$5:E178)),"")</f>
        <v/>
      </c>
      <c r="F178" s="5" t="n"/>
    </row>
    <row r="179">
      <c r="A179" s="10">
        <f>IF($E179="","",INDEX('Input Transaksi'!$A:$A,$E179))</f>
        <v/>
      </c>
      <c r="B179" s="5">
        <f>IF($E179="","",INDEX('Input Transaksi'!$D:$D,$E179))</f>
        <v/>
      </c>
      <c r="C179">
        <f>IF($E179="","",INDEX('Input Transaksi'!$E:$E,$E179))</f>
        <v/>
      </c>
      <c r="D179" s="5">
        <f>IF($E179="","",INDEX('Input Transaksi'!$F:$F,$E179))</f>
        <v/>
      </c>
      <c r="E179">
        <f>IFERROR(AGGREGATE(15,6,ROW('Input Transaksi'!$B$5:$B$5000)/('Input Transaksi'!$B$5:$B$5000="LONDRI DEWE ANTASURA"),ROWS($E$5:E179)),"")</f>
        <v/>
      </c>
      <c r="F179" s="5" t="n"/>
    </row>
    <row r="180">
      <c r="A180" s="10">
        <f>IF($E180="","",INDEX('Input Transaksi'!$A:$A,$E180))</f>
        <v/>
      </c>
      <c r="B180" s="5">
        <f>IF($E180="","",INDEX('Input Transaksi'!$D:$D,$E180))</f>
        <v/>
      </c>
      <c r="C180">
        <f>IF($E180="","",INDEX('Input Transaksi'!$E:$E,$E180))</f>
        <v/>
      </c>
      <c r="D180" s="5">
        <f>IF($E180="","",INDEX('Input Transaksi'!$F:$F,$E180))</f>
        <v/>
      </c>
      <c r="E180">
        <f>IFERROR(AGGREGATE(15,6,ROW('Input Transaksi'!$B$5:$B$5000)/('Input Transaksi'!$B$5:$B$5000="LONDRI DEWE ANTASURA"),ROWS($E$5:E180)),"")</f>
        <v/>
      </c>
      <c r="F180" s="5" t="n"/>
    </row>
    <row r="181">
      <c r="A181" s="10">
        <f>IF($E181="","",INDEX('Input Transaksi'!$A:$A,$E181))</f>
        <v/>
      </c>
      <c r="B181" s="5">
        <f>IF($E181="","",INDEX('Input Transaksi'!$D:$D,$E181))</f>
        <v/>
      </c>
      <c r="C181">
        <f>IF($E181="","",INDEX('Input Transaksi'!$E:$E,$E181))</f>
        <v/>
      </c>
      <c r="D181" s="5">
        <f>IF($E181="","",INDEX('Input Transaksi'!$F:$F,$E181))</f>
        <v/>
      </c>
      <c r="E181">
        <f>IFERROR(AGGREGATE(15,6,ROW('Input Transaksi'!$B$5:$B$5000)/('Input Transaksi'!$B$5:$B$5000="LONDRI DEWE ANTASURA"),ROWS($E$5:E181)),"")</f>
        <v/>
      </c>
      <c r="F181" s="5" t="n"/>
    </row>
    <row r="182">
      <c r="A182" s="10">
        <f>IF($E182="","",INDEX('Input Transaksi'!$A:$A,$E182))</f>
        <v/>
      </c>
      <c r="B182" s="5">
        <f>IF($E182="","",INDEX('Input Transaksi'!$D:$D,$E182))</f>
        <v/>
      </c>
      <c r="C182">
        <f>IF($E182="","",INDEX('Input Transaksi'!$E:$E,$E182))</f>
        <v/>
      </c>
      <c r="D182" s="5">
        <f>IF($E182="","",INDEX('Input Transaksi'!$F:$F,$E182))</f>
        <v/>
      </c>
      <c r="E182">
        <f>IFERROR(AGGREGATE(15,6,ROW('Input Transaksi'!$B$5:$B$5000)/('Input Transaksi'!$B$5:$B$5000="LONDRI DEWE ANTASURA"),ROWS($E$5:E182)),"")</f>
        <v/>
      </c>
      <c r="F182" s="5" t="n"/>
    </row>
    <row r="183">
      <c r="A183" s="10">
        <f>IF($E183="","",INDEX('Input Transaksi'!$A:$A,$E183))</f>
        <v/>
      </c>
      <c r="B183" s="5">
        <f>IF($E183="","",INDEX('Input Transaksi'!$D:$D,$E183))</f>
        <v/>
      </c>
      <c r="C183">
        <f>IF($E183="","",INDEX('Input Transaksi'!$E:$E,$E183))</f>
        <v/>
      </c>
      <c r="D183" s="5">
        <f>IF($E183="","",INDEX('Input Transaksi'!$F:$F,$E183))</f>
        <v/>
      </c>
      <c r="E183">
        <f>IFERROR(AGGREGATE(15,6,ROW('Input Transaksi'!$B$5:$B$5000)/('Input Transaksi'!$B$5:$B$5000="LONDRI DEWE ANTASURA"),ROWS($E$5:E183)),"")</f>
        <v/>
      </c>
      <c r="F183" s="5" t="n"/>
    </row>
    <row r="184">
      <c r="A184" s="10">
        <f>IF($E184="","",INDEX('Input Transaksi'!$A:$A,$E184))</f>
        <v/>
      </c>
      <c r="B184" s="5">
        <f>IF($E184="","",INDEX('Input Transaksi'!$D:$D,$E184))</f>
        <v/>
      </c>
      <c r="C184">
        <f>IF($E184="","",INDEX('Input Transaksi'!$E:$E,$E184))</f>
        <v/>
      </c>
      <c r="D184" s="5">
        <f>IF($E184="","",INDEX('Input Transaksi'!$F:$F,$E184))</f>
        <v/>
      </c>
      <c r="E184">
        <f>IFERROR(AGGREGATE(15,6,ROW('Input Transaksi'!$B$5:$B$5000)/('Input Transaksi'!$B$5:$B$5000="LONDRI DEWE ANTASURA"),ROWS($E$5:E184)),"")</f>
        <v/>
      </c>
      <c r="F184" s="5" t="n"/>
    </row>
    <row r="185">
      <c r="A185" s="10">
        <f>IF($E185="","",INDEX('Input Transaksi'!$A:$A,$E185))</f>
        <v/>
      </c>
      <c r="B185" s="5">
        <f>IF($E185="","",INDEX('Input Transaksi'!$D:$D,$E185))</f>
        <v/>
      </c>
      <c r="C185">
        <f>IF($E185="","",INDEX('Input Transaksi'!$E:$E,$E185))</f>
        <v/>
      </c>
      <c r="D185" s="5">
        <f>IF($E185="","",INDEX('Input Transaksi'!$F:$F,$E185))</f>
        <v/>
      </c>
      <c r="E185">
        <f>IFERROR(AGGREGATE(15,6,ROW('Input Transaksi'!$B$5:$B$5000)/('Input Transaksi'!$B$5:$B$5000="LONDRI DEWE ANTASURA"),ROWS($E$5:E185)),"")</f>
        <v/>
      </c>
      <c r="F185" s="5" t="n"/>
    </row>
    <row r="186">
      <c r="A186" s="10">
        <f>IF($E186="","",INDEX('Input Transaksi'!$A:$A,$E186))</f>
        <v/>
      </c>
      <c r="B186" s="5">
        <f>IF($E186="","",INDEX('Input Transaksi'!$D:$D,$E186))</f>
        <v/>
      </c>
      <c r="C186">
        <f>IF($E186="","",INDEX('Input Transaksi'!$E:$E,$E186))</f>
        <v/>
      </c>
      <c r="D186" s="5">
        <f>IF($E186="","",INDEX('Input Transaksi'!$F:$F,$E186))</f>
        <v/>
      </c>
      <c r="E186">
        <f>IFERROR(AGGREGATE(15,6,ROW('Input Transaksi'!$B$5:$B$5000)/('Input Transaksi'!$B$5:$B$5000="LONDRI DEWE ANTASURA"),ROWS($E$5:E186)),"")</f>
        <v/>
      </c>
      <c r="F186" s="5" t="n"/>
    </row>
    <row r="187">
      <c r="A187" s="10">
        <f>IF($E187="","",INDEX('Input Transaksi'!$A:$A,$E187))</f>
        <v/>
      </c>
      <c r="B187" s="5">
        <f>IF($E187="","",INDEX('Input Transaksi'!$D:$D,$E187))</f>
        <v/>
      </c>
      <c r="C187">
        <f>IF($E187="","",INDEX('Input Transaksi'!$E:$E,$E187))</f>
        <v/>
      </c>
      <c r="D187" s="5">
        <f>IF($E187="","",INDEX('Input Transaksi'!$F:$F,$E187))</f>
        <v/>
      </c>
      <c r="E187">
        <f>IFERROR(AGGREGATE(15,6,ROW('Input Transaksi'!$B$5:$B$5000)/('Input Transaksi'!$B$5:$B$5000="LONDRI DEWE ANTASURA"),ROWS($E$5:E187)),"")</f>
        <v/>
      </c>
      <c r="F187" s="5" t="n"/>
    </row>
    <row r="188">
      <c r="A188" s="10">
        <f>IF($E188="","",INDEX('Input Transaksi'!$A:$A,$E188))</f>
        <v/>
      </c>
      <c r="B188" s="5">
        <f>IF($E188="","",INDEX('Input Transaksi'!$D:$D,$E188))</f>
        <v/>
      </c>
      <c r="C188">
        <f>IF($E188="","",INDEX('Input Transaksi'!$E:$E,$E188))</f>
        <v/>
      </c>
      <c r="D188" s="5">
        <f>IF($E188="","",INDEX('Input Transaksi'!$F:$F,$E188))</f>
        <v/>
      </c>
      <c r="E188">
        <f>IFERROR(AGGREGATE(15,6,ROW('Input Transaksi'!$B$5:$B$5000)/('Input Transaksi'!$B$5:$B$5000="LONDRI DEWE ANTASURA"),ROWS($E$5:E188)),"")</f>
        <v/>
      </c>
      <c r="F188" s="5" t="n"/>
    </row>
    <row r="189">
      <c r="A189" s="10">
        <f>IF($E189="","",INDEX('Input Transaksi'!$A:$A,$E189))</f>
        <v/>
      </c>
      <c r="B189" s="5">
        <f>IF($E189="","",INDEX('Input Transaksi'!$D:$D,$E189))</f>
        <v/>
      </c>
      <c r="C189">
        <f>IF($E189="","",INDEX('Input Transaksi'!$E:$E,$E189))</f>
        <v/>
      </c>
      <c r="D189" s="5">
        <f>IF($E189="","",INDEX('Input Transaksi'!$F:$F,$E189))</f>
        <v/>
      </c>
      <c r="E189">
        <f>IFERROR(AGGREGATE(15,6,ROW('Input Transaksi'!$B$5:$B$5000)/('Input Transaksi'!$B$5:$B$5000="LONDRI DEWE ANTASURA"),ROWS($E$5:E189)),"")</f>
        <v/>
      </c>
      <c r="F189" s="5" t="n"/>
    </row>
    <row r="190">
      <c r="A190" s="10">
        <f>IF($E190="","",INDEX('Input Transaksi'!$A:$A,$E190))</f>
        <v/>
      </c>
      <c r="B190" s="5">
        <f>IF($E190="","",INDEX('Input Transaksi'!$D:$D,$E190))</f>
        <v/>
      </c>
      <c r="C190">
        <f>IF($E190="","",INDEX('Input Transaksi'!$E:$E,$E190))</f>
        <v/>
      </c>
      <c r="D190" s="5">
        <f>IF($E190="","",INDEX('Input Transaksi'!$F:$F,$E190))</f>
        <v/>
      </c>
      <c r="E190">
        <f>IFERROR(AGGREGATE(15,6,ROW('Input Transaksi'!$B$5:$B$5000)/('Input Transaksi'!$B$5:$B$5000="LONDRI DEWE ANTASURA"),ROWS($E$5:E190)),"")</f>
        <v/>
      </c>
      <c r="F190" s="5" t="n"/>
    </row>
    <row r="191">
      <c r="A191" s="10">
        <f>IF($E191="","",INDEX('Input Transaksi'!$A:$A,$E191))</f>
        <v/>
      </c>
      <c r="B191" s="5">
        <f>IF($E191="","",INDEX('Input Transaksi'!$D:$D,$E191))</f>
        <v/>
      </c>
      <c r="C191">
        <f>IF($E191="","",INDEX('Input Transaksi'!$E:$E,$E191))</f>
        <v/>
      </c>
      <c r="D191" s="5">
        <f>IF($E191="","",INDEX('Input Transaksi'!$F:$F,$E191))</f>
        <v/>
      </c>
      <c r="E191">
        <f>IFERROR(AGGREGATE(15,6,ROW('Input Transaksi'!$B$5:$B$5000)/('Input Transaksi'!$B$5:$B$5000="LONDRI DEWE ANTASURA"),ROWS($E$5:E191)),"")</f>
        <v/>
      </c>
      <c r="F191" s="5" t="n"/>
    </row>
    <row r="192">
      <c r="A192" s="10">
        <f>IF($E192="","",INDEX('Input Transaksi'!$A:$A,$E192))</f>
        <v/>
      </c>
      <c r="B192" s="5">
        <f>IF($E192="","",INDEX('Input Transaksi'!$D:$D,$E192))</f>
        <v/>
      </c>
      <c r="C192">
        <f>IF($E192="","",INDEX('Input Transaksi'!$E:$E,$E192))</f>
        <v/>
      </c>
      <c r="D192" s="5">
        <f>IF($E192="","",INDEX('Input Transaksi'!$F:$F,$E192))</f>
        <v/>
      </c>
      <c r="E192">
        <f>IFERROR(AGGREGATE(15,6,ROW('Input Transaksi'!$B$5:$B$5000)/('Input Transaksi'!$B$5:$B$5000="LONDRI DEWE ANTASURA"),ROWS($E$5:E192)),"")</f>
        <v/>
      </c>
      <c r="F192" s="5" t="n"/>
    </row>
    <row r="193">
      <c r="A193" s="10">
        <f>IF($E193="","",INDEX('Input Transaksi'!$A:$A,$E193))</f>
        <v/>
      </c>
      <c r="B193" s="5">
        <f>IF($E193="","",INDEX('Input Transaksi'!$D:$D,$E193))</f>
        <v/>
      </c>
      <c r="C193">
        <f>IF($E193="","",INDEX('Input Transaksi'!$E:$E,$E193))</f>
        <v/>
      </c>
      <c r="D193" s="5">
        <f>IF($E193="","",INDEX('Input Transaksi'!$F:$F,$E193))</f>
        <v/>
      </c>
      <c r="E193">
        <f>IFERROR(AGGREGATE(15,6,ROW('Input Transaksi'!$B$5:$B$5000)/('Input Transaksi'!$B$5:$B$5000="LONDRI DEWE ANTASURA"),ROWS($E$5:E193)),"")</f>
        <v/>
      </c>
      <c r="F193" s="5" t="n"/>
    </row>
    <row r="194">
      <c r="A194" s="10">
        <f>IF($E194="","",INDEX('Input Transaksi'!$A:$A,$E194))</f>
        <v/>
      </c>
      <c r="B194" s="5">
        <f>IF($E194="","",INDEX('Input Transaksi'!$D:$D,$E194))</f>
        <v/>
      </c>
      <c r="C194">
        <f>IF($E194="","",INDEX('Input Transaksi'!$E:$E,$E194))</f>
        <v/>
      </c>
      <c r="D194" s="5">
        <f>IF($E194="","",INDEX('Input Transaksi'!$F:$F,$E194))</f>
        <v/>
      </c>
      <c r="E194">
        <f>IFERROR(AGGREGATE(15,6,ROW('Input Transaksi'!$B$5:$B$5000)/('Input Transaksi'!$B$5:$B$5000="LONDRI DEWE ANTASURA"),ROWS($E$5:E194)),"")</f>
        <v/>
      </c>
      <c r="F194" s="5" t="n"/>
    </row>
    <row r="195">
      <c r="A195" s="10">
        <f>IF($E195="","",INDEX('Input Transaksi'!$A:$A,$E195))</f>
        <v/>
      </c>
      <c r="B195" s="5">
        <f>IF($E195="","",INDEX('Input Transaksi'!$D:$D,$E195))</f>
        <v/>
      </c>
      <c r="C195">
        <f>IF($E195="","",INDEX('Input Transaksi'!$E:$E,$E195))</f>
        <v/>
      </c>
      <c r="D195" s="5">
        <f>IF($E195="","",INDEX('Input Transaksi'!$F:$F,$E195))</f>
        <v/>
      </c>
      <c r="E195">
        <f>IFERROR(AGGREGATE(15,6,ROW('Input Transaksi'!$B$5:$B$5000)/('Input Transaksi'!$B$5:$B$5000="LONDRI DEWE ANTASURA"),ROWS($E$5:E195)),"")</f>
        <v/>
      </c>
      <c r="F195" s="5" t="n"/>
    </row>
    <row r="196">
      <c r="A196" s="10">
        <f>IF($E196="","",INDEX('Input Transaksi'!$A:$A,$E196))</f>
        <v/>
      </c>
      <c r="B196" s="5">
        <f>IF($E196="","",INDEX('Input Transaksi'!$D:$D,$E196))</f>
        <v/>
      </c>
      <c r="C196">
        <f>IF($E196="","",INDEX('Input Transaksi'!$E:$E,$E196))</f>
        <v/>
      </c>
      <c r="D196" s="5">
        <f>IF($E196="","",INDEX('Input Transaksi'!$F:$F,$E196))</f>
        <v/>
      </c>
      <c r="E196">
        <f>IFERROR(AGGREGATE(15,6,ROW('Input Transaksi'!$B$5:$B$5000)/('Input Transaksi'!$B$5:$B$5000="LONDRI DEWE ANTASURA"),ROWS($E$5:E196)),"")</f>
        <v/>
      </c>
      <c r="F196" s="5" t="n"/>
    </row>
    <row r="197">
      <c r="A197" s="10">
        <f>IF($E197="","",INDEX('Input Transaksi'!$A:$A,$E197))</f>
        <v/>
      </c>
      <c r="B197" s="5">
        <f>IF($E197="","",INDEX('Input Transaksi'!$D:$D,$E197))</f>
        <v/>
      </c>
      <c r="C197">
        <f>IF($E197="","",INDEX('Input Transaksi'!$E:$E,$E197))</f>
        <v/>
      </c>
      <c r="D197" s="5">
        <f>IF($E197="","",INDEX('Input Transaksi'!$F:$F,$E197))</f>
        <v/>
      </c>
      <c r="E197">
        <f>IFERROR(AGGREGATE(15,6,ROW('Input Transaksi'!$B$5:$B$5000)/('Input Transaksi'!$B$5:$B$5000="LONDRI DEWE ANTASURA"),ROWS($E$5:E197)),"")</f>
        <v/>
      </c>
      <c r="F197" s="5" t="n"/>
    </row>
    <row r="198">
      <c r="A198" s="10">
        <f>IF($E198="","",INDEX('Input Transaksi'!$A:$A,$E198))</f>
        <v/>
      </c>
      <c r="B198" s="5">
        <f>IF($E198="","",INDEX('Input Transaksi'!$D:$D,$E198))</f>
        <v/>
      </c>
      <c r="C198">
        <f>IF($E198="","",INDEX('Input Transaksi'!$E:$E,$E198))</f>
        <v/>
      </c>
      <c r="D198" s="5">
        <f>IF($E198="","",INDEX('Input Transaksi'!$F:$F,$E198))</f>
        <v/>
      </c>
      <c r="E198">
        <f>IFERROR(AGGREGATE(15,6,ROW('Input Transaksi'!$B$5:$B$5000)/('Input Transaksi'!$B$5:$B$5000="LONDRI DEWE ANTASURA"),ROWS($E$5:E198)),"")</f>
        <v/>
      </c>
      <c r="F198" s="5" t="n"/>
    </row>
    <row r="199">
      <c r="A199" s="10">
        <f>IF($E199="","",INDEX('Input Transaksi'!$A:$A,$E199))</f>
        <v/>
      </c>
      <c r="B199" s="5">
        <f>IF($E199="","",INDEX('Input Transaksi'!$D:$D,$E199))</f>
        <v/>
      </c>
      <c r="C199">
        <f>IF($E199="","",INDEX('Input Transaksi'!$E:$E,$E199))</f>
        <v/>
      </c>
      <c r="D199" s="5">
        <f>IF($E199="","",INDEX('Input Transaksi'!$F:$F,$E199))</f>
        <v/>
      </c>
      <c r="E199">
        <f>IFERROR(AGGREGATE(15,6,ROW('Input Transaksi'!$B$5:$B$5000)/('Input Transaksi'!$B$5:$B$5000="LONDRI DEWE ANTASURA"),ROWS($E$5:E199)),"")</f>
        <v/>
      </c>
      <c r="F199" s="5" t="n"/>
    </row>
    <row r="200">
      <c r="A200" s="10">
        <f>IF($E200="","",INDEX('Input Transaksi'!$A:$A,$E200))</f>
        <v/>
      </c>
      <c r="B200" s="5">
        <f>IF($E200="","",INDEX('Input Transaksi'!$D:$D,$E200))</f>
        <v/>
      </c>
      <c r="C200">
        <f>IF($E200="","",INDEX('Input Transaksi'!$E:$E,$E200))</f>
        <v/>
      </c>
      <c r="D200" s="5">
        <f>IF($E200="","",INDEX('Input Transaksi'!$F:$F,$E200))</f>
        <v/>
      </c>
      <c r="E200">
        <f>IFERROR(AGGREGATE(15,6,ROW('Input Transaksi'!$B$5:$B$5000)/('Input Transaksi'!$B$5:$B$5000="LONDRI DEWE ANTASURA"),ROWS($E$5:E200)),"")</f>
        <v/>
      </c>
      <c r="F200" s="5" t="n"/>
    </row>
    <row r="201">
      <c r="A201" s="10">
        <f>IF($E201="","",INDEX('Input Transaksi'!$A:$A,$E201))</f>
        <v/>
      </c>
      <c r="B201" s="5">
        <f>IF($E201="","",INDEX('Input Transaksi'!$D:$D,$E201))</f>
        <v/>
      </c>
      <c r="C201">
        <f>IF($E201="","",INDEX('Input Transaksi'!$E:$E,$E201))</f>
        <v/>
      </c>
      <c r="D201" s="5">
        <f>IF($E201="","",INDEX('Input Transaksi'!$F:$F,$E201))</f>
        <v/>
      </c>
      <c r="E201">
        <f>IFERROR(AGGREGATE(15,6,ROW('Input Transaksi'!$B$5:$B$5000)/('Input Transaksi'!$B$5:$B$5000="LONDRI DEWE ANTASURA"),ROWS($E$5:E201)),"")</f>
        <v/>
      </c>
      <c r="F201" s="5" t="n"/>
    </row>
    <row r="202">
      <c r="A202" s="10">
        <f>IF($E202="","",INDEX('Input Transaksi'!$A:$A,$E202))</f>
        <v/>
      </c>
      <c r="B202" s="5">
        <f>IF($E202="","",INDEX('Input Transaksi'!$D:$D,$E202))</f>
        <v/>
      </c>
      <c r="C202">
        <f>IF($E202="","",INDEX('Input Transaksi'!$E:$E,$E202))</f>
        <v/>
      </c>
      <c r="D202" s="5">
        <f>IF($E202="","",INDEX('Input Transaksi'!$F:$F,$E202))</f>
        <v/>
      </c>
      <c r="E202">
        <f>IFERROR(AGGREGATE(15,6,ROW('Input Transaksi'!$B$5:$B$5000)/('Input Transaksi'!$B$5:$B$5000="LONDRI DEWE ANTASURA"),ROWS($E$5:E202)),"")</f>
        <v/>
      </c>
      <c r="F202" s="5" t="n"/>
    </row>
    <row r="203">
      <c r="A203" s="10">
        <f>IF($E203="","",INDEX('Input Transaksi'!$A:$A,$E203))</f>
        <v/>
      </c>
      <c r="B203" s="5">
        <f>IF($E203="","",INDEX('Input Transaksi'!$D:$D,$E203))</f>
        <v/>
      </c>
      <c r="C203">
        <f>IF($E203="","",INDEX('Input Transaksi'!$E:$E,$E203))</f>
        <v/>
      </c>
      <c r="D203" s="5">
        <f>IF($E203="","",INDEX('Input Transaksi'!$F:$F,$E203))</f>
        <v/>
      </c>
      <c r="E203">
        <f>IFERROR(AGGREGATE(15,6,ROW('Input Transaksi'!$B$5:$B$5000)/('Input Transaksi'!$B$5:$B$5000="LONDRI DEWE ANTASURA"),ROWS($E$5:E203)),"")</f>
        <v/>
      </c>
      <c r="F203" s="5" t="n"/>
    </row>
    <row r="204">
      <c r="A204" s="10">
        <f>IF($E204="","",INDEX('Input Transaksi'!$A:$A,$E204))</f>
        <v/>
      </c>
      <c r="B204" s="5">
        <f>IF($E204="","",INDEX('Input Transaksi'!$D:$D,$E204))</f>
        <v/>
      </c>
      <c r="C204">
        <f>IF($E204="","",INDEX('Input Transaksi'!$E:$E,$E204))</f>
        <v/>
      </c>
      <c r="D204" s="5">
        <f>IF($E204="","",INDEX('Input Transaksi'!$F:$F,$E204))</f>
        <v/>
      </c>
      <c r="E204">
        <f>IFERROR(AGGREGATE(15,6,ROW('Input Transaksi'!$B$5:$B$5000)/('Input Transaksi'!$B$5:$B$5000="LONDRI DEWE ANTASURA"),ROWS($E$5:E204)),"")</f>
        <v/>
      </c>
      <c r="F204" s="5" t="n"/>
    </row>
    <row r="205">
      <c r="A205" s="10">
        <f>IF($E205="","",INDEX('Input Transaksi'!$A:$A,$E205))</f>
        <v/>
      </c>
      <c r="B205" s="5">
        <f>IF($E205="","",INDEX('Input Transaksi'!$D:$D,$E205))</f>
        <v/>
      </c>
      <c r="C205">
        <f>IF($E205="","",INDEX('Input Transaksi'!$E:$E,$E205))</f>
        <v/>
      </c>
      <c r="D205" s="5">
        <f>IF($E205="","",INDEX('Input Transaksi'!$F:$F,$E205))</f>
        <v/>
      </c>
      <c r="E205">
        <f>IFERROR(AGGREGATE(15,6,ROW('Input Transaksi'!$B$5:$B$5000)/('Input Transaksi'!$B$5:$B$5000="LONDRI DEWE ANTASURA"),ROWS($E$5:E205)),"")</f>
        <v/>
      </c>
      <c r="F205" s="5" t="n"/>
    </row>
    <row r="206">
      <c r="A206" s="10">
        <f>IF($E206="","",INDEX('Input Transaksi'!$A:$A,$E206))</f>
        <v/>
      </c>
      <c r="B206" s="5">
        <f>IF($E206="","",INDEX('Input Transaksi'!$D:$D,$E206))</f>
        <v/>
      </c>
      <c r="C206">
        <f>IF($E206="","",INDEX('Input Transaksi'!$E:$E,$E206))</f>
        <v/>
      </c>
      <c r="D206" s="5">
        <f>IF($E206="","",INDEX('Input Transaksi'!$F:$F,$E206))</f>
        <v/>
      </c>
      <c r="E206">
        <f>IFERROR(AGGREGATE(15,6,ROW('Input Transaksi'!$B$5:$B$5000)/('Input Transaksi'!$B$5:$B$5000="LONDRI DEWE ANTASURA"),ROWS($E$5:E206)),"")</f>
        <v/>
      </c>
      <c r="F206" s="5" t="n"/>
    </row>
    <row r="207">
      <c r="A207" s="10">
        <f>IF($E207="","",INDEX('Input Transaksi'!$A:$A,$E207))</f>
        <v/>
      </c>
      <c r="B207" s="5">
        <f>IF($E207="","",INDEX('Input Transaksi'!$D:$D,$E207))</f>
        <v/>
      </c>
      <c r="C207">
        <f>IF($E207="","",INDEX('Input Transaksi'!$E:$E,$E207))</f>
        <v/>
      </c>
      <c r="D207" s="5">
        <f>IF($E207="","",INDEX('Input Transaksi'!$F:$F,$E207))</f>
        <v/>
      </c>
      <c r="E207">
        <f>IFERROR(AGGREGATE(15,6,ROW('Input Transaksi'!$B$5:$B$5000)/('Input Transaksi'!$B$5:$B$5000="LONDRI DEWE ANTASURA"),ROWS($E$5:E207)),"")</f>
        <v/>
      </c>
      <c r="F207" s="5" t="n"/>
    </row>
    <row r="208">
      <c r="A208" s="10">
        <f>IF($E208="","",INDEX('Input Transaksi'!$A:$A,$E208))</f>
        <v/>
      </c>
      <c r="B208" s="5">
        <f>IF($E208="","",INDEX('Input Transaksi'!$D:$D,$E208))</f>
        <v/>
      </c>
      <c r="C208">
        <f>IF($E208="","",INDEX('Input Transaksi'!$E:$E,$E208))</f>
        <v/>
      </c>
      <c r="D208" s="5">
        <f>IF($E208="","",INDEX('Input Transaksi'!$F:$F,$E208))</f>
        <v/>
      </c>
      <c r="E208">
        <f>IFERROR(AGGREGATE(15,6,ROW('Input Transaksi'!$B$5:$B$5000)/('Input Transaksi'!$B$5:$B$5000="LONDRI DEWE ANTASURA"),ROWS($E$5:E208)),"")</f>
        <v/>
      </c>
      <c r="F208" s="5" t="n"/>
    </row>
    <row r="209">
      <c r="A209" s="10">
        <f>IF($E209="","",INDEX('Input Transaksi'!$A:$A,$E209))</f>
        <v/>
      </c>
      <c r="B209" s="5">
        <f>IF($E209="","",INDEX('Input Transaksi'!$D:$D,$E209))</f>
        <v/>
      </c>
      <c r="C209">
        <f>IF($E209="","",INDEX('Input Transaksi'!$E:$E,$E209))</f>
        <v/>
      </c>
      <c r="D209" s="5">
        <f>IF($E209="","",INDEX('Input Transaksi'!$F:$F,$E209))</f>
        <v/>
      </c>
      <c r="E209">
        <f>IFERROR(AGGREGATE(15,6,ROW('Input Transaksi'!$B$5:$B$5000)/('Input Transaksi'!$B$5:$B$5000="LONDRI DEWE ANTASURA"),ROWS($E$5:E209)),"")</f>
        <v/>
      </c>
      <c r="F209" s="5" t="n"/>
    </row>
    <row r="210">
      <c r="A210" s="10">
        <f>IF($E210="","",INDEX('Input Transaksi'!$A:$A,$E210))</f>
        <v/>
      </c>
      <c r="B210" s="5">
        <f>IF($E210="","",INDEX('Input Transaksi'!$D:$D,$E210))</f>
        <v/>
      </c>
      <c r="C210">
        <f>IF($E210="","",INDEX('Input Transaksi'!$E:$E,$E210))</f>
        <v/>
      </c>
      <c r="D210" s="5">
        <f>IF($E210="","",INDEX('Input Transaksi'!$F:$F,$E210))</f>
        <v/>
      </c>
      <c r="E210">
        <f>IFERROR(AGGREGATE(15,6,ROW('Input Transaksi'!$B$5:$B$5000)/('Input Transaksi'!$B$5:$B$5000="LONDRI DEWE ANTASURA"),ROWS($E$5:E210)),"")</f>
        <v/>
      </c>
      <c r="F210" s="5" t="n"/>
    </row>
    <row r="211">
      <c r="A211" s="10">
        <f>IF($E211="","",INDEX('Input Transaksi'!$A:$A,$E211))</f>
        <v/>
      </c>
      <c r="B211" s="5">
        <f>IF($E211="","",INDEX('Input Transaksi'!$D:$D,$E211))</f>
        <v/>
      </c>
      <c r="C211">
        <f>IF($E211="","",INDEX('Input Transaksi'!$E:$E,$E211))</f>
        <v/>
      </c>
      <c r="D211" s="5">
        <f>IF($E211="","",INDEX('Input Transaksi'!$F:$F,$E211))</f>
        <v/>
      </c>
      <c r="E211">
        <f>IFERROR(AGGREGATE(15,6,ROW('Input Transaksi'!$B$5:$B$5000)/('Input Transaksi'!$B$5:$B$5000="LONDRI DEWE ANTASURA"),ROWS($E$5:E211)),"")</f>
        <v/>
      </c>
      <c r="F211" s="5" t="n"/>
    </row>
    <row r="212">
      <c r="A212" s="10">
        <f>IF($E212="","",INDEX('Input Transaksi'!$A:$A,$E212))</f>
        <v/>
      </c>
      <c r="B212" s="5">
        <f>IF($E212="","",INDEX('Input Transaksi'!$D:$D,$E212))</f>
        <v/>
      </c>
      <c r="C212">
        <f>IF($E212="","",INDEX('Input Transaksi'!$E:$E,$E212))</f>
        <v/>
      </c>
      <c r="D212" s="5">
        <f>IF($E212="","",INDEX('Input Transaksi'!$F:$F,$E212))</f>
        <v/>
      </c>
      <c r="E212">
        <f>IFERROR(AGGREGATE(15,6,ROW('Input Transaksi'!$B$5:$B$5000)/('Input Transaksi'!$B$5:$B$5000="LONDRI DEWE ANTASURA"),ROWS($E$5:E212)),"")</f>
        <v/>
      </c>
      <c r="F212" s="5" t="n"/>
    </row>
    <row r="213">
      <c r="A213" s="10">
        <f>IF($E213="","",INDEX('Input Transaksi'!$A:$A,$E213))</f>
        <v/>
      </c>
      <c r="B213" s="5">
        <f>IF($E213="","",INDEX('Input Transaksi'!$D:$D,$E213))</f>
        <v/>
      </c>
      <c r="C213">
        <f>IF($E213="","",INDEX('Input Transaksi'!$E:$E,$E213))</f>
        <v/>
      </c>
      <c r="D213" s="5">
        <f>IF($E213="","",INDEX('Input Transaksi'!$F:$F,$E213))</f>
        <v/>
      </c>
      <c r="E213">
        <f>IFERROR(AGGREGATE(15,6,ROW('Input Transaksi'!$B$5:$B$5000)/('Input Transaksi'!$B$5:$B$5000="LONDRI DEWE ANTASURA"),ROWS($E$5:E213)),"")</f>
        <v/>
      </c>
      <c r="F213" s="5" t="n"/>
    </row>
    <row r="214">
      <c r="A214" s="10">
        <f>IF($E214="","",INDEX('Input Transaksi'!$A:$A,$E214))</f>
        <v/>
      </c>
      <c r="B214" s="5">
        <f>IF($E214="","",INDEX('Input Transaksi'!$D:$D,$E214))</f>
        <v/>
      </c>
      <c r="C214">
        <f>IF($E214="","",INDEX('Input Transaksi'!$E:$E,$E214))</f>
        <v/>
      </c>
      <c r="D214" s="5">
        <f>IF($E214="","",INDEX('Input Transaksi'!$F:$F,$E214))</f>
        <v/>
      </c>
      <c r="E214">
        <f>IFERROR(AGGREGATE(15,6,ROW('Input Transaksi'!$B$5:$B$5000)/('Input Transaksi'!$B$5:$B$5000="LONDRI DEWE ANTASURA"),ROWS($E$5:E214)),"")</f>
        <v/>
      </c>
      <c r="F214" s="5" t="n"/>
    </row>
    <row r="215">
      <c r="A215" s="10">
        <f>IF($E215="","",INDEX('Input Transaksi'!$A:$A,$E215))</f>
        <v/>
      </c>
      <c r="B215" s="5">
        <f>IF($E215="","",INDEX('Input Transaksi'!$D:$D,$E215))</f>
        <v/>
      </c>
      <c r="C215">
        <f>IF($E215="","",INDEX('Input Transaksi'!$E:$E,$E215))</f>
        <v/>
      </c>
      <c r="D215" s="5">
        <f>IF($E215="","",INDEX('Input Transaksi'!$F:$F,$E215))</f>
        <v/>
      </c>
      <c r="E215">
        <f>IFERROR(AGGREGATE(15,6,ROW('Input Transaksi'!$B$5:$B$5000)/('Input Transaksi'!$B$5:$B$5000="LONDRI DEWE ANTASURA"),ROWS($E$5:E215)),"")</f>
        <v/>
      </c>
      <c r="F215" s="5" t="n"/>
    </row>
    <row r="216">
      <c r="A216" s="10">
        <f>IF($E216="","",INDEX('Input Transaksi'!$A:$A,$E216))</f>
        <v/>
      </c>
      <c r="B216" s="5">
        <f>IF($E216="","",INDEX('Input Transaksi'!$D:$D,$E216))</f>
        <v/>
      </c>
      <c r="C216">
        <f>IF($E216="","",INDEX('Input Transaksi'!$E:$E,$E216))</f>
        <v/>
      </c>
      <c r="D216" s="5">
        <f>IF($E216="","",INDEX('Input Transaksi'!$F:$F,$E216))</f>
        <v/>
      </c>
      <c r="E216">
        <f>IFERROR(AGGREGATE(15,6,ROW('Input Transaksi'!$B$5:$B$5000)/('Input Transaksi'!$B$5:$B$5000="LONDRI DEWE ANTASURA"),ROWS($E$5:E216)),"")</f>
        <v/>
      </c>
      <c r="F216" s="5" t="n"/>
    </row>
    <row r="217">
      <c r="A217" s="10">
        <f>IF($E217="","",INDEX('Input Transaksi'!$A:$A,$E217))</f>
        <v/>
      </c>
      <c r="B217" s="5">
        <f>IF($E217="","",INDEX('Input Transaksi'!$D:$D,$E217))</f>
        <v/>
      </c>
      <c r="C217">
        <f>IF($E217="","",INDEX('Input Transaksi'!$E:$E,$E217))</f>
        <v/>
      </c>
      <c r="D217" s="5">
        <f>IF($E217="","",INDEX('Input Transaksi'!$F:$F,$E217))</f>
        <v/>
      </c>
      <c r="E217">
        <f>IFERROR(AGGREGATE(15,6,ROW('Input Transaksi'!$B$5:$B$5000)/('Input Transaksi'!$B$5:$B$5000="LONDRI DEWE ANTASURA"),ROWS($E$5:E217)),"")</f>
        <v/>
      </c>
      <c r="F217" s="5" t="n"/>
    </row>
    <row r="218">
      <c r="A218" s="10">
        <f>IF($E218="","",INDEX('Input Transaksi'!$A:$A,$E218))</f>
        <v/>
      </c>
      <c r="B218" s="5">
        <f>IF($E218="","",INDEX('Input Transaksi'!$D:$D,$E218))</f>
        <v/>
      </c>
      <c r="C218">
        <f>IF($E218="","",INDEX('Input Transaksi'!$E:$E,$E218))</f>
        <v/>
      </c>
      <c r="D218" s="5">
        <f>IF($E218="","",INDEX('Input Transaksi'!$F:$F,$E218))</f>
        <v/>
      </c>
      <c r="E218">
        <f>IFERROR(AGGREGATE(15,6,ROW('Input Transaksi'!$B$5:$B$5000)/('Input Transaksi'!$B$5:$B$5000="LONDRI DEWE ANTASURA"),ROWS($E$5:E218)),"")</f>
        <v/>
      </c>
      <c r="F218" s="5" t="n"/>
    </row>
    <row r="219">
      <c r="A219" s="10">
        <f>IF($E219="","",INDEX('Input Transaksi'!$A:$A,$E219))</f>
        <v/>
      </c>
      <c r="B219" s="5">
        <f>IF($E219="","",INDEX('Input Transaksi'!$D:$D,$E219))</f>
        <v/>
      </c>
      <c r="C219">
        <f>IF($E219="","",INDEX('Input Transaksi'!$E:$E,$E219))</f>
        <v/>
      </c>
      <c r="D219" s="5">
        <f>IF($E219="","",INDEX('Input Transaksi'!$F:$F,$E219))</f>
        <v/>
      </c>
      <c r="E219">
        <f>IFERROR(AGGREGATE(15,6,ROW('Input Transaksi'!$B$5:$B$5000)/('Input Transaksi'!$B$5:$B$5000="LONDRI DEWE ANTASURA"),ROWS($E$5:E219)),"")</f>
        <v/>
      </c>
      <c r="F219" s="5" t="n"/>
    </row>
    <row r="220">
      <c r="A220" s="10">
        <f>IF($E220="","",INDEX('Input Transaksi'!$A:$A,$E220))</f>
        <v/>
      </c>
      <c r="B220" s="5">
        <f>IF($E220="","",INDEX('Input Transaksi'!$D:$D,$E220))</f>
        <v/>
      </c>
      <c r="C220">
        <f>IF($E220="","",INDEX('Input Transaksi'!$E:$E,$E220))</f>
        <v/>
      </c>
      <c r="D220" s="5">
        <f>IF($E220="","",INDEX('Input Transaksi'!$F:$F,$E220))</f>
        <v/>
      </c>
      <c r="E220">
        <f>IFERROR(AGGREGATE(15,6,ROW('Input Transaksi'!$B$5:$B$5000)/('Input Transaksi'!$B$5:$B$5000="LONDRI DEWE ANTASURA"),ROWS($E$5:E220)),"")</f>
        <v/>
      </c>
      <c r="F220" s="5" t="n"/>
    </row>
    <row r="221">
      <c r="A221" s="10">
        <f>IF($E221="","",INDEX('Input Transaksi'!$A:$A,$E221))</f>
        <v/>
      </c>
      <c r="B221" s="5">
        <f>IF($E221="","",INDEX('Input Transaksi'!$D:$D,$E221))</f>
        <v/>
      </c>
      <c r="C221">
        <f>IF($E221="","",INDEX('Input Transaksi'!$E:$E,$E221))</f>
        <v/>
      </c>
      <c r="D221" s="5">
        <f>IF($E221="","",INDEX('Input Transaksi'!$F:$F,$E221))</f>
        <v/>
      </c>
      <c r="E221">
        <f>IFERROR(AGGREGATE(15,6,ROW('Input Transaksi'!$B$5:$B$5000)/('Input Transaksi'!$B$5:$B$5000="LONDRI DEWE ANTASURA"),ROWS($E$5:E221)),"")</f>
        <v/>
      </c>
      <c r="F221" s="5" t="n"/>
    </row>
    <row r="222">
      <c r="A222" s="10">
        <f>IF($E222="","",INDEX('Input Transaksi'!$A:$A,$E222))</f>
        <v/>
      </c>
      <c r="B222" s="5">
        <f>IF($E222="","",INDEX('Input Transaksi'!$D:$D,$E222))</f>
        <v/>
      </c>
      <c r="C222">
        <f>IF($E222="","",INDEX('Input Transaksi'!$E:$E,$E222))</f>
        <v/>
      </c>
      <c r="D222" s="5">
        <f>IF($E222="","",INDEX('Input Transaksi'!$F:$F,$E222))</f>
        <v/>
      </c>
      <c r="E222">
        <f>IFERROR(AGGREGATE(15,6,ROW('Input Transaksi'!$B$5:$B$5000)/('Input Transaksi'!$B$5:$B$5000="LONDRI DEWE ANTASURA"),ROWS($E$5:E222)),"")</f>
        <v/>
      </c>
      <c r="F222" s="5" t="n"/>
    </row>
    <row r="223">
      <c r="A223" s="10">
        <f>IF($E223="","",INDEX('Input Transaksi'!$A:$A,$E223))</f>
        <v/>
      </c>
      <c r="B223" s="5">
        <f>IF($E223="","",INDEX('Input Transaksi'!$D:$D,$E223))</f>
        <v/>
      </c>
      <c r="C223">
        <f>IF($E223="","",INDEX('Input Transaksi'!$E:$E,$E223))</f>
        <v/>
      </c>
      <c r="D223" s="5">
        <f>IF($E223="","",INDEX('Input Transaksi'!$F:$F,$E223))</f>
        <v/>
      </c>
      <c r="E223">
        <f>IFERROR(AGGREGATE(15,6,ROW('Input Transaksi'!$B$5:$B$5000)/('Input Transaksi'!$B$5:$B$5000="LONDRI DEWE ANTASURA"),ROWS($E$5:E223)),"")</f>
        <v/>
      </c>
      <c r="F223" s="5" t="n"/>
    </row>
    <row r="224">
      <c r="A224" s="10">
        <f>IF($E224="","",INDEX('Input Transaksi'!$A:$A,$E224))</f>
        <v/>
      </c>
      <c r="B224" s="5">
        <f>IF($E224="","",INDEX('Input Transaksi'!$D:$D,$E224))</f>
        <v/>
      </c>
      <c r="C224">
        <f>IF($E224="","",INDEX('Input Transaksi'!$E:$E,$E224))</f>
        <v/>
      </c>
      <c r="D224" s="5">
        <f>IF($E224="","",INDEX('Input Transaksi'!$F:$F,$E224))</f>
        <v/>
      </c>
      <c r="E224">
        <f>IFERROR(AGGREGATE(15,6,ROW('Input Transaksi'!$B$5:$B$5000)/('Input Transaksi'!$B$5:$B$5000="LONDRI DEWE ANTASURA"),ROWS($E$5:E224)),"")</f>
        <v/>
      </c>
      <c r="F224" s="5" t="n"/>
    </row>
    <row r="225">
      <c r="A225" s="10">
        <f>IF($E225="","",INDEX('Input Transaksi'!$A:$A,$E225))</f>
        <v/>
      </c>
      <c r="B225" s="5">
        <f>IF($E225="","",INDEX('Input Transaksi'!$D:$D,$E225))</f>
        <v/>
      </c>
      <c r="C225">
        <f>IF($E225="","",INDEX('Input Transaksi'!$E:$E,$E225))</f>
        <v/>
      </c>
      <c r="D225" s="5">
        <f>IF($E225="","",INDEX('Input Transaksi'!$F:$F,$E225))</f>
        <v/>
      </c>
      <c r="E225">
        <f>IFERROR(AGGREGATE(15,6,ROW('Input Transaksi'!$B$5:$B$5000)/('Input Transaksi'!$B$5:$B$5000="LONDRI DEWE ANTASURA"),ROWS($E$5:E225)),"")</f>
        <v/>
      </c>
      <c r="F225" s="5" t="n"/>
    </row>
    <row r="226">
      <c r="A226" s="10">
        <f>IF($E226="","",INDEX('Input Transaksi'!$A:$A,$E226))</f>
        <v/>
      </c>
      <c r="B226" s="5">
        <f>IF($E226="","",INDEX('Input Transaksi'!$D:$D,$E226))</f>
        <v/>
      </c>
      <c r="C226">
        <f>IF($E226="","",INDEX('Input Transaksi'!$E:$E,$E226))</f>
        <v/>
      </c>
      <c r="D226" s="5">
        <f>IF($E226="","",INDEX('Input Transaksi'!$F:$F,$E226))</f>
        <v/>
      </c>
      <c r="E226">
        <f>IFERROR(AGGREGATE(15,6,ROW('Input Transaksi'!$B$5:$B$5000)/('Input Transaksi'!$B$5:$B$5000="LONDRI DEWE ANTASURA"),ROWS($E$5:E226)),"")</f>
        <v/>
      </c>
      <c r="F226" s="5" t="n"/>
    </row>
    <row r="227">
      <c r="A227" s="10">
        <f>IF($E227="","",INDEX('Input Transaksi'!$A:$A,$E227))</f>
        <v/>
      </c>
      <c r="B227" s="5">
        <f>IF($E227="","",INDEX('Input Transaksi'!$D:$D,$E227))</f>
        <v/>
      </c>
      <c r="C227">
        <f>IF($E227="","",INDEX('Input Transaksi'!$E:$E,$E227))</f>
        <v/>
      </c>
      <c r="D227" s="5">
        <f>IF($E227="","",INDEX('Input Transaksi'!$F:$F,$E227))</f>
        <v/>
      </c>
      <c r="E227">
        <f>IFERROR(AGGREGATE(15,6,ROW('Input Transaksi'!$B$5:$B$5000)/('Input Transaksi'!$B$5:$B$5000="LONDRI DEWE ANTASURA"),ROWS($E$5:E227)),"")</f>
        <v/>
      </c>
      <c r="F227" s="5" t="n"/>
    </row>
    <row r="228">
      <c r="A228" s="10">
        <f>IF($E228="","",INDEX('Input Transaksi'!$A:$A,$E228))</f>
        <v/>
      </c>
      <c r="B228" s="5">
        <f>IF($E228="","",INDEX('Input Transaksi'!$D:$D,$E228))</f>
        <v/>
      </c>
      <c r="C228">
        <f>IF($E228="","",INDEX('Input Transaksi'!$E:$E,$E228))</f>
        <v/>
      </c>
      <c r="D228" s="5">
        <f>IF($E228="","",INDEX('Input Transaksi'!$F:$F,$E228))</f>
        <v/>
      </c>
      <c r="E228">
        <f>IFERROR(AGGREGATE(15,6,ROW('Input Transaksi'!$B$5:$B$5000)/('Input Transaksi'!$B$5:$B$5000="LONDRI DEWE ANTASURA"),ROWS($E$5:E228)),"")</f>
        <v/>
      </c>
      <c r="F228" s="5" t="n"/>
    </row>
    <row r="229">
      <c r="A229" s="10">
        <f>IF($E229="","",INDEX('Input Transaksi'!$A:$A,$E229))</f>
        <v/>
      </c>
      <c r="B229" s="5">
        <f>IF($E229="","",INDEX('Input Transaksi'!$D:$D,$E229))</f>
        <v/>
      </c>
      <c r="C229">
        <f>IF($E229="","",INDEX('Input Transaksi'!$E:$E,$E229))</f>
        <v/>
      </c>
      <c r="D229" s="5">
        <f>IF($E229="","",INDEX('Input Transaksi'!$F:$F,$E229))</f>
        <v/>
      </c>
      <c r="E229">
        <f>IFERROR(AGGREGATE(15,6,ROW('Input Transaksi'!$B$5:$B$5000)/('Input Transaksi'!$B$5:$B$5000="LONDRI DEWE ANTASURA"),ROWS($E$5:E229)),"")</f>
        <v/>
      </c>
      <c r="F229" s="5" t="n"/>
    </row>
    <row r="230">
      <c r="A230" s="10">
        <f>IF($E230="","",INDEX('Input Transaksi'!$A:$A,$E230))</f>
        <v/>
      </c>
      <c r="B230" s="5">
        <f>IF($E230="","",INDEX('Input Transaksi'!$D:$D,$E230))</f>
        <v/>
      </c>
      <c r="C230">
        <f>IF($E230="","",INDEX('Input Transaksi'!$E:$E,$E230))</f>
        <v/>
      </c>
      <c r="D230" s="5">
        <f>IF($E230="","",INDEX('Input Transaksi'!$F:$F,$E230))</f>
        <v/>
      </c>
      <c r="E230">
        <f>IFERROR(AGGREGATE(15,6,ROW('Input Transaksi'!$B$5:$B$5000)/('Input Transaksi'!$B$5:$B$5000="LONDRI DEWE ANTASURA"),ROWS($E$5:E230)),"")</f>
        <v/>
      </c>
      <c r="F230" s="5" t="n"/>
    </row>
    <row r="231">
      <c r="A231" s="10">
        <f>IF($E231="","",INDEX('Input Transaksi'!$A:$A,$E231))</f>
        <v/>
      </c>
      <c r="B231" s="5">
        <f>IF($E231="","",INDEX('Input Transaksi'!$D:$D,$E231))</f>
        <v/>
      </c>
      <c r="C231">
        <f>IF($E231="","",INDEX('Input Transaksi'!$E:$E,$E231))</f>
        <v/>
      </c>
      <c r="D231" s="5">
        <f>IF($E231="","",INDEX('Input Transaksi'!$F:$F,$E231))</f>
        <v/>
      </c>
      <c r="E231">
        <f>IFERROR(AGGREGATE(15,6,ROW('Input Transaksi'!$B$5:$B$5000)/('Input Transaksi'!$B$5:$B$5000="LONDRI DEWE ANTASURA"),ROWS($E$5:E231)),"")</f>
        <v/>
      </c>
      <c r="F231" s="5" t="n"/>
    </row>
    <row r="232">
      <c r="A232" s="10">
        <f>IF($E232="","",INDEX('Input Transaksi'!$A:$A,$E232))</f>
        <v/>
      </c>
      <c r="B232" s="5">
        <f>IF($E232="","",INDEX('Input Transaksi'!$D:$D,$E232))</f>
        <v/>
      </c>
      <c r="C232">
        <f>IF($E232="","",INDEX('Input Transaksi'!$E:$E,$E232))</f>
        <v/>
      </c>
      <c r="D232" s="5">
        <f>IF($E232="","",INDEX('Input Transaksi'!$F:$F,$E232))</f>
        <v/>
      </c>
      <c r="E232">
        <f>IFERROR(AGGREGATE(15,6,ROW('Input Transaksi'!$B$5:$B$5000)/('Input Transaksi'!$B$5:$B$5000="LONDRI DEWE ANTASURA"),ROWS($E$5:E232)),"")</f>
        <v/>
      </c>
      <c r="F232" s="5" t="n"/>
    </row>
    <row r="233">
      <c r="A233" s="10">
        <f>IF($E233="","",INDEX('Input Transaksi'!$A:$A,$E233))</f>
        <v/>
      </c>
      <c r="B233" s="5">
        <f>IF($E233="","",INDEX('Input Transaksi'!$D:$D,$E233))</f>
        <v/>
      </c>
      <c r="C233">
        <f>IF($E233="","",INDEX('Input Transaksi'!$E:$E,$E233))</f>
        <v/>
      </c>
      <c r="D233" s="5">
        <f>IF($E233="","",INDEX('Input Transaksi'!$F:$F,$E233))</f>
        <v/>
      </c>
      <c r="E233">
        <f>IFERROR(AGGREGATE(15,6,ROW('Input Transaksi'!$B$5:$B$5000)/('Input Transaksi'!$B$5:$B$5000="LONDRI DEWE ANTASURA"),ROWS($E$5:E233)),"")</f>
        <v/>
      </c>
      <c r="F233" s="5" t="n"/>
    </row>
    <row r="234">
      <c r="A234" s="10">
        <f>IF($E234="","",INDEX('Input Transaksi'!$A:$A,$E234))</f>
        <v/>
      </c>
      <c r="B234" s="5">
        <f>IF($E234="","",INDEX('Input Transaksi'!$D:$D,$E234))</f>
        <v/>
      </c>
      <c r="C234">
        <f>IF($E234="","",INDEX('Input Transaksi'!$E:$E,$E234))</f>
        <v/>
      </c>
      <c r="D234" s="5">
        <f>IF($E234="","",INDEX('Input Transaksi'!$F:$F,$E234))</f>
        <v/>
      </c>
      <c r="E234">
        <f>IFERROR(AGGREGATE(15,6,ROW('Input Transaksi'!$B$5:$B$5000)/('Input Transaksi'!$B$5:$B$5000="LONDRI DEWE ANTASURA"),ROWS($E$5:E234)),"")</f>
        <v/>
      </c>
      <c r="F234" s="5" t="n"/>
    </row>
    <row r="235">
      <c r="A235" s="10">
        <f>IF($E235="","",INDEX('Input Transaksi'!$A:$A,$E235))</f>
        <v/>
      </c>
      <c r="B235" s="5">
        <f>IF($E235="","",INDEX('Input Transaksi'!$D:$D,$E235))</f>
        <v/>
      </c>
      <c r="C235">
        <f>IF($E235="","",INDEX('Input Transaksi'!$E:$E,$E235))</f>
        <v/>
      </c>
      <c r="D235" s="5">
        <f>IF($E235="","",INDEX('Input Transaksi'!$F:$F,$E235))</f>
        <v/>
      </c>
      <c r="E235">
        <f>IFERROR(AGGREGATE(15,6,ROW('Input Transaksi'!$B$5:$B$5000)/('Input Transaksi'!$B$5:$B$5000="LONDRI DEWE ANTASURA"),ROWS($E$5:E235)),"")</f>
        <v/>
      </c>
      <c r="F235" s="5" t="n"/>
    </row>
    <row r="236">
      <c r="A236" s="10">
        <f>IF($E236="","",INDEX('Input Transaksi'!$A:$A,$E236))</f>
        <v/>
      </c>
      <c r="B236" s="5">
        <f>IF($E236="","",INDEX('Input Transaksi'!$D:$D,$E236))</f>
        <v/>
      </c>
      <c r="C236">
        <f>IF($E236="","",INDEX('Input Transaksi'!$E:$E,$E236))</f>
        <v/>
      </c>
      <c r="D236" s="5">
        <f>IF($E236="","",INDEX('Input Transaksi'!$F:$F,$E236))</f>
        <v/>
      </c>
      <c r="E236">
        <f>IFERROR(AGGREGATE(15,6,ROW('Input Transaksi'!$B$5:$B$5000)/('Input Transaksi'!$B$5:$B$5000="LONDRI DEWE ANTASURA"),ROWS($E$5:E236)),"")</f>
        <v/>
      </c>
      <c r="F236" s="5" t="n"/>
    </row>
    <row r="237">
      <c r="A237" s="10">
        <f>IF($E237="","",INDEX('Input Transaksi'!$A:$A,$E237))</f>
        <v/>
      </c>
      <c r="B237" s="5">
        <f>IF($E237="","",INDEX('Input Transaksi'!$D:$D,$E237))</f>
        <v/>
      </c>
      <c r="C237">
        <f>IF($E237="","",INDEX('Input Transaksi'!$E:$E,$E237))</f>
        <v/>
      </c>
      <c r="D237" s="5">
        <f>IF($E237="","",INDEX('Input Transaksi'!$F:$F,$E237))</f>
        <v/>
      </c>
      <c r="E237">
        <f>IFERROR(AGGREGATE(15,6,ROW('Input Transaksi'!$B$5:$B$5000)/('Input Transaksi'!$B$5:$B$5000="LONDRI DEWE ANTASURA"),ROWS($E$5:E237)),"")</f>
        <v/>
      </c>
      <c r="F237" s="5" t="n"/>
    </row>
    <row r="238">
      <c r="A238" s="10">
        <f>IF($E238="","",INDEX('Input Transaksi'!$A:$A,$E238))</f>
        <v/>
      </c>
      <c r="B238" s="5">
        <f>IF($E238="","",INDEX('Input Transaksi'!$D:$D,$E238))</f>
        <v/>
      </c>
      <c r="C238">
        <f>IF($E238="","",INDEX('Input Transaksi'!$E:$E,$E238))</f>
        <v/>
      </c>
      <c r="D238" s="5">
        <f>IF($E238="","",INDEX('Input Transaksi'!$F:$F,$E238))</f>
        <v/>
      </c>
      <c r="E238">
        <f>IFERROR(AGGREGATE(15,6,ROW('Input Transaksi'!$B$5:$B$5000)/('Input Transaksi'!$B$5:$B$5000="LONDRI DEWE ANTASURA"),ROWS($E$5:E238)),"")</f>
        <v/>
      </c>
      <c r="F238" s="5" t="n"/>
    </row>
    <row r="239">
      <c r="A239" s="10">
        <f>IF($E239="","",INDEX('Input Transaksi'!$A:$A,$E239))</f>
        <v/>
      </c>
      <c r="B239" s="5">
        <f>IF($E239="","",INDEX('Input Transaksi'!$D:$D,$E239))</f>
        <v/>
      </c>
      <c r="C239">
        <f>IF($E239="","",INDEX('Input Transaksi'!$E:$E,$E239))</f>
        <v/>
      </c>
      <c r="D239" s="5">
        <f>IF($E239="","",INDEX('Input Transaksi'!$F:$F,$E239))</f>
        <v/>
      </c>
      <c r="E239">
        <f>IFERROR(AGGREGATE(15,6,ROW('Input Transaksi'!$B$5:$B$5000)/('Input Transaksi'!$B$5:$B$5000="LONDRI DEWE ANTASURA"),ROWS($E$5:E239)),"")</f>
        <v/>
      </c>
      <c r="F239" s="5" t="n"/>
    </row>
    <row r="240">
      <c r="A240" s="10">
        <f>IF($E240="","",INDEX('Input Transaksi'!$A:$A,$E240))</f>
        <v/>
      </c>
      <c r="B240" s="5">
        <f>IF($E240="","",INDEX('Input Transaksi'!$D:$D,$E240))</f>
        <v/>
      </c>
      <c r="C240">
        <f>IF($E240="","",INDEX('Input Transaksi'!$E:$E,$E240))</f>
        <v/>
      </c>
      <c r="D240" s="5">
        <f>IF($E240="","",INDEX('Input Transaksi'!$F:$F,$E240))</f>
        <v/>
      </c>
      <c r="E240">
        <f>IFERROR(AGGREGATE(15,6,ROW('Input Transaksi'!$B$5:$B$5000)/('Input Transaksi'!$B$5:$B$5000="LONDRI DEWE ANTASURA"),ROWS($E$5:E240)),"")</f>
        <v/>
      </c>
      <c r="F240" s="5" t="n"/>
    </row>
    <row r="241">
      <c r="A241" s="10">
        <f>IF($E241="","",INDEX('Input Transaksi'!$A:$A,$E241))</f>
        <v/>
      </c>
      <c r="B241" s="5">
        <f>IF($E241="","",INDEX('Input Transaksi'!$D:$D,$E241))</f>
        <v/>
      </c>
      <c r="C241">
        <f>IF($E241="","",INDEX('Input Transaksi'!$E:$E,$E241))</f>
        <v/>
      </c>
      <c r="D241" s="5">
        <f>IF($E241="","",INDEX('Input Transaksi'!$F:$F,$E241))</f>
        <v/>
      </c>
      <c r="E241">
        <f>IFERROR(AGGREGATE(15,6,ROW('Input Transaksi'!$B$5:$B$5000)/('Input Transaksi'!$B$5:$B$5000="LONDRI DEWE ANTASURA"),ROWS($E$5:E241)),"")</f>
        <v/>
      </c>
      <c r="F241" s="5" t="n"/>
    </row>
    <row r="242">
      <c r="A242" s="10">
        <f>IF($E242="","",INDEX('Input Transaksi'!$A:$A,$E242))</f>
        <v/>
      </c>
      <c r="B242" s="5">
        <f>IF($E242="","",INDEX('Input Transaksi'!$D:$D,$E242))</f>
        <v/>
      </c>
      <c r="C242">
        <f>IF($E242="","",INDEX('Input Transaksi'!$E:$E,$E242))</f>
        <v/>
      </c>
      <c r="D242" s="5">
        <f>IF($E242="","",INDEX('Input Transaksi'!$F:$F,$E242))</f>
        <v/>
      </c>
      <c r="E242">
        <f>IFERROR(AGGREGATE(15,6,ROW('Input Transaksi'!$B$5:$B$5000)/('Input Transaksi'!$B$5:$B$5000="LONDRI DEWE ANTASURA"),ROWS($E$5:E242)),"")</f>
        <v/>
      </c>
      <c r="F242" s="5" t="n"/>
    </row>
    <row r="243">
      <c r="A243" s="10">
        <f>IF($E243="","",INDEX('Input Transaksi'!$A:$A,$E243))</f>
        <v/>
      </c>
      <c r="B243" s="5">
        <f>IF($E243="","",INDEX('Input Transaksi'!$D:$D,$E243))</f>
        <v/>
      </c>
      <c r="C243">
        <f>IF($E243="","",INDEX('Input Transaksi'!$E:$E,$E243))</f>
        <v/>
      </c>
      <c r="D243" s="5">
        <f>IF($E243="","",INDEX('Input Transaksi'!$F:$F,$E243))</f>
        <v/>
      </c>
      <c r="E243">
        <f>IFERROR(AGGREGATE(15,6,ROW('Input Transaksi'!$B$5:$B$5000)/('Input Transaksi'!$B$5:$B$5000="LONDRI DEWE ANTASURA"),ROWS($E$5:E243)),"")</f>
        <v/>
      </c>
      <c r="F243" s="5" t="n"/>
    </row>
    <row r="244">
      <c r="A244" s="10">
        <f>IF($E244="","",INDEX('Input Transaksi'!$A:$A,$E244))</f>
        <v/>
      </c>
      <c r="B244" s="5">
        <f>IF($E244="","",INDEX('Input Transaksi'!$D:$D,$E244))</f>
        <v/>
      </c>
      <c r="C244">
        <f>IF($E244="","",INDEX('Input Transaksi'!$E:$E,$E244))</f>
        <v/>
      </c>
      <c r="D244" s="5">
        <f>IF($E244="","",INDEX('Input Transaksi'!$F:$F,$E244))</f>
        <v/>
      </c>
      <c r="E244">
        <f>IFERROR(AGGREGATE(15,6,ROW('Input Transaksi'!$B$5:$B$5000)/('Input Transaksi'!$B$5:$B$5000="LONDRI DEWE ANTASURA"),ROWS($E$5:E244)),"")</f>
        <v/>
      </c>
      <c r="F244" s="5" t="n"/>
    </row>
    <row r="245">
      <c r="A245" s="10">
        <f>IF($E245="","",INDEX('Input Transaksi'!$A:$A,$E245))</f>
        <v/>
      </c>
      <c r="B245" s="5">
        <f>IF($E245="","",INDEX('Input Transaksi'!$D:$D,$E245))</f>
        <v/>
      </c>
      <c r="C245">
        <f>IF($E245="","",INDEX('Input Transaksi'!$E:$E,$E245))</f>
        <v/>
      </c>
      <c r="D245" s="5">
        <f>IF($E245="","",INDEX('Input Transaksi'!$F:$F,$E245))</f>
        <v/>
      </c>
      <c r="E245">
        <f>IFERROR(AGGREGATE(15,6,ROW('Input Transaksi'!$B$5:$B$5000)/('Input Transaksi'!$B$5:$B$5000="LONDRI DEWE ANTASURA"),ROWS($E$5:E245)),"")</f>
        <v/>
      </c>
      <c r="F245" s="5" t="n"/>
    </row>
    <row r="246">
      <c r="A246" s="10">
        <f>IF($E246="","",INDEX('Input Transaksi'!$A:$A,$E246))</f>
        <v/>
      </c>
      <c r="B246" s="5">
        <f>IF($E246="","",INDEX('Input Transaksi'!$D:$D,$E246))</f>
        <v/>
      </c>
      <c r="C246">
        <f>IF($E246="","",INDEX('Input Transaksi'!$E:$E,$E246))</f>
        <v/>
      </c>
      <c r="D246" s="5">
        <f>IF($E246="","",INDEX('Input Transaksi'!$F:$F,$E246))</f>
        <v/>
      </c>
      <c r="E246">
        <f>IFERROR(AGGREGATE(15,6,ROW('Input Transaksi'!$B$5:$B$5000)/('Input Transaksi'!$B$5:$B$5000="LONDRI DEWE ANTASURA"),ROWS($E$5:E246)),"")</f>
        <v/>
      </c>
      <c r="F246" s="5" t="n"/>
    </row>
    <row r="247">
      <c r="A247" s="10">
        <f>IF($E247="","",INDEX('Input Transaksi'!$A:$A,$E247))</f>
        <v/>
      </c>
      <c r="B247" s="5">
        <f>IF($E247="","",INDEX('Input Transaksi'!$D:$D,$E247))</f>
        <v/>
      </c>
      <c r="C247">
        <f>IF($E247="","",INDEX('Input Transaksi'!$E:$E,$E247))</f>
        <v/>
      </c>
      <c r="D247" s="5">
        <f>IF($E247="","",INDEX('Input Transaksi'!$F:$F,$E247))</f>
        <v/>
      </c>
      <c r="E247">
        <f>IFERROR(AGGREGATE(15,6,ROW('Input Transaksi'!$B$5:$B$5000)/('Input Transaksi'!$B$5:$B$5000="LONDRI DEWE ANTASURA"),ROWS($E$5:E247)),"")</f>
        <v/>
      </c>
      <c r="F247" s="5" t="n"/>
    </row>
    <row r="248">
      <c r="A248" s="10">
        <f>IF($E248="","",INDEX('Input Transaksi'!$A:$A,$E248))</f>
        <v/>
      </c>
      <c r="B248" s="5">
        <f>IF($E248="","",INDEX('Input Transaksi'!$D:$D,$E248))</f>
        <v/>
      </c>
      <c r="C248">
        <f>IF($E248="","",INDEX('Input Transaksi'!$E:$E,$E248))</f>
        <v/>
      </c>
      <c r="D248" s="5">
        <f>IF($E248="","",INDEX('Input Transaksi'!$F:$F,$E248))</f>
        <v/>
      </c>
      <c r="E248">
        <f>IFERROR(AGGREGATE(15,6,ROW('Input Transaksi'!$B$5:$B$5000)/('Input Transaksi'!$B$5:$B$5000="LONDRI DEWE ANTASURA"),ROWS($E$5:E248)),"")</f>
        <v/>
      </c>
      <c r="F248" s="5" t="n"/>
    </row>
    <row r="249">
      <c r="A249" s="10">
        <f>IF($E249="","",INDEX('Input Transaksi'!$A:$A,$E249))</f>
        <v/>
      </c>
      <c r="B249" s="5">
        <f>IF($E249="","",INDEX('Input Transaksi'!$D:$D,$E249))</f>
        <v/>
      </c>
      <c r="C249">
        <f>IF($E249="","",INDEX('Input Transaksi'!$E:$E,$E249))</f>
        <v/>
      </c>
      <c r="D249" s="5">
        <f>IF($E249="","",INDEX('Input Transaksi'!$F:$F,$E249))</f>
        <v/>
      </c>
      <c r="E249">
        <f>IFERROR(AGGREGATE(15,6,ROW('Input Transaksi'!$B$5:$B$5000)/('Input Transaksi'!$B$5:$B$5000="LONDRI DEWE ANTASURA"),ROWS($E$5:E249)),"")</f>
        <v/>
      </c>
      <c r="F249" s="5" t="n"/>
    </row>
    <row r="250">
      <c r="A250" s="10">
        <f>IF($E250="","",INDEX('Input Transaksi'!$A:$A,$E250))</f>
        <v/>
      </c>
      <c r="B250" s="5">
        <f>IF($E250="","",INDEX('Input Transaksi'!$D:$D,$E250))</f>
        <v/>
      </c>
      <c r="C250">
        <f>IF($E250="","",INDEX('Input Transaksi'!$E:$E,$E250))</f>
        <v/>
      </c>
      <c r="D250" s="5">
        <f>IF($E250="","",INDEX('Input Transaksi'!$F:$F,$E250))</f>
        <v/>
      </c>
      <c r="E250">
        <f>IFERROR(AGGREGATE(15,6,ROW('Input Transaksi'!$B$5:$B$5000)/('Input Transaksi'!$B$5:$B$5000="LONDRI DEWE ANTASURA"),ROWS($E$5:E250)),"")</f>
        <v/>
      </c>
      <c r="F250" s="5" t="n"/>
    </row>
    <row r="251">
      <c r="A251" s="10">
        <f>IF($E251="","",INDEX('Input Transaksi'!$A:$A,$E251))</f>
        <v/>
      </c>
      <c r="B251" s="5">
        <f>IF($E251="","",INDEX('Input Transaksi'!$D:$D,$E251))</f>
        <v/>
      </c>
      <c r="C251">
        <f>IF($E251="","",INDEX('Input Transaksi'!$E:$E,$E251))</f>
        <v/>
      </c>
      <c r="D251" s="5">
        <f>IF($E251="","",INDEX('Input Transaksi'!$F:$F,$E251))</f>
        <v/>
      </c>
      <c r="E251">
        <f>IFERROR(AGGREGATE(15,6,ROW('Input Transaksi'!$B$5:$B$5000)/('Input Transaksi'!$B$5:$B$5000="LONDRI DEWE ANTASURA"),ROWS($E$5:E251)),"")</f>
        <v/>
      </c>
      <c r="F251" s="5" t="n"/>
    </row>
    <row r="252">
      <c r="A252" s="10">
        <f>IF($E252="","",INDEX('Input Transaksi'!$A:$A,$E252))</f>
        <v/>
      </c>
      <c r="B252" s="5">
        <f>IF($E252="","",INDEX('Input Transaksi'!$D:$D,$E252))</f>
        <v/>
      </c>
      <c r="C252">
        <f>IF($E252="","",INDEX('Input Transaksi'!$E:$E,$E252))</f>
        <v/>
      </c>
      <c r="D252" s="5">
        <f>IF($E252="","",INDEX('Input Transaksi'!$F:$F,$E252))</f>
        <v/>
      </c>
      <c r="E252">
        <f>IFERROR(AGGREGATE(15,6,ROW('Input Transaksi'!$B$5:$B$5000)/('Input Transaksi'!$B$5:$B$5000="LONDRI DEWE ANTASURA"),ROWS($E$5:E252)),"")</f>
        <v/>
      </c>
      <c r="F252" s="5" t="n"/>
    </row>
    <row r="253">
      <c r="A253" s="10">
        <f>IF($E253="","",INDEX('Input Transaksi'!$A:$A,$E253))</f>
        <v/>
      </c>
      <c r="B253" s="5">
        <f>IF($E253="","",INDEX('Input Transaksi'!$D:$D,$E253))</f>
        <v/>
      </c>
      <c r="C253">
        <f>IF($E253="","",INDEX('Input Transaksi'!$E:$E,$E253))</f>
        <v/>
      </c>
      <c r="D253" s="5">
        <f>IF($E253="","",INDEX('Input Transaksi'!$F:$F,$E253))</f>
        <v/>
      </c>
      <c r="E253">
        <f>IFERROR(AGGREGATE(15,6,ROW('Input Transaksi'!$B$5:$B$5000)/('Input Transaksi'!$B$5:$B$5000="LONDRI DEWE ANTASURA"),ROWS($E$5:E253)),"")</f>
        <v/>
      </c>
      <c r="F253" s="5" t="n"/>
    </row>
    <row r="254">
      <c r="A254" s="10">
        <f>IF($E254="","",INDEX('Input Transaksi'!$A:$A,$E254))</f>
        <v/>
      </c>
      <c r="B254" s="5">
        <f>IF($E254="","",INDEX('Input Transaksi'!$D:$D,$E254))</f>
        <v/>
      </c>
      <c r="C254">
        <f>IF($E254="","",INDEX('Input Transaksi'!$E:$E,$E254))</f>
        <v/>
      </c>
      <c r="D254" s="5">
        <f>IF($E254="","",INDEX('Input Transaksi'!$F:$F,$E254))</f>
        <v/>
      </c>
      <c r="E254">
        <f>IFERROR(AGGREGATE(15,6,ROW('Input Transaksi'!$B$5:$B$5000)/('Input Transaksi'!$B$5:$B$5000="LONDRI DEWE ANTASURA"),ROWS($E$5:E254)),"")</f>
        <v/>
      </c>
      <c r="F254" s="5" t="n"/>
    </row>
    <row r="255">
      <c r="A255" s="10">
        <f>IF($E255="","",INDEX('Input Transaksi'!$A:$A,$E255))</f>
        <v/>
      </c>
      <c r="B255" s="5">
        <f>IF($E255="","",INDEX('Input Transaksi'!$D:$D,$E255))</f>
        <v/>
      </c>
      <c r="C255">
        <f>IF($E255="","",INDEX('Input Transaksi'!$E:$E,$E255))</f>
        <v/>
      </c>
      <c r="D255" s="5">
        <f>IF($E255="","",INDEX('Input Transaksi'!$F:$F,$E255))</f>
        <v/>
      </c>
      <c r="E255">
        <f>IFERROR(AGGREGATE(15,6,ROW('Input Transaksi'!$B$5:$B$5000)/('Input Transaksi'!$B$5:$B$5000="LONDRI DEWE ANTASURA"),ROWS($E$5:E255)),"")</f>
        <v/>
      </c>
      <c r="F255" s="5" t="n"/>
    </row>
    <row r="256">
      <c r="A256" s="10">
        <f>IF($E256="","",INDEX('Input Transaksi'!$A:$A,$E256))</f>
        <v/>
      </c>
      <c r="B256" s="5">
        <f>IF($E256="","",INDEX('Input Transaksi'!$D:$D,$E256))</f>
        <v/>
      </c>
      <c r="C256">
        <f>IF($E256="","",INDEX('Input Transaksi'!$E:$E,$E256))</f>
        <v/>
      </c>
      <c r="D256" s="5">
        <f>IF($E256="","",INDEX('Input Transaksi'!$F:$F,$E256))</f>
        <v/>
      </c>
      <c r="E256">
        <f>IFERROR(AGGREGATE(15,6,ROW('Input Transaksi'!$B$5:$B$5000)/('Input Transaksi'!$B$5:$B$5000="LONDRI DEWE ANTASURA"),ROWS($E$5:E256)),"")</f>
        <v/>
      </c>
      <c r="F256" s="5" t="n"/>
    </row>
    <row r="257">
      <c r="A257" s="10">
        <f>IF($E257="","",INDEX('Input Transaksi'!$A:$A,$E257))</f>
        <v/>
      </c>
      <c r="B257" s="5">
        <f>IF($E257="","",INDEX('Input Transaksi'!$D:$D,$E257))</f>
        <v/>
      </c>
      <c r="C257">
        <f>IF($E257="","",INDEX('Input Transaksi'!$E:$E,$E257))</f>
        <v/>
      </c>
      <c r="D257" s="5">
        <f>IF($E257="","",INDEX('Input Transaksi'!$F:$F,$E257))</f>
        <v/>
      </c>
      <c r="E257">
        <f>IFERROR(AGGREGATE(15,6,ROW('Input Transaksi'!$B$5:$B$5000)/('Input Transaksi'!$B$5:$B$5000="LONDRI DEWE ANTASURA"),ROWS($E$5:E257)),"")</f>
        <v/>
      </c>
      <c r="F257" s="5" t="n"/>
    </row>
    <row r="258">
      <c r="A258" s="10">
        <f>IF($E258="","",INDEX('Input Transaksi'!$A:$A,$E258))</f>
        <v/>
      </c>
      <c r="B258" s="5">
        <f>IF($E258="","",INDEX('Input Transaksi'!$D:$D,$E258))</f>
        <v/>
      </c>
      <c r="C258">
        <f>IF($E258="","",INDEX('Input Transaksi'!$E:$E,$E258))</f>
        <v/>
      </c>
      <c r="D258" s="5">
        <f>IF($E258="","",INDEX('Input Transaksi'!$F:$F,$E258))</f>
        <v/>
      </c>
      <c r="E258">
        <f>IFERROR(AGGREGATE(15,6,ROW('Input Transaksi'!$B$5:$B$5000)/('Input Transaksi'!$B$5:$B$5000="LONDRI DEWE ANTASURA"),ROWS($E$5:E258)),"")</f>
        <v/>
      </c>
      <c r="F258" s="5" t="n"/>
    </row>
    <row r="259">
      <c r="A259" s="10">
        <f>IF($E259="","",INDEX('Input Transaksi'!$A:$A,$E259))</f>
        <v/>
      </c>
      <c r="B259" s="5">
        <f>IF($E259="","",INDEX('Input Transaksi'!$D:$D,$E259))</f>
        <v/>
      </c>
      <c r="C259">
        <f>IF($E259="","",INDEX('Input Transaksi'!$E:$E,$E259))</f>
        <v/>
      </c>
      <c r="D259" s="5">
        <f>IF($E259="","",INDEX('Input Transaksi'!$F:$F,$E259))</f>
        <v/>
      </c>
      <c r="E259">
        <f>IFERROR(AGGREGATE(15,6,ROW('Input Transaksi'!$B$5:$B$5000)/('Input Transaksi'!$B$5:$B$5000="LONDRI DEWE ANTASURA"),ROWS($E$5:E259)),"")</f>
        <v/>
      </c>
      <c r="F259" s="5" t="n"/>
    </row>
    <row r="260">
      <c r="A260" s="10">
        <f>IF($E260="","",INDEX('Input Transaksi'!$A:$A,$E260))</f>
        <v/>
      </c>
      <c r="B260" s="5">
        <f>IF($E260="","",INDEX('Input Transaksi'!$D:$D,$E260))</f>
        <v/>
      </c>
      <c r="C260">
        <f>IF($E260="","",INDEX('Input Transaksi'!$E:$E,$E260))</f>
        <v/>
      </c>
      <c r="D260" s="5">
        <f>IF($E260="","",INDEX('Input Transaksi'!$F:$F,$E260))</f>
        <v/>
      </c>
      <c r="E260">
        <f>IFERROR(AGGREGATE(15,6,ROW('Input Transaksi'!$B$5:$B$5000)/('Input Transaksi'!$B$5:$B$5000="LONDRI DEWE ANTASURA"),ROWS($E$5:E260)),"")</f>
        <v/>
      </c>
      <c r="F260" s="5" t="n"/>
    </row>
    <row r="261">
      <c r="A261" s="10">
        <f>IF($E261="","",INDEX('Input Transaksi'!$A:$A,$E261))</f>
        <v/>
      </c>
      <c r="B261" s="5">
        <f>IF($E261="","",INDEX('Input Transaksi'!$D:$D,$E261))</f>
        <v/>
      </c>
      <c r="C261">
        <f>IF($E261="","",INDEX('Input Transaksi'!$E:$E,$E261))</f>
        <v/>
      </c>
      <c r="D261" s="5">
        <f>IF($E261="","",INDEX('Input Transaksi'!$F:$F,$E261))</f>
        <v/>
      </c>
      <c r="E261">
        <f>IFERROR(AGGREGATE(15,6,ROW('Input Transaksi'!$B$5:$B$5000)/('Input Transaksi'!$B$5:$B$5000="LONDRI DEWE ANTASURA"),ROWS($E$5:E261)),"")</f>
        <v/>
      </c>
      <c r="F261" s="5" t="n"/>
    </row>
    <row r="262">
      <c r="A262" s="10">
        <f>IF($E262="","",INDEX('Input Transaksi'!$A:$A,$E262))</f>
        <v/>
      </c>
      <c r="B262" s="5">
        <f>IF($E262="","",INDEX('Input Transaksi'!$D:$D,$E262))</f>
        <v/>
      </c>
      <c r="C262">
        <f>IF($E262="","",INDEX('Input Transaksi'!$E:$E,$E262))</f>
        <v/>
      </c>
      <c r="D262" s="5">
        <f>IF($E262="","",INDEX('Input Transaksi'!$F:$F,$E262))</f>
        <v/>
      </c>
      <c r="E262">
        <f>IFERROR(AGGREGATE(15,6,ROW('Input Transaksi'!$B$5:$B$5000)/('Input Transaksi'!$B$5:$B$5000="LONDRI DEWE ANTASURA"),ROWS($E$5:E262)),"")</f>
        <v/>
      </c>
      <c r="F262" s="5" t="n"/>
    </row>
    <row r="263">
      <c r="A263" s="10">
        <f>IF($E263="","",INDEX('Input Transaksi'!$A:$A,$E263))</f>
        <v/>
      </c>
      <c r="B263" s="5">
        <f>IF($E263="","",INDEX('Input Transaksi'!$D:$D,$E263))</f>
        <v/>
      </c>
      <c r="C263">
        <f>IF($E263="","",INDEX('Input Transaksi'!$E:$E,$E263))</f>
        <v/>
      </c>
      <c r="D263" s="5">
        <f>IF($E263="","",INDEX('Input Transaksi'!$F:$F,$E263))</f>
        <v/>
      </c>
      <c r="E263">
        <f>IFERROR(AGGREGATE(15,6,ROW('Input Transaksi'!$B$5:$B$5000)/('Input Transaksi'!$B$5:$B$5000="LONDRI DEWE ANTASURA"),ROWS($E$5:E263)),"")</f>
        <v/>
      </c>
      <c r="F263" s="5" t="n"/>
    </row>
    <row r="264">
      <c r="A264" s="10">
        <f>IF($E264="","",INDEX('Input Transaksi'!$A:$A,$E264))</f>
        <v/>
      </c>
      <c r="B264" s="5">
        <f>IF($E264="","",INDEX('Input Transaksi'!$D:$D,$E264))</f>
        <v/>
      </c>
      <c r="C264">
        <f>IF($E264="","",INDEX('Input Transaksi'!$E:$E,$E264))</f>
        <v/>
      </c>
      <c r="D264" s="5">
        <f>IF($E264="","",INDEX('Input Transaksi'!$F:$F,$E264))</f>
        <v/>
      </c>
      <c r="E264">
        <f>IFERROR(AGGREGATE(15,6,ROW('Input Transaksi'!$B$5:$B$5000)/('Input Transaksi'!$B$5:$B$5000="LONDRI DEWE ANTASURA"),ROWS($E$5:E264)),"")</f>
        <v/>
      </c>
      <c r="F264" s="5" t="n"/>
    </row>
    <row r="265">
      <c r="A265" s="10">
        <f>IF($E265="","",INDEX('Input Transaksi'!$A:$A,$E265))</f>
        <v/>
      </c>
      <c r="B265" s="5">
        <f>IF($E265="","",INDEX('Input Transaksi'!$D:$D,$E265))</f>
        <v/>
      </c>
      <c r="C265">
        <f>IF($E265="","",INDEX('Input Transaksi'!$E:$E,$E265))</f>
        <v/>
      </c>
      <c r="D265" s="5">
        <f>IF($E265="","",INDEX('Input Transaksi'!$F:$F,$E265))</f>
        <v/>
      </c>
      <c r="E265">
        <f>IFERROR(AGGREGATE(15,6,ROW('Input Transaksi'!$B$5:$B$5000)/('Input Transaksi'!$B$5:$B$5000="LONDRI DEWE ANTASURA"),ROWS($E$5:E265)),"")</f>
        <v/>
      </c>
      <c r="F265" s="5" t="n"/>
    </row>
    <row r="266">
      <c r="A266" s="10">
        <f>IF($E266="","",INDEX('Input Transaksi'!$A:$A,$E266))</f>
        <v/>
      </c>
      <c r="B266" s="5">
        <f>IF($E266="","",INDEX('Input Transaksi'!$D:$D,$E266))</f>
        <v/>
      </c>
      <c r="C266">
        <f>IF($E266="","",INDEX('Input Transaksi'!$E:$E,$E266))</f>
        <v/>
      </c>
      <c r="D266" s="5">
        <f>IF($E266="","",INDEX('Input Transaksi'!$F:$F,$E266))</f>
        <v/>
      </c>
      <c r="E266">
        <f>IFERROR(AGGREGATE(15,6,ROW('Input Transaksi'!$B$5:$B$5000)/('Input Transaksi'!$B$5:$B$5000="LONDRI DEWE ANTASURA"),ROWS($E$5:E266)),"")</f>
        <v/>
      </c>
      <c r="F266" s="5" t="n"/>
    </row>
    <row r="267">
      <c r="A267" s="10">
        <f>IF($E267="","",INDEX('Input Transaksi'!$A:$A,$E267))</f>
        <v/>
      </c>
      <c r="B267" s="5">
        <f>IF($E267="","",INDEX('Input Transaksi'!$D:$D,$E267))</f>
        <v/>
      </c>
      <c r="C267">
        <f>IF($E267="","",INDEX('Input Transaksi'!$E:$E,$E267))</f>
        <v/>
      </c>
      <c r="D267" s="5">
        <f>IF($E267="","",INDEX('Input Transaksi'!$F:$F,$E267))</f>
        <v/>
      </c>
      <c r="E267">
        <f>IFERROR(AGGREGATE(15,6,ROW('Input Transaksi'!$B$5:$B$5000)/('Input Transaksi'!$B$5:$B$5000="LONDRI DEWE ANTASURA"),ROWS($E$5:E267)),"")</f>
        <v/>
      </c>
      <c r="F267" s="5" t="n"/>
    </row>
    <row r="268">
      <c r="A268" s="10">
        <f>IF($E268="","",INDEX('Input Transaksi'!$A:$A,$E268))</f>
        <v/>
      </c>
      <c r="B268" s="5">
        <f>IF($E268="","",INDEX('Input Transaksi'!$D:$D,$E268))</f>
        <v/>
      </c>
      <c r="C268">
        <f>IF($E268="","",INDEX('Input Transaksi'!$E:$E,$E268))</f>
        <v/>
      </c>
      <c r="D268" s="5">
        <f>IF($E268="","",INDEX('Input Transaksi'!$F:$F,$E268))</f>
        <v/>
      </c>
      <c r="E268">
        <f>IFERROR(AGGREGATE(15,6,ROW('Input Transaksi'!$B$5:$B$5000)/('Input Transaksi'!$B$5:$B$5000="LONDRI DEWE ANTASURA"),ROWS($E$5:E268)),"")</f>
        <v/>
      </c>
      <c r="F268" s="5" t="n"/>
    </row>
    <row r="269">
      <c r="A269" s="10">
        <f>IF($E269="","",INDEX('Input Transaksi'!$A:$A,$E269))</f>
        <v/>
      </c>
      <c r="B269" s="5">
        <f>IF($E269="","",INDEX('Input Transaksi'!$D:$D,$E269))</f>
        <v/>
      </c>
      <c r="C269">
        <f>IF($E269="","",INDEX('Input Transaksi'!$E:$E,$E269))</f>
        <v/>
      </c>
      <c r="D269" s="5">
        <f>IF($E269="","",INDEX('Input Transaksi'!$F:$F,$E269))</f>
        <v/>
      </c>
      <c r="E269">
        <f>IFERROR(AGGREGATE(15,6,ROW('Input Transaksi'!$B$5:$B$5000)/('Input Transaksi'!$B$5:$B$5000="LONDRI DEWE ANTASURA"),ROWS($E$5:E269)),"")</f>
        <v/>
      </c>
      <c r="F269" s="5" t="n"/>
    </row>
    <row r="270">
      <c r="A270" s="10">
        <f>IF($E270="","",INDEX('Input Transaksi'!$A:$A,$E270))</f>
        <v/>
      </c>
      <c r="B270" s="5">
        <f>IF($E270="","",INDEX('Input Transaksi'!$D:$D,$E270))</f>
        <v/>
      </c>
      <c r="C270">
        <f>IF($E270="","",INDEX('Input Transaksi'!$E:$E,$E270))</f>
        <v/>
      </c>
      <c r="D270" s="5">
        <f>IF($E270="","",INDEX('Input Transaksi'!$F:$F,$E270))</f>
        <v/>
      </c>
      <c r="E270">
        <f>IFERROR(AGGREGATE(15,6,ROW('Input Transaksi'!$B$5:$B$5000)/('Input Transaksi'!$B$5:$B$5000="LONDRI DEWE ANTASURA"),ROWS($E$5:E270)),"")</f>
        <v/>
      </c>
      <c r="F270" s="5" t="n"/>
    </row>
    <row r="271">
      <c r="A271" s="10">
        <f>IF($E271="","",INDEX('Input Transaksi'!$A:$A,$E271))</f>
        <v/>
      </c>
      <c r="B271" s="5">
        <f>IF($E271="","",INDEX('Input Transaksi'!$D:$D,$E271))</f>
        <v/>
      </c>
      <c r="C271">
        <f>IF($E271="","",INDEX('Input Transaksi'!$E:$E,$E271))</f>
        <v/>
      </c>
      <c r="D271" s="5">
        <f>IF($E271="","",INDEX('Input Transaksi'!$F:$F,$E271))</f>
        <v/>
      </c>
      <c r="E271">
        <f>IFERROR(AGGREGATE(15,6,ROW('Input Transaksi'!$B$5:$B$5000)/('Input Transaksi'!$B$5:$B$5000="LONDRI DEWE ANTASURA"),ROWS($E$5:E271)),"")</f>
        <v/>
      </c>
      <c r="F271" s="5" t="n"/>
    </row>
    <row r="272">
      <c r="A272" s="10">
        <f>IF($E272="","",INDEX('Input Transaksi'!$A:$A,$E272))</f>
        <v/>
      </c>
      <c r="B272" s="5">
        <f>IF($E272="","",INDEX('Input Transaksi'!$D:$D,$E272))</f>
        <v/>
      </c>
      <c r="C272">
        <f>IF($E272="","",INDEX('Input Transaksi'!$E:$E,$E272))</f>
        <v/>
      </c>
      <c r="D272" s="5">
        <f>IF($E272="","",INDEX('Input Transaksi'!$F:$F,$E272))</f>
        <v/>
      </c>
      <c r="E272">
        <f>IFERROR(AGGREGATE(15,6,ROW('Input Transaksi'!$B$5:$B$5000)/('Input Transaksi'!$B$5:$B$5000="LONDRI DEWE ANTASURA"),ROWS($E$5:E272)),"")</f>
        <v/>
      </c>
      <c r="F272" s="5" t="n"/>
    </row>
    <row r="273">
      <c r="A273" s="10">
        <f>IF($E273="","",INDEX('Input Transaksi'!$A:$A,$E273))</f>
        <v/>
      </c>
      <c r="B273" s="5">
        <f>IF($E273="","",INDEX('Input Transaksi'!$D:$D,$E273))</f>
        <v/>
      </c>
      <c r="C273">
        <f>IF($E273="","",INDEX('Input Transaksi'!$E:$E,$E273))</f>
        <v/>
      </c>
      <c r="D273" s="5">
        <f>IF($E273="","",INDEX('Input Transaksi'!$F:$F,$E273))</f>
        <v/>
      </c>
      <c r="E273">
        <f>IFERROR(AGGREGATE(15,6,ROW('Input Transaksi'!$B$5:$B$5000)/('Input Transaksi'!$B$5:$B$5000="LONDRI DEWE ANTASURA"),ROWS($E$5:E273)),"")</f>
        <v/>
      </c>
      <c r="F273" s="5" t="n"/>
    </row>
    <row r="274">
      <c r="A274" s="10">
        <f>IF($E274="","",INDEX('Input Transaksi'!$A:$A,$E274))</f>
        <v/>
      </c>
      <c r="B274" s="5">
        <f>IF($E274="","",INDEX('Input Transaksi'!$D:$D,$E274))</f>
        <v/>
      </c>
      <c r="C274">
        <f>IF($E274="","",INDEX('Input Transaksi'!$E:$E,$E274))</f>
        <v/>
      </c>
      <c r="D274" s="5">
        <f>IF($E274="","",INDEX('Input Transaksi'!$F:$F,$E274))</f>
        <v/>
      </c>
      <c r="E274">
        <f>IFERROR(AGGREGATE(15,6,ROW('Input Transaksi'!$B$5:$B$5000)/('Input Transaksi'!$B$5:$B$5000="LONDRI DEWE ANTASURA"),ROWS($E$5:E274)),"")</f>
        <v/>
      </c>
      <c r="F274" s="5" t="n"/>
    </row>
    <row r="275">
      <c r="A275" s="10">
        <f>IF($E275="","",INDEX('Input Transaksi'!$A:$A,$E275))</f>
        <v/>
      </c>
      <c r="B275" s="5">
        <f>IF($E275="","",INDEX('Input Transaksi'!$D:$D,$E275))</f>
        <v/>
      </c>
      <c r="C275">
        <f>IF($E275="","",INDEX('Input Transaksi'!$E:$E,$E275))</f>
        <v/>
      </c>
      <c r="D275" s="5">
        <f>IF($E275="","",INDEX('Input Transaksi'!$F:$F,$E275))</f>
        <v/>
      </c>
      <c r="E275">
        <f>IFERROR(AGGREGATE(15,6,ROW('Input Transaksi'!$B$5:$B$5000)/('Input Transaksi'!$B$5:$B$5000="LONDRI DEWE ANTASURA"),ROWS($E$5:E275)),"")</f>
        <v/>
      </c>
      <c r="F275" s="5" t="n"/>
    </row>
    <row r="276">
      <c r="A276" s="10">
        <f>IF($E276="","",INDEX('Input Transaksi'!$A:$A,$E276))</f>
        <v/>
      </c>
      <c r="B276" s="5">
        <f>IF($E276="","",INDEX('Input Transaksi'!$D:$D,$E276))</f>
        <v/>
      </c>
      <c r="C276">
        <f>IF($E276="","",INDEX('Input Transaksi'!$E:$E,$E276))</f>
        <v/>
      </c>
      <c r="D276" s="5">
        <f>IF($E276="","",INDEX('Input Transaksi'!$F:$F,$E276))</f>
        <v/>
      </c>
      <c r="E276">
        <f>IFERROR(AGGREGATE(15,6,ROW('Input Transaksi'!$B$5:$B$5000)/('Input Transaksi'!$B$5:$B$5000="LONDRI DEWE ANTASURA"),ROWS($E$5:E276)),"")</f>
        <v/>
      </c>
      <c r="F276" s="5" t="n"/>
    </row>
    <row r="277">
      <c r="A277" s="10">
        <f>IF($E277="","",INDEX('Input Transaksi'!$A:$A,$E277))</f>
        <v/>
      </c>
      <c r="B277" s="5">
        <f>IF($E277="","",INDEX('Input Transaksi'!$D:$D,$E277))</f>
        <v/>
      </c>
      <c r="C277">
        <f>IF($E277="","",INDEX('Input Transaksi'!$E:$E,$E277))</f>
        <v/>
      </c>
      <c r="D277" s="5">
        <f>IF($E277="","",INDEX('Input Transaksi'!$F:$F,$E277))</f>
        <v/>
      </c>
      <c r="E277">
        <f>IFERROR(AGGREGATE(15,6,ROW('Input Transaksi'!$B$5:$B$5000)/('Input Transaksi'!$B$5:$B$5000="LONDRI DEWE ANTASURA"),ROWS($E$5:E277)),"")</f>
        <v/>
      </c>
      <c r="F277" s="5" t="n"/>
    </row>
    <row r="278">
      <c r="A278" s="10">
        <f>IF($E278="","",INDEX('Input Transaksi'!$A:$A,$E278))</f>
        <v/>
      </c>
      <c r="B278" s="5">
        <f>IF($E278="","",INDEX('Input Transaksi'!$D:$D,$E278))</f>
        <v/>
      </c>
      <c r="C278">
        <f>IF($E278="","",INDEX('Input Transaksi'!$E:$E,$E278))</f>
        <v/>
      </c>
      <c r="D278" s="5">
        <f>IF($E278="","",INDEX('Input Transaksi'!$F:$F,$E278))</f>
        <v/>
      </c>
      <c r="E278">
        <f>IFERROR(AGGREGATE(15,6,ROW('Input Transaksi'!$B$5:$B$5000)/('Input Transaksi'!$B$5:$B$5000="LONDRI DEWE ANTASURA"),ROWS($E$5:E278)),"")</f>
        <v/>
      </c>
      <c r="F278" s="5" t="n"/>
    </row>
    <row r="279">
      <c r="A279" s="10">
        <f>IF($E279="","",INDEX('Input Transaksi'!$A:$A,$E279))</f>
        <v/>
      </c>
      <c r="B279" s="5">
        <f>IF($E279="","",INDEX('Input Transaksi'!$D:$D,$E279))</f>
        <v/>
      </c>
      <c r="C279">
        <f>IF($E279="","",INDEX('Input Transaksi'!$E:$E,$E279))</f>
        <v/>
      </c>
      <c r="D279" s="5">
        <f>IF($E279="","",INDEX('Input Transaksi'!$F:$F,$E279))</f>
        <v/>
      </c>
      <c r="E279">
        <f>IFERROR(AGGREGATE(15,6,ROW('Input Transaksi'!$B$5:$B$5000)/('Input Transaksi'!$B$5:$B$5000="LONDRI DEWE ANTASURA"),ROWS($E$5:E279)),"")</f>
        <v/>
      </c>
      <c r="F279" s="5" t="n"/>
    </row>
    <row r="280">
      <c r="A280" s="10">
        <f>IF($E280="","",INDEX('Input Transaksi'!$A:$A,$E280))</f>
        <v/>
      </c>
      <c r="B280" s="5">
        <f>IF($E280="","",INDEX('Input Transaksi'!$D:$D,$E280))</f>
        <v/>
      </c>
      <c r="C280">
        <f>IF($E280="","",INDEX('Input Transaksi'!$E:$E,$E280))</f>
        <v/>
      </c>
      <c r="D280" s="5">
        <f>IF($E280="","",INDEX('Input Transaksi'!$F:$F,$E280))</f>
        <v/>
      </c>
      <c r="E280">
        <f>IFERROR(AGGREGATE(15,6,ROW('Input Transaksi'!$B$5:$B$5000)/('Input Transaksi'!$B$5:$B$5000="LONDRI DEWE ANTASURA"),ROWS($E$5:E280)),"")</f>
        <v/>
      </c>
      <c r="F280" s="5" t="n"/>
    </row>
    <row r="281">
      <c r="A281" s="10">
        <f>IF($E281="","",INDEX('Input Transaksi'!$A:$A,$E281))</f>
        <v/>
      </c>
      <c r="B281" s="5">
        <f>IF($E281="","",INDEX('Input Transaksi'!$D:$D,$E281))</f>
        <v/>
      </c>
      <c r="C281">
        <f>IF($E281="","",INDEX('Input Transaksi'!$E:$E,$E281))</f>
        <v/>
      </c>
      <c r="D281" s="5">
        <f>IF($E281="","",INDEX('Input Transaksi'!$F:$F,$E281))</f>
        <v/>
      </c>
      <c r="E281">
        <f>IFERROR(AGGREGATE(15,6,ROW('Input Transaksi'!$B$5:$B$5000)/('Input Transaksi'!$B$5:$B$5000="LONDRI DEWE ANTASURA"),ROWS($E$5:E281)),"")</f>
        <v/>
      </c>
      <c r="F281" s="5" t="n"/>
    </row>
    <row r="282">
      <c r="A282" s="10">
        <f>IF($E282="","",INDEX('Input Transaksi'!$A:$A,$E282))</f>
        <v/>
      </c>
      <c r="B282" s="5">
        <f>IF($E282="","",INDEX('Input Transaksi'!$D:$D,$E282))</f>
        <v/>
      </c>
      <c r="C282">
        <f>IF($E282="","",INDEX('Input Transaksi'!$E:$E,$E282))</f>
        <v/>
      </c>
      <c r="D282" s="5">
        <f>IF($E282="","",INDEX('Input Transaksi'!$F:$F,$E282))</f>
        <v/>
      </c>
      <c r="E282">
        <f>IFERROR(AGGREGATE(15,6,ROW('Input Transaksi'!$B$5:$B$5000)/('Input Transaksi'!$B$5:$B$5000="LONDRI DEWE ANTASURA"),ROWS($E$5:E282)),"")</f>
        <v/>
      </c>
      <c r="F282" s="5" t="n"/>
    </row>
    <row r="283">
      <c r="A283" s="10">
        <f>IF($E283="","",INDEX('Input Transaksi'!$A:$A,$E283))</f>
        <v/>
      </c>
      <c r="B283" s="5">
        <f>IF($E283="","",INDEX('Input Transaksi'!$D:$D,$E283))</f>
        <v/>
      </c>
      <c r="C283">
        <f>IF($E283="","",INDEX('Input Transaksi'!$E:$E,$E283))</f>
        <v/>
      </c>
      <c r="D283" s="5">
        <f>IF($E283="","",INDEX('Input Transaksi'!$F:$F,$E283))</f>
        <v/>
      </c>
      <c r="E283">
        <f>IFERROR(AGGREGATE(15,6,ROW('Input Transaksi'!$B$5:$B$5000)/('Input Transaksi'!$B$5:$B$5000="LONDRI DEWE ANTASURA"),ROWS($E$5:E283)),"")</f>
        <v/>
      </c>
      <c r="F283" s="5" t="n"/>
    </row>
    <row r="284">
      <c r="A284" s="10">
        <f>IF($E284="","",INDEX('Input Transaksi'!$A:$A,$E284))</f>
        <v/>
      </c>
      <c r="B284" s="5">
        <f>IF($E284="","",INDEX('Input Transaksi'!$D:$D,$E284))</f>
        <v/>
      </c>
      <c r="C284">
        <f>IF($E284="","",INDEX('Input Transaksi'!$E:$E,$E284))</f>
        <v/>
      </c>
      <c r="D284" s="5">
        <f>IF($E284="","",INDEX('Input Transaksi'!$F:$F,$E284))</f>
        <v/>
      </c>
      <c r="E284">
        <f>IFERROR(AGGREGATE(15,6,ROW('Input Transaksi'!$B$5:$B$5000)/('Input Transaksi'!$B$5:$B$5000="LONDRI DEWE ANTASURA"),ROWS($E$5:E284)),"")</f>
        <v/>
      </c>
      <c r="F284" s="5" t="n"/>
    </row>
    <row r="285">
      <c r="A285" s="10">
        <f>IF($E285="","",INDEX('Input Transaksi'!$A:$A,$E285))</f>
        <v/>
      </c>
      <c r="B285" s="5">
        <f>IF($E285="","",INDEX('Input Transaksi'!$D:$D,$E285))</f>
        <v/>
      </c>
      <c r="C285">
        <f>IF($E285="","",INDEX('Input Transaksi'!$E:$E,$E285))</f>
        <v/>
      </c>
      <c r="D285" s="5">
        <f>IF($E285="","",INDEX('Input Transaksi'!$F:$F,$E285))</f>
        <v/>
      </c>
      <c r="E285">
        <f>IFERROR(AGGREGATE(15,6,ROW('Input Transaksi'!$B$5:$B$5000)/('Input Transaksi'!$B$5:$B$5000="LONDRI DEWE ANTASURA"),ROWS($E$5:E285)),"")</f>
        <v/>
      </c>
      <c r="F285" s="5" t="n"/>
    </row>
    <row r="286">
      <c r="A286" s="10">
        <f>IF($E286="","",INDEX('Input Transaksi'!$A:$A,$E286))</f>
        <v/>
      </c>
      <c r="B286" s="5">
        <f>IF($E286="","",INDEX('Input Transaksi'!$D:$D,$E286))</f>
        <v/>
      </c>
      <c r="C286">
        <f>IF($E286="","",INDEX('Input Transaksi'!$E:$E,$E286))</f>
        <v/>
      </c>
      <c r="D286" s="5">
        <f>IF($E286="","",INDEX('Input Transaksi'!$F:$F,$E286))</f>
        <v/>
      </c>
      <c r="E286">
        <f>IFERROR(AGGREGATE(15,6,ROW('Input Transaksi'!$B$5:$B$5000)/('Input Transaksi'!$B$5:$B$5000="LONDRI DEWE ANTASURA"),ROWS($E$5:E286)),"")</f>
        <v/>
      </c>
      <c r="F286" s="5" t="n"/>
    </row>
    <row r="287">
      <c r="A287" s="10">
        <f>IF($E287="","",INDEX('Input Transaksi'!$A:$A,$E287))</f>
        <v/>
      </c>
      <c r="B287" s="5">
        <f>IF($E287="","",INDEX('Input Transaksi'!$D:$D,$E287))</f>
        <v/>
      </c>
      <c r="C287">
        <f>IF($E287="","",INDEX('Input Transaksi'!$E:$E,$E287))</f>
        <v/>
      </c>
      <c r="D287" s="5">
        <f>IF($E287="","",INDEX('Input Transaksi'!$F:$F,$E287))</f>
        <v/>
      </c>
      <c r="E287">
        <f>IFERROR(AGGREGATE(15,6,ROW('Input Transaksi'!$B$5:$B$5000)/('Input Transaksi'!$B$5:$B$5000="LONDRI DEWE ANTASURA"),ROWS($E$5:E287)),"")</f>
        <v/>
      </c>
      <c r="F287" s="5" t="n"/>
    </row>
    <row r="288">
      <c r="A288" s="10">
        <f>IF($E288="","",INDEX('Input Transaksi'!$A:$A,$E288))</f>
        <v/>
      </c>
      <c r="B288" s="5">
        <f>IF($E288="","",INDEX('Input Transaksi'!$D:$D,$E288))</f>
        <v/>
      </c>
      <c r="C288">
        <f>IF($E288="","",INDEX('Input Transaksi'!$E:$E,$E288))</f>
        <v/>
      </c>
      <c r="D288" s="5">
        <f>IF($E288="","",INDEX('Input Transaksi'!$F:$F,$E288))</f>
        <v/>
      </c>
      <c r="E288">
        <f>IFERROR(AGGREGATE(15,6,ROW('Input Transaksi'!$B$5:$B$5000)/('Input Transaksi'!$B$5:$B$5000="LONDRI DEWE ANTASURA"),ROWS($E$5:E288)),"")</f>
        <v/>
      </c>
      <c r="F288" s="5" t="n"/>
    </row>
    <row r="289">
      <c r="A289" s="10">
        <f>IF($E289="","",INDEX('Input Transaksi'!$A:$A,$E289))</f>
        <v/>
      </c>
      <c r="B289" s="5">
        <f>IF($E289="","",INDEX('Input Transaksi'!$D:$D,$E289))</f>
        <v/>
      </c>
      <c r="C289">
        <f>IF($E289="","",INDEX('Input Transaksi'!$E:$E,$E289))</f>
        <v/>
      </c>
      <c r="D289" s="5">
        <f>IF($E289="","",INDEX('Input Transaksi'!$F:$F,$E289))</f>
        <v/>
      </c>
      <c r="E289">
        <f>IFERROR(AGGREGATE(15,6,ROW('Input Transaksi'!$B$5:$B$5000)/('Input Transaksi'!$B$5:$B$5000="LONDRI DEWE ANTASURA"),ROWS($E$5:E289)),"")</f>
        <v/>
      </c>
      <c r="F289" s="5" t="n"/>
    </row>
    <row r="290">
      <c r="A290" s="10">
        <f>IF($E290="","",INDEX('Input Transaksi'!$A:$A,$E290))</f>
        <v/>
      </c>
      <c r="B290" s="5">
        <f>IF($E290="","",INDEX('Input Transaksi'!$D:$D,$E290))</f>
        <v/>
      </c>
      <c r="C290">
        <f>IF($E290="","",INDEX('Input Transaksi'!$E:$E,$E290))</f>
        <v/>
      </c>
      <c r="D290" s="5">
        <f>IF($E290="","",INDEX('Input Transaksi'!$F:$F,$E290))</f>
        <v/>
      </c>
      <c r="E290">
        <f>IFERROR(AGGREGATE(15,6,ROW('Input Transaksi'!$B$5:$B$5000)/('Input Transaksi'!$B$5:$B$5000="LONDRI DEWE ANTASURA"),ROWS($E$5:E290)),"")</f>
        <v/>
      </c>
      <c r="F290" s="5" t="n"/>
    </row>
    <row r="291">
      <c r="A291" s="10">
        <f>IF($E291="","",INDEX('Input Transaksi'!$A:$A,$E291))</f>
        <v/>
      </c>
      <c r="B291" s="5">
        <f>IF($E291="","",INDEX('Input Transaksi'!$D:$D,$E291))</f>
        <v/>
      </c>
      <c r="C291">
        <f>IF($E291="","",INDEX('Input Transaksi'!$E:$E,$E291))</f>
        <v/>
      </c>
      <c r="D291" s="5">
        <f>IF($E291="","",INDEX('Input Transaksi'!$F:$F,$E291))</f>
        <v/>
      </c>
      <c r="E291">
        <f>IFERROR(AGGREGATE(15,6,ROW('Input Transaksi'!$B$5:$B$5000)/('Input Transaksi'!$B$5:$B$5000="LONDRI DEWE ANTASURA"),ROWS($E$5:E291)),"")</f>
        <v/>
      </c>
      <c r="F291" s="5" t="n"/>
    </row>
    <row r="292">
      <c r="A292" s="10">
        <f>IF($E292="","",INDEX('Input Transaksi'!$A:$A,$E292))</f>
        <v/>
      </c>
      <c r="B292" s="5">
        <f>IF($E292="","",INDEX('Input Transaksi'!$D:$D,$E292))</f>
        <v/>
      </c>
      <c r="C292">
        <f>IF($E292="","",INDEX('Input Transaksi'!$E:$E,$E292))</f>
        <v/>
      </c>
      <c r="D292" s="5">
        <f>IF($E292="","",INDEX('Input Transaksi'!$F:$F,$E292))</f>
        <v/>
      </c>
      <c r="E292">
        <f>IFERROR(AGGREGATE(15,6,ROW('Input Transaksi'!$B$5:$B$5000)/('Input Transaksi'!$B$5:$B$5000="LONDRI DEWE ANTASURA"),ROWS($E$5:E292)),"")</f>
        <v/>
      </c>
      <c r="F292" s="5" t="n"/>
    </row>
    <row r="293">
      <c r="A293" s="10">
        <f>IF($E293="","",INDEX('Input Transaksi'!$A:$A,$E293))</f>
        <v/>
      </c>
      <c r="B293" s="5">
        <f>IF($E293="","",INDEX('Input Transaksi'!$D:$D,$E293))</f>
        <v/>
      </c>
      <c r="C293">
        <f>IF($E293="","",INDEX('Input Transaksi'!$E:$E,$E293))</f>
        <v/>
      </c>
      <c r="D293" s="5">
        <f>IF($E293="","",INDEX('Input Transaksi'!$F:$F,$E293))</f>
        <v/>
      </c>
      <c r="E293">
        <f>IFERROR(AGGREGATE(15,6,ROW('Input Transaksi'!$B$5:$B$5000)/('Input Transaksi'!$B$5:$B$5000="LONDRI DEWE ANTASURA"),ROWS($E$5:E293)),"")</f>
        <v/>
      </c>
      <c r="F293" s="5" t="n"/>
    </row>
    <row r="294">
      <c r="A294" s="10">
        <f>IF($E294="","",INDEX('Input Transaksi'!$A:$A,$E294))</f>
        <v/>
      </c>
      <c r="B294" s="5">
        <f>IF($E294="","",INDEX('Input Transaksi'!$D:$D,$E294))</f>
        <v/>
      </c>
      <c r="C294">
        <f>IF($E294="","",INDEX('Input Transaksi'!$E:$E,$E294))</f>
        <v/>
      </c>
      <c r="D294" s="5">
        <f>IF($E294="","",INDEX('Input Transaksi'!$F:$F,$E294))</f>
        <v/>
      </c>
      <c r="E294">
        <f>IFERROR(AGGREGATE(15,6,ROW('Input Transaksi'!$B$5:$B$5000)/('Input Transaksi'!$B$5:$B$5000="LONDRI DEWE ANTASURA"),ROWS($E$5:E294)),"")</f>
        <v/>
      </c>
      <c r="F294" s="5" t="n"/>
    </row>
    <row r="295">
      <c r="A295" s="10">
        <f>IF($E295="","",INDEX('Input Transaksi'!$A:$A,$E295))</f>
        <v/>
      </c>
      <c r="B295" s="5">
        <f>IF($E295="","",INDEX('Input Transaksi'!$D:$D,$E295))</f>
        <v/>
      </c>
      <c r="C295">
        <f>IF($E295="","",INDEX('Input Transaksi'!$E:$E,$E295))</f>
        <v/>
      </c>
      <c r="D295" s="5">
        <f>IF($E295="","",INDEX('Input Transaksi'!$F:$F,$E295))</f>
        <v/>
      </c>
      <c r="E295">
        <f>IFERROR(AGGREGATE(15,6,ROW('Input Transaksi'!$B$5:$B$5000)/('Input Transaksi'!$B$5:$B$5000="LONDRI DEWE ANTASURA"),ROWS($E$5:E295)),"")</f>
        <v/>
      </c>
      <c r="F295" s="5" t="n"/>
    </row>
    <row r="296">
      <c r="A296" s="10">
        <f>IF($E296="","",INDEX('Input Transaksi'!$A:$A,$E296))</f>
        <v/>
      </c>
      <c r="B296" s="5">
        <f>IF($E296="","",INDEX('Input Transaksi'!$D:$D,$E296))</f>
        <v/>
      </c>
      <c r="C296">
        <f>IF($E296="","",INDEX('Input Transaksi'!$E:$E,$E296))</f>
        <v/>
      </c>
      <c r="D296" s="5">
        <f>IF($E296="","",INDEX('Input Transaksi'!$F:$F,$E296))</f>
        <v/>
      </c>
      <c r="E296">
        <f>IFERROR(AGGREGATE(15,6,ROW('Input Transaksi'!$B$5:$B$5000)/('Input Transaksi'!$B$5:$B$5000="LONDRI DEWE ANTASURA"),ROWS($E$5:E296)),"")</f>
        <v/>
      </c>
      <c r="F296" s="5" t="n"/>
    </row>
    <row r="297">
      <c r="A297" s="10">
        <f>IF($E297="","",INDEX('Input Transaksi'!$A:$A,$E297))</f>
        <v/>
      </c>
      <c r="B297" s="5">
        <f>IF($E297="","",INDEX('Input Transaksi'!$D:$D,$E297))</f>
        <v/>
      </c>
      <c r="C297">
        <f>IF($E297="","",INDEX('Input Transaksi'!$E:$E,$E297))</f>
        <v/>
      </c>
      <c r="D297" s="5">
        <f>IF($E297="","",INDEX('Input Transaksi'!$F:$F,$E297))</f>
        <v/>
      </c>
      <c r="E297">
        <f>IFERROR(AGGREGATE(15,6,ROW('Input Transaksi'!$B$5:$B$5000)/('Input Transaksi'!$B$5:$B$5000="LONDRI DEWE ANTASURA"),ROWS($E$5:E297)),"")</f>
        <v/>
      </c>
      <c r="F297" s="5" t="n"/>
    </row>
    <row r="298">
      <c r="A298" s="10">
        <f>IF($E298="","",INDEX('Input Transaksi'!$A:$A,$E298))</f>
        <v/>
      </c>
      <c r="B298" s="5">
        <f>IF($E298="","",INDEX('Input Transaksi'!$D:$D,$E298))</f>
        <v/>
      </c>
      <c r="C298">
        <f>IF($E298="","",INDEX('Input Transaksi'!$E:$E,$E298))</f>
        <v/>
      </c>
      <c r="D298" s="5">
        <f>IF($E298="","",INDEX('Input Transaksi'!$F:$F,$E298))</f>
        <v/>
      </c>
      <c r="E298">
        <f>IFERROR(AGGREGATE(15,6,ROW('Input Transaksi'!$B$5:$B$5000)/('Input Transaksi'!$B$5:$B$5000="LONDRI DEWE ANTASURA"),ROWS($E$5:E298)),"")</f>
        <v/>
      </c>
      <c r="F298" s="5" t="n"/>
    </row>
    <row r="299">
      <c r="A299" s="10">
        <f>IF($E299="","",INDEX('Input Transaksi'!$A:$A,$E299))</f>
        <v/>
      </c>
      <c r="B299" s="5">
        <f>IF($E299="","",INDEX('Input Transaksi'!$D:$D,$E299))</f>
        <v/>
      </c>
      <c r="C299">
        <f>IF($E299="","",INDEX('Input Transaksi'!$E:$E,$E299))</f>
        <v/>
      </c>
      <c r="D299" s="5">
        <f>IF($E299="","",INDEX('Input Transaksi'!$F:$F,$E299))</f>
        <v/>
      </c>
      <c r="E299">
        <f>IFERROR(AGGREGATE(15,6,ROW('Input Transaksi'!$B$5:$B$5000)/('Input Transaksi'!$B$5:$B$5000="LONDRI DEWE ANTASURA"),ROWS($E$5:E299)),"")</f>
        <v/>
      </c>
      <c r="F299" s="5" t="n"/>
    </row>
    <row r="300">
      <c r="A300" s="10">
        <f>IF($E300="","",INDEX('Input Transaksi'!$A:$A,$E300))</f>
        <v/>
      </c>
      <c r="B300" s="5">
        <f>IF($E300="","",INDEX('Input Transaksi'!$D:$D,$E300))</f>
        <v/>
      </c>
      <c r="C300">
        <f>IF($E300="","",INDEX('Input Transaksi'!$E:$E,$E300))</f>
        <v/>
      </c>
      <c r="D300" s="5">
        <f>IF($E300="","",INDEX('Input Transaksi'!$F:$F,$E300))</f>
        <v/>
      </c>
      <c r="E300">
        <f>IFERROR(AGGREGATE(15,6,ROW('Input Transaksi'!$B$5:$B$5000)/('Input Transaksi'!$B$5:$B$5000="LONDRI DEWE ANTASURA"),ROWS($E$5:E300)),"")</f>
        <v/>
      </c>
      <c r="F300" s="5" t="n"/>
    </row>
    <row r="301">
      <c r="A301" s="10">
        <f>IF($E301="","",INDEX('Input Transaksi'!$A:$A,$E301))</f>
        <v/>
      </c>
      <c r="B301" s="5">
        <f>IF($E301="","",INDEX('Input Transaksi'!$D:$D,$E301))</f>
        <v/>
      </c>
      <c r="C301">
        <f>IF($E301="","",INDEX('Input Transaksi'!$E:$E,$E301))</f>
        <v/>
      </c>
      <c r="D301" s="5">
        <f>IF($E301="","",INDEX('Input Transaksi'!$F:$F,$E301))</f>
        <v/>
      </c>
      <c r="E301">
        <f>IFERROR(AGGREGATE(15,6,ROW('Input Transaksi'!$B$5:$B$5000)/('Input Transaksi'!$B$5:$B$5000="LONDRI DEWE ANTASURA"),ROWS($E$5:E301)),"")</f>
        <v/>
      </c>
      <c r="F301" s="5" t="n"/>
    </row>
    <row r="302">
      <c r="A302" s="10">
        <f>IF($E302="","",INDEX('Input Transaksi'!$A:$A,$E302))</f>
        <v/>
      </c>
      <c r="B302" s="5">
        <f>IF($E302="","",INDEX('Input Transaksi'!$D:$D,$E302))</f>
        <v/>
      </c>
      <c r="C302">
        <f>IF($E302="","",INDEX('Input Transaksi'!$E:$E,$E302))</f>
        <v/>
      </c>
      <c r="D302" s="5">
        <f>IF($E302="","",INDEX('Input Transaksi'!$F:$F,$E302))</f>
        <v/>
      </c>
      <c r="E302">
        <f>IFERROR(AGGREGATE(15,6,ROW('Input Transaksi'!$B$5:$B$5000)/('Input Transaksi'!$B$5:$B$5000="LONDRI DEWE ANTASURA"),ROWS($E$5:E302)),"")</f>
        <v/>
      </c>
      <c r="F302" s="5" t="n"/>
    </row>
    <row r="303">
      <c r="A303" s="10">
        <f>IF($E303="","",INDEX('Input Transaksi'!$A:$A,$E303))</f>
        <v/>
      </c>
      <c r="B303" s="5">
        <f>IF($E303="","",INDEX('Input Transaksi'!$D:$D,$E303))</f>
        <v/>
      </c>
      <c r="C303">
        <f>IF($E303="","",INDEX('Input Transaksi'!$E:$E,$E303))</f>
        <v/>
      </c>
      <c r="D303" s="5">
        <f>IF($E303="","",INDEX('Input Transaksi'!$F:$F,$E303))</f>
        <v/>
      </c>
      <c r="E303">
        <f>IFERROR(AGGREGATE(15,6,ROW('Input Transaksi'!$B$5:$B$5000)/('Input Transaksi'!$B$5:$B$5000="LONDRI DEWE ANTASURA"),ROWS($E$5:E303)),"")</f>
        <v/>
      </c>
      <c r="F303" s="5" t="n"/>
    </row>
    <row r="304">
      <c r="A304" s="10">
        <f>IF($E304="","",INDEX('Input Transaksi'!$A:$A,$E304))</f>
        <v/>
      </c>
      <c r="B304" s="5">
        <f>IF($E304="","",INDEX('Input Transaksi'!$D:$D,$E304))</f>
        <v/>
      </c>
      <c r="C304">
        <f>IF($E304="","",INDEX('Input Transaksi'!$E:$E,$E304))</f>
        <v/>
      </c>
      <c r="D304" s="5">
        <f>IF($E304="","",INDEX('Input Transaksi'!$F:$F,$E304))</f>
        <v/>
      </c>
      <c r="E304">
        <f>IFERROR(AGGREGATE(15,6,ROW('Input Transaksi'!$B$5:$B$5000)/('Input Transaksi'!$B$5:$B$5000="LONDRI DEWE ANTASURA"),ROWS($E$5:E304)),"")</f>
        <v/>
      </c>
      <c r="F304" s="5" t="n"/>
    </row>
    <row r="305">
      <c r="A305" s="10">
        <f>IF($E305="","",INDEX('Input Transaksi'!$A:$A,$E305))</f>
        <v/>
      </c>
      <c r="B305" s="5">
        <f>IF($E305="","",INDEX('Input Transaksi'!$D:$D,$E305))</f>
        <v/>
      </c>
      <c r="C305">
        <f>IF($E305="","",INDEX('Input Transaksi'!$E:$E,$E305))</f>
        <v/>
      </c>
      <c r="D305" s="5">
        <f>IF($E305="","",INDEX('Input Transaksi'!$F:$F,$E305))</f>
        <v/>
      </c>
      <c r="E305">
        <f>IFERROR(AGGREGATE(15,6,ROW('Input Transaksi'!$B$5:$B$5000)/('Input Transaksi'!$B$5:$B$5000="LONDRI DEWE ANTASURA"),ROWS($E$5:E305)),"")</f>
        <v/>
      </c>
      <c r="F305" s="5" t="n"/>
    </row>
    <row r="306">
      <c r="A306" s="10">
        <f>IF($E306="","",INDEX('Input Transaksi'!$A:$A,$E306))</f>
        <v/>
      </c>
      <c r="B306" s="5">
        <f>IF($E306="","",INDEX('Input Transaksi'!$D:$D,$E306))</f>
        <v/>
      </c>
      <c r="C306">
        <f>IF($E306="","",INDEX('Input Transaksi'!$E:$E,$E306))</f>
        <v/>
      </c>
      <c r="D306" s="5">
        <f>IF($E306="","",INDEX('Input Transaksi'!$F:$F,$E306))</f>
        <v/>
      </c>
      <c r="E306">
        <f>IFERROR(AGGREGATE(15,6,ROW('Input Transaksi'!$B$5:$B$5000)/('Input Transaksi'!$B$5:$B$5000="LONDRI DEWE ANTASURA"),ROWS($E$5:E306)),"")</f>
        <v/>
      </c>
      <c r="F306" s="5" t="n"/>
    </row>
    <row r="307">
      <c r="A307" s="10">
        <f>IF($E307="","",INDEX('Input Transaksi'!$A:$A,$E307))</f>
        <v/>
      </c>
      <c r="B307" s="5">
        <f>IF($E307="","",INDEX('Input Transaksi'!$D:$D,$E307))</f>
        <v/>
      </c>
      <c r="C307">
        <f>IF($E307="","",INDEX('Input Transaksi'!$E:$E,$E307))</f>
        <v/>
      </c>
      <c r="D307" s="5">
        <f>IF($E307="","",INDEX('Input Transaksi'!$F:$F,$E307))</f>
        <v/>
      </c>
      <c r="E307">
        <f>IFERROR(AGGREGATE(15,6,ROW('Input Transaksi'!$B$5:$B$5000)/('Input Transaksi'!$B$5:$B$5000="LONDRI DEWE ANTASURA"),ROWS($E$5:E307)),"")</f>
        <v/>
      </c>
      <c r="F307" s="5" t="n"/>
    </row>
    <row r="308">
      <c r="A308" s="10">
        <f>IF($E308="","",INDEX('Input Transaksi'!$A:$A,$E308))</f>
        <v/>
      </c>
      <c r="B308" s="5">
        <f>IF($E308="","",INDEX('Input Transaksi'!$D:$D,$E308))</f>
        <v/>
      </c>
      <c r="C308">
        <f>IF($E308="","",INDEX('Input Transaksi'!$E:$E,$E308))</f>
        <v/>
      </c>
      <c r="D308" s="5">
        <f>IF($E308="","",INDEX('Input Transaksi'!$F:$F,$E308))</f>
        <v/>
      </c>
      <c r="E308">
        <f>IFERROR(AGGREGATE(15,6,ROW('Input Transaksi'!$B$5:$B$5000)/('Input Transaksi'!$B$5:$B$5000="LONDRI DEWE ANTASURA"),ROWS($E$5:E308)),"")</f>
        <v/>
      </c>
      <c r="F308" s="5" t="n"/>
    </row>
    <row r="309">
      <c r="A309" s="10">
        <f>IF($E309="","",INDEX('Input Transaksi'!$A:$A,$E309))</f>
        <v/>
      </c>
      <c r="B309" s="5">
        <f>IF($E309="","",INDEX('Input Transaksi'!$D:$D,$E309))</f>
        <v/>
      </c>
      <c r="C309">
        <f>IF($E309="","",INDEX('Input Transaksi'!$E:$E,$E309))</f>
        <v/>
      </c>
      <c r="D309" s="5">
        <f>IF($E309="","",INDEX('Input Transaksi'!$F:$F,$E309))</f>
        <v/>
      </c>
      <c r="E309">
        <f>IFERROR(AGGREGATE(15,6,ROW('Input Transaksi'!$B$5:$B$5000)/('Input Transaksi'!$B$5:$B$5000="LONDRI DEWE ANTASURA"),ROWS($E$5:E309)),"")</f>
        <v/>
      </c>
      <c r="F309" s="5" t="n"/>
    </row>
    <row r="310">
      <c r="A310" s="10">
        <f>IF($E310="","",INDEX('Input Transaksi'!$A:$A,$E310))</f>
        <v/>
      </c>
      <c r="B310" s="5">
        <f>IF($E310="","",INDEX('Input Transaksi'!$D:$D,$E310))</f>
        <v/>
      </c>
      <c r="C310">
        <f>IF($E310="","",INDEX('Input Transaksi'!$E:$E,$E310))</f>
        <v/>
      </c>
      <c r="D310" s="5">
        <f>IF($E310="","",INDEX('Input Transaksi'!$F:$F,$E310))</f>
        <v/>
      </c>
      <c r="E310">
        <f>IFERROR(AGGREGATE(15,6,ROW('Input Transaksi'!$B$5:$B$5000)/('Input Transaksi'!$B$5:$B$5000="LONDRI DEWE ANTASURA"),ROWS($E$5:E310)),"")</f>
        <v/>
      </c>
      <c r="F310" s="5" t="n"/>
    </row>
    <row r="311">
      <c r="A311" s="10">
        <f>IF($E311="","",INDEX('Input Transaksi'!$A:$A,$E311))</f>
        <v/>
      </c>
      <c r="B311" s="5">
        <f>IF($E311="","",INDEX('Input Transaksi'!$D:$D,$E311))</f>
        <v/>
      </c>
      <c r="C311">
        <f>IF($E311="","",INDEX('Input Transaksi'!$E:$E,$E311))</f>
        <v/>
      </c>
      <c r="D311" s="5">
        <f>IF($E311="","",INDEX('Input Transaksi'!$F:$F,$E311))</f>
        <v/>
      </c>
      <c r="E311">
        <f>IFERROR(AGGREGATE(15,6,ROW('Input Transaksi'!$B$5:$B$5000)/('Input Transaksi'!$B$5:$B$5000="LONDRI DEWE ANTASURA"),ROWS($E$5:E311)),"")</f>
        <v/>
      </c>
      <c r="F311" s="5" t="n"/>
    </row>
    <row r="312">
      <c r="A312" s="10">
        <f>IF($E312="","",INDEX('Input Transaksi'!$A:$A,$E312))</f>
        <v/>
      </c>
      <c r="B312" s="5">
        <f>IF($E312="","",INDEX('Input Transaksi'!$D:$D,$E312))</f>
        <v/>
      </c>
      <c r="C312">
        <f>IF($E312="","",INDEX('Input Transaksi'!$E:$E,$E312))</f>
        <v/>
      </c>
      <c r="D312" s="5">
        <f>IF($E312="","",INDEX('Input Transaksi'!$F:$F,$E312))</f>
        <v/>
      </c>
      <c r="E312">
        <f>IFERROR(AGGREGATE(15,6,ROW('Input Transaksi'!$B$5:$B$5000)/('Input Transaksi'!$B$5:$B$5000="LONDRI DEWE ANTASURA"),ROWS($E$5:E312)),"")</f>
        <v/>
      </c>
      <c r="F312" s="5" t="n"/>
    </row>
    <row r="313">
      <c r="A313" s="10">
        <f>IF($E313="","",INDEX('Input Transaksi'!$A:$A,$E313))</f>
        <v/>
      </c>
      <c r="B313" s="5">
        <f>IF($E313="","",INDEX('Input Transaksi'!$D:$D,$E313))</f>
        <v/>
      </c>
      <c r="C313">
        <f>IF($E313="","",INDEX('Input Transaksi'!$E:$E,$E313))</f>
        <v/>
      </c>
      <c r="D313" s="5">
        <f>IF($E313="","",INDEX('Input Transaksi'!$F:$F,$E313))</f>
        <v/>
      </c>
      <c r="E313">
        <f>IFERROR(AGGREGATE(15,6,ROW('Input Transaksi'!$B$5:$B$5000)/('Input Transaksi'!$B$5:$B$5000="LONDRI DEWE ANTASURA"),ROWS($E$5:E313)),"")</f>
        <v/>
      </c>
      <c r="F313" s="5" t="n"/>
    </row>
    <row r="314">
      <c r="A314" s="10">
        <f>IF($E314="","",INDEX('Input Transaksi'!$A:$A,$E314))</f>
        <v/>
      </c>
      <c r="B314" s="5">
        <f>IF($E314="","",INDEX('Input Transaksi'!$D:$D,$E314))</f>
        <v/>
      </c>
      <c r="C314">
        <f>IF($E314="","",INDEX('Input Transaksi'!$E:$E,$E314))</f>
        <v/>
      </c>
      <c r="D314" s="5">
        <f>IF($E314="","",INDEX('Input Transaksi'!$F:$F,$E314))</f>
        <v/>
      </c>
      <c r="E314">
        <f>IFERROR(AGGREGATE(15,6,ROW('Input Transaksi'!$B$5:$B$5000)/('Input Transaksi'!$B$5:$B$5000="LONDRI DEWE ANTASURA"),ROWS($E$5:E314)),"")</f>
        <v/>
      </c>
      <c r="F314" s="5" t="n"/>
    </row>
    <row r="315">
      <c r="A315" s="10">
        <f>IF($E315="","",INDEX('Input Transaksi'!$A:$A,$E315))</f>
        <v/>
      </c>
      <c r="B315" s="5">
        <f>IF($E315="","",INDEX('Input Transaksi'!$D:$D,$E315))</f>
        <v/>
      </c>
      <c r="C315">
        <f>IF($E315="","",INDEX('Input Transaksi'!$E:$E,$E315))</f>
        <v/>
      </c>
      <c r="D315" s="5">
        <f>IF($E315="","",INDEX('Input Transaksi'!$F:$F,$E315))</f>
        <v/>
      </c>
      <c r="E315">
        <f>IFERROR(AGGREGATE(15,6,ROW('Input Transaksi'!$B$5:$B$5000)/('Input Transaksi'!$B$5:$B$5000="LONDRI DEWE ANTASURA"),ROWS($E$5:E315)),"")</f>
        <v/>
      </c>
      <c r="F315" s="5" t="n"/>
    </row>
    <row r="316">
      <c r="A316" s="10">
        <f>IF($E316="","",INDEX('Input Transaksi'!$A:$A,$E316))</f>
        <v/>
      </c>
      <c r="B316" s="5">
        <f>IF($E316="","",INDEX('Input Transaksi'!$D:$D,$E316))</f>
        <v/>
      </c>
      <c r="C316">
        <f>IF($E316="","",INDEX('Input Transaksi'!$E:$E,$E316))</f>
        <v/>
      </c>
      <c r="D316" s="5">
        <f>IF($E316="","",INDEX('Input Transaksi'!$F:$F,$E316))</f>
        <v/>
      </c>
      <c r="E316">
        <f>IFERROR(AGGREGATE(15,6,ROW('Input Transaksi'!$B$5:$B$5000)/('Input Transaksi'!$B$5:$B$5000="LONDRI DEWE ANTASURA"),ROWS($E$5:E316)),"")</f>
        <v/>
      </c>
      <c r="F316" s="5" t="n"/>
    </row>
    <row r="317">
      <c r="A317" s="10">
        <f>IF($E317="","",INDEX('Input Transaksi'!$A:$A,$E317))</f>
        <v/>
      </c>
      <c r="B317" s="5">
        <f>IF($E317="","",INDEX('Input Transaksi'!$D:$D,$E317))</f>
        <v/>
      </c>
      <c r="C317">
        <f>IF($E317="","",INDEX('Input Transaksi'!$E:$E,$E317))</f>
        <v/>
      </c>
      <c r="D317" s="5">
        <f>IF($E317="","",INDEX('Input Transaksi'!$F:$F,$E317))</f>
        <v/>
      </c>
      <c r="E317">
        <f>IFERROR(AGGREGATE(15,6,ROW('Input Transaksi'!$B$5:$B$5000)/('Input Transaksi'!$B$5:$B$5000="LONDRI DEWE ANTASURA"),ROWS($E$5:E317)),"")</f>
        <v/>
      </c>
      <c r="F317" s="5" t="n"/>
    </row>
    <row r="318">
      <c r="A318" s="10">
        <f>IF($E318="","",INDEX('Input Transaksi'!$A:$A,$E318))</f>
        <v/>
      </c>
      <c r="B318" s="5">
        <f>IF($E318="","",INDEX('Input Transaksi'!$D:$D,$E318))</f>
        <v/>
      </c>
      <c r="C318">
        <f>IF($E318="","",INDEX('Input Transaksi'!$E:$E,$E318))</f>
        <v/>
      </c>
      <c r="D318" s="5">
        <f>IF($E318="","",INDEX('Input Transaksi'!$F:$F,$E318))</f>
        <v/>
      </c>
      <c r="E318">
        <f>IFERROR(AGGREGATE(15,6,ROW('Input Transaksi'!$B$5:$B$5000)/('Input Transaksi'!$B$5:$B$5000="LONDRI DEWE ANTASURA"),ROWS($E$5:E318)),"")</f>
        <v/>
      </c>
      <c r="F318" s="5" t="n"/>
    </row>
    <row r="319">
      <c r="A319" s="10">
        <f>IF($E319="","",INDEX('Input Transaksi'!$A:$A,$E319))</f>
        <v/>
      </c>
      <c r="B319" s="5">
        <f>IF($E319="","",INDEX('Input Transaksi'!$D:$D,$E319))</f>
        <v/>
      </c>
      <c r="C319">
        <f>IF($E319="","",INDEX('Input Transaksi'!$E:$E,$E319))</f>
        <v/>
      </c>
      <c r="D319" s="5">
        <f>IF($E319="","",INDEX('Input Transaksi'!$F:$F,$E319))</f>
        <v/>
      </c>
      <c r="E319">
        <f>IFERROR(AGGREGATE(15,6,ROW('Input Transaksi'!$B$5:$B$5000)/('Input Transaksi'!$B$5:$B$5000="LONDRI DEWE ANTASURA"),ROWS($E$5:E319)),"")</f>
        <v/>
      </c>
      <c r="F319" s="5" t="n"/>
    </row>
    <row r="320">
      <c r="A320" s="10">
        <f>IF($E320="","",INDEX('Input Transaksi'!$A:$A,$E320))</f>
        <v/>
      </c>
      <c r="B320" s="5">
        <f>IF($E320="","",INDEX('Input Transaksi'!$D:$D,$E320))</f>
        <v/>
      </c>
      <c r="C320">
        <f>IF($E320="","",INDEX('Input Transaksi'!$E:$E,$E320))</f>
        <v/>
      </c>
      <c r="D320" s="5">
        <f>IF($E320="","",INDEX('Input Transaksi'!$F:$F,$E320))</f>
        <v/>
      </c>
      <c r="E320">
        <f>IFERROR(AGGREGATE(15,6,ROW('Input Transaksi'!$B$5:$B$5000)/('Input Transaksi'!$B$5:$B$5000="LONDRI DEWE ANTASURA"),ROWS($E$5:E320)),"")</f>
        <v/>
      </c>
      <c r="F320" s="5" t="n"/>
    </row>
    <row r="321">
      <c r="A321" s="10">
        <f>IF($E321="","",INDEX('Input Transaksi'!$A:$A,$E321))</f>
        <v/>
      </c>
      <c r="B321" s="5">
        <f>IF($E321="","",INDEX('Input Transaksi'!$D:$D,$E321))</f>
        <v/>
      </c>
      <c r="C321">
        <f>IF($E321="","",INDEX('Input Transaksi'!$E:$E,$E321))</f>
        <v/>
      </c>
      <c r="D321" s="5">
        <f>IF($E321="","",INDEX('Input Transaksi'!$F:$F,$E321))</f>
        <v/>
      </c>
      <c r="E321">
        <f>IFERROR(AGGREGATE(15,6,ROW('Input Transaksi'!$B$5:$B$5000)/('Input Transaksi'!$B$5:$B$5000="LONDRI DEWE ANTASURA"),ROWS($E$5:E321)),"")</f>
        <v/>
      </c>
      <c r="F321" s="5" t="n"/>
    </row>
    <row r="322">
      <c r="A322" s="10">
        <f>IF($E322="","",INDEX('Input Transaksi'!$A:$A,$E322))</f>
        <v/>
      </c>
      <c r="B322" s="5">
        <f>IF($E322="","",INDEX('Input Transaksi'!$D:$D,$E322))</f>
        <v/>
      </c>
      <c r="C322">
        <f>IF($E322="","",INDEX('Input Transaksi'!$E:$E,$E322))</f>
        <v/>
      </c>
      <c r="D322" s="5">
        <f>IF($E322="","",INDEX('Input Transaksi'!$F:$F,$E322))</f>
        <v/>
      </c>
      <c r="E322">
        <f>IFERROR(AGGREGATE(15,6,ROW('Input Transaksi'!$B$5:$B$5000)/('Input Transaksi'!$B$5:$B$5000="LONDRI DEWE ANTASURA"),ROWS($E$5:E322)),"")</f>
        <v/>
      </c>
      <c r="F322" s="5" t="n"/>
    </row>
    <row r="323">
      <c r="A323" s="10">
        <f>IF($E323="","",INDEX('Input Transaksi'!$A:$A,$E323))</f>
        <v/>
      </c>
      <c r="B323" s="5">
        <f>IF($E323="","",INDEX('Input Transaksi'!$D:$D,$E323))</f>
        <v/>
      </c>
      <c r="C323">
        <f>IF($E323="","",INDEX('Input Transaksi'!$E:$E,$E323))</f>
        <v/>
      </c>
      <c r="D323" s="5">
        <f>IF($E323="","",INDEX('Input Transaksi'!$F:$F,$E323))</f>
        <v/>
      </c>
      <c r="E323">
        <f>IFERROR(AGGREGATE(15,6,ROW('Input Transaksi'!$B$5:$B$5000)/('Input Transaksi'!$B$5:$B$5000="LONDRI DEWE ANTASURA"),ROWS($E$5:E323)),"")</f>
        <v/>
      </c>
      <c r="F323" s="5" t="n"/>
    </row>
    <row r="324">
      <c r="A324" s="10">
        <f>IF($E324="","",INDEX('Input Transaksi'!$A:$A,$E324))</f>
        <v/>
      </c>
      <c r="B324" s="5">
        <f>IF($E324="","",INDEX('Input Transaksi'!$D:$D,$E324))</f>
        <v/>
      </c>
      <c r="C324">
        <f>IF($E324="","",INDEX('Input Transaksi'!$E:$E,$E324))</f>
        <v/>
      </c>
      <c r="D324" s="5">
        <f>IF($E324="","",INDEX('Input Transaksi'!$F:$F,$E324))</f>
        <v/>
      </c>
      <c r="E324">
        <f>IFERROR(AGGREGATE(15,6,ROW('Input Transaksi'!$B$5:$B$5000)/('Input Transaksi'!$B$5:$B$5000="LONDRI DEWE ANTASURA"),ROWS($E$5:E324)),"")</f>
        <v/>
      </c>
      <c r="F324" s="5" t="n"/>
    </row>
    <row r="325">
      <c r="A325" s="10">
        <f>IF($E325="","",INDEX('Input Transaksi'!$A:$A,$E325))</f>
        <v/>
      </c>
      <c r="B325" s="5">
        <f>IF($E325="","",INDEX('Input Transaksi'!$D:$D,$E325))</f>
        <v/>
      </c>
      <c r="C325">
        <f>IF($E325="","",INDEX('Input Transaksi'!$E:$E,$E325))</f>
        <v/>
      </c>
      <c r="D325" s="5">
        <f>IF($E325="","",INDEX('Input Transaksi'!$F:$F,$E325))</f>
        <v/>
      </c>
      <c r="E325">
        <f>IFERROR(AGGREGATE(15,6,ROW('Input Transaksi'!$B$5:$B$5000)/('Input Transaksi'!$B$5:$B$5000="LONDRI DEWE ANTASURA"),ROWS($E$5:E325)),"")</f>
        <v/>
      </c>
      <c r="F325" s="5" t="n"/>
    </row>
    <row r="326">
      <c r="A326" s="10">
        <f>IF($E326="","",INDEX('Input Transaksi'!$A:$A,$E326))</f>
        <v/>
      </c>
      <c r="B326" s="5">
        <f>IF($E326="","",INDEX('Input Transaksi'!$D:$D,$E326))</f>
        <v/>
      </c>
      <c r="C326">
        <f>IF($E326="","",INDEX('Input Transaksi'!$E:$E,$E326))</f>
        <v/>
      </c>
      <c r="D326" s="5">
        <f>IF($E326="","",INDEX('Input Transaksi'!$F:$F,$E326))</f>
        <v/>
      </c>
      <c r="E326">
        <f>IFERROR(AGGREGATE(15,6,ROW('Input Transaksi'!$B$5:$B$5000)/('Input Transaksi'!$B$5:$B$5000="LONDRI DEWE ANTASURA"),ROWS($E$5:E326)),"")</f>
        <v/>
      </c>
      <c r="F326" s="5" t="n"/>
    </row>
    <row r="327">
      <c r="A327" s="10">
        <f>IF($E327="","",INDEX('Input Transaksi'!$A:$A,$E327))</f>
        <v/>
      </c>
      <c r="B327" s="5">
        <f>IF($E327="","",INDEX('Input Transaksi'!$D:$D,$E327))</f>
        <v/>
      </c>
      <c r="C327">
        <f>IF($E327="","",INDEX('Input Transaksi'!$E:$E,$E327))</f>
        <v/>
      </c>
      <c r="D327" s="5">
        <f>IF($E327="","",INDEX('Input Transaksi'!$F:$F,$E327))</f>
        <v/>
      </c>
      <c r="E327">
        <f>IFERROR(AGGREGATE(15,6,ROW('Input Transaksi'!$B$5:$B$5000)/('Input Transaksi'!$B$5:$B$5000="LONDRI DEWE ANTASURA"),ROWS($E$5:E327)),"")</f>
        <v/>
      </c>
      <c r="F327" s="5" t="n"/>
    </row>
    <row r="328">
      <c r="A328" s="10">
        <f>IF($E328="","",INDEX('Input Transaksi'!$A:$A,$E328))</f>
        <v/>
      </c>
      <c r="B328" s="5">
        <f>IF($E328="","",INDEX('Input Transaksi'!$D:$D,$E328))</f>
        <v/>
      </c>
      <c r="C328">
        <f>IF($E328="","",INDEX('Input Transaksi'!$E:$E,$E328))</f>
        <v/>
      </c>
      <c r="D328" s="5">
        <f>IF($E328="","",INDEX('Input Transaksi'!$F:$F,$E328))</f>
        <v/>
      </c>
      <c r="E328">
        <f>IFERROR(AGGREGATE(15,6,ROW('Input Transaksi'!$B$5:$B$5000)/('Input Transaksi'!$B$5:$B$5000="LONDRI DEWE ANTASURA"),ROWS($E$5:E328)),"")</f>
        <v/>
      </c>
      <c r="F328" s="5" t="n"/>
    </row>
    <row r="329">
      <c r="A329" s="10">
        <f>IF($E329="","",INDEX('Input Transaksi'!$A:$A,$E329))</f>
        <v/>
      </c>
      <c r="B329" s="5">
        <f>IF($E329="","",INDEX('Input Transaksi'!$D:$D,$E329))</f>
        <v/>
      </c>
      <c r="C329">
        <f>IF($E329="","",INDEX('Input Transaksi'!$E:$E,$E329))</f>
        <v/>
      </c>
      <c r="D329" s="5">
        <f>IF($E329="","",INDEX('Input Transaksi'!$F:$F,$E329))</f>
        <v/>
      </c>
      <c r="E329">
        <f>IFERROR(AGGREGATE(15,6,ROW('Input Transaksi'!$B$5:$B$5000)/('Input Transaksi'!$B$5:$B$5000="LONDRI DEWE ANTASURA"),ROWS($E$5:E329)),"")</f>
        <v/>
      </c>
      <c r="F329" s="5" t="n"/>
    </row>
    <row r="330">
      <c r="A330" s="10">
        <f>IF($E330="","",INDEX('Input Transaksi'!$A:$A,$E330))</f>
        <v/>
      </c>
      <c r="B330" s="5">
        <f>IF($E330="","",INDEX('Input Transaksi'!$D:$D,$E330))</f>
        <v/>
      </c>
      <c r="C330">
        <f>IF($E330="","",INDEX('Input Transaksi'!$E:$E,$E330))</f>
        <v/>
      </c>
      <c r="D330" s="5">
        <f>IF($E330="","",INDEX('Input Transaksi'!$F:$F,$E330))</f>
        <v/>
      </c>
      <c r="E330">
        <f>IFERROR(AGGREGATE(15,6,ROW('Input Transaksi'!$B$5:$B$5000)/('Input Transaksi'!$B$5:$B$5000="LONDRI DEWE ANTASURA"),ROWS($E$5:E330)),"")</f>
        <v/>
      </c>
      <c r="F330" s="5" t="n"/>
    </row>
    <row r="331">
      <c r="A331" s="10">
        <f>IF($E331="","",INDEX('Input Transaksi'!$A:$A,$E331))</f>
        <v/>
      </c>
      <c r="B331" s="5">
        <f>IF($E331="","",INDEX('Input Transaksi'!$D:$D,$E331))</f>
        <v/>
      </c>
      <c r="C331">
        <f>IF($E331="","",INDEX('Input Transaksi'!$E:$E,$E331))</f>
        <v/>
      </c>
      <c r="D331" s="5">
        <f>IF($E331="","",INDEX('Input Transaksi'!$F:$F,$E331))</f>
        <v/>
      </c>
      <c r="E331">
        <f>IFERROR(AGGREGATE(15,6,ROW('Input Transaksi'!$B$5:$B$5000)/('Input Transaksi'!$B$5:$B$5000="LONDRI DEWE ANTASURA"),ROWS($E$5:E331)),"")</f>
        <v/>
      </c>
      <c r="F331" s="5" t="n"/>
    </row>
    <row r="332">
      <c r="A332" s="10">
        <f>IF($E332="","",INDEX('Input Transaksi'!$A:$A,$E332))</f>
        <v/>
      </c>
      <c r="B332" s="5">
        <f>IF($E332="","",INDEX('Input Transaksi'!$D:$D,$E332))</f>
        <v/>
      </c>
      <c r="C332">
        <f>IF($E332="","",INDEX('Input Transaksi'!$E:$E,$E332))</f>
        <v/>
      </c>
      <c r="D332" s="5">
        <f>IF($E332="","",INDEX('Input Transaksi'!$F:$F,$E332))</f>
        <v/>
      </c>
      <c r="E332">
        <f>IFERROR(AGGREGATE(15,6,ROW('Input Transaksi'!$B$5:$B$5000)/('Input Transaksi'!$B$5:$B$5000="LONDRI DEWE ANTASURA"),ROWS($E$5:E332)),"")</f>
        <v/>
      </c>
      <c r="F332" s="5" t="n"/>
    </row>
    <row r="333">
      <c r="A333" s="10">
        <f>IF($E333="","",INDEX('Input Transaksi'!$A:$A,$E333))</f>
        <v/>
      </c>
      <c r="B333" s="5">
        <f>IF($E333="","",INDEX('Input Transaksi'!$D:$D,$E333))</f>
        <v/>
      </c>
      <c r="C333">
        <f>IF($E333="","",INDEX('Input Transaksi'!$E:$E,$E333))</f>
        <v/>
      </c>
      <c r="D333" s="5">
        <f>IF($E333="","",INDEX('Input Transaksi'!$F:$F,$E333))</f>
        <v/>
      </c>
      <c r="E333">
        <f>IFERROR(AGGREGATE(15,6,ROW('Input Transaksi'!$B$5:$B$5000)/('Input Transaksi'!$B$5:$B$5000="LONDRI DEWE ANTASURA"),ROWS($E$5:E333)),"")</f>
        <v/>
      </c>
      <c r="F333" s="5" t="n"/>
    </row>
    <row r="334">
      <c r="A334" s="10">
        <f>IF($E334="","",INDEX('Input Transaksi'!$A:$A,$E334))</f>
        <v/>
      </c>
      <c r="B334" s="5">
        <f>IF($E334="","",INDEX('Input Transaksi'!$D:$D,$E334))</f>
        <v/>
      </c>
      <c r="C334">
        <f>IF($E334="","",INDEX('Input Transaksi'!$E:$E,$E334))</f>
        <v/>
      </c>
      <c r="D334" s="5">
        <f>IF($E334="","",INDEX('Input Transaksi'!$F:$F,$E334))</f>
        <v/>
      </c>
      <c r="E334">
        <f>IFERROR(AGGREGATE(15,6,ROW('Input Transaksi'!$B$5:$B$5000)/('Input Transaksi'!$B$5:$B$5000="LONDRI DEWE ANTASURA"),ROWS($E$5:E334)),"")</f>
        <v/>
      </c>
      <c r="F334" s="5" t="n"/>
    </row>
    <row r="335">
      <c r="A335" s="10">
        <f>IF($E335="","",INDEX('Input Transaksi'!$A:$A,$E335))</f>
        <v/>
      </c>
      <c r="B335" s="5">
        <f>IF($E335="","",INDEX('Input Transaksi'!$D:$D,$E335))</f>
        <v/>
      </c>
      <c r="C335">
        <f>IF($E335="","",INDEX('Input Transaksi'!$E:$E,$E335))</f>
        <v/>
      </c>
      <c r="D335" s="5">
        <f>IF($E335="","",INDEX('Input Transaksi'!$F:$F,$E335))</f>
        <v/>
      </c>
      <c r="E335">
        <f>IFERROR(AGGREGATE(15,6,ROW('Input Transaksi'!$B$5:$B$5000)/('Input Transaksi'!$B$5:$B$5000="LONDRI DEWE ANTASURA"),ROWS($E$5:E335)),"")</f>
        <v/>
      </c>
      <c r="F335" s="5" t="n"/>
    </row>
    <row r="336">
      <c r="A336" s="10">
        <f>IF($E336="","",INDEX('Input Transaksi'!$A:$A,$E336))</f>
        <v/>
      </c>
      <c r="B336" s="5">
        <f>IF($E336="","",INDEX('Input Transaksi'!$D:$D,$E336))</f>
        <v/>
      </c>
      <c r="C336">
        <f>IF($E336="","",INDEX('Input Transaksi'!$E:$E,$E336))</f>
        <v/>
      </c>
      <c r="D336" s="5">
        <f>IF($E336="","",INDEX('Input Transaksi'!$F:$F,$E336))</f>
        <v/>
      </c>
      <c r="E336">
        <f>IFERROR(AGGREGATE(15,6,ROW('Input Transaksi'!$B$5:$B$5000)/('Input Transaksi'!$B$5:$B$5000="LONDRI DEWE ANTASURA"),ROWS($E$5:E336)),"")</f>
        <v/>
      </c>
      <c r="F336" s="5" t="n"/>
    </row>
    <row r="337">
      <c r="A337" s="10">
        <f>IF($E337="","",INDEX('Input Transaksi'!$A:$A,$E337))</f>
        <v/>
      </c>
      <c r="B337" s="5">
        <f>IF($E337="","",INDEX('Input Transaksi'!$D:$D,$E337))</f>
        <v/>
      </c>
      <c r="C337">
        <f>IF($E337="","",INDEX('Input Transaksi'!$E:$E,$E337))</f>
        <v/>
      </c>
      <c r="D337" s="5">
        <f>IF($E337="","",INDEX('Input Transaksi'!$F:$F,$E337))</f>
        <v/>
      </c>
      <c r="E337">
        <f>IFERROR(AGGREGATE(15,6,ROW('Input Transaksi'!$B$5:$B$5000)/('Input Transaksi'!$B$5:$B$5000="LONDRI DEWE ANTASURA"),ROWS($E$5:E337)),"")</f>
        <v/>
      </c>
      <c r="F337" s="5" t="n"/>
    </row>
    <row r="338">
      <c r="A338" s="10">
        <f>IF($E338="","",INDEX('Input Transaksi'!$A:$A,$E338))</f>
        <v/>
      </c>
      <c r="B338" s="5">
        <f>IF($E338="","",INDEX('Input Transaksi'!$D:$D,$E338))</f>
        <v/>
      </c>
      <c r="C338">
        <f>IF($E338="","",INDEX('Input Transaksi'!$E:$E,$E338))</f>
        <v/>
      </c>
      <c r="D338" s="5">
        <f>IF($E338="","",INDEX('Input Transaksi'!$F:$F,$E338))</f>
        <v/>
      </c>
      <c r="E338">
        <f>IFERROR(AGGREGATE(15,6,ROW('Input Transaksi'!$B$5:$B$5000)/('Input Transaksi'!$B$5:$B$5000="LONDRI DEWE ANTASURA"),ROWS($E$5:E338)),"")</f>
        <v/>
      </c>
      <c r="F338" s="5" t="n"/>
    </row>
    <row r="339">
      <c r="A339" s="10">
        <f>IF($E339="","",INDEX('Input Transaksi'!$A:$A,$E339))</f>
        <v/>
      </c>
      <c r="B339" s="5">
        <f>IF($E339="","",INDEX('Input Transaksi'!$D:$D,$E339))</f>
        <v/>
      </c>
      <c r="C339">
        <f>IF($E339="","",INDEX('Input Transaksi'!$E:$E,$E339))</f>
        <v/>
      </c>
      <c r="D339" s="5">
        <f>IF($E339="","",INDEX('Input Transaksi'!$F:$F,$E339))</f>
        <v/>
      </c>
      <c r="E339">
        <f>IFERROR(AGGREGATE(15,6,ROW('Input Transaksi'!$B$5:$B$5000)/('Input Transaksi'!$B$5:$B$5000="LONDRI DEWE ANTASURA"),ROWS($E$5:E339)),"")</f>
        <v/>
      </c>
      <c r="F339" s="5" t="n"/>
    </row>
    <row r="340">
      <c r="A340" s="10">
        <f>IF($E340="","",INDEX('Input Transaksi'!$A:$A,$E340))</f>
        <v/>
      </c>
      <c r="B340" s="5">
        <f>IF($E340="","",INDEX('Input Transaksi'!$D:$D,$E340))</f>
        <v/>
      </c>
      <c r="C340">
        <f>IF($E340="","",INDEX('Input Transaksi'!$E:$E,$E340))</f>
        <v/>
      </c>
      <c r="D340" s="5">
        <f>IF($E340="","",INDEX('Input Transaksi'!$F:$F,$E340))</f>
        <v/>
      </c>
      <c r="E340">
        <f>IFERROR(AGGREGATE(15,6,ROW('Input Transaksi'!$B$5:$B$5000)/('Input Transaksi'!$B$5:$B$5000="LONDRI DEWE ANTASURA"),ROWS($E$5:E340)),"")</f>
        <v/>
      </c>
      <c r="F340" s="5" t="n"/>
    </row>
    <row r="341">
      <c r="A341" s="10">
        <f>IF($E341="","",INDEX('Input Transaksi'!$A:$A,$E341))</f>
        <v/>
      </c>
      <c r="B341" s="5">
        <f>IF($E341="","",INDEX('Input Transaksi'!$D:$D,$E341))</f>
        <v/>
      </c>
      <c r="C341">
        <f>IF($E341="","",INDEX('Input Transaksi'!$E:$E,$E341))</f>
        <v/>
      </c>
      <c r="D341" s="5">
        <f>IF($E341="","",INDEX('Input Transaksi'!$F:$F,$E341))</f>
        <v/>
      </c>
      <c r="E341">
        <f>IFERROR(AGGREGATE(15,6,ROW('Input Transaksi'!$B$5:$B$5000)/('Input Transaksi'!$B$5:$B$5000="LONDRI DEWE ANTASURA"),ROWS($E$5:E341)),"")</f>
        <v/>
      </c>
      <c r="F341" s="5" t="n"/>
    </row>
    <row r="342">
      <c r="A342" s="10">
        <f>IF($E342="","",INDEX('Input Transaksi'!$A:$A,$E342))</f>
        <v/>
      </c>
      <c r="B342" s="5">
        <f>IF($E342="","",INDEX('Input Transaksi'!$D:$D,$E342))</f>
        <v/>
      </c>
      <c r="C342">
        <f>IF($E342="","",INDEX('Input Transaksi'!$E:$E,$E342))</f>
        <v/>
      </c>
      <c r="D342" s="5">
        <f>IF($E342="","",INDEX('Input Transaksi'!$F:$F,$E342))</f>
        <v/>
      </c>
      <c r="E342">
        <f>IFERROR(AGGREGATE(15,6,ROW('Input Transaksi'!$B$5:$B$5000)/('Input Transaksi'!$B$5:$B$5000="LONDRI DEWE ANTASURA"),ROWS($E$5:E342)),"")</f>
        <v/>
      </c>
      <c r="F342" s="5" t="n"/>
    </row>
    <row r="343">
      <c r="A343" s="10">
        <f>IF($E343="","",INDEX('Input Transaksi'!$A:$A,$E343))</f>
        <v/>
      </c>
      <c r="B343" s="5">
        <f>IF($E343="","",INDEX('Input Transaksi'!$D:$D,$E343))</f>
        <v/>
      </c>
      <c r="C343">
        <f>IF($E343="","",INDEX('Input Transaksi'!$E:$E,$E343))</f>
        <v/>
      </c>
      <c r="D343" s="5">
        <f>IF($E343="","",INDEX('Input Transaksi'!$F:$F,$E343))</f>
        <v/>
      </c>
      <c r="E343">
        <f>IFERROR(AGGREGATE(15,6,ROW('Input Transaksi'!$B$5:$B$5000)/('Input Transaksi'!$B$5:$B$5000="LONDRI DEWE ANTASURA"),ROWS($E$5:E343)),"")</f>
        <v/>
      </c>
      <c r="F343" s="5" t="n"/>
    </row>
    <row r="344">
      <c r="A344" s="10">
        <f>IF($E344="","",INDEX('Input Transaksi'!$A:$A,$E344))</f>
        <v/>
      </c>
      <c r="B344" s="5">
        <f>IF($E344="","",INDEX('Input Transaksi'!$D:$D,$E344))</f>
        <v/>
      </c>
      <c r="C344">
        <f>IF($E344="","",INDEX('Input Transaksi'!$E:$E,$E344))</f>
        <v/>
      </c>
      <c r="D344" s="5">
        <f>IF($E344="","",INDEX('Input Transaksi'!$F:$F,$E344))</f>
        <v/>
      </c>
      <c r="E344">
        <f>IFERROR(AGGREGATE(15,6,ROW('Input Transaksi'!$B$5:$B$5000)/('Input Transaksi'!$B$5:$B$5000="LONDRI DEWE ANTASURA"),ROWS($E$5:E344)),"")</f>
        <v/>
      </c>
      <c r="F344" s="5" t="n"/>
    </row>
    <row r="345">
      <c r="A345" s="10">
        <f>IF($E345="","",INDEX('Input Transaksi'!$A:$A,$E345))</f>
        <v/>
      </c>
      <c r="B345" s="5">
        <f>IF($E345="","",INDEX('Input Transaksi'!$D:$D,$E345))</f>
        <v/>
      </c>
      <c r="C345">
        <f>IF($E345="","",INDEX('Input Transaksi'!$E:$E,$E345))</f>
        <v/>
      </c>
      <c r="D345" s="5">
        <f>IF($E345="","",INDEX('Input Transaksi'!$F:$F,$E345))</f>
        <v/>
      </c>
      <c r="E345">
        <f>IFERROR(AGGREGATE(15,6,ROW('Input Transaksi'!$B$5:$B$5000)/('Input Transaksi'!$B$5:$B$5000="LONDRI DEWE ANTASURA"),ROWS($E$5:E345)),"")</f>
        <v/>
      </c>
      <c r="F345" s="5" t="n"/>
    </row>
    <row r="346">
      <c r="A346" s="10">
        <f>IF($E346="","",INDEX('Input Transaksi'!$A:$A,$E346))</f>
        <v/>
      </c>
      <c r="B346" s="5">
        <f>IF($E346="","",INDEX('Input Transaksi'!$D:$D,$E346))</f>
        <v/>
      </c>
      <c r="C346">
        <f>IF($E346="","",INDEX('Input Transaksi'!$E:$E,$E346))</f>
        <v/>
      </c>
      <c r="D346" s="5">
        <f>IF($E346="","",INDEX('Input Transaksi'!$F:$F,$E346))</f>
        <v/>
      </c>
      <c r="E346">
        <f>IFERROR(AGGREGATE(15,6,ROW('Input Transaksi'!$B$5:$B$5000)/('Input Transaksi'!$B$5:$B$5000="LONDRI DEWE ANTASURA"),ROWS($E$5:E346)),"")</f>
        <v/>
      </c>
      <c r="F346" s="5" t="n"/>
    </row>
    <row r="347">
      <c r="A347" s="10">
        <f>IF($E347="","",INDEX('Input Transaksi'!$A:$A,$E347))</f>
        <v/>
      </c>
      <c r="B347" s="5">
        <f>IF($E347="","",INDEX('Input Transaksi'!$D:$D,$E347))</f>
        <v/>
      </c>
      <c r="C347">
        <f>IF($E347="","",INDEX('Input Transaksi'!$E:$E,$E347))</f>
        <v/>
      </c>
      <c r="D347" s="5">
        <f>IF($E347="","",INDEX('Input Transaksi'!$F:$F,$E347))</f>
        <v/>
      </c>
      <c r="E347">
        <f>IFERROR(AGGREGATE(15,6,ROW('Input Transaksi'!$B$5:$B$5000)/('Input Transaksi'!$B$5:$B$5000="LONDRI DEWE ANTASURA"),ROWS($E$5:E347)),"")</f>
        <v/>
      </c>
      <c r="F347" s="5" t="n"/>
    </row>
    <row r="348">
      <c r="A348" s="10">
        <f>IF($E348="","",INDEX('Input Transaksi'!$A:$A,$E348))</f>
        <v/>
      </c>
      <c r="B348" s="5">
        <f>IF($E348="","",INDEX('Input Transaksi'!$D:$D,$E348))</f>
        <v/>
      </c>
      <c r="C348">
        <f>IF($E348="","",INDEX('Input Transaksi'!$E:$E,$E348))</f>
        <v/>
      </c>
      <c r="D348" s="5">
        <f>IF($E348="","",INDEX('Input Transaksi'!$F:$F,$E348))</f>
        <v/>
      </c>
      <c r="E348">
        <f>IFERROR(AGGREGATE(15,6,ROW('Input Transaksi'!$B$5:$B$5000)/('Input Transaksi'!$B$5:$B$5000="LONDRI DEWE ANTASURA"),ROWS($E$5:E348)),"")</f>
        <v/>
      </c>
      <c r="F348" s="5" t="n"/>
    </row>
    <row r="349">
      <c r="A349" s="10">
        <f>IF($E349="","",INDEX('Input Transaksi'!$A:$A,$E349))</f>
        <v/>
      </c>
      <c r="B349" s="5">
        <f>IF($E349="","",INDEX('Input Transaksi'!$D:$D,$E349))</f>
        <v/>
      </c>
      <c r="C349">
        <f>IF($E349="","",INDEX('Input Transaksi'!$E:$E,$E349))</f>
        <v/>
      </c>
      <c r="D349" s="5">
        <f>IF($E349="","",INDEX('Input Transaksi'!$F:$F,$E349))</f>
        <v/>
      </c>
      <c r="E349">
        <f>IFERROR(AGGREGATE(15,6,ROW('Input Transaksi'!$B$5:$B$5000)/('Input Transaksi'!$B$5:$B$5000="LONDRI DEWE ANTASURA"),ROWS($E$5:E349)),"")</f>
        <v/>
      </c>
      <c r="F349" s="5" t="n"/>
    </row>
    <row r="350">
      <c r="A350" s="10">
        <f>IF($E350="","",INDEX('Input Transaksi'!$A:$A,$E350))</f>
        <v/>
      </c>
      <c r="B350" s="5">
        <f>IF($E350="","",INDEX('Input Transaksi'!$D:$D,$E350))</f>
        <v/>
      </c>
      <c r="C350">
        <f>IF($E350="","",INDEX('Input Transaksi'!$E:$E,$E350))</f>
        <v/>
      </c>
      <c r="D350" s="5">
        <f>IF($E350="","",INDEX('Input Transaksi'!$F:$F,$E350))</f>
        <v/>
      </c>
      <c r="E350">
        <f>IFERROR(AGGREGATE(15,6,ROW('Input Transaksi'!$B$5:$B$5000)/('Input Transaksi'!$B$5:$B$5000="LONDRI DEWE ANTASURA"),ROWS($E$5:E350)),"")</f>
        <v/>
      </c>
      <c r="F350" s="5" t="n"/>
    </row>
    <row r="351">
      <c r="A351" s="10">
        <f>IF($E351="","",INDEX('Input Transaksi'!$A:$A,$E351))</f>
        <v/>
      </c>
      <c r="B351" s="5">
        <f>IF($E351="","",INDEX('Input Transaksi'!$D:$D,$E351))</f>
        <v/>
      </c>
      <c r="C351">
        <f>IF($E351="","",INDEX('Input Transaksi'!$E:$E,$E351))</f>
        <v/>
      </c>
      <c r="D351" s="5">
        <f>IF($E351="","",INDEX('Input Transaksi'!$F:$F,$E351))</f>
        <v/>
      </c>
      <c r="E351">
        <f>IFERROR(AGGREGATE(15,6,ROW('Input Transaksi'!$B$5:$B$5000)/('Input Transaksi'!$B$5:$B$5000="LONDRI DEWE ANTASURA"),ROWS($E$5:E351)),"")</f>
        <v/>
      </c>
      <c r="F351" s="5" t="n"/>
    </row>
    <row r="352">
      <c r="A352" s="10">
        <f>IF($E352="","",INDEX('Input Transaksi'!$A:$A,$E352))</f>
        <v/>
      </c>
      <c r="B352" s="5">
        <f>IF($E352="","",INDEX('Input Transaksi'!$D:$D,$E352))</f>
        <v/>
      </c>
      <c r="C352">
        <f>IF($E352="","",INDEX('Input Transaksi'!$E:$E,$E352))</f>
        <v/>
      </c>
      <c r="D352" s="5">
        <f>IF($E352="","",INDEX('Input Transaksi'!$F:$F,$E352))</f>
        <v/>
      </c>
      <c r="E352">
        <f>IFERROR(AGGREGATE(15,6,ROW('Input Transaksi'!$B$5:$B$5000)/('Input Transaksi'!$B$5:$B$5000="LONDRI DEWE ANTASURA"),ROWS($E$5:E352)),"")</f>
        <v/>
      </c>
      <c r="F352" s="5" t="n"/>
    </row>
    <row r="353">
      <c r="A353" s="10">
        <f>IF($E353="","",INDEX('Input Transaksi'!$A:$A,$E353))</f>
        <v/>
      </c>
      <c r="B353" s="5">
        <f>IF($E353="","",INDEX('Input Transaksi'!$D:$D,$E353))</f>
        <v/>
      </c>
      <c r="C353">
        <f>IF($E353="","",INDEX('Input Transaksi'!$E:$E,$E353))</f>
        <v/>
      </c>
      <c r="D353" s="5">
        <f>IF($E353="","",INDEX('Input Transaksi'!$F:$F,$E353))</f>
        <v/>
      </c>
      <c r="E353">
        <f>IFERROR(AGGREGATE(15,6,ROW('Input Transaksi'!$B$5:$B$5000)/('Input Transaksi'!$B$5:$B$5000="LONDRI DEWE ANTASURA"),ROWS($E$5:E353)),"")</f>
        <v/>
      </c>
      <c r="F353" s="5" t="n"/>
    </row>
    <row r="354">
      <c r="A354" s="10">
        <f>IF($E354="","",INDEX('Input Transaksi'!$A:$A,$E354))</f>
        <v/>
      </c>
      <c r="B354" s="5">
        <f>IF($E354="","",INDEX('Input Transaksi'!$D:$D,$E354))</f>
        <v/>
      </c>
      <c r="C354">
        <f>IF($E354="","",INDEX('Input Transaksi'!$E:$E,$E354))</f>
        <v/>
      </c>
      <c r="D354" s="5">
        <f>IF($E354="","",INDEX('Input Transaksi'!$F:$F,$E354))</f>
        <v/>
      </c>
      <c r="E354">
        <f>IFERROR(AGGREGATE(15,6,ROW('Input Transaksi'!$B$5:$B$5000)/('Input Transaksi'!$B$5:$B$5000="LONDRI DEWE ANTASURA"),ROWS($E$5:E354)),"")</f>
        <v/>
      </c>
      <c r="F354" s="5" t="n"/>
    </row>
    <row r="355">
      <c r="A355" s="10">
        <f>IF($E355="","",INDEX('Input Transaksi'!$A:$A,$E355))</f>
        <v/>
      </c>
      <c r="B355" s="5">
        <f>IF($E355="","",INDEX('Input Transaksi'!$D:$D,$E355))</f>
        <v/>
      </c>
      <c r="C355">
        <f>IF($E355="","",INDEX('Input Transaksi'!$E:$E,$E355))</f>
        <v/>
      </c>
      <c r="D355" s="5">
        <f>IF($E355="","",INDEX('Input Transaksi'!$F:$F,$E355))</f>
        <v/>
      </c>
      <c r="E355">
        <f>IFERROR(AGGREGATE(15,6,ROW('Input Transaksi'!$B$5:$B$5000)/('Input Transaksi'!$B$5:$B$5000="LONDRI DEWE ANTASURA"),ROWS($E$5:E355)),"")</f>
        <v/>
      </c>
      <c r="F355" s="5" t="n"/>
    </row>
    <row r="356">
      <c r="A356" s="10">
        <f>IF($E356="","",INDEX('Input Transaksi'!$A:$A,$E356))</f>
        <v/>
      </c>
      <c r="B356" s="5">
        <f>IF($E356="","",INDEX('Input Transaksi'!$D:$D,$E356))</f>
        <v/>
      </c>
      <c r="C356">
        <f>IF($E356="","",INDEX('Input Transaksi'!$E:$E,$E356))</f>
        <v/>
      </c>
      <c r="D356" s="5">
        <f>IF($E356="","",INDEX('Input Transaksi'!$F:$F,$E356))</f>
        <v/>
      </c>
      <c r="E356">
        <f>IFERROR(AGGREGATE(15,6,ROW('Input Transaksi'!$B$5:$B$5000)/('Input Transaksi'!$B$5:$B$5000="LONDRI DEWE ANTASURA"),ROWS($E$5:E356)),"")</f>
        <v/>
      </c>
      <c r="F356" s="5" t="n"/>
    </row>
    <row r="357">
      <c r="A357" s="10">
        <f>IF($E357="","",INDEX('Input Transaksi'!$A:$A,$E357))</f>
        <v/>
      </c>
      <c r="B357" s="5">
        <f>IF($E357="","",INDEX('Input Transaksi'!$D:$D,$E357))</f>
        <v/>
      </c>
      <c r="C357">
        <f>IF($E357="","",INDEX('Input Transaksi'!$E:$E,$E357))</f>
        <v/>
      </c>
      <c r="D357" s="5">
        <f>IF($E357="","",INDEX('Input Transaksi'!$F:$F,$E357))</f>
        <v/>
      </c>
      <c r="E357">
        <f>IFERROR(AGGREGATE(15,6,ROW('Input Transaksi'!$B$5:$B$5000)/('Input Transaksi'!$B$5:$B$5000="LONDRI DEWE ANTASURA"),ROWS($E$5:E357)),"")</f>
        <v/>
      </c>
      <c r="F357" s="5" t="n"/>
    </row>
    <row r="358">
      <c r="A358" s="10">
        <f>IF($E358="","",INDEX('Input Transaksi'!$A:$A,$E358))</f>
        <v/>
      </c>
      <c r="B358" s="5">
        <f>IF($E358="","",INDEX('Input Transaksi'!$D:$D,$E358))</f>
        <v/>
      </c>
      <c r="C358">
        <f>IF($E358="","",INDEX('Input Transaksi'!$E:$E,$E358))</f>
        <v/>
      </c>
      <c r="D358" s="5">
        <f>IF($E358="","",INDEX('Input Transaksi'!$F:$F,$E358))</f>
        <v/>
      </c>
      <c r="E358">
        <f>IFERROR(AGGREGATE(15,6,ROW('Input Transaksi'!$B$5:$B$5000)/('Input Transaksi'!$B$5:$B$5000="LONDRI DEWE ANTASURA"),ROWS($E$5:E358)),"")</f>
        <v/>
      </c>
      <c r="F358" s="5" t="n"/>
    </row>
    <row r="359">
      <c r="A359" s="10">
        <f>IF($E359="","",INDEX('Input Transaksi'!$A:$A,$E359))</f>
        <v/>
      </c>
      <c r="B359" s="5">
        <f>IF($E359="","",INDEX('Input Transaksi'!$D:$D,$E359))</f>
        <v/>
      </c>
      <c r="C359">
        <f>IF($E359="","",INDEX('Input Transaksi'!$E:$E,$E359))</f>
        <v/>
      </c>
      <c r="D359" s="5">
        <f>IF($E359="","",INDEX('Input Transaksi'!$F:$F,$E359))</f>
        <v/>
      </c>
      <c r="E359">
        <f>IFERROR(AGGREGATE(15,6,ROW('Input Transaksi'!$B$5:$B$5000)/('Input Transaksi'!$B$5:$B$5000="LONDRI DEWE ANTASURA"),ROWS($E$5:E359)),"")</f>
        <v/>
      </c>
      <c r="F359" s="5" t="n"/>
    </row>
    <row r="360">
      <c r="A360" s="10">
        <f>IF($E360="","",INDEX('Input Transaksi'!$A:$A,$E360))</f>
        <v/>
      </c>
      <c r="B360" s="5">
        <f>IF($E360="","",INDEX('Input Transaksi'!$D:$D,$E360))</f>
        <v/>
      </c>
      <c r="C360">
        <f>IF($E360="","",INDEX('Input Transaksi'!$E:$E,$E360))</f>
        <v/>
      </c>
      <c r="D360" s="5">
        <f>IF($E360="","",INDEX('Input Transaksi'!$F:$F,$E360))</f>
        <v/>
      </c>
      <c r="E360">
        <f>IFERROR(AGGREGATE(15,6,ROW('Input Transaksi'!$B$5:$B$5000)/('Input Transaksi'!$B$5:$B$5000="LONDRI DEWE ANTASURA"),ROWS($E$5:E360)),"")</f>
        <v/>
      </c>
      <c r="F360" s="5" t="n"/>
    </row>
    <row r="361">
      <c r="A361" s="10">
        <f>IF($E361="","",INDEX('Input Transaksi'!$A:$A,$E361))</f>
        <v/>
      </c>
      <c r="B361" s="5">
        <f>IF($E361="","",INDEX('Input Transaksi'!$D:$D,$E361))</f>
        <v/>
      </c>
      <c r="C361">
        <f>IF($E361="","",INDEX('Input Transaksi'!$E:$E,$E361))</f>
        <v/>
      </c>
      <c r="D361" s="5">
        <f>IF($E361="","",INDEX('Input Transaksi'!$F:$F,$E361))</f>
        <v/>
      </c>
      <c r="E361">
        <f>IFERROR(AGGREGATE(15,6,ROW('Input Transaksi'!$B$5:$B$5000)/('Input Transaksi'!$B$5:$B$5000="LONDRI DEWE ANTASURA"),ROWS($E$5:E361)),"")</f>
        <v/>
      </c>
      <c r="F361" s="5" t="n"/>
    </row>
    <row r="362">
      <c r="A362" s="10">
        <f>IF($E362="","",INDEX('Input Transaksi'!$A:$A,$E362))</f>
        <v/>
      </c>
      <c r="B362" s="5">
        <f>IF($E362="","",INDEX('Input Transaksi'!$D:$D,$E362))</f>
        <v/>
      </c>
      <c r="C362">
        <f>IF($E362="","",INDEX('Input Transaksi'!$E:$E,$E362))</f>
        <v/>
      </c>
      <c r="D362" s="5">
        <f>IF($E362="","",INDEX('Input Transaksi'!$F:$F,$E362))</f>
        <v/>
      </c>
      <c r="E362">
        <f>IFERROR(AGGREGATE(15,6,ROW('Input Transaksi'!$B$5:$B$5000)/('Input Transaksi'!$B$5:$B$5000="LONDRI DEWE ANTASURA"),ROWS($E$5:E362)),"")</f>
        <v/>
      </c>
      <c r="F362" s="5" t="n"/>
    </row>
    <row r="363">
      <c r="A363" s="10">
        <f>IF($E363="","",INDEX('Input Transaksi'!$A:$A,$E363))</f>
        <v/>
      </c>
      <c r="B363" s="5">
        <f>IF($E363="","",INDEX('Input Transaksi'!$D:$D,$E363))</f>
        <v/>
      </c>
      <c r="C363">
        <f>IF($E363="","",INDEX('Input Transaksi'!$E:$E,$E363))</f>
        <v/>
      </c>
      <c r="D363" s="5">
        <f>IF($E363="","",INDEX('Input Transaksi'!$F:$F,$E363))</f>
        <v/>
      </c>
      <c r="E363">
        <f>IFERROR(AGGREGATE(15,6,ROW('Input Transaksi'!$B$5:$B$5000)/('Input Transaksi'!$B$5:$B$5000="LONDRI DEWE ANTASURA"),ROWS($E$5:E363)),"")</f>
        <v/>
      </c>
      <c r="F363" s="5" t="n"/>
    </row>
    <row r="364">
      <c r="A364" s="10">
        <f>IF($E364="","",INDEX('Input Transaksi'!$A:$A,$E364))</f>
        <v/>
      </c>
      <c r="B364" s="5">
        <f>IF($E364="","",INDEX('Input Transaksi'!$D:$D,$E364))</f>
        <v/>
      </c>
      <c r="C364">
        <f>IF($E364="","",INDEX('Input Transaksi'!$E:$E,$E364))</f>
        <v/>
      </c>
      <c r="D364" s="5">
        <f>IF($E364="","",INDEX('Input Transaksi'!$F:$F,$E364))</f>
        <v/>
      </c>
      <c r="E364">
        <f>IFERROR(AGGREGATE(15,6,ROW('Input Transaksi'!$B$5:$B$5000)/('Input Transaksi'!$B$5:$B$5000="LONDRI DEWE ANTASURA"),ROWS($E$5:E364)),"")</f>
        <v/>
      </c>
      <c r="F364" s="5" t="n"/>
    </row>
    <row r="365">
      <c r="A365" s="10">
        <f>IF($E365="","",INDEX('Input Transaksi'!$A:$A,$E365))</f>
        <v/>
      </c>
      <c r="B365" s="5">
        <f>IF($E365="","",INDEX('Input Transaksi'!$D:$D,$E365))</f>
        <v/>
      </c>
      <c r="C365">
        <f>IF($E365="","",INDEX('Input Transaksi'!$E:$E,$E365))</f>
        <v/>
      </c>
      <c r="D365" s="5">
        <f>IF($E365="","",INDEX('Input Transaksi'!$F:$F,$E365))</f>
        <v/>
      </c>
      <c r="E365">
        <f>IFERROR(AGGREGATE(15,6,ROW('Input Transaksi'!$B$5:$B$5000)/('Input Transaksi'!$B$5:$B$5000="LONDRI DEWE ANTASURA"),ROWS($E$5:E365)),"")</f>
        <v/>
      </c>
      <c r="F365" s="5" t="n"/>
    </row>
    <row r="366">
      <c r="A366" s="10">
        <f>IF($E366="","",INDEX('Input Transaksi'!$A:$A,$E366))</f>
        <v/>
      </c>
      <c r="B366" s="5">
        <f>IF($E366="","",INDEX('Input Transaksi'!$D:$D,$E366))</f>
        <v/>
      </c>
      <c r="C366">
        <f>IF($E366="","",INDEX('Input Transaksi'!$E:$E,$E366))</f>
        <v/>
      </c>
      <c r="D366" s="5">
        <f>IF($E366="","",INDEX('Input Transaksi'!$F:$F,$E366))</f>
        <v/>
      </c>
      <c r="E366">
        <f>IFERROR(AGGREGATE(15,6,ROW('Input Transaksi'!$B$5:$B$5000)/('Input Transaksi'!$B$5:$B$5000="LONDRI DEWE ANTASURA"),ROWS($E$5:E366)),"")</f>
        <v/>
      </c>
      <c r="F366" s="5" t="n"/>
    </row>
    <row r="367">
      <c r="A367" s="10">
        <f>IF($E367="","",INDEX('Input Transaksi'!$A:$A,$E367))</f>
        <v/>
      </c>
      <c r="B367" s="5">
        <f>IF($E367="","",INDEX('Input Transaksi'!$D:$D,$E367))</f>
        <v/>
      </c>
      <c r="C367">
        <f>IF($E367="","",INDEX('Input Transaksi'!$E:$E,$E367))</f>
        <v/>
      </c>
      <c r="D367" s="5">
        <f>IF($E367="","",INDEX('Input Transaksi'!$F:$F,$E367))</f>
        <v/>
      </c>
      <c r="E367">
        <f>IFERROR(AGGREGATE(15,6,ROW('Input Transaksi'!$B$5:$B$5000)/('Input Transaksi'!$B$5:$B$5000="LONDRI DEWE ANTASURA"),ROWS($E$5:E367)),"")</f>
        <v/>
      </c>
      <c r="F367" s="5" t="n"/>
    </row>
    <row r="368">
      <c r="A368" s="10">
        <f>IF($E368="","",INDEX('Input Transaksi'!$A:$A,$E368))</f>
        <v/>
      </c>
      <c r="B368" s="5">
        <f>IF($E368="","",INDEX('Input Transaksi'!$D:$D,$E368))</f>
        <v/>
      </c>
      <c r="C368">
        <f>IF($E368="","",INDEX('Input Transaksi'!$E:$E,$E368))</f>
        <v/>
      </c>
      <c r="D368" s="5">
        <f>IF($E368="","",INDEX('Input Transaksi'!$F:$F,$E368))</f>
        <v/>
      </c>
      <c r="E368">
        <f>IFERROR(AGGREGATE(15,6,ROW('Input Transaksi'!$B$5:$B$5000)/('Input Transaksi'!$B$5:$B$5000="LONDRI DEWE ANTASURA"),ROWS($E$5:E368)),"")</f>
        <v/>
      </c>
      <c r="F368" s="5" t="n"/>
    </row>
    <row r="369">
      <c r="A369" s="10">
        <f>IF($E369="","",INDEX('Input Transaksi'!$A:$A,$E369))</f>
        <v/>
      </c>
      <c r="B369" s="5">
        <f>IF($E369="","",INDEX('Input Transaksi'!$D:$D,$E369))</f>
        <v/>
      </c>
      <c r="C369">
        <f>IF($E369="","",INDEX('Input Transaksi'!$E:$E,$E369))</f>
        <v/>
      </c>
      <c r="D369" s="5">
        <f>IF($E369="","",INDEX('Input Transaksi'!$F:$F,$E369))</f>
        <v/>
      </c>
      <c r="E369">
        <f>IFERROR(AGGREGATE(15,6,ROW('Input Transaksi'!$B$5:$B$5000)/('Input Transaksi'!$B$5:$B$5000="LONDRI DEWE ANTASURA"),ROWS($E$5:E369)),"")</f>
        <v/>
      </c>
      <c r="F369" s="5" t="n"/>
    </row>
    <row r="370">
      <c r="A370" s="10">
        <f>IF($E370="","",INDEX('Input Transaksi'!$A:$A,$E370))</f>
        <v/>
      </c>
      <c r="B370" s="5">
        <f>IF($E370="","",INDEX('Input Transaksi'!$D:$D,$E370))</f>
        <v/>
      </c>
      <c r="C370">
        <f>IF($E370="","",INDEX('Input Transaksi'!$E:$E,$E370))</f>
        <v/>
      </c>
      <c r="D370" s="5">
        <f>IF($E370="","",INDEX('Input Transaksi'!$F:$F,$E370))</f>
        <v/>
      </c>
      <c r="E370">
        <f>IFERROR(AGGREGATE(15,6,ROW('Input Transaksi'!$B$5:$B$5000)/('Input Transaksi'!$B$5:$B$5000="LONDRI DEWE ANTASURA"),ROWS($E$5:E370)),"")</f>
        <v/>
      </c>
      <c r="F370" s="5" t="n"/>
    </row>
    <row r="371">
      <c r="A371" s="10">
        <f>IF($E371="","",INDEX('Input Transaksi'!$A:$A,$E371))</f>
        <v/>
      </c>
      <c r="B371" s="5">
        <f>IF($E371="","",INDEX('Input Transaksi'!$D:$D,$E371))</f>
        <v/>
      </c>
      <c r="C371">
        <f>IF($E371="","",INDEX('Input Transaksi'!$E:$E,$E371))</f>
        <v/>
      </c>
      <c r="D371" s="5">
        <f>IF($E371="","",INDEX('Input Transaksi'!$F:$F,$E371))</f>
        <v/>
      </c>
      <c r="E371">
        <f>IFERROR(AGGREGATE(15,6,ROW('Input Transaksi'!$B$5:$B$5000)/('Input Transaksi'!$B$5:$B$5000="LONDRI DEWE ANTASURA"),ROWS($E$5:E371)),"")</f>
        <v/>
      </c>
      <c r="F371" s="5" t="n"/>
    </row>
    <row r="372">
      <c r="A372" s="10">
        <f>IF($E372="","",INDEX('Input Transaksi'!$A:$A,$E372))</f>
        <v/>
      </c>
      <c r="B372" s="5">
        <f>IF($E372="","",INDEX('Input Transaksi'!$D:$D,$E372))</f>
        <v/>
      </c>
      <c r="C372">
        <f>IF($E372="","",INDEX('Input Transaksi'!$E:$E,$E372))</f>
        <v/>
      </c>
      <c r="D372" s="5">
        <f>IF($E372="","",INDEX('Input Transaksi'!$F:$F,$E372))</f>
        <v/>
      </c>
      <c r="E372">
        <f>IFERROR(AGGREGATE(15,6,ROW('Input Transaksi'!$B$5:$B$5000)/('Input Transaksi'!$B$5:$B$5000="LONDRI DEWE ANTASURA"),ROWS($E$5:E372)),"")</f>
        <v/>
      </c>
      <c r="F372" s="5" t="n"/>
    </row>
    <row r="373">
      <c r="A373" s="10">
        <f>IF($E373="","",INDEX('Input Transaksi'!$A:$A,$E373))</f>
        <v/>
      </c>
      <c r="B373" s="5">
        <f>IF($E373="","",INDEX('Input Transaksi'!$D:$D,$E373))</f>
        <v/>
      </c>
      <c r="C373">
        <f>IF($E373="","",INDEX('Input Transaksi'!$E:$E,$E373))</f>
        <v/>
      </c>
      <c r="D373" s="5">
        <f>IF($E373="","",INDEX('Input Transaksi'!$F:$F,$E373))</f>
        <v/>
      </c>
      <c r="E373">
        <f>IFERROR(AGGREGATE(15,6,ROW('Input Transaksi'!$B$5:$B$5000)/('Input Transaksi'!$B$5:$B$5000="LONDRI DEWE ANTASURA"),ROWS($E$5:E373)),"")</f>
        <v/>
      </c>
      <c r="F373" s="5" t="n"/>
    </row>
    <row r="374">
      <c r="A374" s="10">
        <f>IF($E374="","",INDEX('Input Transaksi'!$A:$A,$E374))</f>
        <v/>
      </c>
      <c r="B374" s="5">
        <f>IF($E374="","",INDEX('Input Transaksi'!$D:$D,$E374))</f>
        <v/>
      </c>
      <c r="C374">
        <f>IF($E374="","",INDEX('Input Transaksi'!$E:$E,$E374))</f>
        <v/>
      </c>
      <c r="D374" s="5">
        <f>IF($E374="","",INDEX('Input Transaksi'!$F:$F,$E374))</f>
        <v/>
      </c>
      <c r="E374">
        <f>IFERROR(AGGREGATE(15,6,ROW('Input Transaksi'!$B$5:$B$5000)/('Input Transaksi'!$B$5:$B$5000="LONDRI DEWE ANTASURA"),ROWS($E$5:E374)),"")</f>
        <v/>
      </c>
      <c r="F374" s="5" t="n"/>
    </row>
    <row r="375">
      <c r="A375" s="10">
        <f>IF($E375="","",INDEX('Input Transaksi'!$A:$A,$E375))</f>
        <v/>
      </c>
      <c r="B375" s="5">
        <f>IF($E375="","",INDEX('Input Transaksi'!$D:$D,$E375))</f>
        <v/>
      </c>
      <c r="C375">
        <f>IF($E375="","",INDEX('Input Transaksi'!$E:$E,$E375))</f>
        <v/>
      </c>
      <c r="D375" s="5">
        <f>IF($E375="","",INDEX('Input Transaksi'!$F:$F,$E375))</f>
        <v/>
      </c>
      <c r="E375">
        <f>IFERROR(AGGREGATE(15,6,ROW('Input Transaksi'!$B$5:$B$5000)/('Input Transaksi'!$B$5:$B$5000="LONDRI DEWE ANTASURA"),ROWS($E$5:E375)),"")</f>
        <v/>
      </c>
      <c r="F375" s="5" t="n"/>
    </row>
    <row r="376">
      <c r="A376" s="10">
        <f>IF($E376="","",INDEX('Input Transaksi'!$A:$A,$E376))</f>
        <v/>
      </c>
      <c r="B376" s="5">
        <f>IF($E376="","",INDEX('Input Transaksi'!$D:$D,$E376))</f>
        <v/>
      </c>
      <c r="C376">
        <f>IF($E376="","",INDEX('Input Transaksi'!$E:$E,$E376))</f>
        <v/>
      </c>
      <c r="D376" s="5">
        <f>IF($E376="","",INDEX('Input Transaksi'!$F:$F,$E376))</f>
        <v/>
      </c>
      <c r="E376">
        <f>IFERROR(AGGREGATE(15,6,ROW('Input Transaksi'!$B$5:$B$5000)/('Input Transaksi'!$B$5:$B$5000="LONDRI DEWE ANTASURA"),ROWS($E$5:E376)),"")</f>
        <v/>
      </c>
      <c r="F376" s="5" t="n"/>
    </row>
    <row r="377">
      <c r="A377" s="10">
        <f>IF($E377="","",INDEX('Input Transaksi'!$A:$A,$E377))</f>
        <v/>
      </c>
      <c r="B377" s="5">
        <f>IF($E377="","",INDEX('Input Transaksi'!$D:$D,$E377))</f>
        <v/>
      </c>
      <c r="C377">
        <f>IF($E377="","",INDEX('Input Transaksi'!$E:$E,$E377))</f>
        <v/>
      </c>
      <c r="D377" s="5">
        <f>IF($E377="","",INDEX('Input Transaksi'!$F:$F,$E377))</f>
        <v/>
      </c>
      <c r="E377">
        <f>IFERROR(AGGREGATE(15,6,ROW('Input Transaksi'!$B$5:$B$5000)/('Input Transaksi'!$B$5:$B$5000="LONDRI DEWE ANTASURA"),ROWS($E$5:E377)),"")</f>
        <v/>
      </c>
      <c r="F377" s="5" t="n"/>
    </row>
    <row r="378">
      <c r="A378" s="10">
        <f>IF($E378="","",INDEX('Input Transaksi'!$A:$A,$E378))</f>
        <v/>
      </c>
      <c r="B378" s="5">
        <f>IF($E378="","",INDEX('Input Transaksi'!$D:$D,$E378))</f>
        <v/>
      </c>
      <c r="C378">
        <f>IF($E378="","",INDEX('Input Transaksi'!$E:$E,$E378))</f>
        <v/>
      </c>
      <c r="D378" s="5">
        <f>IF($E378="","",INDEX('Input Transaksi'!$F:$F,$E378))</f>
        <v/>
      </c>
      <c r="E378">
        <f>IFERROR(AGGREGATE(15,6,ROW('Input Transaksi'!$B$5:$B$5000)/('Input Transaksi'!$B$5:$B$5000="LONDRI DEWE ANTASURA"),ROWS($E$5:E378)),"")</f>
        <v/>
      </c>
      <c r="F378" s="5" t="n"/>
    </row>
    <row r="379">
      <c r="A379" s="10">
        <f>IF($E379="","",INDEX('Input Transaksi'!$A:$A,$E379))</f>
        <v/>
      </c>
      <c r="B379" s="5">
        <f>IF($E379="","",INDEX('Input Transaksi'!$D:$D,$E379))</f>
        <v/>
      </c>
      <c r="C379">
        <f>IF($E379="","",INDEX('Input Transaksi'!$E:$E,$E379))</f>
        <v/>
      </c>
      <c r="D379" s="5">
        <f>IF($E379="","",INDEX('Input Transaksi'!$F:$F,$E379))</f>
        <v/>
      </c>
      <c r="E379">
        <f>IFERROR(AGGREGATE(15,6,ROW('Input Transaksi'!$B$5:$B$5000)/('Input Transaksi'!$B$5:$B$5000="LONDRI DEWE ANTASURA"),ROWS($E$5:E379)),"")</f>
        <v/>
      </c>
      <c r="F379" s="5" t="n"/>
    </row>
    <row r="380">
      <c r="A380" s="10">
        <f>IF($E380="","",INDEX('Input Transaksi'!$A:$A,$E380))</f>
        <v/>
      </c>
      <c r="B380" s="5">
        <f>IF($E380="","",INDEX('Input Transaksi'!$D:$D,$E380))</f>
        <v/>
      </c>
      <c r="C380">
        <f>IF($E380="","",INDEX('Input Transaksi'!$E:$E,$E380))</f>
        <v/>
      </c>
      <c r="D380" s="5">
        <f>IF($E380="","",INDEX('Input Transaksi'!$F:$F,$E380))</f>
        <v/>
      </c>
      <c r="E380">
        <f>IFERROR(AGGREGATE(15,6,ROW('Input Transaksi'!$B$5:$B$5000)/('Input Transaksi'!$B$5:$B$5000="LONDRI DEWE ANTASURA"),ROWS($E$5:E380)),"")</f>
        <v/>
      </c>
      <c r="F380" s="5" t="n"/>
    </row>
    <row r="381">
      <c r="A381" s="10">
        <f>IF($E381="","",INDEX('Input Transaksi'!$A:$A,$E381))</f>
        <v/>
      </c>
      <c r="B381" s="5">
        <f>IF($E381="","",INDEX('Input Transaksi'!$D:$D,$E381))</f>
        <v/>
      </c>
      <c r="C381">
        <f>IF($E381="","",INDEX('Input Transaksi'!$E:$E,$E381))</f>
        <v/>
      </c>
      <c r="D381" s="5">
        <f>IF($E381="","",INDEX('Input Transaksi'!$F:$F,$E381))</f>
        <v/>
      </c>
      <c r="E381">
        <f>IFERROR(AGGREGATE(15,6,ROW('Input Transaksi'!$B$5:$B$5000)/('Input Transaksi'!$B$5:$B$5000="LONDRI DEWE ANTASURA"),ROWS($E$5:E381)),"")</f>
        <v/>
      </c>
      <c r="F381" s="5" t="n"/>
    </row>
    <row r="382">
      <c r="A382" s="10">
        <f>IF($E382="","",INDEX('Input Transaksi'!$A:$A,$E382))</f>
        <v/>
      </c>
      <c r="B382" s="5">
        <f>IF($E382="","",INDEX('Input Transaksi'!$D:$D,$E382))</f>
        <v/>
      </c>
      <c r="C382">
        <f>IF($E382="","",INDEX('Input Transaksi'!$E:$E,$E382))</f>
        <v/>
      </c>
      <c r="D382" s="5">
        <f>IF($E382="","",INDEX('Input Transaksi'!$F:$F,$E382))</f>
        <v/>
      </c>
      <c r="E382">
        <f>IFERROR(AGGREGATE(15,6,ROW('Input Transaksi'!$B$5:$B$5000)/('Input Transaksi'!$B$5:$B$5000="LONDRI DEWE ANTASURA"),ROWS($E$5:E382)),"")</f>
        <v/>
      </c>
      <c r="F382" s="5" t="n"/>
    </row>
    <row r="383">
      <c r="A383" s="10">
        <f>IF($E383="","",INDEX('Input Transaksi'!$A:$A,$E383))</f>
        <v/>
      </c>
      <c r="B383" s="5">
        <f>IF($E383="","",INDEX('Input Transaksi'!$D:$D,$E383))</f>
        <v/>
      </c>
      <c r="C383">
        <f>IF($E383="","",INDEX('Input Transaksi'!$E:$E,$E383))</f>
        <v/>
      </c>
      <c r="D383" s="5">
        <f>IF($E383="","",INDEX('Input Transaksi'!$F:$F,$E383))</f>
        <v/>
      </c>
      <c r="E383">
        <f>IFERROR(AGGREGATE(15,6,ROW('Input Transaksi'!$B$5:$B$5000)/('Input Transaksi'!$B$5:$B$5000="LONDRI DEWE ANTASURA"),ROWS($E$5:E383)),"")</f>
        <v/>
      </c>
      <c r="F383" s="5" t="n"/>
    </row>
    <row r="384">
      <c r="A384" s="10">
        <f>IF($E384="","",INDEX('Input Transaksi'!$A:$A,$E384))</f>
        <v/>
      </c>
      <c r="B384" s="5">
        <f>IF($E384="","",INDEX('Input Transaksi'!$D:$D,$E384))</f>
        <v/>
      </c>
      <c r="C384">
        <f>IF($E384="","",INDEX('Input Transaksi'!$E:$E,$E384))</f>
        <v/>
      </c>
      <c r="D384" s="5">
        <f>IF($E384="","",INDEX('Input Transaksi'!$F:$F,$E384))</f>
        <v/>
      </c>
      <c r="E384">
        <f>IFERROR(AGGREGATE(15,6,ROW('Input Transaksi'!$B$5:$B$5000)/('Input Transaksi'!$B$5:$B$5000="LONDRI DEWE ANTASURA"),ROWS($E$5:E384)),"")</f>
        <v/>
      </c>
      <c r="F384" s="5" t="n"/>
    </row>
    <row r="385">
      <c r="A385" s="10">
        <f>IF($E385="","",INDEX('Input Transaksi'!$A:$A,$E385))</f>
        <v/>
      </c>
      <c r="B385" s="5">
        <f>IF($E385="","",INDEX('Input Transaksi'!$D:$D,$E385))</f>
        <v/>
      </c>
      <c r="C385">
        <f>IF($E385="","",INDEX('Input Transaksi'!$E:$E,$E385))</f>
        <v/>
      </c>
      <c r="D385" s="5">
        <f>IF($E385="","",INDEX('Input Transaksi'!$F:$F,$E385))</f>
        <v/>
      </c>
      <c r="E385">
        <f>IFERROR(AGGREGATE(15,6,ROW('Input Transaksi'!$B$5:$B$5000)/('Input Transaksi'!$B$5:$B$5000="LONDRI DEWE ANTASURA"),ROWS($E$5:E385)),"")</f>
        <v/>
      </c>
      <c r="F385" s="5" t="n"/>
    </row>
    <row r="386">
      <c r="A386" s="10">
        <f>IF($E386="","",INDEX('Input Transaksi'!$A:$A,$E386))</f>
        <v/>
      </c>
      <c r="B386" s="5">
        <f>IF($E386="","",INDEX('Input Transaksi'!$D:$D,$E386))</f>
        <v/>
      </c>
      <c r="C386">
        <f>IF($E386="","",INDEX('Input Transaksi'!$E:$E,$E386))</f>
        <v/>
      </c>
      <c r="D386" s="5">
        <f>IF($E386="","",INDEX('Input Transaksi'!$F:$F,$E386))</f>
        <v/>
      </c>
      <c r="E386">
        <f>IFERROR(AGGREGATE(15,6,ROW('Input Transaksi'!$B$5:$B$5000)/('Input Transaksi'!$B$5:$B$5000="LONDRI DEWE ANTASURA"),ROWS($E$5:E386)),"")</f>
        <v/>
      </c>
      <c r="F386" s="5" t="n"/>
    </row>
    <row r="387">
      <c r="A387" s="10">
        <f>IF($E387="","",INDEX('Input Transaksi'!$A:$A,$E387))</f>
        <v/>
      </c>
      <c r="B387" s="5">
        <f>IF($E387="","",INDEX('Input Transaksi'!$D:$D,$E387))</f>
        <v/>
      </c>
      <c r="C387">
        <f>IF($E387="","",INDEX('Input Transaksi'!$E:$E,$E387))</f>
        <v/>
      </c>
      <c r="D387" s="5">
        <f>IF($E387="","",INDEX('Input Transaksi'!$F:$F,$E387))</f>
        <v/>
      </c>
      <c r="E387">
        <f>IFERROR(AGGREGATE(15,6,ROW('Input Transaksi'!$B$5:$B$5000)/('Input Transaksi'!$B$5:$B$5000="LONDRI DEWE ANTASURA"),ROWS($E$5:E387)),"")</f>
        <v/>
      </c>
      <c r="F387" s="5" t="n"/>
    </row>
    <row r="388">
      <c r="A388" s="10">
        <f>IF($E388="","",INDEX('Input Transaksi'!$A:$A,$E388))</f>
        <v/>
      </c>
      <c r="B388" s="5">
        <f>IF($E388="","",INDEX('Input Transaksi'!$D:$D,$E388))</f>
        <v/>
      </c>
      <c r="C388">
        <f>IF($E388="","",INDEX('Input Transaksi'!$E:$E,$E388))</f>
        <v/>
      </c>
      <c r="D388" s="5">
        <f>IF($E388="","",INDEX('Input Transaksi'!$F:$F,$E388))</f>
        <v/>
      </c>
      <c r="E388">
        <f>IFERROR(AGGREGATE(15,6,ROW('Input Transaksi'!$B$5:$B$5000)/('Input Transaksi'!$B$5:$B$5000="LONDRI DEWE ANTASURA"),ROWS($E$5:E388)),"")</f>
        <v/>
      </c>
      <c r="F388" s="5" t="n"/>
    </row>
    <row r="389">
      <c r="A389" s="10">
        <f>IF($E389="","",INDEX('Input Transaksi'!$A:$A,$E389))</f>
        <v/>
      </c>
      <c r="B389" s="5">
        <f>IF($E389="","",INDEX('Input Transaksi'!$D:$D,$E389))</f>
        <v/>
      </c>
      <c r="C389">
        <f>IF($E389="","",INDEX('Input Transaksi'!$E:$E,$E389))</f>
        <v/>
      </c>
      <c r="D389" s="5">
        <f>IF($E389="","",INDEX('Input Transaksi'!$F:$F,$E389))</f>
        <v/>
      </c>
      <c r="E389">
        <f>IFERROR(AGGREGATE(15,6,ROW('Input Transaksi'!$B$5:$B$5000)/('Input Transaksi'!$B$5:$B$5000="LONDRI DEWE ANTASURA"),ROWS($E$5:E389)),"")</f>
        <v/>
      </c>
      <c r="F389" s="5" t="n"/>
    </row>
    <row r="390">
      <c r="A390" s="10">
        <f>IF($E390="","",INDEX('Input Transaksi'!$A:$A,$E390))</f>
        <v/>
      </c>
      <c r="B390" s="5">
        <f>IF($E390="","",INDEX('Input Transaksi'!$D:$D,$E390))</f>
        <v/>
      </c>
      <c r="C390">
        <f>IF($E390="","",INDEX('Input Transaksi'!$E:$E,$E390))</f>
        <v/>
      </c>
      <c r="D390" s="5">
        <f>IF($E390="","",INDEX('Input Transaksi'!$F:$F,$E390))</f>
        <v/>
      </c>
      <c r="E390">
        <f>IFERROR(AGGREGATE(15,6,ROW('Input Transaksi'!$B$5:$B$5000)/('Input Transaksi'!$B$5:$B$5000="LONDRI DEWE ANTASURA"),ROWS($E$5:E390)),"")</f>
        <v/>
      </c>
      <c r="F390" s="5" t="n"/>
    </row>
    <row r="391">
      <c r="A391" s="10">
        <f>IF($E391="","",INDEX('Input Transaksi'!$A:$A,$E391))</f>
        <v/>
      </c>
      <c r="B391" s="5">
        <f>IF($E391="","",INDEX('Input Transaksi'!$D:$D,$E391))</f>
        <v/>
      </c>
      <c r="C391">
        <f>IF($E391="","",INDEX('Input Transaksi'!$E:$E,$E391))</f>
        <v/>
      </c>
      <c r="D391" s="5">
        <f>IF($E391="","",INDEX('Input Transaksi'!$F:$F,$E391))</f>
        <v/>
      </c>
      <c r="E391">
        <f>IFERROR(AGGREGATE(15,6,ROW('Input Transaksi'!$B$5:$B$5000)/('Input Transaksi'!$B$5:$B$5000="LONDRI DEWE ANTASURA"),ROWS($E$5:E391)),"")</f>
        <v/>
      </c>
      <c r="F391" s="5" t="n"/>
    </row>
    <row r="392">
      <c r="A392" s="10">
        <f>IF($E392="","",INDEX('Input Transaksi'!$A:$A,$E392))</f>
        <v/>
      </c>
      <c r="B392" s="5">
        <f>IF($E392="","",INDEX('Input Transaksi'!$D:$D,$E392))</f>
        <v/>
      </c>
      <c r="C392">
        <f>IF($E392="","",INDEX('Input Transaksi'!$E:$E,$E392))</f>
        <v/>
      </c>
      <c r="D392" s="5">
        <f>IF($E392="","",INDEX('Input Transaksi'!$F:$F,$E392))</f>
        <v/>
      </c>
      <c r="E392">
        <f>IFERROR(AGGREGATE(15,6,ROW('Input Transaksi'!$B$5:$B$5000)/('Input Transaksi'!$B$5:$B$5000="LONDRI DEWE ANTASURA"),ROWS($E$5:E392)),"")</f>
        <v/>
      </c>
      <c r="F392" s="5" t="n"/>
    </row>
    <row r="393">
      <c r="A393" s="10">
        <f>IF($E393="","",INDEX('Input Transaksi'!$A:$A,$E393))</f>
        <v/>
      </c>
      <c r="B393" s="5">
        <f>IF($E393="","",INDEX('Input Transaksi'!$D:$D,$E393))</f>
        <v/>
      </c>
      <c r="C393">
        <f>IF($E393="","",INDEX('Input Transaksi'!$E:$E,$E393))</f>
        <v/>
      </c>
      <c r="D393" s="5">
        <f>IF($E393="","",INDEX('Input Transaksi'!$F:$F,$E393))</f>
        <v/>
      </c>
      <c r="E393">
        <f>IFERROR(AGGREGATE(15,6,ROW('Input Transaksi'!$B$5:$B$5000)/('Input Transaksi'!$B$5:$B$5000="LONDRI DEWE ANTASURA"),ROWS($E$5:E393)),"")</f>
        <v/>
      </c>
      <c r="F393" s="5" t="n"/>
    </row>
    <row r="394">
      <c r="A394" s="10">
        <f>IF($E394="","",INDEX('Input Transaksi'!$A:$A,$E394))</f>
        <v/>
      </c>
      <c r="B394" s="5">
        <f>IF($E394="","",INDEX('Input Transaksi'!$D:$D,$E394))</f>
        <v/>
      </c>
      <c r="C394">
        <f>IF($E394="","",INDEX('Input Transaksi'!$E:$E,$E394))</f>
        <v/>
      </c>
      <c r="D394" s="5">
        <f>IF($E394="","",INDEX('Input Transaksi'!$F:$F,$E394))</f>
        <v/>
      </c>
      <c r="E394">
        <f>IFERROR(AGGREGATE(15,6,ROW('Input Transaksi'!$B$5:$B$5000)/('Input Transaksi'!$B$5:$B$5000="LONDRI DEWE ANTASURA"),ROWS($E$5:E394)),"")</f>
        <v/>
      </c>
      <c r="F394" s="5" t="n"/>
    </row>
    <row r="395">
      <c r="A395" s="10">
        <f>IF($E395="","",INDEX('Input Transaksi'!$A:$A,$E395))</f>
        <v/>
      </c>
      <c r="B395" s="5">
        <f>IF($E395="","",INDEX('Input Transaksi'!$D:$D,$E395))</f>
        <v/>
      </c>
      <c r="C395">
        <f>IF($E395="","",INDEX('Input Transaksi'!$E:$E,$E395))</f>
        <v/>
      </c>
      <c r="D395" s="5">
        <f>IF($E395="","",INDEX('Input Transaksi'!$F:$F,$E395))</f>
        <v/>
      </c>
      <c r="E395">
        <f>IFERROR(AGGREGATE(15,6,ROW('Input Transaksi'!$B$5:$B$5000)/('Input Transaksi'!$B$5:$B$5000="LONDRI DEWE ANTASURA"),ROWS($E$5:E395)),"")</f>
        <v/>
      </c>
      <c r="F395" s="5" t="n"/>
    </row>
    <row r="396">
      <c r="A396" s="10">
        <f>IF($E396="","",INDEX('Input Transaksi'!$A:$A,$E396))</f>
        <v/>
      </c>
      <c r="B396" s="5">
        <f>IF($E396="","",INDEX('Input Transaksi'!$D:$D,$E396))</f>
        <v/>
      </c>
      <c r="C396">
        <f>IF($E396="","",INDEX('Input Transaksi'!$E:$E,$E396))</f>
        <v/>
      </c>
      <c r="D396" s="5">
        <f>IF($E396="","",INDEX('Input Transaksi'!$F:$F,$E396))</f>
        <v/>
      </c>
      <c r="E396">
        <f>IFERROR(AGGREGATE(15,6,ROW('Input Transaksi'!$B$5:$B$5000)/('Input Transaksi'!$B$5:$B$5000="LONDRI DEWE ANTASURA"),ROWS($E$5:E396)),"")</f>
        <v/>
      </c>
      <c r="F396" s="5" t="n"/>
    </row>
    <row r="397">
      <c r="A397" s="10">
        <f>IF($E397="","",INDEX('Input Transaksi'!$A:$A,$E397))</f>
        <v/>
      </c>
      <c r="B397" s="5">
        <f>IF($E397="","",INDEX('Input Transaksi'!$D:$D,$E397))</f>
        <v/>
      </c>
      <c r="C397">
        <f>IF($E397="","",INDEX('Input Transaksi'!$E:$E,$E397))</f>
        <v/>
      </c>
      <c r="D397" s="5">
        <f>IF($E397="","",INDEX('Input Transaksi'!$F:$F,$E397))</f>
        <v/>
      </c>
      <c r="E397">
        <f>IFERROR(AGGREGATE(15,6,ROW('Input Transaksi'!$B$5:$B$5000)/('Input Transaksi'!$B$5:$B$5000="LONDRI DEWE ANTASURA"),ROWS($E$5:E397)),"")</f>
        <v/>
      </c>
      <c r="F397" s="5" t="n"/>
    </row>
    <row r="398">
      <c r="A398" s="10">
        <f>IF($E398="","",INDEX('Input Transaksi'!$A:$A,$E398))</f>
        <v/>
      </c>
      <c r="B398" s="5">
        <f>IF($E398="","",INDEX('Input Transaksi'!$D:$D,$E398))</f>
        <v/>
      </c>
      <c r="C398">
        <f>IF($E398="","",INDEX('Input Transaksi'!$E:$E,$E398))</f>
        <v/>
      </c>
      <c r="D398" s="5">
        <f>IF($E398="","",INDEX('Input Transaksi'!$F:$F,$E398))</f>
        <v/>
      </c>
      <c r="E398">
        <f>IFERROR(AGGREGATE(15,6,ROW('Input Transaksi'!$B$5:$B$5000)/('Input Transaksi'!$B$5:$B$5000="LONDRI DEWE ANTASURA"),ROWS($E$5:E398)),"")</f>
        <v/>
      </c>
      <c r="F398" s="5" t="n"/>
    </row>
    <row r="399">
      <c r="A399" s="10">
        <f>IF($E399="","",INDEX('Input Transaksi'!$A:$A,$E399))</f>
        <v/>
      </c>
      <c r="B399" s="5">
        <f>IF($E399="","",INDEX('Input Transaksi'!$D:$D,$E399))</f>
        <v/>
      </c>
      <c r="C399">
        <f>IF($E399="","",INDEX('Input Transaksi'!$E:$E,$E399))</f>
        <v/>
      </c>
      <c r="D399" s="5">
        <f>IF($E399="","",INDEX('Input Transaksi'!$F:$F,$E399))</f>
        <v/>
      </c>
      <c r="E399">
        <f>IFERROR(AGGREGATE(15,6,ROW('Input Transaksi'!$B$5:$B$5000)/('Input Transaksi'!$B$5:$B$5000="LONDRI DEWE ANTASURA"),ROWS($E$5:E399)),"")</f>
        <v/>
      </c>
      <c r="F399" s="5" t="n"/>
    </row>
    <row r="400">
      <c r="A400" s="10">
        <f>IF($E400="","",INDEX('Input Transaksi'!$A:$A,$E400))</f>
        <v/>
      </c>
      <c r="B400" s="5">
        <f>IF($E400="","",INDEX('Input Transaksi'!$D:$D,$E400))</f>
        <v/>
      </c>
      <c r="C400">
        <f>IF($E400="","",INDEX('Input Transaksi'!$E:$E,$E400))</f>
        <v/>
      </c>
      <c r="D400" s="5">
        <f>IF($E400="","",INDEX('Input Transaksi'!$F:$F,$E400))</f>
        <v/>
      </c>
      <c r="E400">
        <f>IFERROR(AGGREGATE(15,6,ROW('Input Transaksi'!$B$5:$B$5000)/('Input Transaksi'!$B$5:$B$5000="LONDRI DEWE ANTASURA"),ROWS($E$5:E400)),"")</f>
        <v/>
      </c>
      <c r="F400" s="5" t="n"/>
    </row>
    <row r="401">
      <c r="A401" s="10">
        <f>IF($E401="","",INDEX('Input Transaksi'!$A:$A,$E401))</f>
        <v/>
      </c>
      <c r="B401" s="5">
        <f>IF($E401="","",INDEX('Input Transaksi'!$D:$D,$E401))</f>
        <v/>
      </c>
      <c r="C401">
        <f>IF($E401="","",INDEX('Input Transaksi'!$E:$E,$E401))</f>
        <v/>
      </c>
      <c r="D401" s="5">
        <f>IF($E401="","",INDEX('Input Transaksi'!$F:$F,$E401))</f>
        <v/>
      </c>
      <c r="E401">
        <f>IFERROR(AGGREGATE(15,6,ROW('Input Transaksi'!$B$5:$B$5000)/('Input Transaksi'!$B$5:$B$5000="LONDRI DEWE ANTASURA"),ROWS($E$5:E401)),"")</f>
        <v/>
      </c>
      <c r="F401" s="5" t="n"/>
    </row>
    <row r="402">
      <c r="A402" s="10">
        <f>IF($E402="","",INDEX('Input Transaksi'!$A:$A,$E402))</f>
        <v/>
      </c>
      <c r="B402" s="5">
        <f>IF($E402="","",INDEX('Input Transaksi'!$D:$D,$E402))</f>
        <v/>
      </c>
      <c r="C402">
        <f>IF($E402="","",INDEX('Input Transaksi'!$E:$E,$E402))</f>
        <v/>
      </c>
      <c r="D402" s="5">
        <f>IF($E402="","",INDEX('Input Transaksi'!$F:$F,$E402))</f>
        <v/>
      </c>
      <c r="E402">
        <f>IFERROR(AGGREGATE(15,6,ROW('Input Transaksi'!$B$5:$B$5000)/('Input Transaksi'!$B$5:$B$5000="LONDRI DEWE ANTASURA"),ROWS($E$5:E402)),"")</f>
        <v/>
      </c>
      <c r="F402" s="5" t="n"/>
    </row>
    <row r="403">
      <c r="A403" s="10">
        <f>IF($E403="","",INDEX('Input Transaksi'!$A:$A,$E403))</f>
        <v/>
      </c>
      <c r="B403" s="5">
        <f>IF($E403="","",INDEX('Input Transaksi'!$D:$D,$E403))</f>
        <v/>
      </c>
      <c r="C403">
        <f>IF($E403="","",INDEX('Input Transaksi'!$E:$E,$E403))</f>
        <v/>
      </c>
      <c r="D403" s="5">
        <f>IF($E403="","",INDEX('Input Transaksi'!$F:$F,$E403))</f>
        <v/>
      </c>
      <c r="E403">
        <f>IFERROR(AGGREGATE(15,6,ROW('Input Transaksi'!$B$5:$B$5000)/('Input Transaksi'!$B$5:$B$5000="LONDRI DEWE ANTASURA"),ROWS($E$5:E403)),"")</f>
        <v/>
      </c>
      <c r="F403" s="5" t="n"/>
    </row>
    <row r="404">
      <c r="A404" s="10">
        <f>IF($E404="","",INDEX('Input Transaksi'!$A:$A,$E404))</f>
        <v/>
      </c>
      <c r="B404" s="5">
        <f>IF($E404="","",INDEX('Input Transaksi'!$D:$D,$E404))</f>
        <v/>
      </c>
      <c r="C404">
        <f>IF($E404="","",INDEX('Input Transaksi'!$E:$E,$E404))</f>
        <v/>
      </c>
      <c r="D404" s="5">
        <f>IF($E404="","",INDEX('Input Transaksi'!$F:$F,$E404))</f>
        <v/>
      </c>
      <c r="E404">
        <f>IFERROR(AGGREGATE(15,6,ROW('Input Transaksi'!$B$5:$B$5000)/('Input Transaksi'!$B$5:$B$5000="LONDRI DEWE ANTASURA"),ROWS($E$5:E404)),"")</f>
        <v/>
      </c>
      <c r="F404" s="5" t="n"/>
    </row>
    <row r="405">
      <c r="A405" s="10">
        <f>IF($E405="","",INDEX('Input Transaksi'!$A:$A,$E405))</f>
        <v/>
      </c>
      <c r="B405" s="5">
        <f>IF($E405="","",INDEX('Input Transaksi'!$D:$D,$E405))</f>
        <v/>
      </c>
      <c r="C405">
        <f>IF($E405="","",INDEX('Input Transaksi'!$E:$E,$E405))</f>
        <v/>
      </c>
      <c r="D405" s="5">
        <f>IF($E405="","",INDEX('Input Transaksi'!$F:$F,$E405))</f>
        <v/>
      </c>
      <c r="E405">
        <f>IFERROR(AGGREGATE(15,6,ROW('Input Transaksi'!$B$5:$B$5000)/('Input Transaksi'!$B$5:$B$5000="LONDRI DEWE ANTASURA"),ROWS($E$5:E405)),"")</f>
        <v/>
      </c>
      <c r="F405" s="5" t="n"/>
    </row>
    <row r="406">
      <c r="A406" s="10">
        <f>IF($E406="","",INDEX('Input Transaksi'!$A:$A,$E406))</f>
        <v/>
      </c>
      <c r="B406" s="5">
        <f>IF($E406="","",INDEX('Input Transaksi'!$D:$D,$E406))</f>
        <v/>
      </c>
      <c r="C406">
        <f>IF($E406="","",INDEX('Input Transaksi'!$E:$E,$E406))</f>
        <v/>
      </c>
      <c r="D406" s="5">
        <f>IF($E406="","",INDEX('Input Transaksi'!$F:$F,$E406))</f>
        <v/>
      </c>
      <c r="E406">
        <f>IFERROR(AGGREGATE(15,6,ROW('Input Transaksi'!$B$5:$B$5000)/('Input Transaksi'!$B$5:$B$5000="LONDRI DEWE ANTASURA"),ROWS($E$5:E406)),"")</f>
        <v/>
      </c>
      <c r="F406" s="5" t="n"/>
    </row>
    <row r="407">
      <c r="A407" s="10">
        <f>IF($E407="","",INDEX('Input Transaksi'!$A:$A,$E407))</f>
        <v/>
      </c>
      <c r="B407" s="5">
        <f>IF($E407="","",INDEX('Input Transaksi'!$D:$D,$E407))</f>
        <v/>
      </c>
      <c r="C407">
        <f>IF($E407="","",INDEX('Input Transaksi'!$E:$E,$E407))</f>
        <v/>
      </c>
      <c r="D407" s="5">
        <f>IF($E407="","",INDEX('Input Transaksi'!$F:$F,$E407))</f>
        <v/>
      </c>
      <c r="E407">
        <f>IFERROR(AGGREGATE(15,6,ROW('Input Transaksi'!$B$5:$B$5000)/('Input Transaksi'!$B$5:$B$5000="LONDRI DEWE ANTASURA"),ROWS($E$5:E407)),"")</f>
        <v/>
      </c>
      <c r="F407" s="5" t="n"/>
    </row>
    <row r="408">
      <c r="A408" s="10">
        <f>IF($E408="","",INDEX('Input Transaksi'!$A:$A,$E408))</f>
        <v/>
      </c>
      <c r="B408" s="5">
        <f>IF($E408="","",INDEX('Input Transaksi'!$D:$D,$E408))</f>
        <v/>
      </c>
      <c r="C408">
        <f>IF($E408="","",INDEX('Input Transaksi'!$E:$E,$E408))</f>
        <v/>
      </c>
      <c r="D408" s="5">
        <f>IF($E408="","",INDEX('Input Transaksi'!$F:$F,$E408))</f>
        <v/>
      </c>
      <c r="E408">
        <f>IFERROR(AGGREGATE(15,6,ROW('Input Transaksi'!$B$5:$B$5000)/('Input Transaksi'!$B$5:$B$5000="LONDRI DEWE ANTASURA"),ROWS($E$5:E408)),"")</f>
        <v/>
      </c>
      <c r="F408" s="5" t="n"/>
    </row>
    <row r="409">
      <c r="A409" s="10">
        <f>IF($E409="","",INDEX('Input Transaksi'!$A:$A,$E409))</f>
        <v/>
      </c>
      <c r="B409" s="5">
        <f>IF($E409="","",INDEX('Input Transaksi'!$D:$D,$E409))</f>
        <v/>
      </c>
      <c r="C409">
        <f>IF($E409="","",INDEX('Input Transaksi'!$E:$E,$E409))</f>
        <v/>
      </c>
      <c r="D409" s="5">
        <f>IF($E409="","",INDEX('Input Transaksi'!$F:$F,$E409))</f>
        <v/>
      </c>
      <c r="E409">
        <f>IFERROR(AGGREGATE(15,6,ROW('Input Transaksi'!$B$5:$B$5000)/('Input Transaksi'!$B$5:$B$5000="LONDRI DEWE ANTASURA"),ROWS($E$5:E409)),"")</f>
        <v/>
      </c>
      <c r="F409" s="5" t="n"/>
    </row>
    <row r="410">
      <c r="A410" s="10">
        <f>IF($E410="","",INDEX('Input Transaksi'!$A:$A,$E410))</f>
        <v/>
      </c>
      <c r="B410" s="5">
        <f>IF($E410="","",INDEX('Input Transaksi'!$D:$D,$E410))</f>
        <v/>
      </c>
      <c r="C410">
        <f>IF($E410="","",INDEX('Input Transaksi'!$E:$E,$E410))</f>
        <v/>
      </c>
      <c r="D410" s="5">
        <f>IF($E410="","",INDEX('Input Transaksi'!$F:$F,$E410))</f>
        <v/>
      </c>
      <c r="E410">
        <f>IFERROR(AGGREGATE(15,6,ROW('Input Transaksi'!$B$5:$B$5000)/('Input Transaksi'!$B$5:$B$5000="LONDRI DEWE ANTASURA"),ROWS($E$5:E410)),"")</f>
        <v/>
      </c>
      <c r="F410" s="5" t="n"/>
    </row>
    <row r="411">
      <c r="A411" s="10">
        <f>IF($E411="","",INDEX('Input Transaksi'!$A:$A,$E411))</f>
        <v/>
      </c>
      <c r="B411" s="5">
        <f>IF($E411="","",INDEX('Input Transaksi'!$D:$D,$E411))</f>
        <v/>
      </c>
      <c r="C411">
        <f>IF($E411="","",INDEX('Input Transaksi'!$E:$E,$E411))</f>
        <v/>
      </c>
      <c r="D411" s="5">
        <f>IF($E411="","",INDEX('Input Transaksi'!$F:$F,$E411))</f>
        <v/>
      </c>
      <c r="E411">
        <f>IFERROR(AGGREGATE(15,6,ROW('Input Transaksi'!$B$5:$B$5000)/('Input Transaksi'!$B$5:$B$5000="LONDRI DEWE ANTASURA"),ROWS($E$5:E411)),"")</f>
        <v/>
      </c>
      <c r="F411" s="5" t="n"/>
    </row>
    <row r="412">
      <c r="A412" s="10">
        <f>IF($E412="","",INDEX('Input Transaksi'!$A:$A,$E412))</f>
        <v/>
      </c>
      <c r="B412" s="5">
        <f>IF($E412="","",INDEX('Input Transaksi'!$D:$D,$E412))</f>
        <v/>
      </c>
      <c r="C412">
        <f>IF($E412="","",INDEX('Input Transaksi'!$E:$E,$E412))</f>
        <v/>
      </c>
      <c r="D412" s="5">
        <f>IF($E412="","",INDEX('Input Transaksi'!$F:$F,$E412))</f>
        <v/>
      </c>
      <c r="E412">
        <f>IFERROR(AGGREGATE(15,6,ROW('Input Transaksi'!$B$5:$B$5000)/('Input Transaksi'!$B$5:$B$5000="LONDRI DEWE ANTASURA"),ROWS($E$5:E412)),"")</f>
        <v/>
      </c>
      <c r="F412" s="5" t="n"/>
    </row>
    <row r="413">
      <c r="A413" s="10">
        <f>IF($E413="","",INDEX('Input Transaksi'!$A:$A,$E413))</f>
        <v/>
      </c>
      <c r="B413" s="5">
        <f>IF($E413="","",INDEX('Input Transaksi'!$D:$D,$E413))</f>
        <v/>
      </c>
      <c r="C413">
        <f>IF($E413="","",INDEX('Input Transaksi'!$E:$E,$E413))</f>
        <v/>
      </c>
      <c r="D413" s="5">
        <f>IF($E413="","",INDEX('Input Transaksi'!$F:$F,$E413))</f>
        <v/>
      </c>
      <c r="E413">
        <f>IFERROR(AGGREGATE(15,6,ROW('Input Transaksi'!$B$5:$B$5000)/('Input Transaksi'!$B$5:$B$5000="LONDRI DEWE ANTASURA"),ROWS($E$5:E413)),"")</f>
        <v/>
      </c>
      <c r="F413" s="5" t="n"/>
    </row>
    <row r="414">
      <c r="A414" s="10">
        <f>IF($E414="","",INDEX('Input Transaksi'!$A:$A,$E414))</f>
        <v/>
      </c>
      <c r="B414" s="5">
        <f>IF($E414="","",INDEX('Input Transaksi'!$D:$D,$E414))</f>
        <v/>
      </c>
      <c r="C414">
        <f>IF($E414="","",INDEX('Input Transaksi'!$E:$E,$E414))</f>
        <v/>
      </c>
      <c r="D414" s="5">
        <f>IF($E414="","",INDEX('Input Transaksi'!$F:$F,$E414))</f>
        <v/>
      </c>
      <c r="E414">
        <f>IFERROR(AGGREGATE(15,6,ROW('Input Transaksi'!$B$5:$B$5000)/('Input Transaksi'!$B$5:$B$5000="LONDRI DEWE ANTASURA"),ROWS($E$5:E414)),"")</f>
        <v/>
      </c>
      <c r="F414" s="5" t="n"/>
    </row>
    <row r="415">
      <c r="A415" s="10">
        <f>IF($E415="","",INDEX('Input Transaksi'!$A:$A,$E415))</f>
        <v/>
      </c>
      <c r="B415" s="5">
        <f>IF($E415="","",INDEX('Input Transaksi'!$D:$D,$E415))</f>
        <v/>
      </c>
      <c r="C415">
        <f>IF($E415="","",INDEX('Input Transaksi'!$E:$E,$E415))</f>
        <v/>
      </c>
      <c r="D415" s="5">
        <f>IF($E415="","",INDEX('Input Transaksi'!$F:$F,$E415))</f>
        <v/>
      </c>
      <c r="E415">
        <f>IFERROR(AGGREGATE(15,6,ROW('Input Transaksi'!$B$5:$B$5000)/('Input Transaksi'!$B$5:$B$5000="LONDRI DEWE ANTASURA"),ROWS($E$5:E415)),"")</f>
        <v/>
      </c>
      <c r="F415" s="5" t="n"/>
    </row>
    <row r="416">
      <c r="A416" s="10">
        <f>IF($E416="","",INDEX('Input Transaksi'!$A:$A,$E416))</f>
        <v/>
      </c>
      <c r="B416" s="5">
        <f>IF($E416="","",INDEX('Input Transaksi'!$D:$D,$E416))</f>
        <v/>
      </c>
      <c r="C416">
        <f>IF($E416="","",INDEX('Input Transaksi'!$E:$E,$E416))</f>
        <v/>
      </c>
      <c r="D416" s="5">
        <f>IF($E416="","",INDEX('Input Transaksi'!$F:$F,$E416))</f>
        <v/>
      </c>
      <c r="E416">
        <f>IFERROR(AGGREGATE(15,6,ROW('Input Transaksi'!$B$5:$B$5000)/('Input Transaksi'!$B$5:$B$5000="LONDRI DEWE ANTASURA"),ROWS($E$5:E416)),"")</f>
        <v/>
      </c>
      <c r="F416" s="5" t="n"/>
    </row>
    <row r="417">
      <c r="A417" s="10">
        <f>IF($E417="","",INDEX('Input Transaksi'!$A:$A,$E417))</f>
        <v/>
      </c>
      <c r="B417" s="5">
        <f>IF($E417="","",INDEX('Input Transaksi'!$D:$D,$E417))</f>
        <v/>
      </c>
      <c r="C417">
        <f>IF($E417="","",INDEX('Input Transaksi'!$E:$E,$E417))</f>
        <v/>
      </c>
      <c r="D417" s="5">
        <f>IF($E417="","",INDEX('Input Transaksi'!$F:$F,$E417))</f>
        <v/>
      </c>
      <c r="E417">
        <f>IFERROR(AGGREGATE(15,6,ROW('Input Transaksi'!$B$5:$B$5000)/('Input Transaksi'!$B$5:$B$5000="LONDRI DEWE ANTASURA"),ROWS($E$5:E417)),"")</f>
        <v/>
      </c>
      <c r="F417" s="5" t="n"/>
    </row>
    <row r="418">
      <c r="A418" s="10">
        <f>IF($E418="","",INDEX('Input Transaksi'!$A:$A,$E418))</f>
        <v/>
      </c>
      <c r="B418" s="5">
        <f>IF($E418="","",INDEX('Input Transaksi'!$D:$D,$E418))</f>
        <v/>
      </c>
      <c r="C418">
        <f>IF($E418="","",INDEX('Input Transaksi'!$E:$E,$E418))</f>
        <v/>
      </c>
      <c r="D418" s="5">
        <f>IF($E418="","",INDEX('Input Transaksi'!$F:$F,$E418))</f>
        <v/>
      </c>
      <c r="E418">
        <f>IFERROR(AGGREGATE(15,6,ROW('Input Transaksi'!$B$5:$B$5000)/('Input Transaksi'!$B$5:$B$5000="LONDRI DEWE ANTASURA"),ROWS($E$5:E418)),"")</f>
        <v/>
      </c>
      <c r="F418" s="5" t="n"/>
    </row>
    <row r="419">
      <c r="A419" s="10">
        <f>IF($E419="","",INDEX('Input Transaksi'!$A:$A,$E419))</f>
        <v/>
      </c>
      <c r="B419" s="5">
        <f>IF($E419="","",INDEX('Input Transaksi'!$D:$D,$E419))</f>
        <v/>
      </c>
      <c r="C419">
        <f>IF($E419="","",INDEX('Input Transaksi'!$E:$E,$E419))</f>
        <v/>
      </c>
      <c r="D419" s="5">
        <f>IF($E419="","",INDEX('Input Transaksi'!$F:$F,$E419))</f>
        <v/>
      </c>
      <c r="E419">
        <f>IFERROR(AGGREGATE(15,6,ROW('Input Transaksi'!$B$5:$B$5000)/('Input Transaksi'!$B$5:$B$5000="LONDRI DEWE ANTASURA"),ROWS($E$5:E419)),"")</f>
        <v/>
      </c>
      <c r="F419" s="5" t="n"/>
    </row>
    <row r="420">
      <c r="A420" s="10">
        <f>IF($E420="","",INDEX('Input Transaksi'!$A:$A,$E420))</f>
        <v/>
      </c>
      <c r="B420" s="5">
        <f>IF($E420="","",INDEX('Input Transaksi'!$D:$D,$E420))</f>
        <v/>
      </c>
      <c r="C420">
        <f>IF($E420="","",INDEX('Input Transaksi'!$E:$E,$E420))</f>
        <v/>
      </c>
      <c r="D420" s="5">
        <f>IF($E420="","",INDEX('Input Transaksi'!$F:$F,$E420))</f>
        <v/>
      </c>
      <c r="E420">
        <f>IFERROR(AGGREGATE(15,6,ROW('Input Transaksi'!$B$5:$B$5000)/('Input Transaksi'!$B$5:$B$5000="LONDRI DEWE ANTASURA"),ROWS($E$5:E420)),"")</f>
        <v/>
      </c>
      <c r="F420" s="5" t="n"/>
    </row>
    <row r="421">
      <c r="A421" s="10">
        <f>IF($E421="","",INDEX('Input Transaksi'!$A:$A,$E421))</f>
        <v/>
      </c>
      <c r="B421" s="5">
        <f>IF($E421="","",INDEX('Input Transaksi'!$D:$D,$E421))</f>
        <v/>
      </c>
      <c r="C421">
        <f>IF($E421="","",INDEX('Input Transaksi'!$E:$E,$E421))</f>
        <v/>
      </c>
      <c r="D421" s="5">
        <f>IF($E421="","",INDEX('Input Transaksi'!$F:$F,$E421))</f>
        <v/>
      </c>
      <c r="E421">
        <f>IFERROR(AGGREGATE(15,6,ROW('Input Transaksi'!$B$5:$B$5000)/('Input Transaksi'!$B$5:$B$5000="LONDRI DEWE ANTASURA"),ROWS($E$5:E421)),"")</f>
        <v/>
      </c>
      <c r="F421" s="5" t="n"/>
    </row>
    <row r="422">
      <c r="A422" s="10">
        <f>IF($E422="","",INDEX('Input Transaksi'!$A:$A,$E422))</f>
        <v/>
      </c>
      <c r="B422" s="5">
        <f>IF($E422="","",INDEX('Input Transaksi'!$D:$D,$E422))</f>
        <v/>
      </c>
      <c r="C422">
        <f>IF($E422="","",INDEX('Input Transaksi'!$E:$E,$E422))</f>
        <v/>
      </c>
      <c r="D422" s="5">
        <f>IF($E422="","",INDEX('Input Transaksi'!$F:$F,$E422))</f>
        <v/>
      </c>
      <c r="E422">
        <f>IFERROR(AGGREGATE(15,6,ROW('Input Transaksi'!$B$5:$B$5000)/('Input Transaksi'!$B$5:$B$5000="LONDRI DEWE ANTASURA"),ROWS($E$5:E422)),"")</f>
        <v/>
      </c>
      <c r="F422" s="5" t="n"/>
    </row>
    <row r="423">
      <c r="A423" s="10">
        <f>IF($E423="","",INDEX('Input Transaksi'!$A:$A,$E423))</f>
        <v/>
      </c>
      <c r="B423" s="5">
        <f>IF($E423="","",INDEX('Input Transaksi'!$D:$D,$E423))</f>
        <v/>
      </c>
      <c r="C423">
        <f>IF($E423="","",INDEX('Input Transaksi'!$E:$E,$E423))</f>
        <v/>
      </c>
      <c r="D423" s="5">
        <f>IF($E423="","",INDEX('Input Transaksi'!$F:$F,$E423))</f>
        <v/>
      </c>
      <c r="E423">
        <f>IFERROR(AGGREGATE(15,6,ROW('Input Transaksi'!$B$5:$B$5000)/('Input Transaksi'!$B$5:$B$5000="LONDRI DEWE ANTASURA"),ROWS($E$5:E423)),"")</f>
        <v/>
      </c>
      <c r="F423" s="5" t="n"/>
    </row>
    <row r="424">
      <c r="A424" s="10">
        <f>IF($E424="","",INDEX('Input Transaksi'!$A:$A,$E424))</f>
        <v/>
      </c>
      <c r="B424" s="5">
        <f>IF($E424="","",INDEX('Input Transaksi'!$D:$D,$E424))</f>
        <v/>
      </c>
      <c r="C424">
        <f>IF($E424="","",INDEX('Input Transaksi'!$E:$E,$E424))</f>
        <v/>
      </c>
      <c r="D424" s="5">
        <f>IF($E424="","",INDEX('Input Transaksi'!$F:$F,$E424))</f>
        <v/>
      </c>
      <c r="E424">
        <f>IFERROR(AGGREGATE(15,6,ROW('Input Transaksi'!$B$5:$B$5000)/('Input Transaksi'!$B$5:$B$5000="LONDRI DEWE ANTASURA"),ROWS($E$5:E424)),"")</f>
        <v/>
      </c>
      <c r="F424" s="5" t="n"/>
    </row>
    <row r="425">
      <c r="A425" s="10">
        <f>IF($E425="","",INDEX('Input Transaksi'!$A:$A,$E425))</f>
        <v/>
      </c>
      <c r="B425" s="5">
        <f>IF($E425="","",INDEX('Input Transaksi'!$D:$D,$E425))</f>
        <v/>
      </c>
      <c r="C425">
        <f>IF($E425="","",INDEX('Input Transaksi'!$E:$E,$E425))</f>
        <v/>
      </c>
      <c r="D425" s="5">
        <f>IF($E425="","",INDEX('Input Transaksi'!$F:$F,$E425))</f>
        <v/>
      </c>
      <c r="E425">
        <f>IFERROR(AGGREGATE(15,6,ROW('Input Transaksi'!$B$5:$B$5000)/('Input Transaksi'!$B$5:$B$5000="LONDRI DEWE ANTASURA"),ROWS($E$5:E425)),"")</f>
        <v/>
      </c>
      <c r="F425" s="5" t="n"/>
    </row>
    <row r="426">
      <c r="A426" s="10">
        <f>IF($E426="","",INDEX('Input Transaksi'!$A:$A,$E426))</f>
        <v/>
      </c>
      <c r="B426" s="5">
        <f>IF($E426="","",INDEX('Input Transaksi'!$D:$D,$E426))</f>
        <v/>
      </c>
      <c r="C426">
        <f>IF($E426="","",INDEX('Input Transaksi'!$E:$E,$E426))</f>
        <v/>
      </c>
      <c r="D426" s="5">
        <f>IF($E426="","",INDEX('Input Transaksi'!$F:$F,$E426))</f>
        <v/>
      </c>
      <c r="E426">
        <f>IFERROR(AGGREGATE(15,6,ROW('Input Transaksi'!$B$5:$B$5000)/('Input Transaksi'!$B$5:$B$5000="LONDRI DEWE ANTASURA"),ROWS($E$5:E426)),"")</f>
        <v/>
      </c>
      <c r="F426" s="5" t="n"/>
    </row>
    <row r="427">
      <c r="A427" s="10">
        <f>IF($E427="","",INDEX('Input Transaksi'!$A:$A,$E427))</f>
        <v/>
      </c>
      <c r="B427" s="5">
        <f>IF($E427="","",INDEX('Input Transaksi'!$D:$D,$E427))</f>
        <v/>
      </c>
      <c r="C427">
        <f>IF($E427="","",INDEX('Input Transaksi'!$E:$E,$E427))</f>
        <v/>
      </c>
      <c r="D427" s="5">
        <f>IF($E427="","",INDEX('Input Transaksi'!$F:$F,$E427))</f>
        <v/>
      </c>
      <c r="E427">
        <f>IFERROR(AGGREGATE(15,6,ROW('Input Transaksi'!$B$5:$B$5000)/('Input Transaksi'!$B$5:$B$5000="LONDRI DEWE ANTASURA"),ROWS($E$5:E427)),"")</f>
        <v/>
      </c>
      <c r="F427" s="5" t="n"/>
    </row>
    <row r="428">
      <c r="A428" s="10">
        <f>IF($E428="","",INDEX('Input Transaksi'!$A:$A,$E428))</f>
        <v/>
      </c>
      <c r="B428" s="5">
        <f>IF($E428="","",INDEX('Input Transaksi'!$D:$D,$E428))</f>
        <v/>
      </c>
      <c r="C428">
        <f>IF($E428="","",INDEX('Input Transaksi'!$E:$E,$E428))</f>
        <v/>
      </c>
      <c r="D428" s="5">
        <f>IF($E428="","",INDEX('Input Transaksi'!$F:$F,$E428))</f>
        <v/>
      </c>
      <c r="E428">
        <f>IFERROR(AGGREGATE(15,6,ROW('Input Transaksi'!$B$5:$B$5000)/('Input Transaksi'!$B$5:$B$5000="LONDRI DEWE ANTASURA"),ROWS($E$5:E428)),"")</f>
        <v/>
      </c>
      <c r="F428" s="5" t="n"/>
    </row>
    <row r="429">
      <c r="A429" s="10">
        <f>IF($E429="","",INDEX('Input Transaksi'!$A:$A,$E429))</f>
        <v/>
      </c>
      <c r="B429" s="5">
        <f>IF($E429="","",INDEX('Input Transaksi'!$D:$D,$E429))</f>
        <v/>
      </c>
      <c r="C429">
        <f>IF($E429="","",INDEX('Input Transaksi'!$E:$E,$E429))</f>
        <v/>
      </c>
      <c r="D429" s="5">
        <f>IF($E429="","",INDEX('Input Transaksi'!$F:$F,$E429))</f>
        <v/>
      </c>
      <c r="E429">
        <f>IFERROR(AGGREGATE(15,6,ROW('Input Transaksi'!$B$5:$B$5000)/('Input Transaksi'!$B$5:$B$5000="LONDRI DEWE ANTASURA"),ROWS($E$5:E429)),"")</f>
        <v/>
      </c>
      <c r="F429" s="5" t="n"/>
    </row>
    <row r="430">
      <c r="A430" s="10">
        <f>IF($E430="","",INDEX('Input Transaksi'!$A:$A,$E430))</f>
        <v/>
      </c>
      <c r="B430" s="5">
        <f>IF($E430="","",INDEX('Input Transaksi'!$D:$D,$E430))</f>
        <v/>
      </c>
      <c r="C430">
        <f>IF($E430="","",INDEX('Input Transaksi'!$E:$E,$E430))</f>
        <v/>
      </c>
      <c r="D430" s="5">
        <f>IF($E430="","",INDEX('Input Transaksi'!$F:$F,$E430))</f>
        <v/>
      </c>
      <c r="E430">
        <f>IFERROR(AGGREGATE(15,6,ROW('Input Transaksi'!$B$5:$B$5000)/('Input Transaksi'!$B$5:$B$5000="LONDRI DEWE ANTASURA"),ROWS($E$5:E430)),"")</f>
        <v/>
      </c>
      <c r="F430" s="5" t="n"/>
    </row>
    <row r="431">
      <c r="A431" s="10">
        <f>IF($E431="","",INDEX('Input Transaksi'!$A:$A,$E431))</f>
        <v/>
      </c>
      <c r="B431" s="5">
        <f>IF($E431="","",INDEX('Input Transaksi'!$D:$D,$E431))</f>
        <v/>
      </c>
      <c r="C431">
        <f>IF($E431="","",INDEX('Input Transaksi'!$E:$E,$E431))</f>
        <v/>
      </c>
      <c r="D431" s="5">
        <f>IF($E431="","",INDEX('Input Transaksi'!$F:$F,$E431))</f>
        <v/>
      </c>
      <c r="E431">
        <f>IFERROR(AGGREGATE(15,6,ROW('Input Transaksi'!$B$5:$B$5000)/('Input Transaksi'!$B$5:$B$5000="LONDRI DEWE ANTASURA"),ROWS($E$5:E431)),"")</f>
        <v/>
      </c>
      <c r="F431" s="5" t="n"/>
    </row>
    <row r="432">
      <c r="A432" s="10">
        <f>IF($E432="","",INDEX('Input Transaksi'!$A:$A,$E432))</f>
        <v/>
      </c>
      <c r="B432" s="5">
        <f>IF($E432="","",INDEX('Input Transaksi'!$D:$D,$E432))</f>
        <v/>
      </c>
      <c r="C432">
        <f>IF($E432="","",INDEX('Input Transaksi'!$E:$E,$E432))</f>
        <v/>
      </c>
      <c r="D432" s="5">
        <f>IF($E432="","",INDEX('Input Transaksi'!$F:$F,$E432))</f>
        <v/>
      </c>
      <c r="E432">
        <f>IFERROR(AGGREGATE(15,6,ROW('Input Transaksi'!$B$5:$B$5000)/('Input Transaksi'!$B$5:$B$5000="LONDRI DEWE ANTASURA"),ROWS($E$5:E432)),"")</f>
        <v/>
      </c>
      <c r="F432" s="5" t="n"/>
    </row>
    <row r="433">
      <c r="A433" s="10">
        <f>IF($E433="","",INDEX('Input Transaksi'!$A:$A,$E433))</f>
        <v/>
      </c>
      <c r="B433" s="5">
        <f>IF($E433="","",INDEX('Input Transaksi'!$D:$D,$E433))</f>
        <v/>
      </c>
      <c r="C433">
        <f>IF($E433="","",INDEX('Input Transaksi'!$E:$E,$E433))</f>
        <v/>
      </c>
      <c r="D433" s="5">
        <f>IF($E433="","",INDEX('Input Transaksi'!$F:$F,$E433))</f>
        <v/>
      </c>
      <c r="E433">
        <f>IFERROR(AGGREGATE(15,6,ROW('Input Transaksi'!$B$5:$B$5000)/('Input Transaksi'!$B$5:$B$5000="LONDRI DEWE ANTASURA"),ROWS($E$5:E433)),"")</f>
        <v/>
      </c>
      <c r="F433" s="5" t="n"/>
    </row>
    <row r="434">
      <c r="A434" s="10">
        <f>IF($E434="","",INDEX('Input Transaksi'!$A:$A,$E434))</f>
        <v/>
      </c>
      <c r="B434" s="5">
        <f>IF($E434="","",INDEX('Input Transaksi'!$D:$D,$E434))</f>
        <v/>
      </c>
      <c r="C434">
        <f>IF($E434="","",INDEX('Input Transaksi'!$E:$E,$E434))</f>
        <v/>
      </c>
      <c r="D434" s="5">
        <f>IF($E434="","",INDEX('Input Transaksi'!$F:$F,$E434))</f>
        <v/>
      </c>
      <c r="E434">
        <f>IFERROR(AGGREGATE(15,6,ROW('Input Transaksi'!$B$5:$B$5000)/('Input Transaksi'!$B$5:$B$5000="LONDRI DEWE ANTASURA"),ROWS($E$5:E434)),"")</f>
        <v/>
      </c>
      <c r="F434" s="5" t="n"/>
    </row>
    <row r="435">
      <c r="A435" s="10">
        <f>IF($E435="","",INDEX('Input Transaksi'!$A:$A,$E435))</f>
        <v/>
      </c>
      <c r="B435" s="5">
        <f>IF($E435="","",INDEX('Input Transaksi'!$D:$D,$E435))</f>
        <v/>
      </c>
      <c r="C435">
        <f>IF($E435="","",INDEX('Input Transaksi'!$E:$E,$E435))</f>
        <v/>
      </c>
      <c r="D435" s="5">
        <f>IF($E435="","",INDEX('Input Transaksi'!$F:$F,$E435))</f>
        <v/>
      </c>
      <c r="E435">
        <f>IFERROR(AGGREGATE(15,6,ROW('Input Transaksi'!$B$5:$B$5000)/('Input Transaksi'!$B$5:$B$5000="LONDRI DEWE ANTASURA"),ROWS($E$5:E435)),"")</f>
        <v/>
      </c>
      <c r="F435" s="5" t="n"/>
    </row>
    <row r="436">
      <c r="A436" s="10">
        <f>IF($E436="","",INDEX('Input Transaksi'!$A:$A,$E436))</f>
        <v/>
      </c>
      <c r="B436" s="5">
        <f>IF($E436="","",INDEX('Input Transaksi'!$D:$D,$E436))</f>
        <v/>
      </c>
      <c r="C436">
        <f>IF($E436="","",INDEX('Input Transaksi'!$E:$E,$E436))</f>
        <v/>
      </c>
      <c r="D436" s="5">
        <f>IF($E436="","",INDEX('Input Transaksi'!$F:$F,$E436))</f>
        <v/>
      </c>
      <c r="E436">
        <f>IFERROR(AGGREGATE(15,6,ROW('Input Transaksi'!$B$5:$B$5000)/('Input Transaksi'!$B$5:$B$5000="LONDRI DEWE ANTASURA"),ROWS($E$5:E436)),"")</f>
        <v/>
      </c>
      <c r="F436" s="5" t="n"/>
    </row>
    <row r="437">
      <c r="A437" s="10">
        <f>IF($E437="","",INDEX('Input Transaksi'!$A:$A,$E437))</f>
        <v/>
      </c>
      <c r="B437" s="5">
        <f>IF($E437="","",INDEX('Input Transaksi'!$D:$D,$E437))</f>
        <v/>
      </c>
      <c r="C437">
        <f>IF($E437="","",INDEX('Input Transaksi'!$E:$E,$E437))</f>
        <v/>
      </c>
      <c r="D437" s="5">
        <f>IF($E437="","",INDEX('Input Transaksi'!$F:$F,$E437))</f>
        <v/>
      </c>
      <c r="E437">
        <f>IFERROR(AGGREGATE(15,6,ROW('Input Transaksi'!$B$5:$B$5000)/('Input Transaksi'!$B$5:$B$5000="LONDRI DEWE ANTASURA"),ROWS($E$5:E437)),"")</f>
        <v/>
      </c>
      <c r="F437" s="5" t="n"/>
    </row>
    <row r="438">
      <c r="A438" s="10">
        <f>IF($E438="","",INDEX('Input Transaksi'!$A:$A,$E438))</f>
        <v/>
      </c>
      <c r="B438" s="5">
        <f>IF($E438="","",INDEX('Input Transaksi'!$D:$D,$E438))</f>
        <v/>
      </c>
      <c r="C438">
        <f>IF($E438="","",INDEX('Input Transaksi'!$E:$E,$E438))</f>
        <v/>
      </c>
      <c r="D438" s="5">
        <f>IF($E438="","",INDEX('Input Transaksi'!$F:$F,$E438))</f>
        <v/>
      </c>
      <c r="E438">
        <f>IFERROR(AGGREGATE(15,6,ROW('Input Transaksi'!$B$5:$B$5000)/('Input Transaksi'!$B$5:$B$5000="LONDRI DEWE ANTASURA"),ROWS($E$5:E438)),"")</f>
        <v/>
      </c>
      <c r="F438" s="5" t="n"/>
    </row>
    <row r="439">
      <c r="A439" s="10">
        <f>IF($E439="","",INDEX('Input Transaksi'!$A:$A,$E439))</f>
        <v/>
      </c>
      <c r="B439" s="5">
        <f>IF($E439="","",INDEX('Input Transaksi'!$D:$D,$E439))</f>
        <v/>
      </c>
      <c r="C439">
        <f>IF($E439="","",INDEX('Input Transaksi'!$E:$E,$E439))</f>
        <v/>
      </c>
      <c r="D439" s="5">
        <f>IF($E439="","",INDEX('Input Transaksi'!$F:$F,$E439))</f>
        <v/>
      </c>
      <c r="E439">
        <f>IFERROR(AGGREGATE(15,6,ROW('Input Transaksi'!$B$5:$B$5000)/('Input Transaksi'!$B$5:$B$5000="LONDRI DEWE ANTASURA"),ROWS($E$5:E439)),"")</f>
        <v/>
      </c>
      <c r="F439" s="5" t="n"/>
    </row>
    <row r="440">
      <c r="A440" s="10">
        <f>IF($E440="","",INDEX('Input Transaksi'!$A:$A,$E440))</f>
        <v/>
      </c>
      <c r="B440" s="5">
        <f>IF($E440="","",INDEX('Input Transaksi'!$D:$D,$E440))</f>
        <v/>
      </c>
      <c r="C440">
        <f>IF($E440="","",INDEX('Input Transaksi'!$E:$E,$E440))</f>
        <v/>
      </c>
      <c r="D440" s="5">
        <f>IF($E440="","",INDEX('Input Transaksi'!$F:$F,$E440))</f>
        <v/>
      </c>
      <c r="E440">
        <f>IFERROR(AGGREGATE(15,6,ROW('Input Transaksi'!$B$5:$B$5000)/('Input Transaksi'!$B$5:$B$5000="LONDRI DEWE ANTASURA"),ROWS($E$5:E440)),"")</f>
        <v/>
      </c>
      <c r="F440" s="5" t="n"/>
    </row>
    <row r="441">
      <c r="A441" s="10">
        <f>IF($E441="","",INDEX('Input Transaksi'!$A:$A,$E441))</f>
        <v/>
      </c>
      <c r="B441" s="5">
        <f>IF($E441="","",INDEX('Input Transaksi'!$D:$D,$E441))</f>
        <v/>
      </c>
      <c r="C441">
        <f>IF($E441="","",INDEX('Input Transaksi'!$E:$E,$E441))</f>
        <v/>
      </c>
      <c r="D441" s="5">
        <f>IF($E441="","",INDEX('Input Transaksi'!$F:$F,$E441))</f>
        <v/>
      </c>
      <c r="E441">
        <f>IFERROR(AGGREGATE(15,6,ROW('Input Transaksi'!$B$5:$B$5000)/('Input Transaksi'!$B$5:$B$5000="LONDRI DEWE ANTASURA"),ROWS($E$5:E441)),"")</f>
        <v/>
      </c>
      <c r="F441" s="5" t="n"/>
    </row>
    <row r="442">
      <c r="A442" s="10">
        <f>IF($E442="","",INDEX('Input Transaksi'!$A:$A,$E442))</f>
        <v/>
      </c>
      <c r="B442" s="5">
        <f>IF($E442="","",INDEX('Input Transaksi'!$D:$D,$E442))</f>
        <v/>
      </c>
      <c r="C442">
        <f>IF($E442="","",INDEX('Input Transaksi'!$E:$E,$E442))</f>
        <v/>
      </c>
      <c r="D442" s="5">
        <f>IF($E442="","",INDEX('Input Transaksi'!$F:$F,$E442))</f>
        <v/>
      </c>
      <c r="E442">
        <f>IFERROR(AGGREGATE(15,6,ROW('Input Transaksi'!$B$5:$B$5000)/('Input Transaksi'!$B$5:$B$5000="LONDRI DEWE ANTASURA"),ROWS($E$5:E442)),"")</f>
        <v/>
      </c>
      <c r="F442" s="5" t="n"/>
    </row>
    <row r="443">
      <c r="A443" s="10">
        <f>IF($E443="","",INDEX('Input Transaksi'!$A:$A,$E443))</f>
        <v/>
      </c>
      <c r="B443" s="5">
        <f>IF($E443="","",INDEX('Input Transaksi'!$D:$D,$E443))</f>
        <v/>
      </c>
      <c r="C443">
        <f>IF($E443="","",INDEX('Input Transaksi'!$E:$E,$E443))</f>
        <v/>
      </c>
      <c r="D443" s="5">
        <f>IF($E443="","",INDEX('Input Transaksi'!$F:$F,$E443))</f>
        <v/>
      </c>
      <c r="E443">
        <f>IFERROR(AGGREGATE(15,6,ROW('Input Transaksi'!$B$5:$B$5000)/('Input Transaksi'!$B$5:$B$5000="LONDRI DEWE ANTASURA"),ROWS($E$5:E443)),"")</f>
        <v/>
      </c>
      <c r="F443" s="5" t="n"/>
    </row>
    <row r="444">
      <c r="A444" s="10">
        <f>IF($E444="","",INDEX('Input Transaksi'!$A:$A,$E444))</f>
        <v/>
      </c>
      <c r="B444" s="5">
        <f>IF($E444="","",INDEX('Input Transaksi'!$D:$D,$E444))</f>
        <v/>
      </c>
      <c r="C444">
        <f>IF($E444="","",INDEX('Input Transaksi'!$E:$E,$E444))</f>
        <v/>
      </c>
      <c r="D444" s="5">
        <f>IF($E444="","",INDEX('Input Transaksi'!$F:$F,$E444))</f>
        <v/>
      </c>
      <c r="E444">
        <f>IFERROR(AGGREGATE(15,6,ROW('Input Transaksi'!$B$5:$B$5000)/('Input Transaksi'!$B$5:$B$5000="LONDRI DEWE ANTASURA"),ROWS($E$5:E444)),"")</f>
        <v/>
      </c>
      <c r="F444" s="5" t="n"/>
    </row>
    <row r="445">
      <c r="A445" s="10">
        <f>IF($E445="","",INDEX('Input Transaksi'!$A:$A,$E445))</f>
        <v/>
      </c>
      <c r="B445" s="5">
        <f>IF($E445="","",INDEX('Input Transaksi'!$D:$D,$E445))</f>
        <v/>
      </c>
      <c r="C445">
        <f>IF($E445="","",INDEX('Input Transaksi'!$E:$E,$E445))</f>
        <v/>
      </c>
      <c r="D445" s="5">
        <f>IF($E445="","",INDEX('Input Transaksi'!$F:$F,$E445))</f>
        <v/>
      </c>
      <c r="E445">
        <f>IFERROR(AGGREGATE(15,6,ROW('Input Transaksi'!$B$5:$B$5000)/('Input Transaksi'!$B$5:$B$5000="LONDRI DEWE ANTASURA"),ROWS($E$5:E445)),"")</f>
        <v/>
      </c>
      <c r="F445" s="5" t="n"/>
    </row>
    <row r="446">
      <c r="A446" s="10">
        <f>IF($E446="","",INDEX('Input Transaksi'!$A:$A,$E446))</f>
        <v/>
      </c>
      <c r="B446" s="5">
        <f>IF($E446="","",INDEX('Input Transaksi'!$D:$D,$E446))</f>
        <v/>
      </c>
      <c r="C446">
        <f>IF($E446="","",INDEX('Input Transaksi'!$E:$E,$E446))</f>
        <v/>
      </c>
      <c r="D446" s="5">
        <f>IF($E446="","",INDEX('Input Transaksi'!$F:$F,$E446))</f>
        <v/>
      </c>
      <c r="E446">
        <f>IFERROR(AGGREGATE(15,6,ROW('Input Transaksi'!$B$5:$B$5000)/('Input Transaksi'!$B$5:$B$5000="LONDRI DEWE ANTASURA"),ROWS($E$5:E446)),"")</f>
        <v/>
      </c>
      <c r="F446" s="5" t="n"/>
    </row>
    <row r="447">
      <c r="A447" s="10">
        <f>IF($E447="","",INDEX('Input Transaksi'!$A:$A,$E447))</f>
        <v/>
      </c>
      <c r="B447" s="5">
        <f>IF($E447="","",INDEX('Input Transaksi'!$D:$D,$E447))</f>
        <v/>
      </c>
      <c r="C447">
        <f>IF($E447="","",INDEX('Input Transaksi'!$E:$E,$E447))</f>
        <v/>
      </c>
      <c r="D447" s="5">
        <f>IF($E447="","",INDEX('Input Transaksi'!$F:$F,$E447))</f>
        <v/>
      </c>
      <c r="E447">
        <f>IFERROR(AGGREGATE(15,6,ROW('Input Transaksi'!$B$5:$B$5000)/('Input Transaksi'!$B$5:$B$5000="LONDRI DEWE ANTASURA"),ROWS($E$5:E447)),"")</f>
        <v/>
      </c>
      <c r="F447" s="5" t="n"/>
    </row>
    <row r="448">
      <c r="A448" s="10">
        <f>IF($E448="","",INDEX('Input Transaksi'!$A:$A,$E448))</f>
        <v/>
      </c>
      <c r="B448" s="5">
        <f>IF($E448="","",INDEX('Input Transaksi'!$D:$D,$E448))</f>
        <v/>
      </c>
      <c r="C448">
        <f>IF($E448="","",INDEX('Input Transaksi'!$E:$E,$E448))</f>
        <v/>
      </c>
      <c r="D448" s="5">
        <f>IF($E448="","",INDEX('Input Transaksi'!$F:$F,$E448))</f>
        <v/>
      </c>
      <c r="E448">
        <f>IFERROR(AGGREGATE(15,6,ROW('Input Transaksi'!$B$5:$B$5000)/('Input Transaksi'!$B$5:$B$5000="LONDRI DEWE ANTASURA"),ROWS($E$5:E448)),"")</f>
        <v/>
      </c>
      <c r="F448" s="5" t="n"/>
    </row>
    <row r="449">
      <c r="A449" s="10">
        <f>IF($E449="","",INDEX('Input Transaksi'!$A:$A,$E449))</f>
        <v/>
      </c>
      <c r="B449" s="5">
        <f>IF($E449="","",INDEX('Input Transaksi'!$D:$D,$E449))</f>
        <v/>
      </c>
      <c r="C449">
        <f>IF($E449="","",INDEX('Input Transaksi'!$E:$E,$E449))</f>
        <v/>
      </c>
      <c r="D449" s="5">
        <f>IF($E449="","",INDEX('Input Transaksi'!$F:$F,$E449))</f>
        <v/>
      </c>
      <c r="E449">
        <f>IFERROR(AGGREGATE(15,6,ROW('Input Transaksi'!$B$5:$B$5000)/('Input Transaksi'!$B$5:$B$5000="LONDRI DEWE ANTASURA"),ROWS($E$5:E449)),"")</f>
        <v/>
      </c>
      <c r="F449" s="5" t="n"/>
    </row>
    <row r="450">
      <c r="A450" s="10">
        <f>IF($E450="","",INDEX('Input Transaksi'!$A:$A,$E450))</f>
        <v/>
      </c>
      <c r="B450" s="5">
        <f>IF($E450="","",INDEX('Input Transaksi'!$D:$D,$E450))</f>
        <v/>
      </c>
      <c r="C450">
        <f>IF($E450="","",INDEX('Input Transaksi'!$E:$E,$E450))</f>
        <v/>
      </c>
      <c r="D450" s="5">
        <f>IF($E450="","",INDEX('Input Transaksi'!$F:$F,$E450))</f>
        <v/>
      </c>
      <c r="E450">
        <f>IFERROR(AGGREGATE(15,6,ROW('Input Transaksi'!$B$5:$B$5000)/('Input Transaksi'!$B$5:$B$5000="LONDRI DEWE ANTASURA"),ROWS($E$5:E450)),"")</f>
        <v/>
      </c>
      <c r="F450" s="5" t="n"/>
    </row>
    <row r="451">
      <c r="A451" s="10">
        <f>IF($E451="","",INDEX('Input Transaksi'!$A:$A,$E451))</f>
        <v/>
      </c>
      <c r="B451" s="5">
        <f>IF($E451="","",INDEX('Input Transaksi'!$D:$D,$E451))</f>
        <v/>
      </c>
      <c r="C451">
        <f>IF($E451="","",INDEX('Input Transaksi'!$E:$E,$E451))</f>
        <v/>
      </c>
      <c r="D451" s="5">
        <f>IF($E451="","",INDEX('Input Transaksi'!$F:$F,$E451))</f>
        <v/>
      </c>
      <c r="E451">
        <f>IFERROR(AGGREGATE(15,6,ROW('Input Transaksi'!$B$5:$B$5000)/('Input Transaksi'!$B$5:$B$5000="LONDRI DEWE ANTASURA"),ROWS($E$5:E451)),"")</f>
        <v/>
      </c>
      <c r="F451" s="5" t="n"/>
    </row>
    <row r="452">
      <c r="A452" s="10">
        <f>IF($E452="","",INDEX('Input Transaksi'!$A:$A,$E452))</f>
        <v/>
      </c>
      <c r="B452" s="5">
        <f>IF($E452="","",INDEX('Input Transaksi'!$D:$D,$E452))</f>
        <v/>
      </c>
      <c r="C452">
        <f>IF($E452="","",INDEX('Input Transaksi'!$E:$E,$E452))</f>
        <v/>
      </c>
      <c r="D452" s="5">
        <f>IF($E452="","",INDEX('Input Transaksi'!$F:$F,$E452))</f>
        <v/>
      </c>
      <c r="E452">
        <f>IFERROR(AGGREGATE(15,6,ROW('Input Transaksi'!$B$5:$B$5000)/('Input Transaksi'!$B$5:$B$5000="LONDRI DEWE ANTASURA"),ROWS($E$5:E452)),"")</f>
        <v/>
      </c>
      <c r="F452" s="5" t="n"/>
    </row>
    <row r="453">
      <c r="A453" s="10">
        <f>IF($E453="","",INDEX('Input Transaksi'!$A:$A,$E453))</f>
        <v/>
      </c>
      <c r="B453" s="5">
        <f>IF($E453="","",INDEX('Input Transaksi'!$D:$D,$E453))</f>
        <v/>
      </c>
      <c r="C453">
        <f>IF($E453="","",INDEX('Input Transaksi'!$E:$E,$E453))</f>
        <v/>
      </c>
      <c r="D453" s="5">
        <f>IF($E453="","",INDEX('Input Transaksi'!$F:$F,$E453))</f>
        <v/>
      </c>
      <c r="E453">
        <f>IFERROR(AGGREGATE(15,6,ROW('Input Transaksi'!$B$5:$B$5000)/('Input Transaksi'!$B$5:$B$5000="LONDRI DEWE ANTASURA"),ROWS($E$5:E453)),"")</f>
        <v/>
      </c>
      <c r="F453" s="5" t="n"/>
    </row>
    <row r="454">
      <c r="A454" s="10">
        <f>IF($E454="","",INDEX('Input Transaksi'!$A:$A,$E454))</f>
        <v/>
      </c>
      <c r="B454" s="5">
        <f>IF($E454="","",INDEX('Input Transaksi'!$D:$D,$E454))</f>
        <v/>
      </c>
      <c r="C454">
        <f>IF($E454="","",INDEX('Input Transaksi'!$E:$E,$E454))</f>
        <v/>
      </c>
      <c r="D454" s="5">
        <f>IF($E454="","",INDEX('Input Transaksi'!$F:$F,$E454))</f>
        <v/>
      </c>
      <c r="E454">
        <f>IFERROR(AGGREGATE(15,6,ROW('Input Transaksi'!$B$5:$B$5000)/('Input Transaksi'!$B$5:$B$5000="LONDRI DEWE ANTASURA"),ROWS($E$5:E454)),"")</f>
        <v/>
      </c>
      <c r="F454" s="5" t="n"/>
    </row>
    <row r="455">
      <c r="A455" s="10">
        <f>IF($E455="","",INDEX('Input Transaksi'!$A:$A,$E455))</f>
        <v/>
      </c>
      <c r="B455" s="5">
        <f>IF($E455="","",INDEX('Input Transaksi'!$D:$D,$E455))</f>
        <v/>
      </c>
      <c r="C455">
        <f>IF($E455="","",INDEX('Input Transaksi'!$E:$E,$E455))</f>
        <v/>
      </c>
      <c r="D455" s="5">
        <f>IF($E455="","",INDEX('Input Transaksi'!$F:$F,$E455))</f>
        <v/>
      </c>
      <c r="E455">
        <f>IFERROR(AGGREGATE(15,6,ROW('Input Transaksi'!$B$5:$B$5000)/('Input Transaksi'!$B$5:$B$5000="LONDRI DEWE ANTASURA"),ROWS($E$5:E455)),"")</f>
        <v/>
      </c>
      <c r="F455" s="5" t="n"/>
    </row>
    <row r="456">
      <c r="A456" s="10">
        <f>IF($E456="","",INDEX('Input Transaksi'!$A:$A,$E456))</f>
        <v/>
      </c>
      <c r="B456" s="5">
        <f>IF($E456="","",INDEX('Input Transaksi'!$D:$D,$E456))</f>
        <v/>
      </c>
      <c r="C456">
        <f>IF($E456="","",INDEX('Input Transaksi'!$E:$E,$E456))</f>
        <v/>
      </c>
      <c r="D456" s="5">
        <f>IF($E456="","",INDEX('Input Transaksi'!$F:$F,$E456))</f>
        <v/>
      </c>
      <c r="E456">
        <f>IFERROR(AGGREGATE(15,6,ROW('Input Transaksi'!$B$5:$B$5000)/('Input Transaksi'!$B$5:$B$5000="LONDRI DEWE ANTASURA"),ROWS($E$5:E456)),"")</f>
        <v/>
      </c>
      <c r="F456" s="5" t="n"/>
    </row>
    <row r="457">
      <c r="A457" s="10">
        <f>IF($E457="","",INDEX('Input Transaksi'!$A:$A,$E457))</f>
        <v/>
      </c>
      <c r="B457" s="5">
        <f>IF($E457="","",INDEX('Input Transaksi'!$D:$D,$E457))</f>
        <v/>
      </c>
      <c r="C457">
        <f>IF($E457="","",INDEX('Input Transaksi'!$E:$E,$E457))</f>
        <v/>
      </c>
      <c r="D457" s="5">
        <f>IF($E457="","",INDEX('Input Transaksi'!$F:$F,$E457))</f>
        <v/>
      </c>
      <c r="E457">
        <f>IFERROR(AGGREGATE(15,6,ROW('Input Transaksi'!$B$5:$B$5000)/('Input Transaksi'!$B$5:$B$5000="LONDRI DEWE ANTASURA"),ROWS($E$5:E457)),"")</f>
        <v/>
      </c>
      <c r="F457" s="5" t="n"/>
    </row>
    <row r="458">
      <c r="A458" s="10">
        <f>IF($E458="","",INDEX('Input Transaksi'!$A:$A,$E458))</f>
        <v/>
      </c>
      <c r="B458" s="5">
        <f>IF($E458="","",INDEX('Input Transaksi'!$D:$D,$E458))</f>
        <v/>
      </c>
      <c r="C458">
        <f>IF($E458="","",INDEX('Input Transaksi'!$E:$E,$E458))</f>
        <v/>
      </c>
      <c r="D458" s="5">
        <f>IF($E458="","",INDEX('Input Transaksi'!$F:$F,$E458))</f>
        <v/>
      </c>
      <c r="E458">
        <f>IFERROR(AGGREGATE(15,6,ROW('Input Transaksi'!$B$5:$B$5000)/('Input Transaksi'!$B$5:$B$5000="LONDRI DEWE ANTASURA"),ROWS($E$5:E458)),"")</f>
        <v/>
      </c>
      <c r="F458" s="5" t="n"/>
    </row>
    <row r="459">
      <c r="A459" s="10">
        <f>IF($E459="","",INDEX('Input Transaksi'!$A:$A,$E459))</f>
        <v/>
      </c>
      <c r="B459" s="5">
        <f>IF($E459="","",INDEX('Input Transaksi'!$D:$D,$E459))</f>
        <v/>
      </c>
      <c r="C459">
        <f>IF($E459="","",INDEX('Input Transaksi'!$E:$E,$E459))</f>
        <v/>
      </c>
      <c r="D459" s="5">
        <f>IF($E459="","",INDEX('Input Transaksi'!$F:$F,$E459))</f>
        <v/>
      </c>
      <c r="E459">
        <f>IFERROR(AGGREGATE(15,6,ROW('Input Transaksi'!$B$5:$B$5000)/('Input Transaksi'!$B$5:$B$5000="LONDRI DEWE ANTASURA"),ROWS($E$5:E459)),"")</f>
        <v/>
      </c>
      <c r="F459" s="5" t="n"/>
    </row>
    <row r="460">
      <c r="A460" s="10">
        <f>IF($E460="","",INDEX('Input Transaksi'!$A:$A,$E460))</f>
        <v/>
      </c>
      <c r="B460" s="5">
        <f>IF($E460="","",INDEX('Input Transaksi'!$D:$D,$E460))</f>
        <v/>
      </c>
      <c r="C460">
        <f>IF($E460="","",INDEX('Input Transaksi'!$E:$E,$E460))</f>
        <v/>
      </c>
      <c r="D460" s="5">
        <f>IF($E460="","",INDEX('Input Transaksi'!$F:$F,$E460))</f>
        <v/>
      </c>
      <c r="E460">
        <f>IFERROR(AGGREGATE(15,6,ROW('Input Transaksi'!$B$5:$B$5000)/('Input Transaksi'!$B$5:$B$5000="LONDRI DEWE ANTASURA"),ROWS($E$5:E460)),"")</f>
        <v/>
      </c>
      <c r="F460" s="5" t="n"/>
    </row>
    <row r="461">
      <c r="A461" s="10">
        <f>IF($E461="","",INDEX('Input Transaksi'!$A:$A,$E461))</f>
        <v/>
      </c>
      <c r="B461" s="5">
        <f>IF($E461="","",INDEX('Input Transaksi'!$D:$D,$E461))</f>
        <v/>
      </c>
      <c r="C461">
        <f>IF($E461="","",INDEX('Input Transaksi'!$E:$E,$E461))</f>
        <v/>
      </c>
      <c r="D461" s="5">
        <f>IF($E461="","",INDEX('Input Transaksi'!$F:$F,$E461))</f>
        <v/>
      </c>
      <c r="E461">
        <f>IFERROR(AGGREGATE(15,6,ROW('Input Transaksi'!$B$5:$B$5000)/('Input Transaksi'!$B$5:$B$5000="LONDRI DEWE ANTASURA"),ROWS($E$5:E461)),"")</f>
        <v/>
      </c>
      <c r="F461" s="5" t="n"/>
    </row>
    <row r="462">
      <c r="A462" s="10">
        <f>IF($E462="","",INDEX('Input Transaksi'!$A:$A,$E462))</f>
        <v/>
      </c>
      <c r="B462" s="5">
        <f>IF($E462="","",INDEX('Input Transaksi'!$D:$D,$E462))</f>
        <v/>
      </c>
      <c r="C462">
        <f>IF($E462="","",INDEX('Input Transaksi'!$E:$E,$E462))</f>
        <v/>
      </c>
      <c r="D462" s="5">
        <f>IF($E462="","",INDEX('Input Transaksi'!$F:$F,$E462))</f>
        <v/>
      </c>
      <c r="E462">
        <f>IFERROR(AGGREGATE(15,6,ROW('Input Transaksi'!$B$5:$B$5000)/('Input Transaksi'!$B$5:$B$5000="LONDRI DEWE ANTASURA"),ROWS($E$5:E462)),"")</f>
        <v/>
      </c>
      <c r="F462" s="5" t="n"/>
    </row>
    <row r="463">
      <c r="A463" s="10">
        <f>IF($E463="","",INDEX('Input Transaksi'!$A:$A,$E463))</f>
        <v/>
      </c>
      <c r="B463" s="5">
        <f>IF($E463="","",INDEX('Input Transaksi'!$D:$D,$E463))</f>
        <v/>
      </c>
      <c r="C463">
        <f>IF($E463="","",INDEX('Input Transaksi'!$E:$E,$E463))</f>
        <v/>
      </c>
      <c r="D463" s="5">
        <f>IF($E463="","",INDEX('Input Transaksi'!$F:$F,$E463))</f>
        <v/>
      </c>
      <c r="E463">
        <f>IFERROR(AGGREGATE(15,6,ROW('Input Transaksi'!$B$5:$B$5000)/('Input Transaksi'!$B$5:$B$5000="LONDRI DEWE ANTASURA"),ROWS($E$5:E463)),"")</f>
        <v/>
      </c>
      <c r="F463" s="5" t="n"/>
    </row>
    <row r="464">
      <c r="A464" s="10">
        <f>IF($E464="","",INDEX('Input Transaksi'!$A:$A,$E464))</f>
        <v/>
      </c>
      <c r="B464" s="5">
        <f>IF($E464="","",INDEX('Input Transaksi'!$D:$D,$E464))</f>
        <v/>
      </c>
      <c r="C464">
        <f>IF($E464="","",INDEX('Input Transaksi'!$E:$E,$E464))</f>
        <v/>
      </c>
      <c r="D464" s="5">
        <f>IF($E464="","",INDEX('Input Transaksi'!$F:$F,$E464))</f>
        <v/>
      </c>
      <c r="E464">
        <f>IFERROR(AGGREGATE(15,6,ROW('Input Transaksi'!$B$5:$B$5000)/('Input Transaksi'!$B$5:$B$5000="LONDRI DEWE ANTASURA"),ROWS($E$5:E464)),"")</f>
        <v/>
      </c>
      <c r="F464" s="5" t="n"/>
    </row>
    <row r="465">
      <c r="A465" s="10">
        <f>IF($E465="","",INDEX('Input Transaksi'!$A:$A,$E465))</f>
        <v/>
      </c>
      <c r="B465" s="5">
        <f>IF($E465="","",INDEX('Input Transaksi'!$D:$D,$E465))</f>
        <v/>
      </c>
      <c r="C465">
        <f>IF($E465="","",INDEX('Input Transaksi'!$E:$E,$E465))</f>
        <v/>
      </c>
      <c r="D465" s="5">
        <f>IF($E465="","",INDEX('Input Transaksi'!$F:$F,$E465))</f>
        <v/>
      </c>
      <c r="E465">
        <f>IFERROR(AGGREGATE(15,6,ROW('Input Transaksi'!$B$5:$B$5000)/('Input Transaksi'!$B$5:$B$5000="LONDRI DEWE ANTASURA"),ROWS($E$5:E465)),"")</f>
        <v/>
      </c>
      <c r="F465" s="5" t="n"/>
    </row>
    <row r="466">
      <c r="A466" s="10">
        <f>IF($E466="","",INDEX('Input Transaksi'!$A:$A,$E466))</f>
        <v/>
      </c>
      <c r="B466" s="5">
        <f>IF($E466="","",INDEX('Input Transaksi'!$D:$D,$E466))</f>
        <v/>
      </c>
      <c r="C466">
        <f>IF($E466="","",INDEX('Input Transaksi'!$E:$E,$E466))</f>
        <v/>
      </c>
      <c r="D466" s="5">
        <f>IF($E466="","",INDEX('Input Transaksi'!$F:$F,$E466))</f>
        <v/>
      </c>
      <c r="E466">
        <f>IFERROR(AGGREGATE(15,6,ROW('Input Transaksi'!$B$5:$B$5000)/('Input Transaksi'!$B$5:$B$5000="LONDRI DEWE ANTASURA"),ROWS($E$5:E466)),"")</f>
        <v/>
      </c>
      <c r="F466" s="5" t="n"/>
    </row>
    <row r="467">
      <c r="A467" s="10">
        <f>IF($E467="","",INDEX('Input Transaksi'!$A:$A,$E467))</f>
        <v/>
      </c>
      <c r="B467" s="5">
        <f>IF($E467="","",INDEX('Input Transaksi'!$D:$D,$E467))</f>
        <v/>
      </c>
      <c r="C467">
        <f>IF($E467="","",INDEX('Input Transaksi'!$E:$E,$E467))</f>
        <v/>
      </c>
      <c r="D467" s="5">
        <f>IF($E467="","",INDEX('Input Transaksi'!$F:$F,$E467))</f>
        <v/>
      </c>
      <c r="E467">
        <f>IFERROR(AGGREGATE(15,6,ROW('Input Transaksi'!$B$5:$B$5000)/('Input Transaksi'!$B$5:$B$5000="LONDRI DEWE ANTASURA"),ROWS($E$5:E467)),"")</f>
        <v/>
      </c>
      <c r="F467" s="5" t="n"/>
    </row>
    <row r="468">
      <c r="A468" s="10">
        <f>IF($E468="","",INDEX('Input Transaksi'!$A:$A,$E468))</f>
        <v/>
      </c>
      <c r="B468" s="5">
        <f>IF($E468="","",INDEX('Input Transaksi'!$D:$D,$E468))</f>
        <v/>
      </c>
      <c r="C468">
        <f>IF($E468="","",INDEX('Input Transaksi'!$E:$E,$E468))</f>
        <v/>
      </c>
      <c r="D468" s="5">
        <f>IF($E468="","",INDEX('Input Transaksi'!$F:$F,$E468))</f>
        <v/>
      </c>
      <c r="E468">
        <f>IFERROR(AGGREGATE(15,6,ROW('Input Transaksi'!$B$5:$B$5000)/('Input Transaksi'!$B$5:$B$5000="LONDRI DEWE ANTASURA"),ROWS($E$5:E468)),"")</f>
        <v/>
      </c>
      <c r="F468" s="5" t="n"/>
    </row>
    <row r="469">
      <c r="A469" s="10">
        <f>IF($E469="","",INDEX('Input Transaksi'!$A:$A,$E469))</f>
        <v/>
      </c>
      <c r="B469" s="5">
        <f>IF($E469="","",INDEX('Input Transaksi'!$D:$D,$E469))</f>
        <v/>
      </c>
      <c r="C469">
        <f>IF($E469="","",INDEX('Input Transaksi'!$E:$E,$E469))</f>
        <v/>
      </c>
      <c r="D469" s="5">
        <f>IF($E469="","",INDEX('Input Transaksi'!$F:$F,$E469))</f>
        <v/>
      </c>
      <c r="E469">
        <f>IFERROR(AGGREGATE(15,6,ROW('Input Transaksi'!$B$5:$B$5000)/('Input Transaksi'!$B$5:$B$5000="LONDRI DEWE ANTASURA"),ROWS($E$5:E469)),"")</f>
        <v/>
      </c>
      <c r="F469" s="5" t="n"/>
    </row>
    <row r="470">
      <c r="A470" s="10">
        <f>IF($E470="","",INDEX('Input Transaksi'!$A:$A,$E470))</f>
        <v/>
      </c>
      <c r="B470" s="5">
        <f>IF($E470="","",INDEX('Input Transaksi'!$D:$D,$E470))</f>
        <v/>
      </c>
      <c r="C470">
        <f>IF($E470="","",INDEX('Input Transaksi'!$E:$E,$E470))</f>
        <v/>
      </c>
      <c r="D470" s="5">
        <f>IF($E470="","",INDEX('Input Transaksi'!$F:$F,$E470))</f>
        <v/>
      </c>
      <c r="E470">
        <f>IFERROR(AGGREGATE(15,6,ROW('Input Transaksi'!$B$5:$B$5000)/('Input Transaksi'!$B$5:$B$5000="LONDRI DEWE ANTASURA"),ROWS($E$5:E470)),"")</f>
        <v/>
      </c>
      <c r="F470" s="5" t="n"/>
    </row>
    <row r="471">
      <c r="A471" s="10">
        <f>IF($E471="","",INDEX('Input Transaksi'!$A:$A,$E471))</f>
        <v/>
      </c>
      <c r="B471" s="5">
        <f>IF($E471="","",INDEX('Input Transaksi'!$D:$D,$E471))</f>
        <v/>
      </c>
      <c r="C471">
        <f>IF($E471="","",INDEX('Input Transaksi'!$E:$E,$E471))</f>
        <v/>
      </c>
      <c r="D471" s="5">
        <f>IF($E471="","",INDEX('Input Transaksi'!$F:$F,$E471))</f>
        <v/>
      </c>
      <c r="E471">
        <f>IFERROR(AGGREGATE(15,6,ROW('Input Transaksi'!$B$5:$B$5000)/('Input Transaksi'!$B$5:$B$5000="LONDRI DEWE ANTASURA"),ROWS($E$5:E471)),"")</f>
        <v/>
      </c>
      <c r="F471" s="5" t="n"/>
    </row>
    <row r="472">
      <c r="A472" s="10">
        <f>IF($E472="","",INDEX('Input Transaksi'!$A:$A,$E472))</f>
        <v/>
      </c>
      <c r="B472" s="5">
        <f>IF($E472="","",INDEX('Input Transaksi'!$D:$D,$E472))</f>
        <v/>
      </c>
      <c r="C472">
        <f>IF($E472="","",INDEX('Input Transaksi'!$E:$E,$E472))</f>
        <v/>
      </c>
      <c r="D472" s="5">
        <f>IF($E472="","",INDEX('Input Transaksi'!$F:$F,$E472))</f>
        <v/>
      </c>
      <c r="E472">
        <f>IFERROR(AGGREGATE(15,6,ROW('Input Transaksi'!$B$5:$B$5000)/('Input Transaksi'!$B$5:$B$5000="LONDRI DEWE ANTASURA"),ROWS($E$5:E472)),"")</f>
        <v/>
      </c>
      <c r="F472" s="5" t="n"/>
    </row>
    <row r="473">
      <c r="A473" s="10">
        <f>IF($E473="","",INDEX('Input Transaksi'!$A:$A,$E473))</f>
        <v/>
      </c>
      <c r="B473" s="5">
        <f>IF($E473="","",INDEX('Input Transaksi'!$D:$D,$E473))</f>
        <v/>
      </c>
      <c r="C473">
        <f>IF($E473="","",INDEX('Input Transaksi'!$E:$E,$E473))</f>
        <v/>
      </c>
      <c r="D473" s="5">
        <f>IF($E473="","",INDEX('Input Transaksi'!$F:$F,$E473))</f>
        <v/>
      </c>
      <c r="E473">
        <f>IFERROR(AGGREGATE(15,6,ROW('Input Transaksi'!$B$5:$B$5000)/('Input Transaksi'!$B$5:$B$5000="LONDRI DEWE ANTASURA"),ROWS($E$5:E473)),"")</f>
        <v/>
      </c>
      <c r="F473" s="5" t="n"/>
    </row>
    <row r="474">
      <c r="A474" s="10">
        <f>IF($E474="","",INDEX('Input Transaksi'!$A:$A,$E474))</f>
        <v/>
      </c>
      <c r="B474" s="5">
        <f>IF($E474="","",INDEX('Input Transaksi'!$D:$D,$E474))</f>
        <v/>
      </c>
      <c r="C474">
        <f>IF($E474="","",INDEX('Input Transaksi'!$E:$E,$E474))</f>
        <v/>
      </c>
      <c r="D474" s="5">
        <f>IF($E474="","",INDEX('Input Transaksi'!$F:$F,$E474))</f>
        <v/>
      </c>
      <c r="E474">
        <f>IFERROR(AGGREGATE(15,6,ROW('Input Transaksi'!$B$5:$B$5000)/('Input Transaksi'!$B$5:$B$5000="LONDRI DEWE ANTASURA"),ROWS($E$5:E474)),"")</f>
        <v/>
      </c>
      <c r="F474" s="5" t="n"/>
    </row>
    <row r="475">
      <c r="A475" s="10">
        <f>IF($E475="","",INDEX('Input Transaksi'!$A:$A,$E475))</f>
        <v/>
      </c>
      <c r="B475" s="5">
        <f>IF($E475="","",INDEX('Input Transaksi'!$D:$D,$E475))</f>
        <v/>
      </c>
      <c r="C475">
        <f>IF($E475="","",INDEX('Input Transaksi'!$E:$E,$E475))</f>
        <v/>
      </c>
      <c r="D475" s="5">
        <f>IF($E475="","",INDEX('Input Transaksi'!$F:$F,$E475))</f>
        <v/>
      </c>
      <c r="E475">
        <f>IFERROR(AGGREGATE(15,6,ROW('Input Transaksi'!$B$5:$B$5000)/('Input Transaksi'!$B$5:$B$5000="LONDRI DEWE ANTASURA"),ROWS($E$5:E475)),"")</f>
        <v/>
      </c>
      <c r="F475" s="5" t="n"/>
    </row>
    <row r="476">
      <c r="A476" s="10">
        <f>IF($E476="","",INDEX('Input Transaksi'!$A:$A,$E476))</f>
        <v/>
      </c>
      <c r="B476" s="5">
        <f>IF($E476="","",INDEX('Input Transaksi'!$D:$D,$E476))</f>
        <v/>
      </c>
      <c r="C476">
        <f>IF($E476="","",INDEX('Input Transaksi'!$E:$E,$E476))</f>
        <v/>
      </c>
      <c r="D476" s="5">
        <f>IF($E476="","",INDEX('Input Transaksi'!$F:$F,$E476))</f>
        <v/>
      </c>
      <c r="E476">
        <f>IFERROR(AGGREGATE(15,6,ROW('Input Transaksi'!$B$5:$B$5000)/('Input Transaksi'!$B$5:$B$5000="LONDRI DEWE ANTASURA"),ROWS($E$5:E476)),"")</f>
        <v/>
      </c>
      <c r="F476" s="5" t="n"/>
    </row>
    <row r="477">
      <c r="A477" s="10">
        <f>IF($E477="","",INDEX('Input Transaksi'!$A:$A,$E477))</f>
        <v/>
      </c>
      <c r="B477" s="5">
        <f>IF($E477="","",INDEX('Input Transaksi'!$D:$D,$E477))</f>
        <v/>
      </c>
      <c r="C477">
        <f>IF($E477="","",INDEX('Input Transaksi'!$E:$E,$E477))</f>
        <v/>
      </c>
      <c r="D477" s="5">
        <f>IF($E477="","",INDEX('Input Transaksi'!$F:$F,$E477))</f>
        <v/>
      </c>
      <c r="E477">
        <f>IFERROR(AGGREGATE(15,6,ROW('Input Transaksi'!$B$5:$B$5000)/('Input Transaksi'!$B$5:$B$5000="LONDRI DEWE ANTASURA"),ROWS($E$5:E477)),"")</f>
        <v/>
      </c>
      <c r="F477" s="5" t="n"/>
    </row>
    <row r="478">
      <c r="A478" s="10">
        <f>IF($E478="","",INDEX('Input Transaksi'!$A:$A,$E478))</f>
        <v/>
      </c>
      <c r="B478" s="5">
        <f>IF($E478="","",INDEX('Input Transaksi'!$D:$D,$E478))</f>
        <v/>
      </c>
      <c r="C478">
        <f>IF($E478="","",INDEX('Input Transaksi'!$E:$E,$E478))</f>
        <v/>
      </c>
      <c r="D478" s="5">
        <f>IF($E478="","",INDEX('Input Transaksi'!$F:$F,$E478))</f>
        <v/>
      </c>
      <c r="E478">
        <f>IFERROR(AGGREGATE(15,6,ROW('Input Transaksi'!$B$5:$B$5000)/('Input Transaksi'!$B$5:$B$5000="LONDRI DEWE ANTASURA"),ROWS($E$5:E478)),"")</f>
        <v/>
      </c>
      <c r="F478" s="5" t="n"/>
    </row>
    <row r="479">
      <c r="A479" s="10">
        <f>IF($E479="","",INDEX('Input Transaksi'!$A:$A,$E479))</f>
        <v/>
      </c>
      <c r="B479" s="5">
        <f>IF($E479="","",INDEX('Input Transaksi'!$D:$D,$E479))</f>
        <v/>
      </c>
      <c r="C479">
        <f>IF($E479="","",INDEX('Input Transaksi'!$E:$E,$E479))</f>
        <v/>
      </c>
      <c r="D479" s="5">
        <f>IF($E479="","",INDEX('Input Transaksi'!$F:$F,$E479))</f>
        <v/>
      </c>
      <c r="E479">
        <f>IFERROR(AGGREGATE(15,6,ROW('Input Transaksi'!$B$5:$B$5000)/('Input Transaksi'!$B$5:$B$5000="LONDRI DEWE ANTASURA"),ROWS($E$5:E479)),"")</f>
        <v/>
      </c>
      <c r="F479" s="5" t="n"/>
    </row>
    <row r="480">
      <c r="A480" s="10">
        <f>IF($E480="","",INDEX('Input Transaksi'!$A:$A,$E480))</f>
        <v/>
      </c>
      <c r="B480" s="5">
        <f>IF($E480="","",INDEX('Input Transaksi'!$D:$D,$E480))</f>
        <v/>
      </c>
      <c r="C480">
        <f>IF($E480="","",INDEX('Input Transaksi'!$E:$E,$E480))</f>
        <v/>
      </c>
      <c r="D480" s="5">
        <f>IF($E480="","",INDEX('Input Transaksi'!$F:$F,$E480))</f>
        <v/>
      </c>
      <c r="E480">
        <f>IFERROR(AGGREGATE(15,6,ROW('Input Transaksi'!$B$5:$B$5000)/('Input Transaksi'!$B$5:$B$5000="LONDRI DEWE ANTASURA"),ROWS($E$5:E480)),"")</f>
        <v/>
      </c>
      <c r="F480" s="5" t="n"/>
    </row>
    <row r="481">
      <c r="A481" s="10">
        <f>IF($E481="","",INDEX('Input Transaksi'!$A:$A,$E481))</f>
        <v/>
      </c>
      <c r="B481" s="5">
        <f>IF($E481="","",INDEX('Input Transaksi'!$D:$D,$E481))</f>
        <v/>
      </c>
      <c r="C481">
        <f>IF($E481="","",INDEX('Input Transaksi'!$E:$E,$E481))</f>
        <v/>
      </c>
      <c r="D481" s="5">
        <f>IF($E481="","",INDEX('Input Transaksi'!$F:$F,$E481))</f>
        <v/>
      </c>
      <c r="E481">
        <f>IFERROR(AGGREGATE(15,6,ROW('Input Transaksi'!$B$5:$B$5000)/('Input Transaksi'!$B$5:$B$5000="LONDRI DEWE ANTASURA"),ROWS($E$5:E481)),"")</f>
        <v/>
      </c>
      <c r="F481" s="5" t="n"/>
    </row>
    <row r="482">
      <c r="A482" s="10">
        <f>IF($E482="","",INDEX('Input Transaksi'!$A:$A,$E482))</f>
        <v/>
      </c>
      <c r="B482" s="5">
        <f>IF($E482="","",INDEX('Input Transaksi'!$D:$D,$E482))</f>
        <v/>
      </c>
      <c r="C482">
        <f>IF($E482="","",INDEX('Input Transaksi'!$E:$E,$E482))</f>
        <v/>
      </c>
      <c r="D482" s="5">
        <f>IF($E482="","",INDEX('Input Transaksi'!$F:$F,$E482))</f>
        <v/>
      </c>
      <c r="E482">
        <f>IFERROR(AGGREGATE(15,6,ROW('Input Transaksi'!$B$5:$B$5000)/('Input Transaksi'!$B$5:$B$5000="LONDRI DEWE ANTASURA"),ROWS($E$5:E482)),"")</f>
        <v/>
      </c>
      <c r="F482" s="5" t="n"/>
    </row>
    <row r="483">
      <c r="A483" s="10">
        <f>IF($E483="","",INDEX('Input Transaksi'!$A:$A,$E483))</f>
        <v/>
      </c>
      <c r="B483" s="5">
        <f>IF($E483="","",INDEX('Input Transaksi'!$D:$D,$E483))</f>
        <v/>
      </c>
      <c r="C483">
        <f>IF($E483="","",INDEX('Input Transaksi'!$E:$E,$E483))</f>
        <v/>
      </c>
      <c r="D483" s="5">
        <f>IF($E483="","",INDEX('Input Transaksi'!$F:$F,$E483))</f>
        <v/>
      </c>
      <c r="E483">
        <f>IFERROR(AGGREGATE(15,6,ROW('Input Transaksi'!$B$5:$B$5000)/('Input Transaksi'!$B$5:$B$5000="LONDRI DEWE ANTASURA"),ROWS($E$5:E483)),"")</f>
        <v/>
      </c>
      <c r="F483" s="5" t="n"/>
    </row>
    <row r="484">
      <c r="A484" s="10">
        <f>IF($E484="","",INDEX('Input Transaksi'!$A:$A,$E484))</f>
        <v/>
      </c>
      <c r="B484" s="5">
        <f>IF($E484="","",INDEX('Input Transaksi'!$D:$D,$E484))</f>
        <v/>
      </c>
      <c r="C484">
        <f>IF($E484="","",INDEX('Input Transaksi'!$E:$E,$E484))</f>
        <v/>
      </c>
      <c r="D484" s="5">
        <f>IF($E484="","",INDEX('Input Transaksi'!$F:$F,$E484))</f>
        <v/>
      </c>
      <c r="E484">
        <f>IFERROR(AGGREGATE(15,6,ROW('Input Transaksi'!$B$5:$B$5000)/('Input Transaksi'!$B$5:$B$5000="LONDRI DEWE ANTASURA"),ROWS($E$5:E484)),"")</f>
        <v/>
      </c>
      <c r="F484" s="5" t="n"/>
    </row>
    <row r="485">
      <c r="A485" s="10">
        <f>IF($E485="","",INDEX('Input Transaksi'!$A:$A,$E485))</f>
        <v/>
      </c>
      <c r="B485" s="5">
        <f>IF($E485="","",INDEX('Input Transaksi'!$D:$D,$E485))</f>
        <v/>
      </c>
      <c r="C485">
        <f>IF($E485="","",INDEX('Input Transaksi'!$E:$E,$E485))</f>
        <v/>
      </c>
      <c r="D485" s="5">
        <f>IF($E485="","",INDEX('Input Transaksi'!$F:$F,$E485))</f>
        <v/>
      </c>
      <c r="E485">
        <f>IFERROR(AGGREGATE(15,6,ROW('Input Transaksi'!$B$5:$B$5000)/('Input Transaksi'!$B$5:$B$5000="LONDRI DEWE ANTASURA"),ROWS($E$5:E485)),"")</f>
        <v/>
      </c>
      <c r="F485" s="5" t="n"/>
    </row>
    <row r="486">
      <c r="A486" s="10">
        <f>IF($E486="","",INDEX('Input Transaksi'!$A:$A,$E486))</f>
        <v/>
      </c>
      <c r="B486" s="5">
        <f>IF($E486="","",INDEX('Input Transaksi'!$D:$D,$E486))</f>
        <v/>
      </c>
      <c r="C486">
        <f>IF($E486="","",INDEX('Input Transaksi'!$E:$E,$E486))</f>
        <v/>
      </c>
      <c r="D486" s="5">
        <f>IF($E486="","",INDEX('Input Transaksi'!$F:$F,$E486))</f>
        <v/>
      </c>
      <c r="E486">
        <f>IFERROR(AGGREGATE(15,6,ROW('Input Transaksi'!$B$5:$B$5000)/('Input Transaksi'!$B$5:$B$5000="LONDRI DEWE ANTASURA"),ROWS($E$5:E486)),"")</f>
        <v/>
      </c>
      <c r="F486" s="5" t="n"/>
    </row>
    <row r="487">
      <c r="A487" s="10">
        <f>IF($E487="","",INDEX('Input Transaksi'!$A:$A,$E487))</f>
        <v/>
      </c>
      <c r="B487" s="5">
        <f>IF($E487="","",INDEX('Input Transaksi'!$D:$D,$E487))</f>
        <v/>
      </c>
      <c r="C487">
        <f>IF($E487="","",INDEX('Input Transaksi'!$E:$E,$E487))</f>
        <v/>
      </c>
      <c r="D487" s="5">
        <f>IF($E487="","",INDEX('Input Transaksi'!$F:$F,$E487))</f>
        <v/>
      </c>
      <c r="E487">
        <f>IFERROR(AGGREGATE(15,6,ROW('Input Transaksi'!$B$5:$B$5000)/('Input Transaksi'!$B$5:$B$5000="LONDRI DEWE ANTASURA"),ROWS($E$5:E487)),"")</f>
        <v/>
      </c>
      <c r="F487" s="5" t="n"/>
    </row>
    <row r="488">
      <c r="A488" s="10">
        <f>IF($E488="","",INDEX('Input Transaksi'!$A:$A,$E488))</f>
        <v/>
      </c>
      <c r="B488" s="5">
        <f>IF($E488="","",INDEX('Input Transaksi'!$D:$D,$E488))</f>
        <v/>
      </c>
      <c r="C488">
        <f>IF($E488="","",INDEX('Input Transaksi'!$E:$E,$E488))</f>
        <v/>
      </c>
      <c r="D488" s="5">
        <f>IF($E488="","",INDEX('Input Transaksi'!$F:$F,$E488))</f>
        <v/>
      </c>
      <c r="E488">
        <f>IFERROR(AGGREGATE(15,6,ROW('Input Transaksi'!$B$5:$B$5000)/('Input Transaksi'!$B$5:$B$5000="LONDRI DEWE ANTASURA"),ROWS($E$5:E488)),"")</f>
        <v/>
      </c>
      <c r="F488" s="5" t="n"/>
    </row>
    <row r="489">
      <c r="A489" s="10">
        <f>IF($E489="","",INDEX('Input Transaksi'!$A:$A,$E489))</f>
        <v/>
      </c>
      <c r="B489" s="5">
        <f>IF($E489="","",INDEX('Input Transaksi'!$D:$D,$E489))</f>
        <v/>
      </c>
      <c r="C489">
        <f>IF($E489="","",INDEX('Input Transaksi'!$E:$E,$E489))</f>
        <v/>
      </c>
      <c r="D489" s="5">
        <f>IF($E489="","",INDEX('Input Transaksi'!$F:$F,$E489))</f>
        <v/>
      </c>
      <c r="E489">
        <f>IFERROR(AGGREGATE(15,6,ROW('Input Transaksi'!$B$5:$B$5000)/('Input Transaksi'!$B$5:$B$5000="LONDRI DEWE ANTASURA"),ROWS($E$5:E489)),"")</f>
        <v/>
      </c>
      <c r="F489" s="5" t="n"/>
    </row>
    <row r="490">
      <c r="A490" s="10">
        <f>IF($E490="","",INDEX('Input Transaksi'!$A:$A,$E490))</f>
        <v/>
      </c>
      <c r="B490" s="5">
        <f>IF($E490="","",INDEX('Input Transaksi'!$D:$D,$E490))</f>
        <v/>
      </c>
      <c r="C490">
        <f>IF($E490="","",INDEX('Input Transaksi'!$E:$E,$E490))</f>
        <v/>
      </c>
      <c r="D490" s="5">
        <f>IF($E490="","",INDEX('Input Transaksi'!$F:$F,$E490))</f>
        <v/>
      </c>
      <c r="E490">
        <f>IFERROR(AGGREGATE(15,6,ROW('Input Transaksi'!$B$5:$B$5000)/('Input Transaksi'!$B$5:$B$5000="LONDRI DEWE ANTASURA"),ROWS($E$5:E490)),"")</f>
        <v/>
      </c>
      <c r="F490" s="5" t="n"/>
    </row>
    <row r="491">
      <c r="A491" s="10">
        <f>IF($E491="","",INDEX('Input Transaksi'!$A:$A,$E491))</f>
        <v/>
      </c>
      <c r="B491" s="5">
        <f>IF($E491="","",INDEX('Input Transaksi'!$D:$D,$E491))</f>
        <v/>
      </c>
      <c r="C491">
        <f>IF($E491="","",INDEX('Input Transaksi'!$E:$E,$E491))</f>
        <v/>
      </c>
      <c r="D491" s="5">
        <f>IF($E491="","",INDEX('Input Transaksi'!$F:$F,$E491))</f>
        <v/>
      </c>
      <c r="E491">
        <f>IFERROR(AGGREGATE(15,6,ROW('Input Transaksi'!$B$5:$B$5000)/('Input Transaksi'!$B$5:$B$5000="LONDRI DEWE ANTASURA"),ROWS($E$5:E491)),"")</f>
        <v/>
      </c>
      <c r="F491" s="5" t="n"/>
    </row>
    <row r="492">
      <c r="A492" s="10">
        <f>IF($E492="","",INDEX('Input Transaksi'!$A:$A,$E492))</f>
        <v/>
      </c>
      <c r="B492" s="5">
        <f>IF($E492="","",INDEX('Input Transaksi'!$D:$D,$E492))</f>
        <v/>
      </c>
      <c r="C492">
        <f>IF($E492="","",INDEX('Input Transaksi'!$E:$E,$E492))</f>
        <v/>
      </c>
      <c r="D492" s="5">
        <f>IF($E492="","",INDEX('Input Transaksi'!$F:$F,$E492))</f>
        <v/>
      </c>
      <c r="E492">
        <f>IFERROR(AGGREGATE(15,6,ROW('Input Transaksi'!$B$5:$B$5000)/('Input Transaksi'!$B$5:$B$5000="LONDRI DEWE ANTASURA"),ROWS($E$5:E492)),"")</f>
        <v/>
      </c>
      <c r="F492" s="5" t="n"/>
    </row>
    <row r="493">
      <c r="A493" s="10">
        <f>IF($E493="","",INDEX('Input Transaksi'!$A:$A,$E493))</f>
        <v/>
      </c>
      <c r="B493" s="5">
        <f>IF($E493="","",INDEX('Input Transaksi'!$D:$D,$E493))</f>
        <v/>
      </c>
      <c r="C493">
        <f>IF($E493="","",INDEX('Input Transaksi'!$E:$E,$E493))</f>
        <v/>
      </c>
      <c r="D493" s="5">
        <f>IF($E493="","",INDEX('Input Transaksi'!$F:$F,$E493))</f>
        <v/>
      </c>
      <c r="E493">
        <f>IFERROR(AGGREGATE(15,6,ROW('Input Transaksi'!$B$5:$B$5000)/('Input Transaksi'!$B$5:$B$5000="LONDRI DEWE ANTASURA"),ROWS($E$5:E493)),"")</f>
        <v/>
      </c>
      <c r="F493" s="5" t="n"/>
    </row>
    <row r="494">
      <c r="A494" s="10">
        <f>IF($E494="","",INDEX('Input Transaksi'!$A:$A,$E494))</f>
        <v/>
      </c>
      <c r="B494" s="5">
        <f>IF($E494="","",INDEX('Input Transaksi'!$D:$D,$E494))</f>
        <v/>
      </c>
      <c r="C494">
        <f>IF($E494="","",INDEX('Input Transaksi'!$E:$E,$E494))</f>
        <v/>
      </c>
      <c r="D494" s="5">
        <f>IF($E494="","",INDEX('Input Transaksi'!$F:$F,$E494))</f>
        <v/>
      </c>
      <c r="E494">
        <f>IFERROR(AGGREGATE(15,6,ROW('Input Transaksi'!$B$5:$B$5000)/('Input Transaksi'!$B$5:$B$5000="LONDRI DEWE ANTASURA"),ROWS($E$5:E494)),"")</f>
        <v/>
      </c>
      <c r="F494" s="5" t="n"/>
    </row>
    <row r="495">
      <c r="A495" s="10">
        <f>IF($E495="","",INDEX('Input Transaksi'!$A:$A,$E495))</f>
        <v/>
      </c>
      <c r="B495" s="5">
        <f>IF($E495="","",INDEX('Input Transaksi'!$D:$D,$E495))</f>
        <v/>
      </c>
      <c r="C495">
        <f>IF($E495="","",INDEX('Input Transaksi'!$E:$E,$E495))</f>
        <v/>
      </c>
      <c r="D495" s="5">
        <f>IF($E495="","",INDEX('Input Transaksi'!$F:$F,$E495))</f>
        <v/>
      </c>
      <c r="E495">
        <f>IFERROR(AGGREGATE(15,6,ROW('Input Transaksi'!$B$5:$B$5000)/('Input Transaksi'!$B$5:$B$5000="LONDRI DEWE ANTASURA"),ROWS($E$5:E495)),"")</f>
        <v/>
      </c>
      <c r="F495" s="5" t="n"/>
    </row>
    <row r="496">
      <c r="A496" s="10">
        <f>IF($E496="","",INDEX('Input Transaksi'!$A:$A,$E496))</f>
        <v/>
      </c>
      <c r="B496" s="5">
        <f>IF($E496="","",INDEX('Input Transaksi'!$D:$D,$E496))</f>
        <v/>
      </c>
      <c r="C496">
        <f>IF($E496="","",INDEX('Input Transaksi'!$E:$E,$E496))</f>
        <v/>
      </c>
      <c r="D496" s="5">
        <f>IF($E496="","",INDEX('Input Transaksi'!$F:$F,$E496))</f>
        <v/>
      </c>
      <c r="E496">
        <f>IFERROR(AGGREGATE(15,6,ROW('Input Transaksi'!$B$5:$B$5000)/('Input Transaksi'!$B$5:$B$5000="LONDRI DEWE ANTASURA"),ROWS($E$5:E496)),"")</f>
        <v/>
      </c>
      <c r="F496" s="5" t="n"/>
    </row>
    <row r="497">
      <c r="A497" s="10">
        <f>IF($E497="","",INDEX('Input Transaksi'!$A:$A,$E497))</f>
        <v/>
      </c>
      <c r="B497" s="5">
        <f>IF($E497="","",INDEX('Input Transaksi'!$D:$D,$E497))</f>
        <v/>
      </c>
      <c r="C497">
        <f>IF($E497="","",INDEX('Input Transaksi'!$E:$E,$E497))</f>
        <v/>
      </c>
      <c r="D497" s="5">
        <f>IF($E497="","",INDEX('Input Transaksi'!$F:$F,$E497))</f>
        <v/>
      </c>
      <c r="E497">
        <f>IFERROR(AGGREGATE(15,6,ROW('Input Transaksi'!$B$5:$B$5000)/('Input Transaksi'!$B$5:$B$5000="LONDRI DEWE ANTASURA"),ROWS($E$5:E497)),"")</f>
        <v/>
      </c>
      <c r="F497" s="5" t="n"/>
    </row>
    <row r="498">
      <c r="A498" s="10">
        <f>IF($E498="","",INDEX('Input Transaksi'!$A:$A,$E498))</f>
        <v/>
      </c>
      <c r="B498" s="5">
        <f>IF($E498="","",INDEX('Input Transaksi'!$D:$D,$E498))</f>
        <v/>
      </c>
      <c r="C498">
        <f>IF($E498="","",INDEX('Input Transaksi'!$E:$E,$E498))</f>
        <v/>
      </c>
      <c r="D498" s="5">
        <f>IF($E498="","",INDEX('Input Transaksi'!$F:$F,$E498))</f>
        <v/>
      </c>
      <c r="E498">
        <f>IFERROR(AGGREGATE(15,6,ROW('Input Transaksi'!$B$5:$B$5000)/('Input Transaksi'!$B$5:$B$5000="LONDRI DEWE ANTASURA"),ROWS($E$5:E498)),"")</f>
        <v/>
      </c>
      <c r="F498" s="5" t="n"/>
    </row>
    <row r="499">
      <c r="A499" s="10">
        <f>IF($E499="","",INDEX('Input Transaksi'!$A:$A,$E499))</f>
        <v/>
      </c>
      <c r="B499" s="5">
        <f>IF($E499="","",INDEX('Input Transaksi'!$D:$D,$E499))</f>
        <v/>
      </c>
      <c r="C499">
        <f>IF($E499="","",INDEX('Input Transaksi'!$E:$E,$E499))</f>
        <v/>
      </c>
      <c r="D499" s="5">
        <f>IF($E499="","",INDEX('Input Transaksi'!$F:$F,$E499))</f>
        <v/>
      </c>
      <c r="E499">
        <f>IFERROR(AGGREGATE(15,6,ROW('Input Transaksi'!$B$5:$B$5000)/('Input Transaksi'!$B$5:$B$5000="LONDRI DEWE ANTASURA"),ROWS($E$5:E499)),"")</f>
        <v/>
      </c>
      <c r="F499" s="5" t="n"/>
    </row>
    <row r="500">
      <c r="A500" s="10">
        <f>IF($E500="","",INDEX('Input Transaksi'!$A:$A,$E500))</f>
        <v/>
      </c>
      <c r="B500" s="5">
        <f>IF($E500="","",INDEX('Input Transaksi'!$D:$D,$E500))</f>
        <v/>
      </c>
      <c r="C500">
        <f>IF($E500="","",INDEX('Input Transaksi'!$E:$E,$E500))</f>
        <v/>
      </c>
      <c r="D500" s="5">
        <f>IF($E500="","",INDEX('Input Transaksi'!$F:$F,$E500))</f>
        <v/>
      </c>
      <c r="E500">
        <f>IFERROR(AGGREGATE(15,6,ROW('Input Transaksi'!$B$5:$B$5000)/('Input Transaksi'!$B$5:$B$5000="LONDRI DEWE ANTASURA"),ROWS($E$5:E500)),"")</f>
        <v/>
      </c>
      <c r="F500" s="5" t="n"/>
    </row>
    <row r="501">
      <c r="A501" s="10">
        <f>IF($E501="","",INDEX('Input Transaksi'!$A:$A,$E501))</f>
        <v/>
      </c>
      <c r="B501" s="5">
        <f>IF($E501="","",INDEX('Input Transaksi'!$D:$D,$E501))</f>
        <v/>
      </c>
      <c r="C501">
        <f>IF($E501="","",INDEX('Input Transaksi'!$E:$E,$E501))</f>
        <v/>
      </c>
      <c r="D501" s="5">
        <f>IF($E501="","",INDEX('Input Transaksi'!$F:$F,$E501))</f>
        <v/>
      </c>
      <c r="E501">
        <f>IFERROR(AGGREGATE(15,6,ROW('Input Transaksi'!$B$5:$B$5000)/('Input Transaksi'!$B$5:$B$5000="LONDRI DEWE ANTASURA"),ROWS($E$5:E501)),"")</f>
        <v/>
      </c>
      <c r="F501" s="5" t="n"/>
    </row>
    <row r="502">
      <c r="A502" s="10">
        <f>IF($E502="","",INDEX('Input Transaksi'!$A:$A,$E502))</f>
        <v/>
      </c>
      <c r="B502" s="5">
        <f>IF($E502="","",INDEX('Input Transaksi'!$D:$D,$E502))</f>
        <v/>
      </c>
      <c r="C502">
        <f>IF($E502="","",INDEX('Input Transaksi'!$E:$E,$E502))</f>
        <v/>
      </c>
      <c r="D502" s="5">
        <f>IF($E502="","",INDEX('Input Transaksi'!$F:$F,$E502))</f>
        <v/>
      </c>
      <c r="E502">
        <f>IFERROR(AGGREGATE(15,6,ROW('Input Transaksi'!$B$5:$B$5000)/('Input Transaksi'!$B$5:$B$5000="LONDRI DEWE ANTASURA"),ROWS($E$5:E502)),"")</f>
        <v/>
      </c>
      <c r="F502" s="5" t="n"/>
    </row>
    <row r="503">
      <c r="A503" s="10">
        <f>IF($E503="","",INDEX('Input Transaksi'!$A:$A,$E503))</f>
        <v/>
      </c>
      <c r="B503" s="5">
        <f>IF($E503="","",INDEX('Input Transaksi'!$D:$D,$E503))</f>
        <v/>
      </c>
      <c r="C503">
        <f>IF($E503="","",INDEX('Input Transaksi'!$E:$E,$E503))</f>
        <v/>
      </c>
      <c r="D503" s="5">
        <f>IF($E503="","",INDEX('Input Transaksi'!$F:$F,$E503))</f>
        <v/>
      </c>
      <c r="E503">
        <f>IFERROR(AGGREGATE(15,6,ROW('Input Transaksi'!$B$5:$B$5000)/('Input Transaksi'!$B$5:$B$5000="LONDRI DEWE ANTASURA"),ROWS($E$5:E503)),"")</f>
        <v/>
      </c>
      <c r="F503" s="5" t="n"/>
    </row>
    <row r="504">
      <c r="A504" s="10">
        <f>IF($E504="","",INDEX('Input Transaksi'!$A:$A,$E504))</f>
        <v/>
      </c>
      <c r="B504" s="5">
        <f>IF($E504="","",INDEX('Input Transaksi'!$D:$D,$E504))</f>
        <v/>
      </c>
      <c r="C504">
        <f>IF($E504="","",INDEX('Input Transaksi'!$E:$E,$E504))</f>
        <v/>
      </c>
      <c r="D504" s="5">
        <f>IF($E504="","",INDEX('Input Transaksi'!$F:$F,$E504))</f>
        <v/>
      </c>
      <c r="E504">
        <f>IFERROR(AGGREGATE(15,6,ROW('Input Transaksi'!$B$5:$B$5000)/('Input Transaksi'!$B$5:$B$5000="LONDRI DEWE ANTASURA"),ROWS($E$5:E504)),"")</f>
        <v/>
      </c>
      <c r="F504" s="5" t="n"/>
    </row>
    <row r="505">
      <c r="A505" s="10">
        <f>IF($E505="","",INDEX('Input Transaksi'!$A:$A,$E505))</f>
        <v/>
      </c>
      <c r="B505" s="5">
        <f>IF($E505="","",INDEX('Input Transaksi'!$D:$D,$E505))</f>
        <v/>
      </c>
      <c r="C505">
        <f>IF($E505="","",INDEX('Input Transaksi'!$E:$E,$E505))</f>
        <v/>
      </c>
      <c r="D505" s="5">
        <f>IF($E505="","",INDEX('Input Transaksi'!$F:$F,$E505))</f>
        <v/>
      </c>
      <c r="E505">
        <f>IFERROR(AGGREGATE(15,6,ROW('Input Transaksi'!$B$5:$B$5000)/('Input Transaksi'!$B$5:$B$5000="LONDRI DEWE ANTASURA"),ROWS($E$5:E505)),"")</f>
        <v/>
      </c>
      <c r="F505" s="5" t="n"/>
    </row>
    <row r="506">
      <c r="A506" s="10">
        <f>IF($E506="","",INDEX('Input Transaksi'!$A:$A,$E506))</f>
        <v/>
      </c>
      <c r="B506" s="5">
        <f>IF($E506="","",INDEX('Input Transaksi'!$D:$D,$E506))</f>
        <v/>
      </c>
      <c r="C506">
        <f>IF($E506="","",INDEX('Input Transaksi'!$E:$E,$E506))</f>
        <v/>
      </c>
      <c r="D506" s="5">
        <f>IF($E506="","",INDEX('Input Transaksi'!$F:$F,$E506))</f>
        <v/>
      </c>
      <c r="E506">
        <f>IFERROR(AGGREGATE(15,6,ROW('Input Transaksi'!$B$5:$B$5000)/('Input Transaksi'!$B$5:$B$5000="LONDRI DEWE ANTASURA"),ROWS($E$5:E506)),"")</f>
        <v/>
      </c>
      <c r="F506" s="5" t="n"/>
    </row>
    <row r="507">
      <c r="A507" s="10">
        <f>IF($E507="","",INDEX('Input Transaksi'!$A:$A,$E507))</f>
        <v/>
      </c>
      <c r="B507" s="5">
        <f>IF($E507="","",INDEX('Input Transaksi'!$D:$D,$E507))</f>
        <v/>
      </c>
      <c r="C507">
        <f>IF($E507="","",INDEX('Input Transaksi'!$E:$E,$E507))</f>
        <v/>
      </c>
      <c r="D507" s="5">
        <f>IF($E507="","",INDEX('Input Transaksi'!$F:$F,$E507))</f>
        <v/>
      </c>
      <c r="E507">
        <f>IFERROR(AGGREGATE(15,6,ROW('Input Transaksi'!$B$5:$B$5000)/('Input Transaksi'!$B$5:$B$5000="LONDRI DEWE ANTASURA"),ROWS($E$5:E507)),"")</f>
        <v/>
      </c>
      <c r="F507" s="5" t="n"/>
    </row>
    <row r="508">
      <c r="A508" s="10">
        <f>IF($E508="","",INDEX('Input Transaksi'!$A:$A,$E508))</f>
        <v/>
      </c>
      <c r="B508" s="5">
        <f>IF($E508="","",INDEX('Input Transaksi'!$D:$D,$E508))</f>
        <v/>
      </c>
      <c r="C508">
        <f>IF($E508="","",INDEX('Input Transaksi'!$E:$E,$E508))</f>
        <v/>
      </c>
      <c r="D508" s="5">
        <f>IF($E508="","",INDEX('Input Transaksi'!$F:$F,$E508))</f>
        <v/>
      </c>
      <c r="E508">
        <f>IFERROR(AGGREGATE(15,6,ROW('Input Transaksi'!$B$5:$B$5000)/('Input Transaksi'!$B$5:$B$5000="LONDRI DEWE ANTASURA"),ROWS($E$5:E508)),"")</f>
        <v/>
      </c>
      <c r="F508" s="5" t="n"/>
    </row>
    <row r="509">
      <c r="A509" s="10">
        <f>IF($E509="","",INDEX('Input Transaksi'!$A:$A,$E509))</f>
        <v/>
      </c>
      <c r="B509" s="5">
        <f>IF($E509="","",INDEX('Input Transaksi'!$D:$D,$E509))</f>
        <v/>
      </c>
      <c r="C509">
        <f>IF($E509="","",INDEX('Input Transaksi'!$E:$E,$E509))</f>
        <v/>
      </c>
      <c r="D509" s="5">
        <f>IF($E509="","",INDEX('Input Transaksi'!$F:$F,$E509))</f>
        <v/>
      </c>
      <c r="E509">
        <f>IFERROR(AGGREGATE(15,6,ROW('Input Transaksi'!$B$5:$B$5000)/('Input Transaksi'!$B$5:$B$5000="LONDRI DEWE ANTASURA"),ROWS($E$5:E509)),"")</f>
        <v/>
      </c>
      <c r="F509" s="5" t="n"/>
    </row>
    <row r="510">
      <c r="A510" s="10">
        <f>IF($E510="","",INDEX('Input Transaksi'!$A:$A,$E510))</f>
        <v/>
      </c>
      <c r="B510" s="5">
        <f>IF($E510="","",INDEX('Input Transaksi'!$D:$D,$E510))</f>
        <v/>
      </c>
      <c r="C510">
        <f>IF($E510="","",INDEX('Input Transaksi'!$E:$E,$E510))</f>
        <v/>
      </c>
      <c r="D510" s="5">
        <f>IF($E510="","",INDEX('Input Transaksi'!$F:$F,$E510))</f>
        <v/>
      </c>
      <c r="E510">
        <f>IFERROR(AGGREGATE(15,6,ROW('Input Transaksi'!$B$5:$B$5000)/('Input Transaksi'!$B$5:$B$5000="LONDRI DEWE ANTASURA"),ROWS($E$5:E510)),"")</f>
        <v/>
      </c>
      <c r="F510" s="5" t="n"/>
    </row>
    <row r="511">
      <c r="A511" s="10">
        <f>IF($E511="","",INDEX('Input Transaksi'!$A:$A,$E511))</f>
        <v/>
      </c>
      <c r="B511" s="5">
        <f>IF($E511="","",INDEX('Input Transaksi'!$D:$D,$E511))</f>
        <v/>
      </c>
      <c r="C511">
        <f>IF($E511="","",INDEX('Input Transaksi'!$E:$E,$E511))</f>
        <v/>
      </c>
      <c r="D511" s="5">
        <f>IF($E511="","",INDEX('Input Transaksi'!$F:$F,$E511))</f>
        <v/>
      </c>
      <c r="E511">
        <f>IFERROR(AGGREGATE(15,6,ROW('Input Transaksi'!$B$5:$B$5000)/('Input Transaksi'!$B$5:$B$5000="LONDRI DEWE ANTASURA"),ROWS($E$5:E511)),"")</f>
        <v/>
      </c>
      <c r="F511" s="5" t="n"/>
    </row>
    <row r="512">
      <c r="A512" s="10">
        <f>IF($E512="","",INDEX('Input Transaksi'!$A:$A,$E512))</f>
        <v/>
      </c>
      <c r="B512" s="5">
        <f>IF($E512="","",INDEX('Input Transaksi'!$D:$D,$E512))</f>
        <v/>
      </c>
      <c r="C512">
        <f>IF($E512="","",INDEX('Input Transaksi'!$E:$E,$E512))</f>
        <v/>
      </c>
      <c r="D512" s="5">
        <f>IF($E512="","",INDEX('Input Transaksi'!$F:$F,$E512))</f>
        <v/>
      </c>
      <c r="E512">
        <f>IFERROR(AGGREGATE(15,6,ROW('Input Transaksi'!$B$5:$B$5000)/('Input Transaksi'!$B$5:$B$5000="LONDRI DEWE ANTASURA"),ROWS($E$5:E512)),"")</f>
        <v/>
      </c>
      <c r="F512" s="5" t="n"/>
    </row>
    <row r="513">
      <c r="A513" s="10">
        <f>IF($E513="","",INDEX('Input Transaksi'!$A:$A,$E513))</f>
        <v/>
      </c>
      <c r="B513" s="5">
        <f>IF($E513="","",INDEX('Input Transaksi'!$D:$D,$E513))</f>
        <v/>
      </c>
      <c r="C513">
        <f>IF($E513="","",INDEX('Input Transaksi'!$E:$E,$E513))</f>
        <v/>
      </c>
      <c r="D513" s="5">
        <f>IF($E513="","",INDEX('Input Transaksi'!$F:$F,$E513))</f>
        <v/>
      </c>
      <c r="E513">
        <f>IFERROR(AGGREGATE(15,6,ROW('Input Transaksi'!$B$5:$B$5000)/('Input Transaksi'!$B$5:$B$5000="LONDRI DEWE ANTASURA"),ROWS($E$5:E513)),"")</f>
        <v/>
      </c>
      <c r="F513" s="5" t="n"/>
    </row>
    <row r="514">
      <c r="A514" s="10">
        <f>IF($E514="","",INDEX('Input Transaksi'!$A:$A,$E514))</f>
        <v/>
      </c>
      <c r="B514" s="5">
        <f>IF($E514="","",INDEX('Input Transaksi'!$D:$D,$E514))</f>
        <v/>
      </c>
      <c r="C514">
        <f>IF($E514="","",INDEX('Input Transaksi'!$E:$E,$E514))</f>
        <v/>
      </c>
      <c r="D514" s="5">
        <f>IF($E514="","",INDEX('Input Transaksi'!$F:$F,$E514))</f>
        <v/>
      </c>
      <c r="E514">
        <f>IFERROR(AGGREGATE(15,6,ROW('Input Transaksi'!$B$5:$B$5000)/('Input Transaksi'!$B$5:$B$5000="LONDRI DEWE ANTASURA"),ROWS($E$5:E514)),"")</f>
        <v/>
      </c>
      <c r="F514" s="5" t="n"/>
    </row>
    <row r="515">
      <c r="A515" s="10">
        <f>IF($E515="","",INDEX('Input Transaksi'!$A:$A,$E515))</f>
        <v/>
      </c>
      <c r="B515" s="5">
        <f>IF($E515="","",INDEX('Input Transaksi'!$D:$D,$E515))</f>
        <v/>
      </c>
      <c r="C515">
        <f>IF($E515="","",INDEX('Input Transaksi'!$E:$E,$E515))</f>
        <v/>
      </c>
      <c r="D515" s="5">
        <f>IF($E515="","",INDEX('Input Transaksi'!$F:$F,$E515))</f>
        <v/>
      </c>
      <c r="E515">
        <f>IFERROR(AGGREGATE(15,6,ROW('Input Transaksi'!$B$5:$B$5000)/('Input Transaksi'!$B$5:$B$5000="LONDRI DEWE ANTASURA"),ROWS($E$5:E515)),"")</f>
        <v/>
      </c>
      <c r="F515" s="5" t="n"/>
    </row>
    <row r="516">
      <c r="A516" s="10">
        <f>IF($E516="","",INDEX('Input Transaksi'!$A:$A,$E516))</f>
        <v/>
      </c>
      <c r="B516" s="5">
        <f>IF($E516="","",INDEX('Input Transaksi'!$D:$D,$E516))</f>
        <v/>
      </c>
      <c r="C516">
        <f>IF($E516="","",INDEX('Input Transaksi'!$E:$E,$E516))</f>
        <v/>
      </c>
      <c r="D516" s="5">
        <f>IF($E516="","",INDEX('Input Transaksi'!$F:$F,$E516))</f>
        <v/>
      </c>
      <c r="E516">
        <f>IFERROR(AGGREGATE(15,6,ROW('Input Transaksi'!$B$5:$B$5000)/('Input Transaksi'!$B$5:$B$5000="LONDRI DEWE ANTASURA"),ROWS($E$5:E516)),"")</f>
        <v/>
      </c>
      <c r="F516" s="5" t="n"/>
    </row>
    <row r="517">
      <c r="A517" s="10">
        <f>IF($E517="","",INDEX('Input Transaksi'!$A:$A,$E517))</f>
        <v/>
      </c>
      <c r="B517" s="5">
        <f>IF($E517="","",INDEX('Input Transaksi'!$D:$D,$E517))</f>
        <v/>
      </c>
      <c r="C517">
        <f>IF($E517="","",INDEX('Input Transaksi'!$E:$E,$E517))</f>
        <v/>
      </c>
      <c r="D517" s="5">
        <f>IF($E517="","",INDEX('Input Transaksi'!$F:$F,$E517))</f>
        <v/>
      </c>
      <c r="E517">
        <f>IFERROR(AGGREGATE(15,6,ROW('Input Transaksi'!$B$5:$B$5000)/('Input Transaksi'!$B$5:$B$5000="LONDRI DEWE ANTASURA"),ROWS($E$5:E517)),"")</f>
        <v/>
      </c>
      <c r="F517" s="5" t="n"/>
    </row>
    <row r="518">
      <c r="A518" s="10">
        <f>IF($E518="","",INDEX('Input Transaksi'!$A:$A,$E518))</f>
        <v/>
      </c>
      <c r="B518" s="5">
        <f>IF($E518="","",INDEX('Input Transaksi'!$D:$D,$E518))</f>
        <v/>
      </c>
      <c r="C518">
        <f>IF($E518="","",INDEX('Input Transaksi'!$E:$E,$E518))</f>
        <v/>
      </c>
      <c r="D518" s="5">
        <f>IF($E518="","",INDEX('Input Transaksi'!$F:$F,$E518))</f>
        <v/>
      </c>
      <c r="E518">
        <f>IFERROR(AGGREGATE(15,6,ROW('Input Transaksi'!$B$5:$B$5000)/('Input Transaksi'!$B$5:$B$5000="LONDRI DEWE ANTASURA"),ROWS($E$5:E518)),"")</f>
        <v/>
      </c>
      <c r="F518" s="5" t="n"/>
    </row>
    <row r="519">
      <c r="A519" s="10">
        <f>IF($E519="","",INDEX('Input Transaksi'!$A:$A,$E519))</f>
        <v/>
      </c>
      <c r="B519" s="5">
        <f>IF($E519="","",INDEX('Input Transaksi'!$D:$D,$E519))</f>
        <v/>
      </c>
      <c r="C519">
        <f>IF($E519="","",INDEX('Input Transaksi'!$E:$E,$E519))</f>
        <v/>
      </c>
      <c r="D519" s="5">
        <f>IF($E519="","",INDEX('Input Transaksi'!$F:$F,$E519))</f>
        <v/>
      </c>
      <c r="E519">
        <f>IFERROR(AGGREGATE(15,6,ROW('Input Transaksi'!$B$5:$B$5000)/('Input Transaksi'!$B$5:$B$5000="LONDRI DEWE ANTASURA"),ROWS($E$5:E519)),"")</f>
        <v/>
      </c>
      <c r="F519" s="5" t="n"/>
    </row>
    <row r="520">
      <c r="A520" s="10">
        <f>IF($E520="","",INDEX('Input Transaksi'!$A:$A,$E520))</f>
        <v/>
      </c>
      <c r="B520" s="5">
        <f>IF($E520="","",INDEX('Input Transaksi'!$D:$D,$E520))</f>
        <v/>
      </c>
      <c r="C520">
        <f>IF($E520="","",INDEX('Input Transaksi'!$E:$E,$E520))</f>
        <v/>
      </c>
      <c r="D520" s="5">
        <f>IF($E520="","",INDEX('Input Transaksi'!$F:$F,$E520))</f>
        <v/>
      </c>
      <c r="E520">
        <f>IFERROR(AGGREGATE(15,6,ROW('Input Transaksi'!$B$5:$B$5000)/('Input Transaksi'!$B$5:$B$5000="LONDRI DEWE ANTASURA"),ROWS($E$5:E520)),"")</f>
        <v/>
      </c>
      <c r="F520" s="5" t="n"/>
    </row>
    <row r="521">
      <c r="A521" s="10">
        <f>IF($E521="","",INDEX('Input Transaksi'!$A:$A,$E521))</f>
        <v/>
      </c>
      <c r="B521" s="5">
        <f>IF($E521="","",INDEX('Input Transaksi'!$D:$D,$E521))</f>
        <v/>
      </c>
      <c r="C521">
        <f>IF($E521="","",INDEX('Input Transaksi'!$E:$E,$E521))</f>
        <v/>
      </c>
      <c r="D521" s="5">
        <f>IF($E521="","",INDEX('Input Transaksi'!$F:$F,$E521))</f>
        <v/>
      </c>
      <c r="E521">
        <f>IFERROR(AGGREGATE(15,6,ROW('Input Transaksi'!$B$5:$B$5000)/('Input Transaksi'!$B$5:$B$5000="LONDRI DEWE ANTASURA"),ROWS($E$5:E521)),"")</f>
        <v/>
      </c>
      <c r="F521" s="5" t="n"/>
    </row>
    <row r="522">
      <c r="A522" s="10">
        <f>IF($E522="","",INDEX('Input Transaksi'!$A:$A,$E522))</f>
        <v/>
      </c>
      <c r="B522" s="5">
        <f>IF($E522="","",INDEX('Input Transaksi'!$D:$D,$E522))</f>
        <v/>
      </c>
      <c r="C522">
        <f>IF($E522="","",INDEX('Input Transaksi'!$E:$E,$E522))</f>
        <v/>
      </c>
      <c r="D522" s="5">
        <f>IF($E522="","",INDEX('Input Transaksi'!$F:$F,$E522))</f>
        <v/>
      </c>
      <c r="E522">
        <f>IFERROR(AGGREGATE(15,6,ROW('Input Transaksi'!$B$5:$B$5000)/('Input Transaksi'!$B$5:$B$5000="LONDRI DEWE ANTASURA"),ROWS($E$5:E522)),"")</f>
        <v/>
      </c>
      <c r="F522" s="5" t="n"/>
    </row>
    <row r="523">
      <c r="A523" s="10">
        <f>IF($E523="","",INDEX('Input Transaksi'!$A:$A,$E523))</f>
        <v/>
      </c>
      <c r="B523" s="5">
        <f>IF($E523="","",INDEX('Input Transaksi'!$D:$D,$E523))</f>
        <v/>
      </c>
      <c r="C523">
        <f>IF($E523="","",INDEX('Input Transaksi'!$E:$E,$E523))</f>
        <v/>
      </c>
      <c r="D523" s="5">
        <f>IF($E523="","",INDEX('Input Transaksi'!$F:$F,$E523))</f>
        <v/>
      </c>
      <c r="E523">
        <f>IFERROR(AGGREGATE(15,6,ROW('Input Transaksi'!$B$5:$B$5000)/('Input Transaksi'!$B$5:$B$5000="LONDRI DEWE ANTASURA"),ROWS($E$5:E523)),"")</f>
        <v/>
      </c>
      <c r="F523" s="5" t="n"/>
    </row>
    <row r="524">
      <c r="A524" s="10">
        <f>IF($E524="","",INDEX('Input Transaksi'!$A:$A,$E524))</f>
        <v/>
      </c>
      <c r="B524" s="5">
        <f>IF($E524="","",INDEX('Input Transaksi'!$D:$D,$E524))</f>
        <v/>
      </c>
      <c r="C524">
        <f>IF($E524="","",INDEX('Input Transaksi'!$E:$E,$E524))</f>
        <v/>
      </c>
      <c r="D524" s="5">
        <f>IF($E524="","",INDEX('Input Transaksi'!$F:$F,$E524))</f>
        <v/>
      </c>
      <c r="E524">
        <f>IFERROR(AGGREGATE(15,6,ROW('Input Transaksi'!$B$5:$B$5000)/('Input Transaksi'!$B$5:$B$5000="LONDRI DEWE ANTASURA"),ROWS($E$5:E524)),"")</f>
        <v/>
      </c>
      <c r="F524" s="5" t="n"/>
    </row>
    <row r="525">
      <c r="A525" s="10">
        <f>IF($E525="","",INDEX('Input Transaksi'!$A:$A,$E525))</f>
        <v/>
      </c>
      <c r="B525" s="5">
        <f>IF($E525="","",INDEX('Input Transaksi'!$D:$D,$E525))</f>
        <v/>
      </c>
      <c r="C525">
        <f>IF($E525="","",INDEX('Input Transaksi'!$E:$E,$E525))</f>
        <v/>
      </c>
      <c r="D525" s="5">
        <f>IF($E525="","",INDEX('Input Transaksi'!$F:$F,$E525))</f>
        <v/>
      </c>
      <c r="E525">
        <f>IFERROR(AGGREGATE(15,6,ROW('Input Transaksi'!$B$5:$B$5000)/('Input Transaksi'!$B$5:$B$5000="LONDRI DEWE ANTASURA"),ROWS($E$5:E525)),"")</f>
        <v/>
      </c>
      <c r="F525" s="5" t="n"/>
    </row>
    <row r="526">
      <c r="A526" s="10">
        <f>IF($E526="","",INDEX('Input Transaksi'!$A:$A,$E526))</f>
        <v/>
      </c>
      <c r="B526" s="5">
        <f>IF($E526="","",INDEX('Input Transaksi'!$D:$D,$E526))</f>
        <v/>
      </c>
      <c r="C526">
        <f>IF($E526="","",INDEX('Input Transaksi'!$E:$E,$E526))</f>
        <v/>
      </c>
      <c r="D526" s="5">
        <f>IF($E526="","",INDEX('Input Transaksi'!$F:$F,$E526))</f>
        <v/>
      </c>
      <c r="E526">
        <f>IFERROR(AGGREGATE(15,6,ROW('Input Transaksi'!$B$5:$B$5000)/('Input Transaksi'!$B$5:$B$5000="LONDRI DEWE ANTASURA"),ROWS($E$5:E526)),"")</f>
        <v/>
      </c>
      <c r="F526" s="5" t="n"/>
    </row>
    <row r="527">
      <c r="A527" s="10">
        <f>IF($E527="","",INDEX('Input Transaksi'!$A:$A,$E527))</f>
        <v/>
      </c>
      <c r="B527" s="5">
        <f>IF($E527="","",INDEX('Input Transaksi'!$D:$D,$E527))</f>
        <v/>
      </c>
      <c r="C527">
        <f>IF($E527="","",INDEX('Input Transaksi'!$E:$E,$E527))</f>
        <v/>
      </c>
      <c r="D527" s="5">
        <f>IF($E527="","",INDEX('Input Transaksi'!$F:$F,$E527))</f>
        <v/>
      </c>
      <c r="E527">
        <f>IFERROR(AGGREGATE(15,6,ROW('Input Transaksi'!$B$5:$B$5000)/('Input Transaksi'!$B$5:$B$5000="LONDRI DEWE ANTASURA"),ROWS($E$5:E527)),"")</f>
        <v/>
      </c>
      <c r="F527" s="5" t="n"/>
    </row>
    <row r="528">
      <c r="A528" s="10">
        <f>IF($E528="","",INDEX('Input Transaksi'!$A:$A,$E528))</f>
        <v/>
      </c>
      <c r="B528" s="5">
        <f>IF($E528="","",INDEX('Input Transaksi'!$D:$D,$E528))</f>
        <v/>
      </c>
      <c r="C528">
        <f>IF($E528="","",INDEX('Input Transaksi'!$E:$E,$E528))</f>
        <v/>
      </c>
      <c r="D528" s="5">
        <f>IF($E528="","",INDEX('Input Transaksi'!$F:$F,$E528))</f>
        <v/>
      </c>
      <c r="E528">
        <f>IFERROR(AGGREGATE(15,6,ROW('Input Transaksi'!$B$5:$B$5000)/('Input Transaksi'!$B$5:$B$5000="LONDRI DEWE ANTASURA"),ROWS($E$5:E528)),"")</f>
        <v/>
      </c>
      <c r="F528" s="5" t="n"/>
    </row>
    <row r="529">
      <c r="A529" s="10">
        <f>IF($E529="","",INDEX('Input Transaksi'!$A:$A,$E529))</f>
        <v/>
      </c>
      <c r="B529" s="5">
        <f>IF($E529="","",INDEX('Input Transaksi'!$D:$D,$E529))</f>
        <v/>
      </c>
      <c r="C529">
        <f>IF($E529="","",INDEX('Input Transaksi'!$E:$E,$E529))</f>
        <v/>
      </c>
      <c r="D529" s="5">
        <f>IF($E529="","",INDEX('Input Transaksi'!$F:$F,$E529))</f>
        <v/>
      </c>
      <c r="E529">
        <f>IFERROR(AGGREGATE(15,6,ROW('Input Transaksi'!$B$5:$B$5000)/('Input Transaksi'!$B$5:$B$5000="LONDRI DEWE ANTASURA"),ROWS($E$5:E529)),"")</f>
        <v/>
      </c>
      <c r="F529" s="5" t="n"/>
    </row>
    <row r="530">
      <c r="A530" s="10">
        <f>IF($E530="","",INDEX('Input Transaksi'!$A:$A,$E530))</f>
        <v/>
      </c>
      <c r="B530" s="5">
        <f>IF($E530="","",INDEX('Input Transaksi'!$D:$D,$E530))</f>
        <v/>
      </c>
      <c r="C530">
        <f>IF($E530="","",INDEX('Input Transaksi'!$E:$E,$E530))</f>
        <v/>
      </c>
      <c r="D530" s="5">
        <f>IF($E530="","",INDEX('Input Transaksi'!$F:$F,$E530))</f>
        <v/>
      </c>
      <c r="E530">
        <f>IFERROR(AGGREGATE(15,6,ROW('Input Transaksi'!$B$5:$B$5000)/('Input Transaksi'!$B$5:$B$5000="LONDRI DEWE ANTASURA"),ROWS($E$5:E530)),"")</f>
        <v/>
      </c>
      <c r="F530" s="5" t="n"/>
    </row>
    <row r="531">
      <c r="A531" s="10">
        <f>IF($E531="","",INDEX('Input Transaksi'!$A:$A,$E531))</f>
        <v/>
      </c>
      <c r="B531" s="5">
        <f>IF($E531="","",INDEX('Input Transaksi'!$D:$D,$E531))</f>
        <v/>
      </c>
      <c r="C531">
        <f>IF($E531="","",INDEX('Input Transaksi'!$E:$E,$E531))</f>
        <v/>
      </c>
      <c r="D531" s="5">
        <f>IF($E531="","",INDEX('Input Transaksi'!$F:$F,$E531))</f>
        <v/>
      </c>
      <c r="E531">
        <f>IFERROR(AGGREGATE(15,6,ROW('Input Transaksi'!$B$5:$B$5000)/('Input Transaksi'!$B$5:$B$5000="LONDRI DEWE ANTASURA"),ROWS($E$5:E531)),"")</f>
        <v/>
      </c>
      <c r="F531" s="5" t="n"/>
    </row>
    <row r="532">
      <c r="A532" s="10">
        <f>IF($E532="","",INDEX('Input Transaksi'!$A:$A,$E532))</f>
        <v/>
      </c>
      <c r="B532" s="5">
        <f>IF($E532="","",INDEX('Input Transaksi'!$D:$D,$E532))</f>
        <v/>
      </c>
      <c r="C532">
        <f>IF($E532="","",INDEX('Input Transaksi'!$E:$E,$E532))</f>
        <v/>
      </c>
      <c r="D532" s="5">
        <f>IF($E532="","",INDEX('Input Transaksi'!$F:$F,$E532))</f>
        <v/>
      </c>
      <c r="E532">
        <f>IFERROR(AGGREGATE(15,6,ROW('Input Transaksi'!$B$5:$B$5000)/('Input Transaksi'!$B$5:$B$5000="LONDRI DEWE ANTASURA"),ROWS($E$5:E532)),"")</f>
        <v/>
      </c>
      <c r="F532" s="5" t="n"/>
    </row>
    <row r="533">
      <c r="A533" s="10">
        <f>IF($E533="","",INDEX('Input Transaksi'!$A:$A,$E533))</f>
        <v/>
      </c>
      <c r="B533" s="5">
        <f>IF($E533="","",INDEX('Input Transaksi'!$D:$D,$E533))</f>
        <v/>
      </c>
      <c r="C533">
        <f>IF($E533="","",INDEX('Input Transaksi'!$E:$E,$E533))</f>
        <v/>
      </c>
      <c r="D533" s="5">
        <f>IF($E533="","",INDEX('Input Transaksi'!$F:$F,$E533))</f>
        <v/>
      </c>
      <c r="E533">
        <f>IFERROR(AGGREGATE(15,6,ROW('Input Transaksi'!$B$5:$B$5000)/('Input Transaksi'!$B$5:$B$5000="LONDRI DEWE ANTASURA"),ROWS($E$5:E533)),"")</f>
        <v/>
      </c>
      <c r="F533" s="5" t="n"/>
    </row>
    <row r="534">
      <c r="A534" s="10">
        <f>IF($E534="","",INDEX('Input Transaksi'!$A:$A,$E534))</f>
        <v/>
      </c>
      <c r="B534" s="5">
        <f>IF($E534="","",INDEX('Input Transaksi'!$D:$D,$E534))</f>
        <v/>
      </c>
      <c r="C534">
        <f>IF($E534="","",INDEX('Input Transaksi'!$E:$E,$E534))</f>
        <v/>
      </c>
      <c r="D534" s="5">
        <f>IF($E534="","",INDEX('Input Transaksi'!$F:$F,$E534))</f>
        <v/>
      </c>
      <c r="E534">
        <f>IFERROR(AGGREGATE(15,6,ROW('Input Transaksi'!$B$5:$B$5000)/('Input Transaksi'!$B$5:$B$5000="LONDRI DEWE ANTASURA"),ROWS($E$5:E534)),"")</f>
        <v/>
      </c>
      <c r="F534" s="5" t="n"/>
    </row>
    <row r="535">
      <c r="A535" s="10">
        <f>IF($E535="","",INDEX('Input Transaksi'!$A:$A,$E535))</f>
        <v/>
      </c>
      <c r="B535" s="5">
        <f>IF($E535="","",INDEX('Input Transaksi'!$D:$D,$E535))</f>
        <v/>
      </c>
      <c r="C535">
        <f>IF($E535="","",INDEX('Input Transaksi'!$E:$E,$E535))</f>
        <v/>
      </c>
      <c r="D535" s="5">
        <f>IF($E535="","",INDEX('Input Transaksi'!$F:$F,$E535))</f>
        <v/>
      </c>
      <c r="E535">
        <f>IFERROR(AGGREGATE(15,6,ROW('Input Transaksi'!$B$5:$B$5000)/('Input Transaksi'!$B$5:$B$5000="LONDRI DEWE ANTASURA"),ROWS($E$5:E535)),"")</f>
        <v/>
      </c>
      <c r="F535" s="5" t="n"/>
    </row>
    <row r="536">
      <c r="A536" s="10">
        <f>IF($E536="","",INDEX('Input Transaksi'!$A:$A,$E536))</f>
        <v/>
      </c>
      <c r="B536" s="5">
        <f>IF($E536="","",INDEX('Input Transaksi'!$D:$D,$E536))</f>
        <v/>
      </c>
      <c r="C536">
        <f>IF($E536="","",INDEX('Input Transaksi'!$E:$E,$E536))</f>
        <v/>
      </c>
      <c r="D536" s="5">
        <f>IF($E536="","",INDEX('Input Transaksi'!$F:$F,$E536))</f>
        <v/>
      </c>
      <c r="E536">
        <f>IFERROR(AGGREGATE(15,6,ROW('Input Transaksi'!$B$5:$B$5000)/('Input Transaksi'!$B$5:$B$5000="LONDRI DEWE ANTASURA"),ROWS($E$5:E536)),"")</f>
        <v/>
      </c>
      <c r="F536" s="5" t="n"/>
    </row>
    <row r="537">
      <c r="A537" s="10">
        <f>IF($E537="","",INDEX('Input Transaksi'!$A:$A,$E537))</f>
        <v/>
      </c>
      <c r="B537" s="5">
        <f>IF($E537="","",INDEX('Input Transaksi'!$D:$D,$E537))</f>
        <v/>
      </c>
      <c r="C537">
        <f>IF($E537="","",INDEX('Input Transaksi'!$E:$E,$E537))</f>
        <v/>
      </c>
      <c r="D537" s="5">
        <f>IF($E537="","",INDEX('Input Transaksi'!$F:$F,$E537))</f>
        <v/>
      </c>
      <c r="E537">
        <f>IFERROR(AGGREGATE(15,6,ROW('Input Transaksi'!$B$5:$B$5000)/('Input Transaksi'!$B$5:$B$5000="LONDRI DEWE ANTASURA"),ROWS($E$5:E537)),"")</f>
        <v/>
      </c>
      <c r="F537" s="5" t="n"/>
    </row>
    <row r="538">
      <c r="A538" s="10">
        <f>IF($E538="","",INDEX('Input Transaksi'!$A:$A,$E538))</f>
        <v/>
      </c>
      <c r="B538" s="5">
        <f>IF($E538="","",INDEX('Input Transaksi'!$D:$D,$E538))</f>
        <v/>
      </c>
      <c r="C538">
        <f>IF($E538="","",INDEX('Input Transaksi'!$E:$E,$E538))</f>
        <v/>
      </c>
      <c r="D538" s="5">
        <f>IF($E538="","",INDEX('Input Transaksi'!$F:$F,$E538))</f>
        <v/>
      </c>
      <c r="E538">
        <f>IFERROR(AGGREGATE(15,6,ROW('Input Transaksi'!$B$5:$B$5000)/('Input Transaksi'!$B$5:$B$5000="LONDRI DEWE ANTASURA"),ROWS($E$5:E538)),"")</f>
        <v/>
      </c>
      <c r="F538" s="5" t="n"/>
    </row>
    <row r="539">
      <c r="A539" s="10">
        <f>IF($E539="","",INDEX('Input Transaksi'!$A:$A,$E539))</f>
        <v/>
      </c>
      <c r="B539" s="5">
        <f>IF($E539="","",INDEX('Input Transaksi'!$D:$D,$E539))</f>
        <v/>
      </c>
      <c r="C539">
        <f>IF($E539="","",INDEX('Input Transaksi'!$E:$E,$E539))</f>
        <v/>
      </c>
      <c r="D539" s="5">
        <f>IF($E539="","",INDEX('Input Transaksi'!$F:$F,$E539))</f>
        <v/>
      </c>
      <c r="E539">
        <f>IFERROR(AGGREGATE(15,6,ROW('Input Transaksi'!$B$5:$B$5000)/('Input Transaksi'!$B$5:$B$5000="LONDRI DEWE ANTASURA"),ROWS($E$5:E539)),"")</f>
        <v/>
      </c>
      <c r="F539" s="5" t="n"/>
    </row>
    <row r="540">
      <c r="A540" s="10">
        <f>IF($E540="","",INDEX('Input Transaksi'!$A:$A,$E540))</f>
        <v/>
      </c>
      <c r="B540" s="5">
        <f>IF($E540="","",INDEX('Input Transaksi'!$D:$D,$E540))</f>
        <v/>
      </c>
      <c r="C540">
        <f>IF($E540="","",INDEX('Input Transaksi'!$E:$E,$E540))</f>
        <v/>
      </c>
      <c r="D540" s="5">
        <f>IF($E540="","",INDEX('Input Transaksi'!$F:$F,$E540))</f>
        <v/>
      </c>
      <c r="E540">
        <f>IFERROR(AGGREGATE(15,6,ROW('Input Transaksi'!$B$5:$B$5000)/('Input Transaksi'!$B$5:$B$5000="LONDRI DEWE ANTASURA"),ROWS($E$5:E540)),"")</f>
        <v/>
      </c>
      <c r="F540" s="5" t="n"/>
    </row>
    <row r="541">
      <c r="A541" s="10">
        <f>IF($E541="","",INDEX('Input Transaksi'!$A:$A,$E541))</f>
        <v/>
      </c>
      <c r="B541" s="5">
        <f>IF($E541="","",INDEX('Input Transaksi'!$D:$D,$E541))</f>
        <v/>
      </c>
      <c r="C541">
        <f>IF($E541="","",INDEX('Input Transaksi'!$E:$E,$E541))</f>
        <v/>
      </c>
      <c r="D541" s="5">
        <f>IF($E541="","",INDEX('Input Transaksi'!$F:$F,$E541))</f>
        <v/>
      </c>
      <c r="E541">
        <f>IFERROR(AGGREGATE(15,6,ROW('Input Transaksi'!$B$5:$B$5000)/('Input Transaksi'!$B$5:$B$5000="LONDRI DEWE ANTASURA"),ROWS($E$5:E541)),"")</f>
        <v/>
      </c>
      <c r="F541" s="5" t="n"/>
    </row>
    <row r="542">
      <c r="A542" s="10">
        <f>IF($E542="","",INDEX('Input Transaksi'!$A:$A,$E542))</f>
        <v/>
      </c>
      <c r="B542" s="5">
        <f>IF($E542="","",INDEX('Input Transaksi'!$D:$D,$E542))</f>
        <v/>
      </c>
      <c r="C542">
        <f>IF($E542="","",INDEX('Input Transaksi'!$E:$E,$E542))</f>
        <v/>
      </c>
      <c r="D542" s="5">
        <f>IF($E542="","",INDEX('Input Transaksi'!$F:$F,$E542))</f>
        <v/>
      </c>
      <c r="E542">
        <f>IFERROR(AGGREGATE(15,6,ROW('Input Transaksi'!$B$5:$B$5000)/('Input Transaksi'!$B$5:$B$5000="LONDRI DEWE ANTASURA"),ROWS($E$5:E542)),"")</f>
        <v/>
      </c>
      <c r="F542" s="5" t="n"/>
    </row>
    <row r="543">
      <c r="A543" s="10">
        <f>IF($E543="","",INDEX('Input Transaksi'!$A:$A,$E543))</f>
        <v/>
      </c>
      <c r="B543" s="5">
        <f>IF($E543="","",INDEX('Input Transaksi'!$D:$D,$E543))</f>
        <v/>
      </c>
      <c r="C543">
        <f>IF($E543="","",INDEX('Input Transaksi'!$E:$E,$E543))</f>
        <v/>
      </c>
      <c r="D543" s="5">
        <f>IF($E543="","",INDEX('Input Transaksi'!$F:$F,$E543))</f>
        <v/>
      </c>
      <c r="E543">
        <f>IFERROR(AGGREGATE(15,6,ROW('Input Transaksi'!$B$5:$B$5000)/('Input Transaksi'!$B$5:$B$5000="LONDRI DEWE ANTASURA"),ROWS($E$5:E543)),"")</f>
        <v/>
      </c>
      <c r="F543" s="5" t="n"/>
    </row>
    <row r="544">
      <c r="A544" s="10">
        <f>IF($E544="","",INDEX('Input Transaksi'!$A:$A,$E544))</f>
        <v/>
      </c>
      <c r="B544" s="5">
        <f>IF($E544="","",INDEX('Input Transaksi'!$D:$D,$E544))</f>
        <v/>
      </c>
      <c r="C544">
        <f>IF($E544="","",INDEX('Input Transaksi'!$E:$E,$E544))</f>
        <v/>
      </c>
      <c r="D544" s="5">
        <f>IF($E544="","",INDEX('Input Transaksi'!$F:$F,$E544))</f>
        <v/>
      </c>
      <c r="E544">
        <f>IFERROR(AGGREGATE(15,6,ROW('Input Transaksi'!$B$5:$B$5000)/('Input Transaksi'!$B$5:$B$5000="LONDRI DEWE ANTASURA"),ROWS($E$5:E544)),"")</f>
        <v/>
      </c>
      <c r="F544" s="5" t="n"/>
    </row>
    <row r="545">
      <c r="A545" s="10">
        <f>IF($E545="","",INDEX('Input Transaksi'!$A:$A,$E545))</f>
        <v/>
      </c>
      <c r="B545" s="5">
        <f>IF($E545="","",INDEX('Input Transaksi'!$D:$D,$E545))</f>
        <v/>
      </c>
      <c r="C545">
        <f>IF($E545="","",INDEX('Input Transaksi'!$E:$E,$E545))</f>
        <v/>
      </c>
      <c r="D545" s="5">
        <f>IF($E545="","",INDEX('Input Transaksi'!$F:$F,$E545))</f>
        <v/>
      </c>
      <c r="E545">
        <f>IFERROR(AGGREGATE(15,6,ROW('Input Transaksi'!$B$5:$B$5000)/('Input Transaksi'!$B$5:$B$5000="LONDRI DEWE ANTASURA"),ROWS($E$5:E545)),"")</f>
        <v/>
      </c>
      <c r="F545" s="5" t="n"/>
    </row>
    <row r="546">
      <c r="A546" s="10">
        <f>IF($E546="","",INDEX('Input Transaksi'!$A:$A,$E546))</f>
        <v/>
      </c>
      <c r="B546" s="5">
        <f>IF($E546="","",INDEX('Input Transaksi'!$D:$D,$E546))</f>
        <v/>
      </c>
      <c r="C546">
        <f>IF($E546="","",INDEX('Input Transaksi'!$E:$E,$E546))</f>
        <v/>
      </c>
      <c r="D546" s="5">
        <f>IF($E546="","",INDEX('Input Transaksi'!$F:$F,$E546))</f>
        <v/>
      </c>
      <c r="E546">
        <f>IFERROR(AGGREGATE(15,6,ROW('Input Transaksi'!$B$5:$B$5000)/('Input Transaksi'!$B$5:$B$5000="LONDRI DEWE ANTASURA"),ROWS($E$5:E546)),"")</f>
        <v/>
      </c>
      <c r="F546" s="5" t="n"/>
    </row>
    <row r="547">
      <c r="A547" s="10">
        <f>IF($E547="","",INDEX('Input Transaksi'!$A:$A,$E547))</f>
        <v/>
      </c>
      <c r="B547" s="5">
        <f>IF($E547="","",INDEX('Input Transaksi'!$D:$D,$E547))</f>
        <v/>
      </c>
      <c r="C547">
        <f>IF($E547="","",INDEX('Input Transaksi'!$E:$E,$E547))</f>
        <v/>
      </c>
      <c r="D547" s="5">
        <f>IF($E547="","",INDEX('Input Transaksi'!$F:$F,$E547))</f>
        <v/>
      </c>
      <c r="E547">
        <f>IFERROR(AGGREGATE(15,6,ROW('Input Transaksi'!$B$5:$B$5000)/('Input Transaksi'!$B$5:$B$5000="LONDRI DEWE ANTASURA"),ROWS($E$5:E547)),"")</f>
        <v/>
      </c>
      <c r="F547" s="5" t="n"/>
    </row>
    <row r="548">
      <c r="A548" s="10">
        <f>IF($E548="","",INDEX('Input Transaksi'!$A:$A,$E548))</f>
        <v/>
      </c>
      <c r="B548" s="5">
        <f>IF($E548="","",INDEX('Input Transaksi'!$D:$D,$E548))</f>
        <v/>
      </c>
      <c r="C548">
        <f>IF($E548="","",INDEX('Input Transaksi'!$E:$E,$E548))</f>
        <v/>
      </c>
      <c r="D548" s="5">
        <f>IF($E548="","",INDEX('Input Transaksi'!$F:$F,$E548))</f>
        <v/>
      </c>
      <c r="E548">
        <f>IFERROR(AGGREGATE(15,6,ROW('Input Transaksi'!$B$5:$B$5000)/('Input Transaksi'!$B$5:$B$5000="LONDRI DEWE ANTASURA"),ROWS($E$5:E548)),"")</f>
        <v/>
      </c>
      <c r="F548" s="5" t="n"/>
    </row>
    <row r="549">
      <c r="A549" s="10">
        <f>IF($E549="","",INDEX('Input Transaksi'!$A:$A,$E549))</f>
        <v/>
      </c>
      <c r="B549" s="5">
        <f>IF($E549="","",INDEX('Input Transaksi'!$D:$D,$E549))</f>
        <v/>
      </c>
      <c r="C549">
        <f>IF($E549="","",INDEX('Input Transaksi'!$E:$E,$E549))</f>
        <v/>
      </c>
      <c r="D549" s="5">
        <f>IF($E549="","",INDEX('Input Transaksi'!$F:$F,$E549))</f>
        <v/>
      </c>
      <c r="E549">
        <f>IFERROR(AGGREGATE(15,6,ROW('Input Transaksi'!$B$5:$B$5000)/('Input Transaksi'!$B$5:$B$5000="LONDRI DEWE ANTASURA"),ROWS($E$5:E549)),"")</f>
        <v/>
      </c>
      <c r="F549" s="5" t="n"/>
    </row>
    <row r="550">
      <c r="A550" s="10">
        <f>IF($E550="","",INDEX('Input Transaksi'!$A:$A,$E550))</f>
        <v/>
      </c>
      <c r="B550" s="5">
        <f>IF($E550="","",INDEX('Input Transaksi'!$D:$D,$E550))</f>
        <v/>
      </c>
      <c r="C550">
        <f>IF($E550="","",INDEX('Input Transaksi'!$E:$E,$E550))</f>
        <v/>
      </c>
      <c r="D550" s="5">
        <f>IF($E550="","",INDEX('Input Transaksi'!$F:$F,$E550))</f>
        <v/>
      </c>
      <c r="E550">
        <f>IFERROR(AGGREGATE(15,6,ROW('Input Transaksi'!$B$5:$B$5000)/('Input Transaksi'!$B$5:$B$5000="LONDRI DEWE ANTASURA"),ROWS($E$5:E550)),"")</f>
        <v/>
      </c>
      <c r="F550" s="5" t="n"/>
    </row>
    <row r="551">
      <c r="A551" s="10">
        <f>IF($E551="","",INDEX('Input Transaksi'!$A:$A,$E551))</f>
        <v/>
      </c>
      <c r="B551" s="5">
        <f>IF($E551="","",INDEX('Input Transaksi'!$D:$D,$E551))</f>
        <v/>
      </c>
      <c r="C551">
        <f>IF($E551="","",INDEX('Input Transaksi'!$E:$E,$E551))</f>
        <v/>
      </c>
      <c r="D551" s="5">
        <f>IF($E551="","",INDEX('Input Transaksi'!$F:$F,$E551))</f>
        <v/>
      </c>
      <c r="E551">
        <f>IFERROR(AGGREGATE(15,6,ROW('Input Transaksi'!$B$5:$B$5000)/('Input Transaksi'!$B$5:$B$5000="LONDRI DEWE ANTASURA"),ROWS($E$5:E551)),"")</f>
        <v/>
      </c>
      <c r="F551" s="5" t="n"/>
    </row>
    <row r="552">
      <c r="A552" s="10">
        <f>IF($E552="","",INDEX('Input Transaksi'!$A:$A,$E552))</f>
        <v/>
      </c>
      <c r="B552" s="5">
        <f>IF($E552="","",INDEX('Input Transaksi'!$D:$D,$E552))</f>
        <v/>
      </c>
      <c r="C552">
        <f>IF($E552="","",INDEX('Input Transaksi'!$E:$E,$E552))</f>
        <v/>
      </c>
      <c r="D552" s="5">
        <f>IF($E552="","",INDEX('Input Transaksi'!$F:$F,$E552))</f>
        <v/>
      </c>
      <c r="E552">
        <f>IFERROR(AGGREGATE(15,6,ROW('Input Transaksi'!$B$5:$B$5000)/('Input Transaksi'!$B$5:$B$5000="LONDRI DEWE ANTASURA"),ROWS($E$5:E552)),"")</f>
        <v/>
      </c>
      <c r="F552" s="5" t="n"/>
    </row>
    <row r="553">
      <c r="A553" s="10">
        <f>IF($E553="","",INDEX('Input Transaksi'!$A:$A,$E553))</f>
        <v/>
      </c>
      <c r="B553" s="5">
        <f>IF($E553="","",INDEX('Input Transaksi'!$D:$D,$E553))</f>
        <v/>
      </c>
      <c r="C553">
        <f>IF($E553="","",INDEX('Input Transaksi'!$E:$E,$E553))</f>
        <v/>
      </c>
      <c r="D553" s="5">
        <f>IF($E553="","",INDEX('Input Transaksi'!$F:$F,$E553))</f>
        <v/>
      </c>
      <c r="E553">
        <f>IFERROR(AGGREGATE(15,6,ROW('Input Transaksi'!$B$5:$B$5000)/('Input Transaksi'!$B$5:$B$5000="LONDRI DEWE ANTASURA"),ROWS($E$5:E553)),"")</f>
        <v/>
      </c>
      <c r="F553" s="5" t="n"/>
    </row>
    <row r="554">
      <c r="A554" s="10">
        <f>IF($E554="","",INDEX('Input Transaksi'!$A:$A,$E554))</f>
        <v/>
      </c>
      <c r="B554" s="5">
        <f>IF($E554="","",INDEX('Input Transaksi'!$D:$D,$E554))</f>
        <v/>
      </c>
      <c r="C554">
        <f>IF($E554="","",INDEX('Input Transaksi'!$E:$E,$E554))</f>
        <v/>
      </c>
      <c r="D554" s="5">
        <f>IF($E554="","",INDEX('Input Transaksi'!$F:$F,$E554))</f>
        <v/>
      </c>
      <c r="E554">
        <f>IFERROR(AGGREGATE(15,6,ROW('Input Transaksi'!$B$5:$B$5000)/('Input Transaksi'!$B$5:$B$5000="LONDRI DEWE ANTASURA"),ROWS($E$5:E554)),"")</f>
        <v/>
      </c>
      <c r="F554" s="5" t="n"/>
    </row>
    <row r="555">
      <c r="A555" s="10">
        <f>IF($E555="","",INDEX('Input Transaksi'!$A:$A,$E555))</f>
        <v/>
      </c>
      <c r="B555" s="5">
        <f>IF($E555="","",INDEX('Input Transaksi'!$D:$D,$E555))</f>
        <v/>
      </c>
      <c r="C555">
        <f>IF($E555="","",INDEX('Input Transaksi'!$E:$E,$E555))</f>
        <v/>
      </c>
      <c r="D555" s="5">
        <f>IF($E555="","",INDEX('Input Transaksi'!$F:$F,$E555))</f>
        <v/>
      </c>
      <c r="E555">
        <f>IFERROR(AGGREGATE(15,6,ROW('Input Transaksi'!$B$5:$B$5000)/('Input Transaksi'!$B$5:$B$5000="LONDRI DEWE ANTASURA"),ROWS($E$5:E555)),"")</f>
        <v/>
      </c>
      <c r="F555" s="5" t="n"/>
    </row>
    <row r="556">
      <c r="A556" s="10">
        <f>IF($E556="","",INDEX('Input Transaksi'!$A:$A,$E556))</f>
        <v/>
      </c>
      <c r="B556" s="5">
        <f>IF($E556="","",INDEX('Input Transaksi'!$D:$D,$E556))</f>
        <v/>
      </c>
      <c r="C556">
        <f>IF($E556="","",INDEX('Input Transaksi'!$E:$E,$E556))</f>
        <v/>
      </c>
      <c r="D556" s="5">
        <f>IF($E556="","",INDEX('Input Transaksi'!$F:$F,$E556))</f>
        <v/>
      </c>
      <c r="E556">
        <f>IFERROR(AGGREGATE(15,6,ROW('Input Transaksi'!$B$5:$B$5000)/('Input Transaksi'!$B$5:$B$5000="LONDRI DEWE ANTASURA"),ROWS($E$5:E556)),"")</f>
        <v/>
      </c>
      <c r="F556" s="5" t="n"/>
    </row>
    <row r="557">
      <c r="A557" s="10">
        <f>IF($E557="","",INDEX('Input Transaksi'!$A:$A,$E557))</f>
        <v/>
      </c>
      <c r="B557" s="5">
        <f>IF($E557="","",INDEX('Input Transaksi'!$D:$D,$E557))</f>
        <v/>
      </c>
      <c r="C557">
        <f>IF($E557="","",INDEX('Input Transaksi'!$E:$E,$E557))</f>
        <v/>
      </c>
      <c r="D557" s="5">
        <f>IF($E557="","",INDEX('Input Transaksi'!$F:$F,$E557))</f>
        <v/>
      </c>
      <c r="E557">
        <f>IFERROR(AGGREGATE(15,6,ROW('Input Transaksi'!$B$5:$B$5000)/('Input Transaksi'!$B$5:$B$5000="LONDRI DEWE ANTASURA"),ROWS($E$5:E557)),"")</f>
        <v/>
      </c>
      <c r="F557" s="5" t="n"/>
    </row>
    <row r="558">
      <c r="A558" s="10">
        <f>IF($E558="","",INDEX('Input Transaksi'!$A:$A,$E558))</f>
        <v/>
      </c>
      <c r="B558" s="5">
        <f>IF($E558="","",INDEX('Input Transaksi'!$D:$D,$E558))</f>
        <v/>
      </c>
      <c r="C558">
        <f>IF($E558="","",INDEX('Input Transaksi'!$E:$E,$E558))</f>
        <v/>
      </c>
      <c r="D558" s="5">
        <f>IF($E558="","",INDEX('Input Transaksi'!$F:$F,$E558))</f>
        <v/>
      </c>
      <c r="E558">
        <f>IFERROR(AGGREGATE(15,6,ROW('Input Transaksi'!$B$5:$B$5000)/('Input Transaksi'!$B$5:$B$5000="LONDRI DEWE ANTASURA"),ROWS($E$5:E558)),"")</f>
        <v/>
      </c>
      <c r="F558" s="5" t="n"/>
    </row>
    <row r="559">
      <c r="A559" s="10">
        <f>IF($E559="","",INDEX('Input Transaksi'!$A:$A,$E559))</f>
        <v/>
      </c>
      <c r="B559" s="5">
        <f>IF($E559="","",INDEX('Input Transaksi'!$D:$D,$E559))</f>
        <v/>
      </c>
      <c r="C559">
        <f>IF($E559="","",INDEX('Input Transaksi'!$E:$E,$E559))</f>
        <v/>
      </c>
      <c r="D559" s="5">
        <f>IF($E559="","",INDEX('Input Transaksi'!$F:$F,$E559))</f>
        <v/>
      </c>
      <c r="E559">
        <f>IFERROR(AGGREGATE(15,6,ROW('Input Transaksi'!$B$5:$B$5000)/('Input Transaksi'!$B$5:$B$5000="LONDRI DEWE ANTASURA"),ROWS($E$5:E559)),"")</f>
        <v/>
      </c>
      <c r="F559" s="5" t="n"/>
    </row>
    <row r="560">
      <c r="A560" s="10">
        <f>IF($E560="","",INDEX('Input Transaksi'!$A:$A,$E560))</f>
        <v/>
      </c>
      <c r="B560" s="5">
        <f>IF($E560="","",INDEX('Input Transaksi'!$D:$D,$E560))</f>
        <v/>
      </c>
      <c r="C560">
        <f>IF($E560="","",INDEX('Input Transaksi'!$E:$E,$E560))</f>
        <v/>
      </c>
      <c r="D560" s="5">
        <f>IF($E560="","",INDEX('Input Transaksi'!$F:$F,$E560))</f>
        <v/>
      </c>
      <c r="E560">
        <f>IFERROR(AGGREGATE(15,6,ROW('Input Transaksi'!$B$5:$B$5000)/('Input Transaksi'!$B$5:$B$5000="LONDRI DEWE ANTASURA"),ROWS($E$5:E560)),"")</f>
        <v/>
      </c>
      <c r="F560" s="5" t="n"/>
    </row>
    <row r="561">
      <c r="A561" s="10">
        <f>IF($E561="","",INDEX('Input Transaksi'!$A:$A,$E561))</f>
        <v/>
      </c>
      <c r="B561" s="5">
        <f>IF($E561="","",INDEX('Input Transaksi'!$D:$D,$E561))</f>
        <v/>
      </c>
      <c r="C561">
        <f>IF($E561="","",INDEX('Input Transaksi'!$E:$E,$E561))</f>
        <v/>
      </c>
      <c r="D561" s="5">
        <f>IF($E561="","",INDEX('Input Transaksi'!$F:$F,$E561))</f>
        <v/>
      </c>
      <c r="E561">
        <f>IFERROR(AGGREGATE(15,6,ROW('Input Transaksi'!$B$5:$B$5000)/('Input Transaksi'!$B$5:$B$5000="LONDRI DEWE ANTASURA"),ROWS($E$5:E561)),"")</f>
        <v/>
      </c>
      <c r="F561" s="5" t="n"/>
    </row>
    <row r="562">
      <c r="A562" s="10">
        <f>IF($E562="","",INDEX('Input Transaksi'!$A:$A,$E562))</f>
        <v/>
      </c>
      <c r="B562" s="5">
        <f>IF($E562="","",INDEX('Input Transaksi'!$D:$D,$E562))</f>
        <v/>
      </c>
      <c r="C562">
        <f>IF($E562="","",INDEX('Input Transaksi'!$E:$E,$E562))</f>
        <v/>
      </c>
      <c r="D562" s="5">
        <f>IF($E562="","",INDEX('Input Transaksi'!$F:$F,$E562))</f>
        <v/>
      </c>
      <c r="E562">
        <f>IFERROR(AGGREGATE(15,6,ROW('Input Transaksi'!$B$5:$B$5000)/('Input Transaksi'!$B$5:$B$5000="LONDRI DEWE ANTASURA"),ROWS($E$5:E562)),"")</f>
        <v/>
      </c>
      <c r="F562" s="5" t="n"/>
    </row>
    <row r="563">
      <c r="A563" s="10">
        <f>IF($E563="","",INDEX('Input Transaksi'!$A:$A,$E563))</f>
        <v/>
      </c>
      <c r="B563" s="5">
        <f>IF($E563="","",INDEX('Input Transaksi'!$D:$D,$E563))</f>
        <v/>
      </c>
      <c r="C563">
        <f>IF($E563="","",INDEX('Input Transaksi'!$E:$E,$E563))</f>
        <v/>
      </c>
      <c r="D563" s="5">
        <f>IF($E563="","",INDEX('Input Transaksi'!$F:$F,$E563))</f>
        <v/>
      </c>
      <c r="E563">
        <f>IFERROR(AGGREGATE(15,6,ROW('Input Transaksi'!$B$5:$B$5000)/('Input Transaksi'!$B$5:$B$5000="LONDRI DEWE ANTASURA"),ROWS($E$5:E563)),"")</f>
        <v/>
      </c>
      <c r="F563" s="5" t="n"/>
    </row>
    <row r="564">
      <c r="A564" s="10">
        <f>IF($E564="","",INDEX('Input Transaksi'!$A:$A,$E564))</f>
        <v/>
      </c>
      <c r="B564" s="5">
        <f>IF($E564="","",INDEX('Input Transaksi'!$D:$D,$E564))</f>
        <v/>
      </c>
      <c r="C564">
        <f>IF($E564="","",INDEX('Input Transaksi'!$E:$E,$E564))</f>
        <v/>
      </c>
      <c r="D564" s="5">
        <f>IF($E564="","",INDEX('Input Transaksi'!$F:$F,$E564))</f>
        <v/>
      </c>
      <c r="E564">
        <f>IFERROR(AGGREGATE(15,6,ROW('Input Transaksi'!$B$5:$B$5000)/('Input Transaksi'!$B$5:$B$5000="LONDRI DEWE ANTASURA"),ROWS($E$5:E564)),"")</f>
        <v/>
      </c>
      <c r="F564" s="5" t="n"/>
    </row>
    <row r="565">
      <c r="A565" s="10">
        <f>IF($E565="","",INDEX('Input Transaksi'!$A:$A,$E565))</f>
        <v/>
      </c>
      <c r="B565" s="5">
        <f>IF($E565="","",INDEX('Input Transaksi'!$D:$D,$E565))</f>
        <v/>
      </c>
      <c r="C565">
        <f>IF($E565="","",INDEX('Input Transaksi'!$E:$E,$E565))</f>
        <v/>
      </c>
      <c r="D565" s="5">
        <f>IF($E565="","",INDEX('Input Transaksi'!$F:$F,$E565))</f>
        <v/>
      </c>
      <c r="E565">
        <f>IFERROR(AGGREGATE(15,6,ROW('Input Transaksi'!$B$5:$B$5000)/('Input Transaksi'!$B$5:$B$5000="LONDRI DEWE ANTASURA"),ROWS($E$5:E565)),"")</f>
        <v/>
      </c>
      <c r="F565" s="5" t="n"/>
    </row>
    <row r="566">
      <c r="A566" s="10">
        <f>IF($E566="","",INDEX('Input Transaksi'!$A:$A,$E566))</f>
        <v/>
      </c>
      <c r="B566" s="5">
        <f>IF($E566="","",INDEX('Input Transaksi'!$D:$D,$E566))</f>
        <v/>
      </c>
      <c r="C566">
        <f>IF($E566="","",INDEX('Input Transaksi'!$E:$E,$E566))</f>
        <v/>
      </c>
      <c r="D566" s="5">
        <f>IF($E566="","",INDEX('Input Transaksi'!$F:$F,$E566))</f>
        <v/>
      </c>
      <c r="E566">
        <f>IFERROR(AGGREGATE(15,6,ROW('Input Transaksi'!$B$5:$B$5000)/('Input Transaksi'!$B$5:$B$5000="LONDRI DEWE ANTASURA"),ROWS($E$5:E566)),"")</f>
        <v/>
      </c>
      <c r="F566" s="5" t="n"/>
    </row>
    <row r="567">
      <c r="A567" s="10">
        <f>IF($E567="","",INDEX('Input Transaksi'!$A:$A,$E567))</f>
        <v/>
      </c>
      <c r="B567" s="5">
        <f>IF($E567="","",INDEX('Input Transaksi'!$D:$D,$E567))</f>
        <v/>
      </c>
      <c r="C567">
        <f>IF($E567="","",INDEX('Input Transaksi'!$E:$E,$E567))</f>
        <v/>
      </c>
      <c r="D567" s="5">
        <f>IF($E567="","",INDEX('Input Transaksi'!$F:$F,$E567))</f>
        <v/>
      </c>
      <c r="E567">
        <f>IFERROR(AGGREGATE(15,6,ROW('Input Transaksi'!$B$5:$B$5000)/('Input Transaksi'!$B$5:$B$5000="LONDRI DEWE ANTASURA"),ROWS($E$5:E567)),"")</f>
        <v/>
      </c>
      <c r="F567" s="5" t="n"/>
    </row>
    <row r="568">
      <c r="A568" s="10">
        <f>IF($E568="","",INDEX('Input Transaksi'!$A:$A,$E568))</f>
        <v/>
      </c>
      <c r="B568" s="5">
        <f>IF($E568="","",INDEX('Input Transaksi'!$D:$D,$E568))</f>
        <v/>
      </c>
      <c r="C568">
        <f>IF($E568="","",INDEX('Input Transaksi'!$E:$E,$E568))</f>
        <v/>
      </c>
      <c r="D568" s="5">
        <f>IF($E568="","",INDEX('Input Transaksi'!$F:$F,$E568))</f>
        <v/>
      </c>
      <c r="E568">
        <f>IFERROR(AGGREGATE(15,6,ROW('Input Transaksi'!$B$5:$B$5000)/('Input Transaksi'!$B$5:$B$5000="LONDRI DEWE ANTASURA"),ROWS($E$5:E568)),"")</f>
        <v/>
      </c>
      <c r="F568" s="5" t="n"/>
    </row>
    <row r="569">
      <c r="A569" s="10">
        <f>IF($E569="","",INDEX('Input Transaksi'!$A:$A,$E569))</f>
        <v/>
      </c>
      <c r="B569" s="5">
        <f>IF($E569="","",INDEX('Input Transaksi'!$D:$D,$E569))</f>
        <v/>
      </c>
      <c r="C569">
        <f>IF($E569="","",INDEX('Input Transaksi'!$E:$E,$E569))</f>
        <v/>
      </c>
      <c r="D569" s="5">
        <f>IF($E569="","",INDEX('Input Transaksi'!$F:$F,$E569))</f>
        <v/>
      </c>
      <c r="E569">
        <f>IFERROR(AGGREGATE(15,6,ROW('Input Transaksi'!$B$5:$B$5000)/('Input Transaksi'!$B$5:$B$5000="LONDRI DEWE ANTASURA"),ROWS($E$5:E569)),"")</f>
        <v/>
      </c>
      <c r="F569" s="5" t="n"/>
    </row>
    <row r="570">
      <c r="A570" s="10">
        <f>IF($E570="","",INDEX('Input Transaksi'!$A:$A,$E570))</f>
        <v/>
      </c>
      <c r="B570" s="5">
        <f>IF($E570="","",INDEX('Input Transaksi'!$D:$D,$E570))</f>
        <v/>
      </c>
      <c r="C570">
        <f>IF($E570="","",INDEX('Input Transaksi'!$E:$E,$E570))</f>
        <v/>
      </c>
      <c r="D570" s="5">
        <f>IF($E570="","",INDEX('Input Transaksi'!$F:$F,$E570))</f>
        <v/>
      </c>
      <c r="E570">
        <f>IFERROR(AGGREGATE(15,6,ROW('Input Transaksi'!$B$5:$B$5000)/('Input Transaksi'!$B$5:$B$5000="LONDRI DEWE ANTASURA"),ROWS($E$5:E570)),"")</f>
        <v/>
      </c>
      <c r="F570" s="5" t="n"/>
    </row>
    <row r="571">
      <c r="A571" s="10">
        <f>IF($E571="","",INDEX('Input Transaksi'!$A:$A,$E571))</f>
        <v/>
      </c>
      <c r="B571" s="5">
        <f>IF($E571="","",INDEX('Input Transaksi'!$D:$D,$E571))</f>
        <v/>
      </c>
      <c r="C571">
        <f>IF($E571="","",INDEX('Input Transaksi'!$E:$E,$E571))</f>
        <v/>
      </c>
      <c r="D571" s="5">
        <f>IF($E571="","",INDEX('Input Transaksi'!$F:$F,$E571))</f>
        <v/>
      </c>
      <c r="E571">
        <f>IFERROR(AGGREGATE(15,6,ROW('Input Transaksi'!$B$5:$B$5000)/('Input Transaksi'!$B$5:$B$5000="LONDRI DEWE ANTASURA"),ROWS($E$5:E571)),"")</f>
        <v/>
      </c>
      <c r="F571" s="5" t="n"/>
    </row>
    <row r="572">
      <c r="A572" s="10">
        <f>IF($E572="","",INDEX('Input Transaksi'!$A:$A,$E572))</f>
        <v/>
      </c>
      <c r="B572" s="5">
        <f>IF($E572="","",INDEX('Input Transaksi'!$D:$D,$E572))</f>
        <v/>
      </c>
      <c r="C572">
        <f>IF($E572="","",INDEX('Input Transaksi'!$E:$E,$E572))</f>
        <v/>
      </c>
      <c r="D572" s="5">
        <f>IF($E572="","",INDEX('Input Transaksi'!$F:$F,$E572))</f>
        <v/>
      </c>
      <c r="E572">
        <f>IFERROR(AGGREGATE(15,6,ROW('Input Transaksi'!$B$5:$B$5000)/('Input Transaksi'!$B$5:$B$5000="LONDRI DEWE ANTASURA"),ROWS($E$5:E572)),"")</f>
        <v/>
      </c>
      <c r="F572" s="5" t="n"/>
    </row>
    <row r="573">
      <c r="A573" s="10">
        <f>IF($E573="","",INDEX('Input Transaksi'!$A:$A,$E573))</f>
        <v/>
      </c>
      <c r="B573" s="5">
        <f>IF($E573="","",INDEX('Input Transaksi'!$D:$D,$E573))</f>
        <v/>
      </c>
      <c r="C573">
        <f>IF($E573="","",INDEX('Input Transaksi'!$E:$E,$E573))</f>
        <v/>
      </c>
      <c r="D573" s="5">
        <f>IF($E573="","",INDEX('Input Transaksi'!$F:$F,$E573))</f>
        <v/>
      </c>
      <c r="E573">
        <f>IFERROR(AGGREGATE(15,6,ROW('Input Transaksi'!$B$5:$B$5000)/('Input Transaksi'!$B$5:$B$5000="LONDRI DEWE ANTASURA"),ROWS($E$5:E573)),"")</f>
        <v/>
      </c>
      <c r="F573" s="5" t="n"/>
    </row>
    <row r="574">
      <c r="A574" s="10">
        <f>IF($E574="","",INDEX('Input Transaksi'!$A:$A,$E574))</f>
        <v/>
      </c>
      <c r="B574" s="5">
        <f>IF($E574="","",INDEX('Input Transaksi'!$D:$D,$E574))</f>
        <v/>
      </c>
      <c r="C574">
        <f>IF($E574="","",INDEX('Input Transaksi'!$E:$E,$E574))</f>
        <v/>
      </c>
      <c r="D574" s="5">
        <f>IF($E574="","",INDEX('Input Transaksi'!$F:$F,$E574))</f>
        <v/>
      </c>
      <c r="E574">
        <f>IFERROR(AGGREGATE(15,6,ROW('Input Transaksi'!$B$5:$B$5000)/('Input Transaksi'!$B$5:$B$5000="LONDRI DEWE ANTASURA"),ROWS($E$5:E574)),"")</f>
        <v/>
      </c>
      <c r="F574" s="5" t="n"/>
    </row>
    <row r="575">
      <c r="A575" s="10">
        <f>IF($E575="","",INDEX('Input Transaksi'!$A:$A,$E575))</f>
        <v/>
      </c>
      <c r="B575" s="5">
        <f>IF($E575="","",INDEX('Input Transaksi'!$D:$D,$E575))</f>
        <v/>
      </c>
      <c r="C575">
        <f>IF($E575="","",INDEX('Input Transaksi'!$E:$E,$E575))</f>
        <v/>
      </c>
      <c r="D575" s="5">
        <f>IF($E575="","",INDEX('Input Transaksi'!$F:$F,$E575))</f>
        <v/>
      </c>
      <c r="E575">
        <f>IFERROR(AGGREGATE(15,6,ROW('Input Transaksi'!$B$5:$B$5000)/('Input Transaksi'!$B$5:$B$5000="LONDRI DEWE ANTASURA"),ROWS($E$5:E575)),"")</f>
        <v/>
      </c>
      <c r="F575" s="5" t="n"/>
    </row>
    <row r="576">
      <c r="A576" s="10">
        <f>IF($E576="","",INDEX('Input Transaksi'!$A:$A,$E576))</f>
        <v/>
      </c>
      <c r="B576" s="5">
        <f>IF($E576="","",INDEX('Input Transaksi'!$D:$D,$E576))</f>
        <v/>
      </c>
      <c r="C576">
        <f>IF($E576="","",INDEX('Input Transaksi'!$E:$E,$E576))</f>
        <v/>
      </c>
      <c r="D576" s="5">
        <f>IF($E576="","",INDEX('Input Transaksi'!$F:$F,$E576))</f>
        <v/>
      </c>
      <c r="E576">
        <f>IFERROR(AGGREGATE(15,6,ROW('Input Transaksi'!$B$5:$B$5000)/('Input Transaksi'!$B$5:$B$5000="LONDRI DEWE ANTASURA"),ROWS($E$5:E576)),"")</f>
        <v/>
      </c>
      <c r="F576" s="5" t="n"/>
    </row>
    <row r="577">
      <c r="A577" s="10">
        <f>IF($E577="","",INDEX('Input Transaksi'!$A:$A,$E577))</f>
        <v/>
      </c>
      <c r="B577" s="5">
        <f>IF($E577="","",INDEX('Input Transaksi'!$D:$D,$E577))</f>
        <v/>
      </c>
      <c r="C577">
        <f>IF($E577="","",INDEX('Input Transaksi'!$E:$E,$E577))</f>
        <v/>
      </c>
      <c r="D577" s="5">
        <f>IF($E577="","",INDEX('Input Transaksi'!$F:$F,$E577))</f>
        <v/>
      </c>
      <c r="E577">
        <f>IFERROR(AGGREGATE(15,6,ROW('Input Transaksi'!$B$5:$B$5000)/('Input Transaksi'!$B$5:$B$5000="LONDRI DEWE ANTASURA"),ROWS($E$5:E577)),"")</f>
        <v/>
      </c>
      <c r="F577" s="5" t="n"/>
    </row>
    <row r="578">
      <c r="A578" s="10">
        <f>IF($E578="","",INDEX('Input Transaksi'!$A:$A,$E578))</f>
        <v/>
      </c>
      <c r="B578" s="5">
        <f>IF($E578="","",INDEX('Input Transaksi'!$D:$D,$E578))</f>
        <v/>
      </c>
      <c r="C578">
        <f>IF($E578="","",INDEX('Input Transaksi'!$E:$E,$E578))</f>
        <v/>
      </c>
      <c r="D578" s="5">
        <f>IF($E578="","",INDEX('Input Transaksi'!$F:$F,$E578))</f>
        <v/>
      </c>
      <c r="E578">
        <f>IFERROR(AGGREGATE(15,6,ROW('Input Transaksi'!$B$5:$B$5000)/('Input Transaksi'!$B$5:$B$5000="LONDRI DEWE ANTASURA"),ROWS($E$5:E578)),"")</f>
        <v/>
      </c>
      <c r="F578" s="5" t="n"/>
    </row>
    <row r="579">
      <c r="A579" s="10">
        <f>IF($E579="","",INDEX('Input Transaksi'!$A:$A,$E579))</f>
        <v/>
      </c>
      <c r="B579" s="5">
        <f>IF($E579="","",INDEX('Input Transaksi'!$D:$D,$E579))</f>
        <v/>
      </c>
      <c r="C579">
        <f>IF($E579="","",INDEX('Input Transaksi'!$E:$E,$E579))</f>
        <v/>
      </c>
      <c r="D579" s="5">
        <f>IF($E579="","",INDEX('Input Transaksi'!$F:$F,$E579))</f>
        <v/>
      </c>
      <c r="E579">
        <f>IFERROR(AGGREGATE(15,6,ROW('Input Transaksi'!$B$5:$B$5000)/('Input Transaksi'!$B$5:$B$5000="LONDRI DEWE ANTASURA"),ROWS($E$5:E579)),"")</f>
        <v/>
      </c>
      <c r="F579" s="5" t="n"/>
    </row>
    <row r="580">
      <c r="A580" s="10">
        <f>IF($E580="","",INDEX('Input Transaksi'!$A:$A,$E580))</f>
        <v/>
      </c>
      <c r="B580" s="5">
        <f>IF($E580="","",INDEX('Input Transaksi'!$D:$D,$E580))</f>
        <v/>
      </c>
      <c r="C580">
        <f>IF($E580="","",INDEX('Input Transaksi'!$E:$E,$E580))</f>
        <v/>
      </c>
      <c r="D580" s="5">
        <f>IF($E580="","",INDEX('Input Transaksi'!$F:$F,$E580))</f>
        <v/>
      </c>
      <c r="E580">
        <f>IFERROR(AGGREGATE(15,6,ROW('Input Transaksi'!$B$5:$B$5000)/('Input Transaksi'!$B$5:$B$5000="LONDRI DEWE ANTASURA"),ROWS($E$5:E580)),"")</f>
        <v/>
      </c>
      <c r="F580" s="5" t="n"/>
    </row>
    <row r="581">
      <c r="A581" s="10">
        <f>IF($E581="","",INDEX('Input Transaksi'!$A:$A,$E581))</f>
        <v/>
      </c>
      <c r="B581" s="5">
        <f>IF($E581="","",INDEX('Input Transaksi'!$D:$D,$E581))</f>
        <v/>
      </c>
      <c r="C581">
        <f>IF($E581="","",INDEX('Input Transaksi'!$E:$E,$E581))</f>
        <v/>
      </c>
      <c r="D581" s="5">
        <f>IF($E581="","",INDEX('Input Transaksi'!$F:$F,$E581))</f>
        <v/>
      </c>
      <c r="E581">
        <f>IFERROR(AGGREGATE(15,6,ROW('Input Transaksi'!$B$5:$B$5000)/('Input Transaksi'!$B$5:$B$5000="LONDRI DEWE ANTASURA"),ROWS($E$5:E581)),"")</f>
        <v/>
      </c>
      <c r="F581" s="5" t="n"/>
    </row>
    <row r="582">
      <c r="A582" s="10">
        <f>IF($E582="","",INDEX('Input Transaksi'!$A:$A,$E582))</f>
        <v/>
      </c>
      <c r="B582" s="5">
        <f>IF($E582="","",INDEX('Input Transaksi'!$D:$D,$E582))</f>
        <v/>
      </c>
      <c r="C582">
        <f>IF($E582="","",INDEX('Input Transaksi'!$E:$E,$E582))</f>
        <v/>
      </c>
      <c r="D582" s="5">
        <f>IF($E582="","",INDEX('Input Transaksi'!$F:$F,$E582))</f>
        <v/>
      </c>
      <c r="E582">
        <f>IFERROR(AGGREGATE(15,6,ROW('Input Transaksi'!$B$5:$B$5000)/('Input Transaksi'!$B$5:$B$5000="LONDRI DEWE ANTASURA"),ROWS($E$5:E582)),"")</f>
        <v/>
      </c>
      <c r="F582" s="5" t="n"/>
    </row>
    <row r="583">
      <c r="A583" s="10">
        <f>IF($E583="","",INDEX('Input Transaksi'!$A:$A,$E583))</f>
        <v/>
      </c>
      <c r="B583" s="5">
        <f>IF($E583="","",INDEX('Input Transaksi'!$D:$D,$E583))</f>
        <v/>
      </c>
      <c r="C583">
        <f>IF($E583="","",INDEX('Input Transaksi'!$E:$E,$E583))</f>
        <v/>
      </c>
      <c r="D583" s="5">
        <f>IF($E583="","",INDEX('Input Transaksi'!$F:$F,$E583))</f>
        <v/>
      </c>
      <c r="E583">
        <f>IFERROR(AGGREGATE(15,6,ROW('Input Transaksi'!$B$5:$B$5000)/('Input Transaksi'!$B$5:$B$5000="LONDRI DEWE ANTASURA"),ROWS($E$5:E583)),"")</f>
        <v/>
      </c>
      <c r="F583" s="5" t="n"/>
    </row>
    <row r="584">
      <c r="A584" s="10">
        <f>IF($E584="","",INDEX('Input Transaksi'!$A:$A,$E584))</f>
        <v/>
      </c>
      <c r="B584" s="5">
        <f>IF($E584="","",INDEX('Input Transaksi'!$D:$D,$E584))</f>
        <v/>
      </c>
      <c r="C584">
        <f>IF($E584="","",INDEX('Input Transaksi'!$E:$E,$E584))</f>
        <v/>
      </c>
      <c r="D584" s="5">
        <f>IF($E584="","",INDEX('Input Transaksi'!$F:$F,$E584))</f>
        <v/>
      </c>
      <c r="E584">
        <f>IFERROR(AGGREGATE(15,6,ROW('Input Transaksi'!$B$5:$B$5000)/('Input Transaksi'!$B$5:$B$5000="LONDRI DEWE ANTASURA"),ROWS($E$5:E584)),"")</f>
        <v/>
      </c>
      <c r="F584" s="5" t="n"/>
    </row>
    <row r="585">
      <c r="A585" s="10">
        <f>IF($E585="","",INDEX('Input Transaksi'!$A:$A,$E585))</f>
        <v/>
      </c>
      <c r="B585" s="5">
        <f>IF($E585="","",INDEX('Input Transaksi'!$D:$D,$E585))</f>
        <v/>
      </c>
      <c r="C585">
        <f>IF($E585="","",INDEX('Input Transaksi'!$E:$E,$E585))</f>
        <v/>
      </c>
      <c r="D585" s="5">
        <f>IF($E585="","",INDEX('Input Transaksi'!$F:$F,$E585))</f>
        <v/>
      </c>
      <c r="E585">
        <f>IFERROR(AGGREGATE(15,6,ROW('Input Transaksi'!$B$5:$B$5000)/('Input Transaksi'!$B$5:$B$5000="LONDRI DEWE ANTASURA"),ROWS($E$5:E585)),"")</f>
        <v/>
      </c>
      <c r="F585" s="5" t="n"/>
    </row>
    <row r="586">
      <c r="A586" s="10">
        <f>IF($E586="","",INDEX('Input Transaksi'!$A:$A,$E586))</f>
        <v/>
      </c>
      <c r="B586" s="5">
        <f>IF($E586="","",INDEX('Input Transaksi'!$D:$D,$E586))</f>
        <v/>
      </c>
      <c r="C586">
        <f>IF($E586="","",INDEX('Input Transaksi'!$E:$E,$E586))</f>
        <v/>
      </c>
      <c r="D586" s="5">
        <f>IF($E586="","",INDEX('Input Transaksi'!$F:$F,$E586))</f>
        <v/>
      </c>
      <c r="E586">
        <f>IFERROR(AGGREGATE(15,6,ROW('Input Transaksi'!$B$5:$B$5000)/('Input Transaksi'!$B$5:$B$5000="LONDRI DEWE ANTASURA"),ROWS($E$5:E586)),"")</f>
        <v/>
      </c>
      <c r="F586" s="5" t="n"/>
    </row>
    <row r="587">
      <c r="A587" s="10">
        <f>IF($E587="","",INDEX('Input Transaksi'!$A:$A,$E587))</f>
        <v/>
      </c>
      <c r="B587" s="5">
        <f>IF($E587="","",INDEX('Input Transaksi'!$D:$D,$E587))</f>
        <v/>
      </c>
      <c r="C587">
        <f>IF($E587="","",INDEX('Input Transaksi'!$E:$E,$E587))</f>
        <v/>
      </c>
      <c r="D587" s="5">
        <f>IF($E587="","",INDEX('Input Transaksi'!$F:$F,$E587))</f>
        <v/>
      </c>
      <c r="E587">
        <f>IFERROR(AGGREGATE(15,6,ROW('Input Transaksi'!$B$5:$B$5000)/('Input Transaksi'!$B$5:$B$5000="LONDRI DEWE ANTASURA"),ROWS($E$5:E587)),"")</f>
        <v/>
      </c>
      <c r="F587" s="5" t="n"/>
    </row>
    <row r="588">
      <c r="A588" s="10">
        <f>IF($E588="","",INDEX('Input Transaksi'!$A:$A,$E588))</f>
        <v/>
      </c>
      <c r="B588" s="5">
        <f>IF($E588="","",INDEX('Input Transaksi'!$D:$D,$E588))</f>
        <v/>
      </c>
      <c r="C588">
        <f>IF($E588="","",INDEX('Input Transaksi'!$E:$E,$E588))</f>
        <v/>
      </c>
      <c r="D588" s="5">
        <f>IF($E588="","",INDEX('Input Transaksi'!$F:$F,$E588))</f>
        <v/>
      </c>
      <c r="E588">
        <f>IFERROR(AGGREGATE(15,6,ROW('Input Transaksi'!$B$5:$B$5000)/('Input Transaksi'!$B$5:$B$5000="LONDRI DEWE ANTASURA"),ROWS($E$5:E588)),"")</f>
        <v/>
      </c>
      <c r="F588" s="5" t="n"/>
    </row>
    <row r="589">
      <c r="A589" s="10">
        <f>IF($E589="","",INDEX('Input Transaksi'!$A:$A,$E589))</f>
        <v/>
      </c>
      <c r="B589" s="5">
        <f>IF($E589="","",INDEX('Input Transaksi'!$D:$D,$E589))</f>
        <v/>
      </c>
      <c r="C589">
        <f>IF($E589="","",INDEX('Input Transaksi'!$E:$E,$E589))</f>
        <v/>
      </c>
      <c r="D589" s="5">
        <f>IF($E589="","",INDEX('Input Transaksi'!$F:$F,$E589))</f>
        <v/>
      </c>
      <c r="E589">
        <f>IFERROR(AGGREGATE(15,6,ROW('Input Transaksi'!$B$5:$B$5000)/('Input Transaksi'!$B$5:$B$5000="LONDRI DEWE ANTASURA"),ROWS($E$5:E589)),"")</f>
        <v/>
      </c>
      <c r="F589" s="5" t="n"/>
    </row>
    <row r="590">
      <c r="A590" s="10">
        <f>IF($E590="","",INDEX('Input Transaksi'!$A:$A,$E590))</f>
        <v/>
      </c>
      <c r="B590" s="5">
        <f>IF($E590="","",INDEX('Input Transaksi'!$D:$D,$E590))</f>
        <v/>
      </c>
      <c r="C590">
        <f>IF($E590="","",INDEX('Input Transaksi'!$E:$E,$E590))</f>
        <v/>
      </c>
      <c r="D590" s="5">
        <f>IF($E590="","",INDEX('Input Transaksi'!$F:$F,$E590))</f>
        <v/>
      </c>
      <c r="E590">
        <f>IFERROR(AGGREGATE(15,6,ROW('Input Transaksi'!$B$5:$B$5000)/('Input Transaksi'!$B$5:$B$5000="LONDRI DEWE ANTASURA"),ROWS($E$5:E590)),"")</f>
        <v/>
      </c>
      <c r="F590" s="5" t="n"/>
    </row>
    <row r="591">
      <c r="A591" s="10">
        <f>IF($E591="","",INDEX('Input Transaksi'!$A:$A,$E591))</f>
        <v/>
      </c>
      <c r="B591" s="5">
        <f>IF($E591="","",INDEX('Input Transaksi'!$D:$D,$E591))</f>
        <v/>
      </c>
      <c r="C591">
        <f>IF($E591="","",INDEX('Input Transaksi'!$E:$E,$E591))</f>
        <v/>
      </c>
      <c r="D591" s="5">
        <f>IF($E591="","",INDEX('Input Transaksi'!$F:$F,$E591))</f>
        <v/>
      </c>
      <c r="E591">
        <f>IFERROR(AGGREGATE(15,6,ROW('Input Transaksi'!$B$5:$B$5000)/('Input Transaksi'!$B$5:$B$5000="LONDRI DEWE ANTASURA"),ROWS($E$5:E591)),"")</f>
        <v/>
      </c>
      <c r="F591" s="5" t="n"/>
    </row>
    <row r="592">
      <c r="A592" s="10">
        <f>IF($E592="","",INDEX('Input Transaksi'!$A:$A,$E592))</f>
        <v/>
      </c>
      <c r="B592" s="5">
        <f>IF($E592="","",INDEX('Input Transaksi'!$D:$D,$E592))</f>
        <v/>
      </c>
      <c r="C592">
        <f>IF($E592="","",INDEX('Input Transaksi'!$E:$E,$E592))</f>
        <v/>
      </c>
      <c r="D592" s="5">
        <f>IF($E592="","",INDEX('Input Transaksi'!$F:$F,$E592))</f>
        <v/>
      </c>
      <c r="E592">
        <f>IFERROR(AGGREGATE(15,6,ROW('Input Transaksi'!$B$5:$B$5000)/('Input Transaksi'!$B$5:$B$5000="LONDRI DEWE ANTASURA"),ROWS($E$5:E592)),"")</f>
        <v/>
      </c>
      <c r="F592" s="5" t="n"/>
    </row>
    <row r="593">
      <c r="A593" s="10">
        <f>IF($E593="","",INDEX('Input Transaksi'!$A:$A,$E593))</f>
        <v/>
      </c>
      <c r="B593" s="5">
        <f>IF($E593="","",INDEX('Input Transaksi'!$D:$D,$E593))</f>
        <v/>
      </c>
      <c r="C593">
        <f>IF($E593="","",INDEX('Input Transaksi'!$E:$E,$E593))</f>
        <v/>
      </c>
      <c r="D593" s="5">
        <f>IF($E593="","",INDEX('Input Transaksi'!$F:$F,$E593))</f>
        <v/>
      </c>
      <c r="E593">
        <f>IFERROR(AGGREGATE(15,6,ROW('Input Transaksi'!$B$5:$B$5000)/('Input Transaksi'!$B$5:$B$5000="LONDRI DEWE ANTASURA"),ROWS($E$5:E593)),"")</f>
        <v/>
      </c>
      <c r="F593" s="5" t="n"/>
    </row>
    <row r="594">
      <c r="A594" s="10">
        <f>IF($E594="","",INDEX('Input Transaksi'!$A:$A,$E594))</f>
        <v/>
      </c>
      <c r="B594" s="5">
        <f>IF($E594="","",INDEX('Input Transaksi'!$D:$D,$E594))</f>
        <v/>
      </c>
      <c r="C594">
        <f>IF($E594="","",INDEX('Input Transaksi'!$E:$E,$E594))</f>
        <v/>
      </c>
      <c r="D594" s="5">
        <f>IF($E594="","",INDEX('Input Transaksi'!$F:$F,$E594))</f>
        <v/>
      </c>
      <c r="E594">
        <f>IFERROR(AGGREGATE(15,6,ROW('Input Transaksi'!$B$5:$B$5000)/('Input Transaksi'!$B$5:$B$5000="LONDRI DEWE ANTASURA"),ROWS($E$5:E594)),"")</f>
        <v/>
      </c>
      <c r="F594" s="5" t="n"/>
    </row>
    <row r="595">
      <c r="A595" s="10">
        <f>IF($E595="","",INDEX('Input Transaksi'!$A:$A,$E595))</f>
        <v/>
      </c>
      <c r="B595" s="5">
        <f>IF($E595="","",INDEX('Input Transaksi'!$D:$D,$E595))</f>
        <v/>
      </c>
      <c r="C595">
        <f>IF($E595="","",INDEX('Input Transaksi'!$E:$E,$E595))</f>
        <v/>
      </c>
      <c r="D595" s="5">
        <f>IF($E595="","",INDEX('Input Transaksi'!$F:$F,$E595))</f>
        <v/>
      </c>
      <c r="E595">
        <f>IFERROR(AGGREGATE(15,6,ROW('Input Transaksi'!$B$5:$B$5000)/('Input Transaksi'!$B$5:$B$5000="LONDRI DEWE ANTASURA"),ROWS($E$5:E595)),"")</f>
        <v/>
      </c>
      <c r="F595" s="5" t="n"/>
    </row>
    <row r="596">
      <c r="A596" s="10">
        <f>IF($E596="","",INDEX('Input Transaksi'!$A:$A,$E596))</f>
        <v/>
      </c>
      <c r="B596" s="5">
        <f>IF($E596="","",INDEX('Input Transaksi'!$D:$D,$E596))</f>
        <v/>
      </c>
      <c r="C596">
        <f>IF($E596="","",INDEX('Input Transaksi'!$E:$E,$E596))</f>
        <v/>
      </c>
      <c r="D596" s="5">
        <f>IF($E596="","",INDEX('Input Transaksi'!$F:$F,$E596))</f>
        <v/>
      </c>
      <c r="E596">
        <f>IFERROR(AGGREGATE(15,6,ROW('Input Transaksi'!$B$5:$B$5000)/('Input Transaksi'!$B$5:$B$5000="LONDRI DEWE ANTASURA"),ROWS($E$5:E596)),"")</f>
        <v/>
      </c>
      <c r="F596" s="5" t="n"/>
    </row>
    <row r="597">
      <c r="A597" s="10">
        <f>IF($E597="","",INDEX('Input Transaksi'!$A:$A,$E597))</f>
        <v/>
      </c>
      <c r="B597" s="5">
        <f>IF($E597="","",INDEX('Input Transaksi'!$D:$D,$E597))</f>
        <v/>
      </c>
      <c r="C597">
        <f>IF($E597="","",INDEX('Input Transaksi'!$E:$E,$E597))</f>
        <v/>
      </c>
      <c r="D597" s="5">
        <f>IF($E597="","",INDEX('Input Transaksi'!$F:$F,$E597))</f>
        <v/>
      </c>
      <c r="E597">
        <f>IFERROR(AGGREGATE(15,6,ROW('Input Transaksi'!$B$5:$B$5000)/('Input Transaksi'!$B$5:$B$5000="LONDRI DEWE ANTASURA"),ROWS($E$5:E597)),"")</f>
        <v/>
      </c>
      <c r="F597" s="5" t="n"/>
    </row>
    <row r="598">
      <c r="A598" s="10">
        <f>IF($E598="","",INDEX('Input Transaksi'!$A:$A,$E598))</f>
        <v/>
      </c>
      <c r="B598" s="5">
        <f>IF($E598="","",INDEX('Input Transaksi'!$D:$D,$E598))</f>
        <v/>
      </c>
      <c r="C598">
        <f>IF($E598="","",INDEX('Input Transaksi'!$E:$E,$E598))</f>
        <v/>
      </c>
      <c r="D598" s="5">
        <f>IF($E598="","",INDEX('Input Transaksi'!$F:$F,$E598))</f>
        <v/>
      </c>
      <c r="E598">
        <f>IFERROR(AGGREGATE(15,6,ROW('Input Transaksi'!$B$5:$B$5000)/('Input Transaksi'!$B$5:$B$5000="LONDRI DEWE ANTASURA"),ROWS($E$5:E598)),"")</f>
        <v/>
      </c>
      <c r="F598" s="5" t="n"/>
    </row>
    <row r="599">
      <c r="A599" s="10">
        <f>IF($E599="","",INDEX('Input Transaksi'!$A:$A,$E599))</f>
        <v/>
      </c>
      <c r="B599" s="5">
        <f>IF($E599="","",INDEX('Input Transaksi'!$D:$D,$E599))</f>
        <v/>
      </c>
      <c r="C599">
        <f>IF($E599="","",INDEX('Input Transaksi'!$E:$E,$E599))</f>
        <v/>
      </c>
      <c r="D599" s="5">
        <f>IF($E599="","",INDEX('Input Transaksi'!$F:$F,$E599))</f>
        <v/>
      </c>
      <c r="E599">
        <f>IFERROR(AGGREGATE(15,6,ROW('Input Transaksi'!$B$5:$B$5000)/('Input Transaksi'!$B$5:$B$5000="LONDRI DEWE ANTASURA"),ROWS($E$5:E599)),"")</f>
        <v/>
      </c>
      <c r="F599" s="5" t="n"/>
    </row>
    <row r="600">
      <c r="A600" s="10">
        <f>IF($E600="","",INDEX('Input Transaksi'!$A:$A,$E600))</f>
        <v/>
      </c>
      <c r="B600" s="5">
        <f>IF($E600="","",INDEX('Input Transaksi'!$D:$D,$E600))</f>
        <v/>
      </c>
      <c r="C600">
        <f>IF($E600="","",INDEX('Input Transaksi'!$E:$E,$E600))</f>
        <v/>
      </c>
      <c r="D600" s="5">
        <f>IF($E600="","",INDEX('Input Transaksi'!$F:$F,$E600))</f>
        <v/>
      </c>
      <c r="E600">
        <f>IFERROR(AGGREGATE(15,6,ROW('Input Transaksi'!$B$5:$B$5000)/('Input Transaksi'!$B$5:$B$5000="LONDRI DEWE ANTASURA"),ROWS($E$5:E600)),"")</f>
        <v/>
      </c>
      <c r="F600" s="5" t="n"/>
    </row>
    <row r="601">
      <c r="A601" s="10">
        <f>IF($E601="","",INDEX('Input Transaksi'!$A:$A,$E601))</f>
        <v/>
      </c>
      <c r="B601" s="5">
        <f>IF($E601="","",INDEX('Input Transaksi'!$D:$D,$E601))</f>
        <v/>
      </c>
      <c r="C601">
        <f>IF($E601="","",INDEX('Input Transaksi'!$E:$E,$E601))</f>
        <v/>
      </c>
      <c r="D601" s="5">
        <f>IF($E601="","",INDEX('Input Transaksi'!$F:$F,$E601))</f>
        <v/>
      </c>
      <c r="E601">
        <f>IFERROR(AGGREGATE(15,6,ROW('Input Transaksi'!$B$5:$B$5000)/('Input Transaksi'!$B$5:$B$5000="LONDRI DEWE ANTASURA"),ROWS($E$5:E601)),"")</f>
        <v/>
      </c>
      <c r="F601" s="5" t="n"/>
    </row>
    <row r="602">
      <c r="A602" s="10">
        <f>IF($E602="","",INDEX('Input Transaksi'!$A:$A,$E602))</f>
        <v/>
      </c>
      <c r="B602" s="5">
        <f>IF($E602="","",INDEX('Input Transaksi'!$D:$D,$E602))</f>
        <v/>
      </c>
      <c r="C602">
        <f>IF($E602="","",INDEX('Input Transaksi'!$E:$E,$E602))</f>
        <v/>
      </c>
      <c r="D602" s="5">
        <f>IF($E602="","",INDEX('Input Transaksi'!$F:$F,$E602))</f>
        <v/>
      </c>
      <c r="E602">
        <f>IFERROR(AGGREGATE(15,6,ROW('Input Transaksi'!$B$5:$B$5000)/('Input Transaksi'!$B$5:$B$5000="LONDRI DEWE ANTASURA"),ROWS($E$5:E602)),"")</f>
        <v/>
      </c>
      <c r="F602" s="5" t="n"/>
    </row>
    <row r="603">
      <c r="A603" s="10">
        <f>IF($E603="","",INDEX('Input Transaksi'!$A:$A,$E603))</f>
        <v/>
      </c>
      <c r="B603" s="5">
        <f>IF($E603="","",INDEX('Input Transaksi'!$D:$D,$E603))</f>
        <v/>
      </c>
      <c r="C603">
        <f>IF($E603="","",INDEX('Input Transaksi'!$E:$E,$E603))</f>
        <v/>
      </c>
      <c r="D603" s="5">
        <f>IF($E603="","",INDEX('Input Transaksi'!$F:$F,$E603))</f>
        <v/>
      </c>
      <c r="E603">
        <f>IFERROR(AGGREGATE(15,6,ROW('Input Transaksi'!$B$5:$B$5000)/('Input Transaksi'!$B$5:$B$5000="LONDRI DEWE ANTASURA"),ROWS($E$5:E603)),"")</f>
        <v/>
      </c>
      <c r="F603" s="5" t="n"/>
    </row>
    <row r="604">
      <c r="A604" s="10">
        <f>IF($E604="","",INDEX('Input Transaksi'!$A:$A,$E604))</f>
        <v/>
      </c>
      <c r="B604" s="5">
        <f>IF($E604="","",INDEX('Input Transaksi'!$D:$D,$E604))</f>
        <v/>
      </c>
      <c r="C604">
        <f>IF($E604="","",INDEX('Input Transaksi'!$E:$E,$E604))</f>
        <v/>
      </c>
      <c r="D604" s="5">
        <f>IF($E604="","",INDEX('Input Transaksi'!$F:$F,$E604))</f>
        <v/>
      </c>
      <c r="E604">
        <f>IFERROR(AGGREGATE(15,6,ROW('Input Transaksi'!$B$5:$B$5000)/('Input Transaksi'!$B$5:$B$5000="LONDRI DEWE ANTASURA"),ROWS($E$5:E604)),"")</f>
        <v/>
      </c>
      <c r="F604" s="5" t="n"/>
    </row>
    <row r="605">
      <c r="A605" s="10">
        <f>IF($E605="","",INDEX('Input Transaksi'!$A:$A,$E605))</f>
        <v/>
      </c>
      <c r="B605" s="5">
        <f>IF($E605="","",INDEX('Input Transaksi'!$D:$D,$E605))</f>
        <v/>
      </c>
      <c r="C605">
        <f>IF($E605="","",INDEX('Input Transaksi'!$E:$E,$E605))</f>
        <v/>
      </c>
      <c r="D605" s="5">
        <f>IF($E605="","",INDEX('Input Transaksi'!$F:$F,$E605))</f>
        <v/>
      </c>
      <c r="E605">
        <f>IFERROR(AGGREGATE(15,6,ROW('Input Transaksi'!$B$5:$B$5000)/('Input Transaksi'!$B$5:$B$5000="LONDRI DEWE ANTASURA"),ROWS($E$5:E605)),"")</f>
        <v/>
      </c>
      <c r="F605" s="5" t="n"/>
    </row>
    <row r="606">
      <c r="A606" s="10">
        <f>IF($E606="","",INDEX('Input Transaksi'!$A:$A,$E606))</f>
        <v/>
      </c>
      <c r="B606" s="5">
        <f>IF($E606="","",INDEX('Input Transaksi'!$D:$D,$E606))</f>
        <v/>
      </c>
      <c r="C606">
        <f>IF($E606="","",INDEX('Input Transaksi'!$E:$E,$E606))</f>
        <v/>
      </c>
      <c r="D606" s="5">
        <f>IF($E606="","",INDEX('Input Transaksi'!$F:$F,$E606))</f>
        <v/>
      </c>
      <c r="E606">
        <f>IFERROR(AGGREGATE(15,6,ROW('Input Transaksi'!$B$5:$B$5000)/('Input Transaksi'!$B$5:$B$5000="LONDRI DEWE ANTASURA"),ROWS($E$5:E606)),"")</f>
        <v/>
      </c>
      <c r="F606" s="5" t="n"/>
    </row>
    <row r="607">
      <c r="A607" s="10">
        <f>IF($E607="","",INDEX('Input Transaksi'!$A:$A,$E607))</f>
        <v/>
      </c>
      <c r="B607" s="5">
        <f>IF($E607="","",INDEX('Input Transaksi'!$D:$D,$E607))</f>
        <v/>
      </c>
      <c r="C607">
        <f>IF($E607="","",INDEX('Input Transaksi'!$E:$E,$E607))</f>
        <v/>
      </c>
      <c r="D607" s="5">
        <f>IF($E607="","",INDEX('Input Transaksi'!$F:$F,$E607))</f>
        <v/>
      </c>
      <c r="E607">
        <f>IFERROR(AGGREGATE(15,6,ROW('Input Transaksi'!$B$5:$B$5000)/('Input Transaksi'!$B$5:$B$5000="LONDRI DEWE ANTASURA"),ROWS($E$5:E607)),"")</f>
        <v/>
      </c>
      <c r="F607" s="5" t="n"/>
    </row>
    <row r="608">
      <c r="A608" s="10">
        <f>IF($E608="","",INDEX('Input Transaksi'!$A:$A,$E608))</f>
        <v/>
      </c>
      <c r="B608" s="5">
        <f>IF($E608="","",INDEX('Input Transaksi'!$D:$D,$E608))</f>
        <v/>
      </c>
      <c r="C608">
        <f>IF($E608="","",INDEX('Input Transaksi'!$E:$E,$E608))</f>
        <v/>
      </c>
      <c r="D608" s="5">
        <f>IF($E608="","",INDEX('Input Transaksi'!$F:$F,$E608))</f>
        <v/>
      </c>
      <c r="E608">
        <f>IFERROR(AGGREGATE(15,6,ROW('Input Transaksi'!$B$5:$B$5000)/('Input Transaksi'!$B$5:$B$5000="LONDRI DEWE ANTASURA"),ROWS($E$5:E608)),"")</f>
        <v/>
      </c>
      <c r="F608" s="5" t="n"/>
    </row>
    <row r="609">
      <c r="A609" s="10">
        <f>IF($E609="","",INDEX('Input Transaksi'!$A:$A,$E609))</f>
        <v/>
      </c>
      <c r="B609" s="5">
        <f>IF($E609="","",INDEX('Input Transaksi'!$D:$D,$E609))</f>
        <v/>
      </c>
      <c r="C609">
        <f>IF($E609="","",INDEX('Input Transaksi'!$E:$E,$E609))</f>
        <v/>
      </c>
      <c r="D609" s="5">
        <f>IF($E609="","",INDEX('Input Transaksi'!$F:$F,$E609))</f>
        <v/>
      </c>
      <c r="E609">
        <f>IFERROR(AGGREGATE(15,6,ROW('Input Transaksi'!$B$5:$B$5000)/('Input Transaksi'!$B$5:$B$5000="LONDRI DEWE ANTASURA"),ROWS($E$5:E609)),"")</f>
        <v/>
      </c>
      <c r="F609" s="5" t="n"/>
    </row>
    <row r="610">
      <c r="A610" s="10">
        <f>IF($E610="","",INDEX('Input Transaksi'!$A:$A,$E610))</f>
        <v/>
      </c>
      <c r="B610" s="5">
        <f>IF($E610="","",INDEX('Input Transaksi'!$D:$D,$E610))</f>
        <v/>
      </c>
      <c r="C610">
        <f>IF($E610="","",INDEX('Input Transaksi'!$E:$E,$E610))</f>
        <v/>
      </c>
      <c r="D610" s="5">
        <f>IF($E610="","",INDEX('Input Transaksi'!$F:$F,$E610))</f>
        <v/>
      </c>
      <c r="E610">
        <f>IFERROR(AGGREGATE(15,6,ROW('Input Transaksi'!$B$5:$B$5000)/('Input Transaksi'!$B$5:$B$5000="LONDRI DEWE ANTASURA"),ROWS($E$5:E610)),"")</f>
        <v/>
      </c>
      <c r="F610" s="5" t="n"/>
    </row>
    <row r="611">
      <c r="A611" s="10">
        <f>IF($E611="","",INDEX('Input Transaksi'!$A:$A,$E611))</f>
        <v/>
      </c>
      <c r="B611" s="5">
        <f>IF($E611="","",INDEX('Input Transaksi'!$D:$D,$E611))</f>
        <v/>
      </c>
      <c r="C611">
        <f>IF($E611="","",INDEX('Input Transaksi'!$E:$E,$E611))</f>
        <v/>
      </c>
      <c r="D611" s="5">
        <f>IF($E611="","",INDEX('Input Transaksi'!$F:$F,$E611))</f>
        <v/>
      </c>
      <c r="E611">
        <f>IFERROR(AGGREGATE(15,6,ROW('Input Transaksi'!$B$5:$B$5000)/('Input Transaksi'!$B$5:$B$5000="LONDRI DEWE ANTASURA"),ROWS($E$5:E611)),"")</f>
        <v/>
      </c>
      <c r="F611" s="5" t="n"/>
    </row>
    <row r="612">
      <c r="A612" s="10">
        <f>IF($E612="","",INDEX('Input Transaksi'!$A:$A,$E612))</f>
        <v/>
      </c>
      <c r="B612" s="5">
        <f>IF($E612="","",INDEX('Input Transaksi'!$D:$D,$E612))</f>
        <v/>
      </c>
      <c r="C612">
        <f>IF($E612="","",INDEX('Input Transaksi'!$E:$E,$E612))</f>
        <v/>
      </c>
      <c r="D612" s="5">
        <f>IF($E612="","",INDEX('Input Transaksi'!$F:$F,$E612))</f>
        <v/>
      </c>
      <c r="E612">
        <f>IFERROR(AGGREGATE(15,6,ROW('Input Transaksi'!$B$5:$B$5000)/('Input Transaksi'!$B$5:$B$5000="LONDRI DEWE ANTASURA"),ROWS($E$5:E612)),"")</f>
        <v/>
      </c>
      <c r="F612" s="5" t="n"/>
    </row>
    <row r="613">
      <c r="A613" s="10">
        <f>IF($E613="","",INDEX('Input Transaksi'!$A:$A,$E613))</f>
        <v/>
      </c>
      <c r="B613" s="5">
        <f>IF($E613="","",INDEX('Input Transaksi'!$D:$D,$E613))</f>
        <v/>
      </c>
      <c r="C613">
        <f>IF($E613="","",INDEX('Input Transaksi'!$E:$E,$E613))</f>
        <v/>
      </c>
      <c r="D613" s="5">
        <f>IF($E613="","",INDEX('Input Transaksi'!$F:$F,$E613))</f>
        <v/>
      </c>
      <c r="E613">
        <f>IFERROR(AGGREGATE(15,6,ROW('Input Transaksi'!$B$5:$B$5000)/('Input Transaksi'!$B$5:$B$5000="LONDRI DEWE ANTASURA"),ROWS($E$5:E613)),"")</f>
        <v/>
      </c>
      <c r="F613" s="5" t="n"/>
    </row>
    <row r="614">
      <c r="A614" s="10">
        <f>IF($E614="","",INDEX('Input Transaksi'!$A:$A,$E614))</f>
        <v/>
      </c>
      <c r="B614" s="5">
        <f>IF($E614="","",INDEX('Input Transaksi'!$D:$D,$E614))</f>
        <v/>
      </c>
      <c r="C614">
        <f>IF($E614="","",INDEX('Input Transaksi'!$E:$E,$E614))</f>
        <v/>
      </c>
      <c r="D614" s="5">
        <f>IF($E614="","",INDEX('Input Transaksi'!$F:$F,$E614))</f>
        <v/>
      </c>
      <c r="E614">
        <f>IFERROR(AGGREGATE(15,6,ROW('Input Transaksi'!$B$5:$B$5000)/('Input Transaksi'!$B$5:$B$5000="LONDRI DEWE ANTASURA"),ROWS($E$5:E614)),"")</f>
        <v/>
      </c>
      <c r="F614" s="5" t="n"/>
    </row>
    <row r="615">
      <c r="A615" s="10">
        <f>IF($E615="","",INDEX('Input Transaksi'!$A:$A,$E615))</f>
        <v/>
      </c>
      <c r="B615" s="5">
        <f>IF($E615="","",INDEX('Input Transaksi'!$D:$D,$E615))</f>
        <v/>
      </c>
      <c r="C615">
        <f>IF($E615="","",INDEX('Input Transaksi'!$E:$E,$E615))</f>
        <v/>
      </c>
      <c r="D615" s="5">
        <f>IF($E615="","",INDEX('Input Transaksi'!$F:$F,$E615))</f>
        <v/>
      </c>
      <c r="E615">
        <f>IFERROR(AGGREGATE(15,6,ROW('Input Transaksi'!$B$5:$B$5000)/('Input Transaksi'!$B$5:$B$5000="LONDRI DEWE ANTASURA"),ROWS($E$5:E615)),"")</f>
        <v/>
      </c>
      <c r="F615" s="5" t="n"/>
    </row>
    <row r="616">
      <c r="A616" s="10">
        <f>IF($E616="","",INDEX('Input Transaksi'!$A:$A,$E616))</f>
        <v/>
      </c>
      <c r="B616" s="5">
        <f>IF($E616="","",INDEX('Input Transaksi'!$D:$D,$E616))</f>
        <v/>
      </c>
      <c r="C616">
        <f>IF($E616="","",INDEX('Input Transaksi'!$E:$E,$E616))</f>
        <v/>
      </c>
      <c r="D616" s="5">
        <f>IF($E616="","",INDEX('Input Transaksi'!$F:$F,$E616))</f>
        <v/>
      </c>
      <c r="E616">
        <f>IFERROR(AGGREGATE(15,6,ROW('Input Transaksi'!$B$5:$B$5000)/('Input Transaksi'!$B$5:$B$5000="LONDRI DEWE ANTASURA"),ROWS($E$5:E616)),"")</f>
        <v/>
      </c>
      <c r="F616" s="5" t="n"/>
    </row>
    <row r="617">
      <c r="A617" s="10">
        <f>IF($E617="","",INDEX('Input Transaksi'!$A:$A,$E617))</f>
        <v/>
      </c>
      <c r="B617" s="5">
        <f>IF($E617="","",INDEX('Input Transaksi'!$D:$D,$E617))</f>
        <v/>
      </c>
      <c r="C617">
        <f>IF($E617="","",INDEX('Input Transaksi'!$E:$E,$E617))</f>
        <v/>
      </c>
      <c r="D617" s="5">
        <f>IF($E617="","",INDEX('Input Transaksi'!$F:$F,$E617))</f>
        <v/>
      </c>
      <c r="E617">
        <f>IFERROR(AGGREGATE(15,6,ROW('Input Transaksi'!$B$5:$B$5000)/('Input Transaksi'!$B$5:$B$5000="LONDRI DEWE ANTASURA"),ROWS($E$5:E617)),"")</f>
        <v/>
      </c>
      <c r="F617" s="5" t="n"/>
    </row>
    <row r="618">
      <c r="A618" s="10">
        <f>IF($E618="","",INDEX('Input Transaksi'!$A:$A,$E618))</f>
        <v/>
      </c>
      <c r="B618" s="5">
        <f>IF($E618="","",INDEX('Input Transaksi'!$D:$D,$E618))</f>
        <v/>
      </c>
      <c r="C618">
        <f>IF($E618="","",INDEX('Input Transaksi'!$E:$E,$E618))</f>
        <v/>
      </c>
      <c r="D618" s="5">
        <f>IF($E618="","",INDEX('Input Transaksi'!$F:$F,$E618))</f>
        <v/>
      </c>
      <c r="E618">
        <f>IFERROR(AGGREGATE(15,6,ROW('Input Transaksi'!$B$5:$B$5000)/('Input Transaksi'!$B$5:$B$5000="LONDRI DEWE ANTASURA"),ROWS($E$5:E618)),"")</f>
        <v/>
      </c>
      <c r="F618" s="5" t="n"/>
    </row>
    <row r="619">
      <c r="A619" s="10">
        <f>IF($E619="","",INDEX('Input Transaksi'!$A:$A,$E619))</f>
        <v/>
      </c>
      <c r="B619" s="5">
        <f>IF($E619="","",INDEX('Input Transaksi'!$D:$D,$E619))</f>
        <v/>
      </c>
      <c r="C619">
        <f>IF($E619="","",INDEX('Input Transaksi'!$E:$E,$E619))</f>
        <v/>
      </c>
      <c r="D619" s="5">
        <f>IF($E619="","",INDEX('Input Transaksi'!$F:$F,$E619))</f>
        <v/>
      </c>
      <c r="E619">
        <f>IFERROR(AGGREGATE(15,6,ROW('Input Transaksi'!$B$5:$B$5000)/('Input Transaksi'!$B$5:$B$5000="LONDRI DEWE ANTASURA"),ROWS($E$5:E619)),"")</f>
        <v/>
      </c>
      <c r="F619" s="5" t="n"/>
    </row>
    <row r="620">
      <c r="A620" s="10">
        <f>IF($E620="","",INDEX('Input Transaksi'!$A:$A,$E620))</f>
        <v/>
      </c>
      <c r="B620" s="5">
        <f>IF($E620="","",INDEX('Input Transaksi'!$D:$D,$E620))</f>
        <v/>
      </c>
      <c r="C620">
        <f>IF($E620="","",INDEX('Input Transaksi'!$E:$E,$E620))</f>
        <v/>
      </c>
      <c r="D620" s="5">
        <f>IF($E620="","",INDEX('Input Transaksi'!$F:$F,$E620))</f>
        <v/>
      </c>
      <c r="E620">
        <f>IFERROR(AGGREGATE(15,6,ROW('Input Transaksi'!$B$5:$B$5000)/('Input Transaksi'!$B$5:$B$5000="LONDRI DEWE ANTASURA"),ROWS($E$5:E620)),"")</f>
        <v/>
      </c>
      <c r="F620" s="5" t="n"/>
    </row>
    <row r="621">
      <c r="A621" s="10">
        <f>IF($E621="","",INDEX('Input Transaksi'!$A:$A,$E621))</f>
        <v/>
      </c>
      <c r="B621" s="5">
        <f>IF($E621="","",INDEX('Input Transaksi'!$D:$D,$E621))</f>
        <v/>
      </c>
      <c r="C621">
        <f>IF($E621="","",INDEX('Input Transaksi'!$E:$E,$E621))</f>
        <v/>
      </c>
      <c r="D621" s="5">
        <f>IF($E621="","",INDEX('Input Transaksi'!$F:$F,$E621))</f>
        <v/>
      </c>
      <c r="E621">
        <f>IFERROR(AGGREGATE(15,6,ROW('Input Transaksi'!$B$5:$B$5000)/('Input Transaksi'!$B$5:$B$5000="LONDRI DEWE ANTASURA"),ROWS($E$5:E621)),"")</f>
        <v/>
      </c>
      <c r="F621" s="5" t="n"/>
    </row>
    <row r="622">
      <c r="A622" s="10">
        <f>IF($E622="","",INDEX('Input Transaksi'!$A:$A,$E622))</f>
        <v/>
      </c>
      <c r="B622" s="5">
        <f>IF($E622="","",INDEX('Input Transaksi'!$D:$D,$E622))</f>
        <v/>
      </c>
      <c r="C622">
        <f>IF($E622="","",INDEX('Input Transaksi'!$E:$E,$E622))</f>
        <v/>
      </c>
      <c r="D622" s="5">
        <f>IF($E622="","",INDEX('Input Transaksi'!$F:$F,$E622))</f>
        <v/>
      </c>
      <c r="E622">
        <f>IFERROR(AGGREGATE(15,6,ROW('Input Transaksi'!$B$5:$B$5000)/('Input Transaksi'!$B$5:$B$5000="LONDRI DEWE ANTASURA"),ROWS($E$5:E622)),"")</f>
        <v/>
      </c>
      <c r="F622" s="5" t="n"/>
    </row>
    <row r="623">
      <c r="A623" s="10">
        <f>IF($E623="","",INDEX('Input Transaksi'!$A:$A,$E623))</f>
        <v/>
      </c>
      <c r="B623" s="5">
        <f>IF($E623="","",INDEX('Input Transaksi'!$D:$D,$E623))</f>
        <v/>
      </c>
      <c r="C623">
        <f>IF($E623="","",INDEX('Input Transaksi'!$E:$E,$E623))</f>
        <v/>
      </c>
      <c r="D623" s="5">
        <f>IF($E623="","",INDEX('Input Transaksi'!$F:$F,$E623))</f>
        <v/>
      </c>
      <c r="E623">
        <f>IFERROR(AGGREGATE(15,6,ROW('Input Transaksi'!$B$5:$B$5000)/('Input Transaksi'!$B$5:$B$5000="LONDRI DEWE ANTASURA"),ROWS($E$5:E623)),"")</f>
        <v/>
      </c>
      <c r="F623" s="5" t="n"/>
    </row>
    <row r="624">
      <c r="A624" s="10">
        <f>IF($E624="","",INDEX('Input Transaksi'!$A:$A,$E624))</f>
        <v/>
      </c>
      <c r="B624" s="5">
        <f>IF($E624="","",INDEX('Input Transaksi'!$D:$D,$E624))</f>
        <v/>
      </c>
      <c r="C624">
        <f>IF($E624="","",INDEX('Input Transaksi'!$E:$E,$E624))</f>
        <v/>
      </c>
      <c r="D624" s="5">
        <f>IF($E624="","",INDEX('Input Transaksi'!$F:$F,$E624))</f>
        <v/>
      </c>
      <c r="E624">
        <f>IFERROR(AGGREGATE(15,6,ROW('Input Transaksi'!$B$5:$B$5000)/('Input Transaksi'!$B$5:$B$5000="LONDRI DEWE ANTASURA"),ROWS($E$5:E624)),"")</f>
        <v/>
      </c>
      <c r="F624" s="5" t="n"/>
    </row>
    <row r="625">
      <c r="A625" s="10">
        <f>IF($E625="","",INDEX('Input Transaksi'!$A:$A,$E625))</f>
        <v/>
      </c>
      <c r="B625" s="5">
        <f>IF($E625="","",INDEX('Input Transaksi'!$D:$D,$E625))</f>
        <v/>
      </c>
      <c r="C625">
        <f>IF($E625="","",INDEX('Input Transaksi'!$E:$E,$E625))</f>
        <v/>
      </c>
      <c r="D625" s="5">
        <f>IF($E625="","",INDEX('Input Transaksi'!$F:$F,$E625))</f>
        <v/>
      </c>
      <c r="E625">
        <f>IFERROR(AGGREGATE(15,6,ROW('Input Transaksi'!$B$5:$B$5000)/('Input Transaksi'!$B$5:$B$5000="LONDRI DEWE ANTASURA"),ROWS($E$5:E625)),"")</f>
        <v/>
      </c>
      <c r="F625" s="5" t="n"/>
    </row>
    <row r="626">
      <c r="A626" s="10">
        <f>IF($E626="","",INDEX('Input Transaksi'!$A:$A,$E626))</f>
        <v/>
      </c>
      <c r="B626" s="5">
        <f>IF($E626="","",INDEX('Input Transaksi'!$D:$D,$E626))</f>
        <v/>
      </c>
      <c r="C626">
        <f>IF($E626="","",INDEX('Input Transaksi'!$E:$E,$E626))</f>
        <v/>
      </c>
      <c r="D626" s="5">
        <f>IF($E626="","",INDEX('Input Transaksi'!$F:$F,$E626))</f>
        <v/>
      </c>
      <c r="E626">
        <f>IFERROR(AGGREGATE(15,6,ROW('Input Transaksi'!$B$5:$B$5000)/('Input Transaksi'!$B$5:$B$5000="LONDRI DEWE ANTASURA"),ROWS($E$5:E626)),"")</f>
        <v/>
      </c>
      <c r="F626" s="5" t="n"/>
    </row>
    <row r="627">
      <c r="A627" s="10">
        <f>IF($E627="","",INDEX('Input Transaksi'!$A:$A,$E627))</f>
        <v/>
      </c>
      <c r="B627" s="5">
        <f>IF($E627="","",INDEX('Input Transaksi'!$D:$D,$E627))</f>
        <v/>
      </c>
      <c r="C627">
        <f>IF($E627="","",INDEX('Input Transaksi'!$E:$E,$E627))</f>
        <v/>
      </c>
      <c r="D627" s="5">
        <f>IF($E627="","",INDEX('Input Transaksi'!$F:$F,$E627))</f>
        <v/>
      </c>
      <c r="E627">
        <f>IFERROR(AGGREGATE(15,6,ROW('Input Transaksi'!$B$5:$B$5000)/('Input Transaksi'!$B$5:$B$5000="LONDRI DEWE ANTASURA"),ROWS($E$5:E627)),"")</f>
        <v/>
      </c>
      <c r="F627" s="5" t="n"/>
    </row>
    <row r="628">
      <c r="A628" s="10">
        <f>IF($E628="","",INDEX('Input Transaksi'!$A:$A,$E628))</f>
        <v/>
      </c>
      <c r="B628" s="5">
        <f>IF($E628="","",INDEX('Input Transaksi'!$D:$D,$E628))</f>
        <v/>
      </c>
      <c r="C628">
        <f>IF($E628="","",INDEX('Input Transaksi'!$E:$E,$E628))</f>
        <v/>
      </c>
      <c r="D628" s="5">
        <f>IF($E628="","",INDEX('Input Transaksi'!$F:$F,$E628))</f>
        <v/>
      </c>
      <c r="E628">
        <f>IFERROR(AGGREGATE(15,6,ROW('Input Transaksi'!$B$5:$B$5000)/('Input Transaksi'!$B$5:$B$5000="LONDRI DEWE ANTASURA"),ROWS($E$5:E628)),"")</f>
        <v/>
      </c>
      <c r="F628" s="5" t="n"/>
    </row>
    <row r="629">
      <c r="A629" s="10">
        <f>IF($E629="","",INDEX('Input Transaksi'!$A:$A,$E629))</f>
        <v/>
      </c>
      <c r="B629" s="5">
        <f>IF($E629="","",INDEX('Input Transaksi'!$D:$D,$E629))</f>
        <v/>
      </c>
      <c r="C629">
        <f>IF($E629="","",INDEX('Input Transaksi'!$E:$E,$E629))</f>
        <v/>
      </c>
      <c r="D629" s="5">
        <f>IF($E629="","",INDEX('Input Transaksi'!$F:$F,$E629))</f>
        <v/>
      </c>
      <c r="E629">
        <f>IFERROR(AGGREGATE(15,6,ROW('Input Transaksi'!$B$5:$B$5000)/('Input Transaksi'!$B$5:$B$5000="LONDRI DEWE ANTASURA"),ROWS($E$5:E629)),"")</f>
        <v/>
      </c>
      <c r="F629" s="5" t="n"/>
    </row>
    <row r="630">
      <c r="A630" s="10">
        <f>IF($E630="","",INDEX('Input Transaksi'!$A:$A,$E630))</f>
        <v/>
      </c>
      <c r="B630" s="5">
        <f>IF($E630="","",INDEX('Input Transaksi'!$D:$D,$E630))</f>
        <v/>
      </c>
      <c r="C630">
        <f>IF($E630="","",INDEX('Input Transaksi'!$E:$E,$E630))</f>
        <v/>
      </c>
      <c r="D630" s="5">
        <f>IF($E630="","",INDEX('Input Transaksi'!$F:$F,$E630))</f>
        <v/>
      </c>
      <c r="E630">
        <f>IFERROR(AGGREGATE(15,6,ROW('Input Transaksi'!$B$5:$B$5000)/('Input Transaksi'!$B$5:$B$5000="LONDRI DEWE ANTASURA"),ROWS($E$5:E630)),"")</f>
        <v/>
      </c>
      <c r="F630" s="5" t="n"/>
    </row>
    <row r="631">
      <c r="A631" s="10">
        <f>IF($E631="","",INDEX('Input Transaksi'!$A:$A,$E631))</f>
        <v/>
      </c>
      <c r="B631" s="5">
        <f>IF($E631="","",INDEX('Input Transaksi'!$D:$D,$E631))</f>
        <v/>
      </c>
      <c r="C631">
        <f>IF($E631="","",INDEX('Input Transaksi'!$E:$E,$E631))</f>
        <v/>
      </c>
      <c r="D631" s="5">
        <f>IF($E631="","",INDEX('Input Transaksi'!$F:$F,$E631))</f>
        <v/>
      </c>
      <c r="E631">
        <f>IFERROR(AGGREGATE(15,6,ROW('Input Transaksi'!$B$5:$B$5000)/('Input Transaksi'!$B$5:$B$5000="LONDRI DEWE ANTASURA"),ROWS($E$5:E631)),"")</f>
        <v/>
      </c>
      <c r="F631" s="5" t="n"/>
    </row>
    <row r="632">
      <c r="A632" s="10">
        <f>IF($E632="","",INDEX('Input Transaksi'!$A:$A,$E632))</f>
        <v/>
      </c>
      <c r="B632" s="5">
        <f>IF($E632="","",INDEX('Input Transaksi'!$D:$D,$E632))</f>
        <v/>
      </c>
      <c r="C632">
        <f>IF($E632="","",INDEX('Input Transaksi'!$E:$E,$E632))</f>
        <v/>
      </c>
      <c r="D632" s="5">
        <f>IF($E632="","",INDEX('Input Transaksi'!$F:$F,$E632))</f>
        <v/>
      </c>
      <c r="E632">
        <f>IFERROR(AGGREGATE(15,6,ROW('Input Transaksi'!$B$5:$B$5000)/('Input Transaksi'!$B$5:$B$5000="LONDRI DEWE ANTASURA"),ROWS($E$5:E632)),"")</f>
        <v/>
      </c>
      <c r="F632" s="5" t="n"/>
    </row>
    <row r="633">
      <c r="A633" s="10">
        <f>IF($E633="","",INDEX('Input Transaksi'!$A:$A,$E633))</f>
        <v/>
      </c>
      <c r="B633" s="5">
        <f>IF($E633="","",INDEX('Input Transaksi'!$D:$D,$E633))</f>
        <v/>
      </c>
      <c r="C633">
        <f>IF($E633="","",INDEX('Input Transaksi'!$E:$E,$E633))</f>
        <v/>
      </c>
      <c r="D633" s="5">
        <f>IF($E633="","",INDEX('Input Transaksi'!$F:$F,$E633))</f>
        <v/>
      </c>
      <c r="E633">
        <f>IFERROR(AGGREGATE(15,6,ROW('Input Transaksi'!$B$5:$B$5000)/('Input Transaksi'!$B$5:$B$5000="LONDRI DEWE ANTASURA"),ROWS($E$5:E633)),"")</f>
        <v/>
      </c>
      <c r="F633" s="5" t="n"/>
    </row>
    <row r="634">
      <c r="A634" s="10">
        <f>IF($E634="","",INDEX('Input Transaksi'!$A:$A,$E634))</f>
        <v/>
      </c>
      <c r="B634" s="5">
        <f>IF($E634="","",INDEX('Input Transaksi'!$D:$D,$E634))</f>
        <v/>
      </c>
      <c r="C634">
        <f>IF($E634="","",INDEX('Input Transaksi'!$E:$E,$E634))</f>
        <v/>
      </c>
      <c r="D634" s="5">
        <f>IF($E634="","",INDEX('Input Transaksi'!$F:$F,$E634))</f>
        <v/>
      </c>
      <c r="E634">
        <f>IFERROR(AGGREGATE(15,6,ROW('Input Transaksi'!$B$5:$B$5000)/('Input Transaksi'!$B$5:$B$5000="LONDRI DEWE ANTASURA"),ROWS($E$5:E634)),"")</f>
        <v/>
      </c>
      <c r="F634" s="5" t="n"/>
    </row>
    <row r="635">
      <c r="A635" s="10">
        <f>IF($E635="","",INDEX('Input Transaksi'!$A:$A,$E635))</f>
        <v/>
      </c>
      <c r="B635" s="5">
        <f>IF($E635="","",INDEX('Input Transaksi'!$D:$D,$E635))</f>
        <v/>
      </c>
      <c r="C635">
        <f>IF($E635="","",INDEX('Input Transaksi'!$E:$E,$E635))</f>
        <v/>
      </c>
      <c r="D635" s="5">
        <f>IF($E635="","",INDEX('Input Transaksi'!$F:$F,$E635))</f>
        <v/>
      </c>
      <c r="E635">
        <f>IFERROR(AGGREGATE(15,6,ROW('Input Transaksi'!$B$5:$B$5000)/('Input Transaksi'!$B$5:$B$5000="LONDRI DEWE ANTASURA"),ROWS($E$5:E635)),"")</f>
        <v/>
      </c>
      <c r="F635" s="5" t="n"/>
    </row>
    <row r="636">
      <c r="A636" s="10">
        <f>IF($E636="","",INDEX('Input Transaksi'!$A:$A,$E636))</f>
        <v/>
      </c>
      <c r="B636" s="5">
        <f>IF($E636="","",INDEX('Input Transaksi'!$D:$D,$E636))</f>
        <v/>
      </c>
      <c r="C636">
        <f>IF($E636="","",INDEX('Input Transaksi'!$E:$E,$E636))</f>
        <v/>
      </c>
      <c r="D636" s="5">
        <f>IF($E636="","",INDEX('Input Transaksi'!$F:$F,$E636))</f>
        <v/>
      </c>
      <c r="E636">
        <f>IFERROR(AGGREGATE(15,6,ROW('Input Transaksi'!$B$5:$B$5000)/('Input Transaksi'!$B$5:$B$5000="LONDRI DEWE ANTASURA"),ROWS($E$5:E636)),"")</f>
        <v/>
      </c>
      <c r="F636" s="5" t="n"/>
    </row>
    <row r="637">
      <c r="A637" s="10">
        <f>IF($E637="","",INDEX('Input Transaksi'!$A:$A,$E637))</f>
        <v/>
      </c>
      <c r="B637" s="5">
        <f>IF($E637="","",INDEX('Input Transaksi'!$D:$D,$E637))</f>
        <v/>
      </c>
      <c r="C637">
        <f>IF($E637="","",INDEX('Input Transaksi'!$E:$E,$E637))</f>
        <v/>
      </c>
      <c r="D637" s="5">
        <f>IF($E637="","",INDEX('Input Transaksi'!$F:$F,$E637))</f>
        <v/>
      </c>
      <c r="E637">
        <f>IFERROR(AGGREGATE(15,6,ROW('Input Transaksi'!$B$5:$B$5000)/('Input Transaksi'!$B$5:$B$5000="LONDRI DEWE ANTASURA"),ROWS($E$5:E637)),"")</f>
        <v/>
      </c>
      <c r="F637" s="5" t="n"/>
    </row>
    <row r="638">
      <c r="A638" s="10">
        <f>IF($E638="","",INDEX('Input Transaksi'!$A:$A,$E638))</f>
        <v/>
      </c>
      <c r="B638" s="5">
        <f>IF($E638="","",INDEX('Input Transaksi'!$D:$D,$E638))</f>
        <v/>
      </c>
      <c r="C638">
        <f>IF($E638="","",INDEX('Input Transaksi'!$E:$E,$E638))</f>
        <v/>
      </c>
      <c r="D638" s="5">
        <f>IF($E638="","",INDEX('Input Transaksi'!$F:$F,$E638))</f>
        <v/>
      </c>
      <c r="E638">
        <f>IFERROR(AGGREGATE(15,6,ROW('Input Transaksi'!$B$5:$B$5000)/('Input Transaksi'!$B$5:$B$5000="LONDRI DEWE ANTASURA"),ROWS($E$5:E638)),"")</f>
        <v/>
      </c>
      <c r="F638" s="5" t="n"/>
    </row>
    <row r="639">
      <c r="A639" s="10">
        <f>IF($E639="","",INDEX('Input Transaksi'!$A:$A,$E639))</f>
        <v/>
      </c>
      <c r="B639" s="5">
        <f>IF($E639="","",INDEX('Input Transaksi'!$D:$D,$E639))</f>
        <v/>
      </c>
      <c r="C639">
        <f>IF($E639="","",INDEX('Input Transaksi'!$E:$E,$E639))</f>
        <v/>
      </c>
      <c r="D639" s="5">
        <f>IF($E639="","",INDEX('Input Transaksi'!$F:$F,$E639))</f>
        <v/>
      </c>
      <c r="E639">
        <f>IFERROR(AGGREGATE(15,6,ROW('Input Transaksi'!$B$5:$B$5000)/('Input Transaksi'!$B$5:$B$5000="LONDRI DEWE ANTASURA"),ROWS($E$5:E639)),"")</f>
        <v/>
      </c>
      <c r="F639" s="5" t="n"/>
    </row>
    <row r="640">
      <c r="A640" s="10">
        <f>IF($E640="","",INDEX('Input Transaksi'!$A:$A,$E640))</f>
        <v/>
      </c>
      <c r="B640" s="5">
        <f>IF($E640="","",INDEX('Input Transaksi'!$D:$D,$E640))</f>
        <v/>
      </c>
      <c r="C640">
        <f>IF($E640="","",INDEX('Input Transaksi'!$E:$E,$E640))</f>
        <v/>
      </c>
      <c r="D640" s="5">
        <f>IF($E640="","",INDEX('Input Transaksi'!$F:$F,$E640))</f>
        <v/>
      </c>
      <c r="E640">
        <f>IFERROR(AGGREGATE(15,6,ROW('Input Transaksi'!$B$5:$B$5000)/('Input Transaksi'!$B$5:$B$5000="LONDRI DEWE ANTASURA"),ROWS($E$5:E640)),"")</f>
        <v/>
      </c>
      <c r="F640" s="5" t="n"/>
    </row>
    <row r="641">
      <c r="A641" s="10">
        <f>IF($E641="","",INDEX('Input Transaksi'!$A:$A,$E641))</f>
        <v/>
      </c>
      <c r="B641" s="5">
        <f>IF($E641="","",INDEX('Input Transaksi'!$D:$D,$E641))</f>
        <v/>
      </c>
      <c r="C641">
        <f>IF($E641="","",INDEX('Input Transaksi'!$E:$E,$E641))</f>
        <v/>
      </c>
      <c r="D641" s="5">
        <f>IF($E641="","",INDEX('Input Transaksi'!$F:$F,$E641))</f>
        <v/>
      </c>
      <c r="E641">
        <f>IFERROR(AGGREGATE(15,6,ROW('Input Transaksi'!$B$5:$B$5000)/('Input Transaksi'!$B$5:$B$5000="LONDRI DEWE ANTASURA"),ROWS($E$5:E641)),"")</f>
        <v/>
      </c>
      <c r="F641" s="5" t="n"/>
    </row>
    <row r="642">
      <c r="A642" s="10">
        <f>IF($E642="","",INDEX('Input Transaksi'!$A:$A,$E642))</f>
        <v/>
      </c>
      <c r="B642" s="5">
        <f>IF($E642="","",INDEX('Input Transaksi'!$D:$D,$E642))</f>
        <v/>
      </c>
      <c r="C642">
        <f>IF($E642="","",INDEX('Input Transaksi'!$E:$E,$E642))</f>
        <v/>
      </c>
      <c r="D642" s="5">
        <f>IF($E642="","",INDEX('Input Transaksi'!$F:$F,$E642))</f>
        <v/>
      </c>
      <c r="E642">
        <f>IFERROR(AGGREGATE(15,6,ROW('Input Transaksi'!$B$5:$B$5000)/('Input Transaksi'!$B$5:$B$5000="LONDRI DEWE ANTASURA"),ROWS($E$5:E642)),"")</f>
        <v/>
      </c>
      <c r="F642" s="5" t="n"/>
    </row>
    <row r="643">
      <c r="A643" s="10">
        <f>IF($E643="","",INDEX('Input Transaksi'!$A:$A,$E643))</f>
        <v/>
      </c>
      <c r="B643" s="5">
        <f>IF($E643="","",INDEX('Input Transaksi'!$D:$D,$E643))</f>
        <v/>
      </c>
      <c r="C643">
        <f>IF($E643="","",INDEX('Input Transaksi'!$E:$E,$E643))</f>
        <v/>
      </c>
      <c r="D643" s="5">
        <f>IF($E643="","",INDEX('Input Transaksi'!$F:$F,$E643))</f>
        <v/>
      </c>
      <c r="E643">
        <f>IFERROR(AGGREGATE(15,6,ROW('Input Transaksi'!$B$5:$B$5000)/('Input Transaksi'!$B$5:$B$5000="LONDRI DEWE ANTASURA"),ROWS($E$5:E643)),"")</f>
        <v/>
      </c>
      <c r="F643" s="5" t="n"/>
    </row>
    <row r="644">
      <c r="A644" s="10">
        <f>IF($E644="","",INDEX('Input Transaksi'!$A:$A,$E644))</f>
        <v/>
      </c>
      <c r="B644" s="5">
        <f>IF($E644="","",INDEX('Input Transaksi'!$D:$D,$E644))</f>
        <v/>
      </c>
      <c r="C644">
        <f>IF($E644="","",INDEX('Input Transaksi'!$E:$E,$E644))</f>
        <v/>
      </c>
      <c r="D644" s="5">
        <f>IF($E644="","",INDEX('Input Transaksi'!$F:$F,$E644))</f>
        <v/>
      </c>
      <c r="E644">
        <f>IFERROR(AGGREGATE(15,6,ROW('Input Transaksi'!$B$5:$B$5000)/('Input Transaksi'!$B$5:$B$5000="LONDRI DEWE ANTASURA"),ROWS($E$5:E644)),"")</f>
        <v/>
      </c>
      <c r="F644" s="5" t="n"/>
    </row>
    <row r="645">
      <c r="A645" s="10">
        <f>IF($E645="","",INDEX('Input Transaksi'!$A:$A,$E645))</f>
        <v/>
      </c>
      <c r="B645" s="5">
        <f>IF($E645="","",INDEX('Input Transaksi'!$D:$D,$E645))</f>
        <v/>
      </c>
      <c r="C645">
        <f>IF($E645="","",INDEX('Input Transaksi'!$E:$E,$E645))</f>
        <v/>
      </c>
      <c r="D645" s="5">
        <f>IF($E645="","",INDEX('Input Transaksi'!$F:$F,$E645))</f>
        <v/>
      </c>
      <c r="E645">
        <f>IFERROR(AGGREGATE(15,6,ROW('Input Transaksi'!$B$5:$B$5000)/('Input Transaksi'!$B$5:$B$5000="LONDRI DEWE ANTASURA"),ROWS($E$5:E645)),"")</f>
        <v/>
      </c>
      <c r="F645" s="5" t="n"/>
    </row>
    <row r="646">
      <c r="A646" s="10">
        <f>IF($E646="","",INDEX('Input Transaksi'!$A:$A,$E646))</f>
        <v/>
      </c>
      <c r="B646" s="5">
        <f>IF($E646="","",INDEX('Input Transaksi'!$D:$D,$E646))</f>
        <v/>
      </c>
      <c r="C646">
        <f>IF($E646="","",INDEX('Input Transaksi'!$E:$E,$E646))</f>
        <v/>
      </c>
      <c r="D646" s="5">
        <f>IF($E646="","",INDEX('Input Transaksi'!$F:$F,$E646))</f>
        <v/>
      </c>
      <c r="E646">
        <f>IFERROR(AGGREGATE(15,6,ROW('Input Transaksi'!$B$5:$B$5000)/('Input Transaksi'!$B$5:$B$5000="LONDRI DEWE ANTASURA"),ROWS($E$5:E646)),"")</f>
        <v/>
      </c>
      <c r="F646" s="5" t="n"/>
    </row>
    <row r="647">
      <c r="A647" s="10">
        <f>IF($E647="","",INDEX('Input Transaksi'!$A:$A,$E647))</f>
        <v/>
      </c>
      <c r="B647" s="5">
        <f>IF($E647="","",INDEX('Input Transaksi'!$D:$D,$E647))</f>
        <v/>
      </c>
      <c r="C647">
        <f>IF($E647="","",INDEX('Input Transaksi'!$E:$E,$E647))</f>
        <v/>
      </c>
      <c r="D647" s="5">
        <f>IF($E647="","",INDEX('Input Transaksi'!$F:$F,$E647))</f>
        <v/>
      </c>
      <c r="E647">
        <f>IFERROR(AGGREGATE(15,6,ROW('Input Transaksi'!$B$5:$B$5000)/('Input Transaksi'!$B$5:$B$5000="LONDRI DEWE ANTASURA"),ROWS($E$5:E647)),"")</f>
        <v/>
      </c>
      <c r="F647" s="5" t="n"/>
    </row>
    <row r="648">
      <c r="A648" s="10">
        <f>IF($E648="","",INDEX('Input Transaksi'!$A:$A,$E648))</f>
        <v/>
      </c>
      <c r="B648" s="5">
        <f>IF($E648="","",INDEX('Input Transaksi'!$D:$D,$E648))</f>
        <v/>
      </c>
      <c r="C648">
        <f>IF($E648="","",INDEX('Input Transaksi'!$E:$E,$E648))</f>
        <v/>
      </c>
      <c r="D648" s="5">
        <f>IF($E648="","",INDEX('Input Transaksi'!$F:$F,$E648))</f>
        <v/>
      </c>
      <c r="E648">
        <f>IFERROR(AGGREGATE(15,6,ROW('Input Transaksi'!$B$5:$B$5000)/('Input Transaksi'!$B$5:$B$5000="LONDRI DEWE ANTASURA"),ROWS($E$5:E648)),"")</f>
        <v/>
      </c>
      <c r="F648" s="5" t="n"/>
    </row>
    <row r="649">
      <c r="A649" s="10">
        <f>IF($E649="","",INDEX('Input Transaksi'!$A:$A,$E649))</f>
        <v/>
      </c>
      <c r="B649" s="5">
        <f>IF($E649="","",INDEX('Input Transaksi'!$D:$D,$E649))</f>
        <v/>
      </c>
      <c r="C649">
        <f>IF($E649="","",INDEX('Input Transaksi'!$E:$E,$E649))</f>
        <v/>
      </c>
      <c r="D649" s="5">
        <f>IF($E649="","",INDEX('Input Transaksi'!$F:$F,$E649))</f>
        <v/>
      </c>
      <c r="E649">
        <f>IFERROR(AGGREGATE(15,6,ROW('Input Transaksi'!$B$5:$B$5000)/('Input Transaksi'!$B$5:$B$5000="LONDRI DEWE ANTASURA"),ROWS($E$5:E649)),"")</f>
        <v/>
      </c>
      <c r="F649" s="5" t="n"/>
    </row>
    <row r="650">
      <c r="A650" s="10">
        <f>IF($E650="","",INDEX('Input Transaksi'!$A:$A,$E650))</f>
        <v/>
      </c>
      <c r="B650" s="5">
        <f>IF($E650="","",INDEX('Input Transaksi'!$D:$D,$E650))</f>
        <v/>
      </c>
      <c r="C650">
        <f>IF($E650="","",INDEX('Input Transaksi'!$E:$E,$E650))</f>
        <v/>
      </c>
      <c r="D650" s="5">
        <f>IF($E650="","",INDEX('Input Transaksi'!$F:$F,$E650))</f>
        <v/>
      </c>
      <c r="E650">
        <f>IFERROR(AGGREGATE(15,6,ROW('Input Transaksi'!$B$5:$B$5000)/('Input Transaksi'!$B$5:$B$5000="LONDRI DEWE ANTASURA"),ROWS($E$5:E650)),"")</f>
        <v/>
      </c>
      <c r="F650" s="5" t="n"/>
    </row>
    <row r="651">
      <c r="A651" s="10">
        <f>IF($E651="","",INDEX('Input Transaksi'!$A:$A,$E651))</f>
        <v/>
      </c>
      <c r="B651" s="5">
        <f>IF($E651="","",INDEX('Input Transaksi'!$D:$D,$E651))</f>
        <v/>
      </c>
      <c r="C651">
        <f>IF($E651="","",INDEX('Input Transaksi'!$E:$E,$E651))</f>
        <v/>
      </c>
      <c r="D651" s="5">
        <f>IF($E651="","",INDEX('Input Transaksi'!$F:$F,$E651))</f>
        <v/>
      </c>
      <c r="E651">
        <f>IFERROR(AGGREGATE(15,6,ROW('Input Transaksi'!$B$5:$B$5000)/('Input Transaksi'!$B$5:$B$5000="LONDRI DEWE ANTASURA"),ROWS($E$5:E651)),"")</f>
        <v/>
      </c>
      <c r="F651" s="5" t="n"/>
    </row>
    <row r="652">
      <c r="A652" s="10">
        <f>IF($E652="","",INDEX('Input Transaksi'!$A:$A,$E652))</f>
        <v/>
      </c>
      <c r="B652" s="5">
        <f>IF($E652="","",INDEX('Input Transaksi'!$D:$D,$E652))</f>
        <v/>
      </c>
      <c r="C652">
        <f>IF($E652="","",INDEX('Input Transaksi'!$E:$E,$E652))</f>
        <v/>
      </c>
      <c r="D652" s="5">
        <f>IF($E652="","",INDEX('Input Transaksi'!$F:$F,$E652))</f>
        <v/>
      </c>
      <c r="E652">
        <f>IFERROR(AGGREGATE(15,6,ROW('Input Transaksi'!$B$5:$B$5000)/('Input Transaksi'!$B$5:$B$5000="LONDRI DEWE ANTASURA"),ROWS($E$5:E652)),"")</f>
        <v/>
      </c>
      <c r="F652" s="5" t="n"/>
    </row>
    <row r="653">
      <c r="A653" s="10">
        <f>IF($E653="","",INDEX('Input Transaksi'!$A:$A,$E653))</f>
        <v/>
      </c>
      <c r="B653" s="5">
        <f>IF($E653="","",INDEX('Input Transaksi'!$D:$D,$E653))</f>
        <v/>
      </c>
      <c r="C653">
        <f>IF($E653="","",INDEX('Input Transaksi'!$E:$E,$E653))</f>
        <v/>
      </c>
      <c r="D653" s="5">
        <f>IF($E653="","",INDEX('Input Transaksi'!$F:$F,$E653))</f>
        <v/>
      </c>
      <c r="E653">
        <f>IFERROR(AGGREGATE(15,6,ROW('Input Transaksi'!$B$5:$B$5000)/('Input Transaksi'!$B$5:$B$5000="LONDRI DEWE ANTASURA"),ROWS($E$5:E653)),"")</f>
        <v/>
      </c>
      <c r="F653" s="5" t="n"/>
    </row>
    <row r="654">
      <c r="A654" s="10">
        <f>IF($E654="","",INDEX('Input Transaksi'!$A:$A,$E654))</f>
        <v/>
      </c>
      <c r="B654" s="5">
        <f>IF($E654="","",INDEX('Input Transaksi'!$D:$D,$E654))</f>
        <v/>
      </c>
      <c r="C654">
        <f>IF($E654="","",INDEX('Input Transaksi'!$E:$E,$E654))</f>
        <v/>
      </c>
      <c r="D654" s="5">
        <f>IF($E654="","",INDEX('Input Transaksi'!$F:$F,$E654))</f>
        <v/>
      </c>
      <c r="E654">
        <f>IFERROR(AGGREGATE(15,6,ROW('Input Transaksi'!$B$5:$B$5000)/('Input Transaksi'!$B$5:$B$5000="LONDRI DEWE ANTASURA"),ROWS($E$5:E654)),"")</f>
        <v/>
      </c>
      <c r="F654" s="5" t="n"/>
    </row>
    <row r="655">
      <c r="A655" s="10">
        <f>IF($E655="","",INDEX('Input Transaksi'!$A:$A,$E655))</f>
        <v/>
      </c>
      <c r="B655" s="5">
        <f>IF($E655="","",INDEX('Input Transaksi'!$D:$D,$E655))</f>
        <v/>
      </c>
      <c r="C655">
        <f>IF($E655="","",INDEX('Input Transaksi'!$E:$E,$E655))</f>
        <v/>
      </c>
      <c r="D655" s="5">
        <f>IF($E655="","",INDEX('Input Transaksi'!$F:$F,$E655))</f>
        <v/>
      </c>
      <c r="E655">
        <f>IFERROR(AGGREGATE(15,6,ROW('Input Transaksi'!$B$5:$B$5000)/('Input Transaksi'!$B$5:$B$5000="LONDRI DEWE ANTASURA"),ROWS($E$5:E655)),"")</f>
        <v/>
      </c>
      <c r="F655" s="5" t="n"/>
    </row>
    <row r="656">
      <c r="A656" s="10">
        <f>IF($E656="","",INDEX('Input Transaksi'!$A:$A,$E656))</f>
        <v/>
      </c>
      <c r="B656" s="5">
        <f>IF($E656="","",INDEX('Input Transaksi'!$D:$D,$E656))</f>
        <v/>
      </c>
      <c r="C656">
        <f>IF($E656="","",INDEX('Input Transaksi'!$E:$E,$E656))</f>
        <v/>
      </c>
      <c r="D656" s="5">
        <f>IF($E656="","",INDEX('Input Transaksi'!$F:$F,$E656))</f>
        <v/>
      </c>
      <c r="E656">
        <f>IFERROR(AGGREGATE(15,6,ROW('Input Transaksi'!$B$5:$B$5000)/('Input Transaksi'!$B$5:$B$5000="LONDRI DEWE ANTASURA"),ROWS($E$5:E656)),"")</f>
        <v/>
      </c>
      <c r="F656" s="5" t="n"/>
    </row>
    <row r="657">
      <c r="A657" s="10">
        <f>IF($E657="","",INDEX('Input Transaksi'!$A:$A,$E657))</f>
        <v/>
      </c>
      <c r="B657" s="5">
        <f>IF($E657="","",INDEX('Input Transaksi'!$D:$D,$E657))</f>
        <v/>
      </c>
      <c r="C657">
        <f>IF($E657="","",INDEX('Input Transaksi'!$E:$E,$E657))</f>
        <v/>
      </c>
      <c r="D657" s="5">
        <f>IF($E657="","",INDEX('Input Transaksi'!$F:$F,$E657))</f>
        <v/>
      </c>
      <c r="E657">
        <f>IFERROR(AGGREGATE(15,6,ROW('Input Transaksi'!$B$5:$B$5000)/('Input Transaksi'!$B$5:$B$5000="LONDRI DEWE ANTASURA"),ROWS($E$5:E657)),"")</f>
        <v/>
      </c>
      <c r="F657" s="5" t="n"/>
    </row>
    <row r="658">
      <c r="A658" s="10">
        <f>IF($E658="","",INDEX('Input Transaksi'!$A:$A,$E658))</f>
        <v/>
      </c>
      <c r="B658" s="5">
        <f>IF($E658="","",INDEX('Input Transaksi'!$D:$D,$E658))</f>
        <v/>
      </c>
      <c r="C658">
        <f>IF($E658="","",INDEX('Input Transaksi'!$E:$E,$E658))</f>
        <v/>
      </c>
      <c r="D658" s="5">
        <f>IF($E658="","",INDEX('Input Transaksi'!$F:$F,$E658))</f>
        <v/>
      </c>
      <c r="E658">
        <f>IFERROR(AGGREGATE(15,6,ROW('Input Transaksi'!$B$5:$B$5000)/('Input Transaksi'!$B$5:$B$5000="LONDRI DEWE ANTASURA"),ROWS($E$5:E658)),"")</f>
        <v/>
      </c>
      <c r="F658" s="5" t="n"/>
    </row>
    <row r="659">
      <c r="A659" s="10">
        <f>IF($E659="","",INDEX('Input Transaksi'!$A:$A,$E659))</f>
        <v/>
      </c>
      <c r="B659" s="5">
        <f>IF($E659="","",INDEX('Input Transaksi'!$D:$D,$E659))</f>
        <v/>
      </c>
      <c r="C659">
        <f>IF($E659="","",INDEX('Input Transaksi'!$E:$E,$E659))</f>
        <v/>
      </c>
      <c r="D659" s="5">
        <f>IF($E659="","",INDEX('Input Transaksi'!$F:$F,$E659))</f>
        <v/>
      </c>
      <c r="E659">
        <f>IFERROR(AGGREGATE(15,6,ROW('Input Transaksi'!$B$5:$B$5000)/('Input Transaksi'!$B$5:$B$5000="LONDRI DEWE ANTASURA"),ROWS($E$5:E659)),"")</f>
        <v/>
      </c>
      <c r="F659" s="5" t="n"/>
    </row>
    <row r="660">
      <c r="A660" s="10">
        <f>IF($E660="","",INDEX('Input Transaksi'!$A:$A,$E660))</f>
        <v/>
      </c>
      <c r="B660" s="5">
        <f>IF($E660="","",INDEX('Input Transaksi'!$D:$D,$E660))</f>
        <v/>
      </c>
      <c r="C660">
        <f>IF($E660="","",INDEX('Input Transaksi'!$E:$E,$E660))</f>
        <v/>
      </c>
      <c r="D660" s="5">
        <f>IF($E660="","",INDEX('Input Transaksi'!$F:$F,$E660))</f>
        <v/>
      </c>
      <c r="E660">
        <f>IFERROR(AGGREGATE(15,6,ROW('Input Transaksi'!$B$5:$B$5000)/('Input Transaksi'!$B$5:$B$5000="LONDRI DEWE ANTASURA"),ROWS($E$5:E660)),"")</f>
        <v/>
      </c>
      <c r="F660" s="5" t="n"/>
    </row>
    <row r="661">
      <c r="A661" s="10">
        <f>IF($E661="","",INDEX('Input Transaksi'!$A:$A,$E661))</f>
        <v/>
      </c>
      <c r="B661" s="5">
        <f>IF($E661="","",INDEX('Input Transaksi'!$D:$D,$E661))</f>
        <v/>
      </c>
      <c r="C661">
        <f>IF($E661="","",INDEX('Input Transaksi'!$E:$E,$E661))</f>
        <v/>
      </c>
      <c r="D661" s="5">
        <f>IF($E661="","",INDEX('Input Transaksi'!$F:$F,$E661))</f>
        <v/>
      </c>
      <c r="E661">
        <f>IFERROR(AGGREGATE(15,6,ROW('Input Transaksi'!$B$5:$B$5000)/('Input Transaksi'!$B$5:$B$5000="LONDRI DEWE ANTASURA"),ROWS($E$5:E661)),"")</f>
        <v/>
      </c>
      <c r="F661" s="5" t="n"/>
    </row>
    <row r="662">
      <c r="A662" s="10">
        <f>IF($E662="","",INDEX('Input Transaksi'!$A:$A,$E662))</f>
        <v/>
      </c>
      <c r="B662" s="5">
        <f>IF($E662="","",INDEX('Input Transaksi'!$D:$D,$E662))</f>
        <v/>
      </c>
      <c r="C662">
        <f>IF($E662="","",INDEX('Input Transaksi'!$E:$E,$E662))</f>
        <v/>
      </c>
      <c r="D662" s="5">
        <f>IF($E662="","",INDEX('Input Transaksi'!$F:$F,$E662))</f>
        <v/>
      </c>
      <c r="E662">
        <f>IFERROR(AGGREGATE(15,6,ROW('Input Transaksi'!$B$5:$B$5000)/('Input Transaksi'!$B$5:$B$5000="LONDRI DEWE ANTASURA"),ROWS($E$5:E662)),"")</f>
        <v/>
      </c>
      <c r="F662" s="5" t="n"/>
    </row>
    <row r="663">
      <c r="A663" s="10">
        <f>IF($E663="","",INDEX('Input Transaksi'!$A:$A,$E663))</f>
        <v/>
      </c>
      <c r="B663" s="5">
        <f>IF($E663="","",INDEX('Input Transaksi'!$D:$D,$E663))</f>
        <v/>
      </c>
      <c r="C663">
        <f>IF($E663="","",INDEX('Input Transaksi'!$E:$E,$E663))</f>
        <v/>
      </c>
      <c r="D663" s="5">
        <f>IF($E663="","",INDEX('Input Transaksi'!$F:$F,$E663))</f>
        <v/>
      </c>
      <c r="E663">
        <f>IFERROR(AGGREGATE(15,6,ROW('Input Transaksi'!$B$5:$B$5000)/('Input Transaksi'!$B$5:$B$5000="LONDRI DEWE ANTASURA"),ROWS($E$5:E663)),"")</f>
        <v/>
      </c>
      <c r="F663" s="5" t="n"/>
    </row>
    <row r="664">
      <c r="A664" s="10">
        <f>IF($E664="","",INDEX('Input Transaksi'!$A:$A,$E664))</f>
        <v/>
      </c>
      <c r="B664" s="5">
        <f>IF($E664="","",INDEX('Input Transaksi'!$D:$D,$E664))</f>
        <v/>
      </c>
      <c r="C664">
        <f>IF($E664="","",INDEX('Input Transaksi'!$E:$E,$E664))</f>
        <v/>
      </c>
      <c r="D664" s="5">
        <f>IF($E664="","",INDEX('Input Transaksi'!$F:$F,$E664))</f>
        <v/>
      </c>
      <c r="E664">
        <f>IFERROR(AGGREGATE(15,6,ROW('Input Transaksi'!$B$5:$B$5000)/('Input Transaksi'!$B$5:$B$5000="LONDRI DEWE ANTASURA"),ROWS($E$5:E664)),"")</f>
        <v/>
      </c>
      <c r="F664" s="5" t="n"/>
    </row>
    <row r="665">
      <c r="A665" s="10">
        <f>IF($E665="","",INDEX('Input Transaksi'!$A:$A,$E665))</f>
        <v/>
      </c>
      <c r="B665" s="5">
        <f>IF($E665="","",INDEX('Input Transaksi'!$D:$D,$E665))</f>
        <v/>
      </c>
      <c r="C665">
        <f>IF($E665="","",INDEX('Input Transaksi'!$E:$E,$E665))</f>
        <v/>
      </c>
      <c r="D665" s="5">
        <f>IF($E665="","",INDEX('Input Transaksi'!$F:$F,$E665))</f>
        <v/>
      </c>
      <c r="E665">
        <f>IFERROR(AGGREGATE(15,6,ROW('Input Transaksi'!$B$5:$B$5000)/('Input Transaksi'!$B$5:$B$5000="LONDRI DEWE ANTASURA"),ROWS($E$5:E665)),"")</f>
        <v/>
      </c>
      <c r="F665" s="5" t="n"/>
    </row>
    <row r="666">
      <c r="A666" s="10">
        <f>IF($E666="","",INDEX('Input Transaksi'!$A:$A,$E666))</f>
        <v/>
      </c>
      <c r="B666" s="5">
        <f>IF($E666="","",INDEX('Input Transaksi'!$D:$D,$E666))</f>
        <v/>
      </c>
      <c r="C666">
        <f>IF($E666="","",INDEX('Input Transaksi'!$E:$E,$E666))</f>
        <v/>
      </c>
      <c r="D666" s="5">
        <f>IF($E666="","",INDEX('Input Transaksi'!$F:$F,$E666))</f>
        <v/>
      </c>
      <c r="E666">
        <f>IFERROR(AGGREGATE(15,6,ROW('Input Transaksi'!$B$5:$B$5000)/('Input Transaksi'!$B$5:$B$5000="LONDRI DEWE ANTASURA"),ROWS($E$5:E666)),"")</f>
        <v/>
      </c>
      <c r="F666" s="5" t="n"/>
    </row>
    <row r="667">
      <c r="A667" s="10">
        <f>IF($E667="","",INDEX('Input Transaksi'!$A:$A,$E667))</f>
        <v/>
      </c>
      <c r="B667" s="5">
        <f>IF($E667="","",INDEX('Input Transaksi'!$D:$D,$E667))</f>
        <v/>
      </c>
      <c r="C667">
        <f>IF($E667="","",INDEX('Input Transaksi'!$E:$E,$E667))</f>
        <v/>
      </c>
      <c r="D667" s="5">
        <f>IF($E667="","",INDEX('Input Transaksi'!$F:$F,$E667))</f>
        <v/>
      </c>
      <c r="E667">
        <f>IFERROR(AGGREGATE(15,6,ROW('Input Transaksi'!$B$5:$B$5000)/('Input Transaksi'!$B$5:$B$5000="LONDRI DEWE ANTASURA"),ROWS($E$5:E667)),"")</f>
        <v/>
      </c>
      <c r="F667" s="5" t="n"/>
    </row>
    <row r="668">
      <c r="A668" s="10">
        <f>IF($E668="","",INDEX('Input Transaksi'!$A:$A,$E668))</f>
        <v/>
      </c>
      <c r="B668" s="5">
        <f>IF($E668="","",INDEX('Input Transaksi'!$D:$D,$E668))</f>
        <v/>
      </c>
      <c r="C668">
        <f>IF($E668="","",INDEX('Input Transaksi'!$E:$E,$E668))</f>
        <v/>
      </c>
      <c r="D668" s="5">
        <f>IF($E668="","",INDEX('Input Transaksi'!$F:$F,$E668))</f>
        <v/>
      </c>
      <c r="E668">
        <f>IFERROR(AGGREGATE(15,6,ROW('Input Transaksi'!$B$5:$B$5000)/('Input Transaksi'!$B$5:$B$5000="LONDRI DEWE ANTASURA"),ROWS($E$5:E668)),"")</f>
        <v/>
      </c>
      <c r="F668" s="5" t="n"/>
    </row>
    <row r="669">
      <c r="A669" s="10">
        <f>IF($E669="","",INDEX('Input Transaksi'!$A:$A,$E669))</f>
        <v/>
      </c>
      <c r="B669" s="5">
        <f>IF($E669="","",INDEX('Input Transaksi'!$D:$D,$E669))</f>
        <v/>
      </c>
      <c r="C669">
        <f>IF($E669="","",INDEX('Input Transaksi'!$E:$E,$E669))</f>
        <v/>
      </c>
      <c r="D669" s="5">
        <f>IF($E669="","",INDEX('Input Transaksi'!$F:$F,$E669))</f>
        <v/>
      </c>
      <c r="E669">
        <f>IFERROR(AGGREGATE(15,6,ROW('Input Transaksi'!$B$5:$B$5000)/('Input Transaksi'!$B$5:$B$5000="LONDRI DEWE ANTASURA"),ROWS($E$5:E669)),"")</f>
        <v/>
      </c>
      <c r="F669" s="5" t="n"/>
    </row>
    <row r="670">
      <c r="A670" s="10">
        <f>IF($E670="","",INDEX('Input Transaksi'!$A:$A,$E670))</f>
        <v/>
      </c>
      <c r="B670" s="5">
        <f>IF($E670="","",INDEX('Input Transaksi'!$D:$D,$E670))</f>
        <v/>
      </c>
      <c r="C670">
        <f>IF($E670="","",INDEX('Input Transaksi'!$E:$E,$E670))</f>
        <v/>
      </c>
      <c r="D670" s="5">
        <f>IF($E670="","",INDEX('Input Transaksi'!$F:$F,$E670))</f>
        <v/>
      </c>
      <c r="E670">
        <f>IFERROR(AGGREGATE(15,6,ROW('Input Transaksi'!$B$5:$B$5000)/('Input Transaksi'!$B$5:$B$5000="LONDRI DEWE ANTASURA"),ROWS($E$5:E670)),"")</f>
        <v/>
      </c>
      <c r="F670" s="5" t="n"/>
    </row>
    <row r="671">
      <c r="A671" s="10">
        <f>IF($E671="","",INDEX('Input Transaksi'!$A:$A,$E671))</f>
        <v/>
      </c>
      <c r="B671" s="5">
        <f>IF($E671="","",INDEX('Input Transaksi'!$D:$D,$E671))</f>
        <v/>
      </c>
      <c r="C671">
        <f>IF($E671="","",INDEX('Input Transaksi'!$E:$E,$E671))</f>
        <v/>
      </c>
      <c r="D671" s="5">
        <f>IF($E671="","",INDEX('Input Transaksi'!$F:$F,$E671))</f>
        <v/>
      </c>
      <c r="E671">
        <f>IFERROR(AGGREGATE(15,6,ROW('Input Transaksi'!$B$5:$B$5000)/('Input Transaksi'!$B$5:$B$5000="LONDRI DEWE ANTASURA"),ROWS($E$5:E671)),"")</f>
        <v/>
      </c>
      <c r="F671" s="5" t="n"/>
    </row>
    <row r="672">
      <c r="A672" s="10">
        <f>IF($E672="","",INDEX('Input Transaksi'!$A:$A,$E672))</f>
        <v/>
      </c>
      <c r="B672" s="5">
        <f>IF($E672="","",INDEX('Input Transaksi'!$D:$D,$E672))</f>
        <v/>
      </c>
      <c r="C672">
        <f>IF($E672="","",INDEX('Input Transaksi'!$E:$E,$E672))</f>
        <v/>
      </c>
      <c r="D672" s="5">
        <f>IF($E672="","",INDEX('Input Transaksi'!$F:$F,$E672))</f>
        <v/>
      </c>
      <c r="E672">
        <f>IFERROR(AGGREGATE(15,6,ROW('Input Transaksi'!$B$5:$B$5000)/('Input Transaksi'!$B$5:$B$5000="LONDRI DEWE ANTASURA"),ROWS($E$5:E672)),"")</f>
        <v/>
      </c>
      <c r="F672" s="5" t="n"/>
    </row>
    <row r="673">
      <c r="A673" s="10">
        <f>IF($E673="","",INDEX('Input Transaksi'!$A:$A,$E673))</f>
        <v/>
      </c>
      <c r="B673" s="5">
        <f>IF($E673="","",INDEX('Input Transaksi'!$D:$D,$E673))</f>
        <v/>
      </c>
      <c r="C673">
        <f>IF($E673="","",INDEX('Input Transaksi'!$E:$E,$E673))</f>
        <v/>
      </c>
      <c r="D673" s="5">
        <f>IF($E673="","",INDEX('Input Transaksi'!$F:$F,$E673))</f>
        <v/>
      </c>
      <c r="E673">
        <f>IFERROR(AGGREGATE(15,6,ROW('Input Transaksi'!$B$5:$B$5000)/('Input Transaksi'!$B$5:$B$5000="LONDRI DEWE ANTASURA"),ROWS($E$5:E673)),"")</f>
        <v/>
      </c>
      <c r="F673" s="5" t="n"/>
    </row>
    <row r="674">
      <c r="A674" s="10">
        <f>IF($E674="","",INDEX('Input Transaksi'!$A:$A,$E674))</f>
        <v/>
      </c>
      <c r="B674" s="5">
        <f>IF($E674="","",INDEX('Input Transaksi'!$D:$D,$E674))</f>
        <v/>
      </c>
      <c r="C674">
        <f>IF($E674="","",INDEX('Input Transaksi'!$E:$E,$E674))</f>
        <v/>
      </c>
      <c r="D674" s="5">
        <f>IF($E674="","",INDEX('Input Transaksi'!$F:$F,$E674))</f>
        <v/>
      </c>
      <c r="E674">
        <f>IFERROR(AGGREGATE(15,6,ROW('Input Transaksi'!$B$5:$B$5000)/('Input Transaksi'!$B$5:$B$5000="LONDRI DEWE ANTASURA"),ROWS($E$5:E674)),"")</f>
        <v/>
      </c>
      <c r="F674" s="5" t="n"/>
    </row>
    <row r="675">
      <c r="A675" s="10">
        <f>IF($E675="","",INDEX('Input Transaksi'!$A:$A,$E675))</f>
        <v/>
      </c>
      <c r="B675" s="5">
        <f>IF($E675="","",INDEX('Input Transaksi'!$D:$D,$E675))</f>
        <v/>
      </c>
      <c r="C675">
        <f>IF($E675="","",INDEX('Input Transaksi'!$E:$E,$E675))</f>
        <v/>
      </c>
      <c r="D675" s="5">
        <f>IF($E675="","",INDEX('Input Transaksi'!$F:$F,$E675))</f>
        <v/>
      </c>
      <c r="E675">
        <f>IFERROR(AGGREGATE(15,6,ROW('Input Transaksi'!$B$5:$B$5000)/('Input Transaksi'!$B$5:$B$5000="LONDRI DEWE ANTASURA"),ROWS($E$5:E675)),"")</f>
        <v/>
      </c>
      <c r="F675" s="5" t="n"/>
    </row>
    <row r="676">
      <c r="A676" s="10">
        <f>IF($E676="","",INDEX('Input Transaksi'!$A:$A,$E676))</f>
        <v/>
      </c>
      <c r="B676" s="5">
        <f>IF($E676="","",INDEX('Input Transaksi'!$D:$D,$E676))</f>
        <v/>
      </c>
      <c r="C676">
        <f>IF($E676="","",INDEX('Input Transaksi'!$E:$E,$E676))</f>
        <v/>
      </c>
      <c r="D676" s="5">
        <f>IF($E676="","",INDEX('Input Transaksi'!$F:$F,$E676))</f>
        <v/>
      </c>
      <c r="E676">
        <f>IFERROR(AGGREGATE(15,6,ROW('Input Transaksi'!$B$5:$B$5000)/('Input Transaksi'!$B$5:$B$5000="LONDRI DEWE ANTASURA"),ROWS($E$5:E676)),"")</f>
        <v/>
      </c>
      <c r="F676" s="5" t="n"/>
    </row>
    <row r="677">
      <c r="A677" s="10">
        <f>IF($E677="","",INDEX('Input Transaksi'!$A:$A,$E677))</f>
        <v/>
      </c>
      <c r="B677" s="5">
        <f>IF($E677="","",INDEX('Input Transaksi'!$D:$D,$E677))</f>
        <v/>
      </c>
      <c r="C677">
        <f>IF($E677="","",INDEX('Input Transaksi'!$E:$E,$E677))</f>
        <v/>
      </c>
      <c r="D677" s="5">
        <f>IF($E677="","",INDEX('Input Transaksi'!$F:$F,$E677))</f>
        <v/>
      </c>
      <c r="E677">
        <f>IFERROR(AGGREGATE(15,6,ROW('Input Transaksi'!$B$5:$B$5000)/('Input Transaksi'!$B$5:$B$5000="LONDRI DEWE ANTASURA"),ROWS($E$5:E677)),"")</f>
        <v/>
      </c>
      <c r="F677" s="5" t="n"/>
    </row>
    <row r="678">
      <c r="A678" s="10">
        <f>IF($E678="","",INDEX('Input Transaksi'!$A:$A,$E678))</f>
        <v/>
      </c>
      <c r="B678" s="5">
        <f>IF($E678="","",INDEX('Input Transaksi'!$D:$D,$E678))</f>
        <v/>
      </c>
      <c r="C678">
        <f>IF($E678="","",INDEX('Input Transaksi'!$E:$E,$E678))</f>
        <v/>
      </c>
      <c r="D678" s="5">
        <f>IF($E678="","",INDEX('Input Transaksi'!$F:$F,$E678))</f>
        <v/>
      </c>
      <c r="E678">
        <f>IFERROR(AGGREGATE(15,6,ROW('Input Transaksi'!$B$5:$B$5000)/('Input Transaksi'!$B$5:$B$5000="LONDRI DEWE ANTASURA"),ROWS($E$5:E678)),"")</f>
        <v/>
      </c>
      <c r="F678" s="5" t="n"/>
    </row>
    <row r="679">
      <c r="A679" s="10">
        <f>IF($E679="","",INDEX('Input Transaksi'!$A:$A,$E679))</f>
        <v/>
      </c>
      <c r="B679" s="5">
        <f>IF($E679="","",INDEX('Input Transaksi'!$D:$D,$E679))</f>
        <v/>
      </c>
      <c r="C679">
        <f>IF($E679="","",INDEX('Input Transaksi'!$E:$E,$E679))</f>
        <v/>
      </c>
      <c r="D679" s="5">
        <f>IF($E679="","",INDEX('Input Transaksi'!$F:$F,$E679))</f>
        <v/>
      </c>
      <c r="E679">
        <f>IFERROR(AGGREGATE(15,6,ROW('Input Transaksi'!$B$5:$B$5000)/('Input Transaksi'!$B$5:$B$5000="LONDRI DEWE ANTASURA"),ROWS($E$5:E679)),"")</f>
        <v/>
      </c>
      <c r="F679" s="5" t="n"/>
    </row>
    <row r="680">
      <c r="A680" s="10">
        <f>IF($E680="","",INDEX('Input Transaksi'!$A:$A,$E680))</f>
        <v/>
      </c>
      <c r="B680" s="5">
        <f>IF($E680="","",INDEX('Input Transaksi'!$D:$D,$E680))</f>
        <v/>
      </c>
      <c r="C680">
        <f>IF($E680="","",INDEX('Input Transaksi'!$E:$E,$E680))</f>
        <v/>
      </c>
      <c r="D680" s="5">
        <f>IF($E680="","",INDEX('Input Transaksi'!$F:$F,$E680))</f>
        <v/>
      </c>
      <c r="E680">
        <f>IFERROR(AGGREGATE(15,6,ROW('Input Transaksi'!$B$5:$B$5000)/('Input Transaksi'!$B$5:$B$5000="LONDRI DEWE ANTASURA"),ROWS($E$5:E680)),"")</f>
        <v/>
      </c>
      <c r="F680" s="5" t="n"/>
    </row>
    <row r="681">
      <c r="A681" s="10">
        <f>IF($E681="","",INDEX('Input Transaksi'!$A:$A,$E681))</f>
        <v/>
      </c>
      <c r="B681" s="5">
        <f>IF($E681="","",INDEX('Input Transaksi'!$D:$D,$E681))</f>
        <v/>
      </c>
      <c r="C681">
        <f>IF($E681="","",INDEX('Input Transaksi'!$E:$E,$E681))</f>
        <v/>
      </c>
      <c r="D681" s="5">
        <f>IF($E681="","",INDEX('Input Transaksi'!$F:$F,$E681))</f>
        <v/>
      </c>
      <c r="E681">
        <f>IFERROR(AGGREGATE(15,6,ROW('Input Transaksi'!$B$5:$B$5000)/('Input Transaksi'!$B$5:$B$5000="LONDRI DEWE ANTASURA"),ROWS($E$5:E681)),"")</f>
        <v/>
      </c>
      <c r="F681" s="5" t="n"/>
    </row>
    <row r="682">
      <c r="A682" s="10">
        <f>IF($E682="","",INDEX('Input Transaksi'!$A:$A,$E682))</f>
        <v/>
      </c>
      <c r="B682" s="5">
        <f>IF($E682="","",INDEX('Input Transaksi'!$D:$D,$E682))</f>
        <v/>
      </c>
      <c r="C682">
        <f>IF($E682="","",INDEX('Input Transaksi'!$E:$E,$E682))</f>
        <v/>
      </c>
      <c r="D682" s="5">
        <f>IF($E682="","",INDEX('Input Transaksi'!$F:$F,$E682))</f>
        <v/>
      </c>
      <c r="E682">
        <f>IFERROR(AGGREGATE(15,6,ROW('Input Transaksi'!$B$5:$B$5000)/('Input Transaksi'!$B$5:$B$5000="LONDRI DEWE ANTASURA"),ROWS($E$5:E682)),"")</f>
        <v/>
      </c>
      <c r="F682" s="5" t="n"/>
    </row>
    <row r="683">
      <c r="A683" s="10">
        <f>IF($E683="","",INDEX('Input Transaksi'!$A:$A,$E683))</f>
        <v/>
      </c>
      <c r="B683" s="5">
        <f>IF($E683="","",INDEX('Input Transaksi'!$D:$D,$E683))</f>
        <v/>
      </c>
      <c r="C683">
        <f>IF($E683="","",INDEX('Input Transaksi'!$E:$E,$E683))</f>
        <v/>
      </c>
      <c r="D683" s="5">
        <f>IF($E683="","",INDEX('Input Transaksi'!$F:$F,$E683))</f>
        <v/>
      </c>
      <c r="E683">
        <f>IFERROR(AGGREGATE(15,6,ROW('Input Transaksi'!$B$5:$B$5000)/('Input Transaksi'!$B$5:$B$5000="LONDRI DEWE ANTASURA"),ROWS($E$5:E683)),"")</f>
        <v/>
      </c>
      <c r="F683" s="5" t="n"/>
    </row>
    <row r="684">
      <c r="A684" s="10">
        <f>IF($E684="","",INDEX('Input Transaksi'!$A:$A,$E684))</f>
        <v/>
      </c>
      <c r="B684" s="5">
        <f>IF($E684="","",INDEX('Input Transaksi'!$D:$D,$E684))</f>
        <v/>
      </c>
      <c r="C684">
        <f>IF($E684="","",INDEX('Input Transaksi'!$E:$E,$E684))</f>
        <v/>
      </c>
      <c r="D684" s="5">
        <f>IF($E684="","",INDEX('Input Transaksi'!$F:$F,$E684))</f>
        <v/>
      </c>
      <c r="E684">
        <f>IFERROR(AGGREGATE(15,6,ROW('Input Transaksi'!$B$5:$B$5000)/('Input Transaksi'!$B$5:$B$5000="LONDRI DEWE ANTASURA"),ROWS($E$5:E684)),"")</f>
        <v/>
      </c>
      <c r="F684" s="5" t="n"/>
    </row>
    <row r="685">
      <c r="A685" s="10">
        <f>IF($E685="","",INDEX('Input Transaksi'!$A:$A,$E685))</f>
        <v/>
      </c>
      <c r="B685" s="5">
        <f>IF($E685="","",INDEX('Input Transaksi'!$D:$D,$E685))</f>
        <v/>
      </c>
      <c r="C685">
        <f>IF($E685="","",INDEX('Input Transaksi'!$E:$E,$E685))</f>
        <v/>
      </c>
      <c r="D685" s="5">
        <f>IF($E685="","",INDEX('Input Transaksi'!$F:$F,$E685))</f>
        <v/>
      </c>
      <c r="E685">
        <f>IFERROR(AGGREGATE(15,6,ROW('Input Transaksi'!$B$5:$B$5000)/('Input Transaksi'!$B$5:$B$5000="LONDRI DEWE ANTASURA"),ROWS($E$5:E685)),"")</f>
        <v/>
      </c>
      <c r="F685" s="5" t="n"/>
    </row>
    <row r="686">
      <c r="A686" s="10">
        <f>IF($E686="","",INDEX('Input Transaksi'!$A:$A,$E686))</f>
        <v/>
      </c>
      <c r="B686" s="5">
        <f>IF($E686="","",INDEX('Input Transaksi'!$D:$D,$E686))</f>
        <v/>
      </c>
      <c r="C686">
        <f>IF($E686="","",INDEX('Input Transaksi'!$E:$E,$E686))</f>
        <v/>
      </c>
      <c r="D686" s="5">
        <f>IF($E686="","",INDEX('Input Transaksi'!$F:$F,$E686))</f>
        <v/>
      </c>
      <c r="E686">
        <f>IFERROR(AGGREGATE(15,6,ROW('Input Transaksi'!$B$5:$B$5000)/('Input Transaksi'!$B$5:$B$5000="LONDRI DEWE ANTASURA"),ROWS($E$5:E686)),"")</f>
        <v/>
      </c>
      <c r="F686" s="5" t="n"/>
    </row>
    <row r="687">
      <c r="A687" s="10">
        <f>IF($E687="","",INDEX('Input Transaksi'!$A:$A,$E687))</f>
        <v/>
      </c>
      <c r="B687" s="5">
        <f>IF($E687="","",INDEX('Input Transaksi'!$D:$D,$E687))</f>
        <v/>
      </c>
      <c r="C687">
        <f>IF($E687="","",INDEX('Input Transaksi'!$E:$E,$E687))</f>
        <v/>
      </c>
      <c r="D687" s="5">
        <f>IF($E687="","",INDEX('Input Transaksi'!$F:$F,$E687))</f>
        <v/>
      </c>
      <c r="E687">
        <f>IFERROR(AGGREGATE(15,6,ROW('Input Transaksi'!$B$5:$B$5000)/('Input Transaksi'!$B$5:$B$5000="LONDRI DEWE ANTASURA"),ROWS($E$5:E687)),"")</f>
        <v/>
      </c>
      <c r="F687" s="5" t="n"/>
    </row>
    <row r="688">
      <c r="A688" s="10">
        <f>IF($E688="","",INDEX('Input Transaksi'!$A:$A,$E688))</f>
        <v/>
      </c>
      <c r="B688" s="5">
        <f>IF($E688="","",INDEX('Input Transaksi'!$D:$D,$E688))</f>
        <v/>
      </c>
      <c r="C688">
        <f>IF($E688="","",INDEX('Input Transaksi'!$E:$E,$E688))</f>
        <v/>
      </c>
      <c r="D688" s="5">
        <f>IF($E688="","",INDEX('Input Transaksi'!$F:$F,$E688))</f>
        <v/>
      </c>
      <c r="E688">
        <f>IFERROR(AGGREGATE(15,6,ROW('Input Transaksi'!$B$5:$B$5000)/('Input Transaksi'!$B$5:$B$5000="LONDRI DEWE ANTASURA"),ROWS($E$5:E688)),"")</f>
        <v/>
      </c>
      <c r="F688" s="5" t="n"/>
    </row>
    <row r="689">
      <c r="A689" s="10">
        <f>IF($E689="","",INDEX('Input Transaksi'!$A:$A,$E689))</f>
        <v/>
      </c>
      <c r="B689" s="5">
        <f>IF($E689="","",INDEX('Input Transaksi'!$D:$D,$E689))</f>
        <v/>
      </c>
      <c r="C689">
        <f>IF($E689="","",INDEX('Input Transaksi'!$E:$E,$E689))</f>
        <v/>
      </c>
      <c r="D689" s="5">
        <f>IF($E689="","",INDEX('Input Transaksi'!$F:$F,$E689))</f>
        <v/>
      </c>
      <c r="E689">
        <f>IFERROR(AGGREGATE(15,6,ROW('Input Transaksi'!$B$5:$B$5000)/('Input Transaksi'!$B$5:$B$5000="LONDRI DEWE ANTASURA"),ROWS($E$5:E689)),"")</f>
        <v/>
      </c>
      <c r="F689" s="5" t="n"/>
    </row>
    <row r="690">
      <c r="A690" s="10">
        <f>IF($E690="","",INDEX('Input Transaksi'!$A:$A,$E690))</f>
        <v/>
      </c>
      <c r="B690" s="5">
        <f>IF($E690="","",INDEX('Input Transaksi'!$D:$D,$E690))</f>
        <v/>
      </c>
      <c r="C690">
        <f>IF($E690="","",INDEX('Input Transaksi'!$E:$E,$E690))</f>
        <v/>
      </c>
      <c r="D690" s="5">
        <f>IF($E690="","",INDEX('Input Transaksi'!$F:$F,$E690))</f>
        <v/>
      </c>
      <c r="E690">
        <f>IFERROR(AGGREGATE(15,6,ROW('Input Transaksi'!$B$5:$B$5000)/('Input Transaksi'!$B$5:$B$5000="LONDRI DEWE ANTASURA"),ROWS($E$5:E690)),"")</f>
        <v/>
      </c>
      <c r="F690" s="5" t="n"/>
    </row>
    <row r="691">
      <c r="A691" s="10">
        <f>IF($E691="","",INDEX('Input Transaksi'!$A:$A,$E691))</f>
        <v/>
      </c>
      <c r="B691" s="5">
        <f>IF($E691="","",INDEX('Input Transaksi'!$D:$D,$E691))</f>
        <v/>
      </c>
      <c r="C691">
        <f>IF($E691="","",INDEX('Input Transaksi'!$E:$E,$E691))</f>
        <v/>
      </c>
      <c r="D691" s="5">
        <f>IF($E691="","",INDEX('Input Transaksi'!$F:$F,$E691))</f>
        <v/>
      </c>
      <c r="E691">
        <f>IFERROR(AGGREGATE(15,6,ROW('Input Transaksi'!$B$5:$B$5000)/('Input Transaksi'!$B$5:$B$5000="LONDRI DEWE ANTASURA"),ROWS($E$5:E691)),"")</f>
        <v/>
      </c>
      <c r="F691" s="5" t="n"/>
    </row>
    <row r="692">
      <c r="A692" s="10">
        <f>IF($E692="","",INDEX('Input Transaksi'!$A:$A,$E692))</f>
        <v/>
      </c>
      <c r="B692" s="5">
        <f>IF($E692="","",INDEX('Input Transaksi'!$D:$D,$E692))</f>
        <v/>
      </c>
      <c r="C692">
        <f>IF($E692="","",INDEX('Input Transaksi'!$E:$E,$E692))</f>
        <v/>
      </c>
      <c r="D692" s="5">
        <f>IF($E692="","",INDEX('Input Transaksi'!$F:$F,$E692))</f>
        <v/>
      </c>
      <c r="E692">
        <f>IFERROR(AGGREGATE(15,6,ROW('Input Transaksi'!$B$5:$B$5000)/('Input Transaksi'!$B$5:$B$5000="LONDRI DEWE ANTASURA"),ROWS($E$5:E692)),"")</f>
        <v/>
      </c>
      <c r="F692" s="5" t="n"/>
    </row>
    <row r="693">
      <c r="A693" s="10">
        <f>IF($E693="","",INDEX('Input Transaksi'!$A:$A,$E693))</f>
        <v/>
      </c>
      <c r="B693" s="5">
        <f>IF($E693="","",INDEX('Input Transaksi'!$D:$D,$E693))</f>
        <v/>
      </c>
      <c r="C693">
        <f>IF($E693="","",INDEX('Input Transaksi'!$E:$E,$E693))</f>
        <v/>
      </c>
      <c r="D693" s="5">
        <f>IF($E693="","",INDEX('Input Transaksi'!$F:$F,$E693))</f>
        <v/>
      </c>
      <c r="E693">
        <f>IFERROR(AGGREGATE(15,6,ROW('Input Transaksi'!$B$5:$B$5000)/('Input Transaksi'!$B$5:$B$5000="LONDRI DEWE ANTASURA"),ROWS($E$5:E693)),"")</f>
        <v/>
      </c>
      <c r="F693" s="5" t="n"/>
    </row>
    <row r="694">
      <c r="A694" s="10">
        <f>IF($E694="","",INDEX('Input Transaksi'!$A:$A,$E694))</f>
        <v/>
      </c>
      <c r="B694" s="5">
        <f>IF($E694="","",INDEX('Input Transaksi'!$D:$D,$E694))</f>
        <v/>
      </c>
      <c r="C694">
        <f>IF($E694="","",INDEX('Input Transaksi'!$E:$E,$E694))</f>
        <v/>
      </c>
      <c r="D694" s="5">
        <f>IF($E694="","",INDEX('Input Transaksi'!$F:$F,$E694))</f>
        <v/>
      </c>
      <c r="E694">
        <f>IFERROR(AGGREGATE(15,6,ROW('Input Transaksi'!$B$5:$B$5000)/('Input Transaksi'!$B$5:$B$5000="LONDRI DEWE ANTASURA"),ROWS($E$5:E694)),"")</f>
        <v/>
      </c>
      <c r="F694" s="5" t="n"/>
    </row>
    <row r="695">
      <c r="A695" s="10">
        <f>IF($E695="","",INDEX('Input Transaksi'!$A:$A,$E695))</f>
        <v/>
      </c>
      <c r="B695" s="5">
        <f>IF($E695="","",INDEX('Input Transaksi'!$D:$D,$E695))</f>
        <v/>
      </c>
      <c r="C695">
        <f>IF($E695="","",INDEX('Input Transaksi'!$E:$E,$E695))</f>
        <v/>
      </c>
      <c r="D695" s="5">
        <f>IF($E695="","",INDEX('Input Transaksi'!$F:$F,$E695))</f>
        <v/>
      </c>
      <c r="E695">
        <f>IFERROR(AGGREGATE(15,6,ROW('Input Transaksi'!$B$5:$B$5000)/('Input Transaksi'!$B$5:$B$5000="LONDRI DEWE ANTASURA"),ROWS($E$5:E695)),"")</f>
        <v/>
      </c>
      <c r="F695" s="5" t="n"/>
    </row>
    <row r="696">
      <c r="A696" s="10">
        <f>IF($E696="","",INDEX('Input Transaksi'!$A:$A,$E696))</f>
        <v/>
      </c>
      <c r="B696" s="5">
        <f>IF($E696="","",INDEX('Input Transaksi'!$D:$D,$E696))</f>
        <v/>
      </c>
      <c r="C696">
        <f>IF($E696="","",INDEX('Input Transaksi'!$E:$E,$E696))</f>
        <v/>
      </c>
      <c r="D696" s="5">
        <f>IF($E696="","",INDEX('Input Transaksi'!$F:$F,$E696))</f>
        <v/>
      </c>
      <c r="E696">
        <f>IFERROR(AGGREGATE(15,6,ROW('Input Transaksi'!$B$5:$B$5000)/('Input Transaksi'!$B$5:$B$5000="LONDRI DEWE ANTASURA"),ROWS($E$5:E696)),"")</f>
        <v/>
      </c>
      <c r="F696" s="5" t="n"/>
    </row>
    <row r="697">
      <c r="A697" s="10">
        <f>IF($E697="","",INDEX('Input Transaksi'!$A:$A,$E697))</f>
        <v/>
      </c>
      <c r="B697" s="5">
        <f>IF($E697="","",INDEX('Input Transaksi'!$D:$D,$E697))</f>
        <v/>
      </c>
      <c r="C697">
        <f>IF($E697="","",INDEX('Input Transaksi'!$E:$E,$E697))</f>
        <v/>
      </c>
      <c r="D697" s="5">
        <f>IF($E697="","",INDEX('Input Transaksi'!$F:$F,$E697))</f>
        <v/>
      </c>
      <c r="E697">
        <f>IFERROR(AGGREGATE(15,6,ROW('Input Transaksi'!$B$5:$B$5000)/('Input Transaksi'!$B$5:$B$5000="LONDRI DEWE ANTASURA"),ROWS($E$5:E697)),"")</f>
        <v/>
      </c>
      <c r="F697" s="5" t="n"/>
    </row>
    <row r="698">
      <c r="A698" s="10">
        <f>IF($E698="","",INDEX('Input Transaksi'!$A:$A,$E698))</f>
        <v/>
      </c>
      <c r="B698" s="5">
        <f>IF($E698="","",INDEX('Input Transaksi'!$D:$D,$E698))</f>
        <v/>
      </c>
      <c r="C698">
        <f>IF($E698="","",INDEX('Input Transaksi'!$E:$E,$E698))</f>
        <v/>
      </c>
      <c r="D698" s="5">
        <f>IF($E698="","",INDEX('Input Transaksi'!$F:$F,$E698))</f>
        <v/>
      </c>
      <c r="E698">
        <f>IFERROR(AGGREGATE(15,6,ROW('Input Transaksi'!$B$5:$B$5000)/('Input Transaksi'!$B$5:$B$5000="LONDRI DEWE ANTASURA"),ROWS($E$5:E698)),"")</f>
        <v/>
      </c>
      <c r="F698" s="5" t="n"/>
    </row>
    <row r="699">
      <c r="A699" s="10">
        <f>IF($E699="","",INDEX('Input Transaksi'!$A:$A,$E699))</f>
        <v/>
      </c>
      <c r="B699" s="5">
        <f>IF($E699="","",INDEX('Input Transaksi'!$D:$D,$E699))</f>
        <v/>
      </c>
      <c r="C699">
        <f>IF($E699="","",INDEX('Input Transaksi'!$E:$E,$E699))</f>
        <v/>
      </c>
      <c r="D699" s="5">
        <f>IF($E699="","",INDEX('Input Transaksi'!$F:$F,$E699))</f>
        <v/>
      </c>
      <c r="E699">
        <f>IFERROR(AGGREGATE(15,6,ROW('Input Transaksi'!$B$5:$B$5000)/('Input Transaksi'!$B$5:$B$5000="LONDRI DEWE ANTASURA"),ROWS($E$5:E699)),"")</f>
        <v/>
      </c>
      <c r="F699" s="5" t="n"/>
    </row>
    <row r="700">
      <c r="A700" s="10">
        <f>IF($E700="","",INDEX('Input Transaksi'!$A:$A,$E700))</f>
        <v/>
      </c>
      <c r="B700" s="5">
        <f>IF($E700="","",INDEX('Input Transaksi'!$D:$D,$E700))</f>
        <v/>
      </c>
      <c r="C700">
        <f>IF($E700="","",INDEX('Input Transaksi'!$E:$E,$E700))</f>
        <v/>
      </c>
      <c r="D700" s="5">
        <f>IF($E700="","",INDEX('Input Transaksi'!$F:$F,$E700))</f>
        <v/>
      </c>
      <c r="E700">
        <f>IFERROR(AGGREGATE(15,6,ROW('Input Transaksi'!$B$5:$B$5000)/('Input Transaksi'!$B$5:$B$5000="LONDRI DEWE ANTASURA"),ROWS($E$5:E700)),"")</f>
        <v/>
      </c>
      <c r="F700" s="5" t="n"/>
    </row>
    <row r="701">
      <c r="A701" s="10">
        <f>IF($E701="","",INDEX('Input Transaksi'!$A:$A,$E701))</f>
        <v/>
      </c>
      <c r="B701" s="5">
        <f>IF($E701="","",INDEX('Input Transaksi'!$D:$D,$E701))</f>
        <v/>
      </c>
      <c r="C701">
        <f>IF($E701="","",INDEX('Input Transaksi'!$E:$E,$E701))</f>
        <v/>
      </c>
      <c r="D701" s="5">
        <f>IF($E701="","",INDEX('Input Transaksi'!$F:$F,$E701))</f>
        <v/>
      </c>
      <c r="E701">
        <f>IFERROR(AGGREGATE(15,6,ROW('Input Transaksi'!$B$5:$B$5000)/('Input Transaksi'!$B$5:$B$5000="LONDRI DEWE ANTASURA"),ROWS($E$5:E701)),"")</f>
        <v/>
      </c>
      <c r="F701" s="5" t="n"/>
    </row>
    <row r="702">
      <c r="A702" s="10">
        <f>IF($E702="","",INDEX('Input Transaksi'!$A:$A,$E702))</f>
        <v/>
      </c>
      <c r="B702" s="5">
        <f>IF($E702="","",INDEX('Input Transaksi'!$D:$D,$E702))</f>
        <v/>
      </c>
      <c r="C702">
        <f>IF($E702="","",INDEX('Input Transaksi'!$E:$E,$E702))</f>
        <v/>
      </c>
      <c r="D702" s="5">
        <f>IF($E702="","",INDEX('Input Transaksi'!$F:$F,$E702))</f>
        <v/>
      </c>
      <c r="E702">
        <f>IFERROR(AGGREGATE(15,6,ROW('Input Transaksi'!$B$5:$B$5000)/('Input Transaksi'!$B$5:$B$5000="LONDRI DEWE ANTASURA"),ROWS($E$5:E702)),"")</f>
        <v/>
      </c>
      <c r="F702" s="5" t="n"/>
    </row>
    <row r="703">
      <c r="A703" s="10">
        <f>IF($E703="","",INDEX('Input Transaksi'!$A:$A,$E703))</f>
        <v/>
      </c>
      <c r="B703" s="5">
        <f>IF($E703="","",INDEX('Input Transaksi'!$D:$D,$E703))</f>
        <v/>
      </c>
      <c r="C703">
        <f>IF($E703="","",INDEX('Input Transaksi'!$E:$E,$E703))</f>
        <v/>
      </c>
      <c r="D703" s="5">
        <f>IF($E703="","",INDEX('Input Transaksi'!$F:$F,$E703))</f>
        <v/>
      </c>
      <c r="E703">
        <f>IFERROR(AGGREGATE(15,6,ROW('Input Transaksi'!$B$5:$B$5000)/('Input Transaksi'!$B$5:$B$5000="LONDRI DEWE ANTASURA"),ROWS($E$5:E703)),"")</f>
        <v/>
      </c>
      <c r="F703" s="5" t="n"/>
    </row>
    <row r="704">
      <c r="A704" s="10">
        <f>IF($E704="","",INDEX('Input Transaksi'!$A:$A,$E704))</f>
        <v/>
      </c>
      <c r="B704" s="5">
        <f>IF($E704="","",INDEX('Input Transaksi'!$D:$D,$E704))</f>
        <v/>
      </c>
      <c r="C704">
        <f>IF($E704="","",INDEX('Input Transaksi'!$E:$E,$E704))</f>
        <v/>
      </c>
      <c r="D704" s="5">
        <f>IF($E704="","",INDEX('Input Transaksi'!$F:$F,$E704))</f>
        <v/>
      </c>
      <c r="E704">
        <f>IFERROR(AGGREGATE(15,6,ROW('Input Transaksi'!$B$5:$B$5000)/('Input Transaksi'!$B$5:$B$5000="LONDRI DEWE ANTASURA"),ROWS($E$5:E704)),"")</f>
        <v/>
      </c>
      <c r="F704" s="5" t="n"/>
    </row>
    <row r="705">
      <c r="A705" s="10">
        <f>IF($E705="","",INDEX('Input Transaksi'!$A:$A,$E705))</f>
        <v/>
      </c>
      <c r="B705" s="5">
        <f>IF($E705="","",INDEX('Input Transaksi'!$D:$D,$E705))</f>
        <v/>
      </c>
      <c r="C705">
        <f>IF($E705="","",INDEX('Input Transaksi'!$E:$E,$E705))</f>
        <v/>
      </c>
      <c r="D705" s="5">
        <f>IF($E705="","",INDEX('Input Transaksi'!$F:$F,$E705))</f>
        <v/>
      </c>
      <c r="E705">
        <f>IFERROR(AGGREGATE(15,6,ROW('Input Transaksi'!$B$5:$B$5000)/('Input Transaksi'!$B$5:$B$5000="LONDRI DEWE ANTASURA"),ROWS($E$5:E705)),"")</f>
        <v/>
      </c>
      <c r="F705" s="5" t="n"/>
    </row>
    <row r="706">
      <c r="A706" s="10">
        <f>IF($E706="","",INDEX('Input Transaksi'!$A:$A,$E706))</f>
        <v/>
      </c>
      <c r="B706" s="5">
        <f>IF($E706="","",INDEX('Input Transaksi'!$D:$D,$E706))</f>
        <v/>
      </c>
      <c r="C706">
        <f>IF($E706="","",INDEX('Input Transaksi'!$E:$E,$E706))</f>
        <v/>
      </c>
      <c r="D706" s="5">
        <f>IF($E706="","",INDEX('Input Transaksi'!$F:$F,$E706))</f>
        <v/>
      </c>
      <c r="E706">
        <f>IFERROR(AGGREGATE(15,6,ROW('Input Transaksi'!$B$5:$B$5000)/('Input Transaksi'!$B$5:$B$5000="LONDRI DEWE ANTASURA"),ROWS($E$5:E706)),"")</f>
        <v/>
      </c>
      <c r="F706" s="5" t="n"/>
    </row>
    <row r="707">
      <c r="A707" s="10">
        <f>IF($E707="","",INDEX('Input Transaksi'!$A:$A,$E707))</f>
        <v/>
      </c>
      <c r="B707" s="5">
        <f>IF($E707="","",INDEX('Input Transaksi'!$D:$D,$E707))</f>
        <v/>
      </c>
      <c r="C707">
        <f>IF($E707="","",INDEX('Input Transaksi'!$E:$E,$E707))</f>
        <v/>
      </c>
      <c r="D707" s="5">
        <f>IF($E707="","",INDEX('Input Transaksi'!$F:$F,$E707))</f>
        <v/>
      </c>
      <c r="E707">
        <f>IFERROR(AGGREGATE(15,6,ROW('Input Transaksi'!$B$5:$B$5000)/('Input Transaksi'!$B$5:$B$5000="LONDRI DEWE ANTASURA"),ROWS($E$5:E707)),"")</f>
        <v/>
      </c>
      <c r="F707" s="5" t="n"/>
    </row>
    <row r="708">
      <c r="A708" s="10">
        <f>IF($E708="","",INDEX('Input Transaksi'!$A:$A,$E708))</f>
        <v/>
      </c>
      <c r="B708" s="5">
        <f>IF($E708="","",INDEX('Input Transaksi'!$D:$D,$E708))</f>
        <v/>
      </c>
      <c r="C708">
        <f>IF($E708="","",INDEX('Input Transaksi'!$E:$E,$E708))</f>
        <v/>
      </c>
      <c r="D708" s="5">
        <f>IF($E708="","",INDEX('Input Transaksi'!$F:$F,$E708))</f>
        <v/>
      </c>
      <c r="E708">
        <f>IFERROR(AGGREGATE(15,6,ROW('Input Transaksi'!$B$5:$B$5000)/('Input Transaksi'!$B$5:$B$5000="LONDRI DEWE ANTASURA"),ROWS($E$5:E708)),"")</f>
        <v/>
      </c>
      <c r="F708" s="5" t="n"/>
    </row>
    <row r="709">
      <c r="A709" s="10">
        <f>IF($E709="","",INDEX('Input Transaksi'!$A:$A,$E709))</f>
        <v/>
      </c>
      <c r="B709" s="5">
        <f>IF($E709="","",INDEX('Input Transaksi'!$D:$D,$E709))</f>
        <v/>
      </c>
      <c r="C709">
        <f>IF($E709="","",INDEX('Input Transaksi'!$E:$E,$E709))</f>
        <v/>
      </c>
      <c r="D709" s="5">
        <f>IF($E709="","",INDEX('Input Transaksi'!$F:$F,$E709))</f>
        <v/>
      </c>
      <c r="E709">
        <f>IFERROR(AGGREGATE(15,6,ROW('Input Transaksi'!$B$5:$B$5000)/('Input Transaksi'!$B$5:$B$5000="LONDRI DEWE ANTASURA"),ROWS($E$5:E709)),"")</f>
        <v/>
      </c>
      <c r="F709" s="5" t="n"/>
    </row>
    <row r="710">
      <c r="A710" s="10">
        <f>IF($E710="","",INDEX('Input Transaksi'!$A:$A,$E710))</f>
        <v/>
      </c>
      <c r="B710" s="5">
        <f>IF($E710="","",INDEX('Input Transaksi'!$D:$D,$E710))</f>
        <v/>
      </c>
      <c r="C710">
        <f>IF($E710="","",INDEX('Input Transaksi'!$E:$E,$E710))</f>
        <v/>
      </c>
      <c r="D710" s="5">
        <f>IF($E710="","",INDEX('Input Transaksi'!$F:$F,$E710))</f>
        <v/>
      </c>
      <c r="E710">
        <f>IFERROR(AGGREGATE(15,6,ROW('Input Transaksi'!$B$5:$B$5000)/('Input Transaksi'!$B$5:$B$5000="LONDRI DEWE ANTASURA"),ROWS($E$5:E710)),"")</f>
        <v/>
      </c>
      <c r="F710" s="5" t="n"/>
    </row>
    <row r="711">
      <c r="A711" s="10">
        <f>IF($E711="","",INDEX('Input Transaksi'!$A:$A,$E711))</f>
        <v/>
      </c>
      <c r="B711" s="5">
        <f>IF($E711="","",INDEX('Input Transaksi'!$D:$D,$E711))</f>
        <v/>
      </c>
      <c r="C711">
        <f>IF($E711="","",INDEX('Input Transaksi'!$E:$E,$E711))</f>
        <v/>
      </c>
      <c r="D711" s="5">
        <f>IF($E711="","",INDEX('Input Transaksi'!$F:$F,$E711))</f>
        <v/>
      </c>
      <c r="E711">
        <f>IFERROR(AGGREGATE(15,6,ROW('Input Transaksi'!$B$5:$B$5000)/('Input Transaksi'!$B$5:$B$5000="LONDRI DEWE ANTASURA"),ROWS($E$5:E711)),"")</f>
        <v/>
      </c>
      <c r="F711" s="5" t="n"/>
    </row>
    <row r="712">
      <c r="A712" s="10">
        <f>IF($E712="","",INDEX('Input Transaksi'!$A:$A,$E712))</f>
        <v/>
      </c>
      <c r="B712" s="5">
        <f>IF($E712="","",INDEX('Input Transaksi'!$D:$D,$E712))</f>
        <v/>
      </c>
      <c r="C712">
        <f>IF($E712="","",INDEX('Input Transaksi'!$E:$E,$E712))</f>
        <v/>
      </c>
      <c r="D712" s="5">
        <f>IF($E712="","",INDEX('Input Transaksi'!$F:$F,$E712))</f>
        <v/>
      </c>
      <c r="E712">
        <f>IFERROR(AGGREGATE(15,6,ROW('Input Transaksi'!$B$5:$B$5000)/('Input Transaksi'!$B$5:$B$5000="LONDRI DEWE ANTASURA"),ROWS($E$5:E712)),"")</f>
        <v/>
      </c>
      <c r="F712" s="5" t="n"/>
    </row>
    <row r="713">
      <c r="A713" s="10">
        <f>IF($E713="","",INDEX('Input Transaksi'!$A:$A,$E713))</f>
        <v/>
      </c>
      <c r="B713" s="5">
        <f>IF($E713="","",INDEX('Input Transaksi'!$D:$D,$E713))</f>
        <v/>
      </c>
      <c r="C713">
        <f>IF($E713="","",INDEX('Input Transaksi'!$E:$E,$E713))</f>
        <v/>
      </c>
      <c r="D713" s="5">
        <f>IF($E713="","",INDEX('Input Transaksi'!$F:$F,$E713))</f>
        <v/>
      </c>
      <c r="E713">
        <f>IFERROR(AGGREGATE(15,6,ROW('Input Transaksi'!$B$5:$B$5000)/('Input Transaksi'!$B$5:$B$5000="LONDRI DEWE ANTASURA"),ROWS($E$5:E713)),"")</f>
        <v/>
      </c>
      <c r="F713" s="5" t="n"/>
    </row>
    <row r="714">
      <c r="A714" s="10">
        <f>IF($E714="","",INDEX('Input Transaksi'!$A:$A,$E714))</f>
        <v/>
      </c>
      <c r="B714" s="5">
        <f>IF($E714="","",INDEX('Input Transaksi'!$D:$D,$E714))</f>
        <v/>
      </c>
      <c r="C714">
        <f>IF($E714="","",INDEX('Input Transaksi'!$E:$E,$E714))</f>
        <v/>
      </c>
      <c r="D714" s="5">
        <f>IF($E714="","",INDEX('Input Transaksi'!$F:$F,$E714))</f>
        <v/>
      </c>
      <c r="E714">
        <f>IFERROR(AGGREGATE(15,6,ROW('Input Transaksi'!$B$5:$B$5000)/('Input Transaksi'!$B$5:$B$5000="LONDRI DEWE ANTASURA"),ROWS($E$5:E714)),"")</f>
        <v/>
      </c>
      <c r="F714" s="5" t="n"/>
    </row>
    <row r="715">
      <c r="A715" s="10">
        <f>IF($E715="","",INDEX('Input Transaksi'!$A:$A,$E715))</f>
        <v/>
      </c>
      <c r="B715" s="5">
        <f>IF($E715="","",INDEX('Input Transaksi'!$D:$D,$E715))</f>
        <v/>
      </c>
      <c r="C715">
        <f>IF($E715="","",INDEX('Input Transaksi'!$E:$E,$E715))</f>
        <v/>
      </c>
      <c r="D715" s="5">
        <f>IF($E715="","",INDEX('Input Transaksi'!$F:$F,$E715))</f>
        <v/>
      </c>
      <c r="E715">
        <f>IFERROR(AGGREGATE(15,6,ROW('Input Transaksi'!$B$5:$B$5000)/('Input Transaksi'!$B$5:$B$5000="LONDRI DEWE ANTASURA"),ROWS($E$5:E715)),"")</f>
        <v/>
      </c>
      <c r="F715" s="5" t="n"/>
    </row>
    <row r="716">
      <c r="A716" s="10">
        <f>IF($E716="","",INDEX('Input Transaksi'!$A:$A,$E716))</f>
        <v/>
      </c>
      <c r="B716" s="5">
        <f>IF($E716="","",INDEX('Input Transaksi'!$D:$D,$E716))</f>
        <v/>
      </c>
      <c r="C716">
        <f>IF($E716="","",INDEX('Input Transaksi'!$E:$E,$E716))</f>
        <v/>
      </c>
      <c r="D716" s="5">
        <f>IF($E716="","",INDEX('Input Transaksi'!$F:$F,$E716))</f>
        <v/>
      </c>
      <c r="E716">
        <f>IFERROR(AGGREGATE(15,6,ROW('Input Transaksi'!$B$5:$B$5000)/('Input Transaksi'!$B$5:$B$5000="LONDRI DEWE ANTASURA"),ROWS($E$5:E716)),"")</f>
        <v/>
      </c>
      <c r="F716" s="5" t="n"/>
    </row>
    <row r="717">
      <c r="A717" s="10">
        <f>IF($E717="","",INDEX('Input Transaksi'!$A:$A,$E717))</f>
        <v/>
      </c>
      <c r="B717" s="5">
        <f>IF($E717="","",INDEX('Input Transaksi'!$D:$D,$E717))</f>
        <v/>
      </c>
      <c r="C717">
        <f>IF($E717="","",INDEX('Input Transaksi'!$E:$E,$E717))</f>
        <v/>
      </c>
      <c r="D717" s="5">
        <f>IF($E717="","",INDEX('Input Transaksi'!$F:$F,$E717))</f>
        <v/>
      </c>
      <c r="E717">
        <f>IFERROR(AGGREGATE(15,6,ROW('Input Transaksi'!$B$5:$B$5000)/('Input Transaksi'!$B$5:$B$5000="LONDRI DEWE ANTASURA"),ROWS($E$5:E717)),"")</f>
        <v/>
      </c>
      <c r="F717" s="5" t="n"/>
    </row>
    <row r="718">
      <c r="A718" s="10">
        <f>IF($E718="","",INDEX('Input Transaksi'!$A:$A,$E718))</f>
        <v/>
      </c>
      <c r="B718" s="5">
        <f>IF($E718="","",INDEX('Input Transaksi'!$D:$D,$E718))</f>
        <v/>
      </c>
      <c r="C718">
        <f>IF($E718="","",INDEX('Input Transaksi'!$E:$E,$E718))</f>
        <v/>
      </c>
      <c r="D718" s="5">
        <f>IF($E718="","",INDEX('Input Transaksi'!$F:$F,$E718))</f>
        <v/>
      </c>
      <c r="E718">
        <f>IFERROR(AGGREGATE(15,6,ROW('Input Transaksi'!$B$5:$B$5000)/('Input Transaksi'!$B$5:$B$5000="LONDRI DEWE ANTASURA"),ROWS($E$5:E718)),"")</f>
        <v/>
      </c>
      <c r="F718" s="5" t="n"/>
    </row>
    <row r="719">
      <c r="A719" s="10">
        <f>IF($E719="","",INDEX('Input Transaksi'!$A:$A,$E719))</f>
        <v/>
      </c>
      <c r="B719" s="5">
        <f>IF($E719="","",INDEX('Input Transaksi'!$D:$D,$E719))</f>
        <v/>
      </c>
      <c r="C719">
        <f>IF($E719="","",INDEX('Input Transaksi'!$E:$E,$E719))</f>
        <v/>
      </c>
      <c r="D719" s="5">
        <f>IF($E719="","",INDEX('Input Transaksi'!$F:$F,$E719))</f>
        <v/>
      </c>
      <c r="E719">
        <f>IFERROR(AGGREGATE(15,6,ROW('Input Transaksi'!$B$5:$B$5000)/('Input Transaksi'!$B$5:$B$5000="LONDRI DEWE ANTASURA"),ROWS($E$5:E719)),"")</f>
        <v/>
      </c>
      <c r="F719" s="5" t="n"/>
    </row>
    <row r="720">
      <c r="A720" s="10">
        <f>IF($E720="","",INDEX('Input Transaksi'!$A:$A,$E720))</f>
        <v/>
      </c>
      <c r="B720" s="5">
        <f>IF($E720="","",INDEX('Input Transaksi'!$D:$D,$E720))</f>
        <v/>
      </c>
      <c r="C720">
        <f>IF($E720="","",INDEX('Input Transaksi'!$E:$E,$E720))</f>
        <v/>
      </c>
      <c r="D720" s="5">
        <f>IF($E720="","",INDEX('Input Transaksi'!$F:$F,$E720))</f>
        <v/>
      </c>
      <c r="E720">
        <f>IFERROR(AGGREGATE(15,6,ROW('Input Transaksi'!$B$5:$B$5000)/('Input Transaksi'!$B$5:$B$5000="LONDRI DEWE ANTASURA"),ROWS($E$5:E720)),"")</f>
        <v/>
      </c>
      <c r="F720" s="5" t="n"/>
    </row>
    <row r="721">
      <c r="A721" s="10">
        <f>IF($E721="","",INDEX('Input Transaksi'!$A:$A,$E721))</f>
        <v/>
      </c>
      <c r="B721" s="5">
        <f>IF($E721="","",INDEX('Input Transaksi'!$D:$D,$E721))</f>
        <v/>
      </c>
      <c r="C721">
        <f>IF($E721="","",INDEX('Input Transaksi'!$E:$E,$E721))</f>
        <v/>
      </c>
      <c r="D721" s="5">
        <f>IF($E721="","",INDEX('Input Transaksi'!$F:$F,$E721))</f>
        <v/>
      </c>
      <c r="E721">
        <f>IFERROR(AGGREGATE(15,6,ROW('Input Transaksi'!$B$5:$B$5000)/('Input Transaksi'!$B$5:$B$5000="LONDRI DEWE ANTASURA"),ROWS($E$5:E721)),"")</f>
        <v/>
      </c>
      <c r="F721" s="5" t="n"/>
    </row>
    <row r="722">
      <c r="A722" s="10">
        <f>IF($E722="","",INDEX('Input Transaksi'!$A:$A,$E722))</f>
        <v/>
      </c>
      <c r="B722" s="5">
        <f>IF($E722="","",INDEX('Input Transaksi'!$D:$D,$E722))</f>
        <v/>
      </c>
      <c r="C722">
        <f>IF($E722="","",INDEX('Input Transaksi'!$E:$E,$E722))</f>
        <v/>
      </c>
      <c r="D722" s="5">
        <f>IF($E722="","",INDEX('Input Transaksi'!$F:$F,$E722))</f>
        <v/>
      </c>
      <c r="E722">
        <f>IFERROR(AGGREGATE(15,6,ROW('Input Transaksi'!$B$5:$B$5000)/('Input Transaksi'!$B$5:$B$5000="LONDRI DEWE ANTASURA"),ROWS($E$5:E722)),"")</f>
        <v/>
      </c>
      <c r="F722" s="5" t="n"/>
    </row>
    <row r="723">
      <c r="A723" s="10">
        <f>IF($E723="","",INDEX('Input Transaksi'!$A:$A,$E723))</f>
        <v/>
      </c>
      <c r="B723" s="5">
        <f>IF($E723="","",INDEX('Input Transaksi'!$D:$D,$E723))</f>
        <v/>
      </c>
      <c r="C723">
        <f>IF($E723="","",INDEX('Input Transaksi'!$E:$E,$E723))</f>
        <v/>
      </c>
      <c r="D723" s="5">
        <f>IF($E723="","",INDEX('Input Transaksi'!$F:$F,$E723))</f>
        <v/>
      </c>
      <c r="E723">
        <f>IFERROR(AGGREGATE(15,6,ROW('Input Transaksi'!$B$5:$B$5000)/('Input Transaksi'!$B$5:$B$5000="LONDRI DEWE ANTASURA"),ROWS($E$5:E723)),"")</f>
        <v/>
      </c>
      <c r="F723" s="5" t="n"/>
    </row>
    <row r="724">
      <c r="A724" s="10">
        <f>IF($E724="","",INDEX('Input Transaksi'!$A:$A,$E724))</f>
        <v/>
      </c>
      <c r="B724" s="5">
        <f>IF($E724="","",INDEX('Input Transaksi'!$D:$D,$E724))</f>
        <v/>
      </c>
      <c r="C724">
        <f>IF($E724="","",INDEX('Input Transaksi'!$E:$E,$E724))</f>
        <v/>
      </c>
      <c r="D724" s="5">
        <f>IF($E724="","",INDEX('Input Transaksi'!$F:$F,$E724))</f>
        <v/>
      </c>
      <c r="E724">
        <f>IFERROR(AGGREGATE(15,6,ROW('Input Transaksi'!$B$5:$B$5000)/('Input Transaksi'!$B$5:$B$5000="LONDRI DEWE ANTASURA"),ROWS($E$5:E724)),"")</f>
        <v/>
      </c>
      <c r="F724" s="5" t="n"/>
    </row>
    <row r="725">
      <c r="A725" s="10">
        <f>IF($E725="","",INDEX('Input Transaksi'!$A:$A,$E725))</f>
        <v/>
      </c>
      <c r="B725" s="5">
        <f>IF($E725="","",INDEX('Input Transaksi'!$D:$D,$E725))</f>
        <v/>
      </c>
      <c r="C725">
        <f>IF($E725="","",INDEX('Input Transaksi'!$E:$E,$E725))</f>
        <v/>
      </c>
      <c r="D725" s="5">
        <f>IF($E725="","",INDEX('Input Transaksi'!$F:$F,$E725))</f>
        <v/>
      </c>
      <c r="E725">
        <f>IFERROR(AGGREGATE(15,6,ROW('Input Transaksi'!$B$5:$B$5000)/('Input Transaksi'!$B$5:$B$5000="LONDRI DEWE ANTASURA"),ROWS($E$5:E725)),"")</f>
        <v/>
      </c>
      <c r="F725" s="5" t="n"/>
    </row>
    <row r="726">
      <c r="A726" s="10">
        <f>IF($E726="","",INDEX('Input Transaksi'!$A:$A,$E726))</f>
        <v/>
      </c>
      <c r="B726" s="5">
        <f>IF($E726="","",INDEX('Input Transaksi'!$D:$D,$E726))</f>
        <v/>
      </c>
      <c r="C726">
        <f>IF($E726="","",INDEX('Input Transaksi'!$E:$E,$E726))</f>
        <v/>
      </c>
      <c r="D726" s="5">
        <f>IF($E726="","",INDEX('Input Transaksi'!$F:$F,$E726))</f>
        <v/>
      </c>
      <c r="E726">
        <f>IFERROR(AGGREGATE(15,6,ROW('Input Transaksi'!$B$5:$B$5000)/('Input Transaksi'!$B$5:$B$5000="LONDRI DEWE ANTASURA"),ROWS($E$5:E726)),"")</f>
        <v/>
      </c>
      <c r="F726" s="5" t="n"/>
    </row>
    <row r="727">
      <c r="A727" s="10">
        <f>IF($E727="","",INDEX('Input Transaksi'!$A:$A,$E727))</f>
        <v/>
      </c>
      <c r="B727" s="5">
        <f>IF($E727="","",INDEX('Input Transaksi'!$D:$D,$E727))</f>
        <v/>
      </c>
      <c r="C727">
        <f>IF($E727="","",INDEX('Input Transaksi'!$E:$E,$E727))</f>
        <v/>
      </c>
      <c r="D727" s="5">
        <f>IF($E727="","",INDEX('Input Transaksi'!$F:$F,$E727))</f>
        <v/>
      </c>
      <c r="E727">
        <f>IFERROR(AGGREGATE(15,6,ROW('Input Transaksi'!$B$5:$B$5000)/('Input Transaksi'!$B$5:$B$5000="LONDRI DEWE ANTASURA"),ROWS($E$5:E727)),"")</f>
        <v/>
      </c>
      <c r="F727" s="5" t="n"/>
    </row>
    <row r="728">
      <c r="A728" s="10">
        <f>IF($E728="","",INDEX('Input Transaksi'!$A:$A,$E728))</f>
        <v/>
      </c>
      <c r="B728" s="5">
        <f>IF($E728="","",INDEX('Input Transaksi'!$D:$D,$E728))</f>
        <v/>
      </c>
      <c r="C728">
        <f>IF($E728="","",INDEX('Input Transaksi'!$E:$E,$E728))</f>
        <v/>
      </c>
      <c r="D728" s="5">
        <f>IF($E728="","",INDEX('Input Transaksi'!$F:$F,$E728))</f>
        <v/>
      </c>
      <c r="E728">
        <f>IFERROR(AGGREGATE(15,6,ROW('Input Transaksi'!$B$5:$B$5000)/('Input Transaksi'!$B$5:$B$5000="LONDRI DEWE ANTASURA"),ROWS($E$5:E728)),"")</f>
        <v/>
      </c>
      <c r="F728" s="5" t="n"/>
    </row>
    <row r="729">
      <c r="A729" s="10">
        <f>IF($E729="","",INDEX('Input Transaksi'!$A:$A,$E729))</f>
        <v/>
      </c>
      <c r="B729" s="5">
        <f>IF($E729="","",INDEX('Input Transaksi'!$D:$D,$E729))</f>
        <v/>
      </c>
      <c r="C729">
        <f>IF($E729="","",INDEX('Input Transaksi'!$E:$E,$E729))</f>
        <v/>
      </c>
      <c r="D729" s="5">
        <f>IF($E729="","",INDEX('Input Transaksi'!$F:$F,$E729))</f>
        <v/>
      </c>
      <c r="E729">
        <f>IFERROR(AGGREGATE(15,6,ROW('Input Transaksi'!$B$5:$B$5000)/('Input Transaksi'!$B$5:$B$5000="LONDRI DEWE ANTASURA"),ROWS($E$5:E729)),"")</f>
        <v/>
      </c>
      <c r="F729" s="5" t="n"/>
    </row>
    <row r="730">
      <c r="A730" s="10">
        <f>IF($E730="","",INDEX('Input Transaksi'!$A:$A,$E730))</f>
        <v/>
      </c>
      <c r="B730" s="5">
        <f>IF($E730="","",INDEX('Input Transaksi'!$D:$D,$E730))</f>
        <v/>
      </c>
      <c r="C730">
        <f>IF($E730="","",INDEX('Input Transaksi'!$E:$E,$E730))</f>
        <v/>
      </c>
      <c r="D730" s="5">
        <f>IF($E730="","",INDEX('Input Transaksi'!$F:$F,$E730))</f>
        <v/>
      </c>
      <c r="E730">
        <f>IFERROR(AGGREGATE(15,6,ROW('Input Transaksi'!$B$5:$B$5000)/('Input Transaksi'!$B$5:$B$5000="LONDRI DEWE ANTASURA"),ROWS($E$5:E730)),"")</f>
        <v/>
      </c>
      <c r="F730" s="5" t="n"/>
    </row>
    <row r="731">
      <c r="A731" s="10">
        <f>IF($E731="","",INDEX('Input Transaksi'!$A:$A,$E731))</f>
        <v/>
      </c>
      <c r="B731" s="5">
        <f>IF($E731="","",INDEX('Input Transaksi'!$D:$D,$E731))</f>
        <v/>
      </c>
      <c r="C731">
        <f>IF($E731="","",INDEX('Input Transaksi'!$E:$E,$E731))</f>
        <v/>
      </c>
      <c r="D731" s="5">
        <f>IF($E731="","",INDEX('Input Transaksi'!$F:$F,$E731))</f>
        <v/>
      </c>
      <c r="E731">
        <f>IFERROR(AGGREGATE(15,6,ROW('Input Transaksi'!$B$5:$B$5000)/('Input Transaksi'!$B$5:$B$5000="LONDRI DEWE ANTASURA"),ROWS($E$5:E731)),"")</f>
        <v/>
      </c>
      <c r="F731" s="5" t="n"/>
    </row>
    <row r="732">
      <c r="A732" s="10">
        <f>IF($E732="","",INDEX('Input Transaksi'!$A:$A,$E732))</f>
        <v/>
      </c>
      <c r="B732" s="5">
        <f>IF($E732="","",INDEX('Input Transaksi'!$D:$D,$E732))</f>
        <v/>
      </c>
      <c r="C732">
        <f>IF($E732="","",INDEX('Input Transaksi'!$E:$E,$E732))</f>
        <v/>
      </c>
      <c r="D732" s="5">
        <f>IF($E732="","",INDEX('Input Transaksi'!$F:$F,$E732))</f>
        <v/>
      </c>
      <c r="E732">
        <f>IFERROR(AGGREGATE(15,6,ROW('Input Transaksi'!$B$5:$B$5000)/('Input Transaksi'!$B$5:$B$5000="LONDRI DEWE ANTASURA"),ROWS($E$5:E732)),"")</f>
        <v/>
      </c>
      <c r="F732" s="5" t="n"/>
    </row>
    <row r="733">
      <c r="A733" s="10">
        <f>IF($E733="","",INDEX('Input Transaksi'!$A:$A,$E733))</f>
        <v/>
      </c>
      <c r="B733" s="5">
        <f>IF($E733="","",INDEX('Input Transaksi'!$D:$D,$E733))</f>
        <v/>
      </c>
      <c r="C733">
        <f>IF($E733="","",INDEX('Input Transaksi'!$E:$E,$E733))</f>
        <v/>
      </c>
      <c r="D733" s="5">
        <f>IF($E733="","",INDEX('Input Transaksi'!$F:$F,$E733))</f>
        <v/>
      </c>
      <c r="E733">
        <f>IFERROR(AGGREGATE(15,6,ROW('Input Transaksi'!$B$5:$B$5000)/('Input Transaksi'!$B$5:$B$5000="LONDRI DEWE ANTASURA"),ROWS($E$5:E733)),"")</f>
        <v/>
      </c>
      <c r="F733" s="5" t="n"/>
    </row>
    <row r="734">
      <c r="A734" s="10">
        <f>IF($E734="","",INDEX('Input Transaksi'!$A:$A,$E734))</f>
        <v/>
      </c>
      <c r="B734" s="5">
        <f>IF($E734="","",INDEX('Input Transaksi'!$D:$D,$E734))</f>
        <v/>
      </c>
      <c r="C734">
        <f>IF($E734="","",INDEX('Input Transaksi'!$E:$E,$E734))</f>
        <v/>
      </c>
      <c r="D734" s="5">
        <f>IF($E734="","",INDEX('Input Transaksi'!$F:$F,$E734))</f>
        <v/>
      </c>
      <c r="E734">
        <f>IFERROR(AGGREGATE(15,6,ROW('Input Transaksi'!$B$5:$B$5000)/('Input Transaksi'!$B$5:$B$5000="LONDRI DEWE ANTASURA"),ROWS($E$5:E734)),"")</f>
        <v/>
      </c>
      <c r="F734" s="5" t="n"/>
    </row>
    <row r="735">
      <c r="A735" s="10">
        <f>IF($E735="","",INDEX('Input Transaksi'!$A:$A,$E735))</f>
        <v/>
      </c>
      <c r="B735" s="5">
        <f>IF($E735="","",INDEX('Input Transaksi'!$D:$D,$E735))</f>
        <v/>
      </c>
      <c r="C735">
        <f>IF($E735="","",INDEX('Input Transaksi'!$E:$E,$E735))</f>
        <v/>
      </c>
      <c r="D735" s="5">
        <f>IF($E735="","",INDEX('Input Transaksi'!$F:$F,$E735))</f>
        <v/>
      </c>
      <c r="E735">
        <f>IFERROR(AGGREGATE(15,6,ROW('Input Transaksi'!$B$5:$B$5000)/('Input Transaksi'!$B$5:$B$5000="LONDRI DEWE ANTASURA"),ROWS($E$5:E735)),"")</f>
        <v/>
      </c>
      <c r="F735" s="5" t="n"/>
    </row>
    <row r="736">
      <c r="A736" s="10">
        <f>IF($E736="","",INDEX('Input Transaksi'!$A:$A,$E736))</f>
        <v/>
      </c>
      <c r="B736" s="5">
        <f>IF($E736="","",INDEX('Input Transaksi'!$D:$D,$E736))</f>
        <v/>
      </c>
      <c r="C736">
        <f>IF($E736="","",INDEX('Input Transaksi'!$E:$E,$E736))</f>
        <v/>
      </c>
      <c r="D736" s="5">
        <f>IF($E736="","",INDEX('Input Transaksi'!$F:$F,$E736))</f>
        <v/>
      </c>
      <c r="E736">
        <f>IFERROR(AGGREGATE(15,6,ROW('Input Transaksi'!$B$5:$B$5000)/('Input Transaksi'!$B$5:$B$5000="LONDRI DEWE ANTASURA"),ROWS($E$5:E736)),"")</f>
        <v/>
      </c>
      <c r="F736" s="5" t="n"/>
    </row>
    <row r="737">
      <c r="A737" s="10">
        <f>IF($E737="","",INDEX('Input Transaksi'!$A:$A,$E737))</f>
        <v/>
      </c>
      <c r="B737" s="5">
        <f>IF($E737="","",INDEX('Input Transaksi'!$D:$D,$E737))</f>
        <v/>
      </c>
      <c r="C737">
        <f>IF($E737="","",INDEX('Input Transaksi'!$E:$E,$E737))</f>
        <v/>
      </c>
      <c r="D737" s="5">
        <f>IF($E737="","",INDEX('Input Transaksi'!$F:$F,$E737))</f>
        <v/>
      </c>
      <c r="E737">
        <f>IFERROR(AGGREGATE(15,6,ROW('Input Transaksi'!$B$5:$B$5000)/('Input Transaksi'!$B$5:$B$5000="LONDRI DEWE ANTASURA"),ROWS($E$5:E737)),"")</f>
        <v/>
      </c>
      <c r="F737" s="5" t="n"/>
    </row>
    <row r="738">
      <c r="A738" s="10">
        <f>IF($E738="","",INDEX('Input Transaksi'!$A:$A,$E738))</f>
        <v/>
      </c>
      <c r="B738" s="5">
        <f>IF($E738="","",INDEX('Input Transaksi'!$D:$D,$E738))</f>
        <v/>
      </c>
      <c r="C738">
        <f>IF($E738="","",INDEX('Input Transaksi'!$E:$E,$E738))</f>
        <v/>
      </c>
      <c r="D738" s="5">
        <f>IF($E738="","",INDEX('Input Transaksi'!$F:$F,$E738))</f>
        <v/>
      </c>
      <c r="E738">
        <f>IFERROR(AGGREGATE(15,6,ROW('Input Transaksi'!$B$5:$B$5000)/('Input Transaksi'!$B$5:$B$5000="LONDRI DEWE ANTASURA"),ROWS($E$5:E738)),"")</f>
        <v/>
      </c>
      <c r="F738" s="5" t="n"/>
    </row>
    <row r="739">
      <c r="A739" s="10">
        <f>IF($E739="","",INDEX('Input Transaksi'!$A:$A,$E739))</f>
        <v/>
      </c>
      <c r="B739" s="5">
        <f>IF($E739="","",INDEX('Input Transaksi'!$D:$D,$E739))</f>
        <v/>
      </c>
      <c r="C739">
        <f>IF($E739="","",INDEX('Input Transaksi'!$E:$E,$E739))</f>
        <v/>
      </c>
      <c r="D739" s="5">
        <f>IF($E739="","",INDEX('Input Transaksi'!$F:$F,$E739))</f>
        <v/>
      </c>
      <c r="E739">
        <f>IFERROR(AGGREGATE(15,6,ROW('Input Transaksi'!$B$5:$B$5000)/('Input Transaksi'!$B$5:$B$5000="LONDRI DEWE ANTASURA"),ROWS($E$5:E739)),"")</f>
        <v/>
      </c>
      <c r="F739" s="5" t="n"/>
    </row>
    <row r="740">
      <c r="A740" s="10">
        <f>IF($E740="","",INDEX('Input Transaksi'!$A:$A,$E740))</f>
        <v/>
      </c>
      <c r="B740" s="5">
        <f>IF($E740="","",INDEX('Input Transaksi'!$D:$D,$E740))</f>
        <v/>
      </c>
      <c r="C740">
        <f>IF($E740="","",INDEX('Input Transaksi'!$E:$E,$E740))</f>
        <v/>
      </c>
      <c r="D740" s="5">
        <f>IF($E740="","",INDEX('Input Transaksi'!$F:$F,$E740))</f>
        <v/>
      </c>
      <c r="E740">
        <f>IFERROR(AGGREGATE(15,6,ROW('Input Transaksi'!$B$5:$B$5000)/('Input Transaksi'!$B$5:$B$5000="LONDRI DEWE ANTASURA"),ROWS($E$5:E740)),"")</f>
        <v/>
      </c>
      <c r="F740" s="5" t="n"/>
    </row>
    <row r="741">
      <c r="A741" s="10">
        <f>IF($E741="","",INDEX('Input Transaksi'!$A:$A,$E741))</f>
        <v/>
      </c>
      <c r="B741" s="5">
        <f>IF($E741="","",INDEX('Input Transaksi'!$D:$D,$E741))</f>
        <v/>
      </c>
      <c r="C741">
        <f>IF($E741="","",INDEX('Input Transaksi'!$E:$E,$E741))</f>
        <v/>
      </c>
      <c r="D741" s="5">
        <f>IF($E741="","",INDEX('Input Transaksi'!$F:$F,$E741))</f>
        <v/>
      </c>
      <c r="E741">
        <f>IFERROR(AGGREGATE(15,6,ROW('Input Transaksi'!$B$5:$B$5000)/('Input Transaksi'!$B$5:$B$5000="LONDRI DEWE ANTASURA"),ROWS($E$5:E741)),"")</f>
        <v/>
      </c>
      <c r="F741" s="5" t="n"/>
    </row>
    <row r="742">
      <c r="A742" s="10">
        <f>IF($E742="","",INDEX('Input Transaksi'!$A:$A,$E742))</f>
        <v/>
      </c>
      <c r="B742" s="5">
        <f>IF($E742="","",INDEX('Input Transaksi'!$D:$D,$E742))</f>
        <v/>
      </c>
      <c r="C742">
        <f>IF($E742="","",INDEX('Input Transaksi'!$E:$E,$E742))</f>
        <v/>
      </c>
      <c r="D742" s="5">
        <f>IF($E742="","",INDEX('Input Transaksi'!$F:$F,$E742))</f>
        <v/>
      </c>
      <c r="E742">
        <f>IFERROR(AGGREGATE(15,6,ROW('Input Transaksi'!$B$5:$B$5000)/('Input Transaksi'!$B$5:$B$5000="LONDRI DEWE ANTASURA"),ROWS($E$5:E742)),"")</f>
        <v/>
      </c>
      <c r="F742" s="5" t="n"/>
    </row>
    <row r="743">
      <c r="A743" s="10">
        <f>IF($E743="","",INDEX('Input Transaksi'!$A:$A,$E743))</f>
        <v/>
      </c>
      <c r="B743" s="5">
        <f>IF($E743="","",INDEX('Input Transaksi'!$D:$D,$E743))</f>
        <v/>
      </c>
      <c r="C743">
        <f>IF($E743="","",INDEX('Input Transaksi'!$E:$E,$E743))</f>
        <v/>
      </c>
      <c r="D743" s="5">
        <f>IF($E743="","",INDEX('Input Transaksi'!$F:$F,$E743))</f>
        <v/>
      </c>
      <c r="E743">
        <f>IFERROR(AGGREGATE(15,6,ROW('Input Transaksi'!$B$5:$B$5000)/('Input Transaksi'!$B$5:$B$5000="LONDRI DEWE ANTASURA"),ROWS($E$5:E743)),"")</f>
        <v/>
      </c>
      <c r="F743" s="5" t="n"/>
    </row>
    <row r="744">
      <c r="A744" s="10">
        <f>IF($E744="","",INDEX('Input Transaksi'!$A:$A,$E744))</f>
        <v/>
      </c>
      <c r="B744" s="5">
        <f>IF($E744="","",INDEX('Input Transaksi'!$D:$D,$E744))</f>
        <v/>
      </c>
      <c r="C744">
        <f>IF($E744="","",INDEX('Input Transaksi'!$E:$E,$E744))</f>
        <v/>
      </c>
      <c r="D744" s="5">
        <f>IF($E744="","",INDEX('Input Transaksi'!$F:$F,$E744))</f>
        <v/>
      </c>
      <c r="E744">
        <f>IFERROR(AGGREGATE(15,6,ROW('Input Transaksi'!$B$5:$B$5000)/('Input Transaksi'!$B$5:$B$5000="LONDRI DEWE ANTASURA"),ROWS($E$5:E744)),"")</f>
        <v/>
      </c>
      <c r="F744" s="5" t="n"/>
    </row>
    <row r="745">
      <c r="A745" s="10">
        <f>IF($E745="","",INDEX('Input Transaksi'!$A:$A,$E745))</f>
        <v/>
      </c>
      <c r="B745" s="5">
        <f>IF($E745="","",INDEX('Input Transaksi'!$D:$D,$E745))</f>
        <v/>
      </c>
      <c r="C745">
        <f>IF($E745="","",INDEX('Input Transaksi'!$E:$E,$E745))</f>
        <v/>
      </c>
      <c r="D745" s="5">
        <f>IF($E745="","",INDEX('Input Transaksi'!$F:$F,$E745))</f>
        <v/>
      </c>
      <c r="E745">
        <f>IFERROR(AGGREGATE(15,6,ROW('Input Transaksi'!$B$5:$B$5000)/('Input Transaksi'!$B$5:$B$5000="LONDRI DEWE ANTASURA"),ROWS($E$5:E745)),"")</f>
        <v/>
      </c>
      <c r="F745" s="5" t="n"/>
    </row>
    <row r="746">
      <c r="A746" s="10">
        <f>IF($E746="","",INDEX('Input Transaksi'!$A:$A,$E746))</f>
        <v/>
      </c>
      <c r="B746" s="5">
        <f>IF($E746="","",INDEX('Input Transaksi'!$D:$D,$E746))</f>
        <v/>
      </c>
      <c r="C746">
        <f>IF($E746="","",INDEX('Input Transaksi'!$E:$E,$E746))</f>
        <v/>
      </c>
      <c r="D746" s="5">
        <f>IF($E746="","",INDEX('Input Transaksi'!$F:$F,$E746))</f>
        <v/>
      </c>
      <c r="E746">
        <f>IFERROR(AGGREGATE(15,6,ROW('Input Transaksi'!$B$5:$B$5000)/('Input Transaksi'!$B$5:$B$5000="LONDRI DEWE ANTASURA"),ROWS($E$5:E746)),"")</f>
        <v/>
      </c>
      <c r="F746" s="5" t="n"/>
    </row>
    <row r="747">
      <c r="A747" s="10">
        <f>IF($E747="","",INDEX('Input Transaksi'!$A:$A,$E747))</f>
        <v/>
      </c>
      <c r="B747" s="5">
        <f>IF($E747="","",INDEX('Input Transaksi'!$D:$D,$E747))</f>
        <v/>
      </c>
      <c r="C747">
        <f>IF($E747="","",INDEX('Input Transaksi'!$E:$E,$E747))</f>
        <v/>
      </c>
      <c r="D747" s="5">
        <f>IF($E747="","",INDEX('Input Transaksi'!$F:$F,$E747))</f>
        <v/>
      </c>
      <c r="E747">
        <f>IFERROR(AGGREGATE(15,6,ROW('Input Transaksi'!$B$5:$B$5000)/('Input Transaksi'!$B$5:$B$5000="LONDRI DEWE ANTASURA"),ROWS($E$5:E747)),"")</f>
        <v/>
      </c>
      <c r="F747" s="5" t="n"/>
    </row>
    <row r="748">
      <c r="A748" s="10">
        <f>IF($E748="","",INDEX('Input Transaksi'!$A:$A,$E748))</f>
        <v/>
      </c>
      <c r="B748" s="5">
        <f>IF($E748="","",INDEX('Input Transaksi'!$D:$D,$E748))</f>
        <v/>
      </c>
      <c r="C748">
        <f>IF($E748="","",INDEX('Input Transaksi'!$E:$E,$E748))</f>
        <v/>
      </c>
      <c r="D748" s="5">
        <f>IF($E748="","",INDEX('Input Transaksi'!$F:$F,$E748))</f>
        <v/>
      </c>
      <c r="E748">
        <f>IFERROR(AGGREGATE(15,6,ROW('Input Transaksi'!$B$5:$B$5000)/('Input Transaksi'!$B$5:$B$5000="LONDRI DEWE ANTASURA"),ROWS($E$5:E748)),"")</f>
        <v/>
      </c>
      <c r="F748" s="5" t="n"/>
    </row>
    <row r="749">
      <c r="A749" s="10">
        <f>IF($E749="","",INDEX('Input Transaksi'!$A:$A,$E749))</f>
        <v/>
      </c>
      <c r="B749" s="5">
        <f>IF($E749="","",INDEX('Input Transaksi'!$D:$D,$E749))</f>
        <v/>
      </c>
      <c r="C749">
        <f>IF($E749="","",INDEX('Input Transaksi'!$E:$E,$E749))</f>
        <v/>
      </c>
      <c r="D749" s="5">
        <f>IF($E749="","",INDEX('Input Transaksi'!$F:$F,$E749))</f>
        <v/>
      </c>
      <c r="E749">
        <f>IFERROR(AGGREGATE(15,6,ROW('Input Transaksi'!$B$5:$B$5000)/('Input Transaksi'!$B$5:$B$5000="LONDRI DEWE ANTASURA"),ROWS($E$5:E749)),"")</f>
        <v/>
      </c>
      <c r="F749" s="5" t="n"/>
    </row>
    <row r="750">
      <c r="A750" s="10">
        <f>IF($E750="","",INDEX('Input Transaksi'!$A:$A,$E750))</f>
        <v/>
      </c>
      <c r="B750" s="5">
        <f>IF($E750="","",INDEX('Input Transaksi'!$D:$D,$E750))</f>
        <v/>
      </c>
      <c r="C750">
        <f>IF($E750="","",INDEX('Input Transaksi'!$E:$E,$E750))</f>
        <v/>
      </c>
      <c r="D750" s="5">
        <f>IF($E750="","",INDEX('Input Transaksi'!$F:$F,$E750))</f>
        <v/>
      </c>
      <c r="E750">
        <f>IFERROR(AGGREGATE(15,6,ROW('Input Transaksi'!$B$5:$B$5000)/('Input Transaksi'!$B$5:$B$5000="LONDRI DEWE ANTASURA"),ROWS($E$5:E750)),"")</f>
        <v/>
      </c>
      <c r="F750" s="5" t="n"/>
    </row>
    <row r="751">
      <c r="A751" s="10">
        <f>IF($E751="","",INDEX('Input Transaksi'!$A:$A,$E751))</f>
        <v/>
      </c>
      <c r="B751" s="5">
        <f>IF($E751="","",INDEX('Input Transaksi'!$D:$D,$E751))</f>
        <v/>
      </c>
      <c r="C751">
        <f>IF($E751="","",INDEX('Input Transaksi'!$E:$E,$E751))</f>
        <v/>
      </c>
      <c r="D751" s="5">
        <f>IF($E751="","",INDEX('Input Transaksi'!$F:$F,$E751))</f>
        <v/>
      </c>
      <c r="E751">
        <f>IFERROR(AGGREGATE(15,6,ROW('Input Transaksi'!$B$5:$B$5000)/('Input Transaksi'!$B$5:$B$5000="LONDRI DEWE ANTASURA"),ROWS($E$5:E751)),"")</f>
        <v/>
      </c>
      <c r="F751" s="5" t="n"/>
    </row>
    <row r="752">
      <c r="A752" s="10">
        <f>IF($E752="","",INDEX('Input Transaksi'!$A:$A,$E752))</f>
        <v/>
      </c>
      <c r="B752" s="5">
        <f>IF($E752="","",INDEX('Input Transaksi'!$D:$D,$E752))</f>
        <v/>
      </c>
      <c r="C752">
        <f>IF($E752="","",INDEX('Input Transaksi'!$E:$E,$E752))</f>
        <v/>
      </c>
      <c r="D752" s="5">
        <f>IF($E752="","",INDEX('Input Transaksi'!$F:$F,$E752))</f>
        <v/>
      </c>
      <c r="E752">
        <f>IFERROR(AGGREGATE(15,6,ROW('Input Transaksi'!$B$5:$B$5000)/('Input Transaksi'!$B$5:$B$5000="LONDRI DEWE ANTASURA"),ROWS($E$5:E752)),"")</f>
        <v/>
      </c>
      <c r="F752" s="5" t="n"/>
    </row>
    <row r="753">
      <c r="A753" s="10">
        <f>IF($E753="","",INDEX('Input Transaksi'!$A:$A,$E753))</f>
        <v/>
      </c>
      <c r="B753" s="5">
        <f>IF($E753="","",INDEX('Input Transaksi'!$D:$D,$E753))</f>
        <v/>
      </c>
      <c r="C753">
        <f>IF($E753="","",INDEX('Input Transaksi'!$E:$E,$E753))</f>
        <v/>
      </c>
      <c r="D753" s="5">
        <f>IF($E753="","",INDEX('Input Transaksi'!$F:$F,$E753))</f>
        <v/>
      </c>
      <c r="E753">
        <f>IFERROR(AGGREGATE(15,6,ROW('Input Transaksi'!$B$5:$B$5000)/('Input Transaksi'!$B$5:$B$5000="LONDRI DEWE ANTASURA"),ROWS($E$5:E753)),"")</f>
        <v/>
      </c>
      <c r="F753" s="5" t="n"/>
    </row>
    <row r="754">
      <c r="A754" s="10">
        <f>IF($E754="","",INDEX('Input Transaksi'!$A:$A,$E754))</f>
        <v/>
      </c>
      <c r="B754" s="5">
        <f>IF($E754="","",INDEX('Input Transaksi'!$D:$D,$E754))</f>
        <v/>
      </c>
      <c r="C754">
        <f>IF($E754="","",INDEX('Input Transaksi'!$E:$E,$E754))</f>
        <v/>
      </c>
      <c r="D754" s="5">
        <f>IF($E754="","",INDEX('Input Transaksi'!$F:$F,$E754))</f>
        <v/>
      </c>
      <c r="E754">
        <f>IFERROR(AGGREGATE(15,6,ROW('Input Transaksi'!$B$5:$B$5000)/('Input Transaksi'!$B$5:$B$5000="LONDRI DEWE ANTASURA"),ROWS($E$5:E754)),"")</f>
        <v/>
      </c>
      <c r="F754" s="5" t="n"/>
    </row>
    <row r="755">
      <c r="A755" s="10">
        <f>IF($E755="","",INDEX('Input Transaksi'!$A:$A,$E755))</f>
        <v/>
      </c>
      <c r="B755" s="5">
        <f>IF($E755="","",INDEX('Input Transaksi'!$D:$D,$E755))</f>
        <v/>
      </c>
      <c r="C755">
        <f>IF($E755="","",INDEX('Input Transaksi'!$E:$E,$E755))</f>
        <v/>
      </c>
      <c r="D755" s="5">
        <f>IF($E755="","",INDEX('Input Transaksi'!$F:$F,$E755))</f>
        <v/>
      </c>
      <c r="E755">
        <f>IFERROR(AGGREGATE(15,6,ROW('Input Transaksi'!$B$5:$B$5000)/('Input Transaksi'!$B$5:$B$5000="LONDRI DEWE ANTASURA"),ROWS($E$5:E755)),"")</f>
        <v/>
      </c>
      <c r="F755" s="5" t="n"/>
    </row>
    <row r="756">
      <c r="A756" s="10">
        <f>IF($E756="","",INDEX('Input Transaksi'!$A:$A,$E756))</f>
        <v/>
      </c>
      <c r="B756" s="5">
        <f>IF($E756="","",INDEX('Input Transaksi'!$D:$D,$E756))</f>
        <v/>
      </c>
      <c r="C756">
        <f>IF($E756="","",INDEX('Input Transaksi'!$E:$E,$E756))</f>
        <v/>
      </c>
      <c r="D756" s="5">
        <f>IF($E756="","",INDEX('Input Transaksi'!$F:$F,$E756))</f>
        <v/>
      </c>
      <c r="E756">
        <f>IFERROR(AGGREGATE(15,6,ROW('Input Transaksi'!$B$5:$B$5000)/('Input Transaksi'!$B$5:$B$5000="LONDRI DEWE ANTASURA"),ROWS($E$5:E756)),"")</f>
        <v/>
      </c>
      <c r="F756" s="5" t="n"/>
    </row>
    <row r="757">
      <c r="A757" s="10">
        <f>IF($E757="","",INDEX('Input Transaksi'!$A:$A,$E757))</f>
        <v/>
      </c>
      <c r="B757" s="5">
        <f>IF($E757="","",INDEX('Input Transaksi'!$D:$D,$E757))</f>
        <v/>
      </c>
      <c r="C757">
        <f>IF($E757="","",INDEX('Input Transaksi'!$E:$E,$E757))</f>
        <v/>
      </c>
      <c r="D757" s="5">
        <f>IF($E757="","",INDEX('Input Transaksi'!$F:$F,$E757))</f>
        <v/>
      </c>
      <c r="E757">
        <f>IFERROR(AGGREGATE(15,6,ROW('Input Transaksi'!$B$5:$B$5000)/('Input Transaksi'!$B$5:$B$5000="LONDRI DEWE ANTASURA"),ROWS($E$5:E757)),"")</f>
        <v/>
      </c>
      <c r="F757" s="5" t="n"/>
    </row>
    <row r="758">
      <c r="A758" s="10">
        <f>IF($E758="","",INDEX('Input Transaksi'!$A:$A,$E758))</f>
        <v/>
      </c>
      <c r="B758" s="5">
        <f>IF($E758="","",INDEX('Input Transaksi'!$D:$D,$E758))</f>
        <v/>
      </c>
      <c r="C758">
        <f>IF($E758="","",INDEX('Input Transaksi'!$E:$E,$E758))</f>
        <v/>
      </c>
      <c r="D758" s="5">
        <f>IF($E758="","",INDEX('Input Transaksi'!$F:$F,$E758))</f>
        <v/>
      </c>
      <c r="E758">
        <f>IFERROR(AGGREGATE(15,6,ROW('Input Transaksi'!$B$5:$B$5000)/('Input Transaksi'!$B$5:$B$5000="LONDRI DEWE ANTASURA"),ROWS($E$5:E758)),"")</f>
        <v/>
      </c>
      <c r="F758" s="5" t="n"/>
    </row>
    <row r="759">
      <c r="A759" s="10">
        <f>IF($E759="","",INDEX('Input Transaksi'!$A:$A,$E759))</f>
        <v/>
      </c>
      <c r="B759" s="5">
        <f>IF($E759="","",INDEX('Input Transaksi'!$D:$D,$E759))</f>
        <v/>
      </c>
      <c r="C759">
        <f>IF($E759="","",INDEX('Input Transaksi'!$E:$E,$E759))</f>
        <v/>
      </c>
      <c r="D759" s="5">
        <f>IF($E759="","",INDEX('Input Transaksi'!$F:$F,$E759))</f>
        <v/>
      </c>
      <c r="E759">
        <f>IFERROR(AGGREGATE(15,6,ROW('Input Transaksi'!$B$5:$B$5000)/('Input Transaksi'!$B$5:$B$5000="LONDRI DEWE ANTASURA"),ROWS($E$5:E759)),"")</f>
        <v/>
      </c>
      <c r="F759" s="5" t="n"/>
    </row>
    <row r="760">
      <c r="A760" s="10">
        <f>IF($E760="","",INDEX('Input Transaksi'!$A:$A,$E760))</f>
        <v/>
      </c>
      <c r="B760" s="5">
        <f>IF($E760="","",INDEX('Input Transaksi'!$D:$D,$E760))</f>
        <v/>
      </c>
      <c r="C760">
        <f>IF($E760="","",INDEX('Input Transaksi'!$E:$E,$E760))</f>
        <v/>
      </c>
      <c r="D760" s="5">
        <f>IF($E760="","",INDEX('Input Transaksi'!$F:$F,$E760))</f>
        <v/>
      </c>
      <c r="E760">
        <f>IFERROR(AGGREGATE(15,6,ROW('Input Transaksi'!$B$5:$B$5000)/('Input Transaksi'!$B$5:$B$5000="LONDRI DEWE ANTASURA"),ROWS($E$5:E760)),"")</f>
        <v/>
      </c>
      <c r="F760" s="5" t="n"/>
    </row>
    <row r="761">
      <c r="A761" s="10">
        <f>IF($E761="","",INDEX('Input Transaksi'!$A:$A,$E761))</f>
        <v/>
      </c>
      <c r="B761" s="5">
        <f>IF($E761="","",INDEX('Input Transaksi'!$D:$D,$E761))</f>
        <v/>
      </c>
      <c r="C761">
        <f>IF($E761="","",INDEX('Input Transaksi'!$E:$E,$E761))</f>
        <v/>
      </c>
      <c r="D761" s="5">
        <f>IF($E761="","",INDEX('Input Transaksi'!$F:$F,$E761))</f>
        <v/>
      </c>
      <c r="E761">
        <f>IFERROR(AGGREGATE(15,6,ROW('Input Transaksi'!$B$5:$B$5000)/('Input Transaksi'!$B$5:$B$5000="LONDRI DEWE ANTASURA"),ROWS($E$5:E761)),"")</f>
        <v/>
      </c>
      <c r="F761" s="5" t="n"/>
    </row>
    <row r="762">
      <c r="A762" s="10">
        <f>IF($E762="","",INDEX('Input Transaksi'!$A:$A,$E762))</f>
        <v/>
      </c>
      <c r="B762" s="5">
        <f>IF($E762="","",INDEX('Input Transaksi'!$D:$D,$E762))</f>
        <v/>
      </c>
      <c r="C762">
        <f>IF($E762="","",INDEX('Input Transaksi'!$E:$E,$E762))</f>
        <v/>
      </c>
      <c r="D762" s="5">
        <f>IF($E762="","",INDEX('Input Transaksi'!$F:$F,$E762))</f>
        <v/>
      </c>
      <c r="E762">
        <f>IFERROR(AGGREGATE(15,6,ROW('Input Transaksi'!$B$5:$B$5000)/('Input Transaksi'!$B$5:$B$5000="LONDRI DEWE ANTASURA"),ROWS($E$5:E762)),"")</f>
        <v/>
      </c>
      <c r="F762" s="5" t="n"/>
    </row>
    <row r="763">
      <c r="A763" s="10">
        <f>IF($E763="","",INDEX('Input Transaksi'!$A:$A,$E763))</f>
        <v/>
      </c>
      <c r="B763" s="5">
        <f>IF($E763="","",INDEX('Input Transaksi'!$D:$D,$E763))</f>
        <v/>
      </c>
      <c r="C763">
        <f>IF($E763="","",INDEX('Input Transaksi'!$E:$E,$E763))</f>
        <v/>
      </c>
      <c r="D763" s="5">
        <f>IF($E763="","",INDEX('Input Transaksi'!$F:$F,$E763))</f>
        <v/>
      </c>
      <c r="E763">
        <f>IFERROR(AGGREGATE(15,6,ROW('Input Transaksi'!$B$5:$B$5000)/('Input Transaksi'!$B$5:$B$5000="LONDRI DEWE ANTASURA"),ROWS($E$5:E763)),"")</f>
        <v/>
      </c>
      <c r="F763" s="5" t="n"/>
    </row>
    <row r="764">
      <c r="A764" s="10">
        <f>IF($E764="","",INDEX('Input Transaksi'!$A:$A,$E764))</f>
        <v/>
      </c>
      <c r="B764" s="5">
        <f>IF($E764="","",INDEX('Input Transaksi'!$D:$D,$E764))</f>
        <v/>
      </c>
      <c r="C764">
        <f>IF($E764="","",INDEX('Input Transaksi'!$E:$E,$E764))</f>
        <v/>
      </c>
      <c r="D764" s="5">
        <f>IF($E764="","",INDEX('Input Transaksi'!$F:$F,$E764))</f>
        <v/>
      </c>
      <c r="E764">
        <f>IFERROR(AGGREGATE(15,6,ROW('Input Transaksi'!$B$5:$B$5000)/('Input Transaksi'!$B$5:$B$5000="LONDRI DEWE ANTASURA"),ROWS($E$5:E764)),"")</f>
        <v/>
      </c>
      <c r="F764" s="5" t="n"/>
    </row>
    <row r="765">
      <c r="A765" s="10">
        <f>IF($E765="","",INDEX('Input Transaksi'!$A:$A,$E765))</f>
        <v/>
      </c>
      <c r="B765" s="5">
        <f>IF($E765="","",INDEX('Input Transaksi'!$D:$D,$E765))</f>
        <v/>
      </c>
      <c r="C765">
        <f>IF($E765="","",INDEX('Input Transaksi'!$E:$E,$E765))</f>
        <v/>
      </c>
      <c r="D765" s="5">
        <f>IF($E765="","",INDEX('Input Transaksi'!$F:$F,$E765))</f>
        <v/>
      </c>
      <c r="E765">
        <f>IFERROR(AGGREGATE(15,6,ROW('Input Transaksi'!$B$5:$B$5000)/('Input Transaksi'!$B$5:$B$5000="LONDRI DEWE ANTASURA"),ROWS($E$5:E765)),"")</f>
        <v/>
      </c>
      <c r="F765" s="5" t="n"/>
    </row>
    <row r="766">
      <c r="A766" s="10">
        <f>IF($E766="","",INDEX('Input Transaksi'!$A:$A,$E766))</f>
        <v/>
      </c>
      <c r="B766" s="5">
        <f>IF($E766="","",INDEX('Input Transaksi'!$D:$D,$E766))</f>
        <v/>
      </c>
      <c r="C766">
        <f>IF($E766="","",INDEX('Input Transaksi'!$E:$E,$E766))</f>
        <v/>
      </c>
      <c r="D766" s="5">
        <f>IF($E766="","",INDEX('Input Transaksi'!$F:$F,$E766))</f>
        <v/>
      </c>
      <c r="E766">
        <f>IFERROR(AGGREGATE(15,6,ROW('Input Transaksi'!$B$5:$B$5000)/('Input Transaksi'!$B$5:$B$5000="LONDRI DEWE ANTASURA"),ROWS($E$5:E766)),"")</f>
        <v/>
      </c>
      <c r="F766" s="5" t="n"/>
    </row>
    <row r="767">
      <c r="A767" s="10">
        <f>IF($E767="","",INDEX('Input Transaksi'!$A:$A,$E767))</f>
        <v/>
      </c>
      <c r="B767" s="5">
        <f>IF($E767="","",INDEX('Input Transaksi'!$D:$D,$E767))</f>
        <v/>
      </c>
      <c r="C767">
        <f>IF($E767="","",INDEX('Input Transaksi'!$E:$E,$E767))</f>
        <v/>
      </c>
      <c r="D767" s="5">
        <f>IF($E767="","",INDEX('Input Transaksi'!$F:$F,$E767))</f>
        <v/>
      </c>
      <c r="E767">
        <f>IFERROR(AGGREGATE(15,6,ROW('Input Transaksi'!$B$5:$B$5000)/('Input Transaksi'!$B$5:$B$5000="LONDRI DEWE ANTASURA"),ROWS($E$5:E767)),"")</f>
        <v/>
      </c>
      <c r="F767" s="5" t="n"/>
    </row>
    <row r="768">
      <c r="A768" s="10">
        <f>IF($E768="","",INDEX('Input Transaksi'!$A:$A,$E768))</f>
        <v/>
      </c>
      <c r="B768" s="5">
        <f>IF($E768="","",INDEX('Input Transaksi'!$D:$D,$E768))</f>
        <v/>
      </c>
      <c r="C768">
        <f>IF($E768="","",INDEX('Input Transaksi'!$E:$E,$E768))</f>
        <v/>
      </c>
      <c r="D768" s="5">
        <f>IF($E768="","",INDEX('Input Transaksi'!$F:$F,$E768))</f>
        <v/>
      </c>
      <c r="E768">
        <f>IFERROR(AGGREGATE(15,6,ROW('Input Transaksi'!$B$5:$B$5000)/('Input Transaksi'!$B$5:$B$5000="LONDRI DEWE ANTASURA"),ROWS($E$5:E768)),"")</f>
        <v/>
      </c>
      <c r="F768" s="5" t="n"/>
    </row>
    <row r="769">
      <c r="A769" s="10">
        <f>IF($E769="","",INDEX('Input Transaksi'!$A:$A,$E769))</f>
        <v/>
      </c>
      <c r="B769" s="5">
        <f>IF($E769="","",INDEX('Input Transaksi'!$D:$D,$E769))</f>
        <v/>
      </c>
      <c r="C769">
        <f>IF($E769="","",INDEX('Input Transaksi'!$E:$E,$E769))</f>
        <v/>
      </c>
      <c r="D769" s="5">
        <f>IF($E769="","",INDEX('Input Transaksi'!$F:$F,$E769))</f>
        <v/>
      </c>
      <c r="E769">
        <f>IFERROR(AGGREGATE(15,6,ROW('Input Transaksi'!$B$5:$B$5000)/('Input Transaksi'!$B$5:$B$5000="LONDRI DEWE ANTASURA"),ROWS($E$5:E769)),"")</f>
        <v/>
      </c>
      <c r="F769" s="5" t="n"/>
    </row>
    <row r="770">
      <c r="A770" s="10">
        <f>IF($E770="","",INDEX('Input Transaksi'!$A:$A,$E770))</f>
        <v/>
      </c>
      <c r="B770" s="5">
        <f>IF($E770="","",INDEX('Input Transaksi'!$D:$D,$E770))</f>
        <v/>
      </c>
      <c r="C770">
        <f>IF($E770="","",INDEX('Input Transaksi'!$E:$E,$E770))</f>
        <v/>
      </c>
      <c r="D770" s="5">
        <f>IF($E770="","",INDEX('Input Transaksi'!$F:$F,$E770))</f>
        <v/>
      </c>
      <c r="E770">
        <f>IFERROR(AGGREGATE(15,6,ROW('Input Transaksi'!$B$5:$B$5000)/('Input Transaksi'!$B$5:$B$5000="LONDRI DEWE ANTASURA"),ROWS($E$5:E770)),"")</f>
        <v/>
      </c>
      <c r="F770" s="5" t="n"/>
    </row>
    <row r="771">
      <c r="A771" s="10">
        <f>IF($E771="","",INDEX('Input Transaksi'!$A:$A,$E771))</f>
        <v/>
      </c>
      <c r="B771" s="5">
        <f>IF($E771="","",INDEX('Input Transaksi'!$D:$D,$E771))</f>
        <v/>
      </c>
      <c r="C771">
        <f>IF($E771="","",INDEX('Input Transaksi'!$E:$E,$E771))</f>
        <v/>
      </c>
      <c r="D771" s="5">
        <f>IF($E771="","",INDEX('Input Transaksi'!$F:$F,$E771))</f>
        <v/>
      </c>
      <c r="E771">
        <f>IFERROR(AGGREGATE(15,6,ROW('Input Transaksi'!$B$5:$B$5000)/('Input Transaksi'!$B$5:$B$5000="LONDRI DEWE ANTASURA"),ROWS($E$5:E771)),"")</f>
        <v/>
      </c>
      <c r="F771" s="5" t="n"/>
    </row>
    <row r="772">
      <c r="A772" s="10">
        <f>IF($E772="","",INDEX('Input Transaksi'!$A:$A,$E772))</f>
        <v/>
      </c>
      <c r="B772" s="5">
        <f>IF($E772="","",INDEX('Input Transaksi'!$D:$D,$E772))</f>
        <v/>
      </c>
      <c r="C772">
        <f>IF($E772="","",INDEX('Input Transaksi'!$E:$E,$E772))</f>
        <v/>
      </c>
      <c r="D772" s="5">
        <f>IF($E772="","",INDEX('Input Transaksi'!$F:$F,$E772))</f>
        <v/>
      </c>
      <c r="E772">
        <f>IFERROR(AGGREGATE(15,6,ROW('Input Transaksi'!$B$5:$B$5000)/('Input Transaksi'!$B$5:$B$5000="LONDRI DEWE ANTASURA"),ROWS($E$5:E772)),"")</f>
        <v/>
      </c>
      <c r="F772" s="5" t="n"/>
    </row>
    <row r="773">
      <c r="A773" s="10">
        <f>IF($E773="","",INDEX('Input Transaksi'!$A:$A,$E773))</f>
        <v/>
      </c>
      <c r="B773" s="5">
        <f>IF($E773="","",INDEX('Input Transaksi'!$D:$D,$E773))</f>
        <v/>
      </c>
      <c r="C773">
        <f>IF($E773="","",INDEX('Input Transaksi'!$E:$E,$E773))</f>
        <v/>
      </c>
      <c r="D773" s="5">
        <f>IF($E773="","",INDEX('Input Transaksi'!$F:$F,$E773))</f>
        <v/>
      </c>
      <c r="E773">
        <f>IFERROR(AGGREGATE(15,6,ROW('Input Transaksi'!$B$5:$B$5000)/('Input Transaksi'!$B$5:$B$5000="LONDRI DEWE ANTASURA"),ROWS($E$5:E773)),"")</f>
        <v/>
      </c>
      <c r="F773" s="5" t="n"/>
    </row>
    <row r="774">
      <c r="A774" s="10">
        <f>IF($E774="","",INDEX('Input Transaksi'!$A:$A,$E774))</f>
        <v/>
      </c>
      <c r="B774" s="5">
        <f>IF($E774="","",INDEX('Input Transaksi'!$D:$D,$E774))</f>
        <v/>
      </c>
      <c r="C774">
        <f>IF($E774="","",INDEX('Input Transaksi'!$E:$E,$E774))</f>
        <v/>
      </c>
      <c r="D774" s="5">
        <f>IF($E774="","",INDEX('Input Transaksi'!$F:$F,$E774))</f>
        <v/>
      </c>
      <c r="E774">
        <f>IFERROR(AGGREGATE(15,6,ROW('Input Transaksi'!$B$5:$B$5000)/('Input Transaksi'!$B$5:$B$5000="LONDRI DEWE ANTASURA"),ROWS($E$5:E774)),"")</f>
        <v/>
      </c>
      <c r="F774" s="5" t="n"/>
    </row>
    <row r="775">
      <c r="A775" s="10">
        <f>IF($E775="","",INDEX('Input Transaksi'!$A:$A,$E775))</f>
        <v/>
      </c>
      <c r="B775" s="5">
        <f>IF($E775="","",INDEX('Input Transaksi'!$D:$D,$E775))</f>
        <v/>
      </c>
      <c r="C775">
        <f>IF($E775="","",INDEX('Input Transaksi'!$E:$E,$E775))</f>
        <v/>
      </c>
      <c r="D775" s="5">
        <f>IF($E775="","",INDEX('Input Transaksi'!$F:$F,$E775))</f>
        <v/>
      </c>
      <c r="E775">
        <f>IFERROR(AGGREGATE(15,6,ROW('Input Transaksi'!$B$5:$B$5000)/('Input Transaksi'!$B$5:$B$5000="LONDRI DEWE ANTASURA"),ROWS($E$5:E775)),"")</f>
        <v/>
      </c>
      <c r="F775" s="5" t="n"/>
    </row>
    <row r="776">
      <c r="A776" s="10">
        <f>IF($E776="","",INDEX('Input Transaksi'!$A:$A,$E776))</f>
        <v/>
      </c>
      <c r="B776" s="5">
        <f>IF($E776="","",INDEX('Input Transaksi'!$D:$D,$E776))</f>
        <v/>
      </c>
      <c r="C776">
        <f>IF($E776="","",INDEX('Input Transaksi'!$E:$E,$E776))</f>
        <v/>
      </c>
      <c r="D776" s="5">
        <f>IF($E776="","",INDEX('Input Transaksi'!$F:$F,$E776))</f>
        <v/>
      </c>
      <c r="E776">
        <f>IFERROR(AGGREGATE(15,6,ROW('Input Transaksi'!$B$5:$B$5000)/('Input Transaksi'!$B$5:$B$5000="LONDRI DEWE ANTASURA"),ROWS($E$5:E776)),"")</f>
        <v/>
      </c>
      <c r="F776" s="5" t="n"/>
    </row>
    <row r="777">
      <c r="A777" s="10">
        <f>IF($E777="","",INDEX('Input Transaksi'!$A:$A,$E777))</f>
        <v/>
      </c>
      <c r="B777" s="5">
        <f>IF($E777="","",INDEX('Input Transaksi'!$D:$D,$E777))</f>
        <v/>
      </c>
      <c r="C777">
        <f>IF($E777="","",INDEX('Input Transaksi'!$E:$E,$E777))</f>
        <v/>
      </c>
      <c r="D777" s="5">
        <f>IF($E777="","",INDEX('Input Transaksi'!$F:$F,$E777))</f>
        <v/>
      </c>
      <c r="E777">
        <f>IFERROR(AGGREGATE(15,6,ROW('Input Transaksi'!$B$5:$B$5000)/('Input Transaksi'!$B$5:$B$5000="LONDRI DEWE ANTASURA"),ROWS($E$5:E777)),"")</f>
        <v/>
      </c>
      <c r="F777" s="5" t="n"/>
    </row>
    <row r="778">
      <c r="A778" s="10">
        <f>IF($E778="","",INDEX('Input Transaksi'!$A:$A,$E778))</f>
        <v/>
      </c>
      <c r="B778" s="5">
        <f>IF($E778="","",INDEX('Input Transaksi'!$D:$D,$E778))</f>
        <v/>
      </c>
      <c r="C778">
        <f>IF($E778="","",INDEX('Input Transaksi'!$E:$E,$E778))</f>
        <v/>
      </c>
      <c r="D778" s="5">
        <f>IF($E778="","",INDEX('Input Transaksi'!$F:$F,$E778))</f>
        <v/>
      </c>
      <c r="E778">
        <f>IFERROR(AGGREGATE(15,6,ROW('Input Transaksi'!$B$5:$B$5000)/('Input Transaksi'!$B$5:$B$5000="LONDRI DEWE ANTASURA"),ROWS($E$5:E778)),"")</f>
        <v/>
      </c>
      <c r="F778" s="5" t="n"/>
    </row>
    <row r="779">
      <c r="A779" s="10">
        <f>IF($E779="","",INDEX('Input Transaksi'!$A:$A,$E779))</f>
        <v/>
      </c>
      <c r="B779" s="5">
        <f>IF($E779="","",INDEX('Input Transaksi'!$D:$D,$E779))</f>
        <v/>
      </c>
      <c r="C779">
        <f>IF($E779="","",INDEX('Input Transaksi'!$E:$E,$E779))</f>
        <v/>
      </c>
      <c r="D779" s="5">
        <f>IF($E779="","",INDEX('Input Transaksi'!$F:$F,$E779))</f>
        <v/>
      </c>
      <c r="E779">
        <f>IFERROR(AGGREGATE(15,6,ROW('Input Transaksi'!$B$5:$B$5000)/('Input Transaksi'!$B$5:$B$5000="LONDRI DEWE ANTASURA"),ROWS($E$5:E779)),"")</f>
        <v/>
      </c>
      <c r="F779" s="5" t="n"/>
    </row>
    <row r="780">
      <c r="A780" s="10">
        <f>IF($E780="","",INDEX('Input Transaksi'!$A:$A,$E780))</f>
        <v/>
      </c>
      <c r="B780" s="5">
        <f>IF($E780="","",INDEX('Input Transaksi'!$D:$D,$E780))</f>
        <v/>
      </c>
      <c r="C780">
        <f>IF($E780="","",INDEX('Input Transaksi'!$E:$E,$E780))</f>
        <v/>
      </c>
      <c r="D780" s="5">
        <f>IF($E780="","",INDEX('Input Transaksi'!$F:$F,$E780))</f>
        <v/>
      </c>
      <c r="E780">
        <f>IFERROR(AGGREGATE(15,6,ROW('Input Transaksi'!$B$5:$B$5000)/('Input Transaksi'!$B$5:$B$5000="LONDRI DEWE ANTASURA"),ROWS($E$5:E780)),"")</f>
        <v/>
      </c>
      <c r="F780" s="5" t="n"/>
    </row>
    <row r="781">
      <c r="A781" s="10">
        <f>IF($E781="","",INDEX('Input Transaksi'!$A:$A,$E781))</f>
        <v/>
      </c>
      <c r="B781" s="5">
        <f>IF($E781="","",INDEX('Input Transaksi'!$D:$D,$E781))</f>
        <v/>
      </c>
      <c r="C781">
        <f>IF($E781="","",INDEX('Input Transaksi'!$E:$E,$E781))</f>
        <v/>
      </c>
      <c r="D781" s="5">
        <f>IF($E781="","",INDEX('Input Transaksi'!$F:$F,$E781))</f>
        <v/>
      </c>
      <c r="E781">
        <f>IFERROR(AGGREGATE(15,6,ROW('Input Transaksi'!$B$5:$B$5000)/('Input Transaksi'!$B$5:$B$5000="LONDRI DEWE ANTASURA"),ROWS($E$5:E781)),"")</f>
        <v/>
      </c>
      <c r="F781" s="5" t="n"/>
    </row>
    <row r="782">
      <c r="A782" s="10">
        <f>IF($E782="","",INDEX('Input Transaksi'!$A:$A,$E782))</f>
        <v/>
      </c>
      <c r="B782" s="5">
        <f>IF($E782="","",INDEX('Input Transaksi'!$D:$D,$E782))</f>
        <v/>
      </c>
      <c r="C782">
        <f>IF($E782="","",INDEX('Input Transaksi'!$E:$E,$E782))</f>
        <v/>
      </c>
      <c r="D782" s="5">
        <f>IF($E782="","",INDEX('Input Transaksi'!$F:$F,$E782))</f>
        <v/>
      </c>
      <c r="E782">
        <f>IFERROR(AGGREGATE(15,6,ROW('Input Transaksi'!$B$5:$B$5000)/('Input Transaksi'!$B$5:$B$5000="LONDRI DEWE ANTASURA"),ROWS($E$5:E782)),"")</f>
        <v/>
      </c>
      <c r="F782" s="5" t="n"/>
    </row>
    <row r="783">
      <c r="A783" s="10">
        <f>IF($E783="","",INDEX('Input Transaksi'!$A:$A,$E783))</f>
        <v/>
      </c>
      <c r="B783" s="5">
        <f>IF($E783="","",INDEX('Input Transaksi'!$D:$D,$E783))</f>
        <v/>
      </c>
      <c r="C783">
        <f>IF($E783="","",INDEX('Input Transaksi'!$E:$E,$E783))</f>
        <v/>
      </c>
      <c r="D783" s="5">
        <f>IF($E783="","",INDEX('Input Transaksi'!$F:$F,$E783))</f>
        <v/>
      </c>
      <c r="E783">
        <f>IFERROR(AGGREGATE(15,6,ROW('Input Transaksi'!$B$5:$B$5000)/('Input Transaksi'!$B$5:$B$5000="LONDRI DEWE ANTASURA"),ROWS($E$5:E783)),"")</f>
        <v/>
      </c>
      <c r="F783" s="5" t="n"/>
    </row>
    <row r="784">
      <c r="A784" s="10">
        <f>IF($E784="","",INDEX('Input Transaksi'!$A:$A,$E784))</f>
        <v/>
      </c>
      <c r="B784" s="5">
        <f>IF($E784="","",INDEX('Input Transaksi'!$D:$D,$E784))</f>
        <v/>
      </c>
      <c r="C784">
        <f>IF($E784="","",INDEX('Input Transaksi'!$E:$E,$E784))</f>
        <v/>
      </c>
      <c r="D784" s="5">
        <f>IF($E784="","",INDEX('Input Transaksi'!$F:$F,$E784))</f>
        <v/>
      </c>
      <c r="E784">
        <f>IFERROR(AGGREGATE(15,6,ROW('Input Transaksi'!$B$5:$B$5000)/('Input Transaksi'!$B$5:$B$5000="LONDRI DEWE ANTASURA"),ROWS($E$5:E784)),"")</f>
        <v/>
      </c>
      <c r="F784" s="5" t="n"/>
    </row>
    <row r="785">
      <c r="A785" s="10">
        <f>IF($E785="","",INDEX('Input Transaksi'!$A:$A,$E785))</f>
        <v/>
      </c>
      <c r="B785" s="5">
        <f>IF($E785="","",INDEX('Input Transaksi'!$D:$D,$E785))</f>
        <v/>
      </c>
      <c r="C785">
        <f>IF($E785="","",INDEX('Input Transaksi'!$E:$E,$E785))</f>
        <v/>
      </c>
      <c r="D785" s="5">
        <f>IF($E785="","",INDEX('Input Transaksi'!$F:$F,$E785))</f>
        <v/>
      </c>
      <c r="E785">
        <f>IFERROR(AGGREGATE(15,6,ROW('Input Transaksi'!$B$5:$B$5000)/('Input Transaksi'!$B$5:$B$5000="LONDRI DEWE ANTASURA"),ROWS($E$5:E785)),"")</f>
        <v/>
      </c>
      <c r="F785" s="5" t="n"/>
    </row>
    <row r="786">
      <c r="A786" s="10">
        <f>IF($E786="","",INDEX('Input Transaksi'!$A:$A,$E786))</f>
        <v/>
      </c>
      <c r="B786" s="5">
        <f>IF($E786="","",INDEX('Input Transaksi'!$D:$D,$E786))</f>
        <v/>
      </c>
      <c r="C786">
        <f>IF($E786="","",INDEX('Input Transaksi'!$E:$E,$E786))</f>
        <v/>
      </c>
      <c r="D786" s="5">
        <f>IF($E786="","",INDEX('Input Transaksi'!$F:$F,$E786))</f>
        <v/>
      </c>
      <c r="E786">
        <f>IFERROR(AGGREGATE(15,6,ROW('Input Transaksi'!$B$5:$B$5000)/('Input Transaksi'!$B$5:$B$5000="LONDRI DEWE ANTASURA"),ROWS($E$5:E786)),"")</f>
        <v/>
      </c>
      <c r="F786" s="5" t="n"/>
    </row>
    <row r="787">
      <c r="A787" s="10">
        <f>IF($E787="","",INDEX('Input Transaksi'!$A:$A,$E787))</f>
        <v/>
      </c>
      <c r="B787" s="5">
        <f>IF($E787="","",INDEX('Input Transaksi'!$D:$D,$E787))</f>
        <v/>
      </c>
      <c r="C787">
        <f>IF($E787="","",INDEX('Input Transaksi'!$E:$E,$E787))</f>
        <v/>
      </c>
      <c r="D787" s="5">
        <f>IF($E787="","",INDEX('Input Transaksi'!$F:$F,$E787))</f>
        <v/>
      </c>
      <c r="E787">
        <f>IFERROR(AGGREGATE(15,6,ROW('Input Transaksi'!$B$5:$B$5000)/('Input Transaksi'!$B$5:$B$5000="LONDRI DEWE ANTASURA"),ROWS($E$5:E787)),"")</f>
        <v/>
      </c>
      <c r="F787" s="5" t="n"/>
    </row>
    <row r="788">
      <c r="A788" s="10">
        <f>IF($E788="","",INDEX('Input Transaksi'!$A:$A,$E788))</f>
        <v/>
      </c>
      <c r="B788" s="5">
        <f>IF($E788="","",INDEX('Input Transaksi'!$D:$D,$E788))</f>
        <v/>
      </c>
      <c r="C788">
        <f>IF($E788="","",INDEX('Input Transaksi'!$E:$E,$E788))</f>
        <v/>
      </c>
      <c r="D788" s="5">
        <f>IF($E788="","",INDEX('Input Transaksi'!$F:$F,$E788))</f>
        <v/>
      </c>
      <c r="E788">
        <f>IFERROR(AGGREGATE(15,6,ROW('Input Transaksi'!$B$5:$B$5000)/('Input Transaksi'!$B$5:$B$5000="LONDRI DEWE ANTASURA"),ROWS($E$5:E788)),"")</f>
        <v/>
      </c>
      <c r="F788" s="5" t="n"/>
    </row>
    <row r="789">
      <c r="A789" s="10">
        <f>IF($E789="","",INDEX('Input Transaksi'!$A:$A,$E789))</f>
        <v/>
      </c>
      <c r="B789" s="5">
        <f>IF($E789="","",INDEX('Input Transaksi'!$D:$D,$E789))</f>
        <v/>
      </c>
      <c r="C789">
        <f>IF($E789="","",INDEX('Input Transaksi'!$E:$E,$E789))</f>
        <v/>
      </c>
      <c r="D789" s="5">
        <f>IF($E789="","",INDEX('Input Transaksi'!$F:$F,$E789))</f>
        <v/>
      </c>
      <c r="E789">
        <f>IFERROR(AGGREGATE(15,6,ROW('Input Transaksi'!$B$5:$B$5000)/('Input Transaksi'!$B$5:$B$5000="LONDRI DEWE ANTASURA"),ROWS($E$5:E789)),"")</f>
        <v/>
      </c>
      <c r="F789" s="5" t="n"/>
    </row>
    <row r="790">
      <c r="A790" s="10">
        <f>IF($E790="","",INDEX('Input Transaksi'!$A:$A,$E790))</f>
        <v/>
      </c>
      <c r="B790" s="5">
        <f>IF($E790="","",INDEX('Input Transaksi'!$D:$D,$E790))</f>
        <v/>
      </c>
      <c r="C790">
        <f>IF($E790="","",INDEX('Input Transaksi'!$E:$E,$E790))</f>
        <v/>
      </c>
      <c r="D790" s="5">
        <f>IF($E790="","",INDEX('Input Transaksi'!$F:$F,$E790))</f>
        <v/>
      </c>
      <c r="E790">
        <f>IFERROR(AGGREGATE(15,6,ROW('Input Transaksi'!$B$5:$B$5000)/('Input Transaksi'!$B$5:$B$5000="LONDRI DEWE ANTASURA"),ROWS($E$5:E790)),"")</f>
        <v/>
      </c>
      <c r="F790" s="5" t="n"/>
    </row>
    <row r="791">
      <c r="A791" s="10">
        <f>IF($E791="","",INDEX('Input Transaksi'!$A:$A,$E791))</f>
        <v/>
      </c>
      <c r="B791" s="5">
        <f>IF($E791="","",INDEX('Input Transaksi'!$D:$D,$E791))</f>
        <v/>
      </c>
      <c r="C791">
        <f>IF($E791="","",INDEX('Input Transaksi'!$E:$E,$E791))</f>
        <v/>
      </c>
      <c r="D791" s="5">
        <f>IF($E791="","",INDEX('Input Transaksi'!$F:$F,$E791))</f>
        <v/>
      </c>
      <c r="E791">
        <f>IFERROR(AGGREGATE(15,6,ROW('Input Transaksi'!$B$5:$B$5000)/('Input Transaksi'!$B$5:$B$5000="LONDRI DEWE ANTASURA"),ROWS($E$5:E791)),"")</f>
        <v/>
      </c>
      <c r="F791" s="5" t="n"/>
    </row>
    <row r="792">
      <c r="A792" s="10">
        <f>IF($E792="","",INDEX('Input Transaksi'!$A:$A,$E792))</f>
        <v/>
      </c>
      <c r="B792" s="5">
        <f>IF($E792="","",INDEX('Input Transaksi'!$D:$D,$E792))</f>
        <v/>
      </c>
      <c r="C792">
        <f>IF($E792="","",INDEX('Input Transaksi'!$E:$E,$E792))</f>
        <v/>
      </c>
      <c r="D792" s="5">
        <f>IF($E792="","",INDEX('Input Transaksi'!$F:$F,$E792))</f>
        <v/>
      </c>
      <c r="E792">
        <f>IFERROR(AGGREGATE(15,6,ROW('Input Transaksi'!$B$5:$B$5000)/('Input Transaksi'!$B$5:$B$5000="LONDRI DEWE ANTASURA"),ROWS($E$5:E792)),"")</f>
        <v/>
      </c>
      <c r="F792" s="5" t="n"/>
    </row>
    <row r="793">
      <c r="A793" s="10">
        <f>IF($E793="","",INDEX('Input Transaksi'!$A:$A,$E793))</f>
        <v/>
      </c>
      <c r="B793" s="5">
        <f>IF($E793="","",INDEX('Input Transaksi'!$D:$D,$E793))</f>
        <v/>
      </c>
      <c r="C793">
        <f>IF($E793="","",INDEX('Input Transaksi'!$E:$E,$E793))</f>
        <v/>
      </c>
      <c r="D793" s="5">
        <f>IF($E793="","",INDEX('Input Transaksi'!$F:$F,$E793))</f>
        <v/>
      </c>
      <c r="E793">
        <f>IFERROR(AGGREGATE(15,6,ROW('Input Transaksi'!$B$5:$B$5000)/('Input Transaksi'!$B$5:$B$5000="LONDRI DEWE ANTASURA"),ROWS($E$5:E793)),"")</f>
        <v/>
      </c>
      <c r="F793" s="5" t="n"/>
    </row>
    <row r="794">
      <c r="A794" s="10">
        <f>IF($E794="","",INDEX('Input Transaksi'!$A:$A,$E794))</f>
        <v/>
      </c>
      <c r="B794" s="5">
        <f>IF($E794="","",INDEX('Input Transaksi'!$D:$D,$E794))</f>
        <v/>
      </c>
      <c r="C794">
        <f>IF($E794="","",INDEX('Input Transaksi'!$E:$E,$E794))</f>
        <v/>
      </c>
      <c r="D794" s="5">
        <f>IF($E794="","",INDEX('Input Transaksi'!$F:$F,$E794))</f>
        <v/>
      </c>
      <c r="E794">
        <f>IFERROR(AGGREGATE(15,6,ROW('Input Transaksi'!$B$5:$B$5000)/('Input Transaksi'!$B$5:$B$5000="LONDRI DEWE ANTASURA"),ROWS($E$5:E794)),"")</f>
        <v/>
      </c>
      <c r="F794" s="5" t="n"/>
    </row>
    <row r="795">
      <c r="A795" s="10">
        <f>IF($E795="","",INDEX('Input Transaksi'!$A:$A,$E795))</f>
        <v/>
      </c>
      <c r="B795" s="5">
        <f>IF($E795="","",INDEX('Input Transaksi'!$D:$D,$E795))</f>
        <v/>
      </c>
      <c r="C795">
        <f>IF($E795="","",INDEX('Input Transaksi'!$E:$E,$E795))</f>
        <v/>
      </c>
      <c r="D795" s="5">
        <f>IF($E795="","",INDEX('Input Transaksi'!$F:$F,$E795))</f>
        <v/>
      </c>
      <c r="E795">
        <f>IFERROR(AGGREGATE(15,6,ROW('Input Transaksi'!$B$5:$B$5000)/('Input Transaksi'!$B$5:$B$5000="LONDRI DEWE ANTASURA"),ROWS($E$5:E795)),"")</f>
        <v/>
      </c>
      <c r="F795" s="5" t="n"/>
    </row>
    <row r="796">
      <c r="A796" s="10">
        <f>IF($E796="","",INDEX('Input Transaksi'!$A:$A,$E796))</f>
        <v/>
      </c>
      <c r="B796" s="5">
        <f>IF($E796="","",INDEX('Input Transaksi'!$D:$D,$E796))</f>
        <v/>
      </c>
      <c r="C796">
        <f>IF($E796="","",INDEX('Input Transaksi'!$E:$E,$E796))</f>
        <v/>
      </c>
      <c r="D796" s="5">
        <f>IF($E796="","",INDEX('Input Transaksi'!$F:$F,$E796))</f>
        <v/>
      </c>
      <c r="E796">
        <f>IFERROR(AGGREGATE(15,6,ROW('Input Transaksi'!$B$5:$B$5000)/('Input Transaksi'!$B$5:$B$5000="LONDRI DEWE ANTASURA"),ROWS($E$5:E796)),"")</f>
        <v/>
      </c>
      <c r="F796" s="5" t="n"/>
    </row>
    <row r="797">
      <c r="A797" s="10">
        <f>IF($E797="","",INDEX('Input Transaksi'!$A:$A,$E797))</f>
        <v/>
      </c>
      <c r="B797" s="5">
        <f>IF($E797="","",INDEX('Input Transaksi'!$D:$D,$E797))</f>
        <v/>
      </c>
      <c r="C797">
        <f>IF($E797="","",INDEX('Input Transaksi'!$E:$E,$E797))</f>
        <v/>
      </c>
      <c r="D797" s="5">
        <f>IF($E797="","",INDEX('Input Transaksi'!$F:$F,$E797))</f>
        <v/>
      </c>
      <c r="E797">
        <f>IFERROR(AGGREGATE(15,6,ROW('Input Transaksi'!$B$5:$B$5000)/('Input Transaksi'!$B$5:$B$5000="LONDRI DEWE ANTASURA"),ROWS($E$5:E797)),"")</f>
        <v/>
      </c>
      <c r="F797" s="5" t="n"/>
    </row>
    <row r="798">
      <c r="A798" s="10">
        <f>IF($E798="","",INDEX('Input Transaksi'!$A:$A,$E798))</f>
        <v/>
      </c>
      <c r="B798" s="5">
        <f>IF($E798="","",INDEX('Input Transaksi'!$D:$D,$E798))</f>
        <v/>
      </c>
      <c r="C798">
        <f>IF($E798="","",INDEX('Input Transaksi'!$E:$E,$E798))</f>
        <v/>
      </c>
      <c r="D798" s="5">
        <f>IF($E798="","",INDEX('Input Transaksi'!$F:$F,$E798))</f>
        <v/>
      </c>
      <c r="E798">
        <f>IFERROR(AGGREGATE(15,6,ROW('Input Transaksi'!$B$5:$B$5000)/('Input Transaksi'!$B$5:$B$5000="LONDRI DEWE ANTASURA"),ROWS($E$5:E798)),"")</f>
        <v/>
      </c>
      <c r="F798" s="5" t="n"/>
    </row>
    <row r="799">
      <c r="A799" s="10">
        <f>IF($E799="","",INDEX('Input Transaksi'!$A:$A,$E799))</f>
        <v/>
      </c>
      <c r="B799" s="5">
        <f>IF($E799="","",INDEX('Input Transaksi'!$D:$D,$E799))</f>
        <v/>
      </c>
      <c r="C799">
        <f>IF($E799="","",INDEX('Input Transaksi'!$E:$E,$E799))</f>
        <v/>
      </c>
      <c r="D799" s="5">
        <f>IF($E799="","",INDEX('Input Transaksi'!$F:$F,$E799))</f>
        <v/>
      </c>
      <c r="E799">
        <f>IFERROR(AGGREGATE(15,6,ROW('Input Transaksi'!$B$5:$B$5000)/('Input Transaksi'!$B$5:$B$5000="LONDRI DEWE ANTASURA"),ROWS($E$5:E799)),"")</f>
        <v/>
      </c>
      <c r="F799" s="5" t="n"/>
    </row>
    <row r="800">
      <c r="A800" s="10">
        <f>IF($E800="","",INDEX('Input Transaksi'!$A:$A,$E800))</f>
        <v/>
      </c>
      <c r="B800" s="5">
        <f>IF($E800="","",INDEX('Input Transaksi'!$D:$D,$E800))</f>
        <v/>
      </c>
      <c r="C800">
        <f>IF($E800="","",INDEX('Input Transaksi'!$E:$E,$E800))</f>
        <v/>
      </c>
      <c r="D800" s="5">
        <f>IF($E800="","",INDEX('Input Transaksi'!$F:$F,$E800))</f>
        <v/>
      </c>
      <c r="E800">
        <f>IFERROR(AGGREGATE(15,6,ROW('Input Transaksi'!$B$5:$B$5000)/('Input Transaksi'!$B$5:$B$5000="LONDRI DEWE ANTASURA"),ROWS($E$5:E800)),"")</f>
        <v/>
      </c>
      <c r="F800" s="5" t="n"/>
    </row>
    <row r="801">
      <c r="A801" s="10">
        <f>IF($E801="","",INDEX('Input Transaksi'!$A:$A,$E801))</f>
        <v/>
      </c>
      <c r="B801" s="5">
        <f>IF($E801="","",INDEX('Input Transaksi'!$D:$D,$E801))</f>
        <v/>
      </c>
      <c r="C801">
        <f>IF($E801="","",INDEX('Input Transaksi'!$E:$E,$E801))</f>
        <v/>
      </c>
      <c r="D801" s="5">
        <f>IF($E801="","",INDEX('Input Transaksi'!$F:$F,$E801))</f>
        <v/>
      </c>
      <c r="E801">
        <f>IFERROR(AGGREGATE(15,6,ROW('Input Transaksi'!$B$5:$B$5000)/('Input Transaksi'!$B$5:$B$5000="LONDRI DEWE ANTASURA"),ROWS($E$5:E801)),"")</f>
        <v/>
      </c>
      <c r="F801" s="5" t="n"/>
    </row>
    <row r="802">
      <c r="A802" s="10">
        <f>IF($E802="","",INDEX('Input Transaksi'!$A:$A,$E802))</f>
        <v/>
      </c>
      <c r="B802" s="5">
        <f>IF($E802="","",INDEX('Input Transaksi'!$D:$D,$E802))</f>
        <v/>
      </c>
      <c r="C802">
        <f>IF($E802="","",INDEX('Input Transaksi'!$E:$E,$E802))</f>
        <v/>
      </c>
      <c r="D802" s="5">
        <f>IF($E802="","",INDEX('Input Transaksi'!$F:$F,$E802))</f>
        <v/>
      </c>
      <c r="E802">
        <f>IFERROR(AGGREGATE(15,6,ROW('Input Transaksi'!$B$5:$B$5000)/('Input Transaksi'!$B$5:$B$5000="LONDRI DEWE ANTASURA"),ROWS($E$5:E802)),"")</f>
        <v/>
      </c>
      <c r="F802" s="5" t="n"/>
    </row>
    <row r="803">
      <c r="A803" s="10">
        <f>IF($E803="","",INDEX('Input Transaksi'!$A:$A,$E803))</f>
        <v/>
      </c>
      <c r="B803" s="5">
        <f>IF($E803="","",INDEX('Input Transaksi'!$D:$D,$E803))</f>
        <v/>
      </c>
      <c r="C803">
        <f>IF($E803="","",INDEX('Input Transaksi'!$E:$E,$E803))</f>
        <v/>
      </c>
      <c r="D803" s="5">
        <f>IF($E803="","",INDEX('Input Transaksi'!$F:$F,$E803))</f>
        <v/>
      </c>
      <c r="E803">
        <f>IFERROR(AGGREGATE(15,6,ROW('Input Transaksi'!$B$5:$B$5000)/('Input Transaksi'!$B$5:$B$5000="LONDRI DEWE ANTASURA"),ROWS($E$5:E803)),"")</f>
        <v/>
      </c>
      <c r="F803" s="5" t="n"/>
    </row>
    <row r="804">
      <c r="A804" s="10">
        <f>IF($E804="","",INDEX('Input Transaksi'!$A:$A,$E804))</f>
        <v/>
      </c>
      <c r="B804" s="5">
        <f>IF($E804="","",INDEX('Input Transaksi'!$D:$D,$E804))</f>
        <v/>
      </c>
      <c r="C804">
        <f>IF($E804="","",INDEX('Input Transaksi'!$E:$E,$E804))</f>
        <v/>
      </c>
      <c r="D804" s="5">
        <f>IF($E804="","",INDEX('Input Transaksi'!$F:$F,$E804))</f>
        <v/>
      </c>
      <c r="E804">
        <f>IFERROR(AGGREGATE(15,6,ROW('Input Transaksi'!$B$5:$B$5000)/('Input Transaksi'!$B$5:$B$5000="LONDRI DEWE ANTASURA"),ROWS($E$5:E804)),"")</f>
        <v/>
      </c>
      <c r="F804" s="5" t="n"/>
    </row>
    <row r="805">
      <c r="A805" s="10">
        <f>IF($E805="","",INDEX('Input Transaksi'!$A:$A,$E805))</f>
        <v/>
      </c>
      <c r="B805" s="5">
        <f>IF($E805="","",INDEX('Input Transaksi'!$D:$D,$E805))</f>
        <v/>
      </c>
      <c r="C805">
        <f>IF($E805="","",INDEX('Input Transaksi'!$E:$E,$E805))</f>
        <v/>
      </c>
      <c r="D805" s="5">
        <f>IF($E805="","",INDEX('Input Transaksi'!$F:$F,$E805))</f>
        <v/>
      </c>
      <c r="E805">
        <f>IFERROR(AGGREGATE(15,6,ROW('Input Transaksi'!$B$5:$B$5000)/('Input Transaksi'!$B$5:$B$5000="LONDRI DEWE ANTASURA"),ROWS($E$5:E805)),"")</f>
        <v/>
      </c>
      <c r="F805" s="5" t="n"/>
    </row>
    <row r="806">
      <c r="A806" s="10">
        <f>IF($E806="","",INDEX('Input Transaksi'!$A:$A,$E806))</f>
        <v/>
      </c>
      <c r="B806" s="5">
        <f>IF($E806="","",INDEX('Input Transaksi'!$D:$D,$E806))</f>
        <v/>
      </c>
      <c r="C806">
        <f>IF($E806="","",INDEX('Input Transaksi'!$E:$E,$E806))</f>
        <v/>
      </c>
      <c r="D806" s="5">
        <f>IF($E806="","",INDEX('Input Transaksi'!$F:$F,$E806))</f>
        <v/>
      </c>
      <c r="E806">
        <f>IFERROR(AGGREGATE(15,6,ROW('Input Transaksi'!$B$5:$B$5000)/('Input Transaksi'!$B$5:$B$5000="LONDRI DEWE ANTASURA"),ROWS($E$5:E806)),"")</f>
        <v/>
      </c>
      <c r="F806" s="5" t="n"/>
    </row>
    <row r="807">
      <c r="A807" s="10">
        <f>IF($E807="","",INDEX('Input Transaksi'!$A:$A,$E807))</f>
        <v/>
      </c>
      <c r="B807" s="5">
        <f>IF($E807="","",INDEX('Input Transaksi'!$D:$D,$E807))</f>
        <v/>
      </c>
      <c r="C807">
        <f>IF($E807="","",INDEX('Input Transaksi'!$E:$E,$E807))</f>
        <v/>
      </c>
      <c r="D807" s="5">
        <f>IF($E807="","",INDEX('Input Transaksi'!$F:$F,$E807))</f>
        <v/>
      </c>
      <c r="E807">
        <f>IFERROR(AGGREGATE(15,6,ROW('Input Transaksi'!$B$5:$B$5000)/('Input Transaksi'!$B$5:$B$5000="LONDRI DEWE ANTASURA"),ROWS($E$5:E807)),"")</f>
        <v/>
      </c>
      <c r="F807" s="5" t="n"/>
    </row>
    <row r="808">
      <c r="A808" s="10">
        <f>IF($E808="","",INDEX('Input Transaksi'!$A:$A,$E808))</f>
        <v/>
      </c>
      <c r="B808" s="5">
        <f>IF($E808="","",INDEX('Input Transaksi'!$D:$D,$E808))</f>
        <v/>
      </c>
      <c r="C808">
        <f>IF($E808="","",INDEX('Input Transaksi'!$E:$E,$E808))</f>
        <v/>
      </c>
      <c r="D808" s="5">
        <f>IF($E808="","",INDEX('Input Transaksi'!$F:$F,$E808))</f>
        <v/>
      </c>
      <c r="E808">
        <f>IFERROR(AGGREGATE(15,6,ROW('Input Transaksi'!$B$5:$B$5000)/('Input Transaksi'!$B$5:$B$5000="LONDRI DEWE ANTASURA"),ROWS($E$5:E808)),"")</f>
        <v/>
      </c>
      <c r="F808" s="5" t="n"/>
    </row>
    <row r="809">
      <c r="A809" s="10">
        <f>IF($E809="","",INDEX('Input Transaksi'!$A:$A,$E809))</f>
        <v/>
      </c>
      <c r="B809" s="5">
        <f>IF($E809="","",INDEX('Input Transaksi'!$D:$D,$E809))</f>
        <v/>
      </c>
      <c r="C809">
        <f>IF($E809="","",INDEX('Input Transaksi'!$E:$E,$E809))</f>
        <v/>
      </c>
      <c r="D809" s="5">
        <f>IF($E809="","",INDEX('Input Transaksi'!$F:$F,$E809))</f>
        <v/>
      </c>
      <c r="E809">
        <f>IFERROR(AGGREGATE(15,6,ROW('Input Transaksi'!$B$5:$B$5000)/('Input Transaksi'!$B$5:$B$5000="LONDRI DEWE ANTASURA"),ROWS($E$5:E809)),"")</f>
        <v/>
      </c>
      <c r="F809" s="5" t="n"/>
    </row>
    <row r="810">
      <c r="A810" s="10">
        <f>IF($E810="","",INDEX('Input Transaksi'!$A:$A,$E810))</f>
        <v/>
      </c>
      <c r="B810" s="5">
        <f>IF($E810="","",INDEX('Input Transaksi'!$D:$D,$E810))</f>
        <v/>
      </c>
      <c r="C810">
        <f>IF($E810="","",INDEX('Input Transaksi'!$E:$E,$E810))</f>
        <v/>
      </c>
      <c r="D810" s="5">
        <f>IF($E810="","",INDEX('Input Transaksi'!$F:$F,$E810))</f>
        <v/>
      </c>
      <c r="E810">
        <f>IFERROR(AGGREGATE(15,6,ROW('Input Transaksi'!$B$5:$B$5000)/('Input Transaksi'!$B$5:$B$5000="LONDRI DEWE ANTASURA"),ROWS($E$5:E810)),"")</f>
        <v/>
      </c>
      <c r="F810" s="5" t="n"/>
    </row>
    <row r="811">
      <c r="A811" s="10">
        <f>IF($E811="","",INDEX('Input Transaksi'!$A:$A,$E811))</f>
        <v/>
      </c>
      <c r="B811" s="5">
        <f>IF($E811="","",INDEX('Input Transaksi'!$D:$D,$E811))</f>
        <v/>
      </c>
      <c r="C811">
        <f>IF($E811="","",INDEX('Input Transaksi'!$E:$E,$E811))</f>
        <v/>
      </c>
      <c r="D811" s="5">
        <f>IF($E811="","",INDEX('Input Transaksi'!$F:$F,$E811))</f>
        <v/>
      </c>
      <c r="E811">
        <f>IFERROR(AGGREGATE(15,6,ROW('Input Transaksi'!$B$5:$B$5000)/('Input Transaksi'!$B$5:$B$5000="LONDRI DEWE ANTASURA"),ROWS($E$5:E811)),"")</f>
        <v/>
      </c>
      <c r="F811" s="5" t="n"/>
    </row>
    <row r="812">
      <c r="A812" s="10">
        <f>IF($E812="","",INDEX('Input Transaksi'!$A:$A,$E812))</f>
        <v/>
      </c>
      <c r="B812" s="5">
        <f>IF($E812="","",INDEX('Input Transaksi'!$D:$D,$E812))</f>
        <v/>
      </c>
      <c r="C812">
        <f>IF($E812="","",INDEX('Input Transaksi'!$E:$E,$E812))</f>
        <v/>
      </c>
      <c r="D812" s="5">
        <f>IF($E812="","",INDEX('Input Transaksi'!$F:$F,$E812))</f>
        <v/>
      </c>
      <c r="E812">
        <f>IFERROR(AGGREGATE(15,6,ROW('Input Transaksi'!$B$5:$B$5000)/('Input Transaksi'!$B$5:$B$5000="LONDRI DEWE ANTASURA"),ROWS($E$5:E812)),"")</f>
        <v/>
      </c>
      <c r="F812" s="5" t="n"/>
    </row>
    <row r="813">
      <c r="A813" s="10">
        <f>IF($E813="","",INDEX('Input Transaksi'!$A:$A,$E813))</f>
        <v/>
      </c>
      <c r="B813" s="5">
        <f>IF($E813="","",INDEX('Input Transaksi'!$D:$D,$E813))</f>
        <v/>
      </c>
      <c r="C813">
        <f>IF($E813="","",INDEX('Input Transaksi'!$E:$E,$E813))</f>
        <v/>
      </c>
      <c r="D813" s="5">
        <f>IF($E813="","",INDEX('Input Transaksi'!$F:$F,$E813))</f>
        <v/>
      </c>
      <c r="E813">
        <f>IFERROR(AGGREGATE(15,6,ROW('Input Transaksi'!$B$5:$B$5000)/('Input Transaksi'!$B$5:$B$5000="LONDRI DEWE ANTASURA"),ROWS($E$5:E813)),"")</f>
        <v/>
      </c>
      <c r="F813" s="5" t="n"/>
    </row>
    <row r="814">
      <c r="A814" s="10">
        <f>IF($E814="","",INDEX('Input Transaksi'!$A:$A,$E814))</f>
        <v/>
      </c>
      <c r="B814" s="5">
        <f>IF($E814="","",INDEX('Input Transaksi'!$D:$D,$E814))</f>
        <v/>
      </c>
      <c r="C814">
        <f>IF($E814="","",INDEX('Input Transaksi'!$E:$E,$E814))</f>
        <v/>
      </c>
      <c r="D814" s="5">
        <f>IF($E814="","",INDEX('Input Transaksi'!$F:$F,$E814))</f>
        <v/>
      </c>
      <c r="E814">
        <f>IFERROR(AGGREGATE(15,6,ROW('Input Transaksi'!$B$5:$B$5000)/('Input Transaksi'!$B$5:$B$5000="LONDRI DEWE ANTASURA"),ROWS($E$5:E814)),"")</f>
        <v/>
      </c>
      <c r="F814" s="5" t="n"/>
    </row>
    <row r="815">
      <c r="A815" s="10">
        <f>IF($E815="","",INDEX('Input Transaksi'!$A:$A,$E815))</f>
        <v/>
      </c>
      <c r="B815" s="5">
        <f>IF($E815="","",INDEX('Input Transaksi'!$D:$D,$E815))</f>
        <v/>
      </c>
      <c r="C815">
        <f>IF($E815="","",INDEX('Input Transaksi'!$E:$E,$E815))</f>
        <v/>
      </c>
      <c r="D815" s="5">
        <f>IF($E815="","",INDEX('Input Transaksi'!$F:$F,$E815))</f>
        <v/>
      </c>
      <c r="E815">
        <f>IFERROR(AGGREGATE(15,6,ROW('Input Transaksi'!$B$5:$B$5000)/('Input Transaksi'!$B$5:$B$5000="LONDRI DEWE ANTASURA"),ROWS($E$5:E815)),"")</f>
        <v/>
      </c>
      <c r="F815" s="5" t="n"/>
    </row>
    <row r="816">
      <c r="A816" s="10">
        <f>IF($E816="","",INDEX('Input Transaksi'!$A:$A,$E816))</f>
        <v/>
      </c>
      <c r="B816" s="5">
        <f>IF($E816="","",INDEX('Input Transaksi'!$D:$D,$E816))</f>
        <v/>
      </c>
      <c r="C816">
        <f>IF($E816="","",INDEX('Input Transaksi'!$E:$E,$E816))</f>
        <v/>
      </c>
      <c r="D816" s="5">
        <f>IF($E816="","",INDEX('Input Transaksi'!$F:$F,$E816))</f>
        <v/>
      </c>
      <c r="E816">
        <f>IFERROR(AGGREGATE(15,6,ROW('Input Transaksi'!$B$5:$B$5000)/('Input Transaksi'!$B$5:$B$5000="LONDRI DEWE ANTASURA"),ROWS($E$5:E816)),"")</f>
        <v/>
      </c>
      <c r="F816" s="5" t="n"/>
    </row>
    <row r="817">
      <c r="A817" s="10">
        <f>IF($E817="","",INDEX('Input Transaksi'!$A:$A,$E817))</f>
        <v/>
      </c>
      <c r="B817" s="5">
        <f>IF($E817="","",INDEX('Input Transaksi'!$D:$D,$E817))</f>
        <v/>
      </c>
      <c r="C817">
        <f>IF($E817="","",INDEX('Input Transaksi'!$E:$E,$E817))</f>
        <v/>
      </c>
      <c r="D817" s="5">
        <f>IF($E817="","",INDEX('Input Transaksi'!$F:$F,$E817))</f>
        <v/>
      </c>
      <c r="E817">
        <f>IFERROR(AGGREGATE(15,6,ROW('Input Transaksi'!$B$5:$B$5000)/('Input Transaksi'!$B$5:$B$5000="LONDRI DEWE ANTASURA"),ROWS($E$5:E817)),"")</f>
        <v/>
      </c>
      <c r="F817" s="5" t="n"/>
    </row>
    <row r="818">
      <c r="A818" s="10">
        <f>IF($E818="","",INDEX('Input Transaksi'!$A:$A,$E818))</f>
        <v/>
      </c>
      <c r="B818" s="5">
        <f>IF($E818="","",INDEX('Input Transaksi'!$D:$D,$E818))</f>
        <v/>
      </c>
      <c r="C818">
        <f>IF($E818="","",INDEX('Input Transaksi'!$E:$E,$E818))</f>
        <v/>
      </c>
      <c r="D818" s="5">
        <f>IF($E818="","",INDEX('Input Transaksi'!$F:$F,$E818))</f>
        <v/>
      </c>
      <c r="E818">
        <f>IFERROR(AGGREGATE(15,6,ROW('Input Transaksi'!$B$5:$B$5000)/('Input Transaksi'!$B$5:$B$5000="LONDRI DEWE ANTASURA"),ROWS($E$5:E818)),"")</f>
        <v/>
      </c>
      <c r="F818" s="5" t="n"/>
    </row>
    <row r="819">
      <c r="A819" s="10">
        <f>IF($E819="","",INDEX('Input Transaksi'!$A:$A,$E819))</f>
        <v/>
      </c>
      <c r="B819" s="5">
        <f>IF($E819="","",INDEX('Input Transaksi'!$D:$D,$E819))</f>
        <v/>
      </c>
      <c r="C819">
        <f>IF($E819="","",INDEX('Input Transaksi'!$E:$E,$E819))</f>
        <v/>
      </c>
      <c r="D819" s="5">
        <f>IF($E819="","",INDEX('Input Transaksi'!$F:$F,$E819))</f>
        <v/>
      </c>
      <c r="E819">
        <f>IFERROR(AGGREGATE(15,6,ROW('Input Transaksi'!$B$5:$B$5000)/('Input Transaksi'!$B$5:$B$5000="LONDRI DEWE ANTASURA"),ROWS($E$5:E819)),"")</f>
        <v/>
      </c>
      <c r="F819" s="5" t="n"/>
    </row>
    <row r="820">
      <c r="A820" s="10">
        <f>IF($E820="","",INDEX('Input Transaksi'!$A:$A,$E820))</f>
        <v/>
      </c>
      <c r="B820" s="5">
        <f>IF($E820="","",INDEX('Input Transaksi'!$D:$D,$E820))</f>
        <v/>
      </c>
      <c r="C820">
        <f>IF($E820="","",INDEX('Input Transaksi'!$E:$E,$E820))</f>
        <v/>
      </c>
      <c r="D820" s="5">
        <f>IF($E820="","",INDEX('Input Transaksi'!$F:$F,$E820))</f>
        <v/>
      </c>
      <c r="E820">
        <f>IFERROR(AGGREGATE(15,6,ROW('Input Transaksi'!$B$5:$B$5000)/('Input Transaksi'!$B$5:$B$5000="LONDRI DEWE ANTASURA"),ROWS($E$5:E820)),"")</f>
        <v/>
      </c>
      <c r="F820" s="5" t="n"/>
    </row>
    <row r="821">
      <c r="A821" s="10">
        <f>IF($E821="","",INDEX('Input Transaksi'!$A:$A,$E821))</f>
        <v/>
      </c>
      <c r="B821" s="5">
        <f>IF($E821="","",INDEX('Input Transaksi'!$D:$D,$E821))</f>
        <v/>
      </c>
      <c r="C821">
        <f>IF($E821="","",INDEX('Input Transaksi'!$E:$E,$E821))</f>
        <v/>
      </c>
      <c r="D821" s="5">
        <f>IF($E821="","",INDEX('Input Transaksi'!$F:$F,$E821))</f>
        <v/>
      </c>
      <c r="E821">
        <f>IFERROR(AGGREGATE(15,6,ROW('Input Transaksi'!$B$5:$B$5000)/('Input Transaksi'!$B$5:$B$5000="LONDRI DEWE ANTASURA"),ROWS($E$5:E821)),"")</f>
        <v/>
      </c>
      <c r="F821" s="5" t="n"/>
    </row>
    <row r="822">
      <c r="A822" s="10">
        <f>IF($E822="","",INDEX('Input Transaksi'!$A:$A,$E822))</f>
        <v/>
      </c>
      <c r="B822" s="5">
        <f>IF($E822="","",INDEX('Input Transaksi'!$D:$D,$E822))</f>
        <v/>
      </c>
      <c r="C822">
        <f>IF($E822="","",INDEX('Input Transaksi'!$E:$E,$E822))</f>
        <v/>
      </c>
      <c r="D822" s="5">
        <f>IF($E822="","",INDEX('Input Transaksi'!$F:$F,$E822))</f>
        <v/>
      </c>
      <c r="E822">
        <f>IFERROR(AGGREGATE(15,6,ROW('Input Transaksi'!$B$5:$B$5000)/('Input Transaksi'!$B$5:$B$5000="LONDRI DEWE ANTASURA"),ROWS($E$5:E822)),"")</f>
        <v/>
      </c>
      <c r="F822" s="5" t="n"/>
    </row>
    <row r="823">
      <c r="A823" s="10">
        <f>IF($E823="","",INDEX('Input Transaksi'!$A:$A,$E823))</f>
        <v/>
      </c>
      <c r="B823" s="5">
        <f>IF($E823="","",INDEX('Input Transaksi'!$D:$D,$E823))</f>
        <v/>
      </c>
      <c r="C823">
        <f>IF($E823="","",INDEX('Input Transaksi'!$E:$E,$E823))</f>
        <v/>
      </c>
      <c r="D823" s="5">
        <f>IF($E823="","",INDEX('Input Transaksi'!$F:$F,$E823))</f>
        <v/>
      </c>
      <c r="E823">
        <f>IFERROR(AGGREGATE(15,6,ROW('Input Transaksi'!$B$5:$B$5000)/('Input Transaksi'!$B$5:$B$5000="LONDRI DEWE ANTASURA"),ROWS($E$5:E823)),"")</f>
        <v/>
      </c>
      <c r="F823" s="5" t="n"/>
    </row>
    <row r="824">
      <c r="A824" s="10">
        <f>IF($E824="","",INDEX('Input Transaksi'!$A:$A,$E824))</f>
        <v/>
      </c>
      <c r="B824" s="5">
        <f>IF($E824="","",INDEX('Input Transaksi'!$D:$D,$E824))</f>
        <v/>
      </c>
      <c r="C824">
        <f>IF($E824="","",INDEX('Input Transaksi'!$E:$E,$E824))</f>
        <v/>
      </c>
      <c r="D824" s="5">
        <f>IF($E824="","",INDEX('Input Transaksi'!$F:$F,$E824))</f>
        <v/>
      </c>
      <c r="E824">
        <f>IFERROR(AGGREGATE(15,6,ROW('Input Transaksi'!$B$5:$B$5000)/('Input Transaksi'!$B$5:$B$5000="LONDRI DEWE ANTASURA"),ROWS($E$5:E824)),"")</f>
        <v/>
      </c>
      <c r="F824" s="5" t="n"/>
    </row>
    <row r="825">
      <c r="A825" s="10">
        <f>IF($E825="","",INDEX('Input Transaksi'!$A:$A,$E825))</f>
        <v/>
      </c>
      <c r="B825" s="5">
        <f>IF($E825="","",INDEX('Input Transaksi'!$D:$D,$E825))</f>
        <v/>
      </c>
      <c r="C825">
        <f>IF($E825="","",INDEX('Input Transaksi'!$E:$E,$E825))</f>
        <v/>
      </c>
      <c r="D825" s="5">
        <f>IF($E825="","",INDEX('Input Transaksi'!$F:$F,$E825))</f>
        <v/>
      </c>
      <c r="E825">
        <f>IFERROR(AGGREGATE(15,6,ROW('Input Transaksi'!$B$5:$B$5000)/('Input Transaksi'!$B$5:$B$5000="LONDRI DEWE ANTASURA"),ROWS($E$5:E825)),"")</f>
        <v/>
      </c>
      <c r="F825" s="5" t="n"/>
    </row>
    <row r="826">
      <c r="A826" s="10">
        <f>IF($E826="","",INDEX('Input Transaksi'!$A:$A,$E826))</f>
        <v/>
      </c>
      <c r="B826" s="5">
        <f>IF($E826="","",INDEX('Input Transaksi'!$D:$D,$E826))</f>
        <v/>
      </c>
      <c r="C826">
        <f>IF($E826="","",INDEX('Input Transaksi'!$E:$E,$E826))</f>
        <v/>
      </c>
      <c r="D826" s="5">
        <f>IF($E826="","",INDEX('Input Transaksi'!$F:$F,$E826))</f>
        <v/>
      </c>
      <c r="E826">
        <f>IFERROR(AGGREGATE(15,6,ROW('Input Transaksi'!$B$5:$B$5000)/('Input Transaksi'!$B$5:$B$5000="LONDRI DEWE ANTASURA"),ROWS($E$5:E826)),"")</f>
        <v/>
      </c>
      <c r="F826" s="5" t="n"/>
    </row>
    <row r="827">
      <c r="A827" s="10">
        <f>IF($E827="","",INDEX('Input Transaksi'!$A:$A,$E827))</f>
        <v/>
      </c>
      <c r="B827" s="5">
        <f>IF($E827="","",INDEX('Input Transaksi'!$D:$D,$E827))</f>
        <v/>
      </c>
      <c r="C827">
        <f>IF($E827="","",INDEX('Input Transaksi'!$E:$E,$E827))</f>
        <v/>
      </c>
      <c r="D827" s="5">
        <f>IF($E827="","",INDEX('Input Transaksi'!$F:$F,$E827))</f>
        <v/>
      </c>
      <c r="E827">
        <f>IFERROR(AGGREGATE(15,6,ROW('Input Transaksi'!$B$5:$B$5000)/('Input Transaksi'!$B$5:$B$5000="LONDRI DEWE ANTASURA"),ROWS($E$5:E827)),"")</f>
        <v/>
      </c>
      <c r="F827" s="5" t="n"/>
    </row>
    <row r="828">
      <c r="A828" s="10">
        <f>IF($E828="","",INDEX('Input Transaksi'!$A:$A,$E828))</f>
        <v/>
      </c>
      <c r="B828" s="5">
        <f>IF($E828="","",INDEX('Input Transaksi'!$D:$D,$E828))</f>
        <v/>
      </c>
      <c r="C828">
        <f>IF($E828="","",INDEX('Input Transaksi'!$E:$E,$E828))</f>
        <v/>
      </c>
      <c r="D828" s="5">
        <f>IF($E828="","",INDEX('Input Transaksi'!$F:$F,$E828))</f>
        <v/>
      </c>
      <c r="E828">
        <f>IFERROR(AGGREGATE(15,6,ROW('Input Transaksi'!$B$5:$B$5000)/('Input Transaksi'!$B$5:$B$5000="LONDRI DEWE ANTASURA"),ROWS($E$5:E828)),"")</f>
        <v/>
      </c>
      <c r="F828" s="5" t="n"/>
    </row>
    <row r="829">
      <c r="A829" s="10">
        <f>IF($E829="","",INDEX('Input Transaksi'!$A:$A,$E829))</f>
        <v/>
      </c>
      <c r="B829" s="5">
        <f>IF($E829="","",INDEX('Input Transaksi'!$D:$D,$E829))</f>
        <v/>
      </c>
      <c r="C829">
        <f>IF($E829="","",INDEX('Input Transaksi'!$E:$E,$E829))</f>
        <v/>
      </c>
      <c r="D829" s="5">
        <f>IF($E829="","",INDEX('Input Transaksi'!$F:$F,$E829))</f>
        <v/>
      </c>
      <c r="E829">
        <f>IFERROR(AGGREGATE(15,6,ROW('Input Transaksi'!$B$5:$B$5000)/('Input Transaksi'!$B$5:$B$5000="LONDRI DEWE ANTASURA"),ROWS($E$5:E829)),"")</f>
        <v/>
      </c>
      <c r="F829" s="5" t="n"/>
    </row>
    <row r="830">
      <c r="A830" s="10">
        <f>IF($E830="","",INDEX('Input Transaksi'!$A:$A,$E830))</f>
        <v/>
      </c>
      <c r="B830" s="5">
        <f>IF($E830="","",INDEX('Input Transaksi'!$D:$D,$E830))</f>
        <v/>
      </c>
      <c r="C830">
        <f>IF($E830="","",INDEX('Input Transaksi'!$E:$E,$E830))</f>
        <v/>
      </c>
      <c r="D830" s="5">
        <f>IF($E830="","",INDEX('Input Transaksi'!$F:$F,$E830))</f>
        <v/>
      </c>
      <c r="E830">
        <f>IFERROR(AGGREGATE(15,6,ROW('Input Transaksi'!$B$5:$B$5000)/('Input Transaksi'!$B$5:$B$5000="LONDRI DEWE ANTASURA"),ROWS($E$5:E830)),"")</f>
        <v/>
      </c>
      <c r="F830" s="5" t="n"/>
    </row>
    <row r="831">
      <c r="A831" s="10">
        <f>IF($E831="","",INDEX('Input Transaksi'!$A:$A,$E831))</f>
        <v/>
      </c>
      <c r="B831" s="5">
        <f>IF($E831="","",INDEX('Input Transaksi'!$D:$D,$E831))</f>
        <v/>
      </c>
      <c r="C831">
        <f>IF($E831="","",INDEX('Input Transaksi'!$E:$E,$E831))</f>
        <v/>
      </c>
      <c r="D831" s="5">
        <f>IF($E831="","",INDEX('Input Transaksi'!$F:$F,$E831))</f>
        <v/>
      </c>
      <c r="E831">
        <f>IFERROR(AGGREGATE(15,6,ROW('Input Transaksi'!$B$5:$B$5000)/('Input Transaksi'!$B$5:$B$5000="LONDRI DEWE ANTASURA"),ROWS($E$5:E831)),"")</f>
        <v/>
      </c>
      <c r="F831" s="5" t="n"/>
    </row>
    <row r="832">
      <c r="A832" s="10">
        <f>IF($E832="","",INDEX('Input Transaksi'!$A:$A,$E832))</f>
        <v/>
      </c>
      <c r="B832" s="5">
        <f>IF($E832="","",INDEX('Input Transaksi'!$D:$D,$E832))</f>
        <v/>
      </c>
      <c r="C832">
        <f>IF($E832="","",INDEX('Input Transaksi'!$E:$E,$E832))</f>
        <v/>
      </c>
      <c r="D832" s="5">
        <f>IF($E832="","",INDEX('Input Transaksi'!$F:$F,$E832))</f>
        <v/>
      </c>
      <c r="E832">
        <f>IFERROR(AGGREGATE(15,6,ROW('Input Transaksi'!$B$5:$B$5000)/('Input Transaksi'!$B$5:$B$5000="LONDRI DEWE ANTASURA"),ROWS($E$5:E832)),"")</f>
        <v/>
      </c>
      <c r="F832" s="5" t="n"/>
    </row>
    <row r="833">
      <c r="A833" s="10">
        <f>IF($E833="","",INDEX('Input Transaksi'!$A:$A,$E833))</f>
        <v/>
      </c>
      <c r="B833" s="5">
        <f>IF($E833="","",INDEX('Input Transaksi'!$D:$D,$E833))</f>
        <v/>
      </c>
      <c r="C833">
        <f>IF($E833="","",INDEX('Input Transaksi'!$E:$E,$E833))</f>
        <v/>
      </c>
      <c r="D833" s="5">
        <f>IF($E833="","",INDEX('Input Transaksi'!$F:$F,$E833))</f>
        <v/>
      </c>
      <c r="E833">
        <f>IFERROR(AGGREGATE(15,6,ROW('Input Transaksi'!$B$5:$B$5000)/('Input Transaksi'!$B$5:$B$5000="LONDRI DEWE ANTASURA"),ROWS($E$5:E833)),"")</f>
        <v/>
      </c>
      <c r="F833" s="5" t="n"/>
    </row>
    <row r="834">
      <c r="A834" s="10">
        <f>IF($E834="","",INDEX('Input Transaksi'!$A:$A,$E834))</f>
        <v/>
      </c>
      <c r="B834" s="5">
        <f>IF($E834="","",INDEX('Input Transaksi'!$D:$D,$E834))</f>
        <v/>
      </c>
      <c r="C834">
        <f>IF($E834="","",INDEX('Input Transaksi'!$E:$E,$E834))</f>
        <v/>
      </c>
      <c r="D834" s="5">
        <f>IF($E834="","",INDEX('Input Transaksi'!$F:$F,$E834))</f>
        <v/>
      </c>
      <c r="E834">
        <f>IFERROR(AGGREGATE(15,6,ROW('Input Transaksi'!$B$5:$B$5000)/('Input Transaksi'!$B$5:$B$5000="LONDRI DEWE ANTASURA"),ROWS($E$5:E834)),"")</f>
        <v/>
      </c>
      <c r="F834" s="5" t="n"/>
    </row>
    <row r="835">
      <c r="A835" s="10">
        <f>IF($E835="","",INDEX('Input Transaksi'!$A:$A,$E835))</f>
        <v/>
      </c>
      <c r="B835" s="5">
        <f>IF($E835="","",INDEX('Input Transaksi'!$D:$D,$E835))</f>
        <v/>
      </c>
      <c r="C835">
        <f>IF($E835="","",INDEX('Input Transaksi'!$E:$E,$E835))</f>
        <v/>
      </c>
      <c r="D835" s="5">
        <f>IF($E835="","",INDEX('Input Transaksi'!$F:$F,$E835))</f>
        <v/>
      </c>
      <c r="E835">
        <f>IFERROR(AGGREGATE(15,6,ROW('Input Transaksi'!$B$5:$B$5000)/('Input Transaksi'!$B$5:$B$5000="LONDRI DEWE ANTASURA"),ROWS($E$5:E835)),"")</f>
        <v/>
      </c>
      <c r="F835" s="5" t="n"/>
    </row>
    <row r="836">
      <c r="A836" s="10">
        <f>IF($E836="","",INDEX('Input Transaksi'!$A:$A,$E836))</f>
        <v/>
      </c>
      <c r="B836" s="5">
        <f>IF($E836="","",INDEX('Input Transaksi'!$D:$D,$E836))</f>
        <v/>
      </c>
      <c r="C836">
        <f>IF($E836="","",INDEX('Input Transaksi'!$E:$E,$E836))</f>
        <v/>
      </c>
      <c r="D836" s="5">
        <f>IF($E836="","",INDEX('Input Transaksi'!$F:$F,$E836))</f>
        <v/>
      </c>
      <c r="E836">
        <f>IFERROR(AGGREGATE(15,6,ROW('Input Transaksi'!$B$5:$B$5000)/('Input Transaksi'!$B$5:$B$5000="LONDRI DEWE ANTASURA"),ROWS($E$5:E836)),"")</f>
        <v/>
      </c>
      <c r="F836" s="5" t="n"/>
    </row>
    <row r="837">
      <c r="A837" s="10">
        <f>IF($E837="","",INDEX('Input Transaksi'!$A:$A,$E837))</f>
        <v/>
      </c>
      <c r="B837" s="5">
        <f>IF($E837="","",INDEX('Input Transaksi'!$D:$D,$E837))</f>
        <v/>
      </c>
      <c r="C837">
        <f>IF($E837="","",INDEX('Input Transaksi'!$E:$E,$E837))</f>
        <v/>
      </c>
      <c r="D837" s="5">
        <f>IF($E837="","",INDEX('Input Transaksi'!$F:$F,$E837))</f>
        <v/>
      </c>
      <c r="E837">
        <f>IFERROR(AGGREGATE(15,6,ROW('Input Transaksi'!$B$5:$B$5000)/('Input Transaksi'!$B$5:$B$5000="LONDRI DEWE ANTASURA"),ROWS($E$5:E837)),"")</f>
        <v/>
      </c>
      <c r="F837" s="5" t="n"/>
    </row>
    <row r="838">
      <c r="A838" s="10">
        <f>IF($E838="","",INDEX('Input Transaksi'!$A:$A,$E838))</f>
        <v/>
      </c>
      <c r="B838" s="5">
        <f>IF($E838="","",INDEX('Input Transaksi'!$D:$D,$E838))</f>
        <v/>
      </c>
      <c r="C838">
        <f>IF($E838="","",INDEX('Input Transaksi'!$E:$E,$E838))</f>
        <v/>
      </c>
      <c r="D838" s="5">
        <f>IF($E838="","",INDEX('Input Transaksi'!$F:$F,$E838))</f>
        <v/>
      </c>
      <c r="E838">
        <f>IFERROR(AGGREGATE(15,6,ROW('Input Transaksi'!$B$5:$B$5000)/('Input Transaksi'!$B$5:$B$5000="LONDRI DEWE ANTASURA"),ROWS($E$5:E838)),"")</f>
        <v/>
      </c>
      <c r="F838" s="5" t="n"/>
    </row>
    <row r="839">
      <c r="A839" s="10">
        <f>IF($E839="","",INDEX('Input Transaksi'!$A:$A,$E839))</f>
        <v/>
      </c>
      <c r="B839" s="5">
        <f>IF($E839="","",INDEX('Input Transaksi'!$D:$D,$E839))</f>
        <v/>
      </c>
      <c r="C839">
        <f>IF($E839="","",INDEX('Input Transaksi'!$E:$E,$E839))</f>
        <v/>
      </c>
      <c r="D839" s="5">
        <f>IF($E839="","",INDEX('Input Transaksi'!$F:$F,$E839))</f>
        <v/>
      </c>
      <c r="E839">
        <f>IFERROR(AGGREGATE(15,6,ROW('Input Transaksi'!$B$5:$B$5000)/('Input Transaksi'!$B$5:$B$5000="LONDRI DEWE ANTASURA"),ROWS($E$5:E839)),"")</f>
        <v/>
      </c>
      <c r="F839" s="5" t="n"/>
    </row>
    <row r="840">
      <c r="A840" s="10">
        <f>IF($E840="","",INDEX('Input Transaksi'!$A:$A,$E840))</f>
        <v/>
      </c>
      <c r="B840" s="5">
        <f>IF($E840="","",INDEX('Input Transaksi'!$D:$D,$E840))</f>
        <v/>
      </c>
      <c r="C840">
        <f>IF($E840="","",INDEX('Input Transaksi'!$E:$E,$E840))</f>
        <v/>
      </c>
      <c r="D840" s="5">
        <f>IF($E840="","",INDEX('Input Transaksi'!$F:$F,$E840))</f>
        <v/>
      </c>
      <c r="E840">
        <f>IFERROR(AGGREGATE(15,6,ROW('Input Transaksi'!$B$5:$B$5000)/('Input Transaksi'!$B$5:$B$5000="LONDRI DEWE ANTASURA"),ROWS($E$5:E840)),"")</f>
        <v/>
      </c>
      <c r="F840" s="5" t="n"/>
    </row>
    <row r="841">
      <c r="A841" s="10">
        <f>IF($E841="","",INDEX('Input Transaksi'!$A:$A,$E841))</f>
        <v/>
      </c>
      <c r="B841" s="5">
        <f>IF($E841="","",INDEX('Input Transaksi'!$D:$D,$E841))</f>
        <v/>
      </c>
      <c r="C841">
        <f>IF($E841="","",INDEX('Input Transaksi'!$E:$E,$E841))</f>
        <v/>
      </c>
      <c r="D841" s="5">
        <f>IF($E841="","",INDEX('Input Transaksi'!$F:$F,$E841))</f>
        <v/>
      </c>
      <c r="E841">
        <f>IFERROR(AGGREGATE(15,6,ROW('Input Transaksi'!$B$5:$B$5000)/('Input Transaksi'!$B$5:$B$5000="LONDRI DEWE ANTASURA"),ROWS($E$5:E841)),"")</f>
        <v/>
      </c>
      <c r="F841" s="5" t="n"/>
    </row>
    <row r="842">
      <c r="A842" s="10">
        <f>IF($E842="","",INDEX('Input Transaksi'!$A:$A,$E842))</f>
        <v/>
      </c>
      <c r="B842" s="5">
        <f>IF($E842="","",INDEX('Input Transaksi'!$D:$D,$E842))</f>
        <v/>
      </c>
      <c r="C842">
        <f>IF($E842="","",INDEX('Input Transaksi'!$E:$E,$E842))</f>
        <v/>
      </c>
      <c r="D842" s="5">
        <f>IF($E842="","",INDEX('Input Transaksi'!$F:$F,$E842))</f>
        <v/>
      </c>
      <c r="E842">
        <f>IFERROR(AGGREGATE(15,6,ROW('Input Transaksi'!$B$5:$B$5000)/('Input Transaksi'!$B$5:$B$5000="LONDRI DEWE ANTASURA"),ROWS($E$5:E842)),"")</f>
        <v/>
      </c>
      <c r="F842" s="5" t="n"/>
    </row>
    <row r="843">
      <c r="A843" s="10">
        <f>IF($E843="","",INDEX('Input Transaksi'!$A:$A,$E843))</f>
        <v/>
      </c>
      <c r="B843" s="5">
        <f>IF($E843="","",INDEX('Input Transaksi'!$D:$D,$E843))</f>
        <v/>
      </c>
      <c r="C843">
        <f>IF($E843="","",INDEX('Input Transaksi'!$E:$E,$E843))</f>
        <v/>
      </c>
      <c r="D843" s="5">
        <f>IF($E843="","",INDEX('Input Transaksi'!$F:$F,$E843))</f>
        <v/>
      </c>
      <c r="E843">
        <f>IFERROR(AGGREGATE(15,6,ROW('Input Transaksi'!$B$5:$B$5000)/('Input Transaksi'!$B$5:$B$5000="LONDRI DEWE ANTASURA"),ROWS($E$5:E843)),"")</f>
        <v/>
      </c>
      <c r="F843" s="5" t="n"/>
    </row>
    <row r="844">
      <c r="A844" s="10">
        <f>IF($E844="","",INDEX('Input Transaksi'!$A:$A,$E844))</f>
        <v/>
      </c>
      <c r="B844" s="5">
        <f>IF($E844="","",INDEX('Input Transaksi'!$D:$D,$E844))</f>
        <v/>
      </c>
      <c r="C844">
        <f>IF($E844="","",INDEX('Input Transaksi'!$E:$E,$E844))</f>
        <v/>
      </c>
      <c r="D844" s="5">
        <f>IF($E844="","",INDEX('Input Transaksi'!$F:$F,$E844))</f>
        <v/>
      </c>
      <c r="E844">
        <f>IFERROR(AGGREGATE(15,6,ROW('Input Transaksi'!$B$5:$B$5000)/('Input Transaksi'!$B$5:$B$5000="LONDRI DEWE ANTASURA"),ROWS($E$5:E844)),"")</f>
        <v/>
      </c>
      <c r="F844" s="5" t="n"/>
    </row>
    <row r="845">
      <c r="A845" s="10">
        <f>IF($E845="","",INDEX('Input Transaksi'!$A:$A,$E845))</f>
        <v/>
      </c>
      <c r="B845" s="5">
        <f>IF($E845="","",INDEX('Input Transaksi'!$D:$D,$E845))</f>
        <v/>
      </c>
      <c r="C845">
        <f>IF($E845="","",INDEX('Input Transaksi'!$E:$E,$E845))</f>
        <v/>
      </c>
      <c r="D845" s="5">
        <f>IF($E845="","",INDEX('Input Transaksi'!$F:$F,$E845))</f>
        <v/>
      </c>
      <c r="E845">
        <f>IFERROR(AGGREGATE(15,6,ROW('Input Transaksi'!$B$5:$B$5000)/('Input Transaksi'!$B$5:$B$5000="LONDRI DEWE ANTASURA"),ROWS($E$5:E845)),"")</f>
        <v/>
      </c>
      <c r="F845" s="5" t="n"/>
    </row>
    <row r="846">
      <c r="A846" s="10">
        <f>IF($E846="","",INDEX('Input Transaksi'!$A:$A,$E846))</f>
        <v/>
      </c>
      <c r="B846" s="5">
        <f>IF($E846="","",INDEX('Input Transaksi'!$D:$D,$E846))</f>
        <v/>
      </c>
      <c r="C846">
        <f>IF($E846="","",INDEX('Input Transaksi'!$E:$E,$E846))</f>
        <v/>
      </c>
      <c r="D846" s="5">
        <f>IF($E846="","",INDEX('Input Transaksi'!$F:$F,$E846))</f>
        <v/>
      </c>
      <c r="E846">
        <f>IFERROR(AGGREGATE(15,6,ROW('Input Transaksi'!$B$5:$B$5000)/('Input Transaksi'!$B$5:$B$5000="LONDRI DEWE ANTASURA"),ROWS($E$5:E846)),"")</f>
        <v/>
      </c>
      <c r="F846" s="5" t="n"/>
    </row>
    <row r="847">
      <c r="A847" s="10">
        <f>IF($E847="","",INDEX('Input Transaksi'!$A:$A,$E847))</f>
        <v/>
      </c>
      <c r="B847" s="5">
        <f>IF($E847="","",INDEX('Input Transaksi'!$D:$D,$E847))</f>
        <v/>
      </c>
      <c r="C847">
        <f>IF($E847="","",INDEX('Input Transaksi'!$E:$E,$E847))</f>
        <v/>
      </c>
      <c r="D847" s="5">
        <f>IF($E847="","",INDEX('Input Transaksi'!$F:$F,$E847))</f>
        <v/>
      </c>
      <c r="E847">
        <f>IFERROR(AGGREGATE(15,6,ROW('Input Transaksi'!$B$5:$B$5000)/('Input Transaksi'!$B$5:$B$5000="LONDRI DEWE ANTASURA"),ROWS($E$5:E847)),"")</f>
        <v/>
      </c>
      <c r="F847" s="5" t="n"/>
    </row>
    <row r="848">
      <c r="A848" s="10">
        <f>IF($E848="","",INDEX('Input Transaksi'!$A:$A,$E848))</f>
        <v/>
      </c>
      <c r="B848" s="5">
        <f>IF($E848="","",INDEX('Input Transaksi'!$D:$D,$E848))</f>
        <v/>
      </c>
      <c r="C848">
        <f>IF($E848="","",INDEX('Input Transaksi'!$E:$E,$E848))</f>
        <v/>
      </c>
      <c r="D848" s="5">
        <f>IF($E848="","",INDEX('Input Transaksi'!$F:$F,$E848))</f>
        <v/>
      </c>
      <c r="E848">
        <f>IFERROR(AGGREGATE(15,6,ROW('Input Transaksi'!$B$5:$B$5000)/('Input Transaksi'!$B$5:$B$5000="LONDRI DEWE ANTASURA"),ROWS($E$5:E848)),"")</f>
        <v/>
      </c>
      <c r="F848" s="5" t="n"/>
    </row>
    <row r="849">
      <c r="A849" s="10">
        <f>IF($E849="","",INDEX('Input Transaksi'!$A:$A,$E849))</f>
        <v/>
      </c>
      <c r="B849" s="5">
        <f>IF($E849="","",INDEX('Input Transaksi'!$D:$D,$E849))</f>
        <v/>
      </c>
      <c r="C849">
        <f>IF($E849="","",INDEX('Input Transaksi'!$E:$E,$E849))</f>
        <v/>
      </c>
      <c r="D849" s="5">
        <f>IF($E849="","",INDEX('Input Transaksi'!$F:$F,$E849))</f>
        <v/>
      </c>
      <c r="E849">
        <f>IFERROR(AGGREGATE(15,6,ROW('Input Transaksi'!$B$5:$B$5000)/('Input Transaksi'!$B$5:$B$5000="LONDRI DEWE ANTASURA"),ROWS($E$5:E849)),"")</f>
        <v/>
      </c>
      <c r="F849" s="5" t="n"/>
    </row>
    <row r="850">
      <c r="A850" s="10">
        <f>IF($E850="","",INDEX('Input Transaksi'!$A:$A,$E850))</f>
        <v/>
      </c>
      <c r="B850" s="5">
        <f>IF($E850="","",INDEX('Input Transaksi'!$D:$D,$E850))</f>
        <v/>
      </c>
      <c r="C850">
        <f>IF($E850="","",INDEX('Input Transaksi'!$E:$E,$E850))</f>
        <v/>
      </c>
      <c r="D850" s="5">
        <f>IF($E850="","",INDEX('Input Transaksi'!$F:$F,$E850))</f>
        <v/>
      </c>
      <c r="E850">
        <f>IFERROR(AGGREGATE(15,6,ROW('Input Transaksi'!$B$5:$B$5000)/('Input Transaksi'!$B$5:$B$5000="LONDRI DEWE ANTASURA"),ROWS($E$5:E850)),"")</f>
        <v/>
      </c>
      <c r="F850" s="5" t="n"/>
    </row>
    <row r="851">
      <c r="A851" s="10">
        <f>IF($E851="","",INDEX('Input Transaksi'!$A:$A,$E851))</f>
        <v/>
      </c>
      <c r="B851" s="5">
        <f>IF($E851="","",INDEX('Input Transaksi'!$D:$D,$E851))</f>
        <v/>
      </c>
      <c r="C851">
        <f>IF($E851="","",INDEX('Input Transaksi'!$E:$E,$E851))</f>
        <v/>
      </c>
      <c r="D851" s="5">
        <f>IF($E851="","",INDEX('Input Transaksi'!$F:$F,$E851))</f>
        <v/>
      </c>
      <c r="E851">
        <f>IFERROR(AGGREGATE(15,6,ROW('Input Transaksi'!$B$5:$B$5000)/('Input Transaksi'!$B$5:$B$5000="LONDRI DEWE ANTASURA"),ROWS($E$5:E851)),"")</f>
        <v/>
      </c>
      <c r="F851" s="5" t="n"/>
    </row>
    <row r="852">
      <c r="A852" s="10">
        <f>IF($E852="","",INDEX('Input Transaksi'!$A:$A,$E852))</f>
        <v/>
      </c>
      <c r="B852" s="5">
        <f>IF($E852="","",INDEX('Input Transaksi'!$D:$D,$E852))</f>
        <v/>
      </c>
      <c r="C852">
        <f>IF($E852="","",INDEX('Input Transaksi'!$E:$E,$E852))</f>
        <v/>
      </c>
      <c r="D852" s="5">
        <f>IF($E852="","",INDEX('Input Transaksi'!$F:$F,$E852))</f>
        <v/>
      </c>
      <c r="E852">
        <f>IFERROR(AGGREGATE(15,6,ROW('Input Transaksi'!$B$5:$B$5000)/('Input Transaksi'!$B$5:$B$5000="LONDRI DEWE ANTASURA"),ROWS($E$5:E852)),"")</f>
        <v/>
      </c>
      <c r="F852" s="5" t="n"/>
    </row>
    <row r="853">
      <c r="A853" s="10">
        <f>IF($E853="","",INDEX('Input Transaksi'!$A:$A,$E853))</f>
        <v/>
      </c>
      <c r="B853" s="5">
        <f>IF($E853="","",INDEX('Input Transaksi'!$D:$D,$E853))</f>
        <v/>
      </c>
      <c r="C853">
        <f>IF($E853="","",INDEX('Input Transaksi'!$E:$E,$E853))</f>
        <v/>
      </c>
      <c r="D853" s="5">
        <f>IF($E853="","",INDEX('Input Transaksi'!$F:$F,$E853))</f>
        <v/>
      </c>
      <c r="E853">
        <f>IFERROR(AGGREGATE(15,6,ROW('Input Transaksi'!$B$5:$B$5000)/('Input Transaksi'!$B$5:$B$5000="LONDRI DEWE ANTASURA"),ROWS($E$5:E853)),"")</f>
        <v/>
      </c>
      <c r="F853" s="5" t="n"/>
    </row>
    <row r="854">
      <c r="A854" s="10">
        <f>IF($E854="","",INDEX('Input Transaksi'!$A:$A,$E854))</f>
        <v/>
      </c>
      <c r="B854" s="5">
        <f>IF($E854="","",INDEX('Input Transaksi'!$D:$D,$E854))</f>
        <v/>
      </c>
      <c r="C854">
        <f>IF($E854="","",INDEX('Input Transaksi'!$E:$E,$E854))</f>
        <v/>
      </c>
      <c r="D854" s="5">
        <f>IF($E854="","",INDEX('Input Transaksi'!$F:$F,$E854))</f>
        <v/>
      </c>
      <c r="E854">
        <f>IFERROR(AGGREGATE(15,6,ROW('Input Transaksi'!$B$5:$B$5000)/('Input Transaksi'!$B$5:$B$5000="LONDRI DEWE ANTASURA"),ROWS($E$5:E854)),"")</f>
        <v/>
      </c>
      <c r="F854" s="5" t="n"/>
    </row>
    <row r="855">
      <c r="A855" s="10">
        <f>IF($E855="","",INDEX('Input Transaksi'!$A:$A,$E855))</f>
        <v/>
      </c>
      <c r="B855" s="5">
        <f>IF($E855="","",INDEX('Input Transaksi'!$D:$D,$E855))</f>
        <v/>
      </c>
      <c r="C855">
        <f>IF($E855="","",INDEX('Input Transaksi'!$E:$E,$E855))</f>
        <v/>
      </c>
      <c r="D855" s="5">
        <f>IF($E855="","",INDEX('Input Transaksi'!$F:$F,$E855))</f>
        <v/>
      </c>
      <c r="E855">
        <f>IFERROR(AGGREGATE(15,6,ROW('Input Transaksi'!$B$5:$B$5000)/('Input Transaksi'!$B$5:$B$5000="LONDRI DEWE ANTASURA"),ROWS($E$5:E855)),"")</f>
        <v/>
      </c>
      <c r="F855" s="5" t="n"/>
    </row>
    <row r="856">
      <c r="A856" s="10">
        <f>IF($E856="","",INDEX('Input Transaksi'!$A:$A,$E856))</f>
        <v/>
      </c>
      <c r="B856" s="5">
        <f>IF($E856="","",INDEX('Input Transaksi'!$D:$D,$E856))</f>
        <v/>
      </c>
      <c r="C856">
        <f>IF($E856="","",INDEX('Input Transaksi'!$E:$E,$E856))</f>
        <v/>
      </c>
      <c r="D856" s="5">
        <f>IF($E856="","",INDEX('Input Transaksi'!$F:$F,$E856))</f>
        <v/>
      </c>
      <c r="E856">
        <f>IFERROR(AGGREGATE(15,6,ROW('Input Transaksi'!$B$5:$B$5000)/('Input Transaksi'!$B$5:$B$5000="LONDRI DEWE ANTASURA"),ROWS($E$5:E856)),"")</f>
        <v/>
      </c>
      <c r="F856" s="5" t="n"/>
    </row>
    <row r="857">
      <c r="A857" s="10">
        <f>IF($E857="","",INDEX('Input Transaksi'!$A:$A,$E857))</f>
        <v/>
      </c>
      <c r="B857" s="5">
        <f>IF($E857="","",INDEX('Input Transaksi'!$D:$D,$E857))</f>
        <v/>
      </c>
      <c r="C857">
        <f>IF($E857="","",INDEX('Input Transaksi'!$E:$E,$E857))</f>
        <v/>
      </c>
      <c r="D857" s="5">
        <f>IF($E857="","",INDEX('Input Transaksi'!$F:$F,$E857))</f>
        <v/>
      </c>
      <c r="E857">
        <f>IFERROR(AGGREGATE(15,6,ROW('Input Transaksi'!$B$5:$B$5000)/('Input Transaksi'!$B$5:$B$5000="LONDRI DEWE ANTASURA"),ROWS($E$5:E857)),"")</f>
        <v/>
      </c>
      <c r="F857" s="5" t="n"/>
    </row>
    <row r="858">
      <c r="A858" s="10">
        <f>IF($E858="","",INDEX('Input Transaksi'!$A:$A,$E858))</f>
        <v/>
      </c>
      <c r="B858" s="5">
        <f>IF($E858="","",INDEX('Input Transaksi'!$D:$D,$E858))</f>
        <v/>
      </c>
      <c r="C858">
        <f>IF($E858="","",INDEX('Input Transaksi'!$E:$E,$E858))</f>
        <v/>
      </c>
      <c r="D858" s="5">
        <f>IF($E858="","",INDEX('Input Transaksi'!$F:$F,$E858))</f>
        <v/>
      </c>
      <c r="E858">
        <f>IFERROR(AGGREGATE(15,6,ROW('Input Transaksi'!$B$5:$B$5000)/('Input Transaksi'!$B$5:$B$5000="LONDRI DEWE ANTASURA"),ROWS($E$5:E858)),"")</f>
        <v/>
      </c>
      <c r="F858" s="5" t="n"/>
    </row>
    <row r="859">
      <c r="A859" s="10">
        <f>IF($E859="","",INDEX('Input Transaksi'!$A:$A,$E859))</f>
        <v/>
      </c>
      <c r="B859" s="5">
        <f>IF($E859="","",INDEX('Input Transaksi'!$D:$D,$E859))</f>
        <v/>
      </c>
      <c r="C859">
        <f>IF($E859="","",INDEX('Input Transaksi'!$E:$E,$E859))</f>
        <v/>
      </c>
      <c r="D859" s="5">
        <f>IF($E859="","",INDEX('Input Transaksi'!$F:$F,$E859))</f>
        <v/>
      </c>
      <c r="E859">
        <f>IFERROR(AGGREGATE(15,6,ROW('Input Transaksi'!$B$5:$B$5000)/('Input Transaksi'!$B$5:$B$5000="LONDRI DEWE ANTASURA"),ROWS($E$5:E859)),"")</f>
        <v/>
      </c>
      <c r="F859" s="5" t="n"/>
    </row>
    <row r="860">
      <c r="A860" s="10">
        <f>IF($E860="","",INDEX('Input Transaksi'!$A:$A,$E860))</f>
        <v/>
      </c>
      <c r="B860" s="5">
        <f>IF($E860="","",INDEX('Input Transaksi'!$D:$D,$E860))</f>
        <v/>
      </c>
      <c r="C860">
        <f>IF($E860="","",INDEX('Input Transaksi'!$E:$E,$E860))</f>
        <v/>
      </c>
      <c r="D860" s="5">
        <f>IF($E860="","",INDEX('Input Transaksi'!$F:$F,$E860))</f>
        <v/>
      </c>
      <c r="E860">
        <f>IFERROR(AGGREGATE(15,6,ROW('Input Transaksi'!$B$5:$B$5000)/('Input Transaksi'!$B$5:$B$5000="LONDRI DEWE ANTASURA"),ROWS($E$5:E860)),"")</f>
        <v/>
      </c>
      <c r="F860" s="5" t="n"/>
    </row>
    <row r="861">
      <c r="A861" s="10">
        <f>IF($E861="","",INDEX('Input Transaksi'!$A:$A,$E861))</f>
        <v/>
      </c>
      <c r="B861" s="5">
        <f>IF($E861="","",INDEX('Input Transaksi'!$D:$D,$E861))</f>
        <v/>
      </c>
      <c r="C861">
        <f>IF($E861="","",INDEX('Input Transaksi'!$E:$E,$E861))</f>
        <v/>
      </c>
      <c r="D861" s="5">
        <f>IF($E861="","",INDEX('Input Transaksi'!$F:$F,$E861))</f>
        <v/>
      </c>
      <c r="E861">
        <f>IFERROR(AGGREGATE(15,6,ROW('Input Transaksi'!$B$5:$B$5000)/('Input Transaksi'!$B$5:$B$5000="LONDRI DEWE ANTASURA"),ROWS($E$5:E861)),"")</f>
        <v/>
      </c>
      <c r="F861" s="5" t="n"/>
    </row>
    <row r="862">
      <c r="A862" s="10">
        <f>IF($E862="","",INDEX('Input Transaksi'!$A:$A,$E862))</f>
        <v/>
      </c>
      <c r="B862" s="5">
        <f>IF($E862="","",INDEX('Input Transaksi'!$D:$D,$E862))</f>
        <v/>
      </c>
      <c r="C862">
        <f>IF($E862="","",INDEX('Input Transaksi'!$E:$E,$E862))</f>
        <v/>
      </c>
      <c r="D862" s="5">
        <f>IF($E862="","",INDEX('Input Transaksi'!$F:$F,$E862))</f>
        <v/>
      </c>
      <c r="E862">
        <f>IFERROR(AGGREGATE(15,6,ROW('Input Transaksi'!$B$5:$B$5000)/('Input Transaksi'!$B$5:$B$5000="LONDRI DEWE ANTASURA"),ROWS($E$5:E862)),"")</f>
        <v/>
      </c>
      <c r="F862" s="5" t="n"/>
    </row>
    <row r="863">
      <c r="A863" s="10">
        <f>IF($E863="","",INDEX('Input Transaksi'!$A:$A,$E863))</f>
        <v/>
      </c>
      <c r="B863" s="5">
        <f>IF($E863="","",INDEX('Input Transaksi'!$D:$D,$E863))</f>
        <v/>
      </c>
      <c r="C863">
        <f>IF($E863="","",INDEX('Input Transaksi'!$E:$E,$E863))</f>
        <v/>
      </c>
      <c r="D863" s="5">
        <f>IF($E863="","",INDEX('Input Transaksi'!$F:$F,$E863))</f>
        <v/>
      </c>
      <c r="E863">
        <f>IFERROR(AGGREGATE(15,6,ROW('Input Transaksi'!$B$5:$B$5000)/('Input Transaksi'!$B$5:$B$5000="LONDRI DEWE ANTASURA"),ROWS($E$5:E863)),"")</f>
        <v/>
      </c>
      <c r="F863" s="5" t="n"/>
    </row>
    <row r="864">
      <c r="A864" s="10">
        <f>IF($E864="","",INDEX('Input Transaksi'!$A:$A,$E864))</f>
        <v/>
      </c>
      <c r="B864" s="5">
        <f>IF($E864="","",INDEX('Input Transaksi'!$D:$D,$E864))</f>
        <v/>
      </c>
      <c r="C864">
        <f>IF($E864="","",INDEX('Input Transaksi'!$E:$E,$E864))</f>
        <v/>
      </c>
      <c r="D864" s="5">
        <f>IF($E864="","",INDEX('Input Transaksi'!$F:$F,$E864))</f>
        <v/>
      </c>
      <c r="E864">
        <f>IFERROR(AGGREGATE(15,6,ROW('Input Transaksi'!$B$5:$B$5000)/('Input Transaksi'!$B$5:$B$5000="LONDRI DEWE ANTASURA"),ROWS($E$5:E864)),"")</f>
        <v/>
      </c>
      <c r="F864" s="5" t="n"/>
    </row>
    <row r="865">
      <c r="A865" s="10">
        <f>IF($E865="","",INDEX('Input Transaksi'!$A:$A,$E865))</f>
        <v/>
      </c>
      <c r="B865" s="5">
        <f>IF($E865="","",INDEX('Input Transaksi'!$D:$D,$E865))</f>
        <v/>
      </c>
      <c r="C865">
        <f>IF($E865="","",INDEX('Input Transaksi'!$E:$E,$E865))</f>
        <v/>
      </c>
      <c r="D865" s="5">
        <f>IF($E865="","",INDEX('Input Transaksi'!$F:$F,$E865))</f>
        <v/>
      </c>
      <c r="E865">
        <f>IFERROR(AGGREGATE(15,6,ROW('Input Transaksi'!$B$5:$B$5000)/('Input Transaksi'!$B$5:$B$5000="LONDRI DEWE ANTASURA"),ROWS($E$5:E865)),"")</f>
        <v/>
      </c>
      <c r="F865" s="5" t="n"/>
    </row>
    <row r="866">
      <c r="A866" s="10">
        <f>IF($E866="","",INDEX('Input Transaksi'!$A:$A,$E866))</f>
        <v/>
      </c>
      <c r="B866" s="5">
        <f>IF($E866="","",INDEX('Input Transaksi'!$D:$D,$E866))</f>
        <v/>
      </c>
      <c r="C866">
        <f>IF($E866="","",INDEX('Input Transaksi'!$E:$E,$E866))</f>
        <v/>
      </c>
      <c r="D866" s="5">
        <f>IF($E866="","",INDEX('Input Transaksi'!$F:$F,$E866))</f>
        <v/>
      </c>
      <c r="E866">
        <f>IFERROR(AGGREGATE(15,6,ROW('Input Transaksi'!$B$5:$B$5000)/('Input Transaksi'!$B$5:$B$5000="LONDRI DEWE ANTASURA"),ROWS($E$5:E866)),"")</f>
        <v/>
      </c>
      <c r="F866" s="5" t="n"/>
    </row>
    <row r="867">
      <c r="A867" s="10">
        <f>IF($E867="","",INDEX('Input Transaksi'!$A:$A,$E867))</f>
        <v/>
      </c>
      <c r="B867" s="5">
        <f>IF($E867="","",INDEX('Input Transaksi'!$D:$D,$E867))</f>
        <v/>
      </c>
      <c r="C867">
        <f>IF($E867="","",INDEX('Input Transaksi'!$E:$E,$E867))</f>
        <v/>
      </c>
      <c r="D867" s="5">
        <f>IF($E867="","",INDEX('Input Transaksi'!$F:$F,$E867))</f>
        <v/>
      </c>
      <c r="E867">
        <f>IFERROR(AGGREGATE(15,6,ROW('Input Transaksi'!$B$5:$B$5000)/('Input Transaksi'!$B$5:$B$5000="LONDRI DEWE ANTASURA"),ROWS($E$5:E867)),"")</f>
        <v/>
      </c>
      <c r="F867" s="5" t="n"/>
    </row>
    <row r="868">
      <c r="A868" s="10">
        <f>IF($E868="","",INDEX('Input Transaksi'!$A:$A,$E868))</f>
        <v/>
      </c>
      <c r="B868" s="5">
        <f>IF($E868="","",INDEX('Input Transaksi'!$D:$D,$E868))</f>
        <v/>
      </c>
      <c r="C868">
        <f>IF($E868="","",INDEX('Input Transaksi'!$E:$E,$E868))</f>
        <v/>
      </c>
      <c r="D868" s="5">
        <f>IF($E868="","",INDEX('Input Transaksi'!$F:$F,$E868))</f>
        <v/>
      </c>
      <c r="E868">
        <f>IFERROR(AGGREGATE(15,6,ROW('Input Transaksi'!$B$5:$B$5000)/('Input Transaksi'!$B$5:$B$5000="LONDRI DEWE ANTASURA"),ROWS($E$5:E868)),"")</f>
        <v/>
      </c>
      <c r="F868" s="5" t="n"/>
    </row>
    <row r="869">
      <c r="A869" s="10">
        <f>IF($E869="","",INDEX('Input Transaksi'!$A:$A,$E869))</f>
        <v/>
      </c>
      <c r="B869" s="5">
        <f>IF($E869="","",INDEX('Input Transaksi'!$D:$D,$E869))</f>
        <v/>
      </c>
      <c r="C869">
        <f>IF($E869="","",INDEX('Input Transaksi'!$E:$E,$E869))</f>
        <v/>
      </c>
      <c r="D869" s="5">
        <f>IF($E869="","",INDEX('Input Transaksi'!$F:$F,$E869))</f>
        <v/>
      </c>
      <c r="E869">
        <f>IFERROR(AGGREGATE(15,6,ROW('Input Transaksi'!$B$5:$B$5000)/('Input Transaksi'!$B$5:$B$5000="LONDRI DEWE ANTASURA"),ROWS($E$5:E869)),"")</f>
        <v/>
      </c>
      <c r="F869" s="5" t="n"/>
    </row>
    <row r="870">
      <c r="A870" s="10">
        <f>IF($E870="","",INDEX('Input Transaksi'!$A:$A,$E870))</f>
        <v/>
      </c>
      <c r="B870" s="5">
        <f>IF($E870="","",INDEX('Input Transaksi'!$D:$D,$E870))</f>
        <v/>
      </c>
      <c r="C870">
        <f>IF($E870="","",INDEX('Input Transaksi'!$E:$E,$E870))</f>
        <v/>
      </c>
      <c r="D870" s="5">
        <f>IF($E870="","",INDEX('Input Transaksi'!$F:$F,$E870))</f>
        <v/>
      </c>
      <c r="E870">
        <f>IFERROR(AGGREGATE(15,6,ROW('Input Transaksi'!$B$5:$B$5000)/('Input Transaksi'!$B$5:$B$5000="LONDRI DEWE ANTASURA"),ROWS($E$5:E870)),"")</f>
        <v/>
      </c>
      <c r="F870" s="5" t="n"/>
    </row>
    <row r="871">
      <c r="A871" s="10">
        <f>IF($E871="","",INDEX('Input Transaksi'!$A:$A,$E871))</f>
        <v/>
      </c>
      <c r="B871" s="5">
        <f>IF($E871="","",INDEX('Input Transaksi'!$D:$D,$E871))</f>
        <v/>
      </c>
      <c r="C871">
        <f>IF($E871="","",INDEX('Input Transaksi'!$E:$E,$E871))</f>
        <v/>
      </c>
      <c r="D871" s="5">
        <f>IF($E871="","",INDEX('Input Transaksi'!$F:$F,$E871))</f>
        <v/>
      </c>
      <c r="E871">
        <f>IFERROR(AGGREGATE(15,6,ROW('Input Transaksi'!$B$5:$B$5000)/('Input Transaksi'!$B$5:$B$5000="LONDRI DEWE ANTASURA"),ROWS($E$5:E871)),"")</f>
        <v/>
      </c>
      <c r="F871" s="5" t="n"/>
    </row>
    <row r="872">
      <c r="A872" s="10">
        <f>IF($E872="","",INDEX('Input Transaksi'!$A:$A,$E872))</f>
        <v/>
      </c>
      <c r="B872" s="5">
        <f>IF($E872="","",INDEX('Input Transaksi'!$D:$D,$E872))</f>
        <v/>
      </c>
      <c r="C872">
        <f>IF($E872="","",INDEX('Input Transaksi'!$E:$E,$E872))</f>
        <v/>
      </c>
      <c r="D872" s="5">
        <f>IF($E872="","",INDEX('Input Transaksi'!$F:$F,$E872))</f>
        <v/>
      </c>
      <c r="E872">
        <f>IFERROR(AGGREGATE(15,6,ROW('Input Transaksi'!$B$5:$B$5000)/('Input Transaksi'!$B$5:$B$5000="LONDRI DEWE ANTASURA"),ROWS($E$5:E872)),"")</f>
        <v/>
      </c>
      <c r="F872" s="5" t="n"/>
    </row>
    <row r="873">
      <c r="A873" s="10">
        <f>IF($E873="","",INDEX('Input Transaksi'!$A:$A,$E873))</f>
        <v/>
      </c>
      <c r="B873" s="5">
        <f>IF($E873="","",INDEX('Input Transaksi'!$D:$D,$E873))</f>
        <v/>
      </c>
      <c r="C873">
        <f>IF($E873="","",INDEX('Input Transaksi'!$E:$E,$E873))</f>
        <v/>
      </c>
      <c r="D873" s="5">
        <f>IF($E873="","",INDEX('Input Transaksi'!$F:$F,$E873))</f>
        <v/>
      </c>
      <c r="E873">
        <f>IFERROR(AGGREGATE(15,6,ROW('Input Transaksi'!$B$5:$B$5000)/('Input Transaksi'!$B$5:$B$5000="LONDRI DEWE ANTASURA"),ROWS($E$5:E873)),"")</f>
        <v/>
      </c>
      <c r="F873" s="5" t="n"/>
    </row>
    <row r="874">
      <c r="A874" s="10">
        <f>IF($E874="","",INDEX('Input Transaksi'!$A:$A,$E874))</f>
        <v/>
      </c>
      <c r="B874" s="5">
        <f>IF($E874="","",INDEX('Input Transaksi'!$D:$D,$E874))</f>
        <v/>
      </c>
      <c r="C874">
        <f>IF($E874="","",INDEX('Input Transaksi'!$E:$E,$E874))</f>
        <v/>
      </c>
      <c r="D874" s="5">
        <f>IF($E874="","",INDEX('Input Transaksi'!$F:$F,$E874))</f>
        <v/>
      </c>
      <c r="E874">
        <f>IFERROR(AGGREGATE(15,6,ROW('Input Transaksi'!$B$5:$B$5000)/('Input Transaksi'!$B$5:$B$5000="LONDRI DEWE ANTASURA"),ROWS($E$5:E874)),"")</f>
        <v/>
      </c>
      <c r="F874" s="5" t="n"/>
    </row>
    <row r="875">
      <c r="A875" s="10">
        <f>IF($E875="","",INDEX('Input Transaksi'!$A:$A,$E875))</f>
        <v/>
      </c>
      <c r="B875" s="5">
        <f>IF($E875="","",INDEX('Input Transaksi'!$D:$D,$E875))</f>
        <v/>
      </c>
      <c r="C875">
        <f>IF($E875="","",INDEX('Input Transaksi'!$E:$E,$E875))</f>
        <v/>
      </c>
      <c r="D875" s="5">
        <f>IF($E875="","",INDEX('Input Transaksi'!$F:$F,$E875))</f>
        <v/>
      </c>
      <c r="E875">
        <f>IFERROR(AGGREGATE(15,6,ROW('Input Transaksi'!$B$5:$B$5000)/('Input Transaksi'!$B$5:$B$5000="LONDRI DEWE ANTASURA"),ROWS($E$5:E875)),"")</f>
        <v/>
      </c>
      <c r="F875" s="5" t="n"/>
    </row>
    <row r="876">
      <c r="A876" s="10">
        <f>IF($E876="","",INDEX('Input Transaksi'!$A:$A,$E876))</f>
        <v/>
      </c>
      <c r="B876" s="5">
        <f>IF($E876="","",INDEX('Input Transaksi'!$D:$D,$E876))</f>
        <v/>
      </c>
      <c r="C876">
        <f>IF($E876="","",INDEX('Input Transaksi'!$E:$E,$E876))</f>
        <v/>
      </c>
      <c r="D876" s="5">
        <f>IF($E876="","",INDEX('Input Transaksi'!$F:$F,$E876))</f>
        <v/>
      </c>
      <c r="E876">
        <f>IFERROR(AGGREGATE(15,6,ROW('Input Transaksi'!$B$5:$B$5000)/('Input Transaksi'!$B$5:$B$5000="LONDRI DEWE ANTASURA"),ROWS($E$5:E876)),"")</f>
        <v/>
      </c>
      <c r="F876" s="5" t="n"/>
    </row>
    <row r="877">
      <c r="A877" s="10">
        <f>IF($E877="","",INDEX('Input Transaksi'!$A:$A,$E877))</f>
        <v/>
      </c>
      <c r="B877" s="5">
        <f>IF($E877="","",INDEX('Input Transaksi'!$D:$D,$E877))</f>
        <v/>
      </c>
      <c r="C877">
        <f>IF($E877="","",INDEX('Input Transaksi'!$E:$E,$E877))</f>
        <v/>
      </c>
      <c r="D877" s="5">
        <f>IF($E877="","",INDEX('Input Transaksi'!$F:$F,$E877))</f>
        <v/>
      </c>
      <c r="E877">
        <f>IFERROR(AGGREGATE(15,6,ROW('Input Transaksi'!$B$5:$B$5000)/('Input Transaksi'!$B$5:$B$5000="LONDRI DEWE ANTASURA"),ROWS($E$5:E877)),"")</f>
        <v/>
      </c>
      <c r="F877" s="5" t="n"/>
    </row>
    <row r="878">
      <c r="A878" s="10">
        <f>IF($E878="","",INDEX('Input Transaksi'!$A:$A,$E878))</f>
        <v/>
      </c>
      <c r="B878" s="5">
        <f>IF($E878="","",INDEX('Input Transaksi'!$D:$D,$E878))</f>
        <v/>
      </c>
      <c r="C878">
        <f>IF($E878="","",INDEX('Input Transaksi'!$E:$E,$E878))</f>
        <v/>
      </c>
      <c r="D878" s="5">
        <f>IF($E878="","",INDEX('Input Transaksi'!$F:$F,$E878))</f>
        <v/>
      </c>
      <c r="E878">
        <f>IFERROR(AGGREGATE(15,6,ROW('Input Transaksi'!$B$5:$B$5000)/('Input Transaksi'!$B$5:$B$5000="LONDRI DEWE ANTASURA"),ROWS($E$5:E878)),"")</f>
        <v/>
      </c>
      <c r="F878" s="5" t="n"/>
    </row>
    <row r="879">
      <c r="A879" s="10">
        <f>IF($E879="","",INDEX('Input Transaksi'!$A:$A,$E879))</f>
        <v/>
      </c>
      <c r="B879" s="5">
        <f>IF($E879="","",INDEX('Input Transaksi'!$D:$D,$E879))</f>
        <v/>
      </c>
      <c r="C879">
        <f>IF($E879="","",INDEX('Input Transaksi'!$E:$E,$E879))</f>
        <v/>
      </c>
      <c r="D879" s="5">
        <f>IF($E879="","",INDEX('Input Transaksi'!$F:$F,$E879))</f>
        <v/>
      </c>
      <c r="E879">
        <f>IFERROR(AGGREGATE(15,6,ROW('Input Transaksi'!$B$5:$B$5000)/('Input Transaksi'!$B$5:$B$5000="LONDRI DEWE ANTASURA"),ROWS($E$5:E879)),"")</f>
        <v/>
      </c>
      <c r="F879" s="5" t="n"/>
    </row>
    <row r="880">
      <c r="A880" s="10">
        <f>IF($E880="","",INDEX('Input Transaksi'!$A:$A,$E880))</f>
        <v/>
      </c>
      <c r="B880" s="5">
        <f>IF($E880="","",INDEX('Input Transaksi'!$D:$D,$E880))</f>
        <v/>
      </c>
      <c r="C880">
        <f>IF($E880="","",INDEX('Input Transaksi'!$E:$E,$E880))</f>
        <v/>
      </c>
      <c r="D880" s="5">
        <f>IF($E880="","",INDEX('Input Transaksi'!$F:$F,$E880))</f>
        <v/>
      </c>
      <c r="E880">
        <f>IFERROR(AGGREGATE(15,6,ROW('Input Transaksi'!$B$5:$B$5000)/('Input Transaksi'!$B$5:$B$5000="LONDRI DEWE ANTASURA"),ROWS($E$5:E880)),"")</f>
        <v/>
      </c>
      <c r="F880" s="5" t="n"/>
    </row>
    <row r="881">
      <c r="A881" s="10">
        <f>IF($E881="","",INDEX('Input Transaksi'!$A:$A,$E881))</f>
        <v/>
      </c>
      <c r="B881" s="5">
        <f>IF($E881="","",INDEX('Input Transaksi'!$D:$D,$E881))</f>
        <v/>
      </c>
      <c r="C881">
        <f>IF($E881="","",INDEX('Input Transaksi'!$E:$E,$E881))</f>
        <v/>
      </c>
      <c r="D881" s="5">
        <f>IF($E881="","",INDEX('Input Transaksi'!$F:$F,$E881))</f>
        <v/>
      </c>
      <c r="E881">
        <f>IFERROR(AGGREGATE(15,6,ROW('Input Transaksi'!$B$5:$B$5000)/('Input Transaksi'!$B$5:$B$5000="LONDRI DEWE ANTASURA"),ROWS($E$5:E881)),"")</f>
        <v/>
      </c>
      <c r="F881" s="5" t="n"/>
    </row>
    <row r="882">
      <c r="A882" s="10">
        <f>IF($E882="","",INDEX('Input Transaksi'!$A:$A,$E882))</f>
        <v/>
      </c>
      <c r="B882" s="5">
        <f>IF($E882="","",INDEX('Input Transaksi'!$D:$D,$E882))</f>
        <v/>
      </c>
      <c r="C882">
        <f>IF($E882="","",INDEX('Input Transaksi'!$E:$E,$E882))</f>
        <v/>
      </c>
      <c r="D882" s="5">
        <f>IF($E882="","",INDEX('Input Transaksi'!$F:$F,$E882))</f>
        <v/>
      </c>
      <c r="E882">
        <f>IFERROR(AGGREGATE(15,6,ROW('Input Transaksi'!$B$5:$B$5000)/('Input Transaksi'!$B$5:$B$5000="LONDRI DEWE ANTASURA"),ROWS($E$5:E882)),"")</f>
        <v/>
      </c>
      <c r="F882" s="5" t="n"/>
    </row>
    <row r="883">
      <c r="A883" s="10">
        <f>IF($E883="","",INDEX('Input Transaksi'!$A:$A,$E883))</f>
        <v/>
      </c>
      <c r="B883" s="5">
        <f>IF($E883="","",INDEX('Input Transaksi'!$D:$D,$E883))</f>
        <v/>
      </c>
      <c r="C883">
        <f>IF($E883="","",INDEX('Input Transaksi'!$E:$E,$E883))</f>
        <v/>
      </c>
      <c r="D883" s="5">
        <f>IF($E883="","",INDEX('Input Transaksi'!$F:$F,$E883))</f>
        <v/>
      </c>
      <c r="E883">
        <f>IFERROR(AGGREGATE(15,6,ROW('Input Transaksi'!$B$5:$B$5000)/('Input Transaksi'!$B$5:$B$5000="LONDRI DEWE ANTASURA"),ROWS($E$5:E883)),"")</f>
        <v/>
      </c>
      <c r="F883" s="5" t="n"/>
    </row>
    <row r="884">
      <c r="A884" s="10">
        <f>IF($E884="","",INDEX('Input Transaksi'!$A:$A,$E884))</f>
        <v/>
      </c>
      <c r="B884" s="5">
        <f>IF($E884="","",INDEX('Input Transaksi'!$D:$D,$E884))</f>
        <v/>
      </c>
      <c r="C884">
        <f>IF($E884="","",INDEX('Input Transaksi'!$E:$E,$E884))</f>
        <v/>
      </c>
      <c r="D884" s="5">
        <f>IF($E884="","",INDEX('Input Transaksi'!$F:$F,$E884))</f>
        <v/>
      </c>
      <c r="E884">
        <f>IFERROR(AGGREGATE(15,6,ROW('Input Transaksi'!$B$5:$B$5000)/('Input Transaksi'!$B$5:$B$5000="LONDRI DEWE ANTASURA"),ROWS($E$5:E884)),"")</f>
        <v/>
      </c>
      <c r="F884" s="5" t="n"/>
    </row>
    <row r="885">
      <c r="A885" s="10">
        <f>IF($E885="","",INDEX('Input Transaksi'!$A:$A,$E885))</f>
        <v/>
      </c>
      <c r="B885" s="5">
        <f>IF($E885="","",INDEX('Input Transaksi'!$D:$D,$E885))</f>
        <v/>
      </c>
      <c r="C885">
        <f>IF($E885="","",INDEX('Input Transaksi'!$E:$E,$E885))</f>
        <v/>
      </c>
      <c r="D885" s="5">
        <f>IF($E885="","",INDEX('Input Transaksi'!$F:$F,$E885))</f>
        <v/>
      </c>
      <c r="E885">
        <f>IFERROR(AGGREGATE(15,6,ROW('Input Transaksi'!$B$5:$B$5000)/('Input Transaksi'!$B$5:$B$5000="LONDRI DEWE ANTASURA"),ROWS($E$5:E885)),"")</f>
        <v/>
      </c>
      <c r="F885" s="5" t="n"/>
    </row>
    <row r="886">
      <c r="A886" s="10">
        <f>IF($E886="","",INDEX('Input Transaksi'!$A:$A,$E886))</f>
        <v/>
      </c>
      <c r="B886" s="5">
        <f>IF($E886="","",INDEX('Input Transaksi'!$D:$D,$E886))</f>
        <v/>
      </c>
      <c r="C886">
        <f>IF($E886="","",INDEX('Input Transaksi'!$E:$E,$E886))</f>
        <v/>
      </c>
      <c r="D886" s="5">
        <f>IF($E886="","",INDEX('Input Transaksi'!$F:$F,$E886))</f>
        <v/>
      </c>
      <c r="E886">
        <f>IFERROR(AGGREGATE(15,6,ROW('Input Transaksi'!$B$5:$B$5000)/('Input Transaksi'!$B$5:$B$5000="LONDRI DEWE ANTASURA"),ROWS($E$5:E886)),"")</f>
        <v/>
      </c>
      <c r="F886" s="5" t="n"/>
    </row>
    <row r="887">
      <c r="A887" s="10">
        <f>IF($E887="","",INDEX('Input Transaksi'!$A:$A,$E887))</f>
        <v/>
      </c>
      <c r="B887" s="5">
        <f>IF($E887="","",INDEX('Input Transaksi'!$D:$D,$E887))</f>
        <v/>
      </c>
      <c r="C887">
        <f>IF($E887="","",INDEX('Input Transaksi'!$E:$E,$E887))</f>
        <v/>
      </c>
      <c r="D887" s="5">
        <f>IF($E887="","",INDEX('Input Transaksi'!$F:$F,$E887))</f>
        <v/>
      </c>
      <c r="E887">
        <f>IFERROR(AGGREGATE(15,6,ROW('Input Transaksi'!$B$5:$B$5000)/('Input Transaksi'!$B$5:$B$5000="LONDRI DEWE ANTASURA"),ROWS($E$5:E887)),"")</f>
        <v/>
      </c>
      <c r="F887" s="5" t="n"/>
    </row>
    <row r="888">
      <c r="A888" s="10">
        <f>IF($E888="","",INDEX('Input Transaksi'!$A:$A,$E888))</f>
        <v/>
      </c>
      <c r="B888" s="5">
        <f>IF($E888="","",INDEX('Input Transaksi'!$D:$D,$E888))</f>
        <v/>
      </c>
      <c r="C888">
        <f>IF($E888="","",INDEX('Input Transaksi'!$E:$E,$E888))</f>
        <v/>
      </c>
      <c r="D888" s="5">
        <f>IF($E888="","",INDEX('Input Transaksi'!$F:$F,$E888))</f>
        <v/>
      </c>
      <c r="E888">
        <f>IFERROR(AGGREGATE(15,6,ROW('Input Transaksi'!$B$5:$B$5000)/('Input Transaksi'!$B$5:$B$5000="LONDRI DEWE ANTASURA"),ROWS($E$5:E888)),"")</f>
        <v/>
      </c>
      <c r="F888" s="5" t="n"/>
    </row>
    <row r="889">
      <c r="A889" s="10">
        <f>IF($E889="","",INDEX('Input Transaksi'!$A:$A,$E889))</f>
        <v/>
      </c>
      <c r="B889" s="5">
        <f>IF($E889="","",INDEX('Input Transaksi'!$D:$D,$E889))</f>
        <v/>
      </c>
      <c r="C889">
        <f>IF($E889="","",INDEX('Input Transaksi'!$E:$E,$E889))</f>
        <v/>
      </c>
      <c r="D889" s="5">
        <f>IF($E889="","",INDEX('Input Transaksi'!$F:$F,$E889))</f>
        <v/>
      </c>
      <c r="E889">
        <f>IFERROR(AGGREGATE(15,6,ROW('Input Transaksi'!$B$5:$B$5000)/('Input Transaksi'!$B$5:$B$5000="LONDRI DEWE ANTASURA"),ROWS($E$5:E889)),"")</f>
        <v/>
      </c>
      <c r="F889" s="5" t="n"/>
    </row>
    <row r="890">
      <c r="A890" s="10">
        <f>IF($E890="","",INDEX('Input Transaksi'!$A:$A,$E890))</f>
        <v/>
      </c>
      <c r="B890" s="5">
        <f>IF($E890="","",INDEX('Input Transaksi'!$D:$D,$E890))</f>
        <v/>
      </c>
      <c r="C890">
        <f>IF($E890="","",INDEX('Input Transaksi'!$E:$E,$E890))</f>
        <v/>
      </c>
      <c r="D890" s="5">
        <f>IF($E890="","",INDEX('Input Transaksi'!$F:$F,$E890))</f>
        <v/>
      </c>
      <c r="E890">
        <f>IFERROR(AGGREGATE(15,6,ROW('Input Transaksi'!$B$5:$B$5000)/('Input Transaksi'!$B$5:$B$5000="LONDRI DEWE ANTASURA"),ROWS($E$5:E890)),"")</f>
        <v/>
      </c>
      <c r="F890" s="5" t="n"/>
    </row>
    <row r="891">
      <c r="A891" s="10">
        <f>IF($E891="","",INDEX('Input Transaksi'!$A:$A,$E891))</f>
        <v/>
      </c>
      <c r="B891" s="5">
        <f>IF($E891="","",INDEX('Input Transaksi'!$D:$D,$E891))</f>
        <v/>
      </c>
      <c r="C891">
        <f>IF($E891="","",INDEX('Input Transaksi'!$E:$E,$E891))</f>
        <v/>
      </c>
      <c r="D891" s="5">
        <f>IF($E891="","",INDEX('Input Transaksi'!$F:$F,$E891))</f>
        <v/>
      </c>
      <c r="E891">
        <f>IFERROR(AGGREGATE(15,6,ROW('Input Transaksi'!$B$5:$B$5000)/('Input Transaksi'!$B$5:$B$5000="LONDRI DEWE ANTASURA"),ROWS($E$5:E891)),"")</f>
        <v/>
      </c>
      <c r="F891" s="5" t="n"/>
    </row>
    <row r="892">
      <c r="A892" s="10">
        <f>IF($E892="","",INDEX('Input Transaksi'!$A:$A,$E892))</f>
        <v/>
      </c>
      <c r="B892" s="5">
        <f>IF($E892="","",INDEX('Input Transaksi'!$D:$D,$E892))</f>
        <v/>
      </c>
      <c r="C892">
        <f>IF($E892="","",INDEX('Input Transaksi'!$E:$E,$E892))</f>
        <v/>
      </c>
      <c r="D892" s="5">
        <f>IF($E892="","",INDEX('Input Transaksi'!$F:$F,$E892))</f>
        <v/>
      </c>
      <c r="E892">
        <f>IFERROR(AGGREGATE(15,6,ROW('Input Transaksi'!$B$5:$B$5000)/('Input Transaksi'!$B$5:$B$5000="LONDRI DEWE ANTASURA"),ROWS($E$5:E892)),"")</f>
        <v/>
      </c>
      <c r="F892" s="5" t="n"/>
    </row>
    <row r="893">
      <c r="A893" s="10">
        <f>IF($E893="","",INDEX('Input Transaksi'!$A:$A,$E893))</f>
        <v/>
      </c>
      <c r="B893" s="5">
        <f>IF($E893="","",INDEX('Input Transaksi'!$D:$D,$E893))</f>
        <v/>
      </c>
      <c r="C893">
        <f>IF($E893="","",INDEX('Input Transaksi'!$E:$E,$E893))</f>
        <v/>
      </c>
      <c r="D893" s="5">
        <f>IF($E893="","",INDEX('Input Transaksi'!$F:$F,$E893))</f>
        <v/>
      </c>
      <c r="E893">
        <f>IFERROR(AGGREGATE(15,6,ROW('Input Transaksi'!$B$5:$B$5000)/('Input Transaksi'!$B$5:$B$5000="LONDRI DEWE ANTASURA"),ROWS($E$5:E893)),"")</f>
        <v/>
      </c>
      <c r="F893" s="5" t="n"/>
    </row>
    <row r="894">
      <c r="A894" s="10">
        <f>IF($E894="","",INDEX('Input Transaksi'!$A:$A,$E894))</f>
        <v/>
      </c>
      <c r="B894" s="5">
        <f>IF($E894="","",INDEX('Input Transaksi'!$D:$D,$E894))</f>
        <v/>
      </c>
      <c r="C894">
        <f>IF($E894="","",INDEX('Input Transaksi'!$E:$E,$E894))</f>
        <v/>
      </c>
      <c r="D894" s="5">
        <f>IF($E894="","",INDEX('Input Transaksi'!$F:$F,$E894))</f>
        <v/>
      </c>
      <c r="E894">
        <f>IFERROR(AGGREGATE(15,6,ROW('Input Transaksi'!$B$5:$B$5000)/('Input Transaksi'!$B$5:$B$5000="LONDRI DEWE ANTASURA"),ROWS($E$5:E894)),"")</f>
        <v/>
      </c>
      <c r="F894" s="5" t="n"/>
    </row>
    <row r="895">
      <c r="A895" s="10">
        <f>IF($E895="","",INDEX('Input Transaksi'!$A:$A,$E895))</f>
        <v/>
      </c>
      <c r="B895" s="5">
        <f>IF($E895="","",INDEX('Input Transaksi'!$D:$D,$E895))</f>
        <v/>
      </c>
      <c r="C895">
        <f>IF($E895="","",INDEX('Input Transaksi'!$E:$E,$E895))</f>
        <v/>
      </c>
      <c r="D895" s="5">
        <f>IF($E895="","",INDEX('Input Transaksi'!$F:$F,$E895))</f>
        <v/>
      </c>
      <c r="E895">
        <f>IFERROR(AGGREGATE(15,6,ROW('Input Transaksi'!$B$5:$B$5000)/('Input Transaksi'!$B$5:$B$5000="LONDRI DEWE ANTASURA"),ROWS($E$5:E895)),"")</f>
        <v/>
      </c>
      <c r="F895" s="5" t="n"/>
    </row>
    <row r="896">
      <c r="A896" s="10">
        <f>IF($E896="","",INDEX('Input Transaksi'!$A:$A,$E896))</f>
        <v/>
      </c>
      <c r="B896" s="5">
        <f>IF($E896="","",INDEX('Input Transaksi'!$D:$D,$E896))</f>
        <v/>
      </c>
      <c r="C896">
        <f>IF($E896="","",INDEX('Input Transaksi'!$E:$E,$E896))</f>
        <v/>
      </c>
      <c r="D896" s="5">
        <f>IF($E896="","",INDEX('Input Transaksi'!$F:$F,$E896))</f>
        <v/>
      </c>
      <c r="E896">
        <f>IFERROR(AGGREGATE(15,6,ROW('Input Transaksi'!$B$5:$B$5000)/('Input Transaksi'!$B$5:$B$5000="LONDRI DEWE ANTASURA"),ROWS($E$5:E896)),"")</f>
        <v/>
      </c>
      <c r="F896" s="5" t="n"/>
    </row>
    <row r="897">
      <c r="A897" s="10">
        <f>IF($E897="","",INDEX('Input Transaksi'!$A:$A,$E897))</f>
        <v/>
      </c>
      <c r="B897" s="5">
        <f>IF($E897="","",INDEX('Input Transaksi'!$D:$D,$E897))</f>
        <v/>
      </c>
      <c r="C897">
        <f>IF($E897="","",INDEX('Input Transaksi'!$E:$E,$E897))</f>
        <v/>
      </c>
      <c r="D897" s="5">
        <f>IF($E897="","",INDEX('Input Transaksi'!$F:$F,$E897))</f>
        <v/>
      </c>
      <c r="E897">
        <f>IFERROR(AGGREGATE(15,6,ROW('Input Transaksi'!$B$5:$B$5000)/('Input Transaksi'!$B$5:$B$5000="LONDRI DEWE ANTASURA"),ROWS($E$5:E897)),"")</f>
        <v/>
      </c>
      <c r="F897" s="5" t="n"/>
    </row>
    <row r="898">
      <c r="A898" s="10">
        <f>IF($E898="","",INDEX('Input Transaksi'!$A:$A,$E898))</f>
        <v/>
      </c>
      <c r="B898" s="5">
        <f>IF($E898="","",INDEX('Input Transaksi'!$D:$D,$E898))</f>
        <v/>
      </c>
      <c r="C898">
        <f>IF($E898="","",INDEX('Input Transaksi'!$E:$E,$E898))</f>
        <v/>
      </c>
      <c r="D898" s="5">
        <f>IF($E898="","",INDEX('Input Transaksi'!$F:$F,$E898))</f>
        <v/>
      </c>
      <c r="E898">
        <f>IFERROR(AGGREGATE(15,6,ROW('Input Transaksi'!$B$5:$B$5000)/('Input Transaksi'!$B$5:$B$5000="LONDRI DEWE ANTASURA"),ROWS($E$5:E898)),"")</f>
        <v/>
      </c>
      <c r="F898" s="5" t="n"/>
    </row>
    <row r="899">
      <c r="A899" s="10">
        <f>IF($E899="","",INDEX('Input Transaksi'!$A:$A,$E899))</f>
        <v/>
      </c>
      <c r="B899" s="5">
        <f>IF($E899="","",INDEX('Input Transaksi'!$D:$D,$E899))</f>
        <v/>
      </c>
      <c r="C899">
        <f>IF($E899="","",INDEX('Input Transaksi'!$E:$E,$E899))</f>
        <v/>
      </c>
      <c r="D899" s="5">
        <f>IF($E899="","",INDEX('Input Transaksi'!$F:$F,$E899))</f>
        <v/>
      </c>
      <c r="E899">
        <f>IFERROR(AGGREGATE(15,6,ROW('Input Transaksi'!$B$5:$B$5000)/('Input Transaksi'!$B$5:$B$5000="LONDRI DEWE ANTASURA"),ROWS($E$5:E899)),"")</f>
        <v/>
      </c>
      <c r="F899" s="5" t="n"/>
    </row>
    <row r="900">
      <c r="A900" s="10">
        <f>IF($E900="","",INDEX('Input Transaksi'!$A:$A,$E900))</f>
        <v/>
      </c>
      <c r="B900" s="5">
        <f>IF($E900="","",INDEX('Input Transaksi'!$D:$D,$E900))</f>
        <v/>
      </c>
      <c r="C900">
        <f>IF($E900="","",INDEX('Input Transaksi'!$E:$E,$E900))</f>
        <v/>
      </c>
      <c r="D900" s="5">
        <f>IF($E900="","",INDEX('Input Transaksi'!$F:$F,$E900))</f>
        <v/>
      </c>
      <c r="E900">
        <f>IFERROR(AGGREGATE(15,6,ROW('Input Transaksi'!$B$5:$B$5000)/('Input Transaksi'!$B$5:$B$5000="LONDRI DEWE ANTASURA"),ROWS($E$5:E900)),"")</f>
        <v/>
      </c>
      <c r="F900" s="5" t="n"/>
    </row>
    <row r="901">
      <c r="A901" s="10">
        <f>IF($E901="","",INDEX('Input Transaksi'!$A:$A,$E901))</f>
        <v/>
      </c>
      <c r="B901" s="5">
        <f>IF($E901="","",INDEX('Input Transaksi'!$D:$D,$E901))</f>
        <v/>
      </c>
      <c r="C901">
        <f>IF($E901="","",INDEX('Input Transaksi'!$E:$E,$E901))</f>
        <v/>
      </c>
      <c r="D901" s="5">
        <f>IF($E901="","",INDEX('Input Transaksi'!$F:$F,$E901))</f>
        <v/>
      </c>
      <c r="E901">
        <f>IFERROR(AGGREGATE(15,6,ROW('Input Transaksi'!$B$5:$B$5000)/('Input Transaksi'!$B$5:$B$5000="LONDRI DEWE ANTASURA"),ROWS($E$5:E901)),"")</f>
        <v/>
      </c>
      <c r="F901" s="5" t="n"/>
    </row>
    <row r="902">
      <c r="A902" s="10">
        <f>IF($E902="","",INDEX('Input Transaksi'!$A:$A,$E902))</f>
        <v/>
      </c>
      <c r="B902" s="5">
        <f>IF($E902="","",INDEX('Input Transaksi'!$D:$D,$E902))</f>
        <v/>
      </c>
      <c r="C902">
        <f>IF($E902="","",INDEX('Input Transaksi'!$E:$E,$E902))</f>
        <v/>
      </c>
      <c r="D902" s="5">
        <f>IF($E902="","",INDEX('Input Transaksi'!$F:$F,$E902))</f>
        <v/>
      </c>
      <c r="E902">
        <f>IFERROR(AGGREGATE(15,6,ROW('Input Transaksi'!$B$5:$B$5000)/('Input Transaksi'!$B$5:$B$5000="LONDRI DEWE ANTASURA"),ROWS($E$5:E902)),"")</f>
        <v/>
      </c>
      <c r="F902" s="5" t="n"/>
    </row>
    <row r="903">
      <c r="A903" s="10">
        <f>IF($E903="","",INDEX('Input Transaksi'!$A:$A,$E903))</f>
        <v/>
      </c>
      <c r="B903" s="5">
        <f>IF($E903="","",INDEX('Input Transaksi'!$D:$D,$E903))</f>
        <v/>
      </c>
      <c r="C903">
        <f>IF($E903="","",INDEX('Input Transaksi'!$E:$E,$E903))</f>
        <v/>
      </c>
      <c r="D903" s="5">
        <f>IF($E903="","",INDEX('Input Transaksi'!$F:$F,$E903))</f>
        <v/>
      </c>
      <c r="E903">
        <f>IFERROR(AGGREGATE(15,6,ROW('Input Transaksi'!$B$5:$B$5000)/('Input Transaksi'!$B$5:$B$5000="LONDRI DEWE ANTASURA"),ROWS($E$5:E903)),"")</f>
        <v/>
      </c>
      <c r="F903" s="5" t="n"/>
    </row>
    <row r="904">
      <c r="A904" s="10">
        <f>IF($E904="","",INDEX('Input Transaksi'!$A:$A,$E904))</f>
        <v/>
      </c>
      <c r="B904" s="5">
        <f>IF($E904="","",INDEX('Input Transaksi'!$D:$D,$E904))</f>
        <v/>
      </c>
      <c r="C904">
        <f>IF($E904="","",INDEX('Input Transaksi'!$E:$E,$E904))</f>
        <v/>
      </c>
      <c r="D904" s="5">
        <f>IF($E904="","",INDEX('Input Transaksi'!$F:$F,$E904))</f>
        <v/>
      </c>
      <c r="E904">
        <f>IFERROR(AGGREGATE(15,6,ROW('Input Transaksi'!$B$5:$B$5000)/('Input Transaksi'!$B$5:$B$5000="LONDRI DEWE ANTASURA"),ROWS($E$5:E904)),"")</f>
        <v/>
      </c>
      <c r="F904" s="5" t="n"/>
    </row>
    <row r="905">
      <c r="A905" s="10">
        <f>IF($E905="","",INDEX('Input Transaksi'!$A:$A,$E905))</f>
        <v/>
      </c>
      <c r="B905" s="5">
        <f>IF($E905="","",INDEX('Input Transaksi'!$D:$D,$E905))</f>
        <v/>
      </c>
      <c r="C905">
        <f>IF($E905="","",INDEX('Input Transaksi'!$E:$E,$E905))</f>
        <v/>
      </c>
      <c r="D905" s="5">
        <f>IF($E905="","",INDEX('Input Transaksi'!$F:$F,$E905))</f>
        <v/>
      </c>
      <c r="E905">
        <f>IFERROR(AGGREGATE(15,6,ROW('Input Transaksi'!$B$5:$B$5000)/('Input Transaksi'!$B$5:$B$5000="LONDRI DEWE ANTASURA"),ROWS($E$5:E905)),"")</f>
        <v/>
      </c>
      <c r="F905" s="5" t="n"/>
    </row>
    <row r="906">
      <c r="A906" s="10">
        <f>IF($E906="","",INDEX('Input Transaksi'!$A:$A,$E906))</f>
        <v/>
      </c>
      <c r="B906" s="5">
        <f>IF($E906="","",INDEX('Input Transaksi'!$D:$D,$E906))</f>
        <v/>
      </c>
      <c r="C906">
        <f>IF($E906="","",INDEX('Input Transaksi'!$E:$E,$E906))</f>
        <v/>
      </c>
      <c r="D906" s="5">
        <f>IF($E906="","",INDEX('Input Transaksi'!$F:$F,$E906))</f>
        <v/>
      </c>
      <c r="E906">
        <f>IFERROR(AGGREGATE(15,6,ROW('Input Transaksi'!$B$5:$B$5000)/('Input Transaksi'!$B$5:$B$5000="LONDRI DEWE ANTASURA"),ROWS($E$5:E906)),"")</f>
        <v/>
      </c>
      <c r="F906" s="5" t="n"/>
    </row>
    <row r="907">
      <c r="A907" s="10">
        <f>IF($E907="","",INDEX('Input Transaksi'!$A:$A,$E907))</f>
        <v/>
      </c>
      <c r="B907" s="5">
        <f>IF($E907="","",INDEX('Input Transaksi'!$D:$D,$E907))</f>
        <v/>
      </c>
      <c r="C907">
        <f>IF($E907="","",INDEX('Input Transaksi'!$E:$E,$E907))</f>
        <v/>
      </c>
      <c r="D907" s="5">
        <f>IF($E907="","",INDEX('Input Transaksi'!$F:$F,$E907))</f>
        <v/>
      </c>
      <c r="E907">
        <f>IFERROR(AGGREGATE(15,6,ROW('Input Transaksi'!$B$5:$B$5000)/('Input Transaksi'!$B$5:$B$5000="LONDRI DEWE ANTASURA"),ROWS($E$5:E907)),"")</f>
        <v/>
      </c>
      <c r="F907" s="5" t="n"/>
    </row>
    <row r="908">
      <c r="A908" s="10">
        <f>IF($E908="","",INDEX('Input Transaksi'!$A:$A,$E908))</f>
        <v/>
      </c>
      <c r="B908" s="5">
        <f>IF($E908="","",INDEX('Input Transaksi'!$D:$D,$E908))</f>
        <v/>
      </c>
      <c r="C908">
        <f>IF($E908="","",INDEX('Input Transaksi'!$E:$E,$E908))</f>
        <v/>
      </c>
      <c r="D908" s="5">
        <f>IF($E908="","",INDEX('Input Transaksi'!$F:$F,$E908))</f>
        <v/>
      </c>
      <c r="E908">
        <f>IFERROR(AGGREGATE(15,6,ROW('Input Transaksi'!$B$5:$B$5000)/('Input Transaksi'!$B$5:$B$5000="LONDRI DEWE ANTASURA"),ROWS($E$5:E908)),"")</f>
        <v/>
      </c>
      <c r="F908" s="5" t="n"/>
    </row>
    <row r="909">
      <c r="A909" s="10">
        <f>IF($E909="","",INDEX('Input Transaksi'!$A:$A,$E909))</f>
        <v/>
      </c>
      <c r="B909" s="5">
        <f>IF($E909="","",INDEX('Input Transaksi'!$D:$D,$E909))</f>
        <v/>
      </c>
      <c r="C909">
        <f>IF($E909="","",INDEX('Input Transaksi'!$E:$E,$E909))</f>
        <v/>
      </c>
      <c r="D909" s="5">
        <f>IF($E909="","",INDEX('Input Transaksi'!$F:$F,$E909))</f>
        <v/>
      </c>
      <c r="E909">
        <f>IFERROR(AGGREGATE(15,6,ROW('Input Transaksi'!$B$5:$B$5000)/('Input Transaksi'!$B$5:$B$5000="LONDRI DEWE ANTASURA"),ROWS($E$5:E909)),"")</f>
        <v/>
      </c>
      <c r="F909" s="5" t="n"/>
    </row>
    <row r="910">
      <c r="A910" s="10">
        <f>IF($E910="","",INDEX('Input Transaksi'!$A:$A,$E910))</f>
        <v/>
      </c>
      <c r="B910" s="5">
        <f>IF($E910="","",INDEX('Input Transaksi'!$D:$D,$E910))</f>
        <v/>
      </c>
      <c r="C910">
        <f>IF($E910="","",INDEX('Input Transaksi'!$E:$E,$E910))</f>
        <v/>
      </c>
      <c r="D910" s="5">
        <f>IF($E910="","",INDEX('Input Transaksi'!$F:$F,$E910))</f>
        <v/>
      </c>
      <c r="E910">
        <f>IFERROR(AGGREGATE(15,6,ROW('Input Transaksi'!$B$5:$B$5000)/('Input Transaksi'!$B$5:$B$5000="LONDRI DEWE ANTASURA"),ROWS($E$5:E910)),"")</f>
        <v/>
      </c>
      <c r="F910" s="5" t="n"/>
    </row>
    <row r="911">
      <c r="A911" s="10">
        <f>IF($E911="","",INDEX('Input Transaksi'!$A:$A,$E911))</f>
        <v/>
      </c>
      <c r="B911" s="5">
        <f>IF($E911="","",INDEX('Input Transaksi'!$D:$D,$E911))</f>
        <v/>
      </c>
      <c r="C911">
        <f>IF($E911="","",INDEX('Input Transaksi'!$E:$E,$E911))</f>
        <v/>
      </c>
      <c r="D911" s="5">
        <f>IF($E911="","",INDEX('Input Transaksi'!$F:$F,$E911))</f>
        <v/>
      </c>
      <c r="E911">
        <f>IFERROR(AGGREGATE(15,6,ROW('Input Transaksi'!$B$5:$B$5000)/('Input Transaksi'!$B$5:$B$5000="LONDRI DEWE ANTASURA"),ROWS($E$5:E911)),"")</f>
        <v/>
      </c>
      <c r="F911" s="5" t="n"/>
    </row>
    <row r="912">
      <c r="A912" s="10">
        <f>IF($E912="","",INDEX('Input Transaksi'!$A:$A,$E912))</f>
        <v/>
      </c>
      <c r="B912" s="5">
        <f>IF($E912="","",INDEX('Input Transaksi'!$D:$D,$E912))</f>
        <v/>
      </c>
      <c r="C912">
        <f>IF($E912="","",INDEX('Input Transaksi'!$E:$E,$E912))</f>
        <v/>
      </c>
      <c r="D912" s="5">
        <f>IF($E912="","",INDEX('Input Transaksi'!$F:$F,$E912))</f>
        <v/>
      </c>
      <c r="E912">
        <f>IFERROR(AGGREGATE(15,6,ROW('Input Transaksi'!$B$5:$B$5000)/('Input Transaksi'!$B$5:$B$5000="LONDRI DEWE ANTASURA"),ROWS($E$5:E912)),"")</f>
        <v/>
      </c>
      <c r="F912" s="5" t="n"/>
    </row>
    <row r="913">
      <c r="A913" s="10">
        <f>IF($E913="","",INDEX('Input Transaksi'!$A:$A,$E913))</f>
        <v/>
      </c>
      <c r="B913" s="5">
        <f>IF($E913="","",INDEX('Input Transaksi'!$D:$D,$E913))</f>
        <v/>
      </c>
      <c r="C913">
        <f>IF($E913="","",INDEX('Input Transaksi'!$E:$E,$E913))</f>
        <v/>
      </c>
      <c r="D913" s="5">
        <f>IF($E913="","",INDEX('Input Transaksi'!$F:$F,$E913))</f>
        <v/>
      </c>
      <c r="E913">
        <f>IFERROR(AGGREGATE(15,6,ROW('Input Transaksi'!$B$5:$B$5000)/('Input Transaksi'!$B$5:$B$5000="LONDRI DEWE ANTASURA"),ROWS($E$5:E913)),"")</f>
        <v/>
      </c>
      <c r="F913" s="5" t="n"/>
    </row>
    <row r="914">
      <c r="A914" s="10">
        <f>IF($E914="","",INDEX('Input Transaksi'!$A:$A,$E914))</f>
        <v/>
      </c>
      <c r="B914" s="5">
        <f>IF($E914="","",INDEX('Input Transaksi'!$D:$D,$E914))</f>
        <v/>
      </c>
      <c r="C914">
        <f>IF($E914="","",INDEX('Input Transaksi'!$E:$E,$E914))</f>
        <v/>
      </c>
      <c r="D914" s="5">
        <f>IF($E914="","",INDEX('Input Transaksi'!$F:$F,$E914))</f>
        <v/>
      </c>
      <c r="E914">
        <f>IFERROR(AGGREGATE(15,6,ROW('Input Transaksi'!$B$5:$B$5000)/('Input Transaksi'!$B$5:$B$5000="LONDRI DEWE ANTASURA"),ROWS($E$5:E914)),"")</f>
        <v/>
      </c>
      <c r="F914" s="5" t="n"/>
    </row>
    <row r="915">
      <c r="A915" s="10">
        <f>IF($E915="","",INDEX('Input Transaksi'!$A:$A,$E915))</f>
        <v/>
      </c>
      <c r="B915" s="5">
        <f>IF($E915="","",INDEX('Input Transaksi'!$D:$D,$E915))</f>
        <v/>
      </c>
      <c r="C915">
        <f>IF($E915="","",INDEX('Input Transaksi'!$E:$E,$E915))</f>
        <v/>
      </c>
      <c r="D915" s="5">
        <f>IF($E915="","",INDEX('Input Transaksi'!$F:$F,$E915))</f>
        <v/>
      </c>
      <c r="E915">
        <f>IFERROR(AGGREGATE(15,6,ROW('Input Transaksi'!$B$5:$B$5000)/('Input Transaksi'!$B$5:$B$5000="LONDRI DEWE ANTASURA"),ROWS($E$5:E915)),"")</f>
        <v/>
      </c>
      <c r="F915" s="5" t="n"/>
    </row>
    <row r="916">
      <c r="A916" s="10">
        <f>IF($E916="","",INDEX('Input Transaksi'!$A:$A,$E916))</f>
        <v/>
      </c>
      <c r="B916" s="5">
        <f>IF($E916="","",INDEX('Input Transaksi'!$D:$D,$E916))</f>
        <v/>
      </c>
      <c r="C916">
        <f>IF($E916="","",INDEX('Input Transaksi'!$E:$E,$E916))</f>
        <v/>
      </c>
      <c r="D916" s="5">
        <f>IF($E916="","",INDEX('Input Transaksi'!$F:$F,$E916))</f>
        <v/>
      </c>
      <c r="E916">
        <f>IFERROR(AGGREGATE(15,6,ROW('Input Transaksi'!$B$5:$B$5000)/('Input Transaksi'!$B$5:$B$5000="LONDRI DEWE ANTASURA"),ROWS($E$5:E916)),"")</f>
        <v/>
      </c>
      <c r="F916" s="5" t="n"/>
    </row>
    <row r="917">
      <c r="A917" s="10">
        <f>IF($E917="","",INDEX('Input Transaksi'!$A:$A,$E917))</f>
        <v/>
      </c>
      <c r="B917" s="5">
        <f>IF($E917="","",INDEX('Input Transaksi'!$D:$D,$E917))</f>
        <v/>
      </c>
      <c r="C917">
        <f>IF($E917="","",INDEX('Input Transaksi'!$E:$E,$E917))</f>
        <v/>
      </c>
      <c r="D917" s="5">
        <f>IF($E917="","",INDEX('Input Transaksi'!$F:$F,$E917))</f>
        <v/>
      </c>
      <c r="E917">
        <f>IFERROR(AGGREGATE(15,6,ROW('Input Transaksi'!$B$5:$B$5000)/('Input Transaksi'!$B$5:$B$5000="LONDRI DEWE ANTASURA"),ROWS($E$5:E917)),"")</f>
        <v/>
      </c>
      <c r="F917" s="5" t="n"/>
    </row>
    <row r="918">
      <c r="A918" s="10">
        <f>IF($E918="","",INDEX('Input Transaksi'!$A:$A,$E918))</f>
        <v/>
      </c>
      <c r="B918" s="5">
        <f>IF($E918="","",INDEX('Input Transaksi'!$D:$D,$E918))</f>
        <v/>
      </c>
      <c r="C918">
        <f>IF($E918="","",INDEX('Input Transaksi'!$E:$E,$E918))</f>
        <v/>
      </c>
      <c r="D918" s="5">
        <f>IF($E918="","",INDEX('Input Transaksi'!$F:$F,$E918))</f>
        <v/>
      </c>
      <c r="E918">
        <f>IFERROR(AGGREGATE(15,6,ROW('Input Transaksi'!$B$5:$B$5000)/('Input Transaksi'!$B$5:$B$5000="LONDRI DEWE ANTASURA"),ROWS($E$5:E918)),"")</f>
        <v/>
      </c>
      <c r="F918" s="5" t="n"/>
    </row>
    <row r="919">
      <c r="A919" s="10">
        <f>IF($E919="","",INDEX('Input Transaksi'!$A:$A,$E919))</f>
        <v/>
      </c>
      <c r="B919" s="5">
        <f>IF($E919="","",INDEX('Input Transaksi'!$D:$D,$E919))</f>
        <v/>
      </c>
      <c r="C919">
        <f>IF($E919="","",INDEX('Input Transaksi'!$E:$E,$E919))</f>
        <v/>
      </c>
      <c r="D919" s="5">
        <f>IF($E919="","",INDEX('Input Transaksi'!$F:$F,$E919))</f>
        <v/>
      </c>
      <c r="E919">
        <f>IFERROR(AGGREGATE(15,6,ROW('Input Transaksi'!$B$5:$B$5000)/('Input Transaksi'!$B$5:$B$5000="LONDRI DEWE ANTASURA"),ROWS($E$5:E919)),"")</f>
        <v/>
      </c>
      <c r="F919" s="5" t="n"/>
    </row>
    <row r="920">
      <c r="A920" s="10">
        <f>IF($E920="","",INDEX('Input Transaksi'!$A:$A,$E920))</f>
        <v/>
      </c>
      <c r="B920" s="5">
        <f>IF($E920="","",INDEX('Input Transaksi'!$D:$D,$E920))</f>
        <v/>
      </c>
      <c r="C920">
        <f>IF($E920="","",INDEX('Input Transaksi'!$E:$E,$E920))</f>
        <v/>
      </c>
      <c r="D920" s="5">
        <f>IF($E920="","",INDEX('Input Transaksi'!$F:$F,$E920))</f>
        <v/>
      </c>
      <c r="E920">
        <f>IFERROR(AGGREGATE(15,6,ROW('Input Transaksi'!$B$5:$B$5000)/('Input Transaksi'!$B$5:$B$5000="LONDRI DEWE ANTASURA"),ROWS($E$5:E920)),"")</f>
        <v/>
      </c>
      <c r="F920" s="5" t="n"/>
    </row>
    <row r="921">
      <c r="A921" s="10">
        <f>IF($E921="","",INDEX('Input Transaksi'!$A:$A,$E921))</f>
        <v/>
      </c>
      <c r="B921" s="5">
        <f>IF($E921="","",INDEX('Input Transaksi'!$D:$D,$E921))</f>
        <v/>
      </c>
      <c r="C921">
        <f>IF($E921="","",INDEX('Input Transaksi'!$E:$E,$E921))</f>
        <v/>
      </c>
      <c r="D921" s="5">
        <f>IF($E921="","",INDEX('Input Transaksi'!$F:$F,$E921))</f>
        <v/>
      </c>
      <c r="E921">
        <f>IFERROR(AGGREGATE(15,6,ROW('Input Transaksi'!$B$5:$B$5000)/('Input Transaksi'!$B$5:$B$5000="LONDRI DEWE ANTASURA"),ROWS($E$5:E921)),"")</f>
        <v/>
      </c>
      <c r="F921" s="5" t="n"/>
    </row>
    <row r="922">
      <c r="A922" s="10">
        <f>IF($E922="","",INDEX('Input Transaksi'!$A:$A,$E922))</f>
        <v/>
      </c>
      <c r="B922" s="5">
        <f>IF($E922="","",INDEX('Input Transaksi'!$D:$D,$E922))</f>
        <v/>
      </c>
      <c r="C922">
        <f>IF($E922="","",INDEX('Input Transaksi'!$E:$E,$E922))</f>
        <v/>
      </c>
      <c r="D922" s="5">
        <f>IF($E922="","",INDEX('Input Transaksi'!$F:$F,$E922))</f>
        <v/>
      </c>
      <c r="E922">
        <f>IFERROR(AGGREGATE(15,6,ROW('Input Transaksi'!$B$5:$B$5000)/('Input Transaksi'!$B$5:$B$5000="LONDRI DEWE ANTASURA"),ROWS($E$5:E922)),"")</f>
        <v/>
      </c>
      <c r="F922" s="5" t="n"/>
    </row>
    <row r="923">
      <c r="A923" s="10">
        <f>IF($E923="","",INDEX('Input Transaksi'!$A:$A,$E923))</f>
        <v/>
      </c>
      <c r="B923" s="5">
        <f>IF($E923="","",INDEX('Input Transaksi'!$D:$D,$E923))</f>
        <v/>
      </c>
      <c r="C923">
        <f>IF($E923="","",INDEX('Input Transaksi'!$E:$E,$E923))</f>
        <v/>
      </c>
      <c r="D923" s="5">
        <f>IF($E923="","",INDEX('Input Transaksi'!$F:$F,$E923))</f>
        <v/>
      </c>
      <c r="E923">
        <f>IFERROR(AGGREGATE(15,6,ROW('Input Transaksi'!$B$5:$B$5000)/('Input Transaksi'!$B$5:$B$5000="LONDRI DEWE ANTASURA"),ROWS($E$5:E923)),"")</f>
        <v/>
      </c>
      <c r="F923" s="5" t="n"/>
    </row>
    <row r="924">
      <c r="A924" s="10">
        <f>IF($E924="","",INDEX('Input Transaksi'!$A:$A,$E924))</f>
        <v/>
      </c>
      <c r="B924" s="5">
        <f>IF($E924="","",INDEX('Input Transaksi'!$D:$D,$E924))</f>
        <v/>
      </c>
      <c r="C924">
        <f>IF($E924="","",INDEX('Input Transaksi'!$E:$E,$E924))</f>
        <v/>
      </c>
      <c r="D924" s="5">
        <f>IF($E924="","",INDEX('Input Transaksi'!$F:$F,$E924))</f>
        <v/>
      </c>
      <c r="E924">
        <f>IFERROR(AGGREGATE(15,6,ROW('Input Transaksi'!$B$5:$B$5000)/('Input Transaksi'!$B$5:$B$5000="LONDRI DEWE ANTASURA"),ROWS($E$5:E924)),"")</f>
        <v/>
      </c>
      <c r="F924" s="5" t="n"/>
    </row>
    <row r="925">
      <c r="A925" s="10">
        <f>IF($E925="","",INDEX('Input Transaksi'!$A:$A,$E925))</f>
        <v/>
      </c>
      <c r="B925" s="5">
        <f>IF($E925="","",INDEX('Input Transaksi'!$D:$D,$E925))</f>
        <v/>
      </c>
      <c r="C925">
        <f>IF($E925="","",INDEX('Input Transaksi'!$E:$E,$E925))</f>
        <v/>
      </c>
      <c r="D925" s="5">
        <f>IF($E925="","",INDEX('Input Transaksi'!$F:$F,$E925))</f>
        <v/>
      </c>
      <c r="E925">
        <f>IFERROR(AGGREGATE(15,6,ROW('Input Transaksi'!$B$5:$B$5000)/('Input Transaksi'!$B$5:$B$5000="LONDRI DEWE ANTASURA"),ROWS($E$5:E925)),"")</f>
        <v/>
      </c>
      <c r="F925" s="5" t="n"/>
    </row>
    <row r="926">
      <c r="A926" s="10">
        <f>IF($E926="","",INDEX('Input Transaksi'!$A:$A,$E926))</f>
        <v/>
      </c>
      <c r="B926" s="5">
        <f>IF($E926="","",INDEX('Input Transaksi'!$D:$D,$E926))</f>
        <v/>
      </c>
      <c r="C926">
        <f>IF($E926="","",INDEX('Input Transaksi'!$E:$E,$E926))</f>
        <v/>
      </c>
      <c r="D926" s="5">
        <f>IF($E926="","",INDEX('Input Transaksi'!$F:$F,$E926))</f>
        <v/>
      </c>
      <c r="E926">
        <f>IFERROR(AGGREGATE(15,6,ROW('Input Transaksi'!$B$5:$B$5000)/('Input Transaksi'!$B$5:$B$5000="LONDRI DEWE ANTASURA"),ROWS($E$5:E926)),"")</f>
        <v/>
      </c>
      <c r="F926" s="5" t="n"/>
    </row>
    <row r="927">
      <c r="A927" s="10">
        <f>IF($E927="","",INDEX('Input Transaksi'!$A:$A,$E927))</f>
        <v/>
      </c>
      <c r="B927" s="5">
        <f>IF($E927="","",INDEX('Input Transaksi'!$D:$D,$E927))</f>
        <v/>
      </c>
      <c r="C927">
        <f>IF($E927="","",INDEX('Input Transaksi'!$E:$E,$E927))</f>
        <v/>
      </c>
      <c r="D927" s="5">
        <f>IF($E927="","",INDEX('Input Transaksi'!$F:$F,$E927))</f>
        <v/>
      </c>
      <c r="E927">
        <f>IFERROR(AGGREGATE(15,6,ROW('Input Transaksi'!$B$5:$B$5000)/('Input Transaksi'!$B$5:$B$5000="LONDRI DEWE ANTASURA"),ROWS($E$5:E927)),"")</f>
        <v/>
      </c>
      <c r="F927" s="5" t="n"/>
    </row>
    <row r="928">
      <c r="A928" s="10">
        <f>IF($E928="","",INDEX('Input Transaksi'!$A:$A,$E928))</f>
        <v/>
      </c>
      <c r="B928" s="5">
        <f>IF($E928="","",INDEX('Input Transaksi'!$D:$D,$E928))</f>
        <v/>
      </c>
      <c r="C928">
        <f>IF($E928="","",INDEX('Input Transaksi'!$E:$E,$E928))</f>
        <v/>
      </c>
      <c r="D928" s="5">
        <f>IF($E928="","",INDEX('Input Transaksi'!$F:$F,$E928))</f>
        <v/>
      </c>
      <c r="E928">
        <f>IFERROR(AGGREGATE(15,6,ROW('Input Transaksi'!$B$5:$B$5000)/('Input Transaksi'!$B$5:$B$5000="LONDRI DEWE ANTASURA"),ROWS($E$5:E928)),"")</f>
        <v/>
      </c>
      <c r="F928" s="5" t="n"/>
    </row>
    <row r="929">
      <c r="A929" s="10">
        <f>IF($E929="","",INDEX('Input Transaksi'!$A:$A,$E929))</f>
        <v/>
      </c>
      <c r="B929" s="5">
        <f>IF($E929="","",INDEX('Input Transaksi'!$D:$D,$E929))</f>
        <v/>
      </c>
      <c r="C929">
        <f>IF($E929="","",INDEX('Input Transaksi'!$E:$E,$E929))</f>
        <v/>
      </c>
      <c r="D929" s="5">
        <f>IF($E929="","",INDEX('Input Transaksi'!$F:$F,$E929))</f>
        <v/>
      </c>
      <c r="E929">
        <f>IFERROR(AGGREGATE(15,6,ROW('Input Transaksi'!$B$5:$B$5000)/('Input Transaksi'!$B$5:$B$5000="LONDRI DEWE ANTASURA"),ROWS($E$5:E929)),"")</f>
        <v/>
      </c>
      <c r="F929" s="5" t="n"/>
    </row>
    <row r="930">
      <c r="A930" s="10">
        <f>IF($E930="","",INDEX('Input Transaksi'!$A:$A,$E930))</f>
        <v/>
      </c>
      <c r="B930" s="5">
        <f>IF($E930="","",INDEX('Input Transaksi'!$D:$D,$E930))</f>
        <v/>
      </c>
      <c r="C930">
        <f>IF($E930="","",INDEX('Input Transaksi'!$E:$E,$E930))</f>
        <v/>
      </c>
      <c r="D930" s="5">
        <f>IF($E930="","",INDEX('Input Transaksi'!$F:$F,$E930))</f>
        <v/>
      </c>
      <c r="E930">
        <f>IFERROR(AGGREGATE(15,6,ROW('Input Transaksi'!$B$5:$B$5000)/('Input Transaksi'!$B$5:$B$5000="LONDRI DEWE ANTASURA"),ROWS($E$5:E930)),"")</f>
        <v/>
      </c>
      <c r="F930" s="5" t="n"/>
    </row>
    <row r="931">
      <c r="A931" s="10">
        <f>IF($E931="","",INDEX('Input Transaksi'!$A:$A,$E931))</f>
        <v/>
      </c>
      <c r="B931" s="5">
        <f>IF($E931="","",INDEX('Input Transaksi'!$D:$D,$E931))</f>
        <v/>
      </c>
      <c r="C931">
        <f>IF($E931="","",INDEX('Input Transaksi'!$E:$E,$E931))</f>
        <v/>
      </c>
      <c r="D931" s="5">
        <f>IF($E931="","",INDEX('Input Transaksi'!$F:$F,$E931))</f>
        <v/>
      </c>
      <c r="E931">
        <f>IFERROR(AGGREGATE(15,6,ROW('Input Transaksi'!$B$5:$B$5000)/('Input Transaksi'!$B$5:$B$5000="LONDRI DEWE ANTASURA"),ROWS($E$5:E931)),"")</f>
        <v/>
      </c>
      <c r="F931" s="5" t="n"/>
    </row>
    <row r="932">
      <c r="A932" s="10">
        <f>IF($E932="","",INDEX('Input Transaksi'!$A:$A,$E932))</f>
        <v/>
      </c>
      <c r="B932" s="5">
        <f>IF($E932="","",INDEX('Input Transaksi'!$D:$D,$E932))</f>
        <v/>
      </c>
      <c r="C932">
        <f>IF($E932="","",INDEX('Input Transaksi'!$E:$E,$E932))</f>
        <v/>
      </c>
      <c r="D932" s="5">
        <f>IF($E932="","",INDEX('Input Transaksi'!$F:$F,$E932))</f>
        <v/>
      </c>
      <c r="E932">
        <f>IFERROR(AGGREGATE(15,6,ROW('Input Transaksi'!$B$5:$B$5000)/('Input Transaksi'!$B$5:$B$5000="LONDRI DEWE ANTASURA"),ROWS($E$5:E932)),"")</f>
        <v/>
      </c>
      <c r="F932" s="5" t="n"/>
    </row>
    <row r="933">
      <c r="A933" s="10">
        <f>IF($E933="","",INDEX('Input Transaksi'!$A:$A,$E933))</f>
        <v/>
      </c>
      <c r="B933" s="5">
        <f>IF($E933="","",INDEX('Input Transaksi'!$D:$D,$E933))</f>
        <v/>
      </c>
      <c r="C933">
        <f>IF($E933="","",INDEX('Input Transaksi'!$E:$E,$E933))</f>
        <v/>
      </c>
      <c r="D933" s="5">
        <f>IF($E933="","",INDEX('Input Transaksi'!$F:$F,$E933))</f>
        <v/>
      </c>
      <c r="E933">
        <f>IFERROR(AGGREGATE(15,6,ROW('Input Transaksi'!$B$5:$B$5000)/('Input Transaksi'!$B$5:$B$5000="LONDRI DEWE ANTASURA"),ROWS($E$5:E933)),"")</f>
        <v/>
      </c>
      <c r="F933" s="5" t="n"/>
    </row>
    <row r="934">
      <c r="A934" s="10">
        <f>IF($E934="","",INDEX('Input Transaksi'!$A:$A,$E934))</f>
        <v/>
      </c>
      <c r="B934" s="5">
        <f>IF($E934="","",INDEX('Input Transaksi'!$D:$D,$E934))</f>
        <v/>
      </c>
      <c r="C934">
        <f>IF($E934="","",INDEX('Input Transaksi'!$E:$E,$E934))</f>
        <v/>
      </c>
      <c r="D934" s="5">
        <f>IF($E934="","",INDEX('Input Transaksi'!$F:$F,$E934))</f>
        <v/>
      </c>
      <c r="E934">
        <f>IFERROR(AGGREGATE(15,6,ROW('Input Transaksi'!$B$5:$B$5000)/('Input Transaksi'!$B$5:$B$5000="LONDRI DEWE ANTASURA"),ROWS($E$5:E934)),"")</f>
        <v/>
      </c>
      <c r="F934" s="5" t="n"/>
    </row>
    <row r="935">
      <c r="A935" s="10">
        <f>IF($E935="","",INDEX('Input Transaksi'!$A:$A,$E935))</f>
        <v/>
      </c>
      <c r="B935" s="5">
        <f>IF($E935="","",INDEX('Input Transaksi'!$D:$D,$E935))</f>
        <v/>
      </c>
      <c r="C935">
        <f>IF($E935="","",INDEX('Input Transaksi'!$E:$E,$E935))</f>
        <v/>
      </c>
      <c r="D935" s="5">
        <f>IF($E935="","",INDEX('Input Transaksi'!$F:$F,$E935))</f>
        <v/>
      </c>
      <c r="E935">
        <f>IFERROR(AGGREGATE(15,6,ROW('Input Transaksi'!$B$5:$B$5000)/('Input Transaksi'!$B$5:$B$5000="LONDRI DEWE ANTASURA"),ROWS($E$5:E935)),"")</f>
        <v/>
      </c>
      <c r="F935" s="5" t="n"/>
    </row>
    <row r="936">
      <c r="A936" s="10">
        <f>IF($E936="","",INDEX('Input Transaksi'!$A:$A,$E936))</f>
        <v/>
      </c>
      <c r="B936" s="5">
        <f>IF($E936="","",INDEX('Input Transaksi'!$D:$D,$E936))</f>
        <v/>
      </c>
      <c r="C936">
        <f>IF($E936="","",INDEX('Input Transaksi'!$E:$E,$E936))</f>
        <v/>
      </c>
      <c r="D936" s="5">
        <f>IF($E936="","",INDEX('Input Transaksi'!$F:$F,$E936))</f>
        <v/>
      </c>
      <c r="E936">
        <f>IFERROR(AGGREGATE(15,6,ROW('Input Transaksi'!$B$5:$B$5000)/('Input Transaksi'!$B$5:$B$5000="LONDRI DEWE ANTASURA"),ROWS($E$5:E936)),"")</f>
        <v/>
      </c>
      <c r="F936" s="5" t="n"/>
    </row>
    <row r="937">
      <c r="A937" s="10">
        <f>IF($E937="","",INDEX('Input Transaksi'!$A:$A,$E937))</f>
        <v/>
      </c>
      <c r="B937" s="5">
        <f>IF($E937="","",INDEX('Input Transaksi'!$D:$D,$E937))</f>
        <v/>
      </c>
      <c r="C937">
        <f>IF($E937="","",INDEX('Input Transaksi'!$E:$E,$E937))</f>
        <v/>
      </c>
      <c r="D937" s="5">
        <f>IF($E937="","",INDEX('Input Transaksi'!$F:$F,$E937))</f>
        <v/>
      </c>
      <c r="E937">
        <f>IFERROR(AGGREGATE(15,6,ROW('Input Transaksi'!$B$5:$B$5000)/('Input Transaksi'!$B$5:$B$5000="LONDRI DEWE ANTASURA"),ROWS($E$5:E937)),"")</f>
        <v/>
      </c>
      <c r="F937" s="5" t="n"/>
    </row>
    <row r="938">
      <c r="A938" s="10">
        <f>IF($E938="","",INDEX('Input Transaksi'!$A:$A,$E938))</f>
        <v/>
      </c>
      <c r="B938" s="5">
        <f>IF($E938="","",INDEX('Input Transaksi'!$D:$D,$E938))</f>
        <v/>
      </c>
      <c r="C938">
        <f>IF($E938="","",INDEX('Input Transaksi'!$E:$E,$E938))</f>
        <v/>
      </c>
      <c r="D938" s="5">
        <f>IF($E938="","",INDEX('Input Transaksi'!$F:$F,$E938))</f>
        <v/>
      </c>
      <c r="E938">
        <f>IFERROR(AGGREGATE(15,6,ROW('Input Transaksi'!$B$5:$B$5000)/('Input Transaksi'!$B$5:$B$5000="LONDRI DEWE ANTASURA"),ROWS($E$5:E938)),"")</f>
        <v/>
      </c>
      <c r="F938" s="5" t="n"/>
    </row>
    <row r="939">
      <c r="A939" s="10">
        <f>IF($E939="","",INDEX('Input Transaksi'!$A:$A,$E939))</f>
        <v/>
      </c>
      <c r="B939" s="5">
        <f>IF($E939="","",INDEX('Input Transaksi'!$D:$D,$E939))</f>
        <v/>
      </c>
      <c r="C939">
        <f>IF($E939="","",INDEX('Input Transaksi'!$E:$E,$E939))</f>
        <v/>
      </c>
      <c r="D939" s="5">
        <f>IF($E939="","",INDEX('Input Transaksi'!$F:$F,$E939))</f>
        <v/>
      </c>
      <c r="E939">
        <f>IFERROR(AGGREGATE(15,6,ROW('Input Transaksi'!$B$5:$B$5000)/('Input Transaksi'!$B$5:$B$5000="LONDRI DEWE ANTASURA"),ROWS($E$5:E939)),"")</f>
        <v/>
      </c>
      <c r="F939" s="5" t="n"/>
    </row>
    <row r="940">
      <c r="A940" s="10">
        <f>IF($E940="","",INDEX('Input Transaksi'!$A:$A,$E940))</f>
        <v/>
      </c>
      <c r="B940" s="5">
        <f>IF($E940="","",INDEX('Input Transaksi'!$D:$D,$E940))</f>
        <v/>
      </c>
      <c r="C940">
        <f>IF($E940="","",INDEX('Input Transaksi'!$E:$E,$E940))</f>
        <v/>
      </c>
      <c r="D940" s="5">
        <f>IF($E940="","",INDEX('Input Transaksi'!$F:$F,$E940))</f>
        <v/>
      </c>
      <c r="E940">
        <f>IFERROR(AGGREGATE(15,6,ROW('Input Transaksi'!$B$5:$B$5000)/('Input Transaksi'!$B$5:$B$5000="LONDRI DEWE ANTASURA"),ROWS($E$5:E940)),"")</f>
        <v/>
      </c>
      <c r="F940" s="5" t="n"/>
    </row>
    <row r="941">
      <c r="A941" s="10">
        <f>IF($E941="","",INDEX('Input Transaksi'!$A:$A,$E941))</f>
        <v/>
      </c>
      <c r="B941" s="5">
        <f>IF($E941="","",INDEX('Input Transaksi'!$D:$D,$E941))</f>
        <v/>
      </c>
      <c r="C941">
        <f>IF($E941="","",INDEX('Input Transaksi'!$E:$E,$E941))</f>
        <v/>
      </c>
      <c r="D941" s="5">
        <f>IF($E941="","",INDEX('Input Transaksi'!$F:$F,$E941))</f>
        <v/>
      </c>
      <c r="E941">
        <f>IFERROR(AGGREGATE(15,6,ROW('Input Transaksi'!$B$5:$B$5000)/('Input Transaksi'!$B$5:$B$5000="LONDRI DEWE ANTASURA"),ROWS($E$5:E941)),"")</f>
        <v/>
      </c>
      <c r="F941" s="5" t="n"/>
    </row>
    <row r="942">
      <c r="A942" s="10">
        <f>IF($E942="","",INDEX('Input Transaksi'!$A:$A,$E942))</f>
        <v/>
      </c>
      <c r="B942" s="5">
        <f>IF($E942="","",INDEX('Input Transaksi'!$D:$D,$E942))</f>
        <v/>
      </c>
      <c r="C942">
        <f>IF($E942="","",INDEX('Input Transaksi'!$E:$E,$E942))</f>
        <v/>
      </c>
      <c r="D942" s="5">
        <f>IF($E942="","",INDEX('Input Transaksi'!$F:$F,$E942))</f>
        <v/>
      </c>
      <c r="E942">
        <f>IFERROR(AGGREGATE(15,6,ROW('Input Transaksi'!$B$5:$B$5000)/('Input Transaksi'!$B$5:$B$5000="LONDRI DEWE ANTASURA"),ROWS($E$5:E942)),"")</f>
        <v/>
      </c>
      <c r="F942" s="5" t="n"/>
    </row>
    <row r="943">
      <c r="A943" s="10">
        <f>IF($E943="","",INDEX('Input Transaksi'!$A:$A,$E943))</f>
        <v/>
      </c>
      <c r="B943" s="5">
        <f>IF($E943="","",INDEX('Input Transaksi'!$D:$D,$E943))</f>
        <v/>
      </c>
      <c r="C943">
        <f>IF($E943="","",INDEX('Input Transaksi'!$E:$E,$E943))</f>
        <v/>
      </c>
      <c r="D943" s="5">
        <f>IF($E943="","",INDEX('Input Transaksi'!$F:$F,$E943))</f>
        <v/>
      </c>
      <c r="E943">
        <f>IFERROR(AGGREGATE(15,6,ROW('Input Transaksi'!$B$5:$B$5000)/('Input Transaksi'!$B$5:$B$5000="LONDRI DEWE ANTASURA"),ROWS($E$5:E943)),"")</f>
        <v/>
      </c>
      <c r="F943" s="5" t="n"/>
    </row>
    <row r="944">
      <c r="A944" s="10">
        <f>IF($E944="","",INDEX('Input Transaksi'!$A:$A,$E944))</f>
        <v/>
      </c>
      <c r="B944" s="5">
        <f>IF($E944="","",INDEX('Input Transaksi'!$D:$D,$E944))</f>
        <v/>
      </c>
      <c r="C944">
        <f>IF($E944="","",INDEX('Input Transaksi'!$E:$E,$E944))</f>
        <v/>
      </c>
      <c r="D944" s="5">
        <f>IF($E944="","",INDEX('Input Transaksi'!$F:$F,$E944))</f>
        <v/>
      </c>
      <c r="E944">
        <f>IFERROR(AGGREGATE(15,6,ROW('Input Transaksi'!$B$5:$B$5000)/('Input Transaksi'!$B$5:$B$5000="LONDRI DEWE ANTASURA"),ROWS($E$5:E944)),"")</f>
        <v/>
      </c>
      <c r="F944" s="5" t="n"/>
    </row>
    <row r="945">
      <c r="A945" s="10">
        <f>IF($E945="","",INDEX('Input Transaksi'!$A:$A,$E945))</f>
        <v/>
      </c>
      <c r="B945" s="5">
        <f>IF($E945="","",INDEX('Input Transaksi'!$D:$D,$E945))</f>
        <v/>
      </c>
      <c r="C945">
        <f>IF($E945="","",INDEX('Input Transaksi'!$E:$E,$E945))</f>
        <v/>
      </c>
      <c r="D945" s="5">
        <f>IF($E945="","",INDEX('Input Transaksi'!$F:$F,$E945))</f>
        <v/>
      </c>
      <c r="E945">
        <f>IFERROR(AGGREGATE(15,6,ROW('Input Transaksi'!$B$5:$B$5000)/('Input Transaksi'!$B$5:$B$5000="LONDRI DEWE ANTASURA"),ROWS($E$5:E945)),"")</f>
        <v/>
      </c>
      <c r="F945" s="5" t="n"/>
    </row>
    <row r="946">
      <c r="A946" s="10">
        <f>IF($E946="","",INDEX('Input Transaksi'!$A:$A,$E946))</f>
        <v/>
      </c>
      <c r="B946" s="5">
        <f>IF($E946="","",INDEX('Input Transaksi'!$D:$D,$E946))</f>
        <v/>
      </c>
      <c r="C946">
        <f>IF($E946="","",INDEX('Input Transaksi'!$E:$E,$E946))</f>
        <v/>
      </c>
      <c r="D946" s="5">
        <f>IF($E946="","",INDEX('Input Transaksi'!$F:$F,$E946))</f>
        <v/>
      </c>
      <c r="E946">
        <f>IFERROR(AGGREGATE(15,6,ROW('Input Transaksi'!$B$5:$B$5000)/('Input Transaksi'!$B$5:$B$5000="LONDRI DEWE ANTASURA"),ROWS($E$5:E946)),"")</f>
        <v/>
      </c>
      <c r="F946" s="5" t="n"/>
    </row>
    <row r="947">
      <c r="A947" s="10">
        <f>IF($E947="","",INDEX('Input Transaksi'!$A:$A,$E947))</f>
        <v/>
      </c>
      <c r="B947" s="5">
        <f>IF($E947="","",INDEX('Input Transaksi'!$D:$D,$E947))</f>
        <v/>
      </c>
      <c r="C947">
        <f>IF($E947="","",INDEX('Input Transaksi'!$E:$E,$E947))</f>
        <v/>
      </c>
      <c r="D947" s="5">
        <f>IF($E947="","",INDEX('Input Transaksi'!$F:$F,$E947))</f>
        <v/>
      </c>
      <c r="E947">
        <f>IFERROR(AGGREGATE(15,6,ROW('Input Transaksi'!$B$5:$B$5000)/('Input Transaksi'!$B$5:$B$5000="LONDRI DEWE ANTASURA"),ROWS($E$5:E947)),"")</f>
        <v/>
      </c>
      <c r="F947" s="5" t="n"/>
    </row>
    <row r="948">
      <c r="A948" s="10">
        <f>IF($E948="","",INDEX('Input Transaksi'!$A:$A,$E948))</f>
        <v/>
      </c>
      <c r="B948" s="5">
        <f>IF($E948="","",INDEX('Input Transaksi'!$D:$D,$E948))</f>
        <v/>
      </c>
      <c r="C948">
        <f>IF($E948="","",INDEX('Input Transaksi'!$E:$E,$E948))</f>
        <v/>
      </c>
      <c r="D948" s="5">
        <f>IF($E948="","",INDEX('Input Transaksi'!$F:$F,$E948))</f>
        <v/>
      </c>
      <c r="E948">
        <f>IFERROR(AGGREGATE(15,6,ROW('Input Transaksi'!$B$5:$B$5000)/('Input Transaksi'!$B$5:$B$5000="LONDRI DEWE ANTASURA"),ROWS($E$5:E948)),"")</f>
        <v/>
      </c>
      <c r="F948" s="5" t="n"/>
    </row>
    <row r="949">
      <c r="A949" s="10">
        <f>IF($E949="","",INDEX('Input Transaksi'!$A:$A,$E949))</f>
        <v/>
      </c>
      <c r="B949" s="5">
        <f>IF($E949="","",INDEX('Input Transaksi'!$D:$D,$E949))</f>
        <v/>
      </c>
      <c r="C949">
        <f>IF($E949="","",INDEX('Input Transaksi'!$E:$E,$E949))</f>
        <v/>
      </c>
      <c r="D949" s="5">
        <f>IF($E949="","",INDEX('Input Transaksi'!$F:$F,$E949))</f>
        <v/>
      </c>
      <c r="E949">
        <f>IFERROR(AGGREGATE(15,6,ROW('Input Transaksi'!$B$5:$B$5000)/('Input Transaksi'!$B$5:$B$5000="LONDRI DEWE ANTASURA"),ROWS($E$5:E949)),"")</f>
        <v/>
      </c>
      <c r="F949" s="5" t="n"/>
    </row>
    <row r="950">
      <c r="A950" s="10">
        <f>IF($E950="","",INDEX('Input Transaksi'!$A:$A,$E950))</f>
        <v/>
      </c>
      <c r="B950" s="5">
        <f>IF($E950="","",INDEX('Input Transaksi'!$D:$D,$E950))</f>
        <v/>
      </c>
      <c r="C950">
        <f>IF($E950="","",INDEX('Input Transaksi'!$E:$E,$E950))</f>
        <v/>
      </c>
      <c r="D950" s="5">
        <f>IF($E950="","",INDEX('Input Transaksi'!$F:$F,$E950))</f>
        <v/>
      </c>
      <c r="E950">
        <f>IFERROR(AGGREGATE(15,6,ROW('Input Transaksi'!$B$5:$B$5000)/('Input Transaksi'!$B$5:$B$5000="LONDRI DEWE ANTASURA"),ROWS($E$5:E950)),"")</f>
        <v/>
      </c>
      <c r="F950" s="5" t="n"/>
    </row>
    <row r="951">
      <c r="A951" s="10">
        <f>IF($E951="","",INDEX('Input Transaksi'!$A:$A,$E951))</f>
        <v/>
      </c>
      <c r="B951" s="5">
        <f>IF($E951="","",INDEX('Input Transaksi'!$D:$D,$E951))</f>
        <v/>
      </c>
      <c r="C951">
        <f>IF($E951="","",INDEX('Input Transaksi'!$E:$E,$E951))</f>
        <v/>
      </c>
      <c r="D951" s="5">
        <f>IF($E951="","",INDEX('Input Transaksi'!$F:$F,$E951))</f>
        <v/>
      </c>
      <c r="E951">
        <f>IFERROR(AGGREGATE(15,6,ROW('Input Transaksi'!$B$5:$B$5000)/('Input Transaksi'!$B$5:$B$5000="LONDRI DEWE ANTASURA"),ROWS($E$5:E951)),"")</f>
        <v/>
      </c>
      <c r="F951" s="5" t="n"/>
    </row>
    <row r="952">
      <c r="A952" s="10">
        <f>IF($E952="","",INDEX('Input Transaksi'!$A:$A,$E952))</f>
        <v/>
      </c>
      <c r="B952" s="5">
        <f>IF($E952="","",INDEX('Input Transaksi'!$D:$D,$E952))</f>
        <v/>
      </c>
      <c r="C952">
        <f>IF($E952="","",INDEX('Input Transaksi'!$E:$E,$E952))</f>
        <v/>
      </c>
      <c r="D952" s="5">
        <f>IF($E952="","",INDEX('Input Transaksi'!$F:$F,$E952))</f>
        <v/>
      </c>
      <c r="E952">
        <f>IFERROR(AGGREGATE(15,6,ROW('Input Transaksi'!$B$5:$B$5000)/('Input Transaksi'!$B$5:$B$5000="LONDRI DEWE ANTASURA"),ROWS($E$5:E952)),"")</f>
        <v/>
      </c>
      <c r="F952" s="5" t="n"/>
    </row>
    <row r="953">
      <c r="A953" s="10">
        <f>IF($E953="","",INDEX('Input Transaksi'!$A:$A,$E953))</f>
        <v/>
      </c>
      <c r="B953" s="5">
        <f>IF($E953="","",INDEX('Input Transaksi'!$D:$D,$E953))</f>
        <v/>
      </c>
      <c r="C953">
        <f>IF($E953="","",INDEX('Input Transaksi'!$E:$E,$E953))</f>
        <v/>
      </c>
      <c r="D953" s="5">
        <f>IF($E953="","",INDEX('Input Transaksi'!$F:$F,$E953))</f>
        <v/>
      </c>
      <c r="E953">
        <f>IFERROR(AGGREGATE(15,6,ROW('Input Transaksi'!$B$5:$B$5000)/('Input Transaksi'!$B$5:$B$5000="LONDRI DEWE ANTASURA"),ROWS($E$5:E953)),"")</f>
        <v/>
      </c>
      <c r="F953" s="5" t="n"/>
    </row>
    <row r="954">
      <c r="A954" s="10">
        <f>IF($E954="","",INDEX('Input Transaksi'!$A:$A,$E954))</f>
        <v/>
      </c>
      <c r="B954" s="5">
        <f>IF($E954="","",INDEX('Input Transaksi'!$D:$D,$E954))</f>
        <v/>
      </c>
      <c r="C954">
        <f>IF($E954="","",INDEX('Input Transaksi'!$E:$E,$E954))</f>
        <v/>
      </c>
      <c r="D954" s="5">
        <f>IF($E954="","",INDEX('Input Transaksi'!$F:$F,$E954))</f>
        <v/>
      </c>
      <c r="E954">
        <f>IFERROR(AGGREGATE(15,6,ROW('Input Transaksi'!$B$5:$B$5000)/('Input Transaksi'!$B$5:$B$5000="LONDRI DEWE ANTASURA"),ROWS($E$5:E954)),"")</f>
        <v/>
      </c>
      <c r="F954" s="5" t="n"/>
    </row>
    <row r="955">
      <c r="A955" s="10">
        <f>IF($E955="","",INDEX('Input Transaksi'!$A:$A,$E955))</f>
        <v/>
      </c>
      <c r="B955" s="5">
        <f>IF($E955="","",INDEX('Input Transaksi'!$D:$D,$E955))</f>
        <v/>
      </c>
      <c r="C955">
        <f>IF($E955="","",INDEX('Input Transaksi'!$E:$E,$E955))</f>
        <v/>
      </c>
      <c r="D955" s="5">
        <f>IF($E955="","",INDEX('Input Transaksi'!$F:$F,$E955))</f>
        <v/>
      </c>
      <c r="E955">
        <f>IFERROR(AGGREGATE(15,6,ROW('Input Transaksi'!$B$5:$B$5000)/('Input Transaksi'!$B$5:$B$5000="LONDRI DEWE ANTASURA"),ROWS($E$5:E955)),"")</f>
        <v/>
      </c>
      <c r="F955" s="5" t="n"/>
    </row>
    <row r="956">
      <c r="A956" s="10">
        <f>IF($E956="","",INDEX('Input Transaksi'!$A:$A,$E956))</f>
        <v/>
      </c>
      <c r="B956" s="5">
        <f>IF($E956="","",INDEX('Input Transaksi'!$D:$D,$E956))</f>
        <v/>
      </c>
      <c r="C956">
        <f>IF($E956="","",INDEX('Input Transaksi'!$E:$E,$E956))</f>
        <v/>
      </c>
      <c r="D956" s="5">
        <f>IF($E956="","",INDEX('Input Transaksi'!$F:$F,$E956))</f>
        <v/>
      </c>
      <c r="E956">
        <f>IFERROR(AGGREGATE(15,6,ROW('Input Transaksi'!$B$5:$B$5000)/('Input Transaksi'!$B$5:$B$5000="LONDRI DEWE ANTASURA"),ROWS($E$5:E956)),"")</f>
        <v/>
      </c>
      <c r="F956" s="5" t="n"/>
    </row>
    <row r="957">
      <c r="A957" s="10">
        <f>IF($E957="","",INDEX('Input Transaksi'!$A:$A,$E957))</f>
        <v/>
      </c>
      <c r="B957" s="5">
        <f>IF($E957="","",INDEX('Input Transaksi'!$D:$D,$E957))</f>
        <v/>
      </c>
      <c r="C957">
        <f>IF($E957="","",INDEX('Input Transaksi'!$E:$E,$E957))</f>
        <v/>
      </c>
      <c r="D957" s="5">
        <f>IF($E957="","",INDEX('Input Transaksi'!$F:$F,$E957))</f>
        <v/>
      </c>
      <c r="E957">
        <f>IFERROR(AGGREGATE(15,6,ROW('Input Transaksi'!$B$5:$B$5000)/('Input Transaksi'!$B$5:$B$5000="LONDRI DEWE ANTASURA"),ROWS($E$5:E957)),"")</f>
        <v/>
      </c>
      <c r="F957" s="5" t="n"/>
    </row>
    <row r="958">
      <c r="A958" s="10">
        <f>IF($E958="","",INDEX('Input Transaksi'!$A:$A,$E958))</f>
        <v/>
      </c>
      <c r="B958" s="5">
        <f>IF($E958="","",INDEX('Input Transaksi'!$D:$D,$E958))</f>
        <v/>
      </c>
      <c r="C958">
        <f>IF($E958="","",INDEX('Input Transaksi'!$E:$E,$E958))</f>
        <v/>
      </c>
      <c r="D958" s="5">
        <f>IF($E958="","",INDEX('Input Transaksi'!$F:$F,$E958))</f>
        <v/>
      </c>
      <c r="E958">
        <f>IFERROR(AGGREGATE(15,6,ROW('Input Transaksi'!$B$5:$B$5000)/('Input Transaksi'!$B$5:$B$5000="LONDRI DEWE ANTASURA"),ROWS($E$5:E958)),"")</f>
        <v/>
      </c>
      <c r="F958" s="5" t="n"/>
    </row>
    <row r="959">
      <c r="A959" s="10">
        <f>IF($E959="","",INDEX('Input Transaksi'!$A:$A,$E959))</f>
        <v/>
      </c>
      <c r="B959" s="5">
        <f>IF($E959="","",INDEX('Input Transaksi'!$D:$D,$E959))</f>
        <v/>
      </c>
      <c r="C959">
        <f>IF($E959="","",INDEX('Input Transaksi'!$E:$E,$E959))</f>
        <v/>
      </c>
      <c r="D959" s="5">
        <f>IF($E959="","",INDEX('Input Transaksi'!$F:$F,$E959))</f>
        <v/>
      </c>
      <c r="E959">
        <f>IFERROR(AGGREGATE(15,6,ROW('Input Transaksi'!$B$5:$B$5000)/('Input Transaksi'!$B$5:$B$5000="LONDRI DEWE ANTASURA"),ROWS($E$5:E959)),"")</f>
        <v/>
      </c>
      <c r="F959" s="5" t="n"/>
    </row>
    <row r="960">
      <c r="A960" s="10">
        <f>IF($E960="","",INDEX('Input Transaksi'!$A:$A,$E960))</f>
        <v/>
      </c>
      <c r="B960" s="5">
        <f>IF($E960="","",INDEX('Input Transaksi'!$D:$D,$E960))</f>
        <v/>
      </c>
      <c r="C960">
        <f>IF($E960="","",INDEX('Input Transaksi'!$E:$E,$E960))</f>
        <v/>
      </c>
      <c r="D960" s="5">
        <f>IF($E960="","",INDEX('Input Transaksi'!$F:$F,$E960))</f>
        <v/>
      </c>
      <c r="E960">
        <f>IFERROR(AGGREGATE(15,6,ROW('Input Transaksi'!$B$5:$B$5000)/('Input Transaksi'!$B$5:$B$5000="LONDRI DEWE ANTASURA"),ROWS($E$5:E960)),"")</f>
        <v/>
      </c>
      <c r="F960" s="5" t="n"/>
    </row>
    <row r="961">
      <c r="A961" s="10">
        <f>IF($E961="","",INDEX('Input Transaksi'!$A:$A,$E961))</f>
        <v/>
      </c>
      <c r="B961" s="5">
        <f>IF($E961="","",INDEX('Input Transaksi'!$D:$D,$E961))</f>
        <v/>
      </c>
      <c r="C961">
        <f>IF($E961="","",INDEX('Input Transaksi'!$E:$E,$E961))</f>
        <v/>
      </c>
      <c r="D961" s="5">
        <f>IF($E961="","",INDEX('Input Transaksi'!$F:$F,$E961))</f>
        <v/>
      </c>
      <c r="E961">
        <f>IFERROR(AGGREGATE(15,6,ROW('Input Transaksi'!$B$5:$B$5000)/('Input Transaksi'!$B$5:$B$5000="LONDRI DEWE ANTASURA"),ROWS($E$5:E961)),"")</f>
        <v/>
      </c>
      <c r="F961" s="5" t="n"/>
    </row>
    <row r="962">
      <c r="A962" s="10">
        <f>IF($E962="","",INDEX('Input Transaksi'!$A:$A,$E962))</f>
        <v/>
      </c>
      <c r="B962" s="5">
        <f>IF($E962="","",INDEX('Input Transaksi'!$D:$D,$E962))</f>
        <v/>
      </c>
      <c r="C962">
        <f>IF($E962="","",INDEX('Input Transaksi'!$E:$E,$E962))</f>
        <v/>
      </c>
      <c r="D962" s="5">
        <f>IF($E962="","",INDEX('Input Transaksi'!$F:$F,$E962))</f>
        <v/>
      </c>
      <c r="E962">
        <f>IFERROR(AGGREGATE(15,6,ROW('Input Transaksi'!$B$5:$B$5000)/('Input Transaksi'!$B$5:$B$5000="LONDRI DEWE ANTASURA"),ROWS($E$5:E962)),"")</f>
        <v/>
      </c>
      <c r="F962" s="5" t="n"/>
    </row>
    <row r="963">
      <c r="A963" s="10">
        <f>IF($E963="","",INDEX('Input Transaksi'!$A:$A,$E963))</f>
        <v/>
      </c>
      <c r="B963" s="5">
        <f>IF($E963="","",INDEX('Input Transaksi'!$D:$D,$E963))</f>
        <v/>
      </c>
      <c r="C963">
        <f>IF($E963="","",INDEX('Input Transaksi'!$E:$E,$E963))</f>
        <v/>
      </c>
      <c r="D963" s="5">
        <f>IF($E963="","",INDEX('Input Transaksi'!$F:$F,$E963))</f>
        <v/>
      </c>
      <c r="E963">
        <f>IFERROR(AGGREGATE(15,6,ROW('Input Transaksi'!$B$5:$B$5000)/('Input Transaksi'!$B$5:$B$5000="LONDRI DEWE ANTASURA"),ROWS($E$5:E963)),"")</f>
        <v/>
      </c>
      <c r="F963" s="5" t="n"/>
    </row>
    <row r="964">
      <c r="A964" s="10">
        <f>IF($E964="","",INDEX('Input Transaksi'!$A:$A,$E964))</f>
        <v/>
      </c>
      <c r="B964" s="5">
        <f>IF($E964="","",INDEX('Input Transaksi'!$D:$D,$E964))</f>
        <v/>
      </c>
      <c r="C964">
        <f>IF($E964="","",INDEX('Input Transaksi'!$E:$E,$E964))</f>
        <v/>
      </c>
      <c r="D964" s="5">
        <f>IF($E964="","",INDEX('Input Transaksi'!$F:$F,$E964))</f>
        <v/>
      </c>
      <c r="E964">
        <f>IFERROR(AGGREGATE(15,6,ROW('Input Transaksi'!$B$5:$B$5000)/('Input Transaksi'!$B$5:$B$5000="LONDRI DEWE ANTASURA"),ROWS($E$5:E964)),"")</f>
        <v/>
      </c>
      <c r="F964" s="5" t="n"/>
    </row>
    <row r="965">
      <c r="A965" s="10">
        <f>IF($E965="","",INDEX('Input Transaksi'!$A:$A,$E965))</f>
        <v/>
      </c>
      <c r="B965" s="5">
        <f>IF($E965="","",INDEX('Input Transaksi'!$D:$D,$E965))</f>
        <v/>
      </c>
      <c r="C965">
        <f>IF($E965="","",INDEX('Input Transaksi'!$E:$E,$E965))</f>
        <v/>
      </c>
      <c r="D965" s="5">
        <f>IF($E965="","",INDEX('Input Transaksi'!$F:$F,$E965))</f>
        <v/>
      </c>
      <c r="E965">
        <f>IFERROR(AGGREGATE(15,6,ROW('Input Transaksi'!$B$5:$B$5000)/('Input Transaksi'!$B$5:$B$5000="LONDRI DEWE ANTASURA"),ROWS($E$5:E965)),"")</f>
        <v/>
      </c>
      <c r="F965" s="5" t="n"/>
    </row>
    <row r="966">
      <c r="A966" s="10">
        <f>IF($E966="","",INDEX('Input Transaksi'!$A:$A,$E966))</f>
        <v/>
      </c>
      <c r="B966" s="5">
        <f>IF($E966="","",INDEX('Input Transaksi'!$D:$D,$E966))</f>
        <v/>
      </c>
      <c r="C966">
        <f>IF($E966="","",INDEX('Input Transaksi'!$E:$E,$E966))</f>
        <v/>
      </c>
      <c r="D966" s="5">
        <f>IF($E966="","",INDEX('Input Transaksi'!$F:$F,$E966))</f>
        <v/>
      </c>
      <c r="E966">
        <f>IFERROR(AGGREGATE(15,6,ROW('Input Transaksi'!$B$5:$B$5000)/('Input Transaksi'!$B$5:$B$5000="LONDRI DEWE ANTASURA"),ROWS($E$5:E966)),"")</f>
        <v/>
      </c>
      <c r="F966" s="5" t="n"/>
    </row>
    <row r="967">
      <c r="A967" s="10">
        <f>IF($E967="","",INDEX('Input Transaksi'!$A:$A,$E967))</f>
        <v/>
      </c>
      <c r="B967" s="5">
        <f>IF($E967="","",INDEX('Input Transaksi'!$D:$D,$E967))</f>
        <v/>
      </c>
      <c r="C967">
        <f>IF($E967="","",INDEX('Input Transaksi'!$E:$E,$E967))</f>
        <v/>
      </c>
      <c r="D967" s="5">
        <f>IF($E967="","",INDEX('Input Transaksi'!$F:$F,$E967))</f>
        <v/>
      </c>
      <c r="E967">
        <f>IFERROR(AGGREGATE(15,6,ROW('Input Transaksi'!$B$5:$B$5000)/('Input Transaksi'!$B$5:$B$5000="LONDRI DEWE ANTASURA"),ROWS($E$5:E967)),"")</f>
        <v/>
      </c>
      <c r="F967" s="5" t="n"/>
    </row>
    <row r="968">
      <c r="A968" s="10">
        <f>IF($E968="","",INDEX('Input Transaksi'!$A:$A,$E968))</f>
        <v/>
      </c>
      <c r="B968" s="5">
        <f>IF($E968="","",INDEX('Input Transaksi'!$D:$D,$E968))</f>
        <v/>
      </c>
      <c r="C968">
        <f>IF($E968="","",INDEX('Input Transaksi'!$E:$E,$E968))</f>
        <v/>
      </c>
      <c r="D968" s="5">
        <f>IF($E968="","",INDEX('Input Transaksi'!$F:$F,$E968))</f>
        <v/>
      </c>
      <c r="E968">
        <f>IFERROR(AGGREGATE(15,6,ROW('Input Transaksi'!$B$5:$B$5000)/('Input Transaksi'!$B$5:$B$5000="LONDRI DEWE ANTASURA"),ROWS($E$5:E968)),"")</f>
        <v/>
      </c>
      <c r="F968" s="5" t="n"/>
    </row>
    <row r="969">
      <c r="A969" s="10">
        <f>IF($E969="","",INDEX('Input Transaksi'!$A:$A,$E969))</f>
        <v/>
      </c>
      <c r="B969" s="5">
        <f>IF($E969="","",INDEX('Input Transaksi'!$D:$D,$E969))</f>
        <v/>
      </c>
      <c r="C969">
        <f>IF($E969="","",INDEX('Input Transaksi'!$E:$E,$E969))</f>
        <v/>
      </c>
      <c r="D969" s="5">
        <f>IF($E969="","",INDEX('Input Transaksi'!$F:$F,$E969))</f>
        <v/>
      </c>
      <c r="E969">
        <f>IFERROR(AGGREGATE(15,6,ROW('Input Transaksi'!$B$5:$B$5000)/('Input Transaksi'!$B$5:$B$5000="LONDRI DEWE ANTASURA"),ROWS($E$5:E969)),"")</f>
        <v/>
      </c>
      <c r="F969" s="5" t="n"/>
    </row>
    <row r="970">
      <c r="A970" s="10">
        <f>IF($E970="","",INDEX('Input Transaksi'!$A:$A,$E970))</f>
        <v/>
      </c>
      <c r="B970" s="5">
        <f>IF($E970="","",INDEX('Input Transaksi'!$D:$D,$E970))</f>
        <v/>
      </c>
      <c r="C970">
        <f>IF($E970="","",INDEX('Input Transaksi'!$E:$E,$E970))</f>
        <v/>
      </c>
      <c r="D970" s="5">
        <f>IF($E970="","",INDEX('Input Transaksi'!$F:$F,$E970))</f>
        <v/>
      </c>
      <c r="E970">
        <f>IFERROR(AGGREGATE(15,6,ROW('Input Transaksi'!$B$5:$B$5000)/('Input Transaksi'!$B$5:$B$5000="LONDRI DEWE ANTASURA"),ROWS($E$5:E970)),"")</f>
        <v/>
      </c>
      <c r="F970" s="5" t="n"/>
    </row>
    <row r="971">
      <c r="A971" s="10">
        <f>IF($E971="","",INDEX('Input Transaksi'!$A:$A,$E971))</f>
        <v/>
      </c>
      <c r="B971" s="5">
        <f>IF($E971="","",INDEX('Input Transaksi'!$D:$D,$E971))</f>
        <v/>
      </c>
      <c r="C971">
        <f>IF($E971="","",INDEX('Input Transaksi'!$E:$E,$E971))</f>
        <v/>
      </c>
      <c r="D971" s="5">
        <f>IF($E971="","",INDEX('Input Transaksi'!$F:$F,$E971))</f>
        <v/>
      </c>
      <c r="E971">
        <f>IFERROR(AGGREGATE(15,6,ROW('Input Transaksi'!$B$5:$B$5000)/('Input Transaksi'!$B$5:$B$5000="LONDRI DEWE ANTASURA"),ROWS($E$5:E971)),"")</f>
        <v/>
      </c>
      <c r="F971" s="5" t="n"/>
    </row>
    <row r="972">
      <c r="A972" s="10">
        <f>IF($E972="","",INDEX('Input Transaksi'!$A:$A,$E972))</f>
        <v/>
      </c>
      <c r="B972" s="5">
        <f>IF($E972="","",INDEX('Input Transaksi'!$D:$D,$E972))</f>
        <v/>
      </c>
      <c r="C972">
        <f>IF($E972="","",INDEX('Input Transaksi'!$E:$E,$E972))</f>
        <v/>
      </c>
      <c r="D972" s="5">
        <f>IF($E972="","",INDEX('Input Transaksi'!$F:$F,$E972))</f>
        <v/>
      </c>
      <c r="E972">
        <f>IFERROR(AGGREGATE(15,6,ROW('Input Transaksi'!$B$5:$B$5000)/('Input Transaksi'!$B$5:$B$5000="LONDRI DEWE ANTASURA"),ROWS($E$5:E972)),"")</f>
        <v/>
      </c>
      <c r="F972" s="5" t="n"/>
    </row>
    <row r="973">
      <c r="A973" s="10">
        <f>IF($E973="","",INDEX('Input Transaksi'!$A:$A,$E973))</f>
        <v/>
      </c>
      <c r="B973" s="5">
        <f>IF($E973="","",INDEX('Input Transaksi'!$D:$D,$E973))</f>
        <v/>
      </c>
      <c r="C973">
        <f>IF($E973="","",INDEX('Input Transaksi'!$E:$E,$E973))</f>
        <v/>
      </c>
      <c r="D973" s="5">
        <f>IF($E973="","",INDEX('Input Transaksi'!$F:$F,$E973))</f>
        <v/>
      </c>
      <c r="E973">
        <f>IFERROR(AGGREGATE(15,6,ROW('Input Transaksi'!$B$5:$B$5000)/('Input Transaksi'!$B$5:$B$5000="LONDRI DEWE ANTASURA"),ROWS($E$5:E973)),"")</f>
        <v/>
      </c>
      <c r="F973" s="5" t="n"/>
    </row>
    <row r="974">
      <c r="A974" s="10">
        <f>IF($E974="","",INDEX('Input Transaksi'!$A:$A,$E974))</f>
        <v/>
      </c>
      <c r="B974" s="5">
        <f>IF($E974="","",INDEX('Input Transaksi'!$D:$D,$E974))</f>
        <v/>
      </c>
      <c r="C974">
        <f>IF($E974="","",INDEX('Input Transaksi'!$E:$E,$E974))</f>
        <v/>
      </c>
      <c r="D974" s="5">
        <f>IF($E974="","",INDEX('Input Transaksi'!$F:$F,$E974))</f>
        <v/>
      </c>
      <c r="E974">
        <f>IFERROR(AGGREGATE(15,6,ROW('Input Transaksi'!$B$5:$B$5000)/('Input Transaksi'!$B$5:$B$5000="LONDRI DEWE ANTASURA"),ROWS($E$5:E974)),"")</f>
        <v/>
      </c>
      <c r="F974" s="5" t="n"/>
    </row>
    <row r="975">
      <c r="A975" s="10">
        <f>IF($E975="","",INDEX('Input Transaksi'!$A:$A,$E975))</f>
        <v/>
      </c>
      <c r="B975" s="5">
        <f>IF($E975="","",INDEX('Input Transaksi'!$D:$D,$E975))</f>
        <v/>
      </c>
      <c r="C975">
        <f>IF($E975="","",INDEX('Input Transaksi'!$E:$E,$E975))</f>
        <v/>
      </c>
      <c r="D975" s="5">
        <f>IF($E975="","",INDEX('Input Transaksi'!$F:$F,$E975))</f>
        <v/>
      </c>
      <c r="E975">
        <f>IFERROR(AGGREGATE(15,6,ROW('Input Transaksi'!$B$5:$B$5000)/('Input Transaksi'!$B$5:$B$5000="LONDRI DEWE ANTASURA"),ROWS($E$5:E975)),"")</f>
        <v/>
      </c>
      <c r="F975" s="5" t="n"/>
    </row>
    <row r="976">
      <c r="A976" s="10">
        <f>IF($E976="","",INDEX('Input Transaksi'!$A:$A,$E976))</f>
        <v/>
      </c>
      <c r="B976" s="5">
        <f>IF($E976="","",INDEX('Input Transaksi'!$D:$D,$E976))</f>
        <v/>
      </c>
      <c r="C976">
        <f>IF($E976="","",INDEX('Input Transaksi'!$E:$E,$E976))</f>
        <v/>
      </c>
      <c r="D976" s="5">
        <f>IF($E976="","",INDEX('Input Transaksi'!$F:$F,$E976))</f>
        <v/>
      </c>
      <c r="E976">
        <f>IFERROR(AGGREGATE(15,6,ROW('Input Transaksi'!$B$5:$B$5000)/('Input Transaksi'!$B$5:$B$5000="LONDRI DEWE ANTASURA"),ROWS($E$5:E976)),"")</f>
        <v/>
      </c>
      <c r="F976" s="5" t="n"/>
    </row>
    <row r="977">
      <c r="A977" s="10">
        <f>IF($E977="","",INDEX('Input Transaksi'!$A:$A,$E977))</f>
        <v/>
      </c>
      <c r="B977" s="5">
        <f>IF($E977="","",INDEX('Input Transaksi'!$D:$D,$E977))</f>
        <v/>
      </c>
      <c r="C977">
        <f>IF($E977="","",INDEX('Input Transaksi'!$E:$E,$E977))</f>
        <v/>
      </c>
      <c r="D977" s="5">
        <f>IF($E977="","",INDEX('Input Transaksi'!$F:$F,$E977))</f>
        <v/>
      </c>
      <c r="E977">
        <f>IFERROR(AGGREGATE(15,6,ROW('Input Transaksi'!$B$5:$B$5000)/('Input Transaksi'!$B$5:$B$5000="LONDRI DEWE ANTASURA"),ROWS($E$5:E977)),"")</f>
        <v/>
      </c>
      <c r="F977" s="5" t="n"/>
    </row>
    <row r="978">
      <c r="A978" s="10">
        <f>IF($E978="","",INDEX('Input Transaksi'!$A:$A,$E978))</f>
        <v/>
      </c>
      <c r="B978" s="5">
        <f>IF($E978="","",INDEX('Input Transaksi'!$D:$D,$E978))</f>
        <v/>
      </c>
      <c r="C978">
        <f>IF($E978="","",INDEX('Input Transaksi'!$E:$E,$E978))</f>
        <v/>
      </c>
      <c r="D978" s="5">
        <f>IF($E978="","",INDEX('Input Transaksi'!$F:$F,$E978))</f>
        <v/>
      </c>
      <c r="E978">
        <f>IFERROR(AGGREGATE(15,6,ROW('Input Transaksi'!$B$5:$B$5000)/('Input Transaksi'!$B$5:$B$5000="LONDRI DEWE ANTASURA"),ROWS($E$5:E978)),"")</f>
        <v/>
      </c>
      <c r="F978" s="5" t="n"/>
    </row>
    <row r="979">
      <c r="A979" s="10">
        <f>IF($E979="","",INDEX('Input Transaksi'!$A:$A,$E979))</f>
        <v/>
      </c>
      <c r="B979" s="5">
        <f>IF($E979="","",INDEX('Input Transaksi'!$D:$D,$E979))</f>
        <v/>
      </c>
      <c r="C979">
        <f>IF($E979="","",INDEX('Input Transaksi'!$E:$E,$E979))</f>
        <v/>
      </c>
      <c r="D979" s="5">
        <f>IF($E979="","",INDEX('Input Transaksi'!$F:$F,$E979))</f>
        <v/>
      </c>
      <c r="E979">
        <f>IFERROR(AGGREGATE(15,6,ROW('Input Transaksi'!$B$5:$B$5000)/('Input Transaksi'!$B$5:$B$5000="LONDRI DEWE ANTASURA"),ROWS($E$5:E979)),"")</f>
        <v/>
      </c>
      <c r="F979" s="5" t="n"/>
    </row>
    <row r="980">
      <c r="A980" s="10">
        <f>IF($E980="","",INDEX('Input Transaksi'!$A:$A,$E980))</f>
        <v/>
      </c>
      <c r="B980" s="5">
        <f>IF($E980="","",INDEX('Input Transaksi'!$D:$D,$E980))</f>
        <v/>
      </c>
      <c r="C980">
        <f>IF($E980="","",INDEX('Input Transaksi'!$E:$E,$E980))</f>
        <v/>
      </c>
      <c r="D980" s="5">
        <f>IF($E980="","",INDEX('Input Transaksi'!$F:$F,$E980))</f>
        <v/>
      </c>
      <c r="E980">
        <f>IFERROR(AGGREGATE(15,6,ROW('Input Transaksi'!$B$5:$B$5000)/('Input Transaksi'!$B$5:$B$5000="LONDRI DEWE ANTASURA"),ROWS($E$5:E980)),"")</f>
        <v/>
      </c>
      <c r="F980" s="5" t="n"/>
    </row>
    <row r="981">
      <c r="A981" s="10">
        <f>IF($E981="","",INDEX('Input Transaksi'!$A:$A,$E981))</f>
        <v/>
      </c>
      <c r="B981" s="5">
        <f>IF($E981="","",INDEX('Input Transaksi'!$D:$D,$E981))</f>
        <v/>
      </c>
      <c r="C981">
        <f>IF($E981="","",INDEX('Input Transaksi'!$E:$E,$E981))</f>
        <v/>
      </c>
      <c r="D981" s="5">
        <f>IF($E981="","",INDEX('Input Transaksi'!$F:$F,$E981))</f>
        <v/>
      </c>
      <c r="E981">
        <f>IFERROR(AGGREGATE(15,6,ROW('Input Transaksi'!$B$5:$B$5000)/('Input Transaksi'!$B$5:$B$5000="LONDRI DEWE ANTASURA"),ROWS($E$5:E981)),"")</f>
        <v/>
      </c>
      <c r="F981" s="5" t="n"/>
    </row>
    <row r="982">
      <c r="A982" s="10">
        <f>IF($E982="","",INDEX('Input Transaksi'!$A:$A,$E982))</f>
        <v/>
      </c>
      <c r="B982" s="5">
        <f>IF($E982="","",INDEX('Input Transaksi'!$D:$D,$E982))</f>
        <v/>
      </c>
      <c r="C982">
        <f>IF($E982="","",INDEX('Input Transaksi'!$E:$E,$E982))</f>
        <v/>
      </c>
      <c r="D982" s="5">
        <f>IF($E982="","",INDEX('Input Transaksi'!$F:$F,$E982))</f>
        <v/>
      </c>
      <c r="E982">
        <f>IFERROR(AGGREGATE(15,6,ROW('Input Transaksi'!$B$5:$B$5000)/('Input Transaksi'!$B$5:$B$5000="LONDRI DEWE ANTASURA"),ROWS($E$5:E982)),"")</f>
        <v/>
      </c>
      <c r="F982" s="5" t="n"/>
    </row>
    <row r="983">
      <c r="A983" s="10">
        <f>IF($E983="","",INDEX('Input Transaksi'!$A:$A,$E983))</f>
        <v/>
      </c>
      <c r="B983" s="5">
        <f>IF($E983="","",INDEX('Input Transaksi'!$D:$D,$E983))</f>
        <v/>
      </c>
      <c r="C983">
        <f>IF($E983="","",INDEX('Input Transaksi'!$E:$E,$E983))</f>
        <v/>
      </c>
      <c r="D983" s="5">
        <f>IF($E983="","",INDEX('Input Transaksi'!$F:$F,$E983))</f>
        <v/>
      </c>
      <c r="E983">
        <f>IFERROR(AGGREGATE(15,6,ROW('Input Transaksi'!$B$5:$B$5000)/('Input Transaksi'!$B$5:$B$5000="LONDRI DEWE ANTASURA"),ROWS($E$5:E983)),"")</f>
        <v/>
      </c>
      <c r="F983" s="5" t="n"/>
    </row>
    <row r="984">
      <c r="A984" s="10">
        <f>IF($E984="","",INDEX('Input Transaksi'!$A:$A,$E984))</f>
        <v/>
      </c>
      <c r="B984" s="5">
        <f>IF($E984="","",INDEX('Input Transaksi'!$D:$D,$E984))</f>
        <v/>
      </c>
      <c r="C984">
        <f>IF($E984="","",INDEX('Input Transaksi'!$E:$E,$E984))</f>
        <v/>
      </c>
      <c r="D984" s="5">
        <f>IF($E984="","",INDEX('Input Transaksi'!$F:$F,$E984))</f>
        <v/>
      </c>
      <c r="E984">
        <f>IFERROR(AGGREGATE(15,6,ROW('Input Transaksi'!$B$5:$B$5000)/('Input Transaksi'!$B$5:$B$5000="LONDRI DEWE ANTASURA"),ROWS($E$5:E984)),"")</f>
        <v/>
      </c>
      <c r="F984" s="5" t="n"/>
    </row>
    <row r="985">
      <c r="A985" s="10">
        <f>IF($E985="","",INDEX('Input Transaksi'!$A:$A,$E985))</f>
        <v/>
      </c>
      <c r="B985" s="5">
        <f>IF($E985="","",INDEX('Input Transaksi'!$D:$D,$E985))</f>
        <v/>
      </c>
      <c r="C985">
        <f>IF($E985="","",INDEX('Input Transaksi'!$E:$E,$E985))</f>
        <v/>
      </c>
      <c r="D985" s="5">
        <f>IF($E985="","",INDEX('Input Transaksi'!$F:$F,$E985))</f>
        <v/>
      </c>
      <c r="E985">
        <f>IFERROR(AGGREGATE(15,6,ROW('Input Transaksi'!$B$5:$B$5000)/('Input Transaksi'!$B$5:$B$5000="LONDRI DEWE ANTASURA"),ROWS($E$5:E985)),"")</f>
        <v/>
      </c>
      <c r="F985" s="5" t="n"/>
    </row>
    <row r="986">
      <c r="A986" s="10">
        <f>IF($E986="","",INDEX('Input Transaksi'!$A:$A,$E986))</f>
        <v/>
      </c>
      <c r="B986" s="5">
        <f>IF($E986="","",INDEX('Input Transaksi'!$D:$D,$E986))</f>
        <v/>
      </c>
      <c r="C986">
        <f>IF($E986="","",INDEX('Input Transaksi'!$E:$E,$E986))</f>
        <v/>
      </c>
      <c r="D986" s="5">
        <f>IF($E986="","",INDEX('Input Transaksi'!$F:$F,$E986))</f>
        <v/>
      </c>
      <c r="E986">
        <f>IFERROR(AGGREGATE(15,6,ROW('Input Transaksi'!$B$5:$B$5000)/('Input Transaksi'!$B$5:$B$5000="LONDRI DEWE ANTASURA"),ROWS($E$5:E986)),"")</f>
        <v/>
      </c>
      <c r="F986" s="5" t="n"/>
    </row>
    <row r="987">
      <c r="A987" s="10">
        <f>IF($E987="","",INDEX('Input Transaksi'!$A:$A,$E987))</f>
        <v/>
      </c>
      <c r="B987" s="5">
        <f>IF($E987="","",INDEX('Input Transaksi'!$D:$D,$E987))</f>
        <v/>
      </c>
      <c r="C987">
        <f>IF($E987="","",INDEX('Input Transaksi'!$E:$E,$E987))</f>
        <v/>
      </c>
      <c r="D987" s="5">
        <f>IF($E987="","",INDEX('Input Transaksi'!$F:$F,$E987))</f>
        <v/>
      </c>
      <c r="E987">
        <f>IFERROR(AGGREGATE(15,6,ROW('Input Transaksi'!$B$5:$B$5000)/('Input Transaksi'!$B$5:$B$5000="LONDRI DEWE ANTASURA"),ROWS($E$5:E987)),"")</f>
        <v/>
      </c>
      <c r="F987" s="5" t="n"/>
    </row>
    <row r="988">
      <c r="A988" s="10">
        <f>IF($E988="","",INDEX('Input Transaksi'!$A:$A,$E988))</f>
        <v/>
      </c>
      <c r="B988" s="5">
        <f>IF($E988="","",INDEX('Input Transaksi'!$D:$D,$E988))</f>
        <v/>
      </c>
      <c r="C988">
        <f>IF($E988="","",INDEX('Input Transaksi'!$E:$E,$E988))</f>
        <v/>
      </c>
      <c r="D988" s="5">
        <f>IF($E988="","",INDEX('Input Transaksi'!$F:$F,$E988))</f>
        <v/>
      </c>
      <c r="E988">
        <f>IFERROR(AGGREGATE(15,6,ROW('Input Transaksi'!$B$5:$B$5000)/('Input Transaksi'!$B$5:$B$5000="LONDRI DEWE ANTASURA"),ROWS($E$5:E988)),"")</f>
        <v/>
      </c>
      <c r="F988" s="5" t="n"/>
    </row>
    <row r="989">
      <c r="A989" s="10">
        <f>IF($E989="","",INDEX('Input Transaksi'!$A:$A,$E989))</f>
        <v/>
      </c>
      <c r="B989" s="5">
        <f>IF($E989="","",INDEX('Input Transaksi'!$D:$D,$E989))</f>
        <v/>
      </c>
      <c r="C989">
        <f>IF($E989="","",INDEX('Input Transaksi'!$E:$E,$E989))</f>
        <v/>
      </c>
      <c r="D989" s="5">
        <f>IF($E989="","",INDEX('Input Transaksi'!$F:$F,$E989))</f>
        <v/>
      </c>
      <c r="E989">
        <f>IFERROR(AGGREGATE(15,6,ROW('Input Transaksi'!$B$5:$B$5000)/('Input Transaksi'!$B$5:$B$5000="LONDRI DEWE ANTASURA"),ROWS($E$5:E989)),"")</f>
        <v/>
      </c>
      <c r="F989" s="5" t="n"/>
    </row>
    <row r="990">
      <c r="A990" s="10">
        <f>IF($E990="","",INDEX('Input Transaksi'!$A:$A,$E990))</f>
        <v/>
      </c>
      <c r="B990" s="5">
        <f>IF($E990="","",INDEX('Input Transaksi'!$D:$D,$E990))</f>
        <v/>
      </c>
      <c r="C990">
        <f>IF($E990="","",INDEX('Input Transaksi'!$E:$E,$E990))</f>
        <v/>
      </c>
      <c r="D990" s="5">
        <f>IF($E990="","",INDEX('Input Transaksi'!$F:$F,$E990))</f>
        <v/>
      </c>
      <c r="E990">
        <f>IFERROR(AGGREGATE(15,6,ROW('Input Transaksi'!$B$5:$B$5000)/('Input Transaksi'!$B$5:$B$5000="LONDRI DEWE ANTASURA"),ROWS($E$5:E990)),"")</f>
        <v/>
      </c>
      <c r="F990" s="5" t="n"/>
    </row>
    <row r="991">
      <c r="A991" s="10">
        <f>IF($E991="","",INDEX('Input Transaksi'!$A:$A,$E991))</f>
        <v/>
      </c>
      <c r="B991" s="5">
        <f>IF($E991="","",INDEX('Input Transaksi'!$D:$D,$E991))</f>
        <v/>
      </c>
      <c r="C991">
        <f>IF($E991="","",INDEX('Input Transaksi'!$E:$E,$E991))</f>
        <v/>
      </c>
      <c r="D991" s="5">
        <f>IF($E991="","",INDEX('Input Transaksi'!$F:$F,$E991))</f>
        <v/>
      </c>
      <c r="E991">
        <f>IFERROR(AGGREGATE(15,6,ROW('Input Transaksi'!$B$5:$B$5000)/('Input Transaksi'!$B$5:$B$5000="LONDRI DEWE ANTASURA"),ROWS($E$5:E991)),"")</f>
        <v/>
      </c>
      <c r="F991" s="5" t="n"/>
    </row>
    <row r="992">
      <c r="A992" s="10">
        <f>IF($E992="","",INDEX('Input Transaksi'!$A:$A,$E992))</f>
        <v/>
      </c>
      <c r="B992" s="5">
        <f>IF($E992="","",INDEX('Input Transaksi'!$D:$D,$E992))</f>
        <v/>
      </c>
      <c r="C992">
        <f>IF($E992="","",INDEX('Input Transaksi'!$E:$E,$E992))</f>
        <v/>
      </c>
      <c r="D992" s="5">
        <f>IF($E992="","",INDEX('Input Transaksi'!$F:$F,$E992))</f>
        <v/>
      </c>
      <c r="E992">
        <f>IFERROR(AGGREGATE(15,6,ROW('Input Transaksi'!$B$5:$B$5000)/('Input Transaksi'!$B$5:$B$5000="LONDRI DEWE ANTASURA"),ROWS($E$5:E992)),"")</f>
        <v/>
      </c>
      <c r="F992" s="5" t="n"/>
    </row>
    <row r="993">
      <c r="A993" s="10">
        <f>IF($E993="","",INDEX('Input Transaksi'!$A:$A,$E993))</f>
        <v/>
      </c>
      <c r="B993" s="5">
        <f>IF($E993="","",INDEX('Input Transaksi'!$D:$D,$E993))</f>
        <v/>
      </c>
      <c r="C993">
        <f>IF($E993="","",INDEX('Input Transaksi'!$E:$E,$E993))</f>
        <v/>
      </c>
      <c r="D993" s="5">
        <f>IF($E993="","",INDEX('Input Transaksi'!$F:$F,$E993))</f>
        <v/>
      </c>
      <c r="E993">
        <f>IFERROR(AGGREGATE(15,6,ROW('Input Transaksi'!$B$5:$B$5000)/('Input Transaksi'!$B$5:$B$5000="LONDRI DEWE ANTASURA"),ROWS($E$5:E993)),"")</f>
        <v/>
      </c>
      <c r="F993" s="5" t="n"/>
    </row>
    <row r="994">
      <c r="A994" s="10">
        <f>IF($E994="","",INDEX('Input Transaksi'!$A:$A,$E994))</f>
        <v/>
      </c>
      <c r="B994" s="5">
        <f>IF($E994="","",INDEX('Input Transaksi'!$D:$D,$E994))</f>
        <v/>
      </c>
      <c r="C994">
        <f>IF($E994="","",INDEX('Input Transaksi'!$E:$E,$E994))</f>
        <v/>
      </c>
      <c r="D994" s="5">
        <f>IF($E994="","",INDEX('Input Transaksi'!$F:$F,$E994))</f>
        <v/>
      </c>
      <c r="E994">
        <f>IFERROR(AGGREGATE(15,6,ROW('Input Transaksi'!$B$5:$B$5000)/('Input Transaksi'!$B$5:$B$5000="LONDRI DEWE ANTASURA"),ROWS($E$5:E994)),"")</f>
        <v/>
      </c>
      <c r="F994" s="5" t="n"/>
    </row>
    <row r="995">
      <c r="A995" s="10">
        <f>IF($E995="","",INDEX('Input Transaksi'!$A:$A,$E995))</f>
        <v/>
      </c>
      <c r="B995" s="5">
        <f>IF($E995="","",INDEX('Input Transaksi'!$D:$D,$E995))</f>
        <v/>
      </c>
      <c r="C995">
        <f>IF($E995="","",INDEX('Input Transaksi'!$E:$E,$E995))</f>
        <v/>
      </c>
      <c r="D995" s="5">
        <f>IF($E995="","",INDEX('Input Transaksi'!$F:$F,$E995))</f>
        <v/>
      </c>
      <c r="E995">
        <f>IFERROR(AGGREGATE(15,6,ROW('Input Transaksi'!$B$5:$B$5000)/('Input Transaksi'!$B$5:$B$5000="LONDRI DEWE ANTASURA"),ROWS($E$5:E995)),"")</f>
        <v/>
      </c>
      <c r="F995" s="5" t="n"/>
    </row>
    <row r="996">
      <c r="A996" s="10">
        <f>IF($E996="","",INDEX('Input Transaksi'!$A:$A,$E996))</f>
        <v/>
      </c>
      <c r="B996" s="5">
        <f>IF($E996="","",INDEX('Input Transaksi'!$D:$D,$E996))</f>
        <v/>
      </c>
      <c r="C996">
        <f>IF($E996="","",INDEX('Input Transaksi'!$E:$E,$E996))</f>
        <v/>
      </c>
      <c r="D996" s="5">
        <f>IF($E996="","",INDEX('Input Transaksi'!$F:$F,$E996))</f>
        <v/>
      </c>
      <c r="E996">
        <f>IFERROR(AGGREGATE(15,6,ROW('Input Transaksi'!$B$5:$B$5000)/('Input Transaksi'!$B$5:$B$5000="LONDRI DEWE ANTASURA"),ROWS($E$5:E996)),"")</f>
        <v/>
      </c>
      <c r="F996" s="5" t="n"/>
    </row>
    <row r="997">
      <c r="A997" s="10">
        <f>IF($E997="","",INDEX('Input Transaksi'!$A:$A,$E997))</f>
        <v/>
      </c>
      <c r="B997" s="5">
        <f>IF($E997="","",INDEX('Input Transaksi'!$D:$D,$E997))</f>
        <v/>
      </c>
      <c r="C997">
        <f>IF($E997="","",INDEX('Input Transaksi'!$E:$E,$E997))</f>
        <v/>
      </c>
      <c r="D997" s="5">
        <f>IF($E997="","",INDEX('Input Transaksi'!$F:$F,$E997))</f>
        <v/>
      </c>
      <c r="E997">
        <f>IFERROR(AGGREGATE(15,6,ROW('Input Transaksi'!$B$5:$B$5000)/('Input Transaksi'!$B$5:$B$5000="LONDRI DEWE ANTASURA"),ROWS($E$5:E997)),"")</f>
        <v/>
      </c>
      <c r="F997" s="5" t="n"/>
    </row>
    <row r="998">
      <c r="A998" s="10">
        <f>IF($E998="","",INDEX('Input Transaksi'!$A:$A,$E998))</f>
        <v/>
      </c>
      <c r="B998" s="5">
        <f>IF($E998="","",INDEX('Input Transaksi'!$D:$D,$E998))</f>
        <v/>
      </c>
      <c r="C998">
        <f>IF($E998="","",INDEX('Input Transaksi'!$E:$E,$E998))</f>
        <v/>
      </c>
      <c r="D998" s="5">
        <f>IF($E998="","",INDEX('Input Transaksi'!$F:$F,$E998))</f>
        <v/>
      </c>
      <c r="E998">
        <f>IFERROR(AGGREGATE(15,6,ROW('Input Transaksi'!$B$5:$B$5000)/('Input Transaksi'!$B$5:$B$5000="LONDRI DEWE ANTASURA"),ROWS($E$5:E998)),"")</f>
        <v/>
      </c>
      <c r="F998" s="5" t="n"/>
    </row>
    <row r="999">
      <c r="A999" s="10">
        <f>IF($E999="","",INDEX('Input Transaksi'!$A:$A,$E999))</f>
        <v/>
      </c>
      <c r="B999" s="5">
        <f>IF($E999="","",INDEX('Input Transaksi'!$D:$D,$E999))</f>
        <v/>
      </c>
      <c r="C999">
        <f>IF($E999="","",INDEX('Input Transaksi'!$E:$E,$E999))</f>
        <v/>
      </c>
      <c r="D999" s="5">
        <f>IF($E999="","",INDEX('Input Transaksi'!$F:$F,$E999))</f>
        <v/>
      </c>
      <c r="E999">
        <f>IFERROR(AGGREGATE(15,6,ROW('Input Transaksi'!$B$5:$B$5000)/('Input Transaksi'!$B$5:$B$5000="LONDRI DEWE ANTASURA"),ROWS($E$5:E999)),"")</f>
        <v/>
      </c>
      <c r="F999" s="5" t="n"/>
    </row>
    <row r="1000">
      <c r="A1000" s="10">
        <f>IF($E1000="","",INDEX('Input Transaksi'!$A:$A,$E1000))</f>
        <v/>
      </c>
      <c r="B1000" s="5">
        <f>IF($E1000="","",INDEX('Input Transaksi'!$D:$D,$E1000))</f>
        <v/>
      </c>
      <c r="C1000">
        <f>IF($E1000="","",INDEX('Input Transaksi'!$E:$E,$E1000))</f>
        <v/>
      </c>
      <c r="D1000" s="5">
        <f>IF($E1000="","",INDEX('Input Transaksi'!$F:$F,$E1000))</f>
        <v/>
      </c>
      <c r="E1000">
        <f>IFERROR(AGGREGATE(15,6,ROW('Input Transaksi'!$B$5:$B$5000)/('Input Transaksi'!$B$5:$B$5000="LONDRI DEWE ANTASURA"),ROWS($E$5:E1000)),"")</f>
        <v/>
      </c>
      <c r="F1000" s="5" t="n"/>
    </row>
  </sheetData>
  <autoFilter ref="A4:D1000"/>
  <mergeCells count="1">
    <mergeCell ref="A1:E1"/>
  </mergeCells>
  <hyperlinks>
    <hyperlink ref="F1" location="'Beranda'!A1" display="Kembali ke Beranda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000"/>
  <sheetViews>
    <sheetView workbookViewId="0">
      <pane ySplit="4" topLeftCell="A5" activePane="bottomLeft" state="frozen"/>
      <selection pane="bottomLeft" activeCell="A1" sqref="A1"/>
    </sheetView>
  </sheetViews>
  <sheetFormatPr baseColWidth="10" defaultColWidth="8.83203125" defaultRowHeight="15"/>
  <cols>
    <col width="16" customWidth="1" min="1" max="1"/>
    <col width="22" customWidth="1" min="2" max="2"/>
    <col width="12" customWidth="1" min="3" max="3"/>
    <col width="26" customWidth="1" min="4" max="4"/>
    <col hidden="1" width="12.6640625" customWidth="1" min="5" max="5"/>
    <col width="16" customWidth="1" min="6" max="6"/>
    <col hidden="1" width="13" customWidth="1" min="7" max="7"/>
  </cols>
  <sheetData>
    <row r="1" ht="24" customHeight="1">
      <c r="A1" s="11" t="inlineStr">
        <is>
          <t>GEDE LONDRI</t>
        </is>
      </c>
      <c r="F1" s="3" t="inlineStr">
        <is>
          <t>Kembali ke Beranda</t>
        </is>
      </c>
    </row>
    <row r="2">
      <c r="A2" s="13" t="inlineStr">
        <is>
          <t>Wilayah</t>
        </is>
      </c>
      <c r="B2" s="13" t="inlineStr">
        <is>
          <t>UTARA</t>
        </is>
      </c>
      <c r="C2" s="13" t="inlineStr">
        <is>
          <t>Total Qty</t>
        </is>
      </c>
      <c r="D2" s="2">
        <f>SUMIFS('Input Transaksi'!$E$5:$E$5000,'Input Transaksi'!$B$5:$B$5000,"GEDE LONDRI")</f>
        <v/>
      </c>
      <c r="E2" s="13" t="inlineStr">
        <is>
          <t>Jumlah Transaksi</t>
        </is>
      </c>
      <c r="F2" s="2">
        <f>COUNTIF('Input Transaksi'!$B$5:$B$5000,"GEDE LONDRI")</f>
        <v/>
      </c>
    </row>
    <row r="3"/>
    <row r="4">
      <c r="A4" s="4" t="inlineStr">
        <is>
          <t>Tanggal</t>
        </is>
      </c>
      <c r="B4" s="4" t="inlineStr">
        <is>
          <t>Item</t>
        </is>
      </c>
      <c r="C4" s="4" t="inlineStr">
        <is>
          <t>Qty Keluar</t>
        </is>
      </c>
      <c r="D4" s="4" t="inlineStr">
        <is>
          <t>Catatan</t>
        </is>
      </c>
      <c r="E4" t="inlineStr">
        <is>
          <t>RowRef</t>
        </is>
      </c>
      <c r="F4" s="4" t="n"/>
    </row>
    <row r="5">
      <c r="A5" s="10">
        <f>IF($E5="","",INDEX('Input Transaksi'!$A:$A,$E5))</f>
        <v/>
      </c>
      <c r="B5" s="5">
        <f>IF($E5="","",INDEX('Input Transaksi'!$D:$D,$E5))</f>
        <v/>
      </c>
      <c r="C5">
        <f>IF($E5="","",INDEX('Input Transaksi'!$E:$E,$E5))</f>
        <v/>
      </c>
      <c r="D5" s="5">
        <f>IF($E5="","",INDEX('Input Transaksi'!$F:$F,$E5))</f>
        <v/>
      </c>
      <c r="E5">
        <f>IFERROR(AGGREGATE(15,6,ROW('Input Transaksi'!$B$5:$B$5000)/('Input Transaksi'!$B$5:$B$5000="GEDE LONDRI"),ROWS($E$5:E5)),"")</f>
        <v/>
      </c>
      <c r="F5" s="5" t="n"/>
    </row>
    <row r="6">
      <c r="A6" s="10">
        <f>IF($E6="","",INDEX('Input Transaksi'!$A:$A,$E6))</f>
        <v/>
      </c>
      <c r="B6" s="5">
        <f>IF($E6="","",INDEX('Input Transaksi'!$D:$D,$E6))</f>
        <v/>
      </c>
      <c r="C6">
        <f>IF($E6="","",INDEX('Input Transaksi'!$E:$E,$E6))</f>
        <v/>
      </c>
      <c r="D6" s="5">
        <f>IF($E6="","",INDEX('Input Transaksi'!$F:$F,$E6))</f>
        <v/>
      </c>
      <c r="E6">
        <f>IFERROR(AGGREGATE(15,6,ROW('Input Transaksi'!$B$5:$B$5000)/('Input Transaksi'!$B$5:$B$5000="GEDE LONDRI"),ROWS($E$5:E6)),"")</f>
        <v/>
      </c>
      <c r="F6" s="5" t="n"/>
    </row>
    <row r="7">
      <c r="A7" s="10">
        <f>IF($E7="","",INDEX('Input Transaksi'!$A:$A,$E7))</f>
        <v/>
      </c>
      <c r="B7" s="5">
        <f>IF($E7="","",INDEX('Input Transaksi'!$D:$D,$E7))</f>
        <v/>
      </c>
      <c r="C7">
        <f>IF($E7="","",INDEX('Input Transaksi'!$E:$E,$E7))</f>
        <v/>
      </c>
      <c r="D7" s="5">
        <f>IF($E7="","",INDEX('Input Transaksi'!$F:$F,$E7))</f>
        <v/>
      </c>
      <c r="E7">
        <f>IFERROR(AGGREGATE(15,6,ROW('Input Transaksi'!$B$5:$B$5000)/('Input Transaksi'!$B$5:$B$5000="GEDE LONDRI"),ROWS($E$5:E7)),"")</f>
        <v/>
      </c>
      <c r="F7" s="5" t="n"/>
    </row>
    <row r="8">
      <c r="A8" s="10">
        <f>IF($E8="","",INDEX('Input Transaksi'!$A:$A,$E8))</f>
        <v/>
      </c>
      <c r="B8" s="5">
        <f>IF($E8="","",INDEX('Input Transaksi'!$D:$D,$E8))</f>
        <v/>
      </c>
      <c r="C8">
        <f>IF($E8="","",INDEX('Input Transaksi'!$E:$E,$E8))</f>
        <v/>
      </c>
      <c r="D8" s="5">
        <f>IF($E8="","",INDEX('Input Transaksi'!$F:$F,$E8))</f>
        <v/>
      </c>
      <c r="E8">
        <f>IFERROR(AGGREGATE(15,6,ROW('Input Transaksi'!$B$5:$B$5000)/('Input Transaksi'!$B$5:$B$5000="GEDE LONDRI"),ROWS($E$5:E8)),"")</f>
        <v/>
      </c>
      <c r="F8" s="5" t="n"/>
    </row>
    <row r="9">
      <c r="A9" s="10">
        <f>IF($E9="","",INDEX('Input Transaksi'!$A:$A,$E9))</f>
        <v/>
      </c>
      <c r="B9" s="5">
        <f>IF($E9="","",INDEX('Input Transaksi'!$D:$D,$E9))</f>
        <v/>
      </c>
      <c r="C9">
        <f>IF($E9="","",INDEX('Input Transaksi'!$E:$E,$E9))</f>
        <v/>
      </c>
      <c r="D9" s="5">
        <f>IF($E9="","",INDEX('Input Transaksi'!$F:$F,$E9))</f>
        <v/>
      </c>
      <c r="E9">
        <f>IFERROR(AGGREGATE(15,6,ROW('Input Transaksi'!$B$5:$B$5000)/('Input Transaksi'!$B$5:$B$5000="GEDE LONDRI"),ROWS($E$5:E9)),"")</f>
        <v/>
      </c>
      <c r="F9" s="5" t="n"/>
    </row>
    <row r="10">
      <c r="A10" s="10">
        <f>IF($E10="","",INDEX('Input Transaksi'!$A:$A,$E10))</f>
        <v/>
      </c>
      <c r="B10" s="5">
        <f>IF($E10="","",INDEX('Input Transaksi'!$D:$D,$E10))</f>
        <v/>
      </c>
      <c r="C10">
        <f>IF($E10="","",INDEX('Input Transaksi'!$E:$E,$E10))</f>
        <v/>
      </c>
      <c r="D10" s="5">
        <f>IF($E10="","",INDEX('Input Transaksi'!$F:$F,$E10))</f>
        <v/>
      </c>
      <c r="E10">
        <f>IFERROR(AGGREGATE(15,6,ROW('Input Transaksi'!$B$5:$B$5000)/('Input Transaksi'!$B$5:$B$5000="GEDE LONDRI"),ROWS($E$5:E10)),"")</f>
        <v/>
      </c>
      <c r="F10" s="5" t="n"/>
    </row>
    <row r="11">
      <c r="A11" s="10">
        <f>IF($E11="","",INDEX('Input Transaksi'!$A:$A,$E11))</f>
        <v/>
      </c>
      <c r="B11" s="5">
        <f>IF($E11="","",INDEX('Input Transaksi'!$D:$D,$E11))</f>
        <v/>
      </c>
      <c r="C11">
        <f>IF($E11="","",INDEX('Input Transaksi'!$E:$E,$E11))</f>
        <v/>
      </c>
      <c r="D11" s="5">
        <f>IF($E11="","",INDEX('Input Transaksi'!$F:$F,$E11))</f>
        <v/>
      </c>
      <c r="E11">
        <f>IFERROR(AGGREGATE(15,6,ROW('Input Transaksi'!$B$5:$B$5000)/('Input Transaksi'!$B$5:$B$5000="GEDE LONDRI"),ROWS($E$5:E11)),"")</f>
        <v/>
      </c>
      <c r="F11" s="5" t="n"/>
    </row>
    <row r="12">
      <c r="A12" s="10">
        <f>IF($E12="","",INDEX('Input Transaksi'!$A:$A,$E12))</f>
        <v/>
      </c>
      <c r="B12" s="5">
        <f>IF($E12="","",INDEX('Input Transaksi'!$D:$D,$E12))</f>
        <v/>
      </c>
      <c r="C12">
        <f>IF($E12="","",INDEX('Input Transaksi'!$E:$E,$E12))</f>
        <v/>
      </c>
      <c r="D12" s="5">
        <f>IF($E12="","",INDEX('Input Transaksi'!$F:$F,$E12))</f>
        <v/>
      </c>
      <c r="E12">
        <f>IFERROR(AGGREGATE(15,6,ROW('Input Transaksi'!$B$5:$B$5000)/('Input Transaksi'!$B$5:$B$5000="GEDE LONDRI"),ROWS($E$5:E12)),"")</f>
        <v/>
      </c>
      <c r="F12" s="5" t="n"/>
    </row>
    <row r="13">
      <c r="A13" s="10">
        <f>IF($E13="","",INDEX('Input Transaksi'!$A:$A,$E13))</f>
        <v/>
      </c>
      <c r="B13" s="5">
        <f>IF($E13="","",INDEX('Input Transaksi'!$D:$D,$E13))</f>
        <v/>
      </c>
      <c r="C13">
        <f>IF($E13="","",INDEX('Input Transaksi'!$E:$E,$E13))</f>
        <v/>
      </c>
      <c r="D13" s="5">
        <f>IF($E13="","",INDEX('Input Transaksi'!$F:$F,$E13))</f>
        <v/>
      </c>
      <c r="E13">
        <f>IFERROR(AGGREGATE(15,6,ROW('Input Transaksi'!$B$5:$B$5000)/('Input Transaksi'!$B$5:$B$5000="GEDE LONDRI"),ROWS($E$5:E13)),"")</f>
        <v/>
      </c>
      <c r="F13" s="5" t="n"/>
    </row>
    <row r="14">
      <c r="A14" s="10">
        <f>IF($E14="","",INDEX('Input Transaksi'!$A:$A,$E14))</f>
        <v/>
      </c>
      <c r="B14" s="5">
        <f>IF($E14="","",INDEX('Input Transaksi'!$D:$D,$E14))</f>
        <v/>
      </c>
      <c r="C14">
        <f>IF($E14="","",INDEX('Input Transaksi'!$E:$E,$E14))</f>
        <v/>
      </c>
      <c r="D14" s="5">
        <f>IF($E14="","",INDEX('Input Transaksi'!$F:$F,$E14))</f>
        <v/>
      </c>
      <c r="E14">
        <f>IFERROR(AGGREGATE(15,6,ROW('Input Transaksi'!$B$5:$B$5000)/('Input Transaksi'!$B$5:$B$5000="GEDE LONDRI"),ROWS($E$5:E14)),"")</f>
        <v/>
      </c>
      <c r="F14" s="5" t="n"/>
    </row>
    <row r="15">
      <c r="A15" s="10">
        <f>IF($E15="","",INDEX('Input Transaksi'!$A:$A,$E15))</f>
        <v/>
      </c>
      <c r="B15" s="5">
        <f>IF($E15="","",INDEX('Input Transaksi'!$D:$D,$E15))</f>
        <v/>
      </c>
      <c r="C15">
        <f>IF($E15="","",INDEX('Input Transaksi'!$E:$E,$E15))</f>
        <v/>
      </c>
      <c r="D15" s="5">
        <f>IF($E15="","",INDEX('Input Transaksi'!$F:$F,$E15))</f>
        <v/>
      </c>
      <c r="E15">
        <f>IFERROR(AGGREGATE(15,6,ROW('Input Transaksi'!$B$5:$B$5000)/('Input Transaksi'!$B$5:$B$5000="GEDE LONDRI"),ROWS($E$5:E15)),"")</f>
        <v/>
      </c>
      <c r="F15" s="5" t="n"/>
    </row>
    <row r="16">
      <c r="A16" s="10">
        <f>IF($E16="","",INDEX('Input Transaksi'!$A:$A,$E16))</f>
        <v/>
      </c>
      <c r="B16" s="5">
        <f>IF($E16="","",INDEX('Input Transaksi'!$D:$D,$E16))</f>
        <v/>
      </c>
      <c r="C16">
        <f>IF($E16="","",INDEX('Input Transaksi'!$E:$E,$E16))</f>
        <v/>
      </c>
      <c r="D16" s="5">
        <f>IF($E16="","",INDEX('Input Transaksi'!$F:$F,$E16))</f>
        <v/>
      </c>
      <c r="E16">
        <f>IFERROR(AGGREGATE(15,6,ROW('Input Transaksi'!$B$5:$B$5000)/('Input Transaksi'!$B$5:$B$5000="GEDE LONDRI"),ROWS($E$5:E16)),"")</f>
        <v/>
      </c>
      <c r="F16" s="5" t="n"/>
    </row>
    <row r="17">
      <c r="A17" s="10">
        <f>IF($E17="","",INDEX('Input Transaksi'!$A:$A,$E17))</f>
        <v/>
      </c>
      <c r="B17" s="5">
        <f>IF($E17="","",INDEX('Input Transaksi'!$D:$D,$E17))</f>
        <v/>
      </c>
      <c r="C17">
        <f>IF($E17="","",INDEX('Input Transaksi'!$E:$E,$E17))</f>
        <v/>
      </c>
      <c r="D17" s="5">
        <f>IF($E17="","",INDEX('Input Transaksi'!$F:$F,$E17))</f>
        <v/>
      </c>
      <c r="E17">
        <f>IFERROR(AGGREGATE(15,6,ROW('Input Transaksi'!$B$5:$B$5000)/('Input Transaksi'!$B$5:$B$5000="GEDE LONDRI"),ROWS($E$5:E17)),"")</f>
        <v/>
      </c>
      <c r="F17" s="5" t="n"/>
    </row>
    <row r="18">
      <c r="A18" s="10">
        <f>IF($E18="","",INDEX('Input Transaksi'!$A:$A,$E18))</f>
        <v/>
      </c>
      <c r="B18" s="5">
        <f>IF($E18="","",INDEX('Input Transaksi'!$D:$D,$E18))</f>
        <v/>
      </c>
      <c r="C18">
        <f>IF($E18="","",INDEX('Input Transaksi'!$E:$E,$E18))</f>
        <v/>
      </c>
      <c r="D18" s="5">
        <f>IF($E18="","",INDEX('Input Transaksi'!$F:$F,$E18))</f>
        <v/>
      </c>
      <c r="E18">
        <f>IFERROR(AGGREGATE(15,6,ROW('Input Transaksi'!$B$5:$B$5000)/('Input Transaksi'!$B$5:$B$5000="GEDE LONDRI"),ROWS($E$5:E18)),"")</f>
        <v/>
      </c>
      <c r="F18" s="5" t="n"/>
    </row>
    <row r="19">
      <c r="A19" s="10">
        <f>IF($E19="","",INDEX('Input Transaksi'!$A:$A,$E19))</f>
        <v/>
      </c>
      <c r="B19" s="5">
        <f>IF($E19="","",INDEX('Input Transaksi'!$D:$D,$E19))</f>
        <v/>
      </c>
      <c r="C19">
        <f>IF($E19="","",INDEX('Input Transaksi'!$E:$E,$E19))</f>
        <v/>
      </c>
      <c r="D19" s="5">
        <f>IF($E19="","",INDEX('Input Transaksi'!$F:$F,$E19))</f>
        <v/>
      </c>
      <c r="E19">
        <f>IFERROR(AGGREGATE(15,6,ROW('Input Transaksi'!$B$5:$B$5000)/('Input Transaksi'!$B$5:$B$5000="GEDE LONDRI"),ROWS($E$5:E19)),"")</f>
        <v/>
      </c>
      <c r="F19" s="5" t="n"/>
    </row>
    <row r="20">
      <c r="A20" s="10">
        <f>IF($E20="","",INDEX('Input Transaksi'!$A:$A,$E20))</f>
        <v/>
      </c>
      <c r="B20" s="5">
        <f>IF($E20="","",INDEX('Input Transaksi'!$D:$D,$E20))</f>
        <v/>
      </c>
      <c r="C20">
        <f>IF($E20="","",INDEX('Input Transaksi'!$E:$E,$E20))</f>
        <v/>
      </c>
      <c r="D20" s="5">
        <f>IF($E20="","",INDEX('Input Transaksi'!$F:$F,$E20))</f>
        <v/>
      </c>
      <c r="E20">
        <f>IFERROR(AGGREGATE(15,6,ROW('Input Transaksi'!$B$5:$B$5000)/('Input Transaksi'!$B$5:$B$5000="GEDE LONDRI"),ROWS($E$5:E20)),"")</f>
        <v/>
      </c>
      <c r="F20" s="5" t="n"/>
    </row>
    <row r="21">
      <c r="A21" s="10">
        <f>IF($E21="","",INDEX('Input Transaksi'!$A:$A,$E21))</f>
        <v/>
      </c>
      <c r="B21" s="5">
        <f>IF($E21="","",INDEX('Input Transaksi'!$D:$D,$E21))</f>
        <v/>
      </c>
      <c r="C21">
        <f>IF($E21="","",INDEX('Input Transaksi'!$E:$E,$E21))</f>
        <v/>
      </c>
      <c r="D21" s="5">
        <f>IF($E21="","",INDEX('Input Transaksi'!$F:$F,$E21))</f>
        <v/>
      </c>
      <c r="E21">
        <f>IFERROR(AGGREGATE(15,6,ROW('Input Transaksi'!$B$5:$B$5000)/('Input Transaksi'!$B$5:$B$5000="GEDE LONDRI"),ROWS($E$5:E21)),"")</f>
        <v/>
      </c>
      <c r="F21" s="5" t="n"/>
    </row>
    <row r="22">
      <c r="A22" s="10">
        <f>IF($E22="","",INDEX('Input Transaksi'!$A:$A,$E22))</f>
        <v/>
      </c>
      <c r="B22" s="5">
        <f>IF($E22="","",INDEX('Input Transaksi'!$D:$D,$E22))</f>
        <v/>
      </c>
      <c r="C22">
        <f>IF($E22="","",INDEX('Input Transaksi'!$E:$E,$E22))</f>
        <v/>
      </c>
      <c r="D22" s="5">
        <f>IF($E22="","",INDEX('Input Transaksi'!$F:$F,$E22))</f>
        <v/>
      </c>
      <c r="E22">
        <f>IFERROR(AGGREGATE(15,6,ROW('Input Transaksi'!$B$5:$B$5000)/('Input Transaksi'!$B$5:$B$5000="GEDE LONDRI"),ROWS($E$5:E22)),"")</f>
        <v/>
      </c>
      <c r="F22" s="5" t="n"/>
    </row>
    <row r="23">
      <c r="A23" s="10">
        <f>IF($E23="","",INDEX('Input Transaksi'!$A:$A,$E23))</f>
        <v/>
      </c>
      <c r="B23" s="5">
        <f>IF($E23="","",INDEX('Input Transaksi'!$D:$D,$E23))</f>
        <v/>
      </c>
      <c r="C23">
        <f>IF($E23="","",INDEX('Input Transaksi'!$E:$E,$E23))</f>
        <v/>
      </c>
      <c r="D23" s="5">
        <f>IF($E23="","",INDEX('Input Transaksi'!$F:$F,$E23))</f>
        <v/>
      </c>
      <c r="E23">
        <f>IFERROR(AGGREGATE(15,6,ROW('Input Transaksi'!$B$5:$B$5000)/('Input Transaksi'!$B$5:$B$5000="GEDE LONDRI"),ROWS($E$5:E23)),"")</f>
        <v/>
      </c>
      <c r="F23" s="5" t="n"/>
    </row>
    <row r="24">
      <c r="A24" s="10">
        <f>IF($E24="","",INDEX('Input Transaksi'!$A:$A,$E24))</f>
        <v/>
      </c>
      <c r="B24" s="5">
        <f>IF($E24="","",INDEX('Input Transaksi'!$D:$D,$E24))</f>
        <v/>
      </c>
      <c r="C24">
        <f>IF($E24="","",INDEX('Input Transaksi'!$E:$E,$E24))</f>
        <v/>
      </c>
      <c r="D24" s="5">
        <f>IF($E24="","",INDEX('Input Transaksi'!$F:$F,$E24))</f>
        <v/>
      </c>
      <c r="E24">
        <f>IFERROR(AGGREGATE(15,6,ROW('Input Transaksi'!$B$5:$B$5000)/('Input Transaksi'!$B$5:$B$5000="GEDE LONDRI"),ROWS($E$5:E24)),"")</f>
        <v/>
      </c>
      <c r="F24" s="5" t="n"/>
    </row>
    <row r="25">
      <c r="A25" s="10">
        <f>IF($E25="","",INDEX('Input Transaksi'!$A:$A,$E25))</f>
        <v/>
      </c>
      <c r="B25" s="5">
        <f>IF($E25="","",INDEX('Input Transaksi'!$D:$D,$E25))</f>
        <v/>
      </c>
      <c r="C25">
        <f>IF($E25="","",INDEX('Input Transaksi'!$E:$E,$E25))</f>
        <v/>
      </c>
      <c r="D25" s="5">
        <f>IF($E25="","",INDEX('Input Transaksi'!$F:$F,$E25))</f>
        <v/>
      </c>
      <c r="E25">
        <f>IFERROR(AGGREGATE(15,6,ROW('Input Transaksi'!$B$5:$B$5000)/('Input Transaksi'!$B$5:$B$5000="GEDE LONDRI"),ROWS($E$5:E25)),"")</f>
        <v/>
      </c>
      <c r="F25" s="5" t="n"/>
    </row>
    <row r="26">
      <c r="A26" s="10">
        <f>IF($E26="","",INDEX('Input Transaksi'!$A:$A,$E26))</f>
        <v/>
      </c>
      <c r="B26" s="5">
        <f>IF($E26="","",INDEX('Input Transaksi'!$D:$D,$E26))</f>
        <v/>
      </c>
      <c r="C26">
        <f>IF($E26="","",INDEX('Input Transaksi'!$E:$E,$E26))</f>
        <v/>
      </c>
      <c r="D26" s="5">
        <f>IF($E26="","",INDEX('Input Transaksi'!$F:$F,$E26))</f>
        <v/>
      </c>
      <c r="E26">
        <f>IFERROR(AGGREGATE(15,6,ROW('Input Transaksi'!$B$5:$B$5000)/('Input Transaksi'!$B$5:$B$5000="GEDE LONDRI"),ROWS($E$5:E26)),"")</f>
        <v/>
      </c>
      <c r="F26" s="5" t="n"/>
    </row>
    <row r="27">
      <c r="A27" s="10">
        <f>IF($E27="","",INDEX('Input Transaksi'!$A:$A,$E27))</f>
        <v/>
      </c>
      <c r="B27" s="5">
        <f>IF($E27="","",INDEX('Input Transaksi'!$D:$D,$E27))</f>
        <v/>
      </c>
      <c r="C27">
        <f>IF($E27="","",INDEX('Input Transaksi'!$E:$E,$E27))</f>
        <v/>
      </c>
      <c r="D27" s="5">
        <f>IF($E27="","",INDEX('Input Transaksi'!$F:$F,$E27))</f>
        <v/>
      </c>
      <c r="E27">
        <f>IFERROR(AGGREGATE(15,6,ROW('Input Transaksi'!$B$5:$B$5000)/('Input Transaksi'!$B$5:$B$5000="GEDE LONDRI"),ROWS($E$5:E27)),"")</f>
        <v/>
      </c>
      <c r="F27" s="5" t="n"/>
    </row>
    <row r="28">
      <c r="A28" s="10">
        <f>IF($E28="","",INDEX('Input Transaksi'!$A:$A,$E28))</f>
        <v/>
      </c>
      <c r="B28" s="5">
        <f>IF($E28="","",INDEX('Input Transaksi'!$D:$D,$E28))</f>
        <v/>
      </c>
      <c r="C28">
        <f>IF($E28="","",INDEX('Input Transaksi'!$E:$E,$E28))</f>
        <v/>
      </c>
      <c r="D28" s="5">
        <f>IF($E28="","",INDEX('Input Transaksi'!$F:$F,$E28))</f>
        <v/>
      </c>
      <c r="E28">
        <f>IFERROR(AGGREGATE(15,6,ROW('Input Transaksi'!$B$5:$B$5000)/('Input Transaksi'!$B$5:$B$5000="GEDE LONDRI"),ROWS($E$5:E28)),"")</f>
        <v/>
      </c>
      <c r="F28" s="5" t="n"/>
    </row>
    <row r="29">
      <c r="A29" s="10">
        <f>IF($E29="","",INDEX('Input Transaksi'!$A:$A,$E29))</f>
        <v/>
      </c>
      <c r="B29" s="5">
        <f>IF($E29="","",INDEX('Input Transaksi'!$D:$D,$E29))</f>
        <v/>
      </c>
      <c r="C29">
        <f>IF($E29="","",INDEX('Input Transaksi'!$E:$E,$E29))</f>
        <v/>
      </c>
      <c r="D29" s="5">
        <f>IF($E29="","",INDEX('Input Transaksi'!$F:$F,$E29))</f>
        <v/>
      </c>
      <c r="E29">
        <f>IFERROR(AGGREGATE(15,6,ROW('Input Transaksi'!$B$5:$B$5000)/('Input Transaksi'!$B$5:$B$5000="GEDE LONDRI"),ROWS($E$5:E29)),"")</f>
        <v/>
      </c>
      <c r="F29" s="5" t="n"/>
    </row>
    <row r="30">
      <c r="A30" s="10">
        <f>IF($E30="","",INDEX('Input Transaksi'!$A:$A,$E30))</f>
        <v/>
      </c>
      <c r="B30" s="5">
        <f>IF($E30="","",INDEX('Input Transaksi'!$D:$D,$E30))</f>
        <v/>
      </c>
      <c r="C30">
        <f>IF($E30="","",INDEX('Input Transaksi'!$E:$E,$E30))</f>
        <v/>
      </c>
      <c r="D30" s="5">
        <f>IF($E30="","",INDEX('Input Transaksi'!$F:$F,$E30))</f>
        <v/>
      </c>
      <c r="E30">
        <f>IFERROR(AGGREGATE(15,6,ROW('Input Transaksi'!$B$5:$B$5000)/('Input Transaksi'!$B$5:$B$5000="GEDE LONDRI"),ROWS($E$5:E30)),"")</f>
        <v/>
      </c>
      <c r="F30" s="5" t="n"/>
    </row>
    <row r="31">
      <c r="A31" s="10">
        <f>IF($E31="","",INDEX('Input Transaksi'!$A:$A,$E31))</f>
        <v/>
      </c>
      <c r="B31" s="5">
        <f>IF($E31="","",INDEX('Input Transaksi'!$D:$D,$E31))</f>
        <v/>
      </c>
      <c r="C31">
        <f>IF($E31="","",INDEX('Input Transaksi'!$E:$E,$E31))</f>
        <v/>
      </c>
      <c r="D31" s="5">
        <f>IF($E31="","",INDEX('Input Transaksi'!$F:$F,$E31))</f>
        <v/>
      </c>
      <c r="E31">
        <f>IFERROR(AGGREGATE(15,6,ROW('Input Transaksi'!$B$5:$B$5000)/('Input Transaksi'!$B$5:$B$5000="GEDE LONDRI"),ROWS($E$5:E31)),"")</f>
        <v/>
      </c>
      <c r="F31" s="5" t="n"/>
    </row>
    <row r="32">
      <c r="A32" s="10">
        <f>IF($E32="","",INDEX('Input Transaksi'!$A:$A,$E32))</f>
        <v/>
      </c>
      <c r="B32" s="5">
        <f>IF($E32="","",INDEX('Input Transaksi'!$D:$D,$E32))</f>
        <v/>
      </c>
      <c r="C32">
        <f>IF($E32="","",INDEX('Input Transaksi'!$E:$E,$E32))</f>
        <v/>
      </c>
      <c r="D32" s="5">
        <f>IF($E32="","",INDEX('Input Transaksi'!$F:$F,$E32))</f>
        <v/>
      </c>
      <c r="E32">
        <f>IFERROR(AGGREGATE(15,6,ROW('Input Transaksi'!$B$5:$B$5000)/('Input Transaksi'!$B$5:$B$5000="GEDE LONDRI"),ROWS($E$5:E32)),"")</f>
        <v/>
      </c>
      <c r="F32" s="5" t="n"/>
    </row>
    <row r="33">
      <c r="A33" s="10">
        <f>IF($E33="","",INDEX('Input Transaksi'!$A:$A,$E33))</f>
        <v/>
      </c>
      <c r="B33" s="5">
        <f>IF($E33="","",INDEX('Input Transaksi'!$D:$D,$E33))</f>
        <v/>
      </c>
      <c r="C33">
        <f>IF($E33="","",INDEX('Input Transaksi'!$E:$E,$E33))</f>
        <v/>
      </c>
      <c r="D33" s="5">
        <f>IF($E33="","",INDEX('Input Transaksi'!$F:$F,$E33))</f>
        <v/>
      </c>
      <c r="E33">
        <f>IFERROR(AGGREGATE(15,6,ROW('Input Transaksi'!$B$5:$B$5000)/('Input Transaksi'!$B$5:$B$5000="GEDE LONDRI"),ROWS($E$5:E33)),"")</f>
        <v/>
      </c>
      <c r="F33" s="5" t="n"/>
    </row>
    <row r="34">
      <c r="A34" s="10">
        <f>IF($E34="","",INDEX('Input Transaksi'!$A:$A,$E34))</f>
        <v/>
      </c>
      <c r="B34" s="5">
        <f>IF($E34="","",INDEX('Input Transaksi'!$D:$D,$E34))</f>
        <v/>
      </c>
      <c r="C34">
        <f>IF($E34="","",INDEX('Input Transaksi'!$E:$E,$E34))</f>
        <v/>
      </c>
      <c r="D34" s="5">
        <f>IF($E34="","",INDEX('Input Transaksi'!$F:$F,$E34))</f>
        <v/>
      </c>
      <c r="E34">
        <f>IFERROR(AGGREGATE(15,6,ROW('Input Transaksi'!$B$5:$B$5000)/('Input Transaksi'!$B$5:$B$5000="GEDE LONDRI"),ROWS($E$5:E34)),"")</f>
        <v/>
      </c>
      <c r="F34" s="5" t="n"/>
    </row>
    <row r="35">
      <c r="A35" s="10">
        <f>IF($E35="","",INDEX('Input Transaksi'!$A:$A,$E35))</f>
        <v/>
      </c>
      <c r="B35" s="5">
        <f>IF($E35="","",INDEX('Input Transaksi'!$D:$D,$E35))</f>
        <v/>
      </c>
      <c r="C35">
        <f>IF($E35="","",INDEX('Input Transaksi'!$E:$E,$E35))</f>
        <v/>
      </c>
      <c r="D35" s="5">
        <f>IF($E35="","",INDEX('Input Transaksi'!$F:$F,$E35))</f>
        <v/>
      </c>
      <c r="E35">
        <f>IFERROR(AGGREGATE(15,6,ROW('Input Transaksi'!$B$5:$B$5000)/('Input Transaksi'!$B$5:$B$5000="GEDE LONDRI"),ROWS($E$5:E35)),"")</f>
        <v/>
      </c>
      <c r="F35" s="5" t="n"/>
    </row>
    <row r="36">
      <c r="A36" s="10">
        <f>IF($E36="","",INDEX('Input Transaksi'!$A:$A,$E36))</f>
        <v/>
      </c>
      <c r="B36" s="5">
        <f>IF($E36="","",INDEX('Input Transaksi'!$D:$D,$E36))</f>
        <v/>
      </c>
      <c r="C36">
        <f>IF($E36="","",INDEX('Input Transaksi'!$E:$E,$E36))</f>
        <v/>
      </c>
      <c r="D36" s="5">
        <f>IF($E36="","",INDEX('Input Transaksi'!$F:$F,$E36))</f>
        <v/>
      </c>
      <c r="E36">
        <f>IFERROR(AGGREGATE(15,6,ROW('Input Transaksi'!$B$5:$B$5000)/('Input Transaksi'!$B$5:$B$5000="GEDE LONDRI"),ROWS($E$5:E36)),"")</f>
        <v/>
      </c>
      <c r="F36" s="5" t="n"/>
    </row>
    <row r="37">
      <c r="A37" s="10">
        <f>IF($E37="","",INDEX('Input Transaksi'!$A:$A,$E37))</f>
        <v/>
      </c>
      <c r="B37" s="5">
        <f>IF($E37="","",INDEX('Input Transaksi'!$D:$D,$E37))</f>
        <v/>
      </c>
      <c r="C37">
        <f>IF($E37="","",INDEX('Input Transaksi'!$E:$E,$E37))</f>
        <v/>
      </c>
      <c r="D37" s="5">
        <f>IF($E37="","",INDEX('Input Transaksi'!$F:$F,$E37))</f>
        <v/>
      </c>
      <c r="E37">
        <f>IFERROR(AGGREGATE(15,6,ROW('Input Transaksi'!$B$5:$B$5000)/('Input Transaksi'!$B$5:$B$5000="GEDE LONDRI"),ROWS($E$5:E37)),"")</f>
        <v/>
      </c>
      <c r="F37" s="5" t="n"/>
    </row>
    <row r="38">
      <c r="A38" s="10">
        <f>IF($E38="","",INDEX('Input Transaksi'!$A:$A,$E38))</f>
        <v/>
      </c>
      <c r="B38" s="5">
        <f>IF($E38="","",INDEX('Input Transaksi'!$D:$D,$E38))</f>
        <v/>
      </c>
      <c r="C38">
        <f>IF($E38="","",INDEX('Input Transaksi'!$E:$E,$E38))</f>
        <v/>
      </c>
      <c r="D38" s="5">
        <f>IF($E38="","",INDEX('Input Transaksi'!$F:$F,$E38))</f>
        <v/>
      </c>
      <c r="E38">
        <f>IFERROR(AGGREGATE(15,6,ROW('Input Transaksi'!$B$5:$B$5000)/('Input Transaksi'!$B$5:$B$5000="GEDE LONDRI"),ROWS($E$5:E38)),"")</f>
        <v/>
      </c>
      <c r="F38" s="5" t="n"/>
    </row>
    <row r="39">
      <c r="A39" s="10">
        <f>IF($E39="","",INDEX('Input Transaksi'!$A:$A,$E39))</f>
        <v/>
      </c>
      <c r="B39" s="5">
        <f>IF($E39="","",INDEX('Input Transaksi'!$D:$D,$E39))</f>
        <v/>
      </c>
      <c r="C39">
        <f>IF($E39="","",INDEX('Input Transaksi'!$E:$E,$E39))</f>
        <v/>
      </c>
      <c r="D39" s="5">
        <f>IF($E39="","",INDEX('Input Transaksi'!$F:$F,$E39))</f>
        <v/>
      </c>
      <c r="E39">
        <f>IFERROR(AGGREGATE(15,6,ROW('Input Transaksi'!$B$5:$B$5000)/('Input Transaksi'!$B$5:$B$5000="GEDE LONDRI"),ROWS($E$5:E39)),"")</f>
        <v/>
      </c>
      <c r="F39" s="5" t="n"/>
    </row>
    <row r="40">
      <c r="A40" s="10">
        <f>IF($E40="","",INDEX('Input Transaksi'!$A:$A,$E40))</f>
        <v/>
      </c>
      <c r="B40" s="5">
        <f>IF($E40="","",INDEX('Input Transaksi'!$D:$D,$E40))</f>
        <v/>
      </c>
      <c r="C40">
        <f>IF($E40="","",INDEX('Input Transaksi'!$E:$E,$E40))</f>
        <v/>
      </c>
      <c r="D40" s="5">
        <f>IF($E40="","",INDEX('Input Transaksi'!$F:$F,$E40))</f>
        <v/>
      </c>
      <c r="E40">
        <f>IFERROR(AGGREGATE(15,6,ROW('Input Transaksi'!$B$5:$B$5000)/('Input Transaksi'!$B$5:$B$5000="GEDE LONDRI"),ROWS($E$5:E40)),"")</f>
        <v/>
      </c>
      <c r="F40" s="5" t="n"/>
    </row>
    <row r="41">
      <c r="A41" s="10">
        <f>IF($E41="","",INDEX('Input Transaksi'!$A:$A,$E41))</f>
        <v/>
      </c>
      <c r="B41" s="5">
        <f>IF($E41="","",INDEX('Input Transaksi'!$D:$D,$E41))</f>
        <v/>
      </c>
      <c r="C41">
        <f>IF($E41="","",INDEX('Input Transaksi'!$E:$E,$E41))</f>
        <v/>
      </c>
      <c r="D41" s="5">
        <f>IF($E41="","",INDEX('Input Transaksi'!$F:$F,$E41))</f>
        <v/>
      </c>
      <c r="E41">
        <f>IFERROR(AGGREGATE(15,6,ROW('Input Transaksi'!$B$5:$B$5000)/('Input Transaksi'!$B$5:$B$5000="GEDE LONDRI"),ROWS($E$5:E41)),"")</f>
        <v/>
      </c>
      <c r="F41" s="5" t="n"/>
    </row>
    <row r="42">
      <c r="A42" s="10">
        <f>IF($E42="","",INDEX('Input Transaksi'!$A:$A,$E42))</f>
        <v/>
      </c>
      <c r="B42" s="5">
        <f>IF($E42="","",INDEX('Input Transaksi'!$D:$D,$E42))</f>
        <v/>
      </c>
      <c r="C42">
        <f>IF($E42="","",INDEX('Input Transaksi'!$E:$E,$E42))</f>
        <v/>
      </c>
      <c r="D42" s="5">
        <f>IF($E42="","",INDEX('Input Transaksi'!$F:$F,$E42))</f>
        <v/>
      </c>
      <c r="E42">
        <f>IFERROR(AGGREGATE(15,6,ROW('Input Transaksi'!$B$5:$B$5000)/('Input Transaksi'!$B$5:$B$5000="GEDE LONDRI"),ROWS($E$5:E42)),"")</f>
        <v/>
      </c>
      <c r="F42" s="5" t="n"/>
    </row>
    <row r="43">
      <c r="A43" s="10">
        <f>IF($E43="","",INDEX('Input Transaksi'!$A:$A,$E43))</f>
        <v/>
      </c>
      <c r="B43" s="5">
        <f>IF($E43="","",INDEX('Input Transaksi'!$D:$D,$E43))</f>
        <v/>
      </c>
      <c r="C43">
        <f>IF($E43="","",INDEX('Input Transaksi'!$E:$E,$E43))</f>
        <v/>
      </c>
      <c r="D43" s="5">
        <f>IF($E43="","",INDEX('Input Transaksi'!$F:$F,$E43))</f>
        <v/>
      </c>
      <c r="E43">
        <f>IFERROR(AGGREGATE(15,6,ROW('Input Transaksi'!$B$5:$B$5000)/('Input Transaksi'!$B$5:$B$5000="GEDE LONDRI"),ROWS($E$5:E43)),"")</f>
        <v/>
      </c>
      <c r="F43" s="5" t="n"/>
    </row>
    <row r="44">
      <c r="A44" s="10">
        <f>IF($E44="","",INDEX('Input Transaksi'!$A:$A,$E44))</f>
        <v/>
      </c>
      <c r="B44" s="5">
        <f>IF($E44="","",INDEX('Input Transaksi'!$D:$D,$E44))</f>
        <v/>
      </c>
      <c r="C44">
        <f>IF($E44="","",INDEX('Input Transaksi'!$E:$E,$E44))</f>
        <v/>
      </c>
      <c r="D44" s="5">
        <f>IF($E44="","",INDEX('Input Transaksi'!$F:$F,$E44))</f>
        <v/>
      </c>
      <c r="E44">
        <f>IFERROR(AGGREGATE(15,6,ROW('Input Transaksi'!$B$5:$B$5000)/('Input Transaksi'!$B$5:$B$5000="GEDE LONDRI"),ROWS($E$5:E44)),"")</f>
        <v/>
      </c>
      <c r="F44" s="5" t="n"/>
    </row>
    <row r="45">
      <c r="A45" s="10">
        <f>IF($E45="","",INDEX('Input Transaksi'!$A:$A,$E45))</f>
        <v/>
      </c>
      <c r="B45" s="5">
        <f>IF($E45="","",INDEX('Input Transaksi'!$D:$D,$E45))</f>
        <v/>
      </c>
      <c r="C45">
        <f>IF($E45="","",INDEX('Input Transaksi'!$E:$E,$E45))</f>
        <v/>
      </c>
      <c r="D45" s="5">
        <f>IF($E45="","",INDEX('Input Transaksi'!$F:$F,$E45))</f>
        <v/>
      </c>
      <c r="E45">
        <f>IFERROR(AGGREGATE(15,6,ROW('Input Transaksi'!$B$5:$B$5000)/('Input Transaksi'!$B$5:$B$5000="GEDE LONDRI"),ROWS($E$5:E45)),"")</f>
        <v/>
      </c>
      <c r="F45" s="5" t="n"/>
    </row>
    <row r="46">
      <c r="A46" s="10">
        <f>IF($E46="","",INDEX('Input Transaksi'!$A:$A,$E46))</f>
        <v/>
      </c>
      <c r="B46" s="5">
        <f>IF($E46="","",INDEX('Input Transaksi'!$D:$D,$E46))</f>
        <v/>
      </c>
      <c r="C46">
        <f>IF($E46="","",INDEX('Input Transaksi'!$E:$E,$E46))</f>
        <v/>
      </c>
      <c r="D46" s="5">
        <f>IF($E46="","",INDEX('Input Transaksi'!$F:$F,$E46))</f>
        <v/>
      </c>
      <c r="E46">
        <f>IFERROR(AGGREGATE(15,6,ROW('Input Transaksi'!$B$5:$B$5000)/('Input Transaksi'!$B$5:$B$5000="GEDE LONDRI"),ROWS($E$5:E46)),"")</f>
        <v/>
      </c>
      <c r="F46" s="5" t="n"/>
    </row>
    <row r="47">
      <c r="A47" s="10">
        <f>IF($E47="","",INDEX('Input Transaksi'!$A:$A,$E47))</f>
        <v/>
      </c>
      <c r="B47" s="5">
        <f>IF($E47="","",INDEX('Input Transaksi'!$D:$D,$E47))</f>
        <v/>
      </c>
      <c r="C47">
        <f>IF($E47="","",INDEX('Input Transaksi'!$E:$E,$E47))</f>
        <v/>
      </c>
      <c r="D47" s="5">
        <f>IF($E47="","",INDEX('Input Transaksi'!$F:$F,$E47))</f>
        <v/>
      </c>
      <c r="E47">
        <f>IFERROR(AGGREGATE(15,6,ROW('Input Transaksi'!$B$5:$B$5000)/('Input Transaksi'!$B$5:$B$5000="GEDE LONDRI"),ROWS($E$5:E47)),"")</f>
        <v/>
      </c>
      <c r="F47" s="5" t="n"/>
    </row>
    <row r="48">
      <c r="A48" s="10">
        <f>IF($E48="","",INDEX('Input Transaksi'!$A:$A,$E48))</f>
        <v/>
      </c>
      <c r="B48" s="5">
        <f>IF($E48="","",INDEX('Input Transaksi'!$D:$D,$E48))</f>
        <v/>
      </c>
      <c r="C48">
        <f>IF($E48="","",INDEX('Input Transaksi'!$E:$E,$E48))</f>
        <v/>
      </c>
      <c r="D48" s="5">
        <f>IF($E48="","",INDEX('Input Transaksi'!$F:$F,$E48))</f>
        <v/>
      </c>
      <c r="E48">
        <f>IFERROR(AGGREGATE(15,6,ROW('Input Transaksi'!$B$5:$B$5000)/('Input Transaksi'!$B$5:$B$5000="GEDE LONDRI"),ROWS($E$5:E48)),"")</f>
        <v/>
      </c>
      <c r="F48" s="5" t="n"/>
    </row>
    <row r="49">
      <c r="A49" s="10">
        <f>IF($E49="","",INDEX('Input Transaksi'!$A:$A,$E49))</f>
        <v/>
      </c>
      <c r="B49" s="5">
        <f>IF($E49="","",INDEX('Input Transaksi'!$D:$D,$E49))</f>
        <v/>
      </c>
      <c r="C49">
        <f>IF($E49="","",INDEX('Input Transaksi'!$E:$E,$E49))</f>
        <v/>
      </c>
      <c r="D49" s="5">
        <f>IF($E49="","",INDEX('Input Transaksi'!$F:$F,$E49))</f>
        <v/>
      </c>
      <c r="E49">
        <f>IFERROR(AGGREGATE(15,6,ROW('Input Transaksi'!$B$5:$B$5000)/('Input Transaksi'!$B$5:$B$5000="GEDE LONDRI"),ROWS($E$5:E49)),"")</f>
        <v/>
      </c>
      <c r="F49" s="5" t="n"/>
    </row>
    <row r="50">
      <c r="A50" s="10">
        <f>IF($E50="","",INDEX('Input Transaksi'!$A:$A,$E50))</f>
        <v/>
      </c>
      <c r="B50" s="5">
        <f>IF($E50="","",INDEX('Input Transaksi'!$D:$D,$E50))</f>
        <v/>
      </c>
      <c r="C50">
        <f>IF($E50="","",INDEX('Input Transaksi'!$E:$E,$E50))</f>
        <v/>
      </c>
      <c r="D50" s="5">
        <f>IF($E50="","",INDEX('Input Transaksi'!$F:$F,$E50))</f>
        <v/>
      </c>
      <c r="E50">
        <f>IFERROR(AGGREGATE(15,6,ROW('Input Transaksi'!$B$5:$B$5000)/('Input Transaksi'!$B$5:$B$5000="GEDE LONDRI"),ROWS($E$5:E50)),"")</f>
        <v/>
      </c>
      <c r="F50" s="5" t="n"/>
    </row>
    <row r="51">
      <c r="A51" s="10">
        <f>IF($E51="","",INDEX('Input Transaksi'!$A:$A,$E51))</f>
        <v/>
      </c>
      <c r="B51" s="5">
        <f>IF($E51="","",INDEX('Input Transaksi'!$D:$D,$E51))</f>
        <v/>
      </c>
      <c r="C51">
        <f>IF($E51="","",INDEX('Input Transaksi'!$E:$E,$E51))</f>
        <v/>
      </c>
      <c r="D51" s="5">
        <f>IF($E51="","",INDEX('Input Transaksi'!$F:$F,$E51))</f>
        <v/>
      </c>
      <c r="E51">
        <f>IFERROR(AGGREGATE(15,6,ROW('Input Transaksi'!$B$5:$B$5000)/('Input Transaksi'!$B$5:$B$5000="GEDE LONDRI"),ROWS($E$5:E51)),"")</f>
        <v/>
      </c>
      <c r="F51" s="5" t="n"/>
    </row>
    <row r="52">
      <c r="A52" s="10">
        <f>IF($E52="","",INDEX('Input Transaksi'!$A:$A,$E52))</f>
        <v/>
      </c>
      <c r="B52" s="5">
        <f>IF($E52="","",INDEX('Input Transaksi'!$D:$D,$E52))</f>
        <v/>
      </c>
      <c r="C52">
        <f>IF($E52="","",INDEX('Input Transaksi'!$E:$E,$E52))</f>
        <v/>
      </c>
      <c r="D52" s="5">
        <f>IF($E52="","",INDEX('Input Transaksi'!$F:$F,$E52))</f>
        <v/>
      </c>
      <c r="E52">
        <f>IFERROR(AGGREGATE(15,6,ROW('Input Transaksi'!$B$5:$B$5000)/('Input Transaksi'!$B$5:$B$5000="GEDE LONDRI"),ROWS($E$5:E52)),"")</f>
        <v/>
      </c>
      <c r="F52" s="5" t="n"/>
    </row>
    <row r="53">
      <c r="A53" s="10">
        <f>IF($E53="","",INDEX('Input Transaksi'!$A:$A,$E53))</f>
        <v/>
      </c>
      <c r="B53" s="5">
        <f>IF($E53="","",INDEX('Input Transaksi'!$D:$D,$E53))</f>
        <v/>
      </c>
      <c r="C53">
        <f>IF($E53="","",INDEX('Input Transaksi'!$E:$E,$E53))</f>
        <v/>
      </c>
      <c r="D53" s="5">
        <f>IF($E53="","",INDEX('Input Transaksi'!$F:$F,$E53))</f>
        <v/>
      </c>
      <c r="E53">
        <f>IFERROR(AGGREGATE(15,6,ROW('Input Transaksi'!$B$5:$B$5000)/('Input Transaksi'!$B$5:$B$5000="GEDE LONDRI"),ROWS($E$5:E53)),"")</f>
        <v/>
      </c>
      <c r="F53" s="5" t="n"/>
    </row>
    <row r="54">
      <c r="A54" s="10">
        <f>IF($E54="","",INDEX('Input Transaksi'!$A:$A,$E54))</f>
        <v/>
      </c>
      <c r="B54" s="5">
        <f>IF($E54="","",INDEX('Input Transaksi'!$D:$D,$E54))</f>
        <v/>
      </c>
      <c r="C54">
        <f>IF($E54="","",INDEX('Input Transaksi'!$E:$E,$E54))</f>
        <v/>
      </c>
      <c r="D54" s="5">
        <f>IF($E54="","",INDEX('Input Transaksi'!$F:$F,$E54))</f>
        <v/>
      </c>
      <c r="E54">
        <f>IFERROR(AGGREGATE(15,6,ROW('Input Transaksi'!$B$5:$B$5000)/('Input Transaksi'!$B$5:$B$5000="GEDE LONDRI"),ROWS($E$5:E54)),"")</f>
        <v/>
      </c>
      <c r="F54" s="5" t="n"/>
    </row>
    <row r="55">
      <c r="A55" s="10">
        <f>IF($E55="","",INDEX('Input Transaksi'!$A:$A,$E55))</f>
        <v/>
      </c>
      <c r="B55" s="5">
        <f>IF($E55="","",INDEX('Input Transaksi'!$D:$D,$E55))</f>
        <v/>
      </c>
      <c r="C55">
        <f>IF($E55="","",INDEX('Input Transaksi'!$E:$E,$E55))</f>
        <v/>
      </c>
      <c r="D55" s="5">
        <f>IF($E55="","",INDEX('Input Transaksi'!$F:$F,$E55))</f>
        <v/>
      </c>
      <c r="E55">
        <f>IFERROR(AGGREGATE(15,6,ROW('Input Transaksi'!$B$5:$B$5000)/('Input Transaksi'!$B$5:$B$5000="GEDE LONDRI"),ROWS($E$5:E55)),"")</f>
        <v/>
      </c>
      <c r="F55" s="5" t="n"/>
    </row>
    <row r="56">
      <c r="A56" s="10">
        <f>IF($E56="","",INDEX('Input Transaksi'!$A:$A,$E56))</f>
        <v/>
      </c>
      <c r="B56" s="5">
        <f>IF($E56="","",INDEX('Input Transaksi'!$D:$D,$E56))</f>
        <v/>
      </c>
      <c r="C56">
        <f>IF($E56="","",INDEX('Input Transaksi'!$E:$E,$E56))</f>
        <v/>
      </c>
      <c r="D56" s="5">
        <f>IF($E56="","",INDEX('Input Transaksi'!$F:$F,$E56))</f>
        <v/>
      </c>
      <c r="E56">
        <f>IFERROR(AGGREGATE(15,6,ROW('Input Transaksi'!$B$5:$B$5000)/('Input Transaksi'!$B$5:$B$5000="GEDE LONDRI"),ROWS($E$5:E56)),"")</f>
        <v/>
      </c>
      <c r="F56" s="5" t="n"/>
    </row>
    <row r="57">
      <c r="A57" s="10">
        <f>IF($E57="","",INDEX('Input Transaksi'!$A:$A,$E57))</f>
        <v/>
      </c>
      <c r="B57" s="5">
        <f>IF($E57="","",INDEX('Input Transaksi'!$D:$D,$E57))</f>
        <v/>
      </c>
      <c r="C57">
        <f>IF($E57="","",INDEX('Input Transaksi'!$E:$E,$E57))</f>
        <v/>
      </c>
      <c r="D57" s="5">
        <f>IF($E57="","",INDEX('Input Transaksi'!$F:$F,$E57))</f>
        <v/>
      </c>
      <c r="E57">
        <f>IFERROR(AGGREGATE(15,6,ROW('Input Transaksi'!$B$5:$B$5000)/('Input Transaksi'!$B$5:$B$5000="GEDE LONDRI"),ROWS($E$5:E57)),"")</f>
        <v/>
      </c>
      <c r="F57" s="5" t="n"/>
    </row>
    <row r="58">
      <c r="A58" s="10">
        <f>IF($E58="","",INDEX('Input Transaksi'!$A:$A,$E58))</f>
        <v/>
      </c>
      <c r="B58" s="5">
        <f>IF($E58="","",INDEX('Input Transaksi'!$D:$D,$E58))</f>
        <v/>
      </c>
      <c r="C58">
        <f>IF($E58="","",INDEX('Input Transaksi'!$E:$E,$E58))</f>
        <v/>
      </c>
      <c r="D58" s="5">
        <f>IF($E58="","",INDEX('Input Transaksi'!$F:$F,$E58))</f>
        <v/>
      </c>
      <c r="E58">
        <f>IFERROR(AGGREGATE(15,6,ROW('Input Transaksi'!$B$5:$B$5000)/('Input Transaksi'!$B$5:$B$5000="GEDE LONDRI"),ROWS($E$5:E58)),"")</f>
        <v/>
      </c>
      <c r="F58" s="5" t="n"/>
    </row>
    <row r="59">
      <c r="A59" s="10">
        <f>IF($E59="","",INDEX('Input Transaksi'!$A:$A,$E59))</f>
        <v/>
      </c>
      <c r="B59" s="5">
        <f>IF($E59="","",INDEX('Input Transaksi'!$D:$D,$E59))</f>
        <v/>
      </c>
      <c r="C59">
        <f>IF($E59="","",INDEX('Input Transaksi'!$E:$E,$E59))</f>
        <v/>
      </c>
      <c r="D59" s="5">
        <f>IF($E59="","",INDEX('Input Transaksi'!$F:$F,$E59))</f>
        <v/>
      </c>
      <c r="E59">
        <f>IFERROR(AGGREGATE(15,6,ROW('Input Transaksi'!$B$5:$B$5000)/('Input Transaksi'!$B$5:$B$5000="GEDE LONDRI"),ROWS($E$5:E59)),"")</f>
        <v/>
      </c>
      <c r="F59" s="5" t="n"/>
    </row>
    <row r="60">
      <c r="A60" s="10">
        <f>IF($E60="","",INDEX('Input Transaksi'!$A:$A,$E60))</f>
        <v/>
      </c>
      <c r="B60" s="5">
        <f>IF($E60="","",INDEX('Input Transaksi'!$D:$D,$E60))</f>
        <v/>
      </c>
      <c r="C60">
        <f>IF($E60="","",INDEX('Input Transaksi'!$E:$E,$E60))</f>
        <v/>
      </c>
      <c r="D60" s="5">
        <f>IF($E60="","",INDEX('Input Transaksi'!$F:$F,$E60))</f>
        <v/>
      </c>
      <c r="E60">
        <f>IFERROR(AGGREGATE(15,6,ROW('Input Transaksi'!$B$5:$B$5000)/('Input Transaksi'!$B$5:$B$5000="GEDE LONDRI"),ROWS($E$5:E60)),"")</f>
        <v/>
      </c>
      <c r="F60" s="5" t="n"/>
    </row>
    <row r="61">
      <c r="A61" s="10">
        <f>IF($E61="","",INDEX('Input Transaksi'!$A:$A,$E61))</f>
        <v/>
      </c>
      <c r="B61" s="5">
        <f>IF($E61="","",INDEX('Input Transaksi'!$D:$D,$E61))</f>
        <v/>
      </c>
      <c r="C61">
        <f>IF($E61="","",INDEX('Input Transaksi'!$E:$E,$E61))</f>
        <v/>
      </c>
      <c r="D61" s="5">
        <f>IF($E61="","",INDEX('Input Transaksi'!$F:$F,$E61))</f>
        <v/>
      </c>
      <c r="E61">
        <f>IFERROR(AGGREGATE(15,6,ROW('Input Transaksi'!$B$5:$B$5000)/('Input Transaksi'!$B$5:$B$5000="GEDE LONDRI"),ROWS($E$5:E61)),"")</f>
        <v/>
      </c>
      <c r="F61" s="5" t="n"/>
    </row>
    <row r="62">
      <c r="A62" s="10">
        <f>IF($E62="","",INDEX('Input Transaksi'!$A:$A,$E62))</f>
        <v/>
      </c>
      <c r="B62" s="5">
        <f>IF($E62="","",INDEX('Input Transaksi'!$D:$D,$E62))</f>
        <v/>
      </c>
      <c r="C62">
        <f>IF($E62="","",INDEX('Input Transaksi'!$E:$E,$E62))</f>
        <v/>
      </c>
      <c r="D62" s="5">
        <f>IF($E62="","",INDEX('Input Transaksi'!$F:$F,$E62))</f>
        <v/>
      </c>
      <c r="E62">
        <f>IFERROR(AGGREGATE(15,6,ROW('Input Transaksi'!$B$5:$B$5000)/('Input Transaksi'!$B$5:$B$5000="GEDE LONDRI"),ROWS($E$5:E62)),"")</f>
        <v/>
      </c>
      <c r="F62" s="5" t="n"/>
    </row>
    <row r="63">
      <c r="A63" s="10">
        <f>IF($E63="","",INDEX('Input Transaksi'!$A:$A,$E63))</f>
        <v/>
      </c>
      <c r="B63" s="5">
        <f>IF($E63="","",INDEX('Input Transaksi'!$D:$D,$E63))</f>
        <v/>
      </c>
      <c r="C63">
        <f>IF($E63="","",INDEX('Input Transaksi'!$E:$E,$E63))</f>
        <v/>
      </c>
      <c r="D63" s="5">
        <f>IF($E63="","",INDEX('Input Transaksi'!$F:$F,$E63))</f>
        <v/>
      </c>
      <c r="E63">
        <f>IFERROR(AGGREGATE(15,6,ROW('Input Transaksi'!$B$5:$B$5000)/('Input Transaksi'!$B$5:$B$5000="GEDE LONDRI"),ROWS($E$5:E63)),"")</f>
        <v/>
      </c>
      <c r="F63" s="5" t="n"/>
    </row>
    <row r="64">
      <c r="A64" s="10">
        <f>IF($E64="","",INDEX('Input Transaksi'!$A:$A,$E64))</f>
        <v/>
      </c>
      <c r="B64" s="5">
        <f>IF($E64="","",INDEX('Input Transaksi'!$D:$D,$E64))</f>
        <v/>
      </c>
      <c r="C64">
        <f>IF($E64="","",INDEX('Input Transaksi'!$E:$E,$E64))</f>
        <v/>
      </c>
      <c r="D64" s="5">
        <f>IF($E64="","",INDEX('Input Transaksi'!$F:$F,$E64))</f>
        <v/>
      </c>
      <c r="E64">
        <f>IFERROR(AGGREGATE(15,6,ROW('Input Transaksi'!$B$5:$B$5000)/('Input Transaksi'!$B$5:$B$5000="GEDE LONDRI"),ROWS($E$5:E64)),"")</f>
        <v/>
      </c>
      <c r="F64" s="5" t="n"/>
    </row>
    <row r="65">
      <c r="A65" s="10">
        <f>IF($E65="","",INDEX('Input Transaksi'!$A:$A,$E65))</f>
        <v/>
      </c>
      <c r="B65" s="5">
        <f>IF($E65="","",INDEX('Input Transaksi'!$D:$D,$E65))</f>
        <v/>
      </c>
      <c r="C65">
        <f>IF($E65="","",INDEX('Input Transaksi'!$E:$E,$E65))</f>
        <v/>
      </c>
      <c r="D65" s="5">
        <f>IF($E65="","",INDEX('Input Transaksi'!$F:$F,$E65))</f>
        <v/>
      </c>
      <c r="E65">
        <f>IFERROR(AGGREGATE(15,6,ROW('Input Transaksi'!$B$5:$B$5000)/('Input Transaksi'!$B$5:$B$5000="GEDE LONDRI"),ROWS($E$5:E65)),"")</f>
        <v/>
      </c>
      <c r="F65" s="5" t="n"/>
    </row>
    <row r="66">
      <c r="A66" s="10">
        <f>IF($E66="","",INDEX('Input Transaksi'!$A:$A,$E66))</f>
        <v/>
      </c>
      <c r="B66" s="5">
        <f>IF($E66="","",INDEX('Input Transaksi'!$D:$D,$E66))</f>
        <v/>
      </c>
      <c r="C66">
        <f>IF($E66="","",INDEX('Input Transaksi'!$E:$E,$E66))</f>
        <v/>
      </c>
      <c r="D66" s="5">
        <f>IF($E66="","",INDEX('Input Transaksi'!$F:$F,$E66))</f>
        <v/>
      </c>
      <c r="E66">
        <f>IFERROR(AGGREGATE(15,6,ROW('Input Transaksi'!$B$5:$B$5000)/('Input Transaksi'!$B$5:$B$5000="GEDE LONDRI"),ROWS($E$5:E66)),"")</f>
        <v/>
      </c>
      <c r="F66" s="5" t="n"/>
    </row>
    <row r="67">
      <c r="A67" s="10">
        <f>IF($E67="","",INDEX('Input Transaksi'!$A:$A,$E67))</f>
        <v/>
      </c>
      <c r="B67" s="5">
        <f>IF($E67="","",INDEX('Input Transaksi'!$D:$D,$E67))</f>
        <v/>
      </c>
      <c r="C67">
        <f>IF($E67="","",INDEX('Input Transaksi'!$E:$E,$E67))</f>
        <v/>
      </c>
      <c r="D67" s="5">
        <f>IF($E67="","",INDEX('Input Transaksi'!$F:$F,$E67))</f>
        <v/>
      </c>
      <c r="E67">
        <f>IFERROR(AGGREGATE(15,6,ROW('Input Transaksi'!$B$5:$B$5000)/('Input Transaksi'!$B$5:$B$5000="GEDE LONDRI"),ROWS($E$5:E67)),"")</f>
        <v/>
      </c>
      <c r="F67" s="5" t="n"/>
    </row>
    <row r="68">
      <c r="A68" s="10">
        <f>IF($E68="","",INDEX('Input Transaksi'!$A:$A,$E68))</f>
        <v/>
      </c>
      <c r="B68" s="5">
        <f>IF($E68="","",INDEX('Input Transaksi'!$D:$D,$E68))</f>
        <v/>
      </c>
      <c r="C68">
        <f>IF($E68="","",INDEX('Input Transaksi'!$E:$E,$E68))</f>
        <v/>
      </c>
      <c r="D68" s="5">
        <f>IF($E68="","",INDEX('Input Transaksi'!$F:$F,$E68))</f>
        <v/>
      </c>
      <c r="E68">
        <f>IFERROR(AGGREGATE(15,6,ROW('Input Transaksi'!$B$5:$B$5000)/('Input Transaksi'!$B$5:$B$5000="GEDE LONDRI"),ROWS($E$5:E68)),"")</f>
        <v/>
      </c>
      <c r="F68" s="5" t="n"/>
    </row>
    <row r="69">
      <c r="A69" s="10">
        <f>IF($E69="","",INDEX('Input Transaksi'!$A:$A,$E69))</f>
        <v/>
      </c>
      <c r="B69" s="5">
        <f>IF($E69="","",INDEX('Input Transaksi'!$D:$D,$E69))</f>
        <v/>
      </c>
      <c r="C69">
        <f>IF($E69="","",INDEX('Input Transaksi'!$E:$E,$E69))</f>
        <v/>
      </c>
      <c r="D69" s="5">
        <f>IF($E69="","",INDEX('Input Transaksi'!$F:$F,$E69))</f>
        <v/>
      </c>
      <c r="E69">
        <f>IFERROR(AGGREGATE(15,6,ROW('Input Transaksi'!$B$5:$B$5000)/('Input Transaksi'!$B$5:$B$5000="GEDE LONDRI"),ROWS($E$5:E69)),"")</f>
        <v/>
      </c>
      <c r="F69" s="5" t="n"/>
    </row>
    <row r="70">
      <c r="A70" s="10">
        <f>IF($E70="","",INDEX('Input Transaksi'!$A:$A,$E70))</f>
        <v/>
      </c>
      <c r="B70" s="5">
        <f>IF($E70="","",INDEX('Input Transaksi'!$D:$D,$E70))</f>
        <v/>
      </c>
      <c r="C70">
        <f>IF($E70="","",INDEX('Input Transaksi'!$E:$E,$E70))</f>
        <v/>
      </c>
      <c r="D70" s="5">
        <f>IF($E70="","",INDEX('Input Transaksi'!$F:$F,$E70))</f>
        <v/>
      </c>
      <c r="E70">
        <f>IFERROR(AGGREGATE(15,6,ROW('Input Transaksi'!$B$5:$B$5000)/('Input Transaksi'!$B$5:$B$5000="GEDE LONDRI"),ROWS($E$5:E70)),"")</f>
        <v/>
      </c>
      <c r="F70" s="5" t="n"/>
    </row>
    <row r="71">
      <c r="A71" s="10">
        <f>IF($E71="","",INDEX('Input Transaksi'!$A:$A,$E71))</f>
        <v/>
      </c>
      <c r="B71" s="5">
        <f>IF($E71="","",INDEX('Input Transaksi'!$D:$D,$E71))</f>
        <v/>
      </c>
      <c r="C71">
        <f>IF($E71="","",INDEX('Input Transaksi'!$E:$E,$E71))</f>
        <v/>
      </c>
      <c r="D71" s="5">
        <f>IF($E71="","",INDEX('Input Transaksi'!$F:$F,$E71))</f>
        <v/>
      </c>
      <c r="E71">
        <f>IFERROR(AGGREGATE(15,6,ROW('Input Transaksi'!$B$5:$B$5000)/('Input Transaksi'!$B$5:$B$5000="GEDE LONDRI"),ROWS($E$5:E71)),"")</f>
        <v/>
      </c>
      <c r="F71" s="5" t="n"/>
    </row>
    <row r="72">
      <c r="A72" s="10">
        <f>IF($E72="","",INDEX('Input Transaksi'!$A:$A,$E72))</f>
        <v/>
      </c>
      <c r="B72" s="5">
        <f>IF($E72="","",INDEX('Input Transaksi'!$D:$D,$E72))</f>
        <v/>
      </c>
      <c r="C72">
        <f>IF($E72="","",INDEX('Input Transaksi'!$E:$E,$E72))</f>
        <v/>
      </c>
      <c r="D72" s="5">
        <f>IF($E72="","",INDEX('Input Transaksi'!$F:$F,$E72))</f>
        <v/>
      </c>
      <c r="E72">
        <f>IFERROR(AGGREGATE(15,6,ROW('Input Transaksi'!$B$5:$B$5000)/('Input Transaksi'!$B$5:$B$5000="GEDE LONDRI"),ROWS($E$5:E72)),"")</f>
        <v/>
      </c>
      <c r="F72" s="5" t="n"/>
    </row>
    <row r="73">
      <c r="A73" s="10">
        <f>IF($E73="","",INDEX('Input Transaksi'!$A:$A,$E73))</f>
        <v/>
      </c>
      <c r="B73" s="5">
        <f>IF($E73="","",INDEX('Input Transaksi'!$D:$D,$E73))</f>
        <v/>
      </c>
      <c r="C73">
        <f>IF($E73="","",INDEX('Input Transaksi'!$E:$E,$E73))</f>
        <v/>
      </c>
      <c r="D73" s="5">
        <f>IF($E73="","",INDEX('Input Transaksi'!$F:$F,$E73))</f>
        <v/>
      </c>
      <c r="E73">
        <f>IFERROR(AGGREGATE(15,6,ROW('Input Transaksi'!$B$5:$B$5000)/('Input Transaksi'!$B$5:$B$5000="GEDE LONDRI"),ROWS($E$5:E73)),"")</f>
        <v/>
      </c>
      <c r="F73" s="5" t="n"/>
    </row>
    <row r="74">
      <c r="A74" s="10">
        <f>IF($E74="","",INDEX('Input Transaksi'!$A:$A,$E74))</f>
        <v/>
      </c>
      <c r="B74" s="5">
        <f>IF($E74="","",INDEX('Input Transaksi'!$D:$D,$E74))</f>
        <v/>
      </c>
      <c r="C74">
        <f>IF($E74="","",INDEX('Input Transaksi'!$E:$E,$E74))</f>
        <v/>
      </c>
      <c r="D74" s="5">
        <f>IF($E74="","",INDEX('Input Transaksi'!$F:$F,$E74))</f>
        <v/>
      </c>
      <c r="E74">
        <f>IFERROR(AGGREGATE(15,6,ROW('Input Transaksi'!$B$5:$B$5000)/('Input Transaksi'!$B$5:$B$5000="GEDE LONDRI"),ROWS($E$5:E74)),"")</f>
        <v/>
      </c>
      <c r="F74" s="5" t="n"/>
    </row>
    <row r="75">
      <c r="A75" s="10">
        <f>IF($E75="","",INDEX('Input Transaksi'!$A:$A,$E75))</f>
        <v/>
      </c>
      <c r="B75" s="5">
        <f>IF($E75="","",INDEX('Input Transaksi'!$D:$D,$E75))</f>
        <v/>
      </c>
      <c r="C75">
        <f>IF($E75="","",INDEX('Input Transaksi'!$E:$E,$E75))</f>
        <v/>
      </c>
      <c r="D75" s="5">
        <f>IF($E75="","",INDEX('Input Transaksi'!$F:$F,$E75))</f>
        <v/>
      </c>
      <c r="E75">
        <f>IFERROR(AGGREGATE(15,6,ROW('Input Transaksi'!$B$5:$B$5000)/('Input Transaksi'!$B$5:$B$5000="GEDE LONDRI"),ROWS($E$5:E75)),"")</f>
        <v/>
      </c>
      <c r="F75" s="5" t="n"/>
    </row>
    <row r="76">
      <c r="A76" s="10">
        <f>IF($E76="","",INDEX('Input Transaksi'!$A:$A,$E76))</f>
        <v/>
      </c>
      <c r="B76" s="5">
        <f>IF($E76="","",INDEX('Input Transaksi'!$D:$D,$E76))</f>
        <v/>
      </c>
      <c r="C76">
        <f>IF($E76="","",INDEX('Input Transaksi'!$E:$E,$E76))</f>
        <v/>
      </c>
      <c r="D76" s="5">
        <f>IF($E76="","",INDEX('Input Transaksi'!$F:$F,$E76))</f>
        <v/>
      </c>
      <c r="E76">
        <f>IFERROR(AGGREGATE(15,6,ROW('Input Transaksi'!$B$5:$B$5000)/('Input Transaksi'!$B$5:$B$5000="GEDE LONDRI"),ROWS($E$5:E76)),"")</f>
        <v/>
      </c>
      <c r="F76" s="5" t="n"/>
    </row>
    <row r="77">
      <c r="A77" s="10">
        <f>IF($E77="","",INDEX('Input Transaksi'!$A:$A,$E77))</f>
        <v/>
      </c>
      <c r="B77" s="5">
        <f>IF($E77="","",INDEX('Input Transaksi'!$D:$D,$E77))</f>
        <v/>
      </c>
      <c r="C77">
        <f>IF($E77="","",INDEX('Input Transaksi'!$E:$E,$E77))</f>
        <v/>
      </c>
      <c r="D77" s="5">
        <f>IF($E77="","",INDEX('Input Transaksi'!$F:$F,$E77))</f>
        <v/>
      </c>
      <c r="E77">
        <f>IFERROR(AGGREGATE(15,6,ROW('Input Transaksi'!$B$5:$B$5000)/('Input Transaksi'!$B$5:$B$5000="GEDE LONDRI"),ROWS($E$5:E77)),"")</f>
        <v/>
      </c>
      <c r="F77" s="5" t="n"/>
    </row>
    <row r="78">
      <c r="A78" s="10">
        <f>IF($E78="","",INDEX('Input Transaksi'!$A:$A,$E78))</f>
        <v/>
      </c>
      <c r="B78" s="5">
        <f>IF($E78="","",INDEX('Input Transaksi'!$D:$D,$E78))</f>
        <v/>
      </c>
      <c r="C78">
        <f>IF($E78="","",INDEX('Input Transaksi'!$E:$E,$E78))</f>
        <v/>
      </c>
      <c r="D78" s="5">
        <f>IF($E78="","",INDEX('Input Transaksi'!$F:$F,$E78))</f>
        <v/>
      </c>
      <c r="E78">
        <f>IFERROR(AGGREGATE(15,6,ROW('Input Transaksi'!$B$5:$B$5000)/('Input Transaksi'!$B$5:$B$5000="GEDE LONDRI"),ROWS($E$5:E78)),"")</f>
        <v/>
      </c>
      <c r="F78" s="5" t="n"/>
    </row>
    <row r="79">
      <c r="A79" s="10">
        <f>IF($E79="","",INDEX('Input Transaksi'!$A:$A,$E79))</f>
        <v/>
      </c>
      <c r="B79" s="5">
        <f>IF($E79="","",INDEX('Input Transaksi'!$D:$D,$E79))</f>
        <v/>
      </c>
      <c r="C79">
        <f>IF($E79="","",INDEX('Input Transaksi'!$E:$E,$E79))</f>
        <v/>
      </c>
      <c r="D79" s="5">
        <f>IF($E79="","",INDEX('Input Transaksi'!$F:$F,$E79))</f>
        <v/>
      </c>
      <c r="E79">
        <f>IFERROR(AGGREGATE(15,6,ROW('Input Transaksi'!$B$5:$B$5000)/('Input Transaksi'!$B$5:$B$5000="GEDE LONDRI"),ROWS($E$5:E79)),"")</f>
        <v/>
      </c>
      <c r="F79" s="5" t="n"/>
    </row>
    <row r="80">
      <c r="A80" s="10">
        <f>IF($E80="","",INDEX('Input Transaksi'!$A:$A,$E80))</f>
        <v/>
      </c>
      <c r="B80" s="5">
        <f>IF($E80="","",INDEX('Input Transaksi'!$D:$D,$E80))</f>
        <v/>
      </c>
      <c r="C80">
        <f>IF($E80="","",INDEX('Input Transaksi'!$E:$E,$E80))</f>
        <v/>
      </c>
      <c r="D80" s="5">
        <f>IF($E80="","",INDEX('Input Transaksi'!$F:$F,$E80))</f>
        <v/>
      </c>
      <c r="E80">
        <f>IFERROR(AGGREGATE(15,6,ROW('Input Transaksi'!$B$5:$B$5000)/('Input Transaksi'!$B$5:$B$5000="GEDE LONDRI"),ROWS($E$5:E80)),"")</f>
        <v/>
      </c>
      <c r="F80" s="5" t="n"/>
    </row>
    <row r="81">
      <c r="A81" s="10">
        <f>IF($E81="","",INDEX('Input Transaksi'!$A:$A,$E81))</f>
        <v/>
      </c>
      <c r="B81" s="5">
        <f>IF($E81="","",INDEX('Input Transaksi'!$D:$D,$E81))</f>
        <v/>
      </c>
      <c r="C81">
        <f>IF($E81="","",INDEX('Input Transaksi'!$E:$E,$E81))</f>
        <v/>
      </c>
      <c r="D81" s="5">
        <f>IF($E81="","",INDEX('Input Transaksi'!$F:$F,$E81))</f>
        <v/>
      </c>
      <c r="E81">
        <f>IFERROR(AGGREGATE(15,6,ROW('Input Transaksi'!$B$5:$B$5000)/('Input Transaksi'!$B$5:$B$5000="GEDE LONDRI"),ROWS($E$5:E81)),"")</f>
        <v/>
      </c>
      <c r="F81" s="5" t="n"/>
    </row>
    <row r="82">
      <c r="A82" s="10">
        <f>IF($E82="","",INDEX('Input Transaksi'!$A:$A,$E82))</f>
        <v/>
      </c>
      <c r="B82" s="5">
        <f>IF($E82="","",INDEX('Input Transaksi'!$D:$D,$E82))</f>
        <v/>
      </c>
      <c r="C82">
        <f>IF($E82="","",INDEX('Input Transaksi'!$E:$E,$E82))</f>
        <v/>
      </c>
      <c r="D82" s="5">
        <f>IF($E82="","",INDEX('Input Transaksi'!$F:$F,$E82))</f>
        <v/>
      </c>
      <c r="E82">
        <f>IFERROR(AGGREGATE(15,6,ROW('Input Transaksi'!$B$5:$B$5000)/('Input Transaksi'!$B$5:$B$5000="GEDE LONDRI"),ROWS($E$5:E82)),"")</f>
        <v/>
      </c>
      <c r="F82" s="5" t="n"/>
    </row>
    <row r="83">
      <c r="A83" s="10">
        <f>IF($E83="","",INDEX('Input Transaksi'!$A:$A,$E83))</f>
        <v/>
      </c>
      <c r="B83" s="5">
        <f>IF($E83="","",INDEX('Input Transaksi'!$D:$D,$E83))</f>
        <v/>
      </c>
      <c r="C83">
        <f>IF($E83="","",INDEX('Input Transaksi'!$E:$E,$E83))</f>
        <v/>
      </c>
      <c r="D83" s="5">
        <f>IF($E83="","",INDEX('Input Transaksi'!$F:$F,$E83))</f>
        <v/>
      </c>
      <c r="E83">
        <f>IFERROR(AGGREGATE(15,6,ROW('Input Transaksi'!$B$5:$B$5000)/('Input Transaksi'!$B$5:$B$5000="GEDE LONDRI"),ROWS($E$5:E83)),"")</f>
        <v/>
      </c>
      <c r="F83" s="5" t="n"/>
    </row>
    <row r="84">
      <c r="A84" s="10">
        <f>IF($E84="","",INDEX('Input Transaksi'!$A:$A,$E84))</f>
        <v/>
      </c>
      <c r="B84" s="5">
        <f>IF($E84="","",INDEX('Input Transaksi'!$D:$D,$E84))</f>
        <v/>
      </c>
      <c r="C84">
        <f>IF($E84="","",INDEX('Input Transaksi'!$E:$E,$E84))</f>
        <v/>
      </c>
      <c r="D84" s="5">
        <f>IF($E84="","",INDEX('Input Transaksi'!$F:$F,$E84))</f>
        <v/>
      </c>
      <c r="E84">
        <f>IFERROR(AGGREGATE(15,6,ROW('Input Transaksi'!$B$5:$B$5000)/('Input Transaksi'!$B$5:$B$5000="GEDE LONDRI"),ROWS($E$5:E84)),"")</f>
        <v/>
      </c>
      <c r="F84" s="5" t="n"/>
    </row>
    <row r="85">
      <c r="A85" s="10">
        <f>IF($E85="","",INDEX('Input Transaksi'!$A:$A,$E85))</f>
        <v/>
      </c>
      <c r="B85" s="5">
        <f>IF($E85="","",INDEX('Input Transaksi'!$D:$D,$E85))</f>
        <v/>
      </c>
      <c r="C85">
        <f>IF($E85="","",INDEX('Input Transaksi'!$E:$E,$E85))</f>
        <v/>
      </c>
      <c r="D85" s="5">
        <f>IF($E85="","",INDEX('Input Transaksi'!$F:$F,$E85))</f>
        <v/>
      </c>
      <c r="E85">
        <f>IFERROR(AGGREGATE(15,6,ROW('Input Transaksi'!$B$5:$B$5000)/('Input Transaksi'!$B$5:$B$5000="GEDE LONDRI"),ROWS($E$5:E85)),"")</f>
        <v/>
      </c>
      <c r="F85" s="5" t="n"/>
    </row>
    <row r="86">
      <c r="A86" s="10">
        <f>IF($E86="","",INDEX('Input Transaksi'!$A:$A,$E86))</f>
        <v/>
      </c>
      <c r="B86" s="5">
        <f>IF($E86="","",INDEX('Input Transaksi'!$D:$D,$E86))</f>
        <v/>
      </c>
      <c r="C86">
        <f>IF($E86="","",INDEX('Input Transaksi'!$E:$E,$E86))</f>
        <v/>
      </c>
      <c r="D86" s="5">
        <f>IF($E86="","",INDEX('Input Transaksi'!$F:$F,$E86))</f>
        <v/>
      </c>
      <c r="E86">
        <f>IFERROR(AGGREGATE(15,6,ROW('Input Transaksi'!$B$5:$B$5000)/('Input Transaksi'!$B$5:$B$5000="GEDE LONDRI"),ROWS($E$5:E86)),"")</f>
        <v/>
      </c>
      <c r="F86" s="5" t="n"/>
    </row>
    <row r="87">
      <c r="A87" s="10">
        <f>IF($E87="","",INDEX('Input Transaksi'!$A:$A,$E87))</f>
        <v/>
      </c>
      <c r="B87" s="5">
        <f>IF($E87="","",INDEX('Input Transaksi'!$D:$D,$E87))</f>
        <v/>
      </c>
      <c r="C87">
        <f>IF($E87="","",INDEX('Input Transaksi'!$E:$E,$E87))</f>
        <v/>
      </c>
      <c r="D87" s="5">
        <f>IF($E87="","",INDEX('Input Transaksi'!$F:$F,$E87))</f>
        <v/>
      </c>
      <c r="E87">
        <f>IFERROR(AGGREGATE(15,6,ROW('Input Transaksi'!$B$5:$B$5000)/('Input Transaksi'!$B$5:$B$5000="GEDE LONDRI"),ROWS($E$5:E87)),"")</f>
        <v/>
      </c>
      <c r="F87" s="5" t="n"/>
    </row>
    <row r="88">
      <c r="A88" s="10">
        <f>IF($E88="","",INDEX('Input Transaksi'!$A:$A,$E88))</f>
        <v/>
      </c>
      <c r="B88" s="5">
        <f>IF($E88="","",INDEX('Input Transaksi'!$D:$D,$E88))</f>
        <v/>
      </c>
      <c r="C88">
        <f>IF($E88="","",INDEX('Input Transaksi'!$E:$E,$E88))</f>
        <v/>
      </c>
      <c r="D88" s="5">
        <f>IF($E88="","",INDEX('Input Transaksi'!$F:$F,$E88))</f>
        <v/>
      </c>
      <c r="E88">
        <f>IFERROR(AGGREGATE(15,6,ROW('Input Transaksi'!$B$5:$B$5000)/('Input Transaksi'!$B$5:$B$5000="GEDE LONDRI"),ROWS($E$5:E88)),"")</f>
        <v/>
      </c>
      <c r="F88" s="5" t="n"/>
    </row>
    <row r="89">
      <c r="A89" s="10">
        <f>IF($E89="","",INDEX('Input Transaksi'!$A:$A,$E89))</f>
        <v/>
      </c>
      <c r="B89" s="5">
        <f>IF($E89="","",INDEX('Input Transaksi'!$D:$D,$E89))</f>
        <v/>
      </c>
      <c r="C89">
        <f>IF($E89="","",INDEX('Input Transaksi'!$E:$E,$E89))</f>
        <v/>
      </c>
      <c r="D89" s="5">
        <f>IF($E89="","",INDEX('Input Transaksi'!$F:$F,$E89))</f>
        <v/>
      </c>
      <c r="E89">
        <f>IFERROR(AGGREGATE(15,6,ROW('Input Transaksi'!$B$5:$B$5000)/('Input Transaksi'!$B$5:$B$5000="GEDE LONDRI"),ROWS($E$5:E89)),"")</f>
        <v/>
      </c>
      <c r="F89" s="5" t="n"/>
    </row>
    <row r="90">
      <c r="A90" s="10">
        <f>IF($E90="","",INDEX('Input Transaksi'!$A:$A,$E90))</f>
        <v/>
      </c>
      <c r="B90" s="5">
        <f>IF($E90="","",INDEX('Input Transaksi'!$D:$D,$E90))</f>
        <v/>
      </c>
      <c r="C90">
        <f>IF($E90="","",INDEX('Input Transaksi'!$E:$E,$E90))</f>
        <v/>
      </c>
      <c r="D90" s="5">
        <f>IF($E90="","",INDEX('Input Transaksi'!$F:$F,$E90))</f>
        <v/>
      </c>
      <c r="E90">
        <f>IFERROR(AGGREGATE(15,6,ROW('Input Transaksi'!$B$5:$B$5000)/('Input Transaksi'!$B$5:$B$5000="GEDE LONDRI"),ROWS($E$5:E90)),"")</f>
        <v/>
      </c>
      <c r="F90" s="5" t="n"/>
    </row>
    <row r="91">
      <c r="A91" s="10">
        <f>IF($E91="","",INDEX('Input Transaksi'!$A:$A,$E91))</f>
        <v/>
      </c>
      <c r="B91" s="5">
        <f>IF($E91="","",INDEX('Input Transaksi'!$D:$D,$E91))</f>
        <v/>
      </c>
      <c r="C91">
        <f>IF($E91="","",INDEX('Input Transaksi'!$E:$E,$E91))</f>
        <v/>
      </c>
      <c r="D91" s="5">
        <f>IF($E91="","",INDEX('Input Transaksi'!$F:$F,$E91))</f>
        <v/>
      </c>
      <c r="E91">
        <f>IFERROR(AGGREGATE(15,6,ROW('Input Transaksi'!$B$5:$B$5000)/('Input Transaksi'!$B$5:$B$5000="GEDE LONDRI"),ROWS($E$5:E91)),"")</f>
        <v/>
      </c>
      <c r="F91" s="5" t="n"/>
    </row>
    <row r="92">
      <c r="A92" s="10">
        <f>IF($E92="","",INDEX('Input Transaksi'!$A:$A,$E92))</f>
        <v/>
      </c>
      <c r="B92" s="5">
        <f>IF($E92="","",INDEX('Input Transaksi'!$D:$D,$E92))</f>
        <v/>
      </c>
      <c r="C92">
        <f>IF($E92="","",INDEX('Input Transaksi'!$E:$E,$E92))</f>
        <v/>
      </c>
      <c r="D92" s="5">
        <f>IF($E92="","",INDEX('Input Transaksi'!$F:$F,$E92))</f>
        <v/>
      </c>
      <c r="E92">
        <f>IFERROR(AGGREGATE(15,6,ROW('Input Transaksi'!$B$5:$B$5000)/('Input Transaksi'!$B$5:$B$5000="GEDE LONDRI"),ROWS($E$5:E92)),"")</f>
        <v/>
      </c>
      <c r="F92" s="5" t="n"/>
    </row>
    <row r="93">
      <c r="A93" s="10">
        <f>IF($E93="","",INDEX('Input Transaksi'!$A:$A,$E93))</f>
        <v/>
      </c>
      <c r="B93" s="5">
        <f>IF($E93="","",INDEX('Input Transaksi'!$D:$D,$E93))</f>
        <v/>
      </c>
      <c r="C93">
        <f>IF($E93="","",INDEX('Input Transaksi'!$E:$E,$E93))</f>
        <v/>
      </c>
      <c r="D93" s="5">
        <f>IF($E93="","",INDEX('Input Transaksi'!$F:$F,$E93))</f>
        <v/>
      </c>
      <c r="E93">
        <f>IFERROR(AGGREGATE(15,6,ROW('Input Transaksi'!$B$5:$B$5000)/('Input Transaksi'!$B$5:$B$5000="GEDE LONDRI"),ROWS($E$5:E93)),"")</f>
        <v/>
      </c>
      <c r="F93" s="5" t="n"/>
    </row>
    <row r="94">
      <c r="A94" s="10">
        <f>IF($E94="","",INDEX('Input Transaksi'!$A:$A,$E94))</f>
        <v/>
      </c>
      <c r="B94" s="5">
        <f>IF($E94="","",INDEX('Input Transaksi'!$D:$D,$E94))</f>
        <v/>
      </c>
      <c r="C94">
        <f>IF($E94="","",INDEX('Input Transaksi'!$E:$E,$E94))</f>
        <v/>
      </c>
      <c r="D94" s="5">
        <f>IF($E94="","",INDEX('Input Transaksi'!$F:$F,$E94))</f>
        <v/>
      </c>
      <c r="E94">
        <f>IFERROR(AGGREGATE(15,6,ROW('Input Transaksi'!$B$5:$B$5000)/('Input Transaksi'!$B$5:$B$5000="GEDE LONDRI"),ROWS($E$5:E94)),"")</f>
        <v/>
      </c>
      <c r="F94" s="5" t="n"/>
    </row>
    <row r="95">
      <c r="A95" s="10">
        <f>IF($E95="","",INDEX('Input Transaksi'!$A:$A,$E95))</f>
        <v/>
      </c>
      <c r="B95" s="5">
        <f>IF($E95="","",INDEX('Input Transaksi'!$D:$D,$E95))</f>
        <v/>
      </c>
      <c r="C95">
        <f>IF($E95="","",INDEX('Input Transaksi'!$E:$E,$E95))</f>
        <v/>
      </c>
      <c r="D95" s="5">
        <f>IF($E95="","",INDEX('Input Transaksi'!$F:$F,$E95))</f>
        <v/>
      </c>
      <c r="E95">
        <f>IFERROR(AGGREGATE(15,6,ROW('Input Transaksi'!$B$5:$B$5000)/('Input Transaksi'!$B$5:$B$5000="GEDE LONDRI"),ROWS($E$5:E95)),"")</f>
        <v/>
      </c>
      <c r="F95" s="5" t="n"/>
    </row>
    <row r="96">
      <c r="A96" s="10">
        <f>IF($E96="","",INDEX('Input Transaksi'!$A:$A,$E96))</f>
        <v/>
      </c>
      <c r="B96" s="5">
        <f>IF($E96="","",INDEX('Input Transaksi'!$D:$D,$E96))</f>
        <v/>
      </c>
      <c r="C96">
        <f>IF($E96="","",INDEX('Input Transaksi'!$E:$E,$E96))</f>
        <v/>
      </c>
      <c r="D96" s="5">
        <f>IF($E96="","",INDEX('Input Transaksi'!$F:$F,$E96))</f>
        <v/>
      </c>
      <c r="E96">
        <f>IFERROR(AGGREGATE(15,6,ROW('Input Transaksi'!$B$5:$B$5000)/('Input Transaksi'!$B$5:$B$5000="GEDE LONDRI"),ROWS($E$5:E96)),"")</f>
        <v/>
      </c>
      <c r="F96" s="5" t="n"/>
    </row>
    <row r="97">
      <c r="A97" s="10">
        <f>IF($E97="","",INDEX('Input Transaksi'!$A:$A,$E97))</f>
        <v/>
      </c>
      <c r="B97" s="5">
        <f>IF($E97="","",INDEX('Input Transaksi'!$D:$D,$E97))</f>
        <v/>
      </c>
      <c r="C97">
        <f>IF($E97="","",INDEX('Input Transaksi'!$E:$E,$E97))</f>
        <v/>
      </c>
      <c r="D97" s="5">
        <f>IF($E97="","",INDEX('Input Transaksi'!$F:$F,$E97))</f>
        <v/>
      </c>
      <c r="E97">
        <f>IFERROR(AGGREGATE(15,6,ROW('Input Transaksi'!$B$5:$B$5000)/('Input Transaksi'!$B$5:$B$5000="GEDE LONDRI"),ROWS($E$5:E97)),"")</f>
        <v/>
      </c>
      <c r="F97" s="5" t="n"/>
    </row>
    <row r="98">
      <c r="A98" s="10">
        <f>IF($E98="","",INDEX('Input Transaksi'!$A:$A,$E98))</f>
        <v/>
      </c>
      <c r="B98" s="5">
        <f>IF($E98="","",INDEX('Input Transaksi'!$D:$D,$E98))</f>
        <v/>
      </c>
      <c r="C98">
        <f>IF($E98="","",INDEX('Input Transaksi'!$E:$E,$E98))</f>
        <v/>
      </c>
      <c r="D98" s="5">
        <f>IF($E98="","",INDEX('Input Transaksi'!$F:$F,$E98))</f>
        <v/>
      </c>
      <c r="E98">
        <f>IFERROR(AGGREGATE(15,6,ROW('Input Transaksi'!$B$5:$B$5000)/('Input Transaksi'!$B$5:$B$5000="GEDE LONDRI"),ROWS($E$5:E98)),"")</f>
        <v/>
      </c>
      <c r="F98" s="5" t="n"/>
    </row>
    <row r="99">
      <c r="A99" s="10">
        <f>IF($E99="","",INDEX('Input Transaksi'!$A:$A,$E99))</f>
        <v/>
      </c>
      <c r="B99" s="5">
        <f>IF($E99="","",INDEX('Input Transaksi'!$D:$D,$E99))</f>
        <v/>
      </c>
      <c r="C99">
        <f>IF($E99="","",INDEX('Input Transaksi'!$E:$E,$E99))</f>
        <v/>
      </c>
      <c r="D99" s="5">
        <f>IF($E99="","",INDEX('Input Transaksi'!$F:$F,$E99))</f>
        <v/>
      </c>
      <c r="E99">
        <f>IFERROR(AGGREGATE(15,6,ROW('Input Transaksi'!$B$5:$B$5000)/('Input Transaksi'!$B$5:$B$5000="GEDE LONDRI"),ROWS($E$5:E99)),"")</f>
        <v/>
      </c>
      <c r="F99" s="5" t="n"/>
    </row>
    <row r="100">
      <c r="A100" s="10">
        <f>IF($E100="","",INDEX('Input Transaksi'!$A:$A,$E100))</f>
        <v/>
      </c>
      <c r="B100" s="5">
        <f>IF($E100="","",INDEX('Input Transaksi'!$D:$D,$E100))</f>
        <v/>
      </c>
      <c r="C100">
        <f>IF($E100="","",INDEX('Input Transaksi'!$E:$E,$E100))</f>
        <v/>
      </c>
      <c r="D100" s="5">
        <f>IF($E100="","",INDEX('Input Transaksi'!$F:$F,$E100))</f>
        <v/>
      </c>
      <c r="E100">
        <f>IFERROR(AGGREGATE(15,6,ROW('Input Transaksi'!$B$5:$B$5000)/('Input Transaksi'!$B$5:$B$5000="GEDE LONDRI"),ROWS($E$5:E100)),"")</f>
        <v/>
      </c>
      <c r="F100" s="5" t="n"/>
    </row>
    <row r="101">
      <c r="A101" s="10">
        <f>IF($E101="","",INDEX('Input Transaksi'!$A:$A,$E101))</f>
        <v/>
      </c>
      <c r="B101" s="5">
        <f>IF($E101="","",INDEX('Input Transaksi'!$D:$D,$E101))</f>
        <v/>
      </c>
      <c r="C101">
        <f>IF($E101="","",INDEX('Input Transaksi'!$E:$E,$E101))</f>
        <v/>
      </c>
      <c r="D101" s="5">
        <f>IF($E101="","",INDEX('Input Transaksi'!$F:$F,$E101))</f>
        <v/>
      </c>
      <c r="E101">
        <f>IFERROR(AGGREGATE(15,6,ROW('Input Transaksi'!$B$5:$B$5000)/('Input Transaksi'!$B$5:$B$5000="GEDE LONDRI"),ROWS($E$5:E101)),"")</f>
        <v/>
      </c>
      <c r="F101" s="5" t="n"/>
    </row>
    <row r="102">
      <c r="A102" s="10">
        <f>IF($E102="","",INDEX('Input Transaksi'!$A:$A,$E102))</f>
        <v/>
      </c>
      <c r="B102" s="5">
        <f>IF($E102="","",INDEX('Input Transaksi'!$D:$D,$E102))</f>
        <v/>
      </c>
      <c r="C102">
        <f>IF($E102="","",INDEX('Input Transaksi'!$E:$E,$E102))</f>
        <v/>
      </c>
      <c r="D102" s="5">
        <f>IF($E102="","",INDEX('Input Transaksi'!$F:$F,$E102))</f>
        <v/>
      </c>
      <c r="E102">
        <f>IFERROR(AGGREGATE(15,6,ROW('Input Transaksi'!$B$5:$B$5000)/('Input Transaksi'!$B$5:$B$5000="GEDE LONDRI"),ROWS($E$5:E102)),"")</f>
        <v/>
      </c>
      <c r="F102" s="5" t="n"/>
    </row>
    <row r="103">
      <c r="A103" s="10">
        <f>IF($E103="","",INDEX('Input Transaksi'!$A:$A,$E103))</f>
        <v/>
      </c>
      <c r="B103" s="5">
        <f>IF($E103="","",INDEX('Input Transaksi'!$D:$D,$E103))</f>
        <v/>
      </c>
      <c r="C103">
        <f>IF($E103="","",INDEX('Input Transaksi'!$E:$E,$E103))</f>
        <v/>
      </c>
      <c r="D103" s="5">
        <f>IF($E103="","",INDEX('Input Transaksi'!$F:$F,$E103))</f>
        <v/>
      </c>
      <c r="E103">
        <f>IFERROR(AGGREGATE(15,6,ROW('Input Transaksi'!$B$5:$B$5000)/('Input Transaksi'!$B$5:$B$5000="GEDE LONDRI"),ROWS($E$5:E103)),"")</f>
        <v/>
      </c>
      <c r="F103" s="5" t="n"/>
    </row>
    <row r="104">
      <c r="A104" s="10">
        <f>IF($E104="","",INDEX('Input Transaksi'!$A:$A,$E104))</f>
        <v/>
      </c>
      <c r="B104" s="5">
        <f>IF($E104="","",INDEX('Input Transaksi'!$D:$D,$E104))</f>
        <v/>
      </c>
      <c r="C104">
        <f>IF($E104="","",INDEX('Input Transaksi'!$E:$E,$E104))</f>
        <v/>
      </c>
      <c r="D104" s="5">
        <f>IF($E104="","",INDEX('Input Transaksi'!$F:$F,$E104))</f>
        <v/>
      </c>
      <c r="E104">
        <f>IFERROR(AGGREGATE(15,6,ROW('Input Transaksi'!$B$5:$B$5000)/('Input Transaksi'!$B$5:$B$5000="GEDE LONDRI"),ROWS($E$5:E104)),"")</f>
        <v/>
      </c>
      <c r="F104" s="5" t="n"/>
    </row>
    <row r="105">
      <c r="A105" s="10">
        <f>IF($E105="","",INDEX('Input Transaksi'!$A:$A,$E105))</f>
        <v/>
      </c>
      <c r="B105" s="5">
        <f>IF($E105="","",INDEX('Input Transaksi'!$D:$D,$E105))</f>
        <v/>
      </c>
      <c r="C105">
        <f>IF($E105="","",INDEX('Input Transaksi'!$E:$E,$E105))</f>
        <v/>
      </c>
      <c r="D105" s="5">
        <f>IF($E105="","",INDEX('Input Transaksi'!$F:$F,$E105))</f>
        <v/>
      </c>
      <c r="E105">
        <f>IFERROR(AGGREGATE(15,6,ROW('Input Transaksi'!$B$5:$B$5000)/('Input Transaksi'!$B$5:$B$5000="GEDE LONDRI"),ROWS($E$5:E105)),"")</f>
        <v/>
      </c>
      <c r="F105" s="5" t="n"/>
    </row>
    <row r="106">
      <c r="A106" s="10">
        <f>IF($E106="","",INDEX('Input Transaksi'!$A:$A,$E106))</f>
        <v/>
      </c>
      <c r="B106" s="5">
        <f>IF($E106="","",INDEX('Input Transaksi'!$D:$D,$E106))</f>
        <v/>
      </c>
      <c r="C106">
        <f>IF($E106="","",INDEX('Input Transaksi'!$E:$E,$E106))</f>
        <v/>
      </c>
      <c r="D106" s="5">
        <f>IF($E106="","",INDEX('Input Transaksi'!$F:$F,$E106))</f>
        <v/>
      </c>
      <c r="E106">
        <f>IFERROR(AGGREGATE(15,6,ROW('Input Transaksi'!$B$5:$B$5000)/('Input Transaksi'!$B$5:$B$5000="GEDE LONDRI"),ROWS($E$5:E106)),"")</f>
        <v/>
      </c>
      <c r="F106" s="5" t="n"/>
    </row>
    <row r="107">
      <c r="A107" s="10">
        <f>IF($E107="","",INDEX('Input Transaksi'!$A:$A,$E107))</f>
        <v/>
      </c>
      <c r="B107" s="5">
        <f>IF($E107="","",INDEX('Input Transaksi'!$D:$D,$E107))</f>
        <v/>
      </c>
      <c r="C107">
        <f>IF($E107="","",INDEX('Input Transaksi'!$E:$E,$E107))</f>
        <v/>
      </c>
      <c r="D107" s="5">
        <f>IF($E107="","",INDEX('Input Transaksi'!$F:$F,$E107))</f>
        <v/>
      </c>
      <c r="E107">
        <f>IFERROR(AGGREGATE(15,6,ROW('Input Transaksi'!$B$5:$B$5000)/('Input Transaksi'!$B$5:$B$5000="GEDE LONDRI"),ROWS($E$5:E107)),"")</f>
        <v/>
      </c>
      <c r="F107" s="5" t="n"/>
    </row>
    <row r="108">
      <c r="A108" s="10">
        <f>IF($E108="","",INDEX('Input Transaksi'!$A:$A,$E108))</f>
        <v/>
      </c>
      <c r="B108" s="5">
        <f>IF($E108="","",INDEX('Input Transaksi'!$D:$D,$E108))</f>
        <v/>
      </c>
      <c r="C108">
        <f>IF($E108="","",INDEX('Input Transaksi'!$E:$E,$E108))</f>
        <v/>
      </c>
      <c r="D108" s="5">
        <f>IF($E108="","",INDEX('Input Transaksi'!$F:$F,$E108))</f>
        <v/>
      </c>
      <c r="E108">
        <f>IFERROR(AGGREGATE(15,6,ROW('Input Transaksi'!$B$5:$B$5000)/('Input Transaksi'!$B$5:$B$5000="GEDE LONDRI"),ROWS($E$5:E108)),"")</f>
        <v/>
      </c>
      <c r="F108" s="5" t="n"/>
    </row>
    <row r="109">
      <c r="A109" s="10">
        <f>IF($E109="","",INDEX('Input Transaksi'!$A:$A,$E109))</f>
        <v/>
      </c>
      <c r="B109" s="5">
        <f>IF($E109="","",INDEX('Input Transaksi'!$D:$D,$E109))</f>
        <v/>
      </c>
      <c r="C109">
        <f>IF($E109="","",INDEX('Input Transaksi'!$E:$E,$E109))</f>
        <v/>
      </c>
      <c r="D109" s="5">
        <f>IF($E109="","",INDEX('Input Transaksi'!$F:$F,$E109))</f>
        <v/>
      </c>
      <c r="E109">
        <f>IFERROR(AGGREGATE(15,6,ROW('Input Transaksi'!$B$5:$B$5000)/('Input Transaksi'!$B$5:$B$5000="GEDE LONDRI"),ROWS($E$5:E109)),"")</f>
        <v/>
      </c>
      <c r="F109" s="5" t="n"/>
    </row>
    <row r="110">
      <c r="A110" s="10">
        <f>IF($E110="","",INDEX('Input Transaksi'!$A:$A,$E110))</f>
        <v/>
      </c>
      <c r="B110" s="5">
        <f>IF($E110="","",INDEX('Input Transaksi'!$D:$D,$E110))</f>
        <v/>
      </c>
      <c r="C110">
        <f>IF($E110="","",INDEX('Input Transaksi'!$E:$E,$E110))</f>
        <v/>
      </c>
      <c r="D110" s="5">
        <f>IF($E110="","",INDEX('Input Transaksi'!$F:$F,$E110))</f>
        <v/>
      </c>
      <c r="E110">
        <f>IFERROR(AGGREGATE(15,6,ROW('Input Transaksi'!$B$5:$B$5000)/('Input Transaksi'!$B$5:$B$5000="GEDE LONDRI"),ROWS($E$5:E110)),"")</f>
        <v/>
      </c>
      <c r="F110" s="5" t="n"/>
    </row>
    <row r="111">
      <c r="A111" s="10">
        <f>IF($E111="","",INDEX('Input Transaksi'!$A:$A,$E111))</f>
        <v/>
      </c>
      <c r="B111" s="5">
        <f>IF($E111="","",INDEX('Input Transaksi'!$D:$D,$E111))</f>
        <v/>
      </c>
      <c r="C111">
        <f>IF($E111="","",INDEX('Input Transaksi'!$E:$E,$E111))</f>
        <v/>
      </c>
      <c r="D111" s="5">
        <f>IF($E111="","",INDEX('Input Transaksi'!$F:$F,$E111))</f>
        <v/>
      </c>
      <c r="E111">
        <f>IFERROR(AGGREGATE(15,6,ROW('Input Transaksi'!$B$5:$B$5000)/('Input Transaksi'!$B$5:$B$5000="GEDE LONDRI"),ROWS($E$5:E111)),"")</f>
        <v/>
      </c>
      <c r="F111" s="5" t="n"/>
    </row>
    <row r="112">
      <c r="A112" s="10">
        <f>IF($E112="","",INDEX('Input Transaksi'!$A:$A,$E112))</f>
        <v/>
      </c>
      <c r="B112" s="5">
        <f>IF($E112="","",INDEX('Input Transaksi'!$D:$D,$E112))</f>
        <v/>
      </c>
      <c r="C112">
        <f>IF($E112="","",INDEX('Input Transaksi'!$E:$E,$E112))</f>
        <v/>
      </c>
      <c r="D112" s="5">
        <f>IF($E112="","",INDEX('Input Transaksi'!$F:$F,$E112))</f>
        <v/>
      </c>
      <c r="E112">
        <f>IFERROR(AGGREGATE(15,6,ROW('Input Transaksi'!$B$5:$B$5000)/('Input Transaksi'!$B$5:$B$5000="GEDE LONDRI"),ROWS($E$5:E112)),"")</f>
        <v/>
      </c>
      <c r="F112" s="5" t="n"/>
    </row>
    <row r="113">
      <c r="A113" s="10">
        <f>IF($E113="","",INDEX('Input Transaksi'!$A:$A,$E113))</f>
        <v/>
      </c>
      <c r="B113" s="5">
        <f>IF($E113="","",INDEX('Input Transaksi'!$D:$D,$E113))</f>
        <v/>
      </c>
      <c r="C113">
        <f>IF($E113="","",INDEX('Input Transaksi'!$E:$E,$E113))</f>
        <v/>
      </c>
      <c r="D113" s="5">
        <f>IF($E113="","",INDEX('Input Transaksi'!$F:$F,$E113))</f>
        <v/>
      </c>
      <c r="E113">
        <f>IFERROR(AGGREGATE(15,6,ROW('Input Transaksi'!$B$5:$B$5000)/('Input Transaksi'!$B$5:$B$5000="GEDE LONDRI"),ROWS($E$5:E113)),"")</f>
        <v/>
      </c>
      <c r="F113" s="5" t="n"/>
    </row>
    <row r="114">
      <c r="A114" s="10">
        <f>IF($E114="","",INDEX('Input Transaksi'!$A:$A,$E114))</f>
        <v/>
      </c>
      <c r="B114" s="5">
        <f>IF($E114="","",INDEX('Input Transaksi'!$D:$D,$E114))</f>
        <v/>
      </c>
      <c r="C114">
        <f>IF($E114="","",INDEX('Input Transaksi'!$E:$E,$E114))</f>
        <v/>
      </c>
      <c r="D114" s="5">
        <f>IF($E114="","",INDEX('Input Transaksi'!$F:$F,$E114))</f>
        <v/>
      </c>
      <c r="E114">
        <f>IFERROR(AGGREGATE(15,6,ROW('Input Transaksi'!$B$5:$B$5000)/('Input Transaksi'!$B$5:$B$5000="GEDE LONDRI"),ROWS($E$5:E114)),"")</f>
        <v/>
      </c>
      <c r="F114" s="5" t="n"/>
    </row>
    <row r="115">
      <c r="A115" s="10">
        <f>IF($E115="","",INDEX('Input Transaksi'!$A:$A,$E115))</f>
        <v/>
      </c>
      <c r="B115" s="5">
        <f>IF($E115="","",INDEX('Input Transaksi'!$D:$D,$E115))</f>
        <v/>
      </c>
      <c r="C115">
        <f>IF($E115="","",INDEX('Input Transaksi'!$E:$E,$E115))</f>
        <v/>
      </c>
      <c r="D115" s="5">
        <f>IF($E115="","",INDEX('Input Transaksi'!$F:$F,$E115))</f>
        <v/>
      </c>
      <c r="E115">
        <f>IFERROR(AGGREGATE(15,6,ROW('Input Transaksi'!$B$5:$B$5000)/('Input Transaksi'!$B$5:$B$5000="GEDE LONDRI"),ROWS($E$5:E115)),"")</f>
        <v/>
      </c>
      <c r="F115" s="5" t="n"/>
    </row>
    <row r="116">
      <c r="A116" s="10">
        <f>IF($E116="","",INDEX('Input Transaksi'!$A:$A,$E116))</f>
        <v/>
      </c>
      <c r="B116" s="5">
        <f>IF($E116="","",INDEX('Input Transaksi'!$D:$D,$E116))</f>
        <v/>
      </c>
      <c r="C116">
        <f>IF($E116="","",INDEX('Input Transaksi'!$E:$E,$E116))</f>
        <v/>
      </c>
      <c r="D116" s="5">
        <f>IF($E116="","",INDEX('Input Transaksi'!$F:$F,$E116))</f>
        <v/>
      </c>
      <c r="E116">
        <f>IFERROR(AGGREGATE(15,6,ROW('Input Transaksi'!$B$5:$B$5000)/('Input Transaksi'!$B$5:$B$5000="GEDE LONDRI"),ROWS($E$5:E116)),"")</f>
        <v/>
      </c>
      <c r="F116" s="5" t="n"/>
    </row>
    <row r="117">
      <c r="A117" s="10">
        <f>IF($E117="","",INDEX('Input Transaksi'!$A:$A,$E117))</f>
        <v/>
      </c>
      <c r="B117" s="5">
        <f>IF($E117="","",INDEX('Input Transaksi'!$D:$D,$E117))</f>
        <v/>
      </c>
      <c r="C117">
        <f>IF($E117="","",INDEX('Input Transaksi'!$E:$E,$E117))</f>
        <v/>
      </c>
      <c r="D117" s="5">
        <f>IF($E117="","",INDEX('Input Transaksi'!$F:$F,$E117))</f>
        <v/>
      </c>
      <c r="E117">
        <f>IFERROR(AGGREGATE(15,6,ROW('Input Transaksi'!$B$5:$B$5000)/('Input Transaksi'!$B$5:$B$5000="GEDE LONDRI"),ROWS($E$5:E117)),"")</f>
        <v/>
      </c>
      <c r="F117" s="5" t="n"/>
    </row>
    <row r="118">
      <c r="A118" s="10">
        <f>IF($E118="","",INDEX('Input Transaksi'!$A:$A,$E118))</f>
        <v/>
      </c>
      <c r="B118" s="5">
        <f>IF($E118="","",INDEX('Input Transaksi'!$D:$D,$E118))</f>
        <v/>
      </c>
      <c r="C118">
        <f>IF($E118="","",INDEX('Input Transaksi'!$E:$E,$E118))</f>
        <v/>
      </c>
      <c r="D118" s="5">
        <f>IF($E118="","",INDEX('Input Transaksi'!$F:$F,$E118))</f>
        <v/>
      </c>
      <c r="E118">
        <f>IFERROR(AGGREGATE(15,6,ROW('Input Transaksi'!$B$5:$B$5000)/('Input Transaksi'!$B$5:$B$5000="GEDE LONDRI"),ROWS($E$5:E118)),"")</f>
        <v/>
      </c>
      <c r="F118" s="5" t="n"/>
    </row>
    <row r="119">
      <c r="A119" s="10">
        <f>IF($E119="","",INDEX('Input Transaksi'!$A:$A,$E119))</f>
        <v/>
      </c>
      <c r="B119" s="5">
        <f>IF($E119="","",INDEX('Input Transaksi'!$D:$D,$E119))</f>
        <v/>
      </c>
      <c r="C119">
        <f>IF($E119="","",INDEX('Input Transaksi'!$E:$E,$E119))</f>
        <v/>
      </c>
      <c r="D119" s="5">
        <f>IF($E119="","",INDEX('Input Transaksi'!$F:$F,$E119))</f>
        <v/>
      </c>
      <c r="E119">
        <f>IFERROR(AGGREGATE(15,6,ROW('Input Transaksi'!$B$5:$B$5000)/('Input Transaksi'!$B$5:$B$5000="GEDE LONDRI"),ROWS($E$5:E119)),"")</f>
        <v/>
      </c>
      <c r="F119" s="5" t="n"/>
    </row>
    <row r="120">
      <c r="A120" s="10">
        <f>IF($E120="","",INDEX('Input Transaksi'!$A:$A,$E120))</f>
        <v/>
      </c>
      <c r="B120" s="5">
        <f>IF($E120="","",INDEX('Input Transaksi'!$D:$D,$E120))</f>
        <v/>
      </c>
      <c r="C120">
        <f>IF($E120="","",INDEX('Input Transaksi'!$E:$E,$E120))</f>
        <v/>
      </c>
      <c r="D120" s="5">
        <f>IF($E120="","",INDEX('Input Transaksi'!$F:$F,$E120))</f>
        <v/>
      </c>
      <c r="E120">
        <f>IFERROR(AGGREGATE(15,6,ROW('Input Transaksi'!$B$5:$B$5000)/('Input Transaksi'!$B$5:$B$5000="GEDE LONDRI"),ROWS($E$5:E120)),"")</f>
        <v/>
      </c>
      <c r="F120" s="5" t="n"/>
    </row>
    <row r="121">
      <c r="A121" s="10">
        <f>IF($E121="","",INDEX('Input Transaksi'!$A:$A,$E121))</f>
        <v/>
      </c>
      <c r="B121" s="5">
        <f>IF($E121="","",INDEX('Input Transaksi'!$D:$D,$E121))</f>
        <v/>
      </c>
      <c r="C121">
        <f>IF($E121="","",INDEX('Input Transaksi'!$E:$E,$E121))</f>
        <v/>
      </c>
      <c r="D121" s="5">
        <f>IF($E121="","",INDEX('Input Transaksi'!$F:$F,$E121))</f>
        <v/>
      </c>
      <c r="E121">
        <f>IFERROR(AGGREGATE(15,6,ROW('Input Transaksi'!$B$5:$B$5000)/('Input Transaksi'!$B$5:$B$5000="GEDE LONDRI"),ROWS($E$5:E121)),"")</f>
        <v/>
      </c>
      <c r="F121" s="5" t="n"/>
    </row>
    <row r="122">
      <c r="A122" s="10">
        <f>IF($E122="","",INDEX('Input Transaksi'!$A:$A,$E122))</f>
        <v/>
      </c>
      <c r="B122" s="5">
        <f>IF($E122="","",INDEX('Input Transaksi'!$D:$D,$E122))</f>
        <v/>
      </c>
      <c r="C122">
        <f>IF($E122="","",INDEX('Input Transaksi'!$E:$E,$E122))</f>
        <v/>
      </c>
      <c r="D122" s="5">
        <f>IF($E122="","",INDEX('Input Transaksi'!$F:$F,$E122))</f>
        <v/>
      </c>
      <c r="E122">
        <f>IFERROR(AGGREGATE(15,6,ROW('Input Transaksi'!$B$5:$B$5000)/('Input Transaksi'!$B$5:$B$5000="GEDE LONDRI"),ROWS($E$5:E122)),"")</f>
        <v/>
      </c>
      <c r="F122" s="5" t="n"/>
    </row>
    <row r="123">
      <c r="A123" s="10">
        <f>IF($E123="","",INDEX('Input Transaksi'!$A:$A,$E123))</f>
        <v/>
      </c>
      <c r="B123" s="5">
        <f>IF($E123="","",INDEX('Input Transaksi'!$D:$D,$E123))</f>
        <v/>
      </c>
      <c r="C123">
        <f>IF($E123="","",INDEX('Input Transaksi'!$E:$E,$E123))</f>
        <v/>
      </c>
      <c r="D123" s="5">
        <f>IF($E123="","",INDEX('Input Transaksi'!$F:$F,$E123))</f>
        <v/>
      </c>
      <c r="E123">
        <f>IFERROR(AGGREGATE(15,6,ROW('Input Transaksi'!$B$5:$B$5000)/('Input Transaksi'!$B$5:$B$5000="GEDE LONDRI"),ROWS($E$5:E123)),"")</f>
        <v/>
      </c>
      <c r="F123" s="5" t="n"/>
    </row>
    <row r="124">
      <c r="A124" s="10">
        <f>IF($E124="","",INDEX('Input Transaksi'!$A:$A,$E124))</f>
        <v/>
      </c>
      <c r="B124" s="5">
        <f>IF($E124="","",INDEX('Input Transaksi'!$D:$D,$E124))</f>
        <v/>
      </c>
      <c r="C124">
        <f>IF($E124="","",INDEX('Input Transaksi'!$E:$E,$E124))</f>
        <v/>
      </c>
      <c r="D124" s="5">
        <f>IF($E124="","",INDEX('Input Transaksi'!$F:$F,$E124))</f>
        <v/>
      </c>
      <c r="E124">
        <f>IFERROR(AGGREGATE(15,6,ROW('Input Transaksi'!$B$5:$B$5000)/('Input Transaksi'!$B$5:$B$5000="GEDE LONDRI"),ROWS($E$5:E124)),"")</f>
        <v/>
      </c>
      <c r="F124" s="5" t="n"/>
    </row>
    <row r="125">
      <c r="A125" s="10">
        <f>IF($E125="","",INDEX('Input Transaksi'!$A:$A,$E125))</f>
        <v/>
      </c>
      <c r="B125" s="5">
        <f>IF($E125="","",INDEX('Input Transaksi'!$D:$D,$E125))</f>
        <v/>
      </c>
      <c r="C125">
        <f>IF($E125="","",INDEX('Input Transaksi'!$E:$E,$E125))</f>
        <v/>
      </c>
      <c r="D125" s="5">
        <f>IF($E125="","",INDEX('Input Transaksi'!$F:$F,$E125))</f>
        <v/>
      </c>
      <c r="E125">
        <f>IFERROR(AGGREGATE(15,6,ROW('Input Transaksi'!$B$5:$B$5000)/('Input Transaksi'!$B$5:$B$5000="GEDE LONDRI"),ROWS($E$5:E125)),"")</f>
        <v/>
      </c>
      <c r="F125" s="5" t="n"/>
    </row>
    <row r="126">
      <c r="A126" s="10">
        <f>IF($E126="","",INDEX('Input Transaksi'!$A:$A,$E126))</f>
        <v/>
      </c>
      <c r="B126" s="5">
        <f>IF($E126="","",INDEX('Input Transaksi'!$D:$D,$E126))</f>
        <v/>
      </c>
      <c r="C126">
        <f>IF($E126="","",INDEX('Input Transaksi'!$E:$E,$E126))</f>
        <v/>
      </c>
      <c r="D126" s="5">
        <f>IF($E126="","",INDEX('Input Transaksi'!$F:$F,$E126))</f>
        <v/>
      </c>
      <c r="E126">
        <f>IFERROR(AGGREGATE(15,6,ROW('Input Transaksi'!$B$5:$B$5000)/('Input Transaksi'!$B$5:$B$5000="GEDE LONDRI"),ROWS($E$5:E126)),"")</f>
        <v/>
      </c>
      <c r="F126" s="5" t="n"/>
    </row>
    <row r="127">
      <c r="A127" s="10">
        <f>IF($E127="","",INDEX('Input Transaksi'!$A:$A,$E127))</f>
        <v/>
      </c>
      <c r="B127" s="5">
        <f>IF($E127="","",INDEX('Input Transaksi'!$D:$D,$E127))</f>
        <v/>
      </c>
      <c r="C127">
        <f>IF($E127="","",INDEX('Input Transaksi'!$E:$E,$E127))</f>
        <v/>
      </c>
      <c r="D127" s="5">
        <f>IF($E127="","",INDEX('Input Transaksi'!$F:$F,$E127))</f>
        <v/>
      </c>
      <c r="E127">
        <f>IFERROR(AGGREGATE(15,6,ROW('Input Transaksi'!$B$5:$B$5000)/('Input Transaksi'!$B$5:$B$5000="GEDE LONDRI"),ROWS($E$5:E127)),"")</f>
        <v/>
      </c>
      <c r="F127" s="5" t="n"/>
    </row>
    <row r="128">
      <c r="A128" s="10">
        <f>IF($E128="","",INDEX('Input Transaksi'!$A:$A,$E128))</f>
        <v/>
      </c>
      <c r="B128" s="5">
        <f>IF($E128="","",INDEX('Input Transaksi'!$D:$D,$E128))</f>
        <v/>
      </c>
      <c r="C128">
        <f>IF($E128="","",INDEX('Input Transaksi'!$E:$E,$E128))</f>
        <v/>
      </c>
      <c r="D128" s="5">
        <f>IF($E128="","",INDEX('Input Transaksi'!$F:$F,$E128))</f>
        <v/>
      </c>
      <c r="E128">
        <f>IFERROR(AGGREGATE(15,6,ROW('Input Transaksi'!$B$5:$B$5000)/('Input Transaksi'!$B$5:$B$5000="GEDE LONDRI"),ROWS($E$5:E128)),"")</f>
        <v/>
      </c>
      <c r="F128" s="5" t="n"/>
    </row>
    <row r="129">
      <c r="A129" s="10">
        <f>IF($E129="","",INDEX('Input Transaksi'!$A:$A,$E129))</f>
        <v/>
      </c>
      <c r="B129" s="5">
        <f>IF($E129="","",INDEX('Input Transaksi'!$D:$D,$E129))</f>
        <v/>
      </c>
      <c r="C129">
        <f>IF($E129="","",INDEX('Input Transaksi'!$E:$E,$E129))</f>
        <v/>
      </c>
      <c r="D129" s="5">
        <f>IF($E129="","",INDEX('Input Transaksi'!$F:$F,$E129))</f>
        <v/>
      </c>
      <c r="E129">
        <f>IFERROR(AGGREGATE(15,6,ROW('Input Transaksi'!$B$5:$B$5000)/('Input Transaksi'!$B$5:$B$5000="GEDE LONDRI"),ROWS($E$5:E129)),"")</f>
        <v/>
      </c>
      <c r="F129" s="5" t="n"/>
    </row>
    <row r="130">
      <c r="A130" s="10">
        <f>IF($E130="","",INDEX('Input Transaksi'!$A:$A,$E130))</f>
        <v/>
      </c>
      <c r="B130" s="5">
        <f>IF($E130="","",INDEX('Input Transaksi'!$D:$D,$E130))</f>
        <v/>
      </c>
      <c r="C130">
        <f>IF($E130="","",INDEX('Input Transaksi'!$E:$E,$E130))</f>
        <v/>
      </c>
      <c r="D130" s="5">
        <f>IF($E130="","",INDEX('Input Transaksi'!$F:$F,$E130))</f>
        <v/>
      </c>
      <c r="E130">
        <f>IFERROR(AGGREGATE(15,6,ROW('Input Transaksi'!$B$5:$B$5000)/('Input Transaksi'!$B$5:$B$5000="GEDE LONDRI"),ROWS($E$5:E130)),"")</f>
        <v/>
      </c>
      <c r="F130" s="5" t="n"/>
    </row>
    <row r="131">
      <c r="A131" s="10">
        <f>IF($E131="","",INDEX('Input Transaksi'!$A:$A,$E131))</f>
        <v/>
      </c>
      <c r="B131" s="5">
        <f>IF($E131="","",INDEX('Input Transaksi'!$D:$D,$E131))</f>
        <v/>
      </c>
      <c r="C131">
        <f>IF($E131="","",INDEX('Input Transaksi'!$E:$E,$E131))</f>
        <v/>
      </c>
      <c r="D131" s="5">
        <f>IF($E131="","",INDEX('Input Transaksi'!$F:$F,$E131))</f>
        <v/>
      </c>
      <c r="E131">
        <f>IFERROR(AGGREGATE(15,6,ROW('Input Transaksi'!$B$5:$B$5000)/('Input Transaksi'!$B$5:$B$5000="GEDE LONDRI"),ROWS($E$5:E131)),"")</f>
        <v/>
      </c>
      <c r="F131" s="5" t="n"/>
    </row>
    <row r="132">
      <c r="A132" s="10">
        <f>IF($E132="","",INDEX('Input Transaksi'!$A:$A,$E132))</f>
        <v/>
      </c>
      <c r="B132" s="5">
        <f>IF($E132="","",INDEX('Input Transaksi'!$D:$D,$E132))</f>
        <v/>
      </c>
      <c r="C132">
        <f>IF($E132="","",INDEX('Input Transaksi'!$E:$E,$E132))</f>
        <v/>
      </c>
      <c r="D132" s="5">
        <f>IF($E132="","",INDEX('Input Transaksi'!$F:$F,$E132))</f>
        <v/>
      </c>
      <c r="E132">
        <f>IFERROR(AGGREGATE(15,6,ROW('Input Transaksi'!$B$5:$B$5000)/('Input Transaksi'!$B$5:$B$5000="GEDE LONDRI"),ROWS($E$5:E132)),"")</f>
        <v/>
      </c>
      <c r="F132" s="5" t="n"/>
    </row>
    <row r="133">
      <c r="A133" s="10">
        <f>IF($E133="","",INDEX('Input Transaksi'!$A:$A,$E133))</f>
        <v/>
      </c>
      <c r="B133" s="5">
        <f>IF($E133="","",INDEX('Input Transaksi'!$D:$D,$E133))</f>
        <v/>
      </c>
      <c r="C133">
        <f>IF($E133="","",INDEX('Input Transaksi'!$E:$E,$E133))</f>
        <v/>
      </c>
      <c r="D133" s="5">
        <f>IF($E133="","",INDEX('Input Transaksi'!$F:$F,$E133))</f>
        <v/>
      </c>
      <c r="E133">
        <f>IFERROR(AGGREGATE(15,6,ROW('Input Transaksi'!$B$5:$B$5000)/('Input Transaksi'!$B$5:$B$5000="GEDE LONDRI"),ROWS($E$5:E133)),"")</f>
        <v/>
      </c>
      <c r="F133" s="5" t="n"/>
    </row>
    <row r="134">
      <c r="A134" s="10">
        <f>IF($E134="","",INDEX('Input Transaksi'!$A:$A,$E134))</f>
        <v/>
      </c>
      <c r="B134" s="5">
        <f>IF($E134="","",INDEX('Input Transaksi'!$D:$D,$E134))</f>
        <v/>
      </c>
      <c r="C134">
        <f>IF($E134="","",INDEX('Input Transaksi'!$E:$E,$E134))</f>
        <v/>
      </c>
      <c r="D134" s="5">
        <f>IF($E134="","",INDEX('Input Transaksi'!$F:$F,$E134))</f>
        <v/>
      </c>
      <c r="E134">
        <f>IFERROR(AGGREGATE(15,6,ROW('Input Transaksi'!$B$5:$B$5000)/('Input Transaksi'!$B$5:$B$5000="GEDE LONDRI"),ROWS($E$5:E134)),"")</f>
        <v/>
      </c>
      <c r="F134" s="5" t="n"/>
    </row>
    <row r="135">
      <c r="A135" s="10">
        <f>IF($E135="","",INDEX('Input Transaksi'!$A:$A,$E135))</f>
        <v/>
      </c>
      <c r="B135" s="5">
        <f>IF($E135="","",INDEX('Input Transaksi'!$D:$D,$E135))</f>
        <v/>
      </c>
      <c r="C135">
        <f>IF($E135="","",INDEX('Input Transaksi'!$E:$E,$E135))</f>
        <v/>
      </c>
      <c r="D135" s="5">
        <f>IF($E135="","",INDEX('Input Transaksi'!$F:$F,$E135))</f>
        <v/>
      </c>
      <c r="E135">
        <f>IFERROR(AGGREGATE(15,6,ROW('Input Transaksi'!$B$5:$B$5000)/('Input Transaksi'!$B$5:$B$5000="GEDE LONDRI"),ROWS($E$5:E135)),"")</f>
        <v/>
      </c>
      <c r="F135" s="5" t="n"/>
    </row>
    <row r="136">
      <c r="A136" s="10">
        <f>IF($E136="","",INDEX('Input Transaksi'!$A:$A,$E136))</f>
        <v/>
      </c>
      <c r="B136" s="5">
        <f>IF($E136="","",INDEX('Input Transaksi'!$D:$D,$E136))</f>
        <v/>
      </c>
      <c r="C136">
        <f>IF($E136="","",INDEX('Input Transaksi'!$E:$E,$E136))</f>
        <v/>
      </c>
      <c r="D136" s="5">
        <f>IF($E136="","",INDEX('Input Transaksi'!$F:$F,$E136))</f>
        <v/>
      </c>
      <c r="E136">
        <f>IFERROR(AGGREGATE(15,6,ROW('Input Transaksi'!$B$5:$B$5000)/('Input Transaksi'!$B$5:$B$5000="GEDE LONDRI"),ROWS($E$5:E136)),"")</f>
        <v/>
      </c>
      <c r="F136" s="5" t="n"/>
    </row>
    <row r="137">
      <c r="A137" s="10">
        <f>IF($E137="","",INDEX('Input Transaksi'!$A:$A,$E137))</f>
        <v/>
      </c>
      <c r="B137" s="5">
        <f>IF($E137="","",INDEX('Input Transaksi'!$D:$D,$E137))</f>
        <v/>
      </c>
      <c r="C137">
        <f>IF($E137="","",INDEX('Input Transaksi'!$E:$E,$E137))</f>
        <v/>
      </c>
      <c r="D137" s="5">
        <f>IF($E137="","",INDEX('Input Transaksi'!$F:$F,$E137))</f>
        <v/>
      </c>
      <c r="E137">
        <f>IFERROR(AGGREGATE(15,6,ROW('Input Transaksi'!$B$5:$B$5000)/('Input Transaksi'!$B$5:$B$5000="GEDE LONDRI"),ROWS($E$5:E137)),"")</f>
        <v/>
      </c>
      <c r="F137" s="5" t="n"/>
    </row>
    <row r="138">
      <c r="A138" s="10">
        <f>IF($E138="","",INDEX('Input Transaksi'!$A:$A,$E138))</f>
        <v/>
      </c>
      <c r="B138" s="5">
        <f>IF($E138="","",INDEX('Input Transaksi'!$D:$D,$E138))</f>
        <v/>
      </c>
      <c r="C138">
        <f>IF($E138="","",INDEX('Input Transaksi'!$E:$E,$E138))</f>
        <v/>
      </c>
      <c r="D138" s="5">
        <f>IF($E138="","",INDEX('Input Transaksi'!$F:$F,$E138))</f>
        <v/>
      </c>
      <c r="E138">
        <f>IFERROR(AGGREGATE(15,6,ROW('Input Transaksi'!$B$5:$B$5000)/('Input Transaksi'!$B$5:$B$5000="GEDE LONDRI"),ROWS($E$5:E138)),"")</f>
        <v/>
      </c>
      <c r="F138" s="5" t="n"/>
    </row>
    <row r="139">
      <c r="A139" s="10">
        <f>IF($E139="","",INDEX('Input Transaksi'!$A:$A,$E139))</f>
        <v/>
      </c>
      <c r="B139" s="5">
        <f>IF($E139="","",INDEX('Input Transaksi'!$D:$D,$E139))</f>
        <v/>
      </c>
      <c r="C139">
        <f>IF($E139="","",INDEX('Input Transaksi'!$E:$E,$E139))</f>
        <v/>
      </c>
      <c r="D139" s="5">
        <f>IF($E139="","",INDEX('Input Transaksi'!$F:$F,$E139))</f>
        <v/>
      </c>
      <c r="E139">
        <f>IFERROR(AGGREGATE(15,6,ROW('Input Transaksi'!$B$5:$B$5000)/('Input Transaksi'!$B$5:$B$5000="GEDE LONDRI"),ROWS($E$5:E139)),"")</f>
        <v/>
      </c>
      <c r="F139" s="5" t="n"/>
    </row>
    <row r="140">
      <c r="A140" s="10">
        <f>IF($E140="","",INDEX('Input Transaksi'!$A:$A,$E140))</f>
        <v/>
      </c>
      <c r="B140" s="5">
        <f>IF($E140="","",INDEX('Input Transaksi'!$D:$D,$E140))</f>
        <v/>
      </c>
      <c r="C140">
        <f>IF($E140="","",INDEX('Input Transaksi'!$E:$E,$E140))</f>
        <v/>
      </c>
      <c r="D140" s="5">
        <f>IF($E140="","",INDEX('Input Transaksi'!$F:$F,$E140))</f>
        <v/>
      </c>
      <c r="E140">
        <f>IFERROR(AGGREGATE(15,6,ROW('Input Transaksi'!$B$5:$B$5000)/('Input Transaksi'!$B$5:$B$5000="GEDE LONDRI"),ROWS($E$5:E140)),"")</f>
        <v/>
      </c>
      <c r="F140" s="5" t="n"/>
    </row>
    <row r="141">
      <c r="A141" s="10">
        <f>IF($E141="","",INDEX('Input Transaksi'!$A:$A,$E141))</f>
        <v/>
      </c>
      <c r="B141" s="5">
        <f>IF($E141="","",INDEX('Input Transaksi'!$D:$D,$E141))</f>
        <v/>
      </c>
      <c r="C141">
        <f>IF($E141="","",INDEX('Input Transaksi'!$E:$E,$E141))</f>
        <v/>
      </c>
      <c r="D141" s="5">
        <f>IF($E141="","",INDEX('Input Transaksi'!$F:$F,$E141))</f>
        <v/>
      </c>
      <c r="E141">
        <f>IFERROR(AGGREGATE(15,6,ROW('Input Transaksi'!$B$5:$B$5000)/('Input Transaksi'!$B$5:$B$5000="GEDE LONDRI"),ROWS($E$5:E141)),"")</f>
        <v/>
      </c>
      <c r="F141" s="5" t="n"/>
    </row>
    <row r="142">
      <c r="A142" s="10">
        <f>IF($E142="","",INDEX('Input Transaksi'!$A:$A,$E142))</f>
        <v/>
      </c>
      <c r="B142" s="5">
        <f>IF($E142="","",INDEX('Input Transaksi'!$D:$D,$E142))</f>
        <v/>
      </c>
      <c r="C142">
        <f>IF($E142="","",INDEX('Input Transaksi'!$E:$E,$E142))</f>
        <v/>
      </c>
      <c r="D142" s="5">
        <f>IF($E142="","",INDEX('Input Transaksi'!$F:$F,$E142))</f>
        <v/>
      </c>
      <c r="E142">
        <f>IFERROR(AGGREGATE(15,6,ROW('Input Transaksi'!$B$5:$B$5000)/('Input Transaksi'!$B$5:$B$5000="GEDE LONDRI"),ROWS($E$5:E142)),"")</f>
        <v/>
      </c>
      <c r="F142" s="5" t="n"/>
    </row>
    <row r="143">
      <c r="A143" s="10">
        <f>IF($E143="","",INDEX('Input Transaksi'!$A:$A,$E143))</f>
        <v/>
      </c>
      <c r="B143" s="5">
        <f>IF($E143="","",INDEX('Input Transaksi'!$D:$D,$E143))</f>
        <v/>
      </c>
      <c r="C143">
        <f>IF($E143="","",INDEX('Input Transaksi'!$E:$E,$E143))</f>
        <v/>
      </c>
      <c r="D143" s="5">
        <f>IF($E143="","",INDEX('Input Transaksi'!$F:$F,$E143))</f>
        <v/>
      </c>
      <c r="E143">
        <f>IFERROR(AGGREGATE(15,6,ROW('Input Transaksi'!$B$5:$B$5000)/('Input Transaksi'!$B$5:$B$5000="GEDE LONDRI"),ROWS($E$5:E143)),"")</f>
        <v/>
      </c>
      <c r="F143" s="5" t="n"/>
    </row>
    <row r="144">
      <c r="A144" s="10">
        <f>IF($E144="","",INDEX('Input Transaksi'!$A:$A,$E144))</f>
        <v/>
      </c>
      <c r="B144" s="5">
        <f>IF($E144="","",INDEX('Input Transaksi'!$D:$D,$E144))</f>
        <v/>
      </c>
      <c r="C144">
        <f>IF($E144="","",INDEX('Input Transaksi'!$E:$E,$E144))</f>
        <v/>
      </c>
      <c r="D144" s="5">
        <f>IF($E144="","",INDEX('Input Transaksi'!$F:$F,$E144))</f>
        <v/>
      </c>
      <c r="E144">
        <f>IFERROR(AGGREGATE(15,6,ROW('Input Transaksi'!$B$5:$B$5000)/('Input Transaksi'!$B$5:$B$5000="GEDE LONDRI"),ROWS($E$5:E144)),"")</f>
        <v/>
      </c>
      <c r="F144" s="5" t="n"/>
    </row>
    <row r="145">
      <c r="A145" s="10">
        <f>IF($E145="","",INDEX('Input Transaksi'!$A:$A,$E145))</f>
        <v/>
      </c>
      <c r="B145" s="5">
        <f>IF($E145="","",INDEX('Input Transaksi'!$D:$D,$E145))</f>
        <v/>
      </c>
      <c r="C145">
        <f>IF($E145="","",INDEX('Input Transaksi'!$E:$E,$E145))</f>
        <v/>
      </c>
      <c r="D145" s="5">
        <f>IF($E145="","",INDEX('Input Transaksi'!$F:$F,$E145))</f>
        <v/>
      </c>
      <c r="E145">
        <f>IFERROR(AGGREGATE(15,6,ROW('Input Transaksi'!$B$5:$B$5000)/('Input Transaksi'!$B$5:$B$5000="GEDE LONDRI"),ROWS($E$5:E145)),"")</f>
        <v/>
      </c>
      <c r="F145" s="5" t="n"/>
    </row>
    <row r="146">
      <c r="A146" s="10">
        <f>IF($E146="","",INDEX('Input Transaksi'!$A:$A,$E146))</f>
        <v/>
      </c>
      <c r="B146" s="5">
        <f>IF($E146="","",INDEX('Input Transaksi'!$D:$D,$E146))</f>
        <v/>
      </c>
      <c r="C146">
        <f>IF($E146="","",INDEX('Input Transaksi'!$E:$E,$E146))</f>
        <v/>
      </c>
      <c r="D146" s="5">
        <f>IF($E146="","",INDEX('Input Transaksi'!$F:$F,$E146))</f>
        <v/>
      </c>
      <c r="E146">
        <f>IFERROR(AGGREGATE(15,6,ROW('Input Transaksi'!$B$5:$B$5000)/('Input Transaksi'!$B$5:$B$5000="GEDE LONDRI"),ROWS($E$5:E146)),"")</f>
        <v/>
      </c>
      <c r="F146" s="5" t="n"/>
    </row>
    <row r="147">
      <c r="A147" s="10">
        <f>IF($E147="","",INDEX('Input Transaksi'!$A:$A,$E147))</f>
        <v/>
      </c>
      <c r="B147" s="5">
        <f>IF($E147="","",INDEX('Input Transaksi'!$D:$D,$E147))</f>
        <v/>
      </c>
      <c r="C147">
        <f>IF($E147="","",INDEX('Input Transaksi'!$E:$E,$E147))</f>
        <v/>
      </c>
      <c r="D147" s="5">
        <f>IF($E147="","",INDEX('Input Transaksi'!$F:$F,$E147))</f>
        <v/>
      </c>
      <c r="E147">
        <f>IFERROR(AGGREGATE(15,6,ROW('Input Transaksi'!$B$5:$B$5000)/('Input Transaksi'!$B$5:$B$5000="GEDE LONDRI"),ROWS($E$5:E147)),"")</f>
        <v/>
      </c>
      <c r="F147" s="5" t="n"/>
    </row>
    <row r="148">
      <c r="A148" s="10">
        <f>IF($E148="","",INDEX('Input Transaksi'!$A:$A,$E148))</f>
        <v/>
      </c>
      <c r="B148" s="5">
        <f>IF($E148="","",INDEX('Input Transaksi'!$D:$D,$E148))</f>
        <v/>
      </c>
      <c r="C148">
        <f>IF($E148="","",INDEX('Input Transaksi'!$E:$E,$E148))</f>
        <v/>
      </c>
      <c r="D148" s="5">
        <f>IF($E148="","",INDEX('Input Transaksi'!$F:$F,$E148))</f>
        <v/>
      </c>
      <c r="E148">
        <f>IFERROR(AGGREGATE(15,6,ROW('Input Transaksi'!$B$5:$B$5000)/('Input Transaksi'!$B$5:$B$5000="GEDE LONDRI"),ROWS($E$5:E148)),"")</f>
        <v/>
      </c>
      <c r="F148" s="5" t="n"/>
    </row>
    <row r="149">
      <c r="A149" s="10">
        <f>IF($E149="","",INDEX('Input Transaksi'!$A:$A,$E149))</f>
        <v/>
      </c>
      <c r="B149" s="5">
        <f>IF($E149="","",INDEX('Input Transaksi'!$D:$D,$E149))</f>
        <v/>
      </c>
      <c r="C149">
        <f>IF($E149="","",INDEX('Input Transaksi'!$E:$E,$E149))</f>
        <v/>
      </c>
      <c r="D149" s="5">
        <f>IF($E149="","",INDEX('Input Transaksi'!$F:$F,$E149))</f>
        <v/>
      </c>
      <c r="E149">
        <f>IFERROR(AGGREGATE(15,6,ROW('Input Transaksi'!$B$5:$B$5000)/('Input Transaksi'!$B$5:$B$5000="GEDE LONDRI"),ROWS($E$5:E149)),"")</f>
        <v/>
      </c>
      <c r="F149" s="5" t="n"/>
    </row>
    <row r="150">
      <c r="A150" s="10">
        <f>IF($E150="","",INDEX('Input Transaksi'!$A:$A,$E150))</f>
        <v/>
      </c>
      <c r="B150" s="5">
        <f>IF($E150="","",INDEX('Input Transaksi'!$D:$D,$E150))</f>
        <v/>
      </c>
      <c r="C150">
        <f>IF($E150="","",INDEX('Input Transaksi'!$E:$E,$E150))</f>
        <v/>
      </c>
      <c r="D150" s="5">
        <f>IF($E150="","",INDEX('Input Transaksi'!$F:$F,$E150))</f>
        <v/>
      </c>
      <c r="E150">
        <f>IFERROR(AGGREGATE(15,6,ROW('Input Transaksi'!$B$5:$B$5000)/('Input Transaksi'!$B$5:$B$5000="GEDE LONDRI"),ROWS($E$5:E150)),"")</f>
        <v/>
      </c>
      <c r="F150" s="5" t="n"/>
    </row>
    <row r="151">
      <c r="A151" s="10">
        <f>IF($E151="","",INDEX('Input Transaksi'!$A:$A,$E151))</f>
        <v/>
      </c>
      <c r="B151" s="5">
        <f>IF($E151="","",INDEX('Input Transaksi'!$D:$D,$E151))</f>
        <v/>
      </c>
      <c r="C151">
        <f>IF($E151="","",INDEX('Input Transaksi'!$E:$E,$E151))</f>
        <v/>
      </c>
      <c r="D151" s="5">
        <f>IF($E151="","",INDEX('Input Transaksi'!$F:$F,$E151))</f>
        <v/>
      </c>
      <c r="E151">
        <f>IFERROR(AGGREGATE(15,6,ROW('Input Transaksi'!$B$5:$B$5000)/('Input Transaksi'!$B$5:$B$5000="GEDE LONDRI"),ROWS($E$5:E151)),"")</f>
        <v/>
      </c>
      <c r="F151" s="5" t="n"/>
    </row>
    <row r="152">
      <c r="A152" s="10">
        <f>IF($E152="","",INDEX('Input Transaksi'!$A:$A,$E152))</f>
        <v/>
      </c>
      <c r="B152" s="5">
        <f>IF($E152="","",INDEX('Input Transaksi'!$D:$D,$E152))</f>
        <v/>
      </c>
      <c r="C152">
        <f>IF($E152="","",INDEX('Input Transaksi'!$E:$E,$E152))</f>
        <v/>
      </c>
      <c r="D152" s="5">
        <f>IF($E152="","",INDEX('Input Transaksi'!$F:$F,$E152))</f>
        <v/>
      </c>
      <c r="E152">
        <f>IFERROR(AGGREGATE(15,6,ROW('Input Transaksi'!$B$5:$B$5000)/('Input Transaksi'!$B$5:$B$5000="GEDE LONDRI"),ROWS($E$5:E152)),"")</f>
        <v/>
      </c>
      <c r="F152" s="5" t="n"/>
    </row>
    <row r="153">
      <c r="A153" s="10">
        <f>IF($E153="","",INDEX('Input Transaksi'!$A:$A,$E153))</f>
        <v/>
      </c>
      <c r="B153" s="5">
        <f>IF($E153="","",INDEX('Input Transaksi'!$D:$D,$E153))</f>
        <v/>
      </c>
      <c r="C153">
        <f>IF($E153="","",INDEX('Input Transaksi'!$E:$E,$E153))</f>
        <v/>
      </c>
      <c r="D153" s="5">
        <f>IF($E153="","",INDEX('Input Transaksi'!$F:$F,$E153))</f>
        <v/>
      </c>
      <c r="E153">
        <f>IFERROR(AGGREGATE(15,6,ROW('Input Transaksi'!$B$5:$B$5000)/('Input Transaksi'!$B$5:$B$5000="GEDE LONDRI"),ROWS($E$5:E153)),"")</f>
        <v/>
      </c>
      <c r="F153" s="5" t="n"/>
    </row>
    <row r="154">
      <c r="A154" s="10">
        <f>IF($E154="","",INDEX('Input Transaksi'!$A:$A,$E154))</f>
        <v/>
      </c>
      <c r="B154" s="5">
        <f>IF($E154="","",INDEX('Input Transaksi'!$D:$D,$E154))</f>
        <v/>
      </c>
      <c r="C154">
        <f>IF($E154="","",INDEX('Input Transaksi'!$E:$E,$E154))</f>
        <v/>
      </c>
      <c r="D154" s="5">
        <f>IF($E154="","",INDEX('Input Transaksi'!$F:$F,$E154))</f>
        <v/>
      </c>
      <c r="E154">
        <f>IFERROR(AGGREGATE(15,6,ROW('Input Transaksi'!$B$5:$B$5000)/('Input Transaksi'!$B$5:$B$5000="GEDE LONDRI"),ROWS($E$5:E154)),"")</f>
        <v/>
      </c>
      <c r="F154" s="5" t="n"/>
    </row>
    <row r="155">
      <c r="A155" s="10">
        <f>IF($E155="","",INDEX('Input Transaksi'!$A:$A,$E155))</f>
        <v/>
      </c>
      <c r="B155" s="5">
        <f>IF($E155="","",INDEX('Input Transaksi'!$D:$D,$E155))</f>
        <v/>
      </c>
      <c r="C155">
        <f>IF($E155="","",INDEX('Input Transaksi'!$E:$E,$E155))</f>
        <v/>
      </c>
      <c r="D155" s="5">
        <f>IF($E155="","",INDEX('Input Transaksi'!$F:$F,$E155))</f>
        <v/>
      </c>
      <c r="E155">
        <f>IFERROR(AGGREGATE(15,6,ROW('Input Transaksi'!$B$5:$B$5000)/('Input Transaksi'!$B$5:$B$5000="GEDE LONDRI"),ROWS($E$5:E155)),"")</f>
        <v/>
      </c>
      <c r="F155" s="5" t="n"/>
    </row>
    <row r="156">
      <c r="A156" s="10">
        <f>IF($E156="","",INDEX('Input Transaksi'!$A:$A,$E156))</f>
        <v/>
      </c>
      <c r="B156" s="5">
        <f>IF($E156="","",INDEX('Input Transaksi'!$D:$D,$E156))</f>
        <v/>
      </c>
      <c r="C156">
        <f>IF($E156="","",INDEX('Input Transaksi'!$E:$E,$E156))</f>
        <v/>
      </c>
      <c r="D156" s="5">
        <f>IF($E156="","",INDEX('Input Transaksi'!$F:$F,$E156))</f>
        <v/>
      </c>
      <c r="E156">
        <f>IFERROR(AGGREGATE(15,6,ROW('Input Transaksi'!$B$5:$B$5000)/('Input Transaksi'!$B$5:$B$5000="GEDE LONDRI"),ROWS($E$5:E156)),"")</f>
        <v/>
      </c>
      <c r="F156" s="5" t="n"/>
    </row>
    <row r="157">
      <c r="A157" s="10">
        <f>IF($E157="","",INDEX('Input Transaksi'!$A:$A,$E157))</f>
        <v/>
      </c>
      <c r="B157" s="5">
        <f>IF($E157="","",INDEX('Input Transaksi'!$D:$D,$E157))</f>
        <v/>
      </c>
      <c r="C157">
        <f>IF($E157="","",INDEX('Input Transaksi'!$E:$E,$E157))</f>
        <v/>
      </c>
      <c r="D157" s="5">
        <f>IF($E157="","",INDEX('Input Transaksi'!$F:$F,$E157))</f>
        <v/>
      </c>
      <c r="E157">
        <f>IFERROR(AGGREGATE(15,6,ROW('Input Transaksi'!$B$5:$B$5000)/('Input Transaksi'!$B$5:$B$5000="GEDE LONDRI"),ROWS($E$5:E157)),"")</f>
        <v/>
      </c>
      <c r="F157" s="5" t="n"/>
    </row>
    <row r="158">
      <c r="A158" s="10">
        <f>IF($E158="","",INDEX('Input Transaksi'!$A:$A,$E158))</f>
        <v/>
      </c>
      <c r="B158" s="5">
        <f>IF($E158="","",INDEX('Input Transaksi'!$D:$D,$E158))</f>
        <v/>
      </c>
      <c r="C158">
        <f>IF($E158="","",INDEX('Input Transaksi'!$E:$E,$E158))</f>
        <v/>
      </c>
      <c r="D158" s="5">
        <f>IF($E158="","",INDEX('Input Transaksi'!$F:$F,$E158))</f>
        <v/>
      </c>
      <c r="E158">
        <f>IFERROR(AGGREGATE(15,6,ROW('Input Transaksi'!$B$5:$B$5000)/('Input Transaksi'!$B$5:$B$5000="GEDE LONDRI"),ROWS($E$5:E158)),"")</f>
        <v/>
      </c>
      <c r="F158" s="5" t="n"/>
    </row>
    <row r="159">
      <c r="A159" s="10">
        <f>IF($E159="","",INDEX('Input Transaksi'!$A:$A,$E159))</f>
        <v/>
      </c>
      <c r="B159" s="5">
        <f>IF($E159="","",INDEX('Input Transaksi'!$D:$D,$E159))</f>
        <v/>
      </c>
      <c r="C159">
        <f>IF($E159="","",INDEX('Input Transaksi'!$E:$E,$E159))</f>
        <v/>
      </c>
      <c r="D159" s="5">
        <f>IF($E159="","",INDEX('Input Transaksi'!$F:$F,$E159))</f>
        <v/>
      </c>
      <c r="E159">
        <f>IFERROR(AGGREGATE(15,6,ROW('Input Transaksi'!$B$5:$B$5000)/('Input Transaksi'!$B$5:$B$5000="GEDE LONDRI"),ROWS($E$5:E159)),"")</f>
        <v/>
      </c>
      <c r="F159" s="5" t="n"/>
    </row>
    <row r="160">
      <c r="A160" s="10">
        <f>IF($E160="","",INDEX('Input Transaksi'!$A:$A,$E160))</f>
        <v/>
      </c>
      <c r="B160" s="5">
        <f>IF($E160="","",INDEX('Input Transaksi'!$D:$D,$E160))</f>
        <v/>
      </c>
      <c r="C160">
        <f>IF($E160="","",INDEX('Input Transaksi'!$E:$E,$E160))</f>
        <v/>
      </c>
      <c r="D160" s="5">
        <f>IF($E160="","",INDEX('Input Transaksi'!$F:$F,$E160))</f>
        <v/>
      </c>
      <c r="E160">
        <f>IFERROR(AGGREGATE(15,6,ROW('Input Transaksi'!$B$5:$B$5000)/('Input Transaksi'!$B$5:$B$5000="GEDE LONDRI"),ROWS($E$5:E160)),"")</f>
        <v/>
      </c>
      <c r="F160" s="5" t="n"/>
    </row>
    <row r="161">
      <c r="A161" s="10">
        <f>IF($E161="","",INDEX('Input Transaksi'!$A:$A,$E161))</f>
        <v/>
      </c>
      <c r="B161" s="5">
        <f>IF($E161="","",INDEX('Input Transaksi'!$D:$D,$E161))</f>
        <v/>
      </c>
      <c r="C161">
        <f>IF($E161="","",INDEX('Input Transaksi'!$E:$E,$E161))</f>
        <v/>
      </c>
      <c r="D161" s="5">
        <f>IF($E161="","",INDEX('Input Transaksi'!$F:$F,$E161))</f>
        <v/>
      </c>
      <c r="E161">
        <f>IFERROR(AGGREGATE(15,6,ROW('Input Transaksi'!$B$5:$B$5000)/('Input Transaksi'!$B$5:$B$5000="GEDE LONDRI"),ROWS($E$5:E161)),"")</f>
        <v/>
      </c>
      <c r="F161" s="5" t="n"/>
    </row>
    <row r="162">
      <c r="A162" s="10">
        <f>IF($E162="","",INDEX('Input Transaksi'!$A:$A,$E162))</f>
        <v/>
      </c>
      <c r="B162" s="5">
        <f>IF($E162="","",INDEX('Input Transaksi'!$D:$D,$E162))</f>
        <v/>
      </c>
      <c r="C162">
        <f>IF($E162="","",INDEX('Input Transaksi'!$E:$E,$E162))</f>
        <v/>
      </c>
      <c r="D162" s="5">
        <f>IF($E162="","",INDEX('Input Transaksi'!$F:$F,$E162))</f>
        <v/>
      </c>
      <c r="E162">
        <f>IFERROR(AGGREGATE(15,6,ROW('Input Transaksi'!$B$5:$B$5000)/('Input Transaksi'!$B$5:$B$5000="GEDE LONDRI"),ROWS($E$5:E162)),"")</f>
        <v/>
      </c>
      <c r="F162" s="5" t="n"/>
    </row>
    <row r="163">
      <c r="A163" s="10">
        <f>IF($E163="","",INDEX('Input Transaksi'!$A:$A,$E163))</f>
        <v/>
      </c>
      <c r="B163" s="5">
        <f>IF($E163="","",INDEX('Input Transaksi'!$D:$D,$E163))</f>
        <v/>
      </c>
      <c r="C163">
        <f>IF($E163="","",INDEX('Input Transaksi'!$E:$E,$E163))</f>
        <v/>
      </c>
      <c r="D163" s="5">
        <f>IF($E163="","",INDEX('Input Transaksi'!$F:$F,$E163))</f>
        <v/>
      </c>
      <c r="E163">
        <f>IFERROR(AGGREGATE(15,6,ROW('Input Transaksi'!$B$5:$B$5000)/('Input Transaksi'!$B$5:$B$5000="GEDE LONDRI"),ROWS($E$5:E163)),"")</f>
        <v/>
      </c>
      <c r="F163" s="5" t="n"/>
    </row>
    <row r="164">
      <c r="A164" s="10">
        <f>IF($E164="","",INDEX('Input Transaksi'!$A:$A,$E164))</f>
        <v/>
      </c>
      <c r="B164" s="5">
        <f>IF($E164="","",INDEX('Input Transaksi'!$D:$D,$E164))</f>
        <v/>
      </c>
      <c r="C164">
        <f>IF($E164="","",INDEX('Input Transaksi'!$E:$E,$E164))</f>
        <v/>
      </c>
      <c r="D164" s="5">
        <f>IF($E164="","",INDEX('Input Transaksi'!$F:$F,$E164))</f>
        <v/>
      </c>
      <c r="E164">
        <f>IFERROR(AGGREGATE(15,6,ROW('Input Transaksi'!$B$5:$B$5000)/('Input Transaksi'!$B$5:$B$5000="GEDE LONDRI"),ROWS($E$5:E164)),"")</f>
        <v/>
      </c>
      <c r="F164" s="5" t="n"/>
    </row>
    <row r="165">
      <c r="A165" s="10">
        <f>IF($E165="","",INDEX('Input Transaksi'!$A:$A,$E165))</f>
        <v/>
      </c>
      <c r="B165" s="5">
        <f>IF($E165="","",INDEX('Input Transaksi'!$D:$D,$E165))</f>
        <v/>
      </c>
      <c r="C165">
        <f>IF($E165="","",INDEX('Input Transaksi'!$E:$E,$E165))</f>
        <v/>
      </c>
      <c r="D165" s="5">
        <f>IF($E165="","",INDEX('Input Transaksi'!$F:$F,$E165))</f>
        <v/>
      </c>
      <c r="E165">
        <f>IFERROR(AGGREGATE(15,6,ROW('Input Transaksi'!$B$5:$B$5000)/('Input Transaksi'!$B$5:$B$5000="GEDE LONDRI"),ROWS($E$5:E165)),"")</f>
        <v/>
      </c>
      <c r="F165" s="5" t="n"/>
    </row>
    <row r="166">
      <c r="A166" s="10">
        <f>IF($E166="","",INDEX('Input Transaksi'!$A:$A,$E166))</f>
        <v/>
      </c>
      <c r="B166" s="5">
        <f>IF($E166="","",INDEX('Input Transaksi'!$D:$D,$E166))</f>
        <v/>
      </c>
      <c r="C166">
        <f>IF($E166="","",INDEX('Input Transaksi'!$E:$E,$E166))</f>
        <v/>
      </c>
      <c r="D166" s="5">
        <f>IF($E166="","",INDEX('Input Transaksi'!$F:$F,$E166))</f>
        <v/>
      </c>
      <c r="E166">
        <f>IFERROR(AGGREGATE(15,6,ROW('Input Transaksi'!$B$5:$B$5000)/('Input Transaksi'!$B$5:$B$5000="GEDE LONDRI"),ROWS($E$5:E166)),"")</f>
        <v/>
      </c>
      <c r="F166" s="5" t="n"/>
    </row>
    <row r="167">
      <c r="A167" s="10">
        <f>IF($E167="","",INDEX('Input Transaksi'!$A:$A,$E167))</f>
        <v/>
      </c>
      <c r="B167" s="5">
        <f>IF($E167="","",INDEX('Input Transaksi'!$D:$D,$E167))</f>
        <v/>
      </c>
      <c r="C167">
        <f>IF($E167="","",INDEX('Input Transaksi'!$E:$E,$E167))</f>
        <v/>
      </c>
      <c r="D167" s="5">
        <f>IF($E167="","",INDEX('Input Transaksi'!$F:$F,$E167))</f>
        <v/>
      </c>
      <c r="E167">
        <f>IFERROR(AGGREGATE(15,6,ROW('Input Transaksi'!$B$5:$B$5000)/('Input Transaksi'!$B$5:$B$5000="GEDE LONDRI"),ROWS($E$5:E167)),"")</f>
        <v/>
      </c>
      <c r="F167" s="5" t="n"/>
    </row>
    <row r="168">
      <c r="A168" s="10">
        <f>IF($E168="","",INDEX('Input Transaksi'!$A:$A,$E168))</f>
        <v/>
      </c>
      <c r="B168" s="5">
        <f>IF($E168="","",INDEX('Input Transaksi'!$D:$D,$E168))</f>
        <v/>
      </c>
      <c r="C168">
        <f>IF($E168="","",INDEX('Input Transaksi'!$E:$E,$E168))</f>
        <v/>
      </c>
      <c r="D168" s="5">
        <f>IF($E168="","",INDEX('Input Transaksi'!$F:$F,$E168))</f>
        <v/>
      </c>
      <c r="E168">
        <f>IFERROR(AGGREGATE(15,6,ROW('Input Transaksi'!$B$5:$B$5000)/('Input Transaksi'!$B$5:$B$5000="GEDE LONDRI"),ROWS($E$5:E168)),"")</f>
        <v/>
      </c>
      <c r="F168" s="5" t="n"/>
    </row>
    <row r="169">
      <c r="A169" s="10">
        <f>IF($E169="","",INDEX('Input Transaksi'!$A:$A,$E169))</f>
        <v/>
      </c>
      <c r="B169" s="5">
        <f>IF($E169="","",INDEX('Input Transaksi'!$D:$D,$E169))</f>
        <v/>
      </c>
      <c r="C169">
        <f>IF($E169="","",INDEX('Input Transaksi'!$E:$E,$E169))</f>
        <v/>
      </c>
      <c r="D169" s="5">
        <f>IF($E169="","",INDEX('Input Transaksi'!$F:$F,$E169))</f>
        <v/>
      </c>
      <c r="E169">
        <f>IFERROR(AGGREGATE(15,6,ROW('Input Transaksi'!$B$5:$B$5000)/('Input Transaksi'!$B$5:$B$5000="GEDE LONDRI"),ROWS($E$5:E169)),"")</f>
        <v/>
      </c>
      <c r="F169" s="5" t="n"/>
    </row>
    <row r="170">
      <c r="A170" s="10">
        <f>IF($E170="","",INDEX('Input Transaksi'!$A:$A,$E170))</f>
        <v/>
      </c>
      <c r="B170" s="5">
        <f>IF($E170="","",INDEX('Input Transaksi'!$D:$D,$E170))</f>
        <v/>
      </c>
      <c r="C170">
        <f>IF($E170="","",INDEX('Input Transaksi'!$E:$E,$E170))</f>
        <v/>
      </c>
      <c r="D170" s="5">
        <f>IF($E170="","",INDEX('Input Transaksi'!$F:$F,$E170))</f>
        <v/>
      </c>
      <c r="E170">
        <f>IFERROR(AGGREGATE(15,6,ROW('Input Transaksi'!$B$5:$B$5000)/('Input Transaksi'!$B$5:$B$5000="GEDE LONDRI"),ROWS($E$5:E170)),"")</f>
        <v/>
      </c>
      <c r="F170" s="5" t="n"/>
    </row>
    <row r="171">
      <c r="A171" s="10">
        <f>IF($E171="","",INDEX('Input Transaksi'!$A:$A,$E171))</f>
        <v/>
      </c>
      <c r="B171" s="5">
        <f>IF($E171="","",INDEX('Input Transaksi'!$D:$D,$E171))</f>
        <v/>
      </c>
      <c r="C171">
        <f>IF($E171="","",INDEX('Input Transaksi'!$E:$E,$E171))</f>
        <v/>
      </c>
      <c r="D171" s="5">
        <f>IF($E171="","",INDEX('Input Transaksi'!$F:$F,$E171))</f>
        <v/>
      </c>
      <c r="E171">
        <f>IFERROR(AGGREGATE(15,6,ROW('Input Transaksi'!$B$5:$B$5000)/('Input Transaksi'!$B$5:$B$5000="GEDE LONDRI"),ROWS($E$5:E171)),"")</f>
        <v/>
      </c>
      <c r="F171" s="5" t="n"/>
    </row>
    <row r="172">
      <c r="A172" s="10">
        <f>IF($E172="","",INDEX('Input Transaksi'!$A:$A,$E172))</f>
        <v/>
      </c>
      <c r="B172" s="5">
        <f>IF($E172="","",INDEX('Input Transaksi'!$D:$D,$E172))</f>
        <v/>
      </c>
      <c r="C172">
        <f>IF($E172="","",INDEX('Input Transaksi'!$E:$E,$E172))</f>
        <v/>
      </c>
      <c r="D172" s="5">
        <f>IF($E172="","",INDEX('Input Transaksi'!$F:$F,$E172))</f>
        <v/>
      </c>
      <c r="E172">
        <f>IFERROR(AGGREGATE(15,6,ROW('Input Transaksi'!$B$5:$B$5000)/('Input Transaksi'!$B$5:$B$5000="GEDE LONDRI"),ROWS($E$5:E172)),"")</f>
        <v/>
      </c>
      <c r="F172" s="5" t="n"/>
    </row>
    <row r="173">
      <c r="A173" s="10">
        <f>IF($E173="","",INDEX('Input Transaksi'!$A:$A,$E173))</f>
        <v/>
      </c>
      <c r="B173" s="5">
        <f>IF($E173="","",INDEX('Input Transaksi'!$D:$D,$E173))</f>
        <v/>
      </c>
      <c r="C173">
        <f>IF($E173="","",INDEX('Input Transaksi'!$E:$E,$E173))</f>
        <v/>
      </c>
      <c r="D173" s="5">
        <f>IF($E173="","",INDEX('Input Transaksi'!$F:$F,$E173))</f>
        <v/>
      </c>
      <c r="E173">
        <f>IFERROR(AGGREGATE(15,6,ROW('Input Transaksi'!$B$5:$B$5000)/('Input Transaksi'!$B$5:$B$5000="GEDE LONDRI"),ROWS($E$5:E173)),"")</f>
        <v/>
      </c>
      <c r="F173" s="5" t="n"/>
    </row>
    <row r="174">
      <c r="A174" s="10">
        <f>IF($E174="","",INDEX('Input Transaksi'!$A:$A,$E174))</f>
        <v/>
      </c>
      <c r="B174" s="5">
        <f>IF($E174="","",INDEX('Input Transaksi'!$D:$D,$E174))</f>
        <v/>
      </c>
      <c r="C174">
        <f>IF($E174="","",INDEX('Input Transaksi'!$E:$E,$E174))</f>
        <v/>
      </c>
      <c r="D174" s="5">
        <f>IF($E174="","",INDEX('Input Transaksi'!$F:$F,$E174))</f>
        <v/>
      </c>
      <c r="E174">
        <f>IFERROR(AGGREGATE(15,6,ROW('Input Transaksi'!$B$5:$B$5000)/('Input Transaksi'!$B$5:$B$5000="GEDE LONDRI"),ROWS($E$5:E174)),"")</f>
        <v/>
      </c>
      <c r="F174" s="5" t="n"/>
    </row>
    <row r="175">
      <c r="A175" s="10">
        <f>IF($E175="","",INDEX('Input Transaksi'!$A:$A,$E175))</f>
        <v/>
      </c>
      <c r="B175" s="5">
        <f>IF($E175="","",INDEX('Input Transaksi'!$D:$D,$E175))</f>
        <v/>
      </c>
      <c r="C175">
        <f>IF($E175="","",INDEX('Input Transaksi'!$E:$E,$E175))</f>
        <v/>
      </c>
      <c r="D175" s="5">
        <f>IF($E175="","",INDEX('Input Transaksi'!$F:$F,$E175))</f>
        <v/>
      </c>
      <c r="E175">
        <f>IFERROR(AGGREGATE(15,6,ROW('Input Transaksi'!$B$5:$B$5000)/('Input Transaksi'!$B$5:$B$5000="GEDE LONDRI"),ROWS($E$5:E175)),"")</f>
        <v/>
      </c>
      <c r="F175" s="5" t="n"/>
    </row>
    <row r="176">
      <c r="A176" s="10">
        <f>IF($E176="","",INDEX('Input Transaksi'!$A:$A,$E176))</f>
        <v/>
      </c>
      <c r="B176" s="5">
        <f>IF($E176="","",INDEX('Input Transaksi'!$D:$D,$E176))</f>
        <v/>
      </c>
      <c r="C176">
        <f>IF($E176="","",INDEX('Input Transaksi'!$E:$E,$E176))</f>
        <v/>
      </c>
      <c r="D176" s="5">
        <f>IF($E176="","",INDEX('Input Transaksi'!$F:$F,$E176))</f>
        <v/>
      </c>
      <c r="E176">
        <f>IFERROR(AGGREGATE(15,6,ROW('Input Transaksi'!$B$5:$B$5000)/('Input Transaksi'!$B$5:$B$5000="GEDE LONDRI"),ROWS($E$5:E176)),"")</f>
        <v/>
      </c>
      <c r="F176" s="5" t="n"/>
    </row>
    <row r="177">
      <c r="A177" s="10">
        <f>IF($E177="","",INDEX('Input Transaksi'!$A:$A,$E177))</f>
        <v/>
      </c>
      <c r="B177" s="5">
        <f>IF($E177="","",INDEX('Input Transaksi'!$D:$D,$E177))</f>
        <v/>
      </c>
      <c r="C177">
        <f>IF($E177="","",INDEX('Input Transaksi'!$E:$E,$E177))</f>
        <v/>
      </c>
      <c r="D177" s="5">
        <f>IF($E177="","",INDEX('Input Transaksi'!$F:$F,$E177))</f>
        <v/>
      </c>
      <c r="E177">
        <f>IFERROR(AGGREGATE(15,6,ROW('Input Transaksi'!$B$5:$B$5000)/('Input Transaksi'!$B$5:$B$5000="GEDE LONDRI"),ROWS($E$5:E177)),"")</f>
        <v/>
      </c>
      <c r="F177" s="5" t="n"/>
    </row>
    <row r="178">
      <c r="A178" s="10">
        <f>IF($E178="","",INDEX('Input Transaksi'!$A:$A,$E178))</f>
        <v/>
      </c>
      <c r="B178" s="5">
        <f>IF($E178="","",INDEX('Input Transaksi'!$D:$D,$E178))</f>
        <v/>
      </c>
      <c r="C178">
        <f>IF($E178="","",INDEX('Input Transaksi'!$E:$E,$E178))</f>
        <v/>
      </c>
      <c r="D178" s="5">
        <f>IF($E178="","",INDEX('Input Transaksi'!$F:$F,$E178))</f>
        <v/>
      </c>
      <c r="E178">
        <f>IFERROR(AGGREGATE(15,6,ROW('Input Transaksi'!$B$5:$B$5000)/('Input Transaksi'!$B$5:$B$5000="GEDE LONDRI"),ROWS($E$5:E178)),"")</f>
        <v/>
      </c>
      <c r="F178" s="5" t="n"/>
    </row>
    <row r="179">
      <c r="A179" s="10">
        <f>IF($E179="","",INDEX('Input Transaksi'!$A:$A,$E179))</f>
        <v/>
      </c>
      <c r="B179" s="5">
        <f>IF($E179="","",INDEX('Input Transaksi'!$D:$D,$E179))</f>
        <v/>
      </c>
      <c r="C179">
        <f>IF($E179="","",INDEX('Input Transaksi'!$E:$E,$E179))</f>
        <v/>
      </c>
      <c r="D179" s="5">
        <f>IF($E179="","",INDEX('Input Transaksi'!$F:$F,$E179))</f>
        <v/>
      </c>
      <c r="E179">
        <f>IFERROR(AGGREGATE(15,6,ROW('Input Transaksi'!$B$5:$B$5000)/('Input Transaksi'!$B$5:$B$5000="GEDE LONDRI"),ROWS($E$5:E179)),"")</f>
        <v/>
      </c>
      <c r="F179" s="5" t="n"/>
    </row>
    <row r="180">
      <c r="A180" s="10">
        <f>IF($E180="","",INDEX('Input Transaksi'!$A:$A,$E180))</f>
        <v/>
      </c>
      <c r="B180" s="5">
        <f>IF($E180="","",INDEX('Input Transaksi'!$D:$D,$E180))</f>
        <v/>
      </c>
      <c r="C180">
        <f>IF($E180="","",INDEX('Input Transaksi'!$E:$E,$E180))</f>
        <v/>
      </c>
      <c r="D180" s="5">
        <f>IF($E180="","",INDEX('Input Transaksi'!$F:$F,$E180))</f>
        <v/>
      </c>
      <c r="E180">
        <f>IFERROR(AGGREGATE(15,6,ROW('Input Transaksi'!$B$5:$B$5000)/('Input Transaksi'!$B$5:$B$5000="GEDE LONDRI"),ROWS($E$5:E180)),"")</f>
        <v/>
      </c>
      <c r="F180" s="5" t="n"/>
    </row>
    <row r="181">
      <c r="A181" s="10">
        <f>IF($E181="","",INDEX('Input Transaksi'!$A:$A,$E181))</f>
        <v/>
      </c>
      <c r="B181" s="5">
        <f>IF($E181="","",INDEX('Input Transaksi'!$D:$D,$E181))</f>
        <v/>
      </c>
      <c r="C181">
        <f>IF($E181="","",INDEX('Input Transaksi'!$E:$E,$E181))</f>
        <v/>
      </c>
      <c r="D181" s="5">
        <f>IF($E181="","",INDEX('Input Transaksi'!$F:$F,$E181))</f>
        <v/>
      </c>
      <c r="E181">
        <f>IFERROR(AGGREGATE(15,6,ROW('Input Transaksi'!$B$5:$B$5000)/('Input Transaksi'!$B$5:$B$5000="GEDE LONDRI"),ROWS($E$5:E181)),"")</f>
        <v/>
      </c>
      <c r="F181" s="5" t="n"/>
    </row>
    <row r="182">
      <c r="A182" s="10">
        <f>IF($E182="","",INDEX('Input Transaksi'!$A:$A,$E182))</f>
        <v/>
      </c>
      <c r="B182" s="5">
        <f>IF($E182="","",INDEX('Input Transaksi'!$D:$D,$E182))</f>
        <v/>
      </c>
      <c r="C182">
        <f>IF($E182="","",INDEX('Input Transaksi'!$E:$E,$E182))</f>
        <v/>
      </c>
      <c r="D182" s="5">
        <f>IF($E182="","",INDEX('Input Transaksi'!$F:$F,$E182))</f>
        <v/>
      </c>
      <c r="E182">
        <f>IFERROR(AGGREGATE(15,6,ROW('Input Transaksi'!$B$5:$B$5000)/('Input Transaksi'!$B$5:$B$5000="GEDE LONDRI"),ROWS($E$5:E182)),"")</f>
        <v/>
      </c>
      <c r="F182" s="5" t="n"/>
    </row>
    <row r="183">
      <c r="A183" s="10">
        <f>IF($E183="","",INDEX('Input Transaksi'!$A:$A,$E183))</f>
        <v/>
      </c>
      <c r="B183" s="5">
        <f>IF($E183="","",INDEX('Input Transaksi'!$D:$D,$E183))</f>
        <v/>
      </c>
      <c r="C183">
        <f>IF($E183="","",INDEX('Input Transaksi'!$E:$E,$E183))</f>
        <v/>
      </c>
      <c r="D183" s="5">
        <f>IF($E183="","",INDEX('Input Transaksi'!$F:$F,$E183))</f>
        <v/>
      </c>
      <c r="E183">
        <f>IFERROR(AGGREGATE(15,6,ROW('Input Transaksi'!$B$5:$B$5000)/('Input Transaksi'!$B$5:$B$5000="GEDE LONDRI"),ROWS($E$5:E183)),"")</f>
        <v/>
      </c>
      <c r="F183" s="5" t="n"/>
    </row>
    <row r="184">
      <c r="A184" s="10">
        <f>IF($E184="","",INDEX('Input Transaksi'!$A:$A,$E184))</f>
        <v/>
      </c>
      <c r="B184" s="5">
        <f>IF($E184="","",INDEX('Input Transaksi'!$D:$D,$E184))</f>
        <v/>
      </c>
      <c r="C184">
        <f>IF($E184="","",INDEX('Input Transaksi'!$E:$E,$E184))</f>
        <v/>
      </c>
      <c r="D184" s="5">
        <f>IF($E184="","",INDEX('Input Transaksi'!$F:$F,$E184))</f>
        <v/>
      </c>
      <c r="E184">
        <f>IFERROR(AGGREGATE(15,6,ROW('Input Transaksi'!$B$5:$B$5000)/('Input Transaksi'!$B$5:$B$5000="GEDE LONDRI"),ROWS($E$5:E184)),"")</f>
        <v/>
      </c>
      <c r="F184" s="5" t="n"/>
    </row>
    <row r="185">
      <c r="A185" s="10">
        <f>IF($E185="","",INDEX('Input Transaksi'!$A:$A,$E185))</f>
        <v/>
      </c>
      <c r="B185" s="5">
        <f>IF($E185="","",INDEX('Input Transaksi'!$D:$D,$E185))</f>
        <v/>
      </c>
      <c r="C185">
        <f>IF($E185="","",INDEX('Input Transaksi'!$E:$E,$E185))</f>
        <v/>
      </c>
      <c r="D185" s="5">
        <f>IF($E185="","",INDEX('Input Transaksi'!$F:$F,$E185))</f>
        <v/>
      </c>
      <c r="E185">
        <f>IFERROR(AGGREGATE(15,6,ROW('Input Transaksi'!$B$5:$B$5000)/('Input Transaksi'!$B$5:$B$5000="GEDE LONDRI"),ROWS($E$5:E185)),"")</f>
        <v/>
      </c>
      <c r="F185" s="5" t="n"/>
    </row>
    <row r="186">
      <c r="A186" s="10">
        <f>IF($E186="","",INDEX('Input Transaksi'!$A:$A,$E186))</f>
        <v/>
      </c>
      <c r="B186" s="5">
        <f>IF($E186="","",INDEX('Input Transaksi'!$D:$D,$E186))</f>
        <v/>
      </c>
      <c r="C186">
        <f>IF($E186="","",INDEX('Input Transaksi'!$E:$E,$E186))</f>
        <v/>
      </c>
      <c r="D186" s="5">
        <f>IF($E186="","",INDEX('Input Transaksi'!$F:$F,$E186))</f>
        <v/>
      </c>
      <c r="E186">
        <f>IFERROR(AGGREGATE(15,6,ROW('Input Transaksi'!$B$5:$B$5000)/('Input Transaksi'!$B$5:$B$5000="GEDE LONDRI"),ROWS($E$5:E186)),"")</f>
        <v/>
      </c>
      <c r="F186" s="5" t="n"/>
    </row>
    <row r="187">
      <c r="A187" s="10">
        <f>IF($E187="","",INDEX('Input Transaksi'!$A:$A,$E187))</f>
        <v/>
      </c>
      <c r="B187" s="5">
        <f>IF($E187="","",INDEX('Input Transaksi'!$D:$D,$E187))</f>
        <v/>
      </c>
      <c r="C187">
        <f>IF($E187="","",INDEX('Input Transaksi'!$E:$E,$E187))</f>
        <v/>
      </c>
      <c r="D187" s="5">
        <f>IF($E187="","",INDEX('Input Transaksi'!$F:$F,$E187))</f>
        <v/>
      </c>
      <c r="E187">
        <f>IFERROR(AGGREGATE(15,6,ROW('Input Transaksi'!$B$5:$B$5000)/('Input Transaksi'!$B$5:$B$5000="GEDE LONDRI"),ROWS($E$5:E187)),"")</f>
        <v/>
      </c>
      <c r="F187" s="5" t="n"/>
    </row>
    <row r="188">
      <c r="A188" s="10">
        <f>IF($E188="","",INDEX('Input Transaksi'!$A:$A,$E188))</f>
        <v/>
      </c>
      <c r="B188" s="5">
        <f>IF($E188="","",INDEX('Input Transaksi'!$D:$D,$E188))</f>
        <v/>
      </c>
      <c r="C188">
        <f>IF($E188="","",INDEX('Input Transaksi'!$E:$E,$E188))</f>
        <v/>
      </c>
      <c r="D188" s="5">
        <f>IF($E188="","",INDEX('Input Transaksi'!$F:$F,$E188))</f>
        <v/>
      </c>
      <c r="E188">
        <f>IFERROR(AGGREGATE(15,6,ROW('Input Transaksi'!$B$5:$B$5000)/('Input Transaksi'!$B$5:$B$5000="GEDE LONDRI"),ROWS($E$5:E188)),"")</f>
        <v/>
      </c>
      <c r="F188" s="5" t="n"/>
    </row>
    <row r="189">
      <c r="A189" s="10">
        <f>IF($E189="","",INDEX('Input Transaksi'!$A:$A,$E189))</f>
        <v/>
      </c>
      <c r="B189" s="5">
        <f>IF($E189="","",INDEX('Input Transaksi'!$D:$D,$E189))</f>
        <v/>
      </c>
      <c r="C189">
        <f>IF($E189="","",INDEX('Input Transaksi'!$E:$E,$E189))</f>
        <v/>
      </c>
      <c r="D189" s="5">
        <f>IF($E189="","",INDEX('Input Transaksi'!$F:$F,$E189))</f>
        <v/>
      </c>
      <c r="E189">
        <f>IFERROR(AGGREGATE(15,6,ROW('Input Transaksi'!$B$5:$B$5000)/('Input Transaksi'!$B$5:$B$5000="GEDE LONDRI"),ROWS($E$5:E189)),"")</f>
        <v/>
      </c>
      <c r="F189" s="5" t="n"/>
    </row>
    <row r="190">
      <c r="A190" s="10">
        <f>IF($E190="","",INDEX('Input Transaksi'!$A:$A,$E190))</f>
        <v/>
      </c>
      <c r="B190" s="5">
        <f>IF($E190="","",INDEX('Input Transaksi'!$D:$D,$E190))</f>
        <v/>
      </c>
      <c r="C190">
        <f>IF($E190="","",INDEX('Input Transaksi'!$E:$E,$E190))</f>
        <v/>
      </c>
      <c r="D190" s="5">
        <f>IF($E190="","",INDEX('Input Transaksi'!$F:$F,$E190))</f>
        <v/>
      </c>
      <c r="E190">
        <f>IFERROR(AGGREGATE(15,6,ROW('Input Transaksi'!$B$5:$B$5000)/('Input Transaksi'!$B$5:$B$5000="GEDE LONDRI"),ROWS($E$5:E190)),"")</f>
        <v/>
      </c>
      <c r="F190" s="5" t="n"/>
    </row>
    <row r="191">
      <c r="A191" s="10">
        <f>IF($E191="","",INDEX('Input Transaksi'!$A:$A,$E191))</f>
        <v/>
      </c>
      <c r="B191" s="5">
        <f>IF($E191="","",INDEX('Input Transaksi'!$D:$D,$E191))</f>
        <v/>
      </c>
      <c r="C191">
        <f>IF($E191="","",INDEX('Input Transaksi'!$E:$E,$E191))</f>
        <v/>
      </c>
      <c r="D191" s="5">
        <f>IF($E191="","",INDEX('Input Transaksi'!$F:$F,$E191))</f>
        <v/>
      </c>
      <c r="E191">
        <f>IFERROR(AGGREGATE(15,6,ROW('Input Transaksi'!$B$5:$B$5000)/('Input Transaksi'!$B$5:$B$5000="GEDE LONDRI"),ROWS($E$5:E191)),"")</f>
        <v/>
      </c>
      <c r="F191" s="5" t="n"/>
    </row>
    <row r="192">
      <c r="A192" s="10">
        <f>IF($E192="","",INDEX('Input Transaksi'!$A:$A,$E192))</f>
        <v/>
      </c>
      <c r="B192" s="5">
        <f>IF($E192="","",INDEX('Input Transaksi'!$D:$D,$E192))</f>
        <v/>
      </c>
      <c r="C192">
        <f>IF($E192="","",INDEX('Input Transaksi'!$E:$E,$E192))</f>
        <v/>
      </c>
      <c r="D192" s="5">
        <f>IF($E192="","",INDEX('Input Transaksi'!$F:$F,$E192))</f>
        <v/>
      </c>
      <c r="E192">
        <f>IFERROR(AGGREGATE(15,6,ROW('Input Transaksi'!$B$5:$B$5000)/('Input Transaksi'!$B$5:$B$5000="GEDE LONDRI"),ROWS($E$5:E192)),"")</f>
        <v/>
      </c>
      <c r="F192" s="5" t="n"/>
    </row>
    <row r="193">
      <c r="A193" s="10">
        <f>IF($E193="","",INDEX('Input Transaksi'!$A:$A,$E193))</f>
        <v/>
      </c>
      <c r="B193" s="5">
        <f>IF($E193="","",INDEX('Input Transaksi'!$D:$D,$E193))</f>
        <v/>
      </c>
      <c r="C193">
        <f>IF($E193="","",INDEX('Input Transaksi'!$E:$E,$E193))</f>
        <v/>
      </c>
      <c r="D193" s="5">
        <f>IF($E193="","",INDEX('Input Transaksi'!$F:$F,$E193))</f>
        <v/>
      </c>
      <c r="E193">
        <f>IFERROR(AGGREGATE(15,6,ROW('Input Transaksi'!$B$5:$B$5000)/('Input Transaksi'!$B$5:$B$5000="GEDE LONDRI"),ROWS($E$5:E193)),"")</f>
        <v/>
      </c>
      <c r="F193" s="5" t="n"/>
    </row>
    <row r="194">
      <c r="A194" s="10">
        <f>IF($E194="","",INDEX('Input Transaksi'!$A:$A,$E194))</f>
        <v/>
      </c>
      <c r="B194" s="5">
        <f>IF($E194="","",INDEX('Input Transaksi'!$D:$D,$E194))</f>
        <v/>
      </c>
      <c r="C194">
        <f>IF($E194="","",INDEX('Input Transaksi'!$E:$E,$E194))</f>
        <v/>
      </c>
      <c r="D194" s="5">
        <f>IF($E194="","",INDEX('Input Transaksi'!$F:$F,$E194))</f>
        <v/>
      </c>
      <c r="E194">
        <f>IFERROR(AGGREGATE(15,6,ROW('Input Transaksi'!$B$5:$B$5000)/('Input Transaksi'!$B$5:$B$5000="GEDE LONDRI"),ROWS($E$5:E194)),"")</f>
        <v/>
      </c>
      <c r="F194" s="5" t="n"/>
    </row>
    <row r="195">
      <c r="A195" s="10">
        <f>IF($E195="","",INDEX('Input Transaksi'!$A:$A,$E195))</f>
        <v/>
      </c>
      <c r="B195" s="5">
        <f>IF($E195="","",INDEX('Input Transaksi'!$D:$D,$E195))</f>
        <v/>
      </c>
      <c r="C195">
        <f>IF($E195="","",INDEX('Input Transaksi'!$E:$E,$E195))</f>
        <v/>
      </c>
      <c r="D195" s="5">
        <f>IF($E195="","",INDEX('Input Transaksi'!$F:$F,$E195))</f>
        <v/>
      </c>
      <c r="E195">
        <f>IFERROR(AGGREGATE(15,6,ROW('Input Transaksi'!$B$5:$B$5000)/('Input Transaksi'!$B$5:$B$5000="GEDE LONDRI"),ROWS($E$5:E195)),"")</f>
        <v/>
      </c>
      <c r="F195" s="5" t="n"/>
    </row>
    <row r="196">
      <c r="A196" s="10">
        <f>IF($E196="","",INDEX('Input Transaksi'!$A:$A,$E196))</f>
        <v/>
      </c>
      <c r="B196" s="5">
        <f>IF($E196="","",INDEX('Input Transaksi'!$D:$D,$E196))</f>
        <v/>
      </c>
      <c r="C196">
        <f>IF($E196="","",INDEX('Input Transaksi'!$E:$E,$E196))</f>
        <v/>
      </c>
      <c r="D196" s="5">
        <f>IF($E196="","",INDEX('Input Transaksi'!$F:$F,$E196))</f>
        <v/>
      </c>
      <c r="E196">
        <f>IFERROR(AGGREGATE(15,6,ROW('Input Transaksi'!$B$5:$B$5000)/('Input Transaksi'!$B$5:$B$5000="GEDE LONDRI"),ROWS($E$5:E196)),"")</f>
        <v/>
      </c>
      <c r="F196" s="5" t="n"/>
    </row>
    <row r="197">
      <c r="A197" s="10">
        <f>IF($E197="","",INDEX('Input Transaksi'!$A:$A,$E197))</f>
        <v/>
      </c>
      <c r="B197" s="5">
        <f>IF($E197="","",INDEX('Input Transaksi'!$D:$D,$E197))</f>
        <v/>
      </c>
      <c r="C197">
        <f>IF($E197="","",INDEX('Input Transaksi'!$E:$E,$E197))</f>
        <v/>
      </c>
      <c r="D197" s="5">
        <f>IF($E197="","",INDEX('Input Transaksi'!$F:$F,$E197))</f>
        <v/>
      </c>
      <c r="E197">
        <f>IFERROR(AGGREGATE(15,6,ROW('Input Transaksi'!$B$5:$B$5000)/('Input Transaksi'!$B$5:$B$5000="GEDE LONDRI"),ROWS($E$5:E197)),"")</f>
        <v/>
      </c>
      <c r="F197" s="5" t="n"/>
    </row>
    <row r="198">
      <c r="A198" s="10">
        <f>IF($E198="","",INDEX('Input Transaksi'!$A:$A,$E198))</f>
        <v/>
      </c>
      <c r="B198" s="5">
        <f>IF($E198="","",INDEX('Input Transaksi'!$D:$D,$E198))</f>
        <v/>
      </c>
      <c r="C198">
        <f>IF($E198="","",INDEX('Input Transaksi'!$E:$E,$E198))</f>
        <v/>
      </c>
      <c r="D198" s="5">
        <f>IF($E198="","",INDEX('Input Transaksi'!$F:$F,$E198))</f>
        <v/>
      </c>
      <c r="E198">
        <f>IFERROR(AGGREGATE(15,6,ROW('Input Transaksi'!$B$5:$B$5000)/('Input Transaksi'!$B$5:$B$5000="GEDE LONDRI"),ROWS($E$5:E198)),"")</f>
        <v/>
      </c>
      <c r="F198" s="5" t="n"/>
    </row>
    <row r="199">
      <c r="A199" s="10">
        <f>IF($E199="","",INDEX('Input Transaksi'!$A:$A,$E199))</f>
        <v/>
      </c>
      <c r="B199" s="5">
        <f>IF($E199="","",INDEX('Input Transaksi'!$D:$D,$E199))</f>
        <v/>
      </c>
      <c r="C199">
        <f>IF($E199="","",INDEX('Input Transaksi'!$E:$E,$E199))</f>
        <v/>
      </c>
      <c r="D199" s="5">
        <f>IF($E199="","",INDEX('Input Transaksi'!$F:$F,$E199))</f>
        <v/>
      </c>
      <c r="E199">
        <f>IFERROR(AGGREGATE(15,6,ROW('Input Transaksi'!$B$5:$B$5000)/('Input Transaksi'!$B$5:$B$5000="GEDE LONDRI"),ROWS($E$5:E199)),"")</f>
        <v/>
      </c>
      <c r="F199" s="5" t="n"/>
    </row>
    <row r="200">
      <c r="A200" s="10">
        <f>IF($E200="","",INDEX('Input Transaksi'!$A:$A,$E200))</f>
        <v/>
      </c>
      <c r="B200" s="5">
        <f>IF($E200="","",INDEX('Input Transaksi'!$D:$D,$E200))</f>
        <v/>
      </c>
      <c r="C200">
        <f>IF($E200="","",INDEX('Input Transaksi'!$E:$E,$E200))</f>
        <v/>
      </c>
      <c r="D200" s="5">
        <f>IF($E200="","",INDEX('Input Transaksi'!$F:$F,$E200))</f>
        <v/>
      </c>
      <c r="E200">
        <f>IFERROR(AGGREGATE(15,6,ROW('Input Transaksi'!$B$5:$B$5000)/('Input Transaksi'!$B$5:$B$5000="GEDE LONDRI"),ROWS($E$5:E200)),"")</f>
        <v/>
      </c>
      <c r="F200" s="5" t="n"/>
    </row>
    <row r="201">
      <c r="A201" s="10">
        <f>IF($E201="","",INDEX('Input Transaksi'!$A:$A,$E201))</f>
        <v/>
      </c>
      <c r="B201" s="5">
        <f>IF($E201="","",INDEX('Input Transaksi'!$D:$D,$E201))</f>
        <v/>
      </c>
      <c r="C201">
        <f>IF($E201="","",INDEX('Input Transaksi'!$E:$E,$E201))</f>
        <v/>
      </c>
      <c r="D201" s="5">
        <f>IF($E201="","",INDEX('Input Transaksi'!$F:$F,$E201))</f>
        <v/>
      </c>
      <c r="E201">
        <f>IFERROR(AGGREGATE(15,6,ROW('Input Transaksi'!$B$5:$B$5000)/('Input Transaksi'!$B$5:$B$5000="GEDE LONDRI"),ROWS($E$5:E201)),"")</f>
        <v/>
      </c>
      <c r="F201" s="5" t="n"/>
    </row>
    <row r="202">
      <c r="A202" s="10">
        <f>IF($E202="","",INDEX('Input Transaksi'!$A:$A,$E202))</f>
        <v/>
      </c>
      <c r="B202" s="5">
        <f>IF($E202="","",INDEX('Input Transaksi'!$D:$D,$E202))</f>
        <v/>
      </c>
      <c r="C202">
        <f>IF($E202="","",INDEX('Input Transaksi'!$E:$E,$E202))</f>
        <v/>
      </c>
      <c r="D202" s="5">
        <f>IF($E202="","",INDEX('Input Transaksi'!$F:$F,$E202))</f>
        <v/>
      </c>
      <c r="E202">
        <f>IFERROR(AGGREGATE(15,6,ROW('Input Transaksi'!$B$5:$B$5000)/('Input Transaksi'!$B$5:$B$5000="GEDE LONDRI"),ROWS($E$5:E202)),"")</f>
        <v/>
      </c>
      <c r="F202" s="5" t="n"/>
    </row>
    <row r="203">
      <c r="A203" s="10">
        <f>IF($E203="","",INDEX('Input Transaksi'!$A:$A,$E203))</f>
        <v/>
      </c>
      <c r="B203" s="5">
        <f>IF($E203="","",INDEX('Input Transaksi'!$D:$D,$E203))</f>
        <v/>
      </c>
      <c r="C203">
        <f>IF($E203="","",INDEX('Input Transaksi'!$E:$E,$E203))</f>
        <v/>
      </c>
      <c r="D203" s="5">
        <f>IF($E203="","",INDEX('Input Transaksi'!$F:$F,$E203))</f>
        <v/>
      </c>
      <c r="E203">
        <f>IFERROR(AGGREGATE(15,6,ROW('Input Transaksi'!$B$5:$B$5000)/('Input Transaksi'!$B$5:$B$5000="GEDE LONDRI"),ROWS($E$5:E203)),"")</f>
        <v/>
      </c>
      <c r="F203" s="5" t="n"/>
    </row>
    <row r="204">
      <c r="A204" s="10">
        <f>IF($E204="","",INDEX('Input Transaksi'!$A:$A,$E204))</f>
        <v/>
      </c>
      <c r="B204" s="5">
        <f>IF($E204="","",INDEX('Input Transaksi'!$D:$D,$E204))</f>
        <v/>
      </c>
      <c r="C204">
        <f>IF($E204="","",INDEX('Input Transaksi'!$E:$E,$E204))</f>
        <v/>
      </c>
      <c r="D204" s="5">
        <f>IF($E204="","",INDEX('Input Transaksi'!$F:$F,$E204))</f>
        <v/>
      </c>
      <c r="E204">
        <f>IFERROR(AGGREGATE(15,6,ROW('Input Transaksi'!$B$5:$B$5000)/('Input Transaksi'!$B$5:$B$5000="GEDE LONDRI"),ROWS($E$5:E204)),"")</f>
        <v/>
      </c>
      <c r="F204" s="5" t="n"/>
    </row>
    <row r="205">
      <c r="A205" s="10">
        <f>IF($E205="","",INDEX('Input Transaksi'!$A:$A,$E205))</f>
        <v/>
      </c>
      <c r="B205" s="5">
        <f>IF($E205="","",INDEX('Input Transaksi'!$D:$D,$E205))</f>
        <v/>
      </c>
      <c r="C205">
        <f>IF($E205="","",INDEX('Input Transaksi'!$E:$E,$E205))</f>
        <v/>
      </c>
      <c r="D205" s="5">
        <f>IF($E205="","",INDEX('Input Transaksi'!$F:$F,$E205))</f>
        <v/>
      </c>
      <c r="E205">
        <f>IFERROR(AGGREGATE(15,6,ROW('Input Transaksi'!$B$5:$B$5000)/('Input Transaksi'!$B$5:$B$5000="GEDE LONDRI"),ROWS($E$5:E205)),"")</f>
        <v/>
      </c>
      <c r="F205" s="5" t="n"/>
    </row>
    <row r="206">
      <c r="A206" s="10">
        <f>IF($E206="","",INDEX('Input Transaksi'!$A:$A,$E206))</f>
        <v/>
      </c>
      <c r="B206" s="5">
        <f>IF($E206="","",INDEX('Input Transaksi'!$D:$D,$E206))</f>
        <v/>
      </c>
      <c r="C206">
        <f>IF($E206="","",INDEX('Input Transaksi'!$E:$E,$E206))</f>
        <v/>
      </c>
      <c r="D206" s="5">
        <f>IF($E206="","",INDEX('Input Transaksi'!$F:$F,$E206))</f>
        <v/>
      </c>
      <c r="E206">
        <f>IFERROR(AGGREGATE(15,6,ROW('Input Transaksi'!$B$5:$B$5000)/('Input Transaksi'!$B$5:$B$5000="GEDE LONDRI"),ROWS($E$5:E206)),"")</f>
        <v/>
      </c>
      <c r="F206" s="5" t="n"/>
    </row>
    <row r="207">
      <c r="A207" s="10">
        <f>IF($E207="","",INDEX('Input Transaksi'!$A:$A,$E207))</f>
        <v/>
      </c>
      <c r="B207" s="5">
        <f>IF($E207="","",INDEX('Input Transaksi'!$D:$D,$E207))</f>
        <v/>
      </c>
      <c r="C207">
        <f>IF($E207="","",INDEX('Input Transaksi'!$E:$E,$E207))</f>
        <v/>
      </c>
      <c r="D207" s="5">
        <f>IF($E207="","",INDEX('Input Transaksi'!$F:$F,$E207))</f>
        <v/>
      </c>
      <c r="E207">
        <f>IFERROR(AGGREGATE(15,6,ROW('Input Transaksi'!$B$5:$B$5000)/('Input Transaksi'!$B$5:$B$5000="GEDE LONDRI"),ROWS($E$5:E207)),"")</f>
        <v/>
      </c>
      <c r="F207" s="5" t="n"/>
    </row>
    <row r="208">
      <c r="A208" s="10">
        <f>IF($E208="","",INDEX('Input Transaksi'!$A:$A,$E208))</f>
        <v/>
      </c>
      <c r="B208" s="5">
        <f>IF($E208="","",INDEX('Input Transaksi'!$D:$D,$E208))</f>
        <v/>
      </c>
      <c r="C208">
        <f>IF($E208="","",INDEX('Input Transaksi'!$E:$E,$E208))</f>
        <v/>
      </c>
      <c r="D208" s="5">
        <f>IF($E208="","",INDEX('Input Transaksi'!$F:$F,$E208))</f>
        <v/>
      </c>
      <c r="E208">
        <f>IFERROR(AGGREGATE(15,6,ROW('Input Transaksi'!$B$5:$B$5000)/('Input Transaksi'!$B$5:$B$5000="GEDE LONDRI"),ROWS($E$5:E208)),"")</f>
        <v/>
      </c>
      <c r="F208" s="5" t="n"/>
    </row>
    <row r="209">
      <c r="A209" s="10">
        <f>IF($E209="","",INDEX('Input Transaksi'!$A:$A,$E209))</f>
        <v/>
      </c>
      <c r="B209" s="5">
        <f>IF($E209="","",INDEX('Input Transaksi'!$D:$D,$E209))</f>
        <v/>
      </c>
      <c r="C209">
        <f>IF($E209="","",INDEX('Input Transaksi'!$E:$E,$E209))</f>
        <v/>
      </c>
      <c r="D209" s="5">
        <f>IF($E209="","",INDEX('Input Transaksi'!$F:$F,$E209))</f>
        <v/>
      </c>
      <c r="E209">
        <f>IFERROR(AGGREGATE(15,6,ROW('Input Transaksi'!$B$5:$B$5000)/('Input Transaksi'!$B$5:$B$5000="GEDE LONDRI"),ROWS($E$5:E209)),"")</f>
        <v/>
      </c>
      <c r="F209" s="5" t="n"/>
    </row>
    <row r="210">
      <c r="A210" s="10">
        <f>IF($E210="","",INDEX('Input Transaksi'!$A:$A,$E210))</f>
        <v/>
      </c>
      <c r="B210" s="5">
        <f>IF($E210="","",INDEX('Input Transaksi'!$D:$D,$E210))</f>
        <v/>
      </c>
      <c r="C210">
        <f>IF($E210="","",INDEX('Input Transaksi'!$E:$E,$E210))</f>
        <v/>
      </c>
      <c r="D210" s="5">
        <f>IF($E210="","",INDEX('Input Transaksi'!$F:$F,$E210))</f>
        <v/>
      </c>
      <c r="E210">
        <f>IFERROR(AGGREGATE(15,6,ROW('Input Transaksi'!$B$5:$B$5000)/('Input Transaksi'!$B$5:$B$5000="GEDE LONDRI"),ROWS($E$5:E210)),"")</f>
        <v/>
      </c>
      <c r="F210" s="5" t="n"/>
    </row>
    <row r="211">
      <c r="A211" s="10">
        <f>IF($E211="","",INDEX('Input Transaksi'!$A:$A,$E211))</f>
        <v/>
      </c>
      <c r="B211" s="5">
        <f>IF($E211="","",INDEX('Input Transaksi'!$D:$D,$E211))</f>
        <v/>
      </c>
      <c r="C211">
        <f>IF($E211="","",INDEX('Input Transaksi'!$E:$E,$E211))</f>
        <v/>
      </c>
      <c r="D211" s="5">
        <f>IF($E211="","",INDEX('Input Transaksi'!$F:$F,$E211))</f>
        <v/>
      </c>
      <c r="E211">
        <f>IFERROR(AGGREGATE(15,6,ROW('Input Transaksi'!$B$5:$B$5000)/('Input Transaksi'!$B$5:$B$5000="GEDE LONDRI"),ROWS($E$5:E211)),"")</f>
        <v/>
      </c>
      <c r="F211" s="5" t="n"/>
    </row>
    <row r="212">
      <c r="A212" s="10">
        <f>IF($E212="","",INDEX('Input Transaksi'!$A:$A,$E212))</f>
        <v/>
      </c>
      <c r="B212" s="5">
        <f>IF($E212="","",INDEX('Input Transaksi'!$D:$D,$E212))</f>
        <v/>
      </c>
      <c r="C212">
        <f>IF($E212="","",INDEX('Input Transaksi'!$E:$E,$E212))</f>
        <v/>
      </c>
      <c r="D212" s="5">
        <f>IF($E212="","",INDEX('Input Transaksi'!$F:$F,$E212))</f>
        <v/>
      </c>
      <c r="E212">
        <f>IFERROR(AGGREGATE(15,6,ROW('Input Transaksi'!$B$5:$B$5000)/('Input Transaksi'!$B$5:$B$5000="GEDE LONDRI"),ROWS($E$5:E212)),"")</f>
        <v/>
      </c>
      <c r="F212" s="5" t="n"/>
    </row>
    <row r="213">
      <c r="A213" s="10">
        <f>IF($E213="","",INDEX('Input Transaksi'!$A:$A,$E213))</f>
        <v/>
      </c>
      <c r="B213" s="5">
        <f>IF($E213="","",INDEX('Input Transaksi'!$D:$D,$E213))</f>
        <v/>
      </c>
      <c r="C213">
        <f>IF($E213="","",INDEX('Input Transaksi'!$E:$E,$E213))</f>
        <v/>
      </c>
      <c r="D213" s="5">
        <f>IF($E213="","",INDEX('Input Transaksi'!$F:$F,$E213))</f>
        <v/>
      </c>
      <c r="E213">
        <f>IFERROR(AGGREGATE(15,6,ROW('Input Transaksi'!$B$5:$B$5000)/('Input Transaksi'!$B$5:$B$5000="GEDE LONDRI"),ROWS($E$5:E213)),"")</f>
        <v/>
      </c>
      <c r="F213" s="5" t="n"/>
    </row>
    <row r="214">
      <c r="A214" s="10">
        <f>IF($E214="","",INDEX('Input Transaksi'!$A:$A,$E214))</f>
        <v/>
      </c>
      <c r="B214" s="5">
        <f>IF($E214="","",INDEX('Input Transaksi'!$D:$D,$E214))</f>
        <v/>
      </c>
      <c r="C214">
        <f>IF($E214="","",INDEX('Input Transaksi'!$E:$E,$E214))</f>
        <v/>
      </c>
      <c r="D214" s="5">
        <f>IF($E214="","",INDEX('Input Transaksi'!$F:$F,$E214))</f>
        <v/>
      </c>
      <c r="E214">
        <f>IFERROR(AGGREGATE(15,6,ROW('Input Transaksi'!$B$5:$B$5000)/('Input Transaksi'!$B$5:$B$5000="GEDE LONDRI"),ROWS($E$5:E214)),"")</f>
        <v/>
      </c>
      <c r="F214" s="5" t="n"/>
    </row>
    <row r="215">
      <c r="A215" s="10">
        <f>IF($E215="","",INDEX('Input Transaksi'!$A:$A,$E215))</f>
        <v/>
      </c>
      <c r="B215" s="5">
        <f>IF($E215="","",INDEX('Input Transaksi'!$D:$D,$E215))</f>
        <v/>
      </c>
      <c r="C215">
        <f>IF($E215="","",INDEX('Input Transaksi'!$E:$E,$E215))</f>
        <v/>
      </c>
      <c r="D215" s="5">
        <f>IF($E215="","",INDEX('Input Transaksi'!$F:$F,$E215))</f>
        <v/>
      </c>
      <c r="E215">
        <f>IFERROR(AGGREGATE(15,6,ROW('Input Transaksi'!$B$5:$B$5000)/('Input Transaksi'!$B$5:$B$5000="GEDE LONDRI"),ROWS($E$5:E215)),"")</f>
        <v/>
      </c>
      <c r="F215" s="5" t="n"/>
    </row>
    <row r="216">
      <c r="A216" s="10">
        <f>IF($E216="","",INDEX('Input Transaksi'!$A:$A,$E216))</f>
        <v/>
      </c>
      <c r="B216" s="5">
        <f>IF($E216="","",INDEX('Input Transaksi'!$D:$D,$E216))</f>
        <v/>
      </c>
      <c r="C216">
        <f>IF($E216="","",INDEX('Input Transaksi'!$E:$E,$E216))</f>
        <v/>
      </c>
      <c r="D216" s="5">
        <f>IF($E216="","",INDEX('Input Transaksi'!$F:$F,$E216))</f>
        <v/>
      </c>
      <c r="E216">
        <f>IFERROR(AGGREGATE(15,6,ROW('Input Transaksi'!$B$5:$B$5000)/('Input Transaksi'!$B$5:$B$5000="GEDE LONDRI"),ROWS($E$5:E216)),"")</f>
        <v/>
      </c>
      <c r="F216" s="5" t="n"/>
    </row>
    <row r="217">
      <c r="A217" s="10">
        <f>IF($E217="","",INDEX('Input Transaksi'!$A:$A,$E217))</f>
        <v/>
      </c>
      <c r="B217" s="5">
        <f>IF($E217="","",INDEX('Input Transaksi'!$D:$D,$E217))</f>
        <v/>
      </c>
      <c r="C217">
        <f>IF($E217="","",INDEX('Input Transaksi'!$E:$E,$E217))</f>
        <v/>
      </c>
      <c r="D217" s="5">
        <f>IF($E217="","",INDEX('Input Transaksi'!$F:$F,$E217))</f>
        <v/>
      </c>
      <c r="E217">
        <f>IFERROR(AGGREGATE(15,6,ROW('Input Transaksi'!$B$5:$B$5000)/('Input Transaksi'!$B$5:$B$5000="GEDE LONDRI"),ROWS($E$5:E217)),"")</f>
        <v/>
      </c>
      <c r="F217" s="5" t="n"/>
    </row>
    <row r="218">
      <c r="A218" s="10">
        <f>IF($E218="","",INDEX('Input Transaksi'!$A:$A,$E218))</f>
        <v/>
      </c>
      <c r="B218" s="5">
        <f>IF($E218="","",INDEX('Input Transaksi'!$D:$D,$E218))</f>
        <v/>
      </c>
      <c r="C218">
        <f>IF($E218="","",INDEX('Input Transaksi'!$E:$E,$E218))</f>
        <v/>
      </c>
      <c r="D218" s="5">
        <f>IF($E218="","",INDEX('Input Transaksi'!$F:$F,$E218))</f>
        <v/>
      </c>
      <c r="E218">
        <f>IFERROR(AGGREGATE(15,6,ROW('Input Transaksi'!$B$5:$B$5000)/('Input Transaksi'!$B$5:$B$5000="GEDE LONDRI"),ROWS($E$5:E218)),"")</f>
        <v/>
      </c>
      <c r="F218" s="5" t="n"/>
    </row>
    <row r="219">
      <c r="A219" s="10">
        <f>IF($E219="","",INDEX('Input Transaksi'!$A:$A,$E219))</f>
        <v/>
      </c>
      <c r="B219" s="5">
        <f>IF($E219="","",INDEX('Input Transaksi'!$D:$D,$E219))</f>
        <v/>
      </c>
      <c r="C219">
        <f>IF($E219="","",INDEX('Input Transaksi'!$E:$E,$E219))</f>
        <v/>
      </c>
      <c r="D219" s="5">
        <f>IF($E219="","",INDEX('Input Transaksi'!$F:$F,$E219))</f>
        <v/>
      </c>
      <c r="E219">
        <f>IFERROR(AGGREGATE(15,6,ROW('Input Transaksi'!$B$5:$B$5000)/('Input Transaksi'!$B$5:$B$5000="GEDE LONDRI"),ROWS($E$5:E219)),"")</f>
        <v/>
      </c>
      <c r="F219" s="5" t="n"/>
    </row>
    <row r="220">
      <c r="A220" s="10">
        <f>IF($E220="","",INDEX('Input Transaksi'!$A:$A,$E220))</f>
        <v/>
      </c>
      <c r="B220" s="5">
        <f>IF($E220="","",INDEX('Input Transaksi'!$D:$D,$E220))</f>
        <v/>
      </c>
      <c r="C220">
        <f>IF($E220="","",INDEX('Input Transaksi'!$E:$E,$E220))</f>
        <v/>
      </c>
      <c r="D220" s="5">
        <f>IF($E220="","",INDEX('Input Transaksi'!$F:$F,$E220))</f>
        <v/>
      </c>
      <c r="E220">
        <f>IFERROR(AGGREGATE(15,6,ROW('Input Transaksi'!$B$5:$B$5000)/('Input Transaksi'!$B$5:$B$5000="GEDE LONDRI"),ROWS($E$5:E220)),"")</f>
        <v/>
      </c>
      <c r="F220" s="5" t="n"/>
    </row>
    <row r="221">
      <c r="A221" s="10">
        <f>IF($E221="","",INDEX('Input Transaksi'!$A:$A,$E221))</f>
        <v/>
      </c>
      <c r="B221" s="5">
        <f>IF($E221="","",INDEX('Input Transaksi'!$D:$D,$E221))</f>
        <v/>
      </c>
      <c r="C221">
        <f>IF($E221="","",INDEX('Input Transaksi'!$E:$E,$E221))</f>
        <v/>
      </c>
      <c r="D221" s="5">
        <f>IF($E221="","",INDEX('Input Transaksi'!$F:$F,$E221))</f>
        <v/>
      </c>
      <c r="E221">
        <f>IFERROR(AGGREGATE(15,6,ROW('Input Transaksi'!$B$5:$B$5000)/('Input Transaksi'!$B$5:$B$5000="GEDE LONDRI"),ROWS($E$5:E221)),"")</f>
        <v/>
      </c>
      <c r="F221" s="5" t="n"/>
    </row>
    <row r="222">
      <c r="A222" s="10">
        <f>IF($E222="","",INDEX('Input Transaksi'!$A:$A,$E222))</f>
        <v/>
      </c>
      <c r="B222" s="5">
        <f>IF($E222="","",INDEX('Input Transaksi'!$D:$D,$E222))</f>
        <v/>
      </c>
      <c r="C222">
        <f>IF($E222="","",INDEX('Input Transaksi'!$E:$E,$E222))</f>
        <v/>
      </c>
      <c r="D222" s="5">
        <f>IF($E222="","",INDEX('Input Transaksi'!$F:$F,$E222))</f>
        <v/>
      </c>
      <c r="E222">
        <f>IFERROR(AGGREGATE(15,6,ROW('Input Transaksi'!$B$5:$B$5000)/('Input Transaksi'!$B$5:$B$5000="GEDE LONDRI"),ROWS($E$5:E222)),"")</f>
        <v/>
      </c>
      <c r="F222" s="5" t="n"/>
    </row>
    <row r="223">
      <c r="A223" s="10">
        <f>IF($E223="","",INDEX('Input Transaksi'!$A:$A,$E223))</f>
        <v/>
      </c>
      <c r="B223" s="5">
        <f>IF($E223="","",INDEX('Input Transaksi'!$D:$D,$E223))</f>
        <v/>
      </c>
      <c r="C223">
        <f>IF($E223="","",INDEX('Input Transaksi'!$E:$E,$E223))</f>
        <v/>
      </c>
      <c r="D223" s="5">
        <f>IF($E223="","",INDEX('Input Transaksi'!$F:$F,$E223))</f>
        <v/>
      </c>
      <c r="E223">
        <f>IFERROR(AGGREGATE(15,6,ROW('Input Transaksi'!$B$5:$B$5000)/('Input Transaksi'!$B$5:$B$5000="GEDE LONDRI"),ROWS($E$5:E223)),"")</f>
        <v/>
      </c>
      <c r="F223" s="5" t="n"/>
    </row>
    <row r="224">
      <c r="A224" s="10">
        <f>IF($E224="","",INDEX('Input Transaksi'!$A:$A,$E224))</f>
        <v/>
      </c>
      <c r="B224" s="5">
        <f>IF($E224="","",INDEX('Input Transaksi'!$D:$D,$E224))</f>
        <v/>
      </c>
      <c r="C224">
        <f>IF($E224="","",INDEX('Input Transaksi'!$E:$E,$E224))</f>
        <v/>
      </c>
      <c r="D224" s="5">
        <f>IF($E224="","",INDEX('Input Transaksi'!$F:$F,$E224))</f>
        <v/>
      </c>
      <c r="E224">
        <f>IFERROR(AGGREGATE(15,6,ROW('Input Transaksi'!$B$5:$B$5000)/('Input Transaksi'!$B$5:$B$5000="GEDE LONDRI"),ROWS($E$5:E224)),"")</f>
        <v/>
      </c>
      <c r="F224" s="5" t="n"/>
    </row>
    <row r="225">
      <c r="A225" s="10">
        <f>IF($E225="","",INDEX('Input Transaksi'!$A:$A,$E225))</f>
        <v/>
      </c>
      <c r="B225" s="5">
        <f>IF($E225="","",INDEX('Input Transaksi'!$D:$D,$E225))</f>
        <v/>
      </c>
      <c r="C225">
        <f>IF($E225="","",INDEX('Input Transaksi'!$E:$E,$E225))</f>
        <v/>
      </c>
      <c r="D225" s="5">
        <f>IF($E225="","",INDEX('Input Transaksi'!$F:$F,$E225))</f>
        <v/>
      </c>
      <c r="E225">
        <f>IFERROR(AGGREGATE(15,6,ROW('Input Transaksi'!$B$5:$B$5000)/('Input Transaksi'!$B$5:$B$5000="GEDE LONDRI"),ROWS($E$5:E225)),"")</f>
        <v/>
      </c>
      <c r="F225" s="5" t="n"/>
    </row>
    <row r="226">
      <c r="A226" s="10">
        <f>IF($E226="","",INDEX('Input Transaksi'!$A:$A,$E226))</f>
        <v/>
      </c>
      <c r="B226" s="5">
        <f>IF($E226="","",INDEX('Input Transaksi'!$D:$D,$E226))</f>
        <v/>
      </c>
      <c r="C226">
        <f>IF($E226="","",INDEX('Input Transaksi'!$E:$E,$E226))</f>
        <v/>
      </c>
      <c r="D226" s="5">
        <f>IF($E226="","",INDEX('Input Transaksi'!$F:$F,$E226))</f>
        <v/>
      </c>
      <c r="E226">
        <f>IFERROR(AGGREGATE(15,6,ROW('Input Transaksi'!$B$5:$B$5000)/('Input Transaksi'!$B$5:$B$5000="GEDE LONDRI"),ROWS($E$5:E226)),"")</f>
        <v/>
      </c>
      <c r="F226" s="5" t="n"/>
    </row>
    <row r="227">
      <c r="A227" s="10">
        <f>IF($E227="","",INDEX('Input Transaksi'!$A:$A,$E227))</f>
        <v/>
      </c>
      <c r="B227" s="5">
        <f>IF($E227="","",INDEX('Input Transaksi'!$D:$D,$E227))</f>
        <v/>
      </c>
      <c r="C227">
        <f>IF($E227="","",INDEX('Input Transaksi'!$E:$E,$E227))</f>
        <v/>
      </c>
      <c r="D227" s="5">
        <f>IF($E227="","",INDEX('Input Transaksi'!$F:$F,$E227))</f>
        <v/>
      </c>
      <c r="E227">
        <f>IFERROR(AGGREGATE(15,6,ROW('Input Transaksi'!$B$5:$B$5000)/('Input Transaksi'!$B$5:$B$5000="GEDE LONDRI"),ROWS($E$5:E227)),"")</f>
        <v/>
      </c>
      <c r="F227" s="5" t="n"/>
    </row>
    <row r="228">
      <c r="A228" s="10">
        <f>IF($E228="","",INDEX('Input Transaksi'!$A:$A,$E228))</f>
        <v/>
      </c>
      <c r="B228" s="5">
        <f>IF($E228="","",INDEX('Input Transaksi'!$D:$D,$E228))</f>
        <v/>
      </c>
      <c r="C228">
        <f>IF($E228="","",INDEX('Input Transaksi'!$E:$E,$E228))</f>
        <v/>
      </c>
      <c r="D228" s="5">
        <f>IF($E228="","",INDEX('Input Transaksi'!$F:$F,$E228))</f>
        <v/>
      </c>
      <c r="E228">
        <f>IFERROR(AGGREGATE(15,6,ROW('Input Transaksi'!$B$5:$B$5000)/('Input Transaksi'!$B$5:$B$5000="GEDE LONDRI"),ROWS($E$5:E228)),"")</f>
        <v/>
      </c>
      <c r="F228" s="5" t="n"/>
    </row>
    <row r="229">
      <c r="A229" s="10">
        <f>IF($E229="","",INDEX('Input Transaksi'!$A:$A,$E229))</f>
        <v/>
      </c>
      <c r="B229" s="5">
        <f>IF($E229="","",INDEX('Input Transaksi'!$D:$D,$E229))</f>
        <v/>
      </c>
      <c r="C229">
        <f>IF($E229="","",INDEX('Input Transaksi'!$E:$E,$E229))</f>
        <v/>
      </c>
      <c r="D229" s="5">
        <f>IF($E229="","",INDEX('Input Transaksi'!$F:$F,$E229))</f>
        <v/>
      </c>
      <c r="E229">
        <f>IFERROR(AGGREGATE(15,6,ROW('Input Transaksi'!$B$5:$B$5000)/('Input Transaksi'!$B$5:$B$5000="GEDE LONDRI"),ROWS($E$5:E229)),"")</f>
        <v/>
      </c>
      <c r="F229" s="5" t="n"/>
    </row>
    <row r="230">
      <c r="A230" s="10">
        <f>IF($E230="","",INDEX('Input Transaksi'!$A:$A,$E230))</f>
        <v/>
      </c>
      <c r="B230" s="5">
        <f>IF($E230="","",INDEX('Input Transaksi'!$D:$D,$E230))</f>
        <v/>
      </c>
      <c r="C230">
        <f>IF($E230="","",INDEX('Input Transaksi'!$E:$E,$E230))</f>
        <v/>
      </c>
      <c r="D230" s="5">
        <f>IF($E230="","",INDEX('Input Transaksi'!$F:$F,$E230))</f>
        <v/>
      </c>
      <c r="E230">
        <f>IFERROR(AGGREGATE(15,6,ROW('Input Transaksi'!$B$5:$B$5000)/('Input Transaksi'!$B$5:$B$5000="GEDE LONDRI"),ROWS($E$5:E230)),"")</f>
        <v/>
      </c>
      <c r="F230" s="5" t="n"/>
    </row>
    <row r="231">
      <c r="A231" s="10">
        <f>IF($E231="","",INDEX('Input Transaksi'!$A:$A,$E231))</f>
        <v/>
      </c>
      <c r="B231" s="5">
        <f>IF($E231="","",INDEX('Input Transaksi'!$D:$D,$E231))</f>
        <v/>
      </c>
      <c r="C231">
        <f>IF($E231="","",INDEX('Input Transaksi'!$E:$E,$E231))</f>
        <v/>
      </c>
      <c r="D231" s="5">
        <f>IF($E231="","",INDEX('Input Transaksi'!$F:$F,$E231))</f>
        <v/>
      </c>
      <c r="E231">
        <f>IFERROR(AGGREGATE(15,6,ROW('Input Transaksi'!$B$5:$B$5000)/('Input Transaksi'!$B$5:$B$5000="GEDE LONDRI"),ROWS($E$5:E231)),"")</f>
        <v/>
      </c>
      <c r="F231" s="5" t="n"/>
    </row>
    <row r="232">
      <c r="A232" s="10">
        <f>IF($E232="","",INDEX('Input Transaksi'!$A:$A,$E232))</f>
        <v/>
      </c>
      <c r="B232" s="5">
        <f>IF($E232="","",INDEX('Input Transaksi'!$D:$D,$E232))</f>
        <v/>
      </c>
      <c r="C232">
        <f>IF($E232="","",INDEX('Input Transaksi'!$E:$E,$E232))</f>
        <v/>
      </c>
      <c r="D232" s="5">
        <f>IF($E232="","",INDEX('Input Transaksi'!$F:$F,$E232))</f>
        <v/>
      </c>
      <c r="E232">
        <f>IFERROR(AGGREGATE(15,6,ROW('Input Transaksi'!$B$5:$B$5000)/('Input Transaksi'!$B$5:$B$5000="GEDE LONDRI"),ROWS($E$5:E232)),"")</f>
        <v/>
      </c>
      <c r="F232" s="5" t="n"/>
    </row>
    <row r="233">
      <c r="A233" s="10">
        <f>IF($E233="","",INDEX('Input Transaksi'!$A:$A,$E233))</f>
        <v/>
      </c>
      <c r="B233" s="5">
        <f>IF($E233="","",INDEX('Input Transaksi'!$D:$D,$E233))</f>
        <v/>
      </c>
      <c r="C233">
        <f>IF($E233="","",INDEX('Input Transaksi'!$E:$E,$E233))</f>
        <v/>
      </c>
      <c r="D233" s="5">
        <f>IF($E233="","",INDEX('Input Transaksi'!$F:$F,$E233))</f>
        <v/>
      </c>
      <c r="E233">
        <f>IFERROR(AGGREGATE(15,6,ROW('Input Transaksi'!$B$5:$B$5000)/('Input Transaksi'!$B$5:$B$5000="GEDE LONDRI"),ROWS($E$5:E233)),"")</f>
        <v/>
      </c>
      <c r="F233" s="5" t="n"/>
    </row>
    <row r="234">
      <c r="A234" s="10">
        <f>IF($E234="","",INDEX('Input Transaksi'!$A:$A,$E234))</f>
        <v/>
      </c>
      <c r="B234" s="5">
        <f>IF($E234="","",INDEX('Input Transaksi'!$D:$D,$E234))</f>
        <v/>
      </c>
      <c r="C234">
        <f>IF($E234="","",INDEX('Input Transaksi'!$E:$E,$E234))</f>
        <v/>
      </c>
      <c r="D234" s="5">
        <f>IF($E234="","",INDEX('Input Transaksi'!$F:$F,$E234))</f>
        <v/>
      </c>
      <c r="E234">
        <f>IFERROR(AGGREGATE(15,6,ROW('Input Transaksi'!$B$5:$B$5000)/('Input Transaksi'!$B$5:$B$5000="GEDE LONDRI"),ROWS($E$5:E234)),"")</f>
        <v/>
      </c>
      <c r="F234" s="5" t="n"/>
    </row>
    <row r="235">
      <c r="A235" s="10">
        <f>IF($E235="","",INDEX('Input Transaksi'!$A:$A,$E235))</f>
        <v/>
      </c>
      <c r="B235" s="5">
        <f>IF($E235="","",INDEX('Input Transaksi'!$D:$D,$E235))</f>
        <v/>
      </c>
      <c r="C235">
        <f>IF($E235="","",INDEX('Input Transaksi'!$E:$E,$E235))</f>
        <v/>
      </c>
      <c r="D235" s="5">
        <f>IF($E235="","",INDEX('Input Transaksi'!$F:$F,$E235))</f>
        <v/>
      </c>
      <c r="E235">
        <f>IFERROR(AGGREGATE(15,6,ROW('Input Transaksi'!$B$5:$B$5000)/('Input Transaksi'!$B$5:$B$5000="GEDE LONDRI"),ROWS($E$5:E235)),"")</f>
        <v/>
      </c>
      <c r="F235" s="5" t="n"/>
    </row>
    <row r="236">
      <c r="A236" s="10">
        <f>IF($E236="","",INDEX('Input Transaksi'!$A:$A,$E236))</f>
        <v/>
      </c>
      <c r="B236" s="5">
        <f>IF($E236="","",INDEX('Input Transaksi'!$D:$D,$E236))</f>
        <v/>
      </c>
      <c r="C236">
        <f>IF($E236="","",INDEX('Input Transaksi'!$E:$E,$E236))</f>
        <v/>
      </c>
      <c r="D236" s="5">
        <f>IF($E236="","",INDEX('Input Transaksi'!$F:$F,$E236))</f>
        <v/>
      </c>
      <c r="E236">
        <f>IFERROR(AGGREGATE(15,6,ROW('Input Transaksi'!$B$5:$B$5000)/('Input Transaksi'!$B$5:$B$5000="GEDE LONDRI"),ROWS($E$5:E236)),"")</f>
        <v/>
      </c>
      <c r="F236" s="5" t="n"/>
    </row>
    <row r="237">
      <c r="A237" s="10">
        <f>IF($E237="","",INDEX('Input Transaksi'!$A:$A,$E237))</f>
        <v/>
      </c>
      <c r="B237" s="5">
        <f>IF($E237="","",INDEX('Input Transaksi'!$D:$D,$E237))</f>
        <v/>
      </c>
      <c r="C237">
        <f>IF($E237="","",INDEX('Input Transaksi'!$E:$E,$E237))</f>
        <v/>
      </c>
      <c r="D237" s="5">
        <f>IF($E237="","",INDEX('Input Transaksi'!$F:$F,$E237))</f>
        <v/>
      </c>
      <c r="E237">
        <f>IFERROR(AGGREGATE(15,6,ROW('Input Transaksi'!$B$5:$B$5000)/('Input Transaksi'!$B$5:$B$5000="GEDE LONDRI"),ROWS($E$5:E237)),"")</f>
        <v/>
      </c>
      <c r="F237" s="5" t="n"/>
    </row>
    <row r="238">
      <c r="A238" s="10">
        <f>IF($E238="","",INDEX('Input Transaksi'!$A:$A,$E238))</f>
        <v/>
      </c>
      <c r="B238" s="5">
        <f>IF($E238="","",INDEX('Input Transaksi'!$D:$D,$E238))</f>
        <v/>
      </c>
      <c r="C238">
        <f>IF($E238="","",INDEX('Input Transaksi'!$E:$E,$E238))</f>
        <v/>
      </c>
      <c r="D238" s="5">
        <f>IF($E238="","",INDEX('Input Transaksi'!$F:$F,$E238))</f>
        <v/>
      </c>
      <c r="E238">
        <f>IFERROR(AGGREGATE(15,6,ROW('Input Transaksi'!$B$5:$B$5000)/('Input Transaksi'!$B$5:$B$5000="GEDE LONDRI"),ROWS($E$5:E238)),"")</f>
        <v/>
      </c>
      <c r="F238" s="5" t="n"/>
    </row>
    <row r="239">
      <c r="A239" s="10">
        <f>IF($E239="","",INDEX('Input Transaksi'!$A:$A,$E239))</f>
        <v/>
      </c>
      <c r="B239" s="5">
        <f>IF($E239="","",INDEX('Input Transaksi'!$D:$D,$E239))</f>
        <v/>
      </c>
      <c r="C239">
        <f>IF($E239="","",INDEX('Input Transaksi'!$E:$E,$E239))</f>
        <v/>
      </c>
      <c r="D239" s="5">
        <f>IF($E239="","",INDEX('Input Transaksi'!$F:$F,$E239))</f>
        <v/>
      </c>
      <c r="E239">
        <f>IFERROR(AGGREGATE(15,6,ROW('Input Transaksi'!$B$5:$B$5000)/('Input Transaksi'!$B$5:$B$5000="GEDE LONDRI"),ROWS($E$5:E239)),"")</f>
        <v/>
      </c>
      <c r="F239" s="5" t="n"/>
    </row>
    <row r="240">
      <c r="A240" s="10">
        <f>IF($E240="","",INDEX('Input Transaksi'!$A:$A,$E240))</f>
        <v/>
      </c>
      <c r="B240" s="5">
        <f>IF($E240="","",INDEX('Input Transaksi'!$D:$D,$E240))</f>
        <v/>
      </c>
      <c r="C240">
        <f>IF($E240="","",INDEX('Input Transaksi'!$E:$E,$E240))</f>
        <v/>
      </c>
      <c r="D240" s="5">
        <f>IF($E240="","",INDEX('Input Transaksi'!$F:$F,$E240))</f>
        <v/>
      </c>
      <c r="E240">
        <f>IFERROR(AGGREGATE(15,6,ROW('Input Transaksi'!$B$5:$B$5000)/('Input Transaksi'!$B$5:$B$5000="GEDE LONDRI"),ROWS($E$5:E240)),"")</f>
        <v/>
      </c>
      <c r="F240" s="5" t="n"/>
    </row>
    <row r="241">
      <c r="A241" s="10">
        <f>IF($E241="","",INDEX('Input Transaksi'!$A:$A,$E241))</f>
        <v/>
      </c>
      <c r="B241" s="5">
        <f>IF($E241="","",INDEX('Input Transaksi'!$D:$D,$E241))</f>
        <v/>
      </c>
      <c r="C241">
        <f>IF($E241="","",INDEX('Input Transaksi'!$E:$E,$E241))</f>
        <v/>
      </c>
      <c r="D241" s="5">
        <f>IF($E241="","",INDEX('Input Transaksi'!$F:$F,$E241))</f>
        <v/>
      </c>
      <c r="E241">
        <f>IFERROR(AGGREGATE(15,6,ROW('Input Transaksi'!$B$5:$B$5000)/('Input Transaksi'!$B$5:$B$5000="GEDE LONDRI"),ROWS($E$5:E241)),"")</f>
        <v/>
      </c>
      <c r="F241" s="5" t="n"/>
    </row>
    <row r="242">
      <c r="A242" s="10">
        <f>IF($E242="","",INDEX('Input Transaksi'!$A:$A,$E242))</f>
        <v/>
      </c>
      <c r="B242" s="5">
        <f>IF($E242="","",INDEX('Input Transaksi'!$D:$D,$E242))</f>
        <v/>
      </c>
      <c r="C242">
        <f>IF($E242="","",INDEX('Input Transaksi'!$E:$E,$E242))</f>
        <v/>
      </c>
      <c r="D242" s="5">
        <f>IF($E242="","",INDEX('Input Transaksi'!$F:$F,$E242))</f>
        <v/>
      </c>
      <c r="E242">
        <f>IFERROR(AGGREGATE(15,6,ROW('Input Transaksi'!$B$5:$B$5000)/('Input Transaksi'!$B$5:$B$5000="GEDE LONDRI"),ROWS($E$5:E242)),"")</f>
        <v/>
      </c>
      <c r="F242" s="5" t="n"/>
    </row>
    <row r="243">
      <c r="A243" s="10">
        <f>IF($E243="","",INDEX('Input Transaksi'!$A:$A,$E243))</f>
        <v/>
      </c>
      <c r="B243" s="5">
        <f>IF($E243="","",INDEX('Input Transaksi'!$D:$D,$E243))</f>
        <v/>
      </c>
      <c r="C243">
        <f>IF($E243="","",INDEX('Input Transaksi'!$E:$E,$E243))</f>
        <v/>
      </c>
      <c r="D243" s="5">
        <f>IF($E243="","",INDEX('Input Transaksi'!$F:$F,$E243))</f>
        <v/>
      </c>
      <c r="E243">
        <f>IFERROR(AGGREGATE(15,6,ROW('Input Transaksi'!$B$5:$B$5000)/('Input Transaksi'!$B$5:$B$5000="GEDE LONDRI"),ROWS($E$5:E243)),"")</f>
        <v/>
      </c>
      <c r="F243" s="5" t="n"/>
    </row>
    <row r="244">
      <c r="A244" s="10">
        <f>IF($E244="","",INDEX('Input Transaksi'!$A:$A,$E244))</f>
        <v/>
      </c>
      <c r="B244" s="5">
        <f>IF($E244="","",INDEX('Input Transaksi'!$D:$D,$E244))</f>
        <v/>
      </c>
      <c r="C244">
        <f>IF($E244="","",INDEX('Input Transaksi'!$E:$E,$E244))</f>
        <v/>
      </c>
      <c r="D244" s="5">
        <f>IF($E244="","",INDEX('Input Transaksi'!$F:$F,$E244))</f>
        <v/>
      </c>
      <c r="E244">
        <f>IFERROR(AGGREGATE(15,6,ROW('Input Transaksi'!$B$5:$B$5000)/('Input Transaksi'!$B$5:$B$5000="GEDE LONDRI"),ROWS($E$5:E244)),"")</f>
        <v/>
      </c>
      <c r="F244" s="5" t="n"/>
    </row>
    <row r="245">
      <c r="A245" s="10">
        <f>IF($E245="","",INDEX('Input Transaksi'!$A:$A,$E245))</f>
        <v/>
      </c>
      <c r="B245" s="5">
        <f>IF($E245="","",INDEX('Input Transaksi'!$D:$D,$E245))</f>
        <v/>
      </c>
      <c r="C245">
        <f>IF($E245="","",INDEX('Input Transaksi'!$E:$E,$E245))</f>
        <v/>
      </c>
      <c r="D245" s="5">
        <f>IF($E245="","",INDEX('Input Transaksi'!$F:$F,$E245))</f>
        <v/>
      </c>
      <c r="E245">
        <f>IFERROR(AGGREGATE(15,6,ROW('Input Transaksi'!$B$5:$B$5000)/('Input Transaksi'!$B$5:$B$5000="GEDE LONDRI"),ROWS($E$5:E245)),"")</f>
        <v/>
      </c>
      <c r="F245" s="5" t="n"/>
    </row>
    <row r="246">
      <c r="A246" s="10">
        <f>IF($E246="","",INDEX('Input Transaksi'!$A:$A,$E246))</f>
        <v/>
      </c>
      <c r="B246" s="5">
        <f>IF($E246="","",INDEX('Input Transaksi'!$D:$D,$E246))</f>
        <v/>
      </c>
      <c r="C246">
        <f>IF($E246="","",INDEX('Input Transaksi'!$E:$E,$E246))</f>
        <v/>
      </c>
      <c r="D246" s="5">
        <f>IF($E246="","",INDEX('Input Transaksi'!$F:$F,$E246))</f>
        <v/>
      </c>
      <c r="E246">
        <f>IFERROR(AGGREGATE(15,6,ROW('Input Transaksi'!$B$5:$B$5000)/('Input Transaksi'!$B$5:$B$5000="GEDE LONDRI"),ROWS($E$5:E246)),"")</f>
        <v/>
      </c>
      <c r="F246" s="5" t="n"/>
    </row>
    <row r="247">
      <c r="A247" s="10">
        <f>IF($E247="","",INDEX('Input Transaksi'!$A:$A,$E247))</f>
        <v/>
      </c>
      <c r="B247" s="5">
        <f>IF($E247="","",INDEX('Input Transaksi'!$D:$D,$E247))</f>
        <v/>
      </c>
      <c r="C247">
        <f>IF($E247="","",INDEX('Input Transaksi'!$E:$E,$E247))</f>
        <v/>
      </c>
      <c r="D247" s="5">
        <f>IF($E247="","",INDEX('Input Transaksi'!$F:$F,$E247))</f>
        <v/>
      </c>
      <c r="E247">
        <f>IFERROR(AGGREGATE(15,6,ROW('Input Transaksi'!$B$5:$B$5000)/('Input Transaksi'!$B$5:$B$5000="GEDE LONDRI"),ROWS($E$5:E247)),"")</f>
        <v/>
      </c>
      <c r="F247" s="5" t="n"/>
    </row>
    <row r="248">
      <c r="A248" s="10">
        <f>IF($E248="","",INDEX('Input Transaksi'!$A:$A,$E248))</f>
        <v/>
      </c>
      <c r="B248" s="5">
        <f>IF($E248="","",INDEX('Input Transaksi'!$D:$D,$E248))</f>
        <v/>
      </c>
      <c r="C248">
        <f>IF($E248="","",INDEX('Input Transaksi'!$E:$E,$E248))</f>
        <v/>
      </c>
      <c r="D248" s="5">
        <f>IF($E248="","",INDEX('Input Transaksi'!$F:$F,$E248))</f>
        <v/>
      </c>
      <c r="E248">
        <f>IFERROR(AGGREGATE(15,6,ROW('Input Transaksi'!$B$5:$B$5000)/('Input Transaksi'!$B$5:$B$5000="GEDE LONDRI"),ROWS($E$5:E248)),"")</f>
        <v/>
      </c>
      <c r="F248" s="5" t="n"/>
    </row>
    <row r="249">
      <c r="A249" s="10">
        <f>IF($E249="","",INDEX('Input Transaksi'!$A:$A,$E249))</f>
        <v/>
      </c>
      <c r="B249" s="5">
        <f>IF($E249="","",INDEX('Input Transaksi'!$D:$D,$E249))</f>
        <v/>
      </c>
      <c r="C249">
        <f>IF($E249="","",INDEX('Input Transaksi'!$E:$E,$E249))</f>
        <v/>
      </c>
      <c r="D249" s="5">
        <f>IF($E249="","",INDEX('Input Transaksi'!$F:$F,$E249))</f>
        <v/>
      </c>
      <c r="E249">
        <f>IFERROR(AGGREGATE(15,6,ROW('Input Transaksi'!$B$5:$B$5000)/('Input Transaksi'!$B$5:$B$5000="GEDE LONDRI"),ROWS($E$5:E249)),"")</f>
        <v/>
      </c>
      <c r="F249" s="5" t="n"/>
    </row>
    <row r="250">
      <c r="A250" s="10">
        <f>IF($E250="","",INDEX('Input Transaksi'!$A:$A,$E250))</f>
        <v/>
      </c>
      <c r="B250" s="5">
        <f>IF($E250="","",INDEX('Input Transaksi'!$D:$D,$E250))</f>
        <v/>
      </c>
      <c r="C250">
        <f>IF($E250="","",INDEX('Input Transaksi'!$E:$E,$E250))</f>
        <v/>
      </c>
      <c r="D250" s="5">
        <f>IF($E250="","",INDEX('Input Transaksi'!$F:$F,$E250))</f>
        <v/>
      </c>
      <c r="E250">
        <f>IFERROR(AGGREGATE(15,6,ROW('Input Transaksi'!$B$5:$B$5000)/('Input Transaksi'!$B$5:$B$5000="GEDE LONDRI"),ROWS($E$5:E250)),"")</f>
        <v/>
      </c>
      <c r="F250" s="5" t="n"/>
    </row>
    <row r="251">
      <c r="A251" s="10">
        <f>IF($E251="","",INDEX('Input Transaksi'!$A:$A,$E251))</f>
        <v/>
      </c>
      <c r="B251" s="5">
        <f>IF($E251="","",INDEX('Input Transaksi'!$D:$D,$E251))</f>
        <v/>
      </c>
      <c r="C251">
        <f>IF($E251="","",INDEX('Input Transaksi'!$E:$E,$E251))</f>
        <v/>
      </c>
      <c r="D251" s="5">
        <f>IF($E251="","",INDEX('Input Transaksi'!$F:$F,$E251))</f>
        <v/>
      </c>
      <c r="E251">
        <f>IFERROR(AGGREGATE(15,6,ROW('Input Transaksi'!$B$5:$B$5000)/('Input Transaksi'!$B$5:$B$5000="GEDE LONDRI"),ROWS($E$5:E251)),"")</f>
        <v/>
      </c>
      <c r="F251" s="5" t="n"/>
    </row>
    <row r="252">
      <c r="A252" s="10">
        <f>IF($E252="","",INDEX('Input Transaksi'!$A:$A,$E252))</f>
        <v/>
      </c>
      <c r="B252" s="5">
        <f>IF($E252="","",INDEX('Input Transaksi'!$D:$D,$E252))</f>
        <v/>
      </c>
      <c r="C252">
        <f>IF($E252="","",INDEX('Input Transaksi'!$E:$E,$E252))</f>
        <v/>
      </c>
      <c r="D252" s="5">
        <f>IF($E252="","",INDEX('Input Transaksi'!$F:$F,$E252))</f>
        <v/>
      </c>
      <c r="E252">
        <f>IFERROR(AGGREGATE(15,6,ROW('Input Transaksi'!$B$5:$B$5000)/('Input Transaksi'!$B$5:$B$5000="GEDE LONDRI"),ROWS($E$5:E252)),"")</f>
        <v/>
      </c>
      <c r="F252" s="5" t="n"/>
    </row>
    <row r="253">
      <c r="A253" s="10">
        <f>IF($E253="","",INDEX('Input Transaksi'!$A:$A,$E253))</f>
        <v/>
      </c>
      <c r="B253" s="5">
        <f>IF($E253="","",INDEX('Input Transaksi'!$D:$D,$E253))</f>
        <v/>
      </c>
      <c r="C253">
        <f>IF($E253="","",INDEX('Input Transaksi'!$E:$E,$E253))</f>
        <v/>
      </c>
      <c r="D253" s="5">
        <f>IF($E253="","",INDEX('Input Transaksi'!$F:$F,$E253))</f>
        <v/>
      </c>
      <c r="E253">
        <f>IFERROR(AGGREGATE(15,6,ROW('Input Transaksi'!$B$5:$B$5000)/('Input Transaksi'!$B$5:$B$5000="GEDE LONDRI"),ROWS($E$5:E253)),"")</f>
        <v/>
      </c>
      <c r="F253" s="5" t="n"/>
    </row>
    <row r="254">
      <c r="A254" s="10">
        <f>IF($E254="","",INDEX('Input Transaksi'!$A:$A,$E254))</f>
        <v/>
      </c>
      <c r="B254" s="5">
        <f>IF($E254="","",INDEX('Input Transaksi'!$D:$D,$E254))</f>
        <v/>
      </c>
      <c r="C254">
        <f>IF($E254="","",INDEX('Input Transaksi'!$E:$E,$E254))</f>
        <v/>
      </c>
      <c r="D254" s="5">
        <f>IF($E254="","",INDEX('Input Transaksi'!$F:$F,$E254))</f>
        <v/>
      </c>
      <c r="E254">
        <f>IFERROR(AGGREGATE(15,6,ROW('Input Transaksi'!$B$5:$B$5000)/('Input Transaksi'!$B$5:$B$5000="GEDE LONDRI"),ROWS($E$5:E254)),"")</f>
        <v/>
      </c>
      <c r="F254" s="5" t="n"/>
    </row>
    <row r="255">
      <c r="A255" s="10">
        <f>IF($E255="","",INDEX('Input Transaksi'!$A:$A,$E255))</f>
        <v/>
      </c>
      <c r="B255" s="5">
        <f>IF($E255="","",INDEX('Input Transaksi'!$D:$D,$E255))</f>
        <v/>
      </c>
      <c r="C255">
        <f>IF($E255="","",INDEX('Input Transaksi'!$E:$E,$E255))</f>
        <v/>
      </c>
      <c r="D255" s="5">
        <f>IF($E255="","",INDEX('Input Transaksi'!$F:$F,$E255))</f>
        <v/>
      </c>
      <c r="E255">
        <f>IFERROR(AGGREGATE(15,6,ROW('Input Transaksi'!$B$5:$B$5000)/('Input Transaksi'!$B$5:$B$5000="GEDE LONDRI"),ROWS($E$5:E255)),"")</f>
        <v/>
      </c>
      <c r="F255" s="5" t="n"/>
    </row>
    <row r="256">
      <c r="A256" s="10">
        <f>IF($E256="","",INDEX('Input Transaksi'!$A:$A,$E256))</f>
        <v/>
      </c>
      <c r="B256" s="5">
        <f>IF($E256="","",INDEX('Input Transaksi'!$D:$D,$E256))</f>
        <v/>
      </c>
      <c r="C256">
        <f>IF($E256="","",INDEX('Input Transaksi'!$E:$E,$E256))</f>
        <v/>
      </c>
      <c r="D256" s="5">
        <f>IF($E256="","",INDEX('Input Transaksi'!$F:$F,$E256))</f>
        <v/>
      </c>
      <c r="E256">
        <f>IFERROR(AGGREGATE(15,6,ROW('Input Transaksi'!$B$5:$B$5000)/('Input Transaksi'!$B$5:$B$5000="GEDE LONDRI"),ROWS($E$5:E256)),"")</f>
        <v/>
      </c>
      <c r="F256" s="5" t="n"/>
    </row>
    <row r="257">
      <c r="A257" s="10">
        <f>IF($E257="","",INDEX('Input Transaksi'!$A:$A,$E257))</f>
        <v/>
      </c>
      <c r="B257" s="5">
        <f>IF($E257="","",INDEX('Input Transaksi'!$D:$D,$E257))</f>
        <v/>
      </c>
      <c r="C257">
        <f>IF($E257="","",INDEX('Input Transaksi'!$E:$E,$E257))</f>
        <v/>
      </c>
      <c r="D257" s="5">
        <f>IF($E257="","",INDEX('Input Transaksi'!$F:$F,$E257))</f>
        <v/>
      </c>
      <c r="E257">
        <f>IFERROR(AGGREGATE(15,6,ROW('Input Transaksi'!$B$5:$B$5000)/('Input Transaksi'!$B$5:$B$5000="GEDE LONDRI"),ROWS($E$5:E257)),"")</f>
        <v/>
      </c>
      <c r="F257" s="5" t="n"/>
    </row>
    <row r="258">
      <c r="A258" s="10">
        <f>IF($E258="","",INDEX('Input Transaksi'!$A:$A,$E258))</f>
        <v/>
      </c>
      <c r="B258" s="5">
        <f>IF($E258="","",INDEX('Input Transaksi'!$D:$D,$E258))</f>
        <v/>
      </c>
      <c r="C258">
        <f>IF($E258="","",INDEX('Input Transaksi'!$E:$E,$E258))</f>
        <v/>
      </c>
      <c r="D258" s="5">
        <f>IF($E258="","",INDEX('Input Transaksi'!$F:$F,$E258))</f>
        <v/>
      </c>
      <c r="E258">
        <f>IFERROR(AGGREGATE(15,6,ROW('Input Transaksi'!$B$5:$B$5000)/('Input Transaksi'!$B$5:$B$5000="GEDE LONDRI"),ROWS($E$5:E258)),"")</f>
        <v/>
      </c>
      <c r="F258" s="5" t="n"/>
    </row>
    <row r="259">
      <c r="A259" s="10">
        <f>IF($E259="","",INDEX('Input Transaksi'!$A:$A,$E259))</f>
        <v/>
      </c>
      <c r="B259" s="5">
        <f>IF($E259="","",INDEX('Input Transaksi'!$D:$D,$E259))</f>
        <v/>
      </c>
      <c r="C259">
        <f>IF($E259="","",INDEX('Input Transaksi'!$E:$E,$E259))</f>
        <v/>
      </c>
      <c r="D259" s="5">
        <f>IF($E259="","",INDEX('Input Transaksi'!$F:$F,$E259))</f>
        <v/>
      </c>
      <c r="E259">
        <f>IFERROR(AGGREGATE(15,6,ROW('Input Transaksi'!$B$5:$B$5000)/('Input Transaksi'!$B$5:$B$5000="GEDE LONDRI"),ROWS($E$5:E259)),"")</f>
        <v/>
      </c>
      <c r="F259" s="5" t="n"/>
    </row>
    <row r="260">
      <c r="A260" s="10">
        <f>IF($E260="","",INDEX('Input Transaksi'!$A:$A,$E260))</f>
        <v/>
      </c>
      <c r="B260" s="5">
        <f>IF($E260="","",INDEX('Input Transaksi'!$D:$D,$E260))</f>
        <v/>
      </c>
      <c r="C260">
        <f>IF($E260="","",INDEX('Input Transaksi'!$E:$E,$E260))</f>
        <v/>
      </c>
      <c r="D260" s="5">
        <f>IF($E260="","",INDEX('Input Transaksi'!$F:$F,$E260))</f>
        <v/>
      </c>
      <c r="E260">
        <f>IFERROR(AGGREGATE(15,6,ROW('Input Transaksi'!$B$5:$B$5000)/('Input Transaksi'!$B$5:$B$5000="GEDE LONDRI"),ROWS($E$5:E260)),"")</f>
        <v/>
      </c>
      <c r="F260" s="5" t="n"/>
    </row>
    <row r="261">
      <c r="A261" s="10">
        <f>IF($E261="","",INDEX('Input Transaksi'!$A:$A,$E261))</f>
        <v/>
      </c>
      <c r="B261" s="5">
        <f>IF($E261="","",INDEX('Input Transaksi'!$D:$D,$E261))</f>
        <v/>
      </c>
      <c r="C261">
        <f>IF($E261="","",INDEX('Input Transaksi'!$E:$E,$E261))</f>
        <v/>
      </c>
      <c r="D261" s="5">
        <f>IF($E261="","",INDEX('Input Transaksi'!$F:$F,$E261))</f>
        <v/>
      </c>
      <c r="E261">
        <f>IFERROR(AGGREGATE(15,6,ROW('Input Transaksi'!$B$5:$B$5000)/('Input Transaksi'!$B$5:$B$5000="GEDE LONDRI"),ROWS($E$5:E261)),"")</f>
        <v/>
      </c>
      <c r="F261" s="5" t="n"/>
    </row>
    <row r="262">
      <c r="A262" s="10">
        <f>IF($E262="","",INDEX('Input Transaksi'!$A:$A,$E262))</f>
        <v/>
      </c>
      <c r="B262" s="5">
        <f>IF($E262="","",INDEX('Input Transaksi'!$D:$D,$E262))</f>
        <v/>
      </c>
      <c r="C262">
        <f>IF($E262="","",INDEX('Input Transaksi'!$E:$E,$E262))</f>
        <v/>
      </c>
      <c r="D262" s="5">
        <f>IF($E262="","",INDEX('Input Transaksi'!$F:$F,$E262))</f>
        <v/>
      </c>
      <c r="E262">
        <f>IFERROR(AGGREGATE(15,6,ROW('Input Transaksi'!$B$5:$B$5000)/('Input Transaksi'!$B$5:$B$5000="GEDE LONDRI"),ROWS($E$5:E262)),"")</f>
        <v/>
      </c>
      <c r="F262" s="5" t="n"/>
    </row>
    <row r="263">
      <c r="A263" s="10">
        <f>IF($E263="","",INDEX('Input Transaksi'!$A:$A,$E263))</f>
        <v/>
      </c>
      <c r="B263" s="5">
        <f>IF($E263="","",INDEX('Input Transaksi'!$D:$D,$E263))</f>
        <v/>
      </c>
      <c r="C263">
        <f>IF($E263="","",INDEX('Input Transaksi'!$E:$E,$E263))</f>
        <v/>
      </c>
      <c r="D263" s="5">
        <f>IF($E263="","",INDEX('Input Transaksi'!$F:$F,$E263))</f>
        <v/>
      </c>
      <c r="E263">
        <f>IFERROR(AGGREGATE(15,6,ROW('Input Transaksi'!$B$5:$B$5000)/('Input Transaksi'!$B$5:$B$5000="GEDE LONDRI"),ROWS($E$5:E263)),"")</f>
        <v/>
      </c>
      <c r="F263" s="5" t="n"/>
    </row>
    <row r="264">
      <c r="A264" s="10">
        <f>IF($E264="","",INDEX('Input Transaksi'!$A:$A,$E264))</f>
        <v/>
      </c>
      <c r="B264" s="5">
        <f>IF($E264="","",INDEX('Input Transaksi'!$D:$D,$E264))</f>
        <v/>
      </c>
      <c r="C264">
        <f>IF($E264="","",INDEX('Input Transaksi'!$E:$E,$E264))</f>
        <v/>
      </c>
      <c r="D264" s="5">
        <f>IF($E264="","",INDEX('Input Transaksi'!$F:$F,$E264))</f>
        <v/>
      </c>
      <c r="E264">
        <f>IFERROR(AGGREGATE(15,6,ROW('Input Transaksi'!$B$5:$B$5000)/('Input Transaksi'!$B$5:$B$5000="GEDE LONDRI"),ROWS($E$5:E264)),"")</f>
        <v/>
      </c>
      <c r="F264" s="5" t="n"/>
    </row>
    <row r="265">
      <c r="A265" s="10">
        <f>IF($E265="","",INDEX('Input Transaksi'!$A:$A,$E265))</f>
        <v/>
      </c>
      <c r="B265" s="5">
        <f>IF($E265="","",INDEX('Input Transaksi'!$D:$D,$E265))</f>
        <v/>
      </c>
      <c r="C265">
        <f>IF($E265="","",INDEX('Input Transaksi'!$E:$E,$E265))</f>
        <v/>
      </c>
      <c r="D265" s="5">
        <f>IF($E265="","",INDEX('Input Transaksi'!$F:$F,$E265))</f>
        <v/>
      </c>
      <c r="E265">
        <f>IFERROR(AGGREGATE(15,6,ROW('Input Transaksi'!$B$5:$B$5000)/('Input Transaksi'!$B$5:$B$5000="GEDE LONDRI"),ROWS($E$5:E265)),"")</f>
        <v/>
      </c>
      <c r="F265" s="5" t="n"/>
    </row>
    <row r="266">
      <c r="A266" s="10">
        <f>IF($E266="","",INDEX('Input Transaksi'!$A:$A,$E266))</f>
        <v/>
      </c>
      <c r="B266" s="5">
        <f>IF($E266="","",INDEX('Input Transaksi'!$D:$D,$E266))</f>
        <v/>
      </c>
      <c r="C266">
        <f>IF($E266="","",INDEX('Input Transaksi'!$E:$E,$E266))</f>
        <v/>
      </c>
      <c r="D266" s="5">
        <f>IF($E266="","",INDEX('Input Transaksi'!$F:$F,$E266))</f>
        <v/>
      </c>
      <c r="E266">
        <f>IFERROR(AGGREGATE(15,6,ROW('Input Transaksi'!$B$5:$B$5000)/('Input Transaksi'!$B$5:$B$5000="GEDE LONDRI"),ROWS($E$5:E266)),"")</f>
        <v/>
      </c>
      <c r="F266" s="5" t="n"/>
    </row>
    <row r="267">
      <c r="A267" s="10">
        <f>IF($E267="","",INDEX('Input Transaksi'!$A:$A,$E267))</f>
        <v/>
      </c>
      <c r="B267" s="5">
        <f>IF($E267="","",INDEX('Input Transaksi'!$D:$D,$E267))</f>
        <v/>
      </c>
      <c r="C267">
        <f>IF($E267="","",INDEX('Input Transaksi'!$E:$E,$E267))</f>
        <v/>
      </c>
      <c r="D267" s="5">
        <f>IF($E267="","",INDEX('Input Transaksi'!$F:$F,$E267))</f>
        <v/>
      </c>
      <c r="E267">
        <f>IFERROR(AGGREGATE(15,6,ROW('Input Transaksi'!$B$5:$B$5000)/('Input Transaksi'!$B$5:$B$5000="GEDE LONDRI"),ROWS($E$5:E267)),"")</f>
        <v/>
      </c>
      <c r="F267" s="5" t="n"/>
    </row>
    <row r="268">
      <c r="A268" s="10">
        <f>IF($E268="","",INDEX('Input Transaksi'!$A:$A,$E268))</f>
        <v/>
      </c>
      <c r="B268" s="5">
        <f>IF($E268="","",INDEX('Input Transaksi'!$D:$D,$E268))</f>
        <v/>
      </c>
      <c r="C268">
        <f>IF($E268="","",INDEX('Input Transaksi'!$E:$E,$E268))</f>
        <v/>
      </c>
      <c r="D268" s="5">
        <f>IF($E268="","",INDEX('Input Transaksi'!$F:$F,$E268))</f>
        <v/>
      </c>
      <c r="E268">
        <f>IFERROR(AGGREGATE(15,6,ROW('Input Transaksi'!$B$5:$B$5000)/('Input Transaksi'!$B$5:$B$5000="GEDE LONDRI"),ROWS($E$5:E268)),"")</f>
        <v/>
      </c>
      <c r="F268" s="5" t="n"/>
    </row>
    <row r="269">
      <c r="A269" s="10">
        <f>IF($E269="","",INDEX('Input Transaksi'!$A:$A,$E269))</f>
        <v/>
      </c>
      <c r="B269" s="5">
        <f>IF($E269="","",INDEX('Input Transaksi'!$D:$D,$E269))</f>
        <v/>
      </c>
      <c r="C269">
        <f>IF($E269="","",INDEX('Input Transaksi'!$E:$E,$E269))</f>
        <v/>
      </c>
      <c r="D269" s="5">
        <f>IF($E269="","",INDEX('Input Transaksi'!$F:$F,$E269))</f>
        <v/>
      </c>
      <c r="E269">
        <f>IFERROR(AGGREGATE(15,6,ROW('Input Transaksi'!$B$5:$B$5000)/('Input Transaksi'!$B$5:$B$5000="GEDE LONDRI"),ROWS($E$5:E269)),"")</f>
        <v/>
      </c>
      <c r="F269" s="5" t="n"/>
    </row>
    <row r="270">
      <c r="A270" s="10">
        <f>IF($E270="","",INDEX('Input Transaksi'!$A:$A,$E270))</f>
        <v/>
      </c>
      <c r="B270" s="5">
        <f>IF($E270="","",INDEX('Input Transaksi'!$D:$D,$E270))</f>
        <v/>
      </c>
      <c r="C270">
        <f>IF($E270="","",INDEX('Input Transaksi'!$E:$E,$E270))</f>
        <v/>
      </c>
      <c r="D270" s="5">
        <f>IF($E270="","",INDEX('Input Transaksi'!$F:$F,$E270))</f>
        <v/>
      </c>
      <c r="E270">
        <f>IFERROR(AGGREGATE(15,6,ROW('Input Transaksi'!$B$5:$B$5000)/('Input Transaksi'!$B$5:$B$5000="GEDE LONDRI"),ROWS($E$5:E270)),"")</f>
        <v/>
      </c>
      <c r="F270" s="5" t="n"/>
    </row>
    <row r="271">
      <c r="A271" s="10">
        <f>IF($E271="","",INDEX('Input Transaksi'!$A:$A,$E271))</f>
        <v/>
      </c>
      <c r="B271" s="5">
        <f>IF($E271="","",INDEX('Input Transaksi'!$D:$D,$E271))</f>
        <v/>
      </c>
      <c r="C271">
        <f>IF($E271="","",INDEX('Input Transaksi'!$E:$E,$E271))</f>
        <v/>
      </c>
      <c r="D271" s="5">
        <f>IF($E271="","",INDEX('Input Transaksi'!$F:$F,$E271))</f>
        <v/>
      </c>
      <c r="E271">
        <f>IFERROR(AGGREGATE(15,6,ROW('Input Transaksi'!$B$5:$B$5000)/('Input Transaksi'!$B$5:$B$5000="GEDE LONDRI"),ROWS($E$5:E271)),"")</f>
        <v/>
      </c>
      <c r="F271" s="5" t="n"/>
    </row>
    <row r="272">
      <c r="A272" s="10">
        <f>IF($E272="","",INDEX('Input Transaksi'!$A:$A,$E272))</f>
        <v/>
      </c>
      <c r="B272" s="5">
        <f>IF($E272="","",INDEX('Input Transaksi'!$D:$D,$E272))</f>
        <v/>
      </c>
      <c r="C272">
        <f>IF($E272="","",INDEX('Input Transaksi'!$E:$E,$E272))</f>
        <v/>
      </c>
      <c r="D272" s="5">
        <f>IF($E272="","",INDEX('Input Transaksi'!$F:$F,$E272))</f>
        <v/>
      </c>
      <c r="E272">
        <f>IFERROR(AGGREGATE(15,6,ROW('Input Transaksi'!$B$5:$B$5000)/('Input Transaksi'!$B$5:$B$5000="GEDE LONDRI"),ROWS($E$5:E272)),"")</f>
        <v/>
      </c>
      <c r="F272" s="5" t="n"/>
    </row>
    <row r="273">
      <c r="A273" s="10">
        <f>IF($E273="","",INDEX('Input Transaksi'!$A:$A,$E273))</f>
        <v/>
      </c>
      <c r="B273" s="5">
        <f>IF($E273="","",INDEX('Input Transaksi'!$D:$D,$E273))</f>
        <v/>
      </c>
      <c r="C273">
        <f>IF($E273="","",INDEX('Input Transaksi'!$E:$E,$E273))</f>
        <v/>
      </c>
      <c r="D273" s="5">
        <f>IF($E273="","",INDEX('Input Transaksi'!$F:$F,$E273))</f>
        <v/>
      </c>
      <c r="E273">
        <f>IFERROR(AGGREGATE(15,6,ROW('Input Transaksi'!$B$5:$B$5000)/('Input Transaksi'!$B$5:$B$5000="GEDE LONDRI"),ROWS($E$5:E273)),"")</f>
        <v/>
      </c>
      <c r="F273" s="5" t="n"/>
    </row>
    <row r="274">
      <c r="A274" s="10">
        <f>IF($E274="","",INDEX('Input Transaksi'!$A:$A,$E274))</f>
        <v/>
      </c>
      <c r="B274" s="5">
        <f>IF($E274="","",INDEX('Input Transaksi'!$D:$D,$E274))</f>
        <v/>
      </c>
      <c r="C274">
        <f>IF($E274="","",INDEX('Input Transaksi'!$E:$E,$E274))</f>
        <v/>
      </c>
      <c r="D274" s="5">
        <f>IF($E274="","",INDEX('Input Transaksi'!$F:$F,$E274))</f>
        <v/>
      </c>
      <c r="E274">
        <f>IFERROR(AGGREGATE(15,6,ROW('Input Transaksi'!$B$5:$B$5000)/('Input Transaksi'!$B$5:$B$5000="GEDE LONDRI"),ROWS($E$5:E274)),"")</f>
        <v/>
      </c>
      <c r="F274" s="5" t="n"/>
    </row>
    <row r="275">
      <c r="A275" s="10">
        <f>IF($E275="","",INDEX('Input Transaksi'!$A:$A,$E275))</f>
        <v/>
      </c>
      <c r="B275" s="5">
        <f>IF($E275="","",INDEX('Input Transaksi'!$D:$D,$E275))</f>
        <v/>
      </c>
      <c r="C275">
        <f>IF($E275="","",INDEX('Input Transaksi'!$E:$E,$E275))</f>
        <v/>
      </c>
      <c r="D275" s="5">
        <f>IF($E275="","",INDEX('Input Transaksi'!$F:$F,$E275))</f>
        <v/>
      </c>
      <c r="E275">
        <f>IFERROR(AGGREGATE(15,6,ROW('Input Transaksi'!$B$5:$B$5000)/('Input Transaksi'!$B$5:$B$5000="GEDE LONDRI"),ROWS($E$5:E275)),"")</f>
        <v/>
      </c>
      <c r="F275" s="5" t="n"/>
    </row>
    <row r="276">
      <c r="A276" s="10">
        <f>IF($E276="","",INDEX('Input Transaksi'!$A:$A,$E276))</f>
        <v/>
      </c>
      <c r="B276" s="5">
        <f>IF($E276="","",INDEX('Input Transaksi'!$D:$D,$E276))</f>
        <v/>
      </c>
      <c r="C276">
        <f>IF($E276="","",INDEX('Input Transaksi'!$E:$E,$E276))</f>
        <v/>
      </c>
      <c r="D276" s="5">
        <f>IF($E276="","",INDEX('Input Transaksi'!$F:$F,$E276))</f>
        <v/>
      </c>
      <c r="E276">
        <f>IFERROR(AGGREGATE(15,6,ROW('Input Transaksi'!$B$5:$B$5000)/('Input Transaksi'!$B$5:$B$5000="GEDE LONDRI"),ROWS($E$5:E276)),"")</f>
        <v/>
      </c>
      <c r="F276" s="5" t="n"/>
    </row>
    <row r="277">
      <c r="A277" s="10">
        <f>IF($E277="","",INDEX('Input Transaksi'!$A:$A,$E277))</f>
        <v/>
      </c>
      <c r="B277" s="5">
        <f>IF($E277="","",INDEX('Input Transaksi'!$D:$D,$E277))</f>
        <v/>
      </c>
      <c r="C277">
        <f>IF($E277="","",INDEX('Input Transaksi'!$E:$E,$E277))</f>
        <v/>
      </c>
      <c r="D277" s="5">
        <f>IF($E277="","",INDEX('Input Transaksi'!$F:$F,$E277))</f>
        <v/>
      </c>
      <c r="E277">
        <f>IFERROR(AGGREGATE(15,6,ROW('Input Transaksi'!$B$5:$B$5000)/('Input Transaksi'!$B$5:$B$5000="GEDE LONDRI"),ROWS($E$5:E277)),"")</f>
        <v/>
      </c>
      <c r="F277" s="5" t="n"/>
    </row>
    <row r="278">
      <c r="A278" s="10">
        <f>IF($E278="","",INDEX('Input Transaksi'!$A:$A,$E278))</f>
        <v/>
      </c>
      <c r="B278" s="5">
        <f>IF($E278="","",INDEX('Input Transaksi'!$D:$D,$E278))</f>
        <v/>
      </c>
      <c r="C278">
        <f>IF($E278="","",INDEX('Input Transaksi'!$E:$E,$E278))</f>
        <v/>
      </c>
      <c r="D278" s="5">
        <f>IF($E278="","",INDEX('Input Transaksi'!$F:$F,$E278))</f>
        <v/>
      </c>
      <c r="E278">
        <f>IFERROR(AGGREGATE(15,6,ROW('Input Transaksi'!$B$5:$B$5000)/('Input Transaksi'!$B$5:$B$5000="GEDE LONDRI"),ROWS($E$5:E278)),"")</f>
        <v/>
      </c>
      <c r="F278" s="5" t="n"/>
    </row>
    <row r="279">
      <c r="A279" s="10">
        <f>IF($E279="","",INDEX('Input Transaksi'!$A:$A,$E279))</f>
        <v/>
      </c>
      <c r="B279" s="5">
        <f>IF($E279="","",INDEX('Input Transaksi'!$D:$D,$E279))</f>
        <v/>
      </c>
      <c r="C279">
        <f>IF($E279="","",INDEX('Input Transaksi'!$E:$E,$E279))</f>
        <v/>
      </c>
      <c r="D279" s="5">
        <f>IF($E279="","",INDEX('Input Transaksi'!$F:$F,$E279))</f>
        <v/>
      </c>
      <c r="E279">
        <f>IFERROR(AGGREGATE(15,6,ROW('Input Transaksi'!$B$5:$B$5000)/('Input Transaksi'!$B$5:$B$5000="GEDE LONDRI"),ROWS($E$5:E279)),"")</f>
        <v/>
      </c>
      <c r="F279" s="5" t="n"/>
    </row>
    <row r="280">
      <c r="A280" s="10">
        <f>IF($E280="","",INDEX('Input Transaksi'!$A:$A,$E280))</f>
        <v/>
      </c>
      <c r="B280" s="5">
        <f>IF($E280="","",INDEX('Input Transaksi'!$D:$D,$E280))</f>
        <v/>
      </c>
      <c r="C280">
        <f>IF($E280="","",INDEX('Input Transaksi'!$E:$E,$E280))</f>
        <v/>
      </c>
      <c r="D280" s="5">
        <f>IF($E280="","",INDEX('Input Transaksi'!$F:$F,$E280))</f>
        <v/>
      </c>
      <c r="E280">
        <f>IFERROR(AGGREGATE(15,6,ROW('Input Transaksi'!$B$5:$B$5000)/('Input Transaksi'!$B$5:$B$5000="GEDE LONDRI"),ROWS($E$5:E280)),"")</f>
        <v/>
      </c>
      <c r="F280" s="5" t="n"/>
    </row>
    <row r="281">
      <c r="A281" s="10">
        <f>IF($E281="","",INDEX('Input Transaksi'!$A:$A,$E281))</f>
        <v/>
      </c>
      <c r="B281" s="5">
        <f>IF($E281="","",INDEX('Input Transaksi'!$D:$D,$E281))</f>
        <v/>
      </c>
      <c r="C281">
        <f>IF($E281="","",INDEX('Input Transaksi'!$E:$E,$E281))</f>
        <v/>
      </c>
      <c r="D281" s="5">
        <f>IF($E281="","",INDEX('Input Transaksi'!$F:$F,$E281))</f>
        <v/>
      </c>
      <c r="E281">
        <f>IFERROR(AGGREGATE(15,6,ROW('Input Transaksi'!$B$5:$B$5000)/('Input Transaksi'!$B$5:$B$5000="GEDE LONDRI"),ROWS($E$5:E281)),"")</f>
        <v/>
      </c>
      <c r="F281" s="5" t="n"/>
    </row>
    <row r="282">
      <c r="A282" s="10">
        <f>IF($E282="","",INDEX('Input Transaksi'!$A:$A,$E282))</f>
        <v/>
      </c>
      <c r="B282" s="5">
        <f>IF($E282="","",INDEX('Input Transaksi'!$D:$D,$E282))</f>
        <v/>
      </c>
      <c r="C282">
        <f>IF($E282="","",INDEX('Input Transaksi'!$E:$E,$E282))</f>
        <v/>
      </c>
      <c r="D282" s="5">
        <f>IF($E282="","",INDEX('Input Transaksi'!$F:$F,$E282))</f>
        <v/>
      </c>
      <c r="E282">
        <f>IFERROR(AGGREGATE(15,6,ROW('Input Transaksi'!$B$5:$B$5000)/('Input Transaksi'!$B$5:$B$5000="GEDE LONDRI"),ROWS($E$5:E282)),"")</f>
        <v/>
      </c>
      <c r="F282" s="5" t="n"/>
    </row>
    <row r="283">
      <c r="A283" s="10">
        <f>IF($E283="","",INDEX('Input Transaksi'!$A:$A,$E283))</f>
        <v/>
      </c>
      <c r="B283" s="5">
        <f>IF($E283="","",INDEX('Input Transaksi'!$D:$D,$E283))</f>
        <v/>
      </c>
      <c r="C283">
        <f>IF($E283="","",INDEX('Input Transaksi'!$E:$E,$E283))</f>
        <v/>
      </c>
      <c r="D283" s="5">
        <f>IF($E283="","",INDEX('Input Transaksi'!$F:$F,$E283))</f>
        <v/>
      </c>
      <c r="E283">
        <f>IFERROR(AGGREGATE(15,6,ROW('Input Transaksi'!$B$5:$B$5000)/('Input Transaksi'!$B$5:$B$5000="GEDE LONDRI"),ROWS($E$5:E283)),"")</f>
        <v/>
      </c>
      <c r="F283" s="5" t="n"/>
    </row>
    <row r="284">
      <c r="A284" s="10">
        <f>IF($E284="","",INDEX('Input Transaksi'!$A:$A,$E284))</f>
        <v/>
      </c>
      <c r="B284" s="5">
        <f>IF($E284="","",INDEX('Input Transaksi'!$D:$D,$E284))</f>
        <v/>
      </c>
      <c r="C284">
        <f>IF($E284="","",INDEX('Input Transaksi'!$E:$E,$E284))</f>
        <v/>
      </c>
      <c r="D284" s="5">
        <f>IF($E284="","",INDEX('Input Transaksi'!$F:$F,$E284))</f>
        <v/>
      </c>
      <c r="E284">
        <f>IFERROR(AGGREGATE(15,6,ROW('Input Transaksi'!$B$5:$B$5000)/('Input Transaksi'!$B$5:$B$5000="GEDE LONDRI"),ROWS($E$5:E284)),"")</f>
        <v/>
      </c>
      <c r="F284" s="5" t="n"/>
    </row>
    <row r="285">
      <c r="A285" s="10">
        <f>IF($E285="","",INDEX('Input Transaksi'!$A:$A,$E285))</f>
        <v/>
      </c>
      <c r="B285" s="5">
        <f>IF($E285="","",INDEX('Input Transaksi'!$D:$D,$E285))</f>
        <v/>
      </c>
      <c r="C285">
        <f>IF($E285="","",INDEX('Input Transaksi'!$E:$E,$E285))</f>
        <v/>
      </c>
      <c r="D285" s="5">
        <f>IF($E285="","",INDEX('Input Transaksi'!$F:$F,$E285))</f>
        <v/>
      </c>
      <c r="E285">
        <f>IFERROR(AGGREGATE(15,6,ROW('Input Transaksi'!$B$5:$B$5000)/('Input Transaksi'!$B$5:$B$5000="GEDE LONDRI"),ROWS($E$5:E285)),"")</f>
        <v/>
      </c>
      <c r="F285" s="5" t="n"/>
    </row>
    <row r="286">
      <c r="A286" s="10">
        <f>IF($E286="","",INDEX('Input Transaksi'!$A:$A,$E286))</f>
        <v/>
      </c>
      <c r="B286" s="5">
        <f>IF($E286="","",INDEX('Input Transaksi'!$D:$D,$E286))</f>
        <v/>
      </c>
      <c r="C286">
        <f>IF($E286="","",INDEX('Input Transaksi'!$E:$E,$E286))</f>
        <v/>
      </c>
      <c r="D286" s="5">
        <f>IF($E286="","",INDEX('Input Transaksi'!$F:$F,$E286))</f>
        <v/>
      </c>
      <c r="E286">
        <f>IFERROR(AGGREGATE(15,6,ROW('Input Transaksi'!$B$5:$B$5000)/('Input Transaksi'!$B$5:$B$5000="GEDE LONDRI"),ROWS($E$5:E286)),"")</f>
        <v/>
      </c>
      <c r="F286" s="5" t="n"/>
    </row>
    <row r="287">
      <c r="A287" s="10">
        <f>IF($E287="","",INDEX('Input Transaksi'!$A:$A,$E287))</f>
        <v/>
      </c>
      <c r="B287" s="5">
        <f>IF($E287="","",INDEX('Input Transaksi'!$D:$D,$E287))</f>
        <v/>
      </c>
      <c r="C287">
        <f>IF($E287="","",INDEX('Input Transaksi'!$E:$E,$E287))</f>
        <v/>
      </c>
      <c r="D287" s="5">
        <f>IF($E287="","",INDEX('Input Transaksi'!$F:$F,$E287))</f>
        <v/>
      </c>
      <c r="E287">
        <f>IFERROR(AGGREGATE(15,6,ROW('Input Transaksi'!$B$5:$B$5000)/('Input Transaksi'!$B$5:$B$5000="GEDE LONDRI"),ROWS($E$5:E287)),"")</f>
        <v/>
      </c>
      <c r="F287" s="5" t="n"/>
    </row>
    <row r="288">
      <c r="A288" s="10">
        <f>IF($E288="","",INDEX('Input Transaksi'!$A:$A,$E288))</f>
        <v/>
      </c>
      <c r="B288" s="5">
        <f>IF($E288="","",INDEX('Input Transaksi'!$D:$D,$E288))</f>
        <v/>
      </c>
      <c r="C288">
        <f>IF($E288="","",INDEX('Input Transaksi'!$E:$E,$E288))</f>
        <v/>
      </c>
      <c r="D288" s="5">
        <f>IF($E288="","",INDEX('Input Transaksi'!$F:$F,$E288))</f>
        <v/>
      </c>
      <c r="E288">
        <f>IFERROR(AGGREGATE(15,6,ROW('Input Transaksi'!$B$5:$B$5000)/('Input Transaksi'!$B$5:$B$5000="GEDE LONDRI"),ROWS($E$5:E288)),"")</f>
        <v/>
      </c>
      <c r="F288" s="5" t="n"/>
    </row>
    <row r="289">
      <c r="A289" s="10">
        <f>IF($E289="","",INDEX('Input Transaksi'!$A:$A,$E289))</f>
        <v/>
      </c>
      <c r="B289" s="5">
        <f>IF($E289="","",INDEX('Input Transaksi'!$D:$D,$E289))</f>
        <v/>
      </c>
      <c r="C289">
        <f>IF($E289="","",INDEX('Input Transaksi'!$E:$E,$E289))</f>
        <v/>
      </c>
      <c r="D289" s="5">
        <f>IF($E289="","",INDEX('Input Transaksi'!$F:$F,$E289))</f>
        <v/>
      </c>
      <c r="E289">
        <f>IFERROR(AGGREGATE(15,6,ROW('Input Transaksi'!$B$5:$B$5000)/('Input Transaksi'!$B$5:$B$5000="GEDE LONDRI"),ROWS($E$5:E289)),"")</f>
        <v/>
      </c>
      <c r="F289" s="5" t="n"/>
    </row>
    <row r="290">
      <c r="A290" s="10">
        <f>IF($E290="","",INDEX('Input Transaksi'!$A:$A,$E290))</f>
        <v/>
      </c>
      <c r="B290" s="5">
        <f>IF($E290="","",INDEX('Input Transaksi'!$D:$D,$E290))</f>
        <v/>
      </c>
      <c r="C290">
        <f>IF($E290="","",INDEX('Input Transaksi'!$E:$E,$E290))</f>
        <v/>
      </c>
      <c r="D290" s="5">
        <f>IF($E290="","",INDEX('Input Transaksi'!$F:$F,$E290))</f>
        <v/>
      </c>
      <c r="E290">
        <f>IFERROR(AGGREGATE(15,6,ROW('Input Transaksi'!$B$5:$B$5000)/('Input Transaksi'!$B$5:$B$5000="GEDE LONDRI"),ROWS($E$5:E290)),"")</f>
        <v/>
      </c>
      <c r="F290" s="5" t="n"/>
    </row>
    <row r="291">
      <c r="A291" s="10">
        <f>IF($E291="","",INDEX('Input Transaksi'!$A:$A,$E291))</f>
        <v/>
      </c>
      <c r="B291" s="5">
        <f>IF($E291="","",INDEX('Input Transaksi'!$D:$D,$E291))</f>
        <v/>
      </c>
      <c r="C291">
        <f>IF($E291="","",INDEX('Input Transaksi'!$E:$E,$E291))</f>
        <v/>
      </c>
      <c r="D291" s="5">
        <f>IF($E291="","",INDEX('Input Transaksi'!$F:$F,$E291))</f>
        <v/>
      </c>
      <c r="E291">
        <f>IFERROR(AGGREGATE(15,6,ROW('Input Transaksi'!$B$5:$B$5000)/('Input Transaksi'!$B$5:$B$5000="GEDE LONDRI"),ROWS($E$5:E291)),"")</f>
        <v/>
      </c>
      <c r="F291" s="5" t="n"/>
    </row>
    <row r="292">
      <c r="A292" s="10">
        <f>IF($E292="","",INDEX('Input Transaksi'!$A:$A,$E292))</f>
        <v/>
      </c>
      <c r="B292" s="5">
        <f>IF($E292="","",INDEX('Input Transaksi'!$D:$D,$E292))</f>
        <v/>
      </c>
      <c r="C292">
        <f>IF($E292="","",INDEX('Input Transaksi'!$E:$E,$E292))</f>
        <v/>
      </c>
      <c r="D292" s="5">
        <f>IF($E292="","",INDEX('Input Transaksi'!$F:$F,$E292))</f>
        <v/>
      </c>
      <c r="E292">
        <f>IFERROR(AGGREGATE(15,6,ROW('Input Transaksi'!$B$5:$B$5000)/('Input Transaksi'!$B$5:$B$5000="GEDE LONDRI"),ROWS($E$5:E292)),"")</f>
        <v/>
      </c>
      <c r="F292" s="5" t="n"/>
    </row>
    <row r="293">
      <c r="A293" s="10">
        <f>IF($E293="","",INDEX('Input Transaksi'!$A:$A,$E293))</f>
        <v/>
      </c>
      <c r="B293" s="5">
        <f>IF($E293="","",INDEX('Input Transaksi'!$D:$D,$E293))</f>
        <v/>
      </c>
      <c r="C293">
        <f>IF($E293="","",INDEX('Input Transaksi'!$E:$E,$E293))</f>
        <v/>
      </c>
      <c r="D293" s="5">
        <f>IF($E293="","",INDEX('Input Transaksi'!$F:$F,$E293))</f>
        <v/>
      </c>
      <c r="E293">
        <f>IFERROR(AGGREGATE(15,6,ROW('Input Transaksi'!$B$5:$B$5000)/('Input Transaksi'!$B$5:$B$5000="GEDE LONDRI"),ROWS($E$5:E293)),"")</f>
        <v/>
      </c>
      <c r="F293" s="5" t="n"/>
    </row>
    <row r="294">
      <c r="A294" s="10">
        <f>IF($E294="","",INDEX('Input Transaksi'!$A:$A,$E294))</f>
        <v/>
      </c>
      <c r="B294" s="5">
        <f>IF($E294="","",INDEX('Input Transaksi'!$D:$D,$E294))</f>
        <v/>
      </c>
      <c r="C294">
        <f>IF($E294="","",INDEX('Input Transaksi'!$E:$E,$E294))</f>
        <v/>
      </c>
      <c r="D294" s="5">
        <f>IF($E294="","",INDEX('Input Transaksi'!$F:$F,$E294))</f>
        <v/>
      </c>
      <c r="E294">
        <f>IFERROR(AGGREGATE(15,6,ROW('Input Transaksi'!$B$5:$B$5000)/('Input Transaksi'!$B$5:$B$5000="GEDE LONDRI"),ROWS($E$5:E294)),"")</f>
        <v/>
      </c>
      <c r="F294" s="5" t="n"/>
    </row>
    <row r="295">
      <c r="A295" s="10">
        <f>IF($E295="","",INDEX('Input Transaksi'!$A:$A,$E295))</f>
        <v/>
      </c>
      <c r="B295" s="5">
        <f>IF($E295="","",INDEX('Input Transaksi'!$D:$D,$E295))</f>
        <v/>
      </c>
      <c r="C295">
        <f>IF($E295="","",INDEX('Input Transaksi'!$E:$E,$E295))</f>
        <v/>
      </c>
      <c r="D295" s="5">
        <f>IF($E295="","",INDEX('Input Transaksi'!$F:$F,$E295))</f>
        <v/>
      </c>
      <c r="E295">
        <f>IFERROR(AGGREGATE(15,6,ROW('Input Transaksi'!$B$5:$B$5000)/('Input Transaksi'!$B$5:$B$5000="GEDE LONDRI"),ROWS($E$5:E295)),"")</f>
        <v/>
      </c>
      <c r="F295" s="5" t="n"/>
    </row>
    <row r="296">
      <c r="A296" s="10">
        <f>IF($E296="","",INDEX('Input Transaksi'!$A:$A,$E296))</f>
        <v/>
      </c>
      <c r="B296" s="5">
        <f>IF($E296="","",INDEX('Input Transaksi'!$D:$D,$E296))</f>
        <v/>
      </c>
      <c r="C296">
        <f>IF($E296="","",INDEX('Input Transaksi'!$E:$E,$E296))</f>
        <v/>
      </c>
      <c r="D296" s="5">
        <f>IF($E296="","",INDEX('Input Transaksi'!$F:$F,$E296))</f>
        <v/>
      </c>
      <c r="E296">
        <f>IFERROR(AGGREGATE(15,6,ROW('Input Transaksi'!$B$5:$B$5000)/('Input Transaksi'!$B$5:$B$5000="GEDE LONDRI"),ROWS($E$5:E296)),"")</f>
        <v/>
      </c>
      <c r="F296" s="5" t="n"/>
    </row>
    <row r="297">
      <c r="A297" s="10">
        <f>IF($E297="","",INDEX('Input Transaksi'!$A:$A,$E297))</f>
        <v/>
      </c>
      <c r="B297" s="5">
        <f>IF($E297="","",INDEX('Input Transaksi'!$D:$D,$E297))</f>
        <v/>
      </c>
      <c r="C297">
        <f>IF($E297="","",INDEX('Input Transaksi'!$E:$E,$E297))</f>
        <v/>
      </c>
      <c r="D297" s="5">
        <f>IF($E297="","",INDEX('Input Transaksi'!$F:$F,$E297))</f>
        <v/>
      </c>
      <c r="E297">
        <f>IFERROR(AGGREGATE(15,6,ROW('Input Transaksi'!$B$5:$B$5000)/('Input Transaksi'!$B$5:$B$5000="GEDE LONDRI"),ROWS($E$5:E297)),"")</f>
        <v/>
      </c>
      <c r="F297" s="5" t="n"/>
    </row>
    <row r="298">
      <c r="A298" s="10">
        <f>IF($E298="","",INDEX('Input Transaksi'!$A:$A,$E298))</f>
        <v/>
      </c>
      <c r="B298" s="5">
        <f>IF($E298="","",INDEX('Input Transaksi'!$D:$D,$E298))</f>
        <v/>
      </c>
      <c r="C298">
        <f>IF($E298="","",INDEX('Input Transaksi'!$E:$E,$E298))</f>
        <v/>
      </c>
      <c r="D298" s="5">
        <f>IF($E298="","",INDEX('Input Transaksi'!$F:$F,$E298))</f>
        <v/>
      </c>
      <c r="E298">
        <f>IFERROR(AGGREGATE(15,6,ROW('Input Transaksi'!$B$5:$B$5000)/('Input Transaksi'!$B$5:$B$5000="GEDE LONDRI"),ROWS($E$5:E298)),"")</f>
        <v/>
      </c>
      <c r="F298" s="5" t="n"/>
    </row>
    <row r="299">
      <c r="A299" s="10">
        <f>IF($E299="","",INDEX('Input Transaksi'!$A:$A,$E299))</f>
        <v/>
      </c>
      <c r="B299" s="5">
        <f>IF($E299="","",INDEX('Input Transaksi'!$D:$D,$E299))</f>
        <v/>
      </c>
      <c r="C299">
        <f>IF($E299="","",INDEX('Input Transaksi'!$E:$E,$E299))</f>
        <v/>
      </c>
      <c r="D299" s="5">
        <f>IF($E299="","",INDEX('Input Transaksi'!$F:$F,$E299))</f>
        <v/>
      </c>
      <c r="E299">
        <f>IFERROR(AGGREGATE(15,6,ROW('Input Transaksi'!$B$5:$B$5000)/('Input Transaksi'!$B$5:$B$5000="GEDE LONDRI"),ROWS($E$5:E299)),"")</f>
        <v/>
      </c>
      <c r="F299" s="5" t="n"/>
    </row>
    <row r="300">
      <c r="A300" s="10">
        <f>IF($E300="","",INDEX('Input Transaksi'!$A:$A,$E300))</f>
        <v/>
      </c>
      <c r="B300" s="5">
        <f>IF($E300="","",INDEX('Input Transaksi'!$D:$D,$E300))</f>
        <v/>
      </c>
      <c r="C300">
        <f>IF($E300="","",INDEX('Input Transaksi'!$E:$E,$E300))</f>
        <v/>
      </c>
      <c r="D300" s="5">
        <f>IF($E300="","",INDEX('Input Transaksi'!$F:$F,$E300))</f>
        <v/>
      </c>
      <c r="E300">
        <f>IFERROR(AGGREGATE(15,6,ROW('Input Transaksi'!$B$5:$B$5000)/('Input Transaksi'!$B$5:$B$5000="GEDE LONDRI"),ROWS($E$5:E300)),"")</f>
        <v/>
      </c>
      <c r="F300" s="5" t="n"/>
    </row>
    <row r="301">
      <c r="A301" s="10">
        <f>IF($E301="","",INDEX('Input Transaksi'!$A:$A,$E301))</f>
        <v/>
      </c>
      <c r="B301" s="5">
        <f>IF($E301="","",INDEX('Input Transaksi'!$D:$D,$E301))</f>
        <v/>
      </c>
      <c r="C301">
        <f>IF($E301="","",INDEX('Input Transaksi'!$E:$E,$E301))</f>
        <v/>
      </c>
      <c r="D301" s="5">
        <f>IF($E301="","",INDEX('Input Transaksi'!$F:$F,$E301))</f>
        <v/>
      </c>
      <c r="E301">
        <f>IFERROR(AGGREGATE(15,6,ROW('Input Transaksi'!$B$5:$B$5000)/('Input Transaksi'!$B$5:$B$5000="GEDE LONDRI"),ROWS($E$5:E301)),"")</f>
        <v/>
      </c>
      <c r="F301" s="5" t="n"/>
    </row>
    <row r="302">
      <c r="A302" s="10">
        <f>IF($E302="","",INDEX('Input Transaksi'!$A:$A,$E302))</f>
        <v/>
      </c>
      <c r="B302" s="5">
        <f>IF($E302="","",INDEX('Input Transaksi'!$D:$D,$E302))</f>
        <v/>
      </c>
      <c r="C302">
        <f>IF($E302="","",INDEX('Input Transaksi'!$E:$E,$E302))</f>
        <v/>
      </c>
      <c r="D302" s="5">
        <f>IF($E302="","",INDEX('Input Transaksi'!$F:$F,$E302))</f>
        <v/>
      </c>
      <c r="E302">
        <f>IFERROR(AGGREGATE(15,6,ROW('Input Transaksi'!$B$5:$B$5000)/('Input Transaksi'!$B$5:$B$5000="GEDE LONDRI"),ROWS($E$5:E302)),"")</f>
        <v/>
      </c>
      <c r="F302" s="5" t="n"/>
    </row>
    <row r="303">
      <c r="A303" s="10">
        <f>IF($E303="","",INDEX('Input Transaksi'!$A:$A,$E303))</f>
        <v/>
      </c>
      <c r="B303" s="5">
        <f>IF($E303="","",INDEX('Input Transaksi'!$D:$D,$E303))</f>
        <v/>
      </c>
      <c r="C303">
        <f>IF($E303="","",INDEX('Input Transaksi'!$E:$E,$E303))</f>
        <v/>
      </c>
      <c r="D303" s="5">
        <f>IF($E303="","",INDEX('Input Transaksi'!$F:$F,$E303))</f>
        <v/>
      </c>
      <c r="E303">
        <f>IFERROR(AGGREGATE(15,6,ROW('Input Transaksi'!$B$5:$B$5000)/('Input Transaksi'!$B$5:$B$5000="GEDE LONDRI"),ROWS($E$5:E303)),"")</f>
        <v/>
      </c>
      <c r="F303" s="5" t="n"/>
    </row>
    <row r="304">
      <c r="A304" s="10">
        <f>IF($E304="","",INDEX('Input Transaksi'!$A:$A,$E304))</f>
        <v/>
      </c>
      <c r="B304" s="5">
        <f>IF($E304="","",INDEX('Input Transaksi'!$D:$D,$E304))</f>
        <v/>
      </c>
      <c r="C304">
        <f>IF($E304="","",INDEX('Input Transaksi'!$E:$E,$E304))</f>
        <v/>
      </c>
      <c r="D304" s="5">
        <f>IF($E304="","",INDEX('Input Transaksi'!$F:$F,$E304))</f>
        <v/>
      </c>
      <c r="E304">
        <f>IFERROR(AGGREGATE(15,6,ROW('Input Transaksi'!$B$5:$B$5000)/('Input Transaksi'!$B$5:$B$5000="GEDE LONDRI"),ROWS($E$5:E304)),"")</f>
        <v/>
      </c>
      <c r="F304" s="5" t="n"/>
    </row>
    <row r="305">
      <c r="A305" s="10">
        <f>IF($E305="","",INDEX('Input Transaksi'!$A:$A,$E305))</f>
        <v/>
      </c>
      <c r="B305" s="5">
        <f>IF($E305="","",INDEX('Input Transaksi'!$D:$D,$E305))</f>
        <v/>
      </c>
      <c r="C305">
        <f>IF($E305="","",INDEX('Input Transaksi'!$E:$E,$E305))</f>
        <v/>
      </c>
      <c r="D305" s="5">
        <f>IF($E305="","",INDEX('Input Transaksi'!$F:$F,$E305))</f>
        <v/>
      </c>
      <c r="E305">
        <f>IFERROR(AGGREGATE(15,6,ROW('Input Transaksi'!$B$5:$B$5000)/('Input Transaksi'!$B$5:$B$5000="GEDE LONDRI"),ROWS($E$5:E305)),"")</f>
        <v/>
      </c>
      <c r="F305" s="5" t="n"/>
    </row>
    <row r="306">
      <c r="A306" s="10">
        <f>IF($E306="","",INDEX('Input Transaksi'!$A:$A,$E306))</f>
        <v/>
      </c>
      <c r="B306" s="5">
        <f>IF($E306="","",INDEX('Input Transaksi'!$D:$D,$E306))</f>
        <v/>
      </c>
      <c r="C306">
        <f>IF($E306="","",INDEX('Input Transaksi'!$E:$E,$E306))</f>
        <v/>
      </c>
      <c r="D306" s="5">
        <f>IF($E306="","",INDEX('Input Transaksi'!$F:$F,$E306))</f>
        <v/>
      </c>
      <c r="E306">
        <f>IFERROR(AGGREGATE(15,6,ROW('Input Transaksi'!$B$5:$B$5000)/('Input Transaksi'!$B$5:$B$5000="GEDE LONDRI"),ROWS($E$5:E306)),"")</f>
        <v/>
      </c>
      <c r="F306" s="5" t="n"/>
    </row>
    <row r="307">
      <c r="A307" s="10">
        <f>IF($E307="","",INDEX('Input Transaksi'!$A:$A,$E307))</f>
        <v/>
      </c>
      <c r="B307" s="5">
        <f>IF($E307="","",INDEX('Input Transaksi'!$D:$D,$E307))</f>
        <v/>
      </c>
      <c r="C307">
        <f>IF($E307="","",INDEX('Input Transaksi'!$E:$E,$E307))</f>
        <v/>
      </c>
      <c r="D307" s="5">
        <f>IF($E307="","",INDEX('Input Transaksi'!$F:$F,$E307))</f>
        <v/>
      </c>
      <c r="E307">
        <f>IFERROR(AGGREGATE(15,6,ROW('Input Transaksi'!$B$5:$B$5000)/('Input Transaksi'!$B$5:$B$5000="GEDE LONDRI"),ROWS($E$5:E307)),"")</f>
        <v/>
      </c>
      <c r="F307" s="5" t="n"/>
    </row>
    <row r="308">
      <c r="A308" s="10">
        <f>IF($E308="","",INDEX('Input Transaksi'!$A:$A,$E308))</f>
        <v/>
      </c>
      <c r="B308" s="5">
        <f>IF($E308="","",INDEX('Input Transaksi'!$D:$D,$E308))</f>
        <v/>
      </c>
      <c r="C308">
        <f>IF($E308="","",INDEX('Input Transaksi'!$E:$E,$E308))</f>
        <v/>
      </c>
      <c r="D308" s="5">
        <f>IF($E308="","",INDEX('Input Transaksi'!$F:$F,$E308))</f>
        <v/>
      </c>
      <c r="E308">
        <f>IFERROR(AGGREGATE(15,6,ROW('Input Transaksi'!$B$5:$B$5000)/('Input Transaksi'!$B$5:$B$5000="GEDE LONDRI"),ROWS($E$5:E308)),"")</f>
        <v/>
      </c>
      <c r="F308" s="5" t="n"/>
    </row>
    <row r="309">
      <c r="A309" s="10">
        <f>IF($E309="","",INDEX('Input Transaksi'!$A:$A,$E309))</f>
        <v/>
      </c>
      <c r="B309" s="5">
        <f>IF($E309="","",INDEX('Input Transaksi'!$D:$D,$E309))</f>
        <v/>
      </c>
      <c r="C309">
        <f>IF($E309="","",INDEX('Input Transaksi'!$E:$E,$E309))</f>
        <v/>
      </c>
      <c r="D309" s="5">
        <f>IF($E309="","",INDEX('Input Transaksi'!$F:$F,$E309))</f>
        <v/>
      </c>
      <c r="E309">
        <f>IFERROR(AGGREGATE(15,6,ROW('Input Transaksi'!$B$5:$B$5000)/('Input Transaksi'!$B$5:$B$5000="GEDE LONDRI"),ROWS($E$5:E309)),"")</f>
        <v/>
      </c>
      <c r="F309" s="5" t="n"/>
    </row>
    <row r="310">
      <c r="A310" s="10">
        <f>IF($E310="","",INDEX('Input Transaksi'!$A:$A,$E310))</f>
        <v/>
      </c>
      <c r="B310" s="5">
        <f>IF($E310="","",INDEX('Input Transaksi'!$D:$D,$E310))</f>
        <v/>
      </c>
      <c r="C310">
        <f>IF($E310="","",INDEX('Input Transaksi'!$E:$E,$E310))</f>
        <v/>
      </c>
      <c r="D310" s="5">
        <f>IF($E310="","",INDEX('Input Transaksi'!$F:$F,$E310))</f>
        <v/>
      </c>
      <c r="E310">
        <f>IFERROR(AGGREGATE(15,6,ROW('Input Transaksi'!$B$5:$B$5000)/('Input Transaksi'!$B$5:$B$5000="GEDE LONDRI"),ROWS($E$5:E310)),"")</f>
        <v/>
      </c>
      <c r="F310" s="5" t="n"/>
    </row>
    <row r="311">
      <c r="A311" s="10">
        <f>IF($E311="","",INDEX('Input Transaksi'!$A:$A,$E311))</f>
        <v/>
      </c>
      <c r="B311" s="5">
        <f>IF($E311="","",INDEX('Input Transaksi'!$D:$D,$E311))</f>
        <v/>
      </c>
      <c r="C311">
        <f>IF($E311="","",INDEX('Input Transaksi'!$E:$E,$E311))</f>
        <v/>
      </c>
      <c r="D311" s="5">
        <f>IF($E311="","",INDEX('Input Transaksi'!$F:$F,$E311))</f>
        <v/>
      </c>
      <c r="E311">
        <f>IFERROR(AGGREGATE(15,6,ROW('Input Transaksi'!$B$5:$B$5000)/('Input Transaksi'!$B$5:$B$5000="GEDE LONDRI"),ROWS($E$5:E311)),"")</f>
        <v/>
      </c>
      <c r="F311" s="5" t="n"/>
    </row>
    <row r="312">
      <c r="A312" s="10">
        <f>IF($E312="","",INDEX('Input Transaksi'!$A:$A,$E312))</f>
        <v/>
      </c>
      <c r="B312" s="5">
        <f>IF($E312="","",INDEX('Input Transaksi'!$D:$D,$E312))</f>
        <v/>
      </c>
      <c r="C312">
        <f>IF($E312="","",INDEX('Input Transaksi'!$E:$E,$E312))</f>
        <v/>
      </c>
      <c r="D312" s="5">
        <f>IF($E312="","",INDEX('Input Transaksi'!$F:$F,$E312))</f>
        <v/>
      </c>
      <c r="E312">
        <f>IFERROR(AGGREGATE(15,6,ROW('Input Transaksi'!$B$5:$B$5000)/('Input Transaksi'!$B$5:$B$5000="GEDE LONDRI"),ROWS($E$5:E312)),"")</f>
        <v/>
      </c>
      <c r="F312" s="5" t="n"/>
    </row>
    <row r="313">
      <c r="A313" s="10">
        <f>IF($E313="","",INDEX('Input Transaksi'!$A:$A,$E313))</f>
        <v/>
      </c>
      <c r="B313" s="5">
        <f>IF($E313="","",INDEX('Input Transaksi'!$D:$D,$E313))</f>
        <v/>
      </c>
      <c r="C313">
        <f>IF($E313="","",INDEX('Input Transaksi'!$E:$E,$E313))</f>
        <v/>
      </c>
      <c r="D313" s="5">
        <f>IF($E313="","",INDEX('Input Transaksi'!$F:$F,$E313))</f>
        <v/>
      </c>
      <c r="E313">
        <f>IFERROR(AGGREGATE(15,6,ROW('Input Transaksi'!$B$5:$B$5000)/('Input Transaksi'!$B$5:$B$5000="GEDE LONDRI"),ROWS($E$5:E313)),"")</f>
        <v/>
      </c>
      <c r="F313" s="5" t="n"/>
    </row>
    <row r="314">
      <c r="A314" s="10">
        <f>IF($E314="","",INDEX('Input Transaksi'!$A:$A,$E314))</f>
        <v/>
      </c>
      <c r="B314" s="5">
        <f>IF($E314="","",INDEX('Input Transaksi'!$D:$D,$E314))</f>
        <v/>
      </c>
      <c r="C314">
        <f>IF($E314="","",INDEX('Input Transaksi'!$E:$E,$E314))</f>
        <v/>
      </c>
      <c r="D314" s="5">
        <f>IF($E314="","",INDEX('Input Transaksi'!$F:$F,$E314))</f>
        <v/>
      </c>
      <c r="E314">
        <f>IFERROR(AGGREGATE(15,6,ROW('Input Transaksi'!$B$5:$B$5000)/('Input Transaksi'!$B$5:$B$5000="GEDE LONDRI"),ROWS($E$5:E314)),"")</f>
        <v/>
      </c>
      <c r="F314" s="5" t="n"/>
    </row>
    <row r="315">
      <c r="A315" s="10">
        <f>IF($E315="","",INDEX('Input Transaksi'!$A:$A,$E315))</f>
        <v/>
      </c>
      <c r="B315" s="5">
        <f>IF($E315="","",INDEX('Input Transaksi'!$D:$D,$E315))</f>
        <v/>
      </c>
      <c r="C315">
        <f>IF($E315="","",INDEX('Input Transaksi'!$E:$E,$E315))</f>
        <v/>
      </c>
      <c r="D315" s="5">
        <f>IF($E315="","",INDEX('Input Transaksi'!$F:$F,$E315))</f>
        <v/>
      </c>
      <c r="E315">
        <f>IFERROR(AGGREGATE(15,6,ROW('Input Transaksi'!$B$5:$B$5000)/('Input Transaksi'!$B$5:$B$5000="GEDE LONDRI"),ROWS($E$5:E315)),"")</f>
        <v/>
      </c>
      <c r="F315" s="5" t="n"/>
    </row>
    <row r="316">
      <c r="A316" s="10">
        <f>IF($E316="","",INDEX('Input Transaksi'!$A:$A,$E316))</f>
        <v/>
      </c>
      <c r="B316" s="5">
        <f>IF($E316="","",INDEX('Input Transaksi'!$D:$D,$E316))</f>
        <v/>
      </c>
      <c r="C316">
        <f>IF($E316="","",INDEX('Input Transaksi'!$E:$E,$E316))</f>
        <v/>
      </c>
      <c r="D316" s="5">
        <f>IF($E316="","",INDEX('Input Transaksi'!$F:$F,$E316))</f>
        <v/>
      </c>
      <c r="E316">
        <f>IFERROR(AGGREGATE(15,6,ROW('Input Transaksi'!$B$5:$B$5000)/('Input Transaksi'!$B$5:$B$5000="GEDE LONDRI"),ROWS($E$5:E316)),"")</f>
        <v/>
      </c>
      <c r="F316" s="5" t="n"/>
    </row>
    <row r="317">
      <c r="A317" s="10">
        <f>IF($E317="","",INDEX('Input Transaksi'!$A:$A,$E317))</f>
        <v/>
      </c>
      <c r="B317" s="5">
        <f>IF($E317="","",INDEX('Input Transaksi'!$D:$D,$E317))</f>
        <v/>
      </c>
      <c r="C317">
        <f>IF($E317="","",INDEX('Input Transaksi'!$E:$E,$E317))</f>
        <v/>
      </c>
      <c r="D317" s="5">
        <f>IF($E317="","",INDEX('Input Transaksi'!$F:$F,$E317))</f>
        <v/>
      </c>
      <c r="E317">
        <f>IFERROR(AGGREGATE(15,6,ROW('Input Transaksi'!$B$5:$B$5000)/('Input Transaksi'!$B$5:$B$5000="GEDE LONDRI"),ROWS($E$5:E317)),"")</f>
        <v/>
      </c>
      <c r="F317" s="5" t="n"/>
    </row>
    <row r="318">
      <c r="A318" s="10">
        <f>IF($E318="","",INDEX('Input Transaksi'!$A:$A,$E318))</f>
        <v/>
      </c>
      <c r="B318" s="5">
        <f>IF($E318="","",INDEX('Input Transaksi'!$D:$D,$E318))</f>
        <v/>
      </c>
      <c r="C318">
        <f>IF($E318="","",INDEX('Input Transaksi'!$E:$E,$E318))</f>
        <v/>
      </c>
      <c r="D318" s="5">
        <f>IF($E318="","",INDEX('Input Transaksi'!$F:$F,$E318))</f>
        <v/>
      </c>
      <c r="E318">
        <f>IFERROR(AGGREGATE(15,6,ROW('Input Transaksi'!$B$5:$B$5000)/('Input Transaksi'!$B$5:$B$5000="GEDE LONDRI"),ROWS($E$5:E318)),"")</f>
        <v/>
      </c>
      <c r="F318" s="5" t="n"/>
    </row>
    <row r="319">
      <c r="A319" s="10">
        <f>IF($E319="","",INDEX('Input Transaksi'!$A:$A,$E319))</f>
        <v/>
      </c>
      <c r="B319" s="5">
        <f>IF($E319="","",INDEX('Input Transaksi'!$D:$D,$E319))</f>
        <v/>
      </c>
      <c r="C319">
        <f>IF($E319="","",INDEX('Input Transaksi'!$E:$E,$E319))</f>
        <v/>
      </c>
      <c r="D319" s="5">
        <f>IF($E319="","",INDEX('Input Transaksi'!$F:$F,$E319))</f>
        <v/>
      </c>
      <c r="E319">
        <f>IFERROR(AGGREGATE(15,6,ROW('Input Transaksi'!$B$5:$B$5000)/('Input Transaksi'!$B$5:$B$5000="GEDE LONDRI"),ROWS($E$5:E319)),"")</f>
        <v/>
      </c>
      <c r="F319" s="5" t="n"/>
    </row>
    <row r="320">
      <c r="A320" s="10">
        <f>IF($E320="","",INDEX('Input Transaksi'!$A:$A,$E320))</f>
        <v/>
      </c>
      <c r="B320" s="5">
        <f>IF($E320="","",INDEX('Input Transaksi'!$D:$D,$E320))</f>
        <v/>
      </c>
      <c r="C320">
        <f>IF($E320="","",INDEX('Input Transaksi'!$E:$E,$E320))</f>
        <v/>
      </c>
      <c r="D320" s="5">
        <f>IF($E320="","",INDEX('Input Transaksi'!$F:$F,$E320))</f>
        <v/>
      </c>
      <c r="E320">
        <f>IFERROR(AGGREGATE(15,6,ROW('Input Transaksi'!$B$5:$B$5000)/('Input Transaksi'!$B$5:$B$5000="GEDE LONDRI"),ROWS($E$5:E320)),"")</f>
        <v/>
      </c>
      <c r="F320" s="5" t="n"/>
    </row>
    <row r="321">
      <c r="A321" s="10">
        <f>IF($E321="","",INDEX('Input Transaksi'!$A:$A,$E321))</f>
        <v/>
      </c>
      <c r="B321" s="5">
        <f>IF($E321="","",INDEX('Input Transaksi'!$D:$D,$E321))</f>
        <v/>
      </c>
      <c r="C321">
        <f>IF($E321="","",INDEX('Input Transaksi'!$E:$E,$E321))</f>
        <v/>
      </c>
      <c r="D321" s="5">
        <f>IF($E321="","",INDEX('Input Transaksi'!$F:$F,$E321))</f>
        <v/>
      </c>
      <c r="E321">
        <f>IFERROR(AGGREGATE(15,6,ROW('Input Transaksi'!$B$5:$B$5000)/('Input Transaksi'!$B$5:$B$5000="GEDE LONDRI"),ROWS($E$5:E321)),"")</f>
        <v/>
      </c>
      <c r="F321" s="5" t="n"/>
    </row>
    <row r="322">
      <c r="A322" s="10">
        <f>IF($E322="","",INDEX('Input Transaksi'!$A:$A,$E322))</f>
        <v/>
      </c>
      <c r="B322" s="5">
        <f>IF($E322="","",INDEX('Input Transaksi'!$D:$D,$E322))</f>
        <v/>
      </c>
      <c r="C322">
        <f>IF($E322="","",INDEX('Input Transaksi'!$E:$E,$E322))</f>
        <v/>
      </c>
      <c r="D322" s="5">
        <f>IF($E322="","",INDEX('Input Transaksi'!$F:$F,$E322))</f>
        <v/>
      </c>
      <c r="E322">
        <f>IFERROR(AGGREGATE(15,6,ROW('Input Transaksi'!$B$5:$B$5000)/('Input Transaksi'!$B$5:$B$5000="GEDE LONDRI"),ROWS($E$5:E322)),"")</f>
        <v/>
      </c>
      <c r="F322" s="5" t="n"/>
    </row>
    <row r="323">
      <c r="A323" s="10">
        <f>IF($E323="","",INDEX('Input Transaksi'!$A:$A,$E323))</f>
        <v/>
      </c>
      <c r="B323" s="5">
        <f>IF($E323="","",INDEX('Input Transaksi'!$D:$D,$E323))</f>
        <v/>
      </c>
      <c r="C323">
        <f>IF($E323="","",INDEX('Input Transaksi'!$E:$E,$E323))</f>
        <v/>
      </c>
      <c r="D323" s="5">
        <f>IF($E323="","",INDEX('Input Transaksi'!$F:$F,$E323))</f>
        <v/>
      </c>
      <c r="E323">
        <f>IFERROR(AGGREGATE(15,6,ROW('Input Transaksi'!$B$5:$B$5000)/('Input Transaksi'!$B$5:$B$5000="GEDE LONDRI"),ROWS($E$5:E323)),"")</f>
        <v/>
      </c>
      <c r="F323" s="5" t="n"/>
    </row>
    <row r="324">
      <c r="A324" s="10">
        <f>IF($E324="","",INDEX('Input Transaksi'!$A:$A,$E324))</f>
        <v/>
      </c>
      <c r="B324" s="5">
        <f>IF($E324="","",INDEX('Input Transaksi'!$D:$D,$E324))</f>
        <v/>
      </c>
      <c r="C324">
        <f>IF($E324="","",INDEX('Input Transaksi'!$E:$E,$E324))</f>
        <v/>
      </c>
      <c r="D324" s="5">
        <f>IF($E324="","",INDEX('Input Transaksi'!$F:$F,$E324))</f>
        <v/>
      </c>
      <c r="E324">
        <f>IFERROR(AGGREGATE(15,6,ROW('Input Transaksi'!$B$5:$B$5000)/('Input Transaksi'!$B$5:$B$5000="GEDE LONDRI"),ROWS($E$5:E324)),"")</f>
        <v/>
      </c>
      <c r="F324" s="5" t="n"/>
    </row>
    <row r="325">
      <c r="A325" s="10">
        <f>IF($E325="","",INDEX('Input Transaksi'!$A:$A,$E325))</f>
        <v/>
      </c>
      <c r="B325" s="5">
        <f>IF($E325="","",INDEX('Input Transaksi'!$D:$D,$E325))</f>
        <v/>
      </c>
      <c r="C325">
        <f>IF($E325="","",INDEX('Input Transaksi'!$E:$E,$E325))</f>
        <v/>
      </c>
      <c r="D325" s="5">
        <f>IF($E325="","",INDEX('Input Transaksi'!$F:$F,$E325))</f>
        <v/>
      </c>
      <c r="E325">
        <f>IFERROR(AGGREGATE(15,6,ROW('Input Transaksi'!$B$5:$B$5000)/('Input Transaksi'!$B$5:$B$5000="GEDE LONDRI"),ROWS($E$5:E325)),"")</f>
        <v/>
      </c>
      <c r="F325" s="5" t="n"/>
    </row>
    <row r="326">
      <c r="A326" s="10">
        <f>IF($E326="","",INDEX('Input Transaksi'!$A:$A,$E326))</f>
        <v/>
      </c>
      <c r="B326" s="5">
        <f>IF($E326="","",INDEX('Input Transaksi'!$D:$D,$E326))</f>
        <v/>
      </c>
      <c r="C326">
        <f>IF($E326="","",INDEX('Input Transaksi'!$E:$E,$E326))</f>
        <v/>
      </c>
      <c r="D326" s="5">
        <f>IF($E326="","",INDEX('Input Transaksi'!$F:$F,$E326))</f>
        <v/>
      </c>
      <c r="E326">
        <f>IFERROR(AGGREGATE(15,6,ROW('Input Transaksi'!$B$5:$B$5000)/('Input Transaksi'!$B$5:$B$5000="GEDE LONDRI"),ROWS($E$5:E326)),"")</f>
        <v/>
      </c>
      <c r="F326" s="5" t="n"/>
    </row>
    <row r="327">
      <c r="A327" s="10">
        <f>IF($E327="","",INDEX('Input Transaksi'!$A:$A,$E327))</f>
        <v/>
      </c>
      <c r="B327" s="5">
        <f>IF($E327="","",INDEX('Input Transaksi'!$D:$D,$E327))</f>
        <v/>
      </c>
      <c r="C327">
        <f>IF($E327="","",INDEX('Input Transaksi'!$E:$E,$E327))</f>
        <v/>
      </c>
      <c r="D327" s="5">
        <f>IF($E327="","",INDEX('Input Transaksi'!$F:$F,$E327))</f>
        <v/>
      </c>
      <c r="E327">
        <f>IFERROR(AGGREGATE(15,6,ROW('Input Transaksi'!$B$5:$B$5000)/('Input Transaksi'!$B$5:$B$5000="GEDE LONDRI"),ROWS($E$5:E327)),"")</f>
        <v/>
      </c>
      <c r="F327" s="5" t="n"/>
    </row>
    <row r="328">
      <c r="A328" s="10">
        <f>IF($E328="","",INDEX('Input Transaksi'!$A:$A,$E328))</f>
        <v/>
      </c>
      <c r="B328" s="5">
        <f>IF($E328="","",INDEX('Input Transaksi'!$D:$D,$E328))</f>
        <v/>
      </c>
      <c r="C328">
        <f>IF($E328="","",INDEX('Input Transaksi'!$E:$E,$E328))</f>
        <v/>
      </c>
      <c r="D328" s="5">
        <f>IF($E328="","",INDEX('Input Transaksi'!$F:$F,$E328))</f>
        <v/>
      </c>
      <c r="E328">
        <f>IFERROR(AGGREGATE(15,6,ROW('Input Transaksi'!$B$5:$B$5000)/('Input Transaksi'!$B$5:$B$5000="GEDE LONDRI"),ROWS($E$5:E328)),"")</f>
        <v/>
      </c>
      <c r="F328" s="5" t="n"/>
    </row>
    <row r="329">
      <c r="A329" s="10">
        <f>IF($E329="","",INDEX('Input Transaksi'!$A:$A,$E329))</f>
        <v/>
      </c>
      <c r="B329" s="5">
        <f>IF($E329="","",INDEX('Input Transaksi'!$D:$D,$E329))</f>
        <v/>
      </c>
      <c r="C329">
        <f>IF($E329="","",INDEX('Input Transaksi'!$E:$E,$E329))</f>
        <v/>
      </c>
      <c r="D329" s="5">
        <f>IF($E329="","",INDEX('Input Transaksi'!$F:$F,$E329))</f>
        <v/>
      </c>
      <c r="E329">
        <f>IFERROR(AGGREGATE(15,6,ROW('Input Transaksi'!$B$5:$B$5000)/('Input Transaksi'!$B$5:$B$5000="GEDE LONDRI"),ROWS($E$5:E329)),"")</f>
        <v/>
      </c>
      <c r="F329" s="5" t="n"/>
    </row>
    <row r="330">
      <c r="A330" s="10">
        <f>IF($E330="","",INDEX('Input Transaksi'!$A:$A,$E330))</f>
        <v/>
      </c>
      <c r="B330" s="5">
        <f>IF($E330="","",INDEX('Input Transaksi'!$D:$D,$E330))</f>
        <v/>
      </c>
      <c r="C330">
        <f>IF($E330="","",INDEX('Input Transaksi'!$E:$E,$E330))</f>
        <v/>
      </c>
      <c r="D330" s="5">
        <f>IF($E330="","",INDEX('Input Transaksi'!$F:$F,$E330))</f>
        <v/>
      </c>
      <c r="E330">
        <f>IFERROR(AGGREGATE(15,6,ROW('Input Transaksi'!$B$5:$B$5000)/('Input Transaksi'!$B$5:$B$5000="GEDE LONDRI"),ROWS($E$5:E330)),"")</f>
        <v/>
      </c>
      <c r="F330" s="5" t="n"/>
    </row>
    <row r="331">
      <c r="A331" s="10">
        <f>IF($E331="","",INDEX('Input Transaksi'!$A:$A,$E331))</f>
        <v/>
      </c>
      <c r="B331" s="5">
        <f>IF($E331="","",INDEX('Input Transaksi'!$D:$D,$E331))</f>
        <v/>
      </c>
      <c r="C331">
        <f>IF($E331="","",INDEX('Input Transaksi'!$E:$E,$E331))</f>
        <v/>
      </c>
      <c r="D331" s="5">
        <f>IF($E331="","",INDEX('Input Transaksi'!$F:$F,$E331))</f>
        <v/>
      </c>
      <c r="E331">
        <f>IFERROR(AGGREGATE(15,6,ROW('Input Transaksi'!$B$5:$B$5000)/('Input Transaksi'!$B$5:$B$5000="GEDE LONDRI"),ROWS($E$5:E331)),"")</f>
        <v/>
      </c>
      <c r="F331" s="5" t="n"/>
    </row>
    <row r="332">
      <c r="A332" s="10">
        <f>IF($E332="","",INDEX('Input Transaksi'!$A:$A,$E332))</f>
        <v/>
      </c>
      <c r="B332" s="5">
        <f>IF($E332="","",INDEX('Input Transaksi'!$D:$D,$E332))</f>
        <v/>
      </c>
      <c r="C332">
        <f>IF($E332="","",INDEX('Input Transaksi'!$E:$E,$E332))</f>
        <v/>
      </c>
      <c r="D332" s="5">
        <f>IF($E332="","",INDEX('Input Transaksi'!$F:$F,$E332))</f>
        <v/>
      </c>
      <c r="E332">
        <f>IFERROR(AGGREGATE(15,6,ROW('Input Transaksi'!$B$5:$B$5000)/('Input Transaksi'!$B$5:$B$5000="GEDE LONDRI"),ROWS($E$5:E332)),"")</f>
        <v/>
      </c>
      <c r="F332" s="5" t="n"/>
    </row>
    <row r="333">
      <c r="A333" s="10">
        <f>IF($E333="","",INDEX('Input Transaksi'!$A:$A,$E333))</f>
        <v/>
      </c>
      <c r="B333" s="5">
        <f>IF($E333="","",INDEX('Input Transaksi'!$D:$D,$E333))</f>
        <v/>
      </c>
      <c r="C333">
        <f>IF($E333="","",INDEX('Input Transaksi'!$E:$E,$E333))</f>
        <v/>
      </c>
      <c r="D333" s="5">
        <f>IF($E333="","",INDEX('Input Transaksi'!$F:$F,$E333))</f>
        <v/>
      </c>
      <c r="E333">
        <f>IFERROR(AGGREGATE(15,6,ROW('Input Transaksi'!$B$5:$B$5000)/('Input Transaksi'!$B$5:$B$5000="GEDE LONDRI"),ROWS($E$5:E333)),"")</f>
        <v/>
      </c>
      <c r="F333" s="5" t="n"/>
    </row>
    <row r="334">
      <c r="A334" s="10">
        <f>IF($E334="","",INDEX('Input Transaksi'!$A:$A,$E334))</f>
        <v/>
      </c>
      <c r="B334" s="5">
        <f>IF($E334="","",INDEX('Input Transaksi'!$D:$D,$E334))</f>
        <v/>
      </c>
      <c r="C334">
        <f>IF($E334="","",INDEX('Input Transaksi'!$E:$E,$E334))</f>
        <v/>
      </c>
      <c r="D334" s="5">
        <f>IF($E334="","",INDEX('Input Transaksi'!$F:$F,$E334))</f>
        <v/>
      </c>
      <c r="E334">
        <f>IFERROR(AGGREGATE(15,6,ROW('Input Transaksi'!$B$5:$B$5000)/('Input Transaksi'!$B$5:$B$5000="GEDE LONDRI"),ROWS($E$5:E334)),"")</f>
        <v/>
      </c>
      <c r="F334" s="5" t="n"/>
    </row>
    <row r="335">
      <c r="A335" s="10">
        <f>IF($E335="","",INDEX('Input Transaksi'!$A:$A,$E335))</f>
        <v/>
      </c>
      <c r="B335" s="5">
        <f>IF($E335="","",INDEX('Input Transaksi'!$D:$D,$E335))</f>
        <v/>
      </c>
      <c r="C335">
        <f>IF($E335="","",INDEX('Input Transaksi'!$E:$E,$E335))</f>
        <v/>
      </c>
      <c r="D335" s="5">
        <f>IF($E335="","",INDEX('Input Transaksi'!$F:$F,$E335))</f>
        <v/>
      </c>
      <c r="E335">
        <f>IFERROR(AGGREGATE(15,6,ROW('Input Transaksi'!$B$5:$B$5000)/('Input Transaksi'!$B$5:$B$5000="GEDE LONDRI"),ROWS($E$5:E335)),"")</f>
        <v/>
      </c>
      <c r="F335" s="5" t="n"/>
    </row>
    <row r="336">
      <c r="A336" s="10">
        <f>IF($E336="","",INDEX('Input Transaksi'!$A:$A,$E336))</f>
        <v/>
      </c>
      <c r="B336" s="5">
        <f>IF($E336="","",INDEX('Input Transaksi'!$D:$D,$E336))</f>
        <v/>
      </c>
      <c r="C336">
        <f>IF($E336="","",INDEX('Input Transaksi'!$E:$E,$E336))</f>
        <v/>
      </c>
      <c r="D336" s="5">
        <f>IF($E336="","",INDEX('Input Transaksi'!$F:$F,$E336))</f>
        <v/>
      </c>
      <c r="E336">
        <f>IFERROR(AGGREGATE(15,6,ROW('Input Transaksi'!$B$5:$B$5000)/('Input Transaksi'!$B$5:$B$5000="GEDE LONDRI"),ROWS($E$5:E336)),"")</f>
        <v/>
      </c>
      <c r="F336" s="5" t="n"/>
    </row>
    <row r="337">
      <c r="A337" s="10">
        <f>IF($E337="","",INDEX('Input Transaksi'!$A:$A,$E337))</f>
        <v/>
      </c>
      <c r="B337" s="5">
        <f>IF($E337="","",INDEX('Input Transaksi'!$D:$D,$E337))</f>
        <v/>
      </c>
      <c r="C337">
        <f>IF($E337="","",INDEX('Input Transaksi'!$E:$E,$E337))</f>
        <v/>
      </c>
      <c r="D337" s="5">
        <f>IF($E337="","",INDEX('Input Transaksi'!$F:$F,$E337))</f>
        <v/>
      </c>
      <c r="E337">
        <f>IFERROR(AGGREGATE(15,6,ROW('Input Transaksi'!$B$5:$B$5000)/('Input Transaksi'!$B$5:$B$5000="GEDE LONDRI"),ROWS($E$5:E337)),"")</f>
        <v/>
      </c>
      <c r="F337" s="5" t="n"/>
    </row>
    <row r="338">
      <c r="A338" s="10">
        <f>IF($E338="","",INDEX('Input Transaksi'!$A:$A,$E338))</f>
        <v/>
      </c>
      <c r="B338" s="5">
        <f>IF($E338="","",INDEX('Input Transaksi'!$D:$D,$E338))</f>
        <v/>
      </c>
      <c r="C338">
        <f>IF($E338="","",INDEX('Input Transaksi'!$E:$E,$E338))</f>
        <v/>
      </c>
      <c r="D338" s="5">
        <f>IF($E338="","",INDEX('Input Transaksi'!$F:$F,$E338))</f>
        <v/>
      </c>
      <c r="E338">
        <f>IFERROR(AGGREGATE(15,6,ROW('Input Transaksi'!$B$5:$B$5000)/('Input Transaksi'!$B$5:$B$5000="GEDE LONDRI"),ROWS($E$5:E338)),"")</f>
        <v/>
      </c>
      <c r="F338" s="5" t="n"/>
    </row>
    <row r="339">
      <c r="A339" s="10">
        <f>IF($E339="","",INDEX('Input Transaksi'!$A:$A,$E339))</f>
        <v/>
      </c>
      <c r="B339" s="5">
        <f>IF($E339="","",INDEX('Input Transaksi'!$D:$D,$E339))</f>
        <v/>
      </c>
      <c r="C339">
        <f>IF($E339="","",INDEX('Input Transaksi'!$E:$E,$E339))</f>
        <v/>
      </c>
      <c r="D339" s="5">
        <f>IF($E339="","",INDEX('Input Transaksi'!$F:$F,$E339))</f>
        <v/>
      </c>
      <c r="E339">
        <f>IFERROR(AGGREGATE(15,6,ROW('Input Transaksi'!$B$5:$B$5000)/('Input Transaksi'!$B$5:$B$5000="GEDE LONDRI"),ROWS($E$5:E339)),"")</f>
        <v/>
      </c>
      <c r="F339" s="5" t="n"/>
    </row>
    <row r="340">
      <c r="A340" s="10">
        <f>IF($E340="","",INDEX('Input Transaksi'!$A:$A,$E340))</f>
        <v/>
      </c>
      <c r="B340" s="5">
        <f>IF($E340="","",INDEX('Input Transaksi'!$D:$D,$E340))</f>
        <v/>
      </c>
      <c r="C340">
        <f>IF($E340="","",INDEX('Input Transaksi'!$E:$E,$E340))</f>
        <v/>
      </c>
      <c r="D340" s="5">
        <f>IF($E340="","",INDEX('Input Transaksi'!$F:$F,$E340))</f>
        <v/>
      </c>
      <c r="E340">
        <f>IFERROR(AGGREGATE(15,6,ROW('Input Transaksi'!$B$5:$B$5000)/('Input Transaksi'!$B$5:$B$5000="GEDE LONDRI"),ROWS($E$5:E340)),"")</f>
        <v/>
      </c>
      <c r="F340" s="5" t="n"/>
    </row>
    <row r="341">
      <c r="A341" s="10">
        <f>IF($E341="","",INDEX('Input Transaksi'!$A:$A,$E341))</f>
        <v/>
      </c>
      <c r="B341" s="5">
        <f>IF($E341="","",INDEX('Input Transaksi'!$D:$D,$E341))</f>
        <v/>
      </c>
      <c r="C341">
        <f>IF($E341="","",INDEX('Input Transaksi'!$E:$E,$E341))</f>
        <v/>
      </c>
      <c r="D341" s="5">
        <f>IF($E341="","",INDEX('Input Transaksi'!$F:$F,$E341))</f>
        <v/>
      </c>
      <c r="E341">
        <f>IFERROR(AGGREGATE(15,6,ROW('Input Transaksi'!$B$5:$B$5000)/('Input Transaksi'!$B$5:$B$5000="GEDE LONDRI"),ROWS($E$5:E341)),"")</f>
        <v/>
      </c>
      <c r="F341" s="5" t="n"/>
    </row>
    <row r="342">
      <c r="A342" s="10">
        <f>IF($E342="","",INDEX('Input Transaksi'!$A:$A,$E342))</f>
        <v/>
      </c>
      <c r="B342" s="5">
        <f>IF($E342="","",INDEX('Input Transaksi'!$D:$D,$E342))</f>
        <v/>
      </c>
      <c r="C342">
        <f>IF($E342="","",INDEX('Input Transaksi'!$E:$E,$E342))</f>
        <v/>
      </c>
      <c r="D342" s="5">
        <f>IF($E342="","",INDEX('Input Transaksi'!$F:$F,$E342))</f>
        <v/>
      </c>
      <c r="E342">
        <f>IFERROR(AGGREGATE(15,6,ROW('Input Transaksi'!$B$5:$B$5000)/('Input Transaksi'!$B$5:$B$5000="GEDE LONDRI"),ROWS($E$5:E342)),"")</f>
        <v/>
      </c>
      <c r="F342" s="5" t="n"/>
    </row>
    <row r="343">
      <c r="A343" s="10">
        <f>IF($E343="","",INDEX('Input Transaksi'!$A:$A,$E343))</f>
        <v/>
      </c>
      <c r="B343" s="5">
        <f>IF($E343="","",INDEX('Input Transaksi'!$D:$D,$E343))</f>
        <v/>
      </c>
      <c r="C343">
        <f>IF($E343="","",INDEX('Input Transaksi'!$E:$E,$E343))</f>
        <v/>
      </c>
      <c r="D343" s="5">
        <f>IF($E343="","",INDEX('Input Transaksi'!$F:$F,$E343))</f>
        <v/>
      </c>
      <c r="E343">
        <f>IFERROR(AGGREGATE(15,6,ROW('Input Transaksi'!$B$5:$B$5000)/('Input Transaksi'!$B$5:$B$5000="GEDE LONDRI"),ROWS($E$5:E343)),"")</f>
        <v/>
      </c>
      <c r="F343" s="5" t="n"/>
    </row>
    <row r="344">
      <c r="A344" s="10">
        <f>IF($E344="","",INDEX('Input Transaksi'!$A:$A,$E344))</f>
        <v/>
      </c>
      <c r="B344" s="5">
        <f>IF($E344="","",INDEX('Input Transaksi'!$D:$D,$E344))</f>
        <v/>
      </c>
      <c r="C344">
        <f>IF($E344="","",INDEX('Input Transaksi'!$E:$E,$E344))</f>
        <v/>
      </c>
      <c r="D344" s="5">
        <f>IF($E344="","",INDEX('Input Transaksi'!$F:$F,$E344))</f>
        <v/>
      </c>
      <c r="E344">
        <f>IFERROR(AGGREGATE(15,6,ROW('Input Transaksi'!$B$5:$B$5000)/('Input Transaksi'!$B$5:$B$5000="GEDE LONDRI"),ROWS($E$5:E344)),"")</f>
        <v/>
      </c>
      <c r="F344" s="5" t="n"/>
    </row>
    <row r="345">
      <c r="A345" s="10">
        <f>IF($E345="","",INDEX('Input Transaksi'!$A:$A,$E345))</f>
        <v/>
      </c>
      <c r="B345" s="5">
        <f>IF($E345="","",INDEX('Input Transaksi'!$D:$D,$E345))</f>
        <v/>
      </c>
      <c r="C345">
        <f>IF($E345="","",INDEX('Input Transaksi'!$E:$E,$E345))</f>
        <v/>
      </c>
      <c r="D345" s="5">
        <f>IF($E345="","",INDEX('Input Transaksi'!$F:$F,$E345))</f>
        <v/>
      </c>
      <c r="E345">
        <f>IFERROR(AGGREGATE(15,6,ROW('Input Transaksi'!$B$5:$B$5000)/('Input Transaksi'!$B$5:$B$5000="GEDE LONDRI"),ROWS($E$5:E345)),"")</f>
        <v/>
      </c>
      <c r="F345" s="5" t="n"/>
    </row>
    <row r="346">
      <c r="A346" s="10">
        <f>IF($E346="","",INDEX('Input Transaksi'!$A:$A,$E346))</f>
        <v/>
      </c>
      <c r="B346" s="5">
        <f>IF($E346="","",INDEX('Input Transaksi'!$D:$D,$E346))</f>
        <v/>
      </c>
      <c r="C346">
        <f>IF($E346="","",INDEX('Input Transaksi'!$E:$E,$E346))</f>
        <v/>
      </c>
      <c r="D346" s="5">
        <f>IF($E346="","",INDEX('Input Transaksi'!$F:$F,$E346))</f>
        <v/>
      </c>
      <c r="E346">
        <f>IFERROR(AGGREGATE(15,6,ROW('Input Transaksi'!$B$5:$B$5000)/('Input Transaksi'!$B$5:$B$5000="GEDE LONDRI"),ROWS($E$5:E346)),"")</f>
        <v/>
      </c>
      <c r="F346" s="5" t="n"/>
    </row>
    <row r="347">
      <c r="A347" s="10">
        <f>IF($E347="","",INDEX('Input Transaksi'!$A:$A,$E347))</f>
        <v/>
      </c>
      <c r="B347" s="5">
        <f>IF($E347="","",INDEX('Input Transaksi'!$D:$D,$E347))</f>
        <v/>
      </c>
      <c r="C347">
        <f>IF($E347="","",INDEX('Input Transaksi'!$E:$E,$E347))</f>
        <v/>
      </c>
      <c r="D347" s="5">
        <f>IF($E347="","",INDEX('Input Transaksi'!$F:$F,$E347))</f>
        <v/>
      </c>
      <c r="E347">
        <f>IFERROR(AGGREGATE(15,6,ROW('Input Transaksi'!$B$5:$B$5000)/('Input Transaksi'!$B$5:$B$5000="GEDE LONDRI"),ROWS($E$5:E347)),"")</f>
        <v/>
      </c>
      <c r="F347" s="5" t="n"/>
    </row>
    <row r="348">
      <c r="A348" s="10">
        <f>IF($E348="","",INDEX('Input Transaksi'!$A:$A,$E348))</f>
        <v/>
      </c>
      <c r="B348" s="5">
        <f>IF($E348="","",INDEX('Input Transaksi'!$D:$D,$E348))</f>
        <v/>
      </c>
      <c r="C348">
        <f>IF($E348="","",INDEX('Input Transaksi'!$E:$E,$E348))</f>
        <v/>
      </c>
      <c r="D348" s="5">
        <f>IF($E348="","",INDEX('Input Transaksi'!$F:$F,$E348))</f>
        <v/>
      </c>
      <c r="E348">
        <f>IFERROR(AGGREGATE(15,6,ROW('Input Transaksi'!$B$5:$B$5000)/('Input Transaksi'!$B$5:$B$5000="GEDE LONDRI"),ROWS($E$5:E348)),"")</f>
        <v/>
      </c>
      <c r="F348" s="5" t="n"/>
    </row>
    <row r="349">
      <c r="A349" s="10">
        <f>IF($E349="","",INDEX('Input Transaksi'!$A:$A,$E349))</f>
        <v/>
      </c>
      <c r="B349" s="5">
        <f>IF($E349="","",INDEX('Input Transaksi'!$D:$D,$E349))</f>
        <v/>
      </c>
      <c r="C349">
        <f>IF($E349="","",INDEX('Input Transaksi'!$E:$E,$E349))</f>
        <v/>
      </c>
      <c r="D349" s="5">
        <f>IF($E349="","",INDEX('Input Transaksi'!$F:$F,$E349))</f>
        <v/>
      </c>
      <c r="E349">
        <f>IFERROR(AGGREGATE(15,6,ROW('Input Transaksi'!$B$5:$B$5000)/('Input Transaksi'!$B$5:$B$5000="GEDE LONDRI"),ROWS($E$5:E349)),"")</f>
        <v/>
      </c>
      <c r="F349" s="5" t="n"/>
    </row>
    <row r="350">
      <c r="A350" s="10">
        <f>IF($E350="","",INDEX('Input Transaksi'!$A:$A,$E350))</f>
        <v/>
      </c>
      <c r="B350" s="5">
        <f>IF($E350="","",INDEX('Input Transaksi'!$D:$D,$E350))</f>
        <v/>
      </c>
      <c r="C350">
        <f>IF($E350="","",INDEX('Input Transaksi'!$E:$E,$E350))</f>
        <v/>
      </c>
      <c r="D350" s="5">
        <f>IF($E350="","",INDEX('Input Transaksi'!$F:$F,$E350))</f>
        <v/>
      </c>
      <c r="E350">
        <f>IFERROR(AGGREGATE(15,6,ROW('Input Transaksi'!$B$5:$B$5000)/('Input Transaksi'!$B$5:$B$5000="GEDE LONDRI"),ROWS($E$5:E350)),"")</f>
        <v/>
      </c>
      <c r="F350" s="5" t="n"/>
    </row>
    <row r="351">
      <c r="A351" s="10">
        <f>IF($E351="","",INDEX('Input Transaksi'!$A:$A,$E351))</f>
        <v/>
      </c>
      <c r="B351" s="5">
        <f>IF($E351="","",INDEX('Input Transaksi'!$D:$D,$E351))</f>
        <v/>
      </c>
      <c r="C351">
        <f>IF($E351="","",INDEX('Input Transaksi'!$E:$E,$E351))</f>
        <v/>
      </c>
      <c r="D351" s="5">
        <f>IF($E351="","",INDEX('Input Transaksi'!$F:$F,$E351))</f>
        <v/>
      </c>
      <c r="E351">
        <f>IFERROR(AGGREGATE(15,6,ROW('Input Transaksi'!$B$5:$B$5000)/('Input Transaksi'!$B$5:$B$5000="GEDE LONDRI"),ROWS($E$5:E351)),"")</f>
        <v/>
      </c>
      <c r="F351" s="5" t="n"/>
    </row>
    <row r="352">
      <c r="A352" s="10">
        <f>IF($E352="","",INDEX('Input Transaksi'!$A:$A,$E352))</f>
        <v/>
      </c>
      <c r="B352" s="5">
        <f>IF($E352="","",INDEX('Input Transaksi'!$D:$D,$E352))</f>
        <v/>
      </c>
      <c r="C352">
        <f>IF($E352="","",INDEX('Input Transaksi'!$E:$E,$E352))</f>
        <v/>
      </c>
      <c r="D352" s="5">
        <f>IF($E352="","",INDEX('Input Transaksi'!$F:$F,$E352))</f>
        <v/>
      </c>
      <c r="E352">
        <f>IFERROR(AGGREGATE(15,6,ROW('Input Transaksi'!$B$5:$B$5000)/('Input Transaksi'!$B$5:$B$5000="GEDE LONDRI"),ROWS($E$5:E352)),"")</f>
        <v/>
      </c>
      <c r="F352" s="5" t="n"/>
    </row>
    <row r="353">
      <c r="A353" s="10">
        <f>IF($E353="","",INDEX('Input Transaksi'!$A:$A,$E353))</f>
        <v/>
      </c>
      <c r="B353" s="5">
        <f>IF($E353="","",INDEX('Input Transaksi'!$D:$D,$E353))</f>
        <v/>
      </c>
      <c r="C353">
        <f>IF($E353="","",INDEX('Input Transaksi'!$E:$E,$E353))</f>
        <v/>
      </c>
      <c r="D353" s="5">
        <f>IF($E353="","",INDEX('Input Transaksi'!$F:$F,$E353))</f>
        <v/>
      </c>
      <c r="E353">
        <f>IFERROR(AGGREGATE(15,6,ROW('Input Transaksi'!$B$5:$B$5000)/('Input Transaksi'!$B$5:$B$5000="GEDE LONDRI"),ROWS($E$5:E353)),"")</f>
        <v/>
      </c>
      <c r="F353" s="5" t="n"/>
    </row>
    <row r="354">
      <c r="A354" s="10">
        <f>IF($E354="","",INDEX('Input Transaksi'!$A:$A,$E354))</f>
        <v/>
      </c>
      <c r="B354" s="5">
        <f>IF($E354="","",INDEX('Input Transaksi'!$D:$D,$E354))</f>
        <v/>
      </c>
      <c r="C354">
        <f>IF($E354="","",INDEX('Input Transaksi'!$E:$E,$E354))</f>
        <v/>
      </c>
      <c r="D354" s="5">
        <f>IF($E354="","",INDEX('Input Transaksi'!$F:$F,$E354))</f>
        <v/>
      </c>
      <c r="E354">
        <f>IFERROR(AGGREGATE(15,6,ROW('Input Transaksi'!$B$5:$B$5000)/('Input Transaksi'!$B$5:$B$5000="GEDE LONDRI"),ROWS($E$5:E354)),"")</f>
        <v/>
      </c>
      <c r="F354" s="5" t="n"/>
    </row>
    <row r="355">
      <c r="A355" s="10">
        <f>IF($E355="","",INDEX('Input Transaksi'!$A:$A,$E355))</f>
        <v/>
      </c>
      <c r="B355" s="5">
        <f>IF($E355="","",INDEX('Input Transaksi'!$D:$D,$E355))</f>
        <v/>
      </c>
      <c r="C355">
        <f>IF($E355="","",INDEX('Input Transaksi'!$E:$E,$E355))</f>
        <v/>
      </c>
      <c r="D355" s="5">
        <f>IF($E355="","",INDEX('Input Transaksi'!$F:$F,$E355))</f>
        <v/>
      </c>
      <c r="E355">
        <f>IFERROR(AGGREGATE(15,6,ROW('Input Transaksi'!$B$5:$B$5000)/('Input Transaksi'!$B$5:$B$5000="GEDE LONDRI"),ROWS($E$5:E355)),"")</f>
        <v/>
      </c>
      <c r="F355" s="5" t="n"/>
    </row>
    <row r="356">
      <c r="A356" s="10">
        <f>IF($E356="","",INDEX('Input Transaksi'!$A:$A,$E356))</f>
        <v/>
      </c>
      <c r="B356" s="5">
        <f>IF($E356="","",INDEX('Input Transaksi'!$D:$D,$E356))</f>
        <v/>
      </c>
      <c r="C356">
        <f>IF($E356="","",INDEX('Input Transaksi'!$E:$E,$E356))</f>
        <v/>
      </c>
      <c r="D356" s="5">
        <f>IF($E356="","",INDEX('Input Transaksi'!$F:$F,$E356))</f>
        <v/>
      </c>
      <c r="E356">
        <f>IFERROR(AGGREGATE(15,6,ROW('Input Transaksi'!$B$5:$B$5000)/('Input Transaksi'!$B$5:$B$5000="GEDE LONDRI"),ROWS($E$5:E356)),"")</f>
        <v/>
      </c>
      <c r="F356" s="5" t="n"/>
    </row>
    <row r="357">
      <c r="A357" s="10">
        <f>IF($E357="","",INDEX('Input Transaksi'!$A:$A,$E357))</f>
        <v/>
      </c>
      <c r="B357" s="5">
        <f>IF($E357="","",INDEX('Input Transaksi'!$D:$D,$E357))</f>
        <v/>
      </c>
      <c r="C357">
        <f>IF($E357="","",INDEX('Input Transaksi'!$E:$E,$E357))</f>
        <v/>
      </c>
      <c r="D357" s="5">
        <f>IF($E357="","",INDEX('Input Transaksi'!$F:$F,$E357))</f>
        <v/>
      </c>
      <c r="E357">
        <f>IFERROR(AGGREGATE(15,6,ROW('Input Transaksi'!$B$5:$B$5000)/('Input Transaksi'!$B$5:$B$5000="GEDE LONDRI"),ROWS($E$5:E357)),"")</f>
        <v/>
      </c>
      <c r="F357" s="5" t="n"/>
    </row>
    <row r="358">
      <c r="A358" s="10">
        <f>IF($E358="","",INDEX('Input Transaksi'!$A:$A,$E358))</f>
        <v/>
      </c>
      <c r="B358" s="5">
        <f>IF($E358="","",INDEX('Input Transaksi'!$D:$D,$E358))</f>
        <v/>
      </c>
      <c r="C358">
        <f>IF($E358="","",INDEX('Input Transaksi'!$E:$E,$E358))</f>
        <v/>
      </c>
      <c r="D358" s="5">
        <f>IF($E358="","",INDEX('Input Transaksi'!$F:$F,$E358))</f>
        <v/>
      </c>
      <c r="E358">
        <f>IFERROR(AGGREGATE(15,6,ROW('Input Transaksi'!$B$5:$B$5000)/('Input Transaksi'!$B$5:$B$5000="GEDE LONDRI"),ROWS($E$5:E358)),"")</f>
        <v/>
      </c>
      <c r="F358" s="5" t="n"/>
    </row>
    <row r="359">
      <c r="A359" s="10">
        <f>IF($E359="","",INDEX('Input Transaksi'!$A:$A,$E359))</f>
        <v/>
      </c>
      <c r="B359" s="5">
        <f>IF($E359="","",INDEX('Input Transaksi'!$D:$D,$E359))</f>
        <v/>
      </c>
      <c r="C359">
        <f>IF($E359="","",INDEX('Input Transaksi'!$E:$E,$E359))</f>
        <v/>
      </c>
      <c r="D359" s="5">
        <f>IF($E359="","",INDEX('Input Transaksi'!$F:$F,$E359))</f>
        <v/>
      </c>
      <c r="E359">
        <f>IFERROR(AGGREGATE(15,6,ROW('Input Transaksi'!$B$5:$B$5000)/('Input Transaksi'!$B$5:$B$5000="GEDE LONDRI"),ROWS($E$5:E359)),"")</f>
        <v/>
      </c>
      <c r="F359" s="5" t="n"/>
    </row>
    <row r="360">
      <c r="A360" s="10">
        <f>IF($E360="","",INDEX('Input Transaksi'!$A:$A,$E360))</f>
        <v/>
      </c>
      <c r="B360" s="5">
        <f>IF($E360="","",INDEX('Input Transaksi'!$D:$D,$E360))</f>
        <v/>
      </c>
      <c r="C360">
        <f>IF($E360="","",INDEX('Input Transaksi'!$E:$E,$E360))</f>
        <v/>
      </c>
      <c r="D360" s="5">
        <f>IF($E360="","",INDEX('Input Transaksi'!$F:$F,$E360))</f>
        <v/>
      </c>
      <c r="E360">
        <f>IFERROR(AGGREGATE(15,6,ROW('Input Transaksi'!$B$5:$B$5000)/('Input Transaksi'!$B$5:$B$5000="GEDE LONDRI"),ROWS($E$5:E360)),"")</f>
        <v/>
      </c>
      <c r="F360" s="5" t="n"/>
    </row>
    <row r="361">
      <c r="A361" s="10">
        <f>IF($E361="","",INDEX('Input Transaksi'!$A:$A,$E361))</f>
        <v/>
      </c>
      <c r="B361" s="5">
        <f>IF($E361="","",INDEX('Input Transaksi'!$D:$D,$E361))</f>
        <v/>
      </c>
      <c r="C361">
        <f>IF($E361="","",INDEX('Input Transaksi'!$E:$E,$E361))</f>
        <v/>
      </c>
      <c r="D361" s="5">
        <f>IF($E361="","",INDEX('Input Transaksi'!$F:$F,$E361))</f>
        <v/>
      </c>
      <c r="E361">
        <f>IFERROR(AGGREGATE(15,6,ROW('Input Transaksi'!$B$5:$B$5000)/('Input Transaksi'!$B$5:$B$5000="GEDE LONDRI"),ROWS($E$5:E361)),"")</f>
        <v/>
      </c>
      <c r="F361" s="5" t="n"/>
    </row>
    <row r="362">
      <c r="A362" s="10">
        <f>IF($E362="","",INDEX('Input Transaksi'!$A:$A,$E362))</f>
        <v/>
      </c>
      <c r="B362" s="5">
        <f>IF($E362="","",INDEX('Input Transaksi'!$D:$D,$E362))</f>
        <v/>
      </c>
      <c r="C362">
        <f>IF($E362="","",INDEX('Input Transaksi'!$E:$E,$E362))</f>
        <v/>
      </c>
      <c r="D362" s="5">
        <f>IF($E362="","",INDEX('Input Transaksi'!$F:$F,$E362))</f>
        <v/>
      </c>
      <c r="E362">
        <f>IFERROR(AGGREGATE(15,6,ROW('Input Transaksi'!$B$5:$B$5000)/('Input Transaksi'!$B$5:$B$5000="GEDE LONDRI"),ROWS($E$5:E362)),"")</f>
        <v/>
      </c>
      <c r="F362" s="5" t="n"/>
    </row>
    <row r="363">
      <c r="A363" s="10">
        <f>IF($E363="","",INDEX('Input Transaksi'!$A:$A,$E363))</f>
        <v/>
      </c>
      <c r="B363" s="5">
        <f>IF($E363="","",INDEX('Input Transaksi'!$D:$D,$E363))</f>
        <v/>
      </c>
      <c r="C363">
        <f>IF($E363="","",INDEX('Input Transaksi'!$E:$E,$E363))</f>
        <v/>
      </c>
      <c r="D363" s="5">
        <f>IF($E363="","",INDEX('Input Transaksi'!$F:$F,$E363))</f>
        <v/>
      </c>
      <c r="E363">
        <f>IFERROR(AGGREGATE(15,6,ROW('Input Transaksi'!$B$5:$B$5000)/('Input Transaksi'!$B$5:$B$5000="GEDE LONDRI"),ROWS($E$5:E363)),"")</f>
        <v/>
      </c>
      <c r="F363" s="5" t="n"/>
    </row>
    <row r="364">
      <c r="A364" s="10">
        <f>IF($E364="","",INDEX('Input Transaksi'!$A:$A,$E364))</f>
        <v/>
      </c>
      <c r="B364" s="5">
        <f>IF($E364="","",INDEX('Input Transaksi'!$D:$D,$E364))</f>
        <v/>
      </c>
      <c r="C364">
        <f>IF($E364="","",INDEX('Input Transaksi'!$E:$E,$E364))</f>
        <v/>
      </c>
      <c r="D364" s="5">
        <f>IF($E364="","",INDEX('Input Transaksi'!$F:$F,$E364))</f>
        <v/>
      </c>
      <c r="E364">
        <f>IFERROR(AGGREGATE(15,6,ROW('Input Transaksi'!$B$5:$B$5000)/('Input Transaksi'!$B$5:$B$5000="GEDE LONDRI"),ROWS($E$5:E364)),"")</f>
        <v/>
      </c>
      <c r="F364" s="5" t="n"/>
    </row>
    <row r="365">
      <c r="A365" s="10">
        <f>IF($E365="","",INDEX('Input Transaksi'!$A:$A,$E365))</f>
        <v/>
      </c>
      <c r="B365" s="5">
        <f>IF($E365="","",INDEX('Input Transaksi'!$D:$D,$E365))</f>
        <v/>
      </c>
      <c r="C365">
        <f>IF($E365="","",INDEX('Input Transaksi'!$E:$E,$E365))</f>
        <v/>
      </c>
      <c r="D365" s="5">
        <f>IF($E365="","",INDEX('Input Transaksi'!$F:$F,$E365))</f>
        <v/>
      </c>
      <c r="E365">
        <f>IFERROR(AGGREGATE(15,6,ROW('Input Transaksi'!$B$5:$B$5000)/('Input Transaksi'!$B$5:$B$5000="GEDE LONDRI"),ROWS($E$5:E365)),"")</f>
        <v/>
      </c>
      <c r="F365" s="5" t="n"/>
    </row>
    <row r="366">
      <c r="A366" s="10">
        <f>IF($E366="","",INDEX('Input Transaksi'!$A:$A,$E366))</f>
        <v/>
      </c>
      <c r="B366" s="5">
        <f>IF($E366="","",INDEX('Input Transaksi'!$D:$D,$E366))</f>
        <v/>
      </c>
      <c r="C366">
        <f>IF($E366="","",INDEX('Input Transaksi'!$E:$E,$E366))</f>
        <v/>
      </c>
      <c r="D366" s="5">
        <f>IF($E366="","",INDEX('Input Transaksi'!$F:$F,$E366))</f>
        <v/>
      </c>
      <c r="E366">
        <f>IFERROR(AGGREGATE(15,6,ROW('Input Transaksi'!$B$5:$B$5000)/('Input Transaksi'!$B$5:$B$5000="GEDE LONDRI"),ROWS($E$5:E366)),"")</f>
        <v/>
      </c>
      <c r="F366" s="5" t="n"/>
    </row>
    <row r="367">
      <c r="A367" s="10">
        <f>IF($E367="","",INDEX('Input Transaksi'!$A:$A,$E367))</f>
        <v/>
      </c>
      <c r="B367" s="5">
        <f>IF($E367="","",INDEX('Input Transaksi'!$D:$D,$E367))</f>
        <v/>
      </c>
      <c r="C367">
        <f>IF($E367="","",INDEX('Input Transaksi'!$E:$E,$E367))</f>
        <v/>
      </c>
      <c r="D367" s="5">
        <f>IF($E367="","",INDEX('Input Transaksi'!$F:$F,$E367))</f>
        <v/>
      </c>
      <c r="E367">
        <f>IFERROR(AGGREGATE(15,6,ROW('Input Transaksi'!$B$5:$B$5000)/('Input Transaksi'!$B$5:$B$5000="GEDE LONDRI"),ROWS($E$5:E367)),"")</f>
        <v/>
      </c>
      <c r="F367" s="5" t="n"/>
    </row>
    <row r="368">
      <c r="A368" s="10">
        <f>IF($E368="","",INDEX('Input Transaksi'!$A:$A,$E368))</f>
        <v/>
      </c>
      <c r="B368" s="5">
        <f>IF($E368="","",INDEX('Input Transaksi'!$D:$D,$E368))</f>
        <v/>
      </c>
      <c r="C368">
        <f>IF($E368="","",INDEX('Input Transaksi'!$E:$E,$E368))</f>
        <v/>
      </c>
      <c r="D368" s="5">
        <f>IF($E368="","",INDEX('Input Transaksi'!$F:$F,$E368))</f>
        <v/>
      </c>
      <c r="E368">
        <f>IFERROR(AGGREGATE(15,6,ROW('Input Transaksi'!$B$5:$B$5000)/('Input Transaksi'!$B$5:$B$5000="GEDE LONDRI"),ROWS($E$5:E368)),"")</f>
        <v/>
      </c>
      <c r="F368" s="5" t="n"/>
    </row>
    <row r="369">
      <c r="A369" s="10">
        <f>IF($E369="","",INDEX('Input Transaksi'!$A:$A,$E369))</f>
        <v/>
      </c>
      <c r="B369" s="5">
        <f>IF($E369="","",INDEX('Input Transaksi'!$D:$D,$E369))</f>
        <v/>
      </c>
      <c r="C369">
        <f>IF($E369="","",INDEX('Input Transaksi'!$E:$E,$E369))</f>
        <v/>
      </c>
      <c r="D369" s="5">
        <f>IF($E369="","",INDEX('Input Transaksi'!$F:$F,$E369))</f>
        <v/>
      </c>
      <c r="E369">
        <f>IFERROR(AGGREGATE(15,6,ROW('Input Transaksi'!$B$5:$B$5000)/('Input Transaksi'!$B$5:$B$5000="GEDE LONDRI"),ROWS($E$5:E369)),"")</f>
        <v/>
      </c>
      <c r="F369" s="5" t="n"/>
    </row>
    <row r="370">
      <c r="A370" s="10">
        <f>IF($E370="","",INDEX('Input Transaksi'!$A:$A,$E370))</f>
        <v/>
      </c>
      <c r="B370" s="5">
        <f>IF($E370="","",INDEX('Input Transaksi'!$D:$D,$E370))</f>
        <v/>
      </c>
      <c r="C370">
        <f>IF($E370="","",INDEX('Input Transaksi'!$E:$E,$E370))</f>
        <v/>
      </c>
      <c r="D370" s="5">
        <f>IF($E370="","",INDEX('Input Transaksi'!$F:$F,$E370))</f>
        <v/>
      </c>
      <c r="E370">
        <f>IFERROR(AGGREGATE(15,6,ROW('Input Transaksi'!$B$5:$B$5000)/('Input Transaksi'!$B$5:$B$5000="GEDE LONDRI"),ROWS($E$5:E370)),"")</f>
        <v/>
      </c>
      <c r="F370" s="5" t="n"/>
    </row>
    <row r="371">
      <c r="A371" s="10">
        <f>IF($E371="","",INDEX('Input Transaksi'!$A:$A,$E371))</f>
        <v/>
      </c>
      <c r="B371" s="5">
        <f>IF($E371="","",INDEX('Input Transaksi'!$D:$D,$E371))</f>
        <v/>
      </c>
      <c r="C371">
        <f>IF($E371="","",INDEX('Input Transaksi'!$E:$E,$E371))</f>
        <v/>
      </c>
      <c r="D371" s="5">
        <f>IF($E371="","",INDEX('Input Transaksi'!$F:$F,$E371))</f>
        <v/>
      </c>
      <c r="E371">
        <f>IFERROR(AGGREGATE(15,6,ROW('Input Transaksi'!$B$5:$B$5000)/('Input Transaksi'!$B$5:$B$5000="GEDE LONDRI"),ROWS($E$5:E371)),"")</f>
        <v/>
      </c>
      <c r="F371" s="5" t="n"/>
    </row>
    <row r="372">
      <c r="A372" s="10">
        <f>IF($E372="","",INDEX('Input Transaksi'!$A:$A,$E372))</f>
        <v/>
      </c>
      <c r="B372" s="5">
        <f>IF($E372="","",INDEX('Input Transaksi'!$D:$D,$E372))</f>
        <v/>
      </c>
      <c r="C372">
        <f>IF($E372="","",INDEX('Input Transaksi'!$E:$E,$E372))</f>
        <v/>
      </c>
      <c r="D372" s="5">
        <f>IF($E372="","",INDEX('Input Transaksi'!$F:$F,$E372))</f>
        <v/>
      </c>
      <c r="E372">
        <f>IFERROR(AGGREGATE(15,6,ROW('Input Transaksi'!$B$5:$B$5000)/('Input Transaksi'!$B$5:$B$5000="GEDE LONDRI"),ROWS($E$5:E372)),"")</f>
        <v/>
      </c>
      <c r="F372" s="5" t="n"/>
    </row>
    <row r="373">
      <c r="A373" s="10">
        <f>IF($E373="","",INDEX('Input Transaksi'!$A:$A,$E373))</f>
        <v/>
      </c>
      <c r="B373" s="5">
        <f>IF($E373="","",INDEX('Input Transaksi'!$D:$D,$E373))</f>
        <v/>
      </c>
      <c r="C373">
        <f>IF($E373="","",INDEX('Input Transaksi'!$E:$E,$E373))</f>
        <v/>
      </c>
      <c r="D373" s="5">
        <f>IF($E373="","",INDEX('Input Transaksi'!$F:$F,$E373))</f>
        <v/>
      </c>
      <c r="E373">
        <f>IFERROR(AGGREGATE(15,6,ROW('Input Transaksi'!$B$5:$B$5000)/('Input Transaksi'!$B$5:$B$5000="GEDE LONDRI"),ROWS($E$5:E373)),"")</f>
        <v/>
      </c>
      <c r="F373" s="5" t="n"/>
    </row>
    <row r="374">
      <c r="A374" s="10">
        <f>IF($E374="","",INDEX('Input Transaksi'!$A:$A,$E374))</f>
        <v/>
      </c>
      <c r="B374" s="5">
        <f>IF($E374="","",INDEX('Input Transaksi'!$D:$D,$E374))</f>
        <v/>
      </c>
      <c r="C374">
        <f>IF($E374="","",INDEX('Input Transaksi'!$E:$E,$E374))</f>
        <v/>
      </c>
      <c r="D374" s="5">
        <f>IF($E374="","",INDEX('Input Transaksi'!$F:$F,$E374))</f>
        <v/>
      </c>
      <c r="E374">
        <f>IFERROR(AGGREGATE(15,6,ROW('Input Transaksi'!$B$5:$B$5000)/('Input Transaksi'!$B$5:$B$5000="GEDE LONDRI"),ROWS($E$5:E374)),"")</f>
        <v/>
      </c>
      <c r="F374" s="5" t="n"/>
    </row>
    <row r="375">
      <c r="A375" s="10">
        <f>IF($E375="","",INDEX('Input Transaksi'!$A:$A,$E375))</f>
        <v/>
      </c>
      <c r="B375" s="5">
        <f>IF($E375="","",INDEX('Input Transaksi'!$D:$D,$E375))</f>
        <v/>
      </c>
      <c r="C375">
        <f>IF($E375="","",INDEX('Input Transaksi'!$E:$E,$E375))</f>
        <v/>
      </c>
      <c r="D375" s="5">
        <f>IF($E375="","",INDEX('Input Transaksi'!$F:$F,$E375))</f>
        <v/>
      </c>
      <c r="E375">
        <f>IFERROR(AGGREGATE(15,6,ROW('Input Transaksi'!$B$5:$B$5000)/('Input Transaksi'!$B$5:$B$5000="GEDE LONDRI"),ROWS($E$5:E375)),"")</f>
        <v/>
      </c>
      <c r="F375" s="5" t="n"/>
    </row>
    <row r="376">
      <c r="A376" s="10">
        <f>IF($E376="","",INDEX('Input Transaksi'!$A:$A,$E376))</f>
        <v/>
      </c>
      <c r="B376" s="5">
        <f>IF($E376="","",INDEX('Input Transaksi'!$D:$D,$E376))</f>
        <v/>
      </c>
      <c r="C376">
        <f>IF($E376="","",INDEX('Input Transaksi'!$E:$E,$E376))</f>
        <v/>
      </c>
      <c r="D376" s="5">
        <f>IF($E376="","",INDEX('Input Transaksi'!$F:$F,$E376))</f>
        <v/>
      </c>
      <c r="E376">
        <f>IFERROR(AGGREGATE(15,6,ROW('Input Transaksi'!$B$5:$B$5000)/('Input Transaksi'!$B$5:$B$5000="GEDE LONDRI"),ROWS($E$5:E376)),"")</f>
        <v/>
      </c>
      <c r="F376" s="5" t="n"/>
    </row>
    <row r="377">
      <c r="A377" s="10">
        <f>IF($E377="","",INDEX('Input Transaksi'!$A:$A,$E377))</f>
        <v/>
      </c>
      <c r="B377" s="5">
        <f>IF($E377="","",INDEX('Input Transaksi'!$D:$D,$E377))</f>
        <v/>
      </c>
      <c r="C377">
        <f>IF($E377="","",INDEX('Input Transaksi'!$E:$E,$E377))</f>
        <v/>
      </c>
      <c r="D377" s="5">
        <f>IF($E377="","",INDEX('Input Transaksi'!$F:$F,$E377))</f>
        <v/>
      </c>
      <c r="E377">
        <f>IFERROR(AGGREGATE(15,6,ROW('Input Transaksi'!$B$5:$B$5000)/('Input Transaksi'!$B$5:$B$5000="GEDE LONDRI"),ROWS($E$5:E377)),"")</f>
        <v/>
      </c>
      <c r="F377" s="5" t="n"/>
    </row>
    <row r="378">
      <c r="A378" s="10">
        <f>IF($E378="","",INDEX('Input Transaksi'!$A:$A,$E378))</f>
        <v/>
      </c>
      <c r="B378" s="5">
        <f>IF($E378="","",INDEX('Input Transaksi'!$D:$D,$E378))</f>
        <v/>
      </c>
      <c r="C378">
        <f>IF($E378="","",INDEX('Input Transaksi'!$E:$E,$E378))</f>
        <v/>
      </c>
      <c r="D378" s="5">
        <f>IF($E378="","",INDEX('Input Transaksi'!$F:$F,$E378))</f>
        <v/>
      </c>
      <c r="E378">
        <f>IFERROR(AGGREGATE(15,6,ROW('Input Transaksi'!$B$5:$B$5000)/('Input Transaksi'!$B$5:$B$5000="GEDE LONDRI"),ROWS($E$5:E378)),"")</f>
        <v/>
      </c>
      <c r="F378" s="5" t="n"/>
    </row>
    <row r="379">
      <c r="A379" s="10">
        <f>IF($E379="","",INDEX('Input Transaksi'!$A:$A,$E379))</f>
        <v/>
      </c>
      <c r="B379" s="5">
        <f>IF($E379="","",INDEX('Input Transaksi'!$D:$D,$E379))</f>
        <v/>
      </c>
      <c r="C379">
        <f>IF($E379="","",INDEX('Input Transaksi'!$E:$E,$E379))</f>
        <v/>
      </c>
      <c r="D379" s="5">
        <f>IF($E379="","",INDEX('Input Transaksi'!$F:$F,$E379))</f>
        <v/>
      </c>
      <c r="E379">
        <f>IFERROR(AGGREGATE(15,6,ROW('Input Transaksi'!$B$5:$B$5000)/('Input Transaksi'!$B$5:$B$5000="GEDE LONDRI"),ROWS($E$5:E379)),"")</f>
        <v/>
      </c>
      <c r="F379" s="5" t="n"/>
    </row>
    <row r="380">
      <c r="A380" s="10">
        <f>IF($E380="","",INDEX('Input Transaksi'!$A:$A,$E380))</f>
        <v/>
      </c>
      <c r="B380" s="5">
        <f>IF($E380="","",INDEX('Input Transaksi'!$D:$D,$E380))</f>
        <v/>
      </c>
      <c r="C380">
        <f>IF($E380="","",INDEX('Input Transaksi'!$E:$E,$E380))</f>
        <v/>
      </c>
      <c r="D380" s="5">
        <f>IF($E380="","",INDEX('Input Transaksi'!$F:$F,$E380))</f>
        <v/>
      </c>
      <c r="E380">
        <f>IFERROR(AGGREGATE(15,6,ROW('Input Transaksi'!$B$5:$B$5000)/('Input Transaksi'!$B$5:$B$5000="GEDE LONDRI"),ROWS($E$5:E380)),"")</f>
        <v/>
      </c>
      <c r="F380" s="5" t="n"/>
    </row>
    <row r="381">
      <c r="A381" s="10">
        <f>IF($E381="","",INDEX('Input Transaksi'!$A:$A,$E381))</f>
        <v/>
      </c>
      <c r="B381" s="5">
        <f>IF($E381="","",INDEX('Input Transaksi'!$D:$D,$E381))</f>
        <v/>
      </c>
      <c r="C381">
        <f>IF($E381="","",INDEX('Input Transaksi'!$E:$E,$E381))</f>
        <v/>
      </c>
      <c r="D381" s="5">
        <f>IF($E381="","",INDEX('Input Transaksi'!$F:$F,$E381))</f>
        <v/>
      </c>
      <c r="E381">
        <f>IFERROR(AGGREGATE(15,6,ROW('Input Transaksi'!$B$5:$B$5000)/('Input Transaksi'!$B$5:$B$5000="GEDE LONDRI"),ROWS($E$5:E381)),"")</f>
        <v/>
      </c>
      <c r="F381" s="5" t="n"/>
    </row>
    <row r="382">
      <c r="A382" s="10">
        <f>IF($E382="","",INDEX('Input Transaksi'!$A:$A,$E382))</f>
        <v/>
      </c>
      <c r="B382" s="5">
        <f>IF($E382="","",INDEX('Input Transaksi'!$D:$D,$E382))</f>
        <v/>
      </c>
      <c r="C382">
        <f>IF($E382="","",INDEX('Input Transaksi'!$E:$E,$E382))</f>
        <v/>
      </c>
      <c r="D382" s="5">
        <f>IF($E382="","",INDEX('Input Transaksi'!$F:$F,$E382))</f>
        <v/>
      </c>
      <c r="E382">
        <f>IFERROR(AGGREGATE(15,6,ROW('Input Transaksi'!$B$5:$B$5000)/('Input Transaksi'!$B$5:$B$5000="GEDE LONDRI"),ROWS($E$5:E382)),"")</f>
        <v/>
      </c>
      <c r="F382" s="5" t="n"/>
    </row>
    <row r="383">
      <c r="A383" s="10">
        <f>IF($E383="","",INDEX('Input Transaksi'!$A:$A,$E383))</f>
        <v/>
      </c>
      <c r="B383" s="5">
        <f>IF($E383="","",INDEX('Input Transaksi'!$D:$D,$E383))</f>
        <v/>
      </c>
      <c r="C383">
        <f>IF($E383="","",INDEX('Input Transaksi'!$E:$E,$E383))</f>
        <v/>
      </c>
      <c r="D383" s="5">
        <f>IF($E383="","",INDEX('Input Transaksi'!$F:$F,$E383))</f>
        <v/>
      </c>
      <c r="E383">
        <f>IFERROR(AGGREGATE(15,6,ROW('Input Transaksi'!$B$5:$B$5000)/('Input Transaksi'!$B$5:$B$5000="GEDE LONDRI"),ROWS($E$5:E383)),"")</f>
        <v/>
      </c>
      <c r="F383" s="5" t="n"/>
    </row>
    <row r="384">
      <c r="A384" s="10">
        <f>IF($E384="","",INDEX('Input Transaksi'!$A:$A,$E384))</f>
        <v/>
      </c>
      <c r="B384" s="5">
        <f>IF($E384="","",INDEX('Input Transaksi'!$D:$D,$E384))</f>
        <v/>
      </c>
      <c r="C384">
        <f>IF($E384="","",INDEX('Input Transaksi'!$E:$E,$E384))</f>
        <v/>
      </c>
      <c r="D384" s="5">
        <f>IF($E384="","",INDEX('Input Transaksi'!$F:$F,$E384))</f>
        <v/>
      </c>
      <c r="E384">
        <f>IFERROR(AGGREGATE(15,6,ROW('Input Transaksi'!$B$5:$B$5000)/('Input Transaksi'!$B$5:$B$5000="GEDE LONDRI"),ROWS($E$5:E384)),"")</f>
        <v/>
      </c>
      <c r="F384" s="5" t="n"/>
    </row>
    <row r="385">
      <c r="A385" s="10">
        <f>IF($E385="","",INDEX('Input Transaksi'!$A:$A,$E385))</f>
        <v/>
      </c>
      <c r="B385" s="5">
        <f>IF($E385="","",INDEX('Input Transaksi'!$D:$D,$E385))</f>
        <v/>
      </c>
      <c r="C385">
        <f>IF($E385="","",INDEX('Input Transaksi'!$E:$E,$E385))</f>
        <v/>
      </c>
      <c r="D385" s="5">
        <f>IF($E385="","",INDEX('Input Transaksi'!$F:$F,$E385))</f>
        <v/>
      </c>
      <c r="E385">
        <f>IFERROR(AGGREGATE(15,6,ROW('Input Transaksi'!$B$5:$B$5000)/('Input Transaksi'!$B$5:$B$5000="GEDE LONDRI"),ROWS($E$5:E385)),"")</f>
        <v/>
      </c>
      <c r="F385" s="5" t="n"/>
    </row>
    <row r="386">
      <c r="A386" s="10">
        <f>IF($E386="","",INDEX('Input Transaksi'!$A:$A,$E386))</f>
        <v/>
      </c>
      <c r="B386" s="5">
        <f>IF($E386="","",INDEX('Input Transaksi'!$D:$D,$E386))</f>
        <v/>
      </c>
      <c r="C386">
        <f>IF($E386="","",INDEX('Input Transaksi'!$E:$E,$E386))</f>
        <v/>
      </c>
      <c r="D386" s="5">
        <f>IF($E386="","",INDEX('Input Transaksi'!$F:$F,$E386))</f>
        <v/>
      </c>
      <c r="E386">
        <f>IFERROR(AGGREGATE(15,6,ROW('Input Transaksi'!$B$5:$B$5000)/('Input Transaksi'!$B$5:$B$5000="GEDE LONDRI"),ROWS($E$5:E386)),"")</f>
        <v/>
      </c>
      <c r="F386" s="5" t="n"/>
    </row>
    <row r="387">
      <c r="A387" s="10">
        <f>IF($E387="","",INDEX('Input Transaksi'!$A:$A,$E387))</f>
        <v/>
      </c>
      <c r="B387" s="5">
        <f>IF($E387="","",INDEX('Input Transaksi'!$D:$D,$E387))</f>
        <v/>
      </c>
      <c r="C387">
        <f>IF($E387="","",INDEX('Input Transaksi'!$E:$E,$E387))</f>
        <v/>
      </c>
      <c r="D387" s="5">
        <f>IF($E387="","",INDEX('Input Transaksi'!$F:$F,$E387))</f>
        <v/>
      </c>
      <c r="E387">
        <f>IFERROR(AGGREGATE(15,6,ROW('Input Transaksi'!$B$5:$B$5000)/('Input Transaksi'!$B$5:$B$5000="GEDE LONDRI"),ROWS($E$5:E387)),"")</f>
        <v/>
      </c>
      <c r="F387" s="5" t="n"/>
    </row>
    <row r="388">
      <c r="A388" s="10">
        <f>IF($E388="","",INDEX('Input Transaksi'!$A:$A,$E388))</f>
        <v/>
      </c>
      <c r="B388" s="5">
        <f>IF($E388="","",INDEX('Input Transaksi'!$D:$D,$E388))</f>
        <v/>
      </c>
      <c r="C388">
        <f>IF($E388="","",INDEX('Input Transaksi'!$E:$E,$E388))</f>
        <v/>
      </c>
      <c r="D388" s="5">
        <f>IF($E388="","",INDEX('Input Transaksi'!$F:$F,$E388))</f>
        <v/>
      </c>
      <c r="E388">
        <f>IFERROR(AGGREGATE(15,6,ROW('Input Transaksi'!$B$5:$B$5000)/('Input Transaksi'!$B$5:$B$5000="GEDE LONDRI"),ROWS($E$5:E388)),"")</f>
        <v/>
      </c>
      <c r="F388" s="5" t="n"/>
    </row>
    <row r="389">
      <c r="A389" s="10">
        <f>IF($E389="","",INDEX('Input Transaksi'!$A:$A,$E389))</f>
        <v/>
      </c>
      <c r="B389" s="5">
        <f>IF($E389="","",INDEX('Input Transaksi'!$D:$D,$E389))</f>
        <v/>
      </c>
      <c r="C389">
        <f>IF($E389="","",INDEX('Input Transaksi'!$E:$E,$E389))</f>
        <v/>
      </c>
      <c r="D389" s="5">
        <f>IF($E389="","",INDEX('Input Transaksi'!$F:$F,$E389))</f>
        <v/>
      </c>
      <c r="E389">
        <f>IFERROR(AGGREGATE(15,6,ROW('Input Transaksi'!$B$5:$B$5000)/('Input Transaksi'!$B$5:$B$5000="GEDE LONDRI"),ROWS($E$5:E389)),"")</f>
        <v/>
      </c>
      <c r="F389" s="5" t="n"/>
    </row>
    <row r="390">
      <c r="A390" s="10">
        <f>IF($E390="","",INDEX('Input Transaksi'!$A:$A,$E390))</f>
        <v/>
      </c>
      <c r="B390" s="5">
        <f>IF($E390="","",INDEX('Input Transaksi'!$D:$D,$E390))</f>
        <v/>
      </c>
      <c r="C390">
        <f>IF($E390="","",INDEX('Input Transaksi'!$E:$E,$E390))</f>
        <v/>
      </c>
      <c r="D390" s="5">
        <f>IF($E390="","",INDEX('Input Transaksi'!$F:$F,$E390))</f>
        <v/>
      </c>
      <c r="E390">
        <f>IFERROR(AGGREGATE(15,6,ROW('Input Transaksi'!$B$5:$B$5000)/('Input Transaksi'!$B$5:$B$5000="GEDE LONDRI"),ROWS($E$5:E390)),"")</f>
        <v/>
      </c>
      <c r="F390" s="5" t="n"/>
    </row>
    <row r="391">
      <c r="A391" s="10">
        <f>IF($E391="","",INDEX('Input Transaksi'!$A:$A,$E391))</f>
        <v/>
      </c>
      <c r="B391" s="5">
        <f>IF($E391="","",INDEX('Input Transaksi'!$D:$D,$E391))</f>
        <v/>
      </c>
      <c r="C391">
        <f>IF($E391="","",INDEX('Input Transaksi'!$E:$E,$E391))</f>
        <v/>
      </c>
      <c r="D391" s="5">
        <f>IF($E391="","",INDEX('Input Transaksi'!$F:$F,$E391))</f>
        <v/>
      </c>
      <c r="E391">
        <f>IFERROR(AGGREGATE(15,6,ROW('Input Transaksi'!$B$5:$B$5000)/('Input Transaksi'!$B$5:$B$5000="GEDE LONDRI"),ROWS($E$5:E391)),"")</f>
        <v/>
      </c>
      <c r="F391" s="5" t="n"/>
    </row>
    <row r="392">
      <c r="A392" s="10">
        <f>IF($E392="","",INDEX('Input Transaksi'!$A:$A,$E392))</f>
        <v/>
      </c>
      <c r="B392" s="5">
        <f>IF($E392="","",INDEX('Input Transaksi'!$D:$D,$E392))</f>
        <v/>
      </c>
      <c r="C392">
        <f>IF($E392="","",INDEX('Input Transaksi'!$E:$E,$E392))</f>
        <v/>
      </c>
      <c r="D392" s="5">
        <f>IF($E392="","",INDEX('Input Transaksi'!$F:$F,$E392))</f>
        <v/>
      </c>
      <c r="E392">
        <f>IFERROR(AGGREGATE(15,6,ROW('Input Transaksi'!$B$5:$B$5000)/('Input Transaksi'!$B$5:$B$5000="GEDE LONDRI"),ROWS($E$5:E392)),"")</f>
        <v/>
      </c>
      <c r="F392" s="5" t="n"/>
    </row>
    <row r="393">
      <c r="A393" s="10">
        <f>IF($E393="","",INDEX('Input Transaksi'!$A:$A,$E393))</f>
        <v/>
      </c>
      <c r="B393" s="5">
        <f>IF($E393="","",INDEX('Input Transaksi'!$D:$D,$E393))</f>
        <v/>
      </c>
      <c r="C393">
        <f>IF($E393="","",INDEX('Input Transaksi'!$E:$E,$E393))</f>
        <v/>
      </c>
      <c r="D393" s="5">
        <f>IF($E393="","",INDEX('Input Transaksi'!$F:$F,$E393))</f>
        <v/>
      </c>
      <c r="E393">
        <f>IFERROR(AGGREGATE(15,6,ROW('Input Transaksi'!$B$5:$B$5000)/('Input Transaksi'!$B$5:$B$5000="GEDE LONDRI"),ROWS($E$5:E393)),"")</f>
        <v/>
      </c>
      <c r="F393" s="5" t="n"/>
    </row>
    <row r="394">
      <c r="A394" s="10">
        <f>IF($E394="","",INDEX('Input Transaksi'!$A:$A,$E394))</f>
        <v/>
      </c>
      <c r="B394" s="5">
        <f>IF($E394="","",INDEX('Input Transaksi'!$D:$D,$E394))</f>
        <v/>
      </c>
      <c r="C394">
        <f>IF($E394="","",INDEX('Input Transaksi'!$E:$E,$E394))</f>
        <v/>
      </c>
      <c r="D394" s="5">
        <f>IF($E394="","",INDEX('Input Transaksi'!$F:$F,$E394))</f>
        <v/>
      </c>
      <c r="E394">
        <f>IFERROR(AGGREGATE(15,6,ROW('Input Transaksi'!$B$5:$B$5000)/('Input Transaksi'!$B$5:$B$5000="GEDE LONDRI"),ROWS($E$5:E394)),"")</f>
        <v/>
      </c>
      <c r="F394" s="5" t="n"/>
    </row>
    <row r="395">
      <c r="A395" s="10">
        <f>IF($E395="","",INDEX('Input Transaksi'!$A:$A,$E395))</f>
        <v/>
      </c>
      <c r="B395" s="5">
        <f>IF($E395="","",INDEX('Input Transaksi'!$D:$D,$E395))</f>
        <v/>
      </c>
      <c r="C395">
        <f>IF($E395="","",INDEX('Input Transaksi'!$E:$E,$E395))</f>
        <v/>
      </c>
      <c r="D395" s="5">
        <f>IF($E395="","",INDEX('Input Transaksi'!$F:$F,$E395))</f>
        <v/>
      </c>
      <c r="E395">
        <f>IFERROR(AGGREGATE(15,6,ROW('Input Transaksi'!$B$5:$B$5000)/('Input Transaksi'!$B$5:$B$5000="GEDE LONDRI"),ROWS($E$5:E395)),"")</f>
        <v/>
      </c>
      <c r="F395" s="5" t="n"/>
    </row>
    <row r="396">
      <c r="A396" s="10">
        <f>IF($E396="","",INDEX('Input Transaksi'!$A:$A,$E396))</f>
        <v/>
      </c>
      <c r="B396" s="5">
        <f>IF($E396="","",INDEX('Input Transaksi'!$D:$D,$E396))</f>
        <v/>
      </c>
      <c r="C396">
        <f>IF($E396="","",INDEX('Input Transaksi'!$E:$E,$E396))</f>
        <v/>
      </c>
      <c r="D396" s="5">
        <f>IF($E396="","",INDEX('Input Transaksi'!$F:$F,$E396))</f>
        <v/>
      </c>
      <c r="E396">
        <f>IFERROR(AGGREGATE(15,6,ROW('Input Transaksi'!$B$5:$B$5000)/('Input Transaksi'!$B$5:$B$5000="GEDE LONDRI"),ROWS($E$5:E396)),"")</f>
        <v/>
      </c>
      <c r="F396" s="5" t="n"/>
    </row>
    <row r="397">
      <c r="A397" s="10">
        <f>IF($E397="","",INDEX('Input Transaksi'!$A:$A,$E397))</f>
        <v/>
      </c>
      <c r="B397" s="5">
        <f>IF($E397="","",INDEX('Input Transaksi'!$D:$D,$E397))</f>
        <v/>
      </c>
      <c r="C397">
        <f>IF($E397="","",INDEX('Input Transaksi'!$E:$E,$E397))</f>
        <v/>
      </c>
      <c r="D397" s="5">
        <f>IF($E397="","",INDEX('Input Transaksi'!$F:$F,$E397))</f>
        <v/>
      </c>
      <c r="E397">
        <f>IFERROR(AGGREGATE(15,6,ROW('Input Transaksi'!$B$5:$B$5000)/('Input Transaksi'!$B$5:$B$5000="GEDE LONDRI"),ROWS($E$5:E397)),"")</f>
        <v/>
      </c>
      <c r="F397" s="5" t="n"/>
    </row>
    <row r="398">
      <c r="A398" s="10">
        <f>IF($E398="","",INDEX('Input Transaksi'!$A:$A,$E398))</f>
        <v/>
      </c>
      <c r="B398" s="5">
        <f>IF($E398="","",INDEX('Input Transaksi'!$D:$D,$E398))</f>
        <v/>
      </c>
      <c r="C398">
        <f>IF($E398="","",INDEX('Input Transaksi'!$E:$E,$E398))</f>
        <v/>
      </c>
      <c r="D398" s="5">
        <f>IF($E398="","",INDEX('Input Transaksi'!$F:$F,$E398))</f>
        <v/>
      </c>
      <c r="E398">
        <f>IFERROR(AGGREGATE(15,6,ROW('Input Transaksi'!$B$5:$B$5000)/('Input Transaksi'!$B$5:$B$5000="GEDE LONDRI"),ROWS($E$5:E398)),"")</f>
        <v/>
      </c>
      <c r="F398" s="5" t="n"/>
    </row>
    <row r="399">
      <c r="A399" s="10">
        <f>IF($E399="","",INDEX('Input Transaksi'!$A:$A,$E399))</f>
        <v/>
      </c>
      <c r="B399" s="5">
        <f>IF($E399="","",INDEX('Input Transaksi'!$D:$D,$E399))</f>
        <v/>
      </c>
      <c r="C399">
        <f>IF($E399="","",INDEX('Input Transaksi'!$E:$E,$E399))</f>
        <v/>
      </c>
      <c r="D399" s="5">
        <f>IF($E399="","",INDEX('Input Transaksi'!$F:$F,$E399))</f>
        <v/>
      </c>
      <c r="E399">
        <f>IFERROR(AGGREGATE(15,6,ROW('Input Transaksi'!$B$5:$B$5000)/('Input Transaksi'!$B$5:$B$5000="GEDE LONDRI"),ROWS($E$5:E399)),"")</f>
        <v/>
      </c>
      <c r="F399" s="5" t="n"/>
    </row>
    <row r="400">
      <c r="A400" s="10">
        <f>IF($E400="","",INDEX('Input Transaksi'!$A:$A,$E400))</f>
        <v/>
      </c>
      <c r="B400" s="5">
        <f>IF($E400="","",INDEX('Input Transaksi'!$D:$D,$E400))</f>
        <v/>
      </c>
      <c r="C400">
        <f>IF($E400="","",INDEX('Input Transaksi'!$E:$E,$E400))</f>
        <v/>
      </c>
      <c r="D400" s="5">
        <f>IF($E400="","",INDEX('Input Transaksi'!$F:$F,$E400))</f>
        <v/>
      </c>
      <c r="E400">
        <f>IFERROR(AGGREGATE(15,6,ROW('Input Transaksi'!$B$5:$B$5000)/('Input Transaksi'!$B$5:$B$5000="GEDE LONDRI"),ROWS($E$5:E400)),"")</f>
        <v/>
      </c>
      <c r="F400" s="5" t="n"/>
    </row>
    <row r="401">
      <c r="A401" s="10">
        <f>IF($E401="","",INDEX('Input Transaksi'!$A:$A,$E401))</f>
        <v/>
      </c>
      <c r="B401" s="5">
        <f>IF($E401="","",INDEX('Input Transaksi'!$D:$D,$E401))</f>
        <v/>
      </c>
      <c r="C401">
        <f>IF($E401="","",INDEX('Input Transaksi'!$E:$E,$E401))</f>
        <v/>
      </c>
      <c r="D401" s="5">
        <f>IF($E401="","",INDEX('Input Transaksi'!$F:$F,$E401))</f>
        <v/>
      </c>
      <c r="E401">
        <f>IFERROR(AGGREGATE(15,6,ROW('Input Transaksi'!$B$5:$B$5000)/('Input Transaksi'!$B$5:$B$5000="GEDE LONDRI"),ROWS($E$5:E401)),"")</f>
        <v/>
      </c>
      <c r="F401" s="5" t="n"/>
    </row>
    <row r="402">
      <c r="A402" s="10">
        <f>IF($E402="","",INDEX('Input Transaksi'!$A:$A,$E402))</f>
        <v/>
      </c>
      <c r="B402" s="5">
        <f>IF($E402="","",INDEX('Input Transaksi'!$D:$D,$E402))</f>
        <v/>
      </c>
      <c r="C402">
        <f>IF($E402="","",INDEX('Input Transaksi'!$E:$E,$E402))</f>
        <v/>
      </c>
      <c r="D402" s="5">
        <f>IF($E402="","",INDEX('Input Transaksi'!$F:$F,$E402))</f>
        <v/>
      </c>
      <c r="E402">
        <f>IFERROR(AGGREGATE(15,6,ROW('Input Transaksi'!$B$5:$B$5000)/('Input Transaksi'!$B$5:$B$5000="GEDE LONDRI"),ROWS($E$5:E402)),"")</f>
        <v/>
      </c>
      <c r="F402" s="5" t="n"/>
    </row>
    <row r="403">
      <c r="A403" s="10">
        <f>IF($E403="","",INDEX('Input Transaksi'!$A:$A,$E403))</f>
        <v/>
      </c>
      <c r="B403" s="5">
        <f>IF($E403="","",INDEX('Input Transaksi'!$D:$D,$E403))</f>
        <v/>
      </c>
      <c r="C403">
        <f>IF($E403="","",INDEX('Input Transaksi'!$E:$E,$E403))</f>
        <v/>
      </c>
      <c r="D403" s="5">
        <f>IF($E403="","",INDEX('Input Transaksi'!$F:$F,$E403))</f>
        <v/>
      </c>
      <c r="E403">
        <f>IFERROR(AGGREGATE(15,6,ROW('Input Transaksi'!$B$5:$B$5000)/('Input Transaksi'!$B$5:$B$5000="GEDE LONDRI"),ROWS($E$5:E403)),"")</f>
        <v/>
      </c>
      <c r="F403" s="5" t="n"/>
    </row>
    <row r="404">
      <c r="A404" s="10">
        <f>IF($E404="","",INDEX('Input Transaksi'!$A:$A,$E404))</f>
        <v/>
      </c>
      <c r="B404" s="5">
        <f>IF($E404="","",INDEX('Input Transaksi'!$D:$D,$E404))</f>
        <v/>
      </c>
      <c r="C404">
        <f>IF($E404="","",INDEX('Input Transaksi'!$E:$E,$E404))</f>
        <v/>
      </c>
      <c r="D404" s="5">
        <f>IF($E404="","",INDEX('Input Transaksi'!$F:$F,$E404))</f>
        <v/>
      </c>
      <c r="E404">
        <f>IFERROR(AGGREGATE(15,6,ROW('Input Transaksi'!$B$5:$B$5000)/('Input Transaksi'!$B$5:$B$5000="GEDE LONDRI"),ROWS($E$5:E404)),"")</f>
        <v/>
      </c>
      <c r="F404" s="5" t="n"/>
    </row>
    <row r="405">
      <c r="A405" s="10">
        <f>IF($E405="","",INDEX('Input Transaksi'!$A:$A,$E405))</f>
        <v/>
      </c>
      <c r="B405" s="5">
        <f>IF($E405="","",INDEX('Input Transaksi'!$D:$D,$E405))</f>
        <v/>
      </c>
      <c r="C405">
        <f>IF($E405="","",INDEX('Input Transaksi'!$E:$E,$E405))</f>
        <v/>
      </c>
      <c r="D405" s="5">
        <f>IF($E405="","",INDEX('Input Transaksi'!$F:$F,$E405))</f>
        <v/>
      </c>
      <c r="E405">
        <f>IFERROR(AGGREGATE(15,6,ROW('Input Transaksi'!$B$5:$B$5000)/('Input Transaksi'!$B$5:$B$5000="GEDE LONDRI"),ROWS($E$5:E405)),"")</f>
        <v/>
      </c>
      <c r="F405" s="5" t="n"/>
    </row>
    <row r="406">
      <c r="A406" s="10">
        <f>IF($E406="","",INDEX('Input Transaksi'!$A:$A,$E406))</f>
        <v/>
      </c>
      <c r="B406" s="5">
        <f>IF($E406="","",INDEX('Input Transaksi'!$D:$D,$E406))</f>
        <v/>
      </c>
      <c r="C406">
        <f>IF($E406="","",INDEX('Input Transaksi'!$E:$E,$E406))</f>
        <v/>
      </c>
      <c r="D406" s="5">
        <f>IF($E406="","",INDEX('Input Transaksi'!$F:$F,$E406))</f>
        <v/>
      </c>
      <c r="E406">
        <f>IFERROR(AGGREGATE(15,6,ROW('Input Transaksi'!$B$5:$B$5000)/('Input Transaksi'!$B$5:$B$5000="GEDE LONDRI"),ROWS($E$5:E406)),"")</f>
        <v/>
      </c>
      <c r="F406" s="5" t="n"/>
    </row>
    <row r="407">
      <c r="A407" s="10">
        <f>IF($E407="","",INDEX('Input Transaksi'!$A:$A,$E407))</f>
        <v/>
      </c>
      <c r="B407" s="5">
        <f>IF($E407="","",INDEX('Input Transaksi'!$D:$D,$E407))</f>
        <v/>
      </c>
      <c r="C407">
        <f>IF($E407="","",INDEX('Input Transaksi'!$E:$E,$E407))</f>
        <v/>
      </c>
      <c r="D407" s="5">
        <f>IF($E407="","",INDEX('Input Transaksi'!$F:$F,$E407))</f>
        <v/>
      </c>
      <c r="E407">
        <f>IFERROR(AGGREGATE(15,6,ROW('Input Transaksi'!$B$5:$B$5000)/('Input Transaksi'!$B$5:$B$5000="GEDE LONDRI"),ROWS($E$5:E407)),"")</f>
        <v/>
      </c>
      <c r="F407" s="5" t="n"/>
    </row>
    <row r="408">
      <c r="A408" s="10">
        <f>IF($E408="","",INDEX('Input Transaksi'!$A:$A,$E408))</f>
        <v/>
      </c>
      <c r="B408" s="5">
        <f>IF($E408="","",INDEX('Input Transaksi'!$D:$D,$E408))</f>
        <v/>
      </c>
      <c r="C408">
        <f>IF($E408="","",INDEX('Input Transaksi'!$E:$E,$E408))</f>
        <v/>
      </c>
      <c r="D408" s="5">
        <f>IF($E408="","",INDEX('Input Transaksi'!$F:$F,$E408))</f>
        <v/>
      </c>
      <c r="E408">
        <f>IFERROR(AGGREGATE(15,6,ROW('Input Transaksi'!$B$5:$B$5000)/('Input Transaksi'!$B$5:$B$5000="GEDE LONDRI"),ROWS($E$5:E408)),"")</f>
        <v/>
      </c>
      <c r="F408" s="5" t="n"/>
    </row>
    <row r="409">
      <c r="A409" s="10">
        <f>IF($E409="","",INDEX('Input Transaksi'!$A:$A,$E409))</f>
        <v/>
      </c>
      <c r="B409" s="5">
        <f>IF($E409="","",INDEX('Input Transaksi'!$D:$D,$E409))</f>
        <v/>
      </c>
      <c r="C409">
        <f>IF($E409="","",INDEX('Input Transaksi'!$E:$E,$E409))</f>
        <v/>
      </c>
      <c r="D409" s="5">
        <f>IF($E409="","",INDEX('Input Transaksi'!$F:$F,$E409))</f>
        <v/>
      </c>
      <c r="E409">
        <f>IFERROR(AGGREGATE(15,6,ROW('Input Transaksi'!$B$5:$B$5000)/('Input Transaksi'!$B$5:$B$5000="GEDE LONDRI"),ROWS($E$5:E409)),"")</f>
        <v/>
      </c>
      <c r="F409" s="5" t="n"/>
    </row>
    <row r="410">
      <c r="A410" s="10">
        <f>IF($E410="","",INDEX('Input Transaksi'!$A:$A,$E410))</f>
        <v/>
      </c>
      <c r="B410" s="5">
        <f>IF($E410="","",INDEX('Input Transaksi'!$D:$D,$E410))</f>
        <v/>
      </c>
      <c r="C410">
        <f>IF($E410="","",INDEX('Input Transaksi'!$E:$E,$E410))</f>
        <v/>
      </c>
      <c r="D410" s="5">
        <f>IF($E410="","",INDEX('Input Transaksi'!$F:$F,$E410))</f>
        <v/>
      </c>
      <c r="E410">
        <f>IFERROR(AGGREGATE(15,6,ROW('Input Transaksi'!$B$5:$B$5000)/('Input Transaksi'!$B$5:$B$5000="GEDE LONDRI"),ROWS($E$5:E410)),"")</f>
        <v/>
      </c>
      <c r="F410" s="5" t="n"/>
    </row>
    <row r="411">
      <c r="A411" s="10">
        <f>IF($E411="","",INDEX('Input Transaksi'!$A:$A,$E411))</f>
        <v/>
      </c>
      <c r="B411" s="5">
        <f>IF($E411="","",INDEX('Input Transaksi'!$D:$D,$E411))</f>
        <v/>
      </c>
      <c r="C411">
        <f>IF($E411="","",INDEX('Input Transaksi'!$E:$E,$E411))</f>
        <v/>
      </c>
      <c r="D411" s="5">
        <f>IF($E411="","",INDEX('Input Transaksi'!$F:$F,$E411))</f>
        <v/>
      </c>
      <c r="E411">
        <f>IFERROR(AGGREGATE(15,6,ROW('Input Transaksi'!$B$5:$B$5000)/('Input Transaksi'!$B$5:$B$5000="GEDE LONDRI"),ROWS($E$5:E411)),"")</f>
        <v/>
      </c>
      <c r="F411" s="5" t="n"/>
    </row>
    <row r="412">
      <c r="A412" s="10">
        <f>IF($E412="","",INDEX('Input Transaksi'!$A:$A,$E412))</f>
        <v/>
      </c>
      <c r="B412" s="5">
        <f>IF($E412="","",INDEX('Input Transaksi'!$D:$D,$E412))</f>
        <v/>
      </c>
      <c r="C412">
        <f>IF($E412="","",INDEX('Input Transaksi'!$E:$E,$E412))</f>
        <v/>
      </c>
      <c r="D412" s="5">
        <f>IF($E412="","",INDEX('Input Transaksi'!$F:$F,$E412))</f>
        <v/>
      </c>
      <c r="E412">
        <f>IFERROR(AGGREGATE(15,6,ROW('Input Transaksi'!$B$5:$B$5000)/('Input Transaksi'!$B$5:$B$5000="GEDE LONDRI"),ROWS($E$5:E412)),"")</f>
        <v/>
      </c>
      <c r="F412" s="5" t="n"/>
    </row>
    <row r="413">
      <c r="A413" s="10">
        <f>IF($E413="","",INDEX('Input Transaksi'!$A:$A,$E413))</f>
        <v/>
      </c>
      <c r="B413" s="5">
        <f>IF($E413="","",INDEX('Input Transaksi'!$D:$D,$E413))</f>
        <v/>
      </c>
      <c r="C413">
        <f>IF($E413="","",INDEX('Input Transaksi'!$E:$E,$E413))</f>
        <v/>
      </c>
      <c r="D413" s="5">
        <f>IF($E413="","",INDEX('Input Transaksi'!$F:$F,$E413))</f>
        <v/>
      </c>
      <c r="E413">
        <f>IFERROR(AGGREGATE(15,6,ROW('Input Transaksi'!$B$5:$B$5000)/('Input Transaksi'!$B$5:$B$5000="GEDE LONDRI"),ROWS($E$5:E413)),"")</f>
        <v/>
      </c>
      <c r="F413" s="5" t="n"/>
    </row>
    <row r="414">
      <c r="A414" s="10">
        <f>IF($E414="","",INDEX('Input Transaksi'!$A:$A,$E414))</f>
        <v/>
      </c>
      <c r="B414" s="5">
        <f>IF($E414="","",INDEX('Input Transaksi'!$D:$D,$E414))</f>
        <v/>
      </c>
      <c r="C414">
        <f>IF($E414="","",INDEX('Input Transaksi'!$E:$E,$E414))</f>
        <v/>
      </c>
      <c r="D414" s="5">
        <f>IF($E414="","",INDEX('Input Transaksi'!$F:$F,$E414))</f>
        <v/>
      </c>
      <c r="E414">
        <f>IFERROR(AGGREGATE(15,6,ROW('Input Transaksi'!$B$5:$B$5000)/('Input Transaksi'!$B$5:$B$5000="GEDE LONDRI"),ROWS($E$5:E414)),"")</f>
        <v/>
      </c>
      <c r="F414" s="5" t="n"/>
    </row>
    <row r="415">
      <c r="A415" s="10">
        <f>IF($E415="","",INDEX('Input Transaksi'!$A:$A,$E415))</f>
        <v/>
      </c>
      <c r="B415" s="5">
        <f>IF($E415="","",INDEX('Input Transaksi'!$D:$D,$E415))</f>
        <v/>
      </c>
      <c r="C415">
        <f>IF($E415="","",INDEX('Input Transaksi'!$E:$E,$E415))</f>
        <v/>
      </c>
      <c r="D415" s="5">
        <f>IF($E415="","",INDEX('Input Transaksi'!$F:$F,$E415))</f>
        <v/>
      </c>
      <c r="E415">
        <f>IFERROR(AGGREGATE(15,6,ROW('Input Transaksi'!$B$5:$B$5000)/('Input Transaksi'!$B$5:$B$5000="GEDE LONDRI"),ROWS($E$5:E415)),"")</f>
        <v/>
      </c>
      <c r="F415" s="5" t="n"/>
    </row>
    <row r="416">
      <c r="A416" s="10">
        <f>IF($E416="","",INDEX('Input Transaksi'!$A:$A,$E416))</f>
        <v/>
      </c>
      <c r="B416" s="5">
        <f>IF($E416="","",INDEX('Input Transaksi'!$D:$D,$E416))</f>
        <v/>
      </c>
      <c r="C416">
        <f>IF($E416="","",INDEX('Input Transaksi'!$E:$E,$E416))</f>
        <v/>
      </c>
      <c r="D416" s="5">
        <f>IF($E416="","",INDEX('Input Transaksi'!$F:$F,$E416))</f>
        <v/>
      </c>
      <c r="E416">
        <f>IFERROR(AGGREGATE(15,6,ROW('Input Transaksi'!$B$5:$B$5000)/('Input Transaksi'!$B$5:$B$5000="GEDE LONDRI"),ROWS($E$5:E416)),"")</f>
        <v/>
      </c>
      <c r="F416" s="5" t="n"/>
    </row>
    <row r="417">
      <c r="A417" s="10">
        <f>IF($E417="","",INDEX('Input Transaksi'!$A:$A,$E417))</f>
        <v/>
      </c>
      <c r="B417" s="5">
        <f>IF($E417="","",INDEX('Input Transaksi'!$D:$D,$E417))</f>
        <v/>
      </c>
      <c r="C417">
        <f>IF($E417="","",INDEX('Input Transaksi'!$E:$E,$E417))</f>
        <v/>
      </c>
      <c r="D417" s="5">
        <f>IF($E417="","",INDEX('Input Transaksi'!$F:$F,$E417))</f>
        <v/>
      </c>
      <c r="E417">
        <f>IFERROR(AGGREGATE(15,6,ROW('Input Transaksi'!$B$5:$B$5000)/('Input Transaksi'!$B$5:$B$5000="GEDE LONDRI"),ROWS($E$5:E417)),"")</f>
        <v/>
      </c>
      <c r="F417" s="5" t="n"/>
    </row>
    <row r="418">
      <c r="A418" s="10">
        <f>IF($E418="","",INDEX('Input Transaksi'!$A:$A,$E418))</f>
        <v/>
      </c>
      <c r="B418" s="5">
        <f>IF($E418="","",INDEX('Input Transaksi'!$D:$D,$E418))</f>
        <v/>
      </c>
      <c r="C418">
        <f>IF($E418="","",INDEX('Input Transaksi'!$E:$E,$E418))</f>
        <v/>
      </c>
      <c r="D418" s="5">
        <f>IF($E418="","",INDEX('Input Transaksi'!$F:$F,$E418))</f>
        <v/>
      </c>
      <c r="E418">
        <f>IFERROR(AGGREGATE(15,6,ROW('Input Transaksi'!$B$5:$B$5000)/('Input Transaksi'!$B$5:$B$5000="GEDE LONDRI"),ROWS($E$5:E418)),"")</f>
        <v/>
      </c>
      <c r="F418" s="5" t="n"/>
    </row>
    <row r="419">
      <c r="A419" s="10">
        <f>IF($E419="","",INDEX('Input Transaksi'!$A:$A,$E419))</f>
        <v/>
      </c>
      <c r="B419" s="5">
        <f>IF($E419="","",INDEX('Input Transaksi'!$D:$D,$E419))</f>
        <v/>
      </c>
      <c r="C419">
        <f>IF($E419="","",INDEX('Input Transaksi'!$E:$E,$E419))</f>
        <v/>
      </c>
      <c r="D419" s="5">
        <f>IF($E419="","",INDEX('Input Transaksi'!$F:$F,$E419))</f>
        <v/>
      </c>
      <c r="E419">
        <f>IFERROR(AGGREGATE(15,6,ROW('Input Transaksi'!$B$5:$B$5000)/('Input Transaksi'!$B$5:$B$5000="GEDE LONDRI"),ROWS($E$5:E419)),"")</f>
        <v/>
      </c>
      <c r="F419" s="5" t="n"/>
    </row>
    <row r="420">
      <c r="A420" s="10">
        <f>IF($E420="","",INDEX('Input Transaksi'!$A:$A,$E420))</f>
        <v/>
      </c>
      <c r="B420" s="5">
        <f>IF($E420="","",INDEX('Input Transaksi'!$D:$D,$E420))</f>
        <v/>
      </c>
      <c r="C420">
        <f>IF($E420="","",INDEX('Input Transaksi'!$E:$E,$E420))</f>
        <v/>
      </c>
      <c r="D420" s="5">
        <f>IF($E420="","",INDEX('Input Transaksi'!$F:$F,$E420))</f>
        <v/>
      </c>
      <c r="E420">
        <f>IFERROR(AGGREGATE(15,6,ROW('Input Transaksi'!$B$5:$B$5000)/('Input Transaksi'!$B$5:$B$5000="GEDE LONDRI"),ROWS($E$5:E420)),"")</f>
        <v/>
      </c>
      <c r="F420" s="5" t="n"/>
    </row>
    <row r="421">
      <c r="A421" s="10">
        <f>IF($E421="","",INDEX('Input Transaksi'!$A:$A,$E421))</f>
        <v/>
      </c>
      <c r="B421" s="5">
        <f>IF($E421="","",INDEX('Input Transaksi'!$D:$D,$E421))</f>
        <v/>
      </c>
      <c r="C421">
        <f>IF($E421="","",INDEX('Input Transaksi'!$E:$E,$E421))</f>
        <v/>
      </c>
      <c r="D421" s="5">
        <f>IF($E421="","",INDEX('Input Transaksi'!$F:$F,$E421))</f>
        <v/>
      </c>
      <c r="E421">
        <f>IFERROR(AGGREGATE(15,6,ROW('Input Transaksi'!$B$5:$B$5000)/('Input Transaksi'!$B$5:$B$5000="GEDE LONDRI"),ROWS($E$5:E421)),"")</f>
        <v/>
      </c>
      <c r="F421" s="5" t="n"/>
    </row>
    <row r="422">
      <c r="A422" s="10">
        <f>IF($E422="","",INDEX('Input Transaksi'!$A:$A,$E422))</f>
        <v/>
      </c>
      <c r="B422" s="5">
        <f>IF($E422="","",INDEX('Input Transaksi'!$D:$D,$E422))</f>
        <v/>
      </c>
      <c r="C422">
        <f>IF($E422="","",INDEX('Input Transaksi'!$E:$E,$E422))</f>
        <v/>
      </c>
      <c r="D422" s="5">
        <f>IF($E422="","",INDEX('Input Transaksi'!$F:$F,$E422))</f>
        <v/>
      </c>
      <c r="E422">
        <f>IFERROR(AGGREGATE(15,6,ROW('Input Transaksi'!$B$5:$B$5000)/('Input Transaksi'!$B$5:$B$5000="GEDE LONDRI"),ROWS($E$5:E422)),"")</f>
        <v/>
      </c>
      <c r="F422" s="5" t="n"/>
    </row>
    <row r="423">
      <c r="A423" s="10">
        <f>IF($E423="","",INDEX('Input Transaksi'!$A:$A,$E423))</f>
        <v/>
      </c>
      <c r="B423" s="5">
        <f>IF($E423="","",INDEX('Input Transaksi'!$D:$D,$E423))</f>
        <v/>
      </c>
      <c r="C423">
        <f>IF($E423="","",INDEX('Input Transaksi'!$E:$E,$E423))</f>
        <v/>
      </c>
      <c r="D423" s="5">
        <f>IF($E423="","",INDEX('Input Transaksi'!$F:$F,$E423))</f>
        <v/>
      </c>
      <c r="E423">
        <f>IFERROR(AGGREGATE(15,6,ROW('Input Transaksi'!$B$5:$B$5000)/('Input Transaksi'!$B$5:$B$5000="GEDE LONDRI"),ROWS($E$5:E423)),"")</f>
        <v/>
      </c>
      <c r="F423" s="5" t="n"/>
    </row>
    <row r="424">
      <c r="A424" s="10">
        <f>IF($E424="","",INDEX('Input Transaksi'!$A:$A,$E424))</f>
        <v/>
      </c>
      <c r="B424" s="5">
        <f>IF($E424="","",INDEX('Input Transaksi'!$D:$D,$E424))</f>
        <v/>
      </c>
      <c r="C424">
        <f>IF($E424="","",INDEX('Input Transaksi'!$E:$E,$E424))</f>
        <v/>
      </c>
      <c r="D424" s="5">
        <f>IF($E424="","",INDEX('Input Transaksi'!$F:$F,$E424))</f>
        <v/>
      </c>
      <c r="E424">
        <f>IFERROR(AGGREGATE(15,6,ROW('Input Transaksi'!$B$5:$B$5000)/('Input Transaksi'!$B$5:$B$5000="GEDE LONDRI"),ROWS($E$5:E424)),"")</f>
        <v/>
      </c>
      <c r="F424" s="5" t="n"/>
    </row>
    <row r="425">
      <c r="A425" s="10">
        <f>IF($E425="","",INDEX('Input Transaksi'!$A:$A,$E425))</f>
        <v/>
      </c>
      <c r="B425" s="5">
        <f>IF($E425="","",INDEX('Input Transaksi'!$D:$D,$E425))</f>
        <v/>
      </c>
      <c r="C425">
        <f>IF($E425="","",INDEX('Input Transaksi'!$E:$E,$E425))</f>
        <v/>
      </c>
      <c r="D425" s="5">
        <f>IF($E425="","",INDEX('Input Transaksi'!$F:$F,$E425))</f>
        <v/>
      </c>
      <c r="E425">
        <f>IFERROR(AGGREGATE(15,6,ROW('Input Transaksi'!$B$5:$B$5000)/('Input Transaksi'!$B$5:$B$5000="GEDE LONDRI"),ROWS($E$5:E425)),"")</f>
        <v/>
      </c>
      <c r="F425" s="5" t="n"/>
    </row>
    <row r="426">
      <c r="A426" s="10">
        <f>IF($E426="","",INDEX('Input Transaksi'!$A:$A,$E426))</f>
        <v/>
      </c>
      <c r="B426" s="5">
        <f>IF($E426="","",INDEX('Input Transaksi'!$D:$D,$E426))</f>
        <v/>
      </c>
      <c r="C426">
        <f>IF($E426="","",INDEX('Input Transaksi'!$E:$E,$E426))</f>
        <v/>
      </c>
      <c r="D426" s="5">
        <f>IF($E426="","",INDEX('Input Transaksi'!$F:$F,$E426))</f>
        <v/>
      </c>
      <c r="E426">
        <f>IFERROR(AGGREGATE(15,6,ROW('Input Transaksi'!$B$5:$B$5000)/('Input Transaksi'!$B$5:$B$5000="GEDE LONDRI"),ROWS($E$5:E426)),"")</f>
        <v/>
      </c>
      <c r="F426" s="5" t="n"/>
    </row>
    <row r="427">
      <c r="A427" s="10">
        <f>IF($E427="","",INDEX('Input Transaksi'!$A:$A,$E427))</f>
        <v/>
      </c>
      <c r="B427" s="5">
        <f>IF($E427="","",INDEX('Input Transaksi'!$D:$D,$E427))</f>
        <v/>
      </c>
      <c r="C427">
        <f>IF($E427="","",INDEX('Input Transaksi'!$E:$E,$E427))</f>
        <v/>
      </c>
      <c r="D427" s="5">
        <f>IF($E427="","",INDEX('Input Transaksi'!$F:$F,$E427))</f>
        <v/>
      </c>
      <c r="E427">
        <f>IFERROR(AGGREGATE(15,6,ROW('Input Transaksi'!$B$5:$B$5000)/('Input Transaksi'!$B$5:$B$5000="GEDE LONDRI"),ROWS($E$5:E427)),"")</f>
        <v/>
      </c>
      <c r="F427" s="5" t="n"/>
    </row>
    <row r="428">
      <c r="A428" s="10">
        <f>IF($E428="","",INDEX('Input Transaksi'!$A:$A,$E428))</f>
        <v/>
      </c>
      <c r="B428" s="5">
        <f>IF($E428="","",INDEX('Input Transaksi'!$D:$D,$E428))</f>
        <v/>
      </c>
      <c r="C428">
        <f>IF($E428="","",INDEX('Input Transaksi'!$E:$E,$E428))</f>
        <v/>
      </c>
      <c r="D428" s="5">
        <f>IF($E428="","",INDEX('Input Transaksi'!$F:$F,$E428))</f>
        <v/>
      </c>
      <c r="E428">
        <f>IFERROR(AGGREGATE(15,6,ROW('Input Transaksi'!$B$5:$B$5000)/('Input Transaksi'!$B$5:$B$5000="GEDE LONDRI"),ROWS($E$5:E428)),"")</f>
        <v/>
      </c>
      <c r="F428" s="5" t="n"/>
    </row>
    <row r="429">
      <c r="A429" s="10">
        <f>IF($E429="","",INDEX('Input Transaksi'!$A:$A,$E429))</f>
        <v/>
      </c>
      <c r="B429" s="5">
        <f>IF($E429="","",INDEX('Input Transaksi'!$D:$D,$E429))</f>
        <v/>
      </c>
      <c r="C429">
        <f>IF($E429="","",INDEX('Input Transaksi'!$E:$E,$E429))</f>
        <v/>
      </c>
      <c r="D429" s="5">
        <f>IF($E429="","",INDEX('Input Transaksi'!$F:$F,$E429))</f>
        <v/>
      </c>
      <c r="E429">
        <f>IFERROR(AGGREGATE(15,6,ROW('Input Transaksi'!$B$5:$B$5000)/('Input Transaksi'!$B$5:$B$5000="GEDE LONDRI"),ROWS($E$5:E429)),"")</f>
        <v/>
      </c>
      <c r="F429" s="5" t="n"/>
    </row>
    <row r="430">
      <c r="A430" s="10">
        <f>IF($E430="","",INDEX('Input Transaksi'!$A:$A,$E430))</f>
        <v/>
      </c>
      <c r="B430" s="5">
        <f>IF($E430="","",INDEX('Input Transaksi'!$D:$D,$E430))</f>
        <v/>
      </c>
      <c r="C430">
        <f>IF($E430="","",INDEX('Input Transaksi'!$E:$E,$E430))</f>
        <v/>
      </c>
      <c r="D430" s="5">
        <f>IF($E430="","",INDEX('Input Transaksi'!$F:$F,$E430))</f>
        <v/>
      </c>
      <c r="E430">
        <f>IFERROR(AGGREGATE(15,6,ROW('Input Transaksi'!$B$5:$B$5000)/('Input Transaksi'!$B$5:$B$5000="GEDE LONDRI"),ROWS($E$5:E430)),"")</f>
        <v/>
      </c>
      <c r="F430" s="5" t="n"/>
    </row>
    <row r="431">
      <c r="A431" s="10">
        <f>IF($E431="","",INDEX('Input Transaksi'!$A:$A,$E431))</f>
        <v/>
      </c>
      <c r="B431" s="5">
        <f>IF($E431="","",INDEX('Input Transaksi'!$D:$D,$E431))</f>
        <v/>
      </c>
      <c r="C431">
        <f>IF($E431="","",INDEX('Input Transaksi'!$E:$E,$E431))</f>
        <v/>
      </c>
      <c r="D431" s="5">
        <f>IF($E431="","",INDEX('Input Transaksi'!$F:$F,$E431))</f>
        <v/>
      </c>
      <c r="E431">
        <f>IFERROR(AGGREGATE(15,6,ROW('Input Transaksi'!$B$5:$B$5000)/('Input Transaksi'!$B$5:$B$5000="GEDE LONDRI"),ROWS($E$5:E431)),"")</f>
        <v/>
      </c>
      <c r="F431" s="5" t="n"/>
    </row>
    <row r="432">
      <c r="A432" s="10">
        <f>IF($E432="","",INDEX('Input Transaksi'!$A:$A,$E432))</f>
        <v/>
      </c>
      <c r="B432" s="5">
        <f>IF($E432="","",INDEX('Input Transaksi'!$D:$D,$E432))</f>
        <v/>
      </c>
      <c r="C432">
        <f>IF($E432="","",INDEX('Input Transaksi'!$E:$E,$E432))</f>
        <v/>
      </c>
      <c r="D432" s="5">
        <f>IF($E432="","",INDEX('Input Transaksi'!$F:$F,$E432))</f>
        <v/>
      </c>
      <c r="E432">
        <f>IFERROR(AGGREGATE(15,6,ROW('Input Transaksi'!$B$5:$B$5000)/('Input Transaksi'!$B$5:$B$5000="GEDE LONDRI"),ROWS($E$5:E432)),"")</f>
        <v/>
      </c>
      <c r="F432" s="5" t="n"/>
    </row>
    <row r="433">
      <c r="A433" s="10">
        <f>IF($E433="","",INDEX('Input Transaksi'!$A:$A,$E433))</f>
        <v/>
      </c>
      <c r="B433" s="5">
        <f>IF($E433="","",INDEX('Input Transaksi'!$D:$D,$E433))</f>
        <v/>
      </c>
      <c r="C433">
        <f>IF($E433="","",INDEX('Input Transaksi'!$E:$E,$E433))</f>
        <v/>
      </c>
      <c r="D433" s="5">
        <f>IF($E433="","",INDEX('Input Transaksi'!$F:$F,$E433))</f>
        <v/>
      </c>
      <c r="E433">
        <f>IFERROR(AGGREGATE(15,6,ROW('Input Transaksi'!$B$5:$B$5000)/('Input Transaksi'!$B$5:$B$5000="GEDE LONDRI"),ROWS($E$5:E433)),"")</f>
        <v/>
      </c>
      <c r="F433" s="5" t="n"/>
    </row>
    <row r="434">
      <c r="A434" s="10">
        <f>IF($E434="","",INDEX('Input Transaksi'!$A:$A,$E434))</f>
        <v/>
      </c>
      <c r="B434" s="5">
        <f>IF($E434="","",INDEX('Input Transaksi'!$D:$D,$E434))</f>
        <v/>
      </c>
      <c r="C434">
        <f>IF($E434="","",INDEX('Input Transaksi'!$E:$E,$E434))</f>
        <v/>
      </c>
      <c r="D434" s="5">
        <f>IF($E434="","",INDEX('Input Transaksi'!$F:$F,$E434))</f>
        <v/>
      </c>
      <c r="E434">
        <f>IFERROR(AGGREGATE(15,6,ROW('Input Transaksi'!$B$5:$B$5000)/('Input Transaksi'!$B$5:$B$5000="GEDE LONDRI"),ROWS($E$5:E434)),"")</f>
        <v/>
      </c>
      <c r="F434" s="5" t="n"/>
    </row>
    <row r="435">
      <c r="A435" s="10">
        <f>IF($E435="","",INDEX('Input Transaksi'!$A:$A,$E435))</f>
        <v/>
      </c>
      <c r="B435" s="5">
        <f>IF($E435="","",INDEX('Input Transaksi'!$D:$D,$E435))</f>
        <v/>
      </c>
      <c r="C435">
        <f>IF($E435="","",INDEX('Input Transaksi'!$E:$E,$E435))</f>
        <v/>
      </c>
      <c r="D435" s="5">
        <f>IF($E435="","",INDEX('Input Transaksi'!$F:$F,$E435))</f>
        <v/>
      </c>
      <c r="E435">
        <f>IFERROR(AGGREGATE(15,6,ROW('Input Transaksi'!$B$5:$B$5000)/('Input Transaksi'!$B$5:$B$5000="GEDE LONDRI"),ROWS($E$5:E435)),"")</f>
        <v/>
      </c>
      <c r="F435" s="5" t="n"/>
    </row>
    <row r="436">
      <c r="A436" s="10">
        <f>IF($E436="","",INDEX('Input Transaksi'!$A:$A,$E436))</f>
        <v/>
      </c>
      <c r="B436" s="5">
        <f>IF($E436="","",INDEX('Input Transaksi'!$D:$D,$E436))</f>
        <v/>
      </c>
      <c r="C436">
        <f>IF($E436="","",INDEX('Input Transaksi'!$E:$E,$E436))</f>
        <v/>
      </c>
      <c r="D436" s="5">
        <f>IF($E436="","",INDEX('Input Transaksi'!$F:$F,$E436))</f>
        <v/>
      </c>
      <c r="E436">
        <f>IFERROR(AGGREGATE(15,6,ROW('Input Transaksi'!$B$5:$B$5000)/('Input Transaksi'!$B$5:$B$5000="GEDE LONDRI"),ROWS($E$5:E436)),"")</f>
        <v/>
      </c>
      <c r="F436" s="5" t="n"/>
    </row>
    <row r="437">
      <c r="A437" s="10">
        <f>IF($E437="","",INDEX('Input Transaksi'!$A:$A,$E437))</f>
        <v/>
      </c>
      <c r="B437" s="5">
        <f>IF($E437="","",INDEX('Input Transaksi'!$D:$D,$E437))</f>
        <v/>
      </c>
      <c r="C437">
        <f>IF($E437="","",INDEX('Input Transaksi'!$E:$E,$E437))</f>
        <v/>
      </c>
      <c r="D437" s="5">
        <f>IF($E437="","",INDEX('Input Transaksi'!$F:$F,$E437))</f>
        <v/>
      </c>
      <c r="E437">
        <f>IFERROR(AGGREGATE(15,6,ROW('Input Transaksi'!$B$5:$B$5000)/('Input Transaksi'!$B$5:$B$5000="GEDE LONDRI"),ROWS($E$5:E437)),"")</f>
        <v/>
      </c>
      <c r="F437" s="5" t="n"/>
    </row>
    <row r="438">
      <c r="A438" s="10">
        <f>IF($E438="","",INDEX('Input Transaksi'!$A:$A,$E438))</f>
        <v/>
      </c>
      <c r="B438" s="5">
        <f>IF($E438="","",INDEX('Input Transaksi'!$D:$D,$E438))</f>
        <v/>
      </c>
      <c r="C438">
        <f>IF($E438="","",INDEX('Input Transaksi'!$E:$E,$E438))</f>
        <v/>
      </c>
      <c r="D438" s="5">
        <f>IF($E438="","",INDEX('Input Transaksi'!$F:$F,$E438))</f>
        <v/>
      </c>
      <c r="E438">
        <f>IFERROR(AGGREGATE(15,6,ROW('Input Transaksi'!$B$5:$B$5000)/('Input Transaksi'!$B$5:$B$5000="GEDE LONDRI"),ROWS($E$5:E438)),"")</f>
        <v/>
      </c>
      <c r="F438" s="5" t="n"/>
    </row>
    <row r="439">
      <c r="A439" s="10">
        <f>IF($E439="","",INDEX('Input Transaksi'!$A:$A,$E439))</f>
        <v/>
      </c>
      <c r="B439" s="5">
        <f>IF($E439="","",INDEX('Input Transaksi'!$D:$D,$E439))</f>
        <v/>
      </c>
      <c r="C439">
        <f>IF($E439="","",INDEX('Input Transaksi'!$E:$E,$E439))</f>
        <v/>
      </c>
      <c r="D439" s="5">
        <f>IF($E439="","",INDEX('Input Transaksi'!$F:$F,$E439))</f>
        <v/>
      </c>
      <c r="E439">
        <f>IFERROR(AGGREGATE(15,6,ROW('Input Transaksi'!$B$5:$B$5000)/('Input Transaksi'!$B$5:$B$5000="GEDE LONDRI"),ROWS($E$5:E439)),"")</f>
        <v/>
      </c>
      <c r="F439" s="5" t="n"/>
    </row>
    <row r="440">
      <c r="A440" s="10">
        <f>IF($E440="","",INDEX('Input Transaksi'!$A:$A,$E440))</f>
        <v/>
      </c>
      <c r="B440" s="5">
        <f>IF($E440="","",INDEX('Input Transaksi'!$D:$D,$E440))</f>
        <v/>
      </c>
      <c r="C440">
        <f>IF($E440="","",INDEX('Input Transaksi'!$E:$E,$E440))</f>
        <v/>
      </c>
      <c r="D440" s="5">
        <f>IF($E440="","",INDEX('Input Transaksi'!$F:$F,$E440))</f>
        <v/>
      </c>
      <c r="E440">
        <f>IFERROR(AGGREGATE(15,6,ROW('Input Transaksi'!$B$5:$B$5000)/('Input Transaksi'!$B$5:$B$5000="GEDE LONDRI"),ROWS($E$5:E440)),"")</f>
        <v/>
      </c>
      <c r="F440" s="5" t="n"/>
    </row>
    <row r="441">
      <c r="A441" s="10">
        <f>IF($E441="","",INDEX('Input Transaksi'!$A:$A,$E441))</f>
        <v/>
      </c>
      <c r="B441" s="5">
        <f>IF($E441="","",INDEX('Input Transaksi'!$D:$D,$E441))</f>
        <v/>
      </c>
      <c r="C441">
        <f>IF($E441="","",INDEX('Input Transaksi'!$E:$E,$E441))</f>
        <v/>
      </c>
      <c r="D441" s="5">
        <f>IF($E441="","",INDEX('Input Transaksi'!$F:$F,$E441))</f>
        <v/>
      </c>
      <c r="E441">
        <f>IFERROR(AGGREGATE(15,6,ROW('Input Transaksi'!$B$5:$B$5000)/('Input Transaksi'!$B$5:$B$5000="GEDE LONDRI"),ROWS($E$5:E441)),"")</f>
        <v/>
      </c>
      <c r="F441" s="5" t="n"/>
    </row>
    <row r="442">
      <c r="A442" s="10">
        <f>IF($E442="","",INDEX('Input Transaksi'!$A:$A,$E442))</f>
        <v/>
      </c>
      <c r="B442" s="5">
        <f>IF($E442="","",INDEX('Input Transaksi'!$D:$D,$E442))</f>
        <v/>
      </c>
      <c r="C442">
        <f>IF($E442="","",INDEX('Input Transaksi'!$E:$E,$E442))</f>
        <v/>
      </c>
      <c r="D442" s="5">
        <f>IF($E442="","",INDEX('Input Transaksi'!$F:$F,$E442))</f>
        <v/>
      </c>
      <c r="E442">
        <f>IFERROR(AGGREGATE(15,6,ROW('Input Transaksi'!$B$5:$B$5000)/('Input Transaksi'!$B$5:$B$5000="GEDE LONDRI"),ROWS($E$5:E442)),"")</f>
        <v/>
      </c>
      <c r="F442" s="5" t="n"/>
    </row>
    <row r="443">
      <c r="A443" s="10">
        <f>IF($E443="","",INDEX('Input Transaksi'!$A:$A,$E443))</f>
        <v/>
      </c>
      <c r="B443" s="5">
        <f>IF($E443="","",INDEX('Input Transaksi'!$D:$D,$E443))</f>
        <v/>
      </c>
      <c r="C443">
        <f>IF($E443="","",INDEX('Input Transaksi'!$E:$E,$E443))</f>
        <v/>
      </c>
      <c r="D443" s="5">
        <f>IF($E443="","",INDEX('Input Transaksi'!$F:$F,$E443))</f>
        <v/>
      </c>
      <c r="E443">
        <f>IFERROR(AGGREGATE(15,6,ROW('Input Transaksi'!$B$5:$B$5000)/('Input Transaksi'!$B$5:$B$5000="GEDE LONDRI"),ROWS($E$5:E443)),"")</f>
        <v/>
      </c>
      <c r="F443" s="5" t="n"/>
    </row>
    <row r="444">
      <c r="A444" s="10">
        <f>IF($E444="","",INDEX('Input Transaksi'!$A:$A,$E444))</f>
        <v/>
      </c>
      <c r="B444" s="5">
        <f>IF($E444="","",INDEX('Input Transaksi'!$D:$D,$E444))</f>
        <v/>
      </c>
      <c r="C444">
        <f>IF($E444="","",INDEX('Input Transaksi'!$E:$E,$E444))</f>
        <v/>
      </c>
      <c r="D444" s="5">
        <f>IF($E444="","",INDEX('Input Transaksi'!$F:$F,$E444))</f>
        <v/>
      </c>
      <c r="E444">
        <f>IFERROR(AGGREGATE(15,6,ROW('Input Transaksi'!$B$5:$B$5000)/('Input Transaksi'!$B$5:$B$5000="GEDE LONDRI"),ROWS($E$5:E444)),"")</f>
        <v/>
      </c>
      <c r="F444" s="5" t="n"/>
    </row>
    <row r="445">
      <c r="A445" s="10">
        <f>IF($E445="","",INDEX('Input Transaksi'!$A:$A,$E445))</f>
        <v/>
      </c>
      <c r="B445" s="5">
        <f>IF($E445="","",INDEX('Input Transaksi'!$D:$D,$E445))</f>
        <v/>
      </c>
      <c r="C445">
        <f>IF($E445="","",INDEX('Input Transaksi'!$E:$E,$E445))</f>
        <v/>
      </c>
      <c r="D445" s="5">
        <f>IF($E445="","",INDEX('Input Transaksi'!$F:$F,$E445))</f>
        <v/>
      </c>
      <c r="E445">
        <f>IFERROR(AGGREGATE(15,6,ROW('Input Transaksi'!$B$5:$B$5000)/('Input Transaksi'!$B$5:$B$5000="GEDE LONDRI"),ROWS($E$5:E445)),"")</f>
        <v/>
      </c>
      <c r="F445" s="5" t="n"/>
    </row>
    <row r="446">
      <c r="A446" s="10">
        <f>IF($E446="","",INDEX('Input Transaksi'!$A:$A,$E446))</f>
        <v/>
      </c>
      <c r="B446" s="5">
        <f>IF($E446="","",INDEX('Input Transaksi'!$D:$D,$E446))</f>
        <v/>
      </c>
      <c r="C446">
        <f>IF($E446="","",INDEX('Input Transaksi'!$E:$E,$E446))</f>
        <v/>
      </c>
      <c r="D446" s="5">
        <f>IF($E446="","",INDEX('Input Transaksi'!$F:$F,$E446))</f>
        <v/>
      </c>
      <c r="E446">
        <f>IFERROR(AGGREGATE(15,6,ROW('Input Transaksi'!$B$5:$B$5000)/('Input Transaksi'!$B$5:$B$5000="GEDE LONDRI"),ROWS($E$5:E446)),"")</f>
        <v/>
      </c>
      <c r="F446" s="5" t="n"/>
    </row>
    <row r="447">
      <c r="A447" s="10">
        <f>IF($E447="","",INDEX('Input Transaksi'!$A:$A,$E447))</f>
        <v/>
      </c>
      <c r="B447" s="5">
        <f>IF($E447="","",INDEX('Input Transaksi'!$D:$D,$E447))</f>
        <v/>
      </c>
      <c r="C447">
        <f>IF($E447="","",INDEX('Input Transaksi'!$E:$E,$E447))</f>
        <v/>
      </c>
      <c r="D447" s="5">
        <f>IF($E447="","",INDEX('Input Transaksi'!$F:$F,$E447))</f>
        <v/>
      </c>
      <c r="E447">
        <f>IFERROR(AGGREGATE(15,6,ROW('Input Transaksi'!$B$5:$B$5000)/('Input Transaksi'!$B$5:$B$5000="GEDE LONDRI"),ROWS($E$5:E447)),"")</f>
        <v/>
      </c>
      <c r="F447" s="5" t="n"/>
    </row>
    <row r="448">
      <c r="A448" s="10">
        <f>IF($E448="","",INDEX('Input Transaksi'!$A:$A,$E448))</f>
        <v/>
      </c>
      <c r="B448" s="5">
        <f>IF($E448="","",INDEX('Input Transaksi'!$D:$D,$E448))</f>
        <v/>
      </c>
      <c r="C448">
        <f>IF($E448="","",INDEX('Input Transaksi'!$E:$E,$E448))</f>
        <v/>
      </c>
      <c r="D448" s="5">
        <f>IF($E448="","",INDEX('Input Transaksi'!$F:$F,$E448))</f>
        <v/>
      </c>
      <c r="E448">
        <f>IFERROR(AGGREGATE(15,6,ROW('Input Transaksi'!$B$5:$B$5000)/('Input Transaksi'!$B$5:$B$5000="GEDE LONDRI"),ROWS($E$5:E448)),"")</f>
        <v/>
      </c>
      <c r="F448" s="5" t="n"/>
    </row>
    <row r="449">
      <c r="A449" s="10">
        <f>IF($E449="","",INDEX('Input Transaksi'!$A:$A,$E449))</f>
        <v/>
      </c>
      <c r="B449" s="5">
        <f>IF($E449="","",INDEX('Input Transaksi'!$D:$D,$E449))</f>
        <v/>
      </c>
      <c r="C449">
        <f>IF($E449="","",INDEX('Input Transaksi'!$E:$E,$E449))</f>
        <v/>
      </c>
      <c r="D449" s="5">
        <f>IF($E449="","",INDEX('Input Transaksi'!$F:$F,$E449))</f>
        <v/>
      </c>
      <c r="E449">
        <f>IFERROR(AGGREGATE(15,6,ROW('Input Transaksi'!$B$5:$B$5000)/('Input Transaksi'!$B$5:$B$5000="GEDE LONDRI"),ROWS($E$5:E449)),"")</f>
        <v/>
      </c>
      <c r="F449" s="5" t="n"/>
    </row>
    <row r="450">
      <c r="A450" s="10">
        <f>IF($E450="","",INDEX('Input Transaksi'!$A:$A,$E450))</f>
        <v/>
      </c>
      <c r="B450" s="5">
        <f>IF($E450="","",INDEX('Input Transaksi'!$D:$D,$E450))</f>
        <v/>
      </c>
      <c r="C450">
        <f>IF($E450="","",INDEX('Input Transaksi'!$E:$E,$E450))</f>
        <v/>
      </c>
      <c r="D450" s="5">
        <f>IF($E450="","",INDEX('Input Transaksi'!$F:$F,$E450))</f>
        <v/>
      </c>
      <c r="E450">
        <f>IFERROR(AGGREGATE(15,6,ROW('Input Transaksi'!$B$5:$B$5000)/('Input Transaksi'!$B$5:$B$5000="GEDE LONDRI"),ROWS($E$5:E450)),"")</f>
        <v/>
      </c>
      <c r="F450" s="5" t="n"/>
    </row>
    <row r="451">
      <c r="A451" s="10">
        <f>IF($E451="","",INDEX('Input Transaksi'!$A:$A,$E451))</f>
        <v/>
      </c>
      <c r="B451" s="5">
        <f>IF($E451="","",INDEX('Input Transaksi'!$D:$D,$E451))</f>
        <v/>
      </c>
      <c r="C451">
        <f>IF($E451="","",INDEX('Input Transaksi'!$E:$E,$E451))</f>
        <v/>
      </c>
      <c r="D451" s="5">
        <f>IF($E451="","",INDEX('Input Transaksi'!$F:$F,$E451))</f>
        <v/>
      </c>
      <c r="E451">
        <f>IFERROR(AGGREGATE(15,6,ROW('Input Transaksi'!$B$5:$B$5000)/('Input Transaksi'!$B$5:$B$5000="GEDE LONDRI"),ROWS($E$5:E451)),"")</f>
        <v/>
      </c>
      <c r="F451" s="5" t="n"/>
    </row>
    <row r="452">
      <c r="A452" s="10">
        <f>IF($E452="","",INDEX('Input Transaksi'!$A:$A,$E452))</f>
        <v/>
      </c>
      <c r="B452" s="5">
        <f>IF($E452="","",INDEX('Input Transaksi'!$D:$D,$E452))</f>
        <v/>
      </c>
      <c r="C452">
        <f>IF($E452="","",INDEX('Input Transaksi'!$E:$E,$E452))</f>
        <v/>
      </c>
      <c r="D452" s="5">
        <f>IF($E452="","",INDEX('Input Transaksi'!$F:$F,$E452))</f>
        <v/>
      </c>
      <c r="E452">
        <f>IFERROR(AGGREGATE(15,6,ROW('Input Transaksi'!$B$5:$B$5000)/('Input Transaksi'!$B$5:$B$5000="GEDE LONDRI"),ROWS($E$5:E452)),"")</f>
        <v/>
      </c>
      <c r="F452" s="5" t="n"/>
    </row>
    <row r="453">
      <c r="A453" s="10">
        <f>IF($E453="","",INDEX('Input Transaksi'!$A:$A,$E453))</f>
        <v/>
      </c>
      <c r="B453" s="5">
        <f>IF($E453="","",INDEX('Input Transaksi'!$D:$D,$E453))</f>
        <v/>
      </c>
      <c r="C453">
        <f>IF($E453="","",INDEX('Input Transaksi'!$E:$E,$E453))</f>
        <v/>
      </c>
      <c r="D453" s="5">
        <f>IF($E453="","",INDEX('Input Transaksi'!$F:$F,$E453))</f>
        <v/>
      </c>
      <c r="E453">
        <f>IFERROR(AGGREGATE(15,6,ROW('Input Transaksi'!$B$5:$B$5000)/('Input Transaksi'!$B$5:$B$5000="GEDE LONDRI"),ROWS($E$5:E453)),"")</f>
        <v/>
      </c>
      <c r="F453" s="5" t="n"/>
    </row>
    <row r="454">
      <c r="A454" s="10">
        <f>IF($E454="","",INDEX('Input Transaksi'!$A:$A,$E454))</f>
        <v/>
      </c>
      <c r="B454" s="5">
        <f>IF($E454="","",INDEX('Input Transaksi'!$D:$D,$E454))</f>
        <v/>
      </c>
      <c r="C454">
        <f>IF($E454="","",INDEX('Input Transaksi'!$E:$E,$E454))</f>
        <v/>
      </c>
      <c r="D454" s="5">
        <f>IF($E454="","",INDEX('Input Transaksi'!$F:$F,$E454))</f>
        <v/>
      </c>
      <c r="E454">
        <f>IFERROR(AGGREGATE(15,6,ROW('Input Transaksi'!$B$5:$B$5000)/('Input Transaksi'!$B$5:$B$5000="GEDE LONDRI"),ROWS($E$5:E454)),"")</f>
        <v/>
      </c>
      <c r="F454" s="5" t="n"/>
    </row>
    <row r="455">
      <c r="A455" s="10">
        <f>IF($E455="","",INDEX('Input Transaksi'!$A:$A,$E455))</f>
        <v/>
      </c>
      <c r="B455" s="5">
        <f>IF($E455="","",INDEX('Input Transaksi'!$D:$D,$E455))</f>
        <v/>
      </c>
      <c r="C455">
        <f>IF($E455="","",INDEX('Input Transaksi'!$E:$E,$E455))</f>
        <v/>
      </c>
      <c r="D455" s="5">
        <f>IF($E455="","",INDEX('Input Transaksi'!$F:$F,$E455))</f>
        <v/>
      </c>
      <c r="E455">
        <f>IFERROR(AGGREGATE(15,6,ROW('Input Transaksi'!$B$5:$B$5000)/('Input Transaksi'!$B$5:$B$5000="GEDE LONDRI"),ROWS($E$5:E455)),"")</f>
        <v/>
      </c>
      <c r="F455" s="5" t="n"/>
    </row>
    <row r="456">
      <c r="A456" s="10">
        <f>IF($E456="","",INDEX('Input Transaksi'!$A:$A,$E456))</f>
        <v/>
      </c>
      <c r="B456" s="5">
        <f>IF($E456="","",INDEX('Input Transaksi'!$D:$D,$E456))</f>
        <v/>
      </c>
      <c r="C456">
        <f>IF($E456="","",INDEX('Input Transaksi'!$E:$E,$E456))</f>
        <v/>
      </c>
      <c r="D456" s="5">
        <f>IF($E456="","",INDEX('Input Transaksi'!$F:$F,$E456))</f>
        <v/>
      </c>
      <c r="E456">
        <f>IFERROR(AGGREGATE(15,6,ROW('Input Transaksi'!$B$5:$B$5000)/('Input Transaksi'!$B$5:$B$5000="GEDE LONDRI"),ROWS($E$5:E456)),"")</f>
        <v/>
      </c>
      <c r="F456" s="5" t="n"/>
    </row>
    <row r="457">
      <c r="A457" s="10">
        <f>IF($E457="","",INDEX('Input Transaksi'!$A:$A,$E457))</f>
        <v/>
      </c>
      <c r="B457" s="5">
        <f>IF($E457="","",INDEX('Input Transaksi'!$D:$D,$E457))</f>
        <v/>
      </c>
      <c r="C457">
        <f>IF($E457="","",INDEX('Input Transaksi'!$E:$E,$E457))</f>
        <v/>
      </c>
      <c r="D457" s="5">
        <f>IF($E457="","",INDEX('Input Transaksi'!$F:$F,$E457))</f>
        <v/>
      </c>
      <c r="E457">
        <f>IFERROR(AGGREGATE(15,6,ROW('Input Transaksi'!$B$5:$B$5000)/('Input Transaksi'!$B$5:$B$5000="GEDE LONDRI"),ROWS($E$5:E457)),"")</f>
        <v/>
      </c>
      <c r="F457" s="5" t="n"/>
    </row>
    <row r="458">
      <c r="A458" s="10">
        <f>IF($E458="","",INDEX('Input Transaksi'!$A:$A,$E458))</f>
        <v/>
      </c>
      <c r="B458" s="5">
        <f>IF($E458="","",INDEX('Input Transaksi'!$D:$D,$E458))</f>
        <v/>
      </c>
      <c r="C458">
        <f>IF($E458="","",INDEX('Input Transaksi'!$E:$E,$E458))</f>
        <v/>
      </c>
      <c r="D458" s="5">
        <f>IF($E458="","",INDEX('Input Transaksi'!$F:$F,$E458))</f>
        <v/>
      </c>
      <c r="E458">
        <f>IFERROR(AGGREGATE(15,6,ROW('Input Transaksi'!$B$5:$B$5000)/('Input Transaksi'!$B$5:$B$5000="GEDE LONDRI"),ROWS($E$5:E458)),"")</f>
        <v/>
      </c>
      <c r="F458" s="5" t="n"/>
    </row>
    <row r="459">
      <c r="A459" s="10">
        <f>IF($E459="","",INDEX('Input Transaksi'!$A:$A,$E459))</f>
        <v/>
      </c>
      <c r="B459" s="5">
        <f>IF($E459="","",INDEX('Input Transaksi'!$D:$D,$E459))</f>
        <v/>
      </c>
      <c r="C459">
        <f>IF($E459="","",INDEX('Input Transaksi'!$E:$E,$E459))</f>
        <v/>
      </c>
      <c r="D459" s="5">
        <f>IF($E459="","",INDEX('Input Transaksi'!$F:$F,$E459))</f>
        <v/>
      </c>
      <c r="E459">
        <f>IFERROR(AGGREGATE(15,6,ROW('Input Transaksi'!$B$5:$B$5000)/('Input Transaksi'!$B$5:$B$5000="GEDE LONDRI"),ROWS($E$5:E459)),"")</f>
        <v/>
      </c>
      <c r="F459" s="5" t="n"/>
    </row>
    <row r="460">
      <c r="A460" s="10">
        <f>IF($E460="","",INDEX('Input Transaksi'!$A:$A,$E460))</f>
        <v/>
      </c>
      <c r="B460" s="5">
        <f>IF($E460="","",INDEX('Input Transaksi'!$D:$D,$E460))</f>
        <v/>
      </c>
      <c r="C460">
        <f>IF($E460="","",INDEX('Input Transaksi'!$E:$E,$E460))</f>
        <v/>
      </c>
      <c r="D460" s="5">
        <f>IF($E460="","",INDEX('Input Transaksi'!$F:$F,$E460))</f>
        <v/>
      </c>
      <c r="E460">
        <f>IFERROR(AGGREGATE(15,6,ROW('Input Transaksi'!$B$5:$B$5000)/('Input Transaksi'!$B$5:$B$5000="GEDE LONDRI"),ROWS($E$5:E460)),"")</f>
        <v/>
      </c>
      <c r="F460" s="5" t="n"/>
    </row>
    <row r="461">
      <c r="A461" s="10">
        <f>IF($E461="","",INDEX('Input Transaksi'!$A:$A,$E461))</f>
        <v/>
      </c>
      <c r="B461" s="5">
        <f>IF($E461="","",INDEX('Input Transaksi'!$D:$D,$E461))</f>
        <v/>
      </c>
      <c r="C461">
        <f>IF($E461="","",INDEX('Input Transaksi'!$E:$E,$E461))</f>
        <v/>
      </c>
      <c r="D461" s="5">
        <f>IF($E461="","",INDEX('Input Transaksi'!$F:$F,$E461))</f>
        <v/>
      </c>
      <c r="E461">
        <f>IFERROR(AGGREGATE(15,6,ROW('Input Transaksi'!$B$5:$B$5000)/('Input Transaksi'!$B$5:$B$5000="GEDE LONDRI"),ROWS($E$5:E461)),"")</f>
        <v/>
      </c>
      <c r="F461" s="5" t="n"/>
    </row>
    <row r="462">
      <c r="A462" s="10">
        <f>IF($E462="","",INDEX('Input Transaksi'!$A:$A,$E462))</f>
        <v/>
      </c>
      <c r="B462" s="5">
        <f>IF($E462="","",INDEX('Input Transaksi'!$D:$D,$E462))</f>
        <v/>
      </c>
      <c r="C462">
        <f>IF($E462="","",INDEX('Input Transaksi'!$E:$E,$E462))</f>
        <v/>
      </c>
      <c r="D462" s="5">
        <f>IF($E462="","",INDEX('Input Transaksi'!$F:$F,$E462))</f>
        <v/>
      </c>
      <c r="E462">
        <f>IFERROR(AGGREGATE(15,6,ROW('Input Transaksi'!$B$5:$B$5000)/('Input Transaksi'!$B$5:$B$5000="GEDE LONDRI"),ROWS($E$5:E462)),"")</f>
        <v/>
      </c>
      <c r="F462" s="5" t="n"/>
    </row>
    <row r="463">
      <c r="A463" s="10">
        <f>IF($E463="","",INDEX('Input Transaksi'!$A:$A,$E463))</f>
        <v/>
      </c>
      <c r="B463" s="5">
        <f>IF($E463="","",INDEX('Input Transaksi'!$D:$D,$E463))</f>
        <v/>
      </c>
      <c r="C463">
        <f>IF($E463="","",INDEX('Input Transaksi'!$E:$E,$E463))</f>
        <v/>
      </c>
      <c r="D463" s="5">
        <f>IF($E463="","",INDEX('Input Transaksi'!$F:$F,$E463))</f>
        <v/>
      </c>
      <c r="E463">
        <f>IFERROR(AGGREGATE(15,6,ROW('Input Transaksi'!$B$5:$B$5000)/('Input Transaksi'!$B$5:$B$5000="GEDE LONDRI"),ROWS($E$5:E463)),"")</f>
        <v/>
      </c>
      <c r="F463" s="5" t="n"/>
    </row>
    <row r="464">
      <c r="A464" s="10">
        <f>IF($E464="","",INDEX('Input Transaksi'!$A:$A,$E464))</f>
        <v/>
      </c>
      <c r="B464" s="5">
        <f>IF($E464="","",INDEX('Input Transaksi'!$D:$D,$E464))</f>
        <v/>
      </c>
      <c r="C464">
        <f>IF($E464="","",INDEX('Input Transaksi'!$E:$E,$E464))</f>
        <v/>
      </c>
      <c r="D464" s="5">
        <f>IF($E464="","",INDEX('Input Transaksi'!$F:$F,$E464))</f>
        <v/>
      </c>
      <c r="E464">
        <f>IFERROR(AGGREGATE(15,6,ROW('Input Transaksi'!$B$5:$B$5000)/('Input Transaksi'!$B$5:$B$5000="GEDE LONDRI"),ROWS($E$5:E464)),"")</f>
        <v/>
      </c>
      <c r="F464" s="5" t="n"/>
    </row>
    <row r="465">
      <c r="A465" s="10">
        <f>IF($E465="","",INDEX('Input Transaksi'!$A:$A,$E465))</f>
        <v/>
      </c>
      <c r="B465" s="5">
        <f>IF($E465="","",INDEX('Input Transaksi'!$D:$D,$E465))</f>
        <v/>
      </c>
      <c r="C465">
        <f>IF($E465="","",INDEX('Input Transaksi'!$E:$E,$E465))</f>
        <v/>
      </c>
      <c r="D465" s="5">
        <f>IF($E465="","",INDEX('Input Transaksi'!$F:$F,$E465))</f>
        <v/>
      </c>
      <c r="E465">
        <f>IFERROR(AGGREGATE(15,6,ROW('Input Transaksi'!$B$5:$B$5000)/('Input Transaksi'!$B$5:$B$5000="GEDE LONDRI"),ROWS($E$5:E465)),"")</f>
        <v/>
      </c>
      <c r="F465" s="5" t="n"/>
    </row>
    <row r="466">
      <c r="A466" s="10">
        <f>IF($E466="","",INDEX('Input Transaksi'!$A:$A,$E466))</f>
        <v/>
      </c>
      <c r="B466" s="5">
        <f>IF($E466="","",INDEX('Input Transaksi'!$D:$D,$E466))</f>
        <v/>
      </c>
      <c r="C466">
        <f>IF($E466="","",INDEX('Input Transaksi'!$E:$E,$E466))</f>
        <v/>
      </c>
      <c r="D466" s="5">
        <f>IF($E466="","",INDEX('Input Transaksi'!$F:$F,$E466))</f>
        <v/>
      </c>
      <c r="E466">
        <f>IFERROR(AGGREGATE(15,6,ROW('Input Transaksi'!$B$5:$B$5000)/('Input Transaksi'!$B$5:$B$5000="GEDE LONDRI"),ROWS($E$5:E466)),"")</f>
        <v/>
      </c>
      <c r="F466" s="5" t="n"/>
    </row>
    <row r="467">
      <c r="A467" s="10">
        <f>IF($E467="","",INDEX('Input Transaksi'!$A:$A,$E467))</f>
        <v/>
      </c>
      <c r="B467" s="5">
        <f>IF($E467="","",INDEX('Input Transaksi'!$D:$D,$E467))</f>
        <v/>
      </c>
      <c r="C467">
        <f>IF($E467="","",INDEX('Input Transaksi'!$E:$E,$E467))</f>
        <v/>
      </c>
      <c r="D467" s="5">
        <f>IF($E467="","",INDEX('Input Transaksi'!$F:$F,$E467))</f>
        <v/>
      </c>
      <c r="E467">
        <f>IFERROR(AGGREGATE(15,6,ROW('Input Transaksi'!$B$5:$B$5000)/('Input Transaksi'!$B$5:$B$5000="GEDE LONDRI"),ROWS($E$5:E467)),"")</f>
        <v/>
      </c>
      <c r="F467" s="5" t="n"/>
    </row>
    <row r="468">
      <c r="A468" s="10">
        <f>IF($E468="","",INDEX('Input Transaksi'!$A:$A,$E468))</f>
        <v/>
      </c>
      <c r="B468" s="5">
        <f>IF($E468="","",INDEX('Input Transaksi'!$D:$D,$E468))</f>
        <v/>
      </c>
      <c r="C468">
        <f>IF($E468="","",INDEX('Input Transaksi'!$E:$E,$E468))</f>
        <v/>
      </c>
      <c r="D468" s="5">
        <f>IF($E468="","",INDEX('Input Transaksi'!$F:$F,$E468))</f>
        <v/>
      </c>
      <c r="E468">
        <f>IFERROR(AGGREGATE(15,6,ROW('Input Transaksi'!$B$5:$B$5000)/('Input Transaksi'!$B$5:$B$5000="GEDE LONDRI"),ROWS($E$5:E468)),"")</f>
        <v/>
      </c>
      <c r="F468" s="5" t="n"/>
    </row>
    <row r="469">
      <c r="A469" s="10">
        <f>IF($E469="","",INDEX('Input Transaksi'!$A:$A,$E469))</f>
        <v/>
      </c>
      <c r="B469" s="5">
        <f>IF($E469="","",INDEX('Input Transaksi'!$D:$D,$E469))</f>
        <v/>
      </c>
      <c r="C469">
        <f>IF($E469="","",INDEX('Input Transaksi'!$E:$E,$E469))</f>
        <v/>
      </c>
      <c r="D469" s="5">
        <f>IF($E469="","",INDEX('Input Transaksi'!$F:$F,$E469))</f>
        <v/>
      </c>
      <c r="E469">
        <f>IFERROR(AGGREGATE(15,6,ROW('Input Transaksi'!$B$5:$B$5000)/('Input Transaksi'!$B$5:$B$5000="GEDE LONDRI"),ROWS($E$5:E469)),"")</f>
        <v/>
      </c>
      <c r="F469" s="5" t="n"/>
    </row>
    <row r="470">
      <c r="A470" s="10">
        <f>IF($E470="","",INDEX('Input Transaksi'!$A:$A,$E470))</f>
        <v/>
      </c>
      <c r="B470" s="5">
        <f>IF($E470="","",INDEX('Input Transaksi'!$D:$D,$E470))</f>
        <v/>
      </c>
      <c r="C470">
        <f>IF($E470="","",INDEX('Input Transaksi'!$E:$E,$E470))</f>
        <v/>
      </c>
      <c r="D470" s="5">
        <f>IF($E470="","",INDEX('Input Transaksi'!$F:$F,$E470))</f>
        <v/>
      </c>
      <c r="E470">
        <f>IFERROR(AGGREGATE(15,6,ROW('Input Transaksi'!$B$5:$B$5000)/('Input Transaksi'!$B$5:$B$5000="GEDE LONDRI"),ROWS($E$5:E470)),"")</f>
        <v/>
      </c>
      <c r="F470" s="5" t="n"/>
    </row>
    <row r="471">
      <c r="A471" s="10">
        <f>IF($E471="","",INDEX('Input Transaksi'!$A:$A,$E471))</f>
        <v/>
      </c>
      <c r="B471" s="5">
        <f>IF($E471="","",INDEX('Input Transaksi'!$D:$D,$E471))</f>
        <v/>
      </c>
      <c r="C471">
        <f>IF($E471="","",INDEX('Input Transaksi'!$E:$E,$E471))</f>
        <v/>
      </c>
      <c r="D471" s="5">
        <f>IF($E471="","",INDEX('Input Transaksi'!$F:$F,$E471))</f>
        <v/>
      </c>
      <c r="E471">
        <f>IFERROR(AGGREGATE(15,6,ROW('Input Transaksi'!$B$5:$B$5000)/('Input Transaksi'!$B$5:$B$5000="GEDE LONDRI"),ROWS($E$5:E471)),"")</f>
        <v/>
      </c>
      <c r="F471" s="5" t="n"/>
    </row>
    <row r="472">
      <c r="A472" s="10">
        <f>IF($E472="","",INDEX('Input Transaksi'!$A:$A,$E472))</f>
        <v/>
      </c>
      <c r="B472" s="5">
        <f>IF($E472="","",INDEX('Input Transaksi'!$D:$D,$E472))</f>
        <v/>
      </c>
      <c r="C472">
        <f>IF($E472="","",INDEX('Input Transaksi'!$E:$E,$E472))</f>
        <v/>
      </c>
      <c r="D472" s="5">
        <f>IF($E472="","",INDEX('Input Transaksi'!$F:$F,$E472))</f>
        <v/>
      </c>
      <c r="E472">
        <f>IFERROR(AGGREGATE(15,6,ROW('Input Transaksi'!$B$5:$B$5000)/('Input Transaksi'!$B$5:$B$5000="GEDE LONDRI"),ROWS($E$5:E472)),"")</f>
        <v/>
      </c>
      <c r="F472" s="5" t="n"/>
    </row>
    <row r="473">
      <c r="A473" s="10">
        <f>IF($E473="","",INDEX('Input Transaksi'!$A:$A,$E473))</f>
        <v/>
      </c>
      <c r="B473" s="5">
        <f>IF($E473="","",INDEX('Input Transaksi'!$D:$D,$E473))</f>
        <v/>
      </c>
      <c r="C473">
        <f>IF($E473="","",INDEX('Input Transaksi'!$E:$E,$E473))</f>
        <v/>
      </c>
      <c r="D473" s="5">
        <f>IF($E473="","",INDEX('Input Transaksi'!$F:$F,$E473))</f>
        <v/>
      </c>
      <c r="E473">
        <f>IFERROR(AGGREGATE(15,6,ROW('Input Transaksi'!$B$5:$B$5000)/('Input Transaksi'!$B$5:$B$5000="GEDE LONDRI"),ROWS($E$5:E473)),"")</f>
        <v/>
      </c>
      <c r="F473" s="5" t="n"/>
    </row>
    <row r="474">
      <c r="A474" s="10">
        <f>IF($E474="","",INDEX('Input Transaksi'!$A:$A,$E474))</f>
        <v/>
      </c>
      <c r="B474" s="5">
        <f>IF($E474="","",INDEX('Input Transaksi'!$D:$D,$E474))</f>
        <v/>
      </c>
      <c r="C474">
        <f>IF($E474="","",INDEX('Input Transaksi'!$E:$E,$E474))</f>
        <v/>
      </c>
      <c r="D474" s="5">
        <f>IF($E474="","",INDEX('Input Transaksi'!$F:$F,$E474))</f>
        <v/>
      </c>
      <c r="E474">
        <f>IFERROR(AGGREGATE(15,6,ROW('Input Transaksi'!$B$5:$B$5000)/('Input Transaksi'!$B$5:$B$5000="GEDE LONDRI"),ROWS($E$5:E474)),"")</f>
        <v/>
      </c>
      <c r="F474" s="5" t="n"/>
    </row>
    <row r="475">
      <c r="A475" s="10">
        <f>IF($E475="","",INDEX('Input Transaksi'!$A:$A,$E475))</f>
        <v/>
      </c>
      <c r="B475" s="5">
        <f>IF($E475="","",INDEX('Input Transaksi'!$D:$D,$E475))</f>
        <v/>
      </c>
      <c r="C475">
        <f>IF($E475="","",INDEX('Input Transaksi'!$E:$E,$E475))</f>
        <v/>
      </c>
      <c r="D475" s="5">
        <f>IF($E475="","",INDEX('Input Transaksi'!$F:$F,$E475))</f>
        <v/>
      </c>
      <c r="E475">
        <f>IFERROR(AGGREGATE(15,6,ROW('Input Transaksi'!$B$5:$B$5000)/('Input Transaksi'!$B$5:$B$5000="GEDE LONDRI"),ROWS($E$5:E475)),"")</f>
        <v/>
      </c>
      <c r="F475" s="5" t="n"/>
    </row>
    <row r="476">
      <c r="A476" s="10">
        <f>IF($E476="","",INDEX('Input Transaksi'!$A:$A,$E476))</f>
        <v/>
      </c>
      <c r="B476" s="5">
        <f>IF($E476="","",INDEX('Input Transaksi'!$D:$D,$E476))</f>
        <v/>
      </c>
      <c r="C476">
        <f>IF($E476="","",INDEX('Input Transaksi'!$E:$E,$E476))</f>
        <v/>
      </c>
      <c r="D476" s="5">
        <f>IF($E476="","",INDEX('Input Transaksi'!$F:$F,$E476))</f>
        <v/>
      </c>
      <c r="E476">
        <f>IFERROR(AGGREGATE(15,6,ROW('Input Transaksi'!$B$5:$B$5000)/('Input Transaksi'!$B$5:$B$5000="GEDE LONDRI"),ROWS($E$5:E476)),"")</f>
        <v/>
      </c>
      <c r="F476" s="5" t="n"/>
    </row>
    <row r="477">
      <c r="A477" s="10">
        <f>IF($E477="","",INDEX('Input Transaksi'!$A:$A,$E477))</f>
        <v/>
      </c>
      <c r="B477" s="5">
        <f>IF($E477="","",INDEX('Input Transaksi'!$D:$D,$E477))</f>
        <v/>
      </c>
      <c r="C477">
        <f>IF($E477="","",INDEX('Input Transaksi'!$E:$E,$E477))</f>
        <v/>
      </c>
      <c r="D477" s="5">
        <f>IF($E477="","",INDEX('Input Transaksi'!$F:$F,$E477))</f>
        <v/>
      </c>
      <c r="E477">
        <f>IFERROR(AGGREGATE(15,6,ROW('Input Transaksi'!$B$5:$B$5000)/('Input Transaksi'!$B$5:$B$5000="GEDE LONDRI"),ROWS($E$5:E477)),"")</f>
        <v/>
      </c>
      <c r="F477" s="5" t="n"/>
    </row>
    <row r="478">
      <c r="A478" s="10">
        <f>IF($E478="","",INDEX('Input Transaksi'!$A:$A,$E478))</f>
        <v/>
      </c>
      <c r="B478" s="5">
        <f>IF($E478="","",INDEX('Input Transaksi'!$D:$D,$E478))</f>
        <v/>
      </c>
      <c r="C478">
        <f>IF($E478="","",INDEX('Input Transaksi'!$E:$E,$E478))</f>
        <v/>
      </c>
      <c r="D478" s="5">
        <f>IF($E478="","",INDEX('Input Transaksi'!$F:$F,$E478))</f>
        <v/>
      </c>
      <c r="E478">
        <f>IFERROR(AGGREGATE(15,6,ROW('Input Transaksi'!$B$5:$B$5000)/('Input Transaksi'!$B$5:$B$5000="GEDE LONDRI"),ROWS($E$5:E478)),"")</f>
        <v/>
      </c>
      <c r="F478" s="5" t="n"/>
    </row>
    <row r="479">
      <c r="A479" s="10">
        <f>IF($E479="","",INDEX('Input Transaksi'!$A:$A,$E479))</f>
        <v/>
      </c>
      <c r="B479" s="5">
        <f>IF($E479="","",INDEX('Input Transaksi'!$D:$D,$E479))</f>
        <v/>
      </c>
      <c r="C479">
        <f>IF($E479="","",INDEX('Input Transaksi'!$E:$E,$E479))</f>
        <v/>
      </c>
      <c r="D479" s="5">
        <f>IF($E479="","",INDEX('Input Transaksi'!$F:$F,$E479))</f>
        <v/>
      </c>
      <c r="E479">
        <f>IFERROR(AGGREGATE(15,6,ROW('Input Transaksi'!$B$5:$B$5000)/('Input Transaksi'!$B$5:$B$5000="GEDE LONDRI"),ROWS($E$5:E479)),"")</f>
        <v/>
      </c>
      <c r="F479" s="5" t="n"/>
    </row>
    <row r="480">
      <c r="A480" s="10">
        <f>IF($E480="","",INDEX('Input Transaksi'!$A:$A,$E480))</f>
        <v/>
      </c>
      <c r="B480" s="5">
        <f>IF($E480="","",INDEX('Input Transaksi'!$D:$D,$E480))</f>
        <v/>
      </c>
      <c r="C480">
        <f>IF($E480="","",INDEX('Input Transaksi'!$E:$E,$E480))</f>
        <v/>
      </c>
      <c r="D480" s="5">
        <f>IF($E480="","",INDEX('Input Transaksi'!$F:$F,$E480))</f>
        <v/>
      </c>
      <c r="E480">
        <f>IFERROR(AGGREGATE(15,6,ROW('Input Transaksi'!$B$5:$B$5000)/('Input Transaksi'!$B$5:$B$5000="GEDE LONDRI"),ROWS($E$5:E480)),"")</f>
        <v/>
      </c>
      <c r="F480" s="5" t="n"/>
    </row>
    <row r="481">
      <c r="A481" s="10">
        <f>IF($E481="","",INDEX('Input Transaksi'!$A:$A,$E481))</f>
        <v/>
      </c>
      <c r="B481" s="5">
        <f>IF($E481="","",INDEX('Input Transaksi'!$D:$D,$E481))</f>
        <v/>
      </c>
      <c r="C481">
        <f>IF($E481="","",INDEX('Input Transaksi'!$E:$E,$E481))</f>
        <v/>
      </c>
      <c r="D481" s="5">
        <f>IF($E481="","",INDEX('Input Transaksi'!$F:$F,$E481))</f>
        <v/>
      </c>
      <c r="E481">
        <f>IFERROR(AGGREGATE(15,6,ROW('Input Transaksi'!$B$5:$B$5000)/('Input Transaksi'!$B$5:$B$5000="GEDE LONDRI"),ROWS($E$5:E481)),"")</f>
        <v/>
      </c>
      <c r="F481" s="5" t="n"/>
    </row>
    <row r="482">
      <c r="A482" s="10">
        <f>IF($E482="","",INDEX('Input Transaksi'!$A:$A,$E482))</f>
        <v/>
      </c>
      <c r="B482" s="5">
        <f>IF($E482="","",INDEX('Input Transaksi'!$D:$D,$E482))</f>
        <v/>
      </c>
      <c r="C482">
        <f>IF($E482="","",INDEX('Input Transaksi'!$E:$E,$E482))</f>
        <v/>
      </c>
      <c r="D482" s="5">
        <f>IF($E482="","",INDEX('Input Transaksi'!$F:$F,$E482))</f>
        <v/>
      </c>
      <c r="E482">
        <f>IFERROR(AGGREGATE(15,6,ROW('Input Transaksi'!$B$5:$B$5000)/('Input Transaksi'!$B$5:$B$5000="GEDE LONDRI"),ROWS($E$5:E482)),"")</f>
        <v/>
      </c>
      <c r="F482" s="5" t="n"/>
    </row>
    <row r="483">
      <c r="A483" s="10">
        <f>IF($E483="","",INDEX('Input Transaksi'!$A:$A,$E483))</f>
        <v/>
      </c>
      <c r="B483" s="5">
        <f>IF($E483="","",INDEX('Input Transaksi'!$D:$D,$E483))</f>
        <v/>
      </c>
      <c r="C483">
        <f>IF($E483="","",INDEX('Input Transaksi'!$E:$E,$E483))</f>
        <v/>
      </c>
      <c r="D483" s="5">
        <f>IF($E483="","",INDEX('Input Transaksi'!$F:$F,$E483))</f>
        <v/>
      </c>
      <c r="E483">
        <f>IFERROR(AGGREGATE(15,6,ROW('Input Transaksi'!$B$5:$B$5000)/('Input Transaksi'!$B$5:$B$5000="GEDE LONDRI"),ROWS($E$5:E483)),"")</f>
        <v/>
      </c>
      <c r="F483" s="5" t="n"/>
    </row>
    <row r="484">
      <c r="A484" s="10">
        <f>IF($E484="","",INDEX('Input Transaksi'!$A:$A,$E484))</f>
        <v/>
      </c>
      <c r="B484" s="5">
        <f>IF($E484="","",INDEX('Input Transaksi'!$D:$D,$E484))</f>
        <v/>
      </c>
      <c r="C484">
        <f>IF($E484="","",INDEX('Input Transaksi'!$E:$E,$E484))</f>
        <v/>
      </c>
      <c r="D484" s="5">
        <f>IF($E484="","",INDEX('Input Transaksi'!$F:$F,$E484))</f>
        <v/>
      </c>
      <c r="E484">
        <f>IFERROR(AGGREGATE(15,6,ROW('Input Transaksi'!$B$5:$B$5000)/('Input Transaksi'!$B$5:$B$5000="GEDE LONDRI"),ROWS($E$5:E484)),"")</f>
        <v/>
      </c>
      <c r="F484" s="5" t="n"/>
    </row>
    <row r="485">
      <c r="A485" s="10">
        <f>IF($E485="","",INDEX('Input Transaksi'!$A:$A,$E485))</f>
        <v/>
      </c>
      <c r="B485" s="5">
        <f>IF($E485="","",INDEX('Input Transaksi'!$D:$D,$E485))</f>
        <v/>
      </c>
      <c r="C485">
        <f>IF($E485="","",INDEX('Input Transaksi'!$E:$E,$E485))</f>
        <v/>
      </c>
      <c r="D485" s="5">
        <f>IF($E485="","",INDEX('Input Transaksi'!$F:$F,$E485))</f>
        <v/>
      </c>
      <c r="E485">
        <f>IFERROR(AGGREGATE(15,6,ROW('Input Transaksi'!$B$5:$B$5000)/('Input Transaksi'!$B$5:$B$5000="GEDE LONDRI"),ROWS($E$5:E485)),"")</f>
        <v/>
      </c>
      <c r="F485" s="5" t="n"/>
    </row>
    <row r="486">
      <c r="A486" s="10">
        <f>IF($E486="","",INDEX('Input Transaksi'!$A:$A,$E486))</f>
        <v/>
      </c>
      <c r="B486" s="5">
        <f>IF($E486="","",INDEX('Input Transaksi'!$D:$D,$E486))</f>
        <v/>
      </c>
      <c r="C486">
        <f>IF($E486="","",INDEX('Input Transaksi'!$E:$E,$E486))</f>
        <v/>
      </c>
      <c r="D486" s="5">
        <f>IF($E486="","",INDEX('Input Transaksi'!$F:$F,$E486))</f>
        <v/>
      </c>
      <c r="E486">
        <f>IFERROR(AGGREGATE(15,6,ROW('Input Transaksi'!$B$5:$B$5000)/('Input Transaksi'!$B$5:$B$5000="GEDE LONDRI"),ROWS($E$5:E486)),"")</f>
        <v/>
      </c>
      <c r="F486" s="5" t="n"/>
    </row>
    <row r="487">
      <c r="A487" s="10">
        <f>IF($E487="","",INDEX('Input Transaksi'!$A:$A,$E487))</f>
        <v/>
      </c>
      <c r="B487" s="5">
        <f>IF($E487="","",INDEX('Input Transaksi'!$D:$D,$E487))</f>
        <v/>
      </c>
      <c r="C487">
        <f>IF($E487="","",INDEX('Input Transaksi'!$E:$E,$E487))</f>
        <v/>
      </c>
      <c r="D487" s="5">
        <f>IF($E487="","",INDEX('Input Transaksi'!$F:$F,$E487))</f>
        <v/>
      </c>
      <c r="E487">
        <f>IFERROR(AGGREGATE(15,6,ROW('Input Transaksi'!$B$5:$B$5000)/('Input Transaksi'!$B$5:$B$5000="GEDE LONDRI"),ROWS($E$5:E487)),"")</f>
        <v/>
      </c>
      <c r="F487" s="5" t="n"/>
    </row>
    <row r="488">
      <c r="A488" s="10">
        <f>IF($E488="","",INDEX('Input Transaksi'!$A:$A,$E488))</f>
        <v/>
      </c>
      <c r="B488" s="5">
        <f>IF($E488="","",INDEX('Input Transaksi'!$D:$D,$E488))</f>
        <v/>
      </c>
      <c r="C488">
        <f>IF($E488="","",INDEX('Input Transaksi'!$E:$E,$E488))</f>
        <v/>
      </c>
      <c r="D488" s="5">
        <f>IF($E488="","",INDEX('Input Transaksi'!$F:$F,$E488))</f>
        <v/>
      </c>
      <c r="E488">
        <f>IFERROR(AGGREGATE(15,6,ROW('Input Transaksi'!$B$5:$B$5000)/('Input Transaksi'!$B$5:$B$5000="GEDE LONDRI"),ROWS($E$5:E488)),"")</f>
        <v/>
      </c>
      <c r="F488" s="5" t="n"/>
    </row>
    <row r="489">
      <c r="A489" s="10">
        <f>IF($E489="","",INDEX('Input Transaksi'!$A:$A,$E489))</f>
        <v/>
      </c>
      <c r="B489" s="5">
        <f>IF($E489="","",INDEX('Input Transaksi'!$D:$D,$E489))</f>
        <v/>
      </c>
      <c r="C489">
        <f>IF($E489="","",INDEX('Input Transaksi'!$E:$E,$E489))</f>
        <v/>
      </c>
      <c r="D489" s="5">
        <f>IF($E489="","",INDEX('Input Transaksi'!$F:$F,$E489))</f>
        <v/>
      </c>
      <c r="E489">
        <f>IFERROR(AGGREGATE(15,6,ROW('Input Transaksi'!$B$5:$B$5000)/('Input Transaksi'!$B$5:$B$5000="GEDE LONDRI"),ROWS($E$5:E489)),"")</f>
        <v/>
      </c>
      <c r="F489" s="5" t="n"/>
    </row>
    <row r="490">
      <c r="A490" s="10">
        <f>IF($E490="","",INDEX('Input Transaksi'!$A:$A,$E490))</f>
        <v/>
      </c>
      <c r="B490" s="5">
        <f>IF($E490="","",INDEX('Input Transaksi'!$D:$D,$E490))</f>
        <v/>
      </c>
      <c r="C490">
        <f>IF($E490="","",INDEX('Input Transaksi'!$E:$E,$E490))</f>
        <v/>
      </c>
      <c r="D490" s="5">
        <f>IF($E490="","",INDEX('Input Transaksi'!$F:$F,$E490))</f>
        <v/>
      </c>
      <c r="E490">
        <f>IFERROR(AGGREGATE(15,6,ROW('Input Transaksi'!$B$5:$B$5000)/('Input Transaksi'!$B$5:$B$5000="GEDE LONDRI"),ROWS($E$5:E490)),"")</f>
        <v/>
      </c>
      <c r="F490" s="5" t="n"/>
    </row>
    <row r="491">
      <c r="A491" s="10">
        <f>IF($E491="","",INDEX('Input Transaksi'!$A:$A,$E491))</f>
        <v/>
      </c>
      <c r="B491" s="5">
        <f>IF($E491="","",INDEX('Input Transaksi'!$D:$D,$E491))</f>
        <v/>
      </c>
      <c r="C491">
        <f>IF($E491="","",INDEX('Input Transaksi'!$E:$E,$E491))</f>
        <v/>
      </c>
      <c r="D491" s="5">
        <f>IF($E491="","",INDEX('Input Transaksi'!$F:$F,$E491))</f>
        <v/>
      </c>
      <c r="E491">
        <f>IFERROR(AGGREGATE(15,6,ROW('Input Transaksi'!$B$5:$B$5000)/('Input Transaksi'!$B$5:$B$5000="GEDE LONDRI"),ROWS($E$5:E491)),"")</f>
        <v/>
      </c>
      <c r="F491" s="5" t="n"/>
    </row>
    <row r="492">
      <c r="A492" s="10">
        <f>IF($E492="","",INDEX('Input Transaksi'!$A:$A,$E492))</f>
        <v/>
      </c>
      <c r="B492" s="5">
        <f>IF($E492="","",INDEX('Input Transaksi'!$D:$D,$E492))</f>
        <v/>
      </c>
      <c r="C492">
        <f>IF($E492="","",INDEX('Input Transaksi'!$E:$E,$E492))</f>
        <v/>
      </c>
      <c r="D492" s="5">
        <f>IF($E492="","",INDEX('Input Transaksi'!$F:$F,$E492))</f>
        <v/>
      </c>
      <c r="E492">
        <f>IFERROR(AGGREGATE(15,6,ROW('Input Transaksi'!$B$5:$B$5000)/('Input Transaksi'!$B$5:$B$5000="GEDE LONDRI"),ROWS($E$5:E492)),"")</f>
        <v/>
      </c>
      <c r="F492" s="5" t="n"/>
    </row>
    <row r="493">
      <c r="A493" s="10">
        <f>IF($E493="","",INDEX('Input Transaksi'!$A:$A,$E493))</f>
        <v/>
      </c>
      <c r="B493" s="5">
        <f>IF($E493="","",INDEX('Input Transaksi'!$D:$D,$E493))</f>
        <v/>
      </c>
      <c r="C493">
        <f>IF($E493="","",INDEX('Input Transaksi'!$E:$E,$E493))</f>
        <v/>
      </c>
      <c r="D493" s="5">
        <f>IF($E493="","",INDEX('Input Transaksi'!$F:$F,$E493))</f>
        <v/>
      </c>
      <c r="E493">
        <f>IFERROR(AGGREGATE(15,6,ROW('Input Transaksi'!$B$5:$B$5000)/('Input Transaksi'!$B$5:$B$5000="GEDE LONDRI"),ROWS($E$5:E493)),"")</f>
        <v/>
      </c>
      <c r="F493" s="5" t="n"/>
    </row>
    <row r="494">
      <c r="A494" s="10">
        <f>IF($E494="","",INDEX('Input Transaksi'!$A:$A,$E494))</f>
        <v/>
      </c>
      <c r="B494" s="5">
        <f>IF($E494="","",INDEX('Input Transaksi'!$D:$D,$E494))</f>
        <v/>
      </c>
      <c r="C494">
        <f>IF($E494="","",INDEX('Input Transaksi'!$E:$E,$E494))</f>
        <v/>
      </c>
      <c r="D494" s="5">
        <f>IF($E494="","",INDEX('Input Transaksi'!$F:$F,$E494))</f>
        <v/>
      </c>
      <c r="E494">
        <f>IFERROR(AGGREGATE(15,6,ROW('Input Transaksi'!$B$5:$B$5000)/('Input Transaksi'!$B$5:$B$5000="GEDE LONDRI"),ROWS($E$5:E494)),"")</f>
        <v/>
      </c>
      <c r="F494" s="5" t="n"/>
    </row>
    <row r="495">
      <c r="A495" s="10">
        <f>IF($E495="","",INDEX('Input Transaksi'!$A:$A,$E495))</f>
        <v/>
      </c>
      <c r="B495" s="5">
        <f>IF($E495="","",INDEX('Input Transaksi'!$D:$D,$E495))</f>
        <v/>
      </c>
      <c r="C495">
        <f>IF($E495="","",INDEX('Input Transaksi'!$E:$E,$E495))</f>
        <v/>
      </c>
      <c r="D495" s="5">
        <f>IF($E495="","",INDEX('Input Transaksi'!$F:$F,$E495))</f>
        <v/>
      </c>
      <c r="E495">
        <f>IFERROR(AGGREGATE(15,6,ROW('Input Transaksi'!$B$5:$B$5000)/('Input Transaksi'!$B$5:$B$5000="GEDE LONDRI"),ROWS($E$5:E495)),"")</f>
        <v/>
      </c>
      <c r="F495" s="5" t="n"/>
    </row>
    <row r="496">
      <c r="A496" s="10">
        <f>IF($E496="","",INDEX('Input Transaksi'!$A:$A,$E496))</f>
        <v/>
      </c>
      <c r="B496" s="5">
        <f>IF($E496="","",INDEX('Input Transaksi'!$D:$D,$E496))</f>
        <v/>
      </c>
      <c r="C496">
        <f>IF($E496="","",INDEX('Input Transaksi'!$E:$E,$E496))</f>
        <v/>
      </c>
      <c r="D496" s="5">
        <f>IF($E496="","",INDEX('Input Transaksi'!$F:$F,$E496))</f>
        <v/>
      </c>
      <c r="E496">
        <f>IFERROR(AGGREGATE(15,6,ROW('Input Transaksi'!$B$5:$B$5000)/('Input Transaksi'!$B$5:$B$5000="GEDE LONDRI"),ROWS($E$5:E496)),"")</f>
        <v/>
      </c>
      <c r="F496" s="5" t="n"/>
    </row>
    <row r="497">
      <c r="A497" s="10">
        <f>IF($E497="","",INDEX('Input Transaksi'!$A:$A,$E497))</f>
        <v/>
      </c>
      <c r="B497" s="5">
        <f>IF($E497="","",INDEX('Input Transaksi'!$D:$D,$E497))</f>
        <v/>
      </c>
      <c r="C497">
        <f>IF($E497="","",INDEX('Input Transaksi'!$E:$E,$E497))</f>
        <v/>
      </c>
      <c r="D497" s="5">
        <f>IF($E497="","",INDEX('Input Transaksi'!$F:$F,$E497))</f>
        <v/>
      </c>
      <c r="E497">
        <f>IFERROR(AGGREGATE(15,6,ROW('Input Transaksi'!$B$5:$B$5000)/('Input Transaksi'!$B$5:$B$5000="GEDE LONDRI"),ROWS($E$5:E497)),"")</f>
        <v/>
      </c>
      <c r="F497" s="5" t="n"/>
    </row>
    <row r="498">
      <c r="A498" s="10">
        <f>IF($E498="","",INDEX('Input Transaksi'!$A:$A,$E498))</f>
        <v/>
      </c>
      <c r="B498" s="5">
        <f>IF($E498="","",INDEX('Input Transaksi'!$D:$D,$E498))</f>
        <v/>
      </c>
      <c r="C498">
        <f>IF($E498="","",INDEX('Input Transaksi'!$E:$E,$E498))</f>
        <v/>
      </c>
      <c r="D498" s="5">
        <f>IF($E498="","",INDEX('Input Transaksi'!$F:$F,$E498))</f>
        <v/>
      </c>
      <c r="E498">
        <f>IFERROR(AGGREGATE(15,6,ROW('Input Transaksi'!$B$5:$B$5000)/('Input Transaksi'!$B$5:$B$5000="GEDE LONDRI"),ROWS($E$5:E498)),"")</f>
        <v/>
      </c>
      <c r="F498" s="5" t="n"/>
    </row>
    <row r="499">
      <c r="A499" s="10">
        <f>IF($E499="","",INDEX('Input Transaksi'!$A:$A,$E499))</f>
        <v/>
      </c>
      <c r="B499" s="5">
        <f>IF($E499="","",INDEX('Input Transaksi'!$D:$D,$E499))</f>
        <v/>
      </c>
      <c r="C499">
        <f>IF($E499="","",INDEX('Input Transaksi'!$E:$E,$E499))</f>
        <v/>
      </c>
      <c r="D499" s="5">
        <f>IF($E499="","",INDEX('Input Transaksi'!$F:$F,$E499))</f>
        <v/>
      </c>
      <c r="E499">
        <f>IFERROR(AGGREGATE(15,6,ROW('Input Transaksi'!$B$5:$B$5000)/('Input Transaksi'!$B$5:$B$5000="GEDE LONDRI"),ROWS($E$5:E499)),"")</f>
        <v/>
      </c>
      <c r="F499" s="5" t="n"/>
    </row>
    <row r="500">
      <c r="A500" s="10">
        <f>IF($E500="","",INDEX('Input Transaksi'!$A:$A,$E500))</f>
        <v/>
      </c>
      <c r="B500" s="5">
        <f>IF($E500="","",INDEX('Input Transaksi'!$D:$D,$E500))</f>
        <v/>
      </c>
      <c r="C500">
        <f>IF($E500="","",INDEX('Input Transaksi'!$E:$E,$E500))</f>
        <v/>
      </c>
      <c r="D500" s="5">
        <f>IF($E500="","",INDEX('Input Transaksi'!$F:$F,$E500))</f>
        <v/>
      </c>
      <c r="E500">
        <f>IFERROR(AGGREGATE(15,6,ROW('Input Transaksi'!$B$5:$B$5000)/('Input Transaksi'!$B$5:$B$5000="GEDE LONDRI"),ROWS($E$5:E500)),"")</f>
        <v/>
      </c>
      <c r="F500" s="5" t="n"/>
    </row>
    <row r="501">
      <c r="A501" s="10">
        <f>IF($E501="","",INDEX('Input Transaksi'!$A:$A,$E501))</f>
        <v/>
      </c>
      <c r="B501" s="5">
        <f>IF($E501="","",INDEX('Input Transaksi'!$D:$D,$E501))</f>
        <v/>
      </c>
      <c r="C501">
        <f>IF($E501="","",INDEX('Input Transaksi'!$E:$E,$E501))</f>
        <v/>
      </c>
      <c r="D501" s="5">
        <f>IF($E501="","",INDEX('Input Transaksi'!$F:$F,$E501))</f>
        <v/>
      </c>
      <c r="E501">
        <f>IFERROR(AGGREGATE(15,6,ROW('Input Transaksi'!$B$5:$B$5000)/('Input Transaksi'!$B$5:$B$5000="GEDE LONDRI"),ROWS($E$5:E501)),"")</f>
        <v/>
      </c>
      <c r="F501" s="5" t="n"/>
    </row>
    <row r="502">
      <c r="A502" s="10">
        <f>IF($E502="","",INDEX('Input Transaksi'!$A:$A,$E502))</f>
        <v/>
      </c>
      <c r="B502" s="5">
        <f>IF($E502="","",INDEX('Input Transaksi'!$D:$D,$E502))</f>
        <v/>
      </c>
      <c r="C502">
        <f>IF($E502="","",INDEX('Input Transaksi'!$E:$E,$E502))</f>
        <v/>
      </c>
      <c r="D502" s="5">
        <f>IF($E502="","",INDEX('Input Transaksi'!$F:$F,$E502))</f>
        <v/>
      </c>
      <c r="E502">
        <f>IFERROR(AGGREGATE(15,6,ROW('Input Transaksi'!$B$5:$B$5000)/('Input Transaksi'!$B$5:$B$5000="GEDE LONDRI"),ROWS($E$5:E502)),"")</f>
        <v/>
      </c>
      <c r="F502" s="5" t="n"/>
    </row>
    <row r="503">
      <c r="A503" s="10">
        <f>IF($E503="","",INDEX('Input Transaksi'!$A:$A,$E503))</f>
        <v/>
      </c>
      <c r="B503" s="5">
        <f>IF($E503="","",INDEX('Input Transaksi'!$D:$D,$E503))</f>
        <v/>
      </c>
      <c r="C503">
        <f>IF($E503="","",INDEX('Input Transaksi'!$E:$E,$E503))</f>
        <v/>
      </c>
      <c r="D503" s="5">
        <f>IF($E503="","",INDEX('Input Transaksi'!$F:$F,$E503))</f>
        <v/>
      </c>
      <c r="E503">
        <f>IFERROR(AGGREGATE(15,6,ROW('Input Transaksi'!$B$5:$B$5000)/('Input Transaksi'!$B$5:$B$5000="GEDE LONDRI"),ROWS($E$5:E503)),"")</f>
        <v/>
      </c>
      <c r="F503" s="5" t="n"/>
    </row>
    <row r="504">
      <c r="A504" s="10">
        <f>IF($E504="","",INDEX('Input Transaksi'!$A:$A,$E504))</f>
        <v/>
      </c>
      <c r="B504" s="5">
        <f>IF($E504="","",INDEX('Input Transaksi'!$D:$D,$E504))</f>
        <v/>
      </c>
      <c r="C504">
        <f>IF($E504="","",INDEX('Input Transaksi'!$E:$E,$E504))</f>
        <v/>
      </c>
      <c r="D504" s="5">
        <f>IF($E504="","",INDEX('Input Transaksi'!$F:$F,$E504))</f>
        <v/>
      </c>
      <c r="E504">
        <f>IFERROR(AGGREGATE(15,6,ROW('Input Transaksi'!$B$5:$B$5000)/('Input Transaksi'!$B$5:$B$5000="GEDE LONDRI"),ROWS($E$5:E504)),"")</f>
        <v/>
      </c>
      <c r="F504" s="5" t="n"/>
    </row>
    <row r="505">
      <c r="A505" s="10">
        <f>IF($E505="","",INDEX('Input Transaksi'!$A:$A,$E505))</f>
        <v/>
      </c>
      <c r="B505" s="5">
        <f>IF($E505="","",INDEX('Input Transaksi'!$D:$D,$E505))</f>
        <v/>
      </c>
      <c r="C505">
        <f>IF($E505="","",INDEX('Input Transaksi'!$E:$E,$E505))</f>
        <v/>
      </c>
      <c r="D505" s="5">
        <f>IF($E505="","",INDEX('Input Transaksi'!$F:$F,$E505))</f>
        <v/>
      </c>
      <c r="E505">
        <f>IFERROR(AGGREGATE(15,6,ROW('Input Transaksi'!$B$5:$B$5000)/('Input Transaksi'!$B$5:$B$5000="GEDE LONDRI"),ROWS($E$5:E505)),"")</f>
        <v/>
      </c>
      <c r="F505" s="5" t="n"/>
    </row>
    <row r="506">
      <c r="A506" s="10">
        <f>IF($E506="","",INDEX('Input Transaksi'!$A:$A,$E506))</f>
        <v/>
      </c>
      <c r="B506" s="5">
        <f>IF($E506="","",INDEX('Input Transaksi'!$D:$D,$E506))</f>
        <v/>
      </c>
      <c r="C506">
        <f>IF($E506="","",INDEX('Input Transaksi'!$E:$E,$E506))</f>
        <v/>
      </c>
      <c r="D506" s="5">
        <f>IF($E506="","",INDEX('Input Transaksi'!$F:$F,$E506))</f>
        <v/>
      </c>
      <c r="E506">
        <f>IFERROR(AGGREGATE(15,6,ROW('Input Transaksi'!$B$5:$B$5000)/('Input Transaksi'!$B$5:$B$5000="GEDE LONDRI"),ROWS($E$5:E506)),"")</f>
        <v/>
      </c>
      <c r="F506" s="5" t="n"/>
    </row>
    <row r="507">
      <c r="A507" s="10">
        <f>IF($E507="","",INDEX('Input Transaksi'!$A:$A,$E507))</f>
        <v/>
      </c>
      <c r="B507" s="5">
        <f>IF($E507="","",INDEX('Input Transaksi'!$D:$D,$E507))</f>
        <v/>
      </c>
      <c r="C507">
        <f>IF($E507="","",INDEX('Input Transaksi'!$E:$E,$E507))</f>
        <v/>
      </c>
      <c r="D507" s="5">
        <f>IF($E507="","",INDEX('Input Transaksi'!$F:$F,$E507))</f>
        <v/>
      </c>
      <c r="E507">
        <f>IFERROR(AGGREGATE(15,6,ROW('Input Transaksi'!$B$5:$B$5000)/('Input Transaksi'!$B$5:$B$5000="GEDE LONDRI"),ROWS($E$5:E507)),"")</f>
        <v/>
      </c>
      <c r="F507" s="5" t="n"/>
    </row>
    <row r="508">
      <c r="A508" s="10">
        <f>IF($E508="","",INDEX('Input Transaksi'!$A:$A,$E508))</f>
        <v/>
      </c>
      <c r="B508" s="5">
        <f>IF($E508="","",INDEX('Input Transaksi'!$D:$D,$E508))</f>
        <v/>
      </c>
      <c r="C508">
        <f>IF($E508="","",INDEX('Input Transaksi'!$E:$E,$E508))</f>
        <v/>
      </c>
      <c r="D508" s="5">
        <f>IF($E508="","",INDEX('Input Transaksi'!$F:$F,$E508))</f>
        <v/>
      </c>
      <c r="E508">
        <f>IFERROR(AGGREGATE(15,6,ROW('Input Transaksi'!$B$5:$B$5000)/('Input Transaksi'!$B$5:$B$5000="GEDE LONDRI"),ROWS($E$5:E508)),"")</f>
        <v/>
      </c>
      <c r="F508" s="5" t="n"/>
    </row>
    <row r="509">
      <c r="A509" s="10">
        <f>IF($E509="","",INDEX('Input Transaksi'!$A:$A,$E509))</f>
        <v/>
      </c>
      <c r="B509" s="5">
        <f>IF($E509="","",INDEX('Input Transaksi'!$D:$D,$E509))</f>
        <v/>
      </c>
      <c r="C509">
        <f>IF($E509="","",INDEX('Input Transaksi'!$E:$E,$E509))</f>
        <v/>
      </c>
      <c r="D509" s="5">
        <f>IF($E509="","",INDEX('Input Transaksi'!$F:$F,$E509))</f>
        <v/>
      </c>
      <c r="E509">
        <f>IFERROR(AGGREGATE(15,6,ROW('Input Transaksi'!$B$5:$B$5000)/('Input Transaksi'!$B$5:$B$5000="GEDE LONDRI"),ROWS($E$5:E509)),"")</f>
        <v/>
      </c>
      <c r="F509" s="5" t="n"/>
    </row>
    <row r="510">
      <c r="A510" s="10">
        <f>IF($E510="","",INDEX('Input Transaksi'!$A:$A,$E510))</f>
        <v/>
      </c>
      <c r="B510" s="5">
        <f>IF($E510="","",INDEX('Input Transaksi'!$D:$D,$E510))</f>
        <v/>
      </c>
      <c r="C510">
        <f>IF($E510="","",INDEX('Input Transaksi'!$E:$E,$E510))</f>
        <v/>
      </c>
      <c r="D510" s="5">
        <f>IF($E510="","",INDEX('Input Transaksi'!$F:$F,$E510))</f>
        <v/>
      </c>
      <c r="E510">
        <f>IFERROR(AGGREGATE(15,6,ROW('Input Transaksi'!$B$5:$B$5000)/('Input Transaksi'!$B$5:$B$5000="GEDE LONDRI"),ROWS($E$5:E510)),"")</f>
        <v/>
      </c>
      <c r="F510" s="5" t="n"/>
    </row>
    <row r="511">
      <c r="A511" s="10">
        <f>IF($E511="","",INDEX('Input Transaksi'!$A:$A,$E511))</f>
        <v/>
      </c>
      <c r="B511" s="5">
        <f>IF($E511="","",INDEX('Input Transaksi'!$D:$D,$E511))</f>
        <v/>
      </c>
      <c r="C511">
        <f>IF($E511="","",INDEX('Input Transaksi'!$E:$E,$E511))</f>
        <v/>
      </c>
      <c r="D511" s="5">
        <f>IF($E511="","",INDEX('Input Transaksi'!$F:$F,$E511))</f>
        <v/>
      </c>
      <c r="E511">
        <f>IFERROR(AGGREGATE(15,6,ROW('Input Transaksi'!$B$5:$B$5000)/('Input Transaksi'!$B$5:$B$5000="GEDE LONDRI"),ROWS($E$5:E511)),"")</f>
        <v/>
      </c>
      <c r="F511" s="5" t="n"/>
    </row>
    <row r="512">
      <c r="A512" s="10">
        <f>IF($E512="","",INDEX('Input Transaksi'!$A:$A,$E512))</f>
        <v/>
      </c>
      <c r="B512" s="5">
        <f>IF($E512="","",INDEX('Input Transaksi'!$D:$D,$E512))</f>
        <v/>
      </c>
      <c r="C512">
        <f>IF($E512="","",INDEX('Input Transaksi'!$E:$E,$E512))</f>
        <v/>
      </c>
      <c r="D512" s="5">
        <f>IF($E512="","",INDEX('Input Transaksi'!$F:$F,$E512))</f>
        <v/>
      </c>
      <c r="E512">
        <f>IFERROR(AGGREGATE(15,6,ROW('Input Transaksi'!$B$5:$B$5000)/('Input Transaksi'!$B$5:$B$5000="GEDE LONDRI"),ROWS($E$5:E512)),"")</f>
        <v/>
      </c>
      <c r="F512" s="5" t="n"/>
    </row>
    <row r="513">
      <c r="A513" s="10">
        <f>IF($E513="","",INDEX('Input Transaksi'!$A:$A,$E513))</f>
        <v/>
      </c>
      <c r="B513" s="5">
        <f>IF($E513="","",INDEX('Input Transaksi'!$D:$D,$E513))</f>
        <v/>
      </c>
      <c r="C513">
        <f>IF($E513="","",INDEX('Input Transaksi'!$E:$E,$E513))</f>
        <v/>
      </c>
      <c r="D513" s="5">
        <f>IF($E513="","",INDEX('Input Transaksi'!$F:$F,$E513))</f>
        <v/>
      </c>
      <c r="E513">
        <f>IFERROR(AGGREGATE(15,6,ROW('Input Transaksi'!$B$5:$B$5000)/('Input Transaksi'!$B$5:$B$5000="GEDE LONDRI"),ROWS($E$5:E513)),"")</f>
        <v/>
      </c>
      <c r="F513" s="5" t="n"/>
    </row>
    <row r="514">
      <c r="A514" s="10">
        <f>IF($E514="","",INDEX('Input Transaksi'!$A:$A,$E514))</f>
        <v/>
      </c>
      <c r="B514" s="5">
        <f>IF($E514="","",INDEX('Input Transaksi'!$D:$D,$E514))</f>
        <v/>
      </c>
      <c r="C514">
        <f>IF($E514="","",INDEX('Input Transaksi'!$E:$E,$E514))</f>
        <v/>
      </c>
      <c r="D514" s="5">
        <f>IF($E514="","",INDEX('Input Transaksi'!$F:$F,$E514))</f>
        <v/>
      </c>
      <c r="E514">
        <f>IFERROR(AGGREGATE(15,6,ROW('Input Transaksi'!$B$5:$B$5000)/('Input Transaksi'!$B$5:$B$5000="GEDE LONDRI"),ROWS($E$5:E514)),"")</f>
        <v/>
      </c>
      <c r="F514" s="5" t="n"/>
    </row>
    <row r="515">
      <c r="A515" s="10">
        <f>IF($E515="","",INDEX('Input Transaksi'!$A:$A,$E515))</f>
        <v/>
      </c>
      <c r="B515" s="5">
        <f>IF($E515="","",INDEX('Input Transaksi'!$D:$D,$E515))</f>
        <v/>
      </c>
      <c r="C515">
        <f>IF($E515="","",INDEX('Input Transaksi'!$E:$E,$E515))</f>
        <v/>
      </c>
      <c r="D515" s="5">
        <f>IF($E515="","",INDEX('Input Transaksi'!$F:$F,$E515))</f>
        <v/>
      </c>
      <c r="E515">
        <f>IFERROR(AGGREGATE(15,6,ROW('Input Transaksi'!$B$5:$B$5000)/('Input Transaksi'!$B$5:$B$5000="GEDE LONDRI"),ROWS($E$5:E515)),"")</f>
        <v/>
      </c>
      <c r="F515" s="5" t="n"/>
    </row>
    <row r="516">
      <c r="A516" s="10">
        <f>IF($E516="","",INDEX('Input Transaksi'!$A:$A,$E516))</f>
        <v/>
      </c>
      <c r="B516" s="5">
        <f>IF($E516="","",INDEX('Input Transaksi'!$D:$D,$E516))</f>
        <v/>
      </c>
      <c r="C516">
        <f>IF($E516="","",INDEX('Input Transaksi'!$E:$E,$E516))</f>
        <v/>
      </c>
      <c r="D516" s="5">
        <f>IF($E516="","",INDEX('Input Transaksi'!$F:$F,$E516))</f>
        <v/>
      </c>
      <c r="E516">
        <f>IFERROR(AGGREGATE(15,6,ROW('Input Transaksi'!$B$5:$B$5000)/('Input Transaksi'!$B$5:$B$5000="GEDE LONDRI"),ROWS($E$5:E516)),"")</f>
        <v/>
      </c>
      <c r="F516" s="5" t="n"/>
    </row>
    <row r="517">
      <c r="A517" s="10">
        <f>IF($E517="","",INDEX('Input Transaksi'!$A:$A,$E517))</f>
        <v/>
      </c>
      <c r="B517" s="5">
        <f>IF($E517="","",INDEX('Input Transaksi'!$D:$D,$E517))</f>
        <v/>
      </c>
      <c r="C517">
        <f>IF($E517="","",INDEX('Input Transaksi'!$E:$E,$E517))</f>
        <v/>
      </c>
      <c r="D517" s="5">
        <f>IF($E517="","",INDEX('Input Transaksi'!$F:$F,$E517))</f>
        <v/>
      </c>
      <c r="E517">
        <f>IFERROR(AGGREGATE(15,6,ROW('Input Transaksi'!$B$5:$B$5000)/('Input Transaksi'!$B$5:$B$5000="GEDE LONDRI"),ROWS($E$5:E517)),"")</f>
        <v/>
      </c>
      <c r="F517" s="5" t="n"/>
    </row>
    <row r="518">
      <c r="A518" s="10">
        <f>IF($E518="","",INDEX('Input Transaksi'!$A:$A,$E518))</f>
        <v/>
      </c>
      <c r="B518" s="5">
        <f>IF($E518="","",INDEX('Input Transaksi'!$D:$D,$E518))</f>
        <v/>
      </c>
      <c r="C518">
        <f>IF($E518="","",INDEX('Input Transaksi'!$E:$E,$E518))</f>
        <v/>
      </c>
      <c r="D518" s="5">
        <f>IF($E518="","",INDEX('Input Transaksi'!$F:$F,$E518))</f>
        <v/>
      </c>
      <c r="E518">
        <f>IFERROR(AGGREGATE(15,6,ROW('Input Transaksi'!$B$5:$B$5000)/('Input Transaksi'!$B$5:$B$5000="GEDE LONDRI"),ROWS($E$5:E518)),"")</f>
        <v/>
      </c>
      <c r="F518" s="5" t="n"/>
    </row>
    <row r="519">
      <c r="A519" s="10">
        <f>IF($E519="","",INDEX('Input Transaksi'!$A:$A,$E519))</f>
        <v/>
      </c>
      <c r="B519" s="5">
        <f>IF($E519="","",INDEX('Input Transaksi'!$D:$D,$E519))</f>
        <v/>
      </c>
      <c r="C519">
        <f>IF($E519="","",INDEX('Input Transaksi'!$E:$E,$E519))</f>
        <v/>
      </c>
      <c r="D519" s="5">
        <f>IF($E519="","",INDEX('Input Transaksi'!$F:$F,$E519))</f>
        <v/>
      </c>
      <c r="E519">
        <f>IFERROR(AGGREGATE(15,6,ROW('Input Transaksi'!$B$5:$B$5000)/('Input Transaksi'!$B$5:$B$5000="GEDE LONDRI"),ROWS($E$5:E519)),"")</f>
        <v/>
      </c>
      <c r="F519" s="5" t="n"/>
    </row>
    <row r="520">
      <c r="A520" s="10">
        <f>IF($E520="","",INDEX('Input Transaksi'!$A:$A,$E520))</f>
        <v/>
      </c>
      <c r="B520" s="5">
        <f>IF($E520="","",INDEX('Input Transaksi'!$D:$D,$E520))</f>
        <v/>
      </c>
      <c r="C520">
        <f>IF($E520="","",INDEX('Input Transaksi'!$E:$E,$E520))</f>
        <v/>
      </c>
      <c r="D520" s="5">
        <f>IF($E520="","",INDEX('Input Transaksi'!$F:$F,$E520))</f>
        <v/>
      </c>
      <c r="E520">
        <f>IFERROR(AGGREGATE(15,6,ROW('Input Transaksi'!$B$5:$B$5000)/('Input Transaksi'!$B$5:$B$5000="GEDE LONDRI"),ROWS($E$5:E520)),"")</f>
        <v/>
      </c>
      <c r="F520" s="5" t="n"/>
    </row>
    <row r="521">
      <c r="A521" s="10">
        <f>IF($E521="","",INDEX('Input Transaksi'!$A:$A,$E521))</f>
        <v/>
      </c>
      <c r="B521" s="5">
        <f>IF($E521="","",INDEX('Input Transaksi'!$D:$D,$E521))</f>
        <v/>
      </c>
      <c r="C521">
        <f>IF($E521="","",INDEX('Input Transaksi'!$E:$E,$E521))</f>
        <v/>
      </c>
      <c r="D521" s="5">
        <f>IF($E521="","",INDEX('Input Transaksi'!$F:$F,$E521))</f>
        <v/>
      </c>
      <c r="E521">
        <f>IFERROR(AGGREGATE(15,6,ROW('Input Transaksi'!$B$5:$B$5000)/('Input Transaksi'!$B$5:$B$5000="GEDE LONDRI"),ROWS($E$5:E521)),"")</f>
        <v/>
      </c>
      <c r="F521" s="5" t="n"/>
    </row>
    <row r="522">
      <c r="A522" s="10">
        <f>IF($E522="","",INDEX('Input Transaksi'!$A:$A,$E522))</f>
        <v/>
      </c>
      <c r="B522" s="5">
        <f>IF($E522="","",INDEX('Input Transaksi'!$D:$D,$E522))</f>
        <v/>
      </c>
      <c r="C522">
        <f>IF($E522="","",INDEX('Input Transaksi'!$E:$E,$E522))</f>
        <v/>
      </c>
      <c r="D522" s="5">
        <f>IF($E522="","",INDEX('Input Transaksi'!$F:$F,$E522))</f>
        <v/>
      </c>
      <c r="E522">
        <f>IFERROR(AGGREGATE(15,6,ROW('Input Transaksi'!$B$5:$B$5000)/('Input Transaksi'!$B$5:$B$5000="GEDE LONDRI"),ROWS($E$5:E522)),"")</f>
        <v/>
      </c>
      <c r="F522" s="5" t="n"/>
    </row>
    <row r="523">
      <c r="A523" s="10">
        <f>IF($E523="","",INDEX('Input Transaksi'!$A:$A,$E523))</f>
        <v/>
      </c>
      <c r="B523" s="5">
        <f>IF($E523="","",INDEX('Input Transaksi'!$D:$D,$E523))</f>
        <v/>
      </c>
      <c r="C523">
        <f>IF($E523="","",INDEX('Input Transaksi'!$E:$E,$E523))</f>
        <v/>
      </c>
      <c r="D523" s="5">
        <f>IF($E523="","",INDEX('Input Transaksi'!$F:$F,$E523))</f>
        <v/>
      </c>
      <c r="E523">
        <f>IFERROR(AGGREGATE(15,6,ROW('Input Transaksi'!$B$5:$B$5000)/('Input Transaksi'!$B$5:$B$5000="GEDE LONDRI"),ROWS($E$5:E523)),"")</f>
        <v/>
      </c>
      <c r="F523" s="5" t="n"/>
    </row>
    <row r="524">
      <c r="A524" s="10">
        <f>IF($E524="","",INDEX('Input Transaksi'!$A:$A,$E524))</f>
        <v/>
      </c>
      <c r="B524" s="5">
        <f>IF($E524="","",INDEX('Input Transaksi'!$D:$D,$E524))</f>
        <v/>
      </c>
      <c r="C524">
        <f>IF($E524="","",INDEX('Input Transaksi'!$E:$E,$E524))</f>
        <v/>
      </c>
      <c r="D524" s="5">
        <f>IF($E524="","",INDEX('Input Transaksi'!$F:$F,$E524))</f>
        <v/>
      </c>
      <c r="E524">
        <f>IFERROR(AGGREGATE(15,6,ROW('Input Transaksi'!$B$5:$B$5000)/('Input Transaksi'!$B$5:$B$5000="GEDE LONDRI"),ROWS($E$5:E524)),"")</f>
        <v/>
      </c>
      <c r="F524" s="5" t="n"/>
    </row>
    <row r="525">
      <c r="A525" s="10">
        <f>IF($E525="","",INDEX('Input Transaksi'!$A:$A,$E525))</f>
        <v/>
      </c>
      <c r="B525" s="5">
        <f>IF($E525="","",INDEX('Input Transaksi'!$D:$D,$E525))</f>
        <v/>
      </c>
      <c r="C525">
        <f>IF($E525="","",INDEX('Input Transaksi'!$E:$E,$E525))</f>
        <v/>
      </c>
      <c r="D525" s="5">
        <f>IF($E525="","",INDEX('Input Transaksi'!$F:$F,$E525))</f>
        <v/>
      </c>
      <c r="E525">
        <f>IFERROR(AGGREGATE(15,6,ROW('Input Transaksi'!$B$5:$B$5000)/('Input Transaksi'!$B$5:$B$5000="GEDE LONDRI"),ROWS($E$5:E525)),"")</f>
        <v/>
      </c>
      <c r="F525" s="5" t="n"/>
    </row>
    <row r="526">
      <c r="A526" s="10">
        <f>IF($E526="","",INDEX('Input Transaksi'!$A:$A,$E526))</f>
        <v/>
      </c>
      <c r="B526" s="5">
        <f>IF($E526="","",INDEX('Input Transaksi'!$D:$D,$E526))</f>
        <v/>
      </c>
      <c r="C526">
        <f>IF($E526="","",INDEX('Input Transaksi'!$E:$E,$E526))</f>
        <v/>
      </c>
      <c r="D526" s="5">
        <f>IF($E526="","",INDEX('Input Transaksi'!$F:$F,$E526))</f>
        <v/>
      </c>
      <c r="E526">
        <f>IFERROR(AGGREGATE(15,6,ROW('Input Transaksi'!$B$5:$B$5000)/('Input Transaksi'!$B$5:$B$5000="GEDE LONDRI"),ROWS($E$5:E526)),"")</f>
        <v/>
      </c>
      <c r="F526" s="5" t="n"/>
    </row>
    <row r="527">
      <c r="A527" s="10">
        <f>IF($E527="","",INDEX('Input Transaksi'!$A:$A,$E527))</f>
        <v/>
      </c>
      <c r="B527" s="5">
        <f>IF($E527="","",INDEX('Input Transaksi'!$D:$D,$E527))</f>
        <v/>
      </c>
      <c r="C527">
        <f>IF($E527="","",INDEX('Input Transaksi'!$E:$E,$E527))</f>
        <v/>
      </c>
      <c r="D527" s="5">
        <f>IF($E527="","",INDEX('Input Transaksi'!$F:$F,$E527))</f>
        <v/>
      </c>
      <c r="E527">
        <f>IFERROR(AGGREGATE(15,6,ROW('Input Transaksi'!$B$5:$B$5000)/('Input Transaksi'!$B$5:$B$5000="GEDE LONDRI"),ROWS($E$5:E527)),"")</f>
        <v/>
      </c>
      <c r="F527" s="5" t="n"/>
    </row>
    <row r="528">
      <c r="A528" s="10">
        <f>IF($E528="","",INDEX('Input Transaksi'!$A:$A,$E528))</f>
        <v/>
      </c>
      <c r="B528" s="5">
        <f>IF($E528="","",INDEX('Input Transaksi'!$D:$D,$E528))</f>
        <v/>
      </c>
      <c r="C528">
        <f>IF($E528="","",INDEX('Input Transaksi'!$E:$E,$E528))</f>
        <v/>
      </c>
      <c r="D528" s="5">
        <f>IF($E528="","",INDEX('Input Transaksi'!$F:$F,$E528))</f>
        <v/>
      </c>
      <c r="E528">
        <f>IFERROR(AGGREGATE(15,6,ROW('Input Transaksi'!$B$5:$B$5000)/('Input Transaksi'!$B$5:$B$5000="GEDE LONDRI"),ROWS($E$5:E528)),"")</f>
        <v/>
      </c>
      <c r="F528" s="5" t="n"/>
    </row>
    <row r="529">
      <c r="A529" s="10">
        <f>IF($E529="","",INDEX('Input Transaksi'!$A:$A,$E529))</f>
        <v/>
      </c>
      <c r="B529" s="5">
        <f>IF($E529="","",INDEX('Input Transaksi'!$D:$D,$E529))</f>
        <v/>
      </c>
      <c r="C529">
        <f>IF($E529="","",INDEX('Input Transaksi'!$E:$E,$E529))</f>
        <v/>
      </c>
      <c r="D529" s="5">
        <f>IF($E529="","",INDEX('Input Transaksi'!$F:$F,$E529))</f>
        <v/>
      </c>
      <c r="E529">
        <f>IFERROR(AGGREGATE(15,6,ROW('Input Transaksi'!$B$5:$B$5000)/('Input Transaksi'!$B$5:$B$5000="GEDE LONDRI"),ROWS($E$5:E529)),"")</f>
        <v/>
      </c>
      <c r="F529" s="5" t="n"/>
    </row>
    <row r="530">
      <c r="A530" s="10">
        <f>IF($E530="","",INDEX('Input Transaksi'!$A:$A,$E530))</f>
        <v/>
      </c>
      <c r="B530" s="5">
        <f>IF($E530="","",INDEX('Input Transaksi'!$D:$D,$E530))</f>
        <v/>
      </c>
      <c r="C530">
        <f>IF($E530="","",INDEX('Input Transaksi'!$E:$E,$E530))</f>
        <v/>
      </c>
      <c r="D530" s="5">
        <f>IF($E530="","",INDEX('Input Transaksi'!$F:$F,$E530))</f>
        <v/>
      </c>
      <c r="E530">
        <f>IFERROR(AGGREGATE(15,6,ROW('Input Transaksi'!$B$5:$B$5000)/('Input Transaksi'!$B$5:$B$5000="GEDE LONDRI"),ROWS($E$5:E530)),"")</f>
        <v/>
      </c>
      <c r="F530" s="5" t="n"/>
    </row>
    <row r="531">
      <c r="A531" s="10">
        <f>IF($E531="","",INDEX('Input Transaksi'!$A:$A,$E531))</f>
        <v/>
      </c>
      <c r="B531" s="5">
        <f>IF($E531="","",INDEX('Input Transaksi'!$D:$D,$E531))</f>
        <v/>
      </c>
      <c r="C531">
        <f>IF($E531="","",INDEX('Input Transaksi'!$E:$E,$E531))</f>
        <v/>
      </c>
      <c r="D531" s="5">
        <f>IF($E531="","",INDEX('Input Transaksi'!$F:$F,$E531))</f>
        <v/>
      </c>
      <c r="E531">
        <f>IFERROR(AGGREGATE(15,6,ROW('Input Transaksi'!$B$5:$B$5000)/('Input Transaksi'!$B$5:$B$5000="GEDE LONDRI"),ROWS($E$5:E531)),"")</f>
        <v/>
      </c>
      <c r="F531" s="5" t="n"/>
    </row>
    <row r="532">
      <c r="A532" s="10">
        <f>IF($E532="","",INDEX('Input Transaksi'!$A:$A,$E532))</f>
        <v/>
      </c>
      <c r="B532" s="5">
        <f>IF($E532="","",INDEX('Input Transaksi'!$D:$D,$E532))</f>
        <v/>
      </c>
      <c r="C532">
        <f>IF($E532="","",INDEX('Input Transaksi'!$E:$E,$E532))</f>
        <v/>
      </c>
      <c r="D532" s="5">
        <f>IF($E532="","",INDEX('Input Transaksi'!$F:$F,$E532))</f>
        <v/>
      </c>
      <c r="E532">
        <f>IFERROR(AGGREGATE(15,6,ROW('Input Transaksi'!$B$5:$B$5000)/('Input Transaksi'!$B$5:$B$5000="GEDE LONDRI"),ROWS($E$5:E532)),"")</f>
        <v/>
      </c>
      <c r="F532" s="5" t="n"/>
    </row>
    <row r="533">
      <c r="A533" s="10">
        <f>IF($E533="","",INDEX('Input Transaksi'!$A:$A,$E533))</f>
        <v/>
      </c>
      <c r="B533" s="5">
        <f>IF($E533="","",INDEX('Input Transaksi'!$D:$D,$E533))</f>
        <v/>
      </c>
      <c r="C533">
        <f>IF($E533="","",INDEX('Input Transaksi'!$E:$E,$E533))</f>
        <v/>
      </c>
      <c r="D533" s="5">
        <f>IF($E533="","",INDEX('Input Transaksi'!$F:$F,$E533))</f>
        <v/>
      </c>
      <c r="E533">
        <f>IFERROR(AGGREGATE(15,6,ROW('Input Transaksi'!$B$5:$B$5000)/('Input Transaksi'!$B$5:$B$5000="GEDE LONDRI"),ROWS($E$5:E533)),"")</f>
        <v/>
      </c>
      <c r="F533" s="5" t="n"/>
    </row>
    <row r="534">
      <c r="A534" s="10">
        <f>IF($E534="","",INDEX('Input Transaksi'!$A:$A,$E534))</f>
        <v/>
      </c>
      <c r="B534" s="5">
        <f>IF($E534="","",INDEX('Input Transaksi'!$D:$D,$E534))</f>
        <v/>
      </c>
      <c r="C534">
        <f>IF($E534="","",INDEX('Input Transaksi'!$E:$E,$E534))</f>
        <v/>
      </c>
      <c r="D534" s="5">
        <f>IF($E534="","",INDEX('Input Transaksi'!$F:$F,$E534))</f>
        <v/>
      </c>
      <c r="E534">
        <f>IFERROR(AGGREGATE(15,6,ROW('Input Transaksi'!$B$5:$B$5000)/('Input Transaksi'!$B$5:$B$5000="GEDE LONDRI"),ROWS($E$5:E534)),"")</f>
        <v/>
      </c>
      <c r="F534" s="5" t="n"/>
    </row>
    <row r="535">
      <c r="A535" s="10">
        <f>IF($E535="","",INDEX('Input Transaksi'!$A:$A,$E535))</f>
        <v/>
      </c>
      <c r="B535" s="5">
        <f>IF($E535="","",INDEX('Input Transaksi'!$D:$D,$E535))</f>
        <v/>
      </c>
      <c r="C535">
        <f>IF($E535="","",INDEX('Input Transaksi'!$E:$E,$E535))</f>
        <v/>
      </c>
      <c r="D535" s="5">
        <f>IF($E535="","",INDEX('Input Transaksi'!$F:$F,$E535))</f>
        <v/>
      </c>
      <c r="E535">
        <f>IFERROR(AGGREGATE(15,6,ROW('Input Transaksi'!$B$5:$B$5000)/('Input Transaksi'!$B$5:$B$5000="GEDE LONDRI"),ROWS($E$5:E535)),"")</f>
        <v/>
      </c>
      <c r="F535" s="5" t="n"/>
    </row>
    <row r="536">
      <c r="A536" s="10">
        <f>IF($E536="","",INDEX('Input Transaksi'!$A:$A,$E536))</f>
        <v/>
      </c>
      <c r="B536" s="5">
        <f>IF($E536="","",INDEX('Input Transaksi'!$D:$D,$E536))</f>
        <v/>
      </c>
      <c r="C536">
        <f>IF($E536="","",INDEX('Input Transaksi'!$E:$E,$E536))</f>
        <v/>
      </c>
      <c r="D536" s="5">
        <f>IF($E536="","",INDEX('Input Transaksi'!$F:$F,$E536))</f>
        <v/>
      </c>
      <c r="E536">
        <f>IFERROR(AGGREGATE(15,6,ROW('Input Transaksi'!$B$5:$B$5000)/('Input Transaksi'!$B$5:$B$5000="GEDE LONDRI"),ROWS($E$5:E536)),"")</f>
        <v/>
      </c>
      <c r="F536" s="5" t="n"/>
    </row>
    <row r="537">
      <c r="A537" s="10">
        <f>IF($E537="","",INDEX('Input Transaksi'!$A:$A,$E537))</f>
        <v/>
      </c>
      <c r="B537" s="5">
        <f>IF($E537="","",INDEX('Input Transaksi'!$D:$D,$E537))</f>
        <v/>
      </c>
      <c r="C537">
        <f>IF($E537="","",INDEX('Input Transaksi'!$E:$E,$E537))</f>
        <v/>
      </c>
      <c r="D537" s="5">
        <f>IF($E537="","",INDEX('Input Transaksi'!$F:$F,$E537))</f>
        <v/>
      </c>
      <c r="E537">
        <f>IFERROR(AGGREGATE(15,6,ROW('Input Transaksi'!$B$5:$B$5000)/('Input Transaksi'!$B$5:$B$5000="GEDE LONDRI"),ROWS($E$5:E537)),"")</f>
        <v/>
      </c>
      <c r="F537" s="5" t="n"/>
    </row>
    <row r="538">
      <c r="A538" s="10">
        <f>IF($E538="","",INDEX('Input Transaksi'!$A:$A,$E538))</f>
        <v/>
      </c>
      <c r="B538" s="5">
        <f>IF($E538="","",INDEX('Input Transaksi'!$D:$D,$E538))</f>
        <v/>
      </c>
      <c r="C538">
        <f>IF($E538="","",INDEX('Input Transaksi'!$E:$E,$E538))</f>
        <v/>
      </c>
      <c r="D538" s="5">
        <f>IF($E538="","",INDEX('Input Transaksi'!$F:$F,$E538))</f>
        <v/>
      </c>
      <c r="E538">
        <f>IFERROR(AGGREGATE(15,6,ROW('Input Transaksi'!$B$5:$B$5000)/('Input Transaksi'!$B$5:$B$5000="GEDE LONDRI"),ROWS($E$5:E538)),"")</f>
        <v/>
      </c>
      <c r="F538" s="5" t="n"/>
    </row>
    <row r="539">
      <c r="A539" s="10">
        <f>IF($E539="","",INDEX('Input Transaksi'!$A:$A,$E539))</f>
        <v/>
      </c>
      <c r="B539" s="5">
        <f>IF($E539="","",INDEX('Input Transaksi'!$D:$D,$E539))</f>
        <v/>
      </c>
      <c r="C539">
        <f>IF($E539="","",INDEX('Input Transaksi'!$E:$E,$E539))</f>
        <v/>
      </c>
      <c r="D539" s="5">
        <f>IF($E539="","",INDEX('Input Transaksi'!$F:$F,$E539))</f>
        <v/>
      </c>
      <c r="E539">
        <f>IFERROR(AGGREGATE(15,6,ROW('Input Transaksi'!$B$5:$B$5000)/('Input Transaksi'!$B$5:$B$5000="GEDE LONDRI"),ROWS($E$5:E539)),"")</f>
        <v/>
      </c>
      <c r="F539" s="5" t="n"/>
    </row>
    <row r="540">
      <c r="A540" s="10">
        <f>IF($E540="","",INDEX('Input Transaksi'!$A:$A,$E540))</f>
        <v/>
      </c>
      <c r="B540" s="5">
        <f>IF($E540="","",INDEX('Input Transaksi'!$D:$D,$E540))</f>
        <v/>
      </c>
      <c r="C540">
        <f>IF($E540="","",INDEX('Input Transaksi'!$E:$E,$E540))</f>
        <v/>
      </c>
      <c r="D540" s="5">
        <f>IF($E540="","",INDEX('Input Transaksi'!$F:$F,$E540))</f>
        <v/>
      </c>
      <c r="E540">
        <f>IFERROR(AGGREGATE(15,6,ROW('Input Transaksi'!$B$5:$B$5000)/('Input Transaksi'!$B$5:$B$5000="GEDE LONDRI"),ROWS($E$5:E540)),"")</f>
        <v/>
      </c>
      <c r="F540" s="5" t="n"/>
    </row>
    <row r="541">
      <c r="A541" s="10">
        <f>IF($E541="","",INDEX('Input Transaksi'!$A:$A,$E541))</f>
        <v/>
      </c>
      <c r="B541" s="5">
        <f>IF($E541="","",INDEX('Input Transaksi'!$D:$D,$E541))</f>
        <v/>
      </c>
      <c r="C541">
        <f>IF($E541="","",INDEX('Input Transaksi'!$E:$E,$E541))</f>
        <v/>
      </c>
      <c r="D541" s="5">
        <f>IF($E541="","",INDEX('Input Transaksi'!$F:$F,$E541))</f>
        <v/>
      </c>
      <c r="E541">
        <f>IFERROR(AGGREGATE(15,6,ROW('Input Transaksi'!$B$5:$B$5000)/('Input Transaksi'!$B$5:$B$5000="GEDE LONDRI"),ROWS($E$5:E541)),"")</f>
        <v/>
      </c>
      <c r="F541" s="5" t="n"/>
    </row>
    <row r="542">
      <c r="A542" s="10">
        <f>IF($E542="","",INDEX('Input Transaksi'!$A:$A,$E542))</f>
        <v/>
      </c>
      <c r="B542" s="5">
        <f>IF($E542="","",INDEX('Input Transaksi'!$D:$D,$E542))</f>
        <v/>
      </c>
      <c r="C542">
        <f>IF($E542="","",INDEX('Input Transaksi'!$E:$E,$E542))</f>
        <v/>
      </c>
      <c r="D542" s="5">
        <f>IF($E542="","",INDEX('Input Transaksi'!$F:$F,$E542))</f>
        <v/>
      </c>
      <c r="E542">
        <f>IFERROR(AGGREGATE(15,6,ROW('Input Transaksi'!$B$5:$B$5000)/('Input Transaksi'!$B$5:$B$5000="GEDE LONDRI"),ROWS($E$5:E542)),"")</f>
        <v/>
      </c>
      <c r="F542" s="5" t="n"/>
    </row>
    <row r="543">
      <c r="A543" s="10">
        <f>IF($E543="","",INDEX('Input Transaksi'!$A:$A,$E543))</f>
        <v/>
      </c>
      <c r="B543" s="5">
        <f>IF($E543="","",INDEX('Input Transaksi'!$D:$D,$E543))</f>
        <v/>
      </c>
      <c r="C543">
        <f>IF($E543="","",INDEX('Input Transaksi'!$E:$E,$E543))</f>
        <v/>
      </c>
      <c r="D543" s="5">
        <f>IF($E543="","",INDEX('Input Transaksi'!$F:$F,$E543))</f>
        <v/>
      </c>
      <c r="E543">
        <f>IFERROR(AGGREGATE(15,6,ROW('Input Transaksi'!$B$5:$B$5000)/('Input Transaksi'!$B$5:$B$5000="GEDE LONDRI"),ROWS($E$5:E543)),"")</f>
        <v/>
      </c>
      <c r="F543" s="5" t="n"/>
    </row>
    <row r="544">
      <c r="A544" s="10">
        <f>IF($E544="","",INDEX('Input Transaksi'!$A:$A,$E544))</f>
        <v/>
      </c>
      <c r="B544" s="5">
        <f>IF($E544="","",INDEX('Input Transaksi'!$D:$D,$E544))</f>
        <v/>
      </c>
      <c r="C544">
        <f>IF($E544="","",INDEX('Input Transaksi'!$E:$E,$E544))</f>
        <v/>
      </c>
      <c r="D544" s="5">
        <f>IF($E544="","",INDEX('Input Transaksi'!$F:$F,$E544))</f>
        <v/>
      </c>
      <c r="E544">
        <f>IFERROR(AGGREGATE(15,6,ROW('Input Transaksi'!$B$5:$B$5000)/('Input Transaksi'!$B$5:$B$5000="GEDE LONDRI"),ROWS($E$5:E544)),"")</f>
        <v/>
      </c>
      <c r="F544" s="5" t="n"/>
    </row>
    <row r="545">
      <c r="A545" s="10">
        <f>IF($E545="","",INDEX('Input Transaksi'!$A:$A,$E545))</f>
        <v/>
      </c>
      <c r="B545" s="5">
        <f>IF($E545="","",INDEX('Input Transaksi'!$D:$D,$E545))</f>
        <v/>
      </c>
      <c r="C545">
        <f>IF($E545="","",INDEX('Input Transaksi'!$E:$E,$E545))</f>
        <v/>
      </c>
      <c r="D545" s="5">
        <f>IF($E545="","",INDEX('Input Transaksi'!$F:$F,$E545))</f>
        <v/>
      </c>
      <c r="E545">
        <f>IFERROR(AGGREGATE(15,6,ROW('Input Transaksi'!$B$5:$B$5000)/('Input Transaksi'!$B$5:$B$5000="GEDE LONDRI"),ROWS($E$5:E545)),"")</f>
        <v/>
      </c>
      <c r="F545" s="5" t="n"/>
    </row>
    <row r="546">
      <c r="A546" s="10">
        <f>IF($E546="","",INDEX('Input Transaksi'!$A:$A,$E546))</f>
        <v/>
      </c>
      <c r="B546" s="5">
        <f>IF($E546="","",INDEX('Input Transaksi'!$D:$D,$E546))</f>
        <v/>
      </c>
      <c r="C546">
        <f>IF($E546="","",INDEX('Input Transaksi'!$E:$E,$E546))</f>
        <v/>
      </c>
      <c r="D546" s="5">
        <f>IF($E546="","",INDEX('Input Transaksi'!$F:$F,$E546))</f>
        <v/>
      </c>
      <c r="E546">
        <f>IFERROR(AGGREGATE(15,6,ROW('Input Transaksi'!$B$5:$B$5000)/('Input Transaksi'!$B$5:$B$5000="GEDE LONDRI"),ROWS($E$5:E546)),"")</f>
        <v/>
      </c>
      <c r="F546" s="5" t="n"/>
    </row>
    <row r="547">
      <c r="A547" s="10">
        <f>IF($E547="","",INDEX('Input Transaksi'!$A:$A,$E547))</f>
        <v/>
      </c>
      <c r="B547" s="5">
        <f>IF($E547="","",INDEX('Input Transaksi'!$D:$D,$E547))</f>
        <v/>
      </c>
      <c r="C547">
        <f>IF($E547="","",INDEX('Input Transaksi'!$E:$E,$E547))</f>
        <v/>
      </c>
      <c r="D547" s="5">
        <f>IF($E547="","",INDEX('Input Transaksi'!$F:$F,$E547))</f>
        <v/>
      </c>
      <c r="E547">
        <f>IFERROR(AGGREGATE(15,6,ROW('Input Transaksi'!$B$5:$B$5000)/('Input Transaksi'!$B$5:$B$5000="GEDE LONDRI"),ROWS($E$5:E547)),"")</f>
        <v/>
      </c>
      <c r="F547" s="5" t="n"/>
    </row>
    <row r="548">
      <c r="A548" s="10">
        <f>IF($E548="","",INDEX('Input Transaksi'!$A:$A,$E548))</f>
        <v/>
      </c>
      <c r="B548" s="5">
        <f>IF($E548="","",INDEX('Input Transaksi'!$D:$D,$E548))</f>
        <v/>
      </c>
      <c r="C548">
        <f>IF($E548="","",INDEX('Input Transaksi'!$E:$E,$E548))</f>
        <v/>
      </c>
      <c r="D548" s="5">
        <f>IF($E548="","",INDEX('Input Transaksi'!$F:$F,$E548))</f>
        <v/>
      </c>
      <c r="E548">
        <f>IFERROR(AGGREGATE(15,6,ROW('Input Transaksi'!$B$5:$B$5000)/('Input Transaksi'!$B$5:$B$5000="GEDE LONDRI"),ROWS($E$5:E548)),"")</f>
        <v/>
      </c>
      <c r="F548" s="5" t="n"/>
    </row>
    <row r="549">
      <c r="A549" s="10">
        <f>IF($E549="","",INDEX('Input Transaksi'!$A:$A,$E549))</f>
        <v/>
      </c>
      <c r="B549" s="5">
        <f>IF($E549="","",INDEX('Input Transaksi'!$D:$D,$E549))</f>
        <v/>
      </c>
      <c r="C549">
        <f>IF($E549="","",INDEX('Input Transaksi'!$E:$E,$E549))</f>
        <v/>
      </c>
      <c r="D549" s="5">
        <f>IF($E549="","",INDEX('Input Transaksi'!$F:$F,$E549))</f>
        <v/>
      </c>
      <c r="E549">
        <f>IFERROR(AGGREGATE(15,6,ROW('Input Transaksi'!$B$5:$B$5000)/('Input Transaksi'!$B$5:$B$5000="GEDE LONDRI"),ROWS($E$5:E549)),"")</f>
        <v/>
      </c>
      <c r="F549" s="5" t="n"/>
    </row>
    <row r="550">
      <c r="A550" s="10">
        <f>IF($E550="","",INDEX('Input Transaksi'!$A:$A,$E550))</f>
        <v/>
      </c>
      <c r="B550" s="5">
        <f>IF($E550="","",INDEX('Input Transaksi'!$D:$D,$E550))</f>
        <v/>
      </c>
      <c r="C550">
        <f>IF($E550="","",INDEX('Input Transaksi'!$E:$E,$E550))</f>
        <v/>
      </c>
      <c r="D550" s="5">
        <f>IF($E550="","",INDEX('Input Transaksi'!$F:$F,$E550))</f>
        <v/>
      </c>
      <c r="E550">
        <f>IFERROR(AGGREGATE(15,6,ROW('Input Transaksi'!$B$5:$B$5000)/('Input Transaksi'!$B$5:$B$5000="GEDE LONDRI"),ROWS($E$5:E550)),"")</f>
        <v/>
      </c>
      <c r="F550" s="5" t="n"/>
    </row>
    <row r="551">
      <c r="A551" s="10">
        <f>IF($E551="","",INDEX('Input Transaksi'!$A:$A,$E551))</f>
        <v/>
      </c>
      <c r="B551" s="5">
        <f>IF($E551="","",INDEX('Input Transaksi'!$D:$D,$E551))</f>
        <v/>
      </c>
      <c r="C551">
        <f>IF($E551="","",INDEX('Input Transaksi'!$E:$E,$E551))</f>
        <v/>
      </c>
      <c r="D551" s="5">
        <f>IF($E551="","",INDEX('Input Transaksi'!$F:$F,$E551))</f>
        <v/>
      </c>
      <c r="E551">
        <f>IFERROR(AGGREGATE(15,6,ROW('Input Transaksi'!$B$5:$B$5000)/('Input Transaksi'!$B$5:$B$5000="GEDE LONDRI"),ROWS($E$5:E551)),"")</f>
        <v/>
      </c>
      <c r="F551" s="5" t="n"/>
    </row>
    <row r="552">
      <c r="A552" s="10">
        <f>IF($E552="","",INDEX('Input Transaksi'!$A:$A,$E552))</f>
        <v/>
      </c>
      <c r="B552" s="5">
        <f>IF($E552="","",INDEX('Input Transaksi'!$D:$D,$E552))</f>
        <v/>
      </c>
      <c r="C552">
        <f>IF($E552="","",INDEX('Input Transaksi'!$E:$E,$E552))</f>
        <v/>
      </c>
      <c r="D552" s="5">
        <f>IF($E552="","",INDEX('Input Transaksi'!$F:$F,$E552))</f>
        <v/>
      </c>
      <c r="E552">
        <f>IFERROR(AGGREGATE(15,6,ROW('Input Transaksi'!$B$5:$B$5000)/('Input Transaksi'!$B$5:$B$5000="GEDE LONDRI"),ROWS($E$5:E552)),"")</f>
        <v/>
      </c>
      <c r="F552" s="5" t="n"/>
    </row>
    <row r="553">
      <c r="A553" s="10">
        <f>IF($E553="","",INDEX('Input Transaksi'!$A:$A,$E553))</f>
        <v/>
      </c>
      <c r="B553" s="5">
        <f>IF($E553="","",INDEX('Input Transaksi'!$D:$D,$E553))</f>
        <v/>
      </c>
      <c r="C553">
        <f>IF($E553="","",INDEX('Input Transaksi'!$E:$E,$E553))</f>
        <v/>
      </c>
      <c r="D553" s="5">
        <f>IF($E553="","",INDEX('Input Transaksi'!$F:$F,$E553))</f>
        <v/>
      </c>
      <c r="E553">
        <f>IFERROR(AGGREGATE(15,6,ROW('Input Transaksi'!$B$5:$B$5000)/('Input Transaksi'!$B$5:$B$5000="GEDE LONDRI"),ROWS($E$5:E553)),"")</f>
        <v/>
      </c>
      <c r="F553" s="5" t="n"/>
    </row>
    <row r="554">
      <c r="A554" s="10">
        <f>IF($E554="","",INDEX('Input Transaksi'!$A:$A,$E554))</f>
        <v/>
      </c>
      <c r="B554" s="5">
        <f>IF($E554="","",INDEX('Input Transaksi'!$D:$D,$E554))</f>
        <v/>
      </c>
      <c r="C554">
        <f>IF($E554="","",INDEX('Input Transaksi'!$E:$E,$E554))</f>
        <v/>
      </c>
      <c r="D554" s="5">
        <f>IF($E554="","",INDEX('Input Transaksi'!$F:$F,$E554))</f>
        <v/>
      </c>
      <c r="E554">
        <f>IFERROR(AGGREGATE(15,6,ROW('Input Transaksi'!$B$5:$B$5000)/('Input Transaksi'!$B$5:$B$5000="GEDE LONDRI"),ROWS($E$5:E554)),"")</f>
        <v/>
      </c>
      <c r="F554" s="5" t="n"/>
    </row>
    <row r="555">
      <c r="A555" s="10">
        <f>IF($E555="","",INDEX('Input Transaksi'!$A:$A,$E555))</f>
        <v/>
      </c>
      <c r="B555" s="5">
        <f>IF($E555="","",INDEX('Input Transaksi'!$D:$D,$E555))</f>
        <v/>
      </c>
      <c r="C555">
        <f>IF($E555="","",INDEX('Input Transaksi'!$E:$E,$E555))</f>
        <v/>
      </c>
      <c r="D555" s="5">
        <f>IF($E555="","",INDEX('Input Transaksi'!$F:$F,$E555))</f>
        <v/>
      </c>
      <c r="E555">
        <f>IFERROR(AGGREGATE(15,6,ROW('Input Transaksi'!$B$5:$B$5000)/('Input Transaksi'!$B$5:$B$5000="GEDE LONDRI"),ROWS($E$5:E555)),"")</f>
        <v/>
      </c>
      <c r="F555" s="5" t="n"/>
    </row>
    <row r="556">
      <c r="A556" s="10">
        <f>IF($E556="","",INDEX('Input Transaksi'!$A:$A,$E556))</f>
        <v/>
      </c>
      <c r="B556" s="5">
        <f>IF($E556="","",INDEX('Input Transaksi'!$D:$D,$E556))</f>
        <v/>
      </c>
      <c r="C556">
        <f>IF($E556="","",INDEX('Input Transaksi'!$E:$E,$E556))</f>
        <v/>
      </c>
      <c r="D556" s="5">
        <f>IF($E556="","",INDEX('Input Transaksi'!$F:$F,$E556))</f>
        <v/>
      </c>
      <c r="E556">
        <f>IFERROR(AGGREGATE(15,6,ROW('Input Transaksi'!$B$5:$B$5000)/('Input Transaksi'!$B$5:$B$5000="GEDE LONDRI"),ROWS($E$5:E556)),"")</f>
        <v/>
      </c>
      <c r="F556" s="5" t="n"/>
    </row>
    <row r="557">
      <c r="A557" s="10">
        <f>IF($E557="","",INDEX('Input Transaksi'!$A:$A,$E557))</f>
        <v/>
      </c>
      <c r="B557" s="5">
        <f>IF($E557="","",INDEX('Input Transaksi'!$D:$D,$E557))</f>
        <v/>
      </c>
      <c r="C557">
        <f>IF($E557="","",INDEX('Input Transaksi'!$E:$E,$E557))</f>
        <v/>
      </c>
      <c r="D557" s="5">
        <f>IF($E557="","",INDEX('Input Transaksi'!$F:$F,$E557))</f>
        <v/>
      </c>
      <c r="E557">
        <f>IFERROR(AGGREGATE(15,6,ROW('Input Transaksi'!$B$5:$B$5000)/('Input Transaksi'!$B$5:$B$5000="GEDE LONDRI"),ROWS($E$5:E557)),"")</f>
        <v/>
      </c>
      <c r="F557" s="5" t="n"/>
    </row>
    <row r="558">
      <c r="A558" s="10">
        <f>IF($E558="","",INDEX('Input Transaksi'!$A:$A,$E558))</f>
        <v/>
      </c>
      <c r="B558" s="5">
        <f>IF($E558="","",INDEX('Input Transaksi'!$D:$D,$E558))</f>
        <v/>
      </c>
      <c r="C558">
        <f>IF($E558="","",INDEX('Input Transaksi'!$E:$E,$E558))</f>
        <v/>
      </c>
      <c r="D558" s="5">
        <f>IF($E558="","",INDEX('Input Transaksi'!$F:$F,$E558))</f>
        <v/>
      </c>
      <c r="E558">
        <f>IFERROR(AGGREGATE(15,6,ROW('Input Transaksi'!$B$5:$B$5000)/('Input Transaksi'!$B$5:$B$5000="GEDE LONDRI"),ROWS($E$5:E558)),"")</f>
        <v/>
      </c>
      <c r="F558" s="5" t="n"/>
    </row>
    <row r="559">
      <c r="A559" s="10">
        <f>IF($E559="","",INDEX('Input Transaksi'!$A:$A,$E559))</f>
        <v/>
      </c>
      <c r="B559" s="5">
        <f>IF($E559="","",INDEX('Input Transaksi'!$D:$D,$E559))</f>
        <v/>
      </c>
      <c r="C559">
        <f>IF($E559="","",INDEX('Input Transaksi'!$E:$E,$E559))</f>
        <v/>
      </c>
      <c r="D559" s="5">
        <f>IF($E559="","",INDEX('Input Transaksi'!$F:$F,$E559))</f>
        <v/>
      </c>
      <c r="E559">
        <f>IFERROR(AGGREGATE(15,6,ROW('Input Transaksi'!$B$5:$B$5000)/('Input Transaksi'!$B$5:$B$5000="GEDE LONDRI"),ROWS($E$5:E559)),"")</f>
        <v/>
      </c>
      <c r="F559" s="5" t="n"/>
    </row>
    <row r="560">
      <c r="A560" s="10">
        <f>IF($E560="","",INDEX('Input Transaksi'!$A:$A,$E560))</f>
        <v/>
      </c>
      <c r="B560" s="5">
        <f>IF($E560="","",INDEX('Input Transaksi'!$D:$D,$E560))</f>
        <v/>
      </c>
      <c r="C560">
        <f>IF($E560="","",INDEX('Input Transaksi'!$E:$E,$E560))</f>
        <v/>
      </c>
      <c r="D560" s="5">
        <f>IF($E560="","",INDEX('Input Transaksi'!$F:$F,$E560))</f>
        <v/>
      </c>
      <c r="E560">
        <f>IFERROR(AGGREGATE(15,6,ROW('Input Transaksi'!$B$5:$B$5000)/('Input Transaksi'!$B$5:$B$5000="GEDE LONDRI"),ROWS($E$5:E560)),"")</f>
        <v/>
      </c>
      <c r="F560" s="5" t="n"/>
    </row>
    <row r="561">
      <c r="A561" s="10">
        <f>IF($E561="","",INDEX('Input Transaksi'!$A:$A,$E561))</f>
        <v/>
      </c>
      <c r="B561" s="5">
        <f>IF($E561="","",INDEX('Input Transaksi'!$D:$D,$E561))</f>
        <v/>
      </c>
      <c r="C561">
        <f>IF($E561="","",INDEX('Input Transaksi'!$E:$E,$E561))</f>
        <v/>
      </c>
      <c r="D561" s="5">
        <f>IF($E561="","",INDEX('Input Transaksi'!$F:$F,$E561))</f>
        <v/>
      </c>
      <c r="E561">
        <f>IFERROR(AGGREGATE(15,6,ROW('Input Transaksi'!$B$5:$B$5000)/('Input Transaksi'!$B$5:$B$5000="GEDE LONDRI"),ROWS($E$5:E561)),"")</f>
        <v/>
      </c>
      <c r="F561" s="5" t="n"/>
    </row>
    <row r="562">
      <c r="A562" s="10">
        <f>IF($E562="","",INDEX('Input Transaksi'!$A:$A,$E562))</f>
        <v/>
      </c>
      <c r="B562" s="5">
        <f>IF($E562="","",INDEX('Input Transaksi'!$D:$D,$E562))</f>
        <v/>
      </c>
      <c r="C562">
        <f>IF($E562="","",INDEX('Input Transaksi'!$E:$E,$E562))</f>
        <v/>
      </c>
      <c r="D562" s="5">
        <f>IF($E562="","",INDEX('Input Transaksi'!$F:$F,$E562))</f>
        <v/>
      </c>
      <c r="E562">
        <f>IFERROR(AGGREGATE(15,6,ROW('Input Transaksi'!$B$5:$B$5000)/('Input Transaksi'!$B$5:$B$5000="GEDE LONDRI"),ROWS($E$5:E562)),"")</f>
        <v/>
      </c>
      <c r="F562" s="5" t="n"/>
    </row>
    <row r="563">
      <c r="A563" s="10">
        <f>IF($E563="","",INDEX('Input Transaksi'!$A:$A,$E563))</f>
        <v/>
      </c>
      <c r="B563" s="5">
        <f>IF($E563="","",INDEX('Input Transaksi'!$D:$D,$E563))</f>
        <v/>
      </c>
      <c r="C563">
        <f>IF($E563="","",INDEX('Input Transaksi'!$E:$E,$E563))</f>
        <v/>
      </c>
      <c r="D563" s="5">
        <f>IF($E563="","",INDEX('Input Transaksi'!$F:$F,$E563))</f>
        <v/>
      </c>
      <c r="E563">
        <f>IFERROR(AGGREGATE(15,6,ROW('Input Transaksi'!$B$5:$B$5000)/('Input Transaksi'!$B$5:$B$5000="GEDE LONDRI"),ROWS($E$5:E563)),"")</f>
        <v/>
      </c>
      <c r="F563" s="5" t="n"/>
    </row>
    <row r="564">
      <c r="A564" s="10">
        <f>IF($E564="","",INDEX('Input Transaksi'!$A:$A,$E564))</f>
        <v/>
      </c>
      <c r="B564" s="5">
        <f>IF($E564="","",INDEX('Input Transaksi'!$D:$D,$E564))</f>
        <v/>
      </c>
      <c r="C564">
        <f>IF($E564="","",INDEX('Input Transaksi'!$E:$E,$E564))</f>
        <v/>
      </c>
      <c r="D564" s="5">
        <f>IF($E564="","",INDEX('Input Transaksi'!$F:$F,$E564))</f>
        <v/>
      </c>
      <c r="E564">
        <f>IFERROR(AGGREGATE(15,6,ROW('Input Transaksi'!$B$5:$B$5000)/('Input Transaksi'!$B$5:$B$5000="GEDE LONDRI"),ROWS($E$5:E564)),"")</f>
        <v/>
      </c>
      <c r="F564" s="5" t="n"/>
    </row>
    <row r="565">
      <c r="A565" s="10">
        <f>IF($E565="","",INDEX('Input Transaksi'!$A:$A,$E565))</f>
        <v/>
      </c>
      <c r="B565" s="5">
        <f>IF($E565="","",INDEX('Input Transaksi'!$D:$D,$E565))</f>
        <v/>
      </c>
      <c r="C565">
        <f>IF($E565="","",INDEX('Input Transaksi'!$E:$E,$E565))</f>
        <v/>
      </c>
      <c r="D565" s="5">
        <f>IF($E565="","",INDEX('Input Transaksi'!$F:$F,$E565))</f>
        <v/>
      </c>
      <c r="E565">
        <f>IFERROR(AGGREGATE(15,6,ROW('Input Transaksi'!$B$5:$B$5000)/('Input Transaksi'!$B$5:$B$5000="GEDE LONDRI"),ROWS($E$5:E565)),"")</f>
        <v/>
      </c>
      <c r="F565" s="5" t="n"/>
    </row>
    <row r="566">
      <c r="A566" s="10">
        <f>IF($E566="","",INDEX('Input Transaksi'!$A:$A,$E566))</f>
        <v/>
      </c>
      <c r="B566" s="5">
        <f>IF($E566="","",INDEX('Input Transaksi'!$D:$D,$E566))</f>
        <v/>
      </c>
      <c r="C566">
        <f>IF($E566="","",INDEX('Input Transaksi'!$E:$E,$E566))</f>
        <v/>
      </c>
      <c r="D566" s="5">
        <f>IF($E566="","",INDEX('Input Transaksi'!$F:$F,$E566))</f>
        <v/>
      </c>
      <c r="E566">
        <f>IFERROR(AGGREGATE(15,6,ROW('Input Transaksi'!$B$5:$B$5000)/('Input Transaksi'!$B$5:$B$5000="GEDE LONDRI"),ROWS($E$5:E566)),"")</f>
        <v/>
      </c>
      <c r="F566" s="5" t="n"/>
    </row>
    <row r="567">
      <c r="A567" s="10">
        <f>IF($E567="","",INDEX('Input Transaksi'!$A:$A,$E567))</f>
        <v/>
      </c>
      <c r="B567" s="5">
        <f>IF($E567="","",INDEX('Input Transaksi'!$D:$D,$E567))</f>
        <v/>
      </c>
      <c r="C567">
        <f>IF($E567="","",INDEX('Input Transaksi'!$E:$E,$E567))</f>
        <v/>
      </c>
      <c r="D567" s="5">
        <f>IF($E567="","",INDEX('Input Transaksi'!$F:$F,$E567))</f>
        <v/>
      </c>
      <c r="E567">
        <f>IFERROR(AGGREGATE(15,6,ROW('Input Transaksi'!$B$5:$B$5000)/('Input Transaksi'!$B$5:$B$5000="GEDE LONDRI"),ROWS($E$5:E567)),"")</f>
        <v/>
      </c>
      <c r="F567" s="5" t="n"/>
    </row>
    <row r="568">
      <c r="A568" s="10">
        <f>IF($E568="","",INDEX('Input Transaksi'!$A:$A,$E568))</f>
        <v/>
      </c>
      <c r="B568" s="5">
        <f>IF($E568="","",INDEX('Input Transaksi'!$D:$D,$E568))</f>
        <v/>
      </c>
      <c r="C568">
        <f>IF($E568="","",INDEX('Input Transaksi'!$E:$E,$E568))</f>
        <v/>
      </c>
      <c r="D568" s="5">
        <f>IF($E568="","",INDEX('Input Transaksi'!$F:$F,$E568))</f>
        <v/>
      </c>
      <c r="E568">
        <f>IFERROR(AGGREGATE(15,6,ROW('Input Transaksi'!$B$5:$B$5000)/('Input Transaksi'!$B$5:$B$5000="GEDE LONDRI"),ROWS($E$5:E568)),"")</f>
        <v/>
      </c>
      <c r="F568" s="5" t="n"/>
    </row>
    <row r="569">
      <c r="A569" s="10">
        <f>IF($E569="","",INDEX('Input Transaksi'!$A:$A,$E569))</f>
        <v/>
      </c>
      <c r="B569" s="5">
        <f>IF($E569="","",INDEX('Input Transaksi'!$D:$D,$E569))</f>
        <v/>
      </c>
      <c r="C569">
        <f>IF($E569="","",INDEX('Input Transaksi'!$E:$E,$E569))</f>
        <v/>
      </c>
      <c r="D569" s="5">
        <f>IF($E569="","",INDEX('Input Transaksi'!$F:$F,$E569))</f>
        <v/>
      </c>
      <c r="E569">
        <f>IFERROR(AGGREGATE(15,6,ROW('Input Transaksi'!$B$5:$B$5000)/('Input Transaksi'!$B$5:$B$5000="GEDE LONDRI"),ROWS($E$5:E569)),"")</f>
        <v/>
      </c>
      <c r="F569" s="5" t="n"/>
    </row>
    <row r="570">
      <c r="A570" s="10">
        <f>IF($E570="","",INDEX('Input Transaksi'!$A:$A,$E570))</f>
        <v/>
      </c>
      <c r="B570" s="5">
        <f>IF($E570="","",INDEX('Input Transaksi'!$D:$D,$E570))</f>
        <v/>
      </c>
      <c r="C570">
        <f>IF($E570="","",INDEX('Input Transaksi'!$E:$E,$E570))</f>
        <v/>
      </c>
      <c r="D570" s="5">
        <f>IF($E570="","",INDEX('Input Transaksi'!$F:$F,$E570))</f>
        <v/>
      </c>
      <c r="E570">
        <f>IFERROR(AGGREGATE(15,6,ROW('Input Transaksi'!$B$5:$B$5000)/('Input Transaksi'!$B$5:$B$5000="GEDE LONDRI"),ROWS($E$5:E570)),"")</f>
        <v/>
      </c>
      <c r="F570" s="5" t="n"/>
    </row>
    <row r="571">
      <c r="A571" s="10">
        <f>IF($E571="","",INDEX('Input Transaksi'!$A:$A,$E571))</f>
        <v/>
      </c>
      <c r="B571" s="5">
        <f>IF($E571="","",INDEX('Input Transaksi'!$D:$D,$E571))</f>
        <v/>
      </c>
      <c r="C571">
        <f>IF($E571="","",INDEX('Input Transaksi'!$E:$E,$E571))</f>
        <v/>
      </c>
      <c r="D571" s="5">
        <f>IF($E571="","",INDEX('Input Transaksi'!$F:$F,$E571))</f>
        <v/>
      </c>
      <c r="E571">
        <f>IFERROR(AGGREGATE(15,6,ROW('Input Transaksi'!$B$5:$B$5000)/('Input Transaksi'!$B$5:$B$5000="GEDE LONDRI"),ROWS($E$5:E571)),"")</f>
        <v/>
      </c>
      <c r="F571" s="5" t="n"/>
    </row>
    <row r="572">
      <c r="A572" s="10">
        <f>IF($E572="","",INDEX('Input Transaksi'!$A:$A,$E572))</f>
        <v/>
      </c>
      <c r="B572" s="5">
        <f>IF($E572="","",INDEX('Input Transaksi'!$D:$D,$E572))</f>
        <v/>
      </c>
      <c r="C572">
        <f>IF($E572="","",INDEX('Input Transaksi'!$E:$E,$E572))</f>
        <v/>
      </c>
      <c r="D572" s="5">
        <f>IF($E572="","",INDEX('Input Transaksi'!$F:$F,$E572))</f>
        <v/>
      </c>
      <c r="E572">
        <f>IFERROR(AGGREGATE(15,6,ROW('Input Transaksi'!$B$5:$B$5000)/('Input Transaksi'!$B$5:$B$5000="GEDE LONDRI"),ROWS($E$5:E572)),"")</f>
        <v/>
      </c>
      <c r="F572" s="5" t="n"/>
    </row>
    <row r="573">
      <c r="A573" s="10">
        <f>IF($E573="","",INDEX('Input Transaksi'!$A:$A,$E573))</f>
        <v/>
      </c>
      <c r="B573" s="5">
        <f>IF($E573="","",INDEX('Input Transaksi'!$D:$D,$E573))</f>
        <v/>
      </c>
      <c r="C573">
        <f>IF($E573="","",INDEX('Input Transaksi'!$E:$E,$E573))</f>
        <v/>
      </c>
      <c r="D573" s="5">
        <f>IF($E573="","",INDEX('Input Transaksi'!$F:$F,$E573))</f>
        <v/>
      </c>
      <c r="E573">
        <f>IFERROR(AGGREGATE(15,6,ROW('Input Transaksi'!$B$5:$B$5000)/('Input Transaksi'!$B$5:$B$5000="GEDE LONDRI"),ROWS($E$5:E573)),"")</f>
        <v/>
      </c>
      <c r="F573" s="5" t="n"/>
    </row>
    <row r="574">
      <c r="A574" s="10">
        <f>IF($E574="","",INDEX('Input Transaksi'!$A:$A,$E574))</f>
        <v/>
      </c>
      <c r="B574" s="5">
        <f>IF($E574="","",INDEX('Input Transaksi'!$D:$D,$E574))</f>
        <v/>
      </c>
      <c r="C574">
        <f>IF($E574="","",INDEX('Input Transaksi'!$E:$E,$E574))</f>
        <v/>
      </c>
      <c r="D574" s="5">
        <f>IF($E574="","",INDEX('Input Transaksi'!$F:$F,$E574))</f>
        <v/>
      </c>
      <c r="E574">
        <f>IFERROR(AGGREGATE(15,6,ROW('Input Transaksi'!$B$5:$B$5000)/('Input Transaksi'!$B$5:$B$5000="GEDE LONDRI"),ROWS($E$5:E574)),"")</f>
        <v/>
      </c>
      <c r="F574" s="5" t="n"/>
    </row>
    <row r="575">
      <c r="A575" s="10">
        <f>IF($E575="","",INDEX('Input Transaksi'!$A:$A,$E575))</f>
        <v/>
      </c>
      <c r="B575" s="5">
        <f>IF($E575="","",INDEX('Input Transaksi'!$D:$D,$E575))</f>
        <v/>
      </c>
      <c r="C575">
        <f>IF($E575="","",INDEX('Input Transaksi'!$E:$E,$E575))</f>
        <v/>
      </c>
      <c r="D575" s="5">
        <f>IF($E575="","",INDEX('Input Transaksi'!$F:$F,$E575))</f>
        <v/>
      </c>
      <c r="E575">
        <f>IFERROR(AGGREGATE(15,6,ROW('Input Transaksi'!$B$5:$B$5000)/('Input Transaksi'!$B$5:$B$5000="GEDE LONDRI"),ROWS($E$5:E575)),"")</f>
        <v/>
      </c>
      <c r="F575" s="5" t="n"/>
    </row>
    <row r="576">
      <c r="A576" s="10">
        <f>IF($E576="","",INDEX('Input Transaksi'!$A:$A,$E576))</f>
        <v/>
      </c>
      <c r="B576" s="5">
        <f>IF($E576="","",INDEX('Input Transaksi'!$D:$D,$E576))</f>
        <v/>
      </c>
      <c r="C576">
        <f>IF($E576="","",INDEX('Input Transaksi'!$E:$E,$E576))</f>
        <v/>
      </c>
      <c r="D576" s="5">
        <f>IF($E576="","",INDEX('Input Transaksi'!$F:$F,$E576))</f>
        <v/>
      </c>
      <c r="E576">
        <f>IFERROR(AGGREGATE(15,6,ROW('Input Transaksi'!$B$5:$B$5000)/('Input Transaksi'!$B$5:$B$5000="GEDE LONDRI"),ROWS($E$5:E576)),"")</f>
        <v/>
      </c>
      <c r="F576" s="5" t="n"/>
    </row>
    <row r="577">
      <c r="A577" s="10">
        <f>IF($E577="","",INDEX('Input Transaksi'!$A:$A,$E577))</f>
        <v/>
      </c>
      <c r="B577" s="5">
        <f>IF($E577="","",INDEX('Input Transaksi'!$D:$D,$E577))</f>
        <v/>
      </c>
      <c r="C577">
        <f>IF($E577="","",INDEX('Input Transaksi'!$E:$E,$E577))</f>
        <v/>
      </c>
      <c r="D577" s="5">
        <f>IF($E577="","",INDEX('Input Transaksi'!$F:$F,$E577))</f>
        <v/>
      </c>
      <c r="E577">
        <f>IFERROR(AGGREGATE(15,6,ROW('Input Transaksi'!$B$5:$B$5000)/('Input Transaksi'!$B$5:$B$5000="GEDE LONDRI"),ROWS($E$5:E577)),"")</f>
        <v/>
      </c>
      <c r="F577" s="5" t="n"/>
    </row>
    <row r="578">
      <c r="A578" s="10">
        <f>IF($E578="","",INDEX('Input Transaksi'!$A:$A,$E578))</f>
        <v/>
      </c>
      <c r="B578" s="5">
        <f>IF($E578="","",INDEX('Input Transaksi'!$D:$D,$E578))</f>
        <v/>
      </c>
      <c r="C578">
        <f>IF($E578="","",INDEX('Input Transaksi'!$E:$E,$E578))</f>
        <v/>
      </c>
      <c r="D578" s="5">
        <f>IF($E578="","",INDEX('Input Transaksi'!$F:$F,$E578))</f>
        <v/>
      </c>
      <c r="E578">
        <f>IFERROR(AGGREGATE(15,6,ROW('Input Transaksi'!$B$5:$B$5000)/('Input Transaksi'!$B$5:$B$5000="GEDE LONDRI"),ROWS($E$5:E578)),"")</f>
        <v/>
      </c>
      <c r="F578" s="5" t="n"/>
    </row>
    <row r="579">
      <c r="A579" s="10">
        <f>IF($E579="","",INDEX('Input Transaksi'!$A:$A,$E579))</f>
        <v/>
      </c>
      <c r="B579" s="5">
        <f>IF($E579="","",INDEX('Input Transaksi'!$D:$D,$E579))</f>
        <v/>
      </c>
      <c r="C579">
        <f>IF($E579="","",INDEX('Input Transaksi'!$E:$E,$E579))</f>
        <v/>
      </c>
      <c r="D579" s="5">
        <f>IF($E579="","",INDEX('Input Transaksi'!$F:$F,$E579))</f>
        <v/>
      </c>
      <c r="E579">
        <f>IFERROR(AGGREGATE(15,6,ROW('Input Transaksi'!$B$5:$B$5000)/('Input Transaksi'!$B$5:$B$5000="GEDE LONDRI"),ROWS($E$5:E579)),"")</f>
        <v/>
      </c>
      <c r="F579" s="5" t="n"/>
    </row>
    <row r="580">
      <c r="A580" s="10">
        <f>IF($E580="","",INDEX('Input Transaksi'!$A:$A,$E580))</f>
        <v/>
      </c>
      <c r="B580" s="5">
        <f>IF($E580="","",INDEX('Input Transaksi'!$D:$D,$E580))</f>
        <v/>
      </c>
      <c r="C580">
        <f>IF($E580="","",INDEX('Input Transaksi'!$E:$E,$E580))</f>
        <v/>
      </c>
      <c r="D580" s="5">
        <f>IF($E580="","",INDEX('Input Transaksi'!$F:$F,$E580))</f>
        <v/>
      </c>
      <c r="E580">
        <f>IFERROR(AGGREGATE(15,6,ROW('Input Transaksi'!$B$5:$B$5000)/('Input Transaksi'!$B$5:$B$5000="GEDE LONDRI"),ROWS($E$5:E580)),"")</f>
        <v/>
      </c>
      <c r="F580" s="5" t="n"/>
    </row>
    <row r="581">
      <c r="A581" s="10">
        <f>IF($E581="","",INDEX('Input Transaksi'!$A:$A,$E581))</f>
        <v/>
      </c>
      <c r="B581" s="5">
        <f>IF($E581="","",INDEX('Input Transaksi'!$D:$D,$E581))</f>
        <v/>
      </c>
      <c r="C581">
        <f>IF($E581="","",INDEX('Input Transaksi'!$E:$E,$E581))</f>
        <v/>
      </c>
      <c r="D581" s="5">
        <f>IF($E581="","",INDEX('Input Transaksi'!$F:$F,$E581))</f>
        <v/>
      </c>
      <c r="E581">
        <f>IFERROR(AGGREGATE(15,6,ROW('Input Transaksi'!$B$5:$B$5000)/('Input Transaksi'!$B$5:$B$5000="GEDE LONDRI"),ROWS($E$5:E581)),"")</f>
        <v/>
      </c>
      <c r="F581" s="5" t="n"/>
    </row>
    <row r="582">
      <c r="A582" s="10">
        <f>IF($E582="","",INDEX('Input Transaksi'!$A:$A,$E582))</f>
        <v/>
      </c>
      <c r="B582" s="5">
        <f>IF($E582="","",INDEX('Input Transaksi'!$D:$D,$E582))</f>
        <v/>
      </c>
      <c r="C582">
        <f>IF($E582="","",INDEX('Input Transaksi'!$E:$E,$E582))</f>
        <v/>
      </c>
      <c r="D582" s="5">
        <f>IF($E582="","",INDEX('Input Transaksi'!$F:$F,$E582))</f>
        <v/>
      </c>
      <c r="E582">
        <f>IFERROR(AGGREGATE(15,6,ROW('Input Transaksi'!$B$5:$B$5000)/('Input Transaksi'!$B$5:$B$5000="GEDE LONDRI"),ROWS($E$5:E582)),"")</f>
        <v/>
      </c>
      <c r="F582" s="5" t="n"/>
    </row>
    <row r="583">
      <c r="A583" s="10">
        <f>IF($E583="","",INDEX('Input Transaksi'!$A:$A,$E583))</f>
        <v/>
      </c>
      <c r="B583" s="5">
        <f>IF($E583="","",INDEX('Input Transaksi'!$D:$D,$E583))</f>
        <v/>
      </c>
      <c r="C583">
        <f>IF($E583="","",INDEX('Input Transaksi'!$E:$E,$E583))</f>
        <v/>
      </c>
      <c r="D583" s="5">
        <f>IF($E583="","",INDEX('Input Transaksi'!$F:$F,$E583))</f>
        <v/>
      </c>
      <c r="E583">
        <f>IFERROR(AGGREGATE(15,6,ROW('Input Transaksi'!$B$5:$B$5000)/('Input Transaksi'!$B$5:$B$5000="GEDE LONDRI"),ROWS($E$5:E583)),"")</f>
        <v/>
      </c>
      <c r="F583" s="5" t="n"/>
    </row>
    <row r="584">
      <c r="A584" s="10">
        <f>IF($E584="","",INDEX('Input Transaksi'!$A:$A,$E584))</f>
        <v/>
      </c>
      <c r="B584" s="5">
        <f>IF($E584="","",INDEX('Input Transaksi'!$D:$D,$E584))</f>
        <v/>
      </c>
      <c r="C584">
        <f>IF($E584="","",INDEX('Input Transaksi'!$E:$E,$E584))</f>
        <v/>
      </c>
      <c r="D584" s="5">
        <f>IF($E584="","",INDEX('Input Transaksi'!$F:$F,$E584))</f>
        <v/>
      </c>
      <c r="E584">
        <f>IFERROR(AGGREGATE(15,6,ROW('Input Transaksi'!$B$5:$B$5000)/('Input Transaksi'!$B$5:$B$5000="GEDE LONDRI"),ROWS($E$5:E584)),"")</f>
        <v/>
      </c>
      <c r="F584" s="5" t="n"/>
    </row>
    <row r="585">
      <c r="A585" s="10">
        <f>IF($E585="","",INDEX('Input Transaksi'!$A:$A,$E585))</f>
        <v/>
      </c>
      <c r="B585" s="5">
        <f>IF($E585="","",INDEX('Input Transaksi'!$D:$D,$E585))</f>
        <v/>
      </c>
      <c r="C585">
        <f>IF($E585="","",INDEX('Input Transaksi'!$E:$E,$E585))</f>
        <v/>
      </c>
      <c r="D585" s="5">
        <f>IF($E585="","",INDEX('Input Transaksi'!$F:$F,$E585))</f>
        <v/>
      </c>
      <c r="E585">
        <f>IFERROR(AGGREGATE(15,6,ROW('Input Transaksi'!$B$5:$B$5000)/('Input Transaksi'!$B$5:$B$5000="GEDE LONDRI"),ROWS($E$5:E585)),"")</f>
        <v/>
      </c>
      <c r="F585" s="5" t="n"/>
    </row>
    <row r="586">
      <c r="A586" s="10">
        <f>IF($E586="","",INDEX('Input Transaksi'!$A:$A,$E586))</f>
        <v/>
      </c>
      <c r="B586" s="5">
        <f>IF($E586="","",INDEX('Input Transaksi'!$D:$D,$E586))</f>
        <v/>
      </c>
      <c r="C586">
        <f>IF($E586="","",INDEX('Input Transaksi'!$E:$E,$E586))</f>
        <v/>
      </c>
      <c r="D586" s="5">
        <f>IF($E586="","",INDEX('Input Transaksi'!$F:$F,$E586))</f>
        <v/>
      </c>
      <c r="E586">
        <f>IFERROR(AGGREGATE(15,6,ROW('Input Transaksi'!$B$5:$B$5000)/('Input Transaksi'!$B$5:$B$5000="GEDE LONDRI"),ROWS($E$5:E586)),"")</f>
        <v/>
      </c>
      <c r="F586" s="5" t="n"/>
    </row>
    <row r="587">
      <c r="A587" s="10">
        <f>IF($E587="","",INDEX('Input Transaksi'!$A:$A,$E587))</f>
        <v/>
      </c>
      <c r="B587" s="5">
        <f>IF($E587="","",INDEX('Input Transaksi'!$D:$D,$E587))</f>
        <v/>
      </c>
      <c r="C587">
        <f>IF($E587="","",INDEX('Input Transaksi'!$E:$E,$E587))</f>
        <v/>
      </c>
      <c r="D587" s="5">
        <f>IF($E587="","",INDEX('Input Transaksi'!$F:$F,$E587))</f>
        <v/>
      </c>
      <c r="E587">
        <f>IFERROR(AGGREGATE(15,6,ROW('Input Transaksi'!$B$5:$B$5000)/('Input Transaksi'!$B$5:$B$5000="GEDE LONDRI"),ROWS($E$5:E587)),"")</f>
        <v/>
      </c>
      <c r="F587" s="5" t="n"/>
    </row>
    <row r="588">
      <c r="A588" s="10">
        <f>IF($E588="","",INDEX('Input Transaksi'!$A:$A,$E588))</f>
        <v/>
      </c>
      <c r="B588" s="5">
        <f>IF($E588="","",INDEX('Input Transaksi'!$D:$D,$E588))</f>
        <v/>
      </c>
      <c r="C588">
        <f>IF($E588="","",INDEX('Input Transaksi'!$E:$E,$E588))</f>
        <v/>
      </c>
      <c r="D588" s="5">
        <f>IF($E588="","",INDEX('Input Transaksi'!$F:$F,$E588))</f>
        <v/>
      </c>
      <c r="E588">
        <f>IFERROR(AGGREGATE(15,6,ROW('Input Transaksi'!$B$5:$B$5000)/('Input Transaksi'!$B$5:$B$5000="GEDE LONDRI"),ROWS($E$5:E588)),"")</f>
        <v/>
      </c>
      <c r="F588" s="5" t="n"/>
    </row>
    <row r="589">
      <c r="A589" s="10">
        <f>IF($E589="","",INDEX('Input Transaksi'!$A:$A,$E589))</f>
        <v/>
      </c>
      <c r="B589" s="5">
        <f>IF($E589="","",INDEX('Input Transaksi'!$D:$D,$E589))</f>
        <v/>
      </c>
      <c r="C589">
        <f>IF($E589="","",INDEX('Input Transaksi'!$E:$E,$E589))</f>
        <v/>
      </c>
      <c r="D589" s="5">
        <f>IF($E589="","",INDEX('Input Transaksi'!$F:$F,$E589))</f>
        <v/>
      </c>
      <c r="E589">
        <f>IFERROR(AGGREGATE(15,6,ROW('Input Transaksi'!$B$5:$B$5000)/('Input Transaksi'!$B$5:$B$5000="GEDE LONDRI"),ROWS($E$5:E589)),"")</f>
        <v/>
      </c>
      <c r="F589" s="5" t="n"/>
    </row>
    <row r="590">
      <c r="A590" s="10">
        <f>IF($E590="","",INDEX('Input Transaksi'!$A:$A,$E590))</f>
        <v/>
      </c>
      <c r="B590" s="5">
        <f>IF($E590="","",INDEX('Input Transaksi'!$D:$D,$E590))</f>
        <v/>
      </c>
      <c r="C590">
        <f>IF($E590="","",INDEX('Input Transaksi'!$E:$E,$E590))</f>
        <v/>
      </c>
      <c r="D590" s="5">
        <f>IF($E590="","",INDEX('Input Transaksi'!$F:$F,$E590))</f>
        <v/>
      </c>
      <c r="E590">
        <f>IFERROR(AGGREGATE(15,6,ROW('Input Transaksi'!$B$5:$B$5000)/('Input Transaksi'!$B$5:$B$5000="GEDE LONDRI"),ROWS($E$5:E590)),"")</f>
        <v/>
      </c>
      <c r="F590" s="5" t="n"/>
    </row>
    <row r="591">
      <c r="A591" s="10">
        <f>IF($E591="","",INDEX('Input Transaksi'!$A:$A,$E591))</f>
        <v/>
      </c>
      <c r="B591" s="5">
        <f>IF($E591="","",INDEX('Input Transaksi'!$D:$D,$E591))</f>
        <v/>
      </c>
      <c r="C591">
        <f>IF($E591="","",INDEX('Input Transaksi'!$E:$E,$E591))</f>
        <v/>
      </c>
      <c r="D591" s="5">
        <f>IF($E591="","",INDEX('Input Transaksi'!$F:$F,$E591))</f>
        <v/>
      </c>
      <c r="E591">
        <f>IFERROR(AGGREGATE(15,6,ROW('Input Transaksi'!$B$5:$B$5000)/('Input Transaksi'!$B$5:$B$5000="GEDE LONDRI"),ROWS($E$5:E591)),"")</f>
        <v/>
      </c>
      <c r="F591" s="5" t="n"/>
    </row>
    <row r="592">
      <c r="A592" s="10">
        <f>IF($E592="","",INDEX('Input Transaksi'!$A:$A,$E592))</f>
        <v/>
      </c>
      <c r="B592" s="5">
        <f>IF($E592="","",INDEX('Input Transaksi'!$D:$D,$E592))</f>
        <v/>
      </c>
      <c r="C592">
        <f>IF($E592="","",INDEX('Input Transaksi'!$E:$E,$E592))</f>
        <v/>
      </c>
      <c r="D592" s="5">
        <f>IF($E592="","",INDEX('Input Transaksi'!$F:$F,$E592))</f>
        <v/>
      </c>
      <c r="E592">
        <f>IFERROR(AGGREGATE(15,6,ROW('Input Transaksi'!$B$5:$B$5000)/('Input Transaksi'!$B$5:$B$5000="GEDE LONDRI"),ROWS($E$5:E592)),"")</f>
        <v/>
      </c>
      <c r="F592" s="5" t="n"/>
    </row>
    <row r="593">
      <c r="A593" s="10">
        <f>IF($E593="","",INDEX('Input Transaksi'!$A:$A,$E593))</f>
        <v/>
      </c>
      <c r="B593" s="5">
        <f>IF($E593="","",INDEX('Input Transaksi'!$D:$D,$E593))</f>
        <v/>
      </c>
      <c r="C593">
        <f>IF($E593="","",INDEX('Input Transaksi'!$E:$E,$E593))</f>
        <v/>
      </c>
      <c r="D593" s="5">
        <f>IF($E593="","",INDEX('Input Transaksi'!$F:$F,$E593))</f>
        <v/>
      </c>
      <c r="E593">
        <f>IFERROR(AGGREGATE(15,6,ROW('Input Transaksi'!$B$5:$B$5000)/('Input Transaksi'!$B$5:$B$5000="GEDE LONDRI"),ROWS($E$5:E593)),"")</f>
        <v/>
      </c>
      <c r="F593" s="5" t="n"/>
    </row>
    <row r="594">
      <c r="A594" s="10">
        <f>IF($E594="","",INDEX('Input Transaksi'!$A:$A,$E594))</f>
        <v/>
      </c>
      <c r="B594" s="5">
        <f>IF($E594="","",INDEX('Input Transaksi'!$D:$D,$E594))</f>
        <v/>
      </c>
      <c r="C594">
        <f>IF($E594="","",INDEX('Input Transaksi'!$E:$E,$E594))</f>
        <v/>
      </c>
      <c r="D594" s="5">
        <f>IF($E594="","",INDEX('Input Transaksi'!$F:$F,$E594))</f>
        <v/>
      </c>
      <c r="E594">
        <f>IFERROR(AGGREGATE(15,6,ROW('Input Transaksi'!$B$5:$B$5000)/('Input Transaksi'!$B$5:$B$5000="GEDE LONDRI"),ROWS($E$5:E594)),"")</f>
        <v/>
      </c>
      <c r="F594" s="5" t="n"/>
    </row>
    <row r="595">
      <c r="A595" s="10">
        <f>IF($E595="","",INDEX('Input Transaksi'!$A:$A,$E595))</f>
        <v/>
      </c>
      <c r="B595" s="5">
        <f>IF($E595="","",INDEX('Input Transaksi'!$D:$D,$E595))</f>
        <v/>
      </c>
      <c r="C595">
        <f>IF($E595="","",INDEX('Input Transaksi'!$E:$E,$E595))</f>
        <v/>
      </c>
      <c r="D595" s="5">
        <f>IF($E595="","",INDEX('Input Transaksi'!$F:$F,$E595))</f>
        <v/>
      </c>
      <c r="E595">
        <f>IFERROR(AGGREGATE(15,6,ROW('Input Transaksi'!$B$5:$B$5000)/('Input Transaksi'!$B$5:$B$5000="GEDE LONDRI"),ROWS($E$5:E595)),"")</f>
        <v/>
      </c>
      <c r="F595" s="5" t="n"/>
    </row>
    <row r="596">
      <c r="A596" s="10">
        <f>IF($E596="","",INDEX('Input Transaksi'!$A:$A,$E596))</f>
        <v/>
      </c>
      <c r="B596" s="5">
        <f>IF($E596="","",INDEX('Input Transaksi'!$D:$D,$E596))</f>
        <v/>
      </c>
      <c r="C596">
        <f>IF($E596="","",INDEX('Input Transaksi'!$E:$E,$E596))</f>
        <v/>
      </c>
      <c r="D596" s="5">
        <f>IF($E596="","",INDEX('Input Transaksi'!$F:$F,$E596))</f>
        <v/>
      </c>
      <c r="E596">
        <f>IFERROR(AGGREGATE(15,6,ROW('Input Transaksi'!$B$5:$B$5000)/('Input Transaksi'!$B$5:$B$5000="GEDE LONDRI"),ROWS($E$5:E596)),"")</f>
        <v/>
      </c>
      <c r="F596" s="5" t="n"/>
    </row>
    <row r="597">
      <c r="A597" s="10">
        <f>IF($E597="","",INDEX('Input Transaksi'!$A:$A,$E597))</f>
        <v/>
      </c>
      <c r="B597" s="5">
        <f>IF($E597="","",INDEX('Input Transaksi'!$D:$D,$E597))</f>
        <v/>
      </c>
      <c r="C597">
        <f>IF($E597="","",INDEX('Input Transaksi'!$E:$E,$E597))</f>
        <v/>
      </c>
      <c r="D597" s="5">
        <f>IF($E597="","",INDEX('Input Transaksi'!$F:$F,$E597))</f>
        <v/>
      </c>
      <c r="E597">
        <f>IFERROR(AGGREGATE(15,6,ROW('Input Transaksi'!$B$5:$B$5000)/('Input Transaksi'!$B$5:$B$5000="GEDE LONDRI"),ROWS($E$5:E597)),"")</f>
        <v/>
      </c>
      <c r="F597" s="5" t="n"/>
    </row>
    <row r="598">
      <c r="A598" s="10">
        <f>IF($E598="","",INDEX('Input Transaksi'!$A:$A,$E598))</f>
        <v/>
      </c>
      <c r="B598" s="5">
        <f>IF($E598="","",INDEX('Input Transaksi'!$D:$D,$E598))</f>
        <v/>
      </c>
      <c r="C598">
        <f>IF($E598="","",INDEX('Input Transaksi'!$E:$E,$E598))</f>
        <v/>
      </c>
      <c r="D598" s="5">
        <f>IF($E598="","",INDEX('Input Transaksi'!$F:$F,$E598))</f>
        <v/>
      </c>
      <c r="E598">
        <f>IFERROR(AGGREGATE(15,6,ROW('Input Transaksi'!$B$5:$B$5000)/('Input Transaksi'!$B$5:$B$5000="GEDE LONDRI"),ROWS($E$5:E598)),"")</f>
        <v/>
      </c>
      <c r="F598" s="5" t="n"/>
    </row>
    <row r="599">
      <c r="A599" s="10">
        <f>IF($E599="","",INDEX('Input Transaksi'!$A:$A,$E599))</f>
        <v/>
      </c>
      <c r="B599" s="5">
        <f>IF($E599="","",INDEX('Input Transaksi'!$D:$D,$E599))</f>
        <v/>
      </c>
      <c r="C599">
        <f>IF($E599="","",INDEX('Input Transaksi'!$E:$E,$E599))</f>
        <v/>
      </c>
      <c r="D599" s="5">
        <f>IF($E599="","",INDEX('Input Transaksi'!$F:$F,$E599))</f>
        <v/>
      </c>
      <c r="E599">
        <f>IFERROR(AGGREGATE(15,6,ROW('Input Transaksi'!$B$5:$B$5000)/('Input Transaksi'!$B$5:$B$5000="GEDE LONDRI"),ROWS($E$5:E599)),"")</f>
        <v/>
      </c>
      <c r="F599" s="5" t="n"/>
    </row>
    <row r="600">
      <c r="A600" s="10">
        <f>IF($E600="","",INDEX('Input Transaksi'!$A:$A,$E600))</f>
        <v/>
      </c>
      <c r="B600" s="5">
        <f>IF($E600="","",INDEX('Input Transaksi'!$D:$D,$E600))</f>
        <v/>
      </c>
      <c r="C600">
        <f>IF($E600="","",INDEX('Input Transaksi'!$E:$E,$E600))</f>
        <v/>
      </c>
      <c r="D600" s="5">
        <f>IF($E600="","",INDEX('Input Transaksi'!$F:$F,$E600))</f>
        <v/>
      </c>
      <c r="E600">
        <f>IFERROR(AGGREGATE(15,6,ROW('Input Transaksi'!$B$5:$B$5000)/('Input Transaksi'!$B$5:$B$5000="GEDE LONDRI"),ROWS($E$5:E600)),"")</f>
        <v/>
      </c>
      <c r="F600" s="5" t="n"/>
    </row>
    <row r="601">
      <c r="A601" s="10">
        <f>IF($E601="","",INDEX('Input Transaksi'!$A:$A,$E601))</f>
        <v/>
      </c>
      <c r="B601" s="5">
        <f>IF($E601="","",INDEX('Input Transaksi'!$D:$D,$E601))</f>
        <v/>
      </c>
      <c r="C601">
        <f>IF($E601="","",INDEX('Input Transaksi'!$E:$E,$E601))</f>
        <v/>
      </c>
      <c r="D601" s="5">
        <f>IF($E601="","",INDEX('Input Transaksi'!$F:$F,$E601))</f>
        <v/>
      </c>
      <c r="E601">
        <f>IFERROR(AGGREGATE(15,6,ROW('Input Transaksi'!$B$5:$B$5000)/('Input Transaksi'!$B$5:$B$5000="GEDE LONDRI"),ROWS($E$5:E601)),"")</f>
        <v/>
      </c>
      <c r="F601" s="5" t="n"/>
    </row>
    <row r="602">
      <c r="A602" s="10">
        <f>IF($E602="","",INDEX('Input Transaksi'!$A:$A,$E602))</f>
        <v/>
      </c>
      <c r="B602" s="5">
        <f>IF($E602="","",INDEX('Input Transaksi'!$D:$D,$E602))</f>
        <v/>
      </c>
      <c r="C602">
        <f>IF($E602="","",INDEX('Input Transaksi'!$E:$E,$E602))</f>
        <v/>
      </c>
      <c r="D602" s="5">
        <f>IF($E602="","",INDEX('Input Transaksi'!$F:$F,$E602))</f>
        <v/>
      </c>
      <c r="E602">
        <f>IFERROR(AGGREGATE(15,6,ROW('Input Transaksi'!$B$5:$B$5000)/('Input Transaksi'!$B$5:$B$5000="GEDE LONDRI"),ROWS($E$5:E602)),"")</f>
        <v/>
      </c>
      <c r="F602" s="5" t="n"/>
    </row>
    <row r="603">
      <c r="A603" s="10">
        <f>IF($E603="","",INDEX('Input Transaksi'!$A:$A,$E603))</f>
        <v/>
      </c>
      <c r="B603" s="5">
        <f>IF($E603="","",INDEX('Input Transaksi'!$D:$D,$E603))</f>
        <v/>
      </c>
      <c r="C603">
        <f>IF($E603="","",INDEX('Input Transaksi'!$E:$E,$E603))</f>
        <v/>
      </c>
      <c r="D603" s="5">
        <f>IF($E603="","",INDEX('Input Transaksi'!$F:$F,$E603))</f>
        <v/>
      </c>
      <c r="E603">
        <f>IFERROR(AGGREGATE(15,6,ROW('Input Transaksi'!$B$5:$B$5000)/('Input Transaksi'!$B$5:$B$5000="GEDE LONDRI"),ROWS($E$5:E603)),"")</f>
        <v/>
      </c>
      <c r="F603" s="5" t="n"/>
    </row>
    <row r="604">
      <c r="A604" s="10">
        <f>IF($E604="","",INDEX('Input Transaksi'!$A:$A,$E604))</f>
        <v/>
      </c>
      <c r="B604" s="5">
        <f>IF($E604="","",INDEX('Input Transaksi'!$D:$D,$E604))</f>
        <v/>
      </c>
      <c r="C604">
        <f>IF($E604="","",INDEX('Input Transaksi'!$E:$E,$E604))</f>
        <v/>
      </c>
      <c r="D604" s="5">
        <f>IF($E604="","",INDEX('Input Transaksi'!$F:$F,$E604))</f>
        <v/>
      </c>
      <c r="E604">
        <f>IFERROR(AGGREGATE(15,6,ROW('Input Transaksi'!$B$5:$B$5000)/('Input Transaksi'!$B$5:$B$5000="GEDE LONDRI"),ROWS($E$5:E604)),"")</f>
        <v/>
      </c>
      <c r="F604" s="5" t="n"/>
    </row>
    <row r="605">
      <c r="A605" s="10">
        <f>IF($E605="","",INDEX('Input Transaksi'!$A:$A,$E605))</f>
        <v/>
      </c>
      <c r="B605" s="5">
        <f>IF($E605="","",INDEX('Input Transaksi'!$D:$D,$E605))</f>
        <v/>
      </c>
      <c r="C605">
        <f>IF($E605="","",INDEX('Input Transaksi'!$E:$E,$E605))</f>
        <v/>
      </c>
      <c r="D605" s="5">
        <f>IF($E605="","",INDEX('Input Transaksi'!$F:$F,$E605))</f>
        <v/>
      </c>
      <c r="E605">
        <f>IFERROR(AGGREGATE(15,6,ROW('Input Transaksi'!$B$5:$B$5000)/('Input Transaksi'!$B$5:$B$5000="GEDE LONDRI"),ROWS($E$5:E605)),"")</f>
        <v/>
      </c>
      <c r="F605" s="5" t="n"/>
    </row>
    <row r="606">
      <c r="A606" s="10">
        <f>IF($E606="","",INDEX('Input Transaksi'!$A:$A,$E606))</f>
        <v/>
      </c>
      <c r="B606" s="5">
        <f>IF($E606="","",INDEX('Input Transaksi'!$D:$D,$E606))</f>
        <v/>
      </c>
      <c r="C606">
        <f>IF($E606="","",INDEX('Input Transaksi'!$E:$E,$E606))</f>
        <v/>
      </c>
      <c r="D606" s="5">
        <f>IF($E606="","",INDEX('Input Transaksi'!$F:$F,$E606))</f>
        <v/>
      </c>
      <c r="E606">
        <f>IFERROR(AGGREGATE(15,6,ROW('Input Transaksi'!$B$5:$B$5000)/('Input Transaksi'!$B$5:$B$5000="GEDE LONDRI"),ROWS($E$5:E606)),"")</f>
        <v/>
      </c>
      <c r="F606" s="5" t="n"/>
    </row>
    <row r="607">
      <c r="A607" s="10">
        <f>IF($E607="","",INDEX('Input Transaksi'!$A:$A,$E607))</f>
        <v/>
      </c>
      <c r="B607" s="5">
        <f>IF($E607="","",INDEX('Input Transaksi'!$D:$D,$E607))</f>
        <v/>
      </c>
      <c r="C607">
        <f>IF($E607="","",INDEX('Input Transaksi'!$E:$E,$E607))</f>
        <v/>
      </c>
      <c r="D607" s="5">
        <f>IF($E607="","",INDEX('Input Transaksi'!$F:$F,$E607))</f>
        <v/>
      </c>
      <c r="E607">
        <f>IFERROR(AGGREGATE(15,6,ROW('Input Transaksi'!$B$5:$B$5000)/('Input Transaksi'!$B$5:$B$5000="GEDE LONDRI"),ROWS($E$5:E607)),"")</f>
        <v/>
      </c>
      <c r="F607" s="5" t="n"/>
    </row>
    <row r="608">
      <c r="A608" s="10">
        <f>IF($E608="","",INDEX('Input Transaksi'!$A:$A,$E608))</f>
        <v/>
      </c>
      <c r="B608" s="5">
        <f>IF($E608="","",INDEX('Input Transaksi'!$D:$D,$E608))</f>
        <v/>
      </c>
      <c r="C608">
        <f>IF($E608="","",INDEX('Input Transaksi'!$E:$E,$E608))</f>
        <v/>
      </c>
      <c r="D608" s="5">
        <f>IF($E608="","",INDEX('Input Transaksi'!$F:$F,$E608))</f>
        <v/>
      </c>
      <c r="E608">
        <f>IFERROR(AGGREGATE(15,6,ROW('Input Transaksi'!$B$5:$B$5000)/('Input Transaksi'!$B$5:$B$5000="GEDE LONDRI"),ROWS($E$5:E608)),"")</f>
        <v/>
      </c>
      <c r="F608" s="5" t="n"/>
    </row>
    <row r="609">
      <c r="A609" s="10">
        <f>IF($E609="","",INDEX('Input Transaksi'!$A:$A,$E609))</f>
        <v/>
      </c>
      <c r="B609" s="5">
        <f>IF($E609="","",INDEX('Input Transaksi'!$D:$D,$E609))</f>
        <v/>
      </c>
      <c r="C609">
        <f>IF($E609="","",INDEX('Input Transaksi'!$E:$E,$E609))</f>
        <v/>
      </c>
      <c r="D609" s="5">
        <f>IF($E609="","",INDEX('Input Transaksi'!$F:$F,$E609))</f>
        <v/>
      </c>
      <c r="E609">
        <f>IFERROR(AGGREGATE(15,6,ROW('Input Transaksi'!$B$5:$B$5000)/('Input Transaksi'!$B$5:$B$5000="GEDE LONDRI"),ROWS($E$5:E609)),"")</f>
        <v/>
      </c>
      <c r="F609" s="5" t="n"/>
    </row>
    <row r="610">
      <c r="A610" s="10">
        <f>IF($E610="","",INDEX('Input Transaksi'!$A:$A,$E610))</f>
        <v/>
      </c>
      <c r="B610" s="5">
        <f>IF($E610="","",INDEX('Input Transaksi'!$D:$D,$E610))</f>
        <v/>
      </c>
      <c r="C610">
        <f>IF($E610="","",INDEX('Input Transaksi'!$E:$E,$E610))</f>
        <v/>
      </c>
      <c r="D610" s="5">
        <f>IF($E610="","",INDEX('Input Transaksi'!$F:$F,$E610))</f>
        <v/>
      </c>
      <c r="E610">
        <f>IFERROR(AGGREGATE(15,6,ROW('Input Transaksi'!$B$5:$B$5000)/('Input Transaksi'!$B$5:$B$5000="GEDE LONDRI"),ROWS($E$5:E610)),"")</f>
        <v/>
      </c>
      <c r="F610" s="5" t="n"/>
    </row>
    <row r="611">
      <c r="A611" s="10">
        <f>IF($E611="","",INDEX('Input Transaksi'!$A:$A,$E611))</f>
        <v/>
      </c>
      <c r="B611" s="5">
        <f>IF($E611="","",INDEX('Input Transaksi'!$D:$D,$E611))</f>
        <v/>
      </c>
      <c r="C611">
        <f>IF($E611="","",INDEX('Input Transaksi'!$E:$E,$E611))</f>
        <v/>
      </c>
      <c r="D611" s="5">
        <f>IF($E611="","",INDEX('Input Transaksi'!$F:$F,$E611))</f>
        <v/>
      </c>
      <c r="E611">
        <f>IFERROR(AGGREGATE(15,6,ROW('Input Transaksi'!$B$5:$B$5000)/('Input Transaksi'!$B$5:$B$5000="GEDE LONDRI"),ROWS($E$5:E611)),"")</f>
        <v/>
      </c>
      <c r="F611" s="5" t="n"/>
    </row>
    <row r="612">
      <c r="A612" s="10">
        <f>IF($E612="","",INDEX('Input Transaksi'!$A:$A,$E612))</f>
        <v/>
      </c>
      <c r="B612" s="5">
        <f>IF($E612="","",INDEX('Input Transaksi'!$D:$D,$E612))</f>
        <v/>
      </c>
      <c r="C612">
        <f>IF($E612="","",INDEX('Input Transaksi'!$E:$E,$E612))</f>
        <v/>
      </c>
      <c r="D612" s="5">
        <f>IF($E612="","",INDEX('Input Transaksi'!$F:$F,$E612))</f>
        <v/>
      </c>
      <c r="E612">
        <f>IFERROR(AGGREGATE(15,6,ROW('Input Transaksi'!$B$5:$B$5000)/('Input Transaksi'!$B$5:$B$5000="GEDE LONDRI"),ROWS($E$5:E612)),"")</f>
        <v/>
      </c>
      <c r="F612" s="5" t="n"/>
    </row>
    <row r="613">
      <c r="A613" s="10">
        <f>IF($E613="","",INDEX('Input Transaksi'!$A:$A,$E613))</f>
        <v/>
      </c>
      <c r="B613" s="5">
        <f>IF($E613="","",INDEX('Input Transaksi'!$D:$D,$E613))</f>
        <v/>
      </c>
      <c r="C613">
        <f>IF($E613="","",INDEX('Input Transaksi'!$E:$E,$E613))</f>
        <v/>
      </c>
      <c r="D613" s="5">
        <f>IF($E613="","",INDEX('Input Transaksi'!$F:$F,$E613))</f>
        <v/>
      </c>
      <c r="E613">
        <f>IFERROR(AGGREGATE(15,6,ROW('Input Transaksi'!$B$5:$B$5000)/('Input Transaksi'!$B$5:$B$5000="GEDE LONDRI"),ROWS($E$5:E613)),"")</f>
        <v/>
      </c>
      <c r="F613" s="5" t="n"/>
    </row>
    <row r="614">
      <c r="A614" s="10">
        <f>IF($E614="","",INDEX('Input Transaksi'!$A:$A,$E614))</f>
        <v/>
      </c>
      <c r="B614" s="5">
        <f>IF($E614="","",INDEX('Input Transaksi'!$D:$D,$E614))</f>
        <v/>
      </c>
      <c r="C614">
        <f>IF($E614="","",INDEX('Input Transaksi'!$E:$E,$E614))</f>
        <v/>
      </c>
      <c r="D614" s="5">
        <f>IF($E614="","",INDEX('Input Transaksi'!$F:$F,$E614))</f>
        <v/>
      </c>
      <c r="E614">
        <f>IFERROR(AGGREGATE(15,6,ROW('Input Transaksi'!$B$5:$B$5000)/('Input Transaksi'!$B$5:$B$5000="GEDE LONDRI"),ROWS($E$5:E614)),"")</f>
        <v/>
      </c>
      <c r="F614" s="5" t="n"/>
    </row>
    <row r="615">
      <c r="A615" s="10">
        <f>IF($E615="","",INDEX('Input Transaksi'!$A:$A,$E615))</f>
        <v/>
      </c>
      <c r="B615" s="5">
        <f>IF($E615="","",INDEX('Input Transaksi'!$D:$D,$E615))</f>
        <v/>
      </c>
      <c r="C615">
        <f>IF($E615="","",INDEX('Input Transaksi'!$E:$E,$E615))</f>
        <v/>
      </c>
      <c r="D615" s="5">
        <f>IF($E615="","",INDEX('Input Transaksi'!$F:$F,$E615))</f>
        <v/>
      </c>
      <c r="E615">
        <f>IFERROR(AGGREGATE(15,6,ROW('Input Transaksi'!$B$5:$B$5000)/('Input Transaksi'!$B$5:$B$5000="GEDE LONDRI"),ROWS($E$5:E615)),"")</f>
        <v/>
      </c>
      <c r="F615" s="5" t="n"/>
    </row>
    <row r="616">
      <c r="A616" s="10">
        <f>IF($E616="","",INDEX('Input Transaksi'!$A:$A,$E616))</f>
        <v/>
      </c>
      <c r="B616" s="5">
        <f>IF($E616="","",INDEX('Input Transaksi'!$D:$D,$E616))</f>
        <v/>
      </c>
      <c r="C616">
        <f>IF($E616="","",INDEX('Input Transaksi'!$E:$E,$E616))</f>
        <v/>
      </c>
      <c r="D616" s="5">
        <f>IF($E616="","",INDEX('Input Transaksi'!$F:$F,$E616))</f>
        <v/>
      </c>
      <c r="E616">
        <f>IFERROR(AGGREGATE(15,6,ROW('Input Transaksi'!$B$5:$B$5000)/('Input Transaksi'!$B$5:$B$5000="GEDE LONDRI"),ROWS($E$5:E616)),"")</f>
        <v/>
      </c>
      <c r="F616" s="5" t="n"/>
    </row>
    <row r="617">
      <c r="A617" s="10">
        <f>IF($E617="","",INDEX('Input Transaksi'!$A:$A,$E617))</f>
        <v/>
      </c>
      <c r="B617" s="5">
        <f>IF($E617="","",INDEX('Input Transaksi'!$D:$D,$E617))</f>
        <v/>
      </c>
      <c r="C617">
        <f>IF($E617="","",INDEX('Input Transaksi'!$E:$E,$E617))</f>
        <v/>
      </c>
      <c r="D617" s="5">
        <f>IF($E617="","",INDEX('Input Transaksi'!$F:$F,$E617))</f>
        <v/>
      </c>
      <c r="E617">
        <f>IFERROR(AGGREGATE(15,6,ROW('Input Transaksi'!$B$5:$B$5000)/('Input Transaksi'!$B$5:$B$5000="GEDE LONDRI"),ROWS($E$5:E617)),"")</f>
        <v/>
      </c>
      <c r="F617" s="5" t="n"/>
    </row>
    <row r="618">
      <c r="A618" s="10">
        <f>IF($E618="","",INDEX('Input Transaksi'!$A:$A,$E618))</f>
        <v/>
      </c>
      <c r="B618" s="5">
        <f>IF($E618="","",INDEX('Input Transaksi'!$D:$D,$E618))</f>
        <v/>
      </c>
      <c r="C618">
        <f>IF($E618="","",INDEX('Input Transaksi'!$E:$E,$E618))</f>
        <v/>
      </c>
      <c r="D618" s="5">
        <f>IF($E618="","",INDEX('Input Transaksi'!$F:$F,$E618))</f>
        <v/>
      </c>
      <c r="E618">
        <f>IFERROR(AGGREGATE(15,6,ROW('Input Transaksi'!$B$5:$B$5000)/('Input Transaksi'!$B$5:$B$5000="GEDE LONDRI"),ROWS($E$5:E618)),"")</f>
        <v/>
      </c>
      <c r="F618" s="5" t="n"/>
    </row>
    <row r="619">
      <c r="A619" s="10">
        <f>IF($E619="","",INDEX('Input Transaksi'!$A:$A,$E619))</f>
        <v/>
      </c>
      <c r="B619" s="5">
        <f>IF($E619="","",INDEX('Input Transaksi'!$D:$D,$E619))</f>
        <v/>
      </c>
      <c r="C619">
        <f>IF($E619="","",INDEX('Input Transaksi'!$E:$E,$E619))</f>
        <v/>
      </c>
      <c r="D619" s="5">
        <f>IF($E619="","",INDEX('Input Transaksi'!$F:$F,$E619))</f>
        <v/>
      </c>
      <c r="E619">
        <f>IFERROR(AGGREGATE(15,6,ROW('Input Transaksi'!$B$5:$B$5000)/('Input Transaksi'!$B$5:$B$5000="GEDE LONDRI"),ROWS($E$5:E619)),"")</f>
        <v/>
      </c>
      <c r="F619" s="5" t="n"/>
    </row>
    <row r="620">
      <c r="A620" s="10">
        <f>IF($E620="","",INDEX('Input Transaksi'!$A:$A,$E620))</f>
        <v/>
      </c>
      <c r="B620" s="5">
        <f>IF($E620="","",INDEX('Input Transaksi'!$D:$D,$E620))</f>
        <v/>
      </c>
      <c r="C620">
        <f>IF($E620="","",INDEX('Input Transaksi'!$E:$E,$E620))</f>
        <v/>
      </c>
      <c r="D620" s="5">
        <f>IF($E620="","",INDEX('Input Transaksi'!$F:$F,$E620))</f>
        <v/>
      </c>
      <c r="E620">
        <f>IFERROR(AGGREGATE(15,6,ROW('Input Transaksi'!$B$5:$B$5000)/('Input Transaksi'!$B$5:$B$5000="GEDE LONDRI"),ROWS($E$5:E620)),"")</f>
        <v/>
      </c>
      <c r="F620" s="5" t="n"/>
    </row>
    <row r="621">
      <c r="A621" s="10">
        <f>IF($E621="","",INDEX('Input Transaksi'!$A:$A,$E621))</f>
        <v/>
      </c>
      <c r="B621" s="5">
        <f>IF($E621="","",INDEX('Input Transaksi'!$D:$D,$E621))</f>
        <v/>
      </c>
      <c r="C621">
        <f>IF($E621="","",INDEX('Input Transaksi'!$E:$E,$E621))</f>
        <v/>
      </c>
      <c r="D621" s="5">
        <f>IF($E621="","",INDEX('Input Transaksi'!$F:$F,$E621))</f>
        <v/>
      </c>
      <c r="E621">
        <f>IFERROR(AGGREGATE(15,6,ROW('Input Transaksi'!$B$5:$B$5000)/('Input Transaksi'!$B$5:$B$5000="GEDE LONDRI"),ROWS($E$5:E621)),"")</f>
        <v/>
      </c>
      <c r="F621" s="5" t="n"/>
    </row>
    <row r="622">
      <c r="A622" s="10">
        <f>IF($E622="","",INDEX('Input Transaksi'!$A:$A,$E622))</f>
        <v/>
      </c>
      <c r="B622" s="5">
        <f>IF($E622="","",INDEX('Input Transaksi'!$D:$D,$E622))</f>
        <v/>
      </c>
      <c r="C622">
        <f>IF($E622="","",INDEX('Input Transaksi'!$E:$E,$E622))</f>
        <v/>
      </c>
      <c r="D622" s="5">
        <f>IF($E622="","",INDEX('Input Transaksi'!$F:$F,$E622))</f>
        <v/>
      </c>
      <c r="E622">
        <f>IFERROR(AGGREGATE(15,6,ROW('Input Transaksi'!$B$5:$B$5000)/('Input Transaksi'!$B$5:$B$5000="GEDE LONDRI"),ROWS($E$5:E622)),"")</f>
        <v/>
      </c>
      <c r="F622" s="5" t="n"/>
    </row>
    <row r="623">
      <c r="A623" s="10">
        <f>IF($E623="","",INDEX('Input Transaksi'!$A:$A,$E623))</f>
        <v/>
      </c>
      <c r="B623" s="5">
        <f>IF($E623="","",INDEX('Input Transaksi'!$D:$D,$E623))</f>
        <v/>
      </c>
      <c r="C623">
        <f>IF($E623="","",INDEX('Input Transaksi'!$E:$E,$E623))</f>
        <v/>
      </c>
      <c r="D623" s="5">
        <f>IF($E623="","",INDEX('Input Transaksi'!$F:$F,$E623))</f>
        <v/>
      </c>
      <c r="E623">
        <f>IFERROR(AGGREGATE(15,6,ROW('Input Transaksi'!$B$5:$B$5000)/('Input Transaksi'!$B$5:$B$5000="GEDE LONDRI"),ROWS($E$5:E623)),"")</f>
        <v/>
      </c>
      <c r="F623" s="5" t="n"/>
    </row>
    <row r="624">
      <c r="A624" s="10">
        <f>IF($E624="","",INDEX('Input Transaksi'!$A:$A,$E624))</f>
        <v/>
      </c>
      <c r="B624" s="5">
        <f>IF($E624="","",INDEX('Input Transaksi'!$D:$D,$E624))</f>
        <v/>
      </c>
      <c r="C624">
        <f>IF($E624="","",INDEX('Input Transaksi'!$E:$E,$E624))</f>
        <v/>
      </c>
      <c r="D624" s="5">
        <f>IF($E624="","",INDEX('Input Transaksi'!$F:$F,$E624))</f>
        <v/>
      </c>
      <c r="E624">
        <f>IFERROR(AGGREGATE(15,6,ROW('Input Transaksi'!$B$5:$B$5000)/('Input Transaksi'!$B$5:$B$5000="GEDE LONDRI"),ROWS($E$5:E624)),"")</f>
        <v/>
      </c>
      <c r="F624" s="5" t="n"/>
    </row>
    <row r="625">
      <c r="A625" s="10">
        <f>IF($E625="","",INDEX('Input Transaksi'!$A:$A,$E625))</f>
        <v/>
      </c>
      <c r="B625" s="5">
        <f>IF($E625="","",INDEX('Input Transaksi'!$D:$D,$E625))</f>
        <v/>
      </c>
      <c r="C625">
        <f>IF($E625="","",INDEX('Input Transaksi'!$E:$E,$E625))</f>
        <v/>
      </c>
      <c r="D625" s="5">
        <f>IF($E625="","",INDEX('Input Transaksi'!$F:$F,$E625))</f>
        <v/>
      </c>
      <c r="E625">
        <f>IFERROR(AGGREGATE(15,6,ROW('Input Transaksi'!$B$5:$B$5000)/('Input Transaksi'!$B$5:$B$5000="GEDE LONDRI"),ROWS($E$5:E625)),"")</f>
        <v/>
      </c>
      <c r="F625" s="5" t="n"/>
    </row>
    <row r="626">
      <c r="A626" s="10">
        <f>IF($E626="","",INDEX('Input Transaksi'!$A:$A,$E626))</f>
        <v/>
      </c>
      <c r="B626" s="5">
        <f>IF($E626="","",INDEX('Input Transaksi'!$D:$D,$E626))</f>
        <v/>
      </c>
      <c r="C626">
        <f>IF($E626="","",INDEX('Input Transaksi'!$E:$E,$E626))</f>
        <v/>
      </c>
      <c r="D626" s="5">
        <f>IF($E626="","",INDEX('Input Transaksi'!$F:$F,$E626))</f>
        <v/>
      </c>
      <c r="E626">
        <f>IFERROR(AGGREGATE(15,6,ROW('Input Transaksi'!$B$5:$B$5000)/('Input Transaksi'!$B$5:$B$5000="GEDE LONDRI"),ROWS($E$5:E626)),"")</f>
        <v/>
      </c>
      <c r="F626" s="5" t="n"/>
    </row>
    <row r="627">
      <c r="A627" s="10">
        <f>IF($E627="","",INDEX('Input Transaksi'!$A:$A,$E627))</f>
        <v/>
      </c>
      <c r="B627" s="5">
        <f>IF($E627="","",INDEX('Input Transaksi'!$D:$D,$E627))</f>
        <v/>
      </c>
      <c r="C627">
        <f>IF($E627="","",INDEX('Input Transaksi'!$E:$E,$E627))</f>
        <v/>
      </c>
      <c r="D627" s="5">
        <f>IF($E627="","",INDEX('Input Transaksi'!$F:$F,$E627))</f>
        <v/>
      </c>
      <c r="E627">
        <f>IFERROR(AGGREGATE(15,6,ROW('Input Transaksi'!$B$5:$B$5000)/('Input Transaksi'!$B$5:$B$5000="GEDE LONDRI"),ROWS($E$5:E627)),"")</f>
        <v/>
      </c>
      <c r="F627" s="5" t="n"/>
    </row>
    <row r="628">
      <c r="A628" s="10">
        <f>IF($E628="","",INDEX('Input Transaksi'!$A:$A,$E628))</f>
        <v/>
      </c>
      <c r="B628" s="5">
        <f>IF($E628="","",INDEX('Input Transaksi'!$D:$D,$E628))</f>
        <v/>
      </c>
      <c r="C628">
        <f>IF($E628="","",INDEX('Input Transaksi'!$E:$E,$E628))</f>
        <v/>
      </c>
      <c r="D628" s="5">
        <f>IF($E628="","",INDEX('Input Transaksi'!$F:$F,$E628))</f>
        <v/>
      </c>
      <c r="E628">
        <f>IFERROR(AGGREGATE(15,6,ROW('Input Transaksi'!$B$5:$B$5000)/('Input Transaksi'!$B$5:$B$5000="GEDE LONDRI"),ROWS($E$5:E628)),"")</f>
        <v/>
      </c>
      <c r="F628" s="5" t="n"/>
    </row>
    <row r="629">
      <c r="A629" s="10">
        <f>IF($E629="","",INDEX('Input Transaksi'!$A:$A,$E629))</f>
        <v/>
      </c>
      <c r="B629" s="5">
        <f>IF($E629="","",INDEX('Input Transaksi'!$D:$D,$E629))</f>
        <v/>
      </c>
      <c r="C629">
        <f>IF($E629="","",INDEX('Input Transaksi'!$E:$E,$E629))</f>
        <v/>
      </c>
      <c r="D629" s="5">
        <f>IF($E629="","",INDEX('Input Transaksi'!$F:$F,$E629))</f>
        <v/>
      </c>
      <c r="E629">
        <f>IFERROR(AGGREGATE(15,6,ROW('Input Transaksi'!$B$5:$B$5000)/('Input Transaksi'!$B$5:$B$5000="GEDE LONDRI"),ROWS($E$5:E629)),"")</f>
        <v/>
      </c>
      <c r="F629" s="5" t="n"/>
    </row>
    <row r="630">
      <c r="A630" s="10">
        <f>IF($E630="","",INDEX('Input Transaksi'!$A:$A,$E630))</f>
        <v/>
      </c>
      <c r="B630" s="5">
        <f>IF($E630="","",INDEX('Input Transaksi'!$D:$D,$E630))</f>
        <v/>
      </c>
      <c r="C630">
        <f>IF($E630="","",INDEX('Input Transaksi'!$E:$E,$E630))</f>
        <v/>
      </c>
      <c r="D630" s="5">
        <f>IF($E630="","",INDEX('Input Transaksi'!$F:$F,$E630))</f>
        <v/>
      </c>
      <c r="E630">
        <f>IFERROR(AGGREGATE(15,6,ROW('Input Transaksi'!$B$5:$B$5000)/('Input Transaksi'!$B$5:$B$5000="GEDE LONDRI"),ROWS($E$5:E630)),"")</f>
        <v/>
      </c>
      <c r="F630" s="5" t="n"/>
    </row>
    <row r="631">
      <c r="A631" s="10">
        <f>IF($E631="","",INDEX('Input Transaksi'!$A:$A,$E631))</f>
        <v/>
      </c>
      <c r="B631" s="5">
        <f>IF($E631="","",INDEX('Input Transaksi'!$D:$D,$E631))</f>
        <v/>
      </c>
      <c r="C631">
        <f>IF($E631="","",INDEX('Input Transaksi'!$E:$E,$E631))</f>
        <v/>
      </c>
      <c r="D631" s="5">
        <f>IF($E631="","",INDEX('Input Transaksi'!$F:$F,$E631))</f>
        <v/>
      </c>
      <c r="E631">
        <f>IFERROR(AGGREGATE(15,6,ROW('Input Transaksi'!$B$5:$B$5000)/('Input Transaksi'!$B$5:$B$5000="GEDE LONDRI"),ROWS($E$5:E631)),"")</f>
        <v/>
      </c>
      <c r="F631" s="5" t="n"/>
    </row>
    <row r="632">
      <c r="A632" s="10">
        <f>IF($E632="","",INDEX('Input Transaksi'!$A:$A,$E632))</f>
        <v/>
      </c>
      <c r="B632" s="5">
        <f>IF($E632="","",INDEX('Input Transaksi'!$D:$D,$E632))</f>
        <v/>
      </c>
      <c r="C632">
        <f>IF($E632="","",INDEX('Input Transaksi'!$E:$E,$E632))</f>
        <v/>
      </c>
      <c r="D632" s="5">
        <f>IF($E632="","",INDEX('Input Transaksi'!$F:$F,$E632))</f>
        <v/>
      </c>
      <c r="E632">
        <f>IFERROR(AGGREGATE(15,6,ROW('Input Transaksi'!$B$5:$B$5000)/('Input Transaksi'!$B$5:$B$5000="GEDE LONDRI"),ROWS($E$5:E632)),"")</f>
        <v/>
      </c>
      <c r="F632" s="5" t="n"/>
    </row>
    <row r="633">
      <c r="A633" s="10">
        <f>IF($E633="","",INDEX('Input Transaksi'!$A:$A,$E633))</f>
        <v/>
      </c>
      <c r="B633" s="5">
        <f>IF($E633="","",INDEX('Input Transaksi'!$D:$D,$E633))</f>
        <v/>
      </c>
      <c r="C633">
        <f>IF($E633="","",INDEX('Input Transaksi'!$E:$E,$E633))</f>
        <v/>
      </c>
      <c r="D633" s="5">
        <f>IF($E633="","",INDEX('Input Transaksi'!$F:$F,$E633))</f>
        <v/>
      </c>
      <c r="E633">
        <f>IFERROR(AGGREGATE(15,6,ROW('Input Transaksi'!$B$5:$B$5000)/('Input Transaksi'!$B$5:$B$5000="GEDE LONDRI"),ROWS($E$5:E633)),"")</f>
        <v/>
      </c>
      <c r="F633" s="5" t="n"/>
    </row>
    <row r="634">
      <c r="A634" s="10">
        <f>IF($E634="","",INDEX('Input Transaksi'!$A:$A,$E634))</f>
        <v/>
      </c>
      <c r="B634" s="5">
        <f>IF($E634="","",INDEX('Input Transaksi'!$D:$D,$E634))</f>
        <v/>
      </c>
      <c r="C634">
        <f>IF($E634="","",INDEX('Input Transaksi'!$E:$E,$E634))</f>
        <v/>
      </c>
      <c r="D634" s="5">
        <f>IF($E634="","",INDEX('Input Transaksi'!$F:$F,$E634))</f>
        <v/>
      </c>
      <c r="E634">
        <f>IFERROR(AGGREGATE(15,6,ROW('Input Transaksi'!$B$5:$B$5000)/('Input Transaksi'!$B$5:$B$5000="GEDE LONDRI"),ROWS($E$5:E634)),"")</f>
        <v/>
      </c>
      <c r="F634" s="5" t="n"/>
    </row>
    <row r="635">
      <c r="A635" s="10">
        <f>IF($E635="","",INDEX('Input Transaksi'!$A:$A,$E635))</f>
        <v/>
      </c>
      <c r="B635" s="5">
        <f>IF($E635="","",INDEX('Input Transaksi'!$D:$D,$E635))</f>
        <v/>
      </c>
      <c r="C635">
        <f>IF($E635="","",INDEX('Input Transaksi'!$E:$E,$E635))</f>
        <v/>
      </c>
      <c r="D635" s="5">
        <f>IF($E635="","",INDEX('Input Transaksi'!$F:$F,$E635))</f>
        <v/>
      </c>
      <c r="E635">
        <f>IFERROR(AGGREGATE(15,6,ROW('Input Transaksi'!$B$5:$B$5000)/('Input Transaksi'!$B$5:$B$5000="GEDE LONDRI"),ROWS($E$5:E635)),"")</f>
        <v/>
      </c>
      <c r="F635" s="5" t="n"/>
    </row>
    <row r="636">
      <c r="A636" s="10">
        <f>IF($E636="","",INDEX('Input Transaksi'!$A:$A,$E636))</f>
        <v/>
      </c>
      <c r="B636" s="5">
        <f>IF($E636="","",INDEX('Input Transaksi'!$D:$D,$E636))</f>
        <v/>
      </c>
      <c r="C636">
        <f>IF($E636="","",INDEX('Input Transaksi'!$E:$E,$E636))</f>
        <v/>
      </c>
      <c r="D636" s="5">
        <f>IF($E636="","",INDEX('Input Transaksi'!$F:$F,$E636))</f>
        <v/>
      </c>
      <c r="E636">
        <f>IFERROR(AGGREGATE(15,6,ROW('Input Transaksi'!$B$5:$B$5000)/('Input Transaksi'!$B$5:$B$5000="GEDE LONDRI"),ROWS($E$5:E636)),"")</f>
        <v/>
      </c>
      <c r="F636" s="5" t="n"/>
    </row>
    <row r="637">
      <c r="A637" s="10">
        <f>IF($E637="","",INDEX('Input Transaksi'!$A:$A,$E637))</f>
        <v/>
      </c>
      <c r="B637" s="5">
        <f>IF($E637="","",INDEX('Input Transaksi'!$D:$D,$E637))</f>
        <v/>
      </c>
      <c r="C637">
        <f>IF($E637="","",INDEX('Input Transaksi'!$E:$E,$E637))</f>
        <v/>
      </c>
      <c r="D637" s="5">
        <f>IF($E637="","",INDEX('Input Transaksi'!$F:$F,$E637))</f>
        <v/>
      </c>
      <c r="E637">
        <f>IFERROR(AGGREGATE(15,6,ROW('Input Transaksi'!$B$5:$B$5000)/('Input Transaksi'!$B$5:$B$5000="GEDE LONDRI"),ROWS($E$5:E637)),"")</f>
        <v/>
      </c>
      <c r="F637" s="5" t="n"/>
    </row>
    <row r="638">
      <c r="A638" s="10">
        <f>IF($E638="","",INDEX('Input Transaksi'!$A:$A,$E638))</f>
        <v/>
      </c>
      <c r="B638" s="5">
        <f>IF($E638="","",INDEX('Input Transaksi'!$D:$D,$E638))</f>
        <v/>
      </c>
      <c r="C638">
        <f>IF($E638="","",INDEX('Input Transaksi'!$E:$E,$E638))</f>
        <v/>
      </c>
      <c r="D638" s="5">
        <f>IF($E638="","",INDEX('Input Transaksi'!$F:$F,$E638))</f>
        <v/>
      </c>
      <c r="E638">
        <f>IFERROR(AGGREGATE(15,6,ROW('Input Transaksi'!$B$5:$B$5000)/('Input Transaksi'!$B$5:$B$5000="GEDE LONDRI"),ROWS($E$5:E638)),"")</f>
        <v/>
      </c>
      <c r="F638" s="5" t="n"/>
    </row>
    <row r="639">
      <c r="A639" s="10">
        <f>IF($E639="","",INDEX('Input Transaksi'!$A:$A,$E639))</f>
        <v/>
      </c>
      <c r="B639" s="5">
        <f>IF($E639="","",INDEX('Input Transaksi'!$D:$D,$E639))</f>
        <v/>
      </c>
      <c r="C639">
        <f>IF($E639="","",INDEX('Input Transaksi'!$E:$E,$E639))</f>
        <v/>
      </c>
      <c r="D639" s="5">
        <f>IF($E639="","",INDEX('Input Transaksi'!$F:$F,$E639))</f>
        <v/>
      </c>
      <c r="E639">
        <f>IFERROR(AGGREGATE(15,6,ROW('Input Transaksi'!$B$5:$B$5000)/('Input Transaksi'!$B$5:$B$5000="GEDE LONDRI"),ROWS($E$5:E639)),"")</f>
        <v/>
      </c>
      <c r="F639" s="5" t="n"/>
    </row>
    <row r="640">
      <c r="A640" s="10">
        <f>IF($E640="","",INDEX('Input Transaksi'!$A:$A,$E640))</f>
        <v/>
      </c>
      <c r="B640" s="5">
        <f>IF($E640="","",INDEX('Input Transaksi'!$D:$D,$E640))</f>
        <v/>
      </c>
      <c r="C640">
        <f>IF($E640="","",INDEX('Input Transaksi'!$E:$E,$E640))</f>
        <v/>
      </c>
      <c r="D640" s="5">
        <f>IF($E640="","",INDEX('Input Transaksi'!$F:$F,$E640))</f>
        <v/>
      </c>
      <c r="E640">
        <f>IFERROR(AGGREGATE(15,6,ROW('Input Transaksi'!$B$5:$B$5000)/('Input Transaksi'!$B$5:$B$5000="GEDE LONDRI"),ROWS($E$5:E640)),"")</f>
        <v/>
      </c>
      <c r="F640" s="5" t="n"/>
    </row>
    <row r="641">
      <c r="A641" s="10">
        <f>IF($E641="","",INDEX('Input Transaksi'!$A:$A,$E641))</f>
        <v/>
      </c>
      <c r="B641" s="5">
        <f>IF($E641="","",INDEX('Input Transaksi'!$D:$D,$E641))</f>
        <v/>
      </c>
      <c r="C641">
        <f>IF($E641="","",INDEX('Input Transaksi'!$E:$E,$E641))</f>
        <v/>
      </c>
      <c r="D641" s="5">
        <f>IF($E641="","",INDEX('Input Transaksi'!$F:$F,$E641))</f>
        <v/>
      </c>
      <c r="E641">
        <f>IFERROR(AGGREGATE(15,6,ROW('Input Transaksi'!$B$5:$B$5000)/('Input Transaksi'!$B$5:$B$5000="GEDE LONDRI"),ROWS($E$5:E641)),"")</f>
        <v/>
      </c>
      <c r="F641" s="5" t="n"/>
    </row>
    <row r="642">
      <c r="A642" s="10">
        <f>IF($E642="","",INDEX('Input Transaksi'!$A:$A,$E642))</f>
        <v/>
      </c>
      <c r="B642" s="5">
        <f>IF($E642="","",INDEX('Input Transaksi'!$D:$D,$E642))</f>
        <v/>
      </c>
      <c r="C642">
        <f>IF($E642="","",INDEX('Input Transaksi'!$E:$E,$E642))</f>
        <v/>
      </c>
      <c r="D642" s="5">
        <f>IF($E642="","",INDEX('Input Transaksi'!$F:$F,$E642))</f>
        <v/>
      </c>
      <c r="E642">
        <f>IFERROR(AGGREGATE(15,6,ROW('Input Transaksi'!$B$5:$B$5000)/('Input Transaksi'!$B$5:$B$5000="GEDE LONDRI"),ROWS($E$5:E642)),"")</f>
        <v/>
      </c>
      <c r="F642" s="5" t="n"/>
    </row>
    <row r="643">
      <c r="A643" s="10">
        <f>IF($E643="","",INDEX('Input Transaksi'!$A:$A,$E643))</f>
        <v/>
      </c>
      <c r="B643" s="5">
        <f>IF($E643="","",INDEX('Input Transaksi'!$D:$D,$E643))</f>
        <v/>
      </c>
      <c r="C643">
        <f>IF($E643="","",INDEX('Input Transaksi'!$E:$E,$E643))</f>
        <v/>
      </c>
      <c r="D643" s="5">
        <f>IF($E643="","",INDEX('Input Transaksi'!$F:$F,$E643))</f>
        <v/>
      </c>
      <c r="E643">
        <f>IFERROR(AGGREGATE(15,6,ROW('Input Transaksi'!$B$5:$B$5000)/('Input Transaksi'!$B$5:$B$5000="GEDE LONDRI"),ROWS($E$5:E643)),"")</f>
        <v/>
      </c>
      <c r="F643" s="5" t="n"/>
    </row>
    <row r="644">
      <c r="A644" s="10">
        <f>IF($E644="","",INDEX('Input Transaksi'!$A:$A,$E644))</f>
        <v/>
      </c>
      <c r="B644" s="5">
        <f>IF($E644="","",INDEX('Input Transaksi'!$D:$D,$E644))</f>
        <v/>
      </c>
      <c r="C644">
        <f>IF($E644="","",INDEX('Input Transaksi'!$E:$E,$E644))</f>
        <v/>
      </c>
      <c r="D644" s="5">
        <f>IF($E644="","",INDEX('Input Transaksi'!$F:$F,$E644))</f>
        <v/>
      </c>
      <c r="E644">
        <f>IFERROR(AGGREGATE(15,6,ROW('Input Transaksi'!$B$5:$B$5000)/('Input Transaksi'!$B$5:$B$5000="GEDE LONDRI"),ROWS($E$5:E644)),"")</f>
        <v/>
      </c>
      <c r="F644" s="5" t="n"/>
    </row>
    <row r="645">
      <c r="A645" s="10">
        <f>IF($E645="","",INDEX('Input Transaksi'!$A:$A,$E645))</f>
        <v/>
      </c>
      <c r="B645" s="5">
        <f>IF($E645="","",INDEX('Input Transaksi'!$D:$D,$E645))</f>
        <v/>
      </c>
      <c r="C645">
        <f>IF($E645="","",INDEX('Input Transaksi'!$E:$E,$E645))</f>
        <v/>
      </c>
      <c r="D645" s="5">
        <f>IF($E645="","",INDEX('Input Transaksi'!$F:$F,$E645))</f>
        <v/>
      </c>
      <c r="E645">
        <f>IFERROR(AGGREGATE(15,6,ROW('Input Transaksi'!$B$5:$B$5000)/('Input Transaksi'!$B$5:$B$5000="GEDE LONDRI"),ROWS($E$5:E645)),"")</f>
        <v/>
      </c>
      <c r="F645" s="5" t="n"/>
    </row>
    <row r="646">
      <c r="A646" s="10">
        <f>IF($E646="","",INDEX('Input Transaksi'!$A:$A,$E646))</f>
        <v/>
      </c>
      <c r="B646" s="5">
        <f>IF($E646="","",INDEX('Input Transaksi'!$D:$D,$E646))</f>
        <v/>
      </c>
      <c r="C646">
        <f>IF($E646="","",INDEX('Input Transaksi'!$E:$E,$E646))</f>
        <v/>
      </c>
      <c r="D646" s="5">
        <f>IF($E646="","",INDEX('Input Transaksi'!$F:$F,$E646))</f>
        <v/>
      </c>
      <c r="E646">
        <f>IFERROR(AGGREGATE(15,6,ROW('Input Transaksi'!$B$5:$B$5000)/('Input Transaksi'!$B$5:$B$5000="GEDE LONDRI"),ROWS($E$5:E646)),"")</f>
        <v/>
      </c>
      <c r="F646" s="5" t="n"/>
    </row>
    <row r="647">
      <c r="A647" s="10">
        <f>IF($E647="","",INDEX('Input Transaksi'!$A:$A,$E647))</f>
        <v/>
      </c>
      <c r="B647" s="5">
        <f>IF($E647="","",INDEX('Input Transaksi'!$D:$D,$E647))</f>
        <v/>
      </c>
      <c r="C647">
        <f>IF($E647="","",INDEX('Input Transaksi'!$E:$E,$E647))</f>
        <v/>
      </c>
      <c r="D647" s="5">
        <f>IF($E647="","",INDEX('Input Transaksi'!$F:$F,$E647))</f>
        <v/>
      </c>
      <c r="E647">
        <f>IFERROR(AGGREGATE(15,6,ROW('Input Transaksi'!$B$5:$B$5000)/('Input Transaksi'!$B$5:$B$5000="GEDE LONDRI"),ROWS($E$5:E647)),"")</f>
        <v/>
      </c>
      <c r="F647" s="5" t="n"/>
    </row>
    <row r="648">
      <c r="A648" s="10">
        <f>IF($E648="","",INDEX('Input Transaksi'!$A:$A,$E648))</f>
        <v/>
      </c>
      <c r="B648" s="5">
        <f>IF($E648="","",INDEX('Input Transaksi'!$D:$D,$E648))</f>
        <v/>
      </c>
      <c r="C648">
        <f>IF($E648="","",INDEX('Input Transaksi'!$E:$E,$E648))</f>
        <v/>
      </c>
      <c r="D648" s="5">
        <f>IF($E648="","",INDEX('Input Transaksi'!$F:$F,$E648))</f>
        <v/>
      </c>
      <c r="E648">
        <f>IFERROR(AGGREGATE(15,6,ROW('Input Transaksi'!$B$5:$B$5000)/('Input Transaksi'!$B$5:$B$5000="GEDE LONDRI"),ROWS($E$5:E648)),"")</f>
        <v/>
      </c>
      <c r="F648" s="5" t="n"/>
    </row>
    <row r="649">
      <c r="A649" s="10">
        <f>IF($E649="","",INDEX('Input Transaksi'!$A:$A,$E649))</f>
        <v/>
      </c>
      <c r="B649" s="5">
        <f>IF($E649="","",INDEX('Input Transaksi'!$D:$D,$E649))</f>
        <v/>
      </c>
      <c r="C649">
        <f>IF($E649="","",INDEX('Input Transaksi'!$E:$E,$E649))</f>
        <v/>
      </c>
      <c r="D649" s="5">
        <f>IF($E649="","",INDEX('Input Transaksi'!$F:$F,$E649))</f>
        <v/>
      </c>
      <c r="E649">
        <f>IFERROR(AGGREGATE(15,6,ROW('Input Transaksi'!$B$5:$B$5000)/('Input Transaksi'!$B$5:$B$5000="GEDE LONDRI"),ROWS($E$5:E649)),"")</f>
        <v/>
      </c>
      <c r="F649" s="5" t="n"/>
    </row>
    <row r="650">
      <c r="A650" s="10">
        <f>IF($E650="","",INDEX('Input Transaksi'!$A:$A,$E650))</f>
        <v/>
      </c>
      <c r="B650" s="5">
        <f>IF($E650="","",INDEX('Input Transaksi'!$D:$D,$E650))</f>
        <v/>
      </c>
      <c r="C650">
        <f>IF($E650="","",INDEX('Input Transaksi'!$E:$E,$E650))</f>
        <v/>
      </c>
      <c r="D650" s="5">
        <f>IF($E650="","",INDEX('Input Transaksi'!$F:$F,$E650))</f>
        <v/>
      </c>
      <c r="E650">
        <f>IFERROR(AGGREGATE(15,6,ROW('Input Transaksi'!$B$5:$B$5000)/('Input Transaksi'!$B$5:$B$5000="GEDE LONDRI"),ROWS($E$5:E650)),"")</f>
        <v/>
      </c>
      <c r="F650" s="5" t="n"/>
    </row>
    <row r="651">
      <c r="A651" s="10">
        <f>IF($E651="","",INDEX('Input Transaksi'!$A:$A,$E651))</f>
        <v/>
      </c>
      <c r="B651" s="5">
        <f>IF($E651="","",INDEX('Input Transaksi'!$D:$D,$E651))</f>
        <v/>
      </c>
      <c r="C651">
        <f>IF($E651="","",INDEX('Input Transaksi'!$E:$E,$E651))</f>
        <v/>
      </c>
      <c r="D651" s="5">
        <f>IF($E651="","",INDEX('Input Transaksi'!$F:$F,$E651))</f>
        <v/>
      </c>
      <c r="E651">
        <f>IFERROR(AGGREGATE(15,6,ROW('Input Transaksi'!$B$5:$B$5000)/('Input Transaksi'!$B$5:$B$5000="GEDE LONDRI"),ROWS($E$5:E651)),"")</f>
        <v/>
      </c>
      <c r="F651" s="5" t="n"/>
    </row>
    <row r="652">
      <c r="A652" s="10">
        <f>IF($E652="","",INDEX('Input Transaksi'!$A:$A,$E652))</f>
        <v/>
      </c>
      <c r="B652" s="5">
        <f>IF($E652="","",INDEX('Input Transaksi'!$D:$D,$E652))</f>
        <v/>
      </c>
      <c r="C652">
        <f>IF($E652="","",INDEX('Input Transaksi'!$E:$E,$E652))</f>
        <v/>
      </c>
      <c r="D652" s="5">
        <f>IF($E652="","",INDEX('Input Transaksi'!$F:$F,$E652))</f>
        <v/>
      </c>
      <c r="E652">
        <f>IFERROR(AGGREGATE(15,6,ROW('Input Transaksi'!$B$5:$B$5000)/('Input Transaksi'!$B$5:$B$5000="GEDE LONDRI"),ROWS($E$5:E652)),"")</f>
        <v/>
      </c>
      <c r="F652" s="5" t="n"/>
    </row>
    <row r="653">
      <c r="A653" s="10">
        <f>IF($E653="","",INDEX('Input Transaksi'!$A:$A,$E653))</f>
        <v/>
      </c>
      <c r="B653" s="5">
        <f>IF($E653="","",INDEX('Input Transaksi'!$D:$D,$E653))</f>
        <v/>
      </c>
      <c r="C653">
        <f>IF($E653="","",INDEX('Input Transaksi'!$E:$E,$E653))</f>
        <v/>
      </c>
      <c r="D653" s="5">
        <f>IF($E653="","",INDEX('Input Transaksi'!$F:$F,$E653))</f>
        <v/>
      </c>
      <c r="E653">
        <f>IFERROR(AGGREGATE(15,6,ROW('Input Transaksi'!$B$5:$B$5000)/('Input Transaksi'!$B$5:$B$5000="GEDE LONDRI"),ROWS($E$5:E653)),"")</f>
        <v/>
      </c>
      <c r="F653" s="5" t="n"/>
    </row>
    <row r="654">
      <c r="A654" s="10">
        <f>IF($E654="","",INDEX('Input Transaksi'!$A:$A,$E654))</f>
        <v/>
      </c>
      <c r="B654" s="5">
        <f>IF($E654="","",INDEX('Input Transaksi'!$D:$D,$E654))</f>
        <v/>
      </c>
      <c r="C654">
        <f>IF($E654="","",INDEX('Input Transaksi'!$E:$E,$E654))</f>
        <v/>
      </c>
      <c r="D654" s="5">
        <f>IF($E654="","",INDEX('Input Transaksi'!$F:$F,$E654))</f>
        <v/>
      </c>
      <c r="E654">
        <f>IFERROR(AGGREGATE(15,6,ROW('Input Transaksi'!$B$5:$B$5000)/('Input Transaksi'!$B$5:$B$5000="GEDE LONDRI"),ROWS($E$5:E654)),"")</f>
        <v/>
      </c>
      <c r="F654" s="5" t="n"/>
    </row>
    <row r="655">
      <c r="A655" s="10">
        <f>IF($E655="","",INDEX('Input Transaksi'!$A:$A,$E655))</f>
        <v/>
      </c>
      <c r="B655" s="5">
        <f>IF($E655="","",INDEX('Input Transaksi'!$D:$D,$E655))</f>
        <v/>
      </c>
      <c r="C655">
        <f>IF($E655="","",INDEX('Input Transaksi'!$E:$E,$E655))</f>
        <v/>
      </c>
      <c r="D655" s="5">
        <f>IF($E655="","",INDEX('Input Transaksi'!$F:$F,$E655))</f>
        <v/>
      </c>
      <c r="E655">
        <f>IFERROR(AGGREGATE(15,6,ROW('Input Transaksi'!$B$5:$B$5000)/('Input Transaksi'!$B$5:$B$5000="GEDE LONDRI"),ROWS($E$5:E655)),"")</f>
        <v/>
      </c>
      <c r="F655" s="5" t="n"/>
    </row>
    <row r="656">
      <c r="A656" s="10">
        <f>IF($E656="","",INDEX('Input Transaksi'!$A:$A,$E656))</f>
        <v/>
      </c>
      <c r="B656" s="5">
        <f>IF($E656="","",INDEX('Input Transaksi'!$D:$D,$E656))</f>
        <v/>
      </c>
      <c r="C656">
        <f>IF($E656="","",INDEX('Input Transaksi'!$E:$E,$E656))</f>
        <v/>
      </c>
      <c r="D656" s="5">
        <f>IF($E656="","",INDEX('Input Transaksi'!$F:$F,$E656))</f>
        <v/>
      </c>
      <c r="E656">
        <f>IFERROR(AGGREGATE(15,6,ROW('Input Transaksi'!$B$5:$B$5000)/('Input Transaksi'!$B$5:$B$5000="GEDE LONDRI"),ROWS($E$5:E656)),"")</f>
        <v/>
      </c>
      <c r="F656" s="5" t="n"/>
    </row>
    <row r="657">
      <c r="A657" s="10">
        <f>IF($E657="","",INDEX('Input Transaksi'!$A:$A,$E657))</f>
        <v/>
      </c>
      <c r="B657" s="5">
        <f>IF($E657="","",INDEX('Input Transaksi'!$D:$D,$E657))</f>
        <v/>
      </c>
      <c r="C657">
        <f>IF($E657="","",INDEX('Input Transaksi'!$E:$E,$E657))</f>
        <v/>
      </c>
      <c r="D657" s="5">
        <f>IF($E657="","",INDEX('Input Transaksi'!$F:$F,$E657))</f>
        <v/>
      </c>
      <c r="E657">
        <f>IFERROR(AGGREGATE(15,6,ROW('Input Transaksi'!$B$5:$B$5000)/('Input Transaksi'!$B$5:$B$5000="GEDE LONDRI"),ROWS($E$5:E657)),"")</f>
        <v/>
      </c>
      <c r="F657" s="5" t="n"/>
    </row>
    <row r="658">
      <c r="A658" s="10">
        <f>IF($E658="","",INDEX('Input Transaksi'!$A:$A,$E658))</f>
        <v/>
      </c>
      <c r="B658" s="5">
        <f>IF($E658="","",INDEX('Input Transaksi'!$D:$D,$E658))</f>
        <v/>
      </c>
      <c r="C658">
        <f>IF($E658="","",INDEX('Input Transaksi'!$E:$E,$E658))</f>
        <v/>
      </c>
      <c r="D658" s="5">
        <f>IF($E658="","",INDEX('Input Transaksi'!$F:$F,$E658))</f>
        <v/>
      </c>
      <c r="E658">
        <f>IFERROR(AGGREGATE(15,6,ROW('Input Transaksi'!$B$5:$B$5000)/('Input Transaksi'!$B$5:$B$5000="GEDE LONDRI"),ROWS($E$5:E658)),"")</f>
        <v/>
      </c>
      <c r="F658" s="5" t="n"/>
    </row>
    <row r="659">
      <c r="A659" s="10">
        <f>IF($E659="","",INDEX('Input Transaksi'!$A:$A,$E659))</f>
        <v/>
      </c>
      <c r="B659" s="5">
        <f>IF($E659="","",INDEX('Input Transaksi'!$D:$D,$E659))</f>
        <v/>
      </c>
      <c r="C659">
        <f>IF($E659="","",INDEX('Input Transaksi'!$E:$E,$E659))</f>
        <v/>
      </c>
      <c r="D659" s="5">
        <f>IF($E659="","",INDEX('Input Transaksi'!$F:$F,$E659))</f>
        <v/>
      </c>
      <c r="E659">
        <f>IFERROR(AGGREGATE(15,6,ROW('Input Transaksi'!$B$5:$B$5000)/('Input Transaksi'!$B$5:$B$5000="GEDE LONDRI"),ROWS($E$5:E659)),"")</f>
        <v/>
      </c>
      <c r="F659" s="5" t="n"/>
    </row>
    <row r="660">
      <c r="A660" s="10">
        <f>IF($E660="","",INDEX('Input Transaksi'!$A:$A,$E660))</f>
        <v/>
      </c>
      <c r="B660" s="5">
        <f>IF($E660="","",INDEX('Input Transaksi'!$D:$D,$E660))</f>
        <v/>
      </c>
      <c r="C660">
        <f>IF($E660="","",INDEX('Input Transaksi'!$E:$E,$E660))</f>
        <v/>
      </c>
      <c r="D660" s="5">
        <f>IF($E660="","",INDEX('Input Transaksi'!$F:$F,$E660))</f>
        <v/>
      </c>
      <c r="E660">
        <f>IFERROR(AGGREGATE(15,6,ROW('Input Transaksi'!$B$5:$B$5000)/('Input Transaksi'!$B$5:$B$5000="GEDE LONDRI"),ROWS($E$5:E660)),"")</f>
        <v/>
      </c>
      <c r="F660" s="5" t="n"/>
    </row>
    <row r="661">
      <c r="A661" s="10">
        <f>IF($E661="","",INDEX('Input Transaksi'!$A:$A,$E661))</f>
        <v/>
      </c>
      <c r="B661" s="5">
        <f>IF($E661="","",INDEX('Input Transaksi'!$D:$D,$E661))</f>
        <v/>
      </c>
      <c r="C661">
        <f>IF($E661="","",INDEX('Input Transaksi'!$E:$E,$E661))</f>
        <v/>
      </c>
      <c r="D661" s="5">
        <f>IF($E661="","",INDEX('Input Transaksi'!$F:$F,$E661))</f>
        <v/>
      </c>
      <c r="E661">
        <f>IFERROR(AGGREGATE(15,6,ROW('Input Transaksi'!$B$5:$B$5000)/('Input Transaksi'!$B$5:$B$5000="GEDE LONDRI"),ROWS($E$5:E661)),"")</f>
        <v/>
      </c>
      <c r="F661" s="5" t="n"/>
    </row>
    <row r="662">
      <c r="A662" s="10">
        <f>IF($E662="","",INDEX('Input Transaksi'!$A:$A,$E662))</f>
        <v/>
      </c>
      <c r="B662" s="5">
        <f>IF($E662="","",INDEX('Input Transaksi'!$D:$D,$E662))</f>
        <v/>
      </c>
      <c r="C662">
        <f>IF($E662="","",INDEX('Input Transaksi'!$E:$E,$E662))</f>
        <v/>
      </c>
      <c r="D662" s="5">
        <f>IF($E662="","",INDEX('Input Transaksi'!$F:$F,$E662))</f>
        <v/>
      </c>
      <c r="E662">
        <f>IFERROR(AGGREGATE(15,6,ROW('Input Transaksi'!$B$5:$B$5000)/('Input Transaksi'!$B$5:$B$5000="GEDE LONDRI"),ROWS($E$5:E662)),"")</f>
        <v/>
      </c>
      <c r="F662" s="5" t="n"/>
    </row>
    <row r="663">
      <c r="A663" s="10">
        <f>IF($E663="","",INDEX('Input Transaksi'!$A:$A,$E663))</f>
        <v/>
      </c>
      <c r="B663" s="5">
        <f>IF($E663="","",INDEX('Input Transaksi'!$D:$D,$E663))</f>
        <v/>
      </c>
      <c r="C663">
        <f>IF($E663="","",INDEX('Input Transaksi'!$E:$E,$E663))</f>
        <v/>
      </c>
      <c r="D663" s="5">
        <f>IF($E663="","",INDEX('Input Transaksi'!$F:$F,$E663))</f>
        <v/>
      </c>
      <c r="E663">
        <f>IFERROR(AGGREGATE(15,6,ROW('Input Transaksi'!$B$5:$B$5000)/('Input Transaksi'!$B$5:$B$5000="GEDE LONDRI"),ROWS($E$5:E663)),"")</f>
        <v/>
      </c>
      <c r="F663" s="5" t="n"/>
    </row>
    <row r="664">
      <c r="A664" s="10">
        <f>IF($E664="","",INDEX('Input Transaksi'!$A:$A,$E664))</f>
        <v/>
      </c>
      <c r="B664" s="5">
        <f>IF($E664="","",INDEX('Input Transaksi'!$D:$D,$E664))</f>
        <v/>
      </c>
      <c r="C664">
        <f>IF($E664="","",INDEX('Input Transaksi'!$E:$E,$E664))</f>
        <v/>
      </c>
      <c r="D664" s="5">
        <f>IF($E664="","",INDEX('Input Transaksi'!$F:$F,$E664))</f>
        <v/>
      </c>
      <c r="E664">
        <f>IFERROR(AGGREGATE(15,6,ROW('Input Transaksi'!$B$5:$B$5000)/('Input Transaksi'!$B$5:$B$5000="GEDE LONDRI"),ROWS($E$5:E664)),"")</f>
        <v/>
      </c>
      <c r="F664" s="5" t="n"/>
    </row>
    <row r="665">
      <c r="A665" s="10">
        <f>IF($E665="","",INDEX('Input Transaksi'!$A:$A,$E665))</f>
        <v/>
      </c>
      <c r="B665" s="5">
        <f>IF($E665="","",INDEX('Input Transaksi'!$D:$D,$E665))</f>
        <v/>
      </c>
      <c r="C665">
        <f>IF($E665="","",INDEX('Input Transaksi'!$E:$E,$E665))</f>
        <v/>
      </c>
      <c r="D665" s="5">
        <f>IF($E665="","",INDEX('Input Transaksi'!$F:$F,$E665))</f>
        <v/>
      </c>
      <c r="E665">
        <f>IFERROR(AGGREGATE(15,6,ROW('Input Transaksi'!$B$5:$B$5000)/('Input Transaksi'!$B$5:$B$5000="GEDE LONDRI"),ROWS($E$5:E665)),"")</f>
        <v/>
      </c>
      <c r="F665" s="5" t="n"/>
    </row>
    <row r="666">
      <c r="A666" s="10">
        <f>IF($E666="","",INDEX('Input Transaksi'!$A:$A,$E666))</f>
        <v/>
      </c>
      <c r="B666" s="5">
        <f>IF($E666="","",INDEX('Input Transaksi'!$D:$D,$E666))</f>
        <v/>
      </c>
      <c r="C666">
        <f>IF($E666="","",INDEX('Input Transaksi'!$E:$E,$E666))</f>
        <v/>
      </c>
      <c r="D666" s="5">
        <f>IF($E666="","",INDEX('Input Transaksi'!$F:$F,$E666))</f>
        <v/>
      </c>
      <c r="E666">
        <f>IFERROR(AGGREGATE(15,6,ROW('Input Transaksi'!$B$5:$B$5000)/('Input Transaksi'!$B$5:$B$5000="GEDE LONDRI"),ROWS($E$5:E666)),"")</f>
        <v/>
      </c>
      <c r="F666" s="5" t="n"/>
    </row>
    <row r="667">
      <c r="A667" s="10">
        <f>IF($E667="","",INDEX('Input Transaksi'!$A:$A,$E667))</f>
        <v/>
      </c>
      <c r="B667" s="5">
        <f>IF($E667="","",INDEX('Input Transaksi'!$D:$D,$E667))</f>
        <v/>
      </c>
      <c r="C667">
        <f>IF($E667="","",INDEX('Input Transaksi'!$E:$E,$E667))</f>
        <v/>
      </c>
      <c r="D667" s="5">
        <f>IF($E667="","",INDEX('Input Transaksi'!$F:$F,$E667))</f>
        <v/>
      </c>
      <c r="E667">
        <f>IFERROR(AGGREGATE(15,6,ROW('Input Transaksi'!$B$5:$B$5000)/('Input Transaksi'!$B$5:$B$5000="GEDE LONDRI"),ROWS($E$5:E667)),"")</f>
        <v/>
      </c>
      <c r="F667" s="5" t="n"/>
    </row>
    <row r="668">
      <c r="A668" s="10">
        <f>IF($E668="","",INDEX('Input Transaksi'!$A:$A,$E668))</f>
        <v/>
      </c>
      <c r="B668" s="5">
        <f>IF($E668="","",INDEX('Input Transaksi'!$D:$D,$E668))</f>
        <v/>
      </c>
      <c r="C668">
        <f>IF($E668="","",INDEX('Input Transaksi'!$E:$E,$E668))</f>
        <v/>
      </c>
      <c r="D668" s="5">
        <f>IF($E668="","",INDEX('Input Transaksi'!$F:$F,$E668))</f>
        <v/>
      </c>
      <c r="E668">
        <f>IFERROR(AGGREGATE(15,6,ROW('Input Transaksi'!$B$5:$B$5000)/('Input Transaksi'!$B$5:$B$5000="GEDE LONDRI"),ROWS($E$5:E668)),"")</f>
        <v/>
      </c>
      <c r="F668" s="5" t="n"/>
    </row>
    <row r="669">
      <c r="A669" s="10">
        <f>IF($E669="","",INDEX('Input Transaksi'!$A:$A,$E669))</f>
        <v/>
      </c>
      <c r="B669" s="5">
        <f>IF($E669="","",INDEX('Input Transaksi'!$D:$D,$E669))</f>
        <v/>
      </c>
      <c r="C669">
        <f>IF($E669="","",INDEX('Input Transaksi'!$E:$E,$E669))</f>
        <v/>
      </c>
      <c r="D669" s="5">
        <f>IF($E669="","",INDEX('Input Transaksi'!$F:$F,$E669))</f>
        <v/>
      </c>
      <c r="E669">
        <f>IFERROR(AGGREGATE(15,6,ROW('Input Transaksi'!$B$5:$B$5000)/('Input Transaksi'!$B$5:$B$5000="GEDE LONDRI"),ROWS($E$5:E669)),"")</f>
        <v/>
      </c>
      <c r="F669" s="5" t="n"/>
    </row>
    <row r="670">
      <c r="A670" s="10">
        <f>IF($E670="","",INDEX('Input Transaksi'!$A:$A,$E670))</f>
        <v/>
      </c>
      <c r="B670" s="5">
        <f>IF($E670="","",INDEX('Input Transaksi'!$D:$D,$E670))</f>
        <v/>
      </c>
      <c r="C670">
        <f>IF($E670="","",INDEX('Input Transaksi'!$E:$E,$E670))</f>
        <v/>
      </c>
      <c r="D670" s="5">
        <f>IF($E670="","",INDEX('Input Transaksi'!$F:$F,$E670))</f>
        <v/>
      </c>
      <c r="E670">
        <f>IFERROR(AGGREGATE(15,6,ROW('Input Transaksi'!$B$5:$B$5000)/('Input Transaksi'!$B$5:$B$5000="GEDE LONDRI"),ROWS($E$5:E670)),"")</f>
        <v/>
      </c>
      <c r="F670" s="5" t="n"/>
    </row>
    <row r="671">
      <c r="A671" s="10">
        <f>IF($E671="","",INDEX('Input Transaksi'!$A:$A,$E671))</f>
        <v/>
      </c>
      <c r="B671" s="5">
        <f>IF($E671="","",INDEX('Input Transaksi'!$D:$D,$E671))</f>
        <v/>
      </c>
      <c r="C671">
        <f>IF($E671="","",INDEX('Input Transaksi'!$E:$E,$E671))</f>
        <v/>
      </c>
      <c r="D671" s="5">
        <f>IF($E671="","",INDEX('Input Transaksi'!$F:$F,$E671))</f>
        <v/>
      </c>
      <c r="E671">
        <f>IFERROR(AGGREGATE(15,6,ROW('Input Transaksi'!$B$5:$B$5000)/('Input Transaksi'!$B$5:$B$5000="GEDE LONDRI"),ROWS($E$5:E671)),"")</f>
        <v/>
      </c>
      <c r="F671" s="5" t="n"/>
    </row>
    <row r="672">
      <c r="A672" s="10">
        <f>IF($E672="","",INDEX('Input Transaksi'!$A:$A,$E672))</f>
        <v/>
      </c>
      <c r="B672" s="5">
        <f>IF($E672="","",INDEX('Input Transaksi'!$D:$D,$E672))</f>
        <v/>
      </c>
      <c r="C672">
        <f>IF($E672="","",INDEX('Input Transaksi'!$E:$E,$E672))</f>
        <v/>
      </c>
      <c r="D672" s="5">
        <f>IF($E672="","",INDEX('Input Transaksi'!$F:$F,$E672))</f>
        <v/>
      </c>
      <c r="E672">
        <f>IFERROR(AGGREGATE(15,6,ROW('Input Transaksi'!$B$5:$B$5000)/('Input Transaksi'!$B$5:$B$5000="GEDE LONDRI"),ROWS($E$5:E672)),"")</f>
        <v/>
      </c>
      <c r="F672" s="5" t="n"/>
    </row>
    <row r="673">
      <c r="A673" s="10">
        <f>IF($E673="","",INDEX('Input Transaksi'!$A:$A,$E673))</f>
        <v/>
      </c>
      <c r="B673" s="5">
        <f>IF($E673="","",INDEX('Input Transaksi'!$D:$D,$E673))</f>
        <v/>
      </c>
      <c r="C673">
        <f>IF($E673="","",INDEX('Input Transaksi'!$E:$E,$E673))</f>
        <v/>
      </c>
      <c r="D673" s="5">
        <f>IF($E673="","",INDEX('Input Transaksi'!$F:$F,$E673))</f>
        <v/>
      </c>
      <c r="E673">
        <f>IFERROR(AGGREGATE(15,6,ROW('Input Transaksi'!$B$5:$B$5000)/('Input Transaksi'!$B$5:$B$5000="GEDE LONDRI"),ROWS($E$5:E673)),"")</f>
        <v/>
      </c>
      <c r="F673" s="5" t="n"/>
    </row>
    <row r="674">
      <c r="A674" s="10">
        <f>IF($E674="","",INDEX('Input Transaksi'!$A:$A,$E674))</f>
        <v/>
      </c>
      <c r="B674" s="5">
        <f>IF($E674="","",INDEX('Input Transaksi'!$D:$D,$E674))</f>
        <v/>
      </c>
      <c r="C674">
        <f>IF($E674="","",INDEX('Input Transaksi'!$E:$E,$E674))</f>
        <v/>
      </c>
      <c r="D674" s="5">
        <f>IF($E674="","",INDEX('Input Transaksi'!$F:$F,$E674))</f>
        <v/>
      </c>
      <c r="E674">
        <f>IFERROR(AGGREGATE(15,6,ROW('Input Transaksi'!$B$5:$B$5000)/('Input Transaksi'!$B$5:$B$5000="GEDE LONDRI"),ROWS($E$5:E674)),"")</f>
        <v/>
      </c>
      <c r="F674" s="5" t="n"/>
    </row>
    <row r="675">
      <c r="A675" s="10">
        <f>IF($E675="","",INDEX('Input Transaksi'!$A:$A,$E675))</f>
        <v/>
      </c>
      <c r="B675" s="5">
        <f>IF($E675="","",INDEX('Input Transaksi'!$D:$D,$E675))</f>
        <v/>
      </c>
      <c r="C675">
        <f>IF($E675="","",INDEX('Input Transaksi'!$E:$E,$E675))</f>
        <v/>
      </c>
      <c r="D675" s="5">
        <f>IF($E675="","",INDEX('Input Transaksi'!$F:$F,$E675))</f>
        <v/>
      </c>
      <c r="E675">
        <f>IFERROR(AGGREGATE(15,6,ROW('Input Transaksi'!$B$5:$B$5000)/('Input Transaksi'!$B$5:$B$5000="GEDE LONDRI"),ROWS($E$5:E675)),"")</f>
        <v/>
      </c>
      <c r="F675" s="5" t="n"/>
    </row>
    <row r="676">
      <c r="A676" s="10">
        <f>IF($E676="","",INDEX('Input Transaksi'!$A:$A,$E676))</f>
        <v/>
      </c>
      <c r="B676" s="5">
        <f>IF($E676="","",INDEX('Input Transaksi'!$D:$D,$E676))</f>
        <v/>
      </c>
      <c r="C676">
        <f>IF($E676="","",INDEX('Input Transaksi'!$E:$E,$E676))</f>
        <v/>
      </c>
      <c r="D676" s="5">
        <f>IF($E676="","",INDEX('Input Transaksi'!$F:$F,$E676))</f>
        <v/>
      </c>
      <c r="E676">
        <f>IFERROR(AGGREGATE(15,6,ROW('Input Transaksi'!$B$5:$B$5000)/('Input Transaksi'!$B$5:$B$5000="GEDE LONDRI"),ROWS($E$5:E676)),"")</f>
        <v/>
      </c>
      <c r="F676" s="5" t="n"/>
    </row>
    <row r="677">
      <c r="A677" s="10">
        <f>IF($E677="","",INDEX('Input Transaksi'!$A:$A,$E677))</f>
        <v/>
      </c>
      <c r="B677" s="5">
        <f>IF($E677="","",INDEX('Input Transaksi'!$D:$D,$E677))</f>
        <v/>
      </c>
      <c r="C677">
        <f>IF($E677="","",INDEX('Input Transaksi'!$E:$E,$E677))</f>
        <v/>
      </c>
      <c r="D677" s="5">
        <f>IF($E677="","",INDEX('Input Transaksi'!$F:$F,$E677))</f>
        <v/>
      </c>
      <c r="E677">
        <f>IFERROR(AGGREGATE(15,6,ROW('Input Transaksi'!$B$5:$B$5000)/('Input Transaksi'!$B$5:$B$5000="GEDE LONDRI"),ROWS($E$5:E677)),"")</f>
        <v/>
      </c>
      <c r="F677" s="5" t="n"/>
    </row>
    <row r="678">
      <c r="A678" s="10">
        <f>IF($E678="","",INDEX('Input Transaksi'!$A:$A,$E678))</f>
        <v/>
      </c>
      <c r="B678" s="5">
        <f>IF($E678="","",INDEX('Input Transaksi'!$D:$D,$E678))</f>
        <v/>
      </c>
      <c r="C678">
        <f>IF($E678="","",INDEX('Input Transaksi'!$E:$E,$E678))</f>
        <v/>
      </c>
      <c r="D678" s="5">
        <f>IF($E678="","",INDEX('Input Transaksi'!$F:$F,$E678))</f>
        <v/>
      </c>
      <c r="E678">
        <f>IFERROR(AGGREGATE(15,6,ROW('Input Transaksi'!$B$5:$B$5000)/('Input Transaksi'!$B$5:$B$5000="GEDE LONDRI"),ROWS($E$5:E678)),"")</f>
        <v/>
      </c>
      <c r="F678" s="5" t="n"/>
    </row>
    <row r="679">
      <c r="A679" s="10">
        <f>IF($E679="","",INDEX('Input Transaksi'!$A:$A,$E679))</f>
        <v/>
      </c>
      <c r="B679" s="5">
        <f>IF($E679="","",INDEX('Input Transaksi'!$D:$D,$E679))</f>
        <v/>
      </c>
      <c r="C679">
        <f>IF($E679="","",INDEX('Input Transaksi'!$E:$E,$E679))</f>
        <v/>
      </c>
      <c r="D679" s="5">
        <f>IF($E679="","",INDEX('Input Transaksi'!$F:$F,$E679))</f>
        <v/>
      </c>
      <c r="E679">
        <f>IFERROR(AGGREGATE(15,6,ROW('Input Transaksi'!$B$5:$B$5000)/('Input Transaksi'!$B$5:$B$5000="GEDE LONDRI"),ROWS($E$5:E679)),"")</f>
        <v/>
      </c>
      <c r="F679" s="5" t="n"/>
    </row>
    <row r="680">
      <c r="A680" s="10">
        <f>IF($E680="","",INDEX('Input Transaksi'!$A:$A,$E680))</f>
        <v/>
      </c>
      <c r="B680" s="5">
        <f>IF($E680="","",INDEX('Input Transaksi'!$D:$D,$E680))</f>
        <v/>
      </c>
      <c r="C680">
        <f>IF($E680="","",INDEX('Input Transaksi'!$E:$E,$E680))</f>
        <v/>
      </c>
      <c r="D680" s="5">
        <f>IF($E680="","",INDEX('Input Transaksi'!$F:$F,$E680))</f>
        <v/>
      </c>
      <c r="E680">
        <f>IFERROR(AGGREGATE(15,6,ROW('Input Transaksi'!$B$5:$B$5000)/('Input Transaksi'!$B$5:$B$5000="GEDE LONDRI"),ROWS($E$5:E680)),"")</f>
        <v/>
      </c>
      <c r="F680" s="5" t="n"/>
    </row>
    <row r="681">
      <c r="A681" s="10">
        <f>IF($E681="","",INDEX('Input Transaksi'!$A:$A,$E681))</f>
        <v/>
      </c>
      <c r="B681" s="5">
        <f>IF($E681="","",INDEX('Input Transaksi'!$D:$D,$E681))</f>
        <v/>
      </c>
      <c r="C681">
        <f>IF($E681="","",INDEX('Input Transaksi'!$E:$E,$E681))</f>
        <v/>
      </c>
      <c r="D681" s="5">
        <f>IF($E681="","",INDEX('Input Transaksi'!$F:$F,$E681))</f>
        <v/>
      </c>
      <c r="E681">
        <f>IFERROR(AGGREGATE(15,6,ROW('Input Transaksi'!$B$5:$B$5000)/('Input Transaksi'!$B$5:$B$5000="GEDE LONDRI"),ROWS($E$5:E681)),"")</f>
        <v/>
      </c>
      <c r="F681" s="5" t="n"/>
    </row>
    <row r="682">
      <c r="A682" s="10">
        <f>IF($E682="","",INDEX('Input Transaksi'!$A:$A,$E682))</f>
        <v/>
      </c>
      <c r="B682" s="5">
        <f>IF($E682="","",INDEX('Input Transaksi'!$D:$D,$E682))</f>
        <v/>
      </c>
      <c r="C682">
        <f>IF($E682="","",INDEX('Input Transaksi'!$E:$E,$E682))</f>
        <v/>
      </c>
      <c r="D682" s="5">
        <f>IF($E682="","",INDEX('Input Transaksi'!$F:$F,$E682))</f>
        <v/>
      </c>
      <c r="E682">
        <f>IFERROR(AGGREGATE(15,6,ROW('Input Transaksi'!$B$5:$B$5000)/('Input Transaksi'!$B$5:$B$5000="GEDE LONDRI"),ROWS($E$5:E682)),"")</f>
        <v/>
      </c>
      <c r="F682" s="5" t="n"/>
    </row>
    <row r="683">
      <c r="A683" s="10">
        <f>IF($E683="","",INDEX('Input Transaksi'!$A:$A,$E683))</f>
        <v/>
      </c>
      <c r="B683" s="5">
        <f>IF($E683="","",INDEX('Input Transaksi'!$D:$D,$E683))</f>
        <v/>
      </c>
      <c r="C683">
        <f>IF($E683="","",INDEX('Input Transaksi'!$E:$E,$E683))</f>
        <v/>
      </c>
      <c r="D683" s="5">
        <f>IF($E683="","",INDEX('Input Transaksi'!$F:$F,$E683))</f>
        <v/>
      </c>
      <c r="E683">
        <f>IFERROR(AGGREGATE(15,6,ROW('Input Transaksi'!$B$5:$B$5000)/('Input Transaksi'!$B$5:$B$5000="GEDE LONDRI"),ROWS($E$5:E683)),"")</f>
        <v/>
      </c>
      <c r="F683" s="5" t="n"/>
    </row>
    <row r="684">
      <c r="A684" s="10">
        <f>IF($E684="","",INDEX('Input Transaksi'!$A:$A,$E684))</f>
        <v/>
      </c>
      <c r="B684" s="5">
        <f>IF($E684="","",INDEX('Input Transaksi'!$D:$D,$E684))</f>
        <v/>
      </c>
      <c r="C684">
        <f>IF($E684="","",INDEX('Input Transaksi'!$E:$E,$E684))</f>
        <v/>
      </c>
      <c r="D684" s="5">
        <f>IF($E684="","",INDEX('Input Transaksi'!$F:$F,$E684))</f>
        <v/>
      </c>
      <c r="E684">
        <f>IFERROR(AGGREGATE(15,6,ROW('Input Transaksi'!$B$5:$B$5000)/('Input Transaksi'!$B$5:$B$5000="GEDE LONDRI"),ROWS($E$5:E684)),"")</f>
        <v/>
      </c>
      <c r="F684" s="5" t="n"/>
    </row>
    <row r="685">
      <c r="A685" s="10">
        <f>IF($E685="","",INDEX('Input Transaksi'!$A:$A,$E685))</f>
        <v/>
      </c>
      <c r="B685" s="5">
        <f>IF($E685="","",INDEX('Input Transaksi'!$D:$D,$E685))</f>
        <v/>
      </c>
      <c r="C685">
        <f>IF($E685="","",INDEX('Input Transaksi'!$E:$E,$E685))</f>
        <v/>
      </c>
      <c r="D685" s="5">
        <f>IF($E685="","",INDEX('Input Transaksi'!$F:$F,$E685))</f>
        <v/>
      </c>
      <c r="E685">
        <f>IFERROR(AGGREGATE(15,6,ROW('Input Transaksi'!$B$5:$B$5000)/('Input Transaksi'!$B$5:$B$5000="GEDE LONDRI"),ROWS($E$5:E685)),"")</f>
        <v/>
      </c>
      <c r="F685" s="5" t="n"/>
    </row>
    <row r="686">
      <c r="A686" s="10">
        <f>IF($E686="","",INDEX('Input Transaksi'!$A:$A,$E686))</f>
        <v/>
      </c>
      <c r="B686" s="5">
        <f>IF($E686="","",INDEX('Input Transaksi'!$D:$D,$E686))</f>
        <v/>
      </c>
      <c r="C686">
        <f>IF($E686="","",INDEX('Input Transaksi'!$E:$E,$E686))</f>
        <v/>
      </c>
      <c r="D686" s="5">
        <f>IF($E686="","",INDEX('Input Transaksi'!$F:$F,$E686))</f>
        <v/>
      </c>
      <c r="E686">
        <f>IFERROR(AGGREGATE(15,6,ROW('Input Transaksi'!$B$5:$B$5000)/('Input Transaksi'!$B$5:$B$5000="GEDE LONDRI"),ROWS($E$5:E686)),"")</f>
        <v/>
      </c>
      <c r="F686" s="5" t="n"/>
    </row>
    <row r="687">
      <c r="A687" s="10">
        <f>IF($E687="","",INDEX('Input Transaksi'!$A:$A,$E687))</f>
        <v/>
      </c>
      <c r="B687" s="5">
        <f>IF($E687="","",INDEX('Input Transaksi'!$D:$D,$E687))</f>
        <v/>
      </c>
      <c r="C687">
        <f>IF($E687="","",INDEX('Input Transaksi'!$E:$E,$E687))</f>
        <v/>
      </c>
      <c r="D687" s="5">
        <f>IF($E687="","",INDEX('Input Transaksi'!$F:$F,$E687))</f>
        <v/>
      </c>
      <c r="E687">
        <f>IFERROR(AGGREGATE(15,6,ROW('Input Transaksi'!$B$5:$B$5000)/('Input Transaksi'!$B$5:$B$5000="GEDE LONDRI"),ROWS($E$5:E687)),"")</f>
        <v/>
      </c>
      <c r="F687" s="5" t="n"/>
    </row>
    <row r="688">
      <c r="A688" s="10">
        <f>IF($E688="","",INDEX('Input Transaksi'!$A:$A,$E688))</f>
        <v/>
      </c>
      <c r="B688" s="5">
        <f>IF($E688="","",INDEX('Input Transaksi'!$D:$D,$E688))</f>
        <v/>
      </c>
      <c r="C688">
        <f>IF($E688="","",INDEX('Input Transaksi'!$E:$E,$E688))</f>
        <v/>
      </c>
      <c r="D688" s="5">
        <f>IF($E688="","",INDEX('Input Transaksi'!$F:$F,$E688))</f>
        <v/>
      </c>
      <c r="E688">
        <f>IFERROR(AGGREGATE(15,6,ROW('Input Transaksi'!$B$5:$B$5000)/('Input Transaksi'!$B$5:$B$5000="GEDE LONDRI"),ROWS($E$5:E688)),"")</f>
        <v/>
      </c>
      <c r="F688" s="5" t="n"/>
    </row>
    <row r="689">
      <c r="A689" s="10">
        <f>IF($E689="","",INDEX('Input Transaksi'!$A:$A,$E689))</f>
        <v/>
      </c>
      <c r="B689" s="5">
        <f>IF($E689="","",INDEX('Input Transaksi'!$D:$D,$E689))</f>
        <v/>
      </c>
      <c r="C689">
        <f>IF($E689="","",INDEX('Input Transaksi'!$E:$E,$E689))</f>
        <v/>
      </c>
      <c r="D689" s="5">
        <f>IF($E689="","",INDEX('Input Transaksi'!$F:$F,$E689))</f>
        <v/>
      </c>
      <c r="E689">
        <f>IFERROR(AGGREGATE(15,6,ROW('Input Transaksi'!$B$5:$B$5000)/('Input Transaksi'!$B$5:$B$5000="GEDE LONDRI"),ROWS($E$5:E689)),"")</f>
        <v/>
      </c>
      <c r="F689" s="5" t="n"/>
    </row>
    <row r="690">
      <c r="A690" s="10">
        <f>IF($E690="","",INDEX('Input Transaksi'!$A:$A,$E690))</f>
        <v/>
      </c>
      <c r="B690" s="5">
        <f>IF($E690="","",INDEX('Input Transaksi'!$D:$D,$E690))</f>
        <v/>
      </c>
      <c r="C690">
        <f>IF($E690="","",INDEX('Input Transaksi'!$E:$E,$E690))</f>
        <v/>
      </c>
      <c r="D690" s="5">
        <f>IF($E690="","",INDEX('Input Transaksi'!$F:$F,$E690))</f>
        <v/>
      </c>
      <c r="E690">
        <f>IFERROR(AGGREGATE(15,6,ROW('Input Transaksi'!$B$5:$B$5000)/('Input Transaksi'!$B$5:$B$5000="GEDE LONDRI"),ROWS($E$5:E690)),"")</f>
        <v/>
      </c>
      <c r="F690" s="5" t="n"/>
    </row>
    <row r="691">
      <c r="A691" s="10">
        <f>IF($E691="","",INDEX('Input Transaksi'!$A:$A,$E691))</f>
        <v/>
      </c>
      <c r="B691" s="5">
        <f>IF($E691="","",INDEX('Input Transaksi'!$D:$D,$E691))</f>
        <v/>
      </c>
      <c r="C691">
        <f>IF($E691="","",INDEX('Input Transaksi'!$E:$E,$E691))</f>
        <v/>
      </c>
      <c r="D691" s="5">
        <f>IF($E691="","",INDEX('Input Transaksi'!$F:$F,$E691))</f>
        <v/>
      </c>
      <c r="E691">
        <f>IFERROR(AGGREGATE(15,6,ROW('Input Transaksi'!$B$5:$B$5000)/('Input Transaksi'!$B$5:$B$5000="GEDE LONDRI"),ROWS($E$5:E691)),"")</f>
        <v/>
      </c>
      <c r="F691" s="5" t="n"/>
    </row>
    <row r="692">
      <c r="A692" s="10">
        <f>IF($E692="","",INDEX('Input Transaksi'!$A:$A,$E692))</f>
        <v/>
      </c>
      <c r="B692" s="5">
        <f>IF($E692="","",INDEX('Input Transaksi'!$D:$D,$E692))</f>
        <v/>
      </c>
      <c r="C692">
        <f>IF($E692="","",INDEX('Input Transaksi'!$E:$E,$E692))</f>
        <v/>
      </c>
      <c r="D692" s="5">
        <f>IF($E692="","",INDEX('Input Transaksi'!$F:$F,$E692))</f>
        <v/>
      </c>
      <c r="E692">
        <f>IFERROR(AGGREGATE(15,6,ROW('Input Transaksi'!$B$5:$B$5000)/('Input Transaksi'!$B$5:$B$5000="GEDE LONDRI"),ROWS($E$5:E692)),"")</f>
        <v/>
      </c>
      <c r="F692" s="5" t="n"/>
    </row>
    <row r="693">
      <c r="A693" s="10">
        <f>IF($E693="","",INDEX('Input Transaksi'!$A:$A,$E693))</f>
        <v/>
      </c>
      <c r="B693" s="5">
        <f>IF($E693="","",INDEX('Input Transaksi'!$D:$D,$E693))</f>
        <v/>
      </c>
      <c r="C693">
        <f>IF($E693="","",INDEX('Input Transaksi'!$E:$E,$E693))</f>
        <v/>
      </c>
      <c r="D693" s="5">
        <f>IF($E693="","",INDEX('Input Transaksi'!$F:$F,$E693))</f>
        <v/>
      </c>
      <c r="E693">
        <f>IFERROR(AGGREGATE(15,6,ROW('Input Transaksi'!$B$5:$B$5000)/('Input Transaksi'!$B$5:$B$5000="GEDE LONDRI"),ROWS($E$5:E693)),"")</f>
        <v/>
      </c>
      <c r="F693" s="5" t="n"/>
    </row>
    <row r="694">
      <c r="A694" s="10">
        <f>IF($E694="","",INDEX('Input Transaksi'!$A:$A,$E694))</f>
        <v/>
      </c>
      <c r="B694" s="5">
        <f>IF($E694="","",INDEX('Input Transaksi'!$D:$D,$E694))</f>
        <v/>
      </c>
      <c r="C694">
        <f>IF($E694="","",INDEX('Input Transaksi'!$E:$E,$E694))</f>
        <v/>
      </c>
      <c r="D694" s="5">
        <f>IF($E694="","",INDEX('Input Transaksi'!$F:$F,$E694))</f>
        <v/>
      </c>
      <c r="E694">
        <f>IFERROR(AGGREGATE(15,6,ROW('Input Transaksi'!$B$5:$B$5000)/('Input Transaksi'!$B$5:$B$5000="GEDE LONDRI"),ROWS($E$5:E694)),"")</f>
        <v/>
      </c>
      <c r="F694" s="5" t="n"/>
    </row>
    <row r="695">
      <c r="A695" s="10">
        <f>IF($E695="","",INDEX('Input Transaksi'!$A:$A,$E695))</f>
        <v/>
      </c>
      <c r="B695" s="5">
        <f>IF($E695="","",INDEX('Input Transaksi'!$D:$D,$E695))</f>
        <v/>
      </c>
      <c r="C695">
        <f>IF($E695="","",INDEX('Input Transaksi'!$E:$E,$E695))</f>
        <v/>
      </c>
      <c r="D695" s="5">
        <f>IF($E695="","",INDEX('Input Transaksi'!$F:$F,$E695))</f>
        <v/>
      </c>
      <c r="E695">
        <f>IFERROR(AGGREGATE(15,6,ROW('Input Transaksi'!$B$5:$B$5000)/('Input Transaksi'!$B$5:$B$5000="GEDE LONDRI"),ROWS($E$5:E695)),"")</f>
        <v/>
      </c>
      <c r="F695" s="5" t="n"/>
    </row>
    <row r="696">
      <c r="A696" s="10">
        <f>IF($E696="","",INDEX('Input Transaksi'!$A:$A,$E696))</f>
        <v/>
      </c>
      <c r="B696" s="5">
        <f>IF($E696="","",INDEX('Input Transaksi'!$D:$D,$E696))</f>
        <v/>
      </c>
      <c r="C696">
        <f>IF($E696="","",INDEX('Input Transaksi'!$E:$E,$E696))</f>
        <v/>
      </c>
      <c r="D696" s="5">
        <f>IF($E696="","",INDEX('Input Transaksi'!$F:$F,$E696))</f>
        <v/>
      </c>
      <c r="E696">
        <f>IFERROR(AGGREGATE(15,6,ROW('Input Transaksi'!$B$5:$B$5000)/('Input Transaksi'!$B$5:$B$5000="GEDE LONDRI"),ROWS($E$5:E696)),"")</f>
        <v/>
      </c>
      <c r="F696" s="5" t="n"/>
    </row>
    <row r="697">
      <c r="A697" s="10">
        <f>IF($E697="","",INDEX('Input Transaksi'!$A:$A,$E697))</f>
        <v/>
      </c>
      <c r="B697" s="5">
        <f>IF($E697="","",INDEX('Input Transaksi'!$D:$D,$E697))</f>
        <v/>
      </c>
      <c r="C697">
        <f>IF($E697="","",INDEX('Input Transaksi'!$E:$E,$E697))</f>
        <v/>
      </c>
      <c r="D697" s="5">
        <f>IF($E697="","",INDEX('Input Transaksi'!$F:$F,$E697))</f>
        <v/>
      </c>
      <c r="E697">
        <f>IFERROR(AGGREGATE(15,6,ROW('Input Transaksi'!$B$5:$B$5000)/('Input Transaksi'!$B$5:$B$5000="GEDE LONDRI"),ROWS($E$5:E697)),"")</f>
        <v/>
      </c>
      <c r="F697" s="5" t="n"/>
    </row>
    <row r="698">
      <c r="A698" s="10">
        <f>IF($E698="","",INDEX('Input Transaksi'!$A:$A,$E698))</f>
        <v/>
      </c>
      <c r="B698" s="5">
        <f>IF($E698="","",INDEX('Input Transaksi'!$D:$D,$E698))</f>
        <v/>
      </c>
      <c r="C698">
        <f>IF($E698="","",INDEX('Input Transaksi'!$E:$E,$E698))</f>
        <v/>
      </c>
      <c r="D698" s="5">
        <f>IF($E698="","",INDEX('Input Transaksi'!$F:$F,$E698))</f>
        <v/>
      </c>
      <c r="E698">
        <f>IFERROR(AGGREGATE(15,6,ROW('Input Transaksi'!$B$5:$B$5000)/('Input Transaksi'!$B$5:$B$5000="GEDE LONDRI"),ROWS($E$5:E698)),"")</f>
        <v/>
      </c>
      <c r="F698" s="5" t="n"/>
    </row>
    <row r="699">
      <c r="A699" s="10">
        <f>IF($E699="","",INDEX('Input Transaksi'!$A:$A,$E699))</f>
        <v/>
      </c>
      <c r="B699" s="5">
        <f>IF($E699="","",INDEX('Input Transaksi'!$D:$D,$E699))</f>
        <v/>
      </c>
      <c r="C699">
        <f>IF($E699="","",INDEX('Input Transaksi'!$E:$E,$E699))</f>
        <v/>
      </c>
      <c r="D699" s="5">
        <f>IF($E699="","",INDEX('Input Transaksi'!$F:$F,$E699))</f>
        <v/>
      </c>
      <c r="E699">
        <f>IFERROR(AGGREGATE(15,6,ROW('Input Transaksi'!$B$5:$B$5000)/('Input Transaksi'!$B$5:$B$5000="GEDE LONDRI"),ROWS($E$5:E699)),"")</f>
        <v/>
      </c>
      <c r="F699" s="5" t="n"/>
    </row>
    <row r="700">
      <c r="A700" s="10">
        <f>IF($E700="","",INDEX('Input Transaksi'!$A:$A,$E700))</f>
        <v/>
      </c>
      <c r="B700" s="5">
        <f>IF($E700="","",INDEX('Input Transaksi'!$D:$D,$E700))</f>
        <v/>
      </c>
      <c r="C700">
        <f>IF($E700="","",INDEX('Input Transaksi'!$E:$E,$E700))</f>
        <v/>
      </c>
      <c r="D700" s="5">
        <f>IF($E700="","",INDEX('Input Transaksi'!$F:$F,$E700))</f>
        <v/>
      </c>
      <c r="E700">
        <f>IFERROR(AGGREGATE(15,6,ROW('Input Transaksi'!$B$5:$B$5000)/('Input Transaksi'!$B$5:$B$5000="GEDE LONDRI"),ROWS($E$5:E700)),"")</f>
        <v/>
      </c>
      <c r="F700" s="5" t="n"/>
    </row>
    <row r="701">
      <c r="A701" s="10">
        <f>IF($E701="","",INDEX('Input Transaksi'!$A:$A,$E701))</f>
        <v/>
      </c>
      <c r="B701" s="5">
        <f>IF($E701="","",INDEX('Input Transaksi'!$D:$D,$E701))</f>
        <v/>
      </c>
      <c r="C701">
        <f>IF($E701="","",INDEX('Input Transaksi'!$E:$E,$E701))</f>
        <v/>
      </c>
      <c r="D701" s="5">
        <f>IF($E701="","",INDEX('Input Transaksi'!$F:$F,$E701))</f>
        <v/>
      </c>
      <c r="E701">
        <f>IFERROR(AGGREGATE(15,6,ROW('Input Transaksi'!$B$5:$B$5000)/('Input Transaksi'!$B$5:$B$5000="GEDE LONDRI"),ROWS($E$5:E701)),"")</f>
        <v/>
      </c>
      <c r="F701" s="5" t="n"/>
    </row>
    <row r="702">
      <c r="A702" s="10">
        <f>IF($E702="","",INDEX('Input Transaksi'!$A:$A,$E702))</f>
        <v/>
      </c>
      <c r="B702" s="5">
        <f>IF($E702="","",INDEX('Input Transaksi'!$D:$D,$E702))</f>
        <v/>
      </c>
      <c r="C702">
        <f>IF($E702="","",INDEX('Input Transaksi'!$E:$E,$E702))</f>
        <v/>
      </c>
      <c r="D702" s="5">
        <f>IF($E702="","",INDEX('Input Transaksi'!$F:$F,$E702))</f>
        <v/>
      </c>
      <c r="E702">
        <f>IFERROR(AGGREGATE(15,6,ROW('Input Transaksi'!$B$5:$B$5000)/('Input Transaksi'!$B$5:$B$5000="GEDE LONDRI"),ROWS($E$5:E702)),"")</f>
        <v/>
      </c>
      <c r="F702" s="5" t="n"/>
    </row>
    <row r="703">
      <c r="A703" s="10">
        <f>IF($E703="","",INDEX('Input Transaksi'!$A:$A,$E703))</f>
        <v/>
      </c>
      <c r="B703" s="5">
        <f>IF($E703="","",INDEX('Input Transaksi'!$D:$D,$E703))</f>
        <v/>
      </c>
      <c r="C703">
        <f>IF($E703="","",INDEX('Input Transaksi'!$E:$E,$E703))</f>
        <v/>
      </c>
      <c r="D703" s="5">
        <f>IF($E703="","",INDEX('Input Transaksi'!$F:$F,$E703))</f>
        <v/>
      </c>
      <c r="E703">
        <f>IFERROR(AGGREGATE(15,6,ROW('Input Transaksi'!$B$5:$B$5000)/('Input Transaksi'!$B$5:$B$5000="GEDE LONDRI"),ROWS($E$5:E703)),"")</f>
        <v/>
      </c>
      <c r="F703" s="5" t="n"/>
    </row>
    <row r="704">
      <c r="A704" s="10">
        <f>IF($E704="","",INDEX('Input Transaksi'!$A:$A,$E704))</f>
        <v/>
      </c>
      <c r="B704" s="5">
        <f>IF($E704="","",INDEX('Input Transaksi'!$D:$D,$E704))</f>
        <v/>
      </c>
      <c r="C704">
        <f>IF($E704="","",INDEX('Input Transaksi'!$E:$E,$E704))</f>
        <v/>
      </c>
      <c r="D704" s="5">
        <f>IF($E704="","",INDEX('Input Transaksi'!$F:$F,$E704))</f>
        <v/>
      </c>
      <c r="E704">
        <f>IFERROR(AGGREGATE(15,6,ROW('Input Transaksi'!$B$5:$B$5000)/('Input Transaksi'!$B$5:$B$5000="GEDE LONDRI"),ROWS($E$5:E704)),"")</f>
        <v/>
      </c>
      <c r="F704" s="5" t="n"/>
    </row>
    <row r="705">
      <c r="A705" s="10">
        <f>IF($E705="","",INDEX('Input Transaksi'!$A:$A,$E705))</f>
        <v/>
      </c>
      <c r="B705" s="5">
        <f>IF($E705="","",INDEX('Input Transaksi'!$D:$D,$E705))</f>
        <v/>
      </c>
      <c r="C705">
        <f>IF($E705="","",INDEX('Input Transaksi'!$E:$E,$E705))</f>
        <v/>
      </c>
      <c r="D705" s="5">
        <f>IF($E705="","",INDEX('Input Transaksi'!$F:$F,$E705))</f>
        <v/>
      </c>
      <c r="E705">
        <f>IFERROR(AGGREGATE(15,6,ROW('Input Transaksi'!$B$5:$B$5000)/('Input Transaksi'!$B$5:$B$5000="GEDE LONDRI"),ROWS($E$5:E705)),"")</f>
        <v/>
      </c>
      <c r="F705" s="5" t="n"/>
    </row>
    <row r="706">
      <c r="A706" s="10">
        <f>IF($E706="","",INDEX('Input Transaksi'!$A:$A,$E706))</f>
        <v/>
      </c>
      <c r="B706" s="5">
        <f>IF($E706="","",INDEX('Input Transaksi'!$D:$D,$E706))</f>
        <v/>
      </c>
      <c r="C706">
        <f>IF($E706="","",INDEX('Input Transaksi'!$E:$E,$E706))</f>
        <v/>
      </c>
      <c r="D706" s="5">
        <f>IF($E706="","",INDEX('Input Transaksi'!$F:$F,$E706))</f>
        <v/>
      </c>
      <c r="E706">
        <f>IFERROR(AGGREGATE(15,6,ROW('Input Transaksi'!$B$5:$B$5000)/('Input Transaksi'!$B$5:$B$5000="GEDE LONDRI"),ROWS($E$5:E706)),"")</f>
        <v/>
      </c>
      <c r="F706" s="5" t="n"/>
    </row>
    <row r="707">
      <c r="A707" s="10">
        <f>IF($E707="","",INDEX('Input Transaksi'!$A:$A,$E707))</f>
        <v/>
      </c>
      <c r="B707" s="5">
        <f>IF($E707="","",INDEX('Input Transaksi'!$D:$D,$E707))</f>
        <v/>
      </c>
      <c r="C707">
        <f>IF($E707="","",INDEX('Input Transaksi'!$E:$E,$E707))</f>
        <v/>
      </c>
      <c r="D707" s="5">
        <f>IF($E707="","",INDEX('Input Transaksi'!$F:$F,$E707))</f>
        <v/>
      </c>
      <c r="E707">
        <f>IFERROR(AGGREGATE(15,6,ROW('Input Transaksi'!$B$5:$B$5000)/('Input Transaksi'!$B$5:$B$5000="GEDE LONDRI"),ROWS($E$5:E707)),"")</f>
        <v/>
      </c>
      <c r="F707" s="5" t="n"/>
    </row>
    <row r="708">
      <c r="A708" s="10">
        <f>IF($E708="","",INDEX('Input Transaksi'!$A:$A,$E708))</f>
        <v/>
      </c>
      <c r="B708" s="5">
        <f>IF($E708="","",INDEX('Input Transaksi'!$D:$D,$E708))</f>
        <v/>
      </c>
      <c r="C708">
        <f>IF($E708="","",INDEX('Input Transaksi'!$E:$E,$E708))</f>
        <v/>
      </c>
      <c r="D708" s="5">
        <f>IF($E708="","",INDEX('Input Transaksi'!$F:$F,$E708))</f>
        <v/>
      </c>
      <c r="E708">
        <f>IFERROR(AGGREGATE(15,6,ROW('Input Transaksi'!$B$5:$B$5000)/('Input Transaksi'!$B$5:$B$5000="GEDE LONDRI"),ROWS($E$5:E708)),"")</f>
        <v/>
      </c>
      <c r="F708" s="5" t="n"/>
    </row>
    <row r="709">
      <c r="A709" s="10">
        <f>IF($E709="","",INDEX('Input Transaksi'!$A:$A,$E709))</f>
        <v/>
      </c>
      <c r="B709" s="5">
        <f>IF($E709="","",INDEX('Input Transaksi'!$D:$D,$E709))</f>
        <v/>
      </c>
      <c r="C709">
        <f>IF($E709="","",INDEX('Input Transaksi'!$E:$E,$E709))</f>
        <v/>
      </c>
      <c r="D709" s="5">
        <f>IF($E709="","",INDEX('Input Transaksi'!$F:$F,$E709))</f>
        <v/>
      </c>
      <c r="E709">
        <f>IFERROR(AGGREGATE(15,6,ROW('Input Transaksi'!$B$5:$B$5000)/('Input Transaksi'!$B$5:$B$5000="GEDE LONDRI"),ROWS($E$5:E709)),"")</f>
        <v/>
      </c>
      <c r="F709" s="5" t="n"/>
    </row>
    <row r="710">
      <c r="A710" s="10">
        <f>IF($E710="","",INDEX('Input Transaksi'!$A:$A,$E710))</f>
        <v/>
      </c>
      <c r="B710" s="5">
        <f>IF($E710="","",INDEX('Input Transaksi'!$D:$D,$E710))</f>
        <v/>
      </c>
      <c r="C710">
        <f>IF($E710="","",INDEX('Input Transaksi'!$E:$E,$E710))</f>
        <v/>
      </c>
      <c r="D710" s="5">
        <f>IF($E710="","",INDEX('Input Transaksi'!$F:$F,$E710))</f>
        <v/>
      </c>
      <c r="E710">
        <f>IFERROR(AGGREGATE(15,6,ROW('Input Transaksi'!$B$5:$B$5000)/('Input Transaksi'!$B$5:$B$5000="GEDE LONDRI"),ROWS($E$5:E710)),"")</f>
        <v/>
      </c>
      <c r="F710" s="5" t="n"/>
    </row>
    <row r="711">
      <c r="A711" s="10">
        <f>IF($E711="","",INDEX('Input Transaksi'!$A:$A,$E711))</f>
        <v/>
      </c>
      <c r="B711" s="5">
        <f>IF($E711="","",INDEX('Input Transaksi'!$D:$D,$E711))</f>
        <v/>
      </c>
      <c r="C711">
        <f>IF($E711="","",INDEX('Input Transaksi'!$E:$E,$E711))</f>
        <v/>
      </c>
      <c r="D711" s="5">
        <f>IF($E711="","",INDEX('Input Transaksi'!$F:$F,$E711))</f>
        <v/>
      </c>
      <c r="E711">
        <f>IFERROR(AGGREGATE(15,6,ROW('Input Transaksi'!$B$5:$B$5000)/('Input Transaksi'!$B$5:$B$5000="GEDE LONDRI"),ROWS($E$5:E711)),"")</f>
        <v/>
      </c>
      <c r="F711" s="5" t="n"/>
    </row>
    <row r="712">
      <c r="A712" s="10">
        <f>IF($E712="","",INDEX('Input Transaksi'!$A:$A,$E712))</f>
        <v/>
      </c>
      <c r="B712" s="5">
        <f>IF($E712="","",INDEX('Input Transaksi'!$D:$D,$E712))</f>
        <v/>
      </c>
      <c r="C712">
        <f>IF($E712="","",INDEX('Input Transaksi'!$E:$E,$E712))</f>
        <v/>
      </c>
      <c r="D712" s="5">
        <f>IF($E712="","",INDEX('Input Transaksi'!$F:$F,$E712))</f>
        <v/>
      </c>
      <c r="E712">
        <f>IFERROR(AGGREGATE(15,6,ROW('Input Transaksi'!$B$5:$B$5000)/('Input Transaksi'!$B$5:$B$5000="GEDE LONDRI"),ROWS($E$5:E712)),"")</f>
        <v/>
      </c>
      <c r="F712" s="5" t="n"/>
    </row>
    <row r="713">
      <c r="A713" s="10">
        <f>IF($E713="","",INDEX('Input Transaksi'!$A:$A,$E713))</f>
        <v/>
      </c>
      <c r="B713" s="5">
        <f>IF($E713="","",INDEX('Input Transaksi'!$D:$D,$E713))</f>
        <v/>
      </c>
      <c r="C713">
        <f>IF($E713="","",INDEX('Input Transaksi'!$E:$E,$E713))</f>
        <v/>
      </c>
      <c r="D713" s="5">
        <f>IF($E713="","",INDEX('Input Transaksi'!$F:$F,$E713))</f>
        <v/>
      </c>
      <c r="E713">
        <f>IFERROR(AGGREGATE(15,6,ROW('Input Transaksi'!$B$5:$B$5000)/('Input Transaksi'!$B$5:$B$5000="GEDE LONDRI"),ROWS($E$5:E713)),"")</f>
        <v/>
      </c>
      <c r="F713" s="5" t="n"/>
    </row>
    <row r="714">
      <c r="A714" s="10">
        <f>IF($E714="","",INDEX('Input Transaksi'!$A:$A,$E714))</f>
        <v/>
      </c>
      <c r="B714" s="5">
        <f>IF($E714="","",INDEX('Input Transaksi'!$D:$D,$E714))</f>
        <v/>
      </c>
      <c r="C714">
        <f>IF($E714="","",INDEX('Input Transaksi'!$E:$E,$E714))</f>
        <v/>
      </c>
      <c r="D714" s="5">
        <f>IF($E714="","",INDEX('Input Transaksi'!$F:$F,$E714))</f>
        <v/>
      </c>
      <c r="E714">
        <f>IFERROR(AGGREGATE(15,6,ROW('Input Transaksi'!$B$5:$B$5000)/('Input Transaksi'!$B$5:$B$5000="GEDE LONDRI"),ROWS($E$5:E714)),"")</f>
        <v/>
      </c>
      <c r="F714" s="5" t="n"/>
    </row>
    <row r="715">
      <c r="A715" s="10">
        <f>IF($E715="","",INDEX('Input Transaksi'!$A:$A,$E715))</f>
        <v/>
      </c>
      <c r="B715" s="5">
        <f>IF($E715="","",INDEX('Input Transaksi'!$D:$D,$E715))</f>
        <v/>
      </c>
      <c r="C715">
        <f>IF($E715="","",INDEX('Input Transaksi'!$E:$E,$E715))</f>
        <v/>
      </c>
      <c r="D715" s="5">
        <f>IF($E715="","",INDEX('Input Transaksi'!$F:$F,$E715))</f>
        <v/>
      </c>
      <c r="E715">
        <f>IFERROR(AGGREGATE(15,6,ROW('Input Transaksi'!$B$5:$B$5000)/('Input Transaksi'!$B$5:$B$5000="GEDE LONDRI"),ROWS($E$5:E715)),"")</f>
        <v/>
      </c>
      <c r="F715" s="5" t="n"/>
    </row>
    <row r="716">
      <c r="A716" s="10">
        <f>IF($E716="","",INDEX('Input Transaksi'!$A:$A,$E716))</f>
        <v/>
      </c>
      <c r="B716" s="5">
        <f>IF($E716="","",INDEX('Input Transaksi'!$D:$D,$E716))</f>
        <v/>
      </c>
      <c r="C716">
        <f>IF($E716="","",INDEX('Input Transaksi'!$E:$E,$E716))</f>
        <v/>
      </c>
      <c r="D716" s="5">
        <f>IF($E716="","",INDEX('Input Transaksi'!$F:$F,$E716))</f>
        <v/>
      </c>
      <c r="E716">
        <f>IFERROR(AGGREGATE(15,6,ROW('Input Transaksi'!$B$5:$B$5000)/('Input Transaksi'!$B$5:$B$5000="GEDE LONDRI"),ROWS($E$5:E716)),"")</f>
        <v/>
      </c>
      <c r="F716" s="5" t="n"/>
    </row>
    <row r="717">
      <c r="A717" s="10">
        <f>IF($E717="","",INDEX('Input Transaksi'!$A:$A,$E717))</f>
        <v/>
      </c>
      <c r="B717" s="5">
        <f>IF($E717="","",INDEX('Input Transaksi'!$D:$D,$E717))</f>
        <v/>
      </c>
      <c r="C717">
        <f>IF($E717="","",INDEX('Input Transaksi'!$E:$E,$E717))</f>
        <v/>
      </c>
      <c r="D717" s="5">
        <f>IF($E717="","",INDEX('Input Transaksi'!$F:$F,$E717))</f>
        <v/>
      </c>
      <c r="E717">
        <f>IFERROR(AGGREGATE(15,6,ROW('Input Transaksi'!$B$5:$B$5000)/('Input Transaksi'!$B$5:$B$5000="GEDE LONDRI"),ROWS($E$5:E717)),"")</f>
        <v/>
      </c>
      <c r="F717" s="5" t="n"/>
    </row>
    <row r="718">
      <c r="A718" s="10">
        <f>IF($E718="","",INDEX('Input Transaksi'!$A:$A,$E718))</f>
        <v/>
      </c>
      <c r="B718" s="5">
        <f>IF($E718="","",INDEX('Input Transaksi'!$D:$D,$E718))</f>
        <v/>
      </c>
      <c r="C718">
        <f>IF($E718="","",INDEX('Input Transaksi'!$E:$E,$E718))</f>
        <v/>
      </c>
      <c r="D718" s="5">
        <f>IF($E718="","",INDEX('Input Transaksi'!$F:$F,$E718))</f>
        <v/>
      </c>
      <c r="E718">
        <f>IFERROR(AGGREGATE(15,6,ROW('Input Transaksi'!$B$5:$B$5000)/('Input Transaksi'!$B$5:$B$5000="GEDE LONDRI"),ROWS($E$5:E718)),"")</f>
        <v/>
      </c>
      <c r="F718" s="5" t="n"/>
    </row>
    <row r="719">
      <c r="A719" s="10">
        <f>IF($E719="","",INDEX('Input Transaksi'!$A:$A,$E719))</f>
        <v/>
      </c>
      <c r="B719" s="5">
        <f>IF($E719="","",INDEX('Input Transaksi'!$D:$D,$E719))</f>
        <v/>
      </c>
      <c r="C719">
        <f>IF($E719="","",INDEX('Input Transaksi'!$E:$E,$E719))</f>
        <v/>
      </c>
      <c r="D719" s="5">
        <f>IF($E719="","",INDEX('Input Transaksi'!$F:$F,$E719))</f>
        <v/>
      </c>
      <c r="E719">
        <f>IFERROR(AGGREGATE(15,6,ROW('Input Transaksi'!$B$5:$B$5000)/('Input Transaksi'!$B$5:$B$5000="GEDE LONDRI"),ROWS($E$5:E719)),"")</f>
        <v/>
      </c>
      <c r="F719" s="5" t="n"/>
    </row>
    <row r="720">
      <c r="A720" s="10">
        <f>IF($E720="","",INDEX('Input Transaksi'!$A:$A,$E720))</f>
        <v/>
      </c>
      <c r="B720" s="5">
        <f>IF($E720="","",INDEX('Input Transaksi'!$D:$D,$E720))</f>
        <v/>
      </c>
      <c r="C720">
        <f>IF($E720="","",INDEX('Input Transaksi'!$E:$E,$E720))</f>
        <v/>
      </c>
      <c r="D720" s="5">
        <f>IF($E720="","",INDEX('Input Transaksi'!$F:$F,$E720))</f>
        <v/>
      </c>
      <c r="E720">
        <f>IFERROR(AGGREGATE(15,6,ROW('Input Transaksi'!$B$5:$B$5000)/('Input Transaksi'!$B$5:$B$5000="GEDE LONDRI"),ROWS($E$5:E720)),"")</f>
        <v/>
      </c>
      <c r="F720" s="5" t="n"/>
    </row>
    <row r="721">
      <c r="A721" s="10">
        <f>IF($E721="","",INDEX('Input Transaksi'!$A:$A,$E721))</f>
        <v/>
      </c>
      <c r="B721" s="5">
        <f>IF($E721="","",INDEX('Input Transaksi'!$D:$D,$E721))</f>
        <v/>
      </c>
      <c r="C721">
        <f>IF($E721="","",INDEX('Input Transaksi'!$E:$E,$E721))</f>
        <v/>
      </c>
      <c r="D721" s="5">
        <f>IF($E721="","",INDEX('Input Transaksi'!$F:$F,$E721))</f>
        <v/>
      </c>
      <c r="E721">
        <f>IFERROR(AGGREGATE(15,6,ROW('Input Transaksi'!$B$5:$B$5000)/('Input Transaksi'!$B$5:$B$5000="GEDE LONDRI"),ROWS($E$5:E721)),"")</f>
        <v/>
      </c>
      <c r="F721" s="5" t="n"/>
    </row>
    <row r="722">
      <c r="A722" s="10">
        <f>IF($E722="","",INDEX('Input Transaksi'!$A:$A,$E722))</f>
        <v/>
      </c>
      <c r="B722" s="5">
        <f>IF($E722="","",INDEX('Input Transaksi'!$D:$D,$E722))</f>
        <v/>
      </c>
      <c r="C722">
        <f>IF($E722="","",INDEX('Input Transaksi'!$E:$E,$E722))</f>
        <v/>
      </c>
      <c r="D722" s="5">
        <f>IF($E722="","",INDEX('Input Transaksi'!$F:$F,$E722))</f>
        <v/>
      </c>
      <c r="E722">
        <f>IFERROR(AGGREGATE(15,6,ROW('Input Transaksi'!$B$5:$B$5000)/('Input Transaksi'!$B$5:$B$5000="GEDE LONDRI"),ROWS($E$5:E722)),"")</f>
        <v/>
      </c>
      <c r="F722" s="5" t="n"/>
    </row>
    <row r="723">
      <c r="A723" s="10">
        <f>IF($E723="","",INDEX('Input Transaksi'!$A:$A,$E723))</f>
        <v/>
      </c>
      <c r="B723" s="5">
        <f>IF($E723="","",INDEX('Input Transaksi'!$D:$D,$E723))</f>
        <v/>
      </c>
      <c r="C723">
        <f>IF($E723="","",INDEX('Input Transaksi'!$E:$E,$E723))</f>
        <v/>
      </c>
      <c r="D723" s="5">
        <f>IF($E723="","",INDEX('Input Transaksi'!$F:$F,$E723))</f>
        <v/>
      </c>
      <c r="E723">
        <f>IFERROR(AGGREGATE(15,6,ROW('Input Transaksi'!$B$5:$B$5000)/('Input Transaksi'!$B$5:$B$5000="GEDE LONDRI"),ROWS($E$5:E723)),"")</f>
        <v/>
      </c>
      <c r="F723" s="5" t="n"/>
    </row>
    <row r="724">
      <c r="A724" s="10">
        <f>IF($E724="","",INDEX('Input Transaksi'!$A:$A,$E724))</f>
        <v/>
      </c>
      <c r="B724" s="5">
        <f>IF($E724="","",INDEX('Input Transaksi'!$D:$D,$E724))</f>
        <v/>
      </c>
      <c r="C724">
        <f>IF($E724="","",INDEX('Input Transaksi'!$E:$E,$E724))</f>
        <v/>
      </c>
      <c r="D724" s="5">
        <f>IF($E724="","",INDEX('Input Transaksi'!$F:$F,$E724))</f>
        <v/>
      </c>
      <c r="E724">
        <f>IFERROR(AGGREGATE(15,6,ROW('Input Transaksi'!$B$5:$B$5000)/('Input Transaksi'!$B$5:$B$5000="GEDE LONDRI"),ROWS($E$5:E724)),"")</f>
        <v/>
      </c>
      <c r="F724" s="5" t="n"/>
    </row>
    <row r="725">
      <c r="A725" s="10">
        <f>IF($E725="","",INDEX('Input Transaksi'!$A:$A,$E725))</f>
        <v/>
      </c>
      <c r="B725" s="5">
        <f>IF($E725="","",INDEX('Input Transaksi'!$D:$D,$E725))</f>
        <v/>
      </c>
      <c r="C725">
        <f>IF($E725="","",INDEX('Input Transaksi'!$E:$E,$E725))</f>
        <v/>
      </c>
      <c r="D725" s="5">
        <f>IF($E725="","",INDEX('Input Transaksi'!$F:$F,$E725))</f>
        <v/>
      </c>
      <c r="E725">
        <f>IFERROR(AGGREGATE(15,6,ROW('Input Transaksi'!$B$5:$B$5000)/('Input Transaksi'!$B$5:$B$5000="GEDE LONDRI"),ROWS($E$5:E725)),"")</f>
        <v/>
      </c>
      <c r="F725" s="5" t="n"/>
    </row>
    <row r="726">
      <c r="A726" s="10">
        <f>IF($E726="","",INDEX('Input Transaksi'!$A:$A,$E726))</f>
        <v/>
      </c>
      <c r="B726" s="5">
        <f>IF($E726="","",INDEX('Input Transaksi'!$D:$D,$E726))</f>
        <v/>
      </c>
      <c r="C726">
        <f>IF($E726="","",INDEX('Input Transaksi'!$E:$E,$E726))</f>
        <v/>
      </c>
      <c r="D726" s="5">
        <f>IF($E726="","",INDEX('Input Transaksi'!$F:$F,$E726))</f>
        <v/>
      </c>
      <c r="E726">
        <f>IFERROR(AGGREGATE(15,6,ROW('Input Transaksi'!$B$5:$B$5000)/('Input Transaksi'!$B$5:$B$5000="GEDE LONDRI"),ROWS($E$5:E726)),"")</f>
        <v/>
      </c>
      <c r="F726" s="5" t="n"/>
    </row>
    <row r="727">
      <c r="A727" s="10">
        <f>IF($E727="","",INDEX('Input Transaksi'!$A:$A,$E727))</f>
        <v/>
      </c>
      <c r="B727" s="5">
        <f>IF($E727="","",INDEX('Input Transaksi'!$D:$D,$E727))</f>
        <v/>
      </c>
      <c r="C727">
        <f>IF($E727="","",INDEX('Input Transaksi'!$E:$E,$E727))</f>
        <v/>
      </c>
      <c r="D727" s="5">
        <f>IF($E727="","",INDEX('Input Transaksi'!$F:$F,$E727))</f>
        <v/>
      </c>
      <c r="E727">
        <f>IFERROR(AGGREGATE(15,6,ROW('Input Transaksi'!$B$5:$B$5000)/('Input Transaksi'!$B$5:$B$5000="GEDE LONDRI"),ROWS($E$5:E727)),"")</f>
        <v/>
      </c>
      <c r="F727" s="5" t="n"/>
    </row>
    <row r="728">
      <c r="A728" s="10">
        <f>IF($E728="","",INDEX('Input Transaksi'!$A:$A,$E728))</f>
        <v/>
      </c>
      <c r="B728" s="5">
        <f>IF($E728="","",INDEX('Input Transaksi'!$D:$D,$E728))</f>
        <v/>
      </c>
      <c r="C728">
        <f>IF($E728="","",INDEX('Input Transaksi'!$E:$E,$E728))</f>
        <v/>
      </c>
      <c r="D728" s="5">
        <f>IF($E728="","",INDEX('Input Transaksi'!$F:$F,$E728))</f>
        <v/>
      </c>
      <c r="E728">
        <f>IFERROR(AGGREGATE(15,6,ROW('Input Transaksi'!$B$5:$B$5000)/('Input Transaksi'!$B$5:$B$5000="GEDE LONDRI"),ROWS($E$5:E728)),"")</f>
        <v/>
      </c>
      <c r="F728" s="5" t="n"/>
    </row>
    <row r="729">
      <c r="A729" s="10">
        <f>IF($E729="","",INDEX('Input Transaksi'!$A:$A,$E729))</f>
        <v/>
      </c>
      <c r="B729" s="5">
        <f>IF($E729="","",INDEX('Input Transaksi'!$D:$D,$E729))</f>
        <v/>
      </c>
      <c r="C729">
        <f>IF($E729="","",INDEX('Input Transaksi'!$E:$E,$E729))</f>
        <v/>
      </c>
      <c r="D729" s="5">
        <f>IF($E729="","",INDEX('Input Transaksi'!$F:$F,$E729))</f>
        <v/>
      </c>
      <c r="E729">
        <f>IFERROR(AGGREGATE(15,6,ROW('Input Transaksi'!$B$5:$B$5000)/('Input Transaksi'!$B$5:$B$5000="GEDE LONDRI"),ROWS($E$5:E729)),"")</f>
        <v/>
      </c>
      <c r="F729" s="5" t="n"/>
    </row>
    <row r="730">
      <c r="A730" s="10">
        <f>IF($E730="","",INDEX('Input Transaksi'!$A:$A,$E730))</f>
        <v/>
      </c>
      <c r="B730" s="5">
        <f>IF($E730="","",INDEX('Input Transaksi'!$D:$D,$E730))</f>
        <v/>
      </c>
      <c r="C730">
        <f>IF($E730="","",INDEX('Input Transaksi'!$E:$E,$E730))</f>
        <v/>
      </c>
      <c r="D730" s="5">
        <f>IF($E730="","",INDEX('Input Transaksi'!$F:$F,$E730))</f>
        <v/>
      </c>
      <c r="E730">
        <f>IFERROR(AGGREGATE(15,6,ROW('Input Transaksi'!$B$5:$B$5000)/('Input Transaksi'!$B$5:$B$5000="GEDE LONDRI"),ROWS($E$5:E730)),"")</f>
        <v/>
      </c>
      <c r="F730" s="5" t="n"/>
    </row>
    <row r="731">
      <c r="A731" s="10">
        <f>IF($E731="","",INDEX('Input Transaksi'!$A:$A,$E731))</f>
        <v/>
      </c>
      <c r="B731" s="5">
        <f>IF($E731="","",INDEX('Input Transaksi'!$D:$D,$E731))</f>
        <v/>
      </c>
      <c r="C731">
        <f>IF($E731="","",INDEX('Input Transaksi'!$E:$E,$E731))</f>
        <v/>
      </c>
      <c r="D731" s="5">
        <f>IF($E731="","",INDEX('Input Transaksi'!$F:$F,$E731))</f>
        <v/>
      </c>
      <c r="E731">
        <f>IFERROR(AGGREGATE(15,6,ROW('Input Transaksi'!$B$5:$B$5000)/('Input Transaksi'!$B$5:$B$5000="GEDE LONDRI"),ROWS($E$5:E731)),"")</f>
        <v/>
      </c>
      <c r="F731" s="5" t="n"/>
    </row>
    <row r="732">
      <c r="A732" s="10">
        <f>IF($E732="","",INDEX('Input Transaksi'!$A:$A,$E732))</f>
        <v/>
      </c>
      <c r="B732" s="5">
        <f>IF($E732="","",INDEX('Input Transaksi'!$D:$D,$E732))</f>
        <v/>
      </c>
      <c r="C732">
        <f>IF($E732="","",INDEX('Input Transaksi'!$E:$E,$E732))</f>
        <v/>
      </c>
      <c r="D732" s="5">
        <f>IF($E732="","",INDEX('Input Transaksi'!$F:$F,$E732))</f>
        <v/>
      </c>
      <c r="E732">
        <f>IFERROR(AGGREGATE(15,6,ROW('Input Transaksi'!$B$5:$B$5000)/('Input Transaksi'!$B$5:$B$5000="GEDE LONDRI"),ROWS($E$5:E732)),"")</f>
        <v/>
      </c>
      <c r="F732" s="5" t="n"/>
    </row>
    <row r="733">
      <c r="A733" s="10">
        <f>IF($E733="","",INDEX('Input Transaksi'!$A:$A,$E733))</f>
        <v/>
      </c>
      <c r="B733" s="5">
        <f>IF($E733="","",INDEX('Input Transaksi'!$D:$D,$E733))</f>
        <v/>
      </c>
      <c r="C733">
        <f>IF($E733="","",INDEX('Input Transaksi'!$E:$E,$E733))</f>
        <v/>
      </c>
      <c r="D733" s="5">
        <f>IF($E733="","",INDEX('Input Transaksi'!$F:$F,$E733))</f>
        <v/>
      </c>
      <c r="E733">
        <f>IFERROR(AGGREGATE(15,6,ROW('Input Transaksi'!$B$5:$B$5000)/('Input Transaksi'!$B$5:$B$5000="GEDE LONDRI"),ROWS($E$5:E733)),"")</f>
        <v/>
      </c>
      <c r="F733" s="5" t="n"/>
    </row>
    <row r="734">
      <c r="A734" s="10">
        <f>IF($E734="","",INDEX('Input Transaksi'!$A:$A,$E734))</f>
        <v/>
      </c>
      <c r="B734" s="5">
        <f>IF($E734="","",INDEX('Input Transaksi'!$D:$D,$E734))</f>
        <v/>
      </c>
      <c r="C734">
        <f>IF($E734="","",INDEX('Input Transaksi'!$E:$E,$E734))</f>
        <v/>
      </c>
      <c r="D734" s="5">
        <f>IF($E734="","",INDEX('Input Transaksi'!$F:$F,$E734))</f>
        <v/>
      </c>
      <c r="E734">
        <f>IFERROR(AGGREGATE(15,6,ROW('Input Transaksi'!$B$5:$B$5000)/('Input Transaksi'!$B$5:$B$5000="GEDE LONDRI"),ROWS($E$5:E734)),"")</f>
        <v/>
      </c>
      <c r="F734" s="5" t="n"/>
    </row>
    <row r="735">
      <c r="A735" s="10">
        <f>IF($E735="","",INDEX('Input Transaksi'!$A:$A,$E735))</f>
        <v/>
      </c>
      <c r="B735" s="5">
        <f>IF($E735="","",INDEX('Input Transaksi'!$D:$D,$E735))</f>
        <v/>
      </c>
      <c r="C735">
        <f>IF($E735="","",INDEX('Input Transaksi'!$E:$E,$E735))</f>
        <v/>
      </c>
      <c r="D735" s="5">
        <f>IF($E735="","",INDEX('Input Transaksi'!$F:$F,$E735))</f>
        <v/>
      </c>
      <c r="E735">
        <f>IFERROR(AGGREGATE(15,6,ROW('Input Transaksi'!$B$5:$B$5000)/('Input Transaksi'!$B$5:$B$5000="GEDE LONDRI"),ROWS($E$5:E735)),"")</f>
        <v/>
      </c>
      <c r="F735" s="5" t="n"/>
    </row>
    <row r="736">
      <c r="A736" s="10">
        <f>IF($E736="","",INDEX('Input Transaksi'!$A:$A,$E736))</f>
        <v/>
      </c>
      <c r="B736" s="5">
        <f>IF($E736="","",INDEX('Input Transaksi'!$D:$D,$E736))</f>
        <v/>
      </c>
      <c r="C736">
        <f>IF($E736="","",INDEX('Input Transaksi'!$E:$E,$E736))</f>
        <v/>
      </c>
      <c r="D736" s="5">
        <f>IF($E736="","",INDEX('Input Transaksi'!$F:$F,$E736))</f>
        <v/>
      </c>
      <c r="E736">
        <f>IFERROR(AGGREGATE(15,6,ROW('Input Transaksi'!$B$5:$B$5000)/('Input Transaksi'!$B$5:$B$5000="GEDE LONDRI"),ROWS($E$5:E736)),"")</f>
        <v/>
      </c>
      <c r="F736" s="5" t="n"/>
    </row>
    <row r="737">
      <c r="A737" s="10">
        <f>IF($E737="","",INDEX('Input Transaksi'!$A:$A,$E737))</f>
        <v/>
      </c>
      <c r="B737" s="5">
        <f>IF($E737="","",INDEX('Input Transaksi'!$D:$D,$E737))</f>
        <v/>
      </c>
      <c r="C737">
        <f>IF($E737="","",INDEX('Input Transaksi'!$E:$E,$E737))</f>
        <v/>
      </c>
      <c r="D737" s="5">
        <f>IF($E737="","",INDEX('Input Transaksi'!$F:$F,$E737))</f>
        <v/>
      </c>
      <c r="E737">
        <f>IFERROR(AGGREGATE(15,6,ROW('Input Transaksi'!$B$5:$B$5000)/('Input Transaksi'!$B$5:$B$5000="GEDE LONDRI"),ROWS($E$5:E737)),"")</f>
        <v/>
      </c>
      <c r="F737" s="5" t="n"/>
    </row>
    <row r="738">
      <c r="A738" s="10">
        <f>IF($E738="","",INDEX('Input Transaksi'!$A:$A,$E738))</f>
        <v/>
      </c>
      <c r="B738" s="5">
        <f>IF($E738="","",INDEX('Input Transaksi'!$D:$D,$E738))</f>
        <v/>
      </c>
      <c r="C738">
        <f>IF($E738="","",INDEX('Input Transaksi'!$E:$E,$E738))</f>
        <v/>
      </c>
      <c r="D738" s="5">
        <f>IF($E738="","",INDEX('Input Transaksi'!$F:$F,$E738))</f>
        <v/>
      </c>
      <c r="E738">
        <f>IFERROR(AGGREGATE(15,6,ROW('Input Transaksi'!$B$5:$B$5000)/('Input Transaksi'!$B$5:$B$5000="GEDE LONDRI"),ROWS($E$5:E738)),"")</f>
        <v/>
      </c>
      <c r="F738" s="5" t="n"/>
    </row>
    <row r="739">
      <c r="A739" s="10">
        <f>IF($E739="","",INDEX('Input Transaksi'!$A:$A,$E739))</f>
        <v/>
      </c>
      <c r="B739" s="5">
        <f>IF($E739="","",INDEX('Input Transaksi'!$D:$D,$E739))</f>
        <v/>
      </c>
      <c r="C739">
        <f>IF($E739="","",INDEX('Input Transaksi'!$E:$E,$E739))</f>
        <v/>
      </c>
      <c r="D739" s="5">
        <f>IF($E739="","",INDEX('Input Transaksi'!$F:$F,$E739))</f>
        <v/>
      </c>
      <c r="E739">
        <f>IFERROR(AGGREGATE(15,6,ROW('Input Transaksi'!$B$5:$B$5000)/('Input Transaksi'!$B$5:$B$5000="GEDE LONDRI"),ROWS($E$5:E739)),"")</f>
        <v/>
      </c>
      <c r="F739" s="5" t="n"/>
    </row>
    <row r="740">
      <c r="A740" s="10">
        <f>IF($E740="","",INDEX('Input Transaksi'!$A:$A,$E740))</f>
        <v/>
      </c>
      <c r="B740" s="5">
        <f>IF($E740="","",INDEX('Input Transaksi'!$D:$D,$E740))</f>
        <v/>
      </c>
      <c r="C740">
        <f>IF($E740="","",INDEX('Input Transaksi'!$E:$E,$E740))</f>
        <v/>
      </c>
      <c r="D740" s="5">
        <f>IF($E740="","",INDEX('Input Transaksi'!$F:$F,$E740))</f>
        <v/>
      </c>
      <c r="E740">
        <f>IFERROR(AGGREGATE(15,6,ROW('Input Transaksi'!$B$5:$B$5000)/('Input Transaksi'!$B$5:$B$5000="GEDE LONDRI"),ROWS($E$5:E740)),"")</f>
        <v/>
      </c>
      <c r="F740" s="5" t="n"/>
    </row>
    <row r="741">
      <c r="A741" s="10">
        <f>IF($E741="","",INDEX('Input Transaksi'!$A:$A,$E741))</f>
        <v/>
      </c>
      <c r="B741" s="5">
        <f>IF($E741="","",INDEX('Input Transaksi'!$D:$D,$E741))</f>
        <v/>
      </c>
      <c r="C741">
        <f>IF($E741="","",INDEX('Input Transaksi'!$E:$E,$E741))</f>
        <v/>
      </c>
      <c r="D741" s="5">
        <f>IF($E741="","",INDEX('Input Transaksi'!$F:$F,$E741))</f>
        <v/>
      </c>
      <c r="E741">
        <f>IFERROR(AGGREGATE(15,6,ROW('Input Transaksi'!$B$5:$B$5000)/('Input Transaksi'!$B$5:$B$5000="GEDE LONDRI"),ROWS($E$5:E741)),"")</f>
        <v/>
      </c>
      <c r="F741" s="5" t="n"/>
    </row>
    <row r="742">
      <c r="A742" s="10">
        <f>IF($E742="","",INDEX('Input Transaksi'!$A:$A,$E742))</f>
        <v/>
      </c>
      <c r="B742" s="5">
        <f>IF($E742="","",INDEX('Input Transaksi'!$D:$D,$E742))</f>
        <v/>
      </c>
      <c r="C742">
        <f>IF($E742="","",INDEX('Input Transaksi'!$E:$E,$E742))</f>
        <v/>
      </c>
      <c r="D742" s="5">
        <f>IF($E742="","",INDEX('Input Transaksi'!$F:$F,$E742))</f>
        <v/>
      </c>
      <c r="E742">
        <f>IFERROR(AGGREGATE(15,6,ROW('Input Transaksi'!$B$5:$B$5000)/('Input Transaksi'!$B$5:$B$5000="GEDE LONDRI"),ROWS($E$5:E742)),"")</f>
        <v/>
      </c>
      <c r="F742" s="5" t="n"/>
    </row>
    <row r="743">
      <c r="A743" s="10">
        <f>IF($E743="","",INDEX('Input Transaksi'!$A:$A,$E743))</f>
        <v/>
      </c>
      <c r="B743" s="5">
        <f>IF($E743="","",INDEX('Input Transaksi'!$D:$D,$E743))</f>
        <v/>
      </c>
      <c r="C743">
        <f>IF($E743="","",INDEX('Input Transaksi'!$E:$E,$E743))</f>
        <v/>
      </c>
      <c r="D743" s="5">
        <f>IF($E743="","",INDEX('Input Transaksi'!$F:$F,$E743))</f>
        <v/>
      </c>
      <c r="E743">
        <f>IFERROR(AGGREGATE(15,6,ROW('Input Transaksi'!$B$5:$B$5000)/('Input Transaksi'!$B$5:$B$5000="GEDE LONDRI"),ROWS($E$5:E743)),"")</f>
        <v/>
      </c>
      <c r="F743" s="5" t="n"/>
    </row>
    <row r="744">
      <c r="A744" s="10">
        <f>IF($E744="","",INDEX('Input Transaksi'!$A:$A,$E744))</f>
        <v/>
      </c>
      <c r="B744" s="5">
        <f>IF($E744="","",INDEX('Input Transaksi'!$D:$D,$E744))</f>
        <v/>
      </c>
      <c r="C744">
        <f>IF($E744="","",INDEX('Input Transaksi'!$E:$E,$E744))</f>
        <v/>
      </c>
      <c r="D744" s="5">
        <f>IF($E744="","",INDEX('Input Transaksi'!$F:$F,$E744))</f>
        <v/>
      </c>
      <c r="E744">
        <f>IFERROR(AGGREGATE(15,6,ROW('Input Transaksi'!$B$5:$B$5000)/('Input Transaksi'!$B$5:$B$5000="GEDE LONDRI"),ROWS($E$5:E744)),"")</f>
        <v/>
      </c>
      <c r="F744" s="5" t="n"/>
    </row>
    <row r="745">
      <c r="A745" s="10">
        <f>IF($E745="","",INDEX('Input Transaksi'!$A:$A,$E745))</f>
        <v/>
      </c>
      <c r="B745" s="5">
        <f>IF($E745="","",INDEX('Input Transaksi'!$D:$D,$E745))</f>
        <v/>
      </c>
      <c r="C745">
        <f>IF($E745="","",INDEX('Input Transaksi'!$E:$E,$E745))</f>
        <v/>
      </c>
      <c r="D745" s="5">
        <f>IF($E745="","",INDEX('Input Transaksi'!$F:$F,$E745))</f>
        <v/>
      </c>
      <c r="E745">
        <f>IFERROR(AGGREGATE(15,6,ROW('Input Transaksi'!$B$5:$B$5000)/('Input Transaksi'!$B$5:$B$5000="GEDE LONDRI"),ROWS($E$5:E745)),"")</f>
        <v/>
      </c>
      <c r="F745" s="5" t="n"/>
    </row>
    <row r="746">
      <c r="A746" s="10">
        <f>IF($E746="","",INDEX('Input Transaksi'!$A:$A,$E746))</f>
        <v/>
      </c>
      <c r="B746" s="5">
        <f>IF($E746="","",INDEX('Input Transaksi'!$D:$D,$E746))</f>
        <v/>
      </c>
      <c r="C746">
        <f>IF($E746="","",INDEX('Input Transaksi'!$E:$E,$E746))</f>
        <v/>
      </c>
      <c r="D746" s="5">
        <f>IF($E746="","",INDEX('Input Transaksi'!$F:$F,$E746))</f>
        <v/>
      </c>
      <c r="E746">
        <f>IFERROR(AGGREGATE(15,6,ROW('Input Transaksi'!$B$5:$B$5000)/('Input Transaksi'!$B$5:$B$5000="GEDE LONDRI"),ROWS($E$5:E746)),"")</f>
        <v/>
      </c>
      <c r="F746" s="5" t="n"/>
    </row>
    <row r="747">
      <c r="A747" s="10">
        <f>IF($E747="","",INDEX('Input Transaksi'!$A:$A,$E747))</f>
        <v/>
      </c>
      <c r="B747" s="5">
        <f>IF($E747="","",INDEX('Input Transaksi'!$D:$D,$E747))</f>
        <v/>
      </c>
      <c r="C747">
        <f>IF($E747="","",INDEX('Input Transaksi'!$E:$E,$E747))</f>
        <v/>
      </c>
      <c r="D747" s="5">
        <f>IF($E747="","",INDEX('Input Transaksi'!$F:$F,$E747))</f>
        <v/>
      </c>
      <c r="E747">
        <f>IFERROR(AGGREGATE(15,6,ROW('Input Transaksi'!$B$5:$B$5000)/('Input Transaksi'!$B$5:$B$5000="GEDE LONDRI"),ROWS($E$5:E747)),"")</f>
        <v/>
      </c>
      <c r="F747" s="5" t="n"/>
    </row>
    <row r="748">
      <c r="A748" s="10">
        <f>IF($E748="","",INDEX('Input Transaksi'!$A:$A,$E748))</f>
        <v/>
      </c>
      <c r="B748" s="5">
        <f>IF($E748="","",INDEX('Input Transaksi'!$D:$D,$E748))</f>
        <v/>
      </c>
      <c r="C748">
        <f>IF($E748="","",INDEX('Input Transaksi'!$E:$E,$E748))</f>
        <v/>
      </c>
      <c r="D748" s="5">
        <f>IF($E748="","",INDEX('Input Transaksi'!$F:$F,$E748))</f>
        <v/>
      </c>
      <c r="E748">
        <f>IFERROR(AGGREGATE(15,6,ROW('Input Transaksi'!$B$5:$B$5000)/('Input Transaksi'!$B$5:$B$5000="GEDE LONDRI"),ROWS($E$5:E748)),"")</f>
        <v/>
      </c>
      <c r="F748" s="5" t="n"/>
    </row>
    <row r="749">
      <c r="A749" s="10">
        <f>IF($E749="","",INDEX('Input Transaksi'!$A:$A,$E749))</f>
        <v/>
      </c>
      <c r="B749" s="5">
        <f>IF($E749="","",INDEX('Input Transaksi'!$D:$D,$E749))</f>
        <v/>
      </c>
      <c r="C749">
        <f>IF($E749="","",INDEX('Input Transaksi'!$E:$E,$E749))</f>
        <v/>
      </c>
      <c r="D749" s="5">
        <f>IF($E749="","",INDEX('Input Transaksi'!$F:$F,$E749))</f>
        <v/>
      </c>
      <c r="E749">
        <f>IFERROR(AGGREGATE(15,6,ROW('Input Transaksi'!$B$5:$B$5000)/('Input Transaksi'!$B$5:$B$5000="GEDE LONDRI"),ROWS($E$5:E749)),"")</f>
        <v/>
      </c>
      <c r="F749" s="5" t="n"/>
    </row>
    <row r="750">
      <c r="A750" s="10">
        <f>IF($E750="","",INDEX('Input Transaksi'!$A:$A,$E750))</f>
        <v/>
      </c>
      <c r="B750" s="5">
        <f>IF($E750="","",INDEX('Input Transaksi'!$D:$D,$E750))</f>
        <v/>
      </c>
      <c r="C750">
        <f>IF($E750="","",INDEX('Input Transaksi'!$E:$E,$E750))</f>
        <v/>
      </c>
      <c r="D750" s="5">
        <f>IF($E750="","",INDEX('Input Transaksi'!$F:$F,$E750))</f>
        <v/>
      </c>
      <c r="E750">
        <f>IFERROR(AGGREGATE(15,6,ROW('Input Transaksi'!$B$5:$B$5000)/('Input Transaksi'!$B$5:$B$5000="GEDE LONDRI"),ROWS($E$5:E750)),"")</f>
        <v/>
      </c>
      <c r="F750" s="5" t="n"/>
    </row>
    <row r="751">
      <c r="A751" s="10">
        <f>IF($E751="","",INDEX('Input Transaksi'!$A:$A,$E751))</f>
        <v/>
      </c>
      <c r="B751" s="5">
        <f>IF($E751="","",INDEX('Input Transaksi'!$D:$D,$E751))</f>
        <v/>
      </c>
      <c r="C751">
        <f>IF($E751="","",INDEX('Input Transaksi'!$E:$E,$E751))</f>
        <v/>
      </c>
      <c r="D751" s="5">
        <f>IF($E751="","",INDEX('Input Transaksi'!$F:$F,$E751))</f>
        <v/>
      </c>
      <c r="E751">
        <f>IFERROR(AGGREGATE(15,6,ROW('Input Transaksi'!$B$5:$B$5000)/('Input Transaksi'!$B$5:$B$5000="GEDE LONDRI"),ROWS($E$5:E751)),"")</f>
        <v/>
      </c>
      <c r="F751" s="5" t="n"/>
    </row>
    <row r="752">
      <c r="A752" s="10">
        <f>IF($E752="","",INDEX('Input Transaksi'!$A:$A,$E752))</f>
        <v/>
      </c>
      <c r="B752" s="5">
        <f>IF($E752="","",INDEX('Input Transaksi'!$D:$D,$E752))</f>
        <v/>
      </c>
      <c r="C752">
        <f>IF($E752="","",INDEX('Input Transaksi'!$E:$E,$E752))</f>
        <v/>
      </c>
      <c r="D752" s="5">
        <f>IF($E752="","",INDEX('Input Transaksi'!$F:$F,$E752))</f>
        <v/>
      </c>
      <c r="E752">
        <f>IFERROR(AGGREGATE(15,6,ROW('Input Transaksi'!$B$5:$B$5000)/('Input Transaksi'!$B$5:$B$5000="GEDE LONDRI"),ROWS($E$5:E752)),"")</f>
        <v/>
      </c>
      <c r="F752" s="5" t="n"/>
    </row>
    <row r="753">
      <c r="A753" s="10">
        <f>IF($E753="","",INDEX('Input Transaksi'!$A:$A,$E753))</f>
        <v/>
      </c>
      <c r="B753" s="5">
        <f>IF($E753="","",INDEX('Input Transaksi'!$D:$D,$E753))</f>
        <v/>
      </c>
      <c r="C753">
        <f>IF($E753="","",INDEX('Input Transaksi'!$E:$E,$E753))</f>
        <v/>
      </c>
      <c r="D753" s="5">
        <f>IF($E753="","",INDEX('Input Transaksi'!$F:$F,$E753))</f>
        <v/>
      </c>
      <c r="E753">
        <f>IFERROR(AGGREGATE(15,6,ROW('Input Transaksi'!$B$5:$B$5000)/('Input Transaksi'!$B$5:$B$5000="GEDE LONDRI"),ROWS($E$5:E753)),"")</f>
        <v/>
      </c>
      <c r="F753" s="5" t="n"/>
    </row>
    <row r="754">
      <c r="A754" s="10">
        <f>IF($E754="","",INDEX('Input Transaksi'!$A:$A,$E754))</f>
        <v/>
      </c>
      <c r="B754" s="5">
        <f>IF($E754="","",INDEX('Input Transaksi'!$D:$D,$E754))</f>
        <v/>
      </c>
      <c r="C754">
        <f>IF($E754="","",INDEX('Input Transaksi'!$E:$E,$E754))</f>
        <v/>
      </c>
      <c r="D754" s="5">
        <f>IF($E754="","",INDEX('Input Transaksi'!$F:$F,$E754))</f>
        <v/>
      </c>
      <c r="E754">
        <f>IFERROR(AGGREGATE(15,6,ROW('Input Transaksi'!$B$5:$B$5000)/('Input Transaksi'!$B$5:$B$5000="GEDE LONDRI"),ROWS($E$5:E754)),"")</f>
        <v/>
      </c>
      <c r="F754" s="5" t="n"/>
    </row>
    <row r="755">
      <c r="A755" s="10">
        <f>IF($E755="","",INDEX('Input Transaksi'!$A:$A,$E755))</f>
        <v/>
      </c>
      <c r="B755" s="5">
        <f>IF($E755="","",INDEX('Input Transaksi'!$D:$D,$E755))</f>
        <v/>
      </c>
      <c r="C755">
        <f>IF($E755="","",INDEX('Input Transaksi'!$E:$E,$E755))</f>
        <v/>
      </c>
      <c r="D755" s="5">
        <f>IF($E755="","",INDEX('Input Transaksi'!$F:$F,$E755))</f>
        <v/>
      </c>
      <c r="E755">
        <f>IFERROR(AGGREGATE(15,6,ROW('Input Transaksi'!$B$5:$B$5000)/('Input Transaksi'!$B$5:$B$5000="GEDE LONDRI"),ROWS($E$5:E755)),"")</f>
        <v/>
      </c>
      <c r="F755" s="5" t="n"/>
    </row>
    <row r="756">
      <c r="A756" s="10">
        <f>IF($E756="","",INDEX('Input Transaksi'!$A:$A,$E756))</f>
        <v/>
      </c>
      <c r="B756" s="5">
        <f>IF($E756="","",INDEX('Input Transaksi'!$D:$D,$E756))</f>
        <v/>
      </c>
      <c r="C756">
        <f>IF($E756="","",INDEX('Input Transaksi'!$E:$E,$E756))</f>
        <v/>
      </c>
      <c r="D756" s="5">
        <f>IF($E756="","",INDEX('Input Transaksi'!$F:$F,$E756))</f>
        <v/>
      </c>
      <c r="E756">
        <f>IFERROR(AGGREGATE(15,6,ROW('Input Transaksi'!$B$5:$B$5000)/('Input Transaksi'!$B$5:$B$5000="GEDE LONDRI"),ROWS($E$5:E756)),"")</f>
        <v/>
      </c>
      <c r="F756" s="5" t="n"/>
    </row>
    <row r="757">
      <c r="A757" s="10">
        <f>IF($E757="","",INDEX('Input Transaksi'!$A:$A,$E757))</f>
        <v/>
      </c>
      <c r="B757" s="5">
        <f>IF($E757="","",INDEX('Input Transaksi'!$D:$D,$E757))</f>
        <v/>
      </c>
      <c r="C757">
        <f>IF($E757="","",INDEX('Input Transaksi'!$E:$E,$E757))</f>
        <v/>
      </c>
      <c r="D757" s="5">
        <f>IF($E757="","",INDEX('Input Transaksi'!$F:$F,$E757))</f>
        <v/>
      </c>
      <c r="E757">
        <f>IFERROR(AGGREGATE(15,6,ROW('Input Transaksi'!$B$5:$B$5000)/('Input Transaksi'!$B$5:$B$5000="GEDE LONDRI"),ROWS($E$5:E757)),"")</f>
        <v/>
      </c>
      <c r="F757" s="5" t="n"/>
    </row>
    <row r="758">
      <c r="A758" s="10">
        <f>IF($E758="","",INDEX('Input Transaksi'!$A:$A,$E758))</f>
        <v/>
      </c>
      <c r="B758" s="5">
        <f>IF($E758="","",INDEX('Input Transaksi'!$D:$D,$E758))</f>
        <v/>
      </c>
      <c r="C758">
        <f>IF($E758="","",INDEX('Input Transaksi'!$E:$E,$E758))</f>
        <v/>
      </c>
      <c r="D758" s="5">
        <f>IF($E758="","",INDEX('Input Transaksi'!$F:$F,$E758))</f>
        <v/>
      </c>
      <c r="E758">
        <f>IFERROR(AGGREGATE(15,6,ROW('Input Transaksi'!$B$5:$B$5000)/('Input Transaksi'!$B$5:$B$5000="GEDE LONDRI"),ROWS($E$5:E758)),"")</f>
        <v/>
      </c>
      <c r="F758" s="5" t="n"/>
    </row>
    <row r="759">
      <c r="A759" s="10">
        <f>IF($E759="","",INDEX('Input Transaksi'!$A:$A,$E759))</f>
        <v/>
      </c>
      <c r="B759" s="5">
        <f>IF($E759="","",INDEX('Input Transaksi'!$D:$D,$E759))</f>
        <v/>
      </c>
      <c r="C759">
        <f>IF($E759="","",INDEX('Input Transaksi'!$E:$E,$E759))</f>
        <v/>
      </c>
      <c r="D759" s="5">
        <f>IF($E759="","",INDEX('Input Transaksi'!$F:$F,$E759))</f>
        <v/>
      </c>
      <c r="E759">
        <f>IFERROR(AGGREGATE(15,6,ROW('Input Transaksi'!$B$5:$B$5000)/('Input Transaksi'!$B$5:$B$5000="GEDE LONDRI"),ROWS($E$5:E759)),"")</f>
        <v/>
      </c>
      <c r="F759" s="5" t="n"/>
    </row>
    <row r="760">
      <c r="A760" s="10">
        <f>IF($E760="","",INDEX('Input Transaksi'!$A:$A,$E760))</f>
        <v/>
      </c>
      <c r="B760" s="5">
        <f>IF($E760="","",INDEX('Input Transaksi'!$D:$D,$E760))</f>
        <v/>
      </c>
      <c r="C760">
        <f>IF($E760="","",INDEX('Input Transaksi'!$E:$E,$E760))</f>
        <v/>
      </c>
      <c r="D760" s="5">
        <f>IF($E760="","",INDEX('Input Transaksi'!$F:$F,$E760))</f>
        <v/>
      </c>
      <c r="E760">
        <f>IFERROR(AGGREGATE(15,6,ROW('Input Transaksi'!$B$5:$B$5000)/('Input Transaksi'!$B$5:$B$5000="GEDE LONDRI"),ROWS($E$5:E760)),"")</f>
        <v/>
      </c>
      <c r="F760" s="5" t="n"/>
    </row>
    <row r="761">
      <c r="A761" s="10">
        <f>IF($E761="","",INDEX('Input Transaksi'!$A:$A,$E761))</f>
        <v/>
      </c>
      <c r="B761" s="5">
        <f>IF($E761="","",INDEX('Input Transaksi'!$D:$D,$E761))</f>
        <v/>
      </c>
      <c r="C761">
        <f>IF($E761="","",INDEX('Input Transaksi'!$E:$E,$E761))</f>
        <v/>
      </c>
      <c r="D761" s="5">
        <f>IF($E761="","",INDEX('Input Transaksi'!$F:$F,$E761))</f>
        <v/>
      </c>
      <c r="E761">
        <f>IFERROR(AGGREGATE(15,6,ROW('Input Transaksi'!$B$5:$B$5000)/('Input Transaksi'!$B$5:$B$5000="GEDE LONDRI"),ROWS($E$5:E761)),"")</f>
        <v/>
      </c>
      <c r="F761" s="5" t="n"/>
    </row>
    <row r="762">
      <c r="A762" s="10">
        <f>IF($E762="","",INDEX('Input Transaksi'!$A:$A,$E762))</f>
        <v/>
      </c>
      <c r="B762" s="5">
        <f>IF($E762="","",INDEX('Input Transaksi'!$D:$D,$E762))</f>
        <v/>
      </c>
      <c r="C762">
        <f>IF($E762="","",INDEX('Input Transaksi'!$E:$E,$E762))</f>
        <v/>
      </c>
      <c r="D762" s="5">
        <f>IF($E762="","",INDEX('Input Transaksi'!$F:$F,$E762))</f>
        <v/>
      </c>
      <c r="E762">
        <f>IFERROR(AGGREGATE(15,6,ROW('Input Transaksi'!$B$5:$B$5000)/('Input Transaksi'!$B$5:$B$5000="GEDE LONDRI"),ROWS($E$5:E762)),"")</f>
        <v/>
      </c>
      <c r="F762" s="5" t="n"/>
    </row>
    <row r="763">
      <c r="A763" s="10">
        <f>IF($E763="","",INDEX('Input Transaksi'!$A:$A,$E763))</f>
        <v/>
      </c>
      <c r="B763" s="5">
        <f>IF($E763="","",INDEX('Input Transaksi'!$D:$D,$E763))</f>
        <v/>
      </c>
      <c r="C763">
        <f>IF($E763="","",INDEX('Input Transaksi'!$E:$E,$E763))</f>
        <v/>
      </c>
      <c r="D763" s="5">
        <f>IF($E763="","",INDEX('Input Transaksi'!$F:$F,$E763))</f>
        <v/>
      </c>
      <c r="E763">
        <f>IFERROR(AGGREGATE(15,6,ROW('Input Transaksi'!$B$5:$B$5000)/('Input Transaksi'!$B$5:$B$5000="GEDE LONDRI"),ROWS($E$5:E763)),"")</f>
        <v/>
      </c>
      <c r="F763" s="5" t="n"/>
    </row>
    <row r="764">
      <c r="A764" s="10">
        <f>IF($E764="","",INDEX('Input Transaksi'!$A:$A,$E764))</f>
        <v/>
      </c>
      <c r="B764" s="5">
        <f>IF($E764="","",INDEX('Input Transaksi'!$D:$D,$E764))</f>
        <v/>
      </c>
      <c r="C764">
        <f>IF($E764="","",INDEX('Input Transaksi'!$E:$E,$E764))</f>
        <v/>
      </c>
      <c r="D764" s="5">
        <f>IF($E764="","",INDEX('Input Transaksi'!$F:$F,$E764))</f>
        <v/>
      </c>
      <c r="E764">
        <f>IFERROR(AGGREGATE(15,6,ROW('Input Transaksi'!$B$5:$B$5000)/('Input Transaksi'!$B$5:$B$5000="GEDE LONDRI"),ROWS($E$5:E764)),"")</f>
        <v/>
      </c>
      <c r="F764" s="5" t="n"/>
    </row>
    <row r="765">
      <c r="A765" s="10">
        <f>IF($E765="","",INDEX('Input Transaksi'!$A:$A,$E765))</f>
        <v/>
      </c>
      <c r="B765" s="5">
        <f>IF($E765="","",INDEX('Input Transaksi'!$D:$D,$E765))</f>
        <v/>
      </c>
      <c r="C765">
        <f>IF($E765="","",INDEX('Input Transaksi'!$E:$E,$E765))</f>
        <v/>
      </c>
      <c r="D765" s="5">
        <f>IF($E765="","",INDEX('Input Transaksi'!$F:$F,$E765))</f>
        <v/>
      </c>
      <c r="E765">
        <f>IFERROR(AGGREGATE(15,6,ROW('Input Transaksi'!$B$5:$B$5000)/('Input Transaksi'!$B$5:$B$5000="GEDE LONDRI"),ROWS($E$5:E765)),"")</f>
        <v/>
      </c>
      <c r="F765" s="5" t="n"/>
    </row>
    <row r="766">
      <c r="A766" s="10">
        <f>IF($E766="","",INDEX('Input Transaksi'!$A:$A,$E766))</f>
        <v/>
      </c>
      <c r="B766" s="5">
        <f>IF($E766="","",INDEX('Input Transaksi'!$D:$D,$E766))</f>
        <v/>
      </c>
      <c r="C766">
        <f>IF($E766="","",INDEX('Input Transaksi'!$E:$E,$E766))</f>
        <v/>
      </c>
      <c r="D766" s="5">
        <f>IF($E766="","",INDEX('Input Transaksi'!$F:$F,$E766))</f>
        <v/>
      </c>
      <c r="E766">
        <f>IFERROR(AGGREGATE(15,6,ROW('Input Transaksi'!$B$5:$B$5000)/('Input Transaksi'!$B$5:$B$5000="GEDE LONDRI"),ROWS($E$5:E766)),"")</f>
        <v/>
      </c>
      <c r="F766" s="5" t="n"/>
    </row>
    <row r="767">
      <c r="A767" s="10">
        <f>IF($E767="","",INDEX('Input Transaksi'!$A:$A,$E767))</f>
        <v/>
      </c>
      <c r="B767" s="5">
        <f>IF($E767="","",INDEX('Input Transaksi'!$D:$D,$E767))</f>
        <v/>
      </c>
      <c r="C767">
        <f>IF($E767="","",INDEX('Input Transaksi'!$E:$E,$E767))</f>
        <v/>
      </c>
      <c r="D767" s="5">
        <f>IF($E767="","",INDEX('Input Transaksi'!$F:$F,$E767))</f>
        <v/>
      </c>
      <c r="E767">
        <f>IFERROR(AGGREGATE(15,6,ROW('Input Transaksi'!$B$5:$B$5000)/('Input Transaksi'!$B$5:$B$5000="GEDE LONDRI"),ROWS($E$5:E767)),"")</f>
        <v/>
      </c>
      <c r="F767" s="5" t="n"/>
    </row>
    <row r="768">
      <c r="A768" s="10">
        <f>IF($E768="","",INDEX('Input Transaksi'!$A:$A,$E768))</f>
        <v/>
      </c>
      <c r="B768" s="5">
        <f>IF($E768="","",INDEX('Input Transaksi'!$D:$D,$E768))</f>
        <v/>
      </c>
      <c r="C768">
        <f>IF($E768="","",INDEX('Input Transaksi'!$E:$E,$E768))</f>
        <v/>
      </c>
      <c r="D768" s="5">
        <f>IF($E768="","",INDEX('Input Transaksi'!$F:$F,$E768))</f>
        <v/>
      </c>
      <c r="E768">
        <f>IFERROR(AGGREGATE(15,6,ROW('Input Transaksi'!$B$5:$B$5000)/('Input Transaksi'!$B$5:$B$5000="GEDE LONDRI"),ROWS($E$5:E768)),"")</f>
        <v/>
      </c>
      <c r="F768" s="5" t="n"/>
    </row>
    <row r="769">
      <c r="A769" s="10">
        <f>IF($E769="","",INDEX('Input Transaksi'!$A:$A,$E769))</f>
        <v/>
      </c>
      <c r="B769" s="5">
        <f>IF($E769="","",INDEX('Input Transaksi'!$D:$D,$E769))</f>
        <v/>
      </c>
      <c r="C769">
        <f>IF($E769="","",INDEX('Input Transaksi'!$E:$E,$E769))</f>
        <v/>
      </c>
      <c r="D769" s="5">
        <f>IF($E769="","",INDEX('Input Transaksi'!$F:$F,$E769))</f>
        <v/>
      </c>
      <c r="E769">
        <f>IFERROR(AGGREGATE(15,6,ROW('Input Transaksi'!$B$5:$B$5000)/('Input Transaksi'!$B$5:$B$5000="GEDE LONDRI"),ROWS($E$5:E769)),"")</f>
        <v/>
      </c>
      <c r="F769" s="5" t="n"/>
    </row>
    <row r="770">
      <c r="A770" s="10">
        <f>IF($E770="","",INDEX('Input Transaksi'!$A:$A,$E770))</f>
        <v/>
      </c>
      <c r="B770" s="5">
        <f>IF($E770="","",INDEX('Input Transaksi'!$D:$D,$E770))</f>
        <v/>
      </c>
      <c r="C770">
        <f>IF($E770="","",INDEX('Input Transaksi'!$E:$E,$E770))</f>
        <v/>
      </c>
      <c r="D770" s="5">
        <f>IF($E770="","",INDEX('Input Transaksi'!$F:$F,$E770))</f>
        <v/>
      </c>
      <c r="E770">
        <f>IFERROR(AGGREGATE(15,6,ROW('Input Transaksi'!$B$5:$B$5000)/('Input Transaksi'!$B$5:$B$5000="GEDE LONDRI"),ROWS($E$5:E770)),"")</f>
        <v/>
      </c>
      <c r="F770" s="5" t="n"/>
    </row>
    <row r="771">
      <c r="A771" s="10">
        <f>IF($E771="","",INDEX('Input Transaksi'!$A:$A,$E771))</f>
        <v/>
      </c>
      <c r="B771" s="5">
        <f>IF($E771="","",INDEX('Input Transaksi'!$D:$D,$E771))</f>
        <v/>
      </c>
      <c r="C771">
        <f>IF($E771="","",INDEX('Input Transaksi'!$E:$E,$E771))</f>
        <v/>
      </c>
      <c r="D771" s="5">
        <f>IF($E771="","",INDEX('Input Transaksi'!$F:$F,$E771))</f>
        <v/>
      </c>
      <c r="E771">
        <f>IFERROR(AGGREGATE(15,6,ROW('Input Transaksi'!$B$5:$B$5000)/('Input Transaksi'!$B$5:$B$5000="GEDE LONDRI"),ROWS($E$5:E771)),"")</f>
        <v/>
      </c>
      <c r="F771" s="5" t="n"/>
    </row>
    <row r="772">
      <c r="A772" s="10">
        <f>IF($E772="","",INDEX('Input Transaksi'!$A:$A,$E772))</f>
        <v/>
      </c>
      <c r="B772" s="5">
        <f>IF($E772="","",INDEX('Input Transaksi'!$D:$D,$E772))</f>
        <v/>
      </c>
      <c r="C772">
        <f>IF($E772="","",INDEX('Input Transaksi'!$E:$E,$E772))</f>
        <v/>
      </c>
      <c r="D772" s="5">
        <f>IF($E772="","",INDEX('Input Transaksi'!$F:$F,$E772))</f>
        <v/>
      </c>
      <c r="E772">
        <f>IFERROR(AGGREGATE(15,6,ROW('Input Transaksi'!$B$5:$B$5000)/('Input Transaksi'!$B$5:$B$5000="GEDE LONDRI"),ROWS($E$5:E772)),"")</f>
        <v/>
      </c>
      <c r="F772" s="5" t="n"/>
    </row>
    <row r="773">
      <c r="A773" s="10">
        <f>IF($E773="","",INDEX('Input Transaksi'!$A:$A,$E773))</f>
        <v/>
      </c>
      <c r="B773" s="5">
        <f>IF($E773="","",INDEX('Input Transaksi'!$D:$D,$E773))</f>
        <v/>
      </c>
      <c r="C773">
        <f>IF($E773="","",INDEX('Input Transaksi'!$E:$E,$E773))</f>
        <v/>
      </c>
      <c r="D773" s="5">
        <f>IF($E773="","",INDEX('Input Transaksi'!$F:$F,$E773))</f>
        <v/>
      </c>
      <c r="E773">
        <f>IFERROR(AGGREGATE(15,6,ROW('Input Transaksi'!$B$5:$B$5000)/('Input Transaksi'!$B$5:$B$5000="GEDE LONDRI"),ROWS($E$5:E773)),"")</f>
        <v/>
      </c>
      <c r="F773" s="5" t="n"/>
    </row>
    <row r="774">
      <c r="A774" s="10">
        <f>IF($E774="","",INDEX('Input Transaksi'!$A:$A,$E774))</f>
        <v/>
      </c>
      <c r="B774" s="5">
        <f>IF($E774="","",INDEX('Input Transaksi'!$D:$D,$E774))</f>
        <v/>
      </c>
      <c r="C774">
        <f>IF($E774="","",INDEX('Input Transaksi'!$E:$E,$E774))</f>
        <v/>
      </c>
      <c r="D774" s="5">
        <f>IF($E774="","",INDEX('Input Transaksi'!$F:$F,$E774))</f>
        <v/>
      </c>
      <c r="E774">
        <f>IFERROR(AGGREGATE(15,6,ROW('Input Transaksi'!$B$5:$B$5000)/('Input Transaksi'!$B$5:$B$5000="GEDE LONDRI"),ROWS($E$5:E774)),"")</f>
        <v/>
      </c>
      <c r="F774" s="5" t="n"/>
    </row>
    <row r="775">
      <c r="A775" s="10">
        <f>IF($E775="","",INDEX('Input Transaksi'!$A:$A,$E775))</f>
        <v/>
      </c>
      <c r="B775" s="5">
        <f>IF($E775="","",INDEX('Input Transaksi'!$D:$D,$E775))</f>
        <v/>
      </c>
      <c r="C775">
        <f>IF($E775="","",INDEX('Input Transaksi'!$E:$E,$E775))</f>
        <v/>
      </c>
      <c r="D775" s="5">
        <f>IF($E775="","",INDEX('Input Transaksi'!$F:$F,$E775))</f>
        <v/>
      </c>
      <c r="E775">
        <f>IFERROR(AGGREGATE(15,6,ROW('Input Transaksi'!$B$5:$B$5000)/('Input Transaksi'!$B$5:$B$5000="GEDE LONDRI"),ROWS($E$5:E775)),"")</f>
        <v/>
      </c>
      <c r="F775" s="5" t="n"/>
    </row>
    <row r="776">
      <c r="A776" s="10">
        <f>IF($E776="","",INDEX('Input Transaksi'!$A:$A,$E776))</f>
        <v/>
      </c>
      <c r="B776" s="5">
        <f>IF($E776="","",INDEX('Input Transaksi'!$D:$D,$E776))</f>
        <v/>
      </c>
      <c r="C776">
        <f>IF($E776="","",INDEX('Input Transaksi'!$E:$E,$E776))</f>
        <v/>
      </c>
      <c r="D776" s="5">
        <f>IF($E776="","",INDEX('Input Transaksi'!$F:$F,$E776))</f>
        <v/>
      </c>
      <c r="E776">
        <f>IFERROR(AGGREGATE(15,6,ROW('Input Transaksi'!$B$5:$B$5000)/('Input Transaksi'!$B$5:$B$5000="GEDE LONDRI"),ROWS($E$5:E776)),"")</f>
        <v/>
      </c>
      <c r="F776" s="5" t="n"/>
    </row>
    <row r="777">
      <c r="A777" s="10">
        <f>IF($E777="","",INDEX('Input Transaksi'!$A:$A,$E777))</f>
        <v/>
      </c>
      <c r="B777" s="5">
        <f>IF($E777="","",INDEX('Input Transaksi'!$D:$D,$E777))</f>
        <v/>
      </c>
      <c r="C777">
        <f>IF($E777="","",INDEX('Input Transaksi'!$E:$E,$E777))</f>
        <v/>
      </c>
      <c r="D777" s="5">
        <f>IF($E777="","",INDEX('Input Transaksi'!$F:$F,$E777))</f>
        <v/>
      </c>
      <c r="E777">
        <f>IFERROR(AGGREGATE(15,6,ROW('Input Transaksi'!$B$5:$B$5000)/('Input Transaksi'!$B$5:$B$5000="GEDE LONDRI"),ROWS($E$5:E777)),"")</f>
        <v/>
      </c>
      <c r="F777" s="5" t="n"/>
    </row>
    <row r="778">
      <c r="A778" s="10">
        <f>IF($E778="","",INDEX('Input Transaksi'!$A:$A,$E778))</f>
        <v/>
      </c>
      <c r="B778" s="5">
        <f>IF($E778="","",INDEX('Input Transaksi'!$D:$D,$E778))</f>
        <v/>
      </c>
      <c r="C778">
        <f>IF($E778="","",INDEX('Input Transaksi'!$E:$E,$E778))</f>
        <v/>
      </c>
      <c r="D778" s="5">
        <f>IF($E778="","",INDEX('Input Transaksi'!$F:$F,$E778))</f>
        <v/>
      </c>
      <c r="E778">
        <f>IFERROR(AGGREGATE(15,6,ROW('Input Transaksi'!$B$5:$B$5000)/('Input Transaksi'!$B$5:$B$5000="GEDE LONDRI"),ROWS($E$5:E778)),"")</f>
        <v/>
      </c>
      <c r="F778" s="5" t="n"/>
    </row>
    <row r="779">
      <c r="A779" s="10">
        <f>IF($E779="","",INDEX('Input Transaksi'!$A:$A,$E779))</f>
        <v/>
      </c>
      <c r="B779" s="5">
        <f>IF($E779="","",INDEX('Input Transaksi'!$D:$D,$E779))</f>
        <v/>
      </c>
      <c r="C779">
        <f>IF($E779="","",INDEX('Input Transaksi'!$E:$E,$E779))</f>
        <v/>
      </c>
      <c r="D779" s="5">
        <f>IF($E779="","",INDEX('Input Transaksi'!$F:$F,$E779))</f>
        <v/>
      </c>
      <c r="E779">
        <f>IFERROR(AGGREGATE(15,6,ROW('Input Transaksi'!$B$5:$B$5000)/('Input Transaksi'!$B$5:$B$5000="GEDE LONDRI"),ROWS($E$5:E779)),"")</f>
        <v/>
      </c>
      <c r="F779" s="5" t="n"/>
    </row>
    <row r="780">
      <c r="A780" s="10">
        <f>IF($E780="","",INDEX('Input Transaksi'!$A:$A,$E780))</f>
        <v/>
      </c>
      <c r="B780" s="5">
        <f>IF($E780="","",INDEX('Input Transaksi'!$D:$D,$E780))</f>
        <v/>
      </c>
      <c r="C780">
        <f>IF($E780="","",INDEX('Input Transaksi'!$E:$E,$E780))</f>
        <v/>
      </c>
      <c r="D780" s="5">
        <f>IF($E780="","",INDEX('Input Transaksi'!$F:$F,$E780))</f>
        <v/>
      </c>
      <c r="E780">
        <f>IFERROR(AGGREGATE(15,6,ROW('Input Transaksi'!$B$5:$B$5000)/('Input Transaksi'!$B$5:$B$5000="GEDE LONDRI"),ROWS($E$5:E780)),"")</f>
        <v/>
      </c>
      <c r="F780" s="5" t="n"/>
    </row>
    <row r="781">
      <c r="A781" s="10">
        <f>IF($E781="","",INDEX('Input Transaksi'!$A:$A,$E781))</f>
        <v/>
      </c>
      <c r="B781" s="5">
        <f>IF($E781="","",INDEX('Input Transaksi'!$D:$D,$E781))</f>
        <v/>
      </c>
      <c r="C781">
        <f>IF($E781="","",INDEX('Input Transaksi'!$E:$E,$E781))</f>
        <v/>
      </c>
      <c r="D781" s="5">
        <f>IF($E781="","",INDEX('Input Transaksi'!$F:$F,$E781))</f>
        <v/>
      </c>
      <c r="E781">
        <f>IFERROR(AGGREGATE(15,6,ROW('Input Transaksi'!$B$5:$B$5000)/('Input Transaksi'!$B$5:$B$5000="GEDE LONDRI"),ROWS($E$5:E781)),"")</f>
        <v/>
      </c>
      <c r="F781" s="5" t="n"/>
    </row>
    <row r="782">
      <c r="A782" s="10">
        <f>IF($E782="","",INDEX('Input Transaksi'!$A:$A,$E782))</f>
        <v/>
      </c>
      <c r="B782" s="5">
        <f>IF($E782="","",INDEX('Input Transaksi'!$D:$D,$E782))</f>
        <v/>
      </c>
      <c r="C782">
        <f>IF($E782="","",INDEX('Input Transaksi'!$E:$E,$E782))</f>
        <v/>
      </c>
      <c r="D782" s="5">
        <f>IF($E782="","",INDEX('Input Transaksi'!$F:$F,$E782))</f>
        <v/>
      </c>
      <c r="E782">
        <f>IFERROR(AGGREGATE(15,6,ROW('Input Transaksi'!$B$5:$B$5000)/('Input Transaksi'!$B$5:$B$5000="GEDE LONDRI"),ROWS($E$5:E782)),"")</f>
        <v/>
      </c>
      <c r="F782" s="5" t="n"/>
    </row>
    <row r="783">
      <c r="A783" s="10">
        <f>IF($E783="","",INDEX('Input Transaksi'!$A:$A,$E783))</f>
        <v/>
      </c>
      <c r="B783" s="5">
        <f>IF($E783="","",INDEX('Input Transaksi'!$D:$D,$E783))</f>
        <v/>
      </c>
      <c r="C783">
        <f>IF($E783="","",INDEX('Input Transaksi'!$E:$E,$E783))</f>
        <v/>
      </c>
      <c r="D783" s="5">
        <f>IF($E783="","",INDEX('Input Transaksi'!$F:$F,$E783))</f>
        <v/>
      </c>
      <c r="E783">
        <f>IFERROR(AGGREGATE(15,6,ROW('Input Transaksi'!$B$5:$B$5000)/('Input Transaksi'!$B$5:$B$5000="GEDE LONDRI"),ROWS($E$5:E783)),"")</f>
        <v/>
      </c>
      <c r="F783" s="5" t="n"/>
    </row>
    <row r="784">
      <c r="A784" s="10">
        <f>IF($E784="","",INDEX('Input Transaksi'!$A:$A,$E784))</f>
        <v/>
      </c>
      <c r="B784" s="5">
        <f>IF($E784="","",INDEX('Input Transaksi'!$D:$D,$E784))</f>
        <v/>
      </c>
      <c r="C784">
        <f>IF($E784="","",INDEX('Input Transaksi'!$E:$E,$E784))</f>
        <v/>
      </c>
      <c r="D784" s="5">
        <f>IF($E784="","",INDEX('Input Transaksi'!$F:$F,$E784))</f>
        <v/>
      </c>
      <c r="E784">
        <f>IFERROR(AGGREGATE(15,6,ROW('Input Transaksi'!$B$5:$B$5000)/('Input Transaksi'!$B$5:$B$5000="GEDE LONDRI"),ROWS($E$5:E784)),"")</f>
        <v/>
      </c>
      <c r="F784" s="5" t="n"/>
    </row>
    <row r="785">
      <c r="A785" s="10">
        <f>IF($E785="","",INDEX('Input Transaksi'!$A:$A,$E785))</f>
        <v/>
      </c>
      <c r="B785" s="5">
        <f>IF($E785="","",INDEX('Input Transaksi'!$D:$D,$E785))</f>
        <v/>
      </c>
      <c r="C785">
        <f>IF($E785="","",INDEX('Input Transaksi'!$E:$E,$E785))</f>
        <v/>
      </c>
      <c r="D785" s="5">
        <f>IF($E785="","",INDEX('Input Transaksi'!$F:$F,$E785))</f>
        <v/>
      </c>
      <c r="E785">
        <f>IFERROR(AGGREGATE(15,6,ROW('Input Transaksi'!$B$5:$B$5000)/('Input Transaksi'!$B$5:$B$5000="GEDE LONDRI"),ROWS($E$5:E785)),"")</f>
        <v/>
      </c>
      <c r="F785" s="5" t="n"/>
    </row>
    <row r="786">
      <c r="A786" s="10">
        <f>IF($E786="","",INDEX('Input Transaksi'!$A:$A,$E786))</f>
        <v/>
      </c>
      <c r="B786" s="5">
        <f>IF($E786="","",INDEX('Input Transaksi'!$D:$D,$E786))</f>
        <v/>
      </c>
      <c r="C786">
        <f>IF($E786="","",INDEX('Input Transaksi'!$E:$E,$E786))</f>
        <v/>
      </c>
      <c r="D786" s="5">
        <f>IF($E786="","",INDEX('Input Transaksi'!$F:$F,$E786))</f>
        <v/>
      </c>
      <c r="E786">
        <f>IFERROR(AGGREGATE(15,6,ROW('Input Transaksi'!$B$5:$B$5000)/('Input Transaksi'!$B$5:$B$5000="GEDE LONDRI"),ROWS($E$5:E786)),"")</f>
        <v/>
      </c>
      <c r="F786" s="5" t="n"/>
    </row>
    <row r="787">
      <c r="A787" s="10">
        <f>IF($E787="","",INDEX('Input Transaksi'!$A:$A,$E787))</f>
        <v/>
      </c>
      <c r="B787" s="5">
        <f>IF($E787="","",INDEX('Input Transaksi'!$D:$D,$E787))</f>
        <v/>
      </c>
      <c r="C787">
        <f>IF($E787="","",INDEX('Input Transaksi'!$E:$E,$E787))</f>
        <v/>
      </c>
      <c r="D787" s="5">
        <f>IF($E787="","",INDEX('Input Transaksi'!$F:$F,$E787))</f>
        <v/>
      </c>
      <c r="E787">
        <f>IFERROR(AGGREGATE(15,6,ROW('Input Transaksi'!$B$5:$B$5000)/('Input Transaksi'!$B$5:$B$5000="GEDE LONDRI"),ROWS($E$5:E787)),"")</f>
        <v/>
      </c>
      <c r="F787" s="5" t="n"/>
    </row>
    <row r="788">
      <c r="A788" s="10">
        <f>IF($E788="","",INDEX('Input Transaksi'!$A:$A,$E788))</f>
        <v/>
      </c>
      <c r="B788" s="5">
        <f>IF($E788="","",INDEX('Input Transaksi'!$D:$D,$E788))</f>
        <v/>
      </c>
      <c r="C788">
        <f>IF($E788="","",INDEX('Input Transaksi'!$E:$E,$E788))</f>
        <v/>
      </c>
      <c r="D788" s="5">
        <f>IF($E788="","",INDEX('Input Transaksi'!$F:$F,$E788))</f>
        <v/>
      </c>
      <c r="E788">
        <f>IFERROR(AGGREGATE(15,6,ROW('Input Transaksi'!$B$5:$B$5000)/('Input Transaksi'!$B$5:$B$5000="GEDE LONDRI"),ROWS($E$5:E788)),"")</f>
        <v/>
      </c>
      <c r="F788" s="5" t="n"/>
    </row>
    <row r="789">
      <c r="A789" s="10">
        <f>IF($E789="","",INDEX('Input Transaksi'!$A:$A,$E789))</f>
        <v/>
      </c>
      <c r="B789" s="5">
        <f>IF($E789="","",INDEX('Input Transaksi'!$D:$D,$E789))</f>
        <v/>
      </c>
      <c r="C789">
        <f>IF($E789="","",INDEX('Input Transaksi'!$E:$E,$E789))</f>
        <v/>
      </c>
      <c r="D789" s="5">
        <f>IF($E789="","",INDEX('Input Transaksi'!$F:$F,$E789))</f>
        <v/>
      </c>
      <c r="E789">
        <f>IFERROR(AGGREGATE(15,6,ROW('Input Transaksi'!$B$5:$B$5000)/('Input Transaksi'!$B$5:$B$5000="GEDE LONDRI"),ROWS($E$5:E789)),"")</f>
        <v/>
      </c>
      <c r="F789" s="5" t="n"/>
    </row>
    <row r="790">
      <c r="A790" s="10">
        <f>IF($E790="","",INDEX('Input Transaksi'!$A:$A,$E790))</f>
        <v/>
      </c>
      <c r="B790" s="5">
        <f>IF($E790="","",INDEX('Input Transaksi'!$D:$D,$E790))</f>
        <v/>
      </c>
      <c r="C790">
        <f>IF($E790="","",INDEX('Input Transaksi'!$E:$E,$E790))</f>
        <v/>
      </c>
      <c r="D790" s="5">
        <f>IF($E790="","",INDEX('Input Transaksi'!$F:$F,$E790))</f>
        <v/>
      </c>
      <c r="E790">
        <f>IFERROR(AGGREGATE(15,6,ROW('Input Transaksi'!$B$5:$B$5000)/('Input Transaksi'!$B$5:$B$5000="GEDE LONDRI"),ROWS($E$5:E790)),"")</f>
        <v/>
      </c>
      <c r="F790" s="5" t="n"/>
    </row>
    <row r="791">
      <c r="A791" s="10">
        <f>IF($E791="","",INDEX('Input Transaksi'!$A:$A,$E791))</f>
        <v/>
      </c>
      <c r="B791" s="5">
        <f>IF($E791="","",INDEX('Input Transaksi'!$D:$D,$E791))</f>
        <v/>
      </c>
      <c r="C791">
        <f>IF($E791="","",INDEX('Input Transaksi'!$E:$E,$E791))</f>
        <v/>
      </c>
      <c r="D791" s="5">
        <f>IF($E791="","",INDEX('Input Transaksi'!$F:$F,$E791))</f>
        <v/>
      </c>
      <c r="E791">
        <f>IFERROR(AGGREGATE(15,6,ROW('Input Transaksi'!$B$5:$B$5000)/('Input Transaksi'!$B$5:$B$5000="GEDE LONDRI"),ROWS($E$5:E791)),"")</f>
        <v/>
      </c>
      <c r="F791" s="5" t="n"/>
    </row>
    <row r="792">
      <c r="A792" s="10">
        <f>IF($E792="","",INDEX('Input Transaksi'!$A:$A,$E792))</f>
        <v/>
      </c>
      <c r="B792" s="5">
        <f>IF($E792="","",INDEX('Input Transaksi'!$D:$D,$E792))</f>
        <v/>
      </c>
      <c r="C792">
        <f>IF($E792="","",INDEX('Input Transaksi'!$E:$E,$E792))</f>
        <v/>
      </c>
      <c r="D792" s="5">
        <f>IF($E792="","",INDEX('Input Transaksi'!$F:$F,$E792))</f>
        <v/>
      </c>
      <c r="E792">
        <f>IFERROR(AGGREGATE(15,6,ROW('Input Transaksi'!$B$5:$B$5000)/('Input Transaksi'!$B$5:$B$5000="GEDE LONDRI"),ROWS($E$5:E792)),"")</f>
        <v/>
      </c>
      <c r="F792" s="5" t="n"/>
    </row>
    <row r="793">
      <c r="A793" s="10">
        <f>IF($E793="","",INDEX('Input Transaksi'!$A:$A,$E793))</f>
        <v/>
      </c>
      <c r="B793" s="5">
        <f>IF($E793="","",INDEX('Input Transaksi'!$D:$D,$E793))</f>
        <v/>
      </c>
      <c r="C793">
        <f>IF($E793="","",INDEX('Input Transaksi'!$E:$E,$E793))</f>
        <v/>
      </c>
      <c r="D793" s="5">
        <f>IF($E793="","",INDEX('Input Transaksi'!$F:$F,$E793))</f>
        <v/>
      </c>
      <c r="E793">
        <f>IFERROR(AGGREGATE(15,6,ROW('Input Transaksi'!$B$5:$B$5000)/('Input Transaksi'!$B$5:$B$5000="GEDE LONDRI"),ROWS($E$5:E793)),"")</f>
        <v/>
      </c>
      <c r="F793" s="5" t="n"/>
    </row>
    <row r="794">
      <c r="A794" s="10">
        <f>IF($E794="","",INDEX('Input Transaksi'!$A:$A,$E794))</f>
        <v/>
      </c>
      <c r="B794" s="5">
        <f>IF($E794="","",INDEX('Input Transaksi'!$D:$D,$E794))</f>
        <v/>
      </c>
      <c r="C794">
        <f>IF($E794="","",INDEX('Input Transaksi'!$E:$E,$E794))</f>
        <v/>
      </c>
      <c r="D794" s="5">
        <f>IF($E794="","",INDEX('Input Transaksi'!$F:$F,$E794))</f>
        <v/>
      </c>
      <c r="E794">
        <f>IFERROR(AGGREGATE(15,6,ROW('Input Transaksi'!$B$5:$B$5000)/('Input Transaksi'!$B$5:$B$5000="GEDE LONDRI"),ROWS($E$5:E794)),"")</f>
        <v/>
      </c>
      <c r="F794" s="5" t="n"/>
    </row>
    <row r="795">
      <c r="A795" s="10">
        <f>IF($E795="","",INDEX('Input Transaksi'!$A:$A,$E795))</f>
        <v/>
      </c>
      <c r="B795" s="5">
        <f>IF($E795="","",INDEX('Input Transaksi'!$D:$D,$E795))</f>
        <v/>
      </c>
      <c r="C795">
        <f>IF($E795="","",INDEX('Input Transaksi'!$E:$E,$E795))</f>
        <v/>
      </c>
      <c r="D795" s="5">
        <f>IF($E795="","",INDEX('Input Transaksi'!$F:$F,$E795))</f>
        <v/>
      </c>
      <c r="E795">
        <f>IFERROR(AGGREGATE(15,6,ROW('Input Transaksi'!$B$5:$B$5000)/('Input Transaksi'!$B$5:$B$5000="GEDE LONDRI"),ROWS($E$5:E795)),"")</f>
        <v/>
      </c>
      <c r="F795" s="5" t="n"/>
    </row>
    <row r="796">
      <c r="A796" s="10">
        <f>IF($E796="","",INDEX('Input Transaksi'!$A:$A,$E796))</f>
        <v/>
      </c>
      <c r="B796" s="5">
        <f>IF($E796="","",INDEX('Input Transaksi'!$D:$D,$E796))</f>
        <v/>
      </c>
      <c r="C796">
        <f>IF($E796="","",INDEX('Input Transaksi'!$E:$E,$E796))</f>
        <v/>
      </c>
      <c r="D796" s="5">
        <f>IF($E796="","",INDEX('Input Transaksi'!$F:$F,$E796))</f>
        <v/>
      </c>
      <c r="E796">
        <f>IFERROR(AGGREGATE(15,6,ROW('Input Transaksi'!$B$5:$B$5000)/('Input Transaksi'!$B$5:$B$5000="GEDE LONDRI"),ROWS($E$5:E796)),"")</f>
        <v/>
      </c>
      <c r="F796" s="5" t="n"/>
    </row>
    <row r="797">
      <c r="A797" s="10">
        <f>IF($E797="","",INDEX('Input Transaksi'!$A:$A,$E797))</f>
        <v/>
      </c>
      <c r="B797" s="5">
        <f>IF($E797="","",INDEX('Input Transaksi'!$D:$D,$E797))</f>
        <v/>
      </c>
      <c r="C797">
        <f>IF($E797="","",INDEX('Input Transaksi'!$E:$E,$E797))</f>
        <v/>
      </c>
      <c r="D797" s="5">
        <f>IF($E797="","",INDEX('Input Transaksi'!$F:$F,$E797))</f>
        <v/>
      </c>
      <c r="E797">
        <f>IFERROR(AGGREGATE(15,6,ROW('Input Transaksi'!$B$5:$B$5000)/('Input Transaksi'!$B$5:$B$5000="GEDE LONDRI"),ROWS($E$5:E797)),"")</f>
        <v/>
      </c>
      <c r="F797" s="5" t="n"/>
    </row>
    <row r="798">
      <c r="A798" s="10">
        <f>IF($E798="","",INDEX('Input Transaksi'!$A:$A,$E798))</f>
        <v/>
      </c>
      <c r="B798" s="5">
        <f>IF($E798="","",INDEX('Input Transaksi'!$D:$D,$E798))</f>
        <v/>
      </c>
      <c r="C798">
        <f>IF($E798="","",INDEX('Input Transaksi'!$E:$E,$E798))</f>
        <v/>
      </c>
      <c r="D798" s="5">
        <f>IF($E798="","",INDEX('Input Transaksi'!$F:$F,$E798))</f>
        <v/>
      </c>
      <c r="E798">
        <f>IFERROR(AGGREGATE(15,6,ROW('Input Transaksi'!$B$5:$B$5000)/('Input Transaksi'!$B$5:$B$5000="GEDE LONDRI"),ROWS($E$5:E798)),"")</f>
        <v/>
      </c>
      <c r="F798" s="5" t="n"/>
    </row>
    <row r="799">
      <c r="A799" s="10">
        <f>IF($E799="","",INDEX('Input Transaksi'!$A:$A,$E799))</f>
        <v/>
      </c>
      <c r="B799" s="5">
        <f>IF($E799="","",INDEX('Input Transaksi'!$D:$D,$E799))</f>
        <v/>
      </c>
      <c r="C799">
        <f>IF($E799="","",INDEX('Input Transaksi'!$E:$E,$E799))</f>
        <v/>
      </c>
      <c r="D799" s="5">
        <f>IF($E799="","",INDEX('Input Transaksi'!$F:$F,$E799))</f>
        <v/>
      </c>
      <c r="E799">
        <f>IFERROR(AGGREGATE(15,6,ROW('Input Transaksi'!$B$5:$B$5000)/('Input Transaksi'!$B$5:$B$5000="GEDE LONDRI"),ROWS($E$5:E799)),"")</f>
        <v/>
      </c>
      <c r="F799" s="5" t="n"/>
    </row>
    <row r="800">
      <c r="A800" s="10">
        <f>IF($E800="","",INDEX('Input Transaksi'!$A:$A,$E800))</f>
        <v/>
      </c>
      <c r="B800" s="5">
        <f>IF($E800="","",INDEX('Input Transaksi'!$D:$D,$E800))</f>
        <v/>
      </c>
      <c r="C800">
        <f>IF($E800="","",INDEX('Input Transaksi'!$E:$E,$E800))</f>
        <v/>
      </c>
      <c r="D800" s="5">
        <f>IF($E800="","",INDEX('Input Transaksi'!$F:$F,$E800))</f>
        <v/>
      </c>
      <c r="E800">
        <f>IFERROR(AGGREGATE(15,6,ROW('Input Transaksi'!$B$5:$B$5000)/('Input Transaksi'!$B$5:$B$5000="GEDE LONDRI"),ROWS($E$5:E800)),"")</f>
        <v/>
      </c>
      <c r="F800" s="5" t="n"/>
    </row>
    <row r="801">
      <c r="A801" s="10">
        <f>IF($E801="","",INDEX('Input Transaksi'!$A:$A,$E801))</f>
        <v/>
      </c>
      <c r="B801" s="5">
        <f>IF($E801="","",INDEX('Input Transaksi'!$D:$D,$E801))</f>
        <v/>
      </c>
      <c r="C801">
        <f>IF($E801="","",INDEX('Input Transaksi'!$E:$E,$E801))</f>
        <v/>
      </c>
      <c r="D801" s="5">
        <f>IF($E801="","",INDEX('Input Transaksi'!$F:$F,$E801))</f>
        <v/>
      </c>
      <c r="E801">
        <f>IFERROR(AGGREGATE(15,6,ROW('Input Transaksi'!$B$5:$B$5000)/('Input Transaksi'!$B$5:$B$5000="GEDE LONDRI"),ROWS($E$5:E801)),"")</f>
        <v/>
      </c>
      <c r="F801" s="5" t="n"/>
    </row>
    <row r="802">
      <c r="A802" s="10">
        <f>IF($E802="","",INDEX('Input Transaksi'!$A:$A,$E802))</f>
        <v/>
      </c>
      <c r="B802" s="5">
        <f>IF($E802="","",INDEX('Input Transaksi'!$D:$D,$E802))</f>
        <v/>
      </c>
      <c r="C802">
        <f>IF($E802="","",INDEX('Input Transaksi'!$E:$E,$E802))</f>
        <v/>
      </c>
      <c r="D802" s="5">
        <f>IF($E802="","",INDEX('Input Transaksi'!$F:$F,$E802))</f>
        <v/>
      </c>
      <c r="E802">
        <f>IFERROR(AGGREGATE(15,6,ROW('Input Transaksi'!$B$5:$B$5000)/('Input Transaksi'!$B$5:$B$5000="GEDE LONDRI"),ROWS($E$5:E802)),"")</f>
        <v/>
      </c>
      <c r="F802" s="5" t="n"/>
    </row>
    <row r="803">
      <c r="A803" s="10">
        <f>IF($E803="","",INDEX('Input Transaksi'!$A:$A,$E803))</f>
        <v/>
      </c>
      <c r="B803" s="5">
        <f>IF($E803="","",INDEX('Input Transaksi'!$D:$D,$E803))</f>
        <v/>
      </c>
      <c r="C803">
        <f>IF($E803="","",INDEX('Input Transaksi'!$E:$E,$E803))</f>
        <v/>
      </c>
      <c r="D803" s="5">
        <f>IF($E803="","",INDEX('Input Transaksi'!$F:$F,$E803))</f>
        <v/>
      </c>
      <c r="E803">
        <f>IFERROR(AGGREGATE(15,6,ROW('Input Transaksi'!$B$5:$B$5000)/('Input Transaksi'!$B$5:$B$5000="GEDE LONDRI"),ROWS($E$5:E803)),"")</f>
        <v/>
      </c>
      <c r="F803" s="5" t="n"/>
    </row>
    <row r="804">
      <c r="A804" s="10">
        <f>IF($E804="","",INDEX('Input Transaksi'!$A:$A,$E804))</f>
        <v/>
      </c>
      <c r="B804" s="5">
        <f>IF($E804="","",INDEX('Input Transaksi'!$D:$D,$E804))</f>
        <v/>
      </c>
      <c r="C804">
        <f>IF($E804="","",INDEX('Input Transaksi'!$E:$E,$E804))</f>
        <v/>
      </c>
      <c r="D804" s="5">
        <f>IF($E804="","",INDEX('Input Transaksi'!$F:$F,$E804))</f>
        <v/>
      </c>
      <c r="E804">
        <f>IFERROR(AGGREGATE(15,6,ROW('Input Transaksi'!$B$5:$B$5000)/('Input Transaksi'!$B$5:$B$5000="GEDE LONDRI"),ROWS($E$5:E804)),"")</f>
        <v/>
      </c>
      <c r="F804" s="5" t="n"/>
    </row>
    <row r="805">
      <c r="A805" s="10">
        <f>IF($E805="","",INDEX('Input Transaksi'!$A:$A,$E805))</f>
        <v/>
      </c>
      <c r="B805" s="5">
        <f>IF($E805="","",INDEX('Input Transaksi'!$D:$D,$E805))</f>
        <v/>
      </c>
      <c r="C805">
        <f>IF($E805="","",INDEX('Input Transaksi'!$E:$E,$E805))</f>
        <v/>
      </c>
      <c r="D805" s="5">
        <f>IF($E805="","",INDEX('Input Transaksi'!$F:$F,$E805))</f>
        <v/>
      </c>
      <c r="E805">
        <f>IFERROR(AGGREGATE(15,6,ROW('Input Transaksi'!$B$5:$B$5000)/('Input Transaksi'!$B$5:$B$5000="GEDE LONDRI"),ROWS($E$5:E805)),"")</f>
        <v/>
      </c>
      <c r="F805" s="5" t="n"/>
    </row>
    <row r="806">
      <c r="A806" s="10">
        <f>IF($E806="","",INDEX('Input Transaksi'!$A:$A,$E806))</f>
        <v/>
      </c>
      <c r="B806" s="5">
        <f>IF($E806="","",INDEX('Input Transaksi'!$D:$D,$E806))</f>
        <v/>
      </c>
      <c r="C806">
        <f>IF($E806="","",INDEX('Input Transaksi'!$E:$E,$E806))</f>
        <v/>
      </c>
      <c r="D806" s="5">
        <f>IF($E806="","",INDEX('Input Transaksi'!$F:$F,$E806))</f>
        <v/>
      </c>
      <c r="E806">
        <f>IFERROR(AGGREGATE(15,6,ROW('Input Transaksi'!$B$5:$B$5000)/('Input Transaksi'!$B$5:$B$5000="GEDE LONDRI"),ROWS($E$5:E806)),"")</f>
        <v/>
      </c>
      <c r="F806" s="5" t="n"/>
    </row>
    <row r="807">
      <c r="A807" s="10">
        <f>IF($E807="","",INDEX('Input Transaksi'!$A:$A,$E807))</f>
        <v/>
      </c>
      <c r="B807" s="5">
        <f>IF($E807="","",INDEX('Input Transaksi'!$D:$D,$E807))</f>
        <v/>
      </c>
      <c r="C807">
        <f>IF($E807="","",INDEX('Input Transaksi'!$E:$E,$E807))</f>
        <v/>
      </c>
      <c r="D807" s="5">
        <f>IF($E807="","",INDEX('Input Transaksi'!$F:$F,$E807))</f>
        <v/>
      </c>
      <c r="E807">
        <f>IFERROR(AGGREGATE(15,6,ROW('Input Transaksi'!$B$5:$B$5000)/('Input Transaksi'!$B$5:$B$5000="GEDE LONDRI"),ROWS($E$5:E807)),"")</f>
        <v/>
      </c>
      <c r="F807" s="5" t="n"/>
    </row>
    <row r="808">
      <c r="A808" s="10">
        <f>IF($E808="","",INDEX('Input Transaksi'!$A:$A,$E808))</f>
        <v/>
      </c>
      <c r="B808" s="5">
        <f>IF($E808="","",INDEX('Input Transaksi'!$D:$D,$E808))</f>
        <v/>
      </c>
      <c r="C808">
        <f>IF($E808="","",INDEX('Input Transaksi'!$E:$E,$E808))</f>
        <v/>
      </c>
      <c r="D808" s="5">
        <f>IF($E808="","",INDEX('Input Transaksi'!$F:$F,$E808))</f>
        <v/>
      </c>
      <c r="E808">
        <f>IFERROR(AGGREGATE(15,6,ROW('Input Transaksi'!$B$5:$B$5000)/('Input Transaksi'!$B$5:$B$5000="GEDE LONDRI"),ROWS($E$5:E808)),"")</f>
        <v/>
      </c>
      <c r="F808" s="5" t="n"/>
    </row>
    <row r="809">
      <c r="A809" s="10">
        <f>IF($E809="","",INDEX('Input Transaksi'!$A:$A,$E809))</f>
        <v/>
      </c>
      <c r="B809" s="5">
        <f>IF($E809="","",INDEX('Input Transaksi'!$D:$D,$E809))</f>
        <v/>
      </c>
      <c r="C809">
        <f>IF($E809="","",INDEX('Input Transaksi'!$E:$E,$E809))</f>
        <v/>
      </c>
      <c r="D809" s="5">
        <f>IF($E809="","",INDEX('Input Transaksi'!$F:$F,$E809))</f>
        <v/>
      </c>
      <c r="E809">
        <f>IFERROR(AGGREGATE(15,6,ROW('Input Transaksi'!$B$5:$B$5000)/('Input Transaksi'!$B$5:$B$5000="GEDE LONDRI"),ROWS($E$5:E809)),"")</f>
        <v/>
      </c>
      <c r="F809" s="5" t="n"/>
    </row>
    <row r="810">
      <c r="A810" s="10">
        <f>IF($E810="","",INDEX('Input Transaksi'!$A:$A,$E810))</f>
        <v/>
      </c>
      <c r="B810" s="5">
        <f>IF($E810="","",INDEX('Input Transaksi'!$D:$D,$E810))</f>
        <v/>
      </c>
      <c r="C810">
        <f>IF($E810="","",INDEX('Input Transaksi'!$E:$E,$E810))</f>
        <v/>
      </c>
      <c r="D810" s="5">
        <f>IF($E810="","",INDEX('Input Transaksi'!$F:$F,$E810))</f>
        <v/>
      </c>
      <c r="E810">
        <f>IFERROR(AGGREGATE(15,6,ROW('Input Transaksi'!$B$5:$B$5000)/('Input Transaksi'!$B$5:$B$5000="GEDE LONDRI"),ROWS($E$5:E810)),"")</f>
        <v/>
      </c>
      <c r="F810" s="5" t="n"/>
    </row>
    <row r="811">
      <c r="A811" s="10">
        <f>IF($E811="","",INDEX('Input Transaksi'!$A:$A,$E811))</f>
        <v/>
      </c>
      <c r="B811" s="5">
        <f>IF($E811="","",INDEX('Input Transaksi'!$D:$D,$E811))</f>
        <v/>
      </c>
      <c r="C811">
        <f>IF($E811="","",INDEX('Input Transaksi'!$E:$E,$E811))</f>
        <v/>
      </c>
      <c r="D811" s="5">
        <f>IF($E811="","",INDEX('Input Transaksi'!$F:$F,$E811))</f>
        <v/>
      </c>
      <c r="E811">
        <f>IFERROR(AGGREGATE(15,6,ROW('Input Transaksi'!$B$5:$B$5000)/('Input Transaksi'!$B$5:$B$5000="GEDE LONDRI"),ROWS($E$5:E811)),"")</f>
        <v/>
      </c>
      <c r="F811" s="5" t="n"/>
    </row>
    <row r="812">
      <c r="A812" s="10">
        <f>IF($E812="","",INDEX('Input Transaksi'!$A:$A,$E812))</f>
        <v/>
      </c>
      <c r="B812" s="5">
        <f>IF($E812="","",INDEX('Input Transaksi'!$D:$D,$E812))</f>
        <v/>
      </c>
      <c r="C812">
        <f>IF($E812="","",INDEX('Input Transaksi'!$E:$E,$E812))</f>
        <v/>
      </c>
      <c r="D812" s="5">
        <f>IF($E812="","",INDEX('Input Transaksi'!$F:$F,$E812))</f>
        <v/>
      </c>
      <c r="E812">
        <f>IFERROR(AGGREGATE(15,6,ROW('Input Transaksi'!$B$5:$B$5000)/('Input Transaksi'!$B$5:$B$5000="GEDE LONDRI"),ROWS($E$5:E812)),"")</f>
        <v/>
      </c>
      <c r="F812" s="5" t="n"/>
    </row>
    <row r="813">
      <c r="A813" s="10">
        <f>IF($E813="","",INDEX('Input Transaksi'!$A:$A,$E813))</f>
        <v/>
      </c>
      <c r="B813" s="5">
        <f>IF($E813="","",INDEX('Input Transaksi'!$D:$D,$E813))</f>
        <v/>
      </c>
      <c r="C813">
        <f>IF($E813="","",INDEX('Input Transaksi'!$E:$E,$E813))</f>
        <v/>
      </c>
      <c r="D813" s="5">
        <f>IF($E813="","",INDEX('Input Transaksi'!$F:$F,$E813))</f>
        <v/>
      </c>
      <c r="E813">
        <f>IFERROR(AGGREGATE(15,6,ROW('Input Transaksi'!$B$5:$B$5000)/('Input Transaksi'!$B$5:$B$5000="GEDE LONDRI"),ROWS($E$5:E813)),"")</f>
        <v/>
      </c>
      <c r="F813" s="5" t="n"/>
    </row>
    <row r="814">
      <c r="A814" s="10">
        <f>IF($E814="","",INDEX('Input Transaksi'!$A:$A,$E814))</f>
        <v/>
      </c>
      <c r="B814" s="5">
        <f>IF($E814="","",INDEX('Input Transaksi'!$D:$D,$E814))</f>
        <v/>
      </c>
      <c r="C814">
        <f>IF($E814="","",INDEX('Input Transaksi'!$E:$E,$E814))</f>
        <v/>
      </c>
      <c r="D814" s="5">
        <f>IF($E814="","",INDEX('Input Transaksi'!$F:$F,$E814))</f>
        <v/>
      </c>
      <c r="E814">
        <f>IFERROR(AGGREGATE(15,6,ROW('Input Transaksi'!$B$5:$B$5000)/('Input Transaksi'!$B$5:$B$5000="GEDE LONDRI"),ROWS($E$5:E814)),"")</f>
        <v/>
      </c>
      <c r="F814" s="5" t="n"/>
    </row>
    <row r="815">
      <c r="A815" s="10">
        <f>IF($E815="","",INDEX('Input Transaksi'!$A:$A,$E815))</f>
        <v/>
      </c>
      <c r="B815" s="5">
        <f>IF($E815="","",INDEX('Input Transaksi'!$D:$D,$E815))</f>
        <v/>
      </c>
      <c r="C815">
        <f>IF($E815="","",INDEX('Input Transaksi'!$E:$E,$E815))</f>
        <v/>
      </c>
      <c r="D815" s="5">
        <f>IF($E815="","",INDEX('Input Transaksi'!$F:$F,$E815))</f>
        <v/>
      </c>
      <c r="E815">
        <f>IFERROR(AGGREGATE(15,6,ROW('Input Transaksi'!$B$5:$B$5000)/('Input Transaksi'!$B$5:$B$5000="GEDE LONDRI"),ROWS($E$5:E815)),"")</f>
        <v/>
      </c>
      <c r="F815" s="5" t="n"/>
    </row>
    <row r="816">
      <c r="A816" s="10">
        <f>IF($E816="","",INDEX('Input Transaksi'!$A:$A,$E816))</f>
        <v/>
      </c>
      <c r="B816" s="5">
        <f>IF($E816="","",INDEX('Input Transaksi'!$D:$D,$E816))</f>
        <v/>
      </c>
      <c r="C816">
        <f>IF($E816="","",INDEX('Input Transaksi'!$E:$E,$E816))</f>
        <v/>
      </c>
      <c r="D816" s="5">
        <f>IF($E816="","",INDEX('Input Transaksi'!$F:$F,$E816))</f>
        <v/>
      </c>
      <c r="E816">
        <f>IFERROR(AGGREGATE(15,6,ROW('Input Transaksi'!$B$5:$B$5000)/('Input Transaksi'!$B$5:$B$5000="GEDE LONDRI"),ROWS($E$5:E816)),"")</f>
        <v/>
      </c>
      <c r="F816" s="5" t="n"/>
    </row>
    <row r="817">
      <c r="A817" s="10">
        <f>IF($E817="","",INDEX('Input Transaksi'!$A:$A,$E817))</f>
        <v/>
      </c>
      <c r="B817" s="5">
        <f>IF($E817="","",INDEX('Input Transaksi'!$D:$D,$E817))</f>
        <v/>
      </c>
      <c r="C817">
        <f>IF($E817="","",INDEX('Input Transaksi'!$E:$E,$E817))</f>
        <v/>
      </c>
      <c r="D817" s="5">
        <f>IF($E817="","",INDEX('Input Transaksi'!$F:$F,$E817))</f>
        <v/>
      </c>
      <c r="E817">
        <f>IFERROR(AGGREGATE(15,6,ROW('Input Transaksi'!$B$5:$B$5000)/('Input Transaksi'!$B$5:$B$5000="GEDE LONDRI"),ROWS($E$5:E817)),"")</f>
        <v/>
      </c>
      <c r="F817" s="5" t="n"/>
    </row>
    <row r="818">
      <c r="A818" s="10">
        <f>IF($E818="","",INDEX('Input Transaksi'!$A:$A,$E818))</f>
        <v/>
      </c>
      <c r="B818" s="5">
        <f>IF($E818="","",INDEX('Input Transaksi'!$D:$D,$E818))</f>
        <v/>
      </c>
      <c r="C818">
        <f>IF($E818="","",INDEX('Input Transaksi'!$E:$E,$E818))</f>
        <v/>
      </c>
      <c r="D818" s="5">
        <f>IF($E818="","",INDEX('Input Transaksi'!$F:$F,$E818))</f>
        <v/>
      </c>
      <c r="E818">
        <f>IFERROR(AGGREGATE(15,6,ROW('Input Transaksi'!$B$5:$B$5000)/('Input Transaksi'!$B$5:$B$5000="GEDE LONDRI"),ROWS($E$5:E818)),"")</f>
        <v/>
      </c>
      <c r="F818" s="5" t="n"/>
    </row>
    <row r="819">
      <c r="A819" s="10">
        <f>IF($E819="","",INDEX('Input Transaksi'!$A:$A,$E819))</f>
        <v/>
      </c>
      <c r="B819" s="5">
        <f>IF($E819="","",INDEX('Input Transaksi'!$D:$D,$E819))</f>
        <v/>
      </c>
      <c r="C819">
        <f>IF($E819="","",INDEX('Input Transaksi'!$E:$E,$E819))</f>
        <v/>
      </c>
      <c r="D819" s="5">
        <f>IF($E819="","",INDEX('Input Transaksi'!$F:$F,$E819))</f>
        <v/>
      </c>
      <c r="E819">
        <f>IFERROR(AGGREGATE(15,6,ROW('Input Transaksi'!$B$5:$B$5000)/('Input Transaksi'!$B$5:$B$5000="GEDE LONDRI"),ROWS($E$5:E819)),"")</f>
        <v/>
      </c>
      <c r="F819" s="5" t="n"/>
    </row>
    <row r="820">
      <c r="A820" s="10">
        <f>IF($E820="","",INDEX('Input Transaksi'!$A:$A,$E820))</f>
        <v/>
      </c>
      <c r="B820" s="5">
        <f>IF($E820="","",INDEX('Input Transaksi'!$D:$D,$E820))</f>
        <v/>
      </c>
      <c r="C820">
        <f>IF($E820="","",INDEX('Input Transaksi'!$E:$E,$E820))</f>
        <v/>
      </c>
      <c r="D820" s="5">
        <f>IF($E820="","",INDEX('Input Transaksi'!$F:$F,$E820))</f>
        <v/>
      </c>
      <c r="E820">
        <f>IFERROR(AGGREGATE(15,6,ROW('Input Transaksi'!$B$5:$B$5000)/('Input Transaksi'!$B$5:$B$5000="GEDE LONDRI"),ROWS($E$5:E820)),"")</f>
        <v/>
      </c>
      <c r="F820" s="5" t="n"/>
    </row>
    <row r="821">
      <c r="A821" s="10">
        <f>IF($E821="","",INDEX('Input Transaksi'!$A:$A,$E821))</f>
        <v/>
      </c>
      <c r="B821" s="5">
        <f>IF($E821="","",INDEX('Input Transaksi'!$D:$D,$E821))</f>
        <v/>
      </c>
      <c r="C821">
        <f>IF($E821="","",INDEX('Input Transaksi'!$E:$E,$E821))</f>
        <v/>
      </c>
      <c r="D821" s="5">
        <f>IF($E821="","",INDEX('Input Transaksi'!$F:$F,$E821))</f>
        <v/>
      </c>
      <c r="E821">
        <f>IFERROR(AGGREGATE(15,6,ROW('Input Transaksi'!$B$5:$B$5000)/('Input Transaksi'!$B$5:$B$5000="GEDE LONDRI"),ROWS($E$5:E821)),"")</f>
        <v/>
      </c>
      <c r="F821" s="5" t="n"/>
    </row>
    <row r="822">
      <c r="A822" s="10">
        <f>IF($E822="","",INDEX('Input Transaksi'!$A:$A,$E822))</f>
        <v/>
      </c>
      <c r="B822" s="5">
        <f>IF($E822="","",INDEX('Input Transaksi'!$D:$D,$E822))</f>
        <v/>
      </c>
      <c r="C822">
        <f>IF($E822="","",INDEX('Input Transaksi'!$E:$E,$E822))</f>
        <v/>
      </c>
      <c r="D822" s="5">
        <f>IF($E822="","",INDEX('Input Transaksi'!$F:$F,$E822))</f>
        <v/>
      </c>
      <c r="E822">
        <f>IFERROR(AGGREGATE(15,6,ROW('Input Transaksi'!$B$5:$B$5000)/('Input Transaksi'!$B$5:$B$5000="GEDE LONDRI"),ROWS($E$5:E822)),"")</f>
        <v/>
      </c>
      <c r="F822" s="5" t="n"/>
    </row>
    <row r="823">
      <c r="A823" s="10">
        <f>IF($E823="","",INDEX('Input Transaksi'!$A:$A,$E823))</f>
        <v/>
      </c>
      <c r="B823" s="5">
        <f>IF($E823="","",INDEX('Input Transaksi'!$D:$D,$E823))</f>
        <v/>
      </c>
      <c r="C823">
        <f>IF($E823="","",INDEX('Input Transaksi'!$E:$E,$E823))</f>
        <v/>
      </c>
      <c r="D823" s="5">
        <f>IF($E823="","",INDEX('Input Transaksi'!$F:$F,$E823))</f>
        <v/>
      </c>
      <c r="E823">
        <f>IFERROR(AGGREGATE(15,6,ROW('Input Transaksi'!$B$5:$B$5000)/('Input Transaksi'!$B$5:$B$5000="GEDE LONDRI"),ROWS($E$5:E823)),"")</f>
        <v/>
      </c>
      <c r="F823" s="5" t="n"/>
    </row>
    <row r="824">
      <c r="A824" s="10">
        <f>IF($E824="","",INDEX('Input Transaksi'!$A:$A,$E824))</f>
        <v/>
      </c>
      <c r="B824" s="5">
        <f>IF($E824="","",INDEX('Input Transaksi'!$D:$D,$E824))</f>
        <v/>
      </c>
      <c r="C824">
        <f>IF($E824="","",INDEX('Input Transaksi'!$E:$E,$E824))</f>
        <v/>
      </c>
      <c r="D824" s="5">
        <f>IF($E824="","",INDEX('Input Transaksi'!$F:$F,$E824))</f>
        <v/>
      </c>
      <c r="E824">
        <f>IFERROR(AGGREGATE(15,6,ROW('Input Transaksi'!$B$5:$B$5000)/('Input Transaksi'!$B$5:$B$5000="GEDE LONDRI"),ROWS($E$5:E824)),"")</f>
        <v/>
      </c>
      <c r="F824" s="5" t="n"/>
    </row>
    <row r="825">
      <c r="A825" s="10">
        <f>IF($E825="","",INDEX('Input Transaksi'!$A:$A,$E825))</f>
        <v/>
      </c>
      <c r="B825" s="5">
        <f>IF($E825="","",INDEX('Input Transaksi'!$D:$D,$E825))</f>
        <v/>
      </c>
      <c r="C825">
        <f>IF($E825="","",INDEX('Input Transaksi'!$E:$E,$E825))</f>
        <v/>
      </c>
      <c r="D825" s="5">
        <f>IF($E825="","",INDEX('Input Transaksi'!$F:$F,$E825))</f>
        <v/>
      </c>
      <c r="E825">
        <f>IFERROR(AGGREGATE(15,6,ROW('Input Transaksi'!$B$5:$B$5000)/('Input Transaksi'!$B$5:$B$5000="GEDE LONDRI"),ROWS($E$5:E825)),"")</f>
        <v/>
      </c>
      <c r="F825" s="5" t="n"/>
    </row>
    <row r="826">
      <c r="A826" s="10">
        <f>IF($E826="","",INDEX('Input Transaksi'!$A:$A,$E826))</f>
        <v/>
      </c>
      <c r="B826" s="5">
        <f>IF($E826="","",INDEX('Input Transaksi'!$D:$D,$E826))</f>
        <v/>
      </c>
      <c r="C826">
        <f>IF($E826="","",INDEX('Input Transaksi'!$E:$E,$E826))</f>
        <v/>
      </c>
      <c r="D826" s="5">
        <f>IF($E826="","",INDEX('Input Transaksi'!$F:$F,$E826))</f>
        <v/>
      </c>
      <c r="E826">
        <f>IFERROR(AGGREGATE(15,6,ROW('Input Transaksi'!$B$5:$B$5000)/('Input Transaksi'!$B$5:$B$5000="GEDE LONDRI"),ROWS($E$5:E826)),"")</f>
        <v/>
      </c>
      <c r="F826" s="5" t="n"/>
    </row>
    <row r="827">
      <c r="A827" s="10">
        <f>IF($E827="","",INDEX('Input Transaksi'!$A:$A,$E827))</f>
        <v/>
      </c>
      <c r="B827" s="5">
        <f>IF($E827="","",INDEX('Input Transaksi'!$D:$D,$E827))</f>
        <v/>
      </c>
      <c r="C827">
        <f>IF($E827="","",INDEX('Input Transaksi'!$E:$E,$E827))</f>
        <v/>
      </c>
      <c r="D827" s="5">
        <f>IF($E827="","",INDEX('Input Transaksi'!$F:$F,$E827))</f>
        <v/>
      </c>
      <c r="E827">
        <f>IFERROR(AGGREGATE(15,6,ROW('Input Transaksi'!$B$5:$B$5000)/('Input Transaksi'!$B$5:$B$5000="GEDE LONDRI"),ROWS($E$5:E827)),"")</f>
        <v/>
      </c>
      <c r="F827" s="5" t="n"/>
    </row>
    <row r="828">
      <c r="A828" s="10">
        <f>IF($E828="","",INDEX('Input Transaksi'!$A:$A,$E828))</f>
        <v/>
      </c>
      <c r="B828" s="5">
        <f>IF($E828="","",INDEX('Input Transaksi'!$D:$D,$E828))</f>
        <v/>
      </c>
      <c r="C828">
        <f>IF($E828="","",INDEX('Input Transaksi'!$E:$E,$E828))</f>
        <v/>
      </c>
      <c r="D828" s="5">
        <f>IF($E828="","",INDEX('Input Transaksi'!$F:$F,$E828))</f>
        <v/>
      </c>
      <c r="E828">
        <f>IFERROR(AGGREGATE(15,6,ROW('Input Transaksi'!$B$5:$B$5000)/('Input Transaksi'!$B$5:$B$5000="GEDE LONDRI"),ROWS($E$5:E828)),"")</f>
        <v/>
      </c>
      <c r="F828" s="5" t="n"/>
    </row>
    <row r="829">
      <c r="A829" s="10">
        <f>IF($E829="","",INDEX('Input Transaksi'!$A:$A,$E829))</f>
        <v/>
      </c>
      <c r="B829" s="5">
        <f>IF($E829="","",INDEX('Input Transaksi'!$D:$D,$E829))</f>
        <v/>
      </c>
      <c r="C829">
        <f>IF($E829="","",INDEX('Input Transaksi'!$E:$E,$E829))</f>
        <v/>
      </c>
      <c r="D829" s="5">
        <f>IF($E829="","",INDEX('Input Transaksi'!$F:$F,$E829))</f>
        <v/>
      </c>
      <c r="E829">
        <f>IFERROR(AGGREGATE(15,6,ROW('Input Transaksi'!$B$5:$B$5000)/('Input Transaksi'!$B$5:$B$5000="GEDE LONDRI"),ROWS($E$5:E829)),"")</f>
        <v/>
      </c>
      <c r="F829" s="5" t="n"/>
    </row>
    <row r="830">
      <c r="A830" s="10">
        <f>IF($E830="","",INDEX('Input Transaksi'!$A:$A,$E830))</f>
        <v/>
      </c>
      <c r="B830" s="5">
        <f>IF($E830="","",INDEX('Input Transaksi'!$D:$D,$E830))</f>
        <v/>
      </c>
      <c r="C830">
        <f>IF($E830="","",INDEX('Input Transaksi'!$E:$E,$E830))</f>
        <v/>
      </c>
      <c r="D830" s="5">
        <f>IF($E830="","",INDEX('Input Transaksi'!$F:$F,$E830))</f>
        <v/>
      </c>
      <c r="E830">
        <f>IFERROR(AGGREGATE(15,6,ROW('Input Transaksi'!$B$5:$B$5000)/('Input Transaksi'!$B$5:$B$5000="GEDE LONDRI"),ROWS($E$5:E830)),"")</f>
        <v/>
      </c>
      <c r="F830" s="5" t="n"/>
    </row>
    <row r="831">
      <c r="A831" s="10">
        <f>IF($E831="","",INDEX('Input Transaksi'!$A:$A,$E831))</f>
        <v/>
      </c>
      <c r="B831" s="5">
        <f>IF($E831="","",INDEX('Input Transaksi'!$D:$D,$E831))</f>
        <v/>
      </c>
      <c r="C831">
        <f>IF($E831="","",INDEX('Input Transaksi'!$E:$E,$E831))</f>
        <v/>
      </c>
      <c r="D831" s="5">
        <f>IF($E831="","",INDEX('Input Transaksi'!$F:$F,$E831))</f>
        <v/>
      </c>
      <c r="E831">
        <f>IFERROR(AGGREGATE(15,6,ROW('Input Transaksi'!$B$5:$B$5000)/('Input Transaksi'!$B$5:$B$5000="GEDE LONDRI"),ROWS($E$5:E831)),"")</f>
        <v/>
      </c>
      <c r="F831" s="5" t="n"/>
    </row>
    <row r="832">
      <c r="A832" s="10">
        <f>IF($E832="","",INDEX('Input Transaksi'!$A:$A,$E832))</f>
        <v/>
      </c>
      <c r="B832" s="5">
        <f>IF($E832="","",INDEX('Input Transaksi'!$D:$D,$E832))</f>
        <v/>
      </c>
      <c r="C832">
        <f>IF($E832="","",INDEX('Input Transaksi'!$E:$E,$E832))</f>
        <v/>
      </c>
      <c r="D832" s="5">
        <f>IF($E832="","",INDEX('Input Transaksi'!$F:$F,$E832))</f>
        <v/>
      </c>
      <c r="E832">
        <f>IFERROR(AGGREGATE(15,6,ROW('Input Transaksi'!$B$5:$B$5000)/('Input Transaksi'!$B$5:$B$5000="GEDE LONDRI"),ROWS($E$5:E832)),"")</f>
        <v/>
      </c>
      <c r="F832" s="5" t="n"/>
    </row>
    <row r="833">
      <c r="A833" s="10">
        <f>IF($E833="","",INDEX('Input Transaksi'!$A:$A,$E833))</f>
        <v/>
      </c>
      <c r="B833" s="5">
        <f>IF($E833="","",INDEX('Input Transaksi'!$D:$D,$E833))</f>
        <v/>
      </c>
      <c r="C833">
        <f>IF($E833="","",INDEX('Input Transaksi'!$E:$E,$E833))</f>
        <v/>
      </c>
      <c r="D833" s="5">
        <f>IF($E833="","",INDEX('Input Transaksi'!$F:$F,$E833))</f>
        <v/>
      </c>
      <c r="E833">
        <f>IFERROR(AGGREGATE(15,6,ROW('Input Transaksi'!$B$5:$B$5000)/('Input Transaksi'!$B$5:$B$5000="GEDE LONDRI"),ROWS($E$5:E833)),"")</f>
        <v/>
      </c>
      <c r="F833" s="5" t="n"/>
    </row>
    <row r="834">
      <c r="A834" s="10">
        <f>IF($E834="","",INDEX('Input Transaksi'!$A:$A,$E834))</f>
        <v/>
      </c>
      <c r="B834" s="5">
        <f>IF($E834="","",INDEX('Input Transaksi'!$D:$D,$E834))</f>
        <v/>
      </c>
      <c r="C834">
        <f>IF($E834="","",INDEX('Input Transaksi'!$E:$E,$E834))</f>
        <v/>
      </c>
      <c r="D834" s="5">
        <f>IF($E834="","",INDEX('Input Transaksi'!$F:$F,$E834))</f>
        <v/>
      </c>
      <c r="E834">
        <f>IFERROR(AGGREGATE(15,6,ROW('Input Transaksi'!$B$5:$B$5000)/('Input Transaksi'!$B$5:$B$5000="GEDE LONDRI"),ROWS($E$5:E834)),"")</f>
        <v/>
      </c>
      <c r="F834" s="5" t="n"/>
    </row>
    <row r="835">
      <c r="A835" s="10">
        <f>IF($E835="","",INDEX('Input Transaksi'!$A:$A,$E835))</f>
        <v/>
      </c>
      <c r="B835" s="5">
        <f>IF($E835="","",INDEX('Input Transaksi'!$D:$D,$E835))</f>
        <v/>
      </c>
      <c r="C835">
        <f>IF($E835="","",INDEX('Input Transaksi'!$E:$E,$E835))</f>
        <v/>
      </c>
      <c r="D835" s="5">
        <f>IF($E835="","",INDEX('Input Transaksi'!$F:$F,$E835))</f>
        <v/>
      </c>
      <c r="E835">
        <f>IFERROR(AGGREGATE(15,6,ROW('Input Transaksi'!$B$5:$B$5000)/('Input Transaksi'!$B$5:$B$5000="GEDE LONDRI"),ROWS($E$5:E835)),"")</f>
        <v/>
      </c>
      <c r="F835" s="5" t="n"/>
    </row>
    <row r="836">
      <c r="A836" s="10">
        <f>IF($E836="","",INDEX('Input Transaksi'!$A:$A,$E836))</f>
        <v/>
      </c>
      <c r="B836" s="5">
        <f>IF($E836="","",INDEX('Input Transaksi'!$D:$D,$E836))</f>
        <v/>
      </c>
      <c r="C836">
        <f>IF($E836="","",INDEX('Input Transaksi'!$E:$E,$E836))</f>
        <v/>
      </c>
      <c r="D836" s="5">
        <f>IF($E836="","",INDEX('Input Transaksi'!$F:$F,$E836))</f>
        <v/>
      </c>
      <c r="E836">
        <f>IFERROR(AGGREGATE(15,6,ROW('Input Transaksi'!$B$5:$B$5000)/('Input Transaksi'!$B$5:$B$5000="GEDE LONDRI"),ROWS($E$5:E836)),"")</f>
        <v/>
      </c>
      <c r="F836" s="5" t="n"/>
    </row>
    <row r="837">
      <c r="A837" s="10">
        <f>IF($E837="","",INDEX('Input Transaksi'!$A:$A,$E837))</f>
        <v/>
      </c>
      <c r="B837" s="5">
        <f>IF($E837="","",INDEX('Input Transaksi'!$D:$D,$E837))</f>
        <v/>
      </c>
      <c r="C837">
        <f>IF($E837="","",INDEX('Input Transaksi'!$E:$E,$E837))</f>
        <v/>
      </c>
      <c r="D837" s="5">
        <f>IF($E837="","",INDEX('Input Transaksi'!$F:$F,$E837))</f>
        <v/>
      </c>
      <c r="E837">
        <f>IFERROR(AGGREGATE(15,6,ROW('Input Transaksi'!$B$5:$B$5000)/('Input Transaksi'!$B$5:$B$5000="GEDE LONDRI"),ROWS($E$5:E837)),"")</f>
        <v/>
      </c>
      <c r="F837" s="5" t="n"/>
    </row>
    <row r="838">
      <c r="A838" s="10">
        <f>IF($E838="","",INDEX('Input Transaksi'!$A:$A,$E838))</f>
        <v/>
      </c>
      <c r="B838" s="5">
        <f>IF($E838="","",INDEX('Input Transaksi'!$D:$D,$E838))</f>
        <v/>
      </c>
      <c r="C838">
        <f>IF($E838="","",INDEX('Input Transaksi'!$E:$E,$E838))</f>
        <v/>
      </c>
      <c r="D838" s="5">
        <f>IF($E838="","",INDEX('Input Transaksi'!$F:$F,$E838))</f>
        <v/>
      </c>
      <c r="E838">
        <f>IFERROR(AGGREGATE(15,6,ROW('Input Transaksi'!$B$5:$B$5000)/('Input Transaksi'!$B$5:$B$5000="GEDE LONDRI"),ROWS($E$5:E838)),"")</f>
        <v/>
      </c>
      <c r="F838" s="5" t="n"/>
    </row>
    <row r="839">
      <c r="A839" s="10">
        <f>IF($E839="","",INDEX('Input Transaksi'!$A:$A,$E839))</f>
        <v/>
      </c>
      <c r="B839" s="5">
        <f>IF($E839="","",INDEX('Input Transaksi'!$D:$D,$E839))</f>
        <v/>
      </c>
      <c r="C839">
        <f>IF($E839="","",INDEX('Input Transaksi'!$E:$E,$E839))</f>
        <v/>
      </c>
      <c r="D839" s="5">
        <f>IF($E839="","",INDEX('Input Transaksi'!$F:$F,$E839))</f>
        <v/>
      </c>
      <c r="E839">
        <f>IFERROR(AGGREGATE(15,6,ROW('Input Transaksi'!$B$5:$B$5000)/('Input Transaksi'!$B$5:$B$5000="GEDE LONDRI"),ROWS($E$5:E839)),"")</f>
        <v/>
      </c>
      <c r="F839" s="5" t="n"/>
    </row>
    <row r="840">
      <c r="A840" s="10">
        <f>IF($E840="","",INDEX('Input Transaksi'!$A:$A,$E840))</f>
        <v/>
      </c>
      <c r="B840" s="5">
        <f>IF($E840="","",INDEX('Input Transaksi'!$D:$D,$E840))</f>
        <v/>
      </c>
      <c r="C840">
        <f>IF($E840="","",INDEX('Input Transaksi'!$E:$E,$E840))</f>
        <v/>
      </c>
      <c r="D840" s="5">
        <f>IF($E840="","",INDEX('Input Transaksi'!$F:$F,$E840))</f>
        <v/>
      </c>
      <c r="E840">
        <f>IFERROR(AGGREGATE(15,6,ROW('Input Transaksi'!$B$5:$B$5000)/('Input Transaksi'!$B$5:$B$5000="GEDE LONDRI"),ROWS($E$5:E840)),"")</f>
        <v/>
      </c>
      <c r="F840" s="5" t="n"/>
    </row>
    <row r="841">
      <c r="A841" s="10">
        <f>IF($E841="","",INDEX('Input Transaksi'!$A:$A,$E841))</f>
        <v/>
      </c>
      <c r="B841" s="5">
        <f>IF($E841="","",INDEX('Input Transaksi'!$D:$D,$E841))</f>
        <v/>
      </c>
      <c r="C841">
        <f>IF($E841="","",INDEX('Input Transaksi'!$E:$E,$E841))</f>
        <v/>
      </c>
      <c r="D841" s="5">
        <f>IF($E841="","",INDEX('Input Transaksi'!$F:$F,$E841))</f>
        <v/>
      </c>
      <c r="E841">
        <f>IFERROR(AGGREGATE(15,6,ROW('Input Transaksi'!$B$5:$B$5000)/('Input Transaksi'!$B$5:$B$5000="GEDE LONDRI"),ROWS($E$5:E841)),"")</f>
        <v/>
      </c>
      <c r="F841" s="5" t="n"/>
    </row>
    <row r="842">
      <c r="A842" s="10">
        <f>IF($E842="","",INDEX('Input Transaksi'!$A:$A,$E842))</f>
        <v/>
      </c>
      <c r="B842" s="5">
        <f>IF($E842="","",INDEX('Input Transaksi'!$D:$D,$E842))</f>
        <v/>
      </c>
      <c r="C842">
        <f>IF($E842="","",INDEX('Input Transaksi'!$E:$E,$E842))</f>
        <v/>
      </c>
      <c r="D842" s="5">
        <f>IF($E842="","",INDEX('Input Transaksi'!$F:$F,$E842))</f>
        <v/>
      </c>
      <c r="E842">
        <f>IFERROR(AGGREGATE(15,6,ROW('Input Transaksi'!$B$5:$B$5000)/('Input Transaksi'!$B$5:$B$5000="GEDE LONDRI"),ROWS($E$5:E842)),"")</f>
        <v/>
      </c>
      <c r="F842" s="5" t="n"/>
    </row>
    <row r="843">
      <c r="A843" s="10">
        <f>IF($E843="","",INDEX('Input Transaksi'!$A:$A,$E843))</f>
        <v/>
      </c>
      <c r="B843" s="5">
        <f>IF($E843="","",INDEX('Input Transaksi'!$D:$D,$E843))</f>
        <v/>
      </c>
      <c r="C843">
        <f>IF($E843="","",INDEX('Input Transaksi'!$E:$E,$E843))</f>
        <v/>
      </c>
      <c r="D843" s="5">
        <f>IF($E843="","",INDEX('Input Transaksi'!$F:$F,$E843))</f>
        <v/>
      </c>
      <c r="E843">
        <f>IFERROR(AGGREGATE(15,6,ROW('Input Transaksi'!$B$5:$B$5000)/('Input Transaksi'!$B$5:$B$5000="GEDE LONDRI"),ROWS($E$5:E843)),"")</f>
        <v/>
      </c>
      <c r="F843" s="5" t="n"/>
    </row>
    <row r="844">
      <c r="A844" s="10">
        <f>IF($E844="","",INDEX('Input Transaksi'!$A:$A,$E844))</f>
        <v/>
      </c>
      <c r="B844" s="5">
        <f>IF($E844="","",INDEX('Input Transaksi'!$D:$D,$E844))</f>
        <v/>
      </c>
      <c r="C844">
        <f>IF($E844="","",INDEX('Input Transaksi'!$E:$E,$E844))</f>
        <v/>
      </c>
      <c r="D844" s="5">
        <f>IF($E844="","",INDEX('Input Transaksi'!$F:$F,$E844))</f>
        <v/>
      </c>
      <c r="E844">
        <f>IFERROR(AGGREGATE(15,6,ROW('Input Transaksi'!$B$5:$B$5000)/('Input Transaksi'!$B$5:$B$5000="GEDE LONDRI"),ROWS($E$5:E844)),"")</f>
        <v/>
      </c>
      <c r="F844" s="5" t="n"/>
    </row>
    <row r="845">
      <c r="A845" s="10">
        <f>IF($E845="","",INDEX('Input Transaksi'!$A:$A,$E845))</f>
        <v/>
      </c>
      <c r="B845" s="5">
        <f>IF($E845="","",INDEX('Input Transaksi'!$D:$D,$E845))</f>
        <v/>
      </c>
      <c r="C845">
        <f>IF($E845="","",INDEX('Input Transaksi'!$E:$E,$E845))</f>
        <v/>
      </c>
      <c r="D845" s="5">
        <f>IF($E845="","",INDEX('Input Transaksi'!$F:$F,$E845))</f>
        <v/>
      </c>
      <c r="E845">
        <f>IFERROR(AGGREGATE(15,6,ROW('Input Transaksi'!$B$5:$B$5000)/('Input Transaksi'!$B$5:$B$5000="GEDE LONDRI"),ROWS($E$5:E845)),"")</f>
        <v/>
      </c>
      <c r="F845" s="5" t="n"/>
    </row>
    <row r="846">
      <c r="A846" s="10">
        <f>IF($E846="","",INDEX('Input Transaksi'!$A:$A,$E846))</f>
        <v/>
      </c>
      <c r="B846" s="5">
        <f>IF($E846="","",INDEX('Input Transaksi'!$D:$D,$E846))</f>
        <v/>
      </c>
      <c r="C846">
        <f>IF($E846="","",INDEX('Input Transaksi'!$E:$E,$E846))</f>
        <v/>
      </c>
      <c r="D846" s="5">
        <f>IF($E846="","",INDEX('Input Transaksi'!$F:$F,$E846))</f>
        <v/>
      </c>
      <c r="E846">
        <f>IFERROR(AGGREGATE(15,6,ROW('Input Transaksi'!$B$5:$B$5000)/('Input Transaksi'!$B$5:$B$5000="GEDE LONDRI"),ROWS($E$5:E846)),"")</f>
        <v/>
      </c>
      <c r="F846" s="5" t="n"/>
    </row>
    <row r="847">
      <c r="A847" s="10">
        <f>IF($E847="","",INDEX('Input Transaksi'!$A:$A,$E847))</f>
        <v/>
      </c>
      <c r="B847" s="5">
        <f>IF($E847="","",INDEX('Input Transaksi'!$D:$D,$E847))</f>
        <v/>
      </c>
      <c r="C847">
        <f>IF($E847="","",INDEX('Input Transaksi'!$E:$E,$E847))</f>
        <v/>
      </c>
      <c r="D847" s="5">
        <f>IF($E847="","",INDEX('Input Transaksi'!$F:$F,$E847))</f>
        <v/>
      </c>
      <c r="E847">
        <f>IFERROR(AGGREGATE(15,6,ROW('Input Transaksi'!$B$5:$B$5000)/('Input Transaksi'!$B$5:$B$5000="GEDE LONDRI"),ROWS($E$5:E847)),"")</f>
        <v/>
      </c>
      <c r="F847" s="5" t="n"/>
    </row>
    <row r="848">
      <c r="A848" s="10">
        <f>IF($E848="","",INDEX('Input Transaksi'!$A:$A,$E848))</f>
        <v/>
      </c>
      <c r="B848" s="5">
        <f>IF($E848="","",INDEX('Input Transaksi'!$D:$D,$E848))</f>
        <v/>
      </c>
      <c r="C848">
        <f>IF($E848="","",INDEX('Input Transaksi'!$E:$E,$E848))</f>
        <v/>
      </c>
      <c r="D848" s="5">
        <f>IF($E848="","",INDEX('Input Transaksi'!$F:$F,$E848))</f>
        <v/>
      </c>
      <c r="E848">
        <f>IFERROR(AGGREGATE(15,6,ROW('Input Transaksi'!$B$5:$B$5000)/('Input Transaksi'!$B$5:$B$5000="GEDE LONDRI"),ROWS($E$5:E848)),"")</f>
        <v/>
      </c>
      <c r="F848" s="5" t="n"/>
    </row>
    <row r="849">
      <c r="A849" s="10">
        <f>IF($E849="","",INDEX('Input Transaksi'!$A:$A,$E849))</f>
        <v/>
      </c>
      <c r="B849" s="5">
        <f>IF($E849="","",INDEX('Input Transaksi'!$D:$D,$E849))</f>
        <v/>
      </c>
      <c r="C849">
        <f>IF($E849="","",INDEX('Input Transaksi'!$E:$E,$E849))</f>
        <v/>
      </c>
      <c r="D849" s="5">
        <f>IF($E849="","",INDEX('Input Transaksi'!$F:$F,$E849))</f>
        <v/>
      </c>
      <c r="E849">
        <f>IFERROR(AGGREGATE(15,6,ROW('Input Transaksi'!$B$5:$B$5000)/('Input Transaksi'!$B$5:$B$5000="GEDE LONDRI"),ROWS($E$5:E849)),"")</f>
        <v/>
      </c>
      <c r="F849" s="5" t="n"/>
    </row>
    <row r="850">
      <c r="A850" s="10">
        <f>IF($E850="","",INDEX('Input Transaksi'!$A:$A,$E850))</f>
        <v/>
      </c>
      <c r="B850" s="5">
        <f>IF($E850="","",INDEX('Input Transaksi'!$D:$D,$E850))</f>
        <v/>
      </c>
      <c r="C850">
        <f>IF($E850="","",INDEX('Input Transaksi'!$E:$E,$E850))</f>
        <v/>
      </c>
      <c r="D850" s="5">
        <f>IF($E850="","",INDEX('Input Transaksi'!$F:$F,$E850))</f>
        <v/>
      </c>
      <c r="E850">
        <f>IFERROR(AGGREGATE(15,6,ROW('Input Transaksi'!$B$5:$B$5000)/('Input Transaksi'!$B$5:$B$5000="GEDE LONDRI"),ROWS($E$5:E850)),"")</f>
        <v/>
      </c>
      <c r="F850" s="5" t="n"/>
    </row>
    <row r="851">
      <c r="A851" s="10">
        <f>IF($E851="","",INDEX('Input Transaksi'!$A:$A,$E851))</f>
        <v/>
      </c>
      <c r="B851" s="5">
        <f>IF($E851="","",INDEX('Input Transaksi'!$D:$D,$E851))</f>
        <v/>
      </c>
      <c r="C851">
        <f>IF($E851="","",INDEX('Input Transaksi'!$E:$E,$E851))</f>
        <v/>
      </c>
      <c r="D851" s="5">
        <f>IF($E851="","",INDEX('Input Transaksi'!$F:$F,$E851))</f>
        <v/>
      </c>
      <c r="E851">
        <f>IFERROR(AGGREGATE(15,6,ROW('Input Transaksi'!$B$5:$B$5000)/('Input Transaksi'!$B$5:$B$5000="GEDE LONDRI"),ROWS($E$5:E851)),"")</f>
        <v/>
      </c>
      <c r="F851" s="5" t="n"/>
    </row>
    <row r="852">
      <c r="A852" s="10">
        <f>IF($E852="","",INDEX('Input Transaksi'!$A:$A,$E852))</f>
        <v/>
      </c>
      <c r="B852" s="5">
        <f>IF($E852="","",INDEX('Input Transaksi'!$D:$D,$E852))</f>
        <v/>
      </c>
      <c r="C852">
        <f>IF($E852="","",INDEX('Input Transaksi'!$E:$E,$E852))</f>
        <v/>
      </c>
      <c r="D852" s="5">
        <f>IF($E852="","",INDEX('Input Transaksi'!$F:$F,$E852))</f>
        <v/>
      </c>
      <c r="E852">
        <f>IFERROR(AGGREGATE(15,6,ROW('Input Transaksi'!$B$5:$B$5000)/('Input Transaksi'!$B$5:$B$5000="GEDE LONDRI"),ROWS($E$5:E852)),"")</f>
        <v/>
      </c>
      <c r="F852" s="5" t="n"/>
    </row>
    <row r="853">
      <c r="A853" s="10">
        <f>IF($E853="","",INDEX('Input Transaksi'!$A:$A,$E853))</f>
        <v/>
      </c>
      <c r="B853" s="5">
        <f>IF($E853="","",INDEX('Input Transaksi'!$D:$D,$E853))</f>
        <v/>
      </c>
      <c r="C853">
        <f>IF($E853="","",INDEX('Input Transaksi'!$E:$E,$E853))</f>
        <v/>
      </c>
      <c r="D853" s="5">
        <f>IF($E853="","",INDEX('Input Transaksi'!$F:$F,$E853))</f>
        <v/>
      </c>
      <c r="E853">
        <f>IFERROR(AGGREGATE(15,6,ROW('Input Transaksi'!$B$5:$B$5000)/('Input Transaksi'!$B$5:$B$5000="GEDE LONDRI"),ROWS($E$5:E853)),"")</f>
        <v/>
      </c>
      <c r="F853" s="5" t="n"/>
    </row>
    <row r="854">
      <c r="A854" s="10">
        <f>IF($E854="","",INDEX('Input Transaksi'!$A:$A,$E854))</f>
        <v/>
      </c>
      <c r="B854" s="5">
        <f>IF($E854="","",INDEX('Input Transaksi'!$D:$D,$E854))</f>
        <v/>
      </c>
      <c r="C854">
        <f>IF($E854="","",INDEX('Input Transaksi'!$E:$E,$E854))</f>
        <v/>
      </c>
      <c r="D854" s="5">
        <f>IF($E854="","",INDEX('Input Transaksi'!$F:$F,$E854))</f>
        <v/>
      </c>
      <c r="E854">
        <f>IFERROR(AGGREGATE(15,6,ROW('Input Transaksi'!$B$5:$B$5000)/('Input Transaksi'!$B$5:$B$5000="GEDE LONDRI"),ROWS($E$5:E854)),"")</f>
        <v/>
      </c>
      <c r="F854" s="5" t="n"/>
    </row>
    <row r="855">
      <c r="A855" s="10">
        <f>IF($E855="","",INDEX('Input Transaksi'!$A:$A,$E855))</f>
        <v/>
      </c>
      <c r="B855" s="5">
        <f>IF($E855="","",INDEX('Input Transaksi'!$D:$D,$E855))</f>
        <v/>
      </c>
      <c r="C855">
        <f>IF($E855="","",INDEX('Input Transaksi'!$E:$E,$E855))</f>
        <v/>
      </c>
      <c r="D855" s="5">
        <f>IF($E855="","",INDEX('Input Transaksi'!$F:$F,$E855))</f>
        <v/>
      </c>
      <c r="E855">
        <f>IFERROR(AGGREGATE(15,6,ROW('Input Transaksi'!$B$5:$B$5000)/('Input Transaksi'!$B$5:$B$5000="GEDE LONDRI"),ROWS($E$5:E855)),"")</f>
        <v/>
      </c>
      <c r="F855" s="5" t="n"/>
    </row>
    <row r="856">
      <c r="A856" s="10">
        <f>IF($E856="","",INDEX('Input Transaksi'!$A:$A,$E856))</f>
        <v/>
      </c>
      <c r="B856" s="5">
        <f>IF($E856="","",INDEX('Input Transaksi'!$D:$D,$E856))</f>
        <v/>
      </c>
      <c r="C856">
        <f>IF($E856="","",INDEX('Input Transaksi'!$E:$E,$E856))</f>
        <v/>
      </c>
      <c r="D856" s="5">
        <f>IF($E856="","",INDEX('Input Transaksi'!$F:$F,$E856))</f>
        <v/>
      </c>
      <c r="E856">
        <f>IFERROR(AGGREGATE(15,6,ROW('Input Transaksi'!$B$5:$B$5000)/('Input Transaksi'!$B$5:$B$5000="GEDE LONDRI"),ROWS($E$5:E856)),"")</f>
        <v/>
      </c>
      <c r="F856" s="5" t="n"/>
    </row>
    <row r="857">
      <c r="A857" s="10">
        <f>IF($E857="","",INDEX('Input Transaksi'!$A:$A,$E857))</f>
        <v/>
      </c>
      <c r="B857" s="5">
        <f>IF($E857="","",INDEX('Input Transaksi'!$D:$D,$E857))</f>
        <v/>
      </c>
      <c r="C857">
        <f>IF($E857="","",INDEX('Input Transaksi'!$E:$E,$E857))</f>
        <v/>
      </c>
      <c r="D857" s="5">
        <f>IF($E857="","",INDEX('Input Transaksi'!$F:$F,$E857))</f>
        <v/>
      </c>
      <c r="E857">
        <f>IFERROR(AGGREGATE(15,6,ROW('Input Transaksi'!$B$5:$B$5000)/('Input Transaksi'!$B$5:$B$5000="GEDE LONDRI"),ROWS($E$5:E857)),"")</f>
        <v/>
      </c>
      <c r="F857" s="5" t="n"/>
    </row>
    <row r="858">
      <c r="A858" s="10">
        <f>IF($E858="","",INDEX('Input Transaksi'!$A:$A,$E858))</f>
        <v/>
      </c>
      <c r="B858" s="5">
        <f>IF($E858="","",INDEX('Input Transaksi'!$D:$D,$E858))</f>
        <v/>
      </c>
      <c r="C858">
        <f>IF($E858="","",INDEX('Input Transaksi'!$E:$E,$E858))</f>
        <v/>
      </c>
      <c r="D858" s="5">
        <f>IF($E858="","",INDEX('Input Transaksi'!$F:$F,$E858))</f>
        <v/>
      </c>
      <c r="E858">
        <f>IFERROR(AGGREGATE(15,6,ROW('Input Transaksi'!$B$5:$B$5000)/('Input Transaksi'!$B$5:$B$5000="GEDE LONDRI"),ROWS($E$5:E858)),"")</f>
        <v/>
      </c>
      <c r="F858" s="5" t="n"/>
    </row>
    <row r="859">
      <c r="A859" s="10">
        <f>IF($E859="","",INDEX('Input Transaksi'!$A:$A,$E859))</f>
        <v/>
      </c>
      <c r="B859" s="5">
        <f>IF($E859="","",INDEX('Input Transaksi'!$D:$D,$E859))</f>
        <v/>
      </c>
      <c r="C859">
        <f>IF($E859="","",INDEX('Input Transaksi'!$E:$E,$E859))</f>
        <v/>
      </c>
      <c r="D859" s="5">
        <f>IF($E859="","",INDEX('Input Transaksi'!$F:$F,$E859))</f>
        <v/>
      </c>
      <c r="E859">
        <f>IFERROR(AGGREGATE(15,6,ROW('Input Transaksi'!$B$5:$B$5000)/('Input Transaksi'!$B$5:$B$5000="GEDE LONDRI"),ROWS($E$5:E859)),"")</f>
        <v/>
      </c>
      <c r="F859" s="5" t="n"/>
    </row>
    <row r="860">
      <c r="A860" s="10">
        <f>IF($E860="","",INDEX('Input Transaksi'!$A:$A,$E860))</f>
        <v/>
      </c>
      <c r="B860" s="5">
        <f>IF($E860="","",INDEX('Input Transaksi'!$D:$D,$E860))</f>
        <v/>
      </c>
      <c r="C860">
        <f>IF($E860="","",INDEX('Input Transaksi'!$E:$E,$E860))</f>
        <v/>
      </c>
      <c r="D860" s="5">
        <f>IF($E860="","",INDEX('Input Transaksi'!$F:$F,$E860))</f>
        <v/>
      </c>
      <c r="E860">
        <f>IFERROR(AGGREGATE(15,6,ROW('Input Transaksi'!$B$5:$B$5000)/('Input Transaksi'!$B$5:$B$5000="GEDE LONDRI"),ROWS($E$5:E860)),"")</f>
        <v/>
      </c>
      <c r="F860" s="5" t="n"/>
    </row>
    <row r="861">
      <c r="A861" s="10">
        <f>IF($E861="","",INDEX('Input Transaksi'!$A:$A,$E861))</f>
        <v/>
      </c>
      <c r="B861" s="5">
        <f>IF($E861="","",INDEX('Input Transaksi'!$D:$D,$E861))</f>
        <v/>
      </c>
      <c r="C861">
        <f>IF($E861="","",INDEX('Input Transaksi'!$E:$E,$E861))</f>
        <v/>
      </c>
      <c r="D861" s="5">
        <f>IF($E861="","",INDEX('Input Transaksi'!$F:$F,$E861))</f>
        <v/>
      </c>
      <c r="E861">
        <f>IFERROR(AGGREGATE(15,6,ROW('Input Transaksi'!$B$5:$B$5000)/('Input Transaksi'!$B$5:$B$5000="GEDE LONDRI"),ROWS($E$5:E861)),"")</f>
        <v/>
      </c>
      <c r="F861" s="5" t="n"/>
    </row>
    <row r="862">
      <c r="A862" s="10">
        <f>IF($E862="","",INDEX('Input Transaksi'!$A:$A,$E862))</f>
        <v/>
      </c>
      <c r="B862" s="5">
        <f>IF($E862="","",INDEX('Input Transaksi'!$D:$D,$E862))</f>
        <v/>
      </c>
      <c r="C862">
        <f>IF($E862="","",INDEX('Input Transaksi'!$E:$E,$E862))</f>
        <v/>
      </c>
      <c r="D862" s="5">
        <f>IF($E862="","",INDEX('Input Transaksi'!$F:$F,$E862))</f>
        <v/>
      </c>
      <c r="E862">
        <f>IFERROR(AGGREGATE(15,6,ROW('Input Transaksi'!$B$5:$B$5000)/('Input Transaksi'!$B$5:$B$5000="GEDE LONDRI"),ROWS($E$5:E862)),"")</f>
        <v/>
      </c>
      <c r="F862" s="5" t="n"/>
    </row>
    <row r="863">
      <c r="A863" s="10">
        <f>IF($E863="","",INDEX('Input Transaksi'!$A:$A,$E863))</f>
        <v/>
      </c>
      <c r="B863" s="5">
        <f>IF($E863="","",INDEX('Input Transaksi'!$D:$D,$E863))</f>
        <v/>
      </c>
      <c r="C863">
        <f>IF($E863="","",INDEX('Input Transaksi'!$E:$E,$E863))</f>
        <v/>
      </c>
      <c r="D863" s="5">
        <f>IF($E863="","",INDEX('Input Transaksi'!$F:$F,$E863))</f>
        <v/>
      </c>
      <c r="E863">
        <f>IFERROR(AGGREGATE(15,6,ROW('Input Transaksi'!$B$5:$B$5000)/('Input Transaksi'!$B$5:$B$5000="GEDE LONDRI"),ROWS($E$5:E863)),"")</f>
        <v/>
      </c>
      <c r="F863" s="5" t="n"/>
    </row>
    <row r="864">
      <c r="A864" s="10">
        <f>IF($E864="","",INDEX('Input Transaksi'!$A:$A,$E864))</f>
        <v/>
      </c>
      <c r="B864" s="5">
        <f>IF($E864="","",INDEX('Input Transaksi'!$D:$D,$E864))</f>
        <v/>
      </c>
      <c r="C864">
        <f>IF($E864="","",INDEX('Input Transaksi'!$E:$E,$E864))</f>
        <v/>
      </c>
      <c r="D864" s="5">
        <f>IF($E864="","",INDEX('Input Transaksi'!$F:$F,$E864))</f>
        <v/>
      </c>
      <c r="E864">
        <f>IFERROR(AGGREGATE(15,6,ROW('Input Transaksi'!$B$5:$B$5000)/('Input Transaksi'!$B$5:$B$5000="GEDE LONDRI"),ROWS($E$5:E864)),"")</f>
        <v/>
      </c>
      <c r="F864" s="5" t="n"/>
    </row>
    <row r="865">
      <c r="A865" s="10">
        <f>IF($E865="","",INDEX('Input Transaksi'!$A:$A,$E865))</f>
        <v/>
      </c>
      <c r="B865" s="5">
        <f>IF($E865="","",INDEX('Input Transaksi'!$D:$D,$E865))</f>
        <v/>
      </c>
      <c r="C865">
        <f>IF($E865="","",INDEX('Input Transaksi'!$E:$E,$E865))</f>
        <v/>
      </c>
      <c r="D865" s="5">
        <f>IF($E865="","",INDEX('Input Transaksi'!$F:$F,$E865))</f>
        <v/>
      </c>
      <c r="E865">
        <f>IFERROR(AGGREGATE(15,6,ROW('Input Transaksi'!$B$5:$B$5000)/('Input Transaksi'!$B$5:$B$5000="GEDE LONDRI"),ROWS($E$5:E865)),"")</f>
        <v/>
      </c>
      <c r="F865" s="5" t="n"/>
    </row>
    <row r="866">
      <c r="A866" s="10">
        <f>IF($E866="","",INDEX('Input Transaksi'!$A:$A,$E866))</f>
        <v/>
      </c>
      <c r="B866" s="5">
        <f>IF($E866="","",INDEX('Input Transaksi'!$D:$D,$E866))</f>
        <v/>
      </c>
      <c r="C866">
        <f>IF($E866="","",INDEX('Input Transaksi'!$E:$E,$E866))</f>
        <v/>
      </c>
      <c r="D866" s="5">
        <f>IF($E866="","",INDEX('Input Transaksi'!$F:$F,$E866))</f>
        <v/>
      </c>
      <c r="E866">
        <f>IFERROR(AGGREGATE(15,6,ROW('Input Transaksi'!$B$5:$B$5000)/('Input Transaksi'!$B$5:$B$5000="GEDE LONDRI"),ROWS($E$5:E866)),"")</f>
        <v/>
      </c>
      <c r="F866" s="5" t="n"/>
    </row>
    <row r="867">
      <c r="A867" s="10">
        <f>IF($E867="","",INDEX('Input Transaksi'!$A:$A,$E867))</f>
        <v/>
      </c>
      <c r="B867" s="5">
        <f>IF($E867="","",INDEX('Input Transaksi'!$D:$D,$E867))</f>
        <v/>
      </c>
      <c r="C867">
        <f>IF($E867="","",INDEX('Input Transaksi'!$E:$E,$E867))</f>
        <v/>
      </c>
      <c r="D867" s="5">
        <f>IF($E867="","",INDEX('Input Transaksi'!$F:$F,$E867))</f>
        <v/>
      </c>
      <c r="E867">
        <f>IFERROR(AGGREGATE(15,6,ROW('Input Transaksi'!$B$5:$B$5000)/('Input Transaksi'!$B$5:$B$5000="GEDE LONDRI"),ROWS($E$5:E867)),"")</f>
        <v/>
      </c>
      <c r="F867" s="5" t="n"/>
    </row>
    <row r="868">
      <c r="A868" s="10">
        <f>IF($E868="","",INDEX('Input Transaksi'!$A:$A,$E868))</f>
        <v/>
      </c>
      <c r="B868" s="5">
        <f>IF($E868="","",INDEX('Input Transaksi'!$D:$D,$E868))</f>
        <v/>
      </c>
      <c r="C868">
        <f>IF($E868="","",INDEX('Input Transaksi'!$E:$E,$E868))</f>
        <v/>
      </c>
      <c r="D868" s="5">
        <f>IF($E868="","",INDEX('Input Transaksi'!$F:$F,$E868))</f>
        <v/>
      </c>
      <c r="E868">
        <f>IFERROR(AGGREGATE(15,6,ROW('Input Transaksi'!$B$5:$B$5000)/('Input Transaksi'!$B$5:$B$5000="GEDE LONDRI"),ROWS($E$5:E868)),"")</f>
        <v/>
      </c>
      <c r="F868" s="5" t="n"/>
    </row>
    <row r="869">
      <c r="A869" s="10">
        <f>IF($E869="","",INDEX('Input Transaksi'!$A:$A,$E869))</f>
        <v/>
      </c>
      <c r="B869" s="5">
        <f>IF($E869="","",INDEX('Input Transaksi'!$D:$D,$E869))</f>
        <v/>
      </c>
      <c r="C869">
        <f>IF($E869="","",INDEX('Input Transaksi'!$E:$E,$E869))</f>
        <v/>
      </c>
      <c r="D869" s="5">
        <f>IF($E869="","",INDEX('Input Transaksi'!$F:$F,$E869))</f>
        <v/>
      </c>
      <c r="E869">
        <f>IFERROR(AGGREGATE(15,6,ROW('Input Transaksi'!$B$5:$B$5000)/('Input Transaksi'!$B$5:$B$5000="GEDE LONDRI"),ROWS($E$5:E869)),"")</f>
        <v/>
      </c>
      <c r="F869" s="5" t="n"/>
    </row>
    <row r="870">
      <c r="A870" s="10">
        <f>IF($E870="","",INDEX('Input Transaksi'!$A:$A,$E870))</f>
        <v/>
      </c>
      <c r="B870" s="5">
        <f>IF($E870="","",INDEX('Input Transaksi'!$D:$D,$E870))</f>
        <v/>
      </c>
      <c r="C870">
        <f>IF($E870="","",INDEX('Input Transaksi'!$E:$E,$E870))</f>
        <v/>
      </c>
      <c r="D870" s="5">
        <f>IF($E870="","",INDEX('Input Transaksi'!$F:$F,$E870))</f>
        <v/>
      </c>
      <c r="E870">
        <f>IFERROR(AGGREGATE(15,6,ROW('Input Transaksi'!$B$5:$B$5000)/('Input Transaksi'!$B$5:$B$5000="GEDE LONDRI"),ROWS($E$5:E870)),"")</f>
        <v/>
      </c>
      <c r="F870" s="5" t="n"/>
    </row>
    <row r="871">
      <c r="A871" s="10">
        <f>IF($E871="","",INDEX('Input Transaksi'!$A:$A,$E871))</f>
        <v/>
      </c>
      <c r="B871" s="5">
        <f>IF($E871="","",INDEX('Input Transaksi'!$D:$D,$E871))</f>
        <v/>
      </c>
      <c r="C871">
        <f>IF($E871="","",INDEX('Input Transaksi'!$E:$E,$E871))</f>
        <v/>
      </c>
      <c r="D871" s="5">
        <f>IF($E871="","",INDEX('Input Transaksi'!$F:$F,$E871))</f>
        <v/>
      </c>
      <c r="E871">
        <f>IFERROR(AGGREGATE(15,6,ROW('Input Transaksi'!$B$5:$B$5000)/('Input Transaksi'!$B$5:$B$5000="GEDE LONDRI"),ROWS($E$5:E871)),"")</f>
        <v/>
      </c>
      <c r="F871" s="5" t="n"/>
    </row>
    <row r="872">
      <c r="A872" s="10">
        <f>IF($E872="","",INDEX('Input Transaksi'!$A:$A,$E872))</f>
        <v/>
      </c>
      <c r="B872" s="5">
        <f>IF($E872="","",INDEX('Input Transaksi'!$D:$D,$E872))</f>
        <v/>
      </c>
      <c r="C872">
        <f>IF($E872="","",INDEX('Input Transaksi'!$E:$E,$E872))</f>
        <v/>
      </c>
      <c r="D872" s="5">
        <f>IF($E872="","",INDEX('Input Transaksi'!$F:$F,$E872))</f>
        <v/>
      </c>
      <c r="E872">
        <f>IFERROR(AGGREGATE(15,6,ROW('Input Transaksi'!$B$5:$B$5000)/('Input Transaksi'!$B$5:$B$5000="GEDE LONDRI"),ROWS($E$5:E872)),"")</f>
        <v/>
      </c>
      <c r="F872" s="5" t="n"/>
    </row>
    <row r="873">
      <c r="A873" s="10">
        <f>IF($E873="","",INDEX('Input Transaksi'!$A:$A,$E873))</f>
        <v/>
      </c>
      <c r="B873" s="5">
        <f>IF($E873="","",INDEX('Input Transaksi'!$D:$D,$E873))</f>
        <v/>
      </c>
      <c r="C873">
        <f>IF($E873="","",INDEX('Input Transaksi'!$E:$E,$E873))</f>
        <v/>
      </c>
      <c r="D873" s="5">
        <f>IF($E873="","",INDEX('Input Transaksi'!$F:$F,$E873))</f>
        <v/>
      </c>
      <c r="E873">
        <f>IFERROR(AGGREGATE(15,6,ROW('Input Transaksi'!$B$5:$B$5000)/('Input Transaksi'!$B$5:$B$5000="GEDE LONDRI"),ROWS($E$5:E873)),"")</f>
        <v/>
      </c>
      <c r="F873" s="5" t="n"/>
    </row>
    <row r="874">
      <c r="A874" s="10">
        <f>IF($E874="","",INDEX('Input Transaksi'!$A:$A,$E874))</f>
        <v/>
      </c>
      <c r="B874" s="5">
        <f>IF($E874="","",INDEX('Input Transaksi'!$D:$D,$E874))</f>
        <v/>
      </c>
      <c r="C874">
        <f>IF($E874="","",INDEX('Input Transaksi'!$E:$E,$E874))</f>
        <v/>
      </c>
      <c r="D874" s="5">
        <f>IF($E874="","",INDEX('Input Transaksi'!$F:$F,$E874))</f>
        <v/>
      </c>
      <c r="E874">
        <f>IFERROR(AGGREGATE(15,6,ROW('Input Transaksi'!$B$5:$B$5000)/('Input Transaksi'!$B$5:$B$5000="GEDE LONDRI"),ROWS($E$5:E874)),"")</f>
        <v/>
      </c>
      <c r="F874" s="5" t="n"/>
    </row>
    <row r="875">
      <c r="A875" s="10">
        <f>IF($E875="","",INDEX('Input Transaksi'!$A:$A,$E875))</f>
        <v/>
      </c>
      <c r="B875" s="5">
        <f>IF($E875="","",INDEX('Input Transaksi'!$D:$D,$E875))</f>
        <v/>
      </c>
      <c r="C875">
        <f>IF($E875="","",INDEX('Input Transaksi'!$E:$E,$E875))</f>
        <v/>
      </c>
      <c r="D875" s="5">
        <f>IF($E875="","",INDEX('Input Transaksi'!$F:$F,$E875))</f>
        <v/>
      </c>
      <c r="E875">
        <f>IFERROR(AGGREGATE(15,6,ROW('Input Transaksi'!$B$5:$B$5000)/('Input Transaksi'!$B$5:$B$5000="GEDE LONDRI"),ROWS($E$5:E875)),"")</f>
        <v/>
      </c>
      <c r="F875" s="5" t="n"/>
    </row>
    <row r="876">
      <c r="A876" s="10">
        <f>IF($E876="","",INDEX('Input Transaksi'!$A:$A,$E876))</f>
        <v/>
      </c>
      <c r="B876" s="5">
        <f>IF($E876="","",INDEX('Input Transaksi'!$D:$D,$E876))</f>
        <v/>
      </c>
      <c r="C876">
        <f>IF($E876="","",INDEX('Input Transaksi'!$E:$E,$E876))</f>
        <v/>
      </c>
      <c r="D876" s="5">
        <f>IF($E876="","",INDEX('Input Transaksi'!$F:$F,$E876))</f>
        <v/>
      </c>
      <c r="E876">
        <f>IFERROR(AGGREGATE(15,6,ROW('Input Transaksi'!$B$5:$B$5000)/('Input Transaksi'!$B$5:$B$5000="GEDE LONDRI"),ROWS($E$5:E876)),"")</f>
        <v/>
      </c>
      <c r="F876" s="5" t="n"/>
    </row>
    <row r="877">
      <c r="A877" s="10">
        <f>IF($E877="","",INDEX('Input Transaksi'!$A:$A,$E877))</f>
        <v/>
      </c>
      <c r="B877" s="5">
        <f>IF($E877="","",INDEX('Input Transaksi'!$D:$D,$E877))</f>
        <v/>
      </c>
      <c r="C877">
        <f>IF($E877="","",INDEX('Input Transaksi'!$E:$E,$E877))</f>
        <v/>
      </c>
      <c r="D877" s="5">
        <f>IF($E877="","",INDEX('Input Transaksi'!$F:$F,$E877))</f>
        <v/>
      </c>
      <c r="E877">
        <f>IFERROR(AGGREGATE(15,6,ROW('Input Transaksi'!$B$5:$B$5000)/('Input Transaksi'!$B$5:$B$5000="GEDE LONDRI"),ROWS($E$5:E877)),"")</f>
        <v/>
      </c>
      <c r="F877" s="5" t="n"/>
    </row>
    <row r="878">
      <c r="A878" s="10">
        <f>IF($E878="","",INDEX('Input Transaksi'!$A:$A,$E878))</f>
        <v/>
      </c>
      <c r="B878" s="5">
        <f>IF($E878="","",INDEX('Input Transaksi'!$D:$D,$E878))</f>
        <v/>
      </c>
      <c r="C878">
        <f>IF($E878="","",INDEX('Input Transaksi'!$E:$E,$E878))</f>
        <v/>
      </c>
      <c r="D878" s="5">
        <f>IF($E878="","",INDEX('Input Transaksi'!$F:$F,$E878))</f>
        <v/>
      </c>
      <c r="E878">
        <f>IFERROR(AGGREGATE(15,6,ROW('Input Transaksi'!$B$5:$B$5000)/('Input Transaksi'!$B$5:$B$5000="GEDE LONDRI"),ROWS($E$5:E878)),"")</f>
        <v/>
      </c>
      <c r="F878" s="5" t="n"/>
    </row>
    <row r="879">
      <c r="A879" s="10">
        <f>IF($E879="","",INDEX('Input Transaksi'!$A:$A,$E879))</f>
        <v/>
      </c>
      <c r="B879" s="5">
        <f>IF($E879="","",INDEX('Input Transaksi'!$D:$D,$E879))</f>
        <v/>
      </c>
      <c r="C879">
        <f>IF($E879="","",INDEX('Input Transaksi'!$E:$E,$E879))</f>
        <v/>
      </c>
      <c r="D879" s="5">
        <f>IF($E879="","",INDEX('Input Transaksi'!$F:$F,$E879))</f>
        <v/>
      </c>
      <c r="E879">
        <f>IFERROR(AGGREGATE(15,6,ROW('Input Transaksi'!$B$5:$B$5000)/('Input Transaksi'!$B$5:$B$5000="GEDE LONDRI"),ROWS($E$5:E879)),"")</f>
        <v/>
      </c>
      <c r="F879" s="5" t="n"/>
    </row>
    <row r="880">
      <c r="A880" s="10">
        <f>IF($E880="","",INDEX('Input Transaksi'!$A:$A,$E880))</f>
        <v/>
      </c>
      <c r="B880" s="5">
        <f>IF($E880="","",INDEX('Input Transaksi'!$D:$D,$E880))</f>
        <v/>
      </c>
      <c r="C880">
        <f>IF($E880="","",INDEX('Input Transaksi'!$E:$E,$E880))</f>
        <v/>
      </c>
      <c r="D880" s="5">
        <f>IF($E880="","",INDEX('Input Transaksi'!$F:$F,$E880))</f>
        <v/>
      </c>
      <c r="E880">
        <f>IFERROR(AGGREGATE(15,6,ROW('Input Transaksi'!$B$5:$B$5000)/('Input Transaksi'!$B$5:$B$5000="GEDE LONDRI"),ROWS($E$5:E880)),"")</f>
        <v/>
      </c>
      <c r="F880" s="5" t="n"/>
    </row>
    <row r="881">
      <c r="A881" s="10">
        <f>IF($E881="","",INDEX('Input Transaksi'!$A:$A,$E881))</f>
        <v/>
      </c>
      <c r="B881" s="5">
        <f>IF($E881="","",INDEX('Input Transaksi'!$D:$D,$E881))</f>
        <v/>
      </c>
      <c r="C881">
        <f>IF($E881="","",INDEX('Input Transaksi'!$E:$E,$E881))</f>
        <v/>
      </c>
      <c r="D881" s="5">
        <f>IF($E881="","",INDEX('Input Transaksi'!$F:$F,$E881))</f>
        <v/>
      </c>
      <c r="E881">
        <f>IFERROR(AGGREGATE(15,6,ROW('Input Transaksi'!$B$5:$B$5000)/('Input Transaksi'!$B$5:$B$5000="GEDE LONDRI"),ROWS($E$5:E881)),"")</f>
        <v/>
      </c>
      <c r="F881" s="5" t="n"/>
    </row>
    <row r="882">
      <c r="A882" s="10">
        <f>IF($E882="","",INDEX('Input Transaksi'!$A:$A,$E882))</f>
        <v/>
      </c>
      <c r="B882" s="5">
        <f>IF($E882="","",INDEX('Input Transaksi'!$D:$D,$E882))</f>
        <v/>
      </c>
      <c r="C882">
        <f>IF($E882="","",INDEX('Input Transaksi'!$E:$E,$E882))</f>
        <v/>
      </c>
      <c r="D882" s="5">
        <f>IF($E882="","",INDEX('Input Transaksi'!$F:$F,$E882))</f>
        <v/>
      </c>
      <c r="E882">
        <f>IFERROR(AGGREGATE(15,6,ROW('Input Transaksi'!$B$5:$B$5000)/('Input Transaksi'!$B$5:$B$5000="GEDE LONDRI"),ROWS($E$5:E882)),"")</f>
        <v/>
      </c>
      <c r="F882" s="5" t="n"/>
    </row>
    <row r="883">
      <c r="A883" s="10">
        <f>IF($E883="","",INDEX('Input Transaksi'!$A:$A,$E883))</f>
        <v/>
      </c>
      <c r="B883" s="5">
        <f>IF($E883="","",INDEX('Input Transaksi'!$D:$D,$E883))</f>
        <v/>
      </c>
      <c r="C883">
        <f>IF($E883="","",INDEX('Input Transaksi'!$E:$E,$E883))</f>
        <v/>
      </c>
      <c r="D883" s="5">
        <f>IF($E883="","",INDEX('Input Transaksi'!$F:$F,$E883))</f>
        <v/>
      </c>
      <c r="E883">
        <f>IFERROR(AGGREGATE(15,6,ROW('Input Transaksi'!$B$5:$B$5000)/('Input Transaksi'!$B$5:$B$5000="GEDE LONDRI"),ROWS($E$5:E883)),"")</f>
        <v/>
      </c>
      <c r="F883" s="5" t="n"/>
    </row>
    <row r="884">
      <c r="A884" s="10">
        <f>IF($E884="","",INDEX('Input Transaksi'!$A:$A,$E884))</f>
        <v/>
      </c>
      <c r="B884" s="5">
        <f>IF($E884="","",INDEX('Input Transaksi'!$D:$D,$E884))</f>
        <v/>
      </c>
      <c r="C884">
        <f>IF($E884="","",INDEX('Input Transaksi'!$E:$E,$E884))</f>
        <v/>
      </c>
      <c r="D884" s="5">
        <f>IF($E884="","",INDEX('Input Transaksi'!$F:$F,$E884))</f>
        <v/>
      </c>
      <c r="E884">
        <f>IFERROR(AGGREGATE(15,6,ROW('Input Transaksi'!$B$5:$B$5000)/('Input Transaksi'!$B$5:$B$5000="GEDE LONDRI"),ROWS($E$5:E884)),"")</f>
        <v/>
      </c>
      <c r="F884" s="5" t="n"/>
    </row>
    <row r="885">
      <c r="A885" s="10">
        <f>IF($E885="","",INDEX('Input Transaksi'!$A:$A,$E885))</f>
        <v/>
      </c>
      <c r="B885" s="5">
        <f>IF($E885="","",INDEX('Input Transaksi'!$D:$D,$E885))</f>
        <v/>
      </c>
      <c r="C885">
        <f>IF($E885="","",INDEX('Input Transaksi'!$E:$E,$E885))</f>
        <v/>
      </c>
      <c r="D885" s="5">
        <f>IF($E885="","",INDEX('Input Transaksi'!$F:$F,$E885))</f>
        <v/>
      </c>
      <c r="E885">
        <f>IFERROR(AGGREGATE(15,6,ROW('Input Transaksi'!$B$5:$B$5000)/('Input Transaksi'!$B$5:$B$5000="GEDE LONDRI"),ROWS($E$5:E885)),"")</f>
        <v/>
      </c>
      <c r="F885" s="5" t="n"/>
    </row>
    <row r="886">
      <c r="A886" s="10">
        <f>IF($E886="","",INDEX('Input Transaksi'!$A:$A,$E886))</f>
        <v/>
      </c>
      <c r="B886" s="5">
        <f>IF($E886="","",INDEX('Input Transaksi'!$D:$D,$E886))</f>
        <v/>
      </c>
      <c r="C886">
        <f>IF($E886="","",INDEX('Input Transaksi'!$E:$E,$E886))</f>
        <v/>
      </c>
      <c r="D886" s="5">
        <f>IF($E886="","",INDEX('Input Transaksi'!$F:$F,$E886))</f>
        <v/>
      </c>
      <c r="E886">
        <f>IFERROR(AGGREGATE(15,6,ROW('Input Transaksi'!$B$5:$B$5000)/('Input Transaksi'!$B$5:$B$5000="GEDE LONDRI"),ROWS($E$5:E886)),"")</f>
        <v/>
      </c>
      <c r="F886" s="5" t="n"/>
    </row>
    <row r="887">
      <c r="A887" s="10">
        <f>IF($E887="","",INDEX('Input Transaksi'!$A:$A,$E887))</f>
        <v/>
      </c>
      <c r="B887" s="5">
        <f>IF($E887="","",INDEX('Input Transaksi'!$D:$D,$E887))</f>
        <v/>
      </c>
      <c r="C887">
        <f>IF($E887="","",INDEX('Input Transaksi'!$E:$E,$E887))</f>
        <v/>
      </c>
      <c r="D887" s="5">
        <f>IF($E887="","",INDEX('Input Transaksi'!$F:$F,$E887))</f>
        <v/>
      </c>
      <c r="E887">
        <f>IFERROR(AGGREGATE(15,6,ROW('Input Transaksi'!$B$5:$B$5000)/('Input Transaksi'!$B$5:$B$5000="GEDE LONDRI"),ROWS($E$5:E887)),"")</f>
        <v/>
      </c>
      <c r="F887" s="5" t="n"/>
    </row>
    <row r="888">
      <c r="A888" s="10">
        <f>IF($E888="","",INDEX('Input Transaksi'!$A:$A,$E888))</f>
        <v/>
      </c>
      <c r="B888" s="5">
        <f>IF($E888="","",INDEX('Input Transaksi'!$D:$D,$E888))</f>
        <v/>
      </c>
      <c r="C888">
        <f>IF($E888="","",INDEX('Input Transaksi'!$E:$E,$E888))</f>
        <v/>
      </c>
      <c r="D888" s="5">
        <f>IF($E888="","",INDEX('Input Transaksi'!$F:$F,$E888))</f>
        <v/>
      </c>
      <c r="E888">
        <f>IFERROR(AGGREGATE(15,6,ROW('Input Transaksi'!$B$5:$B$5000)/('Input Transaksi'!$B$5:$B$5000="GEDE LONDRI"),ROWS($E$5:E888)),"")</f>
        <v/>
      </c>
      <c r="F888" s="5" t="n"/>
    </row>
    <row r="889">
      <c r="A889" s="10">
        <f>IF($E889="","",INDEX('Input Transaksi'!$A:$A,$E889))</f>
        <v/>
      </c>
      <c r="B889" s="5">
        <f>IF($E889="","",INDEX('Input Transaksi'!$D:$D,$E889))</f>
        <v/>
      </c>
      <c r="C889">
        <f>IF($E889="","",INDEX('Input Transaksi'!$E:$E,$E889))</f>
        <v/>
      </c>
      <c r="D889" s="5">
        <f>IF($E889="","",INDEX('Input Transaksi'!$F:$F,$E889))</f>
        <v/>
      </c>
      <c r="E889">
        <f>IFERROR(AGGREGATE(15,6,ROW('Input Transaksi'!$B$5:$B$5000)/('Input Transaksi'!$B$5:$B$5000="GEDE LONDRI"),ROWS($E$5:E889)),"")</f>
        <v/>
      </c>
      <c r="F889" s="5" t="n"/>
    </row>
    <row r="890">
      <c r="A890" s="10">
        <f>IF($E890="","",INDEX('Input Transaksi'!$A:$A,$E890))</f>
        <v/>
      </c>
      <c r="B890" s="5">
        <f>IF($E890="","",INDEX('Input Transaksi'!$D:$D,$E890))</f>
        <v/>
      </c>
      <c r="C890">
        <f>IF($E890="","",INDEX('Input Transaksi'!$E:$E,$E890))</f>
        <v/>
      </c>
      <c r="D890" s="5">
        <f>IF($E890="","",INDEX('Input Transaksi'!$F:$F,$E890))</f>
        <v/>
      </c>
      <c r="E890">
        <f>IFERROR(AGGREGATE(15,6,ROW('Input Transaksi'!$B$5:$B$5000)/('Input Transaksi'!$B$5:$B$5000="GEDE LONDRI"),ROWS($E$5:E890)),"")</f>
        <v/>
      </c>
      <c r="F890" s="5" t="n"/>
    </row>
    <row r="891">
      <c r="A891" s="10">
        <f>IF($E891="","",INDEX('Input Transaksi'!$A:$A,$E891))</f>
        <v/>
      </c>
      <c r="B891" s="5">
        <f>IF($E891="","",INDEX('Input Transaksi'!$D:$D,$E891))</f>
        <v/>
      </c>
      <c r="C891">
        <f>IF($E891="","",INDEX('Input Transaksi'!$E:$E,$E891))</f>
        <v/>
      </c>
      <c r="D891" s="5">
        <f>IF($E891="","",INDEX('Input Transaksi'!$F:$F,$E891))</f>
        <v/>
      </c>
      <c r="E891">
        <f>IFERROR(AGGREGATE(15,6,ROW('Input Transaksi'!$B$5:$B$5000)/('Input Transaksi'!$B$5:$B$5000="GEDE LONDRI"),ROWS($E$5:E891)),"")</f>
        <v/>
      </c>
      <c r="F891" s="5" t="n"/>
    </row>
    <row r="892">
      <c r="A892" s="10">
        <f>IF($E892="","",INDEX('Input Transaksi'!$A:$A,$E892))</f>
        <v/>
      </c>
      <c r="B892" s="5">
        <f>IF($E892="","",INDEX('Input Transaksi'!$D:$D,$E892))</f>
        <v/>
      </c>
      <c r="C892">
        <f>IF($E892="","",INDEX('Input Transaksi'!$E:$E,$E892))</f>
        <v/>
      </c>
      <c r="D892" s="5">
        <f>IF($E892="","",INDEX('Input Transaksi'!$F:$F,$E892))</f>
        <v/>
      </c>
      <c r="E892">
        <f>IFERROR(AGGREGATE(15,6,ROW('Input Transaksi'!$B$5:$B$5000)/('Input Transaksi'!$B$5:$B$5000="GEDE LONDRI"),ROWS($E$5:E892)),"")</f>
        <v/>
      </c>
      <c r="F892" s="5" t="n"/>
    </row>
    <row r="893">
      <c r="A893" s="10">
        <f>IF($E893="","",INDEX('Input Transaksi'!$A:$A,$E893))</f>
        <v/>
      </c>
      <c r="B893" s="5">
        <f>IF($E893="","",INDEX('Input Transaksi'!$D:$D,$E893))</f>
        <v/>
      </c>
      <c r="C893">
        <f>IF($E893="","",INDEX('Input Transaksi'!$E:$E,$E893))</f>
        <v/>
      </c>
      <c r="D893" s="5">
        <f>IF($E893="","",INDEX('Input Transaksi'!$F:$F,$E893))</f>
        <v/>
      </c>
      <c r="E893">
        <f>IFERROR(AGGREGATE(15,6,ROW('Input Transaksi'!$B$5:$B$5000)/('Input Transaksi'!$B$5:$B$5000="GEDE LONDRI"),ROWS($E$5:E893)),"")</f>
        <v/>
      </c>
      <c r="F893" s="5" t="n"/>
    </row>
    <row r="894">
      <c r="A894" s="10">
        <f>IF($E894="","",INDEX('Input Transaksi'!$A:$A,$E894))</f>
        <v/>
      </c>
      <c r="B894" s="5">
        <f>IF($E894="","",INDEX('Input Transaksi'!$D:$D,$E894))</f>
        <v/>
      </c>
      <c r="C894">
        <f>IF($E894="","",INDEX('Input Transaksi'!$E:$E,$E894))</f>
        <v/>
      </c>
      <c r="D894" s="5">
        <f>IF($E894="","",INDEX('Input Transaksi'!$F:$F,$E894))</f>
        <v/>
      </c>
      <c r="E894">
        <f>IFERROR(AGGREGATE(15,6,ROW('Input Transaksi'!$B$5:$B$5000)/('Input Transaksi'!$B$5:$B$5000="GEDE LONDRI"),ROWS($E$5:E894)),"")</f>
        <v/>
      </c>
      <c r="F894" s="5" t="n"/>
    </row>
    <row r="895">
      <c r="A895" s="10">
        <f>IF($E895="","",INDEX('Input Transaksi'!$A:$A,$E895))</f>
        <v/>
      </c>
      <c r="B895" s="5">
        <f>IF($E895="","",INDEX('Input Transaksi'!$D:$D,$E895))</f>
        <v/>
      </c>
      <c r="C895">
        <f>IF($E895="","",INDEX('Input Transaksi'!$E:$E,$E895))</f>
        <v/>
      </c>
      <c r="D895" s="5">
        <f>IF($E895="","",INDEX('Input Transaksi'!$F:$F,$E895))</f>
        <v/>
      </c>
      <c r="E895">
        <f>IFERROR(AGGREGATE(15,6,ROW('Input Transaksi'!$B$5:$B$5000)/('Input Transaksi'!$B$5:$B$5000="GEDE LONDRI"),ROWS($E$5:E895)),"")</f>
        <v/>
      </c>
      <c r="F895" s="5" t="n"/>
    </row>
    <row r="896">
      <c r="A896" s="10">
        <f>IF($E896="","",INDEX('Input Transaksi'!$A:$A,$E896))</f>
        <v/>
      </c>
      <c r="B896" s="5">
        <f>IF($E896="","",INDEX('Input Transaksi'!$D:$D,$E896))</f>
        <v/>
      </c>
      <c r="C896">
        <f>IF($E896="","",INDEX('Input Transaksi'!$E:$E,$E896))</f>
        <v/>
      </c>
      <c r="D896" s="5">
        <f>IF($E896="","",INDEX('Input Transaksi'!$F:$F,$E896))</f>
        <v/>
      </c>
      <c r="E896">
        <f>IFERROR(AGGREGATE(15,6,ROW('Input Transaksi'!$B$5:$B$5000)/('Input Transaksi'!$B$5:$B$5000="GEDE LONDRI"),ROWS($E$5:E896)),"")</f>
        <v/>
      </c>
      <c r="F896" s="5" t="n"/>
    </row>
    <row r="897">
      <c r="A897" s="10">
        <f>IF($E897="","",INDEX('Input Transaksi'!$A:$A,$E897))</f>
        <v/>
      </c>
      <c r="B897" s="5">
        <f>IF($E897="","",INDEX('Input Transaksi'!$D:$D,$E897))</f>
        <v/>
      </c>
      <c r="C897">
        <f>IF($E897="","",INDEX('Input Transaksi'!$E:$E,$E897))</f>
        <v/>
      </c>
      <c r="D897" s="5">
        <f>IF($E897="","",INDEX('Input Transaksi'!$F:$F,$E897))</f>
        <v/>
      </c>
      <c r="E897">
        <f>IFERROR(AGGREGATE(15,6,ROW('Input Transaksi'!$B$5:$B$5000)/('Input Transaksi'!$B$5:$B$5000="GEDE LONDRI"),ROWS($E$5:E897)),"")</f>
        <v/>
      </c>
      <c r="F897" s="5" t="n"/>
    </row>
    <row r="898">
      <c r="A898" s="10">
        <f>IF($E898="","",INDEX('Input Transaksi'!$A:$A,$E898))</f>
        <v/>
      </c>
      <c r="B898" s="5">
        <f>IF($E898="","",INDEX('Input Transaksi'!$D:$D,$E898))</f>
        <v/>
      </c>
      <c r="C898">
        <f>IF($E898="","",INDEX('Input Transaksi'!$E:$E,$E898))</f>
        <v/>
      </c>
      <c r="D898" s="5">
        <f>IF($E898="","",INDEX('Input Transaksi'!$F:$F,$E898))</f>
        <v/>
      </c>
      <c r="E898">
        <f>IFERROR(AGGREGATE(15,6,ROW('Input Transaksi'!$B$5:$B$5000)/('Input Transaksi'!$B$5:$B$5000="GEDE LONDRI"),ROWS($E$5:E898)),"")</f>
        <v/>
      </c>
      <c r="F898" s="5" t="n"/>
    </row>
    <row r="899">
      <c r="A899" s="10">
        <f>IF($E899="","",INDEX('Input Transaksi'!$A:$A,$E899))</f>
        <v/>
      </c>
      <c r="B899" s="5">
        <f>IF($E899="","",INDEX('Input Transaksi'!$D:$D,$E899))</f>
        <v/>
      </c>
      <c r="C899">
        <f>IF($E899="","",INDEX('Input Transaksi'!$E:$E,$E899))</f>
        <v/>
      </c>
      <c r="D899" s="5">
        <f>IF($E899="","",INDEX('Input Transaksi'!$F:$F,$E899))</f>
        <v/>
      </c>
      <c r="E899">
        <f>IFERROR(AGGREGATE(15,6,ROW('Input Transaksi'!$B$5:$B$5000)/('Input Transaksi'!$B$5:$B$5000="GEDE LONDRI"),ROWS($E$5:E899)),"")</f>
        <v/>
      </c>
      <c r="F899" s="5" t="n"/>
    </row>
    <row r="900">
      <c r="A900" s="10">
        <f>IF($E900="","",INDEX('Input Transaksi'!$A:$A,$E900))</f>
        <v/>
      </c>
      <c r="B900" s="5">
        <f>IF($E900="","",INDEX('Input Transaksi'!$D:$D,$E900))</f>
        <v/>
      </c>
      <c r="C900">
        <f>IF($E900="","",INDEX('Input Transaksi'!$E:$E,$E900))</f>
        <v/>
      </c>
      <c r="D900" s="5">
        <f>IF($E900="","",INDEX('Input Transaksi'!$F:$F,$E900))</f>
        <v/>
      </c>
      <c r="E900">
        <f>IFERROR(AGGREGATE(15,6,ROW('Input Transaksi'!$B$5:$B$5000)/('Input Transaksi'!$B$5:$B$5000="GEDE LONDRI"),ROWS($E$5:E900)),"")</f>
        <v/>
      </c>
      <c r="F900" s="5" t="n"/>
    </row>
    <row r="901">
      <c r="A901" s="10">
        <f>IF($E901="","",INDEX('Input Transaksi'!$A:$A,$E901))</f>
        <v/>
      </c>
      <c r="B901" s="5">
        <f>IF($E901="","",INDEX('Input Transaksi'!$D:$D,$E901))</f>
        <v/>
      </c>
      <c r="C901">
        <f>IF($E901="","",INDEX('Input Transaksi'!$E:$E,$E901))</f>
        <v/>
      </c>
      <c r="D901" s="5">
        <f>IF($E901="","",INDEX('Input Transaksi'!$F:$F,$E901))</f>
        <v/>
      </c>
      <c r="E901">
        <f>IFERROR(AGGREGATE(15,6,ROW('Input Transaksi'!$B$5:$B$5000)/('Input Transaksi'!$B$5:$B$5000="GEDE LONDRI"),ROWS($E$5:E901)),"")</f>
        <v/>
      </c>
      <c r="F901" s="5" t="n"/>
    </row>
    <row r="902">
      <c r="A902" s="10">
        <f>IF($E902="","",INDEX('Input Transaksi'!$A:$A,$E902))</f>
        <v/>
      </c>
      <c r="B902" s="5">
        <f>IF($E902="","",INDEX('Input Transaksi'!$D:$D,$E902))</f>
        <v/>
      </c>
      <c r="C902">
        <f>IF($E902="","",INDEX('Input Transaksi'!$E:$E,$E902))</f>
        <v/>
      </c>
      <c r="D902" s="5">
        <f>IF($E902="","",INDEX('Input Transaksi'!$F:$F,$E902))</f>
        <v/>
      </c>
      <c r="E902">
        <f>IFERROR(AGGREGATE(15,6,ROW('Input Transaksi'!$B$5:$B$5000)/('Input Transaksi'!$B$5:$B$5000="GEDE LONDRI"),ROWS($E$5:E902)),"")</f>
        <v/>
      </c>
      <c r="F902" s="5" t="n"/>
    </row>
    <row r="903">
      <c r="A903" s="10">
        <f>IF($E903="","",INDEX('Input Transaksi'!$A:$A,$E903))</f>
        <v/>
      </c>
      <c r="B903" s="5">
        <f>IF($E903="","",INDEX('Input Transaksi'!$D:$D,$E903))</f>
        <v/>
      </c>
      <c r="C903">
        <f>IF($E903="","",INDEX('Input Transaksi'!$E:$E,$E903))</f>
        <v/>
      </c>
      <c r="D903" s="5">
        <f>IF($E903="","",INDEX('Input Transaksi'!$F:$F,$E903))</f>
        <v/>
      </c>
      <c r="E903">
        <f>IFERROR(AGGREGATE(15,6,ROW('Input Transaksi'!$B$5:$B$5000)/('Input Transaksi'!$B$5:$B$5000="GEDE LONDRI"),ROWS($E$5:E903)),"")</f>
        <v/>
      </c>
      <c r="F903" s="5" t="n"/>
    </row>
    <row r="904">
      <c r="A904" s="10">
        <f>IF($E904="","",INDEX('Input Transaksi'!$A:$A,$E904))</f>
        <v/>
      </c>
      <c r="B904" s="5">
        <f>IF($E904="","",INDEX('Input Transaksi'!$D:$D,$E904))</f>
        <v/>
      </c>
      <c r="C904">
        <f>IF($E904="","",INDEX('Input Transaksi'!$E:$E,$E904))</f>
        <v/>
      </c>
      <c r="D904" s="5">
        <f>IF($E904="","",INDEX('Input Transaksi'!$F:$F,$E904))</f>
        <v/>
      </c>
      <c r="E904">
        <f>IFERROR(AGGREGATE(15,6,ROW('Input Transaksi'!$B$5:$B$5000)/('Input Transaksi'!$B$5:$B$5000="GEDE LONDRI"),ROWS($E$5:E904)),"")</f>
        <v/>
      </c>
      <c r="F904" s="5" t="n"/>
    </row>
    <row r="905">
      <c r="A905" s="10">
        <f>IF($E905="","",INDEX('Input Transaksi'!$A:$A,$E905))</f>
        <v/>
      </c>
      <c r="B905" s="5">
        <f>IF($E905="","",INDEX('Input Transaksi'!$D:$D,$E905))</f>
        <v/>
      </c>
      <c r="C905">
        <f>IF($E905="","",INDEX('Input Transaksi'!$E:$E,$E905))</f>
        <v/>
      </c>
      <c r="D905" s="5">
        <f>IF($E905="","",INDEX('Input Transaksi'!$F:$F,$E905))</f>
        <v/>
      </c>
      <c r="E905">
        <f>IFERROR(AGGREGATE(15,6,ROW('Input Transaksi'!$B$5:$B$5000)/('Input Transaksi'!$B$5:$B$5000="GEDE LONDRI"),ROWS($E$5:E905)),"")</f>
        <v/>
      </c>
      <c r="F905" s="5" t="n"/>
    </row>
    <row r="906">
      <c r="A906" s="10">
        <f>IF($E906="","",INDEX('Input Transaksi'!$A:$A,$E906))</f>
        <v/>
      </c>
      <c r="B906" s="5">
        <f>IF($E906="","",INDEX('Input Transaksi'!$D:$D,$E906))</f>
        <v/>
      </c>
      <c r="C906">
        <f>IF($E906="","",INDEX('Input Transaksi'!$E:$E,$E906))</f>
        <v/>
      </c>
      <c r="D906" s="5">
        <f>IF($E906="","",INDEX('Input Transaksi'!$F:$F,$E906))</f>
        <v/>
      </c>
      <c r="E906">
        <f>IFERROR(AGGREGATE(15,6,ROW('Input Transaksi'!$B$5:$B$5000)/('Input Transaksi'!$B$5:$B$5000="GEDE LONDRI"),ROWS($E$5:E906)),"")</f>
        <v/>
      </c>
      <c r="F906" s="5" t="n"/>
    </row>
    <row r="907">
      <c r="A907" s="10">
        <f>IF($E907="","",INDEX('Input Transaksi'!$A:$A,$E907))</f>
        <v/>
      </c>
      <c r="B907" s="5">
        <f>IF($E907="","",INDEX('Input Transaksi'!$D:$D,$E907))</f>
        <v/>
      </c>
      <c r="C907">
        <f>IF($E907="","",INDEX('Input Transaksi'!$E:$E,$E907))</f>
        <v/>
      </c>
      <c r="D907" s="5">
        <f>IF($E907="","",INDEX('Input Transaksi'!$F:$F,$E907))</f>
        <v/>
      </c>
      <c r="E907">
        <f>IFERROR(AGGREGATE(15,6,ROW('Input Transaksi'!$B$5:$B$5000)/('Input Transaksi'!$B$5:$B$5000="GEDE LONDRI"),ROWS($E$5:E907)),"")</f>
        <v/>
      </c>
      <c r="F907" s="5" t="n"/>
    </row>
    <row r="908">
      <c r="A908" s="10">
        <f>IF($E908="","",INDEX('Input Transaksi'!$A:$A,$E908))</f>
        <v/>
      </c>
      <c r="B908" s="5">
        <f>IF($E908="","",INDEX('Input Transaksi'!$D:$D,$E908))</f>
        <v/>
      </c>
      <c r="C908">
        <f>IF($E908="","",INDEX('Input Transaksi'!$E:$E,$E908))</f>
        <v/>
      </c>
      <c r="D908" s="5">
        <f>IF($E908="","",INDEX('Input Transaksi'!$F:$F,$E908))</f>
        <v/>
      </c>
      <c r="E908">
        <f>IFERROR(AGGREGATE(15,6,ROW('Input Transaksi'!$B$5:$B$5000)/('Input Transaksi'!$B$5:$B$5000="GEDE LONDRI"),ROWS($E$5:E908)),"")</f>
        <v/>
      </c>
      <c r="F908" s="5" t="n"/>
    </row>
    <row r="909">
      <c r="A909" s="10">
        <f>IF($E909="","",INDEX('Input Transaksi'!$A:$A,$E909))</f>
        <v/>
      </c>
      <c r="B909" s="5">
        <f>IF($E909="","",INDEX('Input Transaksi'!$D:$D,$E909))</f>
        <v/>
      </c>
      <c r="C909">
        <f>IF($E909="","",INDEX('Input Transaksi'!$E:$E,$E909))</f>
        <v/>
      </c>
      <c r="D909" s="5">
        <f>IF($E909="","",INDEX('Input Transaksi'!$F:$F,$E909))</f>
        <v/>
      </c>
      <c r="E909">
        <f>IFERROR(AGGREGATE(15,6,ROW('Input Transaksi'!$B$5:$B$5000)/('Input Transaksi'!$B$5:$B$5000="GEDE LONDRI"),ROWS($E$5:E909)),"")</f>
        <v/>
      </c>
      <c r="F909" s="5" t="n"/>
    </row>
    <row r="910">
      <c r="A910" s="10">
        <f>IF($E910="","",INDEX('Input Transaksi'!$A:$A,$E910))</f>
        <v/>
      </c>
      <c r="B910" s="5">
        <f>IF($E910="","",INDEX('Input Transaksi'!$D:$D,$E910))</f>
        <v/>
      </c>
      <c r="C910">
        <f>IF($E910="","",INDEX('Input Transaksi'!$E:$E,$E910))</f>
        <v/>
      </c>
      <c r="D910" s="5">
        <f>IF($E910="","",INDEX('Input Transaksi'!$F:$F,$E910))</f>
        <v/>
      </c>
      <c r="E910">
        <f>IFERROR(AGGREGATE(15,6,ROW('Input Transaksi'!$B$5:$B$5000)/('Input Transaksi'!$B$5:$B$5000="GEDE LONDRI"),ROWS($E$5:E910)),"")</f>
        <v/>
      </c>
      <c r="F910" s="5" t="n"/>
    </row>
    <row r="911">
      <c r="A911" s="10">
        <f>IF($E911="","",INDEX('Input Transaksi'!$A:$A,$E911))</f>
        <v/>
      </c>
      <c r="B911" s="5">
        <f>IF($E911="","",INDEX('Input Transaksi'!$D:$D,$E911))</f>
        <v/>
      </c>
      <c r="C911">
        <f>IF($E911="","",INDEX('Input Transaksi'!$E:$E,$E911))</f>
        <v/>
      </c>
      <c r="D911" s="5">
        <f>IF($E911="","",INDEX('Input Transaksi'!$F:$F,$E911))</f>
        <v/>
      </c>
      <c r="E911">
        <f>IFERROR(AGGREGATE(15,6,ROW('Input Transaksi'!$B$5:$B$5000)/('Input Transaksi'!$B$5:$B$5000="GEDE LONDRI"),ROWS($E$5:E911)),"")</f>
        <v/>
      </c>
      <c r="F911" s="5" t="n"/>
    </row>
    <row r="912">
      <c r="A912" s="10">
        <f>IF($E912="","",INDEX('Input Transaksi'!$A:$A,$E912))</f>
        <v/>
      </c>
      <c r="B912" s="5">
        <f>IF($E912="","",INDEX('Input Transaksi'!$D:$D,$E912))</f>
        <v/>
      </c>
      <c r="C912">
        <f>IF($E912="","",INDEX('Input Transaksi'!$E:$E,$E912))</f>
        <v/>
      </c>
      <c r="D912" s="5">
        <f>IF($E912="","",INDEX('Input Transaksi'!$F:$F,$E912))</f>
        <v/>
      </c>
      <c r="E912">
        <f>IFERROR(AGGREGATE(15,6,ROW('Input Transaksi'!$B$5:$B$5000)/('Input Transaksi'!$B$5:$B$5000="GEDE LONDRI"),ROWS($E$5:E912)),"")</f>
        <v/>
      </c>
      <c r="F912" s="5" t="n"/>
    </row>
    <row r="913">
      <c r="A913" s="10">
        <f>IF($E913="","",INDEX('Input Transaksi'!$A:$A,$E913))</f>
        <v/>
      </c>
      <c r="B913" s="5">
        <f>IF($E913="","",INDEX('Input Transaksi'!$D:$D,$E913))</f>
        <v/>
      </c>
      <c r="C913">
        <f>IF($E913="","",INDEX('Input Transaksi'!$E:$E,$E913))</f>
        <v/>
      </c>
      <c r="D913" s="5">
        <f>IF($E913="","",INDEX('Input Transaksi'!$F:$F,$E913))</f>
        <v/>
      </c>
      <c r="E913">
        <f>IFERROR(AGGREGATE(15,6,ROW('Input Transaksi'!$B$5:$B$5000)/('Input Transaksi'!$B$5:$B$5000="GEDE LONDRI"),ROWS($E$5:E913)),"")</f>
        <v/>
      </c>
      <c r="F913" s="5" t="n"/>
    </row>
    <row r="914">
      <c r="A914" s="10">
        <f>IF($E914="","",INDEX('Input Transaksi'!$A:$A,$E914))</f>
        <v/>
      </c>
      <c r="B914" s="5">
        <f>IF($E914="","",INDEX('Input Transaksi'!$D:$D,$E914))</f>
        <v/>
      </c>
      <c r="C914">
        <f>IF($E914="","",INDEX('Input Transaksi'!$E:$E,$E914))</f>
        <v/>
      </c>
      <c r="D914" s="5">
        <f>IF($E914="","",INDEX('Input Transaksi'!$F:$F,$E914))</f>
        <v/>
      </c>
      <c r="E914">
        <f>IFERROR(AGGREGATE(15,6,ROW('Input Transaksi'!$B$5:$B$5000)/('Input Transaksi'!$B$5:$B$5000="GEDE LONDRI"),ROWS($E$5:E914)),"")</f>
        <v/>
      </c>
      <c r="F914" s="5" t="n"/>
    </row>
    <row r="915">
      <c r="A915" s="10">
        <f>IF($E915="","",INDEX('Input Transaksi'!$A:$A,$E915))</f>
        <v/>
      </c>
      <c r="B915" s="5">
        <f>IF($E915="","",INDEX('Input Transaksi'!$D:$D,$E915))</f>
        <v/>
      </c>
      <c r="C915">
        <f>IF($E915="","",INDEX('Input Transaksi'!$E:$E,$E915))</f>
        <v/>
      </c>
      <c r="D915" s="5">
        <f>IF($E915="","",INDEX('Input Transaksi'!$F:$F,$E915))</f>
        <v/>
      </c>
      <c r="E915">
        <f>IFERROR(AGGREGATE(15,6,ROW('Input Transaksi'!$B$5:$B$5000)/('Input Transaksi'!$B$5:$B$5000="GEDE LONDRI"),ROWS($E$5:E915)),"")</f>
        <v/>
      </c>
      <c r="F915" s="5" t="n"/>
    </row>
    <row r="916">
      <c r="A916" s="10">
        <f>IF($E916="","",INDEX('Input Transaksi'!$A:$A,$E916))</f>
        <v/>
      </c>
      <c r="B916" s="5">
        <f>IF($E916="","",INDEX('Input Transaksi'!$D:$D,$E916))</f>
        <v/>
      </c>
      <c r="C916">
        <f>IF($E916="","",INDEX('Input Transaksi'!$E:$E,$E916))</f>
        <v/>
      </c>
      <c r="D916" s="5">
        <f>IF($E916="","",INDEX('Input Transaksi'!$F:$F,$E916))</f>
        <v/>
      </c>
      <c r="E916">
        <f>IFERROR(AGGREGATE(15,6,ROW('Input Transaksi'!$B$5:$B$5000)/('Input Transaksi'!$B$5:$B$5000="GEDE LONDRI"),ROWS($E$5:E916)),"")</f>
        <v/>
      </c>
      <c r="F916" s="5" t="n"/>
    </row>
    <row r="917">
      <c r="A917" s="10">
        <f>IF($E917="","",INDEX('Input Transaksi'!$A:$A,$E917))</f>
        <v/>
      </c>
      <c r="B917" s="5">
        <f>IF($E917="","",INDEX('Input Transaksi'!$D:$D,$E917))</f>
        <v/>
      </c>
      <c r="C917">
        <f>IF($E917="","",INDEX('Input Transaksi'!$E:$E,$E917))</f>
        <v/>
      </c>
      <c r="D917" s="5">
        <f>IF($E917="","",INDEX('Input Transaksi'!$F:$F,$E917))</f>
        <v/>
      </c>
      <c r="E917">
        <f>IFERROR(AGGREGATE(15,6,ROW('Input Transaksi'!$B$5:$B$5000)/('Input Transaksi'!$B$5:$B$5000="GEDE LONDRI"),ROWS($E$5:E917)),"")</f>
        <v/>
      </c>
      <c r="F917" s="5" t="n"/>
    </row>
    <row r="918">
      <c r="A918" s="10">
        <f>IF($E918="","",INDEX('Input Transaksi'!$A:$A,$E918))</f>
        <v/>
      </c>
      <c r="B918" s="5">
        <f>IF($E918="","",INDEX('Input Transaksi'!$D:$D,$E918))</f>
        <v/>
      </c>
      <c r="C918">
        <f>IF($E918="","",INDEX('Input Transaksi'!$E:$E,$E918))</f>
        <v/>
      </c>
      <c r="D918" s="5">
        <f>IF($E918="","",INDEX('Input Transaksi'!$F:$F,$E918))</f>
        <v/>
      </c>
      <c r="E918">
        <f>IFERROR(AGGREGATE(15,6,ROW('Input Transaksi'!$B$5:$B$5000)/('Input Transaksi'!$B$5:$B$5000="GEDE LONDRI"),ROWS($E$5:E918)),"")</f>
        <v/>
      </c>
      <c r="F918" s="5" t="n"/>
    </row>
    <row r="919">
      <c r="A919" s="10">
        <f>IF($E919="","",INDEX('Input Transaksi'!$A:$A,$E919))</f>
        <v/>
      </c>
      <c r="B919" s="5">
        <f>IF($E919="","",INDEX('Input Transaksi'!$D:$D,$E919))</f>
        <v/>
      </c>
      <c r="C919">
        <f>IF($E919="","",INDEX('Input Transaksi'!$E:$E,$E919))</f>
        <v/>
      </c>
      <c r="D919" s="5">
        <f>IF($E919="","",INDEX('Input Transaksi'!$F:$F,$E919))</f>
        <v/>
      </c>
      <c r="E919">
        <f>IFERROR(AGGREGATE(15,6,ROW('Input Transaksi'!$B$5:$B$5000)/('Input Transaksi'!$B$5:$B$5000="GEDE LONDRI"),ROWS($E$5:E919)),"")</f>
        <v/>
      </c>
      <c r="F919" s="5" t="n"/>
    </row>
    <row r="920">
      <c r="A920" s="10">
        <f>IF($E920="","",INDEX('Input Transaksi'!$A:$A,$E920))</f>
        <v/>
      </c>
      <c r="B920" s="5">
        <f>IF($E920="","",INDEX('Input Transaksi'!$D:$D,$E920))</f>
        <v/>
      </c>
      <c r="C920">
        <f>IF($E920="","",INDEX('Input Transaksi'!$E:$E,$E920))</f>
        <v/>
      </c>
      <c r="D920" s="5">
        <f>IF($E920="","",INDEX('Input Transaksi'!$F:$F,$E920))</f>
        <v/>
      </c>
      <c r="E920">
        <f>IFERROR(AGGREGATE(15,6,ROW('Input Transaksi'!$B$5:$B$5000)/('Input Transaksi'!$B$5:$B$5000="GEDE LONDRI"),ROWS($E$5:E920)),"")</f>
        <v/>
      </c>
      <c r="F920" s="5" t="n"/>
    </row>
    <row r="921">
      <c r="A921" s="10">
        <f>IF($E921="","",INDEX('Input Transaksi'!$A:$A,$E921))</f>
        <v/>
      </c>
      <c r="B921" s="5">
        <f>IF($E921="","",INDEX('Input Transaksi'!$D:$D,$E921))</f>
        <v/>
      </c>
      <c r="C921">
        <f>IF($E921="","",INDEX('Input Transaksi'!$E:$E,$E921))</f>
        <v/>
      </c>
      <c r="D921" s="5">
        <f>IF($E921="","",INDEX('Input Transaksi'!$F:$F,$E921))</f>
        <v/>
      </c>
      <c r="E921">
        <f>IFERROR(AGGREGATE(15,6,ROW('Input Transaksi'!$B$5:$B$5000)/('Input Transaksi'!$B$5:$B$5000="GEDE LONDRI"),ROWS($E$5:E921)),"")</f>
        <v/>
      </c>
      <c r="F921" s="5" t="n"/>
    </row>
    <row r="922">
      <c r="A922" s="10">
        <f>IF($E922="","",INDEX('Input Transaksi'!$A:$A,$E922))</f>
        <v/>
      </c>
      <c r="B922" s="5">
        <f>IF($E922="","",INDEX('Input Transaksi'!$D:$D,$E922))</f>
        <v/>
      </c>
      <c r="C922">
        <f>IF($E922="","",INDEX('Input Transaksi'!$E:$E,$E922))</f>
        <v/>
      </c>
      <c r="D922" s="5">
        <f>IF($E922="","",INDEX('Input Transaksi'!$F:$F,$E922))</f>
        <v/>
      </c>
      <c r="E922">
        <f>IFERROR(AGGREGATE(15,6,ROW('Input Transaksi'!$B$5:$B$5000)/('Input Transaksi'!$B$5:$B$5000="GEDE LONDRI"),ROWS($E$5:E922)),"")</f>
        <v/>
      </c>
      <c r="F922" s="5" t="n"/>
    </row>
    <row r="923">
      <c r="A923" s="10">
        <f>IF($E923="","",INDEX('Input Transaksi'!$A:$A,$E923))</f>
        <v/>
      </c>
      <c r="B923" s="5">
        <f>IF($E923="","",INDEX('Input Transaksi'!$D:$D,$E923))</f>
        <v/>
      </c>
      <c r="C923">
        <f>IF($E923="","",INDEX('Input Transaksi'!$E:$E,$E923))</f>
        <v/>
      </c>
      <c r="D923" s="5">
        <f>IF($E923="","",INDEX('Input Transaksi'!$F:$F,$E923))</f>
        <v/>
      </c>
      <c r="E923">
        <f>IFERROR(AGGREGATE(15,6,ROW('Input Transaksi'!$B$5:$B$5000)/('Input Transaksi'!$B$5:$B$5000="GEDE LONDRI"),ROWS($E$5:E923)),"")</f>
        <v/>
      </c>
      <c r="F923" s="5" t="n"/>
    </row>
    <row r="924">
      <c r="A924" s="10">
        <f>IF($E924="","",INDEX('Input Transaksi'!$A:$A,$E924))</f>
        <v/>
      </c>
      <c r="B924" s="5">
        <f>IF($E924="","",INDEX('Input Transaksi'!$D:$D,$E924))</f>
        <v/>
      </c>
      <c r="C924">
        <f>IF($E924="","",INDEX('Input Transaksi'!$E:$E,$E924))</f>
        <v/>
      </c>
      <c r="D924" s="5">
        <f>IF($E924="","",INDEX('Input Transaksi'!$F:$F,$E924))</f>
        <v/>
      </c>
      <c r="E924">
        <f>IFERROR(AGGREGATE(15,6,ROW('Input Transaksi'!$B$5:$B$5000)/('Input Transaksi'!$B$5:$B$5000="GEDE LONDRI"),ROWS($E$5:E924)),"")</f>
        <v/>
      </c>
      <c r="F924" s="5" t="n"/>
    </row>
    <row r="925">
      <c r="A925" s="10">
        <f>IF($E925="","",INDEX('Input Transaksi'!$A:$A,$E925))</f>
        <v/>
      </c>
      <c r="B925" s="5">
        <f>IF($E925="","",INDEX('Input Transaksi'!$D:$D,$E925))</f>
        <v/>
      </c>
      <c r="C925">
        <f>IF($E925="","",INDEX('Input Transaksi'!$E:$E,$E925))</f>
        <v/>
      </c>
      <c r="D925" s="5">
        <f>IF($E925="","",INDEX('Input Transaksi'!$F:$F,$E925))</f>
        <v/>
      </c>
      <c r="E925">
        <f>IFERROR(AGGREGATE(15,6,ROW('Input Transaksi'!$B$5:$B$5000)/('Input Transaksi'!$B$5:$B$5000="GEDE LONDRI"),ROWS($E$5:E925)),"")</f>
        <v/>
      </c>
      <c r="F925" s="5" t="n"/>
    </row>
    <row r="926">
      <c r="A926" s="10">
        <f>IF($E926="","",INDEX('Input Transaksi'!$A:$A,$E926))</f>
        <v/>
      </c>
      <c r="B926" s="5">
        <f>IF($E926="","",INDEX('Input Transaksi'!$D:$D,$E926))</f>
        <v/>
      </c>
      <c r="C926">
        <f>IF($E926="","",INDEX('Input Transaksi'!$E:$E,$E926))</f>
        <v/>
      </c>
      <c r="D926" s="5">
        <f>IF($E926="","",INDEX('Input Transaksi'!$F:$F,$E926))</f>
        <v/>
      </c>
      <c r="E926">
        <f>IFERROR(AGGREGATE(15,6,ROW('Input Transaksi'!$B$5:$B$5000)/('Input Transaksi'!$B$5:$B$5000="GEDE LONDRI"),ROWS($E$5:E926)),"")</f>
        <v/>
      </c>
      <c r="F926" s="5" t="n"/>
    </row>
    <row r="927">
      <c r="A927" s="10">
        <f>IF($E927="","",INDEX('Input Transaksi'!$A:$A,$E927))</f>
        <v/>
      </c>
      <c r="B927" s="5">
        <f>IF($E927="","",INDEX('Input Transaksi'!$D:$D,$E927))</f>
        <v/>
      </c>
      <c r="C927">
        <f>IF($E927="","",INDEX('Input Transaksi'!$E:$E,$E927))</f>
        <v/>
      </c>
      <c r="D927" s="5">
        <f>IF($E927="","",INDEX('Input Transaksi'!$F:$F,$E927))</f>
        <v/>
      </c>
      <c r="E927">
        <f>IFERROR(AGGREGATE(15,6,ROW('Input Transaksi'!$B$5:$B$5000)/('Input Transaksi'!$B$5:$B$5000="GEDE LONDRI"),ROWS($E$5:E927)),"")</f>
        <v/>
      </c>
      <c r="F927" s="5" t="n"/>
    </row>
    <row r="928">
      <c r="A928" s="10">
        <f>IF($E928="","",INDEX('Input Transaksi'!$A:$A,$E928))</f>
        <v/>
      </c>
      <c r="B928" s="5">
        <f>IF($E928="","",INDEX('Input Transaksi'!$D:$D,$E928))</f>
        <v/>
      </c>
      <c r="C928">
        <f>IF($E928="","",INDEX('Input Transaksi'!$E:$E,$E928))</f>
        <v/>
      </c>
      <c r="D928" s="5">
        <f>IF($E928="","",INDEX('Input Transaksi'!$F:$F,$E928))</f>
        <v/>
      </c>
      <c r="E928">
        <f>IFERROR(AGGREGATE(15,6,ROW('Input Transaksi'!$B$5:$B$5000)/('Input Transaksi'!$B$5:$B$5000="GEDE LONDRI"),ROWS($E$5:E928)),"")</f>
        <v/>
      </c>
      <c r="F928" s="5" t="n"/>
    </row>
    <row r="929">
      <c r="A929" s="10">
        <f>IF($E929="","",INDEX('Input Transaksi'!$A:$A,$E929))</f>
        <v/>
      </c>
      <c r="B929" s="5">
        <f>IF($E929="","",INDEX('Input Transaksi'!$D:$D,$E929))</f>
        <v/>
      </c>
      <c r="C929">
        <f>IF($E929="","",INDEX('Input Transaksi'!$E:$E,$E929))</f>
        <v/>
      </c>
      <c r="D929" s="5">
        <f>IF($E929="","",INDEX('Input Transaksi'!$F:$F,$E929))</f>
        <v/>
      </c>
      <c r="E929">
        <f>IFERROR(AGGREGATE(15,6,ROW('Input Transaksi'!$B$5:$B$5000)/('Input Transaksi'!$B$5:$B$5000="GEDE LONDRI"),ROWS($E$5:E929)),"")</f>
        <v/>
      </c>
      <c r="F929" s="5" t="n"/>
    </row>
    <row r="930">
      <c r="A930" s="10">
        <f>IF($E930="","",INDEX('Input Transaksi'!$A:$A,$E930))</f>
        <v/>
      </c>
      <c r="B930" s="5">
        <f>IF($E930="","",INDEX('Input Transaksi'!$D:$D,$E930))</f>
        <v/>
      </c>
      <c r="C930">
        <f>IF($E930="","",INDEX('Input Transaksi'!$E:$E,$E930))</f>
        <v/>
      </c>
      <c r="D930" s="5">
        <f>IF($E930="","",INDEX('Input Transaksi'!$F:$F,$E930))</f>
        <v/>
      </c>
      <c r="E930">
        <f>IFERROR(AGGREGATE(15,6,ROW('Input Transaksi'!$B$5:$B$5000)/('Input Transaksi'!$B$5:$B$5000="GEDE LONDRI"),ROWS($E$5:E930)),"")</f>
        <v/>
      </c>
      <c r="F930" s="5" t="n"/>
    </row>
    <row r="931">
      <c r="A931" s="10">
        <f>IF($E931="","",INDEX('Input Transaksi'!$A:$A,$E931))</f>
        <v/>
      </c>
      <c r="B931" s="5">
        <f>IF($E931="","",INDEX('Input Transaksi'!$D:$D,$E931))</f>
        <v/>
      </c>
      <c r="C931">
        <f>IF($E931="","",INDEX('Input Transaksi'!$E:$E,$E931))</f>
        <v/>
      </c>
      <c r="D931" s="5">
        <f>IF($E931="","",INDEX('Input Transaksi'!$F:$F,$E931))</f>
        <v/>
      </c>
      <c r="E931">
        <f>IFERROR(AGGREGATE(15,6,ROW('Input Transaksi'!$B$5:$B$5000)/('Input Transaksi'!$B$5:$B$5000="GEDE LONDRI"),ROWS($E$5:E931)),"")</f>
        <v/>
      </c>
      <c r="F931" s="5" t="n"/>
    </row>
    <row r="932">
      <c r="A932" s="10">
        <f>IF($E932="","",INDEX('Input Transaksi'!$A:$A,$E932))</f>
        <v/>
      </c>
      <c r="B932" s="5">
        <f>IF($E932="","",INDEX('Input Transaksi'!$D:$D,$E932))</f>
        <v/>
      </c>
      <c r="C932">
        <f>IF($E932="","",INDEX('Input Transaksi'!$E:$E,$E932))</f>
        <v/>
      </c>
      <c r="D932" s="5">
        <f>IF($E932="","",INDEX('Input Transaksi'!$F:$F,$E932))</f>
        <v/>
      </c>
      <c r="E932">
        <f>IFERROR(AGGREGATE(15,6,ROW('Input Transaksi'!$B$5:$B$5000)/('Input Transaksi'!$B$5:$B$5000="GEDE LONDRI"),ROWS($E$5:E932)),"")</f>
        <v/>
      </c>
      <c r="F932" s="5" t="n"/>
    </row>
    <row r="933">
      <c r="A933" s="10">
        <f>IF($E933="","",INDEX('Input Transaksi'!$A:$A,$E933))</f>
        <v/>
      </c>
      <c r="B933" s="5">
        <f>IF($E933="","",INDEX('Input Transaksi'!$D:$D,$E933))</f>
        <v/>
      </c>
      <c r="C933">
        <f>IF($E933="","",INDEX('Input Transaksi'!$E:$E,$E933))</f>
        <v/>
      </c>
      <c r="D933" s="5">
        <f>IF($E933="","",INDEX('Input Transaksi'!$F:$F,$E933))</f>
        <v/>
      </c>
      <c r="E933">
        <f>IFERROR(AGGREGATE(15,6,ROW('Input Transaksi'!$B$5:$B$5000)/('Input Transaksi'!$B$5:$B$5000="GEDE LONDRI"),ROWS($E$5:E933)),"")</f>
        <v/>
      </c>
      <c r="F933" s="5" t="n"/>
    </row>
    <row r="934">
      <c r="A934" s="10">
        <f>IF($E934="","",INDEX('Input Transaksi'!$A:$A,$E934))</f>
        <v/>
      </c>
      <c r="B934" s="5">
        <f>IF($E934="","",INDEX('Input Transaksi'!$D:$D,$E934))</f>
        <v/>
      </c>
      <c r="C934">
        <f>IF($E934="","",INDEX('Input Transaksi'!$E:$E,$E934))</f>
        <v/>
      </c>
      <c r="D934" s="5">
        <f>IF($E934="","",INDEX('Input Transaksi'!$F:$F,$E934))</f>
        <v/>
      </c>
      <c r="E934">
        <f>IFERROR(AGGREGATE(15,6,ROW('Input Transaksi'!$B$5:$B$5000)/('Input Transaksi'!$B$5:$B$5000="GEDE LONDRI"),ROWS($E$5:E934)),"")</f>
        <v/>
      </c>
      <c r="F934" s="5" t="n"/>
    </row>
    <row r="935">
      <c r="A935" s="10">
        <f>IF($E935="","",INDEX('Input Transaksi'!$A:$A,$E935))</f>
        <v/>
      </c>
      <c r="B935" s="5">
        <f>IF($E935="","",INDEX('Input Transaksi'!$D:$D,$E935))</f>
        <v/>
      </c>
      <c r="C935">
        <f>IF($E935="","",INDEX('Input Transaksi'!$E:$E,$E935))</f>
        <v/>
      </c>
      <c r="D935" s="5">
        <f>IF($E935="","",INDEX('Input Transaksi'!$F:$F,$E935))</f>
        <v/>
      </c>
      <c r="E935">
        <f>IFERROR(AGGREGATE(15,6,ROW('Input Transaksi'!$B$5:$B$5000)/('Input Transaksi'!$B$5:$B$5000="GEDE LONDRI"),ROWS($E$5:E935)),"")</f>
        <v/>
      </c>
      <c r="F935" s="5" t="n"/>
    </row>
    <row r="936">
      <c r="A936" s="10">
        <f>IF($E936="","",INDEX('Input Transaksi'!$A:$A,$E936))</f>
        <v/>
      </c>
      <c r="B936" s="5">
        <f>IF($E936="","",INDEX('Input Transaksi'!$D:$D,$E936))</f>
        <v/>
      </c>
      <c r="C936">
        <f>IF($E936="","",INDEX('Input Transaksi'!$E:$E,$E936))</f>
        <v/>
      </c>
      <c r="D936" s="5">
        <f>IF($E936="","",INDEX('Input Transaksi'!$F:$F,$E936))</f>
        <v/>
      </c>
      <c r="E936">
        <f>IFERROR(AGGREGATE(15,6,ROW('Input Transaksi'!$B$5:$B$5000)/('Input Transaksi'!$B$5:$B$5000="GEDE LONDRI"),ROWS($E$5:E936)),"")</f>
        <v/>
      </c>
      <c r="F936" s="5" t="n"/>
    </row>
    <row r="937">
      <c r="A937" s="10">
        <f>IF($E937="","",INDEX('Input Transaksi'!$A:$A,$E937))</f>
        <v/>
      </c>
      <c r="B937" s="5">
        <f>IF($E937="","",INDEX('Input Transaksi'!$D:$D,$E937))</f>
        <v/>
      </c>
      <c r="C937">
        <f>IF($E937="","",INDEX('Input Transaksi'!$E:$E,$E937))</f>
        <v/>
      </c>
      <c r="D937" s="5">
        <f>IF($E937="","",INDEX('Input Transaksi'!$F:$F,$E937))</f>
        <v/>
      </c>
      <c r="E937">
        <f>IFERROR(AGGREGATE(15,6,ROW('Input Transaksi'!$B$5:$B$5000)/('Input Transaksi'!$B$5:$B$5000="GEDE LONDRI"),ROWS($E$5:E937)),"")</f>
        <v/>
      </c>
      <c r="F937" s="5" t="n"/>
    </row>
    <row r="938">
      <c r="A938" s="10">
        <f>IF($E938="","",INDEX('Input Transaksi'!$A:$A,$E938))</f>
        <v/>
      </c>
      <c r="B938" s="5">
        <f>IF($E938="","",INDEX('Input Transaksi'!$D:$D,$E938))</f>
        <v/>
      </c>
      <c r="C938">
        <f>IF($E938="","",INDEX('Input Transaksi'!$E:$E,$E938))</f>
        <v/>
      </c>
      <c r="D938" s="5">
        <f>IF($E938="","",INDEX('Input Transaksi'!$F:$F,$E938))</f>
        <v/>
      </c>
      <c r="E938">
        <f>IFERROR(AGGREGATE(15,6,ROW('Input Transaksi'!$B$5:$B$5000)/('Input Transaksi'!$B$5:$B$5000="GEDE LONDRI"),ROWS($E$5:E938)),"")</f>
        <v/>
      </c>
      <c r="F938" s="5" t="n"/>
    </row>
    <row r="939">
      <c r="A939" s="10">
        <f>IF($E939="","",INDEX('Input Transaksi'!$A:$A,$E939))</f>
        <v/>
      </c>
      <c r="B939" s="5">
        <f>IF($E939="","",INDEX('Input Transaksi'!$D:$D,$E939))</f>
        <v/>
      </c>
      <c r="C939">
        <f>IF($E939="","",INDEX('Input Transaksi'!$E:$E,$E939))</f>
        <v/>
      </c>
      <c r="D939" s="5">
        <f>IF($E939="","",INDEX('Input Transaksi'!$F:$F,$E939))</f>
        <v/>
      </c>
      <c r="E939">
        <f>IFERROR(AGGREGATE(15,6,ROW('Input Transaksi'!$B$5:$B$5000)/('Input Transaksi'!$B$5:$B$5000="GEDE LONDRI"),ROWS($E$5:E939)),"")</f>
        <v/>
      </c>
      <c r="F939" s="5" t="n"/>
    </row>
    <row r="940">
      <c r="A940" s="10">
        <f>IF($E940="","",INDEX('Input Transaksi'!$A:$A,$E940))</f>
        <v/>
      </c>
      <c r="B940" s="5">
        <f>IF($E940="","",INDEX('Input Transaksi'!$D:$D,$E940))</f>
        <v/>
      </c>
      <c r="C940">
        <f>IF($E940="","",INDEX('Input Transaksi'!$E:$E,$E940))</f>
        <v/>
      </c>
      <c r="D940" s="5">
        <f>IF($E940="","",INDEX('Input Transaksi'!$F:$F,$E940))</f>
        <v/>
      </c>
      <c r="E940">
        <f>IFERROR(AGGREGATE(15,6,ROW('Input Transaksi'!$B$5:$B$5000)/('Input Transaksi'!$B$5:$B$5000="GEDE LONDRI"),ROWS($E$5:E940)),"")</f>
        <v/>
      </c>
      <c r="F940" s="5" t="n"/>
    </row>
    <row r="941">
      <c r="A941" s="10">
        <f>IF($E941="","",INDEX('Input Transaksi'!$A:$A,$E941))</f>
        <v/>
      </c>
      <c r="B941" s="5">
        <f>IF($E941="","",INDEX('Input Transaksi'!$D:$D,$E941))</f>
        <v/>
      </c>
      <c r="C941">
        <f>IF($E941="","",INDEX('Input Transaksi'!$E:$E,$E941))</f>
        <v/>
      </c>
      <c r="D941" s="5">
        <f>IF($E941="","",INDEX('Input Transaksi'!$F:$F,$E941))</f>
        <v/>
      </c>
      <c r="E941">
        <f>IFERROR(AGGREGATE(15,6,ROW('Input Transaksi'!$B$5:$B$5000)/('Input Transaksi'!$B$5:$B$5000="GEDE LONDRI"),ROWS($E$5:E941)),"")</f>
        <v/>
      </c>
      <c r="F941" s="5" t="n"/>
    </row>
    <row r="942">
      <c r="A942" s="10">
        <f>IF($E942="","",INDEX('Input Transaksi'!$A:$A,$E942))</f>
        <v/>
      </c>
      <c r="B942" s="5">
        <f>IF($E942="","",INDEX('Input Transaksi'!$D:$D,$E942))</f>
        <v/>
      </c>
      <c r="C942">
        <f>IF($E942="","",INDEX('Input Transaksi'!$E:$E,$E942))</f>
        <v/>
      </c>
      <c r="D942" s="5">
        <f>IF($E942="","",INDEX('Input Transaksi'!$F:$F,$E942))</f>
        <v/>
      </c>
      <c r="E942">
        <f>IFERROR(AGGREGATE(15,6,ROW('Input Transaksi'!$B$5:$B$5000)/('Input Transaksi'!$B$5:$B$5000="GEDE LONDRI"),ROWS($E$5:E942)),"")</f>
        <v/>
      </c>
      <c r="F942" s="5" t="n"/>
    </row>
    <row r="943">
      <c r="A943" s="10">
        <f>IF($E943="","",INDEX('Input Transaksi'!$A:$A,$E943))</f>
        <v/>
      </c>
      <c r="B943" s="5">
        <f>IF($E943="","",INDEX('Input Transaksi'!$D:$D,$E943))</f>
        <v/>
      </c>
      <c r="C943">
        <f>IF($E943="","",INDEX('Input Transaksi'!$E:$E,$E943))</f>
        <v/>
      </c>
      <c r="D943" s="5">
        <f>IF($E943="","",INDEX('Input Transaksi'!$F:$F,$E943))</f>
        <v/>
      </c>
      <c r="E943">
        <f>IFERROR(AGGREGATE(15,6,ROW('Input Transaksi'!$B$5:$B$5000)/('Input Transaksi'!$B$5:$B$5000="GEDE LONDRI"),ROWS($E$5:E943)),"")</f>
        <v/>
      </c>
      <c r="F943" s="5" t="n"/>
    </row>
    <row r="944">
      <c r="A944" s="10">
        <f>IF($E944="","",INDEX('Input Transaksi'!$A:$A,$E944))</f>
        <v/>
      </c>
      <c r="B944" s="5">
        <f>IF($E944="","",INDEX('Input Transaksi'!$D:$D,$E944))</f>
        <v/>
      </c>
      <c r="C944">
        <f>IF($E944="","",INDEX('Input Transaksi'!$E:$E,$E944))</f>
        <v/>
      </c>
      <c r="D944" s="5">
        <f>IF($E944="","",INDEX('Input Transaksi'!$F:$F,$E944))</f>
        <v/>
      </c>
      <c r="E944">
        <f>IFERROR(AGGREGATE(15,6,ROW('Input Transaksi'!$B$5:$B$5000)/('Input Transaksi'!$B$5:$B$5000="GEDE LONDRI"),ROWS($E$5:E944)),"")</f>
        <v/>
      </c>
      <c r="F944" s="5" t="n"/>
    </row>
    <row r="945">
      <c r="A945" s="10">
        <f>IF($E945="","",INDEX('Input Transaksi'!$A:$A,$E945))</f>
        <v/>
      </c>
      <c r="B945" s="5">
        <f>IF($E945="","",INDEX('Input Transaksi'!$D:$D,$E945))</f>
        <v/>
      </c>
      <c r="C945">
        <f>IF($E945="","",INDEX('Input Transaksi'!$E:$E,$E945))</f>
        <v/>
      </c>
      <c r="D945" s="5">
        <f>IF($E945="","",INDEX('Input Transaksi'!$F:$F,$E945))</f>
        <v/>
      </c>
      <c r="E945">
        <f>IFERROR(AGGREGATE(15,6,ROW('Input Transaksi'!$B$5:$B$5000)/('Input Transaksi'!$B$5:$B$5000="GEDE LONDRI"),ROWS($E$5:E945)),"")</f>
        <v/>
      </c>
      <c r="F945" s="5" t="n"/>
    </row>
    <row r="946">
      <c r="A946" s="10">
        <f>IF($E946="","",INDEX('Input Transaksi'!$A:$A,$E946))</f>
        <v/>
      </c>
      <c r="B946" s="5">
        <f>IF($E946="","",INDEX('Input Transaksi'!$D:$D,$E946))</f>
        <v/>
      </c>
      <c r="C946">
        <f>IF($E946="","",INDEX('Input Transaksi'!$E:$E,$E946))</f>
        <v/>
      </c>
      <c r="D946" s="5">
        <f>IF($E946="","",INDEX('Input Transaksi'!$F:$F,$E946))</f>
        <v/>
      </c>
      <c r="E946">
        <f>IFERROR(AGGREGATE(15,6,ROW('Input Transaksi'!$B$5:$B$5000)/('Input Transaksi'!$B$5:$B$5000="GEDE LONDRI"),ROWS($E$5:E946)),"")</f>
        <v/>
      </c>
      <c r="F946" s="5" t="n"/>
    </row>
    <row r="947">
      <c r="A947" s="10">
        <f>IF($E947="","",INDEX('Input Transaksi'!$A:$A,$E947))</f>
        <v/>
      </c>
      <c r="B947" s="5">
        <f>IF($E947="","",INDEX('Input Transaksi'!$D:$D,$E947))</f>
        <v/>
      </c>
      <c r="C947">
        <f>IF($E947="","",INDEX('Input Transaksi'!$E:$E,$E947))</f>
        <v/>
      </c>
      <c r="D947" s="5">
        <f>IF($E947="","",INDEX('Input Transaksi'!$F:$F,$E947))</f>
        <v/>
      </c>
      <c r="E947">
        <f>IFERROR(AGGREGATE(15,6,ROW('Input Transaksi'!$B$5:$B$5000)/('Input Transaksi'!$B$5:$B$5000="GEDE LONDRI"),ROWS($E$5:E947)),"")</f>
        <v/>
      </c>
      <c r="F947" s="5" t="n"/>
    </row>
    <row r="948">
      <c r="A948" s="10">
        <f>IF($E948="","",INDEX('Input Transaksi'!$A:$A,$E948))</f>
        <v/>
      </c>
      <c r="B948" s="5">
        <f>IF($E948="","",INDEX('Input Transaksi'!$D:$D,$E948))</f>
        <v/>
      </c>
      <c r="C948">
        <f>IF($E948="","",INDEX('Input Transaksi'!$E:$E,$E948))</f>
        <v/>
      </c>
      <c r="D948" s="5">
        <f>IF($E948="","",INDEX('Input Transaksi'!$F:$F,$E948))</f>
        <v/>
      </c>
      <c r="E948">
        <f>IFERROR(AGGREGATE(15,6,ROW('Input Transaksi'!$B$5:$B$5000)/('Input Transaksi'!$B$5:$B$5000="GEDE LONDRI"),ROWS($E$5:E948)),"")</f>
        <v/>
      </c>
      <c r="F948" s="5" t="n"/>
    </row>
    <row r="949">
      <c r="A949" s="10">
        <f>IF($E949="","",INDEX('Input Transaksi'!$A:$A,$E949))</f>
        <v/>
      </c>
      <c r="B949" s="5">
        <f>IF($E949="","",INDEX('Input Transaksi'!$D:$D,$E949))</f>
        <v/>
      </c>
      <c r="C949">
        <f>IF($E949="","",INDEX('Input Transaksi'!$E:$E,$E949))</f>
        <v/>
      </c>
      <c r="D949" s="5">
        <f>IF($E949="","",INDEX('Input Transaksi'!$F:$F,$E949))</f>
        <v/>
      </c>
      <c r="E949">
        <f>IFERROR(AGGREGATE(15,6,ROW('Input Transaksi'!$B$5:$B$5000)/('Input Transaksi'!$B$5:$B$5000="GEDE LONDRI"),ROWS($E$5:E949)),"")</f>
        <v/>
      </c>
      <c r="F949" s="5" t="n"/>
    </row>
    <row r="950">
      <c r="A950" s="10">
        <f>IF($E950="","",INDEX('Input Transaksi'!$A:$A,$E950))</f>
        <v/>
      </c>
      <c r="B950" s="5">
        <f>IF($E950="","",INDEX('Input Transaksi'!$D:$D,$E950))</f>
        <v/>
      </c>
      <c r="C950">
        <f>IF($E950="","",INDEX('Input Transaksi'!$E:$E,$E950))</f>
        <v/>
      </c>
      <c r="D950" s="5">
        <f>IF($E950="","",INDEX('Input Transaksi'!$F:$F,$E950))</f>
        <v/>
      </c>
      <c r="E950">
        <f>IFERROR(AGGREGATE(15,6,ROW('Input Transaksi'!$B$5:$B$5000)/('Input Transaksi'!$B$5:$B$5000="GEDE LONDRI"),ROWS($E$5:E950)),"")</f>
        <v/>
      </c>
      <c r="F950" s="5" t="n"/>
    </row>
    <row r="951">
      <c r="A951" s="10">
        <f>IF($E951="","",INDEX('Input Transaksi'!$A:$A,$E951))</f>
        <v/>
      </c>
      <c r="B951" s="5">
        <f>IF($E951="","",INDEX('Input Transaksi'!$D:$D,$E951))</f>
        <v/>
      </c>
      <c r="C951">
        <f>IF($E951="","",INDEX('Input Transaksi'!$E:$E,$E951))</f>
        <v/>
      </c>
      <c r="D951" s="5">
        <f>IF($E951="","",INDEX('Input Transaksi'!$F:$F,$E951))</f>
        <v/>
      </c>
      <c r="E951">
        <f>IFERROR(AGGREGATE(15,6,ROW('Input Transaksi'!$B$5:$B$5000)/('Input Transaksi'!$B$5:$B$5000="GEDE LONDRI"),ROWS($E$5:E951)),"")</f>
        <v/>
      </c>
      <c r="F951" s="5" t="n"/>
    </row>
    <row r="952">
      <c r="A952" s="10">
        <f>IF($E952="","",INDEX('Input Transaksi'!$A:$A,$E952))</f>
        <v/>
      </c>
      <c r="B952" s="5">
        <f>IF($E952="","",INDEX('Input Transaksi'!$D:$D,$E952))</f>
        <v/>
      </c>
      <c r="C952">
        <f>IF($E952="","",INDEX('Input Transaksi'!$E:$E,$E952))</f>
        <v/>
      </c>
      <c r="D952" s="5">
        <f>IF($E952="","",INDEX('Input Transaksi'!$F:$F,$E952))</f>
        <v/>
      </c>
      <c r="E952">
        <f>IFERROR(AGGREGATE(15,6,ROW('Input Transaksi'!$B$5:$B$5000)/('Input Transaksi'!$B$5:$B$5000="GEDE LONDRI"),ROWS($E$5:E952)),"")</f>
        <v/>
      </c>
      <c r="F952" s="5" t="n"/>
    </row>
    <row r="953">
      <c r="A953" s="10">
        <f>IF($E953="","",INDEX('Input Transaksi'!$A:$A,$E953))</f>
        <v/>
      </c>
      <c r="B953" s="5">
        <f>IF($E953="","",INDEX('Input Transaksi'!$D:$D,$E953))</f>
        <v/>
      </c>
      <c r="C953">
        <f>IF($E953="","",INDEX('Input Transaksi'!$E:$E,$E953))</f>
        <v/>
      </c>
      <c r="D953" s="5">
        <f>IF($E953="","",INDEX('Input Transaksi'!$F:$F,$E953))</f>
        <v/>
      </c>
      <c r="E953">
        <f>IFERROR(AGGREGATE(15,6,ROW('Input Transaksi'!$B$5:$B$5000)/('Input Transaksi'!$B$5:$B$5000="GEDE LONDRI"),ROWS($E$5:E953)),"")</f>
        <v/>
      </c>
      <c r="F953" s="5" t="n"/>
    </row>
    <row r="954">
      <c r="A954" s="10">
        <f>IF($E954="","",INDEX('Input Transaksi'!$A:$A,$E954))</f>
        <v/>
      </c>
      <c r="B954" s="5">
        <f>IF($E954="","",INDEX('Input Transaksi'!$D:$D,$E954))</f>
        <v/>
      </c>
      <c r="C954">
        <f>IF($E954="","",INDEX('Input Transaksi'!$E:$E,$E954))</f>
        <v/>
      </c>
      <c r="D954" s="5">
        <f>IF($E954="","",INDEX('Input Transaksi'!$F:$F,$E954))</f>
        <v/>
      </c>
      <c r="E954">
        <f>IFERROR(AGGREGATE(15,6,ROW('Input Transaksi'!$B$5:$B$5000)/('Input Transaksi'!$B$5:$B$5000="GEDE LONDRI"),ROWS($E$5:E954)),"")</f>
        <v/>
      </c>
      <c r="F954" s="5" t="n"/>
    </row>
    <row r="955">
      <c r="A955" s="10">
        <f>IF($E955="","",INDEX('Input Transaksi'!$A:$A,$E955))</f>
        <v/>
      </c>
      <c r="B955" s="5">
        <f>IF($E955="","",INDEX('Input Transaksi'!$D:$D,$E955))</f>
        <v/>
      </c>
      <c r="C955">
        <f>IF($E955="","",INDEX('Input Transaksi'!$E:$E,$E955))</f>
        <v/>
      </c>
      <c r="D955" s="5">
        <f>IF($E955="","",INDEX('Input Transaksi'!$F:$F,$E955))</f>
        <v/>
      </c>
      <c r="E955">
        <f>IFERROR(AGGREGATE(15,6,ROW('Input Transaksi'!$B$5:$B$5000)/('Input Transaksi'!$B$5:$B$5000="GEDE LONDRI"),ROWS($E$5:E955)),"")</f>
        <v/>
      </c>
      <c r="F955" s="5" t="n"/>
    </row>
    <row r="956">
      <c r="A956" s="10">
        <f>IF($E956="","",INDEX('Input Transaksi'!$A:$A,$E956))</f>
        <v/>
      </c>
      <c r="B956" s="5">
        <f>IF($E956="","",INDEX('Input Transaksi'!$D:$D,$E956))</f>
        <v/>
      </c>
      <c r="C956">
        <f>IF($E956="","",INDEX('Input Transaksi'!$E:$E,$E956))</f>
        <v/>
      </c>
      <c r="D956" s="5">
        <f>IF($E956="","",INDEX('Input Transaksi'!$F:$F,$E956))</f>
        <v/>
      </c>
      <c r="E956">
        <f>IFERROR(AGGREGATE(15,6,ROW('Input Transaksi'!$B$5:$B$5000)/('Input Transaksi'!$B$5:$B$5000="GEDE LONDRI"),ROWS($E$5:E956)),"")</f>
        <v/>
      </c>
      <c r="F956" s="5" t="n"/>
    </row>
    <row r="957">
      <c r="A957" s="10">
        <f>IF($E957="","",INDEX('Input Transaksi'!$A:$A,$E957))</f>
        <v/>
      </c>
      <c r="B957" s="5">
        <f>IF($E957="","",INDEX('Input Transaksi'!$D:$D,$E957))</f>
        <v/>
      </c>
      <c r="C957">
        <f>IF($E957="","",INDEX('Input Transaksi'!$E:$E,$E957))</f>
        <v/>
      </c>
      <c r="D957" s="5">
        <f>IF($E957="","",INDEX('Input Transaksi'!$F:$F,$E957))</f>
        <v/>
      </c>
      <c r="E957">
        <f>IFERROR(AGGREGATE(15,6,ROW('Input Transaksi'!$B$5:$B$5000)/('Input Transaksi'!$B$5:$B$5000="GEDE LONDRI"),ROWS($E$5:E957)),"")</f>
        <v/>
      </c>
      <c r="F957" s="5" t="n"/>
    </row>
    <row r="958">
      <c r="A958" s="10">
        <f>IF($E958="","",INDEX('Input Transaksi'!$A:$A,$E958))</f>
        <v/>
      </c>
      <c r="B958" s="5">
        <f>IF($E958="","",INDEX('Input Transaksi'!$D:$D,$E958))</f>
        <v/>
      </c>
      <c r="C958">
        <f>IF($E958="","",INDEX('Input Transaksi'!$E:$E,$E958))</f>
        <v/>
      </c>
      <c r="D958" s="5">
        <f>IF($E958="","",INDEX('Input Transaksi'!$F:$F,$E958))</f>
        <v/>
      </c>
      <c r="E958">
        <f>IFERROR(AGGREGATE(15,6,ROW('Input Transaksi'!$B$5:$B$5000)/('Input Transaksi'!$B$5:$B$5000="GEDE LONDRI"),ROWS($E$5:E958)),"")</f>
        <v/>
      </c>
      <c r="F958" s="5" t="n"/>
    </row>
    <row r="959">
      <c r="A959" s="10">
        <f>IF($E959="","",INDEX('Input Transaksi'!$A:$A,$E959))</f>
        <v/>
      </c>
      <c r="B959" s="5">
        <f>IF($E959="","",INDEX('Input Transaksi'!$D:$D,$E959))</f>
        <v/>
      </c>
      <c r="C959">
        <f>IF($E959="","",INDEX('Input Transaksi'!$E:$E,$E959))</f>
        <v/>
      </c>
      <c r="D959" s="5">
        <f>IF($E959="","",INDEX('Input Transaksi'!$F:$F,$E959))</f>
        <v/>
      </c>
      <c r="E959">
        <f>IFERROR(AGGREGATE(15,6,ROW('Input Transaksi'!$B$5:$B$5000)/('Input Transaksi'!$B$5:$B$5000="GEDE LONDRI"),ROWS($E$5:E959)),"")</f>
        <v/>
      </c>
      <c r="F959" s="5" t="n"/>
    </row>
    <row r="960">
      <c r="A960" s="10">
        <f>IF($E960="","",INDEX('Input Transaksi'!$A:$A,$E960))</f>
        <v/>
      </c>
      <c r="B960" s="5">
        <f>IF($E960="","",INDEX('Input Transaksi'!$D:$D,$E960))</f>
        <v/>
      </c>
      <c r="C960">
        <f>IF($E960="","",INDEX('Input Transaksi'!$E:$E,$E960))</f>
        <v/>
      </c>
      <c r="D960" s="5">
        <f>IF($E960="","",INDEX('Input Transaksi'!$F:$F,$E960))</f>
        <v/>
      </c>
      <c r="E960">
        <f>IFERROR(AGGREGATE(15,6,ROW('Input Transaksi'!$B$5:$B$5000)/('Input Transaksi'!$B$5:$B$5000="GEDE LONDRI"),ROWS($E$5:E960)),"")</f>
        <v/>
      </c>
      <c r="F960" s="5" t="n"/>
    </row>
    <row r="961">
      <c r="A961" s="10">
        <f>IF($E961="","",INDEX('Input Transaksi'!$A:$A,$E961))</f>
        <v/>
      </c>
      <c r="B961" s="5">
        <f>IF($E961="","",INDEX('Input Transaksi'!$D:$D,$E961))</f>
        <v/>
      </c>
      <c r="C961">
        <f>IF($E961="","",INDEX('Input Transaksi'!$E:$E,$E961))</f>
        <v/>
      </c>
      <c r="D961" s="5">
        <f>IF($E961="","",INDEX('Input Transaksi'!$F:$F,$E961))</f>
        <v/>
      </c>
      <c r="E961">
        <f>IFERROR(AGGREGATE(15,6,ROW('Input Transaksi'!$B$5:$B$5000)/('Input Transaksi'!$B$5:$B$5000="GEDE LONDRI"),ROWS($E$5:E961)),"")</f>
        <v/>
      </c>
      <c r="F961" s="5" t="n"/>
    </row>
    <row r="962">
      <c r="A962" s="10">
        <f>IF($E962="","",INDEX('Input Transaksi'!$A:$A,$E962))</f>
        <v/>
      </c>
      <c r="B962" s="5">
        <f>IF($E962="","",INDEX('Input Transaksi'!$D:$D,$E962))</f>
        <v/>
      </c>
      <c r="C962">
        <f>IF($E962="","",INDEX('Input Transaksi'!$E:$E,$E962))</f>
        <v/>
      </c>
      <c r="D962" s="5">
        <f>IF($E962="","",INDEX('Input Transaksi'!$F:$F,$E962))</f>
        <v/>
      </c>
      <c r="E962">
        <f>IFERROR(AGGREGATE(15,6,ROW('Input Transaksi'!$B$5:$B$5000)/('Input Transaksi'!$B$5:$B$5000="GEDE LONDRI"),ROWS($E$5:E962)),"")</f>
        <v/>
      </c>
      <c r="F962" s="5" t="n"/>
    </row>
    <row r="963">
      <c r="A963" s="10">
        <f>IF($E963="","",INDEX('Input Transaksi'!$A:$A,$E963))</f>
        <v/>
      </c>
      <c r="B963" s="5">
        <f>IF($E963="","",INDEX('Input Transaksi'!$D:$D,$E963))</f>
        <v/>
      </c>
      <c r="C963">
        <f>IF($E963="","",INDEX('Input Transaksi'!$E:$E,$E963))</f>
        <v/>
      </c>
      <c r="D963" s="5">
        <f>IF($E963="","",INDEX('Input Transaksi'!$F:$F,$E963))</f>
        <v/>
      </c>
      <c r="E963">
        <f>IFERROR(AGGREGATE(15,6,ROW('Input Transaksi'!$B$5:$B$5000)/('Input Transaksi'!$B$5:$B$5000="GEDE LONDRI"),ROWS($E$5:E963)),"")</f>
        <v/>
      </c>
      <c r="F963" s="5" t="n"/>
    </row>
    <row r="964">
      <c r="A964" s="10">
        <f>IF($E964="","",INDEX('Input Transaksi'!$A:$A,$E964))</f>
        <v/>
      </c>
      <c r="B964" s="5">
        <f>IF($E964="","",INDEX('Input Transaksi'!$D:$D,$E964))</f>
        <v/>
      </c>
      <c r="C964">
        <f>IF($E964="","",INDEX('Input Transaksi'!$E:$E,$E964))</f>
        <v/>
      </c>
      <c r="D964" s="5">
        <f>IF($E964="","",INDEX('Input Transaksi'!$F:$F,$E964))</f>
        <v/>
      </c>
      <c r="E964">
        <f>IFERROR(AGGREGATE(15,6,ROW('Input Transaksi'!$B$5:$B$5000)/('Input Transaksi'!$B$5:$B$5000="GEDE LONDRI"),ROWS($E$5:E964)),"")</f>
        <v/>
      </c>
      <c r="F964" s="5" t="n"/>
    </row>
    <row r="965">
      <c r="A965" s="10">
        <f>IF($E965="","",INDEX('Input Transaksi'!$A:$A,$E965))</f>
        <v/>
      </c>
      <c r="B965" s="5">
        <f>IF($E965="","",INDEX('Input Transaksi'!$D:$D,$E965))</f>
        <v/>
      </c>
      <c r="C965">
        <f>IF($E965="","",INDEX('Input Transaksi'!$E:$E,$E965))</f>
        <v/>
      </c>
      <c r="D965" s="5">
        <f>IF($E965="","",INDEX('Input Transaksi'!$F:$F,$E965))</f>
        <v/>
      </c>
      <c r="E965">
        <f>IFERROR(AGGREGATE(15,6,ROW('Input Transaksi'!$B$5:$B$5000)/('Input Transaksi'!$B$5:$B$5000="GEDE LONDRI"),ROWS($E$5:E965)),"")</f>
        <v/>
      </c>
      <c r="F965" s="5" t="n"/>
    </row>
    <row r="966">
      <c r="A966" s="10">
        <f>IF($E966="","",INDEX('Input Transaksi'!$A:$A,$E966))</f>
        <v/>
      </c>
      <c r="B966" s="5">
        <f>IF($E966="","",INDEX('Input Transaksi'!$D:$D,$E966))</f>
        <v/>
      </c>
      <c r="C966">
        <f>IF($E966="","",INDEX('Input Transaksi'!$E:$E,$E966))</f>
        <v/>
      </c>
      <c r="D966" s="5">
        <f>IF($E966="","",INDEX('Input Transaksi'!$F:$F,$E966))</f>
        <v/>
      </c>
      <c r="E966">
        <f>IFERROR(AGGREGATE(15,6,ROW('Input Transaksi'!$B$5:$B$5000)/('Input Transaksi'!$B$5:$B$5000="GEDE LONDRI"),ROWS($E$5:E966)),"")</f>
        <v/>
      </c>
      <c r="F966" s="5" t="n"/>
    </row>
    <row r="967">
      <c r="A967" s="10">
        <f>IF($E967="","",INDEX('Input Transaksi'!$A:$A,$E967))</f>
        <v/>
      </c>
      <c r="B967" s="5">
        <f>IF($E967="","",INDEX('Input Transaksi'!$D:$D,$E967))</f>
        <v/>
      </c>
      <c r="C967">
        <f>IF($E967="","",INDEX('Input Transaksi'!$E:$E,$E967))</f>
        <v/>
      </c>
      <c r="D967" s="5">
        <f>IF($E967="","",INDEX('Input Transaksi'!$F:$F,$E967))</f>
        <v/>
      </c>
      <c r="E967">
        <f>IFERROR(AGGREGATE(15,6,ROW('Input Transaksi'!$B$5:$B$5000)/('Input Transaksi'!$B$5:$B$5000="GEDE LONDRI"),ROWS($E$5:E967)),"")</f>
        <v/>
      </c>
      <c r="F967" s="5" t="n"/>
    </row>
    <row r="968">
      <c r="A968" s="10">
        <f>IF($E968="","",INDEX('Input Transaksi'!$A:$A,$E968))</f>
        <v/>
      </c>
      <c r="B968" s="5">
        <f>IF($E968="","",INDEX('Input Transaksi'!$D:$D,$E968))</f>
        <v/>
      </c>
      <c r="C968">
        <f>IF($E968="","",INDEX('Input Transaksi'!$E:$E,$E968))</f>
        <v/>
      </c>
      <c r="D968" s="5">
        <f>IF($E968="","",INDEX('Input Transaksi'!$F:$F,$E968))</f>
        <v/>
      </c>
      <c r="E968">
        <f>IFERROR(AGGREGATE(15,6,ROW('Input Transaksi'!$B$5:$B$5000)/('Input Transaksi'!$B$5:$B$5000="GEDE LONDRI"),ROWS($E$5:E968)),"")</f>
        <v/>
      </c>
      <c r="F968" s="5" t="n"/>
    </row>
    <row r="969">
      <c r="A969" s="10">
        <f>IF($E969="","",INDEX('Input Transaksi'!$A:$A,$E969))</f>
        <v/>
      </c>
      <c r="B969" s="5">
        <f>IF($E969="","",INDEX('Input Transaksi'!$D:$D,$E969))</f>
        <v/>
      </c>
      <c r="C969">
        <f>IF($E969="","",INDEX('Input Transaksi'!$E:$E,$E969))</f>
        <v/>
      </c>
      <c r="D969" s="5">
        <f>IF($E969="","",INDEX('Input Transaksi'!$F:$F,$E969))</f>
        <v/>
      </c>
      <c r="E969">
        <f>IFERROR(AGGREGATE(15,6,ROW('Input Transaksi'!$B$5:$B$5000)/('Input Transaksi'!$B$5:$B$5000="GEDE LONDRI"),ROWS($E$5:E969)),"")</f>
        <v/>
      </c>
      <c r="F969" s="5" t="n"/>
    </row>
    <row r="970">
      <c r="A970" s="10">
        <f>IF($E970="","",INDEX('Input Transaksi'!$A:$A,$E970))</f>
        <v/>
      </c>
      <c r="B970" s="5">
        <f>IF($E970="","",INDEX('Input Transaksi'!$D:$D,$E970))</f>
        <v/>
      </c>
      <c r="C970">
        <f>IF($E970="","",INDEX('Input Transaksi'!$E:$E,$E970))</f>
        <v/>
      </c>
      <c r="D970" s="5">
        <f>IF($E970="","",INDEX('Input Transaksi'!$F:$F,$E970))</f>
        <v/>
      </c>
      <c r="E970">
        <f>IFERROR(AGGREGATE(15,6,ROW('Input Transaksi'!$B$5:$B$5000)/('Input Transaksi'!$B$5:$B$5000="GEDE LONDRI"),ROWS($E$5:E970)),"")</f>
        <v/>
      </c>
      <c r="F970" s="5" t="n"/>
    </row>
    <row r="971">
      <c r="A971" s="10">
        <f>IF($E971="","",INDEX('Input Transaksi'!$A:$A,$E971))</f>
        <v/>
      </c>
      <c r="B971" s="5">
        <f>IF($E971="","",INDEX('Input Transaksi'!$D:$D,$E971))</f>
        <v/>
      </c>
      <c r="C971">
        <f>IF($E971="","",INDEX('Input Transaksi'!$E:$E,$E971))</f>
        <v/>
      </c>
      <c r="D971" s="5">
        <f>IF($E971="","",INDEX('Input Transaksi'!$F:$F,$E971))</f>
        <v/>
      </c>
      <c r="E971">
        <f>IFERROR(AGGREGATE(15,6,ROW('Input Transaksi'!$B$5:$B$5000)/('Input Transaksi'!$B$5:$B$5000="GEDE LONDRI"),ROWS($E$5:E971)),"")</f>
        <v/>
      </c>
      <c r="F971" s="5" t="n"/>
    </row>
    <row r="972">
      <c r="A972" s="10">
        <f>IF($E972="","",INDEX('Input Transaksi'!$A:$A,$E972))</f>
        <v/>
      </c>
      <c r="B972" s="5">
        <f>IF($E972="","",INDEX('Input Transaksi'!$D:$D,$E972))</f>
        <v/>
      </c>
      <c r="C972">
        <f>IF($E972="","",INDEX('Input Transaksi'!$E:$E,$E972))</f>
        <v/>
      </c>
      <c r="D972" s="5">
        <f>IF($E972="","",INDEX('Input Transaksi'!$F:$F,$E972))</f>
        <v/>
      </c>
      <c r="E972">
        <f>IFERROR(AGGREGATE(15,6,ROW('Input Transaksi'!$B$5:$B$5000)/('Input Transaksi'!$B$5:$B$5000="GEDE LONDRI"),ROWS($E$5:E972)),"")</f>
        <v/>
      </c>
      <c r="F972" s="5" t="n"/>
    </row>
    <row r="973">
      <c r="A973" s="10">
        <f>IF($E973="","",INDEX('Input Transaksi'!$A:$A,$E973))</f>
        <v/>
      </c>
      <c r="B973" s="5">
        <f>IF($E973="","",INDEX('Input Transaksi'!$D:$D,$E973))</f>
        <v/>
      </c>
      <c r="C973">
        <f>IF($E973="","",INDEX('Input Transaksi'!$E:$E,$E973))</f>
        <v/>
      </c>
      <c r="D973" s="5">
        <f>IF($E973="","",INDEX('Input Transaksi'!$F:$F,$E973))</f>
        <v/>
      </c>
      <c r="E973">
        <f>IFERROR(AGGREGATE(15,6,ROW('Input Transaksi'!$B$5:$B$5000)/('Input Transaksi'!$B$5:$B$5000="GEDE LONDRI"),ROWS($E$5:E973)),"")</f>
        <v/>
      </c>
      <c r="F973" s="5" t="n"/>
    </row>
    <row r="974">
      <c r="A974" s="10">
        <f>IF($E974="","",INDEX('Input Transaksi'!$A:$A,$E974))</f>
        <v/>
      </c>
      <c r="B974" s="5">
        <f>IF($E974="","",INDEX('Input Transaksi'!$D:$D,$E974))</f>
        <v/>
      </c>
      <c r="C974">
        <f>IF($E974="","",INDEX('Input Transaksi'!$E:$E,$E974))</f>
        <v/>
      </c>
      <c r="D974" s="5">
        <f>IF($E974="","",INDEX('Input Transaksi'!$F:$F,$E974))</f>
        <v/>
      </c>
      <c r="E974">
        <f>IFERROR(AGGREGATE(15,6,ROW('Input Transaksi'!$B$5:$B$5000)/('Input Transaksi'!$B$5:$B$5000="GEDE LONDRI"),ROWS($E$5:E974)),"")</f>
        <v/>
      </c>
      <c r="F974" s="5" t="n"/>
    </row>
    <row r="975">
      <c r="A975" s="10">
        <f>IF($E975="","",INDEX('Input Transaksi'!$A:$A,$E975))</f>
        <v/>
      </c>
      <c r="B975" s="5">
        <f>IF($E975="","",INDEX('Input Transaksi'!$D:$D,$E975))</f>
        <v/>
      </c>
      <c r="C975">
        <f>IF($E975="","",INDEX('Input Transaksi'!$E:$E,$E975))</f>
        <v/>
      </c>
      <c r="D975" s="5">
        <f>IF($E975="","",INDEX('Input Transaksi'!$F:$F,$E975))</f>
        <v/>
      </c>
      <c r="E975">
        <f>IFERROR(AGGREGATE(15,6,ROW('Input Transaksi'!$B$5:$B$5000)/('Input Transaksi'!$B$5:$B$5000="GEDE LONDRI"),ROWS($E$5:E975)),"")</f>
        <v/>
      </c>
      <c r="F975" s="5" t="n"/>
    </row>
    <row r="976">
      <c r="A976" s="10">
        <f>IF($E976="","",INDEX('Input Transaksi'!$A:$A,$E976))</f>
        <v/>
      </c>
      <c r="B976" s="5">
        <f>IF($E976="","",INDEX('Input Transaksi'!$D:$D,$E976))</f>
        <v/>
      </c>
      <c r="C976">
        <f>IF($E976="","",INDEX('Input Transaksi'!$E:$E,$E976))</f>
        <v/>
      </c>
      <c r="D976" s="5">
        <f>IF($E976="","",INDEX('Input Transaksi'!$F:$F,$E976))</f>
        <v/>
      </c>
      <c r="E976">
        <f>IFERROR(AGGREGATE(15,6,ROW('Input Transaksi'!$B$5:$B$5000)/('Input Transaksi'!$B$5:$B$5000="GEDE LONDRI"),ROWS($E$5:E976)),"")</f>
        <v/>
      </c>
      <c r="F976" s="5" t="n"/>
    </row>
    <row r="977">
      <c r="A977" s="10">
        <f>IF($E977="","",INDEX('Input Transaksi'!$A:$A,$E977))</f>
        <v/>
      </c>
      <c r="B977" s="5">
        <f>IF($E977="","",INDEX('Input Transaksi'!$D:$D,$E977))</f>
        <v/>
      </c>
      <c r="C977">
        <f>IF($E977="","",INDEX('Input Transaksi'!$E:$E,$E977))</f>
        <v/>
      </c>
      <c r="D977" s="5">
        <f>IF($E977="","",INDEX('Input Transaksi'!$F:$F,$E977))</f>
        <v/>
      </c>
      <c r="E977">
        <f>IFERROR(AGGREGATE(15,6,ROW('Input Transaksi'!$B$5:$B$5000)/('Input Transaksi'!$B$5:$B$5000="GEDE LONDRI"),ROWS($E$5:E977)),"")</f>
        <v/>
      </c>
      <c r="F977" s="5" t="n"/>
    </row>
    <row r="978">
      <c r="A978" s="10">
        <f>IF($E978="","",INDEX('Input Transaksi'!$A:$A,$E978))</f>
        <v/>
      </c>
      <c r="B978" s="5">
        <f>IF($E978="","",INDEX('Input Transaksi'!$D:$D,$E978))</f>
        <v/>
      </c>
      <c r="C978">
        <f>IF($E978="","",INDEX('Input Transaksi'!$E:$E,$E978))</f>
        <v/>
      </c>
      <c r="D978" s="5">
        <f>IF($E978="","",INDEX('Input Transaksi'!$F:$F,$E978))</f>
        <v/>
      </c>
      <c r="E978">
        <f>IFERROR(AGGREGATE(15,6,ROW('Input Transaksi'!$B$5:$B$5000)/('Input Transaksi'!$B$5:$B$5000="GEDE LONDRI"),ROWS($E$5:E978)),"")</f>
        <v/>
      </c>
      <c r="F978" s="5" t="n"/>
    </row>
    <row r="979">
      <c r="A979" s="10">
        <f>IF($E979="","",INDEX('Input Transaksi'!$A:$A,$E979))</f>
        <v/>
      </c>
      <c r="B979" s="5">
        <f>IF($E979="","",INDEX('Input Transaksi'!$D:$D,$E979))</f>
        <v/>
      </c>
      <c r="C979">
        <f>IF($E979="","",INDEX('Input Transaksi'!$E:$E,$E979))</f>
        <v/>
      </c>
      <c r="D979" s="5">
        <f>IF($E979="","",INDEX('Input Transaksi'!$F:$F,$E979))</f>
        <v/>
      </c>
      <c r="E979">
        <f>IFERROR(AGGREGATE(15,6,ROW('Input Transaksi'!$B$5:$B$5000)/('Input Transaksi'!$B$5:$B$5000="GEDE LONDRI"),ROWS($E$5:E979)),"")</f>
        <v/>
      </c>
      <c r="F979" s="5" t="n"/>
    </row>
    <row r="980">
      <c r="A980" s="10">
        <f>IF($E980="","",INDEX('Input Transaksi'!$A:$A,$E980))</f>
        <v/>
      </c>
      <c r="B980" s="5">
        <f>IF($E980="","",INDEX('Input Transaksi'!$D:$D,$E980))</f>
        <v/>
      </c>
      <c r="C980">
        <f>IF($E980="","",INDEX('Input Transaksi'!$E:$E,$E980))</f>
        <v/>
      </c>
      <c r="D980" s="5">
        <f>IF($E980="","",INDEX('Input Transaksi'!$F:$F,$E980))</f>
        <v/>
      </c>
      <c r="E980">
        <f>IFERROR(AGGREGATE(15,6,ROW('Input Transaksi'!$B$5:$B$5000)/('Input Transaksi'!$B$5:$B$5000="GEDE LONDRI"),ROWS($E$5:E980)),"")</f>
        <v/>
      </c>
      <c r="F980" s="5" t="n"/>
    </row>
    <row r="981">
      <c r="A981" s="10">
        <f>IF($E981="","",INDEX('Input Transaksi'!$A:$A,$E981))</f>
        <v/>
      </c>
      <c r="B981" s="5">
        <f>IF($E981="","",INDEX('Input Transaksi'!$D:$D,$E981))</f>
        <v/>
      </c>
      <c r="C981">
        <f>IF($E981="","",INDEX('Input Transaksi'!$E:$E,$E981))</f>
        <v/>
      </c>
      <c r="D981" s="5">
        <f>IF($E981="","",INDEX('Input Transaksi'!$F:$F,$E981))</f>
        <v/>
      </c>
      <c r="E981">
        <f>IFERROR(AGGREGATE(15,6,ROW('Input Transaksi'!$B$5:$B$5000)/('Input Transaksi'!$B$5:$B$5000="GEDE LONDRI"),ROWS($E$5:E981)),"")</f>
        <v/>
      </c>
      <c r="F981" s="5" t="n"/>
    </row>
    <row r="982">
      <c r="A982" s="10">
        <f>IF($E982="","",INDEX('Input Transaksi'!$A:$A,$E982))</f>
        <v/>
      </c>
      <c r="B982" s="5">
        <f>IF($E982="","",INDEX('Input Transaksi'!$D:$D,$E982))</f>
        <v/>
      </c>
      <c r="C982">
        <f>IF($E982="","",INDEX('Input Transaksi'!$E:$E,$E982))</f>
        <v/>
      </c>
      <c r="D982" s="5">
        <f>IF($E982="","",INDEX('Input Transaksi'!$F:$F,$E982))</f>
        <v/>
      </c>
      <c r="E982">
        <f>IFERROR(AGGREGATE(15,6,ROW('Input Transaksi'!$B$5:$B$5000)/('Input Transaksi'!$B$5:$B$5000="GEDE LONDRI"),ROWS($E$5:E982)),"")</f>
        <v/>
      </c>
      <c r="F982" s="5" t="n"/>
    </row>
    <row r="983">
      <c r="A983" s="10">
        <f>IF($E983="","",INDEX('Input Transaksi'!$A:$A,$E983))</f>
        <v/>
      </c>
      <c r="B983" s="5">
        <f>IF($E983="","",INDEX('Input Transaksi'!$D:$D,$E983))</f>
        <v/>
      </c>
      <c r="C983">
        <f>IF($E983="","",INDEX('Input Transaksi'!$E:$E,$E983))</f>
        <v/>
      </c>
      <c r="D983" s="5">
        <f>IF($E983="","",INDEX('Input Transaksi'!$F:$F,$E983))</f>
        <v/>
      </c>
      <c r="E983">
        <f>IFERROR(AGGREGATE(15,6,ROW('Input Transaksi'!$B$5:$B$5000)/('Input Transaksi'!$B$5:$B$5000="GEDE LONDRI"),ROWS($E$5:E983)),"")</f>
        <v/>
      </c>
      <c r="F983" s="5" t="n"/>
    </row>
    <row r="984">
      <c r="A984" s="10">
        <f>IF($E984="","",INDEX('Input Transaksi'!$A:$A,$E984))</f>
        <v/>
      </c>
      <c r="B984" s="5">
        <f>IF($E984="","",INDEX('Input Transaksi'!$D:$D,$E984))</f>
        <v/>
      </c>
      <c r="C984">
        <f>IF($E984="","",INDEX('Input Transaksi'!$E:$E,$E984))</f>
        <v/>
      </c>
      <c r="D984" s="5">
        <f>IF($E984="","",INDEX('Input Transaksi'!$F:$F,$E984))</f>
        <v/>
      </c>
      <c r="E984">
        <f>IFERROR(AGGREGATE(15,6,ROW('Input Transaksi'!$B$5:$B$5000)/('Input Transaksi'!$B$5:$B$5000="GEDE LONDRI"),ROWS($E$5:E984)),"")</f>
        <v/>
      </c>
      <c r="F984" s="5" t="n"/>
    </row>
    <row r="985">
      <c r="A985" s="10">
        <f>IF($E985="","",INDEX('Input Transaksi'!$A:$A,$E985))</f>
        <v/>
      </c>
      <c r="B985" s="5">
        <f>IF($E985="","",INDEX('Input Transaksi'!$D:$D,$E985))</f>
        <v/>
      </c>
      <c r="C985">
        <f>IF($E985="","",INDEX('Input Transaksi'!$E:$E,$E985))</f>
        <v/>
      </c>
      <c r="D985" s="5">
        <f>IF($E985="","",INDEX('Input Transaksi'!$F:$F,$E985))</f>
        <v/>
      </c>
      <c r="E985">
        <f>IFERROR(AGGREGATE(15,6,ROW('Input Transaksi'!$B$5:$B$5000)/('Input Transaksi'!$B$5:$B$5000="GEDE LONDRI"),ROWS($E$5:E985)),"")</f>
        <v/>
      </c>
      <c r="F985" s="5" t="n"/>
    </row>
    <row r="986">
      <c r="A986" s="10">
        <f>IF($E986="","",INDEX('Input Transaksi'!$A:$A,$E986))</f>
        <v/>
      </c>
      <c r="B986" s="5">
        <f>IF($E986="","",INDEX('Input Transaksi'!$D:$D,$E986))</f>
        <v/>
      </c>
      <c r="C986">
        <f>IF($E986="","",INDEX('Input Transaksi'!$E:$E,$E986))</f>
        <v/>
      </c>
      <c r="D986" s="5">
        <f>IF($E986="","",INDEX('Input Transaksi'!$F:$F,$E986))</f>
        <v/>
      </c>
      <c r="E986">
        <f>IFERROR(AGGREGATE(15,6,ROW('Input Transaksi'!$B$5:$B$5000)/('Input Transaksi'!$B$5:$B$5000="GEDE LONDRI"),ROWS($E$5:E986)),"")</f>
        <v/>
      </c>
      <c r="F986" s="5" t="n"/>
    </row>
    <row r="987">
      <c r="A987" s="10">
        <f>IF($E987="","",INDEX('Input Transaksi'!$A:$A,$E987))</f>
        <v/>
      </c>
      <c r="B987" s="5">
        <f>IF($E987="","",INDEX('Input Transaksi'!$D:$D,$E987))</f>
        <v/>
      </c>
      <c r="C987">
        <f>IF($E987="","",INDEX('Input Transaksi'!$E:$E,$E987))</f>
        <v/>
      </c>
      <c r="D987" s="5">
        <f>IF($E987="","",INDEX('Input Transaksi'!$F:$F,$E987))</f>
        <v/>
      </c>
      <c r="E987">
        <f>IFERROR(AGGREGATE(15,6,ROW('Input Transaksi'!$B$5:$B$5000)/('Input Transaksi'!$B$5:$B$5000="GEDE LONDRI"),ROWS($E$5:E987)),"")</f>
        <v/>
      </c>
      <c r="F987" s="5" t="n"/>
    </row>
    <row r="988">
      <c r="A988" s="10">
        <f>IF($E988="","",INDEX('Input Transaksi'!$A:$A,$E988))</f>
        <v/>
      </c>
      <c r="B988" s="5">
        <f>IF($E988="","",INDEX('Input Transaksi'!$D:$D,$E988))</f>
        <v/>
      </c>
      <c r="C988">
        <f>IF($E988="","",INDEX('Input Transaksi'!$E:$E,$E988))</f>
        <v/>
      </c>
      <c r="D988" s="5">
        <f>IF($E988="","",INDEX('Input Transaksi'!$F:$F,$E988))</f>
        <v/>
      </c>
      <c r="E988">
        <f>IFERROR(AGGREGATE(15,6,ROW('Input Transaksi'!$B$5:$B$5000)/('Input Transaksi'!$B$5:$B$5000="GEDE LONDRI"),ROWS($E$5:E988)),"")</f>
        <v/>
      </c>
      <c r="F988" s="5" t="n"/>
    </row>
    <row r="989">
      <c r="A989" s="10">
        <f>IF($E989="","",INDEX('Input Transaksi'!$A:$A,$E989))</f>
        <v/>
      </c>
      <c r="B989" s="5">
        <f>IF($E989="","",INDEX('Input Transaksi'!$D:$D,$E989))</f>
        <v/>
      </c>
      <c r="C989">
        <f>IF($E989="","",INDEX('Input Transaksi'!$E:$E,$E989))</f>
        <v/>
      </c>
      <c r="D989" s="5">
        <f>IF($E989="","",INDEX('Input Transaksi'!$F:$F,$E989))</f>
        <v/>
      </c>
      <c r="E989">
        <f>IFERROR(AGGREGATE(15,6,ROW('Input Transaksi'!$B$5:$B$5000)/('Input Transaksi'!$B$5:$B$5000="GEDE LONDRI"),ROWS($E$5:E989)),"")</f>
        <v/>
      </c>
      <c r="F989" s="5" t="n"/>
    </row>
    <row r="990">
      <c r="A990" s="10">
        <f>IF($E990="","",INDEX('Input Transaksi'!$A:$A,$E990))</f>
        <v/>
      </c>
      <c r="B990" s="5">
        <f>IF($E990="","",INDEX('Input Transaksi'!$D:$D,$E990))</f>
        <v/>
      </c>
      <c r="C990">
        <f>IF($E990="","",INDEX('Input Transaksi'!$E:$E,$E990))</f>
        <v/>
      </c>
      <c r="D990" s="5">
        <f>IF($E990="","",INDEX('Input Transaksi'!$F:$F,$E990))</f>
        <v/>
      </c>
      <c r="E990">
        <f>IFERROR(AGGREGATE(15,6,ROW('Input Transaksi'!$B$5:$B$5000)/('Input Transaksi'!$B$5:$B$5000="GEDE LONDRI"),ROWS($E$5:E990)),"")</f>
        <v/>
      </c>
      <c r="F990" s="5" t="n"/>
    </row>
    <row r="991">
      <c r="A991" s="10">
        <f>IF($E991="","",INDEX('Input Transaksi'!$A:$A,$E991))</f>
        <v/>
      </c>
      <c r="B991" s="5">
        <f>IF($E991="","",INDEX('Input Transaksi'!$D:$D,$E991))</f>
        <v/>
      </c>
      <c r="C991">
        <f>IF($E991="","",INDEX('Input Transaksi'!$E:$E,$E991))</f>
        <v/>
      </c>
      <c r="D991" s="5">
        <f>IF($E991="","",INDEX('Input Transaksi'!$F:$F,$E991))</f>
        <v/>
      </c>
      <c r="E991">
        <f>IFERROR(AGGREGATE(15,6,ROW('Input Transaksi'!$B$5:$B$5000)/('Input Transaksi'!$B$5:$B$5000="GEDE LONDRI"),ROWS($E$5:E991)),"")</f>
        <v/>
      </c>
      <c r="F991" s="5" t="n"/>
    </row>
    <row r="992">
      <c r="A992" s="10">
        <f>IF($E992="","",INDEX('Input Transaksi'!$A:$A,$E992))</f>
        <v/>
      </c>
      <c r="B992" s="5">
        <f>IF($E992="","",INDEX('Input Transaksi'!$D:$D,$E992))</f>
        <v/>
      </c>
      <c r="C992">
        <f>IF($E992="","",INDEX('Input Transaksi'!$E:$E,$E992))</f>
        <v/>
      </c>
      <c r="D992" s="5">
        <f>IF($E992="","",INDEX('Input Transaksi'!$F:$F,$E992))</f>
        <v/>
      </c>
      <c r="E992">
        <f>IFERROR(AGGREGATE(15,6,ROW('Input Transaksi'!$B$5:$B$5000)/('Input Transaksi'!$B$5:$B$5000="GEDE LONDRI"),ROWS($E$5:E992)),"")</f>
        <v/>
      </c>
      <c r="F992" s="5" t="n"/>
    </row>
    <row r="993">
      <c r="A993" s="10">
        <f>IF($E993="","",INDEX('Input Transaksi'!$A:$A,$E993))</f>
        <v/>
      </c>
      <c r="B993" s="5">
        <f>IF($E993="","",INDEX('Input Transaksi'!$D:$D,$E993))</f>
        <v/>
      </c>
      <c r="C993">
        <f>IF($E993="","",INDEX('Input Transaksi'!$E:$E,$E993))</f>
        <v/>
      </c>
      <c r="D993" s="5">
        <f>IF($E993="","",INDEX('Input Transaksi'!$F:$F,$E993))</f>
        <v/>
      </c>
      <c r="E993">
        <f>IFERROR(AGGREGATE(15,6,ROW('Input Transaksi'!$B$5:$B$5000)/('Input Transaksi'!$B$5:$B$5000="GEDE LONDRI"),ROWS($E$5:E993)),"")</f>
        <v/>
      </c>
      <c r="F993" s="5" t="n"/>
    </row>
    <row r="994">
      <c r="A994" s="10">
        <f>IF($E994="","",INDEX('Input Transaksi'!$A:$A,$E994))</f>
        <v/>
      </c>
      <c r="B994" s="5">
        <f>IF($E994="","",INDEX('Input Transaksi'!$D:$D,$E994))</f>
        <v/>
      </c>
      <c r="C994">
        <f>IF($E994="","",INDEX('Input Transaksi'!$E:$E,$E994))</f>
        <v/>
      </c>
      <c r="D994" s="5">
        <f>IF($E994="","",INDEX('Input Transaksi'!$F:$F,$E994))</f>
        <v/>
      </c>
      <c r="E994">
        <f>IFERROR(AGGREGATE(15,6,ROW('Input Transaksi'!$B$5:$B$5000)/('Input Transaksi'!$B$5:$B$5000="GEDE LONDRI"),ROWS($E$5:E994)),"")</f>
        <v/>
      </c>
      <c r="F994" s="5" t="n"/>
    </row>
    <row r="995">
      <c r="A995" s="10">
        <f>IF($E995="","",INDEX('Input Transaksi'!$A:$A,$E995))</f>
        <v/>
      </c>
      <c r="B995" s="5">
        <f>IF($E995="","",INDEX('Input Transaksi'!$D:$D,$E995))</f>
        <v/>
      </c>
      <c r="C995">
        <f>IF($E995="","",INDEX('Input Transaksi'!$E:$E,$E995))</f>
        <v/>
      </c>
      <c r="D995" s="5">
        <f>IF($E995="","",INDEX('Input Transaksi'!$F:$F,$E995))</f>
        <v/>
      </c>
      <c r="E995">
        <f>IFERROR(AGGREGATE(15,6,ROW('Input Transaksi'!$B$5:$B$5000)/('Input Transaksi'!$B$5:$B$5000="GEDE LONDRI"),ROWS($E$5:E995)),"")</f>
        <v/>
      </c>
      <c r="F995" s="5" t="n"/>
    </row>
    <row r="996">
      <c r="A996" s="10">
        <f>IF($E996="","",INDEX('Input Transaksi'!$A:$A,$E996))</f>
        <v/>
      </c>
      <c r="B996" s="5">
        <f>IF($E996="","",INDEX('Input Transaksi'!$D:$D,$E996))</f>
        <v/>
      </c>
      <c r="C996">
        <f>IF($E996="","",INDEX('Input Transaksi'!$E:$E,$E996))</f>
        <v/>
      </c>
      <c r="D996" s="5">
        <f>IF($E996="","",INDEX('Input Transaksi'!$F:$F,$E996))</f>
        <v/>
      </c>
      <c r="E996">
        <f>IFERROR(AGGREGATE(15,6,ROW('Input Transaksi'!$B$5:$B$5000)/('Input Transaksi'!$B$5:$B$5000="GEDE LONDRI"),ROWS($E$5:E996)),"")</f>
        <v/>
      </c>
      <c r="F996" s="5" t="n"/>
    </row>
    <row r="997">
      <c r="A997" s="10">
        <f>IF($E997="","",INDEX('Input Transaksi'!$A:$A,$E997))</f>
        <v/>
      </c>
      <c r="B997" s="5">
        <f>IF($E997="","",INDEX('Input Transaksi'!$D:$D,$E997))</f>
        <v/>
      </c>
      <c r="C997">
        <f>IF($E997="","",INDEX('Input Transaksi'!$E:$E,$E997))</f>
        <v/>
      </c>
      <c r="D997" s="5">
        <f>IF($E997="","",INDEX('Input Transaksi'!$F:$F,$E997))</f>
        <v/>
      </c>
      <c r="E997">
        <f>IFERROR(AGGREGATE(15,6,ROW('Input Transaksi'!$B$5:$B$5000)/('Input Transaksi'!$B$5:$B$5000="GEDE LONDRI"),ROWS($E$5:E997)),"")</f>
        <v/>
      </c>
      <c r="F997" s="5" t="n"/>
    </row>
    <row r="998">
      <c r="A998" s="10">
        <f>IF($E998="","",INDEX('Input Transaksi'!$A:$A,$E998))</f>
        <v/>
      </c>
      <c r="B998" s="5">
        <f>IF($E998="","",INDEX('Input Transaksi'!$D:$D,$E998))</f>
        <v/>
      </c>
      <c r="C998">
        <f>IF($E998="","",INDEX('Input Transaksi'!$E:$E,$E998))</f>
        <v/>
      </c>
      <c r="D998" s="5">
        <f>IF($E998="","",INDEX('Input Transaksi'!$F:$F,$E998))</f>
        <v/>
      </c>
      <c r="E998">
        <f>IFERROR(AGGREGATE(15,6,ROW('Input Transaksi'!$B$5:$B$5000)/('Input Transaksi'!$B$5:$B$5000="GEDE LONDRI"),ROWS($E$5:E998)),"")</f>
        <v/>
      </c>
      <c r="F998" s="5" t="n"/>
    </row>
    <row r="999">
      <c r="A999" s="10">
        <f>IF($E999="","",INDEX('Input Transaksi'!$A:$A,$E999))</f>
        <v/>
      </c>
      <c r="B999" s="5">
        <f>IF($E999="","",INDEX('Input Transaksi'!$D:$D,$E999))</f>
        <v/>
      </c>
      <c r="C999">
        <f>IF($E999="","",INDEX('Input Transaksi'!$E:$E,$E999))</f>
        <v/>
      </c>
      <c r="D999" s="5">
        <f>IF($E999="","",INDEX('Input Transaksi'!$F:$F,$E999))</f>
        <v/>
      </c>
      <c r="E999">
        <f>IFERROR(AGGREGATE(15,6,ROW('Input Transaksi'!$B$5:$B$5000)/('Input Transaksi'!$B$5:$B$5000="GEDE LONDRI"),ROWS($E$5:E999)),"")</f>
        <v/>
      </c>
      <c r="F999" s="5" t="n"/>
    </row>
    <row r="1000">
      <c r="A1000" s="10">
        <f>IF($E1000="","",INDEX('Input Transaksi'!$A:$A,$E1000))</f>
        <v/>
      </c>
      <c r="B1000" s="5">
        <f>IF($E1000="","",INDEX('Input Transaksi'!$D:$D,$E1000))</f>
        <v/>
      </c>
      <c r="C1000">
        <f>IF($E1000="","",INDEX('Input Transaksi'!$E:$E,$E1000))</f>
        <v/>
      </c>
      <c r="D1000" s="5">
        <f>IF($E1000="","",INDEX('Input Transaksi'!$F:$F,$E1000))</f>
        <v/>
      </c>
      <c r="E1000">
        <f>IFERROR(AGGREGATE(15,6,ROW('Input Transaksi'!$B$5:$B$5000)/('Input Transaksi'!$B$5:$B$5000="GEDE LONDRI"),ROWS($E$5:E1000)),"")</f>
        <v/>
      </c>
      <c r="F1000" s="5" t="n"/>
    </row>
  </sheetData>
  <autoFilter ref="A4:D1000"/>
  <mergeCells count="1">
    <mergeCell ref="A1:E1"/>
  </mergeCells>
  <hyperlinks>
    <hyperlink ref="F1" location="'Beranda'!A1" display="Kembali ke Beranda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000"/>
  <sheetViews>
    <sheetView workbookViewId="0">
      <pane ySplit="4" topLeftCell="A5" activePane="bottomLeft" state="frozen"/>
      <selection pane="bottomLeft" activeCell="A1" sqref="A1"/>
    </sheetView>
  </sheetViews>
  <sheetFormatPr baseColWidth="10" defaultColWidth="8.83203125" defaultRowHeight="15"/>
  <cols>
    <col width="16" customWidth="1" min="1" max="1"/>
    <col width="22" customWidth="1" min="2" max="2"/>
    <col width="12" customWidth="1" min="3" max="3"/>
    <col width="26" customWidth="1" min="4" max="4"/>
    <col hidden="1" width="12.6640625" customWidth="1" min="5" max="5"/>
    <col width="16" customWidth="1" min="6" max="6"/>
    <col hidden="1" width="13" customWidth="1" min="7" max="7"/>
  </cols>
  <sheetData>
    <row r="1" ht="24" customHeight="1">
      <c r="A1" s="11" t="inlineStr">
        <is>
          <t>JCL NUSA KAMBANGAN</t>
        </is>
      </c>
      <c r="F1" s="3" t="inlineStr">
        <is>
          <t>Kembali ke Beranda</t>
        </is>
      </c>
    </row>
    <row r="2">
      <c r="A2" s="13" t="inlineStr">
        <is>
          <t>Wilayah</t>
        </is>
      </c>
      <c r="B2" s="13" t="inlineStr">
        <is>
          <t>BARAT</t>
        </is>
      </c>
      <c r="C2" s="13" t="inlineStr">
        <is>
          <t>Total Qty</t>
        </is>
      </c>
      <c r="D2" s="2">
        <f>SUMIFS('Input Transaksi'!$E$5:$E$5000,'Input Transaksi'!$B$5:$B$5000,"JCL NUSA KAMBANGAN")</f>
        <v/>
      </c>
      <c r="E2" s="13" t="inlineStr">
        <is>
          <t>Jumlah Transaksi</t>
        </is>
      </c>
      <c r="F2" s="2">
        <f>COUNTIF('Input Transaksi'!$B$5:$B$5000,"JCL NUSA KAMBANGAN")</f>
        <v/>
      </c>
    </row>
    <row r="3"/>
    <row r="4">
      <c r="A4" s="4" t="inlineStr">
        <is>
          <t>Tanggal</t>
        </is>
      </c>
      <c r="B4" s="4" t="inlineStr">
        <is>
          <t>Item</t>
        </is>
      </c>
      <c r="C4" s="4" t="inlineStr">
        <is>
          <t>Qty Keluar</t>
        </is>
      </c>
      <c r="D4" s="4" t="inlineStr">
        <is>
          <t>Catatan</t>
        </is>
      </c>
      <c r="E4" t="inlineStr">
        <is>
          <t>RowRef</t>
        </is>
      </c>
      <c r="F4" s="4" t="n"/>
    </row>
    <row r="5">
      <c r="A5" s="10">
        <f>IF($E5="","",INDEX('Input Transaksi'!$A:$A,$E5))</f>
        <v/>
      </c>
      <c r="B5" s="5">
        <f>IF($E5="","",INDEX('Input Transaksi'!$D:$D,$E5))</f>
        <v/>
      </c>
      <c r="C5">
        <f>IF($E5="","",INDEX('Input Transaksi'!$E:$E,$E5))</f>
        <v/>
      </c>
      <c r="D5" s="5">
        <f>IF($E5="","",INDEX('Input Transaksi'!$F:$F,$E5))</f>
        <v/>
      </c>
      <c r="E5">
        <f>IFERROR(AGGREGATE(15,6,ROW('Input Transaksi'!$B$5:$B$5000)/('Input Transaksi'!$B$5:$B$5000="JCL NUSA KAMBANGAN"),ROWS($E$5:E5)),"")</f>
        <v/>
      </c>
      <c r="F5" s="5" t="n"/>
    </row>
    <row r="6">
      <c r="A6" s="10">
        <f>IF($E6="","",INDEX('Input Transaksi'!$A:$A,$E6))</f>
        <v/>
      </c>
      <c r="B6" s="5">
        <f>IF($E6="","",INDEX('Input Transaksi'!$D:$D,$E6))</f>
        <v/>
      </c>
      <c r="C6">
        <f>IF($E6="","",INDEX('Input Transaksi'!$E:$E,$E6))</f>
        <v/>
      </c>
      <c r="D6" s="5">
        <f>IF($E6="","",INDEX('Input Transaksi'!$F:$F,$E6))</f>
        <v/>
      </c>
      <c r="E6">
        <f>IFERROR(AGGREGATE(15,6,ROW('Input Transaksi'!$B$5:$B$5000)/('Input Transaksi'!$B$5:$B$5000="JCL NUSA KAMBANGAN"),ROWS($E$5:E6)),"")</f>
        <v/>
      </c>
      <c r="F6" s="5" t="n"/>
    </row>
    <row r="7">
      <c r="A7" s="10">
        <f>IF($E7="","",INDEX('Input Transaksi'!$A:$A,$E7))</f>
        <v/>
      </c>
      <c r="B7" s="5">
        <f>IF($E7="","",INDEX('Input Transaksi'!$D:$D,$E7))</f>
        <v/>
      </c>
      <c r="C7">
        <f>IF($E7="","",INDEX('Input Transaksi'!$E:$E,$E7))</f>
        <v/>
      </c>
      <c r="D7" s="5">
        <f>IF($E7="","",INDEX('Input Transaksi'!$F:$F,$E7))</f>
        <v/>
      </c>
      <c r="E7">
        <f>IFERROR(AGGREGATE(15,6,ROW('Input Transaksi'!$B$5:$B$5000)/('Input Transaksi'!$B$5:$B$5000="JCL NUSA KAMBANGAN"),ROWS($E$5:E7)),"")</f>
        <v/>
      </c>
      <c r="F7" s="5" t="n"/>
    </row>
    <row r="8">
      <c r="A8" s="10">
        <f>IF($E8="","",INDEX('Input Transaksi'!$A:$A,$E8))</f>
        <v/>
      </c>
      <c r="B8" s="5">
        <f>IF($E8="","",INDEX('Input Transaksi'!$D:$D,$E8))</f>
        <v/>
      </c>
      <c r="C8">
        <f>IF($E8="","",INDEX('Input Transaksi'!$E:$E,$E8))</f>
        <v/>
      </c>
      <c r="D8" s="5">
        <f>IF($E8="","",INDEX('Input Transaksi'!$F:$F,$E8))</f>
        <v/>
      </c>
      <c r="E8">
        <f>IFERROR(AGGREGATE(15,6,ROW('Input Transaksi'!$B$5:$B$5000)/('Input Transaksi'!$B$5:$B$5000="JCL NUSA KAMBANGAN"),ROWS($E$5:E8)),"")</f>
        <v/>
      </c>
      <c r="F8" s="5" t="n"/>
    </row>
    <row r="9">
      <c r="A9" s="10">
        <f>IF($E9="","",INDEX('Input Transaksi'!$A:$A,$E9))</f>
        <v/>
      </c>
      <c r="B9" s="5">
        <f>IF($E9="","",INDEX('Input Transaksi'!$D:$D,$E9))</f>
        <v/>
      </c>
      <c r="C9">
        <f>IF($E9="","",INDEX('Input Transaksi'!$E:$E,$E9))</f>
        <v/>
      </c>
      <c r="D9" s="5">
        <f>IF($E9="","",INDEX('Input Transaksi'!$F:$F,$E9))</f>
        <v/>
      </c>
      <c r="E9">
        <f>IFERROR(AGGREGATE(15,6,ROW('Input Transaksi'!$B$5:$B$5000)/('Input Transaksi'!$B$5:$B$5000="JCL NUSA KAMBANGAN"),ROWS($E$5:E9)),"")</f>
        <v/>
      </c>
      <c r="F9" s="5" t="n"/>
    </row>
    <row r="10">
      <c r="A10" s="10">
        <f>IF($E10="","",INDEX('Input Transaksi'!$A:$A,$E10))</f>
        <v/>
      </c>
      <c r="B10" s="5">
        <f>IF($E10="","",INDEX('Input Transaksi'!$D:$D,$E10))</f>
        <v/>
      </c>
      <c r="C10">
        <f>IF($E10="","",INDEX('Input Transaksi'!$E:$E,$E10))</f>
        <v/>
      </c>
      <c r="D10" s="5">
        <f>IF($E10="","",INDEX('Input Transaksi'!$F:$F,$E10))</f>
        <v/>
      </c>
      <c r="E10">
        <f>IFERROR(AGGREGATE(15,6,ROW('Input Transaksi'!$B$5:$B$5000)/('Input Transaksi'!$B$5:$B$5000="JCL NUSA KAMBANGAN"),ROWS($E$5:E10)),"")</f>
        <v/>
      </c>
      <c r="F10" s="5" t="n"/>
    </row>
    <row r="11">
      <c r="A11" s="10">
        <f>IF($E11="","",INDEX('Input Transaksi'!$A:$A,$E11))</f>
        <v/>
      </c>
      <c r="B11" s="5">
        <f>IF($E11="","",INDEX('Input Transaksi'!$D:$D,$E11))</f>
        <v/>
      </c>
      <c r="C11">
        <f>IF($E11="","",INDEX('Input Transaksi'!$E:$E,$E11))</f>
        <v/>
      </c>
      <c r="D11" s="5">
        <f>IF($E11="","",INDEX('Input Transaksi'!$F:$F,$E11))</f>
        <v/>
      </c>
      <c r="E11">
        <f>IFERROR(AGGREGATE(15,6,ROW('Input Transaksi'!$B$5:$B$5000)/('Input Transaksi'!$B$5:$B$5000="JCL NUSA KAMBANGAN"),ROWS($E$5:E11)),"")</f>
        <v/>
      </c>
      <c r="F11" s="5" t="n"/>
    </row>
    <row r="12">
      <c r="A12" s="10">
        <f>IF($E12="","",INDEX('Input Transaksi'!$A:$A,$E12))</f>
        <v/>
      </c>
      <c r="B12" s="5">
        <f>IF($E12="","",INDEX('Input Transaksi'!$D:$D,$E12))</f>
        <v/>
      </c>
      <c r="C12">
        <f>IF($E12="","",INDEX('Input Transaksi'!$E:$E,$E12))</f>
        <v/>
      </c>
      <c r="D12" s="5">
        <f>IF($E12="","",INDEX('Input Transaksi'!$F:$F,$E12))</f>
        <v/>
      </c>
      <c r="E12">
        <f>IFERROR(AGGREGATE(15,6,ROW('Input Transaksi'!$B$5:$B$5000)/('Input Transaksi'!$B$5:$B$5000="JCL NUSA KAMBANGAN"),ROWS($E$5:E12)),"")</f>
        <v/>
      </c>
      <c r="F12" s="5" t="n"/>
    </row>
    <row r="13">
      <c r="A13" s="10">
        <f>IF($E13="","",INDEX('Input Transaksi'!$A:$A,$E13))</f>
        <v/>
      </c>
      <c r="B13" s="5">
        <f>IF($E13="","",INDEX('Input Transaksi'!$D:$D,$E13))</f>
        <v/>
      </c>
      <c r="C13">
        <f>IF($E13="","",INDEX('Input Transaksi'!$E:$E,$E13))</f>
        <v/>
      </c>
      <c r="D13" s="5">
        <f>IF($E13="","",INDEX('Input Transaksi'!$F:$F,$E13))</f>
        <v/>
      </c>
      <c r="E13">
        <f>IFERROR(AGGREGATE(15,6,ROW('Input Transaksi'!$B$5:$B$5000)/('Input Transaksi'!$B$5:$B$5000="JCL NUSA KAMBANGAN"),ROWS($E$5:E13)),"")</f>
        <v/>
      </c>
      <c r="F13" s="5" t="n"/>
    </row>
    <row r="14">
      <c r="A14" s="10">
        <f>IF($E14="","",INDEX('Input Transaksi'!$A:$A,$E14))</f>
        <v/>
      </c>
      <c r="B14" s="5">
        <f>IF($E14="","",INDEX('Input Transaksi'!$D:$D,$E14))</f>
        <v/>
      </c>
      <c r="C14">
        <f>IF($E14="","",INDEX('Input Transaksi'!$E:$E,$E14))</f>
        <v/>
      </c>
      <c r="D14" s="5">
        <f>IF($E14="","",INDEX('Input Transaksi'!$F:$F,$E14))</f>
        <v/>
      </c>
      <c r="E14">
        <f>IFERROR(AGGREGATE(15,6,ROW('Input Transaksi'!$B$5:$B$5000)/('Input Transaksi'!$B$5:$B$5000="JCL NUSA KAMBANGAN"),ROWS($E$5:E14)),"")</f>
        <v/>
      </c>
      <c r="F14" s="5" t="n"/>
    </row>
    <row r="15">
      <c r="A15" s="10">
        <f>IF($E15="","",INDEX('Input Transaksi'!$A:$A,$E15))</f>
        <v/>
      </c>
      <c r="B15" s="5">
        <f>IF($E15="","",INDEX('Input Transaksi'!$D:$D,$E15))</f>
        <v/>
      </c>
      <c r="C15">
        <f>IF($E15="","",INDEX('Input Transaksi'!$E:$E,$E15))</f>
        <v/>
      </c>
      <c r="D15" s="5">
        <f>IF($E15="","",INDEX('Input Transaksi'!$F:$F,$E15))</f>
        <v/>
      </c>
      <c r="E15">
        <f>IFERROR(AGGREGATE(15,6,ROW('Input Transaksi'!$B$5:$B$5000)/('Input Transaksi'!$B$5:$B$5000="JCL NUSA KAMBANGAN"),ROWS($E$5:E15)),"")</f>
        <v/>
      </c>
      <c r="F15" s="5" t="n"/>
    </row>
    <row r="16">
      <c r="A16" s="10">
        <f>IF($E16="","",INDEX('Input Transaksi'!$A:$A,$E16))</f>
        <v/>
      </c>
      <c r="B16" s="5">
        <f>IF($E16="","",INDEX('Input Transaksi'!$D:$D,$E16))</f>
        <v/>
      </c>
      <c r="C16">
        <f>IF($E16="","",INDEX('Input Transaksi'!$E:$E,$E16))</f>
        <v/>
      </c>
      <c r="D16" s="5">
        <f>IF($E16="","",INDEX('Input Transaksi'!$F:$F,$E16))</f>
        <v/>
      </c>
      <c r="E16">
        <f>IFERROR(AGGREGATE(15,6,ROW('Input Transaksi'!$B$5:$B$5000)/('Input Transaksi'!$B$5:$B$5000="JCL NUSA KAMBANGAN"),ROWS($E$5:E16)),"")</f>
        <v/>
      </c>
      <c r="F16" s="5" t="n"/>
    </row>
    <row r="17">
      <c r="A17" s="10">
        <f>IF($E17="","",INDEX('Input Transaksi'!$A:$A,$E17))</f>
        <v/>
      </c>
      <c r="B17" s="5">
        <f>IF($E17="","",INDEX('Input Transaksi'!$D:$D,$E17))</f>
        <v/>
      </c>
      <c r="C17">
        <f>IF($E17="","",INDEX('Input Transaksi'!$E:$E,$E17))</f>
        <v/>
      </c>
      <c r="D17" s="5">
        <f>IF($E17="","",INDEX('Input Transaksi'!$F:$F,$E17))</f>
        <v/>
      </c>
      <c r="E17">
        <f>IFERROR(AGGREGATE(15,6,ROW('Input Transaksi'!$B$5:$B$5000)/('Input Transaksi'!$B$5:$B$5000="JCL NUSA KAMBANGAN"),ROWS($E$5:E17)),"")</f>
        <v/>
      </c>
      <c r="F17" s="5" t="n"/>
    </row>
    <row r="18">
      <c r="A18" s="10">
        <f>IF($E18="","",INDEX('Input Transaksi'!$A:$A,$E18))</f>
        <v/>
      </c>
      <c r="B18" s="5">
        <f>IF($E18="","",INDEX('Input Transaksi'!$D:$D,$E18))</f>
        <v/>
      </c>
      <c r="C18">
        <f>IF($E18="","",INDEX('Input Transaksi'!$E:$E,$E18))</f>
        <v/>
      </c>
      <c r="D18" s="5">
        <f>IF($E18="","",INDEX('Input Transaksi'!$F:$F,$E18))</f>
        <v/>
      </c>
      <c r="E18">
        <f>IFERROR(AGGREGATE(15,6,ROW('Input Transaksi'!$B$5:$B$5000)/('Input Transaksi'!$B$5:$B$5000="JCL NUSA KAMBANGAN"),ROWS($E$5:E18)),"")</f>
        <v/>
      </c>
      <c r="F18" s="5" t="n"/>
    </row>
    <row r="19">
      <c r="A19" s="10">
        <f>IF($E19="","",INDEX('Input Transaksi'!$A:$A,$E19))</f>
        <v/>
      </c>
      <c r="B19" s="5">
        <f>IF($E19="","",INDEX('Input Transaksi'!$D:$D,$E19))</f>
        <v/>
      </c>
      <c r="C19">
        <f>IF($E19="","",INDEX('Input Transaksi'!$E:$E,$E19))</f>
        <v/>
      </c>
      <c r="D19" s="5">
        <f>IF($E19="","",INDEX('Input Transaksi'!$F:$F,$E19))</f>
        <v/>
      </c>
      <c r="E19">
        <f>IFERROR(AGGREGATE(15,6,ROW('Input Transaksi'!$B$5:$B$5000)/('Input Transaksi'!$B$5:$B$5000="JCL NUSA KAMBANGAN"),ROWS($E$5:E19)),"")</f>
        <v/>
      </c>
      <c r="F19" s="5" t="n"/>
    </row>
    <row r="20">
      <c r="A20" s="10">
        <f>IF($E20="","",INDEX('Input Transaksi'!$A:$A,$E20))</f>
        <v/>
      </c>
      <c r="B20" s="5">
        <f>IF($E20="","",INDEX('Input Transaksi'!$D:$D,$E20))</f>
        <v/>
      </c>
      <c r="C20">
        <f>IF($E20="","",INDEX('Input Transaksi'!$E:$E,$E20))</f>
        <v/>
      </c>
      <c r="D20" s="5">
        <f>IF($E20="","",INDEX('Input Transaksi'!$F:$F,$E20))</f>
        <v/>
      </c>
      <c r="E20">
        <f>IFERROR(AGGREGATE(15,6,ROW('Input Transaksi'!$B$5:$B$5000)/('Input Transaksi'!$B$5:$B$5000="JCL NUSA KAMBANGAN"),ROWS($E$5:E20)),"")</f>
        <v/>
      </c>
      <c r="F20" s="5" t="n"/>
    </row>
    <row r="21">
      <c r="A21" s="10">
        <f>IF($E21="","",INDEX('Input Transaksi'!$A:$A,$E21))</f>
        <v/>
      </c>
      <c r="B21" s="5">
        <f>IF($E21="","",INDEX('Input Transaksi'!$D:$D,$E21))</f>
        <v/>
      </c>
      <c r="C21">
        <f>IF($E21="","",INDEX('Input Transaksi'!$E:$E,$E21))</f>
        <v/>
      </c>
      <c r="D21" s="5">
        <f>IF($E21="","",INDEX('Input Transaksi'!$F:$F,$E21))</f>
        <v/>
      </c>
      <c r="E21">
        <f>IFERROR(AGGREGATE(15,6,ROW('Input Transaksi'!$B$5:$B$5000)/('Input Transaksi'!$B$5:$B$5000="JCL NUSA KAMBANGAN"),ROWS($E$5:E21)),"")</f>
        <v/>
      </c>
      <c r="F21" s="5" t="n"/>
    </row>
    <row r="22">
      <c r="A22" s="10">
        <f>IF($E22="","",INDEX('Input Transaksi'!$A:$A,$E22))</f>
        <v/>
      </c>
      <c r="B22" s="5">
        <f>IF($E22="","",INDEX('Input Transaksi'!$D:$D,$E22))</f>
        <v/>
      </c>
      <c r="C22">
        <f>IF($E22="","",INDEX('Input Transaksi'!$E:$E,$E22))</f>
        <v/>
      </c>
      <c r="D22" s="5">
        <f>IF($E22="","",INDEX('Input Transaksi'!$F:$F,$E22))</f>
        <v/>
      </c>
      <c r="E22">
        <f>IFERROR(AGGREGATE(15,6,ROW('Input Transaksi'!$B$5:$B$5000)/('Input Transaksi'!$B$5:$B$5000="JCL NUSA KAMBANGAN"),ROWS($E$5:E22)),"")</f>
        <v/>
      </c>
      <c r="F22" s="5" t="n"/>
    </row>
    <row r="23">
      <c r="A23" s="10">
        <f>IF($E23="","",INDEX('Input Transaksi'!$A:$A,$E23))</f>
        <v/>
      </c>
      <c r="B23" s="5">
        <f>IF($E23="","",INDEX('Input Transaksi'!$D:$D,$E23))</f>
        <v/>
      </c>
      <c r="C23">
        <f>IF($E23="","",INDEX('Input Transaksi'!$E:$E,$E23))</f>
        <v/>
      </c>
      <c r="D23" s="5">
        <f>IF($E23="","",INDEX('Input Transaksi'!$F:$F,$E23))</f>
        <v/>
      </c>
      <c r="E23">
        <f>IFERROR(AGGREGATE(15,6,ROW('Input Transaksi'!$B$5:$B$5000)/('Input Transaksi'!$B$5:$B$5000="JCL NUSA KAMBANGAN"),ROWS($E$5:E23)),"")</f>
        <v/>
      </c>
      <c r="F23" s="5" t="n"/>
    </row>
    <row r="24">
      <c r="A24" s="10">
        <f>IF($E24="","",INDEX('Input Transaksi'!$A:$A,$E24))</f>
        <v/>
      </c>
      <c r="B24" s="5">
        <f>IF($E24="","",INDEX('Input Transaksi'!$D:$D,$E24))</f>
        <v/>
      </c>
      <c r="C24">
        <f>IF($E24="","",INDEX('Input Transaksi'!$E:$E,$E24))</f>
        <v/>
      </c>
      <c r="D24" s="5">
        <f>IF($E24="","",INDEX('Input Transaksi'!$F:$F,$E24))</f>
        <v/>
      </c>
      <c r="E24">
        <f>IFERROR(AGGREGATE(15,6,ROW('Input Transaksi'!$B$5:$B$5000)/('Input Transaksi'!$B$5:$B$5000="JCL NUSA KAMBANGAN"),ROWS($E$5:E24)),"")</f>
        <v/>
      </c>
      <c r="F24" s="5" t="n"/>
    </row>
    <row r="25">
      <c r="A25" s="10">
        <f>IF($E25="","",INDEX('Input Transaksi'!$A:$A,$E25))</f>
        <v/>
      </c>
      <c r="B25" s="5">
        <f>IF($E25="","",INDEX('Input Transaksi'!$D:$D,$E25))</f>
        <v/>
      </c>
      <c r="C25">
        <f>IF($E25="","",INDEX('Input Transaksi'!$E:$E,$E25))</f>
        <v/>
      </c>
      <c r="D25" s="5">
        <f>IF($E25="","",INDEX('Input Transaksi'!$F:$F,$E25))</f>
        <v/>
      </c>
      <c r="E25">
        <f>IFERROR(AGGREGATE(15,6,ROW('Input Transaksi'!$B$5:$B$5000)/('Input Transaksi'!$B$5:$B$5000="JCL NUSA KAMBANGAN"),ROWS($E$5:E25)),"")</f>
        <v/>
      </c>
      <c r="F25" s="5" t="n"/>
    </row>
    <row r="26">
      <c r="A26" s="10">
        <f>IF($E26="","",INDEX('Input Transaksi'!$A:$A,$E26))</f>
        <v/>
      </c>
      <c r="B26" s="5">
        <f>IF($E26="","",INDEX('Input Transaksi'!$D:$D,$E26))</f>
        <v/>
      </c>
      <c r="C26">
        <f>IF($E26="","",INDEX('Input Transaksi'!$E:$E,$E26))</f>
        <v/>
      </c>
      <c r="D26" s="5">
        <f>IF($E26="","",INDEX('Input Transaksi'!$F:$F,$E26))</f>
        <v/>
      </c>
      <c r="E26">
        <f>IFERROR(AGGREGATE(15,6,ROW('Input Transaksi'!$B$5:$B$5000)/('Input Transaksi'!$B$5:$B$5000="JCL NUSA KAMBANGAN"),ROWS($E$5:E26)),"")</f>
        <v/>
      </c>
      <c r="F26" s="5" t="n"/>
    </row>
    <row r="27">
      <c r="A27" s="10">
        <f>IF($E27="","",INDEX('Input Transaksi'!$A:$A,$E27))</f>
        <v/>
      </c>
      <c r="B27" s="5">
        <f>IF($E27="","",INDEX('Input Transaksi'!$D:$D,$E27))</f>
        <v/>
      </c>
      <c r="C27">
        <f>IF($E27="","",INDEX('Input Transaksi'!$E:$E,$E27))</f>
        <v/>
      </c>
      <c r="D27" s="5">
        <f>IF($E27="","",INDEX('Input Transaksi'!$F:$F,$E27))</f>
        <v/>
      </c>
      <c r="E27">
        <f>IFERROR(AGGREGATE(15,6,ROW('Input Transaksi'!$B$5:$B$5000)/('Input Transaksi'!$B$5:$B$5000="JCL NUSA KAMBANGAN"),ROWS($E$5:E27)),"")</f>
        <v/>
      </c>
      <c r="F27" s="5" t="n"/>
    </row>
    <row r="28">
      <c r="A28" s="10">
        <f>IF($E28="","",INDEX('Input Transaksi'!$A:$A,$E28))</f>
        <v/>
      </c>
      <c r="B28" s="5">
        <f>IF($E28="","",INDEX('Input Transaksi'!$D:$D,$E28))</f>
        <v/>
      </c>
      <c r="C28">
        <f>IF($E28="","",INDEX('Input Transaksi'!$E:$E,$E28))</f>
        <v/>
      </c>
      <c r="D28" s="5">
        <f>IF($E28="","",INDEX('Input Transaksi'!$F:$F,$E28))</f>
        <v/>
      </c>
      <c r="E28">
        <f>IFERROR(AGGREGATE(15,6,ROW('Input Transaksi'!$B$5:$B$5000)/('Input Transaksi'!$B$5:$B$5000="JCL NUSA KAMBANGAN"),ROWS($E$5:E28)),"")</f>
        <v/>
      </c>
      <c r="F28" s="5" t="n"/>
    </row>
    <row r="29">
      <c r="A29" s="10">
        <f>IF($E29="","",INDEX('Input Transaksi'!$A:$A,$E29))</f>
        <v/>
      </c>
      <c r="B29" s="5">
        <f>IF($E29="","",INDEX('Input Transaksi'!$D:$D,$E29))</f>
        <v/>
      </c>
      <c r="C29">
        <f>IF($E29="","",INDEX('Input Transaksi'!$E:$E,$E29))</f>
        <v/>
      </c>
      <c r="D29" s="5">
        <f>IF($E29="","",INDEX('Input Transaksi'!$F:$F,$E29))</f>
        <v/>
      </c>
      <c r="E29">
        <f>IFERROR(AGGREGATE(15,6,ROW('Input Transaksi'!$B$5:$B$5000)/('Input Transaksi'!$B$5:$B$5000="JCL NUSA KAMBANGAN"),ROWS($E$5:E29)),"")</f>
        <v/>
      </c>
      <c r="F29" s="5" t="n"/>
    </row>
    <row r="30">
      <c r="A30" s="10">
        <f>IF($E30="","",INDEX('Input Transaksi'!$A:$A,$E30))</f>
        <v/>
      </c>
      <c r="B30" s="5">
        <f>IF($E30="","",INDEX('Input Transaksi'!$D:$D,$E30))</f>
        <v/>
      </c>
      <c r="C30">
        <f>IF($E30="","",INDEX('Input Transaksi'!$E:$E,$E30))</f>
        <v/>
      </c>
      <c r="D30" s="5">
        <f>IF($E30="","",INDEX('Input Transaksi'!$F:$F,$E30))</f>
        <v/>
      </c>
      <c r="E30">
        <f>IFERROR(AGGREGATE(15,6,ROW('Input Transaksi'!$B$5:$B$5000)/('Input Transaksi'!$B$5:$B$5000="JCL NUSA KAMBANGAN"),ROWS($E$5:E30)),"")</f>
        <v/>
      </c>
      <c r="F30" s="5" t="n"/>
    </row>
    <row r="31">
      <c r="A31" s="10">
        <f>IF($E31="","",INDEX('Input Transaksi'!$A:$A,$E31))</f>
        <v/>
      </c>
      <c r="B31" s="5">
        <f>IF($E31="","",INDEX('Input Transaksi'!$D:$D,$E31))</f>
        <v/>
      </c>
      <c r="C31">
        <f>IF($E31="","",INDEX('Input Transaksi'!$E:$E,$E31))</f>
        <v/>
      </c>
      <c r="D31" s="5">
        <f>IF($E31="","",INDEX('Input Transaksi'!$F:$F,$E31))</f>
        <v/>
      </c>
      <c r="E31">
        <f>IFERROR(AGGREGATE(15,6,ROW('Input Transaksi'!$B$5:$B$5000)/('Input Transaksi'!$B$5:$B$5000="JCL NUSA KAMBANGAN"),ROWS($E$5:E31)),"")</f>
        <v/>
      </c>
      <c r="F31" s="5" t="n"/>
    </row>
    <row r="32">
      <c r="A32" s="10">
        <f>IF($E32="","",INDEX('Input Transaksi'!$A:$A,$E32))</f>
        <v/>
      </c>
      <c r="B32" s="5">
        <f>IF($E32="","",INDEX('Input Transaksi'!$D:$D,$E32))</f>
        <v/>
      </c>
      <c r="C32">
        <f>IF($E32="","",INDEX('Input Transaksi'!$E:$E,$E32))</f>
        <v/>
      </c>
      <c r="D32" s="5">
        <f>IF($E32="","",INDEX('Input Transaksi'!$F:$F,$E32))</f>
        <v/>
      </c>
      <c r="E32">
        <f>IFERROR(AGGREGATE(15,6,ROW('Input Transaksi'!$B$5:$B$5000)/('Input Transaksi'!$B$5:$B$5000="JCL NUSA KAMBANGAN"),ROWS($E$5:E32)),"")</f>
        <v/>
      </c>
      <c r="F32" s="5" t="n"/>
    </row>
    <row r="33">
      <c r="A33" s="10">
        <f>IF($E33="","",INDEX('Input Transaksi'!$A:$A,$E33))</f>
        <v/>
      </c>
      <c r="B33" s="5">
        <f>IF($E33="","",INDEX('Input Transaksi'!$D:$D,$E33))</f>
        <v/>
      </c>
      <c r="C33">
        <f>IF($E33="","",INDEX('Input Transaksi'!$E:$E,$E33))</f>
        <v/>
      </c>
      <c r="D33" s="5">
        <f>IF($E33="","",INDEX('Input Transaksi'!$F:$F,$E33))</f>
        <v/>
      </c>
      <c r="E33">
        <f>IFERROR(AGGREGATE(15,6,ROW('Input Transaksi'!$B$5:$B$5000)/('Input Transaksi'!$B$5:$B$5000="JCL NUSA KAMBANGAN"),ROWS($E$5:E33)),"")</f>
        <v/>
      </c>
      <c r="F33" s="5" t="n"/>
    </row>
    <row r="34">
      <c r="A34" s="10">
        <f>IF($E34="","",INDEX('Input Transaksi'!$A:$A,$E34))</f>
        <v/>
      </c>
      <c r="B34" s="5">
        <f>IF($E34="","",INDEX('Input Transaksi'!$D:$D,$E34))</f>
        <v/>
      </c>
      <c r="C34">
        <f>IF($E34="","",INDEX('Input Transaksi'!$E:$E,$E34))</f>
        <v/>
      </c>
      <c r="D34" s="5">
        <f>IF($E34="","",INDEX('Input Transaksi'!$F:$F,$E34))</f>
        <v/>
      </c>
      <c r="E34">
        <f>IFERROR(AGGREGATE(15,6,ROW('Input Transaksi'!$B$5:$B$5000)/('Input Transaksi'!$B$5:$B$5000="JCL NUSA KAMBANGAN"),ROWS($E$5:E34)),"")</f>
        <v/>
      </c>
      <c r="F34" s="5" t="n"/>
    </row>
    <row r="35">
      <c r="A35" s="10">
        <f>IF($E35="","",INDEX('Input Transaksi'!$A:$A,$E35))</f>
        <v/>
      </c>
      <c r="B35" s="5">
        <f>IF($E35="","",INDEX('Input Transaksi'!$D:$D,$E35))</f>
        <v/>
      </c>
      <c r="C35">
        <f>IF($E35="","",INDEX('Input Transaksi'!$E:$E,$E35))</f>
        <v/>
      </c>
      <c r="D35" s="5">
        <f>IF($E35="","",INDEX('Input Transaksi'!$F:$F,$E35))</f>
        <v/>
      </c>
      <c r="E35">
        <f>IFERROR(AGGREGATE(15,6,ROW('Input Transaksi'!$B$5:$B$5000)/('Input Transaksi'!$B$5:$B$5000="JCL NUSA KAMBANGAN"),ROWS($E$5:E35)),"")</f>
        <v/>
      </c>
      <c r="F35" s="5" t="n"/>
    </row>
    <row r="36">
      <c r="A36" s="10">
        <f>IF($E36="","",INDEX('Input Transaksi'!$A:$A,$E36))</f>
        <v/>
      </c>
      <c r="B36" s="5">
        <f>IF($E36="","",INDEX('Input Transaksi'!$D:$D,$E36))</f>
        <v/>
      </c>
      <c r="C36">
        <f>IF($E36="","",INDEX('Input Transaksi'!$E:$E,$E36))</f>
        <v/>
      </c>
      <c r="D36" s="5">
        <f>IF($E36="","",INDEX('Input Transaksi'!$F:$F,$E36))</f>
        <v/>
      </c>
      <c r="E36">
        <f>IFERROR(AGGREGATE(15,6,ROW('Input Transaksi'!$B$5:$B$5000)/('Input Transaksi'!$B$5:$B$5000="JCL NUSA KAMBANGAN"),ROWS($E$5:E36)),"")</f>
        <v/>
      </c>
      <c r="F36" s="5" t="n"/>
    </row>
    <row r="37">
      <c r="A37" s="10">
        <f>IF($E37="","",INDEX('Input Transaksi'!$A:$A,$E37))</f>
        <v/>
      </c>
      <c r="B37" s="5">
        <f>IF($E37="","",INDEX('Input Transaksi'!$D:$D,$E37))</f>
        <v/>
      </c>
      <c r="C37">
        <f>IF($E37="","",INDEX('Input Transaksi'!$E:$E,$E37))</f>
        <v/>
      </c>
      <c r="D37" s="5">
        <f>IF($E37="","",INDEX('Input Transaksi'!$F:$F,$E37))</f>
        <v/>
      </c>
      <c r="E37">
        <f>IFERROR(AGGREGATE(15,6,ROW('Input Transaksi'!$B$5:$B$5000)/('Input Transaksi'!$B$5:$B$5000="JCL NUSA KAMBANGAN"),ROWS($E$5:E37)),"")</f>
        <v/>
      </c>
      <c r="F37" s="5" t="n"/>
    </row>
    <row r="38">
      <c r="A38" s="10">
        <f>IF($E38="","",INDEX('Input Transaksi'!$A:$A,$E38))</f>
        <v/>
      </c>
      <c r="B38" s="5">
        <f>IF($E38="","",INDEX('Input Transaksi'!$D:$D,$E38))</f>
        <v/>
      </c>
      <c r="C38">
        <f>IF($E38="","",INDEX('Input Transaksi'!$E:$E,$E38))</f>
        <v/>
      </c>
      <c r="D38" s="5">
        <f>IF($E38="","",INDEX('Input Transaksi'!$F:$F,$E38))</f>
        <v/>
      </c>
      <c r="E38">
        <f>IFERROR(AGGREGATE(15,6,ROW('Input Transaksi'!$B$5:$B$5000)/('Input Transaksi'!$B$5:$B$5000="JCL NUSA KAMBANGAN"),ROWS($E$5:E38)),"")</f>
        <v/>
      </c>
      <c r="F38" s="5" t="n"/>
    </row>
    <row r="39">
      <c r="A39" s="10">
        <f>IF($E39="","",INDEX('Input Transaksi'!$A:$A,$E39))</f>
        <v/>
      </c>
      <c r="B39" s="5">
        <f>IF($E39="","",INDEX('Input Transaksi'!$D:$D,$E39))</f>
        <v/>
      </c>
      <c r="C39">
        <f>IF($E39="","",INDEX('Input Transaksi'!$E:$E,$E39))</f>
        <v/>
      </c>
      <c r="D39" s="5">
        <f>IF($E39="","",INDEX('Input Transaksi'!$F:$F,$E39))</f>
        <v/>
      </c>
      <c r="E39">
        <f>IFERROR(AGGREGATE(15,6,ROW('Input Transaksi'!$B$5:$B$5000)/('Input Transaksi'!$B$5:$B$5000="JCL NUSA KAMBANGAN"),ROWS($E$5:E39)),"")</f>
        <v/>
      </c>
      <c r="F39" s="5" t="n"/>
    </row>
    <row r="40">
      <c r="A40" s="10">
        <f>IF($E40="","",INDEX('Input Transaksi'!$A:$A,$E40))</f>
        <v/>
      </c>
      <c r="B40" s="5">
        <f>IF($E40="","",INDEX('Input Transaksi'!$D:$D,$E40))</f>
        <v/>
      </c>
      <c r="C40">
        <f>IF($E40="","",INDEX('Input Transaksi'!$E:$E,$E40))</f>
        <v/>
      </c>
      <c r="D40" s="5">
        <f>IF($E40="","",INDEX('Input Transaksi'!$F:$F,$E40))</f>
        <v/>
      </c>
      <c r="E40">
        <f>IFERROR(AGGREGATE(15,6,ROW('Input Transaksi'!$B$5:$B$5000)/('Input Transaksi'!$B$5:$B$5000="JCL NUSA KAMBANGAN"),ROWS($E$5:E40)),"")</f>
        <v/>
      </c>
      <c r="F40" s="5" t="n"/>
    </row>
    <row r="41">
      <c r="A41" s="10">
        <f>IF($E41="","",INDEX('Input Transaksi'!$A:$A,$E41))</f>
        <v/>
      </c>
      <c r="B41" s="5">
        <f>IF($E41="","",INDEX('Input Transaksi'!$D:$D,$E41))</f>
        <v/>
      </c>
      <c r="C41">
        <f>IF($E41="","",INDEX('Input Transaksi'!$E:$E,$E41))</f>
        <v/>
      </c>
      <c r="D41" s="5">
        <f>IF($E41="","",INDEX('Input Transaksi'!$F:$F,$E41))</f>
        <v/>
      </c>
      <c r="E41">
        <f>IFERROR(AGGREGATE(15,6,ROW('Input Transaksi'!$B$5:$B$5000)/('Input Transaksi'!$B$5:$B$5000="JCL NUSA KAMBANGAN"),ROWS($E$5:E41)),"")</f>
        <v/>
      </c>
      <c r="F41" s="5" t="n"/>
    </row>
    <row r="42">
      <c r="A42" s="10">
        <f>IF($E42="","",INDEX('Input Transaksi'!$A:$A,$E42))</f>
        <v/>
      </c>
      <c r="B42" s="5">
        <f>IF($E42="","",INDEX('Input Transaksi'!$D:$D,$E42))</f>
        <v/>
      </c>
      <c r="C42">
        <f>IF($E42="","",INDEX('Input Transaksi'!$E:$E,$E42))</f>
        <v/>
      </c>
      <c r="D42" s="5">
        <f>IF($E42="","",INDEX('Input Transaksi'!$F:$F,$E42))</f>
        <v/>
      </c>
      <c r="E42">
        <f>IFERROR(AGGREGATE(15,6,ROW('Input Transaksi'!$B$5:$B$5000)/('Input Transaksi'!$B$5:$B$5000="JCL NUSA KAMBANGAN"),ROWS($E$5:E42)),"")</f>
        <v/>
      </c>
      <c r="F42" s="5" t="n"/>
    </row>
    <row r="43">
      <c r="A43" s="10">
        <f>IF($E43="","",INDEX('Input Transaksi'!$A:$A,$E43))</f>
        <v/>
      </c>
      <c r="B43" s="5">
        <f>IF($E43="","",INDEX('Input Transaksi'!$D:$D,$E43))</f>
        <v/>
      </c>
      <c r="C43">
        <f>IF($E43="","",INDEX('Input Transaksi'!$E:$E,$E43))</f>
        <v/>
      </c>
      <c r="D43" s="5">
        <f>IF($E43="","",INDEX('Input Transaksi'!$F:$F,$E43))</f>
        <v/>
      </c>
      <c r="E43">
        <f>IFERROR(AGGREGATE(15,6,ROW('Input Transaksi'!$B$5:$B$5000)/('Input Transaksi'!$B$5:$B$5000="JCL NUSA KAMBANGAN"),ROWS($E$5:E43)),"")</f>
        <v/>
      </c>
      <c r="F43" s="5" t="n"/>
    </row>
    <row r="44">
      <c r="A44" s="10">
        <f>IF($E44="","",INDEX('Input Transaksi'!$A:$A,$E44))</f>
        <v/>
      </c>
      <c r="B44" s="5">
        <f>IF($E44="","",INDEX('Input Transaksi'!$D:$D,$E44))</f>
        <v/>
      </c>
      <c r="C44">
        <f>IF($E44="","",INDEX('Input Transaksi'!$E:$E,$E44))</f>
        <v/>
      </c>
      <c r="D44" s="5">
        <f>IF($E44="","",INDEX('Input Transaksi'!$F:$F,$E44))</f>
        <v/>
      </c>
      <c r="E44">
        <f>IFERROR(AGGREGATE(15,6,ROW('Input Transaksi'!$B$5:$B$5000)/('Input Transaksi'!$B$5:$B$5000="JCL NUSA KAMBANGAN"),ROWS($E$5:E44)),"")</f>
        <v/>
      </c>
      <c r="F44" s="5" t="n"/>
    </row>
    <row r="45">
      <c r="A45" s="10">
        <f>IF($E45="","",INDEX('Input Transaksi'!$A:$A,$E45))</f>
        <v/>
      </c>
      <c r="B45" s="5">
        <f>IF($E45="","",INDEX('Input Transaksi'!$D:$D,$E45))</f>
        <v/>
      </c>
      <c r="C45">
        <f>IF($E45="","",INDEX('Input Transaksi'!$E:$E,$E45))</f>
        <v/>
      </c>
      <c r="D45" s="5">
        <f>IF($E45="","",INDEX('Input Transaksi'!$F:$F,$E45))</f>
        <v/>
      </c>
      <c r="E45">
        <f>IFERROR(AGGREGATE(15,6,ROW('Input Transaksi'!$B$5:$B$5000)/('Input Transaksi'!$B$5:$B$5000="JCL NUSA KAMBANGAN"),ROWS($E$5:E45)),"")</f>
        <v/>
      </c>
      <c r="F45" s="5" t="n"/>
    </row>
    <row r="46">
      <c r="A46" s="10">
        <f>IF($E46="","",INDEX('Input Transaksi'!$A:$A,$E46))</f>
        <v/>
      </c>
      <c r="B46" s="5">
        <f>IF($E46="","",INDEX('Input Transaksi'!$D:$D,$E46))</f>
        <v/>
      </c>
      <c r="C46">
        <f>IF($E46="","",INDEX('Input Transaksi'!$E:$E,$E46))</f>
        <v/>
      </c>
      <c r="D46" s="5">
        <f>IF($E46="","",INDEX('Input Transaksi'!$F:$F,$E46))</f>
        <v/>
      </c>
      <c r="E46">
        <f>IFERROR(AGGREGATE(15,6,ROW('Input Transaksi'!$B$5:$B$5000)/('Input Transaksi'!$B$5:$B$5000="JCL NUSA KAMBANGAN"),ROWS($E$5:E46)),"")</f>
        <v/>
      </c>
      <c r="F46" s="5" t="n"/>
    </row>
    <row r="47">
      <c r="A47" s="10">
        <f>IF($E47="","",INDEX('Input Transaksi'!$A:$A,$E47))</f>
        <v/>
      </c>
      <c r="B47" s="5">
        <f>IF($E47="","",INDEX('Input Transaksi'!$D:$D,$E47))</f>
        <v/>
      </c>
      <c r="C47">
        <f>IF($E47="","",INDEX('Input Transaksi'!$E:$E,$E47))</f>
        <v/>
      </c>
      <c r="D47" s="5">
        <f>IF($E47="","",INDEX('Input Transaksi'!$F:$F,$E47))</f>
        <v/>
      </c>
      <c r="E47">
        <f>IFERROR(AGGREGATE(15,6,ROW('Input Transaksi'!$B$5:$B$5000)/('Input Transaksi'!$B$5:$B$5000="JCL NUSA KAMBANGAN"),ROWS($E$5:E47)),"")</f>
        <v/>
      </c>
      <c r="F47" s="5" t="n"/>
    </row>
    <row r="48">
      <c r="A48" s="10">
        <f>IF($E48="","",INDEX('Input Transaksi'!$A:$A,$E48))</f>
        <v/>
      </c>
      <c r="B48" s="5">
        <f>IF($E48="","",INDEX('Input Transaksi'!$D:$D,$E48))</f>
        <v/>
      </c>
      <c r="C48">
        <f>IF($E48="","",INDEX('Input Transaksi'!$E:$E,$E48))</f>
        <v/>
      </c>
      <c r="D48" s="5">
        <f>IF($E48="","",INDEX('Input Transaksi'!$F:$F,$E48))</f>
        <v/>
      </c>
      <c r="E48">
        <f>IFERROR(AGGREGATE(15,6,ROW('Input Transaksi'!$B$5:$B$5000)/('Input Transaksi'!$B$5:$B$5000="JCL NUSA KAMBANGAN"),ROWS($E$5:E48)),"")</f>
        <v/>
      </c>
      <c r="F48" s="5" t="n"/>
    </row>
    <row r="49">
      <c r="A49" s="10">
        <f>IF($E49="","",INDEX('Input Transaksi'!$A:$A,$E49))</f>
        <v/>
      </c>
      <c r="B49" s="5">
        <f>IF($E49="","",INDEX('Input Transaksi'!$D:$D,$E49))</f>
        <v/>
      </c>
      <c r="C49">
        <f>IF($E49="","",INDEX('Input Transaksi'!$E:$E,$E49))</f>
        <v/>
      </c>
      <c r="D49" s="5">
        <f>IF($E49="","",INDEX('Input Transaksi'!$F:$F,$E49))</f>
        <v/>
      </c>
      <c r="E49">
        <f>IFERROR(AGGREGATE(15,6,ROW('Input Transaksi'!$B$5:$B$5000)/('Input Transaksi'!$B$5:$B$5000="JCL NUSA KAMBANGAN"),ROWS($E$5:E49)),"")</f>
        <v/>
      </c>
      <c r="F49" s="5" t="n"/>
    </row>
    <row r="50">
      <c r="A50" s="10">
        <f>IF($E50="","",INDEX('Input Transaksi'!$A:$A,$E50))</f>
        <v/>
      </c>
      <c r="B50" s="5">
        <f>IF($E50="","",INDEX('Input Transaksi'!$D:$D,$E50))</f>
        <v/>
      </c>
      <c r="C50">
        <f>IF($E50="","",INDEX('Input Transaksi'!$E:$E,$E50))</f>
        <v/>
      </c>
      <c r="D50" s="5">
        <f>IF($E50="","",INDEX('Input Transaksi'!$F:$F,$E50))</f>
        <v/>
      </c>
      <c r="E50">
        <f>IFERROR(AGGREGATE(15,6,ROW('Input Transaksi'!$B$5:$B$5000)/('Input Transaksi'!$B$5:$B$5000="JCL NUSA KAMBANGAN"),ROWS($E$5:E50)),"")</f>
        <v/>
      </c>
      <c r="F50" s="5" t="n"/>
    </row>
    <row r="51">
      <c r="A51" s="10">
        <f>IF($E51="","",INDEX('Input Transaksi'!$A:$A,$E51))</f>
        <v/>
      </c>
      <c r="B51" s="5">
        <f>IF($E51="","",INDEX('Input Transaksi'!$D:$D,$E51))</f>
        <v/>
      </c>
      <c r="C51">
        <f>IF($E51="","",INDEX('Input Transaksi'!$E:$E,$E51))</f>
        <v/>
      </c>
      <c r="D51" s="5">
        <f>IF($E51="","",INDEX('Input Transaksi'!$F:$F,$E51))</f>
        <v/>
      </c>
      <c r="E51">
        <f>IFERROR(AGGREGATE(15,6,ROW('Input Transaksi'!$B$5:$B$5000)/('Input Transaksi'!$B$5:$B$5000="JCL NUSA KAMBANGAN"),ROWS($E$5:E51)),"")</f>
        <v/>
      </c>
      <c r="F51" s="5" t="n"/>
    </row>
    <row r="52">
      <c r="A52" s="10">
        <f>IF($E52="","",INDEX('Input Transaksi'!$A:$A,$E52))</f>
        <v/>
      </c>
      <c r="B52" s="5">
        <f>IF($E52="","",INDEX('Input Transaksi'!$D:$D,$E52))</f>
        <v/>
      </c>
      <c r="C52">
        <f>IF($E52="","",INDEX('Input Transaksi'!$E:$E,$E52))</f>
        <v/>
      </c>
      <c r="D52" s="5">
        <f>IF($E52="","",INDEX('Input Transaksi'!$F:$F,$E52))</f>
        <v/>
      </c>
      <c r="E52">
        <f>IFERROR(AGGREGATE(15,6,ROW('Input Transaksi'!$B$5:$B$5000)/('Input Transaksi'!$B$5:$B$5000="JCL NUSA KAMBANGAN"),ROWS($E$5:E52)),"")</f>
        <v/>
      </c>
      <c r="F52" s="5" t="n"/>
    </row>
    <row r="53">
      <c r="A53" s="10">
        <f>IF($E53="","",INDEX('Input Transaksi'!$A:$A,$E53))</f>
        <v/>
      </c>
      <c r="B53" s="5">
        <f>IF($E53="","",INDEX('Input Transaksi'!$D:$D,$E53))</f>
        <v/>
      </c>
      <c r="C53">
        <f>IF($E53="","",INDEX('Input Transaksi'!$E:$E,$E53))</f>
        <v/>
      </c>
      <c r="D53" s="5">
        <f>IF($E53="","",INDEX('Input Transaksi'!$F:$F,$E53))</f>
        <v/>
      </c>
      <c r="E53">
        <f>IFERROR(AGGREGATE(15,6,ROW('Input Transaksi'!$B$5:$B$5000)/('Input Transaksi'!$B$5:$B$5000="JCL NUSA KAMBANGAN"),ROWS($E$5:E53)),"")</f>
        <v/>
      </c>
      <c r="F53" s="5" t="n"/>
    </row>
    <row r="54">
      <c r="A54" s="10">
        <f>IF($E54="","",INDEX('Input Transaksi'!$A:$A,$E54))</f>
        <v/>
      </c>
      <c r="B54" s="5">
        <f>IF($E54="","",INDEX('Input Transaksi'!$D:$D,$E54))</f>
        <v/>
      </c>
      <c r="C54">
        <f>IF($E54="","",INDEX('Input Transaksi'!$E:$E,$E54))</f>
        <v/>
      </c>
      <c r="D54" s="5">
        <f>IF($E54="","",INDEX('Input Transaksi'!$F:$F,$E54))</f>
        <v/>
      </c>
      <c r="E54">
        <f>IFERROR(AGGREGATE(15,6,ROW('Input Transaksi'!$B$5:$B$5000)/('Input Transaksi'!$B$5:$B$5000="JCL NUSA KAMBANGAN"),ROWS($E$5:E54)),"")</f>
        <v/>
      </c>
      <c r="F54" s="5" t="n"/>
    </row>
    <row r="55">
      <c r="A55" s="10">
        <f>IF($E55="","",INDEX('Input Transaksi'!$A:$A,$E55))</f>
        <v/>
      </c>
      <c r="B55" s="5">
        <f>IF($E55="","",INDEX('Input Transaksi'!$D:$D,$E55))</f>
        <v/>
      </c>
      <c r="C55">
        <f>IF($E55="","",INDEX('Input Transaksi'!$E:$E,$E55))</f>
        <v/>
      </c>
      <c r="D55" s="5">
        <f>IF($E55="","",INDEX('Input Transaksi'!$F:$F,$E55))</f>
        <v/>
      </c>
      <c r="E55">
        <f>IFERROR(AGGREGATE(15,6,ROW('Input Transaksi'!$B$5:$B$5000)/('Input Transaksi'!$B$5:$B$5000="JCL NUSA KAMBANGAN"),ROWS($E$5:E55)),"")</f>
        <v/>
      </c>
      <c r="F55" s="5" t="n"/>
    </row>
    <row r="56">
      <c r="A56" s="10">
        <f>IF($E56="","",INDEX('Input Transaksi'!$A:$A,$E56))</f>
        <v/>
      </c>
      <c r="B56" s="5">
        <f>IF($E56="","",INDEX('Input Transaksi'!$D:$D,$E56))</f>
        <v/>
      </c>
      <c r="C56">
        <f>IF($E56="","",INDEX('Input Transaksi'!$E:$E,$E56))</f>
        <v/>
      </c>
      <c r="D56" s="5">
        <f>IF($E56="","",INDEX('Input Transaksi'!$F:$F,$E56))</f>
        <v/>
      </c>
      <c r="E56">
        <f>IFERROR(AGGREGATE(15,6,ROW('Input Transaksi'!$B$5:$B$5000)/('Input Transaksi'!$B$5:$B$5000="JCL NUSA KAMBANGAN"),ROWS($E$5:E56)),"")</f>
        <v/>
      </c>
      <c r="F56" s="5" t="n"/>
    </row>
    <row r="57">
      <c r="A57" s="10">
        <f>IF($E57="","",INDEX('Input Transaksi'!$A:$A,$E57))</f>
        <v/>
      </c>
      <c r="B57" s="5">
        <f>IF($E57="","",INDEX('Input Transaksi'!$D:$D,$E57))</f>
        <v/>
      </c>
      <c r="C57">
        <f>IF($E57="","",INDEX('Input Transaksi'!$E:$E,$E57))</f>
        <v/>
      </c>
      <c r="D57" s="5">
        <f>IF($E57="","",INDEX('Input Transaksi'!$F:$F,$E57))</f>
        <v/>
      </c>
      <c r="E57">
        <f>IFERROR(AGGREGATE(15,6,ROW('Input Transaksi'!$B$5:$B$5000)/('Input Transaksi'!$B$5:$B$5000="JCL NUSA KAMBANGAN"),ROWS($E$5:E57)),"")</f>
        <v/>
      </c>
      <c r="F57" s="5" t="n"/>
    </row>
    <row r="58">
      <c r="A58" s="10">
        <f>IF($E58="","",INDEX('Input Transaksi'!$A:$A,$E58))</f>
        <v/>
      </c>
      <c r="B58" s="5">
        <f>IF($E58="","",INDEX('Input Transaksi'!$D:$D,$E58))</f>
        <v/>
      </c>
      <c r="C58">
        <f>IF($E58="","",INDEX('Input Transaksi'!$E:$E,$E58))</f>
        <v/>
      </c>
      <c r="D58" s="5">
        <f>IF($E58="","",INDEX('Input Transaksi'!$F:$F,$E58))</f>
        <v/>
      </c>
      <c r="E58">
        <f>IFERROR(AGGREGATE(15,6,ROW('Input Transaksi'!$B$5:$B$5000)/('Input Transaksi'!$B$5:$B$5000="JCL NUSA KAMBANGAN"),ROWS($E$5:E58)),"")</f>
        <v/>
      </c>
      <c r="F58" s="5" t="n"/>
    </row>
    <row r="59">
      <c r="A59" s="10">
        <f>IF($E59="","",INDEX('Input Transaksi'!$A:$A,$E59))</f>
        <v/>
      </c>
      <c r="B59" s="5">
        <f>IF($E59="","",INDEX('Input Transaksi'!$D:$D,$E59))</f>
        <v/>
      </c>
      <c r="C59">
        <f>IF($E59="","",INDEX('Input Transaksi'!$E:$E,$E59))</f>
        <v/>
      </c>
      <c r="D59" s="5">
        <f>IF($E59="","",INDEX('Input Transaksi'!$F:$F,$E59))</f>
        <v/>
      </c>
      <c r="E59">
        <f>IFERROR(AGGREGATE(15,6,ROW('Input Transaksi'!$B$5:$B$5000)/('Input Transaksi'!$B$5:$B$5000="JCL NUSA KAMBANGAN"),ROWS($E$5:E59)),"")</f>
        <v/>
      </c>
      <c r="F59" s="5" t="n"/>
    </row>
    <row r="60">
      <c r="A60" s="10">
        <f>IF($E60="","",INDEX('Input Transaksi'!$A:$A,$E60))</f>
        <v/>
      </c>
      <c r="B60" s="5">
        <f>IF($E60="","",INDEX('Input Transaksi'!$D:$D,$E60))</f>
        <v/>
      </c>
      <c r="C60">
        <f>IF($E60="","",INDEX('Input Transaksi'!$E:$E,$E60))</f>
        <v/>
      </c>
      <c r="D60" s="5">
        <f>IF($E60="","",INDEX('Input Transaksi'!$F:$F,$E60))</f>
        <v/>
      </c>
      <c r="E60">
        <f>IFERROR(AGGREGATE(15,6,ROW('Input Transaksi'!$B$5:$B$5000)/('Input Transaksi'!$B$5:$B$5000="JCL NUSA KAMBANGAN"),ROWS($E$5:E60)),"")</f>
        <v/>
      </c>
      <c r="F60" s="5" t="n"/>
    </row>
    <row r="61">
      <c r="A61" s="10">
        <f>IF($E61="","",INDEX('Input Transaksi'!$A:$A,$E61))</f>
        <v/>
      </c>
      <c r="B61" s="5">
        <f>IF($E61="","",INDEX('Input Transaksi'!$D:$D,$E61))</f>
        <v/>
      </c>
      <c r="C61">
        <f>IF($E61="","",INDEX('Input Transaksi'!$E:$E,$E61))</f>
        <v/>
      </c>
      <c r="D61" s="5">
        <f>IF($E61="","",INDEX('Input Transaksi'!$F:$F,$E61))</f>
        <v/>
      </c>
      <c r="E61">
        <f>IFERROR(AGGREGATE(15,6,ROW('Input Transaksi'!$B$5:$B$5000)/('Input Transaksi'!$B$5:$B$5000="JCL NUSA KAMBANGAN"),ROWS($E$5:E61)),"")</f>
        <v/>
      </c>
      <c r="F61" s="5" t="n"/>
    </row>
    <row r="62">
      <c r="A62" s="10">
        <f>IF($E62="","",INDEX('Input Transaksi'!$A:$A,$E62))</f>
        <v/>
      </c>
      <c r="B62" s="5">
        <f>IF($E62="","",INDEX('Input Transaksi'!$D:$D,$E62))</f>
        <v/>
      </c>
      <c r="C62">
        <f>IF($E62="","",INDEX('Input Transaksi'!$E:$E,$E62))</f>
        <v/>
      </c>
      <c r="D62" s="5">
        <f>IF($E62="","",INDEX('Input Transaksi'!$F:$F,$E62))</f>
        <v/>
      </c>
      <c r="E62">
        <f>IFERROR(AGGREGATE(15,6,ROW('Input Transaksi'!$B$5:$B$5000)/('Input Transaksi'!$B$5:$B$5000="JCL NUSA KAMBANGAN"),ROWS($E$5:E62)),"")</f>
        <v/>
      </c>
      <c r="F62" s="5" t="n"/>
    </row>
    <row r="63">
      <c r="A63" s="10">
        <f>IF($E63="","",INDEX('Input Transaksi'!$A:$A,$E63))</f>
        <v/>
      </c>
      <c r="B63" s="5">
        <f>IF($E63="","",INDEX('Input Transaksi'!$D:$D,$E63))</f>
        <v/>
      </c>
      <c r="C63">
        <f>IF($E63="","",INDEX('Input Transaksi'!$E:$E,$E63))</f>
        <v/>
      </c>
      <c r="D63" s="5">
        <f>IF($E63="","",INDEX('Input Transaksi'!$F:$F,$E63))</f>
        <v/>
      </c>
      <c r="E63">
        <f>IFERROR(AGGREGATE(15,6,ROW('Input Transaksi'!$B$5:$B$5000)/('Input Transaksi'!$B$5:$B$5000="JCL NUSA KAMBANGAN"),ROWS($E$5:E63)),"")</f>
        <v/>
      </c>
      <c r="F63" s="5" t="n"/>
    </row>
    <row r="64">
      <c r="A64" s="10">
        <f>IF($E64="","",INDEX('Input Transaksi'!$A:$A,$E64))</f>
        <v/>
      </c>
      <c r="B64" s="5">
        <f>IF($E64="","",INDEX('Input Transaksi'!$D:$D,$E64))</f>
        <v/>
      </c>
      <c r="C64">
        <f>IF($E64="","",INDEX('Input Transaksi'!$E:$E,$E64))</f>
        <v/>
      </c>
      <c r="D64" s="5">
        <f>IF($E64="","",INDEX('Input Transaksi'!$F:$F,$E64))</f>
        <v/>
      </c>
      <c r="E64">
        <f>IFERROR(AGGREGATE(15,6,ROW('Input Transaksi'!$B$5:$B$5000)/('Input Transaksi'!$B$5:$B$5000="JCL NUSA KAMBANGAN"),ROWS($E$5:E64)),"")</f>
        <v/>
      </c>
      <c r="F64" s="5" t="n"/>
    </row>
    <row r="65">
      <c r="A65" s="10">
        <f>IF($E65="","",INDEX('Input Transaksi'!$A:$A,$E65))</f>
        <v/>
      </c>
      <c r="B65" s="5">
        <f>IF($E65="","",INDEX('Input Transaksi'!$D:$D,$E65))</f>
        <v/>
      </c>
      <c r="C65">
        <f>IF($E65="","",INDEX('Input Transaksi'!$E:$E,$E65))</f>
        <v/>
      </c>
      <c r="D65" s="5">
        <f>IF($E65="","",INDEX('Input Transaksi'!$F:$F,$E65))</f>
        <v/>
      </c>
      <c r="E65">
        <f>IFERROR(AGGREGATE(15,6,ROW('Input Transaksi'!$B$5:$B$5000)/('Input Transaksi'!$B$5:$B$5000="JCL NUSA KAMBANGAN"),ROWS($E$5:E65)),"")</f>
        <v/>
      </c>
      <c r="F65" s="5" t="n"/>
    </row>
    <row r="66">
      <c r="A66" s="10">
        <f>IF($E66="","",INDEX('Input Transaksi'!$A:$A,$E66))</f>
        <v/>
      </c>
      <c r="B66" s="5">
        <f>IF($E66="","",INDEX('Input Transaksi'!$D:$D,$E66))</f>
        <v/>
      </c>
      <c r="C66">
        <f>IF($E66="","",INDEX('Input Transaksi'!$E:$E,$E66))</f>
        <v/>
      </c>
      <c r="D66" s="5">
        <f>IF($E66="","",INDEX('Input Transaksi'!$F:$F,$E66))</f>
        <v/>
      </c>
      <c r="E66">
        <f>IFERROR(AGGREGATE(15,6,ROW('Input Transaksi'!$B$5:$B$5000)/('Input Transaksi'!$B$5:$B$5000="JCL NUSA KAMBANGAN"),ROWS($E$5:E66)),"")</f>
        <v/>
      </c>
      <c r="F66" s="5" t="n"/>
    </row>
    <row r="67">
      <c r="A67" s="10">
        <f>IF($E67="","",INDEX('Input Transaksi'!$A:$A,$E67))</f>
        <v/>
      </c>
      <c r="B67" s="5">
        <f>IF($E67="","",INDEX('Input Transaksi'!$D:$D,$E67))</f>
        <v/>
      </c>
      <c r="C67">
        <f>IF($E67="","",INDEX('Input Transaksi'!$E:$E,$E67))</f>
        <v/>
      </c>
      <c r="D67" s="5">
        <f>IF($E67="","",INDEX('Input Transaksi'!$F:$F,$E67))</f>
        <v/>
      </c>
      <c r="E67">
        <f>IFERROR(AGGREGATE(15,6,ROW('Input Transaksi'!$B$5:$B$5000)/('Input Transaksi'!$B$5:$B$5000="JCL NUSA KAMBANGAN"),ROWS($E$5:E67)),"")</f>
        <v/>
      </c>
      <c r="F67" s="5" t="n"/>
    </row>
    <row r="68">
      <c r="A68" s="10">
        <f>IF($E68="","",INDEX('Input Transaksi'!$A:$A,$E68))</f>
        <v/>
      </c>
      <c r="B68" s="5">
        <f>IF($E68="","",INDEX('Input Transaksi'!$D:$D,$E68))</f>
        <v/>
      </c>
      <c r="C68">
        <f>IF($E68="","",INDEX('Input Transaksi'!$E:$E,$E68))</f>
        <v/>
      </c>
      <c r="D68" s="5">
        <f>IF($E68="","",INDEX('Input Transaksi'!$F:$F,$E68))</f>
        <v/>
      </c>
      <c r="E68">
        <f>IFERROR(AGGREGATE(15,6,ROW('Input Transaksi'!$B$5:$B$5000)/('Input Transaksi'!$B$5:$B$5000="JCL NUSA KAMBANGAN"),ROWS($E$5:E68)),"")</f>
        <v/>
      </c>
      <c r="F68" s="5" t="n"/>
    </row>
    <row r="69">
      <c r="A69" s="10">
        <f>IF($E69="","",INDEX('Input Transaksi'!$A:$A,$E69))</f>
        <v/>
      </c>
      <c r="B69" s="5">
        <f>IF($E69="","",INDEX('Input Transaksi'!$D:$D,$E69))</f>
        <v/>
      </c>
      <c r="C69">
        <f>IF($E69="","",INDEX('Input Transaksi'!$E:$E,$E69))</f>
        <v/>
      </c>
      <c r="D69" s="5">
        <f>IF($E69="","",INDEX('Input Transaksi'!$F:$F,$E69))</f>
        <v/>
      </c>
      <c r="E69">
        <f>IFERROR(AGGREGATE(15,6,ROW('Input Transaksi'!$B$5:$B$5000)/('Input Transaksi'!$B$5:$B$5000="JCL NUSA KAMBANGAN"),ROWS($E$5:E69)),"")</f>
        <v/>
      </c>
      <c r="F69" s="5" t="n"/>
    </row>
    <row r="70">
      <c r="A70" s="10">
        <f>IF($E70="","",INDEX('Input Transaksi'!$A:$A,$E70))</f>
        <v/>
      </c>
      <c r="B70" s="5">
        <f>IF($E70="","",INDEX('Input Transaksi'!$D:$D,$E70))</f>
        <v/>
      </c>
      <c r="C70">
        <f>IF($E70="","",INDEX('Input Transaksi'!$E:$E,$E70))</f>
        <v/>
      </c>
      <c r="D70" s="5">
        <f>IF($E70="","",INDEX('Input Transaksi'!$F:$F,$E70))</f>
        <v/>
      </c>
      <c r="E70">
        <f>IFERROR(AGGREGATE(15,6,ROW('Input Transaksi'!$B$5:$B$5000)/('Input Transaksi'!$B$5:$B$5000="JCL NUSA KAMBANGAN"),ROWS($E$5:E70)),"")</f>
        <v/>
      </c>
      <c r="F70" s="5" t="n"/>
    </row>
    <row r="71">
      <c r="A71" s="10">
        <f>IF($E71="","",INDEX('Input Transaksi'!$A:$A,$E71))</f>
        <v/>
      </c>
      <c r="B71" s="5">
        <f>IF($E71="","",INDEX('Input Transaksi'!$D:$D,$E71))</f>
        <v/>
      </c>
      <c r="C71">
        <f>IF($E71="","",INDEX('Input Transaksi'!$E:$E,$E71))</f>
        <v/>
      </c>
      <c r="D71" s="5">
        <f>IF($E71="","",INDEX('Input Transaksi'!$F:$F,$E71))</f>
        <v/>
      </c>
      <c r="E71">
        <f>IFERROR(AGGREGATE(15,6,ROW('Input Transaksi'!$B$5:$B$5000)/('Input Transaksi'!$B$5:$B$5000="JCL NUSA KAMBANGAN"),ROWS($E$5:E71)),"")</f>
        <v/>
      </c>
      <c r="F71" s="5" t="n"/>
    </row>
    <row r="72">
      <c r="A72" s="10">
        <f>IF($E72="","",INDEX('Input Transaksi'!$A:$A,$E72))</f>
        <v/>
      </c>
      <c r="B72" s="5">
        <f>IF($E72="","",INDEX('Input Transaksi'!$D:$D,$E72))</f>
        <v/>
      </c>
      <c r="C72">
        <f>IF($E72="","",INDEX('Input Transaksi'!$E:$E,$E72))</f>
        <v/>
      </c>
      <c r="D72" s="5">
        <f>IF($E72="","",INDEX('Input Transaksi'!$F:$F,$E72))</f>
        <v/>
      </c>
      <c r="E72">
        <f>IFERROR(AGGREGATE(15,6,ROW('Input Transaksi'!$B$5:$B$5000)/('Input Transaksi'!$B$5:$B$5000="JCL NUSA KAMBANGAN"),ROWS($E$5:E72)),"")</f>
        <v/>
      </c>
      <c r="F72" s="5" t="n"/>
    </row>
    <row r="73">
      <c r="A73" s="10">
        <f>IF($E73="","",INDEX('Input Transaksi'!$A:$A,$E73))</f>
        <v/>
      </c>
      <c r="B73" s="5">
        <f>IF($E73="","",INDEX('Input Transaksi'!$D:$D,$E73))</f>
        <v/>
      </c>
      <c r="C73">
        <f>IF($E73="","",INDEX('Input Transaksi'!$E:$E,$E73))</f>
        <v/>
      </c>
      <c r="D73" s="5">
        <f>IF($E73="","",INDEX('Input Transaksi'!$F:$F,$E73))</f>
        <v/>
      </c>
      <c r="E73">
        <f>IFERROR(AGGREGATE(15,6,ROW('Input Transaksi'!$B$5:$B$5000)/('Input Transaksi'!$B$5:$B$5000="JCL NUSA KAMBANGAN"),ROWS($E$5:E73)),"")</f>
        <v/>
      </c>
      <c r="F73" s="5" t="n"/>
    </row>
    <row r="74">
      <c r="A74" s="10">
        <f>IF($E74="","",INDEX('Input Transaksi'!$A:$A,$E74))</f>
        <v/>
      </c>
      <c r="B74" s="5">
        <f>IF($E74="","",INDEX('Input Transaksi'!$D:$D,$E74))</f>
        <v/>
      </c>
      <c r="C74">
        <f>IF($E74="","",INDEX('Input Transaksi'!$E:$E,$E74))</f>
        <v/>
      </c>
      <c r="D74" s="5">
        <f>IF($E74="","",INDEX('Input Transaksi'!$F:$F,$E74))</f>
        <v/>
      </c>
      <c r="E74">
        <f>IFERROR(AGGREGATE(15,6,ROW('Input Transaksi'!$B$5:$B$5000)/('Input Transaksi'!$B$5:$B$5000="JCL NUSA KAMBANGAN"),ROWS($E$5:E74)),"")</f>
        <v/>
      </c>
      <c r="F74" s="5" t="n"/>
    </row>
    <row r="75">
      <c r="A75" s="10">
        <f>IF($E75="","",INDEX('Input Transaksi'!$A:$A,$E75))</f>
        <v/>
      </c>
      <c r="B75" s="5">
        <f>IF($E75="","",INDEX('Input Transaksi'!$D:$D,$E75))</f>
        <v/>
      </c>
      <c r="C75">
        <f>IF($E75="","",INDEX('Input Transaksi'!$E:$E,$E75))</f>
        <v/>
      </c>
      <c r="D75" s="5">
        <f>IF($E75="","",INDEX('Input Transaksi'!$F:$F,$E75))</f>
        <v/>
      </c>
      <c r="E75">
        <f>IFERROR(AGGREGATE(15,6,ROW('Input Transaksi'!$B$5:$B$5000)/('Input Transaksi'!$B$5:$B$5000="JCL NUSA KAMBANGAN"),ROWS($E$5:E75)),"")</f>
        <v/>
      </c>
      <c r="F75" s="5" t="n"/>
    </row>
    <row r="76">
      <c r="A76" s="10">
        <f>IF($E76="","",INDEX('Input Transaksi'!$A:$A,$E76))</f>
        <v/>
      </c>
      <c r="B76" s="5">
        <f>IF($E76="","",INDEX('Input Transaksi'!$D:$D,$E76))</f>
        <v/>
      </c>
      <c r="C76">
        <f>IF($E76="","",INDEX('Input Transaksi'!$E:$E,$E76))</f>
        <v/>
      </c>
      <c r="D76" s="5">
        <f>IF($E76="","",INDEX('Input Transaksi'!$F:$F,$E76))</f>
        <v/>
      </c>
      <c r="E76">
        <f>IFERROR(AGGREGATE(15,6,ROW('Input Transaksi'!$B$5:$B$5000)/('Input Transaksi'!$B$5:$B$5000="JCL NUSA KAMBANGAN"),ROWS($E$5:E76)),"")</f>
        <v/>
      </c>
      <c r="F76" s="5" t="n"/>
    </row>
    <row r="77">
      <c r="A77" s="10">
        <f>IF($E77="","",INDEX('Input Transaksi'!$A:$A,$E77))</f>
        <v/>
      </c>
      <c r="B77" s="5">
        <f>IF($E77="","",INDEX('Input Transaksi'!$D:$D,$E77))</f>
        <v/>
      </c>
      <c r="C77">
        <f>IF($E77="","",INDEX('Input Transaksi'!$E:$E,$E77))</f>
        <v/>
      </c>
      <c r="D77" s="5">
        <f>IF($E77="","",INDEX('Input Transaksi'!$F:$F,$E77))</f>
        <v/>
      </c>
      <c r="E77">
        <f>IFERROR(AGGREGATE(15,6,ROW('Input Transaksi'!$B$5:$B$5000)/('Input Transaksi'!$B$5:$B$5000="JCL NUSA KAMBANGAN"),ROWS($E$5:E77)),"")</f>
        <v/>
      </c>
      <c r="F77" s="5" t="n"/>
    </row>
    <row r="78">
      <c r="A78" s="10">
        <f>IF($E78="","",INDEX('Input Transaksi'!$A:$A,$E78))</f>
        <v/>
      </c>
      <c r="B78" s="5">
        <f>IF($E78="","",INDEX('Input Transaksi'!$D:$D,$E78))</f>
        <v/>
      </c>
      <c r="C78">
        <f>IF($E78="","",INDEX('Input Transaksi'!$E:$E,$E78))</f>
        <v/>
      </c>
      <c r="D78" s="5">
        <f>IF($E78="","",INDEX('Input Transaksi'!$F:$F,$E78))</f>
        <v/>
      </c>
      <c r="E78">
        <f>IFERROR(AGGREGATE(15,6,ROW('Input Transaksi'!$B$5:$B$5000)/('Input Transaksi'!$B$5:$B$5000="JCL NUSA KAMBANGAN"),ROWS($E$5:E78)),"")</f>
        <v/>
      </c>
      <c r="F78" s="5" t="n"/>
    </row>
    <row r="79">
      <c r="A79" s="10">
        <f>IF($E79="","",INDEX('Input Transaksi'!$A:$A,$E79))</f>
        <v/>
      </c>
      <c r="B79" s="5">
        <f>IF($E79="","",INDEX('Input Transaksi'!$D:$D,$E79))</f>
        <v/>
      </c>
      <c r="C79">
        <f>IF($E79="","",INDEX('Input Transaksi'!$E:$E,$E79))</f>
        <v/>
      </c>
      <c r="D79" s="5">
        <f>IF($E79="","",INDEX('Input Transaksi'!$F:$F,$E79))</f>
        <v/>
      </c>
      <c r="E79">
        <f>IFERROR(AGGREGATE(15,6,ROW('Input Transaksi'!$B$5:$B$5000)/('Input Transaksi'!$B$5:$B$5000="JCL NUSA KAMBANGAN"),ROWS($E$5:E79)),"")</f>
        <v/>
      </c>
      <c r="F79" s="5" t="n"/>
    </row>
    <row r="80">
      <c r="A80" s="10">
        <f>IF($E80="","",INDEX('Input Transaksi'!$A:$A,$E80))</f>
        <v/>
      </c>
      <c r="B80" s="5">
        <f>IF($E80="","",INDEX('Input Transaksi'!$D:$D,$E80))</f>
        <v/>
      </c>
      <c r="C80">
        <f>IF($E80="","",INDEX('Input Transaksi'!$E:$E,$E80))</f>
        <v/>
      </c>
      <c r="D80" s="5">
        <f>IF($E80="","",INDEX('Input Transaksi'!$F:$F,$E80))</f>
        <v/>
      </c>
      <c r="E80">
        <f>IFERROR(AGGREGATE(15,6,ROW('Input Transaksi'!$B$5:$B$5000)/('Input Transaksi'!$B$5:$B$5000="JCL NUSA KAMBANGAN"),ROWS($E$5:E80)),"")</f>
        <v/>
      </c>
      <c r="F80" s="5" t="n"/>
    </row>
    <row r="81">
      <c r="A81" s="10">
        <f>IF($E81="","",INDEX('Input Transaksi'!$A:$A,$E81))</f>
        <v/>
      </c>
      <c r="B81" s="5">
        <f>IF($E81="","",INDEX('Input Transaksi'!$D:$D,$E81))</f>
        <v/>
      </c>
      <c r="C81">
        <f>IF($E81="","",INDEX('Input Transaksi'!$E:$E,$E81))</f>
        <v/>
      </c>
      <c r="D81" s="5">
        <f>IF($E81="","",INDEX('Input Transaksi'!$F:$F,$E81))</f>
        <v/>
      </c>
      <c r="E81">
        <f>IFERROR(AGGREGATE(15,6,ROW('Input Transaksi'!$B$5:$B$5000)/('Input Transaksi'!$B$5:$B$5000="JCL NUSA KAMBANGAN"),ROWS($E$5:E81)),"")</f>
        <v/>
      </c>
      <c r="F81" s="5" t="n"/>
    </row>
    <row r="82">
      <c r="A82" s="10">
        <f>IF($E82="","",INDEX('Input Transaksi'!$A:$A,$E82))</f>
        <v/>
      </c>
      <c r="B82" s="5">
        <f>IF($E82="","",INDEX('Input Transaksi'!$D:$D,$E82))</f>
        <v/>
      </c>
      <c r="C82">
        <f>IF($E82="","",INDEX('Input Transaksi'!$E:$E,$E82))</f>
        <v/>
      </c>
      <c r="D82" s="5">
        <f>IF($E82="","",INDEX('Input Transaksi'!$F:$F,$E82))</f>
        <v/>
      </c>
      <c r="E82">
        <f>IFERROR(AGGREGATE(15,6,ROW('Input Transaksi'!$B$5:$B$5000)/('Input Transaksi'!$B$5:$B$5000="JCL NUSA KAMBANGAN"),ROWS($E$5:E82)),"")</f>
        <v/>
      </c>
      <c r="F82" s="5" t="n"/>
    </row>
    <row r="83">
      <c r="A83" s="10">
        <f>IF($E83="","",INDEX('Input Transaksi'!$A:$A,$E83))</f>
        <v/>
      </c>
      <c r="B83" s="5">
        <f>IF($E83="","",INDEX('Input Transaksi'!$D:$D,$E83))</f>
        <v/>
      </c>
      <c r="C83">
        <f>IF($E83="","",INDEX('Input Transaksi'!$E:$E,$E83))</f>
        <v/>
      </c>
      <c r="D83" s="5">
        <f>IF($E83="","",INDEX('Input Transaksi'!$F:$F,$E83))</f>
        <v/>
      </c>
      <c r="E83">
        <f>IFERROR(AGGREGATE(15,6,ROW('Input Transaksi'!$B$5:$B$5000)/('Input Transaksi'!$B$5:$B$5000="JCL NUSA KAMBANGAN"),ROWS($E$5:E83)),"")</f>
        <v/>
      </c>
      <c r="F83" s="5" t="n"/>
    </row>
    <row r="84">
      <c r="A84" s="10">
        <f>IF($E84="","",INDEX('Input Transaksi'!$A:$A,$E84))</f>
        <v/>
      </c>
      <c r="B84" s="5">
        <f>IF($E84="","",INDEX('Input Transaksi'!$D:$D,$E84))</f>
        <v/>
      </c>
      <c r="C84">
        <f>IF($E84="","",INDEX('Input Transaksi'!$E:$E,$E84))</f>
        <v/>
      </c>
      <c r="D84" s="5">
        <f>IF($E84="","",INDEX('Input Transaksi'!$F:$F,$E84))</f>
        <v/>
      </c>
      <c r="E84">
        <f>IFERROR(AGGREGATE(15,6,ROW('Input Transaksi'!$B$5:$B$5000)/('Input Transaksi'!$B$5:$B$5000="JCL NUSA KAMBANGAN"),ROWS($E$5:E84)),"")</f>
        <v/>
      </c>
      <c r="F84" s="5" t="n"/>
    </row>
    <row r="85">
      <c r="A85" s="10">
        <f>IF($E85="","",INDEX('Input Transaksi'!$A:$A,$E85))</f>
        <v/>
      </c>
      <c r="B85" s="5">
        <f>IF($E85="","",INDEX('Input Transaksi'!$D:$D,$E85))</f>
        <v/>
      </c>
      <c r="C85">
        <f>IF($E85="","",INDEX('Input Transaksi'!$E:$E,$E85))</f>
        <v/>
      </c>
      <c r="D85" s="5">
        <f>IF($E85="","",INDEX('Input Transaksi'!$F:$F,$E85))</f>
        <v/>
      </c>
      <c r="E85">
        <f>IFERROR(AGGREGATE(15,6,ROW('Input Transaksi'!$B$5:$B$5000)/('Input Transaksi'!$B$5:$B$5000="JCL NUSA KAMBANGAN"),ROWS($E$5:E85)),"")</f>
        <v/>
      </c>
      <c r="F85" s="5" t="n"/>
    </row>
    <row r="86">
      <c r="A86" s="10">
        <f>IF($E86="","",INDEX('Input Transaksi'!$A:$A,$E86))</f>
        <v/>
      </c>
      <c r="B86" s="5">
        <f>IF($E86="","",INDEX('Input Transaksi'!$D:$D,$E86))</f>
        <v/>
      </c>
      <c r="C86">
        <f>IF($E86="","",INDEX('Input Transaksi'!$E:$E,$E86))</f>
        <v/>
      </c>
      <c r="D86" s="5">
        <f>IF($E86="","",INDEX('Input Transaksi'!$F:$F,$E86))</f>
        <v/>
      </c>
      <c r="E86">
        <f>IFERROR(AGGREGATE(15,6,ROW('Input Transaksi'!$B$5:$B$5000)/('Input Transaksi'!$B$5:$B$5000="JCL NUSA KAMBANGAN"),ROWS($E$5:E86)),"")</f>
        <v/>
      </c>
      <c r="F86" s="5" t="n"/>
    </row>
    <row r="87">
      <c r="A87" s="10">
        <f>IF($E87="","",INDEX('Input Transaksi'!$A:$A,$E87))</f>
        <v/>
      </c>
      <c r="B87" s="5">
        <f>IF($E87="","",INDEX('Input Transaksi'!$D:$D,$E87))</f>
        <v/>
      </c>
      <c r="C87">
        <f>IF($E87="","",INDEX('Input Transaksi'!$E:$E,$E87))</f>
        <v/>
      </c>
      <c r="D87" s="5">
        <f>IF($E87="","",INDEX('Input Transaksi'!$F:$F,$E87))</f>
        <v/>
      </c>
      <c r="E87">
        <f>IFERROR(AGGREGATE(15,6,ROW('Input Transaksi'!$B$5:$B$5000)/('Input Transaksi'!$B$5:$B$5000="JCL NUSA KAMBANGAN"),ROWS($E$5:E87)),"")</f>
        <v/>
      </c>
      <c r="F87" s="5" t="n"/>
    </row>
    <row r="88">
      <c r="A88" s="10">
        <f>IF($E88="","",INDEX('Input Transaksi'!$A:$A,$E88))</f>
        <v/>
      </c>
      <c r="B88" s="5">
        <f>IF($E88="","",INDEX('Input Transaksi'!$D:$D,$E88))</f>
        <v/>
      </c>
      <c r="C88">
        <f>IF($E88="","",INDEX('Input Transaksi'!$E:$E,$E88))</f>
        <v/>
      </c>
      <c r="D88" s="5">
        <f>IF($E88="","",INDEX('Input Transaksi'!$F:$F,$E88))</f>
        <v/>
      </c>
      <c r="E88">
        <f>IFERROR(AGGREGATE(15,6,ROW('Input Transaksi'!$B$5:$B$5000)/('Input Transaksi'!$B$5:$B$5000="JCL NUSA KAMBANGAN"),ROWS($E$5:E88)),"")</f>
        <v/>
      </c>
      <c r="F88" s="5" t="n"/>
    </row>
    <row r="89">
      <c r="A89" s="10">
        <f>IF($E89="","",INDEX('Input Transaksi'!$A:$A,$E89))</f>
        <v/>
      </c>
      <c r="B89" s="5">
        <f>IF($E89="","",INDEX('Input Transaksi'!$D:$D,$E89))</f>
        <v/>
      </c>
      <c r="C89">
        <f>IF($E89="","",INDEX('Input Transaksi'!$E:$E,$E89))</f>
        <v/>
      </c>
      <c r="D89" s="5">
        <f>IF($E89="","",INDEX('Input Transaksi'!$F:$F,$E89))</f>
        <v/>
      </c>
      <c r="E89">
        <f>IFERROR(AGGREGATE(15,6,ROW('Input Transaksi'!$B$5:$B$5000)/('Input Transaksi'!$B$5:$B$5000="JCL NUSA KAMBANGAN"),ROWS($E$5:E89)),"")</f>
        <v/>
      </c>
      <c r="F89" s="5" t="n"/>
    </row>
    <row r="90">
      <c r="A90" s="10">
        <f>IF($E90="","",INDEX('Input Transaksi'!$A:$A,$E90))</f>
        <v/>
      </c>
      <c r="B90" s="5">
        <f>IF($E90="","",INDEX('Input Transaksi'!$D:$D,$E90))</f>
        <v/>
      </c>
      <c r="C90">
        <f>IF($E90="","",INDEX('Input Transaksi'!$E:$E,$E90))</f>
        <v/>
      </c>
      <c r="D90" s="5">
        <f>IF($E90="","",INDEX('Input Transaksi'!$F:$F,$E90))</f>
        <v/>
      </c>
      <c r="E90">
        <f>IFERROR(AGGREGATE(15,6,ROW('Input Transaksi'!$B$5:$B$5000)/('Input Transaksi'!$B$5:$B$5000="JCL NUSA KAMBANGAN"),ROWS($E$5:E90)),"")</f>
        <v/>
      </c>
      <c r="F90" s="5" t="n"/>
    </row>
    <row r="91">
      <c r="A91" s="10">
        <f>IF($E91="","",INDEX('Input Transaksi'!$A:$A,$E91))</f>
        <v/>
      </c>
      <c r="B91" s="5">
        <f>IF($E91="","",INDEX('Input Transaksi'!$D:$D,$E91))</f>
        <v/>
      </c>
      <c r="C91">
        <f>IF($E91="","",INDEX('Input Transaksi'!$E:$E,$E91))</f>
        <v/>
      </c>
      <c r="D91" s="5">
        <f>IF($E91="","",INDEX('Input Transaksi'!$F:$F,$E91))</f>
        <v/>
      </c>
      <c r="E91">
        <f>IFERROR(AGGREGATE(15,6,ROW('Input Transaksi'!$B$5:$B$5000)/('Input Transaksi'!$B$5:$B$5000="JCL NUSA KAMBANGAN"),ROWS($E$5:E91)),"")</f>
        <v/>
      </c>
      <c r="F91" s="5" t="n"/>
    </row>
    <row r="92">
      <c r="A92" s="10">
        <f>IF($E92="","",INDEX('Input Transaksi'!$A:$A,$E92))</f>
        <v/>
      </c>
      <c r="B92" s="5">
        <f>IF($E92="","",INDEX('Input Transaksi'!$D:$D,$E92))</f>
        <v/>
      </c>
      <c r="C92">
        <f>IF($E92="","",INDEX('Input Transaksi'!$E:$E,$E92))</f>
        <v/>
      </c>
      <c r="D92" s="5">
        <f>IF($E92="","",INDEX('Input Transaksi'!$F:$F,$E92))</f>
        <v/>
      </c>
      <c r="E92">
        <f>IFERROR(AGGREGATE(15,6,ROW('Input Transaksi'!$B$5:$B$5000)/('Input Transaksi'!$B$5:$B$5000="JCL NUSA KAMBANGAN"),ROWS($E$5:E92)),"")</f>
        <v/>
      </c>
      <c r="F92" s="5" t="n"/>
    </row>
    <row r="93">
      <c r="A93" s="10">
        <f>IF($E93="","",INDEX('Input Transaksi'!$A:$A,$E93))</f>
        <v/>
      </c>
      <c r="B93" s="5">
        <f>IF($E93="","",INDEX('Input Transaksi'!$D:$D,$E93))</f>
        <v/>
      </c>
      <c r="C93">
        <f>IF($E93="","",INDEX('Input Transaksi'!$E:$E,$E93))</f>
        <v/>
      </c>
      <c r="D93" s="5">
        <f>IF($E93="","",INDEX('Input Transaksi'!$F:$F,$E93))</f>
        <v/>
      </c>
      <c r="E93">
        <f>IFERROR(AGGREGATE(15,6,ROW('Input Transaksi'!$B$5:$B$5000)/('Input Transaksi'!$B$5:$B$5000="JCL NUSA KAMBANGAN"),ROWS($E$5:E93)),"")</f>
        <v/>
      </c>
      <c r="F93" s="5" t="n"/>
    </row>
    <row r="94">
      <c r="A94" s="10">
        <f>IF($E94="","",INDEX('Input Transaksi'!$A:$A,$E94))</f>
        <v/>
      </c>
      <c r="B94" s="5">
        <f>IF($E94="","",INDEX('Input Transaksi'!$D:$D,$E94))</f>
        <v/>
      </c>
      <c r="C94">
        <f>IF($E94="","",INDEX('Input Transaksi'!$E:$E,$E94))</f>
        <v/>
      </c>
      <c r="D94" s="5">
        <f>IF($E94="","",INDEX('Input Transaksi'!$F:$F,$E94))</f>
        <v/>
      </c>
      <c r="E94">
        <f>IFERROR(AGGREGATE(15,6,ROW('Input Transaksi'!$B$5:$B$5000)/('Input Transaksi'!$B$5:$B$5000="JCL NUSA KAMBANGAN"),ROWS($E$5:E94)),"")</f>
        <v/>
      </c>
      <c r="F94" s="5" t="n"/>
    </row>
    <row r="95">
      <c r="A95" s="10">
        <f>IF($E95="","",INDEX('Input Transaksi'!$A:$A,$E95))</f>
        <v/>
      </c>
      <c r="B95" s="5">
        <f>IF($E95="","",INDEX('Input Transaksi'!$D:$D,$E95))</f>
        <v/>
      </c>
      <c r="C95">
        <f>IF($E95="","",INDEX('Input Transaksi'!$E:$E,$E95))</f>
        <v/>
      </c>
      <c r="D95" s="5">
        <f>IF($E95="","",INDEX('Input Transaksi'!$F:$F,$E95))</f>
        <v/>
      </c>
      <c r="E95">
        <f>IFERROR(AGGREGATE(15,6,ROW('Input Transaksi'!$B$5:$B$5000)/('Input Transaksi'!$B$5:$B$5000="JCL NUSA KAMBANGAN"),ROWS($E$5:E95)),"")</f>
        <v/>
      </c>
      <c r="F95" s="5" t="n"/>
    </row>
    <row r="96">
      <c r="A96" s="10">
        <f>IF($E96="","",INDEX('Input Transaksi'!$A:$A,$E96))</f>
        <v/>
      </c>
      <c r="B96" s="5">
        <f>IF($E96="","",INDEX('Input Transaksi'!$D:$D,$E96))</f>
        <v/>
      </c>
      <c r="C96">
        <f>IF($E96="","",INDEX('Input Transaksi'!$E:$E,$E96))</f>
        <v/>
      </c>
      <c r="D96" s="5">
        <f>IF($E96="","",INDEX('Input Transaksi'!$F:$F,$E96))</f>
        <v/>
      </c>
      <c r="E96">
        <f>IFERROR(AGGREGATE(15,6,ROW('Input Transaksi'!$B$5:$B$5000)/('Input Transaksi'!$B$5:$B$5000="JCL NUSA KAMBANGAN"),ROWS($E$5:E96)),"")</f>
        <v/>
      </c>
      <c r="F96" s="5" t="n"/>
    </row>
    <row r="97">
      <c r="A97" s="10">
        <f>IF($E97="","",INDEX('Input Transaksi'!$A:$A,$E97))</f>
        <v/>
      </c>
      <c r="B97" s="5">
        <f>IF($E97="","",INDEX('Input Transaksi'!$D:$D,$E97))</f>
        <v/>
      </c>
      <c r="C97">
        <f>IF($E97="","",INDEX('Input Transaksi'!$E:$E,$E97))</f>
        <v/>
      </c>
      <c r="D97" s="5">
        <f>IF($E97="","",INDEX('Input Transaksi'!$F:$F,$E97))</f>
        <v/>
      </c>
      <c r="E97">
        <f>IFERROR(AGGREGATE(15,6,ROW('Input Transaksi'!$B$5:$B$5000)/('Input Transaksi'!$B$5:$B$5000="JCL NUSA KAMBANGAN"),ROWS($E$5:E97)),"")</f>
        <v/>
      </c>
      <c r="F97" s="5" t="n"/>
    </row>
    <row r="98">
      <c r="A98" s="10">
        <f>IF($E98="","",INDEX('Input Transaksi'!$A:$A,$E98))</f>
        <v/>
      </c>
      <c r="B98" s="5">
        <f>IF($E98="","",INDEX('Input Transaksi'!$D:$D,$E98))</f>
        <v/>
      </c>
      <c r="C98">
        <f>IF($E98="","",INDEX('Input Transaksi'!$E:$E,$E98))</f>
        <v/>
      </c>
      <c r="D98" s="5">
        <f>IF($E98="","",INDEX('Input Transaksi'!$F:$F,$E98))</f>
        <v/>
      </c>
      <c r="E98">
        <f>IFERROR(AGGREGATE(15,6,ROW('Input Transaksi'!$B$5:$B$5000)/('Input Transaksi'!$B$5:$B$5000="JCL NUSA KAMBANGAN"),ROWS($E$5:E98)),"")</f>
        <v/>
      </c>
      <c r="F98" s="5" t="n"/>
    </row>
    <row r="99">
      <c r="A99" s="10">
        <f>IF($E99="","",INDEX('Input Transaksi'!$A:$A,$E99))</f>
        <v/>
      </c>
      <c r="B99" s="5">
        <f>IF($E99="","",INDEX('Input Transaksi'!$D:$D,$E99))</f>
        <v/>
      </c>
      <c r="C99">
        <f>IF($E99="","",INDEX('Input Transaksi'!$E:$E,$E99))</f>
        <v/>
      </c>
      <c r="D99" s="5">
        <f>IF($E99="","",INDEX('Input Transaksi'!$F:$F,$E99))</f>
        <v/>
      </c>
      <c r="E99">
        <f>IFERROR(AGGREGATE(15,6,ROW('Input Transaksi'!$B$5:$B$5000)/('Input Transaksi'!$B$5:$B$5000="JCL NUSA KAMBANGAN"),ROWS($E$5:E99)),"")</f>
        <v/>
      </c>
      <c r="F99" s="5" t="n"/>
    </row>
    <row r="100">
      <c r="A100" s="10">
        <f>IF($E100="","",INDEX('Input Transaksi'!$A:$A,$E100))</f>
        <v/>
      </c>
      <c r="B100" s="5">
        <f>IF($E100="","",INDEX('Input Transaksi'!$D:$D,$E100))</f>
        <v/>
      </c>
      <c r="C100">
        <f>IF($E100="","",INDEX('Input Transaksi'!$E:$E,$E100))</f>
        <v/>
      </c>
      <c r="D100" s="5">
        <f>IF($E100="","",INDEX('Input Transaksi'!$F:$F,$E100))</f>
        <v/>
      </c>
      <c r="E100">
        <f>IFERROR(AGGREGATE(15,6,ROW('Input Transaksi'!$B$5:$B$5000)/('Input Transaksi'!$B$5:$B$5000="JCL NUSA KAMBANGAN"),ROWS($E$5:E100)),"")</f>
        <v/>
      </c>
      <c r="F100" s="5" t="n"/>
    </row>
    <row r="101">
      <c r="A101" s="10">
        <f>IF($E101="","",INDEX('Input Transaksi'!$A:$A,$E101))</f>
        <v/>
      </c>
      <c r="B101" s="5">
        <f>IF($E101="","",INDEX('Input Transaksi'!$D:$D,$E101))</f>
        <v/>
      </c>
      <c r="C101">
        <f>IF($E101="","",INDEX('Input Transaksi'!$E:$E,$E101))</f>
        <v/>
      </c>
      <c r="D101" s="5">
        <f>IF($E101="","",INDEX('Input Transaksi'!$F:$F,$E101))</f>
        <v/>
      </c>
      <c r="E101">
        <f>IFERROR(AGGREGATE(15,6,ROW('Input Transaksi'!$B$5:$B$5000)/('Input Transaksi'!$B$5:$B$5000="JCL NUSA KAMBANGAN"),ROWS($E$5:E101)),"")</f>
        <v/>
      </c>
      <c r="F101" s="5" t="n"/>
    </row>
    <row r="102">
      <c r="A102" s="10">
        <f>IF($E102="","",INDEX('Input Transaksi'!$A:$A,$E102))</f>
        <v/>
      </c>
      <c r="B102" s="5">
        <f>IF($E102="","",INDEX('Input Transaksi'!$D:$D,$E102))</f>
        <v/>
      </c>
      <c r="C102">
        <f>IF($E102="","",INDEX('Input Transaksi'!$E:$E,$E102))</f>
        <v/>
      </c>
      <c r="D102" s="5">
        <f>IF($E102="","",INDEX('Input Transaksi'!$F:$F,$E102))</f>
        <v/>
      </c>
      <c r="E102">
        <f>IFERROR(AGGREGATE(15,6,ROW('Input Transaksi'!$B$5:$B$5000)/('Input Transaksi'!$B$5:$B$5000="JCL NUSA KAMBANGAN"),ROWS($E$5:E102)),"")</f>
        <v/>
      </c>
      <c r="F102" s="5" t="n"/>
    </row>
    <row r="103">
      <c r="A103" s="10">
        <f>IF($E103="","",INDEX('Input Transaksi'!$A:$A,$E103))</f>
        <v/>
      </c>
      <c r="B103" s="5">
        <f>IF($E103="","",INDEX('Input Transaksi'!$D:$D,$E103))</f>
        <v/>
      </c>
      <c r="C103">
        <f>IF($E103="","",INDEX('Input Transaksi'!$E:$E,$E103))</f>
        <v/>
      </c>
      <c r="D103" s="5">
        <f>IF($E103="","",INDEX('Input Transaksi'!$F:$F,$E103))</f>
        <v/>
      </c>
      <c r="E103">
        <f>IFERROR(AGGREGATE(15,6,ROW('Input Transaksi'!$B$5:$B$5000)/('Input Transaksi'!$B$5:$B$5000="JCL NUSA KAMBANGAN"),ROWS($E$5:E103)),"")</f>
        <v/>
      </c>
      <c r="F103" s="5" t="n"/>
    </row>
    <row r="104">
      <c r="A104" s="10">
        <f>IF($E104="","",INDEX('Input Transaksi'!$A:$A,$E104))</f>
        <v/>
      </c>
      <c r="B104" s="5">
        <f>IF($E104="","",INDEX('Input Transaksi'!$D:$D,$E104))</f>
        <v/>
      </c>
      <c r="C104">
        <f>IF($E104="","",INDEX('Input Transaksi'!$E:$E,$E104))</f>
        <v/>
      </c>
      <c r="D104" s="5">
        <f>IF($E104="","",INDEX('Input Transaksi'!$F:$F,$E104))</f>
        <v/>
      </c>
      <c r="E104">
        <f>IFERROR(AGGREGATE(15,6,ROW('Input Transaksi'!$B$5:$B$5000)/('Input Transaksi'!$B$5:$B$5000="JCL NUSA KAMBANGAN"),ROWS($E$5:E104)),"")</f>
        <v/>
      </c>
      <c r="F104" s="5" t="n"/>
    </row>
    <row r="105">
      <c r="A105" s="10">
        <f>IF($E105="","",INDEX('Input Transaksi'!$A:$A,$E105))</f>
        <v/>
      </c>
      <c r="B105" s="5">
        <f>IF($E105="","",INDEX('Input Transaksi'!$D:$D,$E105))</f>
        <v/>
      </c>
      <c r="C105">
        <f>IF($E105="","",INDEX('Input Transaksi'!$E:$E,$E105))</f>
        <v/>
      </c>
      <c r="D105" s="5">
        <f>IF($E105="","",INDEX('Input Transaksi'!$F:$F,$E105))</f>
        <v/>
      </c>
      <c r="E105">
        <f>IFERROR(AGGREGATE(15,6,ROW('Input Transaksi'!$B$5:$B$5000)/('Input Transaksi'!$B$5:$B$5000="JCL NUSA KAMBANGAN"),ROWS($E$5:E105)),"")</f>
        <v/>
      </c>
      <c r="F105" s="5" t="n"/>
    </row>
    <row r="106">
      <c r="A106" s="10">
        <f>IF($E106="","",INDEX('Input Transaksi'!$A:$A,$E106))</f>
        <v/>
      </c>
      <c r="B106" s="5">
        <f>IF($E106="","",INDEX('Input Transaksi'!$D:$D,$E106))</f>
        <v/>
      </c>
      <c r="C106">
        <f>IF($E106="","",INDEX('Input Transaksi'!$E:$E,$E106))</f>
        <v/>
      </c>
      <c r="D106" s="5">
        <f>IF($E106="","",INDEX('Input Transaksi'!$F:$F,$E106))</f>
        <v/>
      </c>
      <c r="E106">
        <f>IFERROR(AGGREGATE(15,6,ROW('Input Transaksi'!$B$5:$B$5000)/('Input Transaksi'!$B$5:$B$5000="JCL NUSA KAMBANGAN"),ROWS($E$5:E106)),"")</f>
        <v/>
      </c>
      <c r="F106" s="5" t="n"/>
    </row>
    <row r="107">
      <c r="A107" s="10">
        <f>IF($E107="","",INDEX('Input Transaksi'!$A:$A,$E107))</f>
        <v/>
      </c>
      <c r="B107" s="5">
        <f>IF($E107="","",INDEX('Input Transaksi'!$D:$D,$E107))</f>
        <v/>
      </c>
      <c r="C107">
        <f>IF($E107="","",INDEX('Input Transaksi'!$E:$E,$E107))</f>
        <v/>
      </c>
      <c r="D107" s="5">
        <f>IF($E107="","",INDEX('Input Transaksi'!$F:$F,$E107))</f>
        <v/>
      </c>
      <c r="E107">
        <f>IFERROR(AGGREGATE(15,6,ROW('Input Transaksi'!$B$5:$B$5000)/('Input Transaksi'!$B$5:$B$5000="JCL NUSA KAMBANGAN"),ROWS($E$5:E107)),"")</f>
        <v/>
      </c>
      <c r="F107" s="5" t="n"/>
    </row>
    <row r="108">
      <c r="A108" s="10">
        <f>IF($E108="","",INDEX('Input Transaksi'!$A:$A,$E108))</f>
        <v/>
      </c>
      <c r="B108" s="5">
        <f>IF($E108="","",INDEX('Input Transaksi'!$D:$D,$E108))</f>
        <v/>
      </c>
      <c r="C108">
        <f>IF($E108="","",INDEX('Input Transaksi'!$E:$E,$E108))</f>
        <v/>
      </c>
      <c r="D108" s="5">
        <f>IF($E108="","",INDEX('Input Transaksi'!$F:$F,$E108))</f>
        <v/>
      </c>
      <c r="E108">
        <f>IFERROR(AGGREGATE(15,6,ROW('Input Transaksi'!$B$5:$B$5000)/('Input Transaksi'!$B$5:$B$5000="JCL NUSA KAMBANGAN"),ROWS($E$5:E108)),"")</f>
        <v/>
      </c>
      <c r="F108" s="5" t="n"/>
    </row>
    <row r="109">
      <c r="A109" s="10">
        <f>IF($E109="","",INDEX('Input Transaksi'!$A:$A,$E109))</f>
        <v/>
      </c>
      <c r="B109" s="5">
        <f>IF($E109="","",INDEX('Input Transaksi'!$D:$D,$E109))</f>
        <v/>
      </c>
      <c r="C109">
        <f>IF($E109="","",INDEX('Input Transaksi'!$E:$E,$E109))</f>
        <v/>
      </c>
      <c r="D109" s="5">
        <f>IF($E109="","",INDEX('Input Transaksi'!$F:$F,$E109))</f>
        <v/>
      </c>
      <c r="E109">
        <f>IFERROR(AGGREGATE(15,6,ROW('Input Transaksi'!$B$5:$B$5000)/('Input Transaksi'!$B$5:$B$5000="JCL NUSA KAMBANGAN"),ROWS($E$5:E109)),"")</f>
        <v/>
      </c>
      <c r="F109" s="5" t="n"/>
    </row>
    <row r="110">
      <c r="A110" s="10">
        <f>IF($E110="","",INDEX('Input Transaksi'!$A:$A,$E110))</f>
        <v/>
      </c>
      <c r="B110" s="5">
        <f>IF($E110="","",INDEX('Input Transaksi'!$D:$D,$E110))</f>
        <v/>
      </c>
      <c r="C110">
        <f>IF($E110="","",INDEX('Input Transaksi'!$E:$E,$E110))</f>
        <v/>
      </c>
      <c r="D110" s="5">
        <f>IF($E110="","",INDEX('Input Transaksi'!$F:$F,$E110))</f>
        <v/>
      </c>
      <c r="E110">
        <f>IFERROR(AGGREGATE(15,6,ROW('Input Transaksi'!$B$5:$B$5000)/('Input Transaksi'!$B$5:$B$5000="JCL NUSA KAMBANGAN"),ROWS($E$5:E110)),"")</f>
        <v/>
      </c>
      <c r="F110" s="5" t="n"/>
    </row>
    <row r="111">
      <c r="A111" s="10">
        <f>IF($E111="","",INDEX('Input Transaksi'!$A:$A,$E111))</f>
        <v/>
      </c>
      <c r="B111" s="5">
        <f>IF($E111="","",INDEX('Input Transaksi'!$D:$D,$E111))</f>
        <v/>
      </c>
      <c r="C111">
        <f>IF($E111="","",INDEX('Input Transaksi'!$E:$E,$E111))</f>
        <v/>
      </c>
      <c r="D111" s="5">
        <f>IF($E111="","",INDEX('Input Transaksi'!$F:$F,$E111))</f>
        <v/>
      </c>
      <c r="E111">
        <f>IFERROR(AGGREGATE(15,6,ROW('Input Transaksi'!$B$5:$B$5000)/('Input Transaksi'!$B$5:$B$5000="JCL NUSA KAMBANGAN"),ROWS($E$5:E111)),"")</f>
        <v/>
      </c>
      <c r="F111" s="5" t="n"/>
    </row>
    <row r="112">
      <c r="A112" s="10">
        <f>IF($E112="","",INDEX('Input Transaksi'!$A:$A,$E112))</f>
        <v/>
      </c>
      <c r="B112" s="5">
        <f>IF($E112="","",INDEX('Input Transaksi'!$D:$D,$E112))</f>
        <v/>
      </c>
      <c r="C112">
        <f>IF($E112="","",INDEX('Input Transaksi'!$E:$E,$E112))</f>
        <v/>
      </c>
      <c r="D112" s="5">
        <f>IF($E112="","",INDEX('Input Transaksi'!$F:$F,$E112))</f>
        <v/>
      </c>
      <c r="E112">
        <f>IFERROR(AGGREGATE(15,6,ROW('Input Transaksi'!$B$5:$B$5000)/('Input Transaksi'!$B$5:$B$5000="JCL NUSA KAMBANGAN"),ROWS($E$5:E112)),"")</f>
        <v/>
      </c>
      <c r="F112" s="5" t="n"/>
    </row>
    <row r="113">
      <c r="A113" s="10">
        <f>IF($E113="","",INDEX('Input Transaksi'!$A:$A,$E113))</f>
        <v/>
      </c>
      <c r="B113" s="5">
        <f>IF($E113="","",INDEX('Input Transaksi'!$D:$D,$E113))</f>
        <v/>
      </c>
      <c r="C113">
        <f>IF($E113="","",INDEX('Input Transaksi'!$E:$E,$E113))</f>
        <v/>
      </c>
      <c r="D113" s="5">
        <f>IF($E113="","",INDEX('Input Transaksi'!$F:$F,$E113))</f>
        <v/>
      </c>
      <c r="E113">
        <f>IFERROR(AGGREGATE(15,6,ROW('Input Transaksi'!$B$5:$B$5000)/('Input Transaksi'!$B$5:$B$5000="JCL NUSA KAMBANGAN"),ROWS($E$5:E113)),"")</f>
        <v/>
      </c>
      <c r="F113" s="5" t="n"/>
    </row>
    <row r="114">
      <c r="A114" s="10">
        <f>IF($E114="","",INDEX('Input Transaksi'!$A:$A,$E114))</f>
        <v/>
      </c>
      <c r="B114" s="5">
        <f>IF($E114="","",INDEX('Input Transaksi'!$D:$D,$E114))</f>
        <v/>
      </c>
      <c r="C114">
        <f>IF($E114="","",INDEX('Input Transaksi'!$E:$E,$E114))</f>
        <v/>
      </c>
      <c r="D114" s="5">
        <f>IF($E114="","",INDEX('Input Transaksi'!$F:$F,$E114))</f>
        <v/>
      </c>
      <c r="E114">
        <f>IFERROR(AGGREGATE(15,6,ROW('Input Transaksi'!$B$5:$B$5000)/('Input Transaksi'!$B$5:$B$5000="JCL NUSA KAMBANGAN"),ROWS($E$5:E114)),"")</f>
        <v/>
      </c>
      <c r="F114" s="5" t="n"/>
    </row>
    <row r="115">
      <c r="A115" s="10">
        <f>IF($E115="","",INDEX('Input Transaksi'!$A:$A,$E115))</f>
        <v/>
      </c>
      <c r="B115" s="5">
        <f>IF($E115="","",INDEX('Input Transaksi'!$D:$D,$E115))</f>
        <v/>
      </c>
      <c r="C115">
        <f>IF($E115="","",INDEX('Input Transaksi'!$E:$E,$E115))</f>
        <v/>
      </c>
      <c r="D115" s="5">
        <f>IF($E115="","",INDEX('Input Transaksi'!$F:$F,$E115))</f>
        <v/>
      </c>
      <c r="E115">
        <f>IFERROR(AGGREGATE(15,6,ROW('Input Transaksi'!$B$5:$B$5000)/('Input Transaksi'!$B$5:$B$5000="JCL NUSA KAMBANGAN"),ROWS($E$5:E115)),"")</f>
        <v/>
      </c>
      <c r="F115" s="5" t="n"/>
    </row>
    <row r="116">
      <c r="A116" s="10">
        <f>IF($E116="","",INDEX('Input Transaksi'!$A:$A,$E116))</f>
        <v/>
      </c>
      <c r="B116" s="5">
        <f>IF($E116="","",INDEX('Input Transaksi'!$D:$D,$E116))</f>
        <v/>
      </c>
      <c r="C116">
        <f>IF($E116="","",INDEX('Input Transaksi'!$E:$E,$E116))</f>
        <v/>
      </c>
      <c r="D116" s="5">
        <f>IF($E116="","",INDEX('Input Transaksi'!$F:$F,$E116))</f>
        <v/>
      </c>
      <c r="E116">
        <f>IFERROR(AGGREGATE(15,6,ROW('Input Transaksi'!$B$5:$B$5000)/('Input Transaksi'!$B$5:$B$5000="JCL NUSA KAMBANGAN"),ROWS($E$5:E116)),"")</f>
        <v/>
      </c>
      <c r="F116" s="5" t="n"/>
    </row>
    <row r="117">
      <c r="A117" s="10">
        <f>IF($E117="","",INDEX('Input Transaksi'!$A:$A,$E117))</f>
        <v/>
      </c>
      <c r="B117" s="5">
        <f>IF($E117="","",INDEX('Input Transaksi'!$D:$D,$E117))</f>
        <v/>
      </c>
      <c r="C117">
        <f>IF($E117="","",INDEX('Input Transaksi'!$E:$E,$E117))</f>
        <v/>
      </c>
      <c r="D117" s="5">
        <f>IF($E117="","",INDEX('Input Transaksi'!$F:$F,$E117))</f>
        <v/>
      </c>
      <c r="E117">
        <f>IFERROR(AGGREGATE(15,6,ROW('Input Transaksi'!$B$5:$B$5000)/('Input Transaksi'!$B$5:$B$5000="JCL NUSA KAMBANGAN"),ROWS($E$5:E117)),"")</f>
        <v/>
      </c>
      <c r="F117" s="5" t="n"/>
    </row>
    <row r="118">
      <c r="A118" s="10">
        <f>IF($E118="","",INDEX('Input Transaksi'!$A:$A,$E118))</f>
        <v/>
      </c>
      <c r="B118" s="5">
        <f>IF($E118="","",INDEX('Input Transaksi'!$D:$D,$E118))</f>
        <v/>
      </c>
      <c r="C118">
        <f>IF($E118="","",INDEX('Input Transaksi'!$E:$E,$E118))</f>
        <v/>
      </c>
      <c r="D118" s="5">
        <f>IF($E118="","",INDEX('Input Transaksi'!$F:$F,$E118))</f>
        <v/>
      </c>
      <c r="E118">
        <f>IFERROR(AGGREGATE(15,6,ROW('Input Transaksi'!$B$5:$B$5000)/('Input Transaksi'!$B$5:$B$5000="JCL NUSA KAMBANGAN"),ROWS($E$5:E118)),"")</f>
        <v/>
      </c>
      <c r="F118" s="5" t="n"/>
    </row>
    <row r="119">
      <c r="A119" s="10">
        <f>IF($E119="","",INDEX('Input Transaksi'!$A:$A,$E119))</f>
        <v/>
      </c>
      <c r="B119" s="5">
        <f>IF($E119="","",INDEX('Input Transaksi'!$D:$D,$E119))</f>
        <v/>
      </c>
      <c r="C119">
        <f>IF($E119="","",INDEX('Input Transaksi'!$E:$E,$E119))</f>
        <v/>
      </c>
      <c r="D119" s="5">
        <f>IF($E119="","",INDEX('Input Transaksi'!$F:$F,$E119))</f>
        <v/>
      </c>
      <c r="E119">
        <f>IFERROR(AGGREGATE(15,6,ROW('Input Transaksi'!$B$5:$B$5000)/('Input Transaksi'!$B$5:$B$5000="JCL NUSA KAMBANGAN"),ROWS($E$5:E119)),"")</f>
        <v/>
      </c>
      <c r="F119" s="5" t="n"/>
    </row>
    <row r="120">
      <c r="A120" s="10">
        <f>IF($E120="","",INDEX('Input Transaksi'!$A:$A,$E120))</f>
        <v/>
      </c>
      <c r="B120" s="5">
        <f>IF($E120="","",INDEX('Input Transaksi'!$D:$D,$E120))</f>
        <v/>
      </c>
      <c r="C120">
        <f>IF($E120="","",INDEX('Input Transaksi'!$E:$E,$E120))</f>
        <v/>
      </c>
      <c r="D120" s="5">
        <f>IF($E120="","",INDEX('Input Transaksi'!$F:$F,$E120))</f>
        <v/>
      </c>
      <c r="E120">
        <f>IFERROR(AGGREGATE(15,6,ROW('Input Transaksi'!$B$5:$B$5000)/('Input Transaksi'!$B$5:$B$5000="JCL NUSA KAMBANGAN"),ROWS($E$5:E120)),"")</f>
        <v/>
      </c>
      <c r="F120" s="5" t="n"/>
    </row>
    <row r="121">
      <c r="A121" s="10">
        <f>IF($E121="","",INDEX('Input Transaksi'!$A:$A,$E121))</f>
        <v/>
      </c>
      <c r="B121" s="5">
        <f>IF($E121="","",INDEX('Input Transaksi'!$D:$D,$E121))</f>
        <v/>
      </c>
      <c r="C121">
        <f>IF($E121="","",INDEX('Input Transaksi'!$E:$E,$E121))</f>
        <v/>
      </c>
      <c r="D121" s="5">
        <f>IF($E121="","",INDEX('Input Transaksi'!$F:$F,$E121))</f>
        <v/>
      </c>
      <c r="E121">
        <f>IFERROR(AGGREGATE(15,6,ROW('Input Transaksi'!$B$5:$B$5000)/('Input Transaksi'!$B$5:$B$5000="JCL NUSA KAMBANGAN"),ROWS($E$5:E121)),"")</f>
        <v/>
      </c>
      <c r="F121" s="5" t="n"/>
    </row>
    <row r="122">
      <c r="A122" s="10">
        <f>IF($E122="","",INDEX('Input Transaksi'!$A:$A,$E122))</f>
        <v/>
      </c>
      <c r="B122" s="5">
        <f>IF($E122="","",INDEX('Input Transaksi'!$D:$D,$E122))</f>
        <v/>
      </c>
      <c r="C122">
        <f>IF($E122="","",INDEX('Input Transaksi'!$E:$E,$E122))</f>
        <v/>
      </c>
      <c r="D122" s="5">
        <f>IF($E122="","",INDEX('Input Transaksi'!$F:$F,$E122))</f>
        <v/>
      </c>
      <c r="E122">
        <f>IFERROR(AGGREGATE(15,6,ROW('Input Transaksi'!$B$5:$B$5000)/('Input Transaksi'!$B$5:$B$5000="JCL NUSA KAMBANGAN"),ROWS($E$5:E122)),"")</f>
        <v/>
      </c>
      <c r="F122" s="5" t="n"/>
    </row>
    <row r="123">
      <c r="A123" s="10">
        <f>IF($E123="","",INDEX('Input Transaksi'!$A:$A,$E123))</f>
        <v/>
      </c>
      <c r="B123" s="5">
        <f>IF($E123="","",INDEX('Input Transaksi'!$D:$D,$E123))</f>
        <v/>
      </c>
      <c r="C123">
        <f>IF($E123="","",INDEX('Input Transaksi'!$E:$E,$E123))</f>
        <v/>
      </c>
      <c r="D123" s="5">
        <f>IF($E123="","",INDEX('Input Transaksi'!$F:$F,$E123))</f>
        <v/>
      </c>
      <c r="E123">
        <f>IFERROR(AGGREGATE(15,6,ROW('Input Transaksi'!$B$5:$B$5000)/('Input Transaksi'!$B$5:$B$5000="JCL NUSA KAMBANGAN"),ROWS($E$5:E123)),"")</f>
        <v/>
      </c>
      <c r="F123" s="5" t="n"/>
    </row>
    <row r="124">
      <c r="A124" s="10">
        <f>IF($E124="","",INDEX('Input Transaksi'!$A:$A,$E124))</f>
        <v/>
      </c>
      <c r="B124" s="5">
        <f>IF($E124="","",INDEX('Input Transaksi'!$D:$D,$E124))</f>
        <v/>
      </c>
      <c r="C124">
        <f>IF($E124="","",INDEX('Input Transaksi'!$E:$E,$E124))</f>
        <v/>
      </c>
      <c r="D124" s="5">
        <f>IF($E124="","",INDEX('Input Transaksi'!$F:$F,$E124))</f>
        <v/>
      </c>
      <c r="E124">
        <f>IFERROR(AGGREGATE(15,6,ROW('Input Transaksi'!$B$5:$B$5000)/('Input Transaksi'!$B$5:$B$5000="JCL NUSA KAMBANGAN"),ROWS($E$5:E124)),"")</f>
        <v/>
      </c>
      <c r="F124" s="5" t="n"/>
    </row>
    <row r="125">
      <c r="A125" s="10">
        <f>IF($E125="","",INDEX('Input Transaksi'!$A:$A,$E125))</f>
        <v/>
      </c>
      <c r="B125" s="5">
        <f>IF($E125="","",INDEX('Input Transaksi'!$D:$D,$E125))</f>
        <v/>
      </c>
      <c r="C125">
        <f>IF($E125="","",INDEX('Input Transaksi'!$E:$E,$E125))</f>
        <v/>
      </c>
      <c r="D125" s="5">
        <f>IF($E125="","",INDEX('Input Transaksi'!$F:$F,$E125))</f>
        <v/>
      </c>
      <c r="E125">
        <f>IFERROR(AGGREGATE(15,6,ROW('Input Transaksi'!$B$5:$B$5000)/('Input Transaksi'!$B$5:$B$5000="JCL NUSA KAMBANGAN"),ROWS($E$5:E125)),"")</f>
        <v/>
      </c>
      <c r="F125" s="5" t="n"/>
    </row>
    <row r="126">
      <c r="A126" s="10">
        <f>IF($E126="","",INDEX('Input Transaksi'!$A:$A,$E126))</f>
        <v/>
      </c>
      <c r="B126" s="5">
        <f>IF($E126="","",INDEX('Input Transaksi'!$D:$D,$E126))</f>
        <v/>
      </c>
      <c r="C126">
        <f>IF($E126="","",INDEX('Input Transaksi'!$E:$E,$E126))</f>
        <v/>
      </c>
      <c r="D126" s="5">
        <f>IF($E126="","",INDEX('Input Transaksi'!$F:$F,$E126))</f>
        <v/>
      </c>
      <c r="E126">
        <f>IFERROR(AGGREGATE(15,6,ROW('Input Transaksi'!$B$5:$B$5000)/('Input Transaksi'!$B$5:$B$5000="JCL NUSA KAMBANGAN"),ROWS($E$5:E126)),"")</f>
        <v/>
      </c>
      <c r="F126" s="5" t="n"/>
    </row>
    <row r="127">
      <c r="A127" s="10">
        <f>IF($E127="","",INDEX('Input Transaksi'!$A:$A,$E127))</f>
        <v/>
      </c>
      <c r="B127" s="5">
        <f>IF($E127="","",INDEX('Input Transaksi'!$D:$D,$E127))</f>
        <v/>
      </c>
      <c r="C127">
        <f>IF($E127="","",INDEX('Input Transaksi'!$E:$E,$E127))</f>
        <v/>
      </c>
      <c r="D127" s="5">
        <f>IF($E127="","",INDEX('Input Transaksi'!$F:$F,$E127))</f>
        <v/>
      </c>
      <c r="E127">
        <f>IFERROR(AGGREGATE(15,6,ROW('Input Transaksi'!$B$5:$B$5000)/('Input Transaksi'!$B$5:$B$5000="JCL NUSA KAMBANGAN"),ROWS($E$5:E127)),"")</f>
        <v/>
      </c>
      <c r="F127" s="5" t="n"/>
    </row>
    <row r="128">
      <c r="A128" s="10">
        <f>IF($E128="","",INDEX('Input Transaksi'!$A:$A,$E128))</f>
        <v/>
      </c>
      <c r="B128" s="5">
        <f>IF($E128="","",INDEX('Input Transaksi'!$D:$D,$E128))</f>
        <v/>
      </c>
      <c r="C128">
        <f>IF($E128="","",INDEX('Input Transaksi'!$E:$E,$E128))</f>
        <v/>
      </c>
      <c r="D128" s="5">
        <f>IF($E128="","",INDEX('Input Transaksi'!$F:$F,$E128))</f>
        <v/>
      </c>
      <c r="E128">
        <f>IFERROR(AGGREGATE(15,6,ROW('Input Transaksi'!$B$5:$B$5000)/('Input Transaksi'!$B$5:$B$5000="JCL NUSA KAMBANGAN"),ROWS($E$5:E128)),"")</f>
        <v/>
      </c>
      <c r="F128" s="5" t="n"/>
    </row>
    <row r="129">
      <c r="A129" s="10">
        <f>IF($E129="","",INDEX('Input Transaksi'!$A:$A,$E129))</f>
        <v/>
      </c>
      <c r="B129" s="5">
        <f>IF($E129="","",INDEX('Input Transaksi'!$D:$D,$E129))</f>
        <v/>
      </c>
      <c r="C129">
        <f>IF($E129="","",INDEX('Input Transaksi'!$E:$E,$E129))</f>
        <v/>
      </c>
      <c r="D129" s="5">
        <f>IF($E129="","",INDEX('Input Transaksi'!$F:$F,$E129))</f>
        <v/>
      </c>
      <c r="E129">
        <f>IFERROR(AGGREGATE(15,6,ROW('Input Transaksi'!$B$5:$B$5000)/('Input Transaksi'!$B$5:$B$5000="JCL NUSA KAMBANGAN"),ROWS($E$5:E129)),"")</f>
        <v/>
      </c>
      <c r="F129" s="5" t="n"/>
    </row>
    <row r="130">
      <c r="A130" s="10">
        <f>IF($E130="","",INDEX('Input Transaksi'!$A:$A,$E130))</f>
        <v/>
      </c>
      <c r="B130" s="5">
        <f>IF($E130="","",INDEX('Input Transaksi'!$D:$D,$E130))</f>
        <v/>
      </c>
      <c r="C130">
        <f>IF($E130="","",INDEX('Input Transaksi'!$E:$E,$E130))</f>
        <v/>
      </c>
      <c r="D130" s="5">
        <f>IF($E130="","",INDEX('Input Transaksi'!$F:$F,$E130))</f>
        <v/>
      </c>
      <c r="E130">
        <f>IFERROR(AGGREGATE(15,6,ROW('Input Transaksi'!$B$5:$B$5000)/('Input Transaksi'!$B$5:$B$5000="JCL NUSA KAMBANGAN"),ROWS($E$5:E130)),"")</f>
        <v/>
      </c>
      <c r="F130" s="5" t="n"/>
    </row>
    <row r="131">
      <c r="A131" s="10">
        <f>IF($E131="","",INDEX('Input Transaksi'!$A:$A,$E131))</f>
        <v/>
      </c>
      <c r="B131" s="5">
        <f>IF($E131="","",INDEX('Input Transaksi'!$D:$D,$E131))</f>
        <v/>
      </c>
      <c r="C131">
        <f>IF($E131="","",INDEX('Input Transaksi'!$E:$E,$E131))</f>
        <v/>
      </c>
      <c r="D131" s="5">
        <f>IF($E131="","",INDEX('Input Transaksi'!$F:$F,$E131))</f>
        <v/>
      </c>
      <c r="E131">
        <f>IFERROR(AGGREGATE(15,6,ROW('Input Transaksi'!$B$5:$B$5000)/('Input Transaksi'!$B$5:$B$5000="JCL NUSA KAMBANGAN"),ROWS($E$5:E131)),"")</f>
        <v/>
      </c>
      <c r="F131" s="5" t="n"/>
    </row>
    <row r="132">
      <c r="A132" s="10">
        <f>IF($E132="","",INDEX('Input Transaksi'!$A:$A,$E132))</f>
        <v/>
      </c>
      <c r="B132" s="5">
        <f>IF($E132="","",INDEX('Input Transaksi'!$D:$D,$E132))</f>
        <v/>
      </c>
      <c r="C132">
        <f>IF($E132="","",INDEX('Input Transaksi'!$E:$E,$E132))</f>
        <v/>
      </c>
      <c r="D132" s="5">
        <f>IF($E132="","",INDEX('Input Transaksi'!$F:$F,$E132))</f>
        <v/>
      </c>
      <c r="E132">
        <f>IFERROR(AGGREGATE(15,6,ROW('Input Transaksi'!$B$5:$B$5000)/('Input Transaksi'!$B$5:$B$5000="JCL NUSA KAMBANGAN"),ROWS($E$5:E132)),"")</f>
        <v/>
      </c>
      <c r="F132" s="5" t="n"/>
    </row>
    <row r="133">
      <c r="A133" s="10">
        <f>IF($E133="","",INDEX('Input Transaksi'!$A:$A,$E133))</f>
        <v/>
      </c>
      <c r="B133" s="5">
        <f>IF($E133="","",INDEX('Input Transaksi'!$D:$D,$E133))</f>
        <v/>
      </c>
      <c r="C133">
        <f>IF($E133="","",INDEX('Input Transaksi'!$E:$E,$E133))</f>
        <v/>
      </c>
      <c r="D133" s="5">
        <f>IF($E133="","",INDEX('Input Transaksi'!$F:$F,$E133))</f>
        <v/>
      </c>
      <c r="E133">
        <f>IFERROR(AGGREGATE(15,6,ROW('Input Transaksi'!$B$5:$B$5000)/('Input Transaksi'!$B$5:$B$5000="JCL NUSA KAMBANGAN"),ROWS($E$5:E133)),"")</f>
        <v/>
      </c>
      <c r="F133" s="5" t="n"/>
    </row>
    <row r="134">
      <c r="A134" s="10">
        <f>IF($E134="","",INDEX('Input Transaksi'!$A:$A,$E134))</f>
        <v/>
      </c>
      <c r="B134" s="5">
        <f>IF($E134="","",INDEX('Input Transaksi'!$D:$D,$E134))</f>
        <v/>
      </c>
      <c r="C134">
        <f>IF($E134="","",INDEX('Input Transaksi'!$E:$E,$E134))</f>
        <v/>
      </c>
      <c r="D134" s="5">
        <f>IF($E134="","",INDEX('Input Transaksi'!$F:$F,$E134))</f>
        <v/>
      </c>
      <c r="E134">
        <f>IFERROR(AGGREGATE(15,6,ROW('Input Transaksi'!$B$5:$B$5000)/('Input Transaksi'!$B$5:$B$5000="JCL NUSA KAMBANGAN"),ROWS($E$5:E134)),"")</f>
        <v/>
      </c>
      <c r="F134" s="5" t="n"/>
    </row>
    <row r="135">
      <c r="A135" s="10">
        <f>IF($E135="","",INDEX('Input Transaksi'!$A:$A,$E135))</f>
        <v/>
      </c>
      <c r="B135" s="5">
        <f>IF($E135="","",INDEX('Input Transaksi'!$D:$D,$E135))</f>
        <v/>
      </c>
      <c r="C135">
        <f>IF($E135="","",INDEX('Input Transaksi'!$E:$E,$E135))</f>
        <v/>
      </c>
      <c r="D135" s="5">
        <f>IF($E135="","",INDEX('Input Transaksi'!$F:$F,$E135))</f>
        <v/>
      </c>
      <c r="E135">
        <f>IFERROR(AGGREGATE(15,6,ROW('Input Transaksi'!$B$5:$B$5000)/('Input Transaksi'!$B$5:$B$5000="JCL NUSA KAMBANGAN"),ROWS($E$5:E135)),"")</f>
        <v/>
      </c>
      <c r="F135" s="5" t="n"/>
    </row>
    <row r="136">
      <c r="A136" s="10">
        <f>IF($E136="","",INDEX('Input Transaksi'!$A:$A,$E136))</f>
        <v/>
      </c>
      <c r="B136" s="5">
        <f>IF($E136="","",INDEX('Input Transaksi'!$D:$D,$E136))</f>
        <v/>
      </c>
      <c r="C136">
        <f>IF($E136="","",INDEX('Input Transaksi'!$E:$E,$E136))</f>
        <v/>
      </c>
      <c r="D136" s="5">
        <f>IF($E136="","",INDEX('Input Transaksi'!$F:$F,$E136))</f>
        <v/>
      </c>
      <c r="E136">
        <f>IFERROR(AGGREGATE(15,6,ROW('Input Transaksi'!$B$5:$B$5000)/('Input Transaksi'!$B$5:$B$5000="JCL NUSA KAMBANGAN"),ROWS($E$5:E136)),"")</f>
        <v/>
      </c>
      <c r="F136" s="5" t="n"/>
    </row>
    <row r="137">
      <c r="A137" s="10">
        <f>IF($E137="","",INDEX('Input Transaksi'!$A:$A,$E137))</f>
        <v/>
      </c>
      <c r="B137" s="5">
        <f>IF($E137="","",INDEX('Input Transaksi'!$D:$D,$E137))</f>
        <v/>
      </c>
      <c r="C137">
        <f>IF($E137="","",INDEX('Input Transaksi'!$E:$E,$E137))</f>
        <v/>
      </c>
      <c r="D137" s="5">
        <f>IF($E137="","",INDEX('Input Transaksi'!$F:$F,$E137))</f>
        <v/>
      </c>
      <c r="E137">
        <f>IFERROR(AGGREGATE(15,6,ROW('Input Transaksi'!$B$5:$B$5000)/('Input Transaksi'!$B$5:$B$5000="JCL NUSA KAMBANGAN"),ROWS($E$5:E137)),"")</f>
        <v/>
      </c>
      <c r="F137" s="5" t="n"/>
    </row>
    <row r="138">
      <c r="A138" s="10">
        <f>IF($E138="","",INDEX('Input Transaksi'!$A:$A,$E138))</f>
        <v/>
      </c>
      <c r="B138" s="5">
        <f>IF($E138="","",INDEX('Input Transaksi'!$D:$D,$E138))</f>
        <v/>
      </c>
      <c r="C138">
        <f>IF($E138="","",INDEX('Input Transaksi'!$E:$E,$E138))</f>
        <v/>
      </c>
      <c r="D138" s="5">
        <f>IF($E138="","",INDEX('Input Transaksi'!$F:$F,$E138))</f>
        <v/>
      </c>
      <c r="E138">
        <f>IFERROR(AGGREGATE(15,6,ROW('Input Transaksi'!$B$5:$B$5000)/('Input Transaksi'!$B$5:$B$5000="JCL NUSA KAMBANGAN"),ROWS($E$5:E138)),"")</f>
        <v/>
      </c>
      <c r="F138" s="5" t="n"/>
    </row>
    <row r="139">
      <c r="A139" s="10">
        <f>IF($E139="","",INDEX('Input Transaksi'!$A:$A,$E139))</f>
        <v/>
      </c>
      <c r="B139" s="5">
        <f>IF($E139="","",INDEX('Input Transaksi'!$D:$D,$E139))</f>
        <v/>
      </c>
      <c r="C139">
        <f>IF($E139="","",INDEX('Input Transaksi'!$E:$E,$E139))</f>
        <v/>
      </c>
      <c r="D139" s="5">
        <f>IF($E139="","",INDEX('Input Transaksi'!$F:$F,$E139))</f>
        <v/>
      </c>
      <c r="E139">
        <f>IFERROR(AGGREGATE(15,6,ROW('Input Transaksi'!$B$5:$B$5000)/('Input Transaksi'!$B$5:$B$5000="JCL NUSA KAMBANGAN"),ROWS($E$5:E139)),"")</f>
        <v/>
      </c>
      <c r="F139" s="5" t="n"/>
    </row>
    <row r="140">
      <c r="A140" s="10">
        <f>IF($E140="","",INDEX('Input Transaksi'!$A:$A,$E140))</f>
        <v/>
      </c>
      <c r="B140" s="5">
        <f>IF($E140="","",INDEX('Input Transaksi'!$D:$D,$E140))</f>
        <v/>
      </c>
      <c r="C140">
        <f>IF($E140="","",INDEX('Input Transaksi'!$E:$E,$E140))</f>
        <v/>
      </c>
      <c r="D140" s="5">
        <f>IF($E140="","",INDEX('Input Transaksi'!$F:$F,$E140))</f>
        <v/>
      </c>
      <c r="E140">
        <f>IFERROR(AGGREGATE(15,6,ROW('Input Transaksi'!$B$5:$B$5000)/('Input Transaksi'!$B$5:$B$5000="JCL NUSA KAMBANGAN"),ROWS($E$5:E140)),"")</f>
        <v/>
      </c>
      <c r="F140" s="5" t="n"/>
    </row>
    <row r="141">
      <c r="A141" s="10">
        <f>IF($E141="","",INDEX('Input Transaksi'!$A:$A,$E141))</f>
        <v/>
      </c>
      <c r="B141" s="5">
        <f>IF($E141="","",INDEX('Input Transaksi'!$D:$D,$E141))</f>
        <v/>
      </c>
      <c r="C141">
        <f>IF($E141="","",INDEX('Input Transaksi'!$E:$E,$E141))</f>
        <v/>
      </c>
      <c r="D141" s="5">
        <f>IF($E141="","",INDEX('Input Transaksi'!$F:$F,$E141))</f>
        <v/>
      </c>
      <c r="E141">
        <f>IFERROR(AGGREGATE(15,6,ROW('Input Transaksi'!$B$5:$B$5000)/('Input Transaksi'!$B$5:$B$5000="JCL NUSA KAMBANGAN"),ROWS($E$5:E141)),"")</f>
        <v/>
      </c>
      <c r="F141" s="5" t="n"/>
    </row>
    <row r="142">
      <c r="A142" s="10">
        <f>IF($E142="","",INDEX('Input Transaksi'!$A:$A,$E142))</f>
        <v/>
      </c>
      <c r="B142" s="5">
        <f>IF($E142="","",INDEX('Input Transaksi'!$D:$D,$E142))</f>
        <v/>
      </c>
      <c r="C142">
        <f>IF($E142="","",INDEX('Input Transaksi'!$E:$E,$E142))</f>
        <v/>
      </c>
      <c r="D142" s="5">
        <f>IF($E142="","",INDEX('Input Transaksi'!$F:$F,$E142))</f>
        <v/>
      </c>
      <c r="E142">
        <f>IFERROR(AGGREGATE(15,6,ROW('Input Transaksi'!$B$5:$B$5000)/('Input Transaksi'!$B$5:$B$5000="JCL NUSA KAMBANGAN"),ROWS($E$5:E142)),"")</f>
        <v/>
      </c>
      <c r="F142" s="5" t="n"/>
    </row>
    <row r="143">
      <c r="A143" s="10">
        <f>IF($E143="","",INDEX('Input Transaksi'!$A:$A,$E143))</f>
        <v/>
      </c>
      <c r="B143" s="5">
        <f>IF($E143="","",INDEX('Input Transaksi'!$D:$D,$E143))</f>
        <v/>
      </c>
      <c r="C143">
        <f>IF($E143="","",INDEX('Input Transaksi'!$E:$E,$E143))</f>
        <v/>
      </c>
      <c r="D143" s="5">
        <f>IF($E143="","",INDEX('Input Transaksi'!$F:$F,$E143))</f>
        <v/>
      </c>
      <c r="E143">
        <f>IFERROR(AGGREGATE(15,6,ROW('Input Transaksi'!$B$5:$B$5000)/('Input Transaksi'!$B$5:$B$5000="JCL NUSA KAMBANGAN"),ROWS($E$5:E143)),"")</f>
        <v/>
      </c>
      <c r="F143" s="5" t="n"/>
    </row>
    <row r="144">
      <c r="A144" s="10">
        <f>IF($E144="","",INDEX('Input Transaksi'!$A:$A,$E144))</f>
        <v/>
      </c>
      <c r="B144" s="5">
        <f>IF($E144="","",INDEX('Input Transaksi'!$D:$D,$E144))</f>
        <v/>
      </c>
      <c r="C144">
        <f>IF($E144="","",INDEX('Input Transaksi'!$E:$E,$E144))</f>
        <v/>
      </c>
      <c r="D144" s="5">
        <f>IF($E144="","",INDEX('Input Transaksi'!$F:$F,$E144))</f>
        <v/>
      </c>
      <c r="E144">
        <f>IFERROR(AGGREGATE(15,6,ROW('Input Transaksi'!$B$5:$B$5000)/('Input Transaksi'!$B$5:$B$5000="JCL NUSA KAMBANGAN"),ROWS($E$5:E144)),"")</f>
        <v/>
      </c>
      <c r="F144" s="5" t="n"/>
    </row>
    <row r="145">
      <c r="A145" s="10">
        <f>IF($E145="","",INDEX('Input Transaksi'!$A:$A,$E145))</f>
        <v/>
      </c>
      <c r="B145" s="5">
        <f>IF($E145="","",INDEX('Input Transaksi'!$D:$D,$E145))</f>
        <v/>
      </c>
      <c r="C145">
        <f>IF($E145="","",INDEX('Input Transaksi'!$E:$E,$E145))</f>
        <v/>
      </c>
      <c r="D145" s="5">
        <f>IF($E145="","",INDEX('Input Transaksi'!$F:$F,$E145))</f>
        <v/>
      </c>
      <c r="E145">
        <f>IFERROR(AGGREGATE(15,6,ROW('Input Transaksi'!$B$5:$B$5000)/('Input Transaksi'!$B$5:$B$5000="JCL NUSA KAMBANGAN"),ROWS($E$5:E145)),"")</f>
        <v/>
      </c>
      <c r="F145" s="5" t="n"/>
    </row>
    <row r="146">
      <c r="A146" s="10">
        <f>IF($E146="","",INDEX('Input Transaksi'!$A:$A,$E146))</f>
        <v/>
      </c>
      <c r="B146" s="5">
        <f>IF($E146="","",INDEX('Input Transaksi'!$D:$D,$E146))</f>
        <v/>
      </c>
      <c r="C146">
        <f>IF($E146="","",INDEX('Input Transaksi'!$E:$E,$E146))</f>
        <v/>
      </c>
      <c r="D146" s="5">
        <f>IF($E146="","",INDEX('Input Transaksi'!$F:$F,$E146))</f>
        <v/>
      </c>
      <c r="E146">
        <f>IFERROR(AGGREGATE(15,6,ROW('Input Transaksi'!$B$5:$B$5000)/('Input Transaksi'!$B$5:$B$5000="JCL NUSA KAMBANGAN"),ROWS($E$5:E146)),"")</f>
        <v/>
      </c>
      <c r="F146" s="5" t="n"/>
    </row>
    <row r="147">
      <c r="A147" s="10">
        <f>IF($E147="","",INDEX('Input Transaksi'!$A:$A,$E147))</f>
        <v/>
      </c>
      <c r="B147" s="5">
        <f>IF($E147="","",INDEX('Input Transaksi'!$D:$D,$E147))</f>
        <v/>
      </c>
      <c r="C147">
        <f>IF($E147="","",INDEX('Input Transaksi'!$E:$E,$E147))</f>
        <v/>
      </c>
      <c r="D147" s="5">
        <f>IF($E147="","",INDEX('Input Transaksi'!$F:$F,$E147))</f>
        <v/>
      </c>
      <c r="E147">
        <f>IFERROR(AGGREGATE(15,6,ROW('Input Transaksi'!$B$5:$B$5000)/('Input Transaksi'!$B$5:$B$5000="JCL NUSA KAMBANGAN"),ROWS($E$5:E147)),"")</f>
        <v/>
      </c>
      <c r="F147" s="5" t="n"/>
    </row>
    <row r="148">
      <c r="A148" s="10">
        <f>IF($E148="","",INDEX('Input Transaksi'!$A:$A,$E148))</f>
        <v/>
      </c>
      <c r="B148" s="5">
        <f>IF($E148="","",INDEX('Input Transaksi'!$D:$D,$E148))</f>
        <v/>
      </c>
      <c r="C148">
        <f>IF($E148="","",INDEX('Input Transaksi'!$E:$E,$E148))</f>
        <v/>
      </c>
      <c r="D148" s="5">
        <f>IF($E148="","",INDEX('Input Transaksi'!$F:$F,$E148))</f>
        <v/>
      </c>
      <c r="E148">
        <f>IFERROR(AGGREGATE(15,6,ROW('Input Transaksi'!$B$5:$B$5000)/('Input Transaksi'!$B$5:$B$5000="JCL NUSA KAMBANGAN"),ROWS($E$5:E148)),"")</f>
        <v/>
      </c>
      <c r="F148" s="5" t="n"/>
    </row>
    <row r="149">
      <c r="A149" s="10">
        <f>IF($E149="","",INDEX('Input Transaksi'!$A:$A,$E149))</f>
        <v/>
      </c>
      <c r="B149" s="5">
        <f>IF($E149="","",INDEX('Input Transaksi'!$D:$D,$E149))</f>
        <v/>
      </c>
      <c r="C149">
        <f>IF($E149="","",INDEX('Input Transaksi'!$E:$E,$E149))</f>
        <v/>
      </c>
      <c r="D149" s="5">
        <f>IF($E149="","",INDEX('Input Transaksi'!$F:$F,$E149))</f>
        <v/>
      </c>
      <c r="E149">
        <f>IFERROR(AGGREGATE(15,6,ROW('Input Transaksi'!$B$5:$B$5000)/('Input Transaksi'!$B$5:$B$5000="JCL NUSA KAMBANGAN"),ROWS($E$5:E149)),"")</f>
        <v/>
      </c>
      <c r="F149" s="5" t="n"/>
    </row>
    <row r="150">
      <c r="A150" s="10">
        <f>IF($E150="","",INDEX('Input Transaksi'!$A:$A,$E150))</f>
        <v/>
      </c>
      <c r="B150" s="5">
        <f>IF($E150="","",INDEX('Input Transaksi'!$D:$D,$E150))</f>
        <v/>
      </c>
      <c r="C150">
        <f>IF($E150="","",INDEX('Input Transaksi'!$E:$E,$E150))</f>
        <v/>
      </c>
      <c r="D150" s="5">
        <f>IF($E150="","",INDEX('Input Transaksi'!$F:$F,$E150))</f>
        <v/>
      </c>
      <c r="E150">
        <f>IFERROR(AGGREGATE(15,6,ROW('Input Transaksi'!$B$5:$B$5000)/('Input Transaksi'!$B$5:$B$5000="JCL NUSA KAMBANGAN"),ROWS($E$5:E150)),"")</f>
        <v/>
      </c>
      <c r="F150" s="5" t="n"/>
    </row>
    <row r="151">
      <c r="A151" s="10">
        <f>IF($E151="","",INDEX('Input Transaksi'!$A:$A,$E151))</f>
        <v/>
      </c>
      <c r="B151" s="5">
        <f>IF($E151="","",INDEX('Input Transaksi'!$D:$D,$E151))</f>
        <v/>
      </c>
      <c r="C151">
        <f>IF($E151="","",INDEX('Input Transaksi'!$E:$E,$E151))</f>
        <v/>
      </c>
      <c r="D151" s="5">
        <f>IF($E151="","",INDEX('Input Transaksi'!$F:$F,$E151))</f>
        <v/>
      </c>
      <c r="E151">
        <f>IFERROR(AGGREGATE(15,6,ROW('Input Transaksi'!$B$5:$B$5000)/('Input Transaksi'!$B$5:$B$5000="JCL NUSA KAMBANGAN"),ROWS($E$5:E151)),"")</f>
        <v/>
      </c>
      <c r="F151" s="5" t="n"/>
    </row>
    <row r="152">
      <c r="A152" s="10">
        <f>IF($E152="","",INDEX('Input Transaksi'!$A:$A,$E152))</f>
        <v/>
      </c>
      <c r="B152" s="5">
        <f>IF($E152="","",INDEX('Input Transaksi'!$D:$D,$E152))</f>
        <v/>
      </c>
      <c r="C152">
        <f>IF($E152="","",INDEX('Input Transaksi'!$E:$E,$E152))</f>
        <v/>
      </c>
      <c r="D152" s="5">
        <f>IF($E152="","",INDEX('Input Transaksi'!$F:$F,$E152))</f>
        <v/>
      </c>
      <c r="E152">
        <f>IFERROR(AGGREGATE(15,6,ROW('Input Transaksi'!$B$5:$B$5000)/('Input Transaksi'!$B$5:$B$5000="JCL NUSA KAMBANGAN"),ROWS($E$5:E152)),"")</f>
        <v/>
      </c>
      <c r="F152" s="5" t="n"/>
    </row>
    <row r="153">
      <c r="A153" s="10">
        <f>IF($E153="","",INDEX('Input Transaksi'!$A:$A,$E153))</f>
        <v/>
      </c>
      <c r="B153" s="5">
        <f>IF($E153="","",INDEX('Input Transaksi'!$D:$D,$E153))</f>
        <v/>
      </c>
      <c r="C153">
        <f>IF($E153="","",INDEX('Input Transaksi'!$E:$E,$E153))</f>
        <v/>
      </c>
      <c r="D153" s="5">
        <f>IF($E153="","",INDEX('Input Transaksi'!$F:$F,$E153))</f>
        <v/>
      </c>
      <c r="E153">
        <f>IFERROR(AGGREGATE(15,6,ROW('Input Transaksi'!$B$5:$B$5000)/('Input Transaksi'!$B$5:$B$5000="JCL NUSA KAMBANGAN"),ROWS($E$5:E153)),"")</f>
        <v/>
      </c>
      <c r="F153" s="5" t="n"/>
    </row>
    <row r="154">
      <c r="A154" s="10">
        <f>IF($E154="","",INDEX('Input Transaksi'!$A:$A,$E154))</f>
        <v/>
      </c>
      <c r="B154" s="5">
        <f>IF($E154="","",INDEX('Input Transaksi'!$D:$D,$E154))</f>
        <v/>
      </c>
      <c r="C154">
        <f>IF($E154="","",INDEX('Input Transaksi'!$E:$E,$E154))</f>
        <v/>
      </c>
      <c r="D154" s="5">
        <f>IF($E154="","",INDEX('Input Transaksi'!$F:$F,$E154))</f>
        <v/>
      </c>
      <c r="E154">
        <f>IFERROR(AGGREGATE(15,6,ROW('Input Transaksi'!$B$5:$B$5000)/('Input Transaksi'!$B$5:$B$5000="JCL NUSA KAMBANGAN"),ROWS($E$5:E154)),"")</f>
        <v/>
      </c>
      <c r="F154" s="5" t="n"/>
    </row>
    <row r="155">
      <c r="A155" s="10">
        <f>IF($E155="","",INDEX('Input Transaksi'!$A:$A,$E155))</f>
        <v/>
      </c>
      <c r="B155" s="5">
        <f>IF($E155="","",INDEX('Input Transaksi'!$D:$D,$E155))</f>
        <v/>
      </c>
      <c r="C155">
        <f>IF($E155="","",INDEX('Input Transaksi'!$E:$E,$E155))</f>
        <v/>
      </c>
      <c r="D155" s="5">
        <f>IF($E155="","",INDEX('Input Transaksi'!$F:$F,$E155))</f>
        <v/>
      </c>
      <c r="E155">
        <f>IFERROR(AGGREGATE(15,6,ROW('Input Transaksi'!$B$5:$B$5000)/('Input Transaksi'!$B$5:$B$5000="JCL NUSA KAMBANGAN"),ROWS($E$5:E155)),"")</f>
        <v/>
      </c>
      <c r="F155" s="5" t="n"/>
    </row>
    <row r="156">
      <c r="A156" s="10">
        <f>IF($E156="","",INDEX('Input Transaksi'!$A:$A,$E156))</f>
        <v/>
      </c>
      <c r="B156" s="5">
        <f>IF($E156="","",INDEX('Input Transaksi'!$D:$D,$E156))</f>
        <v/>
      </c>
      <c r="C156">
        <f>IF($E156="","",INDEX('Input Transaksi'!$E:$E,$E156))</f>
        <v/>
      </c>
      <c r="D156" s="5">
        <f>IF($E156="","",INDEX('Input Transaksi'!$F:$F,$E156))</f>
        <v/>
      </c>
      <c r="E156">
        <f>IFERROR(AGGREGATE(15,6,ROW('Input Transaksi'!$B$5:$B$5000)/('Input Transaksi'!$B$5:$B$5000="JCL NUSA KAMBANGAN"),ROWS($E$5:E156)),"")</f>
        <v/>
      </c>
      <c r="F156" s="5" t="n"/>
    </row>
    <row r="157">
      <c r="A157" s="10">
        <f>IF($E157="","",INDEX('Input Transaksi'!$A:$A,$E157))</f>
        <v/>
      </c>
      <c r="B157" s="5">
        <f>IF($E157="","",INDEX('Input Transaksi'!$D:$D,$E157))</f>
        <v/>
      </c>
      <c r="C157">
        <f>IF($E157="","",INDEX('Input Transaksi'!$E:$E,$E157))</f>
        <v/>
      </c>
      <c r="D157" s="5">
        <f>IF($E157="","",INDEX('Input Transaksi'!$F:$F,$E157))</f>
        <v/>
      </c>
      <c r="E157">
        <f>IFERROR(AGGREGATE(15,6,ROW('Input Transaksi'!$B$5:$B$5000)/('Input Transaksi'!$B$5:$B$5000="JCL NUSA KAMBANGAN"),ROWS($E$5:E157)),"")</f>
        <v/>
      </c>
      <c r="F157" s="5" t="n"/>
    </row>
    <row r="158">
      <c r="A158" s="10">
        <f>IF($E158="","",INDEX('Input Transaksi'!$A:$A,$E158))</f>
        <v/>
      </c>
      <c r="B158" s="5">
        <f>IF($E158="","",INDEX('Input Transaksi'!$D:$D,$E158))</f>
        <v/>
      </c>
      <c r="C158">
        <f>IF($E158="","",INDEX('Input Transaksi'!$E:$E,$E158))</f>
        <v/>
      </c>
      <c r="D158" s="5">
        <f>IF($E158="","",INDEX('Input Transaksi'!$F:$F,$E158))</f>
        <v/>
      </c>
      <c r="E158">
        <f>IFERROR(AGGREGATE(15,6,ROW('Input Transaksi'!$B$5:$B$5000)/('Input Transaksi'!$B$5:$B$5000="JCL NUSA KAMBANGAN"),ROWS($E$5:E158)),"")</f>
        <v/>
      </c>
      <c r="F158" s="5" t="n"/>
    </row>
    <row r="159">
      <c r="A159" s="10">
        <f>IF($E159="","",INDEX('Input Transaksi'!$A:$A,$E159))</f>
        <v/>
      </c>
      <c r="B159" s="5">
        <f>IF($E159="","",INDEX('Input Transaksi'!$D:$D,$E159))</f>
        <v/>
      </c>
      <c r="C159">
        <f>IF($E159="","",INDEX('Input Transaksi'!$E:$E,$E159))</f>
        <v/>
      </c>
      <c r="D159" s="5">
        <f>IF($E159="","",INDEX('Input Transaksi'!$F:$F,$E159))</f>
        <v/>
      </c>
      <c r="E159">
        <f>IFERROR(AGGREGATE(15,6,ROW('Input Transaksi'!$B$5:$B$5000)/('Input Transaksi'!$B$5:$B$5000="JCL NUSA KAMBANGAN"),ROWS($E$5:E159)),"")</f>
        <v/>
      </c>
      <c r="F159" s="5" t="n"/>
    </row>
    <row r="160">
      <c r="A160" s="10">
        <f>IF($E160="","",INDEX('Input Transaksi'!$A:$A,$E160))</f>
        <v/>
      </c>
      <c r="B160" s="5">
        <f>IF($E160="","",INDEX('Input Transaksi'!$D:$D,$E160))</f>
        <v/>
      </c>
      <c r="C160">
        <f>IF($E160="","",INDEX('Input Transaksi'!$E:$E,$E160))</f>
        <v/>
      </c>
      <c r="D160" s="5">
        <f>IF($E160="","",INDEX('Input Transaksi'!$F:$F,$E160))</f>
        <v/>
      </c>
      <c r="E160">
        <f>IFERROR(AGGREGATE(15,6,ROW('Input Transaksi'!$B$5:$B$5000)/('Input Transaksi'!$B$5:$B$5000="JCL NUSA KAMBANGAN"),ROWS($E$5:E160)),"")</f>
        <v/>
      </c>
      <c r="F160" s="5" t="n"/>
    </row>
    <row r="161">
      <c r="A161" s="10">
        <f>IF($E161="","",INDEX('Input Transaksi'!$A:$A,$E161))</f>
        <v/>
      </c>
      <c r="B161" s="5">
        <f>IF($E161="","",INDEX('Input Transaksi'!$D:$D,$E161))</f>
        <v/>
      </c>
      <c r="C161">
        <f>IF($E161="","",INDEX('Input Transaksi'!$E:$E,$E161))</f>
        <v/>
      </c>
      <c r="D161" s="5">
        <f>IF($E161="","",INDEX('Input Transaksi'!$F:$F,$E161))</f>
        <v/>
      </c>
      <c r="E161">
        <f>IFERROR(AGGREGATE(15,6,ROW('Input Transaksi'!$B$5:$B$5000)/('Input Transaksi'!$B$5:$B$5000="JCL NUSA KAMBANGAN"),ROWS($E$5:E161)),"")</f>
        <v/>
      </c>
      <c r="F161" s="5" t="n"/>
    </row>
    <row r="162">
      <c r="A162" s="10">
        <f>IF($E162="","",INDEX('Input Transaksi'!$A:$A,$E162))</f>
        <v/>
      </c>
      <c r="B162" s="5">
        <f>IF($E162="","",INDEX('Input Transaksi'!$D:$D,$E162))</f>
        <v/>
      </c>
      <c r="C162">
        <f>IF($E162="","",INDEX('Input Transaksi'!$E:$E,$E162))</f>
        <v/>
      </c>
      <c r="D162" s="5">
        <f>IF($E162="","",INDEX('Input Transaksi'!$F:$F,$E162))</f>
        <v/>
      </c>
      <c r="E162">
        <f>IFERROR(AGGREGATE(15,6,ROW('Input Transaksi'!$B$5:$B$5000)/('Input Transaksi'!$B$5:$B$5000="JCL NUSA KAMBANGAN"),ROWS($E$5:E162)),"")</f>
        <v/>
      </c>
      <c r="F162" s="5" t="n"/>
    </row>
    <row r="163">
      <c r="A163" s="10">
        <f>IF($E163="","",INDEX('Input Transaksi'!$A:$A,$E163))</f>
        <v/>
      </c>
      <c r="B163" s="5">
        <f>IF($E163="","",INDEX('Input Transaksi'!$D:$D,$E163))</f>
        <v/>
      </c>
      <c r="C163">
        <f>IF($E163="","",INDEX('Input Transaksi'!$E:$E,$E163))</f>
        <v/>
      </c>
      <c r="D163" s="5">
        <f>IF($E163="","",INDEX('Input Transaksi'!$F:$F,$E163))</f>
        <v/>
      </c>
      <c r="E163">
        <f>IFERROR(AGGREGATE(15,6,ROW('Input Transaksi'!$B$5:$B$5000)/('Input Transaksi'!$B$5:$B$5000="JCL NUSA KAMBANGAN"),ROWS($E$5:E163)),"")</f>
        <v/>
      </c>
      <c r="F163" s="5" t="n"/>
    </row>
    <row r="164">
      <c r="A164" s="10">
        <f>IF($E164="","",INDEX('Input Transaksi'!$A:$A,$E164))</f>
        <v/>
      </c>
      <c r="B164" s="5">
        <f>IF($E164="","",INDEX('Input Transaksi'!$D:$D,$E164))</f>
        <v/>
      </c>
      <c r="C164">
        <f>IF($E164="","",INDEX('Input Transaksi'!$E:$E,$E164))</f>
        <v/>
      </c>
      <c r="D164" s="5">
        <f>IF($E164="","",INDEX('Input Transaksi'!$F:$F,$E164))</f>
        <v/>
      </c>
      <c r="E164">
        <f>IFERROR(AGGREGATE(15,6,ROW('Input Transaksi'!$B$5:$B$5000)/('Input Transaksi'!$B$5:$B$5000="JCL NUSA KAMBANGAN"),ROWS($E$5:E164)),"")</f>
        <v/>
      </c>
      <c r="F164" s="5" t="n"/>
    </row>
    <row r="165">
      <c r="A165" s="10">
        <f>IF($E165="","",INDEX('Input Transaksi'!$A:$A,$E165))</f>
        <v/>
      </c>
      <c r="B165" s="5">
        <f>IF($E165="","",INDEX('Input Transaksi'!$D:$D,$E165))</f>
        <v/>
      </c>
      <c r="C165">
        <f>IF($E165="","",INDEX('Input Transaksi'!$E:$E,$E165))</f>
        <v/>
      </c>
      <c r="D165" s="5">
        <f>IF($E165="","",INDEX('Input Transaksi'!$F:$F,$E165))</f>
        <v/>
      </c>
      <c r="E165">
        <f>IFERROR(AGGREGATE(15,6,ROW('Input Transaksi'!$B$5:$B$5000)/('Input Transaksi'!$B$5:$B$5000="JCL NUSA KAMBANGAN"),ROWS($E$5:E165)),"")</f>
        <v/>
      </c>
      <c r="F165" s="5" t="n"/>
    </row>
    <row r="166">
      <c r="A166" s="10">
        <f>IF($E166="","",INDEX('Input Transaksi'!$A:$A,$E166))</f>
        <v/>
      </c>
      <c r="B166" s="5">
        <f>IF($E166="","",INDEX('Input Transaksi'!$D:$D,$E166))</f>
        <v/>
      </c>
      <c r="C166">
        <f>IF($E166="","",INDEX('Input Transaksi'!$E:$E,$E166))</f>
        <v/>
      </c>
      <c r="D166" s="5">
        <f>IF($E166="","",INDEX('Input Transaksi'!$F:$F,$E166))</f>
        <v/>
      </c>
      <c r="E166">
        <f>IFERROR(AGGREGATE(15,6,ROW('Input Transaksi'!$B$5:$B$5000)/('Input Transaksi'!$B$5:$B$5000="JCL NUSA KAMBANGAN"),ROWS($E$5:E166)),"")</f>
        <v/>
      </c>
      <c r="F166" s="5" t="n"/>
    </row>
    <row r="167">
      <c r="A167" s="10">
        <f>IF($E167="","",INDEX('Input Transaksi'!$A:$A,$E167))</f>
        <v/>
      </c>
      <c r="B167" s="5">
        <f>IF($E167="","",INDEX('Input Transaksi'!$D:$D,$E167))</f>
        <v/>
      </c>
      <c r="C167">
        <f>IF($E167="","",INDEX('Input Transaksi'!$E:$E,$E167))</f>
        <v/>
      </c>
      <c r="D167" s="5">
        <f>IF($E167="","",INDEX('Input Transaksi'!$F:$F,$E167))</f>
        <v/>
      </c>
      <c r="E167">
        <f>IFERROR(AGGREGATE(15,6,ROW('Input Transaksi'!$B$5:$B$5000)/('Input Transaksi'!$B$5:$B$5000="JCL NUSA KAMBANGAN"),ROWS($E$5:E167)),"")</f>
        <v/>
      </c>
      <c r="F167" s="5" t="n"/>
    </row>
    <row r="168">
      <c r="A168" s="10">
        <f>IF($E168="","",INDEX('Input Transaksi'!$A:$A,$E168))</f>
        <v/>
      </c>
      <c r="B168" s="5">
        <f>IF($E168="","",INDEX('Input Transaksi'!$D:$D,$E168))</f>
        <v/>
      </c>
      <c r="C168">
        <f>IF($E168="","",INDEX('Input Transaksi'!$E:$E,$E168))</f>
        <v/>
      </c>
      <c r="D168" s="5">
        <f>IF($E168="","",INDEX('Input Transaksi'!$F:$F,$E168))</f>
        <v/>
      </c>
      <c r="E168">
        <f>IFERROR(AGGREGATE(15,6,ROW('Input Transaksi'!$B$5:$B$5000)/('Input Transaksi'!$B$5:$B$5000="JCL NUSA KAMBANGAN"),ROWS($E$5:E168)),"")</f>
        <v/>
      </c>
      <c r="F168" s="5" t="n"/>
    </row>
    <row r="169">
      <c r="A169" s="10">
        <f>IF($E169="","",INDEX('Input Transaksi'!$A:$A,$E169))</f>
        <v/>
      </c>
      <c r="B169" s="5">
        <f>IF($E169="","",INDEX('Input Transaksi'!$D:$D,$E169))</f>
        <v/>
      </c>
      <c r="C169">
        <f>IF($E169="","",INDEX('Input Transaksi'!$E:$E,$E169))</f>
        <v/>
      </c>
      <c r="D169" s="5">
        <f>IF($E169="","",INDEX('Input Transaksi'!$F:$F,$E169))</f>
        <v/>
      </c>
      <c r="E169">
        <f>IFERROR(AGGREGATE(15,6,ROW('Input Transaksi'!$B$5:$B$5000)/('Input Transaksi'!$B$5:$B$5000="JCL NUSA KAMBANGAN"),ROWS($E$5:E169)),"")</f>
        <v/>
      </c>
      <c r="F169" s="5" t="n"/>
    </row>
    <row r="170">
      <c r="A170" s="10">
        <f>IF($E170="","",INDEX('Input Transaksi'!$A:$A,$E170))</f>
        <v/>
      </c>
      <c r="B170" s="5">
        <f>IF($E170="","",INDEX('Input Transaksi'!$D:$D,$E170))</f>
        <v/>
      </c>
      <c r="C170">
        <f>IF($E170="","",INDEX('Input Transaksi'!$E:$E,$E170))</f>
        <v/>
      </c>
      <c r="D170" s="5">
        <f>IF($E170="","",INDEX('Input Transaksi'!$F:$F,$E170))</f>
        <v/>
      </c>
      <c r="E170">
        <f>IFERROR(AGGREGATE(15,6,ROW('Input Transaksi'!$B$5:$B$5000)/('Input Transaksi'!$B$5:$B$5000="JCL NUSA KAMBANGAN"),ROWS($E$5:E170)),"")</f>
        <v/>
      </c>
      <c r="F170" s="5" t="n"/>
    </row>
    <row r="171">
      <c r="A171" s="10">
        <f>IF($E171="","",INDEX('Input Transaksi'!$A:$A,$E171))</f>
        <v/>
      </c>
      <c r="B171" s="5">
        <f>IF($E171="","",INDEX('Input Transaksi'!$D:$D,$E171))</f>
        <v/>
      </c>
      <c r="C171">
        <f>IF($E171="","",INDEX('Input Transaksi'!$E:$E,$E171))</f>
        <v/>
      </c>
      <c r="D171" s="5">
        <f>IF($E171="","",INDEX('Input Transaksi'!$F:$F,$E171))</f>
        <v/>
      </c>
      <c r="E171">
        <f>IFERROR(AGGREGATE(15,6,ROW('Input Transaksi'!$B$5:$B$5000)/('Input Transaksi'!$B$5:$B$5000="JCL NUSA KAMBANGAN"),ROWS($E$5:E171)),"")</f>
        <v/>
      </c>
      <c r="F171" s="5" t="n"/>
    </row>
    <row r="172">
      <c r="A172" s="10">
        <f>IF($E172="","",INDEX('Input Transaksi'!$A:$A,$E172))</f>
        <v/>
      </c>
      <c r="B172" s="5">
        <f>IF($E172="","",INDEX('Input Transaksi'!$D:$D,$E172))</f>
        <v/>
      </c>
      <c r="C172">
        <f>IF($E172="","",INDEX('Input Transaksi'!$E:$E,$E172))</f>
        <v/>
      </c>
      <c r="D172" s="5">
        <f>IF($E172="","",INDEX('Input Transaksi'!$F:$F,$E172))</f>
        <v/>
      </c>
      <c r="E172">
        <f>IFERROR(AGGREGATE(15,6,ROW('Input Transaksi'!$B$5:$B$5000)/('Input Transaksi'!$B$5:$B$5000="JCL NUSA KAMBANGAN"),ROWS($E$5:E172)),"")</f>
        <v/>
      </c>
      <c r="F172" s="5" t="n"/>
    </row>
    <row r="173">
      <c r="A173" s="10">
        <f>IF($E173="","",INDEX('Input Transaksi'!$A:$A,$E173))</f>
        <v/>
      </c>
      <c r="B173" s="5">
        <f>IF($E173="","",INDEX('Input Transaksi'!$D:$D,$E173))</f>
        <v/>
      </c>
      <c r="C173">
        <f>IF($E173="","",INDEX('Input Transaksi'!$E:$E,$E173))</f>
        <v/>
      </c>
      <c r="D173" s="5">
        <f>IF($E173="","",INDEX('Input Transaksi'!$F:$F,$E173))</f>
        <v/>
      </c>
      <c r="E173">
        <f>IFERROR(AGGREGATE(15,6,ROW('Input Transaksi'!$B$5:$B$5000)/('Input Transaksi'!$B$5:$B$5000="JCL NUSA KAMBANGAN"),ROWS($E$5:E173)),"")</f>
        <v/>
      </c>
      <c r="F173" s="5" t="n"/>
    </row>
    <row r="174">
      <c r="A174" s="10">
        <f>IF($E174="","",INDEX('Input Transaksi'!$A:$A,$E174))</f>
        <v/>
      </c>
      <c r="B174" s="5">
        <f>IF($E174="","",INDEX('Input Transaksi'!$D:$D,$E174))</f>
        <v/>
      </c>
      <c r="C174">
        <f>IF($E174="","",INDEX('Input Transaksi'!$E:$E,$E174))</f>
        <v/>
      </c>
      <c r="D174" s="5">
        <f>IF($E174="","",INDEX('Input Transaksi'!$F:$F,$E174))</f>
        <v/>
      </c>
      <c r="E174">
        <f>IFERROR(AGGREGATE(15,6,ROW('Input Transaksi'!$B$5:$B$5000)/('Input Transaksi'!$B$5:$B$5000="JCL NUSA KAMBANGAN"),ROWS($E$5:E174)),"")</f>
        <v/>
      </c>
      <c r="F174" s="5" t="n"/>
    </row>
    <row r="175">
      <c r="A175" s="10">
        <f>IF($E175="","",INDEX('Input Transaksi'!$A:$A,$E175))</f>
        <v/>
      </c>
      <c r="B175" s="5">
        <f>IF($E175="","",INDEX('Input Transaksi'!$D:$D,$E175))</f>
        <v/>
      </c>
      <c r="C175">
        <f>IF($E175="","",INDEX('Input Transaksi'!$E:$E,$E175))</f>
        <v/>
      </c>
      <c r="D175" s="5">
        <f>IF($E175="","",INDEX('Input Transaksi'!$F:$F,$E175))</f>
        <v/>
      </c>
      <c r="E175">
        <f>IFERROR(AGGREGATE(15,6,ROW('Input Transaksi'!$B$5:$B$5000)/('Input Transaksi'!$B$5:$B$5000="JCL NUSA KAMBANGAN"),ROWS($E$5:E175)),"")</f>
        <v/>
      </c>
      <c r="F175" s="5" t="n"/>
    </row>
    <row r="176">
      <c r="A176" s="10">
        <f>IF($E176="","",INDEX('Input Transaksi'!$A:$A,$E176))</f>
        <v/>
      </c>
      <c r="B176" s="5">
        <f>IF($E176="","",INDEX('Input Transaksi'!$D:$D,$E176))</f>
        <v/>
      </c>
      <c r="C176">
        <f>IF($E176="","",INDEX('Input Transaksi'!$E:$E,$E176))</f>
        <v/>
      </c>
      <c r="D176" s="5">
        <f>IF($E176="","",INDEX('Input Transaksi'!$F:$F,$E176))</f>
        <v/>
      </c>
      <c r="E176">
        <f>IFERROR(AGGREGATE(15,6,ROW('Input Transaksi'!$B$5:$B$5000)/('Input Transaksi'!$B$5:$B$5000="JCL NUSA KAMBANGAN"),ROWS($E$5:E176)),"")</f>
        <v/>
      </c>
      <c r="F176" s="5" t="n"/>
    </row>
    <row r="177">
      <c r="A177" s="10">
        <f>IF($E177="","",INDEX('Input Transaksi'!$A:$A,$E177))</f>
        <v/>
      </c>
      <c r="B177" s="5">
        <f>IF($E177="","",INDEX('Input Transaksi'!$D:$D,$E177))</f>
        <v/>
      </c>
      <c r="C177">
        <f>IF($E177="","",INDEX('Input Transaksi'!$E:$E,$E177))</f>
        <v/>
      </c>
      <c r="D177" s="5">
        <f>IF($E177="","",INDEX('Input Transaksi'!$F:$F,$E177))</f>
        <v/>
      </c>
      <c r="E177">
        <f>IFERROR(AGGREGATE(15,6,ROW('Input Transaksi'!$B$5:$B$5000)/('Input Transaksi'!$B$5:$B$5000="JCL NUSA KAMBANGAN"),ROWS($E$5:E177)),"")</f>
        <v/>
      </c>
      <c r="F177" s="5" t="n"/>
    </row>
    <row r="178">
      <c r="A178" s="10">
        <f>IF($E178="","",INDEX('Input Transaksi'!$A:$A,$E178))</f>
        <v/>
      </c>
      <c r="B178" s="5">
        <f>IF($E178="","",INDEX('Input Transaksi'!$D:$D,$E178))</f>
        <v/>
      </c>
      <c r="C178">
        <f>IF($E178="","",INDEX('Input Transaksi'!$E:$E,$E178))</f>
        <v/>
      </c>
      <c r="D178" s="5">
        <f>IF($E178="","",INDEX('Input Transaksi'!$F:$F,$E178))</f>
        <v/>
      </c>
      <c r="E178">
        <f>IFERROR(AGGREGATE(15,6,ROW('Input Transaksi'!$B$5:$B$5000)/('Input Transaksi'!$B$5:$B$5000="JCL NUSA KAMBANGAN"),ROWS($E$5:E178)),"")</f>
        <v/>
      </c>
      <c r="F178" s="5" t="n"/>
    </row>
    <row r="179">
      <c r="A179" s="10">
        <f>IF($E179="","",INDEX('Input Transaksi'!$A:$A,$E179))</f>
        <v/>
      </c>
      <c r="B179" s="5">
        <f>IF($E179="","",INDEX('Input Transaksi'!$D:$D,$E179))</f>
        <v/>
      </c>
      <c r="C179">
        <f>IF($E179="","",INDEX('Input Transaksi'!$E:$E,$E179))</f>
        <v/>
      </c>
      <c r="D179" s="5">
        <f>IF($E179="","",INDEX('Input Transaksi'!$F:$F,$E179))</f>
        <v/>
      </c>
      <c r="E179">
        <f>IFERROR(AGGREGATE(15,6,ROW('Input Transaksi'!$B$5:$B$5000)/('Input Transaksi'!$B$5:$B$5000="JCL NUSA KAMBANGAN"),ROWS($E$5:E179)),"")</f>
        <v/>
      </c>
      <c r="F179" s="5" t="n"/>
    </row>
    <row r="180">
      <c r="A180" s="10">
        <f>IF($E180="","",INDEX('Input Transaksi'!$A:$A,$E180))</f>
        <v/>
      </c>
      <c r="B180" s="5">
        <f>IF($E180="","",INDEX('Input Transaksi'!$D:$D,$E180))</f>
        <v/>
      </c>
      <c r="C180">
        <f>IF($E180="","",INDEX('Input Transaksi'!$E:$E,$E180))</f>
        <v/>
      </c>
      <c r="D180" s="5">
        <f>IF($E180="","",INDEX('Input Transaksi'!$F:$F,$E180))</f>
        <v/>
      </c>
      <c r="E180">
        <f>IFERROR(AGGREGATE(15,6,ROW('Input Transaksi'!$B$5:$B$5000)/('Input Transaksi'!$B$5:$B$5000="JCL NUSA KAMBANGAN"),ROWS($E$5:E180)),"")</f>
        <v/>
      </c>
      <c r="F180" s="5" t="n"/>
    </row>
    <row r="181">
      <c r="A181" s="10">
        <f>IF($E181="","",INDEX('Input Transaksi'!$A:$A,$E181))</f>
        <v/>
      </c>
      <c r="B181" s="5">
        <f>IF($E181="","",INDEX('Input Transaksi'!$D:$D,$E181))</f>
        <v/>
      </c>
      <c r="C181">
        <f>IF($E181="","",INDEX('Input Transaksi'!$E:$E,$E181))</f>
        <v/>
      </c>
      <c r="D181" s="5">
        <f>IF($E181="","",INDEX('Input Transaksi'!$F:$F,$E181))</f>
        <v/>
      </c>
      <c r="E181">
        <f>IFERROR(AGGREGATE(15,6,ROW('Input Transaksi'!$B$5:$B$5000)/('Input Transaksi'!$B$5:$B$5000="JCL NUSA KAMBANGAN"),ROWS($E$5:E181)),"")</f>
        <v/>
      </c>
      <c r="F181" s="5" t="n"/>
    </row>
    <row r="182">
      <c r="A182" s="10">
        <f>IF($E182="","",INDEX('Input Transaksi'!$A:$A,$E182))</f>
        <v/>
      </c>
      <c r="B182" s="5">
        <f>IF($E182="","",INDEX('Input Transaksi'!$D:$D,$E182))</f>
        <v/>
      </c>
      <c r="C182">
        <f>IF($E182="","",INDEX('Input Transaksi'!$E:$E,$E182))</f>
        <v/>
      </c>
      <c r="D182" s="5">
        <f>IF($E182="","",INDEX('Input Transaksi'!$F:$F,$E182))</f>
        <v/>
      </c>
      <c r="E182">
        <f>IFERROR(AGGREGATE(15,6,ROW('Input Transaksi'!$B$5:$B$5000)/('Input Transaksi'!$B$5:$B$5000="JCL NUSA KAMBANGAN"),ROWS($E$5:E182)),"")</f>
        <v/>
      </c>
      <c r="F182" s="5" t="n"/>
    </row>
    <row r="183">
      <c r="A183" s="10">
        <f>IF($E183="","",INDEX('Input Transaksi'!$A:$A,$E183))</f>
        <v/>
      </c>
      <c r="B183" s="5">
        <f>IF($E183="","",INDEX('Input Transaksi'!$D:$D,$E183))</f>
        <v/>
      </c>
      <c r="C183">
        <f>IF($E183="","",INDEX('Input Transaksi'!$E:$E,$E183))</f>
        <v/>
      </c>
      <c r="D183" s="5">
        <f>IF($E183="","",INDEX('Input Transaksi'!$F:$F,$E183))</f>
        <v/>
      </c>
      <c r="E183">
        <f>IFERROR(AGGREGATE(15,6,ROW('Input Transaksi'!$B$5:$B$5000)/('Input Transaksi'!$B$5:$B$5000="JCL NUSA KAMBANGAN"),ROWS($E$5:E183)),"")</f>
        <v/>
      </c>
      <c r="F183" s="5" t="n"/>
    </row>
    <row r="184">
      <c r="A184" s="10">
        <f>IF($E184="","",INDEX('Input Transaksi'!$A:$A,$E184))</f>
        <v/>
      </c>
      <c r="B184" s="5">
        <f>IF($E184="","",INDEX('Input Transaksi'!$D:$D,$E184))</f>
        <v/>
      </c>
      <c r="C184">
        <f>IF($E184="","",INDEX('Input Transaksi'!$E:$E,$E184))</f>
        <v/>
      </c>
      <c r="D184" s="5">
        <f>IF($E184="","",INDEX('Input Transaksi'!$F:$F,$E184))</f>
        <v/>
      </c>
      <c r="E184">
        <f>IFERROR(AGGREGATE(15,6,ROW('Input Transaksi'!$B$5:$B$5000)/('Input Transaksi'!$B$5:$B$5000="JCL NUSA KAMBANGAN"),ROWS($E$5:E184)),"")</f>
        <v/>
      </c>
      <c r="F184" s="5" t="n"/>
    </row>
    <row r="185">
      <c r="A185" s="10">
        <f>IF($E185="","",INDEX('Input Transaksi'!$A:$A,$E185))</f>
        <v/>
      </c>
      <c r="B185" s="5">
        <f>IF($E185="","",INDEX('Input Transaksi'!$D:$D,$E185))</f>
        <v/>
      </c>
      <c r="C185">
        <f>IF($E185="","",INDEX('Input Transaksi'!$E:$E,$E185))</f>
        <v/>
      </c>
      <c r="D185" s="5">
        <f>IF($E185="","",INDEX('Input Transaksi'!$F:$F,$E185))</f>
        <v/>
      </c>
      <c r="E185">
        <f>IFERROR(AGGREGATE(15,6,ROW('Input Transaksi'!$B$5:$B$5000)/('Input Transaksi'!$B$5:$B$5000="JCL NUSA KAMBANGAN"),ROWS($E$5:E185)),"")</f>
        <v/>
      </c>
      <c r="F185" s="5" t="n"/>
    </row>
    <row r="186">
      <c r="A186" s="10">
        <f>IF($E186="","",INDEX('Input Transaksi'!$A:$A,$E186))</f>
        <v/>
      </c>
      <c r="B186" s="5">
        <f>IF($E186="","",INDEX('Input Transaksi'!$D:$D,$E186))</f>
        <v/>
      </c>
      <c r="C186">
        <f>IF($E186="","",INDEX('Input Transaksi'!$E:$E,$E186))</f>
        <v/>
      </c>
      <c r="D186" s="5">
        <f>IF($E186="","",INDEX('Input Transaksi'!$F:$F,$E186))</f>
        <v/>
      </c>
      <c r="E186">
        <f>IFERROR(AGGREGATE(15,6,ROW('Input Transaksi'!$B$5:$B$5000)/('Input Transaksi'!$B$5:$B$5000="JCL NUSA KAMBANGAN"),ROWS($E$5:E186)),"")</f>
        <v/>
      </c>
      <c r="F186" s="5" t="n"/>
    </row>
    <row r="187">
      <c r="A187" s="10">
        <f>IF($E187="","",INDEX('Input Transaksi'!$A:$A,$E187))</f>
        <v/>
      </c>
      <c r="B187" s="5">
        <f>IF($E187="","",INDEX('Input Transaksi'!$D:$D,$E187))</f>
        <v/>
      </c>
      <c r="C187">
        <f>IF($E187="","",INDEX('Input Transaksi'!$E:$E,$E187))</f>
        <v/>
      </c>
      <c r="D187" s="5">
        <f>IF($E187="","",INDEX('Input Transaksi'!$F:$F,$E187))</f>
        <v/>
      </c>
      <c r="E187">
        <f>IFERROR(AGGREGATE(15,6,ROW('Input Transaksi'!$B$5:$B$5000)/('Input Transaksi'!$B$5:$B$5000="JCL NUSA KAMBANGAN"),ROWS($E$5:E187)),"")</f>
        <v/>
      </c>
      <c r="F187" s="5" t="n"/>
    </row>
    <row r="188">
      <c r="A188" s="10">
        <f>IF($E188="","",INDEX('Input Transaksi'!$A:$A,$E188))</f>
        <v/>
      </c>
      <c r="B188" s="5">
        <f>IF($E188="","",INDEX('Input Transaksi'!$D:$D,$E188))</f>
        <v/>
      </c>
      <c r="C188">
        <f>IF($E188="","",INDEX('Input Transaksi'!$E:$E,$E188))</f>
        <v/>
      </c>
      <c r="D188" s="5">
        <f>IF($E188="","",INDEX('Input Transaksi'!$F:$F,$E188))</f>
        <v/>
      </c>
      <c r="E188">
        <f>IFERROR(AGGREGATE(15,6,ROW('Input Transaksi'!$B$5:$B$5000)/('Input Transaksi'!$B$5:$B$5000="JCL NUSA KAMBANGAN"),ROWS($E$5:E188)),"")</f>
        <v/>
      </c>
      <c r="F188" s="5" t="n"/>
    </row>
    <row r="189">
      <c r="A189" s="10">
        <f>IF($E189="","",INDEX('Input Transaksi'!$A:$A,$E189))</f>
        <v/>
      </c>
      <c r="B189" s="5">
        <f>IF($E189="","",INDEX('Input Transaksi'!$D:$D,$E189))</f>
        <v/>
      </c>
      <c r="C189">
        <f>IF($E189="","",INDEX('Input Transaksi'!$E:$E,$E189))</f>
        <v/>
      </c>
      <c r="D189" s="5">
        <f>IF($E189="","",INDEX('Input Transaksi'!$F:$F,$E189))</f>
        <v/>
      </c>
      <c r="E189">
        <f>IFERROR(AGGREGATE(15,6,ROW('Input Transaksi'!$B$5:$B$5000)/('Input Transaksi'!$B$5:$B$5000="JCL NUSA KAMBANGAN"),ROWS($E$5:E189)),"")</f>
        <v/>
      </c>
      <c r="F189" s="5" t="n"/>
    </row>
    <row r="190">
      <c r="A190" s="10">
        <f>IF($E190="","",INDEX('Input Transaksi'!$A:$A,$E190))</f>
        <v/>
      </c>
      <c r="B190" s="5">
        <f>IF($E190="","",INDEX('Input Transaksi'!$D:$D,$E190))</f>
        <v/>
      </c>
      <c r="C190">
        <f>IF($E190="","",INDEX('Input Transaksi'!$E:$E,$E190))</f>
        <v/>
      </c>
      <c r="D190" s="5">
        <f>IF($E190="","",INDEX('Input Transaksi'!$F:$F,$E190))</f>
        <v/>
      </c>
      <c r="E190">
        <f>IFERROR(AGGREGATE(15,6,ROW('Input Transaksi'!$B$5:$B$5000)/('Input Transaksi'!$B$5:$B$5000="JCL NUSA KAMBANGAN"),ROWS($E$5:E190)),"")</f>
        <v/>
      </c>
      <c r="F190" s="5" t="n"/>
    </row>
    <row r="191">
      <c r="A191" s="10">
        <f>IF($E191="","",INDEX('Input Transaksi'!$A:$A,$E191))</f>
        <v/>
      </c>
      <c r="B191" s="5">
        <f>IF($E191="","",INDEX('Input Transaksi'!$D:$D,$E191))</f>
        <v/>
      </c>
      <c r="C191">
        <f>IF($E191="","",INDEX('Input Transaksi'!$E:$E,$E191))</f>
        <v/>
      </c>
      <c r="D191" s="5">
        <f>IF($E191="","",INDEX('Input Transaksi'!$F:$F,$E191))</f>
        <v/>
      </c>
      <c r="E191">
        <f>IFERROR(AGGREGATE(15,6,ROW('Input Transaksi'!$B$5:$B$5000)/('Input Transaksi'!$B$5:$B$5000="JCL NUSA KAMBANGAN"),ROWS($E$5:E191)),"")</f>
        <v/>
      </c>
      <c r="F191" s="5" t="n"/>
    </row>
    <row r="192">
      <c r="A192" s="10">
        <f>IF($E192="","",INDEX('Input Transaksi'!$A:$A,$E192))</f>
        <v/>
      </c>
      <c r="B192" s="5">
        <f>IF($E192="","",INDEX('Input Transaksi'!$D:$D,$E192))</f>
        <v/>
      </c>
      <c r="C192">
        <f>IF($E192="","",INDEX('Input Transaksi'!$E:$E,$E192))</f>
        <v/>
      </c>
      <c r="D192" s="5">
        <f>IF($E192="","",INDEX('Input Transaksi'!$F:$F,$E192))</f>
        <v/>
      </c>
      <c r="E192">
        <f>IFERROR(AGGREGATE(15,6,ROW('Input Transaksi'!$B$5:$B$5000)/('Input Transaksi'!$B$5:$B$5000="JCL NUSA KAMBANGAN"),ROWS($E$5:E192)),"")</f>
        <v/>
      </c>
      <c r="F192" s="5" t="n"/>
    </row>
    <row r="193">
      <c r="A193" s="10">
        <f>IF($E193="","",INDEX('Input Transaksi'!$A:$A,$E193))</f>
        <v/>
      </c>
      <c r="B193" s="5">
        <f>IF($E193="","",INDEX('Input Transaksi'!$D:$D,$E193))</f>
        <v/>
      </c>
      <c r="C193">
        <f>IF($E193="","",INDEX('Input Transaksi'!$E:$E,$E193))</f>
        <v/>
      </c>
      <c r="D193" s="5">
        <f>IF($E193="","",INDEX('Input Transaksi'!$F:$F,$E193))</f>
        <v/>
      </c>
      <c r="E193">
        <f>IFERROR(AGGREGATE(15,6,ROW('Input Transaksi'!$B$5:$B$5000)/('Input Transaksi'!$B$5:$B$5000="JCL NUSA KAMBANGAN"),ROWS($E$5:E193)),"")</f>
        <v/>
      </c>
      <c r="F193" s="5" t="n"/>
    </row>
    <row r="194">
      <c r="A194" s="10">
        <f>IF($E194="","",INDEX('Input Transaksi'!$A:$A,$E194))</f>
        <v/>
      </c>
      <c r="B194" s="5">
        <f>IF($E194="","",INDEX('Input Transaksi'!$D:$D,$E194))</f>
        <v/>
      </c>
      <c r="C194">
        <f>IF($E194="","",INDEX('Input Transaksi'!$E:$E,$E194))</f>
        <v/>
      </c>
      <c r="D194" s="5">
        <f>IF($E194="","",INDEX('Input Transaksi'!$F:$F,$E194))</f>
        <v/>
      </c>
      <c r="E194">
        <f>IFERROR(AGGREGATE(15,6,ROW('Input Transaksi'!$B$5:$B$5000)/('Input Transaksi'!$B$5:$B$5000="JCL NUSA KAMBANGAN"),ROWS($E$5:E194)),"")</f>
        <v/>
      </c>
      <c r="F194" s="5" t="n"/>
    </row>
    <row r="195">
      <c r="A195" s="10">
        <f>IF($E195="","",INDEX('Input Transaksi'!$A:$A,$E195))</f>
        <v/>
      </c>
      <c r="B195" s="5">
        <f>IF($E195="","",INDEX('Input Transaksi'!$D:$D,$E195))</f>
        <v/>
      </c>
      <c r="C195">
        <f>IF($E195="","",INDEX('Input Transaksi'!$E:$E,$E195))</f>
        <v/>
      </c>
      <c r="D195" s="5">
        <f>IF($E195="","",INDEX('Input Transaksi'!$F:$F,$E195))</f>
        <v/>
      </c>
      <c r="E195">
        <f>IFERROR(AGGREGATE(15,6,ROW('Input Transaksi'!$B$5:$B$5000)/('Input Transaksi'!$B$5:$B$5000="JCL NUSA KAMBANGAN"),ROWS($E$5:E195)),"")</f>
        <v/>
      </c>
      <c r="F195" s="5" t="n"/>
    </row>
    <row r="196">
      <c r="A196" s="10">
        <f>IF($E196="","",INDEX('Input Transaksi'!$A:$A,$E196))</f>
        <v/>
      </c>
      <c r="B196" s="5">
        <f>IF($E196="","",INDEX('Input Transaksi'!$D:$D,$E196))</f>
        <v/>
      </c>
      <c r="C196">
        <f>IF($E196="","",INDEX('Input Transaksi'!$E:$E,$E196))</f>
        <v/>
      </c>
      <c r="D196" s="5">
        <f>IF($E196="","",INDEX('Input Transaksi'!$F:$F,$E196))</f>
        <v/>
      </c>
      <c r="E196">
        <f>IFERROR(AGGREGATE(15,6,ROW('Input Transaksi'!$B$5:$B$5000)/('Input Transaksi'!$B$5:$B$5000="JCL NUSA KAMBANGAN"),ROWS($E$5:E196)),"")</f>
        <v/>
      </c>
      <c r="F196" s="5" t="n"/>
    </row>
    <row r="197">
      <c r="A197" s="10">
        <f>IF($E197="","",INDEX('Input Transaksi'!$A:$A,$E197))</f>
        <v/>
      </c>
      <c r="B197" s="5">
        <f>IF($E197="","",INDEX('Input Transaksi'!$D:$D,$E197))</f>
        <v/>
      </c>
      <c r="C197">
        <f>IF($E197="","",INDEX('Input Transaksi'!$E:$E,$E197))</f>
        <v/>
      </c>
      <c r="D197" s="5">
        <f>IF($E197="","",INDEX('Input Transaksi'!$F:$F,$E197))</f>
        <v/>
      </c>
      <c r="E197">
        <f>IFERROR(AGGREGATE(15,6,ROW('Input Transaksi'!$B$5:$B$5000)/('Input Transaksi'!$B$5:$B$5000="JCL NUSA KAMBANGAN"),ROWS($E$5:E197)),"")</f>
        <v/>
      </c>
      <c r="F197" s="5" t="n"/>
    </row>
    <row r="198">
      <c r="A198" s="10">
        <f>IF($E198="","",INDEX('Input Transaksi'!$A:$A,$E198))</f>
        <v/>
      </c>
      <c r="B198" s="5">
        <f>IF($E198="","",INDEX('Input Transaksi'!$D:$D,$E198))</f>
        <v/>
      </c>
      <c r="C198">
        <f>IF($E198="","",INDEX('Input Transaksi'!$E:$E,$E198))</f>
        <v/>
      </c>
      <c r="D198" s="5">
        <f>IF($E198="","",INDEX('Input Transaksi'!$F:$F,$E198))</f>
        <v/>
      </c>
      <c r="E198">
        <f>IFERROR(AGGREGATE(15,6,ROW('Input Transaksi'!$B$5:$B$5000)/('Input Transaksi'!$B$5:$B$5000="JCL NUSA KAMBANGAN"),ROWS($E$5:E198)),"")</f>
        <v/>
      </c>
      <c r="F198" s="5" t="n"/>
    </row>
    <row r="199">
      <c r="A199" s="10">
        <f>IF($E199="","",INDEX('Input Transaksi'!$A:$A,$E199))</f>
        <v/>
      </c>
      <c r="B199" s="5">
        <f>IF($E199="","",INDEX('Input Transaksi'!$D:$D,$E199))</f>
        <v/>
      </c>
      <c r="C199">
        <f>IF($E199="","",INDEX('Input Transaksi'!$E:$E,$E199))</f>
        <v/>
      </c>
      <c r="D199" s="5">
        <f>IF($E199="","",INDEX('Input Transaksi'!$F:$F,$E199))</f>
        <v/>
      </c>
      <c r="E199">
        <f>IFERROR(AGGREGATE(15,6,ROW('Input Transaksi'!$B$5:$B$5000)/('Input Transaksi'!$B$5:$B$5000="JCL NUSA KAMBANGAN"),ROWS($E$5:E199)),"")</f>
        <v/>
      </c>
      <c r="F199" s="5" t="n"/>
    </row>
    <row r="200">
      <c r="A200" s="10">
        <f>IF($E200="","",INDEX('Input Transaksi'!$A:$A,$E200))</f>
        <v/>
      </c>
      <c r="B200" s="5">
        <f>IF($E200="","",INDEX('Input Transaksi'!$D:$D,$E200))</f>
        <v/>
      </c>
      <c r="C200">
        <f>IF($E200="","",INDEX('Input Transaksi'!$E:$E,$E200))</f>
        <v/>
      </c>
      <c r="D200" s="5">
        <f>IF($E200="","",INDEX('Input Transaksi'!$F:$F,$E200))</f>
        <v/>
      </c>
      <c r="E200">
        <f>IFERROR(AGGREGATE(15,6,ROW('Input Transaksi'!$B$5:$B$5000)/('Input Transaksi'!$B$5:$B$5000="JCL NUSA KAMBANGAN"),ROWS($E$5:E200)),"")</f>
        <v/>
      </c>
      <c r="F200" s="5" t="n"/>
    </row>
    <row r="201">
      <c r="A201" s="10">
        <f>IF($E201="","",INDEX('Input Transaksi'!$A:$A,$E201))</f>
        <v/>
      </c>
      <c r="B201" s="5">
        <f>IF($E201="","",INDEX('Input Transaksi'!$D:$D,$E201))</f>
        <v/>
      </c>
      <c r="C201">
        <f>IF($E201="","",INDEX('Input Transaksi'!$E:$E,$E201))</f>
        <v/>
      </c>
      <c r="D201" s="5">
        <f>IF($E201="","",INDEX('Input Transaksi'!$F:$F,$E201))</f>
        <v/>
      </c>
      <c r="E201">
        <f>IFERROR(AGGREGATE(15,6,ROW('Input Transaksi'!$B$5:$B$5000)/('Input Transaksi'!$B$5:$B$5000="JCL NUSA KAMBANGAN"),ROWS($E$5:E201)),"")</f>
        <v/>
      </c>
      <c r="F201" s="5" t="n"/>
    </row>
    <row r="202">
      <c r="A202" s="10">
        <f>IF($E202="","",INDEX('Input Transaksi'!$A:$A,$E202))</f>
        <v/>
      </c>
      <c r="B202" s="5">
        <f>IF($E202="","",INDEX('Input Transaksi'!$D:$D,$E202))</f>
        <v/>
      </c>
      <c r="C202">
        <f>IF($E202="","",INDEX('Input Transaksi'!$E:$E,$E202))</f>
        <v/>
      </c>
      <c r="D202" s="5">
        <f>IF($E202="","",INDEX('Input Transaksi'!$F:$F,$E202))</f>
        <v/>
      </c>
      <c r="E202">
        <f>IFERROR(AGGREGATE(15,6,ROW('Input Transaksi'!$B$5:$B$5000)/('Input Transaksi'!$B$5:$B$5000="JCL NUSA KAMBANGAN"),ROWS($E$5:E202)),"")</f>
        <v/>
      </c>
      <c r="F202" s="5" t="n"/>
    </row>
    <row r="203">
      <c r="A203" s="10">
        <f>IF($E203="","",INDEX('Input Transaksi'!$A:$A,$E203))</f>
        <v/>
      </c>
      <c r="B203" s="5">
        <f>IF($E203="","",INDEX('Input Transaksi'!$D:$D,$E203))</f>
        <v/>
      </c>
      <c r="C203">
        <f>IF($E203="","",INDEX('Input Transaksi'!$E:$E,$E203))</f>
        <v/>
      </c>
      <c r="D203" s="5">
        <f>IF($E203="","",INDEX('Input Transaksi'!$F:$F,$E203))</f>
        <v/>
      </c>
      <c r="E203">
        <f>IFERROR(AGGREGATE(15,6,ROW('Input Transaksi'!$B$5:$B$5000)/('Input Transaksi'!$B$5:$B$5000="JCL NUSA KAMBANGAN"),ROWS($E$5:E203)),"")</f>
        <v/>
      </c>
      <c r="F203" s="5" t="n"/>
    </row>
    <row r="204">
      <c r="A204" s="10">
        <f>IF($E204="","",INDEX('Input Transaksi'!$A:$A,$E204))</f>
        <v/>
      </c>
      <c r="B204" s="5">
        <f>IF($E204="","",INDEX('Input Transaksi'!$D:$D,$E204))</f>
        <v/>
      </c>
      <c r="C204">
        <f>IF($E204="","",INDEX('Input Transaksi'!$E:$E,$E204))</f>
        <v/>
      </c>
      <c r="D204" s="5">
        <f>IF($E204="","",INDEX('Input Transaksi'!$F:$F,$E204))</f>
        <v/>
      </c>
      <c r="E204">
        <f>IFERROR(AGGREGATE(15,6,ROW('Input Transaksi'!$B$5:$B$5000)/('Input Transaksi'!$B$5:$B$5000="JCL NUSA KAMBANGAN"),ROWS($E$5:E204)),"")</f>
        <v/>
      </c>
      <c r="F204" s="5" t="n"/>
    </row>
    <row r="205">
      <c r="A205" s="10">
        <f>IF($E205="","",INDEX('Input Transaksi'!$A:$A,$E205))</f>
        <v/>
      </c>
      <c r="B205" s="5">
        <f>IF($E205="","",INDEX('Input Transaksi'!$D:$D,$E205))</f>
        <v/>
      </c>
      <c r="C205">
        <f>IF($E205="","",INDEX('Input Transaksi'!$E:$E,$E205))</f>
        <v/>
      </c>
      <c r="D205" s="5">
        <f>IF($E205="","",INDEX('Input Transaksi'!$F:$F,$E205))</f>
        <v/>
      </c>
      <c r="E205">
        <f>IFERROR(AGGREGATE(15,6,ROW('Input Transaksi'!$B$5:$B$5000)/('Input Transaksi'!$B$5:$B$5000="JCL NUSA KAMBANGAN"),ROWS($E$5:E205)),"")</f>
        <v/>
      </c>
      <c r="F205" s="5" t="n"/>
    </row>
    <row r="206">
      <c r="A206" s="10">
        <f>IF($E206="","",INDEX('Input Transaksi'!$A:$A,$E206))</f>
        <v/>
      </c>
      <c r="B206" s="5">
        <f>IF($E206="","",INDEX('Input Transaksi'!$D:$D,$E206))</f>
        <v/>
      </c>
      <c r="C206">
        <f>IF($E206="","",INDEX('Input Transaksi'!$E:$E,$E206))</f>
        <v/>
      </c>
      <c r="D206" s="5">
        <f>IF($E206="","",INDEX('Input Transaksi'!$F:$F,$E206))</f>
        <v/>
      </c>
      <c r="E206">
        <f>IFERROR(AGGREGATE(15,6,ROW('Input Transaksi'!$B$5:$B$5000)/('Input Transaksi'!$B$5:$B$5000="JCL NUSA KAMBANGAN"),ROWS($E$5:E206)),"")</f>
        <v/>
      </c>
      <c r="F206" s="5" t="n"/>
    </row>
    <row r="207">
      <c r="A207" s="10">
        <f>IF($E207="","",INDEX('Input Transaksi'!$A:$A,$E207))</f>
        <v/>
      </c>
      <c r="B207" s="5">
        <f>IF($E207="","",INDEX('Input Transaksi'!$D:$D,$E207))</f>
        <v/>
      </c>
      <c r="C207">
        <f>IF($E207="","",INDEX('Input Transaksi'!$E:$E,$E207))</f>
        <v/>
      </c>
      <c r="D207" s="5">
        <f>IF($E207="","",INDEX('Input Transaksi'!$F:$F,$E207))</f>
        <v/>
      </c>
      <c r="E207">
        <f>IFERROR(AGGREGATE(15,6,ROW('Input Transaksi'!$B$5:$B$5000)/('Input Transaksi'!$B$5:$B$5000="JCL NUSA KAMBANGAN"),ROWS($E$5:E207)),"")</f>
        <v/>
      </c>
      <c r="F207" s="5" t="n"/>
    </row>
    <row r="208">
      <c r="A208" s="10">
        <f>IF($E208="","",INDEX('Input Transaksi'!$A:$A,$E208))</f>
        <v/>
      </c>
      <c r="B208" s="5">
        <f>IF($E208="","",INDEX('Input Transaksi'!$D:$D,$E208))</f>
        <v/>
      </c>
      <c r="C208">
        <f>IF($E208="","",INDEX('Input Transaksi'!$E:$E,$E208))</f>
        <v/>
      </c>
      <c r="D208" s="5">
        <f>IF($E208="","",INDEX('Input Transaksi'!$F:$F,$E208))</f>
        <v/>
      </c>
      <c r="E208">
        <f>IFERROR(AGGREGATE(15,6,ROW('Input Transaksi'!$B$5:$B$5000)/('Input Transaksi'!$B$5:$B$5000="JCL NUSA KAMBANGAN"),ROWS($E$5:E208)),"")</f>
        <v/>
      </c>
      <c r="F208" s="5" t="n"/>
    </row>
    <row r="209">
      <c r="A209" s="10">
        <f>IF($E209="","",INDEX('Input Transaksi'!$A:$A,$E209))</f>
        <v/>
      </c>
      <c r="B209" s="5">
        <f>IF($E209="","",INDEX('Input Transaksi'!$D:$D,$E209))</f>
        <v/>
      </c>
      <c r="C209">
        <f>IF($E209="","",INDEX('Input Transaksi'!$E:$E,$E209))</f>
        <v/>
      </c>
      <c r="D209" s="5">
        <f>IF($E209="","",INDEX('Input Transaksi'!$F:$F,$E209))</f>
        <v/>
      </c>
      <c r="E209">
        <f>IFERROR(AGGREGATE(15,6,ROW('Input Transaksi'!$B$5:$B$5000)/('Input Transaksi'!$B$5:$B$5000="JCL NUSA KAMBANGAN"),ROWS($E$5:E209)),"")</f>
        <v/>
      </c>
      <c r="F209" s="5" t="n"/>
    </row>
    <row r="210">
      <c r="A210" s="10">
        <f>IF($E210="","",INDEX('Input Transaksi'!$A:$A,$E210))</f>
        <v/>
      </c>
      <c r="B210" s="5">
        <f>IF($E210="","",INDEX('Input Transaksi'!$D:$D,$E210))</f>
        <v/>
      </c>
      <c r="C210">
        <f>IF($E210="","",INDEX('Input Transaksi'!$E:$E,$E210))</f>
        <v/>
      </c>
      <c r="D210" s="5">
        <f>IF($E210="","",INDEX('Input Transaksi'!$F:$F,$E210))</f>
        <v/>
      </c>
      <c r="E210">
        <f>IFERROR(AGGREGATE(15,6,ROW('Input Transaksi'!$B$5:$B$5000)/('Input Transaksi'!$B$5:$B$5000="JCL NUSA KAMBANGAN"),ROWS($E$5:E210)),"")</f>
        <v/>
      </c>
      <c r="F210" s="5" t="n"/>
    </row>
    <row r="211">
      <c r="A211" s="10">
        <f>IF($E211="","",INDEX('Input Transaksi'!$A:$A,$E211))</f>
        <v/>
      </c>
      <c r="B211" s="5">
        <f>IF($E211="","",INDEX('Input Transaksi'!$D:$D,$E211))</f>
        <v/>
      </c>
      <c r="C211">
        <f>IF($E211="","",INDEX('Input Transaksi'!$E:$E,$E211))</f>
        <v/>
      </c>
      <c r="D211" s="5">
        <f>IF($E211="","",INDEX('Input Transaksi'!$F:$F,$E211))</f>
        <v/>
      </c>
      <c r="E211">
        <f>IFERROR(AGGREGATE(15,6,ROW('Input Transaksi'!$B$5:$B$5000)/('Input Transaksi'!$B$5:$B$5000="JCL NUSA KAMBANGAN"),ROWS($E$5:E211)),"")</f>
        <v/>
      </c>
      <c r="F211" s="5" t="n"/>
    </row>
    <row r="212">
      <c r="A212" s="10">
        <f>IF($E212="","",INDEX('Input Transaksi'!$A:$A,$E212))</f>
        <v/>
      </c>
      <c r="B212" s="5">
        <f>IF($E212="","",INDEX('Input Transaksi'!$D:$D,$E212))</f>
        <v/>
      </c>
      <c r="C212">
        <f>IF($E212="","",INDEX('Input Transaksi'!$E:$E,$E212))</f>
        <v/>
      </c>
      <c r="D212" s="5">
        <f>IF($E212="","",INDEX('Input Transaksi'!$F:$F,$E212))</f>
        <v/>
      </c>
      <c r="E212">
        <f>IFERROR(AGGREGATE(15,6,ROW('Input Transaksi'!$B$5:$B$5000)/('Input Transaksi'!$B$5:$B$5000="JCL NUSA KAMBANGAN"),ROWS($E$5:E212)),"")</f>
        <v/>
      </c>
      <c r="F212" s="5" t="n"/>
    </row>
    <row r="213">
      <c r="A213" s="10">
        <f>IF($E213="","",INDEX('Input Transaksi'!$A:$A,$E213))</f>
        <v/>
      </c>
      <c r="B213" s="5">
        <f>IF($E213="","",INDEX('Input Transaksi'!$D:$D,$E213))</f>
        <v/>
      </c>
      <c r="C213">
        <f>IF($E213="","",INDEX('Input Transaksi'!$E:$E,$E213))</f>
        <v/>
      </c>
      <c r="D213" s="5">
        <f>IF($E213="","",INDEX('Input Transaksi'!$F:$F,$E213))</f>
        <v/>
      </c>
      <c r="E213">
        <f>IFERROR(AGGREGATE(15,6,ROW('Input Transaksi'!$B$5:$B$5000)/('Input Transaksi'!$B$5:$B$5000="JCL NUSA KAMBANGAN"),ROWS($E$5:E213)),"")</f>
        <v/>
      </c>
      <c r="F213" s="5" t="n"/>
    </row>
    <row r="214">
      <c r="A214" s="10">
        <f>IF($E214="","",INDEX('Input Transaksi'!$A:$A,$E214))</f>
        <v/>
      </c>
      <c r="B214" s="5">
        <f>IF($E214="","",INDEX('Input Transaksi'!$D:$D,$E214))</f>
        <v/>
      </c>
      <c r="C214">
        <f>IF($E214="","",INDEX('Input Transaksi'!$E:$E,$E214))</f>
        <v/>
      </c>
      <c r="D214" s="5">
        <f>IF($E214="","",INDEX('Input Transaksi'!$F:$F,$E214))</f>
        <v/>
      </c>
      <c r="E214">
        <f>IFERROR(AGGREGATE(15,6,ROW('Input Transaksi'!$B$5:$B$5000)/('Input Transaksi'!$B$5:$B$5000="JCL NUSA KAMBANGAN"),ROWS($E$5:E214)),"")</f>
        <v/>
      </c>
      <c r="F214" s="5" t="n"/>
    </row>
    <row r="215">
      <c r="A215" s="10">
        <f>IF($E215="","",INDEX('Input Transaksi'!$A:$A,$E215))</f>
        <v/>
      </c>
      <c r="B215" s="5">
        <f>IF($E215="","",INDEX('Input Transaksi'!$D:$D,$E215))</f>
        <v/>
      </c>
      <c r="C215">
        <f>IF($E215="","",INDEX('Input Transaksi'!$E:$E,$E215))</f>
        <v/>
      </c>
      <c r="D215" s="5">
        <f>IF($E215="","",INDEX('Input Transaksi'!$F:$F,$E215))</f>
        <v/>
      </c>
      <c r="E215">
        <f>IFERROR(AGGREGATE(15,6,ROW('Input Transaksi'!$B$5:$B$5000)/('Input Transaksi'!$B$5:$B$5000="JCL NUSA KAMBANGAN"),ROWS($E$5:E215)),"")</f>
        <v/>
      </c>
      <c r="F215" s="5" t="n"/>
    </row>
    <row r="216">
      <c r="A216" s="10">
        <f>IF($E216="","",INDEX('Input Transaksi'!$A:$A,$E216))</f>
        <v/>
      </c>
      <c r="B216" s="5">
        <f>IF($E216="","",INDEX('Input Transaksi'!$D:$D,$E216))</f>
        <v/>
      </c>
      <c r="C216">
        <f>IF($E216="","",INDEX('Input Transaksi'!$E:$E,$E216))</f>
        <v/>
      </c>
      <c r="D216" s="5">
        <f>IF($E216="","",INDEX('Input Transaksi'!$F:$F,$E216))</f>
        <v/>
      </c>
      <c r="E216">
        <f>IFERROR(AGGREGATE(15,6,ROW('Input Transaksi'!$B$5:$B$5000)/('Input Transaksi'!$B$5:$B$5000="JCL NUSA KAMBANGAN"),ROWS($E$5:E216)),"")</f>
        <v/>
      </c>
      <c r="F216" s="5" t="n"/>
    </row>
    <row r="217">
      <c r="A217" s="10">
        <f>IF($E217="","",INDEX('Input Transaksi'!$A:$A,$E217))</f>
        <v/>
      </c>
      <c r="B217" s="5">
        <f>IF($E217="","",INDEX('Input Transaksi'!$D:$D,$E217))</f>
        <v/>
      </c>
      <c r="C217">
        <f>IF($E217="","",INDEX('Input Transaksi'!$E:$E,$E217))</f>
        <v/>
      </c>
      <c r="D217" s="5">
        <f>IF($E217="","",INDEX('Input Transaksi'!$F:$F,$E217))</f>
        <v/>
      </c>
      <c r="E217">
        <f>IFERROR(AGGREGATE(15,6,ROW('Input Transaksi'!$B$5:$B$5000)/('Input Transaksi'!$B$5:$B$5000="JCL NUSA KAMBANGAN"),ROWS($E$5:E217)),"")</f>
        <v/>
      </c>
      <c r="F217" s="5" t="n"/>
    </row>
    <row r="218">
      <c r="A218" s="10">
        <f>IF($E218="","",INDEX('Input Transaksi'!$A:$A,$E218))</f>
        <v/>
      </c>
      <c r="B218" s="5">
        <f>IF($E218="","",INDEX('Input Transaksi'!$D:$D,$E218))</f>
        <v/>
      </c>
      <c r="C218">
        <f>IF($E218="","",INDEX('Input Transaksi'!$E:$E,$E218))</f>
        <v/>
      </c>
      <c r="D218" s="5">
        <f>IF($E218="","",INDEX('Input Transaksi'!$F:$F,$E218))</f>
        <v/>
      </c>
      <c r="E218">
        <f>IFERROR(AGGREGATE(15,6,ROW('Input Transaksi'!$B$5:$B$5000)/('Input Transaksi'!$B$5:$B$5000="JCL NUSA KAMBANGAN"),ROWS($E$5:E218)),"")</f>
        <v/>
      </c>
      <c r="F218" s="5" t="n"/>
    </row>
    <row r="219">
      <c r="A219" s="10">
        <f>IF($E219="","",INDEX('Input Transaksi'!$A:$A,$E219))</f>
        <v/>
      </c>
      <c r="B219" s="5">
        <f>IF($E219="","",INDEX('Input Transaksi'!$D:$D,$E219))</f>
        <v/>
      </c>
      <c r="C219">
        <f>IF($E219="","",INDEX('Input Transaksi'!$E:$E,$E219))</f>
        <v/>
      </c>
      <c r="D219" s="5">
        <f>IF($E219="","",INDEX('Input Transaksi'!$F:$F,$E219))</f>
        <v/>
      </c>
      <c r="E219">
        <f>IFERROR(AGGREGATE(15,6,ROW('Input Transaksi'!$B$5:$B$5000)/('Input Transaksi'!$B$5:$B$5000="JCL NUSA KAMBANGAN"),ROWS($E$5:E219)),"")</f>
        <v/>
      </c>
      <c r="F219" s="5" t="n"/>
    </row>
    <row r="220">
      <c r="A220" s="10">
        <f>IF($E220="","",INDEX('Input Transaksi'!$A:$A,$E220))</f>
        <v/>
      </c>
      <c r="B220" s="5">
        <f>IF($E220="","",INDEX('Input Transaksi'!$D:$D,$E220))</f>
        <v/>
      </c>
      <c r="C220">
        <f>IF($E220="","",INDEX('Input Transaksi'!$E:$E,$E220))</f>
        <v/>
      </c>
      <c r="D220" s="5">
        <f>IF($E220="","",INDEX('Input Transaksi'!$F:$F,$E220))</f>
        <v/>
      </c>
      <c r="E220">
        <f>IFERROR(AGGREGATE(15,6,ROW('Input Transaksi'!$B$5:$B$5000)/('Input Transaksi'!$B$5:$B$5000="JCL NUSA KAMBANGAN"),ROWS($E$5:E220)),"")</f>
        <v/>
      </c>
      <c r="F220" s="5" t="n"/>
    </row>
    <row r="221">
      <c r="A221" s="10">
        <f>IF($E221="","",INDEX('Input Transaksi'!$A:$A,$E221))</f>
        <v/>
      </c>
      <c r="B221" s="5">
        <f>IF($E221="","",INDEX('Input Transaksi'!$D:$D,$E221))</f>
        <v/>
      </c>
      <c r="C221">
        <f>IF($E221="","",INDEX('Input Transaksi'!$E:$E,$E221))</f>
        <v/>
      </c>
      <c r="D221" s="5">
        <f>IF($E221="","",INDEX('Input Transaksi'!$F:$F,$E221))</f>
        <v/>
      </c>
      <c r="E221">
        <f>IFERROR(AGGREGATE(15,6,ROW('Input Transaksi'!$B$5:$B$5000)/('Input Transaksi'!$B$5:$B$5000="JCL NUSA KAMBANGAN"),ROWS($E$5:E221)),"")</f>
        <v/>
      </c>
      <c r="F221" s="5" t="n"/>
    </row>
    <row r="222">
      <c r="A222" s="10">
        <f>IF($E222="","",INDEX('Input Transaksi'!$A:$A,$E222))</f>
        <v/>
      </c>
      <c r="B222" s="5">
        <f>IF($E222="","",INDEX('Input Transaksi'!$D:$D,$E222))</f>
        <v/>
      </c>
      <c r="C222">
        <f>IF($E222="","",INDEX('Input Transaksi'!$E:$E,$E222))</f>
        <v/>
      </c>
      <c r="D222" s="5">
        <f>IF($E222="","",INDEX('Input Transaksi'!$F:$F,$E222))</f>
        <v/>
      </c>
      <c r="E222">
        <f>IFERROR(AGGREGATE(15,6,ROW('Input Transaksi'!$B$5:$B$5000)/('Input Transaksi'!$B$5:$B$5000="JCL NUSA KAMBANGAN"),ROWS($E$5:E222)),"")</f>
        <v/>
      </c>
      <c r="F222" s="5" t="n"/>
    </row>
    <row r="223">
      <c r="A223" s="10">
        <f>IF($E223="","",INDEX('Input Transaksi'!$A:$A,$E223))</f>
        <v/>
      </c>
      <c r="B223" s="5">
        <f>IF($E223="","",INDEX('Input Transaksi'!$D:$D,$E223))</f>
        <v/>
      </c>
      <c r="C223">
        <f>IF($E223="","",INDEX('Input Transaksi'!$E:$E,$E223))</f>
        <v/>
      </c>
      <c r="D223" s="5">
        <f>IF($E223="","",INDEX('Input Transaksi'!$F:$F,$E223))</f>
        <v/>
      </c>
      <c r="E223">
        <f>IFERROR(AGGREGATE(15,6,ROW('Input Transaksi'!$B$5:$B$5000)/('Input Transaksi'!$B$5:$B$5000="JCL NUSA KAMBANGAN"),ROWS($E$5:E223)),"")</f>
        <v/>
      </c>
      <c r="F223" s="5" t="n"/>
    </row>
    <row r="224">
      <c r="A224" s="10">
        <f>IF($E224="","",INDEX('Input Transaksi'!$A:$A,$E224))</f>
        <v/>
      </c>
      <c r="B224" s="5">
        <f>IF($E224="","",INDEX('Input Transaksi'!$D:$D,$E224))</f>
        <v/>
      </c>
      <c r="C224">
        <f>IF($E224="","",INDEX('Input Transaksi'!$E:$E,$E224))</f>
        <v/>
      </c>
      <c r="D224" s="5">
        <f>IF($E224="","",INDEX('Input Transaksi'!$F:$F,$E224))</f>
        <v/>
      </c>
      <c r="E224">
        <f>IFERROR(AGGREGATE(15,6,ROW('Input Transaksi'!$B$5:$B$5000)/('Input Transaksi'!$B$5:$B$5000="JCL NUSA KAMBANGAN"),ROWS($E$5:E224)),"")</f>
        <v/>
      </c>
      <c r="F224" s="5" t="n"/>
    </row>
    <row r="225">
      <c r="A225" s="10">
        <f>IF($E225="","",INDEX('Input Transaksi'!$A:$A,$E225))</f>
        <v/>
      </c>
      <c r="B225" s="5">
        <f>IF($E225="","",INDEX('Input Transaksi'!$D:$D,$E225))</f>
        <v/>
      </c>
      <c r="C225">
        <f>IF($E225="","",INDEX('Input Transaksi'!$E:$E,$E225))</f>
        <v/>
      </c>
      <c r="D225" s="5">
        <f>IF($E225="","",INDEX('Input Transaksi'!$F:$F,$E225))</f>
        <v/>
      </c>
      <c r="E225">
        <f>IFERROR(AGGREGATE(15,6,ROW('Input Transaksi'!$B$5:$B$5000)/('Input Transaksi'!$B$5:$B$5000="JCL NUSA KAMBANGAN"),ROWS($E$5:E225)),"")</f>
        <v/>
      </c>
      <c r="F225" s="5" t="n"/>
    </row>
    <row r="226">
      <c r="A226" s="10">
        <f>IF($E226="","",INDEX('Input Transaksi'!$A:$A,$E226))</f>
        <v/>
      </c>
      <c r="B226" s="5">
        <f>IF($E226="","",INDEX('Input Transaksi'!$D:$D,$E226))</f>
        <v/>
      </c>
      <c r="C226">
        <f>IF($E226="","",INDEX('Input Transaksi'!$E:$E,$E226))</f>
        <v/>
      </c>
      <c r="D226" s="5">
        <f>IF($E226="","",INDEX('Input Transaksi'!$F:$F,$E226))</f>
        <v/>
      </c>
      <c r="E226">
        <f>IFERROR(AGGREGATE(15,6,ROW('Input Transaksi'!$B$5:$B$5000)/('Input Transaksi'!$B$5:$B$5000="JCL NUSA KAMBANGAN"),ROWS($E$5:E226)),"")</f>
        <v/>
      </c>
      <c r="F226" s="5" t="n"/>
    </row>
    <row r="227">
      <c r="A227" s="10">
        <f>IF($E227="","",INDEX('Input Transaksi'!$A:$A,$E227))</f>
        <v/>
      </c>
      <c r="B227" s="5">
        <f>IF($E227="","",INDEX('Input Transaksi'!$D:$D,$E227))</f>
        <v/>
      </c>
      <c r="C227">
        <f>IF($E227="","",INDEX('Input Transaksi'!$E:$E,$E227))</f>
        <v/>
      </c>
      <c r="D227" s="5">
        <f>IF($E227="","",INDEX('Input Transaksi'!$F:$F,$E227))</f>
        <v/>
      </c>
      <c r="E227">
        <f>IFERROR(AGGREGATE(15,6,ROW('Input Transaksi'!$B$5:$B$5000)/('Input Transaksi'!$B$5:$B$5000="JCL NUSA KAMBANGAN"),ROWS($E$5:E227)),"")</f>
        <v/>
      </c>
      <c r="F227" s="5" t="n"/>
    </row>
    <row r="228">
      <c r="A228" s="10">
        <f>IF($E228="","",INDEX('Input Transaksi'!$A:$A,$E228))</f>
        <v/>
      </c>
      <c r="B228" s="5">
        <f>IF($E228="","",INDEX('Input Transaksi'!$D:$D,$E228))</f>
        <v/>
      </c>
      <c r="C228">
        <f>IF($E228="","",INDEX('Input Transaksi'!$E:$E,$E228))</f>
        <v/>
      </c>
      <c r="D228" s="5">
        <f>IF($E228="","",INDEX('Input Transaksi'!$F:$F,$E228))</f>
        <v/>
      </c>
      <c r="E228">
        <f>IFERROR(AGGREGATE(15,6,ROW('Input Transaksi'!$B$5:$B$5000)/('Input Transaksi'!$B$5:$B$5000="JCL NUSA KAMBANGAN"),ROWS($E$5:E228)),"")</f>
        <v/>
      </c>
      <c r="F228" s="5" t="n"/>
    </row>
    <row r="229">
      <c r="A229" s="10">
        <f>IF($E229="","",INDEX('Input Transaksi'!$A:$A,$E229))</f>
        <v/>
      </c>
      <c r="B229" s="5">
        <f>IF($E229="","",INDEX('Input Transaksi'!$D:$D,$E229))</f>
        <v/>
      </c>
      <c r="C229">
        <f>IF($E229="","",INDEX('Input Transaksi'!$E:$E,$E229))</f>
        <v/>
      </c>
      <c r="D229" s="5">
        <f>IF($E229="","",INDEX('Input Transaksi'!$F:$F,$E229))</f>
        <v/>
      </c>
      <c r="E229">
        <f>IFERROR(AGGREGATE(15,6,ROW('Input Transaksi'!$B$5:$B$5000)/('Input Transaksi'!$B$5:$B$5000="JCL NUSA KAMBANGAN"),ROWS($E$5:E229)),"")</f>
        <v/>
      </c>
      <c r="F229" s="5" t="n"/>
    </row>
    <row r="230">
      <c r="A230" s="10">
        <f>IF($E230="","",INDEX('Input Transaksi'!$A:$A,$E230))</f>
        <v/>
      </c>
      <c r="B230" s="5">
        <f>IF($E230="","",INDEX('Input Transaksi'!$D:$D,$E230))</f>
        <v/>
      </c>
      <c r="C230">
        <f>IF($E230="","",INDEX('Input Transaksi'!$E:$E,$E230))</f>
        <v/>
      </c>
      <c r="D230" s="5">
        <f>IF($E230="","",INDEX('Input Transaksi'!$F:$F,$E230))</f>
        <v/>
      </c>
      <c r="E230">
        <f>IFERROR(AGGREGATE(15,6,ROW('Input Transaksi'!$B$5:$B$5000)/('Input Transaksi'!$B$5:$B$5000="JCL NUSA KAMBANGAN"),ROWS($E$5:E230)),"")</f>
        <v/>
      </c>
      <c r="F230" s="5" t="n"/>
    </row>
    <row r="231">
      <c r="A231" s="10">
        <f>IF($E231="","",INDEX('Input Transaksi'!$A:$A,$E231))</f>
        <v/>
      </c>
      <c r="B231" s="5">
        <f>IF($E231="","",INDEX('Input Transaksi'!$D:$D,$E231))</f>
        <v/>
      </c>
      <c r="C231">
        <f>IF($E231="","",INDEX('Input Transaksi'!$E:$E,$E231))</f>
        <v/>
      </c>
      <c r="D231" s="5">
        <f>IF($E231="","",INDEX('Input Transaksi'!$F:$F,$E231))</f>
        <v/>
      </c>
      <c r="E231">
        <f>IFERROR(AGGREGATE(15,6,ROW('Input Transaksi'!$B$5:$B$5000)/('Input Transaksi'!$B$5:$B$5000="JCL NUSA KAMBANGAN"),ROWS($E$5:E231)),"")</f>
        <v/>
      </c>
      <c r="F231" s="5" t="n"/>
    </row>
    <row r="232">
      <c r="A232" s="10">
        <f>IF($E232="","",INDEX('Input Transaksi'!$A:$A,$E232))</f>
        <v/>
      </c>
      <c r="B232" s="5">
        <f>IF($E232="","",INDEX('Input Transaksi'!$D:$D,$E232))</f>
        <v/>
      </c>
      <c r="C232">
        <f>IF($E232="","",INDEX('Input Transaksi'!$E:$E,$E232))</f>
        <v/>
      </c>
      <c r="D232" s="5">
        <f>IF($E232="","",INDEX('Input Transaksi'!$F:$F,$E232))</f>
        <v/>
      </c>
      <c r="E232">
        <f>IFERROR(AGGREGATE(15,6,ROW('Input Transaksi'!$B$5:$B$5000)/('Input Transaksi'!$B$5:$B$5000="JCL NUSA KAMBANGAN"),ROWS($E$5:E232)),"")</f>
        <v/>
      </c>
      <c r="F232" s="5" t="n"/>
    </row>
    <row r="233">
      <c r="A233" s="10">
        <f>IF($E233="","",INDEX('Input Transaksi'!$A:$A,$E233))</f>
        <v/>
      </c>
      <c r="B233" s="5">
        <f>IF($E233="","",INDEX('Input Transaksi'!$D:$D,$E233))</f>
        <v/>
      </c>
      <c r="C233">
        <f>IF($E233="","",INDEX('Input Transaksi'!$E:$E,$E233))</f>
        <v/>
      </c>
      <c r="D233" s="5">
        <f>IF($E233="","",INDEX('Input Transaksi'!$F:$F,$E233))</f>
        <v/>
      </c>
      <c r="E233">
        <f>IFERROR(AGGREGATE(15,6,ROW('Input Transaksi'!$B$5:$B$5000)/('Input Transaksi'!$B$5:$B$5000="JCL NUSA KAMBANGAN"),ROWS($E$5:E233)),"")</f>
        <v/>
      </c>
      <c r="F233" s="5" t="n"/>
    </row>
    <row r="234">
      <c r="A234" s="10">
        <f>IF($E234="","",INDEX('Input Transaksi'!$A:$A,$E234))</f>
        <v/>
      </c>
      <c r="B234" s="5">
        <f>IF($E234="","",INDEX('Input Transaksi'!$D:$D,$E234))</f>
        <v/>
      </c>
      <c r="C234">
        <f>IF($E234="","",INDEX('Input Transaksi'!$E:$E,$E234))</f>
        <v/>
      </c>
      <c r="D234" s="5">
        <f>IF($E234="","",INDEX('Input Transaksi'!$F:$F,$E234))</f>
        <v/>
      </c>
      <c r="E234">
        <f>IFERROR(AGGREGATE(15,6,ROW('Input Transaksi'!$B$5:$B$5000)/('Input Transaksi'!$B$5:$B$5000="JCL NUSA KAMBANGAN"),ROWS($E$5:E234)),"")</f>
        <v/>
      </c>
      <c r="F234" s="5" t="n"/>
    </row>
    <row r="235">
      <c r="A235" s="10">
        <f>IF($E235="","",INDEX('Input Transaksi'!$A:$A,$E235))</f>
        <v/>
      </c>
      <c r="B235" s="5">
        <f>IF($E235="","",INDEX('Input Transaksi'!$D:$D,$E235))</f>
        <v/>
      </c>
      <c r="C235">
        <f>IF($E235="","",INDEX('Input Transaksi'!$E:$E,$E235))</f>
        <v/>
      </c>
      <c r="D235" s="5">
        <f>IF($E235="","",INDEX('Input Transaksi'!$F:$F,$E235))</f>
        <v/>
      </c>
      <c r="E235">
        <f>IFERROR(AGGREGATE(15,6,ROW('Input Transaksi'!$B$5:$B$5000)/('Input Transaksi'!$B$5:$B$5000="JCL NUSA KAMBANGAN"),ROWS($E$5:E235)),"")</f>
        <v/>
      </c>
      <c r="F235" s="5" t="n"/>
    </row>
    <row r="236">
      <c r="A236" s="10">
        <f>IF($E236="","",INDEX('Input Transaksi'!$A:$A,$E236))</f>
        <v/>
      </c>
      <c r="B236" s="5">
        <f>IF($E236="","",INDEX('Input Transaksi'!$D:$D,$E236))</f>
        <v/>
      </c>
      <c r="C236">
        <f>IF($E236="","",INDEX('Input Transaksi'!$E:$E,$E236))</f>
        <v/>
      </c>
      <c r="D236" s="5">
        <f>IF($E236="","",INDEX('Input Transaksi'!$F:$F,$E236))</f>
        <v/>
      </c>
      <c r="E236">
        <f>IFERROR(AGGREGATE(15,6,ROW('Input Transaksi'!$B$5:$B$5000)/('Input Transaksi'!$B$5:$B$5000="JCL NUSA KAMBANGAN"),ROWS($E$5:E236)),"")</f>
        <v/>
      </c>
      <c r="F236" s="5" t="n"/>
    </row>
    <row r="237">
      <c r="A237" s="10">
        <f>IF($E237="","",INDEX('Input Transaksi'!$A:$A,$E237))</f>
        <v/>
      </c>
      <c r="B237" s="5">
        <f>IF($E237="","",INDEX('Input Transaksi'!$D:$D,$E237))</f>
        <v/>
      </c>
      <c r="C237">
        <f>IF($E237="","",INDEX('Input Transaksi'!$E:$E,$E237))</f>
        <v/>
      </c>
      <c r="D237" s="5">
        <f>IF($E237="","",INDEX('Input Transaksi'!$F:$F,$E237))</f>
        <v/>
      </c>
      <c r="E237">
        <f>IFERROR(AGGREGATE(15,6,ROW('Input Transaksi'!$B$5:$B$5000)/('Input Transaksi'!$B$5:$B$5000="JCL NUSA KAMBANGAN"),ROWS($E$5:E237)),"")</f>
        <v/>
      </c>
      <c r="F237" s="5" t="n"/>
    </row>
    <row r="238">
      <c r="A238" s="10">
        <f>IF($E238="","",INDEX('Input Transaksi'!$A:$A,$E238))</f>
        <v/>
      </c>
      <c r="B238" s="5">
        <f>IF($E238="","",INDEX('Input Transaksi'!$D:$D,$E238))</f>
        <v/>
      </c>
      <c r="C238">
        <f>IF($E238="","",INDEX('Input Transaksi'!$E:$E,$E238))</f>
        <v/>
      </c>
      <c r="D238" s="5">
        <f>IF($E238="","",INDEX('Input Transaksi'!$F:$F,$E238))</f>
        <v/>
      </c>
      <c r="E238">
        <f>IFERROR(AGGREGATE(15,6,ROW('Input Transaksi'!$B$5:$B$5000)/('Input Transaksi'!$B$5:$B$5000="JCL NUSA KAMBANGAN"),ROWS($E$5:E238)),"")</f>
        <v/>
      </c>
      <c r="F238" s="5" t="n"/>
    </row>
    <row r="239">
      <c r="A239" s="10">
        <f>IF($E239="","",INDEX('Input Transaksi'!$A:$A,$E239))</f>
        <v/>
      </c>
      <c r="B239" s="5">
        <f>IF($E239="","",INDEX('Input Transaksi'!$D:$D,$E239))</f>
        <v/>
      </c>
      <c r="C239">
        <f>IF($E239="","",INDEX('Input Transaksi'!$E:$E,$E239))</f>
        <v/>
      </c>
      <c r="D239" s="5">
        <f>IF($E239="","",INDEX('Input Transaksi'!$F:$F,$E239))</f>
        <v/>
      </c>
      <c r="E239">
        <f>IFERROR(AGGREGATE(15,6,ROW('Input Transaksi'!$B$5:$B$5000)/('Input Transaksi'!$B$5:$B$5000="JCL NUSA KAMBANGAN"),ROWS($E$5:E239)),"")</f>
        <v/>
      </c>
      <c r="F239" s="5" t="n"/>
    </row>
    <row r="240">
      <c r="A240" s="10">
        <f>IF($E240="","",INDEX('Input Transaksi'!$A:$A,$E240))</f>
        <v/>
      </c>
      <c r="B240" s="5">
        <f>IF($E240="","",INDEX('Input Transaksi'!$D:$D,$E240))</f>
        <v/>
      </c>
      <c r="C240">
        <f>IF($E240="","",INDEX('Input Transaksi'!$E:$E,$E240))</f>
        <v/>
      </c>
      <c r="D240" s="5">
        <f>IF($E240="","",INDEX('Input Transaksi'!$F:$F,$E240))</f>
        <v/>
      </c>
      <c r="E240">
        <f>IFERROR(AGGREGATE(15,6,ROW('Input Transaksi'!$B$5:$B$5000)/('Input Transaksi'!$B$5:$B$5000="JCL NUSA KAMBANGAN"),ROWS($E$5:E240)),"")</f>
        <v/>
      </c>
      <c r="F240" s="5" t="n"/>
    </row>
    <row r="241">
      <c r="A241" s="10">
        <f>IF($E241="","",INDEX('Input Transaksi'!$A:$A,$E241))</f>
        <v/>
      </c>
      <c r="B241" s="5">
        <f>IF($E241="","",INDEX('Input Transaksi'!$D:$D,$E241))</f>
        <v/>
      </c>
      <c r="C241">
        <f>IF($E241="","",INDEX('Input Transaksi'!$E:$E,$E241))</f>
        <v/>
      </c>
      <c r="D241" s="5">
        <f>IF($E241="","",INDEX('Input Transaksi'!$F:$F,$E241))</f>
        <v/>
      </c>
      <c r="E241">
        <f>IFERROR(AGGREGATE(15,6,ROW('Input Transaksi'!$B$5:$B$5000)/('Input Transaksi'!$B$5:$B$5000="JCL NUSA KAMBANGAN"),ROWS($E$5:E241)),"")</f>
        <v/>
      </c>
      <c r="F241" s="5" t="n"/>
    </row>
    <row r="242">
      <c r="A242" s="10">
        <f>IF($E242="","",INDEX('Input Transaksi'!$A:$A,$E242))</f>
        <v/>
      </c>
      <c r="B242" s="5">
        <f>IF($E242="","",INDEX('Input Transaksi'!$D:$D,$E242))</f>
        <v/>
      </c>
      <c r="C242">
        <f>IF($E242="","",INDEX('Input Transaksi'!$E:$E,$E242))</f>
        <v/>
      </c>
      <c r="D242" s="5">
        <f>IF($E242="","",INDEX('Input Transaksi'!$F:$F,$E242))</f>
        <v/>
      </c>
      <c r="E242">
        <f>IFERROR(AGGREGATE(15,6,ROW('Input Transaksi'!$B$5:$B$5000)/('Input Transaksi'!$B$5:$B$5000="JCL NUSA KAMBANGAN"),ROWS($E$5:E242)),"")</f>
        <v/>
      </c>
      <c r="F242" s="5" t="n"/>
    </row>
    <row r="243">
      <c r="A243" s="10">
        <f>IF($E243="","",INDEX('Input Transaksi'!$A:$A,$E243))</f>
        <v/>
      </c>
      <c r="B243" s="5">
        <f>IF($E243="","",INDEX('Input Transaksi'!$D:$D,$E243))</f>
        <v/>
      </c>
      <c r="C243">
        <f>IF($E243="","",INDEX('Input Transaksi'!$E:$E,$E243))</f>
        <v/>
      </c>
      <c r="D243" s="5">
        <f>IF($E243="","",INDEX('Input Transaksi'!$F:$F,$E243))</f>
        <v/>
      </c>
      <c r="E243">
        <f>IFERROR(AGGREGATE(15,6,ROW('Input Transaksi'!$B$5:$B$5000)/('Input Transaksi'!$B$5:$B$5000="JCL NUSA KAMBANGAN"),ROWS($E$5:E243)),"")</f>
        <v/>
      </c>
      <c r="F243" s="5" t="n"/>
    </row>
    <row r="244">
      <c r="A244" s="10">
        <f>IF($E244="","",INDEX('Input Transaksi'!$A:$A,$E244))</f>
        <v/>
      </c>
      <c r="B244" s="5">
        <f>IF($E244="","",INDEX('Input Transaksi'!$D:$D,$E244))</f>
        <v/>
      </c>
      <c r="C244">
        <f>IF($E244="","",INDEX('Input Transaksi'!$E:$E,$E244))</f>
        <v/>
      </c>
      <c r="D244" s="5">
        <f>IF($E244="","",INDEX('Input Transaksi'!$F:$F,$E244))</f>
        <v/>
      </c>
      <c r="E244">
        <f>IFERROR(AGGREGATE(15,6,ROW('Input Transaksi'!$B$5:$B$5000)/('Input Transaksi'!$B$5:$B$5000="JCL NUSA KAMBANGAN"),ROWS($E$5:E244)),"")</f>
        <v/>
      </c>
      <c r="F244" s="5" t="n"/>
    </row>
    <row r="245">
      <c r="A245" s="10">
        <f>IF($E245="","",INDEX('Input Transaksi'!$A:$A,$E245))</f>
        <v/>
      </c>
      <c r="B245" s="5">
        <f>IF($E245="","",INDEX('Input Transaksi'!$D:$D,$E245))</f>
        <v/>
      </c>
      <c r="C245">
        <f>IF($E245="","",INDEX('Input Transaksi'!$E:$E,$E245))</f>
        <v/>
      </c>
      <c r="D245" s="5">
        <f>IF($E245="","",INDEX('Input Transaksi'!$F:$F,$E245))</f>
        <v/>
      </c>
      <c r="E245">
        <f>IFERROR(AGGREGATE(15,6,ROW('Input Transaksi'!$B$5:$B$5000)/('Input Transaksi'!$B$5:$B$5000="JCL NUSA KAMBANGAN"),ROWS($E$5:E245)),"")</f>
        <v/>
      </c>
      <c r="F245" s="5" t="n"/>
    </row>
    <row r="246">
      <c r="A246" s="10">
        <f>IF($E246="","",INDEX('Input Transaksi'!$A:$A,$E246))</f>
        <v/>
      </c>
      <c r="B246" s="5">
        <f>IF($E246="","",INDEX('Input Transaksi'!$D:$D,$E246))</f>
        <v/>
      </c>
      <c r="C246">
        <f>IF($E246="","",INDEX('Input Transaksi'!$E:$E,$E246))</f>
        <v/>
      </c>
      <c r="D246" s="5">
        <f>IF($E246="","",INDEX('Input Transaksi'!$F:$F,$E246))</f>
        <v/>
      </c>
      <c r="E246">
        <f>IFERROR(AGGREGATE(15,6,ROW('Input Transaksi'!$B$5:$B$5000)/('Input Transaksi'!$B$5:$B$5000="JCL NUSA KAMBANGAN"),ROWS($E$5:E246)),"")</f>
        <v/>
      </c>
      <c r="F246" s="5" t="n"/>
    </row>
    <row r="247">
      <c r="A247" s="10">
        <f>IF($E247="","",INDEX('Input Transaksi'!$A:$A,$E247))</f>
        <v/>
      </c>
      <c r="B247" s="5">
        <f>IF($E247="","",INDEX('Input Transaksi'!$D:$D,$E247))</f>
        <v/>
      </c>
      <c r="C247">
        <f>IF($E247="","",INDEX('Input Transaksi'!$E:$E,$E247))</f>
        <v/>
      </c>
      <c r="D247" s="5">
        <f>IF($E247="","",INDEX('Input Transaksi'!$F:$F,$E247))</f>
        <v/>
      </c>
      <c r="E247">
        <f>IFERROR(AGGREGATE(15,6,ROW('Input Transaksi'!$B$5:$B$5000)/('Input Transaksi'!$B$5:$B$5000="JCL NUSA KAMBANGAN"),ROWS($E$5:E247)),"")</f>
        <v/>
      </c>
      <c r="F247" s="5" t="n"/>
    </row>
    <row r="248">
      <c r="A248" s="10">
        <f>IF($E248="","",INDEX('Input Transaksi'!$A:$A,$E248))</f>
        <v/>
      </c>
      <c r="B248" s="5">
        <f>IF($E248="","",INDEX('Input Transaksi'!$D:$D,$E248))</f>
        <v/>
      </c>
      <c r="C248">
        <f>IF($E248="","",INDEX('Input Transaksi'!$E:$E,$E248))</f>
        <v/>
      </c>
      <c r="D248" s="5">
        <f>IF($E248="","",INDEX('Input Transaksi'!$F:$F,$E248))</f>
        <v/>
      </c>
      <c r="E248">
        <f>IFERROR(AGGREGATE(15,6,ROW('Input Transaksi'!$B$5:$B$5000)/('Input Transaksi'!$B$5:$B$5000="JCL NUSA KAMBANGAN"),ROWS($E$5:E248)),"")</f>
        <v/>
      </c>
      <c r="F248" s="5" t="n"/>
    </row>
    <row r="249">
      <c r="A249" s="10">
        <f>IF($E249="","",INDEX('Input Transaksi'!$A:$A,$E249))</f>
        <v/>
      </c>
      <c r="B249" s="5">
        <f>IF($E249="","",INDEX('Input Transaksi'!$D:$D,$E249))</f>
        <v/>
      </c>
      <c r="C249">
        <f>IF($E249="","",INDEX('Input Transaksi'!$E:$E,$E249))</f>
        <v/>
      </c>
      <c r="D249" s="5">
        <f>IF($E249="","",INDEX('Input Transaksi'!$F:$F,$E249))</f>
        <v/>
      </c>
      <c r="E249">
        <f>IFERROR(AGGREGATE(15,6,ROW('Input Transaksi'!$B$5:$B$5000)/('Input Transaksi'!$B$5:$B$5000="JCL NUSA KAMBANGAN"),ROWS($E$5:E249)),"")</f>
        <v/>
      </c>
      <c r="F249" s="5" t="n"/>
    </row>
    <row r="250">
      <c r="A250" s="10">
        <f>IF($E250="","",INDEX('Input Transaksi'!$A:$A,$E250))</f>
        <v/>
      </c>
      <c r="B250" s="5">
        <f>IF($E250="","",INDEX('Input Transaksi'!$D:$D,$E250))</f>
        <v/>
      </c>
      <c r="C250">
        <f>IF($E250="","",INDEX('Input Transaksi'!$E:$E,$E250))</f>
        <v/>
      </c>
      <c r="D250" s="5">
        <f>IF($E250="","",INDEX('Input Transaksi'!$F:$F,$E250))</f>
        <v/>
      </c>
      <c r="E250">
        <f>IFERROR(AGGREGATE(15,6,ROW('Input Transaksi'!$B$5:$B$5000)/('Input Transaksi'!$B$5:$B$5000="JCL NUSA KAMBANGAN"),ROWS($E$5:E250)),"")</f>
        <v/>
      </c>
      <c r="F250" s="5" t="n"/>
    </row>
    <row r="251">
      <c r="A251" s="10">
        <f>IF($E251="","",INDEX('Input Transaksi'!$A:$A,$E251))</f>
        <v/>
      </c>
      <c r="B251" s="5">
        <f>IF($E251="","",INDEX('Input Transaksi'!$D:$D,$E251))</f>
        <v/>
      </c>
      <c r="C251">
        <f>IF($E251="","",INDEX('Input Transaksi'!$E:$E,$E251))</f>
        <v/>
      </c>
      <c r="D251" s="5">
        <f>IF($E251="","",INDEX('Input Transaksi'!$F:$F,$E251))</f>
        <v/>
      </c>
      <c r="E251">
        <f>IFERROR(AGGREGATE(15,6,ROW('Input Transaksi'!$B$5:$B$5000)/('Input Transaksi'!$B$5:$B$5000="JCL NUSA KAMBANGAN"),ROWS($E$5:E251)),"")</f>
        <v/>
      </c>
      <c r="F251" s="5" t="n"/>
    </row>
    <row r="252">
      <c r="A252" s="10">
        <f>IF($E252="","",INDEX('Input Transaksi'!$A:$A,$E252))</f>
        <v/>
      </c>
      <c r="B252" s="5">
        <f>IF($E252="","",INDEX('Input Transaksi'!$D:$D,$E252))</f>
        <v/>
      </c>
      <c r="C252">
        <f>IF($E252="","",INDEX('Input Transaksi'!$E:$E,$E252))</f>
        <v/>
      </c>
      <c r="D252" s="5">
        <f>IF($E252="","",INDEX('Input Transaksi'!$F:$F,$E252))</f>
        <v/>
      </c>
      <c r="E252">
        <f>IFERROR(AGGREGATE(15,6,ROW('Input Transaksi'!$B$5:$B$5000)/('Input Transaksi'!$B$5:$B$5000="JCL NUSA KAMBANGAN"),ROWS($E$5:E252)),"")</f>
        <v/>
      </c>
      <c r="F252" s="5" t="n"/>
    </row>
    <row r="253">
      <c r="A253" s="10">
        <f>IF($E253="","",INDEX('Input Transaksi'!$A:$A,$E253))</f>
        <v/>
      </c>
      <c r="B253" s="5">
        <f>IF($E253="","",INDEX('Input Transaksi'!$D:$D,$E253))</f>
        <v/>
      </c>
      <c r="C253">
        <f>IF($E253="","",INDEX('Input Transaksi'!$E:$E,$E253))</f>
        <v/>
      </c>
      <c r="D253" s="5">
        <f>IF($E253="","",INDEX('Input Transaksi'!$F:$F,$E253))</f>
        <v/>
      </c>
      <c r="E253">
        <f>IFERROR(AGGREGATE(15,6,ROW('Input Transaksi'!$B$5:$B$5000)/('Input Transaksi'!$B$5:$B$5000="JCL NUSA KAMBANGAN"),ROWS($E$5:E253)),"")</f>
        <v/>
      </c>
      <c r="F253" s="5" t="n"/>
    </row>
    <row r="254">
      <c r="A254" s="10">
        <f>IF($E254="","",INDEX('Input Transaksi'!$A:$A,$E254))</f>
        <v/>
      </c>
      <c r="B254" s="5">
        <f>IF($E254="","",INDEX('Input Transaksi'!$D:$D,$E254))</f>
        <v/>
      </c>
      <c r="C254">
        <f>IF($E254="","",INDEX('Input Transaksi'!$E:$E,$E254))</f>
        <v/>
      </c>
      <c r="D254" s="5">
        <f>IF($E254="","",INDEX('Input Transaksi'!$F:$F,$E254))</f>
        <v/>
      </c>
      <c r="E254">
        <f>IFERROR(AGGREGATE(15,6,ROW('Input Transaksi'!$B$5:$B$5000)/('Input Transaksi'!$B$5:$B$5000="JCL NUSA KAMBANGAN"),ROWS($E$5:E254)),"")</f>
        <v/>
      </c>
      <c r="F254" s="5" t="n"/>
    </row>
    <row r="255">
      <c r="A255" s="10">
        <f>IF($E255="","",INDEX('Input Transaksi'!$A:$A,$E255))</f>
        <v/>
      </c>
      <c r="B255" s="5">
        <f>IF($E255="","",INDEX('Input Transaksi'!$D:$D,$E255))</f>
        <v/>
      </c>
      <c r="C255">
        <f>IF($E255="","",INDEX('Input Transaksi'!$E:$E,$E255))</f>
        <v/>
      </c>
      <c r="D255" s="5">
        <f>IF($E255="","",INDEX('Input Transaksi'!$F:$F,$E255))</f>
        <v/>
      </c>
      <c r="E255">
        <f>IFERROR(AGGREGATE(15,6,ROW('Input Transaksi'!$B$5:$B$5000)/('Input Transaksi'!$B$5:$B$5000="JCL NUSA KAMBANGAN"),ROWS($E$5:E255)),"")</f>
        <v/>
      </c>
      <c r="F255" s="5" t="n"/>
    </row>
    <row r="256">
      <c r="A256" s="10">
        <f>IF($E256="","",INDEX('Input Transaksi'!$A:$A,$E256))</f>
        <v/>
      </c>
      <c r="B256" s="5">
        <f>IF($E256="","",INDEX('Input Transaksi'!$D:$D,$E256))</f>
        <v/>
      </c>
      <c r="C256">
        <f>IF($E256="","",INDEX('Input Transaksi'!$E:$E,$E256))</f>
        <v/>
      </c>
      <c r="D256" s="5">
        <f>IF($E256="","",INDEX('Input Transaksi'!$F:$F,$E256))</f>
        <v/>
      </c>
      <c r="E256">
        <f>IFERROR(AGGREGATE(15,6,ROW('Input Transaksi'!$B$5:$B$5000)/('Input Transaksi'!$B$5:$B$5000="JCL NUSA KAMBANGAN"),ROWS($E$5:E256)),"")</f>
        <v/>
      </c>
      <c r="F256" s="5" t="n"/>
    </row>
    <row r="257">
      <c r="A257" s="10">
        <f>IF($E257="","",INDEX('Input Transaksi'!$A:$A,$E257))</f>
        <v/>
      </c>
      <c r="B257" s="5">
        <f>IF($E257="","",INDEX('Input Transaksi'!$D:$D,$E257))</f>
        <v/>
      </c>
      <c r="C257">
        <f>IF($E257="","",INDEX('Input Transaksi'!$E:$E,$E257))</f>
        <v/>
      </c>
      <c r="D257" s="5">
        <f>IF($E257="","",INDEX('Input Transaksi'!$F:$F,$E257))</f>
        <v/>
      </c>
      <c r="E257">
        <f>IFERROR(AGGREGATE(15,6,ROW('Input Transaksi'!$B$5:$B$5000)/('Input Transaksi'!$B$5:$B$5000="JCL NUSA KAMBANGAN"),ROWS($E$5:E257)),"")</f>
        <v/>
      </c>
      <c r="F257" s="5" t="n"/>
    </row>
    <row r="258">
      <c r="A258" s="10">
        <f>IF($E258="","",INDEX('Input Transaksi'!$A:$A,$E258))</f>
        <v/>
      </c>
      <c r="B258" s="5">
        <f>IF($E258="","",INDEX('Input Transaksi'!$D:$D,$E258))</f>
        <v/>
      </c>
      <c r="C258">
        <f>IF($E258="","",INDEX('Input Transaksi'!$E:$E,$E258))</f>
        <v/>
      </c>
      <c r="D258" s="5">
        <f>IF($E258="","",INDEX('Input Transaksi'!$F:$F,$E258))</f>
        <v/>
      </c>
      <c r="E258">
        <f>IFERROR(AGGREGATE(15,6,ROW('Input Transaksi'!$B$5:$B$5000)/('Input Transaksi'!$B$5:$B$5000="JCL NUSA KAMBANGAN"),ROWS($E$5:E258)),"")</f>
        <v/>
      </c>
      <c r="F258" s="5" t="n"/>
    </row>
    <row r="259">
      <c r="A259" s="10">
        <f>IF($E259="","",INDEX('Input Transaksi'!$A:$A,$E259))</f>
        <v/>
      </c>
      <c r="B259" s="5">
        <f>IF($E259="","",INDEX('Input Transaksi'!$D:$D,$E259))</f>
        <v/>
      </c>
      <c r="C259">
        <f>IF($E259="","",INDEX('Input Transaksi'!$E:$E,$E259))</f>
        <v/>
      </c>
      <c r="D259" s="5">
        <f>IF($E259="","",INDEX('Input Transaksi'!$F:$F,$E259))</f>
        <v/>
      </c>
      <c r="E259">
        <f>IFERROR(AGGREGATE(15,6,ROW('Input Transaksi'!$B$5:$B$5000)/('Input Transaksi'!$B$5:$B$5000="JCL NUSA KAMBANGAN"),ROWS($E$5:E259)),"")</f>
        <v/>
      </c>
      <c r="F259" s="5" t="n"/>
    </row>
    <row r="260">
      <c r="A260" s="10">
        <f>IF($E260="","",INDEX('Input Transaksi'!$A:$A,$E260))</f>
        <v/>
      </c>
      <c r="B260" s="5">
        <f>IF($E260="","",INDEX('Input Transaksi'!$D:$D,$E260))</f>
        <v/>
      </c>
      <c r="C260">
        <f>IF($E260="","",INDEX('Input Transaksi'!$E:$E,$E260))</f>
        <v/>
      </c>
      <c r="D260" s="5">
        <f>IF($E260="","",INDEX('Input Transaksi'!$F:$F,$E260))</f>
        <v/>
      </c>
      <c r="E260">
        <f>IFERROR(AGGREGATE(15,6,ROW('Input Transaksi'!$B$5:$B$5000)/('Input Transaksi'!$B$5:$B$5000="JCL NUSA KAMBANGAN"),ROWS($E$5:E260)),"")</f>
        <v/>
      </c>
      <c r="F260" s="5" t="n"/>
    </row>
    <row r="261">
      <c r="A261" s="10">
        <f>IF($E261="","",INDEX('Input Transaksi'!$A:$A,$E261))</f>
        <v/>
      </c>
      <c r="B261" s="5">
        <f>IF($E261="","",INDEX('Input Transaksi'!$D:$D,$E261))</f>
        <v/>
      </c>
      <c r="C261">
        <f>IF($E261="","",INDEX('Input Transaksi'!$E:$E,$E261))</f>
        <v/>
      </c>
      <c r="D261" s="5">
        <f>IF($E261="","",INDEX('Input Transaksi'!$F:$F,$E261))</f>
        <v/>
      </c>
      <c r="E261">
        <f>IFERROR(AGGREGATE(15,6,ROW('Input Transaksi'!$B$5:$B$5000)/('Input Transaksi'!$B$5:$B$5000="JCL NUSA KAMBANGAN"),ROWS($E$5:E261)),"")</f>
        <v/>
      </c>
      <c r="F261" s="5" t="n"/>
    </row>
    <row r="262">
      <c r="A262" s="10">
        <f>IF($E262="","",INDEX('Input Transaksi'!$A:$A,$E262))</f>
        <v/>
      </c>
      <c r="B262" s="5">
        <f>IF($E262="","",INDEX('Input Transaksi'!$D:$D,$E262))</f>
        <v/>
      </c>
      <c r="C262">
        <f>IF($E262="","",INDEX('Input Transaksi'!$E:$E,$E262))</f>
        <v/>
      </c>
      <c r="D262" s="5">
        <f>IF($E262="","",INDEX('Input Transaksi'!$F:$F,$E262))</f>
        <v/>
      </c>
      <c r="E262">
        <f>IFERROR(AGGREGATE(15,6,ROW('Input Transaksi'!$B$5:$B$5000)/('Input Transaksi'!$B$5:$B$5000="JCL NUSA KAMBANGAN"),ROWS($E$5:E262)),"")</f>
        <v/>
      </c>
      <c r="F262" s="5" t="n"/>
    </row>
    <row r="263">
      <c r="A263" s="10">
        <f>IF($E263="","",INDEX('Input Transaksi'!$A:$A,$E263))</f>
        <v/>
      </c>
      <c r="B263" s="5">
        <f>IF($E263="","",INDEX('Input Transaksi'!$D:$D,$E263))</f>
        <v/>
      </c>
      <c r="C263">
        <f>IF($E263="","",INDEX('Input Transaksi'!$E:$E,$E263))</f>
        <v/>
      </c>
      <c r="D263" s="5">
        <f>IF($E263="","",INDEX('Input Transaksi'!$F:$F,$E263))</f>
        <v/>
      </c>
      <c r="E263">
        <f>IFERROR(AGGREGATE(15,6,ROW('Input Transaksi'!$B$5:$B$5000)/('Input Transaksi'!$B$5:$B$5000="JCL NUSA KAMBANGAN"),ROWS($E$5:E263)),"")</f>
        <v/>
      </c>
      <c r="F263" s="5" t="n"/>
    </row>
    <row r="264">
      <c r="A264" s="10">
        <f>IF($E264="","",INDEX('Input Transaksi'!$A:$A,$E264))</f>
        <v/>
      </c>
      <c r="B264" s="5">
        <f>IF($E264="","",INDEX('Input Transaksi'!$D:$D,$E264))</f>
        <v/>
      </c>
      <c r="C264">
        <f>IF($E264="","",INDEX('Input Transaksi'!$E:$E,$E264))</f>
        <v/>
      </c>
      <c r="D264" s="5">
        <f>IF($E264="","",INDEX('Input Transaksi'!$F:$F,$E264))</f>
        <v/>
      </c>
      <c r="E264">
        <f>IFERROR(AGGREGATE(15,6,ROW('Input Transaksi'!$B$5:$B$5000)/('Input Transaksi'!$B$5:$B$5000="JCL NUSA KAMBANGAN"),ROWS($E$5:E264)),"")</f>
        <v/>
      </c>
      <c r="F264" s="5" t="n"/>
    </row>
    <row r="265">
      <c r="A265" s="10">
        <f>IF($E265="","",INDEX('Input Transaksi'!$A:$A,$E265))</f>
        <v/>
      </c>
      <c r="B265" s="5">
        <f>IF($E265="","",INDEX('Input Transaksi'!$D:$D,$E265))</f>
        <v/>
      </c>
      <c r="C265">
        <f>IF($E265="","",INDEX('Input Transaksi'!$E:$E,$E265))</f>
        <v/>
      </c>
      <c r="D265" s="5">
        <f>IF($E265="","",INDEX('Input Transaksi'!$F:$F,$E265))</f>
        <v/>
      </c>
      <c r="E265">
        <f>IFERROR(AGGREGATE(15,6,ROW('Input Transaksi'!$B$5:$B$5000)/('Input Transaksi'!$B$5:$B$5000="JCL NUSA KAMBANGAN"),ROWS($E$5:E265)),"")</f>
        <v/>
      </c>
      <c r="F265" s="5" t="n"/>
    </row>
    <row r="266">
      <c r="A266" s="10">
        <f>IF($E266="","",INDEX('Input Transaksi'!$A:$A,$E266))</f>
        <v/>
      </c>
      <c r="B266" s="5">
        <f>IF($E266="","",INDEX('Input Transaksi'!$D:$D,$E266))</f>
        <v/>
      </c>
      <c r="C266">
        <f>IF($E266="","",INDEX('Input Transaksi'!$E:$E,$E266))</f>
        <v/>
      </c>
      <c r="D266" s="5">
        <f>IF($E266="","",INDEX('Input Transaksi'!$F:$F,$E266))</f>
        <v/>
      </c>
      <c r="E266">
        <f>IFERROR(AGGREGATE(15,6,ROW('Input Transaksi'!$B$5:$B$5000)/('Input Transaksi'!$B$5:$B$5000="JCL NUSA KAMBANGAN"),ROWS($E$5:E266)),"")</f>
        <v/>
      </c>
      <c r="F266" s="5" t="n"/>
    </row>
    <row r="267">
      <c r="A267" s="10">
        <f>IF($E267="","",INDEX('Input Transaksi'!$A:$A,$E267))</f>
        <v/>
      </c>
      <c r="B267" s="5">
        <f>IF($E267="","",INDEX('Input Transaksi'!$D:$D,$E267))</f>
        <v/>
      </c>
      <c r="C267">
        <f>IF($E267="","",INDEX('Input Transaksi'!$E:$E,$E267))</f>
        <v/>
      </c>
      <c r="D267" s="5">
        <f>IF($E267="","",INDEX('Input Transaksi'!$F:$F,$E267))</f>
        <v/>
      </c>
      <c r="E267">
        <f>IFERROR(AGGREGATE(15,6,ROW('Input Transaksi'!$B$5:$B$5000)/('Input Transaksi'!$B$5:$B$5000="JCL NUSA KAMBANGAN"),ROWS($E$5:E267)),"")</f>
        <v/>
      </c>
      <c r="F267" s="5" t="n"/>
    </row>
    <row r="268">
      <c r="A268" s="10">
        <f>IF($E268="","",INDEX('Input Transaksi'!$A:$A,$E268))</f>
        <v/>
      </c>
      <c r="B268" s="5">
        <f>IF($E268="","",INDEX('Input Transaksi'!$D:$D,$E268))</f>
        <v/>
      </c>
      <c r="C268">
        <f>IF($E268="","",INDEX('Input Transaksi'!$E:$E,$E268))</f>
        <v/>
      </c>
      <c r="D268" s="5">
        <f>IF($E268="","",INDEX('Input Transaksi'!$F:$F,$E268))</f>
        <v/>
      </c>
      <c r="E268">
        <f>IFERROR(AGGREGATE(15,6,ROW('Input Transaksi'!$B$5:$B$5000)/('Input Transaksi'!$B$5:$B$5000="JCL NUSA KAMBANGAN"),ROWS($E$5:E268)),"")</f>
        <v/>
      </c>
      <c r="F268" s="5" t="n"/>
    </row>
    <row r="269">
      <c r="A269" s="10">
        <f>IF($E269="","",INDEX('Input Transaksi'!$A:$A,$E269))</f>
        <v/>
      </c>
      <c r="B269" s="5">
        <f>IF($E269="","",INDEX('Input Transaksi'!$D:$D,$E269))</f>
        <v/>
      </c>
      <c r="C269">
        <f>IF($E269="","",INDEX('Input Transaksi'!$E:$E,$E269))</f>
        <v/>
      </c>
      <c r="D269" s="5">
        <f>IF($E269="","",INDEX('Input Transaksi'!$F:$F,$E269))</f>
        <v/>
      </c>
      <c r="E269">
        <f>IFERROR(AGGREGATE(15,6,ROW('Input Transaksi'!$B$5:$B$5000)/('Input Transaksi'!$B$5:$B$5000="JCL NUSA KAMBANGAN"),ROWS($E$5:E269)),"")</f>
        <v/>
      </c>
      <c r="F269" s="5" t="n"/>
    </row>
    <row r="270">
      <c r="A270" s="10">
        <f>IF($E270="","",INDEX('Input Transaksi'!$A:$A,$E270))</f>
        <v/>
      </c>
      <c r="B270" s="5">
        <f>IF($E270="","",INDEX('Input Transaksi'!$D:$D,$E270))</f>
        <v/>
      </c>
      <c r="C270">
        <f>IF($E270="","",INDEX('Input Transaksi'!$E:$E,$E270))</f>
        <v/>
      </c>
      <c r="D270" s="5">
        <f>IF($E270="","",INDEX('Input Transaksi'!$F:$F,$E270))</f>
        <v/>
      </c>
      <c r="E270">
        <f>IFERROR(AGGREGATE(15,6,ROW('Input Transaksi'!$B$5:$B$5000)/('Input Transaksi'!$B$5:$B$5000="JCL NUSA KAMBANGAN"),ROWS($E$5:E270)),"")</f>
        <v/>
      </c>
      <c r="F270" s="5" t="n"/>
    </row>
    <row r="271">
      <c r="A271" s="10">
        <f>IF($E271="","",INDEX('Input Transaksi'!$A:$A,$E271))</f>
        <v/>
      </c>
      <c r="B271" s="5">
        <f>IF($E271="","",INDEX('Input Transaksi'!$D:$D,$E271))</f>
        <v/>
      </c>
      <c r="C271">
        <f>IF($E271="","",INDEX('Input Transaksi'!$E:$E,$E271))</f>
        <v/>
      </c>
      <c r="D271" s="5">
        <f>IF($E271="","",INDEX('Input Transaksi'!$F:$F,$E271))</f>
        <v/>
      </c>
      <c r="E271">
        <f>IFERROR(AGGREGATE(15,6,ROW('Input Transaksi'!$B$5:$B$5000)/('Input Transaksi'!$B$5:$B$5000="JCL NUSA KAMBANGAN"),ROWS($E$5:E271)),"")</f>
        <v/>
      </c>
      <c r="F271" s="5" t="n"/>
    </row>
    <row r="272">
      <c r="A272" s="10">
        <f>IF($E272="","",INDEX('Input Transaksi'!$A:$A,$E272))</f>
        <v/>
      </c>
      <c r="B272" s="5">
        <f>IF($E272="","",INDEX('Input Transaksi'!$D:$D,$E272))</f>
        <v/>
      </c>
      <c r="C272">
        <f>IF($E272="","",INDEX('Input Transaksi'!$E:$E,$E272))</f>
        <v/>
      </c>
      <c r="D272" s="5">
        <f>IF($E272="","",INDEX('Input Transaksi'!$F:$F,$E272))</f>
        <v/>
      </c>
      <c r="E272">
        <f>IFERROR(AGGREGATE(15,6,ROW('Input Transaksi'!$B$5:$B$5000)/('Input Transaksi'!$B$5:$B$5000="JCL NUSA KAMBANGAN"),ROWS($E$5:E272)),"")</f>
        <v/>
      </c>
      <c r="F272" s="5" t="n"/>
    </row>
    <row r="273">
      <c r="A273" s="10">
        <f>IF($E273="","",INDEX('Input Transaksi'!$A:$A,$E273))</f>
        <v/>
      </c>
      <c r="B273" s="5">
        <f>IF($E273="","",INDEX('Input Transaksi'!$D:$D,$E273))</f>
        <v/>
      </c>
      <c r="C273">
        <f>IF($E273="","",INDEX('Input Transaksi'!$E:$E,$E273))</f>
        <v/>
      </c>
      <c r="D273" s="5">
        <f>IF($E273="","",INDEX('Input Transaksi'!$F:$F,$E273))</f>
        <v/>
      </c>
      <c r="E273">
        <f>IFERROR(AGGREGATE(15,6,ROW('Input Transaksi'!$B$5:$B$5000)/('Input Transaksi'!$B$5:$B$5000="JCL NUSA KAMBANGAN"),ROWS($E$5:E273)),"")</f>
        <v/>
      </c>
      <c r="F273" s="5" t="n"/>
    </row>
    <row r="274">
      <c r="A274" s="10">
        <f>IF($E274="","",INDEX('Input Transaksi'!$A:$A,$E274))</f>
        <v/>
      </c>
      <c r="B274" s="5">
        <f>IF($E274="","",INDEX('Input Transaksi'!$D:$D,$E274))</f>
        <v/>
      </c>
      <c r="C274">
        <f>IF($E274="","",INDEX('Input Transaksi'!$E:$E,$E274))</f>
        <v/>
      </c>
      <c r="D274" s="5">
        <f>IF($E274="","",INDEX('Input Transaksi'!$F:$F,$E274))</f>
        <v/>
      </c>
      <c r="E274">
        <f>IFERROR(AGGREGATE(15,6,ROW('Input Transaksi'!$B$5:$B$5000)/('Input Transaksi'!$B$5:$B$5000="JCL NUSA KAMBANGAN"),ROWS($E$5:E274)),"")</f>
        <v/>
      </c>
      <c r="F274" s="5" t="n"/>
    </row>
    <row r="275">
      <c r="A275" s="10">
        <f>IF($E275="","",INDEX('Input Transaksi'!$A:$A,$E275))</f>
        <v/>
      </c>
      <c r="B275" s="5">
        <f>IF($E275="","",INDEX('Input Transaksi'!$D:$D,$E275))</f>
        <v/>
      </c>
      <c r="C275">
        <f>IF($E275="","",INDEX('Input Transaksi'!$E:$E,$E275))</f>
        <v/>
      </c>
      <c r="D275" s="5">
        <f>IF($E275="","",INDEX('Input Transaksi'!$F:$F,$E275))</f>
        <v/>
      </c>
      <c r="E275">
        <f>IFERROR(AGGREGATE(15,6,ROW('Input Transaksi'!$B$5:$B$5000)/('Input Transaksi'!$B$5:$B$5000="JCL NUSA KAMBANGAN"),ROWS($E$5:E275)),"")</f>
        <v/>
      </c>
      <c r="F275" s="5" t="n"/>
    </row>
    <row r="276">
      <c r="A276" s="10">
        <f>IF($E276="","",INDEX('Input Transaksi'!$A:$A,$E276))</f>
        <v/>
      </c>
      <c r="B276" s="5">
        <f>IF($E276="","",INDEX('Input Transaksi'!$D:$D,$E276))</f>
        <v/>
      </c>
      <c r="C276">
        <f>IF($E276="","",INDEX('Input Transaksi'!$E:$E,$E276))</f>
        <v/>
      </c>
      <c r="D276" s="5">
        <f>IF($E276="","",INDEX('Input Transaksi'!$F:$F,$E276))</f>
        <v/>
      </c>
      <c r="E276">
        <f>IFERROR(AGGREGATE(15,6,ROW('Input Transaksi'!$B$5:$B$5000)/('Input Transaksi'!$B$5:$B$5000="JCL NUSA KAMBANGAN"),ROWS($E$5:E276)),"")</f>
        <v/>
      </c>
      <c r="F276" s="5" t="n"/>
    </row>
    <row r="277">
      <c r="A277" s="10">
        <f>IF($E277="","",INDEX('Input Transaksi'!$A:$A,$E277))</f>
        <v/>
      </c>
      <c r="B277" s="5">
        <f>IF($E277="","",INDEX('Input Transaksi'!$D:$D,$E277))</f>
        <v/>
      </c>
      <c r="C277">
        <f>IF($E277="","",INDEX('Input Transaksi'!$E:$E,$E277))</f>
        <v/>
      </c>
      <c r="D277" s="5">
        <f>IF($E277="","",INDEX('Input Transaksi'!$F:$F,$E277))</f>
        <v/>
      </c>
      <c r="E277">
        <f>IFERROR(AGGREGATE(15,6,ROW('Input Transaksi'!$B$5:$B$5000)/('Input Transaksi'!$B$5:$B$5000="JCL NUSA KAMBANGAN"),ROWS($E$5:E277)),"")</f>
        <v/>
      </c>
      <c r="F277" s="5" t="n"/>
    </row>
    <row r="278">
      <c r="A278" s="10">
        <f>IF($E278="","",INDEX('Input Transaksi'!$A:$A,$E278))</f>
        <v/>
      </c>
      <c r="B278" s="5">
        <f>IF($E278="","",INDEX('Input Transaksi'!$D:$D,$E278))</f>
        <v/>
      </c>
      <c r="C278">
        <f>IF($E278="","",INDEX('Input Transaksi'!$E:$E,$E278))</f>
        <v/>
      </c>
      <c r="D278" s="5">
        <f>IF($E278="","",INDEX('Input Transaksi'!$F:$F,$E278))</f>
        <v/>
      </c>
      <c r="E278">
        <f>IFERROR(AGGREGATE(15,6,ROW('Input Transaksi'!$B$5:$B$5000)/('Input Transaksi'!$B$5:$B$5000="JCL NUSA KAMBANGAN"),ROWS($E$5:E278)),"")</f>
        <v/>
      </c>
      <c r="F278" s="5" t="n"/>
    </row>
    <row r="279">
      <c r="A279" s="10">
        <f>IF($E279="","",INDEX('Input Transaksi'!$A:$A,$E279))</f>
        <v/>
      </c>
      <c r="B279" s="5">
        <f>IF($E279="","",INDEX('Input Transaksi'!$D:$D,$E279))</f>
        <v/>
      </c>
      <c r="C279">
        <f>IF($E279="","",INDEX('Input Transaksi'!$E:$E,$E279))</f>
        <v/>
      </c>
      <c r="D279" s="5">
        <f>IF($E279="","",INDEX('Input Transaksi'!$F:$F,$E279))</f>
        <v/>
      </c>
      <c r="E279">
        <f>IFERROR(AGGREGATE(15,6,ROW('Input Transaksi'!$B$5:$B$5000)/('Input Transaksi'!$B$5:$B$5000="JCL NUSA KAMBANGAN"),ROWS($E$5:E279)),"")</f>
        <v/>
      </c>
      <c r="F279" s="5" t="n"/>
    </row>
    <row r="280">
      <c r="A280" s="10">
        <f>IF($E280="","",INDEX('Input Transaksi'!$A:$A,$E280))</f>
        <v/>
      </c>
      <c r="B280" s="5">
        <f>IF($E280="","",INDEX('Input Transaksi'!$D:$D,$E280))</f>
        <v/>
      </c>
      <c r="C280">
        <f>IF($E280="","",INDEX('Input Transaksi'!$E:$E,$E280))</f>
        <v/>
      </c>
      <c r="D280" s="5">
        <f>IF($E280="","",INDEX('Input Transaksi'!$F:$F,$E280))</f>
        <v/>
      </c>
      <c r="E280">
        <f>IFERROR(AGGREGATE(15,6,ROW('Input Transaksi'!$B$5:$B$5000)/('Input Transaksi'!$B$5:$B$5000="JCL NUSA KAMBANGAN"),ROWS($E$5:E280)),"")</f>
        <v/>
      </c>
      <c r="F280" s="5" t="n"/>
    </row>
    <row r="281">
      <c r="A281" s="10">
        <f>IF($E281="","",INDEX('Input Transaksi'!$A:$A,$E281))</f>
        <v/>
      </c>
      <c r="B281" s="5">
        <f>IF($E281="","",INDEX('Input Transaksi'!$D:$D,$E281))</f>
        <v/>
      </c>
      <c r="C281">
        <f>IF($E281="","",INDEX('Input Transaksi'!$E:$E,$E281))</f>
        <v/>
      </c>
      <c r="D281" s="5">
        <f>IF($E281="","",INDEX('Input Transaksi'!$F:$F,$E281))</f>
        <v/>
      </c>
      <c r="E281">
        <f>IFERROR(AGGREGATE(15,6,ROW('Input Transaksi'!$B$5:$B$5000)/('Input Transaksi'!$B$5:$B$5000="JCL NUSA KAMBANGAN"),ROWS($E$5:E281)),"")</f>
        <v/>
      </c>
      <c r="F281" s="5" t="n"/>
    </row>
    <row r="282">
      <c r="A282" s="10">
        <f>IF($E282="","",INDEX('Input Transaksi'!$A:$A,$E282))</f>
        <v/>
      </c>
      <c r="B282" s="5">
        <f>IF($E282="","",INDEX('Input Transaksi'!$D:$D,$E282))</f>
        <v/>
      </c>
      <c r="C282">
        <f>IF($E282="","",INDEX('Input Transaksi'!$E:$E,$E282))</f>
        <v/>
      </c>
      <c r="D282" s="5">
        <f>IF($E282="","",INDEX('Input Transaksi'!$F:$F,$E282))</f>
        <v/>
      </c>
      <c r="E282">
        <f>IFERROR(AGGREGATE(15,6,ROW('Input Transaksi'!$B$5:$B$5000)/('Input Transaksi'!$B$5:$B$5000="JCL NUSA KAMBANGAN"),ROWS($E$5:E282)),"")</f>
        <v/>
      </c>
      <c r="F282" s="5" t="n"/>
    </row>
    <row r="283">
      <c r="A283" s="10">
        <f>IF($E283="","",INDEX('Input Transaksi'!$A:$A,$E283))</f>
        <v/>
      </c>
      <c r="B283" s="5">
        <f>IF($E283="","",INDEX('Input Transaksi'!$D:$D,$E283))</f>
        <v/>
      </c>
      <c r="C283">
        <f>IF($E283="","",INDEX('Input Transaksi'!$E:$E,$E283))</f>
        <v/>
      </c>
      <c r="D283" s="5">
        <f>IF($E283="","",INDEX('Input Transaksi'!$F:$F,$E283))</f>
        <v/>
      </c>
      <c r="E283">
        <f>IFERROR(AGGREGATE(15,6,ROW('Input Transaksi'!$B$5:$B$5000)/('Input Transaksi'!$B$5:$B$5000="JCL NUSA KAMBANGAN"),ROWS($E$5:E283)),"")</f>
        <v/>
      </c>
      <c r="F283" s="5" t="n"/>
    </row>
    <row r="284">
      <c r="A284" s="10">
        <f>IF($E284="","",INDEX('Input Transaksi'!$A:$A,$E284))</f>
        <v/>
      </c>
      <c r="B284" s="5">
        <f>IF($E284="","",INDEX('Input Transaksi'!$D:$D,$E284))</f>
        <v/>
      </c>
      <c r="C284">
        <f>IF($E284="","",INDEX('Input Transaksi'!$E:$E,$E284))</f>
        <v/>
      </c>
      <c r="D284" s="5">
        <f>IF($E284="","",INDEX('Input Transaksi'!$F:$F,$E284))</f>
        <v/>
      </c>
      <c r="E284">
        <f>IFERROR(AGGREGATE(15,6,ROW('Input Transaksi'!$B$5:$B$5000)/('Input Transaksi'!$B$5:$B$5000="JCL NUSA KAMBANGAN"),ROWS($E$5:E284)),"")</f>
        <v/>
      </c>
      <c r="F284" s="5" t="n"/>
    </row>
    <row r="285">
      <c r="A285" s="10">
        <f>IF($E285="","",INDEX('Input Transaksi'!$A:$A,$E285))</f>
        <v/>
      </c>
      <c r="B285" s="5">
        <f>IF($E285="","",INDEX('Input Transaksi'!$D:$D,$E285))</f>
        <v/>
      </c>
      <c r="C285">
        <f>IF($E285="","",INDEX('Input Transaksi'!$E:$E,$E285))</f>
        <v/>
      </c>
      <c r="D285" s="5">
        <f>IF($E285="","",INDEX('Input Transaksi'!$F:$F,$E285))</f>
        <v/>
      </c>
      <c r="E285">
        <f>IFERROR(AGGREGATE(15,6,ROW('Input Transaksi'!$B$5:$B$5000)/('Input Transaksi'!$B$5:$B$5000="JCL NUSA KAMBANGAN"),ROWS($E$5:E285)),"")</f>
        <v/>
      </c>
      <c r="F285" s="5" t="n"/>
    </row>
    <row r="286">
      <c r="A286" s="10">
        <f>IF($E286="","",INDEX('Input Transaksi'!$A:$A,$E286))</f>
        <v/>
      </c>
      <c r="B286" s="5">
        <f>IF($E286="","",INDEX('Input Transaksi'!$D:$D,$E286))</f>
        <v/>
      </c>
      <c r="C286">
        <f>IF($E286="","",INDEX('Input Transaksi'!$E:$E,$E286))</f>
        <v/>
      </c>
      <c r="D286" s="5">
        <f>IF($E286="","",INDEX('Input Transaksi'!$F:$F,$E286))</f>
        <v/>
      </c>
      <c r="E286">
        <f>IFERROR(AGGREGATE(15,6,ROW('Input Transaksi'!$B$5:$B$5000)/('Input Transaksi'!$B$5:$B$5000="JCL NUSA KAMBANGAN"),ROWS($E$5:E286)),"")</f>
        <v/>
      </c>
      <c r="F286" s="5" t="n"/>
    </row>
    <row r="287">
      <c r="A287" s="10">
        <f>IF($E287="","",INDEX('Input Transaksi'!$A:$A,$E287))</f>
        <v/>
      </c>
      <c r="B287" s="5">
        <f>IF($E287="","",INDEX('Input Transaksi'!$D:$D,$E287))</f>
        <v/>
      </c>
      <c r="C287">
        <f>IF($E287="","",INDEX('Input Transaksi'!$E:$E,$E287))</f>
        <v/>
      </c>
      <c r="D287" s="5">
        <f>IF($E287="","",INDEX('Input Transaksi'!$F:$F,$E287))</f>
        <v/>
      </c>
      <c r="E287">
        <f>IFERROR(AGGREGATE(15,6,ROW('Input Transaksi'!$B$5:$B$5000)/('Input Transaksi'!$B$5:$B$5000="JCL NUSA KAMBANGAN"),ROWS($E$5:E287)),"")</f>
        <v/>
      </c>
      <c r="F287" s="5" t="n"/>
    </row>
    <row r="288">
      <c r="A288" s="10">
        <f>IF($E288="","",INDEX('Input Transaksi'!$A:$A,$E288))</f>
        <v/>
      </c>
      <c r="B288" s="5">
        <f>IF($E288="","",INDEX('Input Transaksi'!$D:$D,$E288))</f>
        <v/>
      </c>
      <c r="C288">
        <f>IF($E288="","",INDEX('Input Transaksi'!$E:$E,$E288))</f>
        <v/>
      </c>
      <c r="D288" s="5">
        <f>IF($E288="","",INDEX('Input Transaksi'!$F:$F,$E288))</f>
        <v/>
      </c>
      <c r="E288">
        <f>IFERROR(AGGREGATE(15,6,ROW('Input Transaksi'!$B$5:$B$5000)/('Input Transaksi'!$B$5:$B$5000="JCL NUSA KAMBANGAN"),ROWS($E$5:E288)),"")</f>
        <v/>
      </c>
      <c r="F288" s="5" t="n"/>
    </row>
    <row r="289">
      <c r="A289" s="10">
        <f>IF($E289="","",INDEX('Input Transaksi'!$A:$A,$E289))</f>
        <v/>
      </c>
      <c r="B289" s="5">
        <f>IF($E289="","",INDEX('Input Transaksi'!$D:$D,$E289))</f>
        <v/>
      </c>
      <c r="C289">
        <f>IF($E289="","",INDEX('Input Transaksi'!$E:$E,$E289))</f>
        <v/>
      </c>
      <c r="D289" s="5">
        <f>IF($E289="","",INDEX('Input Transaksi'!$F:$F,$E289))</f>
        <v/>
      </c>
      <c r="E289">
        <f>IFERROR(AGGREGATE(15,6,ROW('Input Transaksi'!$B$5:$B$5000)/('Input Transaksi'!$B$5:$B$5000="JCL NUSA KAMBANGAN"),ROWS($E$5:E289)),"")</f>
        <v/>
      </c>
      <c r="F289" s="5" t="n"/>
    </row>
    <row r="290">
      <c r="A290" s="10">
        <f>IF($E290="","",INDEX('Input Transaksi'!$A:$A,$E290))</f>
        <v/>
      </c>
      <c r="B290" s="5">
        <f>IF($E290="","",INDEX('Input Transaksi'!$D:$D,$E290))</f>
        <v/>
      </c>
      <c r="C290">
        <f>IF($E290="","",INDEX('Input Transaksi'!$E:$E,$E290))</f>
        <v/>
      </c>
      <c r="D290" s="5">
        <f>IF($E290="","",INDEX('Input Transaksi'!$F:$F,$E290))</f>
        <v/>
      </c>
      <c r="E290">
        <f>IFERROR(AGGREGATE(15,6,ROW('Input Transaksi'!$B$5:$B$5000)/('Input Transaksi'!$B$5:$B$5000="JCL NUSA KAMBANGAN"),ROWS($E$5:E290)),"")</f>
        <v/>
      </c>
      <c r="F290" s="5" t="n"/>
    </row>
    <row r="291">
      <c r="A291" s="10">
        <f>IF($E291="","",INDEX('Input Transaksi'!$A:$A,$E291))</f>
        <v/>
      </c>
      <c r="B291" s="5">
        <f>IF($E291="","",INDEX('Input Transaksi'!$D:$D,$E291))</f>
        <v/>
      </c>
      <c r="C291">
        <f>IF($E291="","",INDEX('Input Transaksi'!$E:$E,$E291))</f>
        <v/>
      </c>
      <c r="D291" s="5">
        <f>IF($E291="","",INDEX('Input Transaksi'!$F:$F,$E291))</f>
        <v/>
      </c>
      <c r="E291">
        <f>IFERROR(AGGREGATE(15,6,ROW('Input Transaksi'!$B$5:$B$5000)/('Input Transaksi'!$B$5:$B$5000="JCL NUSA KAMBANGAN"),ROWS($E$5:E291)),"")</f>
        <v/>
      </c>
      <c r="F291" s="5" t="n"/>
    </row>
    <row r="292">
      <c r="A292" s="10">
        <f>IF($E292="","",INDEX('Input Transaksi'!$A:$A,$E292))</f>
        <v/>
      </c>
      <c r="B292" s="5">
        <f>IF($E292="","",INDEX('Input Transaksi'!$D:$D,$E292))</f>
        <v/>
      </c>
      <c r="C292">
        <f>IF($E292="","",INDEX('Input Transaksi'!$E:$E,$E292))</f>
        <v/>
      </c>
      <c r="D292" s="5">
        <f>IF($E292="","",INDEX('Input Transaksi'!$F:$F,$E292))</f>
        <v/>
      </c>
      <c r="E292">
        <f>IFERROR(AGGREGATE(15,6,ROW('Input Transaksi'!$B$5:$B$5000)/('Input Transaksi'!$B$5:$B$5000="JCL NUSA KAMBANGAN"),ROWS($E$5:E292)),"")</f>
        <v/>
      </c>
      <c r="F292" s="5" t="n"/>
    </row>
    <row r="293">
      <c r="A293" s="10">
        <f>IF($E293="","",INDEX('Input Transaksi'!$A:$A,$E293))</f>
        <v/>
      </c>
      <c r="B293" s="5">
        <f>IF($E293="","",INDEX('Input Transaksi'!$D:$D,$E293))</f>
        <v/>
      </c>
      <c r="C293">
        <f>IF($E293="","",INDEX('Input Transaksi'!$E:$E,$E293))</f>
        <v/>
      </c>
      <c r="D293" s="5">
        <f>IF($E293="","",INDEX('Input Transaksi'!$F:$F,$E293))</f>
        <v/>
      </c>
      <c r="E293">
        <f>IFERROR(AGGREGATE(15,6,ROW('Input Transaksi'!$B$5:$B$5000)/('Input Transaksi'!$B$5:$B$5000="JCL NUSA KAMBANGAN"),ROWS($E$5:E293)),"")</f>
        <v/>
      </c>
      <c r="F293" s="5" t="n"/>
    </row>
    <row r="294">
      <c r="A294" s="10">
        <f>IF($E294="","",INDEX('Input Transaksi'!$A:$A,$E294))</f>
        <v/>
      </c>
      <c r="B294" s="5">
        <f>IF($E294="","",INDEX('Input Transaksi'!$D:$D,$E294))</f>
        <v/>
      </c>
      <c r="C294">
        <f>IF($E294="","",INDEX('Input Transaksi'!$E:$E,$E294))</f>
        <v/>
      </c>
      <c r="D294" s="5">
        <f>IF($E294="","",INDEX('Input Transaksi'!$F:$F,$E294))</f>
        <v/>
      </c>
      <c r="E294">
        <f>IFERROR(AGGREGATE(15,6,ROW('Input Transaksi'!$B$5:$B$5000)/('Input Transaksi'!$B$5:$B$5000="JCL NUSA KAMBANGAN"),ROWS($E$5:E294)),"")</f>
        <v/>
      </c>
      <c r="F294" s="5" t="n"/>
    </row>
    <row r="295">
      <c r="A295" s="10">
        <f>IF($E295="","",INDEX('Input Transaksi'!$A:$A,$E295))</f>
        <v/>
      </c>
      <c r="B295" s="5">
        <f>IF($E295="","",INDEX('Input Transaksi'!$D:$D,$E295))</f>
        <v/>
      </c>
      <c r="C295">
        <f>IF($E295="","",INDEX('Input Transaksi'!$E:$E,$E295))</f>
        <v/>
      </c>
      <c r="D295" s="5">
        <f>IF($E295="","",INDEX('Input Transaksi'!$F:$F,$E295))</f>
        <v/>
      </c>
      <c r="E295">
        <f>IFERROR(AGGREGATE(15,6,ROW('Input Transaksi'!$B$5:$B$5000)/('Input Transaksi'!$B$5:$B$5000="JCL NUSA KAMBANGAN"),ROWS($E$5:E295)),"")</f>
        <v/>
      </c>
      <c r="F295" s="5" t="n"/>
    </row>
    <row r="296">
      <c r="A296" s="10">
        <f>IF($E296="","",INDEX('Input Transaksi'!$A:$A,$E296))</f>
        <v/>
      </c>
      <c r="B296" s="5">
        <f>IF($E296="","",INDEX('Input Transaksi'!$D:$D,$E296))</f>
        <v/>
      </c>
      <c r="C296">
        <f>IF($E296="","",INDEX('Input Transaksi'!$E:$E,$E296))</f>
        <v/>
      </c>
      <c r="D296" s="5">
        <f>IF($E296="","",INDEX('Input Transaksi'!$F:$F,$E296))</f>
        <v/>
      </c>
      <c r="E296">
        <f>IFERROR(AGGREGATE(15,6,ROW('Input Transaksi'!$B$5:$B$5000)/('Input Transaksi'!$B$5:$B$5000="JCL NUSA KAMBANGAN"),ROWS($E$5:E296)),"")</f>
        <v/>
      </c>
      <c r="F296" s="5" t="n"/>
    </row>
    <row r="297">
      <c r="A297" s="10">
        <f>IF($E297="","",INDEX('Input Transaksi'!$A:$A,$E297))</f>
        <v/>
      </c>
      <c r="B297" s="5">
        <f>IF($E297="","",INDEX('Input Transaksi'!$D:$D,$E297))</f>
        <v/>
      </c>
      <c r="C297">
        <f>IF($E297="","",INDEX('Input Transaksi'!$E:$E,$E297))</f>
        <v/>
      </c>
      <c r="D297" s="5">
        <f>IF($E297="","",INDEX('Input Transaksi'!$F:$F,$E297))</f>
        <v/>
      </c>
      <c r="E297">
        <f>IFERROR(AGGREGATE(15,6,ROW('Input Transaksi'!$B$5:$B$5000)/('Input Transaksi'!$B$5:$B$5000="JCL NUSA KAMBANGAN"),ROWS($E$5:E297)),"")</f>
        <v/>
      </c>
      <c r="F297" s="5" t="n"/>
    </row>
    <row r="298">
      <c r="A298" s="10">
        <f>IF($E298="","",INDEX('Input Transaksi'!$A:$A,$E298))</f>
        <v/>
      </c>
      <c r="B298" s="5">
        <f>IF($E298="","",INDEX('Input Transaksi'!$D:$D,$E298))</f>
        <v/>
      </c>
      <c r="C298">
        <f>IF($E298="","",INDEX('Input Transaksi'!$E:$E,$E298))</f>
        <v/>
      </c>
      <c r="D298" s="5">
        <f>IF($E298="","",INDEX('Input Transaksi'!$F:$F,$E298))</f>
        <v/>
      </c>
      <c r="E298">
        <f>IFERROR(AGGREGATE(15,6,ROW('Input Transaksi'!$B$5:$B$5000)/('Input Transaksi'!$B$5:$B$5000="JCL NUSA KAMBANGAN"),ROWS($E$5:E298)),"")</f>
        <v/>
      </c>
      <c r="F298" s="5" t="n"/>
    </row>
    <row r="299">
      <c r="A299" s="10">
        <f>IF($E299="","",INDEX('Input Transaksi'!$A:$A,$E299))</f>
        <v/>
      </c>
      <c r="B299" s="5">
        <f>IF($E299="","",INDEX('Input Transaksi'!$D:$D,$E299))</f>
        <v/>
      </c>
      <c r="C299">
        <f>IF($E299="","",INDEX('Input Transaksi'!$E:$E,$E299))</f>
        <v/>
      </c>
      <c r="D299" s="5">
        <f>IF($E299="","",INDEX('Input Transaksi'!$F:$F,$E299))</f>
        <v/>
      </c>
      <c r="E299">
        <f>IFERROR(AGGREGATE(15,6,ROW('Input Transaksi'!$B$5:$B$5000)/('Input Transaksi'!$B$5:$B$5000="JCL NUSA KAMBANGAN"),ROWS($E$5:E299)),"")</f>
        <v/>
      </c>
      <c r="F299" s="5" t="n"/>
    </row>
    <row r="300">
      <c r="A300" s="10">
        <f>IF($E300="","",INDEX('Input Transaksi'!$A:$A,$E300))</f>
        <v/>
      </c>
      <c r="B300" s="5">
        <f>IF($E300="","",INDEX('Input Transaksi'!$D:$D,$E300))</f>
        <v/>
      </c>
      <c r="C300">
        <f>IF($E300="","",INDEX('Input Transaksi'!$E:$E,$E300))</f>
        <v/>
      </c>
      <c r="D300" s="5">
        <f>IF($E300="","",INDEX('Input Transaksi'!$F:$F,$E300))</f>
        <v/>
      </c>
      <c r="E300">
        <f>IFERROR(AGGREGATE(15,6,ROW('Input Transaksi'!$B$5:$B$5000)/('Input Transaksi'!$B$5:$B$5000="JCL NUSA KAMBANGAN"),ROWS($E$5:E300)),"")</f>
        <v/>
      </c>
      <c r="F300" s="5" t="n"/>
    </row>
    <row r="301">
      <c r="A301" s="10">
        <f>IF($E301="","",INDEX('Input Transaksi'!$A:$A,$E301))</f>
        <v/>
      </c>
      <c r="B301" s="5">
        <f>IF($E301="","",INDEX('Input Transaksi'!$D:$D,$E301))</f>
        <v/>
      </c>
      <c r="C301">
        <f>IF($E301="","",INDEX('Input Transaksi'!$E:$E,$E301))</f>
        <v/>
      </c>
      <c r="D301" s="5">
        <f>IF($E301="","",INDEX('Input Transaksi'!$F:$F,$E301))</f>
        <v/>
      </c>
      <c r="E301">
        <f>IFERROR(AGGREGATE(15,6,ROW('Input Transaksi'!$B$5:$B$5000)/('Input Transaksi'!$B$5:$B$5000="JCL NUSA KAMBANGAN"),ROWS($E$5:E301)),"")</f>
        <v/>
      </c>
      <c r="F301" s="5" t="n"/>
    </row>
    <row r="302">
      <c r="A302" s="10">
        <f>IF($E302="","",INDEX('Input Transaksi'!$A:$A,$E302))</f>
        <v/>
      </c>
      <c r="B302" s="5">
        <f>IF($E302="","",INDEX('Input Transaksi'!$D:$D,$E302))</f>
        <v/>
      </c>
      <c r="C302">
        <f>IF($E302="","",INDEX('Input Transaksi'!$E:$E,$E302))</f>
        <v/>
      </c>
      <c r="D302" s="5">
        <f>IF($E302="","",INDEX('Input Transaksi'!$F:$F,$E302))</f>
        <v/>
      </c>
      <c r="E302">
        <f>IFERROR(AGGREGATE(15,6,ROW('Input Transaksi'!$B$5:$B$5000)/('Input Transaksi'!$B$5:$B$5000="JCL NUSA KAMBANGAN"),ROWS($E$5:E302)),"")</f>
        <v/>
      </c>
      <c r="F302" s="5" t="n"/>
    </row>
    <row r="303">
      <c r="A303" s="10">
        <f>IF($E303="","",INDEX('Input Transaksi'!$A:$A,$E303))</f>
        <v/>
      </c>
      <c r="B303" s="5">
        <f>IF($E303="","",INDEX('Input Transaksi'!$D:$D,$E303))</f>
        <v/>
      </c>
      <c r="C303">
        <f>IF($E303="","",INDEX('Input Transaksi'!$E:$E,$E303))</f>
        <v/>
      </c>
      <c r="D303" s="5">
        <f>IF($E303="","",INDEX('Input Transaksi'!$F:$F,$E303))</f>
        <v/>
      </c>
      <c r="E303">
        <f>IFERROR(AGGREGATE(15,6,ROW('Input Transaksi'!$B$5:$B$5000)/('Input Transaksi'!$B$5:$B$5000="JCL NUSA KAMBANGAN"),ROWS($E$5:E303)),"")</f>
        <v/>
      </c>
      <c r="F303" s="5" t="n"/>
    </row>
    <row r="304">
      <c r="A304" s="10">
        <f>IF($E304="","",INDEX('Input Transaksi'!$A:$A,$E304))</f>
        <v/>
      </c>
      <c r="B304" s="5">
        <f>IF($E304="","",INDEX('Input Transaksi'!$D:$D,$E304))</f>
        <v/>
      </c>
      <c r="C304">
        <f>IF($E304="","",INDEX('Input Transaksi'!$E:$E,$E304))</f>
        <v/>
      </c>
      <c r="D304" s="5">
        <f>IF($E304="","",INDEX('Input Transaksi'!$F:$F,$E304))</f>
        <v/>
      </c>
      <c r="E304">
        <f>IFERROR(AGGREGATE(15,6,ROW('Input Transaksi'!$B$5:$B$5000)/('Input Transaksi'!$B$5:$B$5000="JCL NUSA KAMBANGAN"),ROWS($E$5:E304)),"")</f>
        <v/>
      </c>
      <c r="F304" s="5" t="n"/>
    </row>
    <row r="305">
      <c r="A305" s="10">
        <f>IF($E305="","",INDEX('Input Transaksi'!$A:$A,$E305))</f>
        <v/>
      </c>
      <c r="B305" s="5">
        <f>IF($E305="","",INDEX('Input Transaksi'!$D:$D,$E305))</f>
        <v/>
      </c>
      <c r="C305">
        <f>IF($E305="","",INDEX('Input Transaksi'!$E:$E,$E305))</f>
        <v/>
      </c>
      <c r="D305" s="5">
        <f>IF($E305="","",INDEX('Input Transaksi'!$F:$F,$E305))</f>
        <v/>
      </c>
      <c r="E305">
        <f>IFERROR(AGGREGATE(15,6,ROW('Input Transaksi'!$B$5:$B$5000)/('Input Transaksi'!$B$5:$B$5000="JCL NUSA KAMBANGAN"),ROWS($E$5:E305)),"")</f>
        <v/>
      </c>
      <c r="F305" s="5" t="n"/>
    </row>
    <row r="306">
      <c r="A306" s="10">
        <f>IF($E306="","",INDEX('Input Transaksi'!$A:$A,$E306))</f>
        <v/>
      </c>
      <c r="B306" s="5">
        <f>IF($E306="","",INDEX('Input Transaksi'!$D:$D,$E306))</f>
        <v/>
      </c>
      <c r="C306">
        <f>IF($E306="","",INDEX('Input Transaksi'!$E:$E,$E306))</f>
        <v/>
      </c>
      <c r="D306" s="5">
        <f>IF($E306="","",INDEX('Input Transaksi'!$F:$F,$E306))</f>
        <v/>
      </c>
      <c r="E306">
        <f>IFERROR(AGGREGATE(15,6,ROW('Input Transaksi'!$B$5:$B$5000)/('Input Transaksi'!$B$5:$B$5000="JCL NUSA KAMBANGAN"),ROWS($E$5:E306)),"")</f>
        <v/>
      </c>
      <c r="F306" s="5" t="n"/>
    </row>
    <row r="307">
      <c r="A307" s="10">
        <f>IF($E307="","",INDEX('Input Transaksi'!$A:$A,$E307))</f>
        <v/>
      </c>
      <c r="B307" s="5">
        <f>IF($E307="","",INDEX('Input Transaksi'!$D:$D,$E307))</f>
        <v/>
      </c>
      <c r="C307">
        <f>IF($E307="","",INDEX('Input Transaksi'!$E:$E,$E307))</f>
        <v/>
      </c>
      <c r="D307" s="5">
        <f>IF($E307="","",INDEX('Input Transaksi'!$F:$F,$E307))</f>
        <v/>
      </c>
      <c r="E307">
        <f>IFERROR(AGGREGATE(15,6,ROW('Input Transaksi'!$B$5:$B$5000)/('Input Transaksi'!$B$5:$B$5000="JCL NUSA KAMBANGAN"),ROWS($E$5:E307)),"")</f>
        <v/>
      </c>
      <c r="F307" s="5" t="n"/>
    </row>
    <row r="308">
      <c r="A308" s="10">
        <f>IF($E308="","",INDEX('Input Transaksi'!$A:$A,$E308))</f>
        <v/>
      </c>
      <c r="B308" s="5">
        <f>IF($E308="","",INDEX('Input Transaksi'!$D:$D,$E308))</f>
        <v/>
      </c>
      <c r="C308">
        <f>IF($E308="","",INDEX('Input Transaksi'!$E:$E,$E308))</f>
        <v/>
      </c>
      <c r="D308" s="5">
        <f>IF($E308="","",INDEX('Input Transaksi'!$F:$F,$E308))</f>
        <v/>
      </c>
      <c r="E308">
        <f>IFERROR(AGGREGATE(15,6,ROW('Input Transaksi'!$B$5:$B$5000)/('Input Transaksi'!$B$5:$B$5000="JCL NUSA KAMBANGAN"),ROWS($E$5:E308)),"")</f>
        <v/>
      </c>
      <c r="F308" s="5" t="n"/>
    </row>
    <row r="309">
      <c r="A309" s="10">
        <f>IF($E309="","",INDEX('Input Transaksi'!$A:$A,$E309))</f>
        <v/>
      </c>
      <c r="B309" s="5">
        <f>IF($E309="","",INDEX('Input Transaksi'!$D:$D,$E309))</f>
        <v/>
      </c>
      <c r="C309">
        <f>IF($E309="","",INDEX('Input Transaksi'!$E:$E,$E309))</f>
        <v/>
      </c>
      <c r="D309" s="5">
        <f>IF($E309="","",INDEX('Input Transaksi'!$F:$F,$E309))</f>
        <v/>
      </c>
      <c r="E309">
        <f>IFERROR(AGGREGATE(15,6,ROW('Input Transaksi'!$B$5:$B$5000)/('Input Transaksi'!$B$5:$B$5000="JCL NUSA KAMBANGAN"),ROWS($E$5:E309)),"")</f>
        <v/>
      </c>
      <c r="F309" s="5" t="n"/>
    </row>
    <row r="310">
      <c r="A310" s="10">
        <f>IF($E310="","",INDEX('Input Transaksi'!$A:$A,$E310))</f>
        <v/>
      </c>
      <c r="B310" s="5">
        <f>IF($E310="","",INDEX('Input Transaksi'!$D:$D,$E310))</f>
        <v/>
      </c>
      <c r="C310">
        <f>IF($E310="","",INDEX('Input Transaksi'!$E:$E,$E310))</f>
        <v/>
      </c>
      <c r="D310" s="5">
        <f>IF($E310="","",INDEX('Input Transaksi'!$F:$F,$E310))</f>
        <v/>
      </c>
      <c r="E310">
        <f>IFERROR(AGGREGATE(15,6,ROW('Input Transaksi'!$B$5:$B$5000)/('Input Transaksi'!$B$5:$B$5000="JCL NUSA KAMBANGAN"),ROWS($E$5:E310)),"")</f>
        <v/>
      </c>
      <c r="F310" s="5" t="n"/>
    </row>
    <row r="311">
      <c r="A311" s="10">
        <f>IF($E311="","",INDEX('Input Transaksi'!$A:$A,$E311))</f>
        <v/>
      </c>
      <c r="B311" s="5">
        <f>IF($E311="","",INDEX('Input Transaksi'!$D:$D,$E311))</f>
        <v/>
      </c>
      <c r="C311">
        <f>IF($E311="","",INDEX('Input Transaksi'!$E:$E,$E311))</f>
        <v/>
      </c>
      <c r="D311" s="5">
        <f>IF($E311="","",INDEX('Input Transaksi'!$F:$F,$E311))</f>
        <v/>
      </c>
      <c r="E311">
        <f>IFERROR(AGGREGATE(15,6,ROW('Input Transaksi'!$B$5:$B$5000)/('Input Transaksi'!$B$5:$B$5000="JCL NUSA KAMBANGAN"),ROWS($E$5:E311)),"")</f>
        <v/>
      </c>
      <c r="F311" s="5" t="n"/>
    </row>
    <row r="312">
      <c r="A312" s="10">
        <f>IF($E312="","",INDEX('Input Transaksi'!$A:$A,$E312))</f>
        <v/>
      </c>
      <c r="B312" s="5">
        <f>IF($E312="","",INDEX('Input Transaksi'!$D:$D,$E312))</f>
        <v/>
      </c>
      <c r="C312">
        <f>IF($E312="","",INDEX('Input Transaksi'!$E:$E,$E312))</f>
        <v/>
      </c>
      <c r="D312" s="5">
        <f>IF($E312="","",INDEX('Input Transaksi'!$F:$F,$E312))</f>
        <v/>
      </c>
      <c r="E312">
        <f>IFERROR(AGGREGATE(15,6,ROW('Input Transaksi'!$B$5:$B$5000)/('Input Transaksi'!$B$5:$B$5000="JCL NUSA KAMBANGAN"),ROWS($E$5:E312)),"")</f>
        <v/>
      </c>
      <c r="F312" s="5" t="n"/>
    </row>
    <row r="313">
      <c r="A313" s="10">
        <f>IF($E313="","",INDEX('Input Transaksi'!$A:$A,$E313))</f>
        <v/>
      </c>
      <c r="B313" s="5">
        <f>IF($E313="","",INDEX('Input Transaksi'!$D:$D,$E313))</f>
        <v/>
      </c>
      <c r="C313">
        <f>IF($E313="","",INDEX('Input Transaksi'!$E:$E,$E313))</f>
        <v/>
      </c>
      <c r="D313" s="5">
        <f>IF($E313="","",INDEX('Input Transaksi'!$F:$F,$E313))</f>
        <v/>
      </c>
      <c r="E313">
        <f>IFERROR(AGGREGATE(15,6,ROW('Input Transaksi'!$B$5:$B$5000)/('Input Transaksi'!$B$5:$B$5000="JCL NUSA KAMBANGAN"),ROWS($E$5:E313)),"")</f>
        <v/>
      </c>
      <c r="F313" s="5" t="n"/>
    </row>
    <row r="314">
      <c r="A314" s="10">
        <f>IF($E314="","",INDEX('Input Transaksi'!$A:$A,$E314))</f>
        <v/>
      </c>
      <c r="B314" s="5">
        <f>IF($E314="","",INDEX('Input Transaksi'!$D:$D,$E314))</f>
        <v/>
      </c>
      <c r="C314">
        <f>IF($E314="","",INDEX('Input Transaksi'!$E:$E,$E314))</f>
        <v/>
      </c>
      <c r="D314" s="5">
        <f>IF($E314="","",INDEX('Input Transaksi'!$F:$F,$E314))</f>
        <v/>
      </c>
      <c r="E314">
        <f>IFERROR(AGGREGATE(15,6,ROW('Input Transaksi'!$B$5:$B$5000)/('Input Transaksi'!$B$5:$B$5000="JCL NUSA KAMBANGAN"),ROWS($E$5:E314)),"")</f>
        <v/>
      </c>
      <c r="F314" s="5" t="n"/>
    </row>
    <row r="315">
      <c r="A315" s="10">
        <f>IF($E315="","",INDEX('Input Transaksi'!$A:$A,$E315))</f>
        <v/>
      </c>
      <c r="B315" s="5">
        <f>IF($E315="","",INDEX('Input Transaksi'!$D:$D,$E315))</f>
        <v/>
      </c>
      <c r="C315">
        <f>IF($E315="","",INDEX('Input Transaksi'!$E:$E,$E315))</f>
        <v/>
      </c>
      <c r="D315" s="5">
        <f>IF($E315="","",INDEX('Input Transaksi'!$F:$F,$E315))</f>
        <v/>
      </c>
      <c r="E315">
        <f>IFERROR(AGGREGATE(15,6,ROW('Input Transaksi'!$B$5:$B$5000)/('Input Transaksi'!$B$5:$B$5000="JCL NUSA KAMBANGAN"),ROWS($E$5:E315)),"")</f>
        <v/>
      </c>
      <c r="F315" s="5" t="n"/>
    </row>
    <row r="316">
      <c r="A316" s="10">
        <f>IF($E316="","",INDEX('Input Transaksi'!$A:$A,$E316))</f>
        <v/>
      </c>
      <c r="B316" s="5">
        <f>IF($E316="","",INDEX('Input Transaksi'!$D:$D,$E316))</f>
        <v/>
      </c>
      <c r="C316">
        <f>IF($E316="","",INDEX('Input Transaksi'!$E:$E,$E316))</f>
        <v/>
      </c>
      <c r="D316" s="5">
        <f>IF($E316="","",INDEX('Input Transaksi'!$F:$F,$E316))</f>
        <v/>
      </c>
      <c r="E316">
        <f>IFERROR(AGGREGATE(15,6,ROW('Input Transaksi'!$B$5:$B$5000)/('Input Transaksi'!$B$5:$B$5000="JCL NUSA KAMBANGAN"),ROWS($E$5:E316)),"")</f>
        <v/>
      </c>
      <c r="F316" s="5" t="n"/>
    </row>
    <row r="317">
      <c r="A317" s="10">
        <f>IF($E317="","",INDEX('Input Transaksi'!$A:$A,$E317))</f>
        <v/>
      </c>
      <c r="B317" s="5">
        <f>IF($E317="","",INDEX('Input Transaksi'!$D:$D,$E317))</f>
        <v/>
      </c>
      <c r="C317">
        <f>IF($E317="","",INDEX('Input Transaksi'!$E:$E,$E317))</f>
        <v/>
      </c>
      <c r="D317" s="5">
        <f>IF($E317="","",INDEX('Input Transaksi'!$F:$F,$E317))</f>
        <v/>
      </c>
      <c r="E317">
        <f>IFERROR(AGGREGATE(15,6,ROW('Input Transaksi'!$B$5:$B$5000)/('Input Transaksi'!$B$5:$B$5000="JCL NUSA KAMBANGAN"),ROWS($E$5:E317)),"")</f>
        <v/>
      </c>
      <c r="F317" s="5" t="n"/>
    </row>
    <row r="318">
      <c r="A318" s="10">
        <f>IF($E318="","",INDEX('Input Transaksi'!$A:$A,$E318))</f>
        <v/>
      </c>
      <c r="B318" s="5">
        <f>IF($E318="","",INDEX('Input Transaksi'!$D:$D,$E318))</f>
        <v/>
      </c>
      <c r="C318">
        <f>IF($E318="","",INDEX('Input Transaksi'!$E:$E,$E318))</f>
        <v/>
      </c>
      <c r="D318" s="5">
        <f>IF($E318="","",INDEX('Input Transaksi'!$F:$F,$E318))</f>
        <v/>
      </c>
      <c r="E318">
        <f>IFERROR(AGGREGATE(15,6,ROW('Input Transaksi'!$B$5:$B$5000)/('Input Transaksi'!$B$5:$B$5000="JCL NUSA KAMBANGAN"),ROWS($E$5:E318)),"")</f>
        <v/>
      </c>
      <c r="F318" s="5" t="n"/>
    </row>
    <row r="319">
      <c r="A319" s="10">
        <f>IF($E319="","",INDEX('Input Transaksi'!$A:$A,$E319))</f>
        <v/>
      </c>
      <c r="B319" s="5">
        <f>IF($E319="","",INDEX('Input Transaksi'!$D:$D,$E319))</f>
        <v/>
      </c>
      <c r="C319">
        <f>IF($E319="","",INDEX('Input Transaksi'!$E:$E,$E319))</f>
        <v/>
      </c>
      <c r="D319" s="5">
        <f>IF($E319="","",INDEX('Input Transaksi'!$F:$F,$E319))</f>
        <v/>
      </c>
      <c r="E319">
        <f>IFERROR(AGGREGATE(15,6,ROW('Input Transaksi'!$B$5:$B$5000)/('Input Transaksi'!$B$5:$B$5000="JCL NUSA KAMBANGAN"),ROWS($E$5:E319)),"")</f>
        <v/>
      </c>
      <c r="F319" s="5" t="n"/>
    </row>
    <row r="320">
      <c r="A320" s="10">
        <f>IF($E320="","",INDEX('Input Transaksi'!$A:$A,$E320))</f>
        <v/>
      </c>
      <c r="B320" s="5">
        <f>IF($E320="","",INDEX('Input Transaksi'!$D:$D,$E320))</f>
        <v/>
      </c>
      <c r="C320">
        <f>IF($E320="","",INDEX('Input Transaksi'!$E:$E,$E320))</f>
        <v/>
      </c>
      <c r="D320" s="5">
        <f>IF($E320="","",INDEX('Input Transaksi'!$F:$F,$E320))</f>
        <v/>
      </c>
      <c r="E320">
        <f>IFERROR(AGGREGATE(15,6,ROW('Input Transaksi'!$B$5:$B$5000)/('Input Transaksi'!$B$5:$B$5000="JCL NUSA KAMBANGAN"),ROWS($E$5:E320)),"")</f>
        <v/>
      </c>
      <c r="F320" s="5" t="n"/>
    </row>
    <row r="321">
      <c r="A321" s="10">
        <f>IF($E321="","",INDEX('Input Transaksi'!$A:$A,$E321))</f>
        <v/>
      </c>
      <c r="B321" s="5">
        <f>IF($E321="","",INDEX('Input Transaksi'!$D:$D,$E321))</f>
        <v/>
      </c>
      <c r="C321">
        <f>IF($E321="","",INDEX('Input Transaksi'!$E:$E,$E321))</f>
        <v/>
      </c>
      <c r="D321" s="5">
        <f>IF($E321="","",INDEX('Input Transaksi'!$F:$F,$E321))</f>
        <v/>
      </c>
      <c r="E321">
        <f>IFERROR(AGGREGATE(15,6,ROW('Input Transaksi'!$B$5:$B$5000)/('Input Transaksi'!$B$5:$B$5000="JCL NUSA KAMBANGAN"),ROWS($E$5:E321)),"")</f>
        <v/>
      </c>
      <c r="F321" s="5" t="n"/>
    </row>
    <row r="322">
      <c r="A322" s="10">
        <f>IF($E322="","",INDEX('Input Transaksi'!$A:$A,$E322))</f>
        <v/>
      </c>
      <c r="B322" s="5">
        <f>IF($E322="","",INDEX('Input Transaksi'!$D:$D,$E322))</f>
        <v/>
      </c>
      <c r="C322">
        <f>IF($E322="","",INDEX('Input Transaksi'!$E:$E,$E322))</f>
        <v/>
      </c>
      <c r="D322" s="5">
        <f>IF($E322="","",INDEX('Input Transaksi'!$F:$F,$E322))</f>
        <v/>
      </c>
      <c r="E322">
        <f>IFERROR(AGGREGATE(15,6,ROW('Input Transaksi'!$B$5:$B$5000)/('Input Transaksi'!$B$5:$B$5000="JCL NUSA KAMBANGAN"),ROWS($E$5:E322)),"")</f>
        <v/>
      </c>
      <c r="F322" s="5" t="n"/>
    </row>
    <row r="323">
      <c r="A323" s="10">
        <f>IF($E323="","",INDEX('Input Transaksi'!$A:$A,$E323))</f>
        <v/>
      </c>
      <c r="B323" s="5">
        <f>IF($E323="","",INDEX('Input Transaksi'!$D:$D,$E323))</f>
        <v/>
      </c>
      <c r="C323">
        <f>IF($E323="","",INDEX('Input Transaksi'!$E:$E,$E323))</f>
        <v/>
      </c>
      <c r="D323" s="5">
        <f>IF($E323="","",INDEX('Input Transaksi'!$F:$F,$E323))</f>
        <v/>
      </c>
      <c r="E323">
        <f>IFERROR(AGGREGATE(15,6,ROW('Input Transaksi'!$B$5:$B$5000)/('Input Transaksi'!$B$5:$B$5000="JCL NUSA KAMBANGAN"),ROWS($E$5:E323)),"")</f>
        <v/>
      </c>
      <c r="F323" s="5" t="n"/>
    </row>
    <row r="324">
      <c r="A324" s="10">
        <f>IF($E324="","",INDEX('Input Transaksi'!$A:$A,$E324))</f>
        <v/>
      </c>
      <c r="B324" s="5">
        <f>IF($E324="","",INDEX('Input Transaksi'!$D:$D,$E324))</f>
        <v/>
      </c>
      <c r="C324">
        <f>IF($E324="","",INDEX('Input Transaksi'!$E:$E,$E324))</f>
        <v/>
      </c>
      <c r="D324" s="5">
        <f>IF($E324="","",INDEX('Input Transaksi'!$F:$F,$E324))</f>
        <v/>
      </c>
      <c r="E324">
        <f>IFERROR(AGGREGATE(15,6,ROW('Input Transaksi'!$B$5:$B$5000)/('Input Transaksi'!$B$5:$B$5000="JCL NUSA KAMBANGAN"),ROWS($E$5:E324)),"")</f>
        <v/>
      </c>
      <c r="F324" s="5" t="n"/>
    </row>
    <row r="325">
      <c r="A325" s="10">
        <f>IF($E325="","",INDEX('Input Transaksi'!$A:$A,$E325))</f>
        <v/>
      </c>
      <c r="B325" s="5">
        <f>IF($E325="","",INDEX('Input Transaksi'!$D:$D,$E325))</f>
        <v/>
      </c>
      <c r="C325">
        <f>IF($E325="","",INDEX('Input Transaksi'!$E:$E,$E325))</f>
        <v/>
      </c>
      <c r="D325" s="5">
        <f>IF($E325="","",INDEX('Input Transaksi'!$F:$F,$E325))</f>
        <v/>
      </c>
      <c r="E325">
        <f>IFERROR(AGGREGATE(15,6,ROW('Input Transaksi'!$B$5:$B$5000)/('Input Transaksi'!$B$5:$B$5000="JCL NUSA KAMBANGAN"),ROWS($E$5:E325)),"")</f>
        <v/>
      </c>
      <c r="F325" s="5" t="n"/>
    </row>
    <row r="326">
      <c r="A326" s="10">
        <f>IF($E326="","",INDEX('Input Transaksi'!$A:$A,$E326))</f>
        <v/>
      </c>
      <c r="B326" s="5">
        <f>IF($E326="","",INDEX('Input Transaksi'!$D:$D,$E326))</f>
        <v/>
      </c>
      <c r="C326">
        <f>IF($E326="","",INDEX('Input Transaksi'!$E:$E,$E326))</f>
        <v/>
      </c>
      <c r="D326" s="5">
        <f>IF($E326="","",INDEX('Input Transaksi'!$F:$F,$E326))</f>
        <v/>
      </c>
      <c r="E326">
        <f>IFERROR(AGGREGATE(15,6,ROW('Input Transaksi'!$B$5:$B$5000)/('Input Transaksi'!$B$5:$B$5000="JCL NUSA KAMBANGAN"),ROWS($E$5:E326)),"")</f>
        <v/>
      </c>
      <c r="F326" s="5" t="n"/>
    </row>
    <row r="327">
      <c r="A327" s="10">
        <f>IF($E327="","",INDEX('Input Transaksi'!$A:$A,$E327))</f>
        <v/>
      </c>
      <c r="B327" s="5">
        <f>IF($E327="","",INDEX('Input Transaksi'!$D:$D,$E327))</f>
        <v/>
      </c>
      <c r="C327">
        <f>IF($E327="","",INDEX('Input Transaksi'!$E:$E,$E327))</f>
        <v/>
      </c>
      <c r="D327" s="5">
        <f>IF($E327="","",INDEX('Input Transaksi'!$F:$F,$E327))</f>
        <v/>
      </c>
      <c r="E327">
        <f>IFERROR(AGGREGATE(15,6,ROW('Input Transaksi'!$B$5:$B$5000)/('Input Transaksi'!$B$5:$B$5000="JCL NUSA KAMBANGAN"),ROWS($E$5:E327)),"")</f>
        <v/>
      </c>
      <c r="F327" s="5" t="n"/>
    </row>
    <row r="328">
      <c r="A328" s="10">
        <f>IF($E328="","",INDEX('Input Transaksi'!$A:$A,$E328))</f>
        <v/>
      </c>
      <c r="B328" s="5">
        <f>IF($E328="","",INDEX('Input Transaksi'!$D:$D,$E328))</f>
        <v/>
      </c>
      <c r="C328">
        <f>IF($E328="","",INDEX('Input Transaksi'!$E:$E,$E328))</f>
        <v/>
      </c>
      <c r="D328" s="5">
        <f>IF($E328="","",INDEX('Input Transaksi'!$F:$F,$E328))</f>
        <v/>
      </c>
      <c r="E328">
        <f>IFERROR(AGGREGATE(15,6,ROW('Input Transaksi'!$B$5:$B$5000)/('Input Transaksi'!$B$5:$B$5000="JCL NUSA KAMBANGAN"),ROWS($E$5:E328)),"")</f>
        <v/>
      </c>
      <c r="F328" s="5" t="n"/>
    </row>
    <row r="329">
      <c r="A329" s="10">
        <f>IF($E329="","",INDEX('Input Transaksi'!$A:$A,$E329))</f>
        <v/>
      </c>
      <c r="B329" s="5">
        <f>IF($E329="","",INDEX('Input Transaksi'!$D:$D,$E329))</f>
        <v/>
      </c>
      <c r="C329">
        <f>IF($E329="","",INDEX('Input Transaksi'!$E:$E,$E329))</f>
        <v/>
      </c>
      <c r="D329" s="5">
        <f>IF($E329="","",INDEX('Input Transaksi'!$F:$F,$E329))</f>
        <v/>
      </c>
      <c r="E329">
        <f>IFERROR(AGGREGATE(15,6,ROW('Input Transaksi'!$B$5:$B$5000)/('Input Transaksi'!$B$5:$B$5000="JCL NUSA KAMBANGAN"),ROWS($E$5:E329)),"")</f>
        <v/>
      </c>
      <c r="F329" s="5" t="n"/>
    </row>
    <row r="330">
      <c r="A330" s="10">
        <f>IF($E330="","",INDEX('Input Transaksi'!$A:$A,$E330))</f>
        <v/>
      </c>
      <c r="B330" s="5">
        <f>IF($E330="","",INDEX('Input Transaksi'!$D:$D,$E330))</f>
        <v/>
      </c>
      <c r="C330">
        <f>IF($E330="","",INDEX('Input Transaksi'!$E:$E,$E330))</f>
        <v/>
      </c>
      <c r="D330" s="5">
        <f>IF($E330="","",INDEX('Input Transaksi'!$F:$F,$E330))</f>
        <v/>
      </c>
      <c r="E330">
        <f>IFERROR(AGGREGATE(15,6,ROW('Input Transaksi'!$B$5:$B$5000)/('Input Transaksi'!$B$5:$B$5000="JCL NUSA KAMBANGAN"),ROWS($E$5:E330)),"")</f>
        <v/>
      </c>
      <c r="F330" s="5" t="n"/>
    </row>
    <row r="331">
      <c r="A331" s="10">
        <f>IF($E331="","",INDEX('Input Transaksi'!$A:$A,$E331))</f>
        <v/>
      </c>
      <c r="B331" s="5">
        <f>IF($E331="","",INDEX('Input Transaksi'!$D:$D,$E331))</f>
        <v/>
      </c>
      <c r="C331">
        <f>IF($E331="","",INDEX('Input Transaksi'!$E:$E,$E331))</f>
        <v/>
      </c>
      <c r="D331" s="5">
        <f>IF($E331="","",INDEX('Input Transaksi'!$F:$F,$E331))</f>
        <v/>
      </c>
      <c r="E331">
        <f>IFERROR(AGGREGATE(15,6,ROW('Input Transaksi'!$B$5:$B$5000)/('Input Transaksi'!$B$5:$B$5000="JCL NUSA KAMBANGAN"),ROWS($E$5:E331)),"")</f>
        <v/>
      </c>
      <c r="F331" s="5" t="n"/>
    </row>
    <row r="332">
      <c r="A332" s="10">
        <f>IF($E332="","",INDEX('Input Transaksi'!$A:$A,$E332))</f>
        <v/>
      </c>
      <c r="B332" s="5">
        <f>IF($E332="","",INDEX('Input Transaksi'!$D:$D,$E332))</f>
        <v/>
      </c>
      <c r="C332">
        <f>IF($E332="","",INDEX('Input Transaksi'!$E:$E,$E332))</f>
        <v/>
      </c>
      <c r="D332" s="5">
        <f>IF($E332="","",INDEX('Input Transaksi'!$F:$F,$E332))</f>
        <v/>
      </c>
      <c r="E332">
        <f>IFERROR(AGGREGATE(15,6,ROW('Input Transaksi'!$B$5:$B$5000)/('Input Transaksi'!$B$5:$B$5000="JCL NUSA KAMBANGAN"),ROWS($E$5:E332)),"")</f>
        <v/>
      </c>
      <c r="F332" s="5" t="n"/>
    </row>
    <row r="333">
      <c r="A333" s="10">
        <f>IF($E333="","",INDEX('Input Transaksi'!$A:$A,$E333))</f>
        <v/>
      </c>
      <c r="B333" s="5">
        <f>IF($E333="","",INDEX('Input Transaksi'!$D:$D,$E333))</f>
        <v/>
      </c>
      <c r="C333">
        <f>IF($E333="","",INDEX('Input Transaksi'!$E:$E,$E333))</f>
        <v/>
      </c>
      <c r="D333" s="5">
        <f>IF($E333="","",INDEX('Input Transaksi'!$F:$F,$E333))</f>
        <v/>
      </c>
      <c r="E333">
        <f>IFERROR(AGGREGATE(15,6,ROW('Input Transaksi'!$B$5:$B$5000)/('Input Transaksi'!$B$5:$B$5000="JCL NUSA KAMBANGAN"),ROWS($E$5:E333)),"")</f>
        <v/>
      </c>
      <c r="F333" s="5" t="n"/>
    </row>
    <row r="334">
      <c r="A334" s="10">
        <f>IF($E334="","",INDEX('Input Transaksi'!$A:$A,$E334))</f>
        <v/>
      </c>
      <c r="B334" s="5">
        <f>IF($E334="","",INDEX('Input Transaksi'!$D:$D,$E334))</f>
        <v/>
      </c>
      <c r="C334">
        <f>IF($E334="","",INDEX('Input Transaksi'!$E:$E,$E334))</f>
        <v/>
      </c>
      <c r="D334" s="5">
        <f>IF($E334="","",INDEX('Input Transaksi'!$F:$F,$E334))</f>
        <v/>
      </c>
      <c r="E334">
        <f>IFERROR(AGGREGATE(15,6,ROW('Input Transaksi'!$B$5:$B$5000)/('Input Transaksi'!$B$5:$B$5000="JCL NUSA KAMBANGAN"),ROWS($E$5:E334)),"")</f>
        <v/>
      </c>
      <c r="F334" s="5" t="n"/>
    </row>
    <row r="335">
      <c r="A335" s="10">
        <f>IF($E335="","",INDEX('Input Transaksi'!$A:$A,$E335))</f>
        <v/>
      </c>
      <c r="B335" s="5">
        <f>IF($E335="","",INDEX('Input Transaksi'!$D:$D,$E335))</f>
        <v/>
      </c>
      <c r="C335">
        <f>IF($E335="","",INDEX('Input Transaksi'!$E:$E,$E335))</f>
        <v/>
      </c>
      <c r="D335" s="5">
        <f>IF($E335="","",INDEX('Input Transaksi'!$F:$F,$E335))</f>
        <v/>
      </c>
      <c r="E335">
        <f>IFERROR(AGGREGATE(15,6,ROW('Input Transaksi'!$B$5:$B$5000)/('Input Transaksi'!$B$5:$B$5000="JCL NUSA KAMBANGAN"),ROWS($E$5:E335)),"")</f>
        <v/>
      </c>
      <c r="F335" s="5" t="n"/>
    </row>
    <row r="336">
      <c r="A336" s="10">
        <f>IF($E336="","",INDEX('Input Transaksi'!$A:$A,$E336))</f>
        <v/>
      </c>
      <c r="B336" s="5">
        <f>IF($E336="","",INDEX('Input Transaksi'!$D:$D,$E336))</f>
        <v/>
      </c>
      <c r="C336">
        <f>IF($E336="","",INDEX('Input Transaksi'!$E:$E,$E336))</f>
        <v/>
      </c>
      <c r="D336" s="5">
        <f>IF($E336="","",INDEX('Input Transaksi'!$F:$F,$E336))</f>
        <v/>
      </c>
      <c r="E336">
        <f>IFERROR(AGGREGATE(15,6,ROW('Input Transaksi'!$B$5:$B$5000)/('Input Transaksi'!$B$5:$B$5000="JCL NUSA KAMBANGAN"),ROWS($E$5:E336)),"")</f>
        <v/>
      </c>
      <c r="F336" s="5" t="n"/>
    </row>
    <row r="337">
      <c r="A337" s="10">
        <f>IF($E337="","",INDEX('Input Transaksi'!$A:$A,$E337))</f>
        <v/>
      </c>
      <c r="B337" s="5">
        <f>IF($E337="","",INDEX('Input Transaksi'!$D:$D,$E337))</f>
        <v/>
      </c>
      <c r="C337">
        <f>IF($E337="","",INDEX('Input Transaksi'!$E:$E,$E337))</f>
        <v/>
      </c>
      <c r="D337" s="5">
        <f>IF($E337="","",INDEX('Input Transaksi'!$F:$F,$E337))</f>
        <v/>
      </c>
      <c r="E337">
        <f>IFERROR(AGGREGATE(15,6,ROW('Input Transaksi'!$B$5:$B$5000)/('Input Transaksi'!$B$5:$B$5000="JCL NUSA KAMBANGAN"),ROWS($E$5:E337)),"")</f>
        <v/>
      </c>
      <c r="F337" s="5" t="n"/>
    </row>
    <row r="338">
      <c r="A338" s="10">
        <f>IF($E338="","",INDEX('Input Transaksi'!$A:$A,$E338))</f>
        <v/>
      </c>
      <c r="B338" s="5">
        <f>IF($E338="","",INDEX('Input Transaksi'!$D:$D,$E338))</f>
        <v/>
      </c>
      <c r="C338">
        <f>IF($E338="","",INDEX('Input Transaksi'!$E:$E,$E338))</f>
        <v/>
      </c>
      <c r="D338" s="5">
        <f>IF($E338="","",INDEX('Input Transaksi'!$F:$F,$E338))</f>
        <v/>
      </c>
      <c r="E338">
        <f>IFERROR(AGGREGATE(15,6,ROW('Input Transaksi'!$B$5:$B$5000)/('Input Transaksi'!$B$5:$B$5000="JCL NUSA KAMBANGAN"),ROWS($E$5:E338)),"")</f>
        <v/>
      </c>
      <c r="F338" s="5" t="n"/>
    </row>
    <row r="339">
      <c r="A339" s="10">
        <f>IF($E339="","",INDEX('Input Transaksi'!$A:$A,$E339))</f>
        <v/>
      </c>
      <c r="B339" s="5">
        <f>IF($E339="","",INDEX('Input Transaksi'!$D:$D,$E339))</f>
        <v/>
      </c>
      <c r="C339">
        <f>IF($E339="","",INDEX('Input Transaksi'!$E:$E,$E339))</f>
        <v/>
      </c>
      <c r="D339" s="5">
        <f>IF($E339="","",INDEX('Input Transaksi'!$F:$F,$E339))</f>
        <v/>
      </c>
      <c r="E339">
        <f>IFERROR(AGGREGATE(15,6,ROW('Input Transaksi'!$B$5:$B$5000)/('Input Transaksi'!$B$5:$B$5000="JCL NUSA KAMBANGAN"),ROWS($E$5:E339)),"")</f>
        <v/>
      </c>
      <c r="F339" s="5" t="n"/>
    </row>
    <row r="340">
      <c r="A340" s="10">
        <f>IF($E340="","",INDEX('Input Transaksi'!$A:$A,$E340))</f>
        <v/>
      </c>
      <c r="B340" s="5">
        <f>IF($E340="","",INDEX('Input Transaksi'!$D:$D,$E340))</f>
        <v/>
      </c>
      <c r="C340">
        <f>IF($E340="","",INDEX('Input Transaksi'!$E:$E,$E340))</f>
        <v/>
      </c>
      <c r="D340" s="5">
        <f>IF($E340="","",INDEX('Input Transaksi'!$F:$F,$E340))</f>
        <v/>
      </c>
      <c r="E340">
        <f>IFERROR(AGGREGATE(15,6,ROW('Input Transaksi'!$B$5:$B$5000)/('Input Transaksi'!$B$5:$B$5000="JCL NUSA KAMBANGAN"),ROWS($E$5:E340)),"")</f>
        <v/>
      </c>
      <c r="F340" s="5" t="n"/>
    </row>
    <row r="341">
      <c r="A341" s="10">
        <f>IF($E341="","",INDEX('Input Transaksi'!$A:$A,$E341))</f>
        <v/>
      </c>
      <c r="B341" s="5">
        <f>IF($E341="","",INDEX('Input Transaksi'!$D:$D,$E341))</f>
        <v/>
      </c>
      <c r="C341">
        <f>IF($E341="","",INDEX('Input Transaksi'!$E:$E,$E341))</f>
        <v/>
      </c>
      <c r="D341" s="5">
        <f>IF($E341="","",INDEX('Input Transaksi'!$F:$F,$E341))</f>
        <v/>
      </c>
      <c r="E341">
        <f>IFERROR(AGGREGATE(15,6,ROW('Input Transaksi'!$B$5:$B$5000)/('Input Transaksi'!$B$5:$B$5000="JCL NUSA KAMBANGAN"),ROWS($E$5:E341)),"")</f>
        <v/>
      </c>
      <c r="F341" s="5" t="n"/>
    </row>
    <row r="342">
      <c r="A342" s="10">
        <f>IF($E342="","",INDEX('Input Transaksi'!$A:$A,$E342))</f>
        <v/>
      </c>
      <c r="B342" s="5">
        <f>IF($E342="","",INDEX('Input Transaksi'!$D:$D,$E342))</f>
        <v/>
      </c>
      <c r="C342">
        <f>IF($E342="","",INDEX('Input Transaksi'!$E:$E,$E342))</f>
        <v/>
      </c>
      <c r="D342" s="5">
        <f>IF($E342="","",INDEX('Input Transaksi'!$F:$F,$E342))</f>
        <v/>
      </c>
      <c r="E342">
        <f>IFERROR(AGGREGATE(15,6,ROW('Input Transaksi'!$B$5:$B$5000)/('Input Transaksi'!$B$5:$B$5000="JCL NUSA KAMBANGAN"),ROWS($E$5:E342)),"")</f>
        <v/>
      </c>
      <c r="F342" s="5" t="n"/>
    </row>
    <row r="343">
      <c r="A343" s="10">
        <f>IF($E343="","",INDEX('Input Transaksi'!$A:$A,$E343))</f>
        <v/>
      </c>
      <c r="B343" s="5">
        <f>IF($E343="","",INDEX('Input Transaksi'!$D:$D,$E343))</f>
        <v/>
      </c>
      <c r="C343">
        <f>IF($E343="","",INDEX('Input Transaksi'!$E:$E,$E343))</f>
        <v/>
      </c>
      <c r="D343" s="5">
        <f>IF($E343="","",INDEX('Input Transaksi'!$F:$F,$E343))</f>
        <v/>
      </c>
      <c r="E343">
        <f>IFERROR(AGGREGATE(15,6,ROW('Input Transaksi'!$B$5:$B$5000)/('Input Transaksi'!$B$5:$B$5000="JCL NUSA KAMBANGAN"),ROWS($E$5:E343)),"")</f>
        <v/>
      </c>
      <c r="F343" s="5" t="n"/>
    </row>
    <row r="344">
      <c r="A344" s="10">
        <f>IF($E344="","",INDEX('Input Transaksi'!$A:$A,$E344))</f>
        <v/>
      </c>
      <c r="B344" s="5">
        <f>IF($E344="","",INDEX('Input Transaksi'!$D:$D,$E344))</f>
        <v/>
      </c>
      <c r="C344">
        <f>IF($E344="","",INDEX('Input Transaksi'!$E:$E,$E344))</f>
        <v/>
      </c>
      <c r="D344" s="5">
        <f>IF($E344="","",INDEX('Input Transaksi'!$F:$F,$E344))</f>
        <v/>
      </c>
      <c r="E344">
        <f>IFERROR(AGGREGATE(15,6,ROW('Input Transaksi'!$B$5:$B$5000)/('Input Transaksi'!$B$5:$B$5000="JCL NUSA KAMBANGAN"),ROWS($E$5:E344)),"")</f>
        <v/>
      </c>
      <c r="F344" s="5" t="n"/>
    </row>
    <row r="345">
      <c r="A345" s="10">
        <f>IF($E345="","",INDEX('Input Transaksi'!$A:$A,$E345))</f>
        <v/>
      </c>
      <c r="B345" s="5">
        <f>IF($E345="","",INDEX('Input Transaksi'!$D:$D,$E345))</f>
        <v/>
      </c>
      <c r="C345">
        <f>IF($E345="","",INDEX('Input Transaksi'!$E:$E,$E345))</f>
        <v/>
      </c>
      <c r="D345" s="5">
        <f>IF($E345="","",INDEX('Input Transaksi'!$F:$F,$E345))</f>
        <v/>
      </c>
      <c r="E345">
        <f>IFERROR(AGGREGATE(15,6,ROW('Input Transaksi'!$B$5:$B$5000)/('Input Transaksi'!$B$5:$B$5000="JCL NUSA KAMBANGAN"),ROWS($E$5:E345)),"")</f>
        <v/>
      </c>
      <c r="F345" s="5" t="n"/>
    </row>
    <row r="346">
      <c r="A346" s="10">
        <f>IF($E346="","",INDEX('Input Transaksi'!$A:$A,$E346))</f>
        <v/>
      </c>
      <c r="B346" s="5">
        <f>IF($E346="","",INDEX('Input Transaksi'!$D:$D,$E346))</f>
        <v/>
      </c>
      <c r="C346">
        <f>IF($E346="","",INDEX('Input Transaksi'!$E:$E,$E346))</f>
        <v/>
      </c>
      <c r="D346" s="5">
        <f>IF($E346="","",INDEX('Input Transaksi'!$F:$F,$E346))</f>
        <v/>
      </c>
      <c r="E346">
        <f>IFERROR(AGGREGATE(15,6,ROW('Input Transaksi'!$B$5:$B$5000)/('Input Transaksi'!$B$5:$B$5000="JCL NUSA KAMBANGAN"),ROWS($E$5:E346)),"")</f>
        <v/>
      </c>
      <c r="F346" s="5" t="n"/>
    </row>
    <row r="347">
      <c r="A347" s="10">
        <f>IF($E347="","",INDEX('Input Transaksi'!$A:$A,$E347))</f>
        <v/>
      </c>
      <c r="B347" s="5">
        <f>IF($E347="","",INDEX('Input Transaksi'!$D:$D,$E347))</f>
        <v/>
      </c>
      <c r="C347">
        <f>IF($E347="","",INDEX('Input Transaksi'!$E:$E,$E347))</f>
        <v/>
      </c>
      <c r="D347" s="5">
        <f>IF($E347="","",INDEX('Input Transaksi'!$F:$F,$E347))</f>
        <v/>
      </c>
      <c r="E347">
        <f>IFERROR(AGGREGATE(15,6,ROW('Input Transaksi'!$B$5:$B$5000)/('Input Transaksi'!$B$5:$B$5000="JCL NUSA KAMBANGAN"),ROWS($E$5:E347)),"")</f>
        <v/>
      </c>
      <c r="F347" s="5" t="n"/>
    </row>
    <row r="348">
      <c r="A348" s="10">
        <f>IF($E348="","",INDEX('Input Transaksi'!$A:$A,$E348))</f>
        <v/>
      </c>
      <c r="B348" s="5">
        <f>IF($E348="","",INDEX('Input Transaksi'!$D:$D,$E348))</f>
        <v/>
      </c>
      <c r="C348">
        <f>IF($E348="","",INDEX('Input Transaksi'!$E:$E,$E348))</f>
        <v/>
      </c>
      <c r="D348" s="5">
        <f>IF($E348="","",INDEX('Input Transaksi'!$F:$F,$E348))</f>
        <v/>
      </c>
      <c r="E348">
        <f>IFERROR(AGGREGATE(15,6,ROW('Input Transaksi'!$B$5:$B$5000)/('Input Transaksi'!$B$5:$B$5000="JCL NUSA KAMBANGAN"),ROWS($E$5:E348)),"")</f>
        <v/>
      </c>
      <c r="F348" s="5" t="n"/>
    </row>
    <row r="349">
      <c r="A349" s="10">
        <f>IF($E349="","",INDEX('Input Transaksi'!$A:$A,$E349))</f>
        <v/>
      </c>
      <c r="B349" s="5">
        <f>IF($E349="","",INDEX('Input Transaksi'!$D:$D,$E349))</f>
        <v/>
      </c>
      <c r="C349">
        <f>IF($E349="","",INDEX('Input Transaksi'!$E:$E,$E349))</f>
        <v/>
      </c>
      <c r="D349" s="5">
        <f>IF($E349="","",INDEX('Input Transaksi'!$F:$F,$E349))</f>
        <v/>
      </c>
      <c r="E349">
        <f>IFERROR(AGGREGATE(15,6,ROW('Input Transaksi'!$B$5:$B$5000)/('Input Transaksi'!$B$5:$B$5000="JCL NUSA KAMBANGAN"),ROWS($E$5:E349)),"")</f>
        <v/>
      </c>
      <c r="F349" s="5" t="n"/>
    </row>
    <row r="350">
      <c r="A350" s="10">
        <f>IF($E350="","",INDEX('Input Transaksi'!$A:$A,$E350))</f>
        <v/>
      </c>
      <c r="B350" s="5">
        <f>IF($E350="","",INDEX('Input Transaksi'!$D:$D,$E350))</f>
        <v/>
      </c>
      <c r="C350">
        <f>IF($E350="","",INDEX('Input Transaksi'!$E:$E,$E350))</f>
        <v/>
      </c>
      <c r="D350" s="5">
        <f>IF($E350="","",INDEX('Input Transaksi'!$F:$F,$E350))</f>
        <v/>
      </c>
      <c r="E350">
        <f>IFERROR(AGGREGATE(15,6,ROW('Input Transaksi'!$B$5:$B$5000)/('Input Transaksi'!$B$5:$B$5000="JCL NUSA KAMBANGAN"),ROWS($E$5:E350)),"")</f>
        <v/>
      </c>
      <c r="F350" s="5" t="n"/>
    </row>
    <row r="351">
      <c r="A351" s="10">
        <f>IF($E351="","",INDEX('Input Transaksi'!$A:$A,$E351))</f>
        <v/>
      </c>
      <c r="B351" s="5">
        <f>IF($E351="","",INDEX('Input Transaksi'!$D:$D,$E351))</f>
        <v/>
      </c>
      <c r="C351">
        <f>IF($E351="","",INDEX('Input Transaksi'!$E:$E,$E351))</f>
        <v/>
      </c>
      <c r="D351" s="5">
        <f>IF($E351="","",INDEX('Input Transaksi'!$F:$F,$E351))</f>
        <v/>
      </c>
      <c r="E351">
        <f>IFERROR(AGGREGATE(15,6,ROW('Input Transaksi'!$B$5:$B$5000)/('Input Transaksi'!$B$5:$B$5000="JCL NUSA KAMBANGAN"),ROWS($E$5:E351)),"")</f>
        <v/>
      </c>
      <c r="F351" s="5" t="n"/>
    </row>
    <row r="352">
      <c r="A352" s="10">
        <f>IF($E352="","",INDEX('Input Transaksi'!$A:$A,$E352))</f>
        <v/>
      </c>
      <c r="B352" s="5">
        <f>IF($E352="","",INDEX('Input Transaksi'!$D:$D,$E352))</f>
        <v/>
      </c>
      <c r="C352">
        <f>IF($E352="","",INDEX('Input Transaksi'!$E:$E,$E352))</f>
        <v/>
      </c>
      <c r="D352" s="5">
        <f>IF($E352="","",INDEX('Input Transaksi'!$F:$F,$E352))</f>
        <v/>
      </c>
      <c r="E352">
        <f>IFERROR(AGGREGATE(15,6,ROW('Input Transaksi'!$B$5:$B$5000)/('Input Transaksi'!$B$5:$B$5000="JCL NUSA KAMBANGAN"),ROWS($E$5:E352)),"")</f>
        <v/>
      </c>
      <c r="F352" s="5" t="n"/>
    </row>
    <row r="353">
      <c r="A353" s="10">
        <f>IF($E353="","",INDEX('Input Transaksi'!$A:$A,$E353))</f>
        <v/>
      </c>
      <c r="B353" s="5">
        <f>IF($E353="","",INDEX('Input Transaksi'!$D:$D,$E353))</f>
        <v/>
      </c>
      <c r="C353">
        <f>IF($E353="","",INDEX('Input Transaksi'!$E:$E,$E353))</f>
        <v/>
      </c>
      <c r="D353" s="5">
        <f>IF($E353="","",INDEX('Input Transaksi'!$F:$F,$E353))</f>
        <v/>
      </c>
      <c r="E353">
        <f>IFERROR(AGGREGATE(15,6,ROW('Input Transaksi'!$B$5:$B$5000)/('Input Transaksi'!$B$5:$B$5000="JCL NUSA KAMBANGAN"),ROWS($E$5:E353)),"")</f>
        <v/>
      </c>
      <c r="F353" s="5" t="n"/>
    </row>
    <row r="354">
      <c r="A354" s="10">
        <f>IF($E354="","",INDEX('Input Transaksi'!$A:$A,$E354))</f>
        <v/>
      </c>
      <c r="B354" s="5">
        <f>IF($E354="","",INDEX('Input Transaksi'!$D:$D,$E354))</f>
        <v/>
      </c>
      <c r="C354">
        <f>IF($E354="","",INDEX('Input Transaksi'!$E:$E,$E354))</f>
        <v/>
      </c>
      <c r="D354" s="5">
        <f>IF($E354="","",INDEX('Input Transaksi'!$F:$F,$E354))</f>
        <v/>
      </c>
      <c r="E354">
        <f>IFERROR(AGGREGATE(15,6,ROW('Input Transaksi'!$B$5:$B$5000)/('Input Transaksi'!$B$5:$B$5000="JCL NUSA KAMBANGAN"),ROWS($E$5:E354)),"")</f>
        <v/>
      </c>
      <c r="F354" s="5" t="n"/>
    </row>
    <row r="355">
      <c r="A355" s="10">
        <f>IF($E355="","",INDEX('Input Transaksi'!$A:$A,$E355))</f>
        <v/>
      </c>
      <c r="B355" s="5">
        <f>IF($E355="","",INDEX('Input Transaksi'!$D:$D,$E355))</f>
        <v/>
      </c>
      <c r="C355">
        <f>IF($E355="","",INDEX('Input Transaksi'!$E:$E,$E355))</f>
        <v/>
      </c>
      <c r="D355" s="5">
        <f>IF($E355="","",INDEX('Input Transaksi'!$F:$F,$E355))</f>
        <v/>
      </c>
      <c r="E355">
        <f>IFERROR(AGGREGATE(15,6,ROW('Input Transaksi'!$B$5:$B$5000)/('Input Transaksi'!$B$5:$B$5000="JCL NUSA KAMBANGAN"),ROWS($E$5:E355)),"")</f>
        <v/>
      </c>
      <c r="F355" s="5" t="n"/>
    </row>
    <row r="356">
      <c r="A356" s="10">
        <f>IF($E356="","",INDEX('Input Transaksi'!$A:$A,$E356))</f>
        <v/>
      </c>
      <c r="B356" s="5">
        <f>IF($E356="","",INDEX('Input Transaksi'!$D:$D,$E356))</f>
        <v/>
      </c>
      <c r="C356">
        <f>IF($E356="","",INDEX('Input Transaksi'!$E:$E,$E356))</f>
        <v/>
      </c>
      <c r="D356" s="5">
        <f>IF($E356="","",INDEX('Input Transaksi'!$F:$F,$E356))</f>
        <v/>
      </c>
      <c r="E356">
        <f>IFERROR(AGGREGATE(15,6,ROW('Input Transaksi'!$B$5:$B$5000)/('Input Transaksi'!$B$5:$B$5000="JCL NUSA KAMBANGAN"),ROWS($E$5:E356)),"")</f>
        <v/>
      </c>
      <c r="F356" s="5" t="n"/>
    </row>
    <row r="357">
      <c r="A357" s="10">
        <f>IF($E357="","",INDEX('Input Transaksi'!$A:$A,$E357))</f>
        <v/>
      </c>
      <c r="B357" s="5">
        <f>IF($E357="","",INDEX('Input Transaksi'!$D:$D,$E357))</f>
        <v/>
      </c>
      <c r="C357">
        <f>IF($E357="","",INDEX('Input Transaksi'!$E:$E,$E357))</f>
        <v/>
      </c>
      <c r="D357" s="5">
        <f>IF($E357="","",INDEX('Input Transaksi'!$F:$F,$E357))</f>
        <v/>
      </c>
      <c r="E357">
        <f>IFERROR(AGGREGATE(15,6,ROW('Input Transaksi'!$B$5:$B$5000)/('Input Transaksi'!$B$5:$B$5000="JCL NUSA KAMBANGAN"),ROWS($E$5:E357)),"")</f>
        <v/>
      </c>
      <c r="F357" s="5" t="n"/>
    </row>
    <row r="358">
      <c r="A358" s="10">
        <f>IF($E358="","",INDEX('Input Transaksi'!$A:$A,$E358))</f>
        <v/>
      </c>
      <c r="B358" s="5">
        <f>IF($E358="","",INDEX('Input Transaksi'!$D:$D,$E358))</f>
        <v/>
      </c>
      <c r="C358">
        <f>IF($E358="","",INDEX('Input Transaksi'!$E:$E,$E358))</f>
        <v/>
      </c>
      <c r="D358" s="5">
        <f>IF($E358="","",INDEX('Input Transaksi'!$F:$F,$E358))</f>
        <v/>
      </c>
      <c r="E358">
        <f>IFERROR(AGGREGATE(15,6,ROW('Input Transaksi'!$B$5:$B$5000)/('Input Transaksi'!$B$5:$B$5000="JCL NUSA KAMBANGAN"),ROWS($E$5:E358)),"")</f>
        <v/>
      </c>
      <c r="F358" s="5" t="n"/>
    </row>
    <row r="359">
      <c r="A359" s="10">
        <f>IF($E359="","",INDEX('Input Transaksi'!$A:$A,$E359))</f>
        <v/>
      </c>
      <c r="B359" s="5">
        <f>IF($E359="","",INDEX('Input Transaksi'!$D:$D,$E359))</f>
        <v/>
      </c>
      <c r="C359">
        <f>IF($E359="","",INDEX('Input Transaksi'!$E:$E,$E359))</f>
        <v/>
      </c>
      <c r="D359" s="5">
        <f>IF($E359="","",INDEX('Input Transaksi'!$F:$F,$E359))</f>
        <v/>
      </c>
      <c r="E359">
        <f>IFERROR(AGGREGATE(15,6,ROW('Input Transaksi'!$B$5:$B$5000)/('Input Transaksi'!$B$5:$B$5000="JCL NUSA KAMBANGAN"),ROWS($E$5:E359)),"")</f>
        <v/>
      </c>
      <c r="F359" s="5" t="n"/>
    </row>
    <row r="360">
      <c r="A360" s="10">
        <f>IF($E360="","",INDEX('Input Transaksi'!$A:$A,$E360))</f>
        <v/>
      </c>
      <c r="B360" s="5">
        <f>IF($E360="","",INDEX('Input Transaksi'!$D:$D,$E360))</f>
        <v/>
      </c>
      <c r="C360">
        <f>IF($E360="","",INDEX('Input Transaksi'!$E:$E,$E360))</f>
        <v/>
      </c>
      <c r="D360" s="5">
        <f>IF($E360="","",INDEX('Input Transaksi'!$F:$F,$E360))</f>
        <v/>
      </c>
      <c r="E360">
        <f>IFERROR(AGGREGATE(15,6,ROW('Input Transaksi'!$B$5:$B$5000)/('Input Transaksi'!$B$5:$B$5000="JCL NUSA KAMBANGAN"),ROWS($E$5:E360)),"")</f>
        <v/>
      </c>
      <c r="F360" s="5" t="n"/>
    </row>
    <row r="361">
      <c r="A361" s="10">
        <f>IF($E361="","",INDEX('Input Transaksi'!$A:$A,$E361))</f>
        <v/>
      </c>
      <c r="B361" s="5">
        <f>IF($E361="","",INDEX('Input Transaksi'!$D:$D,$E361))</f>
        <v/>
      </c>
      <c r="C361">
        <f>IF($E361="","",INDEX('Input Transaksi'!$E:$E,$E361))</f>
        <v/>
      </c>
      <c r="D361" s="5">
        <f>IF($E361="","",INDEX('Input Transaksi'!$F:$F,$E361))</f>
        <v/>
      </c>
      <c r="E361">
        <f>IFERROR(AGGREGATE(15,6,ROW('Input Transaksi'!$B$5:$B$5000)/('Input Transaksi'!$B$5:$B$5000="JCL NUSA KAMBANGAN"),ROWS($E$5:E361)),"")</f>
        <v/>
      </c>
      <c r="F361" s="5" t="n"/>
    </row>
    <row r="362">
      <c r="A362" s="10">
        <f>IF($E362="","",INDEX('Input Transaksi'!$A:$A,$E362))</f>
        <v/>
      </c>
      <c r="B362" s="5">
        <f>IF($E362="","",INDEX('Input Transaksi'!$D:$D,$E362))</f>
        <v/>
      </c>
      <c r="C362">
        <f>IF($E362="","",INDEX('Input Transaksi'!$E:$E,$E362))</f>
        <v/>
      </c>
      <c r="D362" s="5">
        <f>IF($E362="","",INDEX('Input Transaksi'!$F:$F,$E362))</f>
        <v/>
      </c>
      <c r="E362">
        <f>IFERROR(AGGREGATE(15,6,ROW('Input Transaksi'!$B$5:$B$5000)/('Input Transaksi'!$B$5:$B$5000="JCL NUSA KAMBANGAN"),ROWS($E$5:E362)),"")</f>
        <v/>
      </c>
      <c r="F362" s="5" t="n"/>
    </row>
    <row r="363">
      <c r="A363" s="10">
        <f>IF($E363="","",INDEX('Input Transaksi'!$A:$A,$E363))</f>
        <v/>
      </c>
      <c r="B363" s="5">
        <f>IF($E363="","",INDEX('Input Transaksi'!$D:$D,$E363))</f>
        <v/>
      </c>
      <c r="C363">
        <f>IF($E363="","",INDEX('Input Transaksi'!$E:$E,$E363))</f>
        <v/>
      </c>
      <c r="D363" s="5">
        <f>IF($E363="","",INDEX('Input Transaksi'!$F:$F,$E363))</f>
        <v/>
      </c>
      <c r="E363">
        <f>IFERROR(AGGREGATE(15,6,ROW('Input Transaksi'!$B$5:$B$5000)/('Input Transaksi'!$B$5:$B$5000="JCL NUSA KAMBANGAN"),ROWS($E$5:E363)),"")</f>
        <v/>
      </c>
      <c r="F363" s="5" t="n"/>
    </row>
    <row r="364">
      <c r="A364" s="10">
        <f>IF($E364="","",INDEX('Input Transaksi'!$A:$A,$E364))</f>
        <v/>
      </c>
      <c r="B364" s="5">
        <f>IF($E364="","",INDEX('Input Transaksi'!$D:$D,$E364))</f>
        <v/>
      </c>
      <c r="C364">
        <f>IF($E364="","",INDEX('Input Transaksi'!$E:$E,$E364))</f>
        <v/>
      </c>
      <c r="D364" s="5">
        <f>IF($E364="","",INDEX('Input Transaksi'!$F:$F,$E364))</f>
        <v/>
      </c>
      <c r="E364">
        <f>IFERROR(AGGREGATE(15,6,ROW('Input Transaksi'!$B$5:$B$5000)/('Input Transaksi'!$B$5:$B$5000="JCL NUSA KAMBANGAN"),ROWS($E$5:E364)),"")</f>
        <v/>
      </c>
      <c r="F364" s="5" t="n"/>
    </row>
    <row r="365">
      <c r="A365" s="10">
        <f>IF($E365="","",INDEX('Input Transaksi'!$A:$A,$E365))</f>
        <v/>
      </c>
      <c r="B365" s="5">
        <f>IF($E365="","",INDEX('Input Transaksi'!$D:$D,$E365))</f>
        <v/>
      </c>
      <c r="C365">
        <f>IF($E365="","",INDEX('Input Transaksi'!$E:$E,$E365))</f>
        <v/>
      </c>
      <c r="D365" s="5">
        <f>IF($E365="","",INDEX('Input Transaksi'!$F:$F,$E365))</f>
        <v/>
      </c>
      <c r="E365">
        <f>IFERROR(AGGREGATE(15,6,ROW('Input Transaksi'!$B$5:$B$5000)/('Input Transaksi'!$B$5:$B$5000="JCL NUSA KAMBANGAN"),ROWS($E$5:E365)),"")</f>
        <v/>
      </c>
      <c r="F365" s="5" t="n"/>
    </row>
    <row r="366">
      <c r="A366" s="10">
        <f>IF($E366="","",INDEX('Input Transaksi'!$A:$A,$E366))</f>
        <v/>
      </c>
      <c r="B366" s="5">
        <f>IF($E366="","",INDEX('Input Transaksi'!$D:$D,$E366))</f>
        <v/>
      </c>
      <c r="C366">
        <f>IF($E366="","",INDEX('Input Transaksi'!$E:$E,$E366))</f>
        <v/>
      </c>
      <c r="D366" s="5">
        <f>IF($E366="","",INDEX('Input Transaksi'!$F:$F,$E366))</f>
        <v/>
      </c>
      <c r="E366">
        <f>IFERROR(AGGREGATE(15,6,ROW('Input Transaksi'!$B$5:$B$5000)/('Input Transaksi'!$B$5:$B$5000="JCL NUSA KAMBANGAN"),ROWS($E$5:E366)),"")</f>
        <v/>
      </c>
      <c r="F366" s="5" t="n"/>
    </row>
    <row r="367">
      <c r="A367" s="10">
        <f>IF($E367="","",INDEX('Input Transaksi'!$A:$A,$E367))</f>
        <v/>
      </c>
      <c r="B367" s="5">
        <f>IF($E367="","",INDEX('Input Transaksi'!$D:$D,$E367))</f>
        <v/>
      </c>
      <c r="C367">
        <f>IF($E367="","",INDEX('Input Transaksi'!$E:$E,$E367))</f>
        <v/>
      </c>
      <c r="D367" s="5">
        <f>IF($E367="","",INDEX('Input Transaksi'!$F:$F,$E367))</f>
        <v/>
      </c>
      <c r="E367">
        <f>IFERROR(AGGREGATE(15,6,ROW('Input Transaksi'!$B$5:$B$5000)/('Input Transaksi'!$B$5:$B$5000="JCL NUSA KAMBANGAN"),ROWS($E$5:E367)),"")</f>
        <v/>
      </c>
      <c r="F367" s="5" t="n"/>
    </row>
    <row r="368">
      <c r="A368" s="10">
        <f>IF($E368="","",INDEX('Input Transaksi'!$A:$A,$E368))</f>
        <v/>
      </c>
      <c r="B368" s="5">
        <f>IF($E368="","",INDEX('Input Transaksi'!$D:$D,$E368))</f>
        <v/>
      </c>
      <c r="C368">
        <f>IF($E368="","",INDEX('Input Transaksi'!$E:$E,$E368))</f>
        <v/>
      </c>
      <c r="D368" s="5">
        <f>IF($E368="","",INDEX('Input Transaksi'!$F:$F,$E368))</f>
        <v/>
      </c>
      <c r="E368">
        <f>IFERROR(AGGREGATE(15,6,ROW('Input Transaksi'!$B$5:$B$5000)/('Input Transaksi'!$B$5:$B$5000="JCL NUSA KAMBANGAN"),ROWS($E$5:E368)),"")</f>
        <v/>
      </c>
      <c r="F368" s="5" t="n"/>
    </row>
    <row r="369">
      <c r="A369" s="10">
        <f>IF($E369="","",INDEX('Input Transaksi'!$A:$A,$E369))</f>
        <v/>
      </c>
      <c r="B369" s="5">
        <f>IF($E369="","",INDEX('Input Transaksi'!$D:$D,$E369))</f>
        <v/>
      </c>
      <c r="C369">
        <f>IF($E369="","",INDEX('Input Transaksi'!$E:$E,$E369))</f>
        <v/>
      </c>
      <c r="D369" s="5">
        <f>IF($E369="","",INDEX('Input Transaksi'!$F:$F,$E369))</f>
        <v/>
      </c>
      <c r="E369">
        <f>IFERROR(AGGREGATE(15,6,ROW('Input Transaksi'!$B$5:$B$5000)/('Input Transaksi'!$B$5:$B$5000="JCL NUSA KAMBANGAN"),ROWS($E$5:E369)),"")</f>
        <v/>
      </c>
      <c r="F369" s="5" t="n"/>
    </row>
    <row r="370">
      <c r="A370" s="10">
        <f>IF($E370="","",INDEX('Input Transaksi'!$A:$A,$E370))</f>
        <v/>
      </c>
      <c r="B370" s="5">
        <f>IF($E370="","",INDEX('Input Transaksi'!$D:$D,$E370))</f>
        <v/>
      </c>
      <c r="C370">
        <f>IF($E370="","",INDEX('Input Transaksi'!$E:$E,$E370))</f>
        <v/>
      </c>
      <c r="D370" s="5">
        <f>IF($E370="","",INDEX('Input Transaksi'!$F:$F,$E370))</f>
        <v/>
      </c>
      <c r="E370">
        <f>IFERROR(AGGREGATE(15,6,ROW('Input Transaksi'!$B$5:$B$5000)/('Input Transaksi'!$B$5:$B$5000="JCL NUSA KAMBANGAN"),ROWS($E$5:E370)),"")</f>
        <v/>
      </c>
      <c r="F370" s="5" t="n"/>
    </row>
    <row r="371">
      <c r="A371" s="10">
        <f>IF($E371="","",INDEX('Input Transaksi'!$A:$A,$E371))</f>
        <v/>
      </c>
      <c r="B371" s="5">
        <f>IF($E371="","",INDEX('Input Transaksi'!$D:$D,$E371))</f>
        <v/>
      </c>
      <c r="C371">
        <f>IF($E371="","",INDEX('Input Transaksi'!$E:$E,$E371))</f>
        <v/>
      </c>
      <c r="D371" s="5">
        <f>IF($E371="","",INDEX('Input Transaksi'!$F:$F,$E371))</f>
        <v/>
      </c>
      <c r="E371">
        <f>IFERROR(AGGREGATE(15,6,ROW('Input Transaksi'!$B$5:$B$5000)/('Input Transaksi'!$B$5:$B$5000="JCL NUSA KAMBANGAN"),ROWS($E$5:E371)),"")</f>
        <v/>
      </c>
      <c r="F371" s="5" t="n"/>
    </row>
    <row r="372">
      <c r="A372" s="10">
        <f>IF($E372="","",INDEX('Input Transaksi'!$A:$A,$E372))</f>
        <v/>
      </c>
      <c r="B372" s="5">
        <f>IF($E372="","",INDEX('Input Transaksi'!$D:$D,$E372))</f>
        <v/>
      </c>
      <c r="C372">
        <f>IF($E372="","",INDEX('Input Transaksi'!$E:$E,$E372))</f>
        <v/>
      </c>
      <c r="D372" s="5">
        <f>IF($E372="","",INDEX('Input Transaksi'!$F:$F,$E372))</f>
        <v/>
      </c>
      <c r="E372">
        <f>IFERROR(AGGREGATE(15,6,ROW('Input Transaksi'!$B$5:$B$5000)/('Input Transaksi'!$B$5:$B$5000="JCL NUSA KAMBANGAN"),ROWS($E$5:E372)),"")</f>
        <v/>
      </c>
      <c r="F372" s="5" t="n"/>
    </row>
    <row r="373">
      <c r="A373" s="10">
        <f>IF($E373="","",INDEX('Input Transaksi'!$A:$A,$E373))</f>
        <v/>
      </c>
      <c r="B373" s="5">
        <f>IF($E373="","",INDEX('Input Transaksi'!$D:$D,$E373))</f>
        <v/>
      </c>
      <c r="C373">
        <f>IF($E373="","",INDEX('Input Transaksi'!$E:$E,$E373))</f>
        <v/>
      </c>
      <c r="D373" s="5">
        <f>IF($E373="","",INDEX('Input Transaksi'!$F:$F,$E373))</f>
        <v/>
      </c>
      <c r="E373">
        <f>IFERROR(AGGREGATE(15,6,ROW('Input Transaksi'!$B$5:$B$5000)/('Input Transaksi'!$B$5:$B$5000="JCL NUSA KAMBANGAN"),ROWS($E$5:E373)),"")</f>
        <v/>
      </c>
      <c r="F373" s="5" t="n"/>
    </row>
    <row r="374">
      <c r="A374" s="10">
        <f>IF($E374="","",INDEX('Input Transaksi'!$A:$A,$E374))</f>
        <v/>
      </c>
      <c r="B374" s="5">
        <f>IF($E374="","",INDEX('Input Transaksi'!$D:$D,$E374))</f>
        <v/>
      </c>
      <c r="C374">
        <f>IF($E374="","",INDEX('Input Transaksi'!$E:$E,$E374))</f>
        <v/>
      </c>
      <c r="D374" s="5">
        <f>IF($E374="","",INDEX('Input Transaksi'!$F:$F,$E374))</f>
        <v/>
      </c>
      <c r="E374">
        <f>IFERROR(AGGREGATE(15,6,ROW('Input Transaksi'!$B$5:$B$5000)/('Input Transaksi'!$B$5:$B$5000="JCL NUSA KAMBANGAN"),ROWS($E$5:E374)),"")</f>
        <v/>
      </c>
      <c r="F374" s="5" t="n"/>
    </row>
    <row r="375">
      <c r="A375" s="10">
        <f>IF($E375="","",INDEX('Input Transaksi'!$A:$A,$E375))</f>
        <v/>
      </c>
      <c r="B375" s="5">
        <f>IF($E375="","",INDEX('Input Transaksi'!$D:$D,$E375))</f>
        <v/>
      </c>
      <c r="C375">
        <f>IF($E375="","",INDEX('Input Transaksi'!$E:$E,$E375))</f>
        <v/>
      </c>
      <c r="D375" s="5">
        <f>IF($E375="","",INDEX('Input Transaksi'!$F:$F,$E375))</f>
        <v/>
      </c>
      <c r="E375">
        <f>IFERROR(AGGREGATE(15,6,ROW('Input Transaksi'!$B$5:$B$5000)/('Input Transaksi'!$B$5:$B$5000="JCL NUSA KAMBANGAN"),ROWS($E$5:E375)),"")</f>
        <v/>
      </c>
      <c r="F375" s="5" t="n"/>
    </row>
    <row r="376">
      <c r="A376" s="10">
        <f>IF($E376="","",INDEX('Input Transaksi'!$A:$A,$E376))</f>
        <v/>
      </c>
      <c r="B376" s="5">
        <f>IF($E376="","",INDEX('Input Transaksi'!$D:$D,$E376))</f>
        <v/>
      </c>
      <c r="C376">
        <f>IF($E376="","",INDEX('Input Transaksi'!$E:$E,$E376))</f>
        <v/>
      </c>
      <c r="D376" s="5">
        <f>IF($E376="","",INDEX('Input Transaksi'!$F:$F,$E376))</f>
        <v/>
      </c>
      <c r="E376">
        <f>IFERROR(AGGREGATE(15,6,ROW('Input Transaksi'!$B$5:$B$5000)/('Input Transaksi'!$B$5:$B$5000="JCL NUSA KAMBANGAN"),ROWS($E$5:E376)),"")</f>
        <v/>
      </c>
      <c r="F376" s="5" t="n"/>
    </row>
    <row r="377">
      <c r="A377" s="10">
        <f>IF($E377="","",INDEX('Input Transaksi'!$A:$A,$E377))</f>
        <v/>
      </c>
      <c r="B377" s="5">
        <f>IF($E377="","",INDEX('Input Transaksi'!$D:$D,$E377))</f>
        <v/>
      </c>
      <c r="C377">
        <f>IF($E377="","",INDEX('Input Transaksi'!$E:$E,$E377))</f>
        <v/>
      </c>
      <c r="D377" s="5">
        <f>IF($E377="","",INDEX('Input Transaksi'!$F:$F,$E377))</f>
        <v/>
      </c>
      <c r="E377">
        <f>IFERROR(AGGREGATE(15,6,ROW('Input Transaksi'!$B$5:$B$5000)/('Input Transaksi'!$B$5:$B$5000="JCL NUSA KAMBANGAN"),ROWS($E$5:E377)),"")</f>
        <v/>
      </c>
      <c r="F377" s="5" t="n"/>
    </row>
    <row r="378">
      <c r="A378" s="10">
        <f>IF($E378="","",INDEX('Input Transaksi'!$A:$A,$E378))</f>
        <v/>
      </c>
      <c r="B378" s="5">
        <f>IF($E378="","",INDEX('Input Transaksi'!$D:$D,$E378))</f>
        <v/>
      </c>
      <c r="C378">
        <f>IF($E378="","",INDEX('Input Transaksi'!$E:$E,$E378))</f>
        <v/>
      </c>
      <c r="D378" s="5">
        <f>IF($E378="","",INDEX('Input Transaksi'!$F:$F,$E378))</f>
        <v/>
      </c>
      <c r="E378">
        <f>IFERROR(AGGREGATE(15,6,ROW('Input Transaksi'!$B$5:$B$5000)/('Input Transaksi'!$B$5:$B$5000="JCL NUSA KAMBANGAN"),ROWS($E$5:E378)),"")</f>
        <v/>
      </c>
      <c r="F378" s="5" t="n"/>
    </row>
    <row r="379">
      <c r="A379" s="10">
        <f>IF($E379="","",INDEX('Input Transaksi'!$A:$A,$E379))</f>
        <v/>
      </c>
      <c r="B379" s="5">
        <f>IF($E379="","",INDEX('Input Transaksi'!$D:$D,$E379))</f>
        <v/>
      </c>
      <c r="C379">
        <f>IF($E379="","",INDEX('Input Transaksi'!$E:$E,$E379))</f>
        <v/>
      </c>
      <c r="D379" s="5">
        <f>IF($E379="","",INDEX('Input Transaksi'!$F:$F,$E379))</f>
        <v/>
      </c>
      <c r="E379">
        <f>IFERROR(AGGREGATE(15,6,ROW('Input Transaksi'!$B$5:$B$5000)/('Input Transaksi'!$B$5:$B$5000="JCL NUSA KAMBANGAN"),ROWS($E$5:E379)),"")</f>
        <v/>
      </c>
      <c r="F379" s="5" t="n"/>
    </row>
    <row r="380">
      <c r="A380" s="10">
        <f>IF($E380="","",INDEX('Input Transaksi'!$A:$A,$E380))</f>
        <v/>
      </c>
      <c r="B380" s="5">
        <f>IF($E380="","",INDEX('Input Transaksi'!$D:$D,$E380))</f>
        <v/>
      </c>
      <c r="C380">
        <f>IF($E380="","",INDEX('Input Transaksi'!$E:$E,$E380))</f>
        <v/>
      </c>
      <c r="D380" s="5">
        <f>IF($E380="","",INDEX('Input Transaksi'!$F:$F,$E380))</f>
        <v/>
      </c>
      <c r="E380">
        <f>IFERROR(AGGREGATE(15,6,ROW('Input Transaksi'!$B$5:$B$5000)/('Input Transaksi'!$B$5:$B$5000="JCL NUSA KAMBANGAN"),ROWS($E$5:E380)),"")</f>
        <v/>
      </c>
      <c r="F380" s="5" t="n"/>
    </row>
    <row r="381">
      <c r="A381" s="10">
        <f>IF($E381="","",INDEX('Input Transaksi'!$A:$A,$E381))</f>
        <v/>
      </c>
      <c r="B381" s="5">
        <f>IF($E381="","",INDEX('Input Transaksi'!$D:$D,$E381))</f>
        <v/>
      </c>
      <c r="C381">
        <f>IF($E381="","",INDEX('Input Transaksi'!$E:$E,$E381))</f>
        <v/>
      </c>
      <c r="D381" s="5">
        <f>IF($E381="","",INDEX('Input Transaksi'!$F:$F,$E381))</f>
        <v/>
      </c>
      <c r="E381">
        <f>IFERROR(AGGREGATE(15,6,ROW('Input Transaksi'!$B$5:$B$5000)/('Input Transaksi'!$B$5:$B$5000="JCL NUSA KAMBANGAN"),ROWS($E$5:E381)),"")</f>
        <v/>
      </c>
      <c r="F381" s="5" t="n"/>
    </row>
    <row r="382">
      <c r="A382" s="10">
        <f>IF($E382="","",INDEX('Input Transaksi'!$A:$A,$E382))</f>
        <v/>
      </c>
      <c r="B382" s="5">
        <f>IF($E382="","",INDEX('Input Transaksi'!$D:$D,$E382))</f>
        <v/>
      </c>
      <c r="C382">
        <f>IF($E382="","",INDEX('Input Transaksi'!$E:$E,$E382))</f>
        <v/>
      </c>
      <c r="D382" s="5">
        <f>IF($E382="","",INDEX('Input Transaksi'!$F:$F,$E382))</f>
        <v/>
      </c>
      <c r="E382">
        <f>IFERROR(AGGREGATE(15,6,ROW('Input Transaksi'!$B$5:$B$5000)/('Input Transaksi'!$B$5:$B$5000="JCL NUSA KAMBANGAN"),ROWS($E$5:E382)),"")</f>
        <v/>
      </c>
      <c r="F382" s="5" t="n"/>
    </row>
    <row r="383">
      <c r="A383" s="10">
        <f>IF($E383="","",INDEX('Input Transaksi'!$A:$A,$E383))</f>
        <v/>
      </c>
      <c r="B383" s="5">
        <f>IF($E383="","",INDEX('Input Transaksi'!$D:$D,$E383))</f>
        <v/>
      </c>
      <c r="C383">
        <f>IF($E383="","",INDEX('Input Transaksi'!$E:$E,$E383))</f>
        <v/>
      </c>
      <c r="D383" s="5">
        <f>IF($E383="","",INDEX('Input Transaksi'!$F:$F,$E383))</f>
        <v/>
      </c>
      <c r="E383">
        <f>IFERROR(AGGREGATE(15,6,ROW('Input Transaksi'!$B$5:$B$5000)/('Input Transaksi'!$B$5:$B$5000="JCL NUSA KAMBANGAN"),ROWS($E$5:E383)),"")</f>
        <v/>
      </c>
      <c r="F383" s="5" t="n"/>
    </row>
    <row r="384">
      <c r="A384" s="10">
        <f>IF($E384="","",INDEX('Input Transaksi'!$A:$A,$E384))</f>
        <v/>
      </c>
      <c r="B384" s="5">
        <f>IF($E384="","",INDEX('Input Transaksi'!$D:$D,$E384))</f>
        <v/>
      </c>
      <c r="C384">
        <f>IF($E384="","",INDEX('Input Transaksi'!$E:$E,$E384))</f>
        <v/>
      </c>
      <c r="D384" s="5">
        <f>IF($E384="","",INDEX('Input Transaksi'!$F:$F,$E384))</f>
        <v/>
      </c>
      <c r="E384">
        <f>IFERROR(AGGREGATE(15,6,ROW('Input Transaksi'!$B$5:$B$5000)/('Input Transaksi'!$B$5:$B$5000="JCL NUSA KAMBANGAN"),ROWS($E$5:E384)),"")</f>
        <v/>
      </c>
      <c r="F384" s="5" t="n"/>
    </row>
    <row r="385">
      <c r="A385" s="10">
        <f>IF($E385="","",INDEX('Input Transaksi'!$A:$A,$E385))</f>
        <v/>
      </c>
      <c r="B385" s="5">
        <f>IF($E385="","",INDEX('Input Transaksi'!$D:$D,$E385))</f>
        <v/>
      </c>
      <c r="C385">
        <f>IF($E385="","",INDEX('Input Transaksi'!$E:$E,$E385))</f>
        <v/>
      </c>
      <c r="D385" s="5">
        <f>IF($E385="","",INDEX('Input Transaksi'!$F:$F,$E385))</f>
        <v/>
      </c>
      <c r="E385">
        <f>IFERROR(AGGREGATE(15,6,ROW('Input Transaksi'!$B$5:$B$5000)/('Input Transaksi'!$B$5:$B$5000="JCL NUSA KAMBANGAN"),ROWS($E$5:E385)),"")</f>
        <v/>
      </c>
      <c r="F385" s="5" t="n"/>
    </row>
    <row r="386">
      <c r="A386" s="10">
        <f>IF($E386="","",INDEX('Input Transaksi'!$A:$A,$E386))</f>
        <v/>
      </c>
      <c r="B386" s="5">
        <f>IF($E386="","",INDEX('Input Transaksi'!$D:$D,$E386))</f>
        <v/>
      </c>
      <c r="C386">
        <f>IF($E386="","",INDEX('Input Transaksi'!$E:$E,$E386))</f>
        <v/>
      </c>
      <c r="D386" s="5">
        <f>IF($E386="","",INDEX('Input Transaksi'!$F:$F,$E386))</f>
        <v/>
      </c>
      <c r="E386">
        <f>IFERROR(AGGREGATE(15,6,ROW('Input Transaksi'!$B$5:$B$5000)/('Input Transaksi'!$B$5:$B$5000="JCL NUSA KAMBANGAN"),ROWS($E$5:E386)),"")</f>
        <v/>
      </c>
      <c r="F386" s="5" t="n"/>
    </row>
    <row r="387">
      <c r="A387" s="10">
        <f>IF($E387="","",INDEX('Input Transaksi'!$A:$A,$E387))</f>
        <v/>
      </c>
      <c r="B387" s="5">
        <f>IF($E387="","",INDEX('Input Transaksi'!$D:$D,$E387))</f>
        <v/>
      </c>
      <c r="C387">
        <f>IF($E387="","",INDEX('Input Transaksi'!$E:$E,$E387))</f>
        <v/>
      </c>
      <c r="D387" s="5">
        <f>IF($E387="","",INDEX('Input Transaksi'!$F:$F,$E387))</f>
        <v/>
      </c>
      <c r="E387">
        <f>IFERROR(AGGREGATE(15,6,ROW('Input Transaksi'!$B$5:$B$5000)/('Input Transaksi'!$B$5:$B$5000="JCL NUSA KAMBANGAN"),ROWS($E$5:E387)),"")</f>
        <v/>
      </c>
      <c r="F387" s="5" t="n"/>
    </row>
    <row r="388">
      <c r="A388" s="10">
        <f>IF($E388="","",INDEX('Input Transaksi'!$A:$A,$E388))</f>
        <v/>
      </c>
      <c r="B388" s="5">
        <f>IF($E388="","",INDEX('Input Transaksi'!$D:$D,$E388))</f>
        <v/>
      </c>
      <c r="C388">
        <f>IF($E388="","",INDEX('Input Transaksi'!$E:$E,$E388))</f>
        <v/>
      </c>
      <c r="D388" s="5">
        <f>IF($E388="","",INDEX('Input Transaksi'!$F:$F,$E388))</f>
        <v/>
      </c>
      <c r="E388">
        <f>IFERROR(AGGREGATE(15,6,ROW('Input Transaksi'!$B$5:$B$5000)/('Input Transaksi'!$B$5:$B$5000="JCL NUSA KAMBANGAN"),ROWS($E$5:E388)),"")</f>
        <v/>
      </c>
      <c r="F388" s="5" t="n"/>
    </row>
    <row r="389">
      <c r="A389" s="10">
        <f>IF($E389="","",INDEX('Input Transaksi'!$A:$A,$E389))</f>
        <v/>
      </c>
      <c r="B389" s="5">
        <f>IF($E389="","",INDEX('Input Transaksi'!$D:$D,$E389))</f>
        <v/>
      </c>
      <c r="C389">
        <f>IF($E389="","",INDEX('Input Transaksi'!$E:$E,$E389))</f>
        <v/>
      </c>
      <c r="D389" s="5">
        <f>IF($E389="","",INDEX('Input Transaksi'!$F:$F,$E389))</f>
        <v/>
      </c>
      <c r="E389">
        <f>IFERROR(AGGREGATE(15,6,ROW('Input Transaksi'!$B$5:$B$5000)/('Input Transaksi'!$B$5:$B$5000="JCL NUSA KAMBANGAN"),ROWS($E$5:E389)),"")</f>
        <v/>
      </c>
      <c r="F389" s="5" t="n"/>
    </row>
    <row r="390">
      <c r="A390" s="10">
        <f>IF($E390="","",INDEX('Input Transaksi'!$A:$A,$E390))</f>
        <v/>
      </c>
      <c r="B390" s="5">
        <f>IF($E390="","",INDEX('Input Transaksi'!$D:$D,$E390))</f>
        <v/>
      </c>
      <c r="C390">
        <f>IF($E390="","",INDEX('Input Transaksi'!$E:$E,$E390))</f>
        <v/>
      </c>
      <c r="D390" s="5">
        <f>IF($E390="","",INDEX('Input Transaksi'!$F:$F,$E390))</f>
        <v/>
      </c>
      <c r="E390">
        <f>IFERROR(AGGREGATE(15,6,ROW('Input Transaksi'!$B$5:$B$5000)/('Input Transaksi'!$B$5:$B$5000="JCL NUSA KAMBANGAN"),ROWS($E$5:E390)),"")</f>
        <v/>
      </c>
      <c r="F390" s="5" t="n"/>
    </row>
    <row r="391">
      <c r="A391" s="10">
        <f>IF($E391="","",INDEX('Input Transaksi'!$A:$A,$E391))</f>
        <v/>
      </c>
      <c r="B391" s="5">
        <f>IF($E391="","",INDEX('Input Transaksi'!$D:$D,$E391))</f>
        <v/>
      </c>
      <c r="C391">
        <f>IF($E391="","",INDEX('Input Transaksi'!$E:$E,$E391))</f>
        <v/>
      </c>
      <c r="D391" s="5">
        <f>IF($E391="","",INDEX('Input Transaksi'!$F:$F,$E391))</f>
        <v/>
      </c>
      <c r="E391">
        <f>IFERROR(AGGREGATE(15,6,ROW('Input Transaksi'!$B$5:$B$5000)/('Input Transaksi'!$B$5:$B$5000="JCL NUSA KAMBANGAN"),ROWS($E$5:E391)),"")</f>
        <v/>
      </c>
      <c r="F391" s="5" t="n"/>
    </row>
    <row r="392">
      <c r="A392" s="10">
        <f>IF($E392="","",INDEX('Input Transaksi'!$A:$A,$E392))</f>
        <v/>
      </c>
      <c r="B392" s="5">
        <f>IF($E392="","",INDEX('Input Transaksi'!$D:$D,$E392))</f>
        <v/>
      </c>
      <c r="C392">
        <f>IF($E392="","",INDEX('Input Transaksi'!$E:$E,$E392))</f>
        <v/>
      </c>
      <c r="D392" s="5">
        <f>IF($E392="","",INDEX('Input Transaksi'!$F:$F,$E392))</f>
        <v/>
      </c>
      <c r="E392">
        <f>IFERROR(AGGREGATE(15,6,ROW('Input Transaksi'!$B$5:$B$5000)/('Input Transaksi'!$B$5:$B$5000="JCL NUSA KAMBANGAN"),ROWS($E$5:E392)),"")</f>
        <v/>
      </c>
      <c r="F392" s="5" t="n"/>
    </row>
    <row r="393">
      <c r="A393" s="10">
        <f>IF($E393="","",INDEX('Input Transaksi'!$A:$A,$E393))</f>
        <v/>
      </c>
      <c r="B393" s="5">
        <f>IF($E393="","",INDEX('Input Transaksi'!$D:$D,$E393))</f>
        <v/>
      </c>
      <c r="C393">
        <f>IF($E393="","",INDEX('Input Transaksi'!$E:$E,$E393))</f>
        <v/>
      </c>
      <c r="D393" s="5">
        <f>IF($E393="","",INDEX('Input Transaksi'!$F:$F,$E393))</f>
        <v/>
      </c>
      <c r="E393">
        <f>IFERROR(AGGREGATE(15,6,ROW('Input Transaksi'!$B$5:$B$5000)/('Input Transaksi'!$B$5:$B$5000="JCL NUSA KAMBANGAN"),ROWS($E$5:E393)),"")</f>
        <v/>
      </c>
      <c r="F393" s="5" t="n"/>
    </row>
    <row r="394">
      <c r="A394" s="10">
        <f>IF($E394="","",INDEX('Input Transaksi'!$A:$A,$E394))</f>
        <v/>
      </c>
      <c r="B394" s="5">
        <f>IF($E394="","",INDEX('Input Transaksi'!$D:$D,$E394))</f>
        <v/>
      </c>
      <c r="C394">
        <f>IF($E394="","",INDEX('Input Transaksi'!$E:$E,$E394))</f>
        <v/>
      </c>
      <c r="D394" s="5">
        <f>IF($E394="","",INDEX('Input Transaksi'!$F:$F,$E394))</f>
        <v/>
      </c>
      <c r="E394">
        <f>IFERROR(AGGREGATE(15,6,ROW('Input Transaksi'!$B$5:$B$5000)/('Input Transaksi'!$B$5:$B$5000="JCL NUSA KAMBANGAN"),ROWS($E$5:E394)),"")</f>
        <v/>
      </c>
      <c r="F394" s="5" t="n"/>
    </row>
    <row r="395">
      <c r="A395" s="10">
        <f>IF($E395="","",INDEX('Input Transaksi'!$A:$A,$E395))</f>
        <v/>
      </c>
      <c r="B395" s="5">
        <f>IF($E395="","",INDEX('Input Transaksi'!$D:$D,$E395))</f>
        <v/>
      </c>
      <c r="C395">
        <f>IF($E395="","",INDEX('Input Transaksi'!$E:$E,$E395))</f>
        <v/>
      </c>
      <c r="D395" s="5">
        <f>IF($E395="","",INDEX('Input Transaksi'!$F:$F,$E395))</f>
        <v/>
      </c>
      <c r="E395">
        <f>IFERROR(AGGREGATE(15,6,ROW('Input Transaksi'!$B$5:$B$5000)/('Input Transaksi'!$B$5:$B$5000="JCL NUSA KAMBANGAN"),ROWS($E$5:E395)),"")</f>
        <v/>
      </c>
      <c r="F395" s="5" t="n"/>
    </row>
    <row r="396">
      <c r="A396" s="10">
        <f>IF($E396="","",INDEX('Input Transaksi'!$A:$A,$E396))</f>
        <v/>
      </c>
      <c r="B396" s="5">
        <f>IF($E396="","",INDEX('Input Transaksi'!$D:$D,$E396))</f>
        <v/>
      </c>
      <c r="C396">
        <f>IF($E396="","",INDEX('Input Transaksi'!$E:$E,$E396))</f>
        <v/>
      </c>
      <c r="D396" s="5">
        <f>IF($E396="","",INDEX('Input Transaksi'!$F:$F,$E396))</f>
        <v/>
      </c>
      <c r="E396">
        <f>IFERROR(AGGREGATE(15,6,ROW('Input Transaksi'!$B$5:$B$5000)/('Input Transaksi'!$B$5:$B$5000="JCL NUSA KAMBANGAN"),ROWS($E$5:E396)),"")</f>
        <v/>
      </c>
      <c r="F396" s="5" t="n"/>
    </row>
    <row r="397">
      <c r="A397" s="10">
        <f>IF($E397="","",INDEX('Input Transaksi'!$A:$A,$E397))</f>
        <v/>
      </c>
      <c r="B397" s="5">
        <f>IF($E397="","",INDEX('Input Transaksi'!$D:$D,$E397))</f>
        <v/>
      </c>
      <c r="C397">
        <f>IF($E397="","",INDEX('Input Transaksi'!$E:$E,$E397))</f>
        <v/>
      </c>
      <c r="D397" s="5">
        <f>IF($E397="","",INDEX('Input Transaksi'!$F:$F,$E397))</f>
        <v/>
      </c>
      <c r="E397">
        <f>IFERROR(AGGREGATE(15,6,ROW('Input Transaksi'!$B$5:$B$5000)/('Input Transaksi'!$B$5:$B$5000="JCL NUSA KAMBANGAN"),ROWS($E$5:E397)),"")</f>
        <v/>
      </c>
      <c r="F397" s="5" t="n"/>
    </row>
    <row r="398">
      <c r="A398" s="10">
        <f>IF($E398="","",INDEX('Input Transaksi'!$A:$A,$E398))</f>
        <v/>
      </c>
      <c r="B398" s="5">
        <f>IF($E398="","",INDEX('Input Transaksi'!$D:$D,$E398))</f>
        <v/>
      </c>
      <c r="C398">
        <f>IF($E398="","",INDEX('Input Transaksi'!$E:$E,$E398))</f>
        <v/>
      </c>
      <c r="D398" s="5">
        <f>IF($E398="","",INDEX('Input Transaksi'!$F:$F,$E398))</f>
        <v/>
      </c>
      <c r="E398">
        <f>IFERROR(AGGREGATE(15,6,ROW('Input Transaksi'!$B$5:$B$5000)/('Input Transaksi'!$B$5:$B$5000="JCL NUSA KAMBANGAN"),ROWS($E$5:E398)),"")</f>
        <v/>
      </c>
      <c r="F398" s="5" t="n"/>
    </row>
    <row r="399">
      <c r="A399" s="10">
        <f>IF($E399="","",INDEX('Input Transaksi'!$A:$A,$E399))</f>
        <v/>
      </c>
      <c r="B399" s="5">
        <f>IF($E399="","",INDEX('Input Transaksi'!$D:$D,$E399))</f>
        <v/>
      </c>
      <c r="C399">
        <f>IF($E399="","",INDEX('Input Transaksi'!$E:$E,$E399))</f>
        <v/>
      </c>
      <c r="D399" s="5">
        <f>IF($E399="","",INDEX('Input Transaksi'!$F:$F,$E399))</f>
        <v/>
      </c>
      <c r="E399">
        <f>IFERROR(AGGREGATE(15,6,ROW('Input Transaksi'!$B$5:$B$5000)/('Input Transaksi'!$B$5:$B$5000="JCL NUSA KAMBANGAN"),ROWS($E$5:E399)),"")</f>
        <v/>
      </c>
      <c r="F399" s="5" t="n"/>
    </row>
    <row r="400">
      <c r="A400" s="10">
        <f>IF($E400="","",INDEX('Input Transaksi'!$A:$A,$E400))</f>
        <v/>
      </c>
      <c r="B400" s="5">
        <f>IF($E400="","",INDEX('Input Transaksi'!$D:$D,$E400))</f>
        <v/>
      </c>
      <c r="C400">
        <f>IF($E400="","",INDEX('Input Transaksi'!$E:$E,$E400))</f>
        <v/>
      </c>
      <c r="D400" s="5">
        <f>IF($E400="","",INDEX('Input Transaksi'!$F:$F,$E400))</f>
        <v/>
      </c>
      <c r="E400">
        <f>IFERROR(AGGREGATE(15,6,ROW('Input Transaksi'!$B$5:$B$5000)/('Input Transaksi'!$B$5:$B$5000="JCL NUSA KAMBANGAN"),ROWS($E$5:E400)),"")</f>
        <v/>
      </c>
      <c r="F400" s="5" t="n"/>
    </row>
    <row r="401">
      <c r="A401" s="10">
        <f>IF($E401="","",INDEX('Input Transaksi'!$A:$A,$E401))</f>
        <v/>
      </c>
      <c r="B401" s="5">
        <f>IF($E401="","",INDEX('Input Transaksi'!$D:$D,$E401))</f>
        <v/>
      </c>
      <c r="C401">
        <f>IF($E401="","",INDEX('Input Transaksi'!$E:$E,$E401))</f>
        <v/>
      </c>
      <c r="D401" s="5">
        <f>IF($E401="","",INDEX('Input Transaksi'!$F:$F,$E401))</f>
        <v/>
      </c>
      <c r="E401">
        <f>IFERROR(AGGREGATE(15,6,ROW('Input Transaksi'!$B$5:$B$5000)/('Input Transaksi'!$B$5:$B$5000="JCL NUSA KAMBANGAN"),ROWS($E$5:E401)),"")</f>
        <v/>
      </c>
      <c r="F401" s="5" t="n"/>
    </row>
    <row r="402">
      <c r="A402" s="10">
        <f>IF($E402="","",INDEX('Input Transaksi'!$A:$A,$E402))</f>
        <v/>
      </c>
      <c r="B402" s="5">
        <f>IF($E402="","",INDEX('Input Transaksi'!$D:$D,$E402))</f>
        <v/>
      </c>
      <c r="C402">
        <f>IF($E402="","",INDEX('Input Transaksi'!$E:$E,$E402))</f>
        <v/>
      </c>
      <c r="D402" s="5">
        <f>IF($E402="","",INDEX('Input Transaksi'!$F:$F,$E402))</f>
        <v/>
      </c>
      <c r="E402">
        <f>IFERROR(AGGREGATE(15,6,ROW('Input Transaksi'!$B$5:$B$5000)/('Input Transaksi'!$B$5:$B$5000="JCL NUSA KAMBANGAN"),ROWS($E$5:E402)),"")</f>
        <v/>
      </c>
      <c r="F402" s="5" t="n"/>
    </row>
    <row r="403">
      <c r="A403" s="10">
        <f>IF($E403="","",INDEX('Input Transaksi'!$A:$A,$E403))</f>
        <v/>
      </c>
      <c r="B403" s="5">
        <f>IF($E403="","",INDEX('Input Transaksi'!$D:$D,$E403))</f>
        <v/>
      </c>
      <c r="C403">
        <f>IF($E403="","",INDEX('Input Transaksi'!$E:$E,$E403))</f>
        <v/>
      </c>
      <c r="D403" s="5">
        <f>IF($E403="","",INDEX('Input Transaksi'!$F:$F,$E403))</f>
        <v/>
      </c>
      <c r="E403">
        <f>IFERROR(AGGREGATE(15,6,ROW('Input Transaksi'!$B$5:$B$5000)/('Input Transaksi'!$B$5:$B$5000="JCL NUSA KAMBANGAN"),ROWS($E$5:E403)),"")</f>
        <v/>
      </c>
      <c r="F403" s="5" t="n"/>
    </row>
    <row r="404">
      <c r="A404" s="10">
        <f>IF($E404="","",INDEX('Input Transaksi'!$A:$A,$E404))</f>
        <v/>
      </c>
      <c r="B404" s="5">
        <f>IF($E404="","",INDEX('Input Transaksi'!$D:$D,$E404))</f>
        <v/>
      </c>
      <c r="C404">
        <f>IF($E404="","",INDEX('Input Transaksi'!$E:$E,$E404))</f>
        <v/>
      </c>
      <c r="D404" s="5">
        <f>IF($E404="","",INDEX('Input Transaksi'!$F:$F,$E404))</f>
        <v/>
      </c>
      <c r="E404">
        <f>IFERROR(AGGREGATE(15,6,ROW('Input Transaksi'!$B$5:$B$5000)/('Input Transaksi'!$B$5:$B$5000="JCL NUSA KAMBANGAN"),ROWS($E$5:E404)),"")</f>
        <v/>
      </c>
      <c r="F404" s="5" t="n"/>
    </row>
    <row r="405">
      <c r="A405" s="10">
        <f>IF($E405="","",INDEX('Input Transaksi'!$A:$A,$E405))</f>
        <v/>
      </c>
      <c r="B405" s="5">
        <f>IF($E405="","",INDEX('Input Transaksi'!$D:$D,$E405))</f>
        <v/>
      </c>
      <c r="C405">
        <f>IF($E405="","",INDEX('Input Transaksi'!$E:$E,$E405))</f>
        <v/>
      </c>
      <c r="D405" s="5">
        <f>IF($E405="","",INDEX('Input Transaksi'!$F:$F,$E405))</f>
        <v/>
      </c>
      <c r="E405">
        <f>IFERROR(AGGREGATE(15,6,ROW('Input Transaksi'!$B$5:$B$5000)/('Input Transaksi'!$B$5:$B$5000="JCL NUSA KAMBANGAN"),ROWS($E$5:E405)),"")</f>
        <v/>
      </c>
      <c r="F405" s="5" t="n"/>
    </row>
    <row r="406">
      <c r="A406" s="10">
        <f>IF($E406="","",INDEX('Input Transaksi'!$A:$A,$E406))</f>
        <v/>
      </c>
      <c r="B406" s="5">
        <f>IF($E406="","",INDEX('Input Transaksi'!$D:$D,$E406))</f>
        <v/>
      </c>
      <c r="C406">
        <f>IF($E406="","",INDEX('Input Transaksi'!$E:$E,$E406))</f>
        <v/>
      </c>
      <c r="D406" s="5">
        <f>IF($E406="","",INDEX('Input Transaksi'!$F:$F,$E406))</f>
        <v/>
      </c>
      <c r="E406">
        <f>IFERROR(AGGREGATE(15,6,ROW('Input Transaksi'!$B$5:$B$5000)/('Input Transaksi'!$B$5:$B$5000="JCL NUSA KAMBANGAN"),ROWS($E$5:E406)),"")</f>
        <v/>
      </c>
      <c r="F406" s="5" t="n"/>
    </row>
    <row r="407">
      <c r="A407" s="10">
        <f>IF($E407="","",INDEX('Input Transaksi'!$A:$A,$E407))</f>
        <v/>
      </c>
      <c r="B407" s="5">
        <f>IF($E407="","",INDEX('Input Transaksi'!$D:$D,$E407))</f>
        <v/>
      </c>
      <c r="C407">
        <f>IF($E407="","",INDEX('Input Transaksi'!$E:$E,$E407))</f>
        <v/>
      </c>
      <c r="D407" s="5">
        <f>IF($E407="","",INDEX('Input Transaksi'!$F:$F,$E407))</f>
        <v/>
      </c>
      <c r="E407">
        <f>IFERROR(AGGREGATE(15,6,ROW('Input Transaksi'!$B$5:$B$5000)/('Input Transaksi'!$B$5:$B$5000="JCL NUSA KAMBANGAN"),ROWS($E$5:E407)),"")</f>
        <v/>
      </c>
      <c r="F407" s="5" t="n"/>
    </row>
    <row r="408">
      <c r="A408" s="10">
        <f>IF($E408="","",INDEX('Input Transaksi'!$A:$A,$E408))</f>
        <v/>
      </c>
      <c r="B408" s="5">
        <f>IF($E408="","",INDEX('Input Transaksi'!$D:$D,$E408))</f>
        <v/>
      </c>
      <c r="C408">
        <f>IF($E408="","",INDEX('Input Transaksi'!$E:$E,$E408))</f>
        <v/>
      </c>
      <c r="D408" s="5">
        <f>IF($E408="","",INDEX('Input Transaksi'!$F:$F,$E408))</f>
        <v/>
      </c>
      <c r="E408">
        <f>IFERROR(AGGREGATE(15,6,ROW('Input Transaksi'!$B$5:$B$5000)/('Input Transaksi'!$B$5:$B$5000="JCL NUSA KAMBANGAN"),ROWS($E$5:E408)),"")</f>
        <v/>
      </c>
      <c r="F408" s="5" t="n"/>
    </row>
    <row r="409">
      <c r="A409" s="10">
        <f>IF($E409="","",INDEX('Input Transaksi'!$A:$A,$E409))</f>
        <v/>
      </c>
      <c r="B409" s="5">
        <f>IF($E409="","",INDEX('Input Transaksi'!$D:$D,$E409))</f>
        <v/>
      </c>
      <c r="C409">
        <f>IF($E409="","",INDEX('Input Transaksi'!$E:$E,$E409))</f>
        <v/>
      </c>
      <c r="D409" s="5">
        <f>IF($E409="","",INDEX('Input Transaksi'!$F:$F,$E409))</f>
        <v/>
      </c>
      <c r="E409">
        <f>IFERROR(AGGREGATE(15,6,ROW('Input Transaksi'!$B$5:$B$5000)/('Input Transaksi'!$B$5:$B$5000="JCL NUSA KAMBANGAN"),ROWS($E$5:E409)),"")</f>
        <v/>
      </c>
      <c r="F409" s="5" t="n"/>
    </row>
    <row r="410">
      <c r="A410" s="10">
        <f>IF($E410="","",INDEX('Input Transaksi'!$A:$A,$E410))</f>
        <v/>
      </c>
      <c r="B410" s="5">
        <f>IF($E410="","",INDEX('Input Transaksi'!$D:$D,$E410))</f>
        <v/>
      </c>
      <c r="C410">
        <f>IF($E410="","",INDEX('Input Transaksi'!$E:$E,$E410))</f>
        <v/>
      </c>
      <c r="D410" s="5">
        <f>IF($E410="","",INDEX('Input Transaksi'!$F:$F,$E410))</f>
        <v/>
      </c>
      <c r="E410">
        <f>IFERROR(AGGREGATE(15,6,ROW('Input Transaksi'!$B$5:$B$5000)/('Input Transaksi'!$B$5:$B$5000="JCL NUSA KAMBANGAN"),ROWS($E$5:E410)),"")</f>
        <v/>
      </c>
      <c r="F410" s="5" t="n"/>
    </row>
    <row r="411">
      <c r="A411" s="10">
        <f>IF($E411="","",INDEX('Input Transaksi'!$A:$A,$E411))</f>
        <v/>
      </c>
      <c r="B411" s="5">
        <f>IF($E411="","",INDEX('Input Transaksi'!$D:$D,$E411))</f>
        <v/>
      </c>
      <c r="C411">
        <f>IF($E411="","",INDEX('Input Transaksi'!$E:$E,$E411))</f>
        <v/>
      </c>
      <c r="D411" s="5">
        <f>IF($E411="","",INDEX('Input Transaksi'!$F:$F,$E411))</f>
        <v/>
      </c>
      <c r="E411">
        <f>IFERROR(AGGREGATE(15,6,ROW('Input Transaksi'!$B$5:$B$5000)/('Input Transaksi'!$B$5:$B$5000="JCL NUSA KAMBANGAN"),ROWS($E$5:E411)),"")</f>
        <v/>
      </c>
      <c r="F411" s="5" t="n"/>
    </row>
    <row r="412">
      <c r="A412" s="10">
        <f>IF($E412="","",INDEX('Input Transaksi'!$A:$A,$E412))</f>
        <v/>
      </c>
      <c r="B412" s="5">
        <f>IF($E412="","",INDEX('Input Transaksi'!$D:$D,$E412))</f>
        <v/>
      </c>
      <c r="C412">
        <f>IF($E412="","",INDEX('Input Transaksi'!$E:$E,$E412))</f>
        <v/>
      </c>
      <c r="D412" s="5">
        <f>IF($E412="","",INDEX('Input Transaksi'!$F:$F,$E412))</f>
        <v/>
      </c>
      <c r="E412">
        <f>IFERROR(AGGREGATE(15,6,ROW('Input Transaksi'!$B$5:$B$5000)/('Input Transaksi'!$B$5:$B$5000="JCL NUSA KAMBANGAN"),ROWS($E$5:E412)),"")</f>
        <v/>
      </c>
      <c r="F412" s="5" t="n"/>
    </row>
    <row r="413">
      <c r="A413" s="10">
        <f>IF($E413="","",INDEX('Input Transaksi'!$A:$A,$E413))</f>
        <v/>
      </c>
      <c r="B413" s="5">
        <f>IF($E413="","",INDEX('Input Transaksi'!$D:$D,$E413))</f>
        <v/>
      </c>
      <c r="C413">
        <f>IF($E413="","",INDEX('Input Transaksi'!$E:$E,$E413))</f>
        <v/>
      </c>
      <c r="D413" s="5">
        <f>IF($E413="","",INDEX('Input Transaksi'!$F:$F,$E413))</f>
        <v/>
      </c>
      <c r="E413">
        <f>IFERROR(AGGREGATE(15,6,ROW('Input Transaksi'!$B$5:$B$5000)/('Input Transaksi'!$B$5:$B$5000="JCL NUSA KAMBANGAN"),ROWS($E$5:E413)),"")</f>
        <v/>
      </c>
      <c r="F413" s="5" t="n"/>
    </row>
    <row r="414">
      <c r="A414" s="10">
        <f>IF($E414="","",INDEX('Input Transaksi'!$A:$A,$E414))</f>
        <v/>
      </c>
      <c r="B414" s="5">
        <f>IF($E414="","",INDEX('Input Transaksi'!$D:$D,$E414))</f>
        <v/>
      </c>
      <c r="C414">
        <f>IF($E414="","",INDEX('Input Transaksi'!$E:$E,$E414))</f>
        <v/>
      </c>
      <c r="D414" s="5">
        <f>IF($E414="","",INDEX('Input Transaksi'!$F:$F,$E414))</f>
        <v/>
      </c>
      <c r="E414">
        <f>IFERROR(AGGREGATE(15,6,ROW('Input Transaksi'!$B$5:$B$5000)/('Input Transaksi'!$B$5:$B$5000="JCL NUSA KAMBANGAN"),ROWS($E$5:E414)),"")</f>
        <v/>
      </c>
      <c r="F414" s="5" t="n"/>
    </row>
    <row r="415">
      <c r="A415" s="10">
        <f>IF($E415="","",INDEX('Input Transaksi'!$A:$A,$E415))</f>
        <v/>
      </c>
      <c r="B415" s="5">
        <f>IF($E415="","",INDEX('Input Transaksi'!$D:$D,$E415))</f>
        <v/>
      </c>
      <c r="C415">
        <f>IF($E415="","",INDEX('Input Transaksi'!$E:$E,$E415))</f>
        <v/>
      </c>
      <c r="D415" s="5">
        <f>IF($E415="","",INDEX('Input Transaksi'!$F:$F,$E415))</f>
        <v/>
      </c>
      <c r="E415">
        <f>IFERROR(AGGREGATE(15,6,ROW('Input Transaksi'!$B$5:$B$5000)/('Input Transaksi'!$B$5:$B$5000="JCL NUSA KAMBANGAN"),ROWS($E$5:E415)),"")</f>
        <v/>
      </c>
      <c r="F415" s="5" t="n"/>
    </row>
    <row r="416">
      <c r="A416" s="10">
        <f>IF($E416="","",INDEX('Input Transaksi'!$A:$A,$E416))</f>
        <v/>
      </c>
      <c r="B416" s="5">
        <f>IF($E416="","",INDEX('Input Transaksi'!$D:$D,$E416))</f>
        <v/>
      </c>
      <c r="C416">
        <f>IF($E416="","",INDEX('Input Transaksi'!$E:$E,$E416))</f>
        <v/>
      </c>
      <c r="D416" s="5">
        <f>IF($E416="","",INDEX('Input Transaksi'!$F:$F,$E416))</f>
        <v/>
      </c>
      <c r="E416">
        <f>IFERROR(AGGREGATE(15,6,ROW('Input Transaksi'!$B$5:$B$5000)/('Input Transaksi'!$B$5:$B$5000="JCL NUSA KAMBANGAN"),ROWS($E$5:E416)),"")</f>
        <v/>
      </c>
      <c r="F416" s="5" t="n"/>
    </row>
    <row r="417">
      <c r="A417" s="10">
        <f>IF($E417="","",INDEX('Input Transaksi'!$A:$A,$E417))</f>
        <v/>
      </c>
      <c r="B417" s="5">
        <f>IF($E417="","",INDEX('Input Transaksi'!$D:$D,$E417))</f>
        <v/>
      </c>
      <c r="C417">
        <f>IF($E417="","",INDEX('Input Transaksi'!$E:$E,$E417))</f>
        <v/>
      </c>
      <c r="D417" s="5">
        <f>IF($E417="","",INDEX('Input Transaksi'!$F:$F,$E417))</f>
        <v/>
      </c>
      <c r="E417">
        <f>IFERROR(AGGREGATE(15,6,ROW('Input Transaksi'!$B$5:$B$5000)/('Input Transaksi'!$B$5:$B$5000="JCL NUSA KAMBANGAN"),ROWS($E$5:E417)),"")</f>
        <v/>
      </c>
      <c r="F417" s="5" t="n"/>
    </row>
    <row r="418">
      <c r="A418" s="10">
        <f>IF($E418="","",INDEX('Input Transaksi'!$A:$A,$E418))</f>
        <v/>
      </c>
      <c r="B418" s="5">
        <f>IF($E418="","",INDEX('Input Transaksi'!$D:$D,$E418))</f>
        <v/>
      </c>
      <c r="C418">
        <f>IF($E418="","",INDEX('Input Transaksi'!$E:$E,$E418))</f>
        <v/>
      </c>
      <c r="D418" s="5">
        <f>IF($E418="","",INDEX('Input Transaksi'!$F:$F,$E418))</f>
        <v/>
      </c>
      <c r="E418">
        <f>IFERROR(AGGREGATE(15,6,ROW('Input Transaksi'!$B$5:$B$5000)/('Input Transaksi'!$B$5:$B$5000="JCL NUSA KAMBANGAN"),ROWS($E$5:E418)),"")</f>
        <v/>
      </c>
      <c r="F418" s="5" t="n"/>
    </row>
    <row r="419">
      <c r="A419" s="10">
        <f>IF($E419="","",INDEX('Input Transaksi'!$A:$A,$E419))</f>
        <v/>
      </c>
      <c r="B419" s="5">
        <f>IF($E419="","",INDEX('Input Transaksi'!$D:$D,$E419))</f>
        <v/>
      </c>
      <c r="C419">
        <f>IF($E419="","",INDEX('Input Transaksi'!$E:$E,$E419))</f>
        <v/>
      </c>
      <c r="D419" s="5">
        <f>IF($E419="","",INDEX('Input Transaksi'!$F:$F,$E419))</f>
        <v/>
      </c>
      <c r="E419">
        <f>IFERROR(AGGREGATE(15,6,ROW('Input Transaksi'!$B$5:$B$5000)/('Input Transaksi'!$B$5:$B$5000="JCL NUSA KAMBANGAN"),ROWS($E$5:E419)),"")</f>
        <v/>
      </c>
      <c r="F419" s="5" t="n"/>
    </row>
    <row r="420">
      <c r="A420" s="10">
        <f>IF($E420="","",INDEX('Input Transaksi'!$A:$A,$E420))</f>
        <v/>
      </c>
      <c r="B420" s="5">
        <f>IF($E420="","",INDEX('Input Transaksi'!$D:$D,$E420))</f>
        <v/>
      </c>
      <c r="C420">
        <f>IF($E420="","",INDEX('Input Transaksi'!$E:$E,$E420))</f>
        <v/>
      </c>
      <c r="D420" s="5">
        <f>IF($E420="","",INDEX('Input Transaksi'!$F:$F,$E420))</f>
        <v/>
      </c>
      <c r="E420">
        <f>IFERROR(AGGREGATE(15,6,ROW('Input Transaksi'!$B$5:$B$5000)/('Input Transaksi'!$B$5:$B$5000="JCL NUSA KAMBANGAN"),ROWS($E$5:E420)),"")</f>
        <v/>
      </c>
      <c r="F420" s="5" t="n"/>
    </row>
    <row r="421">
      <c r="A421" s="10">
        <f>IF($E421="","",INDEX('Input Transaksi'!$A:$A,$E421))</f>
        <v/>
      </c>
      <c r="B421" s="5">
        <f>IF($E421="","",INDEX('Input Transaksi'!$D:$D,$E421))</f>
        <v/>
      </c>
      <c r="C421">
        <f>IF($E421="","",INDEX('Input Transaksi'!$E:$E,$E421))</f>
        <v/>
      </c>
      <c r="D421" s="5">
        <f>IF($E421="","",INDEX('Input Transaksi'!$F:$F,$E421))</f>
        <v/>
      </c>
      <c r="E421">
        <f>IFERROR(AGGREGATE(15,6,ROW('Input Transaksi'!$B$5:$B$5000)/('Input Transaksi'!$B$5:$B$5000="JCL NUSA KAMBANGAN"),ROWS($E$5:E421)),"")</f>
        <v/>
      </c>
      <c r="F421" s="5" t="n"/>
    </row>
    <row r="422">
      <c r="A422" s="10">
        <f>IF($E422="","",INDEX('Input Transaksi'!$A:$A,$E422))</f>
        <v/>
      </c>
      <c r="B422" s="5">
        <f>IF($E422="","",INDEX('Input Transaksi'!$D:$D,$E422))</f>
        <v/>
      </c>
      <c r="C422">
        <f>IF($E422="","",INDEX('Input Transaksi'!$E:$E,$E422))</f>
        <v/>
      </c>
      <c r="D422" s="5">
        <f>IF($E422="","",INDEX('Input Transaksi'!$F:$F,$E422))</f>
        <v/>
      </c>
      <c r="E422">
        <f>IFERROR(AGGREGATE(15,6,ROW('Input Transaksi'!$B$5:$B$5000)/('Input Transaksi'!$B$5:$B$5000="JCL NUSA KAMBANGAN"),ROWS($E$5:E422)),"")</f>
        <v/>
      </c>
      <c r="F422" s="5" t="n"/>
    </row>
    <row r="423">
      <c r="A423" s="10">
        <f>IF($E423="","",INDEX('Input Transaksi'!$A:$A,$E423))</f>
        <v/>
      </c>
      <c r="B423" s="5">
        <f>IF($E423="","",INDEX('Input Transaksi'!$D:$D,$E423))</f>
        <v/>
      </c>
      <c r="C423">
        <f>IF($E423="","",INDEX('Input Transaksi'!$E:$E,$E423))</f>
        <v/>
      </c>
      <c r="D423" s="5">
        <f>IF($E423="","",INDEX('Input Transaksi'!$F:$F,$E423))</f>
        <v/>
      </c>
      <c r="E423">
        <f>IFERROR(AGGREGATE(15,6,ROW('Input Transaksi'!$B$5:$B$5000)/('Input Transaksi'!$B$5:$B$5000="JCL NUSA KAMBANGAN"),ROWS($E$5:E423)),"")</f>
        <v/>
      </c>
      <c r="F423" s="5" t="n"/>
    </row>
    <row r="424">
      <c r="A424" s="10">
        <f>IF($E424="","",INDEX('Input Transaksi'!$A:$A,$E424))</f>
        <v/>
      </c>
      <c r="B424" s="5">
        <f>IF($E424="","",INDEX('Input Transaksi'!$D:$D,$E424))</f>
        <v/>
      </c>
      <c r="C424">
        <f>IF($E424="","",INDEX('Input Transaksi'!$E:$E,$E424))</f>
        <v/>
      </c>
      <c r="D424" s="5">
        <f>IF($E424="","",INDEX('Input Transaksi'!$F:$F,$E424))</f>
        <v/>
      </c>
      <c r="E424">
        <f>IFERROR(AGGREGATE(15,6,ROW('Input Transaksi'!$B$5:$B$5000)/('Input Transaksi'!$B$5:$B$5000="JCL NUSA KAMBANGAN"),ROWS($E$5:E424)),"")</f>
        <v/>
      </c>
      <c r="F424" s="5" t="n"/>
    </row>
    <row r="425">
      <c r="A425" s="10">
        <f>IF($E425="","",INDEX('Input Transaksi'!$A:$A,$E425))</f>
        <v/>
      </c>
      <c r="B425" s="5">
        <f>IF($E425="","",INDEX('Input Transaksi'!$D:$D,$E425))</f>
        <v/>
      </c>
      <c r="C425">
        <f>IF($E425="","",INDEX('Input Transaksi'!$E:$E,$E425))</f>
        <v/>
      </c>
      <c r="D425" s="5">
        <f>IF($E425="","",INDEX('Input Transaksi'!$F:$F,$E425))</f>
        <v/>
      </c>
      <c r="E425">
        <f>IFERROR(AGGREGATE(15,6,ROW('Input Transaksi'!$B$5:$B$5000)/('Input Transaksi'!$B$5:$B$5000="JCL NUSA KAMBANGAN"),ROWS($E$5:E425)),"")</f>
        <v/>
      </c>
      <c r="F425" s="5" t="n"/>
    </row>
    <row r="426">
      <c r="A426" s="10">
        <f>IF($E426="","",INDEX('Input Transaksi'!$A:$A,$E426))</f>
        <v/>
      </c>
      <c r="B426" s="5">
        <f>IF($E426="","",INDEX('Input Transaksi'!$D:$D,$E426))</f>
        <v/>
      </c>
      <c r="C426">
        <f>IF($E426="","",INDEX('Input Transaksi'!$E:$E,$E426))</f>
        <v/>
      </c>
      <c r="D426" s="5">
        <f>IF($E426="","",INDEX('Input Transaksi'!$F:$F,$E426))</f>
        <v/>
      </c>
      <c r="E426">
        <f>IFERROR(AGGREGATE(15,6,ROW('Input Transaksi'!$B$5:$B$5000)/('Input Transaksi'!$B$5:$B$5000="JCL NUSA KAMBANGAN"),ROWS($E$5:E426)),"")</f>
        <v/>
      </c>
      <c r="F426" s="5" t="n"/>
    </row>
    <row r="427">
      <c r="A427" s="10">
        <f>IF($E427="","",INDEX('Input Transaksi'!$A:$A,$E427))</f>
        <v/>
      </c>
      <c r="B427" s="5">
        <f>IF($E427="","",INDEX('Input Transaksi'!$D:$D,$E427))</f>
        <v/>
      </c>
      <c r="C427">
        <f>IF($E427="","",INDEX('Input Transaksi'!$E:$E,$E427))</f>
        <v/>
      </c>
      <c r="D427" s="5">
        <f>IF($E427="","",INDEX('Input Transaksi'!$F:$F,$E427))</f>
        <v/>
      </c>
      <c r="E427">
        <f>IFERROR(AGGREGATE(15,6,ROW('Input Transaksi'!$B$5:$B$5000)/('Input Transaksi'!$B$5:$B$5000="JCL NUSA KAMBANGAN"),ROWS($E$5:E427)),"")</f>
        <v/>
      </c>
      <c r="F427" s="5" t="n"/>
    </row>
    <row r="428">
      <c r="A428" s="10">
        <f>IF($E428="","",INDEX('Input Transaksi'!$A:$A,$E428))</f>
        <v/>
      </c>
      <c r="B428" s="5">
        <f>IF($E428="","",INDEX('Input Transaksi'!$D:$D,$E428))</f>
        <v/>
      </c>
      <c r="C428">
        <f>IF($E428="","",INDEX('Input Transaksi'!$E:$E,$E428))</f>
        <v/>
      </c>
      <c r="D428" s="5">
        <f>IF($E428="","",INDEX('Input Transaksi'!$F:$F,$E428))</f>
        <v/>
      </c>
      <c r="E428">
        <f>IFERROR(AGGREGATE(15,6,ROW('Input Transaksi'!$B$5:$B$5000)/('Input Transaksi'!$B$5:$B$5000="JCL NUSA KAMBANGAN"),ROWS($E$5:E428)),"")</f>
        <v/>
      </c>
      <c r="F428" s="5" t="n"/>
    </row>
    <row r="429">
      <c r="A429" s="10">
        <f>IF($E429="","",INDEX('Input Transaksi'!$A:$A,$E429))</f>
        <v/>
      </c>
      <c r="B429" s="5">
        <f>IF($E429="","",INDEX('Input Transaksi'!$D:$D,$E429))</f>
        <v/>
      </c>
      <c r="C429">
        <f>IF($E429="","",INDEX('Input Transaksi'!$E:$E,$E429))</f>
        <v/>
      </c>
      <c r="D429" s="5">
        <f>IF($E429="","",INDEX('Input Transaksi'!$F:$F,$E429))</f>
        <v/>
      </c>
      <c r="E429">
        <f>IFERROR(AGGREGATE(15,6,ROW('Input Transaksi'!$B$5:$B$5000)/('Input Transaksi'!$B$5:$B$5000="JCL NUSA KAMBANGAN"),ROWS($E$5:E429)),"")</f>
        <v/>
      </c>
      <c r="F429" s="5" t="n"/>
    </row>
    <row r="430">
      <c r="A430" s="10">
        <f>IF($E430="","",INDEX('Input Transaksi'!$A:$A,$E430))</f>
        <v/>
      </c>
      <c r="B430" s="5">
        <f>IF($E430="","",INDEX('Input Transaksi'!$D:$D,$E430))</f>
        <v/>
      </c>
      <c r="C430">
        <f>IF($E430="","",INDEX('Input Transaksi'!$E:$E,$E430))</f>
        <v/>
      </c>
      <c r="D430" s="5">
        <f>IF($E430="","",INDEX('Input Transaksi'!$F:$F,$E430))</f>
        <v/>
      </c>
      <c r="E430">
        <f>IFERROR(AGGREGATE(15,6,ROW('Input Transaksi'!$B$5:$B$5000)/('Input Transaksi'!$B$5:$B$5000="JCL NUSA KAMBANGAN"),ROWS($E$5:E430)),"")</f>
        <v/>
      </c>
      <c r="F430" s="5" t="n"/>
    </row>
    <row r="431">
      <c r="A431" s="10">
        <f>IF($E431="","",INDEX('Input Transaksi'!$A:$A,$E431))</f>
        <v/>
      </c>
      <c r="B431" s="5">
        <f>IF($E431="","",INDEX('Input Transaksi'!$D:$D,$E431))</f>
        <v/>
      </c>
      <c r="C431">
        <f>IF($E431="","",INDEX('Input Transaksi'!$E:$E,$E431))</f>
        <v/>
      </c>
      <c r="D431" s="5">
        <f>IF($E431="","",INDEX('Input Transaksi'!$F:$F,$E431))</f>
        <v/>
      </c>
      <c r="E431">
        <f>IFERROR(AGGREGATE(15,6,ROW('Input Transaksi'!$B$5:$B$5000)/('Input Transaksi'!$B$5:$B$5000="JCL NUSA KAMBANGAN"),ROWS($E$5:E431)),"")</f>
        <v/>
      </c>
      <c r="F431" s="5" t="n"/>
    </row>
    <row r="432">
      <c r="A432" s="10">
        <f>IF($E432="","",INDEX('Input Transaksi'!$A:$A,$E432))</f>
        <v/>
      </c>
      <c r="B432" s="5">
        <f>IF($E432="","",INDEX('Input Transaksi'!$D:$D,$E432))</f>
        <v/>
      </c>
      <c r="C432">
        <f>IF($E432="","",INDEX('Input Transaksi'!$E:$E,$E432))</f>
        <v/>
      </c>
      <c r="D432" s="5">
        <f>IF($E432="","",INDEX('Input Transaksi'!$F:$F,$E432))</f>
        <v/>
      </c>
      <c r="E432">
        <f>IFERROR(AGGREGATE(15,6,ROW('Input Transaksi'!$B$5:$B$5000)/('Input Transaksi'!$B$5:$B$5000="JCL NUSA KAMBANGAN"),ROWS($E$5:E432)),"")</f>
        <v/>
      </c>
      <c r="F432" s="5" t="n"/>
    </row>
    <row r="433">
      <c r="A433" s="10">
        <f>IF($E433="","",INDEX('Input Transaksi'!$A:$A,$E433))</f>
        <v/>
      </c>
      <c r="B433" s="5">
        <f>IF($E433="","",INDEX('Input Transaksi'!$D:$D,$E433))</f>
        <v/>
      </c>
      <c r="C433">
        <f>IF($E433="","",INDEX('Input Transaksi'!$E:$E,$E433))</f>
        <v/>
      </c>
      <c r="D433" s="5">
        <f>IF($E433="","",INDEX('Input Transaksi'!$F:$F,$E433))</f>
        <v/>
      </c>
      <c r="E433">
        <f>IFERROR(AGGREGATE(15,6,ROW('Input Transaksi'!$B$5:$B$5000)/('Input Transaksi'!$B$5:$B$5000="JCL NUSA KAMBANGAN"),ROWS($E$5:E433)),"")</f>
        <v/>
      </c>
      <c r="F433" s="5" t="n"/>
    </row>
    <row r="434">
      <c r="A434" s="10">
        <f>IF($E434="","",INDEX('Input Transaksi'!$A:$A,$E434))</f>
        <v/>
      </c>
      <c r="B434" s="5">
        <f>IF($E434="","",INDEX('Input Transaksi'!$D:$D,$E434))</f>
        <v/>
      </c>
      <c r="C434">
        <f>IF($E434="","",INDEX('Input Transaksi'!$E:$E,$E434))</f>
        <v/>
      </c>
      <c r="D434" s="5">
        <f>IF($E434="","",INDEX('Input Transaksi'!$F:$F,$E434))</f>
        <v/>
      </c>
      <c r="E434">
        <f>IFERROR(AGGREGATE(15,6,ROW('Input Transaksi'!$B$5:$B$5000)/('Input Transaksi'!$B$5:$B$5000="JCL NUSA KAMBANGAN"),ROWS($E$5:E434)),"")</f>
        <v/>
      </c>
      <c r="F434" s="5" t="n"/>
    </row>
    <row r="435">
      <c r="A435" s="10">
        <f>IF($E435="","",INDEX('Input Transaksi'!$A:$A,$E435))</f>
        <v/>
      </c>
      <c r="B435" s="5">
        <f>IF($E435="","",INDEX('Input Transaksi'!$D:$D,$E435))</f>
        <v/>
      </c>
      <c r="C435">
        <f>IF($E435="","",INDEX('Input Transaksi'!$E:$E,$E435))</f>
        <v/>
      </c>
      <c r="D435" s="5">
        <f>IF($E435="","",INDEX('Input Transaksi'!$F:$F,$E435))</f>
        <v/>
      </c>
      <c r="E435">
        <f>IFERROR(AGGREGATE(15,6,ROW('Input Transaksi'!$B$5:$B$5000)/('Input Transaksi'!$B$5:$B$5000="JCL NUSA KAMBANGAN"),ROWS($E$5:E435)),"")</f>
        <v/>
      </c>
      <c r="F435" s="5" t="n"/>
    </row>
    <row r="436">
      <c r="A436" s="10">
        <f>IF($E436="","",INDEX('Input Transaksi'!$A:$A,$E436))</f>
        <v/>
      </c>
      <c r="B436" s="5">
        <f>IF($E436="","",INDEX('Input Transaksi'!$D:$D,$E436))</f>
        <v/>
      </c>
      <c r="C436">
        <f>IF($E436="","",INDEX('Input Transaksi'!$E:$E,$E436))</f>
        <v/>
      </c>
      <c r="D436" s="5">
        <f>IF($E436="","",INDEX('Input Transaksi'!$F:$F,$E436))</f>
        <v/>
      </c>
      <c r="E436">
        <f>IFERROR(AGGREGATE(15,6,ROW('Input Transaksi'!$B$5:$B$5000)/('Input Transaksi'!$B$5:$B$5000="JCL NUSA KAMBANGAN"),ROWS($E$5:E436)),"")</f>
        <v/>
      </c>
      <c r="F436" s="5" t="n"/>
    </row>
    <row r="437">
      <c r="A437" s="10">
        <f>IF($E437="","",INDEX('Input Transaksi'!$A:$A,$E437))</f>
        <v/>
      </c>
      <c r="B437" s="5">
        <f>IF($E437="","",INDEX('Input Transaksi'!$D:$D,$E437))</f>
        <v/>
      </c>
      <c r="C437">
        <f>IF($E437="","",INDEX('Input Transaksi'!$E:$E,$E437))</f>
        <v/>
      </c>
      <c r="D437" s="5">
        <f>IF($E437="","",INDEX('Input Transaksi'!$F:$F,$E437))</f>
        <v/>
      </c>
      <c r="E437">
        <f>IFERROR(AGGREGATE(15,6,ROW('Input Transaksi'!$B$5:$B$5000)/('Input Transaksi'!$B$5:$B$5000="JCL NUSA KAMBANGAN"),ROWS($E$5:E437)),"")</f>
        <v/>
      </c>
      <c r="F437" s="5" t="n"/>
    </row>
    <row r="438">
      <c r="A438" s="10">
        <f>IF($E438="","",INDEX('Input Transaksi'!$A:$A,$E438))</f>
        <v/>
      </c>
      <c r="B438" s="5">
        <f>IF($E438="","",INDEX('Input Transaksi'!$D:$D,$E438))</f>
        <v/>
      </c>
      <c r="C438">
        <f>IF($E438="","",INDEX('Input Transaksi'!$E:$E,$E438))</f>
        <v/>
      </c>
      <c r="D438" s="5">
        <f>IF($E438="","",INDEX('Input Transaksi'!$F:$F,$E438))</f>
        <v/>
      </c>
      <c r="E438">
        <f>IFERROR(AGGREGATE(15,6,ROW('Input Transaksi'!$B$5:$B$5000)/('Input Transaksi'!$B$5:$B$5000="JCL NUSA KAMBANGAN"),ROWS($E$5:E438)),"")</f>
        <v/>
      </c>
      <c r="F438" s="5" t="n"/>
    </row>
    <row r="439">
      <c r="A439" s="10">
        <f>IF($E439="","",INDEX('Input Transaksi'!$A:$A,$E439))</f>
        <v/>
      </c>
      <c r="B439" s="5">
        <f>IF($E439="","",INDEX('Input Transaksi'!$D:$D,$E439))</f>
        <v/>
      </c>
      <c r="C439">
        <f>IF($E439="","",INDEX('Input Transaksi'!$E:$E,$E439))</f>
        <v/>
      </c>
      <c r="D439" s="5">
        <f>IF($E439="","",INDEX('Input Transaksi'!$F:$F,$E439))</f>
        <v/>
      </c>
      <c r="E439">
        <f>IFERROR(AGGREGATE(15,6,ROW('Input Transaksi'!$B$5:$B$5000)/('Input Transaksi'!$B$5:$B$5000="JCL NUSA KAMBANGAN"),ROWS($E$5:E439)),"")</f>
        <v/>
      </c>
      <c r="F439" s="5" t="n"/>
    </row>
    <row r="440">
      <c r="A440" s="10">
        <f>IF($E440="","",INDEX('Input Transaksi'!$A:$A,$E440))</f>
        <v/>
      </c>
      <c r="B440" s="5">
        <f>IF($E440="","",INDEX('Input Transaksi'!$D:$D,$E440))</f>
        <v/>
      </c>
      <c r="C440">
        <f>IF($E440="","",INDEX('Input Transaksi'!$E:$E,$E440))</f>
        <v/>
      </c>
      <c r="D440" s="5">
        <f>IF($E440="","",INDEX('Input Transaksi'!$F:$F,$E440))</f>
        <v/>
      </c>
      <c r="E440">
        <f>IFERROR(AGGREGATE(15,6,ROW('Input Transaksi'!$B$5:$B$5000)/('Input Transaksi'!$B$5:$B$5000="JCL NUSA KAMBANGAN"),ROWS($E$5:E440)),"")</f>
        <v/>
      </c>
      <c r="F440" s="5" t="n"/>
    </row>
    <row r="441">
      <c r="A441" s="10">
        <f>IF($E441="","",INDEX('Input Transaksi'!$A:$A,$E441))</f>
        <v/>
      </c>
      <c r="B441" s="5">
        <f>IF($E441="","",INDEX('Input Transaksi'!$D:$D,$E441))</f>
        <v/>
      </c>
      <c r="C441">
        <f>IF($E441="","",INDEX('Input Transaksi'!$E:$E,$E441))</f>
        <v/>
      </c>
      <c r="D441" s="5">
        <f>IF($E441="","",INDEX('Input Transaksi'!$F:$F,$E441))</f>
        <v/>
      </c>
      <c r="E441">
        <f>IFERROR(AGGREGATE(15,6,ROW('Input Transaksi'!$B$5:$B$5000)/('Input Transaksi'!$B$5:$B$5000="JCL NUSA KAMBANGAN"),ROWS($E$5:E441)),"")</f>
        <v/>
      </c>
      <c r="F441" s="5" t="n"/>
    </row>
    <row r="442">
      <c r="A442" s="10">
        <f>IF($E442="","",INDEX('Input Transaksi'!$A:$A,$E442))</f>
        <v/>
      </c>
      <c r="B442" s="5">
        <f>IF($E442="","",INDEX('Input Transaksi'!$D:$D,$E442))</f>
        <v/>
      </c>
      <c r="C442">
        <f>IF($E442="","",INDEX('Input Transaksi'!$E:$E,$E442))</f>
        <v/>
      </c>
      <c r="D442" s="5">
        <f>IF($E442="","",INDEX('Input Transaksi'!$F:$F,$E442))</f>
        <v/>
      </c>
      <c r="E442">
        <f>IFERROR(AGGREGATE(15,6,ROW('Input Transaksi'!$B$5:$B$5000)/('Input Transaksi'!$B$5:$B$5000="JCL NUSA KAMBANGAN"),ROWS($E$5:E442)),"")</f>
        <v/>
      </c>
      <c r="F442" s="5" t="n"/>
    </row>
    <row r="443">
      <c r="A443" s="10">
        <f>IF($E443="","",INDEX('Input Transaksi'!$A:$A,$E443))</f>
        <v/>
      </c>
      <c r="B443" s="5">
        <f>IF($E443="","",INDEX('Input Transaksi'!$D:$D,$E443))</f>
        <v/>
      </c>
      <c r="C443">
        <f>IF($E443="","",INDEX('Input Transaksi'!$E:$E,$E443))</f>
        <v/>
      </c>
      <c r="D443" s="5">
        <f>IF($E443="","",INDEX('Input Transaksi'!$F:$F,$E443))</f>
        <v/>
      </c>
      <c r="E443">
        <f>IFERROR(AGGREGATE(15,6,ROW('Input Transaksi'!$B$5:$B$5000)/('Input Transaksi'!$B$5:$B$5000="JCL NUSA KAMBANGAN"),ROWS($E$5:E443)),"")</f>
        <v/>
      </c>
      <c r="F443" s="5" t="n"/>
    </row>
    <row r="444">
      <c r="A444" s="10">
        <f>IF($E444="","",INDEX('Input Transaksi'!$A:$A,$E444))</f>
        <v/>
      </c>
      <c r="B444" s="5">
        <f>IF($E444="","",INDEX('Input Transaksi'!$D:$D,$E444))</f>
        <v/>
      </c>
      <c r="C444">
        <f>IF($E444="","",INDEX('Input Transaksi'!$E:$E,$E444))</f>
        <v/>
      </c>
      <c r="D444" s="5">
        <f>IF($E444="","",INDEX('Input Transaksi'!$F:$F,$E444))</f>
        <v/>
      </c>
      <c r="E444">
        <f>IFERROR(AGGREGATE(15,6,ROW('Input Transaksi'!$B$5:$B$5000)/('Input Transaksi'!$B$5:$B$5000="JCL NUSA KAMBANGAN"),ROWS($E$5:E444)),"")</f>
        <v/>
      </c>
      <c r="F444" s="5" t="n"/>
    </row>
    <row r="445">
      <c r="A445" s="10">
        <f>IF($E445="","",INDEX('Input Transaksi'!$A:$A,$E445))</f>
        <v/>
      </c>
      <c r="B445" s="5">
        <f>IF($E445="","",INDEX('Input Transaksi'!$D:$D,$E445))</f>
        <v/>
      </c>
      <c r="C445">
        <f>IF($E445="","",INDEX('Input Transaksi'!$E:$E,$E445))</f>
        <v/>
      </c>
      <c r="D445" s="5">
        <f>IF($E445="","",INDEX('Input Transaksi'!$F:$F,$E445))</f>
        <v/>
      </c>
      <c r="E445">
        <f>IFERROR(AGGREGATE(15,6,ROW('Input Transaksi'!$B$5:$B$5000)/('Input Transaksi'!$B$5:$B$5000="JCL NUSA KAMBANGAN"),ROWS($E$5:E445)),"")</f>
        <v/>
      </c>
      <c r="F445" s="5" t="n"/>
    </row>
    <row r="446">
      <c r="A446" s="10">
        <f>IF($E446="","",INDEX('Input Transaksi'!$A:$A,$E446))</f>
        <v/>
      </c>
      <c r="B446" s="5">
        <f>IF($E446="","",INDEX('Input Transaksi'!$D:$D,$E446))</f>
        <v/>
      </c>
      <c r="C446">
        <f>IF($E446="","",INDEX('Input Transaksi'!$E:$E,$E446))</f>
        <v/>
      </c>
      <c r="D446" s="5">
        <f>IF($E446="","",INDEX('Input Transaksi'!$F:$F,$E446))</f>
        <v/>
      </c>
      <c r="E446">
        <f>IFERROR(AGGREGATE(15,6,ROW('Input Transaksi'!$B$5:$B$5000)/('Input Transaksi'!$B$5:$B$5000="JCL NUSA KAMBANGAN"),ROWS($E$5:E446)),"")</f>
        <v/>
      </c>
      <c r="F446" s="5" t="n"/>
    </row>
    <row r="447">
      <c r="A447" s="10">
        <f>IF($E447="","",INDEX('Input Transaksi'!$A:$A,$E447))</f>
        <v/>
      </c>
      <c r="B447" s="5">
        <f>IF($E447="","",INDEX('Input Transaksi'!$D:$D,$E447))</f>
        <v/>
      </c>
      <c r="C447">
        <f>IF($E447="","",INDEX('Input Transaksi'!$E:$E,$E447))</f>
        <v/>
      </c>
      <c r="D447" s="5">
        <f>IF($E447="","",INDEX('Input Transaksi'!$F:$F,$E447))</f>
        <v/>
      </c>
      <c r="E447">
        <f>IFERROR(AGGREGATE(15,6,ROW('Input Transaksi'!$B$5:$B$5000)/('Input Transaksi'!$B$5:$B$5000="JCL NUSA KAMBANGAN"),ROWS($E$5:E447)),"")</f>
        <v/>
      </c>
      <c r="F447" s="5" t="n"/>
    </row>
    <row r="448">
      <c r="A448" s="10">
        <f>IF($E448="","",INDEX('Input Transaksi'!$A:$A,$E448))</f>
        <v/>
      </c>
      <c r="B448" s="5">
        <f>IF($E448="","",INDEX('Input Transaksi'!$D:$D,$E448))</f>
        <v/>
      </c>
      <c r="C448">
        <f>IF($E448="","",INDEX('Input Transaksi'!$E:$E,$E448))</f>
        <v/>
      </c>
      <c r="D448" s="5">
        <f>IF($E448="","",INDEX('Input Transaksi'!$F:$F,$E448))</f>
        <v/>
      </c>
      <c r="E448">
        <f>IFERROR(AGGREGATE(15,6,ROW('Input Transaksi'!$B$5:$B$5000)/('Input Transaksi'!$B$5:$B$5000="JCL NUSA KAMBANGAN"),ROWS($E$5:E448)),"")</f>
        <v/>
      </c>
      <c r="F448" s="5" t="n"/>
    </row>
    <row r="449">
      <c r="A449" s="10">
        <f>IF($E449="","",INDEX('Input Transaksi'!$A:$A,$E449))</f>
        <v/>
      </c>
      <c r="B449" s="5">
        <f>IF($E449="","",INDEX('Input Transaksi'!$D:$D,$E449))</f>
        <v/>
      </c>
      <c r="C449">
        <f>IF($E449="","",INDEX('Input Transaksi'!$E:$E,$E449))</f>
        <v/>
      </c>
      <c r="D449" s="5">
        <f>IF($E449="","",INDEX('Input Transaksi'!$F:$F,$E449))</f>
        <v/>
      </c>
      <c r="E449">
        <f>IFERROR(AGGREGATE(15,6,ROW('Input Transaksi'!$B$5:$B$5000)/('Input Transaksi'!$B$5:$B$5000="JCL NUSA KAMBANGAN"),ROWS($E$5:E449)),"")</f>
        <v/>
      </c>
      <c r="F449" s="5" t="n"/>
    </row>
    <row r="450">
      <c r="A450" s="10">
        <f>IF($E450="","",INDEX('Input Transaksi'!$A:$A,$E450))</f>
        <v/>
      </c>
      <c r="B450" s="5">
        <f>IF($E450="","",INDEX('Input Transaksi'!$D:$D,$E450))</f>
        <v/>
      </c>
      <c r="C450">
        <f>IF($E450="","",INDEX('Input Transaksi'!$E:$E,$E450))</f>
        <v/>
      </c>
      <c r="D450" s="5">
        <f>IF($E450="","",INDEX('Input Transaksi'!$F:$F,$E450))</f>
        <v/>
      </c>
      <c r="E450">
        <f>IFERROR(AGGREGATE(15,6,ROW('Input Transaksi'!$B$5:$B$5000)/('Input Transaksi'!$B$5:$B$5000="JCL NUSA KAMBANGAN"),ROWS($E$5:E450)),"")</f>
        <v/>
      </c>
      <c r="F450" s="5" t="n"/>
    </row>
    <row r="451">
      <c r="A451" s="10">
        <f>IF($E451="","",INDEX('Input Transaksi'!$A:$A,$E451))</f>
        <v/>
      </c>
      <c r="B451" s="5">
        <f>IF($E451="","",INDEX('Input Transaksi'!$D:$D,$E451))</f>
        <v/>
      </c>
      <c r="C451">
        <f>IF($E451="","",INDEX('Input Transaksi'!$E:$E,$E451))</f>
        <v/>
      </c>
      <c r="D451" s="5">
        <f>IF($E451="","",INDEX('Input Transaksi'!$F:$F,$E451))</f>
        <v/>
      </c>
      <c r="E451">
        <f>IFERROR(AGGREGATE(15,6,ROW('Input Transaksi'!$B$5:$B$5000)/('Input Transaksi'!$B$5:$B$5000="JCL NUSA KAMBANGAN"),ROWS($E$5:E451)),"")</f>
        <v/>
      </c>
      <c r="F451" s="5" t="n"/>
    </row>
    <row r="452">
      <c r="A452" s="10">
        <f>IF($E452="","",INDEX('Input Transaksi'!$A:$A,$E452))</f>
        <v/>
      </c>
      <c r="B452" s="5">
        <f>IF($E452="","",INDEX('Input Transaksi'!$D:$D,$E452))</f>
        <v/>
      </c>
      <c r="C452">
        <f>IF($E452="","",INDEX('Input Transaksi'!$E:$E,$E452))</f>
        <v/>
      </c>
      <c r="D452" s="5">
        <f>IF($E452="","",INDEX('Input Transaksi'!$F:$F,$E452))</f>
        <v/>
      </c>
      <c r="E452">
        <f>IFERROR(AGGREGATE(15,6,ROW('Input Transaksi'!$B$5:$B$5000)/('Input Transaksi'!$B$5:$B$5000="JCL NUSA KAMBANGAN"),ROWS($E$5:E452)),"")</f>
        <v/>
      </c>
      <c r="F452" s="5" t="n"/>
    </row>
    <row r="453">
      <c r="A453" s="10">
        <f>IF($E453="","",INDEX('Input Transaksi'!$A:$A,$E453))</f>
        <v/>
      </c>
      <c r="B453" s="5">
        <f>IF($E453="","",INDEX('Input Transaksi'!$D:$D,$E453))</f>
        <v/>
      </c>
      <c r="C453">
        <f>IF($E453="","",INDEX('Input Transaksi'!$E:$E,$E453))</f>
        <v/>
      </c>
      <c r="D453" s="5">
        <f>IF($E453="","",INDEX('Input Transaksi'!$F:$F,$E453))</f>
        <v/>
      </c>
      <c r="E453">
        <f>IFERROR(AGGREGATE(15,6,ROW('Input Transaksi'!$B$5:$B$5000)/('Input Transaksi'!$B$5:$B$5000="JCL NUSA KAMBANGAN"),ROWS($E$5:E453)),"")</f>
        <v/>
      </c>
      <c r="F453" s="5" t="n"/>
    </row>
    <row r="454">
      <c r="A454" s="10">
        <f>IF($E454="","",INDEX('Input Transaksi'!$A:$A,$E454))</f>
        <v/>
      </c>
      <c r="B454" s="5">
        <f>IF($E454="","",INDEX('Input Transaksi'!$D:$D,$E454))</f>
        <v/>
      </c>
      <c r="C454">
        <f>IF($E454="","",INDEX('Input Transaksi'!$E:$E,$E454))</f>
        <v/>
      </c>
      <c r="D454" s="5">
        <f>IF($E454="","",INDEX('Input Transaksi'!$F:$F,$E454))</f>
        <v/>
      </c>
      <c r="E454">
        <f>IFERROR(AGGREGATE(15,6,ROW('Input Transaksi'!$B$5:$B$5000)/('Input Transaksi'!$B$5:$B$5000="JCL NUSA KAMBANGAN"),ROWS($E$5:E454)),"")</f>
        <v/>
      </c>
      <c r="F454" s="5" t="n"/>
    </row>
    <row r="455">
      <c r="A455" s="10">
        <f>IF($E455="","",INDEX('Input Transaksi'!$A:$A,$E455))</f>
        <v/>
      </c>
      <c r="B455" s="5">
        <f>IF($E455="","",INDEX('Input Transaksi'!$D:$D,$E455))</f>
        <v/>
      </c>
      <c r="C455">
        <f>IF($E455="","",INDEX('Input Transaksi'!$E:$E,$E455))</f>
        <v/>
      </c>
      <c r="D455" s="5">
        <f>IF($E455="","",INDEX('Input Transaksi'!$F:$F,$E455))</f>
        <v/>
      </c>
      <c r="E455">
        <f>IFERROR(AGGREGATE(15,6,ROW('Input Transaksi'!$B$5:$B$5000)/('Input Transaksi'!$B$5:$B$5000="JCL NUSA KAMBANGAN"),ROWS($E$5:E455)),"")</f>
        <v/>
      </c>
      <c r="F455" s="5" t="n"/>
    </row>
    <row r="456">
      <c r="A456" s="10">
        <f>IF($E456="","",INDEX('Input Transaksi'!$A:$A,$E456))</f>
        <v/>
      </c>
      <c r="B456" s="5">
        <f>IF($E456="","",INDEX('Input Transaksi'!$D:$D,$E456))</f>
        <v/>
      </c>
      <c r="C456">
        <f>IF($E456="","",INDEX('Input Transaksi'!$E:$E,$E456))</f>
        <v/>
      </c>
      <c r="D456" s="5">
        <f>IF($E456="","",INDEX('Input Transaksi'!$F:$F,$E456))</f>
        <v/>
      </c>
      <c r="E456">
        <f>IFERROR(AGGREGATE(15,6,ROW('Input Transaksi'!$B$5:$B$5000)/('Input Transaksi'!$B$5:$B$5000="JCL NUSA KAMBANGAN"),ROWS($E$5:E456)),"")</f>
        <v/>
      </c>
      <c r="F456" s="5" t="n"/>
    </row>
    <row r="457">
      <c r="A457" s="10">
        <f>IF($E457="","",INDEX('Input Transaksi'!$A:$A,$E457))</f>
        <v/>
      </c>
      <c r="B457" s="5">
        <f>IF($E457="","",INDEX('Input Transaksi'!$D:$D,$E457))</f>
        <v/>
      </c>
      <c r="C457">
        <f>IF($E457="","",INDEX('Input Transaksi'!$E:$E,$E457))</f>
        <v/>
      </c>
      <c r="D457" s="5">
        <f>IF($E457="","",INDEX('Input Transaksi'!$F:$F,$E457))</f>
        <v/>
      </c>
      <c r="E457">
        <f>IFERROR(AGGREGATE(15,6,ROW('Input Transaksi'!$B$5:$B$5000)/('Input Transaksi'!$B$5:$B$5000="JCL NUSA KAMBANGAN"),ROWS($E$5:E457)),"")</f>
        <v/>
      </c>
      <c r="F457" s="5" t="n"/>
    </row>
    <row r="458">
      <c r="A458" s="10">
        <f>IF($E458="","",INDEX('Input Transaksi'!$A:$A,$E458))</f>
        <v/>
      </c>
      <c r="B458" s="5">
        <f>IF($E458="","",INDEX('Input Transaksi'!$D:$D,$E458))</f>
        <v/>
      </c>
      <c r="C458">
        <f>IF($E458="","",INDEX('Input Transaksi'!$E:$E,$E458))</f>
        <v/>
      </c>
      <c r="D458" s="5">
        <f>IF($E458="","",INDEX('Input Transaksi'!$F:$F,$E458))</f>
        <v/>
      </c>
      <c r="E458">
        <f>IFERROR(AGGREGATE(15,6,ROW('Input Transaksi'!$B$5:$B$5000)/('Input Transaksi'!$B$5:$B$5000="JCL NUSA KAMBANGAN"),ROWS($E$5:E458)),"")</f>
        <v/>
      </c>
      <c r="F458" s="5" t="n"/>
    </row>
    <row r="459">
      <c r="A459" s="10">
        <f>IF($E459="","",INDEX('Input Transaksi'!$A:$A,$E459))</f>
        <v/>
      </c>
      <c r="B459" s="5">
        <f>IF($E459="","",INDEX('Input Transaksi'!$D:$D,$E459))</f>
        <v/>
      </c>
      <c r="C459">
        <f>IF($E459="","",INDEX('Input Transaksi'!$E:$E,$E459))</f>
        <v/>
      </c>
      <c r="D459" s="5">
        <f>IF($E459="","",INDEX('Input Transaksi'!$F:$F,$E459))</f>
        <v/>
      </c>
      <c r="E459">
        <f>IFERROR(AGGREGATE(15,6,ROW('Input Transaksi'!$B$5:$B$5000)/('Input Transaksi'!$B$5:$B$5000="JCL NUSA KAMBANGAN"),ROWS($E$5:E459)),"")</f>
        <v/>
      </c>
      <c r="F459" s="5" t="n"/>
    </row>
    <row r="460">
      <c r="A460" s="10">
        <f>IF($E460="","",INDEX('Input Transaksi'!$A:$A,$E460))</f>
        <v/>
      </c>
      <c r="B460" s="5">
        <f>IF($E460="","",INDEX('Input Transaksi'!$D:$D,$E460))</f>
        <v/>
      </c>
      <c r="C460">
        <f>IF($E460="","",INDEX('Input Transaksi'!$E:$E,$E460))</f>
        <v/>
      </c>
      <c r="D460" s="5">
        <f>IF($E460="","",INDEX('Input Transaksi'!$F:$F,$E460))</f>
        <v/>
      </c>
      <c r="E460">
        <f>IFERROR(AGGREGATE(15,6,ROW('Input Transaksi'!$B$5:$B$5000)/('Input Transaksi'!$B$5:$B$5000="JCL NUSA KAMBANGAN"),ROWS($E$5:E460)),"")</f>
        <v/>
      </c>
      <c r="F460" s="5" t="n"/>
    </row>
    <row r="461">
      <c r="A461" s="10">
        <f>IF($E461="","",INDEX('Input Transaksi'!$A:$A,$E461))</f>
        <v/>
      </c>
      <c r="B461" s="5">
        <f>IF($E461="","",INDEX('Input Transaksi'!$D:$D,$E461))</f>
        <v/>
      </c>
      <c r="C461">
        <f>IF($E461="","",INDEX('Input Transaksi'!$E:$E,$E461))</f>
        <v/>
      </c>
      <c r="D461" s="5">
        <f>IF($E461="","",INDEX('Input Transaksi'!$F:$F,$E461))</f>
        <v/>
      </c>
      <c r="E461">
        <f>IFERROR(AGGREGATE(15,6,ROW('Input Transaksi'!$B$5:$B$5000)/('Input Transaksi'!$B$5:$B$5000="JCL NUSA KAMBANGAN"),ROWS($E$5:E461)),"")</f>
        <v/>
      </c>
      <c r="F461" s="5" t="n"/>
    </row>
    <row r="462">
      <c r="A462" s="10">
        <f>IF($E462="","",INDEX('Input Transaksi'!$A:$A,$E462))</f>
        <v/>
      </c>
      <c r="B462" s="5">
        <f>IF($E462="","",INDEX('Input Transaksi'!$D:$D,$E462))</f>
        <v/>
      </c>
      <c r="C462">
        <f>IF($E462="","",INDEX('Input Transaksi'!$E:$E,$E462))</f>
        <v/>
      </c>
      <c r="D462" s="5">
        <f>IF($E462="","",INDEX('Input Transaksi'!$F:$F,$E462))</f>
        <v/>
      </c>
      <c r="E462">
        <f>IFERROR(AGGREGATE(15,6,ROW('Input Transaksi'!$B$5:$B$5000)/('Input Transaksi'!$B$5:$B$5000="JCL NUSA KAMBANGAN"),ROWS($E$5:E462)),"")</f>
        <v/>
      </c>
      <c r="F462" s="5" t="n"/>
    </row>
    <row r="463">
      <c r="A463" s="10">
        <f>IF($E463="","",INDEX('Input Transaksi'!$A:$A,$E463))</f>
        <v/>
      </c>
      <c r="B463" s="5">
        <f>IF($E463="","",INDEX('Input Transaksi'!$D:$D,$E463))</f>
        <v/>
      </c>
      <c r="C463">
        <f>IF($E463="","",INDEX('Input Transaksi'!$E:$E,$E463))</f>
        <v/>
      </c>
      <c r="D463" s="5">
        <f>IF($E463="","",INDEX('Input Transaksi'!$F:$F,$E463))</f>
        <v/>
      </c>
      <c r="E463">
        <f>IFERROR(AGGREGATE(15,6,ROW('Input Transaksi'!$B$5:$B$5000)/('Input Transaksi'!$B$5:$B$5000="JCL NUSA KAMBANGAN"),ROWS($E$5:E463)),"")</f>
        <v/>
      </c>
      <c r="F463" s="5" t="n"/>
    </row>
    <row r="464">
      <c r="A464" s="10">
        <f>IF($E464="","",INDEX('Input Transaksi'!$A:$A,$E464))</f>
        <v/>
      </c>
      <c r="B464" s="5">
        <f>IF($E464="","",INDEX('Input Transaksi'!$D:$D,$E464))</f>
        <v/>
      </c>
      <c r="C464">
        <f>IF($E464="","",INDEX('Input Transaksi'!$E:$E,$E464))</f>
        <v/>
      </c>
      <c r="D464" s="5">
        <f>IF($E464="","",INDEX('Input Transaksi'!$F:$F,$E464))</f>
        <v/>
      </c>
      <c r="E464">
        <f>IFERROR(AGGREGATE(15,6,ROW('Input Transaksi'!$B$5:$B$5000)/('Input Transaksi'!$B$5:$B$5000="JCL NUSA KAMBANGAN"),ROWS($E$5:E464)),"")</f>
        <v/>
      </c>
      <c r="F464" s="5" t="n"/>
    </row>
    <row r="465">
      <c r="A465" s="10">
        <f>IF($E465="","",INDEX('Input Transaksi'!$A:$A,$E465))</f>
        <v/>
      </c>
      <c r="B465" s="5">
        <f>IF($E465="","",INDEX('Input Transaksi'!$D:$D,$E465))</f>
        <v/>
      </c>
      <c r="C465">
        <f>IF($E465="","",INDEX('Input Transaksi'!$E:$E,$E465))</f>
        <v/>
      </c>
      <c r="D465" s="5">
        <f>IF($E465="","",INDEX('Input Transaksi'!$F:$F,$E465))</f>
        <v/>
      </c>
      <c r="E465">
        <f>IFERROR(AGGREGATE(15,6,ROW('Input Transaksi'!$B$5:$B$5000)/('Input Transaksi'!$B$5:$B$5000="JCL NUSA KAMBANGAN"),ROWS($E$5:E465)),"")</f>
        <v/>
      </c>
      <c r="F465" s="5" t="n"/>
    </row>
    <row r="466">
      <c r="A466" s="10">
        <f>IF($E466="","",INDEX('Input Transaksi'!$A:$A,$E466))</f>
        <v/>
      </c>
      <c r="B466" s="5">
        <f>IF($E466="","",INDEX('Input Transaksi'!$D:$D,$E466))</f>
        <v/>
      </c>
      <c r="C466">
        <f>IF($E466="","",INDEX('Input Transaksi'!$E:$E,$E466))</f>
        <v/>
      </c>
      <c r="D466" s="5">
        <f>IF($E466="","",INDEX('Input Transaksi'!$F:$F,$E466))</f>
        <v/>
      </c>
      <c r="E466">
        <f>IFERROR(AGGREGATE(15,6,ROW('Input Transaksi'!$B$5:$B$5000)/('Input Transaksi'!$B$5:$B$5000="JCL NUSA KAMBANGAN"),ROWS($E$5:E466)),"")</f>
        <v/>
      </c>
      <c r="F466" s="5" t="n"/>
    </row>
    <row r="467">
      <c r="A467" s="10">
        <f>IF($E467="","",INDEX('Input Transaksi'!$A:$A,$E467))</f>
        <v/>
      </c>
      <c r="B467" s="5">
        <f>IF($E467="","",INDEX('Input Transaksi'!$D:$D,$E467))</f>
        <v/>
      </c>
      <c r="C467">
        <f>IF($E467="","",INDEX('Input Transaksi'!$E:$E,$E467))</f>
        <v/>
      </c>
      <c r="D467" s="5">
        <f>IF($E467="","",INDEX('Input Transaksi'!$F:$F,$E467))</f>
        <v/>
      </c>
      <c r="E467">
        <f>IFERROR(AGGREGATE(15,6,ROW('Input Transaksi'!$B$5:$B$5000)/('Input Transaksi'!$B$5:$B$5000="JCL NUSA KAMBANGAN"),ROWS($E$5:E467)),"")</f>
        <v/>
      </c>
      <c r="F467" s="5" t="n"/>
    </row>
    <row r="468">
      <c r="A468" s="10">
        <f>IF($E468="","",INDEX('Input Transaksi'!$A:$A,$E468))</f>
        <v/>
      </c>
      <c r="B468" s="5">
        <f>IF($E468="","",INDEX('Input Transaksi'!$D:$D,$E468))</f>
        <v/>
      </c>
      <c r="C468">
        <f>IF($E468="","",INDEX('Input Transaksi'!$E:$E,$E468))</f>
        <v/>
      </c>
      <c r="D468" s="5">
        <f>IF($E468="","",INDEX('Input Transaksi'!$F:$F,$E468))</f>
        <v/>
      </c>
      <c r="E468">
        <f>IFERROR(AGGREGATE(15,6,ROW('Input Transaksi'!$B$5:$B$5000)/('Input Transaksi'!$B$5:$B$5000="JCL NUSA KAMBANGAN"),ROWS($E$5:E468)),"")</f>
        <v/>
      </c>
      <c r="F468" s="5" t="n"/>
    </row>
    <row r="469">
      <c r="A469" s="10">
        <f>IF($E469="","",INDEX('Input Transaksi'!$A:$A,$E469))</f>
        <v/>
      </c>
      <c r="B469" s="5">
        <f>IF($E469="","",INDEX('Input Transaksi'!$D:$D,$E469))</f>
        <v/>
      </c>
      <c r="C469">
        <f>IF($E469="","",INDEX('Input Transaksi'!$E:$E,$E469))</f>
        <v/>
      </c>
      <c r="D469" s="5">
        <f>IF($E469="","",INDEX('Input Transaksi'!$F:$F,$E469))</f>
        <v/>
      </c>
      <c r="E469">
        <f>IFERROR(AGGREGATE(15,6,ROW('Input Transaksi'!$B$5:$B$5000)/('Input Transaksi'!$B$5:$B$5000="JCL NUSA KAMBANGAN"),ROWS($E$5:E469)),"")</f>
        <v/>
      </c>
      <c r="F469" s="5" t="n"/>
    </row>
    <row r="470">
      <c r="A470" s="10">
        <f>IF($E470="","",INDEX('Input Transaksi'!$A:$A,$E470))</f>
        <v/>
      </c>
      <c r="B470" s="5">
        <f>IF($E470="","",INDEX('Input Transaksi'!$D:$D,$E470))</f>
        <v/>
      </c>
      <c r="C470">
        <f>IF($E470="","",INDEX('Input Transaksi'!$E:$E,$E470))</f>
        <v/>
      </c>
      <c r="D470" s="5">
        <f>IF($E470="","",INDEX('Input Transaksi'!$F:$F,$E470))</f>
        <v/>
      </c>
      <c r="E470">
        <f>IFERROR(AGGREGATE(15,6,ROW('Input Transaksi'!$B$5:$B$5000)/('Input Transaksi'!$B$5:$B$5000="JCL NUSA KAMBANGAN"),ROWS($E$5:E470)),"")</f>
        <v/>
      </c>
      <c r="F470" s="5" t="n"/>
    </row>
    <row r="471">
      <c r="A471" s="10">
        <f>IF($E471="","",INDEX('Input Transaksi'!$A:$A,$E471))</f>
        <v/>
      </c>
      <c r="B471" s="5">
        <f>IF($E471="","",INDEX('Input Transaksi'!$D:$D,$E471))</f>
        <v/>
      </c>
      <c r="C471">
        <f>IF($E471="","",INDEX('Input Transaksi'!$E:$E,$E471))</f>
        <v/>
      </c>
      <c r="D471" s="5">
        <f>IF($E471="","",INDEX('Input Transaksi'!$F:$F,$E471))</f>
        <v/>
      </c>
      <c r="E471">
        <f>IFERROR(AGGREGATE(15,6,ROW('Input Transaksi'!$B$5:$B$5000)/('Input Transaksi'!$B$5:$B$5000="JCL NUSA KAMBANGAN"),ROWS($E$5:E471)),"")</f>
        <v/>
      </c>
      <c r="F471" s="5" t="n"/>
    </row>
    <row r="472">
      <c r="A472" s="10">
        <f>IF($E472="","",INDEX('Input Transaksi'!$A:$A,$E472))</f>
        <v/>
      </c>
      <c r="B472" s="5">
        <f>IF($E472="","",INDEX('Input Transaksi'!$D:$D,$E472))</f>
        <v/>
      </c>
      <c r="C472">
        <f>IF($E472="","",INDEX('Input Transaksi'!$E:$E,$E472))</f>
        <v/>
      </c>
      <c r="D472" s="5">
        <f>IF($E472="","",INDEX('Input Transaksi'!$F:$F,$E472))</f>
        <v/>
      </c>
      <c r="E472">
        <f>IFERROR(AGGREGATE(15,6,ROW('Input Transaksi'!$B$5:$B$5000)/('Input Transaksi'!$B$5:$B$5000="JCL NUSA KAMBANGAN"),ROWS($E$5:E472)),"")</f>
        <v/>
      </c>
      <c r="F472" s="5" t="n"/>
    </row>
    <row r="473">
      <c r="A473" s="10">
        <f>IF($E473="","",INDEX('Input Transaksi'!$A:$A,$E473))</f>
        <v/>
      </c>
      <c r="B473" s="5">
        <f>IF($E473="","",INDEX('Input Transaksi'!$D:$D,$E473))</f>
        <v/>
      </c>
      <c r="C473">
        <f>IF($E473="","",INDEX('Input Transaksi'!$E:$E,$E473))</f>
        <v/>
      </c>
      <c r="D473" s="5">
        <f>IF($E473="","",INDEX('Input Transaksi'!$F:$F,$E473))</f>
        <v/>
      </c>
      <c r="E473">
        <f>IFERROR(AGGREGATE(15,6,ROW('Input Transaksi'!$B$5:$B$5000)/('Input Transaksi'!$B$5:$B$5000="JCL NUSA KAMBANGAN"),ROWS($E$5:E473)),"")</f>
        <v/>
      </c>
      <c r="F473" s="5" t="n"/>
    </row>
    <row r="474">
      <c r="A474" s="10">
        <f>IF($E474="","",INDEX('Input Transaksi'!$A:$A,$E474))</f>
        <v/>
      </c>
      <c r="B474" s="5">
        <f>IF($E474="","",INDEX('Input Transaksi'!$D:$D,$E474))</f>
        <v/>
      </c>
      <c r="C474">
        <f>IF($E474="","",INDEX('Input Transaksi'!$E:$E,$E474))</f>
        <v/>
      </c>
      <c r="D474" s="5">
        <f>IF($E474="","",INDEX('Input Transaksi'!$F:$F,$E474))</f>
        <v/>
      </c>
      <c r="E474">
        <f>IFERROR(AGGREGATE(15,6,ROW('Input Transaksi'!$B$5:$B$5000)/('Input Transaksi'!$B$5:$B$5000="JCL NUSA KAMBANGAN"),ROWS($E$5:E474)),"")</f>
        <v/>
      </c>
      <c r="F474" s="5" t="n"/>
    </row>
    <row r="475">
      <c r="A475" s="10">
        <f>IF($E475="","",INDEX('Input Transaksi'!$A:$A,$E475))</f>
        <v/>
      </c>
      <c r="B475" s="5">
        <f>IF($E475="","",INDEX('Input Transaksi'!$D:$D,$E475))</f>
        <v/>
      </c>
      <c r="C475">
        <f>IF($E475="","",INDEX('Input Transaksi'!$E:$E,$E475))</f>
        <v/>
      </c>
      <c r="D475" s="5">
        <f>IF($E475="","",INDEX('Input Transaksi'!$F:$F,$E475))</f>
        <v/>
      </c>
      <c r="E475">
        <f>IFERROR(AGGREGATE(15,6,ROW('Input Transaksi'!$B$5:$B$5000)/('Input Transaksi'!$B$5:$B$5000="JCL NUSA KAMBANGAN"),ROWS($E$5:E475)),"")</f>
        <v/>
      </c>
      <c r="F475" s="5" t="n"/>
    </row>
    <row r="476">
      <c r="A476" s="10">
        <f>IF($E476="","",INDEX('Input Transaksi'!$A:$A,$E476))</f>
        <v/>
      </c>
      <c r="B476" s="5">
        <f>IF($E476="","",INDEX('Input Transaksi'!$D:$D,$E476))</f>
        <v/>
      </c>
      <c r="C476">
        <f>IF($E476="","",INDEX('Input Transaksi'!$E:$E,$E476))</f>
        <v/>
      </c>
      <c r="D476" s="5">
        <f>IF($E476="","",INDEX('Input Transaksi'!$F:$F,$E476))</f>
        <v/>
      </c>
      <c r="E476">
        <f>IFERROR(AGGREGATE(15,6,ROW('Input Transaksi'!$B$5:$B$5000)/('Input Transaksi'!$B$5:$B$5000="JCL NUSA KAMBANGAN"),ROWS($E$5:E476)),"")</f>
        <v/>
      </c>
      <c r="F476" s="5" t="n"/>
    </row>
    <row r="477">
      <c r="A477" s="10">
        <f>IF($E477="","",INDEX('Input Transaksi'!$A:$A,$E477))</f>
        <v/>
      </c>
      <c r="B477" s="5">
        <f>IF($E477="","",INDEX('Input Transaksi'!$D:$D,$E477))</f>
        <v/>
      </c>
      <c r="C477">
        <f>IF($E477="","",INDEX('Input Transaksi'!$E:$E,$E477))</f>
        <v/>
      </c>
      <c r="D477" s="5">
        <f>IF($E477="","",INDEX('Input Transaksi'!$F:$F,$E477))</f>
        <v/>
      </c>
      <c r="E477">
        <f>IFERROR(AGGREGATE(15,6,ROW('Input Transaksi'!$B$5:$B$5000)/('Input Transaksi'!$B$5:$B$5000="JCL NUSA KAMBANGAN"),ROWS($E$5:E477)),"")</f>
        <v/>
      </c>
      <c r="F477" s="5" t="n"/>
    </row>
    <row r="478">
      <c r="A478" s="10">
        <f>IF($E478="","",INDEX('Input Transaksi'!$A:$A,$E478))</f>
        <v/>
      </c>
      <c r="B478" s="5">
        <f>IF($E478="","",INDEX('Input Transaksi'!$D:$D,$E478))</f>
        <v/>
      </c>
      <c r="C478">
        <f>IF($E478="","",INDEX('Input Transaksi'!$E:$E,$E478))</f>
        <v/>
      </c>
      <c r="D478" s="5">
        <f>IF($E478="","",INDEX('Input Transaksi'!$F:$F,$E478))</f>
        <v/>
      </c>
      <c r="E478">
        <f>IFERROR(AGGREGATE(15,6,ROW('Input Transaksi'!$B$5:$B$5000)/('Input Transaksi'!$B$5:$B$5000="JCL NUSA KAMBANGAN"),ROWS($E$5:E478)),"")</f>
        <v/>
      </c>
      <c r="F478" s="5" t="n"/>
    </row>
    <row r="479">
      <c r="A479" s="10">
        <f>IF($E479="","",INDEX('Input Transaksi'!$A:$A,$E479))</f>
        <v/>
      </c>
      <c r="B479" s="5">
        <f>IF($E479="","",INDEX('Input Transaksi'!$D:$D,$E479))</f>
        <v/>
      </c>
      <c r="C479">
        <f>IF($E479="","",INDEX('Input Transaksi'!$E:$E,$E479))</f>
        <v/>
      </c>
      <c r="D479" s="5">
        <f>IF($E479="","",INDEX('Input Transaksi'!$F:$F,$E479))</f>
        <v/>
      </c>
      <c r="E479">
        <f>IFERROR(AGGREGATE(15,6,ROW('Input Transaksi'!$B$5:$B$5000)/('Input Transaksi'!$B$5:$B$5000="JCL NUSA KAMBANGAN"),ROWS($E$5:E479)),"")</f>
        <v/>
      </c>
      <c r="F479" s="5" t="n"/>
    </row>
    <row r="480">
      <c r="A480" s="10">
        <f>IF($E480="","",INDEX('Input Transaksi'!$A:$A,$E480))</f>
        <v/>
      </c>
      <c r="B480" s="5">
        <f>IF($E480="","",INDEX('Input Transaksi'!$D:$D,$E480))</f>
        <v/>
      </c>
      <c r="C480">
        <f>IF($E480="","",INDEX('Input Transaksi'!$E:$E,$E480))</f>
        <v/>
      </c>
      <c r="D480" s="5">
        <f>IF($E480="","",INDEX('Input Transaksi'!$F:$F,$E480))</f>
        <v/>
      </c>
      <c r="E480">
        <f>IFERROR(AGGREGATE(15,6,ROW('Input Transaksi'!$B$5:$B$5000)/('Input Transaksi'!$B$5:$B$5000="JCL NUSA KAMBANGAN"),ROWS($E$5:E480)),"")</f>
        <v/>
      </c>
      <c r="F480" s="5" t="n"/>
    </row>
    <row r="481">
      <c r="A481" s="10">
        <f>IF($E481="","",INDEX('Input Transaksi'!$A:$A,$E481))</f>
        <v/>
      </c>
      <c r="B481" s="5">
        <f>IF($E481="","",INDEX('Input Transaksi'!$D:$D,$E481))</f>
        <v/>
      </c>
      <c r="C481">
        <f>IF($E481="","",INDEX('Input Transaksi'!$E:$E,$E481))</f>
        <v/>
      </c>
      <c r="D481" s="5">
        <f>IF($E481="","",INDEX('Input Transaksi'!$F:$F,$E481))</f>
        <v/>
      </c>
      <c r="E481">
        <f>IFERROR(AGGREGATE(15,6,ROW('Input Transaksi'!$B$5:$B$5000)/('Input Transaksi'!$B$5:$B$5000="JCL NUSA KAMBANGAN"),ROWS($E$5:E481)),"")</f>
        <v/>
      </c>
      <c r="F481" s="5" t="n"/>
    </row>
    <row r="482">
      <c r="A482" s="10">
        <f>IF($E482="","",INDEX('Input Transaksi'!$A:$A,$E482))</f>
        <v/>
      </c>
      <c r="B482" s="5">
        <f>IF($E482="","",INDEX('Input Transaksi'!$D:$D,$E482))</f>
        <v/>
      </c>
      <c r="C482">
        <f>IF($E482="","",INDEX('Input Transaksi'!$E:$E,$E482))</f>
        <v/>
      </c>
      <c r="D482" s="5">
        <f>IF($E482="","",INDEX('Input Transaksi'!$F:$F,$E482))</f>
        <v/>
      </c>
      <c r="E482">
        <f>IFERROR(AGGREGATE(15,6,ROW('Input Transaksi'!$B$5:$B$5000)/('Input Transaksi'!$B$5:$B$5000="JCL NUSA KAMBANGAN"),ROWS($E$5:E482)),"")</f>
        <v/>
      </c>
      <c r="F482" s="5" t="n"/>
    </row>
    <row r="483">
      <c r="A483" s="10">
        <f>IF($E483="","",INDEX('Input Transaksi'!$A:$A,$E483))</f>
        <v/>
      </c>
      <c r="B483" s="5">
        <f>IF($E483="","",INDEX('Input Transaksi'!$D:$D,$E483))</f>
        <v/>
      </c>
      <c r="C483">
        <f>IF($E483="","",INDEX('Input Transaksi'!$E:$E,$E483))</f>
        <v/>
      </c>
      <c r="D483" s="5">
        <f>IF($E483="","",INDEX('Input Transaksi'!$F:$F,$E483))</f>
        <v/>
      </c>
      <c r="E483">
        <f>IFERROR(AGGREGATE(15,6,ROW('Input Transaksi'!$B$5:$B$5000)/('Input Transaksi'!$B$5:$B$5000="JCL NUSA KAMBANGAN"),ROWS($E$5:E483)),"")</f>
        <v/>
      </c>
      <c r="F483" s="5" t="n"/>
    </row>
    <row r="484">
      <c r="A484" s="10">
        <f>IF($E484="","",INDEX('Input Transaksi'!$A:$A,$E484))</f>
        <v/>
      </c>
      <c r="B484" s="5">
        <f>IF($E484="","",INDEX('Input Transaksi'!$D:$D,$E484))</f>
        <v/>
      </c>
      <c r="C484">
        <f>IF($E484="","",INDEX('Input Transaksi'!$E:$E,$E484))</f>
        <v/>
      </c>
      <c r="D484" s="5">
        <f>IF($E484="","",INDEX('Input Transaksi'!$F:$F,$E484))</f>
        <v/>
      </c>
      <c r="E484">
        <f>IFERROR(AGGREGATE(15,6,ROW('Input Transaksi'!$B$5:$B$5000)/('Input Transaksi'!$B$5:$B$5000="JCL NUSA KAMBANGAN"),ROWS($E$5:E484)),"")</f>
        <v/>
      </c>
      <c r="F484" s="5" t="n"/>
    </row>
    <row r="485">
      <c r="A485" s="10">
        <f>IF($E485="","",INDEX('Input Transaksi'!$A:$A,$E485))</f>
        <v/>
      </c>
      <c r="B485" s="5">
        <f>IF($E485="","",INDEX('Input Transaksi'!$D:$D,$E485))</f>
        <v/>
      </c>
      <c r="C485">
        <f>IF($E485="","",INDEX('Input Transaksi'!$E:$E,$E485))</f>
        <v/>
      </c>
      <c r="D485" s="5">
        <f>IF($E485="","",INDEX('Input Transaksi'!$F:$F,$E485))</f>
        <v/>
      </c>
      <c r="E485">
        <f>IFERROR(AGGREGATE(15,6,ROW('Input Transaksi'!$B$5:$B$5000)/('Input Transaksi'!$B$5:$B$5000="JCL NUSA KAMBANGAN"),ROWS($E$5:E485)),"")</f>
        <v/>
      </c>
      <c r="F485" s="5" t="n"/>
    </row>
    <row r="486">
      <c r="A486" s="10">
        <f>IF($E486="","",INDEX('Input Transaksi'!$A:$A,$E486))</f>
        <v/>
      </c>
      <c r="B486" s="5">
        <f>IF($E486="","",INDEX('Input Transaksi'!$D:$D,$E486))</f>
        <v/>
      </c>
      <c r="C486">
        <f>IF($E486="","",INDEX('Input Transaksi'!$E:$E,$E486))</f>
        <v/>
      </c>
      <c r="D486" s="5">
        <f>IF($E486="","",INDEX('Input Transaksi'!$F:$F,$E486))</f>
        <v/>
      </c>
      <c r="E486">
        <f>IFERROR(AGGREGATE(15,6,ROW('Input Transaksi'!$B$5:$B$5000)/('Input Transaksi'!$B$5:$B$5000="JCL NUSA KAMBANGAN"),ROWS($E$5:E486)),"")</f>
        <v/>
      </c>
      <c r="F486" s="5" t="n"/>
    </row>
    <row r="487">
      <c r="A487" s="10">
        <f>IF($E487="","",INDEX('Input Transaksi'!$A:$A,$E487))</f>
        <v/>
      </c>
      <c r="B487" s="5">
        <f>IF($E487="","",INDEX('Input Transaksi'!$D:$D,$E487))</f>
        <v/>
      </c>
      <c r="C487">
        <f>IF($E487="","",INDEX('Input Transaksi'!$E:$E,$E487))</f>
        <v/>
      </c>
      <c r="D487" s="5">
        <f>IF($E487="","",INDEX('Input Transaksi'!$F:$F,$E487))</f>
        <v/>
      </c>
      <c r="E487">
        <f>IFERROR(AGGREGATE(15,6,ROW('Input Transaksi'!$B$5:$B$5000)/('Input Transaksi'!$B$5:$B$5000="JCL NUSA KAMBANGAN"),ROWS($E$5:E487)),"")</f>
        <v/>
      </c>
      <c r="F487" s="5" t="n"/>
    </row>
    <row r="488">
      <c r="A488" s="10">
        <f>IF($E488="","",INDEX('Input Transaksi'!$A:$A,$E488))</f>
        <v/>
      </c>
      <c r="B488" s="5">
        <f>IF($E488="","",INDEX('Input Transaksi'!$D:$D,$E488))</f>
        <v/>
      </c>
      <c r="C488">
        <f>IF($E488="","",INDEX('Input Transaksi'!$E:$E,$E488))</f>
        <v/>
      </c>
      <c r="D488" s="5">
        <f>IF($E488="","",INDEX('Input Transaksi'!$F:$F,$E488))</f>
        <v/>
      </c>
      <c r="E488">
        <f>IFERROR(AGGREGATE(15,6,ROW('Input Transaksi'!$B$5:$B$5000)/('Input Transaksi'!$B$5:$B$5000="JCL NUSA KAMBANGAN"),ROWS($E$5:E488)),"")</f>
        <v/>
      </c>
      <c r="F488" s="5" t="n"/>
    </row>
    <row r="489">
      <c r="A489" s="10">
        <f>IF($E489="","",INDEX('Input Transaksi'!$A:$A,$E489))</f>
        <v/>
      </c>
      <c r="B489" s="5">
        <f>IF($E489="","",INDEX('Input Transaksi'!$D:$D,$E489))</f>
        <v/>
      </c>
      <c r="C489">
        <f>IF($E489="","",INDEX('Input Transaksi'!$E:$E,$E489))</f>
        <v/>
      </c>
      <c r="D489" s="5">
        <f>IF($E489="","",INDEX('Input Transaksi'!$F:$F,$E489))</f>
        <v/>
      </c>
      <c r="E489">
        <f>IFERROR(AGGREGATE(15,6,ROW('Input Transaksi'!$B$5:$B$5000)/('Input Transaksi'!$B$5:$B$5000="JCL NUSA KAMBANGAN"),ROWS($E$5:E489)),"")</f>
        <v/>
      </c>
      <c r="F489" s="5" t="n"/>
    </row>
    <row r="490">
      <c r="A490" s="10">
        <f>IF($E490="","",INDEX('Input Transaksi'!$A:$A,$E490))</f>
        <v/>
      </c>
      <c r="B490" s="5">
        <f>IF($E490="","",INDEX('Input Transaksi'!$D:$D,$E490))</f>
        <v/>
      </c>
      <c r="C490">
        <f>IF($E490="","",INDEX('Input Transaksi'!$E:$E,$E490))</f>
        <v/>
      </c>
      <c r="D490" s="5">
        <f>IF($E490="","",INDEX('Input Transaksi'!$F:$F,$E490))</f>
        <v/>
      </c>
      <c r="E490">
        <f>IFERROR(AGGREGATE(15,6,ROW('Input Transaksi'!$B$5:$B$5000)/('Input Transaksi'!$B$5:$B$5000="JCL NUSA KAMBANGAN"),ROWS($E$5:E490)),"")</f>
        <v/>
      </c>
      <c r="F490" s="5" t="n"/>
    </row>
    <row r="491">
      <c r="A491" s="10">
        <f>IF($E491="","",INDEX('Input Transaksi'!$A:$A,$E491))</f>
        <v/>
      </c>
      <c r="B491" s="5">
        <f>IF($E491="","",INDEX('Input Transaksi'!$D:$D,$E491))</f>
        <v/>
      </c>
      <c r="C491">
        <f>IF($E491="","",INDEX('Input Transaksi'!$E:$E,$E491))</f>
        <v/>
      </c>
      <c r="D491" s="5">
        <f>IF($E491="","",INDEX('Input Transaksi'!$F:$F,$E491))</f>
        <v/>
      </c>
      <c r="E491">
        <f>IFERROR(AGGREGATE(15,6,ROW('Input Transaksi'!$B$5:$B$5000)/('Input Transaksi'!$B$5:$B$5000="JCL NUSA KAMBANGAN"),ROWS($E$5:E491)),"")</f>
        <v/>
      </c>
      <c r="F491" s="5" t="n"/>
    </row>
    <row r="492">
      <c r="A492" s="10">
        <f>IF($E492="","",INDEX('Input Transaksi'!$A:$A,$E492))</f>
        <v/>
      </c>
      <c r="B492" s="5">
        <f>IF($E492="","",INDEX('Input Transaksi'!$D:$D,$E492))</f>
        <v/>
      </c>
      <c r="C492">
        <f>IF($E492="","",INDEX('Input Transaksi'!$E:$E,$E492))</f>
        <v/>
      </c>
      <c r="D492" s="5">
        <f>IF($E492="","",INDEX('Input Transaksi'!$F:$F,$E492))</f>
        <v/>
      </c>
      <c r="E492">
        <f>IFERROR(AGGREGATE(15,6,ROW('Input Transaksi'!$B$5:$B$5000)/('Input Transaksi'!$B$5:$B$5000="JCL NUSA KAMBANGAN"),ROWS($E$5:E492)),"")</f>
        <v/>
      </c>
      <c r="F492" s="5" t="n"/>
    </row>
    <row r="493">
      <c r="A493" s="10">
        <f>IF($E493="","",INDEX('Input Transaksi'!$A:$A,$E493))</f>
        <v/>
      </c>
      <c r="B493" s="5">
        <f>IF($E493="","",INDEX('Input Transaksi'!$D:$D,$E493))</f>
        <v/>
      </c>
      <c r="C493">
        <f>IF($E493="","",INDEX('Input Transaksi'!$E:$E,$E493))</f>
        <v/>
      </c>
      <c r="D493" s="5">
        <f>IF($E493="","",INDEX('Input Transaksi'!$F:$F,$E493))</f>
        <v/>
      </c>
      <c r="E493">
        <f>IFERROR(AGGREGATE(15,6,ROW('Input Transaksi'!$B$5:$B$5000)/('Input Transaksi'!$B$5:$B$5000="JCL NUSA KAMBANGAN"),ROWS($E$5:E493)),"")</f>
        <v/>
      </c>
      <c r="F493" s="5" t="n"/>
    </row>
    <row r="494">
      <c r="A494" s="10">
        <f>IF($E494="","",INDEX('Input Transaksi'!$A:$A,$E494))</f>
        <v/>
      </c>
      <c r="B494" s="5">
        <f>IF($E494="","",INDEX('Input Transaksi'!$D:$D,$E494))</f>
        <v/>
      </c>
      <c r="C494">
        <f>IF($E494="","",INDEX('Input Transaksi'!$E:$E,$E494))</f>
        <v/>
      </c>
      <c r="D494" s="5">
        <f>IF($E494="","",INDEX('Input Transaksi'!$F:$F,$E494))</f>
        <v/>
      </c>
      <c r="E494">
        <f>IFERROR(AGGREGATE(15,6,ROW('Input Transaksi'!$B$5:$B$5000)/('Input Transaksi'!$B$5:$B$5000="JCL NUSA KAMBANGAN"),ROWS($E$5:E494)),"")</f>
        <v/>
      </c>
      <c r="F494" s="5" t="n"/>
    </row>
    <row r="495">
      <c r="A495" s="10">
        <f>IF($E495="","",INDEX('Input Transaksi'!$A:$A,$E495))</f>
        <v/>
      </c>
      <c r="B495" s="5">
        <f>IF($E495="","",INDEX('Input Transaksi'!$D:$D,$E495))</f>
        <v/>
      </c>
      <c r="C495">
        <f>IF($E495="","",INDEX('Input Transaksi'!$E:$E,$E495))</f>
        <v/>
      </c>
      <c r="D495" s="5">
        <f>IF($E495="","",INDEX('Input Transaksi'!$F:$F,$E495))</f>
        <v/>
      </c>
      <c r="E495">
        <f>IFERROR(AGGREGATE(15,6,ROW('Input Transaksi'!$B$5:$B$5000)/('Input Transaksi'!$B$5:$B$5000="JCL NUSA KAMBANGAN"),ROWS($E$5:E495)),"")</f>
        <v/>
      </c>
      <c r="F495" s="5" t="n"/>
    </row>
    <row r="496">
      <c r="A496" s="10">
        <f>IF($E496="","",INDEX('Input Transaksi'!$A:$A,$E496))</f>
        <v/>
      </c>
      <c r="B496" s="5">
        <f>IF($E496="","",INDEX('Input Transaksi'!$D:$D,$E496))</f>
        <v/>
      </c>
      <c r="C496">
        <f>IF($E496="","",INDEX('Input Transaksi'!$E:$E,$E496))</f>
        <v/>
      </c>
      <c r="D496" s="5">
        <f>IF($E496="","",INDEX('Input Transaksi'!$F:$F,$E496))</f>
        <v/>
      </c>
      <c r="E496">
        <f>IFERROR(AGGREGATE(15,6,ROW('Input Transaksi'!$B$5:$B$5000)/('Input Transaksi'!$B$5:$B$5000="JCL NUSA KAMBANGAN"),ROWS($E$5:E496)),"")</f>
        <v/>
      </c>
      <c r="F496" s="5" t="n"/>
    </row>
    <row r="497">
      <c r="A497" s="10">
        <f>IF($E497="","",INDEX('Input Transaksi'!$A:$A,$E497))</f>
        <v/>
      </c>
      <c r="B497" s="5">
        <f>IF($E497="","",INDEX('Input Transaksi'!$D:$D,$E497))</f>
        <v/>
      </c>
      <c r="C497">
        <f>IF($E497="","",INDEX('Input Transaksi'!$E:$E,$E497))</f>
        <v/>
      </c>
      <c r="D497" s="5">
        <f>IF($E497="","",INDEX('Input Transaksi'!$F:$F,$E497))</f>
        <v/>
      </c>
      <c r="E497">
        <f>IFERROR(AGGREGATE(15,6,ROW('Input Transaksi'!$B$5:$B$5000)/('Input Transaksi'!$B$5:$B$5000="JCL NUSA KAMBANGAN"),ROWS($E$5:E497)),"")</f>
        <v/>
      </c>
      <c r="F497" s="5" t="n"/>
    </row>
    <row r="498">
      <c r="A498" s="10">
        <f>IF($E498="","",INDEX('Input Transaksi'!$A:$A,$E498))</f>
        <v/>
      </c>
      <c r="B498" s="5">
        <f>IF($E498="","",INDEX('Input Transaksi'!$D:$D,$E498))</f>
        <v/>
      </c>
      <c r="C498">
        <f>IF($E498="","",INDEX('Input Transaksi'!$E:$E,$E498))</f>
        <v/>
      </c>
      <c r="D498" s="5">
        <f>IF($E498="","",INDEX('Input Transaksi'!$F:$F,$E498))</f>
        <v/>
      </c>
      <c r="E498">
        <f>IFERROR(AGGREGATE(15,6,ROW('Input Transaksi'!$B$5:$B$5000)/('Input Transaksi'!$B$5:$B$5000="JCL NUSA KAMBANGAN"),ROWS($E$5:E498)),"")</f>
        <v/>
      </c>
      <c r="F498" s="5" t="n"/>
    </row>
    <row r="499">
      <c r="A499" s="10">
        <f>IF($E499="","",INDEX('Input Transaksi'!$A:$A,$E499))</f>
        <v/>
      </c>
      <c r="B499" s="5">
        <f>IF($E499="","",INDEX('Input Transaksi'!$D:$D,$E499))</f>
        <v/>
      </c>
      <c r="C499">
        <f>IF($E499="","",INDEX('Input Transaksi'!$E:$E,$E499))</f>
        <v/>
      </c>
      <c r="D499" s="5">
        <f>IF($E499="","",INDEX('Input Transaksi'!$F:$F,$E499))</f>
        <v/>
      </c>
      <c r="E499">
        <f>IFERROR(AGGREGATE(15,6,ROW('Input Transaksi'!$B$5:$B$5000)/('Input Transaksi'!$B$5:$B$5000="JCL NUSA KAMBANGAN"),ROWS($E$5:E499)),"")</f>
        <v/>
      </c>
      <c r="F499" s="5" t="n"/>
    </row>
    <row r="500">
      <c r="A500" s="10">
        <f>IF($E500="","",INDEX('Input Transaksi'!$A:$A,$E500))</f>
        <v/>
      </c>
      <c r="B500" s="5">
        <f>IF($E500="","",INDEX('Input Transaksi'!$D:$D,$E500))</f>
        <v/>
      </c>
      <c r="C500">
        <f>IF($E500="","",INDEX('Input Transaksi'!$E:$E,$E500))</f>
        <v/>
      </c>
      <c r="D500" s="5">
        <f>IF($E500="","",INDEX('Input Transaksi'!$F:$F,$E500))</f>
        <v/>
      </c>
      <c r="E500">
        <f>IFERROR(AGGREGATE(15,6,ROW('Input Transaksi'!$B$5:$B$5000)/('Input Transaksi'!$B$5:$B$5000="JCL NUSA KAMBANGAN"),ROWS($E$5:E500)),"")</f>
        <v/>
      </c>
      <c r="F500" s="5" t="n"/>
    </row>
    <row r="501">
      <c r="A501" s="10">
        <f>IF($E501="","",INDEX('Input Transaksi'!$A:$A,$E501))</f>
        <v/>
      </c>
      <c r="B501" s="5">
        <f>IF($E501="","",INDEX('Input Transaksi'!$D:$D,$E501))</f>
        <v/>
      </c>
      <c r="C501">
        <f>IF($E501="","",INDEX('Input Transaksi'!$E:$E,$E501))</f>
        <v/>
      </c>
      <c r="D501" s="5">
        <f>IF($E501="","",INDEX('Input Transaksi'!$F:$F,$E501))</f>
        <v/>
      </c>
      <c r="E501">
        <f>IFERROR(AGGREGATE(15,6,ROW('Input Transaksi'!$B$5:$B$5000)/('Input Transaksi'!$B$5:$B$5000="JCL NUSA KAMBANGAN"),ROWS($E$5:E501)),"")</f>
        <v/>
      </c>
      <c r="F501" s="5" t="n"/>
    </row>
    <row r="502">
      <c r="A502" s="10">
        <f>IF($E502="","",INDEX('Input Transaksi'!$A:$A,$E502))</f>
        <v/>
      </c>
      <c r="B502" s="5">
        <f>IF($E502="","",INDEX('Input Transaksi'!$D:$D,$E502))</f>
        <v/>
      </c>
      <c r="C502">
        <f>IF($E502="","",INDEX('Input Transaksi'!$E:$E,$E502))</f>
        <v/>
      </c>
      <c r="D502" s="5">
        <f>IF($E502="","",INDEX('Input Transaksi'!$F:$F,$E502))</f>
        <v/>
      </c>
      <c r="E502">
        <f>IFERROR(AGGREGATE(15,6,ROW('Input Transaksi'!$B$5:$B$5000)/('Input Transaksi'!$B$5:$B$5000="JCL NUSA KAMBANGAN"),ROWS($E$5:E502)),"")</f>
        <v/>
      </c>
      <c r="F502" s="5" t="n"/>
    </row>
    <row r="503">
      <c r="A503" s="10">
        <f>IF($E503="","",INDEX('Input Transaksi'!$A:$A,$E503))</f>
        <v/>
      </c>
      <c r="B503" s="5">
        <f>IF($E503="","",INDEX('Input Transaksi'!$D:$D,$E503))</f>
        <v/>
      </c>
      <c r="C503">
        <f>IF($E503="","",INDEX('Input Transaksi'!$E:$E,$E503))</f>
        <v/>
      </c>
      <c r="D503" s="5">
        <f>IF($E503="","",INDEX('Input Transaksi'!$F:$F,$E503))</f>
        <v/>
      </c>
      <c r="E503">
        <f>IFERROR(AGGREGATE(15,6,ROW('Input Transaksi'!$B$5:$B$5000)/('Input Transaksi'!$B$5:$B$5000="JCL NUSA KAMBANGAN"),ROWS($E$5:E503)),"")</f>
        <v/>
      </c>
      <c r="F503" s="5" t="n"/>
    </row>
    <row r="504">
      <c r="A504" s="10">
        <f>IF($E504="","",INDEX('Input Transaksi'!$A:$A,$E504))</f>
        <v/>
      </c>
      <c r="B504" s="5">
        <f>IF($E504="","",INDEX('Input Transaksi'!$D:$D,$E504))</f>
        <v/>
      </c>
      <c r="C504">
        <f>IF($E504="","",INDEX('Input Transaksi'!$E:$E,$E504))</f>
        <v/>
      </c>
      <c r="D504" s="5">
        <f>IF($E504="","",INDEX('Input Transaksi'!$F:$F,$E504))</f>
        <v/>
      </c>
      <c r="E504">
        <f>IFERROR(AGGREGATE(15,6,ROW('Input Transaksi'!$B$5:$B$5000)/('Input Transaksi'!$B$5:$B$5000="JCL NUSA KAMBANGAN"),ROWS($E$5:E504)),"")</f>
        <v/>
      </c>
      <c r="F504" s="5" t="n"/>
    </row>
    <row r="505">
      <c r="A505" s="10">
        <f>IF($E505="","",INDEX('Input Transaksi'!$A:$A,$E505))</f>
        <v/>
      </c>
      <c r="B505" s="5">
        <f>IF($E505="","",INDEX('Input Transaksi'!$D:$D,$E505))</f>
        <v/>
      </c>
      <c r="C505">
        <f>IF($E505="","",INDEX('Input Transaksi'!$E:$E,$E505))</f>
        <v/>
      </c>
      <c r="D505" s="5">
        <f>IF($E505="","",INDEX('Input Transaksi'!$F:$F,$E505))</f>
        <v/>
      </c>
      <c r="E505">
        <f>IFERROR(AGGREGATE(15,6,ROW('Input Transaksi'!$B$5:$B$5000)/('Input Transaksi'!$B$5:$B$5000="JCL NUSA KAMBANGAN"),ROWS($E$5:E505)),"")</f>
        <v/>
      </c>
      <c r="F505" s="5" t="n"/>
    </row>
    <row r="506">
      <c r="A506" s="10">
        <f>IF($E506="","",INDEX('Input Transaksi'!$A:$A,$E506))</f>
        <v/>
      </c>
      <c r="B506" s="5">
        <f>IF($E506="","",INDEX('Input Transaksi'!$D:$D,$E506))</f>
        <v/>
      </c>
      <c r="C506">
        <f>IF($E506="","",INDEX('Input Transaksi'!$E:$E,$E506))</f>
        <v/>
      </c>
      <c r="D506" s="5">
        <f>IF($E506="","",INDEX('Input Transaksi'!$F:$F,$E506))</f>
        <v/>
      </c>
      <c r="E506">
        <f>IFERROR(AGGREGATE(15,6,ROW('Input Transaksi'!$B$5:$B$5000)/('Input Transaksi'!$B$5:$B$5000="JCL NUSA KAMBANGAN"),ROWS($E$5:E506)),"")</f>
        <v/>
      </c>
      <c r="F506" s="5" t="n"/>
    </row>
    <row r="507">
      <c r="A507" s="10">
        <f>IF($E507="","",INDEX('Input Transaksi'!$A:$A,$E507))</f>
        <v/>
      </c>
      <c r="B507" s="5">
        <f>IF($E507="","",INDEX('Input Transaksi'!$D:$D,$E507))</f>
        <v/>
      </c>
      <c r="C507">
        <f>IF($E507="","",INDEX('Input Transaksi'!$E:$E,$E507))</f>
        <v/>
      </c>
      <c r="D507" s="5">
        <f>IF($E507="","",INDEX('Input Transaksi'!$F:$F,$E507))</f>
        <v/>
      </c>
      <c r="E507">
        <f>IFERROR(AGGREGATE(15,6,ROW('Input Transaksi'!$B$5:$B$5000)/('Input Transaksi'!$B$5:$B$5000="JCL NUSA KAMBANGAN"),ROWS($E$5:E507)),"")</f>
        <v/>
      </c>
      <c r="F507" s="5" t="n"/>
    </row>
    <row r="508">
      <c r="A508" s="10">
        <f>IF($E508="","",INDEX('Input Transaksi'!$A:$A,$E508))</f>
        <v/>
      </c>
      <c r="B508" s="5">
        <f>IF($E508="","",INDEX('Input Transaksi'!$D:$D,$E508))</f>
        <v/>
      </c>
      <c r="C508">
        <f>IF($E508="","",INDEX('Input Transaksi'!$E:$E,$E508))</f>
        <v/>
      </c>
      <c r="D508" s="5">
        <f>IF($E508="","",INDEX('Input Transaksi'!$F:$F,$E508))</f>
        <v/>
      </c>
      <c r="E508">
        <f>IFERROR(AGGREGATE(15,6,ROW('Input Transaksi'!$B$5:$B$5000)/('Input Transaksi'!$B$5:$B$5000="JCL NUSA KAMBANGAN"),ROWS($E$5:E508)),"")</f>
        <v/>
      </c>
      <c r="F508" s="5" t="n"/>
    </row>
    <row r="509">
      <c r="A509" s="10">
        <f>IF($E509="","",INDEX('Input Transaksi'!$A:$A,$E509))</f>
        <v/>
      </c>
      <c r="B509" s="5">
        <f>IF($E509="","",INDEX('Input Transaksi'!$D:$D,$E509))</f>
        <v/>
      </c>
      <c r="C509">
        <f>IF($E509="","",INDEX('Input Transaksi'!$E:$E,$E509))</f>
        <v/>
      </c>
      <c r="D509" s="5">
        <f>IF($E509="","",INDEX('Input Transaksi'!$F:$F,$E509))</f>
        <v/>
      </c>
      <c r="E509">
        <f>IFERROR(AGGREGATE(15,6,ROW('Input Transaksi'!$B$5:$B$5000)/('Input Transaksi'!$B$5:$B$5000="JCL NUSA KAMBANGAN"),ROWS($E$5:E509)),"")</f>
        <v/>
      </c>
      <c r="F509" s="5" t="n"/>
    </row>
    <row r="510">
      <c r="A510" s="10">
        <f>IF($E510="","",INDEX('Input Transaksi'!$A:$A,$E510))</f>
        <v/>
      </c>
      <c r="B510" s="5">
        <f>IF($E510="","",INDEX('Input Transaksi'!$D:$D,$E510))</f>
        <v/>
      </c>
      <c r="C510">
        <f>IF($E510="","",INDEX('Input Transaksi'!$E:$E,$E510))</f>
        <v/>
      </c>
      <c r="D510" s="5">
        <f>IF($E510="","",INDEX('Input Transaksi'!$F:$F,$E510))</f>
        <v/>
      </c>
      <c r="E510">
        <f>IFERROR(AGGREGATE(15,6,ROW('Input Transaksi'!$B$5:$B$5000)/('Input Transaksi'!$B$5:$B$5000="JCL NUSA KAMBANGAN"),ROWS($E$5:E510)),"")</f>
        <v/>
      </c>
      <c r="F510" s="5" t="n"/>
    </row>
    <row r="511">
      <c r="A511" s="10">
        <f>IF($E511="","",INDEX('Input Transaksi'!$A:$A,$E511))</f>
        <v/>
      </c>
      <c r="B511" s="5">
        <f>IF($E511="","",INDEX('Input Transaksi'!$D:$D,$E511))</f>
        <v/>
      </c>
      <c r="C511">
        <f>IF($E511="","",INDEX('Input Transaksi'!$E:$E,$E511))</f>
        <v/>
      </c>
      <c r="D511" s="5">
        <f>IF($E511="","",INDEX('Input Transaksi'!$F:$F,$E511))</f>
        <v/>
      </c>
      <c r="E511">
        <f>IFERROR(AGGREGATE(15,6,ROW('Input Transaksi'!$B$5:$B$5000)/('Input Transaksi'!$B$5:$B$5000="JCL NUSA KAMBANGAN"),ROWS($E$5:E511)),"")</f>
        <v/>
      </c>
      <c r="F511" s="5" t="n"/>
    </row>
    <row r="512">
      <c r="A512" s="10">
        <f>IF($E512="","",INDEX('Input Transaksi'!$A:$A,$E512))</f>
        <v/>
      </c>
      <c r="B512" s="5">
        <f>IF($E512="","",INDEX('Input Transaksi'!$D:$D,$E512))</f>
        <v/>
      </c>
      <c r="C512">
        <f>IF($E512="","",INDEX('Input Transaksi'!$E:$E,$E512))</f>
        <v/>
      </c>
      <c r="D512" s="5">
        <f>IF($E512="","",INDEX('Input Transaksi'!$F:$F,$E512))</f>
        <v/>
      </c>
      <c r="E512">
        <f>IFERROR(AGGREGATE(15,6,ROW('Input Transaksi'!$B$5:$B$5000)/('Input Transaksi'!$B$5:$B$5000="JCL NUSA KAMBANGAN"),ROWS($E$5:E512)),"")</f>
        <v/>
      </c>
      <c r="F512" s="5" t="n"/>
    </row>
    <row r="513">
      <c r="A513" s="10">
        <f>IF($E513="","",INDEX('Input Transaksi'!$A:$A,$E513))</f>
        <v/>
      </c>
      <c r="B513" s="5">
        <f>IF($E513="","",INDEX('Input Transaksi'!$D:$D,$E513))</f>
        <v/>
      </c>
      <c r="C513">
        <f>IF($E513="","",INDEX('Input Transaksi'!$E:$E,$E513))</f>
        <v/>
      </c>
      <c r="D513" s="5">
        <f>IF($E513="","",INDEX('Input Transaksi'!$F:$F,$E513))</f>
        <v/>
      </c>
      <c r="E513">
        <f>IFERROR(AGGREGATE(15,6,ROW('Input Transaksi'!$B$5:$B$5000)/('Input Transaksi'!$B$5:$B$5000="JCL NUSA KAMBANGAN"),ROWS($E$5:E513)),"")</f>
        <v/>
      </c>
      <c r="F513" s="5" t="n"/>
    </row>
    <row r="514">
      <c r="A514" s="10">
        <f>IF($E514="","",INDEX('Input Transaksi'!$A:$A,$E514))</f>
        <v/>
      </c>
      <c r="B514" s="5">
        <f>IF($E514="","",INDEX('Input Transaksi'!$D:$D,$E514))</f>
        <v/>
      </c>
      <c r="C514">
        <f>IF($E514="","",INDEX('Input Transaksi'!$E:$E,$E514))</f>
        <v/>
      </c>
      <c r="D514" s="5">
        <f>IF($E514="","",INDEX('Input Transaksi'!$F:$F,$E514))</f>
        <v/>
      </c>
      <c r="E514">
        <f>IFERROR(AGGREGATE(15,6,ROW('Input Transaksi'!$B$5:$B$5000)/('Input Transaksi'!$B$5:$B$5000="JCL NUSA KAMBANGAN"),ROWS($E$5:E514)),"")</f>
        <v/>
      </c>
      <c r="F514" s="5" t="n"/>
    </row>
    <row r="515">
      <c r="A515" s="10">
        <f>IF($E515="","",INDEX('Input Transaksi'!$A:$A,$E515))</f>
        <v/>
      </c>
      <c r="B515" s="5">
        <f>IF($E515="","",INDEX('Input Transaksi'!$D:$D,$E515))</f>
        <v/>
      </c>
      <c r="C515">
        <f>IF($E515="","",INDEX('Input Transaksi'!$E:$E,$E515))</f>
        <v/>
      </c>
      <c r="D515" s="5">
        <f>IF($E515="","",INDEX('Input Transaksi'!$F:$F,$E515))</f>
        <v/>
      </c>
      <c r="E515">
        <f>IFERROR(AGGREGATE(15,6,ROW('Input Transaksi'!$B$5:$B$5000)/('Input Transaksi'!$B$5:$B$5000="JCL NUSA KAMBANGAN"),ROWS($E$5:E515)),"")</f>
        <v/>
      </c>
      <c r="F515" s="5" t="n"/>
    </row>
    <row r="516">
      <c r="A516" s="10">
        <f>IF($E516="","",INDEX('Input Transaksi'!$A:$A,$E516))</f>
        <v/>
      </c>
      <c r="B516" s="5">
        <f>IF($E516="","",INDEX('Input Transaksi'!$D:$D,$E516))</f>
        <v/>
      </c>
      <c r="C516">
        <f>IF($E516="","",INDEX('Input Transaksi'!$E:$E,$E516))</f>
        <v/>
      </c>
      <c r="D516" s="5">
        <f>IF($E516="","",INDEX('Input Transaksi'!$F:$F,$E516))</f>
        <v/>
      </c>
      <c r="E516">
        <f>IFERROR(AGGREGATE(15,6,ROW('Input Transaksi'!$B$5:$B$5000)/('Input Transaksi'!$B$5:$B$5000="JCL NUSA KAMBANGAN"),ROWS($E$5:E516)),"")</f>
        <v/>
      </c>
      <c r="F516" s="5" t="n"/>
    </row>
    <row r="517">
      <c r="A517" s="10">
        <f>IF($E517="","",INDEX('Input Transaksi'!$A:$A,$E517))</f>
        <v/>
      </c>
      <c r="B517" s="5">
        <f>IF($E517="","",INDEX('Input Transaksi'!$D:$D,$E517))</f>
        <v/>
      </c>
      <c r="C517">
        <f>IF($E517="","",INDEX('Input Transaksi'!$E:$E,$E517))</f>
        <v/>
      </c>
      <c r="D517" s="5">
        <f>IF($E517="","",INDEX('Input Transaksi'!$F:$F,$E517))</f>
        <v/>
      </c>
      <c r="E517">
        <f>IFERROR(AGGREGATE(15,6,ROW('Input Transaksi'!$B$5:$B$5000)/('Input Transaksi'!$B$5:$B$5000="JCL NUSA KAMBANGAN"),ROWS($E$5:E517)),"")</f>
        <v/>
      </c>
      <c r="F517" s="5" t="n"/>
    </row>
    <row r="518">
      <c r="A518" s="10">
        <f>IF($E518="","",INDEX('Input Transaksi'!$A:$A,$E518))</f>
        <v/>
      </c>
      <c r="B518" s="5">
        <f>IF($E518="","",INDEX('Input Transaksi'!$D:$D,$E518))</f>
        <v/>
      </c>
      <c r="C518">
        <f>IF($E518="","",INDEX('Input Transaksi'!$E:$E,$E518))</f>
        <v/>
      </c>
      <c r="D518" s="5">
        <f>IF($E518="","",INDEX('Input Transaksi'!$F:$F,$E518))</f>
        <v/>
      </c>
      <c r="E518">
        <f>IFERROR(AGGREGATE(15,6,ROW('Input Transaksi'!$B$5:$B$5000)/('Input Transaksi'!$B$5:$B$5000="JCL NUSA KAMBANGAN"),ROWS($E$5:E518)),"")</f>
        <v/>
      </c>
      <c r="F518" s="5" t="n"/>
    </row>
    <row r="519">
      <c r="A519" s="10">
        <f>IF($E519="","",INDEX('Input Transaksi'!$A:$A,$E519))</f>
        <v/>
      </c>
      <c r="B519" s="5">
        <f>IF($E519="","",INDEX('Input Transaksi'!$D:$D,$E519))</f>
        <v/>
      </c>
      <c r="C519">
        <f>IF($E519="","",INDEX('Input Transaksi'!$E:$E,$E519))</f>
        <v/>
      </c>
      <c r="D519" s="5">
        <f>IF($E519="","",INDEX('Input Transaksi'!$F:$F,$E519))</f>
        <v/>
      </c>
      <c r="E519">
        <f>IFERROR(AGGREGATE(15,6,ROW('Input Transaksi'!$B$5:$B$5000)/('Input Transaksi'!$B$5:$B$5000="JCL NUSA KAMBANGAN"),ROWS($E$5:E519)),"")</f>
        <v/>
      </c>
      <c r="F519" s="5" t="n"/>
    </row>
    <row r="520">
      <c r="A520" s="10">
        <f>IF($E520="","",INDEX('Input Transaksi'!$A:$A,$E520))</f>
        <v/>
      </c>
      <c r="B520" s="5">
        <f>IF($E520="","",INDEX('Input Transaksi'!$D:$D,$E520))</f>
        <v/>
      </c>
      <c r="C520">
        <f>IF($E520="","",INDEX('Input Transaksi'!$E:$E,$E520))</f>
        <v/>
      </c>
      <c r="D520" s="5">
        <f>IF($E520="","",INDEX('Input Transaksi'!$F:$F,$E520))</f>
        <v/>
      </c>
      <c r="E520">
        <f>IFERROR(AGGREGATE(15,6,ROW('Input Transaksi'!$B$5:$B$5000)/('Input Transaksi'!$B$5:$B$5000="JCL NUSA KAMBANGAN"),ROWS($E$5:E520)),"")</f>
        <v/>
      </c>
      <c r="F520" s="5" t="n"/>
    </row>
    <row r="521">
      <c r="A521" s="10">
        <f>IF($E521="","",INDEX('Input Transaksi'!$A:$A,$E521))</f>
        <v/>
      </c>
      <c r="B521" s="5">
        <f>IF($E521="","",INDEX('Input Transaksi'!$D:$D,$E521))</f>
        <v/>
      </c>
      <c r="C521">
        <f>IF($E521="","",INDEX('Input Transaksi'!$E:$E,$E521))</f>
        <v/>
      </c>
      <c r="D521" s="5">
        <f>IF($E521="","",INDEX('Input Transaksi'!$F:$F,$E521))</f>
        <v/>
      </c>
      <c r="E521">
        <f>IFERROR(AGGREGATE(15,6,ROW('Input Transaksi'!$B$5:$B$5000)/('Input Transaksi'!$B$5:$B$5000="JCL NUSA KAMBANGAN"),ROWS($E$5:E521)),"")</f>
        <v/>
      </c>
      <c r="F521" s="5" t="n"/>
    </row>
    <row r="522">
      <c r="A522" s="10">
        <f>IF($E522="","",INDEX('Input Transaksi'!$A:$A,$E522))</f>
        <v/>
      </c>
      <c r="B522" s="5">
        <f>IF($E522="","",INDEX('Input Transaksi'!$D:$D,$E522))</f>
        <v/>
      </c>
      <c r="C522">
        <f>IF($E522="","",INDEX('Input Transaksi'!$E:$E,$E522))</f>
        <v/>
      </c>
      <c r="D522" s="5">
        <f>IF($E522="","",INDEX('Input Transaksi'!$F:$F,$E522))</f>
        <v/>
      </c>
      <c r="E522">
        <f>IFERROR(AGGREGATE(15,6,ROW('Input Transaksi'!$B$5:$B$5000)/('Input Transaksi'!$B$5:$B$5000="JCL NUSA KAMBANGAN"),ROWS($E$5:E522)),"")</f>
        <v/>
      </c>
      <c r="F522" s="5" t="n"/>
    </row>
    <row r="523">
      <c r="A523" s="10">
        <f>IF($E523="","",INDEX('Input Transaksi'!$A:$A,$E523))</f>
        <v/>
      </c>
      <c r="B523" s="5">
        <f>IF($E523="","",INDEX('Input Transaksi'!$D:$D,$E523))</f>
        <v/>
      </c>
      <c r="C523">
        <f>IF($E523="","",INDEX('Input Transaksi'!$E:$E,$E523))</f>
        <v/>
      </c>
      <c r="D523" s="5">
        <f>IF($E523="","",INDEX('Input Transaksi'!$F:$F,$E523))</f>
        <v/>
      </c>
      <c r="E523">
        <f>IFERROR(AGGREGATE(15,6,ROW('Input Transaksi'!$B$5:$B$5000)/('Input Transaksi'!$B$5:$B$5000="JCL NUSA KAMBANGAN"),ROWS($E$5:E523)),"")</f>
        <v/>
      </c>
      <c r="F523" s="5" t="n"/>
    </row>
    <row r="524">
      <c r="A524" s="10">
        <f>IF($E524="","",INDEX('Input Transaksi'!$A:$A,$E524))</f>
        <v/>
      </c>
      <c r="B524" s="5">
        <f>IF($E524="","",INDEX('Input Transaksi'!$D:$D,$E524))</f>
        <v/>
      </c>
      <c r="C524">
        <f>IF($E524="","",INDEX('Input Transaksi'!$E:$E,$E524))</f>
        <v/>
      </c>
      <c r="D524" s="5">
        <f>IF($E524="","",INDEX('Input Transaksi'!$F:$F,$E524))</f>
        <v/>
      </c>
      <c r="E524">
        <f>IFERROR(AGGREGATE(15,6,ROW('Input Transaksi'!$B$5:$B$5000)/('Input Transaksi'!$B$5:$B$5000="JCL NUSA KAMBANGAN"),ROWS($E$5:E524)),"")</f>
        <v/>
      </c>
      <c r="F524" s="5" t="n"/>
    </row>
    <row r="525">
      <c r="A525" s="10">
        <f>IF($E525="","",INDEX('Input Transaksi'!$A:$A,$E525))</f>
        <v/>
      </c>
      <c r="B525" s="5">
        <f>IF($E525="","",INDEX('Input Transaksi'!$D:$D,$E525))</f>
        <v/>
      </c>
      <c r="C525">
        <f>IF($E525="","",INDEX('Input Transaksi'!$E:$E,$E525))</f>
        <v/>
      </c>
      <c r="D525" s="5">
        <f>IF($E525="","",INDEX('Input Transaksi'!$F:$F,$E525))</f>
        <v/>
      </c>
      <c r="E525">
        <f>IFERROR(AGGREGATE(15,6,ROW('Input Transaksi'!$B$5:$B$5000)/('Input Transaksi'!$B$5:$B$5000="JCL NUSA KAMBANGAN"),ROWS($E$5:E525)),"")</f>
        <v/>
      </c>
      <c r="F525" s="5" t="n"/>
    </row>
    <row r="526">
      <c r="A526" s="10">
        <f>IF($E526="","",INDEX('Input Transaksi'!$A:$A,$E526))</f>
        <v/>
      </c>
      <c r="B526" s="5">
        <f>IF($E526="","",INDEX('Input Transaksi'!$D:$D,$E526))</f>
        <v/>
      </c>
      <c r="C526">
        <f>IF($E526="","",INDEX('Input Transaksi'!$E:$E,$E526))</f>
        <v/>
      </c>
      <c r="D526" s="5">
        <f>IF($E526="","",INDEX('Input Transaksi'!$F:$F,$E526))</f>
        <v/>
      </c>
      <c r="E526">
        <f>IFERROR(AGGREGATE(15,6,ROW('Input Transaksi'!$B$5:$B$5000)/('Input Transaksi'!$B$5:$B$5000="JCL NUSA KAMBANGAN"),ROWS($E$5:E526)),"")</f>
        <v/>
      </c>
      <c r="F526" s="5" t="n"/>
    </row>
    <row r="527">
      <c r="A527" s="10">
        <f>IF($E527="","",INDEX('Input Transaksi'!$A:$A,$E527))</f>
        <v/>
      </c>
      <c r="B527" s="5">
        <f>IF($E527="","",INDEX('Input Transaksi'!$D:$D,$E527))</f>
        <v/>
      </c>
      <c r="C527">
        <f>IF($E527="","",INDEX('Input Transaksi'!$E:$E,$E527))</f>
        <v/>
      </c>
      <c r="D527" s="5">
        <f>IF($E527="","",INDEX('Input Transaksi'!$F:$F,$E527))</f>
        <v/>
      </c>
      <c r="E527">
        <f>IFERROR(AGGREGATE(15,6,ROW('Input Transaksi'!$B$5:$B$5000)/('Input Transaksi'!$B$5:$B$5000="JCL NUSA KAMBANGAN"),ROWS($E$5:E527)),"")</f>
        <v/>
      </c>
      <c r="F527" s="5" t="n"/>
    </row>
    <row r="528">
      <c r="A528" s="10">
        <f>IF($E528="","",INDEX('Input Transaksi'!$A:$A,$E528))</f>
        <v/>
      </c>
      <c r="B528" s="5">
        <f>IF($E528="","",INDEX('Input Transaksi'!$D:$D,$E528))</f>
        <v/>
      </c>
      <c r="C528">
        <f>IF($E528="","",INDEX('Input Transaksi'!$E:$E,$E528))</f>
        <v/>
      </c>
      <c r="D528" s="5">
        <f>IF($E528="","",INDEX('Input Transaksi'!$F:$F,$E528))</f>
        <v/>
      </c>
      <c r="E528">
        <f>IFERROR(AGGREGATE(15,6,ROW('Input Transaksi'!$B$5:$B$5000)/('Input Transaksi'!$B$5:$B$5000="JCL NUSA KAMBANGAN"),ROWS($E$5:E528)),"")</f>
        <v/>
      </c>
      <c r="F528" s="5" t="n"/>
    </row>
    <row r="529">
      <c r="A529" s="10">
        <f>IF($E529="","",INDEX('Input Transaksi'!$A:$A,$E529))</f>
        <v/>
      </c>
      <c r="B529" s="5">
        <f>IF($E529="","",INDEX('Input Transaksi'!$D:$D,$E529))</f>
        <v/>
      </c>
      <c r="C529">
        <f>IF($E529="","",INDEX('Input Transaksi'!$E:$E,$E529))</f>
        <v/>
      </c>
      <c r="D529" s="5">
        <f>IF($E529="","",INDEX('Input Transaksi'!$F:$F,$E529))</f>
        <v/>
      </c>
      <c r="E529">
        <f>IFERROR(AGGREGATE(15,6,ROW('Input Transaksi'!$B$5:$B$5000)/('Input Transaksi'!$B$5:$B$5000="JCL NUSA KAMBANGAN"),ROWS($E$5:E529)),"")</f>
        <v/>
      </c>
      <c r="F529" s="5" t="n"/>
    </row>
    <row r="530">
      <c r="A530" s="10">
        <f>IF($E530="","",INDEX('Input Transaksi'!$A:$A,$E530))</f>
        <v/>
      </c>
      <c r="B530" s="5">
        <f>IF($E530="","",INDEX('Input Transaksi'!$D:$D,$E530))</f>
        <v/>
      </c>
      <c r="C530">
        <f>IF($E530="","",INDEX('Input Transaksi'!$E:$E,$E530))</f>
        <v/>
      </c>
      <c r="D530" s="5">
        <f>IF($E530="","",INDEX('Input Transaksi'!$F:$F,$E530))</f>
        <v/>
      </c>
      <c r="E530">
        <f>IFERROR(AGGREGATE(15,6,ROW('Input Transaksi'!$B$5:$B$5000)/('Input Transaksi'!$B$5:$B$5000="JCL NUSA KAMBANGAN"),ROWS($E$5:E530)),"")</f>
        <v/>
      </c>
      <c r="F530" s="5" t="n"/>
    </row>
    <row r="531">
      <c r="A531" s="10">
        <f>IF($E531="","",INDEX('Input Transaksi'!$A:$A,$E531))</f>
        <v/>
      </c>
      <c r="B531" s="5">
        <f>IF($E531="","",INDEX('Input Transaksi'!$D:$D,$E531))</f>
        <v/>
      </c>
      <c r="C531">
        <f>IF($E531="","",INDEX('Input Transaksi'!$E:$E,$E531))</f>
        <v/>
      </c>
      <c r="D531" s="5">
        <f>IF($E531="","",INDEX('Input Transaksi'!$F:$F,$E531))</f>
        <v/>
      </c>
      <c r="E531">
        <f>IFERROR(AGGREGATE(15,6,ROW('Input Transaksi'!$B$5:$B$5000)/('Input Transaksi'!$B$5:$B$5000="JCL NUSA KAMBANGAN"),ROWS($E$5:E531)),"")</f>
        <v/>
      </c>
      <c r="F531" s="5" t="n"/>
    </row>
    <row r="532">
      <c r="A532" s="10">
        <f>IF($E532="","",INDEX('Input Transaksi'!$A:$A,$E532))</f>
        <v/>
      </c>
      <c r="B532" s="5">
        <f>IF($E532="","",INDEX('Input Transaksi'!$D:$D,$E532))</f>
        <v/>
      </c>
      <c r="C532">
        <f>IF($E532="","",INDEX('Input Transaksi'!$E:$E,$E532))</f>
        <v/>
      </c>
      <c r="D532" s="5">
        <f>IF($E532="","",INDEX('Input Transaksi'!$F:$F,$E532))</f>
        <v/>
      </c>
      <c r="E532">
        <f>IFERROR(AGGREGATE(15,6,ROW('Input Transaksi'!$B$5:$B$5000)/('Input Transaksi'!$B$5:$B$5000="JCL NUSA KAMBANGAN"),ROWS($E$5:E532)),"")</f>
        <v/>
      </c>
      <c r="F532" s="5" t="n"/>
    </row>
    <row r="533">
      <c r="A533" s="10">
        <f>IF($E533="","",INDEX('Input Transaksi'!$A:$A,$E533))</f>
        <v/>
      </c>
      <c r="B533" s="5">
        <f>IF($E533="","",INDEX('Input Transaksi'!$D:$D,$E533))</f>
        <v/>
      </c>
      <c r="C533">
        <f>IF($E533="","",INDEX('Input Transaksi'!$E:$E,$E533))</f>
        <v/>
      </c>
      <c r="D533" s="5">
        <f>IF($E533="","",INDEX('Input Transaksi'!$F:$F,$E533))</f>
        <v/>
      </c>
      <c r="E533">
        <f>IFERROR(AGGREGATE(15,6,ROW('Input Transaksi'!$B$5:$B$5000)/('Input Transaksi'!$B$5:$B$5000="JCL NUSA KAMBANGAN"),ROWS($E$5:E533)),"")</f>
        <v/>
      </c>
      <c r="F533" s="5" t="n"/>
    </row>
    <row r="534">
      <c r="A534" s="10">
        <f>IF($E534="","",INDEX('Input Transaksi'!$A:$A,$E534))</f>
        <v/>
      </c>
      <c r="B534" s="5">
        <f>IF($E534="","",INDEX('Input Transaksi'!$D:$D,$E534))</f>
        <v/>
      </c>
      <c r="C534">
        <f>IF($E534="","",INDEX('Input Transaksi'!$E:$E,$E534))</f>
        <v/>
      </c>
      <c r="D534" s="5">
        <f>IF($E534="","",INDEX('Input Transaksi'!$F:$F,$E534))</f>
        <v/>
      </c>
      <c r="E534">
        <f>IFERROR(AGGREGATE(15,6,ROW('Input Transaksi'!$B$5:$B$5000)/('Input Transaksi'!$B$5:$B$5000="JCL NUSA KAMBANGAN"),ROWS($E$5:E534)),"")</f>
        <v/>
      </c>
      <c r="F534" s="5" t="n"/>
    </row>
    <row r="535">
      <c r="A535" s="10">
        <f>IF($E535="","",INDEX('Input Transaksi'!$A:$A,$E535))</f>
        <v/>
      </c>
      <c r="B535" s="5">
        <f>IF($E535="","",INDEX('Input Transaksi'!$D:$D,$E535))</f>
        <v/>
      </c>
      <c r="C535">
        <f>IF($E535="","",INDEX('Input Transaksi'!$E:$E,$E535))</f>
        <v/>
      </c>
      <c r="D535" s="5">
        <f>IF($E535="","",INDEX('Input Transaksi'!$F:$F,$E535))</f>
        <v/>
      </c>
      <c r="E535">
        <f>IFERROR(AGGREGATE(15,6,ROW('Input Transaksi'!$B$5:$B$5000)/('Input Transaksi'!$B$5:$B$5000="JCL NUSA KAMBANGAN"),ROWS($E$5:E535)),"")</f>
        <v/>
      </c>
      <c r="F535" s="5" t="n"/>
    </row>
    <row r="536">
      <c r="A536" s="10">
        <f>IF($E536="","",INDEX('Input Transaksi'!$A:$A,$E536))</f>
        <v/>
      </c>
      <c r="B536" s="5">
        <f>IF($E536="","",INDEX('Input Transaksi'!$D:$D,$E536))</f>
        <v/>
      </c>
      <c r="C536">
        <f>IF($E536="","",INDEX('Input Transaksi'!$E:$E,$E536))</f>
        <v/>
      </c>
      <c r="D536" s="5">
        <f>IF($E536="","",INDEX('Input Transaksi'!$F:$F,$E536))</f>
        <v/>
      </c>
      <c r="E536">
        <f>IFERROR(AGGREGATE(15,6,ROW('Input Transaksi'!$B$5:$B$5000)/('Input Transaksi'!$B$5:$B$5000="JCL NUSA KAMBANGAN"),ROWS($E$5:E536)),"")</f>
        <v/>
      </c>
      <c r="F536" s="5" t="n"/>
    </row>
    <row r="537">
      <c r="A537" s="10">
        <f>IF($E537="","",INDEX('Input Transaksi'!$A:$A,$E537))</f>
        <v/>
      </c>
      <c r="B537" s="5">
        <f>IF($E537="","",INDEX('Input Transaksi'!$D:$D,$E537))</f>
        <v/>
      </c>
      <c r="C537">
        <f>IF($E537="","",INDEX('Input Transaksi'!$E:$E,$E537))</f>
        <v/>
      </c>
      <c r="D537" s="5">
        <f>IF($E537="","",INDEX('Input Transaksi'!$F:$F,$E537))</f>
        <v/>
      </c>
      <c r="E537">
        <f>IFERROR(AGGREGATE(15,6,ROW('Input Transaksi'!$B$5:$B$5000)/('Input Transaksi'!$B$5:$B$5000="JCL NUSA KAMBANGAN"),ROWS($E$5:E537)),"")</f>
        <v/>
      </c>
      <c r="F537" s="5" t="n"/>
    </row>
    <row r="538">
      <c r="A538" s="10">
        <f>IF($E538="","",INDEX('Input Transaksi'!$A:$A,$E538))</f>
        <v/>
      </c>
      <c r="B538" s="5">
        <f>IF($E538="","",INDEX('Input Transaksi'!$D:$D,$E538))</f>
        <v/>
      </c>
      <c r="C538">
        <f>IF($E538="","",INDEX('Input Transaksi'!$E:$E,$E538))</f>
        <v/>
      </c>
      <c r="D538" s="5">
        <f>IF($E538="","",INDEX('Input Transaksi'!$F:$F,$E538))</f>
        <v/>
      </c>
      <c r="E538">
        <f>IFERROR(AGGREGATE(15,6,ROW('Input Transaksi'!$B$5:$B$5000)/('Input Transaksi'!$B$5:$B$5000="JCL NUSA KAMBANGAN"),ROWS($E$5:E538)),"")</f>
        <v/>
      </c>
      <c r="F538" s="5" t="n"/>
    </row>
    <row r="539">
      <c r="A539" s="10">
        <f>IF($E539="","",INDEX('Input Transaksi'!$A:$A,$E539))</f>
        <v/>
      </c>
      <c r="B539" s="5">
        <f>IF($E539="","",INDEX('Input Transaksi'!$D:$D,$E539))</f>
        <v/>
      </c>
      <c r="C539">
        <f>IF($E539="","",INDEX('Input Transaksi'!$E:$E,$E539))</f>
        <v/>
      </c>
      <c r="D539" s="5">
        <f>IF($E539="","",INDEX('Input Transaksi'!$F:$F,$E539))</f>
        <v/>
      </c>
      <c r="E539">
        <f>IFERROR(AGGREGATE(15,6,ROW('Input Transaksi'!$B$5:$B$5000)/('Input Transaksi'!$B$5:$B$5000="JCL NUSA KAMBANGAN"),ROWS($E$5:E539)),"")</f>
        <v/>
      </c>
      <c r="F539" s="5" t="n"/>
    </row>
    <row r="540">
      <c r="A540" s="10">
        <f>IF($E540="","",INDEX('Input Transaksi'!$A:$A,$E540))</f>
        <v/>
      </c>
      <c r="B540" s="5">
        <f>IF($E540="","",INDEX('Input Transaksi'!$D:$D,$E540))</f>
        <v/>
      </c>
      <c r="C540">
        <f>IF($E540="","",INDEX('Input Transaksi'!$E:$E,$E540))</f>
        <v/>
      </c>
      <c r="D540" s="5">
        <f>IF($E540="","",INDEX('Input Transaksi'!$F:$F,$E540))</f>
        <v/>
      </c>
      <c r="E540">
        <f>IFERROR(AGGREGATE(15,6,ROW('Input Transaksi'!$B$5:$B$5000)/('Input Transaksi'!$B$5:$B$5000="JCL NUSA KAMBANGAN"),ROWS($E$5:E540)),"")</f>
        <v/>
      </c>
      <c r="F540" s="5" t="n"/>
    </row>
    <row r="541">
      <c r="A541" s="10">
        <f>IF($E541="","",INDEX('Input Transaksi'!$A:$A,$E541))</f>
        <v/>
      </c>
      <c r="B541" s="5">
        <f>IF($E541="","",INDEX('Input Transaksi'!$D:$D,$E541))</f>
        <v/>
      </c>
      <c r="C541">
        <f>IF($E541="","",INDEX('Input Transaksi'!$E:$E,$E541))</f>
        <v/>
      </c>
      <c r="D541" s="5">
        <f>IF($E541="","",INDEX('Input Transaksi'!$F:$F,$E541))</f>
        <v/>
      </c>
      <c r="E541">
        <f>IFERROR(AGGREGATE(15,6,ROW('Input Transaksi'!$B$5:$B$5000)/('Input Transaksi'!$B$5:$B$5000="JCL NUSA KAMBANGAN"),ROWS($E$5:E541)),"")</f>
        <v/>
      </c>
      <c r="F541" s="5" t="n"/>
    </row>
    <row r="542">
      <c r="A542" s="10">
        <f>IF($E542="","",INDEX('Input Transaksi'!$A:$A,$E542))</f>
        <v/>
      </c>
      <c r="B542" s="5">
        <f>IF($E542="","",INDEX('Input Transaksi'!$D:$D,$E542))</f>
        <v/>
      </c>
      <c r="C542">
        <f>IF($E542="","",INDEX('Input Transaksi'!$E:$E,$E542))</f>
        <v/>
      </c>
      <c r="D542" s="5">
        <f>IF($E542="","",INDEX('Input Transaksi'!$F:$F,$E542))</f>
        <v/>
      </c>
      <c r="E542">
        <f>IFERROR(AGGREGATE(15,6,ROW('Input Transaksi'!$B$5:$B$5000)/('Input Transaksi'!$B$5:$B$5000="JCL NUSA KAMBANGAN"),ROWS($E$5:E542)),"")</f>
        <v/>
      </c>
      <c r="F542" s="5" t="n"/>
    </row>
    <row r="543">
      <c r="A543" s="10">
        <f>IF($E543="","",INDEX('Input Transaksi'!$A:$A,$E543))</f>
        <v/>
      </c>
      <c r="B543" s="5">
        <f>IF($E543="","",INDEX('Input Transaksi'!$D:$D,$E543))</f>
        <v/>
      </c>
      <c r="C543">
        <f>IF($E543="","",INDEX('Input Transaksi'!$E:$E,$E543))</f>
        <v/>
      </c>
      <c r="D543" s="5">
        <f>IF($E543="","",INDEX('Input Transaksi'!$F:$F,$E543))</f>
        <v/>
      </c>
      <c r="E543">
        <f>IFERROR(AGGREGATE(15,6,ROW('Input Transaksi'!$B$5:$B$5000)/('Input Transaksi'!$B$5:$B$5000="JCL NUSA KAMBANGAN"),ROWS($E$5:E543)),"")</f>
        <v/>
      </c>
      <c r="F543" s="5" t="n"/>
    </row>
    <row r="544">
      <c r="A544" s="10">
        <f>IF($E544="","",INDEX('Input Transaksi'!$A:$A,$E544))</f>
        <v/>
      </c>
      <c r="B544" s="5">
        <f>IF($E544="","",INDEX('Input Transaksi'!$D:$D,$E544))</f>
        <v/>
      </c>
      <c r="C544">
        <f>IF($E544="","",INDEX('Input Transaksi'!$E:$E,$E544))</f>
        <v/>
      </c>
      <c r="D544" s="5">
        <f>IF($E544="","",INDEX('Input Transaksi'!$F:$F,$E544))</f>
        <v/>
      </c>
      <c r="E544">
        <f>IFERROR(AGGREGATE(15,6,ROW('Input Transaksi'!$B$5:$B$5000)/('Input Transaksi'!$B$5:$B$5000="JCL NUSA KAMBANGAN"),ROWS($E$5:E544)),"")</f>
        <v/>
      </c>
      <c r="F544" s="5" t="n"/>
    </row>
    <row r="545">
      <c r="A545" s="10">
        <f>IF($E545="","",INDEX('Input Transaksi'!$A:$A,$E545))</f>
        <v/>
      </c>
      <c r="B545" s="5">
        <f>IF($E545="","",INDEX('Input Transaksi'!$D:$D,$E545))</f>
        <v/>
      </c>
      <c r="C545">
        <f>IF($E545="","",INDEX('Input Transaksi'!$E:$E,$E545))</f>
        <v/>
      </c>
      <c r="D545" s="5">
        <f>IF($E545="","",INDEX('Input Transaksi'!$F:$F,$E545))</f>
        <v/>
      </c>
      <c r="E545">
        <f>IFERROR(AGGREGATE(15,6,ROW('Input Transaksi'!$B$5:$B$5000)/('Input Transaksi'!$B$5:$B$5000="JCL NUSA KAMBANGAN"),ROWS($E$5:E545)),"")</f>
        <v/>
      </c>
      <c r="F545" s="5" t="n"/>
    </row>
    <row r="546">
      <c r="A546" s="10">
        <f>IF($E546="","",INDEX('Input Transaksi'!$A:$A,$E546))</f>
        <v/>
      </c>
      <c r="B546" s="5">
        <f>IF($E546="","",INDEX('Input Transaksi'!$D:$D,$E546))</f>
        <v/>
      </c>
      <c r="C546">
        <f>IF($E546="","",INDEX('Input Transaksi'!$E:$E,$E546))</f>
        <v/>
      </c>
      <c r="D546" s="5">
        <f>IF($E546="","",INDEX('Input Transaksi'!$F:$F,$E546))</f>
        <v/>
      </c>
      <c r="E546">
        <f>IFERROR(AGGREGATE(15,6,ROW('Input Transaksi'!$B$5:$B$5000)/('Input Transaksi'!$B$5:$B$5000="JCL NUSA KAMBANGAN"),ROWS($E$5:E546)),"")</f>
        <v/>
      </c>
      <c r="F546" s="5" t="n"/>
    </row>
    <row r="547">
      <c r="A547" s="10">
        <f>IF($E547="","",INDEX('Input Transaksi'!$A:$A,$E547))</f>
        <v/>
      </c>
      <c r="B547" s="5">
        <f>IF($E547="","",INDEX('Input Transaksi'!$D:$D,$E547))</f>
        <v/>
      </c>
      <c r="C547">
        <f>IF($E547="","",INDEX('Input Transaksi'!$E:$E,$E547))</f>
        <v/>
      </c>
      <c r="D547" s="5">
        <f>IF($E547="","",INDEX('Input Transaksi'!$F:$F,$E547))</f>
        <v/>
      </c>
      <c r="E547">
        <f>IFERROR(AGGREGATE(15,6,ROW('Input Transaksi'!$B$5:$B$5000)/('Input Transaksi'!$B$5:$B$5000="JCL NUSA KAMBANGAN"),ROWS($E$5:E547)),"")</f>
        <v/>
      </c>
      <c r="F547" s="5" t="n"/>
    </row>
    <row r="548">
      <c r="A548" s="10">
        <f>IF($E548="","",INDEX('Input Transaksi'!$A:$A,$E548))</f>
        <v/>
      </c>
      <c r="B548" s="5">
        <f>IF($E548="","",INDEX('Input Transaksi'!$D:$D,$E548))</f>
        <v/>
      </c>
      <c r="C548">
        <f>IF($E548="","",INDEX('Input Transaksi'!$E:$E,$E548))</f>
        <v/>
      </c>
      <c r="D548" s="5">
        <f>IF($E548="","",INDEX('Input Transaksi'!$F:$F,$E548))</f>
        <v/>
      </c>
      <c r="E548">
        <f>IFERROR(AGGREGATE(15,6,ROW('Input Transaksi'!$B$5:$B$5000)/('Input Transaksi'!$B$5:$B$5000="JCL NUSA KAMBANGAN"),ROWS($E$5:E548)),"")</f>
        <v/>
      </c>
      <c r="F548" s="5" t="n"/>
    </row>
    <row r="549">
      <c r="A549" s="10">
        <f>IF($E549="","",INDEX('Input Transaksi'!$A:$A,$E549))</f>
        <v/>
      </c>
      <c r="B549" s="5">
        <f>IF($E549="","",INDEX('Input Transaksi'!$D:$D,$E549))</f>
        <v/>
      </c>
      <c r="C549">
        <f>IF($E549="","",INDEX('Input Transaksi'!$E:$E,$E549))</f>
        <v/>
      </c>
      <c r="D549" s="5">
        <f>IF($E549="","",INDEX('Input Transaksi'!$F:$F,$E549))</f>
        <v/>
      </c>
      <c r="E549">
        <f>IFERROR(AGGREGATE(15,6,ROW('Input Transaksi'!$B$5:$B$5000)/('Input Transaksi'!$B$5:$B$5000="JCL NUSA KAMBANGAN"),ROWS($E$5:E549)),"")</f>
        <v/>
      </c>
      <c r="F549" s="5" t="n"/>
    </row>
    <row r="550">
      <c r="A550" s="10">
        <f>IF($E550="","",INDEX('Input Transaksi'!$A:$A,$E550))</f>
        <v/>
      </c>
      <c r="B550" s="5">
        <f>IF($E550="","",INDEX('Input Transaksi'!$D:$D,$E550))</f>
        <v/>
      </c>
      <c r="C550">
        <f>IF($E550="","",INDEX('Input Transaksi'!$E:$E,$E550))</f>
        <v/>
      </c>
      <c r="D550" s="5">
        <f>IF($E550="","",INDEX('Input Transaksi'!$F:$F,$E550))</f>
        <v/>
      </c>
      <c r="E550">
        <f>IFERROR(AGGREGATE(15,6,ROW('Input Transaksi'!$B$5:$B$5000)/('Input Transaksi'!$B$5:$B$5000="JCL NUSA KAMBANGAN"),ROWS($E$5:E550)),"")</f>
        <v/>
      </c>
      <c r="F550" s="5" t="n"/>
    </row>
    <row r="551">
      <c r="A551" s="10">
        <f>IF($E551="","",INDEX('Input Transaksi'!$A:$A,$E551))</f>
        <v/>
      </c>
      <c r="B551" s="5">
        <f>IF($E551="","",INDEX('Input Transaksi'!$D:$D,$E551))</f>
        <v/>
      </c>
      <c r="C551">
        <f>IF($E551="","",INDEX('Input Transaksi'!$E:$E,$E551))</f>
        <v/>
      </c>
      <c r="D551" s="5">
        <f>IF($E551="","",INDEX('Input Transaksi'!$F:$F,$E551))</f>
        <v/>
      </c>
      <c r="E551">
        <f>IFERROR(AGGREGATE(15,6,ROW('Input Transaksi'!$B$5:$B$5000)/('Input Transaksi'!$B$5:$B$5000="JCL NUSA KAMBANGAN"),ROWS($E$5:E551)),"")</f>
        <v/>
      </c>
      <c r="F551" s="5" t="n"/>
    </row>
    <row r="552">
      <c r="A552" s="10">
        <f>IF($E552="","",INDEX('Input Transaksi'!$A:$A,$E552))</f>
        <v/>
      </c>
      <c r="B552" s="5">
        <f>IF($E552="","",INDEX('Input Transaksi'!$D:$D,$E552))</f>
        <v/>
      </c>
      <c r="C552">
        <f>IF($E552="","",INDEX('Input Transaksi'!$E:$E,$E552))</f>
        <v/>
      </c>
      <c r="D552" s="5">
        <f>IF($E552="","",INDEX('Input Transaksi'!$F:$F,$E552))</f>
        <v/>
      </c>
      <c r="E552">
        <f>IFERROR(AGGREGATE(15,6,ROW('Input Transaksi'!$B$5:$B$5000)/('Input Transaksi'!$B$5:$B$5000="JCL NUSA KAMBANGAN"),ROWS($E$5:E552)),"")</f>
        <v/>
      </c>
      <c r="F552" s="5" t="n"/>
    </row>
    <row r="553">
      <c r="A553" s="10">
        <f>IF($E553="","",INDEX('Input Transaksi'!$A:$A,$E553))</f>
        <v/>
      </c>
      <c r="B553" s="5">
        <f>IF($E553="","",INDEX('Input Transaksi'!$D:$D,$E553))</f>
        <v/>
      </c>
      <c r="C553">
        <f>IF($E553="","",INDEX('Input Transaksi'!$E:$E,$E553))</f>
        <v/>
      </c>
      <c r="D553" s="5">
        <f>IF($E553="","",INDEX('Input Transaksi'!$F:$F,$E553))</f>
        <v/>
      </c>
      <c r="E553">
        <f>IFERROR(AGGREGATE(15,6,ROW('Input Transaksi'!$B$5:$B$5000)/('Input Transaksi'!$B$5:$B$5000="JCL NUSA KAMBANGAN"),ROWS($E$5:E553)),"")</f>
        <v/>
      </c>
      <c r="F553" s="5" t="n"/>
    </row>
    <row r="554">
      <c r="A554" s="10">
        <f>IF($E554="","",INDEX('Input Transaksi'!$A:$A,$E554))</f>
        <v/>
      </c>
      <c r="B554" s="5">
        <f>IF($E554="","",INDEX('Input Transaksi'!$D:$D,$E554))</f>
        <v/>
      </c>
      <c r="C554">
        <f>IF($E554="","",INDEX('Input Transaksi'!$E:$E,$E554))</f>
        <v/>
      </c>
      <c r="D554" s="5">
        <f>IF($E554="","",INDEX('Input Transaksi'!$F:$F,$E554))</f>
        <v/>
      </c>
      <c r="E554">
        <f>IFERROR(AGGREGATE(15,6,ROW('Input Transaksi'!$B$5:$B$5000)/('Input Transaksi'!$B$5:$B$5000="JCL NUSA KAMBANGAN"),ROWS($E$5:E554)),"")</f>
        <v/>
      </c>
      <c r="F554" s="5" t="n"/>
    </row>
    <row r="555">
      <c r="A555" s="10">
        <f>IF($E555="","",INDEX('Input Transaksi'!$A:$A,$E555))</f>
        <v/>
      </c>
      <c r="B555" s="5">
        <f>IF($E555="","",INDEX('Input Transaksi'!$D:$D,$E555))</f>
        <v/>
      </c>
      <c r="C555">
        <f>IF($E555="","",INDEX('Input Transaksi'!$E:$E,$E555))</f>
        <v/>
      </c>
      <c r="D555" s="5">
        <f>IF($E555="","",INDEX('Input Transaksi'!$F:$F,$E555))</f>
        <v/>
      </c>
      <c r="E555">
        <f>IFERROR(AGGREGATE(15,6,ROW('Input Transaksi'!$B$5:$B$5000)/('Input Transaksi'!$B$5:$B$5000="JCL NUSA KAMBANGAN"),ROWS($E$5:E555)),"")</f>
        <v/>
      </c>
      <c r="F555" s="5" t="n"/>
    </row>
    <row r="556">
      <c r="A556" s="10">
        <f>IF($E556="","",INDEX('Input Transaksi'!$A:$A,$E556))</f>
        <v/>
      </c>
      <c r="B556" s="5">
        <f>IF($E556="","",INDEX('Input Transaksi'!$D:$D,$E556))</f>
        <v/>
      </c>
      <c r="C556">
        <f>IF($E556="","",INDEX('Input Transaksi'!$E:$E,$E556))</f>
        <v/>
      </c>
      <c r="D556" s="5">
        <f>IF($E556="","",INDEX('Input Transaksi'!$F:$F,$E556))</f>
        <v/>
      </c>
      <c r="E556">
        <f>IFERROR(AGGREGATE(15,6,ROW('Input Transaksi'!$B$5:$B$5000)/('Input Transaksi'!$B$5:$B$5000="JCL NUSA KAMBANGAN"),ROWS($E$5:E556)),"")</f>
        <v/>
      </c>
      <c r="F556" s="5" t="n"/>
    </row>
    <row r="557">
      <c r="A557" s="10">
        <f>IF($E557="","",INDEX('Input Transaksi'!$A:$A,$E557))</f>
        <v/>
      </c>
      <c r="B557" s="5">
        <f>IF($E557="","",INDEX('Input Transaksi'!$D:$D,$E557))</f>
        <v/>
      </c>
      <c r="C557">
        <f>IF($E557="","",INDEX('Input Transaksi'!$E:$E,$E557))</f>
        <v/>
      </c>
      <c r="D557" s="5">
        <f>IF($E557="","",INDEX('Input Transaksi'!$F:$F,$E557))</f>
        <v/>
      </c>
      <c r="E557">
        <f>IFERROR(AGGREGATE(15,6,ROW('Input Transaksi'!$B$5:$B$5000)/('Input Transaksi'!$B$5:$B$5000="JCL NUSA KAMBANGAN"),ROWS($E$5:E557)),"")</f>
        <v/>
      </c>
      <c r="F557" s="5" t="n"/>
    </row>
    <row r="558">
      <c r="A558" s="10">
        <f>IF($E558="","",INDEX('Input Transaksi'!$A:$A,$E558))</f>
        <v/>
      </c>
      <c r="B558" s="5">
        <f>IF($E558="","",INDEX('Input Transaksi'!$D:$D,$E558))</f>
        <v/>
      </c>
      <c r="C558">
        <f>IF($E558="","",INDEX('Input Transaksi'!$E:$E,$E558))</f>
        <v/>
      </c>
      <c r="D558" s="5">
        <f>IF($E558="","",INDEX('Input Transaksi'!$F:$F,$E558))</f>
        <v/>
      </c>
      <c r="E558">
        <f>IFERROR(AGGREGATE(15,6,ROW('Input Transaksi'!$B$5:$B$5000)/('Input Transaksi'!$B$5:$B$5000="JCL NUSA KAMBANGAN"),ROWS($E$5:E558)),"")</f>
        <v/>
      </c>
      <c r="F558" s="5" t="n"/>
    </row>
    <row r="559">
      <c r="A559" s="10">
        <f>IF($E559="","",INDEX('Input Transaksi'!$A:$A,$E559))</f>
        <v/>
      </c>
      <c r="B559" s="5">
        <f>IF($E559="","",INDEX('Input Transaksi'!$D:$D,$E559))</f>
        <v/>
      </c>
      <c r="C559">
        <f>IF($E559="","",INDEX('Input Transaksi'!$E:$E,$E559))</f>
        <v/>
      </c>
      <c r="D559" s="5">
        <f>IF($E559="","",INDEX('Input Transaksi'!$F:$F,$E559))</f>
        <v/>
      </c>
      <c r="E559">
        <f>IFERROR(AGGREGATE(15,6,ROW('Input Transaksi'!$B$5:$B$5000)/('Input Transaksi'!$B$5:$B$5000="JCL NUSA KAMBANGAN"),ROWS($E$5:E559)),"")</f>
        <v/>
      </c>
      <c r="F559" s="5" t="n"/>
    </row>
    <row r="560">
      <c r="A560" s="10">
        <f>IF($E560="","",INDEX('Input Transaksi'!$A:$A,$E560))</f>
        <v/>
      </c>
      <c r="B560" s="5">
        <f>IF($E560="","",INDEX('Input Transaksi'!$D:$D,$E560))</f>
        <v/>
      </c>
      <c r="C560">
        <f>IF($E560="","",INDEX('Input Transaksi'!$E:$E,$E560))</f>
        <v/>
      </c>
      <c r="D560" s="5">
        <f>IF($E560="","",INDEX('Input Transaksi'!$F:$F,$E560))</f>
        <v/>
      </c>
      <c r="E560">
        <f>IFERROR(AGGREGATE(15,6,ROW('Input Transaksi'!$B$5:$B$5000)/('Input Transaksi'!$B$5:$B$5000="JCL NUSA KAMBANGAN"),ROWS($E$5:E560)),"")</f>
        <v/>
      </c>
      <c r="F560" s="5" t="n"/>
    </row>
    <row r="561">
      <c r="A561" s="10">
        <f>IF($E561="","",INDEX('Input Transaksi'!$A:$A,$E561))</f>
        <v/>
      </c>
      <c r="B561" s="5">
        <f>IF($E561="","",INDEX('Input Transaksi'!$D:$D,$E561))</f>
        <v/>
      </c>
      <c r="C561">
        <f>IF($E561="","",INDEX('Input Transaksi'!$E:$E,$E561))</f>
        <v/>
      </c>
      <c r="D561" s="5">
        <f>IF($E561="","",INDEX('Input Transaksi'!$F:$F,$E561))</f>
        <v/>
      </c>
      <c r="E561">
        <f>IFERROR(AGGREGATE(15,6,ROW('Input Transaksi'!$B$5:$B$5000)/('Input Transaksi'!$B$5:$B$5000="JCL NUSA KAMBANGAN"),ROWS($E$5:E561)),"")</f>
        <v/>
      </c>
      <c r="F561" s="5" t="n"/>
    </row>
    <row r="562">
      <c r="A562" s="10">
        <f>IF($E562="","",INDEX('Input Transaksi'!$A:$A,$E562))</f>
        <v/>
      </c>
      <c r="B562" s="5">
        <f>IF($E562="","",INDEX('Input Transaksi'!$D:$D,$E562))</f>
        <v/>
      </c>
      <c r="C562">
        <f>IF($E562="","",INDEX('Input Transaksi'!$E:$E,$E562))</f>
        <v/>
      </c>
      <c r="D562" s="5">
        <f>IF($E562="","",INDEX('Input Transaksi'!$F:$F,$E562))</f>
        <v/>
      </c>
      <c r="E562">
        <f>IFERROR(AGGREGATE(15,6,ROW('Input Transaksi'!$B$5:$B$5000)/('Input Transaksi'!$B$5:$B$5000="JCL NUSA KAMBANGAN"),ROWS($E$5:E562)),"")</f>
        <v/>
      </c>
      <c r="F562" s="5" t="n"/>
    </row>
    <row r="563">
      <c r="A563" s="10">
        <f>IF($E563="","",INDEX('Input Transaksi'!$A:$A,$E563))</f>
        <v/>
      </c>
      <c r="B563" s="5">
        <f>IF($E563="","",INDEX('Input Transaksi'!$D:$D,$E563))</f>
        <v/>
      </c>
      <c r="C563">
        <f>IF($E563="","",INDEX('Input Transaksi'!$E:$E,$E563))</f>
        <v/>
      </c>
      <c r="D563" s="5">
        <f>IF($E563="","",INDEX('Input Transaksi'!$F:$F,$E563))</f>
        <v/>
      </c>
      <c r="E563">
        <f>IFERROR(AGGREGATE(15,6,ROW('Input Transaksi'!$B$5:$B$5000)/('Input Transaksi'!$B$5:$B$5000="JCL NUSA KAMBANGAN"),ROWS($E$5:E563)),"")</f>
        <v/>
      </c>
      <c r="F563" s="5" t="n"/>
    </row>
    <row r="564">
      <c r="A564" s="10">
        <f>IF($E564="","",INDEX('Input Transaksi'!$A:$A,$E564))</f>
        <v/>
      </c>
      <c r="B564" s="5">
        <f>IF($E564="","",INDEX('Input Transaksi'!$D:$D,$E564))</f>
        <v/>
      </c>
      <c r="C564">
        <f>IF($E564="","",INDEX('Input Transaksi'!$E:$E,$E564))</f>
        <v/>
      </c>
      <c r="D564" s="5">
        <f>IF($E564="","",INDEX('Input Transaksi'!$F:$F,$E564))</f>
        <v/>
      </c>
      <c r="E564">
        <f>IFERROR(AGGREGATE(15,6,ROW('Input Transaksi'!$B$5:$B$5000)/('Input Transaksi'!$B$5:$B$5000="JCL NUSA KAMBANGAN"),ROWS($E$5:E564)),"")</f>
        <v/>
      </c>
      <c r="F564" s="5" t="n"/>
    </row>
    <row r="565">
      <c r="A565" s="10">
        <f>IF($E565="","",INDEX('Input Transaksi'!$A:$A,$E565))</f>
        <v/>
      </c>
      <c r="B565" s="5">
        <f>IF($E565="","",INDEX('Input Transaksi'!$D:$D,$E565))</f>
        <v/>
      </c>
      <c r="C565">
        <f>IF($E565="","",INDEX('Input Transaksi'!$E:$E,$E565))</f>
        <v/>
      </c>
      <c r="D565" s="5">
        <f>IF($E565="","",INDEX('Input Transaksi'!$F:$F,$E565))</f>
        <v/>
      </c>
      <c r="E565">
        <f>IFERROR(AGGREGATE(15,6,ROW('Input Transaksi'!$B$5:$B$5000)/('Input Transaksi'!$B$5:$B$5000="JCL NUSA KAMBANGAN"),ROWS($E$5:E565)),"")</f>
        <v/>
      </c>
      <c r="F565" s="5" t="n"/>
    </row>
    <row r="566">
      <c r="A566" s="10">
        <f>IF($E566="","",INDEX('Input Transaksi'!$A:$A,$E566))</f>
        <v/>
      </c>
      <c r="B566" s="5">
        <f>IF($E566="","",INDEX('Input Transaksi'!$D:$D,$E566))</f>
        <v/>
      </c>
      <c r="C566">
        <f>IF($E566="","",INDEX('Input Transaksi'!$E:$E,$E566))</f>
        <v/>
      </c>
      <c r="D566" s="5">
        <f>IF($E566="","",INDEX('Input Transaksi'!$F:$F,$E566))</f>
        <v/>
      </c>
      <c r="E566">
        <f>IFERROR(AGGREGATE(15,6,ROW('Input Transaksi'!$B$5:$B$5000)/('Input Transaksi'!$B$5:$B$5000="JCL NUSA KAMBANGAN"),ROWS($E$5:E566)),"")</f>
        <v/>
      </c>
      <c r="F566" s="5" t="n"/>
    </row>
    <row r="567">
      <c r="A567" s="10">
        <f>IF($E567="","",INDEX('Input Transaksi'!$A:$A,$E567))</f>
        <v/>
      </c>
      <c r="B567" s="5">
        <f>IF($E567="","",INDEX('Input Transaksi'!$D:$D,$E567))</f>
        <v/>
      </c>
      <c r="C567">
        <f>IF($E567="","",INDEX('Input Transaksi'!$E:$E,$E567))</f>
        <v/>
      </c>
      <c r="D567" s="5">
        <f>IF($E567="","",INDEX('Input Transaksi'!$F:$F,$E567))</f>
        <v/>
      </c>
      <c r="E567">
        <f>IFERROR(AGGREGATE(15,6,ROW('Input Transaksi'!$B$5:$B$5000)/('Input Transaksi'!$B$5:$B$5000="JCL NUSA KAMBANGAN"),ROWS($E$5:E567)),"")</f>
        <v/>
      </c>
      <c r="F567" s="5" t="n"/>
    </row>
    <row r="568">
      <c r="A568" s="10">
        <f>IF($E568="","",INDEX('Input Transaksi'!$A:$A,$E568))</f>
        <v/>
      </c>
      <c r="B568" s="5">
        <f>IF($E568="","",INDEX('Input Transaksi'!$D:$D,$E568))</f>
        <v/>
      </c>
      <c r="C568">
        <f>IF($E568="","",INDEX('Input Transaksi'!$E:$E,$E568))</f>
        <v/>
      </c>
      <c r="D568" s="5">
        <f>IF($E568="","",INDEX('Input Transaksi'!$F:$F,$E568))</f>
        <v/>
      </c>
      <c r="E568">
        <f>IFERROR(AGGREGATE(15,6,ROW('Input Transaksi'!$B$5:$B$5000)/('Input Transaksi'!$B$5:$B$5000="JCL NUSA KAMBANGAN"),ROWS($E$5:E568)),"")</f>
        <v/>
      </c>
      <c r="F568" s="5" t="n"/>
    </row>
    <row r="569">
      <c r="A569" s="10">
        <f>IF($E569="","",INDEX('Input Transaksi'!$A:$A,$E569))</f>
        <v/>
      </c>
      <c r="B569" s="5">
        <f>IF($E569="","",INDEX('Input Transaksi'!$D:$D,$E569))</f>
        <v/>
      </c>
      <c r="C569">
        <f>IF($E569="","",INDEX('Input Transaksi'!$E:$E,$E569))</f>
        <v/>
      </c>
      <c r="D569" s="5">
        <f>IF($E569="","",INDEX('Input Transaksi'!$F:$F,$E569))</f>
        <v/>
      </c>
      <c r="E569">
        <f>IFERROR(AGGREGATE(15,6,ROW('Input Transaksi'!$B$5:$B$5000)/('Input Transaksi'!$B$5:$B$5000="JCL NUSA KAMBANGAN"),ROWS($E$5:E569)),"")</f>
        <v/>
      </c>
      <c r="F569" s="5" t="n"/>
    </row>
    <row r="570">
      <c r="A570" s="10">
        <f>IF($E570="","",INDEX('Input Transaksi'!$A:$A,$E570))</f>
        <v/>
      </c>
      <c r="B570" s="5">
        <f>IF($E570="","",INDEX('Input Transaksi'!$D:$D,$E570))</f>
        <v/>
      </c>
      <c r="C570">
        <f>IF($E570="","",INDEX('Input Transaksi'!$E:$E,$E570))</f>
        <v/>
      </c>
      <c r="D570" s="5">
        <f>IF($E570="","",INDEX('Input Transaksi'!$F:$F,$E570))</f>
        <v/>
      </c>
      <c r="E570">
        <f>IFERROR(AGGREGATE(15,6,ROW('Input Transaksi'!$B$5:$B$5000)/('Input Transaksi'!$B$5:$B$5000="JCL NUSA KAMBANGAN"),ROWS($E$5:E570)),"")</f>
        <v/>
      </c>
      <c r="F570" s="5" t="n"/>
    </row>
    <row r="571">
      <c r="A571" s="10">
        <f>IF($E571="","",INDEX('Input Transaksi'!$A:$A,$E571))</f>
        <v/>
      </c>
      <c r="B571" s="5">
        <f>IF($E571="","",INDEX('Input Transaksi'!$D:$D,$E571))</f>
        <v/>
      </c>
      <c r="C571">
        <f>IF($E571="","",INDEX('Input Transaksi'!$E:$E,$E571))</f>
        <v/>
      </c>
      <c r="D571" s="5">
        <f>IF($E571="","",INDEX('Input Transaksi'!$F:$F,$E571))</f>
        <v/>
      </c>
      <c r="E571">
        <f>IFERROR(AGGREGATE(15,6,ROW('Input Transaksi'!$B$5:$B$5000)/('Input Transaksi'!$B$5:$B$5000="JCL NUSA KAMBANGAN"),ROWS($E$5:E571)),"")</f>
        <v/>
      </c>
      <c r="F571" s="5" t="n"/>
    </row>
    <row r="572">
      <c r="A572" s="10">
        <f>IF($E572="","",INDEX('Input Transaksi'!$A:$A,$E572))</f>
        <v/>
      </c>
      <c r="B572" s="5">
        <f>IF($E572="","",INDEX('Input Transaksi'!$D:$D,$E572))</f>
        <v/>
      </c>
      <c r="C572">
        <f>IF($E572="","",INDEX('Input Transaksi'!$E:$E,$E572))</f>
        <v/>
      </c>
      <c r="D572" s="5">
        <f>IF($E572="","",INDEX('Input Transaksi'!$F:$F,$E572))</f>
        <v/>
      </c>
      <c r="E572">
        <f>IFERROR(AGGREGATE(15,6,ROW('Input Transaksi'!$B$5:$B$5000)/('Input Transaksi'!$B$5:$B$5000="JCL NUSA KAMBANGAN"),ROWS($E$5:E572)),"")</f>
        <v/>
      </c>
      <c r="F572" s="5" t="n"/>
    </row>
    <row r="573">
      <c r="A573" s="10">
        <f>IF($E573="","",INDEX('Input Transaksi'!$A:$A,$E573))</f>
        <v/>
      </c>
      <c r="B573" s="5">
        <f>IF($E573="","",INDEX('Input Transaksi'!$D:$D,$E573))</f>
        <v/>
      </c>
      <c r="C573">
        <f>IF($E573="","",INDEX('Input Transaksi'!$E:$E,$E573))</f>
        <v/>
      </c>
      <c r="D573" s="5">
        <f>IF($E573="","",INDEX('Input Transaksi'!$F:$F,$E573))</f>
        <v/>
      </c>
      <c r="E573">
        <f>IFERROR(AGGREGATE(15,6,ROW('Input Transaksi'!$B$5:$B$5000)/('Input Transaksi'!$B$5:$B$5000="JCL NUSA KAMBANGAN"),ROWS($E$5:E573)),"")</f>
        <v/>
      </c>
      <c r="F573" s="5" t="n"/>
    </row>
    <row r="574">
      <c r="A574" s="10">
        <f>IF($E574="","",INDEX('Input Transaksi'!$A:$A,$E574))</f>
        <v/>
      </c>
      <c r="B574" s="5">
        <f>IF($E574="","",INDEX('Input Transaksi'!$D:$D,$E574))</f>
        <v/>
      </c>
      <c r="C574">
        <f>IF($E574="","",INDEX('Input Transaksi'!$E:$E,$E574))</f>
        <v/>
      </c>
      <c r="D574" s="5">
        <f>IF($E574="","",INDEX('Input Transaksi'!$F:$F,$E574))</f>
        <v/>
      </c>
      <c r="E574">
        <f>IFERROR(AGGREGATE(15,6,ROW('Input Transaksi'!$B$5:$B$5000)/('Input Transaksi'!$B$5:$B$5000="JCL NUSA KAMBANGAN"),ROWS($E$5:E574)),"")</f>
        <v/>
      </c>
      <c r="F574" s="5" t="n"/>
    </row>
    <row r="575">
      <c r="A575" s="10">
        <f>IF($E575="","",INDEX('Input Transaksi'!$A:$A,$E575))</f>
        <v/>
      </c>
      <c r="B575" s="5">
        <f>IF($E575="","",INDEX('Input Transaksi'!$D:$D,$E575))</f>
        <v/>
      </c>
      <c r="C575">
        <f>IF($E575="","",INDEX('Input Transaksi'!$E:$E,$E575))</f>
        <v/>
      </c>
      <c r="D575" s="5">
        <f>IF($E575="","",INDEX('Input Transaksi'!$F:$F,$E575))</f>
        <v/>
      </c>
      <c r="E575">
        <f>IFERROR(AGGREGATE(15,6,ROW('Input Transaksi'!$B$5:$B$5000)/('Input Transaksi'!$B$5:$B$5000="JCL NUSA KAMBANGAN"),ROWS($E$5:E575)),"")</f>
        <v/>
      </c>
      <c r="F575" s="5" t="n"/>
    </row>
    <row r="576">
      <c r="A576" s="10">
        <f>IF($E576="","",INDEX('Input Transaksi'!$A:$A,$E576))</f>
        <v/>
      </c>
      <c r="B576" s="5">
        <f>IF($E576="","",INDEX('Input Transaksi'!$D:$D,$E576))</f>
        <v/>
      </c>
      <c r="C576">
        <f>IF($E576="","",INDEX('Input Transaksi'!$E:$E,$E576))</f>
        <v/>
      </c>
      <c r="D576" s="5">
        <f>IF($E576="","",INDEX('Input Transaksi'!$F:$F,$E576))</f>
        <v/>
      </c>
      <c r="E576">
        <f>IFERROR(AGGREGATE(15,6,ROW('Input Transaksi'!$B$5:$B$5000)/('Input Transaksi'!$B$5:$B$5000="JCL NUSA KAMBANGAN"),ROWS($E$5:E576)),"")</f>
        <v/>
      </c>
      <c r="F576" s="5" t="n"/>
    </row>
    <row r="577">
      <c r="A577" s="10">
        <f>IF($E577="","",INDEX('Input Transaksi'!$A:$A,$E577))</f>
        <v/>
      </c>
      <c r="B577" s="5">
        <f>IF($E577="","",INDEX('Input Transaksi'!$D:$D,$E577))</f>
        <v/>
      </c>
      <c r="C577">
        <f>IF($E577="","",INDEX('Input Transaksi'!$E:$E,$E577))</f>
        <v/>
      </c>
      <c r="D577" s="5">
        <f>IF($E577="","",INDEX('Input Transaksi'!$F:$F,$E577))</f>
        <v/>
      </c>
      <c r="E577">
        <f>IFERROR(AGGREGATE(15,6,ROW('Input Transaksi'!$B$5:$B$5000)/('Input Transaksi'!$B$5:$B$5000="JCL NUSA KAMBANGAN"),ROWS($E$5:E577)),"")</f>
        <v/>
      </c>
      <c r="F577" s="5" t="n"/>
    </row>
    <row r="578">
      <c r="A578" s="10">
        <f>IF($E578="","",INDEX('Input Transaksi'!$A:$A,$E578))</f>
        <v/>
      </c>
      <c r="B578" s="5">
        <f>IF($E578="","",INDEX('Input Transaksi'!$D:$D,$E578))</f>
        <v/>
      </c>
      <c r="C578">
        <f>IF($E578="","",INDEX('Input Transaksi'!$E:$E,$E578))</f>
        <v/>
      </c>
      <c r="D578" s="5">
        <f>IF($E578="","",INDEX('Input Transaksi'!$F:$F,$E578))</f>
        <v/>
      </c>
      <c r="E578">
        <f>IFERROR(AGGREGATE(15,6,ROW('Input Transaksi'!$B$5:$B$5000)/('Input Transaksi'!$B$5:$B$5000="JCL NUSA KAMBANGAN"),ROWS($E$5:E578)),"")</f>
        <v/>
      </c>
      <c r="F578" s="5" t="n"/>
    </row>
    <row r="579">
      <c r="A579" s="10">
        <f>IF($E579="","",INDEX('Input Transaksi'!$A:$A,$E579))</f>
        <v/>
      </c>
      <c r="B579" s="5">
        <f>IF($E579="","",INDEX('Input Transaksi'!$D:$D,$E579))</f>
        <v/>
      </c>
      <c r="C579">
        <f>IF($E579="","",INDEX('Input Transaksi'!$E:$E,$E579))</f>
        <v/>
      </c>
      <c r="D579" s="5">
        <f>IF($E579="","",INDEX('Input Transaksi'!$F:$F,$E579))</f>
        <v/>
      </c>
      <c r="E579">
        <f>IFERROR(AGGREGATE(15,6,ROW('Input Transaksi'!$B$5:$B$5000)/('Input Transaksi'!$B$5:$B$5000="JCL NUSA KAMBANGAN"),ROWS($E$5:E579)),"")</f>
        <v/>
      </c>
      <c r="F579" s="5" t="n"/>
    </row>
    <row r="580">
      <c r="A580" s="10">
        <f>IF($E580="","",INDEX('Input Transaksi'!$A:$A,$E580))</f>
        <v/>
      </c>
      <c r="B580" s="5">
        <f>IF($E580="","",INDEX('Input Transaksi'!$D:$D,$E580))</f>
        <v/>
      </c>
      <c r="C580">
        <f>IF($E580="","",INDEX('Input Transaksi'!$E:$E,$E580))</f>
        <v/>
      </c>
      <c r="D580" s="5">
        <f>IF($E580="","",INDEX('Input Transaksi'!$F:$F,$E580))</f>
        <v/>
      </c>
      <c r="E580">
        <f>IFERROR(AGGREGATE(15,6,ROW('Input Transaksi'!$B$5:$B$5000)/('Input Transaksi'!$B$5:$B$5000="JCL NUSA KAMBANGAN"),ROWS($E$5:E580)),"")</f>
        <v/>
      </c>
      <c r="F580" s="5" t="n"/>
    </row>
    <row r="581">
      <c r="A581" s="10">
        <f>IF($E581="","",INDEX('Input Transaksi'!$A:$A,$E581))</f>
        <v/>
      </c>
      <c r="B581" s="5">
        <f>IF($E581="","",INDEX('Input Transaksi'!$D:$D,$E581))</f>
        <v/>
      </c>
      <c r="C581">
        <f>IF($E581="","",INDEX('Input Transaksi'!$E:$E,$E581))</f>
        <v/>
      </c>
      <c r="D581" s="5">
        <f>IF($E581="","",INDEX('Input Transaksi'!$F:$F,$E581))</f>
        <v/>
      </c>
      <c r="E581">
        <f>IFERROR(AGGREGATE(15,6,ROW('Input Transaksi'!$B$5:$B$5000)/('Input Transaksi'!$B$5:$B$5000="JCL NUSA KAMBANGAN"),ROWS($E$5:E581)),"")</f>
        <v/>
      </c>
      <c r="F581" s="5" t="n"/>
    </row>
    <row r="582">
      <c r="A582" s="10">
        <f>IF($E582="","",INDEX('Input Transaksi'!$A:$A,$E582))</f>
        <v/>
      </c>
      <c r="B582" s="5">
        <f>IF($E582="","",INDEX('Input Transaksi'!$D:$D,$E582))</f>
        <v/>
      </c>
      <c r="C582">
        <f>IF($E582="","",INDEX('Input Transaksi'!$E:$E,$E582))</f>
        <v/>
      </c>
      <c r="D582" s="5">
        <f>IF($E582="","",INDEX('Input Transaksi'!$F:$F,$E582))</f>
        <v/>
      </c>
      <c r="E582">
        <f>IFERROR(AGGREGATE(15,6,ROW('Input Transaksi'!$B$5:$B$5000)/('Input Transaksi'!$B$5:$B$5000="JCL NUSA KAMBANGAN"),ROWS($E$5:E582)),"")</f>
        <v/>
      </c>
      <c r="F582" s="5" t="n"/>
    </row>
    <row r="583">
      <c r="A583" s="10">
        <f>IF($E583="","",INDEX('Input Transaksi'!$A:$A,$E583))</f>
        <v/>
      </c>
      <c r="B583" s="5">
        <f>IF($E583="","",INDEX('Input Transaksi'!$D:$D,$E583))</f>
        <v/>
      </c>
      <c r="C583">
        <f>IF($E583="","",INDEX('Input Transaksi'!$E:$E,$E583))</f>
        <v/>
      </c>
      <c r="D583" s="5">
        <f>IF($E583="","",INDEX('Input Transaksi'!$F:$F,$E583))</f>
        <v/>
      </c>
      <c r="E583">
        <f>IFERROR(AGGREGATE(15,6,ROW('Input Transaksi'!$B$5:$B$5000)/('Input Transaksi'!$B$5:$B$5000="JCL NUSA KAMBANGAN"),ROWS($E$5:E583)),"")</f>
        <v/>
      </c>
      <c r="F583" s="5" t="n"/>
    </row>
    <row r="584">
      <c r="A584" s="10">
        <f>IF($E584="","",INDEX('Input Transaksi'!$A:$A,$E584))</f>
        <v/>
      </c>
      <c r="B584" s="5">
        <f>IF($E584="","",INDEX('Input Transaksi'!$D:$D,$E584))</f>
        <v/>
      </c>
      <c r="C584">
        <f>IF($E584="","",INDEX('Input Transaksi'!$E:$E,$E584))</f>
        <v/>
      </c>
      <c r="D584" s="5">
        <f>IF($E584="","",INDEX('Input Transaksi'!$F:$F,$E584))</f>
        <v/>
      </c>
      <c r="E584">
        <f>IFERROR(AGGREGATE(15,6,ROW('Input Transaksi'!$B$5:$B$5000)/('Input Transaksi'!$B$5:$B$5000="JCL NUSA KAMBANGAN"),ROWS($E$5:E584)),"")</f>
        <v/>
      </c>
      <c r="F584" s="5" t="n"/>
    </row>
    <row r="585">
      <c r="A585" s="10">
        <f>IF($E585="","",INDEX('Input Transaksi'!$A:$A,$E585))</f>
        <v/>
      </c>
      <c r="B585" s="5">
        <f>IF($E585="","",INDEX('Input Transaksi'!$D:$D,$E585))</f>
        <v/>
      </c>
      <c r="C585">
        <f>IF($E585="","",INDEX('Input Transaksi'!$E:$E,$E585))</f>
        <v/>
      </c>
      <c r="D585" s="5">
        <f>IF($E585="","",INDEX('Input Transaksi'!$F:$F,$E585))</f>
        <v/>
      </c>
      <c r="E585">
        <f>IFERROR(AGGREGATE(15,6,ROW('Input Transaksi'!$B$5:$B$5000)/('Input Transaksi'!$B$5:$B$5000="JCL NUSA KAMBANGAN"),ROWS($E$5:E585)),"")</f>
        <v/>
      </c>
      <c r="F585" s="5" t="n"/>
    </row>
    <row r="586">
      <c r="A586" s="10">
        <f>IF($E586="","",INDEX('Input Transaksi'!$A:$A,$E586))</f>
        <v/>
      </c>
      <c r="B586" s="5">
        <f>IF($E586="","",INDEX('Input Transaksi'!$D:$D,$E586))</f>
        <v/>
      </c>
      <c r="C586">
        <f>IF($E586="","",INDEX('Input Transaksi'!$E:$E,$E586))</f>
        <v/>
      </c>
      <c r="D586" s="5">
        <f>IF($E586="","",INDEX('Input Transaksi'!$F:$F,$E586))</f>
        <v/>
      </c>
      <c r="E586">
        <f>IFERROR(AGGREGATE(15,6,ROW('Input Transaksi'!$B$5:$B$5000)/('Input Transaksi'!$B$5:$B$5000="JCL NUSA KAMBANGAN"),ROWS($E$5:E586)),"")</f>
        <v/>
      </c>
      <c r="F586" s="5" t="n"/>
    </row>
    <row r="587">
      <c r="A587" s="10">
        <f>IF($E587="","",INDEX('Input Transaksi'!$A:$A,$E587))</f>
        <v/>
      </c>
      <c r="B587" s="5">
        <f>IF($E587="","",INDEX('Input Transaksi'!$D:$D,$E587))</f>
        <v/>
      </c>
      <c r="C587">
        <f>IF($E587="","",INDEX('Input Transaksi'!$E:$E,$E587))</f>
        <v/>
      </c>
      <c r="D587" s="5">
        <f>IF($E587="","",INDEX('Input Transaksi'!$F:$F,$E587))</f>
        <v/>
      </c>
      <c r="E587">
        <f>IFERROR(AGGREGATE(15,6,ROW('Input Transaksi'!$B$5:$B$5000)/('Input Transaksi'!$B$5:$B$5000="JCL NUSA KAMBANGAN"),ROWS($E$5:E587)),"")</f>
        <v/>
      </c>
      <c r="F587" s="5" t="n"/>
    </row>
    <row r="588">
      <c r="A588" s="10">
        <f>IF($E588="","",INDEX('Input Transaksi'!$A:$A,$E588))</f>
        <v/>
      </c>
      <c r="B588" s="5">
        <f>IF($E588="","",INDEX('Input Transaksi'!$D:$D,$E588))</f>
        <v/>
      </c>
      <c r="C588">
        <f>IF($E588="","",INDEX('Input Transaksi'!$E:$E,$E588))</f>
        <v/>
      </c>
      <c r="D588" s="5">
        <f>IF($E588="","",INDEX('Input Transaksi'!$F:$F,$E588))</f>
        <v/>
      </c>
      <c r="E588">
        <f>IFERROR(AGGREGATE(15,6,ROW('Input Transaksi'!$B$5:$B$5000)/('Input Transaksi'!$B$5:$B$5000="JCL NUSA KAMBANGAN"),ROWS($E$5:E588)),"")</f>
        <v/>
      </c>
      <c r="F588" s="5" t="n"/>
    </row>
    <row r="589">
      <c r="A589" s="10">
        <f>IF($E589="","",INDEX('Input Transaksi'!$A:$A,$E589))</f>
        <v/>
      </c>
      <c r="B589" s="5">
        <f>IF($E589="","",INDEX('Input Transaksi'!$D:$D,$E589))</f>
        <v/>
      </c>
      <c r="C589">
        <f>IF($E589="","",INDEX('Input Transaksi'!$E:$E,$E589))</f>
        <v/>
      </c>
      <c r="D589" s="5">
        <f>IF($E589="","",INDEX('Input Transaksi'!$F:$F,$E589))</f>
        <v/>
      </c>
      <c r="E589">
        <f>IFERROR(AGGREGATE(15,6,ROW('Input Transaksi'!$B$5:$B$5000)/('Input Transaksi'!$B$5:$B$5000="JCL NUSA KAMBANGAN"),ROWS($E$5:E589)),"")</f>
        <v/>
      </c>
      <c r="F589" s="5" t="n"/>
    </row>
    <row r="590">
      <c r="A590" s="10">
        <f>IF($E590="","",INDEX('Input Transaksi'!$A:$A,$E590))</f>
        <v/>
      </c>
      <c r="B590" s="5">
        <f>IF($E590="","",INDEX('Input Transaksi'!$D:$D,$E590))</f>
        <v/>
      </c>
      <c r="C590">
        <f>IF($E590="","",INDEX('Input Transaksi'!$E:$E,$E590))</f>
        <v/>
      </c>
      <c r="D590" s="5">
        <f>IF($E590="","",INDEX('Input Transaksi'!$F:$F,$E590))</f>
        <v/>
      </c>
      <c r="E590">
        <f>IFERROR(AGGREGATE(15,6,ROW('Input Transaksi'!$B$5:$B$5000)/('Input Transaksi'!$B$5:$B$5000="JCL NUSA KAMBANGAN"),ROWS($E$5:E590)),"")</f>
        <v/>
      </c>
      <c r="F590" s="5" t="n"/>
    </row>
    <row r="591">
      <c r="A591" s="10">
        <f>IF($E591="","",INDEX('Input Transaksi'!$A:$A,$E591))</f>
        <v/>
      </c>
      <c r="B591" s="5">
        <f>IF($E591="","",INDEX('Input Transaksi'!$D:$D,$E591))</f>
        <v/>
      </c>
      <c r="C591">
        <f>IF($E591="","",INDEX('Input Transaksi'!$E:$E,$E591))</f>
        <v/>
      </c>
      <c r="D591" s="5">
        <f>IF($E591="","",INDEX('Input Transaksi'!$F:$F,$E591))</f>
        <v/>
      </c>
      <c r="E591">
        <f>IFERROR(AGGREGATE(15,6,ROW('Input Transaksi'!$B$5:$B$5000)/('Input Transaksi'!$B$5:$B$5000="JCL NUSA KAMBANGAN"),ROWS($E$5:E591)),"")</f>
        <v/>
      </c>
      <c r="F591" s="5" t="n"/>
    </row>
    <row r="592">
      <c r="A592" s="10">
        <f>IF($E592="","",INDEX('Input Transaksi'!$A:$A,$E592))</f>
        <v/>
      </c>
      <c r="B592" s="5">
        <f>IF($E592="","",INDEX('Input Transaksi'!$D:$D,$E592))</f>
        <v/>
      </c>
      <c r="C592">
        <f>IF($E592="","",INDEX('Input Transaksi'!$E:$E,$E592))</f>
        <v/>
      </c>
      <c r="D592" s="5">
        <f>IF($E592="","",INDEX('Input Transaksi'!$F:$F,$E592))</f>
        <v/>
      </c>
      <c r="E592">
        <f>IFERROR(AGGREGATE(15,6,ROW('Input Transaksi'!$B$5:$B$5000)/('Input Transaksi'!$B$5:$B$5000="JCL NUSA KAMBANGAN"),ROWS($E$5:E592)),"")</f>
        <v/>
      </c>
      <c r="F592" s="5" t="n"/>
    </row>
    <row r="593">
      <c r="A593" s="10">
        <f>IF($E593="","",INDEX('Input Transaksi'!$A:$A,$E593))</f>
        <v/>
      </c>
      <c r="B593" s="5">
        <f>IF($E593="","",INDEX('Input Transaksi'!$D:$D,$E593))</f>
        <v/>
      </c>
      <c r="C593">
        <f>IF($E593="","",INDEX('Input Transaksi'!$E:$E,$E593))</f>
        <v/>
      </c>
      <c r="D593" s="5">
        <f>IF($E593="","",INDEX('Input Transaksi'!$F:$F,$E593))</f>
        <v/>
      </c>
      <c r="E593">
        <f>IFERROR(AGGREGATE(15,6,ROW('Input Transaksi'!$B$5:$B$5000)/('Input Transaksi'!$B$5:$B$5000="JCL NUSA KAMBANGAN"),ROWS($E$5:E593)),"")</f>
        <v/>
      </c>
      <c r="F593" s="5" t="n"/>
    </row>
    <row r="594">
      <c r="A594" s="10">
        <f>IF($E594="","",INDEX('Input Transaksi'!$A:$A,$E594))</f>
        <v/>
      </c>
      <c r="B594" s="5">
        <f>IF($E594="","",INDEX('Input Transaksi'!$D:$D,$E594))</f>
        <v/>
      </c>
      <c r="C594">
        <f>IF($E594="","",INDEX('Input Transaksi'!$E:$E,$E594))</f>
        <v/>
      </c>
      <c r="D594" s="5">
        <f>IF($E594="","",INDEX('Input Transaksi'!$F:$F,$E594))</f>
        <v/>
      </c>
      <c r="E594">
        <f>IFERROR(AGGREGATE(15,6,ROW('Input Transaksi'!$B$5:$B$5000)/('Input Transaksi'!$B$5:$B$5000="JCL NUSA KAMBANGAN"),ROWS($E$5:E594)),"")</f>
        <v/>
      </c>
      <c r="F594" s="5" t="n"/>
    </row>
    <row r="595">
      <c r="A595" s="10">
        <f>IF($E595="","",INDEX('Input Transaksi'!$A:$A,$E595))</f>
        <v/>
      </c>
      <c r="B595" s="5">
        <f>IF($E595="","",INDEX('Input Transaksi'!$D:$D,$E595))</f>
        <v/>
      </c>
      <c r="C595">
        <f>IF($E595="","",INDEX('Input Transaksi'!$E:$E,$E595))</f>
        <v/>
      </c>
      <c r="D595" s="5">
        <f>IF($E595="","",INDEX('Input Transaksi'!$F:$F,$E595))</f>
        <v/>
      </c>
      <c r="E595">
        <f>IFERROR(AGGREGATE(15,6,ROW('Input Transaksi'!$B$5:$B$5000)/('Input Transaksi'!$B$5:$B$5000="JCL NUSA KAMBANGAN"),ROWS($E$5:E595)),"")</f>
        <v/>
      </c>
      <c r="F595" s="5" t="n"/>
    </row>
    <row r="596">
      <c r="A596" s="10">
        <f>IF($E596="","",INDEX('Input Transaksi'!$A:$A,$E596))</f>
        <v/>
      </c>
      <c r="B596" s="5">
        <f>IF($E596="","",INDEX('Input Transaksi'!$D:$D,$E596))</f>
        <v/>
      </c>
      <c r="C596">
        <f>IF($E596="","",INDEX('Input Transaksi'!$E:$E,$E596))</f>
        <v/>
      </c>
      <c r="D596" s="5">
        <f>IF($E596="","",INDEX('Input Transaksi'!$F:$F,$E596))</f>
        <v/>
      </c>
      <c r="E596">
        <f>IFERROR(AGGREGATE(15,6,ROW('Input Transaksi'!$B$5:$B$5000)/('Input Transaksi'!$B$5:$B$5000="JCL NUSA KAMBANGAN"),ROWS($E$5:E596)),"")</f>
        <v/>
      </c>
      <c r="F596" s="5" t="n"/>
    </row>
    <row r="597">
      <c r="A597" s="10">
        <f>IF($E597="","",INDEX('Input Transaksi'!$A:$A,$E597))</f>
        <v/>
      </c>
      <c r="B597" s="5">
        <f>IF($E597="","",INDEX('Input Transaksi'!$D:$D,$E597))</f>
        <v/>
      </c>
      <c r="C597">
        <f>IF($E597="","",INDEX('Input Transaksi'!$E:$E,$E597))</f>
        <v/>
      </c>
      <c r="D597" s="5">
        <f>IF($E597="","",INDEX('Input Transaksi'!$F:$F,$E597))</f>
        <v/>
      </c>
      <c r="E597">
        <f>IFERROR(AGGREGATE(15,6,ROW('Input Transaksi'!$B$5:$B$5000)/('Input Transaksi'!$B$5:$B$5000="JCL NUSA KAMBANGAN"),ROWS($E$5:E597)),"")</f>
        <v/>
      </c>
      <c r="F597" s="5" t="n"/>
    </row>
    <row r="598">
      <c r="A598" s="10">
        <f>IF($E598="","",INDEX('Input Transaksi'!$A:$A,$E598))</f>
        <v/>
      </c>
      <c r="B598" s="5">
        <f>IF($E598="","",INDEX('Input Transaksi'!$D:$D,$E598))</f>
        <v/>
      </c>
      <c r="C598">
        <f>IF($E598="","",INDEX('Input Transaksi'!$E:$E,$E598))</f>
        <v/>
      </c>
      <c r="D598" s="5">
        <f>IF($E598="","",INDEX('Input Transaksi'!$F:$F,$E598))</f>
        <v/>
      </c>
      <c r="E598">
        <f>IFERROR(AGGREGATE(15,6,ROW('Input Transaksi'!$B$5:$B$5000)/('Input Transaksi'!$B$5:$B$5000="JCL NUSA KAMBANGAN"),ROWS($E$5:E598)),"")</f>
        <v/>
      </c>
      <c r="F598" s="5" t="n"/>
    </row>
    <row r="599">
      <c r="A599" s="10">
        <f>IF($E599="","",INDEX('Input Transaksi'!$A:$A,$E599))</f>
        <v/>
      </c>
      <c r="B599" s="5">
        <f>IF($E599="","",INDEX('Input Transaksi'!$D:$D,$E599))</f>
        <v/>
      </c>
      <c r="C599">
        <f>IF($E599="","",INDEX('Input Transaksi'!$E:$E,$E599))</f>
        <v/>
      </c>
      <c r="D599" s="5">
        <f>IF($E599="","",INDEX('Input Transaksi'!$F:$F,$E599))</f>
        <v/>
      </c>
      <c r="E599">
        <f>IFERROR(AGGREGATE(15,6,ROW('Input Transaksi'!$B$5:$B$5000)/('Input Transaksi'!$B$5:$B$5000="JCL NUSA KAMBANGAN"),ROWS($E$5:E599)),"")</f>
        <v/>
      </c>
      <c r="F599" s="5" t="n"/>
    </row>
    <row r="600">
      <c r="A600" s="10">
        <f>IF($E600="","",INDEX('Input Transaksi'!$A:$A,$E600))</f>
        <v/>
      </c>
      <c r="B600" s="5">
        <f>IF($E600="","",INDEX('Input Transaksi'!$D:$D,$E600))</f>
        <v/>
      </c>
      <c r="C600">
        <f>IF($E600="","",INDEX('Input Transaksi'!$E:$E,$E600))</f>
        <v/>
      </c>
      <c r="D600" s="5">
        <f>IF($E600="","",INDEX('Input Transaksi'!$F:$F,$E600))</f>
        <v/>
      </c>
      <c r="E600">
        <f>IFERROR(AGGREGATE(15,6,ROW('Input Transaksi'!$B$5:$B$5000)/('Input Transaksi'!$B$5:$B$5000="JCL NUSA KAMBANGAN"),ROWS($E$5:E600)),"")</f>
        <v/>
      </c>
      <c r="F600" s="5" t="n"/>
    </row>
    <row r="601">
      <c r="A601" s="10">
        <f>IF($E601="","",INDEX('Input Transaksi'!$A:$A,$E601))</f>
        <v/>
      </c>
      <c r="B601" s="5">
        <f>IF($E601="","",INDEX('Input Transaksi'!$D:$D,$E601))</f>
        <v/>
      </c>
      <c r="C601">
        <f>IF($E601="","",INDEX('Input Transaksi'!$E:$E,$E601))</f>
        <v/>
      </c>
      <c r="D601" s="5">
        <f>IF($E601="","",INDEX('Input Transaksi'!$F:$F,$E601))</f>
        <v/>
      </c>
      <c r="E601">
        <f>IFERROR(AGGREGATE(15,6,ROW('Input Transaksi'!$B$5:$B$5000)/('Input Transaksi'!$B$5:$B$5000="JCL NUSA KAMBANGAN"),ROWS($E$5:E601)),"")</f>
        <v/>
      </c>
      <c r="F601" s="5" t="n"/>
    </row>
    <row r="602">
      <c r="A602" s="10">
        <f>IF($E602="","",INDEX('Input Transaksi'!$A:$A,$E602))</f>
        <v/>
      </c>
      <c r="B602" s="5">
        <f>IF($E602="","",INDEX('Input Transaksi'!$D:$D,$E602))</f>
        <v/>
      </c>
      <c r="C602">
        <f>IF($E602="","",INDEX('Input Transaksi'!$E:$E,$E602))</f>
        <v/>
      </c>
      <c r="D602" s="5">
        <f>IF($E602="","",INDEX('Input Transaksi'!$F:$F,$E602))</f>
        <v/>
      </c>
      <c r="E602">
        <f>IFERROR(AGGREGATE(15,6,ROW('Input Transaksi'!$B$5:$B$5000)/('Input Transaksi'!$B$5:$B$5000="JCL NUSA KAMBANGAN"),ROWS($E$5:E602)),"")</f>
        <v/>
      </c>
      <c r="F602" s="5" t="n"/>
    </row>
    <row r="603">
      <c r="A603" s="10">
        <f>IF($E603="","",INDEX('Input Transaksi'!$A:$A,$E603))</f>
        <v/>
      </c>
      <c r="B603" s="5">
        <f>IF($E603="","",INDEX('Input Transaksi'!$D:$D,$E603))</f>
        <v/>
      </c>
      <c r="C603">
        <f>IF($E603="","",INDEX('Input Transaksi'!$E:$E,$E603))</f>
        <v/>
      </c>
      <c r="D603" s="5">
        <f>IF($E603="","",INDEX('Input Transaksi'!$F:$F,$E603))</f>
        <v/>
      </c>
      <c r="E603">
        <f>IFERROR(AGGREGATE(15,6,ROW('Input Transaksi'!$B$5:$B$5000)/('Input Transaksi'!$B$5:$B$5000="JCL NUSA KAMBANGAN"),ROWS($E$5:E603)),"")</f>
        <v/>
      </c>
      <c r="F603" s="5" t="n"/>
    </row>
    <row r="604">
      <c r="A604" s="10">
        <f>IF($E604="","",INDEX('Input Transaksi'!$A:$A,$E604))</f>
        <v/>
      </c>
      <c r="B604" s="5">
        <f>IF($E604="","",INDEX('Input Transaksi'!$D:$D,$E604))</f>
        <v/>
      </c>
      <c r="C604">
        <f>IF($E604="","",INDEX('Input Transaksi'!$E:$E,$E604))</f>
        <v/>
      </c>
      <c r="D604" s="5">
        <f>IF($E604="","",INDEX('Input Transaksi'!$F:$F,$E604))</f>
        <v/>
      </c>
      <c r="E604">
        <f>IFERROR(AGGREGATE(15,6,ROW('Input Transaksi'!$B$5:$B$5000)/('Input Transaksi'!$B$5:$B$5000="JCL NUSA KAMBANGAN"),ROWS($E$5:E604)),"")</f>
        <v/>
      </c>
      <c r="F604" s="5" t="n"/>
    </row>
    <row r="605">
      <c r="A605" s="10">
        <f>IF($E605="","",INDEX('Input Transaksi'!$A:$A,$E605))</f>
        <v/>
      </c>
      <c r="B605" s="5">
        <f>IF($E605="","",INDEX('Input Transaksi'!$D:$D,$E605))</f>
        <v/>
      </c>
      <c r="C605">
        <f>IF($E605="","",INDEX('Input Transaksi'!$E:$E,$E605))</f>
        <v/>
      </c>
      <c r="D605" s="5">
        <f>IF($E605="","",INDEX('Input Transaksi'!$F:$F,$E605))</f>
        <v/>
      </c>
      <c r="E605">
        <f>IFERROR(AGGREGATE(15,6,ROW('Input Transaksi'!$B$5:$B$5000)/('Input Transaksi'!$B$5:$B$5000="JCL NUSA KAMBANGAN"),ROWS($E$5:E605)),"")</f>
        <v/>
      </c>
      <c r="F605" s="5" t="n"/>
    </row>
    <row r="606">
      <c r="A606" s="10">
        <f>IF($E606="","",INDEX('Input Transaksi'!$A:$A,$E606))</f>
        <v/>
      </c>
      <c r="B606" s="5">
        <f>IF($E606="","",INDEX('Input Transaksi'!$D:$D,$E606))</f>
        <v/>
      </c>
      <c r="C606">
        <f>IF($E606="","",INDEX('Input Transaksi'!$E:$E,$E606))</f>
        <v/>
      </c>
      <c r="D606" s="5">
        <f>IF($E606="","",INDEX('Input Transaksi'!$F:$F,$E606))</f>
        <v/>
      </c>
      <c r="E606">
        <f>IFERROR(AGGREGATE(15,6,ROW('Input Transaksi'!$B$5:$B$5000)/('Input Transaksi'!$B$5:$B$5000="JCL NUSA KAMBANGAN"),ROWS($E$5:E606)),"")</f>
        <v/>
      </c>
      <c r="F606" s="5" t="n"/>
    </row>
    <row r="607">
      <c r="A607" s="10">
        <f>IF($E607="","",INDEX('Input Transaksi'!$A:$A,$E607))</f>
        <v/>
      </c>
      <c r="B607" s="5">
        <f>IF($E607="","",INDEX('Input Transaksi'!$D:$D,$E607))</f>
        <v/>
      </c>
      <c r="C607">
        <f>IF($E607="","",INDEX('Input Transaksi'!$E:$E,$E607))</f>
        <v/>
      </c>
      <c r="D607" s="5">
        <f>IF($E607="","",INDEX('Input Transaksi'!$F:$F,$E607))</f>
        <v/>
      </c>
      <c r="E607">
        <f>IFERROR(AGGREGATE(15,6,ROW('Input Transaksi'!$B$5:$B$5000)/('Input Transaksi'!$B$5:$B$5000="JCL NUSA KAMBANGAN"),ROWS($E$5:E607)),"")</f>
        <v/>
      </c>
      <c r="F607" s="5" t="n"/>
    </row>
    <row r="608">
      <c r="A608" s="10">
        <f>IF($E608="","",INDEX('Input Transaksi'!$A:$A,$E608))</f>
        <v/>
      </c>
      <c r="B608" s="5">
        <f>IF($E608="","",INDEX('Input Transaksi'!$D:$D,$E608))</f>
        <v/>
      </c>
      <c r="C608">
        <f>IF($E608="","",INDEX('Input Transaksi'!$E:$E,$E608))</f>
        <v/>
      </c>
      <c r="D608" s="5">
        <f>IF($E608="","",INDEX('Input Transaksi'!$F:$F,$E608))</f>
        <v/>
      </c>
      <c r="E608">
        <f>IFERROR(AGGREGATE(15,6,ROW('Input Transaksi'!$B$5:$B$5000)/('Input Transaksi'!$B$5:$B$5000="JCL NUSA KAMBANGAN"),ROWS($E$5:E608)),"")</f>
        <v/>
      </c>
      <c r="F608" s="5" t="n"/>
    </row>
    <row r="609">
      <c r="A609" s="10">
        <f>IF($E609="","",INDEX('Input Transaksi'!$A:$A,$E609))</f>
        <v/>
      </c>
      <c r="B609" s="5">
        <f>IF($E609="","",INDEX('Input Transaksi'!$D:$D,$E609))</f>
        <v/>
      </c>
      <c r="C609">
        <f>IF($E609="","",INDEX('Input Transaksi'!$E:$E,$E609))</f>
        <v/>
      </c>
      <c r="D609" s="5">
        <f>IF($E609="","",INDEX('Input Transaksi'!$F:$F,$E609))</f>
        <v/>
      </c>
      <c r="E609">
        <f>IFERROR(AGGREGATE(15,6,ROW('Input Transaksi'!$B$5:$B$5000)/('Input Transaksi'!$B$5:$B$5000="JCL NUSA KAMBANGAN"),ROWS($E$5:E609)),"")</f>
        <v/>
      </c>
      <c r="F609" s="5" t="n"/>
    </row>
    <row r="610">
      <c r="A610" s="10">
        <f>IF($E610="","",INDEX('Input Transaksi'!$A:$A,$E610))</f>
        <v/>
      </c>
      <c r="B610" s="5">
        <f>IF($E610="","",INDEX('Input Transaksi'!$D:$D,$E610))</f>
        <v/>
      </c>
      <c r="C610">
        <f>IF($E610="","",INDEX('Input Transaksi'!$E:$E,$E610))</f>
        <v/>
      </c>
      <c r="D610" s="5">
        <f>IF($E610="","",INDEX('Input Transaksi'!$F:$F,$E610))</f>
        <v/>
      </c>
      <c r="E610">
        <f>IFERROR(AGGREGATE(15,6,ROW('Input Transaksi'!$B$5:$B$5000)/('Input Transaksi'!$B$5:$B$5000="JCL NUSA KAMBANGAN"),ROWS($E$5:E610)),"")</f>
        <v/>
      </c>
      <c r="F610" s="5" t="n"/>
    </row>
    <row r="611">
      <c r="A611" s="10">
        <f>IF($E611="","",INDEX('Input Transaksi'!$A:$A,$E611))</f>
        <v/>
      </c>
      <c r="B611" s="5">
        <f>IF($E611="","",INDEX('Input Transaksi'!$D:$D,$E611))</f>
        <v/>
      </c>
      <c r="C611">
        <f>IF($E611="","",INDEX('Input Transaksi'!$E:$E,$E611))</f>
        <v/>
      </c>
      <c r="D611" s="5">
        <f>IF($E611="","",INDEX('Input Transaksi'!$F:$F,$E611))</f>
        <v/>
      </c>
      <c r="E611">
        <f>IFERROR(AGGREGATE(15,6,ROW('Input Transaksi'!$B$5:$B$5000)/('Input Transaksi'!$B$5:$B$5000="JCL NUSA KAMBANGAN"),ROWS($E$5:E611)),"")</f>
        <v/>
      </c>
      <c r="F611" s="5" t="n"/>
    </row>
    <row r="612">
      <c r="A612" s="10">
        <f>IF($E612="","",INDEX('Input Transaksi'!$A:$A,$E612))</f>
        <v/>
      </c>
      <c r="B612" s="5">
        <f>IF($E612="","",INDEX('Input Transaksi'!$D:$D,$E612))</f>
        <v/>
      </c>
      <c r="C612">
        <f>IF($E612="","",INDEX('Input Transaksi'!$E:$E,$E612))</f>
        <v/>
      </c>
      <c r="D612" s="5">
        <f>IF($E612="","",INDEX('Input Transaksi'!$F:$F,$E612))</f>
        <v/>
      </c>
      <c r="E612">
        <f>IFERROR(AGGREGATE(15,6,ROW('Input Transaksi'!$B$5:$B$5000)/('Input Transaksi'!$B$5:$B$5000="JCL NUSA KAMBANGAN"),ROWS($E$5:E612)),"")</f>
        <v/>
      </c>
      <c r="F612" s="5" t="n"/>
    </row>
    <row r="613">
      <c r="A613" s="10">
        <f>IF($E613="","",INDEX('Input Transaksi'!$A:$A,$E613))</f>
        <v/>
      </c>
      <c r="B613" s="5">
        <f>IF($E613="","",INDEX('Input Transaksi'!$D:$D,$E613))</f>
        <v/>
      </c>
      <c r="C613">
        <f>IF($E613="","",INDEX('Input Transaksi'!$E:$E,$E613))</f>
        <v/>
      </c>
      <c r="D613" s="5">
        <f>IF($E613="","",INDEX('Input Transaksi'!$F:$F,$E613))</f>
        <v/>
      </c>
      <c r="E613">
        <f>IFERROR(AGGREGATE(15,6,ROW('Input Transaksi'!$B$5:$B$5000)/('Input Transaksi'!$B$5:$B$5000="JCL NUSA KAMBANGAN"),ROWS($E$5:E613)),"")</f>
        <v/>
      </c>
      <c r="F613" s="5" t="n"/>
    </row>
    <row r="614">
      <c r="A614" s="10">
        <f>IF($E614="","",INDEX('Input Transaksi'!$A:$A,$E614))</f>
        <v/>
      </c>
      <c r="B614" s="5">
        <f>IF($E614="","",INDEX('Input Transaksi'!$D:$D,$E614))</f>
        <v/>
      </c>
      <c r="C614">
        <f>IF($E614="","",INDEX('Input Transaksi'!$E:$E,$E614))</f>
        <v/>
      </c>
      <c r="D614" s="5">
        <f>IF($E614="","",INDEX('Input Transaksi'!$F:$F,$E614))</f>
        <v/>
      </c>
      <c r="E614">
        <f>IFERROR(AGGREGATE(15,6,ROW('Input Transaksi'!$B$5:$B$5000)/('Input Transaksi'!$B$5:$B$5000="JCL NUSA KAMBANGAN"),ROWS($E$5:E614)),"")</f>
        <v/>
      </c>
      <c r="F614" s="5" t="n"/>
    </row>
    <row r="615">
      <c r="A615" s="10">
        <f>IF($E615="","",INDEX('Input Transaksi'!$A:$A,$E615))</f>
        <v/>
      </c>
      <c r="B615" s="5">
        <f>IF($E615="","",INDEX('Input Transaksi'!$D:$D,$E615))</f>
        <v/>
      </c>
      <c r="C615">
        <f>IF($E615="","",INDEX('Input Transaksi'!$E:$E,$E615))</f>
        <v/>
      </c>
      <c r="D615" s="5">
        <f>IF($E615="","",INDEX('Input Transaksi'!$F:$F,$E615))</f>
        <v/>
      </c>
      <c r="E615">
        <f>IFERROR(AGGREGATE(15,6,ROW('Input Transaksi'!$B$5:$B$5000)/('Input Transaksi'!$B$5:$B$5000="JCL NUSA KAMBANGAN"),ROWS($E$5:E615)),"")</f>
        <v/>
      </c>
      <c r="F615" s="5" t="n"/>
    </row>
    <row r="616">
      <c r="A616" s="10">
        <f>IF($E616="","",INDEX('Input Transaksi'!$A:$A,$E616))</f>
        <v/>
      </c>
      <c r="B616" s="5">
        <f>IF($E616="","",INDEX('Input Transaksi'!$D:$D,$E616))</f>
        <v/>
      </c>
      <c r="C616">
        <f>IF($E616="","",INDEX('Input Transaksi'!$E:$E,$E616))</f>
        <v/>
      </c>
      <c r="D616" s="5">
        <f>IF($E616="","",INDEX('Input Transaksi'!$F:$F,$E616))</f>
        <v/>
      </c>
      <c r="E616">
        <f>IFERROR(AGGREGATE(15,6,ROW('Input Transaksi'!$B$5:$B$5000)/('Input Transaksi'!$B$5:$B$5000="JCL NUSA KAMBANGAN"),ROWS($E$5:E616)),"")</f>
        <v/>
      </c>
      <c r="F616" s="5" t="n"/>
    </row>
    <row r="617">
      <c r="A617" s="10">
        <f>IF($E617="","",INDEX('Input Transaksi'!$A:$A,$E617))</f>
        <v/>
      </c>
      <c r="B617" s="5">
        <f>IF($E617="","",INDEX('Input Transaksi'!$D:$D,$E617))</f>
        <v/>
      </c>
      <c r="C617">
        <f>IF($E617="","",INDEX('Input Transaksi'!$E:$E,$E617))</f>
        <v/>
      </c>
      <c r="D617" s="5">
        <f>IF($E617="","",INDEX('Input Transaksi'!$F:$F,$E617))</f>
        <v/>
      </c>
      <c r="E617">
        <f>IFERROR(AGGREGATE(15,6,ROW('Input Transaksi'!$B$5:$B$5000)/('Input Transaksi'!$B$5:$B$5000="JCL NUSA KAMBANGAN"),ROWS($E$5:E617)),"")</f>
        <v/>
      </c>
      <c r="F617" s="5" t="n"/>
    </row>
    <row r="618">
      <c r="A618" s="10">
        <f>IF($E618="","",INDEX('Input Transaksi'!$A:$A,$E618))</f>
        <v/>
      </c>
      <c r="B618" s="5">
        <f>IF($E618="","",INDEX('Input Transaksi'!$D:$D,$E618))</f>
        <v/>
      </c>
      <c r="C618">
        <f>IF($E618="","",INDEX('Input Transaksi'!$E:$E,$E618))</f>
        <v/>
      </c>
      <c r="D618" s="5">
        <f>IF($E618="","",INDEX('Input Transaksi'!$F:$F,$E618))</f>
        <v/>
      </c>
      <c r="E618">
        <f>IFERROR(AGGREGATE(15,6,ROW('Input Transaksi'!$B$5:$B$5000)/('Input Transaksi'!$B$5:$B$5000="JCL NUSA KAMBANGAN"),ROWS($E$5:E618)),"")</f>
        <v/>
      </c>
      <c r="F618" s="5" t="n"/>
    </row>
    <row r="619">
      <c r="A619" s="10">
        <f>IF($E619="","",INDEX('Input Transaksi'!$A:$A,$E619))</f>
        <v/>
      </c>
      <c r="B619" s="5">
        <f>IF($E619="","",INDEX('Input Transaksi'!$D:$D,$E619))</f>
        <v/>
      </c>
      <c r="C619">
        <f>IF($E619="","",INDEX('Input Transaksi'!$E:$E,$E619))</f>
        <v/>
      </c>
      <c r="D619" s="5">
        <f>IF($E619="","",INDEX('Input Transaksi'!$F:$F,$E619))</f>
        <v/>
      </c>
      <c r="E619">
        <f>IFERROR(AGGREGATE(15,6,ROW('Input Transaksi'!$B$5:$B$5000)/('Input Transaksi'!$B$5:$B$5000="JCL NUSA KAMBANGAN"),ROWS($E$5:E619)),"")</f>
        <v/>
      </c>
      <c r="F619" s="5" t="n"/>
    </row>
    <row r="620">
      <c r="A620" s="10">
        <f>IF($E620="","",INDEX('Input Transaksi'!$A:$A,$E620))</f>
        <v/>
      </c>
      <c r="B620" s="5">
        <f>IF($E620="","",INDEX('Input Transaksi'!$D:$D,$E620))</f>
        <v/>
      </c>
      <c r="C620">
        <f>IF($E620="","",INDEX('Input Transaksi'!$E:$E,$E620))</f>
        <v/>
      </c>
      <c r="D620" s="5">
        <f>IF($E620="","",INDEX('Input Transaksi'!$F:$F,$E620))</f>
        <v/>
      </c>
      <c r="E620">
        <f>IFERROR(AGGREGATE(15,6,ROW('Input Transaksi'!$B$5:$B$5000)/('Input Transaksi'!$B$5:$B$5000="JCL NUSA KAMBANGAN"),ROWS($E$5:E620)),"")</f>
        <v/>
      </c>
      <c r="F620" s="5" t="n"/>
    </row>
    <row r="621">
      <c r="A621" s="10">
        <f>IF($E621="","",INDEX('Input Transaksi'!$A:$A,$E621))</f>
        <v/>
      </c>
      <c r="B621" s="5">
        <f>IF($E621="","",INDEX('Input Transaksi'!$D:$D,$E621))</f>
        <v/>
      </c>
      <c r="C621">
        <f>IF($E621="","",INDEX('Input Transaksi'!$E:$E,$E621))</f>
        <v/>
      </c>
      <c r="D621" s="5">
        <f>IF($E621="","",INDEX('Input Transaksi'!$F:$F,$E621))</f>
        <v/>
      </c>
      <c r="E621">
        <f>IFERROR(AGGREGATE(15,6,ROW('Input Transaksi'!$B$5:$B$5000)/('Input Transaksi'!$B$5:$B$5000="JCL NUSA KAMBANGAN"),ROWS($E$5:E621)),"")</f>
        <v/>
      </c>
      <c r="F621" s="5" t="n"/>
    </row>
    <row r="622">
      <c r="A622" s="10">
        <f>IF($E622="","",INDEX('Input Transaksi'!$A:$A,$E622))</f>
        <v/>
      </c>
      <c r="B622" s="5">
        <f>IF($E622="","",INDEX('Input Transaksi'!$D:$D,$E622))</f>
        <v/>
      </c>
      <c r="C622">
        <f>IF($E622="","",INDEX('Input Transaksi'!$E:$E,$E622))</f>
        <v/>
      </c>
      <c r="D622" s="5">
        <f>IF($E622="","",INDEX('Input Transaksi'!$F:$F,$E622))</f>
        <v/>
      </c>
      <c r="E622">
        <f>IFERROR(AGGREGATE(15,6,ROW('Input Transaksi'!$B$5:$B$5000)/('Input Transaksi'!$B$5:$B$5000="JCL NUSA KAMBANGAN"),ROWS($E$5:E622)),"")</f>
        <v/>
      </c>
      <c r="F622" s="5" t="n"/>
    </row>
    <row r="623">
      <c r="A623" s="10">
        <f>IF($E623="","",INDEX('Input Transaksi'!$A:$A,$E623))</f>
        <v/>
      </c>
      <c r="B623" s="5">
        <f>IF($E623="","",INDEX('Input Transaksi'!$D:$D,$E623))</f>
        <v/>
      </c>
      <c r="C623">
        <f>IF($E623="","",INDEX('Input Transaksi'!$E:$E,$E623))</f>
        <v/>
      </c>
      <c r="D623" s="5">
        <f>IF($E623="","",INDEX('Input Transaksi'!$F:$F,$E623))</f>
        <v/>
      </c>
      <c r="E623">
        <f>IFERROR(AGGREGATE(15,6,ROW('Input Transaksi'!$B$5:$B$5000)/('Input Transaksi'!$B$5:$B$5000="JCL NUSA KAMBANGAN"),ROWS($E$5:E623)),"")</f>
        <v/>
      </c>
      <c r="F623" s="5" t="n"/>
    </row>
    <row r="624">
      <c r="A624" s="10">
        <f>IF($E624="","",INDEX('Input Transaksi'!$A:$A,$E624))</f>
        <v/>
      </c>
      <c r="B624" s="5">
        <f>IF($E624="","",INDEX('Input Transaksi'!$D:$D,$E624))</f>
        <v/>
      </c>
      <c r="C624">
        <f>IF($E624="","",INDEX('Input Transaksi'!$E:$E,$E624))</f>
        <v/>
      </c>
      <c r="D624" s="5">
        <f>IF($E624="","",INDEX('Input Transaksi'!$F:$F,$E624))</f>
        <v/>
      </c>
      <c r="E624">
        <f>IFERROR(AGGREGATE(15,6,ROW('Input Transaksi'!$B$5:$B$5000)/('Input Transaksi'!$B$5:$B$5000="JCL NUSA KAMBANGAN"),ROWS($E$5:E624)),"")</f>
        <v/>
      </c>
      <c r="F624" s="5" t="n"/>
    </row>
    <row r="625">
      <c r="A625" s="10">
        <f>IF($E625="","",INDEX('Input Transaksi'!$A:$A,$E625))</f>
        <v/>
      </c>
      <c r="B625" s="5">
        <f>IF($E625="","",INDEX('Input Transaksi'!$D:$D,$E625))</f>
        <v/>
      </c>
      <c r="C625">
        <f>IF($E625="","",INDEX('Input Transaksi'!$E:$E,$E625))</f>
        <v/>
      </c>
      <c r="D625" s="5">
        <f>IF($E625="","",INDEX('Input Transaksi'!$F:$F,$E625))</f>
        <v/>
      </c>
      <c r="E625">
        <f>IFERROR(AGGREGATE(15,6,ROW('Input Transaksi'!$B$5:$B$5000)/('Input Transaksi'!$B$5:$B$5000="JCL NUSA KAMBANGAN"),ROWS($E$5:E625)),"")</f>
        <v/>
      </c>
      <c r="F625" s="5" t="n"/>
    </row>
    <row r="626">
      <c r="A626" s="10">
        <f>IF($E626="","",INDEX('Input Transaksi'!$A:$A,$E626))</f>
        <v/>
      </c>
      <c r="B626" s="5">
        <f>IF($E626="","",INDEX('Input Transaksi'!$D:$D,$E626))</f>
        <v/>
      </c>
      <c r="C626">
        <f>IF($E626="","",INDEX('Input Transaksi'!$E:$E,$E626))</f>
        <v/>
      </c>
      <c r="D626" s="5">
        <f>IF($E626="","",INDEX('Input Transaksi'!$F:$F,$E626))</f>
        <v/>
      </c>
      <c r="E626">
        <f>IFERROR(AGGREGATE(15,6,ROW('Input Transaksi'!$B$5:$B$5000)/('Input Transaksi'!$B$5:$B$5000="JCL NUSA KAMBANGAN"),ROWS($E$5:E626)),"")</f>
        <v/>
      </c>
      <c r="F626" s="5" t="n"/>
    </row>
    <row r="627">
      <c r="A627" s="10">
        <f>IF($E627="","",INDEX('Input Transaksi'!$A:$A,$E627))</f>
        <v/>
      </c>
      <c r="B627" s="5">
        <f>IF($E627="","",INDEX('Input Transaksi'!$D:$D,$E627))</f>
        <v/>
      </c>
      <c r="C627">
        <f>IF($E627="","",INDEX('Input Transaksi'!$E:$E,$E627))</f>
        <v/>
      </c>
      <c r="D627" s="5">
        <f>IF($E627="","",INDEX('Input Transaksi'!$F:$F,$E627))</f>
        <v/>
      </c>
      <c r="E627">
        <f>IFERROR(AGGREGATE(15,6,ROW('Input Transaksi'!$B$5:$B$5000)/('Input Transaksi'!$B$5:$B$5000="JCL NUSA KAMBANGAN"),ROWS($E$5:E627)),"")</f>
        <v/>
      </c>
      <c r="F627" s="5" t="n"/>
    </row>
    <row r="628">
      <c r="A628" s="10">
        <f>IF($E628="","",INDEX('Input Transaksi'!$A:$A,$E628))</f>
        <v/>
      </c>
      <c r="B628" s="5">
        <f>IF($E628="","",INDEX('Input Transaksi'!$D:$D,$E628))</f>
        <v/>
      </c>
      <c r="C628">
        <f>IF($E628="","",INDEX('Input Transaksi'!$E:$E,$E628))</f>
        <v/>
      </c>
      <c r="D628" s="5">
        <f>IF($E628="","",INDEX('Input Transaksi'!$F:$F,$E628))</f>
        <v/>
      </c>
      <c r="E628">
        <f>IFERROR(AGGREGATE(15,6,ROW('Input Transaksi'!$B$5:$B$5000)/('Input Transaksi'!$B$5:$B$5000="JCL NUSA KAMBANGAN"),ROWS($E$5:E628)),"")</f>
        <v/>
      </c>
      <c r="F628" s="5" t="n"/>
    </row>
    <row r="629">
      <c r="A629" s="10">
        <f>IF($E629="","",INDEX('Input Transaksi'!$A:$A,$E629))</f>
        <v/>
      </c>
      <c r="B629" s="5">
        <f>IF($E629="","",INDEX('Input Transaksi'!$D:$D,$E629))</f>
        <v/>
      </c>
      <c r="C629">
        <f>IF($E629="","",INDEX('Input Transaksi'!$E:$E,$E629))</f>
        <v/>
      </c>
      <c r="D629" s="5">
        <f>IF($E629="","",INDEX('Input Transaksi'!$F:$F,$E629))</f>
        <v/>
      </c>
      <c r="E629">
        <f>IFERROR(AGGREGATE(15,6,ROW('Input Transaksi'!$B$5:$B$5000)/('Input Transaksi'!$B$5:$B$5000="JCL NUSA KAMBANGAN"),ROWS($E$5:E629)),"")</f>
        <v/>
      </c>
      <c r="F629" s="5" t="n"/>
    </row>
    <row r="630">
      <c r="A630" s="10">
        <f>IF($E630="","",INDEX('Input Transaksi'!$A:$A,$E630))</f>
        <v/>
      </c>
      <c r="B630" s="5">
        <f>IF($E630="","",INDEX('Input Transaksi'!$D:$D,$E630))</f>
        <v/>
      </c>
      <c r="C630">
        <f>IF($E630="","",INDEX('Input Transaksi'!$E:$E,$E630))</f>
        <v/>
      </c>
      <c r="D630" s="5">
        <f>IF($E630="","",INDEX('Input Transaksi'!$F:$F,$E630))</f>
        <v/>
      </c>
      <c r="E630">
        <f>IFERROR(AGGREGATE(15,6,ROW('Input Transaksi'!$B$5:$B$5000)/('Input Transaksi'!$B$5:$B$5000="JCL NUSA KAMBANGAN"),ROWS($E$5:E630)),"")</f>
        <v/>
      </c>
      <c r="F630" s="5" t="n"/>
    </row>
    <row r="631">
      <c r="A631" s="10">
        <f>IF($E631="","",INDEX('Input Transaksi'!$A:$A,$E631))</f>
        <v/>
      </c>
      <c r="B631" s="5">
        <f>IF($E631="","",INDEX('Input Transaksi'!$D:$D,$E631))</f>
        <v/>
      </c>
      <c r="C631">
        <f>IF($E631="","",INDEX('Input Transaksi'!$E:$E,$E631))</f>
        <v/>
      </c>
      <c r="D631" s="5">
        <f>IF($E631="","",INDEX('Input Transaksi'!$F:$F,$E631))</f>
        <v/>
      </c>
      <c r="E631">
        <f>IFERROR(AGGREGATE(15,6,ROW('Input Transaksi'!$B$5:$B$5000)/('Input Transaksi'!$B$5:$B$5000="JCL NUSA KAMBANGAN"),ROWS($E$5:E631)),"")</f>
        <v/>
      </c>
      <c r="F631" s="5" t="n"/>
    </row>
    <row r="632">
      <c r="A632" s="10">
        <f>IF($E632="","",INDEX('Input Transaksi'!$A:$A,$E632))</f>
        <v/>
      </c>
      <c r="B632" s="5">
        <f>IF($E632="","",INDEX('Input Transaksi'!$D:$D,$E632))</f>
        <v/>
      </c>
      <c r="C632">
        <f>IF($E632="","",INDEX('Input Transaksi'!$E:$E,$E632))</f>
        <v/>
      </c>
      <c r="D632" s="5">
        <f>IF($E632="","",INDEX('Input Transaksi'!$F:$F,$E632))</f>
        <v/>
      </c>
      <c r="E632">
        <f>IFERROR(AGGREGATE(15,6,ROW('Input Transaksi'!$B$5:$B$5000)/('Input Transaksi'!$B$5:$B$5000="JCL NUSA KAMBANGAN"),ROWS($E$5:E632)),"")</f>
        <v/>
      </c>
      <c r="F632" s="5" t="n"/>
    </row>
    <row r="633">
      <c r="A633" s="10">
        <f>IF($E633="","",INDEX('Input Transaksi'!$A:$A,$E633))</f>
        <v/>
      </c>
      <c r="B633" s="5">
        <f>IF($E633="","",INDEX('Input Transaksi'!$D:$D,$E633))</f>
        <v/>
      </c>
      <c r="C633">
        <f>IF($E633="","",INDEX('Input Transaksi'!$E:$E,$E633))</f>
        <v/>
      </c>
      <c r="D633" s="5">
        <f>IF($E633="","",INDEX('Input Transaksi'!$F:$F,$E633))</f>
        <v/>
      </c>
      <c r="E633">
        <f>IFERROR(AGGREGATE(15,6,ROW('Input Transaksi'!$B$5:$B$5000)/('Input Transaksi'!$B$5:$B$5000="JCL NUSA KAMBANGAN"),ROWS($E$5:E633)),"")</f>
        <v/>
      </c>
      <c r="F633" s="5" t="n"/>
    </row>
    <row r="634">
      <c r="A634" s="10">
        <f>IF($E634="","",INDEX('Input Transaksi'!$A:$A,$E634))</f>
        <v/>
      </c>
      <c r="B634" s="5">
        <f>IF($E634="","",INDEX('Input Transaksi'!$D:$D,$E634))</f>
        <v/>
      </c>
      <c r="C634">
        <f>IF($E634="","",INDEX('Input Transaksi'!$E:$E,$E634))</f>
        <v/>
      </c>
      <c r="D634" s="5">
        <f>IF($E634="","",INDEX('Input Transaksi'!$F:$F,$E634))</f>
        <v/>
      </c>
      <c r="E634">
        <f>IFERROR(AGGREGATE(15,6,ROW('Input Transaksi'!$B$5:$B$5000)/('Input Transaksi'!$B$5:$B$5000="JCL NUSA KAMBANGAN"),ROWS($E$5:E634)),"")</f>
        <v/>
      </c>
      <c r="F634" s="5" t="n"/>
    </row>
    <row r="635">
      <c r="A635" s="10">
        <f>IF($E635="","",INDEX('Input Transaksi'!$A:$A,$E635))</f>
        <v/>
      </c>
      <c r="B635" s="5">
        <f>IF($E635="","",INDEX('Input Transaksi'!$D:$D,$E635))</f>
        <v/>
      </c>
      <c r="C635">
        <f>IF($E635="","",INDEX('Input Transaksi'!$E:$E,$E635))</f>
        <v/>
      </c>
      <c r="D635" s="5">
        <f>IF($E635="","",INDEX('Input Transaksi'!$F:$F,$E635))</f>
        <v/>
      </c>
      <c r="E635">
        <f>IFERROR(AGGREGATE(15,6,ROW('Input Transaksi'!$B$5:$B$5000)/('Input Transaksi'!$B$5:$B$5000="JCL NUSA KAMBANGAN"),ROWS($E$5:E635)),"")</f>
        <v/>
      </c>
      <c r="F635" s="5" t="n"/>
    </row>
    <row r="636">
      <c r="A636" s="10">
        <f>IF($E636="","",INDEX('Input Transaksi'!$A:$A,$E636))</f>
        <v/>
      </c>
      <c r="B636" s="5">
        <f>IF($E636="","",INDEX('Input Transaksi'!$D:$D,$E636))</f>
        <v/>
      </c>
      <c r="C636">
        <f>IF($E636="","",INDEX('Input Transaksi'!$E:$E,$E636))</f>
        <v/>
      </c>
      <c r="D636" s="5">
        <f>IF($E636="","",INDEX('Input Transaksi'!$F:$F,$E636))</f>
        <v/>
      </c>
      <c r="E636">
        <f>IFERROR(AGGREGATE(15,6,ROW('Input Transaksi'!$B$5:$B$5000)/('Input Transaksi'!$B$5:$B$5000="JCL NUSA KAMBANGAN"),ROWS($E$5:E636)),"")</f>
        <v/>
      </c>
      <c r="F636" s="5" t="n"/>
    </row>
    <row r="637">
      <c r="A637" s="10">
        <f>IF($E637="","",INDEX('Input Transaksi'!$A:$A,$E637))</f>
        <v/>
      </c>
      <c r="B637" s="5">
        <f>IF($E637="","",INDEX('Input Transaksi'!$D:$D,$E637))</f>
        <v/>
      </c>
      <c r="C637">
        <f>IF($E637="","",INDEX('Input Transaksi'!$E:$E,$E637))</f>
        <v/>
      </c>
      <c r="D637" s="5">
        <f>IF($E637="","",INDEX('Input Transaksi'!$F:$F,$E637))</f>
        <v/>
      </c>
      <c r="E637">
        <f>IFERROR(AGGREGATE(15,6,ROW('Input Transaksi'!$B$5:$B$5000)/('Input Transaksi'!$B$5:$B$5000="JCL NUSA KAMBANGAN"),ROWS($E$5:E637)),"")</f>
        <v/>
      </c>
      <c r="F637" s="5" t="n"/>
    </row>
    <row r="638">
      <c r="A638" s="10">
        <f>IF($E638="","",INDEX('Input Transaksi'!$A:$A,$E638))</f>
        <v/>
      </c>
      <c r="B638" s="5">
        <f>IF($E638="","",INDEX('Input Transaksi'!$D:$D,$E638))</f>
        <v/>
      </c>
      <c r="C638">
        <f>IF($E638="","",INDEX('Input Transaksi'!$E:$E,$E638))</f>
        <v/>
      </c>
      <c r="D638" s="5">
        <f>IF($E638="","",INDEX('Input Transaksi'!$F:$F,$E638))</f>
        <v/>
      </c>
      <c r="E638">
        <f>IFERROR(AGGREGATE(15,6,ROW('Input Transaksi'!$B$5:$B$5000)/('Input Transaksi'!$B$5:$B$5000="JCL NUSA KAMBANGAN"),ROWS($E$5:E638)),"")</f>
        <v/>
      </c>
      <c r="F638" s="5" t="n"/>
    </row>
    <row r="639">
      <c r="A639" s="10">
        <f>IF($E639="","",INDEX('Input Transaksi'!$A:$A,$E639))</f>
        <v/>
      </c>
      <c r="B639" s="5">
        <f>IF($E639="","",INDEX('Input Transaksi'!$D:$D,$E639))</f>
        <v/>
      </c>
      <c r="C639">
        <f>IF($E639="","",INDEX('Input Transaksi'!$E:$E,$E639))</f>
        <v/>
      </c>
      <c r="D639" s="5">
        <f>IF($E639="","",INDEX('Input Transaksi'!$F:$F,$E639))</f>
        <v/>
      </c>
      <c r="E639">
        <f>IFERROR(AGGREGATE(15,6,ROW('Input Transaksi'!$B$5:$B$5000)/('Input Transaksi'!$B$5:$B$5000="JCL NUSA KAMBANGAN"),ROWS($E$5:E639)),"")</f>
        <v/>
      </c>
      <c r="F639" s="5" t="n"/>
    </row>
    <row r="640">
      <c r="A640" s="10">
        <f>IF($E640="","",INDEX('Input Transaksi'!$A:$A,$E640))</f>
        <v/>
      </c>
      <c r="B640" s="5">
        <f>IF($E640="","",INDEX('Input Transaksi'!$D:$D,$E640))</f>
        <v/>
      </c>
      <c r="C640">
        <f>IF($E640="","",INDEX('Input Transaksi'!$E:$E,$E640))</f>
        <v/>
      </c>
      <c r="D640" s="5">
        <f>IF($E640="","",INDEX('Input Transaksi'!$F:$F,$E640))</f>
        <v/>
      </c>
      <c r="E640">
        <f>IFERROR(AGGREGATE(15,6,ROW('Input Transaksi'!$B$5:$B$5000)/('Input Transaksi'!$B$5:$B$5000="JCL NUSA KAMBANGAN"),ROWS($E$5:E640)),"")</f>
        <v/>
      </c>
      <c r="F640" s="5" t="n"/>
    </row>
    <row r="641">
      <c r="A641" s="10">
        <f>IF($E641="","",INDEX('Input Transaksi'!$A:$A,$E641))</f>
        <v/>
      </c>
      <c r="B641" s="5">
        <f>IF($E641="","",INDEX('Input Transaksi'!$D:$D,$E641))</f>
        <v/>
      </c>
      <c r="C641">
        <f>IF($E641="","",INDEX('Input Transaksi'!$E:$E,$E641))</f>
        <v/>
      </c>
      <c r="D641" s="5">
        <f>IF($E641="","",INDEX('Input Transaksi'!$F:$F,$E641))</f>
        <v/>
      </c>
      <c r="E641">
        <f>IFERROR(AGGREGATE(15,6,ROW('Input Transaksi'!$B$5:$B$5000)/('Input Transaksi'!$B$5:$B$5000="JCL NUSA KAMBANGAN"),ROWS($E$5:E641)),"")</f>
        <v/>
      </c>
      <c r="F641" s="5" t="n"/>
    </row>
    <row r="642">
      <c r="A642" s="10">
        <f>IF($E642="","",INDEX('Input Transaksi'!$A:$A,$E642))</f>
        <v/>
      </c>
      <c r="B642" s="5">
        <f>IF($E642="","",INDEX('Input Transaksi'!$D:$D,$E642))</f>
        <v/>
      </c>
      <c r="C642">
        <f>IF($E642="","",INDEX('Input Transaksi'!$E:$E,$E642))</f>
        <v/>
      </c>
      <c r="D642" s="5">
        <f>IF($E642="","",INDEX('Input Transaksi'!$F:$F,$E642))</f>
        <v/>
      </c>
      <c r="E642">
        <f>IFERROR(AGGREGATE(15,6,ROW('Input Transaksi'!$B$5:$B$5000)/('Input Transaksi'!$B$5:$B$5000="JCL NUSA KAMBANGAN"),ROWS($E$5:E642)),"")</f>
        <v/>
      </c>
      <c r="F642" s="5" t="n"/>
    </row>
    <row r="643">
      <c r="A643" s="10">
        <f>IF($E643="","",INDEX('Input Transaksi'!$A:$A,$E643))</f>
        <v/>
      </c>
      <c r="B643" s="5">
        <f>IF($E643="","",INDEX('Input Transaksi'!$D:$D,$E643))</f>
        <v/>
      </c>
      <c r="C643">
        <f>IF($E643="","",INDEX('Input Transaksi'!$E:$E,$E643))</f>
        <v/>
      </c>
      <c r="D643" s="5">
        <f>IF($E643="","",INDEX('Input Transaksi'!$F:$F,$E643))</f>
        <v/>
      </c>
      <c r="E643">
        <f>IFERROR(AGGREGATE(15,6,ROW('Input Transaksi'!$B$5:$B$5000)/('Input Transaksi'!$B$5:$B$5000="JCL NUSA KAMBANGAN"),ROWS($E$5:E643)),"")</f>
        <v/>
      </c>
      <c r="F643" s="5" t="n"/>
    </row>
    <row r="644">
      <c r="A644" s="10">
        <f>IF($E644="","",INDEX('Input Transaksi'!$A:$A,$E644))</f>
        <v/>
      </c>
      <c r="B644" s="5">
        <f>IF($E644="","",INDEX('Input Transaksi'!$D:$D,$E644))</f>
        <v/>
      </c>
      <c r="C644">
        <f>IF($E644="","",INDEX('Input Transaksi'!$E:$E,$E644))</f>
        <v/>
      </c>
      <c r="D644" s="5">
        <f>IF($E644="","",INDEX('Input Transaksi'!$F:$F,$E644))</f>
        <v/>
      </c>
      <c r="E644">
        <f>IFERROR(AGGREGATE(15,6,ROW('Input Transaksi'!$B$5:$B$5000)/('Input Transaksi'!$B$5:$B$5000="JCL NUSA KAMBANGAN"),ROWS($E$5:E644)),"")</f>
        <v/>
      </c>
      <c r="F644" s="5" t="n"/>
    </row>
    <row r="645">
      <c r="A645" s="10">
        <f>IF($E645="","",INDEX('Input Transaksi'!$A:$A,$E645))</f>
        <v/>
      </c>
      <c r="B645" s="5">
        <f>IF($E645="","",INDEX('Input Transaksi'!$D:$D,$E645))</f>
        <v/>
      </c>
      <c r="C645">
        <f>IF($E645="","",INDEX('Input Transaksi'!$E:$E,$E645))</f>
        <v/>
      </c>
      <c r="D645" s="5">
        <f>IF($E645="","",INDEX('Input Transaksi'!$F:$F,$E645))</f>
        <v/>
      </c>
      <c r="E645">
        <f>IFERROR(AGGREGATE(15,6,ROW('Input Transaksi'!$B$5:$B$5000)/('Input Transaksi'!$B$5:$B$5000="JCL NUSA KAMBANGAN"),ROWS($E$5:E645)),"")</f>
        <v/>
      </c>
      <c r="F645" s="5" t="n"/>
    </row>
    <row r="646">
      <c r="A646" s="10">
        <f>IF($E646="","",INDEX('Input Transaksi'!$A:$A,$E646))</f>
        <v/>
      </c>
      <c r="B646" s="5">
        <f>IF($E646="","",INDEX('Input Transaksi'!$D:$D,$E646))</f>
        <v/>
      </c>
      <c r="C646">
        <f>IF($E646="","",INDEX('Input Transaksi'!$E:$E,$E646))</f>
        <v/>
      </c>
      <c r="D646" s="5">
        <f>IF($E646="","",INDEX('Input Transaksi'!$F:$F,$E646))</f>
        <v/>
      </c>
      <c r="E646">
        <f>IFERROR(AGGREGATE(15,6,ROW('Input Transaksi'!$B$5:$B$5000)/('Input Transaksi'!$B$5:$B$5000="JCL NUSA KAMBANGAN"),ROWS($E$5:E646)),"")</f>
        <v/>
      </c>
      <c r="F646" s="5" t="n"/>
    </row>
    <row r="647">
      <c r="A647" s="10">
        <f>IF($E647="","",INDEX('Input Transaksi'!$A:$A,$E647))</f>
        <v/>
      </c>
      <c r="B647" s="5">
        <f>IF($E647="","",INDEX('Input Transaksi'!$D:$D,$E647))</f>
        <v/>
      </c>
      <c r="C647">
        <f>IF($E647="","",INDEX('Input Transaksi'!$E:$E,$E647))</f>
        <v/>
      </c>
      <c r="D647" s="5">
        <f>IF($E647="","",INDEX('Input Transaksi'!$F:$F,$E647))</f>
        <v/>
      </c>
      <c r="E647">
        <f>IFERROR(AGGREGATE(15,6,ROW('Input Transaksi'!$B$5:$B$5000)/('Input Transaksi'!$B$5:$B$5000="JCL NUSA KAMBANGAN"),ROWS($E$5:E647)),"")</f>
        <v/>
      </c>
      <c r="F647" s="5" t="n"/>
    </row>
    <row r="648">
      <c r="A648" s="10">
        <f>IF($E648="","",INDEX('Input Transaksi'!$A:$A,$E648))</f>
        <v/>
      </c>
      <c r="B648" s="5">
        <f>IF($E648="","",INDEX('Input Transaksi'!$D:$D,$E648))</f>
        <v/>
      </c>
      <c r="C648">
        <f>IF($E648="","",INDEX('Input Transaksi'!$E:$E,$E648))</f>
        <v/>
      </c>
      <c r="D648" s="5">
        <f>IF($E648="","",INDEX('Input Transaksi'!$F:$F,$E648))</f>
        <v/>
      </c>
      <c r="E648">
        <f>IFERROR(AGGREGATE(15,6,ROW('Input Transaksi'!$B$5:$B$5000)/('Input Transaksi'!$B$5:$B$5000="JCL NUSA KAMBANGAN"),ROWS($E$5:E648)),"")</f>
        <v/>
      </c>
      <c r="F648" s="5" t="n"/>
    </row>
    <row r="649">
      <c r="A649" s="10">
        <f>IF($E649="","",INDEX('Input Transaksi'!$A:$A,$E649))</f>
        <v/>
      </c>
      <c r="B649" s="5">
        <f>IF($E649="","",INDEX('Input Transaksi'!$D:$D,$E649))</f>
        <v/>
      </c>
      <c r="C649">
        <f>IF($E649="","",INDEX('Input Transaksi'!$E:$E,$E649))</f>
        <v/>
      </c>
      <c r="D649" s="5">
        <f>IF($E649="","",INDEX('Input Transaksi'!$F:$F,$E649))</f>
        <v/>
      </c>
      <c r="E649">
        <f>IFERROR(AGGREGATE(15,6,ROW('Input Transaksi'!$B$5:$B$5000)/('Input Transaksi'!$B$5:$B$5000="JCL NUSA KAMBANGAN"),ROWS($E$5:E649)),"")</f>
        <v/>
      </c>
      <c r="F649" s="5" t="n"/>
    </row>
    <row r="650">
      <c r="A650" s="10">
        <f>IF($E650="","",INDEX('Input Transaksi'!$A:$A,$E650))</f>
        <v/>
      </c>
      <c r="B650" s="5">
        <f>IF($E650="","",INDEX('Input Transaksi'!$D:$D,$E650))</f>
        <v/>
      </c>
      <c r="C650">
        <f>IF($E650="","",INDEX('Input Transaksi'!$E:$E,$E650))</f>
        <v/>
      </c>
      <c r="D650" s="5">
        <f>IF($E650="","",INDEX('Input Transaksi'!$F:$F,$E650))</f>
        <v/>
      </c>
      <c r="E650">
        <f>IFERROR(AGGREGATE(15,6,ROW('Input Transaksi'!$B$5:$B$5000)/('Input Transaksi'!$B$5:$B$5000="JCL NUSA KAMBANGAN"),ROWS($E$5:E650)),"")</f>
        <v/>
      </c>
      <c r="F650" s="5" t="n"/>
    </row>
    <row r="651">
      <c r="A651" s="10">
        <f>IF($E651="","",INDEX('Input Transaksi'!$A:$A,$E651))</f>
        <v/>
      </c>
      <c r="B651" s="5">
        <f>IF($E651="","",INDEX('Input Transaksi'!$D:$D,$E651))</f>
        <v/>
      </c>
      <c r="C651">
        <f>IF($E651="","",INDEX('Input Transaksi'!$E:$E,$E651))</f>
        <v/>
      </c>
      <c r="D651" s="5">
        <f>IF($E651="","",INDEX('Input Transaksi'!$F:$F,$E651))</f>
        <v/>
      </c>
      <c r="E651">
        <f>IFERROR(AGGREGATE(15,6,ROW('Input Transaksi'!$B$5:$B$5000)/('Input Transaksi'!$B$5:$B$5000="JCL NUSA KAMBANGAN"),ROWS($E$5:E651)),"")</f>
        <v/>
      </c>
      <c r="F651" s="5" t="n"/>
    </row>
    <row r="652">
      <c r="A652" s="10">
        <f>IF($E652="","",INDEX('Input Transaksi'!$A:$A,$E652))</f>
        <v/>
      </c>
      <c r="B652" s="5">
        <f>IF($E652="","",INDEX('Input Transaksi'!$D:$D,$E652))</f>
        <v/>
      </c>
      <c r="C652">
        <f>IF($E652="","",INDEX('Input Transaksi'!$E:$E,$E652))</f>
        <v/>
      </c>
      <c r="D652" s="5">
        <f>IF($E652="","",INDEX('Input Transaksi'!$F:$F,$E652))</f>
        <v/>
      </c>
      <c r="E652">
        <f>IFERROR(AGGREGATE(15,6,ROW('Input Transaksi'!$B$5:$B$5000)/('Input Transaksi'!$B$5:$B$5000="JCL NUSA KAMBANGAN"),ROWS($E$5:E652)),"")</f>
        <v/>
      </c>
      <c r="F652" s="5" t="n"/>
    </row>
    <row r="653">
      <c r="A653" s="10">
        <f>IF($E653="","",INDEX('Input Transaksi'!$A:$A,$E653))</f>
        <v/>
      </c>
      <c r="B653" s="5">
        <f>IF($E653="","",INDEX('Input Transaksi'!$D:$D,$E653))</f>
        <v/>
      </c>
      <c r="C653">
        <f>IF($E653="","",INDEX('Input Transaksi'!$E:$E,$E653))</f>
        <v/>
      </c>
      <c r="D653" s="5">
        <f>IF($E653="","",INDEX('Input Transaksi'!$F:$F,$E653))</f>
        <v/>
      </c>
      <c r="E653">
        <f>IFERROR(AGGREGATE(15,6,ROW('Input Transaksi'!$B$5:$B$5000)/('Input Transaksi'!$B$5:$B$5000="JCL NUSA KAMBANGAN"),ROWS($E$5:E653)),"")</f>
        <v/>
      </c>
      <c r="F653" s="5" t="n"/>
    </row>
    <row r="654">
      <c r="A654" s="10">
        <f>IF($E654="","",INDEX('Input Transaksi'!$A:$A,$E654))</f>
        <v/>
      </c>
      <c r="B654" s="5">
        <f>IF($E654="","",INDEX('Input Transaksi'!$D:$D,$E654))</f>
        <v/>
      </c>
      <c r="C654">
        <f>IF($E654="","",INDEX('Input Transaksi'!$E:$E,$E654))</f>
        <v/>
      </c>
      <c r="D654" s="5">
        <f>IF($E654="","",INDEX('Input Transaksi'!$F:$F,$E654))</f>
        <v/>
      </c>
      <c r="E654">
        <f>IFERROR(AGGREGATE(15,6,ROW('Input Transaksi'!$B$5:$B$5000)/('Input Transaksi'!$B$5:$B$5000="JCL NUSA KAMBANGAN"),ROWS($E$5:E654)),"")</f>
        <v/>
      </c>
      <c r="F654" s="5" t="n"/>
    </row>
    <row r="655">
      <c r="A655" s="10">
        <f>IF($E655="","",INDEX('Input Transaksi'!$A:$A,$E655))</f>
        <v/>
      </c>
      <c r="B655" s="5">
        <f>IF($E655="","",INDEX('Input Transaksi'!$D:$D,$E655))</f>
        <v/>
      </c>
      <c r="C655">
        <f>IF($E655="","",INDEX('Input Transaksi'!$E:$E,$E655))</f>
        <v/>
      </c>
      <c r="D655" s="5">
        <f>IF($E655="","",INDEX('Input Transaksi'!$F:$F,$E655))</f>
        <v/>
      </c>
      <c r="E655">
        <f>IFERROR(AGGREGATE(15,6,ROW('Input Transaksi'!$B$5:$B$5000)/('Input Transaksi'!$B$5:$B$5000="JCL NUSA KAMBANGAN"),ROWS($E$5:E655)),"")</f>
        <v/>
      </c>
      <c r="F655" s="5" t="n"/>
    </row>
    <row r="656">
      <c r="A656" s="10">
        <f>IF($E656="","",INDEX('Input Transaksi'!$A:$A,$E656))</f>
        <v/>
      </c>
      <c r="B656" s="5">
        <f>IF($E656="","",INDEX('Input Transaksi'!$D:$D,$E656))</f>
        <v/>
      </c>
      <c r="C656">
        <f>IF($E656="","",INDEX('Input Transaksi'!$E:$E,$E656))</f>
        <v/>
      </c>
      <c r="D656" s="5">
        <f>IF($E656="","",INDEX('Input Transaksi'!$F:$F,$E656))</f>
        <v/>
      </c>
      <c r="E656">
        <f>IFERROR(AGGREGATE(15,6,ROW('Input Transaksi'!$B$5:$B$5000)/('Input Transaksi'!$B$5:$B$5000="JCL NUSA KAMBANGAN"),ROWS($E$5:E656)),"")</f>
        <v/>
      </c>
      <c r="F656" s="5" t="n"/>
    </row>
    <row r="657">
      <c r="A657" s="10">
        <f>IF($E657="","",INDEX('Input Transaksi'!$A:$A,$E657))</f>
        <v/>
      </c>
      <c r="B657" s="5">
        <f>IF($E657="","",INDEX('Input Transaksi'!$D:$D,$E657))</f>
        <v/>
      </c>
      <c r="C657">
        <f>IF($E657="","",INDEX('Input Transaksi'!$E:$E,$E657))</f>
        <v/>
      </c>
      <c r="D657" s="5">
        <f>IF($E657="","",INDEX('Input Transaksi'!$F:$F,$E657))</f>
        <v/>
      </c>
      <c r="E657">
        <f>IFERROR(AGGREGATE(15,6,ROW('Input Transaksi'!$B$5:$B$5000)/('Input Transaksi'!$B$5:$B$5000="JCL NUSA KAMBANGAN"),ROWS($E$5:E657)),"")</f>
        <v/>
      </c>
      <c r="F657" s="5" t="n"/>
    </row>
    <row r="658">
      <c r="A658" s="10">
        <f>IF($E658="","",INDEX('Input Transaksi'!$A:$A,$E658))</f>
        <v/>
      </c>
      <c r="B658" s="5">
        <f>IF($E658="","",INDEX('Input Transaksi'!$D:$D,$E658))</f>
        <v/>
      </c>
      <c r="C658">
        <f>IF($E658="","",INDEX('Input Transaksi'!$E:$E,$E658))</f>
        <v/>
      </c>
      <c r="D658" s="5">
        <f>IF($E658="","",INDEX('Input Transaksi'!$F:$F,$E658))</f>
        <v/>
      </c>
      <c r="E658">
        <f>IFERROR(AGGREGATE(15,6,ROW('Input Transaksi'!$B$5:$B$5000)/('Input Transaksi'!$B$5:$B$5000="JCL NUSA KAMBANGAN"),ROWS($E$5:E658)),"")</f>
        <v/>
      </c>
      <c r="F658" s="5" t="n"/>
    </row>
    <row r="659">
      <c r="A659" s="10">
        <f>IF($E659="","",INDEX('Input Transaksi'!$A:$A,$E659))</f>
        <v/>
      </c>
      <c r="B659" s="5">
        <f>IF($E659="","",INDEX('Input Transaksi'!$D:$D,$E659))</f>
        <v/>
      </c>
      <c r="C659">
        <f>IF($E659="","",INDEX('Input Transaksi'!$E:$E,$E659))</f>
        <v/>
      </c>
      <c r="D659" s="5">
        <f>IF($E659="","",INDEX('Input Transaksi'!$F:$F,$E659))</f>
        <v/>
      </c>
      <c r="E659">
        <f>IFERROR(AGGREGATE(15,6,ROW('Input Transaksi'!$B$5:$B$5000)/('Input Transaksi'!$B$5:$B$5000="JCL NUSA KAMBANGAN"),ROWS($E$5:E659)),"")</f>
        <v/>
      </c>
      <c r="F659" s="5" t="n"/>
    </row>
    <row r="660">
      <c r="A660" s="10">
        <f>IF($E660="","",INDEX('Input Transaksi'!$A:$A,$E660))</f>
        <v/>
      </c>
      <c r="B660" s="5">
        <f>IF($E660="","",INDEX('Input Transaksi'!$D:$D,$E660))</f>
        <v/>
      </c>
      <c r="C660">
        <f>IF($E660="","",INDEX('Input Transaksi'!$E:$E,$E660))</f>
        <v/>
      </c>
      <c r="D660" s="5">
        <f>IF($E660="","",INDEX('Input Transaksi'!$F:$F,$E660))</f>
        <v/>
      </c>
      <c r="E660">
        <f>IFERROR(AGGREGATE(15,6,ROW('Input Transaksi'!$B$5:$B$5000)/('Input Transaksi'!$B$5:$B$5000="JCL NUSA KAMBANGAN"),ROWS($E$5:E660)),"")</f>
        <v/>
      </c>
      <c r="F660" s="5" t="n"/>
    </row>
    <row r="661">
      <c r="A661" s="10">
        <f>IF($E661="","",INDEX('Input Transaksi'!$A:$A,$E661))</f>
        <v/>
      </c>
      <c r="B661" s="5">
        <f>IF($E661="","",INDEX('Input Transaksi'!$D:$D,$E661))</f>
        <v/>
      </c>
      <c r="C661">
        <f>IF($E661="","",INDEX('Input Transaksi'!$E:$E,$E661))</f>
        <v/>
      </c>
      <c r="D661" s="5">
        <f>IF($E661="","",INDEX('Input Transaksi'!$F:$F,$E661))</f>
        <v/>
      </c>
      <c r="E661">
        <f>IFERROR(AGGREGATE(15,6,ROW('Input Transaksi'!$B$5:$B$5000)/('Input Transaksi'!$B$5:$B$5000="JCL NUSA KAMBANGAN"),ROWS($E$5:E661)),"")</f>
        <v/>
      </c>
      <c r="F661" s="5" t="n"/>
    </row>
    <row r="662">
      <c r="A662" s="10">
        <f>IF($E662="","",INDEX('Input Transaksi'!$A:$A,$E662))</f>
        <v/>
      </c>
      <c r="B662" s="5">
        <f>IF($E662="","",INDEX('Input Transaksi'!$D:$D,$E662))</f>
        <v/>
      </c>
      <c r="C662">
        <f>IF($E662="","",INDEX('Input Transaksi'!$E:$E,$E662))</f>
        <v/>
      </c>
      <c r="D662" s="5">
        <f>IF($E662="","",INDEX('Input Transaksi'!$F:$F,$E662))</f>
        <v/>
      </c>
      <c r="E662">
        <f>IFERROR(AGGREGATE(15,6,ROW('Input Transaksi'!$B$5:$B$5000)/('Input Transaksi'!$B$5:$B$5000="JCL NUSA KAMBANGAN"),ROWS($E$5:E662)),"")</f>
        <v/>
      </c>
      <c r="F662" s="5" t="n"/>
    </row>
    <row r="663">
      <c r="A663" s="10">
        <f>IF($E663="","",INDEX('Input Transaksi'!$A:$A,$E663))</f>
        <v/>
      </c>
      <c r="B663" s="5">
        <f>IF($E663="","",INDEX('Input Transaksi'!$D:$D,$E663))</f>
        <v/>
      </c>
      <c r="C663">
        <f>IF($E663="","",INDEX('Input Transaksi'!$E:$E,$E663))</f>
        <v/>
      </c>
      <c r="D663" s="5">
        <f>IF($E663="","",INDEX('Input Transaksi'!$F:$F,$E663))</f>
        <v/>
      </c>
      <c r="E663">
        <f>IFERROR(AGGREGATE(15,6,ROW('Input Transaksi'!$B$5:$B$5000)/('Input Transaksi'!$B$5:$B$5000="JCL NUSA KAMBANGAN"),ROWS($E$5:E663)),"")</f>
        <v/>
      </c>
      <c r="F663" s="5" t="n"/>
    </row>
    <row r="664">
      <c r="A664" s="10">
        <f>IF($E664="","",INDEX('Input Transaksi'!$A:$A,$E664))</f>
        <v/>
      </c>
      <c r="B664" s="5">
        <f>IF($E664="","",INDEX('Input Transaksi'!$D:$D,$E664))</f>
        <v/>
      </c>
      <c r="C664">
        <f>IF($E664="","",INDEX('Input Transaksi'!$E:$E,$E664))</f>
        <v/>
      </c>
      <c r="D664" s="5">
        <f>IF($E664="","",INDEX('Input Transaksi'!$F:$F,$E664))</f>
        <v/>
      </c>
      <c r="E664">
        <f>IFERROR(AGGREGATE(15,6,ROW('Input Transaksi'!$B$5:$B$5000)/('Input Transaksi'!$B$5:$B$5000="JCL NUSA KAMBANGAN"),ROWS($E$5:E664)),"")</f>
        <v/>
      </c>
      <c r="F664" s="5" t="n"/>
    </row>
    <row r="665">
      <c r="A665" s="10">
        <f>IF($E665="","",INDEX('Input Transaksi'!$A:$A,$E665))</f>
        <v/>
      </c>
      <c r="B665" s="5">
        <f>IF($E665="","",INDEX('Input Transaksi'!$D:$D,$E665))</f>
        <v/>
      </c>
      <c r="C665">
        <f>IF($E665="","",INDEX('Input Transaksi'!$E:$E,$E665))</f>
        <v/>
      </c>
      <c r="D665" s="5">
        <f>IF($E665="","",INDEX('Input Transaksi'!$F:$F,$E665))</f>
        <v/>
      </c>
      <c r="E665">
        <f>IFERROR(AGGREGATE(15,6,ROW('Input Transaksi'!$B$5:$B$5000)/('Input Transaksi'!$B$5:$B$5000="JCL NUSA KAMBANGAN"),ROWS($E$5:E665)),"")</f>
        <v/>
      </c>
      <c r="F665" s="5" t="n"/>
    </row>
    <row r="666">
      <c r="A666" s="10">
        <f>IF($E666="","",INDEX('Input Transaksi'!$A:$A,$E666))</f>
        <v/>
      </c>
      <c r="B666" s="5">
        <f>IF($E666="","",INDEX('Input Transaksi'!$D:$D,$E666))</f>
        <v/>
      </c>
      <c r="C666">
        <f>IF($E666="","",INDEX('Input Transaksi'!$E:$E,$E666))</f>
        <v/>
      </c>
      <c r="D666" s="5">
        <f>IF($E666="","",INDEX('Input Transaksi'!$F:$F,$E666))</f>
        <v/>
      </c>
      <c r="E666">
        <f>IFERROR(AGGREGATE(15,6,ROW('Input Transaksi'!$B$5:$B$5000)/('Input Transaksi'!$B$5:$B$5000="JCL NUSA KAMBANGAN"),ROWS($E$5:E666)),"")</f>
        <v/>
      </c>
      <c r="F666" s="5" t="n"/>
    </row>
    <row r="667">
      <c r="A667" s="10">
        <f>IF($E667="","",INDEX('Input Transaksi'!$A:$A,$E667))</f>
        <v/>
      </c>
      <c r="B667" s="5">
        <f>IF($E667="","",INDEX('Input Transaksi'!$D:$D,$E667))</f>
        <v/>
      </c>
      <c r="C667">
        <f>IF($E667="","",INDEX('Input Transaksi'!$E:$E,$E667))</f>
        <v/>
      </c>
      <c r="D667" s="5">
        <f>IF($E667="","",INDEX('Input Transaksi'!$F:$F,$E667))</f>
        <v/>
      </c>
      <c r="E667">
        <f>IFERROR(AGGREGATE(15,6,ROW('Input Transaksi'!$B$5:$B$5000)/('Input Transaksi'!$B$5:$B$5000="JCL NUSA KAMBANGAN"),ROWS($E$5:E667)),"")</f>
        <v/>
      </c>
      <c r="F667" s="5" t="n"/>
    </row>
    <row r="668">
      <c r="A668" s="10">
        <f>IF($E668="","",INDEX('Input Transaksi'!$A:$A,$E668))</f>
        <v/>
      </c>
      <c r="B668" s="5">
        <f>IF($E668="","",INDEX('Input Transaksi'!$D:$D,$E668))</f>
        <v/>
      </c>
      <c r="C668">
        <f>IF($E668="","",INDEX('Input Transaksi'!$E:$E,$E668))</f>
        <v/>
      </c>
      <c r="D668" s="5">
        <f>IF($E668="","",INDEX('Input Transaksi'!$F:$F,$E668))</f>
        <v/>
      </c>
      <c r="E668">
        <f>IFERROR(AGGREGATE(15,6,ROW('Input Transaksi'!$B$5:$B$5000)/('Input Transaksi'!$B$5:$B$5000="JCL NUSA KAMBANGAN"),ROWS($E$5:E668)),"")</f>
        <v/>
      </c>
      <c r="F668" s="5" t="n"/>
    </row>
    <row r="669">
      <c r="A669" s="10">
        <f>IF($E669="","",INDEX('Input Transaksi'!$A:$A,$E669))</f>
        <v/>
      </c>
      <c r="B669" s="5">
        <f>IF($E669="","",INDEX('Input Transaksi'!$D:$D,$E669))</f>
        <v/>
      </c>
      <c r="C669">
        <f>IF($E669="","",INDEX('Input Transaksi'!$E:$E,$E669))</f>
        <v/>
      </c>
      <c r="D669" s="5">
        <f>IF($E669="","",INDEX('Input Transaksi'!$F:$F,$E669))</f>
        <v/>
      </c>
      <c r="E669">
        <f>IFERROR(AGGREGATE(15,6,ROW('Input Transaksi'!$B$5:$B$5000)/('Input Transaksi'!$B$5:$B$5000="JCL NUSA KAMBANGAN"),ROWS($E$5:E669)),"")</f>
        <v/>
      </c>
      <c r="F669" s="5" t="n"/>
    </row>
    <row r="670">
      <c r="A670" s="10">
        <f>IF($E670="","",INDEX('Input Transaksi'!$A:$A,$E670))</f>
        <v/>
      </c>
      <c r="B670" s="5">
        <f>IF($E670="","",INDEX('Input Transaksi'!$D:$D,$E670))</f>
        <v/>
      </c>
      <c r="C670">
        <f>IF($E670="","",INDEX('Input Transaksi'!$E:$E,$E670))</f>
        <v/>
      </c>
      <c r="D670" s="5">
        <f>IF($E670="","",INDEX('Input Transaksi'!$F:$F,$E670))</f>
        <v/>
      </c>
      <c r="E670">
        <f>IFERROR(AGGREGATE(15,6,ROW('Input Transaksi'!$B$5:$B$5000)/('Input Transaksi'!$B$5:$B$5000="JCL NUSA KAMBANGAN"),ROWS($E$5:E670)),"")</f>
        <v/>
      </c>
      <c r="F670" s="5" t="n"/>
    </row>
    <row r="671">
      <c r="A671" s="10">
        <f>IF($E671="","",INDEX('Input Transaksi'!$A:$A,$E671))</f>
        <v/>
      </c>
      <c r="B671" s="5">
        <f>IF($E671="","",INDEX('Input Transaksi'!$D:$D,$E671))</f>
        <v/>
      </c>
      <c r="C671">
        <f>IF($E671="","",INDEX('Input Transaksi'!$E:$E,$E671))</f>
        <v/>
      </c>
      <c r="D671" s="5">
        <f>IF($E671="","",INDEX('Input Transaksi'!$F:$F,$E671))</f>
        <v/>
      </c>
      <c r="E671">
        <f>IFERROR(AGGREGATE(15,6,ROW('Input Transaksi'!$B$5:$B$5000)/('Input Transaksi'!$B$5:$B$5000="JCL NUSA KAMBANGAN"),ROWS($E$5:E671)),"")</f>
        <v/>
      </c>
      <c r="F671" s="5" t="n"/>
    </row>
    <row r="672">
      <c r="A672" s="10">
        <f>IF($E672="","",INDEX('Input Transaksi'!$A:$A,$E672))</f>
        <v/>
      </c>
      <c r="B672" s="5">
        <f>IF($E672="","",INDEX('Input Transaksi'!$D:$D,$E672))</f>
        <v/>
      </c>
      <c r="C672">
        <f>IF($E672="","",INDEX('Input Transaksi'!$E:$E,$E672))</f>
        <v/>
      </c>
      <c r="D672" s="5">
        <f>IF($E672="","",INDEX('Input Transaksi'!$F:$F,$E672))</f>
        <v/>
      </c>
      <c r="E672">
        <f>IFERROR(AGGREGATE(15,6,ROW('Input Transaksi'!$B$5:$B$5000)/('Input Transaksi'!$B$5:$B$5000="JCL NUSA KAMBANGAN"),ROWS($E$5:E672)),"")</f>
        <v/>
      </c>
      <c r="F672" s="5" t="n"/>
    </row>
    <row r="673">
      <c r="A673" s="10">
        <f>IF($E673="","",INDEX('Input Transaksi'!$A:$A,$E673))</f>
        <v/>
      </c>
      <c r="B673" s="5">
        <f>IF($E673="","",INDEX('Input Transaksi'!$D:$D,$E673))</f>
        <v/>
      </c>
      <c r="C673">
        <f>IF($E673="","",INDEX('Input Transaksi'!$E:$E,$E673))</f>
        <v/>
      </c>
      <c r="D673" s="5">
        <f>IF($E673="","",INDEX('Input Transaksi'!$F:$F,$E673))</f>
        <v/>
      </c>
      <c r="E673">
        <f>IFERROR(AGGREGATE(15,6,ROW('Input Transaksi'!$B$5:$B$5000)/('Input Transaksi'!$B$5:$B$5000="JCL NUSA KAMBANGAN"),ROWS($E$5:E673)),"")</f>
        <v/>
      </c>
      <c r="F673" s="5" t="n"/>
    </row>
    <row r="674">
      <c r="A674" s="10">
        <f>IF($E674="","",INDEX('Input Transaksi'!$A:$A,$E674))</f>
        <v/>
      </c>
      <c r="B674" s="5">
        <f>IF($E674="","",INDEX('Input Transaksi'!$D:$D,$E674))</f>
        <v/>
      </c>
      <c r="C674">
        <f>IF($E674="","",INDEX('Input Transaksi'!$E:$E,$E674))</f>
        <v/>
      </c>
      <c r="D674" s="5">
        <f>IF($E674="","",INDEX('Input Transaksi'!$F:$F,$E674))</f>
        <v/>
      </c>
      <c r="E674">
        <f>IFERROR(AGGREGATE(15,6,ROW('Input Transaksi'!$B$5:$B$5000)/('Input Transaksi'!$B$5:$B$5000="JCL NUSA KAMBANGAN"),ROWS($E$5:E674)),"")</f>
        <v/>
      </c>
      <c r="F674" s="5" t="n"/>
    </row>
    <row r="675">
      <c r="A675" s="10">
        <f>IF($E675="","",INDEX('Input Transaksi'!$A:$A,$E675))</f>
        <v/>
      </c>
      <c r="B675" s="5">
        <f>IF($E675="","",INDEX('Input Transaksi'!$D:$D,$E675))</f>
        <v/>
      </c>
      <c r="C675">
        <f>IF($E675="","",INDEX('Input Transaksi'!$E:$E,$E675))</f>
        <v/>
      </c>
      <c r="D675" s="5">
        <f>IF($E675="","",INDEX('Input Transaksi'!$F:$F,$E675))</f>
        <v/>
      </c>
      <c r="E675">
        <f>IFERROR(AGGREGATE(15,6,ROW('Input Transaksi'!$B$5:$B$5000)/('Input Transaksi'!$B$5:$B$5000="JCL NUSA KAMBANGAN"),ROWS($E$5:E675)),"")</f>
        <v/>
      </c>
      <c r="F675" s="5" t="n"/>
    </row>
    <row r="676">
      <c r="A676" s="10">
        <f>IF($E676="","",INDEX('Input Transaksi'!$A:$A,$E676))</f>
        <v/>
      </c>
      <c r="B676" s="5">
        <f>IF($E676="","",INDEX('Input Transaksi'!$D:$D,$E676))</f>
        <v/>
      </c>
      <c r="C676">
        <f>IF($E676="","",INDEX('Input Transaksi'!$E:$E,$E676))</f>
        <v/>
      </c>
      <c r="D676" s="5">
        <f>IF($E676="","",INDEX('Input Transaksi'!$F:$F,$E676))</f>
        <v/>
      </c>
      <c r="E676">
        <f>IFERROR(AGGREGATE(15,6,ROW('Input Transaksi'!$B$5:$B$5000)/('Input Transaksi'!$B$5:$B$5000="JCL NUSA KAMBANGAN"),ROWS($E$5:E676)),"")</f>
        <v/>
      </c>
      <c r="F676" s="5" t="n"/>
    </row>
    <row r="677">
      <c r="A677" s="10">
        <f>IF($E677="","",INDEX('Input Transaksi'!$A:$A,$E677))</f>
        <v/>
      </c>
      <c r="B677" s="5">
        <f>IF($E677="","",INDEX('Input Transaksi'!$D:$D,$E677))</f>
        <v/>
      </c>
      <c r="C677">
        <f>IF($E677="","",INDEX('Input Transaksi'!$E:$E,$E677))</f>
        <v/>
      </c>
      <c r="D677" s="5">
        <f>IF($E677="","",INDEX('Input Transaksi'!$F:$F,$E677))</f>
        <v/>
      </c>
      <c r="E677">
        <f>IFERROR(AGGREGATE(15,6,ROW('Input Transaksi'!$B$5:$B$5000)/('Input Transaksi'!$B$5:$B$5000="JCL NUSA KAMBANGAN"),ROWS($E$5:E677)),"")</f>
        <v/>
      </c>
      <c r="F677" s="5" t="n"/>
    </row>
    <row r="678">
      <c r="A678" s="10">
        <f>IF($E678="","",INDEX('Input Transaksi'!$A:$A,$E678))</f>
        <v/>
      </c>
      <c r="B678" s="5">
        <f>IF($E678="","",INDEX('Input Transaksi'!$D:$D,$E678))</f>
        <v/>
      </c>
      <c r="C678">
        <f>IF($E678="","",INDEX('Input Transaksi'!$E:$E,$E678))</f>
        <v/>
      </c>
      <c r="D678" s="5">
        <f>IF($E678="","",INDEX('Input Transaksi'!$F:$F,$E678))</f>
        <v/>
      </c>
      <c r="E678">
        <f>IFERROR(AGGREGATE(15,6,ROW('Input Transaksi'!$B$5:$B$5000)/('Input Transaksi'!$B$5:$B$5000="JCL NUSA KAMBANGAN"),ROWS($E$5:E678)),"")</f>
        <v/>
      </c>
      <c r="F678" s="5" t="n"/>
    </row>
    <row r="679">
      <c r="A679" s="10">
        <f>IF($E679="","",INDEX('Input Transaksi'!$A:$A,$E679))</f>
        <v/>
      </c>
      <c r="B679" s="5">
        <f>IF($E679="","",INDEX('Input Transaksi'!$D:$D,$E679))</f>
        <v/>
      </c>
      <c r="C679">
        <f>IF($E679="","",INDEX('Input Transaksi'!$E:$E,$E679))</f>
        <v/>
      </c>
      <c r="D679" s="5">
        <f>IF($E679="","",INDEX('Input Transaksi'!$F:$F,$E679))</f>
        <v/>
      </c>
      <c r="E679">
        <f>IFERROR(AGGREGATE(15,6,ROW('Input Transaksi'!$B$5:$B$5000)/('Input Transaksi'!$B$5:$B$5000="JCL NUSA KAMBANGAN"),ROWS($E$5:E679)),"")</f>
        <v/>
      </c>
      <c r="F679" s="5" t="n"/>
    </row>
    <row r="680">
      <c r="A680" s="10">
        <f>IF($E680="","",INDEX('Input Transaksi'!$A:$A,$E680))</f>
        <v/>
      </c>
      <c r="B680" s="5">
        <f>IF($E680="","",INDEX('Input Transaksi'!$D:$D,$E680))</f>
        <v/>
      </c>
      <c r="C680">
        <f>IF($E680="","",INDEX('Input Transaksi'!$E:$E,$E680))</f>
        <v/>
      </c>
      <c r="D680" s="5">
        <f>IF($E680="","",INDEX('Input Transaksi'!$F:$F,$E680))</f>
        <v/>
      </c>
      <c r="E680">
        <f>IFERROR(AGGREGATE(15,6,ROW('Input Transaksi'!$B$5:$B$5000)/('Input Transaksi'!$B$5:$B$5000="JCL NUSA KAMBANGAN"),ROWS($E$5:E680)),"")</f>
        <v/>
      </c>
      <c r="F680" s="5" t="n"/>
    </row>
    <row r="681">
      <c r="A681" s="10">
        <f>IF($E681="","",INDEX('Input Transaksi'!$A:$A,$E681))</f>
        <v/>
      </c>
      <c r="B681" s="5">
        <f>IF($E681="","",INDEX('Input Transaksi'!$D:$D,$E681))</f>
        <v/>
      </c>
      <c r="C681">
        <f>IF($E681="","",INDEX('Input Transaksi'!$E:$E,$E681))</f>
        <v/>
      </c>
      <c r="D681" s="5">
        <f>IF($E681="","",INDEX('Input Transaksi'!$F:$F,$E681))</f>
        <v/>
      </c>
      <c r="E681">
        <f>IFERROR(AGGREGATE(15,6,ROW('Input Transaksi'!$B$5:$B$5000)/('Input Transaksi'!$B$5:$B$5000="JCL NUSA KAMBANGAN"),ROWS($E$5:E681)),"")</f>
        <v/>
      </c>
      <c r="F681" s="5" t="n"/>
    </row>
    <row r="682">
      <c r="A682" s="10">
        <f>IF($E682="","",INDEX('Input Transaksi'!$A:$A,$E682))</f>
        <v/>
      </c>
      <c r="B682" s="5">
        <f>IF($E682="","",INDEX('Input Transaksi'!$D:$D,$E682))</f>
        <v/>
      </c>
      <c r="C682">
        <f>IF($E682="","",INDEX('Input Transaksi'!$E:$E,$E682))</f>
        <v/>
      </c>
      <c r="D682" s="5">
        <f>IF($E682="","",INDEX('Input Transaksi'!$F:$F,$E682))</f>
        <v/>
      </c>
      <c r="E682">
        <f>IFERROR(AGGREGATE(15,6,ROW('Input Transaksi'!$B$5:$B$5000)/('Input Transaksi'!$B$5:$B$5000="JCL NUSA KAMBANGAN"),ROWS($E$5:E682)),"")</f>
        <v/>
      </c>
      <c r="F682" s="5" t="n"/>
    </row>
    <row r="683">
      <c r="A683" s="10">
        <f>IF($E683="","",INDEX('Input Transaksi'!$A:$A,$E683))</f>
        <v/>
      </c>
      <c r="B683" s="5">
        <f>IF($E683="","",INDEX('Input Transaksi'!$D:$D,$E683))</f>
        <v/>
      </c>
      <c r="C683">
        <f>IF($E683="","",INDEX('Input Transaksi'!$E:$E,$E683))</f>
        <v/>
      </c>
      <c r="D683" s="5">
        <f>IF($E683="","",INDEX('Input Transaksi'!$F:$F,$E683))</f>
        <v/>
      </c>
      <c r="E683">
        <f>IFERROR(AGGREGATE(15,6,ROW('Input Transaksi'!$B$5:$B$5000)/('Input Transaksi'!$B$5:$B$5000="JCL NUSA KAMBANGAN"),ROWS($E$5:E683)),"")</f>
        <v/>
      </c>
      <c r="F683" s="5" t="n"/>
    </row>
    <row r="684">
      <c r="A684" s="10">
        <f>IF($E684="","",INDEX('Input Transaksi'!$A:$A,$E684))</f>
        <v/>
      </c>
      <c r="B684" s="5">
        <f>IF($E684="","",INDEX('Input Transaksi'!$D:$D,$E684))</f>
        <v/>
      </c>
      <c r="C684">
        <f>IF($E684="","",INDEX('Input Transaksi'!$E:$E,$E684))</f>
        <v/>
      </c>
      <c r="D684" s="5">
        <f>IF($E684="","",INDEX('Input Transaksi'!$F:$F,$E684))</f>
        <v/>
      </c>
      <c r="E684">
        <f>IFERROR(AGGREGATE(15,6,ROW('Input Transaksi'!$B$5:$B$5000)/('Input Transaksi'!$B$5:$B$5000="JCL NUSA KAMBANGAN"),ROWS($E$5:E684)),"")</f>
        <v/>
      </c>
      <c r="F684" s="5" t="n"/>
    </row>
    <row r="685">
      <c r="A685" s="10">
        <f>IF($E685="","",INDEX('Input Transaksi'!$A:$A,$E685))</f>
        <v/>
      </c>
      <c r="B685" s="5">
        <f>IF($E685="","",INDEX('Input Transaksi'!$D:$D,$E685))</f>
        <v/>
      </c>
      <c r="C685">
        <f>IF($E685="","",INDEX('Input Transaksi'!$E:$E,$E685))</f>
        <v/>
      </c>
      <c r="D685" s="5">
        <f>IF($E685="","",INDEX('Input Transaksi'!$F:$F,$E685))</f>
        <v/>
      </c>
      <c r="E685">
        <f>IFERROR(AGGREGATE(15,6,ROW('Input Transaksi'!$B$5:$B$5000)/('Input Transaksi'!$B$5:$B$5000="JCL NUSA KAMBANGAN"),ROWS($E$5:E685)),"")</f>
        <v/>
      </c>
      <c r="F685" s="5" t="n"/>
    </row>
    <row r="686">
      <c r="A686" s="10">
        <f>IF($E686="","",INDEX('Input Transaksi'!$A:$A,$E686))</f>
        <v/>
      </c>
      <c r="B686" s="5">
        <f>IF($E686="","",INDEX('Input Transaksi'!$D:$D,$E686))</f>
        <v/>
      </c>
      <c r="C686">
        <f>IF($E686="","",INDEX('Input Transaksi'!$E:$E,$E686))</f>
        <v/>
      </c>
      <c r="D686" s="5">
        <f>IF($E686="","",INDEX('Input Transaksi'!$F:$F,$E686))</f>
        <v/>
      </c>
      <c r="E686">
        <f>IFERROR(AGGREGATE(15,6,ROW('Input Transaksi'!$B$5:$B$5000)/('Input Transaksi'!$B$5:$B$5000="JCL NUSA KAMBANGAN"),ROWS($E$5:E686)),"")</f>
        <v/>
      </c>
      <c r="F686" s="5" t="n"/>
    </row>
    <row r="687">
      <c r="A687" s="10">
        <f>IF($E687="","",INDEX('Input Transaksi'!$A:$A,$E687))</f>
        <v/>
      </c>
      <c r="B687" s="5">
        <f>IF($E687="","",INDEX('Input Transaksi'!$D:$D,$E687))</f>
        <v/>
      </c>
      <c r="C687">
        <f>IF($E687="","",INDEX('Input Transaksi'!$E:$E,$E687))</f>
        <v/>
      </c>
      <c r="D687" s="5">
        <f>IF($E687="","",INDEX('Input Transaksi'!$F:$F,$E687))</f>
        <v/>
      </c>
      <c r="E687">
        <f>IFERROR(AGGREGATE(15,6,ROW('Input Transaksi'!$B$5:$B$5000)/('Input Transaksi'!$B$5:$B$5000="JCL NUSA KAMBANGAN"),ROWS($E$5:E687)),"")</f>
        <v/>
      </c>
      <c r="F687" s="5" t="n"/>
    </row>
    <row r="688">
      <c r="A688" s="10">
        <f>IF($E688="","",INDEX('Input Transaksi'!$A:$A,$E688))</f>
        <v/>
      </c>
      <c r="B688" s="5">
        <f>IF($E688="","",INDEX('Input Transaksi'!$D:$D,$E688))</f>
        <v/>
      </c>
      <c r="C688">
        <f>IF($E688="","",INDEX('Input Transaksi'!$E:$E,$E688))</f>
        <v/>
      </c>
      <c r="D688" s="5">
        <f>IF($E688="","",INDEX('Input Transaksi'!$F:$F,$E688))</f>
        <v/>
      </c>
      <c r="E688">
        <f>IFERROR(AGGREGATE(15,6,ROW('Input Transaksi'!$B$5:$B$5000)/('Input Transaksi'!$B$5:$B$5000="JCL NUSA KAMBANGAN"),ROWS($E$5:E688)),"")</f>
        <v/>
      </c>
      <c r="F688" s="5" t="n"/>
    </row>
    <row r="689">
      <c r="A689" s="10">
        <f>IF($E689="","",INDEX('Input Transaksi'!$A:$A,$E689))</f>
        <v/>
      </c>
      <c r="B689" s="5">
        <f>IF($E689="","",INDEX('Input Transaksi'!$D:$D,$E689))</f>
        <v/>
      </c>
      <c r="C689">
        <f>IF($E689="","",INDEX('Input Transaksi'!$E:$E,$E689))</f>
        <v/>
      </c>
      <c r="D689" s="5">
        <f>IF($E689="","",INDEX('Input Transaksi'!$F:$F,$E689))</f>
        <v/>
      </c>
      <c r="E689">
        <f>IFERROR(AGGREGATE(15,6,ROW('Input Transaksi'!$B$5:$B$5000)/('Input Transaksi'!$B$5:$B$5000="JCL NUSA KAMBANGAN"),ROWS($E$5:E689)),"")</f>
        <v/>
      </c>
      <c r="F689" s="5" t="n"/>
    </row>
    <row r="690">
      <c r="A690" s="10">
        <f>IF($E690="","",INDEX('Input Transaksi'!$A:$A,$E690))</f>
        <v/>
      </c>
      <c r="B690" s="5">
        <f>IF($E690="","",INDEX('Input Transaksi'!$D:$D,$E690))</f>
        <v/>
      </c>
      <c r="C690">
        <f>IF($E690="","",INDEX('Input Transaksi'!$E:$E,$E690))</f>
        <v/>
      </c>
      <c r="D690" s="5">
        <f>IF($E690="","",INDEX('Input Transaksi'!$F:$F,$E690))</f>
        <v/>
      </c>
      <c r="E690">
        <f>IFERROR(AGGREGATE(15,6,ROW('Input Transaksi'!$B$5:$B$5000)/('Input Transaksi'!$B$5:$B$5000="JCL NUSA KAMBANGAN"),ROWS($E$5:E690)),"")</f>
        <v/>
      </c>
      <c r="F690" s="5" t="n"/>
    </row>
    <row r="691">
      <c r="A691" s="10">
        <f>IF($E691="","",INDEX('Input Transaksi'!$A:$A,$E691))</f>
        <v/>
      </c>
      <c r="B691" s="5">
        <f>IF($E691="","",INDEX('Input Transaksi'!$D:$D,$E691))</f>
        <v/>
      </c>
      <c r="C691">
        <f>IF($E691="","",INDEX('Input Transaksi'!$E:$E,$E691))</f>
        <v/>
      </c>
      <c r="D691" s="5">
        <f>IF($E691="","",INDEX('Input Transaksi'!$F:$F,$E691))</f>
        <v/>
      </c>
      <c r="E691">
        <f>IFERROR(AGGREGATE(15,6,ROW('Input Transaksi'!$B$5:$B$5000)/('Input Transaksi'!$B$5:$B$5000="JCL NUSA KAMBANGAN"),ROWS($E$5:E691)),"")</f>
        <v/>
      </c>
      <c r="F691" s="5" t="n"/>
    </row>
    <row r="692">
      <c r="A692" s="10">
        <f>IF($E692="","",INDEX('Input Transaksi'!$A:$A,$E692))</f>
        <v/>
      </c>
      <c r="B692" s="5">
        <f>IF($E692="","",INDEX('Input Transaksi'!$D:$D,$E692))</f>
        <v/>
      </c>
      <c r="C692">
        <f>IF($E692="","",INDEX('Input Transaksi'!$E:$E,$E692))</f>
        <v/>
      </c>
      <c r="D692" s="5">
        <f>IF($E692="","",INDEX('Input Transaksi'!$F:$F,$E692))</f>
        <v/>
      </c>
      <c r="E692">
        <f>IFERROR(AGGREGATE(15,6,ROW('Input Transaksi'!$B$5:$B$5000)/('Input Transaksi'!$B$5:$B$5000="JCL NUSA KAMBANGAN"),ROWS($E$5:E692)),"")</f>
        <v/>
      </c>
      <c r="F692" s="5" t="n"/>
    </row>
    <row r="693">
      <c r="A693" s="10">
        <f>IF($E693="","",INDEX('Input Transaksi'!$A:$A,$E693))</f>
        <v/>
      </c>
      <c r="B693" s="5">
        <f>IF($E693="","",INDEX('Input Transaksi'!$D:$D,$E693))</f>
        <v/>
      </c>
      <c r="C693">
        <f>IF($E693="","",INDEX('Input Transaksi'!$E:$E,$E693))</f>
        <v/>
      </c>
      <c r="D693" s="5">
        <f>IF($E693="","",INDEX('Input Transaksi'!$F:$F,$E693))</f>
        <v/>
      </c>
      <c r="E693">
        <f>IFERROR(AGGREGATE(15,6,ROW('Input Transaksi'!$B$5:$B$5000)/('Input Transaksi'!$B$5:$B$5000="JCL NUSA KAMBANGAN"),ROWS($E$5:E693)),"")</f>
        <v/>
      </c>
      <c r="F693" s="5" t="n"/>
    </row>
    <row r="694">
      <c r="A694" s="10">
        <f>IF($E694="","",INDEX('Input Transaksi'!$A:$A,$E694))</f>
        <v/>
      </c>
      <c r="B694" s="5">
        <f>IF($E694="","",INDEX('Input Transaksi'!$D:$D,$E694))</f>
        <v/>
      </c>
      <c r="C694">
        <f>IF($E694="","",INDEX('Input Transaksi'!$E:$E,$E694))</f>
        <v/>
      </c>
      <c r="D694" s="5">
        <f>IF($E694="","",INDEX('Input Transaksi'!$F:$F,$E694))</f>
        <v/>
      </c>
      <c r="E694">
        <f>IFERROR(AGGREGATE(15,6,ROW('Input Transaksi'!$B$5:$B$5000)/('Input Transaksi'!$B$5:$B$5000="JCL NUSA KAMBANGAN"),ROWS($E$5:E694)),"")</f>
        <v/>
      </c>
      <c r="F694" s="5" t="n"/>
    </row>
    <row r="695">
      <c r="A695" s="10">
        <f>IF($E695="","",INDEX('Input Transaksi'!$A:$A,$E695))</f>
        <v/>
      </c>
      <c r="B695" s="5">
        <f>IF($E695="","",INDEX('Input Transaksi'!$D:$D,$E695))</f>
        <v/>
      </c>
      <c r="C695">
        <f>IF($E695="","",INDEX('Input Transaksi'!$E:$E,$E695))</f>
        <v/>
      </c>
      <c r="D695" s="5">
        <f>IF($E695="","",INDEX('Input Transaksi'!$F:$F,$E695))</f>
        <v/>
      </c>
      <c r="E695">
        <f>IFERROR(AGGREGATE(15,6,ROW('Input Transaksi'!$B$5:$B$5000)/('Input Transaksi'!$B$5:$B$5000="JCL NUSA KAMBANGAN"),ROWS($E$5:E695)),"")</f>
        <v/>
      </c>
      <c r="F695" s="5" t="n"/>
    </row>
    <row r="696">
      <c r="A696" s="10">
        <f>IF($E696="","",INDEX('Input Transaksi'!$A:$A,$E696))</f>
        <v/>
      </c>
      <c r="B696" s="5">
        <f>IF($E696="","",INDEX('Input Transaksi'!$D:$D,$E696))</f>
        <v/>
      </c>
      <c r="C696">
        <f>IF($E696="","",INDEX('Input Transaksi'!$E:$E,$E696))</f>
        <v/>
      </c>
      <c r="D696" s="5">
        <f>IF($E696="","",INDEX('Input Transaksi'!$F:$F,$E696))</f>
        <v/>
      </c>
      <c r="E696">
        <f>IFERROR(AGGREGATE(15,6,ROW('Input Transaksi'!$B$5:$B$5000)/('Input Transaksi'!$B$5:$B$5000="JCL NUSA KAMBANGAN"),ROWS($E$5:E696)),"")</f>
        <v/>
      </c>
      <c r="F696" s="5" t="n"/>
    </row>
    <row r="697">
      <c r="A697" s="10">
        <f>IF($E697="","",INDEX('Input Transaksi'!$A:$A,$E697))</f>
        <v/>
      </c>
      <c r="B697" s="5">
        <f>IF($E697="","",INDEX('Input Transaksi'!$D:$D,$E697))</f>
        <v/>
      </c>
      <c r="C697">
        <f>IF($E697="","",INDEX('Input Transaksi'!$E:$E,$E697))</f>
        <v/>
      </c>
      <c r="D697" s="5">
        <f>IF($E697="","",INDEX('Input Transaksi'!$F:$F,$E697))</f>
        <v/>
      </c>
      <c r="E697">
        <f>IFERROR(AGGREGATE(15,6,ROW('Input Transaksi'!$B$5:$B$5000)/('Input Transaksi'!$B$5:$B$5000="JCL NUSA KAMBANGAN"),ROWS($E$5:E697)),"")</f>
        <v/>
      </c>
      <c r="F697" s="5" t="n"/>
    </row>
    <row r="698">
      <c r="A698" s="10">
        <f>IF($E698="","",INDEX('Input Transaksi'!$A:$A,$E698))</f>
        <v/>
      </c>
      <c r="B698" s="5">
        <f>IF($E698="","",INDEX('Input Transaksi'!$D:$D,$E698))</f>
        <v/>
      </c>
      <c r="C698">
        <f>IF($E698="","",INDEX('Input Transaksi'!$E:$E,$E698))</f>
        <v/>
      </c>
      <c r="D698" s="5">
        <f>IF($E698="","",INDEX('Input Transaksi'!$F:$F,$E698))</f>
        <v/>
      </c>
      <c r="E698">
        <f>IFERROR(AGGREGATE(15,6,ROW('Input Transaksi'!$B$5:$B$5000)/('Input Transaksi'!$B$5:$B$5000="JCL NUSA KAMBANGAN"),ROWS($E$5:E698)),"")</f>
        <v/>
      </c>
      <c r="F698" s="5" t="n"/>
    </row>
    <row r="699">
      <c r="A699" s="10">
        <f>IF($E699="","",INDEX('Input Transaksi'!$A:$A,$E699))</f>
        <v/>
      </c>
      <c r="B699" s="5">
        <f>IF($E699="","",INDEX('Input Transaksi'!$D:$D,$E699))</f>
        <v/>
      </c>
      <c r="C699">
        <f>IF($E699="","",INDEX('Input Transaksi'!$E:$E,$E699))</f>
        <v/>
      </c>
      <c r="D699" s="5">
        <f>IF($E699="","",INDEX('Input Transaksi'!$F:$F,$E699))</f>
        <v/>
      </c>
      <c r="E699">
        <f>IFERROR(AGGREGATE(15,6,ROW('Input Transaksi'!$B$5:$B$5000)/('Input Transaksi'!$B$5:$B$5000="JCL NUSA KAMBANGAN"),ROWS($E$5:E699)),"")</f>
        <v/>
      </c>
      <c r="F699" s="5" t="n"/>
    </row>
    <row r="700">
      <c r="A700" s="10">
        <f>IF($E700="","",INDEX('Input Transaksi'!$A:$A,$E700))</f>
        <v/>
      </c>
      <c r="B700" s="5">
        <f>IF($E700="","",INDEX('Input Transaksi'!$D:$D,$E700))</f>
        <v/>
      </c>
      <c r="C700">
        <f>IF($E700="","",INDEX('Input Transaksi'!$E:$E,$E700))</f>
        <v/>
      </c>
      <c r="D700" s="5">
        <f>IF($E700="","",INDEX('Input Transaksi'!$F:$F,$E700))</f>
        <v/>
      </c>
      <c r="E700">
        <f>IFERROR(AGGREGATE(15,6,ROW('Input Transaksi'!$B$5:$B$5000)/('Input Transaksi'!$B$5:$B$5000="JCL NUSA KAMBANGAN"),ROWS($E$5:E700)),"")</f>
        <v/>
      </c>
      <c r="F700" s="5" t="n"/>
    </row>
    <row r="701">
      <c r="A701" s="10">
        <f>IF($E701="","",INDEX('Input Transaksi'!$A:$A,$E701))</f>
        <v/>
      </c>
      <c r="B701" s="5">
        <f>IF($E701="","",INDEX('Input Transaksi'!$D:$D,$E701))</f>
        <v/>
      </c>
      <c r="C701">
        <f>IF($E701="","",INDEX('Input Transaksi'!$E:$E,$E701))</f>
        <v/>
      </c>
      <c r="D701" s="5">
        <f>IF($E701="","",INDEX('Input Transaksi'!$F:$F,$E701))</f>
        <v/>
      </c>
      <c r="E701">
        <f>IFERROR(AGGREGATE(15,6,ROW('Input Transaksi'!$B$5:$B$5000)/('Input Transaksi'!$B$5:$B$5000="JCL NUSA KAMBANGAN"),ROWS($E$5:E701)),"")</f>
        <v/>
      </c>
      <c r="F701" s="5" t="n"/>
    </row>
    <row r="702">
      <c r="A702" s="10">
        <f>IF($E702="","",INDEX('Input Transaksi'!$A:$A,$E702))</f>
        <v/>
      </c>
      <c r="B702" s="5">
        <f>IF($E702="","",INDEX('Input Transaksi'!$D:$D,$E702))</f>
        <v/>
      </c>
      <c r="C702">
        <f>IF($E702="","",INDEX('Input Transaksi'!$E:$E,$E702))</f>
        <v/>
      </c>
      <c r="D702" s="5">
        <f>IF($E702="","",INDEX('Input Transaksi'!$F:$F,$E702))</f>
        <v/>
      </c>
      <c r="E702">
        <f>IFERROR(AGGREGATE(15,6,ROW('Input Transaksi'!$B$5:$B$5000)/('Input Transaksi'!$B$5:$B$5000="JCL NUSA KAMBANGAN"),ROWS($E$5:E702)),"")</f>
        <v/>
      </c>
      <c r="F702" s="5" t="n"/>
    </row>
    <row r="703">
      <c r="A703" s="10">
        <f>IF($E703="","",INDEX('Input Transaksi'!$A:$A,$E703))</f>
        <v/>
      </c>
      <c r="B703" s="5">
        <f>IF($E703="","",INDEX('Input Transaksi'!$D:$D,$E703))</f>
        <v/>
      </c>
      <c r="C703">
        <f>IF($E703="","",INDEX('Input Transaksi'!$E:$E,$E703))</f>
        <v/>
      </c>
      <c r="D703" s="5">
        <f>IF($E703="","",INDEX('Input Transaksi'!$F:$F,$E703))</f>
        <v/>
      </c>
      <c r="E703">
        <f>IFERROR(AGGREGATE(15,6,ROW('Input Transaksi'!$B$5:$B$5000)/('Input Transaksi'!$B$5:$B$5000="JCL NUSA KAMBANGAN"),ROWS($E$5:E703)),"")</f>
        <v/>
      </c>
      <c r="F703" s="5" t="n"/>
    </row>
    <row r="704">
      <c r="A704" s="10">
        <f>IF($E704="","",INDEX('Input Transaksi'!$A:$A,$E704))</f>
        <v/>
      </c>
      <c r="B704" s="5">
        <f>IF($E704="","",INDEX('Input Transaksi'!$D:$D,$E704))</f>
        <v/>
      </c>
      <c r="C704">
        <f>IF($E704="","",INDEX('Input Transaksi'!$E:$E,$E704))</f>
        <v/>
      </c>
      <c r="D704" s="5">
        <f>IF($E704="","",INDEX('Input Transaksi'!$F:$F,$E704))</f>
        <v/>
      </c>
      <c r="E704">
        <f>IFERROR(AGGREGATE(15,6,ROW('Input Transaksi'!$B$5:$B$5000)/('Input Transaksi'!$B$5:$B$5000="JCL NUSA KAMBANGAN"),ROWS($E$5:E704)),"")</f>
        <v/>
      </c>
      <c r="F704" s="5" t="n"/>
    </row>
    <row r="705">
      <c r="A705" s="10">
        <f>IF($E705="","",INDEX('Input Transaksi'!$A:$A,$E705))</f>
        <v/>
      </c>
      <c r="B705" s="5">
        <f>IF($E705="","",INDEX('Input Transaksi'!$D:$D,$E705))</f>
        <v/>
      </c>
      <c r="C705">
        <f>IF($E705="","",INDEX('Input Transaksi'!$E:$E,$E705))</f>
        <v/>
      </c>
      <c r="D705" s="5">
        <f>IF($E705="","",INDEX('Input Transaksi'!$F:$F,$E705))</f>
        <v/>
      </c>
      <c r="E705">
        <f>IFERROR(AGGREGATE(15,6,ROW('Input Transaksi'!$B$5:$B$5000)/('Input Transaksi'!$B$5:$B$5000="JCL NUSA KAMBANGAN"),ROWS($E$5:E705)),"")</f>
        <v/>
      </c>
      <c r="F705" s="5" t="n"/>
    </row>
    <row r="706">
      <c r="A706" s="10">
        <f>IF($E706="","",INDEX('Input Transaksi'!$A:$A,$E706))</f>
        <v/>
      </c>
      <c r="B706" s="5">
        <f>IF($E706="","",INDEX('Input Transaksi'!$D:$D,$E706))</f>
        <v/>
      </c>
      <c r="C706">
        <f>IF($E706="","",INDEX('Input Transaksi'!$E:$E,$E706))</f>
        <v/>
      </c>
      <c r="D706" s="5">
        <f>IF($E706="","",INDEX('Input Transaksi'!$F:$F,$E706))</f>
        <v/>
      </c>
      <c r="E706">
        <f>IFERROR(AGGREGATE(15,6,ROW('Input Transaksi'!$B$5:$B$5000)/('Input Transaksi'!$B$5:$B$5000="JCL NUSA KAMBANGAN"),ROWS($E$5:E706)),"")</f>
        <v/>
      </c>
      <c r="F706" s="5" t="n"/>
    </row>
    <row r="707">
      <c r="A707" s="10">
        <f>IF($E707="","",INDEX('Input Transaksi'!$A:$A,$E707))</f>
        <v/>
      </c>
      <c r="B707" s="5">
        <f>IF($E707="","",INDEX('Input Transaksi'!$D:$D,$E707))</f>
        <v/>
      </c>
      <c r="C707">
        <f>IF($E707="","",INDEX('Input Transaksi'!$E:$E,$E707))</f>
        <v/>
      </c>
      <c r="D707" s="5">
        <f>IF($E707="","",INDEX('Input Transaksi'!$F:$F,$E707))</f>
        <v/>
      </c>
      <c r="E707">
        <f>IFERROR(AGGREGATE(15,6,ROW('Input Transaksi'!$B$5:$B$5000)/('Input Transaksi'!$B$5:$B$5000="JCL NUSA KAMBANGAN"),ROWS($E$5:E707)),"")</f>
        <v/>
      </c>
      <c r="F707" s="5" t="n"/>
    </row>
    <row r="708">
      <c r="A708" s="10">
        <f>IF($E708="","",INDEX('Input Transaksi'!$A:$A,$E708))</f>
        <v/>
      </c>
      <c r="B708" s="5">
        <f>IF($E708="","",INDEX('Input Transaksi'!$D:$D,$E708))</f>
        <v/>
      </c>
      <c r="C708">
        <f>IF($E708="","",INDEX('Input Transaksi'!$E:$E,$E708))</f>
        <v/>
      </c>
      <c r="D708" s="5">
        <f>IF($E708="","",INDEX('Input Transaksi'!$F:$F,$E708))</f>
        <v/>
      </c>
      <c r="E708">
        <f>IFERROR(AGGREGATE(15,6,ROW('Input Transaksi'!$B$5:$B$5000)/('Input Transaksi'!$B$5:$B$5000="JCL NUSA KAMBANGAN"),ROWS($E$5:E708)),"")</f>
        <v/>
      </c>
      <c r="F708" s="5" t="n"/>
    </row>
    <row r="709">
      <c r="A709" s="10">
        <f>IF($E709="","",INDEX('Input Transaksi'!$A:$A,$E709))</f>
        <v/>
      </c>
      <c r="B709" s="5">
        <f>IF($E709="","",INDEX('Input Transaksi'!$D:$D,$E709))</f>
        <v/>
      </c>
      <c r="C709">
        <f>IF($E709="","",INDEX('Input Transaksi'!$E:$E,$E709))</f>
        <v/>
      </c>
      <c r="D709" s="5">
        <f>IF($E709="","",INDEX('Input Transaksi'!$F:$F,$E709))</f>
        <v/>
      </c>
      <c r="E709">
        <f>IFERROR(AGGREGATE(15,6,ROW('Input Transaksi'!$B$5:$B$5000)/('Input Transaksi'!$B$5:$B$5000="JCL NUSA KAMBANGAN"),ROWS($E$5:E709)),"")</f>
        <v/>
      </c>
      <c r="F709" s="5" t="n"/>
    </row>
    <row r="710">
      <c r="A710" s="10">
        <f>IF($E710="","",INDEX('Input Transaksi'!$A:$A,$E710))</f>
        <v/>
      </c>
      <c r="B710" s="5">
        <f>IF($E710="","",INDEX('Input Transaksi'!$D:$D,$E710))</f>
        <v/>
      </c>
      <c r="C710">
        <f>IF($E710="","",INDEX('Input Transaksi'!$E:$E,$E710))</f>
        <v/>
      </c>
      <c r="D710" s="5">
        <f>IF($E710="","",INDEX('Input Transaksi'!$F:$F,$E710))</f>
        <v/>
      </c>
      <c r="E710">
        <f>IFERROR(AGGREGATE(15,6,ROW('Input Transaksi'!$B$5:$B$5000)/('Input Transaksi'!$B$5:$B$5000="JCL NUSA KAMBANGAN"),ROWS($E$5:E710)),"")</f>
        <v/>
      </c>
      <c r="F710" s="5" t="n"/>
    </row>
    <row r="711">
      <c r="A711" s="10">
        <f>IF($E711="","",INDEX('Input Transaksi'!$A:$A,$E711))</f>
        <v/>
      </c>
      <c r="B711" s="5">
        <f>IF($E711="","",INDEX('Input Transaksi'!$D:$D,$E711))</f>
        <v/>
      </c>
      <c r="C711">
        <f>IF($E711="","",INDEX('Input Transaksi'!$E:$E,$E711))</f>
        <v/>
      </c>
      <c r="D711" s="5">
        <f>IF($E711="","",INDEX('Input Transaksi'!$F:$F,$E711))</f>
        <v/>
      </c>
      <c r="E711">
        <f>IFERROR(AGGREGATE(15,6,ROW('Input Transaksi'!$B$5:$B$5000)/('Input Transaksi'!$B$5:$B$5000="JCL NUSA KAMBANGAN"),ROWS($E$5:E711)),"")</f>
        <v/>
      </c>
      <c r="F711" s="5" t="n"/>
    </row>
    <row r="712">
      <c r="A712" s="10">
        <f>IF($E712="","",INDEX('Input Transaksi'!$A:$A,$E712))</f>
        <v/>
      </c>
      <c r="B712" s="5">
        <f>IF($E712="","",INDEX('Input Transaksi'!$D:$D,$E712))</f>
        <v/>
      </c>
      <c r="C712">
        <f>IF($E712="","",INDEX('Input Transaksi'!$E:$E,$E712))</f>
        <v/>
      </c>
      <c r="D712" s="5">
        <f>IF($E712="","",INDEX('Input Transaksi'!$F:$F,$E712))</f>
        <v/>
      </c>
      <c r="E712">
        <f>IFERROR(AGGREGATE(15,6,ROW('Input Transaksi'!$B$5:$B$5000)/('Input Transaksi'!$B$5:$B$5000="JCL NUSA KAMBANGAN"),ROWS($E$5:E712)),"")</f>
        <v/>
      </c>
      <c r="F712" s="5" t="n"/>
    </row>
    <row r="713">
      <c r="A713" s="10">
        <f>IF($E713="","",INDEX('Input Transaksi'!$A:$A,$E713))</f>
        <v/>
      </c>
      <c r="B713" s="5">
        <f>IF($E713="","",INDEX('Input Transaksi'!$D:$D,$E713))</f>
        <v/>
      </c>
      <c r="C713">
        <f>IF($E713="","",INDEX('Input Transaksi'!$E:$E,$E713))</f>
        <v/>
      </c>
      <c r="D713" s="5">
        <f>IF($E713="","",INDEX('Input Transaksi'!$F:$F,$E713))</f>
        <v/>
      </c>
      <c r="E713">
        <f>IFERROR(AGGREGATE(15,6,ROW('Input Transaksi'!$B$5:$B$5000)/('Input Transaksi'!$B$5:$B$5000="JCL NUSA KAMBANGAN"),ROWS($E$5:E713)),"")</f>
        <v/>
      </c>
      <c r="F713" s="5" t="n"/>
    </row>
    <row r="714">
      <c r="A714" s="10">
        <f>IF($E714="","",INDEX('Input Transaksi'!$A:$A,$E714))</f>
        <v/>
      </c>
      <c r="B714" s="5">
        <f>IF($E714="","",INDEX('Input Transaksi'!$D:$D,$E714))</f>
        <v/>
      </c>
      <c r="C714">
        <f>IF($E714="","",INDEX('Input Transaksi'!$E:$E,$E714))</f>
        <v/>
      </c>
      <c r="D714" s="5">
        <f>IF($E714="","",INDEX('Input Transaksi'!$F:$F,$E714))</f>
        <v/>
      </c>
      <c r="E714">
        <f>IFERROR(AGGREGATE(15,6,ROW('Input Transaksi'!$B$5:$B$5000)/('Input Transaksi'!$B$5:$B$5000="JCL NUSA KAMBANGAN"),ROWS($E$5:E714)),"")</f>
        <v/>
      </c>
      <c r="F714" s="5" t="n"/>
    </row>
    <row r="715">
      <c r="A715" s="10">
        <f>IF($E715="","",INDEX('Input Transaksi'!$A:$A,$E715))</f>
        <v/>
      </c>
      <c r="B715" s="5">
        <f>IF($E715="","",INDEX('Input Transaksi'!$D:$D,$E715))</f>
        <v/>
      </c>
      <c r="C715">
        <f>IF($E715="","",INDEX('Input Transaksi'!$E:$E,$E715))</f>
        <v/>
      </c>
      <c r="D715" s="5">
        <f>IF($E715="","",INDEX('Input Transaksi'!$F:$F,$E715))</f>
        <v/>
      </c>
      <c r="E715">
        <f>IFERROR(AGGREGATE(15,6,ROW('Input Transaksi'!$B$5:$B$5000)/('Input Transaksi'!$B$5:$B$5000="JCL NUSA KAMBANGAN"),ROWS($E$5:E715)),"")</f>
        <v/>
      </c>
      <c r="F715" s="5" t="n"/>
    </row>
    <row r="716">
      <c r="A716" s="10">
        <f>IF($E716="","",INDEX('Input Transaksi'!$A:$A,$E716))</f>
        <v/>
      </c>
      <c r="B716" s="5">
        <f>IF($E716="","",INDEX('Input Transaksi'!$D:$D,$E716))</f>
        <v/>
      </c>
      <c r="C716">
        <f>IF($E716="","",INDEX('Input Transaksi'!$E:$E,$E716))</f>
        <v/>
      </c>
      <c r="D716" s="5">
        <f>IF($E716="","",INDEX('Input Transaksi'!$F:$F,$E716))</f>
        <v/>
      </c>
      <c r="E716">
        <f>IFERROR(AGGREGATE(15,6,ROW('Input Transaksi'!$B$5:$B$5000)/('Input Transaksi'!$B$5:$B$5000="JCL NUSA KAMBANGAN"),ROWS($E$5:E716)),"")</f>
        <v/>
      </c>
      <c r="F716" s="5" t="n"/>
    </row>
    <row r="717">
      <c r="A717" s="10">
        <f>IF($E717="","",INDEX('Input Transaksi'!$A:$A,$E717))</f>
        <v/>
      </c>
      <c r="B717" s="5">
        <f>IF($E717="","",INDEX('Input Transaksi'!$D:$D,$E717))</f>
        <v/>
      </c>
      <c r="C717">
        <f>IF($E717="","",INDEX('Input Transaksi'!$E:$E,$E717))</f>
        <v/>
      </c>
      <c r="D717" s="5">
        <f>IF($E717="","",INDEX('Input Transaksi'!$F:$F,$E717))</f>
        <v/>
      </c>
      <c r="E717">
        <f>IFERROR(AGGREGATE(15,6,ROW('Input Transaksi'!$B$5:$B$5000)/('Input Transaksi'!$B$5:$B$5000="JCL NUSA KAMBANGAN"),ROWS($E$5:E717)),"")</f>
        <v/>
      </c>
      <c r="F717" s="5" t="n"/>
    </row>
    <row r="718">
      <c r="A718" s="10">
        <f>IF($E718="","",INDEX('Input Transaksi'!$A:$A,$E718))</f>
        <v/>
      </c>
      <c r="B718" s="5">
        <f>IF($E718="","",INDEX('Input Transaksi'!$D:$D,$E718))</f>
        <v/>
      </c>
      <c r="C718">
        <f>IF($E718="","",INDEX('Input Transaksi'!$E:$E,$E718))</f>
        <v/>
      </c>
      <c r="D718" s="5">
        <f>IF($E718="","",INDEX('Input Transaksi'!$F:$F,$E718))</f>
        <v/>
      </c>
      <c r="E718">
        <f>IFERROR(AGGREGATE(15,6,ROW('Input Transaksi'!$B$5:$B$5000)/('Input Transaksi'!$B$5:$B$5000="JCL NUSA KAMBANGAN"),ROWS($E$5:E718)),"")</f>
        <v/>
      </c>
      <c r="F718" s="5" t="n"/>
    </row>
    <row r="719">
      <c r="A719" s="10">
        <f>IF($E719="","",INDEX('Input Transaksi'!$A:$A,$E719))</f>
        <v/>
      </c>
      <c r="B719" s="5">
        <f>IF($E719="","",INDEX('Input Transaksi'!$D:$D,$E719))</f>
        <v/>
      </c>
      <c r="C719">
        <f>IF($E719="","",INDEX('Input Transaksi'!$E:$E,$E719))</f>
        <v/>
      </c>
      <c r="D719" s="5">
        <f>IF($E719="","",INDEX('Input Transaksi'!$F:$F,$E719))</f>
        <v/>
      </c>
      <c r="E719">
        <f>IFERROR(AGGREGATE(15,6,ROW('Input Transaksi'!$B$5:$B$5000)/('Input Transaksi'!$B$5:$B$5000="JCL NUSA KAMBANGAN"),ROWS($E$5:E719)),"")</f>
        <v/>
      </c>
      <c r="F719" s="5" t="n"/>
    </row>
    <row r="720">
      <c r="A720" s="10">
        <f>IF($E720="","",INDEX('Input Transaksi'!$A:$A,$E720))</f>
        <v/>
      </c>
      <c r="B720" s="5">
        <f>IF($E720="","",INDEX('Input Transaksi'!$D:$D,$E720))</f>
        <v/>
      </c>
      <c r="C720">
        <f>IF($E720="","",INDEX('Input Transaksi'!$E:$E,$E720))</f>
        <v/>
      </c>
      <c r="D720" s="5">
        <f>IF($E720="","",INDEX('Input Transaksi'!$F:$F,$E720))</f>
        <v/>
      </c>
      <c r="E720">
        <f>IFERROR(AGGREGATE(15,6,ROW('Input Transaksi'!$B$5:$B$5000)/('Input Transaksi'!$B$5:$B$5000="JCL NUSA KAMBANGAN"),ROWS($E$5:E720)),"")</f>
        <v/>
      </c>
      <c r="F720" s="5" t="n"/>
    </row>
    <row r="721">
      <c r="A721" s="10">
        <f>IF($E721="","",INDEX('Input Transaksi'!$A:$A,$E721))</f>
        <v/>
      </c>
      <c r="B721" s="5">
        <f>IF($E721="","",INDEX('Input Transaksi'!$D:$D,$E721))</f>
        <v/>
      </c>
      <c r="C721">
        <f>IF($E721="","",INDEX('Input Transaksi'!$E:$E,$E721))</f>
        <v/>
      </c>
      <c r="D721" s="5">
        <f>IF($E721="","",INDEX('Input Transaksi'!$F:$F,$E721))</f>
        <v/>
      </c>
      <c r="E721">
        <f>IFERROR(AGGREGATE(15,6,ROW('Input Transaksi'!$B$5:$B$5000)/('Input Transaksi'!$B$5:$B$5000="JCL NUSA KAMBANGAN"),ROWS($E$5:E721)),"")</f>
        <v/>
      </c>
      <c r="F721" s="5" t="n"/>
    </row>
    <row r="722">
      <c r="A722" s="10">
        <f>IF($E722="","",INDEX('Input Transaksi'!$A:$A,$E722))</f>
        <v/>
      </c>
      <c r="B722" s="5">
        <f>IF($E722="","",INDEX('Input Transaksi'!$D:$D,$E722))</f>
        <v/>
      </c>
      <c r="C722">
        <f>IF($E722="","",INDEX('Input Transaksi'!$E:$E,$E722))</f>
        <v/>
      </c>
      <c r="D722" s="5">
        <f>IF($E722="","",INDEX('Input Transaksi'!$F:$F,$E722))</f>
        <v/>
      </c>
      <c r="E722">
        <f>IFERROR(AGGREGATE(15,6,ROW('Input Transaksi'!$B$5:$B$5000)/('Input Transaksi'!$B$5:$B$5000="JCL NUSA KAMBANGAN"),ROWS($E$5:E722)),"")</f>
        <v/>
      </c>
      <c r="F722" s="5" t="n"/>
    </row>
    <row r="723">
      <c r="A723" s="10">
        <f>IF($E723="","",INDEX('Input Transaksi'!$A:$A,$E723))</f>
        <v/>
      </c>
      <c r="B723" s="5">
        <f>IF($E723="","",INDEX('Input Transaksi'!$D:$D,$E723))</f>
        <v/>
      </c>
      <c r="C723">
        <f>IF($E723="","",INDEX('Input Transaksi'!$E:$E,$E723))</f>
        <v/>
      </c>
      <c r="D723" s="5">
        <f>IF($E723="","",INDEX('Input Transaksi'!$F:$F,$E723))</f>
        <v/>
      </c>
      <c r="E723">
        <f>IFERROR(AGGREGATE(15,6,ROW('Input Transaksi'!$B$5:$B$5000)/('Input Transaksi'!$B$5:$B$5000="JCL NUSA KAMBANGAN"),ROWS($E$5:E723)),"")</f>
        <v/>
      </c>
      <c r="F723" s="5" t="n"/>
    </row>
    <row r="724">
      <c r="A724" s="10">
        <f>IF($E724="","",INDEX('Input Transaksi'!$A:$A,$E724))</f>
        <v/>
      </c>
      <c r="B724" s="5">
        <f>IF($E724="","",INDEX('Input Transaksi'!$D:$D,$E724))</f>
        <v/>
      </c>
      <c r="C724">
        <f>IF($E724="","",INDEX('Input Transaksi'!$E:$E,$E724))</f>
        <v/>
      </c>
      <c r="D724" s="5">
        <f>IF($E724="","",INDEX('Input Transaksi'!$F:$F,$E724))</f>
        <v/>
      </c>
      <c r="E724">
        <f>IFERROR(AGGREGATE(15,6,ROW('Input Transaksi'!$B$5:$B$5000)/('Input Transaksi'!$B$5:$B$5000="JCL NUSA KAMBANGAN"),ROWS($E$5:E724)),"")</f>
        <v/>
      </c>
      <c r="F724" s="5" t="n"/>
    </row>
    <row r="725">
      <c r="A725" s="10">
        <f>IF($E725="","",INDEX('Input Transaksi'!$A:$A,$E725))</f>
        <v/>
      </c>
      <c r="B725" s="5">
        <f>IF($E725="","",INDEX('Input Transaksi'!$D:$D,$E725))</f>
        <v/>
      </c>
      <c r="C725">
        <f>IF($E725="","",INDEX('Input Transaksi'!$E:$E,$E725))</f>
        <v/>
      </c>
      <c r="D725" s="5">
        <f>IF($E725="","",INDEX('Input Transaksi'!$F:$F,$E725))</f>
        <v/>
      </c>
      <c r="E725">
        <f>IFERROR(AGGREGATE(15,6,ROW('Input Transaksi'!$B$5:$B$5000)/('Input Transaksi'!$B$5:$B$5000="JCL NUSA KAMBANGAN"),ROWS($E$5:E725)),"")</f>
        <v/>
      </c>
      <c r="F725" s="5" t="n"/>
    </row>
    <row r="726">
      <c r="A726" s="10">
        <f>IF($E726="","",INDEX('Input Transaksi'!$A:$A,$E726))</f>
        <v/>
      </c>
      <c r="B726" s="5">
        <f>IF($E726="","",INDEX('Input Transaksi'!$D:$D,$E726))</f>
        <v/>
      </c>
      <c r="C726">
        <f>IF($E726="","",INDEX('Input Transaksi'!$E:$E,$E726))</f>
        <v/>
      </c>
      <c r="D726" s="5">
        <f>IF($E726="","",INDEX('Input Transaksi'!$F:$F,$E726))</f>
        <v/>
      </c>
      <c r="E726">
        <f>IFERROR(AGGREGATE(15,6,ROW('Input Transaksi'!$B$5:$B$5000)/('Input Transaksi'!$B$5:$B$5000="JCL NUSA KAMBANGAN"),ROWS($E$5:E726)),"")</f>
        <v/>
      </c>
      <c r="F726" s="5" t="n"/>
    </row>
    <row r="727">
      <c r="A727" s="10">
        <f>IF($E727="","",INDEX('Input Transaksi'!$A:$A,$E727))</f>
        <v/>
      </c>
      <c r="B727" s="5">
        <f>IF($E727="","",INDEX('Input Transaksi'!$D:$D,$E727))</f>
        <v/>
      </c>
      <c r="C727">
        <f>IF($E727="","",INDEX('Input Transaksi'!$E:$E,$E727))</f>
        <v/>
      </c>
      <c r="D727" s="5">
        <f>IF($E727="","",INDEX('Input Transaksi'!$F:$F,$E727))</f>
        <v/>
      </c>
      <c r="E727">
        <f>IFERROR(AGGREGATE(15,6,ROW('Input Transaksi'!$B$5:$B$5000)/('Input Transaksi'!$B$5:$B$5000="JCL NUSA KAMBANGAN"),ROWS($E$5:E727)),"")</f>
        <v/>
      </c>
      <c r="F727" s="5" t="n"/>
    </row>
    <row r="728">
      <c r="A728" s="10">
        <f>IF($E728="","",INDEX('Input Transaksi'!$A:$A,$E728))</f>
        <v/>
      </c>
      <c r="B728" s="5">
        <f>IF($E728="","",INDEX('Input Transaksi'!$D:$D,$E728))</f>
        <v/>
      </c>
      <c r="C728">
        <f>IF($E728="","",INDEX('Input Transaksi'!$E:$E,$E728))</f>
        <v/>
      </c>
      <c r="D728" s="5">
        <f>IF($E728="","",INDEX('Input Transaksi'!$F:$F,$E728))</f>
        <v/>
      </c>
      <c r="E728">
        <f>IFERROR(AGGREGATE(15,6,ROW('Input Transaksi'!$B$5:$B$5000)/('Input Transaksi'!$B$5:$B$5000="JCL NUSA KAMBANGAN"),ROWS($E$5:E728)),"")</f>
        <v/>
      </c>
      <c r="F728" s="5" t="n"/>
    </row>
    <row r="729">
      <c r="A729" s="10">
        <f>IF($E729="","",INDEX('Input Transaksi'!$A:$A,$E729))</f>
        <v/>
      </c>
      <c r="B729" s="5">
        <f>IF($E729="","",INDEX('Input Transaksi'!$D:$D,$E729))</f>
        <v/>
      </c>
      <c r="C729">
        <f>IF($E729="","",INDEX('Input Transaksi'!$E:$E,$E729))</f>
        <v/>
      </c>
      <c r="D729" s="5">
        <f>IF($E729="","",INDEX('Input Transaksi'!$F:$F,$E729))</f>
        <v/>
      </c>
      <c r="E729">
        <f>IFERROR(AGGREGATE(15,6,ROW('Input Transaksi'!$B$5:$B$5000)/('Input Transaksi'!$B$5:$B$5000="JCL NUSA KAMBANGAN"),ROWS($E$5:E729)),"")</f>
        <v/>
      </c>
      <c r="F729" s="5" t="n"/>
    </row>
    <row r="730">
      <c r="A730" s="10">
        <f>IF($E730="","",INDEX('Input Transaksi'!$A:$A,$E730))</f>
        <v/>
      </c>
      <c r="B730" s="5">
        <f>IF($E730="","",INDEX('Input Transaksi'!$D:$D,$E730))</f>
        <v/>
      </c>
      <c r="C730">
        <f>IF($E730="","",INDEX('Input Transaksi'!$E:$E,$E730))</f>
        <v/>
      </c>
      <c r="D730" s="5">
        <f>IF($E730="","",INDEX('Input Transaksi'!$F:$F,$E730))</f>
        <v/>
      </c>
      <c r="E730">
        <f>IFERROR(AGGREGATE(15,6,ROW('Input Transaksi'!$B$5:$B$5000)/('Input Transaksi'!$B$5:$B$5000="JCL NUSA KAMBANGAN"),ROWS($E$5:E730)),"")</f>
        <v/>
      </c>
      <c r="F730" s="5" t="n"/>
    </row>
    <row r="731">
      <c r="A731" s="10">
        <f>IF($E731="","",INDEX('Input Transaksi'!$A:$A,$E731))</f>
        <v/>
      </c>
      <c r="B731" s="5">
        <f>IF($E731="","",INDEX('Input Transaksi'!$D:$D,$E731))</f>
        <v/>
      </c>
      <c r="C731">
        <f>IF($E731="","",INDEX('Input Transaksi'!$E:$E,$E731))</f>
        <v/>
      </c>
      <c r="D731" s="5">
        <f>IF($E731="","",INDEX('Input Transaksi'!$F:$F,$E731))</f>
        <v/>
      </c>
      <c r="E731">
        <f>IFERROR(AGGREGATE(15,6,ROW('Input Transaksi'!$B$5:$B$5000)/('Input Transaksi'!$B$5:$B$5000="JCL NUSA KAMBANGAN"),ROWS($E$5:E731)),"")</f>
        <v/>
      </c>
      <c r="F731" s="5" t="n"/>
    </row>
    <row r="732">
      <c r="A732" s="10">
        <f>IF($E732="","",INDEX('Input Transaksi'!$A:$A,$E732))</f>
        <v/>
      </c>
      <c r="B732" s="5">
        <f>IF($E732="","",INDEX('Input Transaksi'!$D:$D,$E732))</f>
        <v/>
      </c>
      <c r="C732">
        <f>IF($E732="","",INDEX('Input Transaksi'!$E:$E,$E732))</f>
        <v/>
      </c>
      <c r="D732" s="5">
        <f>IF($E732="","",INDEX('Input Transaksi'!$F:$F,$E732))</f>
        <v/>
      </c>
      <c r="E732">
        <f>IFERROR(AGGREGATE(15,6,ROW('Input Transaksi'!$B$5:$B$5000)/('Input Transaksi'!$B$5:$B$5000="JCL NUSA KAMBANGAN"),ROWS($E$5:E732)),"")</f>
        <v/>
      </c>
      <c r="F732" s="5" t="n"/>
    </row>
    <row r="733">
      <c r="A733" s="10">
        <f>IF($E733="","",INDEX('Input Transaksi'!$A:$A,$E733))</f>
        <v/>
      </c>
      <c r="B733" s="5">
        <f>IF($E733="","",INDEX('Input Transaksi'!$D:$D,$E733))</f>
        <v/>
      </c>
      <c r="C733">
        <f>IF($E733="","",INDEX('Input Transaksi'!$E:$E,$E733))</f>
        <v/>
      </c>
      <c r="D733" s="5">
        <f>IF($E733="","",INDEX('Input Transaksi'!$F:$F,$E733))</f>
        <v/>
      </c>
      <c r="E733">
        <f>IFERROR(AGGREGATE(15,6,ROW('Input Transaksi'!$B$5:$B$5000)/('Input Transaksi'!$B$5:$B$5000="JCL NUSA KAMBANGAN"),ROWS($E$5:E733)),"")</f>
        <v/>
      </c>
      <c r="F733" s="5" t="n"/>
    </row>
    <row r="734">
      <c r="A734" s="10">
        <f>IF($E734="","",INDEX('Input Transaksi'!$A:$A,$E734))</f>
        <v/>
      </c>
      <c r="B734" s="5">
        <f>IF($E734="","",INDEX('Input Transaksi'!$D:$D,$E734))</f>
        <v/>
      </c>
      <c r="C734">
        <f>IF($E734="","",INDEX('Input Transaksi'!$E:$E,$E734))</f>
        <v/>
      </c>
      <c r="D734" s="5">
        <f>IF($E734="","",INDEX('Input Transaksi'!$F:$F,$E734))</f>
        <v/>
      </c>
      <c r="E734">
        <f>IFERROR(AGGREGATE(15,6,ROW('Input Transaksi'!$B$5:$B$5000)/('Input Transaksi'!$B$5:$B$5000="JCL NUSA KAMBANGAN"),ROWS($E$5:E734)),"")</f>
        <v/>
      </c>
      <c r="F734" s="5" t="n"/>
    </row>
    <row r="735">
      <c r="A735" s="10">
        <f>IF($E735="","",INDEX('Input Transaksi'!$A:$A,$E735))</f>
        <v/>
      </c>
      <c r="B735" s="5">
        <f>IF($E735="","",INDEX('Input Transaksi'!$D:$D,$E735))</f>
        <v/>
      </c>
      <c r="C735">
        <f>IF($E735="","",INDEX('Input Transaksi'!$E:$E,$E735))</f>
        <v/>
      </c>
      <c r="D735" s="5">
        <f>IF($E735="","",INDEX('Input Transaksi'!$F:$F,$E735))</f>
        <v/>
      </c>
      <c r="E735">
        <f>IFERROR(AGGREGATE(15,6,ROW('Input Transaksi'!$B$5:$B$5000)/('Input Transaksi'!$B$5:$B$5000="JCL NUSA KAMBANGAN"),ROWS($E$5:E735)),"")</f>
        <v/>
      </c>
      <c r="F735" s="5" t="n"/>
    </row>
    <row r="736">
      <c r="A736" s="10">
        <f>IF($E736="","",INDEX('Input Transaksi'!$A:$A,$E736))</f>
        <v/>
      </c>
      <c r="B736" s="5">
        <f>IF($E736="","",INDEX('Input Transaksi'!$D:$D,$E736))</f>
        <v/>
      </c>
      <c r="C736">
        <f>IF($E736="","",INDEX('Input Transaksi'!$E:$E,$E736))</f>
        <v/>
      </c>
      <c r="D736" s="5">
        <f>IF($E736="","",INDEX('Input Transaksi'!$F:$F,$E736))</f>
        <v/>
      </c>
      <c r="E736">
        <f>IFERROR(AGGREGATE(15,6,ROW('Input Transaksi'!$B$5:$B$5000)/('Input Transaksi'!$B$5:$B$5000="JCL NUSA KAMBANGAN"),ROWS($E$5:E736)),"")</f>
        <v/>
      </c>
      <c r="F736" s="5" t="n"/>
    </row>
    <row r="737">
      <c r="A737" s="10">
        <f>IF($E737="","",INDEX('Input Transaksi'!$A:$A,$E737))</f>
        <v/>
      </c>
      <c r="B737" s="5">
        <f>IF($E737="","",INDEX('Input Transaksi'!$D:$D,$E737))</f>
        <v/>
      </c>
      <c r="C737">
        <f>IF($E737="","",INDEX('Input Transaksi'!$E:$E,$E737))</f>
        <v/>
      </c>
      <c r="D737" s="5">
        <f>IF($E737="","",INDEX('Input Transaksi'!$F:$F,$E737))</f>
        <v/>
      </c>
      <c r="E737">
        <f>IFERROR(AGGREGATE(15,6,ROW('Input Transaksi'!$B$5:$B$5000)/('Input Transaksi'!$B$5:$B$5000="JCL NUSA KAMBANGAN"),ROWS($E$5:E737)),"")</f>
        <v/>
      </c>
      <c r="F737" s="5" t="n"/>
    </row>
    <row r="738">
      <c r="A738" s="10">
        <f>IF($E738="","",INDEX('Input Transaksi'!$A:$A,$E738))</f>
        <v/>
      </c>
      <c r="B738" s="5">
        <f>IF($E738="","",INDEX('Input Transaksi'!$D:$D,$E738))</f>
        <v/>
      </c>
      <c r="C738">
        <f>IF($E738="","",INDEX('Input Transaksi'!$E:$E,$E738))</f>
        <v/>
      </c>
      <c r="D738" s="5">
        <f>IF($E738="","",INDEX('Input Transaksi'!$F:$F,$E738))</f>
        <v/>
      </c>
      <c r="E738">
        <f>IFERROR(AGGREGATE(15,6,ROW('Input Transaksi'!$B$5:$B$5000)/('Input Transaksi'!$B$5:$B$5000="JCL NUSA KAMBANGAN"),ROWS($E$5:E738)),"")</f>
        <v/>
      </c>
      <c r="F738" s="5" t="n"/>
    </row>
    <row r="739">
      <c r="A739" s="10">
        <f>IF($E739="","",INDEX('Input Transaksi'!$A:$A,$E739))</f>
        <v/>
      </c>
      <c r="B739" s="5">
        <f>IF($E739="","",INDEX('Input Transaksi'!$D:$D,$E739))</f>
        <v/>
      </c>
      <c r="C739">
        <f>IF($E739="","",INDEX('Input Transaksi'!$E:$E,$E739))</f>
        <v/>
      </c>
      <c r="D739" s="5">
        <f>IF($E739="","",INDEX('Input Transaksi'!$F:$F,$E739))</f>
        <v/>
      </c>
      <c r="E739">
        <f>IFERROR(AGGREGATE(15,6,ROW('Input Transaksi'!$B$5:$B$5000)/('Input Transaksi'!$B$5:$B$5000="JCL NUSA KAMBANGAN"),ROWS($E$5:E739)),"")</f>
        <v/>
      </c>
      <c r="F739" s="5" t="n"/>
    </row>
    <row r="740">
      <c r="A740" s="10">
        <f>IF($E740="","",INDEX('Input Transaksi'!$A:$A,$E740))</f>
        <v/>
      </c>
      <c r="B740" s="5">
        <f>IF($E740="","",INDEX('Input Transaksi'!$D:$D,$E740))</f>
        <v/>
      </c>
      <c r="C740">
        <f>IF($E740="","",INDEX('Input Transaksi'!$E:$E,$E740))</f>
        <v/>
      </c>
      <c r="D740" s="5">
        <f>IF($E740="","",INDEX('Input Transaksi'!$F:$F,$E740))</f>
        <v/>
      </c>
      <c r="E740">
        <f>IFERROR(AGGREGATE(15,6,ROW('Input Transaksi'!$B$5:$B$5000)/('Input Transaksi'!$B$5:$B$5000="JCL NUSA KAMBANGAN"),ROWS($E$5:E740)),"")</f>
        <v/>
      </c>
      <c r="F740" s="5" t="n"/>
    </row>
    <row r="741">
      <c r="A741" s="10">
        <f>IF($E741="","",INDEX('Input Transaksi'!$A:$A,$E741))</f>
        <v/>
      </c>
      <c r="B741" s="5">
        <f>IF($E741="","",INDEX('Input Transaksi'!$D:$D,$E741))</f>
        <v/>
      </c>
      <c r="C741">
        <f>IF($E741="","",INDEX('Input Transaksi'!$E:$E,$E741))</f>
        <v/>
      </c>
      <c r="D741" s="5">
        <f>IF($E741="","",INDEX('Input Transaksi'!$F:$F,$E741))</f>
        <v/>
      </c>
      <c r="E741">
        <f>IFERROR(AGGREGATE(15,6,ROW('Input Transaksi'!$B$5:$B$5000)/('Input Transaksi'!$B$5:$B$5000="JCL NUSA KAMBANGAN"),ROWS($E$5:E741)),"")</f>
        <v/>
      </c>
      <c r="F741" s="5" t="n"/>
    </row>
    <row r="742">
      <c r="A742" s="10">
        <f>IF($E742="","",INDEX('Input Transaksi'!$A:$A,$E742))</f>
        <v/>
      </c>
      <c r="B742" s="5">
        <f>IF($E742="","",INDEX('Input Transaksi'!$D:$D,$E742))</f>
        <v/>
      </c>
      <c r="C742">
        <f>IF($E742="","",INDEX('Input Transaksi'!$E:$E,$E742))</f>
        <v/>
      </c>
      <c r="D742" s="5">
        <f>IF($E742="","",INDEX('Input Transaksi'!$F:$F,$E742))</f>
        <v/>
      </c>
      <c r="E742">
        <f>IFERROR(AGGREGATE(15,6,ROW('Input Transaksi'!$B$5:$B$5000)/('Input Transaksi'!$B$5:$B$5000="JCL NUSA KAMBANGAN"),ROWS($E$5:E742)),"")</f>
        <v/>
      </c>
      <c r="F742" s="5" t="n"/>
    </row>
    <row r="743">
      <c r="A743" s="10">
        <f>IF($E743="","",INDEX('Input Transaksi'!$A:$A,$E743))</f>
        <v/>
      </c>
      <c r="B743" s="5">
        <f>IF($E743="","",INDEX('Input Transaksi'!$D:$D,$E743))</f>
        <v/>
      </c>
      <c r="C743">
        <f>IF($E743="","",INDEX('Input Transaksi'!$E:$E,$E743))</f>
        <v/>
      </c>
      <c r="D743" s="5">
        <f>IF($E743="","",INDEX('Input Transaksi'!$F:$F,$E743))</f>
        <v/>
      </c>
      <c r="E743">
        <f>IFERROR(AGGREGATE(15,6,ROW('Input Transaksi'!$B$5:$B$5000)/('Input Transaksi'!$B$5:$B$5000="JCL NUSA KAMBANGAN"),ROWS($E$5:E743)),"")</f>
        <v/>
      </c>
      <c r="F743" s="5" t="n"/>
    </row>
    <row r="744">
      <c r="A744" s="10">
        <f>IF($E744="","",INDEX('Input Transaksi'!$A:$A,$E744))</f>
        <v/>
      </c>
      <c r="B744" s="5">
        <f>IF($E744="","",INDEX('Input Transaksi'!$D:$D,$E744))</f>
        <v/>
      </c>
      <c r="C744">
        <f>IF($E744="","",INDEX('Input Transaksi'!$E:$E,$E744))</f>
        <v/>
      </c>
      <c r="D744" s="5">
        <f>IF($E744="","",INDEX('Input Transaksi'!$F:$F,$E744))</f>
        <v/>
      </c>
      <c r="E744">
        <f>IFERROR(AGGREGATE(15,6,ROW('Input Transaksi'!$B$5:$B$5000)/('Input Transaksi'!$B$5:$B$5000="JCL NUSA KAMBANGAN"),ROWS($E$5:E744)),"")</f>
        <v/>
      </c>
      <c r="F744" s="5" t="n"/>
    </row>
    <row r="745">
      <c r="A745" s="10">
        <f>IF($E745="","",INDEX('Input Transaksi'!$A:$A,$E745))</f>
        <v/>
      </c>
      <c r="B745" s="5">
        <f>IF($E745="","",INDEX('Input Transaksi'!$D:$D,$E745))</f>
        <v/>
      </c>
      <c r="C745">
        <f>IF($E745="","",INDEX('Input Transaksi'!$E:$E,$E745))</f>
        <v/>
      </c>
      <c r="D745" s="5">
        <f>IF($E745="","",INDEX('Input Transaksi'!$F:$F,$E745))</f>
        <v/>
      </c>
      <c r="E745">
        <f>IFERROR(AGGREGATE(15,6,ROW('Input Transaksi'!$B$5:$B$5000)/('Input Transaksi'!$B$5:$B$5000="JCL NUSA KAMBANGAN"),ROWS($E$5:E745)),"")</f>
        <v/>
      </c>
      <c r="F745" s="5" t="n"/>
    </row>
    <row r="746">
      <c r="A746" s="10">
        <f>IF($E746="","",INDEX('Input Transaksi'!$A:$A,$E746))</f>
        <v/>
      </c>
      <c r="B746" s="5">
        <f>IF($E746="","",INDEX('Input Transaksi'!$D:$D,$E746))</f>
        <v/>
      </c>
      <c r="C746">
        <f>IF($E746="","",INDEX('Input Transaksi'!$E:$E,$E746))</f>
        <v/>
      </c>
      <c r="D746" s="5">
        <f>IF($E746="","",INDEX('Input Transaksi'!$F:$F,$E746))</f>
        <v/>
      </c>
      <c r="E746">
        <f>IFERROR(AGGREGATE(15,6,ROW('Input Transaksi'!$B$5:$B$5000)/('Input Transaksi'!$B$5:$B$5000="JCL NUSA KAMBANGAN"),ROWS($E$5:E746)),"")</f>
        <v/>
      </c>
      <c r="F746" s="5" t="n"/>
    </row>
    <row r="747">
      <c r="A747" s="10">
        <f>IF($E747="","",INDEX('Input Transaksi'!$A:$A,$E747))</f>
        <v/>
      </c>
      <c r="B747" s="5">
        <f>IF($E747="","",INDEX('Input Transaksi'!$D:$D,$E747))</f>
        <v/>
      </c>
      <c r="C747">
        <f>IF($E747="","",INDEX('Input Transaksi'!$E:$E,$E747))</f>
        <v/>
      </c>
      <c r="D747" s="5">
        <f>IF($E747="","",INDEX('Input Transaksi'!$F:$F,$E747))</f>
        <v/>
      </c>
      <c r="E747">
        <f>IFERROR(AGGREGATE(15,6,ROW('Input Transaksi'!$B$5:$B$5000)/('Input Transaksi'!$B$5:$B$5000="JCL NUSA KAMBANGAN"),ROWS($E$5:E747)),"")</f>
        <v/>
      </c>
      <c r="F747" s="5" t="n"/>
    </row>
    <row r="748">
      <c r="A748" s="10">
        <f>IF($E748="","",INDEX('Input Transaksi'!$A:$A,$E748))</f>
        <v/>
      </c>
      <c r="B748" s="5">
        <f>IF($E748="","",INDEX('Input Transaksi'!$D:$D,$E748))</f>
        <v/>
      </c>
      <c r="C748">
        <f>IF($E748="","",INDEX('Input Transaksi'!$E:$E,$E748))</f>
        <v/>
      </c>
      <c r="D748" s="5">
        <f>IF($E748="","",INDEX('Input Transaksi'!$F:$F,$E748))</f>
        <v/>
      </c>
      <c r="E748">
        <f>IFERROR(AGGREGATE(15,6,ROW('Input Transaksi'!$B$5:$B$5000)/('Input Transaksi'!$B$5:$B$5000="JCL NUSA KAMBANGAN"),ROWS($E$5:E748)),"")</f>
        <v/>
      </c>
      <c r="F748" s="5" t="n"/>
    </row>
    <row r="749">
      <c r="A749" s="10">
        <f>IF($E749="","",INDEX('Input Transaksi'!$A:$A,$E749))</f>
        <v/>
      </c>
      <c r="B749" s="5">
        <f>IF($E749="","",INDEX('Input Transaksi'!$D:$D,$E749))</f>
        <v/>
      </c>
      <c r="C749">
        <f>IF($E749="","",INDEX('Input Transaksi'!$E:$E,$E749))</f>
        <v/>
      </c>
      <c r="D749" s="5">
        <f>IF($E749="","",INDEX('Input Transaksi'!$F:$F,$E749))</f>
        <v/>
      </c>
      <c r="E749">
        <f>IFERROR(AGGREGATE(15,6,ROW('Input Transaksi'!$B$5:$B$5000)/('Input Transaksi'!$B$5:$B$5000="JCL NUSA KAMBANGAN"),ROWS($E$5:E749)),"")</f>
        <v/>
      </c>
      <c r="F749" s="5" t="n"/>
    </row>
    <row r="750">
      <c r="A750" s="10">
        <f>IF($E750="","",INDEX('Input Transaksi'!$A:$A,$E750))</f>
        <v/>
      </c>
      <c r="B750" s="5">
        <f>IF($E750="","",INDEX('Input Transaksi'!$D:$D,$E750))</f>
        <v/>
      </c>
      <c r="C750">
        <f>IF($E750="","",INDEX('Input Transaksi'!$E:$E,$E750))</f>
        <v/>
      </c>
      <c r="D750" s="5">
        <f>IF($E750="","",INDEX('Input Transaksi'!$F:$F,$E750))</f>
        <v/>
      </c>
      <c r="E750">
        <f>IFERROR(AGGREGATE(15,6,ROW('Input Transaksi'!$B$5:$B$5000)/('Input Transaksi'!$B$5:$B$5000="JCL NUSA KAMBANGAN"),ROWS($E$5:E750)),"")</f>
        <v/>
      </c>
      <c r="F750" s="5" t="n"/>
    </row>
    <row r="751">
      <c r="A751" s="10">
        <f>IF($E751="","",INDEX('Input Transaksi'!$A:$A,$E751))</f>
        <v/>
      </c>
      <c r="B751" s="5">
        <f>IF($E751="","",INDEX('Input Transaksi'!$D:$D,$E751))</f>
        <v/>
      </c>
      <c r="C751">
        <f>IF($E751="","",INDEX('Input Transaksi'!$E:$E,$E751))</f>
        <v/>
      </c>
      <c r="D751" s="5">
        <f>IF($E751="","",INDEX('Input Transaksi'!$F:$F,$E751))</f>
        <v/>
      </c>
      <c r="E751">
        <f>IFERROR(AGGREGATE(15,6,ROW('Input Transaksi'!$B$5:$B$5000)/('Input Transaksi'!$B$5:$B$5000="JCL NUSA KAMBANGAN"),ROWS($E$5:E751)),"")</f>
        <v/>
      </c>
      <c r="F751" s="5" t="n"/>
    </row>
    <row r="752">
      <c r="A752" s="10">
        <f>IF($E752="","",INDEX('Input Transaksi'!$A:$A,$E752))</f>
        <v/>
      </c>
      <c r="B752" s="5">
        <f>IF($E752="","",INDEX('Input Transaksi'!$D:$D,$E752))</f>
        <v/>
      </c>
      <c r="C752">
        <f>IF($E752="","",INDEX('Input Transaksi'!$E:$E,$E752))</f>
        <v/>
      </c>
      <c r="D752" s="5">
        <f>IF($E752="","",INDEX('Input Transaksi'!$F:$F,$E752))</f>
        <v/>
      </c>
      <c r="E752">
        <f>IFERROR(AGGREGATE(15,6,ROW('Input Transaksi'!$B$5:$B$5000)/('Input Transaksi'!$B$5:$B$5000="JCL NUSA KAMBANGAN"),ROWS($E$5:E752)),"")</f>
        <v/>
      </c>
      <c r="F752" s="5" t="n"/>
    </row>
    <row r="753">
      <c r="A753" s="10">
        <f>IF($E753="","",INDEX('Input Transaksi'!$A:$A,$E753))</f>
        <v/>
      </c>
      <c r="B753" s="5">
        <f>IF($E753="","",INDEX('Input Transaksi'!$D:$D,$E753))</f>
        <v/>
      </c>
      <c r="C753">
        <f>IF($E753="","",INDEX('Input Transaksi'!$E:$E,$E753))</f>
        <v/>
      </c>
      <c r="D753" s="5">
        <f>IF($E753="","",INDEX('Input Transaksi'!$F:$F,$E753))</f>
        <v/>
      </c>
      <c r="E753">
        <f>IFERROR(AGGREGATE(15,6,ROW('Input Transaksi'!$B$5:$B$5000)/('Input Transaksi'!$B$5:$B$5000="JCL NUSA KAMBANGAN"),ROWS($E$5:E753)),"")</f>
        <v/>
      </c>
      <c r="F753" s="5" t="n"/>
    </row>
    <row r="754">
      <c r="A754" s="10">
        <f>IF($E754="","",INDEX('Input Transaksi'!$A:$A,$E754))</f>
        <v/>
      </c>
      <c r="B754" s="5">
        <f>IF($E754="","",INDEX('Input Transaksi'!$D:$D,$E754))</f>
        <v/>
      </c>
      <c r="C754">
        <f>IF($E754="","",INDEX('Input Transaksi'!$E:$E,$E754))</f>
        <v/>
      </c>
      <c r="D754" s="5">
        <f>IF($E754="","",INDEX('Input Transaksi'!$F:$F,$E754))</f>
        <v/>
      </c>
      <c r="E754">
        <f>IFERROR(AGGREGATE(15,6,ROW('Input Transaksi'!$B$5:$B$5000)/('Input Transaksi'!$B$5:$B$5000="JCL NUSA KAMBANGAN"),ROWS($E$5:E754)),"")</f>
        <v/>
      </c>
      <c r="F754" s="5" t="n"/>
    </row>
    <row r="755">
      <c r="A755" s="10">
        <f>IF($E755="","",INDEX('Input Transaksi'!$A:$A,$E755))</f>
        <v/>
      </c>
      <c r="B755" s="5">
        <f>IF($E755="","",INDEX('Input Transaksi'!$D:$D,$E755))</f>
        <v/>
      </c>
      <c r="C755">
        <f>IF($E755="","",INDEX('Input Transaksi'!$E:$E,$E755))</f>
        <v/>
      </c>
      <c r="D755" s="5">
        <f>IF($E755="","",INDEX('Input Transaksi'!$F:$F,$E755))</f>
        <v/>
      </c>
      <c r="E755">
        <f>IFERROR(AGGREGATE(15,6,ROW('Input Transaksi'!$B$5:$B$5000)/('Input Transaksi'!$B$5:$B$5000="JCL NUSA KAMBANGAN"),ROWS($E$5:E755)),"")</f>
        <v/>
      </c>
      <c r="F755" s="5" t="n"/>
    </row>
    <row r="756">
      <c r="A756" s="10">
        <f>IF($E756="","",INDEX('Input Transaksi'!$A:$A,$E756))</f>
        <v/>
      </c>
      <c r="B756" s="5">
        <f>IF($E756="","",INDEX('Input Transaksi'!$D:$D,$E756))</f>
        <v/>
      </c>
      <c r="C756">
        <f>IF($E756="","",INDEX('Input Transaksi'!$E:$E,$E756))</f>
        <v/>
      </c>
      <c r="D756" s="5">
        <f>IF($E756="","",INDEX('Input Transaksi'!$F:$F,$E756))</f>
        <v/>
      </c>
      <c r="E756">
        <f>IFERROR(AGGREGATE(15,6,ROW('Input Transaksi'!$B$5:$B$5000)/('Input Transaksi'!$B$5:$B$5000="JCL NUSA KAMBANGAN"),ROWS($E$5:E756)),"")</f>
        <v/>
      </c>
      <c r="F756" s="5" t="n"/>
    </row>
    <row r="757">
      <c r="A757" s="10">
        <f>IF($E757="","",INDEX('Input Transaksi'!$A:$A,$E757))</f>
        <v/>
      </c>
      <c r="B757" s="5">
        <f>IF($E757="","",INDEX('Input Transaksi'!$D:$D,$E757))</f>
        <v/>
      </c>
      <c r="C757">
        <f>IF($E757="","",INDEX('Input Transaksi'!$E:$E,$E757))</f>
        <v/>
      </c>
      <c r="D757" s="5">
        <f>IF($E757="","",INDEX('Input Transaksi'!$F:$F,$E757))</f>
        <v/>
      </c>
      <c r="E757">
        <f>IFERROR(AGGREGATE(15,6,ROW('Input Transaksi'!$B$5:$B$5000)/('Input Transaksi'!$B$5:$B$5000="JCL NUSA KAMBANGAN"),ROWS($E$5:E757)),"")</f>
        <v/>
      </c>
      <c r="F757" s="5" t="n"/>
    </row>
    <row r="758">
      <c r="A758" s="10">
        <f>IF($E758="","",INDEX('Input Transaksi'!$A:$A,$E758))</f>
        <v/>
      </c>
      <c r="B758" s="5">
        <f>IF($E758="","",INDEX('Input Transaksi'!$D:$D,$E758))</f>
        <v/>
      </c>
      <c r="C758">
        <f>IF($E758="","",INDEX('Input Transaksi'!$E:$E,$E758))</f>
        <v/>
      </c>
      <c r="D758" s="5">
        <f>IF($E758="","",INDEX('Input Transaksi'!$F:$F,$E758))</f>
        <v/>
      </c>
      <c r="E758">
        <f>IFERROR(AGGREGATE(15,6,ROW('Input Transaksi'!$B$5:$B$5000)/('Input Transaksi'!$B$5:$B$5000="JCL NUSA KAMBANGAN"),ROWS($E$5:E758)),"")</f>
        <v/>
      </c>
      <c r="F758" s="5" t="n"/>
    </row>
    <row r="759">
      <c r="A759" s="10">
        <f>IF($E759="","",INDEX('Input Transaksi'!$A:$A,$E759))</f>
        <v/>
      </c>
      <c r="B759" s="5">
        <f>IF($E759="","",INDEX('Input Transaksi'!$D:$D,$E759))</f>
        <v/>
      </c>
      <c r="C759">
        <f>IF($E759="","",INDEX('Input Transaksi'!$E:$E,$E759))</f>
        <v/>
      </c>
      <c r="D759" s="5">
        <f>IF($E759="","",INDEX('Input Transaksi'!$F:$F,$E759))</f>
        <v/>
      </c>
      <c r="E759">
        <f>IFERROR(AGGREGATE(15,6,ROW('Input Transaksi'!$B$5:$B$5000)/('Input Transaksi'!$B$5:$B$5000="JCL NUSA KAMBANGAN"),ROWS($E$5:E759)),"")</f>
        <v/>
      </c>
      <c r="F759" s="5" t="n"/>
    </row>
    <row r="760">
      <c r="A760" s="10">
        <f>IF($E760="","",INDEX('Input Transaksi'!$A:$A,$E760))</f>
        <v/>
      </c>
      <c r="B760" s="5">
        <f>IF($E760="","",INDEX('Input Transaksi'!$D:$D,$E760))</f>
        <v/>
      </c>
      <c r="C760">
        <f>IF($E760="","",INDEX('Input Transaksi'!$E:$E,$E760))</f>
        <v/>
      </c>
      <c r="D760" s="5">
        <f>IF($E760="","",INDEX('Input Transaksi'!$F:$F,$E760))</f>
        <v/>
      </c>
      <c r="E760">
        <f>IFERROR(AGGREGATE(15,6,ROW('Input Transaksi'!$B$5:$B$5000)/('Input Transaksi'!$B$5:$B$5000="JCL NUSA KAMBANGAN"),ROWS($E$5:E760)),"")</f>
        <v/>
      </c>
      <c r="F760" s="5" t="n"/>
    </row>
    <row r="761">
      <c r="A761" s="10">
        <f>IF($E761="","",INDEX('Input Transaksi'!$A:$A,$E761))</f>
        <v/>
      </c>
      <c r="B761" s="5">
        <f>IF($E761="","",INDEX('Input Transaksi'!$D:$D,$E761))</f>
        <v/>
      </c>
      <c r="C761">
        <f>IF($E761="","",INDEX('Input Transaksi'!$E:$E,$E761))</f>
        <v/>
      </c>
      <c r="D761" s="5">
        <f>IF($E761="","",INDEX('Input Transaksi'!$F:$F,$E761))</f>
        <v/>
      </c>
      <c r="E761">
        <f>IFERROR(AGGREGATE(15,6,ROW('Input Transaksi'!$B$5:$B$5000)/('Input Transaksi'!$B$5:$B$5000="JCL NUSA KAMBANGAN"),ROWS($E$5:E761)),"")</f>
        <v/>
      </c>
      <c r="F761" s="5" t="n"/>
    </row>
    <row r="762">
      <c r="A762" s="10">
        <f>IF($E762="","",INDEX('Input Transaksi'!$A:$A,$E762))</f>
        <v/>
      </c>
      <c r="B762" s="5">
        <f>IF($E762="","",INDEX('Input Transaksi'!$D:$D,$E762))</f>
        <v/>
      </c>
      <c r="C762">
        <f>IF($E762="","",INDEX('Input Transaksi'!$E:$E,$E762))</f>
        <v/>
      </c>
      <c r="D762" s="5">
        <f>IF($E762="","",INDEX('Input Transaksi'!$F:$F,$E762))</f>
        <v/>
      </c>
      <c r="E762">
        <f>IFERROR(AGGREGATE(15,6,ROW('Input Transaksi'!$B$5:$B$5000)/('Input Transaksi'!$B$5:$B$5000="JCL NUSA KAMBANGAN"),ROWS($E$5:E762)),"")</f>
        <v/>
      </c>
      <c r="F762" s="5" t="n"/>
    </row>
    <row r="763">
      <c r="A763" s="10">
        <f>IF($E763="","",INDEX('Input Transaksi'!$A:$A,$E763))</f>
        <v/>
      </c>
      <c r="B763" s="5">
        <f>IF($E763="","",INDEX('Input Transaksi'!$D:$D,$E763))</f>
        <v/>
      </c>
      <c r="C763">
        <f>IF($E763="","",INDEX('Input Transaksi'!$E:$E,$E763))</f>
        <v/>
      </c>
      <c r="D763" s="5">
        <f>IF($E763="","",INDEX('Input Transaksi'!$F:$F,$E763))</f>
        <v/>
      </c>
      <c r="E763">
        <f>IFERROR(AGGREGATE(15,6,ROW('Input Transaksi'!$B$5:$B$5000)/('Input Transaksi'!$B$5:$B$5000="JCL NUSA KAMBANGAN"),ROWS($E$5:E763)),"")</f>
        <v/>
      </c>
      <c r="F763" s="5" t="n"/>
    </row>
    <row r="764">
      <c r="A764" s="10">
        <f>IF($E764="","",INDEX('Input Transaksi'!$A:$A,$E764))</f>
        <v/>
      </c>
      <c r="B764" s="5">
        <f>IF($E764="","",INDEX('Input Transaksi'!$D:$D,$E764))</f>
        <v/>
      </c>
      <c r="C764">
        <f>IF($E764="","",INDEX('Input Transaksi'!$E:$E,$E764))</f>
        <v/>
      </c>
      <c r="D764" s="5">
        <f>IF($E764="","",INDEX('Input Transaksi'!$F:$F,$E764))</f>
        <v/>
      </c>
      <c r="E764">
        <f>IFERROR(AGGREGATE(15,6,ROW('Input Transaksi'!$B$5:$B$5000)/('Input Transaksi'!$B$5:$B$5000="JCL NUSA KAMBANGAN"),ROWS($E$5:E764)),"")</f>
        <v/>
      </c>
      <c r="F764" s="5" t="n"/>
    </row>
    <row r="765">
      <c r="A765" s="10">
        <f>IF($E765="","",INDEX('Input Transaksi'!$A:$A,$E765))</f>
        <v/>
      </c>
      <c r="B765" s="5">
        <f>IF($E765="","",INDEX('Input Transaksi'!$D:$D,$E765))</f>
        <v/>
      </c>
      <c r="C765">
        <f>IF($E765="","",INDEX('Input Transaksi'!$E:$E,$E765))</f>
        <v/>
      </c>
      <c r="D765" s="5">
        <f>IF($E765="","",INDEX('Input Transaksi'!$F:$F,$E765))</f>
        <v/>
      </c>
      <c r="E765">
        <f>IFERROR(AGGREGATE(15,6,ROW('Input Transaksi'!$B$5:$B$5000)/('Input Transaksi'!$B$5:$B$5000="JCL NUSA KAMBANGAN"),ROWS($E$5:E765)),"")</f>
        <v/>
      </c>
      <c r="F765" s="5" t="n"/>
    </row>
    <row r="766">
      <c r="A766" s="10">
        <f>IF($E766="","",INDEX('Input Transaksi'!$A:$A,$E766))</f>
        <v/>
      </c>
      <c r="B766" s="5">
        <f>IF($E766="","",INDEX('Input Transaksi'!$D:$D,$E766))</f>
        <v/>
      </c>
      <c r="C766">
        <f>IF($E766="","",INDEX('Input Transaksi'!$E:$E,$E766))</f>
        <v/>
      </c>
      <c r="D766" s="5">
        <f>IF($E766="","",INDEX('Input Transaksi'!$F:$F,$E766))</f>
        <v/>
      </c>
      <c r="E766">
        <f>IFERROR(AGGREGATE(15,6,ROW('Input Transaksi'!$B$5:$B$5000)/('Input Transaksi'!$B$5:$B$5000="JCL NUSA KAMBANGAN"),ROWS($E$5:E766)),"")</f>
        <v/>
      </c>
      <c r="F766" s="5" t="n"/>
    </row>
    <row r="767">
      <c r="A767" s="10">
        <f>IF($E767="","",INDEX('Input Transaksi'!$A:$A,$E767))</f>
        <v/>
      </c>
      <c r="B767" s="5">
        <f>IF($E767="","",INDEX('Input Transaksi'!$D:$D,$E767))</f>
        <v/>
      </c>
      <c r="C767">
        <f>IF($E767="","",INDEX('Input Transaksi'!$E:$E,$E767))</f>
        <v/>
      </c>
      <c r="D767" s="5">
        <f>IF($E767="","",INDEX('Input Transaksi'!$F:$F,$E767))</f>
        <v/>
      </c>
      <c r="E767">
        <f>IFERROR(AGGREGATE(15,6,ROW('Input Transaksi'!$B$5:$B$5000)/('Input Transaksi'!$B$5:$B$5000="JCL NUSA KAMBANGAN"),ROWS($E$5:E767)),"")</f>
        <v/>
      </c>
      <c r="F767" s="5" t="n"/>
    </row>
    <row r="768">
      <c r="A768" s="10">
        <f>IF($E768="","",INDEX('Input Transaksi'!$A:$A,$E768))</f>
        <v/>
      </c>
      <c r="B768" s="5">
        <f>IF($E768="","",INDEX('Input Transaksi'!$D:$D,$E768))</f>
        <v/>
      </c>
      <c r="C768">
        <f>IF($E768="","",INDEX('Input Transaksi'!$E:$E,$E768))</f>
        <v/>
      </c>
      <c r="D768" s="5">
        <f>IF($E768="","",INDEX('Input Transaksi'!$F:$F,$E768))</f>
        <v/>
      </c>
      <c r="E768">
        <f>IFERROR(AGGREGATE(15,6,ROW('Input Transaksi'!$B$5:$B$5000)/('Input Transaksi'!$B$5:$B$5000="JCL NUSA KAMBANGAN"),ROWS($E$5:E768)),"")</f>
        <v/>
      </c>
      <c r="F768" s="5" t="n"/>
    </row>
    <row r="769">
      <c r="A769" s="10">
        <f>IF($E769="","",INDEX('Input Transaksi'!$A:$A,$E769))</f>
        <v/>
      </c>
      <c r="B769" s="5">
        <f>IF($E769="","",INDEX('Input Transaksi'!$D:$D,$E769))</f>
        <v/>
      </c>
      <c r="C769">
        <f>IF($E769="","",INDEX('Input Transaksi'!$E:$E,$E769))</f>
        <v/>
      </c>
      <c r="D769" s="5">
        <f>IF($E769="","",INDEX('Input Transaksi'!$F:$F,$E769))</f>
        <v/>
      </c>
      <c r="E769">
        <f>IFERROR(AGGREGATE(15,6,ROW('Input Transaksi'!$B$5:$B$5000)/('Input Transaksi'!$B$5:$B$5000="JCL NUSA KAMBANGAN"),ROWS($E$5:E769)),"")</f>
        <v/>
      </c>
      <c r="F769" s="5" t="n"/>
    </row>
    <row r="770">
      <c r="A770" s="10">
        <f>IF($E770="","",INDEX('Input Transaksi'!$A:$A,$E770))</f>
        <v/>
      </c>
      <c r="B770" s="5">
        <f>IF($E770="","",INDEX('Input Transaksi'!$D:$D,$E770))</f>
        <v/>
      </c>
      <c r="C770">
        <f>IF($E770="","",INDEX('Input Transaksi'!$E:$E,$E770))</f>
        <v/>
      </c>
      <c r="D770" s="5">
        <f>IF($E770="","",INDEX('Input Transaksi'!$F:$F,$E770))</f>
        <v/>
      </c>
      <c r="E770">
        <f>IFERROR(AGGREGATE(15,6,ROW('Input Transaksi'!$B$5:$B$5000)/('Input Transaksi'!$B$5:$B$5000="JCL NUSA KAMBANGAN"),ROWS($E$5:E770)),"")</f>
        <v/>
      </c>
      <c r="F770" s="5" t="n"/>
    </row>
    <row r="771">
      <c r="A771" s="10">
        <f>IF($E771="","",INDEX('Input Transaksi'!$A:$A,$E771))</f>
        <v/>
      </c>
      <c r="B771" s="5">
        <f>IF($E771="","",INDEX('Input Transaksi'!$D:$D,$E771))</f>
        <v/>
      </c>
      <c r="C771">
        <f>IF($E771="","",INDEX('Input Transaksi'!$E:$E,$E771))</f>
        <v/>
      </c>
      <c r="D771" s="5">
        <f>IF($E771="","",INDEX('Input Transaksi'!$F:$F,$E771))</f>
        <v/>
      </c>
      <c r="E771">
        <f>IFERROR(AGGREGATE(15,6,ROW('Input Transaksi'!$B$5:$B$5000)/('Input Transaksi'!$B$5:$B$5000="JCL NUSA KAMBANGAN"),ROWS($E$5:E771)),"")</f>
        <v/>
      </c>
      <c r="F771" s="5" t="n"/>
    </row>
    <row r="772">
      <c r="A772" s="10">
        <f>IF($E772="","",INDEX('Input Transaksi'!$A:$A,$E772))</f>
        <v/>
      </c>
      <c r="B772" s="5">
        <f>IF($E772="","",INDEX('Input Transaksi'!$D:$D,$E772))</f>
        <v/>
      </c>
      <c r="C772">
        <f>IF($E772="","",INDEX('Input Transaksi'!$E:$E,$E772))</f>
        <v/>
      </c>
      <c r="D772" s="5">
        <f>IF($E772="","",INDEX('Input Transaksi'!$F:$F,$E772))</f>
        <v/>
      </c>
      <c r="E772">
        <f>IFERROR(AGGREGATE(15,6,ROW('Input Transaksi'!$B$5:$B$5000)/('Input Transaksi'!$B$5:$B$5000="JCL NUSA KAMBANGAN"),ROWS($E$5:E772)),"")</f>
        <v/>
      </c>
      <c r="F772" s="5" t="n"/>
    </row>
    <row r="773">
      <c r="A773" s="10">
        <f>IF($E773="","",INDEX('Input Transaksi'!$A:$A,$E773))</f>
        <v/>
      </c>
      <c r="B773" s="5">
        <f>IF($E773="","",INDEX('Input Transaksi'!$D:$D,$E773))</f>
        <v/>
      </c>
      <c r="C773">
        <f>IF($E773="","",INDEX('Input Transaksi'!$E:$E,$E773))</f>
        <v/>
      </c>
      <c r="D773" s="5">
        <f>IF($E773="","",INDEX('Input Transaksi'!$F:$F,$E773))</f>
        <v/>
      </c>
      <c r="E773">
        <f>IFERROR(AGGREGATE(15,6,ROW('Input Transaksi'!$B$5:$B$5000)/('Input Transaksi'!$B$5:$B$5000="JCL NUSA KAMBANGAN"),ROWS($E$5:E773)),"")</f>
        <v/>
      </c>
      <c r="F773" s="5" t="n"/>
    </row>
    <row r="774">
      <c r="A774" s="10">
        <f>IF($E774="","",INDEX('Input Transaksi'!$A:$A,$E774))</f>
        <v/>
      </c>
      <c r="B774" s="5">
        <f>IF($E774="","",INDEX('Input Transaksi'!$D:$D,$E774))</f>
        <v/>
      </c>
      <c r="C774">
        <f>IF($E774="","",INDEX('Input Transaksi'!$E:$E,$E774))</f>
        <v/>
      </c>
      <c r="D774" s="5">
        <f>IF($E774="","",INDEX('Input Transaksi'!$F:$F,$E774))</f>
        <v/>
      </c>
      <c r="E774">
        <f>IFERROR(AGGREGATE(15,6,ROW('Input Transaksi'!$B$5:$B$5000)/('Input Transaksi'!$B$5:$B$5000="JCL NUSA KAMBANGAN"),ROWS($E$5:E774)),"")</f>
        <v/>
      </c>
      <c r="F774" s="5" t="n"/>
    </row>
    <row r="775">
      <c r="A775" s="10">
        <f>IF($E775="","",INDEX('Input Transaksi'!$A:$A,$E775))</f>
        <v/>
      </c>
      <c r="B775" s="5">
        <f>IF($E775="","",INDEX('Input Transaksi'!$D:$D,$E775))</f>
        <v/>
      </c>
      <c r="C775">
        <f>IF($E775="","",INDEX('Input Transaksi'!$E:$E,$E775))</f>
        <v/>
      </c>
      <c r="D775" s="5">
        <f>IF($E775="","",INDEX('Input Transaksi'!$F:$F,$E775))</f>
        <v/>
      </c>
      <c r="E775">
        <f>IFERROR(AGGREGATE(15,6,ROW('Input Transaksi'!$B$5:$B$5000)/('Input Transaksi'!$B$5:$B$5000="JCL NUSA KAMBANGAN"),ROWS($E$5:E775)),"")</f>
        <v/>
      </c>
      <c r="F775" s="5" t="n"/>
    </row>
    <row r="776">
      <c r="A776" s="10">
        <f>IF($E776="","",INDEX('Input Transaksi'!$A:$A,$E776))</f>
        <v/>
      </c>
      <c r="B776" s="5">
        <f>IF($E776="","",INDEX('Input Transaksi'!$D:$D,$E776))</f>
        <v/>
      </c>
      <c r="C776">
        <f>IF($E776="","",INDEX('Input Transaksi'!$E:$E,$E776))</f>
        <v/>
      </c>
      <c r="D776" s="5">
        <f>IF($E776="","",INDEX('Input Transaksi'!$F:$F,$E776))</f>
        <v/>
      </c>
      <c r="E776">
        <f>IFERROR(AGGREGATE(15,6,ROW('Input Transaksi'!$B$5:$B$5000)/('Input Transaksi'!$B$5:$B$5000="JCL NUSA KAMBANGAN"),ROWS($E$5:E776)),"")</f>
        <v/>
      </c>
      <c r="F776" s="5" t="n"/>
    </row>
    <row r="777">
      <c r="A777" s="10">
        <f>IF($E777="","",INDEX('Input Transaksi'!$A:$A,$E777))</f>
        <v/>
      </c>
      <c r="B777" s="5">
        <f>IF($E777="","",INDEX('Input Transaksi'!$D:$D,$E777))</f>
        <v/>
      </c>
      <c r="C777">
        <f>IF($E777="","",INDEX('Input Transaksi'!$E:$E,$E777))</f>
        <v/>
      </c>
      <c r="D777" s="5">
        <f>IF($E777="","",INDEX('Input Transaksi'!$F:$F,$E777))</f>
        <v/>
      </c>
      <c r="E777">
        <f>IFERROR(AGGREGATE(15,6,ROW('Input Transaksi'!$B$5:$B$5000)/('Input Transaksi'!$B$5:$B$5000="JCL NUSA KAMBANGAN"),ROWS($E$5:E777)),"")</f>
        <v/>
      </c>
      <c r="F777" s="5" t="n"/>
    </row>
    <row r="778">
      <c r="A778" s="10">
        <f>IF($E778="","",INDEX('Input Transaksi'!$A:$A,$E778))</f>
        <v/>
      </c>
      <c r="B778" s="5">
        <f>IF($E778="","",INDEX('Input Transaksi'!$D:$D,$E778))</f>
        <v/>
      </c>
      <c r="C778">
        <f>IF($E778="","",INDEX('Input Transaksi'!$E:$E,$E778))</f>
        <v/>
      </c>
      <c r="D778" s="5">
        <f>IF($E778="","",INDEX('Input Transaksi'!$F:$F,$E778))</f>
        <v/>
      </c>
      <c r="E778">
        <f>IFERROR(AGGREGATE(15,6,ROW('Input Transaksi'!$B$5:$B$5000)/('Input Transaksi'!$B$5:$B$5000="JCL NUSA KAMBANGAN"),ROWS($E$5:E778)),"")</f>
        <v/>
      </c>
      <c r="F778" s="5" t="n"/>
    </row>
    <row r="779">
      <c r="A779" s="10">
        <f>IF($E779="","",INDEX('Input Transaksi'!$A:$A,$E779))</f>
        <v/>
      </c>
      <c r="B779" s="5">
        <f>IF($E779="","",INDEX('Input Transaksi'!$D:$D,$E779))</f>
        <v/>
      </c>
      <c r="C779">
        <f>IF($E779="","",INDEX('Input Transaksi'!$E:$E,$E779))</f>
        <v/>
      </c>
      <c r="D779" s="5">
        <f>IF($E779="","",INDEX('Input Transaksi'!$F:$F,$E779))</f>
        <v/>
      </c>
      <c r="E779">
        <f>IFERROR(AGGREGATE(15,6,ROW('Input Transaksi'!$B$5:$B$5000)/('Input Transaksi'!$B$5:$B$5000="JCL NUSA KAMBANGAN"),ROWS($E$5:E779)),"")</f>
        <v/>
      </c>
      <c r="F779" s="5" t="n"/>
    </row>
    <row r="780">
      <c r="A780" s="10">
        <f>IF($E780="","",INDEX('Input Transaksi'!$A:$A,$E780))</f>
        <v/>
      </c>
      <c r="B780" s="5">
        <f>IF($E780="","",INDEX('Input Transaksi'!$D:$D,$E780))</f>
        <v/>
      </c>
      <c r="C780">
        <f>IF($E780="","",INDEX('Input Transaksi'!$E:$E,$E780))</f>
        <v/>
      </c>
      <c r="D780" s="5">
        <f>IF($E780="","",INDEX('Input Transaksi'!$F:$F,$E780))</f>
        <v/>
      </c>
      <c r="E780">
        <f>IFERROR(AGGREGATE(15,6,ROW('Input Transaksi'!$B$5:$B$5000)/('Input Transaksi'!$B$5:$B$5000="JCL NUSA KAMBANGAN"),ROWS($E$5:E780)),"")</f>
        <v/>
      </c>
      <c r="F780" s="5" t="n"/>
    </row>
    <row r="781">
      <c r="A781" s="10">
        <f>IF($E781="","",INDEX('Input Transaksi'!$A:$A,$E781))</f>
        <v/>
      </c>
      <c r="B781" s="5">
        <f>IF($E781="","",INDEX('Input Transaksi'!$D:$D,$E781))</f>
        <v/>
      </c>
      <c r="C781">
        <f>IF($E781="","",INDEX('Input Transaksi'!$E:$E,$E781))</f>
        <v/>
      </c>
      <c r="D781" s="5">
        <f>IF($E781="","",INDEX('Input Transaksi'!$F:$F,$E781))</f>
        <v/>
      </c>
      <c r="E781">
        <f>IFERROR(AGGREGATE(15,6,ROW('Input Transaksi'!$B$5:$B$5000)/('Input Transaksi'!$B$5:$B$5000="JCL NUSA KAMBANGAN"),ROWS($E$5:E781)),"")</f>
        <v/>
      </c>
      <c r="F781" s="5" t="n"/>
    </row>
    <row r="782">
      <c r="A782" s="10">
        <f>IF($E782="","",INDEX('Input Transaksi'!$A:$A,$E782))</f>
        <v/>
      </c>
      <c r="B782" s="5">
        <f>IF($E782="","",INDEX('Input Transaksi'!$D:$D,$E782))</f>
        <v/>
      </c>
      <c r="C782">
        <f>IF($E782="","",INDEX('Input Transaksi'!$E:$E,$E782))</f>
        <v/>
      </c>
      <c r="D782" s="5">
        <f>IF($E782="","",INDEX('Input Transaksi'!$F:$F,$E782))</f>
        <v/>
      </c>
      <c r="E782">
        <f>IFERROR(AGGREGATE(15,6,ROW('Input Transaksi'!$B$5:$B$5000)/('Input Transaksi'!$B$5:$B$5000="JCL NUSA KAMBANGAN"),ROWS($E$5:E782)),"")</f>
        <v/>
      </c>
      <c r="F782" s="5" t="n"/>
    </row>
    <row r="783">
      <c r="A783" s="10">
        <f>IF($E783="","",INDEX('Input Transaksi'!$A:$A,$E783))</f>
        <v/>
      </c>
      <c r="B783" s="5">
        <f>IF($E783="","",INDEX('Input Transaksi'!$D:$D,$E783))</f>
        <v/>
      </c>
      <c r="C783">
        <f>IF($E783="","",INDEX('Input Transaksi'!$E:$E,$E783))</f>
        <v/>
      </c>
      <c r="D783" s="5">
        <f>IF($E783="","",INDEX('Input Transaksi'!$F:$F,$E783))</f>
        <v/>
      </c>
      <c r="E783">
        <f>IFERROR(AGGREGATE(15,6,ROW('Input Transaksi'!$B$5:$B$5000)/('Input Transaksi'!$B$5:$B$5000="JCL NUSA KAMBANGAN"),ROWS($E$5:E783)),"")</f>
        <v/>
      </c>
      <c r="F783" s="5" t="n"/>
    </row>
    <row r="784">
      <c r="A784" s="10">
        <f>IF($E784="","",INDEX('Input Transaksi'!$A:$A,$E784))</f>
        <v/>
      </c>
      <c r="B784" s="5">
        <f>IF($E784="","",INDEX('Input Transaksi'!$D:$D,$E784))</f>
        <v/>
      </c>
      <c r="C784">
        <f>IF($E784="","",INDEX('Input Transaksi'!$E:$E,$E784))</f>
        <v/>
      </c>
      <c r="D784" s="5">
        <f>IF($E784="","",INDEX('Input Transaksi'!$F:$F,$E784))</f>
        <v/>
      </c>
      <c r="E784">
        <f>IFERROR(AGGREGATE(15,6,ROW('Input Transaksi'!$B$5:$B$5000)/('Input Transaksi'!$B$5:$B$5000="JCL NUSA KAMBANGAN"),ROWS($E$5:E784)),"")</f>
        <v/>
      </c>
      <c r="F784" s="5" t="n"/>
    </row>
    <row r="785">
      <c r="A785" s="10">
        <f>IF($E785="","",INDEX('Input Transaksi'!$A:$A,$E785))</f>
        <v/>
      </c>
      <c r="B785" s="5">
        <f>IF($E785="","",INDEX('Input Transaksi'!$D:$D,$E785))</f>
        <v/>
      </c>
      <c r="C785">
        <f>IF($E785="","",INDEX('Input Transaksi'!$E:$E,$E785))</f>
        <v/>
      </c>
      <c r="D785" s="5">
        <f>IF($E785="","",INDEX('Input Transaksi'!$F:$F,$E785))</f>
        <v/>
      </c>
      <c r="E785">
        <f>IFERROR(AGGREGATE(15,6,ROW('Input Transaksi'!$B$5:$B$5000)/('Input Transaksi'!$B$5:$B$5000="JCL NUSA KAMBANGAN"),ROWS($E$5:E785)),"")</f>
        <v/>
      </c>
      <c r="F785" s="5" t="n"/>
    </row>
    <row r="786">
      <c r="A786" s="10">
        <f>IF($E786="","",INDEX('Input Transaksi'!$A:$A,$E786))</f>
        <v/>
      </c>
      <c r="B786" s="5">
        <f>IF($E786="","",INDEX('Input Transaksi'!$D:$D,$E786))</f>
        <v/>
      </c>
      <c r="C786">
        <f>IF($E786="","",INDEX('Input Transaksi'!$E:$E,$E786))</f>
        <v/>
      </c>
      <c r="D786" s="5">
        <f>IF($E786="","",INDEX('Input Transaksi'!$F:$F,$E786))</f>
        <v/>
      </c>
      <c r="E786">
        <f>IFERROR(AGGREGATE(15,6,ROW('Input Transaksi'!$B$5:$B$5000)/('Input Transaksi'!$B$5:$B$5000="JCL NUSA KAMBANGAN"),ROWS($E$5:E786)),"")</f>
        <v/>
      </c>
      <c r="F786" s="5" t="n"/>
    </row>
    <row r="787">
      <c r="A787" s="10">
        <f>IF($E787="","",INDEX('Input Transaksi'!$A:$A,$E787))</f>
        <v/>
      </c>
      <c r="B787" s="5">
        <f>IF($E787="","",INDEX('Input Transaksi'!$D:$D,$E787))</f>
        <v/>
      </c>
      <c r="C787">
        <f>IF($E787="","",INDEX('Input Transaksi'!$E:$E,$E787))</f>
        <v/>
      </c>
      <c r="D787" s="5">
        <f>IF($E787="","",INDEX('Input Transaksi'!$F:$F,$E787))</f>
        <v/>
      </c>
      <c r="E787">
        <f>IFERROR(AGGREGATE(15,6,ROW('Input Transaksi'!$B$5:$B$5000)/('Input Transaksi'!$B$5:$B$5000="JCL NUSA KAMBANGAN"),ROWS($E$5:E787)),"")</f>
        <v/>
      </c>
      <c r="F787" s="5" t="n"/>
    </row>
    <row r="788">
      <c r="A788" s="10">
        <f>IF($E788="","",INDEX('Input Transaksi'!$A:$A,$E788))</f>
        <v/>
      </c>
      <c r="B788" s="5">
        <f>IF($E788="","",INDEX('Input Transaksi'!$D:$D,$E788))</f>
        <v/>
      </c>
      <c r="C788">
        <f>IF($E788="","",INDEX('Input Transaksi'!$E:$E,$E788))</f>
        <v/>
      </c>
      <c r="D788" s="5">
        <f>IF($E788="","",INDEX('Input Transaksi'!$F:$F,$E788))</f>
        <v/>
      </c>
      <c r="E788">
        <f>IFERROR(AGGREGATE(15,6,ROW('Input Transaksi'!$B$5:$B$5000)/('Input Transaksi'!$B$5:$B$5000="JCL NUSA KAMBANGAN"),ROWS($E$5:E788)),"")</f>
        <v/>
      </c>
      <c r="F788" s="5" t="n"/>
    </row>
    <row r="789">
      <c r="A789" s="10">
        <f>IF($E789="","",INDEX('Input Transaksi'!$A:$A,$E789))</f>
        <v/>
      </c>
      <c r="B789" s="5">
        <f>IF($E789="","",INDEX('Input Transaksi'!$D:$D,$E789))</f>
        <v/>
      </c>
      <c r="C789">
        <f>IF($E789="","",INDEX('Input Transaksi'!$E:$E,$E789))</f>
        <v/>
      </c>
      <c r="D789" s="5">
        <f>IF($E789="","",INDEX('Input Transaksi'!$F:$F,$E789))</f>
        <v/>
      </c>
      <c r="E789">
        <f>IFERROR(AGGREGATE(15,6,ROW('Input Transaksi'!$B$5:$B$5000)/('Input Transaksi'!$B$5:$B$5000="JCL NUSA KAMBANGAN"),ROWS($E$5:E789)),"")</f>
        <v/>
      </c>
      <c r="F789" s="5" t="n"/>
    </row>
    <row r="790">
      <c r="A790" s="10">
        <f>IF($E790="","",INDEX('Input Transaksi'!$A:$A,$E790))</f>
        <v/>
      </c>
      <c r="B790" s="5">
        <f>IF($E790="","",INDEX('Input Transaksi'!$D:$D,$E790))</f>
        <v/>
      </c>
      <c r="C790">
        <f>IF($E790="","",INDEX('Input Transaksi'!$E:$E,$E790))</f>
        <v/>
      </c>
      <c r="D790" s="5">
        <f>IF($E790="","",INDEX('Input Transaksi'!$F:$F,$E790))</f>
        <v/>
      </c>
      <c r="E790">
        <f>IFERROR(AGGREGATE(15,6,ROW('Input Transaksi'!$B$5:$B$5000)/('Input Transaksi'!$B$5:$B$5000="JCL NUSA KAMBANGAN"),ROWS($E$5:E790)),"")</f>
        <v/>
      </c>
      <c r="F790" s="5" t="n"/>
    </row>
    <row r="791">
      <c r="A791" s="10">
        <f>IF($E791="","",INDEX('Input Transaksi'!$A:$A,$E791))</f>
        <v/>
      </c>
      <c r="B791" s="5">
        <f>IF($E791="","",INDEX('Input Transaksi'!$D:$D,$E791))</f>
        <v/>
      </c>
      <c r="C791">
        <f>IF($E791="","",INDEX('Input Transaksi'!$E:$E,$E791))</f>
        <v/>
      </c>
      <c r="D791" s="5">
        <f>IF($E791="","",INDEX('Input Transaksi'!$F:$F,$E791))</f>
        <v/>
      </c>
      <c r="E791">
        <f>IFERROR(AGGREGATE(15,6,ROW('Input Transaksi'!$B$5:$B$5000)/('Input Transaksi'!$B$5:$B$5000="JCL NUSA KAMBANGAN"),ROWS($E$5:E791)),"")</f>
        <v/>
      </c>
      <c r="F791" s="5" t="n"/>
    </row>
    <row r="792">
      <c r="A792" s="10">
        <f>IF($E792="","",INDEX('Input Transaksi'!$A:$A,$E792))</f>
        <v/>
      </c>
      <c r="B792" s="5">
        <f>IF($E792="","",INDEX('Input Transaksi'!$D:$D,$E792))</f>
        <v/>
      </c>
      <c r="C792">
        <f>IF($E792="","",INDEX('Input Transaksi'!$E:$E,$E792))</f>
        <v/>
      </c>
      <c r="D792" s="5">
        <f>IF($E792="","",INDEX('Input Transaksi'!$F:$F,$E792))</f>
        <v/>
      </c>
      <c r="E792">
        <f>IFERROR(AGGREGATE(15,6,ROW('Input Transaksi'!$B$5:$B$5000)/('Input Transaksi'!$B$5:$B$5000="JCL NUSA KAMBANGAN"),ROWS($E$5:E792)),"")</f>
        <v/>
      </c>
      <c r="F792" s="5" t="n"/>
    </row>
    <row r="793">
      <c r="A793" s="10">
        <f>IF($E793="","",INDEX('Input Transaksi'!$A:$A,$E793))</f>
        <v/>
      </c>
      <c r="B793" s="5">
        <f>IF($E793="","",INDEX('Input Transaksi'!$D:$D,$E793))</f>
        <v/>
      </c>
      <c r="C793">
        <f>IF($E793="","",INDEX('Input Transaksi'!$E:$E,$E793))</f>
        <v/>
      </c>
      <c r="D793" s="5">
        <f>IF($E793="","",INDEX('Input Transaksi'!$F:$F,$E793))</f>
        <v/>
      </c>
      <c r="E793">
        <f>IFERROR(AGGREGATE(15,6,ROW('Input Transaksi'!$B$5:$B$5000)/('Input Transaksi'!$B$5:$B$5000="JCL NUSA KAMBANGAN"),ROWS($E$5:E793)),"")</f>
        <v/>
      </c>
      <c r="F793" s="5" t="n"/>
    </row>
    <row r="794">
      <c r="A794" s="10">
        <f>IF($E794="","",INDEX('Input Transaksi'!$A:$A,$E794))</f>
        <v/>
      </c>
      <c r="B794" s="5">
        <f>IF($E794="","",INDEX('Input Transaksi'!$D:$D,$E794))</f>
        <v/>
      </c>
      <c r="C794">
        <f>IF($E794="","",INDEX('Input Transaksi'!$E:$E,$E794))</f>
        <v/>
      </c>
      <c r="D794" s="5">
        <f>IF($E794="","",INDEX('Input Transaksi'!$F:$F,$E794))</f>
        <v/>
      </c>
      <c r="E794">
        <f>IFERROR(AGGREGATE(15,6,ROW('Input Transaksi'!$B$5:$B$5000)/('Input Transaksi'!$B$5:$B$5000="JCL NUSA KAMBANGAN"),ROWS($E$5:E794)),"")</f>
        <v/>
      </c>
      <c r="F794" s="5" t="n"/>
    </row>
    <row r="795">
      <c r="A795" s="10">
        <f>IF($E795="","",INDEX('Input Transaksi'!$A:$A,$E795))</f>
        <v/>
      </c>
      <c r="B795" s="5">
        <f>IF($E795="","",INDEX('Input Transaksi'!$D:$D,$E795))</f>
        <v/>
      </c>
      <c r="C795">
        <f>IF($E795="","",INDEX('Input Transaksi'!$E:$E,$E795))</f>
        <v/>
      </c>
      <c r="D795" s="5">
        <f>IF($E795="","",INDEX('Input Transaksi'!$F:$F,$E795))</f>
        <v/>
      </c>
      <c r="E795">
        <f>IFERROR(AGGREGATE(15,6,ROW('Input Transaksi'!$B$5:$B$5000)/('Input Transaksi'!$B$5:$B$5000="JCL NUSA KAMBANGAN"),ROWS($E$5:E795)),"")</f>
        <v/>
      </c>
      <c r="F795" s="5" t="n"/>
    </row>
    <row r="796">
      <c r="A796" s="10">
        <f>IF($E796="","",INDEX('Input Transaksi'!$A:$A,$E796))</f>
        <v/>
      </c>
      <c r="B796" s="5">
        <f>IF($E796="","",INDEX('Input Transaksi'!$D:$D,$E796))</f>
        <v/>
      </c>
      <c r="C796">
        <f>IF($E796="","",INDEX('Input Transaksi'!$E:$E,$E796))</f>
        <v/>
      </c>
      <c r="D796" s="5">
        <f>IF($E796="","",INDEX('Input Transaksi'!$F:$F,$E796))</f>
        <v/>
      </c>
      <c r="E796">
        <f>IFERROR(AGGREGATE(15,6,ROW('Input Transaksi'!$B$5:$B$5000)/('Input Transaksi'!$B$5:$B$5000="JCL NUSA KAMBANGAN"),ROWS($E$5:E796)),"")</f>
        <v/>
      </c>
      <c r="F796" s="5" t="n"/>
    </row>
    <row r="797">
      <c r="A797" s="10">
        <f>IF($E797="","",INDEX('Input Transaksi'!$A:$A,$E797))</f>
        <v/>
      </c>
      <c r="B797" s="5">
        <f>IF($E797="","",INDEX('Input Transaksi'!$D:$D,$E797))</f>
        <v/>
      </c>
      <c r="C797">
        <f>IF($E797="","",INDEX('Input Transaksi'!$E:$E,$E797))</f>
        <v/>
      </c>
      <c r="D797" s="5">
        <f>IF($E797="","",INDEX('Input Transaksi'!$F:$F,$E797))</f>
        <v/>
      </c>
      <c r="E797">
        <f>IFERROR(AGGREGATE(15,6,ROW('Input Transaksi'!$B$5:$B$5000)/('Input Transaksi'!$B$5:$B$5000="JCL NUSA KAMBANGAN"),ROWS($E$5:E797)),"")</f>
        <v/>
      </c>
      <c r="F797" s="5" t="n"/>
    </row>
    <row r="798">
      <c r="A798" s="10">
        <f>IF($E798="","",INDEX('Input Transaksi'!$A:$A,$E798))</f>
        <v/>
      </c>
      <c r="B798" s="5">
        <f>IF($E798="","",INDEX('Input Transaksi'!$D:$D,$E798))</f>
        <v/>
      </c>
      <c r="C798">
        <f>IF($E798="","",INDEX('Input Transaksi'!$E:$E,$E798))</f>
        <v/>
      </c>
      <c r="D798" s="5">
        <f>IF($E798="","",INDEX('Input Transaksi'!$F:$F,$E798))</f>
        <v/>
      </c>
      <c r="E798">
        <f>IFERROR(AGGREGATE(15,6,ROW('Input Transaksi'!$B$5:$B$5000)/('Input Transaksi'!$B$5:$B$5000="JCL NUSA KAMBANGAN"),ROWS($E$5:E798)),"")</f>
        <v/>
      </c>
      <c r="F798" s="5" t="n"/>
    </row>
    <row r="799">
      <c r="A799" s="10">
        <f>IF($E799="","",INDEX('Input Transaksi'!$A:$A,$E799))</f>
        <v/>
      </c>
      <c r="B799" s="5">
        <f>IF($E799="","",INDEX('Input Transaksi'!$D:$D,$E799))</f>
        <v/>
      </c>
      <c r="C799">
        <f>IF($E799="","",INDEX('Input Transaksi'!$E:$E,$E799))</f>
        <v/>
      </c>
      <c r="D799" s="5">
        <f>IF($E799="","",INDEX('Input Transaksi'!$F:$F,$E799))</f>
        <v/>
      </c>
      <c r="E799">
        <f>IFERROR(AGGREGATE(15,6,ROW('Input Transaksi'!$B$5:$B$5000)/('Input Transaksi'!$B$5:$B$5000="JCL NUSA KAMBANGAN"),ROWS($E$5:E799)),"")</f>
        <v/>
      </c>
      <c r="F799" s="5" t="n"/>
    </row>
    <row r="800">
      <c r="A800" s="10">
        <f>IF($E800="","",INDEX('Input Transaksi'!$A:$A,$E800))</f>
        <v/>
      </c>
      <c r="B800" s="5">
        <f>IF($E800="","",INDEX('Input Transaksi'!$D:$D,$E800))</f>
        <v/>
      </c>
      <c r="C800">
        <f>IF($E800="","",INDEX('Input Transaksi'!$E:$E,$E800))</f>
        <v/>
      </c>
      <c r="D800" s="5">
        <f>IF($E800="","",INDEX('Input Transaksi'!$F:$F,$E800))</f>
        <v/>
      </c>
      <c r="E800">
        <f>IFERROR(AGGREGATE(15,6,ROW('Input Transaksi'!$B$5:$B$5000)/('Input Transaksi'!$B$5:$B$5000="JCL NUSA KAMBANGAN"),ROWS($E$5:E800)),"")</f>
        <v/>
      </c>
      <c r="F800" s="5" t="n"/>
    </row>
    <row r="801">
      <c r="A801" s="10">
        <f>IF($E801="","",INDEX('Input Transaksi'!$A:$A,$E801))</f>
        <v/>
      </c>
      <c r="B801" s="5">
        <f>IF($E801="","",INDEX('Input Transaksi'!$D:$D,$E801))</f>
        <v/>
      </c>
      <c r="C801">
        <f>IF($E801="","",INDEX('Input Transaksi'!$E:$E,$E801))</f>
        <v/>
      </c>
      <c r="D801" s="5">
        <f>IF($E801="","",INDEX('Input Transaksi'!$F:$F,$E801))</f>
        <v/>
      </c>
      <c r="E801">
        <f>IFERROR(AGGREGATE(15,6,ROW('Input Transaksi'!$B$5:$B$5000)/('Input Transaksi'!$B$5:$B$5000="JCL NUSA KAMBANGAN"),ROWS($E$5:E801)),"")</f>
        <v/>
      </c>
      <c r="F801" s="5" t="n"/>
    </row>
    <row r="802">
      <c r="A802" s="10">
        <f>IF($E802="","",INDEX('Input Transaksi'!$A:$A,$E802))</f>
        <v/>
      </c>
      <c r="B802" s="5">
        <f>IF($E802="","",INDEX('Input Transaksi'!$D:$D,$E802))</f>
        <v/>
      </c>
      <c r="C802">
        <f>IF($E802="","",INDEX('Input Transaksi'!$E:$E,$E802))</f>
        <v/>
      </c>
      <c r="D802" s="5">
        <f>IF($E802="","",INDEX('Input Transaksi'!$F:$F,$E802))</f>
        <v/>
      </c>
      <c r="E802">
        <f>IFERROR(AGGREGATE(15,6,ROW('Input Transaksi'!$B$5:$B$5000)/('Input Transaksi'!$B$5:$B$5000="JCL NUSA KAMBANGAN"),ROWS($E$5:E802)),"")</f>
        <v/>
      </c>
      <c r="F802" s="5" t="n"/>
    </row>
    <row r="803">
      <c r="A803" s="10">
        <f>IF($E803="","",INDEX('Input Transaksi'!$A:$A,$E803))</f>
        <v/>
      </c>
      <c r="B803" s="5">
        <f>IF($E803="","",INDEX('Input Transaksi'!$D:$D,$E803))</f>
        <v/>
      </c>
      <c r="C803">
        <f>IF($E803="","",INDEX('Input Transaksi'!$E:$E,$E803))</f>
        <v/>
      </c>
      <c r="D803" s="5">
        <f>IF($E803="","",INDEX('Input Transaksi'!$F:$F,$E803))</f>
        <v/>
      </c>
      <c r="E803">
        <f>IFERROR(AGGREGATE(15,6,ROW('Input Transaksi'!$B$5:$B$5000)/('Input Transaksi'!$B$5:$B$5000="JCL NUSA KAMBANGAN"),ROWS($E$5:E803)),"")</f>
        <v/>
      </c>
      <c r="F803" s="5" t="n"/>
    </row>
    <row r="804">
      <c r="A804" s="10">
        <f>IF($E804="","",INDEX('Input Transaksi'!$A:$A,$E804))</f>
        <v/>
      </c>
      <c r="B804" s="5">
        <f>IF($E804="","",INDEX('Input Transaksi'!$D:$D,$E804))</f>
        <v/>
      </c>
      <c r="C804">
        <f>IF($E804="","",INDEX('Input Transaksi'!$E:$E,$E804))</f>
        <v/>
      </c>
      <c r="D804" s="5">
        <f>IF($E804="","",INDEX('Input Transaksi'!$F:$F,$E804))</f>
        <v/>
      </c>
      <c r="E804">
        <f>IFERROR(AGGREGATE(15,6,ROW('Input Transaksi'!$B$5:$B$5000)/('Input Transaksi'!$B$5:$B$5000="JCL NUSA KAMBANGAN"),ROWS($E$5:E804)),"")</f>
        <v/>
      </c>
      <c r="F804" s="5" t="n"/>
    </row>
    <row r="805">
      <c r="A805" s="10">
        <f>IF($E805="","",INDEX('Input Transaksi'!$A:$A,$E805))</f>
        <v/>
      </c>
      <c r="B805" s="5">
        <f>IF($E805="","",INDEX('Input Transaksi'!$D:$D,$E805))</f>
        <v/>
      </c>
      <c r="C805">
        <f>IF($E805="","",INDEX('Input Transaksi'!$E:$E,$E805))</f>
        <v/>
      </c>
      <c r="D805" s="5">
        <f>IF($E805="","",INDEX('Input Transaksi'!$F:$F,$E805))</f>
        <v/>
      </c>
      <c r="E805">
        <f>IFERROR(AGGREGATE(15,6,ROW('Input Transaksi'!$B$5:$B$5000)/('Input Transaksi'!$B$5:$B$5000="JCL NUSA KAMBANGAN"),ROWS($E$5:E805)),"")</f>
        <v/>
      </c>
      <c r="F805" s="5" t="n"/>
    </row>
    <row r="806">
      <c r="A806" s="10">
        <f>IF($E806="","",INDEX('Input Transaksi'!$A:$A,$E806))</f>
        <v/>
      </c>
      <c r="B806" s="5">
        <f>IF($E806="","",INDEX('Input Transaksi'!$D:$D,$E806))</f>
        <v/>
      </c>
      <c r="C806">
        <f>IF($E806="","",INDEX('Input Transaksi'!$E:$E,$E806))</f>
        <v/>
      </c>
      <c r="D806" s="5">
        <f>IF($E806="","",INDEX('Input Transaksi'!$F:$F,$E806))</f>
        <v/>
      </c>
      <c r="E806">
        <f>IFERROR(AGGREGATE(15,6,ROW('Input Transaksi'!$B$5:$B$5000)/('Input Transaksi'!$B$5:$B$5000="JCL NUSA KAMBANGAN"),ROWS($E$5:E806)),"")</f>
        <v/>
      </c>
      <c r="F806" s="5" t="n"/>
    </row>
    <row r="807">
      <c r="A807" s="10">
        <f>IF($E807="","",INDEX('Input Transaksi'!$A:$A,$E807))</f>
        <v/>
      </c>
      <c r="B807" s="5">
        <f>IF($E807="","",INDEX('Input Transaksi'!$D:$D,$E807))</f>
        <v/>
      </c>
      <c r="C807">
        <f>IF($E807="","",INDEX('Input Transaksi'!$E:$E,$E807))</f>
        <v/>
      </c>
      <c r="D807" s="5">
        <f>IF($E807="","",INDEX('Input Transaksi'!$F:$F,$E807))</f>
        <v/>
      </c>
      <c r="E807">
        <f>IFERROR(AGGREGATE(15,6,ROW('Input Transaksi'!$B$5:$B$5000)/('Input Transaksi'!$B$5:$B$5000="JCL NUSA KAMBANGAN"),ROWS($E$5:E807)),"")</f>
        <v/>
      </c>
      <c r="F807" s="5" t="n"/>
    </row>
    <row r="808">
      <c r="A808" s="10">
        <f>IF($E808="","",INDEX('Input Transaksi'!$A:$A,$E808))</f>
        <v/>
      </c>
      <c r="B808" s="5">
        <f>IF($E808="","",INDEX('Input Transaksi'!$D:$D,$E808))</f>
        <v/>
      </c>
      <c r="C808">
        <f>IF($E808="","",INDEX('Input Transaksi'!$E:$E,$E808))</f>
        <v/>
      </c>
      <c r="D808" s="5">
        <f>IF($E808="","",INDEX('Input Transaksi'!$F:$F,$E808))</f>
        <v/>
      </c>
      <c r="E808">
        <f>IFERROR(AGGREGATE(15,6,ROW('Input Transaksi'!$B$5:$B$5000)/('Input Transaksi'!$B$5:$B$5000="JCL NUSA KAMBANGAN"),ROWS($E$5:E808)),"")</f>
        <v/>
      </c>
      <c r="F808" s="5" t="n"/>
    </row>
    <row r="809">
      <c r="A809" s="10">
        <f>IF($E809="","",INDEX('Input Transaksi'!$A:$A,$E809))</f>
        <v/>
      </c>
      <c r="B809" s="5">
        <f>IF($E809="","",INDEX('Input Transaksi'!$D:$D,$E809))</f>
        <v/>
      </c>
      <c r="C809">
        <f>IF($E809="","",INDEX('Input Transaksi'!$E:$E,$E809))</f>
        <v/>
      </c>
      <c r="D809" s="5">
        <f>IF($E809="","",INDEX('Input Transaksi'!$F:$F,$E809))</f>
        <v/>
      </c>
      <c r="E809">
        <f>IFERROR(AGGREGATE(15,6,ROW('Input Transaksi'!$B$5:$B$5000)/('Input Transaksi'!$B$5:$B$5000="JCL NUSA KAMBANGAN"),ROWS($E$5:E809)),"")</f>
        <v/>
      </c>
      <c r="F809" s="5" t="n"/>
    </row>
    <row r="810">
      <c r="A810" s="10">
        <f>IF($E810="","",INDEX('Input Transaksi'!$A:$A,$E810))</f>
        <v/>
      </c>
      <c r="B810" s="5">
        <f>IF($E810="","",INDEX('Input Transaksi'!$D:$D,$E810))</f>
        <v/>
      </c>
      <c r="C810">
        <f>IF($E810="","",INDEX('Input Transaksi'!$E:$E,$E810))</f>
        <v/>
      </c>
      <c r="D810" s="5">
        <f>IF($E810="","",INDEX('Input Transaksi'!$F:$F,$E810))</f>
        <v/>
      </c>
      <c r="E810">
        <f>IFERROR(AGGREGATE(15,6,ROW('Input Transaksi'!$B$5:$B$5000)/('Input Transaksi'!$B$5:$B$5000="JCL NUSA KAMBANGAN"),ROWS($E$5:E810)),"")</f>
        <v/>
      </c>
      <c r="F810" s="5" t="n"/>
    </row>
    <row r="811">
      <c r="A811" s="10">
        <f>IF($E811="","",INDEX('Input Transaksi'!$A:$A,$E811))</f>
        <v/>
      </c>
      <c r="B811" s="5">
        <f>IF($E811="","",INDEX('Input Transaksi'!$D:$D,$E811))</f>
        <v/>
      </c>
      <c r="C811">
        <f>IF($E811="","",INDEX('Input Transaksi'!$E:$E,$E811))</f>
        <v/>
      </c>
      <c r="D811" s="5">
        <f>IF($E811="","",INDEX('Input Transaksi'!$F:$F,$E811))</f>
        <v/>
      </c>
      <c r="E811">
        <f>IFERROR(AGGREGATE(15,6,ROW('Input Transaksi'!$B$5:$B$5000)/('Input Transaksi'!$B$5:$B$5000="JCL NUSA KAMBANGAN"),ROWS($E$5:E811)),"")</f>
        <v/>
      </c>
      <c r="F811" s="5" t="n"/>
    </row>
    <row r="812">
      <c r="A812" s="10">
        <f>IF($E812="","",INDEX('Input Transaksi'!$A:$A,$E812))</f>
        <v/>
      </c>
      <c r="B812" s="5">
        <f>IF($E812="","",INDEX('Input Transaksi'!$D:$D,$E812))</f>
        <v/>
      </c>
      <c r="C812">
        <f>IF($E812="","",INDEX('Input Transaksi'!$E:$E,$E812))</f>
        <v/>
      </c>
      <c r="D812" s="5">
        <f>IF($E812="","",INDEX('Input Transaksi'!$F:$F,$E812))</f>
        <v/>
      </c>
      <c r="E812">
        <f>IFERROR(AGGREGATE(15,6,ROW('Input Transaksi'!$B$5:$B$5000)/('Input Transaksi'!$B$5:$B$5000="JCL NUSA KAMBANGAN"),ROWS($E$5:E812)),"")</f>
        <v/>
      </c>
      <c r="F812" s="5" t="n"/>
    </row>
    <row r="813">
      <c r="A813" s="10">
        <f>IF($E813="","",INDEX('Input Transaksi'!$A:$A,$E813))</f>
        <v/>
      </c>
      <c r="B813" s="5">
        <f>IF($E813="","",INDEX('Input Transaksi'!$D:$D,$E813))</f>
        <v/>
      </c>
      <c r="C813">
        <f>IF($E813="","",INDEX('Input Transaksi'!$E:$E,$E813))</f>
        <v/>
      </c>
      <c r="D813" s="5">
        <f>IF($E813="","",INDEX('Input Transaksi'!$F:$F,$E813))</f>
        <v/>
      </c>
      <c r="E813">
        <f>IFERROR(AGGREGATE(15,6,ROW('Input Transaksi'!$B$5:$B$5000)/('Input Transaksi'!$B$5:$B$5000="JCL NUSA KAMBANGAN"),ROWS($E$5:E813)),"")</f>
        <v/>
      </c>
      <c r="F813" s="5" t="n"/>
    </row>
    <row r="814">
      <c r="A814" s="10">
        <f>IF($E814="","",INDEX('Input Transaksi'!$A:$A,$E814))</f>
        <v/>
      </c>
      <c r="B814" s="5">
        <f>IF($E814="","",INDEX('Input Transaksi'!$D:$D,$E814))</f>
        <v/>
      </c>
      <c r="C814">
        <f>IF($E814="","",INDEX('Input Transaksi'!$E:$E,$E814))</f>
        <v/>
      </c>
      <c r="D814" s="5">
        <f>IF($E814="","",INDEX('Input Transaksi'!$F:$F,$E814))</f>
        <v/>
      </c>
      <c r="E814">
        <f>IFERROR(AGGREGATE(15,6,ROW('Input Transaksi'!$B$5:$B$5000)/('Input Transaksi'!$B$5:$B$5000="JCL NUSA KAMBANGAN"),ROWS($E$5:E814)),"")</f>
        <v/>
      </c>
      <c r="F814" s="5" t="n"/>
    </row>
    <row r="815">
      <c r="A815" s="10">
        <f>IF($E815="","",INDEX('Input Transaksi'!$A:$A,$E815))</f>
        <v/>
      </c>
      <c r="B815" s="5">
        <f>IF($E815="","",INDEX('Input Transaksi'!$D:$D,$E815))</f>
        <v/>
      </c>
      <c r="C815">
        <f>IF($E815="","",INDEX('Input Transaksi'!$E:$E,$E815))</f>
        <v/>
      </c>
      <c r="D815" s="5">
        <f>IF($E815="","",INDEX('Input Transaksi'!$F:$F,$E815))</f>
        <v/>
      </c>
      <c r="E815">
        <f>IFERROR(AGGREGATE(15,6,ROW('Input Transaksi'!$B$5:$B$5000)/('Input Transaksi'!$B$5:$B$5000="JCL NUSA KAMBANGAN"),ROWS($E$5:E815)),"")</f>
        <v/>
      </c>
      <c r="F815" s="5" t="n"/>
    </row>
    <row r="816">
      <c r="A816" s="10">
        <f>IF($E816="","",INDEX('Input Transaksi'!$A:$A,$E816))</f>
        <v/>
      </c>
      <c r="B816" s="5">
        <f>IF($E816="","",INDEX('Input Transaksi'!$D:$D,$E816))</f>
        <v/>
      </c>
      <c r="C816">
        <f>IF($E816="","",INDEX('Input Transaksi'!$E:$E,$E816))</f>
        <v/>
      </c>
      <c r="D816" s="5">
        <f>IF($E816="","",INDEX('Input Transaksi'!$F:$F,$E816))</f>
        <v/>
      </c>
      <c r="E816">
        <f>IFERROR(AGGREGATE(15,6,ROW('Input Transaksi'!$B$5:$B$5000)/('Input Transaksi'!$B$5:$B$5000="JCL NUSA KAMBANGAN"),ROWS($E$5:E816)),"")</f>
        <v/>
      </c>
      <c r="F816" s="5" t="n"/>
    </row>
    <row r="817">
      <c r="A817" s="10">
        <f>IF($E817="","",INDEX('Input Transaksi'!$A:$A,$E817))</f>
        <v/>
      </c>
      <c r="B817" s="5">
        <f>IF($E817="","",INDEX('Input Transaksi'!$D:$D,$E817))</f>
        <v/>
      </c>
      <c r="C817">
        <f>IF($E817="","",INDEX('Input Transaksi'!$E:$E,$E817))</f>
        <v/>
      </c>
      <c r="D817" s="5">
        <f>IF($E817="","",INDEX('Input Transaksi'!$F:$F,$E817))</f>
        <v/>
      </c>
      <c r="E817">
        <f>IFERROR(AGGREGATE(15,6,ROW('Input Transaksi'!$B$5:$B$5000)/('Input Transaksi'!$B$5:$B$5000="JCL NUSA KAMBANGAN"),ROWS($E$5:E817)),"")</f>
        <v/>
      </c>
      <c r="F817" s="5" t="n"/>
    </row>
    <row r="818">
      <c r="A818" s="10">
        <f>IF($E818="","",INDEX('Input Transaksi'!$A:$A,$E818))</f>
        <v/>
      </c>
      <c r="B818" s="5">
        <f>IF($E818="","",INDEX('Input Transaksi'!$D:$D,$E818))</f>
        <v/>
      </c>
      <c r="C818">
        <f>IF($E818="","",INDEX('Input Transaksi'!$E:$E,$E818))</f>
        <v/>
      </c>
      <c r="D818" s="5">
        <f>IF($E818="","",INDEX('Input Transaksi'!$F:$F,$E818))</f>
        <v/>
      </c>
      <c r="E818">
        <f>IFERROR(AGGREGATE(15,6,ROW('Input Transaksi'!$B$5:$B$5000)/('Input Transaksi'!$B$5:$B$5000="JCL NUSA KAMBANGAN"),ROWS($E$5:E818)),"")</f>
        <v/>
      </c>
      <c r="F818" s="5" t="n"/>
    </row>
    <row r="819">
      <c r="A819" s="10">
        <f>IF($E819="","",INDEX('Input Transaksi'!$A:$A,$E819))</f>
        <v/>
      </c>
      <c r="B819" s="5">
        <f>IF($E819="","",INDEX('Input Transaksi'!$D:$D,$E819))</f>
        <v/>
      </c>
      <c r="C819">
        <f>IF($E819="","",INDEX('Input Transaksi'!$E:$E,$E819))</f>
        <v/>
      </c>
      <c r="D819" s="5">
        <f>IF($E819="","",INDEX('Input Transaksi'!$F:$F,$E819))</f>
        <v/>
      </c>
      <c r="E819">
        <f>IFERROR(AGGREGATE(15,6,ROW('Input Transaksi'!$B$5:$B$5000)/('Input Transaksi'!$B$5:$B$5000="JCL NUSA KAMBANGAN"),ROWS($E$5:E819)),"")</f>
        <v/>
      </c>
      <c r="F819" s="5" t="n"/>
    </row>
    <row r="820">
      <c r="A820" s="10">
        <f>IF($E820="","",INDEX('Input Transaksi'!$A:$A,$E820))</f>
        <v/>
      </c>
      <c r="B820" s="5">
        <f>IF($E820="","",INDEX('Input Transaksi'!$D:$D,$E820))</f>
        <v/>
      </c>
      <c r="C820">
        <f>IF($E820="","",INDEX('Input Transaksi'!$E:$E,$E820))</f>
        <v/>
      </c>
      <c r="D820" s="5">
        <f>IF($E820="","",INDEX('Input Transaksi'!$F:$F,$E820))</f>
        <v/>
      </c>
      <c r="E820">
        <f>IFERROR(AGGREGATE(15,6,ROW('Input Transaksi'!$B$5:$B$5000)/('Input Transaksi'!$B$5:$B$5000="JCL NUSA KAMBANGAN"),ROWS($E$5:E820)),"")</f>
        <v/>
      </c>
      <c r="F820" s="5" t="n"/>
    </row>
    <row r="821">
      <c r="A821" s="10">
        <f>IF($E821="","",INDEX('Input Transaksi'!$A:$A,$E821))</f>
        <v/>
      </c>
      <c r="B821" s="5">
        <f>IF($E821="","",INDEX('Input Transaksi'!$D:$D,$E821))</f>
        <v/>
      </c>
      <c r="C821">
        <f>IF($E821="","",INDEX('Input Transaksi'!$E:$E,$E821))</f>
        <v/>
      </c>
      <c r="D821" s="5">
        <f>IF($E821="","",INDEX('Input Transaksi'!$F:$F,$E821))</f>
        <v/>
      </c>
      <c r="E821">
        <f>IFERROR(AGGREGATE(15,6,ROW('Input Transaksi'!$B$5:$B$5000)/('Input Transaksi'!$B$5:$B$5000="JCL NUSA KAMBANGAN"),ROWS($E$5:E821)),"")</f>
        <v/>
      </c>
      <c r="F821" s="5" t="n"/>
    </row>
    <row r="822">
      <c r="A822" s="10">
        <f>IF($E822="","",INDEX('Input Transaksi'!$A:$A,$E822))</f>
        <v/>
      </c>
      <c r="B822" s="5">
        <f>IF($E822="","",INDEX('Input Transaksi'!$D:$D,$E822))</f>
        <v/>
      </c>
      <c r="C822">
        <f>IF($E822="","",INDEX('Input Transaksi'!$E:$E,$E822))</f>
        <v/>
      </c>
      <c r="D822" s="5">
        <f>IF($E822="","",INDEX('Input Transaksi'!$F:$F,$E822))</f>
        <v/>
      </c>
      <c r="E822">
        <f>IFERROR(AGGREGATE(15,6,ROW('Input Transaksi'!$B$5:$B$5000)/('Input Transaksi'!$B$5:$B$5000="JCL NUSA KAMBANGAN"),ROWS($E$5:E822)),"")</f>
        <v/>
      </c>
      <c r="F822" s="5" t="n"/>
    </row>
    <row r="823">
      <c r="A823" s="10">
        <f>IF($E823="","",INDEX('Input Transaksi'!$A:$A,$E823))</f>
        <v/>
      </c>
      <c r="B823" s="5">
        <f>IF($E823="","",INDEX('Input Transaksi'!$D:$D,$E823))</f>
        <v/>
      </c>
      <c r="C823">
        <f>IF($E823="","",INDEX('Input Transaksi'!$E:$E,$E823))</f>
        <v/>
      </c>
      <c r="D823" s="5">
        <f>IF($E823="","",INDEX('Input Transaksi'!$F:$F,$E823))</f>
        <v/>
      </c>
      <c r="E823">
        <f>IFERROR(AGGREGATE(15,6,ROW('Input Transaksi'!$B$5:$B$5000)/('Input Transaksi'!$B$5:$B$5000="JCL NUSA KAMBANGAN"),ROWS($E$5:E823)),"")</f>
        <v/>
      </c>
      <c r="F823" s="5" t="n"/>
    </row>
    <row r="824">
      <c r="A824" s="10">
        <f>IF($E824="","",INDEX('Input Transaksi'!$A:$A,$E824))</f>
        <v/>
      </c>
      <c r="B824" s="5">
        <f>IF($E824="","",INDEX('Input Transaksi'!$D:$D,$E824))</f>
        <v/>
      </c>
      <c r="C824">
        <f>IF($E824="","",INDEX('Input Transaksi'!$E:$E,$E824))</f>
        <v/>
      </c>
      <c r="D824" s="5">
        <f>IF($E824="","",INDEX('Input Transaksi'!$F:$F,$E824))</f>
        <v/>
      </c>
      <c r="E824">
        <f>IFERROR(AGGREGATE(15,6,ROW('Input Transaksi'!$B$5:$B$5000)/('Input Transaksi'!$B$5:$B$5000="JCL NUSA KAMBANGAN"),ROWS($E$5:E824)),"")</f>
        <v/>
      </c>
      <c r="F824" s="5" t="n"/>
    </row>
    <row r="825">
      <c r="A825" s="10">
        <f>IF($E825="","",INDEX('Input Transaksi'!$A:$A,$E825))</f>
        <v/>
      </c>
      <c r="B825" s="5">
        <f>IF($E825="","",INDEX('Input Transaksi'!$D:$D,$E825))</f>
        <v/>
      </c>
      <c r="C825">
        <f>IF($E825="","",INDEX('Input Transaksi'!$E:$E,$E825))</f>
        <v/>
      </c>
      <c r="D825" s="5">
        <f>IF($E825="","",INDEX('Input Transaksi'!$F:$F,$E825))</f>
        <v/>
      </c>
      <c r="E825">
        <f>IFERROR(AGGREGATE(15,6,ROW('Input Transaksi'!$B$5:$B$5000)/('Input Transaksi'!$B$5:$B$5000="JCL NUSA KAMBANGAN"),ROWS($E$5:E825)),"")</f>
        <v/>
      </c>
      <c r="F825" s="5" t="n"/>
    </row>
    <row r="826">
      <c r="A826" s="10">
        <f>IF($E826="","",INDEX('Input Transaksi'!$A:$A,$E826))</f>
        <v/>
      </c>
      <c r="B826" s="5">
        <f>IF($E826="","",INDEX('Input Transaksi'!$D:$D,$E826))</f>
        <v/>
      </c>
      <c r="C826">
        <f>IF($E826="","",INDEX('Input Transaksi'!$E:$E,$E826))</f>
        <v/>
      </c>
      <c r="D826" s="5">
        <f>IF($E826="","",INDEX('Input Transaksi'!$F:$F,$E826))</f>
        <v/>
      </c>
      <c r="E826">
        <f>IFERROR(AGGREGATE(15,6,ROW('Input Transaksi'!$B$5:$B$5000)/('Input Transaksi'!$B$5:$B$5000="JCL NUSA KAMBANGAN"),ROWS($E$5:E826)),"")</f>
        <v/>
      </c>
      <c r="F826" s="5" t="n"/>
    </row>
    <row r="827">
      <c r="A827" s="10">
        <f>IF($E827="","",INDEX('Input Transaksi'!$A:$A,$E827))</f>
        <v/>
      </c>
      <c r="B827" s="5">
        <f>IF($E827="","",INDEX('Input Transaksi'!$D:$D,$E827))</f>
        <v/>
      </c>
      <c r="C827">
        <f>IF($E827="","",INDEX('Input Transaksi'!$E:$E,$E827))</f>
        <v/>
      </c>
      <c r="D827" s="5">
        <f>IF($E827="","",INDEX('Input Transaksi'!$F:$F,$E827))</f>
        <v/>
      </c>
      <c r="E827">
        <f>IFERROR(AGGREGATE(15,6,ROW('Input Transaksi'!$B$5:$B$5000)/('Input Transaksi'!$B$5:$B$5000="JCL NUSA KAMBANGAN"),ROWS($E$5:E827)),"")</f>
        <v/>
      </c>
      <c r="F827" s="5" t="n"/>
    </row>
    <row r="828">
      <c r="A828" s="10">
        <f>IF($E828="","",INDEX('Input Transaksi'!$A:$A,$E828))</f>
        <v/>
      </c>
      <c r="B828" s="5">
        <f>IF($E828="","",INDEX('Input Transaksi'!$D:$D,$E828))</f>
        <v/>
      </c>
      <c r="C828">
        <f>IF($E828="","",INDEX('Input Transaksi'!$E:$E,$E828))</f>
        <v/>
      </c>
      <c r="D828" s="5">
        <f>IF($E828="","",INDEX('Input Transaksi'!$F:$F,$E828))</f>
        <v/>
      </c>
      <c r="E828">
        <f>IFERROR(AGGREGATE(15,6,ROW('Input Transaksi'!$B$5:$B$5000)/('Input Transaksi'!$B$5:$B$5000="JCL NUSA KAMBANGAN"),ROWS($E$5:E828)),"")</f>
        <v/>
      </c>
      <c r="F828" s="5" t="n"/>
    </row>
    <row r="829">
      <c r="A829" s="10">
        <f>IF($E829="","",INDEX('Input Transaksi'!$A:$A,$E829))</f>
        <v/>
      </c>
      <c r="B829" s="5">
        <f>IF($E829="","",INDEX('Input Transaksi'!$D:$D,$E829))</f>
        <v/>
      </c>
      <c r="C829">
        <f>IF($E829="","",INDEX('Input Transaksi'!$E:$E,$E829))</f>
        <v/>
      </c>
      <c r="D829" s="5">
        <f>IF($E829="","",INDEX('Input Transaksi'!$F:$F,$E829))</f>
        <v/>
      </c>
      <c r="E829">
        <f>IFERROR(AGGREGATE(15,6,ROW('Input Transaksi'!$B$5:$B$5000)/('Input Transaksi'!$B$5:$B$5000="JCL NUSA KAMBANGAN"),ROWS($E$5:E829)),"")</f>
        <v/>
      </c>
      <c r="F829" s="5" t="n"/>
    </row>
    <row r="830">
      <c r="A830" s="10">
        <f>IF($E830="","",INDEX('Input Transaksi'!$A:$A,$E830))</f>
        <v/>
      </c>
      <c r="B830" s="5">
        <f>IF($E830="","",INDEX('Input Transaksi'!$D:$D,$E830))</f>
        <v/>
      </c>
      <c r="C830">
        <f>IF($E830="","",INDEX('Input Transaksi'!$E:$E,$E830))</f>
        <v/>
      </c>
      <c r="D830" s="5">
        <f>IF($E830="","",INDEX('Input Transaksi'!$F:$F,$E830))</f>
        <v/>
      </c>
      <c r="E830">
        <f>IFERROR(AGGREGATE(15,6,ROW('Input Transaksi'!$B$5:$B$5000)/('Input Transaksi'!$B$5:$B$5000="JCL NUSA KAMBANGAN"),ROWS($E$5:E830)),"")</f>
        <v/>
      </c>
      <c r="F830" s="5" t="n"/>
    </row>
    <row r="831">
      <c r="A831" s="10">
        <f>IF($E831="","",INDEX('Input Transaksi'!$A:$A,$E831))</f>
        <v/>
      </c>
      <c r="B831" s="5">
        <f>IF($E831="","",INDEX('Input Transaksi'!$D:$D,$E831))</f>
        <v/>
      </c>
      <c r="C831">
        <f>IF($E831="","",INDEX('Input Transaksi'!$E:$E,$E831))</f>
        <v/>
      </c>
      <c r="D831" s="5">
        <f>IF($E831="","",INDEX('Input Transaksi'!$F:$F,$E831))</f>
        <v/>
      </c>
      <c r="E831">
        <f>IFERROR(AGGREGATE(15,6,ROW('Input Transaksi'!$B$5:$B$5000)/('Input Transaksi'!$B$5:$B$5000="JCL NUSA KAMBANGAN"),ROWS($E$5:E831)),"")</f>
        <v/>
      </c>
      <c r="F831" s="5" t="n"/>
    </row>
    <row r="832">
      <c r="A832" s="10">
        <f>IF($E832="","",INDEX('Input Transaksi'!$A:$A,$E832))</f>
        <v/>
      </c>
      <c r="B832" s="5">
        <f>IF($E832="","",INDEX('Input Transaksi'!$D:$D,$E832))</f>
        <v/>
      </c>
      <c r="C832">
        <f>IF($E832="","",INDEX('Input Transaksi'!$E:$E,$E832))</f>
        <v/>
      </c>
      <c r="D832" s="5">
        <f>IF($E832="","",INDEX('Input Transaksi'!$F:$F,$E832))</f>
        <v/>
      </c>
      <c r="E832">
        <f>IFERROR(AGGREGATE(15,6,ROW('Input Transaksi'!$B$5:$B$5000)/('Input Transaksi'!$B$5:$B$5000="JCL NUSA KAMBANGAN"),ROWS($E$5:E832)),"")</f>
        <v/>
      </c>
      <c r="F832" s="5" t="n"/>
    </row>
    <row r="833">
      <c r="A833" s="10">
        <f>IF($E833="","",INDEX('Input Transaksi'!$A:$A,$E833))</f>
        <v/>
      </c>
      <c r="B833" s="5">
        <f>IF($E833="","",INDEX('Input Transaksi'!$D:$D,$E833))</f>
        <v/>
      </c>
      <c r="C833">
        <f>IF($E833="","",INDEX('Input Transaksi'!$E:$E,$E833))</f>
        <v/>
      </c>
      <c r="D833" s="5">
        <f>IF($E833="","",INDEX('Input Transaksi'!$F:$F,$E833))</f>
        <v/>
      </c>
      <c r="E833">
        <f>IFERROR(AGGREGATE(15,6,ROW('Input Transaksi'!$B$5:$B$5000)/('Input Transaksi'!$B$5:$B$5000="JCL NUSA KAMBANGAN"),ROWS($E$5:E833)),"")</f>
        <v/>
      </c>
      <c r="F833" s="5" t="n"/>
    </row>
    <row r="834">
      <c r="A834" s="10">
        <f>IF($E834="","",INDEX('Input Transaksi'!$A:$A,$E834))</f>
        <v/>
      </c>
      <c r="B834" s="5">
        <f>IF($E834="","",INDEX('Input Transaksi'!$D:$D,$E834))</f>
        <v/>
      </c>
      <c r="C834">
        <f>IF($E834="","",INDEX('Input Transaksi'!$E:$E,$E834))</f>
        <v/>
      </c>
      <c r="D834" s="5">
        <f>IF($E834="","",INDEX('Input Transaksi'!$F:$F,$E834))</f>
        <v/>
      </c>
      <c r="E834">
        <f>IFERROR(AGGREGATE(15,6,ROW('Input Transaksi'!$B$5:$B$5000)/('Input Transaksi'!$B$5:$B$5000="JCL NUSA KAMBANGAN"),ROWS($E$5:E834)),"")</f>
        <v/>
      </c>
      <c r="F834" s="5" t="n"/>
    </row>
    <row r="835">
      <c r="A835" s="10">
        <f>IF($E835="","",INDEX('Input Transaksi'!$A:$A,$E835))</f>
        <v/>
      </c>
      <c r="B835" s="5">
        <f>IF($E835="","",INDEX('Input Transaksi'!$D:$D,$E835))</f>
        <v/>
      </c>
      <c r="C835">
        <f>IF($E835="","",INDEX('Input Transaksi'!$E:$E,$E835))</f>
        <v/>
      </c>
      <c r="D835" s="5">
        <f>IF($E835="","",INDEX('Input Transaksi'!$F:$F,$E835))</f>
        <v/>
      </c>
      <c r="E835">
        <f>IFERROR(AGGREGATE(15,6,ROW('Input Transaksi'!$B$5:$B$5000)/('Input Transaksi'!$B$5:$B$5000="JCL NUSA KAMBANGAN"),ROWS($E$5:E835)),"")</f>
        <v/>
      </c>
      <c r="F835" s="5" t="n"/>
    </row>
    <row r="836">
      <c r="A836" s="10">
        <f>IF($E836="","",INDEX('Input Transaksi'!$A:$A,$E836))</f>
        <v/>
      </c>
      <c r="B836" s="5">
        <f>IF($E836="","",INDEX('Input Transaksi'!$D:$D,$E836))</f>
        <v/>
      </c>
      <c r="C836">
        <f>IF($E836="","",INDEX('Input Transaksi'!$E:$E,$E836))</f>
        <v/>
      </c>
      <c r="D836" s="5">
        <f>IF($E836="","",INDEX('Input Transaksi'!$F:$F,$E836))</f>
        <v/>
      </c>
      <c r="E836">
        <f>IFERROR(AGGREGATE(15,6,ROW('Input Transaksi'!$B$5:$B$5000)/('Input Transaksi'!$B$5:$B$5000="JCL NUSA KAMBANGAN"),ROWS($E$5:E836)),"")</f>
        <v/>
      </c>
      <c r="F836" s="5" t="n"/>
    </row>
    <row r="837">
      <c r="A837" s="10">
        <f>IF($E837="","",INDEX('Input Transaksi'!$A:$A,$E837))</f>
        <v/>
      </c>
      <c r="B837" s="5">
        <f>IF($E837="","",INDEX('Input Transaksi'!$D:$D,$E837))</f>
        <v/>
      </c>
      <c r="C837">
        <f>IF($E837="","",INDEX('Input Transaksi'!$E:$E,$E837))</f>
        <v/>
      </c>
      <c r="D837" s="5">
        <f>IF($E837="","",INDEX('Input Transaksi'!$F:$F,$E837))</f>
        <v/>
      </c>
      <c r="E837">
        <f>IFERROR(AGGREGATE(15,6,ROW('Input Transaksi'!$B$5:$B$5000)/('Input Transaksi'!$B$5:$B$5000="JCL NUSA KAMBANGAN"),ROWS($E$5:E837)),"")</f>
        <v/>
      </c>
      <c r="F837" s="5" t="n"/>
    </row>
    <row r="838">
      <c r="A838" s="10">
        <f>IF($E838="","",INDEX('Input Transaksi'!$A:$A,$E838))</f>
        <v/>
      </c>
      <c r="B838" s="5">
        <f>IF($E838="","",INDEX('Input Transaksi'!$D:$D,$E838))</f>
        <v/>
      </c>
      <c r="C838">
        <f>IF($E838="","",INDEX('Input Transaksi'!$E:$E,$E838))</f>
        <v/>
      </c>
      <c r="D838" s="5">
        <f>IF($E838="","",INDEX('Input Transaksi'!$F:$F,$E838))</f>
        <v/>
      </c>
      <c r="E838">
        <f>IFERROR(AGGREGATE(15,6,ROW('Input Transaksi'!$B$5:$B$5000)/('Input Transaksi'!$B$5:$B$5000="JCL NUSA KAMBANGAN"),ROWS($E$5:E838)),"")</f>
        <v/>
      </c>
      <c r="F838" s="5" t="n"/>
    </row>
    <row r="839">
      <c r="A839" s="10">
        <f>IF($E839="","",INDEX('Input Transaksi'!$A:$A,$E839))</f>
        <v/>
      </c>
      <c r="B839" s="5">
        <f>IF($E839="","",INDEX('Input Transaksi'!$D:$D,$E839))</f>
        <v/>
      </c>
      <c r="C839">
        <f>IF($E839="","",INDEX('Input Transaksi'!$E:$E,$E839))</f>
        <v/>
      </c>
      <c r="D839" s="5">
        <f>IF($E839="","",INDEX('Input Transaksi'!$F:$F,$E839))</f>
        <v/>
      </c>
      <c r="E839">
        <f>IFERROR(AGGREGATE(15,6,ROW('Input Transaksi'!$B$5:$B$5000)/('Input Transaksi'!$B$5:$B$5000="JCL NUSA KAMBANGAN"),ROWS($E$5:E839)),"")</f>
        <v/>
      </c>
      <c r="F839" s="5" t="n"/>
    </row>
    <row r="840">
      <c r="A840" s="10">
        <f>IF($E840="","",INDEX('Input Transaksi'!$A:$A,$E840))</f>
        <v/>
      </c>
      <c r="B840" s="5">
        <f>IF($E840="","",INDEX('Input Transaksi'!$D:$D,$E840))</f>
        <v/>
      </c>
      <c r="C840">
        <f>IF($E840="","",INDEX('Input Transaksi'!$E:$E,$E840))</f>
        <v/>
      </c>
      <c r="D840" s="5">
        <f>IF($E840="","",INDEX('Input Transaksi'!$F:$F,$E840))</f>
        <v/>
      </c>
      <c r="E840">
        <f>IFERROR(AGGREGATE(15,6,ROW('Input Transaksi'!$B$5:$B$5000)/('Input Transaksi'!$B$5:$B$5000="JCL NUSA KAMBANGAN"),ROWS($E$5:E840)),"")</f>
        <v/>
      </c>
      <c r="F840" s="5" t="n"/>
    </row>
    <row r="841">
      <c r="A841" s="10">
        <f>IF($E841="","",INDEX('Input Transaksi'!$A:$A,$E841))</f>
        <v/>
      </c>
      <c r="B841" s="5">
        <f>IF($E841="","",INDEX('Input Transaksi'!$D:$D,$E841))</f>
        <v/>
      </c>
      <c r="C841">
        <f>IF($E841="","",INDEX('Input Transaksi'!$E:$E,$E841))</f>
        <v/>
      </c>
      <c r="D841" s="5">
        <f>IF($E841="","",INDEX('Input Transaksi'!$F:$F,$E841))</f>
        <v/>
      </c>
      <c r="E841">
        <f>IFERROR(AGGREGATE(15,6,ROW('Input Transaksi'!$B$5:$B$5000)/('Input Transaksi'!$B$5:$B$5000="JCL NUSA KAMBANGAN"),ROWS($E$5:E841)),"")</f>
        <v/>
      </c>
      <c r="F841" s="5" t="n"/>
    </row>
    <row r="842">
      <c r="A842" s="10">
        <f>IF($E842="","",INDEX('Input Transaksi'!$A:$A,$E842))</f>
        <v/>
      </c>
      <c r="B842" s="5">
        <f>IF($E842="","",INDEX('Input Transaksi'!$D:$D,$E842))</f>
        <v/>
      </c>
      <c r="C842">
        <f>IF($E842="","",INDEX('Input Transaksi'!$E:$E,$E842))</f>
        <v/>
      </c>
      <c r="D842" s="5">
        <f>IF($E842="","",INDEX('Input Transaksi'!$F:$F,$E842))</f>
        <v/>
      </c>
      <c r="E842">
        <f>IFERROR(AGGREGATE(15,6,ROW('Input Transaksi'!$B$5:$B$5000)/('Input Transaksi'!$B$5:$B$5000="JCL NUSA KAMBANGAN"),ROWS($E$5:E842)),"")</f>
        <v/>
      </c>
      <c r="F842" s="5" t="n"/>
    </row>
    <row r="843">
      <c r="A843" s="10">
        <f>IF($E843="","",INDEX('Input Transaksi'!$A:$A,$E843))</f>
        <v/>
      </c>
      <c r="B843" s="5">
        <f>IF($E843="","",INDEX('Input Transaksi'!$D:$D,$E843))</f>
        <v/>
      </c>
      <c r="C843">
        <f>IF($E843="","",INDEX('Input Transaksi'!$E:$E,$E843))</f>
        <v/>
      </c>
      <c r="D843" s="5">
        <f>IF($E843="","",INDEX('Input Transaksi'!$F:$F,$E843))</f>
        <v/>
      </c>
      <c r="E843">
        <f>IFERROR(AGGREGATE(15,6,ROW('Input Transaksi'!$B$5:$B$5000)/('Input Transaksi'!$B$5:$B$5000="JCL NUSA KAMBANGAN"),ROWS($E$5:E843)),"")</f>
        <v/>
      </c>
      <c r="F843" s="5" t="n"/>
    </row>
    <row r="844">
      <c r="A844" s="10">
        <f>IF($E844="","",INDEX('Input Transaksi'!$A:$A,$E844))</f>
        <v/>
      </c>
      <c r="B844" s="5">
        <f>IF($E844="","",INDEX('Input Transaksi'!$D:$D,$E844))</f>
        <v/>
      </c>
      <c r="C844">
        <f>IF($E844="","",INDEX('Input Transaksi'!$E:$E,$E844))</f>
        <v/>
      </c>
      <c r="D844" s="5">
        <f>IF($E844="","",INDEX('Input Transaksi'!$F:$F,$E844))</f>
        <v/>
      </c>
      <c r="E844">
        <f>IFERROR(AGGREGATE(15,6,ROW('Input Transaksi'!$B$5:$B$5000)/('Input Transaksi'!$B$5:$B$5000="JCL NUSA KAMBANGAN"),ROWS($E$5:E844)),"")</f>
        <v/>
      </c>
      <c r="F844" s="5" t="n"/>
    </row>
    <row r="845">
      <c r="A845" s="10">
        <f>IF($E845="","",INDEX('Input Transaksi'!$A:$A,$E845))</f>
        <v/>
      </c>
      <c r="B845" s="5">
        <f>IF($E845="","",INDEX('Input Transaksi'!$D:$D,$E845))</f>
        <v/>
      </c>
      <c r="C845">
        <f>IF($E845="","",INDEX('Input Transaksi'!$E:$E,$E845))</f>
        <v/>
      </c>
      <c r="D845" s="5">
        <f>IF($E845="","",INDEX('Input Transaksi'!$F:$F,$E845))</f>
        <v/>
      </c>
      <c r="E845">
        <f>IFERROR(AGGREGATE(15,6,ROW('Input Transaksi'!$B$5:$B$5000)/('Input Transaksi'!$B$5:$B$5000="JCL NUSA KAMBANGAN"),ROWS($E$5:E845)),"")</f>
        <v/>
      </c>
      <c r="F845" s="5" t="n"/>
    </row>
    <row r="846">
      <c r="A846" s="10">
        <f>IF($E846="","",INDEX('Input Transaksi'!$A:$A,$E846))</f>
        <v/>
      </c>
      <c r="B846" s="5">
        <f>IF($E846="","",INDEX('Input Transaksi'!$D:$D,$E846))</f>
        <v/>
      </c>
      <c r="C846">
        <f>IF($E846="","",INDEX('Input Transaksi'!$E:$E,$E846))</f>
        <v/>
      </c>
      <c r="D846" s="5">
        <f>IF($E846="","",INDEX('Input Transaksi'!$F:$F,$E846))</f>
        <v/>
      </c>
      <c r="E846">
        <f>IFERROR(AGGREGATE(15,6,ROW('Input Transaksi'!$B$5:$B$5000)/('Input Transaksi'!$B$5:$B$5000="JCL NUSA KAMBANGAN"),ROWS($E$5:E846)),"")</f>
        <v/>
      </c>
      <c r="F846" s="5" t="n"/>
    </row>
    <row r="847">
      <c r="A847" s="10">
        <f>IF($E847="","",INDEX('Input Transaksi'!$A:$A,$E847))</f>
        <v/>
      </c>
      <c r="B847" s="5">
        <f>IF($E847="","",INDEX('Input Transaksi'!$D:$D,$E847))</f>
        <v/>
      </c>
      <c r="C847">
        <f>IF($E847="","",INDEX('Input Transaksi'!$E:$E,$E847))</f>
        <v/>
      </c>
      <c r="D847" s="5">
        <f>IF($E847="","",INDEX('Input Transaksi'!$F:$F,$E847))</f>
        <v/>
      </c>
      <c r="E847">
        <f>IFERROR(AGGREGATE(15,6,ROW('Input Transaksi'!$B$5:$B$5000)/('Input Transaksi'!$B$5:$B$5000="JCL NUSA KAMBANGAN"),ROWS($E$5:E847)),"")</f>
        <v/>
      </c>
      <c r="F847" s="5" t="n"/>
    </row>
    <row r="848">
      <c r="A848" s="10">
        <f>IF($E848="","",INDEX('Input Transaksi'!$A:$A,$E848))</f>
        <v/>
      </c>
      <c r="B848" s="5">
        <f>IF($E848="","",INDEX('Input Transaksi'!$D:$D,$E848))</f>
        <v/>
      </c>
      <c r="C848">
        <f>IF($E848="","",INDEX('Input Transaksi'!$E:$E,$E848))</f>
        <v/>
      </c>
      <c r="D848" s="5">
        <f>IF($E848="","",INDEX('Input Transaksi'!$F:$F,$E848))</f>
        <v/>
      </c>
      <c r="E848">
        <f>IFERROR(AGGREGATE(15,6,ROW('Input Transaksi'!$B$5:$B$5000)/('Input Transaksi'!$B$5:$B$5000="JCL NUSA KAMBANGAN"),ROWS($E$5:E848)),"")</f>
        <v/>
      </c>
      <c r="F848" s="5" t="n"/>
    </row>
    <row r="849">
      <c r="A849" s="10">
        <f>IF($E849="","",INDEX('Input Transaksi'!$A:$A,$E849))</f>
        <v/>
      </c>
      <c r="B849" s="5">
        <f>IF($E849="","",INDEX('Input Transaksi'!$D:$D,$E849))</f>
        <v/>
      </c>
      <c r="C849">
        <f>IF($E849="","",INDEX('Input Transaksi'!$E:$E,$E849))</f>
        <v/>
      </c>
      <c r="D849" s="5">
        <f>IF($E849="","",INDEX('Input Transaksi'!$F:$F,$E849))</f>
        <v/>
      </c>
      <c r="E849">
        <f>IFERROR(AGGREGATE(15,6,ROW('Input Transaksi'!$B$5:$B$5000)/('Input Transaksi'!$B$5:$B$5000="JCL NUSA KAMBANGAN"),ROWS($E$5:E849)),"")</f>
        <v/>
      </c>
      <c r="F849" s="5" t="n"/>
    </row>
    <row r="850">
      <c r="A850" s="10">
        <f>IF($E850="","",INDEX('Input Transaksi'!$A:$A,$E850))</f>
        <v/>
      </c>
      <c r="B850" s="5">
        <f>IF($E850="","",INDEX('Input Transaksi'!$D:$D,$E850))</f>
        <v/>
      </c>
      <c r="C850">
        <f>IF($E850="","",INDEX('Input Transaksi'!$E:$E,$E850))</f>
        <v/>
      </c>
      <c r="D850" s="5">
        <f>IF($E850="","",INDEX('Input Transaksi'!$F:$F,$E850))</f>
        <v/>
      </c>
      <c r="E850">
        <f>IFERROR(AGGREGATE(15,6,ROW('Input Transaksi'!$B$5:$B$5000)/('Input Transaksi'!$B$5:$B$5000="JCL NUSA KAMBANGAN"),ROWS($E$5:E850)),"")</f>
        <v/>
      </c>
      <c r="F850" s="5" t="n"/>
    </row>
    <row r="851">
      <c r="A851" s="10">
        <f>IF($E851="","",INDEX('Input Transaksi'!$A:$A,$E851))</f>
        <v/>
      </c>
      <c r="B851" s="5">
        <f>IF($E851="","",INDEX('Input Transaksi'!$D:$D,$E851))</f>
        <v/>
      </c>
      <c r="C851">
        <f>IF($E851="","",INDEX('Input Transaksi'!$E:$E,$E851))</f>
        <v/>
      </c>
      <c r="D851" s="5">
        <f>IF($E851="","",INDEX('Input Transaksi'!$F:$F,$E851))</f>
        <v/>
      </c>
      <c r="E851">
        <f>IFERROR(AGGREGATE(15,6,ROW('Input Transaksi'!$B$5:$B$5000)/('Input Transaksi'!$B$5:$B$5000="JCL NUSA KAMBANGAN"),ROWS($E$5:E851)),"")</f>
        <v/>
      </c>
      <c r="F851" s="5" t="n"/>
    </row>
    <row r="852">
      <c r="A852" s="10">
        <f>IF($E852="","",INDEX('Input Transaksi'!$A:$A,$E852))</f>
        <v/>
      </c>
      <c r="B852" s="5">
        <f>IF($E852="","",INDEX('Input Transaksi'!$D:$D,$E852))</f>
        <v/>
      </c>
      <c r="C852">
        <f>IF($E852="","",INDEX('Input Transaksi'!$E:$E,$E852))</f>
        <v/>
      </c>
      <c r="D852" s="5">
        <f>IF($E852="","",INDEX('Input Transaksi'!$F:$F,$E852))</f>
        <v/>
      </c>
      <c r="E852">
        <f>IFERROR(AGGREGATE(15,6,ROW('Input Transaksi'!$B$5:$B$5000)/('Input Transaksi'!$B$5:$B$5000="JCL NUSA KAMBANGAN"),ROWS($E$5:E852)),"")</f>
        <v/>
      </c>
      <c r="F852" s="5" t="n"/>
    </row>
    <row r="853">
      <c r="A853" s="10">
        <f>IF($E853="","",INDEX('Input Transaksi'!$A:$A,$E853))</f>
        <v/>
      </c>
      <c r="B853" s="5">
        <f>IF($E853="","",INDEX('Input Transaksi'!$D:$D,$E853))</f>
        <v/>
      </c>
      <c r="C853">
        <f>IF($E853="","",INDEX('Input Transaksi'!$E:$E,$E853))</f>
        <v/>
      </c>
      <c r="D853" s="5">
        <f>IF($E853="","",INDEX('Input Transaksi'!$F:$F,$E853))</f>
        <v/>
      </c>
      <c r="E853">
        <f>IFERROR(AGGREGATE(15,6,ROW('Input Transaksi'!$B$5:$B$5000)/('Input Transaksi'!$B$5:$B$5000="JCL NUSA KAMBANGAN"),ROWS($E$5:E853)),"")</f>
        <v/>
      </c>
      <c r="F853" s="5" t="n"/>
    </row>
    <row r="854">
      <c r="A854" s="10">
        <f>IF($E854="","",INDEX('Input Transaksi'!$A:$A,$E854))</f>
        <v/>
      </c>
      <c r="B854" s="5">
        <f>IF($E854="","",INDEX('Input Transaksi'!$D:$D,$E854))</f>
        <v/>
      </c>
      <c r="C854">
        <f>IF($E854="","",INDEX('Input Transaksi'!$E:$E,$E854))</f>
        <v/>
      </c>
      <c r="D854" s="5">
        <f>IF($E854="","",INDEX('Input Transaksi'!$F:$F,$E854))</f>
        <v/>
      </c>
      <c r="E854">
        <f>IFERROR(AGGREGATE(15,6,ROW('Input Transaksi'!$B$5:$B$5000)/('Input Transaksi'!$B$5:$B$5000="JCL NUSA KAMBANGAN"),ROWS($E$5:E854)),"")</f>
        <v/>
      </c>
      <c r="F854" s="5" t="n"/>
    </row>
    <row r="855">
      <c r="A855" s="10">
        <f>IF($E855="","",INDEX('Input Transaksi'!$A:$A,$E855))</f>
        <v/>
      </c>
      <c r="B855" s="5">
        <f>IF($E855="","",INDEX('Input Transaksi'!$D:$D,$E855))</f>
        <v/>
      </c>
      <c r="C855">
        <f>IF($E855="","",INDEX('Input Transaksi'!$E:$E,$E855))</f>
        <v/>
      </c>
      <c r="D855" s="5">
        <f>IF($E855="","",INDEX('Input Transaksi'!$F:$F,$E855))</f>
        <v/>
      </c>
      <c r="E855">
        <f>IFERROR(AGGREGATE(15,6,ROW('Input Transaksi'!$B$5:$B$5000)/('Input Transaksi'!$B$5:$B$5000="JCL NUSA KAMBANGAN"),ROWS($E$5:E855)),"")</f>
        <v/>
      </c>
      <c r="F855" s="5" t="n"/>
    </row>
    <row r="856">
      <c r="A856" s="10">
        <f>IF($E856="","",INDEX('Input Transaksi'!$A:$A,$E856))</f>
        <v/>
      </c>
      <c r="B856" s="5">
        <f>IF($E856="","",INDEX('Input Transaksi'!$D:$D,$E856))</f>
        <v/>
      </c>
      <c r="C856">
        <f>IF($E856="","",INDEX('Input Transaksi'!$E:$E,$E856))</f>
        <v/>
      </c>
      <c r="D856" s="5">
        <f>IF($E856="","",INDEX('Input Transaksi'!$F:$F,$E856))</f>
        <v/>
      </c>
      <c r="E856">
        <f>IFERROR(AGGREGATE(15,6,ROW('Input Transaksi'!$B$5:$B$5000)/('Input Transaksi'!$B$5:$B$5000="JCL NUSA KAMBANGAN"),ROWS($E$5:E856)),"")</f>
        <v/>
      </c>
      <c r="F856" s="5" t="n"/>
    </row>
    <row r="857">
      <c r="A857" s="10">
        <f>IF($E857="","",INDEX('Input Transaksi'!$A:$A,$E857))</f>
        <v/>
      </c>
      <c r="B857" s="5">
        <f>IF($E857="","",INDEX('Input Transaksi'!$D:$D,$E857))</f>
        <v/>
      </c>
      <c r="C857">
        <f>IF($E857="","",INDEX('Input Transaksi'!$E:$E,$E857))</f>
        <v/>
      </c>
      <c r="D857" s="5">
        <f>IF($E857="","",INDEX('Input Transaksi'!$F:$F,$E857))</f>
        <v/>
      </c>
      <c r="E857">
        <f>IFERROR(AGGREGATE(15,6,ROW('Input Transaksi'!$B$5:$B$5000)/('Input Transaksi'!$B$5:$B$5000="JCL NUSA KAMBANGAN"),ROWS($E$5:E857)),"")</f>
        <v/>
      </c>
      <c r="F857" s="5" t="n"/>
    </row>
    <row r="858">
      <c r="A858" s="10">
        <f>IF($E858="","",INDEX('Input Transaksi'!$A:$A,$E858))</f>
        <v/>
      </c>
      <c r="B858" s="5">
        <f>IF($E858="","",INDEX('Input Transaksi'!$D:$D,$E858))</f>
        <v/>
      </c>
      <c r="C858">
        <f>IF($E858="","",INDEX('Input Transaksi'!$E:$E,$E858))</f>
        <v/>
      </c>
      <c r="D858" s="5">
        <f>IF($E858="","",INDEX('Input Transaksi'!$F:$F,$E858))</f>
        <v/>
      </c>
      <c r="E858">
        <f>IFERROR(AGGREGATE(15,6,ROW('Input Transaksi'!$B$5:$B$5000)/('Input Transaksi'!$B$5:$B$5000="JCL NUSA KAMBANGAN"),ROWS($E$5:E858)),"")</f>
        <v/>
      </c>
      <c r="F858" s="5" t="n"/>
    </row>
    <row r="859">
      <c r="A859" s="10">
        <f>IF($E859="","",INDEX('Input Transaksi'!$A:$A,$E859))</f>
        <v/>
      </c>
      <c r="B859" s="5">
        <f>IF($E859="","",INDEX('Input Transaksi'!$D:$D,$E859))</f>
        <v/>
      </c>
      <c r="C859">
        <f>IF($E859="","",INDEX('Input Transaksi'!$E:$E,$E859))</f>
        <v/>
      </c>
      <c r="D859" s="5">
        <f>IF($E859="","",INDEX('Input Transaksi'!$F:$F,$E859))</f>
        <v/>
      </c>
      <c r="E859">
        <f>IFERROR(AGGREGATE(15,6,ROW('Input Transaksi'!$B$5:$B$5000)/('Input Transaksi'!$B$5:$B$5000="JCL NUSA KAMBANGAN"),ROWS($E$5:E859)),"")</f>
        <v/>
      </c>
      <c r="F859" s="5" t="n"/>
    </row>
    <row r="860">
      <c r="A860" s="10">
        <f>IF($E860="","",INDEX('Input Transaksi'!$A:$A,$E860))</f>
        <v/>
      </c>
      <c r="B860" s="5">
        <f>IF($E860="","",INDEX('Input Transaksi'!$D:$D,$E860))</f>
        <v/>
      </c>
      <c r="C860">
        <f>IF($E860="","",INDEX('Input Transaksi'!$E:$E,$E860))</f>
        <v/>
      </c>
      <c r="D860" s="5">
        <f>IF($E860="","",INDEX('Input Transaksi'!$F:$F,$E860))</f>
        <v/>
      </c>
      <c r="E860">
        <f>IFERROR(AGGREGATE(15,6,ROW('Input Transaksi'!$B$5:$B$5000)/('Input Transaksi'!$B$5:$B$5000="JCL NUSA KAMBANGAN"),ROWS($E$5:E860)),"")</f>
        <v/>
      </c>
      <c r="F860" s="5" t="n"/>
    </row>
    <row r="861">
      <c r="A861" s="10">
        <f>IF($E861="","",INDEX('Input Transaksi'!$A:$A,$E861))</f>
        <v/>
      </c>
      <c r="B861" s="5">
        <f>IF($E861="","",INDEX('Input Transaksi'!$D:$D,$E861))</f>
        <v/>
      </c>
      <c r="C861">
        <f>IF($E861="","",INDEX('Input Transaksi'!$E:$E,$E861))</f>
        <v/>
      </c>
      <c r="D861" s="5">
        <f>IF($E861="","",INDEX('Input Transaksi'!$F:$F,$E861))</f>
        <v/>
      </c>
      <c r="E861">
        <f>IFERROR(AGGREGATE(15,6,ROW('Input Transaksi'!$B$5:$B$5000)/('Input Transaksi'!$B$5:$B$5000="JCL NUSA KAMBANGAN"),ROWS($E$5:E861)),"")</f>
        <v/>
      </c>
      <c r="F861" s="5" t="n"/>
    </row>
    <row r="862">
      <c r="A862" s="10">
        <f>IF($E862="","",INDEX('Input Transaksi'!$A:$A,$E862))</f>
        <v/>
      </c>
      <c r="B862" s="5">
        <f>IF($E862="","",INDEX('Input Transaksi'!$D:$D,$E862))</f>
        <v/>
      </c>
      <c r="C862">
        <f>IF($E862="","",INDEX('Input Transaksi'!$E:$E,$E862))</f>
        <v/>
      </c>
      <c r="D862" s="5">
        <f>IF($E862="","",INDEX('Input Transaksi'!$F:$F,$E862))</f>
        <v/>
      </c>
      <c r="E862">
        <f>IFERROR(AGGREGATE(15,6,ROW('Input Transaksi'!$B$5:$B$5000)/('Input Transaksi'!$B$5:$B$5000="JCL NUSA KAMBANGAN"),ROWS($E$5:E862)),"")</f>
        <v/>
      </c>
      <c r="F862" s="5" t="n"/>
    </row>
    <row r="863">
      <c r="A863" s="10">
        <f>IF($E863="","",INDEX('Input Transaksi'!$A:$A,$E863))</f>
        <v/>
      </c>
      <c r="B863" s="5">
        <f>IF($E863="","",INDEX('Input Transaksi'!$D:$D,$E863))</f>
        <v/>
      </c>
      <c r="C863">
        <f>IF($E863="","",INDEX('Input Transaksi'!$E:$E,$E863))</f>
        <v/>
      </c>
      <c r="D863" s="5">
        <f>IF($E863="","",INDEX('Input Transaksi'!$F:$F,$E863))</f>
        <v/>
      </c>
      <c r="E863">
        <f>IFERROR(AGGREGATE(15,6,ROW('Input Transaksi'!$B$5:$B$5000)/('Input Transaksi'!$B$5:$B$5000="JCL NUSA KAMBANGAN"),ROWS($E$5:E863)),"")</f>
        <v/>
      </c>
      <c r="F863" s="5" t="n"/>
    </row>
    <row r="864">
      <c r="A864" s="10">
        <f>IF($E864="","",INDEX('Input Transaksi'!$A:$A,$E864))</f>
        <v/>
      </c>
      <c r="B864" s="5">
        <f>IF($E864="","",INDEX('Input Transaksi'!$D:$D,$E864))</f>
        <v/>
      </c>
      <c r="C864">
        <f>IF($E864="","",INDEX('Input Transaksi'!$E:$E,$E864))</f>
        <v/>
      </c>
      <c r="D864" s="5">
        <f>IF($E864="","",INDEX('Input Transaksi'!$F:$F,$E864))</f>
        <v/>
      </c>
      <c r="E864">
        <f>IFERROR(AGGREGATE(15,6,ROW('Input Transaksi'!$B$5:$B$5000)/('Input Transaksi'!$B$5:$B$5000="JCL NUSA KAMBANGAN"),ROWS($E$5:E864)),"")</f>
        <v/>
      </c>
      <c r="F864" s="5" t="n"/>
    </row>
    <row r="865">
      <c r="A865" s="10">
        <f>IF($E865="","",INDEX('Input Transaksi'!$A:$A,$E865))</f>
        <v/>
      </c>
      <c r="B865" s="5">
        <f>IF($E865="","",INDEX('Input Transaksi'!$D:$D,$E865))</f>
        <v/>
      </c>
      <c r="C865">
        <f>IF($E865="","",INDEX('Input Transaksi'!$E:$E,$E865))</f>
        <v/>
      </c>
      <c r="D865" s="5">
        <f>IF($E865="","",INDEX('Input Transaksi'!$F:$F,$E865))</f>
        <v/>
      </c>
      <c r="E865">
        <f>IFERROR(AGGREGATE(15,6,ROW('Input Transaksi'!$B$5:$B$5000)/('Input Transaksi'!$B$5:$B$5000="JCL NUSA KAMBANGAN"),ROWS($E$5:E865)),"")</f>
        <v/>
      </c>
      <c r="F865" s="5" t="n"/>
    </row>
    <row r="866">
      <c r="A866" s="10">
        <f>IF($E866="","",INDEX('Input Transaksi'!$A:$A,$E866))</f>
        <v/>
      </c>
      <c r="B866" s="5">
        <f>IF($E866="","",INDEX('Input Transaksi'!$D:$D,$E866))</f>
        <v/>
      </c>
      <c r="C866">
        <f>IF($E866="","",INDEX('Input Transaksi'!$E:$E,$E866))</f>
        <v/>
      </c>
      <c r="D866" s="5">
        <f>IF($E866="","",INDEX('Input Transaksi'!$F:$F,$E866))</f>
        <v/>
      </c>
      <c r="E866">
        <f>IFERROR(AGGREGATE(15,6,ROW('Input Transaksi'!$B$5:$B$5000)/('Input Transaksi'!$B$5:$B$5000="JCL NUSA KAMBANGAN"),ROWS($E$5:E866)),"")</f>
        <v/>
      </c>
      <c r="F866" s="5" t="n"/>
    </row>
    <row r="867">
      <c r="A867" s="10">
        <f>IF($E867="","",INDEX('Input Transaksi'!$A:$A,$E867))</f>
        <v/>
      </c>
      <c r="B867" s="5">
        <f>IF($E867="","",INDEX('Input Transaksi'!$D:$D,$E867))</f>
        <v/>
      </c>
      <c r="C867">
        <f>IF($E867="","",INDEX('Input Transaksi'!$E:$E,$E867))</f>
        <v/>
      </c>
      <c r="D867" s="5">
        <f>IF($E867="","",INDEX('Input Transaksi'!$F:$F,$E867))</f>
        <v/>
      </c>
      <c r="E867">
        <f>IFERROR(AGGREGATE(15,6,ROW('Input Transaksi'!$B$5:$B$5000)/('Input Transaksi'!$B$5:$B$5000="JCL NUSA KAMBANGAN"),ROWS($E$5:E867)),"")</f>
        <v/>
      </c>
      <c r="F867" s="5" t="n"/>
    </row>
    <row r="868">
      <c r="A868" s="10">
        <f>IF($E868="","",INDEX('Input Transaksi'!$A:$A,$E868))</f>
        <v/>
      </c>
      <c r="B868" s="5">
        <f>IF($E868="","",INDEX('Input Transaksi'!$D:$D,$E868))</f>
        <v/>
      </c>
      <c r="C868">
        <f>IF($E868="","",INDEX('Input Transaksi'!$E:$E,$E868))</f>
        <v/>
      </c>
      <c r="D868" s="5">
        <f>IF($E868="","",INDEX('Input Transaksi'!$F:$F,$E868))</f>
        <v/>
      </c>
      <c r="E868">
        <f>IFERROR(AGGREGATE(15,6,ROW('Input Transaksi'!$B$5:$B$5000)/('Input Transaksi'!$B$5:$B$5000="JCL NUSA KAMBANGAN"),ROWS($E$5:E868)),"")</f>
        <v/>
      </c>
      <c r="F868" s="5" t="n"/>
    </row>
    <row r="869">
      <c r="A869" s="10">
        <f>IF($E869="","",INDEX('Input Transaksi'!$A:$A,$E869))</f>
        <v/>
      </c>
      <c r="B869" s="5">
        <f>IF($E869="","",INDEX('Input Transaksi'!$D:$D,$E869))</f>
        <v/>
      </c>
      <c r="C869">
        <f>IF($E869="","",INDEX('Input Transaksi'!$E:$E,$E869))</f>
        <v/>
      </c>
      <c r="D869" s="5">
        <f>IF($E869="","",INDEX('Input Transaksi'!$F:$F,$E869))</f>
        <v/>
      </c>
      <c r="E869">
        <f>IFERROR(AGGREGATE(15,6,ROW('Input Transaksi'!$B$5:$B$5000)/('Input Transaksi'!$B$5:$B$5000="JCL NUSA KAMBANGAN"),ROWS($E$5:E869)),"")</f>
        <v/>
      </c>
      <c r="F869" s="5" t="n"/>
    </row>
    <row r="870">
      <c r="A870" s="10">
        <f>IF($E870="","",INDEX('Input Transaksi'!$A:$A,$E870))</f>
        <v/>
      </c>
      <c r="B870" s="5">
        <f>IF($E870="","",INDEX('Input Transaksi'!$D:$D,$E870))</f>
        <v/>
      </c>
      <c r="C870">
        <f>IF($E870="","",INDEX('Input Transaksi'!$E:$E,$E870))</f>
        <v/>
      </c>
      <c r="D870" s="5">
        <f>IF($E870="","",INDEX('Input Transaksi'!$F:$F,$E870))</f>
        <v/>
      </c>
      <c r="E870">
        <f>IFERROR(AGGREGATE(15,6,ROW('Input Transaksi'!$B$5:$B$5000)/('Input Transaksi'!$B$5:$B$5000="JCL NUSA KAMBANGAN"),ROWS($E$5:E870)),"")</f>
        <v/>
      </c>
      <c r="F870" s="5" t="n"/>
    </row>
    <row r="871">
      <c r="A871" s="10">
        <f>IF($E871="","",INDEX('Input Transaksi'!$A:$A,$E871))</f>
        <v/>
      </c>
      <c r="B871" s="5">
        <f>IF($E871="","",INDEX('Input Transaksi'!$D:$D,$E871))</f>
        <v/>
      </c>
      <c r="C871">
        <f>IF($E871="","",INDEX('Input Transaksi'!$E:$E,$E871))</f>
        <v/>
      </c>
      <c r="D871" s="5">
        <f>IF($E871="","",INDEX('Input Transaksi'!$F:$F,$E871))</f>
        <v/>
      </c>
      <c r="E871">
        <f>IFERROR(AGGREGATE(15,6,ROW('Input Transaksi'!$B$5:$B$5000)/('Input Transaksi'!$B$5:$B$5000="JCL NUSA KAMBANGAN"),ROWS($E$5:E871)),"")</f>
        <v/>
      </c>
      <c r="F871" s="5" t="n"/>
    </row>
    <row r="872">
      <c r="A872" s="10">
        <f>IF($E872="","",INDEX('Input Transaksi'!$A:$A,$E872))</f>
        <v/>
      </c>
      <c r="B872" s="5">
        <f>IF($E872="","",INDEX('Input Transaksi'!$D:$D,$E872))</f>
        <v/>
      </c>
      <c r="C872">
        <f>IF($E872="","",INDEX('Input Transaksi'!$E:$E,$E872))</f>
        <v/>
      </c>
      <c r="D872" s="5">
        <f>IF($E872="","",INDEX('Input Transaksi'!$F:$F,$E872))</f>
        <v/>
      </c>
      <c r="E872">
        <f>IFERROR(AGGREGATE(15,6,ROW('Input Transaksi'!$B$5:$B$5000)/('Input Transaksi'!$B$5:$B$5000="JCL NUSA KAMBANGAN"),ROWS($E$5:E872)),"")</f>
        <v/>
      </c>
      <c r="F872" s="5" t="n"/>
    </row>
    <row r="873">
      <c r="A873" s="10">
        <f>IF($E873="","",INDEX('Input Transaksi'!$A:$A,$E873))</f>
        <v/>
      </c>
      <c r="B873" s="5">
        <f>IF($E873="","",INDEX('Input Transaksi'!$D:$D,$E873))</f>
        <v/>
      </c>
      <c r="C873">
        <f>IF($E873="","",INDEX('Input Transaksi'!$E:$E,$E873))</f>
        <v/>
      </c>
      <c r="D873" s="5">
        <f>IF($E873="","",INDEX('Input Transaksi'!$F:$F,$E873))</f>
        <v/>
      </c>
      <c r="E873">
        <f>IFERROR(AGGREGATE(15,6,ROW('Input Transaksi'!$B$5:$B$5000)/('Input Transaksi'!$B$5:$B$5000="JCL NUSA KAMBANGAN"),ROWS($E$5:E873)),"")</f>
        <v/>
      </c>
      <c r="F873" s="5" t="n"/>
    </row>
    <row r="874">
      <c r="A874" s="10">
        <f>IF($E874="","",INDEX('Input Transaksi'!$A:$A,$E874))</f>
        <v/>
      </c>
      <c r="B874" s="5">
        <f>IF($E874="","",INDEX('Input Transaksi'!$D:$D,$E874))</f>
        <v/>
      </c>
      <c r="C874">
        <f>IF($E874="","",INDEX('Input Transaksi'!$E:$E,$E874))</f>
        <v/>
      </c>
      <c r="D874" s="5">
        <f>IF($E874="","",INDEX('Input Transaksi'!$F:$F,$E874))</f>
        <v/>
      </c>
      <c r="E874">
        <f>IFERROR(AGGREGATE(15,6,ROW('Input Transaksi'!$B$5:$B$5000)/('Input Transaksi'!$B$5:$B$5000="JCL NUSA KAMBANGAN"),ROWS($E$5:E874)),"")</f>
        <v/>
      </c>
      <c r="F874" s="5" t="n"/>
    </row>
    <row r="875">
      <c r="A875" s="10">
        <f>IF($E875="","",INDEX('Input Transaksi'!$A:$A,$E875))</f>
        <v/>
      </c>
      <c r="B875" s="5">
        <f>IF($E875="","",INDEX('Input Transaksi'!$D:$D,$E875))</f>
        <v/>
      </c>
      <c r="C875">
        <f>IF($E875="","",INDEX('Input Transaksi'!$E:$E,$E875))</f>
        <v/>
      </c>
      <c r="D875" s="5">
        <f>IF($E875="","",INDEX('Input Transaksi'!$F:$F,$E875))</f>
        <v/>
      </c>
      <c r="E875">
        <f>IFERROR(AGGREGATE(15,6,ROW('Input Transaksi'!$B$5:$B$5000)/('Input Transaksi'!$B$5:$B$5000="JCL NUSA KAMBANGAN"),ROWS($E$5:E875)),"")</f>
        <v/>
      </c>
      <c r="F875" s="5" t="n"/>
    </row>
    <row r="876">
      <c r="A876" s="10">
        <f>IF($E876="","",INDEX('Input Transaksi'!$A:$A,$E876))</f>
        <v/>
      </c>
      <c r="B876" s="5">
        <f>IF($E876="","",INDEX('Input Transaksi'!$D:$D,$E876))</f>
        <v/>
      </c>
      <c r="C876">
        <f>IF($E876="","",INDEX('Input Transaksi'!$E:$E,$E876))</f>
        <v/>
      </c>
      <c r="D876" s="5">
        <f>IF($E876="","",INDEX('Input Transaksi'!$F:$F,$E876))</f>
        <v/>
      </c>
      <c r="E876">
        <f>IFERROR(AGGREGATE(15,6,ROW('Input Transaksi'!$B$5:$B$5000)/('Input Transaksi'!$B$5:$B$5000="JCL NUSA KAMBANGAN"),ROWS($E$5:E876)),"")</f>
        <v/>
      </c>
      <c r="F876" s="5" t="n"/>
    </row>
    <row r="877">
      <c r="A877" s="10">
        <f>IF($E877="","",INDEX('Input Transaksi'!$A:$A,$E877))</f>
        <v/>
      </c>
      <c r="B877" s="5">
        <f>IF($E877="","",INDEX('Input Transaksi'!$D:$D,$E877))</f>
        <v/>
      </c>
      <c r="C877">
        <f>IF($E877="","",INDEX('Input Transaksi'!$E:$E,$E877))</f>
        <v/>
      </c>
      <c r="D877" s="5">
        <f>IF($E877="","",INDEX('Input Transaksi'!$F:$F,$E877))</f>
        <v/>
      </c>
      <c r="E877">
        <f>IFERROR(AGGREGATE(15,6,ROW('Input Transaksi'!$B$5:$B$5000)/('Input Transaksi'!$B$5:$B$5000="JCL NUSA KAMBANGAN"),ROWS($E$5:E877)),"")</f>
        <v/>
      </c>
      <c r="F877" s="5" t="n"/>
    </row>
    <row r="878">
      <c r="A878" s="10">
        <f>IF($E878="","",INDEX('Input Transaksi'!$A:$A,$E878))</f>
        <v/>
      </c>
      <c r="B878" s="5">
        <f>IF($E878="","",INDEX('Input Transaksi'!$D:$D,$E878))</f>
        <v/>
      </c>
      <c r="C878">
        <f>IF($E878="","",INDEX('Input Transaksi'!$E:$E,$E878))</f>
        <v/>
      </c>
      <c r="D878" s="5">
        <f>IF($E878="","",INDEX('Input Transaksi'!$F:$F,$E878))</f>
        <v/>
      </c>
      <c r="E878">
        <f>IFERROR(AGGREGATE(15,6,ROW('Input Transaksi'!$B$5:$B$5000)/('Input Transaksi'!$B$5:$B$5000="JCL NUSA KAMBANGAN"),ROWS($E$5:E878)),"")</f>
        <v/>
      </c>
      <c r="F878" s="5" t="n"/>
    </row>
    <row r="879">
      <c r="A879" s="10">
        <f>IF($E879="","",INDEX('Input Transaksi'!$A:$A,$E879))</f>
        <v/>
      </c>
      <c r="B879" s="5">
        <f>IF($E879="","",INDEX('Input Transaksi'!$D:$D,$E879))</f>
        <v/>
      </c>
      <c r="C879">
        <f>IF($E879="","",INDEX('Input Transaksi'!$E:$E,$E879))</f>
        <v/>
      </c>
      <c r="D879" s="5">
        <f>IF($E879="","",INDEX('Input Transaksi'!$F:$F,$E879))</f>
        <v/>
      </c>
      <c r="E879">
        <f>IFERROR(AGGREGATE(15,6,ROW('Input Transaksi'!$B$5:$B$5000)/('Input Transaksi'!$B$5:$B$5000="JCL NUSA KAMBANGAN"),ROWS($E$5:E879)),"")</f>
        <v/>
      </c>
      <c r="F879" s="5" t="n"/>
    </row>
    <row r="880">
      <c r="A880" s="10">
        <f>IF($E880="","",INDEX('Input Transaksi'!$A:$A,$E880))</f>
        <v/>
      </c>
      <c r="B880" s="5">
        <f>IF($E880="","",INDEX('Input Transaksi'!$D:$D,$E880))</f>
        <v/>
      </c>
      <c r="C880">
        <f>IF($E880="","",INDEX('Input Transaksi'!$E:$E,$E880))</f>
        <v/>
      </c>
      <c r="D880" s="5">
        <f>IF($E880="","",INDEX('Input Transaksi'!$F:$F,$E880))</f>
        <v/>
      </c>
      <c r="E880">
        <f>IFERROR(AGGREGATE(15,6,ROW('Input Transaksi'!$B$5:$B$5000)/('Input Transaksi'!$B$5:$B$5000="JCL NUSA KAMBANGAN"),ROWS($E$5:E880)),"")</f>
        <v/>
      </c>
      <c r="F880" s="5" t="n"/>
    </row>
    <row r="881">
      <c r="A881" s="10">
        <f>IF($E881="","",INDEX('Input Transaksi'!$A:$A,$E881))</f>
        <v/>
      </c>
      <c r="B881" s="5">
        <f>IF($E881="","",INDEX('Input Transaksi'!$D:$D,$E881))</f>
        <v/>
      </c>
      <c r="C881">
        <f>IF($E881="","",INDEX('Input Transaksi'!$E:$E,$E881))</f>
        <v/>
      </c>
      <c r="D881" s="5">
        <f>IF($E881="","",INDEX('Input Transaksi'!$F:$F,$E881))</f>
        <v/>
      </c>
      <c r="E881">
        <f>IFERROR(AGGREGATE(15,6,ROW('Input Transaksi'!$B$5:$B$5000)/('Input Transaksi'!$B$5:$B$5000="JCL NUSA KAMBANGAN"),ROWS($E$5:E881)),"")</f>
        <v/>
      </c>
      <c r="F881" s="5" t="n"/>
    </row>
    <row r="882">
      <c r="A882" s="10">
        <f>IF($E882="","",INDEX('Input Transaksi'!$A:$A,$E882))</f>
        <v/>
      </c>
      <c r="B882" s="5">
        <f>IF($E882="","",INDEX('Input Transaksi'!$D:$D,$E882))</f>
        <v/>
      </c>
      <c r="C882">
        <f>IF($E882="","",INDEX('Input Transaksi'!$E:$E,$E882))</f>
        <v/>
      </c>
      <c r="D882" s="5">
        <f>IF($E882="","",INDEX('Input Transaksi'!$F:$F,$E882))</f>
        <v/>
      </c>
      <c r="E882">
        <f>IFERROR(AGGREGATE(15,6,ROW('Input Transaksi'!$B$5:$B$5000)/('Input Transaksi'!$B$5:$B$5000="JCL NUSA KAMBANGAN"),ROWS($E$5:E882)),"")</f>
        <v/>
      </c>
      <c r="F882" s="5" t="n"/>
    </row>
    <row r="883">
      <c r="A883" s="10">
        <f>IF($E883="","",INDEX('Input Transaksi'!$A:$A,$E883))</f>
        <v/>
      </c>
      <c r="B883" s="5">
        <f>IF($E883="","",INDEX('Input Transaksi'!$D:$D,$E883))</f>
        <v/>
      </c>
      <c r="C883">
        <f>IF($E883="","",INDEX('Input Transaksi'!$E:$E,$E883))</f>
        <v/>
      </c>
      <c r="D883" s="5">
        <f>IF($E883="","",INDEX('Input Transaksi'!$F:$F,$E883))</f>
        <v/>
      </c>
      <c r="E883">
        <f>IFERROR(AGGREGATE(15,6,ROW('Input Transaksi'!$B$5:$B$5000)/('Input Transaksi'!$B$5:$B$5000="JCL NUSA KAMBANGAN"),ROWS($E$5:E883)),"")</f>
        <v/>
      </c>
      <c r="F883" s="5" t="n"/>
    </row>
    <row r="884">
      <c r="A884" s="10">
        <f>IF($E884="","",INDEX('Input Transaksi'!$A:$A,$E884))</f>
        <v/>
      </c>
      <c r="B884" s="5">
        <f>IF($E884="","",INDEX('Input Transaksi'!$D:$D,$E884))</f>
        <v/>
      </c>
      <c r="C884">
        <f>IF($E884="","",INDEX('Input Transaksi'!$E:$E,$E884))</f>
        <v/>
      </c>
      <c r="D884" s="5">
        <f>IF($E884="","",INDEX('Input Transaksi'!$F:$F,$E884))</f>
        <v/>
      </c>
      <c r="E884">
        <f>IFERROR(AGGREGATE(15,6,ROW('Input Transaksi'!$B$5:$B$5000)/('Input Transaksi'!$B$5:$B$5000="JCL NUSA KAMBANGAN"),ROWS($E$5:E884)),"")</f>
        <v/>
      </c>
      <c r="F884" s="5" t="n"/>
    </row>
    <row r="885">
      <c r="A885" s="10">
        <f>IF($E885="","",INDEX('Input Transaksi'!$A:$A,$E885))</f>
        <v/>
      </c>
      <c r="B885" s="5">
        <f>IF($E885="","",INDEX('Input Transaksi'!$D:$D,$E885))</f>
        <v/>
      </c>
      <c r="C885">
        <f>IF($E885="","",INDEX('Input Transaksi'!$E:$E,$E885))</f>
        <v/>
      </c>
      <c r="D885" s="5">
        <f>IF($E885="","",INDEX('Input Transaksi'!$F:$F,$E885))</f>
        <v/>
      </c>
      <c r="E885">
        <f>IFERROR(AGGREGATE(15,6,ROW('Input Transaksi'!$B$5:$B$5000)/('Input Transaksi'!$B$5:$B$5000="JCL NUSA KAMBANGAN"),ROWS($E$5:E885)),"")</f>
        <v/>
      </c>
      <c r="F885" s="5" t="n"/>
    </row>
    <row r="886">
      <c r="A886" s="10">
        <f>IF($E886="","",INDEX('Input Transaksi'!$A:$A,$E886))</f>
        <v/>
      </c>
      <c r="B886" s="5">
        <f>IF($E886="","",INDEX('Input Transaksi'!$D:$D,$E886))</f>
        <v/>
      </c>
      <c r="C886">
        <f>IF($E886="","",INDEX('Input Transaksi'!$E:$E,$E886))</f>
        <v/>
      </c>
      <c r="D886" s="5">
        <f>IF($E886="","",INDEX('Input Transaksi'!$F:$F,$E886))</f>
        <v/>
      </c>
      <c r="E886">
        <f>IFERROR(AGGREGATE(15,6,ROW('Input Transaksi'!$B$5:$B$5000)/('Input Transaksi'!$B$5:$B$5000="JCL NUSA KAMBANGAN"),ROWS($E$5:E886)),"")</f>
        <v/>
      </c>
      <c r="F886" s="5" t="n"/>
    </row>
    <row r="887">
      <c r="A887" s="10">
        <f>IF($E887="","",INDEX('Input Transaksi'!$A:$A,$E887))</f>
        <v/>
      </c>
      <c r="B887" s="5">
        <f>IF($E887="","",INDEX('Input Transaksi'!$D:$D,$E887))</f>
        <v/>
      </c>
      <c r="C887">
        <f>IF($E887="","",INDEX('Input Transaksi'!$E:$E,$E887))</f>
        <v/>
      </c>
      <c r="D887" s="5">
        <f>IF($E887="","",INDEX('Input Transaksi'!$F:$F,$E887))</f>
        <v/>
      </c>
      <c r="E887">
        <f>IFERROR(AGGREGATE(15,6,ROW('Input Transaksi'!$B$5:$B$5000)/('Input Transaksi'!$B$5:$B$5000="JCL NUSA KAMBANGAN"),ROWS($E$5:E887)),"")</f>
        <v/>
      </c>
      <c r="F887" s="5" t="n"/>
    </row>
    <row r="888">
      <c r="A888" s="10">
        <f>IF($E888="","",INDEX('Input Transaksi'!$A:$A,$E888))</f>
        <v/>
      </c>
      <c r="B888" s="5">
        <f>IF($E888="","",INDEX('Input Transaksi'!$D:$D,$E888))</f>
        <v/>
      </c>
      <c r="C888">
        <f>IF($E888="","",INDEX('Input Transaksi'!$E:$E,$E888))</f>
        <v/>
      </c>
      <c r="D888" s="5">
        <f>IF($E888="","",INDEX('Input Transaksi'!$F:$F,$E888))</f>
        <v/>
      </c>
      <c r="E888">
        <f>IFERROR(AGGREGATE(15,6,ROW('Input Transaksi'!$B$5:$B$5000)/('Input Transaksi'!$B$5:$B$5000="JCL NUSA KAMBANGAN"),ROWS($E$5:E888)),"")</f>
        <v/>
      </c>
      <c r="F888" s="5" t="n"/>
    </row>
    <row r="889">
      <c r="A889" s="10">
        <f>IF($E889="","",INDEX('Input Transaksi'!$A:$A,$E889))</f>
        <v/>
      </c>
      <c r="B889" s="5">
        <f>IF($E889="","",INDEX('Input Transaksi'!$D:$D,$E889))</f>
        <v/>
      </c>
      <c r="C889">
        <f>IF($E889="","",INDEX('Input Transaksi'!$E:$E,$E889))</f>
        <v/>
      </c>
      <c r="D889" s="5">
        <f>IF($E889="","",INDEX('Input Transaksi'!$F:$F,$E889))</f>
        <v/>
      </c>
      <c r="E889">
        <f>IFERROR(AGGREGATE(15,6,ROW('Input Transaksi'!$B$5:$B$5000)/('Input Transaksi'!$B$5:$B$5000="JCL NUSA KAMBANGAN"),ROWS($E$5:E889)),"")</f>
        <v/>
      </c>
      <c r="F889" s="5" t="n"/>
    </row>
    <row r="890">
      <c r="A890" s="10">
        <f>IF($E890="","",INDEX('Input Transaksi'!$A:$A,$E890))</f>
        <v/>
      </c>
      <c r="B890" s="5">
        <f>IF($E890="","",INDEX('Input Transaksi'!$D:$D,$E890))</f>
        <v/>
      </c>
      <c r="C890">
        <f>IF($E890="","",INDEX('Input Transaksi'!$E:$E,$E890))</f>
        <v/>
      </c>
      <c r="D890" s="5">
        <f>IF($E890="","",INDEX('Input Transaksi'!$F:$F,$E890))</f>
        <v/>
      </c>
      <c r="E890">
        <f>IFERROR(AGGREGATE(15,6,ROW('Input Transaksi'!$B$5:$B$5000)/('Input Transaksi'!$B$5:$B$5000="JCL NUSA KAMBANGAN"),ROWS($E$5:E890)),"")</f>
        <v/>
      </c>
      <c r="F890" s="5" t="n"/>
    </row>
    <row r="891">
      <c r="A891" s="10">
        <f>IF($E891="","",INDEX('Input Transaksi'!$A:$A,$E891))</f>
        <v/>
      </c>
      <c r="B891" s="5">
        <f>IF($E891="","",INDEX('Input Transaksi'!$D:$D,$E891))</f>
        <v/>
      </c>
      <c r="C891">
        <f>IF($E891="","",INDEX('Input Transaksi'!$E:$E,$E891))</f>
        <v/>
      </c>
      <c r="D891" s="5">
        <f>IF($E891="","",INDEX('Input Transaksi'!$F:$F,$E891))</f>
        <v/>
      </c>
      <c r="E891">
        <f>IFERROR(AGGREGATE(15,6,ROW('Input Transaksi'!$B$5:$B$5000)/('Input Transaksi'!$B$5:$B$5000="JCL NUSA KAMBANGAN"),ROWS($E$5:E891)),"")</f>
        <v/>
      </c>
      <c r="F891" s="5" t="n"/>
    </row>
    <row r="892">
      <c r="A892" s="10">
        <f>IF($E892="","",INDEX('Input Transaksi'!$A:$A,$E892))</f>
        <v/>
      </c>
      <c r="B892" s="5">
        <f>IF($E892="","",INDEX('Input Transaksi'!$D:$D,$E892))</f>
        <v/>
      </c>
      <c r="C892">
        <f>IF($E892="","",INDEX('Input Transaksi'!$E:$E,$E892))</f>
        <v/>
      </c>
      <c r="D892" s="5">
        <f>IF($E892="","",INDEX('Input Transaksi'!$F:$F,$E892))</f>
        <v/>
      </c>
      <c r="E892">
        <f>IFERROR(AGGREGATE(15,6,ROW('Input Transaksi'!$B$5:$B$5000)/('Input Transaksi'!$B$5:$B$5000="JCL NUSA KAMBANGAN"),ROWS($E$5:E892)),"")</f>
        <v/>
      </c>
      <c r="F892" s="5" t="n"/>
    </row>
    <row r="893">
      <c r="A893" s="10">
        <f>IF($E893="","",INDEX('Input Transaksi'!$A:$A,$E893))</f>
        <v/>
      </c>
      <c r="B893" s="5">
        <f>IF($E893="","",INDEX('Input Transaksi'!$D:$D,$E893))</f>
        <v/>
      </c>
      <c r="C893">
        <f>IF($E893="","",INDEX('Input Transaksi'!$E:$E,$E893))</f>
        <v/>
      </c>
      <c r="D893" s="5">
        <f>IF($E893="","",INDEX('Input Transaksi'!$F:$F,$E893))</f>
        <v/>
      </c>
      <c r="E893">
        <f>IFERROR(AGGREGATE(15,6,ROW('Input Transaksi'!$B$5:$B$5000)/('Input Transaksi'!$B$5:$B$5000="JCL NUSA KAMBANGAN"),ROWS($E$5:E893)),"")</f>
        <v/>
      </c>
      <c r="F893" s="5" t="n"/>
    </row>
    <row r="894">
      <c r="A894" s="10">
        <f>IF($E894="","",INDEX('Input Transaksi'!$A:$A,$E894))</f>
        <v/>
      </c>
      <c r="B894" s="5">
        <f>IF($E894="","",INDEX('Input Transaksi'!$D:$D,$E894))</f>
        <v/>
      </c>
      <c r="C894">
        <f>IF($E894="","",INDEX('Input Transaksi'!$E:$E,$E894))</f>
        <v/>
      </c>
      <c r="D894" s="5">
        <f>IF($E894="","",INDEX('Input Transaksi'!$F:$F,$E894))</f>
        <v/>
      </c>
      <c r="E894">
        <f>IFERROR(AGGREGATE(15,6,ROW('Input Transaksi'!$B$5:$B$5000)/('Input Transaksi'!$B$5:$B$5000="JCL NUSA KAMBANGAN"),ROWS($E$5:E894)),"")</f>
        <v/>
      </c>
      <c r="F894" s="5" t="n"/>
    </row>
    <row r="895">
      <c r="A895" s="10">
        <f>IF($E895="","",INDEX('Input Transaksi'!$A:$A,$E895))</f>
        <v/>
      </c>
      <c r="B895" s="5">
        <f>IF($E895="","",INDEX('Input Transaksi'!$D:$D,$E895))</f>
        <v/>
      </c>
      <c r="C895">
        <f>IF($E895="","",INDEX('Input Transaksi'!$E:$E,$E895))</f>
        <v/>
      </c>
      <c r="D895" s="5">
        <f>IF($E895="","",INDEX('Input Transaksi'!$F:$F,$E895))</f>
        <v/>
      </c>
      <c r="E895">
        <f>IFERROR(AGGREGATE(15,6,ROW('Input Transaksi'!$B$5:$B$5000)/('Input Transaksi'!$B$5:$B$5000="JCL NUSA KAMBANGAN"),ROWS($E$5:E895)),"")</f>
        <v/>
      </c>
      <c r="F895" s="5" t="n"/>
    </row>
    <row r="896">
      <c r="A896" s="10">
        <f>IF($E896="","",INDEX('Input Transaksi'!$A:$A,$E896))</f>
        <v/>
      </c>
      <c r="B896" s="5">
        <f>IF($E896="","",INDEX('Input Transaksi'!$D:$D,$E896))</f>
        <v/>
      </c>
      <c r="C896">
        <f>IF($E896="","",INDEX('Input Transaksi'!$E:$E,$E896))</f>
        <v/>
      </c>
      <c r="D896" s="5">
        <f>IF($E896="","",INDEX('Input Transaksi'!$F:$F,$E896))</f>
        <v/>
      </c>
      <c r="E896">
        <f>IFERROR(AGGREGATE(15,6,ROW('Input Transaksi'!$B$5:$B$5000)/('Input Transaksi'!$B$5:$B$5000="JCL NUSA KAMBANGAN"),ROWS($E$5:E896)),"")</f>
        <v/>
      </c>
      <c r="F896" s="5" t="n"/>
    </row>
    <row r="897">
      <c r="A897" s="10">
        <f>IF($E897="","",INDEX('Input Transaksi'!$A:$A,$E897))</f>
        <v/>
      </c>
      <c r="B897" s="5">
        <f>IF($E897="","",INDEX('Input Transaksi'!$D:$D,$E897))</f>
        <v/>
      </c>
      <c r="C897">
        <f>IF($E897="","",INDEX('Input Transaksi'!$E:$E,$E897))</f>
        <v/>
      </c>
      <c r="D897" s="5">
        <f>IF($E897="","",INDEX('Input Transaksi'!$F:$F,$E897))</f>
        <v/>
      </c>
      <c r="E897">
        <f>IFERROR(AGGREGATE(15,6,ROW('Input Transaksi'!$B$5:$B$5000)/('Input Transaksi'!$B$5:$B$5000="JCL NUSA KAMBANGAN"),ROWS($E$5:E897)),"")</f>
        <v/>
      </c>
      <c r="F897" s="5" t="n"/>
    </row>
    <row r="898">
      <c r="A898" s="10">
        <f>IF($E898="","",INDEX('Input Transaksi'!$A:$A,$E898))</f>
        <v/>
      </c>
      <c r="B898" s="5">
        <f>IF($E898="","",INDEX('Input Transaksi'!$D:$D,$E898))</f>
        <v/>
      </c>
      <c r="C898">
        <f>IF($E898="","",INDEX('Input Transaksi'!$E:$E,$E898))</f>
        <v/>
      </c>
      <c r="D898" s="5">
        <f>IF($E898="","",INDEX('Input Transaksi'!$F:$F,$E898))</f>
        <v/>
      </c>
      <c r="E898">
        <f>IFERROR(AGGREGATE(15,6,ROW('Input Transaksi'!$B$5:$B$5000)/('Input Transaksi'!$B$5:$B$5000="JCL NUSA KAMBANGAN"),ROWS($E$5:E898)),"")</f>
        <v/>
      </c>
      <c r="F898" s="5" t="n"/>
    </row>
    <row r="899">
      <c r="A899" s="10">
        <f>IF($E899="","",INDEX('Input Transaksi'!$A:$A,$E899))</f>
        <v/>
      </c>
      <c r="B899" s="5">
        <f>IF($E899="","",INDEX('Input Transaksi'!$D:$D,$E899))</f>
        <v/>
      </c>
      <c r="C899">
        <f>IF($E899="","",INDEX('Input Transaksi'!$E:$E,$E899))</f>
        <v/>
      </c>
      <c r="D899" s="5">
        <f>IF($E899="","",INDEX('Input Transaksi'!$F:$F,$E899))</f>
        <v/>
      </c>
      <c r="E899">
        <f>IFERROR(AGGREGATE(15,6,ROW('Input Transaksi'!$B$5:$B$5000)/('Input Transaksi'!$B$5:$B$5000="JCL NUSA KAMBANGAN"),ROWS($E$5:E899)),"")</f>
        <v/>
      </c>
      <c r="F899" s="5" t="n"/>
    </row>
    <row r="900">
      <c r="A900" s="10">
        <f>IF($E900="","",INDEX('Input Transaksi'!$A:$A,$E900))</f>
        <v/>
      </c>
      <c r="B900" s="5">
        <f>IF($E900="","",INDEX('Input Transaksi'!$D:$D,$E900))</f>
        <v/>
      </c>
      <c r="C900">
        <f>IF($E900="","",INDEX('Input Transaksi'!$E:$E,$E900))</f>
        <v/>
      </c>
      <c r="D900" s="5">
        <f>IF($E900="","",INDEX('Input Transaksi'!$F:$F,$E900))</f>
        <v/>
      </c>
      <c r="E900">
        <f>IFERROR(AGGREGATE(15,6,ROW('Input Transaksi'!$B$5:$B$5000)/('Input Transaksi'!$B$5:$B$5000="JCL NUSA KAMBANGAN"),ROWS($E$5:E900)),"")</f>
        <v/>
      </c>
      <c r="F900" s="5" t="n"/>
    </row>
    <row r="901">
      <c r="A901" s="10">
        <f>IF($E901="","",INDEX('Input Transaksi'!$A:$A,$E901))</f>
        <v/>
      </c>
      <c r="B901" s="5">
        <f>IF($E901="","",INDEX('Input Transaksi'!$D:$D,$E901))</f>
        <v/>
      </c>
      <c r="C901">
        <f>IF($E901="","",INDEX('Input Transaksi'!$E:$E,$E901))</f>
        <v/>
      </c>
      <c r="D901" s="5">
        <f>IF($E901="","",INDEX('Input Transaksi'!$F:$F,$E901))</f>
        <v/>
      </c>
      <c r="E901">
        <f>IFERROR(AGGREGATE(15,6,ROW('Input Transaksi'!$B$5:$B$5000)/('Input Transaksi'!$B$5:$B$5000="JCL NUSA KAMBANGAN"),ROWS($E$5:E901)),"")</f>
        <v/>
      </c>
      <c r="F901" s="5" t="n"/>
    </row>
    <row r="902">
      <c r="A902" s="10">
        <f>IF($E902="","",INDEX('Input Transaksi'!$A:$A,$E902))</f>
        <v/>
      </c>
      <c r="B902" s="5">
        <f>IF($E902="","",INDEX('Input Transaksi'!$D:$D,$E902))</f>
        <v/>
      </c>
      <c r="C902">
        <f>IF($E902="","",INDEX('Input Transaksi'!$E:$E,$E902))</f>
        <v/>
      </c>
      <c r="D902" s="5">
        <f>IF($E902="","",INDEX('Input Transaksi'!$F:$F,$E902))</f>
        <v/>
      </c>
      <c r="E902">
        <f>IFERROR(AGGREGATE(15,6,ROW('Input Transaksi'!$B$5:$B$5000)/('Input Transaksi'!$B$5:$B$5000="JCL NUSA KAMBANGAN"),ROWS($E$5:E902)),"")</f>
        <v/>
      </c>
      <c r="F902" s="5" t="n"/>
    </row>
    <row r="903">
      <c r="A903" s="10">
        <f>IF($E903="","",INDEX('Input Transaksi'!$A:$A,$E903))</f>
        <v/>
      </c>
      <c r="B903" s="5">
        <f>IF($E903="","",INDEX('Input Transaksi'!$D:$D,$E903))</f>
        <v/>
      </c>
      <c r="C903">
        <f>IF($E903="","",INDEX('Input Transaksi'!$E:$E,$E903))</f>
        <v/>
      </c>
      <c r="D903" s="5">
        <f>IF($E903="","",INDEX('Input Transaksi'!$F:$F,$E903))</f>
        <v/>
      </c>
      <c r="E903">
        <f>IFERROR(AGGREGATE(15,6,ROW('Input Transaksi'!$B$5:$B$5000)/('Input Transaksi'!$B$5:$B$5000="JCL NUSA KAMBANGAN"),ROWS($E$5:E903)),"")</f>
        <v/>
      </c>
      <c r="F903" s="5" t="n"/>
    </row>
    <row r="904">
      <c r="A904" s="10">
        <f>IF($E904="","",INDEX('Input Transaksi'!$A:$A,$E904))</f>
        <v/>
      </c>
      <c r="B904" s="5">
        <f>IF($E904="","",INDEX('Input Transaksi'!$D:$D,$E904))</f>
        <v/>
      </c>
      <c r="C904">
        <f>IF($E904="","",INDEX('Input Transaksi'!$E:$E,$E904))</f>
        <v/>
      </c>
      <c r="D904" s="5">
        <f>IF($E904="","",INDEX('Input Transaksi'!$F:$F,$E904))</f>
        <v/>
      </c>
      <c r="E904">
        <f>IFERROR(AGGREGATE(15,6,ROW('Input Transaksi'!$B$5:$B$5000)/('Input Transaksi'!$B$5:$B$5000="JCL NUSA KAMBANGAN"),ROWS($E$5:E904)),"")</f>
        <v/>
      </c>
      <c r="F904" s="5" t="n"/>
    </row>
    <row r="905">
      <c r="A905" s="10">
        <f>IF($E905="","",INDEX('Input Transaksi'!$A:$A,$E905))</f>
        <v/>
      </c>
      <c r="B905" s="5">
        <f>IF($E905="","",INDEX('Input Transaksi'!$D:$D,$E905))</f>
        <v/>
      </c>
      <c r="C905">
        <f>IF($E905="","",INDEX('Input Transaksi'!$E:$E,$E905))</f>
        <v/>
      </c>
      <c r="D905" s="5">
        <f>IF($E905="","",INDEX('Input Transaksi'!$F:$F,$E905))</f>
        <v/>
      </c>
      <c r="E905">
        <f>IFERROR(AGGREGATE(15,6,ROW('Input Transaksi'!$B$5:$B$5000)/('Input Transaksi'!$B$5:$B$5000="JCL NUSA KAMBANGAN"),ROWS($E$5:E905)),"")</f>
        <v/>
      </c>
      <c r="F905" s="5" t="n"/>
    </row>
    <row r="906">
      <c r="A906" s="10">
        <f>IF($E906="","",INDEX('Input Transaksi'!$A:$A,$E906))</f>
        <v/>
      </c>
      <c r="B906" s="5">
        <f>IF($E906="","",INDEX('Input Transaksi'!$D:$D,$E906))</f>
        <v/>
      </c>
      <c r="C906">
        <f>IF($E906="","",INDEX('Input Transaksi'!$E:$E,$E906))</f>
        <v/>
      </c>
      <c r="D906" s="5">
        <f>IF($E906="","",INDEX('Input Transaksi'!$F:$F,$E906))</f>
        <v/>
      </c>
      <c r="E906">
        <f>IFERROR(AGGREGATE(15,6,ROW('Input Transaksi'!$B$5:$B$5000)/('Input Transaksi'!$B$5:$B$5000="JCL NUSA KAMBANGAN"),ROWS($E$5:E906)),"")</f>
        <v/>
      </c>
      <c r="F906" s="5" t="n"/>
    </row>
    <row r="907">
      <c r="A907" s="10">
        <f>IF($E907="","",INDEX('Input Transaksi'!$A:$A,$E907))</f>
        <v/>
      </c>
      <c r="B907" s="5">
        <f>IF($E907="","",INDEX('Input Transaksi'!$D:$D,$E907))</f>
        <v/>
      </c>
      <c r="C907">
        <f>IF($E907="","",INDEX('Input Transaksi'!$E:$E,$E907))</f>
        <v/>
      </c>
      <c r="D907" s="5">
        <f>IF($E907="","",INDEX('Input Transaksi'!$F:$F,$E907))</f>
        <v/>
      </c>
      <c r="E907">
        <f>IFERROR(AGGREGATE(15,6,ROW('Input Transaksi'!$B$5:$B$5000)/('Input Transaksi'!$B$5:$B$5000="JCL NUSA KAMBANGAN"),ROWS($E$5:E907)),"")</f>
        <v/>
      </c>
      <c r="F907" s="5" t="n"/>
    </row>
    <row r="908">
      <c r="A908" s="10">
        <f>IF($E908="","",INDEX('Input Transaksi'!$A:$A,$E908))</f>
        <v/>
      </c>
      <c r="B908" s="5">
        <f>IF($E908="","",INDEX('Input Transaksi'!$D:$D,$E908))</f>
        <v/>
      </c>
      <c r="C908">
        <f>IF($E908="","",INDEX('Input Transaksi'!$E:$E,$E908))</f>
        <v/>
      </c>
      <c r="D908" s="5">
        <f>IF($E908="","",INDEX('Input Transaksi'!$F:$F,$E908))</f>
        <v/>
      </c>
      <c r="E908">
        <f>IFERROR(AGGREGATE(15,6,ROW('Input Transaksi'!$B$5:$B$5000)/('Input Transaksi'!$B$5:$B$5000="JCL NUSA KAMBANGAN"),ROWS($E$5:E908)),"")</f>
        <v/>
      </c>
      <c r="F908" s="5" t="n"/>
    </row>
    <row r="909">
      <c r="A909" s="10">
        <f>IF($E909="","",INDEX('Input Transaksi'!$A:$A,$E909))</f>
        <v/>
      </c>
      <c r="B909" s="5">
        <f>IF($E909="","",INDEX('Input Transaksi'!$D:$D,$E909))</f>
        <v/>
      </c>
      <c r="C909">
        <f>IF($E909="","",INDEX('Input Transaksi'!$E:$E,$E909))</f>
        <v/>
      </c>
      <c r="D909" s="5">
        <f>IF($E909="","",INDEX('Input Transaksi'!$F:$F,$E909))</f>
        <v/>
      </c>
      <c r="E909">
        <f>IFERROR(AGGREGATE(15,6,ROW('Input Transaksi'!$B$5:$B$5000)/('Input Transaksi'!$B$5:$B$5000="JCL NUSA KAMBANGAN"),ROWS($E$5:E909)),"")</f>
        <v/>
      </c>
      <c r="F909" s="5" t="n"/>
    </row>
    <row r="910">
      <c r="A910" s="10">
        <f>IF($E910="","",INDEX('Input Transaksi'!$A:$A,$E910))</f>
        <v/>
      </c>
      <c r="B910" s="5">
        <f>IF($E910="","",INDEX('Input Transaksi'!$D:$D,$E910))</f>
        <v/>
      </c>
      <c r="C910">
        <f>IF($E910="","",INDEX('Input Transaksi'!$E:$E,$E910))</f>
        <v/>
      </c>
      <c r="D910" s="5">
        <f>IF($E910="","",INDEX('Input Transaksi'!$F:$F,$E910))</f>
        <v/>
      </c>
      <c r="E910">
        <f>IFERROR(AGGREGATE(15,6,ROW('Input Transaksi'!$B$5:$B$5000)/('Input Transaksi'!$B$5:$B$5000="JCL NUSA KAMBANGAN"),ROWS($E$5:E910)),"")</f>
        <v/>
      </c>
      <c r="F910" s="5" t="n"/>
    </row>
    <row r="911">
      <c r="A911" s="10">
        <f>IF($E911="","",INDEX('Input Transaksi'!$A:$A,$E911))</f>
        <v/>
      </c>
      <c r="B911" s="5">
        <f>IF($E911="","",INDEX('Input Transaksi'!$D:$D,$E911))</f>
        <v/>
      </c>
      <c r="C911">
        <f>IF($E911="","",INDEX('Input Transaksi'!$E:$E,$E911))</f>
        <v/>
      </c>
      <c r="D911" s="5">
        <f>IF($E911="","",INDEX('Input Transaksi'!$F:$F,$E911))</f>
        <v/>
      </c>
      <c r="E911">
        <f>IFERROR(AGGREGATE(15,6,ROW('Input Transaksi'!$B$5:$B$5000)/('Input Transaksi'!$B$5:$B$5000="JCL NUSA KAMBANGAN"),ROWS($E$5:E911)),"")</f>
        <v/>
      </c>
      <c r="F911" s="5" t="n"/>
    </row>
    <row r="912">
      <c r="A912" s="10">
        <f>IF($E912="","",INDEX('Input Transaksi'!$A:$A,$E912))</f>
        <v/>
      </c>
      <c r="B912" s="5">
        <f>IF($E912="","",INDEX('Input Transaksi'!$D:$D,$E912))</f>
        <v/>
      </c>
      <c r="C912">
        <f>IF($E912="","",INDEX('Input Transaksi'!$E:$E,$E912))</f>
        <v/>
      </c>
      <c r="D912" s="5">
        <f>IF($E912="","",INDEX('Input Transaksi'!$F:$F,$E912))</f>
        <v/>
      </c>
      <c r="E912">
        <f>IFERROR(AGGREGATE(15,6,ROW('Input Transaksi'!$B$5:$B$5000)/('Input Transaksi'!$B$5:$B$5000="JCL NUSA KAMBANGAN"),ROWS($E$5:E912)),"")</f>
        <v/>
      </c>
      <c r="F912" s="5" t="n"/>
    </row>
    <row r="913">
      <c r="A913" s="10">
        <f>IF($E913="","",INDEX('Input Transaksi'!$A:$A,$E913))</f>
        <v/>
      </c>
      <c r="B913" s="5">
        <f>IF($E913="","",INDEX('Input Transaksi'!$D:$D,$E913))</f>
        <v/>
      </c>
      <c r="C913">
        <f>IF($E913="","",INDEX('Input Transaksi'!$E:$E,$E913))</f>
        <v/>
      </c>
      <c r="D913" s="5">
        <f>IF($E913="","",INDEX('Input Transaksi'!$F:$F,$E913))</f>
        <v/>
      </c>
      <c r="E913">
        <f>IFERROR(AGGREGATE(15,6,ROW('Input Transaksi'!$B$5:$B$5000)/('Input Transaksi'!$B$5:$B$5000="JCL NUSA KAMBANGAN"),ROWS($E$5:E913)),"")</f>
        <v/>
      </c>
      <c r="F913" s="5" t="n"/>
    </row>
    <row r="914">
      <c r="A914" s="10">
        <f>IF($E914="","",INDEX('Input Transaksi'!$A:$A,$E914))</f>
        <v/>
      </c>
      <c r="B914" s="5">
        <f>IF($E914="","",INDEX('Input Transaksi'!$D:$D,$E914))</f>
        <v/>
      </c>
      <c r="C914">
        <f>IF($E914="","",INDEX('Input Transaksi'!$E:$E,$E914))</f>
        <v/>
      </c>
      <c r="D914" s="5">
        <f>IF($E914="","",INDEX('Input Transaksi'!$F:$F,$E914))</f>
        <v/>
      </c>
      <c r="E914">
        <f>IFERROR(AGGREGATE(15,6,ROW('Input Transaksi'!$B$5:$B$5000)/('Input Transaksi'!$B$5:$B$5000="JCL NUSA KAMBANGAN"),ROWS($E$5:E914)),"")</f>
        <v/>
      </c>
      <c r="F914" s="5" t="n"/>
    </row>
    <row r="915">
      <c r="A915" s="10">
        <f>IF($E915="","",INDEX('Input Transaksi'!$A:$A,$E915))</f>
        <v/>
      </c>
      <c r="B915" s="5">
        <f>IF($E915="","",INDEX('Input Transaksi'!$D:$D,$E915))</f>
        <v/>
      </c>
      <c r="C915">
        <f>IF($E915="","",INDEX('Input Transaksi'!$E:$E,$E915))</f>
        <v/>
      </c>
      <c r="D915" s="5">
        <f>IF($E915="","",INDEX('Input Transaksi'!$F:$F,$E915))</f>
        <v/>
      </c>
      <c r="E915">
        <f>IFERROR(AGGREGATE(15,6,ROW('Input Transaksi'!$B$5:$B$5000)/('Input Transaksi'!$B$5:$B$5000="JCL NUSA KAMBANGAN"),ROWS($E$5:E915)),"")</f>
        <v/>
      </c>
      <c r="F915" s="5" t="n"/>
    </row>
    <row r="916">
      <c r="A916" s="10">
        <f>IF($E916="","",INDEX('Input Transaksi'!$A:$A,$E916))</f>
        <v/>
      </c>
      <c r="B916" s="5">
        <f>IF($E916="","",INDEX('Input Transaksi'!$D:$D,$E916))</f>
        <v/>
      </c>
      <c r="C916">
        <f>IF($E916="","",INDEX('Input Transaksi'!$E:$E,$E916))</f>
        <v/>
      </c>
      <c r="D916" s="5">
        <f>IF($E916="","",INDEX('Input Transaksi'!$F:$F,$E916))</f>
        <v/>
      </c>
      <c r="E916">
        <f>IFERROR(AGGREGATE(15,6,ROW('Input Transaksi'!$B$5:$B$5000)/('Input Transaksi'!$B$5:$B$5000="JCL NUSA KAMBANGAN"),ROWS($E$5:E916)),"")</f>
        <v/>
      </c>
      <c r="F916" s="5" t="n"/>
    </row>
    <row r="917">
      <c r="A917" s="10">
        <f>IF($E917="","",INDEX('Input Transaksi'!$A:$A,$E917))</f>
        <v/>
      </c>
      <c r="B917" s="5">
        <f>IF($E917="","",INDEX('Input Transaksi'!$D:$D,$E917))</f>
        <v/>
      </c>
      <c r="C917">
        <f>IF($E917="","",INDEX('Input Transaksi'!$E:$E,$E917))</f>
        <v/>
      </c>
      <c r="D917" s="5">
        <f>IF($E917="","",INDEX('Input Transaksi'!$F:$F,$E917))</f>
        <v/>
      </c>
      <c r="E917">
        <f>IFERROR(AGGREGATE(15,6,ROW('Input Transaksi'!$B$5:$B$5000)/('Input Transaksi'!$B$5:$B$5000="JCL NUSA KAMBANGAN"),ROWS($E$5:E917)),"")</f>
        <v/>
      </c>
      <c r="F917" s="5" t="n"/>
    </row>
    <row r="918">
      <c r="A918" s="10">
        <f>IF($E918="","",INDEX('Input Transaksi'!$A:$A,$E918))</f>
        <v/>
      </c>
      <c r="B918" s="5">
        <f>IF($E918="","",INDEX('Input Transaksi'!$D:$D,$E918))</f>
        <v/>
      </c>
      <c r="C918">
        <f>IF($E918="","",INDEX('Input Transaksi'!$E:$E,$E918))</f>
        <v/>
      </c>
      <c r="D918" s="5">
        <f>IF($E918="","",INDEX('Input Transaksi'!$F:$F,$E918))</f>
        <v/>
      </c>
      <c r="E918">
        <f>IFERROR(AGGREGATE(15,6,ROW('Input Transaksi'!$B$5:$B$5000)/('Input Transaksi'!$B$5:$B$5000="JCL NUSA KAMBANGAN"),ROWS($E$5:E918)),"")</f>
        <v/>
      </c>
      <c r="F918" s="5" t="n"/>
    </row>
    <row r="919">
      <c r="A919" s="10">
        <f>IF($E919="","",INDEX('Input Transaksi'!$A:$A,$E919))</f>
        <v/>
      </c>
      <c r="B919" s="5">
        <f>IF($E919="","",INDEX('Input Transaksi'!$D:$D,$E919))</f>
        <v/>
      </c>
      <c r="C919">
        <f>IF($E919="","",INDEX('Input Transaksi'!$E:$E,$E919))</f>
        <v/>
      </c>
      <c r="D919" s="5">
        <f>IF($E919="","",INDEX('Input Transaksi'!$F:$F,$E919))</f>
        <v/>
      </c>
      <c r="E919">
        <f>IFERROR(AGGREGATE(15,6,ROW('Input Transaksi'!$B$5:$B$5000)/('Input Transaksi'!$B$5:$B$5000="JCL NUSA KAMBANGAN"),ROWS($E$5:E919)),"")</f>
        <v/>
      </c>
      <c r="F919" s="5" t="n"/>
    </row>
    <row r="920">
      <c r="A920" s="10">
        <f>IF($E920="","",INDEX('Input Transaksi'!$A:$A,$E920))</f>
        <v/>
      </c>
      <c r="B920" s="5">
        <f>IF($E920="","",INDEX('Input Transaksi'!$D:$D,$E920))</f>
        <v/>
      </c>
      <c r="C920">
        <f>IF($E920="","",INDEX('Input Transaksi'!$E:$E,$E920))</f>
        <v/>
      </c>
      <c r="D920" s="5">
        <f>IF($E920="","",INDEX('Input Transaksi'!$F:$F,$E920))</f>
        <v/>
      </c>
      <c r="E920">
        <f>IFERROR(AGGREGATE(15,6,ROW('Input Transaksi'!$B$5:$B$5000)/('Input Transaksi'!$B$5:$B$5000="JCL NUSA KAMBANGAN"),ROWS($E$5:E920)),"")</f>
        <v/>
      </c>
      <c r="F920" s="5" t="n"/>
    </row>
    <row r="921">
      <c r="A921" s="10">
        <f>IF($E921="","",INDEX('Input Transaksi'!$A:$A,$E921))</f>
        <v/>
      </c>
      <c r="B921" s="5">
        <f>IF($E921="","",INDEX('Input Transaksi'!$D:$D,$E921))</f>
        <v/>
      </c>
      <c r="C921">
        <f>IF($E921="","",INDEX('Input Transaksi'!$E:$E,$E921))</f>
        <v/>
      </c>
      <c r="D921" s="5">
        <f>IF($E921="","",INDEX('Input Transaksi'!$F:$F,$E921))</f>
        <v/>
      </c>
      <c r="E921">
        <f>IFERROR(AGGREGATE(15,6,ROW('Input Transaksi'!$B$5:$B$5000)/('Input Transaksi'!$B$5:$B$5000="JCL NUSA KAMBANGAN"),ROWS($E$5:E921)),"")</f>
        <v/>
      </c>
      <c r="F921" s="5" t="n"/>
    </row>
    <row r="922">
      <c r="A922" s="10">
        <f>IF($E922="","",INDEX('Input Transaksi'!$A:$A,$E922))</f>
        <v/>
      </c>
      <c r="B922" s="5">
        <f>IF($E922="","",INDEX('Input Transaksi'!$D:$D,$E922))</f>
        <v/>
      </c>
      <c r="C922">
        <f>IF($E922="","",INDEX('Input Transaksi'!$E:$E,$E922))</f>
        <v/>
      </c>
      <c r="D922" s="5">
        <f>IF($E922="","",INDEX('Input Transaksi'!$F:$F,$E922))</f>
        <v/>
      </c>
      <c r="E922">
        <f>IFERROR(AGGREGATE(15,6,ROW('Input Transaksi'!$B$5:$B$5000)/('Input Transaksi'!$B$5:$B$5000="JCL NUSA KAMBANGAN"),ROWS($E$5:E922)),"")</f>
        <v/>
      </c>
      <c r="F922" s="5" t="n"/>
    </row>
    <row r="923">
      <c r="A923" s="10">
        <f>IF($E923="","",INDEX('Input Transaksi'!$A:$A,$E923))</f>
        <v/>
      </c>
      <c r="B923" s="5">
        <f>IF($E923="","",INDEX('Input Transaksi'!$D:$D,$E923))</f>
        <v/>
      </c>
      <c r="C923">
        <f>IF($E923="","",INDEX('Input Transaksi'!$E:$E,$E923))</f>
        <v/>
      </c>
      <c r="D923" s="5">
        <f>IF($E923="","",INDEX('Input Transaksi'!$F:$F,$E923))</f>
        <v/>
      </c>
      <c r="E923">
        <f>IFERROR(AGGREGATE(15,6,ROW('Input Transaksi'!$B$5:$B$5000)/('Input Transaksi'!$B$5:$B$5000="JCL NUSA KAMBANGAN"),ROWS($E$5:E923)),"")</f>
        <v/>
      </c>
      <c r="F923" s="5" t="n"/>
    </row>
    <row r="924">
      <c r="A924" s="10">
        <f>IF($E924="","",INDEX('Input Transaksi'!$A:$A,$E924))</f>
        <v/>
      </c>
      <c r="B924" s="5">
        <f>IF($E924="","",INDEX('Input Transaksi'!$D:$D,$E924))</f>
        <v/>
      </c>
      <c r="C924">
        <f>IF($E924="","",INDEX('Input Transaksi'!$E:$E,$E924))</f>
        <v/>
      </c>
      <c r="D924" s="5">
        <f>IF($E924="","",INDEX('Input Transaksi'!$F:$F,$E924))</f>
        <v/>
      </c>
      <c r="E924">
        <f>IFERROR(AGGREGATE(15,6,ROW('Input Transaksi'!$B$5:$B$5000)/('Input Transaksi'!$B$5:$B$5000="JCL NUSA KAMBANGAN"),ROWS($E$5:E924)),"")</f>
        <v/>
      </c>
      <c r="F924" s="5" t="n"/>
    </row>
    <row r="925">
      <c r="A925" s="10">
        <f>IF($E925="","",INDEX('Input Transaksi'!$A:$A,$E925))</f>
        <v/>
      </c>
      <c r="B925" s="5">
        <f>IF($E925="","",INDEX('Input Transaksi'!$D:$D,$E925))</f>
        <v/>
      </c>
      <c r="C925">
        <f>IF($E925="","",INDEX('Input Transaksi'!$E:$E,$E925))</f>
        <v/>
      </c>
      <c r="D925" s="5">
        <f>IF($E925="","",INDEX('Input Transaksi'!$F:$F,$E925))</f>
        <v/>
      </c>
      <c r="E925">
        <f>IFERROR(AGGREGATE(15,6,ROW('Input Transaksi'!$B$5:$B$5000)/('Input Transaksi'!$B$5:$B$5000="JCL NUSA KAMBANGAN"),ROWS($E$5:E925)),"")</f>
        <v/>
      </c>
      <c r="F925" s="5" t="n"/>
    </row>
    <row r="926">
      <c r="A926" s="10">
        <f>IF($E926="","",INDEX('Input Transaksi'!$A:$A,$E926))</f>
        <v/>
      </c>
      <c r="B926" s="5">
        <f>IF($E926="","",INDEX('Input Transaksi'!$D:$D,$E926))</f>
        <v/>
      </c>
      <c r="C926">
        <f>IF($E926="","",INDEX('Input Transaksi'!$E:$E,$E926))</f>
        <v/>
      </c>
      <c r="D926" s="5">
        <f>IF($E926="","",INDEX('Input Transaksi'!$F:$F,$E926))</f>
        <v/>
      </c>
      <c r="E926">
        <f>IFERROR(AGGREGATE(15,6,ROW('Input Transaksi'!$B$5:$B$5000)/('Input Transaksi'!$B$5:$B$5000="JCL NUSA KAMBANGAN"),ROWS($E$5:E926)),"")</f>
        <v/>
      </c>
      <c r="F926" s="5" t="n"/>
    </row>
    <row r="927">
      <c r="A927" s="10">
        <f>IF($E927="","",INDEX('Input Transaksi'!$A:$A,$E927))</f>
        <v/>
      </c>
      <c r="B927" s="5">
        <f>IF($E927="","",INDEX('Input Transaksi'!$D:$D,$E927))</f>
        <v/>
      </c>
      <c r="C927">
        <f>IF($E927="","",INDEX('Input Transaksi'!$E:$E,$E927))</f>
        <v/>
      </c>
      <c r="D927" s="5">
        <f>IF($E927="","",INDEX('Input Transaksi'!$F:$F,$E927))</f>
        <v/>
      </c>
      <c r="E927">
        <f>IFERROR(AGGREGATE(15,6,ROW('Input Transaksi'!$B$5:$B$5000)/('Input Transaksi'!$B$5:$B$5000="JCL NUSA KAMBANGAN"),ROWS($E$5:E927)),"")</f>
        <v/>
      </c>
      <c r="F927" s="5" t="n"/>
    </row>
    <row r="928">
      <c r="A928" s="10">
        <f>IF($E928="","",INDEX('Input Transaksi'!$A:$A,$E928))</f>
        <v/>
      </c>
      <c r="B928" s="5">
        <f>IF($E928="","",INDEX('Input Transaksi'!$D:$D,$E928))</f>
        <v/>
      </c>
      <c r="C928">
        <f>IF($E928="","",INDEX('Input Transaksi'!$E:$E,$E928))</f>
        <v/>
      </c>
      <c r="D928" s="5">
        <f>IF($E928="","",INDEX('Input Transaksi'!$F:$F,$E928))</f>
        <v/>
      </c>
      <c r="E928">
        <f>IFERROR(AGGREGATE(15,6,ROW('Input Transaksi'!$B$5:$B$5000)/('Input Transaksi'!$B$5:$B$5000="JCL NUSA KAMBANGAN"),ROWS($E$5:E928)),"")</f>
        <v/>
      </c>
      <c r="F928" s="5" t="n"/>
    </row>
    <row r="929">
      <c r="A929" s="10">
        <f>IF($E929="","",INDEX('Input Transaksi'!$A:$A,$E929))</f>
        <v/>
      </c>
      <c r="B929" s="5">
        <f>IF($E929="","",INDEX('Input Transaksi'!$D:$D,$E929))</f>
        <v/>
      </c>
      <c r="C929">
        <f>IF($E929="","",INDEX('Input Transaksi'!$E:$E,$E929))</f>
        <v/>
      </c>
      <c r="D929" s="5">
        <f>IF($E929="","",INDEX('Input Transaksi'!$F:$F,$E929))</f>
        <v/>
      </c>
      <c r="E929">
        <f>IFERROR(AGGREGATE(15,6,ROW('Input Transaksi'!$B$5:$B$5000)/('Input Transaksi'!$B$5:$B$5000="JCL NUSA KAMBANGAN"),ROWS($E$5:E929)),"")</f>
        <v/>
      </c>
      <c r="F929" s="5" t="n"/>
    </row>
    <row r="930">
      <c r="A930" s="10">
        <f>IF($E930="","",INDEX('Input Transaksi'!$A:$A,$E930))</f>
        <v/>
      </c>
      <c r="B930" s="5">
        <f>IF($E930="","",INDEX('Input Transaksi'!$D:$D,$E930))</f>
        <v/>
      </c>
      <c r="C930">
        <f>IF($E930="","",INDEX('Input Transaksi'!$E:$E,$E930))</f>
        <v/>
      </c>
      <c r="D930" s="5">
        <f>IF($E930="","",INDEX('Input Transaksi'!$F:$F,$E930))</f>
        <v/>
      </c>
      <c r="E930">
        <f>IFERROR(AGGREGATE(15,6,ROW('Input Transaksi'!$B$5:$B$5000)/('Input Transaksi'!$B$5:$B$5000="JCL NUSA KAMBANGAN"),ROWS($E$5:E930)),"")</f>
        <v/>
      </c>
      <c r="F930" s="5" t="n"/>
    </row>
    <row r="931">
      <c r="A931" s="10">
        <f>IF($E931="","",INDEX('Input Transaksi'!$A:$A,$E931))</f>
        <v/>
      </c>
      <c r="B931" s="5">
        <f>IF($E931="","",INDEX('Input Transaksi'!$D:$D,$E931))</f>
        <v/>
      </c>
      <c r="C931">
        <f>IF($E931="","",INDEX('Input Transaksi'!$E:$E,$E931))</f>
        <v/>
      </c>
      <c r="D931" s="5">
        <f>IF($E931="","",INDEX('Input Transaksi'!$F:$F,$E931))</f>
        <v/>
      </c>
      <c r="E931">
        <f>IFERROR(AGGREGATE(15,6,ROW('Input Transaksi'!$B$5:$B$5000)/('Input Transaksi'!$B$5:$B$5000="JCL NUSA KAMBANGAN"),ROWS($E$5:E931)),"")</f>
        <v/>
      </c>
      <c r="F931" s="5" t="n"/>
    </row>
    <row r="932">
      <c r="A932" s="10">
        <f>IF($E932="","",INDEX('Input Transaksi'!$A:$A,$E932))</f>
        <v/>
      </c>
      <c r="B932" s="5">
        <f>IF($E932="","",INDEX('Input Transaksi'!$D:$D,$E932))</f>
        <v/>
      </c>
      <c r="C932">
        <f>IF($E932="","",INDEX('Input Transaksi'!$E:$E,$E932))</f>
        <v/>
      </c>
      <c r="D932" s="5">
        <f>IF($E932="","",INDEX('Input Transaksi'!$F:$F,$E932))</f>
        <v/>
      </c>
      <c r="E932">
        <f>IFERROR(AGGREGATE(15,6,ROW('Input Transaksi'!$B$5:$B$5000)/('Input Transaksi'!$B$5:$B$5000="JCL NUSA KAMBANGAN"),ROWS($E$5:E932)),"")</f>
        <v/>
      </c>
      <c r="F932" s="5" t="n"/>
    </row>
    <row r="933">
      <c r="A933" s="10">
        <f>IF($E933="","",INDEX('Input Transaksi'!$A:$A,$E933))</f>
        <v/>
      </c>
      <c r="B933" s="5">
        <f>IF($E933="","",INDEX('Input Transaksi'!$D:$D,$E933))</f>
        <v/>
      </c>
      <c r="C933">
        <f>IF($E933="","",INDEX('Input Transaksi'!$E:$E,$E933))</f>
        <v/>
      </c>
      <c r="D933" s="5">
        <f>IF($E933="","",INDEX('Input Transaksi'!$F:$F,$E933))</f>
        <v/>
      </c>
      <c r="E933">
        <f>IFERROR(AGGREGATE(15,6,ROW('Input Transaksi'!$B$5:$B$5000)/('Input Transaksi'!$B$5:$B$5000="JCL NUSA KAMBANGAN"),ROWS($E$5:E933)),"")</f>
        <v/>
      </c>
      <c r="F933" s="5" t="n"/>
    </row>
    <row r="934">
      <c r="A934" s="10">
        <f>IF($E934="","",INDEX('Input Transaksi'!$A:$A,$E934))</f>
        <v/>
      </c>
      <c r="B934" s="5">
        <f>IF($E934="","",INDEX('Input Transaksi'!$D:$D,$E934))</f>
        <v/>
      </c>
      <c r="C934">
        <f>IF($E934="","",INDEX('Input Transaksi'!$E:$E,$E934))</f>
        <v/>
      </c>
      <c r="D934" s="5">
        <f>IF($E934="","",INDEX('Input Transaksi'!$F:$F,$E934))</f>
        <v/>
      </c>
      <c r="E934">
        <f>IFERROR(AGGREGATE(15,6,ROW('Input Transaksi'!$B$5:$B$5000)/('Input Transaksi'!$B$5:$B$5000="JCL NUSA KAMBANGAN"),ROWS($E$5:E934)),"")</f>
        <v/>
      </c>
      <c r="F934" s="5" t="n"/>
    </row>
    <row r="935">
      <c r="A935" s="10">
        <f>IF($E935="","",INDEX('Input Transaksi'!$A:$A,$E935))</f>
        <v/>
      </c>
      <c r="B935" s="5">
        <f>IF($E935="","",INDEX('Input Transaksi'!$D:$D,$E935))</f>
        <v/>
      </c>
      <c r="C935">
        <f>IF($E935="","",INDEX('Input Transaksi'!$E:$E,$E935))</f>
        <v/>
      </c>
      <c r="D935" s="5">
        <f>IF($E935="","",INDEX('Input Transaksi'!$F:$F,$E935))</f>
        <v/>
      </c>
      <c r="E935">
        <f>IFERROR(AGGREGATE(15,6,ROW('Input Transaksi'!$B$5:$B$5000)/('Input Transaksi'!$B$5:$B$5000="JCL NUSA KAMBANGAN"),ROWS($E$5:E935)),"")</f>
        <v/>
      </c>
      <c r="F935" s="5" t="n"/>
    </row>
    <row r="936">
      <c r="A936" s="10">
        <f>IF($E936="","",INDEX('Input Transaksi'!$A:$A,$E936))</f>
        <v/>
      </c>
      <c r="B936" s="5">
        <f>IF($E936="","",INDEX('Input Transaksi'!$D:$D,$E936))</f>
        <v/>
      </c>
      <c r="C936">
        <f>IF($E936="","",INDEX('Input Transaksi'!$E:$E,$E936))</f>
        <v/>
      </c>
      <c r="D936" s="5">
        <f>IF($E936="","",INDEX('Input Transaksi'!$F:$F,$E936))</f>
        <v/>
      </c>
      <c r="E936">
        <f>IFERROR(AGGREGATE(15,6,ROW('Input Transaksi'!$B$5:$B$5000)/('Input Transaksi'!$B$5:$B$5000="JCL NUSA KAMBANGAN"),ROWS($E$5:E936)),"")</f>
        <v/>
      </c>
      <c r="F936" s="5" t="n"/>
    </row>
    <row r="937">
      <c r="A937" s="10">
        <f>IF($E937="","",INDEX('Input Transaksi'!$A:$A,$E937))</f>
        <v/>
      </c>
      <c r="B937" s="5">
        <f>IF($E937="","",INDEX('Input Transaksi'!$D:$D,$E937))</f>
        <v/>
      </c>
      <c r="C937">
        <f>IF($E937="","",INDEX('Input Transaksi'!$E:$E,$E937))</f>
        <v/>
      </c>
      <c r="D937" s="5">
        <f>IF($E937="","",INDEX('Input Transaksi'!$F:$F,$E937))</f>
        <v/>
      </c>
      <c r="E937">
        <f>IFERROR(AGGREGATE(15,6,ROW('Input Transaksi'!$B$5:$B$5000)/('Input Transaksi'!$B$5:$B$5000="JCL NUSA KAMBANGAN"),ROWS($E$5:E937)),"")</f>
        <v/>
      </c>
      <c r="F937" s="5" t="n"/>
    </row>
    <row r="938">
      <c r="A938" s="10">
        <f>IF($E938="","",INDEX('Input Transaksi'!$A:$A,$E938))</f>
        <v/>
      </c>
      <c r="B938" s="5">
        <f>IF($E938="","",INDEX('Input Transaksi'!$D:$D,$E938))</f>
        <v/>
      </c>
      <c r="C938">
        <f>IF($E938="","",INDEX('Input Transaksi'!$E:$E,$E938))</f>
        <v/>
      </c>
      <c r="D938" s="5">
        <f>IF($E938="","",INDEX('Input Transaksi'!$F:$F,$E938))</f>
        <v/>
      </c>
      <c r="E938">
        <f>IFERROR(AGGREGATE(15,6,ROW('Input Transaksi'!$B$5:$B$5000)/('Input Transaksi'!$B$5:$B$5000="JCL NUSA KAMBANGAN"),ROWS($E$5:E938)),"")</f>
        <v/>
      </c>
      <c r="F938" s="5" t="n"/>
    </row>
    <row r="939">
      <c r="A939" s="10">
        <f>IF($E939="","",INDEX('Input Transaksi'!$A:$A,$E939))</f>
        <v/>
      </c>
      <c r="B939" s="5">
        <f>IF($E939="","",INDEX('Input Transaksi'!$D:$D,$E939))</f>
        <v/>
      </c>
      <c r="C939">
        <f>IF($E939="","",INDEX('Input Transaksi'!$E:$E,$E939))</f>
        <v/>
      </c>
      <c r="D939" s="5">
        <f>IF($E939="","",INDEX('Input Transaksi'!$F:$F,$E939))</f>
        <v/>
      </c>
      <c r="E939">
        <f>IFERROR(AGGREGATE(15,6,ROW('Input Transaksi'!$B$5:$B$5000)/('Input Transaksi'!$B$5:$B$5000="JCL NUSA KAMBANGAN"),ROWS($E$5:E939)),"")</f>
        <v/>
      </c>
      <c r="F939" s="5" t="n"/>
    </row>
    <row r="940">
      <c r="A940" s="10">
        <f>IF($E940="","",INDEX('Input Transaksi'!$A:$A,$E940))</f>
        <v/>
      </c>
      <c r="B940" s="5">
        <f>IF($E940="","",INDEX('Input Transaksi'!$D:$D,$E940))</f>
        <v/>
      </c>
      <c r="C940">
        <f>IF($E940="","",INDEX('Input Transaksi'!$E:$E,$E940))</f>
        <v/>
      </c>
      <c r="D940" s="5">
        <f>IF($E940="","",INDEX('Input Transaksi'!$F:$F,$E940))</f>
        <v/>
      </c>
      <c r="E940">
        <f>IFERROR(AGGREGATE(15,6,ROW('Input Transaksi'!$B$5:$B$5000)/('Input Transaksi'!$B$5:$B$5000="JCL NUSA KAMBANGAN"),ROWS($E$5:E940)),"")</f>
        <v/>
      </c>
      <c r="F940" s="5" t="n"/>
    </row>
    <row r="941">
      <c r="A941" s="10">
        <f>IF($E941="","",INDEX('Input Transaksi'!$A:$A,$E941))</f>
        <v/>
      </c>
      <c r="B941" s="5">
        <f>IF($E941="","",INDEX('Input Transaksi'!$D:$D,$E941))</f>
        <v/>
      </c>
      <c r="C941">
        <f>IF($E941="","",INDEX('Input Transaksi'!$E:$E,$E941))</f>
        <v/>
      </c>
      <c r="D941" s="5">
        <f>IF($E941="","",INDEX('Input Transaksi'!$F:$F,$E941))</f>
        <v/>
      </c>
      <c r="E941">
        <f>IFERROR(AGGREGATE(15,6,ROW('Input Transaksi'!$B$5:$B$5000)/('Input Transaksi'!$B$5:$B$5000="JCL NUSA KAMBANGAN"),ROWS($E$5:E941)),"")</f>
        <v/>
      </c>
      <c r="F941" s="5" t="n"/>
    </row>
    <row r="942">
      <c r="A942" s="10">
        <f>IF($E942="","",INDEX('Input Transaksi'!$A:$A,$E942))</f>
        <v/>
      </c>
      <c r="B942" s="5">
        <f>IF($E942="","",INDEX('Input Transaksi'!$D:$D,$E942))</f>
        <v/>
      </c>
      <c r="C942">
        <f>IF($E942="","",INDEX('Input Transaksi'!$E:$E,$E942))</f>
        <v/>
      </c>
      <c r="D942" s="5">
        <f>IF($E942="","",INDEX('Input Transaksi'!$F:$F,$E942))</f>
        <v/>
      </c>
      <c r="E942">
        <f>IFERROR(AGGREGATE(15,6,ROW('Input Transaksi'!$B$5:$B$5000)/('Input Transaksi'!$B$5:$B$5000="JCL NUSA KAMBANGAN"),ROWS($E$5:E942)),"")</f>
        <v/>
      </c>
      <c r="F942" s="5" t="n"/>
    </row>
    <row r="943">
      <c r="A943" s="10">
        <f>IF($E943="","",INDEX('Input Transaksi'!$A:$A,$E943))</f>
        <v/>
      </c>
      <c r="B943" s="5">
        <f>IF($E943="","",INDEX('Input Transaksi'!$D:$D,$E943))</f>
        <v/>
      </c>
      <c r="C943">
        <f>IF($E943="","",INDEX('Input Transaksi'!$E:$E,$E943))</f>
        <v/>
      </c>
      <c r="D943" s="5">
        <f>IF($E943="","",INDEX('Input Transaksi'!$F:$F,$E943))</f>
        <v/>
      </c>
      <c r="E943">
        <f>IFERROR(AGGREGATE(15,6,ROW('Input Transaksi'!$B$5:$B$5000)/('Input Transaksi'!$B$5:$B$5000="JCL NUSA KAMBANGAN"),ROWS($E$5:E943)),"")</f>
        <v/>
      </c>
      <c r="F943" s="5" t="n"/>
    </row>
    <row r="944">
      <c r="A944" s="10">
        <f>IF($E944="","",INDEX('Input Transaksi'!$A:$A,$E944))</f>
        <v/>
      </c>
      <c r="B944" s="5">
        <f>IF($E944="","",INDEX('Input Transaksi'!$D:$D,$E944))</f>
        <v/>
      </c>
      <c r="C944">
        <f>IF($E944="","",INDEX('Input Transaksi'!$E:$E,$E944))</f>
        <v/>
      </c>
      <c r="D944" s="5">
        <f>IF($E944="","",INDEX('Input Transaksi'!$F:$F,$E944))</f>
        <v/>
      </c>
      <c r="E944">
        <f>IFERROR(AGGREGATE(15,6,ROW('Input Transaksi'!$B$5:$B$5000)/('Input Transaksi'!$B$5:$B$5000="JCL NUSA KAMBANGAN"),ROWS($E$5:E944)),"")</f>
        <v/>
      </c>
      <c r="F944" s="5" t="n"/>
    </row>
    <row r="945">
      <c r="A945" s="10">
        <f>IF($E945="","",INDEX('Input Transaksi'!$A:$A,$E945))</f>
        <v/>
      </c>
      <c r="B945" s="5">
        <f>IF($E945="","",INDEX('Input Transaksi'!$D:$D,$E945))</f>
        <v/>
      </c>
      <c r="C945">
        <f>IF($E945="","",INDEX('Input Transaksi'!$E:$E,$E945))</f>
        <v/>
      </c>
      <c r="D945" s="5">
        <f>IF($E945="","",INDEX('Input Transaksi'!$F:$F,$E945))</f>
        <v/>
      </c>
      <c r="E945">
        <f>IFERROR(AGGREGATE(15,6,ROW('Input Transaksi'!$B$5:$B$5000)/('Input Transaksi'!$B$5:$B$5000="JCL NUSA KAMBANGAN"),ROWS($E$5:E945)),"")</f>
        <v/>
      </c>
      <c r="F945" s="5" t="n"/>
    </row>
    <row r="946">
      <c r="A946" s="10">
        <f>IF($E946="","",INDEX('Input Transaksi'!$A:$A,$E946))</f>
        <v/>
      </c>
      <c r="B946" s="5">
        <f>IF($E946="","",INDEX('Input Transaksi'!$D:$D,$E946))</f>
        <v/>
      </c>
      <c r="C946">
        <f>IF($E946="","",INDEX('Input Transaksi'!$E:$E,$E946))</f>
        <v/>
      </c>
      <c r="D946" s="5">
        <f>IF($E946="","",INDEX('Input Transaksi'!$F:$F,$E946))</f>
        <v/>
      </c>
      <c r="E946">
        <f>IFERROR(AGGREGATE(15,6,ROW('Input Transaksi'!$B$5:$B$5000)/('Input Transaksi'!$B$5:$B$5000="JCL NUSA KAMBANGAN"),ROWS($E$5:E946)),"")</f>
        <v/>
      </c>
      <c r="F946" s="5" t="n"/>
    </row>
    <row r="947">
      <c r="A947" s="10">
        <f>IF($E947="","",INDEX('Input Transaksi'!$A:$A,$E947))</f>
        <v/>
      </c>
      <c r="B947" s="5">
        <f>IF($E947="","",INDEX('Input Transaksi'!$D:$D,$E947))</f>
        <v/>
      </c>
      <c r="C947">
        <f>IF($E947="","",INDEX('Input Transaksi'!$E:$E,$E947))</f>
        <v/>
      </c>
      <c r="D947" s="5">
        <f>IF($E947="","",INDEX('Input Transaksi'!$F:$F,$E947))</f>
        <v/>
      </c>
      <c r="E947">
        <f>IFERROR(AGGREGATE(15,6,ROW('Input Transaksi'!$B$5:$B$5000)/('Input Transaksi'!$B$5:$B$5000="JCL NUSA KAMBANGAN"),ROWS($E$5:E947)),"")</f>
        <v/>
      </c>
      <c r="F947" s="5" t="n"/>
    </row>
    <row r="948">
      <c r="A948" s="10">
        <f>IF($E948="","",INDEX('Input Transaksi'!$A:$A,$E948))</f>
        <v/>
      </c>
      <c r="B948" s="5">
        <f>IF($E948="","",INDEX('Input Transaksi'!$D:$D,$E948))</f>
        <v/>
      </c>
      <c r="C948">
        <f>IF($E948="","",INDEX('Input Transaksi'!$E:$E,$E948))</f>
        <v/>
      </c>
      <c r="D948" s="5">
        <f>IF($E948="","",INDEX('Input Transaksi'!$F:$F,$E948))</f>
        <v/>
      </c>
      <c r="E948">
        <f>IFERROR(AGGREGATE(15,6,ROW('Input Transaksi'!$B$5:$B$5000)/('Input Transaksi'!$B$5:$B$5000="JCL NUSA KAMBANGAN"),ROWS($E$5:E948)),"")</f>
        <v/>
      </c>
      <c r="F948" s="5" t="n"/>
    </row>
    <row r="949">
      <c r="A949" s="10">
        <f>IF($E949="","",INDEX('Input Transaksi'!$A:$A,$E949))</f>
        <v/>
      </c>
      <c r="B949" s="5">
        <f>IF($E949="","",INDEX('Input Transaksi'!$D:$D,$E949))</f>
        <v/>
      </c>
      <c r="C949">
        <f>IF($E949="","",INDEX('Input Transaksi'!$E:$E,$E949))</f>
        <v/>
      </c>
      <c r="D949" s="5">
        <f>IF($E949="","",INDEX('Input Transaksi'!$F:$F,$E949))</f>
        <v/>
      </c>
      <c r="E949">
        <f>IFERROR(AGGREGATE(15,6,ROW('Input Transaksi'!$B$5:$B$5000)/('Input Transaksi'!$B$5:$B$5000="JCL NUSA KAMBANGAN"),ROWS($E$5:E949)),"")</f>
        <v/>
      </c>
      <c r="F949" s="5" t="n"/>
    </row>
    <row r="950">
      <c r="A950" s="10">
        <f>IF($E950="","",INDEX('Input Transaksi'!$A:$A,$E950))</f>
        <v/>
      </c>
      <c r="B950" s="5">
        <f>IF($E950="","",INDEX('Input Transaksi'!$D:$D,$E950))</f>
        <v/>
      </c>
      <c r="C950">
        <f>IF($E950="","",INDEX('Input Transaksi'!$E:$E,$E950))</f>
        <v/>
      </c>
      <c r="D950" s="5">
        <f>IF($E950="","",INDEX('Input Transaksi'!$F:$F,$E950))</f>
        <v/>
      </c>
      <c r="E950">
        <f>IFERROR(AGGREGATE(15,6,ROW('Input Transaksi'!$B$5:$B$5000)/('Input Transaksi'!$B$5:$B$5000="JCL NUSA KAMBANGAN"),ROWS($E$5:E950)),"")</f>
        <v/>
      </c>
      <c r="F950" s="5" t="n"/>
    </row>
    <row r="951">
      <c r="A951" s="10">
        <f>IF($E951="","",INDEX('Input Transaksi'!$A:$A,$E951))</f>
        <v/>
      </c>
      <c r="B951" s="5">
        <f>IF($E951="","",INDEX('Input Transaksi'!$D:$D,$E951))</f>
        <v/>
      </c>
      <c r="C951">
        <f>IF($E951="","",INDEX('Input Transaksi'!$E:$E,$E951))</f>
        <v/>
      </c>
      <c r="D951" s="5">
        <f>IF($E951="","",INDEX('Input Transaksi'!$F:$F,$E951))</f>
        <v/>
      </c>
      <c r="E951">
        <f>IFERROR(AGGREGATE(15,6,ROW('Input Transaksi'!$B$5:$B$5000)/('Input Transaksi'!$B$5:$B$5000="JCL NUSA KAMBANGAN"),ROWS($E$5:E951)),"")</f>
        <v/>
      </c>
      <c r="F951" s="5" t="n"/>
    </row>
    <row r="952">
      <c r="A952" s="10">
        <f>IF($E952="","",INDEX('Input Transaksi'!$A:$A,$E952))</f>
        <v/>
      </c>
      <c r="B952" s="5">
        <f>IF($E952="","",INDEX('Input Transaksi'!$D:$D,$E952))</f>
        <v/>
      </c>
      <c r="C952">
        <f>IF($E952="","",INDEX('Input Transaksi'!$E:$E,$E952))</f>
        <v/>
      </c>
      <c r="D952" s="5">
        <f>IF($E952="","",INDEX('Input Transaksi'!$F:$F,$E952))</f>
        <v/>
      </c>
      <c r="E952">
        <f>IFERROR(AGGREGATE(15,6,ROW('Input Transaksi'!$B$5:$B$5000)/('Input Transaksi'!$B$5:$B$5000="JCL NUSA KAMBANGAN"),ROWS($E$5:E952)),"")</f>
        <v/>
      </c>
      <c r="F952" s="5" t="n"/>
    </row>
    <row r="953">
      <c r="A953" s="10">
        <f>IF($E953="","",INDEX('Input Transaksi'!$A:$A,$E953))</f>
        <v/>
      </c>
      <c r="B953" s="5">
        <f>IF($E953="","",INDEX('Input Transaksi'!$D:$D,$E953))</f>
        <v/>
      </c>
      <c r="C953">
        <f>IF($E953="","",INDEX('Input Transaksi'!$E:$E,$E953))</f>
        <v/>
      </c>
      <c r="D953" s="5">
        <f>IF($E953="","",INDEX('Input Transaksi'!$F:$F,$E953))</f>
        <v/>
      </c>
      <c r="E953">
        <f>IFERROR(AGGREGATE(15,6,ROW('Input Transaksi'!$B$5:$B$5000)/('Input Transaksi'!$B$5:$B$5000="JCL NUSA KAMBANGAN"),ROWS($E$5:E953)),"")</f>
        <v/>
      </c>
      <c r="F953" s="5" t="n"/>
    </row>
    <row r="954">
      <c r="A954" s="10">
        <f>IF($E954="","",INDEX('Input Transaksi'!$A:$A,$E954))</f>
        <v/>
      </c>
      <c r="B954" s="5">
        <f>IF($E954="","",INDEX('Input Transaksi'!$D:$D,$E954))</f>
        <v/>
      </c>
      <c r="C954">
        <f>IF($E954="","",INDEX('Input Transaksi'!$E:$E,$E954))</f>
        <v/>
      </c>
      <c r="D954" s="5">
        <f>IF($E954="","",INDEX('Input Transaksi'!$F:$F,$E954))</f>
        <v/>
      </c>
      <c r="E954">
        <f>IFERROR(AGGREGATE(15,6,ROW('Input Transaksi'!$B$5:$B$5000)/('Input Transaksi'!$B$5:$B$5000="JCL NUSA KAMBANGAN"),ROWS($E$5:E954)),"")</f>
        <v/>
      </c>
      <c r="F954" s="5" t="n"/>
    </row>
    <row r="955">
      <c r="A955" s="10">
        <f>IF($E955="","",INDEX('Input Transaksi'!$A:$A,$E955))</f>
        <v/>
      </c>
      <c r="B955" s="5">
        <f>IF($E955="","",INDEX('Input Transaksi'!$D:$D,$E955))</f>
        <v/>
      </c>
      <c r="C955">
        <f>IF($E955="","",INDEX('Input Transaksi'!$E:$E,$E955))</f>
        <v/>
      </c>
      <c r="D955" s="5">
        <f>IF($E955="","",INDEX('Input Transaksi'!$F:$F,$E955))</f>
        <v/>
      </c>
      <c r="E955">
        <f>IFERROR(AGGREGATE(15,6,ROW('Input Transaksi'!$B$5:$B$5000)/('Input Transaksi'!$B$5:$B$5000="JCL NUSA KAMBANGAN"),ROWS($E$5:E955)),"")</f>
        <v/>
      </c>
      <c r="F955" s="5" t="n"/>
    </row>
    <row r="956">
      <c r="A956" s="10">
        <f>IF($E956="","",INDEX('Input Transaksi'!$A:$A,$E956))</f>
        <v/>
      </c>
      <c r="B956" s="5">
        <f>IF($E956="","",INDEX('Input Transaksi'!$D:$D,$E956))</f>
        <v/>
      </c>
      <c r="C956">
        <f>IF($E956="","",INDEX('Input Transaksi'!$E:$E,$E956))</f>
        <v/>
      </c>
      <c r="D956" s="5">
        <f>IF($E956="","",INDEX('Input Transaksi'!$F:$F,$E956))</f>
        <v/>
      </c>
      <c r="E956">
        <f>IFERROR(AGGREGATE(15,6,ROW('Input Transaksi'!$B$5:$B$5000)/('Input Transaksi'!$B$5:$B$5000="JCL NUSA KAMBANGAN"),ROWS($E$5:E956)),"")</f>
        <v/>
      </c>
      <c r="F956" s="5" t="n"/>
    </row>
    <row r="957">
      <c r="A957" s="10">
        <f>IF($E957="","",INDEX('Input Transaksi'!$A:$A,$E957))</f>
        <v/>
      </c>
      <c r="B957" s="5">
        <f>IF($E957="","",INDEX('Input Transaksi'!$D:$D,$E957))</f>
        <v/>
      </c>
      <c r="C957">
        <f>IF($E957="","",INDEX('Input Transaksi'!$E:$E,$E957))</f>
        <v/>
      </c>
      <c r="D957" s="5">
        <f>IF($E957="","",INDEX('Input Transaksi'!$F:$F,$E957))</f>
        <v/>
      </c>
      <c r="E957">
        <f>IFERROR(AGGREGATE(15,6,ROW('Input Transaksi'!$B$5:$B$5000)/('Input Transaksi'!$B$5:$B$5000="JCL NUSA KAMBANGAN"),ROWS($E$5:E957)),"")</f>
        <v/>
      </c>
      <c r="F957" s="5" t="n"/>
    </row>
    <row r="958">
      <c r="A958" s="10">
        <f>IF($E958="","",INDEX('Input Transaksi'!$A:$A,$E958))</f>
        <v/>
      </c>
      <c r="B958" s="5">
        <f>IF($E958="","",INDEX('Input Transaksi'!$D:$D,$E958))</f>
        <v/>
      </c>
      <c r="C958">
        <f>IF($E958="","",INDEX('Input Transaksi'!$E:$E,$E958))</f>
        <v/>
      </c>
      <c r="D958" s="5">
        <f>IF($E958="","",INDEX('Input Transaksi'!$F:$F,$E958))</f>
        <v/>
      </c>
      <c r="E958">
        <f>IFERROR(AGGREGATE(15,6,ROW('Input Transaksi'!$B$5:$B$5000)/('Input Transaksi'!$B$5:$B$5000="JCL NUSA KAMBANGAN"),ROWS($E$5:E958)),"")</f>
        <v/>
      </c>
      <c r="F958" s="5" t="n"/>
    </row>
    <row r="959">
      <c r="A959" s="10">
        <f>IF($E959="","",INDEX('Input Transaksi'!$A:$A,$E959))</f>
        <v/>
      </c>
      <c r="B959" s="5">
        <f>IF($E959="","",INDEX('Input Transaksi'!$D:$D,$E959))</f>
        <v/>
      </c>
      <c r="C959">
        <f>IF($E959="","",INDEX('Input Transaksi'!$E:$E,$E959))</f>
        <v/>
      </c>
      <c r="D959" s="5">
        <f>IF($E959="","",INDEX('Input Transaksi'!$F:$F,$E959))</f>
        <v/>
      </c>
      <c r="E959">
        <f>IFERROR(AGGREGATE(15,6,ROW('Input Transaksi'!$B$5:$B$5000)/('Input Transaksi'!$B$5:$B$5000="JCL NUSA KAMBANGAN"),ROWS($E$5:E959)),"")</f>
        <v/>
      </c>
      <c r="F959" s="5" t="n"/>
    </row>
    <row r="960">
      <c r="A960" s="10">
        <f>IF($E960="","",INDEX('Input Transaksi'!$A:$A,$E960))</f>
        <v/>
      </c>
      <c r="B960" s="5">
        <f>IF($E960="","",INDEX('Input Transaksi'!$D:$D,$E960))</f>
        <v/>
      </c>
      <c r="C960">
        <f>IF($E960="","",INDEX('Input Transaksi'!$E:$E,$E960))</f>
        <v/>
      </c>
      <c r="D960" s="5">
        <f>IF($E960="","",INDEX('Input Transaksi'!$F:$F,$E960))</f>
        <v/>
      </c>
      <c r="E960">
        <f>IFERROR(AGGREGATE(15,6,ROW('Input Transaksi'!$B$5:$B$5000)/('Input Transaksi'!$B$5:$B$5000="JCL NUSA KAMBANGAN"),ROWS($E$5:E960)),"")</f>
        <v/>
      </c>
      <c r="F960" s="5" t="n"/>
    </row>
    <row r="961">
      <c r="A961" s="10">
        <f>IF($E961="","",INDEX('Input Transaksi'!$A:$A,$E961))</f>
        <v/>
      </c>
      <c r="B961" s="5">
        <f>IF($E961="","",INDEX('Input Transaksi'!$D:$D,$E961))</f>
        <v/>
      </c>
      <c r="C961">
        <f>IF($E961="","",INDEX('Input Transaksi'!$E:$E,$E961))</f>
        <v/>
      </c>
      <c r="D961" s="5">
        <f>IF($E961="","",INDEX('Input Transaksi'!$F:$F,$E961))</f>
        <v/>
      </c>
      <c r="E961">
        <f>IFERROR(AGGREGATE(15,6,ROW('Input Transaksi'!$B$5:$B$5000)/('Input Transaksi'!$B$5:$B$5000="JCL NUSA KAMBANGAN"),ROWS($E$5:E961)),"")</f>
        <v/>
      </c>
      <c r="F961" s="5" t="n"/>
    </row>
    <row r="962">
      <c r="A962" s="10">
        <f>IF($E962="","",INDEX('Input Transaksi'!$A:$A,$E962))</f>
        <v/>
      </c>
      <c r="B962" s="5">
        <f>IF($E962="","",INDEX('Input Transaksi'!$D:$D,$E962))</f>
        <v/>
      </c>
      <c r="C962">
        <f>IF($E962="","",INDEX('Input Transaksi'!$E:$E,$E962))</f>
        <v/>
      </c>
      <c r="D962" s="5">
        <f>IF($E962="","",INDEX('Input Transaksi'!$F:$F,$E962))</f>
        <v/>
      </c>
      <c r="E962">
        <f>IFERROR(AGGREGATE(15,6,ROW('Input Transaksi'!$B$5:$B$5000)/('Input Transaksi'!$B$5:$B$5000="JCL NUSA KAMBANGAN"),ROWS($E$5:E962)),"")</f>
        <v/>
      </c>
      <c r="F962" s="5" t="n"/>
    </row>
    <row r="963">
      <c r="A963" s="10">
        <f>IF($E963="","",INDEX('Input Transaksi'!$A:$A,$E963))</f>
        <v/>
      </c>
      <c r="B963" s="5">
        <f>IF($E963="","",INDEX('Input Transaksi'!$D:$D,$E963))</f>
        <v/>
      </c>
      <c r="C963">
        <f>IF($E963="","",INDEX('Input Transaksi'!$E:$E,$E963))</f>
        <v/>
      </c>
      <c r="D963" s="5">
        <f>IF($E963="","",INDEX('Input Transaksi'!$F:$F,$E963))</f>
        <v/>
      </c>
      <c r="E963">
        <f>IFERROR(AGGREGATE(15,6,ROW('Input Transaksi'!$B$5:$B$5000)/('Input Transaksi'!$B$5:$B$5000="JCL NUSA KAMBANGAN"),ROWS($E$5:E963)),"")</f>
        <v/>
      </c>
      <c r="F963" s="5" t="n"/>
    </row>
    <row r="964">
      <c r="A964" s="10">
        <f>IF($E964="","",INDEX('Input Transaksi'!$A:$A,$E964))</f>
        <v/>
      </c>
      <c r="B964" s="5">
        <f>IF($E964="","",INDEX('Input Transaksi'!$D:$D,$E964))</f>
        <v/>
      </c>
      <c r="C964">
        <f>IF($E964="","",INDEX('Input Transaksi'!$E:$E,$E964))</f>
        <v/>
      </c>
      <c r="D964" s="5">
        <f>IF($E964="","",INDEX('Input Transaksi'!$F:$F,$E964))</f>
        <v/>
      </c>
      <c r="E964">
        <f>IFERROR(AGGREGATE(15,6,ROW('Input Transaksi'!$B$5:$B$5000)/('Input Transaksi'!$B$5:$B$5000="JCL NUSA KAMBANGAN"),ROWS($E$5:E964)),"")</f>
        <v/>
      </c>
      <c r="F964" s="5" t="n"/>
    </row>
    <row r="965">
      <c r="A965" s="10">
        <f>IF($E965="","",INDEX('Input Transaksi'!$A:$A,$E965))</f>
        <v/>
      </c>
      <c r="B965" s="5">
        <f>IF($E965="","",INDEX('Input Transaksi'!$D:$D,$E965))</f>
        <v/>
      </c>
      <c r="C965">
        <f>IF($E965="","",INDEX('Input Transaksi'!$E:$E,$E965))</f>
        <v/>
      </c>
      <c r="D965" s="5">
        <f>IF($E965="","",INDEX('Input Transaksi'!$F:$F,$E965))</f>
        <v/>
      </c>
      <c r="E965">
        <f>IFERROR(AGGREGATE(15,6,ROW('Input Transaksi'!$B$5:$B$5000)/('Input Transaksi'!$B$5:$B$5000="JCL NUSA KAMBANGAN"),ROWS($E$5:E965)),"")</f>
        <v/>
      </c>
      <c r="F965" s="5" t="n"/>
    </row>
    <row r="966">
      <c r="A966" s="10">
        <f>IF($E966="","",INDEX('Input Transaksi'!$A:$A,$E966))</f>
        <v/>
      </c>
      <c r="B966" s="5">
        <f>IF($E966="","",INDEX('Input Transaksi'!$D:$D,$E966))</f>
        <v/>
      </c>
      <c r="C966">
        <f>IF($E966="","",INDEX('Input Transaksi'!$E:$E,$E966))</f>
        <v/>
      </c>
      <c r="D966" s="5">
        <f>IF($E966="","",INDEX('Input Transaksi'!$F:$F,$E966))</f>
        <v/>
      </c>
      <c r="E966">
        <f>IFERROR(AGGREGATE(15,6,ROW('Input Transaksi'!$B$5:$B$5000)/('Input Transaksi'!$B$5:$B$5000="JCL NUSA KAMBANGAN"),ROWS($E$5:E966)),"")</f>
        <v/>
      </c>
      <c r="F966" s="5" t="n"/>
    </row>
    <row r="967">
      <c r="A967" s="10">
        <f>IF($E967="","",INDEX('Input Transaksi'!$A:$A,$E967))</f>
        <v/>
      </c>
      <c r="B967" s="5">
        <f>IF($E967="","",INDEX('Input Transaksi'!$D:$D,$E967))</f>
        <v/>
      </c>
      <c r="C967">
        <f>IF($E967="","",INDEX('Input Transaksi'!$E:$E,$E967))</f>
        <v/>
      </c>
      <c r="D967" s="5">
        <f>IF($E967="","",INDEX('Input Transaksi'!$F:$F,$E967))</f>
        <v/>
      </c>
      <c r="E967">
        <f>IFERROR(AGGREGATE(15,6,ROW('Input Transaksi'!$B$5:$B$5000)/('Input Transaksi'!$B$5:$B$5000="JCL NUSA KAMBANGAN"),ROWS($E$5:E967)),"")</f>
        <v/>
      </c>
      <c r="F967" s="5" t="n"/>
    </row>
    <row r="968">
      <c r="A968" s="10">
        <f>IF($E968="","",INDEX('Input Transaksi'!$A:$A,$E968))</f>
        <v/>
      </c>
      <c r="B968" s="5">
        <f>IF($E968="","",INDEX('Input Transaksi'!$D:$D,$E968))</f>
        <v/>
      </c>
      <c r="C968">
        <f>IF($E968="","",INDEX('Input Transaksi'!$E:$E,$E968))</f>
        <v/>
      </c>
      <c r="D968" s="5">
        <f>IF($E968="","",INDEX('Input Transaksi'!$F:$F,$E968))</f>
        <v/>
      </c>
      <c r="E968">
        <f>IFERROR(AGGREGATE(15,6,ROW('Input Transaksi'!$B$5:$B$5000)/('Input Transaksi'!$B$5:$B$5000="JCL NUSA KAMBANGAN"),ROWS($E$5:E968)),"")</f>
        <v/>
      </c>
      <c r="F968" s="5" t="n"/>
    </row>
    <row r="969">
      <c r="A969" s="10">
        <f>IF($E969="","",INDEX('Input Transaksi'!$A:$A,$E969))</f>
        <v/>
      </c>
      <c r="B969" s="5">
        <f>IF($E969="","",INDEX('Input Transaksi'!$D:$D,$E969))</f>
        <v/>
      </c>
      <c r="C969">
        <f>IF($E969="","",INDEX('Input Transaksi'!$E:$E,$E969))</f>
        <v/>
      </c>
      <c r="D969" s="5">
        <f>IF($E969="","",INDEX('Input Transaksi'!$F:$F,$E969))</f>
        <v/>
      </c>
      <c r="E969">
        <f>IFERROR(AGGREGATE(15,6,ROW('Input Transaksi'!$B$5:$B$5000)/('Input Transaksi'!$B$5:$B$5000="JCL NUSA KAMBANGAN"),ROWS($E$5:E969)),"")</f>
        <v/>
      </c>
      <c r="F969" s="5" t="n"/>
    </row>
    <row r="970">
      <c r="A970" s="10">
        <f>IF($E970="","",INDEX('Input Transaksi'!$A:$A,$E970))</f>
        <v/>
      </c>
      <c r="B970" s="5">
        <f>IF($E970="","",INDEX('Input Transaksi'!$D:$D,$E970))</f>
        <v/>
      </c>
      <c r="C970">
        <f>IF($E970="","",INDEX('Input Transaksi'!$E:$E,$E970))</f>
        <v/>
      </c>
      <c r="D970" s="5">
        <f>IF($E970="","",INDEX('Input Transaksi'!$F:$F,$E970))</f>
        <v/>
      </c>
      <c r="E970">
        <f>IFERROR(AGGREGATE(15,6,ROW('Input Transaksi'!$B$5:$B$5000)/('Input Transaksi'!$B$5:$B$5000="JCL NUSA KAMBANGAN"),ROWS($E$5:E970)),"")</f>
        <v/>
      </c>
      <c r="F970" s="5" t="n"/>
    </row>
    <row r="971">
      <c r="A971" s="10">
        <f>IF($E971="","",INDEX('Input Transaksi'!$A:$A,$E971))</f>
        <v/>
      </c>
      <c r="B971" s="5">
        <f>IF($E971="","",INDEX('Input Transaksi'!$D:$D,$E971))</f>
        <v/>
      </c>
      <c r="C971">
        <f>IF($E971="","",INDEX('Input Transaksi'!$E:$E,$E971))</f>
        <v/>
      </c>
      <c r="D971" s="5">
        <f>IF($E971="","",INDEX('Input Transaksi'!$F:$F,$E971))</f>
        <v/>
      </c>
      <c r="E971">
        <f>IFERROR(AGGREGATE(15,6,ROW('Input Transaksi'!$B$5:$B$5000)/('Input Transaksi'!$B$5:$B$5000="JCL NUSA KAMBANGAN"),ROWS($E$5:E971)),"")</f>
        <v/>
      </c>
      <c r="F971" s="5" t="n"/>
    </row>
    <row r="972">
      <c r="A972" s="10">
        <f>IF($E972="","",INDEX('Input Transaksi'!$A:$A,$E972))</f>
        <v/>
      </c>
      <c r="B972" s="5">
        <f>IF($E972="","",INDEX('Input Transaksi'!$D:$D,$E972))</f>
        <v/>
      </c>
      <c r="C972">
        <f>IF($E972="","",INDEX('Input Transaksi'!$E:$E,$E972))</f>
        <v/>
      </c>
      <c r="D972" s="5">
        <f>IF($E972="","",INDEX('Input Transaksi'!$F:$F,$E972))</f>
        <v/>
      </c>
      <c r="E972">
        <f>IFERROR(AGGREGATE(15,6,ROW('Input Transaksi'!$B$5:$B$5000)/('Input Transaksi'!$B$5:$B$5000="JCL NUSA KAMBANGAN"),ROWS($E$5:E972)),"")</f>
        <v/>
      </c>
      <c r="F972" s="5" t="n"/>
    </row>
    <row r="973">
      <c r="A973" s="10">
        <f>IF($E973="","",INDEX('Input Transaksi'!$A:$A,$E973))</f>
        <v/>
      </c>
      <c r="B973" s="5">
        <f>IF($E973="","",INDEX('Input Transaksi'!$D:$D,$E973))</f>
        <v/>
      </c>
      <c r="C973">
        <f>IF($E973="","",INDEX('Input Transaksi'!$E:$E,$E973))</f>
        <v/>
      </c>
      <c r="D973" s="5">
        <f>IF($E973="","",INDEX('Input Transaksi'!$F:$F,$E973))</f>
        <v/>
      </c>
      <c r="E973">
        <f>IFERROR(AGGREGATE(15,6,ROW('Input Transaksi'!$B$5:$B$5000)/('Input Transaksi'!$B$5:$B$5000="JCL NUSA KAMBANGAN"),ROWS($E$5:E973)),"")</f>
        <v/>
      </c>
      <c r="F973" s="5" t="n"/>
    </row>
    <row r="974">
      <c r="A974" s="10">
        <f>IF($E974="","",INDEX('Input Transaksi'!$A:$A,$E974))</f>
        <v/>
      </c>
      <c r="B974" s="5">
        <f>IF($E974="","",INDEX('Input Transaksi'!$D:$D,$E974))</f>
        <v/>
      </c>
      <c r="C974">
        <f>IF($E974="","",INDEX('Input Transaksi'!$E:$E,$E974))</f>
        <v/>
      </c>
      <c r="D974" s="5">
        <f>IF($E974="","",INDEX('Input Transaksi'!$F:$F,$E974))</f>
        <v/>
      </c>
      <c r="E974">
        <f>IFERROR(AGGREGATE(15,6,ROW('Input Transaksi'!$B$5:$B$5000)/('Input Transaksi'!$B$5:$B$5000="JCL NUSA KAMBANGAN"),ROWS($E$5:E974)),"")</f>
        <v/>
      </c>
      <c r="F974" s="5" t="n"/>
    </row>
    <row r="975">
      <c r="A975" s="10">
        <f>IF($E975="","",INDEX('Input Transaksi'!$A:$A,$E975))</f>
        <v/>
      </c>
      <c r="B975" s="5">
        <f>IF($E975="","",INDEX('Input Transaksi'!$D:$D,$E975))</f>
        <v/>
      </c>
      <c r="C975">
        <f>IF($E975="","",INDEX('Input Transaksi'!$E:$E,$E975))</f>
        <v/>
      </c>
      <c r="D975" s="5">
        <f>IF($E975="","",INDEX('Input Transaksi'!$F:$F,$E975))</f>
        <v/>
      </c>
      <c r="E975">
        <f>IFERROR(AGGREGATE(15,6,ROW('Input Transaksi'!$B$5:$B$5000)/('Input Transaksi'!$B$5:$B$5000="JCL NUSA KAMBANGAN"),ROWS($E$5:E975)),"")</f>
        <v/>
      </c>
      <c r="F975" s="5" t="n"/>
    </row>
    <row r="976">
      <c r="A976" s="10">
        <f>IF($E976="","",INDEX('Input Transaksi'!$A:$A,$E976))</f>
        <v/>
      </c>
      <c r="B976" s="5">
        <f>IF($E976="","",INDEX('Input Transaksi'!$D:$D,$E976))</f>
        <v/>
      </c>
      <c r="C976">
        <f>IF($E976="","",INDEX('Input Transaksi'!$E:$E,$E976))</f>
        <v/>
      </c>
      <c r="D976" s="5">
        <f>IF($E976="","",INDEX('Input Transaksi'!$F:$F,$E976))</f>
        <v/>
      </c>
      <c r="E976">
        <f>IFERROR(AGGREGATE(15,6,ROW('Input Transaksi'!$B$5:$B$5000)/('Input Transaksi'!$B$5:$B$5000="JCL NUSA KAMBANGAN"),ROWS($E$5:E976)),"")</f>
        <v/>
      </c>
      <c r="F976" s="5" t="n"/>
    </row>
    <row r="977">
      <c r="A977" s="10">
        <f>IF($E977="","",INDEX('Input Transaksi'!$A:$A,$E977))</f>
        <v/>
      </c>
      <c r="B977" s="5">
        <f>IF($E977="","",INDEX('Input Transaksi'!$D:$D,$E977))</f>
        <v/>
      </c>
      <c r="C977">
        <f>IF($E977="","",INDEX('Input Transaksi'!$E:$E,$E977))</f>
        <v/>
      </c>
      <c r="D977" s="5">
        <f>IF($E977="","",INDEX('Input Transaksi'!$F:$F,$E977))</f>
        <v/>
      </c>
      <c r="E977">
        <f>IFERROR(AGGREGATE(15,6,ROW('Input Transaksi'!$B$5:$B$5000)/('Input Transaksi'!$B$5:$B$5000="JCL NUSA KAMBANGAN"),ROWS($E$5:E977)),"")</f>
        <v/>
      </c>
      <c r="F977" s="5" t="n"/>
    </row>
    <row r="978">
      <c r="A978" s="10">
        <f>IF($E978="","",INDEX('Input Transaksi'!$A:$A,$E978))</f>
        <v/>
      </c>
      <c r="B978" s="5">
        <f>IF($E978="","",INDEX('Input Transaksi'!$D:$D,$E978))</f>
        <v/>
      </c>
      <c r="C978">
        <f>IF($E978="","",INDEX('Input Transaksi'!$E:$E,$E978))</f>
        <v/>
      </c>
      <c r="D978" s="5">
        <f>IF($E978="","",INDEX('Input Transaksi'!$F:$F,$E978))</f>
        <v/>
      </c>
      <c r="E978">
        <f>IFERROR(AGGREGATE(15,6,ROW('Input Transaksi'!$B$5:$B$5000)/('Input Transaksi'!$B$5:$B$5000="JCL NUSA KAMBANGAN"),ROWS($E$5:E978)),"")</f>
        <v/>
      </c>
      <c r="F978" s="5" t="n"/>
    </row>
    <row r="979">
      <c r="A979" s="10">
        <f>IF($E979="","",INDEX('Input Transaksi'!$A:$A,$E979))</f>
        <v/>
      </c>
      <c r="B979" s="5">
        <f>IF($E979="","",INDEX('Input Transaksi'!$D:$D,$E979))</f>
        <v/>
      </c>
      <c r="C979">
        <f>IF($E979="","",INDEX('Input Transaksi'!$E:$E,$E979))</f>
        <v/>
      </c>
      <c r="D979" s="5">
        <f>IF($E979="","",INDEX('Input Transaksi'!$F:$F,$E979))</f>
        <v/>
      </c>
      <c r="E979">
        <f>IFERROR(AGGREGATE(15,6,ROW('Input Transaksi'!$B$5:$B$5000)/('Input Transaksi'!$B$5:$B$5000="JCL NUSA KAMBANGAN"),ROWS($E$5:E979)),"")</f>
        <v/>
      </c>
      <c r="F979" s="5" t="n"/>
    </row>
    <row r="980">
      <c r="A980" s="10">
        <f>IF($E980="","",INDEX('Input Transaksi'!$A:$A,$E980))</f>
        <v/>
      </c>
      <c r="B980" s="5">
        <f>IF($E980="","",INDEX('Input Transaksi'!$D:$D,$E980))</f>
        <v/>
      </c>
      <c r="C980">
        <f>IF($E980="","",INDEX('Input Transaksi'!$E:$E,$E980))</f>
        <v/>
      </c>
      <c r="D980" s="5">
        <f>IF($E980="","",INDEX('Input Transaksi'!$F:$F,$E980))</f>
        <v/>
      </c>
      <c r="E980">
        <f>IFERROR(AGGREGATE(15,6,ROW('Input Transaksi'!$B$5:$B$5000)/('Input Transaksi'!$B$5:$B$5000="JCL NUSA KAMBANGAN"),ROWS($E$5:E980)),"")</f>
        <v/>
      </c>
      <c r="F980" s="5" t="n"/>
    </row>
    <row r="981">
      <c r="A981" s="10">
        <f>IF($E981="","",INDEX('Input Transaksi'!$A:$A,$E981))</f>
        <v/>
      </c>
      <c r="B981" s="5">
        <f>IF($E981="","",INDEX('Input Transaksi'!$D:$D,$E981))</f>
        <v/>
      </c>
      <c r="C981">
        <f>IF($E981="","",INDEX('Input Transaksi'!$E:$E,$E981))</f>
        <v/>
      </c>
      <c r="D981" s="5">
        <f>IF($E981="","",INDEX('Input Transaksi'!$F:$F,$E981))</f>
        <v/>
      </c>
      <c r="E981">
        <f>IFERROR(AGGREGATE(15,6,ROW('Input Transaksi'!$B$5:$B$5000)/('Input Transaksi'!$B$5:$B$5000="JCL NUSA KAMBANGAN"),ROWS($E$5:E981)),"")</f>
        <v/>
      </c>
      <c r="F981" s="5" t="n"/>
    </row>
    <row r="982">
      <c r="A982" s="10">
        <f>IF($E982="","",INDEX('Input Transaksi'!$A:$A,$E982))</f>
        <v/>
      </c>
      <c r="B982" s="5">
        <f>IF($E982="","",INDEX('Input Transaksi'!$D:$D,$E982))</f>
        <v/>
      </c>
      <c r="C982">
        <f>IF($E982="","",INDEX('Input Transaksi'!$E:$E,$E982))</f>
        <v/>
      </c>
      <c r="D982" s="5">
        <f>IF($E982="","",INDEX('Input Transaksi'!$F:$F,$E982))</f>
        <v/>
      </c>
      <c r="E982">
        <f>IFERROR(AGGREGATE(15,6,ROW('Input Transaksi'!$B$5:$B$5000)/('Input Transaksi'!$B$5:$B$5000="JCL NUSA KAMBANGAN"),ROWS($E$5:E982)),"")</f>
        <v/>
      </c>
      <c r="F982" s="5" t="n"/>
    </row>
    <row r="983">
      <c r="A983" s="10">
        <f>IF($E983="","",INDEX('Input Transaksi'!$A:$A,$E983))</f>
        <v/>
      </c>
      <c r="B983" s="5">
        <f>IF($E983="","",INDEX('Input Transaksi'!$D:$D,$E983))</f>
        <v/>
      </c>
      <c r="C983">
        <f>IF($E983="","",INDEX('Input Transaksi'!$E:$E,$E983))</f>
        <v/>
      </c>
      <c r="D983" s="5">
        <f>IF($E983="","",INDEX('Input Transaksi'!$F:$F,$E983))</f>
        <v/>
      </c>
      <c r="E983">
        <f>IFERROR(AGGREGATE(15,6,ROW('Input Transaksi'!$B$5:$B$5000)/('Input Transaksi'!$B$5:$B$5000="JCL NUSA KAMBANGAN"),ROWS($E$5:E983)),"")</f>
        <v/>
      </c>
      <c r="F983" s="5" t="n"/>
    </row>
    <row r="984">
      <c r="A984" s="10">
        <f>IF($E984="","",INDEX('Input Transaksi'!$A:$A,$E984))</f>
        <v/>
      </c>
      <c r="B984" s="5">
        <f>IF($E984="","",INDEX('Input Transaksi'!$D:$D,$E984))</f>
        <v/>
      </c>
      <c r="C984">
        <f>IF($E984="","",INDEX('Input Transaksi'!$E:$E,$E984))</f>
        <v/>
      </c>
      <c r="D984" s="5">
        <f>IF($E984="","",INDEX('Input Transaksi'!$F:$F,$E984))</f>
        <v/>
      </c>
      <c r="E984">
        <f>IFERROR(AGGREGATE(15,6,ROW('Input Transaksi'!$B$5:$B$5000)/('Input Transaksi'!$B$5:$B$5000="JCL NUSA KAMBANGAN"),ROWS($E$5:E984)),"")</f>
        <v/>
      </c>
      <c r="F984" s="5" t="n"/>
    </row>
    <row r="985">
      <c r="A985" s="10">
        <f>IF($E985="","",INDEX('Input Transaksi'!$A:$A,$E985))</f>
        <v/>
      </c>
      <c r="B985" s="5">
        <f>IF($E985="","",INDEX('Input Transaksi'!$D:$D,$E985))</f>
        <v/>
      </c>
      <c r="C985">
        <f>IF($E985="","",INDEX('Input Transaksi'!$E:$E,$E985))</f>
        <v/>
      </c>
      <c r="D985" s="5">
        <f>IF($E985="","",INDEX('Input Transaksi'!$F:$F,$E985))</f>
        <v/>
      </c>
      <c r="E985">
        <f>IFERROR(AGGREGATE(15,6,ROW('Input Transaksi'!$B$5:$B$5000)/('Input Transaksi'!$B$5:$B$5000="JCL NUSA KAMBANGAN"),ROWS($E$5:E985)),"")</f>
        <v/>
      </c>
      <c r="F985" s="5" t="n"/>
    </row>
    <row r="986">
      <c r="A986" s="10">
        <f>IF($E986="","",INDEX('Input Transaksi'!$A:$A,$E986))</f>
        <v/>
      </c>
      <c r="B986" s="5">
        <f>IF($E986="","",INDEX('Input Transaksi'!$D:$D,$E986))</f>
        <v/>
      </c>
      <c r="C986">
        <f>IF($E986="","",INDEX('Input Transaksi'!$E:$E,$E986))</f>
        <v/>
      </c>
      <c r="D986" s="5">
        <f>IF($E986="","",INDEX('Input Transaksi'!$F:$F,$E986))</f>
        <v/>
      </c>
      <c r="E986">
        <f>IFERROR(AGGREGATE(15,6,ROW('Input Transaksi'!$B$5:$B$5000)/('Input Transaksi'!$B$5:$B$5000="JCL NUSA KAMBANGAN"),ROWS($E$5:E986)),"")</f>
        <v/>
      </c>
      <c r="F986" s="5" t="n"/>
    </row>
    <row r="987">
      <c r="A987" s="10">
        <f>IF($E987="","",INDEX('Input Transaksi'!$A:$A,$E987))</f>
        <v/>
      </c>
      <c r="B987" s="5">
        <f>IF($E987="","",INDEX('Input Transaksi'!$D:$D,$E987))</f>
        <v/>
      </c>
      <c r="C987">
        <f>IF($E987="","",INDEX('Input Transaksi'!$E:$E,$E987))</f>
        <v/>
      </c>
      <c r="D987" s="5">
        <f>IF($E987="","",INDEX('Input Transaksi'!$F:$F,$E987))</f>
        <v/>
      </c>
      <c r="E987">
        <f>IFERROR(AGGREGATE(15,6,ROW('Input Transaksi'!$B$5:$B$5000)/('Input Transaksi'!$B$5:$B$5000="JCL NUSA KAMBANGAN"),ROWS($E$5:E987)),"")</f>
        <v/>
      </c>
      <c r="F987" s="5" t="n"/>
    </row>
    <row r="988">
      <c r="A988" s="10">
        <f>IF($E988="","",INDEX('Input Transaksi'!$A:$A,$E988))</f>
        <v/>
      </c>
      <c r="B988" s="5">
        <f>IF($E988="","",INDEX('Input Transaksi'!$D:$D,$E988))</f>
        <v/>
      </c>
      <c r="C988">
        <f>IF($E988="","",INDEX('Input Transaksi'!$E:$E,$E988))</f>
        <v/>
      </c>
      <c r="D988" s="5">
        <f>IF($E988="","",INDEX('Input Transaksi'!$F:$F,$E988))</f>
        <v/>
      </c>
      <c r="E988">
        <f>IFERROR(AGGREGATE(15,6,ROW('Input Transaksi'!$B$5:$B$5000)/('Input Transaksi'!$B$5:$B$5000="JCL NUSA KAMBANGAN"),ROWS($E$5:E988)),"")</f>
        <v/>
      </c>
      <c r="F988" s="5" t="n"/>
    </row>
    <row r="989">
      <c r="A989" s="10">
        <f>IF($E989="","",INDEX('Input Transaksi'!$A:$A,$E989))</f>
        <v/>
      </c>
      <c r="B989" s="5">
        <f>IF($E989="","",INDEX('Input Transaksi'!$D:$D,$E989))</f>
        <v/>
      </c>
      <c r="C989">
        <f>IF($E989="","",INDEX('Input Transaksi'!$E:$E,$E989))</f>
        <v/>
      </c>
      <c r="D989" s="5">
        <f>IF($E989="","",INDEX('Input Transaksi'!$F:$F,$E989))</f>
        <v/>
      </c>
      <c r="E989">
        <f>IFERROR(AGGREGATE(15,6,ROW('Input Transaksi'!$B$5:$B$5000)/('Input Transaksi'!$B$5:$B$5000="JCL NUSA KAMBANGAN"),ROWS($E$5:E989)),"")</f>
        <v/>
      </c>
      <c r="F989" s="5" t="n"/>
    </row>
    <row r="990">
      <c r="A990" s="10">
        <f>IF($E990="","",INDEX('Input Transaksi'!$A:$A,$E990))</f>
        <v/>
      </c>
      <c r="B990" s="5">
        <f>IF($E990="","",INDEX('Input Transaksi'!$D:$D,$E990))</f>
        <v/>
      </c>
      <c r="C990">
        <f>IF($E990="","",INDEX('Input Transaksi'!$E:$E,$E990))</f>
        <v/>
      </c>
      <c r="D990" s="5">
        <f>IF($E990="","",INDEX('Input Transaksi'!$F:$F,$E990))</f>
        <v/>
      </c>
      <c r="E990">
        <f>IFERROR(AGGREGATE(15,6,ROW('Input Transaksi'!$B$5:$B$5000)/('Input Transaksi'!$B$5:$B$5000="JCL NUSA KAMBANGAN"),ROWS($E$5:E990)),"")</f>
        <v/>
      </c>
      <c r="F990" s="5" t="n"/>
    </row>
    <row r="991">
      <c r="A991" s="10">
        <f>IF($E991="","",INDEX('Input Transaksi'!$A:$A,$E991))</f>
        <v/>
      </c>
      <c r="B991" s="5">
        <f>IF($E991="","",INDEX('Input Transaksi'!$D:$D,$E991))</f>
        <v/>
      </c>
      <c r="C991">
        <f>IF($E991="","",INDEX('Input Transaksi'!$E:$E,$E991))</f>
        <v/>
      </c>
      <c r="D991" s="5">
        <f>IF($E991="","",INDEX('Input Transaksi'!$F:$F,$E991))</f>
        <v/>
      </c>
      <c r="E991">
        <f>IFERROR(AGGREGATE(15,6,ROW('Input Transaksi'!$B$5:$B$5000)/('Input Transaksi'!$B$5:$B$5000="JCL NUSA KAMBANGAN"),ROWS($E$5:E991)),"")</f>
        <v/>
      </c>
      <c r="F991" s="5" t="n"/>
    </row>
    <row r="992">
      <c r="A992" s="10">
        <f>IF($E992="","",INDEX('Input Transaksi'!$A:$A,$E992))</f>
        <v/>
      </c>
      <c r="B992" s="5">
        <f>IF($E992="","",INDEX('Input Transaksi'!$D:$D,$E992))</f>
        <v/>
      </c>
      <c r="C992">
        <f>IF($E992="","",INDEX('Input Transaksi'!$E:$E,$E992))</f>
        <v/>
      </c>
      <c r="D992" s="5">
        <f>IF($E992="","",INDEX('Input Transaksi'!$F:$F,$E992))</f>
        <v/>
      </c>
      <c r="E992">
        <f>IFERROR(AGGREGATE(15,6,ROW('Input Transaksi'!$B$5:$B$5000)/('Input Transaksi'!$B$5:$B$5000="JCL NUSA KAMBANGAN"),ROWS($E$5:E992)),"")</f>
        <v/>
      </c>
      <c r="F992" s="5" t="n"/>
    </row>
    <row r="993">
      <c r="A993" s="10">
        <f>IF($E993="","",INDEX('Input Transaksi'!$A:$A,$E993))</f>
        <v/>
      </c>
      <c r="B993" s="5">
        <f>IF($E993="","",INDEX('Input Transaksi'!$D:$D,$E993))</f>
        <v/>
      </c>
      <c r="C993">
        <f>IF($E993="","",INDEX('Input Transaksi'!$E:$E,$E993))</f>
        <v/>
      </c>
      <c r="D993" s="5">
        <f>IF($E993="","",INDEX('Input Transaksi'!$F:$F,$E993))</f>
        <v/>
      </c>
      <c r="E993">
        <f>IFERROR(AGGREGATE(15,6,ROW('Input Transaksi'!$B$5:$B$5000)/('Input Transaksi'!$B$5:$B$5000="JCL NUSA KAMBANGAN"),ROWS($E$5:E993)),"")</f>
        <v/>
      </c>
      <c r="F993" s="5" t="n"/>
    </row>
    <row r="994">
      <c r="A994" s="10">
        <f>IF($E994="","",INDEX('Input Transaksi'!$A:$A,$E994))</f>
        <v/>
      </c>
      <c r="B994" s="5">
        <f>IF($E994="","",INDEX('Input Transaksi'!$D:$D,$E994))</f>
        <v/>
      </c>
      <c r="C994">
        <f>IF($E994="","",INDEX('Input Transaksi'!$E:$E,$E994))</f>
        <v/>
      </c>
      <c r="D994" s="5">
        <f>IF($E994="","",INDEX('Input Transaksi'!$F:$F,$E994))</f>
        <v/>
      </c>
      <c r="E994">
        <f>IFERROR(AGGREGATE(15,6,ROW('Input Transaksi'!$B$5:$B$5000)/('Input Transaksi'!$B$5:$B$5000="JCL NUSA KAMBANGAN"),ROWS($E$5:E994)),"")</f>
        <v/>
      </c>
      <c r="F994" s="5" t="n"/>
    </row>
    <row r="995">
      <c r="A995" s="10">
        <f>IF($E995="","",INDEX('Input Transaksi'!$A:$A,$E995))</f>
        <v/>
      </c>
      <c r="B995" s="5">
        <f>IF($E995="","",INDEX('Input Transaksi'!$D:$D,$E995))</f>
        <v/>
      </c>
      <c r="C995">
        <f>IF($E995="","",INDEX('Input Transaksi'!$E:$E,$E995))</f>
        <v/>
      </c>
      <c r="D995" s="5">
        <f>IF($E995="","",INDEX('Input Transaksi'!$F:$F,$E995))</f>
        <v/>
      </c>
      <c r="E995">
        <f>IFERROR(AGGREGATE(15,6,ROW('Input Transaksi'!$B$5:$B$5000)/('Input Transaksi'!$B$5:$B$5000="JCL NUSA KAMBANGAN"),ROWS($E$5:E995)),"")</f>
        <v/>
      </c>
      <c r="F995" s="5" t="n"/>
    </row>
    <row r="996">
      <c r="A996" s="10">
        <f>IF($E996="","",INDEX('Input Transaksi'!$A:$A,$E996))</f>
        <v/>
      </c>
      <c r="B996" s="5">
        <f>IF($E996="","",INDEX('Input Transaksi'!$D:$D,$E996))</f>
        <v/>
      </c>
      <c r="C996">
        <f>IF($E996="","",INDEX('Input Transaksi'!$E:$E,$E996))</f>
        <v/>
      </c>
      <c r="D996" s="5">
        <f>IF($E996="","",INDEX('Input Transaksi'!$F:$F,$E996))</f>
        <v/>
      </c>
      <c r="E996">
        <f>IFERROR(AGGREGATE(15,6,ROW('Input Transaksi'!$B$5:$B$5000)/('Input Transaksi'!$B$5:$B$5000="JCL NUSA KAMBANGAN"),ROWS($E$5:E996)),"")</f>
        <v/>
      </c>
      <c r="F996" s="5" t="n"/>
    </row>
    <row r="997">
      <c r="A997" s="10">
        <f>IF($E997="","",INDEX('Input Transaksi'!$A:$A,$E997))</f>
        <v/>
      </c>
      <c r="B997" s="5">
        <f>IF($E997="","",INDEX('Input Transaksi'!$D:$D,$E997))</f>
        <v/>
      </c>
      <c r="C997">
        <f>IF($E997="","",INDEX('Input Transaksi'!$E:$E,$E997))</f>
        <v/>
      </c>
      <c r="D997" s="5">
        <f>IF($E997="","",INDEX('Input Transaksi'!$F:$F,$E997))</f>
        <v/>
      </c>
      <c r="E997">
        <f>IFERROR(AGGREGATE(15,6,ROW('Input Transaksi'!$B$5:$B$5000)/('Input Transaksi'!$B$5:$B$5000="JCL NUSA KAMBANGAN"),ROWS($E$5:E997)),"")</f>
        <v/>
      </c>
      <c r="F997" s="5" t="n"/>
    </row>
    <row r="998">
      <c r="A998" s="10">
        <f>IF($E998="","",INDEX('Input Transaksi'!$A:$A,$E998))</f>
        <v/>
      </c>
      <c r="B998" s="5">
        <f>IF($E998="","",INDEX('Input Transaksi'!$D:$D,$E998))</f>
        <v/>
      </c>
      <c r="C998">
        <f>IF($E998="","",INDEX('Input Transaksi'!$E:$E,$E998))</f>
        <v/>
      </c>
      <c r="D998" s="5">
        <f>IF($E998="","",INDEX('Input Transaksi'!$F:$F,$E998))</f>
        <v/>
      </c>
      <c r="E998">
        <f>IFERROR(AGGREGATE(15,6,ROW('Input Transaksi'!$B$5:$B$5000)/('Input Transaksi'!$B$5:$B$5000="JCL NUSA KAMBANGAN"),ROWS($E$5:E998)),"")</f>
        <v/>
      </c>
      <c r="F998" s="5" t="n"/>
    </row>
    <row r="999">
      <c r="A999" s="10">
        <f>IF($E999="","",INDEX('Input Transaksi'!$A:$A,$E999))</f>
        <v/>
      </c>
      <c r="B999" s="5">
        <f>IF($E999="","",INDEX('Input Transaksi'!$D:$D,$E999))</f>
        <v/>
      </c>
      <c r="C999">
        <f>IF($E999="","",INDEX('Input Transaksi'!$E:$E,$E999))</f>
        <v/>
      </c>
      <c r="D999" s="5">
        <f>IF($E999="","",INDEX('Input Transaksi'!$F:$F,$E999))</f>
        <v/>
      </c>
      <c r="E999">
        <f>IFERROR(AGGREGATE(15,6,ROW('Input Transaksi'!$B$5:$B$5000)/('Input Transaksi'!$B$5:$B$5000="JCL NUSA KAMBANGAN"),ROWS($E$5:E999)),"")</f>
        <v/>
      </c>
      <c r="F999" s="5" t="n"/>
    </row>
    <row r="1000">
      <c r="A1000" s="10">
        <f>IF($E1000="","",INDEX('Input Transaksi'!$A:$A,$E1000))</f>
        <v/>
      </c>
      <c r="B1000" s="5">
        <f>IF($E1000="","",INDEX('Input Transaksi'!$D:$D,$E1000))</f>
        <v/>
      </c>
      <c r="C1000">
        <f>IF($E1000="","",INDEX('Input Transaksi'!$E:$E,$E1000))</f>
        <v/>
      </c>
      <c r="D1000" s="5">
        <f>IF($E1000="","",INDEX('Input Transaksi'!$F:$F,$E1000))</f>
        <v/>
      </c>
      <c r="E1000">
        <f>IFERROR(AGGREGATE(15,6,ROW('Input Transaksi'!$B$5:$B$5000)/('Input Transaksi'!$B$5:$B$5000="JCL NUSA KAMBANGAN"),ROWS($E$5:E1000)),"")</f>
        <v/>
      </c>
      <c r="F1000" s="5" t="n"/>
    </row>
  </sheetData>
  <autoFilter ref="A4:D1000"/>
  <mergeCells count="1">
    <mergeCell ref="A1:E1"/>
  </mergeCells>
  <hyperlinks>
    <hyperlink ref="F1" location="'Beranda'!A1" display="Kembali ke Beranda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000"/>
  <sheetViews>
    <sheetView workbookViewId="0">
      <pane ySplit="4" topLeftCell="A5" activePane="bottomLeft" state="frozen"/>
      <selection pane="bottomLeft" activeCell="A1" sqref="A1"/>
    </sheetView>
  </sheetViews>
  <sheetFormatPr baseColWidth="10" defaultColWidth="8.83203125" defaultRowHeight="15"/>
  <cols>
    <col width="16" customWidth="1" min="1" max="1"/>
    <col width="22" customWidth="1" min="2" max="2"/>
    <col width="12" customWidth="1" min="3" max="3"/>
    <col width="26" customWidth="1" min="4" max="4"/>
    <col hidden="1" width="12.6640625" customWidth="1" min="5" max="5"/>
    <col width="16" customWidth="1" min="6" max="6"/>
    <col hidden="1" width="13" customWidth="1" min="7" max="7"/>
  </cols>
  <sheetData>
    <row r="1" ht="24" customHeight="1">
      <c r="A1" s="11" t="inlineStr">
        <is>
          <t>JCL MERPATI</t>
        </is>
      </c>
      <c r="F1" s="3" t="inlineStr">
        <is>
          <t>Kembali ke Beranda</t>
        </is>
      </c>
    </row>
    <row r="2">
      <c r="A2" s="13" t="inlineStr">
        <is>
          <t>Wilayah</t>
        </is>
      </c>
      <c r="B2" s="13" t="inlineStr">
        <is>
          <t>BARAT</t>
        </is>
      </c>
      <c r="C2" s="13" t="inlineStr">
        <is>
          <t>Total Qty</t>
        </is>
      </c>
      <c r="D2" s="2">
        <f>SUMIFS('Input Transaksi'!$E$5:$E$5000,'Input Transaksi'!$B$5:$B$5000,"JCL MERPATI")</f>
        <v/>
      </c>
      <c r="E2" s="13" t="inlineStr">
        <is>
          <t>Jumlah Transaksi</t>
        </is>
      </c>
      <c r="F2" s="2">
        <f>COUNTIF('Input Transaksi'!$B$5:$B$5000,"JCL MERPATI")</f>
        <v/>
      </c>
    </row>
    <row r="3"/>
    <row r="4">
      <c r="A4" s="4" t="inlineStr">
        <is>
          <t>Tanggal</t>
        </is>
      </c>
      <c r="B4" s="4" t="inlineStr">
        <is>
          <t>Item</t>
        </is>
      </c>
      <c r="C4" s="4" t="inlineStr">
        <is>
          <t>Qty Keluar</t>
        </is>
      </c>
      <c r="D4" s="4" t="inlineStr">
        <is>
          <t>Catatan</t>
        </is>
      </c>
      <c r="E4" t="inlineStr">
        <is>
          <t>RowRef</t>
        </is>
      </c>
      <c r="F4" s="4" t="n"/>
    </row>
    <row r="5">
      <c r="A5" s="10">
        <f>IF($E5="","",INDEX('Input Transaksi'!$A:$A,$E5))</f>
        <v/>
      </c>
      <c r="B5" s="5">
        <f>IF($E5="","",INDEX('Input Transaksi'!$D:$D,$E5))</f>
        <v/>
      </c>
      <c r="C5">
        <f>IF($E5="","",INDEX('Input Transaksi'!$E:$E,$E5))</f>
        <v/>
      </c>
      <c r="D5" s="5">
        <f>IF($E5="","",INDEX('Input Transaksi'!$F:$F,$E5))</f>
        <v/>
      </c>
      <c r="E5">
        <f>IFERROR(AGGREGATE(15,6,ROW('Input Transaksi'!$B$5:$B$5000)/('Input Transaksi'!$B$5:$B$5000="JCL MERPATI"),ROWS($E$5:E5)),"")</f>
        <v/>
      </c>
      <c r="F5" s="5" t="n"/>
    </row>
    <row r="6">
      <c r="A6" s="10">
        <f>IF($E6="","",INDEX('Input Transaksi'!$A:$A,$E6))</f>
        <v/>
      </c>
      <c r="B6" s="5">
        <f>IF($E6="","",INDEX('Input Transaksi'!$D:$D,$E6))</f>
        <v/>
      </c>
      <c r="C6">
        <f>IF($E6="","",INDEX('Input Transaksi'!$E:$E,$E6))</f>
        <v/>
      </c>
      <c r="D6" s="5">
        <f>IF($E6="","",INDEX('Input Transaksi'!$F:$F,$E6))</f>
        <v/>
      </c>
      <c r="E6">
        <f>IFERROR(AGGREGATE(15,6,ROW('Input Transaksi'!$B$5:$B$5000)/('Input Transaksi'!$B$5:$B$5000="JCL MERPATI"),ROWS($E$5:E6)),"")</f>
        <v/>
      </c>
      <c r="F6" s="5" t="n"/>
    </row>
    <row r="7">
      <c r="A7" s="10">
        <f>IF($E7="","",INDEX('Input Transaksi'!$A:$A,$E7))</f>
        <v/>
      </c>
      <c r="B7" s="5">
        <f>IF($E7="","",INDEX('Input Transaksi'!$D:$D,$E7))</f>
        <v/>
      </c>
      <c r="C7">
        <f>IF($E7="","",INDEX('Input Transaksi'!$E:$E,$E7))</f>
        <v/>
      </c>
      <c r="D7" s="5">
        <f>IF($E7="","",INDEX('Input Transaksi'!$F:$F,$E7))</f>
        <v/>
      </c>
      <c r="E7">
        <f>IFERROR(AGGREGATE(15,6,ROW('Input Transaksi'!$B$5:$B$5000)/('Input Transaksi'!$B$5:$B$5000="JCL MERPATI"),ROWS($E$5:E7)),"")</f>
        <v/>
      </c>
      <c r="F7" s="5" t="n"/>
    </row>
    <row r="8">
      <c r="A8" s="10">
        <f>IF($E8="","",INDEX('Input Transaksi'!$A:$A,$E8))</f>
        <v/>
      </c>
      <c r="B8" s="5">
        <f>IF($E8="","",INDEX('Input Transaksi'!$D:$D,$E8))</f>
        <v/>
      </c>
      <c r="C8">
        <f>IF($E8="","",INDEX('Input Transaksi'!$E:$E,$E8))</f>
        <v/>
      </c>
      <c r="D8" s="5">
        <f>IF($E8="","",INDEX('Input Transaksi'!$F:$F,$E8))</f>
        <v/>
      </c>
      <c r="E8">
        <f>IFERROR(AGGREGATE(15,6,ROW('Input Transaksi'!$B$5:$B$5000)/('Input Transaksi'!$B$5:$B$5000="JCL MERPATI"),ROWS($E$5:E8)),"")</f>
        <v/>
      </c>
      <c r="F8" s="5" t="n"/>
    </row>
    <row r="9">
      <c r="A9" s="10">
        <f>IF($E9="","",INDEX('Input Transaksi'!$A:$A,$E9))</f>
        <v/>
      </c>
      <c r="B9" s="5">
        <f>IF($E9="","",INDEX('Input Transaksi'!$D:$D,$E9))</f>
        <v/>
      </c>
      <c r="C9">
        <f>IF($E9="","",INDEX('Input Transaksi'!$E:$E,$E9))</f>
        <v/>
      </c>
      <c r="D9" s="5">
        <f>IF($E9="","",INDEX('Input Transaksi'!$F:$F,$E9))</f>
        <v/>
      </c>
      <c r="E9">
        <f>IFERROR(AGGREGATE(15,6,ROW('Input Transaksi'!$B$5:$B$5000)/('Input Transaksi'!$B$5:$B$5000="JCL MERPATI"),ROWS($E$5:E9)),"")</f>
        <v/>
      </c>
      <c r="F9" s="5" t="n"/>
    </row>
    <row r="10">
      <c r="A10" s="10">
        <f>IF($E10="","",INDEX('Input Transaksi'!$A:$A,$E10))</f>
        <v/>
      </c>
      <c r="B10" s="5">
        <f>IF($E10="","",INDEX('Input Transaksi'!$D:$D,$E10))</f>
        <v/>
      </c>
      <c r="C10">
        <f>IF($E10="","",INDEX('Input Transaksi'!$E:$E,$E10))</f>
        <v/>
      </c>
      <c r="D10" s="5">
        <f>IF($E10="","",INDEX('Input Transaksi'!$F:$F,$E10))</f>
        <v/>
      </c>
      <c r="E10">
        <f>IFERROR(AGGREGATE(15,6,ROW('Input Transaksi'!$B$5:$B$5000)/('Input Transaksi'!$B$5:$B$5000="JCL MERPATI"),ROWS($E$5:E10)),"")</f>
        <v/>
      </c>
      <c r="F10" s="5" t="n"/>
    </row>
    <row r="11">
      <c r="A11" s="10">
        <f>IF($E11="","",INDEX('Input Transaksi'!$A:$A,$E11))</f>
        <v/>
      </c>
      <c r="B11" s="5">
        <f>IF($E11="","",INDEX('Input Transaksi'!$D:$D,$E11))</f>
        <v/>
      </c>
      <c r="C11">
        <f>IF($E11="","",INDEX('Input Transaksi'!$E:$E,$E11))</f>
        <v/>
      </c>
      <c r="D11" s="5">
        <f>IF($E11="","",INDEX('Input Transaksi'!$F:$F,$E11))</f>
        <v/>
      </c>
      <c r="E11">
        <f>IFERROR(AGGREGATE(15,6,ROW('Input Transaksi'!$B$5:$B$5000)/('Input Transaksi'!$B$5:$B$5000="JCL MERPATI"),ROWS($E$5:E11)),"")</f>
        <v/>
      </c>
      <c r="F11" s="5" t="n"/>
    </row>
    <row r="12">
      <c r="A12" s="10">
        <f>IF($E12="","",INDEX('Input Transaksi'!$A:$A,$E12))</f>
        <v/>
      </c>
      <c r="B12" s="5">
        <f>IF($E12="","",INDEX('Input Transaksi'!$D:$D,$E12))</f>
        <v/>
      </c>
      <c r="C12">
        <f>IF($E12="","",INDEX('Input Transaksi'!$E:$E,$E12))</f>
        <v/>
      </c>
      <c r="D12" s="5">
        <f>IF($E12="","",INDEX('Input Transaksi'!$F:$F,$E12))</f>
        <v/>
      </c>
      <c r="E12">
        <f>IFERROR(AGGREGATE(15,6,ROW('Input Transaksi'!$B$5:$B$5000)/('Input Transaksi'!$B$5:$B$5000="JCL MERPATI"),ROWS($E$5:E12)),"")</f>
        <v/>
      </c>
      <c r="F12" s="5" t="n"/>
    </row>
    <row r="13">
      <c r="A13" s="10">
        <f>IF($E13="","",INDEX('Input Transaksi'!$A:$A,$E13))</f>
        <v/>
      </c>
      <c r="B13" s="5">
        <f>IF($E13="","",INDEX('Input Transaksi'!$D:$D,$E13))</f>
        <v/>
      </c>
      <c r="C13">
        <f>IF($E13="","",INDEX('Input Transaksi'!$E:$E,$E13))</f>
        <v/>
      </c>
      <c r="D13" s="5">
        <f>IF($E13="","",INDEX('Input Transaksi'!$F:$F,$E13))</f>
        <v/>
      </c>
      <c r="E13">
        <f>IFERROR(AGGREGATE(15,6,ROW('Input Transaksi'!$B$5:$B$5000)/('Input Transaksi'!$B$5:$B$5000="JCL MERPATI"),ROWS($E$5:E13)),"")</f>
        <v/>
      </c>
      <c r="F13" s="5" t="n"/>
    </row>
    <row r="14">
      <c r="A14" s="10">
        <f>IF($E14="","",INDEX('Input Transaksi'!$A:$A,$E14))</f>
        <v/>
      </c>
      <c r="B14" s="5">
        <f>IF($E14="","",INDEX('Input Transaksi'!$D:$D,$E14))</f>
        <v/>
      </c>
      <c r="C14">
        <f>IF($E14="","",INDEX('Input Transaksi'!$E:$E,$E14))</f>
        <v/>
      </c>
      <c r="D14" s="5">
        <f>IF($E14="","",INDEX('Input Transaksi'!$F:$F,$E14))</f>
        <v/>
      </c>
      <c r="E14">
        <f>IFERROR(AGGREGATE(15,6,ROW('Input Transaksi'!$B$5:$B$5000)/('Input Transaksi'!$B$5:$B$5000="JCL MERPATI"),ROWS($E$5:E14)),"")</f>
        <v/>
      </c>
      <c r="F14" s="5" t="n"/>
    </row>
    <row r="15">
      <c r="A15" s="10">
        <f>IF($E15="","",INDEX('Input Transaksi'!$A:$A,$E15))</f>
        <v/>
      </c>
      <c r="B15" s="5">
        <f>IF($E15="","",INDEX('Input Transaksi'!$D:$D,$E15))</f>
        <v/>
      </c>
      <c r="C15">
        <f>IF($E15="","",INDEX('Input Transaksi'!$E:$E,$E15))</f>
        <v/>
      </c>
      <c r="D15" s="5">
        <f>IF($E15="","",INDEX('Input Transaksi'!$F:$F,$E15))</f>
        <v/>
      </c>
      <c r="E15">
        <f>IFERROR(AGGREGATE(15,6,ROW('Input Transaksi'!$B$5:$B$5000)/('Input Transaksi'!$B$5:$B$5000="JCL MERPATI"),ROWS($E$5:E15)),"")</f>
        <v/>
      </c>
      <c r="F15" s="5" t="n"/>
    </row>
    <row r="16">
      <c r="A16" s="10">
        <f>IF($E16="","",INDEX('Input Transaksi'!$A:$A,$E16))</f>
        <v/>
      </c>
      <c r="B16" s="5">
        <f>IF($E16="","",INDEX('Input Transaksi'!$D:$D,$E16))</f>
        <v/>
      </c>
      <c r="C16">
        <f>IF($E16="","",INDEX('Input Transaksi'!$E:$E,$E16))</f>
        <v/>
      </c>
      <c r="D16" s="5">
        <f>IF($E16="","",INDEX('Input Transaksi'!$F:$F,$E16))</f>
        <v/>
      </c>
      <c r="E16">
        <f>IFERROR(AGGREGATE(15,6,ROW('Input Transaksi'!$B$5:$B$5000)/('Input Transaksi'!$B$5:$B$5000="JCL MERPATI"),ROWS($E$5:E16)),"")</f>
        <v/>
      </c>
      <c r="F16" s="5" t="n"/>
    </row>
    <row r="17">
      <c r="A17" s="10">
        <f>IF($E17="","",INDEX('Input Transaksi'!$A:$A,$E17))</f>
        <v/>
      </c>
      <c r="B17" s="5">
        <f>IF($E17="","",INDEX('Input Transaksi'!$D:$D,$E17))</f>
        <v/>
      </c>
      <c r="C17">
        <f>IF($E17="","",INDEX('Input Transaksi'!$E:$E,$E17))</f>
        <v/>
      </c>
      <c r="D17" s="5">
        <f>IF($E17="","",INDEX('Input Transaksi'!$F:$F,$E17))</f>
        <v/>
      </c>
      <c r="E17">
        <f>IFERROR(AGGREGATE(15,6,ROW('Input Transaksi'!$B$5:$B$5000)/('Input Transaksi'!$B$5:$B$5000="JCL MERPATI"),ROWS($E$5:E17)),"")</f>
        <v/>
      </c>
      <c r="F17" s="5" t="n"/>
    </row>
    <row r="18">
      <c r="A18" s="10">
        <f>IF($E18="","",INDEX('Input Transaksi'!$A:$A,$E18))</f>
        <v/>
      </c>
      <c r="B18" s="5">
        <f>IF($E18="","",INDEX('Input Transaksi'!$D:$D,$E18))</f>
        <v/>
      </c>
      <c r="C18">
        <f>IF($E18="","",INDEX('Input Transaksi'!$E:$E,$E18))</f>
        <v/>
      </c>
      <c r="D18" s="5">
        <f>IF($E18="","",INDEX('Input Transaksi'!$F:$F,$E18))</f>
        <v/>
      </c>
      <c r="E18">
        <f>IFERROR(AGGREGATE(15,6,ROW('Input Transaksi'!$B$5:$B$5000)/('Input Transaksi'!$B$5:$B$5000="JCL MERPATI"),ROWS($E$5:E18)),"")</f>
        <v/>
      </c>
      <c r="F18" s="5" t="n"/>
    </row>
    <row r="19">
      <c r="A19" s="10">
        <f>IF($E19="","",INDEX('Input Transaksi'!$A:$A,$E19))</f>
        <v/>
      </c>
      <c r="B19" s="5">
        <f>IF($E19="","",INDEX('Input Transaksi'!$D:$D,$E19))</f>
        <v/>
      </c>
      <c r="C19">
        <f>IF($E19="","",INDEX('Input Transaksi'!$E:$E,$E19))</f>
        <v/>
      </c>
      <c r="D19" s="5">
        <f>IF($E19="","",INDEX('Input Transaksi'!$F:$F,$E19))</f>
        <v/>
      </c>
      <c r="E19">
        <f>IFERROR(AGGREGATE(15,6,ROW('Input Transaksi'!$B$5:$B$5000)/('Input Transaksi'!$B$5:$B$5000="JCL MERPATI"),ROWS($E$5:E19)),"")</f>
        <v/>
      </c>
      <c r="F19" s="5" t="n"/>
    </row>
    <row r="20">
      <c r="A20" s="10">
        <f>IF($E20="","",INDEX('Input Transaksi'!$A:$A,$E20))</f>
        <v/>
      </c>
      <c r="B20" s="5">
        <f>IF($E20="","",INDEX('Input Transaksi'!$D:$D,$E20))</f>
        <v/>
      </c>
      <c r="C20">
        <f>IF($E20="","",INDEX('Input Transaksi'!$E:$E,$E20))</f>
        <v/>
      </c>
      <c r="D20" s="5">
        <f>IF($E20="","",INDEX('Input Transaksi'!$F:$F,$E20))</f>
        <v/>
      </c>
      <c r="E20">
        <f>IFERROR(AGGREGATE(15,6,ROW('Input Transaksi'!$B$5:$B$5000)/('Input Transaksi'!$B$5:$B$5000="JCL MERPATI"),ROWS($E$5:E20)),"")</f>
        <v/>
      </c>
      <c r="F20" s="5" t="n"/>
    </row>
    <row r="21">
      <c r="A21" s="10">
        <f>IF($E21="","",INDEX('Input Transaksi'!$A:$A,$E21))</f>
        <v/>
      </c>
      <c r="B21" s="5">
        <f>IF($E21="","",INDEX('Input Transaksi'!$D:$D,$E21))</f>
        <v/>
      </c>
      <c r="C21">
        <f>IF($E21="","",INDEX('Input Transaksi'!$E:$E,$E21))</f>
        <v/>
      </c>
      <c r="D21" s="5">
        <f>IF($E21="","",INDEX('Input Transaksi'!$F:$F,$E21))</f>
        <v/>
      </c>
      <c r="E21">
        <f>IFERROR(AGGREGATE(15,6,ROW('Input Transaksi'!$B$5:$B$5000)/('Input Transaksi'!$B$5:$B$5000="JCL MERPATI"),ROWS($E$5:E21)),"")</f>
        <v/>
      </c>
      <c r="F21" s="5" t="n"/>
    </row>
    <row r="22">
      <c r="A22" s="10">
        <f>IF($E22="","",INDEX('Input Transaksi'!$A:$A,$E22))</f>
        <v/>
      </c>
      <c r="B22" s="5">
        <f>IF($E22="","",INDEX('Input Transaksi'!$D:$D,$E22))</f>
        <v/>
      </c>
      <c r="C22">
        <f>IF($E22="","",INDEX('Input Transaksi'!$E:$E,$E22))</f>
        <v/>
      </c>
      <c r="D22" s="5">
        <f>IF($E22="","",INDEX('Input Transaksi'!$F:$F,$E22))</f>
        <v/>
      </c>
      <c r="E22">
        <f>IFERROR(AGGREGATE(15,6,ROW('Input Transaksi'!$B$5:$B$5000)/('Input Transaksi'!$B$5:$B$5000="JCL MERPATI"),ROWS($E$5:E22)),"")</f>
        <v/>
      </c>
      <c r="F22" s="5" t="n"/>
    </row>
    <row r="23">
      <c r="A23" s="10">
        <f>IF($E23="","",INDEX('Input Transaksi'!$A:$A,$E23))</f>
        <v/>
      </c>
      <c r="B23" s="5">
        <f>IF($E23="","",INDEX('Input Transaksi'!$D:$D,$E23))</f>
        <v/>
      </c>
      <c r="C23">
        <f>IF($E23="","",INDEX('Input Transaksi'!$E:$E,$E23))</f>
        <v/>
      </c>
      <c r="D23" s="5">
        <f>IF($E23="","",INDEX('Input Transaksi'!$F:$F,$E23))</f>
        <v/>
      </c>
      <c r="E23">
        <f>IFERROR(AGGREGATE(15,6,ROW('Input Transaksi'!$B$5:$B$5000)/('Input Transaksi'!$B$5:$B$5000="JCL MERPATI"),ROWS($E$5:E23)),"")</f>
        <v/>
      </c>
      <c r="F23" s="5" t="n"/>
    </row>
    <row r="24">
      <c r="A24" s="10">
        <f>IF($E24="","",INDEX('Input Transaksi'!$A:$A,$E24))</f>
        <v/>
      </c>
      <c r="B24" s="5">
        <f>IF($E24="","",INDEX('Input Transaksi'!$D:$D,$E24))</f>
        <v/>
      </c>
      <c r="C24">
        <f>IF($E24="","",INDEX('Input Transaksi'!$E:$E,$E24))</f>
        <v/>
      </c>
      <c r="D24" s="5">
        <f>IF($E24="","",INDEX('Input Transaksi'!$F:$F,$E24))</f>
        <v/>
      </c>
      <c r="E24">
        <f>IFERROR(AGGREGATE(15,6,ROW('Input Transaksi'!$B$5:$B$5000)/('Input Transaksi'!$B$5:$B$5000="JCL MERPATI"),ROWS($E$5:E24)),"")</f>
        <v/>
      </c>
      <c r="F24" s="5" t="n"/>
    </row>
    <row r="25">
      <c r="A25" s="10">
        <f>IF($E25="","",INDEX('Input Transaksi'!$A:$A,$E25))</f>
        <v/>
      </c>
      <c r="B25" s="5">
        <f>IF($E25="","",INDEX('Input Transaksi'!$D:$D,$E25))</f>
        <v/>
      </c>
      <c r="C25">
        <f>IF($E25="","",INDEX('Input Transaksi'!$E:$E,$E25))</f>
        <v/>
      </c>
      <c r="D25" s="5">
        <f>IF($E25="","",INDEX('Input Transaksi'!$F:$F,$E25))</f>
        <v/>
      </c>
      <c r="E25">
        <f>IFERROR(AGGREGATE(15,6,ROW('Input Transaksi'!$B$5:$B$5000)/('Input Transaksi'!$B$5:$B$5000="JCL MERPATI"),ROWS($E$5:E25)),"")</f>
        <v/>
      </c>
      <c r="F25" s="5" t="n"/>
    </row>
    <row r="26">
      <c r="A26" s="10">
        <f>IF($E26="","",INDEX('Input Transaksi'!$A:$A,$E26))</f>
        <v/>
      </c>
      <c r="B26" s="5">
        <f>IF($E26="","",INDEX('Input Transaksi'!$D:$D,$E26))</f>
        <v/>
      </c>
      <c r="C26">
        <f>IF($E26="","",INDEX('Input Transaksi'!$E:$E,$E26))</f>
        <v/>
      </c>
      <c r="D26" s="5">
        <f>IF($E26="","",INDEX('Input Transaksi'!$F:$F,$E26))</f>
        <v/>
      </c>
      <c r="E26">
        <f>IFERROR(AGGREGATE(15,6,ROW('Input Transaksi'!$B$5:$B$5000)/('Input Transaksi'!$B$5:$B$5000="JCL MERPATI"),ROWS($E$5:E26)),"")</f>
        <v/>
      </c>
      <c r="F26" s="5" t="n"/>
    </row>
    <row r="27">
      <c r="A27" s="10">
        <f>IF($E27="","",INDEX('Input Transaksi'!$A:$A,$E27))</f>
        <v/>
      </c>
      <c r="B27" s="5">
        <f>IF($E27="","",INDEX('Input Transaksi'!$D:$D,$E27))</f>
        <v/>
      </c>
      <c r="C27">
        <f>IF($E27="","",INDEX('Input Transaksi'!$E:$E,$E27))</f>
        <v/>
      </c>
      <c r="D27" s="5">
        <f>IF($E27="","",INDEX('Input Transaksi'!$F:$F,$E27))</f>
        <v/>
      </c>
      <c r="E27">
        <f>IFERROR(AGGREGATE(15,6,ROW('Input Transaksi'!$B$5:$B$5000)/('Input Transaksi'!$B$5:$B$5000="JCL MERPATI"),ROWS($E$5:E27)),"")</f>
        <v/>
      </c>
      <c r="F27" s="5" t="n"/>
    </row>
    <row r="28">
      <c r="A28" s="10">
        <f>IF($E28="","",INDEX('Input Transaksi'!$A:$A,$E28))</f>
        <v/>
      </c>
      <c r="B28" s="5">
        <f>IF($E28="","",INDEX('Input Transaksi'!$D:$D,$E28))</f>
        <v/>
      </c>
      <c r="C28">
        <f>IF($E28="","",INDEX('Input Transaksi'!$E:$E,$E28))</f>
        <v/>
      </c>
      <c r="D28" s="5">
        <f>IF($E28="","",INDEX('Input Transaksi'!$F:$F,$E28))</f>
        <v/>
      </c>
      <c r="E28">
        <f>IFERROR(AGGREGATE(15,6,ROW('Input Transaksi'!$B$5:$B$5000)/('Input Transaksi'!$B$5:$B$5000="JCL MERPATI"),ROWS($E$5:E28)),"")</f>
        <v/>
      </c>
      <c r="F28" s="5" t="n"/>
    </row>
    <row r="29">
      <c r="A29" s="10">
        <f>IF($E29="","",INDEX('Input Transaksi'!$A:$A,$E29))</f>
        <v/>
      </c>
      <c r="B29" s="5">
        <f>IF($E29="","",INDEX('Input Transaksi'!$D:$D,$E29))</f>
        <v/>
      </c>
      <c r="C29">
        <f>IF($E29="","",INDEX('Input Transaksi'!$E:$E,$E29))</f>
        <v/>
      </c>
      <c r="D29" s="5">
        <f>IF($E29="","",INDEX('Input Transaksi'!$F:$F,$E29))</f>
        <v/>
      </c>
      <c r="E29">
        <f>IFERROR(AGGREGATE(15,6,ROW('Input Transaksi'!$B$5:$B$5000)/('Input Transaksi'!$B$5:$B$5000="JCL MERPATI"),ROWS($E$5:E29)),"")</f>
        <v/>
      </c>
      <c r="F29" s="5" t="n"/>
    </row>
    <row r="30">
      <c r="A30" s="10">
        <f>IF($E30="","",INDEX('Input Transaksi'!$A:$A,$E30))</f>
        <v/>
      </c>
      <c r="B30" s="5">
        <f>IF($E30="","",INDEX('Input Transaksi'!$D:$D,$E30))</f>
        <v/>
      </c>
      <c r="C30">
        <f>IF($E30="","",INDEX('Input Transaksi'!$E:$E,$E30))</f>
        <v/>
      </c>
      <c r="D30" s="5">
        <f>IF($E30="","",INDEX('Input Transaksi'!$F:$F,$E30))</f>
        <v/>
      </c>
      <c r="E30">
        <f>IFERROR(AGGREGATE(15,6,ROW('Input Transaksi'!$B$5:$B$5000)/('Input Transaksi'!$B$5:$B$5000="JCL MERPATI"),ROWS($E$5:E30)),"")</f>
        <v/>
      </c>
      <c r="F30" s="5" t="n"/>
    </row>
    <row r="31">
      <c r="A31" s="10">
        <f>IF($E31="","",INDEX('Input Transaksi'!$A:$A,$E31))</f>
        <v/>
      </c>
      <c r="B31" s="5">
        <f>IF($E31="","",INDEX('Input Transaksi'!$D:$D,$E31))</f>
        <v/>
      </c>
      <c r="C31">
        <f>IF($E31="","",INDEX('Input Transaksi'!$E:$E,$E31))</f>
        <v/>
      </c>
      <c r="D31" s="5">
        <f>IF($E31="","",INDEX('Input Transaksi'!$F:$F,$E31))</f>
        <v/>
      </c>
      <c r="E31">
        <f>IFERROR(AGGREGATE(15,6,ROW('Input Transaksi'!$B$5:$B$5000)/('Input Transaksi'!$B$5:$B$5000="JCL MERPATI"),ROWS($E$5:E31)),"")</f>
        <v/>
      </c>
      <c r="F31" s="5" t="n"/>
    </row>
    <row r="32">
      <c r="A32" s="10">
        <f>IF($E32="","",INDEX('Input Transaksi'!$A:$A,$E32))</f>
        <v/>
      </c>
      <c r="B32" s="5">
        <f>IF($E32="","",INDEX('Input Transaksi'!$D:$D,$E32))</f>
        <v/>
      </c>
      <c r="C32">
        <f>IF($E32="","",INDEX('Input Transaksi'!$E:$E,$E32))</f>
        <v/>
      </c>
      <c r="D32" s="5">
        <f>IF($E32="","",INDEX('Input Transaksi'!$F:$F,$E32))</f>
        <v/>
      </c>
      <c r="E32">
        <f>IFERROR(AGGREGATE(15,6,ROW('Input Transaksi'!$B$5:$B$5000)/('Input Transaksi'!$B$5:$B$5000="JCL MERPATI"),ROWS($E$5:E32)),"")</f>
        <v/>
      </c>
      <c r="F32" s="5" t="n"/>
    </row>
    <row r="33">
      <c r="A33" s="10">
        <f>IF($E33="","",INDEX('Input Transaksi'!$A:$A,$E33))</f>
        <v/>
      </c>
      <c r="B33" s="5">
        <f>IF($E33="","",INDEX('Input Transaksi'!$D:$D,$E33))</f>
        <v/>
      </c>
      <c r="C33">
        <f>IF($E33="","",INDEX('Input Transaksi'!$E:$E,$E33))</f>
        <v/>
      </c>
      <c r="D33" s="5">
        <f>IF($E33="","",INDEX('Input Transaksi'!$F:$F,$E33))</f>
        <v/>
      </c>
      <c r="E33">
        <f>IFERROR(AGGREGATE(15,6,ROW('Input Transaksi'!$B$5:$B$5000)/('Input Transaksi'!$B$5:$B$5000="JCL MERPATI"),ROWS($E$5:E33)),"")</f>
        <v/>
      </c>
      <c r="F33" s="5" t="n"/>
    </row>
    <row r="34">
      <c r="A34" s="10">
        <f>IF($E34="","",INDEX('Input Transaksi'!$A:$A,$E34))</f>
        <v/>
      </c>
      <c r="B34" s="5">
        <f>IF($E34="","",INDEX('Input Transaksi'!$D:$D,$E34))</f>
        <v/>
      </c>
      <c r="C34">
        <f>IF($E34="","",INDEX('Input Transaksi'!$E:$E,$E34))</f>
        <v/>
      </c>
      <c r="D34" s="5">
        <f>IF($E34="","",INDEX('Input Transaksi'!$F:$F,$E34))</f>
        <v/>
      </c>
      <c r="E34">
        <f>IFERROR(AGGREGATE(15,6,ROW('Input Transaksi'!$B$5:$B$5000)/('Input Transaksi'!$B$5:$B$5000="JCL MERPATI"),ROWS($E$5:E34)),"")</f>
        <v/>
      </c>
      <c r="F34" s="5" t="n"/>
    </row>
    <row r="35">
      <c r="A35" s="10">
        <f>IF($E35="","",INDEX('Input Transaksi'!$A:$A,$E35))</f>
        <v/>
      </c>
      <c r="B35" s="5">
        <f>IF($E35="","",INDEX('Input Transaksi'!$D:$D,$E35))</f>
        <v/>
      </c>
      <c r="C35">
        <f>IF($E35="","",INDEX('Input Transaksi'!$E:$E,$E35))</f>
        <v/>
      </c>
      <c r="D35" s="5">
        <f>IF($E35="","",INDEX('Input Transaksi'!$F:$F,$E35))</f>
        <v/>
      </c>
      <c r="E35">
        <f>IFERROR(AGGREGATE(15,6,ROW('Input Transaksi'!$B$5:$B$5000)/('Input Transaksi'!$B$5:$B$5000="JCL MERPATI"),ROWS($E$5:E35)),"")</f>
        <v/>
      </c>
      <c r="F35" s="5" t="n"/>
    </row>
    <row r="36">
      <c r="A36" s="10">
        <f>IF($E36="","",INDEX('Input Transaksi'!$A:$A,$E36))</f>
        <v/>
      </c>
      <c r="B36" s="5">
        <f>IF($E36="","",INDEX('Input Transaksi'!$D:$D,$E36))</f>
        <v/>
      </c>
      <c r="C36">
        <f>IF($E36="","",INDEX('Input Transaksi'!$E:$E,$E36))</f>
        <v/>
      </c>
      <c r="D36" s="5">
        <f>IF($E36="","",INDEX('Input Transaksi'!$F:$F,$E36))</f>
        <v/>
      </c>
      <c r="E36">
        <f>IFERROR(AGGREGATE(15,6,ROW('Input Transaksi'!$B$5:$B$5000)/('Input Transaksi'!$B$5:$B$5000="JCL MERPATI"),ROWS($E$5:E36)),"")</f>
        <v/>
      </c>
      <c r="F36" s="5" t="n"/>
    </row>
    <row r="37">
      <c r="A37" s="10">
        <f>IF($E37="","",INDEX('Input Transaksi'!$A:$A,$E37))</f>
        <v/>
      </c>
      <c r="B37" s="5">
        <f>IF($E37="","",INDEX('Input Transaksi'!$D:$D,$E37))</f>
        <v/>
      </c>
      <c r="C37">
        <f>IF($E37="","",INDEX('Input Transaksi'!$E:$E,$E37))</f>
        <v/>
      </c>
      <c r="D37" s="5">
        <f>IF($E37="","",INDEX('Input Transaksi'!$F:$F,$E37))</f>
        <v/>
      </c>
      <c r="E37">
        <f>IFERROR(AGGREGATE(15,6,ROW('Input Transaksi'!$B$5:$B$5000)/('Input Transaksi'!$B$5:$B$5000="JCL MERPATI"),ROWS($E$5:E37)),"")</f>
        <v/>
      </c>
      <c r="F37" s="5" t="n"/>
    </row>
    <row r="38">
      <c r="A38" s="10">
        <f>IF($E38="","",INDEX('Input Transaksi'!$A:$A,$E38))</f>
        <v/>
      </c>
      <c r="B38" s="5">
        <f>IF($E38="","",INDEX('Input Transaksi'!$D:$D,$E38))</f>
        <v/>
      </c>
      <c r="C38">
        <f>IF($E38="","",INDEX('Input Transaksi'!$E:$E,$E38))</f>
        <v/>
      </c>
      <c r="D38" s="5">
        <f>IF($E38="","",INDEX('Input Transaksi'!$F:$F,$E38))</f>
        <v/>
      </c>
      <c r="E38">
        <f>IFERROR(AGGREGATE(15,6,ROW('Input Transaksi'!$B$5:$B$5000)/('Input Transaksi'!$B$5:$B$5000="JCL MERPATI"),ROWS($E$5:E38)),"")</f>
        <v/>
      </c>
      <c r="F38" s="5" t="n"/>
    </row>
    <row r="39">
      <c r="A39" s="10">
        <f>IF($E39="","",INDEX('Input Transaksi'!$A:$A,$E39))</f>
        <v/>
      </c>
      <c r="B39" s="5">
        <f>IF($E39="","",INDEX('Input Transaksi'!$D:$D,$E39))</f>
        <v/>
      </c>
      <c r="C39">
        <f>IF($E39="","",INDEX('Input Transaksi'!$E:$E,$E39))</f>
        <v/>
      </c>
      <c r="D39" s="5">
        <f>IF($E39="","",INDEX('Input Transaksi'!$F:$F,$E39))</f>
        <v/>
      </c>
      <c r="E39">
        <f>IFERROR(AGGREGATE(15,6,ROW('Input Transaksi'!$B$5:$B$5000)/('Input Transaksi'!$B$5:$B$5000="JCL MERPATI"),ROWS($E$5:E39)),"")</f>
        <v/>
      </c>
      <c r="F39" s="5" t="n"/>
    </row>
    <row r="40">
      <c r="A40" s="10">
        <f>IF($E40="","",INDEX('Input Transaksi'!$A:$A,$E40))</f>
        <v/>
      </c>
      <c r="B40" s="5">
        <f>IF($E40="","",INDEX('Input Transaksi'!$D:$D,$E40))</f>
        <v/>
      </c>
      <c r="C40">
        <f>IF($E40="","",INDEX('Input Transaksi'!$E:$E,$E40))</f>
        <v/>
      </c>
      <c r="D40" s="5">
        <f>IF($E40="","",INDEX('Input Transaksi'!$F:$F,$E40))</f>
        <v/>
      </c>
      <c r="E40">
        <f>IFERROR(AGGREGATE(15,6,ROW('Input Transaksi'!$B$5:$B$5000)/('Input Transaksi'!$B$5:$B$5000="JCL MERPATI"),ROWS($E$5:E40)),"")</f>
        <v/>
      </c>
      <c r="F40" s="5" t="n"/>
    </row>
    <row r="41">
      <c r="A41" s="10">
        <f>IF($E41="","",INDEX('Input Transaksi'!$A:$A,$E41))</f>
        <v/>
      </c>
      <c r="B41" s="5">
        <f>IF($E41="","",INDEX('Input Transaksi'!$D:$D,$E41))</f>
        <v/>
      </c>
      <c r="C41">
        <f>IF($E41="","",INDEX('Input Transaksi'!$E:$E,$E41))</f>
        <v/>
      </c>
      <c r="D41" s="5">
        <f>IF($E41="","",INDEX('Input Transaksi'!$F:$F,$E41))</f>
        <v/>
      </c>
      <c r="E41">
        <f>IFERROR(AGGREGATE(15,6,ROW('Input Transaksi'!$B$5:$B$5000)/('Input Transaksi'!$B$5:$B$5000="JCL MERPATI"),ROWS($E$5:E41)),"")</f>
        <v/>
      </c>
      <c r="F41" s="5" t="n"/>
    </row>
    <row r="42">
      <c r="A42" s="10">
        <f>IF($E42="","",INDEX('Input Transaksi'!$A:$A,$E42))</f>
        <v/>
      </c>
      <c r="B42" s="5">
        <f>IF($E42="","",INDEX('Input Transaksi'!$D:$D,$E42))</f>
        <v/>
      </c>
      <c r="C42">
        <f>IF($E42="","",INDEX('Input Transaksi'!$E:$E,$E42))</f>
        <v/>
      </c>
      <c r="D42" s="5">
        <f>IF($E42="","",INDEX('Input Transaksi'!$F:$F,$E42))</f>
        <v/>
      </c>
      <c r="E42">
        <f>IFERROR(AGGREGATE(15,6,ROW('Input Transaksi'!$B$5:$B$5000)/('Input Transaksi'!$B$5:$B$5000="JCL MERPATI"),ROWS($E$5:E42)),"")</f>
        <v/>
      </c>
      <c r="F42" s="5" t="n"/>
    </row>
    <row r="43">
      <c r="A43" s="10">
        <f>IF($E43="","",INDEX('Input Transaksi'!$A:$A,$E43))</f>
        <v/>
      </c>
      <c r="B43" s="5">
        <f>IF($E43="","",INDEX('Input Transaksi'!$D:$D,$E43))</f>
        <v/>
      </c>
      <c r="C43">
        <f>IF($E43="","",INDEX('Input Transaksi'!$E:$E,$E43))</f>
        <v/>
      </c>
      <c r="D43" s="5">
        <f>IF($E43="","",INDEX('Input Transaksi'!$F:$F,$E43))</f>
        <v/>
      </c>
      <c r="E43">
        <f>IFERROR(AGGREGATE(15,6,ROW('Input Transaksi'!$B$5:$B$5000)/('Input Transaksi'!$B$5:$B$5000="JCL MERPATI"),ROWS($E$5:E43)),"")</f>
        <v/>
      </c>
      <c r="F43" s="5" t="n"/>
    </row>
    <row r="44">
      <c r="A44" s="10">
        <f>IF($E44="","",INDEX('Input Transaksi'!$A:$A,$E44))</f>
        <v/>
      </c>
      <c r="B44" s="5">
        <f>IF($E44="","",INDEX('Input Transaksi'!$D:$D,$E44))</f>
        <v/>
      </c>
      <c r="C44">
        <f>IF($E44="","",INDEX('Input Transaksi'!$E:$E,$E44))</f>
        <v/>
      </c>
      <c r="D44" s="5">
        <f>IF($E44="","",INDEX('Input Transaksi'!$F:$F,$E44))</f>
        <v/>
      </c>
      <c r="E44">
        <f>IFERROR(AGGREGATE(15,6,ROW('Input Transaksi'!$B$5:$B$5000)/('Input Transaksi'!$B$5:$B$5000="JCL MERPATI"),ROWS($E$5:E44)),"")</f>
        <v/>
      </c>
      <c r="F44" s="5" t="n"/>
    </row>
    <row r="45">
      <c r="A45" s="10">
        <f>IF($E45="","",INDEX('Input Transaksi'!$A:$A,$E45))</f>
        <v/>
      </c>
      <c r="B45" s="5">
        <f>IF($E45="","",INDEX('Input Transaksi'!$D:$D,$E45))</f>
        <v/>
      </c>
      <c r="C45">
        <f>IF($E45="","",INDEX('Input Transaksi'!$E:$E,$E45))</f>
        <v/>
      </c>
      <c r="D45" s="5">
        <f>IF($E45="","",INDEX('Input Transaksi'!$F:$F,$E45))</f>
        <v/>
      </c>
      <c r="E45">
        <f>IFERROR(AGGREGATE(15,6,ROW('Input Transaksi'!$B$5:$B$5000)/('Input Transaksi'!$B$5:$B$5000="JCL MERPATI"),ROWS($E$5:E45)),"")</f>
        <v/>
      </c>
      <c r="F45" s="5" t="n"/>
    </row>
    <row r="46">
      <c r="A46" s="10">
        <f>IF($E46="","",INDEX('Input Transaksi'!$A:$A,$E46))</f>
        <v/>
      </c>
      <c r="B46" s="5">
        <f>IF($E46="","",INDEX('Input Transaksi'!$D:$D,$E46))</f>
        <v/>
      </c>
      <c r="C46">
        <f>IF($E46="","",INDEX('Input Transaksi'!$E:$E,$E46))</f>
        <v/>
      </c>
      <c r="D46" s="5">
        <f>IF($E46="","",INDEX('Input Transaksi'!$F:$F,$E46))</f>
        <v/>
      </c>
      <c r="E46">
        <f>IFERROR(AGGREGATE(15,6,ROW('Input Transaksi'!$B$5:$B$5000)/('Input Transaksi'!$B$5:$B$5000="JCL MERPATI"),ROWS($E$5:E46)),"")</f>
        <v/>
      </c>
      <c r="F46" s="5" t="n"/>
    </row>
    <row r="47">
      <c r="A47" s="10">
        <f>IF($E47="","",INDEX('Input Transaksi'!$A:$A,$E47))</f>
        <v/>
      </c>
      <c r="B47" s="5">
        <f>IF($E47="","",INDEX('Input Transaksi'!$D:$D,$E47))</f>
        <v/>
      </c>
      <c r="C47">
        <f>IF($E47="","",INDEX('Input Transaksi'!$E:$E,$E47))</f>
        <v/>
      </c>
      <c r="D47" s="5">
        <f>IF($E47="","",INDEX('Input Transaksi'!$F:$F,$E47))</f>
        <v/>
      </c>
      <c r="E47">
        <f>IFERROR(AGGREGATE(15,6,ROW('Input Transaksi'!$B$5:$B$5000)/('Input Transaksi'!$B$5:$B$5000="JCL MERPATI"),ROWS($E$5:E47)),"")</f>
        <v/>
      </c>
      <c r="F47" s="5" t="n"/>
    </row>
    <row r="48">
      <c r="A48" s="10">
        <f>IF($E48="","",INDEX('Input Transaksi'!$A:$A,$E48))</f>
        <v/>
      </c>
      <c r="B48" s="5">
        <f>IF($E48="","",INDEX('Input Transaksi'!$D:$D,$E48))</f>
        <v/>
      </c>
      <c r="C48">
        <f>IF($E48="","",INDEX('Input Transaksi'!$E:$E,$E48))</f>
        <v/>
      </c>
      <c r="D48" s="5">
        <f>IF($E48="","",INDEX('Input Transaksi'!$F:$F,$E48))</f>
        <v/>
      </c>
      <c r="E48">
        <f>IFERROR(AGGREGATE(15,6,ROW('Input Transaksi'!$B$5:$B$5000)/('Input Transaksi'!$B$5:$B$5000="JCL MERPATI"),ROWS($E$5:E48)),"")</f>
        <v/>
      </c>
      <c r="F48" s="5" t="n"/>
    </row>
    <row r="49">
      <c r="A49" s="10">
        <f>IF($E49="","",INDEX('Input Transaksi'!$A:$A,$E49))</f>
        <v/>
      </c>
      <c r="B49" s="5">
        <f>IF($E49="","",INDEX('Input Transaksi'!$D:$D,$E49))</f>
        <v/>
      </c>
      <c r="C49">
        <f>IF($E49="","",INDEX('Input Transaksi'!$E:$E,$E49))</f>
        <v/>
      </c>
      <c r="D49" s="5">
        <f>IF($E49="","",INDEX('Input Transaksi'!$F:$F,$E49))</f>
        <v/>
      </c>
      <c r="E49">
        <f>IFERROR(AGGREGATE(15,6,ROW('Input Transaksi'!$B$5:$B$5000)/('Input Transaksi'!$B$5:$B$5000="JCL MERPATI"),ROWS($E$5:E49)),"")</f>
        <v/>
      </c>
      <c r="F49" s="5" t="n"/>
    </row>
    <row r="50">
      <c r="A50" s="10">
        <f>IF($E50="","",INDEX('Input Transaksi'!$A:$A,$E50))</f>
        <v/>
      </c>
      <c r="B50" s="5">
        <f>IF($E50="","",INDEX('Input Transaksi'!$D:$D,$E50))</f>
        <v/>
      </c>
      <c r="C50">
        <f>IF($E50="","",INDEX('Input Transaksi'!$E:$E,$E50))</f>
        <v/>
      </c>
      <c r="D50" s="5">
        <f>IF($E50="","",INDEX('Input Transaksi'!$F:$F,$E50))</f>
        <v/>
      </c>
      <c r="E50">
        <f>IFERROR(AGGREGATE(15,6,ROW('Input Transaksi'!$B$5:$B$5000)/('Input Transaksi'!$B$5:$B$5000="JCL MERPATI"),ROWS($E$5:E50)),"")</f>
        <v/>
      </c>
      <c r="F50" s="5" t="n"/>
    </row>
    <row r="51">
      <c r="A51" s="10">
        <f>IF($E51="","",INDEX('Input Transaksi'!$A:$A,$E51))</f>
        <v/>
      </c>
      <c r="B51" s="5">
        <f>IF($E51="","",INDEX('Input Transaksi'!$D:$D,$E51))</f>
        <v/>
      </c>
      <c r="C51">
        <f>IF($E51="","",INDEX('Input Transaksi'!$E:$E,$E51))</f>
        <v/>
      </c>
      <c r="D51" s="5">
        <f>IF($E51="","",INDEX('Input Transaksi'!$F:$F,$E51))</f>
        <v/>
      </c>
      <c r="E51">
        <f>IFERROR(AGGREGATE(15,6,ROW('Input Transaksi'!$B$5:$B$5000)/('Input Transaksi'!$B$5:$B$5000="JCL MERPATI"),ROWS($E$5:E51)),"")</f>
        <v/>
      </c>
      <c r="F51" s="5" t="n"/>
    </row>
    <row r="52">
      <c r="A52" s="10">
        <f>IF($E52="","",INDEX('Input Transaksi'!$A:$A,$E52))</f>
        <v/>
      </c>
      <c r="B52" s="5">
        <f>IF($E52="","",INDEX('Input Transaksi'!$D:$D,$E52))</f>
        <v/>
      </c>
      <c r="C52">
        <f>IF($E52="","",INDEX('Input Transaksi'!$E:$E,$E52))</f>
        <v/>
      </c>
      <c r="D52" s="5">
        <f>IF($E52="","",INDEX('Input Transaksi'!$F:$F,$E52))</f>
        <v/>
      </c>
      <c r="E52">
        <f>IFERROR(AGGREGATE(15,6,ROW('Input Transaksi'!$B$5:$B$5000)/('Input Transaksi'!$B$5:$B$5000="JCL MERPATI"),ROWS($E$5:E52)),"")</f>
        <v/>
      </c>
      <c r="F52" s="5" t="n"/>
    </row>
    <row r="53">
      <c r="A53" s="10">
        <f>IF($E53="","",INDEX('Input Transaksi'!$A:$A,$E53))</f>
        <v/>
      </c>
      <c r="B53" s="5">
        <f>IF($E53="","",INDEX('Input Transaksi'!$D:$D,$E53))</f>
        <v/>
      </c>
      <c r="C53">
        <f>IF($E53="","",INDEX('Input Transaksi'!$E:$E,$E53))</f>
        <v/>
      </c>
      <c r="D53" s="5">
        <f>IF($E53="","",INDEX('Input Transaksi'!$F:$F,$E53))</f>
        <v/>
      </c>
      <c r="E53">
        <f>IFERROR(AGGREGATE(15,6,ROW('Input Transaksi'!$B$5:$B$5000)/('Input Transaksi'!$B$5:$B$5000="JCL MERPATI"),ROWS($E$5:E53)),"")</f>
        <v/>
      </c>
      <c r="F53" s="5" t="n"/>
    </row>
    <row r="54">
      <c r="A54" s="10">
        <f>IF($E54="","",INDEX('Input Transaksi'!$A:$A,$E54))</f>
        <v/>
      </c>
      <c r="B54" s="5">
        <f>IF($E54="","",INDEX('Input Transaksi'!$D:$D,$E54))</f>
        <v/>
      </c>
      <c r="C54">
        <f>IF($E54="","",INDEX('Input Transaksi'!$E:$E,$E54))</f>
        <v/>
      </c>
      <c r="D54" s="5">
        <f>IF($E54="","",INDEX('Input Transaksi'!$F:$F,$E54))</f>
        <v/>
      </c>
      <c r="E54">
        <f>IFERROR(AGGREGATE(15,6,ROW('Input Transaksi'!$B$5:$B$5000)/('Input Transaksi'!$B$5:$B$5000="JCL MERPATI"),ROWS($E$5:E54)),"")</f>
        <v/>
      </c>
      <c r="F54" s="5" t="n"/>
    </row>
    <row r="55">
      <c r="A55" s="10">
        <f>IF($E55="","",INDEX('Input Transaksi'!$A:$A,$E55))</f>
        <v/>
      </c>
      <c r="B55" s="5">
        <f>IF($E55="","",INDEX('Input Transaksi'!$D:$D,$E55))</f>
        <v/>
      </c>
      <c r="C55">
        <f>IF($E55="","",INDEX('Input Transaksi'!$E:$E,$E55))</f>
        <v/>
      </c>
      <c r="D55" s="5">
        <f>IF($E55="","",INDEX('Input Transaksi'!$F:$F,$E55))</f>
        <v/>
      </c>
      <c r="E55">
        <f>IFERROR(AGGREGATE(15,6,ROW('Input Transaksi'!$B$5:$B$5000)/('Input Transaksi'!$B$5:$B$5000="JCL MERPATI"),ROWS($E$5:E55)),"")</f>
        <v/>
      </c>
      <c r="F55" s="5" t="n"/>
    </row>
    <row r="56">
      <c r="A56" s="10">
        <f>IF($E56="","",INDEX('Input Transaksi'!$A:$A,$E56))</f>
        <v/>
      </c>
      <c r="B56" s="5">
        <f>IF($E56="","",INDEX('Input Transaksi'!$D:$D,$E56))</f>
        <v/>
      </c>
      <c r="C56">
        <f>IF($E56="","",INDEX('Input Transaksi'!$E:$E,$E56))</f>
        <v/>
      </c>
      <c r="D56" s="5">
        <f>IF($E56="","",INDEX('Input Transaksi'!$F:$F,$E56))</f>
        <v/>
      </c>
      <c r="E56">
        <f>IFERROR(AGGREGATE(15,6,ROW('Input Transaksi'!$B$5:$B$5000)/('Input Transaksi'!$B$5:$B$5000="JCL MERPATI"),ROWS($E$5:E56)),"")</f>
        <v/>
      </c>
      <c r="F56" s="5" t="n"/>
    </row>
    <row r="57">
      <c r="A57" s="10">
        <f>IF($E57="","",INDEX('Input Transaksi'!$A:$A,$E57))</f>
        <v/>
      </c>
      <c r="B57" s="5">
        <f>IF($E57="","",INDEX('Input Transaksi'!$D:$D,$E57))</f>
        <v/>
      </c>
      <c r="C57">
        <f>IF($E57="","",INDEX('Input Transaksi'!$E:$E,$E57))</f>
        <v/>
      </c>
      <c r="D57" s="5">
        <f>IF($E57="","",INDEX('Input Transaksi'!$F:$F,$E57))</f>
        <v/>
      </c>
      <c r="E57">
        <f>IFERROR(AGGREGATE(15,6,ROW('Input Transaksi'!$B$5:$B$5000)/('Input Transaksi'!$B$5:$B$5000="JCL MERPATI"),ROWS($E$5:E57)),"")</f>
        <v/>
      </c>
      <c r="F57" s="5" t="n"/>
    </row>
    <row r="58">
      <c r="A58" s="10">
        <f>IF($E58="","",INDEX('Input Transaksi'!$A:$A,$E58))</f>
        <v/>
      </c>
      <c r="B58" s="5">
        <f>IF($E58="","",INDEX('Input Transaksi'!$D:$D,$E58))</f>
        <v/>
      </c>
      <c r="C58">
        <f>IF($E58="","",INDEX('Input Transaksi'!$E:$E,$E58))</f>
        <v/>
      </c>
      <c r="D58" s="5">
        <f>IF($E58="","",INDEX('Input Transaksi'!$F:$F,$E58))</f>
        <v/>
      </c>
      <c r="E58">
        <f>IFERROR(AGGREGATE(15,6,ROW('Input Transaksi'!$B$5:$B$5000)/('Input Transaksi'!$B$5:$B$5000="JCL MERPATI"),ROWS($E$5:E58)),"")</f>
        <v/>
      </c>
      <c r="F58" s="5" t="n"/>
    </row>
    <row r="59">
      <c r="A59" s="10">
        <f>IF($E59="","",INDEX('Input Transaksi'!$A:$A,$E59))</f>
        <v/>
      </c>
      <c r="B59" s="5">
        <f>IF($E59="","",INDEX('Input Transaksi'!$D:$D,$E59))</f>
        <v/>
      </c>
      <c r="C59">
        <f>IF($E59="","",INDEX('Input Transaksi'!$E:$E,$E59))</f>
        <v/>
      </c>
      <c r="D59" s="5">
        <f>IF($E59="","",INDEX('Input Transaksi'!$F:$F,$E59))</f>
        <v/>
      </c>
      <c r="E59">
        <f>IFERROR(AGGREGATE(15,6,ROW('Input Transaksi'!$B$5:$B$5000)/('Input Transaksi'!$B$5:$B$5000="JCL MERPATI"),ROWS($E$5:E59)),"")</f>
        <v/>
      </c>
      <c r="F59" s="5" t="n"/>
    </row>
    <row r="60">
      <c r="A60" s="10">
        <f>IF($E60="","",INDEX('Input Transaksi'!$A:$A,$E60))</f>
        <v/>
      </c>
      <c r="B60" s="5">
        <f>IF($E60="","",INDEX('Input Transaksi'!$D:$D,$E60))</f>
        <v/>
      </c>
      <c r="C60">
        <f>IF($E60="","",INDEX('Input Transaksi'!$E:$E,$E60))</f>
        <v/>
      </c>
      <c r="D60" s="5">
        <f>IF($E60="","",INDEX('Input Transaksi'!$F:$F,$E60))</f>
        <v/>
      </c>
      <c r="E60">
        <f>IFERROR(AGGREGATE(15,6,ROW('Input Transaksi'!$B$5:$B$5000)/('Input Transaksi'!$B$5:$B$5000="JCL MERPATI"),ROWS($E$5:E60)),"")</f>
        <v/>
      </c>
      <c r="F60" s="5" t="n"/>
    </row>
    <row r="61">
      <c r="A61" s="10">
        <f>IF($E61="","",INDEX('Input Transaksi'!$A:$A,$E61))</f>
        <v/>
      </c>
      <c r="B61" s="5">
        <f>IF($E61="","",INDEX('Input Transaksi'!$D:$D,$E61))</f>
        <v/>
      </c>
      <c r="C61">
        <f>IF($E61="","",INDEX('Input Transaksi'!$E:$E,$E61))</f>
        <v/>
      </c>
      <c r="D61" s="5">
        <f>IF($E61="","",INDEX('Input Transaksi'!$F:$F,$E61))</f>
        <v/>
      </c>
      <c r="E61">
        <f>IFERROR(AGGREGATE(15,6,ROW('Input Transaksi'!$B$5:$B$5000)/('Input Transaksi'!$B$5:$B$5000="JCL MERPATI"),ROWS($E$5:E61)),"")</f>
        <v/>
      </c>
      <c r="F61" s="5" t="n"/>
    </row>
    <row r="62">
      <c r="A62" s="10">
        <f>IF($E62="","",INDEX('Input Transaksi'!$A:$A,$E62))</f>
        <v/>
      </c>
      <c r="B62" s="5">
        <f>IF($E62="","",INDEX('Input Transaksi'!$D:$D,$E62))</f>
        <v/>
      </c>
      <c r="C62">
        <f>IF($E62="","",INDEX('Input Transaksi'!$E:$E,$E62))</f>
        <v/>
      </c>
      <c r="D62" s="5">
        <f>IF($E62="","",INDEX('Input Transaksi'!$F:$F,$E62))</f>
        <v/>
      </c>
      <c r="E62">
        <f>IFERROR(AGGREGATE(15,6,ROW('Input Transaksi'!$B$5:$B$5000)/('Input Transaksi'!$B$5:$B$5000="JCL MERPATI"),ROWS($E$5:E62)),"")</f>
        <v/>
      </c>
      <c r="F62" s="5" t="n"/>
    </row>
    <row r="63">
      <c r="A63" s="10">
        <f>IF($E63="","",INDEX('Input Transaksi'!$A:$A,$E63))</f>
        <v/>
      </c>
      <c r="B63" s="5">
        <f>IF($E63="","",INDEX('Input Transaksi'!$D:$D,$E63))</f>
        <v/>
      </c>
      <c r="C63">
        <f>IF($E63="","",INDEX('Input Transaksi'!$E:$E,$E63))</f>
        <v/>
      </c>
      <c r="D63" s="5">
        <f>IF($E63="","",INDEX('Input Transaksi'!$F:$F,$E63))</f>
        <v/>
      </c>
      <c r="E63">
        <f>IFERROR(AGGREGATE(15,6,ROW('Input Transaksi'!$B$5:$B$5000)/('Input Transaksi'!$B$5:$B$5000="JCL MERPATI"),ROWS($E$5:E63)),"")</f>
        <v/>
      </c>
      <c r="F63" s="5" t="n"/>
    </row>
    <row r="64">
      <c r="A64" s="10">
        <f>IF($E64="","",INDEX('Input Transaksi'!$A:$A,$E64))</f>
        <v/>
      </c>
      <c r="B64" s="5">
        <f>IF($E64="","",INDEX('Input Transaksi'!$D:$D,$E64))</f>
        <v/>
      </c>
      <c r="C64">
        <f>IF($E64="","",INDEX('Input Transaksi'!$E:$E,$E64))</f>
        <v/>
      </c>
      <c r="D64" s="5">
        <f>IF($E64="","",INDEX('Input Transaksi'!$F:$F,$E64))</f>
        <v/>
      </c>
      <c r="E64">
        <f>IFERROR(AGGREGATE(15,6,ROW('Input Transaksi'!$B$5:$B$5000)/('Input Transaksi'!$B$5:$B$5000="JCL MERPATI"),ROWS($E$5:E64)),"")</f>
        <v/>
      </c>
      <c r="F64" s="5" t="n"/>
    </row>
    <row r="65">
      <c r="A65" s="10">
        <f>IF($E65="","",INDEX('Input Transaksi'!$A:$A,$E65))</f>
        <v/>
      </c>
      <c r="B65" s="5">
        <f>IF($E65="","",INDEX('Input Transaksi'!$D:$D,$E65))</f>
        <v/>
      </c>
      <c r="C65">
        <f>IF($E65="","",INDEX('Input Transaksi'!$E:$E,$E65))</f>
        <v/>
      </c>
      <c r="D65" s="5">
        <f>IF($E65="","",INDEX('Input Transaksi'!$F:$F,$E65))</f>
        <v/>
      </c>
      <c r="E65">
        <f>IFERROR(AGGREGATE(15,6,ROW('Input Transaksi'!$B$5:$B$5000)/('Input Transaksi'!$B$5:$B$5000="JCL MERPATI"),ROWS($E$5:E65)),"")</f>
        <v/>
      </c>
      <c r="F65" s="5" t="n"/>
    </row>
    <row r="66">
      <c r="A66" s="10">
        <f>IF($E66="","",INDEX('Input Transaksi'!$A:$A,$E66))</f>
        <v/>
      </c>
      <c r="B66" s="5">
        <f>IF($E66="","",INDEX('Input Transaksi'!$D:$D,$E66))</f>
        <v/>
      </c>
      <c r="C66">
        <f>IF($E66="","",INDEX('Input Transaksi'!$E:$E,$E66))</f>
        <v/>
      </c>
      <c r="D66" s="5">
        <f>IF($E66="","",INDEX('Input Transaksi'!$F:$F,$E66))</f>
        <v/>
      </c>
      <c r="E66">
        <f>IFERROR(AGGREGATE(15,6,ROW('Input Transaksi'!$B$5:$B$5000)/('Input Transaksi'!$B$5:$B$5000="JCL MERPATI"),ROWS($E$5:E66)),"")</f>
        <v/>
      </c>
      <c r="F66" s="5" t="n"/>
    </row>
    <row r="67">
      <c r="A67" s="10">
        <f>IF($E67="","",INDEX('Input Transaksi'!$A:$A,$E67))</f>
        <v/>
      </c>
      <c r="B67" s="5">
        <f>IF($E67="","",INDEX('Input Transaksi'!$D:$D,$E67))</f>
        <v/>
      </c>
      <c r="C67">
        <f>IF($E67="","",INDEX('Input Transaksi'!$E:$E,$E67))</f>
        <v/>
      </c>
      <c r="D67" s="5">
        <f>IF($E67="","",INDEX('Input Transaksi'!$F:$F,$E67))</f>
        <v/>
      </c>
      <c r="E67">
        <f>IFERROR(AGGREGATE(15,6,ROW('Input Transaksi'!$B$5:$B$5000)/('Input Transaksi'!$B$5:$B$5000="JCL MERPATI"),ROWS($E$5:E67)),"")</f>
        <v/>
      </c>
      <c r="F67" s="5" t="n"/>
    </row>
    <row r="68">
      <c r="A68" s="10">
        <f>IF($E68="","",INDEX('Input Transaksi'!$A:$A,$E68))</f>
        <v/>
      </c>
      <c r="B68" s="5">
        <f>IF($E68="","",INDEX('Input Transaksi'!$D:$D,$E68))</f>
        <v/>
      </c>
      <c r="C68">
        <f>IF($E68="","",INDEX('Input Transaksi'!$E:$E,$E68))</f>
        <v/>
      </c>
      <c r="D68" s="5">
        <f>IF($E68="","",INDEX('Input Transaksi'!$F:$F,$E68))</f>
        <v/>
      </c>
      <c r="E68">
        <f>IFERROR(AGGREGATE(15,6,ROW('Input Transaksi'!$B$5:$B$5000)/('Input Transaksi'!$B$5:$B$5000="JCL MERPATI"),ROWS($E$5:E68)),"")</f>
        <v/>
      </c>
      <c r="F68" s="5" t="n"/>
    </row>
    <row r="69">
      <c r="A69" s="10">
        <f>IF($E69="","",INDEX('Input Transaksi'!$A:$A,$E69))</f>
        <v/>
      </c>
      <c r="B69" s="5">
        <f>IF($E69="","",INDEX('Input Transaksi'!$D:$D,$E69))</f>
        <v/>
      </c>
      <c r="C69">
        <f>IF($E69="","",INDEX('Input Transaksi'!$E:$E,$E69))</f>
        <v/>
      </c>
      <c r="D69" s="5">
        <f>IF($E69="","",INDEX('Input Transaksi'!$F:$F,$E69))</f>
        <v/>
      </c>
      <c r="E69">
        <f>IFERROR(AGGREGATE(15,6,ROW('Input Transaksi'!$B$5:$B$5000)/('Input Transaksi'!$B$5:$B$5000="JCL MERPATI"),ROWS($E$5:E69)),"")</f>
        <v/>
      </c>
      <c r="F69" s="5" t="n"/>
    </row>
    <row r="70">
      <c r="A70" s="10">
        <f>IF($E70="","",INDEX('Input Transaksi'!$A:$A,$E70))</f>
        <v/>
      </c>
      <c r="B70" s="5">
        <f>IF($E70="","",INDEX('Input Transaksi'!$D:$D,$E70))</f>
        <v/>
      </c>
      <c r="C70">
        <f>IF($E70="","",INDEX('Input Transaksi'!$E:$E,$E70))</f>
        <v/>
      </c>
      <c r="D70" s="5">
        <f>IF($E70="","",INDEX('Input Transaksi'!$F:$F,$E70))</f>
        <v/>
      </c>
      <c r="E70">
        <f>IFERROR(AGGREGATE(15,6,ROW('Input Transaksi'!$B$5:$B$5000)/('Input Transaksi'!$B$5:$B$5000="JCL MERPATI"),ROWS($E$5:E70)),"")</f>
        <v/>
      </c>
      <c r="F70" s="5" t="n"/>
    </row>
    <row r="71">
      <c r="A71" s="10">
        <f>IF($E71="","",INDEX('Input Transaksi'!$A:$A,$E71))</f>
        <v/>
      </c>
      <c r="B71" s="5">
        <f>IF($E71="","",INDEX('Input Transaksi'!$D:$D,$E71))</f>
        <v/>
      </c>
      <c r="C71">
        <f>IF($E71="","",INDEX('Input Transaksi'!$E:$E,$E71))</f>
        <v/>
      </c>
      <c r="D71" s="5">
        <f>IF($E71="","",INDEX('Input Transaksi'!$F:$F,$E71))</f>
        <v/>
      </c>
      <c r="E71">
        <f>IFERROR(AGGREGATE(15,6,ROW('Input Transaksi'!$B$5:$B$5000)/('Input Transaksi'!$B$5:$B$5000="JCL MERPATI"),ROWS($E$5:E71)),"")</f>
        <v/>
      </c>
      <c r="F71" s="5" t="n"/>
    </row>
    <row r="72">
      <c r="A72" s="10">
        <f>IF($E72="","",INDEX('Input Transaksi'!$A:$A,$E72))</f>
        <v/>
      </c>
      <c r="B72" s="5">
        <f>IF($E72="","",INDEX('Input Transaksi'!$D:$D,$E72))</f>
        <v/>
      </c>
      <c r="C72">
        <f>IF($E72="","",INDEX('Input Transaksi'!$E:$E,$E72))</f>
        <v/>
      </c>
      <c r="D72" s="5">
        <f>IF($E72="","",INDEX('Input Transaksi'!$F:$F,$E72))</f>
        <v/>
      </c>
      <c r="E72">
        <f>IFERROR(AGGREGATE(15,6,ROW('Input Transaksi'!$B$5:$B$5000)/('Input Transaksi'!$B$5:$B$5000="JCL MERPATI"),ROWS($E$5:E72)),"")</f>
        <v/>
      </c>
      <c r="F72" s="5" t="n"/>
    </row>
    <row r="73">
      <c r="A73" s="10">
        <f>IF($E73="","",INDEX('Input Transaksi'!$A:$A,$E73))</f>
        <v/>
      </c>
      <c r="B73" s="5">
        <f>IF($E73="","",INDEX('Input Transaksi'!$D:$D,$E73))</f>
        <v/>
      </c>
      <c r="C73">
        <f>IF($E73="","",INDEX('Input Transaksi'!$E:$E,$E73))</f>
        <v/>
      </c>
      <c r="D73" s="5">
        <f>IF($E73="","",INDEX('Input Transaksi'!$F:$F,$E73))</f>
        <v/>
      </c>
      <c r="E73">
        <f>IFERROR(AGGREGATE(15,6,ROW('Input Transaksi'!$B$5:$B$5000)/('Input Transaksi'!$B$5:$B$5000="JCL MERPATI"),ROWS($E$5:E73)),"")</f>
        <v/>
      </c>
      <c r="F73" s="5" t="n"/>
    </row>
    <row r="74">
      <c r="A74" s="10">
        <f>IF($E74="","",INDEX('Input Transaksi'!$A:$A,$E74))</f>
        <v/>
      </c>
      <c r="B74" s="5">
        <f>IF($E74="","",INDEX('Input Transaksi'!$D:$D,$E74))</f>
        <v/>
      </c>
      <c r="C74">
        <f>IF($E74="","",INDEX('Input Transaksi'!$E:$E,$E74))</f>
        <v/>
      </c>
      <c r="D74" s="5">
        <f>IF($E74="","",INDEX('Input Transaksi'!$F:$F,$E74))</f>
        <v/>
      </c>
      <c r="E74">
        <f>IFERROR(AGGREGATE(15,6,ROW('Input Transaksi'!$B$5:$B$5000)/('Input Transaksi'!$B$5:$B$5000="JCL MERPATI"),ROWS($E$5:E74)),"")</f>
        <v/>
      </c>
      <c r="F74" s="5" t="n"/>
    </row>
    <row r="75">
      <c r="A75" s="10">
        <f>IF($E75="","",INDEX('Input Transaksi'!$A:$A,$E75))</f>
        <v/>
      </c>
      <c r="B75" s="5">
        <f>IF($E75="","",INDEX('Input Transaksi'!$D:$D,$E75))</f>
        <v/>
      </c>
      <c r="C75">
        <f>IF($E75="","",INDEX('Input Transaksi'!$E:$E,$E75))</f>
        <v/>
      </c>
      <c r="D75" s="5">
        <f>IF($E75="","",INDEX('Input Transaksi'!$F:$F,$E75))</f>
        <v/>
      </c>
      <c r="E75">
        <f>IFERROR(AGGREGATE(15,6,ROW('Input Transaksi'!$B$5:$B$5000)/('Input Transaksi'!$B$5:$B$5000="JCL MERPATI"),ROWS($E$5:E75)),"")</f>
        <v/>
      </c>
      <c r="F75" s="5" t="n"/>
    </row>
    <row r="76">
      <c r="A76" s="10">
        <f>IF($E76="","",INDEX('Input Transaksi'!$A:$A,$E76))</f>
        <v/>
      </c>
      <c r="B76" s="5">
        <f>IF($E76="","",INDEX('Input Transaksi'!$D:$D,$E76))</f>
        <v/>
      </c>
      <c r="C76">
        <f>IF($E76="","",INDEX('Input Transaksi'!$E:$E,$E76))</f>
        <v/>
      </c>
      <c r="D76" s="5">
        <f>IF($E76="","",INDEX('Input Transaksi'!$F:$F,$E76))</f>
        <v/>
      </c>
      <c r="E76">
        <f>IFERROR(AGGREGATE(15,6,ROW('Input Transaksi'!$B$5:$B$5000)/('Input Transaksi'!$B$5:$B$5000="JCL MERPATI"),ROWS($E$5:E76)),"")</f>
        <v/>
      </c>
      <c r="F76" s="5" t="n"/>
    </row>
    <row r="77">
      <c r="A77" s="10">
        <f>IF($E77="","",INDEX('Input Transaksi'!$A:$A,$E77))</f>
        <v/>
      </c>
      <c r="B77" s="5">
        <f>IF($E77="","",INDEX('Input Transaksi'!$D:$D,$E77))</f>
        <v/>
      </c>
      <c r="C77">
        <f>IF($E77="","",INDEX('Input Transaksi'!$E:$E,$E77))</f>
        <v/>
      </c>
      <c r="D77" s="5">
        <f>IF($E77="","",INDEX('Input Transaksi'!$F:$F,$E77))</f>
        <v/>
      </c>
      <c r="E77">
        <f>IFERROR(AGGREGATE(15,6,ROW('Input Transaksi'!$B$5:$B$5000)/('Input Transaksi'!$B$5:$B$5000="JCL MERPATI"),ROWS($E$5:E77)),"")</f>
        <v/>
      </c>
      <c r="F77" s="5" t="n"/>
    </row>
    <row r="78">
      <c r="A78" s="10">
        <f>IF($E78="","",INDEX('Input Transaksi'!$A:$A,$E78))</f>
        <v/>
      </c>
      <c r="B78" s="5">
        <f>IF($E78="","",INDEX('Input Transaksi'!$D:$D,$E78))</f>
        <v/>
      </c>
      <c r="C78">
        <f>IF($E78="","",INDEX('Input Transaksi'!$E:$E,$E78))</f>
        <v/>
      </c>
      <c r="D78" s="5">
        <f>IF($E78="","",INDEX('Input Transaksi'!$F:$F,$E78))</f>
        <v/>
      </c>
      <c r="E78">
        <f>IFERROR(AGGREGATE(15,6,ROW('Input Transaksi'!$B$5:$B$5000)/('Input Transaksi'!$B$5:$B$5000="JCL MERPATI"),ROWS($E$5:E78)),"")</f>
        <v/>
      </c>
      <c r="F78" s="5" t="n"/>
    </row>
    <row r="79">
      <c r="A79" s="10">
        <f>IF($E79="","",INDEX('Input Transaksi'!$A:$A,$E79))</f>
        <v/>
      </c>
      <c r="B79" s="5">
        <f>IF($E79="","",INDEX('Input Transaksi'!$D:$D,$E79))</f>
        <v/>
      </c>
      <c r="C79">
        <f>IF($E79="","",INDEX('Input Transaksi'!$E:$E,$E79))</f>
        <v/>
      </c>
      <c r="D79" s="5">
        <f>IF($E79="","",INDEX('Input Transaksi'!$F:$F,$E79))</f>
        <v/>
      </c>
      <c r="E79">
        <f>IFERROR(AGGREGATE(15,6,ROW('Input Transaksi'!$B$5:$B$5000)/('Input Transaksi'!$B$5:$B$5000="JCL MERPATI"),ROWS($E$5:E79)),"")</f>
        <v/>
      </c>
      <c r="F79" s="5" t="n"/>
    </row>
    <row r="80">
      <c r="A80" s="10">
        <f>IF($E80="","",INDEX('Input Transaksi'!$A:$A,$E80))</f>
        <v/>
      </c>
      <c r="B80" s="5">
        <f>IF($E80="","",INDEX('Input Transaksi'!$D:$D,$E80))</f>
        <v/>
      </c>
      <c r="C80">
        <f>IF($E80="","",INDEX('Input Transaksi'!$E:$E,$E80))</f>
        <v/>
      </c>
      <c r="D80" s="5">
        <f>IF($E80="","",INDEX('Input Transaksi'!$F:$F,$E80))</f>
        <v/>
      </c>
      <c r="E80">
        <f>IFERROR(AGGREGATE(15,6,ROW('Input Transaksi'!$B$5:$B$5000)/('Input Transaksi'!$B$5:$B$5000="JCL MERPATI"),ROWS($E$5:E80)),"")</f>
        <v/>
      </c>
      <c r="F80" s="5" t="n"/>
    </row>
    <row r="81">
      <c r="A81" s="10">
        <f>IF($E81="","",INDEX('Input Transaksi'!$A:$A,$E81))</f>
        <v/>
      </c>
      <c r="B81" s="5">
        <f>IF($E81="","",INDEX('Input Transaksi'!$D:$D,$E81))</f>
        <v/>
      </c>
      <c r="C81">
        <f>IF($E81="","",INDEX('Input Transaksi'!$E:$E,$E81))</f>
        <v/>
      </c>
      <c r="D81" s="5">
        <f>IF($E81="","",INDEX('Input Transaksi'!$F:$F,$E81))</f>
        <v/>
      </c>
      <c r="E81">
        <f>IFERROR(AGGREGATE(15,6,ROW('Input Transaksi'!$B$5:$B$5000)/('Input Transaksi'!$B$5:$B$5000="JCL MERPATI"),ROWS($E$5:E81)),"")</f>
        <v/>
      </c>
      <c r="F81" s="5" t="n"/>
    </row>
    <row r="82">
      <c r="A82" s="10">
        <f>IF($E82="","",INDEX('Input Transaksi'!$A:$A,$E82))</f>
        <v/>
      </c>
      <c r="B82" s="5">
        <f>IF($E82="","",INDEX('Input Transaksi'!$D:$D,$E82))</f>
        <v/>
      </c>
      <c r="C82">
        <f>IF($E82="","",INDEX('Input Transaksi'!$E:$E,$E82))</f>
        <v/>
      </c>
      <c r="D82" s="5">
        <f>IF($E82="","",INDEX('Input Transaksi'!$F:$F,$E82))</f>
        <v/>
      </c>
      <c r="E82">
        <f>IFERROR(AGGREGATE(15,6,ROW('Input Transaksi'!$B$5:$B$5000)/('Input Transaksi'!$B$5:$B$5000="JCL MERPATI"),ROWS($E$5:E82)),"")</f>
        <v/>
      </c>
      <c r="F82" s="5" t="n"/>
    </row>
    <row r="83">
      <c r="A83" s="10">
        <f>IF($E83="","",INDEX('Input Transaksi'!$A:$A,$E83))</f>
        <v/>
      </c>
      <c r="B83" s="5">
        <f>IF($E83="","",INDEX('Input Transaksi'!$D:$D,$E83))</f>
        <v/>
      </c>
      <c r="C83">
        <f>IF($E83="","",INDEX('Input Transaksi'!$E:$E,$E83))</f>
        <v/>
      </c>
      <c r="D83" s="5">
        <f>IF($E83="","",INDEX('Input Transaksi'!$F:$F,$E83))</f>
        <v/>
      </c>
      <c r="E83">
        <f>IFERROR(AGGREGATE(15,6,ROW('Input Transaksi'!$B$5:$B$5000)/('Input Transaksi'!$B$5:$B$5000="JCL MERPATI"),ROWS($E$5:E83)),"")</f>
        <v/>
      </c>
      <c r="F83" s="5" t="n"/>
    </row>
    <row r="84">
      <c r="A84" s="10">
        <f>IF($E84="","",INDEX('Input Transaksi'!$A:$A,$E84))</f>
        <v/>
      </c>
      <c r="B84" s="5">
        <f>IF($E84="","",INDEX('Input Transaksi'!$D:$D,$E84))</f>
        <v/>
      </c>
      <c r="C84">
        <f>IF($E84="","",INDEX('Input Transaksi'!$E:$E,$E84))</f>
        <v/>
      </c>
      <c r="D84" s="5">
        <f>IF($E84="","",INDEX('Input Transaksi'!$F:$F,$E84))</f>
        <v/>
      </c>
      <c r="E84">
        <f>IFERROR(AGGREGATE(15,6,ROW('Input Transaksi'!$B$5:$B$5000)/('Input Transaksi'!$B$5:$B$5000="JCL MERPATI"),ROWS($E$5:E84)),"")</f>
        <v/>
      </c>
      <c r="F84" s="5" t="n"/>
    </row>
    <row r="85">
      <c r="A85" s="10">
        <f>IF($E85="","",INDEX('Input Transaksi'!$A:$A,$E85))</f>
        <v/>
      </c>
      <c r="B85" s="5">
        <f>IF($E85="","",INDEX('Input Transaksi'!$D:$D,$E85))</f>
        <v/>
      </c>
      <c r="C85">
        <f>IF($E85="","",INDEX('Input Transaksi'!$E:$E,$E85))</f>
        <v/>
      </c>
      <c r="D85" s="5">
        <f>IF($E85="","",INDEX('Input Transaksi'!$F:$F,$E85))</f>
        <v/>
      </c>
      <c r="E85">
        <f>IFERROR(AGGREGATE(15,6,ROW('Input Transaksi'!$B$5:$B$5000)/('Input Transaksi'!$B$5:$B$5000="JCL MERPATI"),ROWS($E$5:E85)),"")</f>
        <v/>
      </c>
      <c r="F85" s="5" t="n"/>
    </row>
    <row r="86">
      <c r="A86" s="10">
        <f>IF($E86="","",INDEX('Input Transaksi'!$A:$A,$E86))</f>
        <v/>
      </c>
      <c r="B86" s="5">
        <f>IF($E86="","",INDEX('Input Transaksi'!$D:$D,$E86))</f>
        <v/>
      </c>
      <c r="C86">
        <f>IF($E86="","",INDEX('Input Transaksi'!$E:$E,$E86))</f>
        <v/>
      </c>
      <c r="D86" s="5">
        <f>IF($E86="","",INDEX('Input Transaksi'!$F:$F,$E86))</f>
        <v/>
      </c>
      <c r="E86">
        <f>IFERROR(AGGREGATE(15,6,ROW('Input Transaksi'!$B$5:$B$5000)/('Input Transaksi'!$B$5:$B$5000="JCL MERPATI"),ROWS($E$5:E86)),"")</f>
        <v/>
      </c>
      <c r="F86" s="5" t="n"/>
    </row>
    <row r="87">
      <c r="A87" s="10">
        <f>IF($E87="","",INDEX('Input Transaksi'!$A:$A,$E87))</f>
        <v/>
      </c>
      <c r="B87" s="5">
        <f>IF($E87="","",INDEX('Input Transaksi'!$D:$D,$E87))</f>
        <v/>
      </c>
      <c r="C87">
        <f>IF($E87="","",INDEX('Input Transaksi'!$E:$E,$E87))</f>
        <v/>
      </c>
      <c r="D87" s="5">
        <f>IF($E87="","",INDEX('Input Transaksi'!$F:$F,$E87))</f>
        <v/>
      </c>
      <c r="E87">
        <f>IFERROR(AGGREGATE(15,6,ROW('Input Transaksi'!$B$5:$B$5000)/('Input Transaksi'!$B$5:$B$5000="JCL MERPATI"),ROWS($E$5:E87)),"")</f>
        <v/>
      </c>
      <c r="F87" s="5" t="n"/>
    </row>
    <row r="88">
      <c r="A88" s="10">
        <f>IF($E88="","",INDEX('Input Transaksi'!$A:$A,$E88))</f>
        <v/>
      </c>
      <c r="B88" s="5">
        <f>IF($E88="","",INDEX('Input Transaksi'!$D:$D,$E88))</f>
        <v/>
      </c>
      <c r="C88">
        <f>IF($E88="","",INDEX('Input Transaksi'!$E:$E,$E88))</f>
        <v/>
      </c>
      <c r="D88" s="5">
        <f>IF($E88="","",INDEX('Input Transaksi'!$F:$F,$E88))</f>
        <v/>
      </c>
      <c r="E88">
        <f>IFERROR(AGGREGATE(15,6,ROW('Input Transaksi'!$B$5:$B$5000)/('Input Transaksi'!$B$5:$B$5000="JCL MERPATI"),ROWS($E$5:E88)),"")</f>
        <v/>
      </c>
      <c r="F88" s="5" t="n"/>
    </row>
    <row r="89">
      <c r="A89" s="10">
        <f>IF($E89="","",INDEX('Input Transaksi'!$A:$A,$E89))</f>
        <v/>
      </c>
      <c r="B89" s="5">
        <f>IF($E89="","",INDEX('Input Transaksi'!$D:$D,$E89))</f>
        <v/>
      </c>
      <c r="C89">
        <f>IF($E89="","",INDEX('Input Transaksi'!$E:$E,$E89))</f>
        <v/>
      </c>
      <c r="D89" s="5">
        <f>IF($E89="","",INDEX('Input Transaksi'!$F:$F,$E89))</f>
        <v/>
      </c>
      <c r="E89">
        <f>IFERROR(AGGREGATE(15,6,ROW('Input Transaksi'!$B$5:$B$5000)/('Input Transaksi'!$B$5:$B$5000="JCL MERPATI"),ROWS($E$5:E89)),"")</f>
        <v/>
      </c>
      <c r="F89" s="5" t="n"/>
    </row>
    <row r="90">
      <c r="A90" s="10">
        <f>IF($E90="","",INDEX('Input Transaksi'!$A:$A,$E90))</f>
        <v/>
      </c>
      <c r="B90" s="5">
        <f>IF($E90="","",INDEX('Input Transaksi'!$D:$D,$E90))</f>
        <v/>
      </c>
      <c r="C90">
        <f>IF($E90="","",INDEX('Input Transaksi'!$E:$E,$E90))</f>
        <v/>
      </c>
      <c r="D90" s="5">
        <f>IF($E90="","",INDEX('Input Transaksi'!$F:$F,$E90))</f>
        <v/>
      </c>
      <c r="E90">
        <f>IFERROR(AGGREGATE(15,6,ROW('Input Transaksi'!$B$5:$B$5000)/('Input Transaksi'!$B$5:$B$5000="JCL MERPATI"),ROWS($E$5:E90)),"")</f>
        <v/>
      </c>
      <c r="F90" s="5" t="n"/>
    </row>
    <row r="91">
      <c r="A91" s="10">
        <f>IF($E91="","",INDEX('Input Transaksi'!$A:$A,$E91))</f>
        <v/>
      </c>
      <c r="B91" s="5">
        <f>IF($E91="","",INDEX('Input Transaksi'!$D:$D,$E91))</f>
        <v/>
      </c>
      <c r="C91">
        <f>IF($E91="","",INDEX('Input Transaksi'!$E:$E,$E91))</f>
        <v/>
      </c>
      <c r="D91" s="5">
        <f>IF($E91="","",INDEX('Input Transaksi'!$F:$F,$E91))</f>
        <v/>
      </c>
      <c r="E91">
        <f>IFERROR(AGGREGATE(15,6,ROW('Input Transaksi'!$B$5:$B$5000)/('Input Transaksi'!$B$5:$B$5000="JCL MERPATI"),ROWS($E$5:E91)),"")</f>
        <v/>
      </c>
      <c r="F91" s="5" t="n"/>
    </row>
    <row r="92">
      <c r="A92" s="10">
        <f>IF($E92="","",INDEX('Input Transaksi'!$A:$A,$E92))</f>
        <v/>
      </c>
      <c r="B92" s="5">
        <f>IF($E92="","",INDEX('Input Transaksi'!$D:$D,$E92))</f>
        <v/>
      </c>
      <c r="C92">
        <f>IF($E92="","",INDEX('Input Transaksi'!$E:$E,$E92))</f>
        <v/>
      </c>
      <c r="D92" s="5">
        <f>IF($E92="","",INDEX('Input Transaksi'!$F:$F,$E92))</f>
        <v/>
      </c>
      <c r="E92">
        <f>IFERROR(AGGREGATE(15,6,ROW('Input Transaksi'!$B$5:$B$5000)/('Input Transaksi'!$B$5:$B$5000="JCL MERPATI"),ROWS($E$5:E92)),"")</f>
        <v/>
      </c>
      <c r="F92" s="5" t="n"/>
    </row>
    <row r="93">
      <c r="A93" s="10">
        <f>IF($E93="","",INDEX('Input Transaksi'!$A:$A,$E93))</f>
        <v/>
      </c>
      <c r="B93" s="5">
        <f>IF($E93="","",INDEX('Input Transaksi'!$D:$D,$E93))</f>
        <v/>
      </c>
      <c r="C93">
        <f>IF($E93="","",INDEX('Input Transaksi'!$E:$E,$E93))</f>
        <v/>
      </c>
      <c r="D93" s="5">
        <f>IF($E93="","",INDEX('Input Transaksi'!$F:$F,$E93))</f>
        <v/>
      </c>
      <c r="E93">
        <f>IFERROR(AGGREGATE(15,6,ROW('Input Transaksi'!$B$5:$B$5000)/('Input Transaksi'!$B$5:$B$5000="JCL MERPATI"),ROWS($E$5:E93)),"")</f>
        <v/>
      </c>
      <c r="F93" s="5" t="n"/>
    </row>
    <row r="94">
      <c r="A94" s="10">
        <f>IF($E94="","",INDEX('Input Transaksi'!$A:$A,$E94))</f>
        <v/>
      </c>
      <c r="B94" s="5">
        <f>IF($E94="","",INDEX('Input Transaksi'!$D:$D,$E94))</f>
        <v/>
      </c>
      <c r="C94">
        <f>IF($E94="","",INDEX('Input Transaksi'!$E:$E,$E94))</f>
        <v/>
      </c>
      <c r="D94" s="5">
        <f>IF($E94="","",INDEX('Input Transaksi'!$F:$F,$E94))</f>
        <v/>
      </c>
      <c r="E94">
        <f>IFERROR(AGGREGATE(15,6,ROW('Input Transaksi'!$B$5:$B$5000)/('Input Transaksi'!$B$5:$B$5000="JCL MERPATI"),ROWS($E$5:E94)),"")</f>
        <v/>
      </c>
      <c r="F94" s="5" t="n"/>
    </row>
    <row r="95">
      <c r="A95" s="10">
        <f>IF($E95="","",INDEX('Input Transaksi'!$A:$A,$E95))</f>
        <v/>
      </c>
      <c r="B95" s="5">
        <f>IF($E95="","",INDEX('Input Transaksi'!$D:$D,$E95))</f>
        <v/>
      </c>
      <c r="C95">
        <f>IF($E95="","",INDEX('Input Transaksi'!$E:$E,$E95))</f>
        <v/>
      </c>
      <c r="D95" s="5">
        <f>IF($E95="","",INDEX('Input Transaksi'!$F:$F,$E95))</f>
        <v/>
      </c>
      <c r="E95">
        <f>IFERROR(AGGREGATE(15,6,ROW('Input Transaksi'!$B$5:$B$5000)/('Input Transaksi'!$B$5:$B$5000="JCL MERPATI"),ROWS($E$5:E95)),"")</f>
        <v/>
      </c>
      <c r="F95" s="5" t="n"/>
    </row>
    <row r="96">
      <c r="A96" s="10">
        <f>IF($E96="","",INDEX('Input Transaksi'!$A:$A,$E96))</f>
        <v/>
      </c>
      <c r="B96" s="5">
        <f>IF($E96="","",INDEX('Input Transaksi'!$D:$D,$E96))</f>
        <v/>
      </c>
      <c r="C96">
        <f>IF($E96="","",INDEX('Input Transaksi'!$E:$E,$E96))</f>
        <v/>
      </c>
      <c r="D96" s="5">
        <f>IF($E96="","",INDEX('Input Transaksi'!$F:$F,$E96))</f>
        <v/>
      </c>
      <c r="E96">
        <f>IFERROR(AGGREGATE(15,6,ROW('Input Transaksi'!$B$5:$B$5000)/('Input Transaksi'!$B$5:$B$5000="JCL MERPATI"),ROWS($E$5:E96)),"")</f>
        <v/>
      </c>
      <c r="F96" s="5" t="n"/>
    </row>
    <row r="97">
      <c r="A97" s="10">
        <f>IF($E97="","",INDEX('Input Transaksi'!$A:$A,$E97))</f>
        <v/>
      </c>
      <c r="B97" s="5">
        <f>IF($E97="","",INDEX('Input Transaksi'!$D:$D,$E97))</f>
        <v/>
      </c>
      <c r="C97">
        <f>IF($E97="","",INDEX('Input Transaksi'!$E:$E,$E97))</f>
        <v/>
      </c>
      <c r="D97" s="5">
        <f>IF($E97="","",INDEX('Input Transaksi'!$F:$F,$E97))</f>
        <v/>
      </c>
      <c r="E97">
        <f>IFERROR(AGGREGATE(15,6,ROW('Input Transaksi'!$B$5:$B$5000)/('Input Transaksi'!$B$5:$B$5000="JCL MERPATI"),ROWS($E$5:E97)),"")</f>
        <v/>
      </c>
      <c r="F97" s="5" t="n"/>
    </row>
    <row r="98">
      <c r="A98" s="10">
        <f>IF($E98="","",INDEX('Input Transaksi'!$A:$A,$E98))</f>
        <v/>
      </c>
      <c r="B98" s="5">
        <f>IF($E98="","",INDEX('Input Transaksi'!$D:$D,$E98))</f>
        <v/>
      </c>
      <c r="C98">
        <f>IF($E98="","",INDEX('Input Transaksi'!$E:$E,$E98))</f>
        <v/>
      </c>
      <c r="D98" s="5">
        <f>IF($E98="","",INDEX('Input Transaksi'!$F:$F,$E98))</f>
        <v/>
      </c>
      <c r="E98">
        <f>IFERROR(AGGREGATE(15,6,ROW('Input Transaksi'!$B$5:$B$5000)/('Input Transaksi'!$B$5:$B$5000="JCL MERPATI"),ROWS($E$5:E98)),"")</f>
        <v/>
      </c>
      <c r="F98" s="5" t="n"/>
    </row>
    <row r="99">
      <c r="A99" s="10">
        <f>IF($E99="","",INDEX('Input Transaksi'!$A:$A,$E99))</f>
        <v/>
      </c>
      <c r="B99" s="5">
        <f>IF($E99="","",INDEX('Input Transaksi'!$D:$D,$E99))</f>
        <v/>
      </c>
      <c r="C99">
        <f>IF($E99="","",INDEX('Input Transaksi'!$E:$E,$E99))</f>
        <v/>
      </c>
      <c r="D99" s="5">
        <f>IF($E99="","",INDEX('Input Transaksi'!$F:$F,$E99))</f>
        <v/>
      </c>
      <c r="E99">
        <f>IFERROR(AGGREGATE(15,6,ROW('Input Transaksi'!$B$5:$B$5000)/('Input Transaksi'!$B$5:$B$5000="JCL MERPATI"),ROWS($E$5:E99)),"")</f>
        <v/>
      </c>
      <c r="F99" s="5" t="n"/>
    </row>
    <row r="100">
      <c r="A100" s="10">
        <f>IF($E100="","",INDEX('Input Transaksi'!$A:$A,$E100))</f>
        <v/>
      </c>
      <c r="B100" s="5">
        <f>IF($E100="","",INDEX('Input Transaksi'!$D:$D,$E100))</f>
        <v/>
      </c>
      <c r="C100">
        <f>IF($E100="","",INDEX('Input Transaksi'!$E:$E,$E100))</f>
        <v/>
      </c>
      <c r="D100" s="5">
        <f>IF($E100="","",INDEX('Input Transaksi'!$F:$F,$E100))</f>
        <v/>
      </c>
      <c r="E100">
        <f>IFERROR(AGGREGATE(15,6,ROW('Input Transaksi'!$B$5:$B$5000)/('Input Transaksi'!$B$5:$B$5000="JCL MERPATI"),ROWS($E$5:E100)),"")</f>
        <v/>
      </c>
      <c r="F100" s="5" t="n"/>
    </row>
    <row r="101">
      <c r="A101" s="10">
        <f>IF($E101="","",INDEX('Input Transaksi'!$A:$A,$E101))</f>
        <v/>
      </c>
      <c r="B101" s="5">
        <f>IF($E101="","",INDEX('Input Transaksi'!$D:$D,$E101))</f>
        <v/>
      </c>
      <c r="C101">
        <f>IF($E101="","",INDEX('Input Transaksi'!$E:$E,$E101))</f>
        <v/>
      </c>
      <c r="D101" s="5">
        <f>IF($E101="","",INDEX('Input Transaksi'!$F:$F,$E101))</f>
        <v/>
      </c>
      <c r="E101">
        <f>IFERROR(AGGREGATE(15,6,ROW('Input Transaksi'!$B$5:$B$5000)/('Input Transaksi'!$B$5:$B$5000="JCL MERPATI"),ROWS($E$5:E101)),"")</f>
        <v/>
      </c>
      <c r="F101" s="5" t="n"/>
    </row>
    <row r="102">
      <c r="A102" s="10">
        <f>IF($E102="","",INDEX('Input Transaksi'!$A:$A,$E102))</f>
        <v/>
      </c>
      <c r="B102" s="5">
        <f>IF($E102="","",INDEX('Input Transaksi'!$D:$D,$E102))</f>
        <v/>
      </c>
      <c r="C102">
        <f>IF($E102="","",INDEX('Input Transaksi'!$E:$E,$E102))</f>
        <v/>
      </c>
      <c r="D102" s="5">
        <f>IF($E102="","",INDEX('Input Transaksi'!$F:$F,$E102))</f>
        <v/>
      </c>
      <c r="E102">
        <f>IFERROR(AGGREGATE(15,6,ROW('Input Transaksi'!$B$5:$B$5000)/('Input Transaksi'!$B$5:$B$5000="JCL MERPATI"),ROWS($E$5:E102)),"")</f>
        <v/>
      </c>
      <c r="F102" s="5" t="n"/>
    </row>
    <row r="103">
      <c r="A103" s="10">
        <f>IF($E103="","",INDEX('Input Transaksi'!$A:$A,$E103))</f>
        <v/>
      </c>
      <c r="B103" s="5">
        <f>IF($E103="","",INDEX('Input Transaksi'!$D:$D,$E103))</f>
        <v/>
      </c>
      <c r="C103">
        <f>IF($E103="","",INDEX('Input Transaksi'!$E:$E,$E103))</f>
        <v/>
      </c>
      <c r="D103" s="5">
        <f>IF($E103="","",INDEX('Input Transaksi'!$F:$F,$E103))</f>
        <v/>
      </c>
      <c r="E103">
        <f>IFERROR(AGGREGATE(15,6,ROW('Input Transaksi'!$B$5:$B$5000)/('Input Transaksi'!$B$5:$B$5000="JCL MERPATI"),ROWS($E$5:E103)),"")</f>
        <v/>
      </c>
      <c r="F103" s="5" t="n"/>
    </row>
    <row r="104">
      <c r="A104" s="10">
        <f>IF($E104="","",INDEX('Input Transaksi'!$A:$A,$E104))</f>
        <v/>
      </c>
      <c r="B104" s="5">
        <f>IF($E104="","",INDEX('Input Transaksi'!$D:$D,$E104))</f>
        <v/>
      </c>
      <c r="C104">
        <f>IF($E104="","",INDEX('Input Transaksi'!$E:$E,$E104))</f>
        <v/>
      </c>
      <c r="D104" s="5">
        <f>IF($E104="","",INDEX('Input Transaksi'!$F:$F,$E104))</f>
        <v/>
      </c>
      <c r="E104">
        <f>IFERROR(AGGREGATE(15,6,ROW('Input Transaksi'!$B$5:$B$5000)/('Input Transaksi'!$B$5:$B$5000="JCL MERPATI"),ROWS($E$5:E104)),"")</f>
        <v/>
      </c>
      <c r="F104" s="5" t="n"/>
    </row>
    <row r="105">
      <c r="A105" s="10">
        <f>IF($E105="","",INDEX('Input Transaksi'!$A:$A,$E105))</f>
        <v/>
      </c>
      <c r="B105" s="5">
        <f>IF($E105="","",INDEX('Input Transaksi'!$D:$D,$E105))</f>
        <v/>
      </c>
      <c r="C105">
        <f>IF($E105="","",INDEX('Input Transaksi'!$E:$E,$E105))</f>
        <v/>
      </c>
      <c r="D105" s="5">
        <f>IF($E105="","",INDEX('Input Transaksi'!$F:$F,$E105))</f>
        <v/>
      </c>
      <c r="E105">
        <f>IFERROR(AGGREGATE(15,6,ROW('Input Transaksi'!$B$5:$B$5000)/('Input Transaksi'!$B$5:$B$5000="JCL MERPATI"),ROWS($E$5:E105)),"")</f>
        <v/>
      </c>
      <c r="F105" s="5" t="n"/>
    </row>
    <row r="106">
      <c r="A106" s="10">
        <f>IF($E106="","",INDEX('Input Transaksi'!$A:$A,$E106))</f>
        <v/>
      </c>
      <c r="B106" s="5">
        <f>IF($E106="","",INDEX('Input Transaksi'!$D:$D,$E106))</f>
        <v/>
      </c>
      <c r="C106">
        <f>IF($E106="","",INDEX('Input Transaksi'!$E:$E,$E106))</f>
        <v/>
      </c>
      <c r="D106" s="5">
        <f>IF($E106="","",INDEX('Input Transaksi'!$F:$F,$E106))</f>
        <v/>
      </c>
      <c r="E106">
        <f>IFERROR(AGGREGATE(15,6,ROW('Input Transaksi'!$B$5:$B$5000)/('Input Transaksi'!$B$5:$B$5000="JCL MERPATI"),ROWS($E$5:E106)),"")</f>
        <v/>
      </c>
      <c r="F106" s="5" t="n"/>
    </row>
    <row r="107">
      <c r="A107" s="10">
        <f>IF($E107="","",INDEX('Input Transaksi'!$A:$A,$E107))</f>
        <v/>
      </c>
      <c r="B107" s="5">
        <f>IF($E107="","",INDEX('Input Transaksi'!$D:$D,$E107))</f>
        <v/>
      </c>
      <c r="C107">
        <f>IF($E107="","",INDEX('Input Transaksi'!$E:$E,$E107))</f>
        <v/>
      </c>
      <c r="D107" s="5">
        <f>IF($E107="","",INDEX('Input Transaksi'!$F:$F,$E107))</f>
        <v/>
      </c>
      <c r="E107">
        <f>IFERROR(AGGREGATE(15,6,ROW('Input Transaksi'!$B$5:$B$5000)/('Input Transaksi'!$B$5:$B$5000="JCL MERPATI"),ROWS($E$5:E107)),"")</f>
        <v/>
      </c>
      <c r="F107" s="5" t="n"/>
    </row>
    <row r="108">
      <c r="A108" s="10">
        <f>IF($E108="","",INDEX('Input Transaksi'!$A:$A,$E108))</f>
        <v/>
      </c>
      <c r="B108" s="5">
        <f>IF($E108="","",INDEX('Input Transaksi'!$D:$D,$E108))</f>
        <v/>
      </c>
      <c r="C108">
        <f>IF($E108="","",INDEX('Input Transaksi'!$E:$E,$E108))</f>
        <v/>
      </c>
      <c r="D108" s="5">
        <f>IF($E108="","",INDEX('Input Transaksi'!$F:$F,$E108))</f>
        <v/>
      </c>
      <c r="E108">
        <f>IFERROR(AGGREGATE(15,6,ROW('Input Transaksi'!$B$5:$B$5000)/('Input Transaksi'!$B$5:$B$5000="JCL MERPATI"),ROWS($E$5:E108)),"")</f>
        <v/>
      </c>
      <c r="F108" s="5" t="n"/>
    </row>
    <row r="109">
      <c r="A109" s="10">
        <f>IF($E109="","",INDEX('Input Transaksi'!$A:$A,$E109))</f>
        <v/>
      </c>
      <c r="B109" s="5">
        <f>IF($E109="","",INDEX('Input Transaksi'!$D:$D,$E109))</f>
        <v/>
      </c>
      <c r="C109">
        <f>IF($E109="","",INDEX('Input Transaksi'!$E:$E,$E109))</f>
        <v/>
      </c>
      <c r="D109" s="5">
        <f>IF($E109="","",INDEX('Input Transaksi'!$F:$F,$E109))</f>
        <v/>
      </c>
      <c r="E109">
        <f>IFERROR(AGGREGATE(15,6,ROW('Input Transaksi'!$B$5:$B$5000)/('Input Transaksi'!$B$5:$B$5000="JCL MERPATI"),ROWS($E$5:E109)),"")</f>
        <v/>
      </c>
      <c r="F109" s="5" t="n"/>
    </row>
    <row r="110">
      <c r="A110" s="10">
        <f>IF($E110="","",INDEX('Input Transaksi'!$A:$A,$E110))</f>
        <v/>
      </c>
      <c r="B110" s="5">
        <f>IF($E110="","",INDEX('Input Transaksi'!$D:$D,$E110))</f>
        <v/>
      </c>
      <c r="C110">
        <f>IF($E110="","",INDEX('Input Transaksi'!$E:$E,$E110))</f>
        <v/>
      </c>
      <c r="D110" s="5">
        <f>IF($E110="","",INDEX('Input Transaksi'!$F:$F,$E110))</f>
        <v/>
      </c>
      <c r="E110">
        <f>IFERROR(AGGREGATE(15,6,ROW('Input Transaksi'!$B$5:$B$5000)/('Input Transaksi'!$B$5:$B$5000="JCL MERPATI"),ROWS($E$5:E110)),"")</f>
        <v/>
      </c>
      <c r="F110" s="5" t="n"/>
    </row>
    <row r="111">
      <c r="A111" s="10">
        <f>IF($E111="","",INDEX('Input Transaksi'!$A:$A,$E111))</f>
        <v/>
      </c>
      <c r="B111" s="5">
        <f>IF($E111="","",INDEX('Input Transaksi'!$D:$D,$E111))</f>
        <v/>
      </c>
      <c r="C111">
        <f>IF($E111="","",INDEX('Input Transaksi'!$E:$E,$E111))</f>
        <v/>
      </c>
      <c r="D111" s="5">
        <f>IF($E111="","",INDEX('Input Transaksi'!$F:$F,$E111))</f>
        <v/>
      </c>
      <c r="E111">
        <f>IFERROR(AGGREGATE(15,6,ROW('Input Transaksi'!$B$5:$B$5000)/('Input Transaksi'!$B$5:$B$5000="JCL MERPATI"),ROWS($E$5:E111)),"")</f>
        <v/>
      </c>
      <c r="F111" s="5" t="n"/>
    </row>
    <row r="112">
      <c r="A112" s="10">
        <f>IF($E112="","",INDEX('Input Transaksi'!$A:$A,$E112))</f>
        <v/>
      </c>
      <c r="B112" s="5">
        <f>IF($E112="","",INDEX('Input Transaksi'!$D:$D,$E112))</f>
        <v/>
      </c>
      <c r="C112">
        <f>IF($E112="","",INDEX('Input Transaksi'!$E:$E,$E112))</f>
        <v/>
      </c>
      <c r="D112" s="5">
        <f>IF($E112="","",INDEX('Input Transaksi'!$F:$F,$E112))</f>
        <v/>
      </c>
      <c r="E112">
        <f>IFERROR(AGGREGATE(15,6,ROW('Input Transaksi'!$B$5:$B$5000)/('Input Transaksi'!$B$5:$B$5000="JCL MERPATI"),ROWS($E$5:E112)),"")</f>
        <v/>
      </c>
      <c r="F112" s="5" t="n"/>
    </row>
    <row r="113">
      <c r="A113" s="10">
        <f>IF($E113="","",INDEX('Input Transaksi'!$A:$A,$E113))</f>
        <v/>
      </c>
      <c r="B113" s="5">
        <f>IF($E113="","",INDEX('Input Transaksi'!$D:$D,$E113))</f>
        <v/>
      </c>
      <c r="C113">
        <f>IF($E113="","",INDEX('Input Transaksi'!$E:$E,$E113))</f>
        <v/>
      </c>
      <c r="D113" s="5">
        <f>IF($E113="","",INDEX('Input Transaksi'!$F:$F,$E113))</f>
        <v/>
      </c>
      <c r="E113">
        <f>IFERROR(AGGREGATE(15,6,ROW('Input Transaksi'!$B$5:$B$5000)/('Input Transaksi'!$B$5:$B$5000="JCL MERPATI"),ROWS($E$5:E113)),"")</f>
        <v/>
      </c>
      <c r="F113" s="5" t="n"/>
    </row>
    <row r="114">
      <c r="A114" s="10">
        <f>IF($E114="","",INDEX('Input Transaksi'!$A:$A,$E114))</f>
        <v/>
      </c>
      <c r="B114" s="5">
        <f>IF($E114="","",INDEX('Input Transaksi'!$D:$D,$E114))</f>
        <v/>
      </c>
      <c r="C114">
        <f>IF($E114="","",INDEX('Input Transaksi'!$E:$E,$E114))</f>
        <v/>
      </c>
      <c r="D114" s="5">
        <f>IF($E114="","",INDEX('Input Transaksi'!$F:$F,$E114))</f>
        <v/>
      </c>
      <c r="E114">
        <f>IFERROR(AGGREGATE(15,6,ROW('Input Transaksi'!$B$5:$B$5000)/('Input Transaksi'!$B$5:$B$5000="JCL MERPATI"),ROWS($E$5:E114)),"")</f>
        <v/>
      </c>
      <c r="F114" s="5" t="n"/>
    </row>
    <row r="115">
      <c r="A115" s="10">
        <f>IF($E115="","",INDEX('Input Transaksi'!$A:$A,$E115))</f>
        <v/>
      </c>
      <c r="B115" s="5">
        <f>IF($E115="","",INDEX('Input Transaksi'!$D:$D,$E115))</f>
        <v/>
      </c>
      <c r="C115">
        <f>IF($E115="","",INDEX('Input Transaksi'!$E:$E,$E115))</f>
        <v/>
      </c>
      <c r="D115" s="5">
        <f>IF($E115="","",INDEX('Input Transaksi'!$F:$F,$E115))</f>
        <v/>
      </c>
      <c r="E115">
        <f>IFERROR(AGGREGATE(15,6,ROW('Input Transaksi'!$B$5:$B$5000)/('Input Transaksi'!$B$5:$B$5000="JCL MERPATI"),ROWS($E$5:E115)),"")</f>
        <v/>
      </c>
      <c r="F115" s="5" t="n"/>
    </row>
    <row r="116">
      <c r="A116" s="10">
        <f>IF($E116="","",INDEX('Input Transaksi'!$A:$A,$E116))</f>
        <v/>
      </c>
      <c r="B116" s="5">
        <f>IF($E116="","",INDEX('Input Transaksi'!$D:$D,$E116))</f>
        <v/>
      </c>
      <c r="C116">
        <f>IF($E116="","",INDEX('Input Transaksi'!$E:$E,$E116))</f>
        <v/>
      </c>
      <c r="D116" s="5">
        <f>IF($E116="","",INDEX('Input Transaksi'!$F:$F,$E116))</f>
        <v/>
      </c>
      <c r="E116">
        <f>IFERROR(AGGREGATE(15,6,ROW('Input Transaksi'!$B$5:$B$5000)/('Input Transaksi'!$B$5:$B$5000="JCL MERPATI"),ROWS($E$5:E116)),"")</f>
        <v/>
      </c>
      <c r="F116" s="5" t="n"/>
    </row>
    <row r="117">
      <c r="A117" s="10">
        <f>IF($E117="","",INDEX('Input Transaksi'!$A:$A,$E117))</f>
        <v/>
      </c>
      <c r="B117" s="5">
        <f>IF($E117="","",INDEX('Input Transaksi'!$D:$D,$E117))</f>
        <v/>
      </c>
      <c r="C117">
        <f>IF($E117="","",INDEX('Input Transaksi'!$E:$E,$E117))</f>
        <v/>
      </c>
      <c r="D117" s="5">
        <f>IF($E117="","",INDEX('Input Transaksi'!$F:$F,$E117))</f>
        <v/>
      </c>
      <c r="E117">
        <f>IFERROR(AGGREGATE(15,6,ROW('Input Transaksi'!$B$5:$B$5000)/('Input Transaksi'!$B$5:$B$5000="JCL MERPATI"),ROWS($E$5:E117)),"")</f>
        <v/>
      </c>
      <c r="F117" s="5" t="n"/>
    </row>
    <row r="118">
      <c r="A118" s="10">
        <f>IF($E118="","",INDEX('Input Transaksi'!$A:$A,$E118))</f>
        <v/>
      </c>
      <c r="B118" s="5">
        <f>IF($E118="","",INDEX('Input Transaksi'!$D:$D,$E118))</f>
        <v/>
      </c>
      <c r="C118">
        <f>IF($E118="","",INDEX('Input Transaksi'!$E:$E,$E118))</f>
        <v/>
      </c>
      <c r="D118" s="5">
        <f>IF($E118="","",INDEX('Input Transaksi'!$F:$F,$E118))</f>
        <v/>
      </c>
      <c r="E118">
        <f>IFERROR(AGGREGATE(15,6,ROW('Input Transaksi'!$B$5:$B$5000)/('Input Transaksi'!$B$5:$B$5000="JCL MERPATI"),ROWS($E$5:E118)),"")</f>
        <v/>
      </c>
      <c r="F118" s="5" t="n"/>
    </row>
    <row r="119">
      <c r="A119" s="10">
        <f>IF($E119="","",INDEX('Input Transaksi'!$A:$A,$E119))</f>
        <v/>
      </c>
      <c r="B119" s="5">
        <f>IF($E119="","",INDEX('Input Transaksi'!$D:$D,$E119))</f>
        <v/>
      </c>
      <c r="C119">
        <f>IF($E119="","",INDEX('Input Transaksi'!$E:$E,$E119))</f>
        <v/>
      </c>
      <c r="D119" s="5">
        <f>IF($E119="","",INDEX('Input Transaksi'!$F:$F,$E119))</f>
        <v/>
      </c>
      <c r="E119">
        <f>IFERROR(AGGREGATE(15,6,ROW('Input Transaksi'!$B$5:$B$5000)/('Input Transaksi'!$B$5:$B$5000="JCL MERPATI"),ROWS($E$5:E119)),"")</f>
        <v/>
      </c>
      <c r="F119" s="5" t="n"/>
    </row>
    <row r="120">
      <c r="A120" s="10">
        <f>IF($E120="","",INDEX('Input Transaksi'!$A:$A,$E120))</f>
        <v/>
      </c>
      <c r="B120" s="5">
        <f>IF($E120="","",INDEX('Input Transaksi'!$D:$D,$E120))</f>
        <v/>
      </c>
      <c r="C120">
        <f>IF($E120="","",INDEX('Input Transaksi'!$E:$E,$E120))</f>
        <v/>
      </c>
      <c r="D120" s="5">
        <f>IF($E120="","",INDEX('Input Transaksi'!$F:$F,$E120))</f>
        <v/>
      </c>
      <c r="E120">
        <f>IFERROR(AGGREGATE(15,6,ROW('Input Transaksi'!$B$5:$B$5000)/('Input Transaksi'!$B$5:$B$5000="JCL MERPATI"),ROWS($E$5:E120)),"")</f>
        <v/>
      </c>
      <c r="F120" s="5" t="n"/>
    </row>
    <row r="121">
      <c r="A121" s="10">
        <f>IF($E121="","",INDEX('Input Transaksi'!$A:$A,$E121))</f>
        <v/>
      </c>
      <c r="B121" s="5">
        <f>IF($E121="","",INDEX('Input Transaksi'!$D:$D,$E121))</f>
        <v/>
      </c>
      <c r="C121">
        <f>IF($E121="","",INDEX('Input Transaksi'!$E:$E,$E121))</f>
        <v/>
      </c>
      <c r="D121" s="5">
        <f>IF($E121="","",INDEX('Input Transaksi'!$F:$F,$E121))</f>
        <v/>
      </c>
      <c r="E121">
        <f>IFERROR(AGGREGATE(15,6,ROW('Input Transaksi'!$B$5:$B$5000)/('Input Transaksi'!$B$5:$B$5000="JCL MERPATI"),ROWS($E$5:E121)),"")</f>
        <v/>
      </c>
      <c r="F121" s="5" t="n"/>
    </row>
    <row r="122">
      <c r="A122" s="10">
        <f>IF($E122="","",INDEX('Input Transaksi'!$A:$A,$E122))</f>
        <v/>
      </c>
      <c r="B122" s="5">
        <f>IF($E122="","",INDEX('Input Transaksi'!$D:$D,$E122))</f>
        <v/>
      </c>
      <c r="C122">
        <f>IF($E122="","",INDEX('Input Transaksi'!$E:$E,$E122))</f>
        <v/>
      </c>
      <c r="D122" s="5">
        <f>IF($E122="","",INDEX('Input Transaksi'!$F:$F,$E122))</f>
        <v/>
      </c>
      <c r="E122">
        <f>IFERROR(AGGREGATE(15,6,ROW('Input Transaksi'!$B$5:$B$5000)/('Input Transaksi'!$B$5:$B$5000="JCL MERPATI"),ROWS($E$5:E122)),"")</f>
        <v/>
      </c>
      <c r="F122" s="5" t="n"/>
    </row>
    <row r="123">
      <c r="A123" s="10">
        <f>IF($E123="","",INDEX('Input Transaksi'!$A:$A,$E123))</f>
        <v/>
      </c>
      <c r="B123" s="5">
        <f>IF($E123="","",INDEX('Input Transaksi'!$D:$D,$E123))</f>
        <v/>
      </c>
      <c r="C123">
        <f>IF($E123="","",INDEX('Input Transaksi'!$E:$E,$E123))</f>
        <v/>
      </c>
      <c r="D123" s="5">
        <f>IF($E123="","",INDEX('Input Transaksi'!$F:$F,$E123))</f>
        <v/>
      </c>
      <c r="E123">
        <f>IFERROR(AGGREGATE(15,6,ROW('Input Transaksi'!$B$5:$B$5000)/('Input Transaksi'!$B$5:$B$5000="JCL MERPATI"),ROWS($E$5:E123)),"")</f>
        <v/>
      </c>
      <c r="F123" s="5" t="n"/>
    </row>
    <row r="124">
      <c r="A124" s="10">
        <f>IF($E124="","",INDEX('Input Transaksi'!$A:$A,$E124))</f>
        <v/>
      </c>
      <c r="B124" s="5">
        <f>IF($E124="","",INDEX('Input Transaksi'!$D:$D,$E124))</f>
        <v/>
      </c>
      <c r="C124">
        <f>IF($E124="","",INDEX('Input Transaksi'!$E:$E,$E124))</f>
        <v/>
      </c>
      <c r="D124" s="5">
        <f>IF($E124="","",INDEX('Input Transaksi'!$F:$F,$E124))</f>
        <v/>
      </c>
      <c r="E124">
        <f>IFERROR(AGGREGATE(15,6,ROW('Input Transaksi'!$B$5:$B$5000)/('Input Transaksi'!$B$5:$B$5000="JCL MERPATI"),ROWS($E$5:E124)),"")</f>
        <v/>
      </c>
      <c r="F124" s="5" t="n"/>
    </row>
    <row r="125">
      <c r="A125" s="10">
        <f>IF($E125="","",INDEX('Input Transaksi'!$A:$A,$E125))</f>
        <v/>
      </c>
      <c r="B125" s="5">
        <f>IF($E125="","",INDEX('Input Transaksi'!$D:$D,$E125))</f>
        <v/>
      </c>
      <c r="C125">
        <f>IF($E125="","",INDEX('Input Transaksi'!$E:$E,$E125))</f>
        <v/>
      </c>
      <c r="D125" s="5">
        <f>IF($E125="","",INDEX('Input Transaksi'!$F:$F,$E125))</f>
        <v/>
      </c>
      <c r="E125">
        <f>IFERROR(AGGREGATE(15,6,ROW('Input Transaksi'!$B$5:$B$5000)/('Input Transaksi'!$B$5:$B$5000="JCL MERPATI"),ROWS($E$5:E125)),"")</f>
        <v/>
      </c>
      <c r="F125" s="5" t="n"/>
    </row>
    <row r="126">
      <c r="A126" s="10">
        <f>IF($E126="","",INDEX('Input Transaksi'!$A:$A,$E126))</f>
        <v/>
      </c>
      <c r="B126" s="5">
        <f>IF($E126="","",INDEX('Input Transaksi'!$D:$D,$E126))</f>
        <v/>
      </c>
      <c r="C126">
        <f>IF($E126="","",INDEX('Input Transaksi'!$E:$E,$E126))</f>
        <v/>
      </c>
      <c r="D126" s="5">
        <f>IF($E126="","",INDEX('Input Transaksi'!$F:$F,$E126))</f>
        <v/>
      </c>
      <c r="E126">
        <f>IFERROR(AGGREGATE(15,6,ROW('Input Transaksi'!$B$5:$B$5000)/('Input Transaksi'!$B$5:$B$5000="JCL MERPATI"),ROWS($E$5:E126)),"")</f>
        <v/>
      </c>
      <c r="F126" s="5" t="n"/>
    </row>
    <row r="127">
      <c r="A127" s="10">
        <f>IF($E127="","",INDEX('Input Transaksi'!$A:$A,$E127))</f>
        <v/>
      </c>
      <c r="B127" s="5">
        <f>IF($E127="","",INDEX('Input Transaksi'!$D:$D,$E127))</f>
        <v/>
      </c>
      <c r="C127">
        <f>IF($E127="","",INDEX('Input Transaksi'!$E:$E,$E127))</f>
        <v/>
      </c>
      <c r="D127" s="5">
        <f>IF($E127="","",INDEX('Input Transaksi'!$F:$F,$E127))</f>
        <v/>
      </c>
      <c r="E127">
        <f>IFERROR(AGGREGATE(15,6,ROW('Input Transaksi'!$B$5:$B$5000)/('Input Transaksi'!$B$5:$B$5000="JCL MERPATI"),ROWS($E$5:E127)),"")</f>
        <v/>
      </c>
      <c r="F127" s="5" t="n"/>
    </row>
    <row r="128">
      <c r="A128" s="10">
        <f>IF($E128="","",INDEX('Input Transaksi'!$A:$A,$E128))</f>
        <v/>
      </c>
      <c r="B128" s="5">
        <f>IF($E128="","",INDEX('Input Transaksi'!$D:$D,$E128))</f>
        <v/>
      </c>
      <c r="C128">
        <f>IF($E128="","",INDEX('Input Transaksi'!$E:$E,$E128))</f>
        <v/>
      </c>
      <c r="D128" s="5">
        <f>IF($E128="","",INDEX('Input Transaksi'!$F:$F,$E128))</f>
        <v/>
      </c>
      <c r="E128">
        <f>IFERROR(AGGREGATE(15,6,ROW('Input Transaksi'!$B$5:$B$5000)/('Input Transaksi'!$B$5:$B$5000="JCL MERPATI"),ROWS($E$5:E128)),"")</f>
        <v/>
      </c>
      <c r="F128" s="5" t="n"/>
    </row>
    <row r="129">
      <c r="A129" s="10">
        <f>IF($E129="","",INDEX('Input Transaksi'!$A:$A,$E129))</f>
        <v/>
      </c>
      <c r="B129" s="5">
        <f>IF($E129="","",INDEX('Input Transaksi'!$D:$D,$E129))</f>
        <v/>
      </c>
      <c r="C129">
        <f>IF($E129="","",INDEX('Input Transaksi'!$E:$E,$E129))</f>
        <v/>
      </c>
      <c r="D129" s="5">
        <f>IF($E129="","",INDEX('Input Transaksi'!$F:$F,$E129))</f>
        <v/>
      </c>
      <c r="E129">
        <f>IFERROR(AGGREGATE(15,6,ROW('Input Transaksi'!$B$5:$B$5000)/('Input Transaksi'!$B$5:$B$5000="JCL MERPATI"),ROWS($E$5:E129)),"")</f>
        <v/>
      </c>
      <c r="F129" s="5" t="n"/>
    </row>
    <row r="130">
      <c r="A130" s="10">
        <f>IF($E130="","",INDEX('Input Transaksi'!$A:$A,$E130))</f>
        <v/>
      </c>
      <c r="B130" s="5">
        <f>IF($E130="","",INDEX('Input Transaksi'!$D:$D,$E130))</f>
        <v/>
      </c>
      <c r="C130">
        <f>IF($E130="","",INDEX('Input Transaksi'!$E:$E,$E130))</f>
        <v/>
      </c>
      <c r="D130" s="5">
        <f>IF($E130="","",INDEX('Input Transaksi'!$F:$F,$E130))</f>
        <v/>
      </c>
      <c r="E130">
        <f>IFERROR(AGGREGATE(15,6,ROW('Input Transaksi'!$B$5:$B$5000)/('Input Transaksi'!$B$5:$B$5000="JCL MERPATI"),ROWS($E$5:E130)),"")</f>
        <v/>
      </c>
      <c r="F130" s="5" t="n"/>
    </row>
    <row r="131">
      <c r="A131" s="10">
        <f>IF($E131="","",INDEX('Input Transaksi'!$A:$A,$E131))</f>
        <v/>
      </c>
      <c r="B131" s="5">
        <f>IF($E131="","",INDEX('Input Transaksi'!$D:$D,$E131))</f>
        <v/>
      </c>
      <c r="C131">
        <f>IF($E131="","",INDEX('Input Transaksi'!$E:$E,$E131))</f>
        <v/>
      </c>
      <c r="D131" s="5">
        <f>IF($E131="","",INDEX('Input Transaksi'!$F:$F,$E131))</f>
        <v/>
      </c>
      <c r="E131">
        <f>IFERROR(AGGREGATE(15,6,ROW('Input Transaksi'!$B$5:$B$5000)/('Input Transaksi'!$B$5:$B$5000="JCL MERPATI"),ROWS($E$5:E131)),"")</f>
        <v/>
      </c>
      <c r="F131" s="5" t="n"/>
    </row>
    <row r="132">
      <c r="A132" s="10">
        <f>IF($E132="","",INDEX('Input Transaksi'!$A:$A,$E132))</f>
        <v/>
      </c>
      <c r="B132" s="5">
        <f>IF($E132="","",INDEX('Input Transaksi'!$D:$D,$E132))</f>
        <v/>
      </c>
      <c r="C132">
        <f>IF($E132="","",INDEX('Input Transaksi'!$E:$E,$E132))</f>
        <v/>
      </c>
      <c r="D132" s="5">
        <f>IF($E132="","",INDEX('Input Transaksi'!$F:$F,$E132))</f>
        <v/>
      </c>
      <c r="E132">
        <f>IFERROR(AGGREGATE(15,6,ROW('Input Transaksi'!$B$5:$B$5000)/('Input Transaksi'!$B$5:$B$5000="JCL MERPATI"),ROWS($E$5:E132)),"")</f>
        <v/>
      </c>
      <c r="F132" s="5" t="n"/>
    </row>
    <row r="133">
      <c r="A133" s="10">
        <f>IF($E133="","",INDEX('Input Transaksi'!$A:$A,$E133))</f>
        <v/>
      </c>
      <c r="B133" s="5">
        <f>IF($E133="","",INDEX('Input Transaksi'!$D:$D,$E133))</f>
        <v/>
      </c>
      <c r="C133">
        <f>IF($E133="","",INDEX('Input Transaksi'!$E:$E,$E133))</f>
        <v/>
      </c>
      <c r="D133" s="5">
        <f>IF($E133="","",INDEX('Input Transaksi'!$F:$F,$E133))</f>
        <v/>
      </c>
      <c r="E133">
        <f>IFERROR(AGGREGATE(15,6,ROW('Input Transaksi'!$B$5:$B$5000)/('Input Transaksi'!$B$5:$B$5000="JCL MERPATI"),ROWS($E$5:E133)),"")</f>
        <v/>
      </c>
      <c r="F133" s="5" t="n"/>
    </row>
    <row r="134">
      <c r="A134" s="10">
        <f>IF($E134="","",INDEX('Input Transaksi'!$A:$A,$E134))</f>
        <v/>
      </c>
      <c r="B134" s="5">
        <f>IF($E134="","",INDEX('Input Transaksi'!$D:$D,$E134))</f>
        <v/>
      </c>
      <c r="C134">
        <f>IF($E134="","",INDEX('Input Transaksi'!$E:$E,$E134))</f>
        <v/>
      </c>
      <c r="D134" s="5">
        <f>IF($E134="","",INDEX('Input Transaksi'!$F:$F,$E134))</f>
        <v/>
      </c>
      <c r="E134">
        <f>IFERROR(AGGREGATE(15,6,ROW('Input Transaksi'!$B$5:$B$5000)/('Input Transaksi'!$B$5:$B$5000="JCL MERPATI"),ROWS($E$5:E134)),"")</f>
        <v/>
      </c>
      <c r="F134" s="5" t="n"/>
    </row>
    <row r="135">
      <c r="A135" s="10">
        <f>IF($E135="","",INDEX('Input Transaksi'!$A:$A,$E135))</f>
        <v/>
      </c>
      <c r="B135" s="5">
        <f>IF($E135="","",INDEX('Input Transaksi'!$D:$D,$E135))</f>
        <v/>
      </c>
      <c r="C135">
        <f>IF($E135="","",INDEX('Input Transaksi'!$E:$E,$E135))</f>
        <v/>
      </c>
      <c r="D135" s="5">
        <f>IF($E135="","",INDEX('Input Transaksi'!$F:$F,$E135))</f>
        <v/>
      </c>
      <c r="E135">
        <f>IFERROR(AGGREGATE(15,6,ROW('Input Transaksi'!$B$5:$B$5000)/('Input Transaksi'!$B$5:$B$5000="JCL MERPATI"),ROWS($E$5:E135)),"")</f>
        <v/>
      </c>
      <c r="F135" s="5" t="n"/>
    </row>
    <row r="136">
      <c r="A136" s="10">
        <f>IF($E136="","",INDEX('Input Transaksi'!$A:$A,$E136))</f>
        <v/>
      </c>
      <c r="B136" s="5">
        <f>IF($E136="","",INDEX('Input Transaksi'!$D:$D,$E136))</f>
        <v/>
      </c>
      <c r="C136">
        <f>IF($E136="","",INDEX('Input Transaksi'!$E:$E,$E136))</f>
        <v/>
      </c>
      <c r="D136" s="5">
        <f>IF($E136="","",INDEX('Input Transaksi'!$F:$F,$E136))</f>
        <v/>
      </c>
      <c r="E136">
        <f>IFERROR(AGGREGATE(15,6,ROW('Input Transaksi'!$B$5:$B$5000)/('Input Transaksi'!$B$5:$B$5000="JCL MERPATI"),ROWS($E$5:E136)),"")</f>
        <v/>
      </c>
      <c r="F136" s="5" t="n"/>
    </row>
    <row r="137">
      <c r="A137" s="10">
        <f>IF($E137="","",INDEX('Input Transaksi'!$A:$A,$E137))</f>
        <v/>
      </c>
      <c r="B137" s="5">
        <f>IF($E137="","",INDEX('Input Transaksi'!$D:$D,$E137))</f>
        <v/>
      </c>
      <c r="C137">
        <f>IF($E137="","",INDEX('Input Transaksi'!$E:$E,$E137))</f>
        <v/>
      </c>
      <c r="D137" s="5">
        <f>IF($E137="","",INDEX('Input Transaksi'!$F:$F,$E137))</f>
        <v/>
      </c>
      <c r="E137">
        <f>IFERROR(AGGREGATE(15,6,ROW('Input Transaksi'!$B$5:$B$5000)/('Input Transaksi'!$B$5:$B$5000="JCL MERPATI"),ROWS($E$5:E137)),"")</f>
        <v/>
      </c>
      <c r="F137" s="5" t="n"/>
    </row>
    <row r="138">
      <c r="A138" s="10">
        <f>IF($E138="","",INDEX('Input Transaksi'!$A:$A,$E138))</f>
        <v/>
      </c>
      <c r="B138" s="5">
        <f>IF($E138="","",INDEX('Input Transaksi'!$D:$D,$E138))</f>
        <v/>
      </c>
      <c r="C138">
        <f>IF($E138="","",INDEX('Input Transaksi'!$E:$E,$E138))</f>
        <v/>
      </c>
      <c r="D138" s="5">
        <f>IF($E138="","",INDEX('Input Transaksi'!$F:$F,$E138))</f>
        <v/>
      </c>
      <c r="E138">
        <f>IFERROR(AGGREGATE(15,6,ROW('Input Transaksi'!$B$5:$B$5000)/('Input Transaksi'!$B$5:$B$5000="JCL MERPATI"),ROWS($E$5:E138)),"")</f>
        <v/>
      </c>
      <c r="F138" s="5" t="n"/>
    </row>
    <row r="139">
      <c r="A139" s="10">
        <f>IF($E139="","",INDEX('Input Transaksi'!$A:$A,$E139))</f>
        <v/>
      </c>
      <c r="B139" s="5">
        <f>IF($E139="","",INDEX('Input Transaksi'!$D:$D,$E139))</f>
        <v/>
      </c>
      <c r="C139">
        <f>IF($E139="","",INDEX('Input Transaksi'!$E:$E,$E139))</f>
        <v/>
      </c>
      <c r="D139" s="5">
        <f>IF($E139="","",INDEX('Input Transaksi'!$F:$F,$E139))</f>
        <v/>
      </c>
      <c r="E139">
        <f>IFERROR(AGGREGATE(15,6,ROW('Input Transaksi'!$B$5:$B$5000)/('Input Transaksi'!$B$5:$B$5000="JCL MERPATI"),ROWS($E$5:E139)),"")</f>
        <v/>
      </c>
      <c r="F139" s="5" t="n"/>
    </row>
    <row r="140">
      <c r="A140" s="10">
        <f>IF($E140="","",INDEX('Input Transaksi'!$A:$A,$E140))</f>
        <v/>
      </c>
      <c r="B140" s="5">
        <f>IF($E140="","",INDEX('Input Transaksi'!$D:$D,$E140))</f>
        <v/>
      </c>
      <c r="C140">
        <f>IF($E140="","",INDEX('Input Transaksi'!$E:$E,$E140))</f>
        <v/>
      </c>
      <c r="D140" s="5">
        <f>IF($E140="","",INDEX('Input Transaksi'!$F:$F,$E140))</f>
        <v/>
      </c>
      <c r="E140">
        <f>IFERROR(AGGREGATE(15,6,ROW('Input Transaksi'!$B$5:$B$5000)/('Input Transaksi'!$B$5:$B$5000="JCL MERPATI"),ROWS($E$5:E140)),"")</f>
        <v/>
      </c>
      <c r="F140" s="5" t="n"/>
    </row>
    <row r="141">
      <c r="A141" s="10">
        <f>IF($E141="","",INDEX('Input Transaksi'!$A:$A,$E141))</f>
        <v/>
      </c>
      <c r="B141" s="5">
        <f>IF($E141="","",INDEX('Input Transaksi'!$D:$D,$E141))</f>
        <v/>
      </c>
      <c r="C141">
        <f>IF($E141="","",INDEX('Input Transaksi'!$E:$E,$E141))</f>
        <v/>
      </c>
      <c r="D141" s="5">
        <f>IF($E141="","",INDEX('Input Transaksi'!$F:$F,$E141))</f>
        <v/>
      </c>
      <c r="E141">
        <f>IFERROR(AGGREGATE(15,6,ROW('Input Transaksi'!$B$5:$B$5000)/('Input Transaksi'!$B$5:$B$5000="JCL MERPATI"),ROWS($E$5:E141)),"")</f>
        <v/>
      </c>
      <c r="F141" s="5" t="n"/>
    </row>
    <row r="142">
      <c r="A142" s="10">
        <f>IF($E142="","",INDEX('Input Transaksi'!$A:$A,$E142))</f>
        <v/>
      </c>
      <c r="B142" s="5">
        <f>IF($E142="","",INDEX('Input Transaksi'!$D:$D,$E142))</f>
        <v/>
      </c>
      <c r="C142">
        <f>IF($E142="","",INDEX('Input Transaksi'!$E:$E,$E142))</f>
        <v/>
      </c>
      <c r="D142" s="5">
        <f>IF($E142="","",INDEX('Input Transaksi'!$F:$F,$E142))</f>
        <v/>
      </c>
      <c r="E142">
        <f>IFERROR(AGGREGATE(15,6,ROW('Input Transaksi'!$B$5:$B$5000)/('Input Transaksi'!$B$5:$B$5000="JCL MERPATI"),ROWS($E$5:E142)),"")</f>
        <v/>
      </c>
      <c r="F142" s="5" t="n"/>
    </row>
    <row r="143">
      <c r="A143" s="10">
        <f>IF($E143="","",INDEX('Input Transaksi'!$A:$A,$E143))</f>
        <v/>
      </c>
      <c r="B143" s="5">
        <f>IF($E143="","",INDEX('Input Transaksi'!$D:$D,$E143))</f>
        <v/>
      </c>
      <c r="C143">
        <f>IF($E143="","",INDEX('Input Transaksi'!$E:$E,$E143))</f>
        <v/>
      </c>
      <c r="D143" s="5">
        <f>IF($E143="","",INDEX('Input Transaksi'!$F:$F,$E143))</f>
        <v/>
      </c>
      <c r="E143">
        <f>IFERROR(AGGREGATE(15,6,ROW('Input Transaksi'!$B$5:$B$5000)/('Input Transaksi'!$B$5:$B$5000="JCL MERPATI"),ROWS($E$5:E143)),"")</f>
        <v/>
      </c>
      <c r="F143" s="5" t="n"/>
    </row>
    <row r="144">
      <c r="A144" s="10">
        <f>IF($E144="","",INDEX('Input Transaksi'!$A:$A,$E144))</f>
        <v/>
      </c>
      <c r="B144" s="5">
        <f>IF($E144="","",INDEX('Input Transaksi'!$D:$D,$E144))</f>
        <v/>
      </c>
      <c r="C144">
        <f>IF($E144="","",INDEX('Input Transaksi'!$E:$E,$E144))</f>
        <v/>
      </c>
      <c r="D144" s="5">
        <f>IF($E144="","",INDEX('Input Transaksi'!$F:$F,$E144))</f>
        <v/>
      </c>
      <c r="E144">
        <f>IFERROR(AGGREGATE(15,6,ROW('Input Transaksi'!$B$5:$B$5000)/('Input Transaksi'!$B$5:$B$5000="JCL MERPATI"),ROWS($E$5:E144)),"")</f>
        <v/>
      </c>
      <c r="F144" s="5" t="n"/>
    </row>
    <row r="145">
      <c r="A145" s="10">
        <f>IF($E145="","",INDEX('Input Transaksi'!$A:$A,$E145))</f>
        <v/>
      </c>
      <c r="B145" s="5">
        <f>IF($E145="","",INDEX('Input Transaksi'!$D:$D,$E145))</f>
        <v/>
      </c>
      <c r="C145">
        <f>IF($E145="","",INDEX('Input Transaksi'!$E:$E,$E145))</f>
        <v/>
      </c>
      <c r="D145" s="5">
        <f>IF($E145="","",INDEX('Input Transaksi'!$F:$F,$E145))</f>
        <v/>
      </c>
      <c r="E145">
        <f>IFERROR(AGGREGATE(15,6,ROW('Input Transaksi'!$B$5:$B$5000)/('Input Transaksi'!$B$5:$B$5000="JCL MERPATI"),ROWS($E$5:E145)),"")</f>
        <v/>
      </c>
      <c r="F145" s="5" t="n"/>
    </row>
    <row r="146">
      <c r="A146" s="10">
        <f>IF($E146="","",INDEX('Input Transaksi'!$A:$A,$E146))</f>
        <v/>
      </c>
      <c r="B146" s="5">
        <f>IF($E146="","",INDEX('Input Transaksi'!$D:$D,$E146))</f>
        <v/>
      </c>
      <c r="C146">
        <f>IF($E146="","",INDEX('Input Transaksi'!$E:$E,$E146))</f>
        <v/>
      </c>
      <c r="D146" s="5">
        <f>IF($E146="","",INDEX('Input Transaksi'!$F:$F,$E146))</f>
        <v/>
      </c>
      <c r="E146">
        <f>IFERROR(AGGREGATE(15,6,ROW('Input Transaksi'!$B$5:$B$5000)/('Input Transaksi'!$B$5:$B$5000="JCL MERPATI"),ROWS($E$5:E146)),"")</f>
        <v/>
      </c>
      <c r="F146" s="5" t="n"/>
    </row>
    <row r="147">
      <c r="A147" s="10">
        <f>IF($E147="","",INDEX('Input Transaksi'!$A:$A,$E147))</f>
        <v/>
      </c>
      <c r="B147" s="5">
        <f>IF($E147="","",INDEX('Input Transaksi'!$D:$D,$E147))</f>
        <v/>
      </c>
      <c r="C147">
        <f>IF($E147="","",INDEX('Input Transaksi'!$E:$E,$E147))</f>
        <v/>
      </c>
      <c r="D147" s="5">
        <f>IF($E147="","",INDEX('Input Transaksi'!$F:$F,$E147))</f>
        <v/>
      </c>
      <c r="E147">
        <f>IFERROR(AGGREGATE(15,6,ROW('Input Transaksi'!$B$5:$B$5000)/('Input Transaksi'!$B$5:$B$5000="JCL MERPATI"),ROWS($E$5:E147)),"")</f>
        <v/>
      </c>
      <c r="F147" s="5" t="n"/>
    </row>
    <row r="148">
      <c r="A148" s="10">
        <f>IF($E148="","",INDEX('Input Transaksi'!$A:$A,$E148))</f>
        <v/>
      </c>
      <c r="B148" s="5">
        <f>IF($E148="","",INDEX('Input Transaksi'!$D:$D,$E148))</f>
        <v/>
      </c>
      <c r="C148">
        <f>IF($E148="","",INDEX('Input Transaksi'!$E:$E,$E148))</f>
        <v/>
      </c>
      <c r="D148" s="5">
        <f>IF($E148="","",INDEX('Input Transaksi'!$F:$F,$E148))</f>
        <v/>
      </c>
      <c r="E148">
        <f>IFERROR(AGGREGATE(15,6,ROW('Input Transaksi'!$B$5:$B$5000)/('Input Transaksi'!$B$5:$B$5000="JCL MERPATI"),ROWS($E$5:E148)),"")</f>
        <v/>
      </c>
      <c r="F148" s="5" t="n"/>
    </row>
    <row r="149">
      <c r="A149" s="10">
        <f>IF($E149="","",INDEX('Input Transaksi'!$A:$A,$E149))</f>
        <v/>
      </c>
      <c r="B149" s="5">
        <f>IF($E149="","",INDEX('Input Transaksi'!$D:$D,$E149))</f>
        <v/>
      </c>
      <c r="C149">
        <f>IF($E149="","",INDEX('Input Transaksi'!$E:$E,$E149))</f>
        <v/>
      </c>
      <c r="D149" s="5">
        <f>IF($E149="","",INDEX('Input Transaksi'!$F:$F,$E149))</f>
        <v/>
      </c>
      <c r="E149">
        <f>IFERROR(AGGREGATE(15,6,ROW('Input Transaksi'!$B$5:$B$5000)/('Input Transaksi'!$B$5:$B$5000="JCL MERPATI"),ROWS($E$5:E149)),"")</f>
        <v/>
      </c>
      <c r="F149" s="5" t="n"/>
    </row>
    <row r="150">
      <c r="A150" s="10">
        <f>IF($E150="","",INDEX('Input Transaksi'!$A:$A,$E150))</f>
        <v/>
      </c>
      <c r="B150" s="5">
        <f>IF($E150="","",INDEX('Input Transaksi'!$D:$D,$E150))</f>
        <v/>
      </c>
      <c r="C150">
        <f>IF($E150="","",INDEX('Input Transaksi'!$E:$E,$E150))</f>
        <v/>
      </c>
      <c r="D150" s="5">
        <f>IF($E150="","",INDEX('Input Transaksi'!$F:$F,$E150))</f>
        <v/>
      </c>
      <c r="E150">
        <f>IFERROR(AGGREGATE(15,6,ROW('Input Transaksi'!$B$5:$B$5000)/('Input Transaksi'!$B$5:$B$5000="JCL MERPATI"),ROWS($E$5:E150)),"")</f>
        <v/>
      </c>
      <c r="F150" s="5" t="n"/>
    </row>
    <row r="151">
      <c r="A151" s="10">
        <f>IF($E151="","",INDEX('Input Transaksi'!$A:$A,$E151))</f>
        <v/>
      </c>
      <c r="B151" s="5">
        <f>IF($E151="","",INDEX('Input Transaksi'!$D:$D,$E151))</f>
        <v/>
      </c>
      <c r="C151">
        <f>IF($E151="","",INDEX('Input Transaksi'!$E:$E,$E151))</f>
        <v/>
      </c>
      <c r="D151" s="5">
        <f>IF($E151="","",INDEX('Input Transaksi'!$F:$F,$E151))</f>
        <v/>
      </c>
      <c r="E151">
        <f>IFERROR(AGGREGATE(15,6,ROW('Input Transaksi'!$B$5:$B$5000)/('Input Transaksi'!$B$5:$B$5000="JCL MERPATI"),ROWS($E$5:E151)),"")</f>
        <v/>
      </c>
      <c r="F151" s="5" t="n"/>
    </row>
    <row r="152">
      <c r="A152" s="10">
        <f>IF($E152="","",INDEX('Input Transaksi'!$A:$A,$E152))</f>
        <v/>
      </c>
      <c r="B152" s="5">
        <f>IF($E152="","",INDEX('Input Transaksi'!$D:$D,$E152))</f>
        <v/>
      </c>
      <c r="C152">
        <f>IF($E152="","",INDEX('Input Transaksi'!$E:$E,$E152))</f>
        <v/>
      </c>
      <c r="D152" s="5">
        <f>IF($E152="","",INDEX('Input Transaksi'!$F:$F,$E152))</f>
        <v/>
      </c>
      <c r="E152">
        <f>IFERROR(AGGREGATE(15,6,ROW('Input Transaksi'!$B$5:$B$5000)/('Input Transaksi'!$B$5:$B$5000="JCL MERPATI"),ROWS($E$5:E152)),"")</f>
        <v/>
      </c>
      <c r="F152" s="5" t="n"/>
    </row>
    <row r="153">
      <c r="A153" s="10">
        <f>IF($E153="","",INDEX('Input Transaksi'!$A:$A,$E153))</f>
        <v/>
      </c>
      <c r="B153" s="5">
        <f>IF($E153="","",INDEX('Input Transaksi'!$D:$D,$E153))</f>
        <v/>
      </c>
      <c r="C153">
        <f>IF($E153="","",INDEX('Input Transaksi'!$E:$E,$E153))</f>
        <v/>
      </c>
      <c r="D153" s="5">
        <f>IF($E153="","",INDEX('Input Transaksi'!$F:$F,$E153))</f>
        <v/>
      </c>
      <c r="E153">
        <f>IFERROR(AGGREGATE(15,6,ROW('Input Transaksi'!$B$5:$B$5000)/('Input Transaksi'!$B$5:$B$5000="JCL MERPATI"),ROWS($E$5:E153)),"")</f>
        <v/>
      </c>
      <c r="F153" s="5" t="n"/>
    </row>
    <row r="154">
      <c r="A154" s="10">
        <f>IF($E154="","",INDEX('Input Transaksi'!$A:$A,$E154))</f>
        <v/>
      </c>
      <c r="B154" s="5">
        <f>IF($E154="","",INDEX('Input Transaksi'!$D:$D,$E154))</f>
        <v/>
      </c>
      <c r="C154">
        <f>IF($E154="","",INDEX('Input Transaksi'!$E:$E,$E154))</f>
        <v/>
      </c>
      <c r="D154" s="5">
        <f>IF($E154="","",INDEX('Input Transaksi'!$F:$F,$E154))</f>
        <v/>
      </c>
      <c r="E154">
        <f>IFERROR(AGGREGATE(15,6,ROW('Input Transaksi'!$B$5:$B$5000)/('Input Transaksi'!$B$5:$B$5000="JCL MERPATI"),ROWS($E$5:E154)),"")</f>
        <v/>
      </c>
      <c r="F154" s="5" t="n"/>
    </row>
    <row r="155">
      <c r="A155" s="10">
        <f>IF($E155="","",INDEX('Input Transaksi'!$A:$A,$E155))</f>
        <v/>
      </c>
      <c r="B155" s="5">
        <f>IF($E155="","",INDEX('Input Transaksi'!$D:$D,$E155))</f>
        <v/>
      </c>
      <c r="C155">
        <f>IF($E155="","",INDEX('Input Transaksi'!$E:$E,$E155))</f>
        <v/>
      </c>
      <c r="D155" s="5">
        <f>IF($E155="","",INDEX('Input Transaksi'!$F:$F,$E155))</f>
        <v/>
      </c>
      <c r="E155">
        <f>IFERROR(AGGREGATE(15,6,ROW('Input Transaksi'!$B$5:$B$5000)/('Input Transaksi'!$B$5:$B$5000="JCL MERPATI"),ROWS($E$5:E155)),"")</f>
        <v/>
      </c>
      <c r="F155" s="5" t="n"/>
    </row>
    <row r="156">
      <c r="A156" s="10">
        <f>IF($E156="","",INDEX('Input Transaksi'!$A:$A,$E156))</f>
        <v/>
      </c>
      <c r="B156" s="5">
        <f>IF($E156="","",INDEX('Input Transaksi'!$D:$D,$E156))</f>
        <v/>
      </c>
      <c r="C156">
        <f>IF($E156="","",INDEX('Input Transaksi'!$E:$E,$E156))</f>
        <v/>
      </c>
      <c r="D156" s="5">
        <f>IF($E156="","",INDEX('Input Transaksi'!$F:$F,$E156))</f>
        <v/>
      </c>
      <c r="E156">
        <f>IFERROR(AGGREGATE(15,6,ROW('Input Transaksi'!$B$5:$B$5000)/('Input Transaksi'!$B$5:$B$5000="JCL MERPATI"),ROWS($E$5:E156)),"")</f>
        <v/>
      </c>
      <c r="F156" s="5" t="n"/>
    </row>
    <row r="157">
      <c r="A157" s="10">
        <f>IF($E157="","",INDEX('Input Transaksi'!$A:$A,$E157))</f>
        <v/>
      </c>
      <c r="B157" s="5">
        <f>IF($E157="","",INDEX('Input Transaksi'!$D:$D,$E157))</f>
        <v/>
      </c>
      <c r="C157">
        <f>IF($E157="","",INDEX('Input Transaksi'!$E:$E,$E157))</f>
        <v/>
      </c>
      <c r="D157" s="5">
        <f>IF($E157="","",INDEX('Input Transaksi'!$F:$F,$E157))</f>
        <v/>
      </c>
      <c r="E157">
        <f>IFERROR(AGGREGATE(15,6,ROW('Input Transaksi'!$B$5:$B$5000)/('Input Transaksi'!$B$5:$B$5000="JCL MERPATI"),ROWS($E$5:E157)),"")</f>
        <v/>
      </c>
      <c r="F157" s="5" t="n"/>
    </row>
    <row r="158">
      <c r="A158" s="10">
        <f>IF($E158="","",INDEX('Input Transaksi'!$A:$A,$E158))</f>
        <v/>
      </c>
      <c r="B158" s="5">
        <f>IF($E158="","",INDEX('Input Transaksi'!$D:$D,$E158))</f>
        <v/>
      </c>
      <c r="C158">
        <f>IF($E158="","",INDEX('Input Transaksi'!$E:$E,$E158))</f>
        <v/>
      </c>
      <c r="D158" s="5">
        <f>IF($E158="","",INDEX('Input Transaksi'!$F:$F,$E158))</f>
        <v/>
      </c>
      <c r="E158">
        <f>IFERROR(AGGREGATE(15,6,ROW('Input Transaksi'!$B$5:$B$5000)/('Input Transaksi'!$B$5:$B$5000="JCL MERPATI"),ROWS($E$5:E158)),"")</f>
        <v/>
      </c>
      <c r="F158" s="5" t="n"/>
    </row>
    <row r="159">
      <c r="A159" s="10">
        <f>IF($E159="","",INDEX('Input Transaksi'!$A:$A,$E159))</f>
        <v/>
      </c>
      <c r="B159" s="5">
        <f>IF($E159="","",INDEX('Input Transaksi'!$D:$D,$E159))</f>
        <v/>
      </c>
      <c r="C159">
        <f>IF($E159="","",INDEX('Input Transaksi'!$E:$E,$E159))</f>
        <v/>
      </c>
      <c r="D159" s="5">
        <f>IF($E159="","",INDEX('Input Transaksi'!$F:$F,$E159))</f>
        <v/>
      </c>
      <c r="E159">
        <f>IFERROR(AGGREGATE(15,6,ROW('Input Transaksi'!$B$5:$B$5000)/('Input Transaksi'!$B$5:$B$5000="JCL MERPATI"),ROWS($E$5:E159)),"")</f>
        <v/>
      </c>
      <c r="F159" s="5" t="n"/>
    </row>
    <row r="160">
      <c r="A160" s="10">
        <f>IF($E160="","",INDEX('Input Transaksi'!$A:$A,$E160))</f>
        <v/>
      </c>
      <c r="B160" s="5">
        <f>IF($E160="","",INDEX('Input Transaksi'!$D:$D,$E160))</f>
        <v/>
      </c>
      <c r="C160">
        <f>IF($E160="","",INDEX('Input Transaksi'!$E:$E,$E160))</f>
        <v/>
      </c>
      <c r="D160" s="5">
        <f>IF($E160="","",INDEX('Input Transaksi'!$F:$F,$E160))</f>
        <v/>
      </c>
      <c r="E160">
        <f>IFERROR(AGGREGATE(15,6,ROW('Input Transaksi'!$B$5:$B$5000)/('Input Transaksi'!$B$5:$B$5000="JCL MERPATI"),ROWS($E$5:E160)),"")</f>
        <v/>
      </c>
      <c r="F160" s="5" t="n"/>
    </row>
    <row r="161">
      <c r="A161" s="10">
        <f>IF($E161="","",INDEX('Input Transaksi'!$A:$A,$E161))</f>
        <v/>
      </c>
      <c r="B161" s="5">
        <f>IF($E161="","",INDEX('Input Transaksi'!$D:$D,$E161))</f>
        <v/>
      </c>
      <c r="C161">
        <f>IF($E161="","",INDEX('Input Transaksi'!$E:$E,$E161))</f>
        <v/>
      </c>
      <c r="D161" s="5">
        <f>IF($E161="","",INDEX('Input Transaksi'!$F:$F,$E161))</f>
        <v/>
      </c>
      <c r="E161">
        <f>IFERROR(AGGREGATE(15,6,ROW('Input Transaksi'!$B$5:$B$5000)/('Input Transaksi'!$B$5:$B$5000="JCL MERPATI"),ROWS($E$5:E161)),"")</f>
        <v/>
      </c>
      <c r="F161" s="5" t="n"/>
    </row>
    <row r="162">
      <c r="A162" s="10">
        <f>IF($E162="","",INDEX('Input Transaksi'!$A:$A,$E162))</f>
        <v/>
      </c>
      <c r="B162" s="5">
        <f>IF($E162="","",INDEX('Input Transaksi'!$D:$D,$E162))</f>
        <v/>
      </c>
      <c r="C162">
        <f>IF($E162="","",INDEX('Input Transaksi'!$E:$E,$E162))</f>
        <v/>
      </c>
      <c r="D162" s="5">
        <f>IF($E162="","",INDEX('Input Transaksi'!$F:$F,$E162))</f>
        <v/>
      </c>
      <c r="E162">
        <f>IFERROR(AGGREGATE(15,6,ROW('Input Transaksi'!$B$5:$B$5000)/('Input Transaksi'!$B$5:$B$5000="JCL MERPATI"),ROWS($E$5:E162)),"")</f>
        <v/>
      </c>
      <c r="F162" s="5" t="n"/>
    </row>
    <row r="163">
      <c r="A163" s="10">
        <f>IF($E163="","",INDEX('Input Transaksi'!$A:$A,$E163))</f>
        <v/>
      </c>
      <c r="B163" s="5">
        <f>IF($E163="","",INDEX('Input Transaksi'!$D:$D,$E163))</f>
        <v/>
      </c>
      <c r="C163">
        <f>IF($E163="","",INDEX('Input Transaksi'!$E:$E,$E163))</f>
        <v/>
      </c>
      <c r="D163" s="5">
        <f>IF($E163="","",INDEX('Input Transaksi'!$F:$F,$E163))</f>
        <v/>
      </c>
      <c r="E163">
        <f>IFERROR(AGGREGATE(15,6,ROW('Input Transaksi'!$B$5:$B$5000)/('Input Transaksi'!$B$5:$B$5000="JCL MERPATI"),ROWS($E$5:E163)),"")</f>
        <v/>
      </c>
      <c r="F163" s="5" t="n"/>
    </row>
    <row r="164">
      <c r="A164" s="10">
        <f>IF($E164="","",INDEX('Input Transaksi'!$A:$A,$E164))</f>
        <v/>
      </c>
      <c r="B164" s="5">
        <f>IF($E164="","",INDEX('Input Transaksi'!$D:$D,$E164))</f>
        <v/>
      </c>
      <c r="C164">
        <f>IF($E164="","",INDEX('Input Transaksi'!$E:$E,$E164))</f>
        <v/>
      </c>
      <c r="D164" s="5">
        <f>IF($E164="","",INDEX('Input Transaksi'!$F:$F,$E164))</f>
        <v/>
      </c>
      <c r="E164">
        <f>IFERROR(AGGREGATE(15,6,ROW('Input Transaksi'!$B$5:$B$5000)/('Input Transaksi'!$B$5:$B$5000="JCL MERPATI"),ROWS($E$5:E164)),"")</f>
        <v/>
      </c>
      <c r="F164" s="5" t="n"/>
    </row>
    <row r="165">
      <c r="A165" s="10">
        <f>IF($E165="","",INDEX('Input Transaksi'!$A:$A,$E165))</f>
        <v/>
      </c>
      <c r="B165" s="5">
        <f>IF($E165="","",INDEX('Input Transaksi'!$D:$D,$E165))</f>
        <v/>
      </c>
      <c r="C165">
        <f>IF($E165="","",INDEX('Input Transaksi'!$E:$E,$E165))</f>
        <v/>
      </c>
      <c r="D165" s="5">
        <f>IF($E165="","",INDEX('Input Transaksi'!$F:$F,$E165))</f>
        <v/>
      </c>
      <c r="E165">
        <f>IFERROR(AGGREGATE(15,6,ROW('Input Transaksi'!$B$5:$B$5000)/('Input Transaksi'!$B$5:$B$5000="JCL MERPATI"),ROWS($E$5:E165)),"")</f>
        <v/>
      </c>
      <c r="F165" s="5" t="n"/>
    </row>
    <row r="166">
      <c r="A166" s="10">
        <f>IF($E166="","",INDEX('Input Transaksi'!$A:$A,$E166))</f>
        <v/>
      </c>
      <c r="B166" s="5">
        <f>IF($E166="","",INDEX('Input Transaksi'!$D:$D,$E166))</f>
        <v/>
      </c>
      <c r="C166">
        <f>IF($E166="","",INDEX('Input Transaksi'!$E:$E,$E166))</f>
        <v/>
      </c>
      <c r="D166" s="5">
        <f>IF($E166="","",INDEX('Input Transaksi'!$F:$F,$E166))</f>
        <v/>
      </c>
      <c r="E166">
        <f>IFERROR(AGGREGATE(15,6,ROW('Input Transaksi'!$B$5:$B$5000)/('Input Transaksi'!$B$5:$B$5000="JCL MERPATI"),ROWS($E$5:E166)),"")</f>
        <v/>
      </c>
      <c r="F166" s="5" t="n"/>
    </row>
    <row r="167">
      <c r="A167" s="10">
        <f>IF($E167="","",INDEX('Input Transaksi'!$A:$A,$E167))</f>
        <v/>
      </c>
      <c r="B167" s="5">
        <f>IF($E167="","",INDEX('Input Transaksi'!$D:$D,$E167))</f>
        <v/>
      </c>
      <c r="C167">
        <f>IF($E167="","",INDEX('Input Transaksi'!$E:$E,$E167))</f>
        <v/>
      </c>
      <c r="D167" s="5">
        <f>IF($E167="","",INDEX('Input Transaksi'!$F:$F,$E167))</f>
        <v/>
      </c>
      <c r="E167">
        <f>IFERROR(AGGREGATE(15,6,ROW('Input Transaksi'!$B$5:$B$5000)/('Input Transaksi'!$B$5:$B$5000="JCL MERPATI"),ROWS($E$5:E167)),"")</f>
        <v/>
      </c>
      <c r="F167" s="5" t="n"/>
    </row>
    <row r="168">
      <c r="A168" s="10">
        <f>IF($E168="","",INDEX('Input Transaksi'!$A:$A,$E168))</f>
        <v/>
      </c>
      <c r="B168" s="5">
        <f>IF($E168="","",INDEX('Input Transaksi'!$D:$D,$E168))</f>
        <v/>
      </c>
      <c r="C168">
        <f>IF($E168="","",INDEX('Input Transaksi'!$E:$E,$E168))</f>
        <v/>
      </c>
      <c r="D168" s="5">
        <f>IF($E168="","",INDEX('Input Transaksi'!$F:$F,$E168))</f>
        <v/>
      </c>
      <c r="E168">
        <f>IFERROR(AGGREGATE(15,6,ROW('Input Transaksi'!$B$5:$B$5000)/('Input Transaksi'!$B$5:$B$5000="JCL MERPATI"),ROWS($E$5:E168)),"")</f>
        <v/>
      </c>
      <c r="F168" s="5" t="n"/>
    </row>
    <row r="169">
      <c r="A169" s="10">
        <f>IF($E169="","",INDEX('Input Transaksi'!$A:$A,$E169))</f>
        <v/>
      </c>
      <c r="B169" s="5">
        <f>IF($E169="","",INDEX('Input Transaksi'!$D:$D,$E169))</f>
        <v/>
      </c>
      <c r="C169">
        <f>IF($E169="","",INDEX('Input Transaksi'!$E:$E,$E169))</f>
        <v/>
      </c>
      <c r="D169" s="5">
        <f>IF($E169="","",INDEX('Input Transaksi'!$F:$F,$E169))</f>
        <v/>
      </c>
      <c r="E169">
        <f>IFERROR(AGGREGATE(15,6,ROW('Input Transaksi'!$B$5:$B$5000)/('Input Transaksi'!$B$5:$B$5000="JCL MERPATI"),ROWS($E$5:E169)),"")</f>
        <v/>
      </c>
      <c r="F169" s="5" t="n"/>
    </row>
    <row r="170">
      <c r="A170" s="10">
        <f>IF($E170="","",INDEX('Input Transaksi'!$A:$A,$E170))</f>
        <v/>
      </c>
      <c r="B170" s="5">
        <f>IF($E170="","",INDEX('Input Transaksi'!$D:$D,$E170))</f>
        <v/>
      </c>
      <c r="C170">
        <f>IF($E170="","",INDEX('Input Transaksi'!$E:$E,$E170))</f>
        <v/>
      </c>
      <c r="D170" s="5">
        <f>IF($E170="","",INDEX('Input Transaksi'!$F:$F,$E170))</f>
        <v/>
      </c>
      <c r="E170">
        <f>IFERROR(AGGREGATE(15,6,ROW('Input Transaksi'!$B$5:$B$5000)/('Input Transaksi'!$B$5:$B$5000="JCL MERPATI"),ROWS($E$5:E170)),"")</f>
        <v/>
      </c>
      <c r="F170" s="5" t="n"/>
    </row>
    <row r="171">
      <c r="A171" s="10">
        <f>IF($E171="","",INDEX('Input Transaksi'!$A:$A,$E171))</f>
        <v/>
      </c>
      <c r="B171" s="5">
        <f>IF($E171="","",INDEX('Input Transaksi'!$D:$D,$E171))</f>
        <v/>
      </c>
      <c r="C171">
        <f>IF($E171="","",INDEX('Input Transaksi'!$E:$E,$E171))</f>
        <v/>
      </c>
      <c r="D171" s="5">
        <f>IF($E171="","",INDEX('Input Transaksi'!$F:$F,$E171))</f>
        <v/>
      </c>
      <c r="E171">
        <f>IFERROR(AGGREGATE(15,6,ROW('Input Transaksi'!$B$5:$B$5000)/('Input Transaksi'!$B$5:$B$5000="JCL MERPATI"),ROWS($E$5:E171)),"")</f>
        <v/>
      </c>
      <c r="F171" s="5" t="n"/>
    </row>
    <row r="172">
      <c r="A172" s="10">
        <f>IF($E172="","",INDEX('Input Transaksi'!$A:$A,$E172))</f>
        <v/>
      </c>
      <c r="B172" s="5">
        <f>IF($E172="","",INDEX('Input Transaksi'!$D:$D,$E172))</f>
        <v/>
      </c>
      <c r="C172">
        <f>IF($E172="","",INDEX('Input Transaksi'!$E:$E,$E172))</f>
        <v/>
      </c>
      <c r="D172" s="5">
        <f>IF($E172="","",INDEX('Input Transaksi'!$F:$F,$E172))</f>
        <v/>
      </c>
      <c r="E172">
        <f>IFERROR(AGGREGATE(15,6,ROW('Input Transaksi'!$B$5:$B$5000)/('Input Transaksi'!$B$5:$B$5000="JCL MERPATI"),ROWS($E$5:E172)),"")</f>
        <v/>
      </c>
      <c r="F172" s="5" t="n"/>
    </row>
    <row r="173">
      <c r="A173" s="10">
        <f>IF($E173="","",INDEX('Input Transaksi'!$A:$A,$E173))</f>
        <v/>
      </c>
      <c r="B173" s="5">
        <f>IF($E173="","",INDEX('Input Transaksi'!$D:$D,$E173))</f>
        <v/>
      </c>
      <c r="C173">
        <f>IF($E173="","",INDEX('Input Transaksi'!$E:$E,$E173))</f>
        <v/>
      </c>
      <c r="D173" s="5">
        <f>IF($E173="","",INDEX('Input Transaksi'!$F:$F,$E173))</f>
        <v/>
      </c>
      <c r="E173">
        <f>IFERROR(AGGREGATE(15,6,ROW('Input Transaksi'!$B$5:$B$5000)/('Input Transaksi'!$B$5:$B$5000="JCL MERPATI"),ROWS($E$5:E173)),"")</f>
        <v/>
      </c>
      <c r="F173" s="5" t="n"/>
    </row>
    <row r="174">
      <c r="A174" s="10">
        <f>IF($E174="","",INDEX('Input Transaksi'!$A:$A,$E174))</f>
        <v/>
      </c>
      <c r="B174" s="5">
        <f>IF($E174="","",INDEX('Input Transaksi'!$D:$D,$E174))</f>
        <v/>
      </c>
      <c r="C174">
        <f>IF($E174="","",INDEX('Input Transaksi'!$E:$E,$E174))</f>
        <v/>
      </c>
      <c r="D174" s="5">
        <f>IF($E174="","",INDEX('Input Transaksi'!$F:$F,$E174))</f>
        <v/>
      </c>
      <c r="E174">
        <f>IFERROR(AGGREGATE(15,6,ROW('Input Transaksi'!$B$5:$B$5000)/('Input Transaksi'!$B$5:$B$5000="JCL MERPATI"),ROWS($E$5:E174)),"")</f>
        <v/>
      </c>
      <c r="F174" s="5" t="n"/>
    </row>
    <row r="175">
      <c r="A175" s="10">
        <f>IF($E175="","",INDEX('Input Transaksi'!$A:$A,$E175))</f>
        <v/>
      </c>
      <c r="B175" s="5">
        <f>IF($E175="","",INDEX('Input Transaksi'!$D:$D,$E175))</f>
        <v/>
      </c>
      <c r="C175">
        <f>IF($E175="","",INDEX('Input Transaksi'!$E:$E,$E175))</f>
        <v/>
      </c>
      <c r="D175" s="5">
        <f>IF($E175="","",INDEX('Input Transaksi'!$F:$F,$E175))</f>
        <v/>
      </c>
      <c r="E175">
        <f>IFERROR(AGGREGATE(15,6,ROW('Input Transaksi'!$B$5:$B$5000)/('Input Transaksi'!$B$5:$B$5000="JCL MERPATI"),ROWS($E$5:E175)),"")</f>
        <v/>
      </c>
      <c r="F175" s="5" t="n"/>
    </row>
    <row r="176">
      <c r="A176" s="10">
        <f>IF($E176="","",INDEX('Input Transaksi'!$A:$A,$E176))</f>
        <v/>
      </c>
      <c r="B176" s="5">
        <f>IF($E176="","",INDEX('Input Transaksi'!$D:$D,$E176))</f>
        <v/>
      </c>
      <c r="C176">
        <f>IF($E176="","",INDEX('Input Transaksi'!$E:$E,$E176))</f>
        <v/>
      </c>
      <c r="D176" s="5">
        <f>IF($E176="","",INDEX('Input Transaksi'!$F:$F,$E176))</f>
        <v/>
      </c>
      <c r="E176">
        <f>IFERROR(AGGREGATE(15,6,ROW('Input Transaksi'!$B$5:$B$5000)/('Input Transaksi'!$B$5:$B$5000="JCL MERPATI"),ROWS($E$5:E176)),"")</f>
        <v/>
      </c>
      <c r="F176" s="5" t="n"/>
    </row>
    <row r="177">
      <c r="A177" s="10">
        <f>IF($E177="","",INDEX('Input Transaksi'!$A:$A,$E177))</f>
        <v/>
      </c>
      <c r="B177" s="5">
        <f>IF($E177="","",INDEX('Input Transaksi'!$D:$D,$E177))</f>
        <v/>
      </c>
      <c r="C177">
        <f>IF($E177="","",INDEX('Input Transaksi'!$E:$E,$E177))</f>
        <v/>
      </c>
      <c r="D177" s="5">
        <f>IF($E177="","",INDEX('Input Transaksi'!$F:$F,$E177))</f>
        <v/>
      </c>
      <c r="E177">
        <f>IFERROR(AGGREGATE(15,6,ROW('Input Transaksi'!$B$5:$B$5000)/('Input Transaksi'!$B$5:$B$5000="JCL MERPATI"),ROWS($E$5:E177)),"")</f>
        <v/>
      </c>
      <c r="F177" s="5" t="n"/>
    </row>
    <row r="178">
      <c r="A178" s="10">
        <f>IF($E178="","",INDEX('Input Transaksi'!$A:$A,$E178))</f>
        <v/>
      </c>
      <c r="B178" s="5">
        <f>IF($E178="","",INDEX('Input Transaksi'!$D:$D,$E178))</f>
        <v/>
      </c>
      <c r="C178">
        <f>IF($E178="","",INDEX('Input Transaksi'!$E:$E,$E178))</f>
        <v/>
      </c>
      <c r="D178" s="5">
        <f>IF($E178="","",INDEX('Input Transaksi'!$F:$F,$E178))</f>
        <v/>
      </c>
      <c r="E178">
        <f>IFERROR(AGGREGATE(15,6,ROW('Input Transaksi'!$B$5:$B$5000)/('Input Transaksi'!$B$5:$B$5000="JCL MERPATI"),ROWS($E$5:E178)),"")</f>
        <v/>
      </c>
      <c r="F178" s="5" t="n"/>
    </row>
    <row r="179">
      <c r="A179" s="10">
        <f>IF($E179="","",INDEX('Input Transaksi'!$A:$A,$E179))</f>
        <v/>
      </c>
      <c r="B179" s="5">
        <f>IF($E179="","",INDEX('Input Transaksi'!$D:$D,$E179))</f>
        <v/>
      </c>
      <c r="C179">
        <f>IF($E179="","",INDEX('Input Transaksi'!$E:$E,$E179))</f>
        <v/>
      </c>
      <c r="D179" s="5">
        <f>IF($E179="","",INDEX('Input Transaksi'!$F:$F,$E179))</f>
        <v/>
      </c>
      <c r="E179">
        <f>IFERROR(AGGREGATE(15,6,ROW('Input Transaksi'!$B$5:$B$5000)/('Input Transaksi'!$B$5:$B$5000="JCL MERPATI"),ROWS($E$5:E179)),"")</f>
        <v/>
      </c>
      <c r="F179" s="5" t="n"/>
    </row>
    <row r="180">
      <c r="A180" s="10">
        <f>IF($E180="","",INDEX('Input Transaksi'!$A:$A,$E180))</f>
        <v/>
      </c>
      <c r="B180" s="5">
        <f>IF($E180="","",INDEX('Input Transaksi'!$D:$D,$E180))</f>
        <v/>
      </c>
      <c r="C180">
        <f>IF($E180="","",INDEX('Input Transaksi'!$E:$E,$E180))</f>
        <v/>
      </c>
      <c r="D180" s="5">
        <f>IF($E180="","",INDEX('Input Transaksi'!$F:$F,$E180))</f>
        <v/>
      </c>
      <c r="E180">
        <f>IFERROR(AGGREGATE(15,6,ROW('Input Transaksi'!$B$5:$B$5000)/('Input Transaksi'!$B$5:$B$5000="JCL MERPATI"),ROWS($E$5:E180)),"")</f>
        <v/>
      </c>
      <c r="F180" s="5" t="n"/>
    </row>
    <row r="181">
      <c r="A181" s="10">
        <f>IF($E181="","",INDEX('Input Transaksi'!$A:$A,$E181))</f>
        <v/>
      </c>
      <c r="B181" s="5">
        <f>IF($E181="","",INDEX('Input Transaksi'!$D:$D,$E181))</f>
        <v/>
      </c>
      <c r="C181">
        <f>IF($E181="","",INDEX('Input Transaksi'!$E:$E,$E181))</f>
        <v/>
      </c>
      <c r="D181" s="5">
        <f>IF($E181="","",INDEX('Input Transaksi'!$F:$F,$E181))</f>
        <v/>
      </c>
      <c r="E181">
        <f>IFERROR(AGGREGATE(15,6,ROW('Input Transaksi'!$B$5:$B$5000)/('Input Transaksi'!$B$5:$B$5000="JCL MERPATI"),ROWS($E$5:E181)),"")</f>
        <v/>
      </c>
      <c r="F181" s="5" t="n"/>
    </row>
    <row r="182">
      <c r="A182" s="10">
        <f>IF($E182="","",INDEX('Input Transaksi'!$A:$A,$E182))</f>
        <v/>
      </c>
      <c r="B182" s="5">
        <f>IF($E182="","",INDEX('Input Transaksi'!$D:$D,$E182))</f>
        <v/>
      </c>
      <c r="C182">
        <f>IF($E182="","",INDEX('Input Transaksi'!$E:$E,$E182))</f>
        <v/>
      </c>
      <c r="D182" s="5">
        <f>IF($E182="","",INDEX('Input Transaksi'!$F:$F,$E182))</f>
        <v/>
      </c>
      <c r="E182">
        <f>IFERROR(AGGREGATE(15,6,ROW('Input Transaksi'!$B$5:$B$5000)/('Input Transaksi'!$B$5:$B$5000="JCL MERPATI"),ROWS($E$5:E182)),"")</f>
        <v/>
      </c>
      <c r="F182" s="5" t="n"/>
    </row>
    <row r="183">
      <c r="A183" s="10">
        <f>IF($E183="","",INDEX('Input Transaksi'!$A:$A,$E183))</f>
        <v/>
      </c>
      <c r="B183" s="5">
        <f>IF($E183="","",INDEX('Input Transaksi'!$D:$D,$E183))</f>
        <v/>
      </c>
      <c r="C183">
        <f>IF($E183="","",INDEX('Input Transaksi'!$E:$E,$E183))</f>
        <v/>
      </c>
      <c r="D183" s="5">
        <f>IF($E183="","",INDEX('Input Transaksi'!$F:$F,$E183))</f>
        <v/>
      </c>
      <c r="E183">
        <f>IFERROR(AGGREGATE(15,6,ROW('Input Transaksi'!$B$5:$B$5000)/('Input Transaksi'!$B$5:$B$5000="JCL MERPATI"),ROWS($E$5:E183)),"")</f>
        <v/>
      </c>
      <c r="F183" s="5" t="n"/>
    </row>
    <row r="184">
      <c r="A184" s="10">
        <f>IF($E184="","",INDEX('Input Transaksi'!$A:$A,$E184))</f>
        <v/>
      </c>
      <c r="B184" s="5">
        <f>IF($E184="","",INDEX('Input Transaksi'!$D:$D,$E184))</f>
        <v/>
      </c>
      <c r="C184">
        <f>IF($E184="","",INDEX('Input Transaksi'!$E:$E,$E184))</f>
        <v/>
      </c>
      <c r="D184" s="5">
        <f>IF($E184="","",INDEX('Input Transaksi'!$F:$F,$E184))</f>
        <v/>
      </c>
      <c r="E184">
        <f>IFERROR(AGGREGATE(15,6,ROW('Input Transaksi'!$B$5:$B$5000)/('Input Transaksi'!$B$5:$B$5000="JCL MERPATI"),ROWS($E$5:E184)),"")</f>
        <v/>
      </c>
      <c r="F184" s="5" t="n"/>
    </row>
    <row r="185">
      <c r="A185" s="10">
        <f>IF($E185="","",INDEX('Input Transaksi'!$A:$A,$E185))</f>
        <v/>
      </c>
      <c r="B185" s="5">
        <f>IF($E185="","",INDEX('Input Transaksi'!$D:$D,$E185))</f>
        <v/>
      </c>
      <c r="C185">
        <f>IF($E185="","",INDEX('Input Transaksi'!$E:$E,$E185))</f>
        <v/>
      </c>
      <c r="D185" s="5">
        <f>IF($E185="","",INDEX('Input Transaksi'!$F:$F,$E185))</f>
        <v/>
      </c>
      <c r="E185">
        <f>IFERROR(AGGREGATE(15,6,ROW('Input Transaksi'!$B$5:$B$5000)/('Input Transaksi'!$B$5:$B$5000="JCL MERPATI"),ROWS($E$5:E185)),"")</f>
        <v/>
      </c>
      <c r="F185" s="5" t="n"/>
    </row>
    <row r="186">
      <c r="A186" s="10">
        <f>IF($E186="","",INDEX('Input Transaksi'!$A:$A,$E186))</f>
        <v/>
      </c>
      <c r="B186" s="5">
        <f>IF($E186="","",INDEX('Input Transaksi'!$D:$D,$E186))</f>
        <v/>
      </c>
      <c r="C186">
        <f>IF($E186="","",INDEX('Input Transaksi'!$E:$E,$E186))</f>
        <v/>
      </c>
      <c r="D186" s="5">
        <f>IF($E186="","",INDEX('Input Transaksi'!$F:$F,$E186))</f>
        <v/>
      </c>
      <c r="E186">
        <f>IFERROR(AGGREGATE(15,6,ROW('Input Transaksi'!$B$5:$B$5000)/('Input Transaksi'!$B$5:$B$5000="JCL MERPATI"),ROWS($E$5:E186)),"")</f>
        <v/>
      </c>
      <c r="F186" s="5" t="n"/>
    </row>
    <row r="187">
      <c r="A187" s="10">
        <f>IF($E187="","",INDEX('Input Transaksi'!$A:$A,$E187))</f>
        <v/>
      </c>
      <c r="B187" s="5">
        <f>IF($E187="","",INDEX('Input Transaksi'!$D:$D,$E187))</f>
        <v/>
      </c>
      <c r="C187">
        <f>IF($E187="","",INDEX('Input Transaksi'!$E:$E,$E187))</f>
        <v/>
      </c>
      <c r="D187" s="5">
        <f>IF($E187="","",INDEX('Input Transaksi'!$F:$F,$E187))</f>
        <v/>
      </c>
      <c r="E187">
        <f>IFERROR(AGGREGATE(15,6,ROW('Input Transaksi'!$B$5:$B$5000)/('Input Transaksi'!$B$5:$B$5000="JCL MERPATI"),ROWS($E$5:E187)),"")</f>
        <v/>
      </c>
      <c r="F187" s="5" t="n"/>
    </row>
    <row r="188">
      <c r="A188" s="10">
        <f>IF($E188="","",INDEX('Input Transaksi'!$A:$A,$E188))</f>
        <v/>
      </c>
      <c r="B188" s="5">
        <f>IF($E188="","",INDEX('Input Transaksi'!$D:$D,$E188))</f>
        <v/>
      </c>
      <c r="C188">
        <f>IF($E188="","",INDEX('Input Transaksi'!$E:$E,$E188))</f>
        <v/>
      </c>
      <c r="D188" s="5">
        <f>IF($E188="","",INDEX('Input Transaksi'!$F:$F,$E188))</f>
        <v/>
      </c>
      <c r="E188">
        <f>IFERROR(AGGREGATE(15,6,ROW('Input Transaksi'!$B$5:$B$5000)/('Input Transaksi'!$B$5:$B$5000="JCL MERPATI"),ROWS($E$5:E188)),"")</f>
        <v/>
      </c>
      <c r="F188" s="5" t="n"/>
    </row>
    <row r="189">
      <c r="A189" s="10">
        <f>IF($E189="","",INDEX('Input Transaksi'!$A:$A,$E189))</f>
        <v/>
      </c>
      <c r="B189" s="5">
        <f>IF($E189="","",INDEX('Input Transaksi'!$D:$D,$E189))</f>
        <v/>
      </c>
      <c r="C189">
        <f>IF($E189="","",INDEX('Input Transaksi'!$E:$E,$E189))</f>
        <v/>
      </c>
      <c r="D189" s="5">
        <f>IF($E189="","",INDEX('Input Transaksi'!$F:$F,$E189))</f>
        <v/>
      </c>
      <c r="E189">
        <f>IFERROR(AGGREGATE(15,6,ROW('Input Transaksi'!$B$5:$B$5000)/('Input Transaksi'!$B$5:$B$5000="JCL MERPATI"),ROWS($E$5:E189)),"")</f>
        <v/>
      </c>
      <c r="F189" s="5" t="n"/>
    </row>
    <row r="190">
      <c r="A190" s="10">
        <f>IF($E190="","",INDEX('Input Transaksi'!$A:$A,$E190))</f>
        <v/>
      </c>
      <c r="B190" s="5">
        <f>IF($E190="","",INDEX('Input Transaksi'!$D:$D,$E190))</f>
        <v/>
      </c>
      <c r="C190">
        <f>IF($E190="","",INDEX('Input Transaksi'!$E:$E,$E190))</f>
        <v/>
      </c>
      <c r="D190" s="5">
        <f>IF($E190="","",INDEX('Input Transaksi'!$F:$F,$E190))</f>
        <v/>
      </c>
      <c r="E190">
        <f>IFERROR(AGGREGATE(15,6,ROW('Input Transaksi'!$B$5:$B$5000)/('Input Transaksi'!$B$5:$B$5000="JCL MERPATI"),ROWS($E$5:E190)),"")</f>
        <v/>
      </c>
      <c r="F190" s="5" t="n"/>
    </row>
    <row r="191">
      <c r="A191" s="10">
        <f>IF($E191="","",INDEX('Input Transaksi'!$A:$A,$E191))</f>
        <v/>
      </c>
      <c r="B191" s="5">
        <f>IF($E191="","",INDEX('Input Transaksi'!$D:$D,$E191))</f>
        <v/>
      </c>
      <c r="C191">
        <f>IF($E191="","",INDEX('Input Transaksi'!$E:$E,$E191))</f>
        <v/>
      </c>
      <c r="D191" s="5">
        <f>IF($E191="","",INDEX('Input Transaksi'!$F:$F,$E191))</f>
        <v/>
      </c>
      <c r="E191">
        <f>IFERROR(AGGREGATE(15,6,ROW('Input Transaksi'!$B$5:$B$5000)/('Input Transaksi'!$B$5:$B$5000="JCL MERPATI"),ROWS($E$5:E191)),"")</f>
        <v/>
      </c>
      <c r="F191" s="5" t="n"/>
    </row>
    <row r="192">
      <c r="A192" s="10">
        <f>IF($E192="","",INDEX('Input Transaksi'!$A:$A,$E192))</f>
        <v/>
      </c>
      <c r="B192" s="5">
        <f>IF($E192="","",INDEX('Input Transaksi'!$D:$D,$E192))</f>
        <v/>
      </c>
      <c r="C192">
        <f>IF($E192="","",INDEX('Input Transaksi'!$E:$E,$E192))</f>
        <v/>
      </c>
      <c r="D192" s="5">
        <f>IF($E192="","",INDEX('Input Transaksi'!$F:$F,$E192))</f>
        <v/>
      </c>
      <c r="E192">
        <f>IFERROR(AGGREGATE(15,6,ROW('Input Transaksi'!$B$5:$B$5000)/('Input Transaksi'!$B$5:$B$5000="JCL MERPATI"),ROWS($E$5:E192)),"")</f>
        <v/>
      </c>
      <c r="F192" s="5" t="n"/>
    </row>
    <row r="193">
      <c r="A193" s="10">
        <f>IF($E193="","",INDEX('Input Transaksi'!$A:$A,$E193))</f>
        <v/>
      </c>
      <c r="B193" s="5">
        <f>IF($E193="","",INDEX('Input Transaksi'!$D:$D,$E193))</f>
        <v/>
      </c>
      <c r="C193">
        <f>IF($E193="","",INDEX('Input Transaksi'!$E:$E,$E193))</f>
        <v/>
      </c>
      <c r="D193" s="5">
        <f>IF($E193="","",INDEX('Input Transaksi'!$F:$F,$E193))</f>
        <v/>
      </c>
      <c r="E193">
        <f>IFERROR(AGGREGATE(15,6,ROW('Input Transaksi'!$B$5:$B$5000)/('Input Transaksi'!$B$5:$B$5000="JCL MERPATI"),ROWS($E$5:E193)),"")</f>
        <v/>
      </c>
      <c r="F193" s="5" t="n"/>
    </row>
    <row r="194">
      <c r="A194" s="10">
        <f>IF($E194="","",INDEX('Input Transaksi'!$A:$A,$E194))</f>
        <v/>
      </c>
      <c r="B194" s="5">
        <f>IF($E194="","",INDEX('Input Transaksi'!$D:$D,$E194))</f>
        <v/>
      </c>
      <c r="C194">
        <f>IF($E194="","",INDEX('Input Transaksi'!$E:$E,$E194))</f>
        <v/>
      </c>
      <c r="D194" s="5">
        <f>IF($E194="","",INDEX('Input Transaksi'!$F:$F,$E194))</f>
        <v/>
      </c>
      <c r="E194">
        <f>IFERROR(AGGREGATE(15,6,ROW('Input Transaksi'!$B$5:$B$5000)/('Input Transaksi'!$B$5:$B$5000="JCL MERPATI"),ROWS($E$5:E194)),"")</f>
        <v/>
      </c>
      <c r="F194" s="5" t="n"/>
    </row>
    <row r="195">
      <c r="A195" s="10">
        <f>IF($E195="","",INDEX('Input Transaksi'!$A:$A,$E195))</f>
        <v/>
      </c>
      <c r="B195" s="5">
        <f>IF($E195="","",INDEX('Input Transaksi'!$D:$D,$E195))</f>
        <v/>
      </c>
      <c r="C195">
        <f>IF($E195="","",INDEX('Input Transaksi'!$E:$E,$E195))</f>
        <v/>
      </c>
      <c r="D195" s="5">
        <f>IF($E195="","",INDEX('Input Transaksi'!$F:$F,$E195))</f>
        <v/>
      </c>
      <c r="E195">
        <f>IFERROR(AGGREGATE(15,6,ROW('Input Transaksi'!$B$5:$B$5000)/('Input Transaksi'!$B$5:$B$5000="JCL MERPATI"),ROWS($E$5:E195)),"")</f>
        <v/>
      </c>
      <c r="F195" s="5" t="n"/>
    </row>
    <row r="196">
      <c r="A196" s="10">
        <f>IF($E196="","",INDEX('Input Transaksi'!$A:$A,$E196))</f>
        <v/>
      </c>
      <c r="B196" s="5">
        <f>IF($E196="","",INDEX('Input Transaksi'!$D:$D,$E196))</f>
        <v/>
      </c>
      <c r="C196">
        <f>IF($E196="","",INDEX('Input Transaksi'!$E:$E,$E196))</f>
        <v/>
      </c>
      <c r="D196" s="5">
        <f>IF($E196="","",INDEX('Input Transaksi'!$F:$F,$E196))</f>
        <v/>
      </c>
      <c r="E196">
        <f>IFERROR(AGGREGATE(15,6,ROW('Input Transaksi'!$B$5:$B$5000)/('Input Transaksi'!$B$5:$B$5000="JCL MERPATI"),ROWS($E$5:E196)),"")</f>
        <v/>
      </c>
      <c r="F196" s="5" t="n"/>
    </row>
    <row r="197">
      <c r="A197" s="10">
        <f>IF($E197="","",INDEX('Input Transaksi'!$A:$A,$E197))</f>
        <v/>
      </c>
      <c r="B197" s="5">
        <f>IF($E197="","",INDEX('Input Transaksi'!$D:$D,$E197))</f>
        <v/>
      </c>
      <c r="C197">
        <f>IF($E197="","",INDEX('Input Transaksi'!$E:$E,$E197))</f>
        <v/>
      </c>
      <c r="D197" s="5">
        <f>IF($E197="","",INDEX('Input Transaksi'!$F:$F,$E197))</f>
        <v/>
      </c>
      <c r="E197">
        <f>IFERROR(AGGREGATE(15,6,ROW('Input Transaksi'!$B$5:$B$5000)/('Input Transaksi'!$B$5:$B$5000="JCL MERPATI"),ROWS($E$5:E197)),"")</f>
        <v/>
      </c>
      <c r="F197" s="5" t="n"/>
    </row>
    <row r="198">
      <c r="A198" s="10">
        <f>IF($E198="","",INDEX('Input Transaksi'!$A:$A,$E198))</f>
        <v/>
      </c>
      <c r="B198" s="5">
        <f>IF($E198="","",INDEX('Input Transaksi'!$D:$D,$E198))</f>
        <v/>
      </c>
      <c r="C198">
        <f>IF($E198="","",INDEX('Input Transaksi'!$E:$E,$E198))</f>
        <v/>
      </c>
      <c r="D198" s="5">
        <f>IF($E198="","",INDEX('Input Transaksi'!$F:$F,$E198))</f>
        <v/>
      </c>
      <c r="E198">
        <f>IFERROR(AGGREGATE(15,6,ROW('Input Transaksi'!$B$5:$B$5000)/('Input Transaksi'!$B$5:$B$5000="JCL MERPATI"),ROWS($E$5:E198)),"")</f>
        <v/>
      </c>
      <c r="F198" s="5" t="n"/>
    </row>
    <row r="199">
      <c r="A199" s="10">
        <f>IF($E199="","",INDEX('Input Transaksi'!$A:$A,$E199))</f>
        <v/>
      </c>
      <c r="B199" s="5">
        <f>IF($E199="","",INDEX('Input Transaksi'!$D:$D,$E199))</f>
        <v/>
      </c>
      <c r="C199">
        <f>IF($E199="","",INDEX('Input Transaksi'!$E:$E,$E199))</f>
        <v/>
      </c>
      <c r="D199" s="5">
        <f>IF($E199="","",INDEX('Input Transaksi'!$F:$F,$E199))</f>
        <v/>
      </c>
      <c r="E199">
        <f>IFERROR(AGGREGATE(15,6,ROW('Input Transaksi'!$B$5:$B$5000)/('Input Transaksi'!$B$5:$B$5000="JCL MERPATI"),ROWS($E$5:E199)),"")</f>
        <v/>
      </c>
      <c r="F199" s="5" t="n"/>
    </row>
    <row r="200">
      <c r="A200" s="10">
        <f>IF($E200="","",INDEX('Input Transaksi'!$A:$A,$E200))</f>
        <v/>
      </c>
      <c r="B200" s="5">
        <f>IF($E200="","",INDEX('Input Transaksi'!$D:$D,$E200))</f>
        <v/>
      </c>
      <c r="C200">
        <f>IF($E200="","",INDEX('Input Transaksi'!$E:$E,$E200))</f>
        <v/>
      </c>
      <c r="D200" s="5">
        <f>IF($E200="","",INDEX('Input Transaksi'!$F:$F,$E200))</f>
        <v/>
      </c>
      <c r="E200">
        <f>IFERROR(AGGREGATE(15,6,ROW('Input Transaksi'!$B$5:$B$5000)/('Input Transaksi'!$B$5:$B$5000="JCL MERPATI"),ROWS($E$5:E200)),"")</f>
        <v/>
      </c>
      <c r="F200" s="5" t="n"/>
    </row>
    <row r="201">
      <c r="A201" s="10">
        <f>IF($E201="","",INDEX('Input Transaksi'!$A:$A,$E201))</f>
        <v/>
      </c>
      <c r="B201" s="5">
        <f>IF($E201="","",INDEX('Input Transaksi'!$D:$D,$E201))</f>
        <v/>
      </c>
      <c r="C201">
        <f>IF($E201="","",INDEX('Input Transaksi'!$E:$E,$E201))</f>
        <v/>
      </c>
      <c r="D201" s="5">
        <f>IF($E201="","",INDEX('Input Transaksi'!$F:$F,$E201))</f>
        <v/>
      </c>
      <c r="E201">
        <f>IFERROR(AGGREGATE(15,6,ROW('Input Transaksi'!$B$5:$B$5000)/('Input Transaksi'!$B$5:$B$5000="JCL MERPATI"),ROWS($E$5:E201)),"")</f>
        <v/>
      </c>
      <c r="F201" s="5" t="n"/>
    </row>
    <row r="202">
      <c r="A202" s="10">
        <f>IF($E202="","",INDEX('Input Transaksi'!$A:$A,$E202))</f>
        <v/>
      </c>
      <c r="B202" s="5">
        <f>IF($E202="","",INDEX('Input Transaksi'!$D:$D,$E202))</f>
        <v/>
      </c>
      <c r="C202">
        <f>IF($E202="","",INDEX('Input Transaksi'!$E:$E,$E202))</f>
        <v/>
      </c>
      <c r="D202" s="5">
        <f>IF($E202="","",INDEX('Input Transaksi'!$F:$F,$E202))</f>
        <v/>
      </c>
      <c r="E202">
        <f>IFERROR(AGGREGATE(15,6,ROW('Input Transaksi'!$B$5:$B$5000)/('Input Transaksi'!$B$5:$B$5000="JCL MERPATI"),ROWS($E$5:E202)),"")</f>
        <v/>
      </c>
      <c r="F202" s="5" t="n"/>
    </row>
    <row r="203">
      <c r="A203" s="10">
        <f>IF($E203="","",INDEX('Input Transaksi'!$A:$A,$E203))</f>
        <v/>
      </c>
      <c r="B203" s="5">
        <f>IF($E203="","",INDEX('Input Transaksi'!$D:$D,$E203))</f>
        <v/>
      </c>
      <c r="C203">
        <f>IF($E203="","",INDEX('Input Transaksi'!$E:$E,$E203))</f>
        <v/>
      </c>
      <c r="D203" s="5">
        <f>IF($E203="","",INDEX('Input Transaksi'!$F:$F,$E203))</f>
        <v/>
      </c>
      <c r="E203">
        <f>IFERROR(AGGREGATE(15,6,ROW('Input Transaksi'!$B$5:$B$5000)/('Input Transaksi'!$B$5:$B$5000="JCL MERPATI"),ROWS($E$5:E203)),"")</f>
        <v/>
      </c>
      <c r="F203" s="5" t="n"/>
    </row>
    <row r="204">
      <c r="A204" s="10">
        <f>IF($E204="","",INDEX('Input Transaksi'!$A:$A,$E204))</f>
        <v/>
      </c>
      <c r="B204" s="5">
        <f>IF($E204="","",INDEX('Input Transaksi'!$D:$D,$E204))</f>
        <v/>
      </c>
      <c r="C204">
        <f>IF($E204="","",INDEX('Input Transaksi'!$E:$E,$E204))</f>
        <v/>
      </c>
      <c r="D204" s="5">
        <f>IF($E204="","",INDEX('Input Transaksi'!$F:$F,$E204))</f>
        <v/>
      </c>
      <c r="E204">
        <f>IFERROR(AGGREGATE(15,6,ROW('Input Transaksi'!$B$5:$B$5000)/('Input Transaksi'!$B$5:$B$5000="JCL MERPATI"),ROWS($E$5:E204)),"")</f>
        <v/>
      </c>
      <c r="F204" s="5" t="n"/>
    </row>
    <row r="205">
      <c r="A205" s="10">
        <f>IF($E205="","",INDEX('Input Transaksi'!$A:$A,$E205))</f>
        <v/>
      </c>
      <c r="B205" s="5">
        <f>IF($E205="","",INDEX('Input Transaksi'!$D:$D,$E205))</f>
        <v/>
      </c>
      <c r="C205">
        <f>IF($E205="","",INDEX('Input Transaksi'!$E:$E,$E205))</f>
        <v/>
      </c>
      <c r="D205" s="5">
        <f>IF($E205="","",INDEX('Input Transaksi'!$F:$F,$E205))</f>
        <v/>
      </c>
      <c r="E205">
        <f>IFERROR(AGGREGATE(15,6,ROW('Input Transaksi'!$B$5:$B$5000)/('Input Transaksi'!$B$5:$B$5000="JCL MERPATI"),ROWS($E$5:E205)),"")</f>
        <v/>
      </c>
      <c r="F205" s="5" t="n"/>
    </row>
    <row r="206">
      <c r="A206" s="10">
        <f>IF($E206="","",INDEX('Input Transaksi'!$A:$A,$E206))</f>
        <v/>
      </c>
      <c r="B206" s="5">
        <f>IF($E206="","",INDEX('Input Transaksi'!$D:$D,$E206))</f>
        <v/>
      </c>
      <c r="C206">
        <f>IF($E206="","",INDEX('Input Transaksi'!$E:$E,$E206))</f>
        <v/>
      </c>
      <c r="D206" s="5">
        <f>IF($E206="","",INDEX('Input Transaksi'!$F:$F,$E206))</f>
        <v/>
      </c>
      <c r="E206">
        <f>IFERROR(AGGREGATE(15,6,ROW('Input Transaksi'!$B$5:$B$5000)/('Input Transaksi'!$B$5:$B$5000="JCL MERPATI"),ROWS($E$5:E206)),"")</f>
        <v/>
      </c>
      <c r="F206" s="5" t="n"/>
    </row>
    <row r="207">
      <c r="A207" s="10">
        <f>IF($E207="","",INDEX('Input Transaksi'!$A:$A,$E207))</f>
        <v/>
      </c>
      <c r="B207" s="5">
        <f>IF($E207="","",INDEX('Input Transaksi'!$D:$D,$E207))</f>
        <v/>
      </c>
      <c r="C207">
        <f>IF($E207="","",INDEX('Input Transaksi'!$E:$E,$E207))</f>
        <v/>
      </c>
      <c r="D207" s="5">
        <f>IF($E207="","",INDEX('Input Transaksi'!$F:$F,$E207))</f>
        <v/>
      </c>
      <c r="E207">
        <f>IFERROR(AGGREGATE(15,6,ROW('Input Transaksi'!$B$5:$B$5000)/('Input Transaksi'!$B$5:$B$5000="JCL MERPATI"),ROWS($E$5:E207)),"")</f>
        <v/>
      </c>
      <c r="F207" s="5" t="n"/>
    </row>
    <row r="208">
      <c r="A208" s="10">
        <f>IF($E208="","",INDEX('Input Transaksi'!$A:$A,$E208))</f>
        <v/>
      </c>
      <c r="B208" s="5">
        <f>IF($E208="","",INDEX('Input Transaksi'!$D:$D,$E208))</f>
        <v/>
      </c>
      <c r="C208">
        <f>IF($E208="","",INDEX('Input Transaksi'!$E:$E,$E208))</f>
        <v/>
      </c>
      <c r="D208" s="5">
        <f>IF($E208="","",INDEX('Input Transaksi'!$F:$F,$E208))</f>
        <v/>
      </c>
      <c r="E208">
        <f>IFERROR(AGGREGATE(15,6,ROW('Input Transaksi'!$B$5:$B$5000)/('Input Transaksi'!$B$5:$B$5000="JCL MERPATI"),ROWS($E$5:E208)),"")</f>
        <v/>
      </c>
      <c r="F208" s="5" t="n"/>
    </row>
    <row r="209">
      <c r="A209" s="10">
        <f>IF($E209="","",INDEX('Input Transaksi'!$A:$A,$E209))</f>
        <v/>
      </c>
      <c r="B209" s="5">
        <f>IF($E209="","",INDEX('Input Transaksi'!$D:$D,$E209))</f>
        <v/>
      </c>
      <c r="C209">
        <f>IF($E209="","",INDEX('Input Transaksi'!$E:$E,$E209))</f>
        <v/>
      </c>
      <c r="D209" s="5">
        <f>IF($E209="","",INDEX('Input Transaksi'!$F:$F,$E209))</f>
        <v/>
      </c>
      <c r="E209">
        <f>IFERROR(AGGREGATE(15,6,ROW('Input Transaksi'!$B$5:$B$5000)/('Input Transaksi'!$B$5:$B$5000="JCL MERPATI"),ROWS($E$5:E209)),"")</f>
        <v/>
      </c>
      <c r="F209" s="5" t="n"/>
    </row>
    <row r="210">
      <c r="A210" s="10">
        <f>IF($E210="","",INDEX('Input Transaksi'!$A:$A,$E210))</f>
        <v/>
      </c>
      <c r="B210" s="5">
        <f>IF($E210="","",INDEX('Input Transaksi'!$D:$D,$E210))</f>
        <v/>
      </c>
      <c r="C210">
        <f>IF($E210="","",INDEX('Input Transaksi'!$E:$E,$E210))</f>
        <v/>
      </c>
      <c r="D210" s="5">
        <f>IF($E210="","",INDEX('Input Transaksi'!$F:$F,$E210))</f>
        <v/>
      </c>
      <c r="E210">
        <f>IFERROR(AGGREGATE(15,6,ROW('Input Transaksi'!$B$5:$B$5000)/('Input Transaksi'!$B$5:$B$5000="JCL MERPATI"),ROWS($E$5:E210)),"")</f>
        <v/>
      </c>
      <c r="F210" s="5" t="n"/>
    </row>
    <row r="211">
      <c r="A211" s="10">
        <f>IF($E211="","",INDEX('Input Transaksi'!$A:$A,$E211))</f>
        <v/>
      </c>
      <c r="B211" s="5">
        <f>IF($E211="","",INDEX('Input Transaksi'!$D:$D,$E211))</f>
        <v/>
      </c>
      <c r="C211">
        <f>IF($E211="","",INDEX('Input Transaksi'!$E:$E,$E211))</f>
        <v/>
      </c>
      <c r="D211" s="5">
        <f>IF($E211="","",INDEX('Input Transaksi'!$F:$F,$E211))</f>
        <v/>
      </c>
      <c r="E211">
        <f>IFERROR(AGGREGATE(15,6,ROW('Input Transaksi'!$B$5:$B$5000)/('Input Transaksi'!$B$5:$B$5000="JCL MERPATI"),ROWS($E$5:E211)),"")</f>
        <v/>
      </c>
      <c r="F211" s="5" t="n"/>
    </row>
    <row r="212">
      <c r="A212" s="10">
        <f>IF($E212="","",INDEX('Input Transaksi'!$A:$A,$E212))</f>
        <v/>
      </c>
      <c r="B212" s="5">
        <f>IF($E212="","",INDEX('Input Transaksi'!$D:$D,$E212))</f>
        <v/>
      </c>
      <c r="C212">
        <f>IF($E212="","",INDEX('Input Transaksi'!$E:$E,$E212))</f>
        <v/>
      </c>
      <c r="D212" s="5">
        <f>IF($E212="","",INDEX('Input Transaksi'!$F:$F,$E212))</f>
        <v/>
      </c>
      <c r="E212">
        <f>IFERROR(AGGREGATE(15,6,ROW('Input Transaksi'!$B$5:$B$5000)/('Input Transaksi'!$B$5:$B$5000="JCL MERPATI"),ROWS($E$5:E212)),"")</f>
        <v/>
      </c>
      <c r="F212" s="5" t="n"/>
    </row>
    <row r="213">
      <c r="A213" s="10">
        <f>IF($E213="","",INDEX('Input Transaksi'!$A:$A,$E213))</f>
        <v/>
      </c>
      <c r="B213" s="5">
        <f>IF($E213="","",INDEX('Input Transaksi'!$D:$D,$E213))</f>
        <v/>
      </c>
      <c r="C213">
        <f>IF($E213="","",INDEX('Input Transaksi'!$E:$E,$E213))</f>
        <v/>
      </c>
      <c r="D213" s="5">
        <f>IF($E213="","",INDEX('Input Transaksi'!$F:$F,$E213))</f>
        <v/>
      </c>
      <c r="E213">
        <f>IFERROR(AGGREGATE(15,6,ROW('Input Transaksi'!$B$5:$B$5000)/('Input Transaksi'!$B$5:$B$5000="JCL MERPATI"),ROWS($E$5:E213)),"")</f>
        <v/>
      </c>
      <c r="F213" s="5" t="n"/>
    </row>
    <row r="214">
      <c r="A214" s="10">
        <f>IF($E214="","",INDEX('Input Transaksi'!$A:$A,$E214))</f>
        <v/>
      </c>
      <c r="B214" s="5">
        <f>IF($E214="","",INDEX('Input Transaksi'!$D:$D,$E214))</f>
        <v/>
      </c>
      <c r="C214">
        <f>IF($E214="","",INDEX('Input Transaksi'!$E:$E,$E214))</f>
        <v/>
      </c>
      <c r="D214" s="5">
        <f>IF($E214="","",INDEX('Input Transaksi'!$F:$F,$E214))</f>
        <v/>
      </c>
      <c r="E214">
        <f>IFERROR(AGGREGATE(15,6,ROW('Input Transaksi'!$B$5:$B$5000)/('Input Transaksi'!$B$5:$B$5000="JCL MERPATI"),ROWS($E$5:E214)),"")</f>
        <v/>
      </c>
      <c r="F214" s="5" t="n"/>
    </row>
    <row r="215">
      <c r="A215" s="10">
        <f>IF($E215="","",INDEX('Input Transaksi'!$A:$A,$E215))</f>
        <v/>
      </c>
      <c r="B215" s="5">
        <f>IF($E215="","",INDEX('Input Transaksi'!$D:$D,$E215))</f>
        <v/>
      </c>
      <c r="C215">
        <f>IF($E215="","",INDEX('Input Transaksi'!$E:$E,$E215))</f>
        <v/>
      </c>
      <c r="D215" s="5">
        <f>IF($E215="","",INDEX('Input Transaksi'!$F:$F,$E215))</f>
        <v/>
      </c>
      <c r="E215">
        <f>IFERROR(AGGREGATE(15,6,ROW('Input Transaksi'!$B$5:$B$5000)/('Input Transaksi'!$B$5:$B$5000="JCL MERPATI"),ROWS($E$5:E215)),"")</f>
        <v/>
      </c>
      <c r="F215" s="5" t="n"/>
    </row>
    <row r="216">
      <c r="A216" s="10">
        <f>IF($E216="","",INDEX('Input Transaksi'!$A:$A,$E216))</f>
        <v/>
      </c>
      <c r="B216" s="5">
        <f>IF($E216="","",INDEX('Input Transaksi'!$D:$D,$E216))</f>
        <v/>
      </c>
      <c r="C216">
        <f>IF($E216="","",INDEX('Input Transaksi'!$E:$E,$E216))</f>
        <v/>
      </c>
      <c r="D216" s="5">
        <f>IF($E216="","",INDEX('Input Transaksi'!$F:$F,$E216))</f>
        <v/>
      </c>
      <c r="E216">
        <f>IFERROR(AGGREGATE(15,6,ROW('Input Transaksi'!$B$5:$B$5000)/('Input Transaksi'!$B$5:$B$5000="JCL MERPATI"),ROWS($E$5:E216)),"")</f>
        <v/>
      </c>
      <c r="F216" s="5" t="n"/>
    </row>
    <row r="217">
      <c r="A217" s="10">
        <f>IF($E217="","",INDEX('Input Transaksi'!$A:$A,$E217))</f>
        <v/>
      </c>
      <c r="B217" s="5">
        <f>IF($E217="","",INDEX('Input Transaksi'!$D:$D,$E217))</f>
        <v/>
      </c>
      <c r="C217">
        <f>IF($E217="","",INDEX('Input Transaksi'!$E:$E,$E217))</f>
        <v/>
      </c>
      <c r="D217" s="5">
        <f>IF($E217="","",INDEX('Input Transaksi'!$F:$F,$E217))</f>
        <v/>
      </c>
      <c r="E217">
        <f>IFERROR(AGGREGATE(15,6,ROW('Input Transaksi'!$B$5:$B$5000)/('Input Transaksi'!$B$5:$B$5000="JCL MERPATI"),ROWS($E$5:E217)),"")</f>
        <v/>
      </c>
      <c r="F217" s="5" t="n"/>
    </row>
    <row r="218">
      <c r="A218" s="10">
        <f>IF($E218="","",INDEX('Input Transaksi'!$A:$A,$E218))</f>
        <v/>
      </c>
      <c r="B218" s="5">
        <f>IF($E218="","",INDEX('Input Transaksi'!$D:$D,$E218))</f>
        <v/>
      </c>
      <c r="C218">
        <f>IF($E218="","",INDEX('Input Transaksi'!$E:$E,$E218))</f>
        <v/>
      </c>
      <c r="D218" s="5">
        <f>IF($E218="","",INDEX('Input Transaksi'!$F:$F,$E218))</f>
        <v/>
      </c>
      <c r="E218">
        <f>IFERROR(AGGREGATE(15,6,ROW('Input Transaksi'!$B$5:$B$5000)/('Input Transaksi'!$B$5:$B$5000="JCL MERPATI"),ROWS($E$5:E218)),"")</f>
        <v/>
      </c>
      <c r="F218" s="5" t="n"/>
    </row>
    <row r="219">
      <c r="A219" s="10">
        <f>IF($E219="","",INDEX('Input Transaksi'!$A:$A,$E219))</f>
        <v/>
      </c>
      <c r="B219" s="5">
        <f>IF($E219="","",INDEX('Input Transaksi'!$D:$D,$E219))</f>
        <v/>
      </c>
      <c r="C219">
        <f>IF($E219="","",INDEX('Input Transaksi'!$E:$E,$E219))</f>
        <v/>
      </c>
      <c r="D219" s="5">
        <f>IF($E219="","",INDEX('Input Transaksi'!$F:$F,$E219))</f>
        <v/>
      </c>
      <c r="E219">
        <f>IFERROR(AGGREGATE(15,6,ROW('Input Transaksi'!$B$5:$B$5000)/('Input Transaksi'!$B$5:$B$5000="JCL MERPATI"),ROWS($E$5:E219)),"")</f>
        <v/>
      </c>
      <c r="F219" s="5" t="n"/>
    </row>
    <row r="220">
      <c r="A220" s="10">
        <f>IF($E220="","",INDEX('Input Transaksi'!$A:$A,$E220))</f>
        <v/>
      </c>
      <c r="B220" s="5">
        <f>IF($E220="","",INDEX('Input Transaksi'!$D:$D,$E220))</f>
        <v/>
      </c>
      <c r="C220">
        <f>IF($E220="","",INDEX('Input Transaksi'!$E:$E,$E220))</f>
        <v/>
      </c>
      <c r="D220" s="5">
        <f>IF($E220="","",INDEX('Input Transaksi'!$F:$F,$E220))</f>
        <v/>
      </c>
      <c r="E220">
        <f>IFERROR(AGGREGATE(15,6,ROW('Input Transaksi'!$B$5:$B$5000)/('Input Transaksi'!$B$5:$B$5000="JCL MERPATI"),ROWS($E$5:E220)),"")</f>
        <v/>
      </c>
      <c r="F220" s="5" t="n"/>
    </row>
    <row r="221">
      <c r="A221" s="10">
        <f>IF($E221="","",INDEX('Input Transaksi'!$A:$A,$E221))</f>
        <v/>
      </c>
      <c r="B221" s="5">
        <f>IF($E221="","",INDEX('Input Transaksi'!$D:$D,$E221))</f>
        <v/>
      </c>
      <c r="C221">
        <f>IF($E221="","",INDEX('Input Transaksi'!$E:$E,$E221))</f>
        <v/>
      </c>
      <c r="D221" s="5">
        <f>IF($E221="","",INDEX('Input Transaksi'!$F:$F,$E221))</f>
        <v/>
      </c>
      <c r="E221">
        <f>IFERROR(AGGREGATE(15,6,ROW('Input Transaksi'!$B$5:$B$5000)/('Input Transaksi'!$B$5:$B$5000="JCL MERPATI"),ROWS($E$5:E221)),"")</f>
        <v/>
      </c>
      <c r="F221" s="5" t="n"/>
    </row>
    <row r="222">
      <c r="A222" s="10">
        <f>IF($E222="","",INDEX('Input Transaksi'!$A:$A,$E222))</f>
        <v/>
      </c>
      <c r="B222" s="5">
        <f>IF($E222="","",INDEX('Input Transaksi'!$D:$D,$E222))</f>
        <v/>
      </c>
      <c r="C222">
        <f>IF($E222="","",INDEX('Input Transaksi'!$E:$E,$E222))</f>
        <v/>
      </c>
      <c r="D222" s="5">
        <f>IF($E222="","",INDEX('Input Transaksi'!$F:$F,$E222))</f>
        <v/>
      </c>
      <c r="E222">
        <f>IFERROR(AGGREGATE(15,6,ROW('Input Transaksi'!$B$5:$B$5000)/('Input Transaksi'!$B$5:$B$5000="JCL MERPATI"),ROWS($E$5:E222)),"")</f>
        <v/>
      </c>
      <c r="F222" s="5" t="n"/>
    </row>
    <row r="223">
      <c r="A223" s="10">
        <f>IF($E223="","",INDEX('Input Transaksi'!$A:$A,$E223))</f>
        <v/>
      </c>
      <c r="B223" s="5">
        <f>IF($E223="","",INDEX('Input Transaksi'!$D:$D,$E223))</f>
        <v/>
      </c>
      <c r="C223">
        <f>IF($E223="","",INDEX('Input Transaksi'!$E:$E,$E223))</f>
        <v/>
      </c>
      <c r="D223" s="5">
        <f>IF($E223="","",INDEX('Input Transaksi'!$F:$F,$E223))</f>
        <v/>
      </c>
      <c r="E223">
        <f>IFERROR(AGGREGATE(15,6,ROW('Input Transaksi'!$B$5:$B$5000)/('Input Transaksi'!$B$5:$B$5000="JCL MERPATI"),ROWS($E$5:E223)),"")</f>
        <v/>
      </c>
      <c r="F223" s="5" t="n"/>
    </row>
    <row r="224">
      <c r="A224" s="10">
        <f>IF($E224="","",INDEX('Input Transaksi'!$A:$A,$E224))</f>
        <v/>
      </c>
      <c r="B224" s="5">
        <f>IF($E224="","",INDEX('Input Transaksi'!$D:$D,$E224))</f>
        <v/>
      </c>
      <c r="C224">
        <f>IF($E224="","",INDEX('Input Transaksi'!$E:$E,$E224))</f>
        <v/>
      </c>
      <c r="D224" s="5">
        <f>IF($E224="","",INDEX('Input Transaksi'!$F:$F,$E224))</f>
        <v/>
      </c>
      <c r="E224">
        <f>IFERROR(AGGREGATE(15,6,ROW('Input Transaksi'!$B$5:$B$5000)/('Input Transaksi'!$B$5:$B$5000="JCL MERPATI"),ROWS($E$5:E224)),"")</f>
        <v/>
      </c>
      <c r="F224" s="5" t="n"/>
    </row>
    <row r="225">
      <c r="A225" s="10">
        <f>IF($E225="","",INDEX('Input Transaksi'!$A:$A,$E225))</f>
        <v/>
      </c>
      <c r="B225" s="5">
        <f>IF($E225="","",INDEX('Input Transaksi'!$D:$D,$E225))</f>
        <v/>
      </c>
      <c r="C225">
        <f>IF($E225="","",INDEX('Input Transaksi'!$E:$E,$E225))</f>
        <v/>
      </c>
      <c r="D225" s="5">
        <f>IF($E225="","",INDEX('Input Transaksi'!$F:$F,$E225))</f>
        <v/>
      </c>
      <c r="E225">
        <f>IFERROR(AGGREGATE(15,6,ROW('Input Transaksi'!$B$5:$B$5000)/('Input Transaksi'!$B$5:$B$5000="JCL MERPATI"),ROWS($E$5:E225)),"")</f>
        <v/>
      </c>
      <c r="F225" s="5" t="n"/>
    </row>
    <row r="226">
      <c r="A226" s="10">
        <f>IF($E226="","",INDEX('Input Transaksi'!$A:$A,$E226))</f>
        <v/>
      </c>
      <c r="B226" s="5">
        <f>IF($E226="","",INDEX('Input Transaksi'!$D:$D,$E226))</f>
        <v/>
      </c>
      <c r="C226">
        <f>IF($E226="","",INDEX('Input Transaksi'!$E:$E,$E226))</f>
        <v/>
      </c>
      <c r="D226" s="5">
        <f>IF($E226="","",INDEX('Input Transaksi'!$F:$F,$E226))</f>
        <v/>
      </c>
      <c r="E226">
        <f>IFERROR(AGGREGATE(15,6,ROW('Input Transaksi'!$B$5:$B$5000)/('Input Transaksi'!$B$5:$B$5000="JCL MERPATI"),ROWS($E$5:E226)),"")</f>
        <v/>
      </c>
      <c r="F226" s="5" t="n"/>
    </row>
    <row r="227">
      <c r="A227" s="10">
        <f>IF($E227="","",INDEX('Input Transaksi'!$A:$A,$E227))</f>
        <v/>
      </c>
      <c r="B227" s="5">
        <f>IF($E227="","",INDEX('Input Transaksi'!$D:$D,$E227))</f>
        <v/>
      </c>
      <c r="C227">
        <f>IF($E227="","",INDEX('Input Transaksi'!$E:$E,$E227))</f>
        <v/>
      </c>
      <c r="D227" s="5">
        <f>IF($E227="","",INDEX('Input Transaksi'!$F:$F,$E227))</f>
        <v/>
      </c>
      <c r="E227">
        <f>IFERROR(AGGREGATE(15,6,ROW('Input Transaksi'!$B$5:$B$5000)/('Input Transaksi'!$B$5:$B$5000="JCL MERPATI"),ROWS($E$5:E227)),"")</f>
        <v/>
      </c>
      <c r="F227" s="5" t="n"/>
    </row>
    <row r="228">
      <c r="A228" s="10">
        <f>IF($E228="","",INDEX('Input Transaksi'!$A:$A,$E228))</f>
        <v/>
      </c>
      <c r="B228" s="5">
        <f>IF($E228="","",INDEX('Input Transaksi'!$D:$D,$E228))</f>
        <v/>
      </c>
      <c r="C228">
        <f>IF($E228="","",INDEX('Input Transaksi'!$E:$E,$E228))</f>
        <v/>
      </c>
      <c r="D228" s="5">
        <f>IF($E228="","",INDEX('Input Transaksi'!$F:$F,$E228))</f>
        <v/>
      </c>
      <c r="E228">
        <f>IFERROR(AGGREGATE(15,6,ROW('Input Transaksi'!$B$5:$B$5000)/('Input Transaksi'!$B$5:$B$5000="JCL MERPATI"),ROWS($E$5:E228)),"")</f>
        <v/>
      </c>
      <c r="F228" s="5" t="n"/>
    </row>
    <row r="229">
      <c r="A229" s="10">
        <f>IF($E229="","",INDEX('Input Transaksi'!$A:$A,$E229))</f>
        <v/>
      </c>
      <c r="B229" s="5">
        <f>IF($E229="","",INDEX('Input Transaksi'!$D:$D,$E229))</f>
        <v/>
      </c>
      <c r="C229">
        <f>IF($E229="","",INDEX('Input Transaksi'!$E:$E,$E229))</f>
        <v/>
      </c>
      <c r="D229" s="5">
        <f>IF($E229="","",INDEX('Input Transaksi'!$F:$F,$E229))</f>
        <v/>
      </c>
      <c r="E229">
        <f>IFERROR(AGGREGATE(15,6,ROW('Input Transaksi'!$B$5:$B$5000)/('Input Transaksi'!$B$5:$B$5000="JCL MERPATI"),ROWS($E$5:E229)),"")</f>
        <v/>
      </c>
      <c r="F229" s="5" t="n"/>
    </row>
    <row r="230">
      <c r="A230" s="10">
        <f>IF($E230="","",INDEX('Input Transaksi'!$A:$A,$E230))</f>
        <v/>
      </c>
      <c r="B230" s="5">
        <f>IF($E230="","",INDEX('Input Transaksi'!$D:$D,$E230))</f>
        <v/>
      </c>
      <c r="C230">
        <f>IF($E230="","",INDEX('Input Transaksi'!$E:$E,$E230))</f>
        <v/>
      </c>
      <c r="D230" s="5">
        <f>IF($E230="","",INDEX('Input Transaksi'!$F:$F,$E230))</f>
        <v/>
      </c>
      <c r="E230">
        <f>IFERROR(AGGREGATE(15,6,ROW('Input Transaksi'!$B$5:$B$5000)/('Input Transaksi'!$B$5:$B$5000="JCL MERPATI"),ROWS($E$5:E230)),"")</f>
        <v/>
      </c>
      <c r="F230" s="5" t="n"/>
    </row>
    <row r="231">
      <c r="A231" s="10">
        <f>IF($E231="","",INDEX('Input Transaksi'!$A:$A,$E231))</f>
        <v/>
      </c>
      <c r="B231" s="5">
        <f>IF($E231="","",INDEX('Input Transaksi'!$D:$D,$E231))</f>
        <v/>
      </c>
      <c r="C231">
        <f>IF($E231="","",INDEX('Input Transaksi'!$E:$E,$E231))</f>
        <v/>
      </c>
      <c r="D231" s="5">
        <f>IF($E231="","",INDEX('Input Transaksi'!$F:$F,$E231))</f>
        <v/>
      </c>
      <c r="E231">
        <f>IFERROR(AGGREGATE(15,6,ROW('Input Transaksi'!$B$5:$B$5000)/('Input Transaksi'!$B$5:$B$5000="JCL MERPATI"),ROWS($E$5:E231)),"")</f>
        <v/>
      </c>
      <c r="F231" s="5" t="n"/>
    </row>
    <row r="232">
      <c r="A232" s="10">
        <f>IF($E232="","",INDEX('Input Transaksi'!$A:$A,$E232))</f>
        <v/>
      </c>
      <c r="B232" s="5">
        <f>IF($E232="","",INDEX('Input Transaksi'!$D:$D,$E232))</f>
        <v/>
      </c>
      <c r="C232">
        <f>IF($E232="","",INDEX('Input Transaksi'!$E:$E,$E232))</f>
        <v/>
      </c>
      <c r="D232" s="5">
        <f>IF($E232="","",INDEX('Input Transaksi'!$F:$F,$E232))</f>
        <v/>
      </c>
      <c r="E232">
        <f>IFERROR(AGGREGATE(15,6,ROW('Input Transaksi'!$B$5:$B$5000)/('Input Transaksi'!$B$5:$B$5000="JCL MERPATI"),ROWS($E$5:E232)),"")</f>
        <v/>
      </c>
      <c r="F232" s="5" t="n"/>
    </row>
    <row r="233">
      <c r="A233" s="10">
        <f>IF($E233="","",INDEX('Input Transaksi'!$A:$A,$E233))</f>
        <v/>
      </c>
      <c r="B233" s="5">
        <f>IF($E233="","",INDEX('Input Transaksi'!$D:$D,$E233))</f>
        <v/>
      </c>
      <c r="C233">
        <f>IF($E233="","",INDEX('Input Transaksi'!$E:$E,$E233))</f>
        <v/>
      </c>
      <c r="D233" s="5">
        <f>IF($E233="","",INDEX('Input Transaksi'!$F:$F,$E233))</f>
        <v/>
      </c>
      <c r="E233">
        <f>IFERROR(AGGREGATE(15,6,ROW('Input Transaksi'!$B$5:$B$5000)/('Input Transaksi'!$B$5:$B$5000="JCL MERPATI"),ROWS($E$5:E233)),"")</f>
        <v/>
      </c>
      <c r="F233" s="5" t="n"/>
    </row>
    <row r="234">
      <c r="A234" s="10">
        <f>IF($E234="","",INDEX('Input Transaksi'!$A:$A,$E234))</f>
        <v/>
      </c>
      <c r="B234" s="5">
        <f>IF($E234="","",INDEX('Input Transaksi'!$D:$D,$E234))</f>
        <v/>
      </c>
      <c r="C234">
        <f>IF($E234="","",INDEX('Input Transaksi'!$E:$E,$E234))</f>
        <v/>
      </c>
      <c r="D234" s="5">
        <f>IF($E234="","",INDEX('Input Transaksi'!$F:$F,$E234))</f>
        <v/>
      </c>
      <c r="E234">
        <f>IFERROR(AGGREGATE(15,6,ROW('Input Transaksi'!$B$5:$B$5000)/('Input Transaksi'!$B$5:$B$5000="JCL MERPATI"),ROWS($E$5:E234)),"")</f>
        <v/>
      </c>
      <c r="F234" s="5" t="n"/>
    </row>
    <row r="235">
      <c r="A235" s="10">
        <f>IF($E235="","",INDEX('Input Transaksi'!$A:$A,$E235))</f>
        <v/>
      </c>
      <c r="B235" s="5">
        <f>IF($E235="","",INDEX('Input Transaksi'!$D:$D,$E235))</f>
        <v/>
      </c>
      <c r="C235">
        <f>IF($E235="","",INDEX('Input Transaksi'!$E:$E,$E235))</f>
        <v/>
      </c>
      <c r="D235" s="5">
        <f>IF($E235="","",INDEX('Input Transaksi'!$F:$F,$E235))</f>
        <v/>
      </c>
      <c r="E235">
        <f>IFERROR(AGGREGATE(15,6,ROW('Input Transaksi'!$B$5:$B$5000)/('Input Transaksi'!$B$5:$B$5000="JCL MERPATI"),ROWS($E$5:E235)),"")</f>
        <v/>
      </c>
      <c r="F235" s="5" t="n"/>
    </row>
    <row r="236">
      <c r="A236" s="10">
        <f>IF($E236="","",INDEX('Input Transaksi'!$A:$A,$E236))</f>
        <v/>
      </c>
      <c r="B236" s="5">
        <f>IF($E236="","",INDEX('Input Transaksi'!$D:$D,$E236))</f>
        <v/>
      </c>
      <c r="C236">
        <f>IF($E236="","",INDEX('Input Transaksi'!$E:$E,$E236))</f>
        <v/>
      </c>
      <c r="D236" s="5">
        <f>IF($E236="","",INDEX('Input Transaksi'!$F:$F,$E236))</f>
        <v/>
      </c>
      <c r="E236">
        <f>IFERROR(AGGREGATE(15,6,ROW('Input Transaksi'!$B$5:$B$5000)/('Input Transaksi'!$B$5:$B$5000="JCL MERPATI"),ROWS($E$5:E236)),"")</f>
        <v/>
      </c>
      <c r="F236" s="5" t="n"/>
    </row>
    <row r="237">
      <c r="A237" s="10">
        <f>IF($E237="","",INDEX('Input Transaksi'!$A:$A,$E237))</f>
        <v/>
      </c>
      <c r="B237" s="5">
        <f>IF($E237="","",INDEX('Input Transaksi'!$D:$D,$E237))</f>
        <v/>
      </c>
      <c r="C237">
        <f>IF($E237="","",INDEX('Input Transaksi'!$E:$E,$E237))</f>
        <v/>
      </c>
      <c r="D237" s="5">
        <f>IF($E237="","",INDEX('Input Transaksi'!$F:$F,$E237))</f>
        <v/>
      </c>
      <c r="E237">
        <f>IFERROR(AGGREGATE(15,6,ROW('Input Transaksi'!$B$5:$B$5000)/('Input Transaksi'!$B$5:$B$5000="JCL MERPATI"),ROWS($E$5:E237)),"")</f>
        <v/>
      </c>
      <c r="F237" s="5" t="n"/>
    </row>
    <row r="238">
      <c r="A238" s="10">
        <f>IF($E238="","",INDEX('Input Transaksi'!$A:$A,$E238))</f>
        <v/>
      </c>
      <c r="B238" s="5">
        <f>IF($E238="","",INDEX('Input Transaksi'!$D:$D,$E238))</f>
        <v/>
      </c>
      <c r="C238">
        <f>IF($E238="","",INDEX('Input Transaksi'!$E:$E,$E238))</f>
        <v/>
      </c>
      <c r="D238" s="5">
        <f>IF($E238="","",INDEX('Input Transaksi'!$F:$F,$E238))</f>
        <v/>
      </c>
      <c r="E238">
        <f>IFERROR(AGGREGATE(15,6,ROW('Input Transaksi'!$B$5:$B$5000)/('Input Transaksi'!$B$5:$B$5000="JCL MERPATI"),ROWS($E$5:E238)),"")</f>
        <v/>
      </c>
      <c r="F238" s="5" t="n"/>
    </row>
    <row r="239">
      <c r="A239" s="10">
        <f>IF($E239="","",INDEX('Input Transaksi'!$A:$A,$E239))</f>
        <v/>
      </c>
      <c r="B239" s="5">
        <f>IF($E239="","",INDEX('Input Transaksi'!$D:$D,$E239))</f>
        <v/>
      </c>
      <c r="C239">
        <f>IF($E239="","",INDEX('Input Transaksi'!$E:$E,$E239))</f>
        <v/>
      </c>
      <c r="D239" s="5">
        <f>IF($E239="","",INDEX('Input Transaksi'!$F:$F,$E239))</f>
        <v/>
      </c>
      <c r="E239">
        <f>IFERROR(AGGREGATE(15,6,ROW('Input Transaksi'!$B$5:$B$5000)/('Input Transaksi'!$B$5:$B$5000="JCL MERPATI"),ROWS($E$5:E239)),"")</f>
        <v/>
      </c>
      <c r="F239" s="5" t="n"/>
    </row>
    <row r="240">
      <c r="A240" s="10">
        <f>IF($E240="","",INDEX('Input Transaksi'!$A:$A,$E240))</f>
        <v/>
      </c>
      <c r="B240" s="5">
        <f>IF($E240="","",INDEX('Input Transaksi'!$D:$D,$E240))</f>
        <v/>
      </c>
      <c r="C240">
        <f>IF($E240="","",INDEX('Input Transaksi'!$E:$E,$E240))</f>
        <v/>
      </c>
      <c r="D240" s="5">
        <f>IF($E240="","",INDEX('Input Transaksi'!$F:$F,$E240))</f>
        <v/>
      </c>
      <c r="E240">
        <f>IFERROR(AGGREGATE(15,6,ROW('Input Transaksi'!$B$5:$B$5000)/('Input Transaksi'!$B$5:$B$5000="JCL MERPATI"),ROWS($E$5:E240)),"")</f>
        <v/>
      </c>
      <c r="F240" s="5" t="n"/>
    </row>
    <row r="241">
      <c r="A241" s="10">
        <f>IF($E241="","",INDEX('Input Transaksi'!$A:$A,$E241))</f>
        <v/>
      </c>
      <c r="B241" s="5">
        <f>IF($E241="","",INDEX('Input Transaksi'!$D:$D,$E241))</f>
        <v/>
      </c>
      <c r="C241">
        <f>IF($E241="","",INDEX('Input Transaksi'!$E:$E,$E241))</f>
        <v/>
      </c>
      <c r="D241" s="5">
        <f>IF($E241="","",INDEX('Input Transaksi'!$F:$F,$E241))</f>
        <v/>
      </c>
      <c r="E241">
        <f>IFERROR(AGGREGATE(15,6,ROW('Input Transaksi'!$B$5:$B$5000)/('Input Transaksi'!$B$5:$B$5000="JCL MERPATI"),ROWS($E$5:E241)),"")</f>
        <v/>
      </c>
      <c r="F241" s="5" t="n"/>
    </row>
    <row r="242">
      <c r="A242" s="10">
        <f>IF($E242="","",INDEX('Input Transaksi'!$A:$A,$E242))</f>
        <v/>
      </c>
      <c r="B242" s="5">
        <f>IF($E242="","",INDEX('Input Transaksi'!$D:$D,$E242))</f>
        <v/>
      </c>
      <c r="C242">
        <f>IF($E242="","",INDEX('Input Transaksi'!$E:$E,$E242))</f>
        <v/>
      </c>
      <c r="D242" s="5">
        <f>IF($E242="","",INDEX('Input Transaksi'!$F:$F,$E242))</f>
        <v/>
      </c>
      <c r="E242">
        <f>IFERROR(AGGREGATE(15,6,ROW('Input Transaksi'!$B$5:$B$5000)/('Input Transaksi'!$B$5:$B$5000="JCL MERPATI"),ROWS($E$5:E242)),"")</f>
        <v/>
      </c>
      <c r="F242" s="5" t="n"/>
    </row>
    <row r="243">
      <c r="A243" s="10">
        <f>IF($E243="","",INDEX('Input Transaksi'!$A:$A,$E243))</f>
        <v/>
      </c>
      <c r="B243" s="5">
        <f>IF($E243="","",INDEX('Input Transaksi'!$D:$D,$E243))</f>
        <v/>
      </c>
      <c r="C243">
        <f>IF($E243="","",INDEX('Input Transaksi'!$E:$E,$E243))</f>
        <v/>
      </c>
      <c r="D243" s="5">
        <f>IF($E243="","",INDEX('Input Transaksi'!$F:$F,$E243))</f>
        <v/>
      </c>
      <c r="E243">
        <f>IFERROR(AGGREGATE(15,6,ROW('Input Transaksi'!$B$5:$B$5000)/('Input Transaksi'!$B$5:$B$5000="JCL MERPATI"),ROWS($E$5:E243)),"")</f>
        <v/>
      </c>
      <c r="F243" s="5" t="n"/>
    </row>
    <row r="244">
      <c r="A244" s="10">
        <f>IF($E244="","",INDEX('Input Transaksi'!$A:$A,$E244))</f>
        <v/>
      </c>
      <c r="B244" s="5">
        <f>IF($E244="","",INDEX('Input Transaksi'!$D:$D,$E244))</f>
        <v/>
      </c>
      <c r="C244">
        <f>IF($E244="","",INDEX('Input Transaksi'!$E:$E,$E244))</f>
        <v/>
      </c>
      <c r="D244" s="5">
        <f>IF($E244="","",INDEX('Input Transaksi'!$F:$F,$E244))</f>
        <v/>
      </c>
      <c r="E244">
        <f>IFERROR(AGGREGATE(15,6,ROW('Input Transaksi'!$B$5:$B$5000)/('Input Transaksi'!$B$5:$B$5000="JCL MERPATI"),ROWS($E$5:E244)),"")</f>
        <v/>
      </c>
      <c r="F244" s="5" t="n"/>
    </row>
    <row r="245">
      <c r="A245" s="10">
        <f>IF($E245="","",INDEX('Input Transaksi'!$A:$A,$E245))</f>
        <v/>
      </c>
      <c r="B245" s="5">
        <f>IF($E245="","",INDEX('Input Transaksi'!$D:$D,$E245))</f>
        <v/>
      </c>
      <c r="C245">
        <f>IF($E245="","",INDEX('Input Transaksi'!$E:$E,$E245))</f>
        <v/>
      </c>
      <c r="D245" s="5">
        <f>IF($E245="","",INDEX('Input Transaksi'!$F:$F,$E245))</f>
        <v/>
      </c>
      <c r="E245">
        <f>IFERROR(AGGREGATE(15,6,ROW('Input Transaksi'!$B$5:$B$5000)/('Input Transaksi'!$B$5:$B$5000="JCL MERPATI"),ROWS($E$5:E245)),"")</f>
        <v/>
      </c>
      <c r="F245" s="5" t="n"/>
    </row>
    <row r="246">
      <c r="A246" s="10">
        <f>IF($E246="","",INDEX('Input Transaksi'!$A:$A,$E246))</f>
        <v/>
      </c>
      <c r="B246" s="5">
        <f>IF($E246="","",INDEX('Input Transaksi'!$D:$D,$E246))</f>
        <v/>
      </c>
      <c r="C246">
        <f>IF($E246="","",INDEX('Input Transaksi'!$E:$E,$E246))</f>
        <v/>
      </c>
      <c r="D246" s="5">
        <f>IF($E246="","",INDEX('Input Transaksi'!$F:$F,$E246))</f>
        <v/>
      </c>
      <c r="E246">
        <f>IFERROR(AGGREGATE(15,6,ROW('Input Transaksi'!$B$5:$B$5000)/('Input Transaksi'!$B$5:$B$5000="JCL MERPATI"),ROWS($E$5:E246)),"")</f>
        <v/>
      </c>
      <c r="F246" s="5" t="n"/>
    </row>
    <row r="247">
      <c r="A247" s="10">
        <f>IF($E247="","",INDEX('Input Transaksi'!$A:$A,$E247))</f>
        <v/>
      </c>
      <c r="B247" s="5">
        <f>IF($E247="","",INDEX('Input Transaksi'!$D:$D,$E247))</f>
        <v/>
      </c>
      <c r="C247">
        <f>IF($E247="","",INDEX('Input Transaksi'!$E:$E,$E247))</f>
        <v/>
      </c>
      <c r="D247" s="5">
        <f>IF($E247="","",INDEX('Input Transaksi'!$F:$F,$E247))</f>
        <v/>
      </c>
      <c r="E247">
        <f>IFERROR(AGGREGATE(15,6,ROW('Input Transaksi'!$B$5:$B$5000)/('Input Transaksi'!$B$5:$B$5000="JCL MERPATI"),ROWS($E$5:E247)),"")</f>
        <v/>
      </c>
      <c r="F247" s="5" t="n"/>
    </row>
    <row r="248">
      <c r="A248" s="10">
        <f>IF($E248="","",INDEX('Input Transaksi'!$A:$A,$E248))</f>
        <v/>
      </c>
      <c r="B248" s="5">
        <f>IF($E248="","",INDEX('Input Transaksi'!$D:$D,$E248))</f>
        <v/>
      </c>
      <c r="C248">
        <f>IF($E248="","",INDEX('Input Transaksi'!$E:$E,$E248))</f>
        <v/>
      </c>
      <c r="D248" s="5">
        <f>IF($E248="","",INDEX('Input Transaksi'!$F:$F,$E248))</f>
        <v/>
      </c>
      <c r="E248">
        <f>IFERROR(AGGREGATE(15,6,ROW('Input Transaksi'!$B$5:$B$5000)/('Input Transaksi'!$B$5:$B$5000="JCL MERPATI"),ROWS($E$5:E248)),"")</f>
        <v/>
      </c>
      <c r="F248" s="5" t="n"/>
    </row>
    <row r="249">
      <c r="A249" s="10">
        <f>IF($E249="","",INDEX('Input Transaksi'!$A:$A,$E249))</f>
        <v/>
      </c>
      <c r="B249" s="5">
        <f>IF($E249="","",INDEX('Input Transaksi'!$D:$D,$E249))</f>
        <v/>
      </c>
      <c r="C249">
        <f>IF($E249="","",INDEX('Input Transaksi'!$E:$E,$E249))</f>
        <v/>
      </c>
      <c r="D249" s="5">
        <f>IF($E249="","",INDEX('Input Transaksi'!$F:$F,$E249))</f>
        <v/>
      </c>
      <c r="E249">
        <f>IFERROR(AGGREGATE(15,6,ROW('Input Transaksi'!$B$5:$B$5000)/('Input Transaksi'!$B$5:$B$5000="JCL MERPATI"),ROWS($E$5:E249)),"")</f>
        <v/>
      </c>
      <c r="F249" s="5" t="n"/>
    </row>
    <row r="250">
      <c r="A250" s="10">
        <f>IF($E250="","",INDEX('Input Transaksi'!$A:$A,$E250))</f>
        <v/>
      </c>
      <c r="B250" s="5">
        <f>IF($E250="","",INDEX('Input Transaksi'!$D:$D,$E250))</f>
        <v/>
      </c>
      <c r="C250">
        <f>IF($E250="","",INDEX('Input Transaksi'!$E:$E,$E250))</f>
        <v/>
      </c>
      <c r="D250" s="5">
        <f>IF($E250="","",INDEX('Input Transaksi'!$F:$F,$E250))</f>
        <v/>
      </c>
      <c r="E250">
        <f>IFERROR(AGGREGATE(15,6,ROW('Input Transaksi'!$B$5:$B$5000)/('Input Transaksi'!$B$5:$B$5000="JCL MERPATI"),ROWS($E$5:E250)),"")</f>
        <v/>
      </c>
      <c r="F250" s="5" t="n"/>
    </row>
    <row r="251">
      <c r="A251" s="10">
        <f>IF($E251="","",INDEX('Input Transaksi'!$A:$A,$E251))</f>
        <v/>
      </c>
      <c r="B251" s="5">
        <f>IF($E251="","",INDEX('Input Transaksi'!$D:$D,$E251))</f>
        <v/>
      </c>
      <c r="C251">
        <f>IF($E251="","",INDEX('Input Transaksi'!$E:$E,$E251))</f>
        <v/>
      </c>
      <c r="D251" s="5">
        <f>IF($E251="","",INDEX('Input Transaksi'!$F:$F,$E251))</f>
        <v/>
      </c>
      <c r="E251">
        <f>IFERROR(AGGREGATE(15,6,ROW('Input Transaksi'!$B$5:$B$5000)/('Input Transaksi'!$B$5:$B$5000="JCL MERPATI"),ROWS($E$5:E251)),"")</f>
        <v/>
      </c>
      <c r="F251" s="5" t="n"/>
    </row>
    <row r="252">
      <c r="A252" s="10">
        <f>IF($E252="","",INDEX('Input Transaksi'!$A:$A,$E252))</f>
        <v/>
      </c>
      <c r="B252" s="5">
        <f>IF($E252="","",INDEX('Input Transaksi'!$D:$D,$E252))</f>
        <v/>
      </c>
      <c r="C252">
        <f>IF($E252="","",INDEX('Input Transaksi'!$E:$E,$E252))</f>
        <v/>
      </c>
      <c r="D252" s="5">
        <f>IF($E252="","",INDEX('Input Transaksi'!$F:$F,$E252))</f>
        <v/>
      </c>
      <c r="E252">
        <f>IFERROR(AGGREGATE(15,6,ROW('Input Transaksi'!$B$5:$B$5000)/('Input Transaksi'!$B$5:$B$5000="JCL MERPATI"),ROWS($E$5:E252)),"")</f>
        <v/>
      </c>
      <c r="F252" s="5" t="n"/>
    </row>
    <row r="253">
      <c r="A253" s="10">
        <f>IF($E253="","",INDEX('Input Transaksi'!$A:$A,$E253))</f>
        <v/>
      </c>
      <c r="B253" s="5">
        <f>IF($E253="","",INDEX('Input Transaksi'!$D:$D,$E253))</f>
        <v/>
      </c>
      <c r="C253">
        <f>IF($E253="","",INDEX('Input Transaksi'!$E:$E,$E253))</f>
        <v/>
      </c>
      <c r="D253" s="5">
        <f>IF($E253="","",INDEX('Input Transaksi'!$F:$F,$E253))</f>
        <v/>
      </c>
      <c r="E253">
        <f>IFERROR(AGGREGATE(15,6,ROW('Input Transaksi'!$B$5:$B$5000)/('Input Transaksi'!$B$5:$B$5000="JCL MERPATI"),ROWS($E$5:E253)),"")</f>
        <v/>
      </c>
      <c r="F253" s="5" t="n"/>
    </row>
    <row r="254">
      <c r="A254" s="10">
        <f>IF($E254="","",INDEX('Input Transaksi'!$A:$A,$E254))</f>
        <v/>
      </c>
      <c r="B254" s="5">
        <f>IF($E254="","",INDEX('Input Transaksi'!$D:$D,$E254))</f>
        <v/>
      </c>
      <c r="C254">
        <f>IF($E254="","",INDEX('Input Transaksi'!$E:$E,$E254))</f>
        <v/>
      </c>
      <c r="D254" s="5">
        <f>IF($E254="","",INDEX('Input Transaksi'!$F:$F,$E254))</f>
        <v/>
      </c>
      <c r="E254">
        <f>IFERROR(AGGREGATE(15,6,ROW('Input Transaksi'!$B$5:$B$5000)/('Input Transaksi'!$B$5:$B$5000="JCL MERPATI"),ROWS($E$5:E254)),"")</f>
        <v/>
      </c>
      <c r="F254" s="5" t="n"/>
    </row>
    <row r="255">
      <c r="A255" s="10">
        <f>IF($E255="","",INDEX('Input Transaksi'!$A:$A,$E255))</f>
        <v/>
      </c>
      <c r="B255" s="5">
        <f>IF($E255="","",INDEX('Input Transaksi'!$D:$D,$E255))</f>
        <v/>
      </c>
      <c r="C255">
        <f>IF($E255="","",INDEX('Input Transaksi'!$E:$E,$E255))</f>
        <v/>
      </c>
      <c r="D255" s="5">
        <f>IF($E255="","",INDEX('Input Transaksi'!$F:$F,$E255))</f>
        <v/>
      </c>
      <c r="E255">
        <f>IFERROR(AGGREGATE(15,6,ROW('Input Transaksi'!$B$5:$B$5000)/('Input Transaksi'!$B$5:$B$5000="JCL MERPATI"),ROWS($E$5:E255)),"")</f>
        <v/>
      </c>
      <c r="F255" s="5" t="n"/>
    </row>
    <row r="256">
      <c r="A256" s="10">
        <f>IF($E256="","",INDEX('Input Transaksi'!$A:$A,$E256))</f>
        <v/>
      </c>
      <c r="B256" s="5">
        <f>IF($E256="","",INDEX('Input Transaksi'!$D:$D,$E256))</f>
        <v/>
      </c>
      <c r="C256">
        <f>IF($E256="","",INDEX('Input Transaksi'!$E:$E,$E256))</f>
        <v/>
      </c>
      <c r="D256" s="5">
        <f>IF($E256="","",INDEX('Input Transaksi'!$F:$F,$E256))</f>
        <v/>
      </c>
      <c r="E256">
        <f>IFERROR(AGGREGATE(15,6,ROW('Input Transaksi'!$B$5:$B$5000)/('Input Transaksi'!$B$5:$B$5000="JCL MERPATI"),ROWS($E$5:E256)),"")</f>
        <v/>
      </c>
      <c r="F256" s="5" t="n"/>
    </row>
    <row r="257">
      <c r="A257" s="10">
        <f>IF($E257="","",INDEX('Input Transaksi'!$A:$A,$E257))</f>
        <v/>
      </c>
      <c r="B257" s="5">
        <f>IF($E257="","",INDEX('Input Transaksi'!$D:$D,$E257))</f>
        <v/>
      </c>
      <c r="C257">
        <f>IF($E257="","",INDEX('Input Transaksi'!$E:$E,$E257))</f>
        <v/>
      </c>
      <c r="D257" s="5">
        <f>IF($E257="","",INDEX('Input Transaksi'!$F:$F,$E257))</f>
        <v/>
      </c>
      <c r="E257">
        <f>IFERROR(AGGREGATE(15,6,ROW('Input Transaksi'!$B$5:$B$5000)/('Input Transaksi'!$B$5:$B$5000="JCL MERPATI"),ROWS($E$5:E257)),"")</f>
        <v/>
      </c>
      <c r="F257" s="5" t="n"/>
    </row>
    <row r="258">
      <c r="A258" s="10">
        <f>IF($E258="","",INDEX('Input Transaksi'!$A:$A,$E258))</f>
        <v/>
      </c>
      <c r="B258" s="5">
        <f>IF($E258="","",INDEX('Input Transaksi'!$D:$D,$E258))</f>
        <v/>
      </c>
      <c r="C258">
        <f>IF($E258="","",INDEX('Input Transaksi'!$E:$E,$E258))</f>
        <v/>
      </c>
      <c r="D258" s="5">
        <f>IF($E258="","",INDEX('Input Transaksi'!$F:$F,$E258))</f>
        <v/>
      </c>
      <c r="E258">
        <f>IFERROR(AGGREGATE(15,6,ROW('Input Transaksi'!$B$5:$B$5000)/('Input Transaksi'!$B$5:$B$5000="JCL MERPATI"),ROWS($E$5:E258)),"")</f>
        <v/>
      </c>
      <c r="F258" s="5" t="n"/>
    </row>
    <row r="259">
      <c r="A259" s="10">
        <f>IF($E259="","",INDEX('Input Transaksi'!$A:$A,$E259))</f>
        <v/>
      </c>
      <c r="B259" s="5">
        <f>IF($E259="","",INDEX('Input Transaksi'!$D:$D,$E259))</f>
        <v/>
      </c>
      <c r="C259">
        <f>IF($E259="","",INDEX('Input Transaksi'!$E:$E,$E259))</f>
        <v/>
      </c>
      <c r="D259" s="5">
        <f>IF($E259="","",INDEX('Input Transaksi'!$F:$F,$E259))</f>
        <v/>
      </c>
      <c r="E259">
        <f>IFERROR(AGGREGATE(15,6,ROW('Input Transaksi'!$B$5:$B$5000)/('Input Transaksi'!$B$5:$B$5000="JCL MERPATI"),ROWS($E$5:E259)),"")</f>
        <v/>
      </c>
      <c r="F259" s="5" t="n"/>
    </row>
    <row r="260">
      <c r="A260" s="10">
        <f>IF($E260="","",INDEX('Input Transaksi'!$A:$A,$E260))</f>
        <v/>
      </c>
      <c r="B260" s="5">
        <f>IF($E260="","",INDEX('Input Transaksi'!$D:$D,$E260))</f>
        <v/>
      </c>
      <c r="C260">
        <f>IF($E260="","",INDEX('Input Transaksi'!$E:$E,$E260))</f>
        <v/>
      </c>
      <c r="D260" s="5">
        <f>IF($E260="","",INDEX('Input Transaksi'!$F:$F,$E260))</f>
        <v/>
      </c>
      <c r="E260">
        <f>IFERROR(AGGREGATE(15,6,ROW('Input Transaksi'!$B$5:$B$5000)/('Input Transaksi'!$B$5:$B$5000="JCL MERPATI"),ROWS($E$5:E260)),"")</f>
        <v/>
      </c>
      <c r="F260" s="5" t="n"/>
    </row>
    <row r="261">
      <c r="A261" s="10">
        <f>IF($E261="","",INDEX('Input Transaksi'!$A:$A,$E261))</f>
        <v/>
      </c>
      <c r="B261" s="5">
        <f>IF($E261="","",INDEX('Input Transaksi'!$D:$D,$E261))</f>
        <v/>
      </c>
      <c r="C261">
        <f>IF($E261="","",INDEX('Input Transaksi'!$E:$E,$E261))</f>
        <v/>
      </c>
      <c r="D261" s="5">
        <f>IF($E261="","",INDEX('Input Transaksi'!$F:$F,$E261))</f>
        <v/>
      </c>
      <c r="E261">
        <f>IFERROR(AGGREGATE(15,6,ROW('Input Transaksi'!$B$5:$B$5000)/('Input Transaksi'!$B$5:$B$5000="JCL MERPATI"),ROWS($E$5:E261)),"")</f>
        <v/>
      </c>
      <c r="F261" s="5" t="n"/>
    </row>
    <row r="262">
      <c r="A262" s="10">
        <f>IF($E262="","",INDEX('Input Transaksi'!$A:$A,$E262))</f>
        <v/>
      </c>
      <c r="B262" s="5">
        <f>IF($E262="","",INDEX('Input Transaksi'!$D:$D,$E262))</f>
        <v/>
      </c>
      <c r="C262">
        <f>IF($E262="","",INDEX('Input Transaksi'!$E:$E,$E262))</f>
        <v/>
      </c>
      <c r="D262" s="5">
        <f>IF($E262="","",INDEX('Input Transaksi'!$F:$F,$E262))</f>
        <v/>
      </c>
      <c r="E262">
        <f>IFERROR(AGGREGATE(15,6,ROW('Input Transaksi'!$B$5:$B$5000)/('Input Transaksi'!$B$5:$B$5000="JCL MERPATI"),ROWS($E$5:E262)),"")</f>
        <v/>
      </c>
      <c r="F262" s="5" t="n"/>
    </row>
    <row r="263">
      <c r="A263" s="10">
        <f>IF($E263="","",INDEX('Input Transaksi'!$A:$A,$E263))</f>
        <v/>
      </c>
      <c r="B263" s="5">
        <f>IF($E263="","",INDEX('Input Transaksi'!$D:$D,$E263))</f>
        <v/>
      </c>
      <c r="C263">
        <f>IF($E263="","",INDEX('Input Transaksi'!$E:$E,$E263))</f>
        <v/>
      </c>
      <c r="D263" s="5">
        <f>IF($E263="","",INDEX('Input Transaksi'!$F:$F,$E263))</f>
        <v/>
      </c>
      <c r="E263">
        <f>IFERROR(AGGREGATE(15,6,ROW('Input Transaksi'!$B$5:$B$5000)/('Input Transaksi'!$B$5:$B$5000="JCL MERPATI"),ROWS($E$5:E263)),"")</f>
        <v/>
      </c>
      <c r="F263" s="5" t="n"/>
    </row>
    <row r="264">
      <c r="A264" s="10">
        <f>IF($E264="","",INDEX('Input Transaksi'!$A:$A,$E264))</f>
        <v/>
      </c>
      <c r="B264" s="5">
        <f>IF($E264="","",INDEX('Input Transaksi'!$D:$D,$E264))</f>
        <v/>
      </c>
      <c r="C264">
        <f>IF($E264="","",INDEX('Input Transaksi'!$E:$E,$E264))</f>
        <v/>
      </c>
      <c r="D264" s="5">
        <f>IF($E264="","",INDEX('Input Transaksi'!$F:$F,$E264))</f>
        <v/>
      </c>
      <c r="E264">
        <f>IFERROR(AGGREGATE(15,6,ROW('Input Transaksi'!$B$5:$B$5000)/('Input Transaksi'!$B$5:$B$5000="JCL MERPATI"),ROWS($E$5:E264)),"")</f>
        <v/>
      </c>
      <c r="F264" s="5" t="n"/>
    </row>
    <row r="265">
      <c r="A265" s="10">
        <f>IF($E265="","",INDEX('Input Transaksi'!$A:$A,$E265))</f>
        <v/>
      </c>
      <c r="B265" s="5">
        <f>IF($E265="","",INDEX('Input Transaksi'!$D:$D,$E265))</f>
        <v/>
      </c>
      <c r="C265">
        <f>IF($E265="","",INDEX('Input Transaksi'!$E:$E,$E265))</f>
        <v/>
      </c>
      <c r="D265" s="5">
        <f>IF($E265="","",INDEX('Input Transaksi'!$F:$F,$E265))</f>
        <v/>
      </c>
      <c r="E265">
        <f>IFERROR(AGGREGATE(15,6,ROW('Input Transaksi'!$B$5:$B$5000)/('Input Transaksi'!$B$5:$B$5000="JCL MERPATI"),ROWS($E$5:E265)),"")</f>
        <v/>
      </c>
      <c r="F265" s="5" t="n"/>
    </row>
    <row r="266">
      <c r="A266" s="10">
        <f>IF($E266="","",INDEX('Input Transaksi'!$A:$A,$E266))</f>
        <v/>
      </c>
      <c r="B266" s="5">
        <f>IF($E266="","",INDEX('Input Transaksi'!$D:$D,$E266))</f>
        <v/>
      </c>
      <c r="C266">
        <f>IF($E266="","",INDEX('Input Transaksi'!$E:$E,$E266))</f>
        <v/>
      </c>
      <c r="D266" s="5">
        <f>IF($E266="","",INDEX('Input Transaksi'!$F:$F,$E266))</f>
        <v/>
      </c>
      <c r="E266">
        <f>IFERROR(AGGREGATE(15,6,ROW('Input Transaksi'!$B$5:$B$5000)/('Input Transaksi'!$B$5:$B$5000="JCL MERPATI"),ROWS($E$5:E266)),"")</f>
        <v/>
      </c>
      <c r="F266" s="5" t="n"/>
    </row>
    <row r="267">
      <c r="A267" s="10">
        <f>IF($E267="","",INDEX('Input Transaksi'!$A:$A,$E267))</f>
        <v/>
      </c>
      <c r="B267" s="5">
        <f>IF($E267="","",INDEX('Input Transaksi'!$D:$D,$E267))</f>
        <v/>
      </c>
      <c r="C267">
        <f>IF($E267="","",INDEX('Input Transaksi'!$E:$E,$E267))</f>
        <v/>
      </c>
      <c r="D267" s="5">
        <f>IF($E267="","",INDEX('Input Transaksi'!$F:$F,$E267))</f>
        <v/>
      </c>
      <c r="E267">
        <f>IFERROR(AGGREGATE(15,6,ROW('Input Transaksi'!$B$5:$B$5000)/('Input Transaksi'!$B$5:$B$5000="JCL MERPATI"),ROWS($E$5:E267)),"")</f>
        <v/>
      </c>
      <c r="F267" s="5" t="n"/>
    </row>
    <row r="268">
      <c r="A268" s="10">
        <f>IF($E268="","",INDEX('Input Transaksi'!$A:$A,$E268))</f>
        <v/>
      </c>
      <c r="B268" s="5">
        <f>IF($E268="","",INDEX('Input Transaksi'!$D:$D,$E268))</f>
        <v/>
      </c>
      <c r="C268">
        <f>IF($E268="","",INDEX('Input Transaksi'!$E:$E,$E268))</f>
        <v/>
      </c>
      <c r="D268" s="5">
        <f>IF($E268="","",INDEX('Input Transaksi'!$F:$F,$E268))</f>
        <v/>
      </c>
      <c r="E268">
        <f>IFERROR(AGGREGATE(15,6,ROW('Input Transaksi'!$B$5:$B$5000)/('Input Transaksi'!$B$5:$B$5000="JCL MERPATI"),ROWS($E$5:E268)),"")</f>
        <v/>
      </c>
      <c r="F268" s="5" t="n"/>
    </row>
    <row r="269">
      <c r="A269" s="10">
        <f>IF($E269="","",INDEX('Input Transaksi'!$A:$A,$E269))</f>
        <v/>
      </c>
      <c r="B269" s="5">
        <f>IF($E269="","",INDEX('Input Transaksi'!$D:$D,$E269))</f>
        <v/>
      </c>
      <c r="C269">
        <f>IF($E269="","",INDEX('Input Transaksi'!$E:$E,$E269))</f>
        <v/>
      </c>
      <c r="D269" s="5">
        <f>IF($E269="","",INDEX('Input Transaksi'!$F:$F,$E269))</f>
        <v/>
      </c>
      <c r="E269">
        <f>IFERROR(AGGREGATE(15,6,ROW('Input Transaksi'!$B$5:$B$5000)/('Input Transaksi'!$B$5:$B$5000="JCL MERPATI"),ROWS($E$5:E269)),"")</f>
        <v/>
      </c>
      <c r="F269" s="5" t="n"/>
    </row>
    <row r="270">
      <c r="A270" s="10">
        <f>IF($E270="","",INDEX('Input Transaksi'!$A:$A,$E270))</f>
        <v/>
      </c>
      <c r="B270" s="5">
        <f>IF($E270="","",INDEX('Input Transaksi'!$D:$D,$E270))</f>
        <v/>
      </c>
      <c r="C270">
        <f>IF($E270="","",INDEX('Input Transaksi'!$E:$E,$E270))</f>
        <v/>
      </c>
      <c r="D270" s="5">
        <f>IF($E270="","",INDEX('Input Transaksi'!$F:$F,$E270))</f>
        <v/>
      </c>
      <c r="E270">
        <f>IFERROR(AGGREGATE(15,6,ROW('Input Transaksi'!$B$5:$B$5000)/('Input Transaksi'!$B$5:$B$5000="JCL MERPATI"),ROWS($E$5:E270)),"")</f>
        <v/>
      </c>
      <c r="F270" s="5" t="n"/>
    </row>
    <row r="271">
      <c r="A271" s="10">
        <f>IF($E271="","",INDEX('Input Transaksi'!$A:$A,$E271))</f>
        <v/>
      </c>
      <c r="B271" s="5">
        <f>IF($E271="","",INDEX('Input Transaksi'!$D:$D,$E271))</f>
        <v/>
      </c>
      <c r="C271">
        <f>IF($E271="","",INDEX('Input Transaksi'!$E:$E,$E271))</f>
        <v/>
      </c>
      <c r="D271" s="5">
        <f>IF($E271="","",INDEX('Input Transaksi'!$F:$F,$E271))</f>
        <v/>
      </c>
      <c r="E271">
        <f>IFERROR(AGGREGATE(15,6,ROW('Input Transaksi'!$B$5:$B$5000)/('Input Transaksi'!$B$5:$B$5000="JCL MERPATI"),ROWS($E$5:E271)),"")</f>
        <v/>
      </c>
      <c r="F271" s="5" t="n"/>
    </row>
    <row r="272">
      <c r="A272" s="10">
        <f>IF($E272="","",INDEX('Input Transaksi'!$A:$A,$E272))</f>
        <v/>
      </c>
      <c r="B272" s="5">
        <f>IF($E272="","",INDEX('Input Transaksi'!$D:$D,$E272))</f>
        <v/>
      </c>
      <c r="C272">
        <f>IF($E272="","",INDEX('Input Transaksi'!$E:$E,$E272))</f>
        <v/>
      </c>
      <c r="D272" s="5">
        <f>IF($E272="","",INDEX('Input Transaksi'!$F:$F,$E272))</f>
        <v/>
      </c>
      <c r="E272">
        <f>IFERROR(AGGREGATE(15,6,ROW('Input Transaksi'!$B$5:$B$5000)/('Input Transaksi'!$B$5:$B$5000="JCL MERPATI"),ROWS($E$5:E272)),"")</f>
        <v/>
      </c>
      <c r="F272" s="5" t="n"/>
    </row>
    <row r="273">
      <c r="A273" s="10">
        <f>IF($E273="","",INDEX('Input Transaksi'!$A:$A,$E273))</f>
        <v/>
      </c>
      <c r="B273" s="5">
        <f>IF($E273="","",INDEX('Input Transaksi'!$D:$D,$E273))</f>
        <v/>
      </c>
      <c r="C273">
        <f>IF($E273="","",INDEX('Input Transaksi'!$E:$E,$E273))</f>
        <v/>
      </c>
      <c r="D273" s="5">
        <f>IF($E273="","",INDEX('Input Transaksi'!$F:$F,$E273))</f>
        <v/>
      </c>
      <c r="E273">
        <f>IFERROR(AGGREGATE(15,6,ROW('Input Transaksi'!$B$5:$B$5000)/('Input Transaksi'!$B$5:$B$5000="JCL MERPATI"),ROWS($E$5:E273)),"")</f>
        <v/>
      </c>
      <c r="F273" s="5" t="n"/>
    </row>
    <row r="274">
      <c r="A274" s="10">
        <f>IF($E274="","",INDEX('Input Transaksi'!$A:$A,$E274))</f>
        <v/>
      </c>
      <c r="B274" s="5">
        <f>IF($E274="","",INDEX('Input Transaksi'!$D:$D,$E274))</f>
        <v/>
      </c>
      <c r="C274">
        <f>IF($E274="","",INDEX('Input Transaksi'!$E:$E,$E274))</f>
        <v/>
      </c>
      <c r="D274" s="5">
        <f>IF($E274="","",INDEX('Input Transaksi'!$F:$F,$E274))</f>
        <v/>
      </c>
      <c r="E274">
        <f>IFERROR(AGGREGATE(15,6,ROW('Input Transaksi'!$B$5:$B$5000)/('Input Transaksi'!$B$5:$B$5000="JCL MERPATI"),ROWS($E$5:E274)),"")</f>
        <v/>
      </c>
      <c r="F274" s="5" t="n"/>
    </row>
    <row r="275">
      <c r="A275" s="10">
        <f>IF($E275="","",INDEX('Input Transaksi'!$A:$A,$E275))</f>
        <v/>
      </c>
      <c r="B275" s="5">
        <f>IF($E275="","",INDEX('Input Transaksi'!$D:$D,$E275))</f>
        <v/>
      </c>
      <c r="C275">
        <f>IF($E275="","",INDEX('Input Transaksi'!$E:$E,$E275))</f>
        <v/>
      </c>
      <c r="D275" s="5">
        <f>IF($E275="","",INDEX('Input Transaksi'!$F:$F,$E275))</f>
        <v/>
      </c>
      <c r="E275">
        <f>IFERROR(AGGREGATE(15,6,ROW('Input Transaksi'!$B$5:$B$5000)/('Input Transaksi'!$B$5:$B$5000="JCL MERPATI"),ROWS($E$5:E275)),"")</f>
        <v/>
      </c>
      <c r="F275" s="5" t="n"/>
    </row>
    <row r="276">
      <c r="A276" s="10">
        <f>IF($E276="","",INDEX('Input Transaksi'!$A:$A,$E276))</f>
        <v/>
      </c>
      <c r="B276" s="5">
        <f>IF($E276="","",INDEX('Input Transaksi'!$D:$D,$E276))</f>
        <v/>
      </c>
      <c r="C276">
        <f>IF($E276="","",INDEX('Input Transaksi'!$E:$E,$E276))</f>
        <v/>
      </c>
      <c r="D276" s="5">
        <f>IF($E276="","",INDEX('Input Transaksi'!$F:$F,$E276))</f>
        <v/>
      </c>
      <c r="E276">
        <f>IFERROR(AGGREGATE(15,6,ROW('Input Transaksi'!$B$5:$B$5000)/('Input Transaksi'!$B$5:$B$5000="JCL MERPATI"),ROWS($E$5:E276)),"")</f>
        <v/>
      </c>
      <c r="F276" s="5" t="n"/>
    </row>
    <row r="277">
      <c r="A277" s="10">
        <f>IF($E277="","",INDEX('Input Transaksi'!$A:$A,$E277))</f>
        <v/>
      </c>
      <c r="B277" s="5">
        <f>IF($E277="","",INDEX('Input Transaksi'!$D:$D,$E277))</f>
        <v/>
      </c>
      <c r="C277">
        <f>IF($E277="","",INDEX('Input Transaksi'!$E:$E,$E277))</f>
        <v/>
      </c>
      <c r="D277" s="5">
        <f>IF($E277="","",INDEX('Input Transaksi'!$F:$F,$E277))</f>
        <v/>
      </c>
      <c r="E277">
        <f>IFERROR(AGGREGATE(15,6,ROW('Input Transaksi'!$B$5:$B$5000)/('Input Transaksi'!$B$5:$B$5000="JCL MERPATI"),ROWS($E$5:E277)),"")</f>
        <v/>
      </c>
      <c r="F277" s="5" t="n"/>
    </row>
    <row r="278">
      <c r="A278" s="10">
        <f>IF($E278="","",INDEX('Input Transaksi'!$A:$A,$E278))</f>
        <v/>
      </c>
      <c r="B278" s="5">
        <f>IF($E278="","",INDEX('Input Transaksi'!$D:$D,$E278))</f>
        <v/>
      </c>
      <c r="C278">
        <f>IF($E278="","",INDEX('Input Transaksi'!$E:$E,$E278))</f>
        <v/>
      </c>
      <c r="D278" s="5">
        <f>IF($E278="","",INDEX('Input Transaksi'!$F:$F,$E278))</f>
        <v/>
      </c>
      <c r="E278">
        <f>IFERROR(AGGREGATE(15,6,ROW('Input Transaksi'!$B$5:$B$5000)/('Input Transaksi'!$B$5:$B$5000="JCL MERPATI"),ROWS($E$5:E278)),"")</f>
        <v/>
      </c>
      <c r="F278" s="5" t="n"/>
    </row>
    <row r="279">
      <c r="A279" s="10">
        <f>IF($E279="","",INDEX('Input Transaksi'!$A:$A,$E279))</f>
        <v/>
      </c>
      <c r="B279" s="5">
        <f>IF($E279="","",INDEX('Input Transaksi'!$D:$D,$E279))</f>
        <v/>
      </c>
      <c r="C279">
        <f>IF($E279="","",INDEX('Input Transaksi'!$E:$E,$E279))</f>
        <v/>
      </c>
      <c r="D279" s="5">
        <f>IF($E279="","",INDEX('Input Transaksi'!$F:$F,$E279))</f>
        <v/>
      </c>
      <c r="E279">
        <f>IFERROR(AGGREGATE(15,6,ROW('Input Transaksi'!$B$5:$B$5000)/('Input Transaksi'!$B$5:$B$5000="JCL MERPATI"),ROWS($E$5:E279)),"")</f>
        <v/>
      </c>
      <c r="F279" s="5" t="n"/>
    </row>
    <row r="280">
      <c r="A280" s="10">
        <f>IF($E280="","",INDEX('Input Transaksi'!$A:$A,$E280))</f>
        <v/>
      </c>
      <c r="B280" s="5">
        <f>IF($E280="","",INDEX('Input Transaksi'!$D:$D,$E280))</f>
        <v/>
      </c>
      <c r="C280">
        <f>IF($E280="","",INDEX('Input Transaksi'!$E:$E,$E280))</f>
        <v/>
      </c>
      <c r="D280" s="5">
        <f>IF($E280="","",INDEX('Input Transaksi'!$F:$F,$E280))</f>
        <v/>
      </c>
      <c r="E280">
        <f>IFERROR(AGGREGATE(15,6,ROW('Input Transaksi'!$B$5:$B$5000)/('Input Transaksi'!$B$5:$B$5000="JCL MERPATI"),ROWS($E$5:E280)),"")</f>
        <v/>
      </c>
      <c r="F280" s="5" t="n"/>
    </row>
    <row r="281">
      <c r="A281" s="10">
        <f>IF($E281="","",INDEX('Input Transaksi'!$A:$A,$E281))</f>
        <v/>
      </c>
      <c r="B281" s="5">
        <f>IF($E281="","",INDEX('Input Transaksi'!$D:$D,$E281))</f>
        <v/>
      </c>
      <c r="C281">
        <f>IF($E281="","",INDEX('Input Transaksi'!$E:$E,$E281))</f>
        <v/>
      </c>
      <c r="D281" s="5">
        <f>IF($E281="","",INDEX('Input Transaksi'!$F:$F,$E281))</f>
        <v/>
      </c>
      <c r="E281">
        <f>IFERROR(AGGREGATE(15,6,ROW('Input Transaksi'!$B$5:$B$5000)/('Input Transaksi'!$B$5:$B$5000="JCL MERPATI"),ROWS($E$5:E281)),"")</f>
        <v/>
      </c>
      <c r="F281" s="5" t="n"/>
    </row>
    <row r="282">
      <c r="A282" s="10">
        <f>IF($E282="","",INDEX('Input Transaksi'!$A:$A,$E282))</f>
        <v/>
      </c>
      <c r="B282" s="5">
        <f>IF($E282="","",INDEX('Input Transaksi'!$D:$D,$E282))</f>
        <v/>
      </c>
      <c r="C282">
        <f>IF($E282="","",INDEX('Input Transaksi'!$E:$E,$E282))</f>
        <v/>
      </c>
      <c r="D282" s="5">
        <f>IF($E282="","",INDEX('Input Transaksi'!$F:$F,$E282))</f>
        <v/>
      </c>
      <c r="E282">
        <f>IFERROR(AGGREGATE(15,6,ROW('Input Transaksi'!$B$5:$B$5000)/('Input Transaksi'!$B$5:$B$5000="JCL MERPATI"),ROWS($E$5:E282)),"")</f>
        <v/>
      </c>
      <c r="F282" s="5" t="n"/>
    </row>
    <row r="283">
      <c r="A283" s="10">
        <f>IF($E283="","",INDEX('Input Transaksi'!$A:$A,$E283))</f>
        <v/>
      </c>
      <c r="B283" s="5">
        <f>IF($E283="","",INDEX('Input Transaksi'!$D:$D,$E283))</f>
        <v/>
      </c>
      <c r="C283">
        <f>IF($E283="","",INDEX('Input Transaksi'!$E:$E,$E283))</f>
        <v/>
      </c>
      <c r="D283" s="5">
        <f>IF($E283="","",INDEX('Input Transaksi'!$F:$F,$E283))</f>
        <v/>
      </c>
      <c r="E283">
        <f>IFERROR(AGGREGATE(15,6,ROW('Input Transaksi'!$B$5:$B$5000)/('Input Transaksi'!$B$5:$B$5000="JCL MERPATI"),ROWS($E$5:E283)),"")</f>
        <v/>
      </c>
      <c r="F283" s="5" t="n"/>
    </row>
    <row r="284">
      <c r="A284" s="10">
        <f>IF($E284="","",INDEX('Input Transaksi'!$A:$A,$E284))</f>
        <v/>
      </c>
      <c r="B284" s="5">
        <f>IF($E284="","",INDEX('Input Transaksi'!$D:$D,$E284))</f>
        <v/>
      </c>
      <c r="C284">
        <f>IF($E284="","",INDEX('Input Transaksi'!$E:$E,$E284))</f>
        <v/>
      </c>
      <c r="D284" s="5">
        <f>IF($E284="","",INDEX('Input Transaksi'!$F:$F,$E284))</f>
        <v/>
      </c>
      <c r="E284">
        <f>IFERROR(AGGREGATE(15,6,ROW('Input Transaksi'!$B$5:$B$5000)/('Input Transaksi'!$B$5:$B$5000="JCL MERPATI"),ROWS($E$5:E284)),"")</f>
        <v/>
      </c>
      <c r="F284" s="5" t="n"/>
    </row>
    <row r="285">
      <c r="A285" s="10">
        <f>IF($E285="","",INDEX('Input Transaksi'!$A:$A,$E285))</f>
        <v/>
      </c>
      <c r="B285" s="5">
        <f>IF($E285="","",INDEX('Input Transaksi'!$D:$D,$E285))</f>
        <v/>
      </c>
      <c r="C285">
        <f>IF($E285="","",INDEX('Input Transaksi'!$E:$E,$E285))</f>
        <v/>
      </c>
      <c r="D285" s="5">
        <f>IF($E285="","",INDEX('Input Transaksi'!$F:$F,$E285))</f>
        <v/>
      </c>
      <c r="E285">
        <f>IFERROR(AGGREGATE(15,6,ROW('Input Transaksi'!$B$5:$B$5000)/('Input Transaksi'!$B$5:$B$5000="JCL MERPATI"),ROWS($E$5:E285)),"")</f>
        <v/>
      </c>
      <c r="F285" s="5" t="n"/>
    </row>
    <row r="286">
      <c r="A286" s="10">
        <f>IF($E286="","",INDEX('Input Transaksi'!$A:$A,$E286))</f>
        <v/>
      </c>
      <c r="B286" s="5">
        <f>IF($E286="","",INDEX('Input Transaksi'!$D:$D,$E286))</f>
        <v/>
      </c>
      <c r="C286">
        <f>IF($E286="","",INDEX('Input Transaksi'!$E:$E,$E286))</f>
        <v/>
      </c>
      <c r="D286" s="5">
        <f>IF($E286="","",INDEX('Input Transaksi'!$F:$F,$E286))</f>
        <v/>
      </c>
      <c r="E286">
        <f>IFERROR(AGGREGATE(15,6,ROW('Input Transaksi'!$B$5:$B$5000)/('Input Transaksi'!$B$5:$B$5000="JCL MERPATI"),ROWS($E$5:E286)),"")</f>
        <v/>
      </c>
      <c r="F286" s="5" t="n"/>
    </row>
    <row r="287">
      <c r="A287" s="10">
        <f>IF($E287="","",INDEX('Input Transaksi'!$A:$A,$E287))</f>
        <v/>
      </c>
      <c r="B287" s="5">
        <f>IF($E287="","",INDEX('Input Transaksi'!$D:$D,$E287))</f>
        <v/>
      </c>
      <c r="C287">
        <f>IF($E287="","",INDEX('Input Transaksi'!$E:$E,$E287))</f>
        <v/>
      </c>
      <c r="D287" s="5">
        <f>IF($E287="","",INDEX('Input Transaksi'!$F:$F,$E287))</f>
        <v/>
      </c>
      <c r="E287">
        <f>IFERROR(AGGREGATE(15,6,ROW('Input Transaksi'!$B$5:$B$5000)/('Input Transaksi'!$B$5:$B$5000="JCL MERPATI"),ROWS($E$5:E287)),"")</f>
        <v/>
      </c>
      <c r="F287" s="5" t="n"/>
    </row>
    <row r="288">
      <c r="A288" s="10">
        <f>IF($E288="","",INDEX('Input Transaksi'!$A:$A,$E288))</f>
        <v/>
      </c>
      <c r="B288" s="5">
        <f>IF($E288="","",INDEX('Input Transaksi'!$D:$D,$E288))</f>
        <v/>
      </c>
      <c r="C288">
        <f>IF($E288="","",INDEX('Input Transaksi'!$E:$E,$E288))</f>
        <v/>
      </c>
      <c r="D288" s="5">
        <f>IF($E288="","",INDEX('Input Transaksi'!$F:$F,$E288))</f>
        <v/>
      </c>
      <c r="E288">
        <f>IFERROR(AGGREGATE(15,6,ROW('Input Transaksi'!$B$5:$B$5000)/('Input Transaksi'!$B$5:$B$5000="JCL MERPATI"),ROWS($E$5:E288)),"")</f>
        <v/>
      </c>
      <c r="F288" s="5" t="n"/>
    </row>
    <row r="289">
      <c r="A289" s="10">
        <f>IF($E289="","",INDEX('Input Transaksi'!$A:$A,$E289))</f>
        <v/>
      </c>
      <c r="B289" s="5">
        <f>IF($E289="","",INDEX('Input Transaksi'!$D:$D,$E289))</f>
        <v/>
      </c>
      <c r="C289">
        <f>IF($E289="","",INDEX('Input Transaksi'!$E:$E,$E289))</f>
        <v/>
      </c>
      <c r="D289" s="5">
        <f>IF($E289="","",INDEX('Input Transaksi'!$F:$F,$E289))</f>
        <v/>
      </c>
      <c r="E289">
        <f>IFERROR(AGGREGATE(15,6,ROW('Input Transaksi'!$B$5:$B$5000)/('Input Transaksi'!$B$5:$B$5000="JCL MERPATI"),ROWS($E$5:E289)),"")</f>
        <v/>
      </c>
      <c r="F289" s="5" t="n"/>
    </row>
    <row r="290">
      <c r="A290" s="10">
        <f>IF($E290="","",INDEX('Input Transaksi'!$A:$A,$E290))</f>
        <v/>
      </c>
      <c r="B290" s="5">
        <f>IF($E290="","",INDEX('Input Transaksi'!$D:$D,$E290))</f>
        <v/>
      </c>
      <c r="C290">
        <f>IF($E290="","",INDEX('Input Transaksi'!$E:$E,$E290))</f>
        <v/>
      </c>
      <c r="D290" s="5">
        <f>IF($E290="","",INDEX('Input Transaksi'!$F:$F,$E290))</f>
        <v/>
      </c>
      <c r="E290">
        <f>IFERROR(AGGREGATE(15,6,ROW('Input Transaksi'!$B$5:$B$5000)/('Input Transaksi'!$B$5:$B$5000="JCL MERPATI"),ROWS($E$5:E290)),"")</f>
        <v/>
      </c>
      <c r="F290" s="5" t="n"/>
    </row>
    <row r="291">
      <c r="A291" s="10">
        <f>IF($E291="","",INDEX('Input Transaksi'!$A:$A,$E291))</f>
        <v/>
      </c>
      <c r="B291" s="5">
        <f>IF($E291="","",INDEX('Input Transaksi'!$D:$D,$E291))</f>
        <v/>
      </c>
      <c r="C291">
        <f>IF($E291="","",INDEX('Input Transaksi'!$E:$E,$E291))</f>
        <v/>
      </c>
      <c r="D291" s="5">
        <f>IF($E291="","",INDEX('Input Transaksi'!$F:$F,$E291))</f>
        <v/>
      </c>
      <c r="E291">
        <f>IFERROR(AGGREGATE(15,6,ROW('Input Transaksi'!$B$5:$B$5000)/('Input Transaksi'!$B$5:$B$5000="JCL MERPATI"),ROWS($E$5:E291)),"")</f>
        <v/>
      </c>
      <c r="F291" s="5" t="n"/>
    </row>
    <row r="292">
      <c r="A292" s="10">
        <f>IF($E292="","",INDEX('Input Transaksi'!$A:$A,$E292))</f>
        <v/>
      </c>
      <c r="B292" s="5">
        <f>IF($E292="","",INDEX('Input Transaksi'!$D:$D,$E292))</f>
        <v/>
      </c>
      <c r="C292">
        <f>IF($E292="","",INDEX('Input Transaksi'!$E:$E,$E292))</f>
        <v/>
      </c>
      <c r="D292" s="5">
        <f>IF($E292="","",INDEX('Input Transaksi'!$F:$F,$E292))</f>
        <v/>
      </c>
      <c r="E292">
        <f>IFERROR(AGGREGATE(15,6,ROW('Input Transaksi'!$B$5:$B$5000)/('Input Transaksi'!$B$5:$B$5000="JCL MERPATI"),ROWS($E$5:E292)),"")</f>
        <v/>
      </c>
      <c r="F292" s="5" t="n"/>
    </row>
    <row r="293">
      <c r="A293" s="10">
        <f>IF($E293="","",INDEX('Input Transaksi'!$A:$A,$E293))</f>
        <v/>
      </c>
      <c r="B293" s="5">
        <f>IF($E293="","",INDEX('Input Transaksi'!$D:$D,$E293))</f>
        <v/>
      </c>
      <c r="C293">
        <f>IF($E293="","",INDEX('Input Transaksi'!$E:$E,$E293))</f>
        <v/>
      </c>
      <c r="D293" s="5">
        <f>IF($E293="","",INDEX('Input Transaksi'!$F:$F,$E293))</f>
        <v/>
      </c>
      <c r="E293">
        <f>IFERROR(AGGREGATE(15,6,ROW('Input Transaksi'!$B$5:$B$5000)/('Input Transaksi'!$B$5:$B$5000="JCL MERPATI"),ROWS($E$5:E293)),"")</f>
        <v/>
      </c>
      <c r="F293" s="5" t="n"/>
    </row>
    <row r="294">
      <c r="A294" s="10">
        <f>IF($E294="","",INDEX('Input Transaksi'!$A:$A,$E294))</f>
        <v/>
      </c>
      <c r="B294" s="5">
        <f>IF($E294="","",INDEX('Input Transaksi'!$D:$D,$E294))</f>
        <v/>
      </c>
      <c r="C294">
        <f>IF($E294="","",INDEX('Input Transaksi'!$E:$E,$E294))</f>
        <v/>
      </c>
      <c r="D294" s="5">
        <f>IF($E294="","",INDEX('Input Transaksi'!$F:$F,$E294))</f>
        <v/>
      </c>
      <c r="E294">
        <f>IFERROR(AGGREGATE(15,6,ROW('Input Transaksi'!$B$5:$B$5000)/('Input Transaksi'!$B$5:$B$5000="JCL MERPATI"),ROWS($E$5:E294)),"")</f>
        <v/>
      </c>
      <c r="F294" s="5" t="n"/>
    </row>
    <row r="295">
      <c r="A295" s="10">
        <f>IF($E295="","",INDEX('Input Transaksi'!$A:$A,$E295))</f>
        <v/>
      </c>
      <c r="B295" s="5">
        <f>IF($E295="","",INDEX('Input Transaksi'!$D:$D,$E295))</f>
        <v/>
      </c>
      <c r="C295">
        <f>IF($E295="","",INDEX('Input Transaksi'!$E:$E,$E295))</f>
        <v/>
      </c>
      <c r="D295" s="5">
        <f>IF($E295="","",INDEX('Input Transaksi'!$F:$F,$E295))</f>
        <v/>
      </c>
      <c r="E295">
        <f>IFERROR(AGGREGATE(15,6,ROW('Input Transaksi'!$B$5:$B$5000)/('Input Transaksi'!$B$5:$B$5000="JCL MERPATI"),ROWS($E$5:E295)),"")</f>
        <v/>
      </c>
      <c r="F295" s="5" t="n"/>
    </row>
    <row r="296">
      <c r="A296" s="10">
        <f>IF($E296="","",INDEX('Input Transaksi'!$A:$A,$E296))</f>
        <v/>
      </c>
      <c r="B296" s="5">
        <f>IF($E296="","",INDEX('Input Transaksi'!$D:$D,$E296))</f>
        <v/>
      </c>
      <c r="C296">
        <f>IF($E296="","",INDEX('Input Transaksi'!$E:$E,$E296))</f>
        <v/>
      </c>
      <c r="D296" s="5">
        <f>IF($E296="","",INDEX('Input Transaksi'!$F:$F,$E296))</f>
        <v/>
      </c>
      <c r="E296">
        <f>IFERROR(AGGREGATE(15,6,ROW('Input Transaksi'!$B$5:$B$5000)/('Input Transaksi'!$B$5:$B$5000="JCL MERPATI"),ROWS($E$5:E296)),"")</f>
        <v/>
      </c>
      <c r="F296" s="5" t="n"/>
    </row>
    <row r="297">
      <c r="A297" s="10">
        <f>IF($E297="","",INDEX('Input Transaksi'!$A:$A,$E297))</f>
        <v/>
      </c>
      <c r="B297" s="5">
        <f>IF($E297="","",INDEX('Input Transaksi'!$D:$D,$E297))</f>
        <v/>
      </c>
      <c r="C297">
        <f>IF($E297="","",INDEX('Input Transaksi'!$E:$E,$E297))</f>
        <v/>
      </c>
      <c r="D297" s="5">
        <f>IF($E297="","",INDEX('Input Transaksi'!$F:$F,$E297))</f>
        <v/>
      </c>
      <c r="E297">
        <f>IFERROR(AGGREGATE(15,6,ROW('Input Transaksi'!$B$5:$B$5000)/('Input Transaksi'!$B$5:$B$5000="JCL MERPATI"),ROWS($E$5:E297)),"")</f>
        <v/>
      </c>
      <c r="F297" s="5" t="n"/>
    </row>
    <row r="298">
      <c r="A298" s="10">
        <f>IF($E298="","",INDEX('Input Transaksi'!$A:$A,$E298))</f>
        <v/>
      </c>
      <c r="B298" s="5">
        <f>IF($E298="","",INDEX('Input Transaksi'!$D:$D,$E298))</f>
        <v/>
      </c>
      <c r="C298">
        <f>IF($E298="","",INDEX('Input Transaksi'!$E:$E,$E298))</f>
        <v/>
      </c>
      <c r="D298" s="5">
        <f>IF($E298="","",INDEX('Input Transaksi'!$F:$F,$E298))</f>
        <v/>
      </c>
      <c r="E298">
        <f>IFERROR(AGGREGATE(15,6,ROW('Input Transaksi'!$B$5:$B$5000)/('Input Transaksi'!$B$5:$B$5000="JCL MERPATI"),ROWS($E$5:E298)),"")</f>
        <v/>
      </c>
      <c r="F298" s="5" t="n"/>
    </row>
    <row r="299">
      <c r="A299" s="10">
        <f>IF($E299="","",INDEX('Input Transaksi'!$A:$A,$E299))</f>
        <v/>
      </c>
      <c r="B299" s="5">
        <f>IF($E299="","",INDEX('Input Transaksi'!$D:$D,$E299))</f>
        <v/>
      </c>
      <c r="C299">
        <f>IF($E299="","",INDEX('Input Transaksi'!$E:$E,$E299))</f>
        <v/>
      </c>
      <c r="D299" s="5">
        <f>IF($E299="","",INDEX('Input Transaksi'!$F:$F,$E299))</f>
        <v/>
      </c>
      <c r="E299">
        <f>IFERROR(AGGREGATE(15,6,ROW('Input Transaksi'!$B$5:$B$5000)/('Input Transaksi'!$B$5:$B$5000="JCL MERPATI"),ROWS($E$5:E299)),"")</f>
        <v/>
      </c>
      <c r="F299" s="5" t="n"/>
    </row>
    <row r="300">
      <c r="A300" s="10">
        <f>IF($E300="","",INDEX('Input Transaksi'!$A:$A,$E300))</f>
        <v/>
      </c>
      <c r="B300" s="5">
        <f>IF($E300="","",INDEX('Input Transaksi'!$D:$D,$E300))</f>
        <v/>
      </c>
      <c r="C300">
        <f>IF($E300="","",INDEX('Input Transaksi'!$E:$E,$E300))</f>
        <v/>
      </c>
      <c r="D300" s="5">
        <f>IF($E300="","",INDEX('Input Transaksi'!$F:$F,$E300))</f>
        <v/>
      </c>
      <c r="E300">
        <f>IFERROR(AGGREGATE(15,6,ROW('Input Transaksi'!$B$5:$B$5000)/('Input Transaksi'!$B$5:$B$5000="JCL MERPATI"),ROWS($E$5:E300)),"")</f>
        <v/>
      </c>
      <c r="F300" s="5" t="n"/>
    </row>
    <row r="301">
      <c r="A301" s="10">
        <f>IF($E301="","",INDEX('Input Transaksi'!$A:$A,$E301))</f>
        <v/>
      </c>
      <c r="B301" s="5">
        <f>IF($E301="","",INDEX('Input Transaksi'!$D:$D,$E301))</f>
        <v/>
      </c>
      <c r="C301">
        <f>IF($E301="","",INDEX('Input Transaksi'!$E:$E,$E301))</f>
        <v/>
      </c>
      <c r="D301" s="5">
        <f>IF($E301="","",INDEX('Input Transaksi'!$F:$F,$E301))</f>
        <v/>
      </c>
      <c r="E301">
        <f>IFERROR(AGGREGATE(15,6,ROW('Input Transaksi'!$B$5:$B$5000)/('Input Transaksi'!$B$5:$B$5000="JCL MERPATI"),ROWS($E$5:E301)),"")</f>
        <v/>
      </c>
      <c r="F301" s="5" t="n"/>
    </row>
    <row r="302">
      <c r="A302" s="10">
        <f>IF($E302="","",INDEX('Input Transaksi'!$A:$A,$E302))</f>
        <v/>
      </c>
      <c r="B302" s="5">
        <f>IF($E302="","",INDEX('Input Transaksi'!$D:$D,$E302))</f>
        <v/>
      </c>
      <c r="C302">
        <f>IF($E302="","",INDEX('Input Transaksi'!$E:$E,$E302))</f>
        <v/>
      </c>
      <c r="D302" s="5">
        <f>IF($E302="","",INDEX('Input Transaksi'!$F:$F,$E302))</f>
        <v/>
      </c>
      <c r="E302">
        <f>IFERROR(AGGREGATE(15,6,ROW('Input Transaksi'!$B$5:$B$5000)/('Input Transaksi'!$B$5:$B$5000="JCL MERPATI"),ROWS($E$5:E302)),"")</f>
        <v/>
      </c>
      <c r="F302" s="5" t="n"/>
    </row>
    <row r="303">
      <c r="A303" s="10">
        <f>IF($E303="","",INDEX('Input Transaksi'!$A:$A,$E303))</f>
        <v/>
      </c>
      <c r="B303" s="5">
        <f>IF($E303="","",INDEX('Input Transaksi'!$D:$D,$E303))</f>
        <v/>
      </c>
      <c r="C303">
        <f>IF($E303="","",INDEX('Input Transaksi'!$E:$E,$E303))</f>
        <v/>
      </c>
      <c r="D303" s="5">
        <f>IF($E303="","",INDEX('Input Transaksi'!$F:$F,$E303))</f>
        <v/>
      </c>
      <c r="E303">
        <f>IFERROR(AGGREGATE(15,6,ROW('Input Transaksi'!$B$5:$B$5000)/('Input Transaksi'!$B$5:$B$5000="JCL MERPATI"),ROWS($E$5:E303)),"")</f>
        <v/>
      </c>
      <c r="F303" s="5" t="n"/>
    </row>
    <row r="304">
      <c r="A304" s="10">
        <f>IF($E304="","",INDEX('Input Transaksi'!$A:$A,$E304))</f>
        <v/>
      </c>
      <c r="B304" s="5">
        <f>IF($E304="","",INDEX('Input Transaksi'!$D:$D,$E304))</f>
        <v/>
      </c>
      <c r="C304">
        <f>IF($E304="","",INDEX('Input Transaksi'!$E:$E,$E304))</f>
        <v/>
      </c>
      <c r="D304" s="5">
        <f>IF($E304="","",INDEX('Input Transaksi'!$F:$F,$E304))</f>
        <v/>
      </c>
      <c r="E304">
        <f>IFERROR(AGGREGATE(15,6,ROW('Input Transaksi'!$B$5:$B$5000)/('Input Transaksi'!$B$5:$B$5000="JCL MERPATI"),ROWS($E$5:E304)),"")</f>
        <v/>
      </c>
      <c r="F304" s="5" t="n"/>
    </row>
    <row r="305">
      <c r="A305" s="10">
        <f>IF($E305="","",INDEX('Input Transaksi'!$A:$A,$E305))</f>
        <v/>
      </c>
      <c r="B305" s="5">
        <f>IF($E305="","",INDEX('Input Transaksi'!$D:$D,$E305))</f>
        <v/>
      </c>
      <c r="C305">
        <f>IF($E305="","",INDEX('Input Transaksi'!$E:$E,$E305))</f>
        <v/>
      </c>
      <c r="D305" s="5">
        <f>IF($E305="","",INDEX('Input Transaksi'!$F:$F,$E305))</f>
        <v/>
      </c>
      <c r="E305">
        <f>IFERROR(AGGREGATE(15,6,ROW('Input Transaksi'!$B$5:$B$5000)/('Input Transaksi'!$B$5:$B$5000="JCL MERPATI"),ROWS($E$5:E305)),"")</f>
        <v/>
      </c>
      <c r="F305" s="5" t="n"/>
    </row>
    <row r="306">
      <c r="A306" s="10">
        <f>IF($E306="","",INDEX('Input Transaksi'!$A:$A,$E306))</f>
        <v/>
      </c>
      <c r="B306" s="5">
        <f>IF($E306="","",INDEX('Input Transaksi'!$D:$D,$E306))</f>
        <v/>
      </c>
      <c r="C306">
        <f>IF($E306="","",INDEX('Input Transaksi'!$E:$E,$E306))</f>
        <v/>
      </c>
      <c r="D306" s="5">
        <f>IF($E306="","",INDEX('Input Transaksi'!$F:$F,$E306))</f>
        <v/>
      </c>
      <c r="E306">
        <f>IFERROR(AGGREGATE(15,6,ROW('Input Transaksi'!$B$5:$B$5000)/('Input Transaksi'!$B$5:$B$5000="JCL MERPATI"),ROWS($E$5:E306)),"")</f>
        <v/>
      </c>
      <c r="F306" s="5" t="n"/>
    </row>
    <row r="307">
      <c r="A307" s="10">
        <f>IF($E307="","",INDEX('Input Transaksi'!$A:$A,$E307))</f>
        <v/>
      </c>
      <c r="B307" s="5">
        <f>IF($E307="","",INDEX('Input Transaksi'!$D:$D,$E307))</f>
        <v/>
      </c>
      <c r="C307">
        <f>IF($E307="","",INDEX('Input Transaksi'!$E:$E,$E307))</f>
        <v/>
      </c>
      <c r="D307" s="5">
        <f>IF($E307="","",INDEX('Input Transaksi'!$F:$F,$E307))</f>
        <v/>
      </c>
      <c r="E307">
        <f>IFERROR(AGGREGATE(15,6,ROW('Input Transaksi'!$B$5:$B$5000)/('Input Transaksi'!$B$5:$B$5000="JCL MERPATI"),ROWS($E$5:E307)),"")</f>
        <v/>
      </c>
      <c r="F307" s="5" t="n"/>
    </row>
    <row r="308">
      <c r="A308" s="10">
        <f>IF($E308="","",INDEX('Input Transaksi'!$A:$A,$E308))</f>
        <v/>
      </c>
      <c r="B308" s="5">
        <f>IF($E308="","",INDEX('Input Transaksi'!$D:$D,$E308))</f>
        <v/>
      </c>
      <c r="C308">
        <f>IF($E308="","",INDEX('Input Transaksi'!$E:$E,$E308))</f>
        <v/>
      </c>
      <c r="D308" s="5">
        <f>IF($E308="","",INDEX('Input Transaksi'!$F:$F,$E308))</f>
        <v/>
      </c>
      <c r="E308">
        <f>IFERROR(AGGREGATE(15,6,ROW('Input Transaksi'!$B$5:$B$5000)/('Input Transaksi'!$B$5:$B$5000="JCL MERPATI"),ROWS($E$5:E308)),"")</f>
        <v/>
      </c>
      <c r="F308" s="5" t="n"/>
    </row>
    <row r="309">
      <c r="A309" s="10">
        <f>IF($E309="","",INDEX('Input Transaksi'!$A:$A,$E309))</f>
        <v/>
      </c>
      <c r="B309" s="5">
        <f>IF($E309="","",INDEX('Input Transaksi'!$D:$D,$E309))</f>
        <v/>
      </c>
      <c r="C309">
        <f>IF($E309="","",INDEX('Input Transaksi'!$E:$E,$E309))</f>
        <v/>
      </c>
      <c r="D309" s="5">
        <f>IF($E309="","",INDEX('Input Transaksi'!$F:$F,$E309))</f>
        <v/>
      </c>
      <c r="E309">
        <f>IFERROR(AGGREGATE(15,6,ROW('Input Transaksi'!$B$5:$B$5000)/('Input Transaksi'!$B$5:$B$5000="JCL MERPATI"),ROWS($E$5:E309)),"")</f>
        <v/>
      </c>
      <c r="F309" s="5" t="n"/>
    </row>
    <row r="310">
      <c r="A310" s="10">
        <f>IF($E310="","",INDEX('Input Transaksi'!$A:$A,$E310))</f>
        <v/>
      </c>
      <c r="B310" s="5">
        <f>IF($E310="","",INDEX('Input Transaksi'!$D:$D,$E310))</f>
        <v/>
      </c>
      <c r="C310">
        <f>IF($E310="","",INDEX('Input Transaksi'!$E:$E,$E310))</f>
        <v/>
      </c>
      <c r="D310" s="5">
        <f>IF($E310="","",INDEX('Input Transaksi'!$F:$F,$E310))</f>
        <v/>
      </c>
      <c r="E310">
        <f>IFERROR(AGGREGATE(15,6,ROW('Input Transaksi'!$B$5:$B$5000)/('Input Transaksi'!$B$5:$B$5000="JCL MERPATI"),ROWS($E$5:E310)),"")</f>
        <v/>
      </c>
      <c r="F310" s="5" t="n"/>
    </row>
    <row r="311">
      <c r="A311" s="10">
        <f>IF($E311="","",INDEX('Input Transaksi'!$A:$A,$E311))</f>
        <v/>
      </c>
      <c r="B311" s="5">
        <f>IF($E311="","",INDEX('Input Transaksi'!$D:$D,$E311))</f>
        <v/>
      </c>
      <c r="C311">
        <f>IF($E311="","",INDEX('Input Transaksi'!$E:$E,$E311))</f>
        <v/>
      </c>
      <c r="D311" s="5">
        <f>IF($E311="","",INDEX('Input Transaksi'!$F:$F,$E311))</f>
        <v/>
      </c>
      <c r="E311">
        <f>IFERROR(AGGREGATE(15,6,ROW('Input Transaksi'!$B$5:$B$5000)/('Input Transaksi'!$B$5:$B$5000="JCL MERPATI"),ROWS($E$5:E311)),"")</f>
        <v/>
      </c>
      <c r="F311" s="5" t="n"/>
    </row>
    <row r="312">
      <c r="A312" s="10">
        <f>IF($E312="","",INDEX('Input Transaksi'!$A:$A,$E312))</f>
        <v/>
      </c>
      <c r="B312" s="5">
        <f>IF($E312="","",INDEX('Input Transaksi'!$D:$D,$E312))</f>
        <v/>
      </c>
      <c r="C312">
        <f>IF($E312="","",INDEX('Input Transaksi'!$E:$E,$E312))</f>
        <v/>
      </c>
      <c r="D312" s="5">
        <f>IF($E312="","",INDEX('Input Transaksi'!$F:$F,$E312))</f>
        <v/>
      </c>
      <c r="E312">
        <f>IFERROR(AGGREGATE(15,6,ROW('Input Transaksi'!$B$5:$B$5000)/('Input Transaksi'!$B$5:$B$5000="JCL MERPATI"),ROWS($E$5:E312)),"")</f>
        <v/>
      </c>
      <c r="F312" s="5" t="n"/>
    </row>
    <row r="313">
      <c r="A313" s="10">
        <f>IF($E313="","",INDEX('Input Transaksi'!$A:$A,$E313))</f>
        <v/>
      </c>
      <c r="B313" s="5">
        <f>IF($E313="","",INDEX('Input Transaksi'!$D:$D,$E313))</f>
        <v/>
      </c>
      <c r="C313">
        <f>IF($E313="","",INDEX('Input Transaksi'!$E:$E,$E313))</f>
        <v/>
      </c>
      <c r="D313" s="5">
        <f>IF($E313="","",INDEX('Input Transaksi'!$F:$F,$E313))</f>
        <v/>
      </c>
      <c r="E313">
        <f>IFERROR(AGGREGATE(15,6,ROW('Input Transaksi'!$B$5:$B$5000)/('Input Transaksi'!$B$5:$B$5000="JCL MERPATI"),ROWS($E$5:E313)),"")</f>
        <v/>
      </c>
      <c r="F313" s="5" t="n"/>
    </row>
    <row r="314">
      <c r="A314" s="10">
        <f>IF($E314="","",INDEX('Input Transaksi'!$A:$A,$E314))</f>
        <v/>
      </c>
      <c r="B314" s="5">
        <f>IF($E314="","",INDEX('Input Transaksi'!$D:$D,$E314))</f>
        <v/>
      </c>
      <c r="C314">
        <f>IF($E314="","",INDEX('Input Transaksi'!$E:$E,$E314))</f>
        <v/>
      </c>
      <c r="D314" s="5">
        <f>IF($E314="","",INDEX('Input Transaksi'!$F:$F,$E314))</f>
        <v/>
      </c>
      <c r="E314">
        <f>IFERROR(AGGREGATE(15,6,ROW('Input Transaksi'!$B$5:$B$5000)/('Input Transaksi'!$B$5:$B$5000="JCL MERPATI"),ROWS($E$5:E314)),"")</f>
        <v/>
      </c>
      <c r="F314" s="5" t="n"/>
    </row>
    <row r="315">
      <c r="A315" s="10">
        <f>IF($E315="","",INDEX('Input Transaksi'!$A:$A,$E315))</f>
        <v/>
      </c>
      <c r="B315" s="5">
        <f>IF($E315="","",INDEX('Input Transaksi'!$D:$D,$E315))</f>
        <v/>
      </c>
      <c r="C315">
        <f>IF($E315="","",INDEX('Input Transaksi'!$E:$E,$E315))</f>
        <v/>
      </c>
      <c r="D315" s="5">
        <f>IF($E315="","",INDEX('Input Transaksi'!$F:$F,$E315))</f>
        <v/>
      </c>
      <c r="E315">
        <f>IFERROR(AGGREGATE(15,6,ROW('Input Transaksi'!$B$5:$B$5000)/('Input Transaksi'!$B$5:$B$5000="JCL MERPATI"),ROWS($E$5:E315)),"")</f>
        <v/>
      </c>
      <c r="F315" s="5" t="n"/>
    </row>
    <row r="316">
      <c r="A316" s="10">
        <f>IF($E316="","",INDEX('Input Transaksi'!$A:$A,$E316))</f>
        <v/>
      </c>
      <c r="B316" s="5">
        <f>IF($E316="","",INDEX('Input Transaksi'!$D:$D,$E316))</f>
        <v/>
      </c>
      <c r="C316">
        <f>IF($E316="","",INDEX('Input Transaksi'!$E:$E,$E316))</f>
        <v/>
      </c>
      <c r="D316" s="5">
        <f>IF($E316="","",INDEX('Input Transaksi'!$F:$F,$E316))</f>
        <v/>
      </c>
      <c r="E316">
        <f>IFERROR(AGGREGATE(15,6,ROW('Input Transaksi'!$B$5:$B$5000)/('Input Transaksi'!$B$5:$B$5000="JCL MERPATI"),ROWS($E$5:E316)),"")</f>
        <v/>
      </c>
      <c r="F316" s="5" t="n"/>
    </row>
    <row r="317">
      <c r="A317" s="10">
        <f>IF($E317="","",INDEX('Input Transaksi'!$A:$A,$E317))</f>
        <v/>
      </c>
      <c r="B317" s="5">
        <f>IF($E317="","",INDEX('Input Transaksi'!$D:$D,$E317))</f>
        <v/>
      </c>
      <c r="C317">
        <f>IF($E317="","",INDEX('Input Transaksi'!$E:$E,$E317))</f>
        <v/>
      </c>
      <c r="D317" s="5">
        <f>IF($E317="","",INDEX('Input Transaksi'!$F:$F,$E317))</f>
        <v/>
      </c>
      <c r="E317">
        <f>IFERROR(AGGREGATE(15,6,ROW('Input Transaksi'!$B$5:$B$5000)/('Input Transaksi'!$B$5:$B$5000="JCL MERPATI"),ROWS($E$5:E317)),"")</f>
        <v/>
      </c>
      <c r="F317" s="5" t="n"/>
    </row>
    <row r="318">
      <c r="A318" s="10">
        <f>IF($E318="","",INDEX('Input Transaksi'!$A:$A,$E318))</f>
        <v/>
      </c>
      <c r="B318" s="5">
        <f>IF($E318="","",INDEX('Input Transaksi'!$D:$D,$E318))</f>
        <v/>
      </c>
      <c r="C318">
        <f>IF($E318="","",INDEX('Input Transaksi'!$E:$E,$E318))</f>
        <v/>
      </c>
      <c r="D318" s="5">
        <f>IF($E318="","",INDEX('Input Transaksi'!$F:$F,$E318))</f>
        <v/>
      </c>
      <c r="E318">
        <f>IFERROR(AGGREGATE(15,6,ROW('Input Transaksi'!$B$5:$B$5000)/('Input Transaksi'!$B$5:$B$5000="JCL MERPATI"),ROWS($E$5:E318)),"")</f>
        <v/>
      </c>
      <c r="F318" s="5" t="n"/>
    </row>
    <row r="319">
      <c r="A319" s="10">
        <f>IF($E319="","",INDEX('Input Transaksi'!$A:$A,$E319))</f>
        <v/>
      </c>
      <c r="B319" s="5">
        <f>IF($E319="","",INDEX('Input Transaksi'!$D:$D,$E319))</f>
        <v/>
      </c>
      <c r="C319">
        <f>IF($E319="","",INDEX('Input Transaksi'!$E:$E,$E319))</f>
        <v/>
      </c>
      <c r="D319" s="5">
        <f>IF($E319="","",INDEX('Input Transaksi'!$F:$F,$E319))</f>
        <v/>
      </c>
      <c r="E319">
        <f>IFERROR(AGGREGATE(15,6,ROW('Input Transaksi'!$B$5:$B$5000)/('Input Transaksi'!$B$5:$B$5000="JCL MERPATI"),ROWS($E$5:E319)),"")</f>
        <v/>
      </c>
      <c r="F319" s="5" t="n"/>
    </row>
    <row r="320">
      <c r="A320" s="10">
        <f>IF($E320="","",INDEX('Input Transaksi'!$A:$A,$E320))</f>
        <v/>
      </c>
      <c r="B320" s="5">
        <f>IF($E320="","",INDEX('Input Transaksi'!$D:$D,$E320))</f>
        <v/>
      </c>
      <c r="C320">
        <f>IF($E320="","",INDEX('Input Transaksi'!$E:$E,$E320))</f>
        <v/>
      </c>
      <c r="D320" s="5">
        <f>IF($E320="","",INDEX('Input Transaksi'!$F:$F,$E320))</f>
        <v/>
      </c>
      <c r="E320">
        <f>IFERROR(AGGREGATE(15,6,ROW('Input Transaksi'!$B$5:$B$5000)/('Input Transaksi'!$B$5:$B$5000="JCL MERPATI"),ROWS($E$5:E320)),"")</f>
        <v/>
      </c>
      <c r="F320" s="5" t="n"/>
    </row>
    <row r="321">
      <c r="A321" s="10">
        <f>IF($E321="","",INDEX('Input Transaksi'!$A:$A,$E321))</f>
        <v/>
      </c>
      <c r="B321" s="5">
        <f>IF($E321="","",INDEX('Input Transaksi'!$D:$D,$E321))</f>
        <v/>
      </c>
      <c r="C321">
        <f>IF($E321="","",INDEX('Input Transaksi'!$E:$E,$E321))</f>
        <v/>
      </c>
      <c r="D321" s="5">
        <f>IF($E321="","",INDEX('Input Transaksi'!$F:$F,$E321))</f>
        <v/>
      </c>
      <c r="E321">
        <f>IFERROR(AGGREGATE(15,6,ROW('Input Transaksi'!$B$5:$B$5000)/('Input Transaksi'!$B$5:$B$5000="JCL MERPATI"),ROWS($E$5:E321)),"")</f>
        <v/>
      </c>
      <c r="F321" s="5" t="n"/>
    </row>
    <row r="322">
      <c r="A322" s="10">
        <f>IF($E322="","",INDEX('Input Transaksi'!$A:$A,$E322))</f>
        <v/>
      </c>
      <c r="B322" s="5">
        <f>IF($E322="","",INDEX('Input Transaksi'!$D:$D,$E322))</f>
        <v/>
      </c>
      <c r="C322">
        <f>IF($E322="","",INDEX('Input Transaksi'!$E:$E,$E322))</f>
        <v/>
      </c>
      <c r="D322" s="5">
        <f>IF($E322="","",INDEX('Input Transaksi'!$F:$F,$E322))</f>
        <v/>
      </c>
      <c r="E322">
        <f>IFERROR(AGGREGATE(15,6,ROW('Input Transaksi'!$B$5:$B$5000)/('Input Transaksi'!$B$5:$B$5000="JCL MERPATI"),ROWS($E$5:E322)),"")</f>
        <v/>
      </c>
      <c r="F322" s="5" t="n"/>
    </row>
    <row r="323">
      <c r="A323" s="10">
        <f>IF($E323="","",INDEX('Input Transaksi'!$A:$A,$E323))</f>
        <v/>
      </c>
      <c r="B323" s="5">
        <f>IF($E323="","",INDEX('Input Transaksi'!$D:$D,$E323))</f>
        <v/>
      </c>
      <c r="C323">
        <f>IF($E323="","",INDEX('Input Transaksi'!$E:$E,$E323))</f>
        <v/>
      </c>
      <c r="D323" s="5">
        <f>IF($E323="","",INDEX('Input Transaksi'!$F:$F,$E323))</f>
        <v/>
      </c>
      <c r="E323">
        <f>IFERROR(AGGREGATE(15,6,ROW('Input Transaksi'!$B$5:$B$5000)/('Input Transaksi'!$B$5:$B$5000="JCL MERPATI"),ROWS($E$5:E323)),"")</f>
        <v/>
      </c>
      <c r="F323" s="5" t="n"/>
    </row>
    <row r="324">
      <c r="A324" s="10">
        <f>IF($E324="","",INDEX('Input Transaksi'!$A:$A,$E324))</f>
        <v/>
      </c>
      <c r="B324" s="5">
        <f>IF($E324="","",INDEX('Input Transaksi'!$D:$D,$E324))</f>
        <v/>
      </c>
      <c r="C324">
        <f>IF($E324="","",INDEX('Input Transaksi'!$E:$E,$E324))</f>
        <v/>
      </c>
      <c r="D324" s="5">
        <f>IF($E324="","",INDEX('Input Transaksi'!$F:$F,$E324))</f>
        <v/>
      </c>
      <c r="E324">
        <f>IFERROR(AGGREGATE(15,6,ROW('Input Transaksi'!$B$5:$B$5000)/('Input Transaksi'!$B$5:$B$5000="JCL MERPATI"),ROWS($E$5:E324)),"")</f>
        <v/>
      </c>
      <c r="F324" s="5" t="n"/>
    </row>
    <row r="325">
      <c r="A325" s="10">
        <f>IF($E325="","",INDEX('Input Transaksi'!$A:$A,$E325))</f>
        <v/>
      </c>
      <c r="B325" s="5">
        <f>IF($E325="","",INDEX('Input Transaksi'!$D:$D,$E325))</f>
        <v/>
      </c>
      <c r="C325">
        <f>IF($E325="","",INDEX('Input Transaksi'!$E:$E,$E325))</f>
        <v/>
      </c>
      <c r="D325" s="5">
        <f>IF($E325="","",INDEX('Input Transaksi'!$F:$F,$E325))</f>
        <v/>
      </c>
      <c r="E325">
        <f>IFERROR(AGGREGATE(15,6,ROW('Input Transaksi'!$B$5:$B$5000)/('Input Transaksi'!$B$5:$B$5000="JCL MERPATI"),ROWS($E$5:E325)),"")</f>
        <v/>
      </c>
      <c r="F325" s="5" t="n"/>
    </row>
    <row r="326">
      <c r="A326" s="10">
        <f>IF($E326="","",INDEX('Input Transaksi'!$A:$A,$E326))</f>
        <v/>
      </c>
      <c r="B326" s="5">
        <f>IF($E326="","",INDEX('Input Transaksi'!$D:$D,$E326))</f>
        <v/>
      </c>
      <c r="C326">
        <f>IF($E326="","",INDEX('Input Transaksi'!$E:$E,$E326))</f>
        <v/>
      </c>
      <c r="D326" s="5">
        <f>IF($E326="","",INDEX('Input Transaksi'!$F:$F,$E326))</f>
        <v/>
      </c>
      <c r="E326">
        <f>IFERROR(AGGREGATE(15,6,ROW('Input Transaksi'!$B$5:$B$5000)/('Input Transaksi'!$B$5:$B$5000="JCL MERPATI"),ROWS($E$5:E326)),"")</f>
        <v/>
      </c>
      <c r="F326" s="5" t="n"/>
    </row>
    <row r="327">
      <c r="A327" s="10">
        <f>IF($E327="","",INDEX('Input Transaksi'!$A:$A,$E327))</f>
        <v/>
      </c>
      <c r="B327" s="5">
        <f>IF($E327="","",INDEX('Input Transaksi'!$D:$D,$E327))</f>
        <v/>
      </c>
      <c r="C327">
        <f>IF($E327="","",INDEX('Input Transaksi'!$E:$E,$E327))</f>
        <v/>
      </c>
      <c r="D327" s="5">
        <f>IF($E327="","",INDEX('Input Transaksi'!$F:$F,$E327))</f>
        <v/>
      </c>
      <c r="E327">
        <f>IFERROR(AGGREGATE(15,6,ROW('Input Transaksi'!$B$5:$B$5000)/('Input Transaksi'!$B$5:$B$5000="JCL MERPATI"),ROWS($E$5:E327)),"")</f>
        <v/>
      </c>
      <c r="F327" s="5" t="n"/>
    </row>
    <row r="328">
      <c r="A328" s="10">
        <f>IF($E328="","",INDEX('Input Transaksi'!$A:$A,$E328))</f>
        <v/>
      </c>
      <c r="B328" s="5">
        <f>IF($E328="","",INDEX('Input Transaksi'!$D:$D,$E328))</f>
        <v/>
      </c>
      <c r="C328">
        <f>IF($E328="","",INDEX('Input Transaksi'!$E:$E,$E328))</f>
        <v/>
      </c>
      <c r="D328" s="5">
        <f>IF($E328="","",INDEX('Input Transaksi'!$F:$F,$E328))</f>
        <v/>
      </c>
      <c r="E328">
        <f>IFERROR(AGGREGATE(15,6,ROW('Input Transaksi'!$B$5:$B$5000)/('Input Transaksi'!$B$5:$B$5000="JCL MERPATI"),ROWS($E$5:E328)),"")</f>
        <v/>
      </c>
      <c r="F328" s="5" t="n"/>
    </row>
    <row r="329">
      <c r="A329" s="10">
        <f>IF($E329="","",INDEX('Input Transaksi'!$A:$A,$E329))</f>
        <v/>
      </c>
      <c r="B329" s="5">
        <f>IF($E329="","",INDEX('Input Transaksi'!$D:$D,$E329))</f>
        <v/>
      </c>
      <c r="C329">
        <f>IF($E329="","",INDEX('Input Transaksi'!$E:$E,$E329))</f>
        <v/>
      </c>
      <c r="D329" s="5">
        <f>IF($E329="","",INDEX('Input Transaksi'!$F:$F,$E329))</f>
        <v/>
      </c>
      <c r="E329">
        <f>IFERROR(AGGREGATE(15,6,ROW('Input Transaksi'!$B$5:$B$5000)/('Input Transaksi'!$B$5:$B$5000="JCL MERPATI"),ROWS($E$5:E329)),"")</f>
        <v/>
      </c>
      <c r="F329" s="5" t="n"/>
    </row>
    <row r="330">
      <c r="A330" s="10">
        <f>IF($E330="","",INDEX('Input Transaksi'!$A:$A,$E330))</f>
        <v/>
      </c>
      <c r="B330" s="5">
        <f>IF($E330="","",INDEX('Input Transaksi'!$D:$D,$E330))</f>
        <v/>
      </c>
      <c r="C330">
        <f>IF($E330="","",INDEX('Input Transaksi'!$E:$E,$E330))</f>
        <v/>
      </c>
      <c r="D330" s="5">
        <f>IF($E330="","",INDEX('Input Transaksi'!$F:$F,$E330))</f>
        <v/>
      </c>
      <c r="E330">
        <f>IFERROR(AGGREGATE(15,6,ROW('Input Transaksi'!$B$5:$B$5000)/('Input Transaksi'!$B$5:$B$5000="JCL MERPATI"),ROWS($E$5:E330)),"")</f>
        <v/>
      </c>
      <c r="F330" s="5" t="n"/>
    </row>
    <row r="331">
      <c r="A331" s="10">
        <f>IF($E331="","",INDEX('Input Transaksi'!$A:$A,$E331))</f>
        <v/>
      </c>
      <c r="B331" s="5">
        <f>IF($E331="","",INDEX('Input Transaksi'!$D:$D,$E331))</f>
        <v/>
      </c>
      <c r="C331">
        <f>IF($E331="","",INDEX('Input Transaksi'!$E:$E,$E331))</f>
        <v/>
      </c>
      <c r="D331" s="5">
        <f>IF($E331="","",INDEX('Input Transaksi'!$F:$F,$E331))</f>
        <v/>
      </c>
      <c r="E331">
        <f>IFERROR(AGGREGATE(15,6,ROW('Input Transaksi'!$B$5:$B$5000)/('Input Transaksi'!$B$5:$B$5000="JCL MERPATI"),ROWS($E$5:E331)),"")</f>
        <v/>
      </c>
      <c r="F331" s="5" t="n"/>
    </row>
    <row r="332">
      <c r="A332" s="10">
        <f>IF($E332="","",INDEX('Input Transaksi'!$A:$A,$E332))</f>
        <v/>
      </c>
      <c r="B332" s="5">
        <f>IF($E332="","",INDEX('Input Transaksi'!$D:$D,$E332))</f>
        <v/>
      </c>
      <c r="C332">
        <f>IF($E332="","",INDEX('Input Transaksi'!$E:$E,$E332))</f>
        <v/>
      </c>
      <c r="D332" s="5">
        <f>IF($E332="","",INDEX('Input Transaksi'!$F:$F,$E332))</f>
        <v/>
      </c>
      <c r="E332">
        <f>IFERROR(AGGREGATE(15,6,ROW('Input Transaksi'!$B$5:$B$5000)/('Input Transaksi'!$B$5:$B$5000="JCL MERPATI"),ROWS($E$5:E332)),"")</f>
        <v/>
      </c>
      <c r="F332" s="5" t="n"/>
    </row>
    <row r="333">
      <c r="A333" s="10">
        <f>IF($E333="","",INDEX('Input Transaksi'!$A:$A,$E333))</f>
        <v/>
      </c>
      <c r="B333" s="5">
        <f>IF($E333="","",INDEX('Input Transaksi'!$D:$D,$E333))</f>
        <v/>
      </c>
      <c r="C333">
        <f>IF($E333="","",INDEX('Input Transaksi'!$E:$E,$E333))</f>
        <v/>
      </c>
      <c r="D333" s="5">
        <f>IF($E333="","",INDEX('Input Transaksi'!$F:$F,$E333))</f>
        <v/>
      </c>
      <c r="E333">
        <f>IFERROR(AGGREGATE(15,6,ROW('Input Transaksi'!$B$5:$B$5000)/('Input Transaksi'!$B$5:$B$5000="JCL MERPATI"),ROWS($E$5:E333)),"")</f>
        <v/>
      </c>
      <c r="F333" s="5" t="n"/>
    </row>
    <row r="334">
      <c r="A334" s="10">
        <f>IF($E334="","",INDEX('Input Transaksi'!$A:$A,$E334))</f>
        <v/>
      </c>
      <c r="B334" s="5">
        <f>IF($E334="","",INDEX('Input Transaksi'!$D:$D,$E334))</f>
        <v/>
      </c>
      <c r="C334">
        <f>IF($E334="","",INDEX('Input Transaksi'!$E:$E,$E334))</f>
        <v/>
      </c>
      <c r="D334" s="5">
        <f>IF($E334="","",INDEX('Input Transaksi'!$F:$F,$E334))</f>
        <v/>
      </c>
      <c r="E334">
        <f>IFERROR(AGGREGATE(15,6,ROW('Input Transaksi'!$B$5:$B$5000)/('Input Transaksi'!$B$5:$B$5000="JCL MERPATI"),ROWS($E$5:E334)),"")</f>
        <v/>
      </c>
      <c r="F334" s="5" t="n"/>
    </row>
    <row r="335">
      <c r="A335" s="10">
        <f>IF($E335="","",INDEX('Input Transaksi'!$A:$A,$E335))</f>
        <v/>
      </c>
      <c r="B335" s="5">
        <f>IF($E335="","",INDEX('Input Transaksi'!$D:$D,$E335))</f>
        <v/>
      </c>
      <c r="C335">
        <f>IF($E335="","",INDEX('Input Transaksi'!$E:$E,$E335))</f>
        <v/>
      </c>
      <c r="D335" s="5">
        <f>IF($E335="","",INDEX('Input Transaksi'!$F:$F,$E335))</f>
        <v/>
      </c>
      <c r="E335">
        <f>IFERROR(AGGREGATE(15,6,ROW('Input Transaksi'!$B$5:$B$5000)/('Input Transaksi'!$B$5:$B$5000="JCL MERPATI"),ROWS($E$5:E335)),"")</f>
        <v/>
      </c>
      <c r="F335" s="5" t="n"/>
    </row>
    <row r="336">
      <c r="A336" s="10">
        <f>IF($E336="","",INDEX('Input Transaksi'!$A:$A,$E336))</f>
        <v/>
      </c>
      <c r="B336" s="5">
        <f>IF($E336="","",INDEX('Input Transaksi'!$D:$D,$E336))</f>
        <v/>
      </c>
      <c r="C336">
        <f>IF($E336="","",INDEX('Input Transaksi'!$E:$E,$E336))</f>
        <v/>
      </c>
      <c r="D336" s="5">
        <f>IF($E336="","",INDEX('Input Transaksi'!$F:$F,$E336))</f>
        <v/>
      </c>
      <c r="E336">
        <f>IFERROR(AGGREGATE(15,6,ROW('Input Transaksi'!$B$5:$B$5000)/('Input Transaksi'!$B$5:$B$5000="JCL MERPATI"),ROWS($E$5:E336)),"")</f>
        <v/>
      </c>
      <c r="F336" s="5" t="n"/>
    </row>
    <row r="337">
      <c r="A337" s="10">
        <f>IF($E337="","",INDEX('Input Transaksi'!$A:$A,$E337))</f>
        <v/>
      </c>
      <c r="B337" s="5">
        <f>IF($E337="","",INDEX('Input Transaksi'!$D:$D,$E337))</f>
        <v/>
      </c>
      <c r="C337">
        <f>IF($E337="","",INDEX('Input Transaksi'!$E:$E,$E337))</f>
        <v/>
      </c>
      <c r="D337" s="5">
        <f>IF($E337="","",INDEX('Input Transaksi'!$F:$F,$E337))</f>
        <v/>
      </c>
      <c r="E337">
        <f>IFERROR(AGGREGATE(15,6,ROW('Input Transaksi'!$B$5:$B$5000)/('Input Transaksi'!$B$5:$B$5000="JCL MERPATI"),ROWS($E$5:E337)),"")</f>
        <v/>
      </c>
      <c r="F337" s="5" t="n"/>
    </row>
    <row r="338">
      <c r="A338" s="10">
        <f>IF($E338="","",INDEX('Input Transaksi'!$A:$A,$E338))</f>
        <v/>
      </c>
      <c r="B338" s="5">
        <f>IF($E338="","",INDEX('Input Transaksi'!$D:$D,$E338))</f>
        <v/>
      </c>
      <c r="C338">
        <f>IF($E338="","",INDEX('Input Transaksi'!$E:$E,$E338))</f>
        <v/>
      </c>
      <c r="D338" s="5">
        <f>IF($E338="","",INDEX('Input Transaksi'!$F:$F,$E338))</f>
        <v/>
      </c>
      <c r="E338">
        <f>IFERROR(AGGREGATE(15,6,ROW('Input Transaksi'!$B$5:$B$5000)/('Input Transaksi'!$B$5:$B$5000="JCL MERPATI"),ROWS($E$5:E338)),"")</f>
        <v/>
      </c>
      <c r="F338" s="5" t="n"/>
    </row>
    <row r="339">
      <c r="A339" s="10">
        <f>IF($E339="","",INDEX('Input Transaksi'!$A:$A,$E339))</f>
        <v/>
      </c>
      <c r="B339" s="5">
        <f>IF($E339="","",INDEX('Input Transaksi'!$D:$D,$E339))</f>
        <v/>
      </c>
      <c r="C339">
        <f>IF($E339="","",INDEX('Input Transaksi'!$E:$E,$E339))</f>
        <v/>
      </c>
      <c r="D339" s="5">
        <f>IF($E339="","",INDEX('Input Transaksi'!$F:$F,$E339))</f>
        <v/>
      </c>
      <c r="E339">
        <f>IFERROR(AGGREGATE(15,6,ROW('Input Transaksi'!$B$5:$B$5000)/('Input Transaksi'!$B$5:$B$5000="JCL MERPATI"),ROWS($E$5:E339)),"")</f>
        <v/>
      </c>
      <c r="F339" s="5" t="n"/>
    </row>
    <row r="340">
      <c r="A340" s="10">
        <f>IF($E340="","",INDEX('Input Transaksi'!$A:$A,$E340))</f>
        <v/>
      </c>
      <c r="B340" s="5">
        <f>IF($E340="","",INDEX('Input Transaksi'!$D:$D,$E340))</f>
        <v/>
      </c>
      <c r="C340">
        <f>IF($E340="","",INDEX('Input Transaksi'!$E:$E,$E340))</f>
        <v/>
      </c>
      <c r="D340" s="5">
        <f>IF($E340="","",INDEX('Input Transaksi'!$F:$F,$E340))</f>
        <v/>
      </c>
      <c r="E340">
        <f>IFERROR(AGGREGATE(15,6,ROW('Input Transaksi'!$B$5:$B$5000)/('Input Transaksi'!$B$5:$B$5000="JCL MERPATI"),ROWS($E$5:E340)),"")</f>
        <v/>
      </c>
      <c r="F340" s="5" t="n"/>
    </row>
    <row r="341">
      <c r="A341" s="10">
        <f>IF($E341="","",INDEX('Input Transaksi'!$A:$A,$E341))</f>
        <v/>
      </c>
      <c r="B341" s="5">
        <f>IF($E341="","",INDEX('Input Transaksi'!$D:$D,$E341))</f>
        <v/>
      </c>
      <c r="C341">
        <f>IF($E341="","",INDEX('Input Transaksi'!$E:$E,$E341))</f>
        <v/>
      </c>
      <c r="D341" s="5">
        <f>IF($E341="","",INDEX('Input Transaksi'!$F:$F,$E341))</f>
        <v/>
      </c>
      <c r="E341">
        <f>IFERROR(AGGREGATE(15,6,ROW('Input Transaksi'!$B$5:$B$5000)/('Input Transaksi'!$B$5:$B$5000="JCL MERPATI"),ROWS($E$5:E341)),"")</f>
        <v/>
      </c>
      <c r="F341" s="5" t="n"/>
    </row>
    <row r="342">
      <c r="A342" s="10">
        <f>IF($E342="","",INDEX('Input Transaksi'!$A:$A,$E342))</f>
        <v/>
      </c>
      <c r="B342" s="5">
        <f>IF($E342="","",INDEX('Input Transaksi'!$D:$D,$E342))</f>
        <v/>
      </c>
      <c r="C342">
        <f>IF($E342="","",INDEX('Input Transaksi'!$E:$E,$E342))</f>
        <v/>
      </c>
      <c r="D342" s="5">
        <f>IF($E342="","",INDEX('Input Transaksi'!$F:$F,$E342))</f>
        <v/>
      </c>
      <c r="E342">
        <f>IFERROR(AGGREGATE(15,6,ROW('Input Transaksi'!$B$5:$B$5000)/('Input Transaksi'!$B$5:$B$5000="JCL MERPATI"),ROWS($E$5:E342)),"")</f>
        <v/>
      </c>
      <c r="F342" s="5" t="n"/>
    </row>
    <row r="343">
      <c r="A343" s="10">
        <f>IF($E343="","",INDEX('Input Transaksi'!$A:$A,$E343))</f>
        <v/>
      </c>
      <c r="B343" s="5">
        <f>IF($E343="","",INDEX('Input Transaksi'!$D:$D,$E343))</f>
        <v/>
      </c>
      <c r="C343">
        <f>IF($E343="","",INDEX('Input Transaksi'!$E:$E,$E343))</f>
        <v/>
      </c>
      <c r="D343" s="5">
        <f>IF($E343="","",INDEX('Input Transaksi'!$F:$F,$E343))</f>
        <v/>
      </c>
      <c r="E343">
        <f>IFERROR(AGGREGATE(15,6,ROW('Input Transaksi'!$B$5:$B$5000)/('Input Transaksi'!$B$5:$B$5000="JCL MERPATI"),ROWS($E$5:E343)),"")</f>
        <v/>
      </c>
      <c r="F343" s="5" t="n"/>
    </row>
    <row r="344">
      <c r="A344" s="10">
        <f>IF($E344="","",INDEX('Input Transaksi'!$A:$A,$E344))</f>
        <v/>
      </c>
      <c r="B344" s="5">
        <f>IF($E344="","",INDEX('Input Transaksi'!$D:$D,$E344))</f>
        <v/>
      </c>
      <c r="C344">
        <f>IF($E344="","",INDEX('Input Transaksi'!$E:$E,$E344))</f>
        <v/>
      </c>
      <c r="D344" s="5">
        <f>IF($E344="","",INDEX('Input Transaksi'!$F:$F,$E344))</f>
        <v/>
      </c>
      <c r="E344">
        <f>IFERROR(AGGREGATE(15,6,ROW('Input Transaksi'!$B$5:$B$5000)/('Input Transaksi'!$B$5:$B$5000="JCL MERPATI"),ROWS($E$5:E344)),"")</f>
        <v/>
      </c>
      <c r="F344" s="5" t="n"/>
    </row>
    <row r="345">
      <c r="A345" s="10">
        <f>IF($E345="","",INDEX('Input Transaksi'!$A:$A,$E345))</f>
        <v/>
      </c>
      <c r="B345" s="5">
        <f>IF($E345="","",INDEX('Input Transaksi'!$D:$D,$E345))</f>
        <v/>
      </c>
      <c r="C345">
        <f>IF($E345="","",INDEX('Input Transaksi'!$E:$E,$E345))</f>
        <v/>
      </c>
      <c r="D345" s="5">
        <f>IF($E345="","",INDEX('Input Transaksi'!$F:$F,$E345))</f>
        <v/>
      </c>
      <c r="E345">
        <f>IFERROR(AGGREGATE(15,6,ROW('Input Transaksi'!$B$5:$B$5000)/('Input Transaksi'!$B$5:$B$5000="JCL MERPATI"),ROWS($E$5:E345)),"")</f>
        <v/>
      </c>
      <c r="F345" s="5" t="n"/>
    </row>
    <row r="346">
      <c r="A346" s="10">
        <f>IF($E346="","",INDEX('Input Transaksi'!$A:$A,$E346))</f>
        <v/>
      </c>
      <c r="B346" s="5">
        <f>IF($E346="","",INDEX('Input Transaksi'!$D:$D,$E346))</f>
        <v/>
      </c>
      <c r="C346">
        <f>IF($E346="","",INDEX('Input Transaksi'!$E:$E,$E346))</f>
        <v/>
      </c>
      <c r="D346" s="5">
        <f>IF($E346="","",INDEX('Input Transaksi'!$F:$F,$E346))</f>
        <v/>
      </c>
      <c r="E346">
        <f>IFERROR(AGGREGATE(15,6,ROW('Input Transaksi'!$B$5:$B$5000)/('Input Transaksi'!$B$5:$B$5000="JCL MERPATI"),ROWS($E$5:E346)),"")</f>
        <v/>
      </c>
      <c r="F346" s="5" t="n"/>
    </row>
    <row r="347">
      <c r="A347" s="10">
        <f>IF($E347="","",INDEX('Input Transaksi'!$A:$A,$E347))</f>
        <v/>
      </c>
      <c r="B347" s="5">
        <f>IF($E347="","",INDEX('Input Transaksi'!$D:$D,$E347))</f>
        <v/>
      </c>
      <c r="C347">
        <f>IF($E347="","",INDEX('Input Transaksi'!$E:$E,$E347))</f>
        <v/>
      </c>
      <c r="D347" s="5">
        <f>IF($E347="","",INDEX('Input Transaksi'!$F:$F,$E347))</f>
        <v/>
      </c>
      <c r="E347">
        <f>IFERROR(AGGREGATE(15,6,ROW('Input Transaksi'!$B$5:$B$5000)/('Input Transaksi'!$B$5:$B$5000="JCL MERPATI"),ROWS($E$5:E347)),"")</f>
        <v/>
      </c>
      <c r="F347" s="5" t="n"/>
    </row>
    <row r="348">
      <c r="A348" s="10">
        <f>IF($E348="","",INDEX('Input Transaksi'!$A:$A,$E348))</f>
        <v/>
      </c>
      <c r="B348" s="5">
        <f>IF($E348="","",INDEX('Input Transaksi'!$D:$D,$E348))</f>
        <v/>
      </c>
      <c r="C348">
        <f>IF($E348="","",INDEX('Input Transaksi'!$E:$E,$E348))</f>
        <v/>
      </c>
      <c r="D348" s="5">
        <f>IF($E348="","",INDEX('Input Transaksi'!$F:$F,$E348))</f>
        <v/>
      </c>
      <c r="E348">
        <f>IFERROR(AGGREGATE(15,6,ROW('Input Transaksi'!$B$5:$B$5000)/('Input Transaksi'!$B$5:$B$5000="JCL MERPATI"),ROWS($E$5:E348)),"")</f>
        <v/>
      </c>
      <c r="F348" s="5" t="n"/>
    </row>
    <row r="349">
      <c r="A349" s="10">
        <f>IF($E349="","",INDEX('Input Transaksi'!$A:$A,$E349))</f>
        <v/>
      </c>
      <c r="B349" s="5">
        <f>IF($E349="","",INDEX('Input Transaksi'!$D:$D,$E349))</f>
        <v/>
      </c>
      <c r="C349">
        <f>IF($E349="","",INDEX('Input Transaksi'!$E:$E,$E349))</f>
        <v/>
      </c>
      <c r="D349" s="5">
        <f>IF($E349="","",INDEX('Input Transaksi'!$F:$F,$E349))</f>
        <v/>
      </c>
      <c r="E349">
        <f>IFERROR(AGGREGATE(15,6,ROW('Input Transaksi'!$B$5:$B$5000)/('Input Transaksi'!$B$5:$B$5000="JCL MERPATI"),ROWS($E$5:E349)),"")</f>
        <v/>
      </c>
      <c r="F349" s="5" t="n"/>
    </row>
    <row r="350">
      <c r="A350" s="10">
        <f>IF($E350="","",INDEX('Input Transaksi'!$A:$A,$E350))</f>
        <v/>
      </c>
      <c r="B350" s="5">
        <f>IF($E350="","",INDEX('Input Transaksi'!$D:$D,$E350))</f>
        <v/>
      </c>
      <c r="C350">
        <f>IF($E350="","",INDEX('Input Transaksi'!$E:$E,$E350))</f>
        <v/>
      </c>
      <c r="D350" s="5">
        <f>IF($E350="","",INDEX('Input Transaksi'!$F:$F,$E350))</f>
        <v/>
      </c>
      <c r="E350">
        <f>IFERROR(AGGREGATE(15,6,ROW('Input Transaksi'!$B$5:$B$5000)/('Input Transaksi'!$B$5:$B$5000="JCL MERPATI"),ROWS($E$5:E350)),"")</f>
        <v/>
      </c>
      <c r="F350" s="5" t="n"/>
    </row>
    <row r="351">
      <c r="A351" s="10">
        <f>IF($E351="","",INDEX('Input Transaksi'!$A:$A,$E351))</f>
        <v/>
      </c>
      <c r="B351" s="5">
        <f>IF($E351="","",INDEX('Input Transaksi'!$D:$D,$E351))</f>
        <v/>
      </c>
      <c r="C351">
        <f>IF($E351="","",INDEX('Input Transaksi'!$E:$E,$E351))</f>
        <v/>
      </c>
      <c r="D351" s="5">
        <f>IF($E351="","",INDEX('Input Transaksi'!$F:$F,$E351))</f>
        <v/>
      </c>
      <c r="E351">
        <f>IFERROR(AGGREGATE(15,6,ROW('Input Transaksi'!$B$5:$B$5000)/('Input Transaksi'!$B$5:$B$5000="JCL MERPATI"),ROWS($E$5:E351)),"")</f>
        <v/>
      </c>
      <c r="F351" s="5" t="n"/>
    </row>
    <row r="352">
      <c r="A352" s="10">
        <f>IF($E352="","",INDEX('Input Transaksi'!$A:$A,$E352))</f>
        <v/>
      </c>
      <c r="B352" s="5">
        <f>IF($E352="","",INDEX('Input Transaksi'!$D:$D,$E352))</f>
        <v/>
      </c>
      <c r="C352">
        <f>IF($E352="","",INDEX('Input Transaksi'!$E:$E,$E352))</f>
        <v/>
      </c>
      <c r="D352" s="5">
        <f>IF($E352="","",INDEX('Input Transaksi'!$F:$F,$E352))</f>
        <v/>
      </c>
      <c r="E352">
        <f>IFERROR(AGGREGATE(15,6,ROW('Input Transaksi'!$B$5:$B$5000)/('Input Transaksi'!$B$5:$B$5000="JCL MERPATI"),ROWS($E$5:E352)),"")</f>
        <v/>
      </c>
      <c r="F352" s="5" t="n"/>
    </row>
    <row r="353">
      <c r="A353" s="10">
        <f>IF($E353="","",INDEX('Input Transaksi'!$A:$A,$E353))</f>
        <v/>
      </c>
      <c r="B353" s="5">
        <f>IF($E353="","",INDEX('Input Transaksi'!$D:$D,$E353))</f>
        <v/>
      </c>
      <c r="C353">
        <f>IF($E353="","",INDEX('Input Transaksi'!$E:$E,$E353))</f>
        <v/>
      </c>
      <c r="D353" s="5">
        <f>IF($E353="","",INDEX('Input Transaksi'!$F:$F,$E353))</f>
        <v/>
      </c>
      <c r="E353">
        <f>IFERROR(AGGREGATE(15,6,ROW('Input Transaksi'!$B$5:$B$5000)/('Input Transaksi'!$B$5:$B$5000="JCL MERPATI"),ROWS($E$5:E353)),"")</f>
        <v/>
      </c>
      <c r="F353" s="5" t="n"/>
    </row>
    <row r="354">
      <c r="A354" s="10">
        <f>IF($E354="","",INDEX('Input Transaksi'!$A:$A,$E354))</f>
        <v/>
      </c>
      <c r="B354" s="5">
        <f>IF($E354="","",INDEX('Input Transaksi'!$D:$D,$E354))</f>
        <v/>
      </c>
      <c r="C354">
        <f>IF($E354="","",INDEX('Input Transaksi'!$E:$E,$E354))</f>
        <v/>
      </c>
      <c r="D354" s="5">
        <f>IF($E354="","",INDEX('Input Transaksi'!$F:$F,$E354))</f>
        <v/>
      </c>
      <c r="E354">
        <f>IFERROR(AGGREGATE(15,6,ROW('Input Transaksi'!$B$5:$B$5000)/('Input Transaksi'!$B$5:$B$5000="JCL MERPATI"),ROWS($E$5:E354)),"")</f>
        <v/>
      </c>
      <c r="F354" s="5" t="n"/>
    </row>
    <row r="355">
      <c r="A355" s="10">
        <f>IF($E355="","",INDEX('Input Transaksi'!$A:$A,$E355))</f>
        <v/>
      </c>
      <c r="B355" s="5">
        <f>IF($E355="","",INDEX('Input Transaksi'!$D:$D,$E355))</f>
        <v/>
      </c>
      <c r="C355">
        <f>IF($E355="","",INDEX('Input Transaksi'!$E:$E,$E355))</f>
        <v/>
      </c>
      <c r="D355" s="5">
        <f>IF($E355="","",INDEX('Input Transaksi'!$F:$F,$E355))</f>
        <v/>
      </c>
      <c r="E355">
        <f>IFERROR(AGGREGATE(15,6,ROW('Input Transaksi'!$B$5:$B$5000)/('Input Transaksi'!$B$5:$B$5000="JCL MERPATI"),ROWS($E$5:E355)),"")</f>
        <v/>
      </c>
      <c r="F355" s="5" t="n"/>
    </row>
    <row r="356">
      <c r="A356" s="10">
        <f>IF($E356="","",INDEX('Input Transaksi'!$A:$A,$E356))</f>
        <v/>
      </c>
      <c r="B356" s="5">
        <f>IF($E356="","",INDEX('Input Transaksi'!$D:$D,$E356))</f>
        <v/>
      </c>
      <c r="C356">
        <f>IF($E356="","",INDEX('Input Transaksi'!$E:$E,$E356))</f>
        <v/>
      </c>
      <c r="D356" s="5">
        <f>IF($E356="","",INDEX('Input Transaksi'!$F:$F,$E356))</f>
        <v/>
      </c>
      <c r="E356">
        <f>IFERROR(AGGREGATE(15,6,ROW('Input Transaksi'!$B$5:$B$5000)/('Input Transaksi'!$B$5:$B$5000="JCL MERPATI"),ROWS($E$5:E356)),"")</f>
        <v/>
      </c>
      <c r="F356" s="5" t="n"/>
    </row>
    <row r="357">
      <c r="A357" s="10">
        <f>IF($E357="","",INDEX('Input Transaksi'!$A:$A,$E357))</f>
        <v/>
      </c>
      <c r="B357" s="5">
        <f>IF($E357="","",INDEX('Input Transaksi'!$D:$D,$E357))</f>
        <v/>
      </c>
      <c r="C357">
        <f>IF($E357="","",INDEX('Input Transaksi'!$E:$E,$E357))</f>
        <v/>
      </c>
      <c r="D357" s="5">
        <f>IF($E357="","",INDEX('Input Transaksi'!$F:$F,$E357))</f>
        <v/>
      </c>
      <c r="E357">
        <f>IFERROR(AGGREGATE(15,6,ROW('Input Transaksi'!$B$5:$B$5000)/('Input Transaksi'!$B$5:$B$5000="JCL MERPATI"),ROWS($E$5:E357)),"")</f>
        <v/>
      </c>
      <c r="F357" s="5" t="n"/>
    </row>
    <row r="358">
      <c r="A358" s="10">
        <f>IF($E358="","",INDEX('Input Transaksi'!$A:$A,$E358))</f>
        <v/>
      </c>
      <c r="B358" s="5">
        <f>IF($E358="","",INDEX('Input Transaksi'!$D:$D,$E358))</f>
        <v/>
      </c>
      <c r="C358">
        <f>IF($E358="","",INDEX('Input Transaksi'!$E:$E,$E358))</f>
        <v/>
      </c>
      <c r="D358" s="5">
        <f>IF($E358="","",INDEX('Input Transaksi'!$F:$F,$E358))</f>
        <v/>
      </c>
      <c r="E358">
        <f>IFERROR(AGGREGATE(15,6,ROW('Input Transaksi'!$B$5:$B$5000)/('Input Transaksi'!$B$5:$B$5000="JCL MERPATI"),ROWS($E$5:E358)),"")</f>
        <v/>
      </c>
      <c r="F358" s="5" t="n"/>
    </row>
    <row r="359">
      <c r="A359" s="10">
        <f>IF($E359="","",INDEX('Input Transaksi'!$A:$A,$E359))</f>
        <v/>
      </c>
      <c r="B359" s="5">
        <f>IF($E359="","",INDEX('Input Transaksi'!$D:$D,$E359))</f>
        <v/>
      </c>
      <c r="C359">
        <f>IF($E359="","",INDEX('Input Transaksi'!$E:$E,$E359))</f>
        <v/>
      </c>
      <c r="D359" s="5">
        <f>IF($E359="","",INDEX('Input Transaksi'!$F:$F,$E359))</f>
        <v/>
      </c>
      <c r="E359">
        <f>IFERROR(AGGREGATE(15,6,ROW('Input Transaksi'!$B$5:$B$5000)/('Input Transaksi'!$B$5:$B$5000="JCL MERPATI"),ROWS($E$5:E359)),"")</f>
        <v/>
      </c>
      <c r="F359" s="5" t="n"/>
    </row>
    <row r="360">
      <c r="A360" s="10">
        <f>IF($E360="","",INDEX('Input Transaksi'!$A:$A,$E360))</f>
        <v/>
      </c>
      <c r="B360" s="5">
        <f>IF($E360="","",INDEX('Input Transaksi'!$D:$D,$E360))</f>
        <v/>
      </c>
      <c r="C360">
        <f>IF($E360="","",INDEX('Input Transaksi'!$E:$E,$E360))</f>
        <v/>
      </c>
      <c r="D360" s="5">
        <f>IF($E360="","",INDEX('Input Transaksi'!$F:$F,$E360))</f>
        <v/>
      </c>
      <c r="E360">
        <f>IFERROR(AGGREGATE(15,6,ROW('Input Transaksi'!$B$5:$B$5000)/('Input Transaksi'!$B$5:$B$5000="JCL MERPATI"),ROWS($E$5:E360)),"")</f>
        <v/>
      </c>
      <c r="F360" s="5" t="n"/>
    </row>
    <row r="361">
      <c r="A361" s="10">
        <f>IF($E361="","",INDEX('Input Transaksi'!$A:$A,$E361))</f>
        <v/>
      </c>
      <c r="B361" s="5">
        <f>IF($E361="","",INDEX('Input Transaksi'!$D:$D,$E361))</f>
        <v/>
      </c>
      <c r="C361">
        <f>IF($E361="","",INDEX('Input Transaksi'!$E:$E,$E361))</f>
        <v/>
      </c>
      <c r="D361" s="5">
        <f>IF($E361="","",INDEX('Input Transaksi'!$F:$F,$E361))</f>
        <v/>
      </c>
      <c r="E361">
        <f>IFERROR(AGGREGATE(15,6,ROW('Input Transaksi'!$B$5:$B$5000)/('Input Transaksi'!$B$5:$B$5000="JCL MERPATI"),ROWS($E$5:E361)),"")</f>
        <v/>
      </c>
      <c r="F361" s="5" t="n"/>
    </row>
    <row r="362">
      <c r="A362" s="10">
        <f>IF($E362="","",INDEX('Input Transaksi'!$A:$A,$E362))</f>
        <v/>
      </c>
      <c r="B362" s="5">
        <f>IF($E362="","",INDEX('Input Transaksi'!$D:$D,$E362))</f>
        <v/>
      </c>
      <c r="C362">
        <f>IF($E362="","",INDEX('Input Transaksi'!$E:$E,$E362))</f>
        <v/>
      </c>
      <c r="D362" s="5">
        <f>IF($E362="","",INDEX('Input Transaksi'!$F:$F,$E362))</f>
        <v/>
      </c>
      <c r="E362">
        <f>IFERROR(AGGREGATE(15,6,ROW('Input Transaksi'!$B$5:$B$5000)/('Input Transaksi'!$B$5:$B$5000="JCL MERPATI"),ROWS($E$5:E362)),"")</f>
        <v/>
      </c>
      <c r="F362" s="5" t="n"/>
    </row>
    <row r="363">
      <c r="A363" s="10">
        <f>IF($E363="","",INDEX('Input Transaksi'!$A:$A,$E363))</f>
        <v/>
      </c>
      <c r="B363" s="5">
        <f>IF($E363="","",INDEX('Input Transaksi'!$D:$D,$E363))</f>
        <v/>
      </c>
      <c r="C363">
        <f>IF($E363="","",INDEX('Input Transaksi'!$E:$E,$E363))</f>
        <v/>
      </c>
      <c r="D363" s="5">
        <f>IF($E363="","",INDEX('Input Transaksi'!$F:$F,$E363))</f>
        <v/>
      </c>
      <c r="E363">
        <f>IFERROR(AGGREGATE(15,6,ROW('Input Transaksi'!$B$5:$B$5000)/('Input Transaksi'!$B$5:$B$5000="JCL MERPATI"),ROWS($E$5:E363)),"")</f>
        <v/>
      </c>
      <c r="F363" s="5" t="n"/>
    </row>
    <row r="364">
      <c r="A364" s="10">
        <f>IF($E364="","",INDEX('Input Transaksi'!$A:$A,$E364))</f>
        <v/>
      </c>
      <c r="B364" s="5">
        <f>IF($E364="","",INDEX('Input Transaksi'!$D:$D,$E364))</f>
        <v/>
      </c>
      <c r="C364">
        <f>IF($E364="","",INDEX('Input Transaksi'!$E:$E,$E364))</f>
        <v/>
      </c>
      <c r="D364" s="5">
        <f>IF($E364="","",INDEX('Input Transaksi'!$F:$F,$E364))</f>
        <v/>
      </c>
      <c r="E364">
        <f>IFERROR(AGGREGATE(15,6,ROW('Input Transaksi'!$B$5:$B$5000)/('Input Transaksi'!$B$5:$B$5000="JCL MERPATI"),ROWS($E$5:E364)),"")</f>
        <v/>
      </c>
      <c r="F364" s="5" t="n"/>
    </row>
    <row r="365">
      <c r="A365" s="10">
        <f>IF($E365="","",INDEX('Input Transaksi'!$A:$A,$E365))</f>
        <v/>
      </c>
      <c r="B365" s="5">
        <f>IF($E365="","",INDEX('Input Transaksi'!$D:$D,$E365))</f>
        <v/>
      </c>
      <c r="C365">
        <f>IF($E365="","",INDEX('Input Transaksi'!$E:$E,$E365))</f>
        <v/>
      </c>
      <c r="D365" s="5">
        <f>IF($E365="","",INDEX('Input Transaksi'!$F:$F,$E365))</f>
        <v/>
      </c>
      <c r="E365">
        <f>IFERROR(AGGREGATE(15,6,ROW('Input Transaksi'!$B$5:$B$5000)/('Input Transaksi'!$B$5:$B$5000="JCL MERPATI"),ROWS($E$5:E365)),"")</f>
        <v/>
      </c>
      <c r="F365" s="5" t="n"/>
    </row>
    <row r="366">
      <c r="A366" s="10">
        <f>IF($E366="","",INDEX('Input Transaksi'!$A:$A,$E366))</f>
        <v/>
      </c>
      <c r="B366" s="5">
        <f>IF($E366="","",INDEX('Input Transaksi'!$D:$D,$E366))</f>
        <v/>
      </c>
      <c r="C366">
        <f>IF($E366="","",INDEX('Input Transaksi'!$E:$E,$E366))</f>
        <v/>
      </c>
      <c r="D366" s="5">
        <f>IF($E366="","",INDEX('Input Transaksi'!$F:$F,$E366))</f>
        <v/>
      </c>
      <c r="E366">
        <f>IFERROR(AGGREGATE(15,6,ROW('Input Transaksi'!$B$5:$B$5000)/('Input Transaksi'!$B$5:$B$5000="JCL MERPATI"),ROWS($E$5:E366)),"")</f>
        <v/>
      </c>
      <c r="F366" s="5" t="n"/>
    </row>
    <row r="367">
      <c r="A367" s="10">
        <f>IF($E367="","",INDEX('Input Transaksi'!$A:$A,$E367))</f>
        <v/>
      </c>
      <c r="B367" s="5">
        <f>IF($E367="","",INDEX('Input Transaksi'!$D:$D,$E367))</f>
        <v/>
      </c>
      <c r="C367">
        <f>IF($E367="","",INDEX('Input Transaksi'!$E:$E,$E367))</f>
        <v/>
      </c>
      <c r="D367" s="5">
        <f>IF($E367="","",INDEX('Input Transaksi'!$F:$F,$E367))</f>
        <v/>
      </c>
      <c r="E367">
        <f>IFERROR(AGGREGATE(15,6,ROW('Input Transaksi'!$B$5:$B$5000)/('Input Transaksi'!$B$5:$B$5000="JCL MERPATI"),ROWS($E$5:E367)),"")</f>
        <v/>
      </c>
      <c r="F367" s="5" t="n"/>
    </row>
    <row r="368">
      <c r="A368" s="10">
        <f>IF($E368="","",INDEX('Input Transaksi'!$A:$A,$E368))</f>
        <v/>
      </c>
      <c r="B368" s="5">
        <f>IF($E368="","",INDEX('Input Transaksi'!$D:$D,$E368))</f>
        <v/>
      </c>
      <c r="C368">
        <f>IF($E368="","",INDEX('Input Transaksi'!$E:$E,$E368))</f>
        <v/>
      </c>
      <c r="D368" s="5">
        <f>IF($E368="","",INDEX('Input Transaksi'!$F:$F,$E368))</f>
        <v/>
      </c>
      <c r="E368">
        <f>IFERROR(AGGREGATE(15,6,ROW('Input Transaksi'!$B$5:$B$5000)/('Input Transaksi'!$B$5:$B$5000="JCL MERPATI"),ROWS($E$5:E368)),"")</f>
        <v/>
      </c>
      <c r="F368" s="5" t="n"/>
    </row>
    <row r="369">
      <c r="A369" s="10">
        <f>IF($E369="","",INDEX('Input Transaksi'!$A:$A,$E369))</f>
        <v/>
      </c>
      <c r="B369" s="5">
        <f>IF($E369="","",INDEX('Input Transaksi'!$D:$D,$E369))</f>
        <v/>
      </c>
      <c r="C369">
        <f>IF($E369="","",INDEX('Input Transaksi'!$E:$E,$E369))</f>
        <v/>
      </c>
      <c r="D369" s="5">
        <f>IF($E369="","",INDEX('Input Transaksi'!$F:$F,$E369))</f>
        <v/>
      </c>
      <c r="E369">
        <f>IFERROR(AGGREGATE(15,6,ROW('Input Transaksi'!$B$5:$B$5000)/('Input Transaksi'!$B$5:$B$5000="JCL MERPATI"),ROWS($E$5:E369)),"")</f>
        <v/>
      </c>
      <c r="F369" s="5" t="n"/>
    </row>
    <row r="370">
      <c r="A370" s="10">
        <f>IF($E370="","",INDEX('Input Transaksi'!$A:$A,$E370))</f>
        <v/>
      </c>
      <c r="B370" s="5">
        <f>IF($E370="","",INDEX('Input Transaksi'!$D:$D,$E370))</f>
        <v/>
      </c>
      <c r="C370">
        <f>IF($E370="","",INDEX('Input Transaksi'!$E:$E,$E370))</f>
        <v/>
      </c>
      <c r="D370" s="5">
        <f>IF($E370="","",INDEX('Input Transaksi'!$F:$F,$E370))</f>
        <v/>
      </c>
      <c r="E370">
        <f>IFERROR(AGGREGATE(15,6,ROW('Input Transaksi'!$B$5:$B$5000)/('Input Transaksi'!$B$5:$B$5000="JCL MERPATI"),ROWS($E$5:E370)),"")</f>
        <v/>
      </c>
      <c r="F370" s="5" t="n"/>
    </row>
    <row r="371">
      <c r="A371" s="10">
        <f>IF($E371="","",INDEX('Input Transaksi'!$A:$A,$E371))</f>
        <v/>
      </c>
      <c r="B371" s="5">
        <f>IF($E371="","",INDEX('Input Transaksi'!$D:$D,$E371))</f>
        <v/>
      </c>
      <c r="C371">
        <f>IF($E371="","",INDEX('Input Transaksi'!$E:$E,$E371))</f>
        <v/>
      </c>
      <c r="D371" s="5">
        <f>IF($E371="","",INDEX('Input Transaksi'!$F:$F,$E371))</f>
        <v/>
      </c>
      <c r="E371">
        <f>IFERROR(AGGREGATE(15,6,ROW('Input Transaksi'!$B$5:$B$5000)/('Input Transaksi'!$B$5:$B$5000="JCL MERPATI"),ROWS($E$5:E371)),"")</f>
        <v/>
      </c>
      <c r="F371" s="5" t="n"/>
    </row>
    <row r="372">
      <c r="A372" s="10">
        <f>IF($E372="","",INDEX('Input Transaksi'!$A:$A,$E372))</f>
        <v/>
      </c>
      <c r="B372" s="5">
        <f>IF($E372="","",INDEX('Input Transaksi'!$D:$D,$E372))</f>
        <v/>
      </c>
      <c r="C372">
        <f>IF($E372="","",INDEX('Input Transaksi'!$E:$E,$E372))</f>
        <v/>
      </c>
      <c r="D372" s="5">
        <f>IF($E372="","",INDEX('Input Transaksi'!$F:$F,$E372))</f>
        <v/>
      </c>
      <c r="E372">
        <f>IFERROR(AGGREGATE(15,6,ROW('Input Transaksi'!$B$5:$B$5000)/('Input Transaksi'!$B$5:$B$5000="JCL MERPATI"),ROWS($E$5:E372)),"")</f>
        <v/>
      </c>
      <c r="F372" s="5" t="n"/>
    </row>
    <row r="373">
      <c r="A373" s="10">
        <f>IF($E373="","",INDEX('Input Transaksi'!$A:$A,$E373))</f>
        <v/>
      </c>
      <c r="B373" s="5">
        <f>IF($E373="","",INDEX('Input Transaksi'!$D:$D,$E373))</f>
        <v/>
      </c>
      <c r="C373">
        <f>IF($E373="","",INDEX('Input Transaksi'!$E:$E,$E373))</f>
        <v/>
      </c>
      <c r="D373" s="5">
        <f>IF($E373="","",INDEX('Input Transaksi'!$F:$F,$E373))</f>
        <v/>
      </c>
      <c r="E373">
        <f>IFERROR(AGGREGATE(15,6,ROW('Input Transaksi'!$B$5:$B$5000)/('Input Transaksi'!$B$5:$B$5000="JCL MERPATI"),ROWS($E$5:E373)),"")</f>
        <v/>
      </c>
      <c r="F373" s="5" t="n"/>
    </row>
    <row r="374">
      <c r="A374" s="10">
        <f>IF($E374="","",INDEX('Input Transaksi'!$A:$A,$E374))</f>
        <v/>
      </c>
      <c r="B374" s="5">
        <f>IF($E374="","",INDEX('Input Transaksi'!$D:$D,$E374))</f>
        <v/>
      </c>
      <c r="C374">
        <f>IF($E374="","",INDEX('Input Transaksi'!$E:$E,$E374))</f>
        <v/>
      </c>
      <c r="D374" s="5">
        <f>IF($E374="","",INDEX('Input Transaksi'!$F:$F,$E374))</f>
        <v/>
      </c>
      <c r="E374">
        <f>IFERROR(AGGREGATE(15,6,ROW('Input Transaksi'!$B$5:$B$5000)/('Input Transaksi'!$B$5:$B$5000="JCL MERPATI"),ROWS($E$5:E374)),"")</f>
        <v/>
      </c>
      <c r="F374" s="5" t="n"/>
    </row>
    <row r="375">
      <c r="A375" s="10">
        <f>IF($E375="","",INDEX('Input Transaksi'!$A:$A,$E375))</f>
        <v/>
      </c>
      <c r="B375" s="5">
        <f>IF($E375="","",INDEX('Input Transaksi'!$D:$D,$E375))</f>
        <v/>
      </c>
      <c r="C375">
        <f>IF($E375="","",INDEX('Input Transaksi'!$E:$E,$E375))</f>
        <v/>
      </c>
      <c r="D375" s="5">
        <f>IF($E375="","",INDEX('Input Transaksi'!$F:$F,$E375))</f>
        <v/>
      </c>
      <c r="E375">
        <f>IFERROR(AGGREGATE(15,6,ROW('Input Transaksi'!$B$5:$B$5000)/('Input Transaksi'!$B$5:$B$5000="JCL MERPATI"),ROWS($E$5:E375)),"")</f>
        <v/>
      </c>
      <c r="F375" s="5" t="n"/>
    </row>
    <row r="376">
      <c r="A376" s="10">
        <f>IF($E376="","",INDEX('Input Transaksi'!$A:$A,$E376))</f>
        <v/>
      </c>
      <c r="B376" s="5">
        <f>IF($E376="","",INDEX('Input Transaksi'!$D:$D,$E376))</f>
        <v/>
      </c>
      <c r="C376">
        <f>IF($E376="","",INDEX('Input Transaksi'!$E:$E,$E376))</f>
        <v/>
      </c>
      <c r="D376" s="5">
        <f>IF($E376="","",INDEX('Input Transaksi'!$F:$F,$E376))</f>
        <v/>
      </c>
      <c r="E376">
        <f>IFERROR(AGGREGATE(15,6,ROW('Input Transaksi'!$B$5:$B$5000)/('Input Transaksi'!$B$5:$B$5000="JCL MERPATI"),ROWS($E$5:E376)),"")</f>
        <v/>
      </c>
      <c r="F376" s="5" t="n"/>
    </row>
    <row r="377">
      <c r="A377" s="10">
        <f>IF($E377="","",INDEX('Input Transaksi'!$A:$A,$E377))</f>
        <v/>
      </c>
      <c r="B377" s="5">
        <f>IF($E377="","",INDEX('Input Transaksi'!$D:$D,$E377))</f>
        <v/>
      </c>
      <c r="C377">
        <f>IF($E377="","",INDEX('Input Transaksi'!$E:$E,$E377))</f>
        <v/>
      </c>
      <c r="D377" s="5">
        <f>IF($E377="","",INDEX('Input Transaksi'!$F:$F,$E377))</f>
        <v/>
      </c>
      <c r="E377">
        <f>IFERROR(AGGREGATE(15,6,ROW('Input Transaksi'!$B$5:$B$5000)/('Input Transaksi'!$B$5:$B$5000="JCL MERPATI"),ROWS($E$5:E377)),"")</f>
        <v/>
      </c>
      <c r="F377" s="5" t="n"/>
    </row>
    <row r="378">
      <c r="A378" s="10">
        <f>IF($E378="","",INDEX('Input Transaksi'!$A:$A,$E378))</f>
        <v/>
      </c>
      <c r="B378" s="5">
        <f>IF($E378="","",INDEX('Input Transaksi'!$D:$D,$E378))</f>
        <v/>
      </c>
      <c r="C378">
        <f>IF($E378="","",INDEX('Input Transaksi'!$E:$E,$E378))</f>
        <v/>
      </c>
      <c r="D378" s="5">
        <f>IF($E378="","",INDEX('Input Transaksi'!$F:$F,$E378))</f>
        <v/>
      </c>
      <c r="E378">
        <f>IFERROR(AGGREGATE(15,6,ROW('Input Transaksi'!$B$5:$B$5000)/('Input Transaksi'!$B$5:$B$5000="JCL MERPATI"),ROWS($E$5:E378)),"")</f>
        <v/>
      </c>
      <c r="F378" s="5" t="n"/>
    </row>
    <row r="379">
      <c r="A379" s="10">
        <f>IF($E379="","",INDEX('Input Transaksi'!$A:$A,$E379))</f>
        <v/>
      </c>
      <c r="B379" s="5">
        <f>IF($E379="","",INDEX('Input Transaksi'!$D:$D,$E379))</f>
        <v/>
      </c>
      <c r="C379">
        <f>IF($E379="","",INDEX('Input Transaksi'!$E:$E,$E379))</f>
        <v/>
      </c>
      <c r="D379" s="5">
        <f>IF($E379="","",INDEX('Input Transaksi'!$F:$F,$E379))</f>
        <v/>
      </c>
      <c r="E379">
        <f>IFERROR(AGGREGATE(15,6,ROW('Input Transaksi'!$B$5:$B$5000)/('Input Transaksi'!$B$5:$B$5000="JCL MERPATI"),ROWS($E$5:E379)),"")</f>
        <v/>
      </c>
      <c r="F379" s="5" t="n"/>
    </row>
    <row r="380">
      <c r="A380" s="10">
        <f>IF($E380="","",INDEX('Input Transaksi'!$A:$A,$E380))</f>
        <v/>
      </c>
      <c r="B380" s="5">
        <f>IF($E380="","",INDEX('Input Transaksi'!$D:$D,$E380))</f>
        <v/>
      </c>
      <c r="C380">
        <f>IF($E380="","",INDEX('Input Transaksi'!$E:$E,$E380))</f>
        <v/>
      </c>
      <c r="D380" s="5">
        <f>IF($E380="","",INDEX('Input Transaksi'!$F:$F,$E380))</f>
        <v/>
      </c>
      <c r="E380">
        <f>IFERROR(AGGREGATE(15,6,ROW('Input Transaksi'!$B$5:$B$5000)/('Input Transaksi'!$B$5:$B$5000="JCL MERPATI"),ROWS($E$5:E380)),"")</f>
        <v/>
      </c>
      <c r="F380" s="5" t="n"/>
    </row>
    <row r="381">
      <c r="A381" s="10">
        <f>IF($E381="","",INDEX('Input Transaksi'!$A:$A,$E381))</f>
        <v/>
      </c>
      <c r="B381" s="5">
        <f>IF($E381="","",INDEX('Input Transaksi'!$D:$D,$E381))</f>
        <v/>
      </c>
      <c r="C381">
        <f>IF($E381="","",INDEX('Input Transaksi'!$E:$E,$E381))</f>
        <v/>
      </c>
      <c r="D381" s="5">
        <f>IF($E381="","",INDEX('Input Transaksi'!$F:$F,$E381))</f>
        <v/>
      </c>
      <c r="E381">
        <f>IFERROR(AGGREGATE(15,6,ROW('Input Transaksi'!$B$5:$B$5000)/('Input Transaksi'!$B$5:$B$5000="JCL MERPATI"),ROWS($E$5:E381)),"")</f>
        <v/>
      </c>
      <c r="F381" s="5" t="n"/>
    </row>
    <row r="382">
      <c r="A382" s="10">
        <f>IF($E382="","",INDEX('Input Transaksi'!$A:$A,$E382))</f>
        <v/>
      </c>
      <c r="B382" s="5">
        <f>IF($E382="","",INDEX('Input Transaksi'!$D:$D,$E382))</f>
        <v/>
      </c>
      <c r="C382">
        <f>IF($E382="","",INDEX('Input Transaksi'!$E:$E,$E382))</f>
        <v/>
      </c>
      <c r="D382" s="5">
        <f>IF($E382="","",INDEX('Input Transaksi'!$F:$F,$E382))</f>
        <v/>
      </c>
      <c r="E382">
        <f>IFERROR(AGGREGATE(15,6,ROW('Input Transaksi'!$B$5:$B$5000)/('Input Transaksi'!$B$5:$B$5000="JCL MERPATI"),ROWS($E$5:E382)),"")</f>
        <v/>
      </c>
      <c r="F382" s="5" t="n"/>
    </row>
    <row r="383">
      <c r="A383" s="10">
        <f>IF($E383="","",INDEX('Input Transaksi'!$A:$A,$E383))</f>
        <v/>
      </c>
      <c r="B383" s="5">
        <f>IF($E383="","",INDEX('Input Transaksi'!$D:$D,$E383))</f>
        <v/>
      </c>
      <c r="C383">
        <f>IF($E383="","",INDEX('Input Transaksi'!$E:$E,$E383))</f>
        <v/>
      </c>
      <c r="D383" s="5">
        <f>IF($E383="","",INDEX('Input Transaksi'!$F:$F,$E383))</f>
        <v/>
      </c>
      <c r="E383">
        <f>IFERROR(AGGREGATE(15,6,ROW('Input Transaksi'!$B$5:$B$5000)/('Input Transaksi'!$B$5:$B$5000="JCL MERPATI"),ROWS($E$5:E383)),"")</f>
        <v/>
      </c>
      <c r="F383" s="5" t="n"/>
    </row>
    <row r="384">
      <c r="A384" s="10">
        <f>IF($E384="","",INDEX('Input Transaksi'!$A:$A,$E384))</f>
        <v/>
      </c>
      <c r="B384" s="5">
        <f>IF($E384="","",INDEX('Input Transaksi'!$D:$D,$E384))</f>
        <v/>
      </c>
      <c r="C384">
        <f>IF($E384="","",INDEX('Input Transaksi'!$E:$E,$E384))</f>
        <v/>
      </c>
      <c r="D384" s="5">
        <f>IF($E384="","",INDEX('Input Transaksi'!$F:$F,$E384))</f>
        <v/>
      </c>
      <c r="E384">
        <f>IFERROR(AGGREGATE(15,6,ROW('Input Transaksi'!$B$5:$B$5000)/('Input Transaksi'!$B$5:$B$5000="JCL MERPATI"),ROWS($E$5:E384)),"")</f>
        <v/>
      </c>
      <c r="F384" s="5" t="n"/>
    </row>
    <row r="385">
      <c r="A385" s="10">
        <f>IF($E385="","",INDEX('Input Transaksi'!$A:$A,$E385))</f>
        <v/>
      </c>
      <c r="B385" s="5">
        <f>IF($E385="","",INDEX('Input Transaksi'!$D:$D,$E385))</f>
        <v/>
      </c>
      <c r="C385">
        <f>IF($E385="","",INDEX('Input Transaksi'!$E:$E,$E385))</f>
        <v/>
      </c>
      <c r="D385" s="5">
        <f>IF($E385="","",INDEX('Input Transaksi'!$F:$F,$E385))</f>
        <v/>
      </c>
      <c r="E385">
        <f>IFERROR(AGGREGATE(15,6,ROW('Input Transaksi'!$B$5:$B$5000)/('Input Transaksi'!$B$5:$B$5000="JCL MERPATI"),ROWS($E$5:E385)),"")</f>
        <v/>
      </c>
      <c r="F385" s="5" t="n"/>
    </row>
    <row r="386">
      <c r="A386" s="10">
        <f>IF($E386="","",INDEX('Input Transaksi'!$A:$A,$E386))</f>
        <v/>
      </c>
      <c r="B386" s="5">
        <f>IF($E386="","",INDEX('Input Transaksi'!$D:$D,$E386))</f>
        <v/>
      </c>
      <c r="C386">
        <f>IF($E386="","",INDEX('Input Transaksi'!$E:$E,$E386))</f>
        <v/>
      </c>
      <c r="D386" s="5">
        <f>IF($E386="","",INDEX('Input Transaksi'!$F:$F,$E386))</f>
        <v/>
      </c>
      <c r="E386">
        <f>IFERROR(AGGREGATE(15,6,ROW('Input Transaksi'!$B$5:$B$5000)/('Input Transaksi'!$B$5:$B$5000="JCL MERPATI"),ROWS($E$5:E386)),"")</f>
        <v/>
      </c>
      <c r="F386" s="5" t="n"/>
    </row>
    <row r="387">
      <c r="A387" s="10">
        <f>IF($E387="","",INDEX('Input Transaksi'!$A:$A,$E387))</f>
        <v/>
      </c>
      <c r="B387" s="5">
        <f>IF($E387="","",INDEX('Input Transaksi'!$D:$D,$E387))</f>
        <v/>
      </c>
      <c r="C387">
        <f>IF($E387="","",INDEX('Input Transaksi'!$E:$E,$E387))</f>
        <v/>
      </c>
      <c r="D387" s="5">
        <f>IF($E387="","",INDEX('Input Transaksi'!$F:$F,$E387))</f>
        <v/>
      </c>
      <c r="E387">
        <f>IFERROR(AGGREGATE(15,6,ROW('Input Transaksi'!$B$5:$B$5000)/('Input Transaksi'!$B$5:$B$5000="JCL MERPATI"),ROWS($E$5:E387)),"")</f>
        <v/>
      </c>
      <c r="F387" s="5" t="n"/>
    </row>
    <row r="388">
      <c r="A388" s="10">
        <f>IF($E388="","",INDEX('Input Transaksi'!$A:$A,$E388))</f>
        <v/>
      </c>
      <c r="B388" s="5">
        <f>IF($E388="","",INDEX('Input Transaksi'!$D:$D,$E388))</f>
        <v/>
      </c>
      <c r="C388">
        <f>IF($E388="","",INDEX('Input Transaksi'!$E:$E,$E388))</f>
        <v/>
      </c>
      <c r="D388" s="5">
        <f>IF($E388="","",INDEX('Input Transaksi'!$F:$F,$E388))</f>
        <v/>
      </c>
      <c r="E388">
        <f>IFERROR(AGGREGATE(15,6,ROW('Input Transaksi'!$B$5:$B$5000)/('Input Transaksi'!$B$5:$B$5000="JCL MERPATI"),ROWS($E$5:E388)),"")</f>
        <v/>
      </c>
      <c r="F388" s="5" t="n"/>
    </row>
    <row r="389">
      <c r="A389" s="10">
        <f>IF($E389="","",INDEX('Input Transaksi'!$A:$A,$E389))</f>
        <v/>
      </c>
      <c r="B389" s="5">
        <f>IF($E389="","",INDEX('Input Transaksi'!$D:$D,$E389))</f>
        <v/>
      </c>
      <c r="C389">
        <f>IF($E389="","",INDEX('Input Transaksi'!$E:$E,$E389))</f>
        <v/>
      </c>
      <c r="D389" s="5">
        <f>IF($E389="","",INDEX('Input Transaksi'!$F:$F,$E389))</f>
        <v/>
      </c>
      <c r="E389">
        <f>IFERROR(AGGREGATE(15,6,ROW('Input Transaksi'!$B$5:$B$5000)/('Input Transaksi'!$B$5:$B$5000="JCL MERPATI"),ROWS($E$5:E389)),"")</f>
        <v/>
      </c>
      <c r="F389" s="5" t="n"/>
    </row>
    <row r="390">
      <c r="A390" s="10">
        <f>IF($E390="","",INDEX('Input Transaksi'!$A:$A,$E390))</f>
        <v/>
      </c>
      <c r="B390" s="5">
        <f>IF($E390="","",INDEX('Input Transaksi'!$D:$D,$E390))</f>
        <v/>
      </c>
      <c r="C390">
        <f>IF($E390="","",INDEX('Input Transaksi'!$E:$E,$E390))</f>
        <v/>
      </c>
      <c r="D390" s="5">
        <f>IF($E390="","",INDEX('Input Transaksi'!$F:$F,$E390))</f>
        <v/>
      </c>
      <c r="E390">
        <f>IFERROR(AGGREGATE(15,6,ROW('Input Transaksi'!$B$5:$B$5000)/('Input Transaksi'!$B$5:$B$5000="JCL MERPATI"),ROWS($E$5:E390)),"")</f>
        <v/>
      </c>
      <c r="F390" s="5" t="n"/>
    </row>
    <row r="391">
      <c r="A391" s="10">
        <f>IF($E391="","",INDEX('Input Transaksi'!$A:$A,$E391))</f>
        <v/>
      </c>
      <c r="B391" s="5">
        <f>IF($E391="","",INDEX('Input Transaksi'!$D:$D,$E391))</f>
        <v/>
      </c>
      <c r="C391">
        <f>IF($E391="","",INDEX('Input Transaksi'!$E:$E,$E391))</f>
        <v/>
      </c>
      <c r="D391" s="5">
        <f>IF($E391="","",INDEX('Input Transaksi'!$F:$F,$E391))</f>
        <v/>
      </c>
      <c r="E391">
        <f>IFERROR(AGGREGATE(15,6,ROW('Input Transaksi'!$B$5:$B$5000)/('Input Transaksi'!$B$5:$B$5000="JCL MERPATI"),ROWS($E$5:E391)),"")</f>
        <v/>
      </c>
      <c r="F391" s="5" t="n"/>
    </row>
    <row r="392">
      <c r="A392" s="10">
        <f>IF($E392="","",INDEX('Input Transaksi'!$A:$A,$E392))</f>
        <v/>
      </c>
      <c r="B392" s="5">
        <f>IF($E392="","",INDEX('Input Transaksi'!$D:$D,$E392))</f>
        <v/>
      </c>
      <c r="C392">
        <f>IF($E392="","",INDEX('Input Transaksi'!$E:$E,$E392))</f>
        <v/>
      </c>
      <c r="D392" s="5">
        <f>IF($E392="","",INDEX('Input Transaksi'!$F:$F,$E392))</f>
        <v/>
      </c>
      <c r="E392">
        <f>IFERROR(AGGREGATE(15,6,ROW('Input Transaksi'!$B$5:$B$5000)/('Input Transaksi'!$B$5:$B$5000="JCL MERPATI"),ROWS($E$5:E392)),"")</f>
        <v/>
      </c>
      <c r="F392" s="5" t="n"/>
    </row>
    <row r="393">
      <c r="A393" s="10">
        <f>IF($E393="","",INDEX('Input Transaksi'!$A:$A,$E393))</f>
        <v/>
      </c>
      <c r="B393" s="5">
        <f>IF($E393="","",INDEX('Input Transaksi'!$D:$D,$E393))</f>
        <v/>
      </c>
      <c r="C393">
        <f>IF($E393="","",INDEX('Input Transaksi'!$E:$E,$E393))</f>
        <v/>
      </c>
      <c r="D393" s="5">
        <f>IF($E393="","",INDEX('Input Transaksi'!$F:$F,$E393))</f>
        <v/>
      </c>
      <c r="E393">
        <f>IFERROR(AGGREGATE(15,6,ROW('Input Transaksi'!$B$5:$B$5000)/('Input Transaksi'!$B$5:$B$5000="JCL MERPATI"),ROWS($E$5:E393)),"")</f>
        <v/>
      </c>
      <c r="F393" s="5" t="n"/>
    </row>
    <row r="394">
      <c r="A394" s="10">
        <f>IF($E394="","",INDEX('Input Transaksi'!$A:$A,$E394))</f>
        <v/>
      </c>
      <c r="B394" s="5">
        <f>IF($E394="","",INDEX('Input Transaksi'!$D:$D,$E394))</f>
        <v/>
      </c>
      <c r="C394">
        <f>IF($E394="","",INDEX('Input Transaksi'!$E:$E,$E394))</f>
        <v/>
      </c>
      <c r="D394" s="5">
        <f>IF($E394="","",INDEX('Input Transaksi'!$F:$F,$E394))</f>
        <v/>
      </c>
      <c r="E394">
        <f>IFERROR(AGGREGATE(15,6,ROW('Input Transaksi'!$B$5:$B$5000)/('Input Transaksi'!$B$5:$B$5000="JCL MERPATI"),ROWS($E$5:E394)),"")</f>
        <v/>
      </c>
      <c r="F394" s="5" t="n"/>
    </row>
    <row r="395">
      <c r="A395" s="10">
        <f>IF($E395="","",INDEX('Input Transaksi'!$A:$A,$E395))</f>
        <v/>
      </c>
      <c r="B395" s="5">
        <f>IF($E395="","",INDEX('Input Transaksi'!$D:$D,$E395))</f>
        <v/>
      </c>
      <c r="C395">
        <f>IF($E395="","",INDEX('Input Transaksi'!$E:$E,$E395))</f>
        <v/>
      </c>
      <c r="D395" s="5">
        <f>IF($E395="","",INDEX('Input Transaksi'!$F:$F,$E395))</f>
        <v/>
      </c>
      <c r="E395">
        <f>IFERROR(AGGREGATE(15,6,ROW('Input Transaksi'!$B$5:$B$5000)/('Input Transaksi'!$B$5:$B$5000="JCL MERPATI"),ROWS($E$5:E395)),"")</f>
        <v/>
      </c>
      <c r="F395" s="5" t="n"/>
    </row>
    <row r="396">
      <c r="A396" s="10">
        <f>IF($E396="","",INDEX('Input Transaksi'!$A:$A,$E396))</f>
        <v/>
      </c>
      <c r="B396" s="5">
        <f>IF($E396="","",INDEX('Input Transaksi'!$D:$D,$E396))</f>
        <v/>
      </c>
      <c r="C396">
        <f>IF($E396="","",INDEX('Input Transaksi'!$E:$E,$E396))</f>
        <v/>
      </c>
      <c r="D396" s="5">
        <f>IF($E396="","",INDEX('Input Transaksi'!$F:$F,$E396))</f>
        <v/>
      </c>
      <c r="E396">
        <f>IFERROR(AGGREGATE(15,6,ROW('Input Transaksi'!$B$5:$B$5000)/('Input Transaksi'!$B$5:$B$5000="JCL MERPATI"),ROWS($E$5:E396)),"")</f>
        <v/>
      </c>
      <c r="F396" s="5" t="n"/>
    </row>
    <row r="397">
      <c r="A397" s="10">
        <f>IF($E397="","",INDEX('Input Transaksi'!$A:$A,$E397))</f>
        <v/>
      </c>
      <c r="B397" s="5">
        <f>IF($E397="","",INDEX('Input Transaksi'!$D:$D,$E397))</f>
        <v/>
      </c>
      <c r="C397">
        <f>IF($E397="","",INDEX('Input Transaksi'!$E:$E,$E397))</f>
        <v/>
      </c>
      <c r="D397" s="5">
        <f>IF($E397="","",INDEX('Input Transaksi'!$F:$F,$E397))</f>
        <v/>
      </c>
      <c r="E397">
        <f>IFERROR(AGGREGATE(15,6,ROW('Input Transaksi'!$B$5:$B$5000)/('Input Transaksi'!$B$5:$B$5000="JCL MERPATI"),ROWS($E$5:E397)),"")</f>
        <v/>
      </c>
      <c r="F397" s="5" t="n"/>
    </row>
    <row r="398">
      <c r="A398" s="10">
        <f>IF($E398="","",INDEX('Input Transaksi'!$A:$A,$E398))</f>
        <v/>
      </c>
      <c r="B398" s="5">
        <f>IF($E398="","",INDEX('Input Transaksi'!$D:$D,$E398))</f>
        <v/>
      </c>
      <c r="C398">
        <f>IF($E398="","",INDEX('Input Transaksi'!$E:$E,$E398))</f>
        <v/>
      </c>
      <c r="D398" s="5">
        <f>IF($E398="","",INDEX('Input Transaksi'!$F:$F,$E398))</f>
        <v/>
      </c>
      <c r="E398">
        <f>IFERROR(AGGREGATE(15,6,ROW('Input Transaksi'!$B$5:$B$5000)/('Input Transaksi'!$B$5:$B$5000="JCL MERPATI"),ROWS($E$5:E398)),"")</f>
        <v/>
      </c>
      <c r="F398" s="5" t="n"/>
    </row>
    <row r="399">
      <c r="A399" s="10">
        <f>IF($E399="","",INDEX('Input Transaksi'!$A:$A,$E399))</f>
        <v/>
      </c>
      <c r="B399" s="5">
        <f>IF($E399="","",INDEX('Input Transaksi'!$D:$D,$E399))</f>
        <v/>
      </c>
      <c r="C399">
        <f>IF($E399="","",INDEX('Input Transaksi'!$E:$E,$E399))</f>
        <v/>
      </c>
      <c r="D399" s="5">
        <f>IF($E399="","",INDEX('Input Transaksi'!$F:$F,$E399))</f>
        <v/>
      </c>
      <c r="E399">
        <f>IFERROR(AGGREGATE(15,6,ROW('Input Transaksi'!$B$5:$B$5000)/('Input Transaksi'!$B$5:$B$5000="JCL MERPATI"),ROWS($E$5:E399)),"")</f>
        <v/>
      </c>
      <c r="F399" s="5" t="n"/>
    </row>
    <row r="400">
      <c r="A400" s="10">
        <f>IF($E400="","",INDEX('Input Transaksi'!$A:$A,$E400))</f>
        <v/>
      </c>
      <c r="B400" s="5">
        <f>IF($E400="","",INDEX('Input Transaksi'!$D:$D,$E400))</f>
        <v/>
      </c>
      <c r="C400">
        <f>IF($E400="","",INDEX('Input Transaksi'!$E:$E,$E400))</f>
        <v/>
      </c>
      <c r="D400" s="5">
        <f>IF($E400="","",INDEX('Input Transaksi'!$F:$F,$E400))</f>
        <v/>
      </c>
      <c r="E400">
        <f>IFERROR(AGGREGATE(15,6,ROW('Input Transaksi'!$B$5:$B$5000)/('Input Transaksi'!$B$5:$B$5000="JCL MERPATI"),ROWS($E$5:E400)),"")</f>
        <v/>
      </c>
      <c r="F400" s="5" t="n"/>
    </row>
    <row r="401">
      <c r="A401" s="10">
        <f>IF($E401="","",INDEX('Input Transaksi'!$A:$A,$E401))</f>
        <v/>
      </c>
      <c r="B401" s="5">
        <f>IF($E401="","",INDEX('Input Transaksi'!$D:$D,$E401))</f>
        <v/>
      </c>
      <c r="C401">
        <f>IF($E401="","",INDEX('Input Transaksi'!$E:$E,$E401))</f>
        <v/>
      </c>
      <c r="D401" s="5">
        <f>IF($E401="","",INDEX('Input Transaksi'!$F:$F,$E401))</f>
        <v/>
      </c>
      <c r="E401">
        <f>IFERROR(AGGREGATE(15,6,ROW('Input Transaksi'!$B$5:$B$5000)/('Input Transaksi'!$B$5:$B$5000="JCL MERPATI"),ROWS($E$5:E401)),"")</f>
        <v/>
      </c>
      <c r="F401" s="5" t="n"/>
    </row>
    <row r="402">
      <c r="A402" s="10">
        <f>IF($E402="","",INDEX('Input Transaksi'!$A:$A,$E402))</f>
        <v/>
      </c>
      <c r="B402" s="5">
        <f>IF($E402="","",INDEX('Input Transaksi'!$D:$D,$E402))</f>
        <v/>
      </c>
      <c r="C402">
        <f>IF($E402="","",INDEX('Input Transaksi'!$E:$E,$E402))</f>
        <v/>
      </c>
      <c r="D402" s="5">
        <f>IF($E402="","",INDEX('Input Transaksi'!$F:$F,$E402))</f>
        <v/>
      </c>
      <c r="E402">
        <f>IFERROR(AGGREGATE(15,6,ROW('Input Transaksi'!$B$5:$B$5000)/('Input Transaksi'!$B$5:$B$5000="JCL MERPATI"),ROWS($E$5:E402)),"")</f>
        <v/>
      </c>
      <c r="F402" s="5" t="n"/>
    </row>
    <row r="403">
      <c r="A403" s="10">
        <f>IF($E403="","",INDEX('Input Transaksi'!$A:$A,$E403))</f>
        <v/>
      </c>
      <c r="B403" s="5">
        <f>IF($E403="","",INDEX('Input Transaksi'!$D:$D,$E403))</f>
        <v/>
      </c>
      <c r="C403">
        <f>IF($E403="","",INDEX('Input Transaksi'!$E:$E,$E403))</f>
        <v/>
      </c>
      <c r="D403" s="5">
        <f>IF($E403="","",INDEX('Input Transaksi'!$F:$F,$E403))</f>
        <v/>
      </c>
      <c r="E403">
        <f>IFERROR(AGGREGATE(15,6,ROW('Input Transaksi'!$B$5:$B$5000)/('Input Transaksi'!$B$5:$B$5000="JCL MERPATI"),ROWS($E$5:E403)),"")</f>
        <v/>
      </c>
      <c r="F403" s="5" t="n"/>
    </row>
    <row r="404">
      <c r="A404" s="10">
        <f>IF($E404="","",INDEX('Input Transaksi'!$A:$A,$E404))</f>
        <v/>
      </c>
      <c r="B404" s="5">
        <f>IF($E404="","",INDEX('Input Transaksi'!$D:$D,$E404))</f>
        <v/>
      </c>
      <c r="C404">
        <f>IF($E404="","",INDEX('Input Transaksi'!$E:$E,$E404))</f>
        <v/>
      </c>
      <c r="D404" s="5">
        <f>IF($E404="","",INDEX('Input Transaksi'!$F:$F,$E404))</f>
        <v/>
      </c>
      <c r="E404">
        <f>IFERROR(AGGREGATE(15,6,ROW('Input Transaksi'!$B$5:$B$5000)/('Input Transaksi'!$B$5:$B$5000="JCL MERPATI"),ROWS($E$5:E404)),"")</f>
        <v/>
      </c>
      <c r="F404" s="5" t="n"/>
    </row>
    <row r="405">
      <c r="A405" s="10">
        <f>IF($E405="","",INDEX('Input Transaksi'!$A:$A,$E405))</f>
        <v/>
      </c>
      <c r="B405" s="5">
        <f>IF($E405="","",INDEX('Input Transaksi'!$D:$D,$E405))</f>
        <v/>
      </c>
      <c r="C405">
        <f>IF($E405="","",INDEX('Input Transaksi'!$E:$E,$E405))</f>
        <v/>
      </c>
      <c r="D405" s="5">
        <f>IF($E405="","",INDEX('Input Transaksi'!$F:$F,$E405))</f>
        <v/>
      </c>
      <c r="E405">
        <f>IFERROR(AGGREGATE(15,6,ROW('Input Transaksi'!$B$5:$B$5000)/('Input Transaksi'!$B$5:$B$5000="JCL MERPATI"),ROWS($E$5:E405)),"")</f>
        <v/>
      </c>
      <c r="F405" s="5" t="n"/>
    </row>
    <row r="406">
      <c r="A406" s="10">
        <f>IF($E406="","",INDEX('Input Transaksi'!$A:$A,$E406))</f>
        <v/>
      </c>
      <c r="B406" s="5">
        <f>IF($E406="","",INDEX('Input Transaksi'!$D:$D,$E406))</f>
        <v/>
      </c>
      <c r="C406">
        <f>IF($E406="","",INDEX('Input Transaksi'!$E:$E,$E406))</f>
        <v/>
      </c>
      <c r="D406" s="5">
        <f>IF($E406="","",INDEX('Input Transaksi'!$F:$F,$E406))</f>
        <v/>
      </c>
      <c r="E406">
        <f>IFERROR(AGGREGATE(15,6,ROW('Input Transaksi'!$B$5:$B$5000)/('Input Transaksi'!$B$5:$B$5000="JCL MERPATI"),ROWS($E$5:E406)),"")</f>
        <v/>
      </c>
      <c r="F406" s="5" t="n"/>
    </row>
    <row r="407">
      <c r="A407" s="10">
        <f>IF($E407="","",INDEX('Input Transaksi'!$A:$A,$E407))</f>
        <v/>
      </c>
      <c r="B407" s="5">
        <f>IF($E407="","",INDEX('Input Transaksi'!$D:$D,$E407))</f>
        <v/>
      </c>
      <c r="C407">
        <f>IF($E407="","",INDEX('Input Transaksi'!$E:$E,$E407))</f>
        <v/>
      </c>
      <c r="D407" s="5">
        <f>IF($E407="","",INDEX('Input Transaksi'!$F:$F,$E407))</f>
        <v/>
      </c>
      <c r="E407">
        <f>IFERROR(AGGREGATE(15,6,ROW('Input Transaksi'!$B$5:$B$5000)/('Input Transaksi'!$B$5:$B$5000="JCL MERPATI"),ROWS($E$5:E407)),"")</f>
        <v/>
      </c>
      <c r="F407" s="5" t="n"/>
    </row>
    <row r="408">
      <c r="A408" s="10">
        <f>IF($E408="","",INDEX('Input Transaksi'!$A:$A,$E408))</f>
        <v/>
      </c>
      <c r="B408" s="5">
        <f>IF($E408="","",INDEX('Input Transaksi'!$D:$D,$E408))</f>
        <v/>
      </c>
      <c r="C408">
        <f>IF($E408="","",INDEX('Input Transaksi'!$E:$E,$E408))</f>
        <v/>
      </c>
      <c r="D408" s="5">
        <f>IF($E408="","",INDEX('Input Transaksi'!$F:$F,$E408))</f>
        <v/>
      </c>
      <c r="E408">
        <f>IFERROR(AGGREGATE(15,6,ROW('Input Transaksi'!$B$5:$B$5000)/('Input Transaksi'!$B$5:$B$5000="JCL MERPATI"),ROWS($E$5:E408)),"")</f>
        <v/>
      </c>
      <c r="F408" s="5" t="n"/>
    </row>
    <row r="409">
      <c r="A409" s="10">
        <f>IF($E409="","",INDEX('Input Transaksi'!$A:$A,$E409))</f>
        <v/>
      </c>
      <c r="B409" s="5">
        <f>IF($E409="","",INDEX('Input Transaksi'!$D:$D,$E409))</f>
        <v/>
      </c>
      <c r="C409">
        <f>IF($E409="","",INDEX('Input Transaksi'!$E:$E,$E409))</f>
        <v/>
      </c>
      <c r="D409" s="5">
        <f>IF($E409="","",INDEX('Input Transaksi'!$F:$F,$E409))</f>
        <v/>
      </c>
      <c r="E409">
        <f>IFERROR(AGGREGATE(15,6,ROW('Input Transaksi'!$B$5:$B$5000)/('Input Transaksi'!$B$5:$B$5000="JCL MERPATI"),ROWS($E$5:E409)),"")</f>
        <v/>
      </c>
      <c r="F409" s="5" t="n"/>
    </row>
    <row r="410">
      <c r="A410" s="10">
        <f>IF($E410="","",INDEX('Input Transaksi'!$A:$A,$E410))</f>
        <v/>
      </c>
      <c r="B410" s="5">
        <f>IF($E410="","",INDEX('Input Transaksi'!$D:$D,$E410))</f>
        <v/>
      </c>
      <c r="C410">
        <f>IF($E410="","",INDEX('Input Transaksi'!$E:$E,$E410))</f>
        <v/>
      </c>
      <c r="D410" s="5">
        <f>IF($E410="","",INDEX('Input Transaksi'!$F:$F,$E410))</f>
        <v/>
      </c>
      <c r="E410">
        <f>IFERROR(AGGREGATE(15,6,ROW('Input Transaksi'!$B$5:$B$5000)/('Input Transaksi'!$B$5:$B$5000="JCL MERPATI"),ROWS($E$5:E410)),"")</f>
        <v/>
      </c>
      <c r="F410" s="5" t="n"/>
    </row>
    <row r="411">
      <c r="A411" s="10">
        <f>IF($E411="","",INDEX('Input Transaksi'!$A:$A,$E411))</f>
        <v/>
      </c>
      <c r="B411" s="5">
        <f>IF($E411="","",INDEX('Input Transaksi'!$D:$D,$E411))</f>
        <v/>
      </c>
      <c r="C411">
        <f>IF($E411="","",INDEX('Input Transaksi'!$E:$E,$E411))</f>
        <v/>
      </c>
      <c r="D411" s="5">
        <f>IF($E411="","",INDEX('Input Transaksi'!$F:$F,$E411))</f>
        <v/>
      </c>
      <c r="E411">
        <f>IFERROR(AGGREGATE(15,6,ROW('Input Transaksi'!$B$5:$B$5000)/('Input Transaksi'!$B$5:$B$5000="JCL MERPATI"),ROWS($E$5:E411)),"")</f>
        <v/>
      </c>
      <c r="F411" s="5" t="n"/>
    </row>
    <row r="412">
      <c r="A412" s="10">
        <f>IF($E412="","",INDEX('Input Transaksi'!$A:$A,$E412))</f>
        <v/>
      </c>
      <c r="B412" s="5">
        <f>IF($E412="","",INDEX('Input Transaksi'!$D:$D,$E412))</f>
        <v/>
      </c>
      <c r="C412">
        <f>IF($E412="","",INDEX('Input Transaksi'!$E:$E,$E412))</f>
        <v/>
      </c>
      <c r="D412" s="5">
        <f>IF($E412="","",INDEX('Input Transaksi'!$F:$F,$E412))</f>
        <v/>
      </c>
      <c r="E412">
        <f>IFERROR(AGGREGATE(15,6,ROW('Input Transaksi'!$B$5:$B$5000)/('Input Transaksi'!$B$5:$B$5000="JCL MERPATI"),ROWS($E$5:E412)),"")</f>
        <v/>
      </c>
      <c r="F412" s="5" t="n"/>
    </row>
    <row r="413">
      <c r="A413" s="10">
        <f>IF($E413="","",INDEX('Input Transaksi'!$A:$A,$E413))</f>
        <v/>
      </c>
      <c r="B413" s="5">
        <f>IF($E413="","",INDEX('Input Transaksi'!$D:$D,$E413))</f>
        <v/>
      </c>
      <c r="C413">
        <f>IF($E413="","",INDEX('Input Transaksi'!$E:$E,$E413))</f>
        <v/>
      </c>
      <c r="D413" s="5">
        <f>IF($E413="","",INDEX('Input Transaksi'!$F:$F,$E413))</f>
        <v/>
      </c>
      <c r="E413">
        <f>IFERROR(AGGREGATE(15,6,ROW('Input Transaksi'!$B$5:$B$5000)/('Input Transaksi'!$B$5:$B$5000="JCL MERPATI"),ROWS($E$5:E413)),"")</f>
        <v/>
      </c>
      <c r="F413" s="5" t="n"/>
    </row>
    <row r="414">
      <c r="A414" s="10">
        <f>IF($E414="","",INDEX('Input Transaksi'!$A:$A,$E414))</f>
        <v/>
      </c>
      <c r="B414" s="5">
        <f>IF($E414="","",INDEX('Input Transaksi'!$D:$D,$E414))</f>
        <v/>
      </c>
      <c r="C414">
        <f>IF($E414="","",INDEX('Input Transaksi'!$E:$E,$E414))</f>
        <v/>
      </c>
      <c r="D414" s="5">
        <f>IF($E414="","",INDEX('Input Transaksi'!$F:$F,$E414))</f>
        <v/>
      </c>
      <c r="E414">
        <f>IFERROR(AGGREGATE(15,6,ROW('Input Transaksi'!$B$5:$B$5000)/('Input Transaksi'!$B$5:$B$5000="JCL MERPATI"),ROWS($E$5:E414)),"")</f>
        <v/>
      </c>
      <c r="F414" s="5" t="n"/>
    </row>
    <row r="415">
      <c r="A415" s="10">
        <f>IF($E415="","",INDEX('Input Transaksi'!$A:$A,$E415))</f>
        <v/>
      </c>
      <c r="B415" s="5">
        <f>IF($E415="","",INDEX('Input Transaksi'!$D:$D,$E415))</f>
        <v/>
      </c>
      <c r="C415">
        <f>IF($E415="","",INDEX('Input Transaksi'!$E:$E,$E415))</f>
        <v/>
      </c>
      <c r="D415" s="5">
        <f>IF($E415="","",INDEX('Input Transaksi'!$F:$F,$E415))</f>
        <v/>
      </c>
      <c r="E415">
        <f>IFERROR(AGGREGATE(15,6,ROW('Input Transaksi'!$B$5:$B$5000)/('Input Transaksi'!$B$5:$B$5000="JCL MERPATI"),ROWS($E$5:E415)),"")</f>
        <v/>
      </c>
      <c r="F415" s="5" t="n"/>
    </row>
    <row r="416">
      <c r="A416" s="10">
        <f>IF($E416="","",INDEX('Input Transaksi'!$A:$A,$E416))</f>
        <v/>
      </c>
      <c r="B416" s="5">
        <f>IF($E416="","",INDEX('Input Transaksi'!$D:$D,$E416))</f>
        <v/>
      </c>
      <c r="C416">
        <f>IF($E416="","",INDEX('Input Transaksi'!$E:$E,$E416))</f>
        <v/>
      </c>
      <c r="D416" s="5">
        <f>IF($E416="","",INDEX('Input Transaksi'!$F:$F,$E416))</f>
        <v/>
      </c>
      <c r="E416">
        <f>IFERROR(AGGREGATE(15,6,ROW('Input Transaksi'!$B$5:$B$5000)/('Input Transaksi'!$B$5:$B$5000="JCL MERPATI"),ROWS($E$5:E416)),"")</f>
        <v/>
      </c>
      <c r="F416" s="5" t="n"/>
    </row>
    <row r="417">
      <c r="A417" s="10">
        <f>IF($E417="","",INDEX('Input Transaksi'!$A:$A,$E417))</f>
        <v/>
      </c>
      <c r="B417" s="5">
        <f>IF($E417="","",INDEX('Input Transaksi'!$D:$D,$E417))</f>
        <v/>
      </c>
      <c r="C417">
        <f>IF($E417="","",INDEX('Input Transaksi'!$E:$E,$E417))</f>
        <v/>
      </c>
      <c r="D417" s="5">
        <f>IF($E417="","",INDEX('Input Transaksi'!$F:$F,$E417))</f>
        <v/>
      </c>
      <c r="E417">
        <f>IFERROR(AGGREGATE(15,6,ROW('Input Transaksi'!$B$5:$B$5000)/('Input Transaksi'!$B$5:$B$5000="JCL MERPATI"),ROWS($E$5:E417)),"")</f>
        <v/>
      </c>
      <c r="F417" s="5" t="n"/>
    </row>
    <row r="418">
      <c r="A418" s="10">
        <f>IF($E418="","",INDEX('Input Transaksi'!$A:$A,$E418))</f>
        <v/>
      </c>
      <c r="B418" s="5">
        <f>IF($E418="","",INDEX('Input Transaksi'!$D:$D,$E418))</f>
        <v/>
      </c>
      <c r="C418">
        <f>IF($E418="","",INDEX('Input Transaksi'!$E:$E,$E418))</f>
        <v/>
      </c>
      <c r="D418" s="5">
        <f>IF($E418="","",INDEX('Input Transaksi'!$F:$F,$E418))</f>
        <v/>
      </c>
      <c r="E418">
        <f>IFERROR(AGGREGATE(15,6,ROW('Input Transaksi'!$B$5:$B$5000)/('Input Transaksi'!$B$5:$B$5000="JCL MERPATI"),ROWS($E$5:E418)),"")</f>
        <v/>
      </c>
      <c r="F418" s="5" t="n"/>
    </row>
    <row r="419">
      <c r="A419" s="10">
        <f>IF($E419="","",INDEX('Input Transaksi'!$A:$A,$E419))</f>
        <v/>
      </c>
      <c r="B419" s="5">
        <f>IF($E419="","",INDEX('Input Transaksi'!$D:$D,$E419))</f>
        <v/>
      </c>
      <c r="C419">
        <f>IF($E419="","",INDEX('Input Transaksi'!$E:$E,$E419))</f>
        <v/>
      </c>
      <c r="D419" s="5">
        <f>IF($E419="","",INDEX('Input Transaksi'!$F:$F,$E419))</f>
        <v/>
      </c>
      <c r="E419">
        <f>IFERROR(AGGREGATE(15,6,ROW('Input Transaksi'!$B$5:$B$5000)/('Input Transaksi'!$B$5:$B$5000="JCL MERPATI"),ROWS($E$5:E419)),"")</f>
        <v/>
      </c>
      <c r="F419" s="5" t="n"/>
    </row>
    <row r="420">
      <c r="A420" s="10">
        <f>IF($E420="","",INDEX('Input Transaksi'!$A:$A,$E420))</f>
        <v/>
      </c>
      <c r="B420" s="5">
        <f>IF($E420="","",INDEX('Input Transaksi'!$D:$D,$E420))</f>
        <v/>
      </c>
      <c r="C420">
        <f>IF($E420="","",INDEX('Input Transaksi'!$E:$E,$E420))</f>
        <v/>
      </c>
      <c r="D420" s="5">
        <f>IF($E420="","",INDEX('Input Transaksi'!$F:$F,$E420))</f>
        <v/>
      </c>
      <c r="E420">
        <f>IFERROR(AGGREGATE(15,6,ROW('Input Transaksi'!$B$5:$B$5000)/('Input Transaksi'!$B$5:$B$5000="JCL MERPATI"),ROWS($E$5:E420)),"")</f>
        <v/>
      </c>
      <c r="F420" s="5" t="n"/>
    </row>
    <row r="421">
      <c r="A421" s="10">
        <f>IF($E421="","",INDEX('Input Transaksi'!$A:$A,$E421))</f>
        <v/>
      </c>
      <c r="B421" s="5">
        <f>IF($E421="","",INDEX('Input Transaksi'!$D:$D,$E421))</f>
        <v/>
      </c>
      <c r="C421">
        <f>IF($E421="","",INDEX('Input Transaksi'!$E:$E,$E421))</f>
        <v/>
      </c>
      <c r="D421" s="5">
        <f>IF($E421="","",INDEX('Input Transaksi'!$F:$F,$E421))</f>
        <v/>
      </c>
      <c r="E421">
        <f>IFERROR(AGGREGATE(15,6,ROW('Input Transaksi'!$B$5:$B$5000)/('Input Transaksi'!$B$5:$B$5000="JCL MERPATI"),ROWS($E$5:E421)),"")</f>
        <v/>
      </c>
      <c r="F421" s="5" t="n"/>
    </row>
    <row r="422">
      <c r="A422" s="10">
        <f>IF($E422="","",INDEX('Input Transaksi'!$A:$A,$E422))</f>
        <v/>
      </c>
      <c r="B422" s="5">
        <f>IF($E422="","",INDEX('Input Transaksi'!$D:$D,$E422))</f>
        <v/>
      </c>
      <c r="C422">
        <f>IF($E422="","",INDEX('Input Transaksi'!$E:$E,$E422))</f>
        <v/>
      </c>
      <c r="D422" s="5">
        <f>IF($E422="","",INDEX('Input Transaksi'!$F:$F,$E422))</f>
        <v/>
      </c>
      <c r="E422">
        <f>IFERROR(AGGREGATE(15,6,ROW('Input Transaksi'!$B$5:$B$5000)/('Input Transaksi'!$B$5:$B$5000="JCL MERPATI"),ROWS($E$5:E422)),"")</f>
        <v/>
      </c>
      <c r="F422" s="5" t="n"/>
    </row>
    <row r="423">
      <c r="A423" s="10">
        <f>IF($E423="","",INDEX('Input Transaksi'!$A:$A,$E423))</f>
        <v/>
      </c>
      <c r="B423" s="5">
        <f>IF($E423="","",INDEX('Input Transaksi'!$D:$D,$E423))</f>
        <v/>
      </c>
      <c r="C423">
        <f>IF($E423="","",INDEX('Input Transaksi'!$E:$E,$E423))</f>
        <v/>
      </c>
      <c r="D423" s="5">
        <f>IF($E423="","",INDEX('Input Transaksi'!$F:$F,$E423))</f>
        <v/>
      </c>
      <c r="E423">
        <f>IFERROR(AGGREGATE(15,6,ROW('Input Transaksi'!$B$5:$B$5000)/('Input Transaksi'!$B$5:$B$5000="JCL MERPATI"),ROWS($E$5:E423)),"")</f>
        <v/>
      </c>
      <c r="F423" s="5" t="n"/>
    </row>
    <row r="424">
      <c r="A424" s="10">
        <f>IF($E424="","",INDEX('Input Transaksi'!$A:$A,$E424))</f>
        <v/>
      </c>
      <c r="B424" s="5">
        <f>IF($E424="","",INDEX('Input Transaksi'!$D:$D,$E424))</f>
        <v/>
      </c>
      <c r="C424">
        <f>IF($E424="","",INDEX('Input Transaksi'!$E:$E,$E424))</f>
        <v/>
      </c>
      <c r="D424" s="5">
        <f>IF($E424="","",INDEX('Input Transaksi'!$F:$F,$E424))</f>
        <v/>
      </c>
      <c r="E424">
        <f>IFERROR(AGGREGATE(15,6,ROW('Input Transaksi'!$B$5:$B$5000)/('Input Transaksi'!$B$5:$B$5000="JCL MERPATI"),ROWS($E$5:E424)),"")</f>
        <v/>
      </c>
      <c r="F424" s="5" t="n"/>
    </row>
    <row r="425">
      <c r="A425" s="10">
        <f>IF($E425="","",INDEX('Input Transaksi'!$A:$A,$E425))</f>
        <v/>
      </c>
      <c r="B425" s="5">
        <f>IF($E425="","",INDEX('Input Transaksi'!$D:$D,$E425))</f>
        <v/>
      </c>
      <c r="C425">
        <f>IF($E425="","",INDEX('Input Transaksi'!$E:$E,$E425))</f>
        <v/>
      </c>
      <c r="D425" s="5">
        <f>IF($E425="","",INDEX('Input Transaksi'!$F:$F,$E425))</f>
        <v/>
      </c>
      <c r="E425">
        <f>IFERROR(AGGREGATE(15,6,ROW('Input Transaksi'!$B$5:$B$5000)/('Input Transaksi'!$B$5:$B$5000="JCL MERPATI"),ROWS($E$5:E425)),"")</f>
        <v/>
      </c>
      <c r="F425" s="5" t="n"/>
    </row>
    <row r="426">
      <c r="A426" s="10">
        <f>IF($E426="","",INDEX('Input Transaksi'!$A:$A,$E426))</f>
        <v/>
      </c>
      <c r="B426" s="5">
        <f>IF($E426="","",INDEX('Input Transaksi'!$D:$D,$E426))</f>
        <v/>
      </c>
      <c r="C426">
        <f>IF($E426="","",INDEX('Input Transaksi'!$E:$E,$E426))</f>
        <v/>
      </c>
      <c r="D426" s="5">
        <f>IF($E426="","",INDEX('Input Transaksi'!$F:$F,$E426))</f>
        <v/>
      </c>
      <c r="E426">
        <f>IFERROR(AGGREGATE(15,6,ROW('Input Transaksi'!$B$5:$B$5000)/('Input Transaksi'!$B$5:$B$5000="JCL MERPATI"),ROWS($E$5:E426)),"")</f>
        <v/>
      </c>
      <c r="F426" s="5" t="n"/>
    </row>
    <row r="427">
      <c r="A427" s="10">
        <f>IF($E427="","",INDEX('Input Transaksi'!$A:$A,$E427))</f>
        <v/>
      </c>
      <c r="B427" s="5">
        <f>IF($E427="","",INDEX('Input Transaksi'!$D:$D,$E427))</f>
        <v/>
      </c>
      <c r="C427">
        <f>IF($E427="","",INDEX('Input Transaksi'!$E:$E,$E427))</f>
        <v/>
      </c>
      <c r="D427" s="5">
        <f>IF($E427="","",INDEX('Input Transaksi'!$F:$F,$E427))</f>
        <v/>
      </c>
      <c r="E427">
        <f>IFERROR(AGGREGATE(15,6,ROW('Input Transaksi'!$B$5:$B$5000)/('Input Transaksi'!$B$5:$B$5000="JCL MERPATI"),ROWS($E$5:E427)),"")</f>
        <v/>
      </c>
      <c r="F427" s="5" t="n"/>
    </row>
    <row r="428">
      <c r="A428" s="10">
        <f>IF($E428="","",INDEX('Input Transaksi'!$A:$A,$E428))</f>
        <v/>
      </c>
      <c r="B428" s="5">
        <f>IF($E428="","",INDEX('Input Transaksi'!$D:$D,$E428))</f>
        <v/>
      </c>
      <c r="C428">
        <f>IF($E428="","",INDEX('Input Transaksi'!$E:$E,$E428))</f>
        <v/>
      </c>
      <c r="D428" s="5">
        <f>IF($E428="","",INDEX('Input Transaksi'!$F:$F,$E428))</f>
        <v/>
      </c>
      <c r="E428">
        <f>IFERROR(AGGREGATE(15,6,ROW('Input Transaksi'!$B$5:$B$5000)/('Input Transaksi'!$B$5:$B$5000="JCL MERPATI"),ROWS($E$5:E428)),"")</f>
        <v/>
      </c>
      <c r="F428" s="5" t="n"/>
    </row>
    <row r="429">
      <c r="A429" s="10">
        <f>IF($E429="","",INDEX('Input Transaksi'!$A:$A,$E429))</f>
        <v/>
      </c>
      <c r="B429" s="5">
        <f>IF($E429="","",INDEX('Input Transaksi'!$D:$D,$E429))</f>
        <v/>
      </c>
      <c r="C429">
        <f>IF($E429="","",INDEX('Input Transaksi'!$E:$E,$E429))</f>
        <v/>
      </c>
      <c r="D429" s="5">
        <f>IF($E429="","",INDEX('Input Transaksi'!$F:$F,$E429))</f>
        <v/>
      </c>
      <c r="E429">
        <f>IFERROR(AGGREGATE(15,6,ROW('Input Transaksi'!$B$5:$B$5000)/('Input Transaksi'!$B$5:$B$5000="JCL MERPATI"),ROWS($E$5:E429)),"")</f>
        <v/>
      </c>
      <c r="F429" s="5" t="n"/>
    </row>
    <row r="430">
      <c r="A430" s="10">
        <f>IF($E430="","",INDEX('Input Transaksi'!$A:$A,$E430))</f>
        <v/>
      </c>
      <c r="B430" s="5">
        <f>IF($E430="","",INDEX('Input Transaksi'!$D:$D,$E430))</f>
        <v/>
      </c>
      <c r="C430">
        <f>IF($E430="","",INDEX('Input Transaksi'!$E:$E,$E430))</f>
        <v/>
      </c>
      <c r="D430" s="5">
        <f>IF($E430="","",INDEX('Input Transaksi'!$F:$F,$E430))</f>
        <v/>
      </c>
      <c r="E430">
        <f>IFERROR(AGGREGATE(15,6,ROW('Input Transaksi'!$B$5:$B$5000)/('Input Transaksi'!$B$5:$B$5000="JCL MERPATI"),ROWS($E$5:E430)),"")</f>
        <v/>
      </c>
      <c r="F430" s="5" t="n"/>
    </row>
    <row r="431">
      <c r="A431" s="10">
        <f>IF($E431="","",INDEX('Input Transaksi'!$A:$A,$E431))</f>
        <v/>
      </c>
      <c r="B431" s="5">
        <f>IF($E431="","",INDEX('Input Transaksi'!$D:$D,$E431))</f>
        <v/>
      </c>
      <c r="C431">
        <f>IF($E431="","",INDEX('Input Transaksi'!$E:$E,$E431))</f>
        <v/>
      </c>
      <c r="D431" s="5">
        <f>IF($E431="","",INDEX('Input Transaksi'!$F:$F,$E431))</f>
        <v/>
      </c>
      <c r="E431">
        <f>IFERROR(AGGREGATE(15,6,ROW('Input Transaksi'!$B$5:$B$5000)/('Input Transaksi'!$B$5:$B$5000="JCL MERPATI"),ROWS($E$5:E431)),"")</f>
        <v/>
      </c>
      <c r="F431" s="5" t="n"/>
    </row>
    <row r="432">
      <c r="A432" s="10">
        <f>IF($E432="","",INDEX('Input Transaksi'!$A:$A,$E432))</f>
        <v/>
      </c>
      <c r="B432" s="5">
        <f>IF($E432="","",INDEX('Input Transaksi'!$D:$D,$E432))</f>
        <v/>
      </c>
      <c r="C432">
        <f>IF($E432="","",INDEX('Input Transaksi'!$E:$E,$E432))</f>
        <v/>
      </c>
      <c r="D432" s="5">
        <f>IF($E432="","",INDEX('Input Transaksi'!$F:$F,$E432))</f>
        <v/>
      </c>
      <c r="E432">
        <f>IFERROR(AGGREGATE(15,6,ROW('Input Transaksi'!$B$5:$B$5000)/('Input Transaksi'!$B$5:$B$5000="JCL MERPATI"),ROWS($E$5:E432)),"")</f>
        <v/>
      </c>
      <c r="F432" s="5" t="n"/>
    </row>
    <row r="433">
      <c r="A433" s="10">
        <f>IF($E433="","",INDEX('Input Transaksi'!$A:$A,$E433))</f>
        <v/>
      </c>
      <c r="B433" s="5">
        <f>IF($E433="","",INDEX('Input Transaksi'!$D:$D,$E433))</f>
        <v/>
      </c>
      <c r="C433">
        <f>IF($E433="","",INDEX('Input Transaksi'!$E:$E,$E433))</f>
        <v/>
      </c>
      <c r="D433" s="5">
        <f>IF($E433="","",INDEX('Input Transaksi'!$F:$F,$E433))</f>
        <v/>
      </c>
      <c r="E433">
        <f>IFERROR(AGGREGATE(15,6,ROW('Input Transaksi'!$B$5:$B$5000)/('Input Transaksi'!$B$5:$B$5000="JCL MERPATI"),ROWS($E$5:E433)),"")</f>
        <v/>
      </c>
      <c r="F433" s="5" t="n"/>
    </row>
    <row r="434">
      <c r="A434" s="10">
        <f>IF($E434="","",INDEX('Input Transaksi'!$A:$A,$E434))</f>
        <v/>
      </c>
      <c r="B434" s="5">
        <f>IF($E434="","",INDEX('Input Transaksi'!$D:$D,$E434))</f>
        <v/>
      </c>
      <c r="C434">
        <f>IF($E434="","",INDEX('Input Transaksi'!$E:$E,$E434))</f>
        <v/>
      </c>
      <c r="D434" s="5">
        <f>IF($E434="","",INDEX('Input Transaksi'!$F:$F,$E434))</f>
        <v/>
      </c>
      <c r="E434">
        <f>IFERROR(AGGREGATE(15,6,ROW('Input Transaksi'!$B$5:$B$5000)/('Input Transaksi'!$B$5:$B$5000="JCL MERPATI"),ROWS($E$5:E434)),"")</f>
        <v/>
      </c>
      <c r="F434" s="5" t="n"/>
    </row>
    <row r="435">
      <c r="A435" s="10">
        <f>IF($E435="","",INDEX('Input Transaksi'!$A:$A,$E435))</f>
        <v/>
      </c>
      <c r="B435" s="5">
        <f>IF($E435="","",INDEX('Input Transaksi'!$D:$D,$E435))</f>
        <v/>
      </c>
      <c r="C435">
        <f>IF($E435="","",INDEX('Input Transaksi'!$E:$E,$E435))</f>
        <v/>
      </c>
      <c r="D435" s="5">
        <f>IF($E435="","",INDEX('Input Transaksi'!$F:$F,$E435))</f>
        <v/>
      </c>
      <c r="E435">
        <f>IFERROR(AGGREGATE(15,6,ROW('Input Transaksi'!$B$5:$B$5000)/('Input Transaksi'!$B$5:$B$5000="JCL MERPATI"),ROWS($E$5:E435)),"")</f>
        <v/>
      </c>
      <c r="F435" s="5" t="n"/>
    </row>
    <row r="436">
      <c r="A436" s="10">
        <f>IF($E436="","",INDEX('Input Transaksi'!$A:$A,$E436))</f>
        <v/>
      </c>
      <c r="B436" s="5">
        <f>IF($E436="","",INDEX('Input Transaksi'!$D:$D,$E436))</f>
        <v/>
      </c>
      <c r="C436">
        <f>IF($E436="","",INDEX('Input Transaksi'!$E:$E,$E436))</f>
        <v/>
      </c>
      <c r="D436" s="5">
        <f>IF($E436="","",INDEX('Input Transaksi'!$F:$F,$E436))</f>
        <v/>
      </c>
      <c r="E436">
        <f>IFERROR(AGGREGATE(15,6,ROW('Input Transaksi'!$B$5:$B$5000)/('Input Transaksi'!$B$5:$B$5000="JCL MERPATI"),ROWS($E$5:E436)),"")</f>
        <v/>
      </c>
      <c r="F436" s="5" t="n"/>
    </row>
    <row r="437">
      <c r="A437" s="10">
        <f>IF($E437="","",INDEX('Input Transaksi'!$A:$A,$E437))</f>
        <v/>
      </c>
      <c r="B437" s="5">
        <f>IF($E437="","",INDEX('Input Transaksi'!$D:$D,$E437))</f>
        <v/>
      </c>
      <c r="C437">
        <f>IF($E437="","",INDEX('Input Transaksi'!$E:$E,$E437))</f>
        <v/>
      </c>
      <c r="D437" s="5">
        <f>IF($E437="","",INDEX('Input Transaksi'!$F:$F,$E437))</f>
        <v/>
      </c>
      <c r="E437">
        <f>IFERROR(AGGREGATE(15,6,ROW('Input Transaksi'!$B$5:$B$5000)/('Input Transaksi'!$B$5:$B$5000="JCL MERPATI"),ROWS($E$5:E437)),"")</f>
        <v/>
      </c>
      <c r="F437" s="5" t="n"/>
    </row>
    <row r="438">
      <c r="A438" s="10">
        <f>IF($E438="","",INDEX('Input Transaksi'!$A:$A,$E438))</f>
        <v/>
      </c>
      <c r="B438" s="5">
        <f>IF($E438="","",INDEX('Input Transaksi'!$D:$D,$E438))</f>
        <v/>
      </c>
      <c r="C438">
        <f>IF($E438="","",INDEX('Input Transaksi'!$E:$E,$E438))</f>
        <v/>
      </c>
      <c r="D438" s="5">
        <f>IF($E438="","",INDEX('Input Transaksi'!$F:$F,$E438))</f>
        <v/>
      </c>
      <c r="E438">
        <f>IFERROR(AGGREGATE(15,6,ROW('Input Transaksi'!$B$5:$B$5000)/('Input Transaksi'!$B$5:$B$5000="JCL MERPATI"),ROWS($E$5:E438)),"")</f>
        <v/>
      </c>
      <c r="F438" s="5" t="n"/>
    </row>
    <row r="439">
      <c r="A439" s="10">
        <f>IF($E439="","",INDEX('Input Transaksi'!$A:$A,$E439))</f>
        <v/>
      </c>
      <c r="B439" s="5">
        <f>IF($E439="","",INDEX('Input Transaksi'!$D:$D,$E439))</f>
        <v/>
      </c>
      <c r="C439">
        <f>IF($E439="","",INDEX('Input Transaksi'!$E:$E,$E439))</f>
        <v/>
      </c>
      <c r="D439" s="5">
        <f>IF($E439="","",INDEX('Input Transaksi'!$F:$F,$E439))</f>
        <v/>
      </c>
      <c r="E439">
        <f>IFERROR(AGGREGATE(15,6,ROW('Input Transaksi'!$B$5:$B$5000)/('Input Transaksi'!$B$5:$B$5000="JCL MERPATI"),ROWS($E$5:E439)),"")</f>
        <v/>
      </c>
      <c r="F439" s="5" t="n"/>
    </row>
    <row r="440">
      <c r="A440" s="10">
        <f>IF($E440="","",INDEX('Input Transaksi'!$A:$A,$E440))</f>
        <v/>
      </c>
      <c r="B440" s="5">
        <f>IF($E440="","",INDEX('Input Transaksi'!$D:$D,$E440))</f>
        <v/>
      </c>
      <c r="C440">
        <f>IF($E440="","",INDEX('Input Transaksi'!$E:$E,$E440))</f>
        <v/>
      </c>
      <c r="D440" s="5">
        <f>IF($E440="","",INDEX('Input Transaksi'!$F:$F,$E440))</f>
        <v/>
      </c>
      <c r="E440">
        <f>IFERROR(AGGREGATE(15,6,ROW('Input Transaksi'!$B$5:$B$5000)/('Input Transaksi'!$B$5:$B$5000="JCL MERPATI"),ROWS($E$5:E440)),"")</f>
        <v/>
      </c>
      <c r="F440" s="5" t="n"/>
    </row>
    <row r="441">
      <c r="A441" s="10">
        <f>IF($E441="","",INDEX('Input Transaksi'!$A:$A,$E441))</f>
        <v/>
      </c>
      <c r="B441" s="5">
        <f>IF($E441="","",INDEX('Input Transaksi'!$D:$D,$E441))</f>
        <v/>
      </c>
      <c r="C441">
        <f>IF($E441="","",INDEX('Input Transaksi'!$E:$E,$E441))</f>
        <v/>
      </c>
      <c r="D441" s="5">
        <f>IF($E441="","",INDEX('Input Transaksi'!$F:$F,$E441))</f>
        <v/>
      </c>
      <c r="E441">
        <f>IFERROR(AGGREGATE(15,6,ROW('Input Transaksi'!$B$5:$B$5000)/('Input Transaksi'!$B$5:$B$5000="JCL MERPATI"),ROWS($E$5:E441)),"")</f>
        <v/>
      </c>
      <c r="F441" s="5" t="n"/>
    </row>
    <row r="442">
      <c r="A442" s="10">
        <f>IF($E442="","",INDEX('Input Transaksi'!$A:$A,$E442))</f>
        <v/>
      </c>
      <c r="B442" s="5">
        <f>IF($E442="","",INDEX('Input Transaksi'!$D:$D,$E442))</f>
        <v/>
      </c>
      <c r="C442">
        <f>IF($E442="","",INDEX('Input Transaksi'!$E:$E,$E442))</f>
        <v/>
      </c>
      <c r="D442" s="5">
        <f>IF($E442="","",INDEX('Input Transaksi'!$F:$F,$E442))</f>
        <v/>
      </c>
      <c r="E442">
        <f>IFERROR(AGGREGATE(15,6,ROW('Input Transaksi'!$B$5:$B$5000)/('Input Transaksi'!$B$5:$B$5000="JCL MERPATI"),ROWS($E$5:E442)),"")</f>
        <v/>
      </c>
      <c r="F442" s="5" t="n"/>
    </row>
    <row r="443">
      <c r="A443" s="10">
        <f>IF($E443="","",INDEX('Input Transaksi'!$A:$A,$E443))</f>
        <v/>
      </c>
      <c r="B443" s="5">
        <f>IF($E443="","",INDEX('Input Transaksi'!$D:$D,$E443))</f>
        <v/>
      </c>
      <c r="C443">
        <f>IF($E443="","",INDEX('Input Transaksi'!$E:$E,$E443))</f>
        <v/>
      </c>
      <c r="D443" s="5">
        <f>IF($E443="","",INDEX('Input Transaksi'!$F:$F,$E443))</f>
        <v/>
      </c>
      <c r="E443">
        <f>IFERROR(AGGREGATE(15,6,ROW('Input Transaksi'!$B$5:$B$5000)/('Input Transaksi'!$B$5:$B$5000="JCL MERPATI"),ROWS($E$5:E443)),"")</f>
        <v/>
      </c>
      <c r="F443" s="5" t="n"/>
    </row>
    <row r="444">
      <c r="A444" s="10">
        <f>IF($E444="","",INDEX('Input Transaksi'!$A:$A,$E444))</f>
        <v/>
      </c>
      <c r="B444" s="5">
        <f>IF($E444="","",INDEX('Input Transaksi'!$D:$D,$E444))</f>
        <v/>
      </c>
      <c r="C444">
        <f>IF($E444="","",INDEX('Input Transaksi'!$E:$E,$E444))</f>
        <v/>
      </c>
      <c r="D444" s="5">
        <f>IF($E444="","",INDEX('Input Transaksi'!$F:$F,$E444))</f>
        <v/>
      </c>
      <c r="E444">
        <f>IFERROR(AGGREGATE(15,6,ROW('Input Transaksi'!$B$5:$B$5000)/('Input Transaksi'!$B$5:$B$5000="JCL MERPATI"),ROWS($E$5:E444)),"")</f>
        <v/>
      </c>
      <c r="F444" s="5" t="n"/>
    </row>
    <row r="445">
      <c r="A445" s="10">
        <f>IF($E445="","",INDEX('Input Transaksi'!$A:$A,$E445))</f>
        <v/>
      </c>
      <c r="B445" s="5">
        <f>IF($E445="","",INDEX('Input Transaksi'!$D:$D,$E445))</f>
        <v/>
      </c>
      <c r="C445">
        <f>IF($E445="","",INDEX('Input Transaksi'!$E:$E,$E445))</f>
        <v/>
      </c>
      <c r="D445" s="5">
        <f>IF($E445="","",INDEX('Input Transaksi'!$F:$F,$E445))</f>
        <v/>
      </c>
      <c r="E445">
        <f>IFERROR(AGGREGATE(15,6,ROW('Input Transaksi'!$B$5:$B$5000)/('Input Transaksi'!$B$5:$B$5000="JCL MERPATI"),ROWS($E$5:E445)),"")</f>
        <v/>
      </c>
      <c r="F445" s="5" t="n"/>
    </row>
    <row r="446">
      <c r="A446" s="10">
        <f>IF($E446="","",INDEX('Input Transaksi'!$A:$A,$E446))</f>
        <v/>
      </c>
      <c r="B446" s="5">
        <f>IF($E446="","",INDEX('Input Transaksi'!$D:$D,$E446))</f>
        <v/>
      </c>
      <c r="C446">
        <f>IF($E446="","",INDEX('Input Transaksi'!$E:$E,$E446))</f>
        <v/>
      </c>
      <c r="D446" s="5">
        <f>IF($E446="","",INDEX('Input Transaksi'!$F:$F,$E446))</f>
        <v/>
      </c>
      <c r="E446">
        <f>IFERROR(AGGREGATE(15,6,ROW('Input Transaksi'!$B$5:$B$5000)/('Input Transaksi'!$B$5:$B$5000="JCL MERPATI"),ROWS($E$5:E446)),"")</f>
        <v/>
      </c>
      <c r="F446" s="5" t="n"/>
    </row>
    <row r="447">
      <c r="A447" s="10">
        <f>IF($E447="","",INDEX('Input Transaksi'!$A:$A,$E447))</f>
        <v/>
      </c>
      <c r="B447" s="5">
        <f>IF($E447="","",INDEX('Input Transaksi'!$D:$D,$E447))</f>
        <v/>
      </c>
      <c r="C447">
        <f>IF($E447="","",INDEX('Input Transaksi'!$E:$E,$E447))</f>
        <v/>
      </c>
      <c r="D447" s="5">
        <f>IF($E447="","",INDEX('Input Transaksi'!$F:$F,$E447))</f>
        <v/>
      </c>
      <c r="E447">
        <f>IFERROR(AGGREGATE(15,6,ROW('Input Transaksi'!$B$5:$B$5000)/('Input Transaksi'!$B$5:$B$5000="JCL MERPATI"),ROWS($E$5:E447)),"")</f>
        <v/>
      </c>
      <c r="F447" s="5" t="n"/>
    </row>
    <row r="448">
      <c r="A448" s="10">
        <f>IF($E448="","",INDEX('Input Transaksi'!$A:$A,$E448))</f>
        <v/>
      </c>
      <c r="B448" s="5">
        <f>IF($E448="","",INDEX('Input Transaksi'!$D:$D,$E448))</f>
        <v/>
      </c>
      <c r="C448">
        <f>IF($E448="","",INDEX('Input Transaksi'!$E:$E,$E448))</f>
        <v/>
      </c>
      <c r="D448" s="5">
        <f>IF($E448="","",INDEX('Input Transaksi'!$F:$F,$E448))</f>
        <v/>
      </c>
      <c r="E448">
        <f>IFERROR(AGGREGATE(15,6,ROW('Input Transaksi'!$B$5:$B$5000)/('Input Transaksi'!$B$5:$B$5000="JCL MERPATI"),ROWS($E$5:E448)),"")</f>
        <v/>
      </c>
      <c r="F448" s="5" t="n"/>
    </row>
    <row r="449">
      <c r="A449" s="10">
        <f>IF($E449="","",INDEX('Input Transaksi'!$A:$A,$E449))</f>
        <v/>
      </c>
      <c r="B449" s="5">
        <f>IF($E449="","",INDEX('Input Transaksi'!$D:$D,$E449))</f>
        <v/>
      </c>
      <c r="C449">
        <f>IF($E449="","",INDEX('Input Transaksi'!$E:$E,$E449))</f>
        <v/>
      </c>
      <c r="D449" s="5">
        <f>IF($E449="","",INDEX('Input Transaksi'!$F:$F,$E449))</f>
        <v/>
      </c>
      <c r="E449">
        <f>IFERROR(AGGREGATE(15,6,ROW('Input Transaksi'!$B$5:$B$5000)/('Input Transaksi'!$B$5:$B$5000="JCL MERPATI"),ROWS($E$5:E449)),"")</f>
        <v/>
      </c>
      <c r="F449" s="5" t="n"/>
    </row>
    <row r="450">
      <c r="A450" s="10">
        <f>IF($E450="","",INDEX('Input Transaksi'!$A:$A,$E450))</f>
        <v/>
      </c>
      <c r="B450" s="5">
        <f>IF($E450="","",INDEX('Input Transaksi'!$D:$D,$E450))</f>
        <v/>
      </c>
      <c r="C450">
        <f>IF($E450="","",INDEX('Input Transaksi'!$E:$E,$E450))</f>
        <v/>
      </c>
      <c r="D450" s="5">
        <f>IF($E450="","",INDEX('Input Transaksi'!$F:$F,$E450))</f>
        <v/>
      </c>
      <c r="E450">
        <f>IFERROR(AGGREGATE(15,6,ROW('Input Transaksi'!$B$5:$B$5000)/('Input Transaksi'!$B$5:$B$5000="JCL MERPATI"),ROWS($E$5:E450)),"")</f>
        <v/>
      </c>
      <c r="F450" s="5" t="n"/>
    </row>
    <row r="451">
      <c r="A451" s="10">
        <f>IF($E451="","",INDEX('Input Transaksi'!$A:$A,$E451))</f>
        <v/>
      </c>
      <c r="B451" s="5">
        <f>IF($E451="","",INDEX('Input Transaksi'!$D:$D,$E451))</f>
        <v/>
      </c>
      <c r="C451">
        <f>IF($E451="","",INDEX('Input Transaksi'!$E:$E,$E451))</f>
        <v/>
      </c>
      <c r="D451" s="5">
        <f>IF($E451="","",INDEX('Input Transaksi'!$F:$F,$E451))</f>
        <v/>
      </c>
      <c r="E451">
        <f>IFERROR(AGGREGATE(15,6,ROW('Input Transaksi'!$B$5:$B$5000)/('Input Transaksi'!$B$5:$B$5000="JCL MERPATI"),ROWS($E$5:E451)),"")</f>
        <v/>
      </c>
      <c r="F451" s="5" t="n"/>
    </row>
    <row r="452">
      <c r="A452" s="10">
        <f>IF($E452="","",INDEX('Input Transaksi'!$A:$A,$E452))</f>
        <v/>
      </c>
      <c r="B452" s="5">
        <f>IF($E452="","",INDEX('Input Transaksi'!$D:$D,$E452))</f>
        <v/>
      </c>
      <c r="C452">
        <f>IF($E452="","",INDEX('Input Transaksi'!$E:$E,$E452))</f>
        <v/>
      </c>
      <c r="D452" s="5">
        <f>IF($E452="","",INDEX('Input Transaksi'!$F:$F,$E452))</f>
        <v/>
      </c>
      <c r="E452">
        <f>IFERROR(AGGREGATE(15,6,ROW('Input Transaksi'!$B$5:$B$5000)/('Input Transaksi'!$B$5:$B$5000="JCL MERPATI"),ROWS($E$5:E452)),"")</f>
        <v/>
      </c>
      <c r="F452" s="5" t="n"/>
    </row>
    <row r="453">
      <c r="A453" s="10">
        <f>IF($E453="","",INDEX('Input Transaksi'!$A:$A,$E453))</f>
        <v/>
      </c>
      <c r="B453" s="5">
        <f>IF($E453="","",INDEX('Input Transaksi'!$D:$D,$E453))</f>
        <v/>
      </c>
      <c r="C453">
        <f>IF($E453="","",INDEX('Input Transaksi'!$E:$E,$E453))</f>
        <v/>
      </c>
      <c r="D453" s="5">
        <f>IF($E453="","",INDEX('Input Transaksi'!$F:$F,$E453))</f>
        <v/>
      </c>
      <c r="E453">
        <f>IFERROR(AGGREGATE(15,6,ROW('Input Transaksi'!$B$5:$B$5000)/('Input Transaksi'!$B$5:$B$5000="JCL MERPATI"),ROWS($E$5:E453)),"")</f>
        <v/>
      </c>
      <c r="F453" s="5" t="n"/>
    </row>
    <row r="454">
      <c r="A454" s="10">
        <f>IF($E454="","",INDEX('Input Transaksi'!$A:$A,$E454))</f>
        <v/>
      </c>
      <c r="B454" s="5">
        <f>IF($E454="","",INDEX('Input Transaksi'!$D:$D,$E454))</f>
        <v/>
      </c>
      <c r="C454">
        <f>IF($E454="","",INDEX('Input Transaksi'!$E:$E,$E454))</f>
        <v/>
      </c>
      <c r="D454" s="5">
        <f>IF($E454="","",INDEX('Input Transaksi'!$F:$F,$E454))</f>
        <v/>
      </c>
      <c r="E454">
        <f>IFERROR(AGGREGATE(15,6,ROW('Input Transaksi'!$B$5:$B$5000)/('Input Transaksi'!$B$5:$B$5000="JCL MERPATI"),ROWS($E$5:E454)),"")</f>
        <v/>
      </c>
      <c r="F454" s="5" t="n"/>
    </row>
    <row r="455">
      <c r="A455" s="10">
        <f>IF($E455="","",INDEX('Input Transaksi'!$A:$A,$E455))</f>
        <v/>
      </c>
      <c r="B455" s="5">
        <f>IF($E455="","",INDEX('Input Transaksi'!$D:$D,$E455))</f>
        <v/>
      </c>
      <c r="C455">
        <f>IF($E455="","",INDEX('Input Transaksi'!$E:$E,$E455))</f>
        <v/>
      </c>
      <c r="D455" s="5">
        <f>IF($E455="","",INDEX('Input Transaksi'!$F:$F,$E455))</f>
        <v/>
      </c>
      <c r="E455">
        <f>IFERROR(AGGREGATE(15,6,ROW('Input Transaksi'!$B$5:$B$5000)/('Input Transaksi'!$B$5:$B$5000="JCL MERPATI"),ROWS($E$5:E455)),"")</f>
        <v/>
      </c>
      <c r="F455" s="5" t="n"/>
    </row>
    <row r="456">
      <c r="A456" s="10">
        <f>IF($E456="","",INDEX('Input Transaksi'!$A:$A,$E456))</f>
        <v/>
      </c>
      <c r="B456" s="5">
        <f>IF($E456="","",INDEX('Input Transaksi'!$D:$D,$E456))</f>
        <v/>
      </c>
      <c r="C456">
        <f>IF($E456="","",INDEX('Input Transaksi'!$E:$E,$E456))</f>
        <v/>
      </c>
      <c r="D456" s="5">
        <f>IF($E456="","",INDEX('Input Transaksi'!$F:$F,$E456))</f>
        <v/>
      </c>
      <c r="E456">
        <f>IFERROR(AGGREGATE(15,6,ROW('Input Transaksi'!$B$5:$B$5000)/('Input Transaksi'!$B$5:$B$5000="JCL MERPATI"),ROWS($E$5:E456)),"")</f>
        <v/>
      </c>
      <c r="F456" s="5" t="n"/>
    </row>
    <row r="457">
      <c r="A457" s="10">
        <f>IF($E457="","",INDEX('Input Transaksi'!$A:$A,$E457))</f>
        <v/>
      </c>
      <c r="B457" s="5">
        <f>IF($E457="","",INDEX('Input Transaksi'!$D:$D,$E457))</f>
        <v/>
      </c>
      <c r="C457">
        <f>IF($E457="","",INDEX('Input Transaksi'!$E:$E,$E457))</f>
        <v/>
      </c>
      <c r="D457" s="5">
        <f>IF($E457="","",INDEX('Input Transaksi'!$F:$F,$E457))</f>
        <v/>
      </c>
      <c r="E457">
        <f>IFERROR(AGGREGATE(15,6,ROW('Input Transaksi'!$B$5:$B$5000)/('Input Transaksi'!$B$5:$B$5000="JCL MERPATI"),ROWS($E$5:E457)),"")</f>
        <v/>
      </c>
      <c r="F457" s="5" t="n"/>
    </row>
    <row r="458">
      <c r="A458" s="10">
        <f>IF($E458="","",INDEX('Input Transaksi'!$A:$A,$E458))</f>
        <v/>
      </c>
      <c r="B458" s="5">
        <f>IF($E458="","",INDEX('Input Transaksi'!$D:$D,$E458))</f>
        <v/>
      </c>
      <c r="C458">
        <f>IF($E458="","",INDEX('Input Transaksi'!$E:$E,$E458))</f>
        <v/>
      </c>
      <c r="D458" s="5">
        <f>IF($E458="","",INDEX('Input Transaksi'!$F:$F,$E458))</f>
        <v/>
      </c>
      <c r="E458">
        <f>IFERROR(AGGREGATE(15,6,ROW('Input Transaksi'!$B$5:$B$5000)/('Input Transaksi'!$B$5:$B$5000="JCL MERPATI"),ROWS($E$5:E458)),"")</f>
        <v/>
      </c>
      <c r="F458" s="5" t="n"/>
    </row>
    <row r="459">
      <c r="A459" s="10">
        <f>IF($E459="","",INDEX('Input Transaksi'!$A:$A,$E459))</f>
        <v/>
      </c>
      <c r="B459" s="5">
        <f>IF($E459="","",INDEX('Input Transaksi'!$D:$D,$E459))</f>
        <v/>
      </c>
      <c r="C459">
        <f>IF($E459="","",INDEX('Input Transaksi'!$E:$E,$E459))</f>
        <v/>
      </c>
      <c r="D459" s="5">
        <f>IF($E459="","",INDEX('Input Transaksi'!$F:$F,$E459))</f>
        <v/>
      </c>
      <c r="E459">
        <f>IFERROR(AGGREGATE(15,6,ROW('Input Transaksi'!$B$5:$B$5000)/('Input Transaksi'!$B$5:$B$5000="JCL MERPATI"),ROWS($E$5:E459)),"")</f>
        <v/>
      </c>
      <c r="F459" s="5" t="n"/>
    </row>
    <row r="460">
      <c r="A460" s="10">
        <f>IF($E460="","",INDEX('Input Transaksi'!$A:$A,$E460))</f>
        <v/>
      </c>
      <c r="B460" s="5">
        <f>IF($E460="","",INDEX('Input Transaksi'!$D:$D,$E460))</f>
        <v/>
      </c>
      <c r="C460">
        <f>IF($E460="","",INDEX('Input Transaksi'!$E:$E,$E460))</f>
        <v/>
      </c>
      <c r="D460" s="5">
        <f>IF($E460="","",INDEX('Input Transaksi'!$F:$F,$E460))</f>
        <v/>
      </c>
      <c r="E460">
        <f>IFERROR(AGGREGATE(15,6,ROW('Input Transaksi'!$B$5:$B$5000)/('Input Transaksi'!$B$5:$B$5000="JCL MERPATI"),ROWS($E$5:E460)),"")</f>
        <v/>
      </c>
      <c r="F460" s="5" t="n"/>
    </row>
    <row r="461">
      <c r="A461" s="10">
        <f>IF($E461="","",INDEX('Input Transaksi'!$A:$A,$E461))</f>
        <v/>
      </c>
      <c r="B461" s="5">
        <f>IF($E461="","",INDEX('Input Transaksi'!$D:$D,$E461))</f>
        <v/>
      </c>
      <c r="C461">
        <f>IF($E461="","",INDEX('Input Transaksi'!$E:$E,$E461))</f>
        <v/>
      </c>
      <c r="D461" s="5">
        <f>IF($E461="","",INDEX('Input Transaksi'!$F:$F,$E461))</f>
        <v/>
      </c>
      <c r="E461">
        <f>IFERROR(AGGREGATE(15,6,ROW('Input Transaksi'!$B$5:$B$5000)/('Input Transaksi'!$B$5:$B$5000="JCL MERPATI"),ROWS($E$5:E461)),"")</f>
        <v/>
      </c>
      <c r="F461" s="5" t="n"/>
    </row>
    <row r="462">
      <c r="A462" s="10">
        <f>IF($E462="","",INDEX('Input Transaksi'!$A:$A,$E462))</f>
        <v/>
      </c>
      <c r="B462" s="5">
        <f>IF($E462="","",INDEX('Input Transaksi'!$D:$D,$E462))</f>
        <v/>
      </c>
      <c r="C462">
        <f>IF($E462="","",INDEX('Input Transaksi'!$E:$E,$E462))</f>
        <v/>
      </c>
      <c r="D462" s="5">
        <f>IF($E462="","",INDEX('Input Transaksi'!$F:$F,$E462))</f>
        <v/>
      </c>
      <c r="E462">
        <f>IFERROR(AGGREGATE(15,6,ROW('Input Transaksi'!$B$5:$B$5000)/('Input Transaksi'!$B$5:$B$5000="JCL MERPATI"),ROWS($E$5:E462)),"")</f>
        <v/>
      </c>
      <c r="F462" s="5" t="n"/>
    </row>
    <row r="463">
      <c r="A463" s="10">
        <f>IF($E463="","",INDEX('Input Transaksi'!$A:$A,$E463))</f>
        <v/>
      </c>
      <c r="B463" s="5">
        <f>IF($E463="","",INDEX('Input Transaksi'!$D:$D,$E463))</f>
        <v/>
      </c>
      <c r="C463">
        <f>IF($E463="","",INDEX('Input Transaksi'!$E:$E,$E463))</f>
        <v/>
      </c>
      <c r="D463" s="5">
        <f>IF($E463="","",INDEX('Input Transaksi'!$F:$F,$E463))</f>
        <v/>
      </c>
      <c r="E463">
        <f>IFERROR(AGGREGATE(15,6,ROW('Input Transaksi'!$B$5:$B$5000)/('Input Transaksi'!$B$5:$B$5000="JCL MERPATI"),ROWS($E$5:E463)),"")</f>
        <v/>
      </c>
      <c r="F463" s="5" t="n"/>
    </row>
    <row r="464">
      <c r="A464" s="10">
        <f>IF($E464="","",INDEX('Input Transaksi'!$A:$A,$E464))</f>
        <v/>
      </c>
      <c r="B464" s="5">
        <f>IF($E464="","",INDEX('Input Transaksi'!$D:$D,$E464))</f>
        <v/>
      </c>
      <c r="C464">
        <f>IF($E464="","",INDEX('Input Transaksi'!$E:$E,$E464))</f>
        <v/>
      </c>
      <c r="D464" s="5">
        <f>IF($E464="","",INDEX('Input Transaksi'!$F:$F,$E464))</f>
        <v/>
      </c>
      <c r="E464">
        <f>IFERROR(AGGREGATE(15,6,ROW('Input Transaksi'!$B$5:$B$5000)/('Input Transaksi'!$B$5:$B$5000="JCL MERPATI"),ROWS($E$5:E464)),"")</f>
        <v/>
      </c>
      <c r="F464" s="5" t="n"/>
    </row>
    <row r="465">
      <c r="A465" s="10">
        <f>IF($E465="","",INDEX('Input Transaksi'!$A:$A,$E465))</f>
        <v/>
      </c>
      <c r="B465" s="5">
        <f>IF($E465="","",INDEX('Input Transaksi'!$D:$D,$E465))</f>
        <v/>
      </c>
      <c r="C465">
        <f>IF($E465="","",INDEX('Input Transaksi'!$E:$E,$E465))</f>
        <v/>
      </c>
      <c r="D465" s="5">
        <f>IF($E465="","",INDEX('Input Transaksi'!$F:$F,$E465))</f>
        <v/>
      </c>
      <c r="E465">
        <f>IFERROR(AGGREGATE(15,6,ROW('Input Transaksi'!$B$5:$B$5000)/('Input Transaksi'!$B$5:$B$5000="JCL MERPATI"),ROWS($E$5:E465)),"")</f>
        <v/>
      </c>
      <c r="F465" s="5" t="n"/>
    </row>
    <row r="466">
      <c r="A466" s="10">
        <f>IF($E466="","",INDEX('Input Transaksi'!$A:$A,$E466))</f>
        <v/>
      </c>
      <c r="B466" s="5">
        <f>IF($E466="","",INDEX('Input Transaksi'!$D:$D,$E466))</f>
        <v/>
      </c>
      <c r="C466">
        <f>IF($E466="","",INDEX('Input Transaksi'!$E:$E,$E466))</f>
        <v/>
      </c>
      <c r="D466" s="5">
        <f>IF($E466="","",INDEX('Input Transaksi'!$F:$F,$E466))</f>
        <v/>
      </c>
      <c r="E466">
        <f>IFERROR(AGGREGATE(15,6,ROW('Input Transaksi'!$B$5:$B$5000)/('Input Transaksi'!$B$5:$B$5000="JCL MERPATI"),ROWS($E$5:E466)),"")</f>
        <v/>
      </c>
      <c r="F466" s="5" t="n"/>
    </row>
    <row r="467">
      <c r="A467" s="10">
        <f>IF($E467="","",INDEX('Input Transaksi'!$A:$A,$E467))</f>
        <v/>
      </c>
      <c r="B467" s="5">
        <f>IF($E467="","",INDEX('Input Transaksi'!$D:$D,$E467))</f>
        <v/>
      </c>
      <c r="C467">
        <f>IF($E467="","",INDEX('Input Transaksi'!$E:$E,$E467))</f>
        <v/>
      </c>
      <c r="D467" s="5">
        <f>IF($E467="","",INDEX('Input Transaksi'!$F:$F,$E467))</f>
        <v/>
      </c>
      <c r="E467">
        <f>IFERROR(AGGREGATE(15,6,ROW('Input Transaksi'!$B$5:$B$5000)/('Input Transaksi'!$B$5:$B$5000="JCL MERPATI"),ROWS($E$5:E467)),"")</f>
        <v/>
      </c>
      <c r="F467" s="5" t="n"/>
    </row>
    <row r="468">
      <c r="A468" s="10">
        <f>IF($E468="","",INDEX('Input Transaksi'!$A:$A,$E468))</f>
        <v/>
      </c>
      <c r="B468" s="5">
        <f>IF($E468="","",INDEX('Input Transaksi'!$D:$D,$E468))</f>
        <v/>
      </c>
      <c r="C468">
        <f>IF($E468="","",INDEX('Input Transaksi'!$E:$E,$E468))</f>
        <v/>
      </c>
      <c r="D468" s="5">
        <f>IF($E468="","",INDEX('Input Transaksi'!$F:$F,$E468))</f>
        <v/>
      </c>
      <c r="E468">
        <f>IFERROR(AGGREGATE(15,6,ROW('Input Transaksi'!$B$5:$B$5000)/('Input Transaksi'!$B$5:$B$5000="JCL MERPATI"),ROWS($E$5:E468)),"")</f>
        <v/>
      </c>
      <c r="F468" s="5" t="n"/>
    </row>
    <row r="469">
      <c r="A469" s="10">
        <f>IF($E469="","",INDEX('Input Transaksi'!$A:$A,$E469))</f>
        <v/>
      </c>
      <c r="B469" s="5">
        <f>IF($E469="","",INDEX('Input Transaksi'!$D:$D,$E469))</f>
        <v/>
      </c>
      <c r="C469">
        <f>IF($E469="","",INDEX('Input Transaksi'!$E:$E,$E469))</f>
        <v/>
      </c>
      <c r="D469" s="5">
        <f>IF($E469="","",INDEX('Input Transaksi'!$F:$F,$E469))</f>
        <v/>
      </c>
      <c r="E469">
        <f>IFERROR(AGGREGATE(15,6,ROW('Input Transaksi'!$B$5:$B$5000)/('Input Transaksi'!$B$5:$B$5000="JCL MERPATI"),ROWS($E$5:E469)),"")</f>
        <v/>
      </c>
      <c r="F469" s="5" t="n"/>
    </row>
    <row r="470">
      <c r="A470" s="10">
        <f>IF($E470="","",INDEX('Input Transaksi'!$A:$A,$E470))</f>
        <v/>
      </c>
      <c r="B470" s="5">
        <f>IF($E470="","",INDEX('Input Transaksi'!$D:$D,$E470))</f>
        <v/>
      </c>
      <c r="C470">
        <f>IF($E470="","",INDEX('Input Transaksi'!$E:$E,$E470))</f>
        <v/>
      </c>
      <c r="D470" s="5">
        <f>IF($E470="","",INDEX('Input Transaksi'!$F:$F,$E470))</f>
        <v/>
      </c>
      <c r="E470">
        <f>IFERROR(AGGREGATE(15,6,ROW('Input Transaksi'!$B$5:$B$5000)/('Input Transaksi'!$B$5:$B$5000="JCL MERPATI"),ROWS($E$5:E470)),"")</f>
        <v/>
      </c>
      <c r="F470" s="5" t="n"/>
    </row>
    <row r="471">
      <c r="A471" s="10">
        <f>IF($E471="","",INDEX('Input Transaksi'!$A:$A,$E471))</f>
        <v/>
      </c>
      <c r="B471" s="5">
        <f>IF($E471="","",INDEX('Input Transaksi'!$D:$D,$E471))</f>
        <v/>
      </c>
      <c r="C471">
        <f>IF($E471="","",INDEX('Input Transaksi'!$E:$E,$E471))</f>
        <v/>
      </c>
      <c r="D471" s="5">
        <f>IF($E471="","",INDEX('Input Transaksi'!$F:$F,$E471))</f>
        <v/>
      </c>
      <c r="E471">
        <f>IFERROR(AGGREGATE(15,6,ROW('Input Transaksi'!$B$5:$B$5000)/('Input Transaksi'!$B$5:$B$5000="JCL MERPATI"),ROWS($E$5:E471)),"")</f>
        <v/>
      </c>
      <c r="F471" s="5" t="n"/>
    </row>
    <row r="472">
      <c r="A472" s="10">
        <f>IF($E472="","",INDEX('Input Transaksi'!$A:$A,$E472))</f>
        <v/>
      </c>
      <c r="B472" s="5">
        <f>IF($E472="","",INDEX('Input Transaksi'!$D:$D,$E472))</f>
        <v/>
      </c>
      <c r="C472">
        <f>IF($E472="","",INDEX('Input Transaksi'!$E:$E,$E472))</f>
        <v/>
      </c>
      <c r="D472" s="5">
        <f>IF($E472="","",INDEX('Input Transaksi'!$F:$F,$E472))</f>
        <v/>
      </c>
      <c r="E472">
        <f>IFERROR(AGGREGATE(15,6,ROW('Input Transaksi'!$B$5:$B$5000)/('Input Transaksi'!$B$5:$B$5000="JCL MERPATI"),ROWS($E$5:E472)),"")</f>
        <v/>
      </c>
      <c r="F472" s="5" t="n"/>
    </row>
    <row r="473">
      <c r="A473" s="10">
        <f>IF($E473="","",INDEX('Input Transaksi'!$A:$A,$E473))</f>
        <v/>
      </c>
      <c r="B473" s="5">
        <f>IF($E473="","",INDEX('Input Transaksi'!$D:$D,$E473))</f>
        <v/>
      </c>
      <c r="C473">
        <f>IF($E473="","",INDEX('Input Transaksi'!$E:$E,$E473))</f>
        <v/>
      </c>
      <c r="D473" s="5">
        <f>IF($E473="","",INDEX('Input Transaksi'!$F:$F,$E473))</f>
        <v/>
      </c>
      <c r="E473">
        <f>IFERROR(AGGREGATE(15,6,ROW('Input Transaksi'!$B$5:$B$5000)/('Input Transaksi'!$B$5:$B$5000="JCL MERPATI"),ROWS($E$5:E473)),"")</f>
        <v/>
      </c>
      <c r="F473" s="5" t="n"/>
    </row>
    <row r="474">
      <c r="A474" s="10">
        <f>IF($E474="","",INDEX('Input Transaksi'!$A:$A,$E474))</f>
        <v/>
      </c>
      <c r="B474" s="5">
        <f>IF($E474="","",INDEX('Input Transaksi'!$D:$D,$E474))</f>
        <v/>
      </c>
      <c r="C474">
        <f>IF($E474="","",INDEX('Input Transaksi'!$E:$E,$E474))</f>
        <v/>
      </c>
      <c r="D474" s="5">
        <f>IF($E474="","",INDEX('Input Transaksi'!$F:$F,$E474))</f>
        <v/>
      </c>
      <c r="E474">
        <f>IFERROR(AGGREGATE(15,6,ROW('Input Transaksi'!$B$5:$B$5000)/('Input Transaksi'!$B$5:$B$5000="JCL MERPATI"),ROWS($E$5:E474)),"")</f>
        <v/>
      </c>
      <c r="F474" s="5" t="n"/>
    </row>
    <row r="475">
      <c r="A475" s="10">
        <f>IF($E475="","",INDEX('Input Transaksi'!$A:$A,$E475))</f>
        <v/>
      </c>
      <c r="B475" s="5">
        <f>IF($E475="","",INDEX('Input Transaksi'!$D:$D,$E475))</f>
        <v/>
      </c>
      <c r="C475">
        <f>IF($E475="","",INDEX('Input Transaksi'!$E:$E,$E475))</f>
        <v/>
      </c>
      <c r="D475" s="5">
        <f>IF($E475="","",INDEX('Input Transaksi'!$F:$F,$E475))</f>
        <v/>
      </c>
      <c r="E475">
        <f>IFERROR(AGGREGATE(15,6,ROW('Input Transaksi'!$B$5:$B$5000)/('Input Transaksi'!$B$5:$B$5000="JCL MERPATI"),ROWS($E$5:E475)),"")</f>
        <v/>
      </c>
      <c r="F475" s="5" t="n"/>
    </row>
    <row r="476">
      <c r="A476" s="10">
        <f>IF($E476="","",INDEX('Input Transaksi'!$A:$A,$E476))</f>
        <v/>
      </c>
      <c r="B476" s="5">
        <f>IF($E476="","",INDEX('Input Transaksi'!$D:$D,$E476))</f>
        <v/>
      </c>
      <c r="C476">
        <f>IF($E476="","",INDEX('Input Transaksi'!$E:$E,$E476))</f>
        <v/>
      </c>
      <c r="D476" s="5">
        <f>IF($E476="","",INDEX('Input Transaksi'!$F:$F,$E476))</f>
        <v/>
      </c>
      <c r="E476">
        <f>IFERROR(AGGREGATE(15,6,ROW('Input Transaksi'!$B$5:$B$5000)/('Input Transaksi'!$B$5:$B$5000="JCL MERPATI"),ROWS($E$5:E476)),"")</f>
        <v/>
      </c>
      <c r="F476" s="5" t="n"/>
    </row>
    <row r="477">
      <c r="A477" s="10">
        <f>IF($E477="","",INDEX('Input Transaksi'!$A:$A,$E477))</f>
        <v/>
      </c>
      <c r="B477" s="5">
        <f>IF($E477="","",INDEX('Input Transaksi'!$D:$D,$E477))</f>
        <v/>
      </c>
      <c r="C477">
        <f>IF($E477="","",INDEX('Input Transaksi'!$E:$E,$E477))</f>
        <v/>
      </c>
      <c r="D477" s="5">
        <f>IF($E477="","",INDEX('Input Transaksi'!$F:$F,$E477))</f>
        <v/>
      </c>
      <c r="E477">
        <f>IFERROR(AGGREGATE(15,6,ROW('Input Transaksi'!$B$5:$B$5000)/('Input Transaksi'!$B$5:$B$5000="JCL MERPATI"),ROWS($E$5:E477)),"")</f>
        <v/>
      </c>
      <c r="F477" s="5" t="n"/>
    </row>
    <row r="478">
      <c r="A478" s="10">
        <f>IF($E478="","",INDEX('Input Transaksi'!$A:$A,$E478))</f>
        <v/>
      </c>
      <c r="B478" s="5">
        <f>IF($E478="","",INDEX('Input Transaksi'!$D:$D,$E478))</f>
        <v/>
      </c>
      <c r="C478">
        <f>IF($E478="","",INDEX('Input Transaksi'!$E:$E,$E478))</f>
        <v/>
      </c>
      <c r="D478" s="5">
        <f>IF($E478="","",INDEX('Input Transaksi'!$F:$F,$E478))</f>
        <v/>
      </c>
      <c r="E478">
        <f>IFERROR(AGGREGATE(15,6,ROW('Input Transaksi'!$B$5:$B$5000)/('Input Transaksi'!$B$5:$B$5000="JCL MERPATI"),ROWS($E$5:E478)),"")</f>
        <v/>
      </c>
      <c r="F478" s="5" t="n"/>
    </row>
    <row r="479">
      <c r="A479" s="10">
        <f>IF($E479="","",INDEX('Input Transaksi'!$A:$A,$E479))</f>
        <v/>
      </c>
      <c r="B479" s="5">
        <f>IF($E479="","",INDEX('Input Transaksi'!$D:$D,$E479))</f>
        <v/>
      </c>
      <c r="C479">
        <f>IF($E479="","",INDEX('Input Transaksi'!$E:$E,$E479))</f>
        <v/>
      </c>
      <c r="D479" s="5">
        <f>IF($E479="","",INDEX('Input Transaksi'!$F:$F,$E479))</f>
        <v/>
      </c>
      <c r="E479">
        <f>IFERROR(AGGREGATE(15,6,ROW('Input Transaksi'!$B$5:$B$5000)/('Input Transaksi'!$B$5:$B$5000="JCL MERPATI"),ROWS($E$5:E479)),"")</f>
        <v/>
      </c>
      <c r="F479" s="5" t="n"/>
    </row>
    <row r="480">
      <c r="A480" s="10">
        <f>IF($E480="","",INDEX('Input Transaksi'!$A:$A,$E480))</f>
        <v/>
      </c>
      <c r="B480" s="5">
        <f>IF($E480="","",INDEX('Input Transaksi'!$D:$D,$E480))</f>
        <v/>
      </c>
      <c r="C480">
        <f>IF($E480="","",INDEX('Input Transaksi'!$E:$E,$E480))</f>
        <v/>
      </c>
      <c r="D480" s="5">
        <f>IF($E480="","",INDEX('Input Transaksi'!$F:$F,$E480))</f>
        <v/>
      </c>
      <c r="E480">
        <f>IFERROR(AGGREGATE(15,6,ROW('Input Transaksi'!$B$5:$B$5000)/('Input Transaksi'!$B$5:$B$5000="JCL MERPATI"),ROWS($E$5:E480)),"")</f>
        <v/>
      </c>
      <c r="F480" s="5" t="n"/>
    </row>
    <row r="481">
      <c r="A481" s="10">
        <f>IF($E481="","",INDEX('Input Transaksi'!$A:$A,$E481))</f>
        <v/>
      </c>
      <c r="B481" s="5">
        <f>IF($E481="","",INDEX('Input Transaksi'!$D:$D,$E481))</f>
        <v/>
      </c>
      <c r="C481">
        <f>IF($E481="","",INDEX('Input Transaksi'!$E:$E,$E481))</f>
        <v/>
      </c>
      <c r="D481" s="5">
        <f>IF($E481="","",INDEX('Input Transaksi'!$F:$F,$E481))</f>
        <v/>
      </c>
      <c r="E481">
        <f>IFERROR(AGGREGATE(15,6,ROW('Input Transaksi'!$B$5:$B$5000)/('Input Transaksi'!$B$5:$B$5000="JCL MERPATI"),ROWS($E$5:E481)),"")</f>
        <v/>
      </c>
      <c r="F481" s="5" t="n"/>
    </row>
    <row r="482">
      <c r="A482" s="10">
        <f>IF($E482="","",INDEX('Input Transaksi'!$A:$A,$E482))</f>
        <v/>
      </c>
      <c r="B482" s="5">
        <f>IF($E482="","",INDEX('Input Transaksi'!$D:$D,$E482))</f>
        <v/>
      </c>
      <c r="C482">
        <f>IF($E482="","",INDEX('Input Transaksi'!$E:$E,$E482))</f>
        <v/>
      </c>
      <c r="D482" s="5">
        <f>IF($E482="","",INDEX('Input Transaksi'!$F:$F,$E482))</f>
        <v/>
      </c>
      <c r="E482">
        <f>IFERROR(AGGREGATE(15,6,ROW('Input Transaksi'!$B$5:$B$5000)/('Input Transaksi'!$B$5:$B$5000="JCL MERPATI"),ROWS($E$5:E482)),"")</f>
        <v/>
      </c>
      <c r="F482" s="5" t="n"/>
    </row>
    <row r="483">
      <c r="A483" s="10">
        <f>IF($E483="","",INDEX('Input Transaksi'!$A:$A,$E483))</f>
        <v/>
      </c>
      <c r="B483" s="5">
        <f>IF($E483="","",INDEX('Input Transaksi'!$D:$D,$E483))</f>
        <v/>
      </c>
      <c r="C483">
        <f>IF($E483="","",INDEX('Input Transaksi'!$E:$E,$E483))</f>
        <v/>
      </c>
      <c r="D483" s="5">
        <f>IF($E483="","",INDEX('Input Transaksi'!$F:$F,$E483))</f>
        <v/>
      </c>
      <c r="E483">
        <f>IFERROR(AGGREGATE(15,6,ROW('Input Transaksi'!$B$5:$B$5000)/('Input Transaksi'!$B$5:$B$5000="JCL MERPATI"),ROWS($E$5:E483)),"")</f>
        <v/>
      </c>
      <c r="F483" s="5" t="n"/>
    </row>
    <row r="484">
      <c r="A484" s="10">
        <f>IF($E484="","",INDEX('Input Transaksi'!$A:$A,$E484))</f>
        <v/>
      </c>
      <c r="B484" s="5">
        <f>IF($E484="","",INDEX('Input Transaksi'!$D:$D,$E484))</f>
        <v/>
      </c>
      <c r="C484">
        <f>IF($E484="","",INDEX('Input Transaksi'!$E:$E,$E484))</f>
        <v/>
      </c>
      <c r="D484" s="5">
        <f>IF($E484="","",INDEX('Input Transaksi'!$F:$F,$E484))</f>
        <v/>
      </c>
      <c r="E484">
        <f>IFERROR(AGGREGATE(15,6,ROW('Input Transaksi'!$B$5:$B$5000)/('Input Transaksi'!$B$5:$B$5000="JCL MERPATI"),ROWS($E$5:E484)),"")</f>
        <v/>
      </c>
      <c r="F484" s="5" t="n"/>
    </row>
    <row r="485">
      <c r="A485" s="10">
        <f>IF($E485="","",INDEX('Input Transaksi'!$A:$A,$E485))</f>
        <v/>
      </c>
      <c r="B485" s="5">
        <f>IF($E485="","",INDEX('Input Transaksi'!$D:$D,$E485))</f>
        <v/>
      </c>
      <c r="C485">
        <f>IF($E485="","",INDEX('Input Transaksi'!$E:$E,$E485))</f>
        <v/>
      </c>
      <c r="D485" s="5">
        <f>IF($E485="","",INDEX('Input Transaksi'!$F:$F,$E485))</f>
        <v/>
      </c>
      <c r="E485">
        <f>IFERROR(AGGREGATE(15,6,ROW('Input Transaksi'!$B$5:$B$5000)/('Input Transaksi'!$B$5:$B$5000="JCL MERPATI"),ROWS($E$5:E485)),"")</f>
        <v/>
      </c>
      <c r="F485" s="5" t="n"/>
    </row>
    <row r="486">
      <c r="A486" s="10">
        <f>IF($E486="","",INDEX('Input Transaksi'!$A:$A,$E486))</f>
        <v/>
      </c>
      <c r="B486" s="5">
        <f>IF($E486="","",INDEX('Input Transaksi'!$D:$D,$E486))</f>
        <v/>
      </c>
      <c r="C486">
        <f>IF($E486="","",INDEX('Input Transaksi'!$E:$E,$E486))</f>
        <v/>
      </c>
      <c r="D486" s="5">
        <f>IF($E486="","",INDEX('Input Transaksi'!$F:$F,$E486))</f>
        <v/>
      </c>
      <c r="E486">
        <f>IFERROR(AGGREGATE(15,6,ROW('Input Transaksi'!$B$5:$B$5000)/('Input Transaksi'!$B$5:$B$5000="JCL MERPATI"),ROWS($E$5:E486)),"")</f>
        <v/>
      </c>
      <c r="F486" s="5" t="n"/>
    </row>
    <row r="487">
      <c r="A487" s="10">
        <f>IF($E487="","",INDEX('Input Transaksi'!$A:$A,$E487))</f>
        <v/>
      </c>
      <c r="B487" s="5">
        <f>IF($E487="","",INDEX('Input Transaksi'!$D:$D,$E487))</f>
        <v/>
      </c>
      <c r="C487">
        <f>IF($E487="","",INDEX('Input Transaksi'!$E:$E,$E487))</f>
        <v/>
      </c>
      <c r="D487" s="5">
        <f>IF($E487="","",INDEX('Input Transaksi'!$F:$F,$E487))</f>
        <v/>
      </c>
      <c r="E487">
        <f>IFERROR(AGGREGATE(15,6,ROW('Input Transaksi'!$B$5:$B$5000)/('Input Transaksi'!$B$5:$B$5000="JCL MERPATI"),ROWS($E$5:E487)),"")</f>
        <v/>
      </c>
      <c r="F487" s="5" t="n"/>
    </row>
    <row r="488">
      <c r="A488" s="10">
        <f>IF($E488="","",INDEX('Input Transaksi'!$A:$A,$E488))</f>
        <v/>
      </c>
      <c r="B488" s="5">
        <f>IF($E488="","",INDEX('Input Transaksi'!$D:$D,$E488))</f>
        <v/>
      </c>
      <c r="C488">
        <f>IF($E488="","",INDEX('Input Transaksi'!$E:$E,$E488))</f>
        <v/>
      </c>
      <c r="D488" s="5">
        <f>IF($E488="","",INDEX('Input Transaksi'!$F:$F,$E488))</f>
        <v/>
      </c>
      <c r="E488">
        <f>IFERROR(AGGREGATE(15,6,ROW('Input Transaksi'!$B$5:$B$5000)/('Input Transaksi'!$B$5:$B$5000="JCL MERPATI"),ROWS($E$5:E488)),"")</f>
        <v/>
      </c>
      <c r="F488" s="5" t="n"/>
    </row>
    <row r="489">
      <c r="A489" s="10">
        <f>IF($E489="","",INDEX('Input Transaksi'!$A:$A,$E489))</f>
        <v/>
      </c>
      <c r="B489" s="5">
        <f>IF($E489="","",INDEX('Input Transaksi'!$D:$D,$E489))</f>
        <v/>
      </c>
      <c r="C489">
        <f>IF($E489="","",INDEX('Input Transaksi'!$E:$E,$E489))</f>
        <v/>
      </c>
      <c r="D489" s="5">
        <f>IF($E489="","",INDEX('Input Transaksi'!$F:$F,$E489))</f>
        <v/>
      </c>
      <c r="E489">
        <f>IFERROR(AGGREGATE(15,6,ROW('Input Transaksi'!$B$5:$B$5000)/('Input Transaksi'!$B$5:$B$5000="JCL MERPATI"),ROWS($E$5:E489)),"")</f>
        <v/>
      </c>
      <c r="F489" s="5" t="n"/>
    </row>
    <row r="490">
      <c r="A490" s="10">
        <f>IF($E490="","",INDEX('Input Transaksi'!$A:$A,$E490))</f>
        <v/>
      </c>
      <c r="B490" s="5">
        <f>IF($E490="","",INDEX('Input Transaksi'!$D:$D,$E490))</f>
        <v/>
      </c>
      <c r="C490">
        <f>IF($E490="","",INDEX('Input Transaksi'!$E:$E,$E490))</f>
        <v/>
      </c>
      <c r="D490" s="5">
        <f>IF($E490="","",INDEX('Input Transaksi'!$F:$F,$E490))</f>
        <v/>
      </c>
      <c r="E490">
        <f>IFERROR(AGGREGATE(15,6,ROW('Input Transaksi'!$B$5:$B$5000)/('Input Transaksi'!$B$5:$B$5000="JCL MERPATI"),ROWS($E$5:E490)),"")</f>
        <v/>
      </c>
      <c r="F490" s="5" t="n"/>
    </row>
    <row r="491">
      <c r="A491" s="10">
        <f>IF($E491="","",INDEX('Input Transaksi'!$A:$A,$E491))</f>
        <v/>
      </c>
      <c r="B491" s="5">
        <f>IF($E491="","",INDEX('Input Transaksi'!$D:$D,$E491))</f>
        <v/>
      </c>
      <c r="C491">
        <f>IF($E491="","",INDEX('Input Transaksi'!$E:$E,$E491))</f>
        <v/>
      </c>
      <c r="D491" s="5">
        <f>IF($E491="","",INDEX('Input Transaksi'!$F:$F,$E491))</f>
        <v/>
      </c>
      <c r="E491">
        <f>IFERROR(AGGREGATE(15,6,ROW('Input Transaksi'!$B$5:$B$5000)/('Input Transaksi'!$B$5:$B$5000="JCL MERPATI"),ROWS($E$5:E491)),"")</f>
        <v/>
      </c>
      <c r="F491" s="5" t="n"/>
    </row>
    <row r="492">
      <c r="A492" s="10">
        <f>IF($E492="","",INDEX('Input Transaksi'!$A:$A,$E492))</f>
        <v/>
      </c>
      <c r="B492" s="5">
        <f>IF($E492="","",INDEX('Input Transaksi'!$D:$D,$E492))</f>
        <v/>
      </c>
      <c r="C492">
        <f>IF($E492="","",INDEX('Input Transaksi'!$E:$E,$E492))</f>
        <v/>
      </c>
      <c r="D492" s="5">
        <f>IF($E492="","",INDEX('Input Transaksi'!$F:$F,$E492))</f>
        <v/>
      </c>
      <c r="E492">
        <f>IFERROR(AGGREGATE(15,6,ROW('Input Transaksi'!$B$5:$B$5000)/('Input Transaksi'!$B$5:$B$5000="JCL MERPATI"),ROWS($E$5:E492)),"")</f>
        <v/>
      </c>
      <c r="F492" s="5" t="n"/>
    </row>
    <row r="493">
      <c r="A493" s="10">
        <f>IF($E493="","",INDEX('Input Transaksi'!$A:$A,$E493))</f>
        <v/>
      </c>
      <c r="B493" s="5">
        <f>IF($E493="","",INDEX('Input Transaksi'!$D:$D,$E493))</f>
        <v/>
      </c>
      <c r="C493">
        <f>IF($E493="","",INDEX('Input Transaksi'!$E:$E,$E493))</f>
        <v/>
      </c>
      <c r="D493" s="5">
        <f>IF($E493="","",INDEX('Input Transaksi'!$F:$F,$E493))</f>
        <v/>
      </c>
      <c r="E493">
        <f>IFERROR(AGGREGATE(15,6,ROW('Input Transaksi'!$B$5:$B$5000)/('Input Transaksi'!$B$5:$B$5000="JCL MERPATI"),ROWS($E$5:E493)),"")</f>
        <v/>
      </c>
      <c r="F493" s="5" t="n"/>
    </row>
    <row r="494">
      <c r="A494" s="10">
        <f>IF($E494="","",INDEX('Input Transaksi'!$A:$A,$E494))</f>
        <v/>
      </c>
      <c r="B494" s="5">
        <f>IF($E494="","",INDEX('Input Transaksi'!$D:$D,$E494))</f>
        <v/>
      </c>
      <c r="C494">
        <f>IF($E494="","",INDEX('Input Transaksi'!$E:$E,$E494))</f>
        <v/>
      </c>
      <c r="D494" s="5">
        <f>IF($E494="","",INDEX('Input Transaksi'!$F:$F,$E494))</f>
        <v/>
      </c>
      <c r="E494">
        <f>IFERROR(AGGREGATE(15,6,ROW('Input Transaksi'!$B$5:$B$5000)/('Input Transaksi'!$B$5:$B$5000="JCL MERPATI"),ROWS($E$5:E494)),"")</f>
        <v/>
      </c>
      <c r="F494" s="5" t="n"/>
    </row>
    <row r="495">
      <c r="A495" s="10">
        <f>IF($E495="","",INDEX('Input Transaksi'!$A:$A,$E495))</f>
        <v/>
      </c>
      <c r="B495" s="5">
        <f>IF($E495="","",INDEX('Input Transaksi'!$D:$D,$E495))</f>
        <v/>
      </c>
      <c r="C495">
        <f>IF($E495="","",INDEX('Input Transaksi'!$E:$E,$E495))</f>
        <v/>
      </c>
      <c r="D495" s="5">
        <f>IF($E495="","",INDEX('Input Transaksi'!$F:$F,$E495))</f>
        <v/>
      </c>
      <c r="E495">
        <f>IFERROR(AGGREGATE(15,6,ROW('Input Transaksi'!$B$5:$B$5000)/('Input Transaksi'!$B$5:$B$5000="JCL MERPATI"),ROWS($E$5:E495)),"")</f>
        <v/>
      </c>
      <c r="F495" s="5" t="n"/>
    </row>
    <row r="496">
      <c r="A496" s="10">
        <f>IF($E496="","",INDEX('Input Transaksi'!$A:$A,$E496))</f>
        <v/>
      </c>
      <c r="B496" s="5">
        <f>IF($E496="","",INDEX('Input Transaksi'!$D:$D,$E496))</f>
        <v/>
      </c>
      <c r="C496">
        <f>IF($E496="","",INDEX('Input Transaksi'!$E:$E,$E496))</f>
        <v/>
      </c>
      <c r="D496" s="5">
        <f>IF($E496="","",INDEX('Input Transaksi'!$F:$F,$E496))</f>
        <v/>
      </c>
      <c r="E496">
        <f>IFERROR(AGGREGATE(15,6,ROW('Input Transaksi'!$B$5:$B$5000)/('Input Transaksi'!$B$5:$B$5000="JCL MERPATI"),ROWS($E$5:E496)),"")</f>
        <v/>
      </c>
      <c r="F496" s="5" t="n"/>
    </row>
    <row r="497">
      <c r="A497" s="10">
        <f>IF($E497="","",INDEX('Input Transaksi'!$A:$A,$E497))</f>
        <v/>
      </c>
      <c r="B497" s="5">
        <f>IF($E497="","",INDEX('Input Transaksi'!$D:$D,$E497))</f>
        <v/>
      </c>
      <c r="C497">
        <f>IF($E497="","",INDEX('Input Transaksi'!$E:$E,$E497))</f>
        <v/>
      </c>
      <c r="D497" s="5">
        <f>IF($E497="","",INDEX('Input Transaksi'!$F:$F,$E497))</f>
        <v/>
      </c>
      <c r="E497">
        <f>IFERROR(AGGREGATE(15,6,ROW('Input Transaksi'!$B$5:$B$5000)/('Input Transaksi'!$B$5:$B$5000="JCL MERPATI"),ROWS($E$5:E497)),"")</f>
        <v/>
      </c>
      <c r="F497" s="5" t="n"/>
    </row>
    <row r="498">
      <c r="A498" s="10">
        <f>IF($E498="","",INDEX('Input Transaksi'!$A:$A,$E498))</f>
        <v/>
      </c>
      <c r="B498" s="5">
        <f>IF($E498="","",INDEX('Input Transaksi'!$D:$D,$E498))</f>
        <v/>
      </c>
      <c r="C498">
        <f>IF($E498="","",INDEX('Input Transaksi'!$E:$E,$E498))</f>
        <v/>
      </c>
      <c r="D498" s="5">
        <f>IF($E498="","",INDEX('Input Transaksi'!$F:$F,$E498))</f>
        <v/>
      </c>
      <c r="E498">
        <f>IFERROR(AGGREGATE(15,6,ROW('Input Transaksi'!$B$5:$B$5000)/('Input Transaksi'!$B$5:$B$5000="JCL MERPATI"),ROWS($E$5:E498)),"")</f>
        <v/>
      </c>
      <c r="F498" s="5" t="n"/>
    </row>
    <row r="499">
      <c r="A499" s="10">
        <f>IF($E499="","",INDEX('Input Transaksi'!$A:$A,$E499))</f>
        <v/>
      </c>
      <c r="B499" s="5">
        <f>IF($E499="","",INDEX('Input Transaksi'!$D:$D,$E499))</f>
        <v/>
      </c>
      <c r="C499">
        <f>IF($E499="","",INDEX('Input Transaksi'!$E:$E,$E499))</f>
        <v/>
      </c>
      <c r="D499" s="5">
        <f>IF($E499="","",INDEX('Input Transaksi'!$F:$F,$E499))</f>
        <v/>
      </c>
      <c r="E499">
        <f>IFERROR(AGGREGATE(15,6,ROW('Input Transaksi'!$B$5:$B$5000)/('Input Transaksi'!$B$5:$B$5000="JCL MERPATI"),ROWS($E$5:E499)),"")</f>
        <v/>
      </c>
      <c r="F499" s="5" t="n"/>
    </row>
    <row r="500">
      <c r="A500" s="10">
        <f>IF($E500="","",INDEX('Input Transaksi'!$A:$A,$E500))</f>
        <v/>
      </c>
      <c r="B500" s="5">
        <f>IF($E500="","",INDEX('Input Transaksi'!$D:$D,$E500))</f>
        <v/>
      </c>
      <c r="C500">
        <f>IF($E500="","",INDEX('Input Transaksi'!$E:$E,$E500))</f>
        <v/>
      </c>
      <c r="D500" s="5">
        <f>IF($E500="","",INDEX('Input Transaksi'!$F:$F,$E500))</f>
        <v/>
      </c>
      <c r="E500">
        <f>IFERROR(AGGREGATE(15,6,ROW('Input Transaksi'!$B$5:$B$5000)/('Input Transaksi'!$B$5:$B$5000="JCL MERPATI"),ROWS($E$5:E500)),"")</f>
        <v/>
      </c>
      <c r="F500" s="5" t="n"/>
    </row>
    <row r="501">
      <c r="A501" s="10">
        <f>IF($E501="","",INDEX('Input Transaksi'!$A:$A,$E501))</f>
        <v/>
      </c>
      <c r="B501" s="5">
        <f>IF($E501="","",INDEX('Input Transaksi'!$D:$D,$E501))</f>
        <v/>
      </c>
      <c r="C501">
        <f>IF($E501="","",INDEX('Input Transaksi'!$E:$E,$E501))</f>
        <v/>
      </c>
      <c r="D501" s="5">
        <f>IF($E501="","",INDEX('Input Transaksi'!$F:$F,$E501))</f>
        <v/>
      </c>
      <c r="E501">
        <f>IFERROR(AGGREGATE(15,6,ROW('Input Transaksi'!$B$5:$B$5000)/('Input Transaksi'!$B$5:$B$5000="JCL MERPATI"),ROWS($E$5:E501)),"")</f>
        <v/>
      </c>
      <c r="F501" s="5" t="n"/>
    </row>
    <row r="502">
      <c r="A502" s="10">
        <f>IF($E502="","",INDEX('Input Transaksi'!$A:$A,$E502))</f>
        <v/>
      </c>
      <c r="B502" s="5">
        <f>IF($E502="","",INDEX('Input Transaksi'!$D:$D,$E502))</f>
        <v/>
      </c>
      <c r="C502">
        <f>IF($E502="","",INDEX('Input Transaksi'!$E:$E,$E502))</f>
        <v/>
      </c>
      <c r="D502" s="5">
        <f>IF($E502="","",INDEX('Input Transaksi'!$F:$F,$E502))</f>
        <v/>
      </c>
      <c r="E502">
        <f>IFERROR(AGGREGATE(15,6,ROW('Input Transaksi'!$B$5:$B$5000)/('Input Transaksi'!$B$5:$B$5000="JCL MERPATI"),ROWS($E$5:E502)),"")</f>
        <v/>
      </c>
      <c r="F502" s="5" t="n"/>
    </row>
    <row r="503">
      <c r="A503" s="10">
        <f>IF($E503="","",INDEX('Input Transaksi'!$A:$A,$E503))</f>
        <v/>
      </c>
      <c r="B503" s="5">
        <f>IF($E503="","",INDEX('Input Transaksi'!$D:$D,$E503))</f>
        <v/>
      </c>
      <c r="C503">
        <f>IF($E503="","",INDEX('Input Transaksi'!$E:$E,$E503))</f>
        <v/>
      </c>
      <c r="D503" s="5">
        <f>IF($E503="","",INDEX('Input Transaksi'!$F:$F,$E503))</f>
        <v/>
      </c>
      <c r="E503">
        <f>IFERROR(AGGREGATE(15,6,ROW('Input Transaksi'!$B$5:$B$5000)/('Input Transaksi'!$B$5:$B$5000="JCL MERPATI"),ROWS($E$5:E503)),"")</f>
        <v/>
      </c>
      <c r="F503" s="5" t="n"/>
    </row>
    <row r="504">
      <c r="A504" s="10">
        <f>IF($E504="","",INDEX('Input Transaksi'!$A:$A,$E504))</f>
        <v/>
      </c>
      <c r="B504" s="5">
        <f>IF($E504="","",INDEX('Input Transaksi'!$D:$D,$E504))</f>
        <v/>
      </c>
      <c r="C504">
        <f>IF($E504="","",INDEX('Input Transaksi'!$E:$E,$E504))</f>
        <v/>
      </c>
      <c r="D504" s="5">
        <f>IF($E504="","",INDEX('Input Transaksi'!$F:$F,$E504))</f>
        <v/>
      </c>
      <c r="E504">
        <f>IFERROR(AGGREGATE(15,6,ROW('Input Transaksi'!$B$5:$B$5000)/('Input Transaksi'!$B$5:$B$5000="JCL MERPATI"),ROWS($E$5:E504)),"")</f>
        <v/>
      </c>
      <c r="F504" s="5" t="n"/>
    </row>
    <row r="505">
      <c r="A505" s="10">
        <f>IF($E505="","",INDEX('Input Transaksi'!$A:$A,$E505))</f>
        <v/>
      </c>
      <c r="B505" s="5">
        <f>IF($E505="","",INDEX('Input Transaksi'!$D:$D,$E505))</f>
        <v/>
      </c>
      <c r="C505">
        <f>IF($E505="","",INDEX('Input Transaksi'!$E:$E,$E505))</f>
        <v/>
      </c>
      <c r="D505" s="5">
        <f>IF($E505="","",INDEX('Input Transaksi'!$F:$F,$E505))</f>
        <v/>
      </c>
      <c r="E505">
        <f>IFERROR(AGGREGATE(15,6,ROW('Input Transaksi'!$B$5:$B$5000)/('Input Transaksi'!$B$5:$B$5000="JCL MERPATI"),ROWS($E$5:E505)),"")</f>
        <v/>
      </c>
      <c r="F505" s="5" t="n"/>
    </row>
    <row r="506">
      <c r="A506" s="10">
        <f>IF($E506="","",INDEX('Input Transaksi'!$A:$A,$E506))</f>
        <v/>
      </c>
      <c r="B506" s="5">
        <f>IF($E506="","",INDEX('Input Transaksi'!$D:$D,$E506))</f>
        <v/>
      </c>
      <c r="C506">
        <f>IF($E506="","",INDEX('Input Transaksi'!$E:$E,$E506))</f>
        <v/>
      </c>
      <c r="D506" s="5">
        <f>IF($E506="","",INDEX('Input Transaksi'!$F:$F,$E506))</f>
        <v/>
      </c>
      <c r="E506">
        <f>IFERROR(AGGREGATE(15,6,ROW('Input Transaksi'!$B$5:$B$5000)/('Input Transaksi'!$B$5:$B$5000="JCL MERPATI"),ROWS($E$5:E506)),"")</f>
        <v/>
      </c>
      <c r="F506" s="5" t="n"/>
    </row>
    <row r="507">
      <c r="A507" s="10">
        <f>IF($E507="","",INDEX('Input Transaksi'!$A:$A,$E507))</f>
        <v/>
      </c>
      <c r="B507" s="5">
        <f>IF($E507="","",INDEX('Input Transaksi'!$D:$D,$E507))</f>
        <v/>
      </c>
      <c r="C507">
        <f>IF($E507="","",INDEX('Input Transaksi'!$E:$E,$E507))</f>
        <v/>
      </c>
      <c r="D507" s="5">
        <f>IF($E507="","",INDEX('Input Transaksi'!$F:$F,$E507))</f>
        <v/>
      </c>
      <c r="E507">
        <f>IFERROR(AGGREGATE(15,6,ROW('Input Transaksi'!$B$5:$B$5000)/('Input Transaksi'!$B$5:$B$5000="JCL MERPATI"),ROWS($E$5:E507)),"")</f>
        <v/>
      </c>
      <c r="F507" s="5" t="n"/>
    </row>
    <row r="508">
      <c r="A508" s="10">
        <f>IF($E508="","",INDEX('Input Transaksi'!$A:$A,$E508))</f>
        <v/>
      </c>
      <c r="B508" s="5">
        <f>IF($E508="","",INDEX('Input Transaksi'!$D:$D,$E508))</f>
        <v/>
      </c>
      <c r="C508">
        <f>IF($E508="","",INDEX('Input Transaksi'!$E:$E,$E508))</f>
        <v/>
      </c>
      <c r="D508" s="5">
        <f>IF($E508="","",INDEX('Input Transaksi'!$F:$F,$E508))</f>
        <v/>
      </c>
      <c r="E508">
        <f>IFERROR(AGGREGATE(15,6,ROW('Input Transaksi'!$B$5:$B$5000)/('Input Transaksi'!$B$5:$B$5000="JCL MERPATI"),ROWS($E$5:E508)),"")</f>
        <v/>
      </c>
      <c r="F508" s="5" t="n"/>
    </row>
    <row r="509">
      <c r="A509" s="10">
        <f>IF($E509="","",INDEX('Input Transaksi'!$A:$A,$E509))</f>
        <v/>
      </c>
      <c r="B509" s="5">
        <f>IF($E509="","",INDEX('Input Transaksi'!$D:$D,$E509))</f>
        <v/>
      </c>
      <c r="C509">
        <f>IF($E509="","",INDEX('Input Transaksi'!$E:$E,$E509))</f>
        <v/>
      </c>
      <c r="D509" s="5">
        <f>IF($E509="","",INDEX('Input Transaksi'!$F:$F,$E509))</f>
        <v/>
      </c>
      <c r="E509">
        <f>IFERROR(AGGREGATE(15,6,ROW('Input Transaksi'!$B$5:$B$5000)/('Input Transaksi'!$B$5:$B$5000="JCL MERPATI"),ROWS($E$5:E509)),"")</f>
        <v/>
      </c>
      <c r="F509" s="5" t="n"/>
    </row>
    <row r="510">
      <c r="A510" s="10">
        <f>IF($E510="","",INDEX('Input Transaksi'!$A:$A,$E510))</f>
        <v/>
      </c>
      <c r="B510" s="5">
        <f>IF($E510="","",INDEX('Input Transaksi'!$D:$D,$E510))</f>
        <v/>
      </c>
      <c r="C510">
        <f>IF($E510="","",INDEX('Input Transaksi'!$E:$E,$E510))</f>
        <v/>
      </c>
      <c r="D510" s="5">
        <f>IF($E510="","",INDEX('Input Transaksi'!$F:$F,$E510))</f>
        <v/>
      </c>
      <c r="E510">
        <f>IFERROR(AGGREGATE(15,6,ROW('Input Transaksi'!$B$5:$B$5000)/('Input Transaksi'!$B$5:$B$5000="JCL MERPATI"),ROWS($E$5:E510)),"")</f>
        <v/>
      </c>
      <c r="F510" s="5" t="n"/>
    </row>
    <row r="511">
      <c r="A511" s="10">
        <f>IF($E511="","",INDEX('Input Transaksi'!$A:$A,$E511))</f>
        <v/>
      </c>
      <c r="B511" s="5">
        <f>IF($E511="","",INDEX('Input Transaksi'!$D:$D,$E511))</f>
        <v/>
      </c>
      <c r="C511">
        <f>IF($E511="","",INDEX('Input Transaksi'!$E:$E,$E511))</f>
        <v/>
      </c>
      <c r="D511" s="5">
        <f>IF($E511="","",INDEX('Input Transaksi'!$F:$F,$E511))</f>
        <v/>
      </c>
      <c r="E511">
        <f>IFERROR(AGGREGATE(15,6,ROW('Input Transaksi'!$B$5:$B$5000)/('Input Transaksi'!$B$5:$B$5000="JCL MERPATI"),ROWS($E$5:E511)),"")</f>
        <v/>
      </c>
      <c r="F511" s="5" t="n"/>
    </row>
    <row r="512">
      <c r="A512" s="10">
        <f>IF($E512="","",INDEX('Input Transaksi'!$A:$A,$E512))</f>
        <v/>
      </c>
      <c r="B512" s="5">
        <f>IF($E512="","",INDEX('Input Transaksi'!$D:$D,$E512))</f>
        <v/>
      </c>
      <c r="C512">
        <f>IF($E512="","",INDEX('Input Transaksi'!$E:$E,$E512))</f>
        <v/>
      </c>
      <c r="D512" s="5">
        <f>IF($E512="","",INDEX('Input Transaksi'!$F:$F,$E512))</f>
        <v/>
      </c>
      <c r="E512">
        <f>IFERROR(AGGREGATE(15,6,ROW('Input Transaksi'!$B$5:$B$5000)/('Input Transaksi'!$B$5:$B$5000="JCL MERPATI"),ROWS($E$5:E512)),"")</f>
        <v/>
      </c>
      <c r="F512" s="5" t="n"/>
    </row>
    <row r="513">
      <c r="A513" s="10">
        <f>IF($E513="","",INDEX('Input Transaksi'!$A:$A,$E513))</f>
        <v/>
      </c>
      <c r="B513" s="5">
        <f>IF($E513="","",INDEX('Input Transaksi'!$D:$D,$E513))</f>
        <v/>
      </c>
      <c r="C513">
        <f>IF($E513="","",INDEX('Input Transaksi'!$E:$E,$E513))</f>
        <v/>
      </c>
      <c r="D513" s="5">
        <f>IF($E513="","",INDEX('Input Transaksi'!$F:$F,$E513))</f>
        <v/>
      </c>
      <c r="E513">
        <f>IFERROR(AGGREGATE(15,6,ROW('Input Transaksi'!$B$5:$B$5000)/('Input Transaksi'!$B$5:$B$5000="JCL MERPATI"),ROWS($E$5:E513)),"")</f>
        <v/>
      </c>
      <c r="F513" s="5" t="n"/>
    </row>
    <row r="514">
      <c r="A514" s="10">
        <f>IF($E514="","",INDEX('Input Transaksi'!$A:$A,$E514))</f>
        <v/>
      </c>
      <c r="B514" s="5">
        <f>IF($E514="","",INDEX('Input Transaksi'!$D:$D,$E514))</f>
        <v/>
      </c>
      <c r="C514">
        <f>IF($E514="","",INDEX('Input Transaksi'!$E:$E,$E514))</f>
        <v/>
      </c>
      <c r="D514" s="5">
        <f>IF($E514="","",INDEX('Input Transaksi'!$F:$F,$E514))</f>
        <v/>
      </c>
      <c r="E514">
        <f>IFERROR(AGGREGATE(15,6,ROW('Input Transaksi'!$B$5:$B$5000)/('Input Transaksi'!$B$5:$B$5000="JCL MERPATI"),ROWS($E$5:E514)),"")</f>
        <v/>
      </c>
      <c r="F514" s="5" t="n"/>
    </row>
    <row r="515">
      <c r="A515" s="10">
        <f>IF($E515="","",INDEX('Input Transaksi'!$A:$A,$E515))</f>
        <v/>
      </c>
      <c r="B515" s="5">
        <f>IF($E515="","",INDEX('Input Transaksi'!$D:$D,$E515))</f>
        <v/>
      </c>
      <c r="C515">
        <f>IF($E515="","",INDEX('Input Transaksi'!$E:$E,$E515))</f>
        <v/>
      </c>
      <c r="D515" s="5">
        <f>IF($E515="","",INDEX('Input Transaksi'!$F:$F,$E515))</f>
        <v/>
      </c>
      <c r="E515">
        <f>IFERROR(AGGREGATE(15,6,ROW('Input Transaksi'!$B$5:$B$5000)/('Input Transaksi'!$B$5:$B$5000="JCL MERPATI"),ROWS($E$5:E515)),"")</f>
        <v/>
      </c>
      <c r="F515" s="5" t="n"/>
    </row>
    <row r="516">
      <c r="A516" s="10">
        <f>IF($E516="","",INDEX('Input Transaksi'!$A:$A,$E516))</f>
        <v/>
      </c>
      <c r="B516" s="5">
        <f>IF($E516="","",INDEX('Input Transaksi'!$D:$D,$E516))</f>
        <v/>
      </c>
      <c r="C516">
        <f>IF($E516="","",INDEX('Input Transaksi'!$E:$E,$E516))</f>
        <v/>
      </c>
      <c r="D516" s="5">
        <f>IF($E516="","",INDEX('Input Transaksi'!$F:$F,$E516))</f>
        <v/>
      </c>
      <c r="E516">
        <f>IFERROR(AGGREGATE(15,6,ROW('Input Transaksi'!$B$5:$B$5000)/('Input Transaksi'!$B$5:$B$5000="JCL MERPATI"),ROWS($E$5:E516)),"")</f>
        <v/>
      </c>
      <c r="F516" s="5" t="n"/>
    </row>
    <row r="517">
      <c r="A517" s="10">
        <f>IF($E517="","",INDEX('Input Transaksi'!$A:$A,$E517))</f>
        <v/>
      </c>
      <c r="B517" s="5">
        <f>IF($E517="","",INDEX('Input Transaksi'!$D:$D,$E517))</f>
        <v/>
      </c>
      <c r="C517">
        <f>IF($E517="","",INDEX('Input Transaksi'!$E:$E,$E517))</f>
        <v/>
      </c>
      <c r="D517" s="5">
        <f>IF($E517="","",INDEX('Input Transaksi'!$F:$F,$E517))</f>
        <v/>
      </c>
      <c r="E517">
        <f>IFERROR(AGGREGATE(15,6,ROW('Input Transaksi'!$B$5:$B$5000)/('Input Transaksi'!$B$5:$B$5000="JCL MERPATI"),ROWS($E$5:E517)),"")</f>
        <v/>
      </c>
      <c r="F517" s="5" t="n"/>
    </row>
    <row r="518">
      <c r="A518" s="10">
        <f>IF($E518="","",INDEX('Input Transaksi'!$A:$A,$E518))</f>
        <v/>
      </c>
      <c r="B518" s="5">
        <f>IF($E518="","",INDEX('Input Transaksi'!$D:$D,$E518))</f>
        <v/>
      </c>
      <c r="C518">
        <f>IF($E518="","",INDEX('Input Transaksi'!$E:$E,$E518))</f>
        <v/>
      </c>
      <c r="D518" s="5">
        <f>IF($E518="","",INDEX('Input Transaksi'!$F:$F,$E518))</f>
        <v/>
      </c>
      <c r="E518">
        <f>IFERROR(AGGREGATE(15,6,ROW('Input Transaksi'!$B$5:$B$5000)/('Input Transaksi'!$B$5:$B$5000="JCL MERPATI"),ROWS($E$5:E518)),"")</f>
        <v/>
      </c>
      <c r="F518" s="5" t="n"/>
    </row>
    <row r="519">
      <c r="A519" s="10">
        <f>IF($E519="","",INDEX('Input Transaksi'!$A:$A,$E519))</f>
        <v/>
      </c>
      <c r="B519" s="5">
        <f>IF($E519="","",INDEX('Input Transaksi'!$D:$D,$E519))</f>
        <v/>
      </c>
      <c r="C519">
        <f>IF($E519="","",INDEX('Input Transaksi'!$E:$E,$E519))</f>
        <v/>
      </c>
      <c r="D519" s="5">
        <f>IF($E519="","",INDEX('Input Transaksi'!$F:$F,$E519))</f>
        <v/>
      </c>
      <c r="E519">
        <f>IFERROR(AGGREGATE(15,6,ROW('Input Transaksi'!$B$5:$B$5000)/('Input Transaksi'!$B$5:$B$5000="JCL MERPATI"),ROWS($E$5:E519)),"")</f>
        <v/>
      </c>
      <c r="F519" s="5" t="n"/>
    </row>
    <row r="520">
      <c r="A520" s="10">
        <f>IF($E520="","",INDEX('Input Transaksi'!$A:$A,$E520))</f>
        <v/>
      </c>
      <c r="B520" s="5">
        <f>IF($E520="","",INDEX('Input Transaksi'!$D:$D,$E520))</f>
        <v/>
      </c>
      <c r="C520">
        <f>IF($E520="","",INDEX('Input Transaksi'!$E:$E,$E520))</f>
        <v/>
      </c>
      <c r="D520" s="5">
        <f>IF($E520="","",INDEX('Input Transaksi'!$F:$F,$E520))</f>
        <v/>
      </c>
      <c r="E520">
        <f>IFERROR(AGGREGATE(15,6,ROW('Input Transaksi'!$B$5:$B$5000)/('Input Transaksi'!$B$5:$B$5000="JCL MERPATI"),ROWS($E$5:E520)),"")</f>
        <v/>
      </c>
      <c r="F520" s="5" t="n"/>
    </row>
    <row r="521">
      <c r="A521" s="10">
        <f>IF($E521="","",INDEX('Input Transaksi'!$A:$A,$E521))</f>
        <v/>
      </c>
      <c r="B521" s="5">
        <f>IF($E521="","",INDEX('Input Transaksi'!$D:$D,$E521))</f>
        <v/>
      </c>
      <c r="C521">
        <f>IF($E521="","",INDEX('Input Transaksi'!$E:$E,$E521))</f>
        <v/>
      </c>
      <c r="D521" s="5">
        <f>IF($E521="","",INDEX('Input Transaksi'!$F:$F,$E521))</f>
        <v/>
      </c>
      <c r="E521">
        <f>IFERROR(AGGREGATE(15,6,ROW('Input Transaksi'!$B$5:$B$5000)/('Input Transaksi'!$B$5:$B$5000="JCL MERPATI"),ROWS($E$5:E521)),"")</f>
        <v/>
      </c>
      <c r="F521" s="5" t="n"/>
    </row>
    <row r="522">
      <c r="A522" s="10">
        <f>IF($E522="","",INDEX('Input Transaksi'!$A:$A,$E522))</f>
        <v/>
      </c>
      <c r="B522" s="5">
        <f>IF($E522="","",INDEX('Input Transaksi'!$D:$D,$E522))</f>
        <v/>
      </c>
      <c r="C522">
        <f>IF($E522="","",INDEX('Input Transaksi'!$E:$E,$E522))</f>
        <v/>
      </c>
      <c r="D522" s="5">
        <f>IF($E522="","",INDEX('Input Transaksi'!$F:$F,$E522))</f>
        <v/>
      </c>
      <c r="E522">
        <f>IFERROR(AGGREGATE(15,6,ROW('Input Transaksi'!$B$5:$B$5000)/('Input Transaksi'!$B$5:$B$5000="JCL MERPATI"),ROWS($E$5:E522)),"")</f>
        <v/>
      </c>
      <c r="F522" s="5" t="n"/>
    </row>
    <row r="523">
      <c r="A523" s="10">
        <f>IF($E523="","",INDEX('Input Transaksi'!$A:$A,$E523))</f>
        <v/>
      </c>
      <c r="B523" s="5">
        <f>IF($E523="","",INDEX('Input Transaksi'!$D:$D,$E523))</f>
        <v/>
      </c>
      <c r="C523">
        <f>IF($E523="","",INDEX('Input Transaksi'!$E:$E,$E523))</f>
        <v/>
      </c>
      <c r="D523" s="5">
        <f>IF($E523="","",INDEX('Input Transaksi'!$F:$F,$E523))</f>
        <v/>
      </c>
      <c r="E523">
        <f>IFERROR(AGGREGATE(15,6,ROW('Input Transaksi'!$B$5:$B$5000)/('Input Transaksi'!$B$5:$B$5000="JCL MERPATI"),ROWS($E$5:E523)),"")</f>
        <v/>
      </c>
      <c r="F523" s="5" t="n"/>
    </row>
    <row r="524">
      <c r="A524" s="10">
        <f>IF($E524="","",INDEX('Input Transaksi'!$A:$A,$E524))</f>
        <v/>
      </c>
      <c r="B524" s="5">
        <f>IF($E524="","",INDEX('Input Transaksi'!$D:$D,$E524))</f>
        <v/>
      </c>
      <c r="C524">
        <f>IF($E524="","",INDEX('Input Transaksi'!$E:$E,$E524))</f>
        <v/>
      </c>
      <c r="D524" s="5">
        <f>IF($E524="","",INDEX('Input Transaksi'!$F:$F,$E524))</f>
        <v/>
      </c>
      <c r="E524">
        <f>IFERROR(AGGREGATE(15,6,ROW('Input Transaksi'!$B$5:$B$5000)/('Input Transaksi'!$B$5:$B$5000="JCL MERPATI"),ROWS($E$5:E524)),"")</f>
        <v/>
      </c>
      <c r="F524" s="5" t="n"/>
    </row>
    <row r="525">
      <c r="A525" s="10">
        <f>IF($E525="","",INDEX('Input Transaksi'!$A:$A,$E525))</f>
        <v/>
      </c>
      <c r="B525" s="5">
        <f>IF($E525="","",INDEX('Input Transaksi'!$D:$D,$E525))</f>
        <v/>
      </c>
      <c r="C525">
        <f>IF($E525="","",INDEX('Input Transaksi'!$E:$E,$E525))</f>
        <v/>
      </c>
      <c r="D525" s="5">
        <f>IF($E525="","",INDEX('Input Transaksi'!$F:$F,$E525))</f>
        <v/>
      </c>
      <c r="E525">
        <f>IFERROR(AGGREGATE(15,6,ROW('Input Transaksi'!$B$5:$B$5000)/('Input Transaksi'!$B$5:$B$5000="JCL MERPATI"),ROWS($E$5:E525)),"")</f>
        <v/>
      </c>
      <c r="F525" s="5" t="n"/>
    </row>
    <row r="526">
      <c r="A526" s="10">
        <f>IF($E526="","",INDEX('Input Transaksi'!$A:$A,$E526))</f>
        <v/>
      </c>
      <c r="B526" s="5">
        <f>IF($E526="","",INDEX('Input Transaksi'!$D:$D,$E526))</f>
        <v/>
      </c>
      <c r="C526">
        <f>IF($E526="","",INDEX('Input Transaksi'!$E:$E,$E526))</f>
        <v/>
      </c>
      <c r="D526" s="5">
        <f>IF($E526="","",INDEX('Input Transaksi'!$F:$F,$E526))</f>
        <v/>
      </c>
      <c r="E526">
        <f>IFERROR(AGGREGATE(15,6,ROW('Input Transaksi'!$B$5:$B$5000)/('Input Transaksi'!$B$5:$B$5000="JCL MERPATI"),ROWS($E$5:E526)),"")</f>
        <v/>
      </c>
      <c r="F526" s="5" t="n"/>
    </row>
    <row r="527">
      <c r="A527" s="10">
        <f>IF($E527="","",INDEX('Input Transaksi'!$A:$A,$E527))</f>
        <v/>
      </c>
      <c r="B527" s="5">
        <f>IF($E527="","",INDEX('Input Transaksi'!$D:$D,$E527))</f>
        <v/>
      </c>
      <c r="C527">
        <f>IF($E527="","",INDEX('Input Transaksi'!$E:$E,$E527))</f>
        <v/>
      </c>
      <c r="D527" s="5">
        <f>IF($E527="","",INDEX('Input Transaksi'!$F:$F,$E527))</f>
        <v/>
      </c>
      <c r="E527">
        <f>IFERROR(AGGREGATE(15,6,ROW('Input Transaksi'!$B$5:$B$5000)/('Input Transaksi'!$B$5:$B$5000="JCL MERPATI"),ROWS($E$5:E527)),"")</f>
        <v/>
      </c>
      <c r="F527" s="5" t="n"/>
    </row>
    <row r="528">
      <c r="A528" s="10">
        <f>IF($E528="","",INDEX('Input Transaksi'!$A:$A,$E528))</f>
        <v/>
      </c>
      <c r="B528" s="5">
        <f>IF($E528="","",INDEX('Input Transaksi'!$D:$D,$E528))</f>
        <v/>
      </c>
      <c r="C528">
        <f>IF($E528="","",INDEX('Input Transaksi'!$E:$E,$E528))</f>
        <v/>
      </c>
      <c r="D528" s="5">
        <f>IF($E528="","",INDEX('Input Transaksi'!$F:$F,$E528))</f>
        <v/>
      </c>
      <c r="E528">
        <f>IFERROR(AGGREGATE(15,6,ROW('Input Transaksi'!$B$5:$B$5000)/('Input Transaksi'!$B$5:$B$5000="JCL MERPATI"),ROWS($E$5:E528)),"")</f>
        <v/>
      </c>
      <c r="F528" s="5" t="n"/>
    </row>
    <row r="529">
      <c r="A529" s="10">
        <f>IF($E529="","",INDEX('Input Transaksi'!$A:$A,$E529))</f>
        <v/>
      </c>
      <c r="B529" s="5">
        <f>IF($E529="","",INDEX('Input Transaksi'!$D:$D,$E529))</f>
        <v/>
      </c>
      <c r="C529">
        <f>IF($E529="","",INDEX('Input Transaksi'!$E:$E,$E529))</f>
        <v/>
      </c>
      <c r="D529" s="5">
        <f>IF($E529="","",INDEX('Input Transaksi'!$F:$F,$E529))</f>
        <v/>
      </c>
      <c r="E529">
        <f>IFERROR(AGGREGATE(15,6,ROW('Input Transaksi'!$B$5:$B$5000)/('Input Transaksi'!$B$5:$B$5000="JCL MERPATI"),ROWS($E$5:E529)),"")</f>
        <v/>
      </c>
      <c r="F529" s="5" t="n"/>
    </row>
    <row r="530">
      <c r="A530" s="10">
        <f>IF($E530="","",INDEX('Input Transaksi'!$A:$A,$E530))</f>
        <v/>
      </c>
      <c r="B530" s="5">
        <f>IF($E530="","",INDEX('Input Transaksi'!$D:$D,$E530))</f>
        <v/>
      </c>
      <c r="C530">
        <f>IF($E530="","",INDEX('Input Transaksi'!$E:$E,$E530))</f>
        <v/>
      </c>
      <c r="D530" s="5">
        <f>IF($E530="","",INDEX('Input Transaksi'!$F:$F,$E530))</f>
        <v/>
      </c>
      <c r="E530">
        <f>IFERROR(AGGREGATE(15,6,ROW('Input Transaksi'!$B$5:$B$5000)/('Input Transaksi'!$B$5:$B$5000="JCL MERPATI"),ROWS($E$5:E530)),"")</f>
        <v/>
      </c>
      <c r="F530" s="5" t="n"/>
    </row>
    <row r="531">
      <c r="A531" s="10">
        <f>IF($E531="","",INDEX('Input Transaksi'!$A:$A,$E531))</f>
        <v/>
      </c>
      <c r="B531" s="5">
        <f>IF($E531="","",INDEX('Input Transaksi'!$D:$D,$E531))</f>
        <v/>
      </c>
      <c r="C531">
        <f>IF($E531="","",INDEX('Input Transaksi'!$E:$E,$E531))</f>
        <v/>
      </c>
      <c r="D531" s="5">
        <f>IF($E531="","",INDEX('Input Transaksi'!$F:$F,$E531))</f>
        <v/>
      </c>
      <c r="E531">
        <f>IFERROR(AGGREGATE(15,6,ROW('Input Transaksi'!$B$5:$B$5000)/('Input Transaksi'!$B$5:$B$5000="JCL MERPATI"),ROWS($E$5:E531)),"")</f>
        <v/>
      </c>
      <c r="F531" s="5" t="n"/>
    </row>
    <row r="532">
      <c r="A532" s="10">
        <f>IF($E532="","",INDEX('Input Transaksi'!$A:$A,$E532))</f>
        <v/>
      </c>
      <c r="B532" s="5">
        <f>IF($E532="","",INDEX('Input Transaksi'!$D:$D,$E532))</f>
        <v/>
      </c>
      <c r="C532">
        <f>IF($E532="","",INDEX('Input Transaksi'!$E:$E,$E532))</f>
        <v/>
      </c>
      <c r="D532" s="5">
        <f>IF($E532="","",INDEX('Input Transaksi'!$F:$F,$E532))</f>
        <v/>
      </c>
      <c r="E532">
        <f>IFERROR(AGGREGATE(15,6,ROW('Input Transaksi'!$B$5:$B$5000)/('Input Transaksi'!$B$5:$B$5000="JCL MERPATI"),ROWS($E$5:E532)),"")</f>
        <v/>
      </c>
      <c r="F532" s="5" t="n"/>
    </row>
    <row r="533">
      <c r="A533" s="10">
        <f>IF($E533="","",INDEX('Input Transaksi'!$A:$A,$E533))</f>
        <v/>
      </c>
      <c r="B533" s="5">
        <f>IF($E533="","",INDEX('Input Transaksi'!$D:$D,$E533))</f>
        <v/>
      </c>
      <c r="C533">
        <f>IF($E533="","",INDEX('Input Transaksi'!$E:$E,$E533))</f>
        <v/>
      </c>
      <c r="D533" s="5">
        <f>IF($E533="","",INDEX('Input Transaksi'!$F:$F,$E533))</f>
        <v/>
      </c>
      <c r="E533">
        <f>IFERROR(AGGREGATE(15,6,ROW('Input Transaksi'!$B$5:$B$5000)/('Input Transaksi'!$B$5:$B$5000="JCL MERPATI"),ROWS($E$5:E533)),"")</f>
        <v/>
      </c>
      <c r="F533" s="5" t="n"/>
    </row>
    <row r="534">
      <c r="A534" s="10">
        <f>IF($E534="","",INDEX('Input Transaksi'!$A:$A,$E534))</f>
        <v/>
      </c>
      <c r="B534" s="5">
        <f>IF($E534="","",INDEX('Input Transaksi'!$D:$D,$E534))</f>
        <v/>
      </c>
      <c r="C534">
        <f>IF($E534="","",INDEX('Input Transaksi'!$E:$E,$E534))</f>
        <v/>
      </c>
      <c r="D534" s="5">
        <f>IF($E534="","",INDEX('Input Transaksi'!$F:$F,$E534))</f>
        <v/>
      </c>
      <c r="E534">
        <f>IFERROR(AGGREGATE(15,6,ROW('Input Transaksi'!$B$5:$B$5000)/('Input Transaksi'!$B$5:$B$5000="JCL MERPATI"),ROWS($E$5:E534)),"")</f>
        <v/>
      </c>
      <c r="F534" s="5" t="n"/>
    </row>
    <row r="535">
      <c r="A535" s="10">
        <f>IF($E535="","",INDEX('Input Transaksi'!$A:$A,$E535))</f>
        <v/>
      </c>
      <c r="B535" s="5">
        <f>IF($E535="","",INDEX('Input Transaksi'!$D:$D,$E535))</f>
        <v/>
      </c>
      <c r="C535">
        <f>IF($E535="","",INDEX('Input Transaksi'!$E:$E,$E535))</f>
        <v/>
      </c>
      <c r="D535" s="5">
        <f>IF($E535="","",INDEX('Input Transaksi'!$F:$F,$E535))</f>
        <v/>
      </c>
      <c r="E535">
        <f>IFERROR(AGGREGATE(15,6,ROW('Input Transaksi'!$B$5:$B$5000)/('Input Transaksi'!$B$5:$B$5000="JCL MERPATI"),ROWS($E$5:E535)),"")</f>
        <v/>
      </c>
      <c r="F535" s="5" t="n"/>
    </row>
    <row r="536">
      <c r="A536" s="10">
        <f>IF($E536="","",INDEX('Input Transaksi'!$A:$A,$E536))</f>
        <v/>
      </c>
      <c r="B536" s="5">
        <f>IF($E536="","",INDEX('Input Transaksi'!$D:$D,$E536))</f>
        <v/>
      </c>
      <c r="C536">
        <f>IF($E536="","",INDEX('Input Transaksi'!$E:$E,$E536))</f>
        <v/>
      </c>
      <c r="D536" s="5">
        <f>IF($E536="","",INDEX('Input Transaksi'!$F:$F,$E536))</f>
        <v/>
      </c>
      <c r="E536">
        <f>IFERROR(AGGREGATE(15,6,ROW('Input Transaksi'!$B$5:$B$5000)/('Input Transaksi'!$B$5:$B$5000="JCL MERPATI"),ROWS($E$5:E536)),"")</f>
        <v/>
      </c>
      <c r="F536" s="5" t="n"/>
    </row>
    <row r="537">
      <c r="A537" s="10">
        <f>IF($E537="","",INDEX('Input Transaksi'!$A:$A,$E537))</f>
        <v/>
      </c>
      <c r="B537" s="5">
        <f>IF($E537="","",INDEX('Input Transaksi'!$D:$D,$E537))</f>
        <v/>
      </c>
      <c r="C537">
        <f>IF($E537="","",INDEX('Input Transaksi'!$E:$E,$E537))</f>
        <v/>
      </c>
      <c r="D537" s="5">
        <f>IF($E537="","",INDEX('Input Transaksi'!$F:$F,$E537))</f>
        <v/>
      </c>
      <c r="E537">
        <f>IFERROR(AGGREGATE(15,6,ROW('Input Transaksi'!$B$5:$B$5000)/('Input Transaksi'!$B$5:$B$5000="JCL MERPATI"),ROWS($E$5:E537)),"")</f>
        <v/>
      </c>
      <c r="F537" s="5" t="n"/>
    </row>
    <row r="538">
      <c r="A538" s="10">
        <f>IF($E538="","",INDEX('Input Transaksi'!$A:$A,$E538))</f>
        <v/>
      </c>
      <c r="B538" s="5">
        <f>IF($E538="","",INDEX('Input Transaksi'!$D:$D,$E538))</f>
        <v/>
      </c>
      <c r="C538">
        <f>IF($E538="","",INDEX('Input Transaksi'!$E:$E,$E538))</f>
        <v/>
      </c>
      <c r="D538" s="5">
        <f>IF($E538="","",INDEX('Input Transaksi'!$F:$F,$E538))</f>
        <v/>
      </c>
      <c r="E538">
        <f>IFERROR(AGGREGATE(15,6,ROW('Input Transaksi'!$B$5:$B$5000)/('Input Transaksi'!$B$5:$B$5000="JCL MERPATI"),ROWS($E$5:E538)),"")</f>
        <v/>
      </c>
      <c r="F538" s="5" t="n"/>
    </row>
    <row r="539">
      <c r="A539" s="10">
        <f>IF($E539="","",INDEX('Input Transaksi'!$A:$A,$E539))</f>
        <v/>
      </c>
      <c r="B539" s="5">
        <f>IF($E539="","",INDEX('Input Transaksi'!$D:$D,$E539))</f>
        <v/>
      </c>
      <c r="C539">
        <f>IF($E539="","",INDEX('Input Transaksi'!$E:$E,$E539))</f>
        <v/>
      </c>
      <c r="D539" s="5">
        <f>IF($E539="","",INDEX('Input Transaksi'!$F:$F,$E539))</f>
        <v/>
      </c>
      <c r="E539">
        <f>IFERROR(AGGREGATE(15,6,ROW('Input Transaksi'!$B$5:$B$5000)/('Input Transaksi'!$B$5:$B$5000="JCL MERPATI"),ROWS($E$5:E539)),"")</f>
        <v/>
      </c>
      <c r="F539" s="5" t="n"/>
    </row>
    <row r="540">
      <c r="A540" s="10">
        <f>IF($E540="","",INDEX('Input Transaksi'!$A:$A,$E540))</f>
        <v/>
      </c>
      <c r="B540" s="5">
        <f>IF($E540="","",INDEX('Input Transaksi'!$D:$D,$E540))</f>
        <v/>
      </c>
      <c r="C540">
        <f>IF($E540="","",INDEX('Input Transaksi'!$E:$E,$E540))</f>
        <v/>
      </c>
      <c r="D540" s="5">
        <f>IF($E540="","",INDEX('Input Transaksi'!$F:$F,$E540))</f>
        <v/>
      </c>
      <c r="E540">
        <f>IFERROR(AGGREGATE(15,6,ROW('Input Transaksi'!$B$5:$B$5000)/('Input Transaksi'!$B$5:$B$5000="JCL MERPATI"),ROWS($E$5:E540)),"")</f>
        <v/>
      </c>
      <c r="F540" s="5" t="n"/>
    </row>
    <row r="541">
      <c r="A541" s="10">
        <f>IF($E541="","",INDEX('Input Transaksi'!$A:$A,$E541))</f>
        <v/>
      </c>
      <c r="B541" s="5">
        <f>IF($E541="","",INDEX('Input Transaksi'!$D:$D,$E541))</f>
        <v/>
      </c>
      <c r="C541">
        <f>IF($E541="","",INDEX('Input Transaksi'!$E:$E,$E541))</f>
        <v/>
      </c>
      <c r="D541" s="5">
        <f>IF($E541="","",INDEX('Input Transaksi'!$F:$F,$E541))</f>
        <v/>
      </c>
      <c r="E541">
        <f>IFERROR(AGGREGATE(15,6,ROW('Input Transaksi'!$B$5:$B$5000)/('Input Transaksi'!$B$5:$B$5000="JCL MERPATI"),ROWS($E$5:E541)),"")</f>
        <v/>
      </c>
      <c r="F541" s="5" t="n"/>
    </row>
    <row r="542">
      <c r="A542" s="10">
        <f>IF($E542="","",INDEX('Input Transaksi'!$A:$A,$E542))</f>
        <v/>
      </c>
      <c r="B542" s="5">
        <f>IF($E542="","",INDEX('Input Transaksi'!$D:$D,$E542))</f>
        <v/>
      </c>
      <c r="C542">
        <f>IF($E542="","",INDEX('Input Transaksi'!$E:$E,$E542))</f>
        <v/>
      </c>
      <c r="D542" s="5">
        <f>IF($E542="","",INDEX('Input Transaksi'!$F:$F,$E542))</f>
        <v/>
      </c>
      <c r="E542">
        <f>IFERROR(AGGREGATE(15,6,ROW('Input Transaksi'!$B$5:$B$5000)/('Input Transaksi'!$B$5:$B$5000="JCL MERPATI"),ROWS($E$5:E542)),"")</f>
        <v/>
      </c>
      <c r="F542" s="5" t="n"/>
    </row>
    <row r="543">
      <c r="A543" s="10">
        <f>IF($E543="","",INDEX('Input Transaksi'!$A:$A,$E543))</f>
        <v/>
      </c>
      <c r="B543" s="5">
        <f>IF($E543="","",INDEX('Input Transaksi'!$D:$D,$E543))</f>
        <v/>
      </c>
      <c r="C543">
        <f>IF($E543="","",INDEX('Input Transaksi'!$E:$E,$E543))</f>
        <v/>
      </c>
      <c r="D543" s="5">
        <f>IF($E543="","",INDEX('Input Transaksi'!$F:$F,$E543))</f>
        <v/>
      </c>
      <c r="E543">
        <f>IFERROR(AGGREGATE(15,6,ROW('Input Transaksi'!$B$5:$B$5000)/('Input Transaksi'!$B$5:$B$5000="JCL MERPATI"),ROWS($E$5:E543)),"")</f>
        <v/>
      </c>
      <c r="F543" s="5" t="n"/>
    </row>
    <row r="544">
      <c r="A544" s="10">
        <f>IF($E544="","",INDEX('Input Transaksi'!$A:$A,$E544))</f>
        <v/>
      </c>
      <c r="B544" s="5">
        <f>IF($E544="","",INDEX('Input Transaksi'!$D:$D,$E544))</f>
        <v/>
      </c>
      <c r="C544">
        <f>IF($E544="","",INDEX('Input Transaksi'!$E:$E,$E544))</f>
        <v/>
      </c>
      <c r="D544" s="5">
        <f>IF($E544="","",INDEX('Input Transaksi'!$F:$F,$E544))</f>
        <v/>
      </c>
      <c r="E544">
        <f>IFERROR(AGGREGATE(15,6,ROW('Input Transaksi'!$B$5:$B$5000)/('Input Transaksi'!$B$5:$B$5000="JCL MERPATI"),ROWS($E$5:E544)),"")</f>
        <v/>
      </c>
      <c r="F544" s="5" t="n"/>
    </row>
    <row r="545">
      <c r="A545" s="10">
        <f>IF($E545="","",INDEX('Input Transaksi'!$A:$A,$E545))</f>
        <v/>
      </c>
      <c r="B545" s="5">
        <f>IF($E545="","",INDEX('Input Transaksi'!$D:$D,$E545))</f>
        <v/>
      </c>
      <c r="C545">
        <f>IF($E545="","",INDEX('Input Transaksi'!$E:$E,$E545))</f>
        <v/>
      </c>
      <c r="D545" s="5">
        <f>IF($E545="","",INDEX('Input Transaksi'!$F:$F,$E545))</f>
        <v/>
      </c>
      <c r="E545">
        <f>IFERROR(AGGREGATE(15,6,ROW('Input Transaksi'!$B$5:$B$5000)/('Input Transaksi'!$B$5:$B$5000="JCL MERPATI"),ROWS($E$5:E545)),"")</f>
        <v/>
      </c>
      <c r="F545" s="5" t="n"/>
    </row>
    <row r="546">
      <c r="A546" s="10">
        <f>IF($E546="","",INDEX('Input Transaksi'!$A:$A,$E546))</f>
        <v/>
      </c>
      <c r="B546" s="5">
        <f>IF($E546="","",INDEX('Input Transaksi'!$D:$D,$E546))</f>
        <v/>
      </c>
      <c r="C546">
        <f>IF($E546="","",INDEX('Input Transaksi'!$E:$E,$E546))</f>
        <v/>
      </c>
      <c r="D546" s="5">
        <f>IF($E546="","",INDEX('Input Transaksi'!$F:$F,$E546))</f>
        <v/>
      </c>
      <c r="E546">
        <f>IFERROR(AGGREGATE(15,6,ROW('Input Transaksi'!$B$5:$B$5000)/('Input Transaksi'!$B$5:$B$5000="JCL MERPATI"),ROWS($E$5:E546)),"")</f>
        <v/>
      </c>
      <c r="F546" s="5" t="n"/>
    </row>
    <row r="547">
      <c r="A547" s="10">
        <f>IF($E547="","",INDEX('Input Transaksi'!$A:$A,$E547))</f>
        <v/>
      </c>
      <c r="B547" s="5">
        <f>IF($E547="","",INDEX('Input Transaksi'!$D:$D,$E547))</f>
        <v/>
      </c>
      <c r="C547">
        <f>IF($E547="","",INDEX('Input Transaksi'!$E:$E,$E547))</f>
        <v/>
      </c>
      <c r="D547" s="5">
        <f>IF($E547="","",INDEX('Input Transaksi'!$F:$F,$E547))</f>
        <v/>
      </c>
      <c r="E547">
        <f>IFERROR(AGGREGATE(15,6,ROW('Input Transaksi'!$B$5:$B$5000)/('Input Transaksi'!$B$5:$B$5000="JCL MERPATI"),ROWS($E$5:E547)),"")</f>
        <v/>
      </c>
      <c r="F547" s="5" t="n"/>
    </row>
    <row r="548">
      <c r="A548" s="10">
        <f>IF($E548="","",INDEX('Input Transaksi'!$A:$A,$E548))</f>
        <v/>
      </c>
      <c r="B548" s="5">
        <f>IF($E548="","",INDEX('Input Transaksi'!$D:$D,$E548))</f>
        <v/>
      </c>
      <c r="C548">
        <f>IF($E548="","",INDEX('Input Transaksi'!$E:$E,$E548))</f>
        <v/>
      </c>
      <c r="D548" s="5">
        <f>IF($E548="","",INDEX('Input Transaksi'!$F:$F,$E548))</f>
        <v/>
      </c>
      <c r="E548">
        <f>IFERROR(AGGREGATE(15,6,ROW('Input Transaksi'!$B$5:$B$5000)/('Input Transaksi'!$B$5:$B$5000="JCL MERPATI"),ROWS($E$5:E548)),"")</f>
        <v/>
      </c>
      <c r="F548" s="5" t="n"/>
    </row>
    <row r="549">
      <c r="A549" s="10">
        <f>IF($E549="","",INDEX('Input Transaksi'!$A:$A,$E549))</f>
        <v/>
      </c>
      <c r="B549" s="5">
        <f>IF($E549="","",INDEX('Input Transaksi'!$D:$D,$E549))</f>
        <v/>
      </c>
      <c r="C549">
        <f>IF($E549="","",INDEX('Input Transaksi'!$E:$E,$E549))</f>
        <v/>
      </c>
      <c r="D549" s="5">
        <f>IF($E549="","",INDEX('Input Transaksi'!$F:$F,$E549))</f>
        <v/>
      </c>
      <c r="E549">
        <f>IFERROR(AGGREGATE(15,6,ROW('Input Transaksi'!$B$5:$B$5000)/('Input Transaksi'!$B$5:$B$5000="JCL MERPATI"),ROWS($E$5:E549)),"")</f>
        <v/>
      </c>
      <c r="F549" s="5" t="n"/>
    </row>
    <row r="550">
      <c r="A550" s="10">
        <f>IF($E550="","",INDEX('Input Transaksi'!$A:$A,$E550))</f>
        <v/>
      </c>
      <c r="B550" s="5">
        <f>IF($E550="","",INDEX('Input Transaksi'!$D:$D,$E550))</f>
        <v/>
      </c>
      <c r="C550">
        <f>IF($E550="","",INDEX('Input Transaksi'!$E:$E,$E550))</f>
        <v/>
      </c>
      <c r="D550" s="5">
        <f>IF($E550="","",INDEX('Input Transaksi'!$F:$F,$E550))</f>
        <v/>
      </c>
      <c r="E550">
        <f>IFERROR(AGGREGATE(15,6,ROW('Input Transaksi'!$B$5:$B$5000)/('Input Transaksi'!$B$5:$B$5000="JCL MERPATI"),ROWS($E$5:E550)),"")</f>
        <v/>
      </c>
      <c r="F550" s="5" t="n"/>
    </row>
    <row r="551">
      <c r="A551" s="10">
        <f>IF($E551="","",INDEX('Input Transaksi'!$A:$A,$E551))</f>
        <v/>
      </c>
      <c r="B551" s="5">
        <f>IF($E551="","",INDEX('Input Transaksi'!$D:$D,$E551))</f>
        <v/>
      </c>
      <c r="C551">
        <f>IF($E551="","",INDEX('Input Transaksi'!$E:$E,$E551))</f>
        <v/>
      </c>
      <c r="D551" s="5">
        <f>IF($E551="","",INDEX('Input Transaksi'!$F:$F,$E551))</f>
        <v/>
      </c>
      <c r="E551">
        <f>IFERROR(AGGREGATE(15,6,ROW('Input Transaksi'!$B$5:$B$5000)/('Input Transaksi'!$B$5:$B$5000="JCL MERPATI"),ROWS($E$5:E551)),"")</f>
        <v/>
      </c>
      <c r="F551" s="5" t="n"/>
    </row>
    <row r="552">
      <c r="A552" s="10">
        <f>IF($E552="","",INDEX('Input Transaksi'!$A:$A,$E552))</f>
        <v/>
      </c>
      <c r="B552" s="5">
        <f>IF($E552="","",INDEX('Input Transaksi'!$D:$D,$E552))</f>
        <v/>
      </c>
      <c r="C552">
        <f>IF($E552="","",INDEX('Input Transaksi'!$E:$E,$E552))</f>
        <v/>
      </c>
      <c r="D552" s="5">
        <f>IF($E552="","",INDEX('Input Transaksi'!$F:$F,$E552))</f>
        <v/>
      </c>
      <c r="E552">
        <f>IFERROR(AGGREGATE(15,6,ROW('Input Transaksi'!$B$5:$B$5000)/('Input Transaksi'!$B$5:$B$5000="JCL MERPATI"),ROWS($E$5:E552)),"")</f>
        <v/>
      </c>
      <c r="F552" s="5" t="n"/>
    </row>
    <row r="553">
      <c r="A553" s="10">
        <f>IF($E553="","",INDEX('Input Transaksi'!$A:$A,$E553))</f>
        <v/>
      </c>
      <c r="B553" s="5">
        <f>IF($E553="","",INDEX('Input Transaksi'!$D:$D,$E553))</f>
        <v/>
      </c>
      <c r="C553">
        <f>IF($E553="","",INDEX('Input Transaksi'!$E:$E,$E553))</f>
        <v/>
      </c>
      <c r="D553" s="5">
        <f>IF($E553="","",INDEX('Input Transaksi'!$F:$F,$E553))</f>
        <v/>
      </c>
      <c r="E553">
        <f>IFERROR(AGGREGATE(15,6,ROW('Input Transaksi'!$B$5:$B$5000)/('Input Transaksi'!$B$5:$B$5000="JCL MERPATI"),ROWS($E$5:E553)),"")</f>
        <v/>
      </c>
      <c r="F553" s="5" t="n"/>
    </row>
    <row r="554">
      <c r="A554" s="10">
        <f>IF($E554="","",INDEX('Input Transaksi'!$A:$A,$E554))</f>
        <v/>
      </c>
      <c r="B554" s="5">
        <f>IF($E554="","",INDEX('Input Transaksi'!$D:$D,$E554))</f>
        <v/>
      </c>
      <c r="C554">
        <f>IF($E554="","",INDEX('Input Transaksi'!$E:$E,$E554))</f>
        <v/>
      </c>
      <c r="D554" s="5">
        <f>IF($E554="","",INDEX('Input Transaksi'!$F:$F,$E554))</f>
        <v/>
      </c>
      <c r="E554">
        <f>IFERROR(AGGREGATE(15,6,ROW('Input Transaksi'!$B$5:$B$5000)/('Input Transaksi'!$B$5:$B$5000="JCL MERPATI"),ROWS($E$5:E554)),"")</f>
        <v/>
      </c>
      <c r="F554" s="5" t="n"/>
    </row>
    <row r="555">
      <c r="A555" s="10">
        <f>IF($E555="","",INDEX('Input Transaksi'!$A:$A,$E555))</f>
        <v/>
      </c>
      <c r="B555" s="5">
        <f>IF($E555="","",INDEX('Input Transaksi'!$D:$D,$E555))</f>
        <v/>
      </c>
      <c r="C555">
        <f>IF($E555="","",INDEX('Input Transaksi'!$E:$E,$E555))</f>
        <v/>
      </c>
      <c r="D555" s="5">
        <f>IF($E555="","",INDEX('Input Transaksi'!$F:$F,$E555))</f>
        <v/>
      </c>
      <c r="E555">
        <f>IFERROR(AGGREGATE(15,6,ROW('Input Transaksi'!$B$5:$B$5000)/('Input Transaksi'!$B$5:$B$5000="JCL MERPATI"),ROWS($E$5:E555)),"")</f>
        <v/>
      </c>
      <c r="F555" s="5" t="n"/>
    </row>
    <row r="556">
      <c r="A556" s="10">
        <f>IF($E556="","",INDEX('Input Transaksi'!$A:$A,$E556))</f>
        <v/>
      </c>
      <c r="B556" s="5">
        <f>IF($E556="","",INDEX('Input Transaksi'!$D:$D,$E556))</f>
        <v/>
      </c>
      <c r="C556">
        <f>IF($E556="","",INDEX('Input Transaksi'!$E:$E,$E556))</f>
        <v/>
      </c>
      <c r="D556" s="5">
        <f>IF($E556="","",INDEX('Input Transaksi'!$F:$F,$E556))</f>
        <v/>
      </c>
      <c r="E556">
        <f>IFERROR(AGGREGATE(15,6,ROW('Input Transaksi'!$B$5:$B$5000)/('Input Transaksi'!$B$5:$B$5000="JCL MERPATI"),ROWS($E$5:E556)),"")</f>
        <v/>
      </c>
      <c r="F556" s="5" t="n"/>
    </row>
    <row r="557">
      <c r="A557" s="10">
        <f>IF($E557="","",INDEX('Input Transaksi'!$A:$A,$E557))</f>
        <v/>
      </c>
      <c r="B557" s="5">
        <f>IF($E557="","",INDEX('Input Transaksi'!$D:$D,$E557))</f>
        <v/>
      </c>
      <c r="C557">
        <f>IF($E557="","",INDEX('Input Transaksi'!$E:$E,$E557))</f>
        <v/>
      </c>
      <c r="D557" s="5">
        <f>IF($E557="","",INDEX('Input Transaksi'!$F:$F,$E557))</f>
        <v/>
      </c>
      <c r="E557">
        <f>IFERROR(AGGREGATE(15,6,ROW('Input Transaksi'!$B$5:$B$5000)/('Input Transaksi'!$B$5:$B$5000="JCL MERPATI"),ROWS($E$5:E557)),"")</f>
        <v/>
      </c>
      <c r="F557" s="5" t="n"/>
    </row>
    <row r="558">
      <c r="A558" s="10">
        <f>IF($E558="","",INDEX('Input Transaksi'!$A:$A,$E558))</f>
        <v/>
      </c>
      <c r="B558" s="5">
        <f>IF($E558="","",INDEX('Input Transaksi'!$D:$D,$E558))</f>
        <v/>
      </c>
      <c r="C558">
        <f>IF($E558="","",INDEX('Input Transaksi'!$E:$E,$E558))</f>
        <v/>
      </c>
      <c r="D558" s="5">
        <f>IF($E558="","",INDEX('Input Transaksi'!$F:$F,$E558))</f>
        <v/>
      </c>
      <c r="E558">
        <f>IFERROR(AGGREGATE(15,6,ROW('Input Transaksi'!$B$5:$B$5000)/('Input Transaksi'!$B$5:$B$5000="JCL MERPATI"),ROWS($E$5:E558)),"")</f>
        <v/>
      </c>
      <c r="F558" s="5" t="n"/>
    </row>
    <row r="559">
      <c r="A559" s="10">
        <f>IF($E559="","",INDEX('Input Transaksi'!$A:$A,$E559))</f>
        <v/>
      </c>
      <c r="B559" s="5">
        <f>IF($E559="","",INDEX('Input Transaksi'!$D:$D,$E559))</f>
        <v/>
      </c>
      <c r="C559">
        <f>IF($E559="","",INDEX('Input Transaksi'!$E:$E,$E559))</f>
        <v/>
      </c>
      <c r="D559" s="5">
        <f>IF($E559="","",INDEX('Input Transaksi'!$F:$F,$E559))</f>
        <v/>
      </c>
      <c r="E559">
        <f>IFERROR(AGGREGATE(15,6,ROW('Input Transaksi'!$B$5:$B$5000)/('Input Transaksi'!$B$5:$B$5000="JCL MERPATI"),ROWS($E$5:E559)),"")</f>
        <v/>
      </c>
      <c r="F559" s="5" t="n"/>
    </row>
    <row r="560">
      <c r="A560" s="10">
        <f>IF($E560="","",INDEX('Input Transaksi'!$A:$A,$E560))</f>
        <v/>
      </c>
      <c r="B560" s="5">
        <f>IF($E560="","",INDEX('Input Transaksi'!$D:$D,$E560))</f>
        <v/>
      </c>
      <c r="C560">
        <f>IF($E560="","",INDEX('Input Transaksi'!$E:$E,$E560))</f>
        <v/>
      </c>
      <c r="D560" s="5">
        <f>IF($E560="","",INDEX('Input Transaksi'!$F:$F,$E560))</f>
        <v/>
      </c>
      <c r="E560">
        <f>IFERROR(AGGREGATE(15,6,ROW('Input Transaksi'!$B$5:$B$5000)/('Input Transaksi'!$B$5:$B$5000="JCL MERPATI"),ROWS($E$5:E560)),"")</f>
        <v/>
      </c>
      <c r="F560" s="5" t="n"/>
    </row>
    <row r="561">
      <c r="A561" s="10">
        <f>IF($E561="","",INDEX('Input Transaksi'!$A:$A,$E561))</f>
        <v/>
      </c>
      <c r="B561" s="5">
        <f>IF($E561="","",INDEX('Input Transaksi'!$D:$D,$E561))</f>
        <v/>
      </c>
      <c r="C561">
        <f>IF($E561="","",INDEX('Input Transaksi'!$E:$E,$E561))</f>
        <v/>
      </c>
      <c r="D561" s="5">
        <f>IF($E561="","",INDEX('Input Transaksi'!$F:$F,$E561))</f>
        <v/>
      </c>
      <c r="E561">
        <f>IFERROR(AGGREGATE(15,6,ROW('Input Transaksi'!$B$5:$B$5000)/('Input Transaksi'!$B$5:$B$5000="JCL MERPATI"),ROWS($E$5:E561)),"")</f>
        <v/>
      </c>
      <c r="F561" s="5" t="n"/>
    </row>
    <row r="562">
      <c r="A562" s="10">
        <f>IF($E562="","",INDEX('Input Transaksi'!$A:$A,$E562))</f>
        <v/>
      </c>
      <c r="B562" s="5">
        <f>IF($E562="","",INDEX('Input Transaksi'!$D:$D,$E562))</f>
        <v/>
      </c>
      <c r="C562">
        <f>IF($E562="","",INDEX('Input Transaksi'!$E:$E,$E562))</f>
        <v/>
      </c>
      <c r="D562" s="5">
        <f>IF($E562="","",INDEX('Input Transaksi'!$F:$F,$E562))</f>
        <v/>
      </c>
      <c r="E562">
        <f>IFERROR(AGGREGATE(15,6,ROW('Input Transaksi'!$B$5:$B$5000)/('Input Transaksi'!$B$5:$B$5000="JCL MERPATI"),ROWS($E$5:E562)),"")</f>
        <v/>
      </c>
      <c r="F562" s="5" t="n"/>
    </row>
    <row r="563">
      <c r="A563" s="10">
        <f>IF($E563="","",INDEX('Input Transaksi'!$A:$A,$E563))</f>
        <v/>
      </c>
      <c r="B563" s="5">
        <f>IF($E563="","",INDEX('Input Transaksi'!$D:$D,$E563))</f>
        <v/>
      </c>
      <c r="C563">
        <f>IF($E563="","",INDEX('Input Transaksi'!$E:$E,$E563))</f>
        <v/>
      </c>
      <c r="D563" s="5">
        <f>IF($E563="","",INDEX('Input Transaksi'!$F:$F,$E563))</f>
        <v/>
      </c>
      <c r="E563">
        <f>IFERROR(AGGREGATE(15,6,ROW('Input Transaksi'!$B$5:$B$5000)/('Input Transaksi'!$B$5:$B$5000="JCL MERPATI"),ROWS($E$5:E563)),"")</f>
        <v/>
      </c>
      <c r="F563" s="5" t="n"/>
    </row>
    <row r="564">
      <c r="A564" s="10">
        <f>IF($E564="","",INDEX('Input Transaksi'!$A:$A,$E564))</f>
        <v/>
      </c>
      <c r="B564" s="5">
        <f>IF($E564="","",INDEX('Input Transaksi'!$D:$D,$E564))</f>
        <v/>
      </c>
      <c r="C564">
        <f>IF($E564="","",INDEX('Input Transaksi'!$E:$E,$E564))</f>
        <v/>
      </c>
      <c r="D564" s="5">
        <f>IF($E564="","",INDEX('Input Transaksi'!$F:$F,$E564))</f>
        <v/>
      </c>
      <c r="E564">
        <f>IFERROR(AGGREGATE(15,6,ROW('Input Transaksi'!$B$5:$B$5000)/('Input Transaksi'!$B$5:$B$5000="JCL MERPATI"),ROWS($E$5:E564)),"")</f>
        <v/>
      </c>
      <c r="F564" s="5" t="n"/>
    </row>
    <row r="565">
      <c r="A565" s="10">
        <f>IF($E565="","",INDEX('Input Transaksi'!$A:$A,$E565))</f>
        <v/>
      </c>
      <c r="B565" s="5">
        <f>IF($E565="","",INDEX('Input Transaksi'!$D:$D,$E565))</f>
        <v/>
      </c>
      <c r="C565">
        <f>IF($E565="","",INDEX('Input Transaksi'!$E:$E,$E565))</f>
        <v/>
      </c>
      <c r="D565" s="5">
        <f>IF($E565="","",INDEX('Input Transaksi'!$F:$F,$E565))</f>
        <v/>
      </c>
      <c r="E565">
        <f>IFERROR(AGGREGATE(15,6,ROW('Input Transaksi'!$B$5:$B$5000)/('Input Transaksi'!$B$5:$B$5000="JCL MERPATI"),ROWS($E$5:E565)),"")</f>
        <v/>
      </c>
      <c r="F565" s="5" t="n"/>
    </row>
    <row r="566">
      <c r="A566" s="10">
        <f>IF($E566="","",INDEX('Input Transaksi'!$A:$A,$E566))</f>
        <v/>
      </c>
      <c r="B566" s="5">
        <f>IF($E566="","",INDEX('Input Transaksi'!$D:$D,$E566))</f>
        <v/>
      </c>
      <c r="C566">
        <f>IF($E566="","",INDEX('Input Transaksi'!$E:$E,$E566))</f>
        <v/>
      </c>
      <c r="D566" s="5">
        <f>IF($E566="","",INDEX('Input Transaksi'!$F:$F,$E566))</f>
        <v/>
      </c>
      <c r="E566">
        <f>IFERROR(AGGREGATE(15,6,ROW('Input Transaksi'!$B$5:$B$5000)/('Input Transaksi'!$B$5:$B$5000="JCL MERPATI"),ROWS($E$5:E566)),"")</f>
        <v/>
      </c>
      <c r="F566" s="5" t="n"/>
    </row>
    <row r="567">
      <c r="A567" s="10">
        <f>IF($E567="","",INDEX('Input Transaksi'!$A:$A,$E567))</f>
        <v/>
      </c>
      <c r="B567" s="5">
        <f>IF($E567="","",INDEX('Input Transaksi'!$D:$D,$E567))</f>
        <v/>
      </c>
      <c r="C567">
        <f>IF($E567="","",INDEX('Input Transaksi'!$E:$E,$E567))</f>
        <v/>
      </c>
      <c r="D567" s="5">
        <f>IF($E567="","",INDEX('Input Transaksi'!$F:$F,$E567))</f>
        <v/>
      </c>
      <c r="E567">
        <f>IFERROR(AGGREGATE(15,6,ROW('Input Transaksi'!$B$5:$B$5000)/('Input Transaksi'!$B$5:$B$5000="JCL MERPATI"),ROWS($E$5:E567)),"")</f>
        <v/>
      </c>
      <c r="F567" s="5" t="n"/>
    </row>
    <row r="568">
      <c r="A568" s="10">
        <f>IF($E568="","",INDEX('Input Transaksi'!$A:$A,$E568))</f>
        <v/>
      </c>
      <c r="B568" s="5">
        <f>IF($E568="","",INDEX('Input Transaksi'!$D:$D,$E568))</f>
        <v/>
      </c>
      <c r="C568">
        <f>IF($E568="","",INDEX('Input Transaksi'!$E:$E,$E568))</f>
        <v/>
      </c>
      <c r="D568" s="5">
        <f>IF($E568="","",INDEX('Input Transaksi'!$F:$F,$E568))</f>
        <v/>
      </c>
      <c r="E568">
        <f>IFERROR(AGGREGATE(15,6,ROW('Input Transaksi'!$B$5:$B$5000)/('Input Transaksi'!$B$5:$B$5000="JCL MERPATI"),ROWS($E$5:E568)),"")</f>
        <v/>
      </c>
      <c r="F568" s="5" t="n"/>
    </row>
    <row r="569">
      <c r="A569" s="10">
        <f>IF($E569="","",INDEX('Input Transaksi'!$A:$A,$E569))</f>
        <v/>
      </c>
      <c r="B569" s="5">
        <f>IF($E569="","",INDEX('Input Transaksi'!$D:$D,$E569))</f>
        <v/>
      </c>
      <c r="C569">
        <f>IF($E569="","",INDEX('Input Transaksi'!$E:$E,$E569))</f>
        <v/>
      </c>
      <c r="D569" s="5">
        <f>IF($E569="","",INDEX('Input Transaksi'!$F:$F,$E569))</f>
        <v/>
      </c>
      <c r="E569">
        <f>IFERROR(AGGREGATE(15,6,ROW('Input Transaksi'!$B$5:$B$5000)/('Input Transaksi'!$B$5:$B$5000="JCL MERPATI"),ROWS($E$5:E569)),"")</f>
        <v/>
      </c>
      <c r="F569" s="5" t="n"/>
    </row>
    <row r="570">
      <c r="A570" s="10">
        <f>IF($E570="","",INDEX('Input Transaksi'!$A:$A,$E570))</f>
        <v/>
      </c>
      <c r="B570" s="5">
        <f>IF($E570="","",INDEX('Input Transaksi'!$D:$D,$E570))</f>
        <v/>
      </c>
      <c r="C570">
        <f>IF($E570="","",INDEX('Input Transaksi'!$E:$E,$E570))</f>
        <v/>
      </c>
      <c r="D570" s="5">
        <f>IF($E570="","",INDEX('Input Transaksi'!$F:$F,$E570))</f>
        <v/>
      </c>
      <c r="E570">
        <f>IFERROR(AGGREGATE(15,6,ROW('Input Transaksi'!$B$5:$B$5000)/('Input Transaksi'!$B$5:$B$5000="JCL MERPATI"),ROWS($E$5:E570)),"")</f>
        <v/>
      </c>
      <c r="F570" s="5" t="n"/>
    </row>
    <row r="571">
      <c r="A571" s="10">
        <f>IF($E571="","",INDEX('Input Transaksi'!$A:$A,$E571))</f>
        <v/>
      </c>
      <c r="B571" s="5">
        <f>IF($E571="","",INDEX('Input Transaksi'!$D:$D,$E571))</f>
        <v/>
      </c>
      <c r="C571">
        <f>IF($E571="","",INDEX('Input Transaksi'!$E:$E,$E571))</f>
        <v/>
      </c>
      <c r="D571" s="5">
        <f>IF($E571="","",INDEX('Input Transaksi'!$F:$F,$E571))</f>
        <v/>
      </c>
      <c r="E571">
        <f>IFERROR(AGGREGATE(15,6,ROW('Input Transaksi'!$B$5:$B$5000)/('Input Transaksi'!$B$5:$B$5000="JCL MERPATI"),ROWS($E$5:E571)),"")</f>
        <v/>
      </c>
      <c r="F571" s="5" t="n"/>
    </row>
    <row r="572">
      <c r="A572" s="10">
        <f>IF($E572="","",INDEX('Input Transaksi'!$A:$A,$E572))</f>
        <v/>
      </c>
      <c r="B572" s="5">
        <f>IF($E572="","",INDEX('Input Transaksi'!$D:$D,$E572))</f>
        <v/>
      </c>
      <c r="C572">
        <f>IF($E572="","",INDEX('Input Transaksi'!$E:$E,$E572))</f>
        <v/>
      </c>
      <c r="D572" s="5">
        <f>IF($E572="","",INDEX('Input Transaksi'!$F:$F,$E572))</f>
        <v/>
      </c>
      <c r="E572">
        <f>IFERROR(AGGREGATE(15,6,ROW('Input Transaksi'!$B$5:$B$5000)/('Input Transaksi'!$B$5:$B$5000="JCL MERPATI"),ROWS($E$5:E572)),"")</f>
        <v/>
      </c>
      <c r="F572" s="5" t="n"/>
    </row>
    <row r="573">
      <c r="A573" s="10">
        <f>IF($E573="","",INDEX('Input Transaksi'!$A:$A,$E573))</f>
        <v/>
      </c>
      <c r="B573" s="5">
        <f>IF($E573="","",INDEX('Input Transaksi'!$D:$D,$E573))</f>
        <v/>
      </c>
      <c r="C573">
        <f>IF($E573="","",INDEX('Input Transaksi'!$E:$E,$E573))</f>
        <v/>
      </c>
      <c r="D573" s="5">
        <f>IF($E573="","",INDEX('Input Transaksi'!$F:$F,$E573))</f>
        <v/>
      </c>
      <c r="E573">
        <f>IFERROR(AGGREGATE(15,6,ROW('Input Transaksi'!$B$5:$B$5000)/('Input Transaksi'!$B$5:$B$5000="JCL MERPATI"),ROWS($E$5:E573)),"")</f>
        <v/>
      </c>
      <c r="F573" s="5" t="n"/>
    </row>
    <row r="574">
      <c r="A574" s="10">
        <f>IF($E574="","",INDEX('Input Transaksi'!$A:$A,$E574))</f>
        <v/>
      </c>
      <c r="B574" s="5">
        <f>IF($E574="","",INDEX('Input Transaksi'!$D:$D,$E574))</f>
        <v/>
      </c>
      <c r="C574">
        <f>IF($E574="","",INDEX('Input Transaksi'!$E:$E,$E574))</f>
        <v/>
      </c>
      <c r="D574" s="5">
        <f>IF($E574="","",INDEX('Input Transaksi'!$F:$F,$E574))</f>
        <v/>
      </c>
      <c r="E574">
        <f>IFERROR(AGGREGATE(15,6,ROW('Input Transaksi'!$B$5:$B$5000)/('Input Transaksi'!$B$5:$B$5000="JCL MERPATI"),ROWS($E$5:E574)),"")</f>
        <v/>
      </c>
      <c r="F574" s="5" t="n"/>
    </row>
    <row r="575">
      <c r="A575" s="10">
        <f>IF($E575="","",INDEX('Input Transaksi'!$A:$A,$E575))</f>
        <v/>
      </c>
      <c r="B575" s="5">
        <f>IF($E575="","",INDEX('Input Transaksi'!$D:$D,$E575))</f>
        <v/>
      </c>
      <c r="C575">
        <f>IF($E575="","",INDEX('Input Transaksi'!$E:$E,$E575))</f>
        <v/>
      </c>
      <c r="D575" s="5">
        <f>IF($E575="","",INDEX('Input Transaksi'!$F:$F,$E575))</f>
        <v/>
      </c>
      <c r="E575">
        <f>IFERROR(AGGREGATE(15,6,ROW('Input Transaksi'!$B$5:$B$5000)/('Input Transaksi'!$B$5:$B$5000="JCL MERPATI"),ROWS($E$5:E575)),"")</f>
        <v/>
      </c>
      <c r="F575" s="5" t="n"/>
    </row>
    <row r="576">
      <c r="A576" s="10">
        <f>IF($E576="","",INDEX('Input Transaksi'!$A:$A,$E576))</f>
        <v/>
      </c>
      <c r="B576" s="5">
        <f>IF($E576="","",INDEX('Input Transaksi'!$D:$D,$E576))</f>
        <v/>
      </c>
      <c r="C576">
        <f>IF($E576="","",INDEX('Input Transaksi'!$E:$E,$E576))</f>
        <v/>
      </c>
      <c r="D576" s="5">
        <f>IF($E576="","",INDEX('Input Transaksi'!$F:$F,$E576))</f>
        <v/>
      </c>
      <c r="E576">
        <f>IFERROR(AGGREGATE(15,6,ROW('Input Transaksi'!$B$5:$B$5000)/('Input Transaksi'!$B$5:$B$5000="JCL MERPATI"),ROWS($E$5:E576)),"")</f>
        <v/>
      </c>
      <c r="F576" s="5" t="n"/>
    </row>
    <row r="577">
      <c r="A577" s="10">
        <f>IF($E577="","",INDEX('Input Transaksi'!$A:$A,$E577))</f>
        <v/>
      </c>
      <c r="B577" s="5">
        <f>IF($E577="","",INDEX('Input Transaksi'!$D:$D,$E577))</f>
        <v/>
      </c>
      <c r="C577">
        <f>IF($E577="","",INDEX('Input Transaksi'!$E:$E,$E577))</f>
        <v/>
      </c>
      <c r="D577" s="5">
        <f>IF($E577="","",INDEX('Input Transaksi'!$F:$F,$E577))</f>
        <v/>
      </c>
      <c r="E577">
        <f>IFERROR(AGGREGATE(15,6,ROW('Input Transaksi'!$B$5:$B$5000)/('Input Transaksi'!$B$5:$B$5000="JCL MERPATI"),ROWS($E$5:E577)),"")</f>
        <v/>
      </c>
      <c r="F577" s="5" t="n"/>
    </row>
    <row r="578">
      <c r="A578" s="10">
        <f>IF($E578="","",INDEX('Input Transaksi'!$A:$A,$E578))</f>
        <v/>
      </c>
      <c r="B578" s="5">
        <f>IF($E578="","",INDEX('Input Transaksi'!$D:$D,$E578))</f>
        <v/>
      </c>
      <c r="C578">
        <f>IF($E578="","",INDEX('Input Transaksi'!$E:$E,$E578))</f>
        <v/>
      </c>
      <c r="D578" s="5">
        <f>IF($E578="","",INDEX('Input Transaksi'!$F:$F,$E578))</f>
        <v/>
      </c>
      <c r="E578">
        <f>IFERROR(AGGREGATE(15,6,ROW('Input Transaksi'!$B$5:$B$5000)/('Input Transaksi'!$B$5:$B$5000="JCL MERPATI"),ROWS($E$5:E578)),"")</f>
        <v/>
      </c>
      <c r="F578" s="5" t="n"/>
    </row>
    <row r="579">
      <c r="A579" s="10">
        <f>IF($E579="","",INDEX('Input Transaksi'!$A:$A,$E579))</f>
        <v/>
      </c>
      <c r="B579" s="5">
        <f>IF($E579="","",INDEX('Input Transaksi'!$D:$D,$E579))</f>
        <v/>
      </c>
      <c r="C579">
        <f>IF($E579="","",INDEX('Input Transaksi'!$E:$E,$E579))</f>
        <v/>
      </c>
      <c r="D579" s="5">
        <f>IF($E579="","",INDEX('Input Transaksi'!$F:$F,$E579))</f>
        <v/>
      </c>
      <c r="E579">
        <f>IFERROR(AGGREGATE(15,6,ROW('Input Transaksi'!$B$5:$B$5000)/('Input Transaksi'!$B$5:$B$5000="JCL MERPATI"),ROWS($E$5:E579)),"")</f>
        <v/>
      </c>
      <c r="F579" s="5" t="n"/>
    </row>
    <row r="580">
      <c r="A580" s="10">
        <f>IF($E580="","",INDEX('Input Transaksi'!$A:$A,$E580))</f>
        <v/>
      </c>
      <c r="B580" s="5">
        <f>IF($E580="","",INDEX('Input Transaksi'!$D:$D,$E580))</f>
        <v/>
      </c>
      <c r="C580">
        <f>IF($E580="","",INDEX('Input Transaksi'!$E:$E,$E580))</f>
        <v/>
      </c>
      <c r="D580" s="5">
        <f>IF($E580="","",INDEX('Input Transaksi'!$F:$F,$E580))</f>
        <v/>
      </c>
      <c r="E580">
        <f>IFERROR(AGGREGATE(15,6,ROW('Input Transaksi'!$B$5:$B$5000)/('Input Transaksi'!$B$5:$B$5000="JCL MERPATI"),ROWS($E$5:E580)),"")</f>
        <v/>
      </c>
      <c r="F580" s="5" t="n"/>
    </row>
    <row r="581">
      <c r="A581" s="10">
        <f>IF($E581="","",INDEX('Input Transaksi'!$A:$A,$E581))</f>
        <v/>
      </c>
      <c r="B581" s="5">
        <f>IF($E581="","",INDEX('Input Transaksi'!$D:$D,$E581))</f>
        <v/>
      </c>
      <c r="C581">
        <f>IF($E581="","",INDEX('Input Transaksi'!$E:$E,$E581))</f>
        <v/>
      </c>
      <c r="D581" s="5">
        <f>IF($E581="","",INDEX('Input Transaksi'!$F:$F,$E581))</f>
        <v/>
      </c>
      <c r="E581">
        <f>IFERROR(AGGREGATE(15,6,ROW('Input Transaksi'!$B$5:$B$5000)/('Input Transaksi'!$B$5:$B$5000="JCL MERPATI"),ROWS($E$5:E581)),"")</f>
        <v/>
      </c>
      <c r="F581" s="5" t="n"/>
    </row>
    <row r="582">
      <c r="A582" s="10">
        <f>IF($E582="","",INDEX('Input Transaksi'!$A:$A,$E582))</f>
        <v/>
      </c>
      <c r="B582" s="5">
        <f>IF($E582="","",INDEX('Input Transaksi'!$D:$D,$E582))</f>
        <v/>
      </c>
      <c r="C582">
        <f>IF($E582="","",INDEX('Input Transaksi'!$E:$E,$E582))</f>
        <v/>
      </c>
      <c r="D582" s="5">
        <f>IF($E582="","",INDEX('Input Transaksi'!$F:$F,$E582))</f>
        <v/>
      </c>
      <c r="E582">
        <f>IFERROR(AGGREGATE(15,6,ROW('Input Transaksi'!$B$5:$B$5000)/('Input Transaksi'!$B$5:$B$5000="JCL MERPATI"),ROWS($E$5:E582)),"")</f>
        <v/>
      </c>
      <c r="F582" s="5" t="n"/>
    </row>
    <row r="583">
      <c r="A583" s="10">
        <f>IF($E583="","",INDEX('Input Transaksi'!$A:$A,$E583))</f>
        <v/>
      </c>
      <c r="B583" s="5">
        <f>IF($E583="","",INDEX('Input Transaksi'!$D:$D,$E583))</f>
        <v/>
      </c>
      <c r="C583">
        <f>IF($E583="","",INDEX('Input Transaksi'!$E:$E,$E583))</f>
        <v/>
      </c>
      <c r="D583" s="5">
        <f>IF($E583="","",INDEX('Input Transaksi'!$F:$F,$E583))</f>
        <v/>
      </c>
      <c r="E583">
        <f>IFERROR(AGGREGATE(15,6,ROW('Input Transaksi'!$B$5:$B$5000)/('Input Transaksi'!$B$5:$B$5000="JCL MERPATI"),ROWS($E$5:E583)),"")</f>
        <v/>
      </c>
      <c r="F583" s="5" t="n"/>
    </row>
    <row r="584">
      <c r="A584" s="10">
        <f>IF($E584="","",INDEX('Input Transaksi'!$A:$A,$E584))</f>
        <v/>
      </c>
      <c r="B584" s="5">
        <f>IF($E584="","",INDEX('Input Transaksi'!$D:$D,$E584))</f>
        <v/>
      </c>
      <c r="C584">
        <f>IF($E584="","",INDEX('Input Transaksi'!$E:$E,$E584))</f>
        <v/>
      </c>
      <c r="D584" s="5">
        <f>IF($E584="","",INDEX('Input Transaksi'!$F:$F,$E584))</f>
        <v/>
      </c>
      <c r="E584">
        <f>IFERROR(AGGREGATE(15,6,ROW('Input Transaksi'!$B$5:$B$5000)/('Input Transaksi'!$B$5:$B$5000="JCL MERPATI"),ROWS($E$5:E584)),"")</f>
        <v/>
      </c>
      <c r="F584" s="5" t="n"/>
    </row>
    <row r="585">
      <c r="A585" s="10">
        <f>IF($E585="","",INDEX('Input Transaksi'!$A:$A,$E585))</f>
        <v/>
      </c>
      <c r="B585" s="5">
        <f>IF($E585="","",INDEX('Input Transaksi'!$D:$D,$E585))</f>
        <v/>
      </c>
      <c r="C585">
        <f>IF($E585="","",INDEX('Input Transaksi'!$E:$E,$E585))</f>
        <v/>
      </c>
      <c r="D585" s="5">
        <f>IF($E585="","",INDEX('Input Transaksi'!$F:$F,$E585))</f>
        <v/>
      </c>
      <c r="E585">
        <f>IFERROR(AGGREGATE(15,6,ROW('Input Transaksi'!$B$5:$B$5000)/('Input Transaksi'!$B$5:$B$5000="JCL MERPATI"),ROWS($E$5:E585)),"")</f>
        <v/>
      </c>
      <c r="F585" s="5" t="n"/>
    </row>
    <row r="586">
      <c r="A586" s="10">
        <f>IF($E586="","",INDEX('Input Transaksi'!$A:$A,$E586))</f>
        <v/>
      </c>
      <c r="B586" s="5">
        <f>IF($E586="","",INDEX('Input Transaksi'!$D:$D,$E586))</f>
        <v/>
      </c>
      <c r="C586">
        <f>IF($E586="","",INDEX('Input Transaksi'!$E:$E,$E586))</f>
        <v/>
      </c>
      <c r="D586" s="5">
        <f>IF($E586="","",INDEX('Input Transaksi'!$F:$F,$E586))</f>
        <v/>
      </c>
      <c r="E586">
        <f>IFERROR(AGGREGATE(15,6,ROW('Input Transaksi'!$B$5:$B$5000)/('Input Transaksi'!$B$5:$B$5000="JCL MERPATI"),ROWS($E$5:E586)),"")</f>
        <v/>
      </c>
      <c r="F586" s="5" t="n"/>
    </row>
    <row r="587">
      <c r="A587" s="10">
        <f>IF($E587="","",INDEX('Input Transaksi'!$A:$A,$E587))</f>
        <v/>
      </c>
      <c r="B587" s="5">
        <f>IF($E587="","",INDEX('Input Transaksi'!$D:$D,$E587))</f>
        <v/>
      </c>
      <c r="C587">
        <f>IF($E587="","",INDEX('Input Transaksi'!$E:$E,$E587))</f>
        <v/>
      </c>
      <c r="D587" s="5">
        <f>IF($E587="","",INDEX('Input Transaksi'!$F:$F,$E587))</f>
        <v/>
      </c>
      <c r="E587">
        <f>IFERROR(AGGREGATE(15,6,ROW('Input Transaksi'!$B$5:$B$5000)/('Input Transaksi'!$B$5:$B$5000="JCL MERPATI"),ROWS($E$5:E587)),"")</f>
        <v/>
      </c>
      <c r="F587" s="5" t="n"/>
    </row>
    <row r="588">
      <c r="A588" s="10">
        <f>IF($E588="","",INDEX('Input Transaksi'!$A:$A,$E588))</f>
        <v/>
      </c>
      <c r="B588" s="5">
        <f>IF($E588="","",INDEX('Input Transaksi'!$D:$D,$E588))</f>
        <v/>
      </c>
      <c r="C588">
        <f>IF($E588="","",INDEX('Input Transaksi'!$E:$E,$E588))</f>
        <v/>
      </c>
      <c r="D588" s="5">
        <f>IF($E588="","",INDEX('Input Transaksi'!$F:$F,$E588))</f>
        <v/>
      </c>
      <c r="E588">
        <f>IFERROR(AGGREGATE(15,6,ROW('Input Transaksi'!$B$5:$B$5000)/('Input Transaksi'!$B$5:$B$5000="JCL MERPATI"),ROWS($E$5:E588)),"")</f>
        <v/>
      </c>
      <c r="F588" s="5" t="n"/>
    </row>
    <row r="589">
      <c r="A589" s="10">
        <f>IF($E589="","",INDEX('Input Transaksi'!$A:$A,$E589))</f>
        <v/>
      </c>
      <c r="B589" s="5">
        <f>IF($E589="","",INDEX('Input Transaksi'!$D:$D,$E589))</f>
        <v/>
      </c>
      <c r="C589">
        <f>IF($E589="","",INDEX('Input Transaksi'!$E:$E,$E589))</f>
        <v/>
      </c>
      <c r="D589" s="5">
        <f>IF($E589="","",INDEX('Input Transaksi'!$F:$F,$E589))</f>
        <v/>
      </c>
      <c r="E589">
        <f>IFERROR(AGGREGATE(15,6,ROW('Input Transaksi'!$B$5:$B$5000)/('Input Transaksi'!$B$5:$B$5000="JCL MERPATI"),ROWS($E$5:E589)),"")</f>
        <v/>
      </c>
      <c r="F589" s="5" t="n"/>
    </row>
    <row r="590">
      <c r="A590" s="10">
        <f>IF($E590="","",INDEX('Input Transaksi'!$A:$A,$E590))</f>
        <v/>
      </c>
      <c r="B590" s="5">
        <f>IF($E590="","",INDEX('Input Transaksi'!$D:$D,$E590))</f>
        <v/>
      </c>
      <c r="C590">
        <f>IF($E590="","",INDEX('Input Transaksi'!$E:$E,$E590))</f>
        <v/>
      </c>
      <c r="D590" s="5">
        <f>IF($E590="","",INDEX('Input Transaksi'!$F:$F,$E590))</f>
        <v/>
      </c>
      <c r="E590">
        <f>IFERROR(AGGREGATE(15,6,ROW('Input Transaksi'!$B$5:$B$5000)/('Input Transaksi'!$B$5:$B$5000="JCL MERPATI"),ROWS($E$5:E590)),"")</f>
        <v/>
      </c>
      <c r="F590" s="5" t="n"/>
    </row>
    <row r="591">
      <c r="A591" s="10">
        <f>IF($E591="","",INDEX('Input Transaksi'!$A:$A,$E591))</f>
        <v/>
      </c>
      <c r="B591" s="5">
        <f>IF($E591="","",INDEX('Input Transaksi'!$D:$D,$E591))</f>
        <v/>
      </c>
      <c r="C591">
        <f>IF($E591="","",INDEX('Input Transaksi'!$E:$E,$E591))</f>
        <v/>
      </c>
      <c r="D591" s="5">
        <f>IF($E591="","",INDEX('Input Transaksi'!$F:$F,$E591))</f>
        <v/>
      </c>
      <c r="E591">
        <f>IFERROR(AGGREGATE(15,6,ROW('Input Transaksi'!$B$5:$B$5000)/('Input Transaksi'!$B$5:$B$5000="JCL MERPATI"),ROWS($E$5:E591)),"")</f>
        <v/>
      </c>
      <c r="F591" s="5" t="n"/>
    </row>
    <row r="592">
      <c r="A592" s="10">
        <f>IF($E592="","",INDEX('Input Transaksi'!$A:$A,$E592))</f>
        <v/>
      </c>
      <c r="B592" s="5">
        <f>IF($E592="","",INDEX('Input Transaksi'!$D:$D,$E592))</f>
        <v/>
      </c>
      <c r="C592">
        <f>IF($E592="","",INDEX('Input Transaksi'!$E:$E,$E592))</f>
        <v/>
      </c>
      <c r="D592" s="5">
        <f>IF($E592="","",INDEX('Input Transaksi'!$F:$F,$E592))</f>
        <v/>
      </c>
      <c r="E592">
        <f>IFERROR(AGGREGATE(15,6,ROW('Input Transaksi'!$B$5:$B$5000)/('Input Transaksi'!$B$5:$B$5000="JCL MERPATI"),ROWS($E$5:E592)),"")</f>
        <v/>
      </c>
      <c r="F592" s="5" t="n"/>
    </row>
    <row r="593">
      <c r="A593" s="10">
        <f>IF($E593="","",INDEX('Input Transaksi'!$A:$A,$E593))</f>
        <v/>
      </c>
      <c r="B593" s="5">
        <f>IF($E593="","",INDEX('Input Transaksi'!$D:$D,$E593))</f>
        <v/>
      </c>
      <c r="C593">
        <f>IF($E593="","",INDEX('Input Transaksi'!$E:$E,$E593))</f>
        <v/>
      </c>
      <c r="D593" s="5">
        <f>IF($E593="","",INDEX('Input Transaksi'!$F:$F,$E593))</f>
        <v/>
      </c>
      <c r="E593">
        <f>IFERROR(AGGREGATE(15,6,ROW('Input Transaksi'!$B$5:$B$5000)/('Input Transaksi'!$B$5:$B$5000="JCL MERPATI"),ROWS($E$5:E593)),"")</f>
        <v/>
      </c>
      <c r="F593" s="5" t="n"/>
    </row>
    <row r="594">
      <c r="A594" s="10">
        <f>IF($E594="","",INDEX('Input Transaksi'!$A:$A,$E594))</f>
        <v/>
      </c>
      <c r="B594" s="5">
        <f>IF($E594="","",INDEX('Input Transaksi'!$D:$D,$E594))</f>
        <v/>
      </c>
      <c r="C594">
        <f>IF($E594="","",INDEX('Input Transaksi'!$E:$E,$E594))</f>
        <v/>
      </c>
      <c r="D594" s="5">
        <f>IF($E594="","",INDEX('Input Transaksi'!$F:$F,$E594))</f>
        <v/>
      </c>
      <c r="E594">
        <f>IFERROR(AGGREGATE(15,6,ROW('Input Transaksi'!$B$5:$B$5000)/('Input Transaksi'!$B$5:$B$5000="JCL MERPATI"),ROWS($E$5:E594)),"")</f>
        <v/>
      </c>
      <c r="F594" s="5" t="n"/>
    </row>
    <row r="595">
      <c r="A595" s="10">
        <f>IF($E595="","",INDEX('Input Transaksi'!$A:$A,$E595))</f>
        <v/>
      </c>
      <c r="B595" s="5">
        <f>IF($E595="","",INDEX('Input Transaksi'!$D:$D,$E595))</f>
        <v/>
      </c>
      <c r="C595">
        <f>IF($E595="","",INDEX('Input Transaksi'!$E:$E,$E595))</f>
        <v/>
      </c>
      <c r="D595" s="5">
        <f>IF($E595="","",INDEX('Input Transaksi'!$F:$F,$E595))</f>
        <v/>
      </c>
      <c r="E595">
        <f>IFERROR(AGGREGATE(15,6,ROW('Input Transaksi'!$B$5:$B$5000)/('Input Transaksi'!$B$5:$B$5000="JCL MERPATI"),ROWS($E$5:E595)),"")</f>
        <v/>
      </c>
      <c r="F595" s="5" t="n"/>
    </row>
    <row r="596">
      <c r="A596" s="10">
        <f>IF($E596="","",INDEX('Input Transaksi'!$A:$A,$E596))</f>
        <v/>
      </c>
      <c r="B596" s="5">
        <f>IF($E596="","",INDEX('Input Transaksi'!$D:$D,$E596))</f>
        <v/>
      </c>
      <c r="C596">
        <f>IF($E596="","",INDEX('Input Transaksi'!$E:$E,$E596))</f>
        <v/>
      </c>
      <c r="D596" s="5">
        <f>IF($E596="","",INDEX('Input Transaksi'!$F:$F,$E596))</f>
        <v/>
      </c>
      <c r="E596">
        <f>IFERROR(AGGREGATE(15,6,ROW('Input Transaksi'!$B$5:$B$5000)/('Input Transaksi'!$B$5:$B$5000="JCL MERPATI"),ROWS($E$5:E596)),"")</f>
        <v/>
      </c>
      <c r="F596" s="5" t="n"/>
    </row>
    <row r="597">
      <c r="A597" s="10">
        <f>IF($E597="","",INDEX('Input Transaksi'!$A:$A,$E597))</f>
        <v/>
      </c>
      <c r="B597" s="5">
        <f>IF($E597="","",INDEX('Input Transaksi'!$D:$D,$E597))</f>
        <v/>
      </c>
      <c r="C597">
        <f>IF($E597="","",INDEX('Input Transaksi'!$E:$E,$E597))</f>
        <v/>
      </c>
      <c r="D597" s="5">
        <f>IF($E597="","",INDEX('Input Transaksi'!$F:$F,$E597))</f>
        <v/>
      </c>
      <c r="E597">
        <f>IFERROR(AGGREGATE(15,6,ROW('Input Transaksi'!$B$5:$B$5000)/('Input Transaksi'!$B$5:$B$5000="JCL MERPATI"),ROWS($E$5:E597)),"")</f>
        <v/>
      </c>
      <c r="F597" s="5" t="n"/>
    </row>
    <row r="598">
      <c r="A598" s="10">
        <f>IF($E598="","",INDEX('Input Transaksi'!$A:$A,$E598))</f>
        <v/>
      </c>
      <c r="B598" s="5">
        <f>IF($E598="","",INDEX('Input Transaksi'!$D:$D,$E598))</f>
        <v/>
      </c>
      <c r="C598">
        <f>IF($E598="","",INDEX('Input Transaksi'!$E:$E,$E598))</f>
        <v/>
      </c>
      <c r="D598" s="5">
        <f>IF($E598="","",INDEX('Input Transaksi'!$F:$F,$E598))</f>
        <v/>
      </c>
      <c r="E598">
        <f>IFERROR(AGGREGATE(15,6,ROW('Input Transaksi'!$B$5:$B$5000)/('Input Transaksi'!$B$5:$B$5000="JCL MERPATI"),ROWS($E$5:E598)),"")</f>
        <v/>
      </c>
      <c r="F598" s="5" t="n"/>
    </row>
    <row r="599">
      <c r="A599" s="10">
        <f>IF($E599="","",INDEX('Input Transaksi'!$A:$A,$E599))</f>
        <v/>
      </c>
      <c r="B599" s="5">
        <f>IF($E599="","",INDEX('Input Transaksi'!$D:$D,$E599))</f>
        <v/>
      </c>
      <c r="C599">
        <f>IF($E599="","",INDEX('Input Transaksi'!$E:$E,$E599))</f>
        <v/>
      </c>
      <c r="D599" s="5">
        <f>IF($E599="","",INDEX('Input Transaksi'!$F:$F,$E599))</f>
        <v/>
      </c>
      <c r="E599">
        <f>IFERROR(AGGREGATE(15,6,ROW('Input Transaksi'!$B$5:$B$5000)/('Input Transaksi'!$B$5:$B$5000="JCL MERPATI"),ROWS($E$5:E599)),"")</f>
        <v/>
      </c>
      <c r="F599" s="5" t="n"/>
    </row>
    <row r="600">
      <c r="A600" s="10">
        <f>IF($E600="","",INDEX('Input Transaksi'!$A:$A,$E600))</f>
        <v/>
      </c>
      <c r="B600" s="5">
        <f>IF($E600="","",INDEX('Input Transaksi'!$D:$D,$E600))</f>
        <v/>
      </c>
      <c r="C600">
        <f>IF($E600="","",INDEX('Input Transaksi'!$E:$E,$E600))</f>
        <v/>
      </c>
      <c r="D600" s="5">
        <f>IF($E600="","",INDEX('Input Transaksi'!$F:$F,$E600))</f>
        <v/>
      </c>
      <c r="E600">
        <f>IFERROR(AGGREGATE(15,6,ROW('Input Transaksi'!$B$5:$B$5000)/('Input Transaksi'!$B$5:$B$5000="JCL MERPATI"),ROWS($E$5:E600)),"")</f>
        <v/>
      </c>
      <c r="F600" s="5" t="n"/>
    </row>
    <row r="601">
      <c r="A601" s="10">
        <f>IF($E601="","",INDEX('Input Transaksi'!$A:$A,$E601))</f>
        <v/>
      </c>
      <c r="B601" s="5">
        <f>IF($E601="","",INDEX('Input Transaksi'!$D:$D,$E601))</f>
        <v/>
      </c>
      <c r="C601">
        <f>IF($E601="","",INDEX('Input Transaksi'!$E:$E,$E601))</f>
        <v/>
      </c>
      <c r="D601" s="5">
        <f>IF($E601="","",INDEX('Input Transaksi'!$F:$F,$E601))</f>
        <v/>
      </c>
      <c r="E601">
        <f>IFERROR(AGGREGATE(15,6,ROW('Input Transaksi'!$B$5:$B$5000)/('Input Transaksi'!$B$5:$B$5000="JCL MERPATI"),ROWS($E$5:E601)),"")</f>
        <v/>
      </c>
      <c r="F601" s="5" t="n"/>
    </row>
    <row r="602">
      <c r="A602" s="10">
        <f>IF($E602="","",INDEX('Input Transaksi'!$A:$A,$E602))</f>
        <v/>
      </c>
      <c r="B602" s="5">
        <f>IF($E602="","",INDEX('Input Transaksi'!$D:$D,$E602))</f>
        <v/>
      </c>
      <c r="C602">
        <f>IF($E602="","",INDEX('Input Transaksi'!$E:$E,$E602))</f>
        <v/>
      </c>
      <c r="D602" s="5">
        <f>IF($E602="","",INDEX('Input Transaksi'!$F:$F,$E602))</f>
        <v/>
      </c>
      <c r="E602">
        <f>IFERROR(AGGREGATE(15,6,ROW('Input Transaksi'!$B$5:$B$5000)/('Input Transaksi'!$B$5:$B$5000="JCL MERPATI"),ROWS($E$5:E602)),"")</f>
        <v/>
      </c>
      <c r="F602" s="5" t="n"/>
    </row>
    <row r="603">
      <c r="A603" s="10">
        <f>IF($E603="","",INDEX('Input Transaksi'!$A:$A,$E603))</f>
        <v/>
      </c>
      <c r="B603" s="5">
        <f>IF($E603="","",INDEX('Input Transaksi'!$D:$D,$E603))</f>
        <v/>
      </c>
      <c r="C603">
        <f>IF($E603="","",INDEX('Input Transaksi'!$E:$E,$E603))</f>
        <v/>
      </c>
      <c r="D603" s="5">
        <f>IF($E603="","",INDEX('Input Transaksi'!$F:$F,$E603))</f>
        <v/>
      </c>
      <c r="E603">
        <f>IFERROR(AGGREGATE(15,6,ROW('Input Transaksi'!$B$5:$B$5000)/('Input Transaksi'!$B$5:$B$5000="JCL MERPATI"),ROWS($E$5:E603)),"")</f>
        <v/>
      </c>
      <c r="F603" s="5" t="n"/>
    </row>
    <row r="604">
      <c r="A604" s="10">
        <f>IF($E604="","",INDEX('Input Transaksi'!$A:$A,$E604))</f>
        <v/>
      </c>
      <c r="B604" s="5">
        <f>IF($E604="","",INDEX('Input Transaksi'!$D:$D,$E604))</f>
        <v/>
      </c>
      <c r="C604">
        <f>IF($E604="","",INDEX('Input Transaksi'!$E:$E,$E604))</f>
        <v/>
      </c>
      <c r="D604" s="5">
        <f>IF($E604="","",INDEX('Input Transaksi'!$F:$F,$E604))</f>
        <v/>
      </c>
      <c r="E604">
        <f>IFERROR(AGGREGATE(15,6,ROW('Input Transaksi'!$B$5:$B$5000)/('Input Transaksi'!$B$5:$B$5000="JCL MERPATI"),ROWS($E$5:E604)),"")</f>
        <v/>
      </c>
      <c r="F604" s="5" t="n"/>
    </row>
    <row r="605">
      <c r="A605" s="10">
        <f>IF($E605="","",INDEX('Input Transaksi'!$A:$A,$E605))</f>
        <v/>
      </c>
      <c r="B605" s="5">
        <f>IF($E605="","",INDEX('Input Transaksi'!$D:$D,$E605))</f>
        <v/>
      </c>
      <c r="C605">
        <f>IF($E605="","",INDEX('Input Transaksi'!$E:$E,$E605))</f>
        <v/>
      </c>
      <c r="D605" s="5">
        <f>IF($E605="","",INDEX('Input Transaksi'!$F:$F,$E605))</f>
        <v/>
      </c>
      <c r="E605">
        <f>IFERROR(AGGREGATE(15,6,ROW('Input Transaksi'!$B$5:$B$5000)/('Input Transaksi'!$B$5:$B$5000="JCL MERPATI"),ROWS($E$5:E605)),"")</f>
        <v/>
      </c>
      <c r="F605" s="5" t="n"/>
    </row>
    <row r="606">
      <c r="A606" s="10">
        <f>IF($E606="","",INDEX('Input Transaksi'!$A:$A,$E606))</f>
        <v/>
      </c>
      <c r="B606" s="5">
        <f>IF($E606="","",INDEX('Input Transaksi'!$D:$D,$E606))</f>
        <v/>
      </c>
      <c r="C606">
        <f>IF($E606="","",INDEX('Input Transaksi'!$E:$E,$E606))</f>
        <v/>
      </c>
      <c r="D606" s="5">
        <f>IF($E606="","",INDEX('Input Transaksi'!$F:$F,$E606))</f>
        <v/>
      </c>
      <c r="E606">
        <f>IFERROR(AGGREGATE(15,6,ROW('Input Transaksi'!$B$5:$B$5000)/('Input Transaksi'!$B$5:$B$5000="JCL MERPATI"),ROWS($E$5:E606)),"")</f>
        <v/>
      </c>
      <c r="F606" s="5" t="n"/>
    </row>
    <row r="607">
      <c r="A607" s="10">
        <f>IF($E607="","",INDEX('Input Transaksi'!$A:$A,$E607))</f>
        <v/>
      </c>
      <c r="B607" s="5">
        <f>IF($E607="","",INDEX('Input Transaksi'!$D:$D,$E607))</f>
        <v/>
      </c>
      <c r="C607">
        <f>IF($E607="","",INDEX('Input Transaksi'!$E:$E,$E607))</f>
        <v/>
      </c>
      <c r="D607" s="5">
        <f>IF($E607="","",INDEX('Input Transaksi'!$F:$F,$E607))</f>
        <v/>
      </c>
      <c r="E607">
        <f>IFERROR(AGGREGATE(15,6,ROW('Input Transaksi'!$B$5:$B$5000)/('Input Transaksi'!$B$5:$B$5000="JCL MERPATI"),ROWS($E$5:E607)),"")</f>
        <v/>
      </c>
      <c r="F607" s="5" t="n"/>
    </row>
    <row r="608">
      <c r="A608" s="10">
        <f>IF($E608="","",INDEX('Input Transaksi'!$A:$A,$E608))</f>
        <v/>
      </c>
      <c r="B608" s="5">
        <f>IF($E608="","",INDEX('Input Transaksi'!$D:$D,$E608))</f>
        <v/>
      </c>
      <c r="C608">
        <f>IF($E608="","",INDEX('Input Transaksi'!$E:$E,$E608))</f>
        <v/>
      </c>
      <c r="D608" s="5">
        <f>IF($E608="","",INDEX('Input Transaksi'!$F:$F,$E608))</f>
        <v/>
      </c>
      <c r="E608">
        <f>IFERROR(AGGREGATE(15,6,ROW('Input Transaksi'!$B$5:$B$5000)/('Input Transaksi'!$B$5:$B$5000="JCL MERPATI"),ROWS($E$5:E608)),"")</f>
        <v/>
      </c>
      <c r="F608" s="5" t="n"/>
    </row>
    <row r="609">
      <c r="A609" s="10">
        <f>IF($E609="","",INDEX('Input Transaksi'!$A:$A,$E609))</f>
        <v/>
      </c>
      <c r="B609" s="5">
        <f>IF($E609="","",INDEX('Input Transaksi'!$D:$D,$E609))</f>
        <v/>
      </c>
      <c r="C609">
        <f>IF($E609="","",INDEX('Input Transaksi'!$E:$E,$E609))</f>
        <v/>
      </c>
      <c r="D609" s="5">
        <f>IF($E609="","",INDEX('Input Transaksi'!$F:$F,$E609))</f>
        <v/>
      </c>
      <c r="E609">
        <f>IFERROR(AGGREGATE(15,6,ROW('Input Transaksi'!$B$5:$B$5000)/('Input Transaksi'!$B$5:$B$5000="JCL MERPATI"),ROWS($E$5:E609)),"")</f>
        <v/>
      </c>
      <c r="F609" s="5" t="n"/>
    </row>
    <row r="610">
      <c r="A610" s="10">
        <f>IF($E610="","",INDEX('Input Transaksi'!$A:$A,$E610))</f>
        <v/>
      </c>
      <c r="B610" s="5">
        <f>IF($E610="","",INDEX('Input Transaksi'!$D:$D,$E610))</f>
        <v/>
      </c>
      <c r="C610">
        <f>IF($E610="","",INDEX('Input Transaksi'!$E:$E,$E610))</f>
        <v/>
      </c>
      <c r="D610" s="5">
        <f>IF($E610="","",INDEX('Input Transaksi'!$F:$F,$E610))</f>
        <v/>
      </c>
      <c r="E610">
        <f>IFERROR(AGGREGATE(15,6,ROW('Input Transaksi'!$B$5:$B$5000)/('Input Transaksi'!$B$5:$B$5000="JCL MERPATI"),ROWS($E$5:E610)),"")</f>
        <v/>
      </c>
      <c r="F610" s="5" t="n"/>
    </row>
    <row r="611">
      <c r="A611" s="10">
        <f>IF($E611="","",INDEX('Input Transaksi'!$A:$A,$E611))</f>
        <v/>
      </c>
      <c r="B611" s="5">
        <f>IF($E611="","",INDEX('Input Transaksi'!$D:$D,$E611))</f>
        <v/>
      </c>
      <c r="C611">
        <f>IF($E611="","",INDEX('Input Transaksi'!$E:$E,$E611))</f>
        <v/>
      </c>
      <c r="D611" s="5">
        <f>IF($E611="","",INDEX('Input Transaksi'!$F:$F,$E611))</f>
        <v/>
      </c>
      <c r="E611">
        <f>IFERROR(AGGREGATE(15,6,ROW('Input Transaksi'!$B$5:$B$5000)/('Input Transaksi'!$B$5:$B$5000="JCL MERPATI"),ROWS($E$5:E611)),"")</f>
        <v/>
      </c>
      <c r="F611" s="5" t="n"/>
    </row>
    <row r="612">
      <c r="A612" s="10">
        <f>IF($E612="","",INDEX('Input Transaksi'!$A:$A,$E612))</f>
        <v/>
      </c>
      <c r="B612" s="5">
        <f>IF($E612="","",INDEX('Input Transaksi'!$D:$D,$E612))</f>
        <v/>
      </c>
      <c r="C612">
        <f>IF($E612="","",INDEX('Input Transaksi'!$E:$E,$E612))</f>
        <v/>
      </c>
      <c r="D612" s="5">
        <f>IF($E612="","",INDEX('Input Transaksi'!$F:$F,$E612))</f>
        <v/>
      </c>
      <c r="E612">
        <f>IFERROR(AGGREGATE(15,6,ROW('Input Transaksi'!$B$5:$B$5000)/('Input Transaksi'!$B$5:$B$5000="JCL MERPATI"),ROWS($E$5:E612)),"")</f>
        <v/>
      </c>
      <c r="F612" s="5" t="n"/>
    </row>
    <row r="613">
      <c r="A613" s="10">
        <f>IF($E613="","",INDEX('Input Transaksi'!$A:$A,$E613))</f>
        <v/>
      </c>
      <c r="B613" s="5">
        <f>IF($E613="","",INDEX('Input Transaksi'!$D:$D,$E613))</f>
        <v/>
      </c>
      <c r="C613">
        <f>IF($E613="","",INDEX('Input Transaksi'!$E:$E,$E613))</f>
        <v/>
      </c>
      <c r="D613" s="5">
        <f>IF($E613="","",INDEX('Input Transaksi'!$F:$F,$E613))</f>
        <v/>
      </c>
      <c r="E613">
        <f>IFERROR(AGGREGATE(15,6,ROW('Input Transaksi'!$B$5:$B$5000)/('Input Transaksi'!$B$5:$B$5000="JCL MERPATI"),ROWS($E$5:E613)),"")</f>
        <v/>
      </c>
      <c r="F613" s="5" t="n"/>
    </row>
    <row r="614">
      <c r="A614" s="10">
        <f>IF($E614="","",INDEX('Input Transaksi'!$A:$A,$E614))</f>
        <v/>
      </c>
      <c r="B614" s="5">
        <f>IF($E614="","",INDEX('Input Transaksi'!$D:$D,$E614))</f>
        <v/>
      </c>
      <c r="C614">
        <f>IF($E614="","",INDEX('Input Transaksi'!$E:$E,$E614))</f>
        <v/>
      </c>
      <c r="D614" s="5">
        <f>IF($E614="","",INDEX('Input Transaksi'!$F:$F,$E614))</f>
        <v/>
      </c>
      <c r="E614">
        <f>IFERROR(AGGREGATE(15,6,ROW('Input Transaksi'!$B$5:$B$5000)/('Input Transaksi'!$B$5:$B$5000="JCL MERPATI"),ROWS($E$5:E614)),"")</f>
        <v/>
      </c>
      <c r="F614" s="5" t="n"/>
    </row>
    <row r="615">
      <c r="A615" s="10">
        <f>IF($E615="","",INDEX('Input Transaksi'!$A:$A,$E615))</f>
        <v/>
      </c>
      <c r="B615" s="5">
        <f>IF($E615="","",INDEX('Input Transaksi'!$D:$D,$E615))</f>
        <v/>
      </c>
      <c r="C615">
        <f>IF($E615="","",INDEX('Input Transaksi'!$E:$E,$E615))</f>
        <v/>
      </c>
      <c r="D615" s="5">
        <f>IF($E615="","",INDEX('Input Transaksi'!$F:$F,$E615))</f>
        <v/>
      </c>
      <c r="E615">
        <f>IFERROR(AGGREGATE(15,6,ROW('Input Transaksi'!$B$5:$B$5000)/('Input Transaksi'!$B$5:$B$5000="JCL MERPATI"),ROWS($E$5:E615)),"")</f>
        <v/>
      </c>
      <c r="F615" s="5" t="n"/>
    </row>
    <row r="616">
      <c r="A616" s="10">
        <f>IF($E616="","",INDEX('Input Transaksi'!$A:$A,$E616))</f>
        <v/>
      </c>
      <c r="B616" s="5">
        <f>IF($E616="","",INDEX('Input Transaksi'!$D:$D,$E616))</f>
        <v/>
      </c>
      <c r="C616">
        <f>IF($E616="","",INDEX('Input Transaksi'!$E:$E,$E616))</f>
        <v/>
      </c>
      <c r="D616" s="5">
        <f>IF($E616="","",INDEX('Input Transaksi'!$F:$F,$E616))</f>
        <v/>
      </c>
      <c r="E616">
        <f>IFERROR(AGGREGATE(15,6,ROW('Input Transaksi'!$B$5:$B$5000)/('Input Transaksi'!$B$5:$B$5000="JCL MERPATI"),ROWS($E$5:E616)),"")</f>
        <v/>
      </c>
      <c r="F616" s="5" t="n"/>
    </row>
    <row r="617">
      <c r="A617" s="10">
        <f>IF($E617="","",INDEX('Input Transaksi'!$A:$A,$E617))</f>
        <v/>
      </c>
      <c r="B617" s="5">
        <f>IF($E617="","",INDEX('Input Transaksi'!$D:$D,$E617))</f>
        <v/>
      </c>
      <c r="C617">
        <f>IF($E617="","",INDEX('Input Transaksi'!$E:$E,$E617))</f>
        <v/>
      </c>
      <c r="D617" s="5">
        <f>IF($E617="","",INDEX('Input Transaksi'!$F:$F,$E617))</f>
        <v/>
      </c>
      <c r="E617">
        <f>IFERROR(AGGREGATE(15,6,ROW('Input Transaksi'!$B$5:$B$5000)/('Input Transaksi'!$B$5:$B$5000="JCL MERPATI"),ROWS($E$5:E617)),"")</f>
        <v/>
      </c>
      <c r="F617" s="5" t="n"/>
    </row>
    <row r="618">
      <c r="A618" s="10">
        <f>IF($E618="","",INDEX('Input Transaksi'!$A:$A,$E618))</f>
        <v/>
      </c>
      <c r="B618" s="5">
        <f>IF($E618="","",INDEX('Input Transaksi'!$D:$D,$E618))</f>
        <v/>
      </c>
      <c r="C618">
        <f>IF($E618="","",INDEX('Input Transaksi'!$E:$E,$E618))</f>
        <v/>
      </c>
      <c r="D618" s="5">
        <f>IF($E618="","",INDEX('Input Transaksi'!$F:$F,$E618))</f>
        <v/>
      </c>
      <c r="E618">
        <f>IFERROR(AGGREGATE(15,6,ROW('Input Transaksi'!$B$5:$B$5000)/('Input Transaksi'!$B$5:$B$5000="JCL MERPATI"),ROWS($E$5:E618)),"")</f>
        <v/>
      </c>
      <c r="F618" s="5" t="n"/>
    </row>
    <row r="619">
      <c r="A619" s="10">
        <f>IF($E619="","",INDEX('Input Transaksi'!$A:$A,$E619))</f>
        <v/>
      </c>
      <c r="B619" s="5">
        <f>IF($E619="","",INDEX('Input Transaksi'!$D:$D,$E619))</f>
        <v/>
      </c>
      <c r="C619">
        <f>IF($E619="","",INDEX('Input Transaksi'!$E:$E,$E619))</f>
        <v/>
      </c>
      <c r="D619" s="5">
        <f>IF($E619="","",INDEX('Input Transaksi'!$F:$F,$E619))</f>
        <v/>
      </c>
      <c r="E619">
        <f>IFERROR(AGGREGATE(15,6,ROW('Input Transaksi'!$B$5:$B$5000)/('Input Transaksi'!$B$5:$B$5000="JCL MERPATI"),ROWS($E$5:E619)),"")</f>
        <v/>
      </c>
      <c r="F619" s="5" t="n"/>
    </row>
    <row r="620">
      <c r="A620" s="10">
        <f>IF($E620="","",INDEX('Input Transaksi'!$A:$A,$E620))</f>
        <v/>
      </c>
      <c r="B620" s="5">
        <f>IF($E620="","",INDEX('Input Transaksi'!$D:$D,$E620))</f>
        <v/>
      </c>
      <c r="C620">
        <f>IF($E620="","",INDEX('Input Transaksi'!$E:$E,$E620))</f>
        <v/>
      </c>
      <c r="D620" s="5">
        <f>IF($E620="","",INDEX('Input Transaksi'!$F:$F,$E620))</f>
        <v/>
      </c>
      <c r="E620">
        <f>IFERROR(AGGREGATE(15,6,ROW('Input Transaksi'!$B$5:$B$5000)/('Input Transaksi'!$B$5:$B$5000="JCL MERPATI"),ROWS($E$5:E620)),"")</f>
        <v/>
      </c>
      <c r="F620" s="5" t="n"/>
    </row>
    <row r="621">
      <c r="A621" s="10">
        <f>IF($E621="","",INDEX('Input Transaksi'!$A:$A,$E621))</f>
        <v/>
      </c>
      <c r="B621" s="5">
        <f>IF($E621="","",INDEX('Input Transaksi'!$D:$D,$E621))</f>
        <v/>
      </c>
      <c r="C621">
        <f>IF($E621="","",INDEX('Input Transaksi'!$E:$E,$E621))</f>
        <v/>
      </c>
      <c r="D621" s="5">
        <f>IF($E621="","",INDEX('Input Transaksi'!$F:$F,$E621))</f>
        <v/>
      </c>
      <c r="E621">
        <f>IFERROR(AGGREGATE(15,6,ROW('Input Transaksi'!$B$5:$B$5000)/('Input Transaksi'!$B$5:$B$5000="JCL MERPATI"),ROWS($E$5:E621)),"")</f>
        <v/>
      </c>
      <c r="F621" s="5" t="n"/>
    </row>
    <row r="622">
      <c r="A622" s="10">
        <f>IF($E622="","",INDEX('Input Transaksi'!$A:$A,$E622))</f>
        <v/>
      </c>
      <c r="B622" s="5">
        <f>IF($E622="","",INDEX('Input Transaksi'!$D:$D,$E622))</f>
        <v/>
      </c>
      <c r="C622">
        <f>IF($E622="","",INDEX('Input Transaksi'!$E:$E,$E622))</f>
        <v/>
      </c>
      <c r="D622" s="5">
        <f>IF($E622="","",INDEX('Input Transaksi'!$F:$F,$E622))</f>
        <v/>
      </c>
      <c r="E622">
        <f>IFERROR(AGGREGATE(15,6,ROW('Input Transaksi'!$B$5:$B$5000)/('Input Transaksi'!$B$5:$B$5000="JCL MERPATI"),ROWS($E$5:E622)),"")</f>
        <v/>
      </c>
      <c r="F622" s="5" t="n"/>
    </row>
    <row r="623">
      <c r="A623" s="10">
        <f>IF($E623="","",INDEX('Input Transaksi'!$A:$A,$E623))</f>
        <v/>
      </c>
      <c r="B623" s="5">
        <f>IF($E623="","",INDEX('Input Transaksi'!$D:$D,$E623))</f>
        <v/>
      </c>
      <c r="C623">
        <f>IF($E623="","",INDEX('Input Transaksi'!$E:$E,$E623))</f>
        <v/>
      </c>
      <c r="D623" s="5">
        <f>IF($E623="","",INDEX('Input Transaksi'!$F:$F,$E623))</f>
        <v/>
      </c>
      <c r="E623">
        <f>IFERROR(AGGREGATE(15,6,ROW('Input Transaksi'!$B$5:$B$5000)/('Input Transaksi'!$B$5:$B$5000="JCL MERPATI"),ROWS($E$5:E623)),"")</f>
        <v/>
      </c>
      <c r="F623" s="5" t="n"/>
    </row>
    <row r="624">
      <c r="A624" s="10">
        <f>IF($E624="","",INDEX('Input Transaksi'!$A:$A,$E624))</f>
        <v/>
      </c>
      <c r="B624" s="5">
        <f>IF($E624="","",INDEX('Input Transaksi'!$D:$D,$E624))</f>
        <v/>
      </c>
      <c r="C624">
        <f>IF($E624="","",INDEX('Input Transaksi'!$E:$E,$E624))</f>
        <v/>
      </c>
      <c r="D624" s="5">
        <f>IF($E624="","",INDEX('Input Transaksi'!$F:$F,$E624))</f>
        <v/>
      </c>
      <c r="E624">
        <f>IFERROR(AGGREGATE(15,6,ROW('Input Transaksi'!$B$5:$B$5000)/('Input Transaksi'!$B$5:$B$5000="JCL MERPATI"),ROWS($E$5:E624)),"")</f>
        <v/>
      </c>
      <c r="F624" s="5" t="n"/>
    </row>
    <row r="625">
      <c r="A625" s="10">
        <f>IF($E625="","",INDEX('Input Transaksi'!$A:$A,$E625))</f>
        <v/>
      </c>
      <c r="B625" s="5">
        <f>IF($E625="","",INDEX('Input Transaksi'!$D:$D,$E625))</f>
        <v/>
      </c>
      <c r="C625">
        <f>IF($E625="","",INDEX('Input Transaksi'!$E:$E,$E625))</f>
        <v/>
      </c>
      <c r="D625" s="5">
        <f>IF($E625="","",INDEX('Input Transaksi'!$F:$F,$E625))</f>
        <v/>
      </c>
      <c r="E625">
        <f>IFERROR(AGGREGATE(15,6,ROW('Input Transaksi'!$B$5:$B$5000)/('Input Transaksi'!$B$5:$B$5000="JCL MERPATI"),ROWS($E$5:E625)),"")</f>
        <v/>
      </c>
      <c r="F625" s="5" t="n"/>
    </row>
    <row r="626">
      <c r="A626" s="10">
        <f>IF($E626="","",INDEX('Input Transaksi'!$A:$A,$E626))</f>
        <v/>
      </c>
      <c r="B626" s="5">
        <f>IF($E626="","",INDEX('Input Transaksi'!$D:$D,$E626))</f>
        <v/>
      </c>
      <c r="C626">
        <f>IF($E626="","",INDEX('Input Transaksi'!$E:$E,$E626))</f>
        <v/>
      </c>
      <c r="D626" s="5">
        <f>IF($E626="","",INDEX('Input Transaksi'!$F:$F,$E626))</f>
        <v/>
      </c>
      <c r="E626">
        <f>IFERROR(AGGREGATE(15,6,ROW('Input Transaksi'!$B$5:$B$5000)/('Input Transaksi'!$B$5:$B$5000="JCL MERPATI"),ROWS($E$5:E626)),"")</f>
        <v/>
      </c>
      <c r="F626" s="5" t="n"/>
    </row>
    <row r="627">
      <c r="A627" s="10">
        <f>IF($E627="","",INDEX('Input Transaksi'!$A:$A,$E627))</f>
        <v/>
      </c>
      <c r="B627" s="5">
        <f>IF($E627="","",INDEX('Input Transaksi'!$D:$D,$E627))</f>
        <v/>
      </c>
      <c r="C627">
        <f>IF($E627="","",INDEX('Input Transaksi'!$E:$E,$E627))</f>
        <v/>
      </c>
      <c r="D627" s="5">
        <f>IF($E627="","",INDEX('Input Transaksi'!$F:$F,$E627))</f>
        <v/>
      </c>
      <c r="E627">
        <f>IFERROR(AGGREGATE(15,6,ROW('Input Transaksi'!$B$5:$B$5000)/('Input Transaksi'!$B$5:$B$5000="JCL MERPATI"),ROWS($E$5:E627)),"")</f>
        <v/>
      </c>
      <c r="F627" s="5" t="n"/>
    </row>
    <row r="628">
      <c r="A628" s="10">
        <f>IF($E628="","",INDEX('Input Transaksi'!$A:$A,$E628))</f>
        <v/>
      </c>
      <c r="B628" s="5">
        <f>IF($E628="","",INDEX('Input Transaksi'!$D:$D,$E628))</f>
        <v/>
      </c>
      <c r="C628">
        <f>IF($E628="","",INDEX('Input Transaksi'!$E:$E,$E628))</f>
        <v/>
      </c>
      <c r="D628" s="5">
        <f>IF($E628="","",INDEX('Input Transaksi'!$F:$F,$E628))</f>
        <v/>
      </c>
      <c r="E628">
        <f>IFERROR(AGGREGATE(15,6,ROW('Input Transaksi'!$B$5:$B$5000)/('Input Transaksi'!$B$5:$B$5000="JCL MERPATI"),ROWS($E$5:E628)),"")</f>
        <v/>
      </c>
      <c r="F628" s="5" t="n"/>
    </row>
    <row r="629">
      <c r="A629" s="10">
        <f>IF($E629="","",INDEX('Input Transaksi'!$A:$A,$E629))</f>
        <v/>
      </c>
      <c r="B629" s="5">
        <f>IF($E629="","",INDEX('Input Transaksi'!$D:$D,$E629))</f>
        <v/>
      </c>
      <c r="C629">
        <f>IF($E629="","",INDEX('Input Transaksi'!$E:$E,$E629))</f>
        <v/>
      </c>
      <c r="D629" s="5">
        <f>IF($E629="","",INDEX('Input Transaksi'!$F:$F,$E629))</f>
        <v/>
      </c>
      <c r="E629">
        <f>IFERROR(AGGREGATE(15,6,ROW('Input Transaksi'!$B$5:$B$5000)/('Input Transaksi'!$B$5:$B$5000="JCL MERPATI"),ROWS($E$5:E629)),"")</f>
        <v/>
      </c>
      <c r="F629" s="5" t="n"/>
    </row>
    <row r="630">
      <c r="A630" s="10">
        <f>IF($E630="","",INDEX('Input Transaksi'!$A:$A,$E630))</f>
        <v/>
      </c>
      <c r="B630" s="5">
        <f>IF($E630="","",INDEX('Input Transaksi'!$D:$D,$E630))</f>
        <v/>
      </c>
      <c r="C630">
        <f>IF($E630="","",INDEX('Input Transaksi'!$E:$E,$E630))</f>
        <v/>
      </c>
      <c r="D630" s="5">
        <f>IF($E630="","",INDEX('Input Transaksi'!$F:$F,$E630))</f>
        <v/>
      </c>
      <c r="E630">
        <f>IFERROR(AGGREGATE(15,6,ROW('Input Transaksi'!$B$5:$B$5000)/('Input Transaksi'!$B$5:$B$5000="JCL MERPATI"),ROWS($E$5:E630)),"")</f>
        <v/>
      </c>
      <c r="F630" s="5" t="n"/>
    </row>
    <row r="631">
      <c r="A631" s="10">
        <f>IF($E631="","",INDEX('Input Transaksi'!$A:$A,$E631))</f>
        <v/>
      </c>
      <c r="B631" s="5">
        <f>IF($E631="","",INDEX('Input Transaksi'!$D:$D,$E631))</f>
        <v/>
      </c>
      <c r="C631">
        <f>IF($E631="","",INDEX('Input Transaksi'!$E:$E,$E631))</f>
        <v/>
      </c>
      <c r="D631" s="5">
        <f>IF($E631="","",INDEX('Input Transaksi'!$F:$F,$E631))</f>
        <v/>
      </c>
      <c r="E631">
        <f>IFERROR(AGGREGATE(15,6,ROW('Input Transaksi'!$B$5:$B$5000)/('Input Transaksi'!$B$5:$B$5000="JCL MERPATI"),ROWS($E$5:E631)),"")</f>
        <v/>
      </c>
      <c r="F631" s="5" t="n"/>
    </row>
    <row r="632">
      <c r="A632" s="10">
        <f>IF($E632="","",INDEX('Input Transaksi'!$A:$A,$E632))</f>
        <v/>
      </c>
      <c r="B632" s="5">
        <f>IF($E632="","",INDEX('Input Transaksi'!$D:$D,$E632))</f>
        <v/>
      </c>
      <c r="C632">
        <f>IF($E632="","",INDEX('Input Transaksi'!$E:$E,$E632))</f>
        <v/>
      </c>
      <c r="D632" s="5">
        <f>IF($E632="","",INDEX('Input Transaksi'!$F:$F,$E632))</f>
        <v/>
      </c>
      <c r="E632">
        <f>IFERROR(AGGREGATE(15,6,ROW('Input Transaksi'!$B$5:$B$5000)/('Input Transaksi'!$B$5:$B$5000="JCL MERPATI"),ROWS($E$5:E632)),"")</f>
        <v/>
      </c>
      <c r="F632" s="5" t="n"/>
    </row>
    <row r="633">
      <c r="A633" s="10">
        <f>IF($E633="","",INDEX('Input Transaksi'!$A:$A,$E633))</f>
        <v/>
      </c>
      <c r="B633" s="5">
        <f>IF($E633="","",INDEX('Input Transaksi'!$D:$D,$E633))</f>
        <v/>
      </c>
      <c r="C633">
        <f>IF($E633="","",INDEX('Input Transaksi'!$E:$E,$E633))</f>
        <v/>
      </c>
      <c r="D633" s="5">
        <f>IF($E633="","",INDEX('Input Transaksi'!$F:$F,$E633))</f>
        <v/>
      </c>
      <c r="E633">
        <f>IFERROR(AGGREGATE(15,6,ROW('Input Transaksi'!$B$5:$B$5000)/('Input Transaksi'!$B$5:$B$5000="JCL MERPATI"),ROWS($E$5:E633)),"")</f>
        <v/>
      </c>
      <c r="F633" s="5" t="n"/>
    </row>
    <row r="634">
      <c r="A634" s="10">
        <f>IF($E634="","",INDEX('Input Transaksi'!$A:$A,$E634))</f>
        <v/>
      </c>
      <c r="B634" s="5">
        <f>IF($E634="","",INDEX('Input Transaksi'!$D:$D,$E634))</f>
        <v/>
      </c>
      <c r="C634">
        <f>IF($E634="","",INDEX('Input Transaksi'!$E:$E,$E634))</f>
        <v/>
      </c>
      <c r="D634" s="5">
        <f>IF($E634="","",INDEX('Input Transaksi'!$F:$F,$E634))</f>
        <v/>
      </c>
      <c r="E634">
        <f>IFERROR(AGGREGATE(15,6,ROW('Input Transaksi'!$B$5:$B$5000)/('Input Transaksi'!$B$5:$B$5000="JCL MERPATI"),ROWS($E$5:E634)),"")</f>
        <v/>
      </c>
      <c r="F634" s="5" t="n"/>
    </row>
    <row r="635">
      <c r="A635" s="10">
        <f>IF($E635="","",INDEX('Input Transaksi'!$A:$A,$E635))</f>
        <v/>
      </c>
      <c r="B635" s="5">
        <f>IF($E635="","",INDEX('Input Transaksi'!$D:$D,$E635))</f>
        <v/>
      </c>
      <c r="C635">
        <f>IF($E635="","",INDEX('Input Transaksi'!$E:$E,$E635))</f>
        <v/>
      </c>
      <c r="D635" s="5">
        <f>IF($E635="","",INDEX('Input Transaksi'!$F:$F,$E635))</f>
        <v/>
      </c>
      <c r="E635">
        <f>IFERROR(AGGREGATE(15,6,ROW('Input Transaksi'!$B$5:$B$5000)/('Input Transaksi'!$B$5:$B$5000="JCL MERPATI"),ROWS($E$5:E635)),"")</f>
        <v/>
      </c>
      <c r="F635" s="5" t="n"/>
    </row>
    <row r="636">
      <c r="A636" s="10">
        <f>IF($E636="","",INDEX('Input Transaksi'!$A:$A,$E636))</f>
        <v/>
      </c>
      <c r="B636" s="5">
        <f>IF($E636="","",INDEX('Input Transaksi'!$D:$D,$E636))</f>
        <v/>
      </c>
      <c r="C636">
        <f>IF($E636="","",INDEX('Input Transaksi'!$E:$E,$E636))</f>
        <v/>
      </c>
      <c r="D636" s="5">
        <f>IF($E636="","",INDEX('Input Transaksi'!$F:$F,$E636))</f>
        <v/>
      </c>
      <c r="E636">
        <f>IFERROR(AGGREGATE(15,6,ROW('Input Transaksi'!$B$5:$B$5000)/('Input Transaksi'!$B$5:$B$5000="JCL MERPATI"),ROWS($E$5:E636)),"")</f>
        <v/>
      </c>
      <c r="F636" s="5" t="n"/>
    </row>
    <row r="637">
      <c r="A637" s="10">
        <f>IF($E637="","",INDEX('Input Transaksi'!$A:$A,$E637))</f>
        <v/>
      </c>
      <c r="B637" s="5">
        <f>IF($E637="","",INDEX('Input Transaksi'!$D:$D,$E637))</f>
        <v/>
      </c>
      <c r="C637">
        <f>IF($E637="","",INDEX('Input Transaksi'!$E:$E,$E637))</f>
        <v/>
      </c>
      <c r="D637" s="5">
        <f>IF($E637="","",INDEX('Input Transaksi'!$F:$F,$E637))</f>
        <v/>
      </c>
      <c r="E637">
        <f>IFERROR(AGGREGATE(15,6,ROW('Input Transaksi'!$B$5:$B$5000)/('Input Transaksi'!$B$5:$B$5000="JCL MERPATI"),ROWS($E$5:E637)),"")</f>
        <v/>
      </c>
      <c r="F637" s="5" t="n"/>
    </row>
    <row r="638">
      <c r="A638" s="10">
        <f>IF($E638="","",INDEX('Input Transaksi'!$A:$A,$E638))</f>
        <v/>
      </c>
      <c r="B638" s="5">
        <f>IF($E638="","",INDEX('Input Transaksi'!$D:$D,$E638))</f>
        <v/>
      </c>
      <c r="C638">
        <f>IF($E638="","",INDEX('Input Transaksi'!$E:$E,$E638))</f>
        <v/>
      </c>
      <c r="D638" s="5">
        <f>IF($E638="","",INDEX('Input Transaksi'!$F:$F,$E638))</f>
        <v/>
      </c>
      <c r="E638">
        <f>IFERROR(AGGREGATE(15,6,ROW('Input Transaksi'!$B$5:$B$5000)/('Input Transaksi'!$B$5:$B$5000="JCL MERPATI"),ROWS($E$5:E638)),"")</f>
        <v/>
      </c>
      <c r="F638" s="5" t="n"/>
    </row>
    <row r="639">
      <c r="A639" s="10">
        <f>IF($E639="","",INDEX('Input Transaksi'!$A:$A,$E639))</f>
        <v/>
      </c>
      <c r="B639" s="5">
        <f>IF($E639="","",INDEX('Input Transaksi'!$D:$D,$E639))</f>
        <v/>
      </c>
      <c r="C639">
        <f>IF($E639="","",INDEX('Input Transaksi'!$E:$E,$E639))</f>
        <v/>
      </c>
      <c r="D639" s="5">
        <f>IF($E639="","",INDEX('Input Transaksi'!$F:$F,$E639))</f>
        <v/>
      </c>
      <c r="E639">
        <f>IFERROR(AGGREGATE(15,6,ROW('Input Transaksi'!$B$5:$B$5000)/('Input Transaksi'!$B$5:$B$5000="JCL MERPATI"),ROWS($E$5:E639)),"")</f>
        <v/>
      </c>
      <c r="F639" s="5" t="n"/>
    </row>
    <row r="640">
      <c r="A640" s="10">
        <f>IF($E640="","",INDEX('Input Transaksi'!$A:$A,$E640))</f>
        <v/>
      </c>
      <c r="B640" s="5">
        <f>IF($E640="","",INDEX('Input Transaksi'!$D:$D,$E640))</f>
        <v/>
      </c>
      <c r="C640">
        <f>IF($E640="","",INDEX('Input Transaksi'!$E:$E,$E640))</f>
        <v/>
      </c>
      <c r="D640" s="5">
        <f>IF($E640="","",INDEX('Input Transaksi'!$F:$F,$E640))</f>
        <v/>
      </c>
      <c r="E640">
        <f>IFERROR(AGGREGATE(15,6,ROW('Input Transaksi'!$B$5:$B$5000)/('Input Transaksi'!$B$5:$B$5000="JCL MERPATI"),ROWS($E$5:E640)),"")</f>
        <v/>
      </c>
      <c r="F640" s="5" t="n"/>
    </row>
    <row r="641">
      <c r="A641" s="10">
        <f>IF($E641="","",INDEX('Input Transaksi'!$A:$A,$E641))</f>
        <v/>
      </c>
      <c r="B641" s="5">
        <f>IF($E641="","",INDEX('Input Transaksi'!$D:$D,$E641))</f>
        <v/>
      </c>
      <c r="C641">
        <f>IF($E641="","",INDEX('Input Transaksi'!$E:$E,$E641))</f>
        <v/>
      </c>
      <c r="D641" s="5">
        <f>IF($E641="","",INDEX('Input Transaksi'!$F:$F,$E641))</f>
        <v/>
      </c>
      <c r="E641">
        <f>IFERROR(AGGREGATE(15,6,ROW('Input Transaksi'!$B$5:$B$5000)/('Input Transaksi'!$B$5:$B$5000="JCL MERPATI"),ROWS($E$5:E641)),"")</f>
        <v/>
      </c>
      <c r="F641" s="5" t="n"/>
    </row>
    <row r="642">
      <c r="A642" s="10">
        <f>IF($E642="","",INDEX('Input Transaksi'!$A:$A,$E642))</f>
        <v/>
      </c>
      <c r="B642" s="5">
        <f>IF($E642="","",INDEX('Input Transaksi'!$D:$D,$E642))</f>
        <v/>
      </c>
      <c r="C642">
        <f>IF($E642="","",INDEX('Input Transaksi'!$E:$E,$E642))</f>
        <v/>
      </c>
      <c r="D642" s="5">
        <f>IF($E642="","",INDEX('Input Transaksi'!$F:$F,$E642))</f>
        <v/>
      </c>
      <c r="E642">
        <f>IFERROR(AGGREGATE(15,6,ROW('Input Transaksi'!$B$5:$B$5000)/('Input Transaksi'!$B$5:$B$5000="JCL MERPATI"),ROWS($E$5:E642)),"")</f>
        <v/>
      </c>
      <c r="F642" s="5" t="n"/>
    </row>
    <row r="643">
      <c r="A643" s="10">
        <f>IF($E643="","",INDEX('Input Transaksi'!$A:$A,$E643))</f>
        <v/>
      </c>
      <c r="B643" s="5">
        <f>IF($E643="","",INDEX('Input Transaksi'!$D:$D,$E643))</f>
        <v/>
      </c>
      <c r="C643">
        <f>IF($E643="","",INDEX('Input Transaksi'!$E:$E,$E643))</f>
        <v/>
      </c>
      <c r="D643" s="5">
        <f>IF($E643="","",INDEX('Input Transaksi'!$F:$F,$E643))</f>
        <v/>
      </c>
      <c r="E643">
        <f>IFERROR(AGGREGATE(15,6,ROW('Input Transaksi'!$B$5:$B$5000)/('Input Transaksi'!$B$5:$B$5000="JCL MERPATI"),ROWS($E$5:E643)),"")</f>
        <v/>
      </c>
      <c r="F643" s="5" t="n"/>
    </row>
    <row r="644">
      <c r="A644" s="10">
        <f>IF($E644="","",INDEX('Input Transaksi'!$A:$A,$E644))</f>
        <v/>
      </c>
      <c r="B644" s="5">
        <f>IF($E644="","",INDEX('Input Transaksi'!$D:$D,$E644))</f>
        <v/>
      </c>
      <c r="C644">
        <f>IF($E644="","",INDEX('Input Transaksi'!$E:$E,$E644))</f>
        <v/>
      </c>
      <c r="D644" s="5">
        <f>IF($E644="","",INDEX('Input Transaksi'!$F:$F,$E644))</f>
        <v/>
      </c>
      <c r="E644">
        <f>IFERROR(AGGREGATE(15,6,ROW('Input Transaksi'!$B$5:$B$5000)/('Input Transaksi'!$B$5:$B$5000="JCL MERPATI"),ROWS($E$5:E644)),"")</f>
        <v/>
      </c>
      <c r="F644" s="5" t="n"/>
    </row>
    <row r="645">
      <c r="A645" s="10">
        <f>IF($E645="","",INDEX('Input Transaksi'!$A:$A,$E645))</f>
        <v/>
      </c>
      <c r="B645" s="5">
        <f>IF($E645="","",INDEX('Input Transaksi'!$D:$D,$E645))</f>
        <v/>
      </c>
      <c r="C645">
        <f>IF($E645="","",INDEX('Input Transaksi'!$E:$E,$E645))</f>
        <v/>
      </c>
      <c r="D645" s="5">
        <f>IF($E645="","",INDEX('Input Transaksi'!$F:$F,$E645))</f>
        <v/>
      </c>
      <c r="E645">
        <f>IFERROR(AGGREGATE(15,6,ROW('Input Transaksi'!$B$5:$B$5000)/('Input Transaksi'!$B$5:$B$5000="JCL MERPATI"),ROWS($E$5:E645)),"")</f>
        <v/>
      </c>
      <c r="F645" s="5" t="n"/>
    </row>
    <row r="646">
      <c r="A646" s="10">
        <f>IF($E646="","",INDEX('Input Transaksi'!$A:$A,$E646))</f>
        <v/>
      </c>
      <c r="B646" s="5">
        <f>IF($E646="","",INDEX('Input Transaksi'!$D:$D,$E646))</f>
        <v/>
      </c>
      <c r="C646">
        <f>IF($E646="","",INDEX('Input Transaksi'!$E:$E,$E646))</f>
        <v/>
      </c>
      <c r="D646" s="5">
        <f>IF($E646="","",INDEX('Input Transaksi'!$F:$F,$E646))</f>
        <v/>
      </c>
      <c r="E646">
        <f>IFERROR(AGGREGATE(15,6,ROW('Input Transaksi'!$B$5:$B$5000)/('Input Transaksi'!$B$5:$B$5000="JCL MERPATI"),ROWS($E$5:E646)),"")</f>
        <v/>
      </c>
      <c r="F646" s="5" t="n"/>
    </row>
    <row r="647">
      <c r="A647" s="10">
        <f>IF($E647="","",INDEX('Input Transaksi'!$A:$A,$E647))</f>
        <v/>
      </c>
      <c r="B647" s="5">
        <f>IF($E647="","",INDEX('Input Transaksi'!$D:$D,$E647))</f>
        <v/>
      </c>
      <c r="C647">
        <f>IF($E647="","",INDEX('Input Transaksi'!$E:$E,$E647))</f>
        <v/>
      </c>
      <c r="D647" s="5">
        <f>IF($E647="","",INDEX('Input Transaksi'!$F:$F,$E647))</f>
        <v/>
      </c>
      <c r="E647">
        <f>IFERROR(AGGREGATE(15,6,ROW('Input Transaksi'!$B$5:$B$5000)/('Input Transaksi'!$B$5:$B$5000="JCL MERPATI"),ROWS($E$5:E647)),"")</f>
        <v/>
      </c>
      <c r="F647" s="5" t="n"/>
    </row>
    <row r="648">
      <c r="A648" s="10">
        <f>IF($E648="","",INDEX('Input Transaksi'!$A:$A,$E648))</f>
        <v/>
      </c>
      <c r="B648" s="5">
        <f>IF($E648="","",INDEX('Input Transaksi'!$D:$D,$E648))</f>
        <v/>
      </c>
      <c r="C648">
        <f>IF($E648="","",INDEX('Input Transaksi'!$E:$E,$E648))</f>
        <v/>
      </c>
      <c r="D648" s="5">
        <f>IF($E648="","",INDEX('Input Transaksi'!$F:$F,$E648))</f>
        <v/>
      </c>
      <c r="E648">
        <f>IFERROR(AGGREGATE(15,6,ROW('Input Transaksi'!$B$5:$B$5000)/('Input Transaksi'!$B$5:$B$5000="JCL MERPATI"),ROWS($E$5:E648)),"")</f>
        <v/>
      </c>
      <c r="F648" s="5" t="n"/>
    </row>
    <row r="649">
      <c r="A649" s="10">
        <f>IF($E649="","",INDEX('Input Transaksi'!$A:$A,$E649))</f>
        <v/>
      </c>
      <c r="B649" s="5">
        <f>IF($E649="","",INDEX('Input Transaksi'!$D:$D,$E649))</f>
        <v/>
      </c>
      <c r="C649">
        <f>IF($E649="","",INDEX('Input Transaksi'!$E:$E,$E649))</f>
        <v/>
      </c>
      <c r="D649" s="5">
        <f>IF($E649="","",INDEX('Input Transaksi'!$F:$F,$E649))</f>
        <v/>
      </c>
      <c r="E649">
        <f>IFERROR(AGGREGATE(15,6,ROW('Input Transaksi'!$B$5:$B$5000)/('Input Transaksi'!$B$5:$B$5000="JCL MERPATI"),ROWS($E$5:E649)),"")</f>
        <v/>
      </c>
      <c r="F649" s="5" t="n"/>
    </row>
    <row r="650">
      <c r="A650" s="10">
        <f>IF($E650="","",INDEX('Input Transaksi'!$A:$A,$E650))</f>
        <v/>
      </c>
      <c r="B650" s="5">
        <f>IF($E650="","",INDEX('Input Transaksi'!$D:$D,$E650))</f>
        <v/>
      </c>
      <c r="C650">
        <f>IF($E650="","",INDEX('Input Transaksi'!$E:$E,$E650))</f>
        <v/>
      </c>
      <c r="D650" s="5">
        <f>IF($E650="","",INDEX('Input Transaksi'!$F:$F,$E650))</f>
        <v/>
      </c>
      <c r="E650">
        <f>IFERROR(AGGREGATE(15,6,ROW('Input Transaksi'!$B$5:$B$5000)/('Input Transaksi'!$B$5:$B$5000="JCL MERPATI"),ROWS($E$5:E650)),"")</f>
        <v/>
      </c>
      <c r="F650" s="5" t="n"/>
    </row>
    <row r="651">
      <c r="A651" s="10">
        <f>IF($E651="","",INDEX('Input Transaksi'!$A:$A,$E651))</f>
        <v/>
      </c>
      <c r="B651" s="5">
        <f>IF($E651="","",INDEX('Input Transaksi'!$D:$D,$E651))</f>
        <v/>
      </c>
      <c r="C651">
        <f>IF($E651="","",INDEX('Input Transaksi'!$E:$E,$E651))</f>
        <v/>
      </c>
      <c r="D651" s="5">
        <f>IF($E651="","",INDEX('Input Transaksi'!$F:$F,$E651))</f>
        <v/>
      </c>
      <c r="E651">
        <f>IFERROR(AGGREGATE(15,6,ROW('Input Transaksi'!$B$5:$B$5000)/('Input Transaksi'!$B$5:$B$5000="JCL MERPATI"),ROWS($E$5:E651)),"")</f>
        <v/>
      </c>
      <c r="F651" s="5" t="n"/>
    </row>
    <row r="652">
      <c r="A652" s="10">
        <f>IF($E652="","",INDEX('Input Transaksi'!$A:$A,$E652))</f>
        <v/>
      </c>
      <c r="B652" s="5">
        <f>IF($E652="","",INDEX('Input Transaksi'!$D:$D,$E652))</f>
        <v/>
      </c>
      <c r="C652">
        <f>IF($E652="","",INDEX('Input Transaksi'!$E:$E,$E652))</f>
        <v/>
      </c>
      <c r="D652" s="5">
        <f>IF($E652="","",INDEX('Input Transaksi'!$F:$F,$E652))</f>
        <v/>
      </c>
      <c r="E652">
        <f>IFERROR(AGGREGATE(15,6,ROW('Input Transaksi'!$B$5:$B$5000)/('Input Transaksi'!$B$5:$B$5000="JCL MERPATI"),ROWS($E$5:E652)),"")</f>
        <v/>
      </c>
      <c r="F652" s="5" t="n"/>
    </row>
    <row r="653">
      <c r="A653" s="10">
        <f>IF($E653="","",INDEX('Input Transaksi'!$A:$A,$E653))</f>
        <v/>
      </c>
      <c r="B653" s="5">
        <f>IF($E653="","",INDEX('Input Transaksi'!$D:$D,$E653))</f>
        <v/>
      </c>
      <c r="C653">
        <f>IF($E653="","",INDEX('Input Transaksi'!$E:$E,$E653))</f>
        <v/>
      </c>
      <c r="D653" s="5">
        <f>IF($E653="","",INDEX('Input Transaksi'!$F:$F,$E653))</f>
        <v/>
      </c>
      <c r="E653">
        <f>IFERROR(AGGREGATE(15,6,ROW('Input Transaksi'!$B$5:$B$5000)/('Input Transaksi'!$B$5:$B$5000="JCL MERPATI"),ROWS($E$5:E653)),"")</f>
        <v/>
      </c>
      <c r="F653" s="5" t="n"/>
    </row>
    <row r="654">
      <c r="A654" s="10">
        <f>IF($E654="","",INDEX('Input Transaksi'!$A:$A,$E654))</f>
        <v/>
      </c>
      <c r="B654" s="5">
        <f>IF($E654="","",INDEX('Input Transaksi'!$D:$D,$E654))</f>
        <v/>
      </c>
      <c r="C654">
        <f>IF($E654="","",INDEX('Input Transaksi'!$E:$E,$E654))</f>
        <v/>
      </c>
      <c r="D654" s="5">
        <f>IF($E654="","",INDEX('Input Transaksi'!$F:$F,$E654))</f>
        <v/>
      </c>
      <c r="E654">
        <f>IFERROR(AGGREGATE(15,6,ROW('Input Transaksi'!$B$5:$B$5000)/('Input Transaksi'!$B$5:$B$5000="JCL MERPATI"),ROWS($E$5:E654)),"")</f>
        <v/>
      </c>
      <c r="F654" s="5" t="n"/>
    </row>
    <row r="655">
      <c r="A655" s="10">
        <f>IF($E655="","",INDEX('Input Transaksi'!$A:$A,$E655))</f>
        <v/>
      </c>
      <c r="B655" s="5">
        <f>IF($E655="","",INDEX('Input Transaksi'!$D:$D,$E655))</f>
        <v/>
      </c>
      <c r="C655">
        <f>IF($E655="","",INDEX('Input Transaksi'!$E:$E,$E655))</f>
        <v/>
      </c>
      <c r="D655" s="5">
        <f>IF($E655="","",INDEX('Input Transaksi'!$F:$F,$E655))</f>
        <v/>
      </c>
      <c r="E655">
        <f>IFERROR(AGGREGATE(15,6,ROW('Input Transaksi'!$B$5:$B$5000)/('Input Transaksi'!$B$5:$B$5000="JCL MERPATI"),ROWS($E$5:E655)),"")</f>
        <v/>
      </c>
      <c r="F655" s="5" t="n"/>
    </row>
    <row r="656">
      <c r="A656" s="10">
        <f>IF($E656="","",INDEX('Input Transaksi'!$A:$A,$E656))</f>
        <v/>
      </c>
      <c r="B656" s="5">
        <f>IF($E656="","",INDEX('Input Transaksi'!$D:$D,$E656))</f>
        <v/>
      </c>
      <c r="C656">
        <f>IF($E656="","",INDEX('Input Transaksi'!$E:$E,$E656))</f>
        <v/>
      </c>
      <c r="D656" s="5">
        <f>IF($E656="","",INDEX('Input Transaksi'!$F:$F,$E656))</f>
        <v/>
      </c>
      <c r="E656">
        <f>IFERROR(AGGREGATE(15,6,ROW('Input Transaksi'!$B$5:$B$5000)/('Input Transaksi'!$B$5:$B$5000="JCL MERPATI"),ROWS($E$5:E656)),"")</f>
        <v/>
      </c>
      <c r="F656" s="5" t="n"/>
    </row>
    <row r="657">
      <c r="A657" s="10">
        <f>IF($E657="","",INDEX('Input Transaksi'!$A:$A,$E657))</f>
        <v/>
      </c>
      <c r="B657" s="5">
        <f>IF($E657="","",INDEX('Input Transaksi'!$D:$D,$E657))</f>
        <v/>
      </c>
      <c r="C657">
        <f>IF($E657="","",INDEX('Input Transaksi'!$E:$E,$E657))</f>
        <v/>
      </c>
      <c r="D657" s="5">
        <f>IF($E657="","",INDEX('Input Transaksi'!$F:$F,$E657))</f>
        <v/>
      </c>
      <c r="E657">
        <f>IFERROR(AGGREGATE(15,6,ROW('Input Transaksi'!$B$5:$B$5000)/('Input Transaksi'!$B$5:$B$5000="JCL MERPATI"),ROWS($E$5:E657)),"")</f>
        <v/>
      </c>
      <c r="F657" s="5" t="n"/>
    </row>
    <row r="658">
      <c r="A658" s="10">
        <f>IF($E658="","",INDEX('Input Transaksi'!$A:$A,$E658))</f>
        <v/>
      </c>
      <c r="B658" s="5">
        <f>IF($E658="","",INDEX('Input Transaksi'!$D:$D,$E658))</f>
        <v/>
      </c>
      <c r="C658">
        <f>IF($E658="","",INDEX('Input Transaksi'!$E:$E,$E658))</f>
        <v/>
      </c>
      <c r="D658" s="5">
        <f>IF($E658="","",INDEX('Input Transaksi'!$F:$F,$E658))</f>
        <v/>
      </c>
      <c r="E658">
        <f>IFERROR(AGGREGATE(15,6,ROW('Input Transaksi'!$B$5:$B$5000)/('Input Transaksi'!$B$5:$B$5000="JCL MERPATI"),ROWS($E$5:E658)),"")</f>
        <v/>
      </c>
      <c r="F658" s="5" t="n"/>
    </row>
    <row r="659">
      <c r="A659" s="10">
        <f>IF($E659="","",INDEX('Input Transaksi'!$A:$A,$E659))</f>
        <v/>
      </c>
      <c r="B659" s="5">
        <f>IF($E659="","",INDEX('Input Transaksi'!$D:$D,$E659))</f>
        <v/>
      </c>
      <c r="C659">
        <f>IF($E659="","",INDEX('Input Transaksi'!$E:$E,$E659))</f>
        <v/>
      </c>
      <c r="D659" s="5">
        <f>IF($E659="","",INDEX('Input Transaksi'!$F:$F,$E659))</f>
        <v/>
      </c>
      <c r="E659">
        <f>IFERROR(AGGREGATE(15,6,ROW('Input Transaksi'!$B$5:$B$5000)/('Input Transaksi'!$B$5:$B$5000="JCL MERPATI"),ROWS($E$5:E659)),"")</f>
        <v/>
      </c>
      <c r="F659" s="5" t="n"/>
    </row>
    <row r="660">
      <c r="A660" s="10">
        <f>IF($E660="","",INDEX('Input Transaksi'!$A:$A,$E660))</f>
        <v/>
      </c>
      <c r="B660" s="5">
        <f>IF($E660="","",INDEX('Input Transaksi'!$D:$D,$E660))</f>
        <v/>
      </c>
      <c r="C660">
        <f>IF($E660="","",INDEX('Input Transaksi'!$E:$E,$E660))</f>
        <v/>
      </c>
      <c r="D660" s="5">
        <f>IF($E660="","",INDEX('Input Transaksi'!$F:$F,$E660))</f>
        <v/>
      </c>
      <c r="E660">
        <f>IFERROR(AGGREGATE(15,6,ROW('Input Transaksi'!$B$5:$B$5000)/('Input Transaksi'!$B$5:$B$5000="JCL MERPATI"),ROWS($E$5:E660)),"")</f>
        <v/>
      </c>
      <c r="F660" s="5" t="n"/>
    </row>
    <row r="661">
      <c r="A661" s="10">
        <f>IF($E661="","",INDEX('Input Transaksi'!$A:$A,$E661))</f>
        <v/>
      </c>
      <c r="B661" s="5">
        <f>IF($E661="","",INDEX('Input Transaksi'!$D:$D,$E661))</f>
        <v/>
      </c>
      <c r="C661">
        <f>IF($E661="","",INDEX('Input Transaksi'!$E:$E,$E661))</f>
        <v/>
      </c>
      <c r="D661" s="5">
        <f>IF($E661="","",INDEX('Input Transaksi'!$F:$F,$E661))</f>
        <v/>
      </c>
      <c r="E661">
        <f>IFERROR(AGGREGATE(15,6,ROW('Input Transaksi'!$B$5:$B$5000)/('Input Transaksi'!$B$5:$B$5000="JCL MERPATI"),ROWS($E$5:E661)),"")</f>
        <v/>
      </c>
      <c r="F661" s="5" t="n"/>
    </row>
    <row r="662">
      <c r="A662" s="10">
        <f>IF($E662="","",INDEX('Input Transaksi'!$A:$A,$E662))</f>
        <v/>
      </c>
      <c r="B662" s="5">
        <f>IF($E662="","",INDEX('Input Transaksi'!$D:$D,$E662))</f>
        <v/>
      </c>
      <c r="C662">
        <f>IF($E662="","",INDEX('Input Transaksi'!$E:$E,$E662))</f>
        <v/>
      </c>
      <c r="D662" s="5">
        <f>IF($E662="","",INDEX('Input Transaksi'!$F:$F,$E662))</f>
        <v/>
      </c>
      <c r="E662">
        <f>IFERROR(AGGREGATE(15,6,ROW('Input Transaksi'!$B$5:$B$5000)/('Input Transaksi'!$B$5:$B$5000="JCL MERPATI"),ROWS($E$5:E662)),"")</f>
        <v/>
      </c>
      <c r="F662" s="5" t="n"/>
    </row>
    <row r="663">
      <c r="A663" s="10">
        <f>IF($E663="","",INDEX('Input Transaksi'!$A:$A,$E663))</f>
        <v/>
      </c>
      <c r="B663" s="5">
        <f>IF($E663="","",INDEX('Input Transaksi'!$D:$D,$E663))</f>
        <v/>
      </c>
      <c r="C663">
        <f>IF($E663="","",INDEX('Input Transaksi'!$E:$E,$E663))</f>
        <v/>
      </c>
      <c r="D663" s="5">
        <f>IF($E663="","",INDEX('Input Transaksi'!$F:$F,$E663))</f>
        <v/>
      </c>
      <c r="E663">
        <f>IFERROR(AGGREGATE(15,6,ROW('Input Transaksi'!$B$5:$B$5000)/('Input Transaksi'!$B$5:$B$5000="JCL MERPATI"),ROWS($E$5:E663)),"")</f>
        <v/>
      </c>
      <c r="F663" s="5" t="n"/>
    </row>
    <row r="664">
      <c r="A664" s="10">
        <f>IF($E664="","",INDEX('Input Transaksi'!$A:$A,$E664))</f>
        <v/>
      </c>
      <c r="B664" s="5">
        <f>IF($E664="","",INDEX('Input Transaksi'!$D:$D,$E664))</f>
        <v/>
      </c>
      <c r="C664">
        <f>IF($E664="","",INDEX('Input Transaksi'!$E:$E,$E664))</f>
        <v/>
      </c>
      <c r="D664" s="5">
        <f>IF($E664="","",INDEX('Input Transaksi'!$F:$F,$E664))</f>
        <v/>
      </c>
      <c r="E664">
        <f>IFERROR(AGGREGATE(15,6,ROW('Input Transaksi'!$B$5:$B$5000)/('Input Transaksi'!$B$5:$B$5000="JCL MERPATI"),ROWS($E$5:E664)),"")</f>
        <v/>
      </c>
      <c r="F664" s="5" t="n"/>
    </row>
    <row r="665">
      <c r="A665" s="10">
        <f>IF($E665="","",INDEX('Input Transaksi'!$A:$A,$E665))</f>
        <v/>
      </c>
      <c r="B665" s="5">
        <f>IF($E665="","",INDEX('Input Transaksi'!$D:$D,$E665))</f>
        <v/>
      </c>
      <c r="C665">
        <f>IF($E665="","",INDEX('Input Transaksi'!$E:$E,$E665))</f>
        <v/>
      </c>
      <c r="D665" s="5">
        <f>IF($E665="","",INDEX('Input Transaksi'!$F:$F,$E665))</f>
        <v/>
      </c>
      <c r="E665">
        <f>IFERROR(AGGREGATE(15,6,ROW('Input Transaksi'!$B$5:$B$5000)/('Input Transaksi'!$B$5:$B$5000="JCL MERPATI"),ROWS($E$5:E665)),"")</f>
        <v/>
      </c>
      <c r="F665" s="5" t="n"/>
    </row>
    <row r="666">
      <c r="A666" s="10">
        <f>IF($E666="","",INDEX('Input Transaksi'!$A:$A,$E666))</f>
        <v/>
      </c>
      <c r="B666" s="5">
        <f>IF($E666="","",INDEX('Input Transaksi'!$D:$D,$E666))</f>
        <v/>
      </c>
      <c r="C666">
        <f>IF($E666="","",INDEX('Input Transaksi'!$E:$E,$E666))</f>
        <v/>
      </c>
      <c r="D666" s="5">
        <f>IF($E666="","",INDEX('Input Transaksi'!$F:$F,$E666))</f>
        <v/>
      </c>
      <c r="E666">
        <f>IFERROR(AGGREGATE(15,6,ROW('Input Transaksi'!$B$5:$B$5000)/('Input Transaksi'!$B$5:$B$5000="JCL MERPATI"),ROWS($E$5:E666)),"")</f>
        <v/>
      </c>
      <c r="F666" s="5" t="n"/>
    </row>
    <row r="667">
      <c r="A667" s="10">
        <f>IF($E667="","",INDEX('Input Transaksi'!$A:$A,$E667))</f>
        <v/>
      </c>
      <c r="B667" s="5">
        <f>IF($E667="","",INDEX('Input Transaksi'!$D:$D,$E667))</f>
        <v/>
      </c>
      <c r="C667">
        <f>IF($E667="","",INDEX('Input Transaksi'!$E:$E,$E667))</f>
        <v/>
      </c>
      <c r="D667" s="5">
        <f>IF($E667="","",INDEX('Input Transaksi'!$F:$F,$E667))</f>
        <v/>
      </c>
      <c r="E667">
        <f>IFERROR(AGGREGATE(15,6,ROW('Input Transaksi'!$B$5:$B$5000)/('Input Transaksi'!$B$5:$B$5000="JCL MERPATI"),ROWS($E$5:E667)),"")</f>
        <v/>
      </c>
      <c r="F667" s="5" t="n"/>
    </row>
    <row r="668">
      <c r="A668" s="10">
        <f>IF($E668="","",INDEX('Input Transaksi'!$A:$A,$E668))</f>
        <v/>
      </c>
      <c r="B668" s="5">
        <f>IF($E668="","",INDEX('Input Transaksi'!$D:$D,$E668))</f>
        <v/>
      </c>
      <c r="C668">
        <f>IF($E668="","",INDEX('Input Transaksi'!$E:$E,$E668))</f>
        <v/>
      </c>
      <c r="D668" s="5">
        <f>IF($E668="","",INDEX('Input Transaksi'!$F:$F,$E668))</f>
        <v/>
      </c>
      <c r="E668">
        <f>IFERROR(AGGREGATE(15,6,ROW('Input Transaksi'!$B$5:$B$5000)/('Input Transaksi'!$B$5:$B$5000="JCL MERPATI"),ROWS($E$5:E668)),"")</f>
        <v/>
      </c>
      <c r="F668" s="5" t="n"/>
    </row>
    <row r="669">
      <c r="A669" s="10">
        <f>IF($E669="","",INDEX('Input Transaksi'!$A:$A,$E669))</f>
        <v/>
      </c>
      <c r="B669" s="5">
        <f>IF($E669="","",INDEX('Input Transaksi'!$D:$D,$E669))</f>
        <v/>
      </c>
      <c r="C669">
        <f>IF($E669="","",INDEX('Input Transaksi'!$E:$E,$E669))</f>
        <v/>
      </c>
      <c r="D669" s="5">
        <f>IF($E669="","",INDEX('Input Transaksi'!$F:$F,$E669))</f>
        <v/>
      </c>
      <c r="E669">
        <f>IFERROR(AGGREGATE(15,6,ROW('Input Transaksi'!$B$5:$B$5000)/('Input Transaksi'!$B$5:$B$5000="JCL MERPATI"),ROWS($E$5:E669)),"")</f>
        <v/>
      </c>
      <c r="F669" s="5" t="n"/>
    </row>
    <row r="670">
      <c r="A670" s="10">
        <f>IF($E670="","",INDEX('Input Transaksi'!$A:$A,$E670))</f>
        <v/>
      </c>
      <c r="B670" s="5">
        <f>IF($E670="","",INDEX('Input Transaksi'!$D:$D,$E670))</f>
        <v/>
      </c>
      <c r="C670">
        <f>IF($E670="","",INDEX('Input Transaksi'!$E:$E,$E670))</f>
        <v/>
      </c>
      <c r="D670" s="5">
        <f>IF($E670="","",INDEX('Input Transaksi'!$F:$F,$E670))</f>
        <v/>
      </c>
      <c r="E670">
        <f>IFERROR(AGGREGATE(15,6,ROW('Input Transaksi'!$B$5:$B$5000)/('Input Transaksi'!$B$5:$B$5000="JCL MERPATI"),ROWS($E$5:E670)),"")</f>
        <v/>
      </c>
      <c r="F670" s="5" t="n"/>
    </row>
    <row r="671">
      <c r="A671" s="10">
        <f>IF($E671="","",INDEX('Input Transaksi'!$A:$A,$E671))</f>
        <v/>
      </c>
      <c r="B671" s="5">
        <f>IF($E671="","",INDEX('Input Transaksi'!$D:$D,$E671))</f>
        <v/>
      </c>
      <c r="C671">
        <f>IF($E671="","",INDEX('Input Transaksi'!$E:$E,$E671))</f>
        <v/>
      </c>
      <c r="D671" s="5">
        <f>IF($E671="","",INDEX('Input Transaksi'!$F:$F,$E671))</f>
        <v/>
      </c>
      <c r="E671">
        <f>IFERROR(AGGREGATE(15,6,ROW('Input Transaksi'!$B$5:$B$5000)/('Input Transaksi'!$B$5:$B$5000="JCL MERPATI"),ROWS($E$5:E671)),"")</f>
        <v/>
      </c>
      <c r="F671" s="5" t="n"/>
    </row>
    <row r="672">
      <c r="A672" s="10">
        <f>IF($E672="","",INDEX('Input Transaksi'!$A:$A,$E672))</f>
        <v/>
      </c>
      <c r="B672" s="5">
        <f>IF($E672="","",INDEX('Input Transaksi'!$D:$D,$E672))</f>
        <v/>
      </c>
      <c r="C672">
        <f>IF($E672="","",INDEX('Input Transaksi'!$E:$E,$E672))</f>
        <v/>
      </c>
      <c r="D672" s="5">
        <f>IF($E672="","",INDEX('Input Transaksi'!$F:$F,$E672))</f>
        <v/>
      </c>
      <c r="E672">
        <f>IFERROR(AGGREGATE(15,6,ROW('Input Transaksi'!$B$5:$B$5000)/('Input Transaksi'!$B$5:$B$5000="JCL MERPATI"),ROWS($E$5:E672)),"")</f>
        <v/>
      </c>
      <c r="F672" s="5" t="n"/>
    </row>
    <row r="673">
      <c r="A673" s="10">
        <f>IF($E673="","",INDEX('Input Transaksi'!$A:$A,$E673))</f>
        <v/>
      </c>
      <c r="B673" s="5">
        <f>IF($E673="","",INDEX('Input Transaksi'!$D:$D,$E673))</f>
        <v/>
      </c>
      <c r="C673">
        <f>IF($E673="","",INDEX('Input Transaksi'!$E:$E,$E673))</f>
        <v/>
      </c>
      <c r="D673" s="5">
        <f>IF($E673="","",INDEX('Input Transaksi'!$F:$F,$E673))</f>
        <v/>
      </c>
      <c r="E673">
        <f>IFERROR(AGGREGATE(15,6,ROW('Input Transaksi'!$B$5:$B$5000)/('Input Transaksi'!$B$5:$B$5000="JCL MERPATI"),ROWS($E$5:E673)),"")</f>
        <v/>
      </c>
      <c r="F673" s="5" t="n"/>
    </row>
    <row r="674">
      <c r="A674" s="10">
        <f>IF($E674="","",INDEX('Input Transaksi'!$A:$A,$E674))</f>
        <v/>
      </c>
      <c r="B674" s="5">
        <f>IF($E674="","",INDEX('Input Transaksi'!$D:$D,$E674))</f>
        <v/>
      </c>
      <c r="C674">
        <f>IF($E674="","",INDEX('Input Transaksi'!$E:$E,$E674))</f>
        <v/>
      </c>
      <c r="D674" s="5">
        <f>IF($E674="","",INDEX('Input Transaksi'!$F:$F,$E674))</f>
        <v/>
      </c>
      <c r="E674">
        <f>IFERROR(AGGREGATE(15,6,ROW('Input Transaksi'!$B$5:$B$5000)/('Input Transaksi'!$B$5:$B$5000="JCL MERPATI"),ROWS($E$5:E674)),"")</f>
        <v/>
      </c>
      <c r="F674" s="5" t="n"/>
    </row>
    <row r="675">
      <c r="A675" s="10">
        <f>IF($E675="","",INDEX('Input Transaksi'!$A:$A,$E675))</f>
        <v/>
      </c>
      <c r="B675" s="5">
        <f>IF($E675="","",INDEX('Input Transaksi'!$D:$D,$E675))</f>
        <v/>
      </c>
      <c r="C675">
        <f>IF($E675="","",INDEX('Input Transaksi'!$E:$E,$E675))</f>
        <v/>
      </c>
      <c r="D675" s="5">
        <f>IF($E675="","",INDEX('Input Transaksi'!$F:$F,$E675))</f>
        <v/>
      </c>
      <c r="E675">
        <f>IFERROR(AGGREGATE(15,6,ROW('Input Transaksi'!$B$5:$B$5000)/('Input Transaksi'!$B$5:$B$5000="JCL MERPATI"),ROWS($E$5:E675)),"")</f>
        <v/>
      </c>
      <c r="F675" s="5" t="n"/>
    </row>
    <row r="676">
      <c r="A676" s="10">
        <f>IF($E676="","",INDEX('Input Transaksi'!$A:$A,$E676))</f>
        <v/>
      </c>
      <c r="B676" s="5">
        <f>IF($E676="","",INDEX('Input Transaksi'!$D:$D,$E676))</f>
        <v/>
      </c>
      <c r="C676">
        <f>IF($E676="","",INDEX('Input Transaksi'!$E:$E,$E676))</f>
        <v/>
      </c>
      <c r="D676" s="5">
        <f>IF($E676="","",INDEX('Input Transaksi'!$F:$F,$E676))</f>
        <v/>
      </c>
      <c r="E676">
        <f>IFERROR(AGGREGATE(15,6,ROW('Input Transaksi'!$B$5:$B$5000)/('Input Transaksi'!$B$5:$B$5000="JCL MERPATI"),ROWS($E$5:E676)),"")</f>
        <v/>
      </c>
      <c r="F676" s="5" t="n"/>
    </row>
    <row r="677">
      <c r="A677" s="10">
        <f>IF($E677="","",INDEX('Input Transaksi'!$A:$A,$E677))</f>
        <v/>
      </c>
      <c r="B677" s="5">
        <f>IF($E677="","",INDEX('Input Transaksi'!$D:$D,$E677))</f>
        <v/>
      </c>
      <c r="C677">
        <f>IF($E677="","",INDEX('Input Transaksi'!$E:$E,$E677))</f>
        <v/>
      </c>
      <c r="D677" s="5">
        <f>IF($E677="","",INDEX('Input Transaksi'!$F:$F,$E677))</f>
        <v/>
      </c>
      <c r="E677">
        <f>IFERROR(AGGREGATE(15,6,ROW('Input Transaksi'!$B$5:$B$5000)/('Input Transaksi'!$B$5:$B$5000="JCL MERPATI"),ROWS($E$5:E677)),"")</f>
        <v/>
      </c>
      <c r="F677" s="5" t="n"/>
    </row>
    <row r="678">
      <c r="A678" s="10">
        <f>IF($E678="","",INDEX('Input Transaksi'!$A:$A,$E678))</f>
        <v/>
      </c>
      <c r="B678" s="5">
        <f>IF($E678="","",INDEX('Input Transaksi'!$D:$D,$E678))</f>
        <v/>
      </c>
      <c r="C678">
        <f>IF($E678="","",INDEX('Input Transaksi'!$E:$E,$E678))</f>
        <v/>
      </c>
      <c r="D678" s="5">
        <f>IF($E678="","",INDEX('Input Transaksi'!$F:$F,$E678))</f>
        <v/>
      </c>
      <c r="E678">
        <f>IFERROR(AGGREGATE(15,6,ROW('Input Transaksi'!$B$5:$B$5000)/('Input Transaksi'!$B$5:$B$5000="JCL MERPATI"),ROWS($E$5:E678)),"")</f>
        <v/>
      </c>
      <c r="F678" s="5" t="n"/>
    </row>
    <row r="679">
      <c r="A679" s="10">
        <f>IF($E679="","",INDEX('Input Transaksi'!$A:$A,$E679))</f>
        <v/>
      </c>
      <c r="B679" s="5">
        <f>IF($E679="","",INDEX('Input Transaksi'!$D:$D,$E679))</f>
        <v/>
      </c>
      <c r="C679">
        <f>IF($E679="","",INDEX('Input Transaksi'!$E:$E,$E679))</f>
        <v/>
      </c>
      <c r="D679" s="5">
        <f>IF($E679="","",INDEX('Input Transaksi'!$F:$F,$E679))</f>
        <v/>
      </c>
      <c r="E679">
        <f>IFERROR(AGGREGATE(15,6,ROW('Input Transaksi'!$B$5:$B$5000)/('Input Transaksi'!$B$5:$B$5000="JCL MERPATI"),ROWS($E$5:E679)),"")</f>
        <v/>
      </c>
      <c r="F679" s="5" t="n"/>
    </row>
    <row r="680">
      <c r="A680" s="10">
        <f>IF($E680="","",INDEX('Input Transaksi'!$A:$A,$E680))</f>
        <v/>
      </c>
      <c r="B680" s="5">
        <f>IF($E680="","",INDEX('Input Transaksi'!$D:$D,$E680))</f>
        <v/>
      </c>
      <c r="C680">
        <f>IF($E680="","",INDEX('Input Transaksi'!$E:$E,$E680))</f>
        <v/>
      </c>
      <c r="D680" s="5">
        <f>IF($E680="","",INDEX('Input Transaksi'!$F:$F,$E680))</f>
        <v/>
      </c>
      <c r="E680">
        <f>IFERROR(AGGREGATE(15,6,ROW('Input Transaksi'!$B$5:$B$5000)/('Input Transaksi'!$B$5:$B$5000="JCL MERPATI"),ROWS($E$5:E680)),"")</f>
        <v/>
      </c>
      <c r="F680" s="5" t="n"/>
    </row>
    <row r="681">
      <c r="A681" s="10">
        <f>IF($E681="","",INDEX('Input Transaksi'!$A:$A,$E681))</f>
        <v/>
      </c>
      <c r="B681" s="5">
        <f>IF($E681="","",INDEX('Input Transaksi'!$D:$D,$E681))</f>
        <v/>
      </c>
      <c r="C681">
        <f>IF($E681="","",INDEX('Input Transaksi'!$E:$E,$E681))</f>
        <v/>
      </c>
      <c r="D681" s="5">
        <f>IF($E681="","",INDEX('Input Transaksi'!$F:$F,$E681))</f>
        <v/>
      </c>
      <c r="E681">
        <f>IFERROR(AGGREGATE(15,6,ROW('Input Transaksi'!$B$5:$B$5000)/('Input Transaksi'!$B$5:$B$5000="JCL MERPATI"),ROWS($E$5:E681)),"")</f>
        <v/>
      </c>
      <c r="F681" s="5" t="n"/>
    </row>
    <row r="682">
      <c r="A682" s="10">
        <f>IF($E682="","",INDEX('Input Transaksi'!$A:$A,$E682))</f>
        <v/>
      </c>
      <c r="B682" s="5">
        <f>IF($E682="","",INDEX('Input Transaksi'!$D:$D,$E682))</f>
        <v/>
      </c>
      <c r="C682">
        <f>IF($E682="","",INDEX('Input Transaksi'!$E:$E,$E682))</f>
        <v/>
      </c>
      <c r="D682" s="5">
        <f>IF($E682="","",INDEX('Input Transaksi'!$F:$F,$E682))</f>
        <v/>
      </c>
      <c r="E682">
        <f>IFERROR(AGGREGATE(15,6,ROW('Input Transaksi'!$B$5:$B$5000)/('Input Transaksi'!$B$5:$B$5000="JCL MERPATI"),ROWS($E$5:E682)),"")</f>
        <v/>
      </c>
      <c r="F682" s="5" t="n"/>
    </row>
    <row r="683">
      <c r="A683" s="10">
        <f>IF($E683="","",INDEX('Input Transaksi'!$A:$A,$E683))</f>
        <v/>
      </c>
      <c r="B683" s="5">
        <f>IF($E683="","",INDEX('Input Transaksi'!$D:$D,$E683))</f>
        <v/>
      </c>
      <c r="C683">
        <f>IF($E683="","",INDEX('Input Transaksi'!$E:$E,$E683))</f>
        <v/>
      </c>
      <c r="D683" s="5">
        <f>IF($E683="","",INDEX('Input Transaksi'!$F:$F,$E683))</f>
        <v/>
      </c>
      <c r="E683">
        <f>IFERROR(AGGREGATE(15,6,ROW('Input Transaksi'!$B$5:$B$5000)/('Input Transaksi'!$B$5:$B$5000="JCL MERPATI"),ROWS($E$5:E683)),"")</f>
        <v/>
      </c>
      <c r="F683" s="5" t="n"/>
    </row>
    <row r="684">
      <c r="A684" s="10">
        <f>IF($E684="","",INDEX('Input Transaksi'!$A:$A,$E684))</f>
        <v/>
      </c>
      <c r="B684" s="5">
        <f>IF($E684="","",INDEX('Input Transaksi'!$D:$D,$E684))</f>
        <v/>
      </c>
      <c r="C684">
        <f>IF($E684="","",INDEX('Input Transaksi'!$E:$E,$E684))</f>
        <v/>
      </c>
      <c r="D684" s="5">
        <f>IF($E684="","",INDEX('Input Transaksi'!$F:$F,$E684))</f>
        <v/>
      </c>
      <c r="E684">
        <f>IFERROR(AGGREGATE(15,6,ROW('Input Transaksi'!$B$5:$B$5000)/('Input Transaksi'!$B$5:$B$5000="JCL MERPATI"),ROWS($E$5:E684)),"")</f>
        <v/>
      </c>
      <c r="F684" s="5" t="n"/>
    </row>
    <row r="685">
      <c r="A685" s="10">
        <f>IF($E685="","",INDEX('Input Transaksi'!$A:$A,$E685))</f>
        <v/>
      </c>
      <c r="B685" s="5">
        <f>IF($E685="","",INDEX('Input Transaksi'!$D:$D,$E685))</f>
        <v/>
      </c>
      <c r="C685">
        <f>IF($E685="","",INDEX('Input Transaksi'!$E:$E,$E685))</f>
        <v/>
      </c>
      <c r="D685" s="5">
        <f>IF($E685="","",INDEX('Input Transaksi'!$F:$F,$E685))</f>
        <v/>
      </c>
      <c r="E685">
        <f>IFERROR(AGGREGATE(15,6,ROW('Input Transaksi'!$B$5:$B$5000)/('Input Transaksi'!$B$5:$B$5000="JCL MERPATI"),ROWS($E$5:E685)),"")</f>
        <v/>
      </c>
      <c r="F685" s="5" t="n"/>
    </row>
    <row r="686">
      <c r="A686" s="10">
        <f>IF($E686="","",INDEX('Input Transaksi'!$A:$A,$E686))</f>
        <v/>
      </c>
      <c r="B686" s="5">
        <f>IF($E686="","",INDEX('Input Transaksi'!$D:$D,$E686))</f>
        <v/>
      </c>
      <c r="C686">
        <f>IF($E686="","",INDEX('Input Transaksi'!$E:$E,$E686))</f>
        <v/>
      </c>
      <c r="D686" s="5">
        <f>IF($E686="","",INDEX('Input Transaksi'!$F:$F,$E686))</f>
        <v/>
      </c>
      <c r="E686">
        <f>IFERROR(AGGREGATE(15,6,ROW('Input Transaksi'!$B$5:$B$5000)/('Input Transaksi'!$B$5:$B$5000="JCL MERPATI"),ROWS($E$5:E686)),"")</f>
        <v/>
      </c>
      <c r="F686" s="5" t="n"/>
    </row>
    <row r="687">
      <c r="A687" s="10">
        <f>IF($E687="","",INDEX('Input Transaksi'!$A:$A,$E687))</f>
        <v/>
      </c>
      <c r="B687" s="5">
        <f>IF($E687="","",INDEX('Input Transaksi'!$D:$D,$E687))</f>
        <v/>
      </c>
      <c r="C687">
        <f>IF($E687="","",INDEX('Input Transaksi'!$E:$E,$E687))</f>
        <v/>
      </c>
      <c r="D687" s="5">
        <f>IF($E687="","",INDEX('Input Transaksi'!$F:$F,$E687))</f>
        <v/>
      </c>
      <c r="E687">
        <f>IFERROR(AGGREGATE(15,6,ROW('Input Transaksi'!$B$5:$B$5000)/('Input Transaksi'!$B$5:$B$5000="JCL MERPATI"),ROWS($E$5:E687)),"")</f>
        <v/>
      </c>
      <c r="F687" s="5" t="n"/>
    </row>
    <row r="688">
      <c r="A688" s="10">
        <f>IF($E688="","",INDEX('Input Transaksi'!$A:$A,$E688))</f>
        <v/>
      </c>
      <c r="B688" s="5">
        <f>IF($E688="","",INDEX('Input Transaksi'!$D:$D,$E688))</f>
        <v/>
      </c>
      <c r="C688">
        <f>IF($E688="","",INDEX('Input Transaksi'!$E:$E,$E688))</f>
        <v/>
      </c>
      <c r="D688" s="5">
        <f>IF($E688="","",INDEX('Input Transaksi'!$F:$F,$E688))</f>
        <v/>
      </c>
      <c r="E688">
        <f>IFERROR(AGGREGATE(15,6,ROW('Input Transaksi'!$B$5:$B$5000)/('Input Transaksi'!$B$5:$B$5000="JCL MERPATI"),ROWS($E$5:E688)),"")</f>
        <v/>
      </c>
      <c r="F688" s="5" t="n"/>
    </row>
    <row r="689">
      <c r="A689" s="10">
        <f>IF($E689="","",INDEX('Input Transaksi'!$A:$A,$E689))</f>
        <v/>
      </c>
      <c r="B689" s="5">
        <f>IF($E689="","",INDEX('Input Transaksi'!$D:$D,$E689))</f>
        <v/>
      </c>
      <c r="C689">
        <f>IF($E689="","",INDEX('Input Transaksi'!$E:$E,$E689))</f>
        <v/>
      </c>
      <c r="D689" s="5">
        <f>IF($E689="","",INDEX('Input Transaksi'!$F:$F,$E689))</f>
        <v/>
      </c>
      <c r="E689">
        <f>IFERROR(AGGREGATE(15,6,ROW('Input Transaksi'!$B$5:$B$5000)/('Input Transaksi'!$B$5:$B$5000="JCL MERPATI"),ROWS($E$5:E689)),"")</f>
        <v/>
      </c>
      <c r="F689" s="5" t="n"/>
    </row>
    <row r="690">
      <c r="A690" s="10">
        <f>IF($E690="","",INDEX('Input Transaksi'!$A:$A,$E690))</f>
        <v/>
      </c>
      <c r="B690" s="5">
        <f>IF($E690="","",INDEX('Input Transaksi'!$D:$D,$E690))</f>
        <v/>
      </c>
      <c r="C690">
        <f>IF($E690="","",INDEX('Input Transaksi'!$E:$E,$E690))</f>
        <v/>
      </c>
      <c r="D690" s="5">
        <f>IF($E690="","",INDEX('Input Transaksi'!$F:$F,$E690))</f>
        <v/>
      </c>
      <c r="E690">
        <f>IFERROR(AGGREGATE(15,6,ROW('Input Transaksi'!$B$5:$B$5000)/('Input Transaksi'!$B$5:$B$5000="JCL MERPATI"),ROWS($E$5:E690)),"")</f>
        <v/>
      </c>
      <c r="F690" s="5" t="n"/>
    </row>
    <row r="691">
      <c r="A691" s="10">
        <f>IF($E691="","",INDEX('Input Transaksi'!$A:$A,$E691))</f>
        <v/>
      </c>
      <c r="B691" s="5">
        <f>IF($E691="","",INDEX('Input Transaksi'!$D:$D,$E691))</f>
        <v/>
      </c>
      <c r="C691">
        <f>IF($E691="","",INDEX('Input Transaksi'!$E:$E,$E691))</f>
        <v/>
      </c>
      <c r="D691" s="5">
        <f>IF($E691="","",INDEX('Input Transaksi'!$F:$F,$E691))</f>
        <v/>
      </c>
      <c r="E691">
        <f>IFERROR(AGGREGATE(15,6,ROW('Input Transaksi'!$B$5:$B$5000)/('Input Transaksi'!$B$5:$B$5000="JCL MERPATI"),ROWS($E$5:E691)),"")</f>
        <v/>
      </c>
      <c r="F691" s="5" t="n"/>
    </row>
    <row r="692">
      <c r="A692" s="10">
        <f>IF($E692="","",INDEX('Input Transaksi'!$A:$A,$E692))</f>
        <v/>
      </c>
      <c r="B692" s="5">
        <f>IF($E692="","",INDEX('Input Transaksi'!$D:$D,$E692))</f>
        <v/>
      </c>
      <c r="C692">
        <f>IF($E692="","",INDEX('Input Transaksi'!$E:$E,$E692))</f>
        <v/>
      </c>
      <c r="D692" s="5">
        <f>IF($E692="","",INDEX('Input Transaksi'!$F:$F,$E692))</f>
        <v/>
      </c>
      <c r="E692">
        <f>IFERROR(AGGREGATE(15,6,ROW('Input Transaksi'!$B$5:$B$5000)/('Input Transaksi'!$B$5:$B$5000="JCL MERPATI"),ROWS($E$5:E692)),"")</f>
        <v/>
      </c>
      <c r="F692" s="5" t="n"/>
    </row>
    <row r="693">
      <c r="A693" s="10">
        <f>IF($E693="","",INDEX('Input Transaksi'!$A:$A,$E693))</f>
        <v/>
      </c>
      <c r="B693" s="5">
        <f>IF($E693="","",INDEX('Input Transaksi'!$D:$D,$E693))</f>
        <v/>
      </c>
      <c r="C693">
        <f>IF($E693="","",INDEX('Input Transaksi'!$E:$E,$E693))</f>
        <v/>
      </c>
      <c r="D693" s="5">
        <f>IF($E693="","",INDEX('Input Transaksi'!$F:$F,$E693))</f>
        <v/>
      </c>
      <c r="E693">
        <f>IFERROR(AGGREGATE(15,6,ROW('Input Transaksi'!$B$5:$B$5000)/('Input Transaksi'!$B$5:$B$5000="JCL MERPATI"),ROWS($E$5:E693)),"")</f>
        <v/>
      </c>
      <c r="F693" s="5" t="n"/>
    </row>
    <row r="694">
      <c r="A694" s="10">
        <f>IF($E694="","",INDEX('Input Transaksi'!$A:$A,$E694))</f>
        <v/>
      </c>
      <c r="B694" s="5">
        <f>IF($E694="","",INDEX('Input Transaksi'!$D:$D,$E694))</f>
        <v/>
      </c>
      <c r="C694">
        <f>IF($E694="","",INDEX('Input Transaksi'!$E:$E,$E694))</f>
        <v/>
      </c>
      <c r="D694" s="5">
        <f>IF($E694="","",INDEX('Input Transaksi'!$F:$F,$E694))</f>
        <v/>
      </c>
      <c r="E694">
        <f>IFERROR(AGGREGATE(15,6,ROW('Input Transaksi'!$B$5:$B$5000)/('Input Transaksi'!$B$5:$B$5000="JCL MERPATI"),ROWS($E$5:E694)),"")</f>
        <v/>
      </c>
      <c r="F694" s="5" t="n"/>
    </row>
    <row r="695">
      <c r="A695" s="10">
        <f>IF($E695="","",INDEX('Input Transaksi'!$A:$A,$E695))</f>
        <v/>
      </c>
      <c r="B695" s="5">
        <f>IF($E695="","",INDEX('Input Transaksi'!$D:$D,$E695))</f>
        <v/>
      </c>
      <c r="C695">
        <f>IF($E695="","",INDEX('Input Transaksi'!$E:$E,$E695))</f>
        <v/>
      </c>
      <c r="D695" s="5">
        <f>IF($E695="","",INDEX('Input Transaksi'!$F:$F,$E695))</f>
        <v/>
      </c>
      <c r="E695">
        <f>IFERROR(AGGREGATE(15,6,ROW('Input Transaksi'!$B$5:$B$5000)/('Input Transaksi'!$B$5:$B$5000="JCL MERPATI"),ROWS($E$5:E695)),"")</f>
        <v/>
      </c>
      <c r="F695" s="5" t="n"/>
    </row>
    <row r="696">
      <c r="A696" s="10">
        <f>IF($E696="","",INDEX('Input Transaksi'!$A:$A,$E696))</f>
        <v/>
      </c>
      <c r="B696" s="5">
        <f>IF($E696="","",INDEX('Input Transaksi'!$D:$D,$E696))</f>
        <v/>
      </c>
      <c r="C696">
        <f>IF($E696="","",INDEX('Input Transaksi'!$E:$E,$E696))</f>
        <v/>
      </c>
      <c r="D696" s="5">
        <f>IF($E696="","",INDEX('Input Transaksi'!$F:$F,$E696))</f>
        <v/>
      </c>
      <c r="E696">
        <f>IFERROR(AGGREGATE(15,6,ROW('Input Transaksi'!$B$5:$B$5000)/('Input Transaksi'!$B$5:$B$5000="JCL MERPATI"),ROWS($E$5:E696)),"")</f>
        <v/>
      </c>
      <c r="F696" s="5" t="n"/>
    </row>
    <row r="697">
      <c r="A697" s="10">
        <f>IF($E697="","",INDEX('Input Transaksi'!$A:$A,$E697))</f>
        <v/>
      </c>
      <c r="B697" s="5">
        <f>IF($E697="","",INDEX('Input Transaksi'!$D:$D,$E697))</f>
        <v/>
      </c>
      <c r="C697">
        <f>IF($E697="","",INDEX('Input Transaksi'!$E:$E,$E697))</f>
        <v/>
      </c>
      <c r="D697" s="5">
        <f>IF($E697="","",INDEX('Input Transaksi'!$F:$F,$E697))</f>
        <v/>
      </c>
      <c r="E697">
        <f>IFERROR(AGGREGATE(15,6,ROW('Input Transaksi'!$B$5:$B$5000)/('Input Transaksi'!$B$5:$B$5000="JCL MERPATI"),ROWS($E$5:E697)),"")</f>
        <v/>
      </c>
      <c r="F697" s="5" t="n"/>
    </row>
    <row r="698">
      <c r="A698" s="10">
        <f>IF($E698="","",INDEX('Input Transaksi'!$A:$A,$E698))</f>
        <v/>
      </c>
      <c r="B698" s="5">
        <f>IF($E698="","",INDEX('Input Transaksi'!$D:$D,$E698))</f>
        <v/>
      </c>
      <c r="C698">
        <f>IF($E698="","",INDEX('Input Transaksi'!$E:$E,$E698))</f>
        <v/>
      </c>
      <c r="D698" s="5">
        <f>IF($E698="","",INDEX('Input Transaksi'!$F:$F,$E698))</f>
        <v/>
      </c>
      <c r="E698">
        <f>IFERROR(AGGREGATE(15,6,ROW('Input Transaksi'!$B$5:$B$5000)/('Input Transaksi'!$B$5:$B$5000="JCL MERPATI"),ROWS($E$5:E698)),"")</f>
        <v/>
      </c>
      <c r="F698" s="5" t="n"/>
    </row>
    <row r="699">
      <c r="A699" s="10">
        <f>IF($E699="","",INDEX('Input Transaksi'!$A:$A,$E699))</f>
        <v/>
      </c>
      <c r="B699" s="5">
        <f>IF($E699="","",INDEX('Input Transaksi'!$D:$D,$E699))</f>
        <v/>
      </c>
      <c r="C699">
        <f>IF($E699="","",INDEX('Input Transaksi'!$E:$E,$E699))</f>
        <v/>
      </c>
      <c r="D699" s="5">
        <f>IF($E699="","",INDEX('Input Transaksi'!$F:$F,$E699))</f>
        <v/>
      </c>
      <c r="E699">
        <f>IFERROR(AGGREGATE(15,6,ROW('Input Transaksi'!$B$5:$B$5000)/('Input Transaksi'!$B$5:$B$5000="JCL MERPATI"),ROWS($E$5:E699)),"")</f>
        <v/>
      </c>
      <c r="F699" s="5" t="n"/>
    </row>
    <row r="700">
      <c r="A700" s="10">
        <f>IF($E700="","",INDEX('Input Transaksi'!$A:$A,$E700))</f>
        <v/>
      </c>
      <c r="B700" s="5">
        <f>IF($E700="","",INDEX('Input Transaksi'!$D:$D,$E700))</f>
        <v/>
      </c>
      <c r="C700">
        <f>IF($E700="","",INDEX('Input Transaksi'!$E:$E,$E700))</f>
        <v/>
      </c>
      <c r="D700" s="5">
        <f>IF($E700="","",INDEX('Input Transaksi'!$F:$F,$E700))</f>
        <v/>
      </c>
      <c r="E700">
        <f>IFERROR(AGGREGATE(15,6,ROW('Input Transaksi'!$B$5:$B$5000)/('Input Transaksi'!$B$5:$B$5000="JCL MERPATI"),ROWS($E$5:E700)),"")</f>
        <v/>
      </c>
      <c r="F700" s="5" t="n"/>
    </row>
    <row r="701">
      <c r="A701" s="10">
        <f>IF($E701="","",INDEX('Input Transaksi'!$A:$A,$E701))</f>
        <v/>
      </c>
      <c r="B701" s="5">
        <f>IF($E701="","",INDEX('Input Transaksi'!$D:$D,$E701))</f>
        <v/>
      </c>
      <c r="C701">
        <f>IF($E701="","",INDEX('Input Transaksi'!$E:$E,$E701))</f>
        <v/>
      </c>
      <c r="D701" s="5">
        <f>IF($E701="","",INDEX('Input Transaksi'!$F:$F,$E701))</f>
        <v/>
      </c>
      <c r="E701">
        <f>IFERROR(AGGREGATE(15,6,ROW('Input Transaksi'!$B$5:$B$5000)/('Input Transaksi'!$B$5:$B$5000="JCL MERPATI"),ROWS($E$5:E701)),"")</f>
        <v/>
      </c>
      <c r="F701" s="5" t="n"/>
    </row>
    <row r="702">
      <c r="A702" s="10">
        <f>IF($E702="","",INDEX('Input Transaksi'!$A:$A,$E702))</f>
        <v/>
      </c>
      <c r="B702" s="5">
        <f>IF($E702="","",INDEX('Input Transaksi'!$D:$D,$E702))</f>
        <v/>
      </c>
      <c r="C702">
        <f>IF($E702="","",INDEX('Input Transaksi'!$E:$E,$E702))</f>
        <v/>
      </c>
      <c r="D702" s="5">
        <f>IF($E702="","",INDEX('Input Transaksi'!$F:$F,$E702))</f>
        <v/>
      </c>
      <c r="E702">
        <f>IFERROR(AGGREGATE(15,6,ROW('Input Transaksi'!$B$5:$B$5000)/('Input Transaksi'!$B$5:$B$5000="JCL MERPATI"),ROWS($E$5:E702)),"")</f>
        <v/>
      </c>
      <c r="F702" s="5" t="n"/>
    </row>
    <row r="703">
      <c r="A703" s="10">
        <f>IF($E703="","",INDEX('Input Transaksi'!$A:$A,$E703))</f>
        <v/>
      </c>
      <c r="B703" s="5">
        <f>IF($E703="","",INDEX('Input Transaksi'!$D:$D,$E703))</f>
        <v/>
      </c>
      <c r="C703">
        <f>IF($E703="","",INDEX('Input Transaksi'!$E:$E,$E703))</f>
        <v/>
      </c>
      <c r="D703" s="5">
        <f>IF($E703="","",INDEX('Input Transaksi'!$F:$F,$E703))</f>
        <v/>
      </c>
      <c r="E703">
        <f>IFERROR(AGGREGATE(15,6,ROW('Input Transaksi'!$B$5:$B$5000)/('Input Transaksi'!$B$5:$B$5000="JCL MERPATI"),ROWS($E$5:E703)),"")</f>
        <v/>
      </c>
      <c r="F703" s="5" t="n"/>
    </row>
    <row r="704">
      <c r="A704" s="10">
        <f>IF($E704="","",INDEX('Input Transaksi'!$A:$A,$E704))</f>
        <v/>
      </c>
      <c r="B704" s="5">
        <f>IF($E704="","",INDEX('Input Transaksi'!$D:$D,$E704))</f>
        <v/>
      </c>
      <c r="C704">
        <f>IF($E704="","",INDEX('Input Transaksi'!$E:$E,$E704))</f>
        <v/>
      </c>
      <c r="D704" s="5">
        <f>IF($E704="","",INDEX('Input Transaksi'!$F:$F,$E704))</f>
        <v/>
      </c>
      <c r="E704">
        <f>IFERROR(AGGREGATE(15,6,ROW('Input Transaksi'!$B$5:$B$5000)/('Input Transaksi'!$B$5:$B$5000="JCL MERPATI"),ROWS($E$5:E704)),"")</f>
        <v/>
      </c>
      <c r="F704" s="5" t="n"/>
    </row>
    <row r="705">
      <c r="A705" s="10">
        <f>IF($E705="","",INDEX('Input Transaksi'!$A:$A,$E705))</f>
        <v/>
      </c>
      <c r="B705" s="5">
        <f>IF($E705="","",INDEX('Input Transaksi'!$D:$D,$E705))</f>
        <v/>
      </c>
      <c r="C705">
        <f>IF($E705="","",INDEX('Input Transaksi'!$E:$E,$E705))</f>
        <v/>
      </c>
      <c r="D705" s="5">
        <f>IF($E705="","",INDEX('Input Transaksi'!$F:$F,$E705))</f>
        <v/>
      </c>
      <c r="E705">
        <f>IFERROR(AGGREGATE(15,6,ROW('Input Transaksi'!$B$5:$B$5000)/('Input Transaksi'!$B$5:$B$5000="JCL MERPATI"),ROWS($E$5:E705)),"")</f>
        <v/>
      </c>
      <c r="F705" s="5" t="n"/>
    </row>
    <row r="706">
      <c r="A706" s="10">
        <f>IF($E706="","",INDEX('Input Transaksi'!$A:$A,$E706))</f>
        <v/>
      </c>
      <c r="B706" s="5">
        <f>IF($E706="","",INDEX('Input Transaksi'!$D:$D,$E706))</f>
        <v/>
      </c>
      <c r="C706">
        <f>IF($E706="","",INDEX('Input Transaksi'!$E:$E,$E706))</f>
        <v/>
      </c>
      <c r="D706" s="5">
        <f>IF($E706="","",INDEX('Input Transaksi'!$F:$F,$E706))</f>
        <v/>
      </c>
      <c r="E706">
        <f>IFERROR(AGGREGATE(15,6,ROW('Input Transaksi'!$B$5:$B$5000)/('Input Transaksi'!$B$5:$B$5000="JCL MERPATI"),ROWS($E$5:E706)),"")</f>
        <v/>
      </c>
      <c r="F706" s="5" t="n"/>
    </row>
    <row r="707">
      <c r="A707" s="10">
        <f>IF($E707="","",INDEX('Input Transaksi'!$A:$A,$E707))</f>
        <v/>
      </c>
      <c r="B707" s="5">
        <f>IF($E707="","",INDEX('Input Transaksi'!$D:$D,$E707))</f>
        <v/>
      </c>
      <c r="C707">
        <f>IF($E707="","",INDEX('Input Transaksi'!$E:$E,$E707))</f>
        <v/>
      </c>
      <c r="D707" s="5">
        <f>IF($E707="","",INDEX('Input Transaksi'!$F:$F,$E707))</f>
        <v/>
      </c>
      <c r="E707">
        <f>IFERROR(AGGREGATE(15,6,ROW('Input Transaksi'!$B$5:$B$5000)/('Input Transaksi'!$B$5:$B$5000="JCL MERPATI"),ROWS($E$5:E707)),"")</f>
        <v/>
      </c>
      <c r="F707" s="5" t="n"/>
    </row>
    <row r="708">
      <c r="A708" s="10">
        <f>IF($E708="","",INDEX('Input Transaksi'!$A:$A,$E708))</f>
        <v/>
      </c>
      <c r="B708" s="5">
        <f>IF($E708="","",INDEX('Input Transaksi'!$D:$D,$E708))</f>
        <v/>
      </c>
      <c r="C708">
        <f>IF($E708="","",INDEX('Input Transaksi'!$E:$E,$E708))</f>
        <v/>
      </c>
      <c r="D708" s="5">
        <f>IF($E708="","",INDEX('Input Transaksi'!$F:$F,$E708))</f>
        <v/>
      </c>
      <c r="E708">
        <f>IFERROR(AGGREGATE(15,6,ROW('Input Transaksi'!$B$5:$B$5000)/('Input Transaksi'!$B$5:$B$5000="JCL MERPATI"),ROWS($E$5:E708)),"")</f>
        <v/>
      </c>
      <c r="F708" s="5" t="n"/>
    </row>
    <row r="709">
      <c r="A709" s="10">
        <f>IF($E709="","",INDEX('Input Transaksi'!$A:$A,$E709))</f>
        <v/>
      </c>
      <c r="B709" s="5">
        <f>IF($E709="","",INDEX('Input Transaksi'!$D:$D,$E709))</f>
        <v/>
      </c>
      <c r="C709">
        <f>IF($E709="","",INDEX('Input Transaksi'!$E:$E,$E709))</f>
        <v/>
      </c>
      <c r="D709" s="5">
        <f>IF($E709="","",INDEX('Input Transaksi'!$F:$F,$E709))</f>
        <v/>
      </c>
      <c r="E709">
        <f>IFERROR(AGGREGATE(15,6,ROW('Input Transaksi'!$B$5:$B$5000)/('Input Transaksi'!$B$5:$B$5000="JCL MERPATI"),ROWS($E$5:E709)),"")</f>
        <v/>
      </c>
      <c r="F709" s="5" t="n"/>
    </row>
    <row r="710">
      <c r="A710" s="10">
        <f>IF($E710="","",INDEX('Input Transaksi'!$A:$A,$E710))</f>
        <v/>
      </c>
      <c r="B710" s="5">
        <f>IF($E710="","",INDEX('Input Transaksi'!$D:$D,$E710))</f>
        <v/>
      </c>
      <c r="C710">
        <f>IF($E710="","",INDEX('Input Transaksi'!$E:$E,$E710))</f>
        <v/>
      </c>
      <c r="D710" s="5">
        <f>IF($E710="","",INDEX('Input Transaksi'!$F:$F,$E710))</f>
        <v/>
      </c>
      <c r="E710">
        <f>IFERROR(AGGREGATE(15,6,ROW('Input Transaksi'!$B$5:$B$5000)/('Input Transaksi'!$B$5:$B$5000="JCL MERPATI"),ROWS($E$5:E710)),"")</f>
        <v/>
      </c>
      <c r="F710" s="5" t="n"/>
    </row>
    <row r="711">
      <c r="A711" s="10">
        <f>IF($E711="","",INDEX('Input Transaksi'!$A:$A,$E711))</f>
        <v/>
      </c>
      <c r="B711" s="5">
        <f>IF($E711="","",INDEX('Input Transaksi'!$D:$D,$E711))</f>
        <v/>
      </c>
      <c r="C711">
        <f>IF($E711="","",INDEX('Input Transaksi'!$E:$E,$E711))</f>
        <v/>
      </c>
      <c r="D711" s="5">
        <f>IF($E711="","",INDEX('Input Transaksi'!$F:$F,$E711))</f>
        <v/>
      </c>
      <c r="E711">
        <f>IFERROR(AGGREGATE(15,6,ROW('Input Transaksi'!$B$5:$B$5000)/('Input Transaksi'!$B$5:$B$5000="JCL MERPATI"),ROWS($E$5:E711)),"")</f>
        <v/>
      </c>
      <c r="F711" s="5" t="n"/>
    </row>
    <row r="712">
      <c r="A712" s="10">
        <f>IF($E712="","",INDEX('Input Transaksi'!$A:$A,$E712))</f>
        <v/>
      </c>
      <c r="B712" s="5">
        <f>IF($E712="","",INDEX('Input Transaksi'!$D:$D,$E712))</f>
        <v/>
      </c>
      <c r="C712">
        <f>IF($E712="","",INDEX('Input Transaksi'!$E:$E,$E712))</f>
        <v/>
      </c>
      <c r="D712" s="5">
        <f>IF($E712="","",INDEX('Input Transaksi'!$F:$F,$E712))</f>
        <v/>
      </c>
      <c r="E712">
        <f>IFERROR(AGGREGATE(15,6,ROW('Input Transaksi'!$B$5:$B$5000)/('Input Transaksi'!$B$5:$B$5000="JCL MERPATI"),ROWS($E$5:E712)),"")</f>
        <v/>
      </c>
      <c r="F712" s="5" t="n"/>
    </row>
    <row r="713">
      <c r="A713" s="10">
        <f>IF($E713="","",INDEX('Input Transaksi'!$A:$A,$E713))</f>
        <v/>
      </c>
      <c r="B713" s="5">
        <f>IF($E713="","",INDEX('Input Transaksi'!$D:$D,$E713))</f>
        <v/>
      </c>
      <c r="C713">
        <f>IF($E713="","",INDEX('Input Transaksi'!$E:$E,$E713))</f>
        <v/>
      </c>
      <c r="D713" s="5">
        <f>IF($E713="","",INDEX('Input Transaksi'!$F:$F,$E713))</f>
        <v/>
      </c>
      <c r="E713">
        <f>IFERROR(AGGREGATE(15,6,ROW('Input Transaksi'!$B$5:$B$5000)/('Input Transaksi'!$B$5:$B$5000="JCL MERPATI"),ROWS($E$5:E713)),"")</f>
        <v/>
      </c>
      <c r="F713" s="5" t="n"/>
    </row>
    <row r="714">
      <c r="A714" s="10">
        <f>IF($E714="","",INDEX('Input Transaksi'!$A:$A,$E714))</f>
        <v/>
      </c>
      <c r="B714" s="5">
        <f>IF($E714="","",INDEX('Input Transaksi'!$D:$D,$E714))</f>
        <v/>
      </c>
      <c r="C714">
        <f>IF($E714="","",INDEX('Input Transaksi'!$E:$E,$E714))</f>
        <v/>
      </c>
      <c r="D714" s="5">
        <f>IF($E714="","",INDEX('Input Transaksi'!$F:$F,$E714))</f>
        <v/>
      </c>
      <c r="E714">
        <f>IFERROR(AGGREGATE(15,6,ROW('Input Transaksi'!$B$5:$B$5000)/('Input Transaksi'!$B$5:$B$5000="JCL MERPATI"),ROWS($E$5:E714)),"")</f>
        <v/>
      </c>
      <c r="F714" s="5" t="n"/>
    </row>
    <row r="715">
      <c r="A715" s="10">
        <f>IF($E715="","",INDEX('Input Transaksi'!$A:$A,$E715))</f>
        <v/>
      </c>
      <c r="B715" s="5">
        <f>IF($E715="","",INDEX('Input Transaksi'!$D:$D,$E715))</f>
        <v/>
      </c>
      <c r="C715">
        <f>IF($E715="","",INDEX('Input Transaksi'!$E:$E,$E715))</f>
        <v/>
      </c>
      <c r="D715" s="5">
        <f>IF($E715="","",INDEX('Input Transaksi'!$F:$F,$E715))</f>
        <v/>
      </c>
      <c r="E715">
        <f>IFERROR(AGGREGATE(15,6,ROW('Input Transaksi'!$B$5:$B$5000)/('Input Transaksi'!$B$5:$B$5000="JCL MERPATI"),ROWS($E$5:E715)),"")</f>
        <v/>
      </c>
      <c r="F715" s="5" t="n"/>
    </row>
    <row r="716">
      <c r="A716" s="10">
        <f>IF($E716="","",INDEX('Input Transaksi'!$A:$A,$E716))</f>
        <v/>
      </c>
      <c r="B716" s="5">
        <f>IF($E716="","",INDEX('Input Transaksi'!$D:$D,$E716))</f>
        <v/>
      </c>
      <c r="C716">
        <f>IF($E716="","",INDEX('Input Transaksi'!$E:$E,$E716))</f>
        <v/>
      </c>
      <c r="D716" s="5">
        <f>IF($E716="","",INDEX('Input Transaksi'!$F:$F,$E716))</f>
        <v/>
      </c>
      <c r="E716">
        <f>IFERROR(AGGREGATE(15,6,ROW('Input Transaksi'!$B$5:$B$5000)/('Input Transaksi'!$B$5:$B$5000="JCL MERPATI"),ROWS($E$5:E716)),"")</f>
        <v/>
      </c>
      <c r="F716" s="5" t="n"/>
    </row>
    <row r="717">
      <c r="A717" s="10">
        <f>IF($E717="","",INDEX('Input Transaksi'!$A:$A,$E717))</f>
        <v/>
      </c>
      <c r="B717" s="5">
        <f>IF($E717="","",INDEX('Input Transaksi'!$D:$D,$E717))</f>
        <v/>
      </c>
      <c r="C717">
        <f>IF($E717="","",INDEX('Input Transaksi'!$E:$E,$E717))</f>
        <v/>
      </c>
      <c r="D717" s="5">
        <f>IF($E717="","",INDEX('Input Transaksi'!$F:$F,$E717))</f>
        <v/>
      </c>
      <c r="E717">
        <f>IFERROR(AGGREGATE(15,6,ROW('Input Transaksi'!$B$5:$B$5000)/('Input Transaksi'!$B$5:$B$5000="JCL MERPATI"),ROWS($E$5:E717)),"")</f>
        <v/>
      </c>
      <c r="F717" s="5" t="n"/>
    </row>
    <row r="718">
      <c r="A718" s="10">
        <f>IF($E718="","",INDEX('Input Transaksi'!$A:$A,$E718))</f>
        <v/>
      </c>
      <c r="B718" s="5">
        <f>IF($E718="","",INDEX('Input Transaksi'!$D:$D,$E718))</f>
        <v/>
      </c>
      <c r="C718">
        <f>IF($E718="","",INDEX('Input Transaksi'!$E:$E,$E718))</f>
        <v/>
      </c>
      <c r="D718" s="5">
        <f>IF($E718="","",INDEX('Input Transaksi'!$F:$F,$E718))</f>
        <v/>
      </c>
      <c r="E718">
        <f>IFERROR(AGGREGATE(15,6,ROW('Input Transaksi'!$B$5:$B$5000)/('Input Transaksi'!$B$5:$B$5000="JCL MERPATI"),ROWS($E$5:E718)),"")</f>
        <v/>
      </c>
      <c r="F718" s="5" t="n"/>
    </row>
    <row r="719">
      <c r="A719" s="10">
        <f>IF($E719="","",INDEX('Input Transaksi'!$A:$A,$E719))</f>
        <v/>
      </c>
      <c r="B719" s="5">
        <f>IF($E719="","",INDEX('Input Transaksi'!$D:$D,$E719))</f>
        <v/>
      </c>
      <c r="C719">
        <f>IF($E719="","",INDEX('Input Transaksi'!$E:$E,$E719))</f>
        <v/>
      </c>
      <c r="D719" s="5">
        <f>IF($E719="","",INDEX('Input Transaksi'!$F:$F,$E719))</f>
        <v/>
      </c>
      <c r="E719">
        <f>IFERROR(AGGREGATE(15,6,ROW('Input Transaksi'!$B$5:$B$5000)/('Input Transaksi'!$B$5:$B$5000="JCL MERPATI"),ROWS($E$5:E719)),"")</f>
        <v/>
      </c>
      <c r="F719" s="5" t="n"/>
    </row>
    <row r="720">
      <c r="A720" s="10">
        <f>IF($E720="","",INDEX('Input Transaksi'!$A:$A,$E720))</f>
        <v/>
      </c>
      <c r="B720" s="5">
        <f>IF($E720="","",INDEX('Input Transaksi'!$D:$D,$E720))</f>
        <v/>
      </c>
      <c r="C720">
        <f>IF($E720="","",INDEX('Input Transaksi'!$E:$E,$E720))</f>
        <v/>
      </c>
      <c r="D720" s="5">
        <f>IF($E720="","",INDEX('Input Transaksi'!$F:$F,$E720))</f>
        <v/>
      </c>
      <c r="E720">
        <f>IFERROR(AGGREGATE(15,6,ROW('Input Transaksi'!$B$5:$B$5000)/('Input Transaksi'!$B$5:$B$5000="JCL MERPATI"),ROWS($E$5:E720)),"")</f>
        <v/>
      </c>
      <c r="F720" s="5" t="n"/>
    </row>
    <row r="721">
      <c r="A721" s="10">
        <f>IF($E721="","",INDEX('Input Transaksi'!$A:$A,$E721))</f>
        <v/>
      </c>
      <c r="B721" s="5">
        <f>IF($E721="","",INDEX('Input Transaksi'!$D:$D,$E721))</f>
        <v/>
      </c>
      <c r="C721">
        <f>IF($E721="","",INDEX('Input Transaksi'!$E:$E,$E721))</f>
        <v/>
      </c>
      <c r="D721" s="5">
        <f>IF($E721="","",INDEX('Input Transaksi'!$F:$F,$E721))</f>
        <v/>
      </c>
      <c r="E721">
        <f>IFERROR(AGGREGATE(15,6,ROW('Input Transaksi'!$B$5:$B$5000)/('Input Transaksi'!$B$5:$B$5000="JCL MERPATI"),ROWS($E$5:E721)),"")</f>
        <v/>
      </c>
      <c r="F721" s="5" t="n"/>
    </row>
    <row r="722">
      <c r="A722" s="10">
        <f>IF($E722="","",INDEX('Input Transaksi'!$A:$A,$E722))</f>
        <v/>
      </c>
      <c r="B722" s="5">
        <f>IF($E722="","",INDEX('Input Transaksi'!$D:$D,$E722))</f>
        <v/>
      </c>
      <c r="C722">
        <f>IF($E722="","",INDEX('Input Transaksi'!$E:$E,$E722))</f>
        <v/>
      </c>
      <c r="D722" s="5">
        <f>IF($E722="","",INDEX('Input Transaksi'!$F:$F,$E722))</f>
        <v/>
      </c>
      <c r="E722">
        <f>IFERROR(AGGREGATE(15,6,ROW('Input Transaksi'!$B$5:$B$5000)/('Input Transaksi'!$B$5:$B$5000="JCL MERPATI"),ROWS($E$5:E722)),"")</f>
        <v/>
      </c>
      <c r="F722" s="5" t="n"/>
    </row>
    <row r="723">
      <c r="A723" s="10">
        <f>IF($E723="","",INDEX('Input Transaksi'!$A:$A,$E723))</f>
        <v/>
      </c>
      <c r="B723" s="5">
        <f>IF($E723="","",INDEX('Input Transaksi'!$D:$D,$E723))</f>
        <v/>
      </c>
      <c r="C723">
        <f>IF($E723="","",INDEX('Input Transaksi'!$E:$E,$E723))</f>
        <v/>
      </c>
      <c r="D723" s="5">
        <f>IF($E723="","",INDEX('Input Transaksi'!$F:$F,$E723))</f>
        <v/>
      </c>
      <c r="E723">
        <f>IFERROR(AGGREGATE(15,6,ROW('Input Transaksi'!$B$5:$B$5000)/('Input Transaksi'!$B$5:$B$5000="JCL MERPATI"),ROWS($E$5:E723)),"")</f>
        <v/>
      </c>
      <c r="F723" s="5" t="n"/>
    </row>
    <row r="724">
      <c r="A724" s="10">
        <f>IF($E724="","",INDEX('Input Transaksi'!$A:$A,$E724))</f>
        <v/>
      </c>
      <c r="B724" s="5">
        <f>IF($E724="","",INDEX('Input Transaksi'!$D:$D,$E724))</f>
        <v/>
      </c>
      <c r="C724">
        <f>IF($E724="","",INDEX('Input Transaksi'!$E:$E,$E724))</f>
        <v/>
      </c>
      <c r="D724" s="5">
        <f>IF($E724="","",INDEX('Input Transaksi'!$F:$F,$E724))</f>
        <v/>
      </c>
      <c r="E724">
        <f>IFERROR(AGGREGATE(15,6,ROW('Input Transaksi'!$B$5:$B$5000)/('Input Transaksi'!$B$5:$B$5000="JCL MERPATI"),ROWS($E$5:E724)),"")</f>
        <v/>
      </c>
      <c r="F724" s="5" t="n"/>
    </row>
    <row r="725">
      <c r="A725" s="10">
        <f>IF($E725="","",INDEX('Input Transaksi'!$A:$A,$E725))</f>
        <v/>
      </c>
      <c r="B725" s="5">
        <f>IF($E725="","",INDEX('Input Transaksi'!$D:$D,$E725))</f>
        <v/>
      </c>
      <c r="C725">
        <f>IF($E725="","",INDEX('Input Transaksi'!$E:$E,$E725))</f>
        <v/>
      </c>
      <c r="D725" s="5">
        <f>IF($E725="","",INDEX('Input Transaksi'!$F:$F,$E725))</f>
        <v/>
      </c>
      <c r="E725">
        <f>IFERROR(AGGREGATE(15,6,ROW('Input Transaksi'!$B$5:$B$5000)/('Input Transaksi'!$B$5:$B$5000="JCL MERPATI"),ROWS($E$5:E725)),"")</f>
        <v/>
      </c>
      <c r="F725" s="5" t="n"/>
    </row>
    <row r="726">
      <c r="A726" s="10">
        <f>IF($E726="","",INDEX('Input Transaksi'!$A:$A,$E726))</f>
        <v/>
      </c>
      <c r="B726" s="5">
        <f>IF($E726="","",INDEX('Input Transaksi'!$D:$D,$E726))</f>
        <v/>
      </c>
      <c r="C726">
        <f>IF($E726="","",INDEX('Input Transaksi'!$E:$E,$E726))</f>
        <v/>
      </c>
      <c r="D726" s="5">
        <f>IF($E726="","",INDEX('Input Transaksi'!$F:$F,$E726))</f>
        <v/>
      </c>
      <c r="E726">
        <f>IFERROR(AGGREGATE(15,6,ROW('Input Transaksi'!$B$5:$B$5000)/('Input Transaksi'!$B$5:$B$5000="JCL MERPATI"),ROWS($E$5:E726)),"")</f>
        <v/>
      </c>
      <c r="F726" s="5" t="n"/>
    </row>
    <row r="727">
      <c r="A727" s="10">
        <f>IF($E727="","",INDEX('Input Transaksi'!$A:$A,$E727))</f>
        <v/>
      </c>
      <c r="B727" s="5">
        <f>IF($E727="","",INDEX('Input Transaksi'!$D:$D,$E727))</f>
        <v/>
      </c>
      <c r="C727">
        <f>IF($E727="","",INDEX('Input Transaksi'!$E:$E,$E727))</f>
        <v/>
      </c>
      <c r="D727" s="5">
        <f>IF($E727="","",INDEX('Input Transaksi'!$F:$F,$E727))</f>
        <v/>
      </c>
      <c r="E727">
        <f>IFERROR(AGGREGATE(15,6,ROW('Input Transaksi'!$B$5:$B$5000)/('Input Transaksi'!$B$5:$B$5000="JCL MERPATI"),ROWS($E$5:E727)),"")</f>
        <v/>
      </c>
      <c r="F727" s="5" t="n"/>
    </row>
    <row r="728">
      <c r="A728" s="10">
        <f>IF($E728="","",INDEX('Input Transaksi'!$A:$A,$E728))</f>
        <v/>
      </c>
      <c r="B728" s="5">
        <f>IF($E728="","",INDEX('Input Transaksi'!$D:$D,$E728))</f>
        <v/>
      </c>
      <c r="C728">
        <f>IF($E728="","",INDEX('Input Transaksi'!$E:$E,$E728))</f>
        <v/>
      </c>
      <c r="D728" s="5">
        <f>IF($E728="","",INDEX('Input Transaksi'!$F:$F,$E728))</f>
        <v/>
      </c>
      <c r="E728">
        <f>IFERROR(AGGREGATE(15,6,ROW('Input Transaksi'!$B$5:$B$5000)/('Input Transaksi'!$B$5:$B$5000="JCL MERPATI"),ROWS($E$5:E728)),"")</f>
        <v/>
      </c>
      <c r="F728" s="5" t="n"/>
    </row>
    <row r="729">
      <c r="A729" s="10">
        <f>IF($E729="","",INDEX('Input Transaksi'!$A:$A,$E729))</f>
        <v/>
      </c>
      <c r="B729" s="5">
        <f>IF($E729="","",INDEX('Input Transaksi'!$D:$D,$E729))</f>
        <v/>
      </c>
      <c r="C729">
        <f>IF($E729="","",INDEX('Input Transaksi'!$E:$E,$E729))</f>
        <v/>
      </c>
      <c r="D729" s="5">
        <f>IF($E729="","",INDEX('Input Transaksi'!$F:$F,$E729))</f>
        <v/>
      </c>
      <c r="E729">
        <f>IFERROR(AGGREGATE(15,6,ROW('Input Transaksi'!$B$5:$B$5000)/('Input Transaksi'!$B$5:$B$5000="JCL MERPATI"),ROWS($E$5:E729)),"")</f>
        <v/>
      </c>
      <c r="F729" s="5" t="n"/>
    </row>
    <row r="730">
      <c r="A730" s="10">
        <f>IF($E730="","",INDEX('Input Transaksi'!$A:$A,$E730))</f>
        <v/>
      </c>
      <c r="B730" s="5">
        <f>IF($E730="","",INDEX('Input Transaksi'!$D:$D,$E730))</f>
        <v/>
      </c>
      <c r="C730">
        <f>IF($E730="","",INDEX('Input Transaksi'!$E:$E,$E730))</f>
        <v/>
      </c>
      <c r="D730" s="5">
        <f>IF($E730="","",INDEX('Input Transaksi'!$F:$F,$E730))</f>
        <v/>
      </c>
      <c r="E730">
        <f>IFERROR(AGGREGATE(15,6,ROW('Input Transaksi'!$B$5:$B$5000)/('Input Transaksi'!$B$5:$B$5000="JCL MERPATI"),ROWS($E$5:E730)),"")</f>
        <v/>
      </c>
      <c r="F730" s="5" t="n"/>
    </row>
    <row r="731">
      <c r="A731" s="10">
        <f>IF($E731="","",INDEX('Input Transaksi'!$A:$A,$E731))</f>
        <v/>
      </c>
      <c r="B731" s="5">
        <f>IF($E731="","",INDEX('Input Transaksi'!$D:$D,$E731))</f>
        <v/>
      </c>
      <c r="C731">
        <f>IF($E731="","",INDEX('Input Transaksi'!$E:$E,$E731))</f>
        <v/>
      </c>
      <c r="D731" s="5">
        <f>IF($E731="","",INDEX('Input Transaksi'!$F:$F,$E731))</f>
        <v/>
      </c>
      <c r="E731">
        <f>IFERROR(AGGREGATE(15,6,ROW('Input Transaksi'!$B$5:$B$5000)/('Input Transaksi'!$B$5:$B$5000="JCL MERPATI"),ROWS($E$5:E731)),"")</f>
        <v/>
      </c>
      <c r="F731" s="5" t="n"/>
    </row>
    <row r="732">
      <c r="A732" s="10">
        <f>IF($E732="","",INDEX('Input Transaksi'!$A:$A,$E732))</f>
        <v/>
      </c>
      <c r="B732" s="5">
        <f>IF($E732="","",INDEX('Input Transaksi'!$D:$D,$E732))</f>
        <v/>
      </c>
      <c r="C732">
        <f>IF($E732="","",INDEX('Input Transaksi'!$E:$E,$E732))</f>
        <v/>
      </c>
      <c r="D732" s="5">
        <f>IF($E732="","",INDEX('Input Transaksi'!$F:$F,$E732))</f>
        <v/>
      </c>
      <c r="E732">
        <f>IFERROR(AGGREGATE(15,6,ROW('Input Transaksi'!$B$5:$B$5000)/('Input Transaksi'!$B$5:$B$5000="JCL MERPATI"),ROWS($E$5:E732)),"")</f>
        <v/>
      </c>
      <c r="F732" s="5" t="n"/>
    </row>
    <row r="733">
      <c r="A733" s="10">
        <f>IF($E733="","",INDEX('Input Transaksi'!$A:$A,$E733))</f>
        <v/>
      </c>
      <c r="B733" s="5">
        <f>IF($E733="","",INDEX('Input Transaksi'!$D:$D,$E733))</f>
        <v/>
      </c>
      <c r="C733">
        <f>IF($E733="","",INDEX('Input Transaksi'!$E:$E,$E733))</f>
        <v/>
      </c>
      <c r="D733" s="5">
        <f>IF($E733="","",INDEX('Input Transaksi'!$F:$F,$E733))</f>
        <v/>
      </c>
      <c r="E733">
        <f>IFERROR(AGGREGATE(15,6,ROW('Input Transaksi'!$B$5:$B$5000)/('Input Transaksi'!$B$5:$B$5000="JCL MERPATI"),ROWS($E$5:E733)),"")</f>
        <v/>
      </c>
      <c r="F733" s="5" t="n"/>
    </row>
    <row r="734">
      <c r="A734" s="10">
        <f>IF($E734="","",INDEX('Input Transaksi'!$A:$A,$E734))</f>
        <v/>
      </c>
      <c r="B734" s="5">
        <f>IF($E734="","",INDEX('Input Transaksi'!$D:$D,$E734))</f>
        <v/>
      </c>
      <c r="C734">
        <f>IF($E734="","",INDEX('Input Transaksi'!$E:$E,$E734))</f>
        <v/>
      </c>
      <c r="D734" s="5">
        <f>IF($E734="","",INDEX('Input Transaksi'!$F:$F,$E734))</f>
        <v/>
      </c>
      <c r="E734">
        <f>IFERROR(AGGREGATE(15,6,ROW('Input Transaksi'!$B$5:$B$5000)/('Input Transaksi'!$B$5:$B$5000="JCL MERPATI"),ROWS($E$5:E734)),"")</f>
        <v/>
      </c>
      <c r="F734" s="5" t="n"/>
    </row>
    <row r="735">
      <c r="A735" s="10">
        <f>IF($E735="","",INDEX('Input Transaksi'!$A:$A,$E735))</f>
        <v/>
      </c>
      <c r="B735" s="5">
        <f>IF($E735="","",INDEX('Input Transaksi'!$D:$D,$E735))</f>
        <v/>
      </c>
      <c r="C735">
        <f>IF($E735="","",INDEX('Input Transaksi'!$E:$E,$E735))</f>
        <v/>
      </c>
      <c r="D735" s="5">
        <f>IF($E735="","",INDEX('Input Transaksi'!$F:$F,$E735))</f>
        <v/>
      </c>
      <c r="E735">
        <f>IFERROR(AGGREGATE(15,6,ROW('Input Transaksi'!$B$5:$B$5000)/('Input Transaksi'!$B$5:$B$5000="JCL MERPATI"),ROWS($E$5:E735)),"")</f>
        <v/>
      </c>
      <c r="F735" s="5" t="n"/>
    </row>
    <row r="736">
      <c r="A736" s="10">
        <f>IF($E736="","",INDEX('Input Transaksi'!$A:$A,$E736))</f>
        <v/>
      </c>
      <c r="B736" s="5">
        <f>IF($E736="","",INDEX('Input Transaksi'!$D:$D,$E736))</f>
        <v/>
      </c>
      <c r="C736">
        <f>IF($E736="","",INDEX('Input Transaksi'!$E:$E,$E736))</f>
        <v/>
      </c>
      <c r="D736" s="5">
        <f>IF($E736="","",INDEX('Input Transaksi'!$F:$F,$E736))</f>
        <v/>
      </c>
      <c r="E736">
        <f>IFERROR(AGGREGATE(15,6,ROW('Input Transaksi'!$B$5:$B$5000)/('Input Transaksi'!$B$5:$B$5000="JCL MERPATI"),ROWS($E$5:E736)),"")</f>
        <v/>
      </c>
      <c r="F736" s="5" t="n"/>
    </row>
    <row r="737">
      <c r="A737" s="10">
        <f>IF($E737="","",INDEX('Input Transaksi'!$A:$A,$E737))</f>
        <v/>
      </c>
      <c r="B737" s="5">
        <f>IF($E737="","",INDEX('Input Transaksi'!$D:$D,$E737))</f>
        <v/>
      </c>
      <c r="C737">
        <f>IF($E737="","",INDEX('Input Transaksi'!$E:$E,$E737))</f>
        <v/>
      </c>
      <c r="D737" s="5">
        <f>IF($E737="","",INDEX('Input Transaksi'!$F:$F,$E737))</f>
        <v/>
      </c>
      <c r="E737">
        <f>IFERROR(AGGREGATE(15,6,ROW('Input Transaksi'!$B$5:$B$5000)/('Input Transaksi'!$B$5:$B$5000="JCL MERPATI"),ROWS($E$5:E737)),"")</f>
        <v/>
      </c>
      <c r="F737" s="5" t="n"/>
    </row>
    <row r="738">
      <c r="A738" s="10">
        <f>IF($E738="","",INDEX('Input Transaksi'!$A:$A,$E738))</f>
        <v/>
      </c>
      <c r="B738" s="5">
        <f>IF($E738="","",INDEX('Input Transaksi'!$D:$D,$E738))</f>
        <v/>
      </c>
      <c r="C738">
        <f>IF($E738="","",INDEX('Input Transaksi'!$E:$E,$E738))</f>
        <v/>
      </c>
      <c r="D738" s="5">
        <f>IF($E738="","",INDEX('Input Transaksi'!$F:$F,$E738))</f>
        <v/>
      </c>
      <c r="E738">
        <f>IFERROR(AGGREGATE(15,6,ROW('Input Transaksi'!$B$5:$B$5000)/('Input Transaksi'!$B$5:$B$5000="JCL MERPATI"),ROWS($E$5:E738)),"")</f>
        <v/>
      </c>
      <c r="F738" s="5" t="n"/>
    </row>
    <row r="739">
      <c r="A739" s="10">
        <f>IF($E739="","",INDEX('Input Transaksi'!$A:$A,$E739))</f>
        <v/>
      </c>
      <c r="B739" s="5">
        <f>IF($E739="","",INDEX('Input Transaksi'!$D:$D,$E739))</f>
        <v/>
      </c>
      <c r="C739">
        <f>IF($E739="","",INDEX('Input Transaksi'!$E:$E,$E739))</f>
        <v/>
      </c>
      <c r="D739" s="5">
        <f>IF($E739="","",INDEX('Input Transaksi'!$F:$F,$E739))</f>
        <v/>
      </c>
      <c r="E739">
        <f>IFERROR(AGGREGATE(15,6,ROW('Input Transaksi'!$B$5:$B$5000)/('Input Transaksi'!$B$5:$B$5000="JCL MERPATI"),ROWS($E$5:E739)),"")</f>
        <v/>
      </c>
      <c r="F739" s="5" t="n"/>
    </row>
    <row r="740">
      <c r="A740" s="10">
        <f>IF($E740="","",INDEX('Input Transaksi'!$A:$A,$E740))</f>
        <v/>
      </c>
      <c r="B740" s="5">
        <f>IF($E740="","",INDEX('Input Transaksi'!$D:$D,$E740))</f>
        <v/>
      </c>
      <c r="C740">
        <f>IF($E740="","",INDEX('Input Transaksi'!$E:$E,$E740))</f>
        <v/>
      </c>
      <c r="D740" s="5">
        <f>IF($E740="","",INDEX('Input Transaksi'!$F:$F,$E740))</f>
        <v/>
      </c>
      <c r="E740">
        <f>IFERROR(AGGREGATE(15,6,ROW('Input Transaksi'!$B$5:$B$5000)/('Input Transaksi'!$B$5:$B$5000="JCL MERPATI"),ROWS($E$5:E740)),"")</f>
        <v/>
      </c>
      <c r="F740" s="5" t="n"/>
    </row>
    <row r="741">
      <c r="A741" s="10">
        <f>IF($E741="","",INDEX('Input Transaksi'!$A:$A,$E741))</f>
        <v/>
      </c>
      <c r="B741" s="5">
        <f>IF($E741="","",INDEX('Input Transaksi'!$D:$D,$E741))</f>
        <v/>
      </c>
      <c r="C741">
        <f>IF($E741="","",INDEX('Input Transaksi'!$E:$E,$E741))</f>
        <v/>
      </c>
      <c r="D741" s="5">
        <f>IF($E741="","",INDEX('Input Transaksi'!$F:$F,$E741))</f>
        <v/>
      </c>
      <c r="E741">
        <f>IFERROR(AGGREGATE(15,6,ROW('Input Transaksi'!$B$5:$B$5000)/('Input Transaksi'!$B$5:$B$5000="JCL MERPATI"),ROWS($E$5:E741)),"")</f>
        <v/>
      </c>
      <c r="F741" s="5" t="n"/>
    </row>
    <row r="742">
      <c r="A742" s="10">
        <f>IF($E742="","",INDEX('Input Transaksi'!$A:$A,$E742))</f>
        <v/>
      </c>
      <c r="B742" s="5">
        <f>IF($E742="","",INDEX('Input Transaksi'!$D:$D,$E742))</f>
        <v/>
      </c>
      <c r="C742">
        <f>IF($E742="","",INDEX('Input Transaksi'!$E:$E,$E742))</f>
        <v/>
      </c>
      <c r="D742" s="5">
        <f>IF($E742="","",INDEX('Input Transaksi'!$F:$F,$E742))</f>
        <v/>
      </c>
      <c r="E742">
        <f>IFERROR(AGGREGATE(15,6,ROW('Input Transaksi'!$B$5:$B$5000)/('Input Transaksi'!$B$5:$B$5000="JCL MERPATI"),ROWS($E$5:E742)),"")</f>
        <v/>
      </c>
      <c r="F742" s="5" t="n"/>
    </row>
    <row r="743">
      <c r="A743" s="10">
        <f>IF($E743="","",INDEX('Input Transaksi'!$A:$A,$E743))</f>
        <v/>
      </c>
      <c r="B743" s="5">
        <f>IF($E743="","",INDEX('Input Transaksi'!$D:$D,$E743))</f>
        <v/>
      </c>
      <c r="C743">
        <f>IF($E743="","",INDEX('Input Transaksi'!$E:$E,$E743))</f>
        <v/>
      </c>
      <c r="D743" s="5">
        <f>IF($E743="","",INDEX('Input Transaksi'!$F:$F,$E743))</f>
        <v/>
      </c>
      <c r="E743">
        <f>IFERROR(AGGREGATE(15,6,ROW('Input Transaksi'!$B$5:$B$5000)/('Input Transaksi'!$B$5:$B$5000="JCL MERPATI"),ROWS($E$5:E743)),"")</f>
        <v/>
      </c>
      <c r="F743" s="5" t="n"/>
    </row>
    <row r="744">
      <c r="A744" s="10">
        <f>IF($E744="","",INDEX('Input Transaksi'!$A:$A,$E744))</f>
        <v/>
      </c>
      <c r="B744" s="5">
        <f>IF($E744="","",INDEX('Input Transaksi'!$D:$D,$E744))</f>
        <v/>
      </c>
      <c r="C744">
        <f>IF($E744="","",INDEX('Input Transaksi'!$E:$E,$E744))</f>
        <v/>
      </c>
      <c r="D744" s="5">
        <f>IF($E744="","",INDEX('Input Transaksi'!$F:$F,$E744))</f>
        <v/>
      </c>
      <c r="E744">
        <f>IFERROR(AGGREGATE(15,6,ROW('Input Transaksi'!$B$5:$B$5000)/('Input Transaksi'!$B$5:$B$5000="JCL MERPATI"),ROWS($E$5:E744)),"")</f>
        <v/>
      </c>
      <c r="F744" s="5" t="n"/>
    </row>
    <row r="745">
      <c r="A745" s="10">
        <f>IF($E745="","",INDEX('Input Transaksi'!$A:$A,$E745))</f>
        <v/>
      </c>
      <c r="B745" s="5">
        <f>IF($E745="","",INDEX('Input Transaksi'!$D:$D,$E745))</f>
        <v/>
      </c>
      <c r="C745">
        <f>IF($E745="","",INDEX('Input Transaksi'!$E:$E,$E745))</f>
        <v/>
      </c>
      <c r="D745" s="5">
        <f>IF($E745="","",INDEX('Input Transaksi'!$F:$F,$E745))</f>
        <v/>
      </c>
      <c r="E745">
        <f>IFERROR(AGGREGATE(15,6,ROW('Input Transaksi'!$B$5:$B$5000)/('Input Transaksi'!$B$5:$B$5000="JCL MERPATI"),ROWS($E$5:E745)),"")</f>
        <v/>
      </c>
      <c r="F745" s="5" t="n"/>
    </row>
    <row r="746">
      <c r="A746" s="10">
        <f>IF($E746="","",INDEX('Input Transaksi'!$A:$A,$E746))</f>
        <v/>
      </c>
      <c r="B746" s="5">
        <f>IF($E746="","",INDEX('Input Transaksi'!$D:$D,$E746))</f>
        <v/>
      </c>
      <c r="C746">
        <f>IF($E746="","",INDEX('Input Transaksi'!$E:$E,$E746))</f>
        <v/>
      </c>
      <c r="D746" s="5">
        <f>IF($E746="","",INDEX('Input Transaksi'!$F:$F,$E746))</f>
        <v/>
      </c>
      <c r="E746">
        <f>IFERROR(AGGREGATE(15,6,ROW('Input Transaksi'!$B$5:$B$5000)/('Input Transaksi'!$B$5:$B$5000="JCL MERPATI"),ROWS($E$5:E746)),"")</f>
        <v/>
      </c>
      <c r="F746" s="5" t="n"/>
    </row>
    <row r="747">
      <c r="A747" s="10">
        <f>IF($E747="","",INDEX('Input Transaksi'!$A:$A,$E747))</f>
        <v/>
      </c>
      <c r="B747" s="5">
        <f>IF($E747="","",INDEX('Input Transaksi'!$D:$D,$E747))</f>
        <v/>
      </c>
      <c r="C747">
        <f>IF($E747="","",INDEX('Input Transaksi'!$E:$E,$E747))</f>
        <v/>
      </c>
      <c r="D747" s="5">
        <f>IF($E747="","",INDEX('Input Transaksi'!$F:$F,$E747))</f>
        <v/>
      </c>
      <c r="E747">
        <f>IFERROR(AGGREGATE(15,6,ROW('Input Transaksi'!$B$5:$B$5000)/('Input Transaksi'!$B$5:$B$5000="JCL MERPATI"),ROWS($E$5:E747)),"")</f>
        <v/>
      </c>
      <c r="F747" s="5" t="n"/>
    </row>
    <row r="748">
      <c r="A748" s="10">
        <f>IF($E748="","",INDEX('Input Transaksi'!$A:$A,$E748))</f>
        <v/>
      </c>
      <c r="B748" s="5">
        <f>IF($E748="","",INDEX('Input Transaksi'!$D:$D,$E748))</f>
        <v/>
      </c>
      <c r="C748">
        <f>IF($E748="","",INDEX('Input Transaksi'!$E:$E,$E748))</f>
        <v/>
      </c>
      <c r="D748" s="5">
        <f>IF($E748="","",INDEX('Input Transaksi'!$F:$F,$E748))</f>
        <v/>
      </c>
      <c r="E748">
        <f>IFERROR(AGGREGATE(15,6,ROW('Input Transaksi'!$B$5:$B$5000)/('Input Transaksi'!$B$5:$B$5000="JCL MERPATI"),ROWS($E$5:E748)),"")</f>
        <v/>
      </c>
      <c r="F748" s="5" t="n"/>
    </row>
    <row r="749">
      <c r="A749" s="10">
        <f>IF($E749="","",INDEX('Input Transaksi'!$A:$A,$E749))</f>
        <v/>
      </c>
      <c r="B749" s="5">
        <f>IF($E749="","",INDEX('Input Transaksi'!$D:$D,$E749))</f>
        <v/>
      </c>
      <c r="C749">
        <f>IF($E749="","",INDEX('Input Transaksi'!$E:$E,$E749))</f>
        <v/>
      </c>
      <c r="D749" s="5">
        <f>IF($E749="","",INDEX('Input Transaksi'!$F:$F,$E749))</f>
        <v/>
      </c>
      <c r="E749">
        <f>IFERROR(AGGREGATE(15,6,ROW('Input Transaksi'!$B$5:$B$5000)/('Input Transaksi'!$B$5:$B$5000="JCL MERPATI"),ROWS($E$5:E749)),"")</f>
        <v/>
      </c>
      <c r="F749" s="5" t="n"/>
    </row>
    <row r="750">
      <c r="A750" s="10">
        <f>IF($E750="","",INDEX('Input Transaksi'!$A:$A,$E750))</f>
        <v/>
      </c>
      <c r="B750" s="5">
        <f>IF($E750="","",INDEX('Input Transaksi'!$D:$D,$E750))</f>
        <v/>
      </c>
      <c r="C750">
        <f>IF($E750="","",INDEX('Input Transaksi'!$E:$E,$E750))</f>
        <v/>
      </c>
      <c r="D750" s="5">
        <f>IF($E750="","",INDEX('Input Transaksi'!$F:$F,$E750))</f>
        <v/>
      </c>
      <c r="E750">
        <f>IFERROR(AGGREGATE(15,6,ROW('Input Transaksi'!$B$5:$B$5000)/('Input Transaksi'!$B$5:$B$5000="JCL MERPATI"),ROWS($E$5:E750)),"")</f>
        <v/>
      </c>
      <c r="F750" s="5" t="n"/>
    </row>
    <row r="751">
      <c r="A751" s="10">
        <f>IF($E751="","",INDEX('Input Transaksi'!$A:$A,$E751))</f>
        <v/>
      </c>
      <c r="B751" s="5">
        <f>IF($E751="","",INDEX('Input Transaksi'!$D:$D,$E751))</f>
        <v/>
      </c>
      <c r="C751">
        <f>IF($E751="","",INDEX('Input Transaksi'!$E:$E,$E751))</f>
        <v/>
      </c>
      <c r="D751" s="5">
        <f>IF($E751="","",INDEX('Input Transaksi'!$F:$F,$E751))</f>
        <v/>
      </c>
      <c r="E751">
        <f>IFERROR(AGGREGATE(15,6,ROW('Input Transaksi'!$B$5:$B$5000)/('Input Transaksi'!$B$5:$B$5000="JCL MERPATI"),ROWS($E$5:E751)),"")</f>
        <v/>
      </c>
      <c r="F751" s="5" t="n"/>
    </row>
    <row r="752">
      <c r="A752" s="10">
        <f>IF($E752="","",INDEX('Input Transaksi'!$A:$A,$E752))</f>
        <v/>
      </c>
      <c r="B752" s="5">
        <f>IF($E752="","",INDEX('Input Transaksi'!$D:$D,$E752))</f>
        <v/>
      </c>
      <c r="C752">
        <f>IF($E752="","",INDEX('Input Transaksi'!$E:$E,$E752))</f>
        <v/>
      </c>
      <c r="D752" s="5">
        <f>IF($E752="","",INDEX('Input Transaksi'!$F:$F,$E752))</f>
        <v/>
      </c>
      <c r="E752">
        <f>IFERROR(AGGREGATE(15,6,ROW('Input Transaksi'!$B$5:$B$5000)/('Input Transaksi'!$B$5:$B$5000="JCL MERPATI"),ROWS($E$5:E752)),"")</f>
        <v/>
      </c>
      <c r="F752" s="5" t="n"/>
    </row>
    <row r="753">
      <c r="A753" s="10">
        <f>IF($E753="","",INDEX('Input Transaksi'!$A:$A,$E753))</f>
        <v/>
      </c>
      <c r="B753" s="5">
        <f>IF($E753="","",INDEX('Input Transaksi'!$D:$D,$E753))</f>
        <v/>
      </c>
      <c r="C753">
        <f>IF($E753="","",INDEX('Input Transaksi'!$E:$E,$E753))</f>
        <v/>
      </c>
      <c r="D753" s="5">
        <f>IF($E753="","",INDEX('Input Transaksi'!$F:$F,$E753))</f>
        <v/>
      </c>
      <c r="E753">
        <f>IFERROR(AGGREGATE(15,6,ROW('Input Transaksi'!$B$5:$B$5000)/('Input Transaksi'!$B$5:$B$5000="JCL MERPATI"),ROWS($E$5:E753)),"")</f>
        <v/>
      </c>
      <c r="F753" s="5" t="n"/>
    </row>
    <row r="754">
      <c r="A754" s="10">
        <f>IF($E754="","",INDEX('Input Transaksi'!$A:$A,$E754))</f>
        <v/>
      </c>
      <c r="B754" s="5">
        <f>IF($E754="","",INDEX('Input Transaksi'!$D:$D,$E754))</f>
        <v/>
      </c>
      <c r="C754">
        <f>IF($E754="","",INDEX('Input Transaksi'!$E:$E,$E754))</f>
        <v/>
      </c>
      <c r="D754" s="5">
        <f>IF($E754="","",INDEX('Input Transaksi'!$F:$F,$E754))</f>
        <v/>
      </c>
      <c r="E754">
        <f>IFERROR(AGGREGATE(15,6,ROW('Input Transaksi'!$B$5:$B$5000)/('Input Transaksi'!$B$5:$B$5000="JCL MERPATI"),ROWS($E$5:E754)),"")</f>
        <v/>
      </c>
      <c r="F754" s="5" t="n"/>
    </row>
    <row r="755">
      <c r="A755" s="10">
        <f>IF($E755="","",INDEX('Input Transaksi'!$A:$A,$E755))</f>
        <v/>
      </c>
      <c r="B755" s="5">
        <f>IF($E755="","",INDEX('Input Transaksi'!$D:$D,$E755))</f>
        <v/>
      </c>
      <c r="C755">
        <f>IF($E755="","",INDEX('Input Transaksi'!$E:$E,$E755))</f>
        <v/>
      </c>
      <c r="D755" s="5">
        <f>IF($E755="","",INDEX('Input Transaksi'!$F:$F,$E755))</f>
        <v/>
      </c>
      <c r="E755">
        <f>IFERROR(AGGREGATE(15,6,ROW('Input Transaksi'!$B$5:$B$5000)/('Input Transaksi'!$B$5:$B$5000="JCL MERPATI"),ROWS($E$5:E755)),"")</f>
        <v/>
      </c>
      <c r="F755" s="5" t="n"/>
    </row>
    <row r="756">
      <c r="A756" s="10">
        <f>IF($E756="","",INDEX('Input Transaksi'!$A:$A,$E756))</f>
        <v/>
      </c>
      <c r="B756" s="5">
        <f>IF($E756="","",INDEX('Input Transaksi'!$D:$D,$E756))</f>
        <v/>
      </c>
      <c r="C756">
        <f>IF($E756="","",INDEX('Input Transaksi'!$E:$E,$E756))</f>
        <v/>
      </c>
      <c r="D756" s="5">
        <f>IF($E756="","",INDEX('Input Transaksi'!$F:$F,$E756))</f>
        <v/>
      </c>
      <c r="E756">
        <f>IFERROR(AGGREGATE(15,6,ROW('Input Transaksi'!$B$5:$B$5000)/('Input Transaksi'!$B$5:$B$5000="JCL MERPATI"),ROWS($E$5:E756)),"")</f>
        <v/>
      </c>
      <c r="F756" s="5" t="n"/>
    </row>
    <row r="757">
      <c r="A757" s="10">
        <f>IF($E757="","",INDEX('Input Transaksi'!$A:$A,$E757))</f>
        <v/>
      </c>
      <c r="B757" s="5">
        <f>IF($E757="","",INDEX('Input Transaksi'!$D:$D,$E757))</f>
        <v/>
      </c>
      <c r="C757">
        <f>IF($E757="","",INDEX('Input Transaksi'!$E:$E,$E757))</f>
        <v/>
      </c>
      <c r="D757" s="5">
        <f>IF($E757="","",INDEX('Input Transaksi'!$F:$F,$E757))</f>
        <v/>
      </c>
      <c r="E757">
        <f>IFERROR(AGGREGATE(15,6,ROW('Input Transaksi'!$B$5:$B$5000)/('Input Transaksi'!$B$5:$B$5000="JCL MERPATI"),ROWS($E$5:E757)),"")</f>
        <v/>
      </c>
      <c r="F757" s="5" t="n"/>
    </row>
    <row r="758">
      <c r="A758" s="10">
        <f>IF($E758="","",INDEX('Input Transaksi'!$A:$A,$E758))</f>
        <v/>
      </c>
      <c r="B758" s="5">
        <f>IF($E758="","",INDEX('Input Transaksi'!$D:$D,$E758))</f>
        <v/>
      </c>
      <c r="C758">
        <f>IF($E758="","",INDEX('Input Transaksi'!$E:$E,$E758))</f>
        <v/>
      </c>
      <c r="D758" s="5">
        <f>IF($E758="","",INDEX('Input Transaksi'!$F:$F,$E758))</f>
        <v/>
      </c>
      <c r="E758">
        <f>IFERROR(AGGREGATE(15,6,ROW('Input Transaksi'!$B$5:$B$5000)/('Input Transaksi'!$B$5:$B$5000="JCL MERPATI"),ROWS($E$5:E758)),"")</f>
        <v/>
      </c>
      <c r="F758" s="5" t="n"/>
    </row>
    <row r="759">
      <c r="A759" s="10">
        <f>IF($E759="","",INDEX('Input Transaksi'!$A:$A,$E759))</f>
        <v/>
      </c>
      <c r="B759" s="5">
        <f>IF($E759="","",INDEX('Input Transaksi'!$D:$D,$E759))</f>
        <v/>
      </c>
      <c r="C759">
        <f>IF($E759="","",INDEX('Input Transaksi'!$E:$E,$E759))</f>
        <v/>
      </c>
      <c r="D759" s="5">
        <f>IF($E759="","",INDEX('Input Transaksi'!$F:$F,$E759))</f>
        <v/>
      </c>
      <c r="E759">
        <f>IFERROR(AGGREGATE(15,6,ROW('Input Transaksi'!$B$5:$B$5000)/('Input Transaksi'!$B$5:$B$5000="JCL MERPATI"),ROWS($E$5:E759)),"")</f>
        <v/>
      </c>
      <c r="F759" s="5" t="n"/>
    </row>
    <row r="760">
      <c r="A760" s="10">
        <f>IF($E760="","",INDEX('Input Transaksi'!$A:$A,$E760))</f>
        <v/>
      </c>
      <c r="B760" s="5">
        <f>IF($E760="","",INDEX('Input Transaksi'!$D:$D,$E760))</f>
        <v/>
      </c>
      <c r="C760">
        <f>IF($E760="","",INDEX('Input Transaksi'!$E:$E,$E760))</f>
        <v/>
      </c>
      <c r="D760" s="5">
        <f>IF($E760="","",INDEX('Input Transaksi'!$F:$F,$E760))</f>
        <v/>
      </c>
      <c r="E760">
        <f>IFERROR(AGGREGATE(15,6,ROW('Input Transaksi'!$B$5:$B$5000)/('Input Transaksi'!$B$5:$B$5000="JCL MERPATI"),ROWS($E$5:E760)),"")</f>
        <v/>
      </c>
      <c r="F760" s="5" t="n"/>
    </row>
    <row r="761">
      <c r="A761" s="10">
        <f>IF($E761="","",INDEX('Input Transaksi'!$A:$A,$E761))</f>
        <v/>
      </c>
      <c r="B761" s="5">
        <f>IF($E761="","",INDEX('Input Transaksi'!$D:$D,$E761))</f>
        <v/>
      </c>
      <c r="C761">
        <f>IF($E761="","",INDEX('Input Transaksi'!$E:$E,$E761))</f>
        <v/>
      </c>
      <c r="D761" s="5">
        <f>IF($E761="","",INDEX('Input Transaksi'!$F:$F,$E761))</f>
        <v/>
      </c>
      <c r="E761">
        <f>IFERROR(AGGREGATE(15,6,ROW('Input Transaksi'!$B$5:$B$5000)/('Input Transaksi'!$B$5:$B$5000="JCL MERPATI"),ROWS($E$5:E761)),"")</f>
        <v/>
      </c>
      <c r="F761" s="5" t="n"/>
    </row>
    <row r="762">
      <c r="A762" s="10">
        <f>IF($E762="","",INDEX('Input Transaksi'!$A:$A,$E762))</f>
        <v/>
      </c>
      <c r="B762" s="5">
        <f>IF($E762="","",INDEX('Input Transaksi'!$D:$D,$E762))</f>
        <v/>
      </c>
      <c r="C762">
        <f>IF($E762="","",INDEX('Input Transaksi'!$E:$E,$E762))</f>
        <v/>
      </c>
      <c r="D762" s="5">
        <f>IF($E762="","",INDEX('Input Transaksi'!$F:$F,$E762))</f>
        <v/>
      </c>
      <c r="E762">
        <f>IFERROR(AGGREGATE(15,6,ROW('Input Transaksi'!$B$5:$B$5000)/('Input Transaksi'!$B$5:$B$5000="JCL MERPATI"),ROWS($E$5:E762)),"")</f>
        <v/>
      </c>
      <c r="F762" s="5" t="n"/>
    </row>
    <row r="763">
      <c r="A763" s="10">
        <f>IF($E763="","",INDEX('Input Transaksi'!$A:$A,$E763))</f>
        <v/>
      </c>
      <c r="B763" s="5">
        <f>IF($E763="","",INDEX('Input Transaksi'!$D:$D,$E763))</f>
        <v/>
      </c>
      <c r="C763">
        <f>IF($E763="","",INDEX('Input Transaksi'!$E:$E,$E763))</f>
        <v/>
      </c>
      <c r="D763" s="5">
        <f>IF($E763="","",INDEX('Input Transaksi'!$F:$F,$E763))</f>
        <v/>
      </c>
      <c r="E763">
        <f>IFERROR(AGGREGATE(15,6,ROW('Input Transaksi'!$B$5:$B$5000)/('Input Transaksi'!$B$5:$B$5000="JCL MERPATI"),ROWS($E$5:E763)),"")</f>
        <v/>
      </c>
      <c r="F763" s="5" t="n"/>
    </row>
    <row r="764">
      <c r="A764" s="10">
        <f>IF($E764="","",INDEX('Input Transaksi'!$A:$A,$E764))</f>
        <v/>
      </c>
      <c r="B764" s="5">
        <f>IF($E764="","",INDEX('Input Transaksi'!$D:$D,$E764))</f>
        <v/>
      </c>
      <c r="C764">
        <f>IF($E764="","",INDEX('Input Transaksi'!$E:$E,$E764))</f>
        <v/>
      </c>
      <c r="D764" s="5">
        <f>IF($E764="","",INDEX('Input Transaksi'!$F:$F,$E764))</f>
        <v/>
      </c>
      <c r="E764">
        <f>IFERROR(AGGREGATE(15,6,ROW('Input Transaksi'!$B$5:$B$5000)/('Input Transaksi'!$B$5:$B$5000="JCL MERPATI"),ROWS($E$5:E764)),"")</f>
        <v/>
      </c>
      <c r="F764" s="5" t="n"/>
    </row>
    <row r="765">
      <c r="A765" s="10">
        <f>IF($E765="","",INDEX('Input Transaksi'!$A:$A,$E765))</f>
        <v/>
      </c>
      <c r="B765" s="5">
        <f>IF($E765="","",INDEX('Input Transaksi'!$D:$D,$E765))</f>
        <v/>
      </c>
      <c r="C765">
        <f>IF($E765="","",INDEX('Input Transaksi'!$E:$E,$E765))</f>
        <v/>
      </c>
      <c r="D765" s="5">
        <f>IF($E765="","",INDEX('Input Transaksi'!$F:$F,$E765))</f>
        <v/>
      </c>
      <c r="E765">
        <f>IFERROR(AGGREGATE(15,6,ROW('Input Transaksi'!$B$5:$B$5000)/('Input Transaksi'!$B$5:$B$5000="JCL MERPATI"),ROWS($E$5:E765)),"")</f>
        <v/>
      </c>
      <c r="F765" s="5" t="n"/>
    </row>
    <row r="766">
      <c r="A766" s="10">
        <f>IF($E766="","",INDEX('Input Transaksi'!$A:$A,$E766))</f>
        <v/>
      </c>
      <c r="B766" s="5">
        <f>IF($E766="","",INDEX('Input Transaksi'!$D:$D,$E766))</f>
        <v/>
      </c>
      <c r="C766">
        <f>IF($E766="","",INDEX('Input Transaksi'!$E:$E,$E766))</f>
        <v/>
      </c>
      <c r="D766" s="5">
        <f>IF($E766="","",INDEX('Input Transaksi'!$F:$F,$E766))</f>
        <v/>
      </c>
      <c r="E766">
        <f>IFERROR(AGGREGATE(15,6,ROW('Input Transaksi'!$B$5:$B$5000)/('Input Transaksi'!$B$5:$B$5000="JCL MERPATI"),ROWS($E$5:E766)),"")</f>
        <v/>
      </c>
      <c r="F766" s="5" t="n"/>
    </row>
    <row r="767">
      <c r="A767" s="10">
        <f>IF($E767="","",INDEX('Input Transaksi'!$A:$A,$E767))</f>
        <v/>
      </c>
      <c r="B767" s="5">
        <f>IF($E767="","",INDEX('Input Transaksi'!$D:$D,$E767))</f>
        <v/>
      </c>
      <c r="C767">
        <f>IF($E767="","",INDEX('Input Transaksi'!$E:$E,$E767))</f>
        <v/>
      </c>
      <c r="D767" s="5">
        <f>IF($E767="","",INDEX('Input Transaksi'!$F:$F,$E767))</f>
        <v/>
      </c>
      <c r="E767">
        <f>IFERROR(AGGREGATE(15,6,ROW('Input Transaksi'!$B$5:$B$5000)/('Input Transaksi'!$B$5:$B$5000="JCL MERPATI"),ROWS($E$5:E767)),"")</f>
        <v/>
      </c>
      <c r="F767" s="5" t="n"/>
    </row>
    <row r="768">
      <c r="A768" s="10">
        <f>IF($E768="","",INDEX('Input Transaksi'!$A:$A,$E768))</f>
        <v/>
      </c>
      <c r="B768" s="5">
        <f>IF($E768="","",INDEX('Input Transaksi'!$D:$D,$E768))</f>
        <v/>
      </c>
      <c r="C768">
        <f>IF($E768="","",INDEX('Input Transaksi'!$E:$E,$E768))</f>
        <v/>
      </c>
      <c r="D768" s="5">
        <f>IF($E768="","",INDEX('Input Transaksi'!$F:$F,$E768))</f>
        <v/>
      </c>
      <c r="E768">
        <f>IFERROR(AGGREGATE(15,6,ROW('Input Transaksi'!$B$5:$B$5000)/('Input Transaksi'!$B$5:$B$5000="JCL MERPATI"),ROWS($E$5:E768)),"")</f>
        <v/>
      </c>
      <c r="F768" s="5" t="n"/>
    </row>
    <row r="769">
      <c r="A769" s="10">
        <f>IF($E769="","",INDEX('Input Transaksi'!$A:$A,$E769))</f>
        <v/>
      </c>
      <c r="B769" s="5">
        <f>IF($E769="","",INDEX('Input Transaksi'!$D:$D,$E769))</f>
        <v/>
      </c>
      <c r="C769">
        <f>IF($E769="","",INDEX('Input Transaksi'!$E:$E,$E769))</f>
        <v/>
      </c>
      <c r="D769" s="5">
        <f>IF($E769="","",INDEX('Input Transaksi'!$F:$F,$E769))</f>
        <v/>
      </c>
      <c r="E769">
        <f>IFERROR(AGGREGATE(15,6,ROW('Input Transaksi'!$B$5:$B$5000)/('Input Transaksi'!$B$5:$B$5000="JCL MERPATI"),ROWS($E$5:E769)),"")</f>
        <v/>
      </c>
      <c r="F769" s="5" t="n"/>
    </row>
    <row r="770">
      <c r="A770" s="10">
        <f>IF($E770="","",INDEX('Input Transaksi'!$A:$A,$E770))</f>
        <v/>
      </c>
      <c r="B770" s="5">
        <f>IF($E770="","",INDEX('Input Transaksi'!$D:$D,$E770))</f>
        <v/>
      </c>
      <c r="C770">
        <f>IF($E770="","",INDEX('Input Transaksi'!$E:$E,$E770))</f>
        <v/>
      </c>
      <c r="D770" s="5">
        <f>IF($E770="","",INDEX('Input Transaksi'!$F:$F,$E770))</f>
        <v/>
      </c>
      <c r="E770">
        <f>IFERROR(AGGREGATE(15,6,ROW('Input Transaksi'!$B$5:$B$5000)/('Input Transaksi'!$B$5:$B$5000="JCL MERPATI"),ROWS($E$5:E770)),"")</f>
        <v/>
      </c>
      <c r="F770" s="5" t="n"/>
    </row>
    <row r="771">
      <c r="A771" s="10">
        <f>IF($E771="","",INDEX('Input Transaksi'!$A:$A,$E771))</f>
        <v/>
      </c>
      <c r="B771" s="5">
        <f>IF($E771="","",INDEX('Input Transaksi'!$D:$D,$E771))</f>
        <v/>
      </c>
      <c r="C771">
        <f>IF($E771="","",INDEX('Input Transaksi'!$E:$E,$E771))</f>
        <v/>
      </c>
      <c r="D771" s="5">
        <f>IF($E771="","",INDEX('Input Transaksi'!$F:$F,$E771))</f>
        <v/>
      </c>
      <c r="E771">
        <f>IFERROR(AGGREGATE(15,6,ROW('Input Transaksi'!$B$5:$B$5000)/('Input Transaksi'!$B$5:$B$5000="JCL MERPATI"),ROWS($E$5:E771)),"")</f>
        <v/>
      </c>
      <c r="F771" s="5" t="n"/>
    </row>
    <row r="772">
      <c r="A772" s="10">
        <f>IF($E772="","",INDEX('Input Transaksi'!$A:$A,$E772))</f>
        <v/>
      </c>
      <c r="B772" s="5">
        <f>IF($E772="","",INDEX('Input Transaksi'!$D:$D,$E772))</f>
        <v/>
      </c>
      <c r="C772">
        <f>IF($E772="","",INDEX('Input Transaksi'!$E:$E,$E772))</f>
        <v/>
      </c>
      <c r="D772" s="5">
        <f>IF($E772="","",INDEX('Input Transaksi'!$F:$F,$E772))</f>
        <v/>
      </c>
      <c r="E772">
        <f>IFERROR(AGGREGATE(15,6,ROW('Input Transaksi'!$B$5:$B$5000)/('Input Transaksi'!$B$5:$B$5000="JCL MERPATI"),ROWS($E$5:E772)),"")</f>
        <v/>
      </c>
      <c r="F772" s="5" t="n"/>
    </row>
    <row r="773">
      <c r="A773" s="10">
        <f>IF($E773="","",INDEX('Input Transaksi'!$A:$A,$E773))</f>
        <v/>
      </c>
      <c r="B773" s="5">
        <f>IF($E773="","",INDEX('Input Transaksi'!$D:$D,$E773))</f>
        <v/>
      </c>
      <c r="C773">
        <f>IF($E773="","",INDEX('Input Transaksi'!$E:$E,$E773))</f>
        <v/>
      </c>
      <c r="D773" s="5">
        <f>IF($E773="","",INDEX('Input Transaksi'!$F:$F,$E773))</f>
        <v/>
      </c>
      <c r="E773">
        <f>IFERROR(AGGREGATE(15,6,ROW('Input Transaksi'!$B$5:$B$5000)/('Input Transaksi'!$B$5:$B$5000="JCL MERPATI"),ROWS($E$5:E773)),"")</f>
        <v/>
      </c>
      <c r="F773" s="5" t="n"/>
    </row>
    <row r="774">
      <c r="A774" s="10">
        <f>IF($E774="","",INDEX('Input Transaksi'!$A:$A,$E774))</f>
        <v/>
      </c>
      <c r="B774" s="5">
        <f>IF($E774="","",INDEX('Input Transaksi'!$D:$D,$E774))</f>
        <v/>
      </c>
      <c r="C774">
        <f>IF($E774="","",INDEX('Input Transaksi'!$E:$E,$E774))</f>
        <v/>
      </c>
      <c r="D774" s="5">
        <f>IF($E774="","",INDEX('Input Transaksi'!$F:$F,$E774))</f>
        <v/>
      </c>
      <c r="E774">
        <f>IFERROR(AGGREGATE(15,6,ROW('Input Transaksi'!$B$5:$B$5000)/('Input Transaksi'!$B$5:$B$5000="JCL MERPATI"),ROWS($E$5:E774)),"")</f>
        <v/>
      </c>
      <c r="F774" s="5" t="n"/>
    </row>
    <row r="775">
      <c r="A775" s="10">
        <f>IF($E775="","",INDEX('Input Transaksi'!$A:$A,$E775))</f>
        <v/>
      </c>
      <c r="B775" s="5">
        <f>IF($E775="","",INDEX('Input Transaksi'!$D:$D,$E775))</f>
        <v/>
      </c>
      <c r="C775">
        <f>IF($E775="","",INDEX('Input Transaksi'!$E:$E,$E775))</f>
        <v/>
      </c>
      <c r="D775" s="5">
        <f>IF($E775="","",INDEX('Input Transaksi'!$F:$F,$E775))</f>
        <v/>
      </c>
      <c r="E775">
        <f>IFERROR(AGGREGATE(15,6,ROW('Input Transaksi'!$B$5:$B$5000)/('Input Transaksi'!$B$5:$B$5000="JCL MERPATI"),ROWS($E$5:E775)),"")</f>
        <v/>
      </c>
      <c r="F775" s="5" t="n"/>
    </row>
    <row r="776">
      <c r="A776" s="10">
        <f>IF($E776="","",INDEX('Input Transaksi'!$A:$A,$E776))</f>
        <v/>
      </c>
      <c r="B776" s="5">
        <f>IF($E776="","",INDEX('Input Transaksi'!$D:$D,$E776))</f>
        <v/>
      </c>
      <c r="C776">
        <f>IF($E776="","",INDEX('Input Transaksi'!$E:$E,$E776))</f>
        <v/>
      </c>
      <c r="D776" s="5">
        <f>IF($E776="","",INDEX('Input Transaksi'!$F:$F,$E776))</f>
        <v/>
      </c>
      <c r="E776">
        <f>IFERROR(AGGREGATE(15,6,ROW('Input Transaksi'!$B$5:$B$5000)/('Input Transaksi'!$B$5:$B$5000="JCL MERPATI"),ROWS($E$5:E776)),"")</f>
        <v/>
      </c>
      <c r="F776" s="5" t="n"/>
    </row>
    <row r="777">
      <c r="A777" s="10">
        <f>IF($E777="","",INDEX('Input Transaksi'!$A:$A,$E777))</f>
        <v/>
      </c>
      <c r="B777" s="5">
        <f>IF($E777="","",INDEX('Input Transaksi'!$D:$D,$E777))</f>
        <v/>
      </c>
      <c r="C777">
        <f>IF($E777="","",INDEX('Input Transaksi'!$E:$E,$E777))</f>
        <v/>
      </c>
      <c r="D777" s="5">
        <f>IF($E777="","",INDEX('Input Transaksi'!$F:$F,$E777))</f>
        <v/>
      </c>
      <c r="E777">
        <f>IFERROR(AGGREGATE(15,6,ROW('Input Transaksi'!$B$5:$B$5000)/('Input Transaksi'!$B$5:$B$5000="JCL MERPATI"),ROWS($E$5:E777)),"")</f>
        <v/>
      </c>
      <c r="F777" s="5" t="n"/>
    </row>
    <row r="778">
      <c r="A778" s="10">
        <f>IF($E778="","",INDEX('Input Transaksi'!$A:$A,$E778))</f>
        <v/>
      </c>
      <c r="B778" s="5">
        <f>IF($E778="","",INDEX('Input Transaksi'!$D:$D,$E778))</f>
        <v/>
      </c>
      <c r="C778">
        <f>IF($E778="","",INDEX('Input Transaksi'!$E:$E,$E778))</f>
        <v/>
      </c>
      <c r="D778" s="5">
        <f>IF($E778="","",INDEX('Input Transaksi'!$F:$F,$E778))</f>
        <v/>
      </c>
      <c r="E778">
        <f>IFERROR(AGGREGATE(15,6,ROW('Input Transaksi'!$B$5:$B$5000)/('Input Transaksi'!$B$5:$B$5000="JCL MERPATI"),ROWS($E$5:E778)),"")</f>
        <v/>
      </c>
      <c r="F778" s="5" t="n"/>
    </row>
    <row r="779">
      <c r="A779" s="10">
        <f>IF($E779="","",INDEX('Input Transaksi'!$A:$A,$E779))</f>
        <v/>
      </c>
      <c r="B779" s="5">
        <f>IF($E779="","",INDEX('Input Transaksi'!$D:$D,$E779))</f>
        <v/>
      </c>
      <c r="C779">
        <f>IF($E779="","",INDEX('Input Transaksi'!$E:$E,$E779))</f>
        <v/>
      </c>
      <c r="D779" s="5">
        <f>IF($E779="","",INDEX('Input Transaksi'!$F:$F,$E779))</f>
        <v/>
      </c>
      <c r="E779">
        <f>IFERROR(AGGREGATE(15,6,ROW('Input Transaksi'!$B$5:$B$5000)/('Input Transaksi'!$B$5:$B$5000="JCL MERPATI"),ROWS($E$5:E779)),"")</f>
        <v/>
      </c>
      <c r="F779" s="5" t="n"/>
    </row>
    <row r="780">
      <c r="A780" s="10">
        <f>IF($E780="","",INDEX('Input Transaksi'!$A:$A,$E780))</f>
        <v/>
      </c>
      <c r="B780" s="5">
        <f>IF($E780="","",INDEX('Input Transaksi'!$D:$D,$E780))</f>
        <v/>
      </c>
      <c r="C780">
        <f>IF($E780="","",INDEX('Input Transaksi'!$E:$E,$E780))</f>
        <v/>
      </c>
      <c r="D780" s="5">
        <f>IF($E780="","",INDEX('Input Transaksi'!$F:$F,$E780))</f>
        <v/>
      </c>
      <c r="E780">
        <f>IFERROR(AGGREGATE(15,6,ROW('Input Transaksi'!$B$5:$B$5000)/('Input Transaksi'!$B$5:$B$5000="JCL MERPATI"),ROWS($E$5:E780)),"")</f>
        <v/>
      </c>
      <c r="F780" s="5" t="n"/>
    </row>
    <row r="781">
      <c r="A781" s="10">
        <f>IF($E781="","",INDEX('Input Transaksi'!$A:$A,$E781))</f>
        <v/>
      </c>
      <c r="B781" s="5">
        <f>IF($E781="","",INDEX('Input Transaksi'!$D:$D,$E781))</f>
        <v/>
      </c>
      <c r="C781">
        <f>IF($E781="","",INDEX('Input Transaksi'!$E:$E,$E781))</f>
        <v/>
      </c>
      <c r="D781" s="5">
        <f>IF($E781="","",INDEX('Input Transaksi'!$F:$F,$E781))</f>
        <v/>
      </c>
      <c r="E781">
        <f>IFERROR(AGGREGATE(15,6,ROW('Input Transaksi'!$B$5:$B$5000)/('Input Transaksi'!$B$5:$B$5000="JCL MERPATI"),ROWS($E$5:E781)),"")</f>
        <v/>
      </c>
      <c r="F781" s="5" t="n"/>
    </row>
    <row r="782">
      <c r="A782" s="10">
        <f>IF($E782="","",INDEX('Input Transaksi'!$A:$A,$E782))</f>
        <v/>
      </c>
      <c r="B782" s="5">
        <f>IF($E782="","",INDEX('Input Transaksi'!$D:$D,$E782))</f>
        <v/>
      </c>
      <c r="C782">
        <f>IF($E782="","",INDEX('Input Transaksi'!$E:$E,$E782))</f>
        <v/>
      </c>
      <c r="D782" s="5">
        <f>IF($E782="","",INDEX('Input Transaksi'!$F:$F,$E782))</f>
        <v/>
      </c>
      <c r="E782">
        <f>IFERROR(AGGREGATE(15,6,ROW('Input Transaksi'!$B$5:$B$5000)/('Input Transaksi'!$B$5:$B$5000="JCL MERPATI"),ROWS($E$5:E782)),"")</f>
        <v/>
      </c>
      <c r="F782" s="5" t="n"/>
    </row>
    <row r="783">
      <c r="A783" s="10">
        <f>IF($E783="","",INDEX('Input Transaksi'!$A:$A,$E783))</f>
        <v/>
      </c>
      <c r="B783" s="5">
        <f>IF($E783="","",INDEX('Input Transaksi'!$D:$D,$E783))</f>
        <v/>
      </c>
      <c r="C783">
        <f>IF($E783="","",INDEX('Input Transaksi'!$E:$E,$E783))</f>
        <v/>
      </c>
      <c r="D783" s="5">
        <f>IF($E783="","",INDEX('Input Transaksi'!$F:$F,$E783))</f>
        <v/>
      </c>
      <c r="E783">
        <f>IFERROR(AGGREGATE(15,6,ROW('Input Transaksi'!$B$5:$B$5000)/('Input Transaksi'!$B$5:$B$5000="JCL MERPATI"),ROWS($E$5:E783)),"")</f>
        <v/>
      </c>
      <c r="F783" s="5" t="n"/>
    </row>
    <row r="784">
      <c r="A784" s="10">
        <f>IF($E784="","",INDEX('Input Transaksi'!$A:$A,$E784))</f>
        <v/>
      </c>
      <c r="B784" s="5">
        <f>IF($E784="","",INDEX('Input Transaksi'!$D:$D,$E784))</f>
        <v/>
      </c>
      <c r="C784">
        <f>IF($E784="","",INDEX('Input Transaksi'!$E:$E,$E784))</f>
        <v/>
      </c>
      <c r="D784" s="5">
        <f>IF($E784="","",INDEX('Input Transaksi'!$F:$F,$E784))</f>
        <v/>
      </c>
      <c r="E784">
        <f>IFERROR(AGGREGATE(15,6,ROW('Input Transaksi'!$B$5:$B$5000)/('Input Transaksi'!$B$5:$B$5000="JCL MERPATI"),ROWS($E$5:E784)),"")</f>
        <v/>
      </c>
      <c r="F784" s="5" t="n"/>
    </row>
    <row r="785">
      <c r="A785" s="10">
        <f>IF($E785="","",INDEX('Input Transaksi'!$A:$A,$E785))</f>
        <v/>
      </c>
      <c r="B785" s="5">
        <f>IF($E785="","",INDEX('Input Transaksi'!$D:$D,$E785))</f>
        <v/>
      </c>
      <c r="C785">
        <f>IF($E785="","",INDEX('Input Transaksi'!$E:$E,$E785))</f>
        <v/>
      </c>
      <c r="D785" s="5">
        <f>IF($E785="","",INDEX('Input Transaksi'!$F:$F,$E785))</f>
        <v/>
      </c>
      <c r="E785">
        <f>IFERROR(AGGREGATE(15,6,ROW('Input Transaksi'!$B$5:$B$5000)/('Input Transaksi'!$B$5:$B$5000="JCL MERPATI"),ROWS($E$5:E785)),"")</f>
        <v/>
      </c>
      <c r="F785" s="5" t="n"/>
    </row>
    <row r="786">
      <c r="A786" s="10">
        <f>IF($E786="","",INDEX('Input Transaksi'!$A:$A,$E786))</f>
        <v/>
      </c>
      <c r="B786" s="5">
        <f>IF($E786="","",INDEX('Input Transaksi'!$D:$D,$E786))</f>
        <v/>
      </c>
      <c r="C786">
        <f>IF($E786="","",INDEX('Input Transaksi'!$E:$E,$E786))</f>
        <v/>
      </c>
      <c r="D786" s="5">
        <f>IF($E786="","",INDEX('Input Transaksi'!$F:$F,$E786))</f>
        <v/>
      </c>
      <c r="E786">
        <f>IFERROR(AGGREGATE(15,6,ROW('Input Transaksi'!$B$5:$B$5000)/('Input Transaksi'!$B$5:$B$5000="JCL MERPATI"),ROWS($E$5:E786)),"")</f>
        <v/>
      </c>
      <c r="F786" s="5" t="n"/>
    </row>
    <row r="787">
      <c r="A787" s="10">
        <f>IF($E787="","",INDEX('Input Transaksi'!$A:$A,$E787))</f>
        <v/>
      </c>
      <c r="B787" s="5">
        <f>IF($E787="","",INDEX('Input Transaksi'!$D:$D,$E787))</f>
        <v/>
      </c>
      <c r="C787">
        <f>IF($E787="","",INDEX('Input Transaksi'!$E:$E,$E787))</f>
        <v/>
      </c>
      <c r="D787" s="5">
        <f>IF($E787="","",INDEX('Input Transaksi'!$F:$F,$E787))</f>
        <v/>
      </c>
      <c r="E787">
        <f>IFERROR(AGGREGATE(15,6,ROW('Input Transaksi'!$B$5:$B$5000)/('Input Transaksi'!$B$5:$B$5000="JCL MERPATI"),ROWS($E$5:E787)),"")</f>
        <v/>
      </c>
      <c r="F787" s="5" t="n"/>
    </row>
    <row r="788">
      <c r="A788" s="10">
        <f>IF($E788="","",INDEX('Input Transaksi'!$A:$A,$E788))</f>
        <v/>
      </c>
      <c r="B788" s="5">
        <f>IF($E788="","",INDEX('Input Transaksi'!$D:$D,$E788))</f>
        <v/>
      </c>
      <c r="C788">
        <f>IF($E788="","",INDEX('Input Transaksi'!$E:$E,$E788))</f>
        <v/>
      </c>
      <c r="D788" s="5">
        <f>IF($E788="","",INDEX('Input Transaksi'!$F:$F,$E788))</f>
        <v/>
      </c>
      <c r="E788">
        <f>IFERROR(AGGREGATE(15,6,ROW('Input Transaksi'!$B$5:$B$5000)/('Input Transaksi'!$B$5:$B$5000="JCL MERPATI"),ROWS($E$5:E788)),"")</f>
        <v/>
      </c>
      <c r="F788" s="5" t="n"/>
    </row>
    <row r="789">
      <c r="A789" s="10">
        <f>IF($E789="","",INDEX('Input Transaksi'!$A:$A,$E789))</f>
        <v/>
      </c>
      <c r="B789" s="5">
        <f>IF($E789="","",INDEX('Input Transaksi'!$D:$D,$E789))</f>
        <v/>
      </c>
      <c r="C789">
        <f>IF($E789="","",INDEX('Input Transaksi'!$E:$E,$E789))</f>
        <v/>
      </c>
      <c r="D789" s="5">
        <f>IF($E789="","",INDEX('Input Transaksi'!$F:$F,$E789))</f>
        <v/>
      </c>
      <c r="E789">
        <f>IFERROR(AGGREGATE(15,6,ROW('Input Transaksi'!$B$5:$B$5000)/('Input Transaksi'!$B$5:$B$5000="JCL MERPATI"),ROWS($E$5:E789)),"")</f>
        <v/>
      </c>
      <c r="F789" s="5" t="n"/>
    </row>
    <row r="790">
      <c r="A790" s="10">
        <f>IF($E790="","",INDEX('Input Transaksi'!$A:$A,$E790))</f>
        <v/>
      </c>
      <c r="B790" s="5">
        <f>IF($E790="","",INDEX('Input Transaksi'!$D:$D,$E790))</f>
        <v/>
      </c>
      <c r="C790">
        <f>IF($E790="","",INDEX('Input Transaksi'!$E:$E,$E790))</f>
        <v/>
      </c>
      <c r="D790" s="5">
        <f>IF($E790="","",INDEX('Input Transaksi'!$F:$F,$E790))</f>
        <v/>
      </c>
      <c r="E790">
        <f>IFERROR(AGGREGATE(15,6,ROW('Input Transaksi'!$B$5:$B$5000)/('Input Transaksi'!$B$5:$B$5000="JCL MERPATI"),ROWS($E$5:E790)),"")</f>
        <v/>
      </c>
      <c r="F790" s="5" t="n"/>
    </row>
    <row r="791">
      <c r="A791" s="10">
        <f>IF($E791="","",INDEX('Input Transaksi'!$A:$A,$E791))</f>
        <v/>
      </c>
      <c r="B791" s="5">
        <f>IF($E791="","",INDEX('Input Transaksi'!$D:$D,$E791))</f>
        <v/>
      </c>
      <c r="C791">
        <f>IF($E791="","",INDEX('Input Transaksi'!$E:$E,$E791))</f>
        <v/>
      </c>
      <c r="D791" s="5">
        <f>IF($E791="","",INDEX('Input Transaksi'!$F:$F,$E791))</f>
        <v/>
      </c>
      <c r="E791">
        <f>IFERROR(AGGREGATE(15,6,ROW('Input Transaksi'!$B$5:$B$5000)/('Input Transaksi'!$B$5:$B$5000="JCL MERPATI"),ROWS($E$5:E791)),"")</f>
        <v/>
      </c>
      <c r="F791" s="5" t="n"/>
    </row>
    <row r="792">
      <c r="A792" s="10">
        <f>IF($E792="","",INDEX('Input Transaksi'!$A:$A,$E792))</f>
        <v/>
      </c>
      <c r="B792" s="5">
        <f>IF($E792="","",INDEX('Input Transaksi'!$D:$D,$E792))</f>
        <v/>
      </c>
      <c r="C792">
        <f>IF($E792="","",INDEX('Input Transaksi'!$E:$E,$E792))</f>
        <v/>
      </c>
      <c r="D792" s="5">
        <f>IF($E792="","",INDEX('Input Transaksi'!$F:$F,$E792))</f>
        <v/>
      </c>
      <c r="E792">
        <f>IFERROR(AGGREGATE(15,6,ROW('Input Transaksi'!$B$5:$B$5000)/('Input Transaksi'!$B$5:$B$5000="JCL MERPATI"),ROWS($E$5:E792)),"")</f>
        <v/>
      </c>
      <c r="F792" s="5" t="n"/>
    </row>
    <row r="793">
      <c r="A793" s="10">
        <f>IF($E793="","",INDEX('Input Transaksi'!$A:$A,$E793))</f>
        <v/>
      </c>
      <c r="B793" s="5">
        <f>IF($E793="","",INDEX('Input Transaksi'!$D:$D,$E793))</f>
        <v/>
      </c>
      <c r="C793">
        <f>IF($E793="","",INDEX('Input Transaksi'!$E:$E,$E793))</f>
        <v/>
      </c>
      <c r="D793" s="5">
        <f>IF($E793="","",INDEX('Input Transaksi'!$F:$F,$E793))</f>
        <v/>
      </c>
      <c r="E793">
        <f>IFERROR(AGGREGATE(15,6,ROW('Input Transaksi'!$B$5:$B$5000)/('Input Transaksi'!$B$5:$B$5000="JCL MERPATI"),ROWS($E$5:E793)),"")</f>
        <v/>
      </c>
      <c r="F793" s="5" t="n"/>
    </row>
    <row r="794">
      <c r="A794" s="10">
        <f>IF($E794="","",INDEX('Input Transaksi'!$A:$A,$E794))</f>
        <v/>
      </c>
      <c r="B794" s="5">
        <f>IF($E794="","",INDEX('Input Transaksi'!$D:$D,$E794))</f>
        <v/>
      </c>
      <c r="C794">
        <f>IF($E794="","",INDEX('Input Transaksi'!$E:$E,$E794))</f>
        <v/>
      </c>
      <c r="D794" s="5">
        <f>IF($E794="","",INDEX('Input Transaksi'!$F:$F,$E794))</f>
        <v/>
      </c>
      <c r="E794">
        <f>IFERROR(AGGREGATE(15,6,ROW('Input Transaksi'!$B$5:$B$5000)/('Input Transaksi'!$B$5:$B$5000="JCL MERPATI"),ROWS($E$5:E794)),"")</f>
        <v/>
      </c>
      <c r="F794" s="5" t="n"/>
    </row>
    <row r="795">
      <c r="A795" s="10">
        <f>IF($E795="","",INDEX('Input Transaksi'!$A:$A,$E795))</f>
        <v/>
      </c>
      <c r="B795" s="5">
        <f>IF($E795="","",INDEX('Input Transaksi'!$D:$D,$E795))</f>
        <v/>
      </c>
      <c r="C795">
        <f>IF($E795="","",INDEX('Input Transaksi'!$E:$E,$E795))</f>
        <v/>
      </c>
      <c r="D795" s="5">
        <f>IF($E795="","",INDEX('Input Transaksi'!$F:$F,$E795))</f>
        <v/>
      </c>
      <c r="E795">
        <f>IFERROR(AGGREGATE(15,6,ROW('Input Transaksi'!$B$5:$B$5000)/('Input Transaksi'!$B$5:$B$5000="JCL MERPATI"),ROWS($E$5:E795)),"")</f>
        <v/>
      </c>
      <c r="F795" s="5" t="n"/>
    </row>
    <row r="796">
      <c r="A796" s="10">
        <f>IF($E796="","",INDEX('Input Transaksi'!$A:$A,$E796))</f>
        <v/>
      </c>
      <c r="B796" s="5">
        <f>IF($E796="","",INDEX('Input Transaksi'!$D:$D,$E796))</f>
        <v/>
      </c>
      <c r="C796">
        <f>IF($E796="","",INDEX('Input Transaksi'!$E:$E,$E796))</f>
        <v/>
      </c>
      <c r="D796" s="5">
        <f>IF($E796="","",INDEX('Input Transaksi'!$F:$F,$E796))</f>
        <v/>
      </c>
      <c r="E796">
        <f>IFERROR(AGGREGATE(15,6,ROW('Input Transaksi'!$B$5:$B$5000)/('Input Transaksi'!$B$5:$B$5000="JCL MERPATI"),ROWS($E$5:E796)),"")</f>
        <v/>
      </c>
      <c r="F796" s="5" t="n"/>
    </row>
    <row r="797">
      <c r="A797" s="10">
        <f>IF($E797="","",INDEX('Input Transaksi'!$A:$A,$E797))</f>
        <v/>
      </c>
      <c r="B797" s="5">
        <f>IF($E797="","",INDEX('Input Transaksi'!$D:$D,$E797))</f>
        <v/>
      </c>
      <c r="C797">
        <f>IF($E797="","",INDEX('Input Transaksi'!$E:$E,$E797))</f>
        <v/>
      </c>
      <c r="D797" s="5">
        <f>IF($E797="","",INDEX('Input Transaksi'!$F:$F,$E797))</f>
        <v/>
      </c>
      <c r="E797">
        <f>IFERROR(AGGREGATE(15,6,ROW('Input Transaksi'!$B$5:$B$5000)/('Input Transaksi'!$B$5:$B$5000="JCL MERPATI"),ROWS($E$5:E797)),"")</f>
        <v/>
      </c>
      <c r="F797" s="5" t="n"/>
    </row>
    <row r="798">
      <c r="A798" s="10">
        <f>IF($E798="","",INDEX('Input Transaksi'!$A:$A,$E798))</f>
        <v/>
      </c>
      <c r="B798" s="5">
        <f>IF($E798="","",INDEX('Input Transaksi'!$D:$D,$E798))</f>
        <v/>
      </c>
      <c r="C798">
        <f>IF($E798="","",INDEX('Input Transaksi'!$E:$E,$E798))</f>
        <v/>
      </c>
      <c r="D798" s="5">
        <f>IF($E798="","",INDEX('Input Transaksi'!$F:$F,$E798))</f>
        <v/>
      </c>
      <c r="E798">
        <f>IFERROR(AGGREGATE(15,6,ROW('Input Transaksi'!$B$5:$B$5000)/('Input Transaksi'!$B$5:$B$5000="JCL MERPATI"),ROWS($E$5:E798)),"")</f>
        <v/>
      </c>
      <c r="F798" s="5" t="n"/>
    </row>
    <row r="799">
      <c r="A799" s="10">
        <f>IF($E799="","",INDEX('Input Transaksi'!$A:$A,$E799))</f>
        <v/>
      </c>
      <c r="B799" s="5">
        <f>IF($E799="","",INDEX('Input Transaksi'!$D:$D,$E799))</f>
        <v/>
      </c>
      <c r="C799">
        <f>IF($E799="","",INDEX('Input Transaksi'!$E:$E,$E799))</f>
        <v/>
      </c>
      <c r="D799" s="5">
        <f>IF($E799="","",INDEX('Input Transaksi'!$F:$F,$E799))</f>
        <v/>
      </c>
      <c r="E799">
        <f>IFERROR(AGGREGATE(15,6,ROW('Input Transaksi'!$B$5:$B$5000)/('Input Transaksi'!$B$5:$B$5000="JCL MERPATI"),ROWS($E$5:E799)),"")</f>
        <v/>
      </c>
      <c r="F799" s="5" t="n"/>
    </row>
    <row r="800">
      <c r="A800" s="10">
        <f>IF($E800="","",INDEX('Input Transaksi'!$A:$A,$E800))</f>
        <v/>
      </c>
      <c r="B800" s="5">
        <f>IF($E800="","",INDEX('Input Transaksi'!$D:$D,$E800))</f>
        <v/>
      </c>
      <c r="C800">
        <f>IF($E800="","",INDEX('Input Transaksi'!$E:$E,$E800))</f>
        <v/>
      </c>
      <c r="D800" s="5">
        <f>IF($E800="","",INDEX('Input Transaksi'!$F:$F,$E800))</f>
        <v/>
      </c>
      <c r="E800">
        <f>IFERROR(AGGREGATE(15,6,ROW('Input Transaksi'!$B$5:$B$5000)/('Input Transaksi'!$B$5:$B$5000="JCL MERPATI"),ROWS($E$5:E800)),"")</f>
        <v/>
      </c>
      <c r="F800" s="5" t="n"/>
    </row>
    <row r="801">
      <c r="A801" s="10">
        <f>IF($E801="","",INDEX('Input Transaksi'!$A:$A,$E801))</f>
        <v/>
      </c>
      <c r="B801" s="5">
        <f>IF($E801="","",INDEX('Input Transaksi'!$D:$D,$E801))</f>
        <v/>
      </c>
      <c r="C801">
        <f>IF($E801="","",INDEX('Input Transaksi'!$E:$E,$E801))</f>
        <v/>
      </c>
      <c r="D801" s="5">
        <f>IF($E801="","",INDEX('Input Transaksi'!$F:$F,$E801))</f>
        <v/>
      </c>
      <c r="E801">
        <f>IFERROR(AGGREGATE(15,6,ROW('Input Transaksi'!$B$5:$B$5000)/('Input Transaksi'!$B$5:$B$5000="JCL MERPATI"),ROWS($E$5:E801)),"")</f>
        <v/>
      </c>
      <c r="F801" s="5" t="n"/>
    </row>
    <row r="802">
      <c r="A802" s="10">
        <f>IF($E802="","",INDEX('Input Transaksi'!$A:$A,$E802))</f>
        <v/>
      </c>
      <c r="B802" s="5">
        <f>IF($E802="","",INDEX('Input Transaksi'!$D:$D,$E802))</f>
        <v/>
      </c>
      <c r="C802">
        <f>IF($E802="","",INDEX('Input Transaksi'!$E:$E,$E802))</f>
        <v/>
      </c>
      <c r="D802" s="5">
        <f>IF($E802="","",INDEX('Input Transaksi'!$F:$F,$E802))</f>
        <v/>
      </c>
      <c r="E802">
        <f>IFERROR(AGGREGATE(15,6,ROW('Input Transaksi'!$B$5:$B$5000)/('Input Transaksi'!$B$5:$B$5000="JCL MERPATI"),ROWS($E$5:E802)),"")</f>
        <v/>
      </c>
      <c r="F802" s="5" t="n"/>
    </row>
    <row r="803">
      <c r="A803" s="10">
        <f>IF($E803="","",INDEX('Input Transaksi'!$A:$A,$E803))</f>
        <v/>
      </c>
      <c r="B803" s="5">
        <f>IF($E803="","",INDEX('Input Transaksi'!$D:$D,$E803))</f>
        <v/>
      </c>
      <c r="C803">
        <f>IF($E803="","",INDEX('Input Transaksi'!$E:$E,$E803))</f>
        <v/>
      </c>
      <c r="D803" s="5">
        <f>IF($E803="","",INDEX('Input Transaksi'!$F:$F,$E803))</f>
        <v/>
      </c>
      <c r="E803">
        <f>IFERROR(AGGREGATE(15,6,ROW('Input Transaksi'!$B$5:$B$5000)/('Input Transaksi'!$B$5:$B$5000="JCL MERPATI"),ROWS($E$5:E803)),"")</f>
        <v/>
      </c>
      <c r="F803" s="5" t="n"/>
    </row>
    <row r="804">
      <c r="A804" s="10">
        <f>IF($E804="","",INDEX('Input Transaksi'!$A:$A,$E804))</f>
        <v/>
      </c>
      <c r="B804" s="5">
        <f>IF($E804="","",INDEX('Input Transaksi'!$D:$D,$E804))</f>
        <v/>
      </c>
      <c r="C804">
        <f>IF($E804="","",INDEX('Input Transaksi'!$E:$E,$E804))</f>
        <v/>
      </c>
      <c r="D804" s="5">
        <f>IF($E804="","",INDEX('Input Transaksi'!$F:$F,$E804))</f>
        <v/>
      </c>
      <c r="E804">
        <f>IFERROR(AGGREGATE(15,6,ROW('Input Transaksi'!$B$5:$B$5000)/('Input Transaksi'!$B$5:$B$5000="JCL MERPATI"),ROWS($E$5:E804)),"")</f>
        <v/>
      </c>
      <c r="F804" s="5" t="n"/>
    </row>
    <row r="805">
      <c r="A805" s="10">
        <f>IF($E805="","",INDEX('Input Transaksi'!$A:$A,$E805))</f>
        <v/>
      </c>
      <c r="B805" s="5">
        <f>IF($E805="","",INDEX('Input Transaksi'!$D:$D,$E805))</f>
        <v/>
      </c>
      <c r="C805">
        <f>IF($E805="","",INDEX('Input Transaksi'!$E:$E,$E805))</f>
        <v/>
      </c>
      <c r="D805" s="5">
        <f>IF($E805="","",INDEX('Input Transaksi'!$F:$F,$E805))</f>
        <v/>
      </c>
      <c r="E805">
        <f>IFERROR(AGGREGATE(15,6,ROW('Input Transaksi'!$B$5:$B$5000)/('Input Transaksi'!$B$5:$B$5000="JCL MERPATI"),ROWS($E$5:E805)),"")</f>
        <v/>
      </c>
      <c r="F805" s="5" t="n"/>
    </row>
    <row r="806">
      <c r="A806" s="10">
        <f>IF($E806="","",INDEX('Input Transaksi'!$A:$A,$E806))</f>
        <v/>
      </c>
      <c r="B806" s="5">
        <f>IF($E806="","",INDEX('Input Transaksi'!$D:$D,$E806))</f>
        <v/>
      </c>
      <c r="C806">
        <f>IF($E806="","",INDEX('Input Transaksi'!$E:$E,$E806))</f>
        <v/>
      </c>
      <c r="D806" s="5">
        <f>IF($E806="","",INDEX('Input Transaksi'!$F:$F,$E806))</f>
        <v/>
      </c>
      <c r="E806">
        <f>IFERROR(AGGREGATE(15,6,ROW('Input Transaksi'!$B$5:$B$5000)/('Input Transaksi'!$B$5:$B$5000="JCL MERPATI"),ROWS($E$5:E806)),"")</f>
        <v/>
      </c>
      <c r="F806" s="5" t="n"/>
    </row>
    <row r="807">
      <c r="A807" s="10">
        <f>IF($E807="","",INDEX('Input Transaksi'!$A:$A,$E807))</f>
        <v/>
      </c>
      <c r="B807" s="5">
        <f>IF($E807="","",INDEX('Input Transaksi'!$D:$D,$E807))</f>
        <v/>
      </c>
      <c r="C807">
        <f>IF($E807="","",INDEX('Input Transaksi'!$E:$E,$E807))</f>
        <v/>
      </c>
      <c r="D807" s="5">
        <f>IF($E807="","",INDEX('Input Transaksi'!$F:$F,$E807))</f>
        <v/>
      </c>
      <c r="E807">
        <f>IFERROR(AGGREGATE(15,6,ROW('Input Transaksi'!$B$5:$B$5000)/('Input Transaksi'!$B$5:$B$5000="JCL MERPATI"),ROWS($E$5:E807)),"")</f>
        <v/>
      </c>
      <c r="F807" s="5" t="n"/>
    </row>
    <row r="808">
      <c r="A808" s="10">
        <f>IF($E808="","",INDEX('Input Transaksi'!$A:$A,$E808))</f>
        <v/>
      </c>
      <c r="B808" s="5">
        <f>IF($E808="","",INDEX('Input Transaksi'!$D:$D,$E808))</f>
        <v/>
      </c>
      <c r="C808">
        <f>IF($E808="","",INDEX('Input Transaksi'!$E:$E,$E808))</f>
        <v/>
      </c>
      <c r="D808" s="5">
        <f>IF($E808="","",INDEX('Input Transaksi'!$F:$F,$E808))</f>
        <v/>
      </c>
      <c r="E808">
        <f>IFERROR(AGGREGATE(15,6,ROW('Input Transaksi'!$B$5:$B$5000)/('Input Transaksi'!$B$5:$B$5000="JCL MERPATI"),ROWS($E$5:E808)),"")</f>
        <v/>
      </c>
      <c r="F808" s="5" t="n"/>
    </row>
    <row r="809">
      <c r="A809" s="10">
        <f>IF($E809="","",INDEX('Input Transaksi'!$A:$A,$E809))</f>
        <v/>
      </c>
      <c r="B809" s="5">
        <f>IF($E809="","",INDEX('Input Transaksi'!$D:$D,$E809))</f>
        <v/>
      </c>
      <c r="C809">
        <f>IF($E809="","",INDEX('Input Transaksi'!$E:$E,$E809))</f>
        <v/>
      </c>
      <c r="D809" s="5">
        <f>IF($E809="","",INDEX('Input Transaksi'!$F:$F,$E809))</f>
        <v/>
      </c>
      <c r="E809">
        <f>IFERROR(AGGREGATE(15,6,ROW('Input Transaksi'!$B$5:$B$5000)/('Input Transaksi'!$B$5:$B$5000="JCL MERPATI"),ROWS($E$5:E809)),"")</f>
        <v/>
      </c>
      <c r="F809" s="5" t="n"/>
    </row>
    <row r="810">
      <c r="A810" s="10">
        <f>IF($E810="","",INDEX('Input Transaksi'!$A:$A,$E810))</f>
        <v/>
      </c>
      <c r="B810" s="5">
        <f>IF($E810="","",INDEX('Input Transaksi'!$D:$D,$E810))</f>
        <v/>
      </c>
      <c r="C810">
        <f>IF($E810="","",INDEX('Input Transaksi'!$E:$E,$E810))</f>
        <v/>
      </c>
      <c r="D810" s="5">
        <f>IF($E810="","",INDEX('Input Transaksi'!$F:$F,$E810))</f>
        <v/>
      </c>
      <c r="E810">
        <f>IFERROR(AGGREGATE(15,6,ROW('Input Transaksi'!$B$5:$B$5000)/('Input Transaksi'!$B$5:$B$5000="JCL MERPATI"),ROWS($E$5:E810)),"")</f>
        <v/>
      </c>
      <c r="F810" s="5" t="n"/>
    </row>
    <row r="811">
      <c r="A811" s="10">
        <f>IF($E811="","",INDEX('Input Transaksi'!$A:$A,$E811))</f>
        <v/>
      </c>
      <c r="B811" s="5">
        <f>IF($E811="","",INDEX('Input Transaksi'!$D:$D,$E811))</f>
        <v/>
      </c>
      <c r="C811">
        <f>IF($E811="","",INDEX('Input Transaksi'!$E:$E,$E811))</f>
        <v/>
      </c>
      <c r="D811" s="5">
        <f>IF($E811="","",INDEX('Input Transaksi'!$F:$F,$E811))</f>
        <v/>
      </c>
      <c r="E811">
        <f>IFERROR(AGGREGATE(15,6,ROW('Input Transaksi'!$B$5:$B$5000)/('Input Transaksi'!$B$5:$B$5000="JCL MERPATI"),ROWS($E$5:E811)),"")</f>
        <v/>
      </c>
      <c r="F811" s="5" t="n"/>
    </row>
    <row r="812">
      <c r="A812" s="10">
        <f>IF($E812="","",INDEX('Input Transaksi'!$A:$A,$E812))</f>
        <v/>
      </c>
      <c r="B812" s="5">
        <f>IF($E812="","",INDEX('Input Transaksi'!$D:$D,$E812))</f>
        <v/>
      </c>
      <c r="C812">
        <f>IF($E812="","",INDEX('Input Transaksi'!$E:$E,$E812))</f>
        <v/>
      </c>
      <c r="D812" s="5">
        <f>IF($E812="","",INDEX('Input Transaksi'!$F:$F,$E812))</f>
        <v/>
      </c>
      <c r="E812">
        <f>IFERROR(AGGREGATE(15,6,ROW('Input Transaksi'!$B$5:$B$5000)/('Input Transaksi'!$B$5:$B$5000="JCL MERPATI"),ROWS($E$5:E812)),"")</f>
        <v/>
      </c>
      <c r="F812" s="5" t="n"/>
    </row>
    <row r="813">
      <c r="A813" s="10">
        <f>IF($E813="","",INDEX('Input Transaksi'!$A:$A,$E813))</f>
        <v/>
      </c>
      <c r="B813" s="5">
        <f>IF($E813="","",INDEX('Input Transaksi'!$D:$D,$E813))</f>
        <v/>
      </c>
      <c r="C813">
        <f>IF($E813="","",INDEX('Input Transaksi'!$E:$E,$E813))</f>
        <v/>
      </c>
      <c r="D813" s="5">
        <f>IF($E813="","",INDEX('Input Transaksi'!$F:$F,$E813))</f>
        <v/>
      </c>
      <c r="E813">
        <f>IFERROR(AGGREGATE(15,6,ROW('Input Transaksi'!$B$5:$B$5000)/('Input Transaksi'!$B$5:$B$5000="JCL MERPATI"),ROWS($E$5:E813)),"")</f>
        <v/>
      </c>
      <c r="F813" s="5" t="n"/>
    </row>
    <row r="814">
      <c r="A814" s="10">
        <f>IF($E814="","",INDEX('Input Transaksi'!$A:$A,$E814))</f>
        <v/>
      </c>
      <c r="B814" s="5">
        <f>IF($E814="","",INDEX('Input Transaksi'!$D:$D,$E814))</f>
        <v/>
      </c>
      <c r="C814">
        <f>IF($E814="","",INDEX('Input Transaksi'!$E:$E,$E814))</f>
        <v/>
      </c>
      <c r="D814" s="5">
        <f>IF($E814="","",INDEX('Input Transaksi'!$F:$F,$E814))</f>
        <v/>
      </c>
      <c r="E814">
        <f>IFERROR(AGGREGATE(15,6,ROW('Input Transaksi'!$B$5:$B$5000)/('Input Transaksi'!$B$5:$B$5000="JCL MERPATI"),ROWS($E$5:E814)),"")</f>
        <v/>
      </c>
      <c r="F814" s="5" t="n"/>
    </row>
    <row r="815">
      <c r="A815" s="10">
        <f>IF($E815="","",INDEX('Input Transaksi'!$A:$A,$E815))</f>
        <v/>
      </c>
      <c r="B815" s="5">
        <f>IF($E815="","",INDEX('Input Transaksi'!$D:$D,$E815))</f>
        <v/>
      </c>
      <c r="C815">
        <f>IF($E815="","",INDEX('Input Transaksi'!$E:$E,$E815))</f>
        <v/>
      </c>
      <c r="D815" s="5">
        <f>IF($E815="","",INDEX('Input Transaksi'!$F:$F,$E815))</f>
        <v/>
      </c>
      <c r="E815">
        <f>IFERROR(AGGREGATE(15,6,ROW('Input Transaksi'!$B$5:$B$5000)/('Input Transaksi'!$B$5:$B$5000="JCL MERPATI"),ROWS($E$5:E815)),"")</f>
        <v/>
      </c>
      <c r="F815" s="5" t="n"/>
    </row>
    <row r="816">
      <c r="A816" s="10">
        <f>IF($E816="","",INDEX('Input Transaksi'!$A:$A,$E816))</f>
        <v/>
      </c>
      <c r="B816" s="5">
        <f>IF($E816="","",INDEX('Input Transaksi'!$D:$D,$E816))</f>
        <v/>
      </c>
      <c r="C816">
        <f>IF($E816="","",INDEX('Input Transaksi'!$E:$E,$E816))</f>
        <v/>
      </c>
      <c r="D816" s="5">
        <f>IF($E816="","",INDEX('Input Transaksi'!$F:$F,$E816))</f>
        <v/>
      </c>
      <c r="E816">
        <f>IFERROR(AGGREGATE(15,6,ROW('Input Transaksi'!$B$5:$B$5000)/('Input Transaksi'!$B$5:$B$5000="JCL MERPATI"),ROWS($E$5:E816)),"")</f>
        <v/>
      </c>
      <c r="F816" s="5" t="n"/>
    </row>
    <row r="817">
      <c r="A817" s="10">
        <f>IF($E817="","",INDEX('Input Transaksi'!$A:$A,$E817))</f>
        <v/>
      </c>
      <c r="B817" s="5">
        <f>IF($E817="","",INDEX('Input Transaksi'!$D:$D,$E817))</f>
        <v/>
      </c>
      <c r="C817">
        <f>IF($E817="","",INDEX('Input Transaksi'!$E:$E,$E817))</f>
        <v/>
      </c>
      <c r="D817" s="5">
        <f>IF($E817="","",INDEX('Input Transaksi'!$F:$F,$E817))</f>
        <v/>
      </c>
      <c r="E817">
        <f>IFERROR(AGGREGATE(15,6,ROW('Input Transaksi'!$B$5:$B$5000)/('Input Transaksi'!$B$5:$B$5000="JCL MERPATI"),ROWS($E$5:E817)),"")</f>
        <v/>
      </c>
      <c r="F817" s="5" t="n"/>
    </row>
    <row r="818">
      <c r="A818" s="10">
        <f>IF($E818="","",INDEX('Input Transaksi'!$A:$A,$E818))</f>
        <v/>
      </c>
      <c r="B818" s="5">
        <f>IF($E818="","",INDEX('Input Transaksi'!$D:$D,$E818))</f>
        <v/>
      </c>
      <c r="C818">
        <f>IF($E818="","",INDEX('Input Transaksi'!$E:$E,$E818))</f>
        <v/>
      </c>
      <c r="D818" s="5">
        <f>IF($E818="","",INDEX('Input Transaksi'!$F:$F,$E818))</f>
        <v/>
      </c>
      <c r="E818">
        <f>IFERROR(AGGREGATE(15,6,ROW('Input Transaksi'!$B$5:$B$5000)/('Input Transaksi'!$B$5:$B$5000="JCL MERPATI"),ROWS($E$5:E818)),"")</f>
        <v/>
      </c>
      <c r="F818" s="5" t="n"/>
    </row>
    <row r="819">
      <c r="A819" s="10">
        <f>IF($E819="","",INDEX('Input Transaksi'!$A:$A,$E819))</f>
        <v/>
      </c>
      <c r="B819" s="5">
        <f>IF($E819="","",INDEX('Input Transaksi'!$D:$D,$E819))</f>
        <v/>
      </c>
      <c r="C819">
        <f>IF($E819="","",INDEX('Input Transaksi'!$E:$E,$E819))</f>
        <v/>
      </c>
      <c r="D819" s="5">
        <f>IF($E819="","",INDEX('Input Transaksi'!$F:$F,$E819))</f>
        <v/>
      </c>
      <c r="E819">
        <f>IFERROR(AGGREGATE(15,6,ROW('Input Transaksi'!$B$5:$B$5000)/('Input Transaksi'!$B$5:$B$5000="JCL MERPATI"),ROWS($E$5:E819)),"")</f>
        <v/>
      </c>
      <c r="F819" s="5" t="n"/>
    </row>
    <row r="820">
      <c r="A820" s="10">
        <f>IF($E820="","",INDEX('Input Transaksi'!$A:$A,$E820))</f>
        <v/>
      </c>
      <c r="B820" s="5">
        <f>IF($E820="","",INDEX('Input Transaksi'!$D:$D,$E820))</f>
        <v/>
      </c>
      <c r="C820">
        <f>IF($E820="","",INDEX('Input Transaksi'!$E:$E,$E820))</f>
        <v/>
      </c>
      <c r="D820" s="5">
        <f>IF($E820="","",INDEX('Input Transaksi'!$F:$F,$E820))</f>
        <v/>
      </c>
      <c r="E820">
        <f>IFERROR(AGGREGATE(15,6,ROW('Input Transaksi'!$B$5:$B$5000)/('Input Transaksi'!$B$5:$B$5000="JCL MERPATI"),ROWS($E$5:E820)),"")</f>
        <v/>
      </c>
      <c r="F820" s="5" t="n"/>
    </row>
    <row r="821">
      <c r="A821" s="10">
        <f>IF($E821="","",INDEX('Input Transaksi'!$A:$A,$E821))</f>
        <v/>
      </c>
      <c r="B821" s="5">
        <f>IF($E821="","",INDEX('Input Transaksi'!$D:$D,$E821))</f>
        <v/>
      </c>
      <c r="C821">
        <f>IF($E821="","",INDEX('Input Transaksi'!$E:$E,$E821))</f>
        <v/>
      </c>
      <c r="D821" s="5">
        <f>IF($E821="","",INDEX('Input Transaksi'!$F:$F,$E821))</f>
        <v/>
      </c>
      <c r="E821">
        <f>IFERROR(AGGREGATE(15,6,ROW('Input Transaksi'!$B$5:$B$5000)/('Input Transaksi'!$B$5:$B$5000="JCL MERPATI"),ROWS($E$5:E821)),"")</f>
        <v/>
      </c>
      <c r="F821" s="5" t="n"/>
    </row>
    <row r="822">
      <c r="A822" s="10">
        <f>IF($E822="","",INDEX('Input Transaksi'!$A:$A,$E822))</f>
        <v/>
      </c>
      <c r="B822" s="5">
        <f>IF($E822="","",INDEX('Input Transaksi'!$D:$D,$E822))</f>
        <v/>
      </c>
      <c r="C822">
        <f>IF($E822="","",INDEX('Input Transaksi'!$E:$E,$E822))</f>
        <v/>
      </c>
      <c r="D822" s="5">
        <f>IF($E822="","",INDEX('Input Transaksi'!$F:$F,$E822))</f>
        <v/>
      </c>
      <c r="E822">
        <f>IFERROR(AGGREGATE(15,6,ROW('Input Transaksi'!$B$5:$B$5000)/('Input Transaksi'!$B$5:$B$5000="JCL MERPATI"),ROWS($E$5:E822)),"")</f>
        <v/>
      </c>
      <c r="F822" s="5" t="n"/>
    </row>
    <row r="823">
      <c r="A823" s="10">
        <f>IF($E823="","",INDEX('Input Transaksi'!$A:$A,$E823))</f>
        <v/>
      </c>
      <c r="B823" s="5">
        <f>IF($E823="","",INDEX('Input Transaksi'!$D:$D,$E823))</f>
        <v/>
      </c>
      <c r="C823">
        <f>IF($E823="","",INDEX('Input Transaksi'!$E:$E,$E823))</f>
        <v/>
      </c>
      <c r="D823" s="5">
        <f>IF($E823="","",INDEX('Input Transaksi'!$F:$F,$E823))</f>
        <v/>
      </c>
      <c r="E823">
        <f>IFERROR(AGGREGATE(15,6,ROW('Input Transaksi'!$B$5:$B$5000)/('Input Transaksi'!$B$5:$B$5000="JCL MERPATI"),ROWS($E$5:E823)),"")</f>
        <v/>
      </c>
      <c r="F823" s="5" t="n"/>
    </row>
    <row r="824">
      <c r="A824" s="10">
        <f>IF($E824="","",INDEX('Input Transaksi'!$A:$A,$E824))</f>
        <v/>
      </c>
      <c r="B824" s="5">
        <f>IF($E824="","",INDEX('Input Transaksi'!$D:$D,$E824))</f>
        <v/>
      </c>
      <c r="C824">
        <f>IF($E824="","",INDEX('Input Transaksi'!$E:$E,$E824))</f>
        <v/>
      </c>
      <c r="D824" s="5">
        <f>IF($E824="","",INDEX('Input Transaksi'!$F:$F,$E824))</f>
        <v/>
      </c>
      <c r="E824">
        <f>IFERROR(AGGREGATE(15,6,ROW('Input Transaksi'!$B$5:$B$5000)/('Input Transaksi'!$B$5:$B$5000="JCL MERPATI"),ROWS($E$5:E824)),"")</f>
        <v/>
      </c>
      <c r="F824" s="5" t="n"/>
    </row>
    <row r="825">
      <c r="A825" s="10">
        <f>IF($E825="","",INDEX('Input Transaksi'!$A:$A,$E825))</f>
        <v/>
      </c>
      <c r="B825" s="5">
        <f>IF($E825="","",INDEX('Input Transaksi'!$D:$D,$E825))</f>
        <v/>
      </c>
      <c r="C825">
        <f>IF($E825="","",INDEX('Input Transaksi'!$E:$E,$E825))</f>
        <v/>
      </c>
      <c r="D825" s="5">
        <f>IF($E825="","",INDEX('Input Transaksi'!$F:$F,$E825))</f>
        <v/>
      </c>
      <c r="E825">
        <f>IFERROR(AGGREGATE(15,6,ROW('Input Transaksi'!$B$5:$B$5000)/('Input Transaksi'!$B$5:$B$5000="JCL MERPATI"),ROWS($E$5:E825)),"")</f>
        <v/>
      </c>
      <c r="F825" s="5" t="n"/>
    </row>
    <row r="826">
      <c r="A826" s="10">
        <f>IF($E826="","",INDEX('Input Transaksi'!$A:$A,$E826))</f>
        <v/>
      </c>
      <c r="B826" s="5">
        <f>IF($E826="","",INDEX('Input Transaksi'!$D:$D,$E826))</f>
        <v/>
      </c>
      <c r="C826">
        <f>IF($E826="","",INDEX('Input Transaksi'!$E:$E,$E826))</f>
        <v/>
      </c>
      <c r="D826" s="5">
        <f>IF($E826="","",INDEX('Input Transaksi'!$F:$F,$E826))</f>
        <v/>
      </c>
      <c r="E826">
        <f>IFERROR(AGGREGATE(15,6,ROW('Input Transaksi'!$B$5:$B$5000)/('Input Transaksi'!$B$5:$B$5000="JCL MERPATI"),ROWS($E$5:E826)),"")</f>
        <v/>
      </c>
      <c r="F826" s="5" t="n"/>
    </row>
    <row r="827">
      <c r="A827" s="10">
        <f>IF($E827="","",INDEX('Input Transaksi'!$A:$A,$E827))</f>
        <v/>
      </c>
      <c r="B827" s="5">
        <f>IF($E827="","",INDEX('Input Transaksi'!$D:$D,$E827))</f>
        <v/>
      </c>
      <c r="C827">
        <f>IF($E827="","",INDEX('Input Transaksi'!$E:$E,$E827))</f>
        <v/>
      </c>
      <c r="D827" s="5">
        <f>IF($E827="","",INDEX('Input Transaksi'!$F:$F,$E827))</f>
        <v/>
      </c>
      <c r="E827">
        <f>IFERROR(AGGREGATE(15,6,ROW('Input Transaksi'!$B$5:$B$5000)/('Input Transaksi'!$B$5:$B$5000="JCL MERPATI"),ROWS($E$5:E827)),"")</f>
        <v/>
      </c>
      <c r="F827" s="5" t="n"/>
    </row>
    <row r="828">
      <c r="A828" s="10">
        <f>IF($E828="","",INDEX('Input Transaksi'!$A:$A,$E828))</f>
        <v/>
      </c>
      <c r="B828" s="5">
        <f>IF($E828="","",INDEX('Input Transaksi'!$D:$D,$E828))</f>
        <v/>
      </c>
      <c r="C828">
        <f>IF($E828="","",INDEX('Input Transaksi'!$E:$E,$E828))</f>
        <v/>
      </c>
      <c r="D828" s="5">
        <f>IF($E828="","",INDEX('Input Transaksi'!$F:$F,$E828))</f>
        <v/>
      </c>
      <c r="E828">
        <f>IFERROR(AGGREGATE(15,6,ROW('Input Transaksi'!$B$5:$B$5000)/('Input Transaksi'!$B$5:$B$5000="JCL MERPATI"),ROWS($E$5:E828)),"")</f>
        <v/>
      </c>
      <c r="F828" s="5" t="n"/>
    </row>
    <row r="829">
      <c r="A829" s="10">
        <f>IF($E829="","",INDEX('Input Transaksi'!$A:$A,$E829))</f>
        <v/>
      </c>
      <c r="B829" s="5">
        <f>IF($E829="","",INDEX('Input Transaksi'!$D:$D,$E829))</f>
        <v/>
      </c>
      <c r="C829">
        <f>IF($E829="","",INDEX('Input Transaksi'!$E:$E,$E829))</f>
        <v/>
      </c>
      <c r="D829" s="5">
        <f>IF($E829="","",INDEX('Input Transaksi'!$F:$F,$E829))</f>
        <v/>
      </c>
      <c r="E829">
        <f>IFERROR(AGGREGATE(15,6,ROW('Input Transaksi'!$B$5:$B$5000)/('Input Transaksi'!$B$5:$B$5000="JCL MERPATI"),ROWS($E$5:E829)),"")</f>
        <v/>
      </c>
      <c r="F829" s="5" t="n"/>
    </row>
    <row r="830">
      <c r="A830" s="10">
        <f>IF($E830="","",INDEX('Input Transaksi'!$A:$A,$E830))</f>
        <v/>
      </c>
      <c r="B830" s="5">
        <f>IF($E830="","",INDEX('Input Transaksi'!$D:$D,$E830))</f>
        <v/>
      </c>
      <c r="C830">
        <f>IF($E830="","",INDEX('Input Transaksi'!$E:$E,$E830))</f>
        <v/>
      </c>
      <c r="D830" s="5">
        <f>IF($E830="","",INDEX('Input Transaksi'!$F:$F,$E830))</f>
        <v/>
      </c>
      <c r="E830">
        <f>IFERROR(AGGREGATE(15,6,ROW('Input Transaksi'!$B$5:$B$5000)/('Input Transaksi'!$B$5:$B$5000="JCL MERPATI"),ROWS($E$5:E830)),"")</f>
        <v/>
      </c>
      <c r="F830" s="5" t="n"/>
    </row>
    <row r="831">
      <c r="A831" s="10">
        <f>IF($E831="","",INDEX('Input Transaksi'!$A:$A,$E831))</f>
        <v/>
      </c>
      <c r="B831" s="5">
        <f>IF($E831="","",INDEX('Input Transaksi'!$D:$D,$E831))</f>
        <v/>
      </c>
      <c r="C831">
        <f>IF($E831="","",INDEX('Input Transaksi'!$E:$E,$E831))</f>
        <v/>
      </c>
      <c r="D831" s="5">
        <f>IF($E831="","",INDEX('Input Transaksi'!$F:$F,$E831))</f>
        <v/>
      </c>
      <c r="E831">
        <f>IFERROR(AGGREGATE(15,6,ROW('Input Transaksi'!$B$5:$B$5000)/('Input Transaksi'!$B$5:$B$5000="JCL MERPATI"),ROWS($E$5:E831)),"")</f>
        <v/>
      </c>
      <c r="F831" s="5" t="n"/>
    </row>
    <row r="832">
      <c r="A832" s="10">
        <f>IF($E832="","",INDEX('Input Transaksi'!$A:$A,$E832))</f>
        <v/>
      </c>
      <c r="B832" s="5">
        <f>IF($E832="","",INDEX('Input Transaksi'!$D:$D,$E832))</f>
        <v/>
      </c>
      <c r="C832">
        <f>IF($E832="","",INDEX('Input Transaksi'!$E:$E,$E832))</f>
        <v/>
      </c>
      <c r="D832" s="5">
        <f>IF($E832="","",INDEX('Input Transaksi'!$F:$F,$E832))</f>
        <v/>
      </c>
      <c r="E832">
        <f>IFERROR(AGGREGATE(15,6,ROW('Input Transaksi'!$B$5:$B$5000)/('Input Transaksi'!$B$5:$B$5000="JCL MERPATI"),ROWS($E$5:E832)),"")</f>
        <v/>
      </c>
      <c r="F832" s="5" t="n"/>
    </row>
    <row r="833">
      <c r="A833" s="10">
        <f>IF($E833="","",INDEX('Input Transaksi'!$A:$A,$E833))</f>
        <v/>
      </c>
      <c r="B833" s="5">
        <f>IF($E833="","",INDEX('Input Transaksi'!$D:$D,$E833))</f>
        <v/>
      </c>
      <c r="C833">
        <f>IF($E833="","",INDEX('Input Transaksi'!$E:$E,$E833))</f>
        <v/>
      </c>
      <c r="D833" s="5">
        <f>IF($E833="","",INDEX('Input Transaksi'!$F:$F,$E833))</f>
        <v/>
      </c>
      <c r="E833">
        <f>IFERROR(AGGREGATE(15,6,ROW('Input Transaksi'!$B$5:$B$5000)/('Input Transaksi'!$B$5:$B$5000="JCL MERPATI"),ROWS($E$5:E833)),"")</f>
        <v/>
      </c>
      <c r="F833" s="5" t="n"/>
    </row>
    <row r="834">
      <c r="A834" s="10">
        <f>IF($E834="","",INDEX('Input Transaksi'!$A:$A,$E834))</f>
        <v/>
      </c>
      <c r="B834" s="5">
        <f>IF($E834="","",INDEX('Input Transaksi'!$D:$D,$E834))</f>
        <v/>
      </c>
      <c r="C834">
        <f>IF($E834="","",INDEX('Input Transaksi'!$E:$E,$E834))</f>
        <v/>
      </c>
      <c r="D834" s="5">
        <f>IF($E834="","",INDEX('Input Transaksi'!$F:$F,$E834))</f>
        <v/>
      </c>
      <c r="E834">
        <f>IFERROR(AGGREGATE(15,6,ROW('Input Transaksi'!$B$5:$B$5000)/('Input Transaksi'!$B$5:$B$5000="JCL MERPATI"),ROWS($E$5:E834)),"")</f>
        <v/>
      </c>
      <c r="F834" s="5" t="n"/>
    </row>
    <row r="835">
      <c r="A835" s="10">
        <f>IF($E835="","",INDEX('Input Transaksi'!$A:$A,$E835))</f>
        <v/>
      </c>
      <c r="B835" s="5">
        <f>IF($E835="","",INDEX('Input Transaksi'!$D:$D,$E835))</f>
        <v/>
      </c>
      <c r="C835">
        <f>IF($E835="","",INDEX('Input Transaksi'!$E:$E,$E835))</f>
        <v/>
      </c>
      <c r="D835" s="5">
        <f>IF($E835="","",INDEX('Input Transaksi'!$F:$F,$E835))</f>
        <v/>
      </c>
      <c r="E835">
        <f>IFERROR(AGGREGATE(15,6,ROW('Input Transaksi'!$B$5:$B$5000)/('Input Transaksi'!$B$5:$B$5000="JCL MERPATI"),ROWS($E$5:E835)),"")</f>
        <v/>
      </c>
      <c r="F835" s="5" t="n"/>
    </row>
    <row r="836">
      <c r="A836" s="10">
        <f>IF($E836="","",INDEX('Input Transaksi'!$A:$A,$E836))</f>
        <v/>
      </c>
      <c r="B836" s="5">
        <f>IF($E836="","",INDEX('Input Transaksi'!$D:$D,$E836))</f>
        <v/>
      </c>
      <c r="C836">
        <f>IF($E836="","",INDEX('Input Transaksi'!$E:$E,$E836))</f>
        <v/>
      </c>
      <c r="D836" s="5">
        <f>IF($E836="","",INDEX('Input Transaksi'!$F:$F,$E836))</f>
        <v/>
      </c>
      <c r="E836">
        <f>IFERROR(AGGREGATE(15,6,ROW('Input Transaksi'!$B$5:$B$5000)/('Input Transaksi'!$B$5:$B$5000="JCL MERPATI"),ROWS($E$5:E836)),"")</f>
        <v/>
      </c>
      <c r="F836" s="5" t="n"/>
    </row>
    <row r="837">
      <c r="A837" s="10">
        <f>IF($E837="","",INDEX('Input Transaksi'!$A:$A,$E837))</f>
        <v/>
      </c>
      <c r="B837" s="5">
        <f>IF($E837="","",INDEX('Input Transaksi'!$D:$D,$E837))</f>
        <v/>
      </c>
      <c r="C837">
        <f>IF($E837="","",INDEX('Input Transaksi'!$E:$E,$E837))</f>
        <v/>
      </c>
      <c r="D837" s="5">
        <f>IF($E837="","",INDEX('Input Transaksi'!$F:$F,$E837))</f>
        <v/>
      </c>
      <c r="E837">
        <f>IFERROR(AGGREGATE(15,6,ROW('Input Transaksi'!$B$5:$B$5000)/('Input Transaksi'!$B$5:$B$5000="JCL MERPATI"),ROWS($E$5:E837)),"")</f>
        <v/>
      </c>
      <c r="F837" s="5" t="n"/>
    </row>
    <row r="838">
      <c r="A838" s="10">
        <f>IF($E838="","",INDEX('Input Transaksi'!$A:$A,$E838))</f>
        <v/>
      </c>
      <c r="B838" s="5">
        <f>IF($E838="","",INDEX('Input Transaksi'!$D:$D,$E838))</f>
        <v/>
      </c>
      <c r="C838">
        <f>IF($E838="","",INDEX('Input Transaksi'!$E:$E,$E838))</f>
        <v/>
      </c>
      <c r="D838" s="5">
        <f>IF($E838="","",INDEX('Input Transaksi'!$F:$F,$E838))</f>
        <v/>
      </c>
      <c r="E838">
        <f>IFERROR(AGGREGATE(15,6,ROW('Input Transaksi'!$B$5:$B$5000)/('Input Transaksi'!$B$5:$B$5000="JCL MERPATI"),ROWS($E$5:E838)),"")</f>
        <v/>
      </c>
      <c r="F838" s="5" t="n"/>
    </row>
    <row r="839">
      <c r="A839" s="10">
        <f>IF($E839="","",INDEX('Input Transaksi'!$A:$A,$E839))</f>
        <v/>
      </c>
      <c r="B839" s="5">
        <f>IF($E839="","",INDEX('Input Transaksi'!$D:$D,$E839))</f>
        <v/>
      </c>
      <c r="C839">
        <f>IF($E839="","",INDEX('Input Transaksi'!$E:$E,$E839))</f>
        <v/>
      </c>
      <c r="D839" s="5">
        <f>IF($E839="","",INDEX('Input Transaksi'!$F:$F,$E839))</f>
        <v/>
      </c>
      <c r="E839">
        <f>IFERROR(AGGREGATE(15,6,ROW('Input Transaksi'!$B$5:$B$5000)/('Input Transaksi'!$B$5:$B$5000="JCL MERPATI"),ROWS($E$5:E839)),"")</f>
        <v/>
      </c>
      <c r="F839" s="5" t="n"/>
    </row>
    <row r="840">
      <c r="A840" s="10">
        <f>IF($E840="","",INDEX('Input Transaksi'!$A:$A,$E840))</f>
        <v/>
      </c>
      <c r="B840" s="5">
        <f>IF($E840="","",INDEX('Input Transaksi'!$D:$D,$E840))</f>
        <v/>
      </c>
      <c r="C840">
        <f>IF($E840="","",INDEX('Input Transaksi'!$E:$E,$E840))</f>
        <v/>
      </c>
      <c r="D840" s="5">
        <f>IF($E840="","",INDEX('Input Transaksi'!$F:$F,$E840))</f>
        <v/>
      </c>
      <c r="E840">
        <f>IFERROR(AGGREGATE(15,6,ROW('Input Transaksi'!$B$5:$B$5000)/('Input Transaksi'!$B$5:$B$5000="JCL MERPATI"),ROWS($E$5:E840)),"")</f>
        <v/>
      </c>
      <c r="F840" s="5" t="n"/>
    </row>
    <row r="841">
      <c r="A841" s="10">
        <f>IF($E841="","",INDEX('Input Transaksi'!$A:$A,$E841))</f>
        <v/>
      </c>
      <c r="B841" s="5">
        <f>IF($E841="","",INDEX('Input Transaksi'!$D:$D,$E841))</f>
        <v/>
      </c>
      <c r="C841">
        <f>IF($E841="","",INDEX('Input Transaksi'!$E:$E,$E841))</f>
        <v/>
      </c>
      <c r="D841" s="5">
        <f>IF($E841="","",INDEX('Input Transaksi'!$F:$F,$E841))</f>
        <v/>
      </c>
      <c r="E841">
        <f>IFERROR(AGGREGATE(15,6,ROW('Input Transaksi'!$B$5:$B$5000)/('Input Transaksi'!$B$5:$B$5000="JCL MERPATI"),ROWS($E$5:E841)),"")</f>
        <v/>
      </c>
      <c r="F841" s="5" t="n"/>
    </row>
    <row r="842">
      <c r="A842" s="10">
        <f>IF($E842="","",INDEX('Input Transaksi'!$A:$A,$E842))</f>
        <v/>
      </c>
      <c r="B842" s="5">
        <f>IF($E842="","",INDEX('Input Transaksi'!$D:$D,$E842))</f>
        <v/>
      </c>
      <c r="C842">
        <f>IF($E842="","",INDEX('Input Transaksi'!$E:$E,$E842))</f>
        <v/>
      </c>
      <c r="D842" s="5">
        <f>IF($E842="","",INDEX('Input Transaksi'!$F:$F,$E842))</f>
        <v/>
      </c>
      <c r="E842">
        <f>IFERROR(AGGREGATE(15,6,ROW('Input Transaksi'!$B$5:$B$5000)/('Input Transaksi'!$B$5:$B$5000="JCL MERPATI"),ROWS($E$5:E842)),"")</f>
        <v/>
      </c>
      <c r="F842" s="5" t="n"/>
    </row>
    <row r="843">
      <c r="A843" s="10">
        <f>IF($E843="","",INDEX('Input Transaksi'!$A:$A,$E843))</f>
        <v/>
      </c>
      <c r="B843" s="5">
        <f>IF($E843="","",INDEX('Input Transaksi'!$D:$D,$E843))</f>
        <v/>
      </c>
      <c r="C843">
        <f>IF($E843="","",INDEX('Input Transaksi'!$E:$E,$E843))</f>
        <v/>
      </c>
      <c r="D843" s="5">
        <f>IF($E843="","",INDEX('Input Transaksi'!$F:$F,$E843))</f>
        <v/>
      </c>
      <c r="E843">
        <f>IFERROR(AGGREGATE(15,6,ROW('Input Transaksi'!$B$5:$B$5000)/('Input Transaksi'!$B$5:$B$5000="JCL MERPATI"),ROWS($E$5:E843)),"")</f>
        <v/>
      </c>
      <c r="F843" s="5" t="n"/>
    </row>
    <row r="844">
      <c r="A844" s="10">
        <f>IF($E844="","",INDEX('Input Transaksi'!$A:$A,$E844))</f>
        <v/>
      </c>
      <c r="B844" s="5">
        <f>IF($E844="","",INDEX('Input Transaksi'!$D:$D,$E844))</f>
        <v/>
      </c>
      <c r="C844">
        <f>IF($E844="","",INDEX('Input Transaksi'!$E:$E,$E844))</f>
        <v/>
      </c>
      <c r="D844" s="5">
        <f>IF($E844="","",INDEX('Input Transaksi'!$F:$F,$E844))</f>
        <v/>
      </c>
      <c r="E844">
        <f>IFERROR(AGGREGATE(15,6,ROW('Input Transaksi'!$B$5:$B$5000)/('Input Transaksi'!$B$5:$B$5000="JCL MERPATI"),ROWS($E$5:E844)),"")</f>
        <v/>
      </c>
      <c r="F844" s="5" t="n"/>
    </row>
    <row r="845">
      <c r="A845" s="10">
        <f>IF($E845="","",INDEX('Input Transaksi'!$A:$A,$E845))</f>
        <v/>
      </c>
      <c r="B845" s="5">
        <f>IF($E845="","",INDEX('Input Transaksi'!$D:$D,$E845))</f>
        <v/>
      </c>
      <c r="C845">
        <f>IF($E845="","",INDEX('Input Transaksi'!$E:$E,$E845))</f>
        <v/>
      </c>
      <c r="D845" s="5">
        <f>IF($E845="","",INDEX('Input Transaksi'!$F:$F,$E845))</f>
        <v/>
      </c>
      <c r="E845">
        <f>IFERROR(AGGREGATE(15,6,ROW('Input Transaksi'!$B$5:$B$5000)/('Input Transaksi'!$B$5:$B$5000="JCL MERPATI"),ROWS($E$5:E845)),"")</f>
        <v/>
      </c>
      <c r="F845" s="5" t="n"/>
    </row>
    <row r="846">
      <c r="A846" s="10">
        <f>IF($E846="","",INDEX('Input Transaksi'!$A:$A,$E846))</f>
        <v/>
      </c>
      <c r="B846" s="5">
        <f>IF($E846="","",INDEX('Input Transaksi'!$D:$D,$E846))</f>
        <v/>
      </c>
      <c r="C846">
        <f>IF($E846="","",INDEX('Input Transaksi'!$E:$E,$E846))</f>
        <v/>
      </c>
      <c r="D846" s="5">
        <f>IF($E846="","",INDEX('Input Transaksi'!$F:$F,$E846))</f>
        <v/>
      </c>
      <c r="E846">
        <f>IFERROR(AGGREGATE(15,6,ROW('Input Transaksi'!$B$5:$B$5000)/('Input Transaksi'!$B$5:$B$5000="JCL MERPATI"),ROWS($E$5:E846)),"")</f>
        <v/>
      </c>
      <c r="F846" s="5" t="n"/>
    </row>
    <row r="847">
      <c r="A847" s="10">
        <f>IF($E847="","",INDEX('Input Transaksi'!$A:$A,$E847))</f>
        <v/>
      </c>
      <c r="B847" s="5">
        <f>IF($E847="","",INDEX('Input Transaksi'!$D:$D,$E847))</f>
        <v/>
      </c>
      <c r="C847">
        <f>IF($E847="","",INDEX('Input Transaksi'!$E:$E,$E847))</f>
        <v/>
      </c>
      <c r="D847" s="5">
        <f>IF($E847="","",INDEX('Input Transaksi'!$F:$F,$E847))</f>
        <v/>
      </c>
      <c r="E847">
        <f>IFERROR(AGGREGATE(15,6,ROW('Input Transaksi'!$B$5:$B$5000)/('Input Transaksi'!$B$5:$B$5000="JCL MERPATI"),ROWS($E$5:E847)),"")</f>
        <v/>
      </c>
      <c r="F847" s="5" t="n"/>
    </row>
    <row r="848">
      <c r="A848" s="10">
        <f>IF($E848="","",INDEX('Input Transaksi'!$A:$A,$E848))</f>
        <v/>
      </c>
      <c r="B848" s="5">
        <f>IF($E848="","",INDEX('Input Transaksi'!$D:$D,$E848))</f>
        <v/>
      </c>
      <c r="C848">
        <f>IF($E848="","",INDEX('Input Transaksi'!$E:$E,$E848))</f>
        <v/>
      </c>
      <c r="D848" s="5">
        <f>IF($E848="","",INDEX('Input Transaksi'!$F:$F,$E848))</f>
        <v/>
      </c>
      <c r="E848">
        <f>IFERROR(AGGREGATE(15,6,ROW('Input Transaksi'!$B$5:$B$5000)/('Input Transaksi'!$B$5:$B$5000="JCL MERPATI"),ROWS($E$5:E848)),"")</f>
        <v/>
      </c>
      <c r="F848" s="5" t="n"/>
    </row>
    <row r="849">
      <c r="A849" s="10">
        <f>IF($E849="","",INDEX('Input Transaksi'!$A:$A,$E849))</f>
        <v/>
      </c>
      <c r="B849" s="5">
        <f>IF($E849="","",INDEX('Input Transaksi'!$D:$D,$E849))</f>
        <v/>
      </c>
      <c r="C849">
        <f>IF($E849="","",INDEX('Input Transaksi'!$E:$E,$E849))</f>
        <v/>
      </c>
      <c r="D849" s="5">
        <f>IF($E849="","",INDEX('Input Transaksi'!$F:$F,$E849))</f>
        <v/>
      </c>
      <c r="E849">
        <f>IFERROR(AGGREGATE(15,6,ROW('Input Transaksi'!$B$5:$B$5000)/('Input Transaksi'!$B$5:$B$5000="JCL MERPATI"),ROWS($E$5:E849)),"")</f>
        <v/>
      </c>
      <c r="F849" s="5" t="n"/>
    </row>
    <row r="850">
      <c r="A850" s="10">
        <f>IF($E850="","",INDEX('Input Transaksi'!$A:$A,$E850))</f>
        <v/>
      </c>
      <c r="B850" s="5">
        <f>IF($E850="","",INDEX('Input Transaksi'!$D:$D,$E850))</f>
        <v/>
      </c>
      <c r="C850">
        <f>IF($E850="","",INDEX('Input Transaksi'!$E:$E,$E850))</f>
        <v/>
      </c>
      <c r="D850" s="5">
        <f>IF($E850="","",INDEX('Input Transaksi'!$F:$F,$E850))</f>
        <v/>
      </c>
      <c r="E850">
        <f>IFERROR(AGGREGATE(15,6,ROW('Input Transaksi'!$B$5:$B$5000)/('Input Transaksi'!$B$5:$B$5000="JCL MERPATI"),ROWS($E$5:E850)),"")</f>
        <v/>
      </c>
      <c r="F850" s="5" t="n"/>
    </row>
    <row r="851">
      <c r="A851" s="10">
        <f>IF($E851="","",INDEX('Input Transaksi'!$A:$A,$E851))</f>
        <v/>
      </c>
      <c r="B851" s="5">
        <f>IF($E851="","",INDEX('Input Transaksi'!$D:$D,$E851))</f>
        <v/>
      </c>
      <c r="C851">
        <f>IF($E851="","",INDEX('Input Transaksi'!$E:$E,$E851))</f>
        <v/>
      </c>
      <c r="D851" s="5">
        <f>IF($E851="","",INDEX('Input Transaksi'!$F:$F,$E851))</f>
        <v/>
      </c>
      <c r="E851">
        <f>IFERROR(AGGREGATE(15,6,ROW('Input Transaksi'!$B$5:$B$5000)/('Input Transaksi'!$B$5:$B$5000="JCL MERPATI"),ROWS($E$5:E851)),"")</f>
        <v/>
      </c>
      <c r="F851" s="5" t="n"/>
    </row>
    <row r="852">
      <c r="A852" s="10">
        <f>IF($E852="","",INDEX('Input Transaksi'!$A:$A,$E852))</f>
        <v/>
      </c>
      <c r="B852" s="5">
        <f>IF($E852="","",INDEX('Input Transaksi'!$D:$D,$E852))</f>
        <v/>
      </c>
      <c r="C852">
        <f>IF($E852="","",INDEX('Input Transaksi'!$E:$E,$E852))</f>
        <v/>
      </c>
      <c r="D852" s="5">
        <f>IF($E852="","",INDEX('Input Transaksi'!$F:$F,$E852))</f>
        <v/>
      </c>
      <c r="E852">
        <f>IFERROR(AGGREGATE(15,6,ROW('Input Transaksi'!$B$5:$B$5000)/('Input Transaksi'!$B$5:$B$5000="JCL MERPATI"),ROWS($E$5:E852)),"")</f>
        <v/>
      </c>
      <c r="F852" s="5" t="n"/>
    </row>
    <row r="853">
      <c r="A853" s="10">
        <f>IF($E853="","",INDEX('Input Transaksi'!$A:$A,$E853))</f>
        <v/>
      </c>
      <c r="B853" s="5">
        <f>IF($E853="","",INDEX('Input Transaksi'!$D:$D,$E853))</f>
        <v/>
      </c>
      <c r="C853">
        <f>IF($E853="","",INDEX('Input Transaksi'!$E:$E,$E853))</f>
        <v/>
      </c>
      <c r="D853" s="5">
        <f>IF($E853="","",INDEX('Input Transaksi'!$F:$F,$E853))</f>
        <v/>
      </c>
      <c r="E853">
        <f>IFERROR(AGGREGATE(15,6,ROW('Input Transaksi'!$B$5:$B$5000)/('Input Transaksi'!$B$5:$B$5000="JCL MERPATI"),ROWS($E$5:E853)),"")</f>
        <v/>
      </c>
      <c r="F853" s="5" t="n"/>
    </row>
    <row r="854">
      <c r="A854" s="10">
        <f>IF($E854="","",INDEX('Input Transaksi'!$A:$A,$E854))</f>
        <v/>
      </c>
      <c r="B854" s="5">
        <f>IF($E854="","",INDEX('Input Transaksi'!$D:$D,$E854))</f>
        <v/>
      </c>
      <c r="C854">
        <f>IF($E854="","",INDEX('Input Transaksi'!$E:$E,$E854))</f>
        <v/>
      </c>
      <c r="D854" s="5">
        <f>IF($E854="","",INDEX('Input Transaksi'!$F:$F,$E854))</f>
        <v/>
      </c>
      <c r="E854">
        <f>IFERROR(AGGREGATE(15,6,ROW('Input Transaksi'!$B$5:$B$5000)/('Input Transaksi'!$B$5:$B$5000="JCL MERPATI"),ROWS($E$5:E854)),"")</f>
        <v/>
      </c>
      <c r="F854" s="5" t="n"/>
    </row>
    <row r="855">
      <c r="A855" s="10">
        <f>IF($E855="","",INDEX('Input Transaksi'!$A:$A,$E855))</f>
        <v/>
      </c>
      <c r="B855" s="5">
        <f>IF($E855="","",INDEX('Input Transaksi'!$D:$D,$E855))</f>
        <v/>
      </c>
      <c r="C855">
        <f>IF($E855="","",INDEX('Input Transaksi'!$E:$E,$E855))</f>
        <v/>
      </c>
      <c r="D855" s="5">
        <f>IF($E855="","",INDEX('Input Transaksi'!$F:$F,$E855))</f>
        <v/>
      </c>
      <c r="E855">
        <f>IFERROR(AGGREGATE(15,6,ROW('Input Transaksi'!$B$5:$B$5000)/('Input Transaksi'!$B$5:$B$5000="JCL MERPATI"),ROWS($E$5:E855)),"")</f>
        <v/>
      </c>
      <c r="F855" s="5" t="n"/>
    </row>
    <row r="856">
      <c r="A856" s="10">
        <f>IF($E856="","",INDEX('Input Transaksi'!$A:$A,$E856))</f>
        <v/>
      </c>
      <c r="B856" s="5">
        <f>IF($E856="","",INDEX('Input Transaksi'!$D:$D,$E856))</f>
        <v/>
      </c>
      <c r="C856">
        <f>IF($E856="","",INDEX('Input Transaksi'!$E:$E,$E856))</f>
        <v/>
      </c>
      <c r="D856" s="5">
        <f>IF($E856="","",INDEX('Input Transaksi'!$F:$F,$E856))</f>
        <v/>
      </c>
      <c r="E856">
        <f>IFERROR(AGGREGATE(15,6,ROW('Input Transaksi'!$B$5:$B$5000)/('Input Transaksi'!$B$5:$B$5000="JCL MERPATI"),ROWS($E$5:E856)),"")</f>
        <v/>
      </c>
      <c r="F856" s="5" t="n"/>
    </row>
    <row r="857">
      <c r="A857" s="10">
        <f>IF($E857="","",INDEX('Input Transaksi'!$A:$A,$E857))</f>
        <v/>
      </c>
      <c r="B857" s="5">
        <f>IF($E857="","",INDEX('Input Transaksi'!$D:$D,$E857))</f>
        <v/>
      </c>
      <c r="C857">
        <f>IF($E857="","",INDEX('Input Transaksi'!$E:$E,$E857))</f>
        <v/>
      </c>
      <c r="D857" s="5">
        <f>IF($E857="","",INDEX('Input Transaksi'!$F:$F,$E857))</f>
        <v/>
      </c>
      <c r="E857">
        <f>IFERROR(AGGREGATE(15,6,ROW('Input Transaksi'!$B$5:$B$5000)/('Input Transaksi'!$B$5:$B$5000="JCL MERPATI"),ROWS($E$5:E857)),"")</f>
        <v/>
      </c>
      <c r="F857" s="5" t="n"/>
    </row>
    <row r="858">
      <c r="A858" s="10">
        <f>IF($E858="","",INDEX('Input Transaksi'!$A:$A,$E858))</f>
        <v/>
      </c>
      <c r="B858" s="5">
        <f>IF($E858="","",INDEX('Input Transaksi'!$D:$D,$E858))</f>
        <v/>
      </c>
      <c r="C858">
        <f>IF($E858="","",INDEX('Input Transaksi'!$E:$E,$E858))</f>
        <v/>
      </c>
      <c r="D858" s="5">
        <f>IF($E858="","",INDEX('Input Transaksi'!$F:$F,$E858))</f>
        <v/>
      </c>
      <c r="E858">
        <f>IFERROR(AGGREGATE(15,6,ROW('Input Transaksi'!$B$5:$B$5000)/('Input Transaksi'!$B$5:$B$5000="JCL MERPATI"),ROWS($E$5:E858)),"")</f>
        <v/>
      </c>
      <c r="F858" s="5" t="n"/>
    </row>
    <row r="859">
      <c r="A859" s="10">
        <f>IF($E859="","",INDEX('Input Transaksi'!$A:$A,$E859))</f>
        <v/>
      </c>
      <c r="B859" s="5">
        <f>IF($E859="","",INDEX('Input Transaksi'!$D:$D,$E859))</f>
        <v/>
      </c>
      <c r="C859">
        <f>IF($E859="","",INDEX('Input Transaksi'!$E:$E,$E859))</f>
        <v/>
      </c>
      <c r="D859" s="5">
        <f>IF($E859="","",INDEX('Input Transaksi'!$F:$F,$E859))</f>
        <v/>
      </c>
      <c r="E859">
        <f>IFERROR(AGGREGATE(15,6,ROW('Input Transaksi'!$B$5:$B$5000)/('Input Transaksi'!$B$5:$B$5000="JCL MERPATI"),ROWS($E$5:E859)),"")</f>
        <v/>
      </c>
      <c r="F859" s="5" t="n"/>
    </row>
    <row r="860">
      <c r="A860" s="10">
        <f>IF($E860="","",INDEX('Input Transaksi'!$A:$A,$E860))</f>
        <v/>
      </c>
      <c r="B860" s="5">
        <f>IF($E860="","",INDEX('Input Transaksi'!$D:$D,$E860))</f>
        <v/>
      </c>
      <c r="C860">
        <f>IF($E860="","",INDEX('Input Transaksi'!$E:$E,$E860))</f>
        <v/>
      </c>
      <c r="D860" s="5">
        <f>IF($E860="","",INDEX('Input Transaksi'!$F:$F,$E860))</f>
        <v/>
      </c>
      <c r="E860">
        <f>IFERROR(AGGREGATE(15,6,ROW('Input Transaksi'!$B$5:$B$5000)/('Input Transaksi'!$B$5:$B$5000="JCL MERPATI"),ROWS($E$5:E860)),"")</f>
        <v/>
      </c>
      <c r="F860" s="5" t="n"/>
    </row>
    <row r="861">
      <c r="A861" s="10">
        <f>IF($E861="","",INDEX('Input Transaksi'!$A:$A,$E861))</f>
        <v/>
      </c>
      <c r="B861" s="5">
        <f>IF($E861="","",INDEX('Input Transaksi'!$D:$D,$E861))</f>
        <v/>
      </c>
      <c r="C861">
        <f>IF($E861="","",INDEX('Input Transaksi'!$E:$E,$E861))</f>
        <v/>
      </c>
      <c r="D861" s="5">
        <f>IF($E861="","",INDEX('Input Transaksi'!$F:$F,$E861))</f>
        <v/>
      </c>
      <c r="E861">
        <f>IFERROR(AGGREGATE(15,6,ROW('Input Transaksi'!$B$5:$B$5000)/('Input Transaksi'!$B$5:$B$5000="JCL MERPATI"),ROWS($E$5:E861)),"")</f>
        <v/>
      </c>
      <c r="F861" s="5" t="n"/>
    </row>
    <row r="862">
      <c r="A862" s="10">
        <f>IF($E862="","",INDEX('Input Transaksi'!$A:$A,$E862))</f>
        <v/>
      </c>
      <c r="B862" s="5">
        <f>IF($E862="","",INDEX('Input Transaksi'!$D:$D,$E862))</f>
        <v/>
      </c>
      <c r="C862">
        <f>IF($E862="","",INDEX('Input Transaksi'!$E:$E,$E862))</f>
        <v/>
      </c>
      <c r="D862" s="5">
        <f>IF($E862="","",INDEX('Input Transaksi'!$F:$F,$E862))</f>
        <v/>
      </c>
      <c r="E862">
        <f>IFERROR(AGGREGATE(15,6,ROW('Input Transaksi'!$B$5:$B$5000)/('Input Transaksi'!$B$5:$B$5000="JCL MERPATI"),ROWS($E$5:E862)),"")</f>
        <v/>
      </c>
      <c r="F862" s="5" t="n"/>
    </row>
    <row r="863">
      <c r="A863" s="10">
        <f>IF($E863="","",INDEX('Input Transaksi'!$A:$A,$E863))</f>
        <v/>
      </c>
      <c r="B863" s="5">
        <f>IF($E863="","",INDEX('Input Transaksi'!$D:$D,$E863))</f>
        <v/>
      </c>
      <c r="C863">
        <f>IF($E863="","",INDEX('Input Transaksi'!$E:$E,$E863))</f>
        <v/>
      </c>
      <c r="D863" s="5">
        <f>IF($E863="","",INDEX('Input Transaksi'!$F:$F,$E863))</f>
        <v/>
      </c>
      <c r="E863">
        <f>IFERROR(AGGREGATE(15,6,ROW('Input Transaksi'!$B$5:$B$5000)/('Input Transaksi'!$B$5:$B$5000="JCL MERPATI"),ROWS($E$5:E863)),"")</f>
        <v/>
      </c>
      <c r="F863" s="5" t="n"/>
    </row>
    <row r="864">
      <c r="A864" s="10">
        <f>IF($E864="","",INDEX('Input Transaksi'!$A:$A,$E864))</f>
        <v/>
      </c>
      <c r="B864" s="5">
        <f>IF($E864="","",INDEX('Input Transaksi'!$D:$D,$E864))</f>
        <v/>
      </c>
      <c r="C864">
        <f>IF($E864="","",INDEX('Input Transaksi'!$E:$E,$E864))</f>
        <v/>
      </c>
      <c r="D864" s="5">
        <f>IF($E864="","",INDEX('Input Transaksi'!$F:$F,$E864))</f>
        <v/>
      </c>
      <c r="E864">
        <f>IFERROR(AGGREGATE(15,6,ROW('Input Transaksi'!$B$5:$B$5000)/('Input Transaksi'!$B$5:$B$5000="JCL MERPATI"),ROWS($E$5:E864)),"")</f>
        <v/>
      </c>
      <c r="F864" s="5" t="n"/>
    </row>
    <row r="865">
      <c r="A865" s="10">
        <f>IF($E865="","",INDEX('Input Transaksi'!$A:$A,$E865))</f>
        <v/>
      </c>
      <c r="B865" s="5">
        <f>IF($E865="","",INDEX('Input Transaksi'!$D:$D,$E865))</f>
        <v/>
      </c>
      <c r="C865">
        <f>IF($E865="","",INDEX('Input Transaksi'!$E:$E,$E865))</f>
        <v/>
      </c>
      <c r="D865" s="5">
        <f>IF($E865="","",INDEX('Input Transaksi'!$F:$F,$E865))</f>
        <v/>
      </c>
      <c r="E865">
        <f>IFERROR(AGGREGATE(15,6,ROW('Input Transaksi'!$B$5:$B$5000)/('Input Transaksi'!$B$5:$B$5000="JCL MERPATI"),ROWS($E$5:E865)),"")</f>
        <v/>
      </c>
      <c r="F865" s="5" t="n"/>
    </row>
    <row r="866">
      <c r="A866" s="10">
        <f>IF($E866="","",INDEX('Input Transaksi'!$A:$A,$E866))</f>
        <v/>
      </c>
      <c r="B866" s="5">
        <f>IF($E866="","",INDEX('Input Transaksi'!$D:$D,$E866))</f>
        <v/>
      </c>
      <c r="C866">
        <f>IF($E866="","",INDEX('Input Transaksi'!$E:$E,$E866))</f>
        <v/>
      </c>
      <c r="D866" s="5">
        <f>IF($E866="","",INDEX('Input Transaksi'!$F:$F,$E866))</f>
        <v/>
      </c>
      <c r="E866">
        <f>IFERROR(AGGREGATE(15,6,ROW('Input Transaksi'!$B$5:$B$5000)/('Input Transaksi'!$B$5:$B$5000="JCL MERPATI"),ROWS($E$5:E866)),"")</f>
        <v/>
      </c>
      <c r="F866" s="5" t="n"/>
    </row>
    <row r="867">
      <c r="A867" s="10">
        <f>IF($E867="","",INDEX('Input Transaksi'!$A:$A,$E867))</f>
        <v/>
      </c>
      <c r="B867" s="5">
        <f>IF($E867="","",INDEX('Input Transaksi'!$D:$D,$E867))</f>
        <v/>
      </c>
      <c r="C867">
        <f>IF($E867="","",INDEX('Input Transaksi'!$E:$E,$E867))</f>
        <v/>
      </c>
      <c r="D867" s="5">
        <f>IF($E867="","",INDEX('Input Transaksi'!$F:$F,$E867))</f>
        <v/>
      </c>
      <c r="E867">
        <f>IFERROR(AGGREGATE(15,6,ROW('Input Transaksi'!$B$5:$B$5000)/('Input Transaksi'!$B$5:$B$5000="JCL MERPATI"),ROWS($E$5:E867)),"")</f>
        <v/>
      </c>
      <c r="F867" s="5" t="n"/>
    </row>
    <row r="868">
      <c r="A868" s="10">
        <f>IF($E868="","",INDEX('Input Transaksi'!$A:$A,$E868))</f>
        <v/>
      </c>
      <c r="B868" s="5">
        <f>IF($E868="","",INDEX('Input Transaksi'!$D:$D,$E868))</f>
        <v/>
      </c>
      <c r="C868">
        <f>IF($E868="","",INDEX('Input Transaksi'!$E:$E,$E868))</f>
        <v/>
      </c>
      <c r="D868" s="5">
        <f>IF($E868="","",INDEX('Input Transaksi'!$F:$F,$E868))</f>
        <v/>
      </c>
      <c r="E868">
        <f>IFERROR(AGGREGATE(15,6,ROW('Input Transaksi'!$B$5:$B$5000)/('Input Transaksi'!$B$5:$B$5000="JCL MERPATI"),ROWS($E$5:E868)),"")</f>
        <v/>
      </c>
      <c r="F868" s="5" t="n"/>
    </row>
    <row r="869">
      <c r="A869" s="10">
        <f>IF($E869="","",INDEX('Input Transaksi'!$A:$A,$E869))</f>
        <v/>
      </c>
      <c r="B869" s="5">
        <f>IF($E869="","",INDEX('Input Transaksi'!$D:$D,$E869))</f>
        <v/>
      </c>
      <c r="C869">
        <f>IF($E869="","",INDEX('Input Transaksi'!$E:$E,$E869))</f>
        <v/>
      </c>
      <c r="D869" s="5">
        <f>IF($E869="","",INDEX('Input Transaksi'!$F:$F,$E869))</f>
        <v/>
      </c>
      <c r="E869">
        <f>IFERROR(AGGREGATE(15,6,ROW('Input Transaksi'!$B$5:$B$5000)/('Input Transaksi'!$B$5:$B$5000="JCL MERPATI"),ROWS($E$5:E869)),"")</f>
        <v/>
      </c>
      <c r="F869" s="5" t="n"/>
    </row>
    <row r="870">
      <c r="A870" s="10">
        <f>IF($E870="","",INDEX('Input Transaksi'!$A:$A,$E870))</f>
        <v/>
      </c>
      <c r="B870" s="5">
        <f>IF($E870="","",INDEX('Input Transaksi'!$D:$D,$E870))</f>
        <v/>
      </c>
      <c r="C870">
        <f>IF($E870="","",INDEX('Input Transaksi'!$E:$E,$E870))</f>
        <v/>
      </c>
      <c r="D870" s="5">
        <f>IF($E870="","",INDEX('Input Transaksi'!$F:$F,$E870))</f>
        <v/>
      </c>
      <c r="E870">
        <f>IFERROR(AGGREGATE(15,6,ROW('Input Transaksi'!$B$5:$B$5000)/('Input Transaksi'!$B$5:$B$5000="JCL MERPATI"),ROWS($E$5:E870)),"")</f>
        <v/>
      </c>
      <c r="F870" s="5" t="n"/>
    </row>
    <row r="871">
      <c r="A871" s="10">
        <f>IF($E871="","",INDEX('Input Transaksi'!$A:$A,$E871))</f>
        <v/>
      </c>
      <c r="B871" s="5">
        <f>IF($E871="","",INDEX('Input Transaksi'!$D:$D,$E871))</f>
        <v/>
      </c>
      <c r="C871">
        <f>IF($E871="","",INDEX('Input Transaksi'!$E:$E,$E871))</f>
        <v/>
      </c>
      <c r="D871" s="5">
        <f>IF($E871="","",INDEX('Input Transaksi'!$F:$F,$E871))</f>
        <v/>
      </c>
      <c r="E871">
        <f>IFERROR(AGGREGATE(15,6,ROW('Input Transaksi'!$B$5:$B$5000)/('Input Transaksi'!$B$5:$B$5000="JCL MERPATI"),ROWS($E$5:E871)),"")</f>
        <v/>
      </c>
      <c r="F871" s="5" t="n"/>
    </row>
    <row r="872">
      <c r="A872" s="10">
        <f>IF($E872="","",INDEX('Input Transaksi'!$A:$A,$E872))</f>
        <v/>
      </c>
      <c r="B872" s="5">
        <f>IF($E872="","",INDEX('Input Transaksi'!$D:$D,$E872))</f>
        <v/>
      </c>
      <c r="C872">
        <f>IF($E872="","",INDEX('Input Transaksi'!$E:$E,$E872))</f>
        <v/>
      </c>
      <c r="D872" s="5">
        <f>IF($E872="","",INDEX('Input Transaksi'!$F:$F,$E872))</f>
        <v/>
      </c>
      <c r="E872">
        <f>IFERROR(AGGREGATE(15,6,ROW('Input Transaksi'!$B$5:$B$5000)/('Input Transaksi'!$B$5:$B$5000="JCL MERPATI"),ROWS($E$5:E872)),"")</f>
        <v/>
      </c>
      <c r="F872" s="5" t="n"/>
    </row>
    <row r="873">
      <c r="A873" s="10">
        <f>IF($E873="","",INDEX('Input Transaksi'!$A:$A,$E873))</f>
        <v/>
      </c>
      <c r="B873" s="5">
        <f>IF($E873="","",INDEX('Input Transaksi'!$D:$D,$E873))</f>
        <v/>
      </c>
      <c r="C873">
        <f>IF($E873="","",INDEX('Input Transaksi'!$E:$E,$E873))</f>
        <v/>
      </c>
      <c r="D873" s="5">
        <f>IF($E873="","",INDEX('Input Transaksi'!$F:$F,$E873))</f>
        <v/>
      </c>
      <c r="E873">
        <f>IFERROR(AGGREGATE(15,6,ROW('Input Transaksi'!$B$5:$B$5000)/('Input Transaksi'!$B$5:$B$5000="JCL MERPATI"),ROWS($E$5:E873)),"")</f>
        <v/>
      </c>
      <c r="F873" s="5" t="n"/>
    </row>
    <row r="874">
      <c r="A874" s="10">
        <f>IF($E874="","",INDEX('Input Transaksi'!$A:$A,$E874))</f>
        <v/>
      </c>
      <c r="B874" s="5">
        <f>IF($E874="","",INDEX('Input Transaksi'!$D:$D,$E874))</f>
        <v/>
      </c>
      <c r="C874">
        <f>IF($E874="","",INDEX('Input Transaksi'!$E:$E,$E874))</f>
        <v/>
      </c>
      <c r="D874" s="5">
        <f>IF($E874="","",INDEX('Input Transaksi'!$F:$F,$E874))</f>
        <v/>
      </c>
      <c r="E874">
        <f>IFERROR(AGGREGATE(15,6,ROW('Input Transaksi'!$B$5:$B$5000)/('Input Transaksi'!$B$5:$B$5000="JCL MERPATI"),ROWS($E$5:E874)),"")</f>
        <v/>
      </c>
      <c r="F874" s="5" t="n"/>
    </row>
    <row r="875">
      <c r="A875" s="10">
        <f>IF($E875="","",INDEX('Input Transaksi'!$A:$A,$E875))</f>
        <v/>
      </c>
      <c r="B875" s="5">
        <f>IF($E875="","",INDEX('Input Transaksi'!$D:$D,$E875))</f>
        <v/>
      </c>
      <c r="C875">
        <f>IF($E875="","",INDEX('Input Transaksi'!$E:$E,$E875))</f>
        <v/>
      </c>
      <c r="D875" s="5">
        <f>IF($E875="","",INDEX('Input Transaksi'!$F:$F,$E875))</f>
        <v/>
      </c>
      <c r="E875">
        <f>IFERROR(AGGREGATE(15,6,ROW('Input Transaksi'!$B$5:$B$5000)/('Input Transaksi'!$B$5:$B$5000="JCL MERPATI"),ROWS($E$5:E875)),"")</f>
        <v/>
      </c>
      <c r="F875" s="5" t="n"/>
    </row>
    <row r="876">
      <c r="A876" s="10">
        <f>IF($E876="","",INDEX('Input Transaksi'!$A:$A,$E876))</f>
        <v/>
      </c>
      <c r="B876" s="5">
        <f>IF($E876="","",INDEX('Input Transaksi'!$D:$D,$E876))</f>
        <v/>
      </c>
      <c r="C876">
        <f>IF($E876="","",INDEX('Input Transaksi'!$E:$E,$E876))</f>
        <v/>
      </c>
      <c r="D876" s="5">
        <f>IF($E876="","",INDEX('Input Transaksi'!$F:$F,$E876))</f>
        <v/>
      </c>
      <c r="E876">
        <f>IFERROR(AGGREGATE(15,6,ROW('Input Transaksi'!$B$5:$B$5000)/('Input Transaksi'!$B$5:$B$5000="JCL MERPATI"),ROWS($E$5:E876)),"")</f>
        <v/>
      </c>
      <c r="F876" s="5" t="n"/>
    </row>
    <row r="877">
      <c r="A877" s="10">
        <f>IF($E877="","",INDEX('Input Transaksi'!$A:$A,$E877))</f>
        <v/>
      </c>
      <c r="B877" s="5">
        <f>IF($E877="","",INDEX('Input Transaksi'!$D:$D,$E877))</f>
        <v/>
      </c>
      <c r="C877">
        <f>IF($E877="","",INDEX('Input Transaksi'!$E:$E,$E877))</f>
        <v/>
      </c>
      <c r="D877" s="5">
        <f>IF($E877="","",INDEX('Input Transaksi'!$F:$F,$E877))</f>
        <v/>
      </c>
      <c r="E877">
        <f>IFERROR(AGGREGATE(15,6,ROW('Input Transaksi'!$B$5:$B$5000)/('Input Transaksi'!$B$5:$B$5000="JCL MERPATI"),ROWS($E$5:E877)),"")</f>
        <v/>
      </c>
      <c r="F877" s="5" t="n"/>
    </row>
    <row r="878">
      <c r="A878" s="10">
        <f>IF($E878="","",INDEX('Input Transaksi'!$A:$A,$E878))</f>
        <v/>
      </c>
      <c r="B878" s="5">
        <f>IF($E878="","",INDEX('Input Transaksi'!$D:$D,$E878))</f>
        <v/>
      </c>
      <c r="C878">
        <f>IF($E878="","",INDEX('Input Transaksi'!$E:$E,$E878))</f>
        <v/>
      </c>
      <c r="D878" s="5">
        <f>IF($E878="","",INDEX('Input Transaksi'!$F:$F,$E878))</f>
        <v/>
      </c>
      <c r="E878">
        <f>IFERROR(AGGREGATE(15,6,ROW('Input Transaksi'!$B$5:$B$5000)/('Input Transaksi'!$B$5:$B$5000="JCL MERPATI"),ROWS($E$5:E878)),"")</f>
        <v/>
      </c>
      <c r="F878" s="5" t="n"/>
    </row>
    <row r="879">
      <c r="A879" s="10">
        <f>IF($E879="","",INDEX('Input Transaksi'!$A:$A,$E879))</f>
        <v/>
      </c>
      <c r="B879" s="5">
        <f>IF($E879="","",INDEX('Input Transaksi'!$D:$D,$E879))</f>
        <v/>
      </c>
      <c r="C879">
        <f>IF($E879="","",INDEX('Input Transaksi'!$E:$E,$E879))</f>
        <v/>
      </c>
      <c r="D879" s="5">
        <f>IF($E879="","",INDEX('Input Transaksi'!$F:$F,$E879))</f>
        <v/>
      </c>
      <c r="E879">
        <f>IFERROR(AGGREGATE(15,6,ROW('Input Transaksi'!$B$5:$B$5000)/('Input Transaksi'!$B$5:$B$5000="JCL MERPATI"),ROWS($E$5:E879)),"")</f>
        <v/>
      </c>
      <c r="F879" s="5" t="n"/>
    </row>
    <row r="880">
      <c r="A880" s="10">
        <f>IF($E880="","",INDEX('Input Transaksi'!$A:$A,$E880))</f>
        <v/>
      </c>
      <c r="B880" s="5">
        <f>IF($E880="","",INDEX('Input Transaksi'!$D:$D,$E880))</f>
        <v/>
      </c>
      <c r="C880">
        <f>IF($E880="","",INDEX('Input Transaksi'!$E:$E,$E880))</f>
        <v/>
      </c>
      <c r="D880" s="5">
        <f>IF($E880="","",INDEX('Input Transaksi'!$F:$F,$E880))</f>
        <v/>
      </c>
      <c r="E880">
        <f>IFERROR(AGGREGATE(15,6,ROW('Input Transaksi'!$B$5:$B$5000)/('Input Transaksi'!$B$5:$B$5000="JCL MERPATI"),ROWS($E$5:E880)),"")</f>
        <v/>
      </c>
      <c r="F880" s="5" t="n"/>
    </row>
    <row r="881">
      <c r="A881" s="10">
        <f>IF($E881="","",INDEX('Input Transaksi'!$A:$A,$E881))</f>
        <v/>
      </c>
      <c r="B881" s="5">
        <f>IF($E881="","",INDEX('Input Transaksi'!$D:$D,$E881))</f>
        <v/>
      </c>
      <c r="C881">
        <f>IF($E881="","",INDEX('Input Transaksi'!$E:$E,$E881))</f>
        <v/>
      </c>
      <c r="D881" s="5">
        <f>IF($E881="","",INDEX('Input Transaksi'!$F:$F,$E881))</f>
        <v/>
      </c>
      <c r="E881">
        <f>IFERROR(AGGREGATE(15,6,ROW('Input Transaksi'!$B$5:$B$5000)/('Input Transaksi'!$B$5:$B$5000="JCL MERPATI"),ROWS($E$5:E881)),"")</f>
        <v/>
      </c>
      <c r="F881" s="5" t="n"/>
    </row>
    <row r="882">
      <c r="A882" s="10">
        <f>IF($E882="","",INDEX('Input Transaksi'!$A:$A,$E882))</f>
        <v/>
      </c>
      <c r="B882" s="5">
        <f>IF($E882="","",INDEX('Input Transaksi'!$D:$D,$E882))</f>
        <v/>
      </c>
      <c r="C882">
        <f>IF($E882="","",INDEX('Input Transaksi'!$E:$E,$E882))</f>
        <v/>
      </c>
      <c r="D882" s="5">
        <f>IF($E882="","",INDEX('Input Transaksi'!$F:$F,$E882))</f>
        <v/>
      </c>
      <c r="E882">
        <f>IFERROR(AGGREGATE(15,6,ROW('Input Transaksi'!$B$5:$B$5000)/('Input Transaksi'!$B$5:$B$5000="JCL MERPATI"),ROWS($E$5:E882)),"")</f>
        <v/>
      </c>
      <c r="F882" s="5" t="n"/>
    </row>
    <row r="883">
      <c r="A883" s="10">
        <f>IF($E883="","",INDEX('Input Transaksi'!$A:$A,$E883))</f>
        <v/>
      </c>
      <c r="B883" s="5">
        <f>IF($E883="","",INDEX('Input Transaksi'!$D:$D,$E883))</f>
        <v/>
      </c>
      <c r="C883">
        <f>IF($E883="","",INDEX('Input Transaksi'!$E:$E,$E883))</f>
        <v/>
      </c>
      <c r="D883" s="5">
        <f>IF($E883="","",INDEX('Input Transaksi'!$F:$F,$E883))</f>
        <v/>
      </c>
      <c r="E883">
        <f>IFERROR(AGGREGATE(15,6,ROW('Input Transaksi'!$B$5:$B$5000)/('Input Transaksi'!$B$5:$B$5000="JCL MERPATI"),ROWS($E$5:E883)),"")</f>
        <v/>
      </c>
      <c r="F883" s="5" t="n"/>
    </row>
    <row r="884">
      <c r="A884" s="10">
        <f>IF($E884="","",INDEX('Input Transaksi'!$A:$A,$E884))</f>
        <v/>
      </c>
      <c r="B884" s="5">
        <f>IF($E884="","",INDEX('Input Transaksi'!$D:$D,$E884))</f>
        <v/>
      </c>
      <c r="C884">
        <f>IF($E884="","",INDEX('Input Transaksi'!$E:$E,$E884))</f>
        <v/>
      </c>
      <c r="D884" s="5">
        <f>IF($E884="","",INDEX('Input Transaksi'!$F:$F,$E884))</f>
        <v/>
      </c>
      <c r="E884">
        <f>IFERROR(AGGREGATE(15,6,ROW('Input Transaksi'!$B$5:$B$5000)/('Input Transaksi'!$B$5:$B$5000="JCL MERPATI"),ROWS($E$5:E884)),"")</f>
        <v/>
      </c>
      <c r="F884" s="5" t="n"/>
    </row>
    <row r="885">
      <c r="A885" s="10">
        <f>IF($E885="","",INDEX('Input Transaksi'!$A:$A,$E885))</f>
        <v/>
      </c>
      <c r="B885" s="5">
        <f>IF($E885="","",INDEX('Input Transaksi'!$D:$D,$E885))</f>
        <v/>
      </c>
      <c r="C885">
        <f>IF($E885="","",INDEX('Input Transaksi'!$E:$E,$E885))</f>
        <v/>
      </c>
      <c r="D885" s="5">
        <f>IF($E885="","",INDEX('Input Transaksi'!$F:$F,$E885))</f>
        <v/>
      </c>
      <c r="E885">
        <f>IFERROR(AGGREGATE(15,6,ROW('Input Transaksi'!$B$5:$B$5000)/('Input Transaksi'!$B$5:$B$5000="JCL MERPATI"),ROWS($E$5:E885)),"")</f>
        <v/>
      </c>
      <c r="F885" s="5" t="n"/>
    </row>
    <row r="886">
      <c r="A886" s="10">
        <f>IF($E886="","",INDEX('Input Transaksi'!$A:$A,$E886))</f>
        <v/>
      </c>
      <c r="B886" s="5">
        <f>IF($E886="","",INDEX('Input Transaksi'!$D:$D,$E886))</f>
        <v/>
      </c>
      <c r="C886">
        <f>IF($E886="","",INDEX('Input Transaksi'!$E:$E,$E886))</f>
        <v/>
      </c>
      <c r="D886" s="5">
        <f>IF($E886="","",INDEX('Input Transaksi'!$F:$F,$E886))</f>
        <v/>
      </c>
      <c r="E886">
        <f>IFERROR(AGGREGATE(15,6,ROW('Input Transaksi'!$B$5:$B$5000)/('Input Transaksi'!$B$5:$B$5000="JCL MERPATI"),ROWS($E$5:E886)),"")</f>
        <v/>
      </c>
      <c r="F886" s="5" t="n"/>
    </row>
    <row r="887">
      <c r="A887" s="10">
        <f>IF($E887="","",INDEX('Input Transaksi'!$A:$A,$E887))</f>
        <v/>
      </c>
      <c r="B887" s="5">
        <f>IF($E887="","",INDEX('Input Transaksi'!$D:$D,$E887))</f>
        <v/>
      </c>
      <c r="C887">
        <f>IF($E887="","",INDEX('Input Transaksi'!$E:$E,$E887))</f>
        <v/>
      </c>
      <c r="D887" s="5">
        <f>IF($E887="","",INDEX('Input Transaksi'!$F:$F,$E887))</f>
        <v/>
      </c>
      <c r="E887">
        <f>IFERROR(AGGREGATE(15,6,ROW('Input Transaksi'!$B$5:$B$5000)/('Input Transaksi'!$B$5:$B$5000="JCL MERPATI"),ROWS($E$5:E887)),"")</f>
        <v/>
      </c>
      <c r="F887" s="5" t="n"/>
    </row>
    <row r="888">
      <c r="A888" s="10">
        <f>IF($E888="","",INDEX('Input Transaksi'!$A:$A,$E888))</f>
        <v/>
      </c>
      <c r="B888" s="5">
        <f>IF($E888="","",INDEX('Input Transaksi'!$D:$D,$E888))</f>
        <v/>
      </c>
      <c r="C888">
        <f>IF($E888="","",INDEX('Input Transaksi'!$E:$E,$E888))</f>
        <v/>
      </c>
      <c r="D888" s="5">
        <f>IF($E888="","",INDEX('Input Transaksi'!$F:$F,$E888))</f>
        <v/>
      </c>
      <c r="E888">
        <f>IFERROR(AGGREGATE(15,6,ROW('Input Transaksi'!$B$5:$B$5000)/('Input Transaksi'!$B$5:$B$5000="JCL MERPATI"),ROWS($E$5:E888)),"")</f>
        <v/>
      </c>
      <c r="F888" s="5" t="n"/>
    </row>
    <row r="889">
      <c r="A889" s="10">
        <f>IF($E889="","",INDEX('Input Transaksi'!$A:$A,$E889))</f>
        <v/>
      </c>
      <c r="B889" s="5">
        <f>IF($E889="","",INDEX('Input Transaksi'!$D:$D,$E889))</f>
        <v/>
      </c>
      <c r="C889">
        <f>IF($E889="","",INDEX('Input Transaksi'!$E:$E,$E889))</f>
        <v/>
      </c>
      <c r="D889" s="5">
        <f>IF($E889="","",INDEX('Input Transaksi'!$F:$F,$E889))</f>
        <v/>
      </c>
      <c r="E889">
        <f>IFERROR(AGGREGATE(15,6,ROW('Input Transaksi'!$B$5:$B$5000)/('Input Transaksi'!$B$5:$B$5000="JCL MERPATI"),ROWS($E$5:E889)),"")</f>
        <v/>
      </c>
      <c r="F889" s="5" t="n"/>
    </row>
    <row r="890">
      <c r="A890" s="10">
        <f>IF($E890="","",INDEX('Input Transaksi'!$A:$A,$E890))</f>
        <v/>
      </c>
      <c r="B890" s="5">
        <f>IF($E890="","",INDEX('Input Transaksi'!$D:$D,$E890))</f>
        <v/>
      </c>
      <c r="C890">
        <f>IF($E890="","",INDEX('Input Transaksi'!$E:$E,$E890))</f>
        <v/>
      </c>
      <c r="D890" s="5">
        <f>IF($E890="","",INDEX('Input Transaksi'!$F:$F,$E890))</f>
        <v/>
      </c>
      <c r="E890">
        <f>IFERROR(AGGREGATE(15,6,ROW('Input Transaksi'!$B$5:$B$5000)/('Input Transaksi'!$B$5:$B$5000="JCL MERPATI"),ROWS($E$5:E890)),"")</f>
        <v/>
      </c>
      <c r="F890" s="5" t="n"/>
    </row>
    <row r="891">
      <c r="A891" s="10">
        <f>IF($E891="","",INDEX('Input Transaksi'!$A:$A,$E891))</f>
        <v/>
      </c>
      <c r="B891" s="5">
        <f>IF($E891="","",INDEX('Input Transaksi'!$D:$D,$E891))</f>
        <v/>
      </c>
      <c r="C891">
        <f>IF($E891="","",INDEX('Input Transaksi'!$E:$E,$E891))</f>
        <v/>
      </c>
      <c r="D891" s="5">
        <f>IF($E891="","",INDEX('Input Transaksi'!$F:$F,$E891))</f>
        <v/>
      </c>
      <c r="E891">
        <f>IFERROR(AGGREGATE(15,6,ROW('Input Transaksi'!$B$5:$B$5000)/('Input Transaksi'!$B$5:$B$5000="JCL MERPATI"),ROWS($E$5:E891)),"")</f>
        <v/>
      </c>
      <c r="F891" s="5" t="n"/>
    </row>
    <row r="892">
      <c r="A892" s="10">
        <f>IF($E892="","",INDEX('Input Transaksi'!$A:$A,$E892))</f>
        <v/>
      </c>
      <c r="B892" s="5">
        <f>IF($E892="","",INDEX('Input Transaksi'!$D:$D,$E892))</f>
        <v/>
      </c>
      <c r="C892">
        <f>IF($E892="","",INDEX('Input Transaksi'!$E:$E,$E892))</f>
        <v/>
      </c>
      <c r="D892" s="5">
        <f>IF($E892="","",INDEX('Input Transaksi'!$F:$F,$E892))</f>
        <v/>
      </c>
      <c r="E892">
        <f>IFERROR(AGGREGATE(15,6,ROW('Input Transaksi'!$B$5:$B$5000)/('Input Transaksi'!$B$5:$B$5000="JCL MERPATI"),ROWS($E$5:E892)),"")</f>
        <v/>
      </c>
      <c r="F892" s="5" t="n"/>
    </row>
    <row r="893">
      <c r="A893" s="10">
        <f>IF($E893="","",INDEX('Input Transaksi'!$A:$A,$E893))</f>
        <v/>
      </c>
      <c r="B893" s="5">
        <f>IF($E893="","",INDEX('Input Transaksi'!$D:$D,$E893))</f>
        <v/>
      </c>
      <c r="C893">
        <f>IF($E893="","",INDEX('Input Transaksi'!$E:$E,$E893))</f>
        <v/>
      </c>
      <c r="D893" s="5">
        <f>IF($E893="","",INDEX('Input Transaksi'!$F:$F,$E893))</f>
        <v/>
      </c>
      <c r="E893">
        <f>IFERROR(AGGREGATE(15,6,ROW('Input Transaksi'!$B$5:$B$5000)/('Input Transaksi'!$B$5:$B$5000="JCL MERPATI"),ROWS($E$5:E893)),"")</f>
        <v/>
      </c>
      <c r="F893" s="5" t="n"/>
    </row>
    <row r="894">
      <c r="A894" s="10">
        <f>IF($E894="","",INDEX('Input Transaksi'!$A:$A,$E894))</f>
        <v/>
      </c>
      <c r="B894" s="5">
        <f>IF($E894="","",INDEX('Input Transaksi'!$D:$D,$E894))</f>
        <v/>
      </c>
      <c r="C894">
        <f>IF($E894="","",INDEX('Input Transaksi'!$E:$E,$E894))</f>
        <v/>
      </c>
      <c r="D894" s="5">
        <f>IF($E894="","",INDEX('Input Transaksi'!$F:$F,$E894))</f>
        <v/>
      </c>
      <c r="E894">
        <f>IFERROR(AGGREGATE(15,6,ROW('Input Transaksi'!$B$5:$B$5000)/('Input Transaksi'!$B$5:$B$5000="JCL MERPATI"),ROWS($E$5:E894)),"")</f>
        <v/>
      </c>
      <c r="F894" s="5" t="n"/>
    </row>
    <row r="895">
      <c r="A895" s="10">
        <f>IF($E895="","",INDEX('Input Transaksi'!$A:$A,$E895))</f>
        <v/>
      </c>
      <c r="B895" s="5">
        <f>IF($E895="","",INDEX('Input Transaksi'!$D:$D,$E895))</f>
        <v/>
      </c>
      <c r="C895">
        <f>IF($E895="","",INDEX('Input Transaksi'!$E:$E,$E895))</f>
        <v/>
      </c>
      <c r="D895" s="5">
        <f>IF($E895="","",INDEX('Input Transaksi'!$F:$F,$E895))</f>
        <v/>
      </c>
      <c r="E895">
        <f>IFERROR(AGGREGATE(15,6,ROW('Input Transaksi'!$B$5:$B$5000)/('Input Transaksi'!$B$5:$B$5000="JCL MERPATI"),ROWS($E$5:E895)),"")</f>
        <v/>
      </c>
      <c r="F895" s="5" t="n"/>
    </row>
    <row r="896">
      <c r="A896" s="10">
        <f>IF($E896="","",INDEX('Input Transaksi'!$A:$A,$E896))</f>
        <v/>
      </c>
      <c r="B896" s="5">
        <f>IF($E896="","",INDEX('Input Transaksi'!$D:$D,$E896))</f>
        <v/>
      </c>
      <c r="C896">
        <f>IF($E896="","",INDEX('Input Transaksi'!$E:$E,$E896))</f>
        <v/>
      </c>
      <c r="D896" s="5">
        <f>IF($E896="","",INDEX('Input Transaksi'!$F:$F,$E896))</f>
        <v/>
      </c>
      <c r="E896">
        <f>IFERROR(AGGREGATE(15,6,ROW('Input Transaksi'!$B$5:$B$5000)/('Input Transaksi'!$B$5:$B$5000="JCL MERPATI"),ROWS($E$5:E896)),"")</f>
        <v/>
      </c>
      <c r="F896" s="5" t="n"/>
    </row>
    <row r="897">
      <c r="A897" s="10">
        <f>IF($E897="","",INDEX('Input Transaksi'!$A:$A,$E897))</f>
        <v/>
      </c>
      <c r="B897" s="5">
        <f>IF($E897="","",INDEX('Input Transaksi'!$D:$D,$E897))</f>
        <v/>
      </c>
      <c r="C897">
        <f>IF($E897="","",INDEX('Input Transaksi'!$E:$E,$E897))</f>
        <v/>
      </c>
      <c r="D897" s="5">
        <f>IF($E897="","",INDEX('Input Transaksi'!$F:$F,$E897))</f>
        <v/>
      </c>
      <c r="E897">
        <f>IFERROR(AGGREGATE(15,6,ROW('Input Transaksi'!$B$5:$B$5000)/('Input Transaksi'!$B$5:$B$5000="JCL MERPATI"),ROWS($E$5:E897)),"")</f>
        <v/>
      </c>
      <c r="F897" s="5" t="n"/>
    </row>
    <row r="898">
      <c r="A898" s="10">
        <f>IF($E898="","",INDEX('Input Transaksi'!$A:$A,$E898))</f>
        <v/>
      </c>
      <c r="B898" s="5">
        <f>IF($E898="","",INDEX('Input Transaksi'!$D:$D,$E898))</f>
        <v/>
      </c>
      <c r="C898">
        <f>IF($E898="","",INDEX('Input Transaksi'!$E:$E,$E898))</f>
        <v/>
      </c>
      <c r="D898" s="5">
        <f>IF($E898="","",INDEX('Input Transaksi'!$F:$F,$E898))</f>
        <v/>
      </c>
      <c r="E898">
        <f>IFERROR(AGGREGATE(15,6,ROW('Input Transaksi'!$B$5:$B$5000)/('Input Transaksi'!$B$5:$B$5000="JCL MERPATI"),ROWS($E$5:E898)),"")</f>
        <v/>
      </c>
      <c r="F898" s="5" t="n"/>
    </row>
    <row r="899">
      <c r="A899" s="10">
        <f>IF($E899="","",INDEX('Input Transaksi'!$A:$A,$E899))</f>
        <v/>
      </c>
      <c r="B899" s="5">
        <f>IF($E899="","",INDEX('Input Transaksi'!$D:$D,$E899))</f>
        <v/>
      </c>
      <c r="C899">
        <f>IF($E899="","",INDEX('Input Transaksi'!$E:$E,$E899))</f>
        <v/>
      </c>
      <c r="D899" s="5">
        <f>IF($E899="","",INDEX('Input Transaksi'!$F:$F,$E899))</f>
        <v/>
      </c>
      <c r="E899">
        <f>IFERROR(AGGREGATE(15,6,ROW('Input Transaksi'!$B$5:$B$5000)/('Input Transaksi'!$B$5:$B$5000="JCL MERPATI"),ROWS($E$5:E899)),"")</f>
        <v/>
      </c>
      <c r="F899" s="5" t="n"/>
    </row>
    <row r="900">
      <c r="A900" s="10">
        <f>IF($E900="","",INDEX('Input Transaksi'!$A:$A,$E900))</f>
        <v/>
      </c>
      <c r="B900" s="5">
        <f>IF($E900="","",INDEX('Input Transaksi'!$D:$D,$E900))</f>
        <v/>
      </c>
      <c r="C900">
        <f>IF($E900="","",INDEX('Input Transaksi'!$E:$E,$E900))</f>
        <v/>
      </c>
      <c r="D900" s="5">
        <f>IF($E900="","",INDEX('Input Transaksi'!$F:$F,$E900))</f>
        <v/>
      </c>
      <c r="E900">
        <f>IFERROR(AGGREGATE(15,6,ROW('Input Transaksi'!$B$5:$B$5000)/('Input Transaksi'!$B$5:$B$5000="JCL MERPATI"),ROWS($E$5:E900)),"")</f>
        <v/>
      </c>
      <c r="F900" s="5" t="n"/>
    </row>
    <row r="901">
      <c r="A901" s="10">
        <f>IF($E901="","",INDEX('Input Transaksi'!$A:$A,$E901))</f>
        <v/>
      </c>
      <c r="B901" s="5">
        <f>IF($E901="","",INDEX('Input Transaksi'!$D:$D,$E901))</f>
        <v/>
      </c>
      <c r="C901">
        <f>IF($E901="","",INDEX('Input Transaksi'!$E:$E,$E901))</f>
        <v/>
      </c>
      <c r="D901" s="5">
        <f>IF($E901="","",INDEX('Input Transaksi'!$F:$F,$E901))</f>
        <v/>
      </c>
      <c r="E901">
        <f>IFERROR(AGGREGATE(15,6,ROW('Input Transaksi'!$B$5:$B$5000)/('Input Transaksi'!$B$5:$B$5000="JCL MERPATI"),ROWS($E$5:E901)),"")</f>
        <v/>
      </c>
      <c r="F901" s="5" t="n"/>
    </row>
    <row r="902">
      <c r="A902" s="10">
        <f>IF($E902="","",INDEX('Input Transaksi'!$A:$A,$E902))</f>
        <v/>
      </c>
      <c r="B902" s="5">
        <f>IF($E902="","",INDEX('Input Transaksi'!$D:$D,$E902))</f>
        <v/>
      </c>
      <c r="C902">
        <f>IF($E902="","",INDEX('Input Transaksi'!$E:$E,$E902))</f>
        <v/>
      </c>
      <c r="D902" s="5">
        <f>IF($E902="","",INDEX('Input Transaksi'!$F:$F,$E902))</f>
        <v/>
      </c>
      <c r="E902">
        <f>IFERROR(AGGREGATE(15,6,ROW('Input Transaksi'!$B$5:$B$5000)/('Input Transaksi'!$B$5:$B$5000="JCL MERPATI"),ROWS($E$5:E902)),"")</f>
        <v/>
      </c>
      <c r="F902" s="5" t="n"/>
    </row>
    <row r="903">
      <c r="A903" s="10">
        <f>IF($E903="","",INDEX('Input Transaksi'!$A:$A,$E903))</f>
        <v/>
      </c>
      <c r="B903" s="5">
        <f>IF($E903="","",INDEX('Input Transaksi'!$D:$D,$E903))</f>
        <v/>
      </c>
      <c r="C903">
        <f>IF($E903="","",INDEX('Input Transaksi'!$E:$E,$E903))</f>
        <v/>
      </c>
      <c r="D903" s="5">
        <f>IF($E903="","",INDEX('Input Transaksi'!$F:$F,$E903))</f>
        <v/>
      </c>
      <c r="E903">
        <f>IFERROR(AGGREGATE(15,6,ROW('Input Transaksi'!$B$5:$B$5000)/('Input Transaksi'!$B$5:$B$5000="JCL MERPATI"),ROWS($E$5:E903)),"")</f>
        <v/>
      </c>
      <c r="F903" s="5" t="n"/>
    </row>
    <row r="904">
      <c r="A904" s="10">
        <f>IF($E904="","",INDEX('Input Transaksi'!$A:$A,$E904))</f>
        <v/>
      </c>
      <c r="B904" s="5">
        <f>IF($E904="","",INDEX('Input Transaksi'!$D:$D,$E904))</f>
        <v/>
      </c>
      <c r="C904">
        <f>IF($E904="","",INDEX('Input Transaksi'!$E:$E,$E904))</f>
        <v/>
      </c>
      <c r="D904" s="5">
        <f>IF($E904="","",INDEX('Input Transaksi'!$F:$F,$E904))</f>
        <v/>
      </c>
      <c r="E904">
        <f>IFERROR(AGGREGATE(15,6,ROW('Input Transaksi'!$B$5:$B$5000)/('Input Transaksi'!$B$5:$B$5000="JCL MERPATI"),ROWS($E$5:E904)),"")</f>
        <v/>
      </c>
      <c r="F904" s="5" t="n"/>
    </row>
    <row r="905">
      <c r="A905" s="10">
        <f>IF($E905="","",INDEX('Input Transaksi'!$A:$A,$E905))</f>
        <v/>
      </c>
      <c r="B905" s="5">
        <f>IF($E905="","",INDEX('Input Transaksi'!$D:$D,$E905))</f>
        <v/>
      </c>
      <c r="C905">
        <f>IF($E905="","",INDEX('Input Transaksi'!$E:$E,$E905))</f>
        <v/>
      </c>
      <c r="D905" s="5">
        <f>IF($E905="","",INDEX('Input Transaksi'!$F:$F,$E905))</f>
        <v/>
      </c>
      <c r="E905">
        <f>IFERROR(AGGREGATE(15,6,ROW('Input Transaksi'!$B$5:$B$5000)/('Input Transaksi'!$B$5:$B$5000="JCL MERPATI"),ROWS($E$5:E905)),"")</f>
        <v/>
      </c>
      <c r="F905" s="5" t="n"/>
    </row>
    <row r="906">
      <c r="A906" s="10">
        <f>IF($E906="","",INDEX('Input Transaksi'!$A:$A,$E906))</f>
        <v/>
      </c>
      <c r="B906" s="5">
        <f>IF($E906="","",INDEX('Input Transaksi'!$D:$D,$E906))</f>
        <v/>
      </c>
      <c r="C906">
        <f>IF($E906="","",INDEX('Input Transaksi'!$E:$E,$E906))</f>
        <v/>
      </c>
      <c r="D906" s="5">
        <f>IF($E906="","",INDEX('Input Transaksi'!$F:$F,$E906))</f>
        <v/>
      </c>
      <c r="E906">
        <f>IFERROR(AGGREGATE(15,6,ROW('Input Transaksi'!$B$5:$B$5000)/('Input Transaksi'!$B$5:$B$5000="JCL MERPATI"),ROWS($E$5:E906)),"")</f>
        <v/>
      </c>
      <c r="F906" s="5" t="n"/>
    </row>
    <row r="907">
      <c r="A907" s="10">
        <f>IF($E907="","",INDEX('Input Transaksi'!$A:$A,$E907))</f>
        <v/>
      </c>
      <c r="B907" s="5">
        <f>IF($E907="","",INDEX('Input Transaksi'!$D:$D,$E907))</f>
        <v/>
      </c>
      <c r="C907">
        <f>IF($E907="","",INDEX('Input Transaksi'!$E:$E,$E907))</f>
        <v/>
      </c>
      <c r="D907" s="5">
        <f>IF($E907="","",INDEX('Input Transaksi'!$F:$F,$E907))</f>
        <v/>
      </c>
      <c r="E907">
        <f>IFERROR(AGGREGATE(15,6,ROW('Input Transaksi'!$B$5:$B$5000)/('Input Transaksi'!$B$5:$B$5000="JCL MERPATI"),ROWS($E$5:E907)),"")</f>
        <v/>
      </c>
      <c r="F907" s="5" t="n"/>
    </row>
    <row r="908">
      <c r="A908" s="10">
        <f>IF($E908="","",INDEX('Input Transaksi'!$A:$A,$E908))</f>
        <v/>
      </c>
      <c r="B908" s="5">
        <f>IF($E908="","",INDEX('Input Transaksi'!$D:$D,$E908))</f>
        <v/>
      </c>
      <c r="C908">
        <f>IF($E908="","",INDEX('Input Transaksi'!$E:$E,$E908))</f>
        <v/>
      </c>
      <c r="D908" s="5">
        <f>IF($E908="","",INDEX('Input Transaksi'!$F:$F,$E908))</f>
        <v/>
      </c>
      <c r="E908">
        <f>IFERROR(AGGREGATE(15,6,ROW('Input Transaksi'!$B$5:$B$5000)/('Input Transaksi'!$B$5:$B$5000="JCL MERPATI"),ROWS($E$5:E908)),"")</f>
        <v/>
      </c>
      <c r="F908" s="5" t="n"/>
    </row>
    <row r="909">
      <c r="A909" s="10">
        <f>IF($E909="","",INDEX('Input Transaksi'!$A:$A,$E909))</f>
        <v/>
      </c>
      <c r="B909" s="5">
        <f>IF($E909="","",INDEX('Input Transaksi'!$D:$D,$E909))</f>
        <v/>
      </c>
      <c r="C909">
        <f>IF($E909="","",INDEX('Input Transaksi'!$E:$E,$E909))</f>
        <v/>
      </c>
      <c r="D909" s="5">
        <f>IF($E909="","",INDEX('Input Transaksi'!$F:$F,$E909))</f>
        <v/>
      </c>
      <c r="E909">
        <f>IFERROR(AGGREGATE(15,6,ROW('Input Transaksi'!$B$5:$B$5000)/('Input Transaksi'!$B$5:$B$5000="JCL MERPATI"),ROWS($E$5:E909)),"")</f>
        <v/>
      </c>
      <c r="F909" s="5" t="n"/>
    </row>
    <row r="910">
      <c r="A910" s="10">
        <f>IF($E910="","",INDEX('Input Transaksi'!$A:$A,$E910))</f>
        <v/>
      </c>
      <c r="B910" s="5">
        <f>IF($E910="","",INDEX('Input Transaksi'!$D:$D,$E910))</f>
        <v/>
      </c>
      <c r="C910">
        <f>IF($E910="","",INDEX('Input Transaksi'!$E:$E,$E910))</f>
        <v/>
      </c>
      <c r="D910" s="5">
        <f>IF($E910="","",INDEX('Input Transaksi'!$F:$F,$E910))</f>
        <v/>
      </c>
      <c r="E910">
        <f>IFERROR(AGGREGATE(15,6,ROW('Input Transaksi'!$B$5:$B$5000)/('Input Transaksi'!$B$5:$B$5000="JCL MERPATI"),ROWS($E$5:E910)),"")</f>
        <v/>
      </c>
      <c r="F910" s="5" t="n"/>
    </row>
    <row r="911">
      <c r="A911" s="10">
        <f>IF($E911="","",INDEX('Input Transaksi'!$A:$A,$E911))</f>
        <v/>
      </c>
      <c r="B911" s="5">
        <f>IF($E911="","",INDEX('Input Transaksi'!$D:$D,$E911))</f>
        <v/>
      </c>
      <c r="C911">
        <f>IF($E911="","",INDEX('Input Transaksi'!$E:$E,$E911))</f>
        <v/>
      </c>
      <c r="D911" s="5">
        <f>IF($E911="","",INDEX('Input Transaksi'!$F:$F,$E911))</f>
        <v/>
      </c>
      <c r="E911">
        <f>IFERROR(AGGREGATE(15,6,ROW('Input Transaksi'!$B$5:$B$5000)/('Input Transaksi'!$B$5:$B$5000="JCL MERPATI"),ROWS($E$5:E911)),"")</f>
        <v/>
      </c>
      <c r="F911" s="5" t="n"/>
    </row>
    <row r="912">
      <c r="A912" s="10">
        <f>IF($E912="","",INDEX('Input Transaksi'!$A:$A,$E912))</f>
        <v/>
      </c>
      <c r="B912" s="5">
        <f>IF($E912="","",INDEX('Input Transaksi'!$D:$D,$E912))</f>
        <v/>
      </c>
      <c r="C912">
        <f>IF($E912="","",INDEX('Input Transaksi'!$E:$E,$E912))</f>
        <v/>
      </c>
      <c r="D912" s="5">
        <f>IF($E912="","",INDEX('Input Transaksi'!$F:$F,$E912))</f>
        <v/>
      </c>
      <c r="E912">
        <f>IFERROR(AGGREGATE(15,6,ROW('Input Transaksi'!$B$5:$B$5000)/('Input Transaksi'!$B$5:$B$5000="JCL MERPATI"),ROWS($E$5:E912)),"")</f>
        <v/>
      </c>
      <c r="F912" s="5" t="n"/>
    </row>
    <row r="913">
      <c r="A913" s="10">
        <f>IF($E913="","",INDEX('Input Transaksi'!$A:$A,$E913))</f>
        <v/>
      </c>
      <c r="B913" s="5">
        <f>IF($E913="","",INDEX('Input Transaksi'!$D:$D,$E913))</f>
        <v/>
      </c>
      <c r="C913">
        <f>IF($E913="","",INDEX('Input Transaksi'!$E:$E,$E913))</f>
        <v/>
      </c>
      <c r="D913" s="5">
        <f>IF($E913="","",INDEX('Input Transaksi'!$F:$F,$E913))</f>
        <v/>
      </c>
      <c r="E913">
        <f>IFERROR(AGGREGATE(15,6,ROW('Input Transaksi'!$B$5:$B$5000)/('Input Transaksi'!$B$5:$B$5000="JCL MERPATI"),ROWS($E$5:E913)),"")</f>
        <v/>
      </c>
      <c r="F913" s="5" t="n"/>
    </row>
    <row r="914">
      <c r="A914" s="10">
        <f>IF($E914="","",INDEX('Input Transaksi'!$A:$A,$E914))</f>
        <v/>
      </c>
      <c r="B914" s="5">
        <f>IF($E914="","",INDEX('Input Transaksi'!$D:$D,$E914))</f>
        <v/>
      </c>
      <c r="C914">
        <f>IF($E914="","",INDEX('Input Transaksi'!$E:$E,$E914))</f>
        <v/>
      </c>
      <c r="D914" s="5">
        <f>IF($E914="","",INDEX('Input Transaksi'!$F:$F,$E914))</f>
        <v/>
      </c>
      <c r="E914">
        <f>IFERROR(AGGREGATE(15,6,ROW('Input Transaksi'!$B$5:$B$5000)/('Input Transaksi'!$B$5:$B$5000="JCL MERPATI"),ROWS($E$5:E914)),"")</f>
        <v/>
      </c>
      <c r="F914" s="5" t="n"/>
    </row>
    <row r="915">
      <c r="A915" s="10">
        <f>IF($E915="","",INDEX('Input Transaksi'!$A:$A,$E915))</f>
        <v/>
      </c>
      <c r="B915" s="5">
        <f>IF($E915="","",INDEX('Input Transaksi'!$D:$D,$E915))</f>
        <v/>
      </c>
      <c r="C915">
        <f>IF($E915="","",INDEX('Input Transaksi'!$E:$E,$E915))</f>
        <v/>
      </c>
      <c r="D915" s="5">
        <f>IF($E915="","",INDEX('Input Transaksi'!$F:$F,$E915))</f>
        <v/>
      </c>
      <c r="E915">
        <f>IFERROR(AGGREGATE(15,6,ROW('Input Transaksi'!$B$5:$B$5000)/('Input Transaksi'!$B$5:$B$5000="JCL MERPATI"),ROWS($E$5:E915)),"")</f>
        <v/>
      </c>
      <c r="F915" s="5" t="n"/>
    </row>
    <row r="916">
      <c r="A916" s="10">
        <f>IF($E916="","",INDEX('Input Transaksi'!$A:$A,$E916))</f>
        <v/>
      </c>
      <c r="B916" s="5">
        <f>IF($E916="","",INDEX('Input Transaksi'!$D:$D,$E916))</f>
        <v/>
      </c>
      <c r="C916">
        <f>IF($E916="","",INDEX('Input Transaksi'!$E:$E,$E916))</f>
        <v/>
      </c>
      <c r="D916" s="5">
        <f>IF($E916="","",INDEX('Input Transaksi'!$F:$F,$E916))</f>
        <v/>
      </c>
      <c r="E916">
        <f>IFERROR(AGGREGATE(15,6,ROW('Input Transaksi'!$B$5:$B$5000)/('Input Transaksi'!$B$5:$B$5000="JCL MERPATI"),ROWS($E$5:E916)),"")</f>
        <v/>
      </c>
      <c r="F916" s="5" t="n"/>
    </row>
    <row r="917">
      <c r="A917" s="10">
        <f>IF($E917="","",INDEX('Input Transaksi'!$A:$A,$E917))</f>
        <v/>
      </c>
      <c r="B917" s="5">
        <f>IF($E917="","",INDEX('Input Transaksi'!$D:$D,$E917))</f>
        <v/>
      </c>
      <c r="C917">
        <f>IF($E917="","",INDEX('Input Transaksi'!$E:$E,$E917))</f>
        <v/>
      </c>
      <c r="D917" s="5">
        <f>IF($E917="","",INDEX('Input Transaksi'!$F:$F,$E917))</f>
        <v/>
      </c>
      <c r="E917">
        <f>IFERROR(AGGREGATE(15,6,ROW('Input Transaksi'!$B$5:$B$5000)/('Input Transaksi'!$B$5:$B$5000="JCL MERPATI"),ROWS($E$5:E917)),"")</f>
        <v/>
      </c>
      <c r="F917" s="5" t="n"/>
    </row>
    <row r="918">
      <c r="A918" s="10">
        <f>IF($E918="","",INDEX('Input Transaksi'!$A:$A,$E918))</f>
        <v/>
      </c>
      <c r="B918" s="5">
        <f>IF($E918="","",INDEX('Input Transaksi'!$D:$D,$E918))</f>
        <v/>
      </c>
      <c r="C918">
        <f>IF($E918="","",INDEX('Input Transaksi'!$E:$E,$E918))</f>
        <v/>
      </c>
      <c r="D918" s="5">
        <f>IF($E918="","",INDEX('Input Transaksi'!$F:$F,$E918))</f>
        <v/>
      </c>
      <c r="E918">
        <f>IFERROR(AGGREGATE(15,6,ROW('Input Transaksi'!$B$5:$B$5000)/('Input Transaksi'!$B$5:$B$5000="JCL MERPATI"),ROWS($E$5:E918)),"")</f>
        <v/>
      </c>
      <c r="F918" s="5" t="n"/>
    </row>
    <row r="919">
      <c r="A919" s="10">
        <f>IF($E919="","",INDEX('Input Transaksi'!$A:$A,$E919))</f>
        <v/>
      </c>
      <c r="B919" s="5">
        <f>IF($E919="","",INDEX('Input Transaksi'!$D:$D,$E919))</f>
        <v/>
      </c>
      <c r="C919">
        <f>IF($E919="","",INDEX('Input Transaksi'!$E:$E,$E919))</f>
        <v/>
      </c>
      <c r="D919" s="5">
        <f>IF($E919="","",INDEX('Input Transaksi'!$F:$F,$E919))</f>
        <v/>
      </c>
      <c r="E919">
        <f>IFERROR(AGGREGATE(15,6,ROW('Input Transaksi'!$B$5:$B$5000)/('Input Transaksi'!$B$5:$B$5000="JCL MERPATI"),ROWS($E$5:E919)),"")</f>
        <v/>
      </c>
      <c r="F919" s="5" t="n"/>
    </row>
    <row r="920">
      <c r="A920" s="10">
        <f>IF($E920="","",INDEX('Input Transaksi'!$A:$A,$E920))</f>
        <v/>
      </c>
      <c r="B920" s="5">
        <f>IF($E920="","",INDEX('Input Transaksi'!$D:$D,$E920))</f>
        <v/>
      </c>
      <c r="C920">
        <f>IF($E920="","",INDEX('Input Transaksi'!$E:$E,$E920))</f>
        <v/>
      </c>
      <c r="D920" s="5">
        <f>IF($E920="","",INDEX('Input Transaksi'!$F:$F,$E920))</f>
        <v/>
      </c>
      <c r="E920">
        <f>IFERROR(AGGREGATE(15,6,ROW('Input Transaksi'!$B$5:$B$5000)/('Input Transaksi'!$B$5:$B$5000="JCL MERPATI"),ROWS($E$5:E920)),"")</f>
        <v/>
      </c>
      <c r="F920" s="5" t="n"/>
    </row>
    <row r="921">
      <c r="A921" s="10">
        <f>IF($E921="","",INDEX('Input Transaksi'!$A:$A,$E921))</f>
        <v/>
      </c>
      <c r="B921" s="5">
        <f>IF($E921="","",INDEX('Input Transaksi'!$D:$D,$E921))</f>
        <v/>
      </c>
      <c r="C921">
        <f>IF($E921="","",INDEX('Input Transaksi'!$E:$E,$E921))</f>
        <v/>
      </c>
      <c r="D921" s="5">
        <f>IF($E921="","",INDEX('Input Transaksi'!$F:$F,$E921))</f>
        <v/>
      </c>
      <c r="E921">
        <f>IFERROR(AGGREGATE(15,6,ROW('Input Transaksi'!$B$5:$B$5000)/('Input Transaksi'!$B$5:$B$5000="JCL MERPATI"),ROWS($E$5:E921)),"")</f>
        <v/>
      </c>
      <c r="F921" s="5" t="n"/>
    </row>
    <row r="922">
      <c r="A922" s="10">
        <f>IF($E922="","",INDEX('Input Transaksi'!$A:$A,$E922))</f>
        <v/>
      </c>
      <c r="B922" s="5">
        <f>IF($E922="","",INDEX('Input Transaksi'!$D:$D,$E922))</f>
        <v/>
      </c>
      <c r="C922">
        <f>IF($E922="","",INDEX('Input Transaksi'!$E:$E,$E922))</f>
        <v/>
      </c>
      <c r="D922" s="5">
        <f>IF($E922="","",INDEX('Input Transaksi'!$F:$F,$E922))</f>
        <v/>
      </c>
      <c r="E922">
        <f>IFERROR(AGGREGATE(15,6,ROW('Input Transaksi'!$B$5:$B$5000)/('Input Transaksi'!$B$5:$B$5000="JCL MERPATI"),ROWS($E$5:E922)),"")</f>
        <v/>
      </c>
      <c r="F922" s="5" t="n"/>
    </row>
    <row r="923">
      <c r="A923" s="10">
        <f>IF($E923="","",INDEX('Input Transaksi'!$A:$A,$E923))</f>
        <v/>
      </c>
      <c r="B923" s="5">
        <f>IF($E923="","",INDEX('Input Transaksi'!$D:$D,$E923))</f>
        <v/>
      </c>
      <c r="C923">
        <f>IF($E923="","",INDEX('Input Transaksi'!$E:$E,$E923))</f>
        <v/>
      </c>
      <c r="D923" s="5">
        <f>IF($E923="","",INDEX('Input Transaksi'!$F:$F,$E923))</f>
        <v/>
      </c>
      <c r="E923">
        <f>IFERROR(AGGREGATE(15,6,ROW('Input Transaksi'!$B$5:$B$5000)/('Input Transaksi'!$B$5:$B$5000="JCL MERPATI"),ROWS($E$5:E923)),"")</f>
        <v/>
      </c>
      <c r="F923" s="5" t="n"/>
    </row>
    <row r="924">
      <c r="A924" s="10">
        <f>IF($E924="","",INDEX('Input Transaksi'!$A:$A,$E924))</f>
        <v/>
      </c>
      <c r="B924" s="5">
        <f>IF($E924="","",INDEX('Input Transaksi'!$D:$D,$E924))</f>
        <v/>
      </c>
      <c r="C924">
        <f>IF($E924="","",INDEX('Input Transaksi'!$E:$E,$E924))</f>
        <v/>
      </c>
      <c r="D924" s="5">
        <f>IF($E924="","",INDEX('Input Transaksi'!$F:$F,$E924))</f>
        <v/>
      </c>
      <c r="E924">
        <f>IFERROR(AGGREGATE(15,6,ROW('Input Transaksi'!$B$5:$B$5000)/('Input Transaksi'!$B$5:$B$5000="JCL MERPATI"),ROWS($E$5:E924)),"")</f>
        <v/>
      </c>
      <c r="F924" s="5" t="n"/>
    </row>
    <row r="925">
      <c r="A925" s="10">
        <f>IF($E925="","",INDEX('Input Transaksi'!$A:$A,$E925))</f>
        <v/>
      </c>
      <c r="B925" s="5">
        <f>IF($E925="","",INDEX('Input Transaksi'!$D:$D,$E925))</f>
        <v/>
      </c>
      <c r="C925">
        <f>IF($E925="","",INDEX('Input Transaksi'!$E:$E,$E925))</f>
        <v/>
      </c>
      <c r="D925" s="5">
        <f>IF($E925="","",INDEX('Input Transaksi'!$F:$F,$E925))</f>
        <v/>
      </c>
      <c r="E925">
        <f>IFERROR(AGGREGATE(15,6,ROW('Input Transaksi'!$B$5:$B$5000)/('Input Transaksi'!$B$5:$B$5000="JCL MERPATI"),ROWS($E$5:E925)),"")</f>
        <v/>
      </c>
      <c r="F925" s="5" t="n"/>
    </row>
    <row r="926">
      <c r="A926" s="10">
        <f>IF($E926="","",INDEX('Input Transaksi'!$A:$A,$E926))</f>
        <v/>
      </c>
      <c r="B926" s="5">
        <f>IF($E926="","",INDEX('Input Transaksi'!$D:$D,$E926))</f>
        <v/>
      </c>
      <c r="C926">
        <f>IF($E926="","",INDEX('Input Transaksi'!$E:$E,$E926))</f>
        <v/>
      </c>
      <c r="D926" s="5">
        <f>IF($E926="","",INDEX('Input Transaksi'!$F:$F,$E926))</f>
        <v/>
      </c>
      <c r="E926">
        <f>IFERROR(AGGREGATE(15,6,ROW('Input Transaksi'!$B$5:$B$5000)/('Input Transaksi'!$B$5:$B$5000="JCL MERPATI"),ROWS($E$5:E926)),"")</f>
        <v/>
      </c>
      <c r="F926" s="5" t="n"/>
    </row>
    <row r="927">
      <c r="A927" s="10">
        <f>IF($E927="","",INDEX('Input Transaksi'!$A:$A,$E927))</f>
        <v/>
      </c>
      <c r="B927" s="5">
        <f>IF($E927="","",INDEX('Input Transaksi'!$D:$D,$E927))</f>
        <v/>
      </c>
      <c r="C927">
        <f>IF($E927="","",INDEX('Input Transaksi'!$E:$E,$E927))</f>
        <v/>
      </c>
      <c r="D927" s="5">
        <f>IF($E927="","",INDEX('Input Transaksi'!$F:$F,$E927))</f>
        <v/>
      </c>
      <c r="E927">
        <f>IFERROR(AGGREGATE(15,6,ROW('Input Transaksi'!$B$5:$B$5000)/('Input Transaksi'!$B$5:$B$5000="JCL MERPATI"),ROWS($E$5:E927)),"")</f>
        <v/>
      </c>
      <c r="F927" s="5" t="n"/>
    </row>
    <row r="928">
      <c r="A928" s="10">
        <f>IF($E928="","",INDEX('Input Transaksi'!$A:$A,$E928))</f>
        <v/>
      </c>
      <c r="B928" s="5">
        <f>IF($E928="","",INDEX('Input Transaksi'!$D:$D,$E928))</f>
        <v/>
      </c>
      <c r="C928">
        <f>IF($E928="","",INDEX('Input Transaksi'!$E:$E,$E928))</f>
        <v/>
      </c>
      <c r="D928" s="5">
        <f>IF($E928="","",INDEX('Input Transaksi'!$F:$F,$E928))</f>
        <v/>
      </c>
      <c r="E928">
        <f>IFERROR(AGGREGATE(15,6,ROW('Input Transaksi'!$B$5:$B$5000)/('Input Transaksi'!$B$5:$B$5000="JCL MERPATI"),ROWS($E$5:E928)),"")</f>
        <v/>
      </c>
      <c r="F928" s="5" t="n"/>
    </row>
    <row r="929">
      <c r="A929" s="10">
        <f>IF($E929="","",INDEX('Input Transaksi'!$A:$A,$E929))</f>
        <v/>
      </c>
      <c r="B929" s="5">
        <f>IF($E929="","",INDEX('Input Transaksi'!$D:$D,$E929))</f>
        <v/>
      </c>
      <c r="C929">
        <f>IF($E929="","",INDEX('Input Transaksi'!$E:$E,$E929))</f>
        <v/>
      </c>
      <c r="D929" s="5">
        <f>IF($E929="","",INDEX('Input Transaksi'!$F:$F,$E929))</f>
        <v/>
      </c>
      <c r="E929">
        <f>IFERROR(AGGREGATE(15,6,ROW('Input Transaksi'!$B$5:$B$5000)/('Input Transaksi'!$B$5:$B$5000="JCL MERPATI"),ROWS($E$5:E929)),"")</f>
        <v/>
      </c>
      <c r="F929" s="5" t="n"/>
    </row>
    <row r="930">
      <c r="A930" s="10">
        <f>IF($E930="","",INDEX('Input Transaksi'!$A:$A,$E930))</f>
        <v/>
      </c>
      <c r="B930" s="5">
        <f>IF($E930="","",INDEX('Input Transaksi'!$D:$D,$E930))</f>
        <v/>
      </c>
      <c r="C930">
        <f>IF($E930="","",INDEX('Input Transaksi'!$E:$E,$E930))</f>
        <v/>
      </c>
      <c r="D930" s="5">
        <f>IF($E930="","",INDEX('Input Transaksi'!$F:$F,$E930))</f>
        <v/>
      </c>
      <c r="E930">
        <f>IFERROR(AGGREGATE(15,6,ROW('Input Transaksi'!$B$5:$B$5000)/('Input Transaksi'!$B$5:$B$5000="JCL MERPATI"),ROWS($E$5:E930)),"")</f>
        <v/>
      </c>
      <c r="F930" s="5" t="n"/>
    </row>
    <row r="931">
      <c r="A931" s="10">
        <f>IF($E931="","",INDEX('Input Transaksi'!$A:$A,$E931))</f>
        <v/>
      </c>
      <c r="B931" s="5">
        <f>IF($E931="","",INDEX('Input Transaksi'!$D:$D,$E931))</f>
        <v/>
      </c>
      <c r="C931">
        <f>IF($E931="","",INDEX('Input Transaksi'!$E:$E,$E931))</f>
        <v/>
      </c>
      <c r="D931" s="5">
        <f>IF($E931="","",INDEX('Input Transaksi'!$F:$F,$E931))</f>
        <v/>
      </c>
      <c r="E931">
        <f>IFERROR(AGGREGATE(15,6,ROW('Input Transaksi'!$B$5:$B$5000)/('Input Transaksi'!$B$5:$B$5000="JCL MERPATI"),ROWS($E$5:E931)),"")</f>
        <v/>
      </c>
      <c r="F931" s="5" t="n"/>
    </row>
    <row r="932">
      <c r="A932" s="10">
        <f>IF($E932="","",INDEX('Input Transaksi'!$A:$A,$E932))</f>
        <v/>
      </c>
      <c r="B932" s="5">
        <f>IF($E932="","",INDEX('Input Transaksi'!$D:$D,$E932))</f>
        <v/>
      </c>
      <c r="C932">
        <f>IF($E932="","",INDEX('Input Transaksi'!$E:$E,$E932))</f>
        <v/>
      </c>
      <c r="D932" s="5">
        <f>IF($E932="","",INDEX('Input Transaksi'!$F:$F,$E932))</f>
        <v/>
      </c>
      <c r="E932">
        <f>IFERROR(AGGREGATE(15,6,ROW('Input Transaksi'!$B$5:$B$5000)/('Input Transaksi'!$B$5:$B$5000="JCL MERPATI"),ROWS($E$5:E932)),"")</f>
        <v/>
      </c>
      <c r="F932" s="5" t="n"/>
    </row>
    <row r="933">
      <c r="A933" s="10">
        <f>IF($E933="","",INDEX('Input Transaksi'!$A:$A,$E933))</f>
        <v/>
      </c>
      <c r="B933" s="5">
        <f>IF($E933="","",INDEX('Input Transaksi'!$D:$D,$E933))</f>
        <v/>
      </c>
      <c r="C933">
        <f>IF($E933="","",INDEX('Input Transaksi'!$E:$E,$E933))</f>
        <v/>
      </c>
      <c r="D933" s="5">
        <f>IF($E933="","",INDEX('Input Transaksi'!$F:$F,$E933))</f>
        <v/>
      </c>
      <c r="E933">
        <f>IFERROR(AGGREGATE(15,6,ROW('Input Transaksi'!$B$5:$B$5000)/('Input Transaksi'!$B$5:$B$5000="JCL MERPATI"),ROWS($E$5:E933)),"")</f>
        <v/>
      </c>
      <c r="F933" s="5" t="n"/>
    </row>
    <row r="934">
      <c r="A934" s="10">
        <f>IF($E934="","",INDEX('Input Transaksi'!$A:$A,$E934))</f>
        <v/>
      </c>
      <c r="B934" s="5">
        <f>IF($E934="","",INDEX('Input Transaksi'!$D:$D,$E934))</f>
        <v/>
      </c>
      <c r="C934">
        <f>IF($E934="","",INDEX('Input Transaksi'!$E:$E,$E934))</f>
        <v/>
      </c>
      <c r="D934" s="5">
        <f>IF($E934="","",INDEX('Input Transaksi'!$F:$F,$E934))</f>
        <v/>
      </c>
      <c r="E934">
        <f>IFERROR(AGGREGATE(15,6,ROW('Input Transaksi'!$B$5:$B$5000)/('Input Transaksi'!$B$5:$B$5000="JCL MERPATI"),ROWS($E$5:E934)),"")</f>
        <v/>
      </c>
      <c r="F934" s="5" t="n"/>
    </row>
    <row r="935">
      <c r="A935" s="10">
        <f>IF($E935="","",INDEX('Input Transaksi'!$A:$A,$E935))</f>
        <v/>
      </c>
      <c r="B935" s="5">
        <f>IF($E935="","",INDEX('Input Transaksi'!$D:$D,$E935))</f>
        <v/>
      </c>
      <c r="C935">
        <f>IF($E935="","",INDEX('Input Transaksi'!$E:$E,$E935))</f>
        <v/>
      </c>
      <c r="D935" s="5">
        <f>IF($E935="","",INDEX('Input Transaksi'!$F:$F,$E935))</f>
        <v/>
      </c>
      <c r="E935">
        <f>IFERROR(AGGREGATE(15,6,ROW('Input Transaksi'!$B$5:$B$5000)/('Input Transaksi'!$B$5:$B$5000="JCL MERPATI"),ROWS($E$5:E935)),"")</f>
        <v/>
      </c>
      <c r="F935" s="5" t="n"/>
    </row>
    <row r="936">
      <c r="A936" s="10">
        <f>IF($E936="","",INDEX('Input Transaksi'!$A:$A,$E936))</f>
        <v/>
      </c>
      <c r="B936" s="5">
        <f>IF($E936="","",INDEX('Input Transaksi'!$D:$D,$E936))</f>
        <v/>
      </c>
      <c r="C936">
        <f>IF($E936="","",INDEX('Input Transaksi'!$E:$E,$E936))</f>
        <v/>
      </c>
      <c r="D936" s="5">
        <f>IF($E936="","",INDEX('Input Transaksi'!$F:$F,$E936))</f>
        <v/>
      </c>
      <c r="E936">
        <f>IFERROR(AGGREGATE(15,6,ROW('Input Transaksi'!$B$5:$B$5000)/('Input Transaksi'!$B$5:$B$5000="JCL MERPATI"),ROWS($E$5:E936)),"")</f>
        <v/>
      </c>
      <c r="F936" s="5" t="n"/>
    </row>
    <row r="937">
      <c r="A937" s="10">
        <f>IF($E937="","",INDEX('Input Transaksi'!$A:$A,$E937))</f>
        <v/>
      </c>
      <c r="B937" s="5">
        <f>IF($E937="","",INDEX('Input Transaksi'!$D:$D,$E937))</f>
        <v/>
      </c>
      <c r="C937">
        <f>IF($E937="","",INDEX('Input Transaksi'!$E:$E,$E937))</f>
        <v/>
      </c>
      <c r="D937" s="5">
        <f>IF($E937="","",INDEX('Input Transaksi'!$F:$F,$E937))</f>
        <v/>
      </c>
      <c r="E937">
        <f>IFERROR(AGGREGATE(15,6,ROW('Input Transaksi'!$B$5:$B$5000)/('Input Transaksi'!$B$5:$B$5000="JCL MERPATI"),ROWS($E$5:E937)),"")</f>
        <v/>
      </c>
      <c r="F937" s="5" t="n"/>
    </row>
    <row r="938">
      <c r="A938" s="10">
        <f>IF($E938="","",INDEX('Input Transaksi'!$A:$A,$E938))</f>
        <v/>
      </c>
      <c r="B938" s="5">
        <f>IF($E938="","",INDEX('Input Transaksi'!$D:$D,$E938))</f>
        <v/>
      </c>
      <c r="C938">
        <f>IF($E938="","",INDEX('Input Transaksi'!$E:$E,$E938))</f>
        <v/>
      </c>
      <c r="D938" s="5">
        <f>IF($E938="","",INDEX('Input Transaksi'!$F:$F,$E938))</f>
        <v/>
      </c>
      <c r="E938">
        <f>IFERROR(AGGREGATE(15,6,ROW('Input Transaksi'!$B$5:$B$5000)/('Input Transaksi'!$B$5:$B$5000="JCL MERPATI"),ROWS($E$5:E938)),"")</f>
        <v/>
      </c>
      <c r="F938" s="5" t="n"/>
    </row>
    <row r="939">
      <c r="A939" s="10">
        <f>IF($E939="","",INDEX('Input Transaksi'!$A:$A,$E939))</f>
        <v/>
      </c>
      <c r="B939" s="5">
        <f>IF($E939="","",INDEX('Input Transaksi'!$D:$D,$E939))</f>
        <v/>
      </c>
      <c r="C939">
        <f>IF($E939="","",INDEX('Input Transaksi'!$E:$E,$E939))</f>
        <v/>
      </c>
      <c r="D939" s="5">
        <f>IF($E939="","",INDEX('Input Transaksi'!$F:$F,$E939))</f>
        <v/>
      </c>
      <c r="E939">
        <f>IFERROR(AGGREGATE(15,6,ROW('Input Transaksi'!$B$5:$B$5000)/('Input Transaksi'!$B$5:$B$5000="JCL MERPATI"),ROWS($E$5:E939)),"")</f>
        <v/>
      </c>
      <c r="F939" s="5" t="n"/>
    </row>
    <row r="940">
      <c r="A940" s="10">
        <f>IF($E940="","",INDEX('Input Transaksi'!$A:$A,$E940))</f>
        <v/>
      </c>
      <c r="B940" s="5">
        <f>IF($E940="","",INDEX('Input Transaksi'!$D:$D,$E940))</f>
        <v/>
      </c>
      <c r="C940">
        <f>IF($E940="","",INDEX('Input Transaksi'!$E:$E,$E940))</f>
        <v/>
      </c>
      <c r="D940" s="5">
        <f>IF($E940="","",INDEX('Input Transaksi'!$F:$F,$E940))</f>
        <v/>
      </c>
      <c r="E940">
        <f>IFERROR(AGGREGATE(15,6,ROW('Input Transaksi'!$B$5:$B$5000)/('Input Transaksi'!$B$5:$B$5000="JCL MERPATI"),ROWS($E$5:E940)),"")</f>
        <v/>
      </c>
      <c r="F940" s="5" t="n"/>
    </row>
    <row r="941">
      <c r="A941" s="10">
        <f>IF($E941="","",INDEX('Input Transaksi'!$A:$A,$E941))</f>
        <v/>
      </c>
      <c r="B941" s="5">
        <f>IF($E941="","",INDEX('Input Transaksi'!$D:$D,$E941))</f>
        <v/>
      </c>
      <c r="C941">
        <f>IF($E941="","",INDEX('Input Transaksi'!$E:$E,$E941))</f>
        <v/>
      </c>
      <c r="D941" s="5">
        <f>IF($E941="","",INDEX('Input Transaksi'!$F:$F,$E941))</f>
        <v/>
      </c>
      <c r="E941">
        <f>IFERROR(AGGREGATE(15,6,ROW('Input Transaksi'!$B$5:$B$5000)/('Input Transaksi'!$B$5:$B$5000="JCL MERPATI"),ROWS($E$5:E941)),"")</f>
        <v/>
      </c>
      <c r="F941" s="5" t="n"/>
    </row>
    <row r="942">
      <c r="A942" s="10">
        <f>IF($E942="","",INDEX('Input Transaksi'!$A:$A,$E942))</f>
        <v/>
      </c>
      <c r="B942" s="5">
        <f>IF($E942="","",INDEX('Input Transaksi'!$D:$D,$E942))</f>
        <v/>
      </c>
      <c r="C942">
        <f>IF($E942="","",INDEX('Input Transaksi'!$E:$E,$E942))</f>
        <v/>
      </c>
      <c r="D942" s="5">
        <f>IF($E942="","",INDEX('Input Transaksi'!$F:$F,$E942))</f>
        <v/>
      </c>
      <c r="E942">
        <f>IFERROR(AGGREGATE(15,6,ROW('Input Transaksi'!$B$5:$B$5000)/('Input Transaksi'!$B$5:$B$5000="JCL MERPATI"),ROWS($E$5:E942)),"")</f>
        <v/>
      </c>
      <c r="F942" s="5" t="n"/>
    </row>
    <row r="943">
      <c r="A943" s="10">
        <f>IF($E943="","",INDEX('Input Transaksi'!$A:$A,$E943))</f>
        <v/>
      </c>
      <c r="B943" s="5">
        <f>IF($E943="","",INDEX('Input Transaksi'!$D:$D,$E943))</f>
        <v/>
      </c>
      <c r="C943">
        <f>IF($E943="","",INDEX('Input Transaksi'!$E:$E,$E943))</f>
        <v/>
      </c>
      <c r="D943" s="5">
        <f>IF($E943="","",INDEX('Input Transaksi'!$F:$F,$E943))</f>
        <v/>
      </c>
      <c r="E943">
        <f>IFERROR(AGGREGATE(15,6,ROW('Input Transaksi'!$B$5:$B$5000)/('Input Transaksi'!$B$5:$B$5000="JCL MERPATI"),ROWS($E$5:E943)),"")</f>
        <v/>
      </c>
      <c r="F943" s="5" t="n"/>
    </row>
    <row r="944">
      <c r="A944" s="10">
        <f>IF($E944="","",INDEX('Input Transaksi'!$A:$A,$E944))</f>
        <v/>
      </c>
      <c r="B944" s="5">
        <f>IF($E944="","",INDEX('Input Transaksi'!$D:$D,$E944))</f>
        <v/>
      </c>
      <c r="C944">
        <f>IF($E944="","",INDEX('Input Transaksi'!$E:$E,$E944))</f>
        <v/>
      </c>
      <c r="D944" s="5">
        <f>IF($E944="","",INDEX('Input Transaksi'!$F:$F,$E944))</f>
        <v/>
      </c>
      <c r="E944">
        <f>IFERROR(AGGREGATE(15,6,ROW('Input Transaksi'!$B$5:$B$5000)/('Input Transaksi'!$B$5:$B$5000="JCL MERPATI"),ROWS($E$5:E944)),"")</f>
        <v/>
      </c>
      <c r="F944" s="5" t="n"/>
    </row>
    <row r="945">
      <c r="A945" s="10">
        <f>IF($E945="","",INDEX('Input Transaksi'!$A:$A,$E945))</f>
        <v/>
      </c>
      <c r="B945" s="5">
        <f>IF($E945="","",INDEX('Input Transaksi'!$D:$D,$E945))</f>
        <v/>
      </c>
      <c r="C945">
        <f>IF($E945="","",INDEX('Input Transaksi'!$E:$E,$E945))</f>
        <v/>
      </c>
      <c r="D945" s="5">
        <f>IF($E945="","",INDEX('Input Transaksi'!$F:$F,$E945))</f>
        <v/>
      </c>
      <c r="E945">
        <f>IFERROR(AGGREGATE(15,6,ROW('Input Transaksi'!$B$5:$B$5000)/('Input Transaksi'!$B$5:$B$5000="JCL MERPATI"),ROWS($E$5:E945)),"")</f>
        <v/>
      </c>
      <c r="F945" s="5" t="n"/>
    </row>
    <row r="946">
      <c r="A946" s="10">
        <f>IF($E946="","",INDEX('Input Transaksi'!$A:$A,$E946))</f>
        <v/>
      </c>
      <c r="B946" s="5">
        <f>IF($E946="","",INDEX('Input Transaksi'!$D:$D,$E946))</f>
        <v/>
      </c>
      <c r="C946">
        <f>IF($E946="","",INDEX('Input Transaksi'!$E:$E,$E946))</f>
        <v/>
      </c>
      <c r="D946" s="5">
        <f>IF($E946="","",INDEX('Input Transaksi'!$F:$F,$E946))</f>
        <v/>
      </c>
      <c r="E946">
        <f>IFERROR(AGGREGATE(15,6,ROW('Input Transaksi'!$B$5:$B$5000)/('Input Transaksi'!$B$5:$B$5000="JCL MERPATI"),ROWS($E$5:E946)),"")</f>
        <v/>
      </c>
      <c r="F946" s="5" t="n"/>
    </row>
    <row r="947">
      <c r="A947" s="10">
        <f>IF($E947="","",INDEX('Input Transaksi'!$A:$A,$E947))</f>
        <v/>
      </c>
      <c r="B947" s="5">
        <f>IF($E947="","",INDEX('Input Transaksi'!$D:$D,$E947))</f>
        <v/>
      </c>
      <c r="C947">
        <f>IF($E947="","",INDEX('Input Transaksi'!$E:$E,$E947))</f>
        <v/>
      </c>
      <c r="D947" s="5">
        <f>IF($E947="","",INDEX('Input Transaksi'!$F:$F,$E947))</f>
        <v/>
      </c>
      <c r="E947">
        <f>IFERROR(AGGREGATE(15,6,ROW('Input Transaksi'!$B$5:$B$5000)/('Input Transaksi'!$B$5:$B$5000="JCL MERPATI"),ROWS($E$5:E947)),"")</f>
        <v/>
      </c>
      <c r="F947" s="5" t="n"/>
    </row>
    <row r="948">
      <c r="A948" s="10">
        <f>IF($E948="","",INDEX('Input Transaksi'!$A:$A,$E948))</f>
        <v/>
      </c>
      <c r="B948" s="5">
        <f>IF($E948="","",INDEX('Input Transaksi'!$D:$D,$E948))</f>
        <v/>
      </c>
      <c r="C948">
        <f>IF($E948="","",INDEX('Input Transaksi'!$E:$E,$E948))</f>
        <v/>
      </c>
      <c r="D948" s="5">
        <f>IF($E948="","",INDEX('Input Transaksi'!$F:$F,$E948))</f>
        <v/>
      </c>
      <c r="E948">
        <f>IFERROR(AGGREGATE(15,6,ROW('Input Transaksi'!$B$5:$B$5000)/('Input Transaksi'!$B$5:$B$5000="JCL MERPATI"),ROWS($E$5:E948)),"")</f>
        <v/>
      </c>
      <c r="F948" s="5" t="n"/>
    </row>
    <row r="949">
      <c r="A949" s="10">
        <f>IF($E949="","",INDEX('Input Transaksi'!$A:$A,$E949))</f>
        <v/>
      </c>
      <c r="B949" s="5">
        <f>IF($E949="","",INDEX('Input Transaksi'!$D:$D,$E949))</f>
        <v/>
      </c>
      <c r="C949">
        <f>IF($E949="","",INDEX('Input Transaksi'!$E:$E,$E949))</f>
        <v/>
      </c>
      <c r="D949" s="5">
        <f>IF($E949="","",INDEX('Input Transaksi'!$F:$F,$E949))</f>
        <v/>
      </c>
      <c r="E949">
        <f>IFERROR(AGGREGATE(15,6,ROW('Input Transaksi'!$B$5:$B$5000)/('Input Transaksi'!$B$5:$B$5000="JCL MERPATI"),ROWS($E$5:E949)),"")</f>
        <v/>
      </c>
      <c r="F949" s="5" t="n"/>
    </row>
    <row r="950">
      <c r="A950" s="10">
        <f>IF($E950="","",INDEX('Input Transaksi'!$A:$A,$E950))</f>
        <v/>
      </c>
      <c r="B950" s="5">
        <f>IF($E950="","",INDEX('Input Transaksi'!$D:$D,$E950))</f>
        <v/>
      </c>
      <c r="C950">
        <f>IF($E950="","",INDEX('Input Transaksi'!$E:$E,$E950))</f>
        <v/>
      </c>
      <c r="D950" s="5">
        <f>IF($E950="","",INDEX('Input Transaksi'!$F:$F,$E950))</f>
        <v/>
      </c>
      <c r="E950">
        <f>IFERROR(AGGREGATE(15,6,ROW('Input Transaksi'!$B$5:$B$5000)/('Input Transaksi'!$B$5:$B$5000="JCL MERPATI"),ROWS($E$5:E950)),"")</f>
        <v/>
      </c>
      <c r="F950" s="5" t="n"/>
    </row>
    <row r="951">
      <c r="A951" s="10">
        <f>IF($E951="","",INDEX('Input Transaksi'!$A:$A,$E951))</f>
        <v/>
      </c>
      <c r="B951" s="5">
        <f>IF($E951="","",INDEX('Input Transaksi'!$D:$D,$E951))</f>
        <v/>
      </c>
      <c r="C951">
        <f>IF($E951="","",INDEX('Input Transaksi'!$E:$E,$E951))</f>
        <v/>
      </c>
      <c r="D951" s="5">
        <f>IF($E951="","",INDEX('Input Transaksi'!$F:$F,$E951))</f>
        <v/>
      </c>
      <c r="E951">
        <f>IFERROR(AGGREGATE(15,6,ROW('Input Transaksi'!$B$5:$B$5000)/('Input Transaksi'!$B$5:$B$5000="JCL MERPATI"),ROWS($E$5:E951)),"")</f>
        <v/>
      </c>
      <c r="F951" s="5" t="n"/>
    </row>
    <row r="952">
      <c r="A952" s="10">
        <f>IF($E952="","",INDEX('Input Transaksi'!$A:$A,$E952))</f>
        <v/>
      </c>
      <c r="B952" s="5">
        <f>IF($E952="","",INDEX('Input Transaksi'!$D:$D,$E952))</f>
        <v/>
      </c>
      <c r="C952">
        <f>IF($E952="","",INDEX('Input Transaksi'!$E:$E,$E952))</f>
        <v/>
      </c>
      <c r="D952" s="5">
        <f>IF($E952="","",INDEX('Input Transaksi'!$F:$F,$E952))</f>
        <v/>
      </c>
      <c r="E952">
        <f>IFERROR(AGGREGATE(15,6,ROW('Input Transaksi'!$B$5:$B$5000)/('Input Transaksi'!$B$5:$B$5000="JCL MERPATI"),ROWS($E$5:E952)),"")</f>
        <v/>
      </c>
      <c r="F952" s="5" t="n"/>
    </row>
    <row r="953">
      <c r="A953" s="10">
        <f>IF($E953="","",INDEX('Input Transaksi'!$A:$A,$E953))</f>
        <v/>
      </c>
      <c r="B953" s="5">
        <f>IF($E953="","",INDEX('Input Transaksi'!$D:$D,$E953))</f>
        <v/>
      </c>
      <c r="C953">
        <f>IF($E953="","",INDEX('Input Transaksi'!$E:$E,$E953))</f>
        <v/>
      </c>
      <c r="D953" s="5">
        <f>IF($E953="","",INDEX('Input Transaksi'!$F:$F,$E953))</f>
        <v/>
      </c>
      <c r="E953">
        <f>IFERROR(AGGREGATE(15,6,ROW('Input Transaksi'!$B$5:$B$5000)/('Input Transaksi'!$B$5:$B$5000="JCL MERPATI"),ROWS($E$5:E953)),"")</f>
        <v/>
      </c>
      <c r="F953" s="5" t="n"/>
    </row>
    <row r="954">
      <c r="A954" s="10">
        <f>IF($E954="","",INDEX('Input Transaksi'!$A:$A,$E954))</f>
        <v/>
      </c>
      <c r="B954" s="5">
        <f>IF($E954="","",INDEX('Input Transaksi'!$D:$D,$E954))</f>
        <v/>
      </c>
      <c r="C954">
        <f>IF($E954="","",INDEX('Input Transaksi'!$E:$E,$E954))</f>
        <v/>
      </c>
      <c r="D954" s="5">
        <f>IF($E954="","",INDEX('Input Transaksi'!$F:$F,$E954))</f>
        <v/>
      </c>
      <c r="E954">
        <f>IFERROR(AGGREGATE(15,6,ROW('Input Transaksi'!$B$5:$B$5000)/('Input Transaksi'!$B$5:$B$5000="JCL MERPATI"),ROWS($E$5:E954)),"")</f>
        <v/>
      </c>
      <c r="F954" s="5" t="n"/>
    </row>
    <row r="955">
      <c r="A955" s="10">
        <f>IF($E955="","",INDEX('Input Transaksi'!$A:$A,$E955))</f>
        <v/>
      </c>
      <c r="B955" s="5">
        <f>IF($E955="","",INDEX('Input Transaksi'!$D:$D,$E955))</f>
        <v/>
      </c>
      <c r="C955">
        <f>IF($E955="","",INDEX('Input Transaksi'!$E:$E,$E955))</f>
        <v/>
      </c>
      <c r="D955" s="5">
        <f>IF($E955="","",INDEX('Input Transaksi'!$F:$F,$E955))</f>
        <v/>
      </c>
      <c r="E955">
        <f>IFERROR(AGGREGATE(15,6,ROW('Input Transaksi'!$B$5:$B$5000)/('Input Transaksi'!$B$5:$B$5000="JCL MERPATI"),ROWS($E$5:E955)),"")</f>
        <v/>
      </c>
      <c r="F955" s="5" t="n"/>
    </row>
    <row r="956">
      <c r="A956" s="10">
        <f>IF($E956="","",INDEX('Input Transaksi'!$A:$A,$E956))</f>
        <v/>
      </c>
      <c r="B956" s="5">
        <f>IF($E956="","",INDEX('Input Transaksi'!$D:$D,$E956))</f>
        <v/>
      </c>
      <c r="C956">
        <f>IF($E956="","",INDEX('Input Transaksi'!$E:$E,$E956))</f>
        <v/>
      </c>
      <c r="D956" s="5">
        <f>IF($E956="","",INDEX('Input Transaksi'!$F:$F,$E956))</f>
        <v/>
      </c>
      <c r="E956">
        <f>IFERROR(AGGREGATE(15,6,ROW('Input Transaksi'!$B$5:$B$5000)/('Input Transaksi'!$B$5:$B$5000="JCL MERPATI"),ROWS($E$5:E956)),"")</f>
        <v/>
      </c>
      <c r="F956" s="5" t="n"/>
    </row>
    <row r="957">
      <c r="A957" s="10">
        <f>IF($E957="","",INDEX('Input Transaksi'!$A:$A,$E957))</f>
        <v/>
      </c>
      <c r="B957" s="5">
        <f>IF($E957="","",INDEX('Input Transaksi'!$D:$D,$E957))</f>
        <v/>
      </c>
      <c r="C957">
        <f>IF($E957="","",INDEX('Input Transaksi'!$E:$E,$E957))</f>
        <v/>
      </c>
      <c r="D957" s="5">
        <f>IF($E957="","",INDEX('Input Transaksi'!$F:$F,$E957))</f>
        <v/>
      </c>
      <c r="E957">
        <f>IFERROR(AGGREGATE(15,6,ROW('Input Transaksi'!$B$5:$B$5000)/('Input Transaksi'!$B$5:$B$5000="JCL MERPATI"),ROWS($E$5:E957)),"")</f>
        <v/>
      </c>
      <c r="F957" s="5" t="n"/>
    </row>
    <row r="958">
      <c r="A958" s="10">
        <f>IF($E958="","",INDEX('Input Transaksi'!$A:$A,$E958))</f>
        <v/>
      </c>
      <c r="B958" s="5">
        <f>IF($E958="","",INDEX('Input Transaksi'!$D:$D,$E958))</f>
        <v/>
      </c>
      <c r="C958">
        <f>IF($E958="","",INDEX('Input Transaksi'!$E:$E,$E958))</f>
        <v/>
      </c>
      <c r="D958" s="5">
        <f>IF($E958="","",INDEX('Input Transaksi'!$F:$F,$E958))</f>
        <v/>
      </c>
      <c r="E958">
        <f>IFERROR(AGGREGATE(15,6,ROW('Input Transaksi'!$B$5:$B$5000)/('Input Transaksi'!$B$5:$B$5000="JCL MERPATI"),ROWS($E$5:E958)),"")</f>
        <v/>
      </c>
      <c r="F958" s="5" t="n"/>
    </row>
    <row r="959">
      <c r="A959" s="10">
        <f>IF($E959="","",INDEX('Input Transaksi'!$A:$A,$E959))</f>
        <v/>
      </c>
      <c r="B959" s="5">
        <f>IF($E959="","",INDEX('Input Transaksi'!$D:$D,$E959))</f>
        <v/>
      </c>
      <c r="C959">
        <f>IF($E959="","",INDEX('Input Transaksi'!$E:$E,$E959))</f>
        <v/>
      </c>
      <c r="D959" s="5">
        <f>IF($E959="","",INDEX('Input Transaksi'!$F:$F,$E959))</f>
        <v/>
      </c>
      <c r="E959">
        <f>IFERROR(AGGREGATE(15,6,ROW('Input Transaksi'!$B$5:$B$5000)/('Input Transaksi'!$B$5:$B$5000="JCL MERPATI"),ROWS($E$5:E959)),"")</f>
        <v/>
      </c>
      <c r="F959" s="5" t="n"/>
    </row>
    <row r="960">
      <c r="A960" s="10">
        <f>IF($E960="","",INDEX('Input Transaksi'!$A:$A,$E960))</f>
        <v/>
      </c>
      <c r="B960" s="5">
        <f>IF($E960="","",INDEX('Input Transaksi'!$D:$D,$E960))</f>
        <v/>
      </c>
      <c r="C960">
        <f>IF($E960="","",INDEX('Input Transaksi'!$E:$E,$E960))</f>
        <v/>
      </c>
      <c r="D960" s="5">
        <f>IF($E960="","",INDEX('Input Transaksi'!$F:$F,$E960))</f>
        <v/>
      </c>
      <c r="E960">
        <f>IFERROR(AGGREGATE(15,6,ROW('Input Transaksi'!$B$5:$B$5000)/('Input Transaksi'!$B$5:$B$5000="JCL MERPATI"),ROWS($E$5:E960)),"")</f>
        <v/>
      </c>
      <c r="F960" s="5" t="n"/>
    </row>
    <row r="961">
      <c r="A961" s="10">
        <f>IF($E961="","",INDEX('Input Transaksi'!$A:$A,$E961))</f>
        <v/>
      </c>
      <c r="B961" s="5">
        <f>IF($E961="","",INDEX('Input Transaksi'!$D:$D,$E961))</f>
        <v/>
      </c>
      <c r="C961">
        <f>IF($E961="","",INDEX('Input Transaksi'!$E:$E,$E961))</f>
        <v/>
      </c>
      <c r="D961" s="5">
        <f>IF($E961="","",INDEX('Input Transaksi'!$F:$F,$E961))</f>
        <v/>
      </c>
      <c r="E961">
        <f>IFERROR(AGGREGATE(15,6,ROW('Input Transaksi'!$B$5:$B$5000)/('Input Transaksi'!$B$5:$B$5000="JCL MERPATI"),ROWS($E$5:E961)),"")</f>
        <v/>
      </c>
      <c r="F961" s="5" t="n"/>
    </row>
    <row r="962">
      <c r="A962" s="10">
        <f>IF($E962="","",INDEX('Input Transaksi'!$A:$A,$E962))</f>
        <v/>
      </c>
      <c r="B962" s="5">
        <f>IF($E962="","",INDEX('Input Transaksi'!$D:$D,$E962))</f>
        <v/>
      </c>
      <c r="C962">
        <f>IF($E962="","",INDEX('Input Transaksi'!$E:$E,$E962))</f>
        <v/>
      </c>
      <c r="D962" s="5">
        <f>IF($E962="","",INDEX('Input Transaksi'!$F:$F,$E962))</f>
        <v/>
      </c>
      <c r="E962">
        <f>IFERROR(AGGREGATE(15,6,ROW('Input Transaksi'!$B$5:$B$5000)/('Input Transaksi'!$B$5:$B$5000="JCL MERPATI"),ROWS($E$5:E962)),"")</f>
        <v/>
      </c>
      <c r="F962" s="5" t="n"/>
    </row>
    <row r="963">
      <c r="A963" s="10">
        <f>IF($E963="","",INDEX('Input Transaksi'!$A:$A,$E963))</f>
        <v/>
      </c>
      <c r="B963" s="5">
        <f>IF($E963="","",INDEX('Input Transaksi'!$D:$D,$E963))</f>
        <v/>
      </c>
      <c r="C963">
        <f>IF($E963="","",INDEX('Input Transaksi'!$E:$E,$E963))</f>
        <v/>
      </c>
      <c r="D963" s="5">
        <f>IF($E963="","",INDEX('Input Transaksi'!$F:$F,$E963))</f>
        <v/>
      </c>
      <c r="E963">
        <f>IFERROR(AGGREGATE(15,6,ROW('Input Transaksi'!$B$5:$B$5000)/('Input Transaksi'!$B$5:$B$5000="JCL MERPATI"),ROWS($E$5:E963)),"")</f>
        <v/>
      </c>
      <c r="F963" s="5" t="n"/>
    </row>
    <row r="964">
      <c r="A964" s="10">
        <f>IF($E964="","",INDEX('Input Transaksi'!$A:$A,$E964))</f>
        <v/>
      </c>
      <c r="B964" s="5">
        <f>IF($E964="","",INDEX('Input Transaksi'!$D:$D,$E964))</f>
        <v/>
      </c>
      <c r="C964">
        <f>IF($E964="","",INDEX('Input Transaksi'!$E:$E,$E964))</f>
        <v/>
      </c>
      <c r="D964" s="5">
        <f>IF($E964="","",INDEX('Input Transaksi'!$F:$F,$E964))</f>
        <v/>
      </c>
      <c r="E964">
        <f>IFERROR(AGGREGATE(15,6,ROW('Input Transaksi'!$B$5:$B$5000)/('Input Transaksi'!$B$5:$B$5000="JCL MERPATI"),ROWS($E$5:E964)),"")</f>
        <v/>
      </c>
      <c r="F964" s="5" t="n"/>
    </row>
    <row r="965">
      <c r="A965" s="10">
        <f>IF($E965="","",INDEX('Input Transaksi'!$A:$A,$E965))</f>
        <v/>
      </c>
      <c r="B965" s="5">
        <f>IF($E965="","",INDEX('Input Transaksi'!$D:$D,$E965))</f>
        <v/>
      </c>
      <c r="C965">
        <f>IF($E965="","",INDEX('Input Transaksi'!$E:$E,$E965))</f>
        <v/>
      </c>
      <c r="D965" s="5">
        <f>IF($E965="","",INDEX('Input Transaksi'!$F:$F,$E965))</f>
        <v/>
      </c>
      <c r="E965">
        <f>IFERROR(AGGREGATE(15,6,ROW('Input Transaksi'!$B$5:$B$5000)/('Input Transaksi'!$B$5:$B$5000="JCL MERPATI"),ROWS($E$5:E965)),"")</f>
        <v/>
      </c>
      <c r="F965" s="5" t="n"/>
    </row>
    <row r="966">
      <c r="A966" s="10">
        <f>IF($E966="","",INDEX('Input Transaksi'!$A:$A,$E966))</f>
        <v/>
      </c>
      <c r="B966" s="5">
        <f>IF($E966="","",INDEX('Input Transaksi'!$D:$D,$E966))</f>
        <v/>
      </c>
      <c r="C966">
        <f>IF($E966="","",INDEX('Input Transaksi'!$E:$E,$E966))</f>
        <v/>
      </c>
      <c r="D966" s="5">
        <f>IF($E966="","",INDEX('Input Transaksi'!$F:$F,$E966))</f>
        <v/>
      </c>
      <c r="E966">
        <f>IFERROR(AGGREGATE(15,6,ROW('Input Transaksi'!$B$5:$B$5000)/('Input Transaksi'!$B$5:$B$5000="JCL MERPATI"),ROWS($E$5:E966)),"")</f>
        <v/>
      </c>
      <c r="F966" s="5" t="n"/>
    </row>
    <row r="967">
      <c r="A967" s="10">
        <f>IF($E967="","",INDEX('Input Transaksi'!$A:$A,$E967))</f>
        <v/>
      </c>
      <c r="B967" s="5">
        <f>IF($E967="","",INDEX('Input Transaksi'!$D:$D,$E967))</f>
        <v/>
      </c>
      <c r="C967">
        <f>IF($E967="","",INDEX('Input Transaksi'!$E:$E,$E967))</f>
        <v/>
      </c>
      <c r="D967" s="5">
        <f>IF($E967="","",INDEX('Input Transaksi'!$F:$F,$E967))</f>
        <v/>
      </c>
      <c r="E967">
        <f>IFERROR(AGGREGATE(15,6,ROW('Input Transaksi'!$B$5:$B$5000)/('Input Transaksi'!$B$5:$B$5000="JCL MERPATI"),ROWS($E$5:E967)),"")</f>
        <v/>
      </c>
      <c r="F967" s="5" t="n"/>
    </row>
    <row r="968">
      <c r="A968" s="10">
        <f>IF($E968="","",INDEX('Input Transaksi'!$A:$A,$E968))</f>
        <v/>
      </c>
      <c r="B968" s="5">
        <f>IF($E968="","",INDEX('Input Transaksi'!$D:$D,$E968))</f>
        <v/>
      </c>
      <c r="C968">
        <f>IF($E968="","",INDEX('Input Transaksi'!$E:$E,$E968))</f>
        <v/>
      </c>
      <c r="D968" s="5">
        <f>IF($E968="","",INDEX('Input Transaksi'!$F:$F,$E968))</f>
        <v/>
      </c>
      <c r="E968">
        <f>IFERROR(AGGREGATE(15,6,ROW('Input Transaksi'!$B$5:$B$5000)/('Input Transaksi'!$B$5:$B$5000="JCL MERPATI"),ROWS($E$5:E968)),"")</f>
        <v/>
      </c>
      <c r="F968" s="5" t="n"/>
    </row>
    <row r="969">
      <c r="A969" s="10">
        <f>IF($E969="","",INDEX('Input Transaksi'!$A:$A,$E969))</f>
        <v/>
      </c>
      <c r="B969" s="5">
        <f>IF($E969="","",INDEX('Input Transaksi'!$D:$D,$E969))</f>
        <v/>
      </c>
      <c r="C969">
        <f>IF($E969="","",INDEX('Input Transaksi'!$E:$E,$E969))</f>
        <v/>
      </c>
      <c r="D969" s="5">
        <f>IF($E969="","",INDEX('Input Transaksi'!$F:$F,$E969))</f>
        <v/>
      </c>
      <c r="E969">
        <f>IFERROR(AGGREGATE(15,6,ROW('Input Transaksi'!$B$5:$B$5000)/('Input Transaksi'!$B$5:$B$5000="JCL MERPATI"),ROWS($E$5:E969)),"")</f>
        <v/>
      </c>
      <c r="F969" s="5" t="n"/>
    </row>
    <row r="970">
      <c r="A970" s="10">
        <f>IF($E970="","",INDEX('Input Transaksi'!$A:$A,$E970))</f>
        <v/>
      </c>
      <c r="B970" s="5">
        <f>IF($E970="","",INDEX('Input Transaksi'!$D:$D,$E970))</f>
        <v/>
      </c>
      <c r="C970">
        <f>IF($E970="","",INDEX('Input Transaksi'!$E:$E,$E970))</f>
        <v/>
      </c>
      <c r="D970" s="5">
        <f>IF($E970="","",INDEX('Input Transaksi'!$F:$F,$E970))</f>
        <v/>
      </c>
      <c r="E970">
        <f>IFERROR(AGGREGATE(15,6,ROW('Input Transaksi'!$B$5:$B$5000)/('Input Transaksi'!$B$5:$B$5000="JCL MERPATI"),ROWS($E$5:E970)),"")</f>
        <v/>
      </c>
      <c r="F970" s="5" t="n"/>
    </row>
    <row r="971">
      <c r="A971" s="10">
        <f>IF($E971="","",INDEX('Input Transaksi'!$A:$A,$E971))</f>
        <v/>
      </c>
      <c r="B971" s="5">
        <f>IF($E971="","",INDEX('Input Transaksi'!$D:$D,$E971))</f>
        <v/>
      </c>
      <c r="C971">
        <f>IF($E971="","",INDEX('Input Transaksi'!$E:$E,$E971))</f>
        <v/>
      </c>
      <c r="D971" s="5">
        <f>IF($E971="","",INDEX('Input Transaksi'!$F:$F,$E971))</f>
        <v/>
      </c>
      <c r="E971">
        <f>IFERROR(AGGREGATE(15,6,ROW('Input Transaksi'!$B$5:$B$5000)/('Input Transaksi'!$B$5:$B$5000="JCL MERPATI"),ROWS($E$5:E971)),"")</f>
        <v/>
      </c>
      <c r="F971" s="5" t="n"/>
    </row>
    <row r="972">
      <c r="A972" s="10">
        <f>IF($E972="","",INDEX('Input Transaksi'!$A:$A,$E972))</f>
        <v/>
      </c>
      <c r="B972" s="5">
        <f>IF($E972="","",INDEX('Input Transaksi'!$D:$D,$E972))</f>
        <v/>
      </c>
      <c r="C972">
        <f>IF($E972="","",INDEX('Input Transaksi'!$E:$E,$E972))</f>
        <v/>
      </c>
      <c r="D972" s="5">
        <f>IF($E972="","",INDEX('Input Transaksi'!$F:$F,$E972))</f>
        <v/>
      </c>
      <c r="E972">
        <f>IFERROR(AGGREGATE(15,6,ROW('Input Transaksi'!$B$5:$B$5000)/('Input Transaksi'!$B$5:$B$5000="JCL MERPATI"),ROWS($E$5:E972)),"")</f>
        <v/>
      </c>
      <c r="F972" s="5" t="n"/>
    </row>
    <row r="973">
      <c r="A973" s="10">
        <f>IF($E973="","",INDEX('Input Transaksi'!$A:$A,$E973))</f>
        <v/>
      </c>
      <c r="B973" s="5">
        <f>IF($E973="","",INDEX('Input Transaksi'!$D:$D,$E973))</f>
        <v/>
      </c>
      <c r="C973">
        <f>IF($E973="","",INDEX('Input Transaksi'!$E:$E,$E973))</f>
        <v/>
      </c>
      <c r="D973" s="5">
        <f>IF($E973="","",INDEX('Input Transaksi'!$F:$F,$E973))</f>
        <v/>
      </c>
      <c r="E973">
        <f>IFERROR(AGGREGATE(15,6,ROW('Input Transaksi'!$B$5:$B$5000)/('Input Transaksi'!$B$5:$B$5000="JCL MERPATI"),ROWS($E$5:E973)),"")</f>
        <v/>
      </c>
      <c r="F973" s="5" t="n"/>
    </row>
    <row r="974">
      <c r="A974" s="10">
        <f>IF($E974="","",INDEX('Input Transaksi'!$A:$A,$E974))</f>
        <v/>
      </c>
      <c r="B974" s="5">
        <f>IF($E974="","",INDEX('Input Transaksi'!$D:$D,$E974))</f>
        <v/>
      </c>
      <c r="C974">
        <f>IF($E974="","",INDEX('Input Transaksi'!$E:$E,$E974))</f>
        <v/>
      </c>
      <c r="D974" s="5">
        <f>IF($E974="","",INDEX('Input Transaksi'!$F:$F,$E974))</f>
        <v/>
      </c>
      <c r="E974">
        <f>IFERROR(AGGREGATE(15,6,ROW('Input Transaksi'!$B$5:$B$5000)/('Input Transaksi'!$B$5:$B$5000="JCL MERPATI"),ROWS($E$5:E974)),"")</f>
        <v/>
      </c>
      <c r="F974" s="5" t="n"/>
    </row>
    <row r="975">
      <c r="A975" s="10">
        <f>IF($E975="","",INDEX('Input Transaksi'!$A:$A,$E975))</f>
        <v/>
      </c>
      <c r="B975" s="5">
        <f>IF($E975="","",INDEX('Input Transaksi'!$D:$D,$E975))</f>
        <v/>
      </c>
      <c r="C975">
        <f>IF($E975="","",INDEX('Input Transaksi'!$E:$E,$E975))</f>
        <v/>
      </c>
      <c r="D975" s="5">
        <f>IF($E975="","",INDEX('Input Transaksi'!$F:$F,$E975))</f>
        <v/>
      </c>
      <c r="E975">
        <f>IFERROR(AGGREGATE(15,6,ROW('Input Transaksi'!$B$5:$B$5000)/('Input Transaksi'!$B$5:$B$5000="JCL MERPATI"),ROWS($E$5:E975)),"")</f>
        <v/>
      </c>
      <c r="F975" s="5" t="n"/>
    </row>
    <row r="976">
      <c r="A976" s="10">
        <f>IF($E976="","",INDEX('Input Transaksi'!$A:$A,$E976))</f>
        <v/>
      </c>
      <c r="B976" s="5">
        <f>IF($E976="","",INDEX('Input Transaksi'!$D:$D,$E976))</f>
        <v/>
      </c>
      <c r="C976">
        <f>IF($E976="","",INDEX('Input Transaksi'!$E:$E,$E976))</f>
        <v/>
      </c>
      <c r="D976" s="5">
        <f>IF($E976="","",INDEX('Input Transaksi'!$F:$F,$E976))</f>
        <v/>
      </c>
      <c r="E976">
        <f>IFERROR(AGGREGATE(15,6,ROW('Input Transaksi'!$B$5:$B$5000)/('Input Transaksi'!$B$5:$B$5000="JCL MERPATI"),ROWS($E$5:E976)),"")</f>
        <v/>
      </c>
      <c r="F976" s="5" t="n"/>
    </row>
    <row r="977">
      <c r="A977" s="10">
        <f>IF($E977="","",INDEX('Input Transaksi'!$A:$A,$E977))</f>
        <v/>
      </c>
      <c r="B977" s="5">
        <f>IF($E977="","",INDEX('Input Transaksi'!$D:$D,$E977))</f>
        <v/>
      </c>
      <c r="C977">
        <f>IF($E977="","",INDEX('Input Transaksi'!$E:$E,$E977))</f>
        <v/>
      </c>
      <c r="D977" s="5">
        <f>IF($E977="","",INDEX('Input Transaksi'!$F:$F,$E977))</f>
        <v/>
      </c>
      <c r="E977">
        <f>IFERROR(AGGREGATE(15,6,ROW('Input Transaksi'!$B$5:$B$5000)/('Input Transaksi'!$B$5:$B$5000="JCL MERPATI"),ROWS($E$5:E977)),"")</f>
        <v/>
      </c>
      <c r="F977" s="5" t="n"/>
    </row>
    <row r="978">
      <c r="A978" s="10">
        <f>IF($E978="","",INDEX('Input Transaksi'!$A:$A,$E978))</f>
        <v/>
      </c>
      <c r="B978" s="5">
        <f>IF($E978="","",INDEX('Input Transaksi'!$D:$D,$E978))</f>
        <v/>
      </c>
      <c r="C978">
        <f>IF($E978="","",INDEX('Input Transaksi'!$E:$E,$E978))</f>
        <v/>
      </c>
      <c r="D978" s="5">
        <f>IF($E978="","",INDEX('Input Transaksi'!$F:$F,$E978))</f>
        <v/>
      </c>
      <c r="E978">
        <f>IFERROR(AGGREGATE(15,6,ROW('Input Transaksi'!$B$5:$B$5000)/('Input Transaksi'!$B$5:$B$5000="JCL MERPATI"),ROWS($E$5:E978)),"")</f>
        <v/>
      </c>
      <c r="F978" s="5" t="n"/>
    </row>
    <row r="979">
      <c r="A979" s="10">
        <f>IF($E979="","",INDEX('Input Transaksi'!$A:$A,$E979))</f>
        <v/>
      </c>
      <c r="B979" s="5">
        <f>IF($E979="","",INDEX('Input Transaksi'!$D:$D,$E979))</f>
        <v/>
      </c>
      <c r="C979">
        <f>IF($E979="","",INDEX('Input Transaksi'!$E:$E,$E979))</f>
        <v/>
      </c>
      <c r="D979" s="5">
        <f>IF($E979="","",INDEX('Input Transaksi'!$F:$F,$E979))</f>
        <v/>
      </c>
      <c r="E979">
        <f>IFERROR(AGGREGATE(15,6,ROW('Input Transaksi'!$B$5:$B$5000)/('Input Transaksi'!$B$5:$B$5000="JCL MERPATI"),ROWS($E$5:E979)),"")</f>
        <v/>
      </c>
      <c r="F979" s="5" t="n"/>
    </row>
    <row r="980">
      <c r="A980" s="10">
        <f>IF($E980="","",INDEX('Input Transaksi'!$A:$A,$E980))</f>
        <v/>
      </c>
      <c r="B980" s="5">
        <f>IF($E980="","",INDEX('Input Transaksi'!$D:$D,$E980))</f>
        <v/>
      </c>
      <c r="C980">
        <f>IF($E980="","",INDEX('Input Transaksi'!$E:$E,$E980))</f>
        <v/>
      </c>
      <c r="D980" s="5">
        <f>IF($E980="","",INDEX('Input Transaksi'!$F:$F,$E980))</f>
        <v/>
      </c>
      <c r="E980">
        <f>IFERROR(AGGREGATE(15,6,ROW('Input Transaksi'!$B$5:$B$5000)/('Input Transaksi'!$B$5:$B$5000="JCL MERPATI"),ROWS($E$5:E980)),"")</f>
        <v/>
      </c>
      <c r="F980" s="5" t="n"/>
    </row>
    <row r="981">
      <c r="A981" s="10">
        <f>IF($E981="","",INDEX('Input Transaksi'!$A:$A,$E981))</f>
        <v/>
      </c>
      <c r="B981" s="5">
        <f>IF($E981="","",INDEX('Input Transaksi'!$D:$D,$E981))</f>
        <v/>
      </c>
      <c r="C981">
        <f>IF($E981="","",INDEX('Input Transaksi'!$E:$E,$E981))</f>
        <v/>
      </c>
      <c r="D981" s="5">
        <f>IF($E981="","",INDEX('Input Transaksi'!$F:$F,$E981))</f>
        <v/>
      </c>
      <c r="E981">
        <f>IFERROR(AGGREGATE(15,6,ROW('Input Transaksi'!$B$5:$B$5000)/('Input Transaksi'!$B$5:$B$5000="JCL MERPATI"),ROWS($E$5:E981)),"")</f>
        <v/>
      </c>
      <c r="F981" s="5" t="n"/>
    </row>
    <row r="982">
      <c r="A982" s="10">
        <f>IF($E982="","",INDEX('Input Transaksi'!$A:$A,$E982))</f>
        <v/>
      </c>
      <c r="B982" s="5">
        <f>IF($E982="","",INDEX('Input Transaksi'!$D:$D,$E982))</f>
        <v/>
      </c>
      <c r="C982">
        <f>IF($E982="","",INDEX('Input Transaksi'!$E:$E,$E982))</f>
        <v/>
      </c>
      <c r="D982" s="5">
        <f>IF($E982="","",INDEX('Input Transaksi'!$F:$F,$E982))</f>
        <v/>
      </c>
      <c r="E982">
        <f>IFERROR(AGGREGATE(15,6,ROW('Input Transaksi'!$B$5:$B$5000)/('Input Transaksi'!$B$5:$B$5000="JCL MERPATI"),ROWS($E$5:E982)),"")</f>
        <v/>
      </c>
      <c r="F982" s="5" t="n"/>
    </row>
    <row r="983">
      <c r="A983" s="10">
        <f>IF($E983="","",INDEX('Input Transaksi'!$A:$A,$E983))</f>
        <v/>
      </c>
      <c r="B983" s="5">
        <f>IF($E983="","",INDEX('Input Transaksi'!$D:$D,$E983))</f>
        <v/>
      </c>
      <c r="C983">
        <f>IF($E983="","",INDEX('Input Transaksi'!$E:$E,$E983))</f>
        <v/>
      </c>
      <c r="D983" s="5">
        <f>IF($E983="","",INDEX('Input Transaksi'!$F:$F,$E983))</f>
        <v/>
      </c>
      <c r="E983">
        <f>IFERROR(AGGREGATE(15,6,ROW('Input Transaksi'!$B$5:$B$5000)/('Input Transaksi'!$B$5:$B$5000="JCL MERPATI"),ROWS($E$5:E983)),"")</f>
        <v/>
      </c>
      <c r="F983" s="5" t="n"/>
    </row>
    <row r="984">
      <c r="A984" s="10">
        <f>IF($E984="","",INDEX('Input Transaksi'!$A:$A,$E984))</f>
        <v/>
      </c>
      <c r="B984" s="5">
        <f>IF($E984="","",INDEX('Input Transaksi'!$D:$D,$E984))</f>
        <v/>
      </c>
      <c r="C984">
        <f>IF($E984="","",INDEX('Input Transaksi'!$E:$E,$E984))</f>
        <v/>
      </c>
      <c r="D984" s="5">
        <f>IF($E984="","",INDEX('Input Transaksi'!$F:$F,$E984))</f>
        <v/>
      </c>
      <c r="E984">
        <f>IFERROR(AGGREGATE(15,6,ROW('Input Transaksi'!$B$5:$B$5000)/('Input Transaksi'!$B$5:$B$5000="JCL MERPATI"),ROWS($E$5:E984)),"")</f>
        <v/>
      </c>
      <c r="F984" s="5" t="n"/>
    </row>
    <row r="985">
      <c r="A985" s="10">
        <f>IF($E985="","",INDEX('Input Transaksi'!$A:$A,$E985))</f>
        <v/>
      </c>
      <c r="B985" s="5">
        <f>IF($E985="","",INDEX('Input Transaksi'!$D:$D,$E985))</f>
        <v/>
      </c>
      <c r="C985">
        <f>IF($E985="","",INDEX('Input Transaksi'!$E:$E,$E985))</f>
        <v/>
      </c>
      <c r="D985" s="5">
        <f>IF($E985="","",INDEX('Input Transaksi'!$F:$F,$E985))</f>
        <v/>
      </c>
      <c r="E985">
        <f>IFERROR(AGGREGATE(15,6,ROW('Input Transaksi'!$B$5:$B$5000)/('Input Transaksi'!$B$5:$B$5000="JCL MERPATI"),ROWS($E$5:E985)),"")</f>
        <v/>
      </c>
      <c r="F985" s="5" t="n"/>
    </row>
    <row r="986">
      <c r="A986" s="10">
        <f>IF($E986="","",INDEX('Input Transaksi'!$A:$A,$E986))</f>
        <v/>
      </c>
      <c r="B986" s="5">
        <f>IF($E986="","",INDEX('Input Transaksi'!$D:$D,$E986))</f>
        <v/>
      </c>
      <c r="C986">
        <f>IF($E986="","",INDEX('Input Transaksi'!$E:$E,$E986))</f>
        <v/>
      </c>
      <c r="D986" s="5">
        <f>IF($E986="","",INDEX('Input Transaksi'!$F:$F,$E986))</f>
        <v/>
      </c>
      <c r="E986">
        <f>IFERROR(AGGREGATE(15,6,ROW('Input Transaksi'!$B$5:$B$5000)/('Input Transaksi'!$B$5:$B$5000="JCL MERPATI"),ROWS($E$5:E986)),"")</f>
        <v/>
      </c>
      <c r="F986" s="5" t="n"/>
    </row>
    <row r="987">
      <c r="A987" s="10">
        <f>IF($E987="","",INDEX('Input Transaksi'!$A:$A,$E987))</f>
        <v/>
      </c>
      <c r="B987" s="5">
        <f>IF($E987="","",INDEX('Input Transaksi'!$D:$D,$E987))</f>
        <v/>
      </c>
      <c r="C987">
        <f>IF($E987="","",INDEX('Input Transaksi'!$E:$E,$E987))</f>
        <v/>
      </c>
      <c r="D987" s="5">
        <f>IF($E987="","",INDEX('Input Transaksi'!$F:$F,$E987))</f>
        <v/>
      </c>
      <c r="E987">
        <f>IFERROR(AGGREGATE(15,6,ROW('Input Transaksi'!$B$5:$B$5000)/('Input Transaksi'!$B$5:$B$5000="JCL MERPATI"),ROWS($E$5:E987)),"")</f>
        <v/>
      </c>
      <c r="F987" s="5" t="n"/>
    </row>
    <row r="988">
      <c r="A988" s="10">
        <f>IF($E988="","",INDEX('Input Transaksi'!$A:$A,$E988))</f>
        <v/>
      </c>
      <c r="B988" s="5">
        <f>IF($E988="","",INDEX('Input Transaksi'!$D:$D,$E988))</f>
        <v/>
      </c>
      <c r="C988">
        <f>IF($E988="","",INDEX('Input Transaksi'!$E:$E,$E988))</f>
        <v/>
      </c>
      <c r="D988" s="5">
        <f>IF($E988="","",INDEX('Input Transaksi'!$F:$F,$E988))</f>
        <v/>
      </c>
      <c r="E988">
        <f>IFERROR(AGGREGATE(15,6,ROW('Input Transaksi'!$B$5:$B$5000)/('Input Transaksi'!$B$5:$B$5000="JCL MERPATI"),ROWS($E$5:E988)),"")</f>
        <v/>
      </c>
      <c r="F988" s="5" t="n"/>
    </row>
    <row r="989">
      <c r="A989" s="10">
        <f>IF($E989="","",INDEX('Input Transaksi'!$A:$A,$E989))</f>
        <v/>
      </c>
      <c r="B989" s="5">
        <f>IF($E989="","",INDEX('Input Transaksi'!$D:$D,$E989))</f>
        <v/>
      </c>
      <c r="C989">
        <f>IF($E989="","",INDEX('Input Transaksi'!$E:$E,$E989))</f>
        <v/>
      </c>
      <c r="D989" s="5">
        <f>IF($E989="","",INDEX('Input Transaksi'!$F:$F,$E989))</f>
        <v/>
      </c>
      <c r="E989">
        <f>IFERROR(AGGREGATE(15,6,ROW('Input Transaksi'!$B$5:$B$5000)/('Input Transaksi'!$B$5:$B$5000="JCL MERPATI"),ROWS($E$5:E989)),"")</f>
        <v/>
      </c>
      <c r="F989" s="5" t="n"/>
    </row>
    <row r="990">
      <c r="A990" s="10">
        <f>IF($E990="","",INDEX('Input Transaksi'!$A:$A,$E990))</f>
        <v/>
      </c>
      <c r="B990" s="5">
        <f>IF($E990="","",INDEX('Input Transaksi'!$D:$D,$E990))</f>
        <v/>
      </c>
      <c r="C990">
        <f>IF($E990="","",INDEX('Input Transaksi'!$E:$E,$E990))</f>
        <v/>
      </c>
      <c r="D990" s="5">
        <f>IF($E990="","",INDEX('Input Transaksi'!$F:$F,$E990))</f>
        <v/>
      </c>
      <c r="E990">
        <f>IFERROR(AGGREGATE(15,6,ROW('Input Transaksi'!$B$5:$B$5000)/('Input Transaksi'!$B$5:$B$5000="JCL MERPATI"),ROWS($E$5:E990)),"")</f>
        <v/>
      </c>
      <c r="F990" s="5" t="n"/>
    </row>
    <row r="991">
      <c r="A991" s="10">
        <f>IF($E991="","",INDEX('Input Transaksi'!$A:$A,$E991))</f>
        <v/>
      </c>
      <c r="B991" s="5">
        <f>IF($E991="","",INDEX('Input Transaksi'!$D:$D,$E991))</f>
        <v/>
      </c>
      <c r="C991">
        <f>IF($E991="","",INDEX('Input Transaksi'!$E:$E,$E991))</f>
        <v/>
      </c>
      <c r="D991" s="5">
        <f>IF($E991="","",INDEX('Input Transaksi'!$F:$F,$E991))</f>
        <v/>
      </c>
      <c r="E991">
        <f>IFERROR(AGGREGATE(15,6,ROW('Input Transaksi'!$B$5:$B$5000)/('Input Transaksi'!$B$5:$B$5000="JCL MERPATI"),ROWS($E$5:E991)),"")</f>
        <v/>
      </c>
      <c r="F991" s="5" t="n"/>
    </row>
    <row r="992">
      <c r="A992" s="10">
        <f>IF($E992="","",INDEX('Input Transaksi'!$A:$A,$E992))</f>
        <v/>
      </c>
      <c r="B992" s="5">
        <f>IF($E992="","",INDEX('Input Transaksi'!$D:$D,$E992))</f>
        <v/>
      </c>
      <c r="C992">
        <f>IF($E992="","",INDEX('Input Transaksi'!$E:$E,$E992))</f>
        <v/>
      </c>
      <c r="D992" s="5">
        <f>IF($E992="","",INDEX('Input Transaksi'!$F:$F,$E992))</f>
        <v/>
      </c>
      <c r="E992">
        <f>IFERROR(AGGREGATE(15,6,ROW('Input Transaksi'!$B$5:$B$5000)/('Input Transaksi'!$B$5:$B$5000="JCL MERPATI"),ROWS($E$5:E992)),"")</f>
        <v/>
      </c>
      <c r="F992" s="5" t="n"/>
    </row>
    <row r="993">
      <c r="A993" s="10">
        <f>IF($E993="","",INDEX('Input Transaksi'!$A:$A,$E993))</f>
        <v/>
      </c>
      <c r="B993" s="5">
        <f>IF($E993="","",INDEX('Input Transaksi'!$D:$D,$E993))</f>
        <v/>
      </c>
      <c r="C993">
        <f>IF($E993="","",INDEX('Input Transaksi'!$E:$E,$E993))</f>
        <v/>
      </c>
      <c r="D993" s="5">
        <f>IF($E993="","",INDEX('Input Transaksi'!$F:$F,$E993))</f>
        <v/>
      </c>
      <c r="E993">
        <f>IFERROR(AGGREGATE(15,6,ROW('Input Transaksi'!$B$5:$B$5000)/('Input Transaksi'!$B$5:$B$5000="JCL MERPATI"),ROWS($E$5:E993)),"")</f>
        <v/>
      </c>
      <c r="F993" s="5" t="n"/>
    </row>
    <row r="994">
      <c r="A994" s="10">
        <f>IF($E994="","",INDEX('Input Transaksi'!$A:$A,$E994))</f>
        <v/>
      </c>
      <c r="B994" s="5">
        <f>IF($E994="","",INDEX('Input Transaksi'!$D:$D,$E994))</f>
        <v/>
      </c>
      <c r="C994">
        <f>IF($E994="","",INDEX('Input Transaksi'!$E:$E,$E994))</f>
        <v/>
      </c>
      <c r="D994" s="5">
        <f>IF($E994="","",INDEX('Input Transaksi'!$F:$F,$E994))</f>
        <v/>
      </c>
      <c r="E994">
        <f>IFERROR(AGGREGATE(15,6,ROW('Input Transaksi'!$B$5:$B$5000)/('Input Transaksi'!$B$5:$B$5000="JCL MERPATI"),ROWS($E$5:E994)),"")</f>
        <v/>
      </c>
      <c r="F994" s="5" t="n"/>
    </row>
    <row r="995">
      <c r="A995" s="10">
        <f>IF($E995="","",INDEX('Input Transaksi'!$A:$A,$E995))</f>
        <v/>
      </c>
      <c r="B995" s="5">
        <f>IF($E995="","",INDEX('Input Transaksi'!$D:$D,$E995))</f>
        <v/>
      </c>
      <c r="C995">
        <f>IF($E995="","",INDEX('Input Transaksi'!$E:$E,$E995))</f>
        <v/>
      </c>
      <c r="D995" s="5">
        <f>IF($E995="","",INDEX('Input Transaksi'!$F:$F,$E995))</f>
        <v/>
      </c>
      <c r="E995">
        <f>IFERROR(AGGREGATE(15,6,ROW('Input Transaksi'!$B$5:$B$5000)/('Input Transaksi'!$B$5:$B$5000="JCL MERPATI"),ROWS($E$5:E995)),"")</f>
        <v/>
      </c>
      <c r="F995" s="5" t="n"/>
    </row>
    <row r="996">
      <c r="A996" s="10">
        <f>IF($E996="","",INDEX('Input Transaksi'!$A:$A,$E996))</f>
        <v/>
      </c>
      <c r="B996" s="5">
        <f>IF($E996="","",INDEX('Input Transaksi'!$D:$D,$E996))</f>
        <v/>
      </c>
      <c r="C996">
        <f>IF($E996="","",INDEX('Input Transaksi'!$E:$E,$E996))</f>
        <v/>
      </c>
      <c r="D996" s="5">
        <f>IF($E996="","",INDEX('Input Transaksi'!$F:$F,$E996))</f>
        <v/>
      </c>
      <c r="E996">
        <f>IFERROR(AGGREGATE(15,6,ROW('Input Transaksi'!$B$5:$B$5000)/('Input Transaksi'!$B$5:$B$5000="JCL MERPATI"),ROWS($E$5:E996)),"")</f>
        <v/>
      </c>
      <c r="F996" s="5" t="n"/>
    </row>
    <row r="997">
      <c r="A997" s="10">
        <f>IF($E997="","",INDEX('Input Transaksi'!$A:$A,$E997))</f>
        <v/>
      </c>
      <c r="B997" s="5">
        <f>IF($E997="","",INDEX('Input Transaksi'!$D:$D,$E997))</f>
        <v/>
      </c>
      <c r="C997">
        <f>IF($E997="","",INDEX('Input Transaksi'!$E:$E,$E997))</f>
        <v/>
      </c>
      <c r="D997" s="5">
        <f>IF($E997="","",INDEX('Input Transaksi'!$F:$F,$E997))</f>
        <v/>
      </c>
      <c r="E997">
        <f>IFERROR(AGGREGATE(15,6,ROW('Input Transaksi'!$B$5:$B$5000)/('Input Transaksi'!$B$5:$B$5000="JCL MERPATI"),ROWS($E$5:E997)),"")</f>
        <v/>
      </c>
      <c r="F997" s="5" t="n"/>
    </row>
    <row r="998">
      <c r="A998" s="10">
        <f>IF($E998="","",INDEX('Input Transaksi'!$A:$A,$E998))</f>
        <v/>
      </c>
      <c r="B998" s="5">
        <f>IF($E998="","",INDEX('Input Transaksi'!$D:$D,$E998))</f>
        <v/>
      </c>
      <c r="C998">
        <f>IF($E998="","",INDEX('Input Transaksi'!$E:$E,$E998))</f>
        <v/>
      </c>
      <c r="D998" s="5">
        <f>IF($E998="","",INDEX('Input Transaksi'!$F:$F,$E998))</f>
        <v/>
      </c>
      <c r="E998">
        <f>IFERROR(AGGREGATE(15,6,ROW('Input Transaksi'!$B$5:$B$5000)/('Input Transaksi'!$B$5:$B$5000="JCL MERPATI"),ROWS($E$5:E998)),"")</f>
        <v/>
      </c>
      <c r="F998" s="5" t="n"/>
    </row>
    <row r="999">
      <c r="A999" s="10">
        <f>IF($E999="","",INDEX('Input Transaksi'!$A:$A,$E999))</f>
        <v/>
      </c>
      <c r="B999" s="5">
        <f>IF($E999="","",INDEX('Input Transaksi'!$D:$D,$E999))</f>
        <v/>
      </c>
      <c r="C999">
        <f>IF($E999="","",INDEX('Input Transaksi'!$E:$E,$E999))</f>
        <v/>
      </c>
      <c r="D999" s="5">
        <f>IF($E999="","",INDEX('Input Transaksi'!$F:$F,$E999))</f>
        <v/>
      </c>
      <c r="E999">
        <f>IFERROR(AGGREGATE(15,6,ROW('Input Transaksi'!$B$5:$B$5000)/('Input Transaksi'!$B$5:$B$5000="JCL MERPATI"),ROWS($E$5:E999)),"")</f>
        <v/>
      </c>
      <c r="F999" s="5" t="n"/>
    </row>
    <row r="1000">
      <c r="A1000" s="10">
        <f>IF($E1000="","",INDEX('Input Transaksi'!$A:$A,$E1000))</f>
        <v/>
      </c>
      <c r="B1000" s="5">
        <f>IF($E1000="","",INDEX('Input Transaksi'!$D:$D,$E1000))</f>
        <v/>
      </c>
      <c r="C1000">
        <f>IF($E1000="","",INDEX('Input Transaksi'!$E:$E,$E1000))</f>
        <v/>
      </c>
      <c r="D1000" s="5">
        <f>IF($E1000="","",INDEX('Input Transaksi'!$F:$F,$E1000))</f>
        <v/>
      </c>
      <c r="E1000">
        <f>IFERROR(AGGREGATE(15,6,ROW('Input Transaksi'!$B$5:$B$5000)/('Input Transaksi'!$B$5:$B$5000="JCL MERPATI"),ROWS($E$5:E1000)),"")</f>
        <v/>
      </c>
      <c r="F1000" s="5" t="n"/>
    </row>
  </sheetData>
  <autoFilter ref="A4:D1000"/>
  <mergeCells count="1">
    <mergeCell ref="A1:E1"/>
  </mergeCells>
  <hyperlinks>
    <hyperlink ref="F1" location="'Beranda'!A1" display="Kembali ke Beranda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000"/>
  <sheetViews>
    <sheetView workbookViewId="0">
      <pane ySplit="4" topLeftCell="A5" activePane="bottomLeft" state="frozen"/>
      <selection pane="bottomLeft" activeCell="A1" sqref="A1"/>
    </sheetView>
  </sheetViews>
  <sheetFormatPr baseColWidth="10" defaultColWidth="8.83203125" defaultRowHeight="15"/>
  <cols>
    <col width="16" customWidth="1" min="1" max="1"/>
    <col width="22" customWidth="1" min="2" max="2"/>
    <col width="12" customWidth="1" min="3" max="3"/>
    <col width="26" customWidth="1" min="4" max="4"/>
    <col hidden="1" width="12.6640625" customWidth="1" min="5" max="5"/>
    <col width="16" customWidth="1" min="6" max="6"/>
    <col hidden="1" width="13" customWidth="1" min="7" max="7"/>
  </cols>
  <sheetData>
    <row r="1" ht="24" customHeight="1">
      <c r="A1" s="11" t="inlineStr">
        <is>
          <t>BALI WASH</t>
        </is>
      </c>
      <c r="F1" s="3" t="inlineStr">
        <is>
          <t>Kembali ke Beranda</t>
        </is>
      </c>
    </row>
    <row r="2">
      <c r="A2" s="13" t="inlineStr">
        <is>
          <t>Wilayah</t>
        </is>
      </c>
      <c r="B2" s="13" t="inlineStr">
        <is>
          <t>BARAT</t>
        </is>
      </c>
      <c r="C2" s="13" t="inlineStr">
        <is>
          <t>Total Qty</t>
        </is>
      </c>
      <c r="D2" s="2">
        <f>SUMIFS('Input Transaksi'!$E$5:$E$5000,'Input Transaksi'!$B$5:$B$5000,"BALI WASH")</f>
        <v/>
      </c>
      <c r="E2" s="13" t="inlineStr">
        <is>
          <t>Jumlah Transaksi</t>
        </is>
      </c>
      <c r="F2" s="2">
        <f>COUNTIF('Input Transaksi'!$B$5:$B$5000,"BALI WASH")</f>
        <v/>
      </c>
    </row>
    <row r="3"/>
    <row r="4">
      <c r="A4" s="4" t="inlineStr">
        <is>
          <t>Tanggal</t>
        </is>
      </c>
      <c r="B4" s="4" t="inlineStr">
        <is>
          <t>Item</t>
        </is>
      </c>
      <c r="C4" s="4" t="inlineStr">
        <is>
          <t>Qty Keluar</t>
        </is>
      </c>
      <c r="D4" s="4" t="inlineStr">
        <is>
          <t>Catatan</t>
        </is>
      </c>
      <c r="E4" t="inlineStr">
        <is>
          <t>RowRef</t>
        </is>
      </c>
      <c r="F4" s="4" t="n"/>
    </row>
    <row r="5">
      <c r="A5" s="10">
        <f>IF($E5="","",INDEX('Input Transaksi'!$A:$A,$E5))</f>
        <v/>
      </c>
      <c r="B5" s="5">
        <f>IF($E5="","",INDEX('Input Transaksi'!$D:$D,$E5))</f>
        <v/>
      </c>
      <c r="C5">
        <f>IF($E5="","",INDEX('Input Transaksi'!$E:$E,$E5))</f>
        <v/>
      </c>
      <c r="D5" s="5">
        <f>IF($E5="","",INDEX('Input Transaksi'!$F:$F,$E5))</f>
        <v/>
      </c>
      <c r="E5">
        <f>IFERROR(AGGREGATE(15,6,ROW('Input Transaksi'!$B$5:$B$5000)/('Input Transaksi'!$B$5:$B$5000="BALI WASH"),ROWS($E$5:E5)),"")</f>
        <v/>
      </c>
      <c r="F5" s="5" t="n"/>
    </row>
    <row r="6">
      <c r="A6" s="10">
        <f>IF($E6="","",INDEX('Input Transaksi'!$A:$A,$E6))</f>
        <v/>
      </c>
      <c r="B6" s="5">
        <f>IF($E6="","",INDEX('Input Transaksi'!$D:$D,$E6))</f>
        <v/>
      </c>
      <c r="C6">
        <f>IF($E6="","",INDEX('Input Transaksi'!$E:$E,$E6))</f>
        <v/>
      </c>
      <c r="D6" s="5">
        <f>IF($E6="","",INDEX('Input Transaksi'!$F:$F,$E6))</f>
        <v/>
      </c>
      <c r="E6">
        <f>IFERROR(AGGREGATE(15,6,ROW('Input Transaksi'!$B$5:$B$5000)/('Input Transaksi'!$B$5:$B$5000="BALI WASH"),ROWS($E$5:E6)),"")</f>
        <v/>
      </c>
      <c r="F6" s="5" t="n"/>
    </row>
    <row r="7">
      <c r="A7" s="10">
        <f>IF($E7="","",INDEX('Input Transaksi'!$A:$A,$E7))</f>
        <v/>
      </c>
      <c r="B7" s="5">
        <f>IF($E7="","",INDEX('Input Transaksi'!$D:$D,$E7))</f>
        <v/>
      </c>
      <c r="C7">
        <f>IF($E7="","",INDEX('Input Transaksi'!$E:$E,$E7))</f>
        <v/>
      </c>
      <c r="D7" s="5">
        <f>IF($E7="","",INDEX('Input Transaksi'!$F:$F,$E7))</f>
        <v/>
      </c>
      <c r="E7">
        <f>IFERROR(AGGREGATE(15,6,ROW('Input Transaksi'!$B$5:$B$5000)/('Input Transaksi'!$B$5:$B$5000="BALI WASH"),ROWS($E$5:E7)),"")</f>
        <v/>
      </c>
      <c r="F7" s="5" t="n"/>
    </row>
    <row r="8">
      <c r="A8" s="10">
        <f>IF($E8="","",INDEX('Input Transaksi'!$A:$A,$E8))</f>
        <v/>
      </c>
      <c r="B8" s="5">
        <f>IF($E8="","",INDEX('Input Transaksi'!$D:$D,$E8))</f>
        <v/>
      </c>
      <c r="C8">
        <f>IF($E8="","",INDEX('Input Transaksi'!$E:$E,$E8))</f>
        <v/>
      </c>
      <c r="D8" s="5">
        <f>IF($E8="","",INDEX('Input Transaksi'!$F:$F,$E8))</f>
        <v/>
      </c>
      <c r="E8">
        <f>IFERROR(AGGREGATE(15,6,ROW('Input Transaksi'!$B$5:$B$5000)/('Input Transaksi'!$B$5:$B$5000="BALI WASH"),ROWS($E$5:E8)),"")</f>
        <v/>
      </c>
      <c r="F8" s="5" t="n"/>
    </row>
    <row r="9">
      <c r="A9" s="10">
        <f>IF($E9="","",INDEX('Input Transaksi'!$A:$A,$E9))</f>
        <v/>
      </c>
      <c r="B9" s="5">
        <f>IF($E9="","",INDEX('Input Transaksi'!$D:$D,$E9))</f>
        <v/>
      </c>
      <c r="C9">
        <f>IF($E9="","",INDEX('Input Transaksi'!$E:$E,$E9))</f>
        <v/>
      </c>
      <c r="D9" s="5">
        <f>IF($E9="","",INDEX('Input Transaksi'!$F:$F,$E9))</f>
        <v/>
      </c>
      <c r="E9">
        <f>IFERROR(AGGREGATE(15,6,ROW('Input Transaksi'!$B$5:$B$5000)/('Input Transaksi'!$B$5:$B$5000="BALI WASH"),ROWS($E$5:E9)),"")</f>
        <v/>
      </c>
      <c r="F9" s="5" t="n"/>
    </row>
    <row r="10">
      <c r="A10" s="10">
        <f>IF($E10="","",INDEX('Input Transaksi'!$A:$A,$E10))</f>
        <v/>
      </c>
      <c r="B10" s="5">
        <f>IF($E10="","",INDEX('Input Transaksi'!$D:$D,$E10))</f>
        <v/>
      </c>
      <c r="C10">
        <f>IF($E10="","",INDEX('Input Transaksi'!$E:$E,$E10))</f>
        <v/>
      </c>
      <c r="D10" s="5">
        <f>IF($E10="","",INDEX('Input Transaksi'!$F:$F,$E10))</f>
        <v/>
      </c>
      <c r="E10">
        <f>IFERROR(AGGREGATE(15,6,ROW('Input Transaksi'!$B$5:$B$5000)/('Input Transaksi'!$B$5:$B$5000="BALI WASH"),ROWS($E$5:E10)),"")</f>
        <v/>
      </c>
      <c r="F10" s="5" t="n"/>
    </row>
    <row r="11">
      <c r="A11" s="10">
        <f>IF($E11="","",INDEX('Input Transaksi'!$A:$A,$E11))</f>
        <v/>
      </c>
      <c r="B11" s="5">
        <f>IF($E11="","",INDEX('Input Transaksi'!$D:$D,$E11))</f>
        <v/>
      </c>
      <c r="C11">
        <f>IF($E11="","",INDEX('Input Transaksi'!$E:$E,$E11))</f>
        <v/>
      </c>
      <c r="D11" s="5">
        <f>IF($E11="","",INDEX('Input Transaksi'!$F:$F,$E11))</f>
        <v/>
      </c>
      <c r="E11">
        <f>IFERROR(AGGREGATE(15,6,ROW('Input Transaksi'!$B$5:$B$5000)/('Input Transaksi'!$B$5:$B$5000="BALI WASH"),ROWS($E$5:E11)),"")</f>
        <v/>
      </c>
      <c r="F11" s="5" t="n"/>
    </row>
    <row r="12">
      <c r="A12" s="10">
        <f>IF($E12="","",INDEX('Input Transaksi'!$A:$A,$E12))</f>
        <v/>
      </c>
      <c r="B12" s="5">
        <f>IF($E12="","",INDEX('Input Transaksi'!$D:$D,$E12))</f>
        <v/>
      </c>
      <c r="C12">
        <f>IF($E12="","",INDEX('Input Transaksi'!$E:$E,$E12))</f>
        <v/>
      </c>
      <c r="D12" s="5">
        <f>IF($E12="","",INDEX('Input Transaksi'!$F:$F,$E12))</f>
        <v/>
      </c>
      <c r="E12">
        <f>IFERROR(AGGREGATE(15,6,ROW('Input Transaksi'!$B$5:$B$5000)/('Input Transaksi'!$B$5:$B$5000="BALI WASH"),ROWS($E$5:E12)),"")</f>
        <v/>
      </c>
      <c r="F12" s="5" t="n"/>
    </row>
    <row r="13">
      <c r="A13" s="10">
        <f>IF($E13="","",INDEX('Input Transaksi'!$A:$A,$E13))</f>
        <v/>
      </c>
      <c r="B13" s="5">
        <f>IF($E13="","",INDEX('Input Transaksi'!$D:$D,$E13))</f>
        <v/>
      </c>
      <c r="C13">
        <f>IF($E13="","",INDEX('Input Transaksi'!$E:$E,$E13))</f>
        <v/>
      </c>
      <c r="D13" s="5">
        <f>IF($E13="","",INDEX('Input Transaksi'!$F:$F,$E13))</f>
        <v/>
      </c>
      <c r="E13">
        <f>IFERROR(AGGREGATE(15,6,ROW('Input Transaksi'!$B$5:$B$5000)/('Input Transaksi'!$B$5:$B$5000="BALI WASH"),ROWS($E$5:E13)),"")</f>
        <v/>
      </c>
      <c r="F13" s="5" t="n"/>
    </row>
    <row r="14">
      <c r="A14" s="10">
        <f>IF($E14="","",INDEX('Input Transaksi'!$A:$A,$E14))</f>
        <v/>
      </c>
      <c r="B14" s="5">
        <f>IF($E14="","",INDEX('Input Transaksi'!$D:$D,$E14))</f>
        <v/>
      </c>
      <c r="C14">
        <f>IF($E14="","",INDEX('Input Transaksi'!$E:$E,$E14))</f>
        <v/>
      </c>
      <c r="D14" s="5">
        <f>IF($E14="","",INDEX('Input Transaksi'!$F:$F,$E14))</f>
        <v/>
      </c>
      <c r="E14">
        <f>IFERROR(AGGREGATE(15,6,ROW('Input Transaksi'!$B$5:$B$5000)/('Input Transaksi'!$B$5:$B$5000="BALI WASH"),ROWS($E$5:E14)),"")</f>
        <v/>
      </c>
      <c r="F14" s="5" t="n"/>
    </row>
    <row r="15">
      <c r="A15" s="10">
        <f>IF($E15="","",INDEX('Input Transaksi'!$A:$A,$E15))</f>
        <v/>
      </c>
      <c r="B15" s="5">
        <f>IF($E15="","",INDEX('Input Transaksi'!$D:$D,$E15))</f>
        <v/>
      </c>
      <c r="C15">
        <f>IF($E15="","",INDEX('Input Transaksi'!$E:$E,$E15))</f>
        <v/>
      </c>
      <c r="D15" s="5">
        <f>IF($E15="","",INDEX('Input Transaksi'!$F:$F,$E15))</f>
        <v/>
      </c>
      <c r="E15">
        <f>IFERROR(AGGREGATE(15,6,ROW('Input Transaksi'!$B$5:$B$5000)/('Input Transaksi'!$B$5:$B$5000="BALI WASH"),ROWS($E$5:E15)),"")</f>
        <v/>
      </c>
      <c r="F15" s="5" t="n"/>
    </row>
    <row r="16">
      <c r="A16" s="10">
        <f>IF($E16="","",INDEX('Input Transaksi'!$A:$A,$E16))</f>
        <v/>
      </c>
      <c r="B16" s="5">
        <f>IF($E16="","",INDEX('Input Transaksi'!$D:$D,$E16))</f>
        <v/>
      </c>
      <c r="C16">
        <f>IF($E16="","",INDEX('Input Transaksi'!$E:$E,$E16))</f>
        <v/>
      </c>
      <c r="D16" s="5">
        <f>IF($E16="","",INDEX('Input Transaksi'!$F:$F,$E16))</f>
        <v/>
      </c>
      <c r="E16">
        <f>IFERROR(AGGREGATE(15,6,ROW('Input Transaksi'!$B$5:$B$5000)/('Input Transaksi'!$B$5:$B$5000="BALI WASH"),ROWS($E$5:E16)),"")</f>
        <v/>
      </c>
      <c r="F16" s="5" t="n"/>
    </row>
    <row r="17">
      <c r="A17" s="10">
        <f>IF($E17="","",INDEX('Input Transaksi'!$A:$A,$E17))</f>
        <v/>
      </c>
      <c r="B17" s="5">
        <f>IF($E17="","",INDEX('Input Transaksi'!$D:$D,$E17))</f>
        <v/>
      </c>
      <c r="C17">
        <f>IF($E17="","",INDEX('Input Transaksi'!$E:$E,$E17))</f>
        <v/>
      </c>
      <c r="D17" s="5">
        <f>IF($E17="","",INDEX('Input Transaksi'!$F:$F,$E17))</f>
        <v/>
      </c>
      <c r="E17">
        <f>IFERROR(AGGREGATE(15,6,ROW('Input Transaksi'!$B$5:$B$5000)/('Input Transaksi'!$B$5:$B$5000="BALI WASH"),ROWS($E$5:E17)),"")</f>
        <v/>
      </c>
      <c r="F17" s="5" t="n"/>
    </row>
    <row r="18">
      <c r="A18" s="10">
        <f>IF($E18="","",INDEX('Input Transaksi'!$A:$A,$E18))</f>
        <v/>
      </c>
      <c r="B18" s="5">
        <f>IF($E18="","",INDEX('Input Transaksi'!$D:$D,$E18))</f>
        <v/>
      </c>
      <c r="C18">
        <f>IF($E18="","",INDEX('Input Transaksi'!$E:$E,$E18))</f>
        <v/>
      </c>
      <c r="D18" s="5">
        <f>IF($E18="","",INDEX('Input Transaksi'!$F:$F,$E18))</f>
        <v/>
      </c>
      <c r="E18">
        <f>IFERROR(AGGREGATE(15,6,ROW('Input Transaksi'!$B$5:$B$5000)/('Input Transaksi'!$B$5:$B$5000="BALI WASH"),ROWS($E$5:E18)),"")</f>
        <v/>
      </c>
      <c r="F18" s="5" t="n"/>
    </row>
    <row r="19">
      <c r="A19" s="10">
        <f>IF($E19="","",INDEX('Input Transaksi'!$A:$A,$E19))</f>
        <v/>
      </c>
      <c r="B19" s="5">
        <f>IF($E19="","",INDEX('Input Transaksi'!$D:$D,$E19))</f>
        <v/>
      </c>
      <c r="C19">
        <f>IF($E19="","",INDEX('Input Transaksi'!$E:$E,$E19))</f>
        <v/>
      </c>
      <c r="D19" s="5">
        <f>IF($E19="","",INDEX('Input Transaksi'!$F:$F,$E19))</f>
        <v/>
      </c>
      <c r="E19">
        <f>IFERROR(AGGREGATE(15,6,ROW('Input Transaksi'!$B$5:$B$5000)/('Input Transaksi'!$B$5:$B$5000="BALI WASH"),ROWS($E$5:E19)),"")</f>
        <v/>
      </c>
      <c r="F19" s="5" t="n"/>
    </row>
    <row r="20">
      <c r="A20" s="10">
        <f>IF($E20="","",INDEX('Input Transaksi'!$A:$A,$E20))</f>
        <v/>
      </c>
      <c r="B20" s="5">
        <f>IF($E20="","",INDEX('Input Transaksi'!$D:$D,$E20))</f>
        <v/>
      </c>
      <c r="C20">
        <f>IF($E20="","",INDEX('Input Transaksi'!$E:$E,$E20))</f>
        <v/>
      </c>
      <c r="D20" s="5">
        <f>IF($E20="","",INDEX('Input Transaksi'!$F:$F,$E20))</f>
        <v/>
      </c>
      <c r="E20">
        <f>IFERROR(AGGREGATE(15,6,ROW('Input Transaksi'!$B$5:$B$5000)/('Input Transaksi'!$B$5:$B$5000="BALI WASH"),ROWS($E$5:E20)),"")</f>
        <v/>
      </c>
      <c r="F20" s="5" t="n"/>
    </row>
    <row r="21">
      <c r="A21" s="10">
        <f>IF($E21="","",INDEX('Input Transaksi'!$A:$A,$E21))</f>
        <v/>
      </c>
      <c r="B21" s="5">
        <f>IF($E21="","",INDEX('Input Transaksi'!$D:$D,$E21))</f>
        <v/>
      </c>
      <c r="C21">
        <f>IF($E21="","",INDEX('Input Transaksi'!$E:$E,$E21))</f>
        <v/>
      </c>
      <c r="D21" s="5">
        <f>IF($E21="","",INDEX('Input Transaksi'!$F:$F,$E21))</f>
        <v/>
      </c>
      <c r="E21">
        <f>IFERROR(AGGREGATE(15,6,ROW('Input Transaksi'!$B$5:$B$5000)/('Input Transaksi'!$B$5:$B$5000="BALI WASH"),ROWS($E$5:E21)),"")</f>
        <v/>
      </c>
      <c r="F21" s="5" t="n"/>
    </row>
    <row r="22">
      <c r="A22" s="10">
        <f>IF($E22="","",INDEX('Input Transaksi'!$A:$A,$E22))</f>
        <v/>
      </c>
      <c r="B22" s="5">
        <f>IF($E22="","",INDEX('Input Transaksi'!$D:$D,$E22))</f>
        <v/>
      </c>
      <c r="C22">
        <f>IF($E22="","",INDEX('Input Transaksi'!$E:$E,$E22))</f>
        <v/>
      </c>
      <c r="D22" s="5">
        <f>IF($E22="","",INDEX('Input Transaksi'!$F:$F,$E22))</f>
        <v/>
      </c>
      <c r="E22">
        <f>IFERROR(AGGREGATE(15,6,ROW('Input Transaksi'!$B$5:$B$5000)/('Input Transaksi'!$B$5:$B$5000="BALI WASH"),ROWS($E$5:E22)),"")</f>
        <v/>
      </c>
      <c r="F22" s="5" t="n"/>
    </row>
    <row r="23">
      <c r="A23" s="10">
        <f>IF($E23="","",INDEX('Input Transaksi'!$A:$A,$E23))</f>
        <v/>
      </c>
      <c r="B23" s="5">
        <f>IF($E23="","",INDEX('Input Transaksi'!$D:$D,$E23))</f>
        <v/>
      </c>
      <c r="C23">
        <f>IF($E23="","",INDEX('Input Transaksi'!$E:$E,$E23))</f>
        <v/>
      </c>
      <c r="D23" s="5">
        <f>IF($E23="","",INDEX('Input Transaksi'!$F:$F,$E23))</f>
        <v/>
      </c>
      <c r="E23">
        <f>IFERROR(AGGREGATE(15,6,ROW('Input Transaksi'!$B$5:$B$5000)/('Input Transaksi'!$B$5:$B$5000="BALI WASH"),ROWS($E$5:E23)),"")</f>
        <v/>
      </c>
      <c r="F23" s="5" t="n"/>
    </row>
    <row r="24">
      <c r="A24" s="10">
        <f>IF($E24="","",INDEX('Input Transaksi'!$A:$A,$E24))</f>
        <v/>
      </c>
      <c r="B24" s="5">
        <f>IF($E24="","",INDEX('Input Transaksi'!$D:$D,$E24))</f>
        <v/>
      </c>
      <c r="C24">
        <f>IF($E24="","",INDEX('Input Transaksi'!$E:$E,$E24))</f>
        <v/>
      </c>
      <c r="D24" s="5">
        <f>IF($E24="","",INDEX('Input Transaksi'!$F:$F,$E24))</f>
        <v/>
      </c>
      <c r="E24">
        <f>IFERROR(AGGREGATE(15,6,ROW('Input Transaksi'!$B$5:$B$5000)/('Input Transaksi'!$B$5:$B$5000="BALI WASH"),ROWS($E$5:E24)),"")</f>
        <v/>
      </c>
      <c r="F24" s="5" t="n"/>
    </row>
    <row r="25">
      <c r="A25" s="10">
        <f>IF($E25="","",INDEX('Input Transaksi'!$A:$A,$E25))</f>
        <v/>
      </c>
      <c r="B25" s="5">
        <f>IF($E25="","",INDEX('Input Transaksi'!$D:$D,$E25))</f>
        <v/>
      </c>
      <c r="C25">
        <f>IF($E25="","",INDEX('Input Transaksi'!$E:$E,$E25))</f>
        <v/>
      </c>
      <c r="D25" s="5">
        <f>IF($E25="","",INDEX('Input Transaksi'!$F:$F,$E25))</f>
        <v/>
      </c>
      <c r="E25">
        <f>IFERROR(AGGREGATE(15,6,ROW('Input Transaksi'!$B$5:$B$5000)/('Input Transaksi'!$B$5:$B$5000="BALI WASH"),ROWS($E$5:E25)),"")</f>
        <v/>
      </c>
      <c r="F25" s="5" t="n"/>
    </row>
    <row r="26">
      <c r="A26" s="10">
        <f>IF($E26="","",INDEX('Input Transaksi'!$A:$A,$E26))</f>
        <v/>
      </c>
      <c r="B26" s="5">
        <f>IF($E26="","",INDEX('Input Transaksi'!$D:$D,$E26))</f>
        <v/>
      </c>
      <c r="C26">
        <f>IF($E26="","",INDEX('Input Transaksi'!$E:$E,$E26))</f>
        <v/>
      </c>
      <c r="D26" s="5">
        <f>IF($E26="","",INDEX('Input Transaksi'!$F:$F,$E26))</f>
        <v/>
      </c>
      <c r="E26">
        <f>IFERROR(AGGREGATE(15,6,ROW('Input Transaksi'!$B$5:$B$5000)/('Input Transaksi'!$B$5:$B$5000="BALI WASH"),ROWS($E$5:E26)),"")</f>
        <v/>
      </c>
      <c r="F26" s="5" t="n"/>
    </row>
    <row r="27">
      <c r="A27" s="10">
        <f>IF($E27="","",INDEX('Input Transaksi'!$A:$A,$E27))</f>
        <v/>
      </c>
      <c r="B27" s="5">
        <f>IF($E27="","",INDEX('Input Transaksi'!$D:$D,$E27))</f>
        <v/>
      </c>
      <c r="C27">
        <f>IF($E27="","",INDEX('Input Transaksi'!$E:$E,$E27))</f>
        <v/>
      </c>
      <c r="D27" s="5">
        <f>IF($E27="","",INDEX('Input Transaksi'!$F:$F,$E27))</f>
        <v/>
      </c>
      <c r="E27">
        <f>IFERROR(AGGREGATE(15,6,ROW('Input Transaksi'!$B$5:$B$5000)/('Input Transaksi'!$B$5:$B$5000="BALI WASH"),ROWS($E$5:E27)),"")</f>
        <v/>
      </c>
      <c r="F27" s="5" t="n"/>
    </row>
    <row r="28">
      <c r="A28" s="10">
        <f>IF($E28="","",INDEX('Input Transaksi'!$A:$A,$E28))</f>
        <v/>
      </c>
      <c r="B28" s="5">
        <f>IF($E28="","",INDEX('Input Transaksi'!$D:$D,$E28))</f>
        <v/>
      </c>
      <c r="C28">
        <f>IF($E28="","",INDEX('Input Transaksi'!$E:$E,$E28))</f>
        <v/>
      </c>
      <c r="D28" s="5">
        <f>IF($E28="","",INDEX('Input Transaksi'!$F:$F,$E28))</f>
        <v/>
      </c>
      <c r="E28">
        <f>IFERROR(AGGREGATE(15,6,ROW('Input Transaksi'!$B$5:$B$5000)/('Input Transaksi'!$B$5:$B$5000="BALI WASH"),ROWS($E$5:E28)),"")</f>
        <v/>
      </c>
      <c r="F28" s="5" t="n"/>
    </row>
    <row r="29">
      <c r="A29" s="10">
        <f>IF($E29="","",INDEX('Input Transaksi'!$A:$A,$E29))</f>
        <v/>
      </c>
      <c r="B29" s="5">
        <f>IF($E29="","",INDEX('Input Transaksi'!$D:$D,$E29))</f>
        <v/>
      </c>
      <c r="C29">
        <f>IF($E29="","",INDEX('Input Transaksi'!$E:$E,$E29))</f>
        <v/>
      </c>
      <c r="D29" s="5">
        <f>IF($E29="","",INDEX('Input Transaksi'!$F:$F,$E29))</f>
        <v/>
      </c>
      <c r="E29">
        <f>IFERROR(AGGREGATE(15,6,ROW('Input Transaksi'!$B$5:$B$5000)/('Input Transaksi'!$B$5:$B$5000="BALI WASH"),ROWS($E$5:E29)),"")</f>
        <v/>
      </c>
      <c r="F29" s="5" t="n"/>
    </row>
    <row r="30">
      <c r="A30" s="10">
        <f>IF($E30="","",INDEX('Input Transaksi'!$A:$A,$E30))</f>
        <v/>
      </c>
      <c r="B30" s="5">
        <f>IF($E30="","",INDEX('Input Transaksi'!$D:$D,$E30))</f>
        <v/>
      </c>
      <c r="C30">
        <f>IF($E30="","",INDEX('Input Transaksi'!$E:$E,$E30))</f>
        <v/>
      </c>
      <c r="D30" s="5">
        <f>IF($E30="","",INDEX('Input Transaksi'!$F:$F,$E30))</f>
        <v/>
      </c>
      <c r="E30">
        <f>IFERROR(AGGREGATE(15,6,ROW('Input Transaksi'!$B$5:$B$5000)/('Input Transaksi'!$B$5:$B$5000="BALI WASH"),ROWS($E$5:E30)),"")</f>
        <v/>
      </c>
      <c r="F30" s="5" t="n"/>
    </row>
    <row r="31">
      <c r="A31" s="10">
        <f>IF($E31="","",INDEX('Input Transaksi'!$A:$A,$E31))</f>
        <v/>
      </c>
      <c r="B31" s="5">
        <f>IF($E31="","",INDEX('Input Transaksi'!$D:$D,$E31))</f>
        <v/>
      </c>
      <c r="C31">
        <f>IF($E31="","",INDEX('Input Transaksi'!$E:$E,$E31))</f>
        <v/>
      </c>
      <c r="D31" s="5">
        <f>IF($E31="","",INDEX('Input Transaksi'!$F:$F,$E31))</f>
        <v/>
      </c>
      <c r="E31">
        <f>IFERROR(AGGREGATE(15,6,ROW('Input Transaksi'!$B$5:$B$5000)/('Input Transaksi'!$B$5:$B$5000="BALI WASH"),ROWS($E$5:E31)),"")</f>
        <v/>
      </c>
      <c r="F31" s="5" t="n"/>
    </row>
    <row r="32">
      <c r="A32" s="10">
        <f>IF($E32="","",INDEX('Input Transaksi'!$A:$A,$E32))</f>
        <v/>
      </c>
      <c r="B32" s="5">
        <f>IF($E32="","",INDEX('Input Transaksi'!$D:$D,$E32))</f>
        <v/>
      </c>
      <c r="C32">
        <f>IF($E32="","",INDEX('Input Transaksi'!$E:$E,$E32))</f>
        <v/>
      </c>
      <c r="D32" s="5">
        <f>IF($E32="","",INDEX('Input Transaksi'!$F:$F,$E32))</f>
        <v/>
      </c>
      <c r="E32">
        <f>IFERROR(AGGREGATE(15,6,ROW('Input Transaksi'!$B$5:$B$5000)/('Input Transaksi'!$B$5:$B$5000="BALI WASH"),ROWS($E$5:E32)),"")</f>
        <v/>
      </c>
      <c r="F32" s="5" t="n"/>
    </row>
    <row r="33">
      <c r="A33" s="10">
        <f>IF($E33="","",INDEX('Input Transaksi'!$A:$A,$E33))</f>
        <v/>
      </c>
      <c r="B33" s="5">
        <f>IF($E33="","",INDEX('Input Transaksi'!$D:$D,$E33))</f>
        <v/>
      </c>
      <c r="C33">
        <f>IF($E33="","",INDEX('Input Transaksi'!$E:$E,$E33))</f>
        <v/>
      </c>
      <c r="D33" s="5">
        <f>IF($E33="","",INDEX('Input Transaksi'!$F:$F,$E33))</f>
        <v/>
      </c>
      <c r="E33">
        <f>IFERROR(AGGREGATE(15,6,ROW('Input Transaksi'!$B$5:$B$5000)/('Input Transaksi'!$B$5:$B$5000="BALI WASH"),ROWS($E$5:E33)),"")</f>
        <v/>
      </c>
      <c r="F33" s="5" t="n"/>
    </row>
    <row r="34">
      <c r="A34" s="10">
        <f>IF($E34="","",INDEX('Input Transaksi'!$A:$A,$E34))</f>
        <v/>
      </c>
      <c r="B34" s="5">
        <f>IF($E34="","",INDEX('Input Transaksi'!$D:$D,$E34))</f>
        <v/>
      </c>
      <c r="C34">
        <f>IF($E34="","",INDEX('Input Transaksi'!$E:$E,$E34))</f>
        <v/>
      </c>
      <c r="D34" s="5">
        <f>IF($E34="","",INDEX('Input Transaksi'!$F:$F,$E34))</f>
        <v/>
      </c>
      <c r="E34">
        <f>IFERROR(AGGREGATE(15,6,ROW('Input Transaksi'!$B$5:$B$5000)/('Input Transaksi'!$B$5:$B$5000="BALI WASH"),ROWS($E$5:E34)),"")</f>
        <v/>
      </c>
      <c r="F34" s="5" t="n"/>
    </row>
    <row r="35">
      <c r="A35" s="10">
        <f>IF($E35="","",INDEX('Input Transaksi'!$A:$A,$E35))</f>
        <v/>
      </c>
      <c r="B35" s="5">
        <f>IF($E35="","",INDEX('Input Transaksi'!$D:$D,$E35))</f>
        <v/>
      </c>
      <c r="C35">
        <f>IF($E35="","",INDEX('Input Transaksi'!$E:$E,$E35))</f>
        <v/>
      </c>
      <c r="D35" s="5">
        <f>IF($E35="","",INDEX('Input Transaksi'!$F:$F,$E35))</f>
        <v/>
      </c>
      <c r="E35">
        <f>IFERROR(AGGREGATE(15,6,ROW('Input Transaksi'!$B$5:$B$5000)/('Input Transaksi'!$B$5:$B$5000="BALI WASH"),ROWS($E$5:E35)),"")</f>
        <v/>
      </c>
      <c r="F35" s="5" t="n"/>
    </row>
    <row r="36">
      <c r="A36" s="10">
        <f>IF($E36="","",INDEX('Input Transaksi'!$A:$A,$E36))</f>
        <v/>
      </c>
      <c r="B36" s="5">
        <f>IF($E36="","",INDEX('Input Transaksi'!$D:$D,$E36))</f>
        <v/>
      </c>
      <c r="C36">
        <f>IF($E36="","",INDEX('Input Transaksi'!$E:$E,$E36))</f>
        <v/>
      </c>
      <c r="D36" s="5">
        <f>IF($E36="","",INDEX('Input Transaksi'!$F:$F,$E36))</f>
        <v/>
      </c>
      <c r="E36">
        <f>IFERROR(AGGREGATE(15,6,ROW('Input Transaksi'!$B$5:$B$5000)/('Input Transaksi'!$B$5:$B$5000="BALI WASH"),ROWS($E$5:E36)),"")</f>
        <v/>
      </c>
      <c r="F36" s="5" t="n"/>
    </row>
    <row r="37">
      <c r="A37" s="10">
        <f>IF($E37="","",INDEX('Input Transaksi'!$A:$A,$E37))</f>
        <v/>
      </c>
      <c r="B37" s="5">
        <f>IF($E37="","",INDEX('Input Transaksi'!$D:$D,$E37))</f>
        <v/>
      </c>
      <c r="C37">
        <f>IF($E37="","",INDEX('Input Transaksi'!$E:$E,$E37))</f>
        <v/>
      </c>
      <c r="D37" s="5">
        <f>IF($E37="","",INDEX('Input Transaksi'!$F:$F,$E37))</f>
        <v/>
      </c>
      <c r="E37">
        <f>IFERROR(AGGREGATE(15,6,ROW('Input Transaksi'!$B$5:$B$5000)/('Input Transaksi'!$B$5:$B$5000="BALI WASH"),ROWS($E$5:E37)),"")</f>
        <v/>
      </c>
      <c r="F37" s="5" t="n"/>
    </row>
    <row r="38">
      <c r="A38" s="10">
        <f>IF($E38="","",INDEX('Input Transaksi'!$A:$A,$E38))</f>
        <v/>
      </c>
      <c r="B38" s="5">
        <f>IF($E38="","",INDEX('Input Transaksi'!$D:$D,$E38))</f>
        <v/>
      </c>
      <c r="C38">
        <f>IF($E38="","",INDEX('Input Transaksi'!$E:$E,$E38))</f>
        <v/>
      </c>
      <c r="D38" s="5">
        <f>IF($E38="","",INDEX('Input Transaksi'!$F:$F,$E38))</f>
        <v/>
      </c>
      <c r="E38">
        <f>IFERROR(AGGREGATE(15,6,ROW('Input Transaksi'!$B$5:$B$5000)/('Input Transaksi'!$B$5:$B$5000="BALI WASH"),ROWS($E$5:E38)),"")</f>
        <v/>
      </c>
      <c r="F38" s="5" t="n"/>
    </row>
    <row r="39">
      <c r="A39" s="10">
        <f>IF($E39="","",INDEX('Input Transaksi'!$A:$A,$E39))</f>
        <v/>
      </c>
      <c r="B39" s="5">
        <f>IF($E39="","",INDEX('Input Transaksi'!$D:$D,$E39))</f>
        <v/>
      </c>
      <c r="C39">
        <f>IF($E39="","",INDEX('Input Transaksi'!$E:$E,$E39))</f>
        <v/>
      </c>
      <c r="D39" s="5">
        <f>IF($E39="","",INDEX('Input Transaksi'!$F:$F,$E39))</f>
        <v/>
      </c>
      <c r="E39">
        <f>IFERROR(AGGREGATE(15,6,ROW('Input Transaksi'!$B$5:$B$5000)/('Input Transaksi'!$B$5:$B$5000="BALI WASH"),ROWS($E$5:E39)),"")</f>
        <v/>
      </c>
      <c r="F39" s="5" t="n"/>
    </row>
    <row r="40">
      <c r="A40" s="10">
        <f>IF($E40="","",INDEX('Input Transaksi'!$A:$A,$E40))</f>
        <v/>
      </c>
      <c r="B40" s="5">
        <f>IF($E40="","",INDEX('Input Transaksi'!$D:$D,$E40))</f>
        <v/>
      </c>
      <c r="C40">
        <f>IF($E40="","",INDEX('Input Transaksi'!$E:$E,$E40))</f>
        <v/>
      </c>
      <c r="D40" s="5">
        <f>IF($E40="","",INDEX('Input Transaksi'!$F:$F,$E40))</f>
        <v/>
      </c>
      <c r="E40">
        <f>IFERROR(AGGREGATE(15,6,ROW('Input Transaksi'!$B$5:$B$5000)/('Input Transaksi'!$B$5:$B$5000="BALI WASH"),ROWS($E$5:E40)),"")</f>
        <v/>
      </c>
      <c r="F40" s="5" t="n"/>
    </row>
    <row r="41">
      <c r="A41" s="10">
        <f>IF($E41="","",INDEX('Input Transaksi'!$A:$A,$E41))</f>
        <v/>
      </c>
      <c r="B41" s="5">
        <f>IF($E41="","",INDEX('Input Transaksi'!$D:$D,$E41))</f>
        <v/>
      </c>
      <c r="C41">
        <f>IF($E41="","",INDEX('Input Transaksi'!$E:$E,$E41))</f>
        <v/>
      </c>
      <c r="D41" s="5">
        <f>IF($E41="","",INDEX('Input Transaksi'!$F:$F,$E41))</f>
        <v/>
      </c>
      <c r="E41">
        <f>IFERROR(AGGREGATE(15,6,ROW('Input Transaksi'!$B$5:$B$5000)/('Input Transaksi'!$B$5:$B$5000="BALI WASH"),ROWS($E$5:E41)),"")</f>
        <v/>
      </c>
      <c r="F41" s="5" t="n"/>
    </row>
    <row r="42">
      <c r="A42" s="10">
        <f>IF($E42="","",INDEX('Input Transaksi'!$A:$A,$E42))</f>
        <v/>
      </c>
      <c r="B42" s="5">
        <f>IF($E42="","",INDEX('Input Transaksi'!$D:$D,$E42))</f>
        <v/>
      </c>
      <c r="C42">
        <f>IF($E42="","",INDEX('Input Transaksi'!$E:$E,$E42))</f>
        <v/>
      </c>
      <c r="D42" s="5">
        <f>IF($E42="","",INDEX('Input Transaksi'!$F:$F,$E42))</f>
        <v/>
      </c>
      <c r="E42">
        <f>IFERROR(AGGREGATE(15,6,ROW('Input Transaksi'!$B$5:$B$5000)/('Input Transaksi'!$B$5:$B$5000="BALI WASH"),ROWS($E$5:E42)),"")</f>
        <v/>
      </c>
      <c r="F42" s="5" t="n"/>
    </row>
    <row r="43">
      <c r="A43" s="10">
        <f>IF($E43="","",INDEX('Input Transaksi'!$A:$A,$E43))</f>
        <v/>
      </c>
      <c r="B43" s="5">
        <f>IF($E43="","",INDEX('Input Transaksi'!$D:$D,$E43))</f>
        <v/>
      </c>
      <c r="C43">
        <f>IF($E43="","",INDEX('Input Transaksi'!$E:$E,$E43))</f>
        <v/>
      </c>
      <c r="D43" s="5">
        <f>IF($E43="","",INDEX('Input Transaksi'!$F:$F,$E43))</f>
        <v/>
      </c>
      <c r="E43">
        <f>IFERROR(AGGREGATE(15,6,ROW('Input Transaksi'!$B$5:$B$5000)/('Input Transaksi'!$B$5:$B$5000="BALI WASH"),ROWS($E$5:E43)),"")</f>
        <v/>
      </c>
      <c r="F43" s="5" t="n"/>
    </row>
    <row r="44">
      <c r="A44" s="10">
        <f>IF($E44="","",INDEX('Input Transaksi'!$A:$A,$E44))</f>
        <v/>
      </c>
      <c r="B44" s="5">
        <f>IF($E44="","",INDEX('Input Transaksi'!$D:$D,$E44))</f>
        <v/>
      </c>
      <c r="C44">
        <f>IF($E44="","",INDEX('Input Transaksi'!$E:$E,$E44))</f>
        <v/>
      </c>
      <c r="D44" s="5">
        <f>IF($E44="","",INDEX('Input Transaksi'!$F:$F,$E44))</f>
        <v/>
      </c>
      <c r="E44">
        <f>IFERROR(AGGREGATE(15,6,ROW('Input Transaksi'!$B$5:$B$5000)/('Input Transaksi'!$B$5:$B$5000="BALI WASH"),ROWS($E$5:E44)),"")</f>
        <v/>
      </c>
      <c r="F44" s="5" t="n"/>
    </row>
    <row r="45">
      <c r="A45" s="10">
        <f>IF($E45="","",INDEX('Input Transaksi'!$A:$A,$E45))</f>
        <v/>
      </c>
      <c r="B45" s="5">
        <f>IF($E45="","",INDEX('Input Transaksi'!$D:$D,$E45))</f>
        <v/>
      </c>
      <c r="C45">
        <f>IF($E45="","",INDEX('Input Transaksi'!$E:$E,$E45))</f>
        <v/>
      </c>
      <c r="D45" s="5">
        <f>IF($E45="","",INDEX('Input Transaksi'!$F:$F,$E45))</f>
        <v/>
      </c>
      <c r="E45">
        <f>IFERROR(AGGREGATE(15,6,ROW('Input Transaksi'!$B$5:$B$5000)/('Input Transaksi'!$B$5:$B$5000="BALI WASH"),ROWS($E$5:E45)),"")</f>
        <v/>
      </c>
      <c r="F45" s="5" t="n"/>
    </row>
    <row r="46">
      <c r="A46" s="10">
        <f>IF($E46="","",INDEX('Input Transaksi'!$A:$A,$E46))</f>
        <v/>
      </c>
      <c r="B46" s="5">
        <f>IF($E46="","",INDEX('Input Transaksi'!$D:$D,$E46))</f>
        <v/>
      </c>
      <c r="C46">
        <f>IF($E46="","",INDEX('Input Transaksi'!$E:$E,$E46))</f>
        <v/>
      </c>
      <c r="D46" s="5">
        <f>IF($E46="","",INDEX('Input Transaksi'!$F:$F,$E46))</f>
        <v/>
      </c>
      <c r="E46">
        <f>IFERROR(AGGREGATE(15,6,ROW('Input Transaksi'!$B$5:$B$5000)/('Input Transaksi'!$B$5:$B$5000="BALI WASH"),ROWS($E$5:E46)),"")</f>
        <v/>
      </c>
      <c r="F46" s="5" t="n"/>
    </row>
    <row r="47">
      <c r="A47" s="10">
        <f>IF($E47="","",INDEX('Input Transaksi'!$A:$A,$E47))</f>
        <v/>
      </c>
      <c r="B47" s="5">
        <f>IF($E47="","",INDEX('Input Transaksi'!$D:$D,$E47))</f>
        <v/>
      </c>
      <c r="C47">
        <f>IF($E47="","",INDEX('Input Transaksi'!$E:$E,$E47))</f>
        <v/>
      </c>
      <c r="D47" s="5">
        <f>IF($E47="","",INDEX('Input Transaksi'!$F:$F,$E47))</f>
        <v/>
      </c>
      <c r="E47">
        <f>IFERROR(AGGREGATE(15,6,ROW('Input Transaksi'!$B$5:$B$5000)/('Input Transaksi'!$B$5:$B$5000="BALI WASH"),ROWS($E$5:E47)),"")</f>
        <v/>
      </c>
      <c r="F47" s="5" t="n"/>
    </row>
    <row r="48">
      <c r="A48" s="10">
        <f>IF($E48="","",INDEX('Input Transaksi'!$A:$A,$E48))</f>
        <v/>
      </c>
      <c r="B48" s="5">
        <f>IF($E48="","",INDEX('Input Transaksi'!$D:$D,$E48))</f>
        <v/>
      </c>
      <c r="C48">
        <f>IF($E48="","",INDEX('Input Transaksi'!$E:$E,$E48))</f>
        <v/>
      </c>
      <c r="D48" s="5">
        <f>IF($E48="","",INDEX('Input Transaksi'!$F:$F,$E48))</f>
        <v/>
      </c>
      <c r="E48">
        <f>IFERROR(AGGREGATE(15,6,ROW('Input Transaksi'!$B$5:$B$5000)/('Input Transaksi'!$B$5:$B$5000="BALI WASH"),ROWS($E$5:E48)),"")</f>
        <v/>
      </c>
      <c r="F48" s="5" t="n"/>
    </row>
    <row r="49">
      <c r="A49" s="10">
        <f>IF($E49="","",INDEX('Input Transaksi'!$A:$A,$E49))</f>
        <v/>
      </c>
      <c r="B49" s="5">
        <f>IF($E49="","",INDEX('Input Transaksi'!$D:$D,$E49))</f>
        <v/>
      </c>
      <c r="C49">
        <f>IF($E49="","",INDEX('Input Transaksi'!$E:$E,$E49))</f>
        <v/>
      </c>
      <c r="D49" s="5">
        <f>IF($E49="","",INDEX('Input Transaksi'!$F:$F,$E49))</f>
        <v/>
      </c>
      <c r="E49">
        <f>IFERROR(AGGREGATE(15,6,ROW('Input Transaksi'!$B$5:$B$5000)/('Input Transaksi'!$B$5:$B$5000="BALI WASH"),ROWS($E$5:E49)),"")</f>
        <v/>
      </c>
      <c r="F49" s="5" t="n"/>
    </row>
    <row r="50">
      <c r="A50" s="10">
        <f>IF($E50="","",INDEX('Input Transaksi'!$A:$A,$E50))</f>
        <v/>
      </c>
      <c r="B50" s="5">
        <f>IF($E50="","",INDEX('Input Transaksi'!$D:$D,$E50))</f>
        <v/>
      </c>
      <c r="C50">
        <f>IF($E50="","",INDEX('Input Transaksi'!$E:$E,$E50))</f>
        <v/>
      </c>
      <c r="D50" s="5">
        <f>IF($E50="","",INDEX('Input Transaksi'!$F:$F,$E50))</f>
        <v/>
      </c>
      <c r="E50">
        <f>IFERROR(AGGREGATE(15,6,ROW('Input Transaksi'!$B$5:$B$5000)/('Input Transaksi'!$B$5:$B$5000="BALI WASH"),ROWS($E$5:E50)),"")</f>
        <v/>
      </c>
      <c r="F50" s="5" t="n"/>
    </row>
    <row r="51">
      <c r="A51" s="10">
        <f>IF($E51="","",INDEX('Input Transaksi'!$A:$A,$E51))</f>
        <v/>
      </c>
      <c r="B51" s="5">
        <f>IF($E51="","",INDEX('Input Transaksi'!$D:$D,$E51))</f>
        <v/>
      </c>
      <c r="C51">
        <f>IF($E51="","",INDEX('Input Transaksi'!$E:$E,$E51))</f>
        <v/>
      </c>
      <c r="D51" s="5">
        <f>IF($E51="","",INDEX('Input Transaksi'!$F:$F,$E51))</f>
        <v/>
      </c>
      <c r="E51">
        <f>IFERROR(AGGREGATE(15,6,ROW('Input Transaksi'!$B$5:$B$5000)/('Input Transaksi'!$B$5:$B$5000="BALI WASH"),ROWS($E$5:E51)),"")</f>
        <v/>
      </c>
      <c r="F51" s="5" t="n"/>
    </row>
    <row r="52">
      <c r="A52" s="10">
        <f>IF($E52="","",INDEX('Input Transaksi'!$A:$A,$E52))</f>
        <v/>
      </c>
      <c r="B52" s="5">
        <f>IF($E52="","",INDEX('Input Transaksi'!$D:$D,$E52))</f>
        <v/>
      </c>
      <c r="C52">
        <f>IF($E52="","",INDEX('Input Transaksi'!$E:$E,$E52))</f>
        <v/>
      </c>
      <c r="D52" s="5">
        <f>IF($E52="","",INDEX('Input Transaksi'!$F:$F,$E52))</f>
        <v/>
      </c>
      <c r="E52">
        <f>IFERROR(AGGREGATE(15,6,ROW('Input Transaksi'!$B$5:$B$5000)/('Input Transaksi'!$B$5:$B$5000="BALI WASH"),ROWS($E$5:E52)),"")</f>
        <v/>
      </c>
      <c r="F52" s="5" t="n"/>
    </row>
    <row r="53">
      <c r="A53" s="10">
        <f>IF($E53="","",INDEX('Input Transaksi'!$A:$A,$E53))</f>
        <v/>
      </c>
      <c r="B53" s="5">
        <f>IF($E53="","",INDEX('Input Transaksi'!$D:$D,$E53))</f>
        <v/>
      </c>
      <c r="C53">
        <f>IF($E53="","",INDEX('Input Transaksi'!$E:$E,$E53))</f>
        <v/>
      </c>
      <c r="D53" s="5">
        <f>IF($E53="","",INDEX('Input Transaksi'!$F:$F,$E53))</f>
        <v/>
      </c>
      <c r="E53">
        <f>IFERROR(AGGREGATE(15,6,ROW('Input Transaksi'!$B$5:$B$5000)/('Input Transaksi'!$B$5:$B$5000="BALI WASH"),ROWS($E$5:E53)),"")</f>
        <v/>
      </c>
      <c r="F53" s="5" t="n"/>
    </row>
    <row r="54">
      <c r="A54" s="10">
        <f>IF($E54="","",INDEX('Input Transaksi'!$A:$A,$E54))</f>
        <v/>
      </c>
      <c r="B54" s="5">
        <f>IF($E54="","",INDEX('Input Transaksi'!$D:$D,$E54))</f>
        <v/>
      </c>
      <c r="C54">
        <f>IF($E54="","",INDEX('Input Transaksi'!$E:$E,$E54))</f>
        <v/>
      </c>
      <c r="D54" s="5">
        <f>IF($E54="","",INDEX('Input Transaksi'!$F:$F,$E54))</f>
        <v/>
      </c>
      <c r="E54">
        <f>IFERROR(AGGREGATE(15,6,ROW('Input Transaksi'!$B$5:$B$5000)/('Input Transaksi'!$B$5:$B$5000="BALI WASH"),ROWS($E$5:E54)),"")</f>
        <v/>
      </c>
      <c r="F54" s="5" t="n"/>
    </row>
    <row r="55">
      <c r="A55" s="10">
        <f>IF($E55="","",INDEX('Input Transaksi'!$A:$A,$E55))</f>
        <v/>
      </c>
      <c r="B55" s="5">
        <f>IF($E55="","",INDEX('Input Transaksi'!$D:$D,$E55))</f>
        <v/>
      </c>
      <c r="C55">
        <f>IF($E55="","",INDEX('Input Transaksi'!$E:$E,$E55))</f>
        <v/>
      </c>
      <c r="D55" s="5">
        <f>IF($E55="","",INDEX('Input Transaksi'!$F:$F,$E55))</f>
        <v/>
      </c>
      <c r="E55">
        <f>IFERROR(AGGREGATE(15,6,ROW('Input Transaksi'!$B$5:$B$5000)/('Input Transaksi'!$B$5:$B$5000="BALI WASH"),ROWS($E$5:E55)),"")</f>
        <v/>
      </c>
      <c r="F55" s="5" t="n"/>
    </row>
    <row r="56">
      <c r="A56" s="10">
        <f>IF($E56="","",INDEX('Input Transaksi'!$A:$A,$E56))</f>
        <v/>
      </c>
      <c r="B56" s="5">
        <f>IF($E56="","",INDEX('Input Transaksi'!$D:$D,$E56))</f>
        <v/>
      </c>
      <c r="C56">
        <f>IF($E56="","",INDEX('Input Transaksi'!$E:$E,$E56))</f>
        <v/>
      </c>
      <c r="D56" s="5">
        <f>IF($E56="","",INDEX('Input Transaksi'!$F:$F,$E56))</f>
        <v/>
      </c>
      <c r="E56">
        <f>IFERROR(AGGREGATE(15,6,ROW('Input Transaksi'!$B$5:$B$5000)/('Input Transaksi'!$B$5:$B$5000="BALI WASH"),ROWS($E$5:E56)),"")</f>
        <v/>
      </c>
      <c r="F56" s="5" t="n"/>
    </row>
    <row r="57">
      <c r="A57" s="10">
        <f>IF($E57="","",INDEX('Input Transaksi'!$A:$A,$E57))</f>
        <v/>
      </c>
      <c r="B57" s="5">
        <f>IF($E57="","",INDEX('Input Transaksi'!$D:$D,$E57))</f>
        <v/>
      </c>
      <c r="C57">
        <f>IF($E57="","",INDEX('Input Transaksi'!$E:$E,$E57))</f>
        <v/>
      </c>
      <c r="D57" s="5">
        <f>IF($E57="","",INDEX('Input Transaksi'!$F:$F,$E57))</f>
        <v/>
      </c>
      <c r="E57">
        <f>IFERROR(AGGREGATE(15,6,ROW('Input Transaksi'!$B$5:$B$5000)/('Input Transaksi'!$B$5:$B$5000="BALI WASH"),ROWS($E$5:E57)),"")</f>
        <v/>
      </c>
      <c r="F57" s="5" t="n"/>
    </row>
    <row r="58">
      <c r="A58" s="10">
        <f>IF($E58="","",INDEX('Input Transaksi'!$A:$A,$E58))</f>
        <v/>
      </c>
      <c r="B58" s="5">
        <f>IF($E58="","",INDEX('Input Transaksi'!$D:$D,$E58))</f>
        <v/>
      </c>
      <c r="C58">
        <f>IF($E58="","",INDEX('Input Transaksi'!$E:$E,$E58))</f>
        <v/>
      </c>
      <c r="D58" s="5">
        <f>IF($E58="","",INDEX('Input Transaksi'!$F:$F,$E58))</f>
        <v/>
      </c>
      <c r="E58">
        <f>IFERROR(AGGREGATE(15,6,ROW('Input Transaksi'!$B$5:$B$5000)/('Input Transaksi'!$B$5:$B$5000="BALI WASH"),ROWS($E$5:E58)),"")</f>
        <v/>
      </c>
      <c r="F58" s="5" t="n"/>
    </row>
    <row r="59">
      <c r="A59" s="10">
        <f>IF($E59="","",INDEX('Input Transaksi'!$A:$A,$E59))</f>
        <v/>
      </c>
      <c r="B59" s="5">
        <f>IF($E59="","",INDEX('Input Transaksi'!$D:$D,$E59))</f>
        <v/>
      </c>
      <c r="C59">
        <f>IF($E59="","",INDEX('Input Transaksi'!$E:$E,$E59))</f>
        <v/>
      </c>
      <c r="D59" s="5">
        <f>IF($E59="","",INDEX('Input Transaksi'!$F:$F,$E59))</f>
        <v/>
      </c>
      <c r="E59">
        <f>IFERROR(AGGREGATE(15,6,ROW('Input Transaksi'!$B$5:$B$5000)/('Input Transaksi'!$B$5:$B$5000="BALI WASH"),ROWS($E$5:E59)),"")</f>
        <v/>
      </c>
      <c r="F59" s="5" t="n"/>
    </row>
    <row r="60">
      <c r="A60" s="10">
        <f>IF($E60="","",INDEX('Input Transaksi'!$A:$A,$E60))</f>
        <v/>
      </c>
      <c r="B60" s="5">
        <f>IF($E60="","",INDEX('Input Transaksi'!$D:$D,$E60))</f>
        <v/>
      </c>
      <c r="C60">
        <f>IF($E60="","",INDEX('Input Transaksi'!$E:$E,$E60))</f>
        <v/>
      </c>
      <c r="D60" s="5">
        <f>IF($E60="","",INDEX('Input Transaksi'!$F:$F,$E60))</f>
        <v/>
      </c>
      <c r="E60">
        <f>IFERROR(AGGREGATE(15,6,ROW('Input Transaksi'!$B$5:$B$5000)/('Input Transaksi'!$B$5:$B$5000="BALI WASH"),ROWS($E$5:E60)),"")</f>
        <v/>
      </c>
      <c r="F60" s="5" t="n"/>
    </row>
    <row r="61">
      <c r="A61" s="10">
        <f>IF($E61="","",INDEX('Input Transaksi'!$A:$A,$E61))</f>
        <v/>
      </c>
      <c r="B61" s="5">
        <f>IF($E61="","",INDEX('Input Transaksi'!$D:$D,$E61))</f>
        <v/>
      </c>
      <c r="C61">
        <f>IF($E61="","",INDEX('Input Transaksi'!$E:$E,$E61))</f>
        <v/>
      </c>
      <c r="D61" s="5">
        <f>IF($E61="","",INDEX('Input Transaksi'!$F:$F,$E61))</f>
        <v/>
      </c>
      <c r="E61">
        <f>IFERROR(AGGREGATE(15,6,ROW('Input Transaksi'!$B$5:$B$5000)/('Input Transaksi'!$B$5:$B$5000="BALI WASH"),ROWS($E$5:E61)),"")</f>
        <v/>
      </c>
      <c r="F61" s="5" t="n"/>
    </row>
    <row r="62">
      <c r="A62" s="10">
        <f>IF($E62="","",INDEX('Input Transaksi'!$A:$A,$E62))</f>
        <v/>
      </c>
      <c r="B62" s="5">
        <f>IF($E62="","",INDEX('Input Transaksi'!$D:$D,$E62))</f>
        <v/>
      </c>
      <c r="C62">
        <f>IF($E62="","",INDEX('Input Transaksi'!$E:$E,$E62))</f>
        <v/>
      </c>
      <c r="D62" s="5">
        <f>IF($E62="","",INDEX('Input Transaksi'!$F:$F,$E62))</f>
        <v/>
      </c>
      <c r="E62">
        <f>IFERROR(AGGREGATE(15,6,ROW('Input Transaksi'!$B$5:$B$5000)/('Input Transaksi'!$B$5:$B$5000="BALI WASH"),ROWS($E$5:E62)),"")</f>
        <v/>
      </c>
      <c r="F62" s="5" t="n"/>
    </row>
    <row r="63">
      <c r="A63" s="10">
        <f>IF($E63="","",INDEX('Input Transaksi'!$A:$A,$E63))</f>
        <v/>
      </c>
      <c r="B63" s="5">
        <f>IF($E63="","",INDEX('Input Transaksi'!$D:$D,$E63))</f>
        <v/>
      </c>
      <c r="C63">
        <f>IF($E63="","",INDEX('Input Transaksi'!$E:$E,$E63))</f>
        <v/>
      </c>
      <c r="D63" s="5">
        <f>IF($E63="","",INDEX('Input Transaksi'!$F:$F,$E63))</f>
        <v/>
      </c>
      <c r="E63">
        <f>IFERROR(AGGREGATE(15,6,ROW('Input Transaksi'!$B$5:$B$5000)/('Input Transaksi'!$B$5:$B$5000="BALI WASH"),ROWS($E$5:E63)),"")</f>
        <v/>
      </c>
      <c r="F63" s="5" t="n"/>
    </row>
    <row r="64">
      <c r="A64" s="10">
        <f>IF($E64="","",INDEX('Input Transaksi'!$A:$A,$E64))</f>
        <v/>
      </c>
      <c r="B64" s="5">
        <f>IF($E64="","",INDEX('Input Transaksi'!$D:$D,$E64))</f>
        <v/>
      </c>
      <c r="C64">
        <f>IF($E64="","",INDEX('Input Transaksi'!$E:$E,$E64))</f>
        <v/>
      </c>
      <c r="D64" s="5">
        <f>IF($E64="","",INDEX('Input Transaksi'!$F:$F,$E64))</f>
        <v/>
      </c>
      <c r="E64">
        <f>IFERROR(AGGREGATE(15,6,ROW('Input Transaksi'!$B$5:$B$5000)/('Input Transaksi'!$B$5:$B$5000="BALI WASH"),ROWS($E$5:E64)),"")</f>
        <v/>
      </c>
      <c r="F64" s="5" t="n"/>
    </row>
    <row r="65">
      <c r="A65" s="10">
        <f>IF($E65="","",INDEX('Input Transaksi'!$A:$A,$E65))</f>
        <v/>
      </c>
      <c r="B65" s="5">
        <f>IF($E65="","",INDEX('Input Transaksi'!$D:$D,$E65))</f>
        <v/>
      </c>
      <c r="C65">
        <f>IF($E65="","",INDEX('Input Transaksi'!$E:$E,$E65))</f>
        <v/>
      </c>
      <c r="D65" s="5">
        <f>IF($E65="","",INDEX('Input Transaksi'!$F:$F,$E65))</f>
        <v/>
      </c>
      <c r="E65">
        <f>IFERROR(AGGREGATE(15,6,ROW('Input Transaksi'!$B$5:$B$5000)/('Input Transaksi'!$B$5:$B$5000="BALI WASH"),ROWS($E$5:E65)),"")</f>
        <v/>
      </c>
      <c r="F65" s="5" t="n"/>
    </row>
    <row r="66">
      <c r="A66" s="10">
        <f>IF($E66="","",INDEX('Input Transaksi'!$A:$A,$E66))</f>
        <v/>
      </c>
      <c r="B66" s="5">
        <f>IF($E66="","",INDEX('Input Transaksi'!$D:$D,$E66))</f>
        <v/>
      </c>
      <c r="C66">
        <f>IF($E66="","",INDEX('Input Transaksi'!$E:$E,$E66))</f>
        <v/>
      </c>
      <c r="D66" s="5">
        <f>IF($E66="","",INDEX('Input Transaksi'!$F:$F,$E66))</f>
        <v/>
      </c>
      <c r="E66">
        <f>IFERROR(AGGREGATE(15,6,ROW('Input Transaksi'!$B$5:$B$5000)/('Input Transaksi'!$B$5:$B$5000="BALI WASH"),ROWS($E$5:E66)),"")</f>
        <v/>
      </c>
      <c r="F66" s="5" t="n"/>
    </row>
    <row r="67">
      <c r="A67" s="10">
        <f>IF($E67="","",INDEX('Input Transaksi'!$A:$A,$E67))</f>
        <v/>
      </c>
      <c r="B67" s="5">
        <f>IF($E67="","",INDEX('Input Transaksi'!$D:$D,$E67))</f>
        <v/>
      </c>
      <c r="C67">
        <f>IF($E67="","",INDEX('Input Transaksi'!$E:$E,$E67))</f>
        <v/>
      </c>
      <c r="D67" s="5">
        <f>IF($E67="","",INDEX('Input Transaksi'!$F:$F,$E67))</f>
        <v/>
      </c>
      <c r="E67">
        <f>IFERROR(AGGREGATE(15,6,ROW('Input Transaksi'!$B$5:$B$5000)/('Input Transaksi'!$B$5:$B$5000="BALI WASH"),ROWS($E$5:E67)),"")</f>
        <v/>
      </c>
      <c r="F67" s="5" t="n"/>
    </row>
    <row r="68">
      <c r="A68" s="10">
        <f>IF($E68="","",INDEX('Input Transaksi'!$A:$A,$E68))</f>
        <v/>
      </c>
      <c r="B68" s="5">
        <f>IF($E68="","",INDEX('Input Transaksi'!$D:$D,$E68))</f>
        <v/>
      </c>
      <c r="C68">
        <f>IF($E68="","",INDEX('Input Transaksi'!$E:$E,$E68))</f>
        <v/>
      </c>
      <c r="D68" s="5">
        <f>IF($E68="","",INDEX('Input Transaksi'!$F:$F,$E68))</f>
        <v/>
      </c>
      <c r="E68">
        <f>IFERROR(AGGREGATE(15,6,ROW('Input Transaksi'!$B$5:$B$5000)/('Input Transaksi'!$B$5:$B$5000="BALI WASH"),ROWS($E$5:E68)),"")</f>
        <v/>
      </c>
      <c r="F68" s="5" t="n"/>
    </row>
    <row r="69">
      <c r="A69" s="10">
        <f>IF($E69="","",INDEX('Input Transaksi'!$A:$A,$E69))</f>
        <v/>
      </c>
      <c r="B69" s="5">
        <f>IF($E69="","",INDEX('Input Transaksi'!$D:$D,$E69))</f>
        <v/>
      </c>
      <c r="C69">
        <f>IF($E69="","",INDEX('Input Transaksi'!$E:$E,$E69))</f>
        <v/>
      </c>
      <c r="D69" s="5">
        <f>IF($E69="","",INDEX('Input Transaksi'!$F:$F,$E69))</f>
        <v/>
      </c>
      <c r="E69">
        <f>IFERROR(AGGREGATE(15,6,ROW('Input Transaksi'!$B$5:$B$5000)/('Input Transaksi'!$B$5:$B$5000="BALI WASH"),ROWS($E$5:E69)),"")</f>
        <v/>
      </c>
      <c r="F69" s="5" t="n"/>
    </row>
    <row r="70">
      <c r="A70" s="10">
        <f>IF($E70="","",INDEX('Input Transaksi'!$A:$A,$E70))</f>
        <v/>
      </c>
      <c r="B70" s="5">
        <f>IF($E70="","",INDEX('Input Transaksi'!$D:$D,$E70))</f>
        <v/>
      </c>
      <c r="C70">
        <f>IF($E70="","",INDEX('Input Transaksi'!$E:$E,$E70))</f>
        <v/>
      </c>
      <c r="D70" s="5">
        <f>IF($E70="","",INDEX('Input Transaksi'!$F:$F,$E70))</f>
        <v/>
      </c>
      <c r="E70">
        <f>IFERROR(AGGREGATE(15,6,ROW('Input Transaksi'!$B$5:$B$5000)/('Input Transaksi'!$B$5:$B$5000="BALI WASH"),ROWS($E$5:E70)),"")</f>
        <v/>
      </c>
      <c r="F70" s="5" t="n"/>
    </row>
    <row r="71">
      <c r="A71" s="10">
        <f>IF($E71="","",INDEX('Input Transaksi'!$A:$A,$E71))</f>
        <v/>
      </c>
      <c r="B71" s="5">
        <f>IF($E71="","",INDEX('Input Transaksi'!$D:$D,$E71))</f>
        <v/>
      </c>
      <c r="C71">
        <f>IF($E71="","",INDEX('Input Transaksi'!$E:$E,$E71))</f>
        <v/>
      </c>
      <c r="D71" s="5">
        <f>IF($E71="","",INDEX('Input Transaksi'!$F:$F,$E71))</f>
        <v/>
      </c>
      <c r="E71">
        <f>IFERROR(AGGREGATE(15,6,ROW('Input Transaksi'!$B$5:$B$5000)/('Input Transaksi'!$B$5:$B$5000="BALI WASH"),ROWS($E$5:E71)),"")</f>
        <v/>
      </c>
      <c r="F71" s="5" t="n"/>
    </row>
    <row r="72">
      <c r="A72" s="10">
        <f>IF($E72="","",INDEX('Input Transaksi'!$A:$A,$E72))</f>
        <v/>
      </c>
      <c r="B72" s="5">
        <f>IF($E72="","",INDEX('Input Transaksi'!$D:$D,$E72))</f>
        <v/>
      </c>
      <c r="C72">
        <f>IF($E72="","",INDEX('Input Transaksi'!$E:$E,$E72))</f>
        <v/>
      </c>
      <c r="D72" s="5">
        <f>IF($E72="","",INDEX('Input Transaksi'!$F:$F,$E72))</f>
        <v/>
      </c>
      <c r="E72">
        <f>IFERROR(AGGREGATE(15,6,ROW('Input Transaksi'!$B$5:$B$5000)/('Input Transaksi'!$B$5:$B$5000="BALI WASH"),ROWS($E$5:E72)),"")</f>
        <v/>
      </c>
      <c r="F72" s="5" t="n"/>
    </row>
    <row r="73">
      <c r="A73" s="10">
        <f>IF($E73="","",INDEX('Input Transaksi'!$A:$A,$E73))</f>
        <v/>
      </c>
      <c r="B73" s="5">
        <f>IF($E73="","",INDEX('Input Transaksi'!$D:$D,$E73))</f>
        <v/>
      </c>
      <c r="C73">
        <f>IF($E73="","",INDEX('Input Transaksi'!$E:$E,$E73))</f>
        <v/>
      </c>
      <c r="D73" s="5">
        <f>IF($E73="","",INDEX('Input Transaksi'!$F:$F,$E73))</f>
        <v/>
      </c>
      <c r="E73">
        <f>IFERROR(AGGREGATE(15,6,ROW('Input Transaksi'!$B$5:$B$5000)/('Input Transaksi'!$B$5:$B$5000="BALI WASH"),ROWS($E$5:E73)),"")</f>
        <v/>
      </c>
      <c r="F73" s="5" t="n"/>
    </row>
    <row r="74">
      <c r="A74" s="10">
        <f>IF($E74="","",INDEX('Input Transaksi'!$A:$A,$E74))</f>
        <v/>
      </c>
      <c r="B74" s="5">
        <f>IF($E74="","",INDEX('Input Transaksi'!$D:$D,$E74))</f>
        <v/>
      </c>
      <c r="C74">
        <f>IF($E74="","",INDEX('Input Transaksi'!$E:$E,$E74))</f>
        <v/>
      </c>
      <c r="D74" s="5">
        <f>IF($E74="","",INDEX('Input Transaksi'!$F:$F,$E74))</f>
        <v/>
      </c>
      <c r="E74">
        <f>IFERROR(AGGREGATE(15,6,ROW('Input Transaksi'!$B$5:$B$5000)/('Input Transaksi'!$B$5:$B$5000="BALI WASH"),ROWS($E$5:E74)),"")</f>
        <v/>
      </c>
      <c r="F74" s="5" t="n"/>
    </row>
    <row r="75">
      <c r="A75" s="10">
        <f>IF($E75="","",INDEX('Input Transaksi'!$A:$A,$E75))</f>
        <v/>
      </c>
      <c r="B75" s="5">
        <f>IF($E75="","",INDEX('Input Transaksi'!$D:$D,$E75))</f>
        <v/>
      </c>
      <c r="C75">
        <f>IF($E75="","",INDEX('Input Transaksi'!$E:$E,$E75))</f>
        <v/>
      </c>
      <c r="D75" s="5">
        <f>IF($E75="","",INDEX('Input Transaksi'!$F:$F,$E75))</f>
        <v/>
      </c>
      <c r="E75">
        <f>IFERROR(AGGREGATE(15,6,ROW('Input Transaksi'!$B$5:$B$5000)/('Input Transaksi'!$B$5:$B$5000="BALI WASH"),ROWS($E$5:E75)),"")</f>
        <v/>
      </c>
      <c r="F75" s="5" t="n"/>
    </row>
    <row r="76">
      <c r="A76" s="10">
        <f>IF($E76="","",INDEX('Input Transaksi'!$A:$A,$E76))</f>
        <v/>
      </c>
      <c r="B76" s="5">
        <f>IF($E76="","",INDEX('Input Transaksi'!$D:$D,$E76))</f>
        <v/>
      </c>
      <c r="C76">
        <f>IF($E76="","",INDEX('Input Transaksi'!$E:$E,$E76))</f>
        <v/>
      </c>
      <c r="D76" s="5">
        <f>IF($E76="","",INDEX('Input Transaksi'!$F:$F,$E76))</f>
        <v/>
      </c>
      <c r="E76">
        <f>IFERROR(AGGREGATE(15,6,ROW('Input Transaksi'!$B$5:$B$5000)/('Input Transaksi'!$B$5:$B$5000="BALI WASH"),ROWS($E$5:E76)),"")</f>
        <v/>
      </c>
      <c r="F76" s="5" t="n"/>
    </row>
    <row r="77">
      <c r="A77" s="10">
        <f>IF($E77="","",INDEX('Input Transaksi'!$A:$A,$E77))</f>
        <v/>
      </c>
      <c r="B77" s="5">
        <f>IF($E77="","",INDEX('Input Transaksi'!$D:$D,$E77))</f>
        <v/>
      </c>
      <c r="C77">
        <f>IF($E77="","",INDEX('Input Transaksi'!$E:$E,$E77))</f>
        <v/>
      </c>
      <c r="D77" s="5">
        <f>IF($E77="","",INDEX('Input Transaksi'!$F:$F,$E77))</f>
        <v/>
      </c>
      <c r="E77">
        <f>IFERROR(AGGREGATE(15,6,ROW('Input Transaksi'!$B$5:$B$5000)/('Input Transaksi'!$B$5:$B$5000="BALI WASH"),ROWS($E$5:E77)),"")</f>
        <v/>
      </c>
      <c r="F77" s="5" t="n"/>
    </row>
    <row r="78">
      <c r="A78" s="10">
        <f>IF($E78="","",INDEX('Input Transaksi'!$A:$A,$E78))</f>
        <v/>
      </c>
      <c r="B78" s="5">
        <f>IF($E78="","",INDEX('Input Transaksi'!$D:$D,$E78))</f>
        <v/>
      </c>
      <c r="C78">
        <f>IF($E78="","",INDEX('Input Transaksi'!$E:$E,$E78))</f>
        <v/>
      </c>
      <c r="D78" s="5">
        <f>IF($E78="","",INDEX('Input Transaksi'!$F:$F,$E78))</f>
        <v/>
      </c>
      <c r="E78">
        <f>IFERROR(AGGREGATE(15,6,ROW('Input Transaksi'!$B$5:$B$5000)/('Input Transaksi'!$B$5:$B$5000="BALI WASH"),ROWS($E$5:E78)),"")</f>
        <v/>
      </c>
      <c r="F78" s="5" t="n"/>
    </row>
    <row r="79">
      <c r="A79" s="10">
        <f>IF($E79="","",INDEX('Input Transaksi'!$A:$A,$E79))</f>
        <v/>
      </c>
      <c r="B79" s="5">
        <f>IF($E79="","",INDEX('Input Transaksi'!$D:$D,$E79))</f>
        <v/>
      </c>
      <c r="C79">
        <f>IF($E79="","",INDEX('Input Transaksi'!$E:$E,$E79))</f>
        <v/>
      </c>
      <c r="D79" s="5">
        <f>IF($E79="","",INDEX('Input Transaksi'!$F:$F,$E79))</f>
        <v/>
      </c>
      <c r="E79">
        <f>IFERROR(AGGREGATE(15,6,ROW('Input Transaksi'!$B$5:$B$5000)/('Input Transaksi'!$B$5:$B$5000="BALI WASH"),ROWS($E$5:E79)),"")</f>
        <v/>
      </c>
      <c r="F79" s="5" t="n"/>
    </row>
    <row r="80">
      <c r="A80" s="10">
        <f>IF($E80="","",INDEX('Input Transaksi'!$A:$A,$E80))</f>
        <v/>
      </c>
      <c r="B80" s="5">
        <f>IF($E80="","",INDEX('Input Transaksi'!$D:$D,$E80))</f>
        <v/>
      </c>
      <c r="C80">
        <f>IF($E80="","",INDEX('Input Transaksi'!$E:$E,$E80))</f>
        <v/>
      </c>
      <c r="D80" s="5">
        <f>IF($E80="","",INDEX('Input Transaksi'!$F:$F,$E80))</f>
        <v/>
      </c>
      <c r="E80">
        <f>IFERROR(AGGREGATE(15,6,ROW('Input Transaksi'!$B$5:$B$5000)/('Input Transaksi'!$B$5:$B$5000="BALI WASH"),ROWS($E$5:E80)),"")</f>
        <v/>
      </c>
      <c r="F80" s="5" t="n"/>
    </row>
    <row r="81">
      <c r="A81" s="10">
        <f>IF($E81="","",INDEX('Input Transaksi'!$A:$A,$E81))</f>
        <v/>
      </c>
      <c r="B81" s="5">
        <f>IF($E81="","",INDEX('Input Transaksi'!$D:$D,$E81))</f>
        <v/>
      </c>
      <c r="C81">
        <f>IF($E81="","",INDEX('Input Transaksi'!$E:$E,$E81))</f>
        <v/>
      </c>
      <c r="D81" s="5">
        <f>IF($E81="","",INDEX('Input Transaksi'!$F:$F,$E81))</f>
        <v/>
      </c>
      <c r="E81">
        <f>IFERROR(AGGREGATE(15,6,ROW('Input Transaksi'!$B$5:$B$5000)/('Input Transaksi'!$B$5:$B$5000="BALI WASH"),ROWS($E$5:E81)),"")</f>
        <v/>
      </c>
      <c r="F81" s="5" t="n"/>
    </row>
    <row r="82">
      <c r="A82" s="10">
        <f>IF($E82="","",INDEX('Input Transaksi'!$A:$A,$E82))</f>
        <v/>
      </c>
      <c r="B82" s="5">
        <f>IF($E82="","",INDEX('Input Transaksi'!$D:$D,$E82))</f>
        <v/>
      </c>
      <c r="C82">
        <f>IF($E82="","",INDEX('Input Transaksi'!$E:$E,$E82))</f>
        <v/>
      </c>
      <c r="D82" s="5">
        <f>IF($E82="","",INDEX('Input Transaksi'!$F:$F,$E82))</f>
        <v/>
      </c>
      <c r="E82">
        <f>IFERROR(AGGREGATE(15,6,ROW('Input Transaksi'!$B$5:$B$5000)/('Input Transaksi'!$B$5:$B$5000="BALI WASH"),ROWS($E$5:E82)),"")</f>
        <v/>
      </c>
      <c r="F82" s="5" t="n"/>
    </row>
    <row r="83">
      <c r="A83" s="10">
        <f>IF($E83="","",INDEX('Input Transaksi'!$A:$A,$E83))</f>
        <v/>
      </c>
      <c r="B83" s="5">
        <f>IF($E83="","",INDEX('Input Transaksi'!$D:$D,$E83))</f>
        <v/>
      </c>
      <c r="C83">
        <f>IF($E83="","",INDEX('Input Transaksi'!$E:$E,$E83))</f>
        <v/>
      </c>
      <c r="D83" s="5">
        <f>IF($E83="","",INDEX('Input Transaksi'!$F:$F,$E83))</f>
        <v/>
      </c>
      <c r="E83">
        <f>IFERROR(AGGREGATE(15,6,ROW('Input Transaksi'!$B$5:$B$5000)/('Input Transaksi'!$B$5:$B$5000="BALI WASH"),ROWS($E$5:E83)),"")</f>
        <v/>
      </c>
      <c r="F83" s="5" t="n"/>
    </row>
    <row r="84">
      <c r="A84" s="10">
        <f>IF($E84="","",INDEX('Input Transaksi'!$A:$A,$E84))</f>
        <v/>
      </c>
      <c r="B84" s="5">
        <f>IF($E84="","",INDEX('Input Transaksi'!$D:$D,$E84))</f>
        <v/>
      </c>
      <c r="C84">
        <f>IF($E84="","",INDEX('Input Transaksi'!$E:$E,$E84))</f>
        <v/>
      </c>
      <c r="D84" s="5">
        <f>IF($E84="","",INDEX('Input Transaksi'!$F:$F,$E84))</f>
        <v/>
      </c>
      <c r="E84">
        <f>IFERROR(AGGREGATE(15,6,ROW('Input Transaksi'!$B$5:$B$5000)/('Input Transaksi'!$B$5:$B$5000="BALI WASH"),ROWS($E$5:E84)),"")</f>
        <v/>
      </c>
      <c r="F84" s="5" t="n"/>
    </row>
    <row r="85">
      <c r="A85" s="10">
        <f>IF($E85="","",INDEX('Input Transaksi'!$A:$A,$E85))</f>
        <v/>
      </c>
      <c r="B85" s="5">
        <f>IF($E85="","",INDEX('Input Transaksi'!$D:$D,$E85))</f>
        <v/>
      </c>
      <c r="C85">
        <f>IF($E85="","",INDEX('Input Transaksi'!$E:$E,$E85))</f>
        <v/>
      </c>
      <c r="D85" s="5">
        <f>IF($E85="","",INDEX('Input Transaksi'!$F:$F,$E85))</f>
        <v/>
      </c>
      <c r="E85">
        <f>IFERROR(AGGREGATE(15,6,ROW('Input Transaksi'!$B$5:$B$5000)/('Input Transaksi'!$B$5:$B$5000="BALI WASH"),ROWS($E$5:E85)),"")</f>
        <v/>
      </c>
      <c r="F85" s="5" t="n"/>
    </row>
    <row r="86">
      <c r="A86" s="10">
        <f>IF($E86="","",INDEX('Input Transaksi'!$A:$A,$E86))</f>
        <v/>
      </c>
      <c r="B86" s="5">
        <f>IF($E86="","",INDEX('Input Transaksi'!$D:$D,$E86))</f>
        <v/>
      </c>
      <c r="C86">
        <f>IF($E86="","",INDEX('Input Transaksi'!$E:$E,$E86))</f>
        <v/>
      </c>
      <c r="D86" s="5">
        <f>IF($E86="","",INDEX('Input Transaksi'!$F:$F,$E86))</f>
        <v/>
      </c>
      <c r="E86">
        <f>IFERROR(AGGREGATE(15,6,ROW('Input Transaksi'!$B$5:$B$5000)/('Input Transaksi'!$B$5:$B$5000="BALI WASH"),ROWS($E$5:E86)),"")</f>
        <v/>
      </c>
      <c r="F86" s="5" t="n"/>
    </row>
    <row r="87">
      <c r="A87" s="10">
        <f>IF($E87="","",INDEX('Input Transaksi'!$A:$A,$E87))</f>
        <v/>
      </c>
      <c r="B87" s="5">
        <f>IF($E87="","",INDEX('Input Transaksi'!$D:$D,$E87))</f>
        <v/>
      </c>
      <c r="C87">
        <f>IF($E87="","",INDEX('Input Transaksi'!$E:$E,$E87))</f>
        <v/>
      </c>
      <c r="D87" s="5">
        <f>IF($E87="","",INDEX('Input Transaksi'!$F:$F,$E87))</f>
        <v/>
      </c>
      <c r="E87">
        <f>IFERROR(AGGREGATE(15,6,ROW('Input Transaksi'!$B$5:$B$5000)/('Input Transaksi'!$B$5:$B$5000="BALI WASH"),ROWS($E$5:E87)),"")</f>
        <v/>
      </c>
      <c r="F87" s="5" t="n"/>
    </row>
    <row r="88">
      <c r="A88" s="10">
        <f>IF($E88="","",INDEX('Input Transaksi'!$A:$A,$E88))</f>
        <v/>
      </c>
      <c r="B88" s="5">
        <f>IF($E88="","",INDEX('Input Transaksi'!$D:$D,$E88))</f>
        <v/>
      </c>
      <c r="C88">
        <f>IF($E88="","",INDEX('Input Transaksi'!$E:$E,$E88))</f>
        <v/>
      </c>
      <c r="D88" s="5">
        <f>IF($E88="","",INDEX('Input Transaksi'!$F:$F,$E88))</f>
        <v/>
      </c>
      <c r="E88">
        <f>IFERROR(AGGREGATE(15,6,ROW('Input Transaksi'!$B$5:$B$5000)/('Input Transaksi'!$B$5:$B$5000="BALI WASH"),ROWS($E$5:E88)),"")</f>
        <v/>
      </c>
      <c r="F88" s="5" t="n"/>
    </row>
    <row r="89">
      <c r="A89" s="10">
        <f>IF($E89="","",INDEX('Input Transaksi'!$A:$A,$E89))</f>
        <v/>
      </c>
      <c r="B89" s="5">
        <f>IF($E89="","",INDEX('Input Transaksi'!$D:$D,$E89))</f>
        <v/>
      </c>
      <c r="C89">
        <f>IF($E89="","",INDEX('Input Transaksi'!$E:$E,$E89))</f>
        <v/>
      </c>
      <c r="D89" s="5">
        <f>IF($E89="","",INDEX('Input Transaksi'!$F:$F,$E89))</f>
        <v/>
      </c>
      <c r="E89">
        <f>IFERROR(AGGREGATE(15,6,ROW('Input Transaksi'!$B$5:$B$5000)/('Input Transaksi'!$B$5:$B$5000="BALI WASH"),ROWS($E$5:E89)),"")</f>
        <v/>
      </c>
      <c r="F89" s="5" t="n"/>
    </row>
    <row r="90">
      <c r="A90" s="10">
        <f>IF($E90="","",INDEX('Input Transaksi'!$A:$A,$E90))</f>
        <v/>
      </c>
      <c r="B90" s="5">
        <f>IF($E90="","",INDEX('Input Transaksi'!$D:$D,$E90))</f>
        <v/>
      </c>
      <c r="C90">
        <f>IF($E90="","",INDEX('Input Transaksi'!$E:$E,$E90))</f>
        <v/>
      </c>
      <c r="D90" s="5">
        <f>IF($E90="","",INDEX('Input Transaksi'!$F:$F,$E90))</f>
        <v/>
      </c>
      <c r="E90">
        <f>IFERROR(AGGREGATE(15,6,ROW('Input Transaksi'!$B$5:$B$5000)/('Input Transaksi'!$B$5:$B$5000="BALI WASH"),ROWS($E$5:E90)),"")</f>
        <v/>
      </c>
      <c r="F90" s="5" t="n"/>
    </row>
    <row r="91">
      <c r="A91" s="10">
        <f>IF($E91="","",INDEX('Input Transaksi'!$A:$A,$E91))</f>
        <v/>
      </c>
      <c r="B91" s="5">
        <f>IF($E91="","",INDEX('Input Transaksi'!$D:$D,$E91))</f>
        <v/>
      </c>
      <c r="C91">
        <f>IF($E91="","",INDEX('Input Transaksi'!$E:$E,$E91))</f>
        <v/>
      </c>
      <c r="D91" s="5">
        <f>IF($E91="","",INDEX('Input Transaksi'!$F:$F,$E91))</f>
        <v/>
      </c>
      <c r="E91">
        <f>IFERROR(AGGREGATE(15,6,ROW('Input Transaksi'!$B$5:$B$5000)/('Input Transaksi'!$B$5:$B$5000="BALI WASH"),ROWS($E$5:E91)),"")</f>
        <v/>
      </c>
      <c r="F91" s="5" t="n"/>
    </row>
    <row r="92">
      <c r="A92" s="10">
        <f>IF($E92="","",INDEX('Input Transaksi'!$A:$A,$E92))</f>
        <v/>
      </c>
      <c r="B92" s="5">
        <f>IF($E92="","",INDEX('Input Transaksi'!$D:$D,$E92))</f>
        <v/>
      </c>
      <c r="C92">
        <f>IF($E92="","",INDEX('Input Transaksi'!$E:$E,$E92))</f>
        <v/>
      </c>
      <c r="D92" s="5">
        <f>IF($E92="","",INDEX('Input Transaksi'!$F:$F,$E92))</f>
        <v/>
      </c>
      <c r="E92">
        <f>IFERROR(AGGREGATE(15,6,ROW('Input Transaksi'!$B$5:$B$5000)/('Input Transaksi'!$B$5:$B$5000="BALI WASH"),ROWS($E$5:E92)),"")</f>
        <v/>
      </c>
      <c r="F92" s="5" t="n"/>
    </row>
    <row r="93">
      <c r="A93" s="10">
        <f>IF($E93="","",INDEX('Input Transaksi'!$A:$A,$E93))</f>
        <v/>
      </c>
      <c r="B93" s="5">
        <f>IF($E93="","",INDEX('Input Transaksi'!$D:$D,$E93))</f>
        <v/>
      </c>
      <c r="C93">
        <f>IF($E93="","",INDEX('Input Transaksi'!$E:$E,$E93))</f>
        <v/>
      </c>
      <c r="D93" s="5">
        <f>IF($E93="","",INDEX('Input Transaksi'!$F:$F,$E93))</f>
        <v/>
      </c>
      <c r="E93">
        <f>IFERROR(AGGREGATE(15,6,ROW('Input Transaksi'!$B$5:$B$5000)/('Input Transaksi'!$B$5:$B$5000="BALI WASH"),ROWS($E$5:E93)),"")</f>
        <v/>
      </c>
      <c r="F93" s="5" t="n"/>
    </row>
    <row r="94">
      <c r="A94" s="10">
        <f>IF($E94="","",INDEX('Input Transaksi'!$A:$A,$E94))</f>
        <v/>
      </c>
      <c r="B94" s="5">
        <f>IF($E94="","",INDEX('Input Transaksi'!$D:$D,$E94))</f>
        <v/>
      </c>
      <c r="C94">
        <f>IF($E94="","",INDEX('Input Transaksi'!$E:$E,$E94))</f>
        <v/>
      </c>
      <c r="D94" s="5">
        <f>IF($E94="","",INDEX('Input Transaksi'!$F:$F,$E94))</f>
        <v/>
      </c>
      <c r="E94">
        <f>IFERROR(AGGREGATE(15,6,ROW('Input Transaksi'!$B$5:$B$5000)/('Input Transaksi'!$B$5:$B$5000="BALI WASH"),ROWS($E$5:E94)),"")</f>
        <v/>
      </c>
      <c r="F94" s="5" t="n"/>
    </row>
    <row r="95">
      <c r="A95" s="10">
        <f>IF($E95="","",INDEX('Input Transaksi'!$A:$A,$E95))</f>
        <v/>
      </c>
      <c r="B95" s="5">
        <f>IF($E95="","",INDEX('Input Transaksi'!$D:$D,$E95))</f>
        <v/>
      </c>
      <c r="C95">
        <f>IF($E95="","",INDEX('Input Transaksi'!$E:$E,$E95))</f>
        <v/>
      </c>
      <c r="D95" s="5">
        <f>IF($E95="","",INDEX('Input Transaksi'!$F:$F,$E95))</f>
        <v/>
      </c>
      <c r="E95">
        <f>IFERROR(AGGREGATE(15,6,ROW('Input Transaksi'!$B$5:$B$5000)/('Input Transaksi'!$B$5:$B$5000="BALI WASH"),ROWS($E$5:E95)),"")</f>
        <v/>
      </c>
      <c r="F95" s="5" t="n"/>
    </row>
    <row r="96">
      <c r="A96" s="10">
        <f>IF($E96="","",INDEX('Input Transaksi'!$A:$A,$E96))</f>
        <v/>
      </c>
      <c r="B96" s="5">
        <f>IF($E96="","",INDEX('Input Transaksi'!$D:$D,$E96))</f>
        <v/>
      </c>
      <c r="C96">
        <f>IF($E96="","",INDEX('Input Transaksi'!$E:$E,$E96))</f>
        <v/>
      </c>
      <c r="D96" s="5">
        <f>IF($E96="","",INDEX('Input Transaksi'!$F:$F,$E96))</f>
        <v/>
      </c>
      <c r="E96">
        <f>IFERROR(AGGREGATE(15,6,ROW('Input Transaksi'!$B$5:$B$5000)/('Input Transaksi'!$B$5:$B$5000="BALI WASH"),ROWS($E$5:E96)),"")</f>
        <v/>
      </c>
      <c r="F96" s="5" t="n"/>
    </row>
    <row r="97">
      <c r="A97" s="10">
        <f>IF($E97="","",INDEX('Input Transaksi'!$A:$A,$E97))</f>
        <v/>
      </c>
      <c r="B97" s="5">
        <f>IF($E97="","",INDEX('Input Transaksi'!$D:$D,$E97))</f>
        <v/>
      </c>
      <c r="C97">
        <f>IF($E97="","",INDEX('Input Transaksi'!$E:$E,$E97))</f>
        <v/>
      </c>
      <c r="D97" s="5">
        <f>IF($E97="","",INDEX('Input Transaksi'!$F:$F,$E97))</f>
        <v/>
      </c>
      <c r="E97">
        <f>IFERROR(AGGREGATE(15,6,ROW('Input Transaksi'!$B$5:$B$5000)/('Input Transaksi'!$B$5:$B$5000="BALI WASH"),ROWS($E$5:E97)),"")</f>
        <v/>
      </c>
      <c r="F97" s="5" t="n"/>
    </row>
    <row r="98">
      <c r="A98" s="10">
        <f>IF($E98="","",INDEX('Input Transaksi'!$A:$A,$E98))</f>
        <v/>
      </c>
      <c r="B98" s="5">
        <f>IF($E98="","",INDEX('Input Transaksi'!$D:$D,$E98))</f>
        <v/>
      </c>
      <c r="C98">
        <f>IF($E98="","",INDEX('Input Transaksi'!$E:$E,$E98))</f>
        <v/>
      </c>
      <c r="D98" s="5">
        <f>IF($E98="","",INDEX('Input Transaksi'!$F:$F,$E98))</f>
        <v/>
      </c>
      <c r="E98">
        <f>IFERROR(AGGREGATE(15,6,ROW('Input Transaksi'!$B$5:$B$5000)/('Input Transaksi'!$B$5:$B$5000="BALI WASH"),ROWS($E$5:E98)),"")</f>
        <v/>
      </c>
      <c r="F98" s="5" t="n"/>
    </row>
    <row r="99">
      <c r="A99" s="10">
        <f>IF($E99="","",INDEX('Input Transaksi'!$A:$A,$E99))</f>
        <v/>
      </c>
      <c r="B99" s="5">
        <f>IF($E99="","",INDEX('Input Transaksi'!$D:$D,$E99))</f>
        <v/>
      </c>
      <c r="C99">
        <f>IF($E99="","",INDEX('Input Transaksi'!$E:$E,$E99))</f>
        <v/>
      </c>
      <c r="D99" s="5">
        <f>IF($E99="","",INDEX('Input Transaksi'!$F:$F,$E99))</f>
        <v/>
      </c>
      <c r="E99">
        <f>IFERROR(AGGREGATE(15,6,ROW('Input Transaksi'!$B$5:$B$5000)/('Input Transaksi'!$B$5:$B$5000="BALI WASH"),ROWS($E$5:E99)),"")</f>
        <v/>
      </c>
      <c r="F99" s="5" t="n"/>
    </row>
    <row r="100">
      <c r="A100" s="10">
        <f>IF($E100="","",INDEX('Input Transaksi'!$A:$A,$E100))</f>
        <v/>
      </c>
      <c r="B100" s="5">
        <f>IF($E100="","",INDEX('Input Transaksi'!$D:$D,$E100))</f>
        <v/>
      </c>
      <c r="C100">
        <f>IF($E100="","",INDEX('Input Transaksi'!$E:$E,$E100))</f>
        <v/>
      </c>
      <c r="D100" s="5">
        <f>IF($E100="","",INDEX('Input Transaksi'!$F:$F,$E100))</f>
        <v/>
      </c>
      <c r="E100">
        <f>IFERROR(AGGREGATE(15,6,ROW('Input Transaksi'!$B$5:$B$5000)/('Input Transaksi'!$B$5:$B$5000="BALI WASH"),ROWS($E$5:E100)),"")</f>
        <v/>
      </c>
      <c r="F100" s="5" t="n"/>
    </row>
    <row r="101">
      <c r="A101" s="10">
        <f>IF($E101="","",INDEX('Input Transaksi'!$A:$A,$E101))</f>
        <v/>
      </c>
      <c r="B101" s="5">
        <f>IF($E101="","",INDEX('Input Transaksi'!$D:$D,$E101))</f>
        <v/>
      </c>
      <c r="C101">
        <f>IF($E101="","",INDEX('Input Transaksi'!$E:$E,$E101))</f>
        <v/>
      </c>
      <c r="D101" s="5">
        <f>IF($E101="","",INDEX('Input Transaksi'!$F:$F,$E101))</f>
        <v/>
      </c>
      <c r="E101">
        <f>IFERROR(AGGREGATE(15,6,ROW('Input Transaksi'!$B$5:$B$5000)/('Input Transaksi'!$B$5:$B$5000="BALI WASH"),ROWS($E$5:E101)),"")</f>
        <v/>
      </c>
      <c r="F101" s="5" t="n"/>
    </row>
    <row r="102">
      <c r="A102" s="10">
        <f>IF($E102="","",INDEX('Input Transaksi'!$A:$A,$E102))</f>
        <v/>
      </c>
      <c r="B102" s="5">
        <f>IF($E102="","",INDEX('Input Transaksi'!$D:$D,$E102))</f>
        <v/>
      </c>
      <c r="C102">
        <f>IF($E102="","",INDEX('Input Transaksi'!$E:$E,$E102))</f>
        <v/>
      </c>
      <c r="D102" s="5">
        <f>IF($E102="","",INDEX('Input Transaksi'!$F:$F,$E102))</f>
        <v/>
      </c>
      <c r="E102">
        <f>IFERROR(AGGREGATE(15,6,ROW('Input Transaksi'!$B$5:$B$5000)/('Input Transaksi'!$B$5:$B$5000="BALI WASH"),ROWS($E$5:E102)),"")</f>
        <v/>
      </c>
      <c r="F102" s="5" t="n"/>
    </row>
    <row r="103">
      <c r="A103" s="10">
        <f>IF($E103="","",INDEX('Input Transaksi'!$A:$A,$E103))</f>
        <v/>
      </c>
      <c r="B103" s="5">
        <f>IF($E103="","",INDEX('Input Transaksi'!$D:$D,$E103))</f>
        <v/>
      </c>
      <c r="C103">
        <f>IF($E103="","",INDEX('Input Transaksi'!$E:$E,$E103))</f>
        <v/>
      </c>
      <c r="D103" s="5">
        <f>IF($E103="","",INDEX('Input Transaksi'!$F:$F,$E103))</f>
        <v/>
      </c>
      <c r="E103">
        <f>IFERROR(AGGREGATE(15,6,ROW('Input Transaksi'!$B$5:$B$5000)/('Input Transaksi'!$B$5:$B$5000="BALI WASH"),ROWS($E$5:E103)),"")</f>
        <v/>
      </c>
      <c r="F103" s="5" t="n"/>
    </row>
    <row r="104">
      <c r="A104" s="10">
        <f>IF($E104="","",INDEX('Input Transaksi'!$A:$A,$E104))</f>
        <v/>
      </c>
      <c r="B104" s="5">
        <f>IF($E104="","",INDEX('Input Transaksi'!$D:$D,$E104))</f>
        <v/>
      </c>
      <c r="C104">
        <f>IF($E104="","",INDEX('Input Transaksi'!$E:$E,$E104))</f>
        <v/>
      </c>
      <c r="D104" s="5">
        <f>IF($E104="","",INDEX('Input Transaksi'!$F:$F,$E104))</f>
        <v/>
      </c>
      <c r="E104">
        <f>IFERROR(AGGREGATE(15,6,ROW('Input Transaksi'!$B$5:$B$5000)/('Input Transaksi'!$B$5:$B$5000="BALI WASH"),ROWS($E$5:E104)),"")</f>
        <v/>
      </c>
      <c r="F104" s="5" t="n"/>
    </row>
    <row r="105">
      <c r="A105" s="10">
        <f>IF($E105="","",INDEX('Input Transaksi'!$A:$A,$E105))</f>
        <v/>
      </c>
      <c r="B105" s="5">
        <f>IF($E105="","",INDEX('Input Transaksi'!$D:$D,$E105))</f>
        <v/>
      </c>
      <c r="C105">
        <f>IF($E105="","",INDEX('Input Transaksi'!$E:$E,$E105))</f>
        <v/>
      </c>
      <c r="D105" s="5">
        <f>IF($E105="","",INDEX('Input Transaksi'!$F:$F,$E105))</f>
        <v/>
      </c>
      <c r="E105">
        <f>IFERROR(AGGREGATE(15,6,ROW('Input Transaksi'!$B$5:$B$5000)/('Input Transaksi'!$B$5:$B$5000="BALI WASH"),ROWS($E$5:E105)),"")</f>
        <v/>
      </c>
      <c r="F105" s="5" t="n"/>
    </row>
    <row r="106">
      <c r="A106" s="10">
        <f>IF($E106="","",INDEX('Input Transaksi'!$A:$A,$E106))</f>
        <v/>
      </c>
      <c r="B106" s="5">
        <f>IF($E106="","",INDEX('Input Transaksi'!$D:$D,$E106))</f>
        <v/>
      </c>
      <c r="C106">
        <f>IF($E106="","",INDEX('Input Transaksi'!$E:$E,$E106))</f>
        <v/>
      </c>
      <c r="D106" s="5">
        <f>IF($E106="","",INDEX('Input Transaksi'!$F:$F,$E106))</f>
        <v/>
      </c>
      <c r="E106">
        <f>IFERROR(AGGREGATE(15,6,ROW('Input Transaksi'!$B$5:$B$5000)/('Input Transaksi'!$B$5:$B$5000="BALI WASH"),ROWS($E$5:E106)),"")</f>
        <v/>
      </c>
      <c r="F106" s="5" t="n"/>
    </row>
    <row r="107">
      <c r="A107" s="10">
        <f>IF($E107="","",INDEX('Input Transaksi'!$A:$A,$E107))</f>
        <v/>
      </c>
      <c r="B107" s="5">
        <f>IF($E107="","",INDEX('Input Transaksi'!$D:$D,$E107))</f>
        <v/>
      </c>
      <c r="C107">
        <f>IF($E107="","",INDEX('Input Transaksi'!$E:$E,$E107))</f>
        <v/>
      </c>
      <c r="D107" s="5">
        <f>IF($E107="","",INDEX('Input Transaksi'!$F:$F,$E107))</f>
        <v/>
      </c>
      <c r="E107">
        <f>IFERROR(AGGREGATE(15,6,ROW('Input Transaksi'!$B$5:$B$5000)/('Input Transaksi'!$B$5:$B$5000="BALI WASH"),ROWS($E$5:E107)),"")</f>
        <v/>
      </c>
      <c r="F107" s="5" t="n"/>
    </row>
    <row r="108">
      <c r="A108" s="10">
        <f>IF($E108="","",INDEX('Input Transaksi'!$A:$A,$E108))</f>
        <v/>
      </c>
      <c r="B108" s="5">
        <f>IF($E108="","",INDEX('Input Transaksi'!$D:$D,$E108))</f>
        <v/>
      </c>
      <c r="C108">
        <f>IF($E108="","",INDEX('Input Transaksi'!$E:$E,$E108))</f>
        <v/>
      </c>
      <c r="D108" s="5">
        <f>IF($E108="","",INDEX('Input Transaksi'!$F:$F,$E108))</f>
        <v/>
      </c>
      <c r="E108">
        <f>IFERROR(AGGREGATE(15,6,ROW('Input Transaksi'!$B$5:$B$5000)/('Input Transaksi'!$B$5:$B$5000="BALI WASH"),ROWS($E$5:E108)),"")</f>
        <v/>
      </c>
      <c r="F108" s="5" t="n"/>
    </row>
    <row r="109">
      <c r="A109" s="10">
        <f>IF($E109="","",INDEX('Input Transaksi'!$A:$A,$E109))</f>
        <v/>
      </c>
      <c r="B109" s="5">
        <f>IF($E109="","",INDEX('Input Transaksi'!$D:$D,$E109))</f>
        <v/>
      </c>
      <c r="C109">
        <f>IF($E109="","",INDEX('Input Transaksi'!$E:$E,$E109))</f>
        <v/>
      </c>
      <c r="D109" s="5">
        <f>IF($E109="","",INDEX('Input Transaksi'!$F:$F,$E109))</f>
        <v/>
      </c>
      <c r="E109">
        <f>IFERROR(AGGREGATE(15,6,ROW('Input Transaksi'!$B$5:$B$5000)/('Input Transaksi'!$B$5:$B$5000="BALI WASH"),ROWS($E$5:E109)),"")</f>
        <v/>
      </c>
      <c r="F109" s="5" t="n"/>
    </row>
    <row r="110">
      <c r="A110" s="10">
        <f>IF($E110="","",INDEX('Input Transaksi'!$A:$A,$E110))</f>
        <v/>
      </c>
      <c r="B110" s="5">
        <f>IF($E110="","",INDEX('Input Transaksi'!$D:$D,$E110))</f>
        <v/>
      </c>
      <c r="C110">
        <f>IF($E110="","",INDEX('Input Transaksi'!$E:$E,$E110))</f>
        <v/>
      </c>
      <c r="D110" s="5">
        <f>IF($E110="","",INDEX('Input Transaksi'!$F:$F,$E110))</f>
        <v/>
      </c>
      <c r="E110">
        <f>IFERROR(AGGREGATE(15,6,ROW('Input Transaksi'!$B$5:$B$5000)/('Input Transaksi'!$B$5:$B$5000="BALI WASH"),ROWS($E$5:E110)),"")</f>
        <v/>
      </c>
      <c r="F110" s="5" t="n"/>
    </row>
    <row r="111">
      <c r="A111" s="10">
        <f>IF($E111="","",INDEX('Input Transaksi'!$A:$A,$E111))</f>
        <v/>
      </c>
      <c r="B111" s="5">
        <f>IF($E111="","",INDEX('Input Transaksi'!$D:$D,$E111))</f>
        <v/>
      </c>
      <c r="C111">
        <f>IF($E111="","",INDEX('Input Transaksi'!$E:$E,$E111))</f>
        <v/>
      </c>
      <c r="D111" s="5">
        <f>IF($E111="","",INDEX('Input Transaksi'!$F:$F,$E111))</f>
        <v/>
      </c>
      <c r="E111">
        <f>IFERROR(AGGREGATE(15,6,ROW('Input Transaksi'!$B$5:$B$5000)/('Input Transaksi'!$B$5:$B$5000="BALI WASH"),ROWS($E$5:E111)),"")</f>
        <v/>
      </c>
      <c r="F111" s="5" t="n"/>
    </row>
    <row r="112">
      <c r="A112" s="10">
        <f>IF($E112="","",INDEX('Input Transaksi'!$A:$A,$E112))</f>
        <v/>
      </c>
      <c r="B112" s="5">
        <f>IF($E112="","",INDEX('Input Transaksi'!$D:$D,$E112))</f>
        <v/>
      </c>
      <c r="C112">
        <f>IF($E112="","",INDEX('Input Transaksi'!$E:$E,$E112))</f>
        <v/>
      </c>
      <c r="D112" s="5">
        <f>IF($E112="","",INDEX('Input Transaksi'!$F:$F,$E112))</f>
        <v/>
      </c>
      <c r="E112">
        <f>IFERROR(AGGREGATE(15,6,ROW('Input Transaksi'!$B$5:$B$5000)/('Input Transaksi'!$B$5:$B$5000="BALI WASH"),ROWS($E$5:E112)),"")</f>
        <v/>
      </c>
      <c r="F112" s="5" t="n"/>
    </row>
    <row r="113">
      <c r="A113" s="10">
        <f>IF($E113="","",INDEX('Input Transaksi'!$A:$A,$E113))</f>
        <v/>
      </c>
      <c r="B113" s="5">
        <f>IF($E113="","",INDEX('Input Transaksi'!$D:$D,$E113))</f>
        <v/>
      </c>
      <c r="C113">
        <f>IF($E113="","",INDEX('Input Transaksi'!$E:$E,$E113))</f>
        <v/>
      </c>
      <c r="D113" s="5">
        <f>IF($E113="","",INDEX('Input Transaksi'!$F:$F,$E113))</f>
        <v/>
      </c>
      <c r="E113">
        <f>IFERROR(AGGREGATE(15,6,ROW('Input Transaksi'!$B$5:$B$5000)/('Input Transaksi'!$B$5:$B$5000="BALI WASH"),ROWS($E$5:E113)),"")</f>
        <v/>
      </c>
      <c r="F113" s="5" t="n"/>
    </row>
    <row r="114">
      <c r="A114" s="10">
        <f>IF($E114="","",INDEX('Input Transaksi'!$A:$A,$E114))</f>
        <v/>
      </c>
      <c r="B114" s="5">
        <f>IF($E114="","",INDEX('Input Transaksi'!$D:$D,$E114))</f>
        <v/>
      </c>
      <c r="C114">
        <f>IF($E114="","",INDEX('Input Transaksi'!$E:$E,$E114))</f>
        <v/>
      </c>
      <c r="D114" s="5">
        <f>IF($E114="","",INDEX('Input Transaksi'!$F:$F,$E114))</f>
        <v/>
      </c>
      <c r="E114">
        <f>IFERROR(AGGREGATE(15,6,ROW('Input Transaksi'!$B$5:$B$5000)/('Input Transaksi'!$B$5:$B$5000="BALI WASH"),ROWS($E$5:E114)),"")</f>
        <v/>
      </c>
      <c r="F114" s="5" t="n"/>
    </row>
    <row r="115">
      <c r="A115" s="10">
        <f>IF($E115="","",INDEX('Input Transaksi'!$A:$A,$E115))</f>
        <v/>
      </c>
      <c r="B115" s="5">
        <f>IF($E115="","",INDEX('Input Transaksi'!$D:$D,$E115))</f>
        <v/>
      </c>
      <c r="C115">
        <f>IF($E115="","",INDEX('Input Transaksi'!$E:$E,$E115))</f>
        <v/>
      </c>
      <c r="D115" s="5">
        <f>IF($E115="","",INDEX('Input Transaksi'!$F:$F,$E115))</f>
        <v/>
      </c>
      <c r="E115">
        <f>IFERROR(AGGREGATE(15,6,ROW('Input Transaksi'!$B$5:$B$5000)/('Input Transaksi'!$B$5:$B$5000="BALI WASH"),ROWS($E$5:E115)),"")</f>
        <v/>
      </c>
      <c r="F115" s="5" t="n"/>
    </row>
    <row r="116">
      <c r="A116" s="10">
        <f>IF($E116="","",INDEX('Input Transaksi'!$A:$A,$E116))</f>
        <v/>
      </c>
      <c r="B116" s="5">
        <f>IF($E116="","",INDEX('Input Transaksi'!$D:$D,$E116))</f>
        <v/>
      </c>
      <c r="C116">
        <f>IF($E116="","",INDEX('Input Transaksi'!$E:$E,$E116))</f>
        <v/>
      </c>
      <c r="D116" s="5">
        <f>IF($E116="","",INDEX('Input Transaksi'!$F:$F,$E116))</f>
        <v/>
      </c>
      <c r="E116">
        <f>IFERROR(AGGREGATE(15,6,ROW('Input Transaksi'!$B$5:$B$5000)/('Input Transaksi'!$B$5:$B$5000="BALI WASH"),ROWS($E$5:E116)),"")</f>
        <v/>
      </c>
      <c r="F116" s="5" t="n"/>
    </row>
    <row r="117">
      <c r="A117" s="10">
        <f>IF($E117="","",INDEX('Input Transaksi'!$A:$A,$E117))</f>
        <v/>
      </c>
      <c r="B117" s="5">
        <f>IF($E117="","",INDEX('Input Transaksi'!$D:$D,$E117))</f>
        <v/>
      </c>
      <c r="C117">
        <f>IF($E117="","",INDEX('Input Transaksi'!$E:$E,$E117))</f>
        <v/>
      </c>
      <c r="D117" s="5">
        <f>IF($E117="","",INDEX('Input Transaksi'!$F:$F,$E117))</f>
        <v/>
      </c>
      <c r="E117">
        <f>IFERROR(AGGREGATE(15,6,ROW('Input Transaksi'!$B$5:$B$5000)/('Input Transaksi'!$B$5:$B$5000="BALI WASH"),ROWS($E$5:E117)),"")</f>
        <v/>
      </c>
      <c r="F117" s="5" t="n"/>
    </row>
    <row r="118">
      <c r="A118" s="10">
        <f>IF($E118="","",INDEX('Input Transaksi'!$A:$A,$E118))</f>
        <v/>
      </c>
      <c r="B118" s="5">
        <f>IF($E118="","",INDEX('Input Transaksi'!$D:$D,$E118))</f>
        <v/>
      </c>
      <c r="C118">
        <f>IF($E118="","",INDEX('Input Transaksi'!$E:$E,$E118))</f>
        <v/>
      </c>
      <c r="D118" s="5">
        <f>IF($E118="","",INDEX('Input Transaksi'!$F:$F,$E118))</f>
        <v/>
      </c>
      <c r="E118">
        <f>IFERROR(AGGREGATE(15,6,ROW('Input Transaksi'!$B$5:$B$5000)/('Input Transaksi'!$B$5:$B$5000="BALI WASH"),ROWS($E$5:E118)),"")</f>
        <v/>
      </c>
      <c r="F118" s="5" t="n"/>
    </row>
    <row r="119">
      <c r="A119" s="10">
        <f>IF($E119="","",INDEX('Input Transaksi'!$A:$A,$E119))</f>
        <v/>
      </c>
      <c r="B119" s="5">
        <f>IF($E119="","",INDEX('Input Transaksi'!$D:$D,$E119))</f>
        <v/>
      </c>
      <c r="C119">
        <f>IF($E119="","",INDEX('Input Transaksi'!$E:$E,$E119))</f>
        <v/>
      </c>
      <c r="D119" s="5">
        <f>IF($E119="","",INDEX('Input Transaksi'!$F:$F,$E119))</f>
        <v/>
      </c>
      <c r="E119">
        <f>IFERROR(AGGREGATE(15,6,ROW('Input Transaksi'!$B$5:$B$5000)/('Input Transaksi'!$B$5:$B$5000="BALI WASH"),ROWS($E$5:E119)),"")</f>
        <v/>
      </c>
      <c r="F119" s="5" t="n"/>
    </row>
    <row r="120">
      <c r="A120" s="10">
        <f>IF($E120="","",INDEX('Input Transaksi'!$A:$A,$E120))</f>
        <v/>
      </c>
      <c r="B120" s="5">
        <f>IF($E120="","",INDEX('Input Transaksi'!$D:$D,$E120))</f>
        <v/>
      </c>
      <c r="C120">
        <f>IF($E120="","",INDEX('Input Transaksi'!$E:$E,$E120))</f>
        <v/>
      </c>
      <c r="D120" s="5">
        <f>IF($E120="","",INDEX('Input Transaksi'!$F:$F,$E120))</f>
        <v/>
      </c>
      <c r="E120">
        <f>IFERROR(AGGREGATE(15,6,ROW('Input Transaksi'!$B$5:$B$5000)/('Input Transaksi'!$B$5:$B$5000="BALI WASH"),ROWS($E$5:E120)),"")</f>
        <v/>
      </c>
      <c r="F120" s="5" t="n"/>
    </row>
    <row r="121">
      <c r="A121" s="10">
        <f>IF($E121="","",INDEX('Input Transaksi'!$A:$A,$E121))</f>
        <v/>
      </c>
      <c r="B121" s="5">
        <f>IF($E121="","",INDEX('Input Transaksi'!$D:$D,$E121))</f>
        <v/>
      </c>
      <c r="C121">
        <f>IF($E121="","",INDEX('Input Transaksi'!$E:$E,$E121))</f>
        <v/>
      </c>
      <c r="D121" s="5">
        <f>IF($E121="","",INDEX('Input Transaksi'!$F:$F,$E121))</f>
        <v/>
      </c>
      <c r="E121">
        <f>IFERROR(AGGREGATE(15,6,ROW('Input Transaksi'!$B$5:$B$5000)/('Input Transaksi'!$B$5:$B$5000="BALI WASH"),ROWS($E$5:E121)),"")</f>
        <v/>
      </c>
      <c r="F121" s="5" t="n"/>
    </row>
    <row r="122">
      <c r="A122" s="10">
        <f>IF($E122="","",INDEX('Input Transaksi'!$A:$A,$E122))</f>
        <v/>
      </c>
      <c r="B122" s="5">
        <f>IF($E122="","",INDEX('Input Transaksi'!$D:$D,$E122))</f>
        <v/>
      </c>
      <c r="C122">
        <f>IF($E122="","",INDEX('Input Transaksi'!$E:$E,$E122))</f>
        <v/>
      </c>
      <c r="D122" s="5">
        <f>IF($E122="","",INDEX('Input Transaksi'!$F:$F,$E122))</f>
        <v/>
      </c>
      <c r="E122">
        <f>IFERROR(AGGREGATE(15,6,ROW('Input Transaksi'!$B$5:$B$5000)/('Input Transaksi'!$B$5:$B$5000="BALI WASH"),ROWS($E$5:E122)),"")</f>
        <v/>
      </c>
      <c r="F122" s="5" t="n"/>
    </row>
    <row r="123">
      <c r="A123" s="10">
        <f>IF($E123="","",INDEX('Input Transaksi'!$A:$A,$E123))</f>
        <v/>
      </c>
      <c r="B123" s="5">
        <f>IF($E123="","",INDEX('Input Transaksi'!$D:$D,$E123))</f>
        <v/>
      </c>
      <c r="C123">
        <f>IF($E123="","",INDEX('Input Transaksi'!$E:$E,$E123))</f>
        <v/>
      </c>
      <c r="D123" s="5">
        <f>IF($E123="","",INDEX('Input Transaksi'!$F:$F,$E123))</f>
        <v/>
      </c>
      <c r="E123">
        <f>IFERROR(AGGREGATE(15,6,ROW('Input Transaksi'!$B$5:$B$5000)/('Input Transaksi'!$B$5:$B$5000="BALI WASH"),ROWS($E$5:E123)),"")</f>
        <v/>
      </c>
      <c r="F123" s="5" t="n"/>
    </row>
    <row r="124">
      <c r="A124" s="10">
        <f>IF($E124="","",INDEX('Input Transaksi'!$A:$A,$E124))</f>
        <v/>
      </c>
      <c r="B124" s="5">
        <f>IF($E124="","",INDEX('Input Transaksi'!$D:$D,$E124))</f>
        <v/>
      </c>
      <c r="C124">
        <f>IF($E124="","",INDEX('Input Transaksi'!$E:$E,$E124))</f>
        <v/>
      </c>
      <c r="D124" s="5">
        <f>IF($E124="","",INDEX('Input Transaksi'!$F:$F,$E124))</f>
        <v/>
      </c>
      <c r="E124">
        <f>IFERROR(AGGREGATE(15,6,ROW('Input Transaksi'!$B$5:$B$5000)/('Input Transaksi'!$B$5:$B$5000="BALI WASH"),ROWS($E$5:E124)),"")</f>
        <v/>
      </c>
      <c r="F124" s="5" t="n"/>
    </row>
    <row r="125">
      <c r="A125" s="10">
        <f>IF($E125="","",INDEX('Input Transaksi'!$A:$A,$E125))</f>
        <v/>
      </c>
      <c r="B125" s="5">
        <f>IF($E125="","",INDEX('Input Transaksi'!$D:$D,$E125))</f>
        <v/>
      </c>
      <c r="C125">
        <f>IF($E125="","",INDEX('Input Transaksi'!$E:$E,$E125))</f>
        <v/>
      </c>
      <c r="D125" s="5">
        <f>IF($E125="","",INDEX('Input Transaksi'!$F:$F,$E125))</f>
        <v/>
      </c>
      <c r="E125">
        <f>IFERROR(AGGREGATE(15,6,ROW('Input Transaksi'!$B$5:$B$5000)/('Input Transaksi'!$B$5:$B$5000="BALI WASH"),ROWS($E$5:E125)),"")</f>
        <v/>
      </c>
      <c r="F125" s="5" t="n"/>
    </row>
    <row r="126">
      <c r="A126" s="10">
        <f>IF($E126="","",INDEX('Input Transaksi'!$A:$A,$E126))</f>
        <v/>
      </c>
      <c r="B126" s="5">
        <f>IF($E126="","",INDEX('Input Transaksi'!$D:$D,$E126))</f>
        <v/>
      </c>
      <c r="C126">
        <f>IF($E126="","",INDEX('Input Transaksi'!$E:$E,$E126))</f>
        <v/>
      </c>
      <c r="D126" s="5">
        <f>IF($E126="","",INDEX('Input Transaksi'!$F:$F,$E126))</f>
        <v/>
      </c>
      <c r="E126">
        <f>IFERROR(AGGREGATE(15,6,ROW('Input Transaksi'!$B$5:$B$5000)/('Input Transaksi'!$B$5:$B$5000="BALI WASH"),ROWS($E$5:E126)),"")</f>
        <v/>
      </c>
      <c r="F126" s="5" t="n"/>
    </row>
    <row r="127">
      <c r="A127" s="10">
        <f>IF($E127="","",INDEX('Input Transaksi'!$A:$A,$E127))</f>
        <v/>
      </c>
      <c r="B127" s="5">
        <f>IF($E127="","",INDEX('Input Transaksi'!$D:$D,$E127))</f>
        <v/>
      </c>
      <c r="C127">
        <f>IF($E127="","",INDEX('Input Transaksi'!$E:$E,$E127))</f>
        <v/>
      </c>
      <c r="D127" s="5">
        <f>IF($E127="","",INDEX('Input Transaksi'!$F:$F,$E127))</f>
        <v/>
      </c>
      <c r="E127">
        <f>IFERROR(AGGREGATE(15,6,ROW('Input Transaksi'!$B$5:$B$5000)/('Input Transaksi'!$B$5:$B$5000="BALI WASH"),ROWS($E$5:E127)),"")</f>
        <v/>
      </c>
      <c r="F127" s="5" t="n"/>
    </row>
    <row r="128">
      <c r="A128" s="10">
        <f>IF($E128="","",INDEX('Input Transaksi'!$A:$A,$E128))</f>
        <v/>
      </c>
      <c r="B128" s="5">
        <f>IF($E128="","",INDEX('Input Transaksi'!$D:$D,$E128))</f>
        <v/>
      </c>
      <c r="C128">
        <f>IF($E128="","",INDEX('Input Transaksi'!$E:$E,$E128))</f>
        <v/>
      </c>
      <c r="D128" s="5">
        <f>IF($E128="","",INDEX('Input Transaksi'!$F:$F,$E128))</f>
        <v/>
      </c>
      <c r="E128">
        <f>IFERROR(AGGREGATE(15,6,ROW('Input Transaksi'!$B$5:$B$5000)/('Input Transaksi'!$B$5:$B$5000="BALI WASH"),ROWS($E$5:E128)),"")</f>
        <v/>
      </c>
      <c r="F128" s="5" t="n"/>
    </row>
    <row r="129">
      <c r="A129" s="10">
        <f>IF($E129="","",INDEX('Input Transaksi'!$A:$A,$E129))</f>
        <v/>
      </c>
      <c r="B129" s="5">
        <f>IF($E129="","",INDEX('Input Transaksi'!$D:$D,$E129))</f>
        <v/>
      </c>
      <c r="C129">
        <f>IF($E129="","",INDEX('Input Transaksi'!$E:$E,$E129))</f>
        <v/>
      </c>
      <c r="D129" s="5">
        <f>IF($E129="","",INDEX('Input Transaksi'!$F:$F,$E129))</f>
        <v/>
      </c>
      <c r="E129">
        <f>IFERROR(AGGREGATE(15,6,ROW('Input Transaksi'!$B$5:$B$5000)/('Input Transaksi'!$B$5:$B$5000="BALI WASH"),ROWS($E$5:E129)),"")</f>
        <v/>
      </c>
      <c r="F129" s="5" t="n"/>
    </row>
    <row r="130">
      <c r="A130" s="10">
        <f>IF($E130="","",INDEX('Input Transaksi'!$A:$A,$E130))</f>
        <v/>
      </c>
      <c r="B130" s="5">
        <f>IF($E130="","",INDEX('Input Transaksi'!$D:$D,$E130))</f>
        <v/>
      </c>
      <c r="C130">
        <f>IF($E130="","",INDEX('Input Transaksi'!$E:$E,$E130))</f>
        <v/>
      </c>
      <c r="D130" s="5">
        <f>IF($E130="","",INDEX('Input Transaksi'!$F:$F,$E130))</f>
        <v/>
      </c>
      <c r="E130">
        <f>IFERROR(AGGREGATE(15,6,ROW('Input Transaksi'!$B$5:$B$5000)/('Input Transaksi'!$B$5:$B$5000="BALI WASH"),ROWS($E$5:E130)),"")</f>
        <v/>
      </c>
      <c r="F130" s="5" t="n"/>
    </row>
    <row r="131">
      <c r="A131" s="10">
        <f>IF($E131="","",INDEX('Input Transaksi'!$A:$A,$E131))</f>
        <v/>
      </c>
      <c r="B131" s="5">
        <f>IF($E131="","",INDEX('Input Transaksi'!$D:$D,$E131))</f>
        <v/>
      </c>
      <c r="C131">
        <f>IF($E131="","",INDEX('Input Transaksi'!$E:$E,$E131))</f>
        <v/>
      </c>
      <c r="D131" s="5">
        <f>IF($E131="","",INDEX('Input Transaksi'!$F:$F,$E131))</f>
        <v/>
      </c>
      <c r="E131">
        <f>IFERROR(AGGREGATE(15,6,ROW('Input Transaksi'!$B$5:$B$5000)/('Input Transaksi'!$B$5:$B$5000="BALI WASH"),ROWS($E$5:E131)),"")</f>
        <v/>
      </c>
      <c r="F131" s="5" t="n"/>
    </row>
    <row r="132">
      <c r="A132" s="10">
        <f>IF($E132="","",INDEX('Input Transaksi'!$A:$A,$E132))</f>
        <v/>
      </c>
      <c r="B132" s="5">
        <f>IF($E132="","",INDEX('Input Transaksi'!$D:$D,$E132))</f>
        <v/>
      </c>
      <c r="C132">
        <f>IF($E132="","",INDEX('Input Transaksi'!$E:$E,$E132))</f>
        <v/>
      </c>
      <c r="D132" s="5">
        <f>IF($E132="","",INDEX('Input Transaksi'!$F:$F,$E132))</f>
        <v/>
      </c>
      <c r="E132">
        <f>IFERROR(AGGREGATE(15,6,ROW('Input Transaksi'!$B$5:$B$5000)/('Input Transaksi'!$B$5:$B$5000="BALI WASH"),ROWS($E$5:E132)),"")</f>
        <v/>
      </c>
      <c r="F132" s="5" t="n"/>
    </row>
    <row r="133">
      <c r="A133" s="10">
        <f>IF($E133="","",INDEX('Input Transaksi'!$A:$A,$E133))</f>
        <v/>
      </c>
      <c r="B133" s="5">
        <f>IF($E133="","",INDEX('Input Transaksi'!$D:$D,$E133))</f>
        <v/>
      </c>
      <c r="C133">
        <f>IF($E133="","",INDEX('Input Transaksi'!$E:$E,$E133))</f>
        <v/>
      </c>
      <c r="D133" s="5">
        <f>IF($E133="","",INDEX('Input Transaksi'!$F:$F,$E133))</f>
        <v/>
      </c>
      <c r="E133">
        <f>IFERROR(AGGREGATE(15,6,ROW('Input Transaksi'!$B$5:$B$5000)/('Input Transaksi'!$B$5:$B$5000="BALI WASH"),ROWS($E$5:E133)),"")</f>
        <v/>
      </c>
      <c r="F133" s="5" t="n"/>
    </row>
    <row r="134">
      <c r="A134" s="10">
        <f>IF($E134="","",INDEX('Input Transaksi'!$A:$A,$E134))</f>
        <v/>
      </c>
      <c r="B134" s="5">
        <f>IF($E134="","",INDEX('Input Transaksi'!$D:$D,$E134))</f>
        <v/>
      </c>
      <c r="C134">
        <f>IF($E134="","",INDEX('Input Transaksi'!$E:$E,$E134))</f>
        <v/>
      </c>
      <c r="D134" s="5">
        <f>IF($E134="","",INDEX('Input Transaksi'!$F:$F,$E134))</f>
        <v/>
      </c>
      <c r="E134">
        <f>IFERROR(AGGREGATE(15,6,ROW('Input Transaksi'!$B$5:$B$5000)/('Input Transaksi'!$B$5:$B$5000="BALI WASH"),ROWS($E$5:E134)),"")</f>
        <v/>
      </c>
      <c r="F134" s="5" t="n"/>
    </row>
    <row r="135">
      <c r="A135" s="10">
        <f>IF($E135="","",INDEX('Input Transaksi'!$A:$A,$E135))</f>
        <v/>
      </c>
      <c r="B135" s="5">
        <f>IF($E135="","",INDEX('Input Transaksi'!$D:$D,$E135))</f>
        <v/>
      </c>
      <c r="C135">
        <f>IF($E135="","",INDEX('Input Transaksi'!$E:$E,$E135))</f>
        <v/>
      </c>
      <c r="D135" s="5">
        <f>IF($E135="","",INDEX('Input Transaksi'!$F:$F,$E135))</f>
        <v/>
      </c>
      <c r="E135">
        <f>IFERROR(AGGREGATE(15,6,ROW('Input Transaksi'!$B$5:$B$5000)/('Input Transaksi'!$B$5:$B$5000="BALI WASH"),ROWS($E$5:E135)),"")</f>
        <v/>
      </c>
      <c r="F135" s="5" t="n"/>
    </row>
    <row r="136">
      <c r="A136" s="10">
        <f>IF($E136="","",INDEX('Input Transaksi'!$A:$A,$E136))</f>
        <v/>
      </c>
      <c r="B136" s="5">
        <f>IF($E136="","",INDEX('Input Transaksi'!$D:$D,$E136))</f>
        <v/>
      </c>
      <c r="C136">
        <f>IF($E136="","",INDEX('Input Transaksi'!$E:$E,$E136))</f>
        <v/>
      </c>
      <c r="D136" s="5">
        <f>IF($E136="","",INDEX('Input Transaksi'!$F:$F,$E136))</f>
        <v/>
      </c>
      <c r="E136">
        <f>IFERROR(AGGREGATE(15,6,ROW('Input Transaksi'!$B$5:$B$5000)/('Input Transaksi'!$B$5:$B$5000="BALI WASH"),ROWS($E$5:E136)),"")</f>
        <v/>
      </c>
      <c r="F136" s="5" t="n"/>
    </row>
    <row r="137">
      <c r="A137" s="10">
        <f>IF($E137="","",INDEX('Input Transaksi'!$A:$A,$E137))</f>
        <v/>
      </c>
      <c r="B137" s="5">
        <f>IF($E137="","",INDEX('Input Transaksi'!$D:$D,$E137))</f>
        <v/>
      </c>
      <c r="C137">
        <f>IF($E137="","",INDEX('Input Transaksi'!$E:$E,$E137))</f>
        <v/>
      </c>
      <c r="D137" s="5">
        <f>IF($E137="","",INDEX('Input Transaksi'!$F:$F,$E137))</f>
        <v/>
      </c>
      <c r="E137">
        <f>IFERROR(AGGREGATE(15,6,ROW('Input Transaksi'!$B$5:$B$5000)/('Input Transaksi'!$B$5:$B$5000="BALI WASH"),ROWS($E$5:E137)),"")</f>
        <v/>
      </c>
      <c r="F137" s="5" t="n"/>
    </row>
    <row r="138">
      <c r="A138" s="10">
        <f>IF($E138="","",INDEX('Input Transaksi'!$A:$A,$E138))</f>
        <v/>
      </c>
      <c r="B138" s="5">
        <f>IF($E138="","",INDEX('Input Transaksi'!$D:$D,$E138))</f>
        <v/>
      </c>
      <c r="C138">
        <f>IF($E138="","",INDEX('Input Transaksi'!$E:$E,$E138))</f>
        <v/>
      </c>
      <c r="D138" s="5">
        <f>IF($E138="","",INDEX('Input Transaksi'!$F:$F,$E138))</f>
        <v/>
      </c>
      <c r="E138">
        <f>IFERROR(AGGREGATE(15,6,ROW('Input Transaksi'!$B$5:$B$5000)/('Input Transaksi'!$B$5:$B$5000="BALI WASH"),ROWS($E$5:E138)),"")</f>
        <v/>
      </c>
      <c r="F138" s="5" t="n"/>
    </row>
    <row r="139">
      <c r="A139" s="10">
        <f>IF($E139="","",INDEX('Input Transaksi'!$A:$A,$E139))</f>
        <v/>
      </c>
      <c r="B139" s="5">
        <f>IF($E139="","",INDEX('Input Transaksi'!$D:$D,$E139))</f>
        <v/>
      </c>
      <c r="C139">
        <f>IF($E139="","",INDEX('Input Transaksi'!$E:$E,$E139))</f>
        <v/>
      </c>
      <c r="D139" s="5">
        <f>IF($E139="","",INDEX('Input Transaksi'!$F:$F,$E139))</f>
        <v/>
      </c>
      <c r="E139">
        <f>IFERROR(AGGREGATE(15,6,ROW('Input Transaksi'!$B$5:$B$5000)/('Input Transaksi'!$B$5:$B$5000="BALI WASH"),ROWS($E$5:E139)),"")</f>
        <v/>
      </c>
      <c r="F139" s="5" t="n"/>
    </row>
    <row r="140">
      <c r="A140" s="10">
        <f>IF($E140="","",INDEX('Input Transaksi'!$A:$A,$E140))</f>
        <v/>
      </c>
      <c r="B140" s="5">
        <f>IF($E140="","",INDEX('Input Transaksi'!$D:$D,$E140))</f>
        <v/>
      </c>
      <c r="C140">
        <f>IF($E140="","",INDEX('Input Transaksi'!$E:$E,$E140))</f>
        <v/>
      </c>
      <c r="D140" s="5">
        <f>IF($E140="","",INDEX('Input Transaksi'!$F:$F,$E140))</f>
        <v/>
      </c>
      <c r="E140">
        <f>IFERROR(AGGREGATE(15,6,ROW('Input Transaksi'!$B$5:$B$5000)/('Input Transaksi'!$B$5:$B$5000="BALI WASH"),ROWS($E$5:E140)),"")</f>
        <v/>
      </c>
      <c r="F140" s="5" t="n"/>
    </row>
    <row r="141">
      <c r="A141" s="10">
        <f>IF($E141="","",INDEX('Input Transaksi'!$A:$A,$E141))</f>
        <v/>
      </c>
      <c r="B141" s="5">
        <f>IF($E141="","",INDEX('Input Transaksi'!$D:$D,$E141))</f>
        <v/>
      </c>
      <c r="C141">
        <f>IF($E141="","",INDEX('Input Transaksi'!$E:$E,$E141))</f>
        <v/>
      </c>
      <c r="D141" s="5">
        <f>IF($E141="","",INDEX('Input Transaksi'!$F:$F,$E141))</f>
        <v/>
      </c>
      <c r="E141">
        <f>IFERROR(AGGREGATE(15,6,ROW('Input Transaksi'!$B$5:$B$5000)/('Input Transaksi'!$B$5:$B$5000="BALI WASH"),ROWS($E$5:E141)),"")</f>
        <v/>
      </c>
      <c r="F141" s="5" t="n"/>
    </row>
    <row r="142">
      <c r="A142" s="10">
        <f>IF($E142="","",INDEX('Input Transaksi'!$A:$A,$E142))</f>
        <v/>
      </c>
      <c r="B142" s="5">
        <f>IF($E142="","",INDEX('Input Transaksi'!$D:$D,$E142))</f>
        <v/>
      </c>
      <c r="C142">
        <f>IF($E142="","",INDEX('Input Transaksi'!$E:$E,$E142))</f>
        <v/>
      </c>
      <c r="D142" s="5">
        <f>IF($E142="","",INDEX('Input Transaksi'!$F:$F,$E142))</f>
        <v/>
      </c>
      <c r="E142">
        <f>IFERROR(AGGREGATE(15,6,ROW('Input Transaksi'!$B$5:$B$5000)/('Input Transaksi'!$B$5:$B$5000="BALI WASH"),ROWS($E$5:E142)),"")</f>
        <v/>
      </c>
      <c r="F142" s="5" t="n"/>
    </row>
    <row r="143">
      <c r="A143" s="10">
        <f>IF($E143="","",INDEX('Input Transaksi'!$A:$A,$E143))</f>
        <v/>
      </c>
      <c r="B143" s="5">
        <f>IF($E143="","",INDEX('Input Transaksi'!$D:$D,$E143))</f>
        <v/>
      </c>
      <c r="C143">
        <f>IF($E143="","",INDEX('Input Transaksi'!$E:$E,$E143))</f>
        <v/>
      </c>
      <c r="D143" s="5">
        <f>IF($E143="","",INDEX('Input Transaksi'!$F:$F,$E143))</f>
        <v/>
      </c>
      <c r="E143">
        <f>IFERROR(AGGREGATE(15,6,ROW('Input Transaksi'!$B$5:$B$5000)/('Input Transaksi'!$B$5:$B$5000="BALI WASH"),ROWS($E$5:E143)),"")</f>
        <v/>
      </c>
      <c r="F143" s="5" t="n"/>
    </row>
    <row r="144">
      <c r="A144" s="10">
        <f>IF($E144="","",INDEX('Input Transaksi'!$A:$A,$E144))</f>
        <v/>
      </c>
      <c r="B144" s="5">
        <f>IF($E144="","",INDEX('Input Transaksi'!$D:$D,$E144))</f>
        <v/>
      </c>
      <c r="C144">
        <f>IF($E144="","",INDEX('Input Transaksi'!$E:$E,$E144))</f>
        <v/>
      </c>
      <c r="D144" s="5">
        <f>IF($E144="","",INDEX('Input Transaksi'!$F:$F,$E144))</f>
        <v/>
      </c>
      <c r="E144">
        <f>IFERROR(AGGREGATE(15,6,ROW('Input Transaksi'!$B$5:$B$5000)/('Input Transaksi'!$B$5:$B$5000="BALI WASH"),ROWS($E$5:E144)),"")</f>
        <v/>
      </c>
      <c r="F144" s="5" t="n"/>
    </row>
    <row r="145">
      <c r="A145" s="10">
        <f>IF($E145="","",INDEX('Input Transaksi'!$A:$A,$E145))</f>
        <v/>
      </c>
      <c r="B145" s="5">
        <f>IF($E145="","",INDEX('Input Transaksi'!$D:$D,$E145))</f>
        <v/>
      </c>
      <c r="C145">
        <f>IF($E145="","",INDEX('Input Transaksi'!$E:$E,$E145))</f>
        <v/>
      </c>
      <c r="D145" s="5">
        <f>IF($E145="","",INDEX('Input Transaksi'!$F:$F,$E145))</f>
        <v/>
      </c>
      <c r="E145">
        <f>IFERROR(AGGREGATE(15,6,ROW('Input Transaksi'!$B$5:$B$5000)/('Input Transaksi'!$B$5:$B$5000="BALI WASH"),ROWS($E$5:E145)),"")</f>
        <v/>
      </c>
      <c r="F145" s="5" t="n"/>
    </row>
    <row r="146">
      <c r="A146" s="10">
        <f>IF($E146="","",INDEX('Input Transaksi'!$A:$A,$E146))</f>
        <v/>
      </c>
      <c r="B146" s="5">
        <f>IF($E146="","",INDEX('Input Transaksi'!$D:$D,$E146))</f>
        <v/>
      </c>
      <c r="C146">
        <f>IF($E146="","",INDEX('Input Transaksi'!$E:$E,$E146))</f>
        <v/>
      </c>
      <c r="D146" s="5">
        <f>IF($E146="","",INDEX('Input Transaksi'!$F:$F,$E146))</f>
        <v/>
      </c>
      <c r="E146">
        <f>IFERROR(AGGREGATE(15,6,ROW('Input Transaksi'!$B$5:$B$5000)/('Input Transaksi'!$B$5:$B$5000="BALI WASH"),ROWS($E$5:E146)),"")</f>
        <v/>
      </c>
      <c r="F146" s="5" t="n"/>
    </row>
    <row r="147">
      <c r="A147" s="10">
        <f>IF($E147="","",INDEX('Input Transaksi'!$A:$A,$E147))</f>
        <v/>
      </c>
      <c r="B147" s="5">
        <f>IF($E147="","",INDEX('Input Transaksi'!$D:$D,$E147))</f>
        <v/>
      </c>
      <c r="C147">
        <f>IF($E147="","",INDEX('Input Transaksi'!$E:$E,$E147))</f>
        <v/>
      </c>
      <c r="D147" s="5">
        <f>IF($E147="","",INDEX('Input Transaksi'!$F:$F,$E147))</f>
        <v/>
      </c>
      <c r="E147">
        <f>IFERROR(AGGREGATE(15,6,ROW('Input Transaksi'!$B$5:$B$5000)/('Input Transaksi'!$B$5:$B$5000="BALI WASH"),ROWS($E$5:E147)),"")</f>
        <v/>
      </c>
      <c r="F147" s="5" t="n"/>
    </row>
    <row r="148">
      <c r="A148" s="10">
        <f>IF($E148="","",INDEX('Input Transaksi'!$A:$A,$E148))</f>
        <v/>
      </c>
      <c r="B148" s="5">
        <f>IF($E148="","",INDEX('Input Transaksi'!$D:$D,$E148))</f>
        <v/>
      </c>
      <c r="C148">
        <f>IF($E148="","",INDEX('Input Transaksi'!$E:$E,$E148))</f>
        <v/>
      </c>
      <c r="D148" s="5">
        <f>IF($E148="","",INDEX('Input Transaksi'!$F:$F,$E148))</f>
        <v/>
      </c>
      <c r="E148">
        <f>IFERROR(AGGREGATE(15,6,ROW('Input Transaksi'!$B$5:$B$5000)/('Input Transaksi'!$B$5:$B$5000="BALI WASH"),ROWS($E$5:E148)),"")</f>
        <v/>
      </c>
      <c r="F148" s="5" t="n"/>
    </row>
    <row r="149">
      <c r="A149" s="10">
        <f>IF($E149="","",INDEX('Input Transaksi'!$A:$A,$E149))</f>
        <v/>
      </c>
      <c r="B149" s="5">
        <f>IF($E149="","",INDEX('Input Transaksi'!$D:$D,$E149))</f>
        <v/>
      </c>
      <c r="C149">
        <f>IF($E149="","",INDEX('Input Transaksi'!$E:$E,$E149))</f>
        <v/>
      </c>
      <c r="D149" s="5">
        <f>IF($E149="","",INDEX('Input Transaksi'!$F:$F,$E149))</f>
        <v/>
      </c>
      <c r="E149">
        <f>IFERROR(AGGREGATE(15,6,ROW('Input Transaksi'!$B$5:$B$5000)/('Input Transaksi'!$B$5:$B$5000="BALI WASH"),ROWS($E$5:E149)),"")</f>
        <v/>
      </c>
      <c r="F149" s="5" t="n"/>
    </row>
    <row r="150">
      <c r="A150" s="10">
        <f>IF($E150="","",INDEX('Input Transaksi'!$A:$A,$E150))</f>
        <v/>
      </c>
      <c r="B150" s="5">
        <f>IF($E150="","",INDEX('Input Transaksi'!$D:$D,$E150))</f>
        <v/>
      </c>
      <c r="C150">
        <f>IF($E150="","",INDEX('Input Transaksi'!$E:$E,$E150))</f>
        <v/>
      </c>
      <c r="D150" s="5">
        <f>IF($E150="","",INDEX('Input Transaksi'!$F:$F,$E150))</f>
        <v/>
      </c>
      <c r="E150">
        <f>IFERROR(AGGREGATE(15,6,ROW('Input Transaksi'!$B$5:$B$5000)/('Input Transaksi'!$B$5:$B$5000="BALI WASH"),ROWS($E$5:E150)),"")</f>
        <v/>
      </c>
      <c r="F150" s="5" t="n"/>
    </row>
    <row r="151">
      <c r="A151" s="10">
        <f>IF($E151="","",INDEX('Input Transaksi'!$A:$A,$E151))</f>
        <v/>
      </c>
      <c r="B151" s="5">
        <f>IF($E151="","",INDEX('Input Transaksi'!$D:$D,$E151))</f>
        <v/>
      </c>
      <c r="C151">
        <f>IF($E151="","",INDEX('Input Transaksi'!$E:$E,$E151))</f>
        <v/>
      </c>
      <c r="D151" s="5">
        <f>IF($E151="","",INDEX('Input Transaksi'!$F:$F,$E151))</f>
        <v/>
      </c>
      <c r="E151">
        <f>IFERROR(AGGREGATE(15,6,ROW('Input Transaksi'!$B$5:$B$5000)/('Input Transaksi'!$B$5:$B$5000="BALI WASH"),ROWS($E$5:E151)),"")</f>
        <v/>
      </c>
      <c r="F151" s="5" t="n"/>
    </row>
    <row r="152">
      <c r="A152" s="10">
        <f>IF($E152="","",INDEX('Input Transaksi'!$A:$A,$E152))</f>
        <v/>
      </c>
      <c r="B152" s="5">
        <f>IF($E152="","",INDEX('Input Transaksi'!$D:$D,$E152))</f>
        <v/>
      </c>
      <c r="C152">
        <f>IF($E152="","",INDEX('Input Transaksi'!$E:$E,$E152))</f>
        <v/>
      </c>
      <c r="D152" s="5">
        <f>IF($E152="","",INDEX('Input Transaksi'!$F:$F,$E152))</f>
        <v/>
      </c>
      <c r="E152">
        <f>IFERROR(AGGREGATE(15,6,ROW('Input Transaksi'!$B$5:$B$5000)/('Input Transaksi'!$B$5:$B$5000="BALI WASH"),ROWS($E$5:E152)),"")</f>
        <v/>
      </c>
      <c r="F152" s="5" t="n"/>
    </row>
    <row r="153">
      <c r="A153" s="10">
        <f>IF($E153="","",INDEX('Input Transaksi'!$A:$A,$E153))</f>
        <v/>
      </c>
      <c r="B153" s="5">
        <f>IF($E153="","",INDEX('Input Transaksi'!$D:$D,$E153))</f>
        <v/>
      </c>
      <c r="C153">
        <f>IF($E153="","",INDEX('Input Transaksi'!$E:$E,$E153))</f>
        <v/>
      </c>
      <c r="D153" s="5">
        <f>IF($E153="","",INDEX('Input Transaksi'!$F:$F,$E153))</f>
        <v/>
      </c>
      <c r="E153">
        <f>IFERROR(AGGREGATE(15,6,ROW('Input Transaksi'!$B$5:$B$5000)/('Input Transaksi'!$B$5:$B$5000="BALI WASH"),ROWS($E$5:E153)),"")</f>
        <v/>
      </c>
      <c r="F153" s="5" t="n"/>
    </row>
    <row r="154">
      <c r="A154" s="10">
        <f>IF($E154="","",INDEX('Input Transaksi'!$A:$A,$E154))</f>
        <v/>
      </c>
      <c r="B154" s="5">
        <f>IF($E154="","",INDEX('Input Transaksi'!$D:$D,$E154))</f>
        <v/>
      </c>
      <c r="C154">
        <f>IF($E154="","",INDEX('Input Transaksi'!$E:$E,$E154))</f>
        <v/>
      </c>
      <c r="D154" s="5">
        <f>IF($E154="","",INDEX('Input Transaksi'!$F:$F,$E154))</f>
        <v/>
      </c>
      <c r="E154">
        <f>IFERROR(AGGREGATE(15,6,ROW('Input Transaksi'!$B$5:$B$5000)/('Input Transaksi'!$B$5:$B$5000="BALI WASH"),ROWS($E$5:E154)),"")</f>
        <v/>
      </c>
      <c r="F154" s="5" t="n"/>
    </row>
    <row r="155">
      <c r="A155" s="10">
        <f>IF($E155="","",INDEX('Input Transaksi'!$A:$A,$E155))</f>
        <v/>
      </c>
      <c r="B155" s="5">
        <f>IF($E155="","",INDEX('Input Transaksi'!$D:$D,$E155))</f>
        <v/>
      </c>
      <c r="C155">
        <f>IF($E155="","",INDEX('Input Transaksi'!$E:$E,$E155))</f>
        <v/>
      </c>
      <c r="D155" s="5">
        <f>IF($E155="","",INDEX('Input Transaksi'!$F:$F,$E155))</f>
        <v/>
      </c>
      <c r="E155">
        <f>IFERROR(AGGREGATE(15,6,ROW('Input Transaksi'!$B$5:$B$5000)/('Input Transaksi'!$B$5:$B$5000="BALI WASH"),ROWS($E$5:E155)),"")</f>
        <v/>
      </c>
      <c r="F155" s="5" t="n"/>
    </row>
    <row r="156">
      <c r="A156" s="10">
        <f>IF($E156="","",INDEX('Input Transaksi'!$A:$A,$E156))</f>
        <v/>
      </c>
      <c r="B156" s="5">
        <f>IF($E156="","",INDEX('Input Transaksi'!$D:$D,$E156))</f>
        <v/>
      </c>
      <c r="C156">
        <f>IF($E156="","",INDEX('Input Transaksi'!$E:$E,$E156))</f>
        <v/>
      </c>
      <c r="D156" s="5">
        <f>IF($E156="","",INDEX('Input Transaksi'!$F:$F,$E156))</f>
        <v/>
      </c>
      <c r="E156">
        <f>IFERROR(AGGREGATE(15,6,ROW('Input Transaksi'!$B$5:$B$5000)/('Input Transaksi'!$B$5:$B$5000="BALI WASH"),ROWS($E$5:E156)),"")</f>
        <v/>
      </c>
      <c r="F156" s="5" t="n"/>
    </row>
    <row r="157">
      <c r="A157" s="10">
        <f>IF($E157="","",INDEX('Input Transaksi'!$A:$A,$E157))</f>
        <v/>
      </c>
      <c r="B157" s="5">
        <f>IF($E157="","",INDEX('Input Transaksi'!$D:$D,$E157))</f>
        <v/>
      </c>
      <c r="C157">
        <f>IF($E157="","",INDEX('Input Transaksi'!$E:$E,$E157))</f>
        <v/>
      </c>
      <c r="D157" s="5">
        <f>IF($E157="","",INDEX('Input Transaksi'!$F:$F,$E157))</f>
        <v/>
      </c>
      <c r="E157">
        <f>IFERROR(AGGREGATE(15,6,ROW('Input Transaksi'!$B$5:$B$5000)/('Input Transaksi'!$B$5:$B$5000="BALI WASH"),ROWS($E$5:E157)),"")</f>
        <v/>
      </c>
      <c r="F157" s="5" t="n"/>
    </row>
    <row r="158">
      <c r="A158" s="10">
        <f>IF($E158="","",INDEX('Input Transaksi'!$A:$A,$E158))</f>
        <v/>
      </c>
      <c r="B158" s="5">
        <f>IF($E158="","",INDEX('Input Transaksi'!$D:$D,$E158))</f>
        <v/>
      </c>
      <c r="C158">
        <f>IF($E158="","",INDEX('Input Transaksi'!$E:$E,$E158))</f>
        <v/>
      </c>
      <c r="D158" s="5">
        <f>IF($E158="","",INDEX('Input Transaksi'!$F:$F,$E158))</f>
        <v/>
      </c>
      <c r="E158">
        <f>IFERROR(AGGREGATE(15,6,ROW('Input Transaksi'!$B$5:$B$5000)/('Input Transaksi'!$B$5:$B$5000="BALI WASH"),ROWS($E$5:E158)),"")</f>
        <v/>
      </c>
      <c r="F158" s="5" t="n"/>
    </row>
    <row r="159">
      <c r="A159" s="10">
        <f>IF($E159="","",INDEX('Input Transaksi'!$A:$A,$E159))</f>
        <v/>
      </c>
      <c r="B159" s="5">
        <f>IF($E159="","",INDEX('Input Transaksi'!$D:$D,$E159))</f>
        <v/>
      </c>
      <c r="C159">
        <f>IF($E159="","",INDEX('Input Transaksi'!$E:$E,$E159))</f>
        <v/>
      </c>
      <c r="D159" s="5">
        <f>IF($E159="","",INDEX('Input Transaksi'!$F:$F,$E159))</f>
        <v/>
      </c>
      <c r="E159">
        <f>IFERROR(AGGREGATE(15,6,ROW('Input Transaksi'!$B$5:$B$5000)/('Input Transaksi'!$B$5:$B$5000="BALI WASH"),ROWS($E$5:E159)),"")</f>
        <v/>
      </c>
      <c r="F159" s="5" t="n"/>
    </row>
    <row r="160">
      <c r="A160" s="10">
        <f>IF($E160="","",INDEX('Input Transaksi'!$A:$A,$E160))</f>
        <v/>
      </c>
      <c r="B160" s="5">
        <f>IF($E160="","",INDEX('Input Transaksi'!$D:$D,$E160))</f>
        <v/>
      </c>
      <c r="C160">
        <f>IF($E160="","",INDEX('Input Transaksi'!$E:$E,$E160))</f>
        <v/>
      </c>
      <c r="D160" s="5">
        <f>IF($E160="","",INDEX('Input Transaksi'!$F:$F,$E160))</f>
        <v/>
      </c>
      <c r="E160">
        <f>IFERROR(AGGREGATE(15,6,ROW('Input Transaksi'!$B$5:$B$5000)/('Input Transaksi'!$B$5:$B$5000="BALI WASH"),ROWS($E$5:E160)),"")</f>
        <v/>
      </c>
      <c r="F160" s="5" t="n"/>
    </row>
    <row r="161">
      <c r="A161" s="10">
        <f>IF($E161="","",INDEX('Input Transaksi'!$A:$A,$E161))</f>
        <v/>
      </c>
      <c r="B161" s="5">
        <f>IF($E161="","",INDEX('Input Transaksi'!$D:$D,$E161))</f>
        <v/>
      </c>
      <c r="C161">
        <f>IF($E161="","",INDEX('Input Transaksi'!$E:$E,$E161))</f>
        <v/>
      </c>
      <c r="D161" s="5">
        <f>IF($E161="","",INDEX('Input Transaksi'!$F:$F,$E161))</f>
        <v/>
      </c>
      <c r="E161">
        <f>IFERROR(AGGREGATE(15,6,ROW('Input Transaksi'!$B$5:$B$5000)/('Input Transaksi'!$B$5:$B$5000="BALI WASH"),ROWS($E$5:E161)),"")</f>
        <v/>
      </c>
      <c r="F161" s="5" t="n"/>
    </row>
    <row r="162">
      <c r="A162" s="10">
        <f>IF($E162="","",INDEX('Input Transaksi'!$A:$A,$E162))</f>
        <v/>
      </c>
      <c r="B162" s="5">
        <f>IF($E162="","",INDEX('Input Transaksi'!$D:$D,$E162))</f>
        <v/>
      </c>
      <c r="C162">
        <f>IF($E162="","",INDEX('Input Transaksi'!$E:$E,$E162))</f>
        <v/>
      </c>
      <c r="D162" s="5">
        <f>IF($E162="","",INDEX('Input Transaksi'!$F:$F,$E162))</f>
        <v/>
      </c>
      <c r="E162">
        <f>IFERROR(AGGREGATE(15,6,ROW('Input Transaksi'!$B$5:$B$5000)/('Input Transaksi'!$B$5:$B$5000="BALI WASH"),ROWS($E$5:E162)),"")</f>
        <v/>
      </c>
      <c r="F162" s="5" t="n"/>
    </row>
    <row r="163">
      <c r="A163" s="10">
        <f>IF($E163="","",INDEX('Input Transaksi'!$A:$A,$E163))</f>
        <v/>
      </c>
      <c r="B163" s="5">
        <f>IF($E163="","",INDEX('Input Transaksi'!$D:$D,$E163))</f>
        <v/>
      </c>
      <c r="C163">
        <f>IF($E163="","",INDEX('Input Transaksi'!$E:$E,$E163))</f>
        <v/>
      </c>
      <c r="D163" s="5">
        <f>IF($E163="","",INDEX('Input Transaksi'!$F:$F,$E163))</f>
        <v/>
      </c>
      <c r="E163">
        <f>IFERROR(AGGREGATE(15,6,ROW('Input Transaksi'!$B$5:$B$5000)/('Input Transaksi'!$B$5:$B$5000="BALI WASH"),ROWS($E$5:E163)),"")</f>
        <v/>
      </c>
      <c r="F163" s="5" t="n"/>
    </row>
    <row r="164">
      <c r="A164" s="10">
        <f>IF($E164="","",INDEX('Input Transaksi'!$A:$A,$E164))</f>
        <v/>
      </c>
      <c r="B164" s="5">
        <f>IF($E164="","",INDEX('Input Transaksi'!$D:$D,$E164))</f>
        <v/>
      </c>
      <c r="C164">
        <f>IF($E164="","",INDEX('Input Transaksi'!$E:$E,$E164))</f>
        <v/>
      </c>
      <c r="D164" s="5">
        <f>IF($E164="","",INDEX('Input Transaksi'!$F:$F,$E164))</f>
        <v/>
      </c>
      <c r="E164">
        <f>IFERROR(AGGREGATE(15,6,ROW('Input Transaksi'!$B$5:$B$5000)/('Input Transaksi'!$B$5:$B$5000="BALI WASH"),ROWS($E$5:E164)),"")</f>
        <v/>
      </c>
      <c r="F164" s="5" t="n"/>
    </row>
    <row r="165">
      <c r="A165" s="10">
        <f>IF($E165="","",INDEX('Input Transaksi'!$A:$A,$E165))</f>
        <v/>
      </c>
      <c r="B165" s="5">
        <f>IF($E165="","",INDEX('Input Transaksi'!$D:$D,$E165))</f>
        <v/>
      </c>
      <c r="C165">
        <f>IF($E165="","",INDEX('Input Transaksi'!$E:$E,$E165))</f>
        <v/>
      </c>
      <c r="D165" s="5">
        <f>IF($E165="","",INDEX('Input Transaksi'!$F:$F,$E165))</f>
        <v/>
      </c>
      <c r="E165">
        <f>IFERROR(AGGREGATE(15,6,ROW('Input Transaksi'!$B$5:$B$5000)/('Input Transaksi'!$B$5:$B$5000="BALI WASH"),ROWS($E$5:E165)),"")</f>
        <v/>
      </c>
      <c r="F165" s="5" t="n"/>
    </row>
    <row r="166">
      <c r="A166" s="10">
        <f>IF($E166="","",INDEX('Input Transaksi'!$A:$A,$E166))</f>
        <v/>
      </c>
      <c r="B166" s="5">
        <f>IF($E166="","",INDEX('Input Transaksi'!$D:$D,$E166))</f>
        <v/>
      </c>
      <c r="C166">
        <f>IF($E166="","",INDEX('Input Transaksi'!$E:$E,$E166))</f>
        <v/>
      </c>
      <c r="D166" s="5">
        <f>IF($E166="","",INDEX('Input Transaksi'!$F:$F,$E166))</f>
        <v/>
      </c>
      <c r="E166">
        <f>IFERROR(AGGREGATE(15,6,ROW('Input Transaksi'!$B$5:$B$5000)/('Input Transaksi'!$B$5:$B$5000="BALI WASH"),ROWS($E$5:E166)),"")</f>
        <v/>
      </c>
      <c r="F166" s="5" t="n"/>
    </row>
    <row r="167">
      <c r="A167" s="10">
        <f>IF($E167="","",INDEX('Input Transaksi'!$A:$A,$E167))</f>
        <v/>
      </c>
      <c r="B167" s="5">
        <f>IF($E167="","",INDEX('Input Transaksi'!$D:$D,$E167))</f>
        <v/>
      </c>
      <c r="C167">
        <f>IF($E167="","",INDEX('Input Transaksi'!$E:$E,$E167))</f>
        <v/>
      </c>
      <c r="D167" s="5">
        <f>IF($E167="","",INDEX('Input Transaksi'!$F:$F,$E167))</f>
        <v/>
      </c>
      <c r="E167">
        <f>IFERROR(AGGREGATE(15,6,ROW('Input Transaksi'!$B$5:$B$5000)/('Input Transaksi'!$B$5:$B$5000="BALI WASH"),ROWS($E$5:E167)),"")</f>
        <v/>
      </c>
      <c r="F167" s="5" t="n"/>
    </row>
    <row r="168">
      <c r="A168" s="10">
        <f>IF($E168="","",INDEX('Input Transaksi'!$A:$A,$E168))</f>
        <v/>
      </c>
      <c r="B168" s="5">
        <f>IF($E168="","",INDEX('Input Transaksi'!$D:$D,$E168))</f>
        <v/>
      </c>
      <c r="C168">
        <f>IF($E168="","",INDEX('Input Transaksi'!$E:$E,$E168))</f>
        <v/>
      </c>
      <c r="D168" s="5">
        <f>IF($E168="","",INDEX('Input Transaksi'!$F:$F,$E168))</f>
        <v/>
      </c>
      <c r="E168">
        <f>IFERROR(AGGREGATE(15,6,ROW('Input Transaksi'!$B$5:$B$5000)/('Input Transaksi'!$B$5:$B$5000="BALI WASH"),ROWS($E$5:E168)),"")</f>
        <v/>
      </c>
      <c r="F168" s="5" t="n"/>
    </row>
    <row r="169">
      <c r="A169" s="10">
        <f>IF($E169="","",INDEX('Input Transaksi'!$A:$A,$E169))</f>
        <v/>
      </c>
      <c r="B169" s="5">
        <f>IF($E169="","",INDEX('Input Transaksi'!$D:$D,$E169))</f>
        <v/>
      </c>
      <c r="C169">
        <f>IF($E169="","",INDEX('Input Transaksi'!$E:$E,$E169))</f>
        <v/>
      </c>
      <c r="D169" s="5">
        <f>IF($E169="","",INDEX('Input Transaksi'!$F:$F,$E169))</f>
        <v/>
      </c>
      <c r="E169">
        <f>IFERROR(AGGREGATE(15,6,ROW('Input Transaksi'!$B$5:$B$5000)/('Input Transaksi'!$B$5:$B$5000="BALI WASH"),ROWS($E$5:E169)),"")</f>
        <v/>
      </c>
      <c r="F169" s="5" t="n"/>
    </row>
    <row r="170">
      <c r="A170" s="10">
        <f>IF($E170="","",INDEX('Input Transaksi'!$A:$A,$E170))</f>
        <v/>
      </c>
      <c r="B170" s="5">
        <f>IF($E170="","",INDEX('Input Transaksi'!$D:$D,$E170))</f>
        <v/>
      </c>
      <c r="C170">
        <f>IF($E170="","",INDEX('Input Transaksi'!$E:$E,$E170))</f>
        <v/>
      </c>
      <c r="D170" s="5">
        <f>IF($E170="","",INDEX('Input Transaksi'!$F:$F,$E170))</f>
        <v/>
      </c>
      <c r="E170">
        <f>IFERROR(AGGREGATE(15,6,ROW('Input Transaksi'!$B$5:$B$5000)/('Input Transaksi'!$B$5:$B$5000="BALI WASH"),ROWS($E$5:E170)),"")</f>
        <v/>
      </c>
      <c r="F170" s="5" t="n"/>
    </row>
    <row r="171">
      <c r="A171" s="10">
        <f>IF($E171="","",INDEX('Input Transaksi'!$A:$A,$E171))</f>
        <v/>
      </c>
      <c r="B171" s="5">
        <f>IF($E171="","",INDEX('Input Transaksi'!$D:$D,$E171))</f>
        <v/>
      </c>
      <c r="C171">
        <f>IF($E171="","",INDEX('Input Transaksi'!$E:$E,$E171))</f>
        <v/>
      </c>
      <c r="D171" s="5">
        <f>IF($E171="","",INDEX('Input Transaksi'!$F:$F,$E171))</f>
        <v/>
      </c>
      <c r="E171">
        <f>IFERROR(AGGREGATE(15,6,ROW('Input Transaksi'!$B$5:$B$5000)/('Input Transaksi'!$B$5:$B$5000="BALI WASH"),ROWS($E$5:E171)),"")</f>
        <v/>
      </c>
      <c r="F171" s="5" t="n"/>
    </row>
    <row r="172">
      <c r="A172" s="10">
        <f>IF($E172="","",INDEX('Input Transaksi'!$A:$A,$E172))</f>
        <v/>
      </c>
      <c r="B172" s="5">
        <f>IF($E172="","",INDEX('Input Transaksi'!$D:$D,$E172))</f>
        <v/>
      </c>
      <c r="C172">
        <f>IF($E172="","",INDEX('Input Transaksi'!$E:$E,$E172))</f>
        <v/>
      </c>
      <c r="D172" s="5">
        <f>IF($E172="","",INDEX('Input Transaksi'!$F:$F,$E172))</f>
        <v/>
      </c>
      <c r="E172">
        <f>IFERROR(AGGREGATE(15,6,ROW('Input Transaksi'!$B$5:$B$5000)/('Input Transaksi'!$B$5:$B$5000="BALI WASH"),ROWS($E$5:E172)),"")</f>
        <v/>
      </c>
      <c r="F172" s="5" t="n"/>
    </row>
    <row r="173">
      <c r="A173" s="10">
        <f>IF($E173="","",INDEX('Input Transaksi'!$A:$A,$E173))</f>
        <v/>
      </c>
      <c r="B173" s="5">
        <f>IF($E173="","",INDEX('Input Transaksi'!$D:$D,$E173))</f>
        <v/>
      </c>
      <c r="C173">
        <f>IF($E173="","",INDEX('Input Transaksi'!$E:$E,$E173))</f>
        <v/>
      </c>
      <c r="D173" s="5">
        <f>IF($E173="","",INDEX('Input Transaksi'!$F:$F,$E173))</f>
        <v/>
      </c>
      <c r="E173">
        <f>IFERROR(AGGREGATE(15,6,ROW('Input Transaksi'!$B$5:$B$5000)/('Input Transaksi'!$B$5:$B$5000="BALI WASH"),ROWS($E$5:E173)),"")</f>
        <v/>
      </c>
      <c r="F173" s="5" t="n"/>
    </row>
    <row r="174">
      <c r="A174" s="10">
        <f>IF($E174="","",INDEX('Input Transaksi'!$A:$A,$E174))</f>
        <v/>
      </c>
      <c r="B174" s="5">
        <f>IF($E174="","",INDEX('Input Transaksi'!$D:$D,$E174))</f>
        <v/>
      </c>
      <c r="C174">
        <f>IF($E174="","",INDEX('Input Transaksi'!$E:$E,$E174))</f>
        <v/>
      </c>
      <c r="D174" s="5">
        <f>IF($E174="","",INDEX('Input Transaksi'!$F:$F,$E174))</f>
        <v/>
      </c>
      <c r="E174">
        <f>IFERROR(AGGREGATE(15,6,ROW('Input Transaksi'!$B$5:$B$5000)/('Input Transaksi'!$B$5:$B$5000="BALI WASH"),ROWS($E$5:E174)),"")</f>
        <v/>
      </c>
      <c r="F174" s="5" t="n"/>
    </row>
    <row r="175">
      <c r="A175" s="10">
        <f>IF($E175="","",INDEX('Input Transaksi'!$A:$A,$E175))</f>
        <v/>
      </c>
      <c r="B175" s="5">
        <f>IF($E175="","",INDEX('Input Transaksi'!$D:$D,$E175))</f>
        <v/>
      </c>
      <c r="C175">
        <f>IF($E175="","",INDEX('Input Transaksi'!$E:$E,$E175))</f>
        <v/>
      </c>
      <c r="D175" s="5">
        <f>IF($E175="","",INDEX('Input Transaksi'!$F:$F,$E175))</f>
        <v/>
      </c>
      <c r="E175">
        <f>IFERROR(AGGREGATE(15,6,ROW('Input Transaksi'!$B$5:$B$5000)/('Input Transaksi'!$B$5:$B$5000="BALI WASH"),ROWS($E$5:E175)),"")</f>
        <v/>
      </c>
      <c r="F175" s="5" t="n"/>
    </row>
    <row r="176">
      <c r="A176" s="10">
        <f>IF($E176="","",INDEX('Input Transaksi'!$A:$A,$E176))</f>
        <v/>
      </c>
      <c r="B176" s="5">
        <f>IF($E176="","",INDEX('Input Transaksi'!$D:$D,$E176))</f>
        <v/>
      </c>
      <c r="C176">
        <f>IF($E176="","",INDEX('Input Transaksi'!$E:$E,$E176))</f>
        <v/>
      </c>
      <c r="D176" s="5">
        <f>IF($E176="","",INDEX('Input Transaksi'!$F:$F,$E176))</f>
        <v/>
      </c>
      <c r="E176">
        <f>IFERROR(AGGREGATE(15,6,ROW('Input Transaksi'!$B$5:$B$5000)/('Input Transaksi'!$B$5:$B$5000="BALI WASH"),ROWS($E$5:E176)),"")</f>
        <v/>
      </c>
      <c r="F176" s="5" t="n"/>
    </row>
    <row r="177">
      <c r="A177" s="10">
        <f>IF($E177="","",INDEX('Input Transaksi'!$A:$A,$E177))</f>
        <v/>
      </c>
      <c r="B177" s="5">
        <f>IF($E177="","",INDEX('Input Transaksi'!$D:$D,$E177))</f>
        <v/>
      </c>
      <c r="C177">
        <f>IF($E177="","",INDEX('Input Transaksi'!$E:$E,$E177))</f>
        <v/>
      </c>
      <c r="D177" s="5">
        <f>IF($E177="","",INDEX('Input Transaksi'!$F:$F,$E177))</f>
        <v/>
      </c>
      <c r="E177">
        <f>IFERROR(AGGREGATE(15,6,ROW('Input Transaksi'!$B$5:$B$5000)/('Input Transaksi'!$B$5:$B$5000="BALI WASH"),ROWS($E$5:E177)),"")</f>
        <v/>
      </c>
      <c r="F177" s="5" t="n"/>
    </row>
    <row r="178">
      <c r="A178" s="10">
        <f>IF($E178="","",INDEX('Input Transaksi'!$A:$A,$E178))</f>
        <v/>
      </c>
      <c r="B178" s="5">
        <f>IF($E178="","",INDEX('Input Transaksi'!$D:$D,$E178))</f>
        <v/>
      </c>
      <c r="C178">
        <f>IF($E178="","",INDEX('Input Transaksi'!$E:$E,$E178))</f>
        <v/>
      </c>
      <c r="D178" s="5">
        <f>IF($E178="","",INDEX('Input Transaksi'!$F:$F,$E178))</f>
        <v/>
      </c>
      <c r="E178">
        <f>IFERROR(AGGREGATE(15,6,ROW('Input Transaksi'!$B$5:$B$5000)/('Input Transaksi'!$B$5:$B$5000="BALI WASH"),ROWS($E$5:E178)),"")</f>
        <v/>
      </c>
      <c r="F178" s="5" t="n"/>
    </row>
    <row r="179">
      <c r="A179" s="10">
        <f>IF($E179="","",INDEX('Input Transaksi'!$A:$A,$E179))</f>
        <v/>
      </c>
      <c r="B179" s="5">
        <f>IF($E179="","",INDEX('Input Transaksi'!$D:$D,$E179))</f>
        <v/>
      </c>
      <c r="C179">
        <f>IF($E179="","",INDEX('Input Transaksi'!$E:$E,$E179))</f>
        <v/>
      </c>
      <c r="D179" s="5">
        <f>IF($E179="","",INDEX('Input Transaksi'!$F:$F,$E179))</f>
        <v/>
      </c>
      <c r="E179">
        <f>IFERROR(AGGREGATE(15,6,ROW('Input Transaksi'!$B$5:$B$5000)/('Input Transaksi'!$B$5:$B$5000="BALI WASH"),ROWS($E$5:E179)),"")</f>
        <v/>
      </c>
      <c r="F179" s="5" t="n"/>
    </row>
    <row r="180">
      <c r="A180" s="10">
        <f>IF($E180="","",INDEX('Input Transaksi'!$A:$A,$E180))</f>
        <v/>
      </c>
      <c r="B180" s="5">
        <f>IF($E180="","",INDEX('Input Transaksi'!$D:$D,$E180))</f>
        <v/>
      </c>
      <c r="C180">
        <f>IF($E180="","",INDEX('Input Transaksi'!$E:$E,$E180))</f>
        <v/>
      </c>
      <c r="D180" s="5">
        <f>IF($E180="","",INDEX('Input Transaksi'!$F:$F,$E180))</f>
        <v/>
      </c>
      <c r="E180">
        <f>IFERROR(AGGREGATE(15,6,ROW('Input Transaksi'!$B$5:$B$5000)/('Input Transaksi'!$B$5:$B$5000="BALI WASH"),ROWS($E$5:E180)),"")</f>
        <v/>
      </c>
      <c r="F180" s="5" t="n"/>
    </row>
    <row r="181">
      <c r="A181" s="10">
        <f>IF($E181="","",INDEX('Input Transaksi'!$A:$A,$E181))</f>
        <v/>
      </c>
      <c r="B181" s="5">
        <f>IF($E181="","",INDEX('Input Transaksi'!$D:$D,$E181))</f>
        <v/>
      </c>
      <c r="C181">
        <f>IF($E181="","",INDEX('Input Transaksi'!$E:$E,$E181))</f>
        <v/>
      </c>
      <c r="D181" s="5">
        <f>IF($E181="","",INDEX('Input Transaksi'!$F:$F,$E181))</f>
        <v/>
      </c>
      <c r="E181">
        <f>IFERROR(AGGREGATE(15,6,ROW('Input Transaksi'!$B$5:$B$5000)/('Input Transaksi'!$B$5:$B$5000="BALI WASH"),ROWS($E$5:E181)),"")</f>
        <v/>
      </c>
      <c r="F181" s="5" t="n"/>
    </row>
    <row r="182">
      <c r="A182" s="10">
        <f>IF($E182="","",INDEX('Input Transaksi'!$A:$A,$E182))</f>
        <v/>
      </c>
      <c r="B182" s="5">
        <f>IF($E182="","",INDEX('Input Transaksi'!$D:$D,$E182))</f>
        <v/>
      </c>
      <c r="C182">
        <f>IF($E182="","",INDEX('Input Transaksi'!$E:$E,$E182))</f>
        <v/>
      </c>
      <c r="D182" s="5">
        <f>IF($E182="","",INDEX('Input Transaksi'!$F:$F,$E182))</f>
        <v/>
      </c>
      <c r="E182">
        <f>IFERROR(AGGREGATE(15,6,ROW('Input Transaksi'!$B$5:$B$5000)/('Input Transaksi'!$B$5:$B$5000="BALI WASH"),ROWS($E$5:E182)),"")</f>
        <v/>
      </c>
      <c r="F182" s="5" t="n"/>
    </row>
    <row r="183">
      <c r="A183" s="10">
        <f>IF($E183="","",INDEX('Input Transaksi'!$A:$A,$E183))</f>
        <v/>
      </c>
      <c r="B183" s="5">
        <f>IF($E183="","",INDEX('Input Transaksi'!$D:$D,$E183))</f>
        <v/>
      </c>
      <c r="C183">
        <f>IF($E183="","",INDEX('Input Transaksi'!$E:$E,$E183))</f>
        <v/>
      </c>
      <c r="D183" s="5">
        <f>IF($E183="","",INDEX('Input Transaksi'!$F:$F,$E183))</f>
        <v/>
      </c>
      <c r="E183">
        <f>IFERROR(AGGREGATE(15,6,ROW('Input Transaksi'!$B$5:$B$5000)/('Input Transaksi'!$B$5:$B$5000="BALI WASH"),ROWS($E$5:E183)),"")</f>
        <v/>
      </c>
      <c r="F183" s="5" t="n"/>
    </row>
    <row r="184">
      <c r="A184" s="10">
        <f>IF($E184="","",INDEX('Input Transaksi'!$A:$A,$E184))</f>
        <v/>
      </c>
      <c r="B184" s="5">
        <f>IF($E184="","",INDEX('Input Transaksi'!$D:$D,$E184))</f>
        <v/>
      </c>
      <c r="C184">
        <f>IF($E184="","",INDEX('Input Transaksi'!$E:$E,$E184))</f>
        <v/>
      </c>
      <c r="D184" s="5">
        <f>IF($E184="","",INDEX('Input Transaksi'!$F:$F,$E184))</f>
        <v/>
      </c>
      <c r="E184">
        <f>IFERROR(AGGREGATE(15,6,ROW('Input Transaksi'!$B$5:$B$5000)/('Input Transaksi'!$B$5:$B$5000="BALI WASH"),ROWS($E$5:E184)),"")</f>
        <v/>
      </c>
      <c r="F184" s="5" t="n"/>
    </row>
    <row r="185">
      <c r="A185" s="10">
        <f>IF($E185="","",INDEX('Input Transaksi'!$A:$A,$E185))</f>
        <v/>
      </c>
      <c r="B185" s="5">
        <f>IF($E185="","",INDEX('Input Transaksi'!$D:$D,$E185))</f>
        <v/>
      </c>
      <c r="C185">
        <f>IF($E185="","",INDEX('Input Transaksi'!$E:$E,$E185))</f>
        <v/>
      </c>
      <c r="D185" s="5">
        <f>IF($E185="","",INDEX('Input Transaksi'!$F:$F,$E185))</f>
        <v/>
      </c>
      <c r="E185">
        <f>IFERROR(AGGREGATE(15,6,ROW('Input Transaksi'!$B$5:$B$5000)/('Input Transaksi'!$B$5:$B$5000="BALI WASH"),ROWS($E$5:E185)),"")</f>
        <v/>
      </c>
      <c r="F185" s="5" t="n"/>
    </row>
    <row r="186">
      <c r="A186" s="10">
        <f>IF($E186="","",INDEX('Input Transaksi'!$A:$A,$E186))</f>
        <v/>
      </c>
      <c r="B186" s="5">
        <f>IF($E186="","",INDEX('Input Transaksi'!$D:$D,$E186))</f>
        <v/>
      </c>
      <c r="C186">
        <f>IF($E186="","",INDEX('Input Transaksi'!$E:$E,$E186))</f>
        <v/>
      </c>
      <c r="D186" s="5">
        <f>IF($E186="","",INDEX('Input Transaksi'!$F:$F,$E186))</f>
        <v/>
      </c>
      <c r="E186">
        <f>IFERROR(AGGREGATE(15,6,ROW('Input Transaksi'!$B$5:$B$5000)/('Input Transaksi'!$B$5:$B$5000="BALI WASH"),ROWS($E$5:E186)),"")</f>
        <v/>
      </c>
      <c r="F186" s="5" t="n"/>
    </row>
    <row r="187">
      <c r="A187" s="10">
        <f>IF($E187="","",INDEX('Input Transaksi'!$A:$A,$E187))</f>
        <v/>
      </c>
      <c r="B187" s="5">
        <f>IF($E187="","",INDEX('Input Transaksi'!$D:$D,$E187))</f>
        <v/>
      </c>
      <c r="C187">
        <f>IF($E187="","",INDEX('Input Transaksi'!$E:$E,$E187))</f>
        <v/>
      </c>
      <c r="D187" s="5">
        <f>IF($E187="","",INDEX('Input Transaksi'!$F:$F,$E187))</f>
        <v/>
      </c>
      <c r="E187">
        <f>IFERROR(AGGREGATE(15,6,ROW('Input Transaksi'!$B$5:$B$5000)/('Input Transaksi'!$B$5:$B$5000="BALI WASH"),ROWS($E$5:E187)),"")</f>
        <v/>
      </c>
      <c r="F187" s="5" t="n"/>
    </row>
    <row r="188">
      <c r="A188" s="10">
        <f>IF($E188="","",INDEX('Input Transaksi'!$A:$A,$E188))</f>
        <v/>
      </c>
      <c r="B188" s="5">
        <f>IF($E188="","",INDEX('Input Transaksi'!$D:$D,$E188))</f>
        <v/>
      </c>
      <c r="C188">
        <f>IF($E188="","",INDEX('Input Transaksi'!$E:$E,$E188))</f>
        <v/>
      </c>
      <c r="D188" s="5">
        <f>IF($E188="","",INDEX('Input Transaksi'!$F:$F,$E188))</f>
        <v/>
      </c>
      <c r="E188">
        <f>IFERROR(AGGREGATE(15,6,ROW('Input Transaksi'!$B$5:$B$5000)/('Input Transaksi'!$B$5:$B$5000="BALI WASH"),ROWS($E$5:E188)),"")</f>
        <v/>
      </c>
      <c r="F188" s="5" t="n"/>
    </row>
    <row r="189">
      <c r="A189" s="10">
        <f>IF($E189="","",INDEX('Input Transaksi'!$A:$A,$E189))</f>
        <v/>
      </c>
      <c r="B189" s="5">
        <f>IF($E189="","",INDEX('Input Transaksi'!$D:$D,$E189))</f>
        <v/>
      </c>
      <c r="C189">
        <f>IF($E189="","",INDEX('Input Transaksi'!$E:$E,$E189))</f>
        <v/>
      </c>
      <c r="D189" s="5">
        <f>IF($E189="","",INDEX('Input Transaksi'!$F:$F,$E189))</f>
        <v/>
      </c>
      <c r="E189">
        <f>IFERROR(AGGREGATE(15,6,ROW('Input Transaksi'!$B$5:$B$5000)/('Input Transaksi'!$B$5:$B$5000="BALI WASH"),ROWS($E$5:E189)),"")</f>
        <v/>
      </c>
      <c r="F189" s="5" t="n"/>
    </row>
    <row r="190">
      <c r="A190" s="10">
        <f>IF($E190="","",INDEX('Input Transaksi'!$A:$A,$E190))</f>
        <v/>
      </c>
      <c r="B190" s="5">
        <f>IF($E190="","",INDEX('Input Transaksi'!$D:$D,$E190))</f>
        <v/>
      </c>
      <c r="C190">
        <f>IF($E190="","",INDEX('Input Transaksi'!$E:$E,$E190))</f>
        <v/>
      </c>
      <c r="D190" s="5">
        <f>IF($E190="","",INDEX('Input Transaksi'!$F:$F,$E190))</f>
        <v/>
      </c>
      <c r="E190">
        <f>IFERROR(AGGREGATE(15,6,ROW('Input Transaksi'!$B$5:$B$5000)/('Input Transaksi'!$B$5:$B$5000="BALI WASH"),ROWS($E$5:E190)),"")</f>
        <v/>
      </c>
      <c r="F190" s="5" t="n"/>
    </row>
    <row r="191">
      <c r="A191" s="10">
        <f>IF($E191="","",INDEX('Input Transaksi'!$A:$A,$E191))</f>
        <v/>
      </c>
      <c r="B191" s="5">
        <f>IF($E191="","",INDEX('Input Transaksi'!$D:$D,$E191))</f>
        <v/>
      </c>
      <c r="C191">
        <f>IF($E191="","",INDEX('Input Transaksi'!$E:$E,$E191))</f>
        <v/>
      </c>
      <c r="D191" s="5">
        <f>IF($E191="","",INDEX('Input Transaksi'!$F:$F,$E191))</f>
        <v/>
      </c>
      <c r="E191">
        <f>IFERROR(AGGREGATE(15,6,ROW('Input Transaksi'!$B$5:$B$5000)/('Input Transaksi'!$B$5:$B$5000="BALI WASH"),ROWS($E$5:E191)),"")</f>
        <v/>
      </c>
      <c r="F191" s="5" t="n"/>
    </row>
    <row r="192">
      <c r="A192" s="10">
        <f>IF($E192="","",INDEX('Input Transaksi'!$A:$A,$E192))</f>
        <v/>
      </c>
      <c r="B192" s="5">
        <f>IF($E192="","",INDEX('Input Transaksi'!$D:$D,$E192))</f>
        <v/>
      </c>
      <c r="C192">
        <f>IF($E192="","",INDEX('Input Transaksi'!$E:$E,$E192))</f>
        <v/>
      </c>
      <c r="D192" s="5">
        <f>IF($E192="","",INDEX('Input Transaksi'!$F:$F,$E192))</f>
        <v/>
      </c>
      <c r="E192">
        <f>IFERROR(AGGREGATE(15,6,ROW('Input Transaksi'!$B$5:$B$5000)/('Input Transaksi'!$B$5:$B$5000="BALI WASH"),ROWS($E$5:E192)),"")</f>
        <v/>
      </c>
      <c r="F192" s="5" t="n"/>
    </row>
    <row r="193">
      <c r="A193" s="10">
        <f>IF($E193="","",INDEX('Input Transaksi'!$A:$A,$E193))</f>
        <v/>
      </c>
      <c r="B193" s="5">
        <f>IF($E193="","",INDEX('Input Transaksi'!$D:$D,$E193))</f>
        <v/>
      </c>
      <c r="C193">
        <f>IF($E193="","",INDEX('Input Transaksi'!$E:$E,$E193))</f>
        <v/>
      </c>
      <c r="D193" s="5">
        <f>IF($E193="","",INDEX('Input Transaksi'!$F:$F,$E193))</f>
        <v/>
      </c>
      <c r="E193">
        <f>IFERROR(AGGREGATE(15,6,ROW('Input Transaksi'!$B$5:$B$5000)/('Input Transaksi'!$B$5:$B$5000="BALI WASH"),ROWS($E$5:E193)),"")</f>
        <v/>
      </c>
      <c r="F193" s="5" t="n"/>
    </row>
    <row r="194">
      <c r="A194" s="10">
        <f>IF($E194="","",INDEX('Input Transaksi'!$A:$A,$E194))</f>
        <v/>
      </c>
      <c r="B194" s="5">
        <f>IF($E194="","",INDEX('Input Transaksi'!$D:$D,$E194))</f>
        <v/>
      </c>
      <c r="C194">
        <f>IF($E194="","",INDEX('Input Transaksi'!$E:$E,$E194))</f>
        <v/>
      </c>
      <c r="D194" s="5">
        <f>IF($E194="","",INDEX('Input Transaksi'!$F:$F,$E194))</f>
        <v/>
      </c>
      <c r="E194">
        <f>IFERROR(AGGREGATE(15,6,ROW('Input Transaksi'!$B$5:$B$5000)/('Input Transaksi'!$B$5:$B$5000="BALI WASH"),ROWS($E$5:E194)),"")</f>
        <v/>
      </c>
      <c r="F194" s="5" t="n"/>
    </row>
    <row r="195">
      <c r="A195" s="10">
        <f>IF($E195="","",INDEX('Input Transaksi'!$A:$A,$E195))</f>
        <v/>
      </c>
      <c r="B195" s="5">
        <f>IF($E195="","",INDEX('Input Transaksi'!$D:$D,$E195))</f>
        <v/>
      </c>
      <c r="C195">
        <f>IF($E195="","",INDEX('Input Transaksi'!$E:$E,$E195))</f>
        <v/>
      </c>
      <c r="D195" s="5">
        <f>IF($E195="","",INDEX('Input Transaksi'!$F:$F,$E195))</f>
        <v/>
      </c>
      <c r="E195">
        <f>IFERROR(AGGREGATE(15,6,ROW('Input Transaksi'!$B$5:$B$5000)/('Input Transaksi'!$B$5:$B$5000="BALI WASH"),ROWS($E$5:E195)),"")</f>
        <v/>
      </c>
      <c r="F195" s="5" t="n"/>
    </row>
    <row r="196">
      <c r="A196" s="10">
        <f>IF($E196="","",INDEX('Input Transaksi'!$A:$A,$E196))</f>
        <v/>
      </c>
      <c r="B196" s="5">
        <f>IF($E196="","",INDEX('Input Transaksi'!$D:$D,$E196))</f>
        <v/>
      </c>
      <c r="C196">
        <f>IF($E196="","",INDEX('Input Transaksi'!$E:$E,$E196))</f>
        <v/>
      </c>
      <c r="D196" s="5">
        <f>IF($E196="","",INDEX('Input Transaksi'!$F:$F,$E196))</f>
        <v/>
      </c>
      <c r="E196">
        <f>IFERROR(AGGREGATE(15,6,ROW('Input Transaksi'!$B$5:$B$5000)/('Input Transaksi'!$B$5:$B$5000="BALI WASH"),ROWS($E$5:E196)),"")</f>
        <v/>
      </c>
      <c r="F196" s="5" t="n"/>
    </row>
    <row r="197">
      <c r="A197" s="10">
        <f>IF($E197="","",INDEX('Input Transaksi'!$A:$A,$E197))</f>
        <v/>
      </c>
      <c r="B197" s="5">
        <f>IF($E197="","",INDEX('Input Transaksi'!$D:$D,$E197))</f>
        <v/>
      </c>
      <c r="C197">
        <f>IF($E197="","",INDEX('Input Transaksi'!$E:$E,$E197))</f>
        <v/>
      </c>
      <c r="D197" s="5">
        <f>IF($E197="","",INDEX('Input Transaksi'!$F:$F,$E197))</f>
        <v/>
      </c>
      <c r="E197">
        <f>IFERROR(AGGREGATE(15,6,ROW('Input Transaksi'!$B$5:$B$5000)/('Input Transaksi'!$B$5:$B$5000="BALI WASH"),ROWS($E$5:E197)),"")</f>
        <v/>
      </c>
      <c r="F197" s="5" t="n"/>
    </row>
    <row r="198">
      <c r="A198" s="10">
        <f>IF($E198="","",INDEX('Input Transaksi'!$A:$A,$E198))</f>
        <v/>
      </c>
      <c r="B198" s="5">
        <f>IF($E198="","",INDEX('Input Transaksi'!$D:$D,$E198))</f>
        <v/>
      </c>
      <c r="C198">
        <f>IF($E198="","",INDEX('Input Transaksi'!$E:$E,$E198))</f>
        <v/>
      </c>
      <c r="D198" s="5">
        <f>IF($E198="","",INDEX('Input Transaksi'!$F:$F,$E198))</f>
        <v/>
      </c>
      <c r="E198">
        <f>IFERROR(AGGREGATE(15,6,ROW('Input Transaksi'!$B$5:$B$5000)/('Input Transaksi'!$B$5:$B$5000="BALI WASH"),ROWS($E$5:E198)),"")</f>
        <v/>
      </c>
      <c r="F198" s="5" t="n"/>
    </row>
    <row r="199">
      <c r="A199" s="10">
        <f>IF($E199="","",INDEX('Input Transaksi'!$A:$A,$E199))</f>
        <v/>
      </c>
      <c r="B199" s="5">
        <f>IF($E199="","",INDEX('Input Transaksi'!$D:$D,$E199))</f>
        <v/>
      </c>
      <c r="C199">
        <f>IF($E199="","",INDEX('Input Transaksi'!$E:$E,$E199))</f>
        <v/>
      </c>
      <c r="D199" s="5">
        <f>IF($E199="","",INDEX('Input Transaksi'!$F:$F,$E199))</f>
        <v/>
      </c>
      <c r="E199">
        <f>IFERROR(AGGREGATE(15,6,ROW('Input Transaksi'!$B$5:$B$5000)/('Input Transaksi'!$B$5:$B$5000="BALI WASH"),ROWS($E$5:E199)),"")</f>
        <v/>
      </c>
      <c r="F199" s="5" t="n"/>
    </row>
    <row r="200">
      <c r="A200" s="10">
        <f>IF($E200="","",INDEX('Input Transaksi'!$A:$A,$E200))</f>
        <v/>
      </c>
      <c r="B200" s="5">
        <f>IF($E200="","",INDEX('Input Transaksi'!$D:$D,$E200))</f>
        <v/>
      </c>
      <c r="C200">
        <f>IF($E200="","",INDEX('Input Transaksi'!$E:$E,$E200))</f>
        <v/>
      </c>
      <c r="D200" s="5">
        <f>IF($E200="","",INDEX('Input Transaksi'!$F:$F,$E200))</f>
        <v/>
      </c>
      <c r="E200">
        <f>IFERROR(AGGREGATE(15,6,ROW('Input Transaksi'!$B$5:$B$5000)/('Input Transaksi'!$B$5:$B$5000="BALI WASH"),ROWS($E$5:E200)),"")</f>
        <v/>
      </c>
      <c r="F200" s="5" t="n"/>
    </row>
    <row r="201">
      <c r="A201" s="10">
        <f>IF($E201="","",INDEX('Input Transaksi'!$A:$A,$E201))</f>
        <v/>
      </c>
      <c r="B201" s="5">
        <f>IF($E201="","",INDEX('Input Transaksi'!$D:$D,$E201))</f>
        <v/>
      </c>
      <c r="C201">
        <f>IF($E201="","",INDEX('Input Transaksi'!$E:$E,$E201))</f>
        <v/>
      </c>
      <c r="D201" s="5">
        <f>IF($E201="","",INDEX('Input Transaksi'!$F:$F,$E201))</f>
        <v/>
      </c>
      <c r="E201">
        <f>IFERROR(AGGREGATE(15,6,ROW('Input Transaksi'!$B$5:$B$5000)/('Input Transaksi'!$B$5:$B$5000="BALI WASH"),ROWS($E$5:E201)),"")</f>
        <v/>
      </c>
      <c r="F201" s="5" t="n"/>
    </row>
    <row r="202">
      <c r="A202" s="10">
        <f>IF($E202="","",INDEX('Input Transaksi'!$A:$A,$E202))</f>
        <v/>
      </c>
      <c r="B202" s="5">
        <f>IF($E202="","",INDEX('Input Transaksi'!$D:$D,$E202))</f>
        <v/>
      </c>
      <c r="C202">
        <f>IF($E202="","",INDEX('Input Transaksi'!$E:$E,$E202))</f>
        <v/>
      </c>
      <c r="D202" s="5">
        <f>IF($E202="","",INDEX('Input Transaksi'!$F:$F,$E202))</f>
        <v/>
      </c>
      <c r="E202">
        <f>IFERROR(AGGREGATE(15,6,ROW('Input Transaksi'!$B$5:$B$5000)/('Input Transaksi'!$B$5:$B$5000="BALI WASH"),ROWS($E$5:E202)),"")</f>
        <v/>
      </c>
      <c r="F202" s="5" t="n"/>
    </row>
    <row r="203">
      <c r="A203" s="10">
        <f>IF($E203="","",INDEX('Input Transaksi'!$A:$A,$E203))</f>
        <v/>
      </c>
      <c r="B203" s="5">
        <f>IF($E203="","",INDEX('Input Transaksi'!$D:$D,$E203))</f>
        <v/>
      </c>
      <c r="C203">
        <f>IF($E203="","",INDEX('Input Transaksi'!$E:$E,$E203))</f>
        <v/>
      </c>
      <c r="D203" s="5">
        <f>IF($E203="","",INDEX('Input Transaksi'!$F:$F,$E203))</f>
        <v/>
      </c>
      <c r="E203">
        <f>IFERROR(AGGREGATE(15,6,ROW('Input Transaksi'!$B$5:$B$5000)/('Input Transaksi'!$B$5:$B$5000="BALI WASH"),ROWS($E$5:E203)),"")</f>
        <v/>
      </c>
      <c r="F203" s="5" t="n"/>
    </row>
    <row r="204">
      <c r="A204" s="10">
        <f>IF($E204="","",INDEX('Input Transaksi'!$A:$A,$E204))</f>
        <v/>
      </c>
      <c r="B204" s="5">
        <f>IF($E204="","",INDEX('Input Transaksi'!$D:$D,$E204))</f>
        <v/>
      </c>
      <c r="C204">
        <f>IF($E204="","",INDEX('Input Transaksi'!$E:$E,$E204))</f>
        <v/>
      </c>
      <c r="D204" s="5">
        <f>IF($E204="","",INDEX('Input Transaksi'!$F:$F,$E204))</f>
        <v/>
      </c>
      <c r="E204">
        <f>IFERROR(AGGREGATE(15,6,ROW('Input Transaksi'!$B$5:$B$5000)/('Input Transaksi'!$B$5:$B$5000="BALI WASH"),ROWS($E$5:E204)),"")</f>
        <v/>
      </c>
      <c r="F204" s="5" t="n"/>
    </row>
    <row r="205">
      <c r="A205" s="10">
        <f>IF($E205="","",INDEX('Input Transaksi'!$A:$A,$E205))</f>
        <v/>
      </c>
      <c r="B205" s="5">
        <f>IF($E205="","",INDEX('Input Transaksi'!$D:$D,$E205))</f>
        <v/>
      </c>
      <c r="C205">
        <f>IF($E205="","",INDEX('Input Transaksi'!$E:$E,$E205))</f>
        <v/>
      </c>
      <c r="D205" s="5">
        <f>IF($E205="","",INDEX('Input Transaksi'!$F:$F,$E205))</f>
        <v/>
      </c>
      <c r="E205">
        <f>IFERROR(AGGREGATE(15,6,ROW('Input Transaksi'!$B$5:$B$5000)/('Input Transaksi'!$B$5:$B$5000="BALI WASH"),ROWS($E$5:E205)),"")</f>
        <v/>
      </c>
      <c r="F205" s="5" t="n"/>
    </row>
    <row r="206">
      <c r="A206" s="10">
        <f>IF($E206="","",INDEX('Input Transaksi'!$A:$A,$E206))</f>
        <v/>
      </c>
      <c r="B206" s="5">
        <f>IF($E206="","",INDEX('Input Transaksi'!$D:$D,$E206))</f>
        <v/>
      </c>
      <c r="C206">
        <f>IF($E206="","",INDEX('Input Transaksi'!$E:$E,$E206))</f>
        <v/>
      </c>
      <c r="D206" s="5">
        <f>IF($E206="","",INDEX('Input Transaksi'!$F:$F,$E206))</f>
        <v/>
      </c>
      <c r="E206">
        <f>IFERROR(AGGREGATE(15,6,ROW('Input Transaksi'!$B$5:$B$5000)/('Input Transaksi'!$B$5:$B$5000="BALI WASH"),ROWS($E$5:E206)),"")</f>
        <v/>
      </c>
      <c r="F206" s="5" t="n"/>
    </row>
    <row r="207">
      <c r="A207" s="10">
        <f>IF($E207="","",INDEX('Input Transaksi'!$A:$A,$E207))</f>
        <v/>
      </c>
      <c r="B207" s="5">
        <f>IF($E207="","",INDEX('Input Transaksi'!$D:$D,$E207))</f>
        <v/>
      </c>
      <c r="C207">
        <f>IF($E207="","",INDEX('Input Transaksi'!$E:$E,$E207))</f>
        <v/>
      </c>
      <c r="D207" s="5">
        <f>IF($E207="","",INDEX('Input Transaksi'!$F:$F,$E207))</f>
        <v/>
      </c>
      <c r="E207">
        <f>IFERROR(AGGREGATE(15,6,ROW('Input Transaksi'!$B$5:$B$5000)/('Input Transaksi'!$B$5:$B$5000="BALI WASH"),ROWS($E$5:E207)),"")</f>
        <v/>
      </c>
      <c r="F207" s="5" t="n"/>
    </row>
    <row r="208">
      <c r="A208" s="10">
        <f>IF($E208="","",INDEX('Input Transaksi'!$A:$A,$E208))</f>
        <v/>
      </c>
      <c r="B208" s="5">
        <f>IF($E208="","",INDEX('Input Transaksi'!$D:$D,$E208))</f>
        <v/>
      </c>
      <c r="C208">
        <f>IF($E208="","",INDEX('Input Transaksi'!$E:$E,$E208))</f>
        <v/>
      </c>
      <c r="D208" s="5">
        <f>IF($E208="","",INDEX('Input Transaksi'!$F:$F,$E208))</f>
        <v/>
      </c>
      <c r="E208">
        <f>IFERROR(AGGREGATE(15,6,ROW('Input Transaksi'!$B$5:$B$5000)/('Input Transaksi'!$B$5:$B$5000="BALI WASH"),ROWS($E$5:E208)),"")</f>
        <v/>
      </c>
      <c r="F208" s="5" t="n"/>
    </row>
    <row r="209">
      <c r="A209" s="10">
        <f>IF($E209="","",INDEX('Input Transaksi'!$A:$A,$E209))</f>
        <v/>
      </c>
      <c r="B209" s="5">
        <f>IF($E209="","",INDEX('Input Transaksi'!$D:$D,$E209))</f>
        <v/>
      </c>
      <c r="C209">
        <f>IF($E209="","",INDEX('Input Transaksi'!$E:$E,$E209))</f>
        <v/>
      </c>
      <c r="D209" s="5">
        <f>IF($E209="","",INDEX('Input Transaksi'!$F:$F,$E209))</f>
        <v/>
      </c>
      <c r="E209">
        <f>IFERROR(AGGREGATE(15,6,ROW('Input Transaksi'!$B$5:$B$5000)/('Input Transaksi'!$B$5:$B$5000="BALI WASH"),ROWS($E$5:E209)),"")</f>
        <v/>
      </c>
      <c r="F209" s="5" t="n"/>
    </row>
    <row r="210">
      <c r="A210" s="10">
        <f>IF($E210="","",INDEX('Input Transaksi'!$A:$A,$E210))</f>
        <v/>
      </c>
      <c r="B210" s="5">
        <f>IF($E210="","",INDEX('Input Transaksi'!$D:$D,$E210))</f>
        <v/>
      </c>
      <c r="C210">
        <f>IF($E210="","",INDEX('Input Transaksi'!$E:$E,$E210))</f>
        <v/>
      </c>
      <c r="D210" s="5">
        <f>IF($E210="","",INDEX('Input Transaksi'!$F:$F,$E210))</f>
        <v/>
      </c>
      <c r="E210">
        <f>IFERROR(AGGREGATE(15,6,ROW('Input Transaksi'!$B$5:$B$5000)/('Input Transaksi'!$B$5:$B$5000="BALI WASH"),ROWS($E$5:E210)),"")</f>
        <v/>
      </c>
      <c r="F210" s="5" t="n"/>
    </row>
    <row r="211">
      <c r="A211" s="10">
        <f>IF($E211="","",INDEX('Input Transaksi'!$A:$A,$E211))</f>
        <v/>
      </c>
      <c r="B211" s="5">
        <f>IF($E211="","",INDEX('Input Transaksi'!$D:$D,$E211))</f>
        <v/>
      </c>
      <c r="C211">
        <f>IF($E211="","",INDEX('Input Transaksi'!$E:$E,$E211))</f>
        <v/>
      </c>
      <c r="D211" s="5">
        <f>IF($E211="","",INDEX('Input Transaksi'!$F:$F,$E211))</f>
        <v/>
      </c>
      <c r="E211">
        <f>IFERROR(AGGREGATE(15,6,ROW('Input Transaksi'!$B$5:$B$5000)/('Input Transaksi'!$B$5:$B$5000="BALI WASH"),ROWS($E$5:E211)),"")</f>
        <v/>
      </c>
      <c r="F211" s="5" t="n"/>
    </row>
    <row r="212">
      <c r="A212" s="10">
        <f>IF($E212="","",INDEX('Input Transaksi'!$A:$A,$E212))</f>
        <v/>
      </c>
      <c r="B212" s="5">
        <f>IF($E212="","",INDEX('Input Transaksi'!$D:$D,$E212))</f>
        <v/>
      </c>
      <c r="C212">
        <f>IF($E212="","",INDEX('Input Transaksi'!$E:$E,$E212))</f>
        <v/>
      </c>
      <c r="D212" s="5">
        <f>IF($E212="","",INDEX('Input Transaksi'!$F:$F,$E212))</f>
        <v/>
      </c>
      <c r="E212">
        <f>IFERROR(AGGREGATE(15,6,ROW('Input Transaksi'!$B$5:$B$5000)/('Input Transaksi'!$B$5:$B$5000="BALI WASH"),ROWS($E$5:E212)),"")</f>
        <v/>
      </c>
      <c r="F212" s="5" t="n"/>
    </row>
    <row r="213">
      <c r="A213" s="10">
        <f>IF($E213="","",INDEX('Input Transaksi'!$A:$A,$E213))</f>
        <v/>
      </c>
      <c r="B213" s="5">
        <f>IF($E213="","",INDEX('Input Transaksi'!$D:$D,$E213))</f>
        <v/>
      </c>
      <c r="C213">
        <f>IF($E213="","",INDEX('Input Transaksi'!$E:$E,$E213))</f>
        <v/>
      </c>
      <c r="D213" s="5">
        <f>IF($E213="","",INDEX('Input Transaksi'!$F:$F,$E213))</f>
        <v/>
      </c>
      <c r="E213">
        <f>IFERROR(AGGREGATE(15,6,ROW('Input Transaksi'!$B$5:$B$5000)/('Input Transaksi'!$B$5:$B$5000="BALI WASH"),ROWS($E$5:E213)),"")</f>
        <v/>
      </c>
      <c r="F213" s="5" t="n"/>
    </row>
    <row r="214">
      <c r="A214" s="10">
        <f>IF($E214="","",INDEX('Input Transaksi'!$A:$A,$E214))</f>
        <v/>
      </c>
      <c r="B214" s="5">
        <f>IF($E214="","",INDEX('Input Transaksi'!$D:$D,$E214))</f>
        <v/>
      </c>
      <c r="C214">
        <f>IF($E214="","",INDEX('Input Transaksi'!$E:$E,$E214))</f>
        <v/>
      </c>
      <c r="D214" s="5">
        <f>IF($E214="","",INDEX('Input Transaksi'!$F:$F,$E214))</f>
        <v/>
      </c>
      <c r="E214">
        <f>IFERROR(AGGREGATE(15,6,ROW('Input Transaksi'!$B$5:$B$5000)/('Input Transaksi'!$B$5:$B$5000="BALI WASH"),ROWS($E$5:E214)),"")</f>
        <v/>
      </c>
      <c r="F214" s="5" t="n"/>
    </row>
    <row r="215">
      <c r="A215" s="10">
        <f>IF($E215="","",INDEX('Input Transaksi'!$A:$A,$E215))</f>
        <v/>
      </c>
      <c r="B215" s="5">
        <f>IF($E215="","",INDEX('Input Transaksi'!$D:$D,$E215))</f>
        <v/>
      </c>
      <c r="C215">
        <f>IF($E215="","",INDEX('Input Transaksi'!$E:$E,$E215))</f>
        <v/>
      </c>
      <c r="D215" s="5">
        <f>IF($E215="","",INDEX('Input Transaksi'!$F:$F,$E215))</f>
        <v/>
      </c>
      <c r="E215">
        <f>IFERROR(AGGREGATE(15,6,ROW('Input Transaksi'!$B$5:$B$5000)/('Input Transaksi'!$B$5:$B$5000="BALI WASH"),ROWS($E$5:E215)),"")</f>
        <v/>
      </c>
      <c r="F215" s="5" t="n"/>
    </row>
    <row r="216">
      <c r="A216" s="10">
        <f>IF($E216="","",INDEX('Input Transaksi'!$A:$A,$E216))</f>
        <v/>
      </c>
      <c r="B216" s="5">
        <f>IF($E216="","",INDEX('Input Transaksi'!$D:$D,$E216))</f>
        <v/>
      </c>
      <c r="C216">
        <f>IF($E216="","",INDEX('Input Transaksi'!$E:$E,$E216))</f>
        <v/>
      </c>
      <c r="D216" s="5">
        <f>IF($E216="","",INDEX('Input Transaksi'!$F:$F,$E216))</f>
        <v/>
      </c>
      <c r="E216">
        <f>IFERROR(AGGREGATE(15,6,ROW('Input Transaksi'!$B$5:$B$5000)/('Input Transaksi'!$B$5:$B$5000="BALI WASH"),ROWS($E$5:E216)),"")</f>
        <v/>
      </c>
      <c r="F216" s="5" t="n"/>
    </row>
    <row r="217">
      <c r="A217" s="10">
        <f>IF($E217="","",INDEX('Input Transaksi'!$A:$A,$E217))</f>
        <v/>
      </c>
      <c r="B217" s="5">
        <f>IF($E217="","",INDEX('Input Transaksi'!$D:$D,$E217))</f>
        <v/>
      </c>
      <c r="C217">
        <f>IF($E217="","",INDEX('Input Transaksi'!$E:$E,$E217))</f>
        <v/>
      </c>
      <c r="D217" s="5">
        <f>IF($E217="","",INDEX('Input Transaksi'!$F:$F,$E217))</f>
        <v/>
      </c>
      <c r="E217">
        <f>IFERROR(AGGREGATE(15,6,ROW('Input Transaksi'!$B$5:$B$5000)/('Input Transaksi'!$B$5:$B$5000="BALI WASH"),ROWS($E$5:E217)),"")</f>
        <v/>
      </c>
      <c r="F217" s="5" t="n"/>
    </row>
    <row r="218">
      <c r="A218" s="10">
        <f>IF($E218="","",INDEX('Input Transaksi'!$A:$A,$E218))</f>
        <v/>
      </c>
      <c r="B218" s="5">
        <f>IF($E218="","",INDEX('Input Transaksi'!$D:$D,$E218))</f>
        <v/>
      </c>
      <c r="C218">
        <f>IF($E218="","",INDEX('Input Transaksi'!$E:$E,$E218))</f>
        <v/>
      </c>
      <c r="D218" s="5">
        <f>IF($E218="","",INDEX('Input Transaksi'!$F:$F,$E218))</f>
        <v/>
      </c>
      <c r="E218">
        <f>IFERROR(AGGREGATE(15,6,ROW('Input Transaksi'!$B$5:$B$5000)/('Input Transaksi'!$B$5:$B$5000="BALI WASH"),ROWS($E$5:E218)),"")</f>
        <v/>
      </c>
      <c r="F218" s="5" t="n"/>
    </row>
    <row r="219">
      <c r="A219" s="10">
        <f>IF($E219="","",INDEX('Input Transaksi'!$A:$A,$E219))</f>
        <v/>
      </c>
      <c r="B219" s="5">
        <f>IF($E219="","",INDEX('Input Transaksi'!$D:$D,$E219))</f>
        <v/>
      </c>
      <c r="C219">
        <f>IF($E219="","",INDEX('Input Transaksi'!$E:$E,$E219))</f>
        <v/>
      </c>
      <c r="D219" s="5">
        <f>IF($E219="","",INDEX('Input Transaksi'!$F:$F,$E219))</f>
        <v/>
      </c>
      <c r="E219">
        <f>IFERROR(AGGREGATE(15,6,ROW('Input Transaksi'!$B$5:$B$5000)/('Input Transaksi'!$B$5:$B$5000="BALI WASH"),ROWS($E$5:E219)),"")</f>
        <v/>
      </c>
      <c r="F219" s="5" t="n"/>
    </row>
    <row r="220">
      <c r="A220" s="10">
        <f>IF($E220="","",INDEX('Input Transaksi'!$A:$A,$E220))</f>
        <v/>
      </c>
      <c r="B220" s="5">
        <f>IF($E220="","",INDEX('Input Transaksi'!$D:$D,$E220))</f>
        <v/>
      </c>
      <c r="C220">
        <f>IF($E220="","",INDEX('Input Transaksi'!$E:$E,$E220))</f>
        <v/>
      </c>
      <c r="D220" s="5">
        <f>IF($E220="","",INDEX('Input Transaksi'!$F:$F,$E220))</f>
        <v/>
      </c>
      <c r="E220">
        <f>IFERROR(AGGREGATE(15,6,ROW('Input Transaksi'!$B$5:$B$5000)/('Input Transaksi'!$B$5:$B$5000="BALI WASH"),ROWS($E$5:E220)),"")</f>
        <v/>
      </c>
      <c r="F220" s="5" t="n"/>
    </row>
    <row r="221">
      <c r="A221" s="10">
        <f>IF($E221="","",INDEX('Input Transaksi'!$A:$A,$E221))</f>
        <v/>
      </c>
      <c r="B221" s="5">
        <f>IF($E221="","",INDEX('Input Transaksi'!$D:$D,$E221))</f>
        <v/>
      </c>
      <c r="C221">
        <f>IF($E221="","",INDEX('Input Transaksi'!$E:$E,$E221))</f>
        <v/>
      </c>
      <c r="D221" s="5">
        <f>IF($E221="","",INDEX('Input Transaksi'!$F:$F,$E221))</f>
        <v/>
      </c>
      <c r="E221">
        <f>IFERROR(AGGREGATE(15,6,ROW('Input Transaksi'!$B$5:$B$5000)/('Input Transaksi'!$B$5:$B$5000="BALI WASH"),ROWS($E$5:E221)),"")</f>
        <v/>
      </c>
      <c r="F221" s="5" t="n"/>
    </row>
    <row r="222">
      <c r="A222" s="10">
        <f>IF($E222="","",INDEX('Input Transaksi'!$A:$A,$E222))</f>
        <v/>
      </c>
      <c r="B222" s="5">
        <f>IF($E222="","",INDEX('Input Transaksi'!$D:$D,$E222))</f>
        <v/>
      </c>
      <c r="C222">
        <f>IF($E222="","",INDEX('Input Transaksi'!$E:$E,$E222))</f>
        <v/>
      </c>
      <c r="D222" s="5">
        <f>IF($E222="","",INDEX('Input Transaksi'!$F:$F,$E222))</f>
        <v/>
      </c>
      <c r="E222">
        <f>IFERROR(AGGREGATE(15,6,ROW('Input Transaksi'!$B$5:$B$5000)/('Input Transaksi'!$B$5:$B$5000="BALI WASH"),ROWS($E$5:E222)),"")</f>
        <v/>
      </c>
      <c r="F222" s="5" t="n"/>
    </row>
    <row r="223">
      <c r="A223" s="10">
        <f>IF($E223="","",INDEX('Input Transaksi'!$A:$A,$E223))</f>
        <v/>
      </c>
      <c r="B223" s="5">
        <f>IF($E223="","",INDEX('Input Transaksi'!$D:$D,$E223))</f>
        <v/>
      </c>
      <c r="C223">
        <f>IF($E223="","",INDEX('Input Transaksi'!$E:$E,$E223))</f>
        <v/>
      </c>
      <c r="D223" s="5">
        <f>IF($E223="","",INDEX('Input Transaksi'!$F:$F,$E223))</f>
        <v/>
      </c>
      <c r="E223">
        <f>IFERROR(AGGREGATE(15,6,ROW('Input Transaksi'!$B$5:$B$5000)/('Input Transaksi'!$B$5:$B$5000="BALI WASH"),ROWS($E$5:E223)),"")</f>
        <v/>
      </c>
      <c r="F223" s="5" t="n"/>
    </row>
    <row r="224">
      <c r="A224" s="10">
        <f>IF($E224="","",INDEX('Input Transaksi'!$A:$A,$E224))</f>
        <v/>
      </c>
      <c r="B224" s="5">
        <f>IF($E224="","",INDEX('Input Transaksi'!$D:$D,$E224))</f>
        <v/>
      </c>
      <c r="C224">
        <f>IF($E224="","",INDEX('Input Transaksi'!$E:$E,$E224))</f>
        <v/>
      </c>
      <c r="D224" s="5">
        <f>IF($E224="","",INDEX('Input Transaksi'!$F:$F,$E224))</f>
        <v/>
      </c>
      <c r="E224">
        <f>IFERROR(AGGREGATE(15,6,ROW('Input Transaksi'!$B$5:$B$5000)/('Input Transaksi'!$B$5:$B$5000="BALI WASH"),ROWS($E$5:E224)),"")</f>
        <v/>
      </c>
      <c r="F224" s="5" t="n"/>
    </row>
    <row r="225">
      <c r="A225" s="10">
        <f>IF($E225="","",INDEX('Input Transaksi'!$A:$A,$E225))</f>
        <v/>
      </c>
      <c r="B225" s="5">
        <f>IF($E225="","",INDEX('Input Transaksi'!$D:$D,$E225))</f>
        <v/>
      </c>
      <c r="C225">
        <f>IF($E225="","",INDEX('Input Transaksi'!$E:$E,$E225))</f>
        <v/>
      </c>
      <c r="D225" s="5">
        <f>IF($E225="","",INDEX('Input Transaksi'!$F:$F,$E225))</f>
        <v/>
      </c>
      <c r="E225">
        <f>IFERROR(AGGREGATE(15,6,ROW('Input Transaksi'!$B$5:$B$5000)/('Input Transaksi'!$B$5:$B$5000="BALI WASH"),ROWS($E$5:E225)),"")</f>
        <v/>
      </c>
      <c r="F225" s="5" t="n"/>
    </row>
    <row r="226">
      <c r="A226" s="10">
        <f>IF($E226="","",INDEX('Input Transaksi'!$A:$A,$E226))</f>
        <v/>
      </c>
      <c r="B226" s="5">
        <f>IF($E226="","",INDEX('Input Transaksi'!$D:$D,$E226))</f>
        <v/>
      </c>
      <c r="C226">
        <f>IF($E226="","",INDEX('Input Transaksi'!$E:$E,$E226))</f>
        <v/>
      </c>
      <c r="D226" s="5">
        <f>IF($E226="","",INDEX('Input Transaksi'!$F:$F,$E226))</f>
        <v/>
      </c>
      <c r="E226">
        <f>IFERROR(AGGREGATE(15,6,ROW('Input Transaksi'!$B$5:$B$5000)/('Input Transaksi'!$B$5:$B$5000="BALI WASH"),ROWS($E$5:E226)),"")</f>
        <v/>
      </c>
      <c r="F226" s="5" t="n"/>
    </row>
    <row r="227">
      <c r="A227" s="10">
        <f>IF($E227="","",INDEX('Input Transaksi'!$A:$A,$E227))</f>
        <v/>
      </c>
      <c r="B227" s="5">
        <f>IF($E227="","",INDEX('Input Transaksi'!$D:$D,$E227))</f>
        <v/>
      </c>
      <c r="C227">
        <f>IF($E227="","",INDEX('Input Transaksi'!$E:$E,$E227))</f>
        <v/>
      </c>
      <c r="D227" s="5">
        <f>IF($E227="","",INDEX('Input Transaksi'!$F:$F,$E227))</f>
        <v/>
      </c>
      <c r="E227">
        <f>IFERROR(AGGREGATE(15,6,ROW('Input Transaksi'!$B$5:$B$5000)/('Input Transaksi'!$B$5:$B$5000="BALI WASH"),ROWS($E$5:E227)),"")</f>
        <v/>
      </c>
      <c r="F227" s="5" t="n"/>
    </row>
    <row r="228">
      <c r="A228" s="10">
        <f>IF($E228="","",INDEX('Input Transaksi'!$A:$A,$E228))</f>
        <v/>
      </c>
      <c r="B228" s="5">
        <f>IF($E228="","",INDEX('Input Transaksi'!$D:$D,$E228))</f>
        <v/>
      </c>
      <c r="C228">
        <f>IF($E228="","",INDEX('Input Transaksi'!$E:$E,$E228))</f>
        <v/>
      </c>
      <c r="D228" s="5">
        <f>IF($E228="","",INDEX('Input Transaksi'!$F:$F,$E228))</f>
        <v/>
      </c>
      <c r="E228">
        <f>IFERROR(AGGREGATE(15,6,ROW('Input Transaksi'!$B$5:$B$5000)/('Input Transaksi'!$B$5:$B$5000="BALI WASH"),ROWS($E$5:E228)),"")</f>
        <v/>
      </c>
      <c r="F228" s="5" t="n"/>
    </row>
    <row r="229">
      <c r="A229" s="10">
        <f>IF($E229="","",INDEX('Input Transaksi'!$A:$A,$E229))</f>
        <v/>
      </c>
      <c r="B229" s="5">
        <f>IF($E229="","",INDEX('Input Transaksi'!$D:$D,$E229))</f>
        <v/>
      </c>
      <c r="C229">
        <f>IF($E229="","",INDEX('Input Transaksi'!$E:$E,$E229))</f>
        <v/>
      </c>
      <c r="D229" s="5">
        <f>IF($E229="","",INDEX('Input Transaksi'!$F:$F,$E229))</f>
        <v/>
      </c>
      <c r="E229">
        <f>IFERROR(AGGREGATE(15,6,ROW('Input Transaksi'!$B$5:$B$5000)/('Input Transaksi'!$B$5:$B$5000="BALI WASH"),ROWS($E$5:E229)),"")</f>
        <v/>
      </c>
      <c r="F229" s="5" t="n"/>
    </row>
    <row r="230">
      <c r="A230" s="10">
        <f>IF($E230="","",INDEX('Input Transaksi'!$A:$A,$E230))</f>
        <v/>
      </c>
      <c r="B230" s="5">
        <f>IF($E230="","",INDEX('Input Transaksi'!$D:$D,$E230))</f>
        <v/>
      </c>
      <c r="C230">
        <f>IF($E230="","",INDEX('Input Transaksi'!$E:$E,$E230))</f>
        <v/>
      </c>
      <c r="D230" s="5">
        <f>IF($E230="","",INDEX('Input Transaksi'!$F:$F,$E230))</f>
        <v/>
      </c>
      <c r="E230">
        <f>IFERROR(AGGREGATE(15,6,ROW('Input Transaksi'!$B$5:$B$5000)/('Input Transaksi'!$B$5:$B$5000="BALI WASH"),ROWS($E$5:E230)),"")</f>
        <v/>
      </c>
      <c r="F230" s="5" t="n"/>
    </row>
    <row r="231">
      <c r="A231" s="10">
        <f>IF($E231="","",INDEX('Input Transaksi'!$A:$A,$E231))</f>
        <v/>
      </c>
      <c r="B231" s="5">
        <f>IF($E231="","",INDEX('Input Transaksi'!$D:$D,$E231))</f>
        <v/>
      </c>
      <c r="C231">
        <f>IF($E231="","",INDEX('Input Transaksi'!$E:$E,$E231))</f>
        <v/>
      </c>
      <c r="D231" s="5">
        <f>IF($E231="","",INDEX('Input Transaksi'!$F:$F,$E231))</f>
        <v/>
      </c>
      <c r="E231">
        <f>IFERROR(AGGREGATE(15,6,ROW('Input Transaksi'!$B$5:$B$5000)/('Input Transaksi'!$B$5:$B$5000="BALI WASH"),ROWS($E$5:E231)),"")</f>
        <v/>
      </c>
      <c r="F231" s="5" t="n"/>
    </row>
    <row r="232">
      <c r="A232" s="10">
        <f>IF($E232="","",INDEX('Input Transaksi'!$A:$A,$E232))</f>
        <v/>
      </c>
      <c r="B232" s="5">
        <f>IF($E232="","",INDEX('Input Transaksi'!$D:$D,$E232))</f>
        <v/>
      </c>
      <c r="C232">
        <f>IF($E232="","",INDEX('Input Transaksi'!$E:$E,$E232))</f>
        <v/>
      </c>
      <c r="D232" s="5">
        <f>IF($E232="","",INDEX('Input Transaksi'!$F:$F,$E232))</f>
        <v/>
      </c>
      <c r="E232">
        <f>IFERROR(AGGREGATE(15,6,ROW('Input Transaksi'!$B$5:$B$5000)/('Input Transaksi'!$B$5:$B$5000="BALI WASH"),ROWS($E$5:E232)),"")</f>
        <v/>
      </c>
      <c r="F232" s="5" t="n"/>
    </row>
    <row r="233">
      <c r="A233" s="10">
        <f>IF($E233="","",INDEX('Input Transaksi'!$A:$A,$E233))</f>
        <v/>
      </c>
      <c r="B233" s="5">
        <f>IF($E233="","",INDEX('Input Transaksi'!$D:$D,$E233))</f>
        <v/>
      </c>
      <c r="C233">
        <f>IF($E233="","",INDEX('Input Transaksi'!$E:$E,$E233))</f>
        <v/>
      </c>
      <c r="D233" s="5">
        <f>IF($E233="","",INDEX('Input Transaksi'!$F:$F,$E233))</f>
        <v/>
      </c>
      <c r="E233">
        <f>IFERROR(AGGREGATE(15,6,ROW('Input Transaksi'!$B$5:$B$5000)/('Input Transaksi'!$B$5:$B$5000="BALI WASH"),ROWS($E$5:E233)),"")</f>
        <v/>
      </c>
      <c r="F233" s="5" t="n"/>
    </row>
    <row r="234">
      <c r="A234" s="10">
        <f>IF($E234="","",INDEX('Input Transaksi'!$A:$A,$E234))</f>
        <v/>
      </c>
      <c r="B234" s="5">
        <f>IF($E234="","",INDEX('Input Transaksi'!$D:$D,$E234))</f>
        <v/>
      </c>
      <c r="C234">
        <f>IF($E234="","",INDEX('Input Transaksi'!$E:$E,$E234))</f>
        <v/>
      </c>
      <c r="D234" s="5">
        <f>IF($E234="","",INDEX('Input Transaksi'!$F:$F,$E234))</f>
        <v/>
      </c>
      <c r="E234">
        <f>IFERROR(AGGREGATE(15,6,ROW('Input Transaksi'!$B$5:$B$5000)/('Input Transaksi'!$B$5:$B$5000="BALI WASH"),ROWS($E$5:E234)),"")</f>
        <v/>
      </c>
      <c r="F234" s="5" t="n"/>
    </row>
    <row r="235">
      <c r="A235" s="10">
        <f>IF($E235="","",INDEX('Input Transaksi'!$A:$A,$E235))</f>
        <v/>
      </c>
      <c r="B235" s="5">
        <f>IF($E235="","",INDEX('Input Transaksi'!$D:$D,$E235))</f>
        <v/>
      </c>
      <c r="C235">
        <f>IF($E235="","",INDEX('Input Transaksi'!$E:$E,$E235))</f>
        <v/>
      </c>
      <c r="D235" s="5">
        <f>IF($E235="","",INDEX('Input Transaksi'!$F:$F,$E235))</f>
        <v/>
      </c>
      <c r="E235">
        <f>IFERROR(AGGREGATE(15,6,ROW('Input Transaksi'!$B$5:$B$5000)/('Input Transaksi'!$B$5:$B$5000="BALI WASH"),ROWS($E$5:E235)),"")</f>
        <v/>
      </c>
      <c r="F235" s="5" t="n"/>
    </row>
    <row r="236">
      <c r="A236" s="10">
        <f>IF($E236="","",INDEX('Input Transaksi'!$A:$A,$E236))</f>
        <v/>
      </c>
      <c r="B236" s="5">
        <f>IF($E236="","",INDEX('Input Transaksi'!$D:$D,$E236))</f>
        <v/>
      </c>
      <c r="C236">
        <f>IF($E236="","",INDEX('Input Transaksi'!$E:$E,$E236))</f>
        <v/>
      </c>
      <c r="D236" s="5">
        <f>IF($E236="","",INDEX('Input Transaksi'!$F:$F,$E236))</f>
        <v/>
      </c>
      <c r="E236">
        <f>IFERROR(AGGREGATE(15,6,ROW('Input Transaksi'!$B$5:$B$5000)/('Input Transaksi'!$B$5:$B$5000="BALI WASH"),ROWS($E$5:E236)),"")</f>
        <v/>
      </c>
      <c r="F236" s="5" t="n"/>
    </row>
    <row r="237">
      <c r="A237" s="10">
        <f>IF($E237="","",INDEX('Input Transaksi'!$A:$A,$E237))</f>
        <v/>
      </c>
      <c r="B237" s="5">
        <f>IF($E237="","",INDEX('Input Transaksi'!$D:$D,$E237))</f>
        <v/>
      </c>
      <c r="C237">
        <f>IF($E237="","",INDEX('Input Transaksi'!$E:$E,$E237))</f>
        <v/>
      </c>
      <c r="D237" s="5">
        <f>IF($E237="","",INDEX('Input Transaksi'!$F:$F,$E237))</f>
        <v/>
      </c>
      <c r="E237">
        <f>IFERROR(AGGREGATE(15,6,ROW('Input Transaksi'!$B$5:$B$5000)/('Input Transaksi'!$B$5:$B$5000="BALI WASH"),ROWS($E$5:E237)),"")</f>
        <v/>
      </c>
      <c r="F237" s="5" t="n"/>
    </row>
    <row r="238">
      <c r="A238" s="10">
        <f>IF($E238="","",INDEX('Input Transaksi'!$A:$A,$E238))</f>
        <v/>
      </c>
      <c r="B238" s="5">
        <f>IF($E238="","",INDEX('Input Transaksi'!$D:$D,$E238))</f>
        <v/>
      </c>
      <c r="C238">
        <f>IF($E238="","",INDEX('Input Transaksi'!$E:$E,$E238))</f>
        <v/>
      </c>
      <c r="D238" s="5">
        <f>IF($E238="","",INDEX('Input Transaksi'!$F:$F,$E238))</f>
        <v/>
      </c>
      <c r="E238">
        <f>IFERROR(AGGREGATE(15,6,ROW('Input Transaksi'!$B$5:$B$5000)/('Input Transaksi'!$B$5:$B$5000="BALI WASH"),ROWS($E$5:E238)),"")</f>
        <v/>
      </c>
      <c r="F238" s="5" t="n"/>
    </row>
    <row r="239">
      <c r="A239" s="10">
        <f>IF($E239="","",INDEX('Input Transaksi'!$A:$A,$E239))</f>
        <v/>
      </c>
      <c r="B239" s="5">
        <f>IF($E239="","",INDEX('Input Transaksi'!$D:$D,$E239))</f>
        <v/>
      </c>
      <c r="C239">
        <f>IF($E239="","",INDEX('Input Transaksi'!$E:$E,$E239))</f>
        <v/>
      </c>
      <c r="D239" s="5">
        <f>IF($E239="","",INDEX('Input Transaksi'!$F:$F,$E239))</f>
        <v/>
      </c>
      <c r="E239">
        <f>IFERROR(AGGREGATE(15,6,ROW('Input Transaksi'!$B$5:$B$5000)/('Input Transaksi'!$B$5:$B$5000="BALI WASH"),ROWS($E$5:E239)),"")</f>
        <v/>
      </c>
      <c r="F239" s="5" t="n"/>
    </row>
    <row r="240">
      <c r="A240" s="10">
        <f>IF($E240="","",INDEX('Input Transaksi'!$A:$A,$E240))</f>
        <v/>
      </c>
      <c r="B240" s="5">
        <f>IF($E240="","",INDEX('Input Transaksi'!$D:$D,$E240))</f>
        <v/>
      </c>
      <c r="C240">
        <f>IF($E240="","",INDEX('Input Transaksi'!$E:$E,$E240))</f>
        <v/>
      </c>
      <c r="D240" s="5">
        <f>IF($E240="","",INDEX('Input Transaksi'!$F:$F,$E240))</f>
        <v/>
      </c>
      <c r="E240">
        <f>IFERROR(AGGREGATE(15,6,ROW('Input Transaksi'!$B$5:$B$5000)/('Input Transaksi'!$B$5:$B$5000="BALI WASH"),ROWS($E$5:E240)),"")</f>
        <v/>
      </c>
      <c r="F240" s="5" t="n"/>
    </row>
    <row r="241">
      <c r="A241" s="10">
        <f>IF($E241="","",INDEX('Input Transaksi'!$A:$A,$E241))</f>
        <v/>
      </c>
      <c r="B241" s="5">
        <f>IF($E241="","",INDEX('Input Transaksi'!$D:$D,$E241))</f>
        <v/>
      </c>
      <c r="C241">
        <f>IF($E241="","",INDEX('Input Transaksi'!$E:$E,$E241))</f>
        <v/>
      </c>
      <c r="D241" s="5">
        <f>IF($E241="","",INDEX('Input Transaksi'!$F:$F,$E241))</f>
        <v/>
      </c>
      <c r="E241">
        <f>IFERROR(AGGREGATE(15,6,ROW('Input Transaksi'!$B$5:$B$5000)/('Input Transaksi'!$B$5:$B$5000="BALI WASH"),ROWS($E$5:E241)),"")</f>
        <v/>
      </c>
      <c r="F241" s="5" t="n"/>
    </row>
    <row r="242">
      <c r="A242" s="10">
        <f>IF($E242="","",INDEX('Input Transaksi'!$A:$A,$E242))</f>
        <v/>
      </c>
      <c r="B242" s="5">
        <f>IF($E242="","",INDEX('Input Transaksi'!$D:$D,$E242))</f>
        <v/>
      </c>
      <c r="C242">
        <f>IF($E242="","",INDEX('Input Transaksi'!$E:$E,$E242))</f>
        <v/>
      </c>
      <c r="D242" s="5">
        <f>IF($E242="","",INDEX('Input Transaksi'!$F:$F,$E242))</f>
        <v/>
      </c>
      <c r="E242">
        <f>IFERROR(AGGREGATE(15,6,ROW('Input Transaksi'!$B$5:$B$5000)/('Input Transaksi'!$B$5:$B$5000="BALI WASH"),ROWS($E$5:E242)),"")</f>
        <v/>
      </c>
      <c r="F242" s="5" t="n"/>
    </row>
    <row r="243">
      <c r="A243" s="10">
        <f>IF($E243="","",INDEX('Input Transaksi'!$A:$A,$E243))</f>
        <v/>
      </c>
      <c r="B243" s="5">
        <f>IF($E243="","",INDEX('Input Transaksi'!$D:$D,$E243))</f>
        <v/>
      </c>
      <c r="C243">
        <f>IF($E243="","",INDEX('Input Transaksi'!$E:$E,$E243))</f>
        <v/>
      </c>
      <c r="D243" s="5">
        <f>IF($E243="","",INDEX('Input Transaksi'!$F:$F,$E243))</f>
        <v/>
      </c>
      <c r="E243">
        <f>IFERROR(AGGREGATE(15,6,ROW('Input Transaksi'!$B$5:$B$5000)/('Input Transaksi'!$B$5:$B$5000="BALI WASH"),ROWS($E$5:E243)),"")</f>
        <v/>
      </c>
      <c r="F243" s="5" t="n"/>
    </row>
    <row r="244">
      <c r="A244" s="10">
        <f>IF($E244="","",INDEX('Input Transaksi'!$A:$A,$E244))</f>
        <v/>
      </c>
      <c r="B244" s="5">
        <f>IF($E244="","",INDEX('Input Transaksi'!$D:$D,$E244))</f>
        <v/>
      </c>
      <c r="C244">
        <f>IF($E244="","",INDEX('Input Transaksi'!$E:$E,$E244))</f>
        <v/>
      </c>
      <c r="D244" s="5">
        <f>IF($E244="","",INDEX('Input Transaksi'!$F:$F,$E244))</f>
        <v/>
      </c>
      <c r="E244">
        <f>IFERROR(AGGREGATE(15,6,ROW('Input Transaksi'!$B$5:$B$5000)/('Input Transaksi'!$B$5:$B$5000="BALI WASH"),ROWS($E$5:E244)),"")</f>
        <v/>
      </c>
      <c r="F244" s="5" t="n"/>
    </row>
    <row r="245">
      <c r="A245" s="10">
        <f>IF($E245="","",INDEX('Input Transaksi'!$A:$A,$E245))</f>
        <v/>
      </c>
      <c r="B245" s="5">
        <f>IF($E245="","",INDEX('Input Transaksi'!$D:$D,$E245))</f>
        <v/>
      </c>
      <c r="C245">
        <f>IF($E245="","",INDEX('Input Transaksi'!$E:$E,$E245))</f>
        <v/>
      </c>
      <c r="D245" s="5">
        <f>IF($E245="","",INDEX('Input Transaksi'!$F:$F,$E245))</f>
        <v/>
      </c>
      <c r="E245">
        <f>IFERROR(AGGREGATE(15,6,ROW('Input Transaksi'!$B$5:$B$5000)/('Input Transaksi'!$B$5:$B$5000="BALI WASH"),ROWS($E$5:E245)),"")</f>
        <v/>
      </c>
      <c r="F245" s="5" t="n"/>
    </row>
    <row r="246">
      <c r="A246" s="10">
        <f>IF($E246="","",INDEX('Input Transaksi'!$A:$A,$E246))</f>
        <v/>
      </c>
      <c r="B246" s="5">
        <f>IF($E246="","",INDEX('Input Transaksi'!$D:$D,$E246))</f>
        <v/>
      </c>
      <c r="C246">
        <f>IF($E246="","",INDEX('Input Transaksi'!$E:$E,$E246))</f>
        <v/>
      </c>
      <c r="D246" s="5">
        <f>IF($E246="","",INDEX('Input Transaksi'!$F:$F,$E246))</f>
        <v/>
      </c>
      <c r="E246">
        <f>IFERROR(AGGREGATE(15,6,ROW('Input Transaksi'!$B$5:$B$5000)/('Input Transaksi'!$B$5:$B$5000="BALI WASH"),ROWS($E$5:E246)),"")</f>
        <v/>
      </c>
      <c r="F246" s="5" t="n"/>
    </row>
    <row r="247">
      <c r="A247" s="10">
        <f>IF($E247="","",INDEX('Input Transaksi'!$A:$A,$E247))</f>
        <v/>
      </c>
      <c r="B247" s="5">
        <f>IF($E247="","",INDEX('Input Transaksi'!$D:$D,$E247))</f>
        <v/>
      </c>
      <c r="C247">
        <f>IF($E247="","",INDEX('Input Transaksi'!$E:$E,$E247))</f>
        <v/>
      </c>
      <c r="D247" s="5">
        <f>IF($E247="","",INDEX('Input Transaksi'!$F:$F,$E247))</f>
        <v/>
      </c>
      <c r="E247">
        <f>IFERROR(AGGREGATE(15,6,ROW('Input Transaksi'!$B$5:$B$5000)/('Input Transaksi'!$B$5:$B$5000="BALI WASH"),ROWS($E$5:E247)),"")</f>
        <v/>
      </c>
      <c r="F247" s="5" t="n"/>
    </row>
    <row r="248">
      <c r="A248" s="10">
        <f>IF($E248="","",INDEX('Input Transaksi'!$A:$A,$E248))</f>
        <v/>
      </c>
      <c r="B248" s="5">
        <f>IF($E248="","",INDEX('Input Transaksi'!$D:$D,$E248))</f>
        <v/>
      </c>
      <c r="C248">
        <f>IF($E248="","",INDEX('Input Transaksi'!$E:$E,$E248))</f>
        <v/>
      </c>
      <c r="D248" s="5">
        <f>IF($E248="","",INDEX('Input Transaksi'!$F:$F,$E248))</f>
        <v/>
      </c>
      <c r="E248">
        <f>IFERROR(AGGREGATE(15,6,ROW('Input Transaksi'!$B$5:$B$5000)/('Input Transaksi'!$B$5:$B$5000="BALI WASH"),ROWS($E$5:E248)),"")</f>
        <v/>
      </c>
      <c r="F248" s="5" t="n"/>
    </row>
    <row r="249">
      <c r="A249" s="10">
        <f>IF($E249="","",INDEX('Input Transaksi'!$A:$A,$E249))</f>
        <v/>
      </c>
      <c r="B249" s="5">
        <f>IF($E249="","",INDEX('Input Transaksi'!$D:$D,$E249))</f>
        <v/>
      </c>
      <c r="C249">
        <f>IF($E249="","",INDEX('Input Transaksi'!$E:$E,$E249))</f>
        <v/>
      </c>
      <c r="D249" s="5">
        <f>IF($E249="","",INDEX('Input Transaksi'!$F:$F,$E249))</f>
        <v/>
      </c>
      <c r="E249">
        <f>IFERROR(AGGREGATE(15,6,ROW('Input Transaksi'!$B$5:$B$5000)/('Input Transaksi'!$B$5:$B$5000="BALI WASH"),ROWS($E$5:E249)),"")</f>
        <v/>
      </c>
      <c r="F249" s="5" t="n"/>
    </row>
    <row r="250">
      <c r="A250" s="10">
        <f>IF($E250="","",INDEX('Input Transaksi'!$A:$A,$E250))</f>
        <v/>
      </c>
      <c r="B250" s="5">
        <f>IF($E250="","",INDEX('Input Transaksi'!$D:$D,$E250))</f>
        <v/>
      </c>
      <c r="C250">
        <f>IF($E250="","",INDEX('Input Transaksi'!$E:$E,$E250))</f>
        <v/>
      </c>
      <c r="D250" s="5">
        <f>IF($E250="","",INDEX('Input Transaksi'!$F:$F,$E250))</f>
        <v/>
      </c>
      <c r="E250">
        <f>IFERROR(AGGREGATE(15,6,ROW('Input Transaksi'!$B$5:$B$5000)/('Input Transaksi'!$B$5:$B$5000="BALI WASH"),ROWS($E$5:E250)),"")</f>
        <v/>
      </c>
      <c r="F250" s="5" t="n"/>
    </row>
    <row r="251">
      <c r="A251" s="10">
        <f>IF($E251="","",INDEX('Input Transaksi'!$A:$A,$E251))</f>
        <v/>
      </c>
      <c r="B251" s="5">
        <f>IF($E251="","",INDEX('Input Transaksi'!$D:$D,$E251))</f>
        <v/>
      </c>
      <c r="C251">
        <f>IF($E251="","",INDEX('Input Transaksi'!$E:$E,$E251))</f>
        <v/>
      </c>
      <c r="D251" s="5">
        <f>IF($E251="","",INDEX('Input Transaksi'!$F:$F,$E251))</f>
        <v/>
      </c>
      <c r="E251">
        <f>IFERROR(AGGREGATE(15,6,ROW('Input Transaksi'!$B$5:$B$5000)/('Input Transaksi'!$B$5:$B$5000="BALI WASH"),ROWS($E$5:E251)),"")</f>
        <v/>
      </c>
      <c r="F251" s="5" t="n"/>
    </row>
    <row r="252">
      <c r="A252" s="10">
        <f>IF($E252="","",INDEX('Input Transaksi'!$A:$A,$E252))</f>
        <v/>
      </c>
      <c r="B252" s="5">
        <f>IF($E252="","",INDEX('Input Transaksi'!$D:$D,$E252))</f>
        <v/>
      </c>
      <c r="C252">
        <f>IF($E252="","",INDEX('Input Transaksi'!$E:$E,$E252))</f>
        <v/>
      </c>
      <c r="D252" s="5">
        <f>IF($E252="","",INDEX('Input Transaksi'!$F:$F,$E252))</f>
        <v/>
      </c>
      <c r="E252">
        <f>IFERROR(AGGREGATE(15,6,ROW('Input Transaksi'!$B$5:$B$5000)/('Input Transaksi'!$B$5:$B$5000="BALI WASH"),ROWS($E$5:E252)),"")</f>
        <v/>
      </c>
      <c r="F252" s="5" t="n"/>
    </row>
    <row r="253">
      <c r="A253" s="10">
        <f>IF($E253="","",INDEX('Input Transaksi'!$A:$A,$E253))</f>
        <v/>
      </c>
      <c r="B253" s="5">
        <f>IF($E253="","",INDEX('Input Transaksi'!$D:$D,$E253))</f>
        <v/>
      </c>
      <c r="C253">
        <f>IF($E253="","",INDEX('Input Transaksi'!$E:$E,$E253))</f>
        <v/>
      </c>
      <c r="D253" s="5">
        <f>IF($E253="","",INDEX('Input Transaksi'!$F:$F,$E253))</f>
        <v/>
      </c>
      <c r="E253">
        <f>IFERROR(AGGREGATE(15,6,ROW('Input Transaksi'!$B$5:$B$5000)/('Input Transaksi'!$B$5:$B$5000="BALI WASH"),ROWS($E$5:E253)),"")</f>
        <v/>
      </c>
      <c r="F253" s="5" t="n"/>
    </row>
    <row r="254">
      <c r="A254" s="10">
        <f>IF($E254="","",INDEX('Input Transaksi'!$A:$A,$E254))</f>
        <v/>
      </c>
      <c r="B254" s="5">
        <f>IF($E254="","",INDEX('Input Transaksi'!$D:$D,$E254))</f>
        <v/>
      </c>
      <c r="C254">
        <f>IF($E254="","",INDEX('Input Transaksi'!$E:$E,$E254))</f>
        <v/>
      </c>
      <c r="D254" s="5">
        <f>IF($E254="","",INDEX('Input Transaksi'!$F:$F,$E254))</f>
        <v/>
      </c>
      <c r="E254">
        <f>IFERROR(AGGREGATE(15,6,ROW('Input Transaksi'!$B$5:$B$5000)/('Input Transaksi'!$B$5:$B$5000="BALI WASH"),ROWS($E$5:E254)),"")</f>
        <v/>
      </c>
      <c r="F254" s="5" t="n"/>
    </row>
    <row r="255">
      <c r="A255" s="10">
        <f>IF($E255="","",INDEX('Input Transaksi'!$A:$A,$E255))</f>
        <v/>
      </c>
      <c r="B255" s="5">
        <f>IF($E255="","",INDEX('Input Transaksi'!$D:$D,$E255))</f>
        <v/>
      </c>
      <c r="C255">
        <f>IF($E255="","",INDEX('Input Transaksi'!$E:$E,$E255))</f>
        <v/>
      </c>
      <c r="D255" s="5">
        <f>IF($E255="","",INDEX('Input Transaksi'!$F:$F,$E255))</f>
        <v/>
      </c>
      <c r="E255">
        <f>IFERROR(AGGREGATE(15,6,ROW('Input Transaksi'!$B$5:$B$5000)/('Input Transaksi'!$B$5:$B$5000="BALI WASH"),ROWS($E$5:E255)),"")</f>
        <v/>
      </c>
      <c r="F255" s="5" t="n"/>
    </row>
    <row r="256">
      <c r="A256" s="10">
        <f>IF($E256="","",INDEX('Input Transaksi'!$A:$A,$E256))</f>
        <v/>
      </c>
      <c r="B256" s="5">
        <f>IF($E256="","",INDEX('Input Transaksi'!$D:$D,$E256))</f>
        <v/>
      </c>
      <c r="C256">
        <f>IF($E256="","",INDEX('Input Transaksi'!$E:$E,$E256))</f>
        <v/>
      </c>
      <c r="D256" s="5">
        <f>IF($E256="","",INDEX('Input Transaksi'!$F:$F,$E256))</f>
        <v/>
      </c>
      <c r="E256">
        <f>IFERROR(AGGREGATE(15,6,ROW('Input Transaksi'!$B$5:$B$5000)/('Input Transaksi'!$B$5:$B$5000="BALI WASH"),ROWS($E$5:E256)),"")</f>
        <v/>
      </c>
      <c r="F256" s="5" t="n"/>
    </row>
    <row r="257">
      <c r="A257" s="10">
        <f>IF($E257="","",INDEX('Input Transaksi'!$A:$A,$E257))</f>
        <v/>
      </c>
      <c r="B257" s="5">
        <f>IF($E257="","",INDEX('Input Transaksi'!$D:$D,$E257))</f>
        <v/>
      </c>
      <c r="C257">
        <f>IF($E257="","",INDEX('Input Transaksi'!$E:$E,$E257))</f>
        <v/>
      </c>
      <c r="D257" s="5">
        <f>IF($E257="","",INDEX('Input Transaksi'!$F:$F,$E257))</f>
        <v/>
      </c>
      <c r="E257">
        <f>IFERROR(AGGREGATE(15,6,ROW('Input Transaksi'!$B$5:$B$5000)/('Input Transaksi'!$B$5:$B$5000="BALI WASH"),ROWS($E$5:E257)),"")</f>
        <v/>
      </c>
      <c r="F257" s="5" t="n"/>
    </row>
    <row r="258">
      <c r="A258" s="10">
        <f>IF($E258="","",INDEX('Input Transaksi'!$A:$A,$E258))</f>
        <v/>
      </c>
      <c r="B258" s="5">
        <f>IF($E258="","",INDEX('Input Transaksi'!$D:$D,$E258))</f>
        <v/>
      </c>
      <c r="C258">
        <f>IF($E258="","",INDEX('Input Transaksi'!$E:$E,$E258))</f>
        <v/>
      </c>
      <c r="D258" s="5">
        <f>IF($E258="","",INDEX('Input Transaksi'!$F:$F,$E258))</f>
        <v/>
      </c>
      <c r="E258">
        <f>IFERROR(AGGREGATE(15,6,ROW('Input Transaksi'!$B$5:$B$5000)/('Input Transaksi'!$B$5:$B$5000="BALI WASH"),ROWS($E$5:E258)),"")</f>
        <v/>
      </c>
      <c r="F258" s="5" t="n"/>
    </row>
    <row r="259">
      <c r="A259" s="10">
        <f>IF($E259="","",INDEX('Input Transaksi'!$A:$A,$E259))</f>
        <v/>
      </c>
      <c r="B259" s="5">
        <f>IF($E259="","",INDEX('Input Transaksi'!$D:$D,$E259))</f>
        <v/>
      </c>
      <c r="C259">
        <f>IF($E259="","",INDEX('Input Transaksi'!$E:$E,$E259))</f>
        <v/>
      </c>
      <c r="D259" s="5">
        <f>IF($E259="","",INDEX('Input Transaksi'!$F:$F,$E259))</f>
        <v/>
      </c>
      <c r="E259">
        <f>IFERROR(AGGREGATE(15,6,ROW('Input Transaksi'!$B$5:$B$5000)/('Input Transaksi'!$B$5:$B$5000="BALI WASH"),ROWS($E$5:E259)),"")</f>
        <v/>
      </c>
      <c r="F259" s="5" t="n"/>
    </row>
    <row r="260">
      <c r="A260" s="10">
        <f>IF($E260="","",INDEX('Input Transaksi'!$A:$A,$E260))</f>
        <v/>
      </c>
      <c r="B260" s="5">
        <f>IF($E260="","",INDEX('Input Transaksi'!$D:$D,$E260))</f>
        <v/>
      </c>
      <c r="C260">
        <f>IF($E260="","",INDEX('Input Transaksi'!$E:$E,$E260))</f>
        <v/>
      </c>
      <c r="D260" s="5">
        <f>IF($E260="","",INDEX('Input Transaksi'!$F:$F,$E260))</f>
        <v/>
      </c>
      <c r="E260">
        <f>IFERROR(AGGREGATE(15,6,ROW('Input Transaksi'!$B$5:$B$5000)/('Input Transaksi'!$B$5:$B$5000="BALI WASH"),ROWS($E$5:E260)),"")</f>
        <v/>
      </c>
      <c r="F260" s="5" t="n"/>
    </row>
    <row r="261">
      <c r="A261" s="10">
        <f>IF($E261="","",INDEX('Input Transaksi'!$A:$A,$E261))</f>
        <v/>
      </c>
      <c r="B261" s="5">
        <f>IF($E261="","",INDEX('Input Transaksi'!$D:$D,$E261))</f>
        <v/>
      </c>
      <c r="C261">
        <f>IF($E261="","",INDEX('Input Transaksi'!$E:$E,$E261))</f>
        <v/>
      </c>
      <c r="D261" s="5">
        <f>IF($E261="","",INDEX('Input Transaksi'!$F:$F,$E261))</f>
        <v/>
      </c>
      <c r="E261">
        <f>IFERROR(AGGREGATE(15,6,ROW('Input Transaksi'!$B$5:$B$5000)/('Input Transaksi'!$B$5:$B$5000="BALI WASH"),ROWS($E$5:E261)),"")</f>
        <v/>
      </c>
      <c r="F261" s="5" t="n"/>
    </row>
    <row r="262">
      <c r="A262" s="10">
        <f>IF($E262="","",INDEX('Input Transaksi'!$A:$A,$E262))</f>
        <v/>
      </c>
      <c r="B262" s="5">
        <f>IF($E262="","",INDEX('Input Transaksi'!$D:$D,$E262))</f>
        <v/>
      </c>
      <c r="C262">
        <f>IF($E262="","",INDEX('Input Transaksi'!$E:$E,$E262))</f>
        <v/>
      </c>
      <c r="D262" s="5">
        <f>IF($E262="","",INDEX('Input Transaksi'!$F:$F,$E262))</f>
        <v/>
      </c>
      <c r="E262">
        <f>IFERROR(AGGREGATE(15,6,ROW('Input Transaksi'!$B$5:$B$5000)/('Input Transaksi'!$B$5:$B$5000="BALI WASH"),ROWS($E$5:E262)),"")</f>
        <v/>
      </c>
      <c r="F262" s="5" t="n"/>
    </row>
    <row r="263">
      <c r="A263" s="10">
        <f>IF($E263="","",INDEX('Input Transaksi'!$A:$A,$E263))</f>
        <v/>
      </c>
      <c r="B263" s="5">
        <f>IF($E263="","",INDEX('Input Transaksi'!$D:$D,$E263))</f>
        <v/>
      </c>
      <c r="C263">
        <f>IF($E263="","",INDEX('Input Transaksi'!$E:$E,$E263))</f>
        <v/>
      </c>
      <c r="D263" s="5">
        <f>IF($E263="","",INDEX('Input Transaksi'!$F:$F,$E263))</f>
        <v/>
      </c>
      <c r="E263">
        <f>IFERROR(AGGREGATE(15,6,ROW('Input Transaksi'!$B$5:$B$5000)/('Input Transaksi'!$B$5:$B$5000="BALI WASH"),ROWS($E$5:E263)),"")</f>
        <v/>
      </c>
      <c r="F263" s="5" t="n"/>
    </row>
    <row r="264">
      <c r="A264" s="10">
        <f>IF($E264="","",INDEX('Input Transaksi'!$A:$A,$E264))</f>
        <v/>
      </c>
      <c r="B264" s="5">
        <f>IF($E264="","",INDEX('Input Transaksi'!$D:$D,$E264))</f>
        <v/>
      </c>
      <c r="C264">
        <f>IF($E264="","",INDEX('Input Transaksi'!$E:$E,$E264))</f>
        <v/>
      </c>
      <c r="D264" s="5">
        <f>IF($E264="","",INDEX('Input Transaksi'!$F:$F,$E264))</f>
        <v/>
      </c>
      <c r="E264">
        <f>IFERROR(AGGREGATE(15,6,ROW('Input Transaksi'!$B$5:$B$5000)/('Input Transaksi'!$B$5:$B$5000="BALI WASH"),ROWS($E$5:E264)),"")</f>
        <v/>
      </c>
      <c r="F264" s="5" t="n"/>
    </row>
    <row r="265">
      <c r="A265" s="10">
        <f>IF($E265="","",INDEX('Input Transaksi'!$A:$A,$E265))</f>
        <v/>
      </c>
      <c r="B265" s="5">
        <f>IF($E265="","",INDEX('Input Transaksi'!$D:$D,$E265))</f>
        <v/>
      </c>
      <c r="C265">
        <f>IF($E265="","",INDEX('Input Transaksi'!$E:$E,$E265))</f>
        <v/>
      </c>
      <c r="D265" s="5">
        <f>IF($E265="","",INDEX('Input Transaksi'!$F:$F,$E265))</f>
        <v/>
      </c>
      <c r="E265">
        <f>IFERROR(AGGREGATE(15,6,ROW('Input Transaksi'!$B$5:$B$5000)/('Input Transaksi'!$B$5:$B$5000="BALI WASH"),ROWS($E$5:E265)),"")</f>
        <v/>
      </c>
      <c r="F265" s="5" t="n"/>
    </row>
    <row r="266">
      <c r="A266" s="10">
        <f>IF($E266="","",INDEX('Input Transaksi'!$A:$A,$E266))</f>
        <v/>
      </c>
      <c r="B266" s="5">
        <f>IF($E266="","",INDEX('Input Transaksi'!$D:$D,$E266))</f>
        <v/>
      </c>
      <c r="C266">
        <f>IF($E266="","",INDEX('Input Transaksi'!$E:$E,$E266))</f>
        <v/>
      </c>
      <c r="D266" s="5">
        <f>IF($E266="","",INDEX('Input Transaksi'!$F:$F,$E266))</f>
        <v/>
      </c>
      <c r="E266">
        <f>IFERROR(AGGREGATE(15,6,ROW('Input Transaksi'!$B$5:$B$5000)/('Input Transaksi'!$B$5:$B$5000="BALI WASH"),ROWS($E$5:E266)),"")</f>
        <v/>
      </c>
      <c r="F266" s="5" t="n"/>
    </row>
    <row r="267">
      <c r="A267" s="10">
        <f>IF($E267="","",INDEX('Input Transaksi'!$A:$A,$E267))</f>
        <v/>
      </c>
      <c r="B267" s="5">
        <f>IF($E267="","",INDEX('Input Transaksi'!$D:$D,$E267))</f>
        <v/>
      </c>
      <c r="C267">
        <f>IF($E267="","",INDEX('Input Transaksi'!$E:$E,$E267))</f>
        <v/>
      </c>
      <c r="D267" s="5">
        <f>IF($E267="","",INDEX('Input Transaksi'!$F:$F,$E267))</f>
        <v/>
      </c>
      <c r="E267">
        <f>IFERROR(AGGREGATE(15,6,ROW('Input Transaksi'!$B$5:$B$5000)/('Input Transaksi'!$B$5:$B$5000="BALI WASH"),ROWS($E$5:E267)),"")</f>
        <v/>
      </c>
      <c r="F267" s="5" t="n"/>
    </row>
    <row r="268">
      <c r="A268" s="10">
        <f>IF($E268="","",INDEX('Input Transaksi'!$A:$A,$E268))</f>
        <v/>
      </c>
      <c r="B268" s="5">
        <f>IF($E268="","",INDEX('Input Transaksi'!$D:$D,$E268))</f>
        <v/>
      </c>
      <c r="C268">
        <f>IF($E268="","",INDEX('Input Transaksi'!$E:$E,$E268))</f>
        <v/>
      </c>
      <c r="D268" s="5">
        <f>IF($E268="","",INDEX('Input Transaksi'!$F:$F,$E268))</f>
        <v/>
      </c>
      <c r="E268">
        <f>IFERROR(AGGREGATE(15,6,ROW('Input Transaksi'!$B$5:$B$5000)/('Input Transaksi'!$B$5:$B$5000="BALI WASH"),ROWS($E$5:E268)),"")</f>
        <v/>
      </c>
      <c r="F268" s="5" t="n"/>
    </row>
    <row r="269">
      <c r="A269" s="10">
        <f>IF($E269="","",INDEX('Input Transaksi'!$A:$A,$E269))</f>
        <v/>
      </c>
      <c r="B269" s="5">
        <f>IF($E269="","",INDEX('Input Transaksi'!$D:$D,$E269))</f>
        <v/>
      </c>
      <c r="C269">
        <f>IF($E269="","",INDEX('Input Transaksi'!$E:$E,$E269))</f>
        <v/>
      </c>
      <c r="D269" s="5">
        <f>IF($E269="","",INDEX('Input Transaksi'!$F:$F,$E269))</f>
        <v/>
      </c>
      <c r="E269">
        <f>IFERROR(AGGREGATE(15,6,ROW('Input Transaksi'!$B$5:$B$5000)/('Input Transaksi'!$B$5:$B$5000="BALI WASH"),ROWS($E$5:E269)),"")</f>
        <v/>
      </c>
      <c r="F269" s="5" t="n"/>
    </row>
    <row r="270">
      <c r="A270" s="10">
        <f>IF($E270="","",INDEX('Input Transaksi'!$A:$A,$E270))</f>
        <v/>
      </c>
      <c r="B270" s="5">
        <f>IF($E270="","",INDEX('Input Transaksi'!$D:$D,$E270))</f>
        <v/>
      </c>
      <c r="C270">
        <f>IF($E270="","",INDEX('Input Transaksi'!$E:$E,$E270))</f>
        <v/>
      </c>
      <c r="D270" s="5">
        <f>IF($E270="","",INDEX('Input Transaksi'!$F:$F,$E270))</f>
        <v/>
      </c>
      <c r="E270">
        <f>IFERROR(AGGREGATE(15,6,ROW('Input Transaksi'!$B$5:$B$5000)/('Input Transaksi'!$B$5:$B$5000="BALI WASH"),ROWS($E$5:E270)),"")</f>
        <v/>
      </c>
      <c r="F270" s="5" t="n"/>
    </row>
    <row r="271">
      <c r="A271" s="10">
        <f>IF($E271="","",INDEX('Input Transaksi'!$A:$A,$E271))</f>
        <v/>
      </c>
      <c r="B271" s="5">
        <f>IF($E271="","",INDEX('Input Transaksi'!$D:$D,$E271))</f>
        <v/>
      </c>
      <c r="C271">
        <f>IF($E271="","",INDEX('Input Transaksi'!$E:$E,$E271))</f>
        <v/>
      </c>
      <c r="D271" s="5">
        <f>IF($E271="","",INDEX('Input Transaksi'!$F:$F,$E271))</f>
        <v/>
      </c>
      <c r="E271">
        <f>IFERROR(AGGREGATE(15,6,ROW('Input Transaksi'!$B$5:$B$5000)/('Input Transaksi'!$B$5:$B$5000="BALI WASH"),ROWS($E$5:E271)),"")</f>
        <v/>
      </c>
      <c r="F271" s="5" t="n"/>
    </row>
    <row r="272">
      <c r="A272" s="10">
        <f>IF($E272="","",INDEX('Input Transaksi'!$A:$A,$E272))</f>
        <v/>
      </c>
      <c r="B272" s="5">
        <f>IF($E272="","",INDEX('Input Transaksi'!$D:$D,$E272))</f>
        <v/>
      </c>
      <c r="C272">
        <f>IF($E272="","",INDEX('Input Transaksi'!$E:$E,$E272))</f>
        <v/>
      </c>
      <c r="D272" s="5">
        <f>IF($E272="","",INDEX('Input Transaksi'!$F:$F,$E272))</f>
        <v/>
      </c>
      <c r="E272">
        <f>IFERROR(AGGREGATE(15,6,ROW('Input Transaksi'!$B$5:$B$5000)/('Input Transaksi'!$B$5:$B$5000="BALI WASH"),ROWS($E$5:E272)),"")</f>
        <v/>
      </c>
      <c r="F272" s="5" t="n"/>
    </row>
    <row r="273">
      <c r="A273" s="10">
        <f>IF($E273="","",INDEX('Input Transaksi'!$A:$A,$E273))</f>
        <v/>
      </c>
      <c r="B273" s="5">
        <f>IF($E273="","",INDEX('Input Transaksi'!$D:$D,$E273))</f>
        <v/>
      </c>
      <c r="C273">
        <f>IF($E273="","",INDEX('Input Transaksi'!$E:$E,$E273))</f>
        <v/>
      </c>
      <c r="D273" s="5">
        <f>IF($E273="","",INDEX('Input Transaksi'!$F:$F,$E273))</f>
        <v/>
      </c>
      <c r="E273">
        <f>IFERROR(AGGREGATE(15,6,ROW('Input Transaksi'!$B$5:$B$5000)/('Input Transaksi'!$B$5:$B$5000="BALI WASH"),ROWS($E$5:E273)),"")</f>
        <v/>
      </c>
      <c r="F273" s="5" t="n"/>
    </row>
    <row r="274">
      <c r="A274" s="10">
        <f>IF($E274="","",INDEX('Input Transaksi'!$A:$A,$E274))</f>
        <v/>
      </c>
      <c r="B274" s="5">
        <f>IF($E274="","",INDEX('Input Transaksi'!$D:$D,$E274))</f>
        <v/>
      </c>
      <c r="C274">
        <f>IF($E274="","",INDEX('Input Transaksi'!$E:$E,$E274))</f>
        <v/>
      </c>
      <c r="D274" s="5">
        <f>IF($E274="","",INDEX('Input Transaksi'!$F:$F,$E274))</f>
        <v/>
      </c>
      <c r="E274">
        <f>IFERROR(AGGREGATE(15,6,ROW('Input Transaksi'!$B$5:$B$5000)/('Input Transaksi'!$B$5:$B$5000="BALI WASH"),ROWS($E$5:E274)),"")</f>
        <v/>
      </c>
      <c r="F274" s="5" t="n"/>
    </row>
    <row r="275">
      <c r="A275" s="10">
        <f>IF($E275="","",INDEX('Input Transaksi'!$A:$A,$E275))</f>
        <v/>
      </c>
      <c r="B275" s="5">
        <f>IF($E275="","",INDEX('Input Transaksi'!$D:$D,$E275))</f>
        <v/>
      </c>
      <c r="C275">
        <f>IF($E275="","",INDEX('Input Transaksi'!$E:$E,$E275))</f>
        <v/>
      </c>
      <c r="D275" s="5">
        <f>IF($E275="","",INDEX('Input Transaksi'!$F:$F,$E275))</f>
        <v/>
      </c>
      <c r="E275">
        <f>IFERROR(AGGREGATE(15,6,ROW('Input Transaksi'!$B$5:$B$5000)/('Input Transaksi'!$B$5:$B$5000="BALI WASH"),ROWS($E$5:E275)),"")</f>
        <v/>
      </c>
      <c r="F275" s="5" t="n"/>
    </row>
    <row r="276">
      <c r="A276" s="10">
        <f>IF($E276="","",INDEX('Input Transaksi'!$A:$A,$E276))</f>
        <v/>
      </c>
      <c r="B276" s="5">
        <f>IF($E276="","",INDEX('Input Transaksi'!$D:$D,$E276))</f>
        <v/>
      </c>
      <c r="C276">
        <f>IF($E276="","",INDEX('Input Transaksi'!$E:$E,$E276))</f>
        <v/>
      </c>
      <c r="D276" s="5">
        <f>IF($E276="","",INDEX('Input Transaksi'!$F:$F,$E276))</f>
        <v/>
      </c>
      <c r="E276">
        <f>IFERROR(AGGREGATE(15,6,ROW('Input Transaksi'!$B$5:$B$5000)/('Input Transaksi'!$B$5:$B$5000="BALI WASH"),ROWS($E$5:E276)),"")</f>
        <v/>
      </c>
      <c r="F276" s="5" t="n"/>
    </row>
    <row r="277">
      <c r="A277" s="10">
        <f>IF($E277="","",INDEX('Input Transaksi'!$A:$A,$E277))</f>
        <v/>
      </c>
      <c r="B277" s="5">
        <f>IF($E277="","",INDEX('Input Transaksi'!$D:$D,$E277))</f>
        <v/>
      </c>
      <c r="C277">
        <f>IF($E277="","",INDEX('Input Transaksi'!$E:$E,$E277))</f>
        <v/>
      </c>
      <c r="D277" s="5">
        <f>IF($E277="","",INDEX('Input Transaksi'!$F:$F,$E277))</f>
        <v/>
      </c>
      <c r="E277">
        <f>IFERROR(AGGREGATE(15,6,ROW('Input Transaksi'!$B$5:$B$5000)/('Input Transaksi'!$B$5:$B$5000="BALI WASH"),ROWS($E$5:E277)),"")</f>
        <v/>
      </c>
      <c r="F277" s="5" t="n"/>
    </row>
    <row r="278">
      <c r="A278" s="10">
        <f>IF($E278="","",INDEX('Input Transaksi'!$A:$A,$E278))</f>
        <v/>
      </c>
      <c r="B278" s="5">
        <f>IF($E278="","",INDEX('Input Transaksi'!$D:$D,$E278))</f>
        <v/>
      </c>
      <c r="C278">
        <f>IF($E278="","",INDEX('Input Transaksi'!$E:$E,$E278))</f>
        <v/>
      </c>
      <c r="D278" s="5">
        <f>IF($E278="","",INDEX('Input Transaksi'!$F:$F,$E278))</f>
        <v/>
      </c>
      <c r="E278">
        <f>IFERROR(AGGREGATE(15,6,ROW('Input Transaksi'!$B$5:$B$5000)/('Input Transaksi'!$B$5:$B$5000="BALI WASH"),ROWS($E$5:E278)),"")</f>
        <v/>
      </c>
      <c r="F278" s="5" t="n"/>
    </row>
    <row r="279">
      <c r="A279" s="10">
        <f>IF($E279="","",INDEX('Input Transaksi'!$A:$A,$E279))</f>
        <v/>
      </c>
      <c r="B279" s="5">
        <f>IF($E279="","",INDEX('Input Transaksi'!$D:$D,$E279))</f>
        <v/>
      </c>
      <c r="C279">
        <f>IF($E279="","",INDEX('Input Transaksi'!$E:$E,$E279))</f>
        <v/>
      </c>
      <c r="D279" s="5">
        <f>IF($E279="","",INDEX('Input Transaksi'!$F:$F,$E279))</f>
        <v/>
      </c>
      <c r="E279">
        <f>IFERROR(AGGREGATE(15,6,ROW('Input Transaksi'!$B$5:$B$5000)/('Input Transaksi'!$B$5:$B$5000="BALI WASH"),ROWS($E$5:E279)),"")</f>
        <v/>
      </c>
      <c r="F279" s="5" t="n"/>
    </row>
    <row r="280">
      <c r="A280" s="10">
        <f>IF($E280="","",INDEX('Input Transaksi'!$A:$A,$E280))</f>
        <v/>
      </c>
      <c r="B280" s="5">
        <f>IF($E280="","",INDEX('Input Transaksi'!$D:$D,$E280))</f>
        <v/>
      </c>
      <c r="C280">
        <f>IF($E280="","",INDEX('Input Transaksi'!$E:$E,$E280))</f>
        <v/>
      </c>
      <c r="D280" s="5">
        <f>IF($E280="","",INDEX('Input Transaksi'!$F:$F,$E280))</f>
        <v/>
      </c>
      <c r="E280">
        <f>IFERROR(AGGREGATE(15,6,ROW('Input Transaksi'!$B$5:$B$5000)/('Input Transaksi'!$B$5:$B$5000="BALI WASH"),ROWS($E$5:E280)),"")</f>
        <v/>
      </c>
      <c r="F280" s="5" t="n"/>
    </row>
    <row r="281">
      <c r="A281" s="10">
        <f>IF($E281="","",INDEX('Input Transaksi'!$A:$A,$E281))</f>
        <v/>
      </c>
      <c r="B281" s="5">
        <f>IF($E281="","",INDEX('Input Transaksi'!$D:$D,$E281))</f>
        <v/>
      </c>
      <c r="C281">
        <f>IF($E281="","",INDEX('Input Transaksi'!$E:$E,$E281))</f>
        <v/>
      </c>
      <c r="D281" s="5">
        <f>IF($E281="","",INDEX('Input Transaksi'!$F:$F,$E281))</f>
        <v/>
      </c>
      <c r="E281">
        <f>IFERROR(AGGREGATE(15,6,ROW('Input Transaksi'!$B$5:$B$5000)/('Input Transaksi'!$B$5:$B$5000="BALI WASH"),ROWS($E$5:E281)),"")</f>
        <v/>
      </c>
      <c r="F281" s="5" t="n"/>
    </row>
    <row r="282">
      <c r="A282" s="10">
        <f>IF($E282="","",INDEX('Input Transaksi'!$A:$A,$E282))</f>
        <v/>
      </c>
      <c r="B282" s="5">
        <f>IF($E282="","",INDEX('Input Transaksi'!$D:$D,$E282))</f>
        <v/>
      </c>
      <c r="C282">
        <f>IF($E282="","",INDEX('Input Transaksi'!$E:$E,$E282))</f>
        <v/>
      </c>
      <c r="D282" s="5">
        <f>IF($E282="","",INDEX('Input Transaksi'!$F:$F,$E282))</f>
        <v/>
      </c>
      <c r="E282">
        <f>IFERROR(AGGREGATE(15,6,ROW('Input Transaksi'!$B$5:$B$5000)/('Input Transaksi'!$B$5:$B$5000="BALI WASH"),ROWS($E$5:E282)),"")</f>
        <v/>
      </c>
      <c r="F282" s="5" t="n"/>
    </row>
    <row r="283">
      <c r="A283" s="10">
        <f>IF($E283="","",INDEX('Input Transaksi'!$A:$A,$E283))</f>
        <v/>
      </c>
      <c r="B283" s="5">
        <f>IF($E283="","",INDEX('Input Transaksi'!$D:$D,$E283))</f>
        <v/>
      </c>
      <c r="C283">
        <f>IF($E283="","",INDEX('Input Transaksi'!$E:$E,$E283))</f>
        <v/>
      </c>
      <c r="D283" s="5">
        <f>IF($E283="","",INDEX('Input Transaksi'!$F:$F,$E283))</f>
        <v/>
      </c>
      <c r="E283">
        <f>IFERROR(AGGREGATE(15,6,ROW('Input Transaksi'!$B$5:$B$5000)/('Input Transaksi'!$B$5:$B$5000="BALI WASH"),ROWS($E$5:E283)),"")</f>
        <v/>
      </c>
      <c r="F283" s="5" t="n"/>
    </row>
    <row r="284">
      <c r="A284" s="10">
        <f>IF($E284="","",INDEX('Input Transaksi'!$A:$A,$E284))</f>
        <v/>
      </c>
      <c r="B284" s="5">
        <f>IF($E284="","",INDEX('Input Transaksi'!$D:$D,$E284))</f>
        <v/>
      </c>
      <c r="C284">
        <f>IF($E284="","",INDEX('Input Transaksi'!$E:$E,$E284))</f>
        <v/>
      </c>
      <c r="D284" s="5">
        <f>IF($E284="","",INDEX('Input Transaksi'!$F:$F,$E284))</f>
        <v/>
      </c>
      <c r="E284">
        <f>IFERROR(AGGREGATE(15,6,ROW('Input Transaksi'!$B$5:$B$5000)/('Input Transaksi'!$B$5:$B$5000="BALI WASH"),ROWS($E$5:E284)),"")</f>
        <v/>
      </c>
      <c r="F284" s="5" t="n"/>
    </row>
    <row r="285">
      <c r="A285" s="10">
        <f>IF($E285="","",INDEX('Input Transaksi'!$A:$A,$E285))</f>
        <v/>
      </c>
      <c r="B285" s="5">
        <f>IF($E285="","",INDEX('Input Transaksi'!$D:$D,$E285))</f>
        <v/>
      </c>
      <c r="C285">
        <f>IF($E285="","",INDEX('Input Transaksi'!$E:$E,$E285))</f>
        <v/>
      </c>
      <c r="D285" s="5">
        <f>IF($E285="","",INDEX('Input Transaksi'!$F:$F,$E285))</f>
        <v/>
      </c>
      <c r="E285">
        <f>IFERROR(AGGREGATE(15,6,ROW('Input Transaksi'!$B$5:$B$5000)/('Input Transaksi'!$B$5:$B$5000="BALI WASH"),ROWS($E$5:E285)),"")</f>
        <v/>
      </c>
      <c r="F285" s="5" t="n"/>
    </row>
    <row r="286">
      <c r="A286" s="10">
        <f>IF($E286="","",INDEX('Input Transaksi'!$A:$A,$E286))</f>
        <v/>
      </c>
      <c r="B286" s="5">
        <f>IF($E286="","",INDEX('Input Transaksi'!$D:$D,$E286))</f>
        <v/>
      </c>
      <c r="C286">
        <f>IF($E286="","",INDEX('Input Transaksi'!$E:$E,$E286))</f>
        <v/>
      </c>
      <c r="D286" s="5">
        <f>IF($E286="","",INDEX('Input Transaksi'!$F:$F,$E286))</f>
        <v/>
      </c>
      <c r="E286">
        <f>IFERROR(AGGREGATE(15,6,ROW('Input Transaksi'!$B$5:$B$5000)/('Input Transaksi'!$B$5:$B$5000="BALI WASH"),ROWS($E$5:E286)),"")</f>
        <v/>
      </c>
      <c r="F286" s="5" t="n"/>
    </row>
    <row r="287">
      <c r="A287" s="10">
        <f>IF($E287="","",INDEX('Input Transaksi'!$A:$A,$E287))</f>
        <v/>
      </c>
      <c r="B287" s="5">
        <f>IF($E287="","",INDEX('Input Transaksi'!$D:$D,$E287))</f>
        <v/>
      </c>
      <c r="C287">
        <f>IF($E287="","",INDEX('Input Transaksi'!$E:$E,$E287))</f>
        <v/>
      </c>
      <c r="D287" s="5">
        <f>IF($E287="","",INDEX('Input Transaksi'!$F:$F,$E287))</f>
        <v/>
      </c>
      <c r="E287">
        <f>IFERROR(AGGREGATE(15,6,ROW('Input Transaksi'!$B$5:$B$5000)/('Input Transaksi'!$B$5:$B$5000="BALI WASH"),ROWS($E$5:E287)),"")</f>
        <v/>
      </c>
      <c r="F287" s="5" t="n"/>
    </row>
    <row r="288">
      <c r="A288" s="10">
        <f>IF($E288="","",INDEX('Input Transaksi'!$A:$A,$E288))</f>
        <v/>
      </c>
      <c r="B288" s="5">
        <f>IF($E288="","",INDEX('Input Transaksi'!$D:$D,$E288))</f>
        <v/>
      </c>
      <c r="C288">
        <f>IF($E288="","",INDEX('Input Transaksi'!$E:$E,$E288))</f>
        <v/>
      </c>
      <c r="D288" s="5">
        <f>IF($E288="","",INDEX('Input Transaksi'!$F:$F,$E288))</f>
        <v/>
      </c>
      <c r="E288">
        <f>IFERROR(AGGREGATE(15,6,ROW('Input Transaksi'!$B$5:$B$5000)/('Input Transaksi'!$B$5:$B$5000="BALI WASH"),ROWS($E$5:E288)),"")</f>
        <v/>
      </c>
      <c r="F288" s="5" t="n"/>
    </row>
    <row r="289">
      <c r="A289" s="10">
        <f>IF($E289="","",INDEX('Input Transaksi'!$A:$A,$E289))</f>
        <v/>
      </c>
      <c r="B289" s="5">
        <f>IF($E289="","",INDEX('Input Transaksi'!$D:$D,$E289))</f>
        <v/>
      </c>
      <c r="C289">
        <f>IF($E289="","",INDEX('Input Transaksi'!$E:$E,$E289))</f>
        <v/>
      </c>
      <c r="D289" s="5">
        <f>IF($E289="","",INDEX('Input Transaksi'!$F:$F,$E289))</f>
        <v/>
      </c>
      <c r="E289">
        <f>IFERROR(AGGREGATE(15,6,ROW('Input Transaksi'!$B$5:$B$5000)/('Input Transaksi'!$B$5:$B$5000="BALI WASH"),ROWS($E$5:E289)),"")</f>
        <v/>
      </c>
      <c r="F289" s="5" t="n"/>
    </row>
    <row r="290">
      <c r="A290" s="10">
        <f>IF($E290="","",INDEX('Input Transaksi'!$A:$A,$E290))</f>
        <v/>
      </c>
      <c r="B290" s="5">
        <f>IF($E290="","",INDEX('Input Transaksi'!$D:$D,$E290))</f>
        <v/>
      </c>
      <c r="C290">
        <f>IF($E290="","",INDEX('Input Transaksi'!$E:$E,$E290))</f>
        <v/>
      </c>
      <c r="D290" s="5">
        <f>IF($E290="","",INDEX('Input Transaksi'!$F:$F,$E290))</f>
        <v/>
      </c>
      <c r="E290">
        <f>IFERROR(AGGREGATE(15,6,ROW('Input Transaksi'!$B$5:$B$5000)/('Input Transaksi'!$B$5:$B$5000="BALI WASH"),ROWS($E$5:E290)),"")</f>
        <v/>
      </c>
      <c r="F290" s="5" t="n"/>
    </row>
    <row r="291">
      <c r="A291" s="10">
        <f>IF($E291="","",INDEX('Input Transaksi'!$A:$A,$E291))</f>
        <v/>
      </c>
      <c r="B291" s="5">
        <f>IF($E291="","",INDEX('Input Transaksi'!$D:$D,$E291))</f>
        <v/>
      </c>
      <c r="C291">
        <f>IF($E291="","",INDEX('Input Transaksi'!$E:$E,$E291))</f>
        <v/>
      </c>
      <c r="D291" s="5">
        <f>IF($E291="","",INDEX('Input Transaksi'!$F:$F,$E291))</f>
        <v/>
      </c>
      <c r="E291">
        <f>IFERROR(AGGREGATE(15,6,ROW('Input Transaksi'!$B$5:$B$5000)/('Input Transaksi'!$B$5:$B$5000="BALI WASH"),ROWS($E$5:E291)),"")</f>
        <v/>
      </c>
      <c r="F291" s="5" t="n"/>
    </row>
    <row r="292">
      <c r="A292" s="10">
        <f>IF($E292="","",INDEX('Input Transaksi'!$A:$A,$E292))</f>
        <v/>
      </c>
      <c r="B292" s="5">
        <f>IF($E292="","",INDEX('Input Transaksi'!$D:$D,$E292))</f>
        <v/>
      </c>
      <c r="C292">
        <f>IF($E292="","",INDEX('Input Transaksi'!$E:$E,$E292))</f>
        <v/>
      </c>
      <c r="D292" s="5">
        <f>IF($E292="","",INDEX('Input Transaksi'!$F:$F,$E292))</f>
        <v/>
      </c>
      <c r="E292">
        <f>IFERROR(AGGREGATE(15,6,ROW('Input Transaksi'!$B$5:$B$5000)/('Input Transaksi'!$B$5:$B$5000="BALI WASH"),ROWS($E$5:E292)),"")</f>
        <v/>
      </c>
      <c r="F292" s="5" t="n"/>
    </row>
    <row r="293">
      <c r="A293" s="10">
        <f>IF($E293="","",INDEX('Input Transaksi'!$A:$A,$E293))</f>
        <v/>
      </c>
      <c r="B293" s="5">
        <f>IF($E293="","",INDEX('Input Transaksi'!$D:$D,$E293))</f>
        <v/>
      </c>
      <c r="C293">
        <f>IF($E293="","",INDEX('Input Transaksi'!$E:$E,$E293))</f>
        <v/>
      </c>
      <c r="D293" s="5">
        <f>IF($E293="","",INDEX('Input Transaksi'!$F:$F,$E293))</f>
        <v/>
      </c>
      <c r="E293">
        <f>IFERROR(AGGREGATE(15,6,ROW('Input Transaksi'!$B$5:$B$5000)/('Input Transaksi'!$B$5:$B$5000="BALI WASH"),ROWS($E$5:E293)),"")</f>
        <v/>
      </c>
      <c r="F293" s="5" t="n"/>
    </row>
    <row r="294">
      <c r="A294" s="10">
        <f>IF($E294="","",INDEX('Input Transaksi'!$A:$A,$E294))</f>
        <v/>
      </c>
      <c r="B294" s="5">
        <f>IF($E294="","",INDEX('Input Transaksi'!$D:$D,$E294))</f>
        <v/>
      </c>
      <c r="C294">
        <f>IF($E294="","",INDEX('Input Transaksi'!$E:$E,$E294))</f>
        <v/>
      </c>
      <c r="D294" s="5">
        <f>IF($E294="","",INDEX('Input Transaksi'!$F:$F,$E294))</f>
        <v/>
      </c>
      <c r="E294">
        <f>IFERROR(AGGREGATE(15,6,ROW('Input Transaksi'!$B$5:$B$5000)/('Input Transaksi'!$B$5:$B$5000="BALI WASH"),ROWS($E$5:E294)),"")</f>
        <v/>
      </c>
      <c r="F294" s="5" t="n"/>
    </row>
    <row r="295">
      <c r="A295" s="10">
        <f>IF($E295="","",INDEX('Input Transaksi'!$A:$A,$E295))</f>
        <v/>
      </c>
      <c r="B295" s="5">
        <f>IF($E295="","",INDEX('Input Transaksi'!$D:$D,$E295))</f>
        <v/>
      </c>
      <c r="C295">
        <f>IF($E295="","",INDEX('Input Transaksi'!$E:$E,$E295))</f>
        <v/>
      </c>
      <c r="D295" s="5">
        <f>IF($E295="","",INDEX('Input Transaksi'!$F:$F,$E295))</f>
        <v/>
      </c>
      <c r="E295">
        <f>IFERROR(AGGREGATE(15,6,ROW('Input Transaksi'!$B$5:$B$5000)/('Input Transaksi'!$B$5:$B$5000="BALI WASH"),ROWS($E$5:E295)),"")</f>
        <v/>
      </c>
      <c r="F295" s="5" t="n"/>
    </row>
    <row r="296">
      <c r="A296" s="10">
        <f>IF($E296="","",INDEX('Input Transaksi'!$A:$A,$E296))</f>
        <v/>
      </c>
      <c r="B296" s="5">
        <f>IF($E296="","",INDEX('Input Transaksi'!$D:$D,$E296))</f>
        <v/>
      </c>
      <c r="C296">
        <f>IF($E296="","",INDEX('Input Transaksi'!$E:$E,$E296))</f>
        <v/>
      </c>
      <c r="D296" s="5">
        <f>IF($E296="","",INDEX('Input Transaksi'!$F:$F,$E296))</f>
        <v/>
      </c>
      <c r="E296">
        <f>IFERROR(AGGREGATE(15,6,ROW('Input Transaksi'!$B$5:$B$5000)/('Input Transaksi'!$B$5:$B$5000="BALI WASH"),ROWS($E$5:E296)),"")</f>
        <v/>
      </c>
      <c r="F296" s="5" t="n"/>
    </row>
    <row r="297">
      <c r="A297" s="10">
        <f>IF($E297="","",INDEX('Input Transaksi'!$A:$A,$E297))</f>
        <v/>
      </c>
      <c r="B297" s="5">
        <f>IF($E297="","",INDEX('Input Transaksi'!$D:$D,$E297))</f>
        <v/>
      </c>
      <c r="C297">
        <f>IF($E297="","",INDEX('Input Transaksi'!$E:$E,$E297))</f>
        <v/>
      </c>
      <c r="D297" s="5">
        <f>IF($E297="","",INDEX('Input Transaksi'!$F:$F,$E297))</f>
        <v/>
      </c>
      <c r="E297">
        <f>IFERROR(AGGREGATE(15,6,ROW('Input Transaksi'!$B$5:$B$5000)/('Input Transaksi'!$B$5:$B$5000="BALI WASH"),ROWS($E$5:E297)),"")</f>
        <v/>
      </c>
      <c r="F297" s="5" t="n"/>
    </row>
    <row r="298">
      <c r="A298" s="10">
        <f>IF($E298="","",INDEX('Input Transaksi'!$A:$A,$E298))</f>
        <v/>
      </c>
      <c r="B298" s="5">
        <f>IF($E298="","",INDEX('Input Transaksi'!$D:$D,$E298))</f>
        <v/>
      </c>
      <c r="C298">
        <f>IF($E298="","",INDEX('Input Transaksi'!$E:$E,$E298))</f>
        <v/>
      </c>
      <c r="D298" s="5">
        <f>IF($E298="","",INDEX('Input Transaksi'!$F:$F,$E298))</f>
        <v/>
      </c>
      <c r="E298">
        <f>IFERROR(AGGREGATE(15,6,ROW('Input Transaksi'!$B$5:$B$5000)/('Input Transaksi'!$B$5:$B$5000="BALI WASH"),ROWS($E$5:E298)),"")</f>
        <v/>
      </c>
      <c r="F298" s="5" t="n"/>
    </row>
    <row r="299">
      <c r="A299" s="10">
        <f>IF($E299="","",INDEX('Input Transaksi'!$A:$A,$E299))</f>
        <v/>
      </c>
      <c r="B299" s="5">
        <f>IF($E299="","",INDEX('Input Transaksi'!$D:$D,$E299))</f>
        <v/>
      </c>
      <c r="C299">
        <f>IF($E299="","",INDEX('Input Transaksi'!$E:$E,$E299))</f>
        <v/>
      </c>
      <c r="D299" s="5">
        <f>IF($E299="","",INDEX('Input Transaksi'!$F:$F,$E299))</f>
        <v/>
      </c>
      <c r="E299">
        <f>IFERROR(AGGREGATE(15,6,ROW('Input Transaksi'!$B$5:$B$5000)/('Input Transaksi'!$B$5:$B$5000="BALI WASH"),ROWS($E$5:E299)),"")</f>
        <v/>
      </c>
      <c r="F299" s="5" t="n"/>
    </row>
    <row r="300">
      <c r="A300" s="10">
        <f>IF($E300="","",INDEX('Input Transaksi'!$A:$A,$E300))</f>
        <v/>
      </c>
      <c r="B300" s="5">
        <f>IF($E300="","",INDEX('Input Transaksi'!$D:$D,$E300))</f>
        <v/>
      </c>
      <c r="C300">
        <f>IF($E300="","",INDEX('Input Transaksi'!$E:$E,$E300))</f>
        <v/>
      </c>
      <c r="D300" s="5">
        <f>IF($E300="","",INDEX('Input Transaksi'!$F:$F,$E300))</f>
        <v/>
      </c>
      <c r="E300">
        <f>IFERROR(AGGREGATE(15,6,ROW('Input Transaksi'!$B$5:$B$5000)/('Input Transaksi'!$B$5:$B$5000="BALI WASH"),ROWS($E$5:E300)),"")</f>
        <v/>
      </c>
      <c r="F300" s="5" t="n"/>
    </row>
    <row r="301">
      <c r="A301" s="10">
        <f>IF($E301="","",INDEX('Input Transaksi'!$A:$A,$E301))</f>
        <v/>
      </c>
      <c r="B301" s="5">
        <f>IF($E301="","",INDEX('Input Transaksi'!$D:$D,$E301))</f>
        <v/>
      </c>
      <c r="C301">
        <f>IF($E301="","",INDEX('Input Transaksi'!$E:$E,$E301))</f>
        <v/>
      </c>
      <c r="D301" s="5">
        <f>IF($E301="","",INDEX('Input Transaksi'!$F:$F,$E301))</f>
        <v/>
      </c>
      <c r="E301">
        <f>IFERROR(AGGREGATE(15,6,ROW('Input Transaksi'!$B$5:$B$5000)/('Input Transaksi'!$B$5:$B$5000="BALI WASH"),ROWS($E$5:E301)),"")</f>
        <v/>
      </c>
      <c r="F301" s="5" t="n"/>
    </row>
    <row r="302">
      <c r="A302" s="10">
        <f>IF($E302="","",INDEX('Input Transaksi'!$A:$A,$E302))</f>
        <v/>
      </c>
      <c r="B302" s="5">
        <f>IF($E302="","",INDEX('Input Transaksi'!$D:$D,$E302))</f>
        <v/>
      </c>
      <c r="C302">
        <f>IF($E302="","",INDEX('Input Transaksi'!$E:$E,$E302))</f>
        <v/>
      </c>
      <c r="D302" s="5">
        <f>IF($E302="","",INDEX('Input Transaksi'!$F:$F,$E302))</f>
        <v/>
      </c>
      <c r="E302">
        <f>IFERROR(AGGREGATE(15,6,ROW('Input Transaksi'!$B$5:$B$5000)/('Input Transaksi'!$B$5:$B$5000="BALI WASH"),ROWS($E$5:E302)),"")</f>
        <v/>
      </c>
      <c r="F302" s="5" t="n"/>
    </row>
    <row r="303">
      <c r="A303" s="10">
        <f>IF($E303="","",INDEX('Input Transaksi'!$A:$A,$E303))</f>
        <v/>
      </c>
      <c r="B303" s="5">
        <f>IF($E303="","",INDEX('Input Transaksi'!$D:$D,$E303))</f>
        <v/>
      </c>
      <c r="C303">
        <f>IF($E303="","",INDEX('Input Transaksi'!$E:$E,$E303))</f>
        <v/>
      </c>
      <c r="D303" s="5">
        <f>IF($E303="","",INDEX('Input Transaksi'!$F:$F,$E303))</f>
        <v/>
      </c>
      <c r="E303">
        <f>IFERROR(AGGREGATE(15,6,ROW('Input Transaksi'!$B$5:$B$5000)/('Input Transaksi'!$B$5:$B$5000="BALI WASH"),ROWS($E$5:E303)),"")</f>
        <v/>
      </c>
      <c r="F303" s="5" t="n"/>
    </row>
    <row r="304">
      <c r="A304" s="10">
        <f>IF($E304="","",INDEX('Input Transaksi'!$A:$A,$E304))</f>
        <v/>
      </c>
      <c r="B304" s="5">
        <f>IF($E304="","",INDEX('Input Transaksi'!$D:$D,$E304))</f>
        <v/>
      </c>
      <c r="C304">
        <f>IF($E304="","",INDEX('Input Transaksi'!$E:$E,$E304))</f>
        <v/>
      </c>
      <c r="D304" s="5">
        <f>IF($E304="","",INDEX('Input Transaksi'!$F:$F,$E304))</f>
        <v/>
      </c>
      <c r="E304">
        <f>IFERROR(AGGREGATE(15,6,ROW('Input Transaksi'!$B$5:$B$5000)/('Input Transaksi'!$B$5:$B$5000="BALI WASH"),ROWS($E$5:E304)),"")</f>
        <v/>
      </c>
      <c r="F304" s="5" t="n"/>
    </row>
    <row r="305">
      <c r="A305" s="10">
        <f>IF($E305="","",INDEX('Input Transaksi'!$A:$A,$E305))</f>
        <v/>
      </c>
      <c r="B305" s="5">
        <f>IF($E305="","",INDEX('Input Transaksi'!$D:$D,$E305))</f>
        <v/>
      </c>
      <c r="C305">
        <f>IF($E305="","",INDEX('Input Transaksi'!$E:$E,$E305))</f>
        <v/>
      </c>
      <c r="D305" s="5">
        <f>IF($E305="","",INDEX('Input Transaksi'!$F:$F,$E305))</f>
        <v/>
      </c>
      <c r="E305">
        <f>IFERROR(AGGREGATE(15,6,ROW('Input Transaksi'!$B$5:$B$5000)/('Input Transaksi'!$B$5:$B$5000="BALI WASH"),ROWS($E$5:E305)),"")</f>
        <v/>
      </c>
      <c r="F305" s="5" t="n"/>
    </row>
    <row r="306">
      <c r="A306" s="10">
        <f>IF($E306="","",INDEX('Input Transaksi'!$A:$A,$E306))</f>
        <v/>
      </c>
      <c r="B306" s="5">
        <f>IF($E306="","",INDEX('Input Transaksi'!$D:$D,$E306))</f>
        <v/>
      </c>
      <c r="C306">
        <f>IF($E306="","",INDEX('Input Transaksi'!$E:$E,$E306))</f>
        <v/>
      </c>
      <c r="D306" s="5">
        <f>IF($E306="","",INDEX('Input Transaksi'!$F:$F,$E306))</f>
        <v/>
      </c>
      <c r="E306">
        <f>IFERROR(AGGREGATE(15,6,ROW('Input Transaksi'!$B$5:$B$5000)/('Input Transaksi'!$B$5:$B$5000="BALI WASH"),ROWS($E$5:E306)),"")</f>
        <v/>
      </c>
      <c r="F306" s="5" t="n"/>
    </row>
    <row r="307">
      <c r="A307" s="10">
        <f>IF($E307="","",INDEX('Input Transaksi'!$A:$A,$E307))</f>
        <v/>
      </c>
      <c r="B307" s="5">
        <f>IF($E307="","",INDEX('Input Transaksi'!$D:$D,$E307))</f>
        <v/>
      </c>
      <c r="C307">
        <f>IF($E307="","",INDEX('Input Transaksi'!$E:$E,$E307))</f>
        <v/>
      </c>
      <c r="D307" s="5">
        <f>IF($E307="","",INDEX('Input Transaksi'!$F:$F,$E307))</f>
        <v/>
      </c>
      <c r="E307">
        <f>IFERROR(AGGREGATE(15,6,ROW('Input Transaksi'!$B$5:$B$5000)/('Input Transaksi'!$B$5:$B$5000="BALI WASH"),ROWS($E$5:E307)),"")</f>
        <v/>
      </c>
      <c r="F307" s="5" t="n"/>
    </row>
    <row r="308">
      <c r="A308" s="10">
        <f>IF($E308="","",INDEX('Input Transaksi'!$A:$A,$E308))</f>
        <v/>
      </c>
      <c r="B308" s="5">
        <f>IF($E308="","",INDEX('Input Transaksi'!$D:$D,$E308))</f>
        <v/>
      </c>
      <c r="C308">
        <f>IF($E308="","",INDEX('Input Transaksi'!$E:$E,$E308))</f>
        <v/>
      </c>
      <c r="D308" s="5">
        <f>IF($E308="","",INDEX('Input Transaksi'!$F:$F,$E308))</f>
        <v/>
      </c>
      <c r="E308">
        <f>IFERROR(AGGREGATE(15,6,ROW('Input Transaksi'!$B$5:$B$5000)/('Input Transaksi'!$B$5:$B$5000="BALI WASH"),ROWS($E$5:E308)),"")</f>
        <v/>
      </c>
      <c r="F308" s="5" t="n"/>
    </row>
    <row r="309">
      <c r="A309" s="10">
        <f>IF($E309="","",INDEX('Input Transaksi'!$A:$A,$E309))</f>
        <v/>
      </c>
      <c r="B309" s="5">
        <f>IF($E309="","",INDEX('Input Transaksi'!$D:$D,$E309))</f>
        <v/>
      </c>
      <c r="C309">
        <f>IF($E309="","",INDEX('Input Transaksi'!$E:$E,$E309))</f>
        <v/>
      </c>
      <c r="D309" s="5">
        <f>IF($E309="","",INDEX('Input Transaksi'!$F:$F,$E309))</f>
        <v/>
      </c>
      <c r="E309">
        <f>IFERROR(AGGREGATE(15,6,ROW('Input Transaksi'!$B$5:$B$5000)/('Input Transaksi'!$B$5:$B$5000="BALI WASH"),ROWS($E$5:E309)),"")</f>
        <v/>
      </c>
      <c r="F309" s="5" t="n"/>
    </row>
    <row r="310">
      <c r="A310" s="10">
        <f>IF($E310="","",INDEX('Input Transaksi'!$A:$A,$E310))</f>
        <v/>
      </c>
      <c r="B310" s="5">
        <f>IF($E310="","",INDEX('Input Transaksi'!$D:$D,$E310))</f>
        <v/>
      </c>
      <c r="C310">
        <f>IF($E310="","",INDEX('Input Transaksi'!$E:$E,$E310))</f>
        <v/>
      </c>
      <c r="D310" s="5">
        <f>IF($E310="","",INDEX('Input Transaksi'!$F:$F,$E310))</f>
        <v/>
      </c>
      <c r="E310">
        <f>IFERROR(AGGREGATE(15,6,ROW('Input Transaksi'!$B$5:$B$5000)/('Input Transaksi'!$B$5:$B$5000="BALI WASH"),ROWS($E$5:E310)),"")</f>
        <v/>
      </c>
      <c r="F310" s="5" t="n"/>
    </row>
    <row r="311">
      <c r="A311" s="10">
        <f>IF($E311="","",INDEX('Input Transaksi'!$A:$A,$E311))</f>
        <v/>
      </c>
      <c r="B311" s="5">
        <f>IF($E311="","",INDEX('Input Transaksi'!$D:$D,$E311))</f>
        <v/>
      </c>
      <c r="C311">
        <f>IF($E311="","",INDEX('Input Transaksi'!$E:$E,$E311))</f>
        <v/>
      </c>
      <c r="D311" s="5">
        <f>IF($E311="","",INDEX('Input Transaksi'!$F:$F,$E311))</f>
        <v/>
      </c>
      <c r="E311">
        <f>IFERROR(AGGREGATE(15,6,ROW('Input Transaksi'!$B$5:$B$5000)/('Input Transaksi'!$B$5:$B$5000="BALI WASH"),ROWS($E$5:E311)),"")</f>
        <v/>
      </c>
      <c r="F311" s="5" t="n"/>
    </row>
    <row r="312">
      <c r="A312" s="10">
        <f>IF($E312="","",INDEX('Input Transaksi'!$A:$A,$E312))</f>
        <v/>
      </c>
      <c r="B312" s="5">
        <f>IF($E312="","",INDEX('Input Transaksi'!$D:$D,$E312))</f>
        <v/>
      </c>
      <c r="C312">
        <f>IF($E312="","",INDEX('Input Transaksi'!$E:$E,$E312))</f>
        <v/>
      </c>
      <c r="D312" s="5">
        <f>IF($E312="","",INDEX('Input Transaksi'!$F:$F,$E312))</f>
        <v/>
      </c>
      <c r="E312">
        <f>IFERROR(AGGREGATE(15,6,ROW('Input Transaksi'!$B$5:$B$5000)/('Input Transaksi'!$B$5:$B$5000="BALI WASH"),ROWS($E$5:E312)),"")</f>
        <v/>
      </c>
      <c r="F312" s="5" t="n"/>
    </row>
    <row r="313">
      <c r="A313" s="10">
        <f>IF($E313="","",INDEX('Input Transaksi'!$A:$A,$E313))</f>
        <v/>
      </c>
      <c r="B313" s="5">
        <f>IF($E313="","",INDEX('Input Transaksi'!$D:$D,$E313))</f>
        <v/>
      </c>
      <c r="C313">
        <f>IF($E313="","",INDEX('Input Transaksi'!$E:$E,$E313))</f>
        <v/>
      </c>
      <c r="D313" s="5">
        <f>IF($E313="","",INDEX('Input Transaksi'!$F:$F,$E313))</f>
        <v/>
      </c>
      <c r="E313">
        <f>IFERROR(AGGREGATE(15,6,ROW('Input Transaksi'!$B$5:$B$5000)/('Input Transaksi'!$B$5:$B$5000="BALI WASH"),ROWS($E$5:E313)),"")</f>
        <v/>
      </c>
      <c r="F313" s="5" t="n"/>
    </row>
    <row r="314">
      <c r="A314" s="10">
        <f>IF($E314="","",INDEX('Input Transaksi'!$A:$A,$E314))</f>
        <v/>
      </c>
      <c r="B314" s="5">
        <f>IF($E314="","",INDEX('Input Transaksi'!$D:$D,$E314))</f>
        <v/>
      </c>
      <c r="C314">
        <f>IF($E314="","",INDEX('Input Transaksi'!$E:$E,$E314))</f>
        <v/>
      </c>
      <c r="D314" s="5">
        <f>IF($E314="","",INDEX('Input Transaksi'!$F:$F,$E314))</f>
        <v/>
      </c>
      <c r="E314">
        <f>IFERROR(AGGREGATE(15,6,ROW('Input Transaksi'!$B$5:$B$5000)/('Input Transaksi'!$B$5:$B$5000="BALI WASH"),ROWS($E$5:E314)),"")</f>
        <v/>
      </c>
      <c r="F314" s="5" t="n"/>
    </row>
    <row r="315">
      <c r="A315" s="10">
        <f>IF($E315="","",INDEX('Input Transaksi'!$A:$A,$E315))</f>
        <v/>
      </c>
      <c r="B315" s="5">
        <f>IF($E315="","",INDEX('Input Transaksi'!$D:$D,$E315))</f>
        <v/>
      </c>
      <c r="C315">
        <f>IF($E315="","",INDEX('Input Transaksi'!$E:$E,$E315))</f>
        <v/>
      </c>
      <c r="D315" s="5">
        <f>IF($E315="","",INDEX('Input Transaksi'!$F:$F,$E315))</f>
        <v/>
      </c>
      <c r="E315">
        <f>IFERROR(AGGREGATE(15,6,ROW('Input Transaksi'!$B$5:$B$5000)/('Input Transaksi'!$B$5:$B$5000="BALI WASH"),ROWS($E$5:E315)),"")</f>
        <v/>
      </c>
      <c r="F315" s="5" t="n"/>
    </row>
    <row r="316">
      <c r="A316" s="10">
        <f>IF($E316="","",INDEX('Input Transaksi'!$A:$A,$E316))</f>
        <v/>
      </c>
      <c r="B316" s="5">
        <f>IF($E316="","",INDEX('Input Transaksi'!$D:$D,$E316))</f>
        <v/>
      </c>
      <c r="C316">
        <f>IF($E316="","",INDEX('Input Transaksi'!$E:$E,$E316))</f>
        <v/>
      </c>
      <c r="D316" s="5">
        <f>IF($E316="","",INDEX('Input Transaksi'!$F:$F,$E316))</f>
        <v/>
      </c>
      <c r="E316">
        <f>IFERROR(AGGREGATE(15,6,ROW('Input Transaksi'!$B$5:$B$5000)/('Input Transaksi'!$B$5:$B$5000="BALI WASH"),ROWS($E$5:E316)),"")</f>
        <v/>
      </c>
      <c r="F316" s="5" t="n"/>
    </row>
    <row r="317">
      <c r="A317" s="10">
        <f>IF($E317="","",INDEX('Input Transaksi'!$A:$A,$E317))</f>
        <v/>
      </c>
      <c r="B317" s="5">
        <f>IF($E317="","",INDEX('Input Transaksi'!$D:$D,$E317))</f>
        <v/>
      </c>
      <c r="C317">
        <f>IF($E317="","",INDEX('Input Transaksi'!$E:$E,$E317))</f>
        <v/>
      </c>
      <c r="D317" s="5">
        <f>IF($E317="","",INDEX('Input Transaksi'!$F:$F,$E317))</f>
        <v/>
      </c>
      <c r="E317">
        <f>IFERROR(AGGREGATE(15,6,ROW('Input Transaksi'!$B$5:$B$5000)/('Input Transaksi'!$B$5:$B$5000="BALI WASH"),ROWS($E$5:E317)),"")</f>
        <v/>
      </c>
      <c r="F317" s="5" t="n"/>
    </row>
    <row r="318">
      <c r="A318" s="10">
        <f>IF($E318="","",INDEX('Input Transaksi'!$A:$A,$E318))</f>
        <v/>
      </c>
      <c r="B318" s="5">
        <f>IF($E318="","",INDEX('Input Transaksi'!$D:$D,$E318))</f>
        <v/>
      </c>
      <c r="C318">
        <f>IF($E318="","",INDEX('Input Transaksi'!$E:$E,$E318))</f>
        <v/>
      </c>
      <c r="D318" s="5">
        <f>IF($E318="","",INDEX('Input Transaksi'!$F:$F,$E318))</f>
        <v/>
      </c>
      <c r="E318">
        <f>IFERROR(AGGREGATE(15,6,ROW('Input Transaksi'!$B$5:$B$5000)/('Input Transaksi'!$B$5:$B$5000="BALI WASH"),ROWS($E$5:E318)),"")</f>
        <v/>
      </c>
      <c r="F318" s="5" t="n"/>
    </row>
    <row r="319">
      <c r="A319" s="10">
        <f>IF($E319="","",INDEX('Input Transaksi'!$A:$A,$E319))</f>
        <v/>
      </c>
      <c r="B319" s="5">
        <f>IF($E319="","",INDEX('Input Transaksi'!$D:$D,$E319))</f>
        <v/>
      </c>
      <c r="C319">
        <f>IF($E319="","",INDEX('Input Transaksi'!$E:$E,$E319))</f>
        <v/>
      </c>
      <c r="D319" s="5">
        <f>IF($E319="","",INDEX('Input Transaksi'!$F:$F,$E319))</f>
        <v/>
      </c>
      <c r="E319">
        <f>IFERROR(AGGREGATE(15,6,ROW('Input Transaksi'!$B$5:$B$5000)/('Input Transaksi'!$B$5:$B$5000="BALI WASH"),ROWS($E$5:E319)),"")</f>
        <v/>
      </c>
      <c r="F319" s="5" t="n"/>
    </row>
    <row r="320">
      <c r="A320" s="10">
        <f>IF($E320="","",INDEX('Input Transaksi'!$A:$A,$E320))</f>
        <v/>
      </c>
      <c r="B320" s="5">
        <f>IF($E320="","",INDEX('Input Transaksi'!$D:$D,$E320))</f>
        <v/>
      </c>
      <c r="C320">
        <f>IF($E320="","",INDEX('Input Transaksi'!$E:$E,$E320))</f>
        <v/>
      </c>
      <c r="D320" s="5">
        <f>IF($E320="","",INDEX('Input Transaksi'!$F:$F,$E320))</f>
        <v/>
      </c>
      <c r="E320">
        <f>IFERROR(AGGREGATE(15,6,ROW('Input Transaksi'!$B$5:$B$5000)/('Input Transaksi'!$B$5:$B$5000="BALI WASH"),ROWS($E$5:E320)),"")</f>
        <v/>
      </c>
      <c r="F320" s="5" t="n"/>
    </row>
    <row r="321">
      <c r="A321" s="10">
        <f>IF($E321="","",INDEX('Input Transaksi'!$A:$A,$E321))</f>
        <v/>
      </c>
      <c r="B321" s="5">
        <f>IF($E321="","",INDEX('Input Transaksi'!$D:$D,$E321))</f>
        <v/>
      </c>
      <c r="C321">
        <f>IF($E321="","",INDEX('Input Transaksi'!$E:$E,$E321))</f>
        <v/>
      </c>
      <c r="D321" s="5">
        <f>IF($E321="","",INDEX('Input Transaksi'!$F:$F,$E321))</f>
        <v/>
      </c>
      <c r="E321">
        <f>IFERROR(AGGREGATE(15,6,ROW('Input Transaksi'!$B$5:$B$5000)/('Input Transaksi'!$B$5:$B$5000="BALI WASH"),ROWS($E$5:E321)),"")</f>
        <v/>
      </c>
      <c r="F321" s="5" t="n"/>
    </row>
    <row r="322">
      <c r="A322" s="10">
        <f>IF($E322="","",INDEX('Input Transaksi'!$A:$A,$E322))</f>
        <v/>
      </c>
      <c r="B322" s="5">
        <f>IF($E322="","",INDEX('Input Transaksi'!$D:$D,$E322))</f>
        <v/>
      </c>
      <c r="C322">
        <f>IF($E322="","",INDEX('Input Transaksi'!$E:$E,$E322))</f>
        <v/>
      </c>
      <c r="D322" s="5">
        <f>IF($E322="","",INDEX('Input Transaksi'!$F:$F,$E322))</f>
        <v/>
      </c>
      <c r="E322">
        <f>IFERROR(AGGREGATE(15,6,ROW('Input Transaksi'!$B$5:$B$5000)/('Input Transaksi'!$B$5:$B$5000="BALI WASH"),ROWS($E$5:E322)),"")</f>
        <v/>
      </c>
      <c r="F322" s="5" t="n"/>
    </row>
    <row r="323">
      <c r="A323" s="10">
        <f>IF($E323="","",INDEX('Input Transaksi'!$A:$A,$E323))</f>
        <v/>
      </c>
      <c r="B323" s="5">
        <f>IF($E323="","",INDEX('Input Transaksi'!$D:$D,$E323))</f>
        <v/>
      </c>
      <c r="C323">
        <f>IF($E323="","",INDEX('Input Transaksi'!$E:$E,$E323))</f>
        <v/>
      </c>
      <c r="D323" s="5">
        <f>IF($E323="","",INDEX('Input Transaksi'!$F:$F,$E323))</f>
        <v/>
      </c>
      <c r="E323">
        <f>IFERROR(AGGREGATE(15,6,ROW('Input Transaksi'!$B$5:$B$5000)/('Input Transaksi'!$B$5:$B$5000="BALI WASH"),ROWS($E$5:E323)),"")</f>
        <v/>
      </c>
      <c r="F323" s="5" t="n"/>
    </row>
    <row r="324">
      <c r="A324" s="10">
        <f>IF($E324="","",INDEX('Input Transaksi'!$A:$A,$E324))</f>
        <v/>
      </c>
      <c r="B324" s="5">
        <f>IF($E324="","",INDEX('Input Transaksi'!$D:$D,$E324))</f>
        <v/>
      </c>
      <c r="C324">
        <f>IF($E324="","",INDEX('Input Transaksi'!$E:$E,$E324))</f>
        <v/>
      </c>
      <c r="D324" s="5">
        <f>IF($E324="","",INDEX('Input Transaksi'!$F:$F,$E324))</f>
        <v/>
      </c>
      <c r="E324">
        <f>IFERROR(AGGREGATE(15,6,ROW('Input Transaksi'!$B$5:$B$5000)/('Input Transaksi'!$B$5:$B$5000="BALI WASH"),ROWS($E$5:E324)),"")</f>
        <v/>
      </c>
      <c r="F324" s="5" t="n"/>
    </row>
    <row r="325">
      <c r="A325" s="10">
        <f>IF($E325="","",INDEX('Input Transaksi'!$A:$A,$E325))</f>
        <v/>
      </c>
      <c r="B325" s="5">
        <f>IF($E325="","",INDEX('Input Transaksi'!$D:$D,$E325))</f>
        <v/>
      </c>
      <c r="C325">
        <f>IF($E325="","",INDEX('Input Transaksi'!$E:$E,$E325))</f>
        <v/>
      </c>
      <c r="D325" s="5">
        <f>IF($E325="","",INDEX('Input Transaksi'!$F:$F,$E325))</f>
        <v/>
      </c>
      <c r="E325">
        <f>IFERROR(AGGREGATE(15,6,ROW('Input Transaksi'!$B$5:$B$5000)/('Input Transaksi'!$B$5:$B$5000="BALI WASH"),ROWS($E$5:E325)),"")</f>
        <v/>
      </c>
      <c r="F325" s="5" t="n"/>
    </row>
    <row r="326">
      <c r="A326" s="10">
        <f>IF($E326="","",INDEX('Input Transaksi'!$A:$A,$E326))</f>
        <v/>
      </c>
      <c r="B326" s="5">
        <f>IF($E326="","",INDEX('Input Transaksi'!$D:$D,$E326))</f>
        <v/>
      </c>
      <c r="C326">
        <f>IF($E326="","",INDEX('Input Transaksi'!$E:$E,$E326))</f>
        <v/>
      </c>
      <c r="D326" s="5">
        <f>IF($E326="","",INDEX('Input Transaksi'!$F:$F,$E326))</f>
        <v/>
      </c>
      <c r="E326">
        <f>IFERROR(AGGREGATE(15,6,ROW('Input Transaksi'!$B$5:$B$5000)/('Input Transaksi'!$B$5:$B$5000="BALI WASH"),ROWS($E$5:E326)),"")</f>
        <v/>
      </c>
      <c r="F326" s="5" t="n"/>
    </row>
    <row r="327">
      <c r="A327" s="10">
        <f>IF($E327="","",INDEX('Input Transaksi'!$A:$A,$E327))</f>
        <v/>
      </c>
      <c r="B327" s="5">
        <f>IF($E327="","",INDEX('Input Transaksi'!$D:$D,$E327))</f>
        <v/>
      </c>
      <c r="C327">
        <f>IF($E327="","",INDEX('Input Transaksi'!$E:$E,$E327))</f>
        <v/>
      </c>
      <c r="D327" s="5">
        <f>IF($E327="","",INDEX('Input Transaksi'!$F:$F,$E327))</f>
        <v/>
      </c>
      <c r="E327">
        <f>IFERROR(AGGREGATE(15,6,ROW('Input Transaksi'!$B$5:$B$5000)/('Input Transaksi'!$B$5:$B$5000="BALI WASH"),ROWS($E$5:E327)),"")</f>
        <v/>
      </c>
      <c r="F327" s="5" t="n"/>
    </row>
    <row r="328">
      <c r="A328" s="10">
        <f>IF($E328="","",INDEX('Input Transaksi'!$A:$A,$E328))</f>
        <v/>
      </c>
      <c r="B328" s="5">
        <f>IF($E328="","",INDEX('Input Transaksi'!$D:$D,$E328))</f>
        <v/>
      </c>
      <c r="C328">
        <f>IF($E328="","",INDEX('Input Transaksi'!$E:$E,$E328))</f>
        <v/>
      </c>
      <c r="D328" s="5">
        <f>IF($E328="","",INDEX('Input Transaksi'!$F:$F,$E328))</f>
        <v/>
      </c>
      <c r="E328">
        <f>IFERROR(AGGREGATE(15,6,ROW('Input Transaksi'!$B$5:$B$5000)/('Input Transaksi'!$B$5:$B$5000="BALI WASH"),ROWS($E$5:E328)),"")</f>
        <v/>
      </c>
      <c r="F328" s="5" t="n"/>
    </row>
    <row r="329">
      <c r="A329" s="10">
        <f>IF($E329="","",INDEX('Input Transaksi'!$A:$A,$E329))</f>
        <v/>
      </c>
      <c r="B329" s="5">
        <f>IF($E329="","",INDEX('Input Transaksi'!$D:$D,$E329))</f>
        <v/>
      </c>
      <c r="C329">
        <f>IF($E329="","",INDEX('Input Transaksi'!$E:$E,$E329))</f>
        <v/>
      </c>
      <c r="D329" s="5">
        <f>IF($E329="","",INDEX('Input Transaksi'!$F:$F,$E329))</f>
        <v/>
      </c>
      <c r="E329">
        <f>IFERROR(AGGREGATE(15,6,ROW('Input Transaksi'!$B$5:$B$5000)/('Input Transaksi'!$B$5:$B$5000="BALI WASH"),ROWS($E$5:E329)),"")</f>
        <v/>
      </c>
      <c r="F329" s="5" t="n"/>
    </row>
    <row r="330">
      <c r="A330" s="10">
        <f>IF($E330="","",INDEX('Input Transaksi'!$A:$A,$E330))</f>
        <v/>
      </c>
      <c r="B330" s="5">
        <f>IF($E330="","",INDEX('Input Transaksi'!$D:$D,$E330))</f>
        <v/>
      </c>
      <c r="C330">
        <f>IF($E330="","",INDEX('Input Transaksi'!$E:$E,$E330))</f>
        <v/>
      </c>
      <c r="D330" s="5">
        <f>IF($E330="","",INDEX('Input Transaksi'!$F:$F,$E330))</f>
        <v/>
      </c>
      <c r="E330">
        <f>IFERROR(AGGREGATE(15,6,ROW('Input Transaksi'!$B$5:$B$5000)/('Input Transaksi'!$B$5:$B$5000="BALI WASH"),ROWS($E$5:E330)),"")</f>
        <v/>
      </c>
      <c r="F330" s="5" t="n"/>
    </row>
    <row r="331">
      <c r="A331" s="10">
        <f>IF($E331="","",INDEX('Input Transaksi'!$A:$A,$E331))</f>
        <v/>
      </c>
      <c r="B331" s="5">
        <f>IF($E331="","",INDEX('Input Transaksi'!$D:$D,$E331))</f>
        <v/>
      </c>
      <c r="C331">
        <f>IF($E331="","",INDEX('Input Transaksi'!$E:$E,$E331))</f>
        <v/>
      </c>
      <c r="D331" s="5">
        <f>IF($E331="","",INDEX('Input Transaksi'!$F:$F,$E331))</f>
        <v/>
      </c>
      <c r="E331">
        <f>IFERROR(AGGREGATE(15,6,ROW('Input Transaksi'!$B$5:$B$5000)/('Input Transaksi'!$B$5:$B$5000="BALI WASH"),ROWS($E$5:E331)),"")</f>
        <v/>
      </c>
      <c r="F331" s="5" t="n"/>
    </row>
    <row r="332">
      <c r="A332" s="10">
        <f>IF($E332="","",INDEX('Input Transaksi'!$A:$A,$E332))</f>
        <v/>
      </c>
      <c r="B332" s="5">
        <f>IF($E332="","",INDEX('Input Transaksi'!$D:$D,$E332))</f>
        <v/>
      </c>
      <c r="C332">
        <f>IF($E332="","",INDEX('Input Transaksi'!$E:$E,$E332))</f>
        <v/>
      </c>
      <c r="D332" s="5">
        <f>IF($E332="","",INDEX('Input Transaksi'!$F:$F,$E332))</f>
        <v/>
      </c>
      <c r="E332">
        <f>IFERROR(AGGREGATE(15,6,ROW('Input Transaksi'!$B$5:$B$5000)/('Input Transaksi'!$B$5:$B$5000="BALI WASH"),ROWS($E$5:E332)),"")</f>
        <v/>
      </c>
      <c r="F332" s="5" t="n"/>
    </row>
    <row r="333">
      <c r="A333" s="10">
        <f>IF($E333="","",INDEX('Input Transaksi'!$A:$A,$E333))</f>
        <v/>
      </c>
      <c r="B333" s="5">
        <f>IF($E333="","",INDEX('Input Transaksi'!$D:$D,$E333))</f>
        <v/>
      </c>
      <c r="C333">
        <f>IF($E333="","",INDEX('Input Transaksi'!$E:$E,$E333))</f>
        <v/>
      </c>
      <c r="D333" s="5">
        <f>IF($E333="","",INDEX('Input Transaksi'!$F:$F,$E333))</f>
        <v/>
      </c>
      <c r="E333">
        <f>IFERROR(AGGREGATE(15,6,ROW('Input Transaksi'!$B$5:$B$5000)/('Input Transaksi'!$B$5:$B$5000="BALI WASH"),ROWS($E$5:E333)),"")</f>
        <v/>
      </c>
      <c r="F333" s="5" t="n"/>
    </row>
    <row r="334">
      <c r="A334" s="10">
        <f>IF($E334="","",INDEX('Input Transaksi'!$A:$A,$E334))</f>
        <v/>
      </c>
      <c r="B334" s="5">
        <f>IF($E334="","",INDEX('Input Transaksi'!$D:$D,$E334))</f>
        <v/>
      </c>
      <c r="C334">
        <f>IF($E334="","",INDEX('Input Transaksi'!$E:$E,$E334))</f>
        <v/>
      </c>
      <c r="D334" s="5">
        <f>IF($E334="","",INDEX('Input Transaksi'!$F:$F,$E334))</f>
        <v/>
      </c>
      <c r="E334">
        <f>IFERROR(AGGREGATE(15,6,ROW('Input Transaksi'!$B$5:$B$5000)/('Input Transaksi'!$B$5:$B$5000="BALI WASH"),ROWS($E$5:E334)),"")</f>
        <v/>
      </c>
      <c r="F334" s="5" t="n"/>
    </row>
    <row r="335">
      <c r="A335" s="10">
        <f>IF($E335="","",INDEX('Input Transaksi'!$A:$A,$E335))</f>
        <v/>
      </c>
      <c r="B335" s="5">
        <f>IF($E335="","",INDEX('Input Transaksi'!$D:$D,$E335))</f>
        <v/>
      </c>
      <c r="C335">
        <f>IF($E335="","",INDEX('Input Transaksi'!$E:$E,$E335))</f>
        <v/>
      </c>
      <c r="D335" s="5">
        <f>IF($E335="","",INDEX('Input Transaksi'!$F:$F,$E335))</f>
        <v/>
      </c>
      <c r="E335">
        <f>IFERROR(AGGREGATE(15,6,ROW('Input Transaksi'!$B$5:$B$5000)/('Input Transaksi'!$B$5:$B$5000="BALI WASH"),ROWS($E$5:E335)),"")</f>
        <v/>
      </c>
      <c r="F335" s="5" t="n"/>
    </row>
    <row r="336">
      <c r="A336" s="10">
        <f>IF($E336="","",INDEX('Input Transaksi'!$A:$A,$E336))</f>
        <v/>
      </c>
      <c r="B336" s="5">
        <f>IF($E336="","",INDEX('Input Transaksi'!$D:$D,$E336))</f>
        <v/>
      </c>
      <c r="C336">
        <f>IF($E336="","",INDEX('Input Transaksi'!$E:$E,$E336))</f>
        <v/>
      </c>
      <c r="D336" s="5">
        <f>IF($E336="","",INDEX('Input Transaksi'!$F:$F,$E336))</f>
        <v/>
      </c>
      <c r="E336">
        <f>IFERROR(AGGREGATE(15,6,ROW('Input Transaksi'!$B$5:$B$5000)/('Input Transaksi'!$B$5:$B$5000="BALI WASH"),ROWS($E$5:E336)),"")</f>
        <v/>
      </c>
      <c r="F336" s="5" t="n"/>
    </row>
    <row r="337">
      <c r="A337" s="10">
        <f>IF($E337="","",INDEX('Input Transaksi'!$A:$A,$E337))</f>
        <v/>
      </c>
      <c r="B337" s="5">
        <f>IF($E337="","",INDEX('Input Transaksi'!$D:$D,$E337))</f>
        <v/>
      </c>
      <c r="C337">
        <f>IF($E337="","",INDEX('Input Transaksi'!$E:$E,$E337))</f>
        <v/>
      </c>
      <c r="D337" s="5">
        <f>IF($E337="","",INDEX('Input Transaksi'!$F:$F,$E337))</f>
        <v/>
      </c>
      <c r="E337">
        <f>IFERROR(AGGREGATE(15,6,ROW('Input Transaksi'!$B$5:$B$5000)/('Input Transaksi'!$B$5:$B$5000="BALI WASH"),ROWS($E$5:E337)),"")</f>
        <v/>
      </c>
      <c r="F337" s="5" t="n"/>
    </row>
    <row r="338">
      <c r="A338" s="10">
        <f>IF($E338="","",INDEX('Input Transaksi'!$A:$A,$E338))</f>
        <v/>
      </c>
      <c r="B338" s="5">
        <f>IF($E338="","",INDEX('Input Transaksi'!$D:$D,$E338))</f>
        <v/>
      </c>
      <c r="C338">
        <f>IF($E338="","",INDEX('Input Transaksi'!$E:$E,$E338))</f>
        <v/>
      </c>
      <c r="D338" s="5">
        <f>IF($E338="","",INDEX('Input Transaksi'!$F:$F,$E338))</f>
        <v/>
      </c>
      <c r="E338">
        <f>IFERROR(AGGREGATE(15,6,ROW('Input Transaksi'!$B$5:$B$5000)/('Input Transaksi'!$B$5:$B$5000="BALI WASH"),ROWS($E$5:E338)),"")</f>
        <v/>
      </c>
      <c r="F338" s="5" t="n"/>
    </row>
    <row r="339">
      <c r="A339" s="10">
        <f>IF($E339="","",INDEX('Input Transaksi'!$A:$A,$E339))</f>
        <v/>
      </c>
      <c r="B339" s="5">
        <f>IF($E339="","",INDEX('Input Transaksi'!$D:$D,$E339))</f>
        <v/>
      </c>
      <c r="C339">
        <f>IF($E339="","",INDEX('Input Transaksi'!$E:$E,$E339))</f>
        <v/>
      </c>
      <c r="D339" s="5">
        <f>IF($E339="","",INDEX('Input Transaksi'!$F:$F,$E339))</f>
        <v/>
      </c>
      <c r="E339">
        <f>IFERROR(AGGREGATE(15,6,ROW('Input Transaksi'!$B$5:$B$5000)/('Input Transaksi'!$B$5:$B$5000="BALI WASH"),ROWS($E$5:E339)),"")</f>
        <v/>
      </c>
      <c r="F339" s="5" t="n"/>
    </row>
    <row r="340">
      <c r="A340" s="10">
        <f>IF($E340="","",INDEX('Input Transaksi'!$A:$A,$E340))</f>
        <v/>
      </c>
      <c r="B340" s="5">
        <f>IF($E340="","",INDEX('Input Transaksi'!$D:$D,$E340))</f>
        <v/>
      </c>
      <c r="C340">
        <f>IF($E340="","",INDEX('Input Transaksi'!$E:$E,$E340))</f>
        <v/>
      </c>
      <c r="D340" s="5">
        <f>IF($E340="","",INDEX('Input Transaksi'!$F:$F,$E340))</f>
        <v/>
      </c>
      <c r="E340">
        <f>IFERROR(AGGREGATE(15,6,ROW('Input Transaksi'!$B$5:$B$5000)/('Input Transaksi'!$B$5:$B$5000="BALI WASH"),ROWS($E$5:E340)),"")</f>
        <v/>
      </c>
      <c r="F340" s="5" t="n"/>
    </row>
    <row r="341">
      <c r="A341" s="10">
        <f>IF($E341="","",INDEX('Input Transaksi'!$A:$A,$E341))</f>
        <v/>
      </c>
      <c r="B341" s="5">
        <f>IF($E341="","",INDEX('Input Transaksi'!$D:$D,$E341))</f>
        <v/>
      </c>
      <c r="C341">
        <f>IF($E341="","",INDEX('Input Transaksi'!$E:$E,$E341))</f>
        <v/>
      </c>
      <c r="D341" s="5">
        <f>IF($E341="","",INDEX('Input Transaksi'!$F:$F,$E341))</f>
        <v/>
      </c>
      <c r="E341">
        <f>IFERROR(AGGREGATE(15,6,ROW('Input Transaksi'!$B$5:$B$5000)/('Input Transaksi'!$B$5:$B$5000="BALI WASH"),ROWS($E$5:E341)),"")</f>
        <v/>
      </c>
      <c r="F341" s="5" t="n"/>
    </row>
    <row r="342">
      <c r="A342" s="10">
        <f>IF($E342="","",INDEX('Input Transaksi'!$A:$A,$E342))</f>
        <v/>
      </c>
      <c r="B342" s="5">
        <f>IF($E342="","",INDEX('Input Transaksi'!$D:$D,$E342))</f>
        <v/>
      </c>
      <c r="C342">
        <f>IF($E342="","",INDEX('Input Transaksi'!$E:$E,$E342))</f>
        <v/>
      </c>
      <c r="D342" s="5">
        <f>IF($E342="","",INDEX('Input Transaksi'!$F:$F,$E342))</f>
        <v/>
      </c>
      <c r="E342">
        <f>IFERROR(AGGREGATE(15,6,ROW('Input Transaksi'!$B$5:$B$5000)/('Input Transaksi'!$B$5:$B$5000="BALI WASH"),ROWS($E$5:E342)),"")</f>
        <v/>
      </c>
      <c r="F342" s="5" t="n"/>
    </row>
    <row r="343">
      <c r="A343" s="10">
        <f>IF($E343="","",INDEX('Input Transaksi'!$A:$A,$E343))</f>
        <v/>
      </c>
      <c r="B343" s="5">
        <f>IF($E343="","",INDEX('Input Transaksi'!$D:$D,$E343))</f>
        <v/>
      </c>
      <c r="C343">
        <f>IF($E343="","",INDEX('Input Transaksi'!$E:$E,$E343))</f>
        <v/>
      </c>
      <c r="D343" s="5">
        <f>IF($E343="","",INDEX('Input Transaksi'!$F:$F,$E343))</f>
        <v/>
      </c>
      <c r="E343">
        <f>IFERROR(AGGREGATE(15,6,ROW('Input Transaksi'!$B$5:$B$5000)/('Input Transaksi'!$B$5:$B$5000="BALI WASH"),ROWS($E$5:E343)),"")</f>
        <v/>
      </c>
      <c r="F343" s="5" t="n"/>
    </row>
    <row r="344">
      <c r="A344" s="10">
        <f>IF($E344="","",INDEX('Input Transaksi'!$A:$A,$E344))</f>
        <v/>
      </c>
      <c r="B344" s="5">
        <f>IF($E344="","",INDEX('Input Transaksi'!$D:$D,$E344))</f>
        <v/>
      </c>
      <c r="C344">
        <f>IF($E344="","",INDEX('Input Transaksi'!$E:$E,$E344))</f>
        <v/>
      </c>
      <c r="D344" s="5">
        <f>IF($E344="","",INDEX('Input Transaksi'!$F:$F,$E344))</f>
        <v/>
      </c>
      <c r="E344">
        <f>IFERROR(AGGREGATE(15,6,ROW('Input Transaksi'!$B$5:$B$5000)/('Input Transaksi'!$B$5:$B$5000="BALI WASH"),ROWS($E$5:E344)),"")</f>
        <v/>
      </c>
      <c r="F344" s="5" t="n"/>
    </row>
    <row r="345">
      <c r="A345" s="10">
        <f>IF($E345="","",INDEX('Input Transaksi'!$A:$A,$E345))</f>
        <v/>
      </c>
      <c r="B345" s="5">
        <f>IF($E345="","",INDEX('Input Transaksi'!$D:$D,$E345))</f>
        <v/>
      </c>
      <c r="C345">
        <f>IF($E345="","",INDEX('Input Transaksi'!$E:$E,$E345))</f>
        <v/>
      </c>
      <c r="D345" s="5">
        <f>IF($E345="","",INDEX('Input Transaksi'!$F:$F,$E345))</f>
        <v/>
      </c>
      <c r="E345">
        <f>IFERROR(AGGREGATE(15,6,ROW('Input Transaksi'!$B$5:$B$5000)/('Input Transaksi'!$B$5:$B$5000="BALI WASH"),ROWS($E$5:E345)),"")</f>
        <v/>
      </c>
      <c r="F345" s="5" t="n"/>
    </row>
    <row r="346">
      <c r="A346" s="10">
        <f>IF($E346="","",INDEX('Input Transaksi'!$A:$A,$E346))</f>
        <v/>
      </c>
      <c r="B346" s="5">
        <f>IF($E346="","",INDEX('Input Transaksi'!$D:$D,$E346))</f>
        <v/>
      </c>
      <c r="C346">
        <f>IF($E346="","",INDEX('Input Transaksi'!$E:$E,$E346))</f>
        <v/>
      </c>
      <c r="D346" s="5">
        <f>IF($E346="","",INDEX('Input Transaksi'!$F:$F,$E346))</f>
        <v/>
      </c>
      <c r="E346">
        <f>IFERROR(AGGREGATE(15,6,ROW('Input Transaksi'!$B$5:$B$5000)/('Input Transaksi'!$B$5:$B$5000="BALI WASH"),ROWS($E$5:E346)),"")</f>
        <v/>
      </c>
      <c r="F346" s="5" t="n"/>
    </row>
    <row r="347">
      <c r="A347" s="10">
        <f>IF($E347="","",INDEX('Input Transaksi'!$A:$A,$E347))</f>
        <v/>
      </c>
      <c r="B347" s="5">
        <f>IF($E347="","",INDEX('Input Transaksi'!$D:$D,$E347))</f>
        <v/>
      </c>
      <c r="C347">
        <f>IF($E347="","",INDEX('Input Transaksi'!$E:$E,$E347))</f>
        <v/>
      </c>
      <c r="D347" s="5">
        <f>IF($E347="","",INDEX('Input Transaksi'!$F:$F,$E347))</f>
        <v/>
      </c>
      <c r="E347">
        <f>IFERROR(AGGREGATE(15,6,ROW('Input Transaksi'!$B$5:$B$5000)/('Input Transaksi'!$B$5:$B$5000="BALI WASH"),ROWS($E$5:E347)),"")</f>
        <v/>
      </c>
      <c r="F347" s="5" t="n"/>
    </row>
    <row r="348">
      <c r="A348" s="10">
        <f>IF($E348="","",INDEX('Input Transaksi'!$A:$A,$E348))</f>
        <v/>
      </c>
      <c r="B348" s="5">
        <f>IF($E348="","",INDEX('Input Transaksi'!$D:$D,$E348))</f>
        <v/>
      </c>
      <c r="C348">
        <f>IF($E348="","",INDEX('Input Transaksi'!$E:$E,$E348))</f>
        <v/>
      </c>
      <c r="D348" s="5">
        <f>IF($E348="","",INDEX('Input Transaksi'!$F:$F,$E348))</f>
        <v/>
      </c>
      <c r="E348">
        <f>IFERROR(AGGREGATE(15,6,ROW('Input Transaksi'!$B$5:$B$5000)/('Input Transaksi'!$B$5:$B$5000="BALI WASH"),ROWS($E$5:E348)),"")</f>
        <v/>
      </c>
      <c r="F348" s="5" t="n"/>
    </row>
    <row r="349">
      <c r="A349" s="10">
        <f>IF($E349="","",INDEX('Input Transaksi'!$A:$A,$E349))</f>
        <v/>
      </c>
      <c r="B349" s="5">
        <f>IF($E349="","",INDEX('Input Transaksi'!$D:$D,$E349))</f>
        <v/>
      </c>
      <c r="C349">
        <f>IF($E349="","",INDEX('Input Transaksi'!$E:$E,$E349))</f>
        <v/>
      </c>
      <c r="D349" s="5">
        <f>IF($E349="","",INDEX('Input Transaksi'!$F:$F,$E349))</f>
        <v/>
      </c>
      <c r="E349">
        <f>IFERROR(AGGREGATE(15,6,ROW('Input Transaksi'!$B$5:$B$5000)/('Input Transaksi'!$B$5:$B$5000="BALI WASH"),ROWS($E$5:E349)),"")</f>
        <v/>
      </c>
      <c r="F349" s="5" t="n"/>
    </row>
    <row r="350">
      <c r="A350" s="10">
        <f>IF($E350="","",INDEX('Input Transaksi'!$A:$A,$E350))</f>
        <v/>
      </c>
      <c r="B350" s="5">
        <f>IF($E350="","",INDEX('Input Transaksi'!$D:$D,$E350))</f>
        <v/>
      </c>
      <c r="C350">
        <f>IF($E350="","",INDEX('Input Transaksi'!$E:$E,$E350))</f>
        <v/>
      </c>
      <c r="D350" s="5">
        <f>IF($E350="","",INDEX('Input Transaksi'!$F:$F,$E350))</f>
        <v/>
      </c>
      <c r="E350">
        <f>IFERROR(AGGREGATE(15,6,ROW('Input Transaksi'!$B$5:$B$5000)/('Input Transaksi'!$B$5:$B$5000="BALI WASH"),ROWS($E$5:E350)),"")</f>
        <v/>
      </c>
      <c r="F350" s="5" t="n"/>
    </row>
    <row r="351">
      <c r="A351" s="10">
        <f>IF($E351="","",INDEX('Input Transaksi'!$A:$A,$E351))</f>
        <v/>
      </c>
      <c r="B351" s="5">
        <f>IF($E351="","",INDEX('Input Transaksi'!$D:$D,$E351))</f>
        <v/>
      </c>
      <c r="C351">
        <f>IF($E351="","",INDEX('Input Transaksi'!$E:$E,$E351))</f>
        <v/>
      </c>
      <c r="D351" s="5">
        <f>IF($E351="","",INDEX('Input Transaksi'!$F:$F,$E351))</f>
        <v/>
      </c>
      <c r="E351">
        <f>IFERROR(AGGREGATE(15,6,ROW('Input Transaksi'!$B$5:$B$5000)/('Input Transaksi'!$B$5:$B$5000="BALI WASH"),ROWS($E$5:E351)),"")</f>
        <v/>
      </c>
      <c r="F351" s="5" t="n"/>
    </row>
    <row r="352">
      <c r="A352" s="10">
        <f>IF($E352="","",INDEX('Input Transaksi'!$A:$A,$E352))</f>
        <v/>
      </c>
      <c r="B352" s="5">
        <f>IF($E352="","",INDEX('Input Transaksi'!$D:$D,$E352))</f>
        <v/>
      </c>
      <c r="C352">
        <f>IF($E352="","",INDEX('Input Transaksi'!$E:$E,$E352))</f>
        <v/>
      </c>
      <c r="D352" s="5">
        <f>IF($E352="","",INDEX('Input Transaksi'!$F:$F,$E352))</f>
        <v/>
      </c>
      <c r="E352">
        <f>IFERROR(AGGREGATE(15,6,ROW('Input Transaksi'!$B$5:$B$5000)/('Input Transaksi'!$B$5:$B$5000="BALI WASH"),ROWS($E$5:E352)),"")</f>
        <v/>
      </c>
      <c r="F352" s="5" t="n"/>
    </row>
    <row r="353">
      <c r="A353" s="10">
        <f>IF($E353="","",INDEX('Input Transaksi'!$A:$A,$E353))</f>
        <v/>
      </c>
      <c r="B353" s="5">
        <f>IF($E353="","",INDEX('Input Transaksi'!$D:$D,$E353))</f>
        <v/>
      </c>
      <c r="C353">
        <f>IF($E353="","",INDEX('Input Transaksi'!$E:$E,$E353))</f>
        <v/>
      </c>
      <c r="D353" s="5">
        <f>IF($E353="","",INDEX('Input Transaksi'!$F:$F,$E353))</f>
        <v/>
      </c>
      <c r="E353">
        <f>IFERROR(AGGREGATE(15,6,ROW('Input Transaksi'!$B$5:$B$5000)/('Input Transaksi'!$B$5:$B$5000="BALI WASH"),ROWS($E$5:E353)),"")</f>
        <v/>
      </c>
      <c r="F353" s="5" t="n"/>
    </row>
    <row r="354">
      <c r="A354" s="10">
        <f>IF($E354="","",INDEX('Input Transaksi'!$A:$A,$E354))</f>
        <v/>
      </c>
      <c r="B354" s="5">
        <f>IF($E354="","",INDEX('Input Transaksi'!$D:$D,$E354))</f>
        <v/>
      </c>
      <c r="C354">
        <f>IF($E354="","",INDEX('Input Transaksi'!$E:$E,$E354))</f>
        <v/>
      </c>
      <c r="D354" s="5">
        <f>IF($E354="","",INDEX('Input Transaksi'!$F:$F,$E354))</f>
        <v/>
      </c>
      <c r="E354">
        <f>IFERROR(AGGREGATE(15,6,ROW('Input Transaksi'!$B$5:$B$5000)/('Input Transaksi'!$B$5:$B$5000="BALI WASH"),ROWS($E$5:E354)),"")</f>
        <v/>
      </c>
      <c r="F354" s="5" t="n"/>
    </row>
    <row r="355">
      <c r="A355" s="10">
        <f>IF($E355="","",INDEX('Input Transaksi'!$A:$A,$E355))</f>
        <v/>
      </c>
      <c r="B355" s="5">
        <f>IF($E355="","",INDEX('Input Transaksi'!$D:$D,$E355))</f>
        <v/>
      </c>
      <c r="C355">
        <f>IF($E355="","",INDEX('Input Transaksi'!$E:$E,$E355))</f>
        <v/>
      </c>
      <c r="D355" s="5">
        <f>IF($E355="","",INDEX('Input Transaksi'!$F:$F,$E355))</f>
        <v/>
      </c>
      <c r="E355">
        <f>IFERROR(AGGREGATE(15,6,ROW('Input Transaksi'!$B$5:$B$5000)/('Input Transaksi'!$B$5:$B$5000="BALI WASH"),ROWS($E$5:E355)),"")</f>
        <v/>
      </c>
      <c r="F355" s="5" t="n"/>
    </row>
    <row r="356">
      <c r="A356" s="10">
        <f>IF($E356="","",INDEX('Input Transaksi'!$A:$A,$E356))</f>
        <v/>
      </c>
      <c r="B356" s="5">
        <f>IF($E356="","",INDEX('Input Transaksi'!$D:$D,$E356))</f>
        <v/>
      </c>
      <c r="C356">
        <f>IF($E356="","",INDEX('Input Transaksi'!$E:$E,$E356))</f>
        <v/>
      </c>
      <c r="D356" s="5">
        <f>IF($E356="","",INDEX('Input Transaksi'!$F:$F,$E356))</f>
        <v/>
      </c>
      <c r="E356">
        <f>IFERROR(AGGREGATE(15,6,ROW('Input Transaksi'!$B$5:$B$5000)/('Input Transaksi'!$B$5:$B$5000="BALI WASH"),ROWS($E$5:E356)),"")</f>
        <v/>
      </c>
      <c r="F356" s="5" t="n"/>
    </row>
    <row r="357">
      <c r="A357" s="10">
        <f>IF($E357="","",INDEX('Input Transaksi'!$A:$A,$E357))</f>
        <v/>
      </c>
      <c r="B357" s="5">
        <f>IF($E357="","",INDEX('Input Transaksi'!$D:$D,$E357))</f>
        <v/>
      </c>
      <c r="C357">
        <f>IF($E357="","",INDEX('Input Transaksi'!$E:$E,$E357))</f>
        <v/>
      </c>
      <c r="D357" s="5">
        <f>IF($E357="","",INDEX('Input Transaksi'!$F:$F,$E357))</f>
        <v/>
      </c>
      <c r="E357">
        <f>IFERROR(AGGREGATE(15,6,ROW('Input Transaksi'!$B$5:$B$5000)/('Input Transaksi'!$B$5:$B$5000="BALI WASH"),ROWS($E$5:E357)),"")</f>
        <v/>
      </c>
      <c r="F357" s="5" t="n"/>
    </row>
    <row r="358">
      <c r="A358" s="10">
        <f>IF($E358="","",INDEX('Input Transaksi'!$A:$A,$E358))</f>
        <v/>
      </c>
      <c r="B358" s="5">
        <f>IF($E358="","",INDEX('Input Transaksi'!$D:$D,$E358))</f>
        <v/>
      </c>
      <c r="C358">
        <f>IF($E358="","",INDEX('Input Transaksi'!$E:$E,$E358))</f>
        <v/>
      </c>
      <c r="D358" s="5">
        <f>IF($E358="","",INDEX('Input Transaksi'!$F:$F,$E358))</f>
        <v/>
      </c>
      <c r="E358">
        <f>IFERROR(AGGREGATE(15,6,ROW('Input Transaksi'!$B$5:$B$5000)/('Input Transaksi'!$B$5:$B$5000="BALI WASH"),ROWS($E$5:E358)),"")</f>
        <v/>
      </c>
      <c r="F358" s="5" t="n"/>
    </row>
    <row r="359">
      <c r="A359" s="10">
        <f>IF($E359="","",INDEX('Input Transaksi'!$A:$A,$E359))</f>
        <v/>
      </c>
      <c r="B359" s="5">
        <f>IF($E359="","",INDEX('Input Transaksi'!$D:$D,$E359))</f>
        <v/>
      </c>
      <c r="C359">
        <f>IF($E359="","",INDEX('Input Transaksi'!$E:$E,$E359))</f>
        <v/>
      </c>
      <c r="D359" s="5">
        <f>IF($E359="","",INDEX('Input Transaksi'!$F:$F,$E359))</f>
        <v/>
      </c>
      <c r="E359">
        <f>IFERROR(AGGREGATE(15,6,ROW('Input Transaksi'!$B$5:$B$5000)/('Input Transaksi'!$B$5:$B$5000="BALI WASH"),ROWS($E$5:E359)),"")</f>
        <v/>
      </c>
      <c r="F359" s="5" t="n"/>
    </row>
    <row r="360">
      <c r="A360" s="10">
        <f>IF($E360="","",INDEX('Input Transaksi'!$A:$A,$E360))</f>
        <v/>
      </c>
      <c r="B360" s="5">
        <f>IF($E360="","",INDEX('Input Transaksi'!$D:$D,$E360))</f>
        <v/>
      </c>
      <c r="C360">
        <f>IF($E360="","",INDEX('Input Transaksi'!$E:$E,$E360))</f>
        <v/>
      </c>
      <c r="D360" s="5">
        <f>IF($E360="","",INDEX('Input Transaksi'!$F:$F,$E360))</f>
        <v/>
      </c>
      <c r="E360">
        <f>IFERROR(AGGREGATE(15,6,ROW('Input Transaksi'!$B$5:$B$5000)/('Input Transaksi'!$B$5:$B$5000="BALI WASH"),ROWS($E$5:E360)),"")</f>
        <v/>
      </c>
      <c r="F360" s="5" t="n"/>
    </row>
    <row r="361">
      <c r="A361" s="10">
        <f>IF($E361="","",INDEX('Input Transaksi'!$A:$A,$E361))</f>
        <v/>
      </c>
      <c r="B361" s="5">
        <f>IF($E361="","",INDEX('Input Transaksi'!$D:$D,$E361))</f>
        <v/>
      </c>
      <c r="C361">
        <f>IF($E361="","",INDEX('Input Transaksi'!$E:$E,$E361))</f>
        <v/>
      </c>
      <c r="D361" s="5">
        <f>IF($E361="","",INDEX('Input Transaksi'!$F:$F,$E361))</f>
        <v/>
      </c>
      <c r="E361">
        <f>IFERROR(AGGREGATE(15,6,ROW('Input Transaksi'!$B$5:$B$5000)/('Input Transaksi'!$B$5:$B$5000="BALI WASH"),ROWS($E$5:E361)),"")</f>
        <v/>
      </c>
      <c r="F361" s="5" t="n"/>
    </row>
    <row r="362">
      <c r="A362" s="10">
        <f>IF($E362="","",INDEX('Input Transaksi'!$A:$A,$E362))</f>
        <v/>
      </c>
      <c r="B362" s="5">
        <f>IF($E362="","",INDEX('Input Transaksi'!$D:$D,$E362))</f>
        <v/>
      </c>
      <c r="C362">
        <f>IF($E362="","",INDEX('Input Transaksi'!$E:$E,$E362))</f>
        <v/>
      </c>
      <c r="D362" s="5">
        <f>IF($E362="","",INDEX('Input Transaksi'!$F:$F,$E362))</f>
        <v/>
      </c>
      <c r="E362">
        <f>IFERROR(AGGREGATE(15,6,ROW('Input Transaksi'!$B$5:$B$5000)/('Input Transaksi'!$B$5:$B$5000="BALI WASH"),ROWS($E$5:E362)),"")</f>
        <v/>
      </c>
      <c r="F362" s="5" t="n"/>
    </row>
    <row r="363">
      <c r="A363" s="10">
        <f>IF($E363="","",INDEX('Input Transaksi'!$A:$A,$E363))</f>
        <v/>
      </c>
      <c r="B363" s="5">
        <f>IF($E363="","",INDEX('Input Transaksi'!$D:$D,$E363))</f>
        <v/>
      </c>
      <c r="C363">
        <f>IF($E363="","",INDEX('Input Transaksi'!$E:$E,$E363))</f>
        <v/>
      </c>
      <c r="D363" s="5">
        <f>IF($E363="","",INDEX('Input Transaksi'!$F:$F,$E363))</f>
        <v/>
      </c>
      <c r="E363">
        <f>IFERROR(AGGREGATE(15,6,ROW('Input Transaksi'!$B$5:$B$5000)/('Input Transaksi'!$B$5:$B$5000="BALI WASH"),ROWS($E$5:E363)),"")</f>
        <v/>
      </c>
      <c r="F363" s="5" t="n"/>
    </row>
    <row r="364">
      <c r="A364" s="10">
        <f>IF($E364="","",INDEX('Input Transaksi'!$A:$A,$E364))</f>
        <v/>
      </c>
      <c r="B364" s="5">
        <f>IF($E364="","",INDEX('Input Transaksi'!$D:$D,$E364))</f>
        <v/>
      </c>
      <c r="C364">
        <f>IF($E364="","",INDEX('Input Transaksi'!$E:$E,$E364))</f>
        <v/>
      </c>
      <c r="D364" s="5">
        <f>IF($E364="","",INDEX('Input Transaksi'!$F:$F,$E364))</f>
        <v/>
      </c>
      <c r="E364">
        <f>IFERROR(AGGREGATE(15,6,ROW('Input Transaksi'!$B$5:$B$5000)/('Input Transaksi'!$B$5:$B$5000="BALI WASH"),ROWS($E$5:E364)),"")</f>
        <v/>
      </c>
      <c r="F364" s="5" t="n"/>
    </row>
    <row r="365">
      <c r="A365" s="10">
        <f>IF($E365="","",INDEX('Input Transaksi'!$A:$A,$E365))</f>
        <v/>
      </c>
      <c r="B365" s="5">
        <f>IF($E365="","",INDEX('Input Transaksi'!$D:$D,$E365))</f>
        <v/>
      </c>
      <c r="C365">
        <f>IF($E365="","",INDEX('Input Transaksi'!$E:$E,$E365))</f>
        <v/>
      </c>
      <c r="D365" s="5">
        <f>IF($E365="","",INDEX('Input Transaksi'!$F:$F,$E365))</f>
        <v/>
      </c>
      <c r="E365">
        <f>IFERROR(AGGREGATE(15,6,ROW('Input Transaksi'!$B$5:$B$5000)/('Input Transaksi'!$B$5:$B$5000="BALI WASH"),ROWS($E$5:E365)),"")</f>
        <v/>
      </c>
      <c r="F365" s="5" t="n"/>
    </row>
    <row r="366">
      <c r="A366" s="10">
        <f>IF($E366="","",INDEX('Input Transaksi'!$A:$A,$E366))</f>
        <v/>
      </c>
      <c r="B366" s="5">
        <f>IF($E366="","",INDEX('Input Transaksi'!$D:$D,$E366))</f>
        <v/>
      </c>
      <c r="C366">
        <f>IF($E366="","",INDEX('Input Transaksi'!$E:$E,$E366))</f>
        <v/>
      </c>
      <c r="D366" s="5">
        <f>IF($E366="","",INDEX('Input Transaksi'!$F:$F,$E366))</f>
        <v/>
      </c>
      <c r="E366">
        <f>IFERROR(AGGREGATE(15,6,ROW('Input Transaksi'!$B$5:$B$5000)/('Input Transaksi'!$B$5:$B$5000="BALI WASH"),ROWS($E$5:E366)),"")</f>
        <v/>
      </c>
      <c r="F366" s="5" t="n"/>
    </row>
    <row r="367">
      <c r="A367" s="10">
        <f>IF($E367="","",INDEX('Input Transaksi'!$A:$A,$E367))</f>
        <v/>
      </c>
      <c r="B367" s="5">
        <f>IF($E367="","",INDEX('Input Transaksi'!$D:$D,$E367))</f>
        <v/>
      </c>
      <c r="C367">
        <f>IF($E367="","",INDEX('Input Transaksi'!$E:$E,$E367))</f>
        <v/>
      </c>
      <c r="D367" s="5">
        <f>IF($E367="","",INDEX('Input Transaksi'!$F:$F,$E367))</f>
        <v/>
      </c>
      <c r="E367">
        <f>IFERROR(AGGREGATE(15,6,ROW('Input Transaksi'!$B$5:$B$5000)/('Input Transaksi'!$B$5:$B$5000="BALI WASH"),ROWS($E$5:E367)),"")</f>
        <v/>
      </c>
      <c r="F367" s="5" t="n"/>
    </row>
    <row r="368">
      <c r="A368" s="10">
        <f>IF($E368="","",INDEX('Input Transaksi'!$A:$A,$E368))</f>
        <v/>
      </c>
      <c r="B368" s="5">
        <f>IF($E368="","",INDEX('Input Transaksi'!$D:$D,$E368))</f>
        <v/>
      </c>
      <c r="C368">
        <f>IF($E368="","",INDEX('Input Transaksi'!$E:$E,$E368))</f>
        <v/>
      </c>
      <c r="D368" s="5">
        <f>IF($E368="","",INDEX('Input Transaksi'!$F:$F,$E368))</f>
        <v/>
      </c>
      <c r="E368">
        <f>IFERROR(AGGREGATE(15,6,ROW('Input Transaksi'!$B$5:$B$5000)/('Input Transaksi'!$B$5:$B$5000="BALI WASH"),ROWS($E$5:E368)),"")</f>
        <v/>
      </c>
      <c r="F368" s="5" t="n"/>
    </row>
    <row r="369">
      <c r="A369" s="10">
        <f>IF($E369="","",INDEX('Input Transaksi'!$A:$A,$E369))</f>
        <v/>
      </c>
      <c r="B369" s="5">
        <f>IF($E369="","",INDEX('Input Transaksi'!$D:$D,$E369))</f>
        <v/>
      </c>
      <c r="C369">
        <f>IF($E369="","",INDEX('Input Transaksi'!$E:$E,$E369))</f>
        <v/>
      </c>
      <c r="D369" s="5">
        <f>IF($E369="","",INDEX('Input Transaksi'!$F:$F,$E369))</f>
        <v/>
      </c>
      <c r="E369">
        <f>IFERROR(AGGREGATE(15,6,ROW('Input Transaksi'!$B$5:$B$5000)/('Input Transaksi'!$B$5:$B$5000="BALI WASH"),ROWS($E$5:E369)),"")</f>
        <v/>
      </c>
      <c r="F369" s="5" t="n"/>
    </row>
    <row r="370">
      <c r="A370" s="10">
        <f>IF($E370="","",INDEX('Input Transaksi'!$A:$A,$E370))</f>
        <v/>
      </c>
      <c r="B370" s="5">
        <f>IF($E370="","",INDEX('Input Transaksi'!$D:$D,$E370))</f>
        <v/>
      </c>
      <c r="C370">
        <f>IF($E370="","",INDEX('Input Transaksi'!$E:$E,$E370))</f>
        <v/>
      </c>
      <c r="D370" s="5">
        <f>IF($E370="","",INDEX('Input Transaksi'!$F:$F,$E370))</f>
        <v/>
      </c>
      <c r="E370">
        <f>IFERROR(AGGREGATE(15,6,ROW('Input Transaksi'!$B$5:$B$5000)/('Input Transaksi'!$B$5:$B$5000="BALI WASH"),ROWS($E$5:E370)),"")</f>
        <v/>
      </c>
      <c r="F370" s="5" t="n"/>
    </row>
    <row r="371">
      <c r="A371" s="10">
        <f>IF($E371="","",INDEX('Input Transaksi'!$A:$A,$E371))</f>
        <v/>
      </c>
      <c r="B371" s="5">
        <f>IF($E371="","",INDEX('Input Transaksi'!$D:$D,$E371))</f>
        <v/>
      </c>
      <c r="C371">
        <f>IF($E371="","",INDEX('Input Transaksi'!$E:$E,$E371))</f>
        <v/>
      </c>
      <c r="D371" s="5">
        <f>IF($E371="","",INDEX('Input Transaksi'!$F:$F,$E371))</f>
        <v/>
      </c>
      <c r="E371">
        <f>IFERROR(AGGREGATE(15,6,ROW('Input Transaksi'!$B$5:$B$5000)/('Input Transaksi'!$B$5:$B$5000="BALI WASH"),ROWS($E$5:E371)),"")</f>
        <v/>
      </c>
      <c r="F371" s="5" t="n"/>
    </row>
    <row r="372">
      <c r="A372" s="10">
        <f>IF($E372="","",INDEX('Input Transaksi'!$A:$A,$E372))</f>
        <v/>
      </c>
      <c r="B372" s="5">
        <f>IF($E372="","",INDEX('Input Transaksi'!$D:$D,$E372))</f>
        <v/>
      </c>
      <c r="C372">
        <f>IF($E372="","",INDEX('Input Transaksi'!$E:$E,$E372))</f>
        <v/>
      </c>
      <c r="D372" s="5">
        <f>IF($E372="","",INDEX('Input Transaksi'!$F:$F,$E372))</f>
        <v/>
      </c>
      <c r="E372">
        <f>IFERROR(AGGREGATE(15,6,ROW('Input Transaksi'!$B$5:$B$5000)/('Input Transaksi'!$B$5:$B$5000="BALI WASH"),ROWS($E$5:E372)),"")</f>
        <v/>
      </c>
      <c r="F372" s="5" t="n"/>
    </row>
    <row r="373">
      <c r="A373" s="10">
        <f>IF($E373="","",INDEX('Input Transaksi'!$A:$A,$E373))</f>
        <v/>
      </c>
      <c r="B373" s="5">
        <f>IF($E373="","",INDEX('Input Transaksi'!$D:$D,$E373))</f>
        <v/>
      </c>
      <c r="C373">
        <f>IF($E373="","",INDEX('Input Transaksi'!$E:$E,$E373))</f>
        <v/>
      </c>
      <c r="D373" s="5">
        <f>IF($E373="","",INDEX('Input Transaksi'!$F:$F,$E373))</f>
        <v/>
      </c>
      <c r="E373">
        <f>IFERROR(AGGREGATE(15,6,ROW('Input Transaksi'!$B$5:$B$5000)/('Input Transaksi'!$B$5:$B$5000="BALI WASH"),ROWS($E$5:E373)),"")</f>
        <v/>
      </c>
      <c r="F373" s="5" t="n"/>
    </row>
    <row r="374">
      <c r="A374" s="10">
        <f>IF($E374="","",INDEX('Input Transaksi'!$A:$A,$E374))</f>
        <v/>
      </c>
      <c r="B374" s="5">
        <f>IF($E374="","",INDEX('Input Transaksi'!$D:$D,$E374))</f>
        <v/>
      </c>
      <c r="C374">
        <f>IF($E374="","",INDEX('Input Transaksi'!$E:$E,$E374))</f>
        <v/>
      </c>
      <c r="D374" s="5">
        <f>IF($E374="","",INDEX('Input Transaksi'!$F:$F,$E374))</f>
        <v/>
      </c>
      <c r="E374">
        <f>IFERROR(AGGREGATE(15,6,ROW('Input Transaksi'!$B$5:$B$5000)/('Input Transaksi'!$B$5:$B$5000="BALI WASH"),ROWS($E$5:E374)),"")</f>
        <v/>
      </c>
      <c r="F374" s="5" t="n"/>
    </row>
    <row r="375">
      <c r="A375" s="10">
        <f>IF($E375="","",INDEX('Input Transaksi'!$A:$A,$E375))</f>
        <v/>
      </c>
      <c r="B375" s="5">
        <f>IF($E375="","",INDEX('Input Transaksi'!$D:$D,$E375))</f>
        <v/>
      </c>
      <c r="C375">
        <f>IF($E375="","",INDEX('Input Transaksi'!$E:$E,$E375))</f>
        <v/>
      </c>
      <c r="D375" s="5">
        <f>IF($E375="","",INDEX('Input Transaksi'!$F:$F,$E375))</f>
        <v/>
      </c>
      <c r="E375">
        <f>IFERROR(AGGREGATE(15,6,ROW('Input Transaksi'!$B$5:$B$5000)/('Input Transaksi'!$B$5:$B$5000="BALI WASH"),ROWS($E$5:E375)),"")</f>
        <v/>
      </c>
      <c r="F375" s="5" t="n"/>
    </row>
    <row r="376">
      <c r="A376" s="10">
        <f>IF($E376="","",INDEX('Input Transaksi'!$A:$A,$E376))</f>
        <v/>
      </c>
      <c r="B376" s="5">
        <f>IF($E376="","",INDEX('Input Transaksi'!$D:$D,$E376))</f>
        <v/>
      </c>
      <c r="C376">
        <f>IF($E376="","",INDEX('Input Transaksi'!$E:$E,$E376))</f>
        <v/>
      </c>
      <c r="D376" s="5">
        <f>IF($E376="","",INDEX('Input Transaksi'!$F:$F,$E376))</f>
        <v/>
      </c>
      <c r="E376">
        <f>IFERROR(AGGREGATE(15,6,ROW('Input Transaksi'!$B$5:$B$5000)/('Input Transaksi'!$B$5:$B$5000="BALI WASH"),ROWS($E$5:E376)),"")</f>
        <v/>
      </c>
      <c r="F376" s="5" t="n"/>
    </row>
    <row r="377">
      <c r="A377" s="10">
        <f>IF($E377="","",INDEX('Input Transaksi'!$A:$A,$E377))</f>
        <v/>
      </c>
      <c r="B377" s="5">
        <f>IF($E377="","",INDEX('Input Transaksi'!$D:$D,$E377))</f>
        <v/>
      </c>
      <c r="C377">
        <f>IF($E377="","",INDEX('Input Transaksi'!$E:$E,$E377))</f>
        <v/>
      </c>
      <c r="D377" s="5">
        <f>IF($E377="","",INDEX('Input Transaksi'!$F:$F,$E377))</f>
        <v/>
      </c>
      <c r="E377">
        <f>IFERROR(AGGREGATE(15,6,ROW('Input Transaksi'!$B$5:$B$5000)/('Input Transaksi'!$B$5:$B$5000="BALI WASH"),ROWS($E$5:E377)),"")</f>
        <v/>
      </c>
      <c r="F377" s="5" t="n"/>
    </row>
    <row r="378">
      <c r="A378" s="10">
        <f>IF($E378="","",INDEX('Input Transaksi'!$A:$A,$E378))</f>
        <v/>
      </c>
      <c r="B378" s="5">
        <f>IF($E378="","",INDEX('Input Transaksi'!$D:$D,$E378))</f>
        <v/>
      </c>
      <c r="C378">
        <f>IF($E378="","",INDEX('Input Transaksi'!$E:$E,$E378))</f>
        <v/>
      </c>
      <c r="D378" s="5">
        <f>IF($E378="","",INDEX('Input Transaksi'!$F:$F,$E378))</f>
        <v/>
      </c>
      <c r="E378">
        <f>IFERROR(AGGREGATE(15,6,ROW('Input Transaksi'!$B$5:$B$5000)/('Input Transaksi'!$B$5:$B$5000="BALI WASH"),ROWS($E$5:E378)),"")</f>
        <v/>
      </c>
      <c r="F378" s="5" t="n"/>
    </row>
    <row r="379">
      <c r="A379" s="10">
        <f>IF($E379="","",INDEX('Input Transaksi'!$A:$A,$E379))</f>
        <v/>
      </c>
      <c r="B379" s="5">
        <f>IF($E379="","",INDEX('Input Transaksi'!$D:$D,$E379))</f>
        <v/>
      </c>
      <c r="C379">
        <f>IF($E379="","",INDEX('Input Transaksi'!$E:$E,$E379))</f>
        <v/>
      </c>
      <c r="D379" s="5">
        <f>IF($E379="","",INDEX('Input Transaksi'!$F:$F,$E379))</f>
        <v/>
      </c>
      <c r="E379">
        <f>IFERROR(AGGREGATE(15,6,ROW('Input Transaksi'!$B$5:$B$5000)/('Input Transaksi'!$B$5:$B$5000="BALI WASH"),ROWS($E$5:E379)),"")</f>
        <v/>
      </c>
      <c r="F379" s="5" t="n"/>
    </row>
    <row r="380">
      <c r="A380" s="10">
        <f>IF($E380="","",INDEX('Input Transaksi'!$A:$A,$E380))</f>
        <v/>
      </c>
      <c r="B380" s="5">
        <f>IF($E380="","",INDEX('Input Transaksi'!$D:$D,$E380))</f>
        <v/>
      </c>
      <c r="C380">
        <f>IF($E380="","",INDEX('Input Transaksi'!$E:$E,$E380))</f>
        <v/>
      </c>
      <c r="D380" s="5">
        <f>IF($E380="","",INDEX('Input Transaksi'!$F:$F,$E380))</f>
        <v/>
      </c>
      <c r="E380">
        <f>IFERROR(AGGREGATE(15,6,ROW('Input Transaksi'!$B$5:$B$5000)/('Input Transaksi'!$B$5:$B$5000="BALI WASH"),ROWS($E$5:E380)),"")</f>
        <v/>
      </c>
      <c r="F380" s="5" t="n"/>
    </row>
    <row r="381">
      <c r="A381" s="10">
        <f>IF($E381="","",INDEX('Input Transaksi'!$A:$A,$E381))</f>
        <v/>
      </c>
      <c r="B381" s="5">
        <f>IF($E381="","",INDEX('Input Transaksi'!$D:$D,$E381))</f>
        <v/>
      </c>
      <c r="C381">
        <f>IF($E381="","",INDEX('Input Transaksi'!$E:$E,$E381))</f>
        <v/>
      </c>
      <c r="D381" s="5">
        <f>IF($E381="","",INDEX('Input Transaksi'!$F:$F,$E381))</f>
        <v/>
      </c>
      <c r="E381">
        <f>IFERROR(AGGREGATE(15,6,ROW('Input Transaksi'!$B$5:$B$5000)/('Input Transaksi'!$B$5:$B$5000="BALI WASH"),ROWS($E$5:E381)),"")</f>
        <v/>
      </c>
      <c r="F381" s="5" t="n"/>
    </row>
    <row r="382">
      <c r="A382" s="10">
        <f>IF($E382="","",INDEX('Input Transaksi'!$A:$A,$E382))</f>
        <v/>
      </c>
      <c r="B382" s="5">
        <f>IF($E382="","",INDEX('Input Transaksi'!$D:$D,$E382))</f>
        <v/>
      </c>
      <c r="C382">
        <f>IF($E382="","",INDEX('Input Transaksi'!$E:$E,$E382))</f>
        <v/>
      </c>
      <c r="D382" s="5">
        <f>IF($E382="","",INDEX('Input Transaksi'!$F:$F,$E382))</f>
        <v/>
      </c>
      <c r="E382">
        <f>IFERROR(AGGREGATE(15,6,ROW('Input Transaksi'!$B$5:$B$5000)/('Input Transaksi'!$B$5:$B$5000="BALI WASH"),ROWS($E$5:E382)),"")</f>
        <v/>
      </c>
      <c r="F382" s="5" t="n"/>
    </row>
    <row r="383">
      <c r="A383" s="10">
        <f>IF($E383="","",INDEX('Input Transaksi'!$A:$A,$E383))</f>
        <v/>
      </c>
      <c r="B383" s="5">
        <f>IF($E383="","",INDEX('Input Transaksi'!$D:$D,$E383))</f>
        <v/>
      </c>
      <c r="C383">
        <f>IF($E383="","",INDEX('Input Transaksi'!$E:$E,$E383))</f>
        <v/>
      </c>
      <c r="D383" s="5">
        <f>IF($E383="","",INDEX('Input Transaksi'!$F:$F,$E383))</f>
        <v/>
      </c>
      <c r="E383">
        <f>IFERROR(AGGREGATE(15,6,ROW('Input Transaksi'!$B$5:$B$5000)/('Input Transaksi'!$B$5:$B$5000="BALI WASH"),ROWS($E$5:E383)),"")</f>
        <v/>
      </c>
      <c r="F383" s="5" t="n"/>
    </row>
    <row r="384">
      <c r="A384" s="10">
        <f>IF($E384="","",INDEX('Input Transaksi'!$A:$A,$E384))</f>
        <v/>
      </c>
      <c r="B384" s="5">
        <f>IF($E384="","",INDEX('Input Transaksi'!$D:$D,$E384))</f>
        <v/>
      </c>
      <c r="C384">
        <f>IF($E384="","",INDEX('Input Transaksi'!$E:$E,$E384))</f>
        <v/>
      </c>
      <c r="D384" s="5">
        <f>IF($E384="","",INDEX('Input Transaksi'!$F:$F,$E384))</f>
        <v/>
      </c>
      <c r="E384">
        <f>IFERROR(AGGREGATE(15,6,ROW('Input Transaksi'!$B$5:$B$5000)/('Input Transaksi'!$B$5:$B$5000="BALI WASH"),ROWS($E$5:E384)),"")</f>
        <v/>
      </c>
      <c r="F384" s="5" t="n"/>
    </row>
    <row r="385">
      <c r="A385" s="10">
        <f>IF($E385="","",INDEX('Input Transaksi'!$A:$A,$E385))</f>
        <v/>
      </c>
      <c r="B385" s="5">
        <f>IF($E385="","",INDEX('Input Transaksi'!$D:$D,$E385))</f>
        <v/>
      </c>
      <c r="C385">
        <f>IF($E385="","",INDEX('Input Transaksi'!$E:$E,$E385))</f>
        <v/>
      </c>
      <c r="D385" s="5">
        <f>IF($E385="","",INDEX('Input Transaksi'!$F:$F,$E385))</f>
        <v/>
      </c>
      <c r="E385">
        <f>IFERROR(AGGREGATE(15,6,ROW('Input Transaksi'!$B$5:$B$5000)/('Input Transaksi'!$B$5:$B$5000="BALI WASH"),ROWS($E$5:E385)),"")</f>
        <v/>
      </c>
      <c r="F385" s="5" t="n"/>
    </row>
    <row r="386">
      <c r="A386" s="10">
        <f>IF($E386="","",INDEX('Input Transaksi'!$A:$A,$E386))</f>
        <v/>
      </c>
      <c r="B386" s="5">
        <f>IF($E386="","",INDEX('Input Transaksi'!$D:$D,$E386))</f>
        <v/>
      </c>
      <c r="C386">
        <f>IF($E386="","",INDEX('Input Transaksi'!$E:$E,$E386))</f>
        <v/>
      </c>
      <c r="D386" s="5">
        <f>IF($E386="","",INDEX('Input Transaksi'!$F:$F,$E386))</f>
        <v/>
      </c>
      <c r="E386">
        <f>IFERROR(AGGREGATE(15,6,ROW('Input Transaksi'!$B$5:$B$5000)/('Input Transaksi'!$B$5:$B$5000="BALI WASH"),ROWS($E$5:E386)),"")</f>
        <v/>
      </c>
      <c r="F386" s="5" t="n"/>
    </row>
    <row r="387">
      <c r="A387" s="10">
        <f>IF($E387="","",INDEX('Input Transaksi'!$A:$A,$E387))</f>
        <v/>
      </c>
      <c r="B387" s="5">
        <f>IF($E387="","",INDEX('Input Transaksi'!$D:$D,$E387))</f>
        <v/>
      </c>
      <c r="C387">
        <f>IF($E387="","",INDEX('Input Transaksi'!$E:$E,$E387))</f>
        <v/>
      </c>
      <c r="D387" s="5">
        <f>IF($E387="","",INDEX('Input Transaksi'!$F:$F,$E387))</f>
        <v/>
      </c>
      <c r="E387">
        <f>IFERROR(AGGREGATE(15,6,ROW('Input Transaksi'!$B$5:$B$5000)/('Input Transaksi'!$B$5:$B$5000="BALI WASH"),ROWS($E$5:E387)),"")</f>
        <v/>
      </c>
      <c r="F387" s="5" t="n"/>
    </row>
    <row r="388">
      <c r="A388" s="10">
        <f>IF($E388="","",INDEX('Input Transaksi'!$A:$A,$E388))</f>
        <v/>
      </c>
      <c r="B388" s="5">
        <f>IF($E388="","",INDEX('Input Transaksi'!$D:$D,$E388))</f>
        <v/>
      </c>
      <c r="C388">
        <f>IF($E388="","",INDEX('Input Transaksi'!$E:$E,$E388))</f>
        <v/>
      </c>
      <c r="D388" s="5">
        <f>IF($E388="","",INDEX('Input Transaksi'!$F:$F,$E388))</f>
        <v/>
      </c>
      <c r="E388">
        <f>IFERROR(AGGREGATE(15,6,ROW('Input Transaksi'!$B$5:$B$5000)/('Input Transaksi'!$B$5:$B$5000="BALI WASH"),ROWS($E$5:E388)),"")</f>
        <v/>
      </c>
      <c r="F388" s="5" t="n"/>
    </row>
    <row r="389">
      <c r="A389" s="10">
        <f>IF($E389="","",INDEX('Input Transaksi'!$A:$A,$E389))</f>
        <v/>
      </c>
      <c r="B389" s="5">
        <f>IF($E389="","",INDEX('Input Transaksi'!$D:$D,$E389))</f>
        <v/>
      </c>
      <c r="C389">
        <f>IF($E389="","",INDEX('Input Transaksi'!$E:$E,$E389))</f>
        <v/>
      </c>
      <c r="D389" s="5">
        <f>IF($E389="","",INDEX('Input Transaksi'!$F:$F,$E389))</f>
        <v/>
      </c>
      <c r="E389">
        <f>IFERROR(AGGREGATE(15,6,ROW('Input Transaksi'!$B$5:$B$5000)/('Input Transaksi'!$B$5:$B$5000="BALI WASH"),ROWS($E$5:E389)),"")</f>
        <v/>
      </c>
      <c r="F389" s="5" t="n"/>
    </row>
    <row r="390">
      <c r="A390" s="10">
        <f>IF($E390="","",INDEX('Input Transaksi'!$A:$A,$E390))</f>
        <v/>
      </c>
      <c r="B390" s="5">
        <f>IF($E390="","",INDEX('Input Transaksi'!$D:$D,$E390))</f>
        <v/>
      </c>
      <c r="C390">
        <f>IF($E390="","",INDEX('Input Transaksi'!$E:$E,$E390))</f>
        <v/>
      </c>
      <c r="D390" s="5">
        <f>IF($E390="","",INDEX('Input Transaksi'!$F:$F,$E390))</f>
        <v/>
      </c>
      <c r="E390">
        <f>IFERROR(AGGREGATE(15,6,ROW('Input Transaksi'!$B$5:$B$5000)/('Input Transaksi'!$B$5:$B$5000="BALI WASH"),ROWS($E$5:E390)),"")</f>
        <v/>
      </c>
      <c r="F390" s="5" t="n"/>
    </row>
    <row r="391">
      <c r="A391" s="10">
        <f>IF($E391="","",INDEX('Input Transaksi'!$A:$A,$E391))</f>
        <v/>
      </c>
      <c r="B391" s="5">
        <f>IF($E391="","",INDEX('Input Transaksi'!$D:$D,$E391))</f>
        <v/>
      </c>
      <c r="C391">
        <f>IF($E391="","",INDEX('Input Transaksi'!$E:$E,$E391))</f>
        <v/>
      </c>
      <c r="D391" s="5">
        <f>IF($E391="","",INDEX('Input Transaksi'!$F:$F,$E391))</f>
        <v/>
      </c>
      <c r="E391">
        <f>IFERROR(AGGREGATE(15,6,ROW('Input Transaksi'!$B$5:$B$5000)/('Input Transaksi'!$B$5:$B$5000="BALI WASH"),ROWS($E$5:E391)),"")</f>
        <v/>
      </c>
      <c r="F391" s="5" t="n"/>
    </row>
    <row r="392">
      <c r="A392" s="10">
        <f>IF($E392="","",INDEX('Input Transaksi'!$A:$A,$E392))</f>
        <v/>
      </c>
      <c r="B392" s="5">
        <f>IF($E392="","",INDEX('Input Transaksi'!$D:$D,$E392))</f>
        <v/>
      </c>
      <c r="C392">
        <f>IF($E392="","",INDEX('Input Transaksi'!$E:$E,$E392))</f>
        <v/>
      </c>
      <c r="D392" s="5">
        <f>IF($E392="","",INDEX('Input Transaksi'!$F:$F,$E392))</f>
        <v/>
      </c>
      <c r="E392">
        <f>IFERROR(AGGREGATE(15,6,ROW('Input Transaksi'!$B$5:$B$5000)/('Input Transaksi'!$B$5:$B$5000="BALI WASH"),ROWS($E$5:E392)),"")</f>
        <v/>
      </c>
      <c r="F392" s="5" t="n"/>
    </row>
    <row r="393">
      <c r="A393" s="10">
        <f>IF($E393="","",INDEX('Input Transaksi'!$A:$A,$E393))</f>
        <v/>
      </c>
      <c r="B393" s="5">
        <f>IF($E393="","",INDEX('Input Transaksi'!$D:$D,$E393))</f>
        <v/>
      </c>
      <c r="C393">
        <f>IF($E393="","",INDEX('Input Transaksi'!$E:$E,$E393))</f>
        <v/>
      </c>
      <c r="D393" s="5">
        <f>IF($E393="","",INDEX('Input Transaksi'!$F:$F,$E393))</f>
        <v/>
      </c>
      <c r="E393">
        <f>IFERROR(AGGREGATE(15,6,ROW('Input Transaksi'!$B$5:$B$5000)/('Input Transaksi'!$B$5:$B$5000="BALI WASH"),ROWS($E$5:E393)),"")</f>
        <v/>
      </c>
      <c r="F393" s="5" t="n"/>
    </row>
    <row r="394">
      <c r="A394" s="10">
        <f>IF($E394="","",INDEX('Input Transaksi'!$A:$A,$E394))</f>
        <v/>
      </c>
      <c r="B394" s="5">
        <f>IF($E394="","",INDEX('Input Transaksi'!$D:$D,$E394))</f>
        <v/>
      </c>
      <c r="C394">
        <f>IF($E394="","",INDEX('Input Transaksi'!$E:$E,$E394))</f>
        <v/>
      </c>
      <c r="D394" s="5">
        <f>IF($E394="","",INDEX('Input Transaksi'!$F:$F,$E394))</f>
        <v/>
      </c>
      <c r="E394">
        <f>IFERROR(AGGREGATE(15,6,ROW('Input Transaksi'!$B$5:$B$5000)/('Input Transaksi'!$B$5:$B$5000="BALI WASH"),ROWS($E$5:E394)),"")</f>
        <v/>
      </c>
      <c r="F394" s="5" t="n"/>
    </row>
    <row r="395">
      <c r="A395" s="10">
        <f>IF($E395="","",INDEX('Input Transaksi'!$A:$A,$E395))</f>
        <v/>
      </c>
      <c r="B395" s="5">
        <f>IF($E395="","",INDEX('Input Transaksi'!$D:$D,$E395))</f>
        <v/>
      </c>
      <c r="C395">
        <f>IF($E395="","",INDEX('Input Transaksi'!$E:$E,$E395))</f>
        <v/>
      </c>
      <c r="D395" s="5">
        <f>IF($E395="","",INDEX('Input Transaksi'!$F:$F,$E395))</f>
        <v/>
      </c>
      <c r="E395">
        <f>IFERROR(AGGREGATE(15,6,ROW('Input Transaksi'!$B$5:$B$5000)/('Input Transaksi'!$B$5:$B$5000="BALI WASH"),ROWS($E$5:E395)),"")</f>
        <v/>
      </c>
      <c r="F395" s="5" t="n"/>
    </row>
    <row r="396">
      <c r="A396" s="10">
        <f>IF($E396="","",INDEX('Input Transaksi'!$A:$A,$E396))</f>
        <v/>
      </c>
      <c r="B396" s="5">
        <f>IF($E396="","",INDEX('Input Transaksi'!$D:$D,$E396))</f>
        <v/>
      </c>
      <c r="C396">
        <f>IF($E396="","",INDEX('Input Transaksi'!$E:$E,$E396))</f>
        <v/>
      </c>
      <c r="D396" s="5">
        <f>IF($E396="","",INDEX('Input Transaksi'!$F:$F,$E396))</f>
        <v/>
      </c>
      <c r="E396">
        <f>IFERROR(AGGREGATE(15,6,ROW('Input Transaksi'!$B$5:$B$5000)/('Input Transaksi'!$B$5:$B$5000="BALI WASH"),ROWS($E$5:E396)),"")</f>
        <v/>
      </c>
      <c r="F396" s="5" t="n"/>
    </row>
    <row r="397">
      <c r="A397" s="10">
        <f>IF($E397="","",INDEX('Input Transaksi'!$A:$A,$E397))</f>
        <v/>
      </c>
      <c r="B397" s="5">
        <f>IF($E397="","",INDEX('Input Transaksi'!$D:$D,$E397))</f>
        <v/>
      </c>
      <c r="C397">
        <f>IF($E397="","",INDEX('Input Transaksi'!$E:$E,$E397))</f>
        <v/>
      </c>
      <c r="D397" s="5">
        <f>IF($E397="","",INDEX('Input Transaksi'!$F:$F,$E397))</f>
        <v/>
      </c>
      <c r="E397">
        <f>IFERROR(AGGREGATE(15,6,ROW('Input Transaksi'!$B$5:$B$5000)/('Input Transaksi'!$B$5:$B$5000="BALI WASH"),ROWS($E$5:E397)),"")</f>
        <v/>
      </c>
      <c r="F397" s="5" t="n"/>
    </row>
    <row r="398">
      <c r="A398" s="10">
        <f>IF($E398="","",INDEX('Input Transaksi'!$A:$A,$E398))</f>
        <v/>
      </c>
      <c r="B398" s="5">
        <f>IF($E398="","",INDEX('Input Transaksi'!$D:$D,$E398))</f>
        <v/>
      </c>
      <c r="C398">
        <f>IF($E398="","",INDEX('Input Transaksi'!$E:$E,$E398))</f>
        <v/>
      </c>
      <c r="D398" s="5">
        <f>IF($E398="","",INDEX('Input Transaksi'!$F:$F,$E398))</f>
        <v/>
      </c>
      <c r="E398">
        <f>IFERROR(AGGREGATE(15,6,ROW('Input Transaksi'!$B$5:$B$5000)/('Input Transaksi'!$B$5:$B$5000="BALI WASH"),ROWS($E$5:E398)),"")</f>
        <v/>
      </c>
      <c r="F398" s="5" t="n"/>
    </row>
    <row r="399">
      <c r="A399" s="10">
        <f>IF($E399="","",INDEX('Input Transaksi'!$A:$A,$E399))</f>
        <v/>
      </c>
      <c r="B399" s="5">
        <f>IF($E399="","",INDEX('Input Transaksi'!$D:$D,$E399))</f>
        <v/>
      </c>
      <c r="C399">
        <f>IF($E399="","",INDEX('Input Transaksi'!$E:$E,$E399))</f>
        <v/>
      </c>
      <c r="D399" s="5">
        <f>IF($E399="","",INDEX('Input Transaksi'!$F:$F,$E399))</f>
        <v/>
      </c>
      <c r="E399">
        <f>IFERROR(AGGREGATE(15,6,ROW('Input Transaksi'!$B$5:$B$5000)/('Input Transaksi'!$B$5:$B$5000="BALI WASH"),ROWS($E$5:E399)),"")</f>
        <v/>
      </c>
      <c r="F399" s="5" t="n"/>
    </row>
    <row r="400">
      <c r="A400" s="10">
        <f>IF($E400="","",INDEX('Input Transaksi'!$A:$A,$E400))</f>
        <v/>
      </c>
      <c r="B400" s="5">
        <f>IF($E400="","",INDEX('Input Transaksi'!$D:$D,$E400))</f>
        <v/>
      </c>
      <c r="C400">
        <f>IF($E400="","",INDEX('Input Transaksi'!$E:$E,$E400))</f>
        <v/>
      </c>
      <c r="D400" s="5">
        <f>IF($E400="","",INDEX('Input Transaksi'!$F:$F,$E400))</f>
        <v/>
      </c>
      <c r="E400">
        <f>IFERROR(AGGREGATE(15,6,ROW('Input Transaksi'!$B$5:$B$5000)/('Input Transaksi'!$B$5:$B$5000="BALI WASH"),ROWS($E$5:E400)),"")</f>
        <v/>
      </c>
      <c r="F400" s="5" t="n"/>
    </row>
    <row r="401">
      <c r="A401" s="10">
        <f>IF($E401="","",INDEX('Input Transaksi'!$A:$A,$E401))</f>
        <v/>
      </c>
      <c r="B401" s="5">
        <f>IF($E401="","",INDEX('Input Transaksi'!$D:$D,$E401))</f>
        <v/>
      </c>
      <c r="C401">
        <f>IF($E401="","",INDEX('Input Transaksi'!$E:$E,$E401))</f>
        <v/>
      </c>
      <c r="D401" s="5">
        <f>IF($E401="","",INDEX('Input Transaksi'!$F:$F,$E401))</f>
        <v/>
      </c>
      <c r="E401">
        <f>IFERROR(AGGREGATE(15,6,ROW('Input Transaksi'!$B$5:$B$5000)/('Input Transaksi'!$B$5:$B$5000="BALI WASH"),ROWS($E$5:E401)),"")</f>
        <v/>
      </c>
      <c r="F401" s="5" t="n"/>
    </row>
    <row r="402">
      <c r="A402" s="10">
        <f>IF($E402="","",INDEX('Input Transaksi'!$A:$A,$E402))</f>
        <v/>
      </c>
      <c r="B402" s="5">
        <f>IF($E402="","",INDEX('Input Transaksi'!$D:$D,$E402))</f>
        <v/>
      </c>
      <c r="C402">
        <f>IF($E402="","",INDEX('Input Transaksi'!$E:$E,$E402))</f>
        <v/>
      </c>
      <c r="D402" s="5">
        <f>IF($E402="","",INDEX('Input Transaksi'!$F:$F,$E402))</f>
        <v/>
      </c>
      <c r="E402">
        <f>IFERROR(AGGREGATE(15,6,ROW('Input Transaksi'!$B$5:$B$5000)/('Input Transaksi'!$B$5:$B$5000="BALI WASH"),ROWS($E$5:E402)),"")</f>
        <v/>
      </c>
      <c r="F402" s="5" t="n"/>
    </row>
    <row r="403">
      <c r="A403" s="10">
        <f>IF($E403="","",INDEX('Input Transaksi'!$A:$A,$E403))</f>
        <v/>
      </c>
      <c r="B403" s="5">
        <f>IF($E403="","",INDEX('Input Transaksi'!$D:$D,$E403))</f>
        <v/>
      </c>
      <c r="C403">
        <f>IF($E403="","",INDEX('Input Transaksi'!$E:$E,$E403))</f>
        <v/>
      </c>
      <c r="D403" s="5">
        <f>IF($E403="","",INDEX('Input Transaksi'!$F:$F,$E403))</f>
        <v/>
      </c>
      <c r="E403">
        <f>IFERROR(AGGREGATE(15,6,ROW('Input Transaksi'!$B$5:$B$5000)/('Input Transaksi'!$B$5:$B$5000="BALI WASH"),ROWS($E$5:E403)),"")</f>
        <v/>
      </c>
      <c r="F403" s="5" t="n"/>
    </row>
    <row r="404">
      <c r="A404" s="10">
        <f>IF($E404="","",INDEX('Input Transaksi'!$A:$A,$E404))</f>
        <v/>
      </c>
      <c r="B404" s="5">
        <f>IF($E404="","",INDEX('Input Transaksi'!$D:$D,$E404))</f>
        <v/>
      </c>
      <c r="C404">
        <f>IF($E404="","",INDEX('Input Transaksi'!$E:$E,$E404))</f>
        <v/>
      </c>
      <c r="D404" s="5">
        <f>IF($E404="","",INDEX('Input Transaksi'!$F:$F,$E404))</f>
        <v/>
      </c>
      <c r="E404">
        <f>IFERROR(AGGREGATE(15,6,ROW('Input Transaksi'!$B$5:$B$5000)/('Input Transaksi'!$B$5:$B$5000="BALI WASH"),ROWS($E$5:E404)),"")</f>
        <v/>
      </c>
      <c r="F404" s="5" t="n"/>
    </row>
    <row r="405">
      <c r="A405" s="10">
        <f>IF($E405="","",INDEX('Input Transaksi'!$A:$A,$E405))</f>
        <v/>
      </c>
      <c r="B405" s="5">
        <f>IF($E405="","",INDEX('Input Transaksi'!$D:$D,$E405))</f>
        <v/>
      </c>
      <c r="C405">
        <f>IF($E405="","",INDEX('Input Transaksi'!$E:$E,$E405))</f>
        <v/>
      </c>
      <c r="D405" s="5">
        <f>IF($E405="","",INDEX('Input Transaksi'!$F:$F,$E405))</f>
        <v/>
      </c>
      <c r="E405">
        <f>IFERROR(AGGREGATE(15,6,ROW('Input Transaksi'!$B$5:$B$5000)/('Input Transaksi'!$B$5:$B$5000="BALI WASH"),ROWS($E$5:E405)),"")</f>
        <v/>
      </c>
      <c r="F405" s="5" t="n"/>
    </row>
    <row r="406">
      <c r="A406" s="10">
        <f>IF($E406="","",INDEX('Input Transaksi'!$A:$A,$E406))</f>
        <v/>
      </c>
      <c r="B406" s="5">
        <f>IF($E406="","",INDEX('Input Transaksi'!$D:$D,$E406))</f>
        <v/>
      </c>
      <c r="C406">
        <f>IF($E406="","",INDEX('Input Transaksi'!$E:$E,$E406))</f>
        <v/>
      </c>
      <c r="D406" s="5">
        <f>IF($E406="","",INDEX('Input Transaksi'!$F:$F,$E406))</f>
        <v/>
      </c>
      <c r="E406">
        <f>IFERROR(AGGREGATE(15,6,ROW('Input Transaksi'!$B$5:$B$5000)/('Input Transaksi'!$B$5:$B$5000="BALI WASH"),ROWS($E$5:E406)),"")</f>
        <v/>
      </c>
      <c r="F406" s="5" t="n"/>
    </row>
    <row r="407">
      <c r="A407" s="10">
        <f>IF($E407="","",INDEX('Input Transaksi'!$A:$A,$E407))</f>
        <v/>
      </c>
      <c r="B407" s="5">
        <f>IF($E407="","",INDEX('Input Transaksi'!$D:$D,$E407))</f>
        <v/>
      </c>
      <c r="C407">
        <f>IF($E407="","",INDEX('Input Transaksi'!$E:$E,$E407))</f>
        <v/>
      </c>
      <c r="D407" s="5">
        <f>IF($E407="","",INDEX('Input Transaksi'!$F:$F,$E407))</f>
        <v/>
      </c>
      <c r="E407">
        <f>IFERROR(AGGREGATE(15,6,ROW('Input Transaksi'!$B$5:$B$5000)/('Input Transaksi'!$B$5:$B$5000="BALI WASH"),ROWS($E$5:E407)),"")</f>
        <v/>
      </c>
      <c r="F407" s="5" t="n"/>
    </row>
    <row r="408">
      <c r="A408" s="10">
        <f>IF($E408="","",INDEX('Input Transaksi'!$A:$A,$E408))</f>
        <v/>
      </c>
      <c r="B408" s="5">
        <f>IF($E408="","",INDEX('Input Transaksi'!$D:$D,$E408))</f>
        <v/>
      </c>
      <c r="C408">
        <f>IF($E408="","",INDEX('Input Transaksi'!$E:$E,$E408))</f>
        <v/>
      </c>
      <c r="D408" s="5">
        <f>IF($E408="","",INDEX('Input Transaksi'!$F:$F,$E408))</f>
        <v/>
      </c>
      <c r="E408">
        <f>IFERROR(AGGREGATE(15,6,ROW('Input Transaksi'!$B$5:$B$5000)/('Input Transaksi'!$B$5:$B$5000="BALI WASH"),ROWS($E$5:E408)),"")</f>
        <v/>
      </c>
      <c r="F408" s="5" t="n"/>
    </row>
    <row r="409">
      <c r="A409" s="10">
        <f>IF($E409="","",INDEX('Input Transaksi'!$A:$A,$E409))</f>
        <v/>
      </c>
      <c r="B409" s="5">
        <f>IF($E409="","",INDEX('Input Transaksi'!$D:$D,$E409))</f>
        <v/>
      </c>
      <c r="C409">
        <f>IF($E409="","",INDEX('Input Transaksi'!$E:$E,$E409))</f>
        <v/>
      </c>
      <c r="D409" s="5">
        <f>IF($E409="","",INDEX('Input Transaksi'!$F:$F,$E409))</f>
        <v/>
      </c>
      <c r="E409">
        <f>IFERROR(AGGREGATE(15,6,ROW('Input Transaksi'!$B$5:$B$5000)/('Input Transaksi'!$B$5:$B$5000="BALI WASH"),ROWS($E$5:E409)),"")</f>
        <v/>
      </c>
      <c r="F409" s="5" t="n"/>
    </row>
    <row r="410">
      <c r="A410" s="10">
        <f>IF($E410="","",INDEX('Input Transaksi'!$A:$A,$E410))</f>
        <v/>
      </c>
      <c r="B410" s="5">
        <f>IF($E410="","",INDEX('Input Transaksi'!$D:$D,$E410))</f>
        <v/>
      </c>
      <c r="C410">
        <f>IF($E410="","",INDEX('Input Transaksi'!$E:$E,$E410))</f>
        <v/>
      </c>
      <c r="D410" s="5">
        <f>IF($E410="","",INDEX('Input Transaksi'!$F:$F,$E410))</f>
        <v/>
      </c>
      <c r="E410">
        <f>IFERROR(AGGREGATE(15,6,ROW('Input Transaksi'!$B$5:$B$5000)/('Input Transaksi'!$B$5:$B$5000="BALI WASH"),ROWS($E$5:E410)),"")</f>
        <v/>
      </c>
      <c r="F410" s="5" t="n"/>
    </row>
    <row r="411">
      <c r="A411" s="10">
        <f>IF($E411="","",INDEX('Input Transaksi'!$A:$A,$E411))</f>
        <v/>
      </c>
      <c r="B411" s="5">
        <f>IF($E411="","",INDEX('Input Transaksi'!$D:$D,$E411))</f>
        <v/>
      </c>
      <c r="C411">
        <f>IF($E411="","",INDEX('Input Transaksi'!$E:$E,$E411))</f>
        <v/>
      </c>
      <c r="D411" s="5">
        <f>IF($E411="","",INDEX('Input Transaksi'!$F:$F,$E411))</f>
        <v/>
      </c>
      <c r="E411">
        <f>IFERROR(AGGREGATE(15,6,ROW('Input Transaksi'!$B$5:$B$5000)/('Input Transaksi'!$B$5:$B$5000="BALI WASH"),ROWS($E$5:E411)),"")</f>
        <v/>
      </c>
      <c r="F411" s="5" t="n"/>
    </row>
    <row r="412">
      <c r="A412" s="10">
        <f>IF($E412="","",INDEX('Input Transaksi'!$A:$A,$E412))</f>
        <v/>
      </c>
      <c r="B412" s="5">
        <f>IF($E412="","",INDEX('Input Transaksi'!$D:$D,$E412))</f>
        <v/>
      </c>
      <c r="C412">
        <f>IF($E412="","",INDEX('Input Transaksi'!$E:$E,$E412))</f>
        <v/>
      </c>
      <c r="D412" s="5">
        <f>IF($E412="","",INDEX('Input Transaksi'!$F:$F,$E412))</f>
        <v/>
      </c>
      <c r="E412">
        <f>IFERROR(AGGREGATE(15,6,ROW('Input Transaksi'!$B$5:$B$5000)/('Input Transaksi'!$B$5:$B$5000="BALI WASH"),ROWS($E$5:E412)),"")</f>
        <v/>
      </c>
      <c r="F412" s="5" t="n"/>
    </row>
    <row r="413">
      <c r="A413" s="10">
        <f>IF($E413="","",INDEX('Input Transaksi'!$A:$A,$E413))</f>
        <v/>
      </c>
      <c r="B413" s="5">
        <f>IF($E413="","",INDEX('Input Transaksi'!$D:$D,$E413))</f>
        <v/>
      </c>
      <c r="C413">
        <f>IF($E413="","",INDEX('Input Transaksi'!$E:$E,$E413))</f>
        <v/>
      </c>
      <c r="D413" s="5">
        <f>IF($E413="","",INDEX('Input Transaksi'!$F:$F,$E413))</f>
        <v/>
      </c>
      <c r="E413">
        <f>IFERROR(AGGREGATE(15,6,ROW('Input Transaksi'!$B$5:$B$5000)/('Input Transaksi'!$B$5:$B$5000="BALI WASH"),ROWS($E$5:E413)),"")</f>
        <v/>
      </c>
      <c r="F413" s="5" t="n"/>
    </row>
    <row r="414">
      <c r="A414" s="10">
        <f>IF($E414="","",INDEX('Input Transaksi'!$A:$A,$E414))</f>
        <v/>
      </c>
      <c r="B414" s="5">
        <f>IF($E414="","",INDEX('Input Transaksi'!$D:$D,$E414))</f>
        <v/>
      </c>
      <c r="C414">
        <f>IF($E414="","",INDEX('Input Transaksi'!$E:$E,$E414))</f>
        <v/>
      </c>
      <c r="D414" s="5">
        <f>IF($E414="","",INDEX('Input Transaksi'!$F:$F,$E414))</f>
        <v/>
      </c>
      <c r="E414">
        <f>IFERROR(AGGREGATE(15,6,ROW('Input Transaksi'!$B$5:$B$5000)/('Input Transaksi'!$B$5:$B$5000="BALI WASH"),ROWS($E$5:E414)),"")</f>
        <v/>
      </c>
      <c r="F414" s="5" t="n"/>
    </row>
    <row r="415">
      <c r="A415" s="10">
        <f>IF($E415="","",INDEX('Input Transaksi'!$A:$A,$E415))</f>
        <v/>
      </c>
      <c r="B415" s="5">
        <f>IF($E415="","",INDEX('Input Transaksi'!$D:$D,$E415))</f>
        <v/>
      </c>
      <c r="C415">
        <f>IF($E415="","",INDEX('Input Transaksi'!$E:$E,$E415))</f>
        <v/>
      </c>
      <c r="D415" s="5">
        <f>IF($E415="","",INDEX('Input Transaksi'!$F:$F,$E415))</f>
        <v/>
      </c>
      <c r="E415">
        <f>IFERROR(AGGREGATE(15,6,ROW('Input Transaksi'!$B$5:$B$5000)/('Input Transaksi'!$B$5:$B$5000="BALI WASH"),ROWS($E$5:E415)),"")</f>
        <v/>
      </c>
      <c r="F415" s="5" t="n"/>
    </row>
    <row r="416">
      <c r="A416" s="10">
        <f>IF($E416="","",INDEX('Input Transaksi'!$A:$A,$E416))</f>
        <v/>
      </c>
      <c r="B416" s="5">
        <f>IF($E416="","",INDEX('Input Transaksi'!$D:$D,$E416))</f>
        <v/>
      </c>
      <c r="C416">
        <f>IF($E416="","",INDEX('Input Transaksi'!$E:$E,$E416))</f>
        <v/>
      </c>
      <c r="D416" s="5">
        <f>IF($E416="","",INDEX('Input Transaksi'!$F:$F,$E416))</f>
        <v/>
      </c>
      <c r="E416">
        <f>IFERROR(AGGREGATE(15,6,ROW('Input Transaksi'!$B$5:$B$5000)/('Input Transaksi'!$B$5:$B$5000="BALI WASH"),ROWS($E$5:E416)),"")</f>
        <v/>
      </c>
      <c r="F416" s="5" t="n"/>
    </row>
    <row r="417">
      <c r="A417" s="10">
        <f>IF($E417="","",INDEX('Input Transaksi'!$A:$A,$E417))</f>
        <v/>
      </c>
      <c r="B417" s="5">
        <f>IF($E417="","",INDEX('Input Transaksi'!$D:$D,$E417))</f>
        <v/>
      </c>
      <c r="C417">
        <f>IF($E417="","",INDEX('Input Transaksi'!$E:$E,$E417))</f>
        <v/>
      </c>
      <c r="D417" s="5">
        <f>IF($E417="","",INDEX('Input Transaksi'!$F:$F,$E417))</f>
        <v/>
      </c>
      <c r="E417">
        <f>IFERROR(AGGREGATE(15,6,ROW('Input Transaksi'!$B$5:$B$5000)/('Input Transaksi'!$B$5:$B$5000="BALI WASH"),ROWS($E$5:E417)),"")</f>
        <v/>
      </c>
      <c r="F417" s="5" t="n"/>
    </row>
    <row r="418">
      <c r="A418" s="10">
        <f>IF($E418="","",INDEX('Input Transaksi'!$A:$A,$E418))</f>
        <v/>
      </c>
      <c r="B418" s="5">
        <f>IF($E418="","",INDEX('Input Transaksi'!$D:$D,$E418))</f>
        <v/>
      </c>
      <c r="C418">
        <f>IF($E418="","",INDEX('Input Transaksi'!$E:$E,$E418))</f>
        <v/>
      </c>
      <c r="D418" s="5">
        <f>IF($E418="","",INDEX('Input Transaksi'!$F:$F,$E418))</f>
        <v/>
      </c>
      <c r="E418">
        <f>IFERROR(AGGREGATE(15,6,ROW('Input Transaksi'!$B$5:$B$5000)/('Input Transaksi'!$B$5:$B$5000="BALI WASH"),ROWS($E$5:E418)),"")</f>
        <v/>
      </c>
      <c r="F418" s="5" t="n"/>
    </row>
    <row r="419">
      <c r="A419" s="10">
        <f>IF($E419="","",INDEX('Input Transaksi'!$A:$A,$E419))</f>
        <v/>
      </c>
      <c r="B419" s="5">
        <f>IF($E419="","",INDEX('Input Transaksi'!$D:$D,$E419))</f>
        <v/>
      </c>
      <c r="C419">
        <f>IF($E419="","",INDEX('Input Transaksi'!$E:$E,$E419))</f>
        <v/>
      </c>
      <c r="D419" s="5">
        <f>IF($E419="","",INDEX('Input Transaksi'!$F:$F,$E419))</f>
        <v/>
      </c>
      <c r="E419">
        <f>IFERROR(AGGREGATE(15,6,ROW('Input Transaksi'!$B$5:$B$5000)/('Input Transaksi'!$B$5:$B$5000="BALI WASH"),ROWS($E$5:E419)),"")</f>
        <v/>
      </c>
      <c r="F419" s="5" t="n"/>
    </row>
    <row r="420">
      <c r="A420" s="10">
        <f>IF($E420="","",INDEX('Input Transaksi'!$A:$A,$E420))</f>
        <v/>
      </c>
      <c r="B420" s="5">
        <f>IF($E420="","",INDEX('Input Transaksi'!$D:$D,$E420))</f>
        <v/>
      </c>
      <c r="C420">
        <f>IF($E420="","",INDEX('Input Transaksi'!$E:$E,$E420))</f>
        <v/>
      </c>
      <c r="D420" s="5">
        <f>IF($E420="","",INDEX('Input Transaksi'!$F:$F,$E420))</f>
        <v/>
      </c>
      <c r="E420">
        <f>IFERROR(AGGREGATE(15,6,ROW('Input Transaksi'!$B$5:$B$5000)/('Input Transaksi'!$B$5:$B$5000="BALI WASH"),ROWS($E$5:E420)),"")</f>
        <v/>
      </c>
      <c r="F420" s="5" t="n"/>
    </row>
    <row r="421">
      <c r="A421" s="10">
        <f>IF($E421="","",INDEX('Input Transaksi'!$A:$A,$E421))</f>
        <v/>
      </c>
      <c r="B421" s="5">
        <f>IF($E421="","",INDEX('Input Transaksi'!$D:$D,$E421))</f>
        <v/>
      </c>
      <c r="C421">
        <f>IF($E421="","",INDEX('Input Transaksi'!$E:$E,$E421))</f>
        <v/>
      </c>
      <c r="D421" s="5">
        <f>IF($E421="","",INDEX('Input Transaksi'!$F:$F,$E421))</f>
        <v/>
      </c>
      <c r="E421">
        <f>IFERROR(AGGREGATE(15,6,ROW('Input Transaksi'!$B$5:$B$5000)/('Input Transaksi'!$B$5:$B$5000="BALI WASH"),ROWS($E$5:E421)),"")</f>
        <v/>
      </c>
      <c r="F421" s="5" t="n"/>
    </row>
    <row r="422">
      <c r="A422" s="10">
        <f>IF($E422="","",INDEX('Input Transaksi'!$A:$A,$E422))</f>
        <v/>
      </c>
      <c r="B422" s="5">
        <f>IF($E422="","",INDEX('Input Transaksi'!$D:$D,$E422))</f>
        <v/>
      </c>
      <c r="C422">
        <f>IF($E422="","",INDEX('Input Transaksi'!$E:$E,$E422))</f>
        <v/>
      </c>
      <c r="D422" s="5">
        <f>IF($E422="","",INDEX('Input Transaksi'!$F:$F,$E422))</f>
        <v/>
      </c>
      <c r="E422">
        <f>IFERROR(AGGREGATE(15,6,ROW('Input Transaksi'!$B$5:$B$5000)/('Input Transaksi'!$B$5:$B$5000="BALI WASH"),ROWS($E$5:E422)),"")</f>
        <v/>
      </c>
      <c r="F422" s="5" t="n"/>
    </row>
    <row r="423">
      <c r="A423" s="10">
        <f>IF($E423="","",INDEX('Input Transaksi'!$A:$A,$E423))</f>
        <v/>
      </c>
      <c r="B423" s="5">
        <f>IF($E423="","",INDEX('Input Transaksi'!$D:$D,$E423))</f>
        <v/>
      </c>
      <c r="C423">
        <f>IF($E423="","",INDEX('Input Transaksi'!$E:$E,$E423))</f>
        <v/>
      </c>
      <c r="D423" s="5">
        <f>IF($E423="","",INDEX('Input Transaksi'!$F:$F,$E423))</f>
        <v/>
      </c>
      <c r="E423">
        <f>IFERROR(AGGREGATE(15,6,ROW('Input Transaksi'!$B$5:$B$5000)/('Input Transaksi'!$B$5:$B$5000="BALI WASH"),ROWS($E$5:E423)),"")</f>
        <v/>
      </c>
      <c r="F423" s="5" t="n"/>
    </row>
    <row r="424">
      <c r="A424" s="10">
        <f>IF($E424="","",INDEX('Input Transaksi'!$A:$A,$E424))</f>
        <v/>
      </c>
      <c r="B424" s="5">
        <f>IF($E424="","",INDEX('Input Transaksi'!$D:$D,$E424))</f>
        <v/>
      </c>
      <c r="C424">
        <f>IF($E424="","",INDEX('Input Transaksi'!$E:$E,$E424))</f>
        <v/>
      </c>
      <c r="D424" s="5">
        <f>IF($E424="","",INDEX('Input Transaksi'!$F:$F,$E424))</f>
        <v/>
      </c>
      <c r="E424">
        <f>IFERROR(AGGREGATE(15,6,ROW('Input Transaksi'!$B$5:$B$5000)/('Input Transaksi'!$B$5:$B$5000="BALI WASH"),ROWS($E$5:E424)),"")</f>
        <v/>
      </c>
      <c r="F424" s="5" t="n"/>
    </row>
    <row r="425">
      <c r="A425" s="10">
        <f>IF($E425="","",INDEX('Input Transaksi'!$A:$A,$E425))</f>
        <v/>
      </c>
      <c r="B425" s="5">
        <f>IF($E425="","",INDEX('Input Transaksi'!$D:$D,$E425))</f>
        <v/>
      </c>
      <c r="C425">
        <f>IF($E425="","",INDEX('Input Transaksi'!$E:$E,$E425))</f>
        <v/>
      </c>
      <c r="D425" s="5">
        <f>IF($E425="","",INDEX('Input Transaksi'!$F:$F,$E425))</f>
        <v/>
      </c>
      <c r="E425">
        <f>IFERROR(AGGREGATE(15,6,ROW('Input Transaksi'!$B$5:$B$5000)/('Input Transaksi'!$B$5:$B$5000="BALI WASH"),ROWS($E$5:E425)),"")</f>
        <v/>
      </c>
      <c r="F425" s="5" t="n"/>
    </row>
    <row r="426">
      <c r="A426" s="10">
        <f>IF($E426="","",INDEX('Input Transaksi'!$A:$A,$E426))</f>
        <v/>
      </c>
      <c r="B426" s="5">
        <f>IF($E426="","",INDEX('Input Transaksi'!$D:$D,$E426))</f>
        <v/>
      </c>
      <c r="C426">
        <f>IF($E426="","",INDEX('Input Transaksi'!$E:$E,$E426))</f>
        <v/>
      </c>
      <c r="D426" s="5">
        <f>IF($E426="","",INDEX('Input Transaksi'!$F:$F,$E426))</f>
        <v/>
      </c>
      <c r="E426">
        <f>IFERROR(AGGREGATE(15,6,ROW('Input Transaksi'!$B$5:$B$5000)/('Input Transaksi'!$B$5:$B$5000="BALI WASH"),ROWS($E$5:E426)),"")</f>
        <v/>
      </c>
      <c r="F426" s="5" t="n"/>
    </row>
    <row r="427">
      <c r="A427" s="10">
        <f>IF($E427="","",INDEX('Input Transaksi'!$A:$A,$E427))</f>
        <v/>
      </c>
      <c r="B427" s="5">
        <f>IF($E427="","",INDEX('Input Transaksi'!$D:$D,$E427))</f>
        <v/>
      </c>
      <c r="C427">
        <f>IF($E427="","",INDEX('Input Transaksi'!$E:$E,$E427))</f>
        <v/>
      </c>
      <c r="D427" s="5">
        <f>IF($E427="","",INDEX('Input Transaksi'!$F:$F,$E427))</f>
        <v/>
      </c>
      <c r="E427">
        <f>IFERROR(AGGREGATE(15,6,ROW('Input Transaksi'!$B$5:$B$5000)/('Input Transaksi'!$B$5:$B$5000="BALI WASH"),ROWS($E$5:E427)),"")</f>
        <v/>
      </c>
      <c r="F427" s="5" t="n"/>
    </row>
    <row r="428">
      <c r="A428" s="10">
        <f>IF($E428="","",INDEX('Input Transaksi'!$A:$A,$E428))</f>
        <v/>
      </c>
      <c r="B428" s="5">
        <f>IF($E428="","",INDEX('Input Transaksi'!$D:$D,$E428))</f>
        <v/>
      </c>
      <c r="C428">
        <f>IF($E428="","",INDEX('Input Transaksi'!$E:$E,$E428))</f>
        <v/>
      </c>
      <c r="D428" s="5">
        <f>IF($E428="","",INDEX('Input Transaksi'!$F:$F,$E428))</f>
        <v/>
      </c>
      <c r="E428">
        <f>IFERROR(AGGREGATE(15,6,ROW('Input Transaksi'!$B$5:$B$5000)/('Input Transaksi'!$B$5:$B$5000="BALI WASH"),ROWS($E$5:E428)),"")</f>
        <v/>
      </c>
      <c r="F428" s="5" t="n"/>
    </row>
    <row r="429">
      <c r="A429" s="10">
        <f>IF($E429="","",INDEX('Input Transaksi'!$A:$A,$E429))</f>
        <v/>
      </c>
      <c r="B429" s="5">
        <f>IF($E429="","",INDEX('Input Transaksi'!$D:$D,$E429))</f>
        <v/>
      </c>
      <c r="C429">
        <f>IF($E429="","",INDEX('Input Transaksi'!$E:$E,$E429))</f>
        <v/>
      </c>
      <c r="D429" s="5">
        <f>IF($E429="","",INDEX('Input Transaksi'!$F:$F,$E429))</f>
        <v/>
      </c>
      <c r="E429">
        <f>IFERROR(AGGREGATE(15,6,ROW('Input Transaksi'!$B$5:$B$5000)/('Input Transaksi'!$B$5:$B$5000="BALI WASH"),ROWS($E$5:E429)),"")</f>
        <v/>
      </c>
      <c r="F429" s="5" t="n"/>
    </row>
    <row r="430">
      <c r="A430" s="10">
        <f>IF($E430="","",INDEX('Input Transaksi'!$A:$A,$E430))</f>
        <v/>
      </c>
      <c r="B430" s="5">
        <f>IF($E430="","",INDEX('Input Transaksi'!$D:$D,$E430))</f>
        <v/>
      </c>
      <c r="C430">
        <f>IF($E430="","",INDEX('Input Transaksi'!$E:$E,$E430))</f>
        <v/>
      </c>
      <c r="D430" s="5">
        <f>IF($E430="","",INDEX('Input Transaksi'!$F:$F,$E430))</f>
        <v/>
      </c>
      <c r="E430">
        <f>IFERROR(AGGREGATE(15,6,ROW('Input Transaksi'!$B$5:$B$5000)/('Input Transaksi'!$B$5:$B$5000="BALI WASH"),ROWS($E$5:E430)),"")</f>
        <v/>
      </c>
      <c r="F430" s="5" t="n"/>
    </row>
    <row r="431">
      <c r="A431" s="10">
        <f>IF($E431="","",INDEX('Input Transaksi'!$A:$A,$E431))</f>
        <v/>
      </c>
      <c r="B431" s="5">
        <f>IF($E431="","",INDEX('Input Transaksi'!$D:$D,$E431))</f>
        <v/>
      </c>
      <c r="C431">
        <f>IF($E431="","",INDEX('Input Transaksi'!$E:$E,$E431))</f>
        <v/>
      </c>
      <c r="D431" s="5">
        <f>IF($E431="","",INDEX('Input Transaksi'!$F:$F,$E431))</f>
        <v/>
      </c>
      <c r="E431">
        <f>IFERROR(AGGREGATE(15,6,ROW('Input Transaksi'!$B$5:$B$5000)/('Input Transaksi'!$B$5:$B$5000="BALI WASH"),ROWS($E$5:E431)),"")</f>
        <v/>
      </c>
      <c r="F431" s="5" t="n"/>
    </row>
    <row r="432">
      <c r="A432" s="10">
        <f>IF($E432="","",INDEX('Input Transaksi'!$A:$A,$E432))</f>
        <v/>
      </c>
      <c r="B432" s="5">
        <f>IF($E432="","",INDEX('Input Transaksi'!$D:$D,$E432))</f>
        <v/>
      </c>
      <c r="C432">
        <f>IF($E432="","",INDEX('Input Transaksi'!$E:$E,$E432))</f>
        <v/>
      </c>
      <c r="D432" s="5">
        <f>IF($E432="","",INDEX('Input Transaksi'!$F:$F,$E432))</f>
        <v/>
      </c>
      <c r="E432">
        <f>IFERROR(AGGREGATE(15,6,ROW('Input Transaksi'!$B$5:$B$5000)/('Input Transaksi'!$B$5:$B$5000="BALI WASH"),ROWS($E$5:E432)),"")</f>
        <v/>
      </c>
      <c r="F432" s="5" t="n"/>
    </row>
    <row r="433">
      <c r="A433" s="10">
        <f>IF($E433="","",INDEX('Input Transaksi'!$A:$A,$E433))</f>
        <v/>
      </c>
      <c r="B433" s="5">
        <f>IF($E433="","",INDEX('Input Transaksi'!$D:$D,$E433))</f>
        <v/>
      </c>
      <c r="C433">
        <f>IF($E433="","",INDEX('Input Transaksi'!$E:$E,$E433))</f>
        <v/>
      </c>
      <c r="D433" s="5">
        <f>IF($E433="","",INDEX('Input Transaksi'!$F:$F,$E433))</f>
        <v/>
      </c>
      <c r="E433">
        <f>IFERROR(AGGREGATE(15,6,ROW('Input Transaksi'!$B$5:$B$5000)/('Input Transaksi'!$B$5:$B$5000="BALI WASH"),ROWS($E$5:E433)),"")</f>
        <v/>
      </c>
      <c r="F433" s="5" t="n"/>
    </row>
    <row r="434">
      <c r="A434" s="10">
        <f>IF($E434="","",INDEX('Input Transaksi'!$A:$A,$E434))</f>
        <v/>
      </c>
      <c r="B434" s="5">
        <f>IF($E434="","",INDEX('Input Transaksi'!$D:$D,$E434))</f>
        <v/>
      </c>
      <c r="C434">
        <f>IF($E434="","",INDEX('Input Transaksi'!$E:$E,$E434))</f>
        <v/>
      </c>
      <c r="D434" s="5">
        <f>IF($E434="","",INDEX('Input Transaksi'!$F:$F,$E434))</f>
        <v/>
      </c>
      <c r="E434">
        <f>IFERROR(AGGREGATE(15,6,ROW('Input Transaksi'!$B$5:$B$5000)/('Input Transaksi'!$B$5:$B$5000="BALI WASH"),ROWS($E$5:E434)),"")</f>
        <v/>
      </c>
      <c r="F434" s="5" t="n"/>
    </row>
    <row r="435">
      <c r="A435" s="10">
        <f>IF($E435="","",INDEX('Input Transaksi'!$A:$A,$E435))</f>
        <v/>
      </c>
      <c r="B435" s="5">
        <f>IF($E435="","",INDEX('Input Transaksi'!$D:$D,$E435))</f>
        <v/>
      </c>
      <c r="C435">
        <f>IF($E435="","",INDEX('Input Transaksi'!$E:$E,$E435))</f>
        <v/>
      </c>
      <c r="D435" s="5">
        <f>IF($E435="","",INDEX('Input Transaksi'!$F:$F,$E435))</f>
        <v/>
      </c>
      <c r="E435">
        <f>IFERROR(AGGREGATE(15,6,ROW('Input Transaksi'!$B$5:$B$5000)/('Input Transaksi'!$B$5:$B$5000="BALI WASH"),ROWS($E$5:E435)),"")</f>
        <v/>
      </c>
      <c r="F435" s="5" t="n"/>
    </row>
    <row r="436">
      <c r="A436" s="10">
        <f>IF($E436="","",INDEX('Input Transaksi'!$A:$A,$E436))</f>
        <v/>
      </c>
      <c r="B436" s="5">
        <f>IF($E436="","",INDEX('Input Transaksi'!$D:$D,$E436))</f>
        <v/>
      </c>
      <c r="C436">
        <f>IF($E436="","",INDEX('Input Transaksi'!$E:$E,$E436))</f>
        <v/>
      </c>
      <c r="D436" s="5">
        <f>IF($E436="","",INDEX('Input Transaksi'!$F:$F,$E436))</f>
        <v/>
      </c>
      <c r="E436">
        <f>IFERROR(AGGREGATE(15,6,ROW('Input Transaksi'!$B$5:$B$5000)/('Input Transaksi'!$B$5:$B$5000="BALI WASH"),ROWS($E$5:E436)),"")</f>
        <v/>
      </c>
      <c r="F436" s="5" t="n"/>
    </row>
    <row r="437">
      <c r="A437" s="10">
        <f>IF($E437="","",INDEX('Input Transaksi'!$A:$A,$E437))</f>
        <v/>
      </c>
      <c r="B437" s="5">
        <f>IF($E437="","",INDEX('Input Transaksi'!$D:$D,$E437))</f>
        <v/>
      </c>
      <c r="C437">
        <f>IF($E437="","",INDEX('Input Transaksi'!$E:$E,$E437))</f>
        <v/>
      </c>
      <c r="D437" s="5">
        <f>IF($E437="","",INDEX('Input Transaksi'!$F:$F,$E437))</f>
        <v/>
      </c>
      <c r="E437">
        <f>IFERROR(AGGREGATE(15,6,ROW('Input Transaksi'!$B$5:$B$5000)/('Input Transaksi'!$B$5:$B$5000="BALI WASH"),ROWS($E$5:E437)),"")</f>
        <v/>
      </c>
      <c r="F437" s="5" t="n"/>
    </row>
    <row r="438">
      <c r="A438" s="10">
        <f>IF($E438="","",INDEX('Input Transaksi'!$A:$A,$E438))</f>
        <v/>
      </c>
      <c r="B438" s="5">
        <f>IF($E438="","",INDEX('Input Transaksi'!$D:$D,$E438))</f>
        <v/>
      </c>
      <c r="C438">
        <f>IF($E438="","",INDEX('Input Transaksi'!$E:$E,$E438))</f>
        <v/>
      </c>
      <c r="D438" s="5">
        <f>IF($E438="","",INDEX('Input Transaksi'!$F:$F,$E438))</f>
        <v/>
      </c>
      <c r="E438">
        <f>IFERROR(AGGREGATE(15,6,ROW('Input Transaksi'!$B$5:$B$5000)/('Input Transaksi'!$B$5:$B$5000="BALI WASH"),ROWS($E$5:E438)),"")</f>
        <v/>
      </c>
      <c r="F438" s="5" t="n"/>
    </row>
    <row r="439">
      <c r="A439" s="10">
        <f>IF($E439="","",INDEX('Input Transaksi'!$A:$A,$E439))</f>
        <v/>
      </c>
      <c r="B439" s="5">
        <f>IF($E439="","",INDEX('Input Transaksi'!$D:$D,$E439))</f>
        <v/>
      </c>
      <c r="C439">
        <f>IF($E439="","",INDEX('Input Transaksi'!$E:$E,$E439))</f>
        <v/>
      </c>
      <c r="D439" s="5">
        <f>IF($E439="","",INDEX('Input Transaksi'!$F:$F,$E439))</f>
        <v/>
      </c>
      <c r="E439">
        <f>IFERROR(AGGREGATE(15,6,ROW('Input Transaksi'!$B$5:$B$5000)/('Input Transaksi'!$B$5:$B$5000="BALI WASH"),ROWS($E$5:E439)),"")</f>
        <v/>
      </c>
      <c r="F439" s="5" t="n"/>
    </row>
    <row r="440">
      <c r="A440" s="10">
        <f>IF($E440="","",INDEX('Input Transaksi'!$A:$A,$E440))</f>
        <v/>
      </c>
      <c r="B440" s="5">
        <f>IF($E440="","",INDEX('Input Transaksi'!$D:$D,$E440))</f>
        <v/>
      </c>
      <c r="C440">
        <f>IF($E440="","",INDEX('Input Transaksi'!$E:$E,$E440))</f>
        <v/>
      </c>
      <c r="D440" s="5">
        <f>IF($E440="","",INDEX('Input Transaksi'!$F:$F,$E440))</f>
        <v/>
      </c>
      <c r="E440">
        <f>IFERROR(AGGREGATE(15,6,ROW('Input Transaksi'!$B$5:$B$5000)/('Input Transaksi'!$B$5:$B$5000="BALI WASH"),ROWS($E$5:E440)),"")</f>
        <v/>
      </c>
      <c r="F440" s="5" t="n"/>
    </row>
    <row r="441">
      <c r="A441" s="10">
        <f>IF($E441="","",INDEX('Input Transaksi'!$A:$A,$E441))</f>
        <v/>
      </c>
      <c r="B441" s="5">
        <f>IF($E441="","",INDEX('Input Transaksi'!$D:$D,$E441))</f>
        <v/>
      </c>
      <c r="C441">
        <f>IF($E441="","",INDEX('Input Transaksi'!$E:$E,$E441))</f>
        <v/>
      </c>
      <c r="D441" s="5">
        <f>IF($E441="","",INDEX('Input Transaksi'!$F:$F,$E441))</f>
        <v/>
      </c>
      <c r="E441">
        <f>IFERROR(AGGREGATE(15,6,ROW('Input Transaksi'!$B$5:$B$5000)/('Input Transaksi'!$B$5:$B$5000="BALI WASH"),ROWS($E$5:E441)),"")</f>
        <v/>
      </c>
      <c r="F441" s="5" t="n"/>
    </row>
    <row r="442">
      <c r="A442" s="10">
        <f>IF($E442="","",INDEX('Input Transaksi'!$A:$A,$E442))</f>
        <v/>
      </c>
      <c r="B442" s="5">
        <f>IF($E442="","",INDEX('Input Transaksi'!$D:$D,$E442))</f>
        <v/>
      </c>
      <c r="C442">
        <f>IF($E442="","",INDEX('Input Transaksi'!$E:$E,$E442))</f>
        <v/>
      </c>
      <c r="D442" s="5">
        <f>IF($E442="","",INDEX('Input Transaksi'!$F:$F,$E442))</f>
        <v/>
      </c>
      <c r="E442">
        <f>IFERROR(AGGREGATE(15,6,ROW('Input Transaksi'!$B$5:$B$5000)/('Input Transaksi'!$B$5:$B$5000="BALI WASH"),ROWS($E$5:E442)),"")</f>
        <v/>
      </c>
      <c r="F442" s="5" t="n"/>
    </row>
    <row r="443">
      <c r="A443" s="10">
        <f>IF($E443="","",INDEX('Input Transaksi'!$A:$A,$E443))</f>
        <v/>
      </c>
      <c r="B443" s="5">
        <f>IF($E443="","",INDEX('Input Transaksi'!$D:$D,$E443))</f>
        <v/>
      </c>
      <c r="C443">
        <f>IF($E443="","",INDEX('Input Transaksi'!$E:$E,$E443))</f>
        <v/>
      </c>
      <c r="D443" s="5">
        <f>IF($E443="","",INDEX('Input Transaksi'!$F:$F,$E443))</f>
        <v/>
      </c>
      <c r="E443">
        <f>IFERROR(AGGREGATE(15,6,ROW('Input Transaksi'!$B$5:$B$5000)/('Input Transaksi'!$B$5:$B$5000="BALI WASH"),ROWS($E$5:E443)),"")</f>
        <v/>
      </c>
      <c r="F443" s="5" t="n"/>
    </row>
    <row r="444">
      <c r="A444" s="10">
        <f>IF($E444="","",INDEX('Input Transaksi'!$A:$A,$E444))</f>
        <v/>
      </c>
      <c r="B444" s="5">
        <f>IF($E444="","",INDEX('Input Transaksi'!$D:$D,$E444))</f>
        <v/>
      </c>
      <c r="C444">
        <f>IF($E444="","",INDEX('Input Transaksi'!$E:$E,$E444))</f>
        <v/>
      </c>
      <c r="D444" s="5">
        <f>IF($E444="","",INDEX('Input Transaksi'!$F:$F,$E444))</f>
        <v/>
      </c>
      <c r="E444">
        <f>IFERROR(AGGREGATE(15,6,ROW('Input Transaksi'!$B$5:$B$5000)/('Input Transaksi'!$B$5:$B$5000="BALI WASH"),ROWS($E$5:E444)),"")</f>
        <v/>
      </c>
      <c r="F444" s="5" t="n"/>
    </row>
    <row r="445">
      <c r="A445" s="10">
        <f>IF($E445="","",INDEX('Input Transaksi'!$A:$A,$E445))</f>
        <v/>
      </c>
      <c r="B445" s="5">
        <f>IF($E445="","",INDEX('Input Transaksi'!$D:$D,$E445))</f>
        <v/>
      </c>
      <c r="C445">
        <f>IF($E445="","",INDEX('Input Transaksi'!$E:$E,$E445))</f>
        <v/>
      </c>
      <c r="D445" s="5">
        <f>IF($E445="","",INDEX('Input Transaksi'!$F:$F,$E445))</f>
        <v/>
      </c>
      <c r="E445">
        <f>IFERROR(AGGREGATE(15,6,ROW('Input Transaksi'!$B$5:$B$5000)/('Input Transaksi'!$B$5:$B$5000="BALI WASH"),ROWS($E$5:E445)),"")</f>
        <v/>
      </c>
      <c r="F445" s="5" t="n"/>
    </row>
    <row r="446">
      <c r="A446" s="10">
        <f>IF($E446="","",INDEX('Input Transaksi'!$A:$A,$E446))</f>
        <v/>
      </c>
      <c r="B446" s="5">
        <f>IF($E446="","",INDEX('Input Transaksi'!$D:$D,$E446))</f>
        <v/>
      </c>
      <c r="C446">
        <f>IF($E446="","",INDEX('Input Transaksi'!$E:$E,$E446))</f>
        <v/>
      </c>
      <c r="D446" s="5">
        <f>IF($E446="","",INDEX('Input Transaksi'!$F:$F,$E446))</f>
        <v/>
      </c>
      <c r="E446">
        <f>IFERROR(AGGREGATE(15,6,ROW('Input Transaksi'!$B$5:$B$5000)/('Input Transaksi'!$B$5:$B$5000="BALI WASH"),ROWS($E$5:E446)),"")</f>
        <v/>
      </c>
      <c r="F446" s="5" t="n"/>
    </row>
    <row r="447">
      <c r="A447" s="10">
        <f>IF($E447="","",INDEX('Input Transaksi'!$A:$A,$E447))</f>
        <v/>
      </c>
      <c r="B447" s="5">
        <f>IF($E447="","",INDEX('Input Transaksi'!$D:$D,$E447))</f>
        <v/>
      </c>
      <c r="C447">
        <f>IF($E447="","",INDEX('Input Transaksi'!$E:$E,$E447))</f>
        <v/>
      </c>
      <c r="D447" s="5">
        <f>IF($E447="","",INDEX('Input Transaksi'!$F:$F,$E447))</f>
        <v/>
      </c>
      <c r="E447">
        <f>IFERROR(AGGREGATE(15,6,ROW('Input Transaksi'!$B$5:$B$5000)/('Input Transaksi'!$B$5:$B$5000="BALI WASH"),ROWS($E$5:E447)),"")</f>
        <v/>
      </c>
      <c r="F447" s="5" t="n"/>
    </row>
    <row r="448">
      <c r="A448" s="10">
        <f>IF($E448="","",INDEX('Input Transaksi'!$A:$A,$E448))</f>
        <v/>
      </c>
      <c r="B448" s="5">
        <f>IF($E448="","",INDEX('Input Transaksi'!$D:$D,$E448))</f>
        <v/>
      </c>
      <c r="C448">
        <f>IF($E448="","",INDEX('Input Transaksi'!$E:$E,$E448))</f>
        <v/>
      </c>
      <c r="D448" s="5">
        <f>IF($E448="","",INDEX('Input Transaksi'!$F:$F,$E448))</f>
        <v/>
      </c>
      <c r="E448">
        <f>IFERROR(AGGREGATE(15,6,ROW('Input Transaksi'!$B$5:$B$5000)/('Input Transaksi'!$B$5:$B$5000="BALI WASH"),ROWS($E$5:E448)),"")</f>
        <v/>
      </c>
      <c r="F448" s="5" t="n"/>
    </row>
    <row r="449">
      <c r="A449" s="10">
        <f>IF($E449="","",INDEX('Input Transaksi'!$A:$A,$E449))</f>
        <v/>
      </c>
      <c r="B449" s="5">
        <f>IF($E449="","",INDEX('Input Transaksi'!$D:$D,$E449))</f>
        <v/>
      </c>
      <c r="C449">
        <f>IF($E449="","",INDEX('Input Transaksi'!$E:$E,$E449))</f>
        <v/>
      </c>
      <c r="D449" s="5">
        <f>IF($E449="","",INDEX('Input Transaksi'!$F:$F,$E449))</f>
        <v/>
      </c>
      <c r="E449">
        <f>IFERROR(AGGREGATE(15,6,ROW('Input Transaksi'!$B$5:$B$5000)/('Input Transaksi'!$B$5:$B$5000="BALI WASH"),ROWS($E$5:E449)),"")</f>
        <v/>
      </c>
      <c r="F449" s="5" t="n"/>
    </row>
    <row r="450">
      <c r="A450" s="10">
        <f>IF($E450="","",INDEX('Input Transaksi'!$A:$A,$E450))</f>
        <v/>
      </c>
      <c r="B450" s="5">
        <f>IF($E450="","",INDEX('Input Transaksi'!$D:$D,$E450))</f>
        <v/>
      </c>
      <c r="C450">
        <f>IF($E450="","",INDEX('Input Transaksi'!$E:$E,$E450))</f>
        <v/>
      </c>
      <c r="D450" s="5">
        <f>IF($E450="","",INDEX('Input Transaksi'!$F:$F,$E450))</f>
        <v/>
      </c>
      <c r="E450">
        <f>IFERROR(AGGREGATE(15,6,ROW('Input Transaksi'!$B$5:$B$5000)/('Input Transaksi'!$B$5:$B$5000="BALI WASH"),ROWS($E$5:E450)),"")</f>
        <v/>
      </c>
      <c r="F450" s="5" t="n"/>
    </row>
    <row r="451">
      <c r="A451" s="10">
        <f>IF($E451="","",INDEX('Input Transaksi'!$A:$A,$E451))</f>
        <v/>
      </c>
      <c r="B451" s="5">
        <f>IF($E451="","",INDEX('Input Transaksi'!$D:$D,$E451))</f>
        <v/>
      </c>
      <c r="C451">
        <f>IF($E451="","",INDEX('Input Transaksi'!$E:$E,$E451))</f>
        <v/>
      </c>
      <c r="D451" s="5">
        <f>IF($E451="","",INDEX('Input Transaksi'!$F:$F,$E451))</f>
        <v/>
      </c>
      <c r="E451">
        <f>IFERROR(AGGREGATE(15,6,ROW('Input Transaksi'!$B$5:$B$5000)/('Input Transaksi'!$B$5:$B$5000="BALI WASH"),ROWS($E$5:E451)),"")</f>
        <v/>
      </c>
      <c r="F451" s="5" t="n"/>
    </row>
    <row r="452">
      <c r="A452" s="10">
        <f>IF($E452="","",INDEX('Input Transaksi'!$A:$A,$E452))</f>
        <v/>
      </c>
      <c r="B452" s="5">
        <f>IF($E452="","",INDEX('Input Transaksi'!$D:$D,$E452))</f>
        <v/>
      </c>
      <c r="C452">
        <f>IF($E452="","",INDEX('Input Transaksi'!$E:$E,$E452))</f>
        <v/>
      </c>
      <c r="D452" s="5">
        <f>IF($E452="","",INDEX('Input Transaksi'!$F:$F,$E452))</f>
        <v/>
      </c>
      <c r="E452">
        <f>IFERROR(AGGREGATE(15,6,ROW('Input Transaksi'!$B$5:$B$5000)/('Input Transaksi'!$B$5:$B$5000="BALI WASH"),ROWS($E$5:E452)),"")</f>
        <v/>
      </c>
      <c r="F452" s="5" t="n"/>
    </row>
    <row r="453">
      <c r="A453" s="10">
        <f>IF($E453="","",INDEX('Input Transaksi'!$A:$A,$E453))</f>
        <v/>
      </c>
      <c r="B453" s="5">
        <f>IF($E453="","",INDEX('Input Transaksi'!$D:$D,$E453))</f>
        <v/>
      </c>
      <c r="C453">
        <f>IF($E453="","",INDEX('Input Transaksi'!$E:$E,$E453))</f>
        <v/>
      </c>
      <c r="D453" s="5">
        <f>IF($E453="","",INDEX('Input Transaksi'!$F:$F,$E453))</f>
        <v/>
      </c>
      <c r="E453">
        <f>IFERROR(AGGREGATE(15,6,ROW('Input Transaksi'!$B$5:$B$5000)/('Input Transaksi'!$B$5:$B$5000="BALI WASH"),ROWS($E$5:E453)),"")</f>
        <v/>
      </c>
      <c r="F453" s="5" t="n"/>
    </row>
    <row r="454">
      <c r="A454" s="10">
        <f>IF($E454="","",INDEX('Input Transaksi'!$A:$A,$E454))</f>
        <v/>
      </c>
      <c r="B454" s="5">
        <f>IF($E454="","",INDEX('Input Transaksi'!$D:$D,$E454))</f>
        <v/>
      </c>
      <c r="C454">
        <f>IF($E454="","",INDEX('Input Transaksi'!$E:$E,$E454))</f>
        <v/>
      </c>
      <c r="D454" s="5">
        <f>IF($E454="","",INDEX('Input Transaksi'!$F:$F,$E454))</f>
        <v/>
      </c>
      <c r="E454">
        <f>IFERROR(AGGREGATE(15,6,ROW('Input Transaksi'!$B$5:$B$5000)/('Input Transaksi'!$B$5:$B$5000="BALI WASH"),ROWS($E$5:E454)),"")</f>
        <v/>
      </c>
      <c r="F454" s="5" t="n"/>
    </row>
    <row r="455">
      <c r="A455" s="10">
        <f>IF($E455="","",INDEX('Input Transaksi'!$A:$A,$E455))</f>
        <v/>
      </c>
      <c r="B455" s="5">
        <f>IF($E455="","",INDEX('Input Transaksi'!$D:$D,$E455))</f>
        <v/>
      </c>
      <c r="C455">
        <f>IF($E455="","",INDEX('Input Transaksi'!$E:$E,$E455))</f>
        <v/>
      </c>
      <c r="D455" s="5">
        <f>IF($E455="","",INDEX('Input Transaksi'!$F:$F,$E455))</f>
        <v/>
      </c>
      <c r="E455">
        <f>IFERROR(AGGREGATE(15,6,ROW('Input Transaksi'!$B$5:$B$5000)/('Input Transaksi'!$B$5:$B$5000="BALI WASH"),ROWS($E$5:E455)),"")</f>
        <v/>
      </c>
      <c r="F455" s="5" t="n"/>
    </row>
    <row r="456">
      <c r="A456" s="10">
        <f>IF($E456="","",INDEX('Input Transaksi'!$A:$A,$E456))</f>
        <v/>
      </c>
      <c r="B456" s="5">
        <f>IF($E456="","",INDEX('Input Transaksi'!$D:$D,$E456))</f>
        <v/>
      </c>
      <c r="C456">
        <f>IF($E456="","",INDEX('Input Transaksi'!$E:$E,$E456))</f>
        <v/>
      </c>
      <c r="D456" s="5">
        <f>IF($E456="","",INDEX('Input Transaksi'!$F:$F,$E456))</f>
        <v/>
      </c>
      <c r="E456">
        <f>IFERROR(AGGREGATE(15,6,ROW('Input Transaksi'!$B$5:$B$5000)/('Input Transaksi'!$B$5:$B$5000="BALI WASH"),ROWS($E$5:E456)),"")</f>
        <v/>
      </c>
      <c r="F456" s="5" t="n"/>
    </row>
    <row r="457">
      <c r="A457" s="10">
        <f>IF($E457="","",INDEX('Input Transaksi'!$A:$A,$E457))</f>
        <v/>
      </c>
      <c r="B457" s="5">
        <f>IF($E457="","",INDEX('Input Transaksi'!$D:$D,$E457))</f>
        <v/>
      </c>
      <c r="C457">
        <f>IF($E457="","",INDEX('Input Transaksi'!$E:$E,$E457))</f>
        <v/>
      </c>
      <c r="D457" s="5">
        <f>IF($E457="","",INDEX('Input Transaksi'!$F:$F,$E457))</f>
        <v/>
      </c>
      <c r="E457">
        <f>IFERROR(AGGREGATE(15,6,ROW('Input Transaksi'!$B$5:$B$5000)/('Input Transaksi'!$B$5:$B$5000="BALI WASH"),ROWS($E$5:E457)),"")</f>
        <v/>
      </c>
      <c r="F457" s="5" t="n"/>
    </row>
    <row r="458">
      <c r="A458" s="10">
        <f>IF($E458="","",INDEX('Input Transaksi'!$A:$A,$E458))</f>
        <v/>
      </c>
      <c r="B458" s="5">
        <f>IF($E458="","",INDEX('Input Transaksi'!$D:$D,$E458))</f>
        <v/>
      </c>
      <c r="C458">
        <f>IF($E458="","",INDEX('Input Transaksi'!$E:$E,$E458))</f>
        <v/>
      </c>
      <c r="D458" s="5">
        <f>IF($E458="","",INDEX('Input Transaksi'!$F:$F,$E458))</f>
        <v/>
      </c>
      <c r="E458">
        <f>IFERROR(AGGREGATE(15,6,ROW('Input Transaksi'!$B$5:$B$5000)/('Input Transaksi'!$B$5:$B$5000="BALI WASH"),ROWS($E$5:E458)),"")</f>
        <v/>
      </c>
      <c r="F458" s="5" t="n"/>
    </row>
    <row r="459">
      <c r="A459" s="10">
        <f>IF($E459="","",INDEX('Input Transaksi'!$A:$A,$E459))</f>
        <v/>
      </c>
      <c r="B459" s="5">
        <f>IF($E459="","",INDEX('Input Transaksi'!$D:$D,$E459))</f>
        <v/>
      </c>
      <c r="C459">
        <f>IF($E459="","",INDEX('Input Transaksi'!$E:$E,$E459))</f>
        <v/>
      </c>
      <c r="D459" s="5">
        <f>IF($E459="","",INDEX('Input Transaksi'!$F:$F,$E459))</f>
        <v/>
      </c>
      <c r="E459">
        <f>IFERROR(AGGREGATE(15,6,ROW('Input Transaksi'!$B$5:$B$5000)/('Input Transaksi'!$B$5:$B$5000="BALI WASH"),ROWS($E$5:E459)),"")</f>
        <v/>
      </c>
      <c r="F459" s="5" t="n"/>
    </row>
    <row r="460">
      <c r="A460" s="10">
        <f>IF($E460="","",INDEX('Input Transaksi'!$A:$A,$E460))</f>
        <v/>
      </c>
      <c r="B460" s="5">
        <f>IF($E460="","",INDEX('Input Transaksi'!$D:$D,$E460))</f>
        <v/>
      </c>
      <c r="C460">
        <f>IF($E460="","",INDEX('Input Transaksi'!$E:$E,$E460))</f>
        <v/>
      </c>
      <c r="D460" s="5">
        <f>IF($E460="","",INDEX('Input Transaksi'!$F:$F,$E460))</f>
        <v/>
      </c>
      <c r="E460">
        <f>IFERROR(AGGREGATE(15,6,ROW('Input Transaksi'!$B$5:$B$5000)/('Input Transaksi'!$B$5:$B$5000="BALI WASH"),ROWS($E$5:E460)),"")</f>
        <v/>
      </c>
      <c r="F460" s="5" t="n"/>
    </row>
    <row r="461">
      <c r="A461" s="10">
        <f>IF($E461="","",INDEX('Input Transaksi'!$A:$A,$E461))</f>
        <v/>
      </c>
      <c r="B461" s="5">
        <f>IF($E461="","",INDEX('Input Transaksi'!$D:$D,$E461))</f>
        <v/>
      </c>
      <c r="C461">
        <f>IF($E461="","",INDEX('Input Transaksi'!$E:$E,$E461))</f>
        <v/>
      </c>
      <c r="D461" s="5">
        <f>IF($E461="","",INDEX('Input Transaksi'!$F:$F,$E461))</f>
        <v/>
      </c>
      <c r="E461">
        <f>IFERROR(AGGREGATE(15,6,ROW('Input Transaksi'!$B$5:$B$5000)/('Input Transaksi'!$B$5:$B$5000="BALI WASH"),ROWS($E$5:E461)),"")</f>
        <v/>
      </c>
      <c r="F461" s="5" t="n"/>
    </row>
    <row r="462">
      <c r="A462" s="10">
        <f>IF($E462="","",INDEX('Input Transaksi'!$A:$A,$E462))</f>
        <v/>
      </c>
      <c r="B462" s="5">
        <f>IF($E462="","",INDEX('Input Transaksi'!$D:$D,$E462))</f>
        <v/>
      </c>
      <c r="C462">
        <f>IF($E462="","",INDEX('Input Transaksi'!$E:$E,$E462))</f>
        <v/>
      </c>
      <c r="D462" s="5">
        <f>IF($E462="","",INDEX('Input Transaksi'!$F:$F,$E462))</f>
        <v/>
      </c>
      <c r="E462">
        <f>IFERROR(AGGREGATE(15,6,ROW('Input Transaksi'!$B$5:$B$5000)/('Input Transaksi'!$B$5:$B$5000="BALI WASH"),ROWS($E$5:E462)),"")</f>
        <v/>
      </c>
      <c r="F462" s="5" t="n"/>
    </row>
    <row r="463">
      <c r="A463" s="10">
        <f>IF($E463="","",INDEX('Input Transaksi'!$A:$A,$E463))</f>
        <v/>
      </c>
      <c r="B463" s="5">
        <f>IF($E463="","",INDEX('Input Transaksi'!$D:$D,$E463))</f>
        <v/>
      </c>
      <c r="C463">
        <f>IF($E463="","",INDEX('Input Transaksi'!$E:$E,$E463))</f>
        <v/>
      </c>
      <c r="D463" s="5">
        <f>IF($E463="","",INDEX('Input Transaksi'!$F:$F,$E463))</f>
        <v/>
      </c>
      <c r="E463">
        <f>IFERROR(AGGREGATE(15,6,ROW('Input Transaksi'!$B$5:$B$5000)/('Input Transaksi'!$B$5:$B$5000="BALI WASH"),ROWS($E$5:E463)),"")</f>
        <v/>
      </c>
      <c r="F463" s="5" t="n"/>
    </row>
    <row r="464">
      <c r="A464" s="10">
        <f>IF($E464="","",INDEX('Input Transaksi'!$A:$A,$E464))</f>
        <v/>
      </c>
      <c r="B464" s="5">
        <f>IF($E464="","",INDEX('Input Transaksi'!$D:$D,$E464))</f>
        <v/>
      </c>
      <c r="C464">
        <f>IF($E464="","",INDEX('Input Transaksi'!$E:$E,$E464))</f>
        <v/>
      </c>
      <c r="D464" s="5">
        <f>IF($E464="","",INDEX('Input Transaksi'!$F:$F,$E464))</f>
        <v/>
      </c>
      <c r="E464">
        <f>IFERROR(AGGREGATE(15,6,ROW('Input Transaksi'!$B$5:$B$5000)/('Input Transaksi'!$B$5:$B$5000="BALI WASH"),ROWS($E$5:E464)),"")</f>
        <v/>
      </c>
      <c r="F464" s="5" t="n"/>
    </row>
    <row r="465">
      <c r="A465" s="10">
        <f>IF($E465="","",INDEX('Input Transaksi'!$A:$A,$E465))</f>
        <v/>
      </c>
      <c r="B465" s="5">
        <f>IF($E465="","",INDEX('Input Transaksi'!$D:$D,$E465))</f>
        <v/>
      </c>
      <c r="C465">
        <f>IF($E465="","",INDEX('Input Transaksi'!$E:$E,$E465))</f>
        <v/>
      </c>
      <c r="D465" s="5">
        <f>IF($E465="","",INDEX('Input Transaksi'!$F:$F,$E465))</f>
        <v/>
      </c>
      <c r="E465">
        <f>IFERROR(AGGREGATE(15,6,ROW('Input Transaksi'!$B$5:$B$5000)/('Input Transaksi'!$B$5:$B$5000="BALI WASH"),ROWS($E$5:E465)),"")</f>
        <v/>
      </c>
      <c r="F465" s="5" t="n"/>
    </row>
    <row r="466">
      <c r="A466" s="10">
        <f>IF($E466="","",INDEX('Input Transaksi'!$A:$A,$E466))</f>
        <v/>
      </c>
      <c r="B466" s="5">
        <f>IF($E466="","",INDEX('Input Transaksi'!$D:$D,$E466))</f>
        <v/>
      </c>
      <c r="C466">
        <f>IF($E466="","",INDEX('Input Transaksi'!$E:$E,$E466))</f>
        <v/>
      </c>
      <c r="D466" s="5">
        <f>IF($E466="","",INDEX('Input Transaksi'!$F:$F,$E466))</f>
        <v/>
      </c>
      <c r="E466">
        <f>IFERROR(AGGREGATE(15,6,ROW('Input Transaksi'!$B$5:$B$5000)/('Input Transaksi'!$B$5:$B$5000="BALI WASH"),ROWS($E$5:E466)),"")</f>
        <v/>
      </c>
      <c r="F466" s="5" t="n"/>
    </row>
    <row r="467">
      <c r="A467" s="10">
        <f>IF($E467="","",INDEX('Input Transaksi'!$A:$A,$E467))</f>
        <v/>
      </c>
      <c r="B467" s="5">
        <f>IF($E467="","",INDEX('Input Transaksi'!$D:$D,$E467))</f>
        <v/>
      </c>
      <c r="C467">
        <f>IF($E467="","",INDEX('Input Transaksi'!$E:$E,$E467))</f>
        <v/>
      </c>
      <c r="D467" s="5">
        <f>IF($E467="","",INDEX('Input Transaksi'!$F:$F,$E467))</f>
        <v/>
      </c>
      <c r="E467">
        <f>IFERROR(AGGREGATE(15,6,ROW('Input Transaksi'!$B$5:$B$5000)/('Input Transaksi'!$B$5:$B$5000="BALI WASH"),ROWS($E$5:E467)),"")</f>
        <v/>
      </c>
      <c r="F467" s="5" t="n"/>
    </row>
    <row r="468">
      <c r="A468" s="10">
        <f>IF($E468="","",INDEX('Input Transaksi'!$A:$A,$E468))</f>
        <v/>
      </c>
      <c r="B468" s="5">
        <f>IF($E468="","",INDEX('Input Transaksi'!$D:$D,$E468))</f>
        <v/>
      </c>
      <c r="C468">
        <f>IF($E468="","",INDEX('Input Transaksi'!$E:$E,$E468))</f>
        <v/>
      </c>
      <c r="D468" s="5">
        <f>IF($E468="","",INDEX('Input Transaksi'!$F:$F,$E468))</f>
        <v/>
      </c>
      <c r="E468">
        <f>IFERROR(AGGREGATE(15,6,ROW('Input Transaksi'!$B$5:$B$5000)/('Input Transaksi'!$B$5:$B$5000="BALI WASH"),ROWS($E$5:E468)),"")</f>
        <v/>
      </c>
      <c r="F468" s="5" t="n"/>
    </row>
    <row r="469">
      <c r="A469" s="10">
        <f>IF($E469="","",INDEX('Input Transaksi'!$A:$A,$E469))</f>
        <v/>
      </c>
      <c r="B469" s="5">
        <f>IF($E469="","",INDEX('Input Transaksi'!$D:$D,$E469))</f>
        <v/>
      </c>
      <c r="C469">
        <f>IF($E469="","",INDEX('Input Transaksi'!$E:$E,$E469))</f>
        <v/>
      </c>
      <c r="D469" s="5">
        <f>IF($E469="","",INDEX('Input Transaksi'!$F:$F,$E469))</f>
        <v/>
      </c>
      <c r="E469">
        <f>IFERROR(AGGREGATE(15,6,ROW('Input Transaksi'!$B$5:$B$5000)/('Input Transaksi'!$B$5:$B$5000="BALI WASH"),ROWS($E$5:E469)),"")</f>
        <v/>
      </c>
      <c r="F469" s="5" t="n"/>
    </row>
    <row r="470">
      <c r="A470" s="10">
        <f>IF($E470="","",INDEX('Input Transaksi'!$A:$A,$E470))</f>
        <v/>
      </c>
      <c r="B470" s="5">
        <f>IF($E470="","",INDEX('Input Transaksi'!$D:$D,$E470))</f>
        <v/>
      </c>
      <c r="C470">
        <f>IF($E470="","",INDEX('Input Transaksi'!$E:$E,$E470))</f>
        <v/>
      </c>
      <c r="D470" s="5">
        <f>IF($E470="","",INDEX('Input Transaksi'!$F:$F,$E470))</f>
        <v/>
      </c>
      <c r="E470">
        <f>IFERROR(AGGREGATE(15,6,ROW('Input Transaksi'!$B$5:$B$5000)/('Input Transaksi'!$B$5:$B$5000="BALI WASH"),ROWS($E$5:E470)),"")</f>
        <v/>
      </c>
      <c r="F470" s="5" t="n"/>
    </row>
    <row r="471">
      <c r="A471" s="10">
        <f>IF($E471="","",INDEX('Input Transaksi'!$A:$A,$E471))</f>
        <v/>
      </c>
      <c r="B471" s="5">
        <f>IF($E471="","",INDEX('Input Transaksi'!$D:$D,$E471))</f>
        <v/>
      </c>
      <c r="C471">
        <f>IF($E471="","",INDEX('Input Transaksi'!$E:$E,$E471))</f>
        <v/>
      </c>
      <c r="D471" s="5">
        <f>IF($E471="","",INDEX('Input Transaksi'!$F:$F,$E471))</f>
        <v/>
      </c>
      <c r="E471">
        <f>IFERROR(AGGREGATE(15,6,ROW('Input Transaksi'!$B$5:$B$5000)/('Input Transaksi'!$B$5:$B$5000="BALI WASH"),ROWS($E$5:E471)),"")</f>
        <v/>
      </c>
      <c r="F471" s="5" t="n"/>
    </row>
    <row r="472">
      <c r="A472" s="10">
        <f>IF($E472="","",INDEX('Input Transaksi'!$A:$A,$E472))</f>
        <v/>
      </c>
      <c r="B472" s="5">
        <f>IF($E472="","",INDEX('Input Transaksi'!$D:$D,$E472))</f>
        <v/>
      </c>
      <c r="C472">
        <f>IF($E472="","",INDEX('Input Transaksi'!$E:$E,$E472))</f>
        <v/>
      </c>
      <c r="D472" s="5">
        <f>IF($E472="","",INDEX('Input Transaksi'!$F:$F,$E472))</f>
        <v/>
      </c>
      <c r="E472">
        <f>IFERROR(AGGREGATE(15,6,ROW('Input Transaksi'!$B$5:$B$5000)/('Input Transaksi'!$B$5:$B$5000="BALI WASH"),ROWS($E$5:E472)),"")</f>
        <v/>
      </c>
      <c r="F472" s="5" t="n"/>
    </row>
    <row r="473">
      <c r="A473" s="10">
        <f>IF($E473="","",INDEX('Input Transaksi'!$A:$A,$E473))</f>
        <v/>
      </c>
      <c r="B473" s="5">
        <f>IF($E473="","",INDEX('Input Transaksi'!$D:$D,$E473))</f>
        <v/>
      </c>
      <c r="C473">
        <f>IF($E473="","",INDEX('Input Transaksi'!$E:$E,$E473))</f>
        <v/>
      </c>
      <c r="D473" s="5">
        <f>IF($E473="","",INDEX('Input Transaksi'!$F:$F,$E473))</f>
        <v/>
      </c>
      <c r="E473">
        <f>IFERROR(AGGREGATE(15,6,ROW('Input Transaksi'!$B$5:$B$5000)/('Input Transaksi'!$B$5:$B$5000="BALI WASH"),ROWS($E$5:E473)),"")</f>
        <v/>
      </c>
      <c r="F473" s="5" t="n"/>
    </row>
    <row r="474">
      <c r="A474" s="10">
        <f>IF($E474="","",INDEX('Input Transaksi'!$A:$A,$E474))</f>
        <v/>
      </c>
      <c r="B474" s="5">
        <f>IF($E474="","",INDEX('Input Transaksi'!$D:$D,$E474))</f>
        <v/>
      </c>
      <c r="C474">
        <f>IF($E474="","",INDEX('Input Transaksi'!$E:$E,$E474))</f>
        <v/>
      </c>
      <c r="D474" s="5">
        <f>IF($E474="","",INDEX('Input Transaksi'!$F:$F,$E474))</f>
        <v/>
      </c>
      <c r="E474">
        <f>IFERROR(AGGREGATE(15,6,ROW('Input Transaksi'!$B$5:$B$5000)/('Input Transaksi'!$B$5:$B$5000="BALI WASH"),ROWS($E$5:E474)),"")</f>
        <v/>
      </c>
      <c r="F474" s="5" t="n"/>
    </row>
    <row r="475">
      <c r="A475" s="10">
        <f>IF($E475="","",INDEX('Input Transaksi'!$A:$A,$E475))</f>
        <v/>
      </c>
      <c r="B475" s="5">
        <f>IF($E475="","",INDEX('Input Transaksi'!$D:$D,$E475))</f>
        <v/>
      </c>
      <c r="C475">
        <f>IF($E475="","",INDEX('Input Transaksi'!$E:$E,$E475))</f>
        <v/>
      </c>
      <c r="D475" s="5">
        <f>IF($E475="","",INDEX('Input Transaksi'!$F:$F,$E475))</f>
        <v/>
      </c>
      <c r="E475">
        <f>IFERROR(AGGREGATE(15,6,ROW('Input Transaksi'!$B$5:$B$5000)/('Input Transaksi'!$B$5:$B$5000="BALI WASH"),ROWS($E$5:E475)),"")</f>
        <v/>
      </c>
      <c r="F475" s="5" t="n"/>
    </row>
    <row r="476">
      <c r="A476" s="10">
        <f>IF($E476="","",INDEX('Input Transaksi'!$A:$A,$E476))</f>
        <v/>
      </c>
      <c r="B476" s="5">
        <f>IF($E476="","",INDEX('Input Transaksi'!$D:$D,$E476))</f>
        <v/>
      </c>
      <c r="C476">
        <f>IF($E476="","",INDEX('Input Transaksi'!$E:$E,$E476))</f>
        <v/>
      </c>
      <c r="D476" s="5">
        <f>IF($E476="","",INDEX('Input Transaksi'!$F:$F,$E476))</f>
        <v/>
      </c>
      <c r="E476">
        <f>IFERROR(AGGREGATE(15,6,ROW('Input Transaksi'!$B$5:$B$5000)/('Input Transaksi'!$B$5:$B$5000="BALI WASH"),ROWS($E$5:E476)),"")</f>
        <v/>
      </c>
      <c r="F476" s="5" t="n"/>
    </row>
    <row r="477">
      <c r="A477" s="10">
        <f>IF($E477="","",INDEX('Input Transaksi'!$A:$A,$E477))</f>
        <v/>
      </c>
      <c r="B477" s="5">
        <f>IF($E477="","",INDEX('Input Transaksi'!$D:$D,$E477))</f>
        <v/>
      </c>
      <c r="C477">
        <f>IF($E477="","",INDEX('Input Transaksi'!$E:$E,$E477))</f>
        <v/>
      </c>
      <c r="D477" s="5">
        <f>IF($E477="","",INDEX('Input Transaksi'!$F:$F,$E477))</f>
        <v/>
      </c>
      <c r="E477">
        <f>IFERROR(AGGREGATE(15,6,ROW('Input Transaksi'!$B$5:$B$5000)/('Input Transaksi'!$B$5:$B$5000="BALI WASH"),ROWS($E$5:E477)),"")</f>
        <v/>
      </c>
      <c r="F477" s="5" t="n"/>
    </row>
    <row r="478">
      <c r="A478" s="10">
        <f>IF($E478="","",INDEX('Input Transaksi'!$A:$A,$E478))</f>
        <v/>
      </c>
      <c r="B478" s="5">
        <f>IF($E478="","",INDEX('Input Transaksi'!$D:$D,$E478))</f>
        <v/>
      </c>
      <c r="C478">
        <f>IF($E478="","",INDEX('Input Transaksi'!$E:$E,$E478))</f>
        <v/>
      </c>
      <c r="D478" s="5">
        <f>IF($E478="","",INDEX('Input Transaksi'!$F:$F,$E478))</f>
        <v/>
      </c>
      <c r="E478">
        <f>IFERROR(AGGREGATE(15,6,ROW('Input Transaksi'!$B$5:$B$5000)/('Input Transaksi'!$B$5:$B$5000="BALI WASH"),ROWS($E$5:E478)),"")</f>
        <v/>
      </c>
      <c r="F478" s="5" t="n"/>
    </row>
    <row r="479">
      <c r="A479" s="10">
        <f>IF($E479="","",INDEX('Input Transaksi'!$A:$A,$E479))</f>
        <v/>
      </c>
      <c r="B479" s="5">
        <f>IF($E479="","",INDEX('Input Transaksi'!$D:$D,$E479))</f>
        <v/>
      </c>
      <c r="C479">
        <f>IF($E479="","",INDEX('Input Transaksi'!$E:$E,$E479))</f>
        <v/>
      </c>
      <c r="D479" s="5">
        <f>IF($E479="","",INDEX('Input Transaksi'!$F:$F,$E479))</f>
        <v/>
      </c>
      <c r="E479">
        <f>IFERROR(AGGREGATE(15,6,ROW('Input Transaksi'!$B$5:$B$5000)/('Input Transaksi'!$B$5:$B$5000="BALI WASH"),ROWS($E$5:E479)),"")</f>
        <v/>
      </c>
      <c r="F479" s="5" t="n"/>
    </row>
    <row r="480">
      <c r="A480" s="10">
        <f>IF($E480="","",INDEX('Input Transaksi'!$A:$A,$E480))</f>
        <v/>
      </c>
      <c r="B480" s="5">
        <f>IF($E480="","",INDEX('Input Transaksi'!$D:$D,$E480))</f>
        <v/>
      </c>
      <c r="C480">
        <f>IF($E480="","",INDEX('Input Transaksi'!$E:$E,$E480))</f>
        <v/>
      </c>
      <c r="D480" s="5">
        <f>IF($E480="","",INDEX('Input Transaksi'!$F:$F,$E480))</f>
        <v/>
      </c>
      <c r="E480">
        <f>IFERROR(AGGREGATE(15,6,ROW('Input Transaksi'!$B$5:$B$5000)/('Input Transaksi'!$B$5:$B$5000="BALI WASH"),ROWS($E$5:E480)),"")</f>
        <v/>
      </c>
      <c r="F480" s="5" t="n"/>
    </row>
    <row r="481">
      <c r="A481" s="10">
        <f>IF($E481="","",INDEX('Input Transaksi'!$A:$A,$E481))</f>
        <v/>
      </c>
      <c r="B481" s="5">
        <f>IF($E481="","",INDEX('Input Transaksi'!$D:$D,$E481))</f>
        <v/>
      </c>
      <c r="C481">
        <f>IF($E481="","",INDEX('Input Transaksi'!$E:$E,$E481))</f>
        <v/>
      </c>
      <c r="D481" s="5">
        <f>IF($E481="","",INDEX('Input Transaksi'!$F:$F,$E481))</f>
        <v/>
      </c>
      <c r="E481">
        <f>IFERROR(AGGREGATE(15,6,ROW('Input Transaksi'!$B$5:$B$5000)/('Input Transaksi'!$B$5:$B$5000="BALI WASH"),ROWS($E$5:E481)),"")</f>
        <v/>
      </c>
      <c r="F481" s="5" t="n"/>
    </row>
    <row r="482">
      <c r="A482" s="10">
        <f>IF($E482="","",INDEX('Input Transaksi'!$A:$A,$E482))</f>
        <v/>
      </c>
      <c r="B482" s="5">
        <f>IF($E482="","",INDEX('Input Transaksi'!$D:$D,$E482))</f>
        <v/>
      </c>
      <c r="C482">
        <f>IF($E482="","",INDEX('Input Transaksi'!$E:$E,$E482))</f>
        <v/>
      </c>
      <c r="D482" s="5">
        <f>IF($E482="","",INDEX('Input Transaksi'!$F:$F,$E482))</f>
        <v/>
      </c>
      <c r="E482">
        <f>IFERROR(AGGREGATE(15,6,ROW('Input Transaksi'!$B$5:$B$5000)/('Input Transaksi'!$B$5:$B$5000="BALI WASH"),ROWS($E$5:E482)),"")</f>
        <v/>
      </c>
      <c r="F482" s="5" t="n"/>
    </row>
    <row r="483">
      <c r="A483" s="10">
        <f>IF($E483="","",INDEX('Input Transaksi'!$A:$A,$E483))</f>
        <v/>
      </c>
      <c r="B483" s="5">
        <f>IF($E483="","",INDEX('Input Transaksi'!$D:$D,$E483))</f>
        <v/>
      </c>
      <c r="C483">
        <f>IF($E483="","",INDEX('Input Transaksi'!$E:$E,$E483))</f>
        <v/>
      </c>
      <c r="D483" s="5">
        <f>IF($E483="","",INDEX('Input Transaksi'!$F:$F,$E483))</f>
        <v/>
      </c>
      <c r="E483">
        <f>IFERROR(AGGREGATE(15,6,ROW('Input Transaksi'!$B$5:$B$5000)/('Input Transaksi'!$B$5:$B$5000="BALI WASH"),ROWS($E$5:E483)),"")</f>
        <v/>
      </c>
      <c r="F483" s="5" t="n"/>
    </row>
    <row r="484">
      <c r="A484" s="10">
        <f>IF($E484="","",INDEX('Input Transaksi'!$A:$A,$E484))</f>
        <v/>
      </c>
      <c r="B484" s="5">
        <f>IF($E484="","",INDEX('Input Transaksi'!$D:$D,$E484))</f>
        <v/>
      </c>
      <c r="C484">
        <f>IF($E484="","",INDEX('Input Transaksi'!$E:$E,$E484))</f>
        <v/>
      </c>
      <c r="D484" s="5">
        <f>IF($E484="","",INDEX('Input Transaksi'!$F:$F,$E484))</f>
        <v/>
      </c>
      <c r="E484">
        <f>IFERROR(AGGREGATE(15,6,ROW('Input Transaksi'!$B$5:$B$5000)/('Input Transaksi'!$B$5:$B$5000="BALI WASH"),ROWS($E$5:E484)),"")</f>
        <v/>
      </c>
      <c r="F484" s="5" t="n"/>
    </row>
    <row r="485">
      <c r="A485" s="10">
        <f>IF($E485="","",INDEX('Input Transaksi'!$A:$A,$E485))</f>
        <v/>
      </c>
      <c r="B485" s="5">
        <f>IF($E485="","",INDEX('Input Transaksi'!$D:$D,$E485))</f>
        <v/>
      </c>
      <c r="C485">
        <f>IF($E485="","",INDEX('Input Transaksi'!$E:$E,$E485))</f>
        <v/>
      </c>
      <c r="D485" s="5">
        <f>IF($E485="","",INDEX('Input Transaksi'!$F:$F,$E485))</f>
        <v/>
      </c>
      <c r="E485">
        <f>IFERROR(AGGREGATE(15,6,ROW('Input Transaksi'!$B$5:$B$5000)/('Input Transaksi'!$B$5:$B$5000="BALI WASH"),ROWS($E$5:E485)),"")</f>
        <v/>
      </c>
      <c r="F485" s="5" t="n"/>
    </row>
    <row r="486">
      <c r="A486" s="10">
        <f>IF($E486="","",INDEX('Input Transaksi'!$A:$A,$E486))</f>
        <v/>
      </c>
      <c r="B486" s="5">
        <f>IF($E486="","",INDEX('Input Transaksi'!$D:$D,$E486))</f>
        <v/>
      </c>
      <c r="C486">
        <f>IF($E486="","",INDEX('Input Transaksi'!$E:$E,$E486))</f>
        <v/>
      </c>
      <c r="D486" s="5">
        <f>IF($E486="","",INDEX('Input Transaksi'!$F:$F,$E486))</f>
        <v/>
      </c>
      <c r="E486">
        <f>IFERROR(AGGREGATE(15,6,ROW('Input Transaksi'!$B$5:$B$5000)/('Input Transaksi'!$B$5:$B$5000="BALI WASH"),ROWS($E$5:E486)),"")</f>
        <v/>
      </c>
      <c r="F486" s="5" t="n"/>
    </row>
    <row r="487">
      <c r="A487" s="10">
        <f>IF($E487="","",INDEX('Input Transaksi'!$A:$A,$E487))</f>
        <v/>
      </c>
      <c r="B487" s="5">
        <f>IF($E487="","",INDEX('Input Transaksi'!$D:$D,$E487))</f>
        <v/>
      </c>
      <c r="C487">
        <f>IF($E487="","",INDEX('Input Transaksi'!$E:$E,$E487))</f>
        <v/>
      </c>
      <c r="D487" s="5">
        <f>IF($E487="","",INDEX('Input Transaksi'!$F:$F,$E487))</f>
        <v/>
      </c>
      <c r="E487">
        <f>IFERROR(AGGREGATE(15,6,ROW('Input Transaksi'!$B$5:$B$5000)/('Input Transaksi'!$B$5:$B$5000="BALI WASH"),ROWS($E$5:E487)),"")</f>
        <v/>
      </c>
      <c r="F487" s="5" t="n"/>
    </row>
    <row r="488">
      <c r="A488" s="10">
        <f>IF($E488="","",INDEX('Input Transaksi'!$A:$A,$E488))</f>
        <v/>
      </c>
      <c r="B488" s="5">
        <f>IF($E488="","",INDEX('Input Transaksi'!$D:$D,$E488))</f>
        <v/>
      </c>
      <c r="C488">
        <f>IF($E488="","",INDEX('Input Transaksi'!$E:$E,$E488))</f>
        <v/>
      </c>
      <c r="D488" s="5">
        <f>IF($E488="","",INDEX('Input Transaksi'!$F:$F,$E488))</f>
        <v/>
      </c>
      <c r="E488">
        <f>IFERROR(AGGREGATE(15,6,ROW('Input Transaksi'!$B$5:$B$5000)/('Input Transaksi'!$B$5:$B$5000="BALI WASH"),ROWS($E$5:E488)),"")</f>
        <v/>
      </c>
      <c r="F488" s="5" t="n"/>
    </row>
    <row r="489">
      <c r="A489" s="10">
        <f>IF($E489="","",INDEX('Input Transaksi'!$A:$A,$E489))</f>
        <v/>
      </c>
      <c r="B489" s="5">
        <f>IF($E489="","",INDEX('Input Transaksi'!$D:$D,$E489))</f>
        <v/>
      </c>
      <c r="C489">
        <f>IF($E489="","",INDEX('Input Transaksi'!$E:$E,$E489))</f>
        <v/>
      </c>
      <c r="D489" s="5">
        <f>IF($E489="","",INDEX('Input Transaksi'!$F:$F,$E489))</f>
        <v/>
      </c>
      <c r="E489">
        <f>IFERROR(AGGREGATE(15,6,ROW('Input Transaksi'!$B$5:$B$5000)/('Input Transaksi'!$B$5:$B$5000="BALI WASH"),ROWS($E$5:E489)),"")</f>
        <v/>
      </c>
      <c r="F489" s="5" t="n"/>
    </row>
    <row r="490">
      <c r="A490" s="10">
        <f>IF($E490="","",INDEX('Input Transaksi'!$A:$A,$E490))</f>
        <v/>
      </c>
      <c r="B490" s="5">
        <f>IF($E490="","",INDEX('Input Transaksi'!$D:$D,$E490))</f>
        <v/>
      </c>
      <c r="C490">
        <f>IF($E490="","",INDEX('Input Transaksi'!$E:$E,$E490))</f>
        <v/>
      </c>
      <c r="D490" s="5">
        <f>IF($E490="","",INDEX('Input Transaksi'!$F:$F,$E490))</f>
        <v/>
      </c>
      <c r="E490">
        <f>IFERROR(AGGREGATE(15,6,ROW('Input Transaksi'!$B$5:$B$5000)/('Input Transaksi'!$B$5:$B$5000="BALI WASH"),ROWS($E$5:E490)),"")</f>
        <v/>
      </c>
      <c r="F490" s="5" t="n"/>
    </row>
    <row r="491">
      <c r="A491" s="10">
        <f>IF($E491="","",INDEX('Input Transaksi'!$A:$A,$E491))</f>
        <v/>
      </c>
      <c r="B491" s="5">
        <f>IF($E491="","",INDEX('Input Transaksi'!$D:$D,$E491))</f>
        <v/>
      </c>
      <c r="C491">
        <f>IF($E491="","",INDEX('Input Transaksi'!$E:$E,$E491))</f>
        <v/>
      </c>
      <c r="D491" s="5">
        <f>IF($E491="","",INDEX('Input Transaksi'!$F:$F,$E491))</f>
        <v/>
      </c>
      <c r="E491">
        <f>IFERROR(AGGREGATE(15,6,ROW('Input Transaksi'!$B$5:$B$5000)/('Input Transaksi'!$B$5:$B$5000="BALI WASH"),ROWS($E$5:E491)),"")</f>
        <v/>
      </c>
      <c r="F491" s="5" t="n"/>
    </row>
    <row r="492">
      <c r="A492" s="10">
        <f>IF($E492="","",INDEX('Input Transaksi'!$A:$A,$E492))</f>
        <v/>
      </c>
      <c r="B492" s="5">
        <f>IF($E492="","",INDEX('Input Transaksi'!$D:$D,$E492))</f>
        <v/>
      </c>
      <c r="C492">
        <f>IF($E492="","",INDEX('Input Transaksi'!$E:$E,$E492))</f>
        <v/>
      </c>
      <c r="D492" s="5">
        <f>IF($E492="","",INDEX('Input Transaksi'!$F:$F,$E492))</f>
        <v/>
      </c>
      <c r="E492">
        <f>IFERROR(AGGREGATE(15,6,ROW('Input Transaksi'!$B$5:$B$5000)/('Input Transaksi'!$B$5:$B$5000="BALI WASH"),ROWS($E$5:E492)),"")</f>
        <v/>
      </c>
      <c r="F492" s="5" t="n"/>
    </row>
    <row r="493">
      <c r="A493" s="10">
        <f>IF($E493="","",INDEX('Input Transaksi'!$A:$A,$E493))</f>
        <v/>
      </c>
      <c r="B493" s="5">
        <f>IF($E493="","",INDEX('Input Transaksi'!$D:$D,$E493))</f>
        <v/>
      </c>
      <c r="C493">
        <f>IF($E493="","",INDEX('Input Transaksi'!$E:$E,$E493))</f>
        <v/>
      </c>
      <c r="D493" s="5">
        <f>IF($E493="","",INDEX('Input Transaksi'!$F:$F,$E493))</f>
        <v/>
      </c>
      <c r="E493">
        <f>IFERROR(AGGREGATE(15,6,ROW('Input Transaksi'!$B$5:$B$5000)/('Input Transaksi'!$B$5:$B$5000="BALI WASH"),ROWS($E$5:E493)),"")</f>
        <v/>
      </c>
      <c r="F493" s="5" t="n"/>
    </row>
    <row r="494">
      <c r="A494" s="10">
        <f>IF($E494="","",INDEX('Input Transaksi'!$A:$A,$E494))</f>
        <v/>
      </c>
      <c r="B494" s="5">
        <f>IF($E494="","",INDEX('Input Transaksi'!$D:$D,$E494))</f>
        <v/>
      </c>
      <c r="C494">
        <f>IF($E494="","",INDEX('Input Transaksi'!$E:$E,$E494))</f>
        <v/>
      </c>
      <c r="D494" s="5">
        <f>IF($E494="","",INDEX('Input Transaksi'!$F:$F,$E494))</f>
        <v/>
      </c>
      <c r="E494">
        <f>IFERROR(AGGREGATE(15,6,ROW('Input Transaksi'!$B$5:$B$5000)/('Input Transaksi'!$B$5:$B$5000="BALI WASH"),ROWS($E$5:E494)),"")</f>
        <v/>
      </c>
      <c r="F494" s="5" t="n"/>
    </row>
    <row r="495">
      <c r="A495" s="10">
        <f>IF($E495="","",INDEX('Input Transaksi'!$A:$A,$E495))</f>
        <v/>
      </c>
      <c r="B495" s="5">
        <f>IF($E495="","",INDEX('Input Transaksi'!$D:$D,$E495))</f>
        <v/>
      </c>
      <c r="C495">
        <f>IF($E495="","",INDEX('Input Transaksi'!$E:$E,$E495))</f>
        <v/>
      </c>
      <c r="D495" s="5">
        <f>IF($E495="","",INDEX('Input Transaksi'!$F:$F,$E495))</f>
        <v/>
      </c>
      <c r="E495">
        <f>IFERROR(AGGREGATE(15,6,ROW('Input Transaksi'!$B$5:$B$5000)/('Input Transaksi'!$B$5:$B$5000="BALI WASH"),ROWS($E$5:E495)),"")</f>
        <v/>
      </c>
      <c r="F495" s="5" t="n"/>
    </row>
    <row r="496">
      <c r="A496" s="10">
        <f>IF($E496="","",INDEX('Input Transaksi'!$A:$A,$E496))</f>
        <v/>
      </c>
      <c r="B496" s="5">
        <f>IF($E496="","",INDEX('Input Transaksi'!$D:$D,$E496))</f>
        <v/>
      </c>
      <c r="C496">
        <f>IF($E496="","",INDEX('Input Transaksi'!$E:$E,$E496))</f>
        <v/>
      </c>
      <c r="D496" s="5">
        <f>IF($E496="","",INDEX('Input Transaksi'!$F:$F,$E496))</f>
        <v/>
      </c>
      <c r="E496">
        <f>IFERROR(AGGREGATE(15,6,ROW('Input Transaksi'!$B$5:$B$5000)/('Input Transaksi'!$B$5:$B$5000="BALI WASH"),ROWS($E$5:E496)),"")</f>
        <v/>
      </c>
      <c r="F496" s="5" t="n"/>
    </row>
    <row r="497">
      <c r="A497" s="10">
        <f>IF($E497="","",INDEX('Input Transaksi'!$A:$A,$E497))</f>
        <v/>
      </c>
      <c r="B497" s="5">
        <f>IF($E497="","",INDEX('Input Transaksi'!$D:$D,$E497))</f>
        <v/>
      </c>
      <c r="C497">
        <f>IF($E497="","",INDEX('Input Transaksi'!$E:$E,$E497))</f>
        <v/>
      </c>
      <c r="D497" s="5">
        <f>IF($E497="","",INDEX('Input Transaksi'!$F:$F,$E497))</f>
        <v/>
      </c>
      <c r="E497">
        <f>IFERROR(AGGREGATE(15,6,ROW('Input Transaksi'!$B$5:$B$5000)/('Input Transaksi'!$B$5:$B$5000="BALI WASH"),ROWS($E$5:E497)),"")</f>
        <v/>
      </c>
      <c r="F497" s="5" t="n"/>
    </row>
    <row r="498">
      <c r="A498" s="10">
        <f>IF($E498="","",INDEX('Input Transaksi'!$A:$A,$E498))</f>
        <v/>
      </c>
      <c r="B498" s="5">
        <f>IF($E498="","",INDEX('Input Transaksi'!$D:$D,$E498))</f>
        <v/>
      </c>
      <c r="C498">
        <f>IF($E498="","",INDEX('Input Transaksi'!$E:$E,$E498))</f>
        <v/>
      </c>
      <c r="D498" s="5">
        <f>IF($E498="","",INDEX('Input Transaksi'!$F:$F,$E498))</f>
        <v/>
      </c>
      <c r="E498">
        <f>IFERROR(AGGREGATE(15,6,ROW('Input Transaksi'!$B$5:$B$5000)/('Input Transaksi'!$B$5:$B$5000="BALI WASH"),ROWS($E$5:E498)),"")</f>
        <v/>
      </c>
      <c r="F498" s="5" t="n"/>
    </row>
    <row r="499">
      <c r="A499" s="10">
        <f>IF($E499="","",INDEX('Input Transaksi'!$A:$A,$E499))</f>
        <v/>
      </c>
      <c r="B499" s="5">
        <f>IF($E499="","",INDEX('Input Transaksi'!$D:$D,$E499))</f>
        <v/>
      </c>
      <c r="C499">
        <f>IF($E499="","",INDEX('Input Transaksi'!$E:$E,$E499))</f>
        <v/>
      </c>
      <c r="D499" s="5">
        <f>IF($E499="","",INDEX('Input Transaksi'!$F:$F,$E499))</f>
        <v/>
      </c>
      <c r="E499">
        <f>IFERROR(AGGREGATE(15,6,ROW('Input Transaksi'!$B$5:$B$5000)/('Input Transaksi'!$B$5:$B$5000="BALI WASH"),ROWS($E$5:E499)),"")</f>
        <v/>
      </c>
      <c r="F499" s="5" t="n"/>
    </row>
    <row r="500">
      <c r="A500" s="10">
        <f>IF($E500="","",INDEX('Input Transaksi'!$A:$A,$E500))</f>
        <v/>
      </c>
      <c r="B500" s="5">
        <f>IF($E500="","",INDEX('Input Transaksi'!$D:$D,$E500))</f>
        <v/>
      </c>
      <c r="C500">
        <f>IF($E500="","",INDEX('Input Transaksi'!$E:$E,$E500))</f>
        <v/>
      </c>
      <c r="D500" s="5">
        <f>IF($E500="","",INDEX('Input Transaksi'!$F:$F,$E500))</f>
        <v/>
      </c>
      <c r="E500">
        <f>IFERROR(AGGREGATE(15,6,ROW('Input Transaksi'!$B$5:$B$5000)/('Input Transaksi'!$B$5:$B$5000="BALI WASH"),ROWS($E$5:E500)),"")</f>
        <v/>
      </c>
      <c r="F500" s="5" t="n"/>
    </row>
    <row r="501">
      <c r="A501" s="10">
        <f>IF($E501="","",INDEX('Input Transaksi'!$A:$A,$E501))</f>
        <v/>
      </c>
      <c r="B501" s="5">
        <f>IF($E501="","",INDEX('Input Transaksi'!$D:$D,$E501))</f>
        <v/>
      </c>
      <c r="C501">
        <f>IF($E501="","",INDEX('Input Transaksi'!$E:$E,$E501))</f>
        <v/>
      </c>
      <c r="D501" s="5">
        <f>IF($E501="","",INDEX('Input Transaksi'!$F:$F,$E501))</f>
        <v/>
      </c>
      <c r="E501">
        <f>IFERROR(AGGREGATE(15,6,ROW('Input Transaksi'!$B$5:$B$5000)/('Input Transaksi'!$B$5:$B$5000="BALI WASH"),ROWS($E$5:E501)),"")</f>
        <v/>
      </c>
      <c r="F501" s="5" t="n"/>
    </row>
    <row r="502">
      <c r="A502" s="10">
        <f>IF($E502="","",INDEX('Input Transaksi'!$A:$A,$E502))</f>
        <v/>
      </c>
      <c r="B502" s="5">
        <f>IF($E502="","",INDEX('Input Transaksi'!$D:$D,$E502))</f>
        <v/>
      </c>
      <c r="C502">
        <f>IF($E502="","",INDEX('Input Transaksi'!$E:$E,$E502))</f>
        <v/>
      </c>
      <c r="D502" s="5">
        <f>IF($E502="","",INDEX('Input Transaksi'!$F:$F,$E502))</f>
        <v/>
      </c>
      <c r="E502">
        <f>IFERROR(AGGREGATE(15,6,ROW('Input Transaksi'!$B$5:$B$5000)/('Input Transaksi'!$B$5:$B$5000="BALI WASH"),ROWS($E$5:E502)),"")</f>
        <v/>
      </c>
      <c r="F502" s="5" t="n"/>
    </row>
    <row r="503">
      <c r="A503" s="10">
        <f>IF($E503="","",INDEX('Input Transaksi'!$A:$A,$E503))</f>
        <v/>
      </c>
      <c r="B503" s="5">
        <f>IF($E503="","",INDEX('Input Transaksi'!$D:$D,$E503))</f>
        <v/>
      </c>
      <c r="C503">
        <f>IF($E503="","",INDEX('Input Transaksi'!$E:$E,$E503))</f>
        <v/>
      </c>
      <c r="D503" s="5">
        <f>IF($E503="","",INDEX('Input Transaksi'!$F:$F,$E503))</f>
        <v/>
      </c>
      <c r="E503">
        <f>IFERROR(AGGREGATE(15,6,ROW('Input Transaksi'!$B$5:$B$5000)/('Input Transaksi'!$B$5:$B$5000="BALI WASH"),ROWS($E$5:E503)),"")</f>
        <v/>
      </c>
      <c r="F503" s="5" t="n"/>
    </row>
    <row r="504">
      <c r="A504" s="10">
        <f>IF($E504="","",INDEX('Input Transaksi'!$A:$A,$E504))</f>
        <v/>
      </c>
      <c r="B504" s="5">
        <f>IF($E504="","",INDEX('Input Transaksi'!$D:$D,$E504))</f>
        <v/>
      </c>
      <c r="C504">
        <f>IF($E504="","",INDEX('Input Transaksi'!$E:$E,$E504))</f>
        <v/>
      </c>
      <c r="D504" s="5">
        <f>IF($E504="","",INDEX('Input Transaksi'!$F:$F,$E504))</f>
        <v/>
      </c>
      <c r="E504">
        <f>IFERROR(AGGREGATE(15,6,ROW('Input Transaksi'!$B$5:$B$5000)/('Input Transaksi'!$B$5:$B$5000="BALI WASH"),ROWS($E$5:E504)),"")</f>
        <v/>
      </c>
      <c r="F504" s="5" t="n"/>
    </row>
    <row r="505">
      <c r="A505" s="10">
        <f>IF($E505="","",INDEX('Input Transaksi'!$A:$A,$E505))</f>
        <v/>
      </c>
      <c r="B505" s="5">
        <f>IF($E505="","",INDEX('Input Transaksi'!$D:$D,$E505))</f>
        <v/>
      </c>
      <c r="C505">
        <f>IF($E505="","",INDEX('Input Transaksi'!$E:$E,$E505))</f>
        <v/>
      </c>
      <c r="D505" s="5">
        <f>IF($E505="","",INDEX('Input Transaksi'!$F:$F,$E505))</f>
        <v/>
      </c>
      <c r="E505">
        <f>IFERROR(AGGREGATE(15,6,ROW('Input Transaksi'!$B$5:$B$5000)/('Input Transaksi'!$B$5:$B$5000="BALI WASH"),ROWS($E$5:E505)),"")</f>
        <v/>
      </c>
      <c r="F505" s="5" t="n"/>
    </row>
    <row r="506">
      <c r="A506" s="10">
        <f>IF($E506="","",INDEX('Input Transaksi'!$A:$A,$E506))</f>
        <v/>
      </c>
      <c r="B506" s="5">
        <f>IF($E506="","",INDEX('Input Transaksi'!$D:$D,$E506))</f>
        <v/>
      </c>
      <c r="C506">
        <f>IF($E506="","",INDEX('Input Transaksi'!$E:$E,$E506))</f>
        <v/>
      </c>
      <c r="D506" s="5">
        <f>IF($E506="","",INDEX('Input Transaksi'!$F:$F,$E506))</f>
        <v/>
      </c>
      <c r="E506">
        <f>IFERROR(AGGREGATE(15,6,ROW('Input Transaksi'!$B$5:$B$5000)/('Input Transaksi'!$B$5:$B$5000="BALI WASH"),ROWS($E$5:E506)),"")</f>
        <v/>
      </c>
      <c r="F506" s="5" t="n"/>
    </row>
    <row r="507">
      <c r="A507" s="10">
        <f>IF($E507="","",INDEX('Input Transaksi'!$A:$A,$E507))</f>
        <v/>
      </c>
      <c r="B507" s="5">
        <f>IF($E507="","",INDEX('Input Transaksi'!$D:$D,$E507))</f>
        <v/>
      </c>
      <c r="C507">
        <f>IF($E507="","",INDEX('Input Transaksi'!$E:$E,$E507))</f>
        <v/>
      </c>
      <c r="D507" s="5">
        <f>IF($E507="","",INDEX('Input Transaksi'!$F:$F,$E507))</f>
        <v/>
      </c>
      <c r="E507">
        <f>IFERROR(AGGREGATE(15,6,ROW('Input Transaksi'!$B$5:$B$5000)/('Input Transaksi'!$B$5:$B$5000="BALI WASH"),ROWS($E$5:E507)),"")</f>
        <v/>
      </c>
      <c r="F507" s="5" t="n"/>
    </row>
    <row r="508">
      <c r="A508" s="10">
        <f>IF($E508="","",INDEX('Input Transaksi'!$A:$A,$E508))</f>
        <v/>
      </c>
      <c r="B508" s="5">
        <f>IF($E508="","",INDEX('Input Transaksi'!$D:$D,$E508))</f>
        <v/>
      </c>
      <c r="C508">
        <f>IF($E508="","",INDEX('Input Transaksi'!$E:$E,$E508))</f>
        <v/>
      </c>
      <c r="D508" s="5">
        <f>IF($E508="","",INDEX('Input Transaksi'!$F:$F,$E508))</f>
        <v/>
      </c>
      <c r="E508">
        <f>IFERROR(AGGREGATE(15,6,ROW('Input Transaksi'!$B$5:$B$5000)/('Input Transaksi'!$B$5:$B$5000="BALI WASH"),ROWS($E$5:E508)),"")</f>
        <v/>
      </c>
      <c r="F508" s="5" t="n"/>
    </row>
    <row r="509">
      <c r="A509" s="10">
        <f>IF($E509="","",INDEX('Input Transaksi'!$A:$A,$E509))</f>
        <v/>
      </c>
      <c r="B509" s="5">
        <f>IF($E509="","",INDEX('Input Transaksi'!$D:$D,$E509))</f>
        <v/>
      </c>
      <c r="C509">
        <f>IF($E509="","",INDEX('Input Transaksi'!$E:$E,$E509))</f>
        <v/>
      </c>
      <c r="D509" s="5">
        <f>IF($E509="","",INDEX('Input Transaksi'!$F:$F,$E509))</f>
        <v/>
      </c>
      <c r="E509">
        <f>IFERROR(AGGREGATE(15,6,ROW('Input Transaksi'!$B$5:$B$5000)/('Input Transaksi'!$B$5:$B$5000="BALI WASH"),ROWS($E$5:E509)),"")</f>
        <v/>
      </c>
      <c r="F509" s="5" t="n"/>
    </row>
    <row r="510">
      <c r="A510" s="10">
        <f>IF($E510="","",INDEX('Input Transaksi'!$A:$A,$E510))</f>
        <v/>
      </c>
      <c r="B510" s="5">
        <f>IF($E510="","",INDEX('Input Transaksi'!$D:$D,$E510))</f>
        <v/>
      </c>
      <c r="C510">
        <f>IF($E510="","",INDEX('Input Transaksi'!$E:$E,$E510))</f>
        <v/>
      </c>
      <c r="D510" s="5">
        <f>IF($E510="","",INDEX('Input Transaksi'!$F:$F,$E510))</f>
        <v/>
      </c>
      <c r="E510">
        <f>IFERROR(AGGREGATE(15,6,ROW('Input Transaksi'!$B$5:$B$5000)/('Input Transaksi'!$B$5:$B$5000="BALI WASH"),ROWS($E$5:E510)),"")</f>
        <v/>
      </c>
      <c r="F510" s="5" t="n"/>
    </row>
    <row r="511">
      <c r="A511" s="10">
        <f>IF($E511="","",INDEX('Input Transaksi'!$A:$A,$E511))</f>
        <v/>
      </c>
      <c r="B511" s="5">
        <f>IF($E511="","",INDEX('Input Transaksi'!$D:$D,$E511))</f>
        <v/>
      </c>
      <c r="C511">
        <f>IF($E511="","",INDEX('Input Transaksi'!$E:$E,$E511))</f>
        <v/>
      </c>
      <c r="D511" s="5">
        <f>IF($E511="","",INDEX('Input Transaksi'!$F:$F,$E511))</f>
        <v/>
      </c>
      <c r="E511">
        <f>IFERROR(AGGREGATE(15,6,ROW('Input Transaksi'!$B$5:$B$5000)/('Input Transaksi'!$B$5:$B$5000="BALI WASH"),ROWS($E$5:E511)),"")</f>
        <v/>
      </c>
      <c r="F511" s="5" t="n"/>
    </row>
    <row r="512">
      <c r="A512" s="10">
        <f>IF($E512="","",INDEX('Input Transaksi'!$A:$A,$E512))</f>
        <v/>
      </c>
      <c r="B512" s="5">
        <f>IF($E512="","",INDEX('Input Transaksi'!$D:$D,$E512))</f>
        <v/>
      </c>
      <c r="C512">
        <f>IF($E512="","",INDEX('Input Transaksi'!$E:$E,$E512))</f>
        <v/>
      </c>
      <c r="D512" s="5">
        <f>IF($E512="","",INDEX('Input Transaksi'!$F:$F,$E512))</f>
        <v/>
      </c>
      <c r="E512">
        <f>IFERROR(AGGREGATE(15,6,ROW('Input Transaksi'!$B$5:$B$5000)/('Input Transaksi'!$B$5:$B$5000="BALI WASH"),ROWS($E$5:E512)),"")</f>
        <v/>
      </c>
      <c r="F512" s="5" t="n"/>
    </row>
    <row r="513">
      <c r="A513" s="10">
        <f>IF($E513="","",INDEX('Input Transaksi'!$A:$A,$E513))</f>
        <v/>
      </c>
      <c r="B513" s="5">
        <f>IF($E513="","",INDEX('Input Transaksi'!$D:$D,$E513))</f>
        <v/>
      </c>
      <c r="C513">
        <f>IF($E513="","",INDEX('Input Transaksi'!$E:$E,$E513))</f>
        <v/>
      </c>
      <c r="D513" s="5">
        <f>IF($E513="","",INDEX('Input Transaksi'!$F:$F,$E513))</f>
        <v/>
      </c>
      <c r="E513">
        <f>IFERROR(AGGREGATE(15,6,ROW('Input Transaksi'!$B$5:$B$5000)/('Input Transaksi'!$B$5:$B$5000="BALI WASH"),ROWS($E$5:E513)),"")</f>
        <v/>
      </c>
      <c r="F513" s="5" t="n"/>
    </row>
    <row r="514">
      <c r="A514" s="10">
        <f>IF($E514="","",INDEX('Input Transaksi'!$A:$A,$E514))</f>
        <v/>
      </c>
      <c r="B514" s="5">
        <f>IF($E514="","",INDEX('Input Transaksi'!$D:$D,$E514))</f>
        <v/>
      </c>
      <c r="C514">
        <f>IF($E514="","",INDEX('Input Transaksi'!$E:$E,$E514))</f>
        <v/>
      </c>
      <c r="D514" s="5">
        <f>IF($E514="","",INDEX('Input Transaksi'!$F:$F,$E514))</f>
        <v/>
      </c>
      <c r="E514">
        <f>IFERROR(AGGREGATE(15,6,ROW('Input Transaksi'!$B$5:$B$5000)/('Input Transaksi'!$B$5:$B$5000="BALI WASH"),ROWS($E$5:E514)),"")</f>
        <v/>
      </c>
      <c r="F514" s="5" t="n"/>
    </row>
    <row r="515">
      <c r="A515" s="10">
        <f>IF($E515="","",INDEX('Input Transaksi'!$A:$A,$E515))</f>
        <v/>
      </c>
      <c r="B515" s="5">
        <f>IF($E515="","",INDEX('Input Transaksi'!$D:$D,$E515))</f>
        <v/>
      </c>
      <c r="C515">
        <f>IF($E515="","",INDEX('Input Transaksi'!$E:$E,$E515))</f>
        <v/>
      </c>
      <c r="D515" s="5">
        <f>IF($E515="","",INDEX('Input Transaksi'!$F:$F,$E515))</f>
        <v/>
      </c>
      <c r="E515">
        <f>IFERROR(AGGREGATE(15,6,ROW('Input Transaksi'!$B$5:$B$5000)/('Input Transaksi'!$B$5:$B$5000="BALI WASH"),ROWS($E$5:E515)),"")</f>
        <v/>
      </c>
      <c r="F515" s="5" t="n"/>
    </row>
    <row r="516">
      <c r="A516" s="10">
        <f>IF($E516="","",INDEX('Input Transaksi'!$A:$A,$E516))</f>
        <v/>
      </c>
      <c r="B516" s="5">
        <f>IF($E516="","",INDEX('Input Transaksi'!$D:$D,$E516))</f>
        <v/>
      </c>
      <c r="C516">
        <f>IF($E516="","",INDEX('Input Transaksi'!$E:$E,$E516))</f>
        <v/>
      </c>
      <c r="D516" s="5">
        <f>IF($E516="","",INDEX('Input Transaksi'!$F:$F,$E516))</f>
        <v/>
      </c>
      <c r="E516">
        <f>IFERROR(AGGREGATE(15,6,ROW('Input Transaksi'!$B$5:$B$5000)/('Input Transaksi'!$B$5:$B$5000="BALI WASH"),ROWS($E$5:E516)),"")</f>
        <v/>
      </c>
      <c r="F516" s="5" t="n"/>
    </row>
    <row r="517">
      <c r="A517" s="10">
        <f>IF($E517="","",INDEX('Input Transaksi'!$A:$A,$E517))</f>
        <v/>
      </c>
      <c r="B517" s="5">
        <f>IF($E517="","",INDEX('Input Transaksi'!$D:$D,$E517))</f>
        <v/>
      </c>
      <c r="C517">
        <f>IF($E517="","",INDEX('Input Transaksi'!$E:$E,$E517))</f>
        <v/>
      </c>
      <c r="D517" s="5">
        <f>IF($E517="","",INDEX('Input Transaksi'!$F:$F,$E517))</f>
        <v/>
      </c>
      <c r="E517">
        <f>IFERROR(AGGREGATE(15,6,ROW('Input Transaksi'!$B$5:$B$5000)/('Input Transaksi'!$B$5:$B$5000="BALI WASH"),ROWS($E$5:E517)),"")</f>
        <v/>
      </c>
      <c r="F517" s="5" t="n"/>
    </row>
    <row r="518">
      <c r="A518" s="10">
        <f>IF($E518="","",INDEX('Input Transaksi'!$A:$A,$E518))</f>
        <v/>
      </c>
      <c r="B518" s="5">
        <f>IF($E518="","",INDEX('Input Transaksi'!$D:$D,$E518))</f>
        <v/>
      </c>
      <c r="C518">
        <f>IF($E518="","",INDEX('Input Transaksi'!$E:$E,$E518))</f>
        <v/>
      </c>
      <c r="D518" s="5">
        <f>IF($E518="","",INDEX('Input Transaksi'!$F:$F,$E518))</f>
        <v/>
      </c>
      <c r="E518">
        <f>IFERROR(AGGREGATE(15,6,ROW('Input Transaksi'!$B$5:$B$5000)/('Input Transaksi'!$B$5:$B$5000="BALI WASH"),ROWS($E$5:E518)),"")</f>
        <v/>
      </c>
      <c r="F518" s="5" t="n"/>
    </row>
    <row r="519">
      <c r="A519" s="10">
        <f>IF($E519="","",INDEX('Input Transaksi'!$A:$A,$E519))</f>
        <v/>
      </c>
      <c r="B519" s="5">
        <f>IF($E519="","",INDEX('Input Transaksi'!$D:$D,$E519))</f>
        <v/>
      </c>
      <c r="C519">
        <f>IF($E519="","",INDEX('Input Transaksi'!$E:$E,$E519))</f>
        <v/>
      </c>
      <c r="D519" s="5">
        <f>IF($E519="","",INDEX('Input Transaksi'!$F:$F,$E519))</f>
        <v/>
      </c>
      <c r="E519">
        <f>IFERROR(AGGREGATE(15,6,ROW('Input Transaksi'!$B$5:$B$5000)/('Input Transaksi'!$B$5:$B$5000="BALI WASH"),ROWS($E$5:E519)),"")</f>
        <v/>
      </c>
      <c r="F519" s="5" t="n"/>
    </row>
    <row r="520">
      <c r="A520" s="10">
        <f>IF($E520="","",INDEX('Input Transaksi'!$A:$A,$E520))</f>
        <v/>
      </c>
      <c r="B520" s="5">
        <f>IF($E520="","",INDEX('Input Transaksi'!$D:$D,$E520))</f>
        <v/>
      </c>
      <c r="C520">
        <f>IF($E520="","",INDEX('Input Transaksi'!$E:$E,$E520))</f>
        <v/>
      </c>
      <c r="D520" s="5">
        <f>IF($E520="","",INDEX('Input Transaksi'!$F:$F,$E520))</f>
        <v/>
      </c>
      <c r="E520">
        <f>IFERROR(AGGREGATE(15,6,ROW('Input Transaksi'!$B$5:$B$5000)/('Input Transaksi'!$B$5:$B$5000="BALI WASH"),ROWS($E$5:E520)),"")</f>
        <v/>
      </c>
      <c r="F520" s="5" t="n"/>
    </row>
    <row r="521">
      <c r="A521" s="10">
        <f>IF($E521="","",INDEX('Input Transaksi'!$A:$A,$E521))</f>
        <v/>
      </c>
      <c r="B521" s="5">
        <f>IF($E521="","",INDEX('Input Transaksi'!$D:$D,$E521))</f>
        <v/>
      </c>
      <c r="C521">
        <f>IF($E521="","",INDEX('Input Transaksi'!$E:$E,$E521))</f>
        <v/>
      </c>
      <c r="D521" s="5">
        <f>IF($E521="","",INDEX('Input Transaksi'!$F:$F,$E521))</f>
        <v/>
      </c>
      <c r="E521">
        <f>IFERROR(AGGREGATE(15,6,ROW('Input Transaksi'!$B$5:$B$5000)/('Input Transaksi'!$B$5:$B$5000="BALI WASH"),ROWS($E$5:E521)),"")</f>
        <v/>
      </c>
      <c r="F521" s="5" t="n"/>
    </row>
    <row r="522">
      <c r="A522" s="10">
        <f>IF($E522="","",INDEX('Input Transaksi'!$A:$A,$E522))</f>
        <v/>
      </c>
      <c r="B522" s="5">
        <f>IF($E522="","",INDEX('Input Transaksi'!$D:$D,$E522))</f>
        <v/>
      </c>
      <c r="C522">
        <f>IF($E522="","",INDEX('Input Transaksi'!$E:$E,$E522))</f>
        <v/>
      </c>
      <c r="D522" s="5">
        <f>IF($E522="","",INDEX('Input Transaksi'!$F:$F,$E522))</f>
        <v/>
      </c>
      <c r="E522">
        <f>IFERROR(AGGREGATE(15,6,ROW('Input Transaksi'!$B$5:$B$5000)/('Input Transaksi'!$B$5:$B$5000="BALI WASH"),ROWS($E$5:E522)),"")</f>
        <v/>
      </c>
      <c r="F522" s="5" t="n"/>
    </row>
    <row r="523">
      <c r="A523" s="10">
        <f>IF($E523="","",INDEX('Input Transaksi'!$A:$A,$E523))</f>
        <v/>
      </c>
      <c r="B523" s="5">
        <f>IF($E523="","",INDEX('Input Transaksi'!$D:$D,$E523))</f>
        <v/>
      </c>
      <c r="C523">
        <f>IF($E523="","",INDEX('Input Transaksi'!$E:$E,$E523))</f>
        <v/>
      </c>
      <c r="D523" s="5">
        <f>IF($E523="","",INDEX('Input Transaksi'!$F:$F,$E523))</f>
        <v/>
      </c>
      <c r="E523">
        <f>IFERROR(AGGREGATE(15,6,ROW('Input Transaksi'!$B$5:$B$5000)/('Input Transaksi'!$B$5:$B$5000="BALI WASH"),ROWS($E$5:E523)),"")</f>
        <v/>
      </c>
      <c r="F523" s="5" t="n"/>
    </row>
    <row r="524">
      <c r="A524" s="10">
        <f>IF($E524="","",INDEX('Input Transaksi'!$A:$A,$E524))</f>
        <v/>
      </c>
      <c r="B524" s="5">
        <f>IF($E524="","",INDEX('Input Transaksi'!$D:$D,$E524))</f>
        <v/>
      </c>
      <c r="C524">
        <f>IF($E524="","",INDEX('Input Transaksi'!$E:$E,$E524))</f>
        <v/>
      </c>
      <c r="D524" s="5">
        <f>IF($E524="","",INDEX('Input Transaksi'!$F:$F,$E524))</f>
        <v/>
      </c>
      <c r="E524">
        <f>IFERROR(AGGREGATE(15,6,ROW('Input Transaksi'!$B$5:$B$5000)/('Input Transaksi'!$B$5:$B$5000="BALI WASH"),ROWS($E$5:E524)),"")</f>
        <v/>
      </c>
      <c r="F524" s="5" t="n"/>
    </row>
    <row r="525">
      <c r="A525" s="10">
        <f>IF($E525="","",INDEX('Input Transaksi'!$A:$A,$E525))</f>
        <v/>
      </c>
      <c r="B525" s="5">
        <f>IF($E525="","",INDEX('Input Transaksi'!$D:$D,$E525))</f>
        <v/>
      </c>
      <c r="C525">
        <f>IF($E525="","",INDEX('Input Transaksi'!$E:$E,$E525))</f>
        <v/>
      </c>
      <c r="D525" s="5">
        <f>IF($E525="","",INDEX('Input Transaksi'!$F:$F,$E525))</f>
        <v/>
      </c>
      <c r="E525">
        <f>IFERROR(AGGREGATE(15,6,ROW('Input Transaksi'!$B$5:$B$5000)/('Input Transaksi'!$B$5:$B$5000="BALI WASH"),ROWS($E$5:E525)),"")</f>
        <v/>
      </c>
      <c r="F525" s="5" t="n"/>
    </row>
    <row r="526">
      <c r="A526" s="10">
        <f>IF($E526="","",INDEX('Input Transaksi'!$A:$A,$E526))</f>
        <v/>
      </c>
      <c r="B526" s="5">
        <f>IF($E526="","",INDEX('Input Transaksi'!$D:$D,$E526))</f>
        <v/>
      </c>
      <c r="C526">
        <f>IF($E526="","",INDEX('Input Transaksi'!$E:$E,$E526))</f>
        <v/>
      </c>
      <c r="D526" s="5">
        <f>IF($E526="","",INDEX('Input Transaksi'!$F:$F,$E526))</f>
        <v/>
      </c>
      <c r="E526">
        <f>IFERROR(AGGREGATE(15,6,ROW('Input Transaksi'!$B$5:$B$5000)/('Input Transaksi'!$B$5:$B$5000="BALI WASH"),ROWS($E$5:E526)),"")</f>
        <v/>
      </c>
      <c r="F526" s="5" t="n"/>
    </row>
    <row r="527">
      <c r="A527" s="10">
        <f>IF($E527="","",INDEX('Input Transaksi'!$A:$A,$E527))</f>
        <v/>
      </c>
      <c r="B527" s="5">
        <f>IF($E527="","",INDEX('Input Transaksi'!$D:$D,$E527))</f>
        <v/>
      </c>
      <c r="C527">
        <f>IF($E527="","",INDEX('Input Transaksi'!$E:$E,$E527))</f>
        <v/>
      </c>
      <c r="D527" s="5">
        <f>IF($E527="","",INDEX('Input Transaksi'!$F:$F,$E527))</f>
        <v/>
      </c>
      <c r="E527">
        <f>IFERROR(AGGREGATE(15,6,ROW('Input Transaksi'!$B$5:$B$5000)/('Input Transaksi'!$B$5:$B$5000="BALI WASH"),ROWS($E$5:E527)),"")</f>
        <v/>
      </c>
      <c r="F527" s="5" t="n"/>
    </row>
    <row r="528">
      <c r="A528" s="10">
        <f>IF($E528="","",INDEX('Input Transaksi'!$A:$A,$E528))</f>
        <v/>
      </c>
      <c r="B528" s="5">
        <f>IF($E528="","",INDEX('Input Transaksi'!$D:$D,$E528))</f>
        <v/>
      </c>
      <c r="C528">
        <f>IF($E528="","",INDEX('Input Transaksi'!$E:$E,$E528))</f>
        <v/>
      </c>
      <c r="D528" s="5">
        <f>IF($E528="","",INDEX('Input Transaksi'!$F:$F,$E528))</f>
        <v/>
      </c>
      <c r="E528">
        <f>IFERROR(AGGREGATE(15,6,ROW('Input Transaksi'!$B$5:$B$5000)/('Input Transaksi'!$B$5:$B$5000="BALI WASH"),ROWS($E$5:E528)),"")</f>
        <v/>
      </c>
      <c r="F528" s="5" t="n"/>
    </row>
    <row r="529">
      <c r="A529" s="10">
        <f>IF($E529="","",INDEX('Input Transaksi'!$A:$A,$E529))</f>
        <v/>
      </c>
      <c r="B529" s="5">
        <f>IF($E529="","",INDEX('Input Transaksi'!$D:$D,$E529))</f>
        <v/>
      </c>
      <c r="C529">
        <f>IF($E529="","",INDEX('Input Transaksi'!$E:$E,$E529))</f>
        <v/>
      </c>
      <c r="D529" s="5">
        <f>IF($E529="","",INDEX('Input Transaksi'!$F:$F,$E529))</f>
        <v/>
      </c>
      <c r="E529">
        <f>IFERROR(AGGREGATE(15,6,ROW('Input Transaksi'!$B$5:$B$5000)/('Input Transaksi'!$B$5:$B$5000="BALI WASH"),ROWS($E$5:E529)),"")</f>
        <v/>
      </c>
      <c r="F529" s="5" t="n"/>
    </row>
    <row r="530">
      <c r="A530" s="10">
        <f>IF($E530="","",INDEX('Input Transaksi'!$A:$A,$E530))</f>
        <v/>
      </c>
      <c r="B530" s="5">
        <f>IF($E530="","",INDEX('Input Transaksi'!$D:$D,$E530))</f>
        <v/>
      </c>
      <c r="C530">
        <f>IF($E530="","",INDEX('Input Transaksi'!$E:$E,$E530))</f>
        <v/>
      </c>
      <c r="D530" s="5">
        <f>IF($E530="","",INDEX('Input Transaksi'!$F:$F,$E530))</f>
        <v/>
      </c>
      <c r="E530">
        <f>IFERROR(AGGREGATE(15,6,ROW('Input Transaksi'!$B$5:$B$5000)/('Input Transaksi'!$B$5:$B$5000="BALI WASH"),ROWS($E$5:E530)),"")</f>
        <v/>
      </c>
      <c r="F530" s="5" t="n"/>
    </row>
    <row r="531">
      <c r="A531" s="10">
        <f>IF($E531="","",INDEX('Input Transaksi'!$A:$A,$E531))</f>
        <v/>
      </c>
      <c r="B531" s="5">
        <f>IF($E531="","",INDEX('Input Transaksi'!$D:$D,$E531))</f>
        <v/>
      </c>
      <c r="C531">
        <f>IF($E531="","",INDEX('Input Transaksi'!$E:$E,$E531))</f>
        <v/>
      </c>
      <c r="D531" s="5">
        <f>IF($E531="","",INDEX('Input Transaksi'!$F:$F,$E531))</f>
        <v/>
      </c>
      <c r="E531">
        <f>IFERROR(AGGREGATE(15,6,ROW('Input Transaksi'!$B$5:$B$5000)/('Input Transaksi'!$B$5:$B$5000="BALI WASH"),ROWS($E$5:E531)),"")</f>
        <v/>
      </c>
      <c r="F531" s="5" t="n"/>
    </row>
    <row r="532">
      <c r="A532" s="10">
        <f>IF($E532="","",INDEX('Input Transaksi'!$A:$A,$E532))</f>
        <v/>
      </c>
      <c r="B532" s="5">
        <f>IF($E532="","",INDEX('Input Transaksi'!$D:$D,$E532))</f>
        <v/>
      </c>
      <c r="C532">
        <f>IF($E532="","",INDEX('Input Transaksi'!$E:$E,$E532))</f>
        <v/>
      </c>
      <c r="D532" s="5">
        <f>IF($E532="","",INDEX('Input Transaksi'!$F:$F,$E532))</f>
        <v/>
      </c>
      <c r="E532">
        <f>IFERROR(AGGREGATE(15,6,ROW('Input Transaksi'!$B$5:$B$5000)/('Input Transaksi'!$B$5:$B$5000="BALI WASH"),ROWS($E$5:E532)),"")</f>
        <v/>
      </c>
      <c r="F532" s="5" t="n"/>
    </row>
    <row r="533">
      <c r="A533" s="10">
        <f>IF($E533="","",INDEX('Input Transaksi'!$A:$A,$E533))</f>
        <v/>
      </c>
      <c r="B533" s="5">
        <f>IF($E533="","",INDEX('Input Transaksi'!$D:$D,$E533))</f>
        <v/>
      </c>
      <c r="C533">
        <f>IF($E533="","",INDEX('Input Transaksi'!$E:$E,$E533))</f>
        <v/>
      </c>
      <c r="D533" s="5">
        <f>IF($E533="","",INDEX('Input Transaksi'!$F:$F,$E533))</f>
        <v/>
      </c>
      <c r="E533">
        <f>IFERROR(AGGREGATE(15,6,ROW('Input Transaksi'!$B$5:$B$5000)/('Input Transaksi'!$B$5:$B$5000="BALI WASH"),ROWS($E$5:E533)),"")</f>
        <v/>
      </c>
      <c r="F533" s="5" t="n"/>
    </row>
    <row r="534">
      <c r="A534" s="10">
        <f>IF($E534="","",INDEX('Input Transaksi'!$A:$A,$E534))</f>
        <v/>
      </c>
      <c r="B534" s="5">
        <f>IF($E534="","",INDEX('Input Transaksi'!$D:$D,$E534))</f>
        <v/>
      </c>
      <c r="C534">
        <f>IF($E534="","",INDEX('Input Transaksi'!$E:$E,$E534))</f>
        <v/>
      </c>
      <c r="D534" s="5">
        <f>IF($E534="","",INDEX('Input Transaksi'!$F:$F,$E534))</f>
        <v/>
      </c>
      <c r="E534">
        <f>IFERROR(AGGREGATE(15,6,ROW('Input Transaksi'!$B$5:$B$5000)/('Input Transaksi'!$B$5:$B$5000="BALI WASH"),ROWS($E$5:E534)),"")</f>
        <v/>
      </c>
      <c r="F534" s="5" t="n"/>
    </row>
    <row r="535">
      <c r="A535" s="10">
        <f>IF($E535="","",INDEX('Input Transaksi'!$A:$A,$E535))</f>
        <v/>
      </c>
      <c r="B535" s="5">
        <f>IF($E535="","",INDEX('Input Transaksi'!$D:$D,$E535))</f>
        <v/>
      </c>
      <c r="C535">
        <f>IF($E535="","",INDEX('Input Transaksi'!$E:$E,$E535))</f>
        <v/>
      </c>
      <c r="D535" s="5">
        <f>IF($E535="","",INDEX('Input Transaksi'!$F:$F,$E535))</f>
        <v/>
      </c>
      <c r="E535">
        <f>IFERROR(AGGREGATE(15,6,ROW('Input Transaksi'!$B$5:$B$5000)/('Input Transaksi'!$B$5:$B$5000="BALI WASH"),ROWS($E$5:E535)),"")</f>
        <v/>
      </c>
      <c r="F535" s="5" t="n"/>
    </row>
    <row r="536">
      <c r="A536" s="10">
        <f>IF($E536="","",INDEX('Input Transaksi'!$A:$A,$E536))</f>
        <v/>
      </c>
      <c r="B536" s="5">
        <f>IF($E536="","",INDEX('Input Transaksi'!$D:$D,$E536))</f>
        <v/>
      </c>
      <c r="C536">
        <f>IF($E536="","",INDEX('Input Transaksi'!$E:$E,$E536))</f>
        <v/>
      </c>
      <c r="D536" s="5">
        <f>IF($E536="","",INDEX('Input Transaksi'!$F:$F,$E536))</f>
        <v/>
      </c>
      <c r="E536">
        <f>IFERROR(AGGREGATE(15,6,ROW('Input Transaksi'!$B$5:$B$5000)/('Input Transaksi'!$B$5:$B$5000="BALI WASH"),ROWS($E$5:E536)),"")</f>
        <v/>
      </c>
      <c r="F536" s="5" t="n"/>
    </row>
    <row r="537">
      <c r="A537" s="10">
        <f>IF($E537="","",INDEX('Input Transaksi'!$A:$A,$E537))</f>
        <v/>
      </c>
      <c r="B537" s="5">
        <f>IF($E537="","",INDEX('Input Transaksi'!$D:$D,$E537))</f>
        <v/>
      </c>
      <c r="C537">
        <f>IF($E537="","",INDEX('Input Transaksi'!$E:$E,$E537))</f>
        <v/>
      </c>
      <c r="D537" s="5">
        <f>IF($E537="","",INDEX('Input Transaksi'!$F:$F,$E537))</f>
        <v/>
      </c>
      <c r="E537">
        <f>IFERROR(AGGREGATE(15,6,ROW('Input Transaksi'!$B$5:$B$5000)/('Input Transaksi'!$B$5:$B$5000="BALI WASH"),ROWS($E$5:E537)),"")</f>
        <v/>
      </c>
      <c r="F537" s="5" t="n"/>
    </row>
    <row r="538">
      <c r="A538" s="10">
        <f>IF($E538="","",INDEX('Input Transaksi'!$A:$A,$E538))</f>
        <v/>
      </c>
      <c r="B538" s="5">
        <f>IF($E538="","",INDEX('Input Transaksi'!$D:$D,$E538))</f>
        <v/>
      </c>
      <c r="C538">
        <f>IF($E538="","",INDEX('Input Transaksi'!$E:$E,$E538))</f>
        <v/>
      </c>
      <c r="D538" s="5">
        <f>IF($E538="","",INDEX('Input Transaksi'!$F:$F,$E538))</f>
        <v/>
      </c>
      <c r="E538">
        <f>IFERROR(AGGREGATE(15,6,ROW('Input Transaksi'!$B$5:$B$5000)/('Input Transaksi'!$B$5:$B$5000="BALI WASH"),ROWS($E$5:E538)),"")</f>
        <v/>
      </c>
      <c r="F538" s="5" t="n"/>
    </row>
    <row r="539">
      <c r="A539" s="10">
        <f>IF($E539="","",INDEX('Input Transaksi'!$A:$A,$E539))</f>
        <v/>
      </c>
      <c r="B539" s="5">
        <f>IF($E539="","",INDEX('Input Transaksi'!$D:$D,$E539))</f>
        <v/>
      </c>
      <c r="C539">
        <f>IF($E539="","",INDEX('Input Transaksi'!$E:$E,$E539))</f>
        <v/>
      </c>
      <c r="D539" s="5">
        <f>IF($E539="","",INDEX('Input Transaksi'!$F:$F,$E539))</f>
        <v/>
      </c>
      <c r="E539">
        <f>IFERROR(AGGREGATE(15,6,ROW('Input Transaksi'!$B$5:$B$5000)/('Input Transaksi'!$B$5:$B$5000="BALI WASH"),ROWS($E$5:E539)),"")</f>
        <v/>
      </c>
      <c r="F539" s="5" t="n"/>
    </row>
    <row r="540">
      <c r="A540" s="10">
        <f>IF($E540="","",INDEX('Input Transaksi'!$A:$A,$E540))</f>
        <v/>
      </c>
      <c r="B540" s="5">
        <f>IF($E540="","",INDEX('Input Transaksi'!$D:$D,$E540))</f>
        <v/>
      </c>
      <c r="C540">
        <f>IF($E540="","",INDEX('Input Transaksi'!$E:$E,$E540))</f>
        <v/>
      </c>
      <c r="D540" s="5">
        <f>IF($E540="","",INDEX('Input Transaksi'!$F:$F,$E540))</f>
        <v/>
      </c>
      <c r="E540">
        <f>IFERROR(AGGREGATE(15,6,ROW('Input Transaksi'!$B$5:$B$5000)/('Input Transaksi'!$B$5:$B$5000="BALI WASH"),ROWS($E$5:E540)),"")</f>
        <v/>
      </c>
      <c r="F540" s="5" t="n"/>
    </row>
    <row r="541">
      <c r="A541" s="10">
        <f>IF($E541="","",INDEX('Input Transaksi'!$A:$A,$E541))</f>
        <v/>
      </c>
      <c r="B541" s="5">
        <f>IF($E541="","",INDEX('Input Transaksi'!$D:$D,$E541))</f>
        <v/>
      </c>
      <c r="C541">
        <f>IF($E541="","",INDEX('Input Transaksi'!$E:$E,$E541))</f>
        <v/>
      </c>
      <c r="D541" s="5">
        <f>IF($E541="","",INDEX('Input Transaksi'!$F:$F,$E541))</f>
        <v/>
      </c>
      <c r="E541">
        <f>IFERROR(AGGREGATE(15,6,ROW('Input Transaksi'!$B$5:$B$5000)/('Input Transaksi'!$B$5:$B$5000="BALI WASH"),ROWS($E$5:E541)),"")</f>
        <v/>
      </c>
      <c r="F541" s="5" t="n"/>
    </row>
    <row r="542">
      <c r="A542" s="10">
        <f>IF($E542="","",INDEX('Input Transaksi'!$A:$A,$E542))</f>
        <v/>
      </c>
      <c r="B542" s="5">
        <f>IF($E542="","",INDEX('Input Transaksi'!$D:$D,$E542))</f>
        <v/>
      </c>
      <c r="C542">
        <f>IF($E542="","",INDEX('Input Transaksi'!$E:$E,$E542))</f>
        <v/>
      </c>
      <c r="D542" s="5">
        <f>IF($E542="","",INDEX('Input Transaksi'!$F:$F,$E542))</f>
        <v/>
      </c>
      <c r="E542">
        <f>IFERROR(AGGREGATE(15,6,ROW('Input Transaksi'!$B$5:$B$5000)/('Input Transaksi'!$B$5:$B$5000="BALI WASH"),ROWS($E$5:E542)),"")</f>
        <v/>
      </c>
      <c r="F542" s="5" t="n"/>
    </row>
    <row r="543">
      <c r="A543" s="10">
        <f>IF($E543="","",INDEX('Input Transaksi'!$A:$A,$E543))</f>
        <v/>
      </c>
      <c r="B543" s="5">
        <f>IF($E543="","",INDEX('Input Transaksi'!$D:$D,$E543))</f>
        <v/>
      </c>
      <c r="C543">
        <f>IF($E543="","",INDEX('Input Transaksi'!$E:$E,$E543))</f>
        <v/>
      </c>
      <c r="D543" s="5">
        <f>IF($E543="","",INDEX('Input Transaksi'!$F:$F,$E543))</f>
        <v/>
      </c>
      <c r="E543">
        <f>IFERROR(AGGREGATE(15,6,ROW('Input Transaksi'!$B$5:$B$5000)/('Input Transaksi'!$B$5:$B$5000="BALI WASH"),ROWS($E$5:E543)),"")</f>
        <v/>
      </c>
      <c r="F543" s="5" t="n"/>
    </row>
    <row r="544">
      <c r="A544" s="10">
        <f>IF($E544="","",INDEX('Input Transaksi'!$A:$A,$E544))</f>
        <v/>
      </c>
      <c r="B544" s="5">
        <f>IF($E544="","",INDEX('Input Transaksi'!$D:$D,$E544))</f>
        <v/>
      </c>
      <c r="C544">
        <f>IF($E544="","",INDEX('Input Transaksi'!$E:$E,$E544))</f>
        <v/>
      </c>
      <c r="D544" s="5">
        <f>IF($E544="","",INDEX('Input Transaksi'!$F:$F,$E544))</f>
        <v/>
      </c>
      <c r="E544">
        <f>IFERROR(AGGREGATE(15,6,ROW('Input Transaksi'!$B$5:$B$5000)/('Input Transaksi'!$B$5:$B$5000="BALI WASH"),ROWS($E$5:E544)),"")</f>
        <v/>
      </c>
      <c r="F544" s="5" t="n"/>
    </row>
    <row r="545">
      <c r="A545" s="10">
        <f>IF($E545="","",INDEX('Input Transaksi'!$A:$A,$E545))</f>
        <v/>
      </c>
      <c r="B545" s="5">
        <f>IF($E545="","",INDEX('Input Transaksi'!$D:$D,$E545))</f>
        <v/>
      </c>
      <c r="C545">
        <f>IF($E545="","",INDEX('Input Transaksi'!$E:$E,$E545))</f>
        <v/>
      </c>
      <c r="D545" s="5">
        <f>IF($E545="","",INDEX('Input Transaksi'!$F:$F,$E545))</f>
        <v/>
      </c>
      <c r="E545">
        <f>IFERROR(AGGREGATE(15,6,ROW('Input Transaksi'!$B$5:$B$5000)/('Input Transaksi'!$B$5:$B$5000="BALI WASH"),ROWS($E$5:E545)),"")</f>
        <v/>
      </c>
      <c r="F545" s="5" t="n"/>
    </row>
    <row r="546">
      <c r="A546" s="10">
        <f>IF($E546="","",INDEX('Input Transaksi'!$A:$A,$E546))</f>
        <v/>
      </c>
      <c r="B546" s="5">
        <f>IF($E546="","",INDEX('Input Transaksi'!$D:$D,$E546))</f>
        <v/>
      </c>
      <c r="C546">
        <f>IF($E546="","",INDEX('Input Transaksi'!$E:$E,$E546))</f>
        <v/>
      </c>
      <c r="D546" s="5">
        <f>IF($E546="","",INDEX('Input Transaksi'!$F:$F,$E546))</f>
        <v/>
      </c>
      <c r="E546">
        <f>IFERROR(AGGREGATE(15,6,ROW('Input Transaksi'!$B$5:$B$5000)/('Input Transaksi'!$B$5:$B$5000="BALI WASH"),ROWS($E$5:E546)),"")</f>
        <v/>
      </c>
      <c r="F546" s="5" t="n"/>
    </row>
    <row r="547">
      <c r="A547" s="10">
        <f>IF($E547="","",INDEX('Input Transaksi'!$A:$A,$E547))</f>
        <v/>
      </c>
      <c r="B547" s="5">
        <f>IF($E547="","",INDEX('Input Transaksi'!$D:$D,$E547))</f>
        <v/>
      </c>
      <c r="C547">
        <f>IF($E547="","",INDEX('Input Transaksi'!$E:$E,$E547))</f>
        <v/>
      </c>
      <c r="D547" s="5">
        <f>IF($E547="","",INDEX('Input Transaksi'!$F:$F,$E547))</f>
        <v/>
      </c>
      <c r="E547">
        <f>IFERROR(AGGREGATE(15,6,ROW('Input Transaksi'!$B$5:$B$5000)/('Input Transaksi'!$B$5:$B$5000="BALI WASH"),ROWS($E$5:E547)),"")</f>
        <v/>
      </c>
      <c r="F547" s="5" t="n"/>
    </row>
    <row r="548">
      <c r="A548" s="10">
        <f>IF($E548="","",INDEX('Input Transaksi'!$A:$A,$E548))</f>
        <v/>
      </c>
      <c r="B548" s="5">
        <f>IF($E548="","",INDEX('Input Transaksi'!$D:$D,$E548))</f>
        <v/>
      </c>
      <c r="C548">
        <f>IF($E548="","",INDEX('Input Transaksi'!$E:$E,$E548))</f>
        <v/>
      </c>
      <c r="D548" s="5">
        <f>IF($E548="","",INDEX('Input Transaksi'!$F:$F,$E548))</f>
        <v/>
      </c>
      <c r="E548">
        <f>IFERROR(AGGREGATE(15,6,ROW('Input Transaksi'!$B$5:$B$5000)/('Input Transaksi'!$B$5:$B$5000="BALI WASH"),ROWS($E$5:E548)),"")</f>
        <v/>
      </c>
      <c r="F548" s="5" t="n"/>
    </row>
    <row r="549">
      <c r="A549" s="10">
        <f>IF($E549="","",INDEX('Input Transaksi'!$A:$A,$E549))</f>
        <v/>
      </c>
      <c r="B549" s="5">
        <f>IF($E549="","",INDEX('Input Transaksi'!$D:$D,$E549))</f>
        <v/>
      </c>
      <c r="C549">
        <f>IF($E549="","",INDEX('Input Transaksi'!$E:$E,$E549))</f>
        <v/>
      </c>
      <c r="D549" s="5">
        <f>IF($E549="","",INDEX('Input Transaksi'!$F:$F,$E549))</f>
        <v/>
      </c>
      <c r="E549">
        <f>IFERROR(AGGREGATE(15,6,ROW('Input Transaksi'!$B$5:$B$5000)/('Input Transaksi'!$B$5:$B$5000="BALI WASH"),ROWS($E$5:E549)),"")</f>
        <v/>
      </c>
      <c r="F549" s="5" t="n"/>
    </row>
    <row r="550">
      <c r="A550" s="10">
        <f>IF($E550="","",INDEX('Input Transaksi'!$A:$A,$E550))</f>
        <v/>
      </c>
      <c r="B550" s="5">
        <f>IF($E550="","",INDEX('Input Transaksi'!$D:$D,$E550))</f>
        <v/>
      </c>
      <c r="C550">
        <f>IF($E550="","",INDEX('Input Transaksi'!$E:$E,$E550))</f>
        <v/>
      </c>
      <c r="D550" s="5">
        <f>IF($E550="","",INDEX('Input Transaksi'!$F:$F,$E550))</f>
        <v/>
      </c>
      <c r="E550">
        <f>IFERROR(AGGREGATE(15,6,ROW('Input Transaksi'!$B$5:$B$5000)/('Input Transaksi'!$B$5:$B$5000="BALI WASH"),ROWS($E$5:E550)),"")</f>
        <v/>
      </c>
      <c r="F550" s="5" t="n"/>
    </row>
    <row r="551">
      <c r="A551" s="10">
        <f>IF($E551="","",INDEX('Input Transaksi'!$A:$A,$E551))</f>
        <v/>
      </c>
      <c r="B551" s="5">
        <f>IF($E551="","",INDEX('Input Transaksi'!$D:$D,$E551))</f>
        <v/>
      </c>
      <c r="C551">
        <f>IF($E551="","",INDEX('Input Transaksi'!$E:$E,$E551))</f>
        <v/>
      </c>
      <c r="D551" s="5">
        <f>IF($E551="","",INDEX('Input Transaksi'!$F:$F,$E551))</f>
        <v/>
      </c>
      <c r="E551">
        <f>IFERROR(AGGREGATE(15,6,ROW('Input Transaksi'!$B$5:$B$5000)/('Input Transaksi'!$B$5:$B$5000="BALI WASH"),ROWS($E$5:E551)),"")</f>
        <v/>
      </c>
      <c r="F551" s="5" t="n"/>
    </row>
    <row r="552">
      <c r="A552" s="10">
        <f>IF($E552="","",INDEX('Input Transaksi'!$A:$A,$E552))</f>
        <v/>
      </c>
      <c r="B552" s="5">
        <f>IF($E552="","",INDEX('Input Transaksi'!$D:$D,$E552))</f>
        <v/>
      </c>
      <c r="C552">
        <f>IF($E552="","",INDEX('Input Transaksi'!$E:$E,$E552))</f>
        <v/>
      </c>
      <c r="D552" s="5">
        <f>IF($E552="","",INDEX('Input Transaksi'!$F:$F,$E552))</f>
        <v/>
      </c>
      <c r="E552">
        <f>IFERROR(AGGREGATE(15,6,ROW('Input Transaksi'!$B$5:$B$5000)/('Input Transaksi'!$B$5:$B$5000="BALI WASH"),ROWS($E$5:E552)),"")</f>
        <v/>
      </c>
      <c r="F552" s="5" t="n"/>
    </row>
    <row r="553">
      <c r="A553" s="10">
        <f>IF($E553="","",INDEX('Input Transaksi'!$A:$A,$E553))</f>
        <v/>
      </c>
      <c r="B553" s="5">
        <f>IF($E553="","",INDEX('Input Transaksi'!$D:$D,$E553))</f>
        <v/>
      </c>
      <c r="C553">
        <f>IF($E553="","",INDEX('Input Transaksi'!$E:$E,$E553))</f>
        <v/>
      </c>
      <c r="D553" s="5">
        <f>IF($E553="","",INDEX('Input Transaksi'!$F:$F,$E553))</f>
        <v/>
      </c>
      <c r="E553">
        <f>IFERROR(AGGREGATE(15,6,ROW('Input Transaksi'!$B$5:$B$5000)/('Input Transaksi'!$B$5:$B$5000="BALI WASH"),ROWS($E$5:E553)),"")</f>
        <v/>
      </c>
      <c r="F553" s="5" t="n"/>
    </row>
    <row r="554">
      <c r="A554" s="10">
        <f>IF($E554="","",INDEX('Input Transaksi'!$A:$A,$E554))</f>
        <v/>
      </c>
      <c r="B554" s="5">
        <f>IF($E554="","",INDEX('Input Transaksi'!$D:$D,$E554))</f>
        <v/>
      </c>
      <c r="C554">
        <f>IF($E554="","",INDEX('Input Transaksi'!$E:$E,$E554))</f>
        <v/>
      </c>
      <c r="D554" s="5">
        <f>IF($E554="","",INDEX('Input Transaksi'!$F:$F,$E554))</f>
        <v/>
      </c>
      <c r="E554">
        <f>IFERROR(AGGREGATE(15,6,ROW('Input Transaksi'!$B$5:$B$5000)/('Input Transaksi'!$B$5:$B$5000="BALI WASH"),ROWS($E$5:E554)),"")</f>
        <v/>
      </c>
      <c r="F554" s="5" t="n"/>
    </row>
    <row r="555">
      <c r="A555" s="10">
        <f>IF($E555="","",INDEX('Input Transaksi'!$A:$A,$E555))</f>
        <v/>
      </c>
      <c r="B555" s="5">
        <f>IF($E555="","",INDEX('Input Transaksi'!$D:$D,$E555))</f>
        <v/>
      </c>
      <c r="C555">
        <f>IF($E555="","",INDEX('Input Transaksi'!$E:$E,$E555))</f>
        <v/>
      </c>
      <c r="D555" s="5">
        <f>IF($E555="","",INDEX('Input Transaksi'!$F:$F,$E555))</f>
        <v/>
      </c>
      <c r="E555">
        <f>IFERROR(AGGREGATE(15,6,ROW('Input Transaksi'!$B$5:$B$5000)/('Input Transaksi'!$B$5:$B$5000="BALI WASH"),ROWS($E$5:E555)),"")</f>
        <v/>
      </c>
      <c r="F555" s="5" t="n"/>
    </row>
    <row r="556">
      <c r="A556" s="10">
        <f>IF($E556="","",INDEX('Input Transaksi'!$A:$A,$E556))</f>
        <v/>
      </c>
      <c r="B556" s="5">
        <f>IF($E556="","",INDEX('Input Transaksi'!$D:$D,$E556))</f>
        <v/>
      </c>
      <c r="C556">
        <f>IF($E556="","",INDEX('Input Transaksi'!$E:$E,$E556))</f>
        <v/>
      </c>
      <c r="D556" s="5">
        <f>IF($E556="","",INDEX('Input Transaksi'!$F:$F,$E556))</f>
        <v/>
      </c>
      <c r="E556">
        <f>IFERROR(AGGREGATE(15,6,ROW('Input Transaksi'!$B$5:$B$5000)/('Input Transaksi'!$B$5:$B$5000="BALI WASH"),ROWS($E$5:E556)),"")</f>
        <v/>
      </c>
      <c r="F556" s="5" t="n"/>
    </row>
    <row r="557">
      <c r="A557" s="10">
        <f>IF($E557="","",INDEX('Input Transaksi'!$A:$A,$E557))</f>
        <v/>
      </c>
      <c r="B557" s="5">
        <f>IF($E557="","",INDEX('Input Transaksi'!$D:$D,$E557))</f>
        <v/>
      </c>
      <c r="C557">
        <f>IF($E557="","",INDEX('Input Transaksi'!$E:$E,$E557))</f>
        <v/>
      </c>
      <c r="D557" s="5">
        <f>IF($E557="","",INDEX('Input Transaksi'!$F:$F,$E557))</f>
        <v/>
      </c>
      <c r="E557">
        <f>IFERROR(AGGREGATE(15,6,ROW('Input Transaksi'!$B$5:$B$5000)/('Input Transaksi'!$B$5:$B$5000="BALI WASH"),ROWS($E$5:E557)),"")</f>
        <v/>
      </c>
      <c r="F557" s="5" t="n"/>
    </row>
    <row r="558">
      <c r="A558" s="10">
        <f>IF($E558="","",INDEX('Input Transaksi'!$A:$A,$E558))</f>
        <v/>
      </c>
      <c r="B558" s="5">
        <f>IF($E558="","",INDEX('Input Transaksi'!$D:$D,$E558))</f>
        <v/>
      </c>
      <c r="C558">
        <f>IF($E558="","",INDEX('Input Transaksi'!$E:$E,$E558))</f>
        <v/>
      </c>
      <c r="D558" s="5">
        <f>IF($E558="","",INDEX('Input Transaksi'!$F:$F,$E558))</f>
        <v/>
      </c>
      <c r="E558">
        <f>IFERROR(AGGREGATE(15,6,ROW('Input Transaksi'!$B$5:$B$5000)/('Input Transaksi'!$B$5:$B$5000="BALI WASH"),ROWS($E$5:E558)),"")</f>
        <v/>
      </c>
      <c r="F558" s="5" t="n"/>
    </row>
    <row r="559">
      <c r="A559" s="10">
        <f>IF($E559="","",INDEX('Input Transaksi'!$A:$A,$E559))</f>
        <v/>
      </c>
      <c r="B559" s="5">
        <f>IF($E559="","",INDEX('Input Transaksi'!$D:$D,$E559))</f>
        <v/>
      </c>
      <c r="C559">
        <f>IF($E559="","",INDEX('Input Transaksi'!$E:$E,$E559))</f>
        <v/>
      </c>
      <c r="D559" s="5">
        <f>IF($E559="","",INDEX('Input Transaksi'!$F:$F,$E559))</f>
        <v/>
      </c>
      <c r="E559">
        <f>IFERROR(AGGREGATE(15,6,ROW('Input Transaksi'!$B$5:$B$5000)/('Input Transaksi'!$B$5:$B$5000="BALI WASH"),ROWS($E$5:E559)),"")</f>
        <v/>
      </c>
      <c r="F559" s="5" t="n"/>
    </row>
    <row r="560">
      <c r="A560" s="10">
        <f>IF($E560="","",INDEX('Input Transaksi'!$A:$A,$E560))</f>
        <v/>
      </c>
      <c r="B560" s="5">
        <f>IF($E560="","",INDEX('Input Transaksi'!$D:$D,$E560))</f>
        <v/>
      </c>
      <c r="C560">
        <f>IF($E560="","",INDEX('Input Transaksi'!$E:$E,$E560))</f>
        <v/>
      </c>
      <c r="D560" s="5">
        <f>IF($E560="","",INDEX('Input Transaksi'!$F:$F,$E560))</f>
        <v/>
      </c>
      <c r="E560">
        <f>IFERROR(AGGREGATE(15,6,ROW('Input Transaksi'!$B$5:$B$5000)/('Input Transaksi'!$B$5:$B$5000="BALI WASH"),ROWS($E$5:E560)),"")</f>
        <v/>
      </c>
      <c r="F560" s="5" t="n"/>
    </row>
    <row r="561">
      <c r="A561" s="10">
        <f>IF($E561="","",INDEX('Input Transaksi'!$A:$A,$E561))</f>
        <v/>
      </c>
      <c r="B561" s="5">
        <f>IF($E561="","",INDEX('Input Transaksi'!$D:$D,$E561))</f>
        <v/>
      </c>
      <c r="C561">
        <f>IF($E561="","",INDEX('Input Transaksi'!$E:$E,$E561))</f>
        <v/>
      </c>
      <c r="D561" s="5">
        <f>IF($E561="","",INDEX('Input Transaksi'!$F:$F,$E561))</f>
        <v/>
      </c>
      <c r="E561">
        <f>IFERROR(AGGREGATE(15,6,ROW('Input Transaksi'!$B$5:$B$5000)/('Input Transaksi'!$B$5:$B$5000="BALI WASH"),ROWS($E$5:E561)),"")</f>
        <v/>
      </c>
      <c r="F561" s="5" t="n"/>
    </row>
    <row r="562">
      <c r="A562" s="10">
        <f>IF($E562="","",INDEX('Input Transaksi'!$A:$A,$E562))</f>
        <v/>
      </c>
      <c r="B562" s="5">
        <f>IF($E562="","",INDEX('Input Transaksi'!$D:$D,$E562))</f>
        <v/>
      </c>
      <c r="C562">
        <f>IF($E562="","",INDEX('Input Transaksi'!$E:$E,$E562))</f>
        <v/>
      </c>
      <c r="D562" s="5">
        <f>IF($E562="","",INDEX('Input Transaksi'!$F:$F,$E562))</f>
        <v/>
      </c>
      <c r="E562">
        <f>IFERROR(AGGREGATE(15,6,ROW('Input Transaksi'!$B$5:$B$5000)/('Input Transaksi'!$B$5:$B$5000="BALI WASH"),ROWS($E$5:E562)),"")</f>
        <v/>
      </c>
      <c r="F562" s="5" t="n"/>
    </row>
    <row r="563">
      <c r="A563" s="10">
        <f>IF($E563="","",INDEX('Input Transaksi'!$A:$A,$E563))</f>
        <v/>
      </c>
      <c r="B563" s="5">
        <f>IF($E563="","",INDEX('Input Transaksi'!$D:$D,$E563))</f>
        <v/>
      </c>
      <c r="C563">
        <f>IF($E563="","",INDEX('Input Transaksi'!$E:$E,$E563))</f>
        <v/>
      </c>
      <c r="D563" s="5">
        <f>IF($E563="","",INDEX('Input Transaksi'!$F:$F,$E563))</f>
        <v/>
      </c>
      <c r="E563">
        <f>IFERROR(AGGREGATE(15,6,ROW('Input Transaksi'!$B$5:$B$5000)/('Input Transaksi'!$B$5:$B$5000="BALI WASH"),ROWS($E$5:E563)),"")</f>
        <v/>
      </c>
      <c r="F563" s="5" t="n"/>
    </row>
    <row r="564">
      <c r="A564" s="10">
        <f>IF($E564="","",INDEX('Input Transaksi'!$A:$A,$E564))</f>
        <v/>
      </c>
      <c r="B564" s="5">
        <f>IF($E564="","",INDEX('Input Transaksi'!$D:$D,$E564))</f>
        <v/>
      </c>
      <c r="C564">
        <f>IF($E564="","",INDEX('Input Transaksi'!$E:$E,$E564))</f>
        <v/>
      </c>
      <c r="D564" s="5">
        <f>IF($E564="","",INDEX('Input Transaksi'!$F:$F,$E564))</f>
        <v/>
      </c>
      <c r="E564">
        <f>IFERROR(AGGREGATE(15,6,ROW('Input Transaksi'!$B$5:$B$5000)/('Input Transaksi'!$B$5:$B$5000="BALI WASH"),ROWS($E$5:E564)),"")</f>
        <v/>
      </c>
      <c r="F564" s="5" t="n"/>
    </row>
    <row r="565">
      <c r="A565" s="10">
        <f>IF($E565="","",INDEX('Input Transaksi'!$A:$A,$E565))</f>
        <v/>
      </c>
      <c r="B565" s="5">
        <f>IF($E565="","",INDEX('Input Transaksi'!$D:$D,$E565))</f>
        <v/>
      </c>
      <c r="C565">
        <f>IF($E565="","",INDEX('Input Transaksi'!$E:$E,$E565))</f>
        <v/>
      </c>
      <c r="D565" s="5">
        <f>IF($E565="","",INDEX('Input Transaksi'!$F:$F,$E565))</f>
        <v/>
      </c>
      <c r="E565">
        <f>IFERROR(AGGREGATE(15,6,ROW('Input Transaksi'!$B$5:$B$5000)/('Input Transaksi'!$B$5:$B$5000="BALI WASH"),ROWS($E$5:E565)),"")</f>
        <v/>
      </c>
      <c r="F565" s="5" t="n"/>
    </row>
    <row r="566">
      <c r="A566" s="10">
        <f>IF($E566="","",INDEX('Input Transaksi'!$A:$A,$E566))</f>
        <v/>
      </c>
      <c r="B566" s="5">
        <f>IF($E566="","",INDEX('Input Transaksi'!$D:$D,$E566))</f>
        <v/>
      </c>
      <c r="C566">
        <f>IF($E566="","",INDEX('Input Transaksi'!$E:$E,$E566))</f>
        <v/>
      </c>
      <c r="D566" s="5">
        <f>IF($E566="","",INDEX('Input Transaksi'!$F:$F,$E566))</f>
        <v/>
      </c>
      <c r="E566">
        <f>IFERROR(AGGREGATE(15,6,ROW('Input Transaksi'!$B$5:$B$5000)/('Input Transaksi'!$B$5:$B$5000="BALI WASH"),ROWS($E$5:E566)),"")</f>
        <v/>
      </c>
      <c r="F566" s="5" t="n"/>
    </row>
    <row r="567">
      <c r="A567" s="10">
        <f>IF($E567="","",INDEX('Input Transaksi'!$A:$A,$E567))</f>
        <v/>
      </c>
      <c r="B567" s="5">
        <f>IF($E567="","",INDEX('Input Transaksi'!$D:$D,$E567))</f>
        <v/>
      </c>
      <c r="C567">
        <f>IF($E567="","",INDEX('Input Transaksi'!$E:$E,$E567))</f>
        <v/>
      </c>
      <c r="D567" s="5">
        <f>IF($E567="","",INDEX('Input Transaksi'!$F:$F,$E567))</f>
        <v/>
      </c>
      <c r="E567">
        <f>IFERROR(AGGREGATE(15,6,ROW('Input Transaksi'!$B$5:$B$5000)/('Input Transaksi'!$B$5:$B$5000="BALI WASH"),ROWS($E$5:E567)),"")</f>
        <v/>
      </c>
      <c r="F567" s="5" t="n"/>
    </row>
    <row r="568">
      <c r="A568" s="10">
        <f>IF($E568="","",INDEX('Input Transaksi'!$A:$A,$E568))</f>
        <v/>
      </c>
      <c r="B568" s="5">
        <f>IF($E568="","",INDEX('Input Transaksi'!$D:$D,$E568))</f>
        <v/>
      </c>
      <c r="C568">
        <f>IF($E568="","",INDEX('Input Transaksi'!$E:$E,$E568))</f>
        <v/>
      </c>
      <c r="D568" s="5">
        <f>IF($E568="","",INDEX('Input Transaksi'!$F:$F,$E568))</f>
        <v/>
      </c>
      <c r="E568">
        <f>IFERROR(AGGREGATE(15,6,ROW('Input Transaksi'!$B$5:$B$5000)/('Input Transaksi'!$B$5:$B$5000="BALI WASH"),ROWS($E$5:E568)),"")</f>
        <v/>
      </c>
      <c r="F568" s="5" t="n"/>
    </row>
    <row r="569">
      <c r="A569" s="10">
        <f>IF($E569="","",INDEX('Input Transaksi'!$A:$A,$E569))</f>
        <v/>
      </c>
      <c r="B569" s="5">
        <f>IF($E569="","",INDEX('Input Transaksi'!$D:$D,$E569))</f>
        <v/>
      </c>
      <c r="C569">
        <f>IF($E569="","",INDEX('Input Transaksi'!$E:$E,$E569))</f>
        <v/>
      </c>
      <c r="D569" s="5">
        <f>IF($E569="","",INDEX('Input Transaksi'!$F:$F,$E569))</f>
        <v/>
      </c>
      <c r="E569">
        <f>IFERROR(AGGREGATE(15,6,ROW('Input Transaksi'!$B$5:$B$5000)/('Input Transaksi'!$B$5:$B$5000="BALI WASH"),ROWS($E$5:E569)),"")</f>
        <v/>
      </c>
      <c r="F569" s="5" t="n"/>
    </row>
    <row r="570">
      <c r="A570" s="10">
        <f>IF($E570="","",INDEX('Input Transaksi'!$A:$A,$E570))</f>
        <v/>
      </c>
      <c r="B570" s="5">
        <f>IF($E570="","",INDEX('Input Transaksi'!$D:$D,$E570))</f>
        <v/>
      </c>
      <c r="C570">
        <f>IF($E570="","",INDEX('Input Transaksi'!$E:$E,$E570))</f>
        <v/>
      </c>
      <c r="D570" s="5">
        <f>IF($E570="","",INDEX('Input Transaksi'!$F:$F,$E570))</f>
        <v/>
      </c>
      <c r="E570">
        <f>IFERROR(AGGREGATE(15,6,ROW('Input Transaksi'!$B$5:$B$5000)/('Input Transaksi'!$B$5:$B$5000="BALI WASH"),ROWS($E$5:E570)),"")</f>
        <v/>
      </c>
      <c r="F570" s="5" t="n"/>
    </row>
    <row r="571">
      <c r="A571" s="10">
        <f>IF($E571="","",INDEX('Input Transaksi'!$A:$A,$E571))</f>
        <v/>
      </c>
      <c r="B571" s="5">
        <f>IF($E571="","",INDEX('Input Transaksi'!$D:$D,$E571))</f>
        <v/>
      </c>
      <c r="C571">
        <f>IF($E571="","",INDEX('Input Transaksi'!$E:$E,$E571))</f>
        <v/>
      </c>
      <c r="D571" s="5">
        <f>IF($E571="","",INDEX('Input Transaksi'!$F:$F,$E571))</f>
        <v/>
      </c>
      <c r="E571">
        <f>IFERROR(AGGREGATE(15,6,ROW('Input Transaksi'!$B$5:$B$5000)/('Input Transaksi'!$B$5:$B$5000="BALI WASH"),ROWS($E$5:E571)),"")</f>
        <v/>
      </c>
      <c r="F571" s="5" t="n"/>
    </row>
    <row r="572">
      <c r="A572" s="10">
        <f>IF($E572="","",INDEX('Input Transaksi'!$A:$A,$E572))</f>
        <v/>
      </c>
      <c r="B572" s="5">
        <f>IF($E572="","",INDEX('Input Transaksi'!$D:$D,$E572))</f>
        <v/>
      </c>
      <c r="C572">
        <f>IF($E572="","",INDEX('Input Transaksi'!$E:$E,$E572))</f>
        <v/>
      </c>
      <c r="D572" s="5">
        <f>IF($E572="","",INDEX('Input Transaksi'!$F:$F,$E572))</f>
        <v/>
      </c>
      <c r="E572">
        <f>IFERROR(AGGREGATE(15,6,ROW('Input Transaksi'!$B$5:$B$5000)/('Input Transaksi'!$B$5:$B$5000="BALI WASH"),ROWS($E$5:E572)),"")</f>
        <v/>
      </c>
      <c r="F572" s="5" t="n"/>
    </row>
    <row r="573">
      <c r="A573" s="10">
        <f>IF($E573="","",INDEX('Input Transaksi'!$A:$A,$E573))</f>
        <v/>
      </c>
      <c r="B573" s="5">
        <f>IF($E573="","",INDEX('Input Transaksi'!$D:$D,$E573))</f>
        <v/>
      </c>
      <c r="C573">
        <f>IF($E573="","",INDEX('Input Transaksi'!$E:$E,$E573))</f>
        <v/>
      </c>
      <c r="D573" s="5">
        <f>IF($E573="","",INDEX('Input Transaksi'!$F:$F,$E573))</f>
        <v/>
      </c>
      <c r="E573">
        <f>IFERROR(AGGREGATE(15,6,ROW('Input Transaksi'!$B$5:$B$5000)/('Input Transaksi'!$B$5:$B$5000="BALI WASH"),ROWS($E$5:E573)),"")</f>
        <v/>
      </c>
      <c r="F573" s="5" t="n"/>
    </row>
    <row r="574">
      <c r="A574" s="10">
        <f>IF($E574="","",INDEX('Input Transaksi'!$A:$A,$E574))</f>
        <v/>
      </c>
      <c r="B574" s="5">
        <f>IF($E574="","",INDEX('Input Transaksi'!$D:$D,$E574))</f>
        <v/>
      </c>
      <c r="C574">
        <f>IF($E574="","",INDEX('Input Transaksi'!$E:$E,$E574))</f>
        <v/>
      </c>
      <c r="D574" s="5">
        <f>IF($E574="","",INDEX('Input Transaksi'!$F:$F,$E574))</f>
        <v/>
      </c>
      <c r="E574">
        <f>IFERROR(AGGREGATE(15,6,ROW('Input Transaksi'!$B$5:$B$5000)/('Input Transaksi'!$B$5:$B$5000="BALI WASH"),ROWS($E$5:E574)),"")</f>
        <v/>
      </c>
      <c r="F574" s="5" t="n"/>
    </row>
    <row r="575">
      <c r="A575" s="10">
        <f>IF($E575="","",INDEX('Input Transaksi'!$A:$A,$E575))</f>
        <v/>
      </c>
      <c r="B575" s="5">
        <f>IF($E575="","",INDEX('Input Transaksi'!$D:$D,$E575))</f>
        <v/>
      </c>
      <c r="C575">
        <f>IF($E575="","",INDEX('Input Transaksi'!$E:$E,$E575))</f>
        <v/>
      </c>
      <c r="D575" s="5">
        <f>IF($E575="","",INDEX('Input Transaksi'!$F:$F,$E575))</f>
        <v/>
      </c>
      <c r="E575">
        <f>IFERROR(AGGREGATE(15,6,ROW('Input Transaksi'!$B$5:$B$5000)/('Input Transaksi'!$B$5:$B$5000="BALI WASH"),ROWS($E$5:E575)),"")</f>
        <v/>
      </c>
      <c r="F575" s="5" t="n"/>
    </row>
    <row r="576">
      <c r="A576" s="10">
        <f>IF($E576="","",INDEX('Input Transaksi'!$A:$A,$E576))</f>
        <v/>
      </c>
      <c r="B576" s="5">
        <f>IF($E576="","",INDEX('Input Transaksi'!$D:$D,$E576))</f>
        <v/>
      </c>
      <c r="C576">
        <f>IF($E576="","",INDEX('Input Transaksi'!$E:$E,$E576))</f>
        <v/>
      </c>
      <c r="D576" s="5">
        <f>IF($E576="","",INDEX('Input Transaksi'!$F:$F,$E576))</f>
        <v/>
      </c>
      <c r="E576">
        <f>IFERROR(AGGREGATE(15,6,ROW('Input Transaksi'!$B$5:$B$5000)/('Input Transaksi'!$B$5:$B$5000="BALI WASH"),ROWS($E$5:E576)),"")</f>
        <v/>
      </c>
      <c r="F576" s="5" t="n"/>
    </row>
    <row r="577">
      <c r="A577" s="10">
        <f>IF($E577="","",INDEX('Input Transaksi'!$A:$A,$E577))</f>
        <v/>
      </c>
      <c r="B577" s="5">
        <f>IF($E577="","",INDEX('Input Transaksi'!$D:$D,$E577))</f>
        <v/>
      </c>
      <c r="C577">
        <f>IF($E577="","",INDEX('Input Transaksi'!$E:$E,$E577))</f>
        <v/>
      </c>
      <c r="D577" s="5">
        <f>IF($E577="","",INDEX('Input Transaksi'!$F:$F,$E577))</f>
        <v/>
      </c>
      <c r="E577">
        <f>IFERROR(AGGREGATE(15,6,ROW('Input Transaksi'!$B$5:$B$5000)/('Input Transaksi'!$B$5:$B$5000="BALI WASH"),ROWS($E$5:E577)),"")</f>
        <v/>
      </c>
      <c r="F577" s="5" t="n"/>
    </row>
    <row r="578">
      <c r="A578" s="10">
        <f>IF($E578="","",INDEX('Input Transaksi'!$A:$A,$E578))</f>
        <v/>
      </c>
      <c r="B578" s="5">
        <f>IF($E578="","",INDEX('Input Transaksi'!$D:$D,$E578))</f>
        <v/>
      </c>
      <c r="C578">
        <f>IF($E578="","",INDEX('Input Transaksi'!$E:$E,$E578))</f>
        <v/>
      </c>
      <c r="D578" s="5">
        <f>IF($E578="","",INDEX('Input Transaksi'!$F:$F,$E578))</f>
        <v/>
      </c>
      <c r="E578">
        <f>IFERROR(AGGREGATE(15,6,ROW('Input Transaksi'!$B$5:$B$5000)/('Input Transaksi'!$B$5:$B$5000="BALI WASH"),ROWS($E$5:E578)),"")</f>
        <v/>
      </c>
      <c r="F578" s="5" t="n"/>
    </row>
    <row r="579">
      <c r="A579" s="10">
        <f>IF($E579="","",INDEX('Input Transaksi'!$A:$A,$E579))</f>
        <v/>
      </c>
      <c r="B579" s="5">
        <f>IF($E579="","",INDEX('Input Transaksi'!$D:$D,$E579))</f>
        <v/>
      </c>
      <c r="C579">
        <f>IF($E579="","",INDEX('Input Transaksi'!$E:$E,$E579))</f>
        <v/>
      </c>
      <c r="D579" s="5">
        <f>IF($E579="","",INDEX('Input Transaksi'!$F:$F,$E579))</f>
        <v/>
      </c>
      <c r="E579">
        <f>IFERROR(AGGREGATE(15,6,ROW('Input Transaksi'!$B$5:$B$5000)/('Input Transaksi'!$B$5:$B$5000="BALI WASH"),ROWS($E$5:E579)),"")</f>
        <v/>
      </c>
      <c r="F579" s="5" t="n"/>
    </row>
    <row r="580">
      <c r="A580" s="10">
        <f>IF($E580="","",INDEX('Input Transaksi'!$A:$A,$E580))</f>
        <v/>
      </c>
      <c r="B580" s="5">
        <f>IF($E580="","",INDEX('Input Transaksi'!$D:$D,$E580))</f>
        <v/>
      </c>
      <c r="C580">
        <f>IF($E580="","",INDEX('Input Transaksi'!$E:$E,$E580))</f>
        <v/>
      </c>
      <c r="D580" s="5">
        <f>IF($E580="","",INDEX('Input Transaksi'!$F:$F,$E580))</f>
        <v/>
      </c>
      <c r="E580">
        <f>IFERROR(AGGREGATE(15,6,ROW('Input Transaksi'!$B$5:$B$5000)/('Input Transaksi'!$B$5:$B$5000="BALI WASH"),ROWS($E$5:E580)),"")</f>
        <v/>
      </c>
      <c r="F580" s="5" t="n"/>
    </row>
    <row r="581">
      <c r="A581" s="10">
        <f>IF($E581="","",INDEX('Input Transaksi'!$A:$A,$E581))</f>
        <v/>
      </c>
      <c r="B581" s="5">
        <f>IF($E581="","",INDEX('Input Transaksi'!$D:$D,$E581))</f>
        <v/>
      </c>
      <c r="C581">
        <f>IF($E581="","",INDEX('Input Transaksi'!$E:$E,$E581))</f>
        <v/>
      </c>
      <c r="D581" s="5">
        <f>IF($E581="","",INDEX('Input Transaksi'!$F:$F,$E581))</f>
        <v/>
      </c>
      <c r="E581">
        <f>IFERROR(AGGREGATE(15,6,ROW('Input Transaksi'!$B$5:$B$5000)/('Input Transaksi'!$B$5:$B$5000="BALI WASH"),ROWS($E$5:E581)),"")</f>
        <v/>
      </c>
      <c r="F581" s="5" t="n"/>
    </row>
    <row r="582">
      <c r="A582" s="10">
        <f>IF($E582="","",INDEX('Input Transaksi'!$A:$A,$E582))</f>
        <v/>
      </c>
      <c r="B582" s="5">
        <f>IF($E582="","",INDEX('Input Transaksi'!$D:$D,$E582))</f>
        <v/>
      </c>
      <c r="C582">
        <f>IF($E582="","",INDEX('Input Transaksi'!$E:$E,$E582))</f>
        <v/>
      </c>
      <c r="D582" s="5">
        <f>IF($E582="","",INDEX('Input Transaksi'!$F:$F,$E582))</f>
        <v/>
      </c>
      <c r="E582">
        <f>IFERROR(AGGREGATE(15,6,ROW('Input Transaksi'!$B$5:$B$5000)/('Input Transaksi'!$B$5:$B$5000="BALI WASH"),ROWS($E$5:E582)),"")</f>
        <v/>
      </c>
      <c r="F582" s="5" t="n"/>
    </row>
    <row r="583">
      <c r="A583" s="10">
        <f>IF($E583="","",INDEX('Input Transaksi'!$A:$A,$E583))</f>
        <v/>
      </c>
      <c r="B583" s="5">
        <f>IF($E583="","",INDEX('Input Transaksi'!$D:$D,$E583))</f>
        <v/>
      </c>
      <c r="C583">
        <f>IF($E583="","",INDEX('Input Transaksi'!$E:$E,$E583))</f>
        <v/>
      </c>
      <c r="D583" s="5">
        <f>IF($E583="","",INDEX('Input Transaksi'!$F:$F,$E583))</f>
        <v/>
      </c>
      <c r="E583">
        <f>IFERROR(AGGREGATE(15,6,ROW('Input Transaksi'!$B$5:$B$5000)/('Input Transaksi'!$B$5:$B$5000="BALI WASH"),ROWS($E$5:E583)),"")</f>
        <v/>
      </c>
      <c r="F583" s="5" t="n"/>
    </row>
    <row r="584">
      <c r="A584" s="10">
        <f>IF($E584="","",INDEX('Input Transaksi'!$A:$A,$E584))</f>
        <v/>
      </c>
      <c r="B584" s="5">
        <f>IF($E584="","",INDEX('Input Transaksi'!$D:$D,$E584))</f>
        <v/>
      </c>
      <c r="C584">
        <f>IF($E584="","",INDEX('Input Transaksi'!$E:$E,$E584))</f>
        <v/>
      </c>
      <c r="D584" s="5">
        <f>IF($E584="","",INDEX('Input Transaksi'!$F:$F,$E584))</f>
        <v/>
      </c>
      <c r="E584">
        <f>IFERROR(AGGREGATE(15,6,ROW('Input Transaksi'!$B$5:$B$5000)/('Input Transaksi'!$B$5:$B$5000="BALI WASH"),ROWS($E$5:E584)),"")</f>
        <v/>
      </c>
      <c r="F584" s="5" t="n"/>
    </row>
    <row r="585">
      <c r="A585" s="10">
        <f>IF($E585="","",INDEX('Input Transaksi'!$A:$A,$E585))</f>
        <v/>
      </c>
      <c r="B585" s="5">
        <f>IF($E585="","",INDEX('Input Transaksi'!$D:$D,$E585))</f>
        <v/>
      </c>
      <c r="C585">
        <f>IF($E585="","",INDEX('Input Transaksi'!$E:$E,$E585))</f>
        <v/>
      </c>
      <c r="D585" s="5">
        <f>IF($E585="","",INDEX('Input Transaksi'!$F:$F,$E585))</f>
        <v/>
      </c>
      <c r="E585">
        <f>IFERROR(AGGREGATE(15,6,ROW('Input Transaksi'!$B$5:$B$5000)/('Input Transaksi'!$B$5:$B$5000="BALI WASH"),ROWS($E$5:E585)),"")</f>
        <v/>
      </c>
      <c r="F585" s="5" t="n"/>
    </row>
    <row r="586">
      <c r="A586" s="10">
        <f>IF($E586="","",INDEX('Input Transaksi'!$A:$A,$E586))</f>
        <v/>
      </c>
      <c r="B586" s="5">
        <f>IF($E586="","",INDEX('Input Transaksi'!$D:$D,$E586))</f>
        <v/>
      </c>
      <c r="C586">
        <f>IF($E586="","",INDEX('Input Transaksi'!$E:$E,$E586))</f>
        <v/>
      </c>
      <c r="D586" s="5">
        <f>IF($E586="","",INDEX('Input Transaksi'!$F:$F,$E586))</f>
        <v/>
      </c>
      <c r="E586">
        <f>IFERROR(AGGREGATE(15,6,ROW('Input Transaksi'!$B$5:$B$5000)/('Input Transaksi'!$B$5:$B$5000="BALI WASH"),ROWS($E$5:E586)),"")</f>
        <v/>
      </c>
      <c r="F586" s="5" t="n"/>
    </row>
    <row r="587">
      <c r="A587" s="10">
        <f>IF($E587="","",INDEX('Input Transaksi'!$A:$A,$E587))</f>
        <v/>
      </c>
      <c r="B587" s="5">
        <f>IF($E587="","",INDEX('Input Transaksi'!$D:$D,$E587))</f>
        <v/>
      </c>
      <c r="C587">
        <f>IF($E587="","",INDEX('Input Transaksi'!$E:$E,$E587))</f>
        <v/>
      </c>
      <c r="D587" s="5">
        <f>IF($E587="","",INDEX('Input Transaksi'!$F:$F,$E587))</f>
        <v/>
      </c>
      <c r="E587">
        <f>IFERROR(AGGREGATE(15,6,ROW('Input Transaksi'!$B$5:$B$5000)/('Input Transaksi'!$B$5:$B$5000="BALI WASH"),ROWS($E$5:E587)),"")</f>
        <v/>
      </c>
      <c r="F587" s="5" t="n"/>
    </row>
    <row r="588">
      <c r="A588" s="10">
        <f>IF($E588="","",INDEX('Input Transaksi'!$A:$A,$E588))</f>
        <v/>
      </c>
      <c r="B588" s="5">
        <f>IF($E588="","",INDEX('Input Transaksi'!$D:$D,$E588))</f>
        <v/>
      </c>
      <c r="C588">
        <f>IF($E588="","",INDEX('Input Transaksi'!$E:$E,$E588))</f>
        <v/>
      </c>
      <c r="D588" s="5">
        <f>IF($E588="","",INDEX('Input Transaksi'!$F:$F,$E588))</f>
        <v/>
      </c>
      <c r="E588">
        <f>IFERROR(AGGREGATE(15,6,ROW('Input Transaksi'!$B$5:$B$5000)/('Input Transaksi'!$B$5:$B$5000="BALI WASH"),ROWS($E$5:E588)),"")</f>
        <v/>
      </c>
      <c r="F588" s="5" t="n"/>
    </row>
    <row r="589">
      <c r="A589" s="10">
        <f>IF($E589="","",INDEX('Input Transaksi'!$A:$A,$E589))</f>
        <v/>
      </c>
      <c r="B589" s="5">
        <f>IF($E589="","",INDEX('Input Transaksi'!$D:$D,$E589))</f>
        <v/>
      </c>
      <c r="C589">
        <f>IF($E589="","",INDEX('Input Transaksi'!$E:$E,$E589))</f>
        <v/>
      </c>
      <c r="D589" s="5">
        <f>IF($E589="","",INDEX('Input Transaksi'!$F:$F,$E589))</f>
        <v/>
      </c>
      <c r="E589">
        <f>IFERROR(AGGREGATE(15,6,ROW('Input Transaksi'!$B$5:$B$5000)/('Input Transaksi'!$B$5:$B$5000="BALI WASH"),ROWS($E$5:E589)),"")</f>
        <v/>
      </c>
      <c r="F589" s="5" t="n"/>
    </row>
    <row r="590">
      <c r="A590" s="10">
        <f>IF($E590="","",INDEX('Input Transaksi'!$A:$A,$E590))</f>
        <v/>
      </c>
      <c r="B590" s="5">
        <f>IF($E590="","",INDEX('Input Transaksi'!$D:$D,$E590))</f>
        <v/>
      </c>
      <c r="C590">
        <f>IF($E590="","",INDEX('Input Transaksi'!$E:$E,$E590))</f>
        <v/>
      </c>
      <c r="D590" s="5">
        <f>IF($E590="","",INDEX('Input Transaksi'!$F:$F,$E590))</f>
        <v/>
      </c>
      <c r="E590">
        <f>IFERROR(AGGREGATE(15,6,ROW('Input Transaksi'!$B$5:$B$5000)/('Input Transaksi'!$B$5:$B$5000="BALI WASH"),ROWS($E$5:E590)),"")</f>
        <v/>
      </c>
      <c r="F590" s="5" t="n"/>
    </row>
    <row r="591">
      <c r="A591" s="10">
        <f>IF($E591="","",INDEX('Input Transaksi'!$A:$A,$E591))</f>
        <v/>
      </c>
      <c r="B591" s="5">
        <f>IF($E591="","",INDEX('Input Transaksi'!$D:$D,$E591))</f>
        <v/>
      </c>
      <c r="C591">
        <f>IF($E591="","",INDEX('Input Transaksi'!$E:$E,$E591))</f>
        <v/>
      </c>
      <c r="D591" s="5">
        <f>IF($E591="","",INDEX('Input Transaksi'!$F:$F,$E591))</f>
        <v/>
      </c>
      <c r="E591">
        <f>IFERROR(AGGREGATE(15,6,ROW('Input Transaksi'!$B$5:$B$5000)/('Input Transaksi'!$B$5:$B$5000="BALI WASH"),ROWS($E$5:E591)),"")</f>
        <v/>
      </c>
      <c r="F591" s="5" t="n"/>
    </row>
    <row r="592">
      <c r="A592" s="10">
        <f>IF($E592="","",INDEX('Input Transaksi'!$A:$A,$E592))</f>
        <v/>
      </c>
      <c r="B592" s="5">
        <f>IF($E592="","",INDEX('Input Transaksi'!$D:$D,$E592))</f>
        <v/>
      </c>
      <c r="C592">
        <f>IF($E592="","",INDEX('Input Transaksi'!$E:$E,$E592))</f>
        <v/>
      </c>
      <c r="D592" s="5">
        <f>IF($E592="","",INDEX('Input Transaksi'!$F:$F,$E592))</f>
        <v/>
      </c>
      <c r="E592">
        <f>IFERROR(AGGREGATE(15,6,ROW('Input Transaksi'!$B$5:$B$5000)/('Input Transaksi'!$B$5:$B$5000="BALI WASH"),ROWS($E$5:E592)),"")</f>
        <v/>
      </c>
      <c r="F592" s="5" t="n"/>
    </row>
    <row r="593">
      <c r="A593" s="10">
        <f>IF($E593="","",INDEX('Input Transaksi'!$A:$A,$E593))</f>
        <v/>
      </c>
      <c r="B593" s="5">
        <f>IF($E593="","",INDEX('Input Transaksi'!$D:$D,$E593))</f>
        <v/>
      </c>
      <c r="C593">
        <f>IF($E593="","",INDEX('Input Transaksi'!$E:$E,$E593))</f>
        <v/>
      </c>
      <c r="D593" s="5">
        <f>IF($E593="","",INDEX('Input Transaksi'!$F:$F,$E593))</f>
        <v/>
      </c>
      <c r="E593">
        <f>IFERROR(AGGREGATE(15,6,ROW('Input Transaksi'!$B$5:$B$5000)/('Input Transaksi'!$B$5:$B$5000="BALI WASH"),ROWS($E$5:E593)),"")</f>
        <v/>
      </c>
      <c r="F593" s="5" t="n"/>
    </row>
    <row r="594">
      <c r="A594" s="10">
        <f>IF($E594="","",INDEX('Input Transaksi'!$A:$A,$E594))</f>
        <v/>
      </c>
      <c r="B594" s="5">
        <f>IF($E594="","",INDEX('Input Transaksi'!$D:$D,$E594))</f>
        <v/>
      </c>
      <c r="C594">
        <f>IF($E594="","",INDEX('Input Transaksi'!$E:$E,$E594))</f>
        <v/>
      </c>
      <c r="D594" s="5">
        <f>IF($E594="","",INDEX('Input Transaksi'!$F:$F,$E594))</f>
        <v/>
      </c>
      <c r="E594">
        <f>IFERROR(AGGREGATE(15,6,ROW('Input Transaksi'!$B$5:$B$5000)/('Input Transaksi'!$B$5:$B$5000="BALI WASH"),ROWS($E$5:E594)),"")</f>
        <v/>
      </c>
      <c r="F594" s="5" t="n"/>
    </row>
    <row r="595">
      <c r="A595" s="10">
        <f>IF($E595="","",INDEX('Input Transaksi'!$A:$A,$E595))</f>
        <v/>
      </c>
      <c r="B595" s="5">
        <f>IF($E595="","",INDEX('Input Transaksi'!$D:$D,$E595))</f>
        <v/>
      </c>
      <c r="C595">
        <f>IF($E595="","",INDEX('Input Transaksi'!$E:$E,$E595))</f>
        <v/>
      </c>
      <c r="D595" s="5">
        <f>IF($E595="","",INDEX('Input Transaksi'!$F:$F,$E595))</f>
        <v/>
      </c>
      <c r="E595">
        <f>IFERROR(AGGREGATE(15,6,ROW('Input Transaksi'!$B$5:$B$5000)/('Input Transaksi'!$B$5:$B$5000="BALI WASH"),ROWS($E$5:E595)),"")</f>
        <v/>
      </c>
      <c r="F595" s="5" t="n"/>
    </row>
    <row r="596">
      <c r="A596" s="10">
        <f>IF($E596="","",INDEX('Input Transaksi'!$A:$A,$E596))</f>
        <v/>
      </c>
      <c r="B596" s="5">
        <f>IF($E596="","",INDEX('Input Transaksi'!$D:$D,$E596))</f>
        <v/>
      </c>
      <c r="C596">
        <f>IF($E596="","",INDEX('Input Transaksi'!$E:$E,$E596))</f>
        <v/>
      </c>
      <c r="D596" s="5">
        <f>IF($E596="","",INDEX('Input Transaksi'!$F:$F,$E596))</f>
        <v/>
      </c>
      <c r="E596">
        <f>IFERROR(AGGREGATE(15,6,ROW('Input Transaksi'!$B$5:$B$5000)/('Input Transaksi'!$B$5:$B$5000="BALI WASH"),ROWS($E$5:E596)),"")</f>
        <v/>
      </c>
      <c r="F596" s="5" t="n"/>
    </row>
    <row r="597">
      <c r="A597" s="10">
        <f>IF($E597="","",INDEX('Input Transaksi'!$A:$A,$E597))</f>
        <v/>
      </c>
      <c r="B597" s="5">
        <f>IF($E597="","",INDEX('Input Transaksi'!$D:$D,$E597))</f>
        <v/>
      </c>
      <c r="C597">
        <f>IF($E597="","",INDEX('Input Transaksi'!$E:$E,$E597))</f>
        <v/>
      </c>
      <c r="D597" s="5">
        <f>IF($E597="","",INDEX('Input Transaksi'!$F:$F,$E597))</f>
        <v/>
      </c>
      <c r="E597">
        <f>IFERROR(AGGREGATE(15,6,ROW('Input Transaksi'!$B$5:$B$5000)/('Input Transaksi'!$B$5:$B$5000="BALI WASH"),ROWS($E$5:E597)),"")</f>
        <v/>
      </c>
      <c r="F597" s="5" t="n"/>
    </row>
    <row r="598">
      <c r="A598" s="10">
        <f>IF($E598="","",INDEX('Input Transaksi'!$A:$A,$E598))</f>
        <v/>
      </c>
      <c r="B598" s="5">
        <f>IF($E598="","",INDEX('Input Transaksi'!$D:$D,$E598))</f>
        <v/>
      </c>
      <c r="C598">
        <f>IF($E598="","",INDEX('Input Transaksi'!$E:$E,$E598))</f>
        <v/>
      </c>
      <c r="D598" s="5">
        <f>IF($E598="","",INDEX('Input Transaksi'!$F:$F,$E598))</f>
        <v/>
      </c>
      <c r="E598">
        <f>IFERROR(AGGREGATE(15,6,ROW('Input Transaksi'!$B$5:$B$5000)/('Input Transaksi'!$B$5:$B$5000="BALI WASH"),ROWS($E$5:E598)),"")</f>
        <v/>
      </c>
      <c r="F598" s="5" t="n"/>
    </row>
    <row r="599">
      <c r="A599" s="10">
        <f>IF($E599="","",INDEX('Input Transaksi'!$A:$A,$E599))</f>
        <v/>
      </c>
      <c r="B599" s="5">
        <f>IF($E599="","",INDEX('Input Transaksi'!$D:$D,$E599))</f>
        <v/>
      </c>
      <c r="C599">
        <f>IF($E599="","",INDEX('Input Transaksi'!$E:$E,$E599))</f>
        <v/>
      </c>
      <c r="D599" s="5">
        <f>IF($E599="","",INDEX('Input Transaksi'!$F:$F,$E599))</f>
        <v/>
      </c>
      <c r="E599">
        <f>IFERROR(AGGREGATE(15,6,ROW('Input Transaksi'!$B$5:$B$5000)/('Input Transaksi'!$B$5:$B$5000="BALI WASH"),ROWS($E$5:E599)),"")</f>
        <v/>
      </c>
      <c r="F599" s="5" t="n"/>
    </row>
    <row r="600">
      <c r="A600" s="10">
        <f>IF($E600="","",INDEX('Input Transaksi'!$A:$A,$E600))</f>
        <v/>
      </c>
      <c r="B600" s="5">
        <f>IF($E600="","",INDEX('Input Transaksi'!$D:$D,$E600))</f>
        <v/>
      </c>
      <c r="C600">
        <f>IF($E600="","",INDEX('Input Transaksi'!$E:$E,$E600))</f>
        <v/>
      </c>
      <c r="D600" s="5">
        <f>IF($E600="","",INDEX('Input Transaksi'!$F:$F,$E600))</f>
        <v/>
      </c>
      <c r="E600">
        <f>IFERROR(AGGREGATE(15,6,ROW('Input Transaksi'!$B$5:$B$5000)/('Input Transaksi'!$B$5:$B$5000="BALI WASH"),ROWS($E$5:E600)),"")</f>
        <v/>
      </c>
      <c r="F600" s="5" t="n"/>
    </row>
    <row r="601">
      <c r="A601" s="10">
        <f>IF($E601="","",INDEX('Input Transaksi'!$A:$A,$E601))</f>
        <v/>
      </c>
      <c r="B601" s="5">
        <f>IF($E601="","",INDEX('Input Transaksi'!$D:$D,$E601))</f>
        <v/>
      </c>
      <c r="C601">
        <f>IF($E601="","",INDEX('Input Transaksi'!$E:$E,$E601))</f>
        <v/>
      </c>
      <c r="D601" s="5">
        <f>IF($E601="","",INDEX('Input Transaksi'!$F:$F,$E601))</f>
        <v/>
      </c>
      <c r="E601">
        <f>IFERROR(AGGREGATE(15,6,ROW('Input Transaksi'!$B$5:$B$5000)/('Input Transaksi'!$B$5:$B$5000="BALI WASH"),ROWS($E$5:E601)),"")</f>
        <v/>
      </c>
      <c r="F601" s="5" t="n"/>
    </row>
    <row r="602">
      <c r="A602" s="10">
        <f>IF($E602="","",INDEX('Input Transaksi'!$A:$A,$E602))</f>
        <v/>
      </c>
      <c r="B602" s="5">
        <f>IF($E602="","",INDEX('Input Transaksi'!$D:$D,$E602))</f>
        <v/>
      </c>
      <c r="C602">
        <f>IF($E602="","",INDEX('Input Transaksi'!$E:$E,$E602))</f>
        <v/>
      </c>
      <c r="D602" s="5">
        <f>IF($E602="","",INDEX('Input Transaksi'!$F:$F,$E602))</f>
        <v/>
      </c>
      <c r="E602">
        <f>IFERROR(AGGREGATE(15,6,ROW('Input Transaksi'!$B$5:$B$5000)/('Input Transaksi'!$B$5:$B$5000="BALI WASH"),ROWS($E$5:E602)),"")</f>
        <v/>
      </c>
      <c r="F602" s="5" t="n"/>
    </row>
    <row r="603">
      <c r="A603" s="10">
        <f>IF($E603="","",INDEX('Input Transaksi'!$A:$A,$E603))</f>
        <v/>
      </c>
      <c r="B603" s="5">
        <f>IF($E603="","",INDEX('Input Transaksi'!$D:$D,$E603))</f>
        <v/>
      </c>
      <c r="C603">
        <f>IF($E603="","",INDEX('Input Transaksi'!$E:$E,$E603))</f>
        <v/>
      </c>
      <c r="D603" s="5">
        <f>IF($E603="","",INDEX('Input Transaksi'!$F:$F,$E603))</f>
        <v/>
      </c>
      <c r="E603">
        <f>IFERROR(AGGREGATE(15,6,ROW('Input Transaksi'!$B$5:$B$5000)/('Input Transaksi'!$B$5:$B$5000="BALI WASH"),ROWS($E$5:E603)),"")</f>
        <v/>
      </c>
      <c r="F603" s="5" t="n"/>
    </row>
    <row r="604">
      <c r="A604" s="10">
        <f>IF($E604="","",INDEX('Input Transaksi'!$A:$A,$E604))</f>
        <v/>
      </c>
      <c r="B604" s="5">
        <f>IF($E604="","",INDEX('Input Transaksi'!$D:$D,$E604))</f>
        <v/>
      </c>
      <c r="C604">
        <f>IF($E604="","",INDEX('Input Transaksi'!$E:$E,$E604))</f>
        <v/>
      </c>
      <c r="D604" s="5">
        <f>IF($E604="","",INDEX('Input Transaksi'!$F:$F,$E604))</f>
        <v/>
      </c>
      <c r="E604">
        <f>IFERROR(AGGREGATE(15,6,ROW('Input Transaksi'!$B$5:$B$5000)/('Input Transaksi'!$B$5:$B$5000="BALI WASH"),ROWS($E$5:E604)),"")</f>
        <v/>
      </c>
      <c r="F604" s="5" t="n"/>
    </row>
    <row r="605">
      <c r="A605" s="10">
        <f>IF($E605="","",INDEX('Input Transaksi'!$A:$A,$E605))</f>
        <v/>
      </c>
      <c r="B605" s="5">
        <f>IF($E605="","",INDEX('Input Transaksi'!$D:$D,$E605))</f>
        <v/>
      </c>
      <c r="C605">
        <f>IF($E605="","",INDEX('Input Transaksi'!$E:$E,$E605))</f>
        <v/>
      </c>
      <c r="D605" s="5">
        <f>IF($E605="","",INDEX('Input Transaksi'!$F:$F,$E605))</f>
        <v/>
      </c>
      <c r="E605">
        <f>IFERROR(AGGREGATE(15,6,ROW('Input Transaksi'!$B$5:$B$5000)/('Input Transaksi'!$B$5:$B$5000="BALI WASH"),ROWS($E$5:E605)),"")</f>
        <v/>
      </c>
      <c r="F605" s="5" t="n"/>
    </row>
    <row r="606">
      <c r="A606" s="10">
        <f>IF($E606="","",INDEX('Input Transaksi'!$A:$A,$E606))</f>
        <v/>
      </c>
      <c r="B606" s="5">
        <f>IF($E606="","",INDEX('Input Transaksi'!$D:$D,$E606))</f>
        <v/>
      </c>
      <c r="C606">
        <f>IF($E606="","",INDEX('Input Transaksi'!$E:$E,$E606))</f>
        <v/>
      </c>
      <c r="D606" s="5">
        <f>IF($E606="","",INDEX('Input Transaksi'!$F:$F,$E606))</f>
        <v/>
      </c>
      <c r="E606">
        <f>IFERROR(AGGREGATE(15,6,ROW('Input Transaksi'!$B$5:$B$5000)/('Input Transaksi'!$B$5:$B$5000="BALI WASH"),ROWS($E$5:E606)),"")</f>
        <v/>
      </c>
      <c r="F606" s="5" t="n"/>
    </row>
    <row r="607">
      <c r="A607" s="10">
        <f>IF($E607="","",INDEX('Input Transaksi'!$A:$A,$E607))</f>
        <v/>
      </c>
      <c r="B607" s="5">
        <f>IF($E607="","",INDEX('Input Transaksi'!$D:$D,$E607))</f>
        <v/>
      </c>
      <c r="C607">
        <f>IF($E607="","",INDEX('Input Transaksi'!$E:$E,$E607))</f>
        <v/>
      </c>
      <c r="D607" s="5">
        <f>IF($E607="","",INDEX('Input Transaksi'!$F:$F,$E607))</f>
        <v/>
      </c>
      <c r="E607">
        <f>IFERROR(AGGREGATE(15,6,ROW('Input Transaksi'!$B$5:$B$5000)/('Input Transaksi'!$B$5:$B$5000="BALI WASH"),ROWS($E$5:E607)),"")</f>
        <v/>
      </c>
      <c r="F607" s="5" t="n"/>
    </row>
    <row r="608">
      <c r="A608" s="10">
        <f>IF($E608="","",INDEX('Input Transaksi'!$A:$A,$E608))</f>
        <v/>
      </c>
      <c r="B608" s="5">
        <f>IF($E608="","",INDEX('Input Transaksi'!$D:$D,$E608))</f>
        <v/>
      </c>
      <c r="C608">
        <f>IF($E608="","",INDEX('Input Transaksi'!$E:$E,$E608))</f>
        <v/>
      </c>
      <c r="D608" s="5">
        <f>IF($E608="","",INDEX('Input Transaksi'!$F:$F,$E608))</f>
        <v/>
      </c>
      <c r="E608">
        <f>IFERROR(AGGREGATE(15,6,ROW('Input Transaksi'!$B$5:$B$5000)/('Input Transaksi'!$B$5:$B$5000="BALI WASH"),ROWS($E$5:E608)),"")</f>
        <v/>
      </c>
      <c r="F608" s="5" t="n"/>
    </row>
    <row r="609">
      <c r="A609" s="10">
        <f>IF($E609="","",INDEX('Input Transaksi'!$A:$A,$E609))</f>
        <v/>
      </c>
      <c r="B609" s="5">
        <f>IF($E609="","",INDEX('Input Transaksi'!$D:$D,$E609))</f>
        <v/>
      </c>
      <c r="C609">
        <f>IF($E609="","",INDEX('Input Transaksi'!$E:$E,$E609))</f>
        <v/>
      </c>
      <c r="D609" s="5">
        <f>IF($E609="","",INDEX('Input Transaksi'!$F:$F,$E609))</f>
        <v/>
      </c>
      <c r="E609">
        <f>IFERROR(AGGREGATE(15,6,ROW('Input Transaksi'!$B$5:$B$5000)/('Input Transaksi'!$B$5:$B$5000="BALI WASH"),ROWS($E$5:E609)),"")</f>
        <v/>
      </c>
      <c r="F609" s="5" t="n"/>
    </row>
    <row r="610">
      <c r="A610" s="10">
        <f>IF($E610="","",INDEX('Input Transaksi'!$A:$A,$E610))</f>
        <v/>
      </c>
      <c r="B610" s="5">
        <f>IF($E610="","",INDEX('Input Transaksi'!$D:$D,$E610))</f>
        <v/>
      </c>
      <c r="C610">
        <f>IF($E610="","",INDEX('Input Transaksi'!$E:$E,$E610))</f>
        <v/>
      </c>
      <c r="D610" s="5">
        <f>IF($E610="","",INDEX('Input Transaksi'!$F:$F,$E610))</f>
        <v/>
      </c>
      <c r="E610">
        <f>IFERROR(AGGREGATE(15,6,ROW('Input Transaksi'!$B$5:$B$5000)/('Input Transaksi'!$B$5:$B$5000="BALI WASH"),ROWS($E$5:E610)),"")</f>
        <v/>
      </c>
      <c r="F610" s="5" t="n"/>
    </row>
    <row r="611">
      <c r="A611" s="10">
        <f>IF($E611="","",INDEX('Input Transaksi'!$A:$A,$E611))</f>
        <v/>
      </c>
      <c r="B611" s="5">
        <f>IF($E611="","",INDEX('Input Transaksi'!$D:$D,$E611))</f>
        <v/>
      </c>
      <c r="C611">
        <f>IF($E611="","",INDEX('Input Transaksi'!$E:$E,$E611))</f>
        <v/>
      </c>
      <c r="D611" s="5">
        <f>IF($E611="","",INDEX('Input Transaksi'!$F:$F,$E611))</f>
        <v/>
      </c>
      <c r="E611">
        <f>IFERROR(AGGREGATE(15,6,ROW('Input Transaksi'!$B$5:$B$5000)/('Input Transaksi'!$B$5:$B$5000="BALI WASH"),ROWS($E$5:E611)),"")</f>
        <v/>
      </c>
      <c r="F611" s="5" t="n"/>
    </row>
    <row r="612">
      <c r="A612" s="10">
        <f>IF($E612="","",INDEX('Input Transaksi'!$A:$A,$E612))</f>
        <v/>
      </c>
      <c r="B612" s="5">
        <f>IF($E612="","",INDEX('Input Transaksi'!$D:$D,$E612))</f>
        <v/>
      </c>
      <c r="C612">
        <f>IF($E612="","",INDEX('Input Transaksi'!$E:$E,$E612))</f>
        <v/>
      </c>
      <c r="D612" s="5">
        <f>IF($E612="","",INDEX('Input Transaksi'!$F:$F,$E612))</f>
        <v/>
      </c>
      <c r="E612">
        <f>IFERROR(AGGREGATE(15,6,ROW('Input Transaksi'!$B$5:$B$5000)/('Input Transaksi'!$B$5:$B$5000="BALI WASH"),ROWS($E$5:E612)),"")</f>
        <v/>
      </c>
      <c r="F612" s="5" t="n"/>
    </row>
    <row r="613">
      <c r="A613" s="10">
        <f>IF($E613="","",INDEX('Input Transaksi'!$A:$A,$E613))</f>
        <v/>
      </c>
      <c r="B613" s="5">
        <f>IF($E613="","",INDEX('Input Transaksi'!$D:$D,$E613))</f>
        <v/>
      </c>
      <c r="C613">
        <f>IF($E613="","",INDEX('Input Transaksi'!$E:$E,$E613))</f>
        <v/>
      </c>
      <c r="D613" s="5">
        <f>IF($E613="","",INDEX('Input Transaksi'!$F:$F,$E613))</f>
        <v/>
      </c>
      <c r="E613">
        <f>IFERROR(AGGREGATE(15,6,ROW('Input Transaksi'!$B$5:$B$5000)/('Input Transaksi'!$B$5:$B$5000="BALI WASH"),ROWS($E$5:E613)),"")</f>
        <v/>
      </c>
      <c r="F613" s="5" t="n"/>
    </row>
    <row r="614">
      <c r="A614" s="10">
        <f>IF($E614="","",INDEX('Input Transaksi'!$A:$A,$E614))</f>
        <v/>
      </c>
      <c r="B614" s="5">
        <f>IF($E614="","",INDEX('Input Transaksi'!$D:$D,$E614))</f>
        <v/>
      </c>
      <c r="C614">
        <f>IF($E614="","",INDEX('Input Transaksi'!$E:$E,$E614))</f>
        <v/>
      </c>
      <c r="D614" s="5">
        <f>IF($E614="","",INDEX('Input Transaksi'!$F:$F,$E614))</f>
        <v/>
      </c>
      <c r="E614">
        <f>IFERROR(AGGREGATE(15,6,ROW('Input Transaksi'!$B$5:$B$5000)/('Input Transaksi'!$B$5:$B$5000="BALI WASH"),ROWS($E$5:E614)),"")</f>
        <v/>
      </c>
      <c r="F614" s="5" t="n"/>
    </row>
    <row r="615">
      <c r="A615" s="10">
        <f>IF($E615="","",INDEX('Input Transaksi'!$A:$A,$E615))</f>
        <v/>
      </c>
      <c r="B615" s="5">
        <f>IF($E615="","",INDEX('Input Transaksi'!$D:$D,$E615))</f>
        <v/>
      </c>
      <c r="C615">
        <f>IF($E615="","",INDEX('Input Transaksi'!$E:$E,$E615))</f>
        <v/>
      </c>
      <c r="D615" s="5">
        <f>IF($E615="","",INDEX('Input Transaksi'!$F:$F,$E615))</f>
        <v/>
      </c>
      <c r="E615">
        <f>IFERROR(AGGREGATE(15,6,ROW('Input Transaksi'!$B$5:$B$5000)/('Input Transaksi'!$B$5:$B$5000="BALI WASH"),ROWS($E$5:E615)),"")</f>
        <v/>
      </c>
      <c r="F615" s="5" t="n"/>
    </row>
    <row r="616">
      <c r="A616" s="10">
        <f>IF($E616="","",INDEX('Input Transaksi'!$A:$A,$E616))</f>
        <v/>
      </c>
      <c r="B616" s="5">
        <f>IF($E616="","",INDEX('Input Transaksi'!$D:$D,$E616))</f>
        <v/>
      </c>
      <c r="C616">
        <f>IF($E616="","",INDEX('Input Transaksi'!$E:$E,$E616))</f>
        <v/>
      </c>
      <c r="D616" s="5">
        <f>IF($E616="","",INDEX('Input Transaksi'!$F:$F,$E616))</f>
        <v/>
      </c>
      <c r="E616">
        <f>IFERROR(AGGREGATE(15,6,ROW('Input Transaksi'!$B$5:$B$5000)/('Input Transaksi'!$B$5:$B$5000="BALI WASH"),ROWS($E$5:E616)),"")</f>
        <v/>
      </c>
      <c r="F616" s="5" t="n"/>
    </row>
    <row r="617">
      <c r="A617" s="10">
        <f>IF($E617="","",INDEX('Input Transaksi'!$A:$A,$E617))</f>
        <v/>
      </c>
      <c r="B617" s="5">
        <f>IF($E617="","",INDEX('Input Transaksi'!$D:$D,$E617))</f>
        <v/>
      </c>
      <c r="C617">
        <f>IF($E617="","",INDEX('Input Transaksi'!$E:$E,$E617))</f>
        <v/>
      </c>
      <c r="D617" s="5">
        <f>IF($E617="","",INDEX('Input Transaksi'!$F:$F,$E617))</f>
        <v/>
      </c>
      <c r="E617">
        <f>IFERROR(AGGREGATE(15,6,ROW('Input Transaksi'!$B$5:$B$5000)/('Input Transaksi'!$B$5:$B$5000="BALI WASH"),ROWS($E$5:E617)),"")</f>
        <v/>
      </c>
      <c r="F617" s="5" t="n"/>
    </row>
    <row r="618">
      <c r="A618" s="10">
        <f>IF($E618="","",INDEX('Input Transaksi'!$A:$A,$E618))</f>
        <v/>
      </c>
      <c r="B618" s="5">
        <f>IF($E618="","",INDEX('Input Transaksi'!$D:$D,$E618))</f>
        <v/>
      </c>
      <c r="C618">
        <f>IF($E618="","",INDEX('Input Transaksi'!$E:$E,$E618))</f>
        <v/>
      </c>
      <c r="D618" s="5">
        <f>IF($E618="","",INDEX('Input Transaksi'!$F:$F,$E618))</f>
        <v/>
      </c>
      <c r="E618">
        <f>IFERROR(AGGREGATE(15,6,ROW('Input Transaksi'!$B$5:$B$5000)/('Input Transaksi'!$B$5:$B$5000="BALI WASH"),ROWS($E$5:E618)),"")</f>
        <v/>
      </c>
      <c r="F618" s="5" t="n"/>
    </row>
    <row r="619">
      <c r="A619" s="10">
        <f>IF($E619="","",INDEX('Input Transaksi'!$A:$A,$E619))</f>
        <v/>
      </c>
      <c r="B619" s="5">
        <f>IF($E619="","",INDEX('Input Transaksi'!$D:$D,$E619))</f>
        <v/>
      </c>
      <c r="C619">
        <f>IF($E619="","",INDEX('Input Transaksi'!$E:$E,$E619))</f>
        <v/>
      </c>
      <c r="D619" s="5">
        <f>IF($E619="","",INDEX('Input Transaksi'!$F:$F,$E619))</f>
        <v/>
      </c>
      <c r="E619">
        <f>IFERROR(AGGREGATE(15,6,ROW('Input Transaksi'!$B$5:$B$5000)/('Input Transaksi'!$B$5:$B$5000="BALI WASH"),ROWS($E$5:E619)),"")</f>
        <v/>
      </c>
      <c r="F619" s="5" t="n"/>
    </row>
    <row r="620">
      <c r="A620" s="10">
        <f>IF($E620="","",INDEX('Input Transaksi'!$A:$A,$E620))</f>
        <v/>
      </c>
      <c r="B620" s="5">
        <f>IF($E620="","",INDEX('Input Transaksi'!$D:$D,$E620))</f>
        <v/>
      </c>
      <c r="C620">
        <f>IF($E620="","",INDEX('Input Transaksi'!$E:$E,$E620))</f>
        <v/>
      </c>
      <c r="D620" s="5">
        <f>IF($E620="","",INDEX('Input Transaksi'!$F:$F,$E620))</f>
        <v/>
      </c>
      <c r="E620">
        <f>IFERROR(AGGREGATE(15,6,ROW('Input Transaksi'!$B$5:$B$5000)/('Input Transaksi'!$B$5:$B$5000="BALI WASH"),ROWS($E$5:E620)),"")</f>
        <v/>
      </c>
      <c r="F620" s="5" t="n"/>
    </row>
    <row r="621">
      <c r="A621" s="10">
        <f>IF($E621="","",INDEX('Input Transaksi'!$A:$A,$E621))</f>
        <v/>
      </c>
      <c r="B621" s="5">
        <f>IF($E621="","",INDEX('Input Transaksi'!$D:$D,$E621))</f>
        <v/>
      </c>
      <c r="C621">
        <f>IF($E621="","",INDEX('Input Transaksi'!$E:$E,$E621))</f>
        <v/>
      </c>
      <c r="D621" s="5">
        <f>IF($E621="","",INDEX('Input Transaksi'!$F:$F,$E621))</f>
        <v/>
      </c>
      <c r="E621">
        <f>IFERROR(AGGREGATE(15,6,ROW('Input Transaksi'!$B$5:$B$5000)/('Input Transaksi'!$B$5:$B$5000="BALI WASH"),ROWS($E$5:E621)),"")</f>
        <v/>
      </c>
      <c r="F621" s="5" t="n"/>
    </row>
    <row r="622">
      <c r="A622" s="10">
        <f>IF($E622="","",INDEX('Input Transaksi'!$A:$A,$E622))</f>
        <v/>
      </c>
      <c r="B622" s="5">
        <f>IF($E622="","",INDEX('Input Transaksi'!$D:$D,$E622))</f>
        <v/>
      </c>
      <c r="C622">
        <f>IF($E622="","",INDEX('Input Transaksi'!$E:$E,$E622))</f>
        <v/>
      </c>
      <c r="D622" s="5">
        <f>IF($E622="","",INDEX('Input Transaksi'!$F:$F,$E622))</f>
        <v/>
      </c>
      <c r="E622">
        <f>IFERROR(AGGREGATE(15,6,ROW('Input Transaksi'!$B$5:$B$5000)/('Input Transaksi'!$B$5:$B$5000="BALI WASH"),ROWS($E$5:E622)),"")</f>
        <v/>
      </c>
      <c r="F622" s="5" t="n"/>
    </row>
    <row r="623">
      <c r="A623" s="10">
        <f>IF($E623="","",INDEX('Input Transaksi'!$A:$A,$E623))</f>
        <v/>
      </c>
      <c r="B623" s="5">
        <f>IF($E623="","",INDEX('Input Transaksi'!$D:$D,$E623))</f>
        <v/>
      </c>
      <c r="C623">
        <f>IF($E623="","",INDEX('Input Transaksi'!$E:$E,$E623))</f>
        <v/>
      </c>
      <c r="D623" s="5">
        <f>IF($E623="","",INDEX('Input Transaksi'!$F:$F,$E623))</f>
        <v/>
      </c>
      <c r="E623">
        <f>IFERROR(AGGREGATE(15,6,ROW('Input Transaksi'!$B$5:$B$5000)/('Input Transaksi'!$B$5:$B$5000="BALI WASH"),ROWS($E$5:E623)),"")</f>
        <v/>
      </c>
      <c r="F623" s="5" t="n"/>
    </row>
    <row r="624">
      <c r="A624" s="10">
        <f>IF($E624="","",INDEX('Input Transaksi'!$A:$A,$E624))</f>
        <v/>
      </c>
      <c r="B624" s="5">
        <f>IF($E624="","",INDEX('Input Transaksi'!$D:$D,$E624))</f>
        <v/>
      </c>
      <c r="C624">
        <f>IF($E624="","",INDEX('Input Transaksi'!$E:$E,$E624))</f>
        <v/>
      </c>
      <c r="D624" s="5">
        <f>IF($E624="","",INDEX('Input Transaksi'!$F:$F,$E624))</f>
        <v/>
      </c>
      <c r="E624">
        <f>IFERROR(AGGREGATE(15,6,ROW('Input Transaksi'!$B$5:$B$5000)/('Input Transaksi'!$B$5:$B$5000="BALI WASH"),ROWS($E$5:E624)),"")</f>
        <v/>
      </c>
      <c r="F624" s="5" t="n"/>
    </row>
    <row r="625">
      <c r="A625" s="10">
        <f>IF($E625="","",INDEX('Input Transaksi'!$A:$A,$E625))</f>
        <v/>
      </c>
      <c r="B625" s="5">
        <f>IF($E625="","",INDEX('Input Transaksi'!$D:$D,$E625))</f>
        <v/>
      </c>
      <c r="C625">
        <f>IF($E625="","",INDEX('Input Transaksi'!$E:$E,$E625))</f>
        <v/>
      </c>
      <c r="D625" s="5">
        <f>IF($E625="","",INDEX('Input Transaksi'!$F:$F,$E625))</f>
        <v/>
      </c>
      <c r="E625">
        <f>IFERROR(AGGREGATE(15,6,ROW('Input Transaksi'!$B$5:$B$5000)/('Input Transaksi'!$B$5:$B$5000="BALI WASH"),ROWS($E$5:E625)),"")</f>
        <v/>
      </c>
      <c r="F625" s="5" t="n"/>
    </row>
    <row r="626">
      <c r="A626" s="10">
        <f>IF($E626="","",INDEX('Input Transaksi'!$A:$A,$E626))</f>
        <v/>
      </c>
      <c r="B626" s="5">
        <f>IF($E626="","",INDEX('Input Transaksi'!$D:$D,$E626))</f>
        <v/>
      </c>
      <c r="C626">
        <f>IF($E626="","",INDEX('Input Transaksi'!$E:$E,$E626))</f>
        <v/>
      </c>
      <c r="D626" s="5">
        <f>IF($E626="","",INDEX('Input Transaksi'!$F:$F,$E626))</f>
        <v/>
      </c>
      <c r="E626">
        <f>IFERROR(AGGREGATE(15,6,ROW('Input Transaksi'!$B$5:$B$5000)/('Input Transaksi'!$B$5:$B$5000="BALI WASH"),ROWS($E$5:E626)),"")</f>
        <v/>
      </c>
      <c r="F626" s="5" t="n"/>
    </row>
    <row r="627">
      <c r="A627" s="10">
        <f>IF($E627="","",INDEX('Input Transaksi'!$A:$A,$E627))</f>
        <v/>
      </c>
      <c r="B627" s="5">
        <f>IF($E627="","",INDEX('Input Transaksi'!$D:$D,$E627))</f>
        <v/>
      </c>
      <c r="C627">
        <f>IF($E627="","",INDEX('Input Transaksi'!$E:$E,$E627))</f>
        <v/>
      </c>
      <c r="D627" s="5">
        <f>IF($E627="","",INDEX('Input Transaksi'!$F:$F,$E627))</f>
        <v/>
      </c>
      <c r="E627">
        <f>IFERROR(AGGREGATE(15,6,ROW('Input Transaksi'!$B$5:$B$5000)/('Input Transaksi'!$B$5:$B$5000="BALI WASH"),ROWS($E$5:E627)),"")</f>
        <v/>
      </c>
      <c r="F627" s="5" t="n"/>
    </row>
    <row r="628">
      <c r="A628" s="10">
        <f>IF($E628="","",INDEX('Input Transaksi'!$A:$A,$E628))</f>
        <v/>
      </c>
      <c r="B628" s="5">
        <f>IF($E628="","",INDEX('Input Transaksi'!$D:$D,$E628))</f>
        <v/>
      </c>
      <c r="C628">
        <f>IF($E628="","",INDEX('Input Transaksi'!$E:$E,$E628))</f>
        <v/>
      </c>
      <c r="D628" s="5">
        <f>IF($E628="","",INDEX('Input Transaksi'!$F:$F,$E628))</f>
        <v/>
      </c>
      <c r="E628">
        <f>IFERROR(AGGREGATE(15,6,ROW('Input Transaksi'!$B$5:$B$5000)/('Input Transaksi'!$B$5:$B$5000="BALI WASH"),ROWS($E$5:E628)),"")</f>
        <v/>
      </c>
      <c r="F628" s="5" t="n"/>
    </row>
    <row r="629">
      <c r="A629" s="10">
        <f>IF($E629="","",INDEX('Input Transaksi'!$A:$A,$E629))</f>
        <v/>
      </c>
      <c r="B629" s="5">
        <f>IF($E629="","",INDEX('Input Transaksi'!$D:$D,$E629))</f>
        <v/>
      </c>
      <c r="C629">
        <f>IF($E629="","",INDEX('Input Transaksi'!$E:$E,$E629))</f>
        <v/>
      </c>
      <c r="D629" s="5">
        <f>IF($E629="","",INDEX('Input Transaksi'!$F:$F,$E629))</f>
        <v/>
      </c>
      <c r="E629">
        <f>IFERROR(AGGREGATE(15,6,ROW('Input Transaksi'!$B$5:$B$5000)/('Input Transaksi'!$B$5:$B$5000="BALI WASH"),ROWS($E$5:E629)),"")</f>
        <v/>
      </c>
      <c r="F629" s="5" t="n"/>
    </row>
    <row r="630">
      <c r="A630" s="10">
        <f>IF($E630="","",INDEX('Input Transaksi'!$A:$A,$E630))</f>
        <v/>
      </c>
      <c r="B630" s="5">
        <f>IF($E630="","",INDEX('Input Transaksi'!$D:$D,$E630))</f>
        <v/>
      </c>
      <c r="C630">
        <f>IF($E630="","",INDEX('Input Transaksi'!$E:$E,$E630))</f>
        <v/>
      </c>
      <c r="D630" s="5">
        <f>IF($E630="","",INDEX('Input Transaksi'!$F:$F,$E630))</f>
        <v/>
      </c>
      <c r="E630">
        <f>IFERROR(AGGREGATE(15,6,ROW('Input Transaksi'!$B$5:$B$5000)/('Input Transaksi'!$B$5:$B$5000="BALI WASH"),ROWS($E$5:E630)),"")</f>
        <v/>
      </c>
      <c r="F630" s="5" t="n"/>
    </row>
    <row r="631">
      <c r="A631" s="10">
        <f>IF($E631="","",INDEX('Input Transaksi'!$A:$A,$E631))</f>
        <v/>
      </c>
      <c r="B631" s="5">
        <f>IF($E631="","",INDEX('Input Transaksi'!$D:$D,$E631))</f>
        <v/>
      </c>
      <c r="C631">
        <f>IF($E631="","",INDEX('Input Transaksi'!$E:$E,$E631))</f>
        <v/>
      </c>
      <c r="D631" s="5">
        <f>IF($E631="","",INDEX('Input Transaksi'!$F:$F,$E631))</f>
        <v/>
      </c>
      <c r="E631">
        <f>IFERROR(AGGREGATE(15,6,ROW('Input Transaksi'!$B$5:$B$5000)/('Input Transaksi'!$B$5:$B$5000="BALI WASH"),ROWS($E$5:E631)),"")</f>
        <v/>
      </c>
      <c r="F631" s="5" t="n"/>
    </row>
    <row r="632">
      <c r="A632" s="10">
        <f>IF($E632="","",INDEX('Input Transaksi'!$A:$A,$E632))</f>
        <v/>
      </c>
      <c r="B632" s="5">
        <f>IF($E632="","",INDEX('Input Transaksi'!$D:$D,$E632))</f>
        <v/>
      </c>
      <c r="C632">
        <f>IF($E632="","",INDEX('Input Transaksi'!$E:$E,$E632))</f>
        <v/>
      </c>
      <c r="D632" s="5">
        <f>IF($E632="","",INDEX('Input Transaksi'!$F:$F,$E632))</f>
        <v/>
      </c>
      <c r="E632">
        <f>IFERROR(AGGREGATE(15,6,ROW('Input Transaksi'!$B$5:$B$5000)/('Input Transaksi'!$B$5:$B$5000="BALI WASH"),ROWS($E$5:E632)),"")</f>
        <v/>
      </c>
      <c r="F632" s="5" t="n"/>
    </row>
    <row r="633">
      <c r="A633" s="10">
        <f>IF($E633="","",INDEX('Input Transaksi'!$A:$A,$E633))</f>
        <v/>
      </c>
      <c r="B633" s="5">
        <f>IF($E633="","",INDEX('Input Transaksi'!$D:$D,$E633))</f>
        <v/>
      </c>
      <c r="C633">
        <f>IF($E633="","",INDEX('Input Transaksi'!$E:$E,$E633))</f>
        <v/>
      </c>
      <c r="D633" s="5">
        <f>IF($E633="","",INDEX('Input Transaksi'!$F:$F,$E633))</f>
        <v/>
      </c>
      <c r="E633">
        <f>IFERROR(AGGREGATE(15,6,ROW('Input Transaksi'!$B$5:$B$5000)/('Input Transaksi'!$B$5:$B$5000="BALI WASH"),ROWS($E$5:E633)),"")</f>
        <v/>
      </c>
      <c r="F633" s="5" t="n"/>
    </row>
    <row r="634">
      <c r="A634" s="10">
        <f>IF($E634="","",INDEX('Input Transaksi'!$A:$A,$E634))</f>
        <v/>
      </c>
      <c r="B634" s="5">
        <f>IF($E634="","",INDEX('Input Transaksi'!$D:$D,$E634))</f>
        <v/>
      </c>
      <c r="C634">
        <f>IF($E634="","",INDEX('Input Transaksi'!$E:$E,$E634))</f>
        <v/>
      </c>
      <c r="D634" s="5">
        <f>IF($E634="","",INDEX('Input Transaksi'!$F:$F,$E634))</f>
        <v/>
      </c>
      <c r="E634">
        <f>IFERROR(AGGREGATE(15,6,ROW('Input Transaksi'!$B$5:$B$5000)/('Input Transaksi'!$B$5:$B$5000="BALI WASH"),ROWS($E$5:E634)),"")</f>
        <v/>
      </c>
      <c r="F634" s="5" t="n"/>
    </row>
    <row r="635">
      <c r="A635" s="10">
        <f>IF($E635="","",INDEX('Input Transaksi'!$A:$A,$E635))</f>
        <v/>
      </c>
      <c r="B635" s="5">
        <f>IF($E635="","",INDEX('Input Transaksi'!$D:$D,$E635))</f>
        <v/>
      </c>
      <c r="C635">
        <f>IF($E635="","",INDEX('Input Transaksi'!$E:$E,$E635))</f>
        <v/>
      </c>
      <c r="D635" s="5">
        <f>IF($E635="","",INDEX('Input Transaksi'!$F:$F,$E635))</f>
        <v/>
      </c>
      <c r="E635">
        <f>IFERROR(AGGREGATE(15,6,ROW('Input Transaksi'!$B$5:$B$5000)/('Input Transaksi'!$B$5:$B$5000="BALI WASH"),ROWS($E$5:E635)),"")</f>
        <v/>
      </c>
      <c r="F635" s="5" t="n"/>
    </row>
    <row r="636">
      <c r="A636" s="10">
        <f>IF($E636="","",INDEX('Input Transaksi'!$A:$A,$E636))</f>
        <v/>
      </c>
      <c r="B636" s="5">
        <f>IF($E636="","",INDEX('Input Transaksi'!$D:$D,$E636))</f>
        <v/>
      </c>
      <c r="C636">
        <f>IF($E636="","",INDEX('Input Transaksi'!$E:$E,$E636))</f>
        <v/>
      </c>
      <c r="D636" s="5">
        <f>IF($E636="","",INDEX('Input Transaksi'!$F:$F,$E636))</f>
        <v/>
      </c>
      <c r="E636">
        <f>IFERROR(AGGREGATE(15,6,ROW('Input Transaksi'!$B$5:$B$5000)/('Input Transaksi'!$B$5:$B$5000="BALI WASH"),ROWS($E$5:E636)),"")</f>
        <v/>
      </c>
      <c r="F636" s="5" t="n"/>
    </row>
    <row r="637">
      <c r="A637" s="10">
        <f>IF($E637="","",INDEX('Input Transaksi'!$A:$A,$E637))</f>
        <v/>
      </c>
      <c r="B637" s="5">
        <f>IF($E637="","",INDEX('Input Transaksi'!$D:$D,$E637))</f>
        <v/>
      </c>
      <c r="C637">
        <f>IF($E637="","",INDEX('Input Transaksi'!$E:$E,$E637))</f>
        <v/>
      </c>
      <c r="D637" s="5">
        <f>IF($E637="","",INDEX('Input Transaksi'!$F:$F,$E637))</f>
        <v/>
      </c>
      <c r="E637">
        <f>IFERROR(AGGREGATE(15,6,ROW('Input Transaksi'!$B$5:$B$5000)/('Input Transaksi'!$B$5:$B$5000="BALI WASH"),ROWS($E$5:E637)),"")</f>
        <v/>
      </c>
      <c r="F637" s="5" t="n"/>
    </row>
    <row r="638">
      <c r="A638" s="10">
        <f>IF($E638="","",INDEX('Input Transaksi'!$A:$A,$E638))</f>
        <v/>
      </c>
      <c r="B638" s="5">
        <f>IF($E638="","",INDEX('Input Transaksi'!$D:$D,$E638))</f>
        <v/>
      </c>
      <c r="C638">
        <f>IF($E638="","",INDEX('Input Transaksi'!$E:$E,$E638))</f>
        <v/>
      </c>
      <c r="D638" s="5">
        <f>IF($E638="","",INDEX('Input Transaksi'!$F:$F,$E638))</f>
        <v/>
      </c>
      <c r="E638">
        <f>IFERROR(AGGREGATE(15,6,ROW('Input Transaksi'!$B$5:$B$5000)/('Input Transaksi'!$B$5:$B$5000="BALI WASH"),ROWS($E$5:E638)),"")</f>
        <v/>
      </c>
      <c r="F638" s="5" t="n"/>
    </row>
    <row r="639">
      <c r="A639" s="10">
        <f>IF($E639="","",INDEX('Input Transaksi'!$A:$A,$E639))</f>
        <v/>
      </c>
      <c r="B639" s="5">
        <f>IF($E639="","",INDEX('Input Transaksi'!$D:$D,$E639))</f>
        <v/>
      </c>
      <c r="C639">
        <f>IF($E639="","",INDEX('Input Transaksi'!$E:$E,$E639))</f>
        <v/>
      </c>
      <c r="D639" s="5">
        <f>IF($E639="","",INDEX('Input Transaksi'!$F:$F,$E639))</f>
        <v/>
      </c>
      <c r="E639">
        <f>IFERROR(AGGREGATE(15,6,ROW('Input Transaksi'!$B$5:$B$5000)/('Input Transaksi'!$B$5:$B$5000="BALI WASH"),ROWS($E$5:E639)),"")</f>
        <v/>
      </c>
      <c r="F639" s="5" t="n"/>
    </row>
    <row r="640">
      <c r="A640" s="10">
        <f>IF($E640="","",INDEX('Input Transaksi'!$A:$A,$E640))</f>
        <v/>
      </c>
      <c r="B640" s="5">
        <f>IF($E640="","",INDEX('Input Transaksi'!$D:$D,$E640))</f>
        <v/>
      </c>
      <c r="C640">
        <f>IF($E640="","",INDEX('Input Transaksi'!$E:$E,$E640))</f>
        <v/>
      </c>
      <c r="D640" s="5">
        <f>IF($E640="","",INDEX('Input Transaksi'!$F:$F,$E640))</f>
        <v/>
      </c>
      <c r="E640">
        <f>IFERROR(AGGREGATE(15,6,ROW('Input Transaksi'!$B$5:$B$5000)/('Input Transaksi'!$B$5:$B$5000="BALI WASH"),ROWS($E$5:E640)),"")</f>
        <v/>
      </c>
      <c r="F640" s="5" t="n"/>
    </row>
    <row r="641">
      <c r="A641" s="10">
        <f>IF($E641="","",INDEX('Input Transaksi'!$A:$A,$E641))</f>
        <v/>
      </c>
      <c r="B641" s="5">
        <f>IF($E641="","",INDEX('Input Transaksi'!$D:$D,$E641))</f>
        <v/>
      </c>
      <c r="C641">
        <f>IF($E641="","",INDEX('Input Transaksi'!$E:$E,$E641))</f>
        <v/>
      </c>
      <c r="D641" s="5">
        <f>IF($E641="","",INDEX('Input Transaksi'!$F:$F,$E641))</f>
        <v/>
      </c>
      <c r="E641">
        <f>IFERROR(AGGREGATE(15,6,ROW('Input Transaksi'!$B$5:$B$5000)/('Input Transaksi'!$B$5:$B$5000="BALI WASH"),ROWS($E$5:E641)),"")</f>
        <v/>
      </c>
      <c r="F641" s="5" t="n"/>
    </row>
    <row r="642">
      <c r="A642" s="10">
        <f>IF($E642="","",INDEX('Input Transaksi'!$A:$A,$E642))</f>
        <v/>
      </c>
      <c r="B642" s="5">
        <f>IF($E642="","",INDEX('Input Transaksi'!$D:$D,$E642))</f>
        <v/>
      </c>
      <c r="C642">
        <f>IF($E642="","",INDEX('Input Transaksi'!$E:$E,$E642))</f>
        <v/>
      </c>
      <c r="D642" s="5">
        <f>IF($E642="","",INDEX('Input Transaksi'!$F:$F,$E642))</f>
        <v/>
      </c>
      <c r="E642">
        <f>IFERROR(AGGREGATE(15,6,ROW('Input Transaksi'!$B$5:$B$5000)/('Input Transaksi'!$B$5:$B$5000="BALI WASH"),ROWS($E$5:E642)),"")</f>
        <v/>
      </c>
      <c r="F642" s="5" t="n"/>
    </row>
    <row r="643">
      <c r="A643" s="10">
        <f>IF($E643="","",INDEX('Input Transaksi'!$A:$A,$E643))</f>
        <v/>
      </c>
      <c r="B643" s="5">
        <f>IF($E643="","",INDEX('Input Transaksi'!$D:$D,$E643))</f>
        <v/>
      </c>
      <c r="C643">
        <f>IF($E643="","",INDEX('Input Transaksi'!$E:$E,$E643))</f>
        <v/>
      </c>
      <c r="D643" s="5">
        <f>IF($E643="","",INDEX('Input Transaksi'!$F:$F,$E643))</f>
        <v/>
      </c>
      <c r="E643">
        <f>IFERROR(AGGREGATE(15,6,ROW('Input Transaksi'!$B$5:$B$5000)/('Input Transaksi'!$B$5:$B$5000="BALI WASH"),ROWS($E$5:E643)),"")</f>
        <v/>
      </c>
      <c r="F643" s="5" t="n"/>
    </row>
    <row r="644">
      <c r="A644" s="10">
        <f>IF($E644="","",INDEX('Input Transaksi'!$A:$A,$E644))</f>
        <v/>
      </c>
      <c r="B644" s="5">
        <f>IF($E644="","",INDEX('Input Transaksi'!$D:$D,$E644))</f>
        <v/>
      </c>
      <c r="C644">
        <f>IF($E644="","",INDEX('Input Transaksi'!$E:$E,$E644))</f>
        <v/>
      </c>
      <c r="D644" s="5">
        <f>IF($E644="","",INDEX('Input Transaksi'!$F:$F,$E644))</f>
        <v/>
      </c>
      <c r="E644">
        <f>IFERROR(AGGREGATE(15,6,ROW('Input Transaksi'!$B$5:$B$5000)/('Input Transaksi'!$B$5:$B$5000="BALI WASH"),ROWS($E$5:E644)),"")</f>
        <v/>
      </c>
      <c r="F644" s="5" t="n"/>
    </row>
    <row r="645">
      <c r="A645" s="10">
        <f>IF($E645="","",INDEX('Input Transaksi'!$A:$A,$E645))</f>
        <v/>
      </c>
      <c r="B645" s="5">
        <f>IF($E645="","",INDEX('Input Transaksi'!$D:$D,$E645))</f>
        <v/>
      </c>
      <c r="C645">
        <f>IF($E645="","",INDEX('Input Transaksi'!$E:$E,$E645))</f>
        <v/>
      </c>
      <c r="D645" s="5">
        <f>IF($E645="","",INDEX('Input Transaksi'!$F:$F,$E645))</f>
        <v/>
      </c>
      <c r="E645">
        <f>IFERROR(AGGREGATE(15,6,ROW('Input Transaksi'!$B$5:$B$5000)/('Input Transaksi'!$B$5:$B$5000="BALI WASH"),ROWS($E$5:E645)),"")</f>
        <v/>
      </c>
      <c r="F645" s="5" t="n"/>
    </row>
    <row r="646">
      <c r="A646" s="10">
        <f>IF($E646="","",INDEX('Input Transaksi'!$A:$A,$E646))</f>
        <v/>
      </c>
      <c r="B646" s="5">
        <f>IF($E646="","",INDEX('Input Transaksi'!$D:$D,$E646))</f>
        <v/>
      </c>
      <c r="C646">
        <f>IF($E646="","",INDEX('Input Transaksi'!$E:$E,$E646))</f>
        <v/>
      </c>
      <c r="D646" s="5">
        <f>IF($E646="","",INDEX('Input Transaksi'!$F:$F,$E646))</f>
        <v/>
      </c>
      <c r="E646">
        <f>IFERROR(AGGREGATE(15,6,ROW('Input Transaksi'!$B$5:$B$5000)/('Input Transaksi'!$B$5:$B$5000="BALI WASH"),ROWS($E$5:E646)),"")</f>
        <v/>
      </c>
      <c r="F646" s="5" t="n"/>
    </row>
    <row r="647">
      <c r="A647" s="10">
        <f>IF($E647="","",INDEX('Input Transaksi'!$A:$A,$E647))</f>
        <v/>
      </c>
      <c r="B647" s="5">
        <f>IF($E647="","",INDEX('Input Transaksi'!$D:$D,$E647))</f>
        <v/>
      </c>
      <c r="C647">
        <f>IF($E647="","",INDEX('Input Transaksi'!$E:$E,$E647))</f>
        <v/>
      </c>
      <c r="D647" s="5">
        <f>IF($E647="","",INDEX('Input Transaksi'!$F:$F,$E647))</f>
        <v/>
      </c>
      <c r="E647">
        <f>IFERROR(AGGREGATE(15,6,ROW('Input Transaksi'!$B$5:$B$5000)/('Input Transaksi'!$B$5:$B$5000="BALI WASH"),ROWS($E$5:E647)),"")</f>
        <v/>
      </c>
      <c r="F647" s="5" t="n"/>
    </row>
    <row r="648">
      <c r="A648" s="10">
        <f>IF($E648="","",INDEX('Input Transaksi'!$A:$A,$E648))</f>
        <v/>
      </c>
      <c r="B648" s="5">
        <f>IF($E648="","",INDEX('Input Transaksi'!$D:$D,$E648))</f>
        <v/>
      </c>
      <c r="C648">
        <f>IF($E648="","",INDEX('Input Transaksi'!$E:$E,$E648))</f>
        <v/>
      </c>
      <c r="D648" s="5">
        <f>IF($E648="","",INDEX('Input Transaksi'!$F:$F,$E648))</f>
        <v/>
      </c>
      <c r="E648">
        <f>IFERROR(AGGREGATE(15,6,ROW('Input Transaksi'!$B$5:$B$5000)/('Input Transaksi'!$B$5:$B$5000="BALI WASH"),ROWS($E$5:E648)),"")</f>
        <v/>
      </c>
      <c r="F648" s="5" t="n"/>
    </row>
    <row r="649">
      <c r="A649" s="10">
        <f>IF($E649="","",INDEX('Input Transaksi'!$A:$A,$E649))</f>
        <v/>
      </c>
      <c r="B649" s="5">
        <f>IF($E649="","",INDEX('Input Transaksi'!$D:$D,$E649))</f>
        <v/>
      </c>
      <c r="C649">
        <f>IF($E649="","",INDEX('Input Transaksi'!$E:$E,$E649))</f>
        <v/>
      </c>
      <c r="D649" s="5">
        <f>IF($E649="","",INDEX('Input Transaksi'!$F:$F,$E649))</f>
        <v/>
      </c>
      <c r="E649">
        <f>IFERROR(AGGREGATE(15,6,ROW('Input Transaksi'!$B$5:$B$5000)/('Input Transaksi'!$B$5:$B$5000="BALI WASH"),ROWS($E$5:E649)),"")</f>
        <v/>
      </c>
      <c r="F649" s="5" t="n"/>
    </row>
    <row r="650">
      <c r="A650" s="10">
        <f>IF($E650="","",INDEX('Input Transaksi'!$A:$A,$E650))</f>
        <v/>
      </c>
      <c r="B650" s="5">
        <f>IF($E650="","",INDEX('Input Transaksi'!$D:$D,$E650))</f>
        <v/>
      </c>
      <c r="C650">
        <f>IF($E650="","",INDEX('Input Transaksi'!$E:$E,$E650))</f>
        <v/>
      </c>
      <c r="D650" s="5">
        <f>IF($E650="","",INDEX('Input Transaksi'!$F:$F,$E650))</f>
        <v/>
      </c>
      <c r="E650">
        <f>IFERROR(AGGREGATE(15,6,ROW('Input Transaksi'!$B$5:$B$5000)/('Input Transaksi'!$B$5:$B$5000="BALI WASH"),ROWS($E$5:E650)),"")</f>
        <v/>
      </c>
      <c r="F650" s="5" t="n"/>
    </row>
    <row r="651">
      <c r="A651" s="10">
        <f>IF($E651="","",INDEX('Input Transaksi'!$A:$A,$E651))</f>
        <v/>
      </c>
      <c r="B651" s="5">
        <f>IF($E651="","",INDEX('Input Transaksi'!$D:$D,$E651))</f>
        <v/>
      </c>
      <c r="C651">
        <f>IF($E651="","",INDEX('Input Transaksi'!$E:$E,$E651))</f>
        <v/>
      </c>
      <c r="D651" s="5">
        <f>IF($E651="","",INDEX('Input Transaksi'!$F:$F,$E651))</f>
        <v/>
      </c>
      <c r="E651">
        <f>IFERROR(AGGREGATE(15,6,ROW('Input Transaksi'!$B$5:$B$5000)/('Input Transaksi'!$B$5:$B$5000="BALI WASH"),ROWS($E$5:E651)),"")</f>
        <v/>
      </c>
      <c r="F651" s="5" t="n"/>
    </row>
    <row r="652">
      <c r="A652" s="10">
        <f>IF($E652="","",INDEX('Input Transaksi'!$A:$A,$E652))</f>
        <v/>
      </c>
      <c r="B652" s="5">
        <f>IF($E652="","",INDEX('Input Transaksi'!$D:$D,$E652))</f>
        <v/>
      </c>
      <c r="C652">
        <f>IF($E652="","",INDEX('Input Transaksi'!$E:$E,$E652))</f>
        <v/>
      </c>
      <c r="D652" s="5">
        <f>IF($E652="","",INDEX('Input Transaksi'!$F:$F,$E652))</f>
        <v/>
      </c>
      <c r="E652">
        <f>IFERROR(AGGREGATE(15,6,ROW('Input Transaksi'!$B$5:$B$5000)/('Input Transaksi'!$B$5:$B$5000="BALI WASH"),ROWS($E$5:E652)),"")</f>
        <v/>
      </c>
      <c r="F652" s="5" t="n"/>
    </row>
    <row r="653">
      <c r="A653" s="10">
        <f>IF($E653="","",INDEX('Input Transaksi'!$A:$A,$E653))</f>
        <v/>
      </c>
      <c r="B653" s="5">
        <f>IF($E653="","",INDEX('Input Transaksi'!$D:$D,$E653))</f>
        <v/>
      </c>
      <c r="C653">
        <f>IF($E653="","",INDEX('Input Transaksi'!$E:$E,$E653))</f>
        <v/>
      </c>
      <c r="D653" s="5">
        <f>IF($E653="","",INDEX('Input Transaksi'!$F:$F,$E653))</f>
        <v/>
      </c>
      <c r="E653">
        <f>IFERROR(AGGREGATE(15,6,ROW('Input Transaksi'!$B$5:$B$5000)/('Input Transaksi'!$B$5:$B$5000="BALI WASH"),ROWS($E$5:E653)),"")</f>
        <v/>
      </c>
      <c r="F653" s="5" t="n"/>
    </row>
    <row r="654">
      <c r="A654" s="10">
        <f>IF($E654="","",INDEX('Input Transaksi'!$A:$A,$E654))</f>
        <v/>
      </c>
      <c r="B654" s="5">
        <f>IF($E654="","",INDEX('Input Transaksi'!$D:$D,$E654))</f>
        <v/>
      </c>
      <c r="C654">
        <f>IF($E654="","",INDEX('Input Transaksi'!$E:$E,$E654))</f>
        <v/>
      </c>
      <c r="D654" s="5">
        <f>IF($E654="","",INDEX('Input Transaksi'!$F:$F,$E654))</f>
        <v/>
      </c>
      <c r="E654">
        <f>IFERROR(AGGREGATE(15,6,ROW('Input Transaksi'!$B$5:$B$5000)/('Input Transaksi'!$B$5:$B$5000="BALI WASH"),ROWS($E$5:E654)),"")</f>
        <v/>
      </c>
      <c r="F654" s="5" t="n"/>
    </row>
    <row r="655">
      <c r="A655" s="10">
        <f>IF($E655="","",INDEX('Input Transaksi'!$A:$A,$E655))</f>
        <v/>
      </c>
      <c r="B655" s="5">
        <f>IF($E655="","",INDEX('Input Transaksi'!$D:$D,$E655))</f>
        <v/>
      </c>
      <c r="C655">
        <f>IF($E655="","",INDEX('Input Transaksi'!$E:$E,$E655))</f>
        <v/>
      </c>
      <c r="D655" s="5">
        <f>IF($E655="","",INDEX('Input Transaksi'!$F:$F,$E655))</f>
        <v/>
      </c>
      <c r="E655">
        <f>IFERROR(AGGREGATE(15,6,ROW('Input Transaksi'!$B$5:$B$5000)/('Input Transaksi'!$B$5:$B$5000="BALI WASH"),ROWS($E$5:E655)),"")</f>
        <v/>
      </c>
      <c r="F655" s="5" t="n"/>
    </row>
    <row r="656">
      <c r="A656" s="10">
        <f>IF($E656="","",INDEX('Input Transaksi'!$A:$A,$E656))</f>
        <v/>
      </c>
      <c r="B656" s="5">
        <f>IF($E656="","",INDEX('Input Transaksi'!$D:$D,$E656))</f>
        <v/>
      </c>
      <c r="C656">
        <f>IF($E656="","",INDEX('Input Transaksi'!$E:$E,$E656))</f>
        <v/>
      </c>
      <c r="D656" s="5">
        <f>IF($E656="","",INDEX('Input Transaksi'!$F:$F,$E656))</f>
        <v/>
      </c>
      <c r="E656">
        <f>IFERROR(AGGREGATE(15,6,ROW('Input Transaksi'!$B$5:$B$5000)/('Input Transaksi'!$B$5:$B$5000="BALI WASH"),ROWS($E$5:E656)),"")</f>
        <v/>
      </c>
      <c r="F656" s="5" t="n"/>
    </row>
    <row r="657">
      <c r="A657" s="10">
        <f>IF($E657="","",INDEX('Input Transaksi'!$A:$A,$E657))</f>
        <v/>
      </c>
      <c r="B657" s="5">
        <f>IF($E657="","",INDEX('Input Transaksi'!$D:$D,$E657))</f>
        <v/>
      </c>
      <c r="C657">
        <f>IF($E657="","",INDEX('Input Transaksi'!$E:$E,$E657))</f>
        <v/>
      </c>
      <c r="D657" s="5">
        <f>IF($E657="","",INDEX('Input Transaksi'!$F:$F,$E657))</f>
        <v/>
      </c>
      <c r="E657">
        <f>IFERROR(AGGREGATE(15,6,ROW('Input Transaksi'!$B$5:$B$5000)/('Input Transaksi'!$B$5:$B$5000="BALI WASH"),ROWS($E$5:E657)),"")</f>
        <v/>
      </c>
      <c r="F657" s="5" t="n"/>
    </row>
    <row r="658">
      <c r="A658" s="10">
        <f>IF($E658="","",INDEX('Input Transaksi'!$A:$A,$E658))</f>
        <v/>
      </c>
      <c r="B658" s="5">
        <f>IF($E658="","",INDEX('Input Transaksi'!$D:$D,$E658))</f>
        <v/>
      </c>
      <c r="C658">
        <f>IF($E658="","",INDEX('Input Transaksi'!$E:$E,$E658))</f>
        <v/>
      </c>
      <c r="D658" s="5">
        <f>IF($E658="","",INDEX('Input Transaksi'!$F:$F,$E658))</f>
        <v/>
      </c>
      <c r="E658">
        <f>IFERROR(AGGREGATE(15,6,ROW('Input Transaksi'!$B$5:$B$5000)/('Input Transaksi'!$B$5:$B$5000="BALI WASH"),ROWS($E$5:E658)),"")</f>
        <v/>
      </c>
      <c r="F658" s="5" t="n"/>
    </row>
    <row r="659">
      <c r="A659" s="10">
        <f>IF($E659="","",INDEX('Input Transaksi'!$A:$A,$E659))</f>
        <v/>
      </c>
      <c r="B659" s="5">
        <f>IF($E659="","",INDEX('Input Transaksi'!$D:$D,$E659))</f>
        <v/>
      </c>
      <c r="C659">
        <f>IF($E659="","",INDEX('Input Transaksi'!$E:$E,$E659))</f>
        <v/>
      </c>
      <c r="D659" s="5">
        <f>IF($E659="","",INDEX('Input Transaksi'!$F:$F,$E659))</f>
        <v/>
      </c>
      <c r="E659">
        <f>IFERROR(AGGREGATE(15,6,ROW('Input Transaksi'!$B$5:$B$5000)/('Input Transaksi'!$B$5:$B$5000="BALI WASH"),ROWS($E$5:E659)),"")</f>
        <v/>
      </c>
      <c r="F659" s="5" t="n"/>
    </row>
    <row r="660">
      <c r="A660" s="10">
        <f>IF($E660="","",INDEX('Input Transaksi'!$A:$A,$E660))</f>
        <v/>
      </c>
      <c r="B660" s="5">
        <f>IF($E660="","",INDEX('Input Transaksi'!$D:$D,$E660))</f>
        <v/>
      </c>
      <c r="C660">
        <f>IF($E660="","",INDEX('Input Transaksi'!$E:$E,$E660))</f>
        <v/>
      </c>
      <c r="D660" s="5">
        <f>IF($E660="","",INDEX('Input Transaksi'!$F:$F,$E660))</f>
        <v/>
      </c>
      <c r="E660">
        <f>IFERROR(AGGREGATE(15,6,ROW('Input Transaksi'!$B$5:$B$5000)/('Input Transaksi'!$B$5:$B$5000="BALI WASH"),ROWS($E$5:E660)),"")</f>
        <v/>
      </c>
      <c r="F660" s="5" t="n"/>
    </row>
    <row r="661">
      <c r="A661" s="10">
        <f>IF($E661="","",INDEX('Input Transaksi'!$A:$A,$E661))</f>
        <v/>
      </c>
      <c r="B661" s="5">
        <f>IF($E661="","",INDEX('Input Transaksi'!$D:$D,$E661))</f>
        <v/>
      </c>
      <c r="C661">
        <f>IF($E661="","",INDEX('Input Transaksi'!$E:$E,$E661))</f>
        <v/>
      </c>
      <c r="D661" s="5">
        <f>IF($E661="","",INDEX('Input Transaksi'!$F:$F,$E661))</f>
        <v/>
      </c>
      <c r="E661">
        <f>IFERROR(AGGREGATE(15,6,ROW('Input Transaksi'!$B$5:$B$5000)/('Input Transaksi'!$B$5:$B$5000="BALI WASH"),ROWS($E$5:E661)),"")</f>
        <v/>
      </c>
      <c r="F661" s="5" t="n"/>
    </row>
    <row r="662">
      <c r="A662" s="10">
        <f>IF($E662="","",INDEX('Input Transaksi'!$A:$A,$E662))</f>
        <v/>
      </c>
      <c r="B662" s="5">
        <f>IF($E662="","",INDEX('Input Transaksi'!$D:$D,$E662))</f>
        <v/>
      </c>
      <c r="C662">
        <f>IF($E662="","",INDEX('Input Transaksi'!$E:$E,$E662))</f>
        <v/>
      </c>
      <c r="D662" s="5">
        <f>IF($E662="","",INDEX('Input Transaksi'!$F:$F,$E662))</f>
        <v/>
      </c>
      <c r="E662">
        <f>IFERROR(AGGREGATE(15,6,ROW('Input Transaksi'!$B$5:$B$5000)/('Input Transaksi'!$B$5:$B$5000="BALI WASH"),ROWS($E$5:E662)),"")</f>
        <v/>
      </c>
      <c r="F662" s="5" t="n"/>
    </row>
    <row r="663">
      <c r="A663" s="10">
        <f>IF($E663="","",INDEX('Input Transaksi'!$A:$A,$E663))</f>
        <v/>
      </c>
      <c r="B663" s="5">
        <f>IF($E663="","",INDEX('Input Transaksi'!$D:$D,$E663))</f>
        <v/>
      </c>
      <c r="C663">
        <f>IF($E663="","",INDEX('Input Transaksi'!$E:$E,$E663))</f>
        <v/>
      </c>
      <c r="D663" s="5">
        <f>IF($E663="","",INDEX('Input Transaksi'!$F:$F,$E663))</f>
        <v/>
      </c>
      <c r="E663">
        <f>IFERROR(AGGREGATE(15,6,ROW('Input Transaksi'!$B$5:$B$5000)/('Input Transaksi'!$B$5:$B$5000="BALI WASH"),ROWS($E$5:E663)),"")</f>
        <v/>
      </c>
      <c r="F663" s="5" t="n"/>
    </row>
    <row r="664">
      <c r="A664" s="10">
        <f>IF($E664="","",INDEX('Input Transaksi'!$A:$A,$E664))</f>
        <v/>
      </c>
      <c r="B664" s="5">
        <f>IF($E664="","",INDEX('Input Transaksi'!$D:$D,$E664))</f>
        <v/>
      </c>
      <c r="C664">
        <f>IF($E664="","",INDEX('Input Transaksi'!$E:$E,$E664))</f>
        <v/>
      </c>
      <c r="D664" s="5">
        <f>IF($E664="","",INDEX('Input Transaksi'!$F:$F,$E664))</f>
        <v/>
      </c>
      <c r="E664">
        <f>IFERROR(AGGREGATE(15,6,ROW('Input Transaksi'!$B$5:$B$5000)/('Input Transaksi'!$B$5:$B$5000="BALI WASH"),ROWS($E$5:E664)),"")</f>
        <v/>
      </c>
      <c r="F664" s="5" t="n"/>
    </row>
    <row r="665">
      <c r="A665" s="10">
        <f>IF($E665="","",INDEX('Input Transaksi'!$A:$A,$E665))</f>
        <v/>
      </c>
      <c r="B665" s="5">
        <f>IF($E665="","",INDEX('Input Transaksi'!$D:$D,$E665))</f>
        <v/>
      </c>
      <c r="C665">
        <f>IF($E665="","",INDEX('Input Transaksi'!$E:$E,$E665))</f>
        <v/>
      </c>
      <c r="D665" s="5">
        <f>IF($E665="","",INDEX('Input Transaksi'!$F:$F,$E665))</f>
        <v/>
      </c>
      <c r="E665">
        <f>IFERROR(AGGREGATE(15,6,ROW('Input Transaksi'!$B$5:$B$5000)/('Input Transaksi'!$B$5:$B$5000="BALI WASH"),ROWS($E$5:E665)),"")</f>
        <v/>
      </c>
      <c r="F665" s="5" t="n"/>
    </row>
    <row r="666">
      <c r="A666" s="10">
        <f>IF($E666="","",INDEX('Input Transaksi'!$A:$A,$E666))</f>
        <v/>
      </c>
      <c r="B666" s="5">
        <f>IF($E666="","",INDEX('Input Transaksi'!$D:$D,$E666))</f>
        <v/>
      </c>
      <c r="C666">
        <f>IF($E666="","",INDEX('Input Transaksi'!$E:$E,$E666))</f>
        <v/>
      </c>
      <c r="D666" s="5">
        <f>IF($E666="","",INDEX('Input Transaksi'!$F:$F,$E666))</f>
        <v/>
      </c>
      <c r="E666">
        <f>IFERROR(AGGREGATE(15,6,ROW('Input Transaksi'!$B$5:$B$5000)/('Input Transaksi'!$B$5:$B$5000="BALI WASH"),ROWS($E$5:E666)),"")</f>
        <v/>
      </c>
      <c r="F666" s="5" t="n"/>
    </row>
    <row r="667">
      <c r="A667" s="10">
        <f>IF($E667="","",INDEX('Input Transaksi'!$A:$A,$E667))</f>
        <v/>
      </c>
      <c r="B667" s="5">
        <f>IF($E667="","",INDEX('Input Transaksi'!$D:$D,$E667))</f>
        <v/>
      </c>
      <c r="C667">
        <f>IF($E667="","",INDEX('Input Transaksi'!$E:$E,$E667))</f>
        <v/>
      </c>
      <c r="D667" s="5">
        <f>IF($E667="","",INDEX('Input Transaksi'!$F:$F,$E667))</f>
        <v/>
      </c>
      <c r="E667">
        <f>IFERROR(AGGREGATE(15,6,ROW('Input Transaksi'!$B$5:$B$5000)/('Input Transaksi'!$B$5:$B$5000="BALI WASH"),ROWS($E$5:E667)),"")</f>
        <v/>
      </c>
      <c r="F667" s="5" t="n"/>
    </row>
    <row r="668">
      <c r="A668" s="10">
        <f>IF($E668="","",INDEX('Input Transaksi'!$A:$A,$E668))</f>
        <v/>
      </c>
      <c r="B668" s="5">
        <f>IF($E668="","",INDEX('Input Transaksi'!$D:$D,$E668))</f>
        <v/>
      </c>
      <c r="C668">
        <f>IF($E668="","",INDEX('Input Transaksi'!$E:$E,$E668))</f>
        <v/>
      </c>
      <c r="D668" s="5">
        <f>IF($E668="","",INDEX('Input Transaksi'!$F:$F,$E668))</f>
        <v/>
      </c>
      <c r="E668">
        <f>IFERROR(AGGREGATE(15,6,ROW('Input Transaksi'!$B$5:$B$5000)/('Input Transaksi'!$B$5:$B$5000="BALI WASH"),ROWS($E$5:E668)),"")</f>
        <v/>
      </c>
      <c r="F668" s="5" t="n"/>
    </row>
    <row r="669">
      <c r="A669" s="10">
        <f>IF($E669="","",INDEX('Input Transaksi'!$A:$A,$E669))</f>
        <v/>
      </c>
      <c r="B669" s="5">
        <f>IF($E669="","",INDEX('Input Transaksi'!$D:$D,$E669))</f>
        <v/>
      </c>
      <c r="C669">
        <f>IF($E669="","",INDEX('Input Transaksi'!$E:$E,$E669))</f>
        <v/>
      </c>
      <c r="D669" s="5">
        <f>IF($E669="","",INDEX('Input Transaksi'!$F:$F,$E669))</f>
        <v/>
      </c>
      <c r="E669">
        <f>IFERROR(AGGREGATE(15,6,ROW('Input Transaksi'!$B$5:$B$5000)/('Input Transaksi'!$B$5:$B$5000="BALI WASH"),ROWS($E$5:E669)),"")</f>
        <v/>
      </c>
      <c r="F669" s="5" t="n"/>
    </row>
    <row r="670">
      <c r="A670" s="10">
        <f>IF($E670="","",INDEX('Input Transaksi'!$A:$A,$E670))</f>
        <v/>
      </c>
      <c r="B670" s="5">
        <f>IF($E670="","",INDEX('Input Transaksi'!$D:$D,$E670))</f>
        <v/>
      </c>
      <c r="C670">
        <f>IF($E670="","",INDEX('Input Transaksi'!$E:$E,$E670))</f>
        <v/>
      </c>
      <c r="D670" s="5">
        <f>IF($E670="","",INDEX('Input Transaksi'!$F:$F,$E670))</f>
        <v/>
      </c>
      <c r="E670">
        <f>IFERROR(AGGREGATE(15,6,ROW('Input Transaksi'!$B$5:$B$5000)/('Input Transaksi'!$B$5:$B$5000="BALI WASH"),ROWS($E$5:E670)),"")</f>
        <v/>
      </c>
      <c r="F670" s="5" t="n"/>
    </row>
    <row r="671">
      <c r="A671" s="10">
        <f>IF($E671="","",INDEX('Input Transaksi'!$A:$A,$E671))</f>
        <v/>
      </c>
      <c r="B671" s="5">
        <f>IF($E671="","",INDEX('Input Transaksi'!$D:$D,$E671))</f>
        <v/>
      </c>
      <c r="C671">
        <f>IF($E671="","",INDEX('Input Transaksi'!$E:$E,$E671))</f>
        <v/>
      </c>
      <c r="D671" s="5">
        <f>IF($E671="","",INDEX('Input Transaksi'!$F:$F,$E671))</f>
        <v/>
      </c>
      <c r="E671">
        <f>IFERROR(AGGREGATE(15,6,ROW('Input Transaksi'!$B$5:$B$5000)/('Input Transaksi'!$B$5:$B$5000="BALI WASH"),ROWS($E$5:E671)),"")</f>
        <v/>
      </c>
      <c r="F671" s="5" t="n"/>
    </row>
    <row r="672">
      <c r="A672" s="10">
        <f>IF($E672="","",INDEX('Input Transaksi'!$A:$A,$E672))</f>
        <v/>
      </c>
      <c r="B672" s="5">
        <f>IF($E672="","",INDEX('Input Transaksi'!$D:$D,$E672))</f>
        <v/>
      </c>
      <c r="C672">
        <f>IF($E672="","",INDEX('Input Transaksi'!$E:$E,$E672))</f>
        <v/>
      </c>
      <c r="D672" s="5">
        <f>IF($E672="","",INDEX('Input Transaksi'!$F:$F,$E672))</f>
        <v/>
      </c>
      <c r="E672">
        <f>IFERROR(AGGREGATE(15,6,ROW('Input Transaksi'!$B$5:$B$5000)/('Input Transaksi'!$B$5:$B$5000="BALI WASH"),ROWS($E$5:E672)),"")</f>
        <v/>
      </c>
      <c r="F672" s="5" t="n"/>
    </row>
    <row r="673">
      <c r="A673" s="10">
        <f>IF($E673="","",INDEX('Input Transaksi'!$A:$A,$E673))</f>
        <v/>
      </c>
      <c r="B673" s="5">
        <f>IF($E673="","",INDEX('Input Transaksi'!$D:$D,$E673))</f>
        <v/>
      </c>
      <c r="C673">
        <f>IF($E673="","",INDEX('Input Transaksi'!$E:$E,$E673))</f>
        <v/>
      </c>
      <c r="D673" s="5">
        <f>IF($E673="","",INDEX('Input Transaksi'!$F:$F,$E673))</f>
        <v/>
      </c>
      <c r="E673">
        <f>IFERROR(AGGREGATE(15,6,ROW('Input Transaksi'!$B$5:$B$5000)/('Input Transaksi'!$B$5:$B$5000="BALI WASH"),ROWS($E$5:E673)),"")</f>
        <v/>
      </c>
      <c r="F673" s="5" t="n"/>
    </row>
    <row r="674">
      <c r="A674" s="10">
        <f>IF($E674="","",INDEX('Input Transaksi'!$A:$A,$E674))</f>
        <v/>
      </c>
      <c r="B674" s="5">
        <f>IF($E674="","",INDEX('Input Transaksi'!$D:$D,$E674))</f>
        <v/>
      </c>
      <c r="C674">
        <f>IF($E674="","",INDEX('Input Transaksi'!$E:$E,$E674))</f>
        <v/>
      </c>
      <c r="D674" s="5">
        <f>IF($E674="","",INDEX('Input Transaksi'!$F:$F,$E674))</f>
        <v/>
      </c>
      <c r="E674">
        <f>IFERROR(AGGREGATE(15,6,ROW('Input Transaksi'!$B$5:$B$5000)/('Input Transaksi'!$B$5:$B$5000="BALI WASH"),ROWS($E$5:E674)),"")</f>
        <v/>
      </c>
      <c r="F674" s="5" t="n"/>
    </row>
    <row r="675">
      <c r="A675" s="10">
        <f>IF($E675="","",INDEX('Input Transaksi'!$A:$A,$E675))</f>
        <v/>
      </c>
      <c r="B675" s="5">
        <f>IF($E675="","",INDEX('Input Transaksi'!$D:$D,$E675))</f>
        <v/>
      </c>
      <c r="C675">
        <f>IF($E675="","",INDEX('Input Transaksi'!$E:$E,$E675))</f>
        <v/>
      </c>
      <c r="D675" s="5">
        <f>IF($E675="","",INDEX('Input Transaksi'!$F:$F,$E675))</f>
        <v/>
      </c>
      <c r="E675">
        <f>IFERROR(AGGREGATE(15,6,ROW('Input Transaksi'!$B$5:$B$5000)/('Input Transaksi'!$B$5:$B$5000="BALI WASH"),ROWS($E$5:E675)),"")</f>
        <v/>
      </c>
      <c r="F675" s="5" t="n"/>
    </row>
    <row r="676">
      <c r="A676" s="10">
        <f>IF($E676="","",INDEX('Input Transaksi'!$A:$A,$E676))</f>
        <v/>
      </c>
      <c r="B676" s="5">
        <f>IF($E676="","",INDEX('Input Transaksi'!$D:$D,$E676))</f>
        <v/>
      </c>
      <c r="C676">
        <f>IF($E676="","",INDEX('Input Transaksi'!$E:$E,$E676))</f>
        <v/>
      </c>
      <c r="D676" s="5">
        <f>IF($E676="","",INDEX('Input Transaksi'!$F:$F,$E676))</f>
        <v/>
      </c>
      <c r="E676">
        <f>IFERROR(AGGREGATE(15,6,ROW('Input Transaksi'!$B$5:$B$5000)/('Input Transaksi'!$B$5:$B$5000="BALI WASH"),ROWS($E$5:E676)),"")</f>
        <v/>
      </c>
      <c r="F676" s="5" t="n"/>
    </row>
    <row r="677">
      <c r="A677" s="10">
        <f>IF($E677="","",INDEX('Input Transaksi'!$A:$A,$E677))</f>
        <v/>
      </c>
      <c r="B677" s="5">
        <f>IF($E677="","",INDEX('Input Transaksi'!$D:$D,$E677))</f>
        <v/>
      </c>
      <c r="C677">
        <f>IF($E677="","",INDEX('Input Transaksi'!$E:$E,$E677))</f>
        <v/>
      </c>
      <c r="D677" s="5">
        <f>IF($E677="","",INDEX('Input Transaksi'!$F:$F,$E677))</f>
        <v/>
      </c>
      <c r="E677">
        <f>IFERROR(AGGREGATE(15,6,ROW('Input Transaksi'!$B$5:$B$5000)/('Input Transaksi'!$B$5:$B$5000="BALI WASH"),ROWS($E$5:E677)),"")</f>
        <v/>
      </c>
      <c r="F677" s="5" t="n"/>
    </row>
    <row r="678">
      <c r="A678" s="10">
        <f>IF($E678="","",INDEX('Input Transaksi'!$A:$A,$E678))</f>
        <v/>
      </c>
      <c r="B678" s="5">
        <f>IF($E678="","",INDEX('Input Transaksi'!$D:$D,$E678))</f>
        <v/>
      </c>
      <c r="C678">
        <f>IF($E678="","",INDEX('Input Transaksi'!$E:$E,$E678))</f>
        <v/>
      </c>
      <c r="D678" s="5">
        <f>IF($E678="","",INDEX('Input Transaksi'!$F:$F,$E678))</f>
        <v/>
      </c>
      <c r="E678">
        <f>IFERROR(AGGREGATE(15,6,ROW('Input Transaksi'!$B$5:$B$5000)/('Input Transaksi'!$B$5:$B$5000="BALI WASH"),ROWS($E$5:E678)),"")</f>
        <v/>
      </c>
      <c r="F678" s="5" t="n"/>
    </row>
    <row r="679">
      <c r="A679" s="10">
        <f>IF($E679="","",INDEX('Input Transaksi'!$A:$A,$E679))</f>
        <v/>
      </c>
      <c r="B679" s="5">
        <f>IF($E679="","",INDEX('Input Transaksi'!$D:$D,$E679))</f>
        <v/>
      </c>
      <c r="C679">
        <f>IF($E679="","",INDEX('Input Transaksi'!$E:$E,$E679))</f>
        <v/>
      </c>
      <c r="D679" s="5">
        <f>IF($E679="","",INDEX('Input Transaksi'!$F:$F,$E679))</f>
        <v/>
      </c>
      <c r="E679">
        <f>IFERROR(AGGREGATE(15,6,ROW('Input Transaksi'!$B$5:$B$5000)/('Input Transaksi'!$B$5:$B$5000="BALI WASH"),ROWS($E$5:E679)),"")</f>
        <v/>
      </c>
      <c r="F679" s="5" t="n"/>
    </row>
    <row r="680">
      <c r="A680" s="10">
        <f>IF($E680="","",INDEX('Input Transaksi'!$A:$A,$E680))</f>
        <v/>
      </c>
      <c r="B680" s="5">
        <f>IF($E680="","",INDEX('Input Transaksi'!$D:$D,$E680))</f>
        <v/>
      </c>
      <c r="C680">
        <f>IF($E680="","",INDEX('Input Transaksi'!$E:$E,$E680))</f>
        <v/>
      </c>
      <c r="D680" s="5">
        <f>IF($E680="","",INDEX('Input Transaksi'!$F:$F,$E680))</f>
        <v/>
      </c>
      <c r="E680">
        <f>IFERROR(AGGREGATE(15,6,ROW('Input Transaksi'!$B$5:$B$5000)/('Input Transaksi'!$B$5:$B$5000="BALI WASH"),ROWS($E$5:E680)),"")</f>
        <v/>
      </c>
      <c r="F680" s="5" t="n"/>
    </row>
    <row r="681">
      <c r="A681" s="10">
        <f>IF($E681="","",INDEX('Input Transaksi'!$A:$A,$E681))</f>
        <v/>
      </c>
      <c r="B681" s="5">
        <f>IF($E681="","",INDEX('Input Transaksi'!$D:$D,$E681))</f>
        <v/>
      </c>
      <c r="C681">
        <f>IF($E681="","",INDEX('Input Transaksi'!$E:$E,$E681))</f>
        <v/>
      </c>
      <c r="D681" s="5">
        <f>IF($E681="","",INDEX('Input Transaksi'!$F:$F,$E681))</f>
        <v/>
      </c>
      <c r="E681">
        <f>IFERROR(AGGREGATE(15,6,ROW('Input Transaksi'!$B$5:$B$5000)/('Input Transaksi'!$B$5:$B$5000="BALI WASH"),ROWS($E$5:E681)),"")</f>
        <v/>
      </c>
      <c r="F681" s="5" t="n"/>
    </row>
    <row r="682">
      <c r="A682" s="10">
        <f>IF($E682="","",INDEX('Input Transaksi'!$A:$A,$E682))</f>
        <v/>
      </c>
      <c r="B682" s="5">
        <f>IF($E682="","",INDEX('Input Transaksi'!$D:$D,$E682))</f>
        <v/>
      </c>
      <c r="C682">
        <f>IF($E682="","",INDEX('Input Transaksi'!$E:$E,$E682))</f>
        <v/>
      </c>
      <c r="D682" s="5">
        <f>IF($E682="","",INDEX('Input Transaksi'!$F:$F,$E682))</f>
        <v/>
      </c>
      <c r="E682">
        <f>IFERROR(AGGREGATE(15,6,ROW('Input Transaksi'!$B$5:$B$5000)/('Input Transaksi'!$B$5:$B$5000="BALI WASH"),ROWS($E$5:E682)),"")</f>
        <v/>
      </c>
      <c r="F682" s="5" t="n"/>
    </row>
    <row r="683">
      <c r="A683" s="10">
        <f>IF($E683="","",INDEX('Input Transaksi'!$A:$A,$E683))</f>
        <v/>
      </c>
      <c r="B683" s="5">
        <f>IF($E683="","",INDEX('Input Transaksi'!$D:$D,$E683))</f>
        <v/>
      </c>
      <c r="C683">
        <f>IF($E683="","",INDEX('Input Transaksi'!$E:$E,$E683))</f>
        <v/>
      </c>
      <c r="D683" s="5">
        <f>IF($E683="","",INDEX('Input Transaksi'!$F:$F,$E683))</f>
        <v/>
      </c>
      <c r="E683">
        <f>IFERROR(AGGREGATE(15,6,ROW('Input Transaksi'!$B$5:$B$5000)/('Input Transaksi'!$B$5:$B$5000="BALI WASH"),ROWS($E$5:E683)),"")</f>
        <v/>
      </c>
      <c r="F683" s="5" t="n"/>
    </row>
    <row r="684">
      <c r="A684" s="10">
        <f>IF($E684="","",INDEX('Input Transaksi'!$A:$A,$E684))</f>
        <v/>
      </c>
      <c r="B684" s="5">
        <f>IF($E684="","",INDEX('Input Transaksi'!$D:$D,$E684))</f>
        <v/>
      </c>
      <c r="C684">
        <f>IF($E684="","",INDEX('Input Transaksi'!$E:$E,$E684))</f>
        <v/>
      </c>
      <c r="D684" s="5">
        <f>IF($E684="","",INDEX('Input Transaksi'!$F:$F,$E684))</f>
        <v/>
      </c>
      <c r="E684">
        <f>IFERROR(AGGREGATE(15,6,ROW('Input Transaksi'!$B$5:$B$5000)/('Input Transaksi'!$B$5:$B$5000="BALI WASH"),ROWS($E$5:E684)),"")</f>
        <v/>
      </c>
      <c r="F684" s="5" t="n"/>
    </row>
    <row r="685">
      <c r="A685" s="10">
        <f>IF($E685="","",INDEX('Input Transaksi'!$A:$A,$E685))</f>
        <v/>
      </c>
      <c r="B685" s="5">
        <f>IF($E685="","",INDEX('Input Transaksi'!$D:$D,$E685))</f>
        <v/>
      </c>
      <c r="C685">
        <f>IF($E685="","",INDEX('Input Transaksi'!$E:$E,$E685))</f>
        <v/>
      </c>
      <c r="D685" s="5">
        <f>IF($E685="","",INDEX('Input Transaksi'!$F:$F,$E685))</f>
        <v/>
      </c>
      <c r="E685">
        <f>IFERROR(AGGREGATE(15,6,ROW('Input Transaksi'!$B$5:$B$5000)/('Input Transaksi'!$B$5:$B$5000="BALI WASH"),ROWS($E$5:E685)),"")</f>
        <v/>
      </c>
      <c r="F685" s="5" t="n"/>
    </row>
    <row r="686">
      <c r="A686" s="10">
        <f>IF($E686="","",INDEX('Input Transaksi'!$A:$A,$E686))</f>
        <v/>
      </c>
      <c r="B686" s="5">
        <f>IF($E686="","",INDEX('Input Transaksi'!$D:$D,$E686))</f>
        <v/>
      </c>
      <c r="C686">
        <f>IF($E686="","",INDEX('Input Transaksi'!$E:$E,$E686))</f>
        <v/>
      </c>
      <c r="D686" s="5">
        <f>IF($E686="","",INDEX('Input Transaksi'!$F:$F,$E686))</f>
        <v/>
      </c>
      <c r="E686">
        <f>IFERROR(AGGREGATE(15,6,ROW('Input Transaksi'!$B$5:$B$5000)/('Input Transaksi'!$B$5:$B$5000="BALI WASH"),ROWS($E$5:E686)),"")</f>
        <v/>
      </c>
      <c r="F686" s="5" t="n"/>
    </row>
    <row r="687">
      <c r="A687" s="10">
        <f>IF($E687="","",INDEX('Input Transaksi'!$A:$A,$E687))</f>
        <v/>
      </c>
      <c r="B687" s="5">
        <f>IF($E687="","",INDEX('Input Transaksi'!$D:$D,$E687))</f>
        <v/>
      </c>
      <c r="C687">
        <f>IF($E687="","",INDEX('Input Transaksi'!$E:$E,$E687))</f>
        <v/>
      </c>
      <c r="D687" s="5">
        <f>IF($E687="","",INDEX('Input Transaksi'!$F:$F,$E687))</f>
        <v/>
      </c>
      <c r="E687">
        <f>IFERROR(AGGREGATE(15,6,ROW('Input Transaksi'!$B$5:$B$5000)/('Input Transaksi'!$B$5:$B$5000="BALI WASH"),ROWS($E$5:E687)),"")</f>
        <v/>
      </c>
      <c r="F687" s="5" t="n"/>
    </row>
    <row r="688">
      <c r="A688" s="10">
        <f>IF($E688="","",INDEX('Input Transaksi'!$A:$A,$E688))</f>
        <v/>
      </c>
      <c r="B688" s="5">
        <f>IF($E688="","",INDEX('Input Transaksi'!$D:$D,$E688))</f>
        <v/>
      </c>
      <c r="C688">
        <f>IF($E688="","",INDEX('Input Transaksi'!$E:$E,$E688))</f>
        <v/>
      </c>
      <c r="D688" s="5">
        <f>IF($E688="","",INDEX('Input Transaksi'!$F:$F,$E688))</f>
        <v/>
      </c>
      <c r="E688">
        <f>IFERROR(AGGREGATE(15,6,ROW('Input Transaksi'!$B$5:$B$5000)/('Input Transaksi'!$B$5:$B$5000="BALI WASH"),ROWS($E$5:E688)),"")</f>
        <v/>
      </c>
      <c r="F688" s="5" t="n"/>
    </row>
    <row r="689">
      <c r="A689" s="10">
        <f>IF($E689="","",INDEX('Input Transaksi'!$A:$A,$E689))</f>
        <v/>
      </c>
      <c r="B689" s="5">
        <f>IF($E689="","",INDEX('Input Transaksi'!$D:$D,$E689))</f>
        <v/>
      </c>
      <c r="C689">
        <f>IF($E689="","",INDEX('Input Transaksi'!$E:$E,$E689))</f>
        <v/>
      </c>
      <c r="D689" s="5">
        <f>IF($E689="","",INDEX('Input Transaksi'!$F:$F,$E689))</f>
        <v/>
      </c>
      <c r="E689">
        <f>IFERROR(AGGREGATE(15,6,ROW('Input Transaksi'!$B$5:$B$5000)/('Input Transaksi'!$B$5:$B$5000="BALI WASH"),ROWS($E$5:E689)),"")</f>
        <v/>
      </c>
      <c r="F689" s="5" t="n"/>
    </row>
    <row r="690">
      <c r="A690" s="10">
        <f>IF($E690="","",INDEX('Input Transaksi'!$A:$A,$E690))</f>
        <v/>
      </c>
      <c r="B690" s="5">
        <f>IF($E690="","",INDEX('Input Transaksi'!$D:$D,$E690))</f>
        <v/>
      </c>
      <c r="C690">
        <f>IF($E690="","",INDEX('Input Transaksi'!$E:$E,$E690))</f>
        <v/>
      </c>
      <c r="D690" s="5">
        <f>IF($E690="","",INDEX('Input Transaksi'!$F:$F,$E690))</f>
        <v/>
      </c>
      <c r="E690">
        <f>IFERROR(AGGREGATE(15,6,ROW('Input Transaksi'!$B$5:$B$5000)/('Input Transaksi'!$B$5:$B$5000="BALI WASH"),ROWS($E$5:E690)),"")</f>
        <v/>
      </c>
      <c r="F690" s="5" t="n"/>
    </row>
    <row r="691">
      <c r="A691" s="10">
        <f>IF($E691="","",INDEX('Input Transaksi'!$A:$A,$E691))</f>
        <v/>
      </c>
      <c r="B691" s="5">
        <f>IF($E691="","",INDEX('Input Transaksi'!$D:$D,$E691))</f>
        <v/>
      </c>
      <c r="C691">
        <f>IF($E691="","",INDEX('Input Transaksi'!$E:$E,$E691))</f>
        <v/>
      </c>
      <c r="D691" s="5">
        <f>IF($E691="","",INDEX('Input Transaksi'!$F:$F,$E691))</f>
        <v/>
      </c>
      <c r="E691">
        <f>IFERROR(AGGREGATE(15,6,ROW('Input Transaksi'!$B$5:$B$5000)/('Input Transaksi'!$B$5:$B$5000="BALI WASH"),ROWS($E$5:E691)),"")</f>
        <v/>
      </c>
      <c r="F691" s="5" t="n"/>
    </row>
    <row r="692">
      <c r="A692" s="10">
        <f>IF($E692="","",INDEX('Input Transaksi'!$A:$A,$E692))</f>
        <v/>
      </c>
      <c r="B692" s="5">
        <f>IF($E692="","",INDEX('Input Transaksi'!$D:$D,$E692))</f>
        <v/>
      </c>
      <c r="C692">
        <f>IF($E692="","",INDEX('Input Transaksi'!$E:$E,$E692))</f>
        <v/>
      </c>
      <c r="D692" s="5">
        <f>IF($E692="","",INDEX('Input Transaksi'!$F:$F,$E692))</f>
        <v/>
      </c>
      <c r="E692">
        <f>IFERROR(AGGREGATE(15,6,ROW('Input Transaksi'!$B$5:$B$5000)/('Input Transaksi'!$B$5:$B$5000="BALI WASH"),ROWS($E$5:E692)),"")</f>
        <v/>
      </c>
      <c r="F692" s="5" t="n"/>
    </row>
    <row r="693">
      <c r="A693" s="10">
        <f>IF($E693="","",INDEX('Input Transaksi'!$A:$A,$E693))</f>
        <v/>
      </c>
      <c r="B693" s="5">
        <f>IF($E693="","",INDEX('Input Transaksi'!$D:$D,$E693))</f>
        <v/>
      </c>
      <c r="C693">
        <f>IF($E693="","",INDEX('Input Transaksi'!$E:$E,$E693))</f>
        <v/>
      </c>
      <c r="D693" s="5">
        <f>IF($E693="","",INDEX('Input Transaksi'!$F:$F,$E693))</f>
        <v/>
      </c>
      <c r="E693">
        <f>IFERROR(AGGREGATE(15,6,ROW('Input Transaksi'!$B$5:$B$5000)/('Input Transaksi'!$B$5:$B$5000="BALI WASH"),ROWS($E$5:E693)),"")</f>
        <v/>
      </c>
      <c r="F693" s="5" t="n"/>
    </row>
    <row r="694">
      <c r="A694" s="10">
        <f>IF($E694="","",INDEX('Input Transaksi'!$A:$A,$E694))</f>
        <v/>
      </c>
      <c r="B694" s="5">
        <f>IF($E694="","",INDEX('Input Transaksi'!$D:$D,$E694))</f>
        <v/>
      </c>
      <c r="C694">
        <f>IF($E694="","",INDEX('Input Transaksi'!$E:$E,$E694))</f>
        <v/>
      </c>
      <c r="D694" s="5">
        <f>IF($E694="","",INDEX('Input Transaksi'!$F:$F,$E694))</f>
        <v/>
      </c>
      <c r="E694">
        <f>IFERROR(AGGREGATE(15,6,ROW('Input Transaksi'!$B$5:$B$5000)/('Input Transaksi'!$B$5:$B$5000="BALI WASH"),ROWS($E$5:E694)),"")</f>
        <v/>
      </c>
      <c r="F694" s="5" t="n"/>
    </row>
    <row r="695">
      <c r="A695" s="10">
        <f>IF($E695="","",INDEX('Input Transaksi'!$A:$A,$E695))</f>
        <v/>
      </c>
      <c r="B695" s="5">
        <f>IF($E695="","",INDEX('Input Transaksi'!$D:$D,$E695))</f>
        <v/>
      </c>
      <c r="C695">
        <f>IF($E695="","",INDEX('Input Transaksi'!$E:$E,$E695))</f>
        <v/>
      </c>
      <c r="D695" s="5">
        <f>IF($E695="","",INDEX('Input Transaksi'!$F:$F,$E695))</f>
        <v/>
      </c>
      <c r="E695">
        <f>IFERROR(AGGREGATE(15,6,ROW('Input Transaksi'!$B$5:$B$5000)/('Input Transaksi'!$B$5:$B$5000="BALI WASH"),ROWS($E$5:E695)),"")</f>
        <v/>
      </c>
      <c r="F695" s="5" t="n"/>
    </row>
    <row r="696">
      <c r="A696" s="10">
        <f>IF($E696="","",INDEX('Input Transaksi'!$A:$A,$E696))</f>
        <v/>
      </c>
      <c r="B696" s="5">
        <f>IF($E696="","",INDEX('Input Transaksi'!$D:$D,$E696))</f>
        <v/>
      </c>
      <c r="C696">
        <f>IF($E696="","",INDEX('Input Transaksi'!$E:$E,$E696))</f>
        <v/>
      </c>
      <c r="D696" s="5">
        <f>IF($E696="","",INDEX('Input Transaksi'!$F:$F,$E696))</f>
        <v/>
      </c>
      <c r="E696">
        <f>IFERROR(AGGREGATE(15,6,ROW('Input Transaksi'!$B$5:$B$5000)/('Input Transaksi'!$B$5:$B$5000="BALI WASH"),ROWS($E$5:E696)),"")</f>
        <v/>
      </c>
      <c r="F696" s="5" t="n"/>
    </row>
    <row r="697">
      <c r="A697" s="10">
        <f>IF($E697="","",INDEX('Input Transaksi'!$A:$A,$E697))</f>
        <v/>
      </c>
      <c r="B697" s="5">
        <f>IF($E697="","",INDEX('Input Transaksi'!$D:$D,$E697))</f>
        <v/>
      </c>
      <c r="C697">
        <f>IF($E697="","",INDEX('Input Transaksi'!$E:$E,$E697))</f>
        <v/>
      </c>
      <c r="D697" s="5">
        <f>IF($E697="","",INDEX('Input Transaksi'!$F:$F,$E697))</f>
        <v/>
      </c>
      <c r="E697">
        <f>IFERROR(AGGREGATE(15,6,ROW('Input Transaksi'!$B$5:$B$5000)/('Input Transaksi'!$B$5:$B$5000="BALI WASH"),ROWS($E$5:E697)),"")</f>
        <v/>
      </c>
      <c r="F697" s="5" t="n"/>
    </row>
    <row r="698">
      <c r="A698" s="10">
        <f>IF($E698="","",INDEX('Input Transaksi'!$A:$A,$E698))</f>
        <v/>
      </c>
      <c r="B698" s="5">
        <f>IF($E698="","",INDEX('Input Transaksi'!$D:$D,$E698))</f>
        <v/>
      </c>
      <c r="C698">
        <f>IF($E698="","",INDEX('Input Transaksi'!$E:$E,$E698))</f>
        <v/>
      </c>
      <c r="D698" s="5">
        <f>IF($E698="","",INDEX('Input Transaksi'!$F:$F,$E698))</f>
        <v/>
      </c>
      <c r="E698">
        <f>IFERROR(AGGREGATE(15,6,ROW('Input Transaksi'!$B$5:$B$5000)/('Input Transaksi'!$B$5:$B$5000="BALI WASH"),ROWS($E$5:E698)),"")</f>
        <v/>
      </c>
      <c r="F698" s="5" t="n"/>
    </row>
    <row r="699">
      <c r="A699" s="10">
        <f>IF($E699="","",INDEX('Input Transaksi'!$A:$A,$E699))</f>
        <v/>
      </c>
      <c r="B699" s="5">
        <f>IF($E699="","",INDEX('Input Transaksi'!$D:$D,$E699))</f>
        <v/>
      </c>
      <c r="C699">
        <f>IF($E699="","",INDEX('Input Transaksi'!$E:$E,$E699))</f>
        <v/>
      </c>
      <c r="D699" s="5">
        <f>IF($E699="","",INDEX('Input Transaksi'!$F:$F,$E699))</f>
        <v/>
      </c>
      <c r="E699">
        <f>IFERROR(AGGREGATE(15,6,ROW('Input Transaksi'!$B$5:$B$5000)/('Input Transaksi'!$B$5:$B$5000="BALI WASH"),ROWS($E$5:E699)),"")</f>
        <v/>
      </c>
      <c r="F699" s="5" t="n"/>
    </row>
    <row r="700">
      <c r="A700" s="10">
        <f>IF($E700="","",INDEX('Input Transaksi'!$A:$A,$E700))</f>
        <v/>
      </c>
      <c r="B700" s="5">
        <f>IF($E700="","",INDEX('Input Transaksi'!$D:$D,$E700))</f>
        <v/>
      </c>
      <c r="C700">
        <f>IF($E700="","",INDEX('Input Transaksi'!$E:$E,$E700))</f>
        <v/>
      </c>
      <c r="D700" s="5">
        <f>IF($E700="","",INDEX('Input Transaksi'!$F:$F,$E700))</f>
        <v/>
      </c>
      <c r="E700">
        <f>IFERROR(AGGREGATE(15,6,ROW('Input Transaksi'!$B$5:$B$5000)/('Input Transaksi'!$B$5:$B$5000="BALI WASH"),ROWS($E$5:E700)),"")</f>
        <v/>
      </c>
      <c r="F700" s="5" t="n"/>
    </row>
    <row r="701">
      <c r="A701" s="10">
        <f>IF($E701="","",INDEX('Input Transaksi'!$A:$A,$E701))</f>
        <v/>
      </c>
      <c r="B701" s="5">
        <f>IF($E701="","",INDEX('Input Transaksi'!$D:$D,$E701))</f>
        <v/>
      </c>
      <c r="C701">
        <f>IF($E701="","",INDEX('Input Transaksi'!$E:$E,$E701))</f>
        <v/>
      </c>
      <c r="D701" s="5">
        <f>IF($E701="","",INDEX('Input Transaksi'!$F:$F,$E701))</f>
        <v/>
      </c>
      <c r="E701">
        <f>IFERROR(AGGREGATE(15,6,ROW('Input Transaksi'!$B$5:$B$5000)/('Input Transaksi'!$B$5:$B$5000="BALI WASH"),ROWS($E$5:E701)),"")</f>
        <v/>
      </c>
      <c r="F701" s="5" t="n"/>
    </row>
    <row r="702">
      <c r="A702" s="10">
        <f>IF($E702="","",INDEX('Input Transaksi'!$A:$A,$E702))</f>
        <v/>
      </c>
      <c r="B702" s="5">
        <f>IF($E702="","",INDEX('Input Transaksi'!$D:$D,$E702))</f>
        <v/>
      </c>
      <c r="C702">
        <f>IF($E702="","",INDEX('Input Transaksi'!$E:$E,$E702))</f>
        <v/>
      </c>
      <c r="D702" s="5">
        <f>IF($E702="","",INDEX('Input Transaksi'!$F:$F,$E702))</f>
        <v/>
      </c>
      <c r="E702">
        <f>IFERROR(AGGREGATE(15,6,ROW('Input Transaksi'!$B$5:$B$5000)/('Input Transaksi'!$B$5:$B$5000="BALI WASH"),ROWS($E$5:E702)),"")</f>
        <v/>
      </c>
      <c r="F702" s="5" t="n"/>
    </row>
    <row r="703">
      <c r="A703" s="10">
        <f>IF($E703="","",INDEX('Input Transaksi'!$A:$A,$E703))</f>
        <v/>
      </c>
      <c r="B703" s="5">
        <f>IF($E703="","",INDEX('Input Transaksi'!$D:$D,$E703))</f>
        <v/>
      </c>
      <c r="C703">
        <f>IF($E703="","",INDEX('Input Transaksi'!$E:$E,$E703))</f>
        <v/>
      </c>
      <c r="D703" s="5">
        <f>IF($E703="","",INDEX('Input Transaksi'!$F:$F,$E703))</f>
        <v/>
      </c>
      <c r="E703">
        <f>IFERROR(AGGREGATE(15,6,ROW('Input Transaksi'!$B$5:$B$5000)/('Input Transaksi'!$B$5:$B$5000="BALI WASH"),ROWS($E$5:E703)),"")</f>
        <v/>
      </c>
      <c r="F703" s="5" t="n"/>
    </row>
    <row r="704">
      <c r="A704" s="10">
        <f>IF($E704="","",INDEX('Input Transaksi'!$A:$A,$E704))</f>
        <v/>
      </c>
      <c r="B704" s="5">
        <f>IF($E704="","",INDEX('Input Transaksi'!$D:$D,$E704))</f>
        <v/>
      </c>
      <c r="C704">
        <f>IF($E704="","",INDEX('Input Transaksi'!$E:$E,$E704))</f>
        <v/>
      </c>
      <c r="D704" s="5">
        <f>IF($E704="","",INDEX('Input Transaksi'!$F:$F,$E704))</f>
        <v/>
      </c>
      <c r="E704">
        <f>IFERROR(AGGREGATE(15,6,ROW('Input Transaksi'!$B$5:$B$5000)/('Input Transaksi'!$B$5:$B$5000="BALI WASH"),ROWS($E$5:E704)),"")</f>
        <v/>
      </c>
      <c r="F704" s="5" t="n"/>
    </row>
    <row r="705">
      <c r="A705" s="10">
        <f>IF($E705="","",INDEX('Input Transaksi'!$A:$A,$E705))</f>
        <v/>
      </c>
      <c r="B705" s="5">
        <f>IF($E705="","",INDEX('Input Transaksi'!$D:$D,$E705))</f>
        <v/>
      </c>
      <c r="C705">
        <f>IF($E705="","",INDEX('Input Transaksi'!$E:$E,$E705))</f>
        <v/>
      </c>
      <c r="D705" s="5">
        <f>IF($E705="","",INDEX('Input Transaksi'!$F:$F,$E705))</f>
        <v/>
      </c>
      <c r="E705">
        <f>IFERROR(AGGREGATE(15,6,ROW('Input Transaksi'!$B$5:$B$5000)/('Input Transaksi'!$B$5:$B$5000="BALI WASH"),ROWS($E$5:E705)),"")</f>
        <v/>
      </c>
      <c r="F705" s="5" t="n"/>
    </row>
    <row r="706">
      <c r="A706" s="10">
        <f>IF($E706="","",INDEX('Input Transaksi'!$A:$A,$E706))</f>
        <v/>
      </c>
      <c r="B706" s="5">
        <f>IF($E706="","",INDEX('Input Transaksi'!$D:$D,$E706))</f>
        <v/>
      </c>
      <c r="C706">
        <f>IF($E706="","",INDEX('Input Transaksi'!$E:$E,$E706))</f>
        <v/>
      </c>
      <c r="D706" s="5">
        <f>IF($E706="","",INDEX('Input Transaksi'!$F:$F,$E706))</f>
        <v/>
      </c>
      <c r="E706">
        <f>IFERROR(AGGREGATE(15,6,ROW('Input Transaksi'!$B$5:$B$5000)/('Input Transaksi'!$B$5:$B$5000="BALI WASH"),ROWS($E$5:E706)),"")</f>
        <v/>
      </c>
      <c r="F706" s="5" t="n"/>
    </row>
    <row r="707">
      <c r="A707" s="10">
        <f>IF($E707="","",INDEX('Input Transaksi'!$A:$A,$E707))</f>
        <v/>
      </c>
      <c r="B707" s="5">
        <f>IF($E707="","",INDEX('Input Transaksi'!$D:$D,$E707))</f>
        <v/>
      </c>
      <c r="C707">
        <f>IF($E707="","",INDEX('Input Transaksi'!$E:$E,$E707))</f>
        <v/>
      </c>
      <c r="D707" s="5">
        <f>IF($E707="","",INDEX('Input Transaksi'!$F:$F,$E707))</f>
        <v/>
      </c>
      <c r="E707">
        <f>IFERROR(AGGREGATE(15,6,ROW('Input Transaksi'!$B$5:$B$5000)/('Input Transaksi'!$B$5:$B$5000="BALI WASH"),ROWS($E$5:E707)),"")</f>
        <v/>
      </c>
      <c r="F707" s="5" t="n"/>
    </row>
    <row r="708">
      <c r="A708" s="10">
        <f>IF($E708="","",INDEX('Input Transaksi'!$A:$A,$E708))</f>
        <v/>
      </c>
      <c r="B708" s="5">
        <f>IF($E708="","",INDEX('Input Transaksi'!$D:$D,$E708))</f>
        <v/>
      </c>
      <c r="C708">
        <f>IF($E708="","",INDEX('Input Transaksi'!$E:$E,$E708))</f>
        <v/>
      </c>
      <c r="D708" s="5">
        <f>IF($E708="","",INDEX('Input Transaksi'!$F:$F,$E708))</f>
        <v/>
      </c>
      <c r="E708">
        <f>IFERROR(AGGREGATE(15,6,ROW('Input Transaksi'!$B$5:$B$5000)/('Input Transaksi'!$B$5:$B$5000="BALI WASH"),ROWS($E$5:E708)),"")</f>
        <v/>
      </c>
      <c r="F708" s="5" t="n"/>
    </row>
    <row r="709">
      <c r="A709" s="10">
        <f>IF($E709="","",INDEX('Input Transaksi'!$A:$A,$E709))</f>
        <v/>
      </c>
      <c r="B709" s="5">
        <f>IF($E709="","",INDEX('Input Transaksi'!$D:$D,$E709))</f>
        <v/>
      </c>
      <c r="C709">
        <f>IF($E709="","",INDEX('Input Transaksi'!$E:$E,$E709))</f>
        <v/>
      </c>
      <c r="D709" s="5">
        <f>IF($E709="","",INDEX('Input Transaksi'!$F:$F,$E709))</f>
        <v/>
      </c>
      <c r="E709">
        <f>IFERROR(AGGREGATE(15,6,ROW('Input Transaksi'!$B$5:$B$5000)/('Input Transaksi'!$B$5:$B$5000="BALI WASH"),ROWS($E$5:E709)),"")</f>
        <v/>
      </c>
      <c r="F709" s="5" t="n"/>
    </row>
    <row r="710">
      <c r="A710" s="10">
        <f>IF($E710="","",INDEX('Input Transaksi'!$A:$A,$E710))</f>
        <v/>
      </c>
      <c r="B710" s="5">
        <f>IF($E710="","",INDEX('Input Transaksi'!$D:$D,$E710))</f>
        <v/>
      </c>
      <c r="C710">
        <f>IF($E710="","",INDEX('Input Transaksi'!$E:$E,$E710))</f>
        <v/>
      </c>
      <c r="D710" s="5">
        <f>IF($E710="","",INDEX('Input Transaksi'!$F:$F,$E710))</f>
        <v/>
      </c>
      <c r="E710">
        <f>IFERROR(AGGREGATE(15,6,ROW('Input Transaksi'!$B$5:$B$5000)/('Input Transaksi'!$B$5:$B$5000="BALI WASH"),ROWS($E$5:E710)),"")</f>
        <v/>
      </c>
      <c r="F710" s="5" t="n"/>
    </row>
    <row r="711">
      <c r="A711" s="10">
        <f>IF($E711="","",INDEX('Input Transaksi'!$A:$A,$E711))</f>
        <v/>
      </c>
      <c r="B711" s="5">
        <f>IF($E711="","",INDEX('Input Transaksi'!$D:$D,$E711))</f>
        <v/>
      </c>
      <c r="C711">
        <f>IF($E711="","",INDEX('Input Transaksi'!$E:$E,$E711))</f>
        <v/>
      </c>
      <c r="D711" s="5">
        <f>IF($E711="","",INDEX('Input Transaksi'!$F:$F,$E711))</f>
        <v/>
      </c>
      <c r="E711">
        <f>IFERROR(AGGREGATE(15,6,ROW('Input Transaksi'!$B$5:$B$5000)/('Input Transaksi'!$B$5:$B$5000="BALI WASH"),ROWS($E$5:E711)),"")</f>
        <v/>
      </c>
      <c r="F711" s="5" t="n"/>
    </row>
    <row r="712">
      <c r="A712" s="10">
        <f>IF($E712="","",INDEX('Input Transaksi'!$A:$A,$E712))</f>
        <v/>
      </c>
      <c r="B712" s="5">
        <f>IF($E712="","",INDEX('Input Transaksi'!$D:$D,$E712))</f>
        <v/>
      </c>
      <c r="C712">
        <f>IF($E712="","",INDEX('Input Transaksi'!$E:$E,$E712))</f>
        <v/>
      </c>
      <c r="D712" s="5">
        <f>IF($E712="","",INDEX('Input Transaksi'!$F:$F,$E712))</f>
        <v/>
      </c>
      <c r="E712">
        <f>IFERROR(AGGREGATE(15,6,ROW('Input Transaksi'!$B$5:$B$5000)/('Input Transaksi'!$B$5:$B$5000="BALI WASH"),ROWS($E$5:E712)),"")</f>
        <v/>
      </c>
      <c r="F712" s="5" t="n"/>
    </row>
    <row r="713">
      <c r="A713" s="10">
        <f>IF($E713="","",INDEX('Input Transaksi'!$A:$A,$E713))</f>
        <v/>
      </c>
      <c r="B713" s="5">
        <f>IF($E713="","",INDEX('Input Transaksi'!$D:$D,$E713))</f>
        <v/>
      </c>
      <c r="C713">
        <f>IF($E713="","",INDEX('Input Transaksi'!$E:$E,$E713))</f>
        <v/>
      </c>
      <c r="D713" s="5">
        <f>IF($E713="","",INDEX('Input Transaksi'!$F:$F,$E713))</f>
        <v/>
      </c>
      <c r="E713">
        <f>IFERROR(AGGREGATE(15,6,ROW('Input Transaksi'!$B$5:$B$5000)/('Input Transaksi'!$B$5:$B$5000="BALI WASH"),ROWS($E$5:E713)),"")</f>
        <v/>
      </c>
      <c r="F713" s="5" t="n"/>
    </row>
    <row r="714">
      <c r="A714" s="10">
        <f>IF($E714="","",INDEX('Input Transaksi'!$A:$A,$E714))</f>
        <v/>
      </c>
      <c r="B714" s="5">
        <f>IF($E714="","",INDEX('Input Transaksi'!$D:$D,$E714))</f>
        <v/>
      </c>
      <c r="C714">
        <f>IF($E714="","",INDEX('Input Transaksi'!$E:$E,$E714))</f>
        <v/>
      </c>
      <c r="D714" s="5">
        <f>IF($E714="","",INDEX('Input Transaksi'!$F:$F,$E714))</f>
        <v/>
      </c>
      <c r="E714">
        <f>IFERROR(AGGREGATE(15,6,ROW('Input Transaksi'!$B$5:$B$5000)/('Input Transaksi'!$B$5:$B$5000="BALI WASH"),ROWS($E$5:E714)),"")</f>
        <v/>
      </c>
      <c r="F714" s="5" t="n"/>
    </row>
    <row r="715">
      <c r="A715" s="10">
        <f>IF($E715="","",INDEX('Input Transaksi'!$A:$A,$E715))</f>
        <v/>
      </c>
      <c r="B715" s="5">
        <f>IF($E715="","",INDEX('Input Transaksi'!$D:$D,$E715))</f>
        <v/>
      </c>
      <c r="C715">
        <f>IF($E715="","",INDEX('Input Transaksi'!$E:$E,$E715))</f>
        <v/>
      </c>
      <c r="D715" s="5">
        <f>IF($E715="","",INDEX('Input Transaksi'!$F:$F,$E715))</f>
        <v/>
      </c>
      <c r="E715">
        <f>IFERROR(AGGREGATE(15,6,ROW('Input Transaksi'!$B$5:$B$5000)/('Input Transaksi'!$B$5:$B$5000="BALI WASH"),ROWS($E$5:E715)),"")</f>
        <v/>
      </c>
      <c r="F715" s="5" t="n"/>
    </row>
    <row r="716">
      <c r="A716" s="10">
        <f>IF($E716="","",INDEX('Input Transaksi'!$A:$A,$E716))</f>
        <v/>
      </c>
      <c r="B716" s="5">
        <f>IF($E716="","",INDEX('Input Transaksi'!$D:$D,$E716))</f>
        <v/>
      </c>
      <c r="C716">
        <f>IF($E716="","",INDEX('Input Transaksi'!$E:$E,$E716))</f>
        <v/>
      </c>
      <c r="D716" s="5">
        <f>IF($E716="","",INDEX('Input Transaksi'!$F:$F,$E716))</f>
        <v/>
      </c>
      <c r="E716">
        <f>IFERROR(AGGREGATE(15,6,ROW('Input Transaksi'!$B$5:$B$5000)/('Input Transaksi'!$B$5:$B$5000="BALI WASH"),ROWS($E$5:E716)),"")</f>
        <v/>
      </c>
      <c r="F716" s="5" t="n"/>
    </row>
    <row r="717">
      <c r="A717" s="10">
        <f>IF($E717="","",INDEX('Input Transaksi'!$A:$A,$E717))</f>
        <v/>
      </c>
      <c r="B717" s="5">
        <f>IF($E717="","",INDEX('Input Transaksi'!$D:$D,$E717))</f>
        <v/>
      </c>
      <c r="C717">
        <f>IF($E717="","",INDEX('Input Transaksi'!$E:$E,$E717))</f>
        <v/>
      </c>
      <c r="D717" s="5">
        <f>IF($E717="","",INDEX('Input Transaksi'!$F:$F,$E717))</f>
        <v/>
      </c>
      <c r="E717">
        <f>IFERROR(AGGREGATE(15,6,ROW('Input Transaksi'!$B$5:$B$5000)/('Input Transaksi'!$B$5:$B$5000="BALI WASH"),ROWS($E$5:E717)),"")</f>
        <v/>
      </c>
      <c r="F717" s="5" t="n"/>
    </row>
    <row r="718">
      <c r="A718" s="10">
        <f>IF($E718="","",INDEX('Input Transaksi'!$A:$A,$E718))</f>
        <v/>
      </c>
      <c r="B718" s="5">
        <f>IF($E718="","",INDEX('Input Transaksi'!$D:$D,$E718))</f>
        <v/>
      </c>
      <c r="C718">
        <f>IF($E718="","",INDEX('Input Transaksi'!$E:$E,$E718))</f>
        <v/>
      </c>
      <c r="D718" s="5">
        <f>IF($E718="","",INDEX('Input Transaksi'!$F:$F,$E718))</f>
        <v/>
      </c>
      <c r="E718">
        <f>IFERROR(AGGREGATE(15,6,ROW('Input Transaksi'!$B$5:$B$5000)/('Input Transaksi'!$B$5:$B$5000="BALI WASH"),ROWS($E$5:E718)),"")</f>
        <v/>
      </c>
      <c r="F718" s="5" t="n"/>
    </row>
    <row r="719">
      <c r="A719" s="10">
        <f>IF($E719="","",INDEX('Input Transaksi'!$A:$A,$E719))</f>
        <v/>
      </c>
      <c r="B719" s="5">
        <f>IF($E719="","",INDEX('Input Transaksi'!$D:$D,$E719))</f>
        <v/>
      </c>
      <c r="C719">
        <f>IF($E719="","",INDEX('Input Transaksi'!$E:$E,$E719))</f>
        <v/>
      </c>
      <c r="D719" s="5">
        <f>IF($E719="","",INDEX('Input Transaksi'!$F:$F,$E719))</f>
        <v/>
      </c>
      <c r="E719">
        <f>IFERROR(AGGREGATE(15,6,ROW('Input Transaksi'!$B$5:$B$5000)/('Input Transaksi'!$B$5:$B$5000="BALI WASH"),ROWS($E$5:E719)),"")</f>
        <v/>
      </c>
      <c r="F719" s="5" t="n"/>
    </row>
    <row r="720">
      <c r="A720" s="10">
        <f>IF($E720="","",INDEX('Input Transaksi'!$A:$A,$E720))</f>
        <v/>
      </c>
      <c r="B720" s="5">
        <f>IF($E720="","",INDEX('Input Transaksi'!$D:$D,$E720))</f>
        <v/>
      </c>
      <c r="C720">
        <f>IF($E720="","",INDEX('Input Transaksi'!$E:$E,$E720))</f>
        <v/>
      </c>
      <c r="D720" s="5">
        <f>IF($E720="","",INDEX('Input Transaksi'!$F:$F,$E720))</f>
        <v/>
      </c>
      <c r="E720">
        <f>IFERROR(AGGREGATE(15,6,ROW('Input Transaksi'!$B$5:$B$5000)/('Input Transaksi'!$B$5:$B$5000="BALI WASH"),ROWS($E$5:E720)),"")</f>
        <v/>
      </c>
      <c r="F720" s="5" t="n"/>
    </row>
    <row r="721">
      <c r="A721" s="10">
        <f>IF($E721="","",INDEX('Input Transaksi'!$A:$A,$E721))</f>
        <v/>
      </c>
      <c r="B721" s="5">
        <f>IF($E721="","",INDEX('Input Transaksi'!$D:$D,$E721))</f>
        <v/>
      </c>
      <c r="C721">
        <f>IF($E721="","",INDEX('Input Transaksi'!$E:$E,$E721))</f>
        <v/>
      </c>
      <c r="D721" s="5">
        <f>IF($E721="","",INDEX('Input Transaksi'!$F:$F,$E721))</f>
        <v/>
      </c>
      <c r="E721">
        <f>IFERROR(AGGREGATE(15,6,ROW('Input Transaksi'!$B$5:$B$5000)/('Input Transaksi'!$B$5:$B$5000="BALI WASH"),ROWS($E$5:E721)),"")</f>
        <v/>
      </c>
      <c r="F721" s="5" t="n"/>
    </row>
    <row r="722">
      <c r="A722" s="10">
        <f>IF($E722="","",INDEX('Input Transaksi'!$A:$A,$E722))</f>
        <v/>
      </c>
      <c r="B722" s="5">
        <f>IF($E722="","",INDEX('Input Transaksi'!$D:$D,$E722))</f>
        <v/>
      </c>
      <c r="C722">
        <f>IF($E722="","",INDEX('Input Transaksi'!$E:$E,$E722))</f>
        <v/>
      </c>
      <c r="D722" s="5">
        <f>IF($E722="","",INDEX('Input Transaksi'!$F:$F,$E722))</f>
        <v/>
      </c>
      <c r="E722">
        <f>IFERROR(AGGREGATE(15,6,ROW('Input Transaksi'!$B$5:$B$5000)/('Input Transaksi'!$B$5:$B$5000="BALI WASH"),ROWS($E$5:E722)),"")</f>
        <v/>
      </c>
      <c r="F722" s="5" t="n"/>
    </row>
    <row r="723">
      <c r="A723" s="10">
        <f>IF($E723="","",INDEX('Input Transaksi'!$A:$A,$E723))</f>
        <v/>
      </c>
      <c r="B723" s="5">
        <f>IF($E723="","",INDEX('Input Transaksi'!$D:$D,$E723))</f>
        <v/>
      </c>
      <c r="C723">
        <f>IF($E723="","",INDEX('Input Transaksi'!$E:$E,$E723))</f>
        <v/>
      </c>
      <c r="D723" s="5">
        <f>IF($E723="","",INDEX('Input Transaksi'!$F:$F,$E723))</f>
        <v/>
      </c>
      <c r="E723">
        <f>IFERROR(AGGREGATE(15,6,ROW('Input Transaksi'!$B$5:$B$5000)/('Input Transaksi'!$B$5:$B$5000="BALI WASH"),ROWS($E$5:E723)),"")</f>
        <v/>
      </c>
      <c r="F723" s="5" t="n"/>
    </row>
    <row r="724">
      <c r="A724" s="10">
        <f>IF($E724="","",INDEX('Input Transaksi'!$A:$A,$E724))</f>
        <v/>
      </c>
      <c r="B724" s="5">
        <f>IF($E724="","",INDEX('Input Transaksi'!$D:$D,$E724))</f>
        <v/>
      </c>
      <c r="C724">
        <f>IF($E724="","",INDEX('Input Transaksi'!$E:$E,$E724))</f>
        <v/>
      </c>
      <c r="D724" s="5">
        <f>IF($E724="","",INDEX('Input Transaksi'!$F:$F,$E724))</f>
        <v/>
      </c>
      <c r="E724">
        <f>IFERROR(AGGREGATE(15,6,ROW('Input Transaksi'!$B$5:$B$5000)/('Input Transaksi'!$B$5:$B$5000="BALI WASH"),ROWS($E$5:E724)),"")</f>
        <v/>
      </c>
      <c r="F724" s="5" t="n"/>
    </row>
    <row r="725">
      <c r="A725" s="10">
        <f>IF($E725="","",INDEX('Input Transaksi'!$A:$A,$E725))</f>
        <v/>
      </c>
      <c r="B725" s="5">
        <f>IF($E725="","",INDEX('Input Transaksi'!$D:$D,$E725))</f>
        <v/>
      </c>
      <c r="C725">
        <f>IF($E725="","",INDEX('Input Transaksi'!$E:$E,$E725))</f>
        <v/>
      </c>
      <c r="D725" s="5">
        <f>IF($E725="","",INDEX('Input Transaksi'!$F:$F,$E725))</f>
        <v/>
      </c>
      <c r="E725">
        <f>IFERROR(AGGREGATE(15,6,ROW('Input Transaksi'!$B$5:$B$5000)/('Input Transaksi'!$B$5:$B$5000="BALI WASH"),ROWS($E$5:E725)),"")</f>
        <v/>
      </c>
      <c r="F725" s="5" t="n"/>
    </row>
    <row r="726">
      <c r="A726" s="10">
        <f>IF($E726="","",INDEX('Input Transaksi'!$A:$A,$E726))</f>
        <v/>
      </c>
      <c r="B726" s="5">
        <f>IF($E726="","",INDEX('Input Transaksi'!$D:$D,$E726))</f>
        <v/>
      </c>
      <c r="C726">
        <f>IF($E726="","",INDEX('Input Transaksi'!$E:$E,$E726))</f>
        <v/>
      </c>
      <c r="D726" s="5">
        <f>IF($E726="","",INDEX('Input Transaksi'!$F:$F,$E726))</f>
        <v/>
      </c>
      <c r="E726">
        <f>IFERROR(AGGREGATE(15,6,ROW('Input Transaksi'!$B$5:$B$5000)/('Input Transaksi'!$B$5:$B$5000="BALI WASH"),ROWS($E$5:E726)),"")</f>
        <v/>
      </c>
      <c r="F726" s="5" t="n"/>
    </row>
    <row r="727">
      <c r="A727" s="10">
        <f>IF($E727="","",INDEX('Input Transaksi'!$A:$A,$E727))</f>
        <v/>
      </c>
      <c r="B727" s="5">
        <f>IF($E727="","",INDEX('Input Transaksi'!$D:$D,$E727))</f>
        <v/>
      </c>
      <c r="C727">
        <f>IF($E727="","",INDEX('Input Transaksi'!$E:$E,$E727))</f>
        <v/>
      </c>
      <c r="D727" s="5">
        <f>IF($E727="","",INDEX('Input Transaksi'!$F:$F,$E727))</f>
        <v/>
      </c>
      <c r="E727">
        <f>IFERROR(AGGREGATE(15,6,ROW('Input Transaksi'!$B$5:$B$5000)/('Input Transaksi'!$B$5:$B$5000="BALI WASH"),ROWS($E$5:E727)),"")</f>
        <v/>
      </c>
      <c r="F727" s="5" t="n"/>
    </row>
    <row r="728">
      <c r="A728" s="10">
        <f>IF($E728="","",INDEX('Input Transaksi'!$A:$A,$E728))</f>
        <v/>
      </c>
      <c r="B728" s="5">
        <f>IF($E728="","",INDEX('Input Transaksi'!$D:$D,$E728))</f>
        <v/>
      </c>
      <c r="C728">
        <f>IF($E728="","",INDEX('Input Transaksi'!$E:$E,$E728))</f>
        <v/>
      </c>
      <c r="D728" s="5">
        <f>IF($E728="","",INDEX('Input Transaksi'!$F:$F,$E728))</f>
        <v/>
      </c>
      <c r="E728">
        <f>IFERROR(AGGREGATE(15,6,ROW('Input Transaksi'!$B$5:$B$5000)/('Input Transaksi'!$B$5:$B$5000="BALI WASH"),ROWS($E$5:E728)),"")</f>
        <v/>
      </c>
      <c r="F728" s="5" t="n"/>
    </row>
    <row r="729">
      <c r="A729" s="10">
        <f>IF($E729="","",INDEX('Input Transaksi'!$A:$A,$E729))</f>
        <v/>
      </c>
      <c r="B729" s="5">
        <f>IF($E729="","",INDEX('Input Transaksi'!$D:$D,$E729))</f>
        <v/>
      </c>
      <c r="C729">
        <f>IF($E729="","",INDEX('Input Transaksi'!$E:$E,$E729))</f>
        <v/>
      </c>
      <c r="D729" s="5">
        <f>IF($E729="","",INDEX('Input Transaksi'!$F:$F,$E729))</f>
        <v/>
      </c>
      <c r="E729">
        <f>IFERROR(AGGREGATE(15,6,ROW('Input Transaksi'!$B$5:$B$5000)/('Input Transaksi'!$B$5:$B$5000="BALI WASH"),ROWS($E$5:E729)),"")</f>
        <v/>
      </c>
      <c r="F729" s="5" t="n"/>
    </row>
    <row r="730">
      <c r="A730" s="10">
        <f>IF($E730="","",INDEX('Input Transaksi'!$A:$A,$E730))</f>
        <v/>
      </c>
      <c r="B730" s="5">
        <f>IF($E730="","",INDEX('Input Transaksi'!$D:$D,$E730))</f>
        <v/>
      </c>
      <c r="C730">
        <f>IF($E730="","",INDEX('Input Transaksi'!$E:$E,$E730))</f>
        <v/>
      </c>
      <c r="D730" s="5">
        <f>IF($E730="","",INDEX('Input Transaksi'!$F:$F,$E730))</f>
        <v/>
      </c>
      <c r="E730">
        <f>IFERROR(AGGREGATE(15,6,ROW('Input Transaksi'!$B$5:$B$5000)/('Input Transaksi'!$B$5:$B$5000="BALI WASH"),ROWS($E$5:E730)),"")</f>
        <v/>
      </c>
      <c r="F730" s="5" t="n"/>
    </row>
    <row r="731">
      <c r="A731" s="10">
        <f>IF($E731="","",INDEX('Input Transaksi'!$A:$A,$E731))</f>
        <v/>
      </c>
      <c r="B731" s="5">
        <f>IF($E731="","",INDEX('Input Transaksi'!$D:$D,$E731))</f>
        <v/>
      </c>
      <c r="C731">
        <f>IF($E731="","",INDEX('Input Transaksi'!$E:$E,$E731))</f>
        <v/>
      </c>
      <c r="D731" s="5">
        <f>IF($E731="","",INDEX('Input Transaksi'!$F:$F,$E731))</f>
        <v/>
      </c>
      <c r="E731">
        <f>IFERROR(AGGREGATE(15,6,ROW('Input Transaksi'!$B$5:$B$5000)/('Input Transaksi'!$B$5:$B$5000="BALI WASH"),ROWS($E$5:E731)),"")</f>
        <v/>
      </c>
      <c r="F731" s="5" t="n"/>
    </row>
    <row r="732">
      <c r="A732" s="10">
        <f>IF($E732="","",INDEX('Input Transaksi'!$A:$A,$E732))</f>
        <v/>
      </c>
      <c r="B732" s="5">
        <f>IF($E732="","",INDEX('Input Transaksi'!$D:$D,$E732))</f>
        <v/>
      </c>
      <c r="C732">
        <f>IF($E732="","",INDEX('Input Transaksi'!$E:$E,$E732))</f>
        <v/>
      </c>
      <c r="D732" s="5">
        <f>IF($E732="","",INDEX('Input Transaksi'!$F:$F,$E732))</f>
        <v/>
      </c>
      <c r="E732">
        <f>IFERROR(AGGREGATE(15,6,ROW('Input Transaksi'!$B$5:$B$5000)/('Input Transaksi'!$B$5:$B$5000="BALI WASH"),ROWS($E$5:E732)),"")</f>
        <v/>
      </c>
      <c r="F732" s="5" t="n"/>
    </row>
    <row r="733">
      <c r="A733" s="10">
        <f>IF($E733="","",INDEX('Input Transaksi'!$A:$A,$E733))</f>
        <v/>
      </c>
      <c r="B733" s="5">
        <f>IF($E733="","",INDEX('Input Transaksi'!$D:$D,$E733))</f>
        <v/>
      </c>
      <c r="C733">
        <f>IF($E733="","",INDEX('Input Transaksi'!$E:$E,$E733))</f>
        <v/>
      </c>
      <c r="D733" s="5">
        <f>IF($E733="","",INDEX('Input Transaksi'!$F:$F,$E733))</f>
        <v/>
      </c>
      <c r="E733">
        <f>IFERROR(AGGREGATE(15,6,ROW('Input Transaksi'!$B$5:$B$5000)/('Input Transaksi'!$B$5:$B$5000="BALI WASH"),ROWS($E$5:E733)),"")</f>
        <v/>
      </c>
      <c r="F733" s="5" t="n"/>
    </row>
    <row r="734">
      <c r="A734" s="10">
        <f>IF($E734="","",INDEX('Input Transaksi'!$A:$A,$E734))</f>
        <v/>
      </c>
      <c r="B734" s="5">
        <f>IF($E734="","",INDEX('Input Transaksi'!$D:$D,$E734))</f>
        <v/>
      </c>
      <c r="C734">
        <f>IF($E734="","",INDEX('Input Transaksi'!$E:$E,$E734))</f>
        <v/>
      </c>
      <c r="D734" s="5">
        <f>IF($E734="","",INDEX('Input Transaksi'!$F:$F,$E734))</f>
        <v/>
      </c>
      <c r="E734">
        <f>IFERROR(AGGREGATE(15,6,ROW('Input Transaksi'!$B$5:$B$5000)/('Input Transaksi'!$B$5:$B$5000="BALI WASH"),ROWS($E$5:E734)),"")</f>
        <v/>
      </c>
      <c r="F734" s="5" t="n"/>
    </row>
    <row r="735">
      <c r="A735" s="10">
        <f>IF($E735="","",INDEX('Input Transaksi'!$A:$A,$E735))</f>
        <v/>
      </c>
      <c r="B735" s="5">
        <f>IF($E735="","",INDEX('Input Transaksi'!$D:$D,$E735))</f>
        <v/>
      </c>
      <c r="C735">
        <f>IF($E735="","",INDEX('Input Transaksi'!$E:$E,$E735))</f>
        <v/>
      </c>
      <c r="D735" s="5">
        <f>IF($E735="","",INDEX('Input Transaksi'!$F:$F,$E735))</f>
        <v/>
      </c>
      <c r="E735">
        <f>IFERROR(AGGREGATE(15,6,ROW('Input Transaksi'!$B$5:$B$5000)/('Input Transaksi'!$B$5:$B$5000="BALI WASH"),ROWS($E$5:E735)),"")</f>
        <v/>
      </c>
      <c r="F735" s="5" t="n"/>
    </row>
    <row r="736">
      <c r="A736" s="10">
        <f>IF($E736="","",INDEX('Input Transaksi'!$A:$A,$E736))</f>
        <v/>
      </c>
      <c r="B736" s="5">
        <f>IF($E736="","",INDEX('Input Transaksi'!$D:$D,$E736))</f>
        <v/>
      </c>
      <c r="C736">
        <f>IF($E736="","",INDEX('Input Transaksi'!$E:$E,$E736))</f>
        <v/>
      </c>
      <c r="D736" s="5">
        <f>IF($E736="","",INDEX('Input Transaksi'!$F:$F,$E736))</f>
        <v/>
      </c>
      <c r="E736">
        <f>IFERROR(AGGREGATE(15,6,ROW('Input Transaksi'!$B$5:$B$5000)/('Input Transaksi'!$B$5:$B$5000="BALI WASH"),ROWS($E$5:E736)),"")</f>
        <v/>
      </c>
      <c r="F736" s="5" t="n"/>
    </row>
    <row r="737">
      <c r="A737" s="10">
        <f>IF($E737="","",INDEX('Input Transaksi'!$A:$A,$E737))</f>
        <v/>
      </c>
      <c r="B737" s="5">
        <f>IF($E737="","",INDEX('Input Transaksi'!$D:$D,$E737))</f>
        <v/>
      </c>
      <c r="C737">
        <f>IF($E737="","",INDEX('Input Transaksi'!$E:$E,$E737))</f>
        <v/>
      </c>
      <c r="D737" s="5">
        <f>IF($E737="","",INDEX('Input Transaksi'!$F:$F,$E737))</f>
        <v/>
      </c>
      <c r="E737">
        <f>IFERROR(AGGREGATE(15,6,ROW('Input Transaksi'!$B$5:$B$5000)/('Input Transaksi'!$B$5:$B$5000="BALI WASH"),ROWS($E$5:E737)),"")</f>
        <v/>
      </c>
      <c r="F737" s="5" t="n"/>
    </row>
    <row r="738">
      <c r="A738" s="10">
        <f>IF($E738="","",INDEX('Input Transaksi'!$A:$A,$E738))</f>
        <v/>
      </c>
      <c r="B738" s="5">
        <f>IF($E738="","",INDEX('Input Transaksi'!$D:$D,$E738))</f>
        <v/>
      </c>
      <c r="C738">
        <f>IF($E738="","",INDEX('Input Transaksi'!$E:$E,$E738))</f>
        <v/>
      </c>
      <c r="D738" s="5">
        <f>IF($E738="","",INDEX('Input Transaksi'!$F:$F,$E738))</f>
        <v/>
      </c>
      <c r="E738">
        <f>IFERROR(AGGREGATE(15,6,ROW('Input Transaksi'!$B$5:$B$5000)/('Input Transaksi'!$B$5:$B$5000="BALI WASH"),ROWS($E$5:E738)),"")</f>
        <v/>
      </c>
      <c r="F738" s="5" t="n"/>
    </row>
    <row r="739">
      <c r="A739" s="10">
        <f>IF($E739="","",INDEX('Input Transaksi'!$A:$A,$E739))</f>
        <v/>
      </c>
      <c r="B739" s="5">
        <f>IF($E739="","",INDEX('Input Transaksi'!$D:$D,$E739))</f>
        <v/>
      </c>
      <c r="C739">
        <f>IF($E739="","",INDEX('Input Transaksi'!$E:$E,$E739))</f>
        <v/>
      </c>
      <c r="D739" s="5">
        <f>IF($E739="","",INDEX('Input Transaksi'!$F:$F,$E739))</f>
        <v/>
      </c>
      <c r="E739">
        <f>IFERROR(AGGREGATE(15,6,ROW('Input Transaksi'!$B$5:$B$5000)/('Input Transaksi'!$B$5:$B$5000="BALI WASH"),ROWS($E$5:E739)),"")</f>
        <v/>
      </c>
      <c r="F739" s="5" t="n"/>
    </row>
    <row r="740">
      <c r="A740" s="10">
        <f>IF($E740="","",INDEX('Input Transaksi'!$A:$A,$E740))</f>
        <v/>
      </c>
      <c r="B740" s="5">
        <f>IF($E740="","",INDEX('Input Transaksi'!$D:$D,$E740))</f>
        <v/>
      </c>
      <c r="C740">
        <f>IF($E740="","",INDEX('Input Transaksi'!$E:$E,$E740))</f>
        <v/>
      </c>
      <c r="D740" s="5">
        <f>IF($E740="","",INDEX('Input Transaksi'!$F:$F,$E740))</f>
        <v/>
      </c>
      <c r="E740">
        <f>IFERROR(AGGREGATE(15,6,ROW('Input Transaksi'!$B$5:$B$5000)/('Input Transaksi'!$B$5:$B$5000="BALI WASH"),ROWS($E$5:E740)),"")</f>
        <v/>
      </c>
      <c r="F740" s="5" t="n"/>
    </row>
    <row r="741">
      <c r="A741" s="10">
        <f>IF($E741="","",INDEX('Input Transaksi'!$A:$A,$E741))</f>
        <v/>
      </c>
      <c r="B741" s="5">
        <f>IF($E741="","",INDEX('Input Transaksi'!$D:$D,$E741))</f>
        <v/>
      </c>
      <c r="C741">
        <f>IF($E741="","",INDEX('Input Transaksi'!$E:$E,$E741))</f>
        <v/>
      </c>
      <c r="D741" s="5">
        <f>IF($E741="","",INDEX('Input Transaksi'!$F:$F,$E741))</f>
        <v/>
      </c>
      <c r="E741">
        <f>IFERROR(AGGREGATE(15,6,ROW('Input Transaksi'!$B$5:$B$5000)/('Input Transaksi'!$B$5:$B$5000="BALI WASH"),ROWS($E$5:E741)),"")</f>
        <v/>
      </c>
      <c r="F741" s="5" t="n"/>
    </row>
    <row r="742">
      <c r="A742" s="10">
        <f>IF($E742="","",INDEX('Input Transaksi'!$A:$A,$E742))</f>
        <v/>
      </c>
      <c r="B742" s="5">
        <f>IF($E742="","",INDEX('Input Transaksi'!$D:$D,$E742))</f>
        <v/>
      </c>
      <c r="C742">
        <f>IF($E742="","",INDEX('Input Transaksi'!$E:$E,$E742))</f>
        <v/>
      </c>
      <c r="D742" s="5">
        <f>IF($E742="","",INDEX('Input Transaksi'!$F:$F,$E742))</f>
        <v/>
      </c>
      <c r="E742">
        <f>IFERROR(AGGREGATE(15,6,ROW('Input Transaksi'!$B$5:$B$5000)/('Input Transaksi'!$B$5:$B$5000="BALI WASH"),ROWS($E$5:E742)),"")</f>
        <v/>
      </c>
      <c r="F742" s="5" t="n"/>
    </row>
    <row r="743">
      <c r="A743" s="10">
        <f>IF($E743="","",INDEX('Input Transaksi'!$A:$A,$E743))</f>
        <v/>
      </c>
      <c r="B743" s="5">
        <f>IF($E743="","",INDEX('Input Transaksi'!$D:$D,$E743))</f>
        <v/>
      </c>
      <c r="C743">
        <f>IF($E743="","",INDEX('Input Transaksi'!$E:$E,$E743))</f>
        <v/>
      </c>
      <c r="D743" s="5">
        <f>IF($E743="","",INDEX('Input Transaksi'!$F:$F,$E743))</f>
        <v/>
      </c>
      <c r="E743">
        <f>IFERROR(AGGREGATE(15,6,ROW('Input Transaksi'!$B$5:$B$5000)/('Input Transaksi'!$B$5:$B$5000="BALI WASH"),ROWS($E$5:E743)),"")</f>
        <v/>
      </c>
      <c r="F743" s="5" t="n"/>
    </row>
    <row r="744">
      <c r="A744" s="10">
        <f>IF($E744="","",INDEX('Input Transaksi'!$A:$A,$E744))</f>
        <v/>
      </c>
      <c r="B744" s="5">
        <f>IF($E744="","",INDEX('Input Transaksi'!$D:$D,$E744))</f>
        <v/>
      </c>
      <c r="C744">
        <f>IF($E744="","",INDEX('Input Transaksi'!$E:$E,$E744))</f>
        <v/>
      </c>
      <c r="D744" s="5">
        <f>IF($E744="","",INDEX('Input Transaksi'!$F:$F,$E744))</f>
        <v/>
      </c>
      <c r="E744">
        <f>IFERROR(AGGREGATE(15,6,ROW('Input Transaksi'!$B$5:$B$5000)/('Input Transaksi'!$B$5:$B$5000="BALI WASH"),ROWS($E$5:E744)),"")</f>
        <v/>
      </c>
      <c r="F744" s="5" t="n"/>
    </row>
    <row r="745">
      <c r="A745" s="10">
        <f>IF($E745="","",INDEX('Input Transaksi'!$A:$A,$E745))</f>
        <v/>
      </c>
      <c r="B745" s="5">
        <f>IF($E745="","",INDEX('Input Transaksi'!$D:$D,$E745))</f>
        <v/>
      </c>
      <c r="C745">
        <f>IF($E745="","",INDEX('Input Transaksi'!$E:$E,$E745))</f>
        <v/>
      </c>
      <c r="D745" s="5">
        <f>IF($E745="","",INDEX('Input Transaksi'!$F:$F,$E745))</f>
        <v/>
      </c>
      <c r="E745">
        <f>IFERROR(AGGREGATE(15,6,ROW('Input Transaksi'!$B$5:$B$5000)/('Input Transaksi'!$B$5:$B$5000="BALI WASH"),ROWS($E$5:E745)),"")</f>
        <v/>
      </c>
      <c r="F745" s="5" t="n"/>
    </row>
    <row r="746">
      <c r="A746" s="10">
        <f>IF($E746="","",INDEX('Input Transaksi'!$A:$A,$E746))</f>
        <v/>
      </c>
      <c r="B746" s="5">
        <f>IF($E746="","",INDEX('Input Transaksi'!$D:$D,$E746))</f>
        <v/>
      </c>
      <c r="C746">
        <f>IF($E746="","",INDEX('Input Transaksi'!$E:$E,$E746))</f>
        <v/>
      </c>
      <c r="D746" s="5">
        <f>IF($E746="","",INDEX('Input Transaksi'!$F:$F,$E746))</f>
        <v/>
      </c>
      <c r="E746">
        <f>IFERROR(AGGREGATE(15,6,ROW('Input Transaksi'!$B$5:$B$5000)/('Input Transaksi'!$B$5:$B$5000="BALI WASH"),ROWS($E$5:E746)),"")</f>
        <v/>
      </c>
      <c r="F746" s="5" t="n"/>
    </row>
    <row r="747">
      <c r="A747" s="10">
        <f>IF($E747="","",INDEX('Input Transaksi'!$A:$A,$E747))</f>
        <v/>
      </c>
      <c r="B747" s="5">
        <f>IF($E747="","",INDEX('Input Transaksi'!$D:$D,$E747))</f>
        <v/>
      </c>
      <c r="C747">
        <f>IF($E747="","",INDEX('Input Transaksi'!$E:$E,$E747))</f>
        <v/>
      </c>
      <c r="D747" s="5">
        <f>IF($E747="","",INDEX('Input Transaksi'!$F:$F,$E747))</f>
        <v/>
      </c>
      <c r="E747">
        <f>IFERROR(AGGREGATE(15,6,ROW('Input Transaksi'!$B$5:$B$5000)/('Input Transaksi'!$B$5:$B$5000="BALI WASH"),ROWS($E$5:E747)),"")</f>
        <v/>
      </c>
      <c r="F747" s="5" t="n"/>
    </row>
    <row r="748">
      <c r="A748" s="10">
        <f>IF($E748="","",INDEX('Input Transaksi'!$A:$A,$E748))</f>
        <v/>
      </c>
      <c r="B748" s="5">
        <f>IF($E748="","",INDEX('Input Transaksi'!$D:$D,$E748))</f>
        <v/>
      </c>
      <c r="C748">
        <f>IF($E748="","",INDEX('Input Transaksi'!$E:$E,$E748))</f>
        <v/>
      </c>
      <c r="D748" s="5">
        <f>IF($E748="","",INDEX('Input Transaksi'!$F:$F,$E748))</f>
        <v/>
      </c>
      <c r="E748">
        <f>IFERROR(AGGREGATE(15,6,ROW('Input Transaksi'!$B$5:$B$5000)/('Input Transaksi'!$B$5:$B$5000="BALI WASH"),ROWS($E$5:E748)),"")</f>
        <v/>
      </c>
      <c r="F748" s="5" t="n"/>
    </row>
    <row r="749">
      <c r="A749" s="10">
        <f>IF($E749="","",INDEX('Input Transaksi'!$A:$A,$E749))</f>
        <v/>
      </c>
      <c r="B749" s="5">
        <f>IF($E749="","",INDEX('Input Transaksi'!$D:$D,$E749))</f>
        <v/>
      </c>
      <c r="C749">
        <f>IF($E749="","",INDEX('Input Transaksi'!$E:$E,$E749))</f>
        <v/>
      </c>
      <c r="D749" s="5">
        <f>IF($E749="","",INDEX('Input Transaksi'!$F:$F,$E749))</f>
        <v/>
      </c>
      <c r="E749">
        <f>IFERROR(AGGREGATE(15,6,ROW('Input Transaksi'!$B$5:$B$5000)/('Input Transaksi'!$B$5:$B$5000="BALI WASH"),ROWS($E$5:E749)),"")</f>
        <v/>
      </c>
      <c r="F749" s="5" t="n"/>
    </row>
    <row r="750">
      <c r="A750" s="10">
        <f>IF($E750="","",INDEX('Input Transaksi'!$A:$A,$E750))</f>
        <v/>
      </c>
      <c r="B750" s="5">
        <f>IF($E750="","",INDEX('Input Transaksi'!$D:$D,$E750))</f>
        <v/>
      </c>
      <c r="C750">
        <f>IF($E750="","",INDEX('Input Transaksi'!$E:$E,$E750))</f>
        <v/>
      </c>
      <c r="D750" s="5">
        <f>IF($E750="","",INDEX('Input Transaksi'!$F:$F,$E750))</f>
        <v/>
      </c>
      <c r="E750">
        <f>IFERROR(AGGREGATE(15,6,ROW('Input Transaksi'!$B$5:$B$5000)/('Input Transaksi'!$B$5:$B$5000="BALI WASH"),ROWS($E$5:E750)),"")</f>
        <v/>
      </c>
      <c r="F750" s="5" t="n"/>
    </row>
    <row r="751">
      <c r="A751" s="10">
        <f>IF($E751="","",INDEX('Input Transaksi'!$A:$A,$E751))</f>
        <v/>
      </c>
      <c r="B751" s="5">
        <f>IF($E751="","",INDEX('Input Transaksi'!$D:$D,$E751))</f>
        <v/>
      </c>
      <c r="C751">
        <f>IF($E751="","",INDEX('Input Transaksi'!$E:$E,$E751))</f>
        <v/>
      </c>
      <c r="D751" s="5">
        <f>IF($E751="","",INDEX('Input Transaksi'!$F:$F,$E751))</f>
        <v/>
      </c>
      <c r="E751">
        <f>IFERROR(AGGREGATE(15,6,ROW('Input Transaksi'!$B$5:$B$5000)/('Input Transaksi'!$B$5:$B$5000="BALI WASH"),ROWS($E$5:E751)),"")</f>
        <v/>
      </c>
      <c r="F751" s="5" t="n"/>
    </row>
    <row r="752">
      <c r="A752" s="10">
        <f>IF($E752="","",INDEX('Input Transaksi'!$A:$A,$E752))</f>
        <v/>
      </c>
      <c r="B752" s="5">
        <f>IF($E752="","",INDEX('Input Transaksi'!$D:$D,$E752))</f>
        <v/>
      </c>
      <c r="C752">
        <f>IF($E752="","",INDEX('Input Transaksi'!$E:$E,$E752))</f>
        <v/>
      </c>
      <c r="D752" s="5">
        <f>IF($E752="","",INDEX('Input Transaksi'!$F:$F,$E752))</f>
        <v/>
      </c>
      <c r="E752">
        <f>IFERROR(AGGREGATE(15,6,ROW('Input Transaksi'!$B$5:$B$5000)/('Input Transaksi'!$B$5:$B$5000="BALI WASH"),ROWS($E$5:E752)),"")</f>
        <v/>
      </c>
      <c r="F752" s="5" t="n"/>
    </row>
    <row r="753">
      <c r="A753" s="10">
        <f>IF($E753="","",INDEX('Input Transaksi'!$A:$A,$E753))</f>
        <v/>
      </c>
      <c r="B753" s="5">
        <f>IF($E753="","",INDEX('Input Transaksi'!$D:$D,$E753))</f>
        <v/>
      </c>
      <c r="C753">
        <f>IF($E753="","",INDEX('Input Transaksi'!$E:$E,$E753))</f>
        <v/>
      </c>
      <c r="D753" s="5">
        <f>IF($E753="","",INDEX('Input Transaksi'!$F:$F,$E753))</f>
        <v/>
      </c>
      <c r="E753">
        <f>IFERROR(AGGREGATE(15,6,ROW('Input Transaksi'!$B$5:$B$5000)/('Input Transaksi'!$B$5:$B$5000="BALI WASH"),ROWS($E$5:E753)),"")</f>
        <v/>
      </c>
      <c r="F753" s="5" t="n"/>
    </row>
    <row r="754">
      <c r="A754" s="10">
        <f>IF($E754="","",INDEX('Input Transaksi'!$A:$A,$E754))</f>
        <v/>
      </c>
      <c r="B754" s="5">
        <f>IF($E754="","",INDEX('Input Transaksi'!$D:$D,$E754))</f>
        <v/>
      </c>
      <c r="C754">
        <f>IF($E754="","",INDEX('Input Transaksi'!$E:$E,$E754))</f>
        <v/>
      </c>
      <c r="D754" s="5">
        <f>IF($E754="","",INDEX('Input Transaksi'!$F:$F,$E754))</f>
        <v/>
      </c>
      <c r="E754">
        <f>IFERROR(AGGREGATE(15,6,ROW('Input Transaksi'!$B$5:$B$5000)/('Input Transaksi'!$B$5:$B$5000="BALI WASH"),ROWS($E$5:E754)),"")</f>
        <v/>
      </c>
      <c r="F754" s="5" t="n"/>
    </row>
    <row r="755">
      <c r="A755" s="10">
        <f>IF($E755="","",INDEX('Input Transaksi'!$A:$A,$E755))</f>
        <v/>
      </c>
      <c r="B755" s="5">
        <f>IF($E755="","",INDEX('Input Transaksi'!$D:$D,$E755))</f>
        <v/>
      </c>
      <c r="C755">
        <f>IF($E755="","",INDEX('Input Transaksi'!$E:$E,$E755))</f>
        <v/>
      </c>
      <c r="D755" s="5">
        <f>IF($E755="","",INDEX('Input Transaksi'!$F:$F,$E755))</f>
        <v/>
      </c>
      <c r="E755">
        <f>IFERROR(AGGREGATE(15,6,ROW('Input Transaksi'!$B$5:$B$5000)/('Input Transaksi'!$B$5:$B$5000="BALI WASH"),ROWS($E$5:E755)),"")</f>
        <v/>
      </c>
      <c r="F755" s="5" t="n"/>
    </row>
    <row r="756">
      <c r="A756" s="10">
        <f>IF($E756="","",INDEX('Input Transaksi'!$A:$A,$E756))</f>
        <v/>
      </c>
      <c r="B756" s="5">
        <f>IF($E756="","",INDEX('Input Transaksi'!$D:$D,$E756))</f>
        <v/>
      </c>
      <c r="C756">
        <f>IF($E756="","",INDEX('Input Transaksi'!$E:$E,$E756))</f>
        <v/>
      </c>
      <c r="D756" s="5">
        <f>IF($E756="","",INDEX('Input Transaksi'!$F:$F,$E756))</f>
        <v/>
      </c>
      <c r="E756">
        <f>IFERROR(AGGREGATE(15,6,ROW('Input Transaksi'!$B$5:$B$5000)/('Input Transaksi'!$B$5:$B$5000="BALI WASH"),ROWS($E$5:E756)),"")</f>
        <v/>
      </c>
      <c r="F756" s="5" t="n"/>
    </row>
    <row r="757">
      <c r="A757" s="10">
        <f>IF($E757="","",INDEX('Input Transaksi'!$A:$A,$E757))</f>
        <v/>
      </c>
      <c r="B757" s="5">
        <f>IF($E757="","",INDEX('Input Transaksi'!$D:$D,$E757))</f>
        <v/>
      </c>
      <c r="C757">
        <f>IF($E757="","",INDEX('Input Transaksi'!$E:$E,$E757))</f>
        <v/>
      </c>
      <c r="D757" s="5">
        <f>IF($E757="","",INDEX('Input Transaksi'!$F:$F,$E757))</f>
        <v/>
      </c>
      <c r="E757">
        <f>IFERROR(AGGREGATE(15,6,ROW('Input Transaksi'!$B$5:$B$5000)/('Input Transaksi'!$B$5:$B$5000="BALI WASH"),ROWS($E$5:E757)),"")</f>
        <v/>
      </c>
      <c r="F757" s="5" t="n"/>
    </row>
    <row r="758">
      <c r="A758" s="10">
        <f>IF($E758="","",INDEX('Input Transaksi'!$A:$A,$E758))</f>
        <v/>
      </c>
      <c r="B758" s="5">
        <f>IF($E758="","",INDEX('Input Transaksi'!$D:$D,$E758))</f>
        <v/>
      </c>
      <c r="C758">
        <f>IF($E758="","",INDEX('Input Transaksi'!$E:$E,$E758))</f>
        <v/>
      </c>
      <c r="D758" s="5">
        <f>IF($E758="","",INDEX('Input Transaksi'!$F:$F,$E758))</f>
        <v/>
      </c>
      <c r="E758">
        <f>IFERROR(AGGREGATE(15,6,ROW('Input Transaksi'!$B$5:$B$5000)/('Input Transaksi'!$B$5:$B$5000="BALI WASH"),ROWS($E$5:E758)),"")</f>
        <v/>
      </c>
      <c r="F758" s="5" t="n"/>
    </row>
    <row r="759">
      <c r="A759" s="10">
        <f>IF($E759="","",INDEX('Input Transaksi'!$A:$A,$E759))</f>
        <v/>
      </c>
      <c r="B759" s="5">
        <f>IF($E759="","",INDEX('Input Transaksi'!$D:$D,$E759))</f>
        <v/>
      </c>
      <c r="C759">
        <f>IF($E759="","",INDEX('Input Transaksi'!$E:$E,$E759))</f>
        <v/>
      </c>
      <c r="D759" s="5">
        <f>IF($E759="","",INDEX('Input Transaksi'!$F:$F,$E759))</f>
        <v/>
      </c>
      <c r="E759">
        <f>IFERROR(AGGREGATE(15,6,ROW('Input Transaksi'!$B$5:$B$5000)/('Input Transaksi'!$B$5:$B$5000="BALI WASH"),ROWS($E$5:E759)),"")</f>
        <v/>
      </c>
      <c r="F759" s="5" t="n"/>
    </row>
    <row r="760">
      <c r="A760" s="10">
        <f>IF($E760="","",INDEX('Input Transaksi'!$A:$A,$E760))</f>
        <v/>
      </c>
      <c r="B760" s="5">
        <f>IF($E760="","",INDEX('Input Transaksi'!$D:$D,$E760))</f>
        <v/>
      </c>
      <c r="C760">
        <f>IF($E760="","",INDEX('Input Transaksi'!$E:$E,$E760))</f>
        <v/>
      </c>
      <c r="D760" s="5">
        <f>IF($E760="","",INDEX('Input Transaksi'!$F:$F,$E760))</f>
        <v/>
      </c>
      <c r="E760">
        <f>IFERROR(AGGREGATE(15,6,ROW('Input Transaksi'!$B$5:$B$5000)/('Input Transaksi'!$B$5:$B$5000="BALI WASH"),ROWS($E$5:E760)),"")</f>
        <v/>
      </c>
      <c r="F760" s="5" t="n"/>
    </row>
    <row r="761">
      <c r="A761" s="10">
        <f>IF($E761="","",INDEX('Input Transaksi'!$A:$A,$E761))</f>
        <v/>
      </c>
      <c r="B761" s="5">
        <f>IF($E761="","",INDEX('Input Transaksi'!$D:$D,$E761))</f>
        <v/>
      </c>
      <c r="C761">
        <f>IF($E761="","",INDEX('Input Transaksi'!$E:$E,$E761))</f>
        <v/>
      </c>
      <c r="D761" s="5">
        <f>IF($E761="","",INDEX('Input Transaksi'!$F:$F,$E761))</f>
        <v/>
      </c>
      <c r="E761">
        <f>IFERROR(AGGREGATE(15,6,ROW('Input Transaksi'!$B$5:$B$5000)/('Input Transaksi'!$B$5:$B$5000="BALI WASH"),ROWS($E$5:E761)),"")</f>
        <v/>
      </c>
      <c r="F761" s="5" t="n"/>
    </row>
    <row r="762">
      <c r="A762" s="10">
        <f>IF($E762="","",INDEX('Input Transaksi'!$A:$A,$E762))</f>
        <v/>
      </c>
      <c r="B762" s="5">
        <f>IF($E762="","",INDEX('Input Transaksi'!$D:$D,$E762))</f>
        <v/>
      </c>
      <c r="C762">
        <f>IF($E762="","",INDEX('Input Transaksi'!$E:$E,$E762))</f>
        <v/>
      </c>
      <c r="D762" s="5">
        <f>IF($E762="","",INDEX('Input Transaksi'!$F:$F,$E762))</f>
        <v/>
      </c>
      <c r="E762">
        <f>IFERROR(AGGREGATE(15,6,ROW('Input Transaksi'!$B$5:$B$5000)/('Input Transaksi'!$B$5:$B$5000="BALI WASH"),ROWS($E$5:E762)),"")</f>
        <v/>
      </c>
      <c r="F762" s="5" t="n"/>
    </row>
    <row r="763">
      <c r="A763" s="10">
        <f>IF($E763="","",INDEX('Input Transaksi'!$A:$A,$E763))</f>
        <v/>
      </c>
      <c r="B763" s="5">
        <f>IF($E763="","",INDEX('Input Transaksi'!$D:$D,$E763))</f>
        <v/>
      </c>
      <c r="C763">
        <f>IF($E763="","",INDEX('Input Transaksi'!$E:$E,$E763))</f>
        <v/>
      </c>
      <c r="D763" s="5">
        <f>IF($E763="","",INDEX('Input Transaksi'!$F:$F,$E763))</f>
        <v/>
      </c>
      <c r="E763">
        <f>IFERROR(AGGREGATE(15,6,ROW('Input Transaksi'!$B$5:$B$5000)/('Input Transaksi'!$B$5:$B$5000="BALI WASH"),ROWS($E$5:E763)),"")</f>
        <v/>
      </c>
      <c r="F763" s="5" t="n"/>
    </row>
    <row r="764">
      <c r="A764" s="10">
        <f>IF($E764="","",INDEX('Input Transaksi'!$A:$A,$E764))</f>
        <v/>
      </c>
      <c r="B764" s="5">
        <f>IF($E764="","",INDEX('Input Transaksi'!$D:$D,$E764))</f>
        <v/>
      </c>
      <c r="C764">
        <f>IF($E764="","",INDEX('Input Transaksi'!$E:$E,$E764))</f>
        <v/>
      </c>
      <c r="D764" s="5">
        <f>IF($E764="","",INDEX('Input Transaksi'!$F:$F,$E764))</f>
        <v/>
      </c>
      <c r="E764">
        <f>IFERROR(AGGREGATE(15,6,ROW('Input Transaksi'!$B$5:$B$5000)/('Input Transaksi'!$B$5:$B$5000="BALI WASH"),ROWS($E$5:E764)),"")</f>
        <v/>
      </c>
      <c r="F764" s="5" t="n"/>
    </row>
    <row r="765">
      <c r="A765" s="10">
        <f>IF($E765="","",INDEX('Input Transaksi'!$A:$A,$E765))</f>
        <v/>
      </c>
      <c r="B765" s="5">
        <f>IF($E765="","",INDEX('Input Transaksi'!$D:$D,$E765))</f>
        <v/>
      </c>
      <c r="C765">
        <f>IF($E765="","",INDEX('Input Transaksi'!$E:$E,$E765))</f>
        <v/>
      </c>
      <c r="D765" s="5">
        <f>IF($E765="","",INDEX('Input Transaksi'!$F:$F,$E765))</f>
        <v/>
      </c>
      <c r="E765">
        <f>IFERROR(AGGREGATE(15,6,ROW('Input Transaksi'!$B$5:$B$5000)/('Input Transaksi'!$B$5:$B$5000="BALI WASH"),ROWS($E$5:E765)),"")</f>
        <v/>
      </c>
      <c r="F765" s="5" t="n"/>
    </row>
    <row r="766">
      <c r="A766" s="10">
        <f>IF($E766="","",INDEX('Input Transaksi'!$A:$A,$E766))</f>
        <v/>
      </c>
      <c r="B766" s="5">
        <f>IF($E766="","",INDEX('Input Transaksi'!$D:$D,$E766))</f>
        <v/>
      </c>
      <c r="C766">
        <f>IF($E766="","",INDEX('Input Transaksi'!$E:$E,$E766))</f>
        <v/>
      </c>
      <c r="D766" s="5">
        <f>IF($E766="","",INDEX('Input Transaksi'!$F:$F,$E766))</f>
        <v/>
      </c>
      <c r="E766">
        <f>IFERROR(AGGREGATE(15,6,ROW('Input Transaksi'!$B$5:$B$5000)/('Input Transaksi'!$B$5:$B$5000="BALI WASH"),ROWS($E$5:E766)),"")</f>
        <v/>
      </c>
      <c r="F766" s="5" t="n"/>
    </row>
    <row r="767">
      <c r="A767" s="10">
        <f>IF($E767="","",INDEX('Input Transaksi'!$A:$A,$E767))</f>
        <v/>
      </c>
      <c r="B767" s="5">
        <f>IF($E767="","",INDEX('Input Transaksi'!$D:$D,$E767))</f>
        <v/>
      </c>
      <c r="C767">
        <f>IF($E767="","",INDEX('Input Transaksi'!$E:$E,$E767))</f>
        <v/>
      </c>
      <c r="D767" s="5">
        <f>IF($E767="","",INDEX('Input Transaksi'!$F:$F,$E767))</f>
        <v/>
      </c>
      <c r="E767">
        <f>IFERROR(AGGREGATE(15,6,ROW('Input Transaksi'!$B$5:$B$5000)/('Input Transaksi'!$B$5:$B$5000="BALI WASH"),ROWS($E$5:E767)),"")</f>
        <v/>
      </c>
      <c r="F767" s="5" t="n"/>
    </row>
    <row r="768">
      <c r="A768" s="10">
        <f>IF($E768="","",INDEX('Input Transaksi'!$A:$A,$E768))</f>
        <v/>
      </c>
      <c r="B768" s="5">
        <f>IF($E768="","",INDEX('Input Transaksi'!$D:$D,$E768))</f>
        <v/>
      </c>
      <c r="C768">
        <f>IF($E768="","",INDEX('Input Transaksi'!$E:$E,$E768))</f>
        <v/>
      </c>
      <c r="D768" s="5">
        <f>IF($E768="","",INDEX('Input Transaksi'!$F:$F,$E768))</f>
        <v/>
      </c>
      <c r="E768">
        <f>IFERROR(AGGREGATE(15,6,ROW('Input Transaksi'!$B$5:$B$5000)/('Input Transaksi'!$B$5:$B$5000="BALI WASH"),ROWS($E$5:E768)),"")</f>
        <v/>
      </c>
      <c r="F768" s="5" t="n"/>
    </row>
    <row r="769">
      <c r="A769" s="10">
        <f>IF($E769="","",INDEX('Input Transaksi'!$A:$A,$E769))</f>
        <v/>
      </c>
      <c r="B769" s="5">
        <f>IF($E769="","",INDEX('Input Transaksi'!$D:$D,$E769))</f>
        <v/>
      </c>
      <c r="C769">
        <f>IF($E769="","",INDEX('Input Transaksi'!$E:$E,$E769))</f>
        <v/>
      </c>
      <c r="D769" s="5">
        <f>IF($E769="","",INDEX('Input Transaksi'!$F:$F,$E769))</f>
        <v/>
      </c>
      <c r="E769">
        <f>IFERROR(AGGREGATE(15,6,ROW('Input Transaksi'!$B$5:$B$5000)/('Input Transaksi'!$B$5:$B$5000="BALI WASH"),ROWS($E$5:E769)),"")</f>
        <v/>
      </c>
      <c r="F769" s="5" t="n"/>
    </row>
    <row r="770">
      <c r="A770" s="10">
        <f>IF($E770="","",INDEX('Input Transaksi'!$A:$A,$E770))</f>
        <v/>
      </c>
      <c r="B770" s="5">
        <f>IF($E770="","",INDEX('Input Transaksi'!$D:$D,$E770))</f>
        <v/>
      </c>
      <c r="C770">
        <f>IF($E770="","",INDEX('Input Transaksi'!$E:$E,$E770))</f>
        <v/>
      </c>
      <c r="D770" s="5">
        <f>IF($E770="","",INDEX('Input Transaksi'!$F:$F,$E770))</f>
        <v/>
      </c>
      <c r="E770">
        <f>IFERROR(AGGREGATE(15,6,ROW('Input Transaksi'!$B$5:$B$5000)/('Input Transaksi'!$B$5:$B$5000="BALI WASH"),ROWS($E$5:E770)),"")</f>
        <v/>
      </c>
      <c r="F770" s="5" t="n"/>
    </row>
    <row r="771">
      <c r="A771" s="10">
        <f>IF($E771="","",INDEX('Input Transaksi'!$A:$A,$E771))</f>
        <v/>
      </c>
      <c r="B771" s="5">
        <f>IF($E771="","",INDEX('Input Transaksi'!$D:$D,$E771))</f>
        <v/>
      </c>
      <c r="C771">
        <f>IF($E771="","",INDEX('Input Transaksi'!$E:$E,$E771))</f>
        <v/>
      </c>
      <c r="D771" s="5">
        <f>IF($E771="","",INDEX('Input Transaksi'!$F:$F,$E771))</f>
        <v/>
      </c>
      <c r="E771">
        <f>IFERROR(AGGREGATE(15,6,ROW('Input Transaksi'!$B$5:$B$5000)/('Input Transaksi'!$B$5:$B$5000="BALI WASH"),ROWS($E$5:E771)),"")</f>
        <v/>
      </c>
      <c r="F771" s="5" t="n"/>
    </row>
    <row r="772">
      <c r="A772" s="10">
        <f>IF($E772="","",INDEX('Input Transaksi'!$A:$A,$E772))</f>
        <v/>
      </c>
      <c r="B772" s="5">
        <f>IF($E772="","",INDEX('Input Transaksi'!$D:$D,$E772))</f>
        <v/>
      </c>
      <c r="C772">
        <f>IF($E772="","",INDEX('Input Transaksi'!$E:$E,$E772))</f>
        <v/>
      </c>
      <c r="D772" s="5">
        <f>IF($E772="","",INDEX('Input Transaksi'!$F:$F,$E772))</f>
        <v/>
      </c>
      <c r="E772">
        <f>IFERROR(AGGREGATE(15,6,ROW('Input Transaksi'!$B$5:$B$5000)/('Input Transaksi'!$B$5:$B$5000="BALI WASH"),ROWS($E$5:E772)),"")</f>
        <v/>
      </c>
      <c r="F772" s="5" t="n"/>
    </row>
    <row r="773">
      <c r="A773" s="10">
        <f>IF($E773="","",INDEX('Input Transaksi'!$A:$A,$E773))</f>
        <v/>
      </c>
      <c r="B773" s="5">
        <f>IF($E773="","",INDEX('Input Transaksi'!$D:$D,$E773))</f>
        <v/>
      </c>
      <c r="C773">
        <f>IF($E773="","",INDEX('Input Transaksi'!$E:$E,$E773))</f>
        <v/>
      </c>
      <c r="D773" s="5">
        <f>IF($E773="","",INDEX('Input Transaksi'!$F:$F,$E773))</f>
        <v/>
      </c>
      <c r="E773">
        <f>IFERROR(AGGREGATE(15,6,ROW('Input Transaksi'!$B$5:$B$5000)/('Input Transaksi'!$B$5:$B$5000="BALI WASH"),ROWS($E$5:E773)),"")</f>
        <v/>
      </c>
      <c r="F773" s="5" t="n"/>
    </row>
    <row r="774">
      <c r="A774" s="10">
        <f>IF($E774="","",INDEX('Input Transaksi'!$A:$A,$E774))</f>
        <v/>
      </c>
      <c r="B774" s="5">
        <f>IF($E774="","",INDEX('Input Transaksi'!$D:$D,$E774))</f>
        <v/>
      </c>
      <c r="C774">
        <f>IF($E774="","",INDEX('Input Transaksi'!$E:$E,$E774))</f>
        <v/>
      </c>
      <c r="D774" s="5">
        <f>IF($E774="","",INDEX('Input Transaksi'!$F:$F,$E774))</f>
        <v/>
      </c>
      <c r="E774">
        <f>IFERROR(AGGREGATE(15,6,ROW('Input Transaksi'!$B$5:$B$5000)/('Input Transaksi'!$B$5:$B$5000="BALI WASH"),ROWS($E$5:E774)),"")</f>
        <v/>
      </c>
      <c r="F774" s="5" t="n"/>
    </row>
    <row r="775">
      <c r="A775" s="10">
        <f>IF($E775="","",INDEX('Input Transaksi'!$A:$A,$E775))</f>
        <v/>
      </c>
      <c r="B775" s="5">
        <f>IF($E775="","",INDEX('Input Transaksi'!$D:$D,$E775))</f>
        <v/>
      </c>
      <c r="C775">
        <f>IF($E775="","",INDEX('Input Transaksi'!$E:$E,$E775))</f>
        <v/>
      </c>
      <c r="D775" s="5">
        <f>IF($E775="","",INDEX('Input Transaksi'!$F:$F,$E775))</f>
        <v/>
      </c>
      <c r="E775">
        <f>IFERROR(AGGREGATE(15,6,ROW('Input Transaksi'!$B$5:$B$5000)/('Input Transaksi'!$B$5:$B$5000="BALI WASH"),ROWS($E$5:E775)),"")</f>
        <v/>
      </c>
      <c r="F775" s="5" t="n"/>
    </row>
    <row r="776">
      <c r="A776" s="10">
        <f>IF($E776="","",INDEX('Input Transaksi'!$A:$A,$E776))</f>
        <v/>
      </c>
      <c r="B776" s="5">
        <f>IF($E776="","",INDEX('Input Transaksi'!$D:$D,$E776))</f>
        <v/>
      </c>
      <c r="C776">
        <f>IF($E776="","",INDEX('Input Transaksi'!$E:$E,$E776))</f>
        <v/>
      </c>
      <c r="D776" s="5">
        <f>IF($E776="","",INDEX('Input Transaksi'!$F:$F,$E776))</f>
        <v/>
      </c>
      <c r="E776">
        <f>IFERROR(AGGREGATE(15,6,ROW('Input Transaksi'!$B$5:$B$5000)/('Input Transaksi'!$B$5:$B$5000="BALI WASH"),ROWS($E$5:E776)),"")</f>
        <v/>
      </c>
      <c r="F776" s="5" t="n"/>
    </row>
    <row r="777">
      <c r="A777" s="10">
        <f>IF($E777="","",INDEX('Input Transaksi'!$A:$A,$E777))</f>
        <v/>
      </c>
      <c r="B777" s="5">
        <f>IF($E777="","",INDEX('Input Transaksi'!$D:$D,$E777))</f>
        <v/>
      </c>
      <c r="C777">
        <f>IF($E777="","",INDEX('Input Transaksi'!$E:$E,$E777))</f>
        <v/>
      </c>
      <c r="D777" s="5">
        <f>IF($E777="","",INDEX('Input Transaksi'!$F:$F,$E777))</f>
        <v/>
      </c>
      <c r="E777">
        <f>IFERROR(AGGREGATE(15,6,ROW('Input Transaksi'!$B$5:$B$5000)/('Input Transaksi'!$B$5:$B$5000="BALI WASH"),ROWS($E$5:E777)),"")</f>
        <v/>
      </c>
      <c r="F777" s="5" t="n"/>
    </row>
    <row r="778">
      <c r="A778" s="10">
        <f>IF($E778="","",INDEX('Input Transaksi'!$A:$A,$E778))</f>
        <v/>
      </c>
      <c r="B778" s="5">
        <f>IF($E778="","",INDEX('Input Transaksi'!$D:$D,$E778))</f>
        <v/>
      </c>
      <c r="C778">
        <f>IF($E778="","",INDEX('Input Transaksi'!$E:$E,$E778))</f>
        <v/>
      </c>
      <c r="D778" s="5">
        <f>IF($E778="","",INDEX('Input Transaksi'!$F:$F,$E778))</f>
        <v/>
      </c>
      <c r="E778">
        <f>IFERROR(AGGREGATE(15,6,ROW('Input Transaksi'!$B$5:$B$5000)/('Input Transaksi'!$B$5:$B$5000="BALI WASH"),ROWS($E$5:E778)),"")</f>
        <v/>
      </c>
      <c r="F778" s="5" t="n"/>
    </row>
    <row r="779">
      <c r="A779" s="10">
        <f>IF($E779="","",INDEX('Input Transaksi'!$A:$A,$E779))</f>
        <v/>
      </c>
      <c r="B779" s="5">
        <f>IF($E779="","",INDEX('Input Transaksi'!$D:$D,$E779))</f>
        <v/>
      </c>
      <c r="C779">
        <f>IF($E779="","",INDEX('Input Transaksi'!$E:$E,$E779))</f>
        <v/>
      </c>
      <c r="D779" s="5">
        <f>IF($E779="","",INDEX('Input Transaksi'!$F:$F,$E779))</f>
        <v/>
      </c>
      <c r="E779">
        <f>IFERROR(AGGREGATE(15,6,ROW('Input Transaksi'!$B$5:$B$5000)/('Input Transaksi'!$B$5:$B$5000="BALI WASH"),ROWS($E$5:E779)),"")</f>
        <v/>
      </c>
      <c r="F779" s="5" t="n"/>
    </row>
    <row r="780">
      <c r="A780" s="10">
        <f>IF($E780="","",INDEX('Input Transaksi'!$A:$A,$E780))</f>
        <v/>
      </c>
      <c r="B780" s="5">
        <f>IF($E780="","",INDEX('Input Transaksi'!$D:$D,$E780))</f>
        <v/>
      </c>
      <c r="C780">
        <f>IF($E780="","",INDEX('Input Transaksi'!$E:$E,$E780))</f>
        <v/>
      </c>
      <c r="D780" s="5">
        <f>IF($E780="","",INDEX('Input Transaksi'!$F:$F,$E780))</f>
        <v/>
      </c>
      <c r="E780">
        <f>IFERROR(AGGREGATE(15,6,ROW('Input Transaksi'!$B$5:$B$5000)/('Input Transaksi'!$B$5:$B$5000="BALI WASH"),ROWS($E$5:E780)),"")</f>
        <v/>
      </c>
      <c r="F780" s="5" t="n"/>
    </row>
    <row r="781">
      <c r="A781" s="10">
        <f>IF($E781="","",INDEX('Input Transaksi'!$A:$A,$E781))</f>
        <v/>
      </c>
      <c r="B781" s="5">
        <f>IF($E781="","",INDEX('Input Transaksi'!$D:$D,$E781))</f>
        <v/>
      </c>
      <c r="C781">
        <f>IF($E781="","",INDEX('Input Transaksi'!$E:$E,$E781))</f>
        <v/>
      </c>
      <c r="D781" s="5">
        <f>IF($E781="","",INDEX('Input Transaksi'!$F:$F,$E781))</f>
        <v/>
      </c>
      <c r="E781">
        <f>IFERROR(AGGREGATE(15,6,ROW('Input Transaksi'!$B$5:$B$5000)/('Input Transaksi'!$B$5:$B$5000="BALI WASH"),ROWS($E$5:E781)),"")</f>
        <v/>
      </c>
      <c r="F781" s="5" t="n"/>
    </row>
    <row r="782">
      <c r="A782" s="10">
        <f>IF($E782="","",INDEX('Input Transaksi'!$A:$A,$E782))</f>
        <v/>
      </c>
      <c r="B782" s="5">
        <f>IF($E782="","",INDEX('Input Transaksi'!$D:$D,$E782))</f>
        <v/>
      </c>
      <c r="C782">
        <f>IF($E782="","",INDEX('Input Transaksi'!$E:$E,$E782))</f>
        <v/>
      </c>
      <c r="D782" s="5">
        <f>IF($E782="","",INDEX('Input Transaksi'!$F:$F,$E782))</f>
        <v/>
      </c>
      <c r="E782">
        <f>IFERROR(AGGREGATE(15,6,ROW('Input Transaksi'!$B$5:$B$5000)/('Input Transaksi'!$B$5:$B$5000="BALI WASH"),ROWS($E$5:E782)),"")</f>
        <v/>
      </c>
      <c r="F782" s="5" t="n"/>
    </row>
    <row r="783">
      <c r="A783" s="10">
        <f>IF($E783="","",INDEX('Input Transaksi'!$A:$A,$E783))</f>
        <v/>
      </c>
      <c r="B783" s="5">
        <f>IF($E783="","",INDEX('Input Transaksi'!$D:$D,$E783))</f>
        <v/>
      </c>
      <c r="C783">
        <f>IF($E783="","",INDEX('Input Transaksi'!$E:$E,$E783))</f>
        <v/>
      </c>
      <c r="D783" s="5">
        <f>IF($E783="","",INDEX('Input Transaksi'!$F:$F,$E783))</f>
        <v/>
      </c>
      <c r="E783">
        <f>IFERROR(AGGREGATE(15,6,ROW('Input Transaksi'!$B$5:$B$5000)/('Input Transaksi'!$B$5:$B$5000="BALI WASH"),ROWS($E$5:E783)),"")</f>
        <v/>
      </c>
      <c r="F783" s="5" t="n"/>
    </row>
    <row r="784">
      <c r="A784" s="10">
        <f>IF($E784="","",INDEX('Input Transaksi'!$A:$A,$E784))</f>
        <v/>
      </c>
      <c r="B784" s="5">
        <f>IF($E784="","",INDEX('Input Transaksi'!$D:$D,$E784))</f>
        <v/>
      </c>
      <c r="C784">
        <f>IF($E784="","",INDEX('Input Transaksi'!$E:$E,$E784))</f>
        <v/>
      </c>
      <c r="D784" s="5">
        <f>IF($E784="","",INDEX('Input Transaksi'!$F:$F,$E784))</f>
        <v/>
      </c>
      <c r="E784">
        <f>IFERROR(AGGREGATE(15,6,ROW('Input Transaksi'!$B$5:$B$5000)/('Input Transaksi'!$B$5:$B$5000="BALI WASH"),ROWS($E$5:E784)),"")</f>
        <v/>
      </c>
      <c r="F784" s="5" t="n"/>
    </row>
    <row r="785">
      <c r="A785" s="10">
        <f>IF($E785="","",INDEX('Input Transaksi'!$A:$A,$E785))</f>
        <v/>
      </c>
      <c r="B785" s="5">
        <f>IF($E785="","",INDEX('Input Transaksi'!$D:$D,$E785))</f>
        <v/>
      </c>
      <c r="C785">
        <f>IF($E785="","",INDEX('Input Transaksi'!$E:$E,$E785))</f>
        <v/>
      </c>
      <c r="D785" s="5">
        <f>IF($E785="","",INDEX('Input Transaksi'!$F:$F,$E785))</f>
        <v/>
      </c>
      <c r="E785">
        <f>IFERROR(AGGREGATE(15,6,ROW('Input Transaksi'!$B$5:$B$5000)/('Input Transaksi'!$B$5:$B$5000="BALI WASH"),ROWS($E$5:E785)),"")</f>
        <v/>
      </c>
      <c r="F785" s="5" t="n"/>
    </row>
    <row r="786">
      <c r="A786" s="10">
        <f>IF($E786="","",INDEX('Input Transaksi'!$A:$A,$E786))</f>
        <v/>
      </c>
      <c r="B786" s="5">
        <f>IF($E786="","",INDEX('Input Transaksi'!$D:$D,$E786))</f>
        <v/>
      </c>
      <c r="C786">
        <f>IF($E786="","",INDEX('Input Transaksi'!$E:$E,$E786))</f>
        <v/>
      </c>
      <c r="D786" s="5">
        <f>IF($E786="","",INDEX('Input Transaksi'!$F:$F,$E786))</f>
        <v/>
      </c>
      <c r="E786">
        <f>IFERROR(AGGREGATE(15,6,ROW('Input Transaksi'!$B$5:$B$5000)/('Input Transaksi'!$B$5:$B$5000="BALI WASH"),ROWS($E$5:E786)),"")</f>
        <v/>
      </c>
      <c r="F786" s="5" t="n"/>
    </row>
    <row r="787">
      <c r="A787" s="10">
        <f>IF($E787="","",INDEX('Input Transaksi'!$A:$A,$E787))</f>
        <v/>
      </c>
      <c r="B787" s="5">
        <f>IF($E787="","",INDEX('Input Transaksi'!$D:$D,$E787))</f>
        <v/>
      </c>
      <c r="C787">
        <f>IF($E787="","",INDEX('Input Transaksi'!$E:$E,$E787))</f>
        <v/>
      </c>
      <c r="D787" s="5">
        <f>IF($E787="","",INDEX('Input Transaksi'!$F:$F,$E787))</f>
        <v/>
      </c>
      <c r="E787">
        <f>IFERROR(AGGREGATE(15,6,ROW('Input Transaksi'!$B$5:$B$5000)/('Input Transaksi'!$B$5:$B$5000="BALI WASH"),ROWS($E$5:E787)),"")</f>
        <v/>
      </c>
      <c r="F787" s="5" t="n"/>
    </row>
    <row r="788">
      <c r="A788" s="10">
        <f>IF($E788="","",INDEX('Input Transaksi'!$A:$A,$E788))</f>
        <v/>
      </c>
      <c r="B788" s="5">
        <f>IF($E788="","",INDEX('Input Transaksi'!$D:$D,$E788))</f>
        <v/>
      </c>
      <c r="C788">
        <f>IF($E788="","",INDEX('Input Transaksi'!$E:$E,$E788))</f>
        <v/>
      </c>
      <c r="D788" s="5">
        <f>IF($E788="","",INDEX('Input Transaksi'!$F:$F,$E788))</f>
        <v/>
      </c>
      <c r="E788">
        <f>IFERROR(AGGREGATE(15,6,ROW('Input Transaksi'!$B$5:$B$5000)/('Input Transaksi'!$B$5:$B$5000="BALI WASH"),ROWS($E$5:E788)),"")</f>
        <v/>
      </c>
      <c r="F788" s="5" t="n"/>
    </row>
    <row r="789">
      <c r="A789" s="10">
        <f>IF($E789="","",INDEX('Input Transaksi'!$A:$A,$E789))</f>
        <v/>
      </c>
      <c r="B789" s="5">
        <f>IF($E789="","",INDEX('Input Transaksi'!$D:$D,$E789))</f>
        <v/>
      </c>
      <c r="C789">
        <f>IF($E789="","",INDEX('Input Transaksi'!$E:$E,$E789))</f>
        <v/>
      </c>
      <c r="D789" s="5">
        <f>IF($E789="","",INDEX('Input Transaksi'!$F:$F,$E789))</f>
        <v/>
      </c>
      <c r="E789">
        <f>IFERROR(AGGREGATE(15,6,ROW('Input Transaksi'!$B$5:$B$5000)/('Input Transaksi'!$B$5:$B$5000="BALI WASH"),ROWS($E$5:E789)),"")</f>
        <v/>
      </c>
      <c r="F789" s="5" t="n"/>
    </row>
    <row r="790">
      <c r="A790" s="10">
        <f>IF($E790="","",INDEX('Input Transaksi'!$A:$A,$E790))</f>
        <v/>
      </c>
      <c r="B790" s="5">
        <f>IF($E790="","",INDEX('Input Transaksi'!$D:$D,$E790))</f>
        <v/>
      </c>
      <c r="C790">
        <f>IF($E790="","",INDEX('Input Transaksi'!$E:$E,$E790))</f>
        <v/>
      </c>
      <c r="D790" s="5">
        <f>IF($E790="","",INDEX('Input Transaksi'!$F:$F,$E790))</f>
        <v/>
      </c>
      <c r="E790">
        <f>IFERROR(AGGREGATE(15,6,ROW('Input Transaksi'!$B$5:$B$5000)/('Input Transaksi'!$B$5:$B$5000="BALI WASH"),ROWS($E$5:E790)),"")</f>
        <v/>
      </c>
      <c r="F790" s="5" t="n"/>
    </row>
    <row r="791">
      <c r="A791" s="10">
        <f>IF($E791="","",INDEX('Input Transaksi'!$A:$A,$E791))</f>
        <v/>
      </c>
      <c r="B791" s="5">
        <f>IF($E791="","",INDEX('Input Transaksi'!$D:$D,$E791))</f>
        <v/>
      </c>
      <c r="C791">
        <f>IF($E791="","",INDEX('Input Transaksi'!$E:$E,$E791))</f>
        <v/>
      </c>
      <c r="D791" s="5">
        <f>IF($E791="","",INDEX('Input Transaksi'!$F:$F,$E791))</f>
        <v/>
      </c>
      <c r="E791">
        <f>IFERROR(AGGREGATE(15,6,ROW('Input Transaksi'!$B$5:$B$5000)/('Input Transaksi'!$B$5:$B$5000="BALI WASH"),ROWS($E$5:E791)),"")</f>
        <v/>
      </c>
      <c r="F791" s="5" t="n"/>
    </row>
    <row r="792">
      <c r="A792" s="10">
        <f>IF($E792="","",INDEX('Input Transaksi'!$A:$A,$E792))</f>
        <v/>
      </c>
      <c r="B792" s="5">
        <f>IF($E792="","",INDEX('Input Transaksi'!$D:$D,$E792))</f>
        <v/>
      </c>
      <c r="C792">
        <f>IF($E792="","",INDEX('Input Transaksi'!$E:$E,$E792))</f>
        <v/>
      </c>
      <c r="D792" s="5">
        <f>IF($E792="","",INDEX('Input Transaksi'!$F:$F,$E792))</f>
        <v/>
      </c>
      <c r="E792">
        <f>IFERROR(AGGREGATE(15,6,ROW('Input Transaksi'!$B$5:$B$5000)/('Input Transaksi'!$B$5:$B$5000="BALI WASH"),ROWS($E$5:E792)),"")</f>
        <v/>
      </c>
      <c r="F792" s="5" t="n"/>
    </row>
    <row r="793">
      <c r="A793" s="10">
        <f>IF($E793="","",INDEX('Input Transaksi'!$A:$A,$E793))</f>
        <v/>
      </c>
      <c r="B793" s="5">
        <f>IF($E793="","",INDEX('Input Transaksi'!$D:$D,$E793))</f>
        <v/>
      </c>
      <c r="C793">
        <f>IF($E793="","",INDEX('Input Transaksi'!$E:$E,$E793))</f>
        <v/>
      </c>
      <c r="D793" s="5">
        <f>IF($E793="","",INDEX('Input Transaksi'!$F:$F,$E793))</f>
        <v/>
      </c>
      <c r="E793">
        <f>IFERROR(AGGREGATE(15,6,ROW('Input Transaksi'!$B$5:$B$5000)/('Input Transaksi'!$B$5:$B$5000="BALI WASH"),ROWS($E$5:E793)),"")</f>
        <v/>
      </c>
      <c r="F793" s="5" t="n"/>
    </row>
    <row r="794">
      <c r="A794" s="10">
        <f>IF($E794="","",INDEX('Input Transaksi'!$A:$A,$E794))</f>
        <v/>
      </c>
      <c r="B794" s="5">
        <f>IF($E794="","",INDEX('Input Transaksi'!$D:$D,$E794))</f>
        <v/>
      </c>
      <c r="C794">
        <f>IF($E794="","",INDEX('Input Transaksi'!$E:$E,$E794))</f>
        <v/>
      </c>
      <c r="D794" s="5">
        <f>IF($E794="","",INDEX('Input Transaksi'!$F:$F,$E794))</f>
        <v/>
      </c>
      <c r="E794">
        <f>IFERROR(AGGREGATE(15,6,ROW('Input Transaksi'!$B$5:$B$5000)/('Input Transaksi'!$B$5:$B$5000="BALI WASH"),ROWS($E$5:E794)),"")</f>
        <v/>
      </c>
      <c r="F794" s="5" t="n"/>
    </row>
    <row r="795">
      <c r="A795" s="10">
        <f>IF($E795="","",INDEX('Input Transaksi'!$A:$A,$E795))</f>
        <v/>
      </c>
      <c r="B795" s="5">
        <f>IF($E795="","",INDEX('Input Transaksi'!$D:$D,$E795))</f>
        <v/>
      </c>
      <c r="C795">
        <f>IF($E795="","",INDEX('Input Transaksi'!$E:$E,$E795))</f>
        <v/>
      </c>
      <c r="D795" s="5">
        <f>IF($E795="","",INDEX('Input Transaksi'!$F:$F,$E795))</f>
        <v/>
      </c>
      <c r="E795">
        <f>IFERROR(AGGREGATE(15,6,ROW('Input Transaksi'!$B$5:$B$5000)/('Input Transaksi'!$B$5:$B$5000="BALI WASH"),ROWS($E$5:E795)),"")</f>
        <v/>
      </c>
      <c r="F795" s="5" t="n"/>
    </row>
    <row r="796">
      <c r="A796" s="10">
        <f>IF($E796="","",INDEX('Input Transaksi'!$A:$A,$E796))</f>
        <v/>
      </c>
      <c r="B796" s="5">
        <f>IF($E796="","",INDEX('Input Transaksi'!$D:$D,$E796))</f>
        <v/>
      </c>
      <c r="C796">
        <f>IF($E796="","",INDEX('Input Transaksi'!$E:$E,$E796))</f>
        <v/>
      </c>
      <c r="D796" s="5">
        <f>IF($E796="","",INDEX('Input Transaksi'!$F:$F,$E796))</f>
        <v/>
      </c>
      <c r="E796">
        <f>IFERROR(AGGREGATE(15,6,ROW('Input Transaksi'!$B$5:$B$5000)/('Input Transaksi'!$B$5:$B$5000="BALI WASH"),ROWS($E$5:E796)),"")</f>
        <v/>
      </c>
      <c r="F796" s="5" t="n"/>
    </row>
    <row r="797">
      <c r="A797" s="10">
        <f>IF($E797="","",INDEX('Input Transaksi'!$A:$A,$E797))</f>
        <v/>
      </c>
      <c r="B797" s="5">
        <f>IF($E797="","",INDEX('Input Transaksi'!$D:$D,$E797))</f>
        <v/>
      </c>
      <c r="C797">
        <f>IF($E797="","",INDEX('Input Transaksi'!$E:$E,$E797))</f>
        <v/>
      </c>
      <c r="D797" s="5">
        <f>IF($E797="","",INDEX('Input Transaksi'!$F:$F,$E797))</f>
        <v/>
      </c>
      <c r="E797">
        <f>IFERROR(AGGREGATE(15,6,ROW('Input Transaksi'!$B$5:$B$5000)/('Input Transaksi'!$B$5:$B$5000="BALI WASH"),ROWS($E$5:E797)),"")</f>
        <v/>
      </c>
      <c r="F797" s="5" t="n"/>
    </row>
    <row r="798">
      <c r="A798" s="10">
        <f>IF($E798="","",INDEX('Input Transaksi'!$A:$A,$E798))</f>
        <v/>
      </c>
      <c r="B798" s="5">
        <f>IF($E798="","",INDEX('Input Transaksi'!$D:$D,$E798))</f>
        <v/>
      </c>
      <c r="C798">
        <f>IF($E798="","",INDEX('Input Transaksi'!$E:$E,$E798))</f>
        <v/>
      </c>
      <c r="D798" s="5">
        <f>IF($E798="","",INDEX('Input Transaksi'!$F:$F,$E798))</f>
        <v/>
      </c>
      <c r="E798">
        <f>IFERROR(AGGREGATE(15,6,ROW('Input Transaksi'!$B$5:$B$5000)/('Input Transaksi'!$B$5:$B$5000="BALI WASH"),ROWS($E$5:E798)),"")</f>
        <v/>
      </c>
      <c r="F798" s="5" t="n"/>
    </row>
    <row r="799">
      <c r="A799" s="10">
        <f>IF($E799="","",INDEX('Input Transaksi'!$A:$A,$E799))</f>
        <v/>
      </c>
      <c r="B799" s="5">
        <f>IF($E799="","",INDEX('Input Transaksi'!$D:$D,$E799))</f>
        <v/>
      </c>
      <c r="C799">
        <f>IF($E799="","",INDEX('Input Transaksi'!$E:$E,$E799))</f>
        <v/>
      </c>
      <c r="D799" s="5">
        <f>IF($E799="","",INDEX('Input Transaksi'!$F:$F,$E799))</f>
        <v/>
      </c>
      <c r="E799">
        <f>IFERROR(AGGREGATE(15,6,ROW('Input Transaksi'!$B$5:$B$5000)/('Input Transaksi'!$B$5:$B$5000="BALI WASH"),ROWS($E$5:E799)),"")</f>
        <v/>
      </c>
      <c r="F799" s="5" t="n"/>
    </row>
    <row r="800">
      <c r="A800" s="10">
        <f>IF($E800="","",INDEX('Input Transaksi'!$A:$A,$E800))</f>
        <v/>
      </c>
      <c r="B800" s="5">
        <f>IF($E800="","",INDEX('Input Transaksi'!$D:$D,$E800))</f>
        <v/>
      </c>
      <c r="C800">
        <f>IF($E800="","",INDEX('Input Transaksi'!$E:$E,$E800))</f>
        <v/>
      </c>
      <c r="D800" s="5">
        <f>IF($E800="","",INDEX('Input Transaksi'!$F:$F,$E800))</f>
        <v/>
      </c>
      <c r="E800">
        <f>IFERROR(AGGREGATE(15,6,ROW('Input Transaksi'!$B$5:$B$5000)/('Input Transaksi'!$B$5:$B$5000="BALI WASH"),ROWS($E$5:E800)),"")</f>
        <v/>
      </c>
      <c r="F800" s="5" t="n"/>
    </row>
    <row r="801">
      <c r="A801" s="10">
        <f>IF($E801="","",INDEX('Input Transaksi'!$A:$A,$E801))</f>
        <v/>
      </c>
      <c r="B801" s="5">
        <f>IF($E801="","",INDEX('Input Transaksi'!$D:$D,$E801))</f>
        <v/>
      </c>
      <c r="C801">
        <f>IF($E801="","",INDEX('Input Transaksi'!$E:$E,$E801))</f>
        <v/>
      </c>
      <c r="D801" s="5">
        <f>IF($E801="","",INDEX('Input Transaksi'!$F:$F,$E801))</f>
        <v/>
      </c>
      <c r="E801">
        <f>IFERROR(AGGREGATE(15,6,ROW('Input Transaksi'!$B$5:$B$5000)/('Input Transaksi'!$B$5:$B$5000="BALI WASH"),ROWS($E$5:E801)),"")</f>
        <v/>
      </c>
      <c r="F801" s="5" t="n"/>
    </row>
    <row r="802">
      <c r="A802" s="10">
        <f>IF($E802="","",INDEX('Input Transaksi'!$A:$A,$E802))</f>
        <v/>
      </c>
      <c r="B802" s="5">
        <f>IF($E802="","",INDEX('Input Transaksi'!$D:$D,$E802))</f>
        <v/>
      </c>
      <c r="C802">
        <f>IF($E802="","",INDEX('Input Transaksi'!$E:$E,$E802))</f>
        <v/>
      </c>
      <c r="D802" s="5">
        <f>IF($E802="","",INDEX('Input Transaksi'!$F:$F,$E802))</f>
        <v/>
      </c>
      <c r="E802">
        <f>IFERROR(AGGREGATE(15,6,ROW('Input Transaksi'!$B$5:$B$5000)/('Input Transaksi'!$B$5:$B$5000="BALI WASH"),ROWS($E$5:E802)),"")</f>
        <v/>
      </c>
      <c r="F802" s="5" t="n"/>
    </row>
    <row r="803">
      <c r="A803" s="10">
        <f>IF($E803="","",INDEX('Input Transaksi'!$A:$A,$E803))</f>
        <v/>
      </c>
      <c r="B803" s="5">
        <f>IF($E803="","",INDEX('Input Transaksi'!$D:$D,$E803))</f>
        <v/>
      </c>
      <c r="C803">
        <f>IF($E803="","",INDEX('Input Transaksi'!$E:$E,$E803))</f>
        <v/>
      </c>
      <c r="D803" s="5">
        <f>IF($E803="","",INDEX('Input Transaksi'!$F:$F,$E803))</f>
        <v/>
      </c>
      <c r="E803">
        <f>IFERROR(AGGREGATE(15,6,ROW('Input Transaksi'!$B$5:$B$5000)/('Input Transaksi'!$B$5:$B$5000="BALI WASH"),ROWS($E$5:E803)),"")</f>
        <v/>
      </c>
      <c r="F803" s="5" t="n"/>
    </row>
    <row r="804">
      <c r="A804" s="10">
        <f>IF($E804="","",INDEX('Input Transaksi'!$A:$A,$E804))</f>
        <v/>
      </c>
      <c r="B804" s="5">
        <f>IF($E804="","",INDEX('Input Transaksi'!$D:$D,$E804))</f>
        <v/>
      </c>
      <c r="C804">
        <f>IF($E804="","",INDEX('Input Transaksi'!$E:$E,$E804))</f>
        <v/>
      </c>
      <c r="D804" s="5">
        <f>IF($E804="","",INDEX('Input Transaksi'!$F:$F,$E804))</f>
        <v/>
      </c>
      <c r="E804">
        <f>IFERROR(AGGREGATE(15,6,ROW('Input Transaksi'!$B$5:$B$5000)/('Input Transaksi'!$B$5:$B$5000="BALI WASH"),ROWS($E$5:E804)),"")</f>
        <v/>
      </c>
      <c r="F804" s="5" t="n"/>
    </row>
    <row r="805">
      <c r="A805" s="10">
        <f>IF($E805="","",INDEX('Input Transaksi'!$A:$A,$E805))</f>
        <v/>
      </c>
      <c r="B805" s="5">
        <f>IF($E805="","",INDEX('Input Transaksi'!$D:$D,$E805))</f>
        <v/>
      </c>
      <c r="C805">
        <f>IF($E805="","",INDEX('Input Transaksi'!$E:$E,$E805))</f>
        <v/>
      </c>
      <c r="D805" s="5">
        <f>IF($E805="","",INDEX('Input Transaksi'!$F:$F,$E805))</f>
        <v/>
      </c>
      <c r="E805">
        <f>IFERROR(AGGREGATE(15,6,ROW('Input Transaksi'!$B$5:$B$5000)/('Input Transaksi'!$B$5:$B$5000="BALI WASH"),ROWS($E$5:E805)),"")</f>
        <v/>
      </c>
      <c r="F805" s="5" t="n"/>
    </row>
    <row r="806">
      <c r="A806" s="10">
        <f>IF($E806="","",INDEX('Input Transaksi'!$A:$A,$E806))</f>
        <v/>
      </c>
      <c r="B806" s="5">
        <f>IF($E806="","",INDEX('Input Transaksi'!$D:$D,$E806))</f>
        <v/>
      </c>
      <c r="C806">
        <f>IF($E806="","",INDEX('Input Transaksi'!$E:$E,$E806))</f>
        <v/>
      </c>
      <c r="D806" s="5">
        <f>IF($E806="","",INDEX('Input Transaksi'!$F:$F,$E806))</f>
        <v/>
      </c>
      <c r="E806">
        <f>IFERROR(AGGREGATE(15,6,ROW('Input Transaksi'!$B$5:$B$5000)/('Input Transaksi'!$B$5:$B$5000="BALI WASH"),ROWS($E$5:E806)),"")</f>
        <v/>
      </c>
      <c r="F806" s="5" t="n"/>
    </row>
    <row r="807">
      <c r="A807" s="10">
        <f>IF($E807="","",INDEX('Input Transaksi'!$A:$A,$E807))</f>
        <v/>
      </c>
      <c r="B807" s="5">
        <f>IF($E807="","",INDEX('Input Transaksi'!$D:$D,$E807))</f>
        <v/>
      </c>
      <c r="C807">
        <f>IF($E807="","",INDEX('Input Transaksi'!$E:$E,$E807))</f>
        <v/>
      </c>
      <c r="D807" s="5">
        <f>IF($E807="","",INDEX('Input Transaksi'!$F:$F,$E807))</f>
        <v/>
      </c>
      <c r="E807">
        <f>IFERROR(AGGREGATE(15,6,ROW('Input Transaksi'!$B$5:$B$5000)/('Input Transaksi'!$B$5:$B$5000="BALI WASH"),ROWS($E$5:E807)),"")</f>
        <v/>
      </c>
      <c r="F807" s="5" t="n"/>
    </row>
    <row r="808">
      <c r="A808" s="10">
        <f>IF($E808="","",INDEX('Input Transaksi'!$A:$A,$E808))</f>
        <v/>
      </c>
      <c r="B808" s="5">
        <f>IF($E808="","",INDEX('Input Transaksi'!$D:$D,$E808))</f>
        <v/>
      </c>
      <c r="C808">
        <f>IF($E808="","",INDEX('Input Transaksi'!$E:$E,$E808))</f>
        <v/>
      </c>
      <c r="D808" s="5">
        <f>IF($E808="","",INDEX('Input Transaksi'!$F:$F,$E808))</f>
        <v/>
      </c>
      <c r="E808">
        <f>IFERROR(AGGREGATE(15,6,ROW('Input Transaksi'!$B$5:$B$5000)/('Input Transaksi'!$B$5:$B$5000="BALI WASH"),ROWS($E$5:E808)),"")</f>
        <v/>
      </c>
      <c r="F808" s="5" t="n"/>
    </row>
    <row r="809">
      <c r="A809" s="10">
        <f>IF($E809="","",INDEX('Input Transaksi'!$A:$A,$E809))</f>
        <v/>
      </c>
      <c r="B809" s="5">
        <f>IF($E809="","",INDEX('Input Transaksi'!$D:$D,$E809))</f>
        <v/>
      </c>
      <c r="C809">
        <f>IF($E809="","",INDEX('Input Transaksi'!$E:$E,$E809))</f>
        <v/>
      </c>
      <c r="D809" s="5">
        <f>IF($E809="","",INDEX('Input Transaksi'!$F:$F,$E809))</f>
        <v/>
      </c>
      <c r="E809">
        <f>IFERROR(AGGREGATE(15,6,ROW('Input Transaksi'!$B$5:$B$5000)/('Input Transaksi'!$B$5:$B$5000="BALI WASH"),ROWS($E$5:E809)),"")</f>
        <v/>
      </c>
      <c r="F809" s="5" t="n"/>
    </row>
    <row r="810">
      <c r="A810" s="10">
        <f>IF($E810="","",INDEX('Input Transaksi'!$A:$A,$E810))</f>
        <v/>
      </c>
      <c r="B810" s="5">
        <f>IF($E810="","",INDEX('Input Transaksi'!$D:$D,$E810))</f>
        <v/>
      </c>
      <c r="C810">
        <f>IF($E810="","",INDEX('Input Transaksi'!$E:$E,$E810))</f>
        <v/>
      </c>
      <c r="D810" s="5">
        <f>IF($E810="","",INDEX('Input Transaksi'!$F:$F,$E810))</f>
        <v/>
      </c>
      <c r="E810">
        <f>IFERROR(AGGREGATE(15,6,ROW('Input Transaksi'!$B$5:$B$5000)/('Input Transaksi'!$B$5:$B$5000="BALI WASH"),ROWS($E$5:E810)),"")</f>
        <v/>
      </c>
      <c r="F810" s="5" t="n"/>
    </row>
    <row r="811">
      <c r="A811" s="10">
        <f>IF($E811="","",INDEX('Input Transaksi'!$A:$A,$E811))</f>
        <v/>
      </c>
      <c r="B811" s="5">
        <f>IF($E811="","",INDEX('Input Transaksi'!$D:$D,$E811))</f>
        <v/>
      </c>
      <c r="C811">
        <f>IF($E811="","",INDEX('Input Transaksi'!$E:$E,$E811))</f>
        <v/>
      </c>
      <c r="D811" s="5">
        <f>IF($E811="","",INDEX('Input Transaksi'!$F:$F,$E811))</f>
        <v/>
      </c>
      <c r="E811">
        <f>IFERROR(AGGREGATE(15,6,ROW('Input Transaksi'!$B$5:$B$5000)/('Input Transaksi'!$B$5:$B$5000="BALI WASH"),ROWS($E$5:E811)),"")</f>
        <v/>
      </c>
      <c r="F811" s="5" t="n"/>
    </row>
    <row r="812">
      <c r="A812" s="10">
        <f>IF($E812="","",INDEX('Input Transaksi'!$A:$A,$E812))</f>
        <v/>
      </c>
      <c r="B812" s="5">
        <f>IF($E812="","",INDEX('Input Transaksi'!$D:$D,$E812))</f>
        <v/>
      </c>
      <c r="C812">
        <f>IF($E812="","",INDEX('Input Transaksi'!$E:$E,$E812))</f>
        <v/>
      </c>
      <c r="D812" s="5">
        <f>IF($E812="","",INDEX('Input Transaksi'!$F:$F,$E812))</f>
        <v/>
      </c>
      <c r="E812">
        <f>IFERROR(AGGREGATE(15,6,ROW('Input Transaksi'!$B$5:$B$5000)/('Input Transaksi'!$B$5:$B$5000="BALI WASH"),ROWS($E$5:E812)),"")</f>
        <v/>
      </c>
      <c r="F812" s="5" t="n"/>
    </row>
    <row r="813">
      <c r="A813" s="10">
        <f>IF($E813="","",INDEX('Input Transaksi'!$A:$A,$E813))</f>
        <v/>
      </c>
      <c r="B813" s="5">
        <f>IF($E813="","",INDEX('Input Transaksi'!$D:$D,$E813))</f>
        <v/>
      </c>
      <c r="C813">
        <f>IF($E813="","",INDEX('Input Transaksi'!$E:$E,$E813))</f>
        <v/>
      </c>
      <c r="D813" s="5">
        <f>IF($E813="","",INDEX('Input Transaksi'!$F:$F,$E813))</f>
        <v/>
      </c>
      <c r="E813">
        <f>IFERROR(AGGREGATE(15,6,ROW('Input Transaksi'!$B$5:$B$5000)/('Input Transaksi'!$B$5:$B$5000="BALI WASH"),ROWS($E$5:E813)),"")</f>
        <v/>
      </c>
      <c r="F813" s="5" t="n"/>
    </row>
    <row r="814">
      <c r="A814" s="10">
        <f>IF($E814="","",INDEX('Input Transaksi'!$A:$A,$E814))</f>
        <v/>
      </c>
      <c r="B814" s="5">
        <f>IF($E814="","",INDEX('Input Transaksi'!$D:$D,$E814))</f>
        <v/>
      </c>
      <c r="C814">
        <f>IF($E814="","",INDEX('Input Transaksi'!$E:$E,$E814))</f>
        <v/>
      </c>
      <c r="D814" s="5">
        <f>IF($E814="","",INDEX('Input Transaksi'!$F:$F,$E814))</f>
        <v/>
      </c>
      <c r="E814">
        <f>IFERROR(AGGREGATE(15,6,ROW('Input Transaksi'!$B$5:$B$5000)/('Input Transaksi'!$B$5:$B$5000="BALI WASH"),ROWS($E$5:E814)),"")</f>
        <v/>
      </c>
      <c r="F814" s="5" t="n"/>
    </row>
    <row r="815">
      <c r="A815" s="10">
        <f>IF($E815="","",INDEX('Input Transaksi'!$A:$A,$E815))</f>
        <v/>
      </c>
      <c r="B815" s="5">
        <f>IF($E815="","",INDEX('Input Transaksi'!$D:$D,$E815))</f>
        <v/>
      </c>
      <c r="C815">
        <f>IF($E815="","",INDEX('Input Transaksi'!$E:$E,$E815))</f>
        <v/>
      </c>
      <c r="D815" s="5">
        <f>IF($E815="","",INDEX('Input Transaksi'!$F:$F,$E815))</f>
        <v/>
      </c>
      <c r="E815">
        <f>IFERROR(AGGREGATE(15,6,ROW('Input Transaksi'!$B$5:$B$5000)/('Input Transaksi'!$B$5:$B$5000="BALI WASH"),ROWS($E$5:E815)),"")</f>
        <v/>
      </c>
      <c r="F815" s="5" t="n"/>
    </row>
    <row r="816">
      <c r="A816" s="10">
        <f>IF($E816="","",INDEX('Input Transaksi'!$A:$A,$E816))</f>
        <v/>
      </c>
      <c r="B816" s="5">
        <f>IF($E816="","",INDEX('Input Transaksi'!$D:$D,$E816))</f>
        <v/>
      </c>
      <c r="C816">
        <f>IF($E816="","",INDEX('Input Transaksi'!$E:$E,$E816))</f>
        <v/>
      </c>
      <c r="D816" s="5">
        <f>IF($E816="","",INDEX('Input Transaksi'!$F:$F,$E816))</f>
        <v/>
      </c>
      <c r="E816">
        <f>IFERROR(AGGREGATE(15,6,ROW('Input Transaksi'!$B$5:$B$5000)/('Input Transaksi'!$B$5:$B$5000="BALI WASH"),ROWS($E$5:E816)),"")</f>
        <v/>
      </c>
      <c r="F816" s="5" t="n"/>
    </row>
    <row r="817">
      <c r="A817" s="10">
        <f>IF($E817="","",INDEX('Input Transaksi'!$A:$A,$E817))</f>
        <v/>
      </c>
      <c r="B817" s="5">
        <f>IF($E817="","",INDEX('Input Transaksi'!$D:$D,$E817))</f>
        <v/>
      </c>
      <c r="C817">
        <f>IF($E817="","",INDEX('Input Transaksi'!$E:$E,$E817))</f>
        <v/>
      </c>
      <c r="D817" s="5">
        <f>IF($E817="","",INDEX('Input Transaksi'!$F:$F,$E817))</f>
        <v/>
      </c>
      <c r="E817">
        <f>IFERROR(AGGREGATE(15,6,ROW('Input Transaksi'!$B$5:$B$5000)/('Input Transaksi'!$B$5:$B$5000="BALI WASH"),ROWS($E$5:E817)),"")</f>
        <v/>
      </c>
      <c r="F817" s="5" t="n"/>
    </row>
    <row r="818">
      <c r="A818" s="10">
        <f>IF($E818="","",INDEX('Input Transaksi'!$A:$A,$E818))</f>
        <v/>
      </c>
      <c r="B818" s="5">
        <f>IF($E818="","",INDEX('Input Transaksi'!$D:$D,$E818))</f>
        <v/>
      </c>
      <c r="C818">
        <f>IF($E818="","",INDEX('Input Transaksi'!$E:$E,$E818))</f>
        <v/>
      </c>
      <c r="D818" s="5">
        <f>IF($E818="","",INDEX('Input Transaksi'!$F:$F,$E818))</f>
        <v/>
      </c>
      <c r="E818">
        <f>IFERROR(AGGREGATE(15,6,ROW('Input Transaksi'!$B$5:$B$5000)/('Input Transaksi'!$B$5:$B$5000="BALI WASH"),ROWS($E$5:E818)),"")</f>
        <v/>
      </c>
      <c r="F818" s="5" t="n"/>
    </row>
    <row r="819">
      <c r="A819" s="10">
        <f>IF($E819="","",INDEX('Input Transaksi'!$A:$A,$E819))</f>
        <v/>
      </c>
      <c r="B819" s="5">
        <f>IF($E819="","",INDEX('Input Transaksi'!$D:$D,$E819))</f>
        <v/>
      </c>
      <c r="C819">
        <f>IF($E819="","",INDEX('Input Transaksi'!$E:$E,$E819))</f>
        <v/>
      </c>
      <c r="D819" s="5">
        <f>IF($E819="","",INDEX('Input Transaksi'!$F:$F,$E819))</f>
        <v/>
      </c>
      <c r="E819">
        <f>IFERROR(AGGREGATE(15,6,ROW('Input Transaksi'!$B$5:$B$5000)/('Input Transaksi'!$B$5:$B$5000="BALI WASH"),ROWS($E$5:E819)),"")</f>
        <v/>
      </c>
      <c r="F819" s="5" t="n"/>
    </row>
    <row r="820">
      <c r="A820" s="10">
        <f>IF($E820="","",INDEX('Input Transaksi'!$A:$A,$E820))</f>
        <v/>
      </c>
      <c r="B820" s="5">
        <f>IF($E820="","",INDEX('Input Transaksi'!$D:$D,$E820))</f>
        <v/>
      </c>
      <c r="C820">
        <f>IF($E820="","",INDEX('Input Transaksi'!$E:$E,$E820))</f>
        <v/>
      </c>
      <c r="D820" s="5">
        <f>IF($E820="","",INDEX('Input Transaksi'!$F:$F,$E820))</f>
        <v/>
      </c>
      <c r="E820">
        <f>IFERROR(AGGREGATE(15,6,ROW('Input Transaksi'!$B$5:$B$5000)/('Input Transaksi'!$B$5:$B$5000="BALI WASH"),ROWS($E$5:E820)),"")</f>
        <v/>
      </c>
      <c r="F820" s="5" t="n"/>
    </row>
    <row r="821">
      <c r="A821" s="10">
        <f>IF($E821="","",INDEX('Input Transaksi'!$A:$A,$E821))</f>
        <v/>
      </c>
      <c r="B821" s="5">
        <f>IF($E821="","",INDEX('Input Transaksi'!$D:$D,$E821))</f>
        <v/>
      </c>
      <c r="C821">
        <f>IF($E821="","",INDEX('Input Transaksi'!$E:$E,$E821))</f>
        <v/>
      </c>
      <c r="D821" s="5">
        <f>IF($E821="","",INDEX('Input Transaksi'!$F:$F,$E821))</f>
        <v/>
      </c>
      <c r="E821">
        <f>IFERROR(AGGREGATE(15,6,ROW('Input Transaksi'!$B$5:$B$5000)/('Input Transaksi'!$B$5:$B$5000="BALI WASH"),ROWS($E$5:E821)),"")</f>
        <v/>
      </c>
      <c r="F821" s="5" t="n"/>
    </row>
    <row r="822">
      <c r="A822" s="10">
        <f>IF($E822="","",INDEX('Input Transaksi'!$A:$A,$E822))</f>
        <v/>
      </c>
      <c r="B822" s="5">
        <f>IF($E822="","",INDEX('Input Transaksi'!$D:$D,$E822))</f>
        <v/>
      </c>
      <c r="C822">
        <f>IF($E822="","",INDEX('Input Transaksi'!$E:$E,$E822))</f>
        <v/>
      </c>
      <c r="D822" s="5">
        <f>IF($E822="","",INDEX('Input Transaksi'!$F:$F,$E822))</f>
        <v/>
      </c>
      <c r="E822">
        <f>IFERROR(AGGREGATE(15,6,ROW('Input Transaksi'!$B$5:$B$5000)/('Input Transaksi'!$B$5:$B$5000="BALI WASH"),ROWS($E$5:E822)),"")</f>
        <v/>
      </c>
      <c r="F822" s="5" t="n"/>
    </row>
    <row r="823">
      <c r="A823" s="10">
        <f>IF($E823="","",INDEX('Input Transaksi'!$A:$A,$E823))</f>
        <v/>
      </c>
      <c r="B823" s="5">
        <f>IF($E823="","",INDEX('Input Transaksi'!$D:$D,$E823))</f>
        <v/>
      </c>
      <c r="C823">
        <f>IF($E823="","",INDEX('Input Transaksi'!$E:$E,$E823))</f>
        <v/>
      </c>
      <c r="D823" s="5">
        <f>IF($E823="","",INDEX('Input Transaksi'!$F:$F,$E823))</f>
        <v/>
      </c>
      <c r="E823">
        <f>IFERROR(AGGREGATE(15,6,ROW('Input Transaksi'!$B$5:$B$5000)/('Input Transaksi'!$B$5:$B$5000="BALI WASH"),ROWS($E$5:E823)),"")</f>
        <v/>
      </c>
      <c r="F823" s="5" t="n"/>
    </row>
    <row r="824">
      <c r="A824" s="10">
        <f>IF($E824="","",INDEX('Input Transaksi'!$A:$A,$E824))</f>
        <v/>
      </c>
      <c r="B824" s="5">
        <f>IF($E824="","",INDEX('Input Transaksi'!$D:$D,$E824))</f>
        <v/>
      </c>
      <c r="C824">
        <f>IF($E824="","",INDEX('Input Transaksi'!$E:$E,$E824))</f>
        <v/>
      </c>
      <c r="D824" s="5">
        <f>IF($E824="","",INDEX('Input Transaksi'!$F:$F,$E824))</f>
        <v/>
      </c>
      <c r="E824">
        <f>IFERROR(AGGREGATE(15,6,ROW('Input Transaksi'!$B$5:$B$5000)/('Input Transaksi'!$B$5:$B$5000="BALI WASH"),ROWS($E$5:E824)),"")</f>
        <v/>
      </c>
      <c r="F824" s="5" t="n"/>
    </row>
    <row r="825">
      <c r="A825" s="10">
        <f>IF($E825="","",INDEX('Input Transaksi'!$A:$A,$E825))</f>
        <v/>
      </c>
      <c r="B825" s="5">
        <f>IF($E825="","",INDEX('Input Transaksi'!$D:$D,$E825))</f>
        <v/>
      </c>
      <c r="C825">
        <f>IF($E825="","",INDEX('Input Transaksi'!$E:$E,$E825))</f>
        <v/>
      </c>
      <c r="D825" s="5">
        <f>IF($E825="","",INDEX('Input Transaksi'!$F:$F,$E825))</f>
        <v/>
      </c>
      <c r="E825">
        <f>IFERROR(AGGREGATE(15,6,ROW('Input Transaksi'!$B$5:$B$5000)/('Input Transaksi'!$B$5:$B$5000="BALI WASH"),ROWS($E$5:E825)),"")</f>
        <v/>
      </c>
      <c r="F825" s="5" t="n"/>
    </row>
    <row r="826">
      <c r="A826" s="10">
        <f>IF($E826="","",INDEX('Input Transaksi'!$A:$A,$E826))</f>
        <v/>
      </c>
      <c r="B826" s="5">
        <f>IF($E826="","",INDEX('Input Transaksi'!$D:$D,$E826))</f>
        <v/>
      </c>
      <c r="C826">
        <f>IF($E826="","",INDEX('Input Transaksi'!$E:$E,$E826))</f>
        <v/>
      </c>
      <c r="D826" s="5">
        <f>IF($E826="","",INDEX('Input Transaksi'!$F:$F,$E826))</f>
        <v/>
      </c>
      <c r="E826">
        <f>IFERROR(AGGREGATE(15,6,ROW('Input Transaksi'!$B$5:$B$5000)/('Input Transaksi'!$B$5:$B$5000="BALI WASH"),ROWS($E$5:E826)),"")</f>
        <v/>
      </c>
      <c r="F826" s="5" t="n"/>
    </row>
    <row r="827">
      <c r="A827" s="10">
        <f>IF($E827="","",INDEX('Input Transaksi'!$A:$A,$E827))</f>
        <v/>
      </c>
      <c r="B827" s="5">
        <f>IF($E827="","",INDEX('Input Transaksi'!$D:$D,$E827))</f>
        <v/>
      </c>
      <c r="C827">
        <f>IF($E827="","",INDEX('Input Transaksi'!$E:$E,$E827))</f>
        <v/>
      </c>
      <c r="D827" s="5">
        <f>IF($E827="","",INDEX('Input Transaksi'!$F:$F,$E827))</f>
        <v/>
      </c>
      <c r="E827">
        <f>IFERROR(AGGREGATE(15,6,ROW('Input Transaksi'!$B$5:$B$5000)/('Input Transaksi'!$B$5:$B$5000="BALI WASH"),ROWS($E$5:E827)),"")</f>
        <v/>
      </c>
      <c r="F827" s="5" t="n"/>
    </row>
    <row r="828">
      <c r="A828" s="10">
        <f>IF($E828="","",INDEX('Input Transaksi'!$A:$A,$E828))</f>
        <v/>
      </c>
      <c r="B828" s="5">
        <f>IF($E828="","",INDEX('Input Transaksi'!$D:$D,$E828))</f>
        <v/>
      </c>
      <c r="C828">
        <f>IF($E828="","",INDEX('Input Transaksi'!$E:$E,$E828))</f>
        <v/>
      </c>
      <c r="D828" s="5">
        <f>IF($E828="","",INDEX('Input Transaksi'!$F:$F,$E828))</f>
        <v/>
      </c>
      <c r="E828">
        <f>IFERROR(AGGREGATE(15,6,ROW('Input Transaksi'!$B$5:$B$5000)/('Input Transaksi'!$B$5:$B$5000="BALI WASH"),ROWS($E$5:E828)),"")</f>
        <v/>
      </c>
      <c r="F828" s="5" t="n"/>
    </row>
    <row r="829">
      <c r="A829" s="10">
        <f>IF($E829="","",INDEX('Input Transaksi'!$A:$A,$E829))</f>
        <v/>
      </c>
      <c r="B829" s="5">
        <f>IF($E829="","",INDEX('Input Transaksi'!$D:$D,$E829))</f>
        <v/>
      </c>
      <c r="C829">
        <f>IF($E829="","",INDEX('Input Transaksi'!$E:$E,$E829))</f>
        <v/>
      </c>
      <c r="D829" s="5">
        <f>IF($E829="","",INDEX('Input Transaksi'!$F:$F,$E829))</f>
        <v/>
      </c>
      <c r="E829">
        <f>IFERROR(AGGREGATE(15,6,ROW('Input Transaksi'!$B$5:$B$5000)/('Input Transaksi'!$B$5:$B$5000="BALI WASH"),ROWS($E$5:E829)),"")</f>
        <v/>
      </c>
      <c r="F829" s="5" t="n"/>
    </row>
    <row r="830">
      <c r="A830" s="10">
        <f>IF($E830="","",INDEX('Input Transaksi'!$A:$A,$E830))</f>
        <v/>
      </c>
      <c r="B830" s="5">
        <f>IF($E830="","",INDEX('Input Transaksi'!$D:$D,$E830))</f>
        <v/>
      </c>
      <c r="C830">
        <f>IF($E830="","",INDEX('Input Transaksi'!$E:$E,$E830))</f>
        <v/>
      </c>
      <c r="D830" s="5">
        <f>IF($E830="","",INDEX('Input Transaksi'!$F:$F,$E830))</f>
        <v/>
      </c>
      <c r="E830">
        <f>IFERROR(AGGREGATE(15,6,ROW('Input Transaksi'!$B$5:$B$5000)/('Input Transaksi'!$B$5:$B$5000="BALI WASH"),ROWS($E$5:E830)),"")</f>
        <v/>
      </c>
      <c r="F830" s="5" t="n"/>
    </row>
    <row r="831">
      <c r="A831" s="10">
        <f>IF($E831="","",INDEX('Input Transaksi'!$A:$A,$E831))</f>
        <v/>
      </c>
      <c r="B831" s="5">
        <f>IF($E831="","",INDEX('Input Transaksi'!$D:$D,$E831))</f>
        <v/>
      </c>
      <c r="C831">
        <f>IF($E831="","",INDEX('Input Transaksi'!$E:$E,$E831))</f>
        <v/>
      </c>
      <c r="D831" s="5">
        <f>IF($E831="","",INDEX('Input Transaksi'!$F:$F,$E831))</f>
        <v/>
      </c>
      <c r="E831">
        <f>IFERROR(AGGREGATE(15,6,ROW('Input Transaksi'!$B$5:$B$5000)/('Input Transaksi'!$B$5:$B$5000="BALI WASH"),ROWS($E$5:E831)),"")</f>
        <v/>
      </c>
      <c r="F831" s="5" t="n"/>
    </row>
    <row r="832">
      <c r="A832" s="10">
        <f>IF($E832="","",INDEX('Input Transaksi'!$A:$A,$E832))</f>
        <v/>
      </c>
      <c r="B832" s="5">
        <f>IF($E832="","",INDEX('Input Transaksi'!$D:$D,$E832))</f>
        <v/>
      </c>
      <c r="C832">
        <f>IF($E832="","",INDEX('Input Transaksi'!$E:$E,$E832))</f>
        <v/>
      </c>
      <c r="D832" s="5">
        <f>IF($E832="","",INDEX('Input Transaksi'!$F:$F,$E832))</f>
        <v/>
      </c>
      <c r="E832">
        <f>IFERROR(AGGREGATE(15,6,ROW('Input Transaksi'!$B$5:$B$5000)/('Input Transaksi'!$B$5:$B$5000="BALI WASH"),ROWS($E$5:E832)),"")</f>
        <v/>
      </c>
      <c r="F832" s="5" t="n"/>
    </row>
    <row r="833">
      <c r="A833" s="10">
        <f>IF($E833="","",INDEX('Input Transaksi'!$A:$A,$E833))</f>
        <v/>
      </c>
      <c r="B833" s="5">
        <f>IF($E833="","",INDEX('Input Transaksi'!$D:$D,$E833))</f>
        <v/>
      </c>
      <c r="C833">
        <f>IF($E833="","",INDEX('Input Transaksi'!$E:$E,$E833))</f>
        <v/>
      </c>
      <c r="D833" s="5">
        <f>IF($E833="","",INDEX('Input Transaksi'!$F:$F,$E833))</f>
        <v/>
      </c>
      <c r="E833">
        <f>IFERROR(AGGREGATE(15,6,ROW('Input Transaksi'!$B$5:$B$5000)/('Input Transaksi'!$B$5:$B$5000="BALI WASH"),ROWS($E$5:E833)),"")</f>
        <v/>
      </c>
      <c r="F833" s="5" t="n"/>
    </row>
    <row r="834">
      <c r="A834" s="10">
        <f>IF($E834="","",INDEX('Input Transaksi'!$A:$A,$E834))</f>
        <v/>
      </c>
      <c r="B834" s="5">
        <f>IF($E834="","",INDEX('Input Transaksi'!$D:$D,$E834))</f>
        <v/>
      </c>
      <c r="C834">
        <f>IF($E834="","",INDEX('Input Transaksi'!$E:$E,$E834))</f>
        <v/>
      </c>
      <c r="D834" s="5">
        <f>IF($E834="","",INDEX('Input Transaksi'!$F:$F,$E834))</f>
        <v/>
      </c>
      <c r="E834">
        <f>IFERROR(AGGREGATE(15,6,ROW('Input Transaksi'!$B$5:$B$5000)/('Input Transaksi'!$B$5:$B$5000="BALI WASH"),ROWS($E$5:E834)),"")</f>
        <v/>
      </c>
      <c r="F834" s="5" t="n"/>
    </row>
    <row r="835">
      <c r="A835" s="10">
        <f>IF($E835="","",INDEX('Input Transaksi'!$A:$A,$E835))</f>
        <v/>
      </c>
      <c r="B835" s="5">
        <f>IF($E835="","",INDEX('Input Transaksi'!$D:$D,$E835))</f>
        <v/>
      </c>
      <c r="C835">
        <f>IF($E835="","",INDEX('Input Transaksi'!$E:$E,$E835))</f>
        <v/>
      </c>
      <c r="D835" s="5">
        <f>IF($E835="","",INDEX('Input Transaksi'!$F:$F,$E835))</f>
        <v/>
      </c>
      <c r="E835">
        <f>IFERROR(AGGREGATE(15,6,ROW('Input Transaksi'!$B$5:$B$5000)/('Input Transaksi'!$B$5:$B$5000="BALI WASH"),ROWS($E$5:E835)),"")</f>
        <v/>
      </c>
      <c r="F835" s="5" t="n"/>
    </row>
    <row r="836">
      <c r="A836" s="10">
        <f>IF($E836="","",INDEX('Input Transaksi'!$A:$A,$E836))</f>
        <v/>
      </c>
      <c r="B836" s="5">
        <f>IF($E836="","",INDEX('Input Transaksi'!$D:$D,$E836))</f>
        <v/>
      </c>
      <c r="C836">
        <f>IF($E836="","",INDEX('Input Transaksi'!$E:$E,$E836))</f>
        <v/>
      </c>
      <c r="D836" s="5">
        <f>IF($E836="","",INDEX('Input Transaksi'!$F:$F,$E836))</f>
        <v/>
      </c>
      <c r="E836">
        <f>IFERROR(AGGREGATE(15,6,ROW('Input Transaksi'!$B$5:$B$5000)/('Input Transaksi'!$B$5:$B$5000="BALI WASH"),ROWS($E$5:E836)),"")</f>
        <v/>
      </c>
      <c r="F836" s="5" t="n"/>
    </row>
    <row r="837">
      <c r="A837" s="10">
        <f>IF($E837="","",INDEX('Input Transaksi'!$A:$A,$E837))</f>
        <v/>
      </c>
      <c r="B837" s="5">
        <f>IF($E837="","",INDEX('Input Transaksi'!$D:$D,$E837))</f>
        <v/>
      </c>
      <c r="C837">
        <f>IF($E837="","",INDEX('Input Transaksi'!$E:$E,$E837))</f>
        <v/>
      </c>
      <c r="D837" s="5">
        <f>IF($E837="","",INDEX('Input Transaksi'!$F:$F,$E837))</f>
        <v/>
      </c>
      <c r="E837">
        <f>IFERROR(AGGREGATE(15,6,ROW('Input Transaksi'!$B$5:$B$5000)/('Input Transaksi'!$B$5:$B$5000="BALI WASH"),ROWS($E$5:E837)),"")</f>
        <v/>
      </c>
      <c r="F837" s="5" t="n"/>
    </row>
    <row r="838">
      <c r="A838" s="10">
        <f>IF($E838="","",INDEX('Input Transaksi'!$A:$A,$E838))</f>
        <v/>
      </c>
      <c r="B838" s="5">
        <f>IF($E838="","",INDEX('Input Transaksi'!$D:$D,$E838))</f>
        <v/>
      </c>
      <c r="C838">
        <f>IF($E838="","",INDEX('Input Transaksi'!$E:$E,$E838))</f>
        <v/>
      </c>
      <c r="D838" s="5">
        <f>IF($E838="","",INDEX('Input Transaksi'!$F:$F,$E838))</f>
        <v/>
      </c>
      <c r="E838">
        <f>IFERROR(AGGREGATE(15,6,ROW('Input Transaksi'!$B$5:$B$5000)/('Input Transaksi'!$B$5:$B$5000="BALI WASH"),ROWS($E$5:E838)),"")</f>
        <v/>
      </c>
      <c r="F838" s="5" t="n"/>
    </row>
    <row r="839">
      <c r="A839" s="10">
        <f>IF($E839="","",INDEX('Input Transaksi'!$A:$A,$E839))</f>
        <v/>
      </c>
      <c r="B839" s="5">
        <f>IF($E839="","",INDEX('Input Transaksi'!$D:$D,$E839))</f>
        <v/>
      </c>
      <c r="C839">
        <f>IF($E839="","",INDEX('Input Transaksi'!$E:$E,$E839))</f>
        <v/>
      </c>
      <c r="D839" s="5">
        <f>IF($E839="","",INDEX('Input Transaksi'!$F:$F,$E839))</f>
        <v/>
      </c>
      <c r="E839">
        <f>IFERROR(AGGREGATE(15,6,ROW('Input Transaksi'!$B$5:$B$5000)/('Input Transaksi'!$B$5:$B$5000="BALI WASH"),ROWS($E$5:E839)),"")</f>
        <v/>
      </c>
      <c r="F839" s="5" t="n"/>
    </row>
    <row r="840">
      <c r="A840" s="10">
        <f>IF($E840="","",INDEX('Input Transaksi'!$A:$A,$E840))</f>
        <v/>
      </c>
      <c r="B840" s="5">
        <f>IF($E840="","",INDEX('Input Transaksi'!$D:$D,$E840))</f>
        <v/>
      </c>
      <c r="C840">
        <f>IF($E840="","",INDEX('Input Transaksi'!$E:$E,$E840))</f>
        <v/>
      </c>
      <c r="D840" s="5">
        <f>IF($E840="","",INDEX('Input Transaksi'!$F:$F,$E840))</f>
        <v/>
      </c>
      <c r="E840">
        <f>IFERROR(AGGREGATE(15,6,ROW('Input Transaksi'!$B$5:$B$5000)/('Input Transaksi'!$B$5:$B$5000="BALI WASH"),ROWS($E$5:E840)),"")</f>
        <v/>
      </c>
      <c r="F840" s="5" t="n"/>
    </row>
    <row r="841">
      <c r="A841" s="10">
        <f>IF($E841="","",INDEX('Input Transaksi'!$A:$A,$E841))</f>
        <v/>
      </c>
      <c r="B841" s="5">
        <f>IF($E841="","",INDEX('Input Transaksi'!$D:$D,$E841))</f>
        <v/>
      </c>
      <c r="C841">
        <f>IF($E841="","",INDEX('Input Transaksi'!$E:$E,$E841))</f>
        <v/>
      </c>
      <c r="D841" s="5">
        <f>IF($E841="","",INDEX('Input Transaksi'!$F:$F,$E841))</f>
        <v/>
      </c>
      <c r="E841">
        <f>IFERROR(AGGREGATE(15,6,ROW('Input Transaksi'!$B$5:$B$5000)/('Input Transaksi'!$B$5:$B$5000="BALI WASH"),ROWS($E$5:E841)),"")</f>
        <v/>
      </c>
      <c r="F841" s="5" t="n"/>
    </row>
    <row r="842">
      <c r="A842" s="10">
        <f>IF($E842="","",INDEX('Input Transaksi'!$A:$A,$E842))</f>
        <v/>
      </c>
      <c r="B842" s="5">
        <f>IF($E842="","",INDEX('Input Transaksi'!$D:$D,$E842))</f>
        <v/>
      </c>
      <c r="C842">
        <f>IF($E842="","",INDEX('Input Transaksi'!$E:$E,$E842))</f>
        <v/>
      </c>
      <c r="D842" s="5">
        <f>IF($E842="","",INDEX('Input Transaksi'!$F:$F,$E842))</f>
        <v/>
      </c>
      <c r="E842">
        <f>IFERROR(AGGREGATE(15,6,ROW('Input Transaksi'!$B$5:$B$5000)/('Input Transaksi'!$B$5:$B$5000="BALI WASH"),ROWS($E$5:E842)),"")</f>
        <v/>
      </c>
      <c r="F842" s="5" t="n"/>
    </row>
    <row r="843">
      <c r="A843" s="10">
        <f>IF($E843="","",INDEX('Input Transaksi'!$A:$A,$E843))</f>
        <v/>
      </c>
      <c r="B843" s="5">
        <f>IF($E843="","",INDEX('Input Transaksi'!$D:$D,$E843))</f>
        <v/>
      </c>
      <c r="C843">
        <f>IF($E843="","",INDEX('Input Transaksi'!$E:$E,$E843))</f>
        <v/>
      </c>
      <c r="D843" s="5">
        <f>IF($E843="","",INDEX('Input Transaksi'!$F:$F,$E843))</f>
        <v/>
      </c>
      <c r="E843">
        <f>IFERROR(AGGREGATE(15,6,ROW('Input Transaksi'!$B$5:$B$5000)/('Input Transaksi'!$B$5:$B$5000="BALI WASH"),ROWS($E$5:E843)),"")</f>
        <v/>
      </c>
      <c r="F843" s="5" t="n"/>
    </row>
    <row r="844">
      <c r="A844" s="10">
        <f>IF($E844="","",INDEX('Input Transaksi'!$A:$A,$E844))</f>
        <v/>
      </c>
      <c r="B844" s="5">
        <f>IF($E844="","",INDEX('Input Transaksi'!$D:$D,$E844))</f>
        <v/>
      </c>
      <c r="C844">
        <f>IF($E844="","",INDEX('Input Transaksi'!$E:$E,$E844))</f>
        <v/>
      </c>
      <c r="D844" s="5">
        <f>IF($E844="","",INDEX('Input Transaksi'!$F:$F,$E844))</f>
        <v/>
      </c>
      <c r="E844">
        <f>IFERROR(AGGREGATE(15,6,ROW('Input Transaksi'!$B$5:$B$5000)/('Input Transaksi'!$B$5:$B$5000="BALI WASH"),ROWS($E$5:E844)),"")</f>
        <v/>
      </c>
      <c r="F844" s="5" t="n"/>
    </row>
    <row r="845">
      <c r="A845" s="10">
        <f>IF($E845="","",INDEX('Input Transaksi'!$A:$A,$E845))</f>
        <v/>
      </c>
      <c r="B845" s="5">
        <f>IF($E845="","",INDEX('Input Transaksi'!$D:$D,$E845))</f>
        <v/>
      </c>
      <c r="C845">
        <f>IF($E845="","",INDEX('Input Transaksi'!$E:$E,$E845))</f>
        <v/>
      </c>
      <c r="D845" s="5">
        <f>IF($E845="","",INDEX('Input Transaksi'!$F:$F,$E845))</f>
        <v/>
      </c>
      <c r="E845">
        <f>IFERROR(AGGREGATE(15,6,ROW('Input Transaksi'!$B$5:$B$5000)/('Input Transaksi'!$B$5:$B$5000="BALI WASH"),ROWS($E$5:E845)),"")</f>
        <v/>
      </c>
      <c r="F845" s="5" t="n"/>
    </row>
    <row r="846">
      <c r="A846" s="10">
        <f>IF($E846="","",INDEX('Input Transaksi'!$A:$A,$E846))</f>
        <v/>
      </c>
      <c r="B846" s="5">
        <f>IF($E846="","",INDEX('Input Transaksi'!$D:$D,$E846))</f>
        <v/>
      </c>
      <c r="C846">
        <f>IF($E846="","",INDEX('Input Transaksi'!$E:$E,$E846))</f>
        <v/>
      </c>
      <c r="D846" s="5">
        <f>IF($E846="","",INDEX('Input Transaksi'!$F:$F,$E846))</f>
        <v/>
      </c>
      <c r="E846">
        <f>IFERROR(AGGREGATE(15,6,ROW('Input Transaksi'!$B$5:$B$5000)/('Input Transaksi'!$B$5:$B$5000="BALI WASH"),ROWS($E$5:E846)),"")</f>
        <v/>
      </c>
      <c r="F846" s="5" t="n"/>
    </row>
    <row r="847">
      <c r="A847" s="10">
        <f>IF($E847="","",INDEX('Input Transaksi'!$A:$A,$E847))</f>
        <v/>
      </c>
      <c r="B847" s="5">
        <f>IF($E847="","",INDEX('Input Transaksi'!$D:$D,$E847))</f>
        <v/>
      </c>
      <c r="C847">
        <f>IF($E847="","",INDEX('Input Transaksi'!$E:$E,$E847))</f>
        <v/>
      </c>
      <c r="D847" s="5">
        <f>IF($E847="","",INDEX('Input Transaksi'!$F:$F,$E847))</f>
        <v/>
      </c>
      <c r="E847">
        <f>IFERROR(AGGREGATE(15,6,ROW('Input Transaksi'!$B$5:$B$5000)/('Input Transaksi'!$B$5:$B$5000="BALI WASH"),ROWS($E$5:E847)),"")</f>
        <v/>
      </c>
      <c r="F847" s="5" t="n"/>
    </row>
    <row r="848">
      <c r="A848" s="10">
        <f>IF($E848="","",INDEX('Input Transaksi'!$A:$A,$E848))</f>
        <v/>
      </c>
      <c r="B848" s="5">
        <f>IF($E848="","",INDEX('Input Transaksi'!$D:$D,$E848))</f>
        <v/>
      </c>
      <c r="C848">
        <f>IF($E848="","",INDEX('Input Transaksi'!$E:$E,$E848))</f>
        <v/>
      </c>
      <c r="D848" s="5">
        <f>IF($E848="","",INDEX('Input Transaksi'!$F:$F,$E848))</f>
        <v/>
      </c>
      <c r="E848">
        <f>IFERROR(AGGREGATE(15,6,ROW('Input Transaksi'!$B$5:$B$5000)/('Input Transaksi'!$B$5:$B$5000="BALI WASH"),ROWS($E$5:E848)),"")</f>
        <v/>
      </c>
      <c r="F848" s="5" t="n"/>
    </row>
    <row r="849">
      <c r="A849" s="10">
        <f>IF($E849="","",INDEX('Input Transaksi'!$A:$A,$E849))</f>
        <v/>
      </c>
      <c r="B849" s="5">
        <f>IF($E849="","",INDEX('Input Transaksi'!$D:$D,$E849))</f>
        <v/>
      </c>
      <c r="C849">
        <f>IF($E849="","",INDEX('Input Transaksi'!$E:$E,$E849))</f>
        <v/>
      </c>
      <c r="D849" s="5">
        <f>IF($E849="","",INDEX('Input Transaksi'!$F:$F,$E849))</f>
        <v/>
      </c>
      <c r="E849">
        <f>IFERROR(AGGREGATE(15,6,ROW('Input Transaksi'!$B$5:$B$5000)/('Input Transaksi'!$B$5:$B$5000="BALI WASH"),ROWS($E$5:E849)),"")</f>
        <v/>
      </c>
      <c r="F849" s="5" t="n"/>
    </row>
    <row r="850">
      <c r="A850" s="10">
        <f>IF($E850="","",INDEX('Input Transaksi'!$A:$A,$E850))</f>
        <v/>
      </c>
      <c r="B850" s="5">
        <f>IF($E850="","",INDEX('Input Transaksi'!$D:$D,$E850))</f>
        <v/>
      </c>
      <c r="C850">
        <f>IF($E850="","",INDEX('Input Transaksi'!$E:$E,$E850))</f>
        <v/>
      </c>
      <c r="D850" s="5">
        <f>IF($E850="","",INDEX('Input Transaksi'!$F:$F,$E850))</f>
        <v/>
      </c>
      <c r="E850">
        <f>IFERROR(AGGREGATE(15,6,ROW('Input Transaksi'!$B$5:$B$5000)/('Input Transaksi'!$B$5:$B$5000="BALI WASH"),ROWS($E$5:E850)),"")</f>
        <v/>
      </c>
      <c r="F850" s="5" t="n"/>
    </row>
    <row r="851">
      <c r="A851" s="10">
        <f>IF($E851="","",INDEX('Input Transaksi'!$A:$A,$E851))</f>
        <v/>
      </c>
      <c r="B851" s="5">
        <f>IF($E851="","",INDEX('Input Transaksi'!$D:$D,$E851))</f>
        <v/>
      </c>
      <c r="C851">
        <f>IF($E851="","",INDEX('Input Transaksi'!$E:$E,$E851))</f>
        <v/>
      </c>
      <c r="D851" s="5">
        <f>IF($E851="","",INDEX('Input Transaksi'!$F:$F,$E851))</f>
        <v/>
      </c>
      <c r="E851">
        <f>IFERROR(AGGREGATE(15,6,ROW('Input Transaksi'!$B$5:$B$5000)/('Input Transaksi'!$B$5:$B$5000="BALI WASH"),ROWS($E$5:E851)),"")</f>
        <v/>
      </c>
      <c r="F851" s="5" t="n"/>
    </row>
    <row r="852">
      <c r="A852" s="10">
        <f>IF($E852="","",INDEX('Input Transaksi'!$A:$A,$E852))</f>
        <v/>
      </c>
      <c r="B852" s="5">
        <f>IF($E852="","",INDEX('Input Transaksi'!$D:$D,$E852))</f>
        <v/>
      </c>
      <c r="C852">
        <f>IF($E852="","",INDEX('Input Transaksi'!$E:$E,$E852))</f>
        <v/>
      </c>
      <c r="D852" s="5">
        <f>IF($E852="","",INDEX('Input Transaksi'!$F:$F,$E852))</f>
        <v/>
      </c>
      <c r="E852">
        <f>IFERROR(AGGREGATE(15,6,ROW('Input Transaksi'!$B$5:$B$5000)/('Input Transaksi'!$B$5:$B$5000="BALI WASH"),ROWS($E$5:E852)),"")</f>
        <v/>
      </c>
      <c r="F852" s="5" t="n"/>
    </row>
    <row r="853">
      <c r="A853" s="10">
        <f>IF($E853="","",INDEX('Input Transaksi'!$A:$A,$E853))</f>
        <v/>
      </c>
      <c r="B853" s="5">
        <f>IF($E853="","",INDEX('Input Transaksi'!$D:$D,$E853))</f>
        <v/>
      </c>
      <c r="C853">
        <f>IF($E853="","",INDEX('Input Transaksi'!$E:$E,$E853))</f>
        <v/>
      </c>
      <c r="D853" s="5">
        <f>IF($E853="","",INDEX('Input Transaksi'!$F:$F,$E853))</f>
        <v/>
      </c>
      <c r="E853">
        <f>IFERROR(AGGREGATE(15,6,ROW('Input Transaksi'!$B$5:$B$5000)/('Input Transaksi'!$B$5:$B$5000="BALI WASH"),ROWS($E$5:E853)),"")</f>
        <v/>
      </c>
      <c r="F853" s="5" t="n"/>
    </row>
    <row r="854">
      <c r="A854" s="10">
        <f>IF($E854="","",INDEX('Input Transaksi'!$A:$A,$E854))</f>
        <v/>
      </c>
      <c r="B854" s="5">
        <f>IF($E854="","",INDEX('Input Transaksi'!$D:$D,$E854))</f>
        <v/>
      </c>
      <c r="C854">
        <f>IF($E854="","",INDEX('Input Transaksi'!$E:$E,$E854))</f>
        <v/>
      </c>
      <c r="D854" s="5">
        <f>IF($E854="","",INDEX('Input Transaksi'!$F:$F,$E854))</f>
        <v/>
      </c>
      <c r="E854">
        <f>IFERROR(AGGREGATE(15,6,ROW('Input Transaksi'!$B$5:$B$5000)/('Input Transaksi'!$B$5:$B$5000="BALI WASH"),ROWS($E$5:E854)),"")</f>
        <v/>
      </c>
      <c r="F854" s="5" t="n"/>
    </row>
    <row r="855">
      <c r="A855" s="10">
        <f>IF($E855="","",INDEX('Input Transaksi'!$A:$A,$E855))</f>
        <v/>
      </c>
      <c r="B855" s="5">
        <f>IF($E855="","",INDEX('Input Transaksi'!$D:$D,$E855))</f>
        <v/>
      </c>
      <c r="C855">
        <f>IF($E855="","",INDEX('Input Transaksi'!$E:$E,$E855))</f>
        <v/>
      </c>
      <c r="D855" s="5">
        <f>IF($E855="","",INDEX('Input Transaksi'!$F:$F,$E855))</f>
        <v/>
      </c>
      <c r="E855">
        <f>IFERROR(AGGREGATE(15,6,ROW('Input Transaksi'!$B$5:$B$5000)/('Input Transaksi'!$B$5:$B$5000="BALI WASH"),ROWS($E$5:E855)),"")</f>
        <v/>
      </c>
      <c r="F855" s="5" t="n"/>
    </row>
    <row r="856">
      <c r="A856" s="10">
        <f>IF($E856="","",INDEX('Input Transaksi'!$A:$A,$E856))</f>
        <v/>
      </c>
      <c r="B856" s="5">
        <f>IF($E856="","",INDEX('Input Transaksi'!$D:$D,$E856))</f>
        <v/>
      </c>
      <c r="C856">
        <f>IF($E856="","",INDEX('Input Transaksi'!$E:$E,$E856))</f>
        <v/>
      </c>
      <c r="D856" s="5">
        <f>IF($E856="","",INDEX('Input Transaksi'!$F:$F,$E856))</f>
        <v/>
      </c>
      <c r="E856">
        <f>IFERROR(AGGREGATE(15,6,ROW('Input Transaksi'!$B$5:$B$5000)/('Input Transaksi'!$B$5:$B$5000="BALI WASH"),ROWS($E$5:E856)),"")</f>
        <v/>
      </c>
      <c r="F856" s="5" t="n"/>
    </row>
    <row r="857">
      <c r="A857" s="10">
        <f>IF($E857="","",INDEX('Input Transaksi'!$A:$A,$E857))</f>
        <v/>
      </c>
      <c r="B857" s="5">
        <f>IF($E857="","",INDEX('Input Transaksi'!$D:$D,$E857))</f>
        <v/>
      </c>
      <c r="C857">
        <f>IF($E857="","",INDEX('Input Transaksi'!$E:$E,$E857))</f>
        <v/>
      </c>
      <c r="D857" s="5">
        <f>IF($E857="","",INDEX('Input Transaksi'!$F:$F,$E857))</f>
        <v/>
      </c>
      <c r="E857">
        <f>IFERROR(AGGREGATE(15,6,ROW('Input Transaksi'!$B$5:$B$5000)/('Input Transaksi'!$B$5:$B$5000="BALI WASH"),ROWS($E$5:E857)),"")</f>
        <v/>
      </c>
      <c r="F857" s="5" t="n"/>
    </row>
    <row r="858">
      <c r="A858" s="10">
        <f>IF($E858="","",INDEX('Input Transaksi'!$A:$A,$E858))</f>
        <v/>
      </c>
      <c r="B858" s="5">
        <f>IF($E858="","",INDEX('Input Transaksi'!$D:$D,$E858))</f>
        <v/>
      </c>
      <c r="C858">
        <f>IF($E858="","",INDEX('Input Transaksi'!$E:$E,$E858))</f>
        <v/>
      </c>
      <c r="D858" s="5">
        <f>IF($E858="","",INDEX('Input Transaksi'!$F:$F,$E858))</f>
        <v/>
      </c>
      <c r="E858">
        <f>IFERROR(AGGREGATE(15,6,ROW('Input Transaksi'!$B$5:$B$5000)/('Input Transaksi'!$B$5:$B$5000="BALI WASH"),ROWS($E$5:E858)),"")</f>
        <v/>
      </c>
      <c r="F858" s="5" t="n"/>
    </row>
    <row r="859">
      <c r="A859" s="10">
        <f>IF($E859="","",INDEX('Input Transaksi'!$A:$A,$E859))</f>
        <v/>
      </c>
      <c r="B859" s="5">
        <f>IF($E859="","",INDEX('Input Transaksi'!$D:$D,$E859))</f>
        <v/>
      </c>
      <c r="C859">
        <f>IF($E859="","",INDEX('Input Transaksi'!$E:$E,$E859))</f>
        <v/>
      </c>
      <c r="D859" s="5">
        <f>IF($E859="","",INDEX('Input Transaksi'!$F:$F,$E859))</f>
        <v/>
      </c>
      <c r="E859">
        <f>IFERROR(AGGREGATE(15,6,ROW('Input Transaksi'!$B$5:$B$5000)/('Input Transaksi'!$B$5:$B$5000="BALI WASH"),ROWS($E$5:E859)),"")</f>
        <v/>
      </c>
      <c r="F859" s="5" t="n"/>
    </row>
    <row r="860">
      <c r="A860" s="10">
        <f>IF($E860="","",INDEX('Input Transaksi'!$A:$A,$E860))</f>
        <v/>
      </c>
      <c r="B860" s="5">
        <f>IF($E860="","",INDEX('Input Transaksi'!$D:$D,$E860))</f>
        <v/>
      </c>
      <c r="C860">
        <f>IF($E860="","",INDEX('Input Transaksi'!$E:$E,$E860))</f>
        <v/>
      </c>
      <c r="D860" s="5">
        <f>IF($E860="","",INDEX('Input Transaksi'!$F:$F,$E860))</f>
        <v/>
      </c>
      <c r="E860">
        <f>IFERROR(AGGREGATE(15,6,ROW('Input Transaksi'!$B$5:$B$5000)/('Input Transaksi'!$B$5:$B$5000="BALI WASH"),ROWS($E$5:E860)),"")</f>
        <v/>
      </c>
      <c r="F860" s="5" t="n"/>
    </row>
    <row r="861">
      <c r="A861" s="10">
        <f>IF($E861="","",INDEX('Input Transaksi'!$A:$A,$E861))</f>
        <v/>
      </c>
      <c r="B861" s="5">
        <f>IF($E861="","",INDEX('Input Transaksi'!$D:$D,$E861))</f>
        <v/>
      </c>
      <c r="C861">
        <f>IF($E861="","",INDEX('Input Transaksi'!$E:$E,$E861))</f>
        <v/>
      </c>
      <c r="D861" s="5">
        <f>IF($E861="","",INDEX('Input Transaksi'!$F:$F,$E861))</f>
        <v/>
      </c>
      <c r="E861">
        <f>IFERROR(AGGREGATE(15,6,ROW('Input Transaksi'!$B$5:$B$5000)/('Input Transaksi'!$B$5:$B$5000="BALI WASH"),ROWS($E$5:E861)),"")</f>
        <v/>
      </c>
      <c r="F861" s="5" t="n"/>
    </row>
    <row r="862">
      <c r="A862" s="10">
        <f>IF($E862="","",INDEX('Input Transaksi'!$A:$A,$E862))</f>
        <v/>
      </c>
      <c r="B862" s="5">
        <f>IF($E862="","",INDEX('Input Transaksi'!$D:$D,$E862))</f>
        <v/>
      </c>
      <c r="C862">
        <f>IF($E862="","",INDEX('Input Transaksi'!$E:$E,$E862))</f>
        <v/>
      </c>
      <c r="D862" s="5">
        <f>IF($E862="","",INDEX('Input Transaksi'!$F:$F,$E862))</f>
        <v/>
      </c>
      <c r="E862">
        <f>IFERROR(AGGREGATE(15,6,ROW('Input Transaksi'!$B$5:$B$5000)/('Input Transaksi'!$B$5:$B$5000="BALI WASH"),ROWS($E$5:E862)),"")</f>
        <v/>
      </c>
      <c r="F862" s="5" t="n"/>
    </row>
    <row r="863">
      <c r="A863" s="10">
        <f>IF($E863="","",INDEX('Input Transaksi'!$A:$A,$E863))</f>
        <v/>
      </c>
      <c r="B863" s="5">
        <f>IF($E863="","",INDEX('Input Transaksi'!$D:$D,$E863))</f>
        <v/>
      </c>
      <c r="C863">
        <f>IF($E863="","",INDEX('Input Transaksi'!$E:$E,$E863))</f>
        <v/>
      </c>
      <c r="D863" s="5">
        <f>IF($E863="","",INDEX('Input Transaksi'!$F:$F,$E863))</f>
        <v/>
      </c>
      <c r="E863">
        <f>IFERROR(AGGREGATE(15,6,ROW('Input Transaksi'!$B$5:$B$5000)/('Input Transaksi'!$B$5:$B$5000="BALI WASH"),ROWS($E$5:E863)),"")</f>
        <v/>
      </c>
      <c r="F863" s="5" t="n"/>
    </row>
    <row r="864">
      <c r="A864" s="10">
        <f>IF($E864="","",INDEX('Input Transaksi'!$A:$A,$E864))</f>
        <v/>
      </c>
      <c r="B864" s="5">
        <f>IF($E864="","",INDEX('Input Transaksi'!$D:$D,$E864))</f>
        <v/>
      </c>
      <c r="C864">
        <f>IF($E864="","",INDEX('Input Transaksi'!$E:$E,$E864))</f>
        <v/>
      </c>
      <c r="D864" s="5">
        <f>IF($E864="","",INDEX('Input Transaksi'!$F:$F,$E864))</f>
        <v/>
      </c>
      <c r="E864">
        <f>IFERROR(AGGREGATE(15,6,ROW('Input Transaksi'!$B$5:$B$5000)/('Input Transaksi'!$B$5:$B$5000="BALI WASH"),ROWS($E$5:E864)),"")</f>
        <v/>
      </c>
      <c r="F864" s="5" t="n"/>
    </row>
    <row r="865">
      <c r="A865" s="10">
        <f>IF($E865="","",INDEX('Input Transaksi'!$A:$A,$E865))</f>
        <v/>
      </c>
      <c r="B865" s="5">
        <f>IF($E865="","",INDEX('Input Transaksi'!$D:$D,$E865))</f>
        <v/>
      </c>
      <c r="C865">
        <f>IF($E865="","",INDEX('Input Transaksi'!$E:$E,$E865))</f>
        <v/>
      </c>
      <c r="D865" s="5">
        <f>IF($E865="","",INDEX('Input Transaksi'!$F:$F,$E865))</f>
        <v/>
      </c>
      <c r="E865">
        <f>IFERROR(AGGREGATE(15,6,ROW('Input Transaksi'!$B$5:$B$5000)/('Input Transaksi'!$B$5:$B$5000="BALI WASH"),ROWS($E$5:E865)),"")</f>
        <v/>
      </c>
      <c r="F865" s="5" t="n"/>
    </row>
    <row r="866">
      <c r="A866" s="10">
        <f>IF($E866="","",INDEX('Input Transaksi'!$A:$A,$E866))</f>
        <v/>
      </c>
      <c r="B866" s="5">
        <f>IF($E866="","",INDEX('Input Transaksi'!$D:$D,$E866))</f>
        <v/>
      </c>
      <c r="C866">
        <f>IF($E866="","",INDEX('Input Transaksi'!$E:$E,$E866))</f>
        <v/>
      </c>
      <c r="D866" s="5">
        <f>IF($E866="","",INDEX('Input Transaksi'!$F:$F,$E866))</f>
        <v/>
      </c>
      <c r="E866">
        <f>IFERROR(AGGREGATE(15,6,ROW('Input Transaksi'!$B$5:$B$5000)/('Input Transaksi'!$B$5:$B$5000="BALI WASH"),ROWS($E$5:E866)),"")</f>
        <v/>
      </c>
      <c r="F866" s="5" t="n"/>
    </row>
    <row r="867">
      <c r="A867" s="10">
        <f>IF($E867="","",INDEX('Input Transaksi'!$A:$A,$E867))</f>
        <v/>
      </c>
      <c r="B867" s="5">
        <f>IF($E867="","",INDEX('Input Transaksi'!$D:$D,$E867))</f>
        <v/>
      </c>
      <c r="C867">
        <f>IF($E867="","",INDEX('Input Transaksi'!$E:$E,$E867))</f>
        <v/>
      </c>
      <c r="D867" s="5">
        <f>IF($E867="","",INDEX('Input Transaksi'!$F:$F,$E867))</f>
        <v/>
      </c>
      <c r="E867">
        <f>IFERROR(AGGREGATE(15,6,ROW('Input Transaksi'!$B$5:$B$5000)/('Input Transaksi'!$B$5:$B$5000="BALI WASH"),ROWS($E$5:E867)),"")</f>
        <v/>
      </c>
      <c r="F867" s="5" t="n"/>
    </row>
    <row r="868">
      <c r="A868" s="10">
        <f>IF($E868="","",INDEX('Input Transaksi'!$A:$A,$E868))</f>
        <v/>
      </c>
      <c r="B868" s="5">
        <f>IF($E868="","",INDEX('Input Transaksi'!$D:$D,$E868))</f>
        <v/>
      </c>
      <c r="C868">
        <f>IF($E868="","",INDEX('Input Transaksi'!$E:$E,$E868))</f>
        <v/>
      </c>
      <c r="D868" s="5">
        <f>IF($E868="","",INDEX('Input Transaksi'!$F:$F,$E868))</f>
        <v/>
      </c>
      <c r="E868">
        <f>IFERROR(AGGREGATE(15,6,ROW('Input Transaksi'!$B$5:$B$5000)/('Input Transaksi'!$B$5:$B$5000="BALI WASH"),ROWS($E$5:E868)),"")</f>
        <v/>
      </c>
      <c r="F868" s="5" t="n"/>
    </row>
    <row r="869">
      <c r="A869" s="10">
        <f>IF($E869="","",INDEX('Input Transaksi'!$A:$A,$E869))</f>
        <v/>
      </c>
      <c r="B869" s="5">
        <f>IF($E869="","",INDEX('Input Transaksi'!$D:$D,$E869))</f>
        <v/>
      </c>
      <c r="C869">
        <f>IF($E869="","",INDEX('Input Transaksi'!$E:$E,$E869))</f>
        <v/>
      </c>
      <c r="D869" s="5">
        <f>IF($E869="","",INDEX('Input Transaksi'!$F:$F,$E869))</f>
        <v/>
      </c>
      <c r="E869">
        <f>IFERROR(AGGREGATE(15,6,ROW('Input Transaksi'!$B$5:$B$5000)/('Input Transaksi'!$B$5:$B$5000="BALI WASH"),ROWS($E$5:E869)),"")</f>
        <v/>
      </c>
      <c r="F869" s="5" t="n"/>
    </row>
    <row r="870">
      <c r="A870" s="10">
        <f>IF($E870="","",INDEX('Input Transaksi'!$A:$A,$E870))</f>
        <v/>
      </c>
      <c r="B870" s="5">
        <f>IF($E870="","",INDEX('Input Transaksi'!$D:$D,$E870))</f>
        <v/>
      </c>
      <c r="C870">
        <f>IF($E870="","",INDEX('Input Transaksi'!$E:$E,$E870))</f>
        <v/>
      </c>
      <c r="D870" s="5">
        <f>IF($E870="","",INDEX('Input Transaksi'!$F:$F,$E870))</f>
        <v/>
      </c>
      <c r="E870">
        <f>IFERROR(AGGREGATE(15,6,ROW('Input Transaksi'!$B$5:$B$5000)/('Input Transaksi'!$B$5:$B$5000="BALI WASH"),ROWS($E$5:E870)),"")</f>
        <v/>
      </c>
      <c r="F870" s="5" t="n"/>
    </row>
    <row r="871">
      <c r="A871" s="10">
        <f>IF($E871="","",INDEX('Input Transaksi'!$A:$A,$E871))</f>
        <v/>
      </c>
      <c r="B871" s="5">
        <f>IF($E871="","",INDEX('Input Transaksi'!$D:$D,$E871))</f>
        <v/>
      </c>
      <c r="C871">
        <f>IF($E871="","",INDEX('Input Transaksi'!$E:$E,$E871))</f>
        <v/>
      </c>
      <c r="D871" s="5">
        <f>IF($E871="","",INDEX('Input Transaksi'!$F:$F,$E871))</f>
        <v/>
      </c>
      <c r="E871">
        <f>IFERROR(AGGREGATE(15,6,ROW('Input Transaksi'!$B$5:$B$5000)/('Input Transaksi'!$B$5:$B$5000="BALI WASH"),ROWS($E$5:E871)),"")</f>
        <v/>
      </c>
      <c r="F871" s="5" t="n"/>
    </row>
    <row r="872">
      <c r="A872" s="10">
        <f>IF($E872="","",INDEX('Input Transaksi'!$A:$A,$E872))</f>
        <v/>
      </c>
      <c r="B872" s="5">
        <f>IF($E872="","",INDEX('Input Transaksi'!$D:$D,$E872))</f>
        <v/>
      </c>
      <c r="C872">
        <f>IF($E872="","",INDEX('Input Transaksi'!$E:$E,$E872))</f>
        <v/>
      </c>
      <c r="D872" s="5">
        <f>IF($E872="","",INDEX('Input Transaksi'!$F:$F,$E872))</f>
        <v/>
      </c>
      <c r="E872">
        <f>IFERROR(AGGREGATE(15,6,ROW('Input Transaksi'!$B$5:$B$5000)/('Input Transaksi'!$B$5:$B$5000="BALI WASH"),ROWS($E$5:E872)),"")</f>
        <v/>
      </c>
      <c r="F872" s="5" t="n"/>
    </row>
    <row r="873">
      <c r="A873" s="10">
        <f>IF($E873="","",INDEX('Input Transaksi'!$A:$A,$E873))</f>
        <v/>
      </c>
      <c r="B873" s="5">
        <f>IF($E873="","",INDEX('Input Transaksi'!$D:$D,$E873))</f>
        <v/>
      </c>
      <c r="C873">
        <f>IF($E873="","",INDEX('Input Transaksi'!$E:$E,$E873))</f>
        <v/>
      </c>
      <c r="D873" s="5">
        <f>IF($E873="","",INDEX('Input Transaksi'!$F:$F,$E873))</f>
        <v/>
      </c>
      <c r="E873">
        <f>IFERROR(AGGREGATE(15,6,ROW('Input Transaksi'!$B$5:$B$5000)/('Input Transaksi'!$B$5:$B$5000="BALI WASH"),ROWS($E$5:E873)),"")</f>
        <v/>
      </c>
      <c r="F873" s="5" t="n"/>
    </row>
    <row r="874">
      <c r="A874" s="10">
        <f>IF($E874="","",INDEX('Input Transaksi'!$A:$A,$E874))</f>
        <v/>
      </c>
      <c r="B874" s="5">
        <f>IF($E874="","",INDEX('Input Transaksi'!$D:$D,$E874))</f>
        <v/>
      </c>
      <c r="C874">
        <f>IF($E874="","",INDEX('Input Transaksi'!$E:$E,$E874))</f>
        <v/>
      </c>
      <c r="D874" s="5">
        <f>IF($E874="","",INDEX('Input Transaksi'!$F:$F,$E874))</f>
        <v/>
      </c>
      <c r="E874">
        <f>IFERROR(AGGREGATE(15,6,ROW('Input Transaksi'!$B$5:$B$5000)/('Input Transaksi'!$B$5:$B$5000="BALI WASH"),ROWS($E$5:E874)),"")</f>
        <v/>
      </c>
      <c r="F874" s="5" t="n"/>
    </row>
    <row r="875">
      <c r="A875" s="10">
        <f>IF($E875="","",INDEX('Input Transaksi'!$A:$A,$E875))</f>
        <v/>
      </c>
      <c r="B875" s="5">
        <f>IF($E875="","",INDEX('Input Transaksi'!$D:$D,$E875))</f>
        <v/>
      </c>
      <c r="C875">
        <f>IF($E875="","",INDEX('Input Transaksi'!$E:$E,$E875))</f>
        <v/>
      </c>
      <c r="D875" s="5">
        <f>IF($E875="","",INDEX('Input Transaksi'!$F:$F,$E875))</f>
        <v/>
      </c>
      <c r="E875">
        <f>IFERROR(AGGREGATE(15,6,ROW('Input Transaksi'!$B$5:$B$5000)/('Input Transaksi'!$B$5:$B$5000="BALI WASH"),ROWS($E$5:E875)),"")</f>
        <v/>
      </c>
      <c r="F875" s="5" t="n"/>
    </row>
    <row r="876">
      <c r="A876" s="10">
        <f>IF($E876="","",INDEX('Input Transaksi'!$A:$A,$E876))</f>
        <v/>
      </c>
      <c r="B876" s="5">
        <f>IF($E876="","",INDEX('Input Transaksi'!$D:$D,$E876))</f>
        <v/>
      </c>
      <c r="C876">
        <f>IF($E876="","",INDEX('Input Transaksi'!$E:$E,$E876))</f>
        <v/>
      </c>
      <c r="D876" s="5">
        <f>IF($E876="","",INDEX('Input Transaksi'!$F:$F,$E876))</f>
        <v/>
      </c>
      <c r="E876">
        <f>IFERROR(AGGREGATE(15,6,ROW('Input Transaksi'!$B$5:$B$5000)/('Input Transaksi'!$B$5:$B$5000="BALI WASH"),ROWS($E$5:E876)),"")</f>
        <v/>
      </c>
      <c r="F876" s="5" t="n"/>
    </row>
    <row r="877">
      <c r="A877" s="10">
        <f>IF($E877="","",INDEX('Input Transaksi'!$A:$A,$E877))</f>
        <v/>
      </c>
      <c r="B877" s="5">
        <f>IF($E877="","",INDEX('Input Transaksi'!$D:$D,$E877))</f>
        <v/>
      </c>
      <c r="C877">
        <f>IF($E877="","",INDEX('Input Transaksi'!$E:$E,$E877))</f>
        <v/>
      </c>
      <c r="D877" s="5">
        <f>IF($E877="","",INDEX('Input Transaksi'!$F:$F,$E877))</f>
        <v/>
      </c>
      <c r="E877">
        <f>IFERROR(AGGREGATE(15,6,ROW('Input Transaksi'!$B$5:$B$5000)/('Input Transaksi'!$B$5:$B$5000="BALI WASH"),ROWS($E$5:E877)),"")</f>
        <v/>
      </c>
      <c r="F877" s="5" t="n"/>
    </row>
    <row r="878">
      <c r="A878" s="10">
        <f>IF($E878="","",INDEX('Input Transaksi'!$A:$A,$E878))</f>
        <v/>
      </c>
      <c r="B878" s="5">
        <f>IF($E878="","",INDEX('Input Transaksi'!$D:$D,$E878))</f>
        <v/>
      </c>
      <c r="C878">
        <f>IF($E878="","",INDEX('Input Transaksi'!$E:$E,$E878))</f>
        <v/>
      </c>
      <c r="D878" s="5">
        <f>IF($E878="","",INDEX('Input Transaksi'!$F:$F,$E878))</f>
        <v/>
      </c>
      <c r="E878">
        <f>IFERROR(AGGREGATE(15,6,ROW('Input Transaksi'!$B$5:$B$5000)/('Input Transaksi'!$B$5:$B$5000="BALI WASH"),ROWS($E$5:E878)),"")</f>
        <v/>
      </c>
      <c r="F878" s="5" t="n"/>
    </row>
    <row r="879">
      <c r="A879" s="10">
        <f>IF($E879="","",INDEX('Input Transaksi'!$A:$A,$E879))</f>
        <v/>
      </c>
      <c r="B879" s="5">
        <f>IF($E879="","",INDEX('Input Transaksi'!$D:$D,$E879))</f>
        <v/>
      </c>
      <c r="C879">
        <f>IF($E879="","",INDEX('Input Transaksi'!$E:$E,$E879))</f>
        <v/>
      </c>
      <c r="D879" s="5">
        <f>IF($E879="","",INDEX('Input Transaksi'!$F:$F,$E879))</f>
        <v/>
      </c>
      <c r="E879">
        <f>IFERROR(AGGREGATE(15,6,ROW('Input Transaksi'!$B$5:$B$5000)/('Input Transaksi'!$B$5:$B$5000="BALI WASH"),ROWS($E$5:E879)),"")</f>
        <v/>
      </c>
      <c r="F879" s="5" t="n"/>
    </row>
    <row r="880">
      <c r="A880" s="10">
        <f>IF($E880="","",INDEX('Input Transaksi'!$A:$A,$E880))</f>
        <v/>
      </c>
      <c r="B880" s="5">
        <f>IF($E880="","",INDEX('Input Transaksi'!$D:$D,$E880))</f>
        <v/>
      </c>
      <c r="C880">
        <f>IF($E880="","",INDEX('Input Transaksi'!$E:$E,$E880))</f>
        <v/>
      </c>
      <c r="D880" s="5">
        <f>IF($E880="","",INDEX('Input Transaksi'!$F:$F,$E880))</f>
        <v/>
      </c>
      <c r="E880">
        <f>IFERROR(AGGREGATE(15,6,ROW('Input Transaksi'!$B$5:$B$5000)/('Input Transaksi'!$B$5:$B$5000="BALI WASH"),ROWS($E$5:E880)),"")</f>
        <v/>
      </c>
      <c r="F880" s="5" t="n"/>
    </row>
    <row r="881">
      <c r="A881" s="10">
        <f>IF($E881="","",INDEX('Input Transaksi'!$A:$A,$E881))</f>
        <v/>
      </c>
      <c r="B881" s="5">
        <f>IF($E881="","",INDEX('Input Transaksi'!$D:$D,$E881))</f>
        <v/>
      </c>
      <c r="C881">
        <f>IF($E881="","",INDEX('Input Transaksi'!$E:$E,$E881))</f>
        <v/>
      </c>
      <c r="D881" s="5">
        <f>IF($E881="","",INDEX('Input Transaksi'!$F:$F,$E881))</f>
        <v/>
      </c>
      <c r="E881">
        <f>IFERROR(AGGREGATE(15,6,ROW('Input Transaksi'!$B$5:$B$5000)/('Input Transaksi'!$B$5:$B$5000="BALI WASH"),ROWS($E$5:E881)),"")</f>
        <v/>
      </c>
      <c r="F881" s="5" t="n"/>
    </row>
    <row r="882">
      <c r="A882" s="10">
        <f>IF($E882="","",INDEX('Input Transaksi'!$A:$A,$E882))</f>
        <v/>
      </c>
      <c r="B882" s="5">
        <f>IF($E882="","",INDEX('Input Transaksi'!$D:$D,$E882))</f>
        <v/>
      </c>
      <c r="C882">
        <f>IF($E882="","",INDEX('Input Transaksi'!$E:$E,$E882))</f>
        <v/>
      </c>
      <c r="D882" s="5">
        <f>IF($E882="","",INDEX('Input Transaksi'!$F:$F,$E882))</f>
        <v/>
      </c>
      <c r="E882">
        <f>IFERROR(AGGREGATE(15,6,ROW('Input Transaksi'!$B$5:$B$5000)/('Input Transaksi'!$B$5:$B$5000="BALI WASH"),ROWS($E$5:E882)),"")</f>
        <v/>
      </c>
      <c r="F882" s="5" t="n"/>
    </row>
    <row r="883">
      <c r="A883" s="10">
        <f>IF($E883="","",INDEX('Input Transaksi'!$A:$A,$E883))</f>
        <v/>
      </c>
      <c r="B883" s="5">
        <f>IF($E883="","",INDEX('Input Transaksi'!$D:$D,$E883))</f>
        <v/>
      </c>
      <c r="C883">
        <f>IF($E883="","",INDEX('Input Transaksi'!$E:$E,$E883))</f>
        <v/>
      </c>
      <c r="D883" s="5">
        <f>IF($E883="","",INDEX('Input Transaksi'!$F:$F,$E883))</f>
        <v/>
      </c>
      <c r="E883">
        <f>IFERROR(AGGREGATE(15,6,ROW('Input Transaksi'!$B$5:$B$5000)/('Input Transaksi'!$B$5:$B$5000="BALI WASH"),ROWS($E$5:E883)),"")</f>
        <v/>
      </c>
      <c r="F883" s="5" t="n"/>
    </row>
    <row r="884">
      <c r="A884" s="10">
        <f>IF($E884="","",INDEX('Input Transaksi'!$A:$A,$E884))</f>
        <v/>
      </c>
      <c r="B884" s="5">
        <f>IF($E884="","",INDEX('Input Transaksi'!$D:$D,$E884))</f>
        <v/>
      </c>
      <c r="C884">
        <f>IF($E884="","",INDEX('Input Transaksi'!$E:$E,$E884))</f>
        <v/>
      </c>
      <c r="D884" s="5">
        <f>IF($E884="","",INDEX('Input Transaksi'!$F:$F,$E884))</f>
        <v/>
      </c>
      <c r="E884">
        <f>IFERROR(AGGREGATE(15,6,ROW('Input Transaksi'!$B$5:$B$5000)/('Input Transaksi'!$B$5:$B$5000="BALI WASH"),ROWS($E$5:E884)),"")</f>
        <v/>
      </c>
      <c r="F884" s="5" t="n"/>
    </row>
    <row r="885">
      <c r="A885" s="10">
        <f>IF($E885="","",INDEX('Input Transaksi'!$A:$A,$E885))</f>
        <v/>
      </c>
      <c r="B885" s="5">
        <f>IF($E885="","",INDEX('Input Transaksi'!$D:$D,$E885))</f>
        <v/>
      </c>
      <c r="C885">
        <f>IF($E885="","",INDEX('Input Transaksi'!$E:$E,$E885))</f>
        <v/>
      </c>
      <c r="D885" s="5">
        <f>IF($E885="","",INDEX('Input Transaksi'!$F:$F,$E885))</f>
        <v/>
      </c>
      <c r="E885">
        <f>IFERROR(AGGREGATE(15,6,ROW('Input Transaksi'!$B$5:$B$5000)/('Input Transaksi'!$B$5:$B$5000="BALI WASH"),ROWS($E$5:E885)),"")</f>
        <v/>
      </c>
      <c r="F885" s="5" t="n"/>
    </row>
    <row r="886">
      <c r="A886" s="10">
        <f>IF($E886="","",INDEX('Input Transaksi'!$A:$A,$E886))</f>
        <v/>
      </c>
      <c r="B886" s="5">
        <f>IF($E886="","",INDEX('Input Transaksi'!$D:$D,$E886))</f>
        <v/>
      </c>
      <c r="C886">
        <f>IF($E886="","",INDEX('Input Transaksi'!$E:$E,$E886))</f>
        <v/>
      </c>
      <c r="D886" s="5">
        <f>IF($E886="","",INDEX('Input Transaksi'!$F:$F,$E886))</f>
        <v/>
      </c>
      <c r="E886">
        <f>IFERROR(AGGREGATE(15,6,ROW('Input Transaksi'!$B$5:$B$5000)/('Input Transaksi'!$B$5:$B$5000="BALI WASH"),ROWS($E$5:E886)),"")</f>
        <v/>
      </c>
      <c r="F886" s="5" t="n"/>
    </row>
    <row r="887">
      <c r="A887" s="10">
        <f>IF($E887="","",INDEX('Input Transaksi'!$A:$A,$E887))</f>
        <v/>
      </c>
      <c r="B887" s="5">
        <f>IF($E887="","",INDEX('Input Transaksi'!$D:$D,$E887))</f>
        <v/>
      </c>
      <c r="C887">
        <f>IF($E887="","",INDEX('Input Transaksi'!$E:$E,$E887))</f>
        <v/>
      </c>
      <c r="D887" s="5">
        <f>IF($E887="","",INDEX('Input Transaksi'!$F:$F,$E887))</f>
        <v/>
      </c>
      <c r="E887">
        <f>IFERROR(AGGREGATE(15,6,ROW('Input Transaksi'!$B$5:$B$5000)/('Input Transaksi'!$B$5:$B$5000="BALI WASH"),ROWS($E$5:E887)),"")</f>
        <v/>
      </c>
      <c r="F887" s="5" t="n"/>
    </row>
    <row r="888">
      <c r="A888" s="10">
        <f>IF($E888="","",INDEX('Input Transaksi'!$A:$A,$E888))</f>
        <v/>
      </c>
      <c r="B888" s="5">
        <f>IF($E888="","",INDEX('Input Transaksi'!$D:$D,$E888))</f>
        <v/>
      </c>
      <c r="C888">
        <f>IF($E888="","",INDEX('Input Transaksi'!$E:$E,$E888))</f>
        <v/>
      </c>
      <c r="D888" s="5">
        <f>IF($E888="","",INDEX('Input Transaksi'!$F:$F,$E888))</f>
        <v/>
      </c>
      <c r="E888">
        <f>IFERROR(AGGREGATE(15,6,ROW('Input Transaksi'!$B$5:$B$5000)/('Input Transaksi'!$B$5:$B$5000="BALI WASH"),ROWS($E$5:E888)),"")</f>
        <v/>
      </c>
      <c r="F888" s="5" t="n"/>
    </row>
    <row r="889">
      <c r="A889" s="10">
        <f>IF($E889="","",INDEX('Input Transaksi'!$A:$A,$E889))</f>
        <v/>
      </c>
      <c r="B889" s="5">
        <f>IF($E889="","",INDEX('Input Transaksi'!$D:$D,$E889))</f>
        <v/>
      </c>
      <c r="C889">
        <f>IF($E889="","",INDEX('Input Transaksi'!$E:$E,$E889))</f>
        <v/>
      </c>
      <c r="D889" s="5">
        <f>IF($E889="","",INDEX('Input Transaksi'!$F:$F,$E889))</f>
        <v/>
      </c>
      <c r="E889">
        <f>IFERROR(AGGREGATE(15,6,ROW('Input Transaksi'!$B$5:$B$5000)/('Input Transaksi'!$B$5:$B$5000="BALI WASH"),ROWS($E$5:E889)),"")</f>
        <v/>
      </c>
      <c r="F889" s="5" t="n"/>
    </row>
    <row r="890">
      <c r="A890" s="10">
        <f>IF($E890="","",INDEX('Input Transaksi'!$A:$A,$E890))</f>
        <v/>
      </c>
      <c r="B890" s="5">
        <f>IF($E890="","",INDEX('Input Transaksi'!$D:$D,$E890))</f>
        <v/>
      </c>
      <c r="C890">
        <f>IF($E890="","",INDEX('Input Transaksi'!$E:$E,$E890))</f>
        <v/>
      </c>
      <c r="D890" s="5">
        <f>IF($E890="","",INDEX('Input Transaksi'!$F:$F,$E890))</f>
        <v/>
      </c>
      <c r="E890">
        <f>IFERROR(AGGREGATE(15,6,ROW('Input Transaksi'!$B$5:$B$5000)/('Input Transaksi'!$B$5:$B$5000="BALI WASH"),ROWS($E$5:E890)),"")</f>
        <v/>
      </c>
      <c r="F890" s="5" t="n"/>
    </row>
    <row r="891">
      <c r="A891" s="10">
        <f>IF($E891="","",INDEX('Input Transaksi'!$A:$A,$E891))</f>
        <v/>
      </c>
      <c r="B891" s="5">
        <f>IF($E891="","",INDEX('Input Transaksi'!$D:$D,$E891))</f>
        <v/>
      </c>
      <c r="C891">
        <f>IF($E891="","",INDEX('Input Transaksi'!$E:$E,$E891))</f>
        <v/>
      </c>
      <c r="D891" s="5">
        <f>IF($E891="","",INDEX('Input Transaksi'!$F:$F,$E891))</f>
        <v/>
      </c>
      <c r="E891">
        <f>IFERROR(AGGREGATE(15,6,ROW('Input Transaksi'!$B$5:$B$5000)/('Input Transaksi'!$B$5:$B$5000="BALI WASH"),ROWS($E$5:E891)),"")</f>
        <v/>
      </c>
      <c r="F891" s="5" t="n"/>
    </row>
    <row r="892">
      <c r="A892" s="10">
        <f>IF($E892="","",INDEX('Input Transaksi'!$A:$A,$E892))</f>
        <v/>
      </c>
      <c r="B892" s="5">
        <f>IF($E892="","",INDEX('Input Transaksi'!$D:$D,$E892))</f>
        <v/>
      </c>
      <c r="C892">
        <f>IF($E892="","",INDEX('Input Transaksi'!$E:$E,$E892))</f>
        <v/>
      </c>
      <c r="D892" s="5">
        <f>IF($E892="","",INDEX('Input Transaksi'!$F:$F,$E892))</f>
        <v/>
      </c>
      <c r="E892">
        <f>IFERROR(AGGREGATE(15,6,ROW('Input Transaksi'!$B$5:$B$5000)/('Input Transaksi'!$B$5:$B$5000="BALI WASH"),ROWS($E$5:E892)),"")</f>
        <v/>
      </c>
      <c r="F892" s="5" t="n"/>
    </row>
    <row r="893">
      <c r="A893" s="10">
        <f>IF($E893="","",INDEX('Input Transaksi'!$A:$A,$E893))</f>
        <v/>
      </c>
      <c r="B893" s="5">
        <f>IF($E893="","",INDEX('Input Transaksi'!$D:$D,$E893))</f>
        <v/>
      </c>
      <c r="C893">
        <f>IF($E893="","",INDEX('Input Transaksi'!$E:$E,$E893))</f>
        <v/>
      </c>
      <c r="D893" s="5">
        <f>IF($E893="","",INDEX('Input Transaksi'!$F:$F,$E893))</f>
        <v/>
      </c>
      <c r="E893">
        <f>IFERROR(AGGREGATE(15,6,ROW('Input Transaksi'!$B$5:$B$5000)/('Input Transaksi'!$B$5:$B$5000="BALI WASH"),ROWS($E$5:E893)),"")</f>
        <v/>
      </c>
      <c r="F893" s="5" t="n"/>
    </row>
    <row r="894">
      <c r="A894" s="10">
        <f>IF($E894="","",INDEX('Input Transaksi'!$A:$A,$E894))</f>
        <v/>
      </c>
      <c r="B894" s="5">
        <f>IF($E894="","",INDEX('Input Transaksi'!$D:$D,$E894))</f>
        <v/>
      </c>
      <c r="C894">
        <f>IF($E894="","",INDEX('Input Transaksi'!$E:$E,$E894))</f>
        <v/>
      </c>
      <c r="D894" s="5">
        <f>IF($E894="","",INDEX('Input Transaksi'!$F:$F,$E894))</f>
        <v/>
      </c>
      <c r="E894">
        <f>IFERROR(AGGREGATE(15,6,ROW('Input Transaksi'!$B$5:$B$5000)/('Input Transaksi'!$B$5:$B$5000="BALI WASH"),ROWS($E$5:E894)),"")</f>
        <v/>
      </c>
      <c r="F894" s="5" t="n"/>
    </row>
    <row r="895">
      <c r="A895" s="10">
        <f>IF($E895="","",INDEX('Input Transaksi'!$A:$A,$E895))</f>
        <v/>
      </c>
      <c r="B895" s="5">
        <f>IF($E895="","",INDEX('Input Transaksi'!$D:$D,$E895))</f>
        <v/>
      </c>
      <c r="C895">
        <f>IF($E895="","",INDEX('Input Transaksi'!$E:$E,$E895))</f>
        <v/>
      </c>
      <c r="D895" s="5">
        <f>IF($E895="","",INDEX('Input Transaksi'!$F:$F,$E895))</f>
        <v/>
      </c>
      <c r="E895">
        <f>IFERROR(AGGREGATE(15,6,ROW('Input Transaksi'!$B$5:$B$5000)/('Input Transaksi'!$B$5:$B$5000="BALI WASH"),ROWS($E$5:E895)),"")</f>
        <v/>
      </c>
      <c r="F895" s="5" t="n"/>
    </row>
    <row r="896">
      <c r="A896" s="10">
        <f>IF($E896="","",INDEX('Input Transaksi'!$A:$A,$E896))</f>
        <v/>
      </c>
      <c r="B896" s="5">
        <f>IF($E896="","",INDEX('Input Transaksi'!$D:$D,$E896))</f>
        <v/>
      </c>
      <c r="C896">
        <f>IF($E896="","",INDEX('Input Transaksi'!$E:$E,$E896))</f>
        <v/>
      </c>
      <c r="D896" s="5">
        <f>IF($E896="","",INDEX('Input Transaksi'!$F:$F,$E896))</f>
        <v/>
      </c>
      <c r="E896">
        <f>IFERROR(AGGREGATE(15,6,ROW('Input Transaksi'!$B$5:$B$5000)/('Input Transaksi'!$B$5:$B$5000="BALI WASH"),ROWS($E$5:E896)),"")</f>
        <v/>
      </c>
      <c r="F896" s="5" t="n"/>
    </row>
    <row r="897">
      <c r="A897" s="10">
        <f>IF($E897="","",INDEX('Input Transaksi'!$A:$A,$E897))</f>
        <v/>
      </c>
      <c r="B897" s="5">
        <f>IF($E897="","",INDEX('Input Transaksi'!$D:$D,$E897))</f>
        <v/>
      </c>
      <c r="C897">
        <f>IF($E897="","",INDEX('Input Transaksi'!$E:$E,$E897))</f>
        <v/>
      </c>
      <c r="D897" s="5">
        <f>IF($E897="","",INDEX('Input Transaksi'!$F:$F,$E897))</f>
        <v/>
      </c>
      <c r="E897">
        <f>IFERROR(AGGREGATE(15,6,ROW('Input Transaksi'!$B$5:$B$5000)/('Input Transaksi'!$B$5:$B$5000="BALI WASH"),ROWS($E$5:E897)),"")</f>
        <v/>
      </c>
      <c r="F897" s="5" t="n"/>
    </row>
    <row r="898">
      <c r="A898" s="10">
        <f>IF($E898="","",INDEX('Input Transaksi'!$A:$A,$E898))</f>
        <v/>
      </c>
      <c r="B898" s="5">
        <f>IF($E898="","",INDEX('Input Transaksi'!$D:$D,$E898))</f>
        <v/>
      </c>
      <c r="C898">
        <f>IF($E898="","",INDEX('Input Transaksi'!$E:$E,$E898))</f>
        <v/>
      </c>
      <c r="D898" s="5">
        <f>IF($E898="","",INDEX('Input Transaksi'!$F:$F,$E898))</f>
        <v/>
      </c>
      <c r="E898">
        <f>IFERROR(AGGREGATE(15,6,ROW('Input Transaksi'!$B$5:$B$5000)/('Input Transaksi'!$B$5:$B$5000="BALI WASH"),ROWS($E$5:E898)),"")</f>
        <v/>
      </c>
      <c r="F898" s="5" t="n"/>
    </row>
    <row r="899">
      <c r="A899" s="10">
        <f>IF($E899="","",INDEX('Input Transaksi'!$A:$A,$E899))</f>
        <v/>
      </c>
      <c r="B899" s="5">
        <f>IF($E899="","",INDEX('Input Transaksi'!$D:$D,$E899))</f>
        <v/>
      </c>
      <c r="C899">
        <f>IF($E899="","",INDEX('Input Transaksi'!$E:$E,$E899))</f>
        <v/>
      </c>
      <c r="D899" s="5">
        <f>IF($E899="","",INDEX('Input Transaksi'!$F:$F,$E899))</f>
        <v/>
      </c>
      <c r="E899">
        <f>IFERROR(AGGREGATE(15,6,ROW('Input Transaksi'!$B$5:$B$5000)/('Input Transaksi'!$B$5:$B$5000="BALI WASH"),ROWS($E$5:E899)),"")</f>
        <v/>
      </c>
      <c r="F899" s="5" t="n"/>
    </row>
    <row r="900">
      <c r="A900" s="10">
        <f>IF($E900="","",INDEX('Input Transaksi'!$A:$A,$E900))</f>
        <v/>
      </c>
      <c r="B900" s="5">
        <f>IF($E900="","",INDEX('Input Transaksi'!$D:$D,$E900))</f>
        <v/>
      </c>
      <c r="C900">
        <f>IF($E900="","",INDEX('Input Transaksi'!$E:$E,$E900))</f>
        <v/>
      </c>
      <c r="D900" s="5">
        <f>IF($E900="","",INDEX('Input Transaksi'!$F:$F,$E900))</f>
        <v/>
      </c>
      <c r="E900">
        <f>IFERROR(AGGREGATE(15,6,ROW('Input Transaksi'!$B$5:$B$5000)/('Input Transaksi'!$B$5:$B$5000="BALI WASH"),ROWS($E$5:E900)),"")</f>
        <v/>
      </c>
      <c r="F900" s="5" t="n"/>
    </row>
    <row r="901">
      <c r="A901" s="10">
        <f>IF($E901="","",INDEX('Input Transaksi'!$A:$A,$E901))</f>
        <v/>
      </c>
      <c r="B901" s="5">
        <f>IF($E901="","",INDEX('Input Transaksi'!$D:$D,$E901))</f>
        <v/>
      </c>
      <c r="C901">
        <f>IF($E901="","",INDEX('Input Transaksi'!$E:$E,$E901))</f>
        <v/>
      </c>
      <c r="D901" s="5">
        <f>IF($E901="","",INDEX('Input Transaksi'!$F:$F,$E901))</f>
        <v/>
      </c>
      <c r="E901">
        <f>IFERROR(AGGREGATE(15,6,ROW('Input Transaksi'!$B$5:$B$5000)/('Input Transaksi'!$B$5:$B$5000="BALI WASH"),ROWS($E$5:E901)),"")</f>
        <v/>
      </c>
      <c r="F901" s="5" t="n"/>
    </row>
    <row r="902">
      <c r="A902" s="10">
        <f>IF($E902="","",INDEX('Input Transaksi'!$A:$A,$E902))</f>
        <v/>
      </c>
      <c r="B902" s="5">
        <f>IF($E902="","",INDEX('Input Transaksi'!$D:$D,$E902))</f>
        <v/>
      </c>
      <c r="C902">
        <f>IF($E902="","",INDEX('Input Transaksi'!$E:$E,$E902))</f>
        <v/>
      </c>
      <c r="D902" s="5">
        <f>IF($E902="","",INDEX('Input Transaksi'!$F:$F,$E902))</f>
        <v/>
      </c>
      <c r="E902">
        <f>IFERROR(AGGREGATE(15,6,ROW('Input Transaksi'!$B$5:$B$5000)/('Input Transaksi'!$B$5:$B$5000="BALI WASH"),ROWS($E$5:E902)),"")</f>
        <v/>
      </c>
      <c r="F902" s="5" t="n"/>
    </row>
    <row r="903">
      <c r="A903" s="10">
        <f>IF($E903="","",INDEX('Input Transaksi'!$A:$A,$E903))</f>
        <v/>
      </c>
      <c r="B903" s="5">
        <f>IF($E903="","",INDEX('Input Transaksi'!$D:$D,$E903))</f>
        <v/>
      </c>
      <c r="C903">
        <f>IF($E903="","",INDEX('Input Transaksi'!$E:$E,$E903))</f>
        <v/>
      </c>
      <c r="D903" s="5">
        <f>IF($E903="","",INDEX('Input Transaksi'!$F:$F,$E903))</f>
        <v/>
      </c>
      <c r="E903">
        <f>IFERROR(AGGREGATE(15,6,ROW('Input Transaksi'!$B$5:$B$5000)/('Input Transaksi'!$B$5:$B$5000="BALI WASH"),ROWS($E$5:E903)),"")</f>
        <v/>
      </c>
      <c r="F903" s="5" t="n"/>
    </row>
    <row r="904">
      <c r="A904" s="10">
        <f>IF($E904="","",INDEX('Input Transaksi'!$A:$A,$E904))</f>
        <v/>
      </c>
      <c r="B904" s="5">
        <f>IF($E904="","",INDEX('Input Transaksi'!$D:$D,$E904))</f>
        <v/>
      </c>
      <c r="C904">
        <f>IF($E904="","",INDEX('Input Transaksi'!$E:$E,$E904))</f>
        <v/>
      </c>
      <c r="D904" s="5">
        <f>IF($E904="","",INDEX('Input Transaksi'!$F:$F,$E904))</f>
        <v/>
      </c>
      <c r="E904">
        <f>IFERROR(AGGREGATE(15,6,ROW('Input Transaksi'!$B$5:$B$5000)/('Input Transaksi'!$B$5:$B$5000="BALI WASH"),ROWS($E$5:E904)),"")</f>
        <v/>
      </c>
      <c r="F904" s="5" t="n"/>
    </row>
    <row r="905">
      <c r="A905" s="10">
        <f>IF($E905="","",INDEX('Input Transaksi'!$A:$A,$E905))</f>
        <v/>
      </c>
      <c r="B905" s="5">
        <f>IF($E905="","",INDEX('Input Transaksi'!$D:$D,$E905))</f>
        <v/>
      </c>
      <c r="C905">
        <f>IF($E905="","",INDEX('Input Transaksi'!$E:$E,$E905))</f>
        <v/>
      </c>
      <c r="D905" s="5">
        <f>IF($E905="","",INDEX('Input Transaksi'!$F:$F,$E905))</f>
        <v/>
      </c>
      <c r="E905">
        <f>IFERROR(AGGREGATE(15,6,ROW('Input Transaksi'!$B$5:$B$5000)/('Input Transaksi'!$B$5:$B$5000="BALI WASH"),ROWS($E$5:E905)),"")</f>
        <v/>
      </c>
      <c r="F905" s="5" t="n"/>
    </row>
    <row r="906">
      <c r="A906" s="10">
        <f>IF($E906="","",INDEX('Input Transaksi'!$A:$A,$E906))</f>
        <v/>
      </c>
      <c r="B906" s="5">
        <f>IF($E906="","",INDEX('Input Transaksi'!$D:$D,$E906))</f>
        <v/>
      </c>
      <c r="C906">
        <f>IF($E906="","",INDEX('Input Transaksi'!$E:$E,$E906))</f>
        <v/>
      </c>
      <c r="D906" s="5">
        <f>IF($E906="","",INDEX('Input Transaksi'!$F:$F,$E906))</f>
        <v/>
      </c>
      <c r="E906">
        <f>IFERROR(AGGREGATE(15,6,ROW('Input Transaksi'!$B$5:$B$5000)/('Input Transaksi'!$B$5:$B$5000="BALI WASH"),ROWS($E$5:E906)),"")</f>
        <v/>
      </c>
      <c r="F906" s="5" t="n"/>
    </row>
    <row r="907">
      <c r="A907" s="10">
        <f>IF($E907="","",INDEX('Input Transaksi'!$A:$A,$E907))</f>
        <v/>
      </c>
      <c r="B907" s="5">
        <f>IF($E907="","",INDEX('Input Transaksi'!$D:$D,$E907))</f>
        <v/>
      </c>
      <c r="C907">
        <f>IF($E907="","",INDEX('Input Transaksi'!$E:$E,$E907))</f>
        <v/>
      </c>
      <c r="D907" s="5">
        <f>IF($E907="","",INDEX('Input Transaksi'!$F:$F,$E907))</f>
        <v/>
      </c>
      <c r="E907">
        <f>IFERROR(AGGREGATE(15,6,ROW('Input Transaksi'!$B$5:$B$5000)/('Input Transaksi'!$B$5:$B$5000="BALI WASH"),ROWS($E$5:E907)),"")</f>
        <v/>
      </c>
      <c r="F907" s="5" t="n"/>
    </row>
    <row r="908">
      <c r="A908" s="10">
        <f>IF($E908="","",INDEX('Input Transaksi'!$A:$A,$E908))</f>
        <v/>
      </c>
      <c r="B908" s="5">
        <f>IF($E908="","",INDEX('Input Transaksi'!$D:$D,$E908))</f>
        <v/>
      </c>
      <c r="C908">
        <f>IF($E908="","",INDEX('Input Transaksi'!$E:$E,$E908))</f>
        <v/>
      </c>
      <c r="D908" s="5">
        <f>IF($E908="","",INDEX('Input Transaksi'!$F:$F,$E908))</f>
        <v/>
      </c>
      <c r="E908">
        <f>IFERROR(AGGREGATE(15,6,ROW('Input Transaksi'!$B$5:$B$5000)/('Input Transaksi'!$B$5:$B$5000="BALI WASH"),ROWS($E$5:E908)),"")</f>
        <v/>
      </c>
      <c r="F908" s="5" t="n"/>
    </row>
    <row r="909">
      <c r="A909" s="10">
        <f>IF($E909="","",INDEX('Input Transaksi'!$A:$A,$E909))</f>
        <v/>
      </c>
      <c r="B909" s="5">
        <f>IF($E909="","",INDEX('Input Transaksi'!$D:$D,$E909))</f>
        <v/>
      </c>
      <c r="C909">
        <f>IF($E909="","",INDEX('Input Transaksi'!$E:$E,$E909))</f>
        <v/>
      </c>
      <c r="D909" s="5">
        <f>IF($E909="","",INDEX('Input Transaksi'!$F:$F,$E909))</f>
        <v/>
      </c>
      <c r="E909">
        <f>IFERROR(AGGREGATE(15,6,ROW('Input Transaksi'!$B$5:$B$5000)/('Input Transaksi'!$B$5:$B$5000="BALI WASH"),ROWS($E$5:E909)),"")</f>
        <v/>
      </c>
      <c r="F909" s="5" t="n"/>
    </row>
    <row r="910">
      <c r="A910" s="10">
        <f>IF($E910="","",INDEX('Input Transaksi'!$A:$A,$E910))</f>
        <v/>
      </c>
      <c r="B910" s="5">
        <f>IF($E910="","",INDEX('Input Transaksi'!$D:$D,$E910))</f>
        <v/>
      </c>
      <c r="C910">
        <f>IF($E910="","",INDEX('Input Transaksi'!$E:$E,$E910))</f>
        <v/>
      </c>
      <c r="D910" s="5">
        <f>IF($E910="","",INDEX('Input Transaksi'!$F:$F,$E910))</f>
        <v/>
      </c>
      <c r="E910">
        <f>IFERROR(AGGREGATE(15,6,ROW('Input Transaksi'!$B$5:$B$5000)/('Input Transaksi'!$B$5:$B$5000="BALI WASH"),ROWS($E$5:E910)),"")</f>
        <v/>
      </c>
      <c r="F910" s="5" t="n"/>
    </row>
    <row r="911">
      <c r="A911" s="10">
        <f>IF($E911="","",INDEX('Input Transaksi'!$A:$A,$E911))</f>
        <v/>
      </c>
      <c r="B911" s="5">
        <f>IF($E911="","",INDEX('Input Transaksi'!$D:$D,$E911))</f>
        <v/>
      </c>
      <c r="C911">
        <f>IF($E911="","",INDEX('Input Transaksi'!$E:$E,$E911))</f>
        <v/>
      </c>
      <c r="D911" s="5">
        <f>IF($E911="","",INDEX('Input Transaksi'!$F:$F,$E911))</f>
        <v/>
      </c>
      <c r="E911">
        <f>IFERROR(AGGREGATE(15,6,ROW('Input Transaksi'!$B$5:$B$5000)/('Input Transaksi'!$B$5:$B$5000="BALI WASH"),ROWS($E$5:E911)),"")</f>
        <v/>
      </c>
      <c r="F911" s="5" t="n"/>
    </row>
    <row r="912">
      <c r="A912" s="10">
        <f>IF($E912="","",INDEX('Input Transaksi'!$A:$A,$E912))</f>
        <v/>
      </c>
      <c r="B912" s="5">
        <f>IF($E912="","",INDEX('Input Transaksi'!$D:$D,$E912))</f>
        <v/>
      </c>
      <c r="C912">
        <f>IF($E912="","",INDEX('Input Transaksi'!$E:$E,$E912))</f>
        <v/>
      </c>
      <c r="D912" s="5">
        <f>IF($E912="","",INDEX('Input Transaksi'!$F:$F,$E912))</f>
        <v/>
      </c>
      <c r="E912">
        <f>IFERROR(AGGREGATE(15,6,ROW('Input Transaksi'!$B$5:$B$5000)/('Input Transaksi'!$B$5:$B$5000="BALI WASH"),ROWS($E$5:E912)),"")</f>
        <v/>
      </c>
      <c r="F912" s="5" t="n"/>
    </row>
    <row r="913">
      <c r="A913" s="10">
        <f>IF($E913="","",INDEX('Input Transaksi'!$A:$A,$E913))</f>
        <v/>
      </c>
      <c r="B913" s="5">
        <f>IF($E913="","",INDEX('Input Transaksi'!$D:$D,$E913))</f>
        <v/>
      </c>
      <c r="C913">
        <f>IF($E913="","",INDEX('Input Transaksi'!$E:$E,$E913))</f>
        <v/>
      </c>
      <c r="D913" s="5">
        <f>IF($E913="","",INDEX('Input Transaksi'!$F:$F,$E913))</f>
        <v/>
      </c>
      <c r="E913">
        <f>IFERROR(AGGREGATE(15,6,ROW('Input Transaksi'!$B$5:$B$5000)/('Input Transaksi'!$B$5:$B$5000="BALI WASH"),ROWS($E$5:E913)),"")</f>
        <v/>
      </c>
      <c r="F913" s="5" t="n"/>
    </row>
    <row r="914">
      <c r="A914" s="10">
        <f>IF($E914="","",INDEX('Input Transaksi'!$A:$A,$E914))</f>
        <v/>
      </c>
      <c r="B914" s="5">
        <f>IF($E914="","",INDEX('Input Transaksi'!$D:$D,$E914))</f>
        <v/>
      </c>
      <c r="C914">
        <f>IF($E914="","",INDEX('Input Transaksi'!$E:$E,$E914))</f>
        <v/>
      </c>
      <c r="D914" s="5">
        <f>IF($E914="","",INDEX('Input Transaksi'!$F:$F,$E914))</f>
        <v/>
      </c>
      <c r="E914">
        <f>IFERROR(AGGREGATE(15,6,ROW('Input Transaksi'!$B$5:$B$5000)/('Input Transaksi'!$B$5:$B$5000="BALI WASH"),ROWS($E$5:E914)),"")</f>
        <v/>
      </c>
      <c r="F914" s="5" t="n"/>
    </row>
    <row r="915">
      <c r="A915" s="10">
        <f>IF($E915="","",INDEX('Input Transaksi'!$A:$A,$E915))</f>
        <v/>
      </c>
      <c r="B915" s="5">
        <f>IF($E915="","",INDEX('Input Transaksi'!$D:$D,$E915))</f>
        <v/>
      </c>
      <c r="C915">
        <f>IF($E915="","",INDEX('Input Transaksi'!$E:$E,$E915))</f>
        <v/>
      </c>
      <c r="D915" s="5">
        <f>IF($E915="","",INDEX('Input Transaksi'!$F:$F,$E915))</f>
        <v/>
      </c>
      <c r="E915">
        <f>IFERROR(AGGREGATE(15,6,ROW('Input Transaksi'!$B$5:$B$5000)/('Input Transaksi'!$B$5:$B$5000="BALI WASH"),ROWS($E$5:E915)),"")</f>
        <v/>
      </c>
      <c r="F915" s="5" t="n"/>
    </row>
    <row r="916">
      <c r="A916" s="10">
        <f>IF($E916="","",INDEX('Input Transaksi'!$A:$A,$E916))</f>
        <v/>
      </c>
      <c r="B916" s="5">
        <f>IF($E916="","",INDEX('Input Transaksi'!$D:$D,$E916))</f>
        <v/>
      </c>
      <c r="C916">
        <f>IF($E916="","",INDEX('Input Transaksi'!$E:$E,$E916))</f>
        <v/>
      </c>
      <c r="D916" s="5">
        <f>IF($E916="","",INDEX('Input Transaksi'!$F:$F,$E916))</f>
        <v/>
      </c>
      <c r="E916">
        <f>IFERROR(AGGREGATE(15,6,ROW('Input Transaksi'!$B$5:$B$5000)/('Input Transaksi'!$B$5:$B$5000="BALI WASH"),ROWS($E$5:E916)),"")</f>
        <v/>
      </c>
      <c r="F916" s="5" t="n"/>
    </row>
    <row r="917">
      <c r="A917" s="10">
        <f>IF($E917="","",INDEX('Input Transaksi'!$A:$A,$E917))</f>
        <v/>
      </c>
      <c r="B917" s="5">
        <f>IF($E917="","",INDEX('Input Transaksi'!$D:$D,$E917))</f>
        <v/>
      </c>
      <c r="C917">
        <f>IF($E917="","",INDEX('Input Transaksi'!$E:$E,$E917))</f>
        <v/>
      </c>
      <c r="D917" s="5">
        <f>IF($E917="","",INDEX('Input Transaksi'!$F:$F,$E917))</f>
        <v/>
      </c>
      <c r="E917">
        <f>IFERROR(AGGREGATE(15,6,ROW('Input Transaksi'!$B$5:$B$5000)/('Input Transaksi'!$B$5:$B$5000="BALI WASH"),ROWS($E$5:E917)),"")</f>
        <v/>
      </c>
      <c r="F917" s="5" t="n"/>
    </row>
    <row r="918">
      <c r="A918" s="10">
        <f>IF($E918="","",INDEX('Input Transaksi'!$A:$A,$E918))</f>
        <v/>
      </c>
      <c r="B918" s="5">
        <f>IF($E918="","",INDEX('Input Transaksi'!$D:$D,$E918))</f>
        <v/>
      </c>
      <c r="C918">
        <f>IF($E918="","",INDEX('Input Transaksi'!$E:$E,$E918))</f>
        <v/>
      </c>
      <c r="D918" s="5">
        <f>IF($E918="","",INDEX('Input Transaksi'!$F:$F,$E918))</f>
        <v/>
      </c>
      <c r="E918">
        <f>IFERROR(AGGREGATE(15,6,ROW('Input Transaksi'!$B$5:$B$5000)/('Input Transaksi'!$B$5:$B$5000="BALI WASH"),ROWS($E$5:E918)),"")</f>
        <v/>
      </c>
      <c r="F918" s="5" t="n"/>
    </row>
    <row r="919">
      <c r="A919" s="10">
        <f>IF($E919="","",INDEX('Input Transaksi'!$A:$A,$E919))</f>
        <v/>
      </c>
      <c r="B919" s="5">
        <f>IF($E919="","",INDEX('Input Transaksi'!$D:$D,$E919))</f>
        <v/>
      </c>
      <c r="C919">
        <f>IF($E919="","",INDEX('Input Transaksi'!$E:$E,$E919))</f>
        <v/>
      </c>
      <c r="D919" s="5">
        <f>IF($E919="","",INDEX('Input Transaksi'!$F:$F,$E919))</f>
        <v/>
      </c>
      <c r="E919">
        <f>IFERROR(AGGREGATE(15,6,ROW('Input Transaksi'!$B$5:$B$5000)/('Input Transaksi'!$B$5:$B$5000="BALI WASH"),ROWS($E$5:E919)),"")</f>
        <v/>
      </c>
      <c r="F919" s="5" t="n"/>
    </row>
    <row r="920">
      <c r="A920" s="10">
        <f>IF($E920="","",INDEX('Input Transaksi'!$A:$A,$E920))</f>
        <v/>
      </c>
      <c r="B920" s="5">
        <f>IF($E920="","",INDEX('Input Transaksi'!$D:$D,$E920))</f>
        <v/>
      </c>
      <c r="C920">
        <f>IF($E920="","",INDEX('Input Transaksi'!$E:$E,$E920))</f>
        <v/>
      </c>
      <c r="D920" s="5">
        <f>IF($E920="","",INDEX('Input Transaksi'!$F:$F,$E920))</f>
        <v/>
      </c>
      <c r="E920">
        <f>IFERROR(AGGREGATE(15,6,ROW('Input Transaksi'!$B$5:$B$5000)/('Input Transaksi'!$B$5:$B$5000="BALI WASH"),ROWS($E$5:E920)),"")</f>
        <v/>
      </c>
      <c r="F920" s="5" t="n"/>
    </row>
    <row r="921">
      <c r="A921" s="10">
        <f>IF($E921="","",INDEX('Input Transaksi'!$A:$A,$E921))</f>
        <v/>
      </c>
      <c r="B921" s="5">
        <f>IF($E921="","",INDEX('Input Transaksi'!$D:$D,$E921))</f>
        <v/>
      </c>
      <c r="C921">
        <f>IF($E921="","",INDEX('Input Transaksi'!$E:$E,$E921))</f>
        <v/>
      </c>
      <c r="D921" s="5">
        <f>IF($E921="","",INDEX('Input Transaksi'!$F:$F,$E921))</f>
        <v/>
      </c>
      <c r="E921">
        <f>IFERROR(AGGREGATE(15,6,ROW('Input Transaksi'!$B$5:$B$5000)/('Input Transaksi'!$B$5:$B$5000="BALI WASH"),ROWS($E$5:E921)),"")</f>
        <v/>
      </c>
      <c r="F921" s="5" t="n"/>
    </row>
    <row r="922">
      <c r="A922" s="10">
        <f>IF($E922="","",INDEX('Input Transaksi'!$A:$A,$E922))</f>
        <v/>
      </c>
      <c r="B922" s="5">
        <f>IF($E922="","",INDEX('Input Transaksi'!$D:$D,$E922))</f>
        <v/>
      </c>
      <c r="C922">
        <f>IF($E922="","",INDEX('Input Transaksi'!$E:$E,$E922))</f>
        <v/>
      </c>
      <c r="D922" s="5">
        <f>IF($E922="","",INDEX('Input Transaksi'!$F:$F,$E922))</f>
        <v/>
      </c>
      <c r="E922">
        <f>IFERROR(AGGREGATE(15,6,ROW('Input Transaksi'!$B$5:$B$5000)/('Input Transaksi'!$B$5:$B$5000="BALI WASH"),ROWS($E$5:E922)),"")</f>
        <v/>
      </c>
      <c r="F922" s="5" t="n"/>
    </row>
    <row r="923">
      <c r="A923" s="10">
        <f>IF($E923="","",INDEX('Input Transaksi'!$A:$A,$E923))</f>
        <v/>
      </c>
      <c r="B923" s="5">
        <f>IF($E923="","",INDEX('Input Transaksi'!$D:$D,$E923))</f>
        <v/>
      </c>
      <c r="C923">
        <f>IF($E923="","",INDEX('Input Transaksi'!$E:$E,$E923))</f>
        <v/>
      </c>
      <c r="D923" s="5">
        <f>IF($E923="","",INDEX('Input Transaksi'!$F:$F,$E923))</f>
        <v/>
      </c>
      <c r="E923">
        <f>IFERROR(AGGREGATE(15,6,ROW('Input Transaksi'!$B$5:$B$5000)/('Input Transaksi'!$B$5:$B$5000="BALI WASH"),ROWS($E$5:E923)),"")</f>
        <v/>
      </c>
      <c r="F923" s="5" t="n"/>
    </row>
    <row r="924">
      <c r="A924" s="10">
        <f>IF($E924="","",INDEX('Input Transaksi'!$A:$A,$E924))</f>
        <v/>
      </c>
      <c r="B924" s="5">
        <f>IF($E924="","",INDEX('Input Transaksi'!$D:$D,$E924))</f>
        <v/>
      </c>
      <c r="C924">
        <f>IF($E924="","",INDEX('Input Transaksi'!$E:$E,$E924))</f>
        <v/>
      </c>
      <c r="D924" s="5">
        <f>IF($E924="","",INDEX('Input Transaksi'!$F:$F,$E924))</f>
        <v/>
      </c>
      <c r="E924">
        <f>IFERROR(AGGREGATE(15,6,ROW('Input Transaksi'!$B$5:$B$5000)/('Input Transaksi'!$B$5:$B$5000="BALI WASH"),ROWS($E$5:E924)),"")</f>
        <v/>
      </c>
      <c r="F924" s="5" t="n"/>
    </row>
    <row r="925">
      <c r="A925" s="10">
        <f>IF($E925="","",INDEX('Input Transaksi'!$A:$A,$E925))</f>
        <v/>
      </c>
      <c r="B925" s="5">
        <f>IF($E925="","",INDEX('Input Transaksi'!$D:$D,$E925))</f>
        <v/>
      </c>
      <c r="C925">
        <f>IF($E925="","",INDEX('Input Transaksi'!$E:$E,$E925))</f>
        <v/>
      </c>
      <c r="D925" s="5">
        <f>IF($E925="","",INDEX('Input Transaksi'!$F:$F,$E925))</f>
        <v/>
      </c>
      <c r="E925">
        <f>IFERROR(AGGREGATE(15,6,ROW('Input Transaksi'!$B$5:$B$5000)/('Input Transaksi'!$B$5:$B$5000="BALI WASH"),ROWS($E$5:E925)),"")</f>
        <v/>
      </c>
      <c r="F925" s="5" t="n"/>
    </row>
    <row r="926">
      <c r="A926" s="10">
        <f>IF($E926="","",INDEX('Input Transaksi'!$A:$A,$E926))</f>
        <v/>
      </c>
      <c r="B926" s="5">
        <f>IF($E926="","",INDEX('Input Transaksi'!$D:$D,$E926))</f>
        <v/>
      </c>
      <c r="C926">
        <f>IF($E926="","",INDEX('Input Transaksi'!$E:$E,$E926))</f>
        <v/>
      </c>
      <c r="D926" s="5">
        <f>IF($E926="","",INDEX('Input Transaksi'!$F:$F,$E926))</f>
        <v/>
      </c>
      <c r="E926">
        <f>IFERROR(AGGREGATE(15,6,ROW('Input Transaksi'!$B$5:$B$5000)/('Input Transaksi'!$B$5:$B$5000="BALI WASH"),ROWS($E$5:E926)),"")</f>
        <v/>
      </c>
      <c r="F926" s="5" t="n"/>
    </row>
    <row r="927">
      <c r="A927" s="10">
        <f>IF($E927="","",INDEX('Input Transaksi'!$A:$A,$E927))</f>
        <v/>
      </c>
      <c r="B927" s="5">
        <f>IF($E927="","",INDEX('Input Transaksi'!$D:$D,$E927))</f>
        <v/>
      </c>
      <c r="C927">
        <f>IF($E927="","",INDEX('Input Transaksi'!$E:$E,$E927))</f>
        <v/>
      </c>
      <c r="D927" s="5">
        <f>IF($E927="","",INDEX('Input Transaksi'!$F:$F,$E927))</f>
        <v/>
      </c>
      <c r="E927">
        <f>IFERROR(AGGREGATE(15,6,ROW('Input Transaksi'!$B$5:$B$5000)/('Input Transaksi'!$B$5:$B$5000="BALI WASH"),ROWS($E$5:E927)),"")</f>
        <v/>
      </c>
      <c r="F927" s="5" t="n"/>
    </row>
    <row r="928">
      <c r="A928" s="10">
        <f>IF($E928="","",INDEX('Input Transaksi'!$A:$A,$E928))</f>
        <v/>
      </c>
      <c r="B928" s="5">
        <f>IF($E928="","",INDEX('Input Transaksi'!$D:$D,$E928))</f>
        <v/>
      </c>
      <c r="C928">
        <f>IF($E928="","",INDEX('Input Transaksi'!$E:$E,$E928))</f>
        <v/>
      </c>
      <c r="D928" s="5">
        <f>IF($E928="","",INDEX('Input Transaksi'!$F:$F,$E928))</f>
        <v/>
      </c>
      <c r="E928">
        <f>IFERROR(AGGREGATE(15,6,ROW('Input Transaksi'!$B$5:$B$5000)/('Input Transaksi'!$B$5:$B$5000="BALI WASH"),ROWS($E$5:E928)),"")</f>
        <v/>
      </c>
      <c r="F928" s="5" t="n"/>
    </row>
    <row r="929">
      <c r="A929" s="10">
        <f>IF($E929="","",INDEX('Input Transaksi'!$A:$A,$E929))</f>
        <v/>
      </c>
      <c r="B929" s="5">
        <f>IF($E929="","",INDEX('Input Transaksi'!$D:$D,$E929))</f>
        <v/>
      </c>
      <c r="C929">
        <f>IF($E929="","",INDEX('Input Transaksi'!$E:$E,$E929))</f>
        <v/>
      </c>
      <c r="D929" s="5">
        <f>IF($E929="","",INDEX('Input Transaksi'!$F:$F,$E929))</f>
        <v/>
      </c>
      <c r="E929">
        <f>IFERROR(AGGREGATE(15,6,ROW('Input Transaksi'!$B$5:$B$5000)/('Input Transaksi'!$B$5:$B$5000="BALI WASH"),ROWS($E$5:E929)),"")</f>
        <v/>
      </c>
      <c r="F929" s="5" t="n"/>
    </row>
    <row r="930">
      <c r="A930" s="10">
        <f>IF($E930="","",INDEX('Input Transaksi'!$A:$A,$E930))</f>
        <v/>
      </c>
      <c r="B930" s="5">
        <f>IF($E930="","",INDEX('Input Transaksi'!$D:$D,$E930))</f>
        <v/>
      </c>
      <c r="C930">
        <f>IF($E930="","",INDEX('Input Transaksi'!$E:$E,$E930))</f>
        <v/>
      </c>
      <c r="D930" s="5">
        <f>IF($E930="","",INDEX('Input Transaksi'!$F:$F,$E930))</f>
        <v/>
      </c>
      <c r="E930">
        <f>IFERROR(AGGREGATE(15,6,ROW('Input Transaksi'!$B$5:$B$5000)/('Input Transaksi'!$B$5:$B$5000="BALI WASH"),ROWS($E$5:E930)),"")</f>
        <v/>
      </c>
      <c r="F930" s="5" t="n"/>
    </row>
    <row r="931">
      <c r="A931" s="10">
        <f>IF($E931="","",INDEX('Input Transaksi'!$A:$A,$E931))</f>
        <v/>
      </c>
      <c r="B931" s="5">
        <f>IF($E931="","",INDEX('Input Transaksi'!$D:$D,$E931))</f>
        <v/>
      </c>
      <c r="C931">
        <f>IF($E931="","",INDEX('Input Transaksi'!$E:$E,$E931))</f>
        <v/>
      </c>
      <c r="D931" s="5">
        <f>IF($E931="","",INDEX('Input Transaksi'!$F:$F,$E931))</f>
        <v/>
      </c>
      <c r="E931">
        <f>IFERROR(AGGREGATE(15,6,ROW('Input Transaksi'!$B$5:$B$5000)/('Input Transaksi'!$B$5:$B$5000="BALI WASH"),ROWS($E$5:E931)),"")</f>
        <v/>
      </c>
      <c r="F931" s="5" t="n"/>
    </row>
    <row r="932">
      <c r="A932" s="10">
        <f>IF($E932="","",INDEX('Input Transaksi'!$A:$A,$E932))</f>
        <v/>
      </c>
      <c r="B932" s="5">
        <f>IF($E932="","",INDEX('Input Transaksi'!$D:$D,$E932))</f>
        <v/>
      </c>
      <c r="C932">
        <f>IF($E932="","",INDEX('Input Transaksi'!$E:$E,$E932))</f>
        <v/>
      </c>
      <c r="D932" s="5">
        <f>IF($E932="","",INDEX('Input Transaksi'!$F:$F,$E932))</f>
        <v/>
      </c>
      <c r="E932">
        <f>IFERROR(AGGREGATE(15,6,ROW('Input Transaksi'!$B$5:$B$5000)/('Input Transaksi'!$B$5:$B$5000="BALI WASH"),ROWS($E$5:E932)),"")</f>
        <v/>
      </c>
      <c r="F932" s="5" t="n"/>
    </row>
    <row r="933">
      <c r="A933" s="10">
        <f>IF($E933="","",INDEX('Input Transaksi'!$A:$A,$E933))</f>
        <v/>
      </c>
      <c r="B933" s="5">
        <f>IF($E933="","",INDEX('Input Transaksi'!$D:$D,$E933))</f>
        <v/>
      </c>
      <c r="C933">
        <f>IF($E933="","",INDEX('Input Transaksi'!$E:$E,$E933))</f>
        <v/>
      </c>
      <c r="D933" s="5">
        <f>IF($E933="","",INDEX('Input Transaksi'!$F:$F,$E933))</f>
        <v/>
      </c>
      <c r="E933">
        <f>IFERROR(AGGREGATE(15,6,ROW('Input Transaksi'!$B$5:$B$5000)/('Input Transaksi'!$B$5:$B$5000="BALI WASH"),ROWS($E$5:E933)),"")</f>
        <v/>
      </c>
      <c r="F933" s="5" t="n"/>
    </row>
    <row r="934">
      <c r="A934" s="10">
        <f>IF($E934="","",INDEX('Input Transaksi'!$A:$A,$E934))</f>
        <v/>
      </c>
      <c r="B934" s="5">
        <f>IF($E934="","",INDEX('Input Transaksi'!$D:$D,$E934))</f>
        <v/>
      </c>
      <c r="C934">
        <f>IF($E934="","",INDEX('Input Transaksi'!$E:$E,$E934))</f>
        <v/>
      </c>
      <c r="D934" s="5">
        <f>IF($E934="","",INDEX('Input Transaksi'!$F:$F,$E934))</f>
        <v/>
      </c>
      <c r="E934">
        <f>IFERROR(AGGREGATE(15,6,ROW('Input Transaksi'!$B$5:$B$5000)/('Input Transaksi'!$B$5:$B$5000="BALI WASH"),ROWS($E$5:E934)),"")</f>
        <v/>
      </c>
      <c r="F934" s="5" t="n"/>
    </row>
    <row r="935">
      <c r="A935" s="10">
        <f>IF($E935="","",INDEX('Input Transaksi'!$A:$A,$E935))</f>
        <v/>
      </c>
      <c r="B935" s="5">
        <f>IF($E935="","",INDEX('Input Transaksi'!$D:$D,$E935))</f>
        <v/>
      </c>
      <c r="C935">
        <f>IF($E935="","",INDEX('Input Transaksi'!$E:$E,$E935))</f>
        <v/>
      </c>
      <c r="D935" s="5">
        <f>IF($E935="","",INDEX('Input Transaksi'!$F:$F,$E935))</f>
        <v/>
      </c>
      <c r="E935">
        <f>IFERROR(AGGREGATE(15,6,ROW('Input Transaksi'!$B$5:$B$5000)/('Input Transaksi'!$B$5:$B$5000="BALI WASH"),ROWS($E$5:E935)),"")</f>
        <v/>
      </c>
      <c r="F935" s="5" t="n"/>
    </row>
    <row r="936">
      <c r="A936" s="10">
        <f>IF($E936="","",INDEX('Input Transaksi'!$A:$A,$E936))</f>
        <v/>
      </c>
      <c r="B936" s="5">
        <f>IF($E936="","",INDEX('Input Transaksi'!$D:$D,$E936))</f>
        <v/>
      </c>
      <c r="C936">
        <f>IF($E936="","",INDEX('Input Transaksi'!$E:$E,$E936))</f>
        <v/>
      </c>
      <c r="D936" s="5">
        <f>IF($E936="","",INDEX('Input Transaksi'!$F:$F,$E936))</f>
        <v/>
      </c>
      <c r="E936">
        <f>IFERROR(AGGREGATE(15,6,ROW('Input Transaksi'!$B$5:$B$5000)/('Input Transaksi'!$B$5:$B$5000="BALI WASH"),ROWS($E$5:E936)),"")</f>
        <v/>
      </c>
      <c r="F936" s="5" t="n"/>
    </row>
    <row r="937">
      <c r="A937" s="10">
        <f>IF($E937="","",INDEX('Input Transaksi'!$A:$A,$E937))</f>
        <v/>
      </c>
      <c r="B937" s="5">
        <f>IF($E937="","",INDEX('Input Transaksi'!$D:$D,$E937))</f>
        <v/>
      </c>
      <c r="C937">
        <f>IF($E937="","",INDEX('Input Transaksi'!$E:$E,$E937))</f>
        <v/>
      </c>
      <c r="D937" s="5">
        <f>IF($E937="","",INDEX('Input Transaksi'!$F:$F,$E937))</f>
        <v/>
      </c>
      <c r="E937">
        <f>IFERROR(AGGREGATE(15,6,ROW('Input Transaksi'!$B$5:$B$5000)/('Input Transaksi'!$B$5:$B$5000="BALI WASH"),ROWS($E$5:E937)),"")</f>
        <v/>
      </c>
      <c r="F937" s="5" t="n"/>
    </row>
    <row r="938">
      <c r="A938" s="10">
        <f>IF($E938="","",INDEX('Input Transaksi'!$A:$A,$E938))</f>
        <v/>
      </c>
      <c r="B938" s="5">
        <f>IF($E938="","",INDEX('Input Transaksi'!$D:$D,$E938))</f>
        <v/>
      </c>
      <c r="C938">
        <f>IF($E938="","",INDEX('Input Transaksi'!$E:$E,$E938))</f>
        <v/>
      </c>
      <c r="D938" s="5">
        <f>IF($E938="","",INDEX('Input Transaksi'!$F:$F,$E938))</f>
        <v/>
      </c>
      <c r="E938">
        <f>IFERROR(AGGREGATE(15,6,ROW('Input Transaksi'!$B$5:$B$5000)/('Input Transaksi'!$B$5:$B$5000="BALI WASH"),ROWS($E$5:E938)),"")</f>
        <v/>
      </c>
      <c r="F938" s="5" t="n"/>
    </row>
    <row r="939">
      <c r="A939" s="10">
        <f>IF($E939="","",INDEX('Input Transaksi'!$A:$A,$E939))</f>
        <v/>
      </c>
      <c r="B939" s="5">
        <f>IF($E939="","",INDEX('Input Transaksi'!$D:$D,$E939))</f>
        <v/>
      </c>
      <c r="C939">
        <f>IF($E939="","",INDEX('Input Transaksi'!$E:$E,$E939))</f>
        <v/>
      </c>
      <c r="D939" s="5">
        <f>IF($E939="","",INDEX('Input Transaksi'!$F:$F,$E939))</f>
        <v/>
      </c>
      <c r="E939">
        <f>IFERROR(AGGREGATE(15,6,ROW('Input Transaksi'!$B$5:$B$5000)/('Input Transaksi'!$B$5:$B$5000="BALI WASH"),ROWS($E$5:E939)),"")</f>
        <v/>
      </c>
      <c r="F939" s="5" t="n"/>
    </row>
    <row r="940">
      <c r="A940" s="10">
        <f>IF($E940="","",INDEX('Input Transaksi'!$A:$A,$E940))</f>
        <v/>
      </c>
      <c r="B940" s="5">
        <f>IF($E940="","",INDEX('Input Transaksi'!$D:$D,$E940))</f>
        <v/>
      </c>
      <c r="C940">
        <f>IF($E940="","",INDEX('Input Transaksi'!$E:$E,$E940))</f>
        <v/>
      </c>
      <c r="D940" s="5">
        <f>IF($E940="","",INDEX('Input Transaksi'!$F:$F,$E940))</f>
        <v/>
      </c>
      <c r="E940">
        <f>IFERROR(AGGREGATE(15,6,ROW('Input Transaksi'!$B$5:$B$5000)/('Input Transaksi'!$B$5:$B$5000="BALI WASH"),ROWS($E$5:E940)),"")</f>
        <v/>
      </c>
      <c r="F940" s="5" t="n"/>
    </row>
    <row r="941">
      <c r="A941" s="10">
        <f>IF($E941="","",INDEX('Input Transaksi'!$A:$A,$E941))</f>
        <v/>
      </c>
      <c r="B941" s="5">
        <f>IF($E941="","",INDEX('Input Transaksi'!$D:$D,$E941))</f>
        <v/>
      </c>
      <c r="C941">
        <f>IF($E941="","",INDEX('Input Transaksi'!$E:$E,$E941))</f>
        <v/>
      </c>
      <c r="D941" s="5">
        <f>IF($E941="","",INDEX('Input Transaksi'!$F:$F,$E941))</f>
        <v/>
      </c>
      <c r="E941">
        <f>IFERROR(AGGREGATE(15,6,ROW('Input Transaksi'!$B$5:$B$5000)/('Input Transaksi'!$B$5:$B$5000="BALI WASH"),ROWS($E$5:E941)),"")</f>
        <v/>
      </c>
      <c r="F941" s="5" t="n"/>
    </row>
    <row r="942">
      <c r="A942" s="10">
        <f>IF($E942="","",INDEX('Input Transaksi'!$A:$A,$E942))</f>
        <v/>
      </c>
      <c r="B942" s="5">
        <f>IF($E942="","",INDEX('Input Transaksi'!$D:$D,$E942))</f>
        <v/>
      </c>
      <c r="C942">
        <f>IF($E942="","",INDEX('Input Transaksi'!$E:$E,$E942))</f>
        <v/>
      </c>
      <c r="D942" s="5">
        <f>IF($E942="","",INDEX('Input Transaksi'!$F:$F,$E942))</f>
        <v/>
      </c>
      <c r="E942">
        <f>IFERROR(AGGREGATE(15,6,ROW('Input Transaksi'!$B$5:$B$5000)/('Input Transaksi'!$B$5:$B$5000="BALI WASH"),ROWS($E$5:E942)),"")</f>
        <v/>
      </c>
      <c r="F942" s="5" t="n"/>
    </row>
    <row r="943">
      <c r="A943" s="10">
        <f>IF($E943="","",INDEX('Input Transaksi'!$A:$A,$E943))</f>
        <v/>
      </c>
      <c r="B943" s="5">
        <f>IF($E943="","",INDEX('Input Transaksi'!$D:$D,$E943))</f>
        <v/>
      </c>
      <c r="C943">
        <f>IF($E943="","",INDEX('Input Transaksi'!$E:$E,$E943))</f>
        <v/>
      </c>
      <c r="D943" s="5">
        <f>IF($E943="","",INDEX('Input Transaksi'!$F:$F,$E943))</f>
        <v/>
      </c>
      <c r="E943">
        <f>IFERROR(AGGREGATE(15,6,ROW('Input Transaksi'!$B$5:$B$5000)/('Input Transaksi'!$B$5:$B$5000="BALI WASH"),ROWS($E$5:E943)),"")</f>
        <v/>
      </c>
      <c r="F943" s="5" t="n"/>
    </row>
    <row r="944">
      <c r="A944" s="10">
        <f>IF($E944="","",INDEX('Input Transaksi'!$A:$A,$E944))</f>
        <v/>
      </c>
      <c r="B944" s="5">
        <f>IF($E944="","",INDEX('Input Transaksi'!$D:$D,$E944))</f>
        <v/>
      </c>
      <c r="C944">
        <f>IF($E944="","",INDEX('Input Transaksi'!$E:$E,$E944))</f>
        <v/>
      </c>
      <c r="D944" s="5">
        <f>IF($E944="","",INDEX('Input Transaksi'!$F:$F,$E944))</f>
        <v/>
      </c>
      <c r="E944">
        <f>IFERROR(AGGREGATE(15,6,ROW('Input Transaksi'!$B$5:$B$5000)/('Input Transaksi'!$B$5:$B$5000="BALI WASH"),ROWS($E$5:E944)),"")</f>
        <v/>
      </c>
      <c r="F944" s="5" t="n"/>
    </row>
    <row r="945">
      <c r="A945" s="10">
        <f>IF($E945="","",INDEX('Input Transaksi'!$A:$A,$E945))</f>
        <v/>
      </c>
      <c r="B945" s="5">
        <f>IF($E945="","",INDEX('Input Transaksi'!$D:$D,$E945))</f>
        <v/>
      </c>
      <c r="C945">
        <f>IF($E945="","",INDEX('Input Transaksi'!$E:$E,$E945))</f>
        <v/>
      </c>
      <c r="D945" s="5">
        <f>IF($E945="","",INDEX('Input Transaksi'!$F:$F,$E945))</f>
        <v/>
      </c>
      <c r="E945">
        <f>IFERROR(AGGREGATE(15,6,ROW('Input Transaksi'!$B$5:$B$5000)/('Input Transaksi'!$B$5:$B$5000="BALI WASH"),ROWS($E$5:E945)),"")</f>
        <v/>
      </c>
      <c r="F945" s="5" t="n"/>
    </row>
    <row r="946">
      <c r="A946" s="10">
        <f>IF($E946="","",INDEX('Input Transaksi'!$A:$A,$E946))</f>
        <v/>
      </c>
      <c r="B946" s="5">
        <f>IF($E946="","",INDEX('Input Transaksi'!$D:$D,$E946))</f>
        <v/>
      </c>
      <c r="C946">
        <f>IF($E946="","",INDEX('Input Transaksi'!$E:$E,$E946))</f>
        <v/>
      </c>
      <c r="D946" s="5">
        <f>IF($E946="","",INDEX('Input Transaksi'!$F:$F,$E946))</f>
        <v/>
      </c>
      <c r="E946">
        <f>IFERROR(AGGREGATE(15,6,ROW('Input Transaksi'!$B$5:$B$5000)/('Input Transaksi'!$B$5:$B$5000="BALI WASH"),ROWS($E$5:E946)),"")</f>
        <v/>
      </c>
      <c r="F946" s="5" t="n"/>
    </row>
    <row r="947">
      <c r="A947" s="10">
        <f>IF($E947="","",INDEX('Input Transaksi'!$A:$A,$E947))</f>
        <v/>
      </c>
      <c r="B947" s="5">
        <f>IF($E947="","",INDEX('Input Transaksi'!$D:$D,$E947))</f>
        <v/>
      </c>
      <c r="C947">
        <f>IF($E947="","",INDEX('Input Transaksi'!$E:$E,$E947))</f>
        <v/>
      </c>
      <c r="D947" s="5">
        <f>IF($E947="","",INDEX('Input Transaksi'!$F:$F,$E947))</f>
        <v/>
      </c>
      <c r="E947">
        <f>IFERROR(AGGREGATE(15,6,ROW('Input Transaksi'!$B$5:$B$5000)/('Input Transaksi'!$B$5:$B$5000="BALI WASH"),ROWS($E$5:E947)),"")</f>
        <v/>
      </c>
      <c r="F947" s="5" t="n"/>
    </row>
    <row r="948">
      <c r="A948" s="10">
        <f>IF($E948="","",INDEX('Input Transaksi'!$A:$A,$E948))</f>
        <v/>
      </c>
      <c r="B948" s="5">
        <f>IF($E948="","",INDEX('Input Transaksi'!$D:$D,$E948))</f>
        <v/>
      </c>
      <c r="C948">
        <f>IF($E948="","",INDEX('Input Transaksi'!$E:$E,$E948))</f>
        <v/>
      </c>
      <c r="D948" s="5">
        <f>IF($E948="","",INDEX('Input Transaksi'!$F:$F,$E948))</f>
        <v/>
      </c>
      <c r="E948">
        <f>IFERROR(AGGREGATE(15,6,ROW('Input Transaksi'!$B$5:$B$5000)/('Input Transaksi'!$B$5:$B$5000="BALI WASH"),ROWS($E$5:E948)),"")</f>
        <v/>
      </c>
      <c r="F948" s="5" t="n"/>
    </row>
    <row r="949">
      <c r="A949" s="10">
        <f>IF($E949="","",INDEX('Input Transaksi'!$A:$A,$E949))</f>
        <v/>
      </c>
      <c r="B949" s="5">
        <f>IF($E949="","",INDEX('Input Transaksi'!$D:$D,$E949))</f>
        <v/>
      </c>
      <c r="C949">
        <f>IF($E949="","",INDEX('Input Transaksi'!$E:$E,$E949))</f>
        <v/>
      </c>
      <c r="D949" s="5">
        <f>IF($E949="","",INDEX('Input Transaksi'!$F:$F,$E949))</f>
        <v/>
      </c>
      <c r="E949">
        <f>IFERROR(AGGREGATE(15,6,ROW('Input Transaksi'!$B$5:$B$5000)/('Input Transaksi'!$B$5:$B$5000="BALI WASH"),ROWS($E$5:E949)),"")</f>
        <v/>
      </c>
      <c r="F949" s="5" t="n"/>
    </row>
    <row r="950">
      <c r="A950" s="10">
        <f>IF($E950="","",INDEX('Input Transaksi'!$A:$A,$E950))</f>
        <v/>
      </c>
      <c r="B950" s="5">
        <f>IF($E950="","",INDEX('Input Transaksi'!$D:$D,$E950))</f>
        <v/>
      </c>
      <c r="C950">
        <f>IF($E950="","",INDEX('Input Transaksi'!$E:$E,$E950))</f>
        <v/>
      </c>
      <c r="D950" s="5">
        <f>IF($E950="","",INDEX('Input Transaksi'!$F:$F,$E950))</f>
        <v/>
      </c>
      <c r="E950">
        <f>IFERROR(AGGREGATE(15,6,ROW('Input Transaksi'!$B$5:$B$5000)/('Input Transaksi'!$B$5:$B$5000="BALI WASH"),ROWS($E$5:E950)),"")</f>
        <v/>
      </c>
      <c r="F950" s="5" t="n"/>
    </row>
    <row r="951">
      <c r="A951" s="10">
        <f>IF($E951="","",INDEX('Input Transaksi'!$A:$A,$E951))</f>
        <v/>
      </c>
      <c r="B951" s="5">
        <f>IF($E951="","",INDEX('Input Transaksi'!$D:$D,$E951))</f>
        <v/>
      </c>
      <c r="C951">
        <f>IF($E951="","",INDEX('Input Transaksi'!$E:$E,$E951))</f>
        <v/>
      </c>
      <c r="D951" s="5">
        <f>IF($E951="","",INDEX('Input Transaksi'!$F:$F,$E951))</f>
        <v/>
      </c>
      <c r="E951">
        <f>IFERROR(AGGREGATE(15,6,ROW('Input Transaksi'!$B$5:$B$5000)/('Input Transaksi'!$B$5:$B$5000="BALI WASH"),ROWS($E$5:E951)),"")</f>
        <v/>
      </c>
      <c r="F951" s="5" t="n"/>
    </row>
    <row r="952">
      <c r="A952" s="10">
        <f>IF($E952="","",INDEX('Input Transaksi'!$A:$A,$E952))</f>
        <v/>
      </c>
      <c r="B952" s="5">
        <f>IF($E952="","",INDEX('Input Transaksi'!$D:$D,$E952))</f>
        <v/>
      </c>
      <c r="C952">
        <f>IF($E952="","",INDEX('Input Transaksi'!$E:$E,$E952))</f>
        <v/>
      </c>
      <c r="D952" s="5">
        <f>IF($E952="","",INDEX('Input Transaksi'!$F:$F,$E952))</f>
        <v/>
      </c>
      <c r="E952">
        <f>IFERROR(AGGREGATE(15,6,ROW('Input Transaksi'!$B$5:$B$5000)/('Input Transaksi'!$B$5:$B$5000="BALI WASH"),ROWS($E$5:E952)),"")</f>
        <v/>
      </c>
      <c r="F952" s="5" t="n"/>
    </row>
    <row r="953">
      <c r="A953" s="10">
        <f>IF($E953="","",INDEX('Input Transaksi'!$A:$A,$E953))</f>
        <v/>
      </c>
      <c r="B953" s="5">
        <f>IF($E953="","",INDEX('Input Transaksi'!$D:$D,$E953))</f>
        <v/>
      </c>
      <c r="C953">
        <f>IF($E953="","",INDEX('Input Transaksi'!$E:$E,$E953))</f>
        <v/>
      </c>
      <c r="D953" s="5">
        <f>IF($E953="","",INDEX('Input Transaksi'!$F:$F,$E953))</f>
        <v/>
      </c>
      <c r="E953">
        <f>IFERROR(AGGREGATE(15,6,ROW('Input Transaksi'!$B$5:$B$5000)/('Input Transaksi'!$B$5:$B$5000="BALI WASH"),ROWS($E$5:E953)),"")</f>
        <v/>
      </c>
      <c r="F953" s="5" t="n"/>
    </row>
    <row r="954">
      <c r="A954" s="10">
        <f>IF($E954="","",INDEX('Input Transaksi'!$A:$A,$E954))</f>
        <v/>
      </c>
      <c r="B954" s="5">
        <f>IF($E954="","",INDEX('Input Transaksi'!$D:$D,$E954))</f>
        <v/>
      </c>
      <c r="C954">
        <f>IF($E954="","",INDEX('Input Transaksi'!$E:$E,$E954))</f>
        <v/>
      </c>
      <c r="D954" s="5">
        <f>IF($E954="","",INDEX('Input Transaksi'!$F:$F,$E954))</f>
        <v/>
      </c>
      <c r="E954">
        <f>IFERROR(AGGREGATE(15,6,ROW('Input Transaksi'!$B$5:$B$5000)/('Input Transaksi'!$B$5:$B$5000="BALI WASH"),ROWS($E$5:E954)),"")</f>
        <v/>
      </c>
      <c r="F954" s="5" t="n"/>
    </row>
    <row r="955">
      <c r="A955" s="10">
        <f>IF($E955="","",INDEX('Input Transaksi'!$A:$A,$E955))</f>
        <v/>
      </c>
      <c r="B955" s="5">
        <f>IF($E955="","",INDEX('Input Transaksi'!$D:$D,$E955))</f>
        <v/>
      </c>
      <c r="C955">
        <f>IF($E955="","",INDEX('Input Transaksi'!$E:$E,$E955))</f>
        <v/>
      </c>
      <c r="D955" s="5">
        <f>IF($E955="","",INDEX('Input Transaksi'!$F:$F,$E955))</f>
        <v/>
      </c>
      <c r="E955">
        <f>IFERROR(AGGREGATE(15,6,ROW('Input Transaksi'!$B$5:$B$5000)/('Input Transaksi'!$B$5:$B$5000="BALI WASH"),ROWS($E$5:E955)),"")</f>
        <v/>
      </c>
      <c r="F955" s="5" t="n"/>
    </row>
    <row r="956">
      <c r="A956" s="10">
        <f>IF($E956="","",INDEX('Input Transaksi'!$A:$A,$E956))</f>
        <v/>
      </c>
      <c r="B956" s="5">
        <f>IF($E956="","",INDEX('Input Transaksi'!$D:$D,$E956))</f>
        <v/>
      </c>
      <c r="C956">
        <f>IF($E956="","",INDEX('Input Transaksi'!$E:$E,$E956))</f>
        <v/>
      </c>
      <c r="D956" s="5">
        <f>IF($E956="","",INDEX('Input Transaksi'!$F:$F,$E956))</f>
        <v/>
      </c>
      <c r="E956">
        <f>IFERROR(AGGREGATE(15,6,ROW('Input Transaksi'!$B$5:$B$5000)/('Input Transaksi'!$B$5:$B$5000="BALI WASH"),ROWS($E$5:E956)),"")</f>
        <v/>
      </c>
      <c r="F956" s="5" t="n"/>
    </row>
    <row r="957">
      <c r="A957" s="10">
        <f>IF($E957="","",INDEX('Input Transaksi'!$A:$A,$E957))</f>
        <v/>
      </c>
      <c r="B957" s="5">
        <f>IF($E957="","",INDEX('Input Transaksi'!$D:$D,$E957))</f>
        <v/>
      </c>
      <c r="C957">
        <f>IF($E957="","",INDEX('Input Transaksi'!$E:$E,$E957))</f>
        <v/>
      </c>
      <c r="D957" s="5">
        <f>IF($E957="","",INDEX('Input Transaksi'!$F:$F,$E957))</f>
        <v/>
      </c>
      <c r="E957">
        <f>IFERROR(AGGREGATE(15,6,ROW('Input Transaksi'!$B$5:$B$5000)/('Input Transaksi'!$B$5:$B$5000="BALI WASH"),ROWS($E$5:E957)),"")</f>
        <v/>
      </c>
      <c r="F957" s="5" t="n"/>
    </row>
    <row r="958">
      <c r="A958" s="10">
        <f>IF($E958="","",INDEX('Input Transaksi'!$A:$A,$E958))</f>
        <v/>
      </c>
      <c r="B958" s="5">
        <f>IF($E958="","",INDEX('Input Transaksi'!$D:$D,$E958))</f>
        <v/>
      </c>
      <c r="C958">
        <f>IF($E958="","",INDEX('Input Transaksi'!$E:$E,$E958))</f>
        <v/>
      </c>
      <c r="D958" s="5">
        <f>IF($E958="","",INDEX('Input Transaksi'!$F:$F,$E958))</f>
        <v/>
      </c>
      <c r="E958">
        <f>IFERROR(AGGREGATE(15,6,ROW('Input Transaksi'!$B$5:$B$5000)/('Input Transaksi'!$B$5:$B$5000="BALI WASH"),ROWS($E$5:E958)),"")</f>
        <v/>
      </c>
      <c r="F958" s="5" t="n"/>
    </row>
    <row r="959">
      <c r="A959" s="10">
        <f>IF($E959="","",INDEX('Input Transaksi'!$A:$A,$E959))</f>
        <v/>
      </c>
      <c r="B959" s="5">
        <f>IF($E959="","",INDEX('Input Transaksi'!$D:$D,$E959))</f>
        <v/>
      </c>
      <c r="C959">
        <f>IF($E959="","",INDEX('Input Transaksi'!$E:$E,$E959))</f>
        <v/>
      </c>
      <c r="D959" s="5">
        <f>IF($E959="","",INDEX('Input Transaksi'!$F:$F,$E959))</f>
        <v/>
      </c>
      <c r="E959">
        <f>IFERROR(AGGREGATE(15,6,ROW('Input Transaksi'!$B$5:$B$5000)/('Input Transaksi'!$B$5:$B$5000="BALI WASH"),ROWS($E$5:E959)),"")</f>
        <v/>
      </c>
      <c r="F959" s="5" t="n"/>
    </row>
    <row r="960">
      <c r="A960" s="10">
        <f>IF($E960="","",INDEX('Input Transaksi'!$A:$A,$E960))</f>
        <v/>
      </c>
      <c r="B960" s="5">
        <f>IF($E960="","",INDEX('Input Transaksi'!$D:$D,$E960))</f>
        <v/>
      </c>
      <c r="C960">
        <f>IF($E960="","",INDEX('Input Transaksi'!$E:$E,$E960))</f>
        <v/>
      </c>
      <c r="D960" s="5">
        <f>IF($E960="","",INDEX('Input Transaksi'!$F:$F,$E960))</f>
        <v/>
      </c>
      <c r="E960">
        <f>IFERROR(AGGREGATE(15,6,ROW('Input Transaksi'!$B$5:$B$5000)/('Input Transaksi'!$B$5:$B$5000="BALI WASH"),ROWS($E$5:E960)),"")</f>
        <v/>
      </c>
      <c r="F960" s="5" t="n"/>
    </row>
    <row r="961">
      <c r="A961" s="10">
        <f>IF($E961="","",INDEX('Input Transaksi'!$A:$A,$E961))</f>
        <v/>
      </c>
      <c r="B961" s="5">
        <f>IF($E961="","",INDEX('Input Transaksi'!$D:$D,$E961))</f>
        <v/>
      </c>
      <c r="C961">
        <f>IF($E961="","",INDEX('Input Transaksi'!$E:$E,$E961))</f>
        <v/>
      </c>
      <c r="D961" s="5">
        <f>IF($E961="","",INDEX('Input Transaksi'!$F:$F,$E961))</f>
        <v/>
      </c>
      <c r="E961">
        <f>IFERROR(AGGREGATE(15,6,ROW('Input Transaksi'!$B$5:$B$5000)/('Input Transaksi'!$B$5:$B$5000="BALI WASH"),ROWS($E$5:E961)),"")</f>
        <v/>
      </c>
      <c r="F961" s="5" t="n"/>
    </row>
    <row r="962">
      <c r="A962" s="10">
        <f>IF($E962="","",INDEX('Input Transaksi'!$A:$A,$E962))</f>
        <v/>
      </c>
      <c r="B962" s="5">
        <f>IF($E962="","",INDEX('Input Transaksi'!$D:$D,$E962))</f>
        <v/>
      </c>
      <c r="C962">
        <f>IF($E962="","",INDEX('Input Transaksi'!$E:$E,$E962))</f>
        <v/>
      </c>
      <c r="D962" s="5">
        <f>IF($E962="","",INDEX('Input Transaksi'!$F:$F,$E962))</f>
        <v/>
      </c>
      <c r="E962">
        <f>IFERROR(AGGREGATE(15,6,ROW('Input Transaksi'!$B$5:$B$5000)/('Input Transaksi'!$B$5:$B$5000="BALI WASH"),ROWS($E$5:E962)),"")</f>
        <v/>
      </c>
      <c r="F962" s="5" t="n"/>
    </row>
    <row r="963">
      <c r="A963" s="10">
        <f>IF($E963="","",INDEX('Input Transaksi'!$A:$A,$E963))</f>
        <v/>
      </c>
      <c r="B963" s="5">
        <f>IF($E963="","",INDEX('Input Transaksi'!$D:$D,$E963))</f>
        <v/>
      </c>
      <c r="C963">
        <f>IF($E963="","",INDEX('Input Transaksi'!$E:$E,$E963))</f>
        <v/>
      </c>
      <c r="D963" s="5">
        <f>IF($E963="","",INDEX('Input Transaksi'!$F:$F,$E963))</f>
        <v/>
      </c>
      <c r="E963">
        <f>IFERROR(AGGREGATE(15,6,ROW('Input Transaksi'!$B$5:$B$5000)/('Input Transaksi'!$B$5:$B$5000="BALI WASH"),ROWS($E$5:E963)),"")</f>
        <v/>
      </c>
      <c r="F963" s="5" t="n"/>
    </row>
    <row r="964">
      <c r="A964" s="10">
        <f>IF($E964="","",INDEX('Input Transaksi'!$A:$A,$E964))</f>
        <v/>
      </c>
      <c r="B964" s="5">
        <f>IF($E964="","",INDEX('Input Transaksi'!$D:$D,$E964))</f>
        <v/>
      </c>
      <c r="C964">
        <f>IF($E964="","",INDEX('Input Transaksi'!$E:$E,$E964))</f>
        <v/>
      </c>
      <c r="D964" s="5">
        <f>IF($E964="","",INDEX('Input Transaksi'!$F:$F,$E964))</f>
        <v/>
      </c>
      <c r="E964">
        <f>IFERROR(AGGREGATE(15,6,ROW('Input Transaksi'!$B$5:$B$5000)/('Input Transaksi'!$B$5:$B$5000="BALI WASH"),ROWS($E$5:E964)),"")</f>
        <v/>
      </c>
      <c r="F964" s="5" t="n"/>
    </row>
    <row r="965">
      <c r="A965" s="10">
        <f>IF($E965="","",INDEX('Input Transaksi'!$A:$A,$E965))</f>
        <v/>
      </c>
      <c r="B965" s="5">
        <f>IF($E965="","",INDEX('Input Transaksi'!$D:$D,$E965))</f>
        <v/>
      </c>
      <c r="C965">
        <f>IF($E965="","",INDEX('Input Transaksi'!$E:$E,$E965))</f>
        <v/>
      </c>
      <c r="D965" s="5">
        <f>IF($E965="","",INDEX('Input Transaksi'!$F:$F,$E965))</f>
        <v/>
      </c>
      <c r="E965">
        <f>IFERROR(AGGREGATE(15,6,ROW('Input Transaksi'!$B$5:$B$5000)/('Input Transaksi'!$B$5:$B$5000="BALI WASH"),ROWS($E$5:E965)),"")</f>
        <v/>
      </c>
      <c r="F965" s="5" t="n"/>
    </row>
    <row r="966">
      <c r="A966" s="10">
        <f>IF($E966="","",INDEX('Input Transaksi'!$A:$A,$E966))</f>
        <v/>
      </c>
      <c r="B966" s="5">
        <f>IF($E966="","",INDEX('Input Transaksi'!$D:$D,$E966))</f>
        <v/>
      </c>
      <c r="C966">
        <f>IF($E966="","",INDEX('Input Transaksi'!$E:$E,$E966))</f>
        <v/>
      </c>
      <c r="D966" s="5">
        <f>IF($E966="","",INDEX('Input Transaksi'!$F:$F,$E966))</f>
        <v/>
      </c>
      <c r="E966">
        <f>IFERROR(AGGREGATE(15,6,ROW('Input Transaksi'!$B$5:$B$5000)/('Input Transaksi'!$B$5:$B$5000="BALI WASH"),ROWS($E$5:E966)),"")</f>
        <v/>
      </c>
      <c r="F966" s="5" t="n"/>
    </row>
    <row r="967">
      <c r="A967" s="10">
        <f>IF($E967="","",INDEX('Input Transaksi'!$A:$A,$E967))</f>
        <v/>
      </c>
      <c r="B967" s="5">
        <f>IF($E967="","",INDEX('Input Transaksi'!$D:$D,$E967))</f>
        <v/>
      </c>
      <c r="C967">
        <f>IF($E967="","",INDEX('Input Transaksi'!$E:$E,$E967))</f>
        <v/>
      </c>
      <c r="D967" s="5">
        <f>IF($E967="","",INDEX('Input Transaksi'!$F:$F,$E967))</f>
        <v/>
      </c>
      <c r="E967">
        <f>IFERROR(AGGREGATE(15,6,ROW('Input Transaksi'!$B$5:$B$5000)/('Input Transaksi'!$B$5:$B$5000="BALI WASH"),ROWS($E$5:E967)),"")</f>
        <v/>
      </c>
      <c r="F967" s="5" t="n"/>
    </row>
    <row r="968">
      <c r="A968" s="10">
        <f>IF($E968="","",INDEX('Input Transaksi'!$A:$A,$E968))</f>
        <v/>
      </c>
      <c r="B968" s="5">
        <f>IF($E968="","",INDEX('Input Transaksi'!$D:$D,$E968))</f>
        <v/>
      </c>
      <c r="C968">
        <f>IF($E968="","",INDEX('Input Transaksi'!$E:$E,$E968))</f>
        <v/>
      </c>
      <c r="D968" s="5">
        <f>IF($E968="","",INDEX('Input Transaksi'!$F:$F,$E968))</f>
        <v/>
      </c>
      <c r="E968">
        <f>IFERROR(AGGREGATE(15,6,ROW('Input Transaksi'!$B$5:$B$5000)/('Input Transaksi'!$B$5:$B$5000="BALI WASH"),ROWS($E$5:E968)),"")</f>
        <v/>
      </c>
      <c r="F968" s="5" t="n"/>
    </row>
    <row r="969">
      <c r="A969" s="10">
        <f>IF($E969="","",INDEX('Input Transaksi'!$A:$A,$E969))</f>
        <v/>
      </c>
      <c r="B969" s="5">
        <f>IF($E969="","",INDEX('Input Transaksi'!$D:$D,$E969))</f>
        <v/>
      </c>
      <c r="C969">
        <f>IF($E969="","",INDEX('Input Transaksi'!$E:$E,$E969))</f>
        <v/>
      </c>
      <c r="D969" s="5">
        <f>IF($E969="","",INDEX('Input Transaksi'!$F:$F,$E969))</f>
        <v/>
      </c>
      <c r="E969">
        <f>IFERROR(AGGREGATE(15,6,ROW('Input Transaksi'!$B$5:$B$5000)/('Input Transaksi'!$B$5:$B$5000="BALI WASH"),ROWS($E$5:E969)),"")</f>
        <v/>
      </c>
      <c r="F969" s="5" t="n"/>
    </row>
    <row r="970">
      <c r="A970" s="10">
        <f>IF($E970="","",INDEX('Input Transaksi'!$A:$A,$E970))</f>
        <v/>
      </c>
      <c r="B970" s="5">
        <f>IF($E970="","",INDEX('Input Transaksi'!$D:$D,$E970))</f>
        <v/>
      </c>
      <c r="C970">
        <f>IF($E970="","",INDEX('Input Transaksi'!$E:$E,$E970))</f>
        <v/>
      </c>
      <c r="D970" s="5">
        <f>IF($E970="","",INDEX('Input Transaksi'!$F:$F,$E970))</f>
        <v/>
      </c>
      <c r="E970">
        <f>IFERROR(AGGREGATE(15,6,ROW('Input Transaksi'!$B$5:$B$5000)/('Input Transaksi'!$B$5:$B$5000="BALI WASH"),ROWS($E$5:E970)),"")</f>
        <v/>
      </c>
      <c r="F970" s="5" t="n"/>
    </row>
    <row r="971">
      <c r="A971" s="10">
        <f>IF($E971="","",INDEX('Input Transaksi'!$A:$A,$E971))</f>
        <v/>
      </c>
      <c r="B971" s="5">
        <f>IF($E971="","",INDEX('Input Transaksi'!$D:$D,$E971))</f>
        <v/>
      </c>
      <c r="C971">
        <f>IF($E971="","",INDEX('Input Transaksi'!$E:$E,$E971))</f>
        <v/>
      </c>
      <c r="D971" s="5">
        <f>IF($E971="","",INDEX('Input Transaksi'!$F:$F,$E971))</f>
        <v/>
      </c>
      <c r="E971">
        <f>IFERROR(AGGREGATE(15,6,ROW('Input Transaksi'!$B$5:$B$5000)/('Input Transaksi'!$B$5:$B$5000="BALI WASH"),ROWS($E$5:E971)),"")</f>
        <v/>
      </c>
      <c r="F971" s="5" t="n"/>
    </row>
    <row r="972">
      <c r="A972" s="10">
        <f>IF($E972="","",INDEX('Input Transaksi'!$A:$A,$E972))</f>
        <v/>
      </c>
      <c r="B972" s="5">
        <f>IF($E972="","",INDEX('Input Transaksi'!$D:$D,$E972))</f>
        <v/>
      </c>
      <c r="C972">
        <f>IF($E972="","",INDEX('Input Transaksi'!$E:$E,$E972))</f>
        <v/>
      </c>
      <c r="D972" s="5">
        <f>IF($E972="","",INDEX('Input Transaksi'!$F:$F,$E972))</f>
        <v/>
      </c>
      <c r="E972">
        <f>IFERROR(AGGREGATE(15,6,ROW('Input Transaksi'!$B$5:$B$5000)/('Input Transaksi'!$B$5:$B$5000="BALI WASH"),ROWS($E$5:E972)),"")</f>
        <v/>
      </c>
      <c r="F972" s="5" t="n"/>
    </row>
    <row r="973">
      <c r="A973" s="10">
        <f>IF($E973="","",INDEX('Input Transaksi'!$A:$A,$E973))</f>
        <v/>
      </c>
      <c r="B973" s="5">
        <f>IF($E973="","",INDEX('Input Transaksi'!$D:$D,$E973))</f>
        <v/>
      </c>
      <c r="C973">
        <f>IF($E973="","",INDEX('Input Transaksi'!$E:$E,$E973))</f>
        <v/>
      </c>
      <c r="D973" s="5">
        <f>IF($E973="","",INDEX('Input Transaksi'!$F:$F,$E973))</f>
        <v/>
      </c>
      <c r="E973">
        <f>IFERROR(AGGREGATE(15,6,ROW('Input Transaksi'!$B$5:$B$5000)/('Input Transaksi'!$B$5:$B$5000="BALI WASH"),ROWS($E$5:E973)),"")</f>
        <v/>
      </c>
      <c r="F973" s="5" t="n"/>
    </row>
    <row r="974">
      <c r="A974" s="10">
        <f>IF($E974="","",INDEX('Input Transaksi'!$A:$A,$E974))</f>
        <v/>
      </c>
      <c r="B974" s="5">
        <f>IF($E974="","",INDEX('Input Transaksi'!$D:$D,$E974))</f>
        <v/>
      </c>
      <c r="C974">
        <f>IF($E974="","",INDEX('Input Transaksi'!$E:$E,$E974))</f>
        <v/>
      </c>
      <c r="D974" s="5">
        <f>IF($E974="","",INDEX('Input Transaksi'!$F:$F,$E974))</f>
        <v/>
      </c>
      <c r="E974">
        <f>IFERROR(AGGREGATE(15,6,ROW('Input Transaksi'!$B$5:$B$5000)/('Input Transaksi'!$B$5:$B$5000="BALI WASH"),ROWS($E$5:E974)),"")</f>
        <v/>
      </c>
      <c r="F974" s="5" t="n"/>
    </row>
    <row r="975">
      <c r="A975" s="10">
        <f>IF($E975="","",INDEX('Input Transaksi'!$A:$A,$E975))</f>
        <v/>
      </c>
      <c r="B975" s="5">
        <f>IF($E975="","",INDEX('Input Transaksi'!$D:$D,$E975))</f>
        <v/>
      </c>
      <c r="C975">
        <f>IF($E975="","",INDEX('Input Transaksi'!$E:$E,$E975))</f>
        <v/>
      </c>
      <c r="D975" s="5">
        <f>IF($E975="","",INDEX('Input Transaksi'!$F:$F,$E975))</f>
        <v/>
      </c>
      <c r="E975">
        <f>IFERROR(AGGREGATE(15,6,ROW('Input Transaksi'!$B$5:$B$5000)/('Input Transaksi'!$B$5:$B$5000="BALI WASH"),ROWS($E$5:E975)),"")</f>
        <v/>
      </c>
      <c r="F975" s="5" t="n"/>
    </row>
    <row r="976">
      <c r="A976" s="10">
        <f>IF($E976="","",INDEX('Input Transaksi'!$A:$A,$E976))</f>
        <v/>
      </c>
      <c r="B976" s="5">
        <f>IF($E976="","",INDEX('Input Transaksi'!$D:$D,$E976))</f>
        <v/>
      </c>
      <c r="C976">
        <f>IF($E976="","",INDEX('Input Transaksi'!$E:$E,$E976))</f>
        <v/>
      </c>
      <c r="D976" s="5">
        <f>IF($E976="","",INDEX('Input Transaksi'!$F:$F,$E976))</f>
        <v/>
      </c>
      <c r="E976">
        <f>IFERROR(AGGREGATE(15,6,ROW('Input Transaksi'!$B$5:$B$5000)/('Input Transaksi'!$B$5:$B$5000="BALI WASH"),ROWS($E$5:E976)),"")</f>
        <v/>
      </c>
      <c r="F976" s="5" t="n"/>
    </row>
    <row r="977">
      <c r="A977" s="10">
        <f>IF($E977="","",INDEX('Input Transaksi'!$A:$A,$E977))</f>
        <v/>
      </c>
      <c r="B977" s="5">
        <f>IF($E977="","",INDEX('Input Transaksi'!$D:$D,$E977))</f>
        <v/>
      </c>
      <c r="C977">
        <f>IF($E977="","",INDEX('Input Transaksi'!$E:$E,$E977))</f>
        <v/>
      </c>
      <c r="D977" s="5">
        <f>IF($E977="","",INDEX('Input Transaksi'!$F:$F,$E977))</f>
        <v/>
      </c>
      <c r="E977">
        <f>IFERROR(AGGREGATE(15,6,ROW('Input Transaksi'!$B$5:$B$5000)/('Input Transaksi'!$B$5:$B$5000="BALI WASH"),ROWS($E$5:E977)),"")</f>
        <v/>
      </c>
      <c r="F977" s="5" t="n"/>
    </row>
    <row r="978">
      <c r="A978" s="10">
        <f>IF($E978="","",INDEX('Input Transaksi'!$A:$A,$E978))</f>
        <v/>
      </c>
      <c r="B978" s="5">
        <f>IF($E978="","",INDEX('Input Transaksi'!$D:$D,$E978))</f>
        <v/>
      </c>
      <c r="C978">
        <f>IF($E978="","",INDEX('Input Transaksi'!$E:$E,$E978))</f>
        <v/>
      </c>
      <c r="D978" s="5">
        <f>IF($E978="","",INDEX('Input Transaksi'!$F:$F,$E978))</f>
        <v/>
      </c>
      <c r="E978">
        <f>IFERROR(AGGREGATE(15,6,ROW('Input Transaksi'!$B$5:$B$5000)/('Input Transaksi'!$B$5:$B$5000="BALI WASH"),ROWS($E$5:E978)),"")</f>
        <v/>
      </c>
      <c r="F978" s="5" t="n"/>
    </row>
    <row r="979">
      <c r="A979" s="10">
        <f>IF($E979="","",INDEX('Input Transaksi'!$A:$A,$E979))</f>
        <v/>
      </c>
      <c r="B979" s="5">
        <f>IF($E979="","",INDEX('Input Transaksi'!$D:$D,$E979))</f>
        <v/>
      </c>
      <c r="C979">
        <f>IF($E979="","",INDEX('Input Transaksi'!$E:$E,$E979))</f>
        <v/>
      </c>
      <c r="D979" s="5">
        <f>IF($E979="","",INDEX('Input Transaksi'!$F:$F,$E979))</f>
        <v/>
      </c>
      <c r="E979">
        <f>IFERROR(AGGREGATE(15,6,ROW('Input Transaksi'!$B$5:$B$5000)/('Input Transaksi'!$B$5:$B$5000="BALI WASH"),ROWS($E$5:E979)),"")</f>
        <v/>
      </c>
      <c r="F979" s="5" t="n"/>
    </row>
    <row r="980">
      <c r="A980" s="10">
        <f>IF($E980="","",INDEX('Input Transaksi'!$A:$A,$E980))</f>
        <v/>
      </c>
      <c r="B980" s="5">
        <f>IF($E980="","",INDEX('Input Transaksi'!$D:$D,$E980))</f>
        <v/>
      </c>
      <c r="C980">
        <f>IF($E980="","",INDEX('Input Transaksi'!$E:$E,$E980))</f>
        <v/>
      </c>
      <c r="D980" s="5">
        <f>IF($E980="","",INDEX('Input Transaksi'!$F:$F,$E980))</f>
        <v/>
      </c>
      <c r="E980">
        <f>IFERROR(AGGREGATE(15,6,ROW('Input Transaksi'!$B$5:$B$5000)/('Input Transaksi'!$B$5:$B$5000="BALI WASH"),ROWS($E$5:E980)),"")</f>
        <v/>
      </c>
      <c r="F980" s="5" t="n"/>
    </row>
    <row r="981">
      <c r="A981" s="10">
        <f>IF($E981="","",INDEX('Input Transaksi'!$A:$A,$E981))</f>
        <v/>
      </c>
      <c r="B981" s="5">
        <f>IF($E981="","",INDEX('Input Transaksi'!$D:$D,$E981))</f>
        <v/>
      </c>
      <c r="C981">
        <f>IF($E981="","",INDEX('Input Transaksi'!$E:$E,$E981))</f>
        <v/>
      </c>
      <c r="D981" s="5">
        <f>IF($E981="","",INDEX('Input Transaksi'!$F:$F,$E981))</f>
        <v/>
      </c>
      <c r="E981">
        <f>IFERROR(AGGREGATE(15,6,ROW('Input Transaksi'!$B$5:$B$5000)/('Input Transaksi'!$B$5:$B$5000="BALI WASH"),ROWS($E$5:E981)),"")</f>
        <v/>
      </c>
      <c r="F981" s="5" t="n"/>
    </row>
    <row r="982">
      <c r="A982" s="10">
        <f>IF($E982="","",INDEX('Input Transaksi'!$A:$A,$E982))</f>
        <v/>
      </c>
      <c r="B982" s="5">
        <f>IF($E982="","",INDEX('Input Transaksi'!$D:$D,$E982))</f>
        <v/>
      </c>
      <c r="C982">
        <f>IF($E982="","",INDEX('Input Transaksi'!$E:$E,$E982))</f>
        <v/>
      </c>
      <c r="D982" s="5">
        <f>IF($E982="","",INDEX('Input Transaksi'!$F:$F,$E982))</f>
        <v/>
      </c>
      <c r="E982">
        <f>IFERROR(AGGREGATE(15,6,ROW('Input Transaksi'!$B$5:$B$5000)/('Input Transaksi'!$B$5:$B$5000="BALI WASH"),ROWS($E$5:E982)),"")</f>
        <v/>
      </c>
      <c r="F982" s="5" t="n"/>
    </row>
    <row r="983">
      <c r="A983" s="10">
        <f>IF($E983="","",INDEX('Input Transaksi'!$A:$A,$E983))</f>
        <v/>
      </c>
      <c r="B983" s="5">
        <f>IF($E983="","",INDEX('Input Transaksi'!$D:$D,$E983))</f>
        <v/>
      </c>
      <c r="C983">
        <f>IF($E983="","",INDEX('Input Transaksi'!$E:$E,$E983))</f>
        <v/>
      </c>
      <c r="D983" s="5">
        <f>IF($E983="","",INDEX('Input Transaksi'!$F:$F,$E983))</f>
        <v/>
      </c>
      <c r="E983">
        <f>IFERROR(AGGREGATE(15,6,ROW('Input Transaksi'!$B$5:$B$5000)/('Input Transaksi'!$B$5:$B$5000="BALI WASH"),ROWS($E$5:E983)),"")</f>
        <v/>
      </c>
      <c r="F983" s="5" t="n"/>
    </row>
    <row r="984">
      <c r="A984" s="10">
        <f>IF($E984="","",INDEX('Input Transaksi'!$A:$A,$E984))</f>
        <v/>
      </c>
      <c r="B984" s="5">
        <f>IF($E984="","",INDEX('Input Transaksi'!$D:$D,$E984))</f>
        <v/>
      </c>
      <c r="C984">
        <f>IF($E984="","",INDEX('Input Transaksi'!$E:$E,$E984))</f>
        <v/>
      </c>
      <c r="D984" s="5">
        <f>IF($E984="","",INDEX('Input Transaksi'!$F:$F,$E984))</f>
        <v/>
      </c>
      <c r="E984">
        <f>IFERROR(AGGREGATE(15,6,ROW('Input Transaksi'!$B$5:$B$5000)/('Input Transaksi'!$B$5:$B$5000="BALI WASH"),ROWS($E$5:E984)),"")</f>
        <v/>
      </c>
      <c r="F984" s="5" t="n"/>
    </row>
    <row r="985">
      <c r="A985" s="10">
        <f>IF($E985="","",INDEX('Input Transaksi'!$A:$A,$E985))</f>
        <v/>
      </c>
      <c r="B985" s="5">
        <f>IF($E985="","",INDEX('Input Transaksi'!$D:$D,$E985))</f>
        <v/>
      </c>
      <c r="C985">
        <f>IF($E985="","",INDEX('Input Transaksi'!$E:$E,$E985))</f>
        <v/>
      </c>
      <c r="D985" s="5">
        <f>IF($E985="","",INDEX('Input Transaksi'!$F:$F,$E985))</f>
        <v/>
      </c>
      <c r="E985">
        <f>IFERROR(AGGREGATE(15,6,ROW('Input Transaksi'!$B$5:$B$5000)/('Input Transaksi'!$B$5:$B$5000="BALI WASH"),ROWS($E$5:E985)),"")</f>
        <v/>
      </c>
      <c r="F985" s="5" t="n"/>
    </row>
    <row r="986">
      <c r="A986" s="10">
        <f>IF($E986="","",INDEX('Input Transaksi'!$A:$A,$E986))</f>
        <v/>
      </c>
      <c r="B986" s="5">
        <f>IF($E986="","",INDEX('Input Transaksi'!$D:$D,$E986))</f>
        <v/>
      </c>
      <c r="C986">
        <f>IF($E986="","",INDEX('Input Transaksi'!$E:$E,$E986))</f>
        <v/>
      </c>
      <c r="D986" s="5">
        <f>IF($E986="","",INDEX('Input Transaksi'!$F:$F,$E986))</f>
        <v/>
      </c>
      <c r="E986">
        <f>IFERROR(AGGREGATE(15,6,ROW('Input Transaksi'!$B$5:$B$5000)/('Input Transaksi'!$B$5:$B$5000="BALI WASH"),ROWS($E$5:E986)),"")</f>
        <v/>
      </c>
      <c r="F986" s="5" t="n"/>
    </row>
    <row r="987">
      <c r="A987" s="10">
        <f>IF($E987="","",INDEX('Input Transaksi'!$A:$A,$E987))</f>
        <v/>
      </c>
      <c r="B987" s="5">
        <f>IF($E987="","",INDEX('Input Transaksi'!$D:$D,$E987))</f>
        <v/>
      </c>
      <c r="C987">
        <f>IF($E987="","",INDEX('Input Transaksi'!$E:$E,$E987))</f>
        <v/>
      </c>
      <c r="D987" s="5">
        <f>IF($E987="","",INDEX('Input Transaksi'!$F:$F,$E987))</f>
        <v/>
      </c>
      <c r="E987">
        <f>IFERROR(AGGREGATE(15,6,ROW('Input Transaksi'!$B$5:$B$5000)/('Input Transaksi'!$B$5:$B$5000="BALI WASH"),ROWS($E$5:E987)),"")</f>
        <v/>
      </c>
      <c r="F987" s="5" t="n"/>
    </row>
    <row r="988">
      <c r="A988" s="10">
        <f>IF($E988="","",INDEX('Input Transaksi'!$A:$A,$E988))</f>
        <v/>
      </c>
      <c r="B988" s="5">
        <f>IF($E988="","",INDEX('Input Transaksi'!$D:$D,$E988))</f>
        <v/>
      </c>
      <c r="C988">
        <f>IF($E988="","",INDEX('Input Transaksi'!$E:$E,$E988))</f>
        <v/>
      </c>
      <c r="D988" s="5">
        <f>IF($E988="","",INDEX('Input Transaksi'!$F:$F,$E988))</f>
        <v/>
      </c>
      <c r="E988">
        <f>IFERROR(AGGREGATE(15,6,ROW('Input Transaksi'!$B$5:$B$5000)/('Input Transaksi'!$B$5:$B$5000="BALI WASH"),ROWS($E$5:E988)),"")</f>
        <v/>
      </c>
      <c r="F988" s="5" t="n"/>
    </row>
    <row r="989">
      <c r="A989" s="10">
        <f>IF($E989="","",INDEX('Input Transaksi'!$A:$A,$E989))</f>
        <v/>
      </c>
      <c r="B989" s="5">
        <f>IF($E989="","",INDEX('Input Transaksi'!$D:$D,$E989))</f>
        <v/>
      </c>
      <c r="C989">
        <f>IF($E989="","",INDEX('Input Transaksi'!$E:$E,$E989))</f>
        <v/>
      </c>
      <c r="D989" s="5">
        <f>IF($E989="","",INDEX('Input Transaksi'!$F:$F,$E989))</f>
        <v/>
      </c>
      <c r="E989">
        <f>IFERROR(AGGREGATE(15,6,ROW('Input Transaksi'!$B$5:$B$5000)/('Input Transaksi'!$B$5:$B$5000="BALI WASH"),ROWS($E$5:E989)),"")</f>
        <v/>
      </c>
      <c r="F989" s="5" t="n"/>
    </row>
    <row r="990">
      <c r="A990" s="10">
        <f>IF($E990="","",INDEX('Input Transaksi'!$A:$A,$E990))</f>
        <v/>
      </c>
      <c r="B990" s="5">
        <f>IF($E990="","",INDEX('Input Transaksi'!$D:$D,$E990))</f>
        <v/>
      </c>
      <c r="C990">
        <f>IF($E990="","",INDEX('Input Transaksi'!$E:$E,$E990))</f>
        <v/>
      </c>
      <c r="D990" s="5">
        <f>IF($E990="","",INDEX('Input Transaksi'!$F:$F,$E990))</f>
        <v/>
      </c>
      <c r="E990">
        <f>IFERROR(AGGREGATE(15,6,ROW('Input Transaksi'!$B$5:$B$5000)/('Input Transaksi'!$B$5:$B$5000="BALI WASH"),ROWS($E$5:E990)),"")</f>
        <v/>
      </c>
      <c r="F990" s="5" t="n"/>
    </row>
    <row r="991">
      <c r="A991" s="10">
        <f>IF($E991="","",INDEX('Input Transaksi'!$A:$A,$E991))</f>
        <v/>
      </c>
      <c r="B991" s="5">
        <f>IF($E991="","",INDEX('Input Transaksi'!$D:$D,$E991))</f>
        <v/>
      </c>
      <c r="C991">
        <f>IF($E991="","",INDEX('Input Transaksi'!$E:$E,$E991))</f>
        <v/>
      </c>
      <c r="D991" s="5">
        <f>IF($E991="","",INDEX('Input Transaksi'!$F:$F,$E991))</f>
        <v/>
      </c>
      <c r="E991">
        <f>IFERROR(AGGREGATE(15,6,ROW('Input Transaksi'!$B$5:$B$5000)/('Input Transaksi'!$B$5:$B$5000="BALI WASH"),ROWS($E$5:E991)),"")</f>
        <v/>
      </c>
      <c r="F991" s="5" t="n"/>
    </row>
    <row r="992">
      <c r="A992" s="10">
        <f>IF($E992="","",INDEX('Input Transaksi'!$A:$A,$E992))</f>
        <v/>
      </c>
      <c r="B992" s="5">
        <f>IF($E992="","",INDEX('Input Transaksi'!$D:$D,$E992))</f>
        <v/>
      </c>
      <c r="C992">
        <f>IF($E992="","",INDEX('Input Transaksi'!$E:$E,$E992))</f>
        <v/>
      </c>
      <c r="D992" s="5">
        <f>IF($E992="","",INDEX('Input Transaksi'!$F:$F,$E992))</f>
        <v/>
      </c>
      <c r="E992">
        <f>IFERROR(AGGREGATE(15,6,ROW('Input Transaksi'!$B$5:$B$5000)/('Input Transaksi'!$B$5:$B$5000="BALI WASH"),ROWS($E$5:E992)),"")</f>
        <v/>
      </c>
      <c r="F992" s="5" t="n"/>
    </row>
    <row r="993">
      <c r="A993" s="10">
        <f>IF($E993="","",INDEX('Input Transaksi'!$A:$A,$E993))</f>
        <v/>
      </c>
      <c r="B993" s="5">
        <f>IF($E993="","",INDEX('Input Transaksi'!$D:$D,$E993))</f>
        <v/>
      </c>
      <c r="C993">
        <f>IF($E993="","",INDEX('Input Transaksi'!$E:$E,$E993))</f>
        <v/>
      </c>
      <c r="D993" s="5">
        <f>IF($E993="","",INDEX('Input Transaksi'!$F:$F,$E993))</f>
        <v/>
      </c>
      <c r="E993">
        <f>IFERROR(AGGREGATE(15,6,ROW('Input Transaksi'!$B$5:$B$5000)/('Input Transaksi'!$B$5:$B$5000="BALI WASH"),ROWS($E$5:E993)),"")</f>
        <v/>
      </c>
      <c r="F993" s="5" t="n"/>
    </row>
    <row r="994">
      <c r="A994" s="10">
        <f>IF($E994="","",INDEX('Input Transaksi'!$A:$A,$E994))</f>
        <v/>
      </c>
      <c r="B994" s="5">
        <f>IF($E994="","",INDEX('Input Transaksi'!$D:$D,$E994))</f>
        <v/>
      </c>
      <c r="C994">
        <f>IF($E994="","",INDEX('Input Transaksi'!$E:$E,$E994))</f>
        <v/>
      </c>
      <c r="D994" s="5">
        <f>IF($E994="","",INDEX('Input Transaksi'!$F:$F,$E994))</f>
        <v/>
      </c>
      <c r="E994">
        <f>IFERROR(AGGREGATE(15,6,ROW('Input Transaksi'!$B$5:$B$5000)/('Input Transaksi'!$B$5:$B$5000="BALI WASH"),ROWS($E$5:E994)),"")</f>
        <v/>
      </c>
      <c r="F994" s="5" t="n"/>
    </row>
    <row r="995">
      <c r="A995" s="10">
        <f>IF($E995="","",INDEX('Input Transaksi'!$A:$A,$E995))</f>
        <v/>
      </c>
      <c r="B995" s="5">
        <f>IF($E995="","",INDEX('Input Transaksi'!$D:$D,$E995))</f>
        <v/>
      </c>
      <c r="C995">
        <f>IF($E995="","",INDEX('Input Transaksi'!$E:$E,$E995))</f>
        <v/>
      </c>
      <c r="D995" s="5">
        <f>IF($E995="","",INDEX('Input Transaksi'!$F:$F,$E995))</f>
        <v/>
      </c>
      <c r="E995">
        <f>IFERROR(AGGREGATE(15,6,ROW('Input Transaksi'!$B$5:$B$5000)/('Input Transaksi'!$B$5:$B$5000="BALI WASH"),ROWS($E$5:E995)),"")</f>
        <v/>
      </c>
      <c r="F995" s="5" t="n"/>
    </row>
    <row r="996">
      <c r="A996" s="10">
        <f>IF($E996="","",INDEX('Input Transaksi'!$A:$A,$E996))</f>
        <v/>
      </c>
      <c r="B996" s="5">
        <f>IF($E996="","",INDEX('Input Transaksi'!$D:$D,$E996))</f>
        <v/>
      </c>
      <c r="C996">
        <f>IF($E996="","",INDEX('Input Transaksi'!$E:$E,$E996))</f>
        <v/>
      </c>
      <c r="D996" s="5">
        <f>IF($E996="","",INDEX('Input Transaksi'!$F:$F,$E996))</f>
        <v/>
      </c>
      <c r="E996">
        <f>IFERROR(AGGREGATE(15,6,ROW('Input Transaksi'!$B$5:$B$5000)/('Input Transaksi'!$B$5:$B$5000="BALI WASH"),ROWS($E$5:E996)),"")</f>
        <v/>
      </c>
      <c r="F996" s="5" t="n"/>
    </row>
    <row r="997">
      <c r="A997" s="10">
        <f>IF($E997="","",INDEX('Input Transaksi'!$A:$A,$E997))</f>
        <v/>
      </c>
      <c r="B997" s="5">
        <f>IF($E997="","",INDEX('Input Transaksi'!$D:$D,$E997))</f>
        <v/>
      </c>
      <c r="C997">
        <f>IF($E997="","",INDEX('Input Transaksi'!$E:$E,$E997))</f>
        <v/>
      </c>
      <c r="D997" s="5">
        <f>IF($E997="","",INDEX('Input Transaksi'!$F:$F,$E997))</f>
        <v/>
      </c>
      <c r="E997">
        <f>IFERROR(AGGREGATE(15,6,ROW('Input Transaksi'!$B$5:$B$5000)/('Input Transaksi'!$B$5:$B$5000="BALI WASH"),ROWS($E$5:E997)),"")</f>
        <v/>
      </c>
      <c r="F997" s="5" t="n"/>
    </row>
    <row r="998">
      <c r="A998" s="10">
        <f>IF($E998="","",INDEX('Input Transaksi'!$A:$A,$E998))</f>
        <v/>
      </c>
      <c r="B998" s="5">
        <f>IF($E998="","",INDEX('Input Transaksi'!$D:$D,$E998))</f>
        <v/>
      </c>
      <c r="C998">
        <f>IF($E998="","",INDEX('Input Transaksi'!$E:$E,$E998))</f>
        <v/>
      </c>
      <c r="D998" s="5">
        <f>IF($E998="","",INDEX('Input Transaksi'!$F:$F,$E998))</f>
        <v/>
      </c>
      <c r="E998">
        <f>IFERROR(AGGREGATE(15,6,ROW('Input Transaksi'!$B$5:$B$5000)/('Input Transaksi'!$B$5:$B$5000="BALI WASH"),ROWS($E$5:E998)),"")</f>
        <v/>
      </c>
      <c r="F998" s="5" t="n"/>
    </row>
    <row r="999">
      <c r="A999" s="10">
        <f>IF($E999="","",INDEX('Input Transaksi'!$A:$A,$E999))</f>
        <v/>
      </c>
      <c r="B999" s="5">
        <f>IF($E999="","",INDEX('Input Transaksi'!$D:$D,$E999))</f>
        <v/>
      </c>
      <c r="C999">
        <f>IF($E999="","",INDEX('Input Transaksi'!$E:$E,$E999))</f>
        <v/>
      </c>
      <c r="D999" s="5">
        <f>IF($E999="","",INDEX('Input Transaksi'!$F:$F,$E999))</f>
        <v/>
      </c>
      <c r="E999">
        <f>IFERROR(AGGREGATE(15,6,ROW('Input Transaksi'!$B$5:$B$5000)/('Input Transaksi'!$B$5:$B$5000="BALI WASH"),ROWS($E$5:E999)),"")</f>
        <v/>
      </c>
      <c r="F999" s="5" t="n"/>
    </row>
    <row r="1000">
      <c r="A1000" s="10">
        <f>IF($E1000="","",INDEX('Input Transaksi'!$A:$A,$E1000))</f>
        <v/>
      </c>
      <c r="B1000" s="5">
        <f>IF($E1000="","",INDEX('Input Transaksi'!$D:$D,$E1000))</f>
        <v/>
      </c>
      <c r="C1000">
        <f>IF($E1000="","",INDEX('Input Transaksi'!$E:$E,$E1000))</f>
        <v/>
      </c>
      <c r="D1000" s="5">
        <f>IF($E1000="","",INDEX('Input Transaksi'!$F:$F,$E1000))</f>
        <v/>
      </c>
      <c r="E1000">
        <f>IFERROR(AGGREGATE(15,6,ROW('Input Transaksi'!$B$5:$B$5000)/('Input Transaksi'!$B$5:$B$5000="BALI WASH"),ROWS($E$5:E1000)),"")</f>
        <v/>
      </c>
      <c r="F1000" s="5" t="n"/>
    </row>
  </sheetData>
  <autoFilter ref="A4:D1000"/>
  <mergeCells count="1">
    <mergeCell ref="A1:E1"/>
  </mergeCells>
  <hyperlinks>
    <hyperlink ref="F1" location="'Beranda'!A1" display="Kembali ke Beranda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000"/>
  <sheetViews>
    <sheetView workbookViewId="0">
      <pane ySplit="4" topLeftCell="A5" activePane="bottomLeft" state="frozen"/>
      <selection pane="bottomLeft" activeCell="A1" sqref="A1"/>
    </sheetView>
  </sheetViews>
  <sheetFormatPr baseColWidth="10" defaultColWidth="8.83203125" defaultRowHeight="15"/>
  <cols>
    <col width="16" customWidth="1" min="1" max="1"/>
    <col width="22" customWidth="1" min="2" max="2"/>
    <col width="12" customWidth="1" min="3" max="3"/>
    <col width="26" customWidth="1" min="4" max="4"/>
    <col hidden="1" width="12.6640625" customWidth="1" min="5" max="5"/>
    <col width="16" customWidth="1" min="6" max="6"/>
    <col hidden="1" width="13" customWidth="1" min="7" max="7"/>
  </cols>
  <sheetData>
    <row r="1" ht="24" customHeight="1">
      <c r="A1" s="11" t="inlineStr">
        <is>
          <t>RINJANI WASH</t>
        </is>
      </c>
      <c r="F1" s="3" t="inlineStr">
        <is>
          <t>Kembali ke Beranda</t>
        </is>
      </c>
    </row>
    <row r="2">
      <c r="A2" s="13" t="inlineStr">
        <is>
          <t>Wilayah</t>
        </is>
      </c>
      <c r="B2" s="13" t="inlineStr">
        <is>
          <t>BARAT</t>
        </is>
      </c>
      <c r="C2" s="13" t="inlineStr">
        <is>
          <t>Total Qty</t>
        </is>
      </c>
      <c r="D2" s="2">
        <f>SUMIFS('Input Transaksi'!$E$5:$E$5000,'Input Transaksi'!$B$5:$B$5000,"RINJANI WASH")</f>
        <v/>
      </c>
      <c r="E2" s="13" t="inlineStr">
        <is>
          <t>Jumlah Transaksi</t>
        </is>
      </c>
      <c r="F2" s="2">
        <f>COUNTIF('Input Transaksi'!$B$5:$B$5000,"RINJANI WASH")</f>
        <v/>
      </c>
    </row>
    <row r="3"/>
    <row r="4">
      <c r="A4" s="4" t="inlineStr">
        <is>
          <t>Tanggal</t>
        </is>
      </c>
      <c r="B4" s="4" t="inlineStr">
        <is>
          <t>Item</t>
        </is>
      </c>
      <c r="C4" s="4" t="inlineStr">
        <is>
          <t>Qty Keluar</t>
        </is>
      </c>
      <c r="D4" s="4" t="inlineStr">
        <is>
          <t>Catatan</t>
        </is>
      </c>
      <c r="E4" t="inlineStr">
        <is>
          <t>RowRef</t>
        </is>
      </c>
      <c r="F4" s="4" t="n"/>
    </row>
    <row r="5">
      <c r="A5" s="10">
        <f>IF($E5="","",INDEX('Input Transaksi'!$A:$A,$E5))</f>
        <v/>
      </c>
      <c r="B5" s="5">
        <f>IF($E5="","",INDEX('Input Transaksi'!$D:$D,$E5))</f>
        <v/>
      </c>
      <c r="C5">
        <f>IF($E5="","",INDEX('Input Transaksi'!$E:$E,$E5))</f>
        <v/>
      </c>
      <c r="D5" s="5">
        <f>IF($E5="","",INDEX('Input Transaksi'!$F:$F,$E5))</f>
        <v/>
      </c>
      <c r="E5">
        <f>IFERROR(AGGREGATE(15,6,ROW('Input Transaksi'!$B$5:$B$5000)/('Input Transaksi'!$B$5:$B$5000="RINJANI WASH"),ROWS($E$5:E5)),"")</f>
        <v/>
      </c>
      <c r="F5" s="5" t="n"/>
    </row>
    <row r="6">
      <c r="A6" s="10">
        <f>IF($E6="","",INDEX('Input Transaksi'!$A:$A,$E6))</f>
        <v/>
      </c>
      <c r="B6" s="5">
        <f>IF($E6="","",INDEX('Input Transaksi'!$D:$D,$E6))</f>
        <v/>
      </c>
      <c r="C6">
        <f>IF($E6="","",INDEX('Input Transaksi'!$E:$E,$E6))</f>
        <v/>
      </c>
      <c r="D6" s="5">
        <f>IF($E6="","",INDEX('Input Transaksi'!$F:$F,$E6))</f>
        <v/>
      </c>
      <c r="E6">
        <f>IFERROR(AGGREGATE(15,6,ROW('Input Transaksi'!$B$5:$B$5000)/('Input Transaksi'!$B$5:$B$5000="RINJANI WASH"),ROWS($E$5:E6)),"")</f>
        <v/>
      </c>
      <c r="F6" s="5" t="n"/>
    </row>
    <row r="7">
      <c r="A7" s="10">
        <f>IF($E7="","",INDEX('Input Transaksi'!$A:$A,$E7))</f>
        <v/>
      </c>
      <c r="B7" s="5">
        <f>IF($E7="","",INDEX('Input Transaksi'!$D:$D,$E7))</f>
        <v/>
      </c>
      <c r="C7">
        <f>IF($E7="","",INDEX('Input Transaksi'!$E:$E,$E7))</f>
        <v/>
      </c>
      <c r="D7" s="5">
        <f>IF($E7="","",INDEX('Input Transaksi'!$F:$F,$E7))</f>
        <v/>
      </c>
      <c r="E7">
        <f>IFERROR(AGGREGATE(15,6,ROW('Input Transaksi'!$B$5:$B$5000)/('Input Transaksi'!$B$5:$B$5000="RINJANI WASH"),ROWS($E$5:E7)),"")</f>
        <v/>
      </c>
      <c r="F7" s="5" t="n"/>
    </row>
    <row r="8">
      <c r="A8" s="10">
        <f>IF($E8="","",INDEX('Input Transaksi'!$A:$A,$E8))</f>
        <v/>
      </c>
      <c r="B8" s="5">
        <f>IF($E8="","",INDEX('Input Transaksi'!$D:$D,$E8))</f>
        <v/>
      </c>
      <c r="C8">
        <f>IF($E8="","",INDEX('Input Transaksi'!$E:$E,$E8))</f>
        <v/>
      </c>
      <c r="D8" s="5">
        <f>IF($E8="","",INDEX('Input Transaksi'!$F:$F,$E8))</f>
        <v/>
      </c>
      <c r="E8">
        <f>IFERROR(AGGREGATE(15,6,ROW('Input Transaksi'!$B$5:$B$5000)/('Input Transaksi'!$B$5:$B$5000="RINJANI WASH"),ROWS($E$5:E8)),"")</f>
        <v/>
      </c>
      <c r="F8" s="5" t="n"/>
    </row>
    <row r="9">
      <c r="A9" s="10">
        <f>IF($E9="","",INDEX('Input Transaksi'!$A:$A,$E9))</f>
        <v/>
      </c>
      <c r="B9" s="5">
        <f>IF($E9="","",INDEX('Input Transaksi'!$D:$D,$E9))</f>
        <v/>
      </c>
      <c r="C9">
        <f>IF($E9="","",INDEX('Input Transaksi'!$E:$E,$E9))</f>
        <v/>
      </c>
      <c r="D9" s="5">
        <f>IF($E9="","",INDEX('Input Transaksi'!$F:$F,$E9))</f>
        <v/>
      </c>
      <c r="E9">
        <f>IFERROR(AGGREGATE(15,6,ROW('Input Transaksi'!$B$5:$B$5000)/('Input Transaksi'!$B$5:$B$5000="RINJANI WASH"),ROWS($E$5:E9)),"")</f>
        <v/>
      </c>
      <c r="F9" s="5" t="n"/>
    </row>
    <row r="10">
      <c r="A10" s="10">
        <f>IF($E10="","",INDEX('Input Transaksi'!$A:$A,$E10))</f>
        <v/>
      </c>
      <c r="B10" s="5">
        <f>IF($E10="","",INDEX('Input Transaksi'!$D:$D,$E10))</f>
        <v/>
      </c>
      <c r="C10">
        <f>IF($E10="","",INDEX('Input Transaksi'!$E:$E,$E10))</f>
        <v/>
      </c>
      <c r="D10" s="5">
        <f>IF($E10="","",INDEX('Input Transaksi'!$F:$F,$E10))</f>
        <v/>
      </c>
      <c r="E10">
        <f>IFERROR(AGGREGATE(15,6,ROW('Input Transaksi'!$B$5:$B$5000)/('Input Transaksi'!$B$5:$B$5000="RINJANI WASH"),ROWS($E$5:E10)),"")</f>
        <v/>
      </c>
      <c r="F10" s="5" t="n"/>
    </row>
    <row r="11">
      <c r="A11" s="10">
        <f>IF($E11="","",INDEX('Input Transaksi'!$A:$A,$E11))</f>
        <v/>
      </c>
      <c r="B11" s="5">
        <f>IF($E11="","",INDEX('Input Transaksi'!$D:$D,$E11))</f>
        <v/>
      </c>
      <c r="C11">
        <f>IF($E11="","",INDEX('Input Transaksi'!$E:$E,$E11))</f>
        <v/>
      </c>
      <c r="D11" s="5">
        <f>IF($E11="","",INDEX('Input Transaksi'!$F:$F,$E11))</f>
        <v/>
      </c>
      <c r="E11">
        <f>IFERROR(AGGREGATE(15,6,ROW('Input Transaksi'!$B$5:$B$5000)/('Input Transaksi'!$B$5:$B$5000="RINJANI WASH"),ROWS($E$5:E11)),"")</f>
        <v/>
      </c>
      <c r="F11" s="5" t="n"/>
    </row>
    <row r="12">
      <c r="A12" s="10">
        <f>IF($E12="","",INDEX('Input Transaksi'!$A:$A,$E12))</f>
        <v/>
      </c>
      <c r="B12" s="5">
        <f>IF($E12="","",INDEX('Input Transaksi'!$D:$D,$E12))</f>
        <v/>
      </c>
      <c r="C12">
        <f>IF($E12="","",INDEX('Input Transaksi'!$E:$E,$E12))</f>
        <v/>
      </c>
      <c r="D12" s="5">
        <f>IF($E12="","",INDEX('Input Transaksi'!$F:$F,$E12))</f>
        <v/>
      </c>
      <c r="E12">
        <f>IFERROR(AGGREGATE(15,6,ROW('Input Transaksi'!$B$5:$B$5000)/('Input Transaksi'!$B$5:$B$5000="RINJANI WASH"),ROWS($E$5:E12)),"")</f>
        <v/>
      </c>
      <c r="F12" s="5" t="n"/>
    </row>
    <row r="13">
      <c r="A13" s="10">
        <f>IF($E13="","",INDEX('Input Transaksi'!$A:$A,$E13))</f>
        <v/>
      </c>
      <c r="B13" s="5">
        <f>IF($E13="","",INDEX('Input Transaksi'!$D:$D,$E13))</f>
        <v/>
      </c>
      <c r="C13">
        <f>IF($E13="","",INDEX('Input Transaksi'!$E:$E,$E13))</f>
        <v/>
      </c>
      <c r="D13" s="5">
        <f>IF($E13="","",INDEX('Input Transaksi'!$F:$F,$E13))</f>
        <v/>
      </c>
      <c r="E13">
        <f>IFERROR(AGGREGATE(15,6,ROW('Input Transaksi'!$B$5:$B$5000)/('Input Transaksi'!$B$5:$B$5000="RINJANI WASH"),ROWS($E$5:E13)),"")</f>
        <v/>
      </c>
      <c r="F13" s="5" t="n"/>
    </row>
    <row r="14">
      <c r="A14" s="10">
        <f>IF($E14="","",INDEX('Input Transaksi'!$A:$A,$E14))</f>
        <v/>
      </c>
      <c r="B14" s="5">
        <f>IF($E14="","",INDEX('Input Transaksi'!$D:$D,$E14))</f>
        <v/>
      </c>
      <c r="C14">
        <f>IF($E14="","",INDEX('Input Transaksi'!$E:$E,$E14))</f>
        <v/>
      </c>
      <c r="D14" s="5">
        <f>IF($E14="","",INDEX('Input Transaksi'!$F:$F,$E14))</f>
        <v/>
      </c>
      <c r="E14">
        <f>IFERROR(AGGREGATE(15,6,ROW('Input Transaksi'!$B$5:$B$5000)/('Input Transaksi'!$B$5:$B$5000="RINJANI WASH"),ROWS($E$5:E14)),"")</f>
        <v/>
      </c>
      <c r="F14" s="5" t="n"/>
    </row>
    <row r="15">
      <c r="A15" s="10">
        <f>IF($E15="","",INDEX('Input Transaksi'!$A:$A,$E15))</f>
        <v/>
      </c>
      <c r="B15" s="5">
        <f>IF($E15="","",INDEX('Input Transaksi'!$D:$D,$E15))</f>
        <v/>
      </c>
      <c r="C15">
        <f>IF($E15="","",INDEX('Input Transaksi'!$E:$E,$E15))</f>
        <v/>
      </c>
      <c r="D15" s="5">
        <f>IF($E15="","",INDEX('Input Transaksi'!$F:$F,$E15))</f>
        <v/>
      </c>
      <c r="E15">
        <f>IFERROR(AGGREGATE(15,6,ROW('Input Transaksi'!$B$5:$B$5000)/('Input Transaksi'!$B$5:$B$5000="RINJANI WASH"),ROWS($E$5:E15)),"")</f>
        <v/>
      </c>
      <c r="F15" s="5" t="n"/>
    </row>
    <row r="16">
      <c r="A16" s="10">
        <f>IF($E16="","",INDEX('Input Transaksi'!$A:$A,$E16))</f>
        <v/>
      </c>
      <c r="B16" s="5">
        <f>IF($E16="","",INDEX('Input Transaksi'!$D:$D,$E16))</f>
        <v/>
      </c>
      <c r="C16">
        <f>IF($E16="","",INDEX('Input Transaksi'!$E:$E,$E16))</f>
        <v/>
      </c>
      <c r="D16" s="5">
        <f>IF($E16="","",INDEX('Input Transaksi'!$F:$F,$E16))</f>
        <v/>
      </c>
      <c r="E16">
        <f>IFERROR(AGGREGATE(15,6,ROW('Input Transaksi'!$B$5:$B$5000)/('Input Transaksi'!$B$5:$B$5000="RINJANI WASH"),ROWS($E$5:E16)),"")</f>
        <v/>
      </c>
      <c r="F16" s="5" t="n"/>
    </row>
    <row r="17">
      <c r="A17" s="10">
        <f>IF($E17="","",INDEX('Input Transaksi'!$A:$A,$E17))</f>
        <v/>
      </c>
      <c r="B17" s="5">
        <f>IF($E17="","",INDEX('Input Transaksi'!$D:$D,$E17))</f>
        <v/>
      </c>
      <c r="C17">
        <f>IF($E17="","",INDEX('Input Transaksi'!$E:$E,$E17))</f>
        <v/>
      </c>
      <c r="D17" s="5">
        <f>IF($E17="","",INDEX('Input Transaksi'!$F:$F,$E17))</f>
        <v/>
      </c>
      <c r="E17">
        <f>IFERROR(AGGREGATE(15,6,ROW('Input Transaksi'!$B$5:$B$5000)/('Input Transaksi'!$B$5:$B$5000="RINJANI WASH"),ROWS($E$5:E17)),"")</f>
        <v/>
      </c>
      <c r="F17" s="5" t="n"/>
    </row>
    <row r="18">
      <c r="A18" s="10">
        <f>IF($E18="","",INDEX('Input Transaksi'!$A:$A,$E18))</f>
        <v/>
      </c>
      <c r="B18" s="5">
        <f>IF($E18="","",INDEX('Input Transaksi'!$D:$D,$E18))</f>
        <v/>
      </c>
      <c r="C18">
        <f>IF($E18="","",INDEX('Input Transaksi'!$E:$E,$E18))</f>
        <v/>
      </c>
      <c r="D18" s="5">
        <f>IF($E18="","",INDEX('Input Transaksi'!$F:$F,$E18))</f>
        <v/>
      </c>
      <c r="E18">
        <f>IFERROR(AGGREGATE(15,6,ROW('Input Transaksi'!$B$5:$B$5000)/('Input Transaksi'!$B$5:$B$5000="RINJANI WASH"),ROWS($E$5:E18)),"")</f>
        <v/>
      </c>
      <c r="F18" s="5" t="n"/>
    </row>
    <row r="19">
      <c r="A19" s="10">
        <f>IF($E19="","",INDEX('Input Transaksi'!$A:$A,$E19))</f>
        <v/>
      </c>
      <c r="B19" s="5">
        <f>IF($E19="","",INDEX('Input Transaksi'!$D:$D,$E19))</f>
        <v/>
      </c>
      <c r="C19">
        <f>IF($E19="","",INDEX('Input Transaksi'!$E:$E,$E19))</f>
        <v/>
      </c>
      <c r="D19" s="5">
        <f>IF($E19="","",INDEX('Input Transaksi'!$F:$F,$E19))</f>
        <v/>
      </c>
      <c r="E19">
        <f>IFERROR(AGGREGATE(15,6,ROW('Input Transaksi'!$B$5:$B$5000)/('Input Transaksi'!$B$5:$B$5000="RINJANI WASH"),ROWS($E$5:E19)),"")</f>
        <v/>
      </c>
      <c r="F19" s="5" t="n"/>
    </row>
    <row r="20">
      <c r="A20" s="10">
        <f>IF($E20="","",INDEX('Input Transaksi'!$A:$A,$E20))</f>
        <v/>
      </c>
      <c r="B20" s="5">
        <f>IF($E20="","",INDEX('Input Transaksi'!$D:$D,$E20))</f>
        <v/>
      </c>
      <c r="C20">
        <f>IF($E20="","",INDEX('Input Transaksi'!$E:$E,$E20))</f>
        <v/>
      </c>
      <c r="D20" s="5">
        <f>IF($E20="","",INDEX('Input Transaksi'!$F:$F,$E20))</f>
        <v/>
      </c>
      <c r="E20">
        <f>IFERROR(AGGREGATE(15,6,ROW('Input Transaksi'!$B$5:$B$5000)/('Input Transaksi'!$B$5:$B$5000="RINJANI WASH"),ROWS($E$5:E20)),"")</f>
        <v/>
      </c>
      <c r="F20" s="5" t="n"/>
    </row>
    <row r="21">
      <c r="A21" s="10">
        <f>IF($E21="","",INDEX('Input Transaksi'!$A:$A,$E21))</f>
        <v/>
      </c>
      <c r="B21" s="5">
        <f>IF($E21="","",INDEX('Input Transaksi'!$D:$D,$E21))</f>
        <v/>
      </c>
      <c r="C21">
        <f>IF($E21="","",INDEX('Input Transaksi'!$E:$E,$E21))</f>
        <v/>
      </c>
      <c r="D21" s="5">
        <f>IF($E21="","",INDEX('Input Transaksi'!$F:$F,$E21))</f>
        <v/>
      </c>
      <c r="E21">
        <f>IFERROR(AGGREGATE(15,6,ROW('Input Transaksi'!$B$5:$B$5000)/('Input Transaksi'!$B$5:$B$5000="RINJANI WASH"),ROWS($E$5:E21)),"")</f>
        <v/>
      </c>
      <c r="F21" s="5" t="n"/>
    </row>
    <row r="22">
      <c r="A22" s="10">
        <f>IF($E22="","",INDEX('Input Transaksi'!$A:$A,$E22))</f>
        <v/>
      </c>
      <c r="B22" s="5">
        <f>IF($E22="","",INDEX('Input Transaksi'!$D:$D,$E22))</f>
        <v/>
      </c>
      <c r="C22">
        <f>IF($E22="","",INDEX('Input Transaksi'!$E:$E,$E22))</f>
        <v/>
      </c>
      <c r="D22" s="5">
        <f>IF($E22="","",INDEX('Input Transaksi'!$F:$F,$E22))</f>
        <v/>
      </c>
      <c r="E22">
        <f>IFERROR(AGGREGATE(15,6,ROW('Input Transaksi'!$B$5:$B$5000)/('Input Transaksi'!$B$5:$B$5000="RINJANI WASH"),ROWS($E$5:E22)),"")</f>
        <v/>
      </c>
      <c r="F22" s="5" t="n"/>
    </row>
    <row r="23">
      <c r="A23" s="10">
        <f>IF($E23="","",INDEX('Input Transaksi'!$A:$A,$E23))</f>
        <v/>
      </c>
      <c r="B23" s="5">
        <f>IF($E23="","",INDEX('Input Transaksi'!$D:$D,$E23))</f>
        <v/>
      </c>
      <c r="C23">
        <f>IF($E23="","",INDEX('Input Transaksi'!$E:$E,$E23))</f>
        <v/>
      </c>
      <c r="D23" s="5">
        <f>IF($E23="","",INDEX('Input Transaksi'!$F:$F,$E23))</f>
        <v/>
      </c>
      <c r="E23">
        <f>IFERROR(AGGREGATE(15,6,ROW('Input Transaksi'!$B$5:$B$5000)/('Input Transaksi'!$B$5:$B$5000="RINJANI WASH"),ROWS($E$5:E23)),"")</f>
        <v/>
      </c>
      <c r="F23" s="5" t="n"/>
    </row>
    <row r="24">
      <c r="A24" s="10">
        <f>IF($E24="","",INDEX('Input Transaksi'!$A:$A,$E24))</f>
        <v/>
      </c>
      <c r="B24" s="5">
        <f>IF($E24="","",INDEX('Input Transaksi'!$D:$D,$E24))</f>
        <v/>
      </c>
      <c r="C24">
        <f>IF($E24="","",INDEX('Input Transaksi'!$E:$E,$E24))</f>
        <v/>
      </c>
      <c r="D24" s="5">
        <f>IF($E24="","",INDEX('Input Transaksi'!$F:$F,$E24))</f>
        <v/>
      </c>
      <c r="E24">
        <f>IFERROR(AGGREGATE(15,6,ROW('Input Transaksi'!$B$5:$B$5000)/('Input Transaksi'!$B$5:$B$5000="RINJANI WASH"),ROWS($E$5:E24)),"")</f>
        <v/>
      </c>
      <c r="F24" s="5" t="n"/>
    </row>
    <row r="25">
      <c r="A25" s="10">
        <f>IF($E25="","",INDEX('Input Transaksi'!$A:$A,$E25))</f>
        <v/>
      </c>
      <c r="B25" s="5">
        <f>IF($E25="","",INDEX('Input Transaksi'!$D:$D,$E25))</f>
        <v/>
      </c>
      <c r="C25">
        <f>IF($E25="","",INDEX('Input Transaksi'!$E:$E,$E25))</f>
        <v/>
      </c>
      <c r="D25" s="5">
        <f>IF($E25="","",INDEX('Input Transaksi'!$F:$F,$E25))</f>
        <v/>
      </c>
      <c r="E25">
        <f>IFERROR(AGGREGATE(15,6,ROW('Input Transaksi'!$B$5:$B$5000)/('Input Transaksi'!$B$5:$B$5000="RINJANI WASH"),ROWS($E$5:E25)),"")</f>
        <v/>
      </c>
      <c r="F25" s="5" t="n"/>
    </row>
    <row r="26">
      <c r="A26" s="10">
        <f>IF($E26="","",INDEX('Input Transaksi'!$A:$A,$E26))</f>
        <v/>
      </c>
      <c r="B26" s="5">
        <f>IF($E26="","",INDEX('Input Transaksi'!$D:$D,$E26))</f>
        <v/>
      </c>
      <c r="C26">
        <f>IF($E26="","",INDEX('Input Transaksi'!$E:$E,$E26))</f>
        <v/>
      </c>
      <c r="D26" s="5">
        <f>IF($E26="","",INDEX('Input Transaksi'!$F:$F,$E26))</f>
        <v/>
      </c>
      <c r="E26">
        <f>IFERROR(AGGREGATE(15,6,ROW('Input Transaksi'!$B$5:$B$5000)/('Input Transaksi'!$B$5:$B$5000="RINJANI WASH"),ROWS($E$5:E26)),"")</f>
        <v/>
      </c>
      <c r="F26" s="5" t="n"/>
    </row>
    <row r="27">
      <c r="A27" s="10">
        <f>IF($E27="","",INDEX('Input Transaksi'!$A:$A,$E27))</f>
        <v/>
      </c>
      <c r="B27" s="5">
        <f>IF($E27="","",INDEX('Input Transaksi'!$D:$D,$E27))</f>
        <v/>
      </c>
      <c r="C27">
        <f>IF($E27="","",INDEX('Input Transaksi'!$E:$E,$E27))</f>
        <v/>
      </c>
      <c r="D27" s="5">
        <f>IF($E27="","",INDEX('Input Transaksi'!$F:$F,$E27))</f>
        <v/>
      </c>
      <c r="E27">
        <f>IFERROR(AGGREGATE(15,6,ROW('Input Transaksi'!$B$5:$B$5000)/('Input Transaksi'!$B$5:$B$5000="RINJANI WASH"),ROWS($E$5:E27)),"")</f>
        <v/>
      </c>
      <c r="F27" s="5" t="n"/>
    </row>
    <row r="28">
      <c r="A28" s="10">
        <f>IF($E28="","",INDEX('Input Transaksi'!$A:$A,$E28))</f>
        <v/>
      </c>
      <c r="B28" s="5">
        <f>IF($E28="","",INDEX('Input Transaksi'!$D:$D,$E28))</f>
        <v/>
      </c>
      <c r="C28">
        <f>IF($E28="","",INDEX('Input Transaksi'!$E:$E,$E28))</f>
        <v/>
      </c>
      <c r="D28" s="5">
        <f>IF($E28="","",INDEX('Input Transaksi'!$F:$F,$E28))</f>
        <v/>
      </c>
      <c r="E28">
        <f>IFERROR(AGGREGATE(15,6,ROW('Input Transaksi'!$B$5:$B$5000)/('Input Transaksi'!$B$5:$B$5000="RINJANI WASH"),ROWS($E$5:E28)),"")</f>
        <v/>
      </c>
      <c r="F28" s="5" t="n"/>
    </row>
    <row r="29">
      <c r="A29" s="10">
        <f>IF($E29="","",INDEX('Input Transaksi'!$A:$A,$E29))</f>
        <v/>
      </c>
      <c r="B29" s="5">
        <f>IF($E29="","",INDEX('Input Transaksi'!$D:$D,$E29))</f>
        <v/>
      </c>
      <c r="C29">
        <f>IF($E29="","",INDEX('Input Transaksi'!$E:$E,$E29))</f>
        <v/>
      </c>
      <c r="D29" s="5">
        <f>IF($E29="","",INDEX('Input Transaksi'!$F:$F,$E29))</f>
        <v/>
      </c>
      <c r="E29">
        <f>IFERROR(AGGREGATE(15,6,ROW('Input Transaksi'!$B$5:$B$5000)/('Input Transaksi'!$B$5:$B$5000="RINJANI WASH"),ROWS($E$5:E29)),"")</f>
        <v/>
      </c>
      <c r="F29" s="5" t="n"/>
    </row>
    <row r="30">
      <c r="A30" s="10">
        <f>IF($E30="","",INDEX('Input Transaksi'!$A:$A,$E30))</f>
        <v/>
      </c>
      <c r="B30" s="5">
        <f>IF($E30="","",INDEX('Input Transaksi'!$D:$D,$E30))</f>
        <v/>
      </c>
      <c r="C30">
        <f>IF($E30="","",INDEX('Input Transaksi'!$E:$E,$E30))</f>
        <v/>
      </c>
      <c r="D30" s="5">
        <f>IF($E30="","",INDEX('Input Transaksi'!$F:$F,$E30))</f>
        <v/>
      </c>
      <c r="E30">
        <f>IFERROR(AGGREGATE(15,6,ROW('Input Transaksi'!$B$5:$B$5000)/('Input Transaksi'!$B$5:$B$5000="RINJANI WASH"),ROWS($E$5:E30)),"")</f>
        <v/>
      </c>
      <c r="F30" s="5" t="n"/>
    </row>
    <row r="31">
      <c r="A31" s="10">
        <f>IF($E31="","",INDEX('Input Transaksi'!$A:$A,$E31))</f>
        <v/>
      </c>
      <c r="B31" s="5">
        <f>IF($E31="","",INDEX('Input Transaksi'!$D:$D,$E31))</f>
        <v/>
      </c>
      <c r="C31">
        <f>IF($E31="","",INDEX('Input Transaksi'!$E:$E,$E31))</f>
        <v/>
      </c>
      <c r="D31" s="5">
        <f>IF($E31="","",INDEX('Input Transaksi'!$F:$F,$E31))</f>
        <v/>
      </c>
      <c r="E31">
        <f>IFERROR(AGGREGATE(15,6,ROW('Input Transaksi'!$B$5:$B$5000)/('Input Transaksi'!$B$5:$B$5000="RINJANI WASH"),ROWS($E$5:E31)),"")</f>
        <v/>
      </c>
      <c r="F31" s="5" t="n"/>
    </row>
    <row r="32">
      <c r="A32" s="10">
        <f>IF($E32="","",INDEX('Input Transaksi'!$A:$A,$E32))</f>
        <v/>
      </c>
      <c r="B32" s="5">
        <f>IF($E32="","",INDEX('Input Transaksi'!$D:$D,$E32))</f>
        <v/>
      </c>
      <c r="C32">
        <f>IF($E32="","",INDEX('Input Transaksi'!$E:$E,$E32))</f>
        <v/>
      </c>
      <c r="D32" s="5">
        <f>IF($E32="","",INDEX('Input Transaksi'!$F:$F,$E32))</f>
        <v/>
      </c>
      <c r="E32">
        <f>IFERROR(AGGREGATE(15,6,ROW('Input Transaksi'!$B$5:$B$5000)/('Input Transaksi'!$B$5:$B$5000="RINJANI WASH"),ROWS($E$5:E32)),"")</f>
        <v/>
      </c>
      <c r="F32" s="5" t="n"/>
    </row>
    <row r="33">
      <c r="A33" s="10">
        <f>IF($E33="","",INDEX('Input Transaksi'!$A:$A,$E33))</f>
        <v/>
      </c>
      <c r="B33" s="5">
        <f>IF($E33="","",INDEX('Input Transaksi'!$D:$D,$E33))</f>
        <v/>
      </c>
      <c r="C33">
        <f>IF($E33="","",INDEX('Input Transaksi'!$E:$E,$E33))</f>
        <v/>
      </c>
      <c r="D33" s="5">
        <f>IF($E33="","",INDEX('Input Transaksi'!$F:$F,$E33))</f>
        <v/>
      </c>
      <c r="E33">
        <f>IFERROR(AGGREGATE(15,6,ROW('Input Transaksi'!$B$5:$B$5000)/('Input Transaksi'!$B$5:$B$5000="RINJANI WASH"),ROWS($E$5:E33)),"")</f>
        <v/>
      </c>
      <c r="F33" s="5" t="n"/>
    </row>
    <row r="34">
      <c r="A34" s="10">
        <f>IF($E34="","",INDEX('Input Transaksi'!$A:$A,$E34))</f>
        <v/>
      </c>
      <c r="B34" s="5">
        <f>IF($E34="","",INDEX('Input Transaksi'!$D:$D,$E34))</f>
        <v/>
      </c>
      <c r="C34">
        <f>IF($E34="","",INDEX('Input Transaksi'!$E:$E,$E34))</f>
        <v/>
      </c>
      <c r="D34" s="5">
        <f>IF($E34="","",INDEX('Input Transaksi'!$F:$F,$E34))</f>
        <v/>
      </c>
      <c r="E34">
        <f>IFERROR(AGGREGATE(15,6,ROW('Input Transaksi'!$B$5:$B$5000)/('Input Transaksi'!$B$5:$B$5000="RINJANI WASH"),ROWS($E$5:E34)),"")</f>
        <v/>
      </c>
      <c r="F34" s="5" t="n"/>
    </row>
    <row r="35">
      <c r="A35" s="10">
        <f>IF($E35="","",INDEX('Input Transaksi'!$A:$A,$E35))</f>
        <v/>
      </c>
      <c r="B35" s="5">
        <f>IF($E35="","",INDEX('Input Transaksi'!$D:$D,$E35))</f>
        <v/>
      </c>
      <c r="C35">
        <f>IF($E35="","",INDEX('Input Transaksi'!$E:$E,$E35))</f>
        <v/>
      </c>
      <c r="D35" s="5">
        <f>IF($E35="","",INDEX('Input Transaksi'!$F:$F,$E35))</f>
        <v/>
      </c>
      <c r="E35">
        <f>IFERROR(AGGREGATE(15,6,ROW('Input Transaksi'!$B$5:$B$5000)/('Input Transaksi'!$B$5:$B$5000="RINJANI WASH"),ROWS($E$5:E35)),"")</f>
        <v/>
      </c>
      <c r="F35" s="5" t="n"/>
    </row>
    <row r="36">
      <c r="A36" s="10">
        <f>IF($E36="","",INDEX('Input Transaksi'!$A:$A,$E36))</f>
        <v/>
      </c>
      <c r="B36" s="5">
        <f>IF($E36="","",INDEX('Input Transaksi'!$D:$D,$E36))</f>
        <v/>
      </c>
      <c r="C36">
        <f>IF($E36="","",INDEX('Input Transaksi'!$E:$E,$E36))</f>
        <v/>
      </c>
      <c r="D36" s="5">
        <f>IF($E36="","",INDEX('Input Transaksi'!$F:$F,$E36))</f>
        <v/>
      </c>
      <c r="E36">
        <f>IFERROR(AGGREGATE(15,6,ROW('Input Transaksi'!$B$5:$B$5000)/('Input Transaksi'!$B$5:$B$5000="RINJANI WASH"),ROWS($E$5:E36)),"")</f>
        <v/>
      </c>
      <c r="F36" s="5" t="n"/>
    </row>
    <row r="37">
      <c r="A37" s="10">
        <f>IF($E37="","",INDEX('Input Transaksi'!$A:$A,$E37))</f>
        <v/>
      </c>
      <c r="B37" s="5">
        <f>IF($E37="","",INDEX('Input Transaksi'!$D:$D,$E37))</f>
        <v/>
      </c>
      <c r="C37">
        <f>IF($E37="","",INDEX('Input Transaksi'!$E:$E,$E37))</f>
        <v/>
      </c>
      <c r="D37" s="5">
        <f>IF($E37="","",INDEX('Input Transaksi'!$F:$F,$E37))</f>
        <v/>
      </c>
      <c r="E37">
        <f>IFERROR(AGGREGATE(15,6,ROW('Input Transaksi'!$B$5:$B$5000)/('Input Transaksi'!$B$5:$B$5000="RINJANI WASH"),ROWS($E$5:E37)),"")</f>
        <v/>
      </c>
      <c r="F37" s="5" t="n"/>
    </row>
    <row r="38">
      <c r="A38" s="10">
        <f>IF($E38="","",INDEX('Input Transaksi'!$A:$A,$E38))</f>
        <v/>
      </c>
      <c r="B38" s="5">
        <f>IF($E38="","",INDEX('Input Transaksi'!$D:$D,$E38))</f>
        <v/>
      </c>
      <c r="C38">
        <f>IF($E38="","",INDEX('Input Transaksi'!$E:$E,$E38))</f>
        <v/>
      </c>
      <c r="D38" s="5">
        <f>IF($E38="","",INDEX('Input Transaksi'!$F:$F,$E38))</f>
        <v/>
      </c>
      <c r="E38">
        <f>IFERROR(AGGREGATE(15,6,ROW('Input Transaksi'!$B$5:$B$5000)/('Input Transaksi'!$B$5:$B$5000="RINJANI WASH"),ROWS($E$5:E38)),"")</f>
        <v/>
      </c>
      <c r="F38" s="5" t="n"/>
    </row>
    <row r="39">
      <c r="A39" s="10">
        <f>IF($E39="","",INDEX('Input Transaksi'!$A:$A,$E39))</f>
        <v/>
      </c>
      <c r="B39" s="5">
        <f>IF($E39="","",INDEX('Input Transaksi'!$D:$D,$E39))</f>
        <v/>
      </c>
      <c r="C39">
        <f>IF($E39="","",INDEX('Input Transaksi'!$E:$E,$E39))</f>
        <v/>
      </c>
      <c r="D39" s="5">
        <f>IF($E39="","",INDEX('Input Transaksi'!$F:$F,$E39))</f>
        <v/>
      </c>
      <c r="E39">
        <f>IFERROR(AGGREGATE(15,6,ROW('Input Transaksi'!$B$5:$B$5000)/('Input Transaksi'!$B$5:$B$5000="RINJANI WASH"),ROWS($E$5:E39)),"")</f>
        <v/>
      </c>
      <c r="F39" s="5" t="n"/>
    </row>
    <row r="40">
      <c r="A40" s="10">
        <f>IF($E40="","",INDEX('Input Transaksi'!$A:$A,$E40))</f>
        <v/>
      </c>
      <c r="B40" s="5">
        <f>IF($E40="","",INDEX('Input Transaksi'!$D:$D,$E40))</f>
        <v/>
      </c>
      <c r="C40">
        <f>IF($E40="","",INDEX('Input Transaksi'!$E:$E,$E40))</f>
        <v/>
      </c>
      <c r="D40" s="5">
        <f>IF($E40="","",INDEX('Input Transaksi'!$F:$F,$E40))</f>
        <v/>
      </c>
      <c r="E40">
        <f>IFERROR(AGGREGATE(15,6,ROW('Input Transaksi'!$B$5:$B$5000)/('Input Transaksi'!$B$5:$B$5000="RINJANI WASH"),ROWS($E$5:E40)),"")</f>
        <v/>
      </c>
      <c r="F40" s="5" t="n"/>
    </row>
    <row r="41">
      <c r="A41" s="10">
        <f>IF($E41="","",INDEX('Input Transaksi'!$A:$A,$E41))</f>
        <v/>
      </c>
      <c r="B41" s="5">
        <f>IF($E41="","",INDEX('Input Transaksi'!$D:$D,$E41))</f>
        <v/>
      </c>
      <c r="C41">
        <f>IF($E41="","",INDEX('Input Transaksi'!$E:$E,$E41))</f>
        <v/>
      </c>
      <c r="D41" s="5">
        <f>IF($E41="","",INDEX('Input Transaksi'!$F:$F,$E41))</f>
        <v/>
      </c>
      <c r="E41">
        <f>IFERROR(AGGREGATE(15,6,ROW('Input Transaksi'!$B$5:$B$5000)/('Input Transaksi'!$B$5:$B$5000="RINJANI WASH"),ROWS($E$5:E41)),"")</f>
        <v/>
      </c>
      <c r="F41" s="5" t="n"/>
    </row>
    <row r="42">
      <c r="A42" s="10">
        <f>IF($E42="","",INDEX('Input Transaksi'!$A:$A,$E42))</f>
        <v/>
      </c>
      <c r="B42" s="5">
        <f>IF($E42="","",INDEX('Input Transaksi'!$D:$D,$E42))</f>
        <v/>
      </c>
      <c r="C42">
        <f>IF($E42="","",INDEX('Input Transaksi'!$E:$E,$E42))</f>
        <v/>
      </c>
      <c r="D42" s="5">
        <f>IF($E42="","",INDEX('Input Transaksi'!$F:$F,$E42))</f>
        <v/>
      </c>
      <c r="E42">
        <f>IFERROR(AGGREGATE(15,6,ROW('Input Transaksi'!$B$5:$B$5000)/('Input Transaksi'!$B$5:$B$5000="RINJANI WASH"),ROWS($E$5:E42)),"")</f>
        <v/>
      </c>
      <c r="F42" s="5" t="n"/>
    </row>
    <row r="43">
      <c r="A43" s="10">
        <f>IF($E43="","",INDEX('Input Transaksi'!$A:$A,$E43))</f>
        <v/>
      </c>
      <c r="B43" s="5">
        <f>IF($E43="","",INDEX('Input Transaksi'!$D:$D,$E43))</f>
        <v/>
      </c>
      <c r="C43">
        <f>IF($E43="","",INDEX('Input Transaksi'!$E:$E,$E43))</f>
        <v/>
      </c>
      <c r="D43" s="5">
        <f>IF($E43="","",INDEX('Input Transaksi'!$F:$F,$E43))</f>
        <v/>
      </c>
      <c r="E43">
        <f>IFERROR(AGGREGATE(15,6,ROW('Input Transaksi'!$B$5:$B$5000)/('Input Transaksi'!$B$5:$B$5000="RINJANI WASH"),ROWS($E$5:E43)),"")</f>
        <v/>
      </c>
      <c r="F43" s="5" t="n"/>
    </row>
    <row r="44">
      <c r="A44" s="10">
        <f>IF($E44="","",INDEX('Input Transaksi'!$A:$A,$E44))</f>
        <v/>
      </c>
      <c r="B44" s="5">
        <f>IF($E44="","",INDEX('Input Transaksi'!$D:$D,$E44))</f>
        <v/>
      </c>
      <c r="C44">
        <f>IF($E44="","",INDEX('Input Transaksi'!$E:$E,$E44))</f>
        <v/>
      </c>
      <c r="D44" s="5">
        <f>IF($E44="","",INDEX('Input Transaksi'!$F:$F,$E44))</f>
        <v/>
      </c>
      <c r="E44">
        <f>IFERROR(AGGREGATE(15,6,ROW('Input Transaksi'!$B$5:$B$5000)/('Input Transaksi'!$B$5:$B$5000="RINJANI WASH"),ROWS($E$5:E44)),"")</f>
        <v/>
      </c>
      <c r="F44" s="5" t="n"/>
    </row>
    <row r="45">
      <c r="A45" s="10">
        <f>IF($E45="","",INDEX('Input Transaksi'!$A:$A,$E45))</f>
        <v/>
      </c>
      <c r="B45" s="5">
        <f>IF($E45="","",INDEX('Input Transaksi'!$D:$D,$E45))</f>
        <v/>
      </c>
      <c r="C45">
        <f>IF($E45="","",INDEX('Input Transaksi'!$E:$E,$E45))</f>
        <v/>
      </c>
      <c r="D45" s="5">
        <f>IF($E45="","",INDEX('Input Transaksi'!$F:$F,$E45))</f>
        <v/>
      </c>
      <c r="E45">
        <f>IFERROR(AGGREGATE(15,6,ROW('Input Transaksi'!$B$5:$B$5000)/('Input Transaksi'!$B$5:$B$5000="RINJANI WASH"),ROWS($E$5:E45)),"")</f>
        <v/>
      </c>
      <c r="F45" s="5" t="n"/>
    </row>
    <row r="46">
      <c r="A46" s="10">
        <f>IF($E46="","",INDEX('Input Transaksi'!$A:$A,$E46))</f>
        <v/>
      </c>
      <c r="B46" s="5">
        <f>IF($E46="","",INDEX('Input Transaksi'!$D:$D,$E46))</f>
        <v/>
      </c>
      <c r="C46">
        <f>IF($E46="","",INDEX('Input Transaksi'!$E:$E,$E46))</f>
        <v/>
      </c>
      <c r="D46" s="5">
        <f>IF($E46="","",INDEX('Input Transaksi'!$F:$F,$E46))</f>
        <v/>
      </c>
      <c r="E46">
        <f>IFERROR(AGGREGATE(15,6,ROW('Input Transaksi'!$B$5:$B$5000)/('Input Transaksi'!$B$5:$B$5000="RINJANI WASH"),ROWS($E$5:E46)),"")</f>
        <v/>
      </c>
      <c r="F46" s="5" t="n"/>
    </row>
    <row r="47">
      <c r="A47" s="10">
        <f>IF($E47="","",INDEX('Input Transaksi'!$A:$A,$E47))</f>
        <v/>
      </c>
      <c r="B47" s="5">
        <f>IF($E47="","",INDEX('Input Transaksi'!$D:$D,$E47))</f>
        <v/>
      </c>
      <c r="C47">
        <f>IF($E47="","",INDEX('Input Transaksi'!$E:$E,$E47))</f>
        <v/>
      </c>
      <c r="D47" s="5">
        <f>IF($E47="","",INDEX('Input Transaksi'!$F:$F,$E47))</f>
        <v/>
      </c>
      <c r="E47">
        <f>IFERROR(AGGREGATE(15,6,ROW('Input Transaksi'!$B$5:$B$5000)/('Input Transaksi'!$B$5:$B$5000="RINJANI WASH"),ROWS($E$5:E47)),"")</f>
        <v/>
      </c>
      <c r="F47" s="5" t="n"/>
    </row>
    <row r="48">
      <c r="A48" s="10">
        <f>IF($E48="","",INDEX('Input Transaksi'!$A:$A,$E48))</f>
        <v/>
      </c>
      <c r="B48" s="5">
        <f>IF($E48="","",INDEX('Input Transaksi'!$D:$D,$E48))</f>
        <v/>
      </c>
      <c r="C48">
        <f>IF($E48="","",INDEX('Input Transaksi'!$E:$E,$E48))</f>
        <v/>
      </c>
      <c r="D48" s="5">
        <f>IF($E48="","",INDEX('Input Transaksi'!$F:$F,$E48))</f>
        <v/>
      </c>
      <c r="E48">
        <f>IFERROR(AGGREGATE(15,6,ROW('Input Transaksi'!$B$5:$B$5000)/('Input Transaksi'!$B$5:$B$5000="RINJANI WASH"),ROWS($E$5:E48)),"")</f>
        <v/>
      </c>
      <c r="F48" s="5" t="n"/>
    </row>
    <row r="49">
      <c r="A49" s="10">
        <f>IF($E49="","",INDEX('Input Transaksi'!$A:$A,$E49))</f>
        <v/>
      </c>
      <c r="B49" s="5">
        <f>IF($E49="","",INDEX('Input Transaksi'!$D:$D,$E49))</f>
        <v/>
      </c>
      <c r="C49">
        <f>IF($E49="","",INDEX('Input Transaksi'!$E:$E,$E49))</f>
        <v/>
      </c>
      <c r="D49" s="5">
        <f>IF($E49="","",INDEX('Input Transaksi'!$F:$F,$E49))</f>
        <v/>
      </c>
      <c r="E49">
        <f>IFERROR(AGGREGATE(15,6,ROW('Input Transaksi'!$B$5:$B$5000)/('Input Transaksi'!$B$5:$B$5000="RINJANI WASH"),ROWS($E$5:E49)),"")</f>
        <v/>
      </c>
      <c r="F49" s="5" t="n"/>
    </row>
    <row r="50">
      <c r="A50" s="10">
        <f>IF($E50="","",INDEX('Input Transaksi'!$A:$A,$E50))</f>
        <v/>
      </c>
      <c r="B50" s="5">
        <f>IF($E50="","",INDEX('Input Transaksi'!$D:$D,$E50))</f>
        <v/>
      </c>
      <c r="C50">
        <f>IF($E50="","",INDEX('Input Transaksi'!$E:$E,$E50))</f>
        <v/>
      </c>
      <c r="D50" s="5">
        <f>IF($E50="","",INDEX('Input Transaksi'!$F:$F,$E50))</f>
        <v/>
      </c>
      <c r="E50">
        <f>IFERROR(AGGREGATE(15,6,ROW('Input Transaksi'!$B$5:$B$5000)/('Input Transaksi'!$B$5:$B$5000="RINJANI WASH"),ROWS($E$5:E50)),"")</f>
        <v/>
      </c>
      <c r="F50" s="5" t="n"/>
    </row>
    <row r="51">
      <c r="A51" s="10">
        <f>IF($E51="","",INDEX('Input Transaksi'!$A:$A,$E51))</f>
        <v/>
      </c>
      <c r="B51" s="5">
        <f>IF($E51="","",INDEX('Input Transaksi'!$D:$D,$E51))</f>
        <v/>
      </c>
      <c r="C51">
        <f>IF($E51="","",INDEX('Input Transaksi'!$E:$E,$E51))</f>
        <v/>
      </c>
      <c r="D51" s="5">
        <f>IF($E51="","",INDEX('Input Transaksi'!$F:$F,$E51))</f>
        <v/>
      </c>
      <c r="E51">
        <f>IFERROR(AGGREGATE(15,6,ROW('Input Transaksi'!$B$5:$B$5000)/('Input Transaksi'!$B$5:$B$5000="RINJANI WASH"),ROWS($E$5:E51)),"")</f>
        <v/>
      </c>
      <c r="F51" s="5" t="n"/>
    </row>
    <row r="52">
      <c r="A52" s="10">
        <f>IF($E52="","",INDEX('Input Transaksi'!$A:$A,$E52))</f>
        <v/>
      </c>
      <c r="B52" s="5">
        <f>IF($E52="","",INDEX('Input Transaksi'!$D:$D,$E52))</f>
        <v/>
      </c>
      <c r="C52">
        <f>IF($E52="","",INDEX('Input Transaksi'!$E:$E,$E52))</f>
        <v/>
      </c>
      <c r="D52" s="5">
        <f>IF($E52="","",INDEX('Input Transaksi'!$F:$F,$E52))</f>
        <v/>
      </c>
      <c r="E52">
        <f>IFERROR(AGGREGATE(15,6,ROW('Input Transaksi'!$B$5:$B$5000)/('Input Transaksi'!$B$5:$B$5000="RINJANI WASH"),ROWS($E$5:E52)),"")</f>
        <v/>
      </c>
      <c r="F52" s="5" t="n"/>
    </row>
    <row r="53">
      <c r="A53" s="10">
        <f>IF($E53="","",INDEX('Input Transaksi'!$A:$A,$E53))</f>
        <v/>
      </c>
      <c r="B53" s="5">
        <f>IF($E53="","",INDEX('Input Transaksi'!$D:$D,$E53))</f>
        <v/>
      </c>
      <c r="C53">
        <f>IF($E53="","",INDEX('Input Transaksi'!$E:$E,$E53))</f>
        <v/>
      </c>
      <c r="D53" s="5">
        <f>IF($E53="","",INDEX('Input Transaksi'!$F:$F,$E53))</f>
        <v/>
      </c>
      <c r="E53">
        <f>IFERROR(AGGREGATE(15,6,ROW('Input Transaksi'!$B$5:$B$5000)/('Input Transaksi'!$B$5:$B$5000="RINJANI WASH"),ROWS($E$5:E53)),"")</f>
        <v/>
      </c>
      <c r="F53" s="5" t="n"/>
    </row>
    <row r="54">
      <c r="A54" s="10">
        <f>IF($E54="","",INDEX('Input Transaksi'!$A:$A,$E54))</f>
        <v/>
      </c>
      <c r="B54" s="5">
        <f>IF($E54="","",INDEX('Input Transaksi'!$D:$D,$E54))</f>
        <v/>
      </c>
      <c r="C54">
        <f>IF($E54="","",INDEX('Input Transaksi'!$E:$E,$E54))</f>
        <v/>
      </c>
      <c r="D54" s="5">
        <f>IF($E54="","",INDEX('Input Transaksi'!$F:$F,$E54))</f>
        <v/>
      </c>
      <c r="E54">
        <f>IFERROR(AGGREGATE(15,6,ROW('Input Transaksi'!$B$5:$B$5000)/('Input Transaksi'!$B$5:$B$5000="RINJANI WASH"),ROWS($E$5:E54)),"")</f>
        <v/>
      </c>
      <c r="F54" s="5" t="n"/>
    </row>
    <row r="55">
      <c r="A55" s="10">
        <f>IF($E55="","",INDEX('Input Transaksi'!$A:$A,$E55))</f>
        <v/>
      </c>
      <c r="B55" s="5">
        <f>IF($E55="","",INDEX('Input Transaksi'!$D:$D,$E55))</f>
        <v/>
      </c>
      <c r="C55">
        <f>IF($E55="","",INDEX('Input Transaksi'!$E:$E,$E55))</f>
        <v/>
      </c>
      <c r="D55" s="5">
        <f>IF($E55="","",INDEX('Input Transaksi'!$F:$F,$E55))</f>
        <v/>
      </c>
      <c r="E55">
        <f>IFERROR(AGGREGATE(15,6,ROW('Input Transaksi'!$B$5:$B$5000)/('Input Transaksi'!$B$5:$B$5000="RINJANI WASH"),ROWS($E$5:E55)),"")</f>
        <v/>
      </c>
      <c r="F55" s="5" t="n"/>
    </row>
    <row r="56">
      <c r="A56" s="10">
        <f>IF($E56="","",INDEX('Input Transaksi'!$A:$A,$E56))</f>
        <v/>
      </c>
      <c r="B56" s="5">
        <f>IF($E56="","",INDEX('Input Transaksi'!$D:$D,$E56))</f>
        <v/>
      </c>
      <c r="C56">
        <f>IF($E56="","",INDEX('Input Transaksi'!$E:$E,$E56))</f>
        <v/>
      </c>
      <c r="D56" s="5">
        <f>IF($E56="","",INDEX('Input Transaksi'!$F:$F,$E56))</f>
        <v/>
      </c>
      <c r="E56">
        <f>IFERROR(AGGREGATE(15,6,ROW('Input Transaksi'!$B$5:$B$5000)/('Input Transaksi'!$B$5:$B$5000="RINJANI WASH"),ROWS($E$5:E56)),"")</f>
        <v/>
      </c>
      <c r="F56" s="5" t="n"/>
    </row>
    <row r="57">
      <c r="A57" s="10">
        <f>IF($E57="","",INDEX('Input Transaksi'!$A:$A,$E57))</f>
        <v/>
      </c>
      <c r="B57" s="5">
        <f>IF($E57="","",INDEX('Input Transaksi'!$D:$D,$E57))</f>
        <v/>
      </c>
      <c r="C57">
        <f>IF($E57="","",INDEX('Input Transaksi'!$E:$E,$E57))</f>
        <v/>
      </c>
      <c r="D57" s="5">
        <f>IF($E57="","",INDEX('Input Transaksi'!$F:$F,$E57))</f>
        <v/>
      </c>
      <c r="E57">
        <f>IFERROR(AGGREGATE(15,6,ROW('Input Transaksi'!$B$5:$B$5000)/('Input Transaksi'!$B$5:$B$5000="RINJANI WASH"),ROWS($E$5:E57)),"")</f>
        <v/>
      </c>
      <c r="F57" s="5" t="n"/>
    </row>
    <row r="58">
      <c r="A58" s="10">
        <f>IF($E58="","",INDEX('Input Transaksi'!$A:$A,$E58))</f>
        <v/>
      </c>
      <c r="B58" s="5">
        <f>IF($E58="","",INDEX('Input Transaksi'!$D:$D,$E58))</f>
        <v/>
      </c>
      <c r="C58">
        <f>IF($E58="","",INDEX('Input Transaksi'!$E:$E,$E58))</f>
        <v/>
      </c>
      <c r="D58" s="5">
        <f>IF($E58="","",INDEX('Input Transaksi'!$F:$F,$E58))</f>
        <v/>
      </c>
      <c r="E58">
        <f>IFERROR(AGGREGATE(15,6,ROW('Input Transaksi'!$B$5:$B$5000)/('Input Transaksi'!$B$5:$B$5000="RINJANI WASH"),ROWS($E$5:E58)),"")</f>
        <v/>
      </c>
      <c r="F58" s="5" t="n"/>
    </row>
    <row r="59">
      <c r="A59" s="10">
        <f>IF($E59="","",INDEX('Input Transaksi'!$A:$A,$E59))</f>
        <v/>
      </c>
      <c r="B59" s="5">
        <f>IF($E59="","",INDEX('Input Transaksi'!$D:$D,$E59))</f>
        <v/>
      </c>
      <c r="C59">
        <f>IF($E59="","",INDEX('Input Transaksi'!$E:$E,$E59))</f>
        <v/>
      </c>
      <c r="D59" s="5">
        <f>IF($E59="","",INDEX('Input Transaksi'!$F:$F,$E59))</f>
        <v/>
      </c>
      <c r="E59">
        <f>IFERROR(AGGREGATE(15,6,ROW('Input Transaksi'!$B$5:$B$5000)/('Input Transaksi'!$B$5:$B$5000="RINJANI WASH"),ROWS($E$5:E59)),"")</f>
        <v/>
      </c>
      <c r="F59" s="5" t="n"/>
    </row>
    <row r="60">
      <c r="A60" s="10">
        <f>IF($E60="","",INDEX('Input Transaksi'!$A:$A,$E60))</f>
        <v/>
      </c>
      <c r="B60" s="5">
        <f>IF($E60="","",INDEX('Input Transaksi'!$D:$D,$E60))</f>
        <v/>
      </c>
      <c r="C60">
        <f>IF($E60="","",INDEX('Input Transaksi'!$E:$E,$E60))</f>
        <v/>
      </c>
      <c r="D60" s="5">
        <f>IF($E60="","",INDEX('Input Transaksi'!$F:$F,$E60))</f>
        <v/>
      </c>
      <c r="E60">
        <f>IFERROR(AGGREGATE(15,6,ROW('Input Transaksi'!$B$5:$B$5000)/('Input Transaksi'!$B$5:$B$5000="RINJANI WASH"),ROWS($E$5:E60)),"")</f>
        <v/>
      </c>
      <c r="F60" s="5" t="n"/>
    </row>
    <row r="61">
      <c r="A61" s="10">
        <f>IF($E61="","",INDEX('Input Transaksi'!$A:$A,$E61))</f>
        <v/>
      </c>
      <c r="B61" s="5">
        <f>IF($E61="","",INDEX('Input Transaksi'!$D:$D,$E61))</f>
        <v/>
      </c>
      <c r="C61">
        <f>IF($E61="","",INDEX('Input Transaksi'!$E:$E,$E61))</f>
        <v/>
      </c>
      <c r="D61" s="5">
        <f>IF($E61="","",INDEX('Input Transaksi'!$F:$F,$E61))</f>
        <v/>
      </c>
      <c r="E61">
        <f>IFERROR(AGGREGATE(15,6,ROW('Input Transaksi'!$B$5:$B$5000)/('Input Transaksi'!$B$5:$B$5000="RINJANI WASH"),ROWS($E$5:E61)),"")</f>
        <v/>
      </c>
      <c r="F61" s="5" t="n"/>
    </row>
    <row r="62">
      <c r="A62" s="10">
        <f>IF($E62="","",INDEX('Input Transaksi'!$A:$A,$E62))</f>
        <v/>
      </c>
      <c r="B62" s="5">
        <f>IF($E62="","",INDEX('Input Transaksi'!$D:$D,$E62))</f>
        <v/>
      </c>
      <c r="C62">
        <f>IF($E62="","",INDEX('Input Transaksi'!$E:$E,$E62))</f>
        <v/>
      </c>
      <c r="D62" s="5">
        <f>IF($E62="","",INDEX('Input Transaksi'!$F:$F,$E62))</f>
        <v/>
      </c>
      <c r="E62">
        <f>IFERROR(AGGREGATE(15,6,ROW('Input Transaksi'!$B$5:$B$5000)/('Input Transaksi'!$B$5:$B$5000="RINJANI WASH"),ROWS($E$5:E62)),"")</f>
        <v/>
      </c>
      <c r="F62" s="5" t="n"/>
    </row>
    <row r="63">
      <c r="A63" s="10">
        <f>IF($E63="","",INDEX('Input Transaksi'!$A:$A,$E63))</f>
        <v/>
      </c>
      <c r="B63" s="5">
        <f>IF($E63="","",INDEX('Input Transaksi'!$D:$D,$E63))</f>
        <v/>
      </c>
      <c r="C63">
        <f>IF($E63="","",INDEX('Input Transaksi'!$E:$E,$E63))</f>
        <v/>
      </c>
      <c r="D63" s="5">
        <f>IF($E63="","",INDEX('Input Transaksi'!$F:$F,$E63))</f>
        <v/>
      </c>
      <c r="E63">
        <f>IFERROR(AGGREGATE(15,6,ROW('Input Transaksi'!$B$5:$B$5000)/('Input Transaksi'!$B$5:$B$5000="RINJANI WASH"),ROWS($E$5:E63)),"")</f>
        <v/>
      </c>
      <c r="F63" s="5" t="n"/>
    </row>
    <row r="64">
      <c r="A64" s="10">
        <f>IF($E64="","",INDEX('Input Transaksi'!$A:$A,$E64))</f>
        <v/>
      </c>
      <c r="B64" s="5">
        <f>IF($E64="","",INDEX('Input Transaksi'!$D:$D,$E64))</f>
        <v/>
      </c>
      <c r="C64">
        <f>IF($E64="","",INDEX('Input Transaksi'!$E:$E,$E64))</f>
        <v/>
      </c>
      <c r="D64" s="5">
        <f>IF($E64="","",INDEX('Input Transaksi'!$F:$F,$E64))</f>
        <v/>
      </c>
      <c r="E64">
        <f>IFERROR(AGGREGATE(15,6,ROW('Input Transaksi'!$B$5:$B$5000)/('Input Transaksi'!$B$5:$B$5000="RINJANI WASH"),ROWS($E$5:E64)),"")</f>
        <v/>
      </c>
      <c r="F64" s="5" t="n"/>
    </row>
    <row r="65">
      <c r="A65" s="10">
        <f>IF($E65="","",INDEX('Input Transaksi'!$A:$A,$E65))</f>
        <v/>
      </c>
      <c r="B65" s="5">
        <f>IF($E65="","",INDEX('Input Transaksi'!$D:$D,$E65))</f>
        <v/>
      </c>
      <c r="C65">
        <f>IF($E65="","",INDEX('Input Transaksi'!$E:$E,$E65))</f>
        <v/>
      </c>
      <c r="D65" s="5">
        <f>IF($E65="","",INDEX('Input Transaksi'!$F:$F,$E65))</f>
        <v/>
      </c>
      <c r="E65">
        <f>IFERROR(AGGREGATE(15,6,ROW('Input Transaksi'!$B$5:$B$5000)/('Input Transaksi'!$B$5:$B$5000="RINJANI WASH"),ROWS($E$5:E65)),"")</f>
        <v/>
      </c>
      <c r="F65" s="5" t="n"/>
    </row>
    <row r="66">
      <c r="A66" s="10">
        <f>IF($E66="","",INDEX('Input Transaksi'!$A:$A,$E66))</f>
        <v/>
      </c>
      <c r="B66" s="5">
        <f>IF($E66="","",INDEX('Input Transaksi'!$D:$D,$E66))</f>
        <v/>
      </c>
      <c r="C66">
        <f>IF($E66="","",INDEX('Input Transaksi'!$E:$E,$E66))</f>
        <v/>
      </c>
      <c r="D66" s="5">
        <f>IF($E66="","",INDEX('Input Transaksi'!$F:$F,$E66))</f>
        <v/>
      </c>
      <c r="E66">
        <f>IFERROR(AGGREGATE(15,6,ROW('Input Transaksi'!$B$5:$B$5000)/('Input Transaksi'!$B$5:$B$5000="RINJANI WASH"),ROWS($E$5:E66)),"")</f>
        <v/>
      </c>
      <c r="F66" s="5" t="n"/>
    </row>
    <row r="67">
      <c r="A67" s="10">
        <f>IF($E67="","",INDEX('Input Transaksi'!$A:$A,$E67))</f>
        <v/>
      </c>
      <c r="B67" s="5">
        <f>IF($E67="","",INDEX('Input Transaksi'!$D:$D,$E67))</f>
        <v/>
      </c>
      <c r="C67">
        <f>IF($E67="","",INDEX('Input Transaksi'!$E:$E,$E67))</f>
        <v/>
      </c>
      <c r="D67" s="5">
        <f>IF($E67="","",INDEX('Input Transaksi'!$F:$F,$E67))</f>
        <v/>
      </c>
      <c r="E67">
        <f>IFERROR(AGGREGATE(15,6,ROW('Input Transaksi'!$B$5:$B$5000)/('Input Transaksi'!$B$5:$B$5000="RINJANI WASH"),ROWS($E$5:E67)),"")</f>
        <v/>
      </c>
      <c r="F67" s="5" t="n"/>
    </row>
    <row r="68">
      <c r="A68" s="10">
        <f>IF($E68="","",INDEX('Input Transaksi'!$A:$A,$E68))</f>
        <v/>
      </c>
      <c r="B68" s="5">
        <f>IF($E68="","",INDEX('Input Transaksi'!$D:$D,$E68))</f>
        <v/>
      </c>
      <c r="C68">
        <f>IF($E68="","",INDEX('Input Transaksi'!$E:$E,$E68))</f>
        <v/>
      </c>
      <c r="D68" s="5">
        <f>IF($E68="","",INDEX('Input Transaksi'!$F:$F,$E68))</f>
        <v/>
      </c>
      <c r="E68">
        <f>IFERROR(AGGREGATE(15,6,ROW('Input Transaksi'!$B$5:$B$5000)/('Input Transaksi'!$B$5:$B$5000="RINJANI WASH"),ROWS($E$5:E68)),"")</f>
        <v/>
      </c>
      <c r="F68" s="5" t="n"/>
    </row>
    <row r="69">
      <c r="A69" s="10">
        <f>IF($E69="","",INDEX('Input Transaksi'!$A:$A,$E69))</f>
        <v/>
      </c>
      <c r="B69" s="5">
        <f>IF($E69="","",INDEX('Input Transaksi'!$D:$D,$E69))</f>
        <v/>
      </c>
      <c r="C69">
        <f>IF($E69="","",INDEX('Input Transaksi'!$E:$E,$E69))</f>
        <v/>
      </c>
      <c r="D69" s="5">
        <f>IF($E69="","",INDEX('Input Transaksi'!$F:$F,$E69))</f>
        <v/>
      </c>
      <c r="E69">
        <f>IFERROR(AGGREGATE(15,6,ROW('Input Transaksi'!$B$5:$B$5000)/('Input Transaksi'!$B$5:$B$5000="RINJANI WASH"),ROWS($E$5:E69)),"")</f>
        <v/>
      </c>
      <c r="F69" s="5" t="n"/>
    </row>
    <row r="70">
      <c r="A70" s="10">
        <f>IF($E70="","",INDEX('Input Transaksi'!$A:$A,$E70))</f>
        <v/>
      </c>
      <c r="B70" s="5">
        <f>IF($E70="","",INDEX('Input Transaksi'!$D:$D,$E70))</f>
        <v/>
      </c>
      <c r="C70">
        <f>IF($E70="","",INDEX('Input Transaksi'!$E:$E,$E70))</f>
        <v/>
      </c>
      <c r="D70" s="5">
        <f>IF($E70="","",INDEX('Input Transaksi'!$F:$F,$E70))</f>
        <v/>
      </c>
      <c r="E70">
        <f>IFERROR(AGGREGATE(15,6,ROW('Input Transaksi'!$B$5:$B$5000)/('Input Transaksi'!$B$5:$B$5000="RINJANI WASH"),ROWS($E$5:E70)),"")</f>
        <v/>
      </c>
      <c r="F70" s="5" t="n"/>
    </row>
    <row r="71">
      <c r="A71" s="10">
        <f>IF($E71="","",INDEX('Input Transaksi'!$A:$A,$E71))</f>
        <v/>
      </c>
      <c r="B71" s="5">
        <f>IF($E71="","",INDEX('Input Transaksi'!$D:$D,$E71))</f>
        <v/>
      </c>
      <c r="C71">
        <f>IF($E71="","",INDEX('Input Transaksi'!$E:$E,$E71))</f>
        <v/>
      </c>
      <c r="D71" s="5">
        <f>IF($E71="","",INDEX('Input Transaksi'!$F:$F,$E71))</f>
        <v/>
      </c>
      <c r="E71">
        <f>IFERROR(AGGREGATE(15,6,ROW('Input Transaksi'!$B$5:$B$5000)/('Input Transaksi'!$B$5:$B$5000="RINJANI WASH"),ROWS($E$5:E71)),"")</f>
        <v/>
      </c>
      <c r="F71" s="5" t="n"/>
    </row>
    <row r="72">
      <c r="A72" s="10">
        <f>IF($E72="","",INDEX('Input Transaksi'!$A:$A,$E72))</f>
        <v/>
      </c>
      <c r="B72" s="5">
        <f>IF($E72="","",INDEX('Input Transaksi'!$D:$D,$E72))</f>
        <v/>
      </c>
      <c r="C72">
        <f>IF($E72="","",INDEX('Input Transaksi'!$E:$E,$E72))</f>
        <v/>
      </c>
      <c r="D72" s="5">
        <f>IF($E72="","",INDEX('Input Transaksi'!$F:$F,$E72))</f>
        <v/>
      </c>
      <c r="E72">
        <f>IFERROR(AGGREGATE(15,6,ROW('Input Transaksi'!$B$5:$B$5000)/('Input Transaksi'!$B$5:$B$5000="RINJANI WASH"),ROWS($E$5:E72)),"")</f>
        <v/>
      </c>
      <c r="F72" s="5" t="n"/>
    </row>
    <row r="73">
      <c r="A73" s="10">
        <f>IF($E73="","",INDEX('Input Transaksi'!$A:$A,$E73))</f>
        <v/>
      </c>
      <c r="B73" s="5">
        <f>IF($E73="","",INDEX('Input Transaksi'!$D:$D,$E73))</f>
        <v/>
      </c>
      <c r="C73">
        <f>IF($E73="","",INDEX('Input Transaksi'!$E:$E,$E73))</f>
        <v/>
      </c>
      <c r="D73" s="5">
        <f>IF($E73="","",INDEX('Input Transaksi'!$F:$F,$E73))</f>
        <v/>
      </c>
      <c r="E73">
        <f>IFERROR(AGGREGATE(15,6,ROW('Input Transaksi'!$B$5:$B$5000)/('Input Transaksi'!$B$5:$B$5000="RINJANI WASH"),ROWS($E$5:E73)),"")</f>
        <v/>
      </c>
      <c r="F73" s="5" t="n"/>
    </row>
    <row r="74">
      <c r="A74" s="10">
        <f>IF($E74="","",INDEX('Input Transaksi'!$A:$A,$E74))</f>
        <v/>
      </c>
      <c r="B74" s="5">
        <f>IF($E74="","",INDEX('Input Transaksi'!$D:$D,$E74))</f>
        <v/>
      </c>
      <c r="C74">
        <f>IF($E74="","",INDEX('Input Transaksi'!$E:$E,$E74))</f>
        <v/>
      </c>
      <c r="D74" s="5">
        <f>IF($E74="","",INDEX('Input Transaksi'!$F:$F,$E74))</f>
        <v/>
      </c>
      <c r="E74">
        <f>IFERROR(AGGREGATE(15,6,ROW('Input Transaksi'!$B$5:$B$5000)/('Input Transaksi'!$B$5:$B$5000="RINJANI WASH"),ROWS($E$5:E74)),"")</f>
        <v/>
      </c>
      <c r="F74" s="5" t="n"/>
    </row>
    <row r="75">
      <c r="A75" s="10">
        <f>IF($E75="","",INDEX('Input Transaksi'!$A:$A,$E75))</f>
        <v/>
      </c>
      <c r="B75" s="5">
        <f>IF($E75="","",INDEX('Input Transaksi'!$D:$D,$E75))</f>
        <v/>
      </c>
      <c r="C75">
        <f>IF($E75="","",INDEX('Input Transaksi'!$E:$E,$E75))</f>
        <v/>
      </c>
      <c r="D75" s="5">
        <f>IF($E75="","",INDEX('Input Transaksi'!$F:$F,$E75))</f>
        <v/>
      </c>
      <c r="E75">
        <f>IFERROR(AGGREGATE(15,6,ROW('Input Transaksi'!$B$5:$B$5000)/('Input Transaksi'!$B$5:$B$5000="RINJANI WASH"),ROWS($E$5:E75)),"")</f>
        <v/>
      </c>
      <c r="F75" s="5" t="n"/>
    </row>
    <row r="76">
      <c r="A76" s="10">
        <f>IF($E76="","",INDEX('Input Transaksi'!$A:$A,$E76))</f>
        <v/>
      </c>
      <c r="B76" s="5">
        <f>IF($E76="","",INDEX('Input Transaksi'!$D:$D,$E76))</f>
        <v/>
      </c>
      <c r="C76">
        <f>IF($E76="","",INDEX('Input Transaksi'!$E:$E,$E76))</f>
        <v/>
      </c>
      <c r="D76" s="5">
        <f>IF($E76="","",INDEX('Input Transaksi'!$F:$F,$E76))</f>
        <v/>
      </c>
      <c r="E76">
        <f>IFERROR(AGGREGATE(15,6,ROW('Input Transaksi'!$B$5:$B$5000)/('Input Transaksi'!$B$5:$B$5000="RINJANI WASH"),ROWS($E$5:E76)),"")</f>
        <v/>
      </c>
      <c r="F76" s="5" t="n"/>
    </row>
    <row r="77">
      <c r="A77" s="10">
        <f>IF($E77="","",INDEX('Input Transaksi'!$A:$A,$E77))</f>
        <v/>
      </c>
      <c r="B77" s="5">
        <f>IF($E77="","",INDEX('Input Transaksi'!$D:$D,$E77))</f>
        <v/>
      </c>
      <c r="C77">
        <f>IF($E77="","",INDEX('Input Transaksi'!$E:$E,$E77))</f>
        <v/>
      </c>
      <c r="D77" s="5">
        <f>IF($E77="","",INDEX('Input Transaksi'!$F:$F,$E77))</f>
        <v/>
      </c>
      <c r="E77">
        <f>IFERROR(AGGREGATE(15,6,ROW('Input Transaksi'!$B$5:$B$5000)/('Input Transaksi'!$B$5:$B$5000="RINJANI WASH"),ROWS($E$5:E77)),"")</f>
        <v/>
      </c>
      <c r="F77" s="5" t="n"/>
    </row>
    <row r="78">
      <c r="A78" s="10">
        <f>IF($E78="","",INDEX('Input Transaksi'!$A:$A,$E78))</f>
        <v/>
      </c>
      <c r="B78" s="5">
        <f>IF($E78="","",INDEX('Input Transaksi'!$D:$D,$E78))</f>
        <v/>
      </c>
      <c r="C78">
        <f>IF($E78="","",INDEX('Input Transaksi'!$E:$E,$E78))</f>
        <v/>
      </c>
      <c r="D78" s="5">
        <f>IF($E78="","",INDEX('Input Transaksi'!$F:$F,$E78))</f>
        <v/>
      </c>
      <c r="E78">
        <f>IFERROR(AGGREGATE(15,6,ROW('Input Transaksi'!$B$5:$B$5000)/('Input Transaksi'!$B$5:$B$5000="RINJANI WASH"),ROWS($E$5:E78)),"")</f>
        <v/>
      </c>
      <c r="F78" s="5" t="n"/>
    </row>
    <row r="79">
      <c r="A79" s="10">
        <f>IF($E79="","",INDEX('Input Transaksi'!$A:$A,$E79))</f>
        <v/>
      </c>
      <c r="B79" s="5">
        <f>IF($E79="","",INDEX('Input Transaksi'!$D:$D,$E79))</f>
        <v/>
      </c>
      <c r="C79">
        <f>IF($E79="","",INDEX('Input Transaksi'!$E:$E,$E79))</f>
        <v/>
      </c>
      <c r="D79" s="5">
        <f>IF($E79="","",INDEX('Input Transaksi'!$F:$F,$E79))</f>
        <v/>
      </c>
      <c r="E79">
        <f>IFERROR(AGGREGATE(15,6,ROW('Input Transaksi'!$B$5:$B$5000)/('Input Transaksi'!$B$5:$B$5000="RINJANI WASH"),ROWS($E$5:E79)),"")</f>
        <v/>
      </c>
      <c r="F79" s="5" t="n"/>
    </row>
    <row r="80">
      <c r="A80" s="10">
        <f>IF($E80="","",INDEX('Input Transaksi'!$A:$A,$E80))</f>
        <v/>
      </c>
      <c r="B80" s="5">
        <f>IF($E80="","",INDEX('Input Transaksi'!$D:$D,$E80))</f>
        <v/>
      </c>
      <c r="C80">
        <f>IF($E80="","",INDEX('Input Transaksi'!$E:$E,$E80))</f>
        <v/>
      </c>
      <c r="D80" s="5">
        <f>IF($E80="","",INDEX('Input Transaksi'!$F:$F,$E80))</f>
        <v/>
      </c>
      <c r="E80">
        <f>IFERROR(AGGREGATE(15,6,ROW('Input Transaksi'!$B$5:$B$5000)/('Input Transaksi'!$B$5:$B$5000="RINJANI WASH"),ROWS($E$5:E80)),"")</f>
        <v/>
      </c>
      <c r="F80" s="5" t="n"/>
    </row>
    <row r="81">
      <c r="A81" s="10">
        <f>IF($E81="","",INDEX('Input Transaksi'!$A:$A,$E81))</f>
        <v/>
      </c>
      <c r="B81" s="5">
        <f>IF($E81="","",INDEX('Input Transaksi'!$D:$D,$E81))</f>
        <v/>
      </c>
      <c r="C81">
        <f>IF($E81="","",INDEX('Input Transaksi'!$E:$E,$E81))</f>
        <v/>
      </c>
      <c r="D81" s="5">
        <f>IF($E81="","",INDEX('Input Transaksi'!$F:$F,$E81))</f>
        <v/>
      </c>
      <c r="E81">
        <f>IFERROR(AGGREGATE(15,6,ROW('Input Transaksi'!$B$5:$B$5000)/('Input Transaksi'!$B$5:$B$5000="RINJANI WASH"),ROWS($E$5:E81)),"")</f>
        <v/>
      </c>
      <c r="F81" s="5" t="n"/>
    </row>
    <row r="82">
      <c r="A82" s="10">
        <f>IF($E82="","",INDEX('Input Transaksi'!$A:$A,$E82))</f>
        <v/>
      </c>
      <c r="B82" s="5">
        <f>IF($E82="","",INDEX('Input Transaksi'!$D:$D,$E82))</f>
        <v/>
      </c>
      <c r="C82">
        <f>IF($E82="","",INDEX('Input Transaksi'!$E:$E,$E82))</f>
        <v/>
      </c>
      <c r="D82" s="5">
        <f>IF($E82="","",INDEX('Input Transaksi'!$F:$F,$E82))</f>
        <v/>
      </c>
      <c r="E82">
        <f>IFERROR(AGGREGATE(15,6,ROW('Input Transaksi'!$B$5:$B$5000)/('Input Transaksi'!$B$5:$B$5000="RINJANI WASH"),ROWS($E$5:E82)),"")</f>
        <v/>
      </c>
      <c r="F82" s="5" t="n"/>
    </row>
    <row r="83">
      <c r="A83" s="10">
        <f>IF($E83="","",INDEX('Input Transaksi'!$A:$A,$E83))</f>
        <v/>
      </c>
      <c r="B83" s="5">
        <f>IF($E83="","",INDEX('Input Transaksi'!$D:$D,$E83))</f>
        <v/>
      </c>
      <c r="C83">
        <f>IF($E83="","",INDEX('Input Transaksi'!$E:$E,$E83))</f>
        <v/>
      </c>
      <c r="D83" s="5">
        <f>IF($E83="","",INDEX('Input Transaksi'!$F:$F,$E83))</f>
        <v/>
      </c>
      <c r="E83">
        <f>IFERROR(AGGREGATE(15,6,ROW('Input Transaksi'!$B$5:$B$5000)/('Input Transaksi'!$B$5:$B$5000="RINJANI WASH"),ROWS($E$5:E83)),"")</f>
        <v/>
      </c>
      <c r="F83" s="5" t="n"/>
    </row>
    <row r="84">
      <c r="A84" s="10">
        <f>IF($E84="","",INDEX('Input Transaksi'!$A:$A,$E84))</f>
        <v/>
      </c>
      <c r="B84" s="5">
        <f>IF($E84="","",INDEX('Input Transaksi'!$D:$D,$E84))</f>
        <v/>
      </c>
      <c r="C84">
        <f>IF($E84="","",INDEX('Input Transaksi'!$E:$E,$E84))</f>
        <v/>
      </c>
      <c r="D84" s="5">
        <f>IF($E84="","",INDEX('Input Transaksi'!$F:$F,$E84))</f>
        <v/>
      </c>
      <c r="E84">
        <f>IFERROR(AGGREGATE(15,6,ROW('Input Transaksi'!$B$5:$B$5000)/('Input Transaksi'!$B$5:$B$5000="RINJANI WASH"),ROWS($E$5:E84)),"")</f>
        <v/>
      </c>
      <c r="F84" s="5" t="n"/>
    </row>
    <row r="85">
      <c r="A85" s="10">
        <f>IF($E85="","",INDEX('Input Transaksi'!$A:$A,$E85))</f>
        <v/>
      </c>
      <c r="B85" s="5">
        <f>IF($E85="","",INDEX('Input Transaksi'!$D:$D,$E85))</f>
        <v/>
      </c>
      <c r="C85">
        <f>IF($E85="","",INDEX('Input Transaksi'!$E:$E,$E85))</f>
        <v/>
      </c>
      <c r="D85" s="5">
        <f>IF($E85="","",INDEX('Input Transaksi'!$F:$F,$E85))</f>
        <v/>
      </c>
      <c r="E85">
        <f>IFERROR(AGGREGATE(15,6,ROW('Input Transaksi'!$B$5:$B$5000)/('Input Transaksi'!$B$5:$B$5000="RINJANI WASH"),ROWS($E$5:E85)),"")</f>
        <v/>
      </c>
      <c r="F85" s="5" t="n"/>
    </row>
    <row r="86">
      <c r="A86" s="10">
        <f>IF($E86="","",INDEX('Input Transaksi'!$A:$A,$E86))</f>
        <v/>
      </c>
      <c r="B86" s="5">
        <f>IF($E86="","",INDEX('Input Transaksi'!$D:$D,$E86))</f>
        <v/>
      </c>
      <c r="C86">
        <f>IF($E86="","",INDEX('Input Transaksi'!$E:$E,$E86))</f>
        <v/>
      </c>
      <c r="D86" s="5">
        <f>IF($E86="","",INDEX('Input Transaksi'!$F:$F,$E86))</f>
        <v/>
      </c>
      <c r="E86">
        <f>IFERROR(AGGREGATE(15,6,ROW('Input Transaksi'!$B$5:$B$5000)/('Input Transaksi'!$B$5:$B$5000="RINJANI WASH"),ROWS($E$5:E86)),"")</f>
        <v/>
      </c>
      <c r="F86" s="5" t="n"/>
    </row>
    <row r="87">
      <c r="A87" s="10">
        <f>IF($E87="","",INDEX('Input Transaksi'!$A:$A,$E87))</f>
        <v/>
      </c>
      <c r="B87" s="5">
        <f>IF($E87="","",INDEX('Input Transaksi'!$D:$D,$E87))</f>
        <v/>
      </c>
      <c r="C87">
        <f>IF($E87="","",INDEX('Input Transaksi'!$E:$E,$E87))</f>
        <v/>
      </c>
      <c r="D87" s="5">
        <f>IF($E87="","",INDEX('Input Transaksi'!$F:$F,$E87))</f>
        <v/>
      </c>
      <c r="E87">
        <f>IFERROR(AGGREGATE(15,6,ROW('Input Transaksi'!$B$5:$B$5000)/('Input Transaksi'!$B$5:$B$5000="RINJANI WASH"),ROWS($E$5:E87)),"")</f>
        <v/>
      </c>
      <c r="F87" s="5" t="n"/>
    </row>
    <row r="88">
      <c r="A88" s="10">
        <f>IF($E88="","",INDEX('Input Transaksi'!$A:$A,$E88))</f>
        <v/>
      </c>
      <c r="B88" s="5">
        <f>IF($E88="","",INDEX('Input Transaksi'!$D:$D,$E88))</f>
        <v/>
      </c>
      <c r="C88">
        <f>IF($E88="","",INDEX('Input Transaksi'!$E:$E,$E88))</f>
        <v/>
      </c>
      <c r="D88" s="5">
        <f>IF($E88="","",INDEX('Input Transaksi'!$F:$F,$E88))</f>
        <v/>
      </c>
      <c r="E88">
        <f>IFERROR(AGGREGATE(15,6,ROW('Input Transaksi'!$B$5:$B$5000)/('Input Transaksi'!$B$5:$B$5000="RINJANI WASH"),ROWS($E$5:E88)),"")</f>
        <v/>
      </c>
      <c r="F88" s="5" t="n"/>
    </row>
    <row r="89">
      <c r="A89" s="10">
        <f>IF($E89="","",INDEX('Input Transaksi'!$A:$A,$E89))</f>
        <v/>
      </c>
      <c r="B89" s="5">
        <f>IF($E89="","",INDEX('Input Transaksi'!$D:$D,$E89))</f>
        <v/>
      </c>
      <c r="C89">
        <f>IF($E89="","",INDEX('Input Transaksi'!$E:$E,$E89))</f>
        <v/>
      </c>
      <c r="D89" s="5">
        <f>IF($E89="","",INDEX('Input Transaksi'!$F:$F,$E89))</f>
        <v/>
      </c>
      <c r="E89">
        <f>IFERROR(AGGREGATE(15,6,ROW('Input Transaksi'!$B$5:$B$5000)/('Input Transaksi'!$B$5:$B$5000="RINJANI WASH"),ROWS($E$5:E89)),"")</f>
        <v/>
      </c>
      <c r="F89" s="5" t="n"/>
    </row>
    <row r="90">
      <c r="A90" s="10">
        <f>IF($E90="","",INDEX('Input Transaksi'!$A:$A,$E90))</f>
        <v/>
      </c>
      <c r="B90" s="5">
        <f>IF($E90="","",INDEX('Input Transaksi'!$D:$D,$E90))</f>
        <v/>
      </c>
      <c r="C90">
        <f>IF($E90="","",INDEX('Input Transaksi'!$E:$E,$E90))</f>
        <v/>
      </c>
      <c r="D90" s="5">
        <f>IF($E90="","",INDEX('Input Transaksi'!$F:$F,$E90))</f>
        <v/>
      </c>
      <c r="E90">
        <f>IFERROR(AGGREGATE(15,6,ROW('Input Transaksi'!$B$5:$B$5000)/('Input Transaksi'!$B$5:$B$5000="RINJANI WASH"),ROWS($E$5:E90)),"")</f>
        <v/>
      </c>
      <c r="F90" s="5" t="n"/>
    </row>
    <row r="91">
      <c r="A91" s="10">
        <f>IF($E91="","",INDEX('Input Transaksi'!$A:$A,$E91))</f>
        <v/>
      </c>
      <c r="B91" s="5">
        <f>IF($E91="","",INDEX('Input Transaksi'!$D:$D,$E91))</f>
        <v/>
      </c>
      <c r="C91">
        <f>IF($E91="","",INDEX('Input Transaksi'!$E:$E,$E91))</f>
        <v/>
      </c>
      <c r="D91" s="5">
        <f>IF($E91="","",INDEX('Input Transaksi'!$F:$F,$E91))</f>
        <v/>
      </c>
      <c r="E91">
        <f>IFERROR(AGGREGATE(15,6,ROW('Input Transaksi'!$B$5:$B$5000)/('Input Transaksi'!$B$5:$B$5000="RINJANI WASH"),ROWS($E$5:E91)),"")</f>
        <v/>
      </c>
      <c r="F91" s="5" t="n"/>
    </row>
    <row r="92">
      <c r="A92" s="10">
        <f>IF($E92="","",INDEX('Input Transaksi'!$A:$A,$E92))</f>
        <v/>
      </c>
      <c r="B92" s="5">
        <f>IF($E92="","",INDEX('Input Transaksi'!$D:$D,$E92))</f>
        <v/>
      </c>
      <c r="C92">
        <f>IF($E92="","",INDEX('Input Transaksi'!$E:$E,$E92))</f>
        <v/>
      </c>
      <c r="D92" s="5">
        <f>IF($E92="","",INDEX('Input Transaksi'!$F:$F,$E92))</f>
        <v/>
      </c>
      <c r="E92">
        <f>IFERROR(AGGREGATE(15,6,ROW('Input Transaksi'!$B$5:$B$5000)/('Input Transaksi'!$B$5:$B$5000="RINJANI WASH"),ROWS($E$5:E92)),"")</f>
        <v/>
      </c>
      <c r="F92" s="5" t="n"/>
    </row>
    <row r="93">
      <c r="A93" s="10">
        <f>IF($E93="","",INDEX('Input Transaksi'!$A:$A,$E93))</f>
        <v/>
      </c>
      <c r="B93" s="5">
        <f>IF($E93="","",INDEX('Input Transaksi'!$D:$D,$E93))</f>
        <v/>
      </c>
      <c r="C93">
        <f>IF($E93="","",INDEX('Input Transaksi'!$E:$E,$E93))</f>
        <v/>
      </c>
      <c r="D93" s="5">
        <f>IF($E93="","",INDEX('Input Transaksi'!$F:$F,$E93))</f>
        <v/>
      </c>
      <c r="E93">
        <f>IFERROR(AGGREGATE(15,6,ROW('Input Transaksi'!$B$5:$B$5000)/('Input Transaksi'!$B$5:$B$5000="RINJANI WASH"),ROWS($E$5:E93)),"")</f>
        <v/>
      </c>
      <c r="F93" s="5" t="n"/>
    </row>
    <row r="94">
      <c r="A94" s="10">
        <f>IF($E94="","",INDEX('Input Transaksi'!$A:$A,$E94))</f>
        <v/>
      </c>
      <c r="B94" s="5">
        <f>IF($E94="","",INDEX('Input Transaksi'!$D:$D,$E94))</f>
        <v/>
      </c>
      <c r="C94">
        <f>IF($E94="","",INDEX('Input Transaksi'!$E:$E,$E94))</f>
        <v/>
      </c>
      <c r="D94" s="5">
        <f>IF($E94="","",INDEX('Input Transaksi'!$F:$F,$E94))</f>
        <v/>
      </c>
      <c r="E94">
        <f>IFERROR(AGGREGATE(15,6,ROW('Input Transaksi'!$B$5:$B$5000)/('Input Transaksi'!$B$5:$B$5000="RINJANI WASH"),ROWS($E$5:E94)),"")</f>
        <v/>
      </c>
      <c r="F94" s="5" t="n"/>
    </row>
    <row r="95">
      <c r="A95" s="10">
        <f>IF($E95="","",INDEX('Input Transaksi'!$A:$A,$E95))</f>
        <v/>
      </c>
      <c r="B95" s="5">
        <f>IF($E95="","",INDEX('Input Transaksi'!$D:$D,$E95))</f>
        <v/>
      </c>
      <c r="C95">
        <f>IF($E95="","",INDEX('Input Transaksi'!$E:$E,$E95))</f>
        <v/>
      </c>
      <c r="D95" s="5">
        <f>IF($E95="","",INDEX('Input Transaksi'!$F:$F,$E95))</f>
        <v/>
      </c>
      <c r="E95">
        <f>IFERROR(AGGREGATE(15,6,ROW('Input Transaksi'!$B$5:$B$5000)/('Input Transaksi'!$B$5:$B$5000="RINJANI WASH"),ROWS($E$5:E95)),"")</f>
        <v/>
      </c>
      <c r="F95" s="5" t="n"/>
    </row>
    <row r="96">
      <c r="A96" s="10">
        <f>IF($E96="","",INDEX('Input Transaksi'!$A:$A,$E96))</f>
        <v/>
      </c>
      <c r="B96" s="5">
        <f>IF($E96="","",INDEX('Input Transaksi'!$D:$D,$E96))</f>
        <v/>
      </c>
      <c r="C96">
        <f>IF($E96="","",INDEX('Input Transaksi'!$E:$E,$E96))</f>
        <v/>
      </c>
      <c r="D96" s="5">
        <f>IF($E96="","",INDEX('Input Transaksi'!$F:$F,$E96))</f>
        <v/>
      </c>
      <c r="E96">
        <f>IFERROR(AGGREGATE(15,6,ROW('Input Transaksi'!$B$5:$B$5000)/('Input Transaksi'!$B$5:$B$5000="RINJANI WASH"),ROWS($E$5:E96)),"")</f>
        <v/>
      </c>
      <c r="F96" s="5" t="n"/>
    </row>
    <row r="97">
      <c r="A97" s="10">
        <f>IF($E97="","",INDEX('Input Transaksi'!$A:$A,$E97))</f>
        <v/>
      </c>
      <c r="B97" s="5">
        <f>IF($E97="","",INDEX('Input Transaksi'!$D:$D,$E97))</f>
        <v/>
      </c>
      <c r="C97">
        <f>IF($E97="","",INDEX('Input Transaksi'!$E:$E,$E97))</f>
        <v/>
      </c>
      <c r="D97" s="5">
        <f>IF($E97="","",INDEX('Input Transaksi'!$F:$F,$E97))</f>
        <v/>
      </c>
      <c r="E97">
        <f>IFERROR(AGGREGATE(15,6,ROW('Input Transaksi'!$B$5:$B$5000)/('Input Transaksi'!$B$5:$B$5000="RINJANI WASH"),ROWS($E$5:E97)),"")</f>
        <v/>
      </c>
      <c r="F97" s="5" t="n"/>
    </row>
    <row r="98">
      <c r="A98" s="10">
        <f>IF($E98="","",INDEX('Input Transaksi'!$A:$A,$E98))</f>
        <v/>
      </c>
      <c r="B98" s="5">
        <f>IF($E98="","",INDEX('Input Transaksi'!$D:$D,$E98))</f>
        <v/>
      </c>
      <c r="C98">
        <f>IF($E98="","",INDEX('Input Transaksi'!$E:$E,$E98))</f>
        <v/>
      </c>
      <c r="D98" s="5">
        <f>IF($E98="","",INDEX('Input Transaksi'!$F:$F,$E98))</f>
        <v/>
      </c>
      <c r="E98">
        <f>IFERROR(AGGREGATE(15,6,ROW('Input Transaksi'!$B$5:$B$5000)/('Input Transaksi'!$B$5:$B$5000="RINJANI WASH"),ROWS($E$5:E98)),"")</f>
        <v/>
      </c>
      <c r="F98" s="5" t="n"/>
    </row>
    <row r="99">
      <c r="A99" s="10">
        <f>IF($E99="","",INDEX('Input Transaksi'!$A:$A,$E99))</f>
        <v/>
      </c>
      <c r="B99" s="5">
        <f>IF($E99="","",INDEX('Input Transaksi'!$D:$D,$E99))</f>
        <v/>
      </c>
      <c r="C99">
        <f>IF($E99="","",INDEX('Input Transaksi'!$E:$E,$E99))</f>
        <v/>
      </c>
      <c r="D99" s="5">
        <f>IF($E99="","",INDEX('Input Transaksi'!$F:$F,$E99))</f>
        <v/>
      </c>
      <c r="E99">
        <f>IFERROR(AGGREGATE(15,6,ROW('Input Transaksi'!$B$5:$B$5000)/('Input Transaksi'!$B$5:$B$5000="RINJANI WASH"),ROWS($E$5:E99)),"")</f>
        <v/>
      </c>
      <c r="F99" s="5" t="n"/>
    </row>
    <row r="100">
      <c r="A100" s="10">
        <f>IF($E100="","",INDEX('Input Transaksi'!$A:$A,$E100))</f>
        <v/>
      </c>
      <c r="B100" s="5">
        <f>IF($E100="","",INDEX('Input Transaksi'!$D:$D,$E100))</f>
        <v/>
      </c>
      <c r="C100">
        <f>IF($E100="","",INDEX('Input Transaksi'!$E:$E,$E100))</f>
        <v/>
      </c>
      <c r="D100" s="5">
        <f>IF($E100="","",INDEX('Input Transaksi'!$F:$F,$E100))</f>
        <v/>
      </c>
      <c r="E100">
        <f>IFERROR(AGGREGATE(15,6,ROW('Input Transaksi'!$B$5:$B$5000)/('Input Transaksi'!$B$5:$B$5000="RINJANI WASH"),ROWS($E$5:E100)),"")</f>
        <v/>
      </c>
      <c r="F100" s="5" t="n"/>
    </row>
    <row r="101">
      <c r="A101" s="10">
        <f>IF($E101="","",INDEX('Input Transaksi'!$A:$A,$E101))</f>
        <v/>
      </c>
      <c r="B101" s="5">
        <f>IF($E101="","",INDEX('Input Transaksi'!$D:$D,$E101))</f>
        <v/>
      </c>
      <c r="C101">
        <f>IF($E101="","",INDEX('Input Transaksi'!$E:$E,$E101))</f>
        <v/>
      </c>
      <c r="D101" s="5">
        <f>IF($E101="","",INDEX('Input Transaksi'!$F:$F,$E101))</f>
        <v/>
      </c>
      <c r="E101">
        <f>IFERROR(AGGREGATE(15,6,ROW('Input Transaksi'!$B$5:$B$5000)/('Input Transaksi'!$B$5:$B$5000="RINJANI WASH"),ROWS($E$5:E101)),"")</f>
        <v/>
      </c>
      <c r="F101" s="5" t="n"/>
    </row>
    <row r="102">
      <c r="A102" s="10">
        <f>IF($E102="","",INDEX('Input Transaksi'!$A:$A,$E102))</f>
        <v/>
      </c>
      <c r="B102" s="5">
        <f>IF($E102="","",INDEX('Input Transaksi'!$D:$D,$E102))</f>
        <v/>
      </c>
      <c r="C102">
        <f>IF($E102="","",INDEX('Input Transaksi'!$E:$E,$E102))</f>
        <v/>
      </c>
      <c r="D102" s="5">
        <f>IF($E102="","",INDEX('Input Transaksi'!$F:$F,$E102))</f>
        <v/>
      </c>
      <c r="E102">
        <f>IFERROR(AGGREGATE(15,6,ROW('Input Transaksi'!$B$5:$B$5000)/('Input Transaksi'!$B$5:$B$5000="RINJANI WASH"),ROWS($E$5:E102)),"")</f>
        <v/>
      </c>
      <c r="F102" s="5" t="n"/>
    </row>
    <row r="103">
      <c r="A103" s="10">
        <f>IF($E103="","",INDEX('Input Transaksi'!$A:$A,$E103))</f>
        <v/>
      </c>
      <c r="B103" s="5">
        <f>IF($E103="","",INDEX('Input Transaksi'!$D:$D,$E103))</f>
        <v/>
      </c>
      <c r="C103">
        <f>IF($E103="","",INDEX('Input Transaksi'!$E:$E,$E103))</f>
        <v/>
      </c>
      <c r="D103" s="5">
        <f>IF($E103="","",INDEX('Input Transaksi'!$F:$F,$E103))</f>
        <v/>
      </c>
      <c r="E103">
        <f>IFERROR(AGGREGATE(15,6,ROW('Input Transaksi'!$B$5:$B$5000)/('Input Transaksi'!$B$5:$B$5000="RINJANI WASH"),ROWS($E$5:E103)),"")</f>
        <v/>
      </c>
      <c r="F103" s="5" t="n"/>
    </row>
    <row r="104">
      <c r="A104" s="10">
        <f>IF($E104="","",INDEX('Input Transaksi'!$A:$A,$E104))</f>
        <v/>
      </c>
      <c r="B104" s="5">
        <f>IF($E104="","",INDEX('Input Transaksi'!$D:$D,$E104))</f>
        <v/>
      </c>
      <c r="C104">
        <f>IF($E104="","",INDEX('Input Transaksi'!$E:$E,$E104))</f>
        <v/>
      </c>
      <c r="D104" s="5">
        <f>IF($E104="","",INDEX('Input Transaksi'!$F:$F,$E104))</f>
        <v/>
      </c>
      <c r="E104">
        <f>IFERROR(AGGREGATE(15,6,ROW('Input Transaksi'!$B$5:$B$5000)/('Input Transaksi'!$B$5:$B$5000="RINJANI WASH"),ROWS($E$5:E104)),"")</f>
        <v/>
      </c>
      <c r="F104" s="5" t="n"/>
    </row>
    <row r="105">
      <c r="A105" s="10">
        <f>IF($E105="","",INDEX('Input Transaksi'!$A:$A,$E105))</f>
        <v/>
      </c>
      <c r="B105" s="5">
        <f>IF($E105="","",INDEX('Input Transaksi'!$D:$D,$E105))</f>
        <v/>
      </c>
      <c r="C105">
        <f>IF($E105="","",INDEX('Input Transaksi'!$E:$E,$E105))</f>
        <v/>
      </c>
      <c r="D105" s="5">
        <f>IF($E105="","",INDEX('Input Transaksi'!$F:$F,$E105))</f>
        <v/>
      </c>
      <c r="E105">
        <f>IFERROR(AGGREGATE(15,6,ROW('Input Transaksi'!$B$5:$B$5000)/('Input Transaksi'!$B$5:$B$5000="RINJANI WASH"),ROWS($E$5:E105)),"")</f>
        <v/>
      </c>
      <c r="F105" s="5" t="n"/>
    </row>
    <row r="106">
      <c r="A106" s="10">
        <f>IF($E106="","",INDEX('Input Transaksi'!$A:$A,$E106))</f>
        <v/>
      </c>
      <c r="B106" s="5">
        <f>IF($E106="","",INDEX('Input Transaksi'!$D:$D,$E106))</f>
        <v/>
      </c>
      <c r="C106">
        <f>IF($E106="","",INDEX('Input Transaksi'!$E:$E,$E106))</f>
        <v/>
      </c>
      <c r="D106" s="5">
        <f>IF($E106="","",INDEX('Input Transaksi'!$F:$F,$E106))</f>
        <v/>
      </c>
      <c r="E106">
        <f>IFERROR(AGGREGATE(15,6,ROW('Input Transaksi'!$B$5:$B$5000)/('Input Transaksi'!$B$5:$B$5000="RINJANI WASH"),ROWS($E$5:E106)),"")</f>
        <v/>
      </c>
      <c r="F106" s="5" t="n"/>
    </row>
    <row r="107">
      <c r="A107" s="10">
        <f>IF($E107="","",INDEX('Input Transaksi'!$A:$A,$E107))</f>
        <v/>
      </c>
      <c r="B107" s="5">
        <f>IF($E107="","",INDEX('Input Transaksi'!$D:$D,$E107))</f>
        <v/>
      </c>
      <c r="C107">
        <f>IF($E107="","",INDEX('Input Transaksi'!$E:$E,$E107))</f>
        <v/>
      </c>
      <c r="D107" s="5">
        <f>IF($E107="","",INDEX('Input Transaksi'!$F:$F,$E107))</f>
        <v/>
      </c>
      <c r="E107">
        <f>IFERROR(AGGREGATE(15,6,ROW('Input Transaksi'!$B$5:$B$5000)/('Input Transaksi'!$B$5:$B$5000="RINJANI WASH"),ROWS($E$5:E107)),"")</f>
        <v/>
      </c>
      <c r="F107" s="5" t="n"/>
    </row>
    <row r="108">
      <c r="A108" s="10">
        <f>IF($E108="","",INDEX('Input Transaksi'!$A:$A,$E108))</f>
        <v/>
      </c>
      <c r="B108" s="5">
        <f>IF($E108="","",INDEX('Input Transaksi'!$D:$D,$E108))</f>
        <v/>
      </c>
      <c r="C108">
        <f>IF($E108="","",INDEX('Input Transaksi'!$E:$E,$E108))</f>
        <v/>
      </c>
      <c r="D108" s="5">
        <f>IF($E108="","",INDEX('Input Transaksi'!$F:$F,$E108))</f>
        <v/>
      </c>
      <c r="E108">
        <f>IFERROR(AGGREGATE(15,6,ROW('Input Transaksi'!$B$5:$B$5000)/('Input Transaksi'!$B$5:$B$5000="RINJANI WASH"),ROWS($E$5:E108)),"")</f>
        <v/>
      </c>
      <c r="F108" s="5" t="n"/>
    </row>
    <row r="109">
      <c r="A109" s="10">
        <f>IF($E109="","",INDEX('Input Transaksi'!$A:$A,$E109))</f>
        <v/>
      </c>
      <c r="B109" s="5">
        <f>IF($E109="","",INDEX('Input Transaksi'!$D:$D,$E109))</f>
        <v/>
      </c>
      <c r="C109">
        <f>IF($E109="","",INDEX('Input Transaksi'!$E:$E,$E109))</f>
        <v/>
      </c>
      <c r="D109" s="5">
        <f>IF($E109="","",INDEX('Input Transaksi'!$F:$F,$E109))</f>
        <v/>
      </c>
      <c r="E109">
        <f>IFERROR(AGGREGATE(15,6,ROW('Input Transaksi'!$B$5:$B$5000)/('Input Transaksi'!$B$5:$B$5000="RINJANI WASH"),ROWS($E$5:E109)),"")</f>
        <v/>
      </c>
      <c r="F109" s="5" t="n"/>
    </row>
    <row r="110">
      <c r="A110" s="10">
        <f>IF($E110="","",INDEX('Input Transaksi'!$A:$A,$E110))</f>
        <v/>
      </c>
      <c r="B110" s="5">
        <f>IF($E110="","",INDEX('Input Transaksi'!$D:$D,$E110))</f>
        <v/>
      </c>
      <c r="C110">
        <f>IF($E110="","",INDEX('Input Transaksi'!$E:$E,$E110))</f>
        <v/>
      </c>
      <c r="D110" s="5">
        <f>IF($E110="","",INDEX('Input Transaksi'!$F:$F,$E110))</f>
        <v/>
      </c>
      <c r="E110">
        <f>IFERROR(AGGREGATE(15,6,ROW('Input Transaksi'!$B$5:$B$5000)/('Input Transaksi'!$B$5:$B$5000="RINJANI WASH"),ROWS($E$5:E110)),"")</f>
        <v/>
      </c>
      <c r="F110" s="5" t="n"/>
    </row>
    <row r="111">
      <c r="A111" s="10">
        <f>IF($E111="","",INDEX('Input Transaksi'!$A:$A,$E111))</f>
        <v/>
      </c>
      <c r="B111" s="5">
        <f>IF($E111="","",INDEX('Input Transaksi'!$D:$D,$E111))</f>
        <v/>
      </c>
      <c r="C111">
        <f>IF($E111="","",INDEX('Input Transaksi'!$E:$E,$E111))</f>
        <v/>
      </c>
      <c r="D111" s="5">
        <f>IF($E111="","",INDEX('Input Transaksi'!$F:$F,$E111))</f>
        <v/>
      </c>
      <c r="E111">
        <f>IFERROR(AGGREGATE(15,6,ROW('Input Transaksi'!$B$5:$B$5000)/('Input Transaksi'!$B$5:$B$5000="RINJANI WASH"),ROWS($E$5:E111)),"")</f>
        <v/>
      </c>
      <c r="F111" s="5" t="n"/>
    </row>
    <row r="112">
      <c r="A112" s="10">
        <f>IF($E112="","",INDEX('Input Transaksi'!$A:$A,$E112))</f>
        <v/>
      </c>
      <c r="B112" s="5">
        <f>IF($E112="","",INDEX('Input Transaksi'!$D:$D,$E112))</f>
        <v/>
      </c>
      <c r="C112">
        <f>IF($E112="","",INDEX('Input Transaksi'!$E:$E,$E112))</f>
        <v/>
      </c>
      <c r="D112" s="5">
        <f>IF($E112="","",INDEX('Input Transaksi'!$F:$F,$E112))</f>
        <v/>
      </c>
      <c r="E112">
        <f>IFERROR(AGGREGATE(15,6,ROW('Input Transaksi'!$B$5:$B$5000)/('Input Transaksi'!$B$5:$B$5000="RINJANI WASH"),ROWS($E$5:E112)),"")</f>
        <v/>
      </c>
      <c r="F112" s="5" t="n"/>
    </row>
    <row r="113">
      <c r="A113" s="10">
        <f>IF($E113="","",INDEX('Input Transaksi'!$A:$A,$E113))</f>
        <v/>
      </c>
      <c r="B113" s="5">
        <f>IF($E113="","",INDEX('Input Transaksi'!$D:$D,$E113))</f>
        <v/>
      </c>
      <c r="C113">
        <f>IF($E113="","",INDEX('Input Transaksi'!$E:$E,$E113))</f>
        <v/>
      </c>
      <c r="D113" s="5">
        <f>IF($E113="","",INDEX('Input Transaksi'!$F:$F,$E113))</f>
        <v/>
      </c>
      <c r="E113">
        <f>IFERROR(AGGREGATE(15,6,ROW('Input Transaksi'!$B$5:$B$5000)/('Input Transaksi'!$B$5:$B$5000="RINJANI WASH"),ROWS($E$5:E113)),"")</f>
        <v/>
      </c>
      <c r="F113" s="5" t="n"/>
    </row>
    <row r="114">
      <c r="A114" s="10">
        <f>IF($E114="","",INDEX('Input Transaksi'!$A:$A,$E114))</f>
        <v/>
      </c>
      <c r="B114" s="5">
        <f>IF($E114="","",INDEX('Input Transaksi'!$D:$D,$E114))</f>
        <v/>
      </c>
      <c r="C114">
        <f>IF($E114="","",INDEX('Input Transaksi'!$E:$E,$E114))</f>
        <v/>
      </c>
      <c r="D114" s="5">
        <f>IF($E114="","",INDEX('Input Transaksi'!$F:$F,$E114))</f>
        <v/>
      </c>
      <c r="E114">
        <f>IFERROR(AGGREGATE(15,6,ROW('Input Transaksi'!$B$5:$B$5000)/('Input Transaksi'!$B$5:$B$5000="RINJANI WASH"),ROWS($E$5:E114)),"")</f>
        <v/>
      </c>
      <c r="F114" s="5" t="n"/>
    </row>
    <row r="115">
      <c r="A115" s="10">
        <f>IF($E115="","",INDEX('Input Transaksi'!$A:$A,$E115))</f>
        <v/>
      </c>
      <c r="B115" s="5">
        <f>IF($E115="","",INDEX('Input Transaksi'!$D:$D,$E115))</f>
        <v/>
      </c>
      <c r="C115">
        <f>IF($E115="","",INDEX('Input Transaksi'!$E:$E,$E115))</f>
        <v/>
      </c>
      <c r="D115" s="5">
        <f>IF($E115="","",INDEX('Input Transaksi'!$F:$F,$E115))</f>
        <v/>
      </c>
      <c r="E115">
        <f>IFERROR(AGGREGATE(15,6,ROW('Input Transaksi'!$B$5:$B$5000)/('Input Transaksi'!$B$5:$B$5000="RINJANI WASH"),ROWS($E$5:E115)),"")</f>
        <v/>
      </c>
      <c r="F115" s="5" t="n"/>
    </row>
    <row r="116">
      <c r="A116" s="10">
        <f>IF($E116="","",INDEX('Input Transaksi'!$A:$A,$E116))</f>
        <v/>
      </c>
      <c r="B116" s="5">
        <f>IF($E116="","",INDEX('Input Transaksi'!$D:$D,$E116))</f>
        <v/>
      </c>
      <c r="C116">
        <f>IF($E116="","",INDEX('Input Transaksi'!$E:$E,$E116))</f>
        <v/>
      </c>
      <c r="D116" s="5">
        <f>IF($E116="","",INDEX('Input Transaksi'!$F:$F,$E116))</f>
        <v/>
      </c>
      <c r="E116">
        <f>IFERROR(AGGREGATE(15,6,ROW('Input Transaksi'!$B$5:$B$5000)/('Input Transaksi'!$B$5:$B$5000="RINJANI WASH"),ROWS($E$5:E116)),"")</f>
        <v/>
      </c>
      <c r="F116" s="5" t="n"/>
    </row>
    <row r="117">
      <c r="A117" s="10">
        <f>IF($E117="","",INDEX('Input Transaksi'!$A:$A,$E117))</f>
        <v/>
      </c>
      <c r="B117" s="5">
        <f>IF($E117="","",INDEX('Input Transaksi'!$D:$D,$E117))</f>
        <v/>
      </c>
      <c r="C117">
        <f>IF($E117="","",INDEX('Input Transaksi'!$E:$E,$E117))</f>
        <v/>
      </c>
      <c r="D117" s="5">
        <f>IF($E117="","",INDEX('Input Transaksi'!$F:$F,$E117))</f>
        <v/>
      </c>
      <c r="E117">
        <f>IFERROR(AGGREGATE(15,6,ROW('Input Transaksi'!$B$5:$B$5000)/('Input Transaksi'!$B$5:$B$5000="RINJANI WASH"),ROWS($E$5:E117)),"")</f>
        <v/>
      </c>
      <c r="F117" s="5" t="n"/>
    </row>
    <row r="118">
      <c r="A118" s="10">
        <f>IF($E118="","",INDEX('Input Transaksi'!$A:$A,$E118))</f>
        <v/>
      </c>
      <c r="B118" s="5">
        <f>IF($E118="","",INDEX('Input Transaksi'!$D:$D,$E118))</f>
        <v/>
      </c>
      <c r="C118">
        <f>IF($E118="","",INDEX('Input Transaksi'!$E:$E,$E118))</f>
        <v/>
      </c>
      <c r="D118" s="5">
        <f>IF($E118="","",INDEX('Input Transaksi'!$F:$F,$E118))</f>
        <v/>
      </c>
      <c r="E118">
        <f>IFERROR(AGGREGATE(15,6,ROW('Input Transaksi'!$B$5:$B$5000)/('Input Transaksi'!$B$5:$B$5000="RINJANI WASH"),ROWS($E$5:E118)),"")</f>
        <v/>
      </c>
      <c r="F118" s="5" t="n"/>
    </row>
    <row r="119">
      <c r="A119" s="10">
        <f>IF($E119="","",INDEX('Input Transaksi'!$A:$A,$E119))</f>
        <v/>
      </c>
      <c r="B119" s="5">
        <f>IF($E119="","",INDEX('Input Transaksi'!$D:$D,$E119))</f>
        <v/>
      </c>
      <c r="C119">
        <f>IF($E119="","",INDEX('Input Transaksi'!$E:$E,$E119))</f>
        <v/>
      </c>
      <c r="D119" s="5">
        <f>IF($E119="","",INDEX('Input Transaksi'!$F:$F,$E119))</f>
        <v/>
      </c>
      <c r="E119">
        <f>IFERROR(AGGREGATE(15,6,ROW('Input Transaksi'!$B$5:$B$5000)/('Input Transaksi'!$B$5:$B$5000="RINJANI WASH"),ROWS($E$5:E119)),"")</f>
        <v/>
      </c>
      <c r="F119" s="5" t="n"/>
    </row>
    <row r="120">
      <c r="A120" s="10">
        <f>IF($E120="","",INDEX('Input Transaksi'!$A:$A,$E120))</f>
        <v/>
      </c>
      <c r="B120" s="5">
        <f>IF($E120="","",INDEX('Input Transaksi'!$D:$D,$E120))</f>
        <v/>
      </c>
      <c r="C120">
        <f>IF($E120="","",INDEX('Input Transaksi'!$E:$E,$E120))</f>
        <v/>
      </c>
      <c r="D120" s="5">
        <f>IF($E120="","",INDEX('Input Transaksi'!$F:$F,$E120))</f>
        <v/>
      </c>
      <c r="E120">
        <f>IFERROR(AGGREGATE(15,6,ROW('Input Transaksi'!$B$5:$B$5000)/('Input Transaksi'!$B$5:$B$5000="RINJANI WASH"),ROWS($E$5:E120)),"")</f>
        <v/>
      </c>
      <c r="F120" s="5" t="n"/>
    </row>
    <row r="121">
      <c r="A121" s="10">
        <f>IF($E121="","",INDEX('Input Transaksi'!$A:$A,$E121))</f>
        <v/>
      </c>
      <c r="B121" s="5">
        <f>IF($E121="","",INDEX('Input Transaksi'!$D:$D,$E121))</f>
        <v/>
      </c>
      <c r="C121">
        <f>IF($E121="","",INDEX('Input Transaksi'!$E:$E,$E121))</f>
        <v/>
      </c>
      <c r="D121" s="5">
        <f>IF($E121="","",INDEX('Input Transaksi'!$F:$F,$E121))</f>
        <v/>
      </c>
      <c r="E121">
        <f>IFERROR(AGGREGATE(15,6,ROW('Input Transaksi'!$B$5:$B$5000)/('Input Transaksi'!$B$5:$B$5000="RINJANI WASH"),ROWS($E$5:E121)),"")</f>
        <v/>
      </c>
      <c r="F121" s="5" t="n"/>
    </row>
    <row r="122">
      <c r="A122" s="10">
        <f>IF($E122="","",INDEX('Input Transaksi'!$A:$A,$E122))</f>
        <v/>
      </c>
      <c r="B122" s="5">
        <f>IF($E122="","",INDEX('Input Transaksi'!$D:$D,$E122))</f>
        <v/>
      </c>
      <c r="C122">
        <f>IF($E122="","",INDEX('Input Transaksi'!$E:$E,$E122))</f>
        <v/>
      </c>
      <c r="D122" s="5">
        <f>IF($E122="","",INDEX('Input Transaksi'!$F:$F,$E122))</f>
        <v/>
      </c>
      <c r="E122">
        <f>IFERROR(AGGREGATE(15,6,ROW('Input Transaksi'!$B$5:$B$5000)/('Input Transaksi'!$B$5:$B$5000="RINJANI WASH"),ROWS($E$5:E122)),"")</f>
        <v/>
      </c>
      <c r="F122" s="5" t="n"/>
    </row>
    <row r="123">
      <c r="A123" s="10">
        <f>IF($E123="","",INDEX('Input Transaksi'!$A:$A,$E123))</f>
        <v/>
      </c>
      <c r="B123" s="5">
        <f>IF($E123="","",INDEX('Input Transaksi'!$D:$D,$E123))</f>
        <v/>
      </c>
      <c r="C123">
        <f>IF($E123="","",INDEX('Input Transaksi'!$E:$E,$E123))</f>
        <v/>
      </c>
      <c r="D123" s="5">
        <f>IF($E123="","",INDEX('Input Transaksi'!$F:$F,$E123))</f>
        <v/>
      </c>
      <c r="E123">
        <f>IFERROR(AGGREGATE(15,6,ROW('Input Transaksi'!$B$5:$B$5000)/('Input Transaksi'!$B$5:$B$5000="RINJANI WASH"),ROWS($E$5:E123)),"")</f>
        <v/>
      </c>
      <c r="F123" s="5" t="n"/>
    </row>
    <row r="124">
      <c r="A124" s="10">
        <f>IF($E124="","",INDEX('Input Transaksi'!$A:$A,$E124))</f>
        <v/>
      </c>
      <c r="B124" s="5">
        <f>IF($E124="","",INDEX('Input Transaksi'!$D:$D,$E124))</f>
        <v/>
      </c>
      <c r="C124">
        <f>IF($E124="","",INDEX('Input Transaksi'!$E:$E,$E124))</f>
        <v/>
      </c>
      <c r="D124" s="5">
        <f>IF($E124="","",INDEX('Input Transaksi'!$F:$F,$E124))</f>
        <v/>
      </c>
      <c r="E124">
        <f>IFERROR(AGGREGATE(15,6,ROW('Input Transaksi'!$B$5:$B$5000)/('Input Transaksi'!$B$5:$B$5000="RINJANI WASH"),ROWS($E$5:E124)),"")</f>
        <v/>
      </c>
      <c r="F124" s="5" t="n"/>
    </row>
    <row r="125">
      <c r="A125" s="10">
        <f>IF($E125="","",INDEX('Input Transaksi'!$A:$A,$E125))</f>
        <v/>
      </c>
      <c r="B125" s="5">
        <f>IF($E125="","",INDEX('Input Transaksi'!$D:$D,$E125))</f>
        <v/>
      </c>
      <c r="C125">
        <f>IF($E125="","",INDEX('Input Transaksi'!$E:$E,$E125))</f>
        <v/>
      </c>
      <c r="D125" s="5">
        <f>IF($E125="","",INDEX('Input Transaksi'!$F:$F,$E125))</f>
        <v/>
      </c>
      <c r="E125">
        <f>IFERROR(AGGREGATE(15,6,ROW('Input Transaksi'!$B$5:$B$5000)/('Input Transaksi'!$B$5:$B$5000="RINJANI WASH"),ROWS($E$5:E125)),"")</f>
        <v/>
      </c>
      <c r="F125" s="5" t="n"/>
    </row>
    <row r="126">
      <c r="A126" s="10">
        <f>IF($E126="","",INDEX('Input Transaksi'!$A:$A,$E126))</f>
        <v/>
      </c>
      <c r="B126" s="5">
        <f>IF($E126="","",INDEX('Input Transaksi'!$D:$D,$E126))</f>
        <v/>
      </c>
      <c r="C126">
        <f>IF($E126="","",INDEX('Input Transaksi'!$E:$E,$E126))</f>
        <v/>
      </c>
      <c r="D126" s="5">
        <f>IF($E126="","",INDEX('Input Transaksi'!$F:$F,$E126))</f>
        <v/>
      </c>
      <c r="E126">
        <f>IFERROR(AGGREGATE(15,6,ROW('Input Transaksi'!$B$5:$B$5000)/('Input Transaksi'!$B$5:$B$5000="RINJANI WASH"),ROWS($E$5:E126)),"")</f>
        <v/>
      </c>
      <c r="F126" s="5" t="n"/>
    </row>
    <row r="127">
      <c r="A127" s="10">
        <f>IF($E127="","",INDEX('Input Transaksi'!$A:$A,$E127))</f>
        <v/>
      </c>
      <c r="B127" s="5">
        <f>IF($E127="","",INDEX('Input Transaksi'!$D:$D,$E127))</f>
        <v/>
      </c>
      <c r="C127">
        <f>IF($E127="","",INDEX('Input Transaksi'!$E:$E,$E127))</f>
        <v/>
      </c>
      <c r="D127" s="5">
        <f>IF($E127="","",INDEX('Input Transaksi'!$F:$F,$E127))</f>
        <v/>
      </c>
      <c r="E127">
        <f>IFERROR(AGGREGATE(15,6,ROW('Input Transaksi'!$B$5:$B$5000)/('Input Transaksi'!$B$5:$B$5000="RINJANI WASH"),ROWS($E$5:E127)),"")</f>
        <v/>
      </c>
      <c r="F127" s="5" t="n"/>
    </row>
    <row r="128">
      <c r="A128" s="10">
        <f>IF($E128="","",INDEX('Input Transaksi'!$A:$A,$E128))</f>
        <v/>
      </c>
      <c r="B128" s="5">
        <f>IF($E128="","",INDEX('Input Transaksi'!$D:$D,$E128))</f>
        <v/>
      </c>
      <c r="C128">
        <f>IF($E128="","",INDEX('Input Transaksi'!$E:$E,$E128))</f>
        <v/>
      </c>
      <c r="D128" s="5">
        <f>IF($E128="","",INDEX('Input Transaksi'!$F:$F,$E128))</f>
        <v/>
      </c>
      <c r="E128">
        <f>IFERROR(AGGREGATE(15,6,ROW('Input Transaksi'!$B$5:$B$5000)/('Input Transaksi'!$B$5:$B$5000="RINJANI WASH"),ROWS($E$5:E128)),"")</f>
        <v/>
      </c>
      <c r="F128" s="5" t="n"/>
    </row>
    <row r="129">
      <c r="A129" s="10">
        <f>IF($E129="","",INDEX('Input Transaksi'!$A:$A,$E129))</f>
        <v/>
      </c>
      <c r="B129" s="5">
        <f>IF($E129="","",INDEX('Input Transaksi'!$D:$D,$E129))</f>
        <v/>
      </c>
      <c r="C129">
        <f>IF($E129="","",INDEX('Input Transaksi'!$E:$E,$E129))</f>
        <v/>
      </c>
      <c r="D129" s="5">
        <f>IF($E129="","",INDEX('Input Transaksi'!$F:$F,$E129))</f>
        <v/>
      </c>
      <c r="E129">
        <f>IFERROR(AGGREGATE(15,6,ROW('Input Transaksi'!$B$5:$B$5000)/('Input Transaksi'!$B$5:$B$5000="RINJANI WASH"),ROWS($E$5:E129)),"")</f>
        <v/>
      </c>
      <c r="F129" s="5" t="n"/>
    </row>
    <row r="130">
      <c r="A130" s="10">
        <f>IF($E130="","",INDEX('Input Transaksi'!$A:$A,$E130))</f>
        <v/>
      </c>
      <c r="B130" s="5">
        <f>IF($E130="","",INDEX('Input Transaksi'!$D:$D,$E130))</f>
        <v/>
      </c>
      <c r="C130">
        <f>IF($E130="","",INDEX('Input Transaksi'!$E:$E,$E130))</f>
        <v/>
      </c>
      <c r="D130" s="5">
        <f>IF($E130="","",INDEX('Input Transaksi'!$F:$F,$E130))</f>
        <v/>
      </c>
      <c r="E130">
        <f>IFERROR(AGGREGATE(15,6,ROW('Input Transaksi'!$B$5:$B$5000)/('Input Transaksi'!$B$5:$B$5000="RINJANI WASH"),ROWS($E$5:E130)),"")</f>
        <v/>
      </c>
      <c r="F130" s="5" t="n"/>
    </row>
    <row r="131">
      <c r="A131" s="10">
        <f>IF($E131="","",INDEX('Input Transaksi'!$A:$A,$E131))</f>
        <v/>
      </c>
      <c r="B131" s="5">
        <f>IF($E131="","",INDEX('Input Transaksi'!$D:$D,$E131))</f>
        <v/>
      </c>
      <c r="C131">
        <f>IF($E131="","",INDEX('Input Transaksi'!$E:$E,$E131))</f>
        <v/>
      </c>
      <c r="D131" s="5">
        <f>IF($E131="","",INDEX('Input Transaksi'!$F:$F,$E131))</f>
        <v/>
      </c>
      <c r="E131">
        <f>IFERROR(AGGREGATE(15,6,ROW('Input Transaksi'!$B$5:$B$5000)/('Input Transaksi'!$B$5:$B$5000="RINJANI WASH"),ROWS($E$5:E131)),"")</f>
        <v/>
      </c>
      <c r="F131" s="5" t="n"/>
    </row>
    <row r="132">
      <c r="A132" s="10">
        <f>IF($E132="","",INDEX('Input Transaksi'!$A:$A,$E132))</f>
        <v/>
      </c>
      <c r="B132" s="5">
        <f>IF($E132="","",INDEX('Input Transaksi'!$D:$D,$E132))</f>
        <v/>
      </c>
      <c r="C132">
        <f>IF($E132="","",INDEX('Input Transaksi'!$E:$E,$E132))</f>
        <v/>
      </c>
      <c r="D132" s="5">
        <f>IF($E132="","",INDEX('Input Transaksi'!$F:$F,$E132))</f>
        <v/>
      </c>
      <c r="E132">
        <f>IFERROR(AGGREGATE(15,6,ROW('Input Transaksi'!$B$5:$B$5000)/('Input Transaksi'!$B$5:$B$5000="RINJANI WASH"),ROWS($E$5:E132)),"")</f>
        <v/>
      </c>
      <c r="F132" s="5" t="n"/>
    </row>
    <row r="133">
      <c r="A133" s="10">
        <f>IF($E133="","",INDEX('Input Transaksi'!$A:$A,$E133))</f>
        <v/>
      </c>
      <c r="B133" s="5">
        <f>IF($E133="","",INDEX('Input Transaksi'!$D:$D,$E133))</f>
        <v/>
      </c>
      <c r="C133">
        <f>IF($E133="","",INDEX('Input Transaksi'!$E:$E,$E133))</f>
        <v/>
      </c>
      <c r="D133" s="5">
        <f>IF($E133="","",INDEX('Input Transaksi'!$F:$F,$E133))</f>
        <v/>
      </c>
      <c r="E133">
        <f>IFERROR(AGGREGATE(15,6,ROW('Input Transaksi'!$B$5:$B$5000)/('Input Transaksi'!$B$5:$B$5000="RINJANI WASH"),ROWS($E$5:E133)),"")</f>
        <v/>
      </c>
      <c r="F133" s="5" t="n"/>
    </row>
    <row r="134">
      <c r="A134" s="10">
        <f>IF($E134="","",INDEX('Input Transaksi'!$A:$A,$E134))</f>
        <v/>
      </c>
      <c r="B134" s="5">
        <f>IF($E134="","",INDEX('Input Transaksi'!$D:$D,$E134))</f>
        <v/>
      </c>
      <c r="C134">
        <f>IF($E134="","",INDEX('Input Transaksi'!$E:$E,$E134))</f>
        <v/>
      </c>
      <c r="D134" s="5">
        <f>IF($E134="","",INDEX('Input Transaksi'!$F:$F,$E134))</f>
        <v/>
      </c>
      <c r="E134">
        <f>IFERROR(AGGREGATE(15,6,ROW('Input Transaksi'!$B$5:$B$5000)/('Input Transaksi'!$B$5:$B$5000="RINJANI WASH"),ROWS($E$5:E134)),"")</f>
        <v/>
      </c>
      <c r="F134" s="5" t="n"/>
    </row>
    <row r="135">
      <c r="A135" s="10">
        <f>IF($E135="","",INDEX('Input Transaksi'!$A:$A,$E135))</f>
        <v/>
      </c>
      <c r="B135" s="5">
        <f>IF($E135="","",INDEX('Input Transaksi'!$D:$D,$E135))</f>
        <v/>
      </c>
      <c r="C135">
        <f>IF($E135="","",INDEX('Input Transaksi'!$E:$E,$E135))</f>
        <v/>
      </c>
      <c r="D135" s="5">
        <f>IF($E135="","",INDEX('Input Transaksi'!$F:$F,$E135))</f>
        <v/>
      </c>
      <c r="E135">
        <f>IFERROR(AGGREGATE(15,6,ROW('Input Transaksi'!$B$5:$B$5000)/('Input Transaksi'!$B$5:$B$5000="RINJANI WASH"),ROWS($E$5:E135)),"")</f>
        <v/>
      </c>
      <c r="F135" s="5" t="n"/>
    </row>
    <row r="136">
      <c r="A136" s="10">
        <f>IF($E136="","",INDEX('Input Transaksi'!$A:$A,$E136))</f>
        <v/>
      </c>
      <c r="B136" s="5">
        <f>IF($E136="","",INDEX('Input Transaksi'!$D:$D,$E136))</f>
        <v/>
      </c>
      <c r="C136">
        <f>IF($E136="","",INDEX('Input Transaksi'!$E:$E,$E136))</f>
        <v/>
      </c>
      <c r="D136" s="5">
        <f>IF($E136="","",INDEX('Input Transaksi'!$F:$F,$E136))</f>
        <v/>
      </c>
      <c r="E136">
        <f>IFERROR(AGGREGATE(15,6,ROW('Input Transaksi'!$B$5:$B$5000)/('Input Transaksi'!$B$5:$B$5000="RINJANI WASH"),ROWS($E$5:E136)),"")</f>
        <v/>
      </c>
      <c r="F136" s="5" t="n"/>
    </row>
    <row r="137">
      <c r="A137" s="10">
        <f>IF($E137="","",INDEX('Input Transaksi'!$A:$A,$E137))</f>
        <v/>
      </c>
      <c r="B137" s="5">
        <f>IF($E137="","",INDEX('Input Transaksi'!$D:$D,$E137))</f>
        <v/>
      </c>
      <c r="C137">
        <f>IF($E137="","",INDEX('Input Transaksi'!$E:$E,$E137))</f>
        <v/>
      </c>
      <c r="D137" s="5">
        <f>IF($E137="","",INDEX('Input Transaksi'!$F:$F,$E137))</f>
        <v/>
      </c>
      <c r="E137">
        <f>IFERROR(AGGREGATE(15,6,ROW('Input Transaksi'!$B$5:$B$5000)/('Input Transaksi'!$B$5:$B$5000="RINJANI WASH"),ROWS($E$5:E137)),"")</f>
        <v/>
      </c>
      <c r="F137" s="5" t="n"/>
    </row>
    <row r="138">
      <c r="A138" s="10">
        <f>IF($E138="","",INDEX('Input Transaksi'!$A:$A,$E138))</f>
        <v/>
      </c>
      <c r="B138" s="5">
        <f>IF($E138="","",INDEX('Input Transaksi'!$D:$D,$E138))</f>
        <v/>
      </c>
      <c r="C138">
        <f>IF($E138="","",INDEX('Input Transaksi'!$E:$E,$E138))</f>
        <v/>
      </c>
      <c r="D138" s="5">
        <f>IF($E138="","",INDEX('Input Transaksi'!$F:$F,$E138))</f>
        <v/>
      </c>
      <c r="E138">
        <f>IFERROR(AGGREGATE(15,6,ROW('Input Transaksi'!$B$5:$B$5000)/('Input Transaksi'!$B$5:$B$5000="RINJANI WASH"),ROWS($E$5:E138)),"")</f>
        <v/>
      </c>
      <c r="F138" s="5" t="n"/>
    </row>
    <row r="139">
      <c r="A139" s="10">
        <f>IF($E139="","",INDEX('Input Transaksi'!$A:$A,$E139))</f>
        <v/>
      </c>
      <c r="B139" s="5">
        <f>IF($E139="","",INDEX('Input Transaksi'!$D:$D,$E139))</f>
        <v/>
      </c>
      <c r="C139">
        <f>IF($E139="","",INDEX('Input Transaksi'!$E:$E,$E139))</f>
        <v/>
      </c>
      <c r="D139" s="5">
        <f>IF($E139="","",INDEX('Input Transaksi'!$F:$F,$E139))</f>
        <v/>
      </c>
      <c r="E139">
        <f>IFERROR(AGGREGATE(15,6,ROW('Input Transaksi'!$B$5:$B$5000)/('Input Transaksi'!$B$5:$B$5000="RINJANI WASH"),ROWS($E$5:E139)),"")</f>
        <v/>
      </c>
      <c r="F139" s="5" t="n"/>
    </row>
    <row r="140">
      <c r="A140" s="10">
        <f>IF($E140="","",INDEX('Input Transaksi'!$A:$A,$E140))</f>
        <v/>
      </c>
      <c r="B140" s="5">
        <f>IF($E140="","",INDEX('Input Transaksi'!$D:$D,$E140))</f>
        <v/>
      </c>
      <c r="C140">
        <f>IF($E140="","",INDEX('Input Transaksi'!$E:$E,$E140))</f>
        <v/>
      </c>
      <c r="D140" s="5">
        <f>IF($E140="","",INDEX('Input Transaksi'!$F:$F,$E140))</f>
        <v/>
      </c>
      <c r="E140">
        <f>IFERROR(AGGREGATE(15,6,ROW('Input Transaksi'!$B$5:$B$5000)/('Input Transaksi'!$B$5:$B$5000="RINJANI WASH"),ROWS($E$5:E140)),"")</f>
        <v/>
      </c>
      <c r="F140" s="5" t="n"/>
    </row>
    <row r="141">
      <c r="A141" s="10">
        <f>IF($E141="","",INDEX('Input Transaksi'!$A:$A,$E141))</f>
        <v/>
      </c>
      <c r="B141" s="5">
        <f>IF($E141="","",INDEX('Input Transaksi'!$D:$D,$E141))</f>
        <v/>
      </c>
      <c r="C141">
        <f>IF($E141="","",INDEX('Input Transaksi'!$E:$E,$E141))</f>
        <v/>
      </c>
      <c r="D141" s="5">
        <f>IF($E141="","",INDEX('Input Transaksi'!$F:$F,$E141))</f>
        <v/>
      </c>
      <c r="E141">
        <f>IFERROR(AGGREGATE(15,6,ROW('Input Transaksi'!$B$5:$B$5000)/('Input Transaksi'!$B$5:$B$5000="RINJANI WASH"),ROWS($E$5:E141)),"")</f>
        <v/>
      </c>
      <c r="F141" s="5" t="n"/>
    </row>
    <row r="142">
      <c r="A142" s="10">
        <f>IF($E142="","",INDEX('Input Transaksi'!$A:$A,$E142))</f>
        <v/>
      </c>
      <c r="B142" s="5">
        <f>IF($E142="","",INDEX('Input Transaksi'!$D:$D,$E142))</f>
        <v/>
      </c>
      <c r="C142">
        <f>IF($E142="","",INDEX('Input Transaksi'!$E:$E,$E142))</f>
        <v/>
      </c>
      <c r="D142" s="5">
        <f>IF($E142="","",INDEX('Input Transaksi'!$F:$F,$E142))</f>
        <v/>
      </c>
      <c r="E142">
        <f>IFERROR(AGGREGATE(15,6,ROW('Input Transaksi'!$B$5:$B$5000)/('Input Transaksi'!$B$5:$B$5000="RINJANI WASH"),ROWS($E$5:E142)),"")</f>
        <v/>
      </c>
      <c r="F142" s="5" t="n"/>
    </row>
    <row r="143">
      <c r="A143" s="10">
        <f>IF($E143="","",INDEX('Input Transaksi'!$A:$A,$E143))</f>
        <v/>
      </c>
      <c r="B143" s="5">
        <f>IF($E143="","",INDEX('Input Transaksi'!$D:$D,$E143))</f>
        <v/>
      </c>
      <c r="C143">
        <f>IF($E143="","",INDEX('Input Transaksi'!$E:$E,$E143))</f>
        <v/>
      </c>
      <c r="D143" s="5">
        <f>IF($E143="","",INDEX('Input Transaksi'!$F:$F,$E143))</f>
        <v/>
      </c>
      <c r="E143">
        <f>IFERROR(AGGREGATE(15,6,ROW('Input Transaksi'!$B$5:$B$5000)/('Input Transaksi'!$B$5:$B$5000="RINJANI WASH"),ROWS($E$5:E143)),"")</f>
        <v/>
      </c>
      <c r="F143" s="5" t="n"/>
    </row>
    <row r="144">
      <c r="A144" s="10">
        <f>IF($E144="","",INDEX('Input Transaksi'!$A:$A,$E144))</f>
        <v/>
      </c>
      <c r="B144" s="5">
        <f>IF($E144="","",INDEX('Input Transaksi'!$D:$D,$E144))</f>
        <v/>
      </c>
      <c r="C144">
        <f>IF($E144="","",INDEX('Input Transaksi'!$E:$E,$E144))</f>
        <v/>
      </c>
      <c r="D144" s="5">
        <f>IF($E144="","",INDEX('Input Transaksi'!$F:$F,$E144))</f>
        <v/>
      </c>
      <c r="E144">
        <f>IFERROR(AGGREGATE(15,6,ROW('Input Transaksi'!$B$5:$B$5000)/('Input Transaksi'!$B$5:$B$5000="RINJANI WASH"),ROWS($E$5:E144)),"")</f>
        <v/>
      </c>
      <c r="F144" s="5" t="n"/>
    </row>
    <row r="145">
      <c r="A145" s="10">
        <f>IF($E145="","",INDEX('Input Transaksi'!$A:$A,$E145))</f>
        <v/>
      </c>
      <c r="B145" s="5">
        <f>IF($E145="","",INDEX('Input Transaksi'!$D:$D,$E145))</f>
        <v/>
      </c>
      <c r="C145">
        <f>IF($E145="","",INDEX('Input Transaksi'!$E:$E,$E145))</f>
        <v/>
      </c>
      <c r="D145" s="5">
        <f>IF($E145="","",INDEX('Input Transaksi'!$F:$F,$E145))</f>
        <v/>
      </c>
      <c r="E145">
        <f>IFERROR(AGGREGATE(15,6,ROW('Input Transaksi'!$B$5:$B$5000)/('Input Transaksi'!$B$5:$B$5000="RINJANI WASH"),ROWS($E$5:E145)),"")</f>
        <v/>
      </c>
      <c r="F145" s="5" t="n"/>
    </row>
    <row r="146">
      <c r="A146" s="10">
        <f>IF($E146="","",INDEX('Input Transaksi'!$A:$A,$E146))</f>
        <v/>
      </c>
      <c r="B146" s="5">
        <f>IF($E146="","",INDEX('Input Transaksi'!$D:$D,$E146))</f>
        <v/>
      </c>
      <c r="C146">
        <f>IF($E146="","",INDEX('Input Transaksi'!$E:$E,$E146))</f>
        <v/>
      </c>
      <c r="D146" s="5">
        <f>IF($E146="","",INDEX('Input Transaksi'!$F:$F,$E146))</f>
        <v/>
      </c>
      <c r="E146">
        <f>IFERROR(AGGREGATE(15,6,ROW('Input Transaksi'!$B$5:$B$5000)/('Input Transaksi'!$B$5:$B$5000="RINJANI WASH"),ROWS($E$5:E146)),"")</f>
        <v/>
      </c>
      <c r="F146" s="5" t="n"/>
    </row>
    <row r="147">
      <c r="A147" s="10">
        <f>IF($E147="","",INDEX('Input Transaksi'!$A:$A,$E147))</f>
        <v/>
      </c>
      <c r="B147" s="5">
        <f>IF($E147="","",INDEX('Input Transaksi'!$D:$D,$E147))</f>
        <v/>
      </c>
      <c r="C147">
        <f>IF($E147="","",INDEX('Input Transaksi'!$E:$E,$E147))</f>
        <v/>
      </c>
      <c r="D147" s="5">
        <f>IF($E147="","",INDEX('Input Transaksi'!$F:$F,$E147))</f>
        <v/>
      </c>
      <c r="E147">
        <f>IFERROR(AGGREGATE(15,6,ROW('Input Transaksi'!$B$5:$B$5000)/('Input Transaksi'!$B$5:$B$5000="RINJANI WASH"),ROWS($E$5:E147)),"")</f>
        <v/>
      </c>
      <c r="F147" s="5" t="n"/>
    </row>
    <row r="148">
      <c r="A148" s="10">
        <f>IF($E148="","",INDEX('Input Transaksi'!$A:$A,$E148))</f>
        <v/>
      </c>
      <c r="B148" s="5">
        <f>IF($E148="","",INDEX('Input Transaksi'!$D:$D,$E148))</f>
        <v/>
      </c>
      <c r="C148">
        <f>IF($E148="","",INDEX('Input Transaksi'!$E:$E,$E148))</f>
        <v/>
      </c>
      <c r="D148" s="5">
        <f>IF($E148="","",INDEX('Input Transaksi'!$F:$F,$E148))</f>
        <v/>
      </c>
      <c r="E148">
        <f>IFERROR(AGGREGATE(15,6,ROW('Input Transaksi'!$B$5:$B$5000)/('Input Transaksi'!$B$5:$B$5000="RINJANI WASH"),ROWS($E$5:E148)),"")</f>
        <v/>
      </c>
      <c r="F148" s="5" t="n"/>
    </row>
    <row r="149">
      <c r="A149" s="10">
        <f>IF($E149="","",INDEX('Input Transaksi'!$A:$A,$E149))</f>
        <v/>
      </c>
      <c r="B149" s="5">
        <f>IF($E149="","",INDEX('Input Transaksi'!$D:$D,$E149))</f>
        <v/>
      </c>
      <c r="C149">
        <f>IF($E149="","",INDEX('Input Transaksi'!$E:$E,$E149))</f>
        <v/>
      </c>
      <c r="D149" s="5">
        <f>IF($E149="","",INDEX('Input Transaksi'!$F:$F,$E149))</f>
        <v/>
      </c>
      <c r="E149">
        <f>IFERROR(AGGREGATE(15,6,ROW('Input Transaksi'!$B$5:$B$5000)/('Input Transaksi'!$B$5:$B$5000="RINJANI WASH"),ROWS($E$5:E149)),"")</f>
        <v/>
      </c>
      <c r="F149" s="5" t="n"/>
    </row>
    <row r="150">
      <c r="A150" s="10">
        <f>IF($E150="","",INDEX('Input Transaksi'!$A:$A,$E150))</f>
        <v/>
      </c>
      <c r="B150" s="5">
        <f>IF($E150="","",INDEX('Input Transaksi'!$D:$D,$E150))</f>
        <v/>
      </c>
      <c r="C150">
        <f>IF($E150="","",INDEX('Input Transaksi'!$E:$E,$E150))</f>
        <v/>
      </c>
      <c r="D150" s="5">
        <f>IF($E150="","",INDEX('Input Transaksi'!$F:$F,$E150))</f>
        <v/>
      </c>
      <c r="E150">
        <f>IFERROR(AGGREGATE(15,6,ROW('Input Transaksi'!$B$5:$B$5000)/('Input Transaksi'!$B$5:$B$5000="RINJANI WASH"),ROWS($E$5:E150)),"")</f>
        <v/>
      </c>
      <c r="F150" s="5" t="n"/>
    </row>
    <row r="151">
      <c r="A151" s="10">
        <f>IF($E151="","",INDEX('Input Transaksi'!$A:$A,$E151))</f>
        <v/>
      </c>
      <c r="B151" s="5">
        <f>IF($E151="","",INDEX('Input Transaksi'!$D:$D,$E151))</f>
        <v/>
      </c>
      <c r="C151">
        <f>IF($E151="","",INDEX('Input Transaksi'!$E:$E,$E151))</f>
        <v/>
      </c>
      <c r="D151" s="5">
        <f>IF($E151="","",INDEX('Input Transaksi'!$F:$F,$E151))</f>
        <v/>
      </c>
      <c r="E151">
        <f>IFERROR(AGGREGATE(15,6,ROW('Input Transaksi'!$B$5:$B$5000)/('Input Transaksi'!$B$5:$B$5000="RINJANI WASH"),ROWS($E$5:E151)),"")</f>
        <v/>
      </c>
      <c r="F151" s="5" t="n"/>
    </row>
    <row r="152">
      <c r="A152" s="10">
        <f>IF($E152="","",INDEX('Input Transaksi'!$A:$A,$E152))</f>
        <v/>
      </c>
      <c r="B152" s="5">
        <f>IF($E152="","",INDEX('Input Transaksi'!$D:$D,$E152))</f>
        <v/>
      </c>
      <c r="C152">
        <f>IF($E152="","",INDEX('Input Transaksi'!$E:$E,$E152))</f>
        <v/>
      </c>
      <c r="D152" s="5">
        <f>IF($E152="","",INDEX('Input Transaksi'!$F:$F,$E152))</f>
        <v/>
      </c>
      <c r="E152">
        <f>IFERROR(AGGREGATE(15,6,ROW('Input Transaksi'!$B$5:$B$5000)/('Input Transaksi'!$B$5:$B$5000="RINJANI WASH"),ROWS($E$5:E152)),"")</f>
        <v/>
      </c>
      <c r="F152" s="5" t="n"/>
    </row>
    <row r="153">
      <c r="A153" s="10">
        <f>IF($E153="","",INDEX('Input Transaksi'!$A:$A,$E153))</f>
        <v/>
      </c>
      <c r="B153" s="5">
        <f>IF($E153="","",INDEX('Input Transaksi'!$D:$D,$E153))</f>
        <v/>
      </c>
      <c r="C153">
        <f>IF($E153="","",INDEX('Input Transaksi'!$E:$E,$E153))</f>
        <v/>
      </c>
      <c r="D153" s="5">
        <f>IF($E153="","",INDEX('Input Transaksi'!$F:$F,$E153))</f>
        <v/>
      </c>
      <c r="E153">
        <f>IFERROR(AGGREGATE(15,6,ROW('Input Transaksi'!$B$5:$B$5000)/('Input Transaksi'!$B$5:$B$5000="RINJANI WASH"),ROWS($E$5:E153)),"")</f>
        <v/>
      </c>
      <c r="F153" s="5" t="n"/>
    </row>
    <row r="154">
      <c r="A154" s="10">
        <f>IF($E154="","",INDEX('Input Transaksi'!$A:$A,$E154))</f>
        <v/>
      </c>
      <c r="B154" s="5">
        <f>IF($E154="","",INDEX('Input Transaksi'!$D:$D,$E154))</f>
        <v/>
      </c>
      <c r="C154">
        <f>IF($E154="","",INDEX('Input Transaksi'!$E:$E,$E154))</f>
        <v/>
      </c>
      <c r="D154" s="5">
        <f>IF($E154="","",INDEX('Input Transaksi'!$F:$F,$E154))</f>
        <v/>
      </c>
      <c r="E154">
        <f>IFERROR(AGGREGATE(15,6,ROW('Input Transaksi'!$B$5:$B$5000)/('Input Transaksi'!$B$5:$B$5000="RINJANI WASH"),ROWS($E$5:E154)),"")</f>
        <v/>
      </c>
      <c r="F154" s="5" t="n"/>
    </row>
    <row r="155">
      <c r="A155" s="10">
        <f>IF($E155="","",INDEX('Input Transaksi'!$A:$A,$E155))</f>
        <v/>
      </c>
      <c r="B155" s="5">
        <f>IF($E155="","",INDEX('Input Transaksi'!$D:$D,$E155))</f>
        <v/>
      </c>
      <c r="C155">
        <f>IF($E155="","",INDEX('Input Transaksi'!$E:$E,$E155))</f>
        <v/>
      </c>
      <c r="D155" s="5">
        <f>IF($E155="","",INDEX('Input Transaksi'!$F:$F,$E155))</f>
        <v/>
      </c>
      <c r="E155">
        <f>IFERROR(AGGREGATE(15,6,ROW('Input Transaksi'!$B$5:$B$5000)/('Input Transaksi'!$B$5:$B$5000="RINJANI WASH"),ROWS($E$5:E155)),"")</f>
        <v/>
      </c>
      <c r="F155" s="5" t="n"/>
    </row>
    <row r="156">
      <c r="A156" s="10">
        <f>IF($E156="","",INDEX('Input Transaksi'!$A:$A,$E156))</f>
        <v/>
      </c>
      <c r="B156" s="5">
        <f>IF($E156="","",INDEX('Input Transaksi'!$D:$D,$E156))</f>
        <v/>
      </c>
      <c r="C156">
        <f>IF($E156="","",INDEX('Input Transaksi'!$E:$E,$E156))</f>
        <v/>
      </c>
      <c r="D156" s="5">
        <f>IF($E156="","",INDEX('Input Transaksi'!$F:$F,$E156))</f>
        <v/>
      </c>
      <c r="E156">
        <f>IFERROR(AGGREGATE(15,6,ROW('Input Transaksi'!$B$5:$B$5000)/('Input Transaksi'!$B$5:$B$5000="RINJANI WASH"),ROWS($E$5:E156)),"")</f>
        <v/>
      </c>
      <c r="F156" s="5" t="n"/>
    </row>
    <row r="157">
      <c r="A157" s="10">
        <f>IF($E157="","",INDEX('Input Transaksi'!$A:$A,$E157))</f>
        <v/>
      </c>
      <c r="B157" s="5">
        <f>IF($E157="","",INDEX('Input Transaksi'!$D:$D,$E157))</f>
        <v/>
      </c>
      <c r="C157">
        <f>IF($E157="","",INDEX('Input Transaksi'!$E:$E,$E157))</f>
        <v/>
      </c>
      <c r="D157" s="5">
        <f>IF($E157="","",INDEX('Input Transaksi'!$F:$F,$E157))</f>
        <v/>
      </c>
      <c r="E157">
        <f>IFERROR(AGGREGATE(15,6,ROW('Input Transaksi'!$B$5:$B$5000)/('Input Transaksi'!$B$5:$B$5000="RINJANI WASH"),ROWS($E$5:E157)),"")</f>
        <v/>
      </c>
      <c r="F157" s="5" t="n"/>
    </row>
    <row r="158">
      <c r="A158" s="10">
        <f>IF($E158="","",INDEX('Input Transaksi'!$A:$A,$E158))</f>
        <v/>
      </c>
      <c r="B158" s="5">
        <f>IF($E158="","",INDEX('Input Transaksi'!$D:$D,$E158))</f>
        <v/>
      </c>
      <c r="C158">
        <f>IF($E158="","",INDEX('Input Transaksi'!$E:$E,$E158))</f>
        <v/>
      </c>
      <c r="D158" s="5">
        <f>IF($E158="","",INDEX('Input Transaksi'!$F:$F,$E158))</f>
        <v/>
      </c>
      <c r="E158">
        <f>IFERROR(AGGREGATE(15,6,ROW('Input Transaksi'!$B$5:$B$5000)/('Input Transaksi'!$B$5:$B$5000="RINJANI WASH"),ROWS($E$5:E158)),"")</f>
        <v/>
      </c>
      <c r="F158" s="5" t="n"/>
    </row>
    <row r="159">
      <c r="A159" s="10">
        <f>IF($E159="","",INDEX('Input Transaksi'!$A:$A,$E159))</f>
        <v/>
      </c>
      <c r="B159" s="5">
        <f>IF($E159="","",INDEX('Input Transaksi'!$D:$D,$E159))</f>
        <v/>
      </c>
      <c r="C159">
        <f>IF($E159="","",INDEX('Input Transaksi'!$E:$E,$E159))</f>
        <v/>
      </c>
      <c r="D159" s="5">
        <f>IF($E159="","",INDEX('Input Transaksi'!$F:$F,$E159))</f>
        <v/>
      </c>
      <c r="E159">
        <f>IFERROR(AGGREGATE(15,6,ROW('Input Transaksi'!$B$5:$B$5000)/('Input Transaksi'!$B$5:$B$5000="RINJANI WASH"),ROWS($E$5:E159)),"")</f>
        <v/>
      </c>
      <c r="F159" s="5" t="n"/>
    </row>
    <row r="160">
      <c r="A160" s="10">
        <f>IF($E160="","",INDEX('Input Transaksi'!$A:$A,$E160))</f>
        <v/>
      </c>
      <c r="B160" s="5">
        <f>IF($E160="","",INDEX('Input Transaksi'!$D:$D,$E160))</f>
        <v/>
      </c>
      <c r="C160">
        <f>IF($E160="","",INDEX('Input Transaksi'!$E:$E,$E160))</f>
        <v/>
      </c>
      <c r="D160" s="5">
        <f>IF($E160="","",INDEX('Input Transaksi'!$F:$F,$E160))</f>
        <v/>
      </c>
      <c r="E160">
        <f>IFERROR(AGGREGATE(15,6,ROW('Input Transaksi'!$B$5:$B$5000)/('Input Transaksi'!$B$5:$B$5000="RINJANI WASH"),ROWS($E$5:E160)),"")</f>
        <v/>
      </c>
      <c r="F160" s="5" t="n"/>
    </row>
    <row r="161">
      <c r="A161" s="10">
        <f>IF($E161="","",INDEX('Input Transaksi'!$A:$A,$E161))</f>
        <v/>
      </c>
      <c r="B161" s="5">
        <f>IF($E161="","",INDEX('Input Transaksi'!$D:$D,$E161))</f>
        <v/>
      </c>
      <c r="C161">
        <f>IF($E161="","",INDEX('Input Transaksi'!$E:$E,$E161))</f>
        <v/>
      </c>
      <c r="D161" s="5">
        <f>IF($E161="","",INDEX('Input Transaksi'!$F:$F,$E161))</f>
        <v/>
      </c>
      <c r="E161">
        <f>IFERROR(AGGREGATE(15,6,ROW('Input Transaksi'!$B$5:$B$5000)/('Input Transaksi'!$B$5:$B$5000="RINJANI WASH"),ROWS($E$5:E161)),"")</f>
        <v/>
      </c>
      <c r="F161" s="5" t="n"/>
    </row>
    <row r="162">
      <c r="A162" s="10">
        <f>IF($E162="","",INDEX('Input Transaksi'!$A:$A,$E162))</f>
        <v/>
      </c>
      <c r="B162" s="5">
        <f>IF($E162="","",INDEX('Input Transaksi'!$D:$D,$E162))</f>
        <v/>
      </c>
      <c r="C162">
        <f>IF($E162="","",INDEX('Input Transaksi'!$E:$E,$E162))</f>
        <v/>
      </c>
      <c r="D162" s="5">
        <f>IF($E162="","",INDEX('Input Transaksi'!$F:$F,$E162))</f>
        <v/>
      </c>
      <c r="E162">
        <f>IFERROR(AGGREGATE(15,6,ROW('Input Transaksi'!$B$5:$B$5000)/('Input Transaksi'!$B$5:$B$5000="RINJANI WASH"),ROWS($E$5:E162)),"")</f>
        <v/>
      </c>
      <c r="F162" s="5" t="n"/>
    </row>
    <row r="163">
      <c r="A163" s="10">
        <f>IF($E163="","",INDEX('Input Transaksi'!$A:$A,$E163))</f>
        <v/>
      </c>
      <c r="B163" s="5">
        <f>IF($E163="","",INDEX('Input Transaksi'!$D:$D,$E163))</f>
        <v/>
      </c>
      <c r="C163">
        <f>IF($E163="","",INDEX('Input Transaksi'!$E:$E,$E163))</f>
        <v/>
      </c>
      <c r="D163" s="5">
        <f>IF($E163="","",INDEX('Input Transaksi'!$F:$F,$E163))</f>
        <v/>
      </c>
      <c r="E163">
        <f>IFERROR(AGGREGATE(15,6,ROW('Input Transaksi'!$B$5:$B$5000)/('Input Transaksi'!$B$5:$B$5000="RINJANI WASH"),ROWS($E$5:E163)),"")</f>
        <v/>
      </c>
      <c r="F163" s="5" t="n"/>
    </row>
    <row r="164">
      <c r="A164" s="10">
        <f>IF($E164="","",INDEX('Input Transaksi'!$A:$A,$E164))</f>
        <v/>
      </c>
      <c r="B164" s="5">
        <f>IF($E164="","",INDEX('Input Transaksi'!$D:$D,$E164))</f>
        <v/>
      </c>
      <c r="C164">
        <f>IF($E164="","",INDEX('Input Transaksi'!$E:$E,$E164))</f>
        <v/>
      </c>
      <c r="D164" s="5">
        <f>IF($E164="","",INDEX('Input Transaksi'!$F:$F,$E164))</f>
        <v/>
      </c>
      <c r="E164">
        <f>IFERROR(AGGREGATE(15,6,ROW('Input Transaksi'!$B$5:$B$5000)/('Input Transaksi'!$B$5:$B$5000="RINJANI WASH"),ROWS($E$5:E164)),"")</f>
        <v/>
      </c>
      <c r="F164" s="5" t="n"/>
    </row>
    <row r="165">
      <c r="A165" s="10">
        <f>IF($E165="","",INDEX('Input Transaksi'!$A:$A,$E165))</f>
        <v/>
      </c>
      <c r="B165" s="5">
        <f>IF($E165="","",INDEX('Input Transaksi'!$D:$D,$E165))</f>
        <v/>
      </c>
      <c r="C165">
        <f>IF($E165="","",INDEX('Input Transaksi'!$E:$E,$E165))</f>
        <v/>
      </c>
      <c r="D165" s="5">
        <f>IF($E165="","",INDEX('Input Transaksi'!$F:$F,$E165))</f>
        <v/>
      </c>
      <c r="E165">
        <f>IFERROR(AGGREGATE(15,6,ROW('Input Transaksi'!$B$5:$B$5000)/('Input Transaksi'!$B$5:$B$5000="RINJANI WASH"),ROWS($E$5:E165)),"")</f>
        <v/>
      </c>
      <c r="F165" s="5" t="n"/>
    </row>
    <row r="166">
      <c r="A166" s="10">
        <f>IF($E166="","",INDEX('Input Transaksi'!$A:$A,$E166))</f>
        <v/>
      </c>
      <c r="B166" s="5">
        <f>IF($E166="","",INDEX('Input Transaksi'!$D:$D,$E166))</f>
        <v/>
      </c>
      <c r="C166">
        <f>IF($E166="","",INDEX('Input Transaksi'!$E:$E,$E166))</f>
        <v/>
      </c>
      <c r="D166" s="5">
        <f>IF($E166="","",INDEX('Input Transaksi'!$F:$F,$E166))</f>
        <v/>
      </c>
      <c r="E166">
        <f>IFERROR(AGGREGATE(15,6,ROW('Input Transaksi'!$B$5:$B$5000)/('Input Transaksi'!$B$5:$B$5000="RINJANI WASH"),ROWS($E$5:E166)),"")</f>
        <v/>
      </c>
      <c r="F166" s="5" t="n"/>
    </row>
    <row r="167">
      <c r="A167" s="10">
        <f>IF($E167="","",INDEX('Input Transaksi'!$A:$A,$E167))</f>
        <v/>
      </c>
      <c r="B167" s="5">
        <f>IF($E167="","",INDEX('Input Transaksi'!$D:$D,$E167))</f>
        <v/>
      </c>
      <c r="C167">
        <f>IF($E167="","",INDEX('Input Transaksi'!$E:$E,$E167))</f>
        <v/>
      </c>
      <c r="D167" s="5">
        <f>IF($E167="","",INDEX('Input Transaksi'!$F:$F,$E167))</f>
        <v/>
      </c>
      <c r="E167">
        <f>IFERROR(AGGREGATE(15,6,ROW('Input Transaksi'!$B$5:$B$5000)/('Input Transaksi'!$B$5:$B$5000="RINJANI WASH"),ROWS($E$5:E167)),"")</f>
        <v/>
      </c>
      <c r="F167" s="5" t="n"/>
    </row>
    <row r="168">
      <c r="A168" s="10">
        <f>IF($E168="","",INDEX('Input Transaksi'!$A:$A,$E168))</f>
        <v/>
      </c>
      <c r="B168" s="5">
        <f>IF($E168="","",INDEX('Input Transaksi'!$D:$D,$E168))</f>
        <v/>
      </c>
      <c r="C168">
        <f>IF($E168="","",INDEX('Input Transaksi'!$E:$E,$E168))</f>
        <v/>
      </c>
      <c r="D168" s="5">
        <f>IF($E168="","",INDEX('Input Transaksi'!$F:$F,$E168))</f>
        <v/>
      </c>
      <c r="E168">
        <f>IFERROR(AGGREGATE(15,6,ROW('Input Transaksi'!$B$5:$B$5000)/('Input Transaksi'!$B$5:$B$5000="RINJANI WASH"),ROWS($E$5:E168)),"")</f>
        <v/>
      </c>
      <c r="F168" s="5" t="n"/>
    </row>
    <row r="169">
      <c r="A169" s="10">
        <f>IF($E169="","",INDEX('Input Transaksi'!$A:$A,$E169))</f>
        <v/>
      </c>
      <c r="B169" s="5">
        <f>IF($E169="","",INDEX('Input Transaksi'!$D:$D,$E169))</f>
        <v/>
      </c>
      <c r="C169">
        <f>IF($E169="","",INDEX('Input Transaksi'!$E:$E,$E169))</f>
        <v/>
      </c>
      <c r="D169" s="5">
        <f>IF($E169="","",INDEX('Input Transaksi'!$F:$F,$E169))</f>
        <v/>
      </c>
      <c r="E169">
        <f>IFERROR(AGGREGATE(15,6,ROW('Input Transaksi'!$B$5:$B$5000)/('Input Transaksi'!$B$5:$B$5000="RINJANI WASH"),ROWS($E$5:E169)),"")</f>
        <v/>
      </c>
      <c r="F169" s="5" t="n"/>
    </row>
    <row r="170">
      <c r="A170" s="10">
        <f>IF($E170="","",INDEX('Input Transaksi'!$A:$A,$E170))</f>
        <v/>
      </c>
      <c r="B170" s="5">
        <f>IF($E170="","",INDEX('Input Transaksi'!$D:$D,$E170))</f>
        <v/>
      </c>
      <c r="C170">
        <f>IF($E170="","",INDEX('Input Transaksi'!$E:$E,$E170))</f>
        <v/>
      </c>
      <c r="D170" s="5">
        <f>IF($E170="","",INDEX('Input Transaksi'!$F:$F,$E170))</f>
        <v/>
      </c>
      <c r="E170">
        <f>IFERROR(AGGREGATE(15,6,ROW('Input Transaksi'!$B$5:$B$5000)/('Input Transaksi'!$B$5:$B$5000="RINJANI WASH"),ROWS($E$5:E170)),"")</f>
        <v/>
      </c>
      <c r="F170" s="5" t="n"/>
    </row>
    <row r="171">
      <c r="A171" s="10">
        <f>IF($E171="","",INDEX('Input Transaksi'!$A:$A,$E171))</f>
        <v/>
      </c>
      <c r="B171" s="5">
        <f>IF($E171="","",INDEX('Input Transaksi'!$D:$D,$E171))</f>
        <v/>
      </c>
      <c r="C171">
        <f>IF($E171="","",INDEX('Input Transaksi'!$E:$E,$E171))</f>
        <v/>
      </c>
      <c r="D171" s="5">
        <f>IF($E171="","",INDEX('Input Transaksi'!$F:$F,$E171))</f>
        <v/>
      </c>
      <c r="E171">
        <f>IFERROR(AGGREGATE(15,6,ROW('Input Transaksi'!$B$5:$B$5000)/('Input Transaksi'!$B$5:$B$5000="RINJANI WASH"),ROWS($E$5:E171)),"")</f>
        <v/>
      </c>
      <c r="F171" s="5" t="n"/>
    </row>
    <row r="172">
      <c r="A172" s="10">
        <f>IF($E172="","",INDEX('Input Transaksi'!$A:$A,$E172))</f>
        <v/>
      </c>
      <c r="B172" s="5">
        <f>IF($E172="","",INDEX('Input Transaksi'!$D:$D,$E172))</f>
        <v/>
      </c>
      <c r="C172">
        <f>IF($E172="","",INDEX('Input Transaksi'!$E:$E,$E172))</f>
        <v/>
      </c>
      <c r="D172" s="5">
        <f>IF($E172="","",INDEX('Input Transaksi'!$F:$F,$E172))</f>
        <v/>
      </c>
      <c r="E172">
        <f>IFERROR(AGGREGATE(15,6,ROW('Input Transaksi'!$B$5:$B$5000)/('Input Transaksi'!$B$5:$B$5000="RINJANI WASH"),ROWS($E$5:E172)),"")</f>
        <v/>
      </c>
      <c r="F172" s="5" t="n"/>
    </row>
    <row r="173">
      <c r="A173" s="10">
        <f>IF($E173="","",INDEX('Input Transaksi'!$A:$A,$E173))</f>
        <v/>
      </c>
      <c r="B173" s="5">
        <f>IF($E173="","",INDEX('Input Transaksi'!$D:$D,$E173))</f>
        <v/>
      </c>
      <c r="C173">
        <f>IF($E173="","",INDEX('Input Transaksi'!$E:$E,$E173))</f>
        <v/>
      </c>
      <c r="D173" s="5">
        <f>IF($E173="","",INDEX('Input Transaksi'!$F:$F,$E173))</f>
        <v/>
      </c>
      <c r="E173">
        <f>IFERROR(AGGREGATE(15,6,ROW('Input Transaksi'!$B$5:$B$5000)/('Input Transaksi'!$B$5:$B$5000="RINJANI WASH"),ROWS($E$5:E173)),"")</f>
        <v/>
      </c>
      <c r="F173" s="5" t="n"/>
    </row>
    <row r="174">
      <c r="A174" s="10">
        <f>IF($E174="","",INDEX('Input Transaksi'!$A:$A,$E174))</f>
        <v/>
      </c>
      <c r="B174" s="5">
        <f>IF($E174="","",INDEX('Input Transaksi'!$D:$D,$E174))</f>
        <v/>
      </c>
      <c r="C174">
        <f>IF($E174="","",INDEX('Input Transaksi'!$E:$E,$E174))</f>
        <v/>
      </c>
      <c r="D174" s="5">
        <f>IF($E174="","",INDEX('Input Transaksi'!$F:$F,$E174))</f>
        <v/>
      </c>
      <c r="E174">
        <f>IFERROR(AGGREGATE(15,6,ROW('Input Transaksi'!$B$5:$B$5000)/('Input Transaksi'!$B$5:$B$5000="RINJANI WASH"),ROWS($E$5:E174)),"")</f>
        <v/>
      </c>
      <c r="F174" s="5" t="n"/>
    </row>
    <row r="175">
      <c r="A175" s="10">
        <f>IF($E175="","",INDEX('Input Transaksi'!$A:$A,$E175))</f>
        <v/>
      </c>
      <c r="B175" s="5">
        <f>IF($E175="","",INDEX('Input Transaksi'!$D:$D,$E175))</f>
        <v/>
      </c>
      <c r="C175">
        <f>IF($E175="","",INDEX('Input Transaksi'!$E:$E,$E175))</f>
        <v/>
      </c>
      <c r="D175" s="5">
        <f>IF($E175="","",INDEX('Input Transaksi'!$F:$F,$E175))</f>
        <v/>
      </c>
      <c r="E175">
        <f>IFERROR(AGGREGATE(15,6,ROW('Input Transaksi'!$B$5:$B$5000)/('Input Transaksi'!$B$5:$B$5000="RINJANI WASH"),ROWS($E$5:E175)),"")</f>
        <v/>
      </c>
      <c r="F175" s="5" t="n"/>
    </row>
    <row r="176">
      <c r="A176" s="10">
        <f>IF($E176="","",INDEX('Input Transaksi'!$A:$A,$E176))</f>
        <v/>
      </c>
      <c r="B176" s="5">
        <f>IF($E176="","",INDEX('Input Transaksi'!$D:$D,$E176))</f>
        <v/>
      </c>
      <c r="C176">
        <f>IF($E176="","",INDEX('Input Transaksi'!$E:$E,$E176))</f>
        <v/>
      </c>
      <c r="D176" s="5">
        <f>IF($E176="","",INDEX('Input Transaksi'!$F:$F,$E176))</f>
        <v/>
      </c>
      <c r="E176">
        <f>IFERROR(AGGREGATE(15,6,ROW('Input Transaksi'!$B$5:$B$5000)/('Input Transaksi'!$B$5:$B$5000="RINJANI WASH"),ROWS($E$5:E176)),"")</f>
        <v/>
      </c>
      <c r="F176" s="5" t="n"/>
    </row>
    <row r="177">
      <c r="A177" s="10">
        <f>IF($E177="","",INDEX('Input Transaksi'!$A:$A,$E177))</f>
        <v/>
      </c>
      <c r="B177" s="5">
        <f>IF($E177="","",INDEX('Input Transaksi'!$D:$D,$E177))</f>
        <v/>
      </c>
      <c r="C177">
        <f>IF($E177="","",INDEX('Input Transaksi'!$E:$E,$E177))</f>
        <v/>
      </c>
      <c r="D177" s="5">
        <f>IF($E177="","",INDEX('Input Transaksi'!$F:$F,$E177))</f>
        <v/>
      </c>
      <c r="E177">
        <f>IFERROR(AGGREGATE(15,6,ROW('Input Transaksi'!$B$5:$B$5000)/('Input Transaksi'!$B$5:$B$5000="RINJANI WASH"),ROWS($E$5:E177)),"")</f>
        <v/>
      </c>
      <c r="F177" s="5" t="n"/>
    </row>
    <row r="178">
      <c r="A178" s="10">
        <f>IF($E178="","",INDEX('Input Transaksi'!$A:$A,$E178))</f>
        <v/>
      </c>
      <c r="B178" s="5">
        <f>IF($E178="","",INDEX('Input Transaksi'!$D:$D,$E178))</f>
        <v/>
      </c>
      <c r="C178">
        <f>IF($E178="","",INDEX('Input Transaksi'!$E:$E,$E178))</f>
        <v/>
      </c>
      <c r="D178" s="5">
        <f>IF($E178="","",INDEX('Input Transaksi'!$F:$F,$E178))</f>
        <v/>
      </c>
      <c r="E178">
        <f>IFERROR(AGGREGATE(15,6,ROW('Input Transaksi'!$B$5:$B$5000)/('Input Transaksi'!$B$5:$B$5000="RINJANI WASH"),ROWS($E$5:E178)),"")</f>
        <v/>
      </c>
      <c r="F178" s="5" t="n"/>
    </row>
    <row r="179">
      <c r="A179" s="10">
        <f>IF($E179="","",INDEX('Input Transaksi'!$A:$A,$E179))</f>
        <v/>
      </c>
      <c r="B179" s="5">
        <f>IF($E179="","",INDEX('Input Transaksi'!$D:$D,$E179))</f>
        <v/>
      </c>
      <c r="C179">
        <f>IF($E179="","",INDEX('Input Transaksi'!$E:$E,$E179))</f>
        <v/>
      </c>
      <c r="D179" s="5">
        <f>IF($E179="","",INDEX('Input Transaksi'!$F:$F,$E179))</f>
        <v/>
      </c>
      <c r="E179">
        <f>IFERROR(AGGREGATE(15,6,ROW('Input Transaksi'!$B$5:$B$5000)/('Input Transaksi'!$B$5:$B$5000="RINJANI WASH"),ROWS($E$5:E179)),"")</f>
        <v/>
      </c>
      <c r="F179" s="5" t="n"/>
    </row>
    <row r="180">
      <c r="A180" s="10">
        <f>IF($E180="","",INDEX('Input Transaksi'!$A:$A,$E180))</f>
        <v/>
      </c>
      <c r="B180" s="5">
        <f>IF($E180="","",INDEX('Input Transaksi'!$D:$D,$E180))</f>
        <v/>
      </c>
      <c r="C180">
        <f>IF($E180="","",INDEX('Input Transaksi'!$E:$E,$E180))</f>
        <v/>
      </c>
      <c r="D180" s="5">
        <f>IF($E180="","",INDEX('Input Transaksi'!$F:$F,$E180))</f>
        <v/>
      </c>
      <c r="E180">
        <f>IFERROR(AGGREGATE(15,6,ROW('Input Transaksi'!$B$5:$B$5000)/('Input Transaksi'!$B$5:$B$5000="RINJANI WASH"),ROWS($E$5:E180)),"")</f>
        <v/>
      </c>
      <c r="F180" s="5" t="n"/>
    </row>
    <row r="181">
      <c r="A181" s="10">
        <f>IF($E181="","",INDEX('Input Transaksi'!$A:$A,$E181))</f>
        <v/>
      </c>
      <c r="B181" s="5">
        <f>IF($E181="","",INDEX('Input Transaksi'!$D:$D,$E181))</f>
        <v/>
      </c>
      <c r="C181">
        <f>IF($E181="","",INDEX('Input Transaksi'!$E:$E,$E181))</f>
        <v/>
      </c>
      <c r="D181" s="5">
        <f>IF($E181="","",INDEX('Input Transaksi'!$F:$F,$E181))</f>
        <v/>
      </c>
      <c r="E181">
        <f>IFERROR(AGGREGATE(15,6,ROW('Input Transaksi'!$B$5:$B$5000)/('Input Transaksi'!$B$5:$B$5000="RINJANI WASH"),ROWS($E$5:E181)),"")</f>
        <v/>
      </c>
      <c r="F181" s="5" t="n"/>
    </row>
    <row r="182">
      <c r="A182" s="10">
        <f>IF($E182="","",INDEX('Input Transaksi'!$A:$A,$E182))</f>
        <v/>
      </c>
      <c r="B182" s="5">
        <f>IF($E182="","",INDEX('Input Transaksi'!$D:$D,$E182))</f>
        <v/>
      </c>
      <c r="C182">
        <f>IF($E182="","",INDEX('Input Transaksi'!$E:$E,$E182))</f>
        <v/>
      </c>
      <c r="D182" s="5">
        <f>IF($E182="","",INDEX('Input Transaksi'!$F:$F,$E182))</f>
        <v/>
      </c>
      <c r="E182">
        <f>IFERROR(AGGREGATE(15,6,ROW('Input Transaksi'!$B$5:$B$5000)/('Input Transaksi'!$B$5:$B$5000="RINJANI WASH"),ROWS($E$5:E182)),"")</f>
        <v/>
      </c>
      <c r="F182" s="5" t="n"/>
    </row>
    <row r="183">
      <c r="A183" s="10">
        <f>IF($E183="","",INDEX('Input Transaksi'!$A:$A,$E183))</f>
        <v/>
      </c>
      <c r="B183" s="5">
        <f>IF($E183="","",INDEX('Input Transaksi'!$D:$D,$E183))</f>
        <v/>
      </c>
      <c r="C183">
        <f>IF($E183="","",INDEX('Input Transaksi'!$E:$E,$E183))</f>
        <v/>
      </c>
      <c r="D183" s="5">
        <f>IF($E183="","",INDEX('Input Transaksi'!$F:$F,$E183))</f>
        <v/>
      </c>
      <c r="E183">
        <f>IFERROR(AGGREGATE(15,6,ROW('Input Transaksi'!$B$5:$B$5000)/('Input Transaksi'!$B$5:$B$5000="RINJANI WASH"),ROWS($E$5:E183)),"")</f>
        <v/>
      </c>
      <c r="F183" s="5" t="n"/>
    </row>
    <row r="184">
      <c r="A184" s="10">
        <f>IF($E184="","",INDEX('Input Transaksi'!$A:$A,$E184))</f>
        <v/>
      </c>
      <c r="B184" s="5">
        <f>IF($E184="","",INDEX('Input Transaksi'!$D:$D,$E184))</f>
        <v/>
      </c>
      <c r="C184">
        <f>IF($E184="","",INDEX('Input Transaksi'!$E:$E,$E184))</f>
        <v/>
      </c>
      <c r="D184" s="5">
        <f>IF($E184="","",INDEX('Input Transaksi'!$F:$F,$E184))</f>
        <v/>
      </c>
      <c r="E184">
        <f>IFERROR(AGGREGATE(15,6,ROW('Input Transaksi'!$B$5:$B$5000)/('Input Transaksi'!$B$5:$B$5000="RINJANI WASH"),ROWS($E$5:E184)),"")</f>
        <v/>
      </c>
      <c r="F184" s="5" t="n"/>
    </row>
    <row r="185">
      <c r="A185" s="10">
        <f>IF($E185="","",INDEX('Input Transaksi'!$A:$A,$E185))</f>
        <v/>
      </c>
      <c r="B185" s="5">
        <f>IF($E185="","",INDEX('Input Transaksi'!$D:$D,$E185))</f>
        <v/>
      </c>
      <c r="C185">
        <f>IF($E185="","",INDEX('Input Transaksi'!$E:$E,$E185))</f>
        <v/>
      </c>
      <c r="D185" s="5">
        <f>IF($E185="","",INDEX('Input Transaksi'!$F:$F,$E185))</f>
        <v/>
      </c>
      <c r="E185">
        <f>IFERROR(AGGREGATE(15,6,ROW('Input Transaksi'!$B$5:$B$5000)/('Input Transaksi'!$B$5:$B$5000="RINJANI WASH"),ROWS($E$5:E185)),"")</f>
        <v/>
      </c>
      <c r="F185" s="5" t="n"/>
    </row>
    <row r="186">
      <c r="A186" s="10">
        <f>IF($E186="","",INDEX('Input Transaksi'!$A:$A,$E186))</f>
        <v/>
      </c>
      <c r="B186" s="5">
        <f>IF($E186="","",INDEX('Input Transaksi'!$D:$D,$E186))</f>
        <v/>
      </c>
      <c r="C186">
        <f>IF($E186="","",INDEX('Input Transaksi'!$E:$E,$E186))</f>
        <v/>
      </c>
      <c r="D186" s="5">
        <f>IF($E186="","",INDEX('Input Transaksi'!$F:$F,$E186))</f>
        <v/>
      </c>
      <c r="E186">
        <f>IFERROR(AGGREGATE(15,6,ROW('Input Transaksi'!$B$5:$B$5000)/('Input Transaksi'!$B$5:$B$5000="RINJANI WASH"),ROWS($E$5:E186)),"")</f>
        <v/>
      </c>
      <c r="F186" s="5" t="n"/>
    </row>
    <row r="187">
      <c r="A187" s="10">
        <f>IF($E187="","",INDEX('Input Transaksi'!$A:$A,$E187))</f>
        <v/>
      </c>
      <c r="B187" s="5">
        <f>IF($E187="","",INDEX('Input Transaksi'!$D:$D,$E187))</f>
        <v/>
      </c>
      <c r="C187">
        <f>IF($E187="","",INDEX('Input Transaksi'!$E:$E,$E187))</f>
        <v/>
      </c>
      <c r="D187" s="5">
        <f>IF($E187="","",INDEX('Input Transaksi'!$F:$F,$E187))</f>
        <v/>
      </c>
      <c r="E187">
        <f>IFERROR(AGGREGATE(15,6,ROW('Input Transaksi'!$B$5:$B$5000)/('Input Transaksi'!$B$5:$B$5000="RINJANI WASH"),ROWS($E$5:E187)),"")</f>
        <v/>
      </c>
      <c r="F187" s="5" t="n"/>
    </row>
    <row r="188">
      <c r="A188" s="10">
        <f>IF($E188="","",INDEX('Input Transaksi'!$A:$A,$E188))</f>
        <v/>
      </c>
      <c r="B188" s="5">
        <f>IF($E188="","",INDEX('Input Transaksi'!$D:$D,$E188))</f>
        <v/>
      </c>
      <c r="C188">
        <f>IF($E188="","",INDEX('Input Transaksi'!$E:$E,$E188))</f>
        <v/>
      </c>
      <c r="D188" s="5">
        <f>IF($E188="","",INDEX('Input Transaksi'!$F:$F,$E188))</f>
        <v/>
      </c>
      <c r="E188">
        <f>IFERROR(AGGREGATE(15,6,ROW('Input Transaksi'!$B$5:$B$5000)/('Input Transaksi'!$B$5:$B$5000="RINJANI WASH"),ROWS($E$5:E188)),"")</f>
        <v/>
      </c>
      <c r="F188" s="5" t="n"/>
    </row>
    <row r="189">
      <c r="A189" s="10">
        <f>IF($E189="","",INDEX('Input Transaksi'!$A:$A,$E189))</f>
        <v/>
      </c>
      <c r="B189" s="5">
        <f>IF($E189="","",INDEX('Input Transaksi'!$D:$D,$E189))</f>
        <v/>
      </c>
      <c r="C189">
        <f>IF($E189="","",INDEX('Input Transaksi'!$E:$E,$E189))</f>
        <v/>
      </c>
      <c r="D189" s="5">
        <f>IF($E189="","",INDEX('Input Transaksi'!$F:$F,$E189))</f>
        <v/>
      </c>
      <c r="E189">
        <f>IFERROR(AGGREGATE(15,6,ROW('Input Transaksi'!$B$5:$B$5000)/('Input Transaksi'!$B$5:$B$5000="RINJANI WASH"),ROWS($E$5:E189)),"")</f>
        <v/>
      </c>
      <c r="F189" s="5" t="n"/>
    </row>
    <row r="190">
      <c r="A190" s="10">
        <f>IF($E190="","",INDEX('Input Transaksi'!$A:$A,$E190))</f>
        <v/>
      </c>
      <c r="B190" s="5">
        <f>IF($E190="","",INDEX('Input Transaksi'!$D:$D,$E190))</f>
        <v/>
      </c>
      <c r="C190">
        <f>IF($E190="","",INDEX('Input Transaksi'!$E:$E,$E190))</f>
        <v/>
      </c>
      <c r="D190" s="5">
        <f>IF($E190="","",INDEX('Input Transaksi'!$F:$F,$E190))</f>
        <v/>
      </c>
      <c r="E190">
        <f>IFERROR(AGGREGATE(15,6,ROW('Input Transaksi'!$B$5:$B$5000)/('Input Transaksi'!$B$5:$B$5000="RINJANI WASH"),ROWS($E$5:E190)),"")</f>
        <v/>
      </c>
      <c r="F190" s="5" t="n"/>
    </row>
    <row r="191">
      <c r="A191" s="10">
        <f>IF($E191="","",INDEX('Input Transaksi'!$A:$A,$E191))</f>
        <v/>
      </c>
      <c r="B191" s="5">
        <f>IF($E191="","",INDEX('Input Transaksi'!$D:$D,$E191))</f>
        <v/>
      </c>
      <c r="C191">
        <f>IF($E191="","",INDEX('Input Transaksi'!$E:$E,$E191))</f>
        <v/>
      </c>
      <c r="D191" s="5">
        <f>IF($E191="","",INDEX('Input Transaksi'!$F:$F,$E191))</f>
        <v/>
      </c>
      <c r="E191">
        <f>IFERROR(AGGREGATE(15,6,ROW('Input Transaksi'!$B$5:$B$5000)/('Input Transaksi'!$B$5:$B$5000="RINJANI WASH"),ROWS($E$5:E191)),"")</f>
        <v/>
      </c>
      <c r="F191" s="5" t="n"/>
    </row>
    <row r="192">
      <c r="A192" s="10">
        <f>IF($E192="","",INDEX('Input Transaksi'!$A:$A,$E192))</f>
        <v/>
      </c>
      <c r="B192" s="5">
        <f>IF($E192="","",INDEX('Input Transaksi'!$D:$D,$E192))</f>
        <v/>
      </c>
      <c r="C192">
        <f>IF($E192="","",INDEX('Input Transaksi'!$E:$E,$E192))</f>
        <v/>
      </c>
      <c r="D192" s="5">
        <f>IF($E192="","",INDEX('Input Transaksi'!$F:$F,$E192))</f>
        <v/>
      </c>
      <c r="E192">
        <f>IFERROR(AGGREGATE(15,6,ROW('Input Transaksi'!$B$5:$B$5000)/('Input Transaksi'!$B$5:$B$5000="RINJANI WASH"),ROWS($E$5:E192)),"")</f>
        <v/>
      </c>
      <c r="F192" s="5" t="n"/>
    </row>
    <row r="193">
      <c r="A193" s="10">
        <f>IF($E193="","",INDEX('Input Transaksi'!$A:$A,$E193))</f>
        <v/>
      </c>
      <c r="B193" s="5">
        <f>IF($E193="","",INDEX('Input Transaksi'!$D:$D,$E193))</f>
        <v/>
      </c>
      <c r="C193">
        <f>IF($E193="","",INDEX('Input Transaksi'!$E:$E,$E193))</f>
        <v/>
      </c>
      <c r="D193" s="5">
        <f>IF($E193="","",INDEX('Input Transaksi'!$F:$F,$E193))</f>
        <v/>
      </c>
      <c r="E193">
        <f>IFERROR(AGGREGATE(15,6,ROW('Input Transaksi'!$B$5:$B$5000)/('Input Transaksi'!$B$5:$B$5000="RINJANI WASH"),ROWS($E$5:E193)),"")</f>
        <v/>
      </c>
      <c r="F193" s="5" t="n"/>
    </row>
    <row r="194">
      <c r="A194" s="10">
        <f>IF($E194="","",INDEX('Input Transaksi'!$A:$A,$E194))</f>
        <v/>
      </c>
      <c r="B194" s="5">
        <f>IF($E194="","",INDEX('Input Transaksi'!$D:$D,$E194))</f>
        <v/>
      </c>
      <c r="C194">
        <f>IF($E194="","",INDEX('Input Transaksi'!$E:$E,$E194))</f>
        <v/>
      </c>
      <c r="D194" s="5">
        <f>IF($E194="","",INDEX('Input Transaksi'!$F:$F,$E194))</f>
        <v/>
      </c>
      <c r="E194">
        <f>IFERROR(AGGREGATE(15,6,ROW('Input Transaksi'!$B$5:$B$5000)/('Input Transaksi'!$B$5:$B$5000="RINJANI WASH"),ROWS($E$5:E194)),"")</f>
        <v/>
      </c>
      <c r="F194" s="5" t="n"/>
    </row>
    <row r="195">
      <c r="A195" s="10">
        <f>IF($E195="","",INDEX('Input Transaksi'!$A:$A,$E195))</f>
        <v/>
      </c>
      <c r="B195" s="5">
        <f>IF($E195="","",INDEX('Input Transaksi'!$D:$D,$E195))</f>
        <v/>
      </c>
      <c r="C195">
        <f>IF($E195="","",INDEX('Input Transaksi'!$E:$E,$E195))</f>
        <v/>
      </c>
      <c r="D195" s="5">
        <f>IF($E195="","",INDEX('Input Transaksi'!$F:$F,$E195))</f>
        <v/>
      </c>
      <c r="E195">
        <f>IFERROR(AGGREGATE(15,6,ROW('Input Transaksi'!$B$5:$B$5000)/('Input Transaksi'!$B$5:$B$5000="RINJANI WASH"),ROWS($E$5:E195)),"")</f>
        <v/>
      </c>
      <c r="F195" s="5" t="n"/>
    </row>
    <row r="196">
      <c r="A196" s="10">
        <f>IF($E196="","",INDEX('Input Transaksi'!$A:$A,$E196))</f>
        <v/>
      </c>
      <c r="B196" s="5">
        <f>IF($E196="","",INDEX('Input Transaksi'!$D:$D,$E196))</f>
        <v/>
      </c>
      <c r="C196">
        <f>IF($E196="","",INDEX('Input Transaksi'!$E:$E,$E196))</f>
        <v/>
      </c>
      <c r="D196" s="5">
        <f>IF($E196="","",INDEX('Input Transaksi'!$F:$F,$E196))</f>
        <v/>
      </c>
      <c r="E196">
        <f>IFERROR(AGGREGATE(15,6,ROW('Input Transaksi'!$B$5:$B$5000)/('Input Transaksi'!$B$5:$B$5000="RINJANI WASH"),ROWS($E$5:E196)),"")</f>
        <v/>
      </c>
      <c r="F196" s="5" t="n"/>
    </row>
    <row r="197">
      <c r="A197" s="10">
        <f>IF($E197="","",INDEX('Input Transaksi'!$A:$A,$E197))</f>
        <v/>
      </c>
      <c r="B197" s="5">
        <f>IF($E197="","",INDEX('Input Transaksi'!$D:$D,$E197))</f>
        <v/>
      </c>
      <c r="C197">
        <f>IF($E197="","",INDEX('Input Transaksi'!$E:$E,$E197))</f>
        <v/>
      </c>
      <c r="D197" s="5">
        <f>IF($E197="","",INDEX('Input Transaksi'!$F:$F,$E197))</f>
        <v/>
      </c>
      <c r="E197">
        <f>IFERROR(AGGREGATE(15,6,ROW('Input Transaksi'!$B$5:$B$5000)/('Input Transaksi'!$B$5:$B$5000="RINJANI WASH"),ROWS($E$5:E197)),"")</f>
        <v/>
      </c>
      <c r="F197" s="5" t="n"/>
    </row>
    <row r="198">
      <c r="A198" s="10">
        <f>IF($E198="","",INDEX('Input Transaksi'!$A:$A,$E198))</f>
        <v/>
      </c>
      <c r="B198" s="5">
        <f>IF($E198="","",INDEX('Input Transaksi'!$D:$D,$E198))</f>
        <v/>
      </c>
      <c r="C198">
        <f>IF($E198="","",INDEX('Input Transaksi'!$E:$E,$E198))</f>
        <v/>
      </c>
      <c r="D198" s="5">
        <f>IF($E198="","",INDEX('Input Transaksi'!$F:$F,$E198))</f>
        <v/>
      </c>
      <c r="E198">
        <f>IFERROR(AGGREGATE(15,6,ROW('Input Transaksi'!$B$5:$B$5000)/('Input Transaksi'!$B$5:$B$5000="RINJANI WASH"),ROWS($E$5:E198)),"")</f>
        <v/>
      </c>
      <c r="F198" s="5" t="n"/>
    </row>
    <row r="199">
      <c r="A199" s="10">
        <f>IF($E199="","",INDEX('Input Transaksi'!$A:$A,$E199))</f>
        <v/>
      </c>
      <c r="B199" s="5">
        <f>IF($E199="","",INDEX('Input Transaksi'!$D:$D,$E199))</f>
        <v/>
      </c>
      <c r="C199">
        <f>IF($E199="","",INDEX('Input Transaksi'!$E:$E,$E199))</f>
        <v/>
      </c>
      <c r="D199" s="5">
        <f>IF($E199="","",INDEX('Input Transaksi'!$F:$F,$E199))</f>
        <v/>
      </c>
      <c r="E199">
        <f>IFERROR(AGGREGATE(15,6,ROW('Input Transaksi'!$B$5:$B$5000)/('Input Transaksi'!$B$5:$B$5000="RINJANI WASH"),ROWS($E$5:E199)),"")</f>
        <v/>
      </c>
      <c r="F199" s="5" t="n"/>
    </row>
    <row r="200">
      <c r="A200" s="10">
        <f>IF($E200="","",INDEX('Input Transaksi'!$A:$A,$E200))</f>
        <v/>
      </c>
      <c r="B200" s="5">
        <f>IF($E200="","",INDEX('Input Transaksi'!$D:$D,$E200))</f>
        <v/>
      </c>
      <c r="C200">
        <f>IF($E200="","",INDEX('Input Transaksi'!$E:$E,$E200))</f>
        <v/>
      </c>
      <c r="D200" s="5">
        <f>IF($E200="","",INDEX('Input Transaksi'!$F:$F,$E200))</f>
        <v/>
      </c>
      <c r="E200">
        <f>IFERROR(AGGREGATE(15,6,ROW('Input Transaksi'!$B$5:$B$5000)/('Input Transaksi'!$B$5:$B$5000="RINJANI WASH"),ROWS($E$5:E200)),"")</f>
        <v/>
      </c>
      <c r="F200" s="5" t="n"/>
    </row>
    <row r="201">
      <c r="A201" s="10">
        <f>IF($E201="","",INDEX('Input Transaksi'!$A:$A,$E201))</f>
        <v/>
      </c>
      <c r="B201" s="5">
        <f>IF($E201="","",INDEX('Input Transaksi'!$D:$D,$E201))</f>
        <v/>
      </c>
      <c r="C201">
        <f>IF($E201="","",INDEX('Input Transaksi'!$E:$E,$E201))</f>
        <v/>
      </c>
      <c r="D201" s="5">
        <f>IF($E201="","",INDEX('Input Transaksi'!$F:$F,$E201))</f>
        <v/>
      </c>
      <c r="E201">
        <f>IFERROR(AGGREGATE(15,6,ROW('Input Transaksi'!$B$5:$B$5000)/('Input Transaksi'!$B$5:$B$5000="RINJANI WASH"),ROWS($E$5:E201)),"")</f>
        <v/>
      </c>
      <c r="F201" s="5" t="n"/>
    </row>
    <row r="202">
      <c r="A202" s="10">
        <f>IF($E202="","",INDEX('Input Transaksi'!$A:$A,$E202))</f>
        <v/>
      </c>
      <c r="B202" s="5">
        <f>IF($E202="","",INDEX('Input Transaksi'!$D:$D,$E202))</f>
        <v/>
      </c>
      <c r="C202">
        <f>IF($E202="","",INDEX('Input Transaksi'!$E:$E,$E202))</f>
        <v/>
      </c>
      <c r="D202" s="5">
        <f>IF($E202="","",INDEX('Input Transaksi'!$F:$F,$E202))</f>
        <v/>
      </c>
      <c r="E202">
        <f>IFERROR(AGGREGATE(15,6,ROW('Input Transaksi'!$B$5:$B$5000)/('Input Transaksi'!$B$5:$B$5000="RINJANI WASH"),ROWS($E$5:E202)),"")</f>
        <v/>
      </c>
      <c r="F202" s="5" t="n"/>
    </row>
    <row r="203">
      <c r="A203" s="10">
        <f>IF($E203="","",INDEX('Input Transaksi'!$A:$A,$E203))</f>
        <v/>
      </c>
      <c r="B203" s="5">
        <f>IF($E203="","",INDEX('Input Transaksi'!$D:$D,$E203))</f>
        <v/>
      </c>
      <c r="C203">
        <f>IF($E203="","",INDEX('Input Transaksi'!$E:$E,$E203))</f>
        <v/>
      </c>
      <c r="D203" s="5">
        <f>IF($E203="","",INDEX('Input Transaksi'!$F:$F,$E203))</f>
        <v/>
      </c>
      <c r="E203">
        <f>IFERROR(AGGREGATE(15,6,ROW('Input Transaksi'!$B$5:$B$5000)/('Input Transaksi'!$B$5:$B$5000="RINJANI WASH"),ROWS($E$5:E203)),"")</f>
        <v/>
      </c>
      <c r="F203" s="5" t="n"/>
    </row>
    <row r="204">
      <c r="A204" s="10">
        <f>IF($E204="","",INDEX('Input Transaksi'!$A:$A,$E204))</f>
        <v/>
      </c>
      <c r="B204" s="5">
        <f>IF($E204="","",INDEX('Input Transaksi'!$D:$D,$E204))</f>
        <v/>
      </c>
      <c r="C204">
        <f>IF($E204="","",INDEX('Input Transaksi'!$E:$E,$E204))</f>
        <v/>
      </c>
      <c r="D204" s="5">
        <f>IF($E204="","",INDEX('Input Transaksi'!$F:$F,$E204))</f>
        <v/>
      </c>
      <c r="E204">
        <f>IFERROR(AGGREGATE(15,6,ROW('Input Transaksi'!$B$5:$B$5000)/('Input Transaksi'!$B$5:$B$5000="RINJANI WASH"),ROWS($E$5:E204)),"")</f>
        <v/>
      </c>
      <c r="F204" s="5" t="n"/>
    </row>
    <row r="205">
      <c r="A205" s="10">
        <f>IF($E205="","",INDEX('Input Transaksi'!$A:$A,$E205))</f>
        <v/>
      </c>
      <c r="B205" s="5">
        <f>IF($E205="","",INDEX('Input Transaksi'!$D:$D,$E205))</f>
        <v/>
      </c>
      <c r="C205">
        <f>IF($E205="","",INDEX('Input Transaksi'!$E:$E,$E205))</f>
        <v/>
      </c>
      <c r="D205" s="5">
        <f>IF($E205="","",INDEX('Input Transaksi'!$F:$F,$E205))</f>
        <v/>
      </c>
      <c r="E205">
        <f>IFERROR(AGGREGATE(15,6,ROW('Input Transaksi'!$B$5:$B$5000)/('Input Transaksi'!$B$5:$B$5000="RINJANI WASH"),ROWS($E$5:E205)),"")</f>
        <v/>
      </c>
      <c r="F205" s="5" t="n"/>
    </row>
    <row r="206">
      <c r="A206" s="10">
        <f>IF($E206="","",INDEX('Input Transaksi'!$A:$A,$E206))</f>
        <v/>
      </c>
      <c r="B206" s="5">
        <f>IF($E206="","",INDEX('Input Transaksi'!$D:$D,$E206))</f>
        <v/>
      </c>
      <c r="C206">
        <f>IF($E206="","",INDEX('Input Transaksi'!$E:$E,$E206))</f>
        <v/>
      </c>
      <c r="D206" s="5">
        <f>IF($E206="","",INDEX('Input Transaksi'!$F:$F,$E206))</f>
        <v/>
      </c>
      <c r="E206">
        <f>IFERROR(AGGREGATE(15,6,ROW('Input Transaksi'!$B$5:$B$5000)/('Input Transaksi'!$B$5:$B$5000="RINJANI WASH"),ROWS($E$5:E206)),"")</f>
        <v/>
      </c>
      <c r="F206" s="5" t="n"/>
    </row>
    <row r="207">
      <c r="A207" s="10">
        <f>IF($E207="","",INDEX('Input Transaksi'!$A:$A,$E207))</f>
        <v/>
      </c>
      <c r="B207" s="5">
        <f>IF($E207="","",INDEX('Input Transaksi'!$D:$D,$E207))</f>
        <v/>
      </c>
      <c r="C207">
        <f>IF($E207="","",INDEX('Input Transaksi'!$E:$E,$E207))</f>
        <v/>
      </c>
      <c r="D207" s="5">
        <f>IF($E207="","",INDEX('Input Transaksi'!$F:$F,$E207))</f>
        <v/>
      </c>
      <c r="E207">
        <f>IFERROR(AGGREGATE(15,6,ROW('Input Transaksi'!$B$5:$B$5000)/('Input Transaksi'!$B$5:$B$5000="RINJANI WASH"),ROWS($E$5:E207)),"")</f>
        <v/>
      </c>
      <c r="F207" s="5" t="n"/>
    </row>
    <row r="208">
      <c r="A208" s="10">
        <f>IF($E208="","",INDEX('Input Transaksi'!$A:$A,$E208))</f>
        <v/>
      </c>
      <c r="B208" s="5">
        <f>IF($E208="","",INDEX('Input Transaksi'!$D:$D,$E208))</f>
        <v/>
      </c>
      <c r="C208">
        <f>IF($E208="","",INDEX('Input Transaksi'!$E:$E,$E208))</f>
        <v/>
      </c>
      <c r="D208" s="5">
        <f>IF($E208="","",INDEX('Input Transaksi'!$F:$F,$E208))</f>
        <v/>
      </c>
      <c r="E208">
        <f>IFERROR(AGGREGATE(15,6,ROW('Input Transaksi'!$B$5:$B$5000)/('Input Transaksi'!$B$5:$B$5000="RINJANI WASH"),ROWS($E$5:E208)),"")</f>
        <v/>
      </c>
      <c r="F208" s="5" t="n"/>
    </row>
    <row r="209">
      <c r="A209" s="10">
        <f>IF($E209="","",INDEX('Input Transaksi'!$A:$A,$E209))</f>
        <v/>
      </c>
      <c r="B209" s="5">
        <f>IF($E209="","",INDEX('Input Transaksi'!$D:$D,$E209))</f>
        <v/>
      </c>
      <c r="C209">
        <f>IF($E209="","",INDEX('Input Transaksi'!$E:$E,$E209))</f>
        <v/>
      </c>
      <c r="D209" s="5">
        <f>IF($E209="","",INDEX('Input Transaksi'!$F:$F,$E209))</f>
        <v/>
      </c>
      <c r="E209">
        <f>IFERROR(AGGREGATE(15,6,ROW('Input Transaksi'!$B$5:$B$5000)/('Input Transaksi'!$B$5:$B$5000="RINJANI WASH"),ROWS($E$5:E209)),"")</f>
        <v/>
      </c>
      <c r="F209" s="5" t="n"/>
    </row>
    <row r="210">
      <c r="A210" s="10">
        <f>IF($E210="","",INDEX('Input Transaksi'!$A:$A,$E210))</f>
        <v/>
      </c>
      <c r="B210" s="5">
        <f>IF($E210="","",INDEX('Input Transaksi'!$D:$D,$E210))</f>
        <v/>
      </c>
      <c r="C210">
        <f>IF($E210="","",INDEX('Input Transaksi'!$E:$E,$E210))</f>
        <v/>
      </c>
      <c r="D210" s="5">
        <f>IF($E210="","",INDEX('Input Transaksi'!$F:$F,$E210))</f>
        <v/>
      </c>
      <c r="E210">
        <f>IFERROR(AGGREGATE(15,6,ROW('Input Transaksi'!$B$5:$B$5000)/('Input Transaksi'!$B$5:$B$5000="RINJANI WASH"),ROWS($E$5:E210)),"")</f>
        <v/>
      </c>
      <c r="F210" s="5" t="n"/>
    </row>
    <row r="211">
      <c r="A211" s="10">
        <f>IF($E211="","",INDEX('Input Transaksi'!$A:$A,$E211))</f>
        <v/>
      </c>
      <c r="B211" s="5">
        <f>IF($E211="","",INDEX('Input Transaksi'!$D:$D,$E211))</f>
        <v/>
      </c>
      <c r="C211">
        <f>IF($E211="","",INDEX('Input Transaksi'!$E:$E,$E211))</f>
        <v/>
      </c>
      <c r="D211" s="5">
        <f>IF($E211="","",INDEX('Input Transaksi'!$F:$F,$E211))</f>
        <v/>
      </c>
      <c r="E211">
        <f>IFERROR(AGGREGATE(15,6,ROW('Input Transaksi'!$B$5:$B$5000)/('Input Transaksi'!$B$5:$B$5000="RINJANI WASH"),ROWS($E$5:E211)),"")</f>
        <v/>
      </c>
      <c r="F211" s="5" t="n"/>
    </row>
    <row r="212">
      <c r="A212" s="10">
        <f>IF($E212="","",INDEX('Input Transaksi'!$A:$A,$E212))</f>
        <v/>
      </c>
      <c r="B212" s="5">
        <f>IF($E212="","",INDEX('Input Transaksi'!$D:$D,$E212))</f>
        <v/>
      </c>
      <c r="C212">
        <f>IF($E212="","",INDEX('Input Transaksi'!$E:$E,$E212))</f>
        <v/>
      </c>
      <c r="D212" s="5">
        <f>IF($E212="","",INDEX('Input Transaksi'!$F:$F,$E212))</f>
        <v/>
      </c>
      <c r="E212">
        <f>IFERROR(AGGREGATE(15,6,ROW('Input Transaksi'!$B$5:$B$5000)/('Input Transaksi'!$B$5:$B$5000="RINJANI WASH"),ROWS($E$5:E212)),"")</f>
        <v/>
      </c>
      <c r="F212" s="5" t="n"/>
    </row>
    <row r="213">
      <c r="A213" s="10">
        <f>IF($E213="","",INDEX('Input Transaksi'!$A:$A,$E213))</f>
        <v/>
      </c>
      <c r="B213" s="5">
        <f>IF($E213="","",INDEX('Input Transaksi'!$D:$D,$E213))</f>
        <v/>
      </c>
      <c r="C213">
        <f>IF($E213="","",INDEX('Input Transaksi'!$E:$E,$E213))</f>
        <v/>
      </c>
      <c r="D213" s="5">
        <f>IF($E213="","",INDEX('Input Transaksi'!$F:$F,$E213))</f>
        <v/>
      </c>
      <c r="E213">
        <f>IFERROR(AGGREGATE(15,6,ROW('Input Transaksi'!$B$5:$B$5000)/('Input Transaksi'!$B$5:$B$5000="RINJANI WASH"),ROWS($E$5:E213)),"")</f>
        <v/>
      </c>
      <c r="F213" s="5" t="n"/>
    </row>
    <row r="214">
      <c r="A214" s="10">
        <f>IF($E214="","",INDEX('Input Transaksi'!$A:$A,$E214))</f>
        <v/>
      </c>
      <c r="B214" s="5">
        <f>IF($E214="","",INDEX('Input Transaksi'!$D:$D,$E214))</f>
        <v/>
      </c>
      <c r="C214">
        <f>IF($E214="","",INDEX('Input Transaksi'!$E:$E,$E214))</f>
        <v/>
      </c>
      <c r="D214" s="5">
        <f>IF($E214="","",INDEX('Input Transaksi'!$F:$F,$E214))</f>
        <v/>
      </c>
      <c r="E214">
        <f>IFERROR(AGGREGATE(15,6,ROW('Input Transaksi'!$B$5:$B$5000)/('Input Transaksi'!$B$5:$B$5000="RINJANI WASH"),ROWS($E$5:E214)),"")</f>
        <v/>
      </c>
      <c r="F214" s="5" t="n"/>
    </row>
    <row r="215">
      <c r="A215" s="10">
        <f>IF($E215="","",INDEX('Input Transaksi'!$A:$A,$E215))</f>
        <v/>
      </c>
      <c r="B215" s="5">
        <f>IF($E215="","",INDEX('Input Transaksi'!$D:$D,$E215))</f>
        <v/>
      </c>
      <c r="C215">
        <f>IF($E215="","",INDEX('Input Transaksi'!$E:$E,$E215))</f>
        <v/>
      </c>
      <c r="D215" s="5">
        <f>IF($E215="","",INDEX('Input Transaksi'!$F:$F,$E215))</f>
        <v/>
      </c>
      <c r="E215">
        <f>IFERROR(AGGREGATE(15,6,ROW('Input Transaksi'!$B$5:$B$5000)/('Input Transaksi'!$B$5:$B$5000="RINJANI WASH"),ROWS($E$5:E215)),"")</f>
        <v/>
      </c>
      <c r="F215" s="5" t="n"/>
    </row>
    <row r="216">
      <c r="A216" s="10">
        <f>IF($E216="","",INDEX('Input Transaksi'!$A:$A,$E216))</f>
        <v/>
      </c>
      <c r="B216" s="5">
        <f>IF($E216="","",INDEX('Input Transaksi'!$D:$D,$E216))</f>
        <v/>
      </c>
      <c r="C216">
        <f>IF($E216="","",INDEX('Input Transaksi'!$E:$E,$E216))</f>
        <v/>
      </c>
      <c r="D216" s="5">
        <f>IF($E216="","",INDEX('Input Transaksi'!$F:$F,$E216))</f>
        <v/>
      </c>
      <c r="E216">
        <f>IFERROR(AGGREGATE(15,6,ROW('Input Transaksi'!$B$5:$B$5000)/('Input Transaksi'!$B$5:$B$5000="RINJANI WASH"),ROWS($E$5:E216)),"")</f>
        <v/>
      </c>
      <c r="F216" s="5" t="n"/>
    </row>
    <row r="217">
      <c r="A217" s="10">
        <f>IF($E217="","",INDEX('Input Transaksi'!$A:$A,$E217))</f>
        <v/>
      </c>
      <c r="B217" s="5">
        <f>IF($E217="","",INDEX('Input Transaksi'!$D:$D,$E217))</f>
        <v/>
      </c>
      <c r="C217">
        <f>IF($E217="","",INDEX('Input Transaksi'!$E:$E,$E217))</f>
        <v/>
      </c>
      <c r="D217" s="5">
        <f>IF($E217="","",INDEX('Input Transaksi'!$F:$F,$E217))</f>
        <v/>
      </c>
      <c r="E217">
        <f>IFERROR(AGGREGATE(15,6,ROW('Input Transaksi'!$B$5:$B$5000)/('Input Transaksi'!$B$5:$B$5000="RINJANI WASH"),ROWS($E$5:E217)),"")</f>
        <v/>
      </c>
      <c r="F217" s="5" t="n"/>
    </row>
    <row r="218">
      <c r="A218" s="10">
        <f>IF($E218="","",INDEX('Input Transaksi'!$A:$A,$E218))</f>
        <v/>
      </c>
      <c r="B218" s="5">
        <f>IF($E218="","",INDEX('Input Transaksi'!$D:$D,$E218))</f>
        <v/>
      </c>
      <c r="C218">
        <f>IF($E218="","",INDEX('Input Transaksi'!$E:$E,$E218))</f>
        <v/>
      </c>
      <c r="D218" s="5">
        <f>IF($E218="","",INDEX('Input Transaksi'!$F:$F,$E218))</f>
        <v/>
      </c>
      <c r="E218">
        <f>IFERROR(AGGREGATE(15,6,ROW('Input Transaksi'!$B$5:$B$5000)/('Input Transaksi'!$B$5:$B$5000="RINJANI WASH"),ROWS($E$5:E218)),"")</f>
        <v/>
      </c>
      <c r="F218" s="5" t="n"/>
    </row>
    <row r="219">
      <c r="A219" s="10">
        <f>IF($E219="","",INDEX('Input Transaksi'!$A:$A,$E219))</f>
        <v/>
      </c>
      <c r="B219" s="5">
        <f>IF($E219="","",INDEX('Input Transaksi'!$D:$D,$E219))</f>
        <v/>
      </c>
      <c r="C219">
        <f>IF($E219="","",INDEX('Input Transaksi'!$E:$E,$E219))</f>
        <v/>
      </c>
      <c r="D219" s="5">
        <f>IF($E219="","",INDEX('Input Transaksi'!$F:$F,$E219))</f>
        <v/>
      </c>
      <c r="E219">
        <f>IFERROR(AGGREGATE(15,6,ROW('Input Transaksi'!$B$5:$B$5000)/('Input Transaksi'!$B$5:$B$5000="RINJANI WASH"),ROWS($E$5:E219)),"")</f>
        <v/>
      </c>
      <c r="F219" s="5" t="n"/>
    </row>
    <row r="220">
      <c r="A220" s="10">
        <f>IF($E220="","",INDEX('Input Transaksi'!$A:$A,$E220))</f>
        <v/>
      </c>
      <c r="B220" s="5">
        <f>IF($E220="","",INDEX('Input Transaksi'!$D:$D,$E220))</f>
        <v/>
      </c>
      <c r="C220">
        <f>IF($E220="","",INDEX('Input Transaksi'!$E:$E,$E220))</f>
        <v/>
      </c>
      <c r="D220" s="5">
        <f>IF($E220="","",INDEX('Input Transaksi'!$F:$F,$E220))</f>
        <v/>
      </c>
      <c r="E220">
        <f>IFERROR(AGGREGATE(15,6,ROW('Input Transaksi'!$B$5:$B$5000)/('Input Transaksi'!$B$5:$B$5000="RINJANI WASH"),ROWS($E$5:E220)),"")</f>
        <v/>
      </c>
      <c r="F220" s="5" t="n"/>
    </row>
    <row r="221">
      <c r="A221" s="10">
        <f>IF($E221="","",INDEX('Input Transaksi'!$A:$A,$E221))</f>
        <v/>
      </c>
      <c r="B221" s="5">
        <f>IF($E221="","",INDEX('Input Transaksi'!$D:$D,$E221))</f>
        <v/>
      </c>
      <c r="C221">
        <f>IF($E221="","",INDEX('Input Transaksi'!$E:$E,$E221))</f>
        <v/>
      </c>
      <c r="D221" s="5">
        <f>IF($E221="","",INDEX('Input Transaksi'!$F:$F,$E221))</f>
        <v/>
      </c>
      <c r="E221">
        <f>IFERROR(AGGREGATE(15,6,ROW('Input Transaksi'!$B$5:$B$5000)/('Input Transaksi'!$B$5:$B$5000="RINJANI WASH"),ROWS($E$5:E221)),"")</f>
        <v/>
      </c>
      <c r="F221" s="5" t="n"/>
    </row>
    <row r="222">
      <c r="A222" s="10">
        <f>IF($E222="","",INDEX('Input Transaksi'!$A:$A,$E222))</f>
        <v/>
      </c>
      <c r="B222" s="5">
        <f>IF($E222="","",INDEX('Input Transaksi'!$D:$D,$E222))</f>
        <v/>
      </c>
      <c r="C222">
        <f>IF($E222="","",INDEX('Input Transaksi'!$E:$E,$E222))</f>
        <v/>
      </c>
      <c r="D222" s="5">
        <f>IF($E222="","",INDEX('Input Transaksi'!$F:$F,$E222))</f>
        <v/>
      </c>
      <c r="E222">
        <f>IFERROR(AGGREGATE(15,6,ROW('Input Transaksi'!$B$5:$B$5000)/('Input Transaksi'!$B$5:$B$5000="RINJANI WASH"),ROWS($E$5:E222)),"")</f>
        <v/>
      </c>
      <c r="F222" s="5" t="n"/>
    </row>
    <row r="223">
      <c r="A223" s="10">
        <f>IF($E223="","",INDEX('Input Transaksi'!$A:$A,$E223))</f>
        <v/>
      </c>
      <c r="B223" s="5">
        <f>IF($E223="","",INDEX('Input Transaksi'!$D:$D,$E223))</f>
        <v/>
      </c>
      <c r="C223">
        <f>IF($E223="","",INDEX('Input Transaksi'!$E:$E,$E223))</f>
        <v/>
      </c>
      <c r="D223" s="5">
        <f>IF($E223="","",INDEX('Input Transaksi'!$F:$F,$E223))</f>
        <v/>
      </c>
      <c r="E223">
        <f>IFERROR(AGGREGATE(15,6,ROW('Input Transaksi'!$B$5:$B$5000)/('Input Transaksi'!$B$5:$B$5000="RINJANI WASH"),ROWS($E$5:E223)),"")</f>
        <v/>
      </c>
      <c r="F223" s="5" t="n"/>
    </row>
    <row r="224">
      <c r="A224" s="10">
        <f>IF($E224="","",INDEX('Input Transaksi'!$A:$A,$E224))</f>
        <v/>
      </c>
      <c r="B224" s="5">
        <f>IF($E224="","",INDEX('Input Transaksi'!$D:$D,$E224))</f>
        <v/>
      </c>
      <c r="C224">
        <f>IF($E224="","",INDEX('Input Transaksi'!$E:$E,$E224))</f>
        <v/>
      </c>
      <c r="D224" s="5">
        <f>IF($E224="","",INDEX('Input Transaksi'!$F:$F,$E224))</f>
        <v/>
      </c>
      <c r="E224">
        <f>IFERROR(AGGREGATE(15,6,ROW('Input Transaksi'!$B$5:$B$5000)/('Input Transaksi'!$B$5:$B$5000="RINJANI WASH"),ROWS($E$5:E224)),"")</f>
        <v/>
      </c>
      <c r="F224" s="5" t="n"/>
    </row>
    <row r="225">
      <c r="A225" s="10">
        <f>IF($E225="","",INDEX('Input Transaksi'!$A:$A,$E225))</f>
        <v/>
      </c>
      <c r="B225" s="5">
        <f>IF($E225="","",INDEX('Input Transaksi'!$D:$D,$E225))</f>
        <v/>
      </c>
      <c r="C225">
        <f>IF($E225="","",INDEX('Input Transaksi'!$E:$E,$E225))</f>
        <v/>
      </c>
      <c r="D225" s="5">
        <f>IF($E225="","",INDEX('Input Transaksi'!$F:$F,$E225))</f>
        <v/>
      </c>
      <c r="E225">
        <f>IFERROR(AGGREGATE(15,6,ROW('Input Transaksi'!$B$5:$B$5000)/('Input Transaksi'!$B$5:$B$5000="RINJANI WASH"),ROWS($E$5:E225)),"")</f>
        <v/>
      </c>
      <c r="F225" s="5" t="n"/>
    </row>
    <row r="226">
      <c r="A226" s="10">
        <f>IF($E226="","",INDEX('Input Transaksi'!$A:$A,$E226))</f>
        <v/>
      </c>
      <c r="B226" s="5">
        <f>IF($E226="","",INDEX('Input Transaksi'!$D:$D,$E226))</f>
        <v/>
      </c>
      <c r="C226">
        <f>IF($E226="","",INDEX('Input Transaksi'!$E:$E,$E226))</f>
        <v/>
      </c>
      <c r="D226" s="5">
        <f>IF($E226="","",INDEX('Input Transaksi'!$F:$F,$E226))</f>
        <v/>
      </c>
      <c r="E226">
        <f>IFERROR(AGGREGATE(15,6,ROW('Input Transaksi'!$B$5:$B$5000)/('Input Transaksi'!$B$5:$B$5000="RINJANI WASH"),ROWS($E$5:E226)),"")</f>
        <v/>
      </c>
      <c r="F226" s="5" t="n"/>
    </row>
    <row r="227">
      <c r="A227" s="10">
        <f>IF($E227="","",INDEX('Input Transaksi'!$A:$A,$E227))</f>
        <v/>
      </c>
      <c r="B227" s="5">
        <f>IF($E227="","",INDEX('Input Transaksi'!$D:$D,$E227))</f>
        <v/>
      </c>
      <c r="C227">
        <f>IF($E227="","",INDEX('Input Transaksi'!$E:$E,$E227))</f>
        <v/>
      </c>
      <c r="D227" s="5">
        <f>IF($E227="","",INDEX('Input Transaksi'!$F:$F,$E227))</f>
        <v/>
      </c>
      <c r="E227">
        <f>IFERROR(AGGREGATE(15,6,ROW('Input Transaksi'!$B$5:$B$5000)/('Input Transaksi'!$B$5:$B$5000="RINJANI WASH"),ROWS($E$5:E227)),"")</f>
        <v/>
      </c>
      <c r="F227" s="5" t="n"/>
    </row>
    <row r="228">
      <c r="A228" s="10">
        <f>IF($E228="","",INDEX('Input Transaksi'!$A:$A,$E228))</f>
        <v/>
      </c>
      <c r="B228" s="5">
        <f>IF($E228="","",INDEX('Input Transaksi'!$D:$D,$E228))</f>
        <v/>
      </c>
      <c r="C228">
        <f>IF($E228="","",INDEX('Input Transaksi'!$E:$E,$E228))</f>
        <v/>
      </c>
      <c r="D228" s="5">
        <f>IF($E228="","",INDEX('Input Transaksi'!$F:$F,$E228))</f>
        <v/>
      </c>
      <c r="E228">
        <f>IFERROR(AGGREGATE(15,6,ROW('Input Transaksi'!$B$5:$B$5000)/('Input Transaksi'!$B$5:$B$5000="RINJANI WASH"),ROWS($E$5:E228)),"")</f>
        <v/>
      </c>
      <c r="F228" s="5" t="n"/>
    </row>
    <row r="229">
      <c r="A229" s="10">
        <f>IF($E229="","",INDEX('Input Transaksi'!$A:$A,$E229))</f>
        <v/>
      </c>
      <c r="B229" s="5">
        <f>IF($E229="","",INDEX('Input Transaksi'!$D:$D,$E229))</f>
        <v/>
      </c>
      <c r="C229">
        <f>IF($E229="","",INDEX('Input Transaksi'!$E:$E,$E229))</f>
        <v/>
      </c>
      <c r="D229" s="5">
        <f>IF($E229="","",INDEX('Input Transaksi'!$F:$F,$E229))</f>
        <v/>
      </c>
      <c r="E229">
        <f>IFERROR(AGGREGATE(15,6,ROW('Input Transaksi'!$B$5:$B$5000)/('Input Transaksi'!$B$5:$B$5000="RINJANI WASH"),ROWS($E$5:E229)),"")</f>
        <v/>
      </c>
      <c r="F229" s="5" t="n"/>
    </row>
    <row r="230">
      <c r="A230" s="10">
        <f>IF($E230="","",INDEX('Input Transaksi'!$A:$A,$E230))</f>
        <v/>
      </c>
      <c r="B230" s="5">
        <f>IF($E230="","",INDEX('Input Transaksi'!$D:$D,$E230))</f>
        <v/>
      </c>
      <c r="C230">
        <f>IF($E230="","",INDEX('Input Transaksi'!$E:$E,$E230))</f>
        <v/>
      </c>
      <c r="D230" s="5">
        <f>IF($E230="","",INDEX('Input Transaksi'!$F:$F,$E230))</f>
        <v/>
      </c>
      <c r="E230">
        <f>IFERROR(AGGREGATE(15,6,ROW('Input Transaksi'!$B$5:$B$5000)/('Input Transaksi'!$B$5:$B$5000="RINJANI WASH"),ROWS($E$5:E230)),"")</f>
        <v/>
      </c>
      <c r="F230" s="5" t="n"/>
    </row>
    <row r="231">
      <c r="A231" s="10">
        <f>IF($E231="","",INDEX('Input Transaksi'!$A:$A,$E231))</f>
        <v/>
      </c>
      <c r="B231" s="5">
        <f>IF($E231="","",INDEX('Input Transaksi'!$D:$D,$E231))</f>
        <v/>
      </c>
      <c r="C231">
        <f>IF($E231="","",INDEX('Input Transaksi'!$E:$E,$E231))</f>
        <v/>
      </c>
      <c r="D231" s="5">
        <f>IF($E231="","",INDEX('Input Transaksi'!$F:$F,$E231))</f>
        <v/>
      </c>
      <c r="E231">
        <f>IFERROR(AGGREGATE(15,6,ROW('Input Transaksi'!$B$5:$B$5000)/('Input Transaksi'!$B$5:$B$5000="RINJANI WASH"),ROWS($E$5:E231)),"")</f>
        <v/>
      </c>
      <c r="F231" s="5" t="n"/>
    </row>
    <row r="232">
      <c r="A232" s="10">
        <f>IF($E232="","",INDEX('Input Transaksi'!$A:$A,$E232))</f>
        <v/>
      </c>
      <c r="B232" s="5">
        <f>IF($E232="","",INDEX('Input Transaksi'!$D:$D,$E232))</f>
        <v/>
      </c>
      <c r="C232">
        <f>IF($E232="","",INDEX('Input Transaksi'!$E:$E,$E232))</f>
        <v/>
      </c>
      <c r="D232" s="5">
        <f>IF($E232="","",INDEX('Input Transaksi'!$F:$F,$E232))</f>
        <v/>
      </c>
      <c r="E232">
        <f>IFERROR(AGGREGATE(15,6,ROW('Input Transaksi'!$B$5:$B$5000)/('Input Transaksi'!$B$5:$B$5000="RINJANI WASH"),ROWS($E$5:E232)),"")</f>
        <v/>
      </c>
      <c r="F232" s="5" t="n"/>
    </row>
    <row r="233">
      <c r="A233" s="10">
        <f>IF($E233="","",INDEX('Input Transaksi'!$A:$A,$E233))</f>
        <v/>
      </c>
      <c r="B233" s="5">
        <f>IF($E233="","",INDEX('Input Transaksi'!$D:$D,$E233))</f>
        <v/>
      </c>
      <c r="C233">
        <f>IF($E233="","",INDEX('Input Transaksi'!$E:$E,$E233))</f>
        <v/>
      </c>
      <c r="D233" s="5">
        <f>IF($E233="","",INDEX('Input Transaksi'!$F:$F,$E233))</f>
        <v/>
      </c>
      <c r="E233">
        <f>IFERROR(AGGREGATE(15,6,ROW('Input Transaksi'!$B$5:$B$5000)/('Input Transaksi'!$B$5:$B$5000="RINJANI WASH"),ROWS($E$5:E233)),"")</f>
        <v/>
      </c>
      <c r="F233" s="5" t="n"/>
    </row>
    <row r="234">
      <c r="A234" s="10">
        <f>IF($E234="","",INDEX('Input Transaksi'!$A:$A,$E234))</f>
        <v/>
      </c>
      <c r="B234" s="5">
        <f>IF($E234="","",INDEX('Input Transaksi'!$D:$D,$E234))</f>
        <v/>
      </c>
      <c r="C234">
        <f>IF($E234="","",INDEX('Input Transaksi'!$E:$E,$E234))</f>
        <v/>
      </c>
      <c r="D234" s="5">
        <f>IF($E234="","",INDEX('Input Transaksi'!$F:$F,$E234))</f>
        <v/>
      </c>
      <c r="E234">
        <f>IFERROR(AGGREGATE(15,6,ROW('Input Transaksi'!$B$5:$B$5000)/('Input Transaksi'!$B$5:$B$5000="RINJANI WASH"),ROWS($E$5:E234)),"")</f>
        <v/>
      </c>
      <c r="F234" s="5" t="n"/>
    </row>
    <row r="235">
      <c r="A235" s="10">
        <f>IF($E235="","",INDEX('Input Transaksi'!$A:$A,$E235))</f>
        <v/>
      </c>
      <c r="B235" s="5">
        <f>IF($E235="","",INDEX('Input Transaksi'!$D:$D,$E235))</f>
        <v/>
      </c>
      <c r="C235">
        <f>IF($E235="","",INDEX('Input Transaksi'!$E:$E,$E235))</f>
        <v/>
      </c>
      <c r="D235" s="5">
        <f>IF($E235="","",INDEX('Input Transaksi'!$F:$F,$E235))</f>
        <v/>
      </c>
      <c r="E235">
        <f>IFERROR(AGGREGATE(15,6,ROW('Input Transaksi'!$B$5:$B$5000)/('Input Transaksi'!$B$5:$B$5000="RINJANI WASH"),ROWS($E$5:E235)),"")</f>
        <v/>
      </c>
      <c r="F235" s="5" t="n"/>
    </row>
    <row r="236">
      <c r="A236" s="10">
        <f>IF($E236="","",INDEX('Input Transaksi'!$A:$A,$E236))</f>
        <v/>
      </c>
      <c r="B236" s="5">
        <f>IF($E236="","",INDEX('Input Transaksi'!$D:$D,$E236))</f>
        <v/>
      </c>
      <c r="C236">
        <f>IF($E236="","",INDEX('Input Transaksi'!$E:$E,$E236))</f>
        <v/>
      </c>
      <c r="D236" s="5">
        <f>IF($E236="","",INDEX('Input Transaksi'!$F:$F,$E236))</f>
        <v/>
      </c>
      <c r="E236">
        <f>IFERROR(AGGREGATE(15,6,ROW('Input Transaksi'!$B$5:$B$5000)/('Input Transaksi'!$B$5:$B$5000="RINJANI WASH"),ROWS($E$5:E236)),"")</f>
        <v/>
      </c>
      <c r="F236" s="5" t="n"/>
    </row>
    <row r="237">
      <c r="A237" s="10">
        <f>IF($E237="","",INDEX('Input Transaksi'!$A:$A,$E237))</f>
        <v/>
      </c>
      <c r="B237" s="5">
        <f>IF($E237="","",INDEX('Input Transaksi'!$D:$D,$E237))</f>
        <v/>
      </c>
      <c r="C237">
        <f>IF($E237="","",INDEX('Input Transaksi'!$E:$E,$E237))</f>
        <v/>
      </c>
      <c r="D237" s="5">
        <f>IF($E237="","",INDEX('Input Transaksi'!$F:$F,$E237))</f>
        <v/>
      </c>
      <c r="E237">
        <f>IFERROR(AGGREGATE(15,6,ROW('Input Transaksi'!$B$5:$B$5000)/('Input Transaksi'!$B$5:$B$5000="RINJANI WASH"),ROWS($E$5:E237)),"")</f>
        <v/>
      </c>
      <c r="F237" s="5" t="n"/>
    </row>
    <row r="238">
      <c r="A238" s="10">
        <f>IF($E238="","",INDEX('Input Transaksi'!$A:$A,$E238))</f>
        <v/>
      </c>
      <c r="B238" s="5">
        <f>IF($E238="","",INDEX('Input Transaksi'!$D:$D,$E238))</f>
        <v/>
      </c>
      <c r="C238">
        <f>IF($E238="","",INDEX('Input Transaksi'!$E:$E,$E238))</f>
        <v/>
      </c>
      <c r="D238" s="5">
        <f>IF($E238="","",INDEX('Input Transaksi'!$F:$F,$E238))</f>
        <v/>
      </c>
      <c r="E238">
        <f>IFERROR(AGGREGATE(15,6,ROW('Input Transaksi'!$B$5:$B$5000)/('Input Transaksi'!$B$5:$B$5000="RINJANI WASH"),ROWS($E$5:E238)),"")</f>
        <v/>
      </c>
      <c r="F238" s="5" t="n"/>
    </row>
    <row r="239">
      <c r="A239" s="10">
        <f>IF($E239="","",INDEX('Input Transaksi'!$A:$A,$E239))</f>
        <v/>
      </c>
      <c r="B239" s="5">
        <f>IF($E239="","",INDEX('Input Transaksi'!$D:$D,$E239))</f>
        <v/>
      </c>
      <c r="C239">
        <f>IF($E239="","",INDEX('Input Transaksi'!$E:$E,$E239))</f>
        <v/>
      </c>
      <c r="D239" s="5">
        <f>IF($E239="","",INDEX('Input Transaksi'!$F:$F,$E239))</f>
        <v/>
      </c>
      <c r="E239">
        <f>IFERROR(AGGREGATE(15,6,ROW('Input Transaksi'!$B$5:$B$5000)/('Input Transaksi'!$B$5:$B$5000="RINJANI WASH"),ROWS($E$5:E239)),"")</f>
        <v/>
      </c>
      <c r="F239" s="5" t="n"/>
    </row>
    <row r="240">
      <c r="A240" s="10">
        <f>IF($E240="","",INDEX('Input Transaksi'!$A:$A,$E240))</f>
        <v/>
      </c>
      <c r="B240" s="5">
        <f>IF($E240="","",INDEX('Input Transaksi'!$D:$D,$E240))</f>
        <v/>
      </c>
      <c r="C240">
        <f>IF($E240="","",INDEX('Input Transaksi'!$E:$E,$E240))</f>
        <v/>
      </c>
      <c r="D240" s="5">
        <f>IF($E240="","",INDEX('Input Transaksi'!$F:$F,$E240))</f>
        <v/>
      </c>
      <c r="E240">
        <f>IFERROR(AGGREGATE(15,6,ROW('Input Transaksi'!$B$5:$B$5000)/('Input Transaksi'!$B$5:$B$5000="RINJANI WASH"),ROWS($E$5:E240)),"")</f>
        <v/>
      </c>
      <c r="F240" s="5" t="n"/>
    </row>
    <row r="241">
      <c r="A241" s="10">
        <f>IF($E241="","",INDEX('Input Transaksi'!$A:$A,$E241))</f>
        <v/>
      </c>
      <c r="B241" s="5">
        <f>IF($E241="","",INDEX('Input Transaksi'!$D:$D,$E241))</f>
        <v/>
      </c>
      <c r="C241">
        <f>IF($E241="","",INDEX('Input Transaksi'!$E:$E,$E241))</f>
        <v/>
      </c>
      <c r="D241" s="5">
        <f>IF($E241="","",INDEX('Input Transaksi'!$F:$F,$E241))</f>
        <v/>
      </c>
      <c r="E241">
        <f>IFERROR(AGGREGATE(15,6,ROW('Input Transaksi'!$B$5:$B$5000)/('Input Transaksi'!$B$5:$B$5000="RINJANI WASH"),ROWS($E$5:E241)),"")</f>
        <v/>
      </c>
      <c r="F241" s="5" t="n"/>
    </row>
    <row r="242">
      <c r="A242" s="10">
        <f>IF($E242="","",INDEX('Input Transaksi'!$A:$A,$E242))</f>
        <v/>
      </c>
      <c r="B242" s="5">
        <f>IF($E242="","",INDEX('Input Transaksi'!$D:$D,$E242))</f>
        <v/>
      </c>
      <c r="C242">
        <f>IF($E242="","",INDEX('Input Transaksi'!$E:$E,$E242))</f>
        <v/>
      </c>
      <c r="D242" s="5">
        <f>IF($E242="","",INDEX('Input Transaksi'!$F:$F,$E242))</f>
        <v/>
      </c>
      <c r="E242">
        <f>IFERROR(AGGREGATE(15,6,ROW('Input Transaksi'!$B$5:$B$5000)/('Input Transaksi'!$B$5:$B$5000="RINJANI WASH"),ROWS($E$5:E242)),"")</f>
        <v/>
      </c>
      <c r="F242" s="5" t="n"/>
    </row>
    <row r="243">
      <c r="A243" s="10">
        <f>IF($E243="","",INDEX('Input Transaksi'!$A:$A,$E243))</f>
        <v/>
      </c>
      <c r="B243" s="5">
        <f>IF($E243="","",INDEX('Input Transaksi'!$D:$D,$E243))</f>
        <v/>
      </c>
      <c r="C243">
        <f>IF($E243="","",INDEX('Input Transaksi'!$E:$E,$E243))</f>
        <v/>
      </c>
      <c r="D243" s="5">
        <f>IF($E243="","",INDEX('Input Transaksi'!$F:$F,$E243))</f>
        <v/>
      </c>
      <c r="E243">
        <f>IFERROR(AGGREGATE(15,6,ROW('Input Transaksi'!$B$5:$B$5000)/('Input Transaksi'!$B$5:$B$5000="RINJANI WASH"),ROWS($E$5:E243)),"")</f>
        <v/>
      </c>
      <c r="F243" s="5" t="n"/>
    </row>
    <row r="244">
      <c r="A244" s="10">
        <f>IF($E244="","",INDEX('Input Transaksi'!$A:$A,$E244))</f>
        <v/>
      </c>
      <c r="B244" s="5">
        <f>IF($E244="","",INDEX('Input Transaksi'!$D:$D,$E244))</f>
        <v/>
      </c>
      <c r="C244">
        <f>IF($E244="","",INDEX('Input Transaksi'!$E:$E,$E244))</f>
        <v/>
      </c>
      <c r="D244" s="5">
        <f>IF($E244="","",INDEX('Input Transaksi'!$F:$F,$E244))</f>
        <v/>
      </c>
      <c r="E244">
        <f>IFERROR(AGGREGATE(15,6,ROW('Input Transaksi'!$B$5:$B$5000)/('Input Transaksi'!$B$5:$B$5000="RINJANI WASH"),ROWS($E$5:E244)),"")</f>
        <v/>
      </c>
      <c r="F244" s="5" t="n"/>
    </row>
    <row r="245">
      <c r="A245" s="10">
        <f>IF($E245="","",INDEX('Input Transaksi'!$A:$A,$E245))</f>
        <v/>
      </c>
      <c r="B245" s="5">
        <f>IF($E245="","",INDEX('Input Transaksi'!$D:$D,$E245))</f>
        <v/>
      </c>
      <c r="C245">
        <f>IF($E245="","",INDEX('Input Transaksi'!$E:$E,$E245))</f>
        <v/>
      </c>
      <c r="D245" s="5">
        <f>IF($E245="","",INDEX('Input Transaksi'!$F:$F,$E245))</f>
        <v/>
      </c>
      <c r="E245">
        <f>IFERROR(AGGREGATE(15,6,ROW('Input Transaksi'!$B$5:$B$5000)/('Input Transaksi'!$B$5:$B$5000="RINJANI WASH"),ROWS($E$5:E245)),"")</f>
        <v/>
      </c>
      <c r="F245" s="5" t="n"/>
    </row>
    <row r="246">
      <c r="A246" s="10">
        <f>IF($E246="","",INDEX('Input Transaksi'!$A:$A,$E246))</f>
        <v/>
      </c>
      <c r="B246" s="5">
        <f>IF($E246="","",INDEX('Input Transaksi'!$D:$D,$E246))</f>
        <v/>
      </c>
      <c r="C246">
        <f>IF($E246="","",INDEX('Input Transaksi'!$E:$E,$E246))</f>
        <v/>
      </c>
      <c r="D246" s="5">
        <f>IF($E246="","",INDEX('Input Transaksi'!$F:$F,$E246))</f>
        <v/>
      </c>
      <c r="E246">
        <f>IFERROR(AGGREGATE(15,6,ROW('Input Transaksi'!$B$5:$B$5000)/('Input Transaksi'!$B$5:$B$5000="RINJANI WASH"),ROWS($E$5:E246)),"")</f>
        <v/>
      </c>
      <c r="F246" s="5" t="n"/>
    </row>
    <row r="247">
      <c r="A247" s="10">
        <f>IF($E247="","",INDEX('Input Transaksi'!$A:$A,$E247))</f>
        <v/>
      </c>
      <c r="B247" s="5">
        <f>IF($E247="","",INDEX('Input Transaksi'!$D:$D,$E247))</f>
        <v/>
      </c>
      <c r="C247">
        <f>IF($E247="","",INDEX('Input Transaksi'!$E:$E,$E247))</f>
        <v/>
      </c>
      <c r="D247" s="5">
        <f>IF($E247="","",INDEX('Input Transaksi'!$F:$F,$E247))</f>
        <v/>
      </c>
      <c r="E247">
        <f>IFERROR(AGGREGATE(15,6,ROW('Input Transaksi'!$B$5:$B$5000)/('Input Transaksi'!$B$5:$B$5000="RINJANI WASH"),ROWS($E$5:E247)),"")</f>
        <v/>
      </c>
      <c r="F247" s="5" t="n"/>
    </row>
    <row r="248">
      <c r="A248" s="10">
        <f>IF($E248="","",INDEX('Input Transaksi'!$A:$A,$E248))</f>
        <v/>
      </c>
      <c r="B248" s="5">
        <f>IF($E248="","",INDEX('Input Transaksi'!$D:$D,$E248))</f>
        <v/>
      </c>
      <c r="C248">
        <f>IF($E248="","",INDEX('Input Transaksi'!$E:$E,$E248))</f>
        <v/>
      </c>
      <c r="D248" s="5">
        <f>IF($E248="","",INDEX('Input Transaksi'!$F:$F,$E248))</f>
        <v/>
      </c>
      <c r="E248">
        <f>IFERROR(AGGREGATE(15,6,ROW('Input Transaksi'!$B$5:$B$5000)/('Input Transaksi'!$B$5:$B$5000="RINJANI WASH"),ROWS($E$5:E248)),"")</f>
        <v/>
      </c>
      <c r="F248" s="5" t="n"/>
    </row>
    <row r="249">
      <c r="A249" s="10">
        <f>IF($E249="","",INDEX('Input Transaksi'!$A:$A,$E249))</f>
        <v/>
      </c>
      <c r="B249" s="5">
        <f>IF($E249="","",INDEX('Input Transaksi'!$D:$D,$E249))</f>
        <v/>
      </c>
      <c r="C249">
        <f>IF($E249="","",INDEX('Input Transaksi'!$E:$E,$E249))</f>
        <v/>
      </c>
      <c r="D249" s="5">
        <f>IF($E249="","",INDEX('Input Transaksi'!$F:$F,$E249))</f>
        <v/>
      </c>
      <c r="E249">
        <f>IFERROR(AGGREGATE(15,6,ROW('Input Transaksi'!$B$5:$B$5000)/('Input Transaksi'!$B$5:$B$5000="RINJANI WASH"),ROWS($E$5:E249)),"")</f>
        <v/>
      </c>
      <c r="F249" s="5" t="n"/>
    </row>
    <row r="250">
      <c r="A250" s="10">
        <f>IF($E250="","",INDEX('Input Transaksi'!$A:$A,$E250))</f>
        <v/>
      </c>
      <c r="B250" s="5">
        <f>IF($E250="","",INDEX('Input Transaksi'!$D:$D,$E250))</f>
        <v/>
      </c>
      <c r="C250">
        <f>IF($E250="","",INDEX('Input Transaksi'!$E:$E,$E250))</f>
        <v/>
      </c>
      <c r="D250" s="5">
        <f>IF($E250="","",INDEX('Input Transaksi'!$F:$F,$E250))</f>
        <v/>
      </c>
      <c r="E250">
        <f>IFERROR(AGGREGATE(15,6,ROW('Input Transaksi'!$B$5:$B$5000)/('Input Transaksi'!$B$5:$B$5000="RINJANI WASH"),ROWS($E$5:E250)),"")</f>
        <v/>
      </c>
      <c r="F250" s="5" t="n"/>
    </row>
    <row r="251">
      <c r="A251" s="10">
        <f>IF($E251="","",INDEX('Input Transaksi'!$A:$A,$E251))</f>
        <v/>
      </c>
      <c r="B251" s="5">
        <f>IF($E251="","",INDEX('Input Transaksi'!$D:$D,$E251))</f>
        <v/>
      </c>
      <c r="C251">
        <f>IF($E251="","",INDEX('Input Transaksi'!$E:$E,$E251))</f>
        <v/>
      </c>
      <c r="D251" s="5">
        <f>IF($E251="","",INDEX('Input Transaksi'!$F:$F,$E251))</f>
        <v/>
      </c>
      <c r="E251">
        <f>IFERROR(AGGREGATE(15,6,ROW('Input Transaksi'!$B$5:$B$5000)/('Input Transaksi'!$B$5:$B$5000="RINJANI WASH"),ROWS($E$5:E251)),"")</f>
        <v/>
      </c>
      <c r="F251" s="5" t="n"/>
    </row>
    <row r="252">
      <c r="A252" s="10">
        <f>IF($E252="","",INDEX('Input Transaksi'!$A:$A,$E252))</f>
        <v/>
      </c>
      <c r="B252" s="5">
        <f>IF($E252="","",INDEX('Input Transaksi'!$D:$D,$E252))</f>
        <v/>
      </c>
      <c r="C252">
        <f>IF($E252="","",INDEX('Input Transaksi'!$E:$E,$E252))</f>
        <v/>
      </c>
      <c r="D252" s="5">
        <f>IF($E252="","",INDEX('Input Transaksi'!$F:$F,$E252))</f>
        <v/>
      </c>
      <c r="E252">
        <f>IFERROR(AGGREGATE(15,6,ROW('Input Transaksi'!$B$5:$B$5000)/('Input Transaksi'!$B$5:$B$5000="RINJANI WASH"),ROWS($E$5:E252)),"")</f>
        <v/>
      </c>
      <c r="F252" s="5" t="n"/>
    </row>
    <row r="253">
      <c r="A253" s="10">
        <f>IF($E253="","",INDEX('Input Transaksi'!$A:$A,$E253))</f>
        <v/>
      </c>
      <c r="B253" s="5">
        <f>IF($E253="","",INDEX('Input Transaksi'!$D:$D,$E253))</f>
        <v/>
      </c>
      <c r="C253">
        <f>IF($E253="","",INDEX('Input Transaksi'!$E:$E,$E253))</f>
        <v/>
      </c>
      <c r="D253" s="5">
        <f>IF($E253="","",INDEX('Input Transaksi'!$F:$F,$E253))</f>
        <v/>
      </c>
      <c r="E253">
        <f>IFERROR(AGGREGATE(15,6,ROW('Input Transaksi'!$B$5:$B$5000)/('Input Transaksi'!$B$5:$B$5000="RINJANI WASH"),ROWS($E$5:E253)),"")</f>
        <v/>
      </c>
      <c r="F253" s="5" t="n"/>
    </row>
    <row r="254">
      <c r="A254" s="10">
        <f>IF($E254="","",INDEX('Input Transaksi'!$A:$A,$E254))</f>
        <v/>
      </c>
      <c r="B254" s="5">
        <f>IF($E254="","",INDEX('Input Transaksi'!$D:$D,$E254))</f>
        <v/>
      </c>
      <c r="C254">
        <f>IF($E254="","",INDEX('Input Transaksi'!$E:$E,$E254))</f>
        <v/>
      </c>
      <c r="D254" s="5">
        <f>IF($E254="","",INDEX('Input Transaksi'!$F:$F,$E254))</f>
        <v/>
      </c>
      <c r="E254">
        <f>IFERROR(AGGREGATE(15,6,ROW('Input Transaksi'!$B$5:$B$5000)/('Input Transaksi'!$B$5:$B$5000="RINJANI WASH"),ROWS($E$5:E254)),"")</f>
        <v/>
      </c>
      <c r="F254" s="5" t="n"/>
    </row>
    <row r="255">
      <c r="A255" s="10">
        <f>IF($E255="","",INDEX('Input Transaksi'!$A:$A,$E255))</f>
        <v/>
      </c>
      <c r="B255" s="5">
        <f>IF($E255="","",INDEX('Input Transaksi'!$D:$D,$E255))</f>
        <v/>
      </c>
      <c r="C255">
        <f>IF($E255="","",INDEX('Input Transaksi'!$E:$E,$E255))</f>
        <v/>
      </c>
      <c r="D255" s="5">
        <f>IF($E255="","",INDEX('Input Transaksi'!$F:$F,$E255))</f>
        <v/>
      </c>
      <c r="E255">
        <f>IFERROR(AGGREGATE(15,6,ROW('Input Transaksi'!$B$5:$B$5000)/('Input Transaksi'!$B$5:$B$5000="RINJANI WASH"),ROWS($E$5:E255)),"")</f>
        <v/>
      </c>
      <c r="F255" s="5" t="n"/>
    </row>
    <row r="256">
      <c r="A256" s="10">
        <f>IF($E256="","",INDEX('Input Transaksi'!$A:$A,$E256))</f>
        <v/>
      </c>
      <c r="B256" s="5">
        <f>IF($E256="","",INDEX('Input Transaksi'!$D:$D,$E256))</f>
        <v/>
      </c>
      <c r="C256">
        <f>IF($E256="","",INDEX('Input Transaksi'!$E:$E,$E256))</f>
        <v/>
      </c>
      <c r="D256" s="5">
        <f>IF($E256="","",INDEX('Input Transaksi'!$F:$F,$E256))</f>
        <v/>
      </c>
      <c r="E256">
        <f>IFERROR(AGGREGATE(15,6,ROW('Input Transaksi'!$B$5:$B$5000)/('Input Transaksi'!$B$5:$B$5000="RINJANI WASH"),ROWS($E$5:E256)),"")</f>
        <v/>
      </c>
      <c r="F256" s="5" t="n"/>
    </row>
    <row r="257">
      <c r="A257" s="10">
        <f>IF($E257="","",INDEX('Input Transaksi'!$A:$A,$E257))</f>
        <v/>
      </c>
      <c r="B257" s="5">
        <f>IF($E257="","",INDEX('Input Transaksi'!$D:$D,$E257))</f>
        <v/>
      </c>
      <c r="C257">
        <f>IF($E257="","",INDEX('Input Transaksi'!$E:$E,$E257))</f>
        <v/>
      </c>
      <c r="D257" s="5">
        <f>IF($E257="","",INDEX('Input Transaksi'!$F:$F,$E257))</f>
        <v/>
      </c>
      <c r="E257">
        <f>IFERROR(AGGREGATE(15,6,ROW('Input Transaksi'!$B$5:$B$5000)/('Input Transaksi'!$B$5:$B$5000="RINJANI WASH"),ROWS($E$5:E257)),"")</f>
        <v/>
      </c>
      <c r="F257" s="5" t="n"/>
    </row>
    <row r="258">
      <c r="A258" s="10">
        <f>IF($E258="","",INDEX('Input Transaksi'!$A:$A,$E258))</f>
        <v/>
      </c>
      <c r="B258" s="5">
        <f>IF($E258="","",INDEX('Input Transaksi'!$D:$D,$E258))</f>
        <v/>
      </c>
      <c r="C258">
        <f>IF($E258="","",INDEX('Input Transaksi'!$E:$E,$E258))</f>
        <v/>
      </c>
      <c r="D258" s="5">
        <f>IF($E258="","",INDEX('Input Transaksi'!$F:$F,$E258))</f>
        <v/>
      </c>
      <c r="E258">
        <f>IFERROR(AGGREGATE(15,6,ROW('Input Transaksi'!$B$5:$B$5000)/('Input Transaksi'!$B$5:$B$5000="RINJANI WASH"),ROWS($E$5:E258)),"")</f>
        <v/>
      </c>
      <c r="F258" s="5" t="n"/>
    </row>
    <row r="259">
      <c r="A259" s="10">
        <f>IF($E259="","",INDEX('Input Transaksi'!$A:$A,$E259))</f>
        <v/>
      </c>
      <c r="B259" s="5">
        <f>IF($E259="","",INDEX('Input Transaksi'!$D:$D,$E259))</f>
        <v/>
      </c>
      <c r="C259">
        <f>IF($E259="","",INDEX('Input Transaksi'!$E:$E,$E259))</f>
        <v/>
      </c>
      <c r="D259" s="5">
        <f>IF($E259="","",INDEX('Input Transaksi'!$F:$F,$E259))</f>
        <v/>
      </c>
      <c r="E259">
        <f>IFERROR(AGGREGATE(15,6,ROW('Input Transaksi'!$B$5:$B$5000)/('Input Transaksi'!$B$5:$B$5000="RINJANI WASH"),ROWS($E$5:E259)),"")</f>
        <v/>
      </c>
      <c r="F259" s="5" t="n"/>
    </row>
    <row r="260">
      <c r="A260" s="10">
        <f>IF($E260="","",INDEX('Input Transaksi'!$A:$A,$E260))</f>
        <v/>
      </c>
      <c r="B260" s="5">
        <f>IF($E260="","",INDEX('Input Transaksi'!$D:$D,$E260))</f>
        <v/>
      </c>
      <c r="C260">
        <f>IF($E260="","",INDEX('Input Transaksi'!$E:$E,$E260))</f>
        <v/>
      </c>
      <c r="D260" s="5">
        <f>IF($E260="","",INDEX('Input Transaksi'!$F:$F,$E260))</f>
        <v/>
      </c>
      <c r="E260">
        <f>IFERROR(AGGREGATE(15,6,ROW('Input Transaksi'!$B$5:$B$5000)/('Input Transaksi'!$B$5:$B$5000="RINJANI WASH"),ROWS($E$5:E260)),"")</f>
        <v/>
      </c>
      <c r="F260" s="5" t="n"/>
    </row>
    <row r="261">
      <c r="A261" s="10">
        <f>IF($E261="","",INDEX('Input Transaksi'!$A:$A,$E261))</f>
        <v/>
      </c>
      <c r="B261" s="5">
        <f>IF($E261="","",INDEX('Input Transaksi'!$D:$D,$E261))</f>
        <v/>
      </c>
      <c r="C261">
        <f>IF($E261="","",INDEX('Input Transaksi'!$E:$E,$E261))</f>
        <v/>
      </c>
      <c r="D261" s="5">
        <f>IF($E261="","",INDEX('Input Transaksi'!$F:$F,$E261))</f>
        <v/>
      </c>
      <c r="E261">
        <f>IFERROR(AGGREGATE(15,6,ROW('Input Transaksi'!$B$5:$B$5000)/('Input Transaksi'!$B$5:$B$5000="RINJANI WASH"),ROWS($E$5:E261)),"")</f>
        <v/>
      </c>
      <c r="F261" s="5" t="n"/>
    </row>
    <row r="262">
      <c r="A262" s="10">
        <f>IF($E262="","",INDEX('Input Transaksi'!$A:$A,$E262))</f>
        <v/>
      </c>
      <c r="B262" s="5">
        <f>IF($E262="","",INDEX('Input Transaksi'!$D:$D,$E262))</f>
        <v/>
      </c>
      <c r="C262">
        <f>IF($E262="","",INDEX('Input Transaksi'!$E:$E,$E262))</f>
        <v/>
      </c>
      <c r="D262" s="5">
        <f>IF($E262="","",INDEX('Input Transaksi'!$F:$F,$E262))</f>
        <v/>
      </c>
      <c r="E262">
        <f>IFERROR(AGGREGATE(15,6,ROW('Input Transaksi'!$B$5:$B$5000)/('Input Transaksi'!$B$5:$B$5000="RINJANI WASH"),ROWS($E$5:E262)),"")</f>
        <v/>
      </c>
      <c r="F262" s="5" t="n"/>
    </row>
    <row r="263">
      <c r="A263" s="10">
        <f>IF($E263="","",INDEX('Input Transaksi'!$A:$A,$E263))</f>
        <v/>
      </c>
      <c r="B263" s="5">
        <f>IF($E263="","",INDEX('Input Transaksi'!$D:$D,$E263))</f>
        <v/>
      </c>
      <c r="C263">
        <f>IF($E263="","",INDEX('Input Transaksi'!$E:$E,$E263))</f>
        <v/>
      </c>
      <c r="D263" s="5">
        <f>IF($E263="","",INDEX('Input Transaksi'!$F:$F,$E263))</f>
        <v/>
      </c>
      <c r="E263">
        <f>IFERROR(AGGREGATE(15,6,ROW('Input Transaksi'!$B$5:$B$5000)/('Input Transaksi'!$B$5:$B$5000="RINJANI WASH"),ROWS($E$5:E263)),"")</f>
        <v/>
      </c>
      <c r="F263" s="5" t="n"/>
    </row>
    <row r="264">
      <c r="A264" s="10">
        <f>IF($E264="","",INDEX('Input Transaksi'!$A:$A,$E264))</f>
        <v/>
      </c>
      <c r="B264" s="5">
        <f>IF($E264="","",INDEX('Input Transaksi'!$D:$D,$E264))</f>
        <v/>
      </c>
      <c r="C264">
        <f>IF($E264="","",INDEX('Input Transaksi'!$E:$E,$E264))</f>
        <v/>
      </c>
      <c r="D264" s="5">
        <f>IF($E264="","",INDEX('Input Transaksi'!$F:$F,$E264))</f>
        <v/>
      </c>
      <c r="E264">
        <f>IFERROR(AGGREGATE(15,6,ROW('Input Transaksi'!$B$5:$B$5000)/('Input Transaksi'!$B$5:$B$5000="RINJANI WASH"),ROWS($E$5:E264)),"")</f>
        <v/>
      </c>
      <c r="F264" s="5" t="n"/>
    </row>
    <row r="265">
      <c r="A265" s="10">
        <f>IF($E265="","",INDEX('Input Transaksi'!$A:$A,$E265))</f>
        <v/>
      </c>
      <c r="B265" s="5">
        <f>IF($E265="","",INDEX('Input Transaksi'!$D:$D,$E265))</f>
        <v/>
      </c>
      <c r="C265">
        <f>IF($E265="","",INDEX('Input Transaksi'!$E:$E,$E265))</f>
        <v/>
      </c>
      <c r="D265" s="5">
        <f>IF($E265="","",INDEX('Input Transaksi'!$F:$F,$E265))</f>
        <v/>
      </c>
      <c r="E265">
        <f>IFERROR(AGGREGATE(15,6,ROW('Input Transaksi'!$B$5:$B$5000)/('Input Transaksi'!$B$5:$B$5000="RINJANI WASH"),ROWS($E$5:E265)),"")</f>
        <v/>
      </c>
      <c r="F265" s="5" t="n"/>
    </row>
    <row r="266">
      <c r="A266" s="10">
        <f>IF($E266="","",INDEX('Input Transaksi'!$A:$A,$E266))</f>
        <v/>
      </c>
      <c r="B266" s="5">
        <f>IF($E266="","",INDEX('Input Transaksi'!$D:$D,$E266))</f>
        <v/>
      </c>
      <c r="C266">
        <f>IF($E266="","",INDEX('Input Transaksi'!$E:$E,$E266))</f>
        <v/>
      </c>
      <c r="D266" s="5">
        <f>IF($E266="","",INDEX('Input Transaksi'!$F:$F,$E266))</f>
        <v/>
      </c>
      <c r="E266">
        <f>IFERROR(AGGREGATE(15,6,ROW('Input Transaksi'!$B$5:$B$5000)/('Input Transaksi'!$B$5:$B$5000="RINJANI WASH"),ROWS($E$5:E266)),"")</f>
        <v/>
      </c>
      <c r="F266" s="5" t="n"/>
    </row>
    <row r="267">
      <c r="A267" s="10">
        <f>IF($E267="","",INDEX('Input Transaksi'!$A:$A,$E267))</f>
        <v/>
      </c>
      <c r="B267" s="5">
        <f>IF($E267="","",INDEX('Input Transaksi'!$D:$D,$E267))</f>
        <v/>
      </c>
      <c r="C267">
        <f>IF($E267="","",INDEX('Input Transaksi'!$E:$E,$E267))</f>
        <v/>
      </c>
      <c r="D267" s="5">
        <f>IF($E267="","",INDEX('Input Transaksi'!$F:$F,$E267))</f>
        <v/>
      </c>
      <c r="E267">
        <f>IFERROR(AGGREGATE(15,6,ROW('Input Transaksi'!$B$5:$B$5000)/('Input Transaksi'!$B$5:$B$5000="RINJANI WASH"),ROWS($E$5:E267)),"")</f>
        <v/>
      </c>
      <c r="F267" s="5" t="n"/>
    </row>
    <row r="268">
      <c r="A268" s="10">
        <f>IF($E268="","",INDEX('Input Transaksi'!$A:$A,$E268))</f>
        <v/>
      </c>
      <c r="B268" s="5">
        <f>IF($E268="","",INDEX('Input Transaksi'!$D:$D,$E268))</f>
        <v/>
      </c>
      <c r="C268">
        <f>IF($E268="","",INDEX('Input Transaksi'!$E:$E,$E268))</f>
        <v/>
      </c>
      <c r="D268" s="5">
        <f>IF($E268="","",INDEX('Input Transaksi'!$F:$F,$E268))</f>
        <v/>
      </c>
      <c r="E268">
        <f>IFERROR(AGGREGATE(15,6,ROW('Input Transaksi'!$B$5:$B$5000)/('Input Transaksi'!$B$5:$B$5000="RINJANI WASH"),ROWS($E$5:E268)),"")</f>
        <v/>
      </c>
      <c r="F268" s="5" t="n"/>
    </row>
    <row r="269">
      <c r="A269" s="10">
        <f>IF($E269="","",INDEX('Input Transaksi'!$A:$A,$E269))</f>
        <v/>
      </c>
      <c r="B269" s="5">
        <f>IF($E269="","",INDEX('Input Transaksi'!$D:$D,$E269))</f>
        <v/>
      </c>
      <c r="C269">
        <f>IF($E269="","",INDEX('Input Transaksi'!$E:$E,$E269))</f>
        <v/>
      </c>
      <c r="D269" s="5">
        <f>IF($E269="","",INDEX('Input Transaksi'!$F:$F,$E269))</f>
        <v/>
      </c>
      <c r="E269">
        <f>IFERROR(AGGREGATE(15,6,ROW('Input Transaksi'!$B$5:$B$5000)/('Input Transaksi'!$B$5:$B$5000="RINJANI WASH"),ROWS($E$5:E269)),"")</f>
        <v/>
      </c>
      <c r="F269" s="5" t="n"/>
    </row>
    <row r="270">
      <c r="A270" s="10">
        <f>IF($E270="","",INDEX('Input Transaksi'!$A:$A,$E270))</f>
        <v/>
      </c>
      <c r="B270" s="5">
        <f>IF($E270="","",INDEX('Input Transaksi'!$D:$D,$E270))</f>
        <v/>
      </c>
      <c r="C270">
        <f>IF($E270="","",INDEX('Input Transaksi'!$E:$E,$E270))</f>
        <v/>
      </c>
      <c r="D270" s="5">
        <f>IF($E270="","",INDEX('Input Transaksi'!$F:$F,$E270))</f>
        <v/>
      </c>
      <c r="E270">
        <f>IFERROR(AGGREGATE(15,6,ROW('Input Transaksi'!$B$5:$B$5000)/('Input Transaksi'!$B$5:$B$5000="RINJANI WASH"),ROWS($E$5:E270)),"")</f>
        <v/>
      </c>
      <c r="F270" s="5" t="n"/>
    </row>
    <row r="271">
      <c r="A271" s="10">
        <f>IF($E271="","",INDEX('Input Transaksi'!$A:$A,$E271))</f>
        <v/>
      </c>
      <c r="B271" s="5">
        <f>IF($E271="","",INDEX('Input Transaksi'!$D:$D,$E271))</f>
        <v/>
      </c>
      <c r="C271">
        <f>IF($E271="","",INDEX('Input Transaksi'!$E:$E,$E271))</f>
        <v/>
      </c>
      <c r="D271" s="5">
        <f>IF($E271="","",INDEX('Input Transaksi'!$F:$F,$E271))</f>
        <v/>
      </c>
      <c r="E271">
        <f>IFERROR(AGGREGATE(15,6,ROW('Input Transaksi'!$B$5:$B$5000)/('Input Transaksi'!$B$5:$B$5000="RINJANI WASH"),ROWS($E$5:E271)),"")</f>
        <v/>
      </c>
      <c r="F271" s="5" t="n"/>
    </row>
    <row r="272">
      <c r="A272" s="10">
        <f>IF($E272="","",INDEX('Input Transaksi'!$A:$A,$E272))</f>
        <v/>
      </c>
      <c r="B272" s="5">
        <f>IF($E272="","",INDEX('Input Transaksi'!$D:$D,$E272))</f>
        <v/>
      </c>
      <c r="C272">
        <f>IF($E272="","",INDEX('Input Transaksi'!$E:$E,$E272))</f>
        <v/>
      </c>
      <c r="D272" s="5">
        <f>IF($E272="","",INDEX('Input Transaksi'!$F:$F,$E272))</f>
        <v/>
      </c>
      <c r="E272">
        <f>IFERROR(AGGREGATE(15,6,ROW('Input Transaksi'!$B$5:$B$5000)/('Input Transaksi'!$B$5:$B$5000="RINJANI WASH"),ROWS($E$5:E272)),"")</f>
        <v/>
      </c>
      <c r="F272" s="5" t="n"/>
    </row>
    <row r="273">
      <c r="A273" s="10">
        <f>IF($E273="","",INDEX('Input Transaksi'!$A:$A,$E273))</f>
        <v/>
      </c>
      <c r="B273" s="5">
        <f>IF($E273="","",INDEX('Input Transaksi'!$D:$D,$E273))</f>
        <v/>
      </c>
      <c r="C273">
        <f>IF($E273="","",INDEX('Input Transaksi'!$E:$E,$E273))</f>
        <v/>
      </c>
      <c r="D273" s="5">
        <f>IF($E273="","",INDEX('Input Transaksi'!$F:$F,$E273))</f>
        <v/>
      </c>
      <c r="E273">
        <f>IFERROR(AGGREGATE(15,6,ROW('Input Transaksi'!$B$5:$B$5000)/('Input Transaksi'!$B$5:$B$5000="RINJANI WASH"),ROWS($E$5:E273)),"")</f>
        <v/>
      </c>
      <c r="F273" s="5" t="n"/>
    </row>
    <row r="274">
      <c r="A274" s="10">
        <f>IF($E274="","",INDEX('Input Transaksi'!$A:$A,$E274))</f>
        <v/>
      </c>
      <c r="B274" s="5">
        <f>IF($E274="","",INDEX('Input Transaksi'!$D:$D,$E274))</f>
        <v/>
      </c>
      <c r="C274">
        <f>IF($E274="","",INDEX('Input Transaksi'!$E:$E,$E274))</f>
        <v/>
      </c>
      <c r="D274" s="5">
        <f>IF($E274="","",INDEX('Input Transaksi'!$F:$F,$E274))</f>
        <v/>
      </c>
      <c r="E274">
        <f>IFERROR(AGGREGATE(15,6,ROW('Input Transaksi'!$B$5:$B$5000)/('Input Transaksi'!$B$5:$B$5000="RINJANI WASH"),ROWS($E$5:E274)),"")</f>
        <v/>
      </c>
      <c r="F274" s="5" t="n"/>
    </row>
    <row r="275">
      <c r="A275" s="10">
        <f>IF($E275="","",INDEX('Input Transaksi'!$A:$A,$E275))</f>
        <v/>
      </c>
      <c r="B275" s="5">
        <f>IF($E275="","",INDEX('Input Transaksi'!$D:$D,$E275))</f>
        <v/>
      </c>
      <c r="C275">
        <f>IF($E275="","",INDEX('Input Transaksi'!$E:$E,$E275))</f>
        <v/>
      </c>
      <c r="D275" s="5">
        <f>IF($E275="","",INDEX('Input Transaksi'!$F:$F,$E275))</f>
        <v/>
      </c>
      <c r="E275">
        <f>IFERROR(AGGREGATE(15,6,ROW('Input Transaksi'!$B$5:$B$5000)/('Input Transaksi'!$B$5:$B$5000="RINJANI WASH"),ROWS($E$5:E275)),"")</f>
        <v/>
      </c>
      <c r="F275" s="5" t="n"/>
    </row>
    <row r="276">
      <c r="A276" s="10">
        <f>IF($E276="","",INDEX('Input Transaksi'!$A:$A,$E276))</f>
        <v/>
      </c>
      <c r="B276" s="5">
        <f>IF($E276="","",INDEX('Input Transaksi'!$D:$D,$E276))</f>
        <v/>
      </c>
      <c r="C276">
        <f>IF($E276="","",INDEX('Input Transaksi'!$E:$E,$E276))</f>
        <v/>
      </c>
      <c r="D276" s="5">
        <f>IF($E276="","",INDEX('Input Transaksi'!$F:$F,$E276))</f>
        <v/>
      </c>
      <c r="E276">
        <f>IFERROR(AGGREGATE(15,6,ROW('Input Transaksi'!$B$5:$B$5000)/('Input Transaksi'!$B$5:$B$5000="RINJANI WASH"),ROWS($E$5:E276)),"")</f>
        <v/>
      </c>
      <c r="F276" s="5" t="n"/>
    </row>
    <row r="277">
      <c r="A277" s="10">
        <f>IF($E277="","",INDEX('Input Transaksi'!$A:$A,$E277))</f>
        <v/>
      </c>
      <c r="B277" s="5">
        <f>IF($E277="","",INDEX('Input Transaksi'!$D:$D,$E277))</f>
        <v/>
      </c>
      <c r="C277">
        <f>IF($E277="","",INDEX('Input Transaksi'!$E:$E,$E277))</f>
        <v/>
      </c>
      <c r="D277" s="5">
        <f>IF($E277="","",INDEX('Input Transaksi'!$F:$F,$E277))</f>
        <v/>
      </c>
      <c r="E277">
        <f>IFERROR(AGGREGATE(15,6,ROW('Input Transaksi'!$B$5:$B$5000)/('Input Transaksi'!$B$5:$B$5000="RINJANI WASH"),ROWS($E$5:E277)),"")</f>
        <v/>
      </c>
      <c r="F277" s="5" t="n"/>
    </row>
    <row r="278">
      <c r="A278" s="10">
        <f>IF($E278="","",INDEX('Input Transaksi'!$A:$A,$E278))</f>
        <v/>
      </c>
      <c r="B278" s="5">
        <f>IF($E278="","",INDEX('Input Transaksi'!$D:$D,$E278))</f>
        <v/>
      </c>
      <c r="C278">
        <f>IF($E278="","",INDEX('Input Transaksi'!$E:$E,$E278))</f>
        <v/>
      </c>
      <c r="D278" s="5">
        <f>IF($E278="","",INDEX('Input Transaksi'!$F:$F,$E278))</f>
        <v/>
      </c>
      <c r="E278">
        <f>IFERROR(AGGREGATE(15,6,ROW('Input Transaksi'!$B$5:$B$5000)/('Input Transaksi'!$B$5:$B$5000="RINJANI WASH"),ROWS($E$5:E278)),"")</f>
        <v/>
      </c>
      <c r="F278" s="5" t="n"/>
    </row>
    <row r="279">
      <c r="A279" s="10">
        <f>IF($E279="","",INDEX('Input Transaksi'!$A:$A,$E279))</f>
        <v/>
      </c>
      <c r="B279" s="5">
        <f>IF($E279="","",INDEX('Input Transaksi'!$D:$D,$E279))</f>
        <v/>
      </c>
      <c r="C279">
        <f>IF($E279="","",INDEX('Input Transaksi'!$E:$E,$E279))</f>
        <v/>
      </c>
      <c r="D279" s="5">
        <f>IF($E279="","",INDEX('Input Transaksi'!$F:$F,$E279))</f>
        <v/>
      </c>
      <c r="E279">
        <f>IFERROR(AGGREGATE(15,6,ROW('Input Transaksi'!$B$5:$B$5000)/('Input Transaksi'!$B$5:$B$5000="RINJANI WASH"),ROWS($E$5:E279)),"")</f>
        <v/>
      </c>
      <c r="F279" s="5" t="n"/>
    </row>
    <row r="280">
      <c r="A280" s="10">
        <f>IF($E280="","",INDEX('Input Transaksi'!$A:$A,$E280))</f>
        <v/>
      </c>
      <c r="B280" s="5">
        <f>IF($E280="","",INDEX('Input Transaksi'!$D:$D,$E280))</f>
        <v/>
      </c>
      <c r="C280">
        <f>IF($E280="","",INDEX('Input Transaksi'!$E:$E,$E280))</f>
        <v/>
      </c>
      <c r="D280" s="5">
        <f>IF($E280="","",INDEX('Input Transaksi'!$F:$F,$E280))</f>
        <v/>
      </c>
      <c r="E280">
        <f>IFERROR(AGGREGATE(15,6,ROW('Input Transaksi'!$B$5:$B$5000)/('Input Transaksi'!$B$5:$B$5000="RINJANI WASH"),ROWS($E$5:E280)),"")</f>
        <v/>
      </c>
      <c r="F280" s="5" t="n"/>
    </row>
    <row r="281">
      <c r="A281" s="10">
        <f>IF($E281="","",INDEX('Input Transaksi'!$A:$A,$E281))</f>
        <v/>
      </c>
      <c r="B281" s="5">
        <f>IF($E281="","",INDEX('Input Transaksi'!$D:$D,$E281))</f>
        <v/>
      </c>
      <c r="C281">
        <f>IF($E281="","",INDEX('Input Transaksi'!$E:$E,$E281))</f>
        <v/>
      </c>
      <c r="D281" s="5">
        <f>IF($E281="","",INDEX('Input Transaksi'!$F:$F,$E281))</f>
        <v/>
      </c>
      <c r="E281">
        <f>IFERROR(AGGREGATE(15,6,ROW('Input Transaksi'!$B$5:$B$5000)/('Input Transaksi'!$B$5:$B$5000="RINJANI WASH"),ROWS($E$5:E281)),"")</f>
        <v/>
      </c>
      <c r="F281" s="5" t="n"/>
    </row>
    <row r="282">
      <c r="A282" s="10">
        <f>IF($E282="","",INDEX('Input Transaksi'!$A:$A,$E282))</f>
        <v/>
      </c>
      <c r="B282" s="5">
        <f>IF($E282="","",INDEX('Input Transaksi'!$D:$D,$E282))</f>
        <v/>
      </c>
      <c r="C282">
        <f>IF($E282="","",INDEX('Input Transaksi'!$E:$E,$E282))</f>
        <v/>
      </c>
      <c r="D282" s="5">
        <f>IF($E282="","",INDEX('Input Transaksi'!$F:$F,$E282))</f>
        <v/>
      </c>
      <c r="E282">
        <f>IFERROR(AGGREGATE(15,6,ROW('Input Transaksi'!$B$5:$B$5000)/('Input Transaksi'!$B$5:$B$5000="RINJANI WASH"),ROWS($E$5:E282)),"")</f>
        <v/>
      </c>
      <c r="F282" s="5" t="n"/>
    </row>
    <row r="283">
      <c r="A283" s="10">
        <f>IF($E283="","",INDEX('Input Transaksi'!$A:$A,$E283))</f>
        <v/>
      </c>
      <c r="B283" s="5">
        <f>IF($E283="","",INDEX('Input Transaksi'!$D:$D,$E283))</f>
        <v/>
      </c>
      <c r="C283">
        <f>IF($E283="","",INDEX('Input Transaksi'!$E:$E,$E283))</f>
        <v/>
      </c>
      <c r="D283" s="5">
        <f>IF($E283="","",INDEX('Input Transaksi'!$F:$F,$E283))</f>
        <v/>
      </c>
      <c r="E283">
        <f>IFERROR(AGGREGATE(15,6,ROW('Input Transaksi'!$B$5:$B$5000)/('Input Transaksi'!$B$5:$B$5000="RINJANI WASH"),ROWS($E$5:E283)),"")</f>
        <v/>
      </c>
      <c r="F283" s="5" t="n"/>
    </row>
    <row r="284">
      <c r="A284" s="10">
        <f>IF($E284="","",INDEX('Input Transaksi'!$A:$A,$E284))</f>
        <v/>
      </c>
      <c r="B284" s="5">
        <f>IF($E284="","",INDEX('Input Transaksi'!$D:$D,$E284))</f>
        <v/>
      </c>
      <c r="C284">
        <f>IF($E284="","",INDEX('Input Transaksi'!$E:$E,$E284))</f>
        <v/>
      </c>
      <c r="D284" s="5">
        <f>IF($E284="","",INDEX('Input Transaksi'!$F:$F,$E284))</f>
        <v/>
      </c>
      <c r="E284">
        <f>IFERROR(AGGREGATE(15,6,ROW('Input Transaksi'!$B$5:$B$5000)/('Input Transaksi'!$B$5:$B$5000="RINJANI WASH"),ROWS($E$5:E284)),"")</f>
        <v/>
      </c>
      <c r="F284" s="5" t="n"/>
    </row>
    <row r="285">
      <c r="A285" s="10">
        <f>IF($E285="","",INDEX('Input Transaksi'!$A:$A,$E285))</f>
        <v/>
      </c>
      <c r="B285" s="5">
        <f>IF($E285="","",INDEX('Input Transaksi'!$D:$D,$E285))</f>
        <v/>
      </c>
      <c r="C285">
        <f>IF($E285="","",INDEX('Input Transaksi'!$E:$E,$E285))</f>
        <v/>
      </c>
      <c r="D285" s="5">
        <f>IF($E285="","",INDEX('Input Transaksi'!$F:$F,$E285))</f>
        <v/>
      </c>
      <c r="E285">
        <f>IFERROR(AGGREGATE(15,6,ROW('Input Transaksi'!$B$5:$B$5000)/('Input Transaksi'!$B$5:$B$5000="RINJANI WASH"),ROWS($E$5:E285)),"")</f>
        <v/>
      </c>
      <c r="F285" s="5" t="n"/>
    </row>
    <row r="286">
      <c r="A286" s="10">
        <f>IF($E286="","",INDEX('Input Transaksi'!$A:$A,$E286))</f>
        <v/>
      </c>
      <c r="B286" s="5">
        <f>IF($E286="","",INDEX('Input Transaksi'!$D:$D,$E286))</f>
        <v/>
      </c>
      <c r="C286">
        <f>IF($E286="","",INDEX('Input Transaksi'!$E:$E,$E286))</f>
        <v/>
      </c>
      <c r="D286" s="5">
        <f>IF($E286="","",INDEX('Input Transaksi'!$F:$F,$E286))</f>
        <v/>
      </c>
      <c r="E286">
        <f>IFERROR(AGGREGATE(15,6,ROW('Input Transaksi'!$B$5:$B$5000)/('Input Transaksi'!$B$5:$B$5000="RINJANI WASH"),ROWS($E$5:E286)),"")</f>
        <v/>
      </c>
      <c r="F286" s="5" t="n"/>
    </row>
    <row r="287">
      <c r="A287" s="10">
        <f>IF($E287="","",INDEX('Input Transaksi'!$A:$A,$E287))</f>
        <v/>
      </c>
      <c r="B287" s="5">
        <f>IF($E287="","",INDEX('Input Transaksi'!$D:$D,$E287))</f>
        <v/>
      </c>
      <c r="C287">
        <f>IF($E287="","",INDEX('Input Transaksi'!$E:$E,$E287))</f>
        <v/>
      </c>
      <c r="D287" s="5">
        <f>IF($E287="","",INDEX('Input Transaksi'!$F:$F,$E287))</f>
        <v/>
      </c>
      <c r="E287">
        <f>IFERROR(AGGREGATE(15,6,ROW('Input Transaksi'!$B$5:$B$5000)/('Input Transaksi'!$B$5:$B$5000="RINJANI WASH"),ROWS($E$5:E287)),"")</f>
        <v/>
      </c>
      <c r="F287" s="5" t="n"/>
    </row>
    <row r="288">
      <c r="A288" s="10">
        <f>IF($E288="","",INDEX('Input Transaksi'!$A:$A,$E288))</f>
        <v/>
      </c>
      <c r="B288" s="5">
        <f>IF($E288="","",INDEX('Input Transaksi'!$D:$D,$E288))</f>
        <v/>
      </c>
      <c r="C288">
        <f>IF($E288="","",INDEX('Input Transaksi'!$E:$E,$E288))</f>
        <v/>
      </c>
      <c r="D288" s="5">
        <f>IF($E288="","",INDEX('Input Transaksi'!$F:$F,$E288))</f>
        <v/>
      </c>
      <c r="E288">
        <f>IFERROR(AGGREGATE(15,6,ROW('Input Transaksi'!$B$5:$B$5000)/('Input Transaksi'!$B$5:$B$5000="RINJANI WASH"),ROWS($E$5:E288)),"")</f>
        <v/>
      </c>
      <c r="F288" s="5" t="n"/>
    </row>
    <row r="289">
      <c r="A289" s="10">
        <f>IF($E289="","",INDEX('Input Transaksi'!$A:$A,$E289))</f>
        <v/>
      </c>
      <c r="B289" s="5">
        <f>IF($E289="","",INDEX('Input Transaksi'!$D:$D,$E289))</f>
        <v/>
      </c>
      <c r="C289">
        <f>IF($E289="","",INDEX('Input Transaksi'!$E:$E,$E289))</f>
        <v/>
      </c>
      <c r="D289" s="5">
        <f>IF($E289="","",INDEX('Input Transaksi'!$F:$F,$E289))</f>
        <v/>
      </c>
      <c r="E289">
        <f>IFERROR(AGGREGATE(15,6,ROW('Input Transaksi'!$B$5:$B$5000)/('Input Transaksi'!$B$5:$B$5000="RINJANI WASH"),ROWS($E$5:E289)),"")</f>
        <v/>
      </c>
      <c r="F289" s="5" t="n"/>
    </row>
    <row r="290">
      <c r="A290" s="10">
        <f>IF($E290="","",INDEX('Input Transaksi'!$A:$A,$E290))</f>
        <v/>
      </c>
      <c r="B290" s="5">
        <f>IF($E290="","",INDEX('Input Transaksi'!$D:$D,$E290))</f>
        <v/>
      </c>
      <c r="C290">
        <f>IF($E290="","",INDEX('Input Transaksi'!$E:$E,$E290))</f>
        <v/>
      </c>
      <c r="D290" s="5">
        <f>IF($E290="","",INDEX('Input Transaksi'!$F:$F,$E290))</f>
        <v/>
      </c>
      <c r="E290">
        <f>IFERROR(AGGREGATE(15,6,ROW('Input Transaksi'!$B$5:$B$5000)/('Input Transaksi'!$B$5:$B$5000="RINJANI WASH"),ROWS($E$5:E290)),"")</f>
        <v/>
      </c>
      <c r="F290" s="5" t="n"/>
    </row>
    <row r="291">
      <c r="A291" s="10">
        <f>IF($E291="","",INDEX('Input Transaksi'!$A:$A,$E291))</f>
        <v/>
      </c>
      <c r="B291" s="5">
        <f>IF($E291="","",INDEX('Input Transaksi'!$D:$D,$E291))</f>
        <v/>
      </c>
      <c r="C291">
        <f>IF($E291="","",INDEX('Input Transaksi'!$E:$E,$E291))</f>
        <v/>
      </c>
      <c r="D291" s="5">
        <f>IF($E291="","",INDEX('Input Transaksi'!$F:$F,$E291))</f>
        <v/>
      </c>
      <c r="E291">
        <f>IFERROR(AGGREGATE(15,6,ROW('Input Transaksi'!$B$5:$B$5000)/('Input Transaksi'!$B$5:$B$5000="RINJANI WASH"),ROWS($E$5:E291)),"")</f>
        <v/>
      </c>
      <c r="F291" s="5" t="n"/>
    </row>
    <row r="292">
      <c r="A292" s="10">
        <f>IF($E292="","",INDEX('Input Transaksi'!$A:$A,$E292))</f>
        <v/>
      </c>
      <c r="B292" s="5">
        <f>IF($E292="","",INDEX('Input Transaksi'!$D:$D,$E292))</f>
        <v/>
      </c>
      <c r="C292">
        <f>IF($E292="","",INDEX('Input Transaksi'!$E:$E,$E292))</f>
        <v/>
      </c>
      <c r="D292" s="5">
        <f>IF($E292="","",INDEX('Input Transaksi'!$F:$F,$E292))</f>
        <v/>
      </c>
      <c r="E292">
        <f>IFERROR(AGGREGATE(15,6,ROW('Input Transaksi'!$B$5:$B$5000)/('Input Transaksi'!$B$5:$B$5000="RINJANI WASH"),ROWS($E$5:E292)),"")</f>
        <v/>
      </c>
      <c r="F292" s="5" t="n"/>
    </row>
    <row r="293">
      <c r="A293" s="10">
        <f>IF($E293="","",INDEX('Input Transaksi'!$A:$A,$E293))</f>
        <v/>
      </c>
      <c r="B293" s="5">
        <f>IF($E293="","",INDEX('Input Transaksi'!$D:$D,$E293))</f>
        <v/>
      </c>
      <c r="C293">
        <f>IF($E293="","",INDEX('Input Transaksi'!$E:$E,$E293))</f>
        <v/>
      </c>
      <c r="D293" s="5">
        <f>IF($E293="","",INDEX('Input Transaksi'!$F:$F,$E293))</f>
        <v/>
      </c>
      <c r="E293">
        <f>IFERROR(AGGREGATE(15,6,ROW('Input Transaksi'!$B$5:$B$5000)/('Input Transaksi'!$B$5:$B$5000="RINJANI WASH"),ROWS($E$5:E293)),"")</f>
        <v/>
      </c>
      <c r="F293" s="5" t="n"/>
    </row>
    <row r="294">
      <c r="A294" s="10">
        <f>IF($E294="","",INDEX('Input Transaksi'!$A:$A,$E294))</f>
        <v/>
      </c>
      <c r="B294" s="5">
        <f>IF($E294="","",INDEX('Input Transaksi'!$D:$D,$E294))</f>
        <v/>
      </c>
      <c r="C294">
        <f>IF($E294="","",INDEX('Input Transaksi'!$E:$E,$E294))</f>
        <v/>
      </c>
      <c r="D294" s="5">
        <f>IF($E294="","",INDEX('Input Transaksi'!$F:$F,$E294))</f>
        <v/>
      </c>
      <c r="E294">
        <f>IFERROR(AGGREGATE(15,6,ROW('Input Transaksi'!$B$5:$B$5000)/('Input Transaksi'!$B$5:$B$5000="RINJANI WASH"),ROWS($E$5:E294)),"")</f>
        <v/>
      </c>
      <c r="F294" s="5" t="n"/>
    </row>
    <row r="295">
      <c r="A295" s="10">
        <f>IF($E295="","",INDEX('Input Transaksi'!$A:$A,$E295))</f>
        <v/>
      </c>
      <c r="B295" s="5">
        <f>IF($E295="","",INDEX('Input Transaksi'!$D:$D,$E295))</f>
        <v/>
      </c>
      <c r="C295">
        <f>IF($E295="","",INDEX('Input Transaksi'!$E:$E,$E295))</f>
        <v/>
      </c>
      <c r="D295" s="5">
        <f>IF($E295="","",INDEX('Input Transaksi'!$F:$F,$E295))</f>
        <v/>
      </c>
      <c r="E295">
        <f>IFERROR(AGGREGATE(15,6,ROW('Input Transaksi'!$B$5:$B$5000)/('Input Transaksi'!$B$5:$B$5000="RINJANI WASH"),ROWS($E$5:E295)),"")</f>
        <v/>
      </c>
      <c r="F295" s="5" t="n"/>
    </row>
    <row r="296">
      <c r="A296" s="10">
        <f>IF($E296="","",INDEX('Input Transaksi'!$A:$A,$E296))</f>
        <v/>
      </c>
      <c r="B296" s="5">
        <f>IF($E296="","",INDEX('Input Transaksi'!$D:$D,$E296))</f>
        <v/>
      </c>
      <c r="C296">
        <f>IF($E296="","",INDEX('Input Transaksi'!$E:$E,$E296))</f>
        <v/>
      </c>
      <c r="D296" s="5">
        <f>IF($E296="","",INDEX('Input Transaksi'!$F:$F,$E296))</f>
        <v/>
      </c>
      <c r="E296">
        <f>IFERROR(AGGREGATE(15,6,ROW('Input Transaksi'!$B$5:$B$5000)/('Input Transaksi'!$B$5:$B$5000="RINJANI WASH"),ROWS($E$5:E296)),"")</f>
        <v/>
      </c>
      <c r="F296" s="5" t="n"/>
    </row>
    <row r="297">
      <c r="A297" s="10">
        <f>IF($E297="","",INDEX('Input Transaksi'!$A:$A,$E297))</f>
        <v/>
      </c>
      <c r="B297" s="5">
        <f>IF($E297="","",INDEX('Input Transaksi'!$D:$D,$E297))</f>
        <v/>
      </c>
      <c r="C297">
        <f>IF($E297="","",INDEX('Input Transaksi'!$E:$E,$E297))</f>
        <v/>
      </c>
      <c r="D297" s="5">
        <f>IF($E297="","",INDEX('Input Transaksi'!$F:$F,$E297))</f>
        <v/>
      </c>
      <c r="E297">
        <f>IFERROR(AGGREGATE(15,6,ROW('Input Transaksi'!$B$5:$B$5000)/('Input Transaksi'!$B$5:$B$5000="RINJANI WASH"),ROWS($E$5:E297)),"")</f>
        <v/>
      </c>
      <c r="F297" s="5" t="n"/>
    </row>
    <row r="298">
      <c r="A298" s="10">
        <f>IF($E298="","",INDEX('Input Transaksi'!$A:$A,$E298))</f>
        <v/>
      </c>
      <c r="B298" s="5">
        <f>IF($E298="","",INDEX('Input Transaksi'!$D:$D,$E298))</f>
        <v/>
      </c>
      <c r="C298">
        <f>IF($E298="","",INDEX('Input Transaksi'!$E:$E,$E298))</f>
        <v/>
      </c>
      <c r="D298" s="5">
        <f>IF($E298="","",INDEX('Input Transaksi'!$F:$F,$E298))</f>
        <v/>
      </c>
      <c r="E298">
        <f>IFERROR(AGGREGATE(15,6,ROW('Input Transaksi'!$B$5:$B$5000)/('Input Transaksi'!$B$5:$B$5000="RINJANI WASH"),ROWS($E$5:E298)),"")</f>
        <v/>
      </c>
      <c r="F298" s="5" t="n"/>
    </row>
    <row r="299">
      <c r="A299" s="10">
        <f>IF($E299="","",INDEX('Input Transaksi'!$A:$A,$E299))</f>
        <v/>
      </c>
      <c r="B299" s="5">
        <f>IF($E299="","",INDEX('Input Transaksi'!$D:$D,$E299))</f>
        <v/>
      </c>
      <c r="C299">
        <f>IF($E299="","",INDEX('Input Transaksi'!$E:$E,$E299))</f>
        <v/>
      </c>
      <c r="D299" s="5">
        <f>IF($E299="","",INDEX('Input Transaksi'!$F:$F,$E299))</f>
        <v/>
      </c>
      <c r="E299">
        <f>IFERROR(AGGREGATE(15,6,ROW('Input Transaksi'!$B$5:$B$5000)/('Input Transaksi'!$B$5:$B$5000="RINJANI WASH"),ROWS($E$5:E299)),"")</f>
        <v/>
      </c>
      <c r="F299" s="5" t="n"/>
    </row>
    <row r="300">
      <c r="A300" s="10">
        <f>IF($E300="","",INDEX('Input Transaksi'!$A:$A,$E300))</f>
        <v/>
      </c>
      <c r="B300" s="5">
        <f>IF($E300="","",INDEX('Input Transaksi'!$D:$D,$E300))</f>
        <v/>
      </c>
      <c r="C300">
        <f>IF($E300="","",INDEX('Input Transaksi'!$E:$E,$E300))</f>
        <v/>
      </c>
      <c r="D300" s="5">
        <f>IF($E300="","",INDEX('Input Transaksi'!$F:$F,$E300))</f>
        <v/>
      </c>
      <c r="E300">
        <f>IFERROR(AGGREGATE(15,6,ROW('Input Transaksi'!$B$5:$B$5000)/('Input Transaksi'!$B$5:$B$5000="RINJANI WASH"),ROWS($E$5:E300)),"")</f>
        <v/>
      </c>
      <c r="F300" s="5" t="n"/>
    </row>
    <row r="301">
      <c r="A301" s="10">
        <f>IF($E301="","",INDEX('Input Transaksi'!$A:$A,$E301))</f>
        <v/>
      </c>
      <c r="B301" s="5">
        <f>IF($E301="","",INDEX('Input Transaksi'!$D:$D,$E301))</f>
        <v/>
      </c>
      <c r="C301">
        <f>IF($E301="","",INDEX('Input Transaksi'!$E:$E,$E301))</f>
        <v/>
      </c>
      <c r="D301" s="5">
        <f>IF($E301="","",INDEX('Input Transaksi'!$F:$F,$E301))</f>
        <v/>
      </c>
      <c r="E301">
        <f>IFERROR(AGGREGATE(15,6,ROW('Input Transaksi'!$B$5:$B$5000)/('Input Transaksi'!$B$5:$B$5000="RINJANI WASH"),ROWS($E$5:E301)),"")</f>
        <v/>
      </c>
      <c r="F301" s="5" t="n"/>
    </row>
    <row r="302">
      <c r="A302" s="10">
        <f>IF($E302="","",INDEX('Input Transaksi'!$A:$A,$E302))</f>
        <v/>
      </c>
      <c r="B302" s="5">
        <f>IF($E302="","",INDEX('Input Transaksi'!$D:$D,$E302))</f>
        <v/>
      </c>
      <c r="C302">
        <f>IF($E302="","",INDEX('Input Transaksi'!$E:$E,$E302))</f>
        <v/>
      </c>
      <c r="D302" s="5">
        <f>IF($E302="","",INDEX('Input Transaksi'!$F:$F,$E302))</f>
        <v/>
      </c>
      <c r="E302">
        <f>IFERROR(AGGREGATE(15,6,ROW('Input Transaksi'!$B$5:$B$5000)/('Input Transaksi'!$B$5:$B$5000="RINJANI WASH"),ROWS($E$5:E302)),"")</f>
        <v/>
      </c>
      <c r="F302" s="5" t="n"/>
    </row>
    <row r="303">
      <c r="A303" s="10">
        <f>IF($E303="","",INDEX('Input Transaksi'!$A:$A,$E303))</f>
        <v/>
      </c>
      <c r="B303" s="5">
        <f>IF($E303="","",INDEX('Input Transaksi'!$D:$D,$E303))</f>
        <v/>
      </c>
      <c r="C303">
        <f>IF($E303="","",INDEX('Input Transaksi'!$E:$E,$E303))</f>
        <v/>
      </c>
      <c r="D303" s="5">
        <f>IF($E303="","",INDEX('Input Transaksi'!$F:$F,$E303))</f>
        <v/>
      </c>
      <c r="E303">
        <f>IFERROR(AGGREGATE(15,6,ROW('Input Transaksi'!$B$5:$B$5000)/('Input Transaksi'!$B$5:$B$5000="RINJANI WASH"),ROWS($E$5:E303)),"")</f>
        <v/>
      </c>
      <c r="F303" s="5" t="n"/>
    </row>
    <row r="304">
      <c r="A304" s="10">
        <f>IF($E304="","",INDEX('Input Transaksi'!$A:$A,$E304))</f>
        <v/>
      </c>
      <c r="B304" s="5">
        <f>IF($E304="","",INDEX('Input Transaksi'!$D:$D,$E304))</f>
        <v/>
      </c>
      <c r="C304">
        <f>IF($E304="","",INDEX('Input Transaksi'!$E:$E,$E304))</f>
        <v/>
      </c>
      <c r="D304" s="5">
        <f>IF($E304="","",INDEX('Input Transaksi'!$F:$F,$E304))</f>
        <v/>
      </c>
      <c r="E304">
        <f>IFERROR(AGGREGATE(15,6,ROW('Input Transaksi'!$B$5:$B$5000)/('Input Transaksi'!$B$5:$B$5000="RINJANI WASH"),ROWS($E$5:E304)),"")</f>
        <v/>
      </c>
      <c r="F304" s="5" t="n"/>
    </row>
    <row r="305">
      <c r="A305" s="10">
        <f>IF($E305="","",INDEX('Input Transaksi'!$A:$A,$E305))</f>
        <v/>
      </c>
      <c r="B305" s="5">
        <f>IF($E305="","",INDEX('Input Transaksi'!$D:$D,$E305))</f>
        <v/>
      </c>
      <c r="C305">
        <f>IF($E305="","",INDEX('Input Transaksi'!$E:$E,$E305))</f>
        <v/>
      </c>
      <c r="D305" s="5">
        <f>IF($E305="","",INDEX('Input Transaksi'!$F:$F,$E305))</f>
        <v/>
      </c>
      <c r="E305">
        <f>IFERROR(AGGREGATE(15,6,ROW('Input Transaksi'!$B$5:$B$5000)/('Input Transaksi'!$B$5:$B$5000="RINJANI WASH"),ROWS($E$5:E305)),"")</f>
        <v/>
      </c>
      <c r="F305" s="5" t="n"/>
    </row>
    <row r="306">
      <c r="A306" s="10">
        <f>IF($E306="","",INDEX('Input Transaksi'!$A:$A,$E306))</f>
        <v/>
      </c>
      <c r="B306" s="5">
        <f>IF($E306="","",INDEX('Input Transaksi'!$D:$D,$E306))</f>
        <v/>
      </c>
      <c r="C306">
        <f>IF($E306="","",INDEX('Input Transaksi'!$E:$E,$E306))</f>
        <v/>
      </c>
      <c r="D306" s="5">
        <f>IF($E306="","",INDEX('Input Transaksi'!$F:$F,$E306))</f>
        <v/>
      </c>
      <c r="E306">
        <f>IFERROR(AGGREGATE(15,6,ROW('Input Transaksi'!$B$5:$B$5000)/('Input Transaksi'!$B$5:$B$5000="RINJANI WASH"),ROWS($E$5:E306)),"")</f>
        <v/>
      </c>
      <c r="F306" s="5" t="n"/>
    </row>
    <row r="307">
      <c r="A307" s="10">
        <f>IF($E307="","",INDEX('Input Transaksi'!$A:$A,$E307))</f>
        <v/>
      </c>
      <c r="B307" s="5">
        <f>IF($E307="","",INDEX('Input Transaksi'!$D:$D,$E307))</f>
        <v/>
      </c>
      <c r="C307">
        <f>IF($E307="","",INDEX('Input Transaksi'!$E:$E,$E307))</f>
        <v/>
      </c>
      <c r="D307" s="5">
        <f>IF($E307="","",INDEX('Input Transaksi'!$F:$F,$E307))</f>
        <v/>
      </c>
      <c r="E307">
        <f>IFERROR(AGGREGATE(15,6,ROW('Input Transaksi'!$B$5:$B$5000)/('Input Transaksi'!$B$5:$B$5000="RINJANI WASH"),ROWS($E$5:E307)),"")</f>
        <v/>
      </c>
      <c r="F307" s="5" t="n"/>
    </row>
    <row r="308">
      <c r="A308" s="10">
        <f>IF($E308="","",INDEX('Input Transaksi'!$A:$A,$E308))</f>
        <v/>
      </c>
      <c r="B308" s="5">
        <f>IF($E308="","",INDEX('Input Transaksi'!$D:$D,$E308))</f>
        <v/>
      </c>
      <c r="C308">
        <f>IF($E308="","",INDEX('Input Transaksi'!$E:$E,$E308))</f>
        <v/>
      </c>
      <c r="D308" s="5">
        <f>IF($E308="","",INDEX('Input Transaksi'!$F:$F,$E308))</f>
        <v/>
      </c>
      <c r="E308">
        <f>IFERROR(AGGREGATE(15,6,ROW('Input Transaksi'!$B$5:$B$5000)/('Input Transaksi'!$B$5:$B$5000="RINJANI WASH"),ROWS($E$5:E308)),"")</f>
        <v/>
      </c>
      <c r="F308" s="5" t="n"/>
    </row>
    <row r="309">
      <c r="A309" s="10">
        <f>IF($E309="","",INDEX('Input Transaksi'!$A:$A,$E309))</f>
        <v/>
      </c>
      <c r="B309" s="5">
        <f>IF($E309="","",INDEX('Input Transaksi'!$D:$D,$E309))</f>
        <v/>
      </c>
      <c r="C309">
        <f>IF($E309="","",INDEX('Input Transaksi'!$E:$E,$E309))</f>
        <v/>
      </c>
      <c r="D309" s="5">
        <f>IF($E309="","",INDEX('Input Transaksi'!$F:$F,$E309))</f>
        <v/>
      </c>
      <c r="E309">
        <f>IFERROR(AGGREGATE(15,6,ROW('Input Transaksi'!$B$5:$B$5000)/('Input Transaksi'!$B$5:$B$5000="RINJANI WASH"),ROWS($E$5:E309)),"")</f>
        <v/>
      </c>
      <c r="F309" s="5" t="n"/>
    </row>
    <row r="310">
      <c r="A310" s="10">
        <f>IF($E310="","",INDEX('Input Transaksi'!$A:$A,$E310))</f>
        <v/>
      </c>
      <c r="B310" s="5">
        <f>IF($E310="","",INDEX('Input Transaksi'!$D:$D,$E310))</f>
        <v/>
      </c>
      <c r="C310">
        <f>IF($E310="","",INDEX('Input Transaksi'!$E:$E,$E310))</f>
        <v/>
      </c>
      <c r="D310" s="5">
        <f>IF($E310="","",INDEX('Input Transaksi'!$F:$F,$E310))</f>
        <v/>
      </c>
      <c r="E310">
        <f>IFERROR(AGGREGATE(15,6,ROW('Input Transaksi'!$B$5:$B$5000)/('Input Transaksi'!$B$5:$B$5000="RINJANI WASH"),ROWS($E$5:E310)),"")</f>
        <v/>
      </c>
      <c r="F310" s="5" t="n"/>
    </row>
    <row r="311">
      <c r="A311" s="10">
        <f>IF($E311="","",INDEX('Input Transaksi'!$A:$A,$E311))</f>
        <v/>
      </c>
      <c r="B311" s="5">
        <f>IF($E311="","",INDEX('Input Transaksi'!$D:$D,$E311))</f>
        <v/>
      </c>
      <c r="C311">
        <f>IF($E311="","",INDEX('Input Transaksi'!$E:$E,$E311))</f>
        <v/>
      </c>
      <c r="D311" s="5">
        <f>IF($E311="","",INDEX('Input Transaksi'!$F:$F,$E311))</f>
        <v/>
      </c>
      <c r="E311">
        <f>IFERROR(AGGREGATE(15,6,ROW('Input Transaksi'!$B$5:$B$5000)/('Input Transaksi'!$B$5:$B$5000="RINJANI WASH"),ROWS($E$5:E311)),"")</f>
        <v/>
      </c>
      <c r="F311" s="5" t="n"/>
    </row>
    <row r="312">
      <c r="A312" s="10">
        <f>IF($E312="","",INDEX('Input Transaksi'!$A:$A,$E312))</f>
        <v/>
      </c>
      <c r="B312" s="5">
        <f>IF($E312="","",INDEX('Input Transaksi'!$D:$D,$E312))</f>
        <v/>
      </c>
      <c r="C312">
        <f>IF($E312="","",INDEX('Input Transaksi'!$E:$E,$E312))</f>
        <v/>
      </c>
      <c r="D312" s="5">
        <f>IF($E312="","",INDEX('Input Transaksi'!$F:$F,$E312))</f>
        <v/>
      </c>
      <c r="E312">
        <f>IFERROR(AGGREGATE(15,6,ROW('Input Transaksi'!$B$5:$B$5000)/('Input Transaksi'!$B$5:$B$5000="RINJANI WASH"),ROWS($E$5:E312)),"")</f>
        <v/>
      </c>
      <c r="F312" s="5" t="n"/>
    </row>
    <row r="313">
      <c r="A313" s="10">
        <f>IF($E313="","",INDEX('Input Transaksi'!$A:$A,$E313))</f>
        <v/>
      </c>
      <c r="B313" s="5">
        <f>IF($E313="","",INDEX('Input Transaksi'!$D:$D,$E313))</f>
        <v/>
      </c>
      <c r="C313">
        <f>IF($E313="","",INDEX('Input Transaksi'!$E:$E,$E313))</f>
        <v/>
      </c>
      <c r="D313" s="5">
        <f>IF($E313="","",INDEX('Input Transaksi'!$F:$F,$E313))</f>
        <v/>
      </c>
      <c r="E313">
        <f>IFERROR(AGGREGATE(15,6,ROW('Input Transaksi'!$B$5:$B$5000)/('Input Transaksi'!$B$5:$B$5000="RINJANI WASH"),ROWS($E$5:E313)),"")</f>
        <v/>
      </c>
      <c r="F313" s="5" t="n"/>
    </row>
    <row r="314">
      <c r="A314" s="10">
        <f>IF($E314="","",INDEX('Input Transaksi'!$A:$A,$E314))</f>
        <v/>
      </c>
      <c r="B314" s="5">
        <f>IF($E314="","",INDEX('Input Transaksi'!$D:$D,$E314))</f>
        <v/>
      </c>
      <c r="C314">
        <f>IF($E314="","",INDEX('Input Transaksi'!$E:$E,$E314))</f>
        <v/>
      </c>
      <c r="D314" s="5">
        <f>IF($E314="","",INDEX('Input Transaksi'!$F:$F,$E314))</f>
        <v/>
      </c>
      <c r="E314">
        <f>IFERROR(AGGREGATE(15,6,ROW('Input Transaksi'!$B$5:$B$5000)/('Input Transaksi'!$B$5:$B$5000="RINJANI WASH"),ROWS($E$5:E314)),"")</f>
        <v/>
      </c>
      <c r="F314" s="5" t="n"/>
    </row>
    <row r="315">
      <c r="A315" s="10">
        <f>IF($E315="","",INDEX('Input Transaksi'!$A:$A,$E315))</f>
        <v/>
      </c>
      <c r="B315" s="5">
        <f>IF($E315="","",INDEX('Input Transaksi'!$D:$D,$E315))</f>
        <v/>
      </c>
      <c r="C315">
        <f>IF($E315="","",INDEX('Input Transaksi'!$E:$E,$E315))</f>
        <v/>
      </c>
      <c r="D315" s="5">
        <f>IF($E315="","",INDEX('Input Transaksi'!$F:$F,$E315))</f>
        <v/>
      </c>
      <c r="E315">
        <f>IFERROR(AGGREGATE(15,6,ROW('Input Transaksi'!$B$5:$B$5000)/('Input Transaksi'!$B$5:$B$5000="RINJANI WASH"),ROWS($E$5:E315)),"")</f>
        <v/>
      </c>
      <c r="F315" s="5" t="n"/>
    </row>
    <row r="316">
      <c r="A316" s="10">
        <f>IF($E316="","",INDEX('Input Transaksi'!$A:$A,$E316))</f>
        <v/>
      </c>
      <c r="B316" s="5">
        <f>IF($E316="","",INDEX('Input Transaksi'!$D:$D,$E316))</f>
        <v/>
      </c>
      <c r="C316">
        <f>IF($E316="","",INDEX('Input Transaksi'!$E:$E,$E316))</f>
        <v/>
      </c>
      <c r="D316" s="5">
        <f>IF($E316="","",INDEX('Input Transaksi'!$F:$F,$E316))</f>
        <v/>
      </c>
      <c r="E316">
        <f>IFERROR(AGGREGATE(15,6,ROW('Input Transaksi'!$B$5:$B$5000)/('Input Transaksi'!$B$5:$B$5000="RINJANI WASH"),ROWS($E$5:E316)),"")</f>
        <v/>
      </c>
      <c r="F316" s="5" t="n"/>
    </row>
    <row r="317">
      <c r="A317" s="10">
        <f>IF($E317="","",INDEX('Input Transaksi'!$A:$A,$E317))</f>
        <v/>
      </c>
      <c r="B317" s="5">
        <f>IF($E317="","",INDEX('Input Transaksi'!$D:$D,$E317))</f>
        <v/>
      </c>
      <c r="C317">
        <f>IF($E317="","",INDEX('Input Transaksi'!$E:$E,$E317))</f>
        <v/>
      </c>
      <c r="D317" s="5">
        <f>IF($E317="","",INDEX('Input Transaksi'!$F:$F,$E317))</f>
        <v/>
      </c>
      <c r="E317">
        <f>IFERROR(AGGREGATE(15,6,ROW('Input Transaksi'!$B$5:$B$5000)/('Input Transaksi'!$B$5:$B$5000="RINJANI WASH"),ROWS($E$5:E317)),"")</f>
        <v/>
      </c>
      <c r="F317" s="5" t="n"/>
    </row>
    <row r="318">
      <c r="A318" s="10">
        <f>IF($E318="","",INDEX('Input Transaksi'!$A:$A,$E318))</f>
        <v/>
      </c>
      <c r="B318" s="5">
        <f>IF($E318="","",INDEX('Input Transaksi'!$D:$D,$E318))</f>
        <v/>
      </c>
      <c r="C318">
        <f>IF($E318="","",INDEX('Input Transaksi'!$E:$E,$E318))</f>
        <v/>
      </c>
      <c r="D318" s="5">
        <f>IF($E318="","",INDEX('Input Transaksi'!$F:$F,$E318))</f>
        <v/>
      </c>
      <c r="E318">
        <f>IFERROR(AGGREGATE(15,6,ROW('Input Transaksi'!$B$5:$B$5000)/('Input Transaksi'!$B$5:$B$5000="RINJANI WASH"),ROWS($E$5:E318)),"")</f>
        <v/>
      </c>
      <c r="F318" s="5" t="n"/>
    </row>
    <row r="319">
      <c r="A319" s="10">
        <f>IF($E319="","",INDEX('Input Transaksi'!$A:$A,$E319))</f>
        <v/>
      </c>
      <c r="B319" s="5">
        <f>IF($E319="","",INDEX('Input Transaksi'!$D:$D,$E319))</f>
        <v/>
      </c>
      <c r="C319">
        <f>IF($E319="","",INDEX('Input Transaksi'!$E:$E,$E319))</f>
        <v/>
      </c>
      <c r="D319" s="5">
        <f>IF($E319="","",INDEX('Input Transaksi'!$F:$F,$E319))</f>
        <v/>
      </c>
      <c r="E319">
        <f>IFERROR(AGGREGATE(15,6,ROW('Input Transaksi'!$B$5:$B$5000)/('Input Transaksi'!$B$5:$B$5000="RINJANI WASH"),ROWS($E$5:E319)),"")</f>
        <v/>
      </c>
      <c r="F319" s="5" t="n"/>
    </row>
    <row r="320">
      <c r="A320" s="10">
        <f>IF($E320="","",INDEX('Input Transaksi'!$A:$A,$E320))</f>
        <v/>
      </c>
      <c r="B320" s="5">
        <f>IF($E320="","",INDEX('Input Transaksi'!$D:$D,$E320))</f>
        <v/>
      </c>
      <c r="C320">
        <f>IF($E320="","",INDEX('Input Transaksi'!$E:$E,$E320))</f>
        <v/>
      </c>
      <c r="D320" s="5">
        <f>IF($E320="","",INDEX('Input Transaksi'!$F:$F,$E320))</f>
        <v/>
      </c>
      <c r="E320">
        <f>IFERROR(AGGREGATE(15,6,ROW('Input Transaksi'!$B$5:$B$5000)/('Input Transaksi'!$B$5:$B$5000="RINJANI WASH"),ROWS($E$5:E320)),"")</f>
        <v/>
      </c>
      <c r="F320" s="5" t="n"/>
    </row>
    <row r="321">
      <c r="A321" s="10">
        <f>IF($E321="","",INDEX('Input Transaksi'!$A:$A,$E321))</f>
        <v/>
      </c>
      <c r="B321" s="5">
        <f>IF($E321="","",INDEX('Input Transaksi'!$D:$D,$E321))</f>
        <v/>
      </c>
      <c r="C321">
        <f>IF($E321="","",INDEX('Input Transaksi'!$E:$E,$E321))</f>
        <v/>
      </c>
      <c r="D321" s="5">
        <f>IF($E321="","",INDEX('Input Transaksi'!$F:$F,$E321))</f>
        <v/>
      </c>
      <c r="E321">
        <f>IFERROR(AGGREGATE(15,6,ROW('Input Transaksi'!$B$5:$B$5000)/('Input Transaksi'!$B$5:$B$5000="RINJANI WASH"),ROWS($E$5:E321)),"")</f>
        <v/>
      </c>
      <c r="F321" s="5" t="n"/>
    </row>
    <row r="322">
      <c r="A322" s="10">
        <f>IF($E322="","",INDEX('Input Transaksi'!$A:$A,$E322))</f>
        <v/>
      </c>
      <c r="B322" s="5">
        <f>IF($E322="","",INDEX('Input Transaksi'!$D:$D,$E322))</f>
        <v/>
      </c>
      <c r="C322">
        <f>IF($E322="","",INDEX('Input Transaksi'!$E:$E,$E322))</f>
        <v/>
      </c>
      <c r="D322" s="5">
        <f>IF($E322="","",INDEX('Input Transaksi'!$F:$F,$E322))</f>
        <v/>
      </c>
      <c r="E322">
        <f>IFERROR(AGGREGATE(15,6,ROW('Input Transaksi'!$B$5:$B$5000)/('Input Transaksi'!$B$5:$B$5000="RINJANI WASH"),ROWS($E$5:E322)),"")</f>
        <v/>
      </c>
      <c r="F322" s="5" t="n"/>
    </row>
    <row r="323">
      <c r="A323" s="10">
        <f>IF($E323="","",INDEX('Input Transaksi'!$A:$A,$E323))</f>
        <v/>
      </c>
      <c r="B323" s="5">
        <f>IF($E323="","",INDEX('Input Transaksi'!$D:$D,$E323))</f>
        <v/>
      </c>
      <c r="C323">
        <f>IF($E323="","",INDEX('Input Transaksi'!$E:$E,$E323))</f>
        <v/>
      </c>
      <c r="D323" s="5">
        <f>IF($E323="","",INDEX('Input Transaksi'!$F:$F,$E323))</f>
        <v/>
      </c>
      <c r="E323">
        <f>IFERROR(AGGREGATE(15,6,ROW('Input Transaksi'!$B$5:$B$5000)/('Input Transaksi'!$B$5:$B$5000="RINJANI WASH"),ROWS($E$5:E323)),"")</f>
        <v/>
      </c>
      <c r="F323" s="5" t="n"/>
    </row>
    <row r="324">
      <c r="A324" s="10">
        <f>IF($E324="","",INDEX('Input Transaksi'!$A:$A,$E324))</f>
        <v/>
      </c>
      <c r="B324" s="5">
        <f>IF($E324="","",INDEX('Input Transaksi'!$D:$D,$E324))</f>
        <v/>
      </c>
      <c r="C324">
        <f>IF($E324="","",INDEX('Input Transaksi'!$E:$E,$E324))</f>
        <v/>
      </c>
      <c r="D324" s="5">
        <f>IF($E324="","",INDEX('Input Transaksi'!$F:$F,$E324))</f>
        <v/>
      </c>
      <c r="E324">
        <f>IFERROR(AGGREGATE(15,6,ROW('Input Transaksi'!$B$5:$B$5000)/('Input Transaksi'!$B$5:$B$5000="RINJANI WASH"),ROWS($E$5:E324)),"")</f>
        <v/>
      </c>
      <c r="F324" s="5" t="n"/>
    </row>
    <row r="325">
      <c r="A325" s="10">
        <f>IF($E325="","",INDEX('Input Transaksi'!$A:$A,$E325))</f>
        <v/>
      </c>
      <c r="B325" s="5">
        <f>IF($E325="","",INDEX('Input Transaksi'!$D:$D,$E325))</f>
        <v/>
      </c>
      <c r="C325">
        <f>IF($E325="","",INDEX('Input Transaksi'!$E:$E,$E325))</f>
        <v/>
      </c>
      <c r="D325" s="5">
        <f>IF($E325="","",INDEX('Input Transaksi'!$F:$F,$E325))</f>
        <v/>
      </c>
      <c r="E325">
        <f>IFERROR(AGGREGATE(15,6,ROW('Input Transaksi'!$B$5:$B$5000)/('Input Transaksi'!$B$5:$B$5000="RINJANI WASH"),ROWS($E$5:E325)),"")</f>
        <v/>
      </c>
      <c r="F325" s="5" t="n"/>
    </row>
    <row r="326">
      <c r="A326" s="10">
        <f>IF($E326="","",INDEX('Input Transaksi'!$A:$A,$E326))</f>
        <v/>
      </c>
      <c r="B326" s="5">
        <f>IF($E326="","",INDEX('Input Transaksi'!$D:$D,$E326))</f>
        <v/>
      </c>
      <c r="C326">
        <f>IF($E326="","",INDEX('Input Transaksi'!$E:$E,$E326))</f>
        <v/>
      </c>
      <c r="D326" s="5">
        <f>IF($E326="","",INDEX('Input Transaksi'!$F:$F,$E326))</f>
        <v/>
      </c>
      <c r="E326">
        <f>IFERROR(AGGREGATE(15,6,ROW('Input Transaksi'!$B$5:$B$5000)/('Input Transaksi'!$B$5:$B$5000="RINJANI WASH"),ROWS($E$5:E326)),"")</f>
        <v/>
      </c>
      <c r="F326" s="5" t="n"/>
    </row>
    <row r="327">
      <c r="A327" s="10">
        <f>IF($E327="","",INDEX('Input Transaksi'!$A:$A,$E327))</f>
        <v/>
      </c>
      <c r="B327" s="5">
        <f>IF($E327="","",INDEX('Input Transaksi'!$D:$D,$E327))</f>
        <v/>
      </c>
      <c r="C327">
        <f>IF($E327="","",INDEX('Input Transaksi'!$E:$E,$E327))</f>
        <v/>
      </c>
      <c r="D327" s="5">
        <f>IF($E327="","",INDEX('Input Transaksi'!$F:$F,$E327))</f>
        <v/>
      </c>
      <c r="E327">
        <f>IFERROR(AGGREGATE(15,6,ROW('Input Transaksi'!$B$5:$B$5000)/('Input Transaksi'!$B$5:$B$5000="RINJANI WASH"),ROWS($E$5:E327)),"")</f>
        <v/>
      </c>
      <c r="F327" s="5" t="n"/>
    </row>
    <row r="328">
      <c r="A328" s="10">
        <f>IF($E328="","",INDEX('Input Transaksi'!$A:$A,$E328))</f>
        <v/>
      </c>
      <c r="B328" s="5">
        <f>IF($E328="","",INDEX('Input Transaksi'!$D:$D,$E328))</f>
        <v/>
      </c>
      <c r="C328">
        <f>IF($E328="","",INDEX('Input Transaksi'!$E:$E,$E328))</f>
        <v/>
      </c>
      <c r="D328" s="5">
        <f>IF($E328="","",INDEX('Input Transaksi'!$F:$F,$E328))</f>
        <v/>
      </c>
      <c r="E328">
        <f>IFERROR(AGGREGATE(15,6,ROW('Input Transaksi'!$B$5:$B$5000)/('Input Transaksi'!$B$5:$B$5000="RINJANI WASH"),ROWS($E$5:E328)),"")</f>
        <v/>
      </c>
      <c r="F328" s="5" t="n"/>
    </row>
    <row r="329">
      <c r="A329" s="10">
        <f>IF($E329="","",INDEX('Input Transaksi'!$A:$A,$E329))</f>
        <v/>
      </c>
      <c r="B329" s="5">
        <f>IF($E329="","",INDEX('Input Transaksi'!$D:$D,$E329))</f>
        <v/>
      </c>
      <c r="C329">
        <f>IF($E329="","",INDEX('Input Transaksi'!$E:$E,$E329))</f>
        <v/>
      </c>
      <c r="D329" s="5">
        <f>IF($E329="","",INDEX('Input Transaksi'!$F:$F,$E329))</f>
        <v/>
      </c>
      <c r="E329">
        <f>IFERROR(AGGREGATE(15,6,ROW('Input Transaksi'!$B$5:$B$5000)/('Input Transaksi'!$B$5:$B$5000="RINJANI WASH"),ROWS($E$5:E329)),"")</f>
        <v/>
      </c>
      <c r="F329" s="5" t="n"/>
    </row>
    <row r="330">
      <c r="A330" s="10">
        <f>IF($E330="","",INDEX('Input Transaksi'!$A:$A,$E330))</f>
        <v/>
      </c>
      <c r="B330" s="5">
        <f>IF($E330="","",INDEX('Input Transaksi'!$D:$D,$E330))</f>
        <v/>
      </c>
      <c r="C330">
        <f>IF($E330="","",INDEX('Input Transaksi'!$E:$E,$E330))</f>
        <v/>
      </c>
      <c r="D330" s="5">
        <f>IF($E330="","",INDEX('Input Transaksi'!$F:$F,$E330))</f>
        <v/>
      </c>
      <c r="E330">
        <f>IFERROR(AGGREGATE(15,6,ROW('Input Transaksi'!$B$5:$B$5000)/('Input Transaksi'!$B$5:$B$5000="RINJANI WASH"),ROWS($E$5:E330)),"")</f>
        <v/>
      </c>
      <c r="F330" s="5" t="n"/>
    </row>
    <row r="331">
      <c r="A331" s="10">
        <f>IF($E331="","",INDEX('Input Transaksi'!$A:$A,$E331))</f>
        <v/>
      </c>
      <c r="B331" s="5">
        <f>IF($E331="","",INDEX('Input Transaksi'!$D:$D,$E331))</f>
        <v/>
      </c>
      <c r="C331">
        <f>IF($E331="","",INDEX('Input Transaksi'!$E:$E,$E331))</f>
        <v/>
      </c>
      <c r="D331" s="5">
        <f>IF($E331="","",INDEX('Input Transaksi'!$F:$F,$E331))</f>
        <v/>
      </c>
      <c r="E331">
        <f>IFERROR(AGGREGATE(15,6,ROW('Input Transaksi'!$B$5:$B$5000)/('Input Transaksi'!$B$5:$B$5000="RINJANI WASH"),ROWS($E$5:E331)),"")</f>
        <v/>
      </c>
      <c r="F331" s="5" t="n"/>
    </row>
    <row r="332">
      <c r="A332" s="10">
        <f>IF($E332="","",INDEX('Input Transaksi'!$A:$A,$E332))</f>
        <v/>
      </c>
      <c r="B332" s="5">
        <f>IF($E332="","",INDEX('Input Transaksi'!$D:$D,$E332))</f>
        <v/>
      </c>
      <c r="C332">
        <f>IF($E332="","",INDEX('Input Transaksi'!$E:$E,$E332))</f>
        <v/>
      </c>
      <c r="D332" s="5">
        <f>IF($E332="","",INDEX('Input Transaksi'!$F:$F,$E332))</f>
        <v/>
      </c>
      <c r="E332">
        <f>IFERROR(AGGREGATE(15,6,ROW('Input Transaksi'!$B$5:$B$5000)/('Input Transaksi'!$B$5:$B$5000="RINJANI WASH"),ROWS($E$5:E332)),"")</f>
        <v/>
      </c>
      <c r="F332" s="5" t="n"/>
    </row>
    <row r="333">
      <c r="A333" s="10">
        <f>IF($E333="","",INDEX('Input Transaksi'!$A:$A,$E333))</f>
        <v/>
      </c>
      <c r="B333" s="5">
        <f>IF($E333="","",INDEX('Input Transaksi'!$D:$D,$E333))</f>
        <v/>
      </c>
      <c r="C333">
        <f>IF($E333="","",INDEX('Input Transaksi'!$E:$E,$E333))</f>
        <v/>
      </c>
      <c r="D333" s="5">
        <f>IF($E333="","",INDEX('Input Transaksi'!$F:$F,$E333))</f>
        <v/>
      </c>
      <c r="E333">
        <f>IFERROR(AGGREGATE(15,6,ROW('Input Transaksi'!$B$5:$B$5000)/('Input Transaksi'!$B$5:$B$5000="RINJANI WASH"),ROWS($E$5:E333)),"")</f>
        <v/>
      </c>
      <c r="F333" s="5" t="n"/>
    </row>
    <row r="334">
      <c r="A334" s="10">
        <f>IF($E334="","",INDEX('Input Transaksi'!$A:$A,$E334))</f>
        <v/>
      </c>
      <c r="B334" s="5">
        <f>IF($E334="","",INDEX('Input Transaksi'!$D:$D,$E334))</f>
        <v/>
      </c>
      <c r="C334">
        <f>IF($E334="","",INDEX('Input Transaksi'!$E:$E,$E334))</f>
        <v/>
      </c>
      <c r="D334" s="5">
        <f>IF($E334="","",INDEX('Input Transaksi'!$F:$F,$E334))</f>
        <v/>
      </c>
      <c r="E334">
        <f>IFERROR(AGGREGATE(15,6,ROW('Input Transaksi'!$B$5:$B$5000)/('Input Transaksi'!$B$5:$B$5000="RINJANI WASH"),ROWS($E$5:E334)),"")</f>
        <v/>
      </c>
      <c r="F334" s="5" t="n"/>
    </row>
    <row r="335">
      <c r="A335" s="10">
        <f>IF($E335="","",INDEX('Input Transaksi'!$A:$A,$E335))</f>
        <v/>
      </c>
      <c r="B335" s="5">
        <f>IF($E335="","",INDEX('Input Transaksi'!$D:$D,$E335))</f>
        <v/>
      </c>
      <c r="C335">
        <f>IF($E335="","",INDEX('Input Transaksi'!$E:$E,$E335))</f>
        <v/>
      </c>
      <c r="D335" s="5">
        <f>IF($E335="","",INDEX('Input Transaksi'!$F:$F,$E335))</f>
        <v/>
      </c>
      <c r="E335">
        <f>IFERROR(AGGREGATE(15,6,ROW('Input Transaksi'!$B$5:$B$5000)/('Input Transaksi'!$B$5:$B$5000="RINJANI WASH"),ROWS($E$5:E335)),"")</f>
        <v/>
      </c>
      <c r="F335" s="5" t="n"/>
    </row>
    <row r="336">
      <c r="A336" s="10">
        <f>IF($E336="","",INDEX('Input Transaksi'!$A:$A,$E336))</f>
        <v/>
      </c>
      <c r="B336" s="5">
        <f>IF($E336="","",INDEX('Input Transaksi'!$D:$D,$E336))</f>
        <v/>
      </c>
      <c r="C336">
        <f>IF($E336="","",INDEX('Input Transaksi'!$E:$E,$E336))</f>
        <v/>
      </c>
      <c r="D336" s="5">
        <f>IF($E336="","",INDEX('Input Transaksi'!$F:$F,$E336))</f>
        <v/>
      </c>
      <c r="E336">
        <f>IFERROR(AGGREGATE(15,6,ROW('Input Transaksi'!$B$5:$B$5000)/('Input Transaksi'!$B$5:$B$5000="RINJANI WASH"),ROWS($E$5:E336)),"")</f>
        <v/>
      </c>
      <c r="F336" s="5" t="n"/>
    </row>
    <row r="337">
      <c r="A337" s="10">
        <f>IF($E337="","",INDEX('Input Transaksi'!$A:$A,$E337))</f>
        <v/>
      </c>
      <c r="B337" s="5">
        <f>IF($E337="","",INDEX('Input Transaksi'!$D:$D,$E337))</f>
        <v/>
      </c>
      <c r="C337">
        <f>IF($E337="","",INDEX('Input Transaksi'!$E:$E,$E337))</f>
        <v/>
      </c>
      <c r="D337" s="5">
        <f>IF($E337="","",INDEX('Input Transaksi'!$F:$F,$E337))</f>
        <v/>
      </c>
      <c r="E337">
        <f>IFERROR(AGGREGATE(15,6,ROW('Input Transaksi'!$B$5:$B$5000)/('Input Transaksi'!$B$5:$B$5000="RINJANI WASH"),ROWS($E$5:E337)),"")</f>
        <v/>
      </c>
      <c r="F337" s="5" t="n"/>
    </row>
    <row r="338">
      <c r="A338" s="10">
        <f>IF($E338="","",INDEX('Input Transaksi'!$A:$A,$E338))</f>
        <v/>
      </c>
      <c r="B338" s="5">
        <f>IF($E338="","",INDEX('Input Transaksi'!$D:$D,$E338))</f>
        <v/>
      </c>
      <c r="C338">
        <f>IF($E338="","",INDEX('Input Transaksi'!$E:$E,$E338))</f>
        <v/>
      </c>
      <c r="D338" s="5">
        <f>IF($E338="","",INDEX('Input Transaksi'!$F:$F,$E338))</f>
        <v/>
      </c>
      <c r="E338">
        <f>IFERROR(AGGREGATE(15,6,ROW('Input Transaksi'!$B$5:$B$5000)/('Input Transaksi'!$B$5:$B$5000="RINJANI WASH"),ROWS($E$5:E338)),"")</f>
        <v/>
      </c>
      <c r="F338" s="5" t="n"/>
    </row>
    <row r="339">
      <c r="A339" s="10">
        <f>IF($E339="","",INDEX('Input Transaksi'!$A:$A,$E339))</f>
        <v/>
      </c>
      <c r="B339" s="5">
        <f>IF($E339="","",INDEX('Input Transaksi'!$D:$D,$E339))</f>
        <v/>
      </c>
      <c r="C339">
        <f>IF($E339="","",INDEX('Input Transaksi'!$E:$E,$E339))</f>
        <v/>
      </c>
      <c r="D339" s="5">
        <f>IF($E339="","",INDEX('Input Transaksi'!$F:$F,$E339))</f>
        <v/>
      </c>
      <c r="E339">
        <f>IFERROR(AGGREGATE(15,6,ROW('Input Transaksi'!$B$5:$B$5000)/('Input Transaksi'!$B$5:$B$5000="RINJANI WASH"),ROWS($E$5:E339)),"")</f>
        <v/>
      </c>
      <c r="F339" s="5" t="n"/>
    </row>
    <row r="340">
      <c r="A340" s="10">
        <f>IF($E340="","",INDEX('Input Transaksi'!$A:$A,$E340))</f>
        <v/>
      </c>
      <c r="B340" s="5">
        <f>IF($E340="","",INDEX('Input Transaksi'!$D:$D,$E340))</f>
        <v/>
      </c>
      <c r="C340">
        <f>IF($E340="","",INDEX('Input Transaksi'!$E:$E,$E340))</f>
        <v/>
      </c>
      <c r="D340" s="5">
        <f>IF($E340="","",INDEX('Input Transaksi'!$F:$F,$E340))</f>
        <v/>
      </c>
      <c r="E340">
        <f>IFERROR(AGGREGATE(15,6,ROW('Input Transaksi'!$B$5:$B$5000)/('Input Transaksi'!$B$5:$B$5000="RINJANI WASH"),ROWS($E$5:E340)),"")</f>
        <v/>
      </c>
      <c r="F340" s="5" t="n"/>
    </row>
    <row r="341">
      <c r="A341" s="10">
        <f>IF($E341="","",INDEX('Input Transaksi'!$A:$A,$E341))</f>
        <v/>
      </c>
      <c r="B341" s="5">
        <f>IF($E341="","",INDEX('Input Transaksi'!$D:$D,$E341))</f>
        <v/>
      </c>
      <c r="C341">
        <f>IF($E341="","",INDEX('Input Transaksi'!$E:$E,$E341))</f>
        <v/>
      </c>
      <c r="D341" s="5">
        <f>IF($E341="","",INDEX('Input Transaksi'!$F:$F,$E341))</f>
        <v/>
      </c>
      <c r="E341">
        <f>IFERROR(AGGREGATE(15,6,ROW('Input Transaksi'!$B$5:$B$5000)/('Input Transaksi'!$B$5:$B$5000="RINJANI WASH"),ROWS($E$5:E341)),"")</f>
        <v/>
      </c>
      <c r="F341" s="5" t="n"/>
    </row>
    <row r="342">
      <c r="A342" s="10">
        <f>IF($E342="","",INDEX('Input Transaksi'!$A:$A,$E342))</f>
        <v/>
      </c>
      <c r="B342" s="5">
        <f>IF($E342="","",INDEX('Input Transaksi'!$D:$D,$E342))</f>
        <v/>
      </c>
      <c r="C342">
        <f>IF($E342="","",INDEX('Input Transaksi'!$E:$E,$E342))</f>
        <v/>
      </c>
      <c r="D342" s="5">
        <f>IF($E342="","",INDEX('Input Transaksi'!$F:$F,$E342))</f>
        <v/>
      </c>
      <c r="E342">
        <f>IFERROR(AGGREGATE(15,6,ROW('Input Transaksi'!$B$5:$B$5000)/('Input Transaksi'!$B$5:$B$5000="RINJANI WASH"),ROWS($E$5:E342)),"")</f>
        <v/>
      </c>
      <c r="F342" s="5" t="n"/>
    </row>
    <row r="343">
      <c r="A343" s="10">
        <f>IF($E343="","",INDEX('Input Transaksi'!$A:$A,$E343))</f>
        <v/>
      </c>
      <c r="B343" s="5">
        <f>IF($E343="","",INDEX('Input Transaksi'!$D:$D,$E343))</f>
        <v/>
      </c>
      <c r="C343">
        <f>IF($E343="","",INDEX('Input Transaksi'!$E:$E,$E343))</f>
        <v/>
      </c>
      <c r="D343" s="5">
        <f>IF($E343="","",INDEX('Input Transaksi'!$F:$F,$E343))</f>
        <v/>
      </c>
      <c r="E343">
        <f>IFERROR(AGGREGATE(15,6,ROW('Input Transaksi'!$B$5:$B$5000)/('Input Transaksi'!$B$5:$B$5000="RINJANI WASH"),ROWS($E$5:E343)),"")</f>
        <v/>
      </c>
      <c r="F343" s="5" t="n"/>
    </row>
    <row r="344">
      <c r="A344" s="10">
        <f>IF($E344="","",INDEX('Input Transaksi'!$A:$A,$E344))</f>
        <v/>
      </c>
      <c r="B344" s="5">
        <f>IF($E344="","",INDEX('Input Transaksi'!$D:$D,$E344))</f>
        <v/>
      </c>
      <c r="C344">
        <f>IF($E344="","",INDEX('Input Transaksi'!$E:$E,$E344))</f>
        <v/>
      </c>
      <c r="D344" s="5">
        <f>IF($E344="","",INDEX('Input Transaksi'!$F:$F,$E344))</f>
        <v/>
      </c>
      <c r="E344">
        <f>IFERROR(AGGREGATE(15,6,ROW('Input Transaksi'!$B$5:$B$5000)/('Input Transaksi'!$B$5:$B$5000="RINJANI WASH"),ROWS($E$5:E344)),"")</f>
        <v/>
      </c>
      <c r="F344" s="5" t="n"/>
    </row>
    <row r="345">
      <c r="A345" s="10">
        <f>IF($E345="","",INDEX('Input Transaksi'!$A:$A,$E345))</f>
        <v/>
      </c>
      <c r="B345" s="5">
        <f>IF($E345="","",INDEX('Input Transaksi'!$D:$D,$E345))</f>
        <v/>
      </c>
      <c r="C345">
        <f>IF($E345="","",INDEX('Input Transaksi'!$E:$E,$E345))</f>
        <v/>
      </c>
      <c r="D345" s="5">
        <f>IF($E345="","",INDEX('Input Transaksi'!$F:$F,$E345))</f>
        <v/>
      </c>
      <c r="E345">
        <f>IFERROR(AGGREGATE(15,6,ROW('Input Transaksi'!$B$5:$B$5000)/('Input Transaksi'!$B$5:$B$5000="RINJANI WASH"),ROWS($E$5:E345)),"")</f>
        <v/>
      </c>
      <c r="F345" s="5" t="n"/>
    </row>
    <row r="346">
      <c r="A346" s="10">
        <f>IF($E346="","",INDEX('Input Transaksi'!$A:$A,$E346))</f>
        <v/>
      </c>
      <c r="B346" s="5">
        <f>IF($E346="","",INDEX('Input Transaksi'!$D:$D,$E346))</f>
        <v/>
      </c>
      <c r="C346">
        <f>IF($E346="","",INDEX('Input Transaksi'!$E:$E,$E346))</f>
        <v/>
      </c>
      <c r="D346" s="5">
        <f>IF($E346="","",INDEX('Input Transaksi'!$F:$F,$E346))</f>
        <v/>
      </c>
      <c r="E346">
        <f>IFERROR(AGGREGATE(15,6,ROW('Input Transaksi'!$B$5:$B$5000)/('Input Transaksi'!$B$5:$B$5000="RINJANI WASH"),ROWS($E$5:E346)),"")</f>
        <v/>
      </c>
      <c r="F346" s="5" t="n"/>
    </row>
    <row r="347">
      <c r="A347" s="10">
        <f>IF($E347="","",INDEX('Input Transaksi'!$A:$A,$E347))</f>
        <v/>
      </c>
      <c r="B347" s="5">
        <f>IF($E347="","",INDEX('Input Transaksi'!$D:$D,$E347))</f>
        <v/>
      </c>
      <c r="C347">
        <f>IF($E347="","",INDEX('Input Transaksi'!$E:$E,$E347))</f>
        <v/>
      </c>
      <c r="D347" s="5">
        <f>IF($E347="","",INDEX('Input Transaksi'!$F:$F,$E347))</f>
        <v/>
      </c>
      <c r="E347">
        <f>IFERROR(AGGREGATE(15,6,ROW('Input Transaksi'!$B$5:$B$5000)/('Input Transaksi'!$B$5:$B$5000="RINJANI WASH"),ROWS($E$5:E347)),"")</f>
        <v/>
      </c>
      <c r="F347" s="5" t="n"/>
    </row>
    <row r="348">
      <c r="A348" s="10">
        <f>IF($E348="","",INDEX('Input Transaksi'!$A:$A,$E348))</f>
        <v/>
      </c>
      <c r="B348" s="5">
        <f>IF($E348="","",INDEX('Input Transaksi'!$D:$D,$E348))</f>
        <v/>
      </c>
      <c r="C348">
        <f>IF($E348="","",INDEX('Input Transaksi'!$E:$E,$E348))</f>
        <v/>
      </c>
      <c r="D348" s="5">
        <f>IF($E348="","",INDEX('Input Transaksi'!$F:$F,$E348))</f>
        <v/>
      </c>
      <c r="E348">
        <f>IFERROR(AGGREGATE(15,6,ROW('Input Transaksi'!$B$5:$B$5000)/('Input Transaksi'!$B$5:$B$5000="RINJANI WASH"),ROWS($E$5:E348)),"")</f>
        <v/>
      </c>
      <c r="F348" s="5" t="n"/>
    </row>
    <row r="349">
      <c r="A349" s="10">
        <f>IF($E349="","",INDEX('Input Transaksi'!$A:$A,$E349))</f>
        <v/>
      </c>
      <c r="B349" s="5">
        <f>IF($E349="","",INDEX('Input Transaksi'!$D:$D,$E349))</f>
        <v/>
      </c>
      <c r="C349">
        <f>IF($E349="","",INDEX('Input Transaksi'!$E:$E,$E349))</f>
        <v/>
      </c>
      <c r="D349" s="5">
        <f>IF($E349="","",INDEX('Input Transaksi'!$F:$F,$E349))</f>
        <v/>
      </c>
      <c r="E349">
        <f>IFERROR(AGGREGATE(15,6,ROW('Input Transaksi'!$B$5:$B$5000)/('Input Transaksi'!$B$5:$B$5000="RINJANI WASH"),ROWS($E$5:E349)),"")</f>
        <v/>
      </c>
      <c r="F349" s="5" t="n"/>
    </row>
    <row r="350">
      <c r="A350" s="10">
        <f>IF($E350="","",INDEX('Input Transaksi'!$A:$A,$E350))</f>
        <v/>
      </c>
      <c r="B350" s="5">
        <f>IF($E350="","",INDEX('Input Transaksi'!$D:$D,$E350))</f>
        <v/>
      </c>
      <c r="C350">
        <f>IF($E350="","",INDEX('Input Transaksi'!$E:$E,$E350))</f>
        <v/>
      </c>
      <c r="D350" s="5">
        <f>IF($E350="","",INDEX('Input Transaksi'!$F:$F,$E350))</f>
        <v/>
      </c>
      <c r="E350">
        <f>IFERROR(AGGREGATE(15,6,ROW('Input Transaksi'!$B$5:$B$5000)/('Input Transaksi'!$B$5:$B$5000="RINJANI WASH"),ROWS($E$5:E350)),"")</f>
        <v/>
      </c>
      <c r="F350" s="5" t="n"/>
    </row>
    <row r="351">
      <c r="A351" s="10">
        <f>IF($E351="","",INDEX('Input Transaksi'!$A:$A,$E351))</f>
        <v/>
      </c>
      <c r="B351" s="5">
        <f>IF($E351="","",INDEX('Input Transaksi'!$D:$D,$E351))</f>
        <v/>
      </c>
      <c r="C351">
        <f>IF($E351="","",INDEX('Input Transaksi'!$E:$E,$E351))</f>
        <v/>
      </c>
      <c r="D351" s="5">
        <f>IF($E351="","",INDEX('Input Transaksi'!$F:$F,$E351))</f>
        <v/>
      </c>
      <c r="E351">
        <f>IFERROR(AGGREGATE(15,6,ROW('Input Transaksi'!$B$5:$B$5000)/('Input Transaksi'!$B$5:$B$5000="RINJANI WASH"),ROWS($E$5:E351)),"")</f>
        <v/>
      </c>
      <c r="F351" s="5" t="n"/>
    </row>
    <row r="352">
      <c r="A352" s="10">
        <f>IF($E352="","",INDEX('Input Transaksi'!$A:$A,$E352))</f>
        <v/>
      </c>
      <c r="B352" s="5">
        <f>IF($E352="","",INDEX('Input Transaksi'!$D:$D,$E352))</f>
        <v/>
      </c>
      <c r="C352">
        <f>IF($E352="","",INDEX('Input Transaksi'!$E:$E,$E352))</f>
        <v/>
      </c>
      <c r="D352" s="5">
        <f>IF($E352="","",INDEX('Input Transaksi'!$F:$F,$E352))</f>
        <v/>
      </c>
      <c r="E352">
        <f>IFERROR(AGGREGATE(15,6,ROW('Input Transaksi'!$B$5:$B$5000)/('Input Transaksi'!$B$5:$B$5000="RINJANI WASH"),ROWS($E$5:E352)),"")</f>
        <v/>
      </c>
      <c r="F352" s="5" t="n"/>
    </row>
    <row r="353">
      <c r="A353" s="10">
        <f>IF($E353="","",INDEX('Input Transaksi'!$A:$A,$E353))</f>
        <v/>
      </c>
      <c r="B353" s="5">
        <f>IF($E353="","",INDEX('Input Transaksi'!$D:$D,$E353))</f>
        <v/>
      </c>
      <c r="C353">
        <f>IF($E353="","",INDEX('Input Transaksi'!$E:$E,$E353))</f>
        <v/>
      </c>
      <c r="D353" s="5">
        <f>IF($E353="","",INDEX('Input Transaksi'!$F:$F,$E353))</f>
        <v/>
      </c>
      <c r="E353">
        <f>IFERROR(AGGREGATE(15,6,ROW('Input Transaksi'!$B$5:$B$5000)/('Input Transaksi'!$B$5:$B$5000="RINJANI WASH"),ROWS($E$5:E353)),"")</f>
        <v/>
      </c>
      <c r="F353" s="5" t="n"/>
    </row>
    <row r="354">
      <c r="A354" s="10">
        <f>IF($E354="","",INDEX('Input Transaksi'!$A:$A,$E354))</f>
        <v/>
      </c>
      <c r="B354" s="5">
        <f>IF($E354="","",INDEX('Input Transaksi'!$D:$D,$E354))</f>
        <v/>
      </c>
      <c r="C354">
        <f>IF($E354="","",INDEX('Input Transaksi'!$E:$E,$E354))</f>
        <v/>
      </c>
      <c r="D354" s="5">
        <f>IF($E354="","",INDEX('Input Transaksi'!$F:$F,$E354))</f>
        <v/>
      </c>
      <c r="E354">
        <f>IFERROR(AGGREGATE(15,6,ROW('Input Transaksi'!$B$5:$B$5000)/('Input Transaksi'!$B$5:$B$5000="RINJANI WASH"),ROWS($E$5:E354)),"")</f>
        <v/>
      </c>
      <c r="F354" s="5" t="n"/>
    </row>
    <row r="355">
      <c r="A355" s="10">
        <f>IF($E355="","",INDEX('Input Transaksi'!$A:$A,$E355))</f>
        <v/>
      </c>
      <c r="B355" s="5">
        <f>IF($E355="","",INDEX('Input Transaksi'!$D:$D,$E355))</f>
        <v/>
      </c>
      <c r="C355">
        <f>IF($E355="","",INDEX('Input Transaksi'!$E:$E,$E355))</f>
        <v/>
      </c>
      <c r="D355" s="5">
        <f>IF($E355="","",INDEX('Input Transaksi'!$F:$F,$E355))</f>
        <v/>
      </c>
      <c r="E355">
        <f>IFERROR(AGGREGATE(15,6,ROW('Input Transaksi'!$B$5:$B$5000)/('Input Transaksi'!$B$5:$B$5000="RINJANI WASH"),ROWS($E$5:E355)),"")</f>
        <v/>
      </c>
      <c r="F355" s="5" t="n"/>
    </row>
    <row r="356">
      <c r="A356" s="10">
        <f>IF($E356="","",INDEX('Input Transaksi'!$A:$A,$E356))</f>
        <v/>
      </c>
      <c r="B356" s="5">
        <f>IF($E356="","",INDEX('Input Transaksi'!$D:$D,$E356))</f>
        <v/>
      </c>
      <c r="C356">
        <f>IF($E356="","",INDEX('Input Transaksi'!$E:$E,$E356))</f>
        <v/>
      </c>
      <c r="D356" s="5">
        <f>IF($E356="","",INDEX('Input Transaksi'!$F:$F,$E356))</f>
        <v/>
      </c>
      <c r="E356">
        <f>IFERROR(AGGREGATE(15,6,ROW('Input Transaksi'!$B$5:$B$5000)/('Input Transaksi'!$B$5:$B$5000="RINJANI WASH"),ROWS($E$5:E356)),"")</f>
        <v/>
      </c>
      <c r="F356" s="5" t="n"/>
    </row>
    <row r="357">
      <c r="A357" s="10">
        <f>IF($E357="","",INDEX('Input Transaksi'!$A:$A,$E357))</f>
        <v/>
      </c>
      <c r="B357" s="5">
        <f>IF($E357="","",INDEX('Input Transaksi'!$D:$D,$E357))</f>
        <v/>
      </c>
      <c r="C357">
        <f>IF($E357="","",INDEX('Input Transaksi'!$E:$E,$E357))</f>
        <v/>
      </c>
      <c r="D357" s="5">
        <f>IF($E357="","",INDEX('Input Transaksi'!$F:$F,$E357))</f>
        <v/>
      </c>
      <c r="E357">
        <f>IFERROR(AGGREGATE(15,6,ROW('Input Transaksi'!$B$5:$B$5000)/('Input Transaksi'!$B$5:$B$5000="RINJANI WASH"),ROWS($E$5:E357)),"")</f>
        <v/>
      </c>
      <c r="F357" s="5" t="n"/>
    </row>
    <row r="358">
      <c r="A358" s="10">
        <f>IF($E358="","",INDEX('Input Transaksi'!$A:$A,$E358))</f>
        <v/>
      </c>
      <c r="B358" s="5">
        <f>IF($E358="","",INDEX('Input Transaksi'!$D:$D,$E358))</f>
        <v/>
      </c>
      <c r="C358">
        <f>IF($E358="","",INDEX('Input Transaksi'!$E:$E,$E358))</f>
        <v/>
      </c>
      <c r="D358" s="5">
        <f>IF($E358="","",INDEX('Input Transaksi'!$F:$F,$E358))</f>
        <v/>
      </c>
      <c r="E358">
        <f>IFERROR(AGGREGATE(15,6,ROW('Input Transaksi'!$B$5:$B$5000)/('Input Transaksi'!$B$5:$B$5000="RINJANI WASH"),ROWS($E$5:E358)),"")</f>
        <v/>
      </c>
      <c r="F358" s="5" t="n"/>
    </row>
    <row r="359">
      <c r="A359" s="10">
        <f>IF($E359="","",INDEX('Input Transaksi'!$A:$A,$E359))</f>
        <v/>
      </c>
      <c r="B359" s="5">
        <f>IF($E359="","",INDEX('Input Transaksi'!$D:$D,$E359))</f>
        <v/>
      </c>
      <c r="C359">
        <f>IF($E359="","",INDEX('Input Transaksi'!$E:$E,$E359))</f>
        <v/>
      </c>
      <c r="D359" s="5">
        <f>IF($E359="","",INDEX('Input Transaksi'!$F:$F,$E359))</f>
        <v/>
      </c>
      <c r="E359">
        <f>IFERROR(AGGREGATE(15,6,ROW('Input Transaksi'!$B$5:$B$5000)/('Input Transaksi'!$B$5:$B$5000="RINJANI WASH"),ROWS($E$5:E359)),"")</f>
        <v/>
      </c>
      <c r="F359" s="5" t="n"/>
    </row>
    <row r="360">
      <c r="A360" s="10">
        <f>IF($E360="","",INDEX('Input Transaksi'!$A:$A,$E360))</f>
        <v/>
      </c>
      <c r="B360" s="5">
        <f>IF($E360="","",INDEX('Input Transaksi'!$D:$D,$E360))</f>
        <v/>
      </c>
      <c r="C360">
        <f>IF($E360="","",INDEX('Input Transaksi'!$E:$E,$E360))</f>
        <v/>
      </c>
      <c r="D360" s="5">
        <f>IF($E360="","",INDEX('Input Transaksi'!$F:$F,$E360))</f>
        <v/>
      </c>
      <c r="E360">
        <f>IFERROR(AGGREGATE(15,6,ROW('Input Transaksi'!$B$5:$B$5000)/('Input Transaksi'!$B$5:$B$5000="RINJANI WASH"),ROWS($E$5:E360)),"")</f>
        <v/>
      </c>
      <c r="F360" s="5" t="n"/>
    </row>
    <row r="361">
      <c r="A361" s="10">
        <f>IF($E361="","",INDEX('Input Transaksi'!$A:$A,$E361))</f>
        <v/>
      </c>
      <c r="B361" s="5">
        <f>IF($E361="","",INDEX('Input Transaksi'!$D:$D,$E361))</f>
        <v/>
      </c>
      <c r="C361">
        <f>IF($E361="","",INDEX('Input Transaksi'!$E:$E,$E361))</f>
        <v/>
      </c>
      <c r="D361" s="5">
        <f>IF($E361="","",INDEX('Input Transaksi'!$F:$F,$E361))</f>
        <v/>
      </c>
      <c r="E361">
        <f>IFERROR(AGGREGATE(15,6,ROW('Input Transaksi'!$B$5:$B$5000)/('Input Transaksi'!$B$5:$B$5000="RINJANI WASH"),ROWS($E$5:E361)),"")</f>
        <v/>
      </c>
      <c r="F361" s="5" t="n"/>
    </row>
    <row r="362">
      <c r="A362" s="10">
        <f>IF($E362="","",INDEX('Input Transaksi'!$A:$A,$E362))</f>
        <v/>
      </c>
      <c r="B362" s="5">
        <f>IF($E362="","",INDEX('Input Transaksi'!$D:$D,$E362))</f>
        <v/>
      </c>
      <c r="C362">
        <f>IF($E362="","",INDEX('Input Transaksi'!$E:$E,$E362))</f>
        <v/>
      </c>
      <c r="D362" s="5">
        <f>IF($E362="","",INDEX('Input Transaksi'!$F:$F,$E362))</f>
        <v/>
      </c>
      <c r="E362">
        <f>IFERROR(AGGREGATE(15,6,ROW('Input Transaksi'!$B$5:$B$5000)/('Input Transaksi'!$B$5:$B$5000="RINJANI WASH"),ROWS($E$5:E362)),"")</f>
        <v/>
      </c>
      <c r="F362" s="5" t="n"/>
    </row>
    <row r="363">
      <c r="A363" s="10">
        <f>IF($E363="","",INDEX('Input Transaksi'!$A:$A,$E363))</f>
        <v/>
      </c>
      <c r="B363" s="5">
        <f>IF($E363="","",INDEX('Input Transaksi'!$D:$D,$E363))</f>
        <v/>
      </c>
      <c r="C363">
        <f>IF($E363="","",INDEX('Input Transaksi'!$E:$E,$E363))</f>
        <v/>
      </c>
      <c r="D363" s="5">
        <f>IF($E363="","",INDEX('Input Transaksi'!$F:$F,$E363))</f>
        <v/>
      </c>
      <c r="E363">
        <f>IFERROR(AGGREGATE(15,6,ROW('Input Transaksi'!$B$5:$B$5000)/('Input Transaksi'!$B$5:$B$5000="RINJANI WASH"),ROWS($E$5:E363)),"")</f>
        <v/>
      </c>
      <c r="F363" s="5" t="n"/>
    </row>
    <row r="364">
      <c r="A364" s="10">
        <f>IF($E364="","",INDEX('Input Transaksi'!$A:$A,$E364))</f>
        <v/>
      </c>
      <c r="B364" s="5">
        <f>IF($E364="","",INDEX('Input Transaksi'!$D:$D,$E364))</f>
        <v/>
      </c>
      <c r="C364">
        <f>IF($E364="","",INDEX('Input Transaksi'!$E:$E,$E364))</f>
        <v/>
      </c>
      <c r="D364" s="5">
        <f>IF($E364="","",INDEX('Input Transaksi'!$F:$F,$E364))</f>
        <v/>
      </c>
      <c r="E364">
        <f>IFERROR(AGGREGATE(15,6,ROW('Input Transaksi'!$B$5:$B$5000)/('Input Transaksi'!$B$5:$B$5000="RINJANI WASH"),ROWS($E$5:E364)),"")</f>
        <v/>
      </c>
      <c r="F364" s="5" t="n"/>
    </row>
    <row r="365">
      <c r="A365" s="10">
        <f>IF($E365="","",INDEX('Input Transaksi'!$A:$A,$E365))</f>
        <v/>
      </c>
      <c r="B365" s="5">
        <f>IF($E365="","",INDEX('Input Transaksi'!$D:$D,$E365))</f>
        <v/>
      </c>
      <c r="C365">
        <f>IF($E365="","",INDEX('Input Transaksi'!$E:$E,$E365))</f>
        <v/>
      </c>
      <c r="D365" s="5">
        <f>IF($E365="","",INDEX('Input Transaksi'!$F:$F,$E365))</f>
        <v/>
      </c>
      <c r="E365">
        <f>IFERROR(AGGREGATE(15,6,ROW('Input Transaksi'!$B$5:$B$5000)/('Input Transaksi'!$B$5:$B$5000="RINJANI WASH"),ROWS($E$5:E365)),"")</f>
        <v/>
      </c>
      <c r="F365" s="5" t="n"/>
    </row>
    <row r="366">
      <c r="A366" s="10">
        <f>IF($E366="","",INDEX('Input Transaksi'!$A:$A,$E366))</f>
        <v/>
      </c>
      <c r="B366" s="5">
        <f>IF($E366="","",INDEX('Input Transaksi'!$D:$D,$E366))</f>
        <v/>
      </c>
      <c r="C366">
        <f>IF($E366="","",INDEX('Input Transaksi'!$E:$E,$E366))</f>
        <v/>
      </c>
      <c r="D366" s="5">
        <f>IF($E366="","",INDEX('Input Transaksi'!$F:$F,$E366))</f>
        <v/>
      </c>
      <c r="E366">
        <f>IFERROR(AGGREGATE(15,6,ROW('Input Transaksi'!$B$5:$B$5000)/('Input Transaksi'!$B$5:$B$5000="RINJANI WASH"),ROWS($E$5:E366)),"")</f>
        <v/>
      </c>
      <c r="F366" s="5" t="n"/>
    </row>
    <row r="367">
      <c r="A367" s="10">
        <f>IF($E367="","",INDEX('Input Transaksi'!$A:$A,$E367))</f>
        <v/>
      </c>
      <c r="B367" s="5">
        <f>IF($E367="","",INDEX('Input Transaksi'!$D:$D,$E367))</f>
        <v/>
      </c>
      <c r="C367">
        <f>IF($E367="","",INDEX('Input Transaksi'!$E:$E,$E367))</f>
        <v/>
      </c>
      <c r="D367" s="5">
        <f>IF($E367="","",INDEX('Input Transaksi'!$F:$F,$E367))</f>
        <v/>
      </c>
      <c r="E367">
        <f>IFERROR(AGGREGATE(15,6,ROW('Input Transaksi'!$B$5:$B$5000)/('Input Transaksi'!$B$5:$B$5000="RINJANI WASH"),ROWS($E$5:E367)),"")</f>
        <v/>
      </c>
      <c r="F367" s="5" t="n"/>
    </row>
    <row r="368">
      <c r="A368" s="10">
        <f>IF($E368="","",INDEX('Input Transaksi'!$A:$A,$E368))</f>
        <v/>
      </c>
      <c r="B368" s="5">
        <f>IF($E368="","",INDEX('Input Transaksi'!$D:$D,$E368))</f>
        <v/>
      </c>
      <c r="C368">
        <f>IF($E368="","",INDEX('Input Transaksi'!$E:$E,$E368))</f>
        <v/>
      </c>
      <c r="D368" s="5">
        <f>IF($E368="","",INDEX('Input Transaksi'!$F:$F,$E368))</f>
        <v/>
      </c>
      <c r="E368">
        <f>IFERROR(AGGREGATE(15,6,ROW('Input Transaksi'!$B$5:$B$5000)/('Input Transaksi'!$B$5:$B$5000="RINJANI WASH"),ROWS($E$5:E368)),"")</f>
        <v/>
      </c>
      <c r="F368" s="5" t="n"/>
    </row>
    <row r="369">
      <c r="A369" s="10">
        <f>IF($E369="","",INDEX('Input Transaksi'!$A:$A,$E369))</f>
        <v/>
      </c>
      <c r="B369" s="5">
        <f>IF($E369="","",INDEX('Input Transaksi'!$D:$D,$E369))</f>
        <v/>
      </c>
      <c r="C369">
        <f>IF($E369="","",INDEX('Input Transaksi'!$E:$E,$E369))</f>
        <v/>
      </c>
      <c r="D369" s="5">
        <f>IF($E369="","",INDEX('Input Transaksi'!$F:$F,$E369))</f>
        <v/>
      </c>
      <c r="E369">
        <f>IFERROR(AGGREGATE(15,6,ROW('Input Transaksi'!$B$5:$B$5000)/('Input Transaksi'!$B$5:$B$5000="RINJANI WASH"),ROWS($E$5:E369)),"")</f>
        <v/>
      </c>
      <c r="F369" s="5" t="n"/>
    </row>
    <row r="370">
      <c r="A370" s="10">
        <f>IF($E370="","",INDEX('Input Transaksi'!$A:$A,$E370))</f>
        <v/>
      </c>
      <c r="B370" s="5">
        <f>IF($E370="","",INDEX('Input Transaksi'!$D:$D,$E370))</f>
        <v/>
      </c>
      <c r="C370">
        <f>IF($E370="","",INDEX('Input Transaksi'!$E:$E,$E370))</f>
        <v/>
      </c>
      <c r="D370" s="5">
        <f>IF($E370="","",INDEX('Input Transaksi'!$F:$F,$E370))</f>
        <v/>
      </c>
      <c r="E370">
        <f>IFERROR(AGGREGATE(15,6,ROW('Input Transaksi'!$B$5:$B$5000)/('Input Transaksi'!$B$5:$B$5000="RINJANI WASH"),ROWS($E$5:E370)),"")</f>
        <v/>
      </c>
      <c r="F370" s="5" t="n"/>
    </row>
    <row r="371">
      <c r="A371" s="10">
        <f>IF($E371="","",INDEX('Input Transaksi'!$A:$A,$E371))</f>
        <v/>
      </c>
      <c r="B371" s="5">
        <f>IF($E371="","",INDEX('Input Transaksi'!$D:$D,$E371))</f>
        <v/>
      </c>
      <c r="C371">
        <f>IF($E371="","",INDEX('Input Transaksi'!$E:$E,$E371))</f>
        <v/>
      </c>
      <c r="D371" s="5">
        <f>IF($E371="","",INDEX('Input Transaksi'!$F:$F,$E371))</f>
        <v/>
      </c>
      <c r="E371">
        <f>IFERROR(AGGREGATE(15,6,ROW('Input Transaksi'!$B$5:$B$5000)/('Input Transaksi'!$B$5:$B$5000="RINJANI WASH"),ROWS($E$5:E371)),"")</f>
        <v/>
      </c>
      <c r="F371" s="5" t="n"/>
    </row>
    <row r="372">
      <c r="A372" s="10">
        <f>IF($E372="","",INDEX('Input Transaksi'!$A:$A,$E372))</f>
        <v/>
      </c>
      <c r="B372" s="5">
        <f>IF($E372="","",INDEX('Input Transaksi'!$D:$D,$E372))</f>
        <v/>
      </c>
      <c r="C372">
        <f>IF($E372="","",INDEX('Input Transaksi'!$E:$E,$E372))</f>
        <v/>
      </c>
      <c r="D372" s="5">
        <f>IF($E372="","",INDEX('Input Transaksi'!$F:$F,$E372))</f>
        <v/>
      </c>
      <c r="E372">
        <f>IFERROR(AGGREGATE(15,6,ROW('Input Transaksi'!$B$5:$B$5000)/('Input Transaksi'!$B$5:$B$5000="RINJANI WASH"),ROWS($E$5:E372)),"")</f>
        <v/>
      </c>
      <c r="F372" s="5" t="n"/>
    </row>
    <row r="373">
      <c r="A373" s="10">
        <f>IF($E373="","",INDEX('Input Transaksi'!$A:$A,$E373))</f>
        <v/>
      </c>
      <c r="B373" s="5">
        <f>IF($E373="","",INDEX('Input Transaksi'!$D:$D,$E373))</f>
        <v/>
      </c>
      <c r="C373">
        <f>IF($E373="","",INDEX('Input Transaksi'!$E:$E,$E373))</f>
        <v/>
      </c>
      <c r="D373" s="5">
        <f>IF($E373="","",INDEX('Input Transaksi'!$F:$F,$E373))</f>
        <v/>
      </c>
      <c r="E373">
        <f>IFERROR(AGGREGATE(15,6,ROW('Input Transaksi'!$B$5:$B$5000)/('Input Transaksi'!$B$5:$B$5000="RINJANI WASH"),ROWS($E$5:E373)),"")</f>
        <v/>
      </c>
      <c r="F373" s="5" t="n"/>
    </row>
    <row r="374">
      <c r="A374" s="10">
        <f>IF($E374="","",INDEX('Input Transaksi'!$A:$A,$E374))</f>
        <v/>
      </c>
      <c r="B374" s="5">
        <f>IF($E374="","",INDEX('Input Transaksi'!$D:$D,$E374))</f>
        <v/>
      </c>
      <c r="C374">
        <f>IF($E374="","",INDEX('Input Transaksi'!$E:$E,$E374))</f>
        <v/>
      </c>
      <c r="D374" s="5">
        <f>IF($E374="","",INDEX('Input Transaksi'!$F:$F,$E374))</f>
        <v/>
      </c>
      <c r="E374">
        <f>IFERROR(AGGREGATE(15,6,ROW('Input Transaksi'!$B$5:$B$5000)/('Input Transaksi'!$B$5:$B$5000="RINJANI WASH"),ROWS($E$5:E374)),"")</f>
        <v/>
      </c>
      <c r="F374" s="5" t="n"/>
    </row>
    <row r="375">
      <c r="A375" s="10">
        <f>IF($E375="","",INDEX('Input Transaksi'!$A:$A,$E375))</f>
        <v/>
      </c>
      <c r="B375" s="5">
        <f>IF($E375="","",INDEX('Input Transaksi'!$D:$D,$E375))</f>
        <v/>
      </c>
      <c r="C375">
        <f>IF($E375="","",INDEX('Input Transaksi'!$E:$E,$E375))</f>
        <v/>
      </c>
      <c r="D375" s="5">
        <f>IF($E375="","",INDEX('Input Transaksi'!$F:$F,$E375))</f>
        <v/>
      </c>
      <c r="E375">
        <f>IFERROR(AGGREGATE(15,6,ROW('Input Transaksi'!$B$5:$B$5000)/('Input Transaksi'!$B$5:$B$5000="RINJANI WASH"),ROWS($E$5:E375)),"")</f>
        <v/>
      </c>
      <c r="F375" s="5" t="n"/>
    </row>
    <row r="376">
      <c r="A376" s="10">
        <f>IF($E376="","",INDEX('Input Transaksi'!$A:$A,$E376))</f>
        <v/>
      </c>
      <c r="B376" s="5">
        <f>IF($E376="","",INDEX('Input Transaksi'!$D:$D,$E376))</f>
        <v/>
      </c>
      <c r="C376">
        <f>IF($E376="","",INDEX('Input Transaksi'!$E:$E,$E376))</f>
        <v/>
      </c>
      <c r="D376" s="5">
        <f>IF($E376="","",INDEX('Input Transaksi'!$F:$F,$E376))</f>
        <v/>
      </c>
      <c r="E376">
        <f>IFERROR(AGGREGATE(15,6,ROW('Input Transaksi'!$B$5:$B$5000)/('Input Transaksi'!$B$5:$B$5000="RINJANI WASH"),ROWS($E$5:E376)),"")</f>
        <v/>
      </c>
      <c r="F376" s="5" t="n"/>
    </row>
    <row r="377">
      <c r="A377" s="10">
        <f>IF($E377="","",INDEX('Input Transaksi'!$A:$A,$E377))</f>
        <v/>
      </c>
      <c r="B377" s="5">
        <f>IF($E377="","",INDEX('Input Transaksi'!$D:$D,$E377))</f>
        <v/>
      </c>
      <c r="C377">
        <f>IF($E377="","",INDEX('Input Transaksi'!$E:$E,$E377))</f>
        <v/>
      </c>
      <c r="D377" s="5">
        <f>IF($E377="","",INDEX('Input Transaksi'!$F:$F,$E377))</f>
        <v/>
      </c>
      <c r="E377">
        <f>IFERROR(AGGREGATE(15,6,ROW('Input Transaksi'!$B$5:$B$5000)/('Input Transaksi'!$B$5:$B$5000="RINJANI WASH"),ROWS($E$5:E377)),"")</f>
        <v/>
      </c>
      <c r="F377" s="5" t="n"/>
    </row>
    <row r="378">
      <c r="A378" s="10">
        <f>IF($E378="","",INDEX('Input Transaksi'!$A:$A,$E378))</f>
        <v/>
      </c>
      <c r="B378" s="5">
        <f>IF($E378="","",INDEX('Input Transaksi'!$D:$D,$E378))</f>
        <v/>
      </c>
      <c r="C378">
        <f>IF($E378="","",INDEX('Input Transaksi'!$E:$E,$E378))</f>
        <v/>
      </c>
      <c r="D378" s="5">
        <f>IF($E378="","",INDEX('Input Transaksi'!$F:$F,$E378))</f>
        <v/>
      </c>
      <c r="E378">
        <f>IFERROR(AGGREGATE(15,6,ROW('Input Transaksi'!$B$5:$B$5000)/('Input Transaksi'!$B$5:$B$5000="RINJANI WASH"),ROWS($E$5:E378)),"")</f>
        <v/>
      </c>
      <c r="F378" s="5" t="n"/>
    </row>
    <row r="379">
      <c r="A379" s="10">
        <f>IF($E379="","",INDEX('Input Transaksi'!$A:$A,$E379))</f>
        <v/>
      </c>
      <c r="B379" s="5">
        <f>IF($E379="","",INDEX('Input Transaksi'!$D:$D,$E379))</f>
        <v/>
      </c>
      <c r="C379">
        <f>IF($E379="","",INDEX('Input Transaksi'!$E:$E,$E379))</f>
        <v/>
      </c>
      <c r="D379" s="5">
        <f>IF($E379="","",INDEX('Input Transaksi'!$F:$F,$E379))</f>
        <v/>
      </c>
      <c r="E379">
        <f>IFERROR(AGGREGATE(15,6,ROW('Input Transaksi'!$B$5:$B$5000)/('Input Transaksi'!$B$5:$B$5000="RINJANI WASH"),ROWS($E$5:E379)),"")</f>
        <v/>
      </c>
      <c r="F379" s="5" t="n"/>
    </row>
    <row r="380">
      <c r="A380" s="10">
        <f>IF($E380="","",INDEX('Input Transaksi'!$A:$A,$E380))</f>
        <v/>
      </c>
      <c r="B380" s="5">
        <f>IF($E380="","",INDEX('Input Transaksi'!$D:$D,$E380))</f>
        <v/>
      </c>
      <c r="C380">
        <f>IF($E380="","",INDEX('Input Transaksi'!$E:$E,$E380))</f>
        <v/>
      </c>
      <c r="D380" s="5">
        <f>IF($E380="","",INDEX('Input Transaksi'!$F:$F,$E380))</f>
        <v/>
      </c>
      <c r="E380">
        <f>IFERROR(AGGREGATE(15,6,ROW('Input Transaksi'!$B$5:$B$5000)/('Input Transaksi'!$B$5:$B$5000="RINJANI WASH"),ROWS($E$5:E380)),"")</f>
        <v/>
      </c>
      <c r="F380" s="5" t="n"/>
    </row>
    <row r="381">
      <c r="A381" s="10">
        <f>IF($E381="","",INDEX('Input Transaksi'!$A:$A,$E381))</f>
        <v/>
      </c>
      <c r="B381" s="5">
        <f>IF($E381="","",INDEX('Input Transaksi'!$D:$D,$E381))</f>
        <v/>
      </c>
      <c r="C381">
        <f>IF($E381="","",INDEX('Input Transaksi'!$E:$E,$E381))</f>
        <v/>
      </c>
      <c r="D381" s="5">
        <f>IF($E381="","",INDEX('Input Transaksi'!$F:$F,$E381))</f>
        <v/>
      </c>
      <c r="E381">
        <f>IFERROR(AGGREGATE(15,6,ROW('Input Transaksi'!$B$5:$B$5000)/('Input Transaksi'!$B$5:$B$5000="RINJANI WASH"),ROWS($E$5:E381)),"")</f>
        <v/>
      </c>
      <c r="F381" s="5" t="n"/>
    </row>
    <row r="382">
      <c r="A382" s="10">
        <f>IF($E382="","",INDEX('Input Transaksi'!$A:$A,$E382))</f>
        <v/>
      </c>
      <c r="B382" s="5">
        <f>IF($E382="","",INDEX('Input Transaksi'!$D:$D,$E382))</f>
        <v/>
      </c>
      <c r="C382">
        <f>IF($E382="","",INDEX('Input Transaksi'!$E:$E,$E382))</f>
        <v/>
      </c>
      <c r="D382" s="5">
        <f>IF($E382="","",INDEX('Input Transaksi'!$F:$F,$E382))</f>
        <v/>
      </c>
      <c r="E382">
        <f>IFERROR(AGGREGATE(15,6,ROW('Input Transaksi'!$B$5:$B$5000)/('Input Transaksi'!$B$5:$B$5000="RINJANI WASH"),ROWS($E$5:E382)),"")</f>
        <v/>
      </c>
      <c r="F382" s="5" t="n"/>
    </row>
    <row r="383">
      <c r="A383" s="10">
        <f>IF($E383="","",INDEX('Input Transaksi'!$A:$A,$E383))</f>
        <v/>
      </c>
      <c r="B383" s="5">
        <f>IF($E383="","",INDEX('Input Transaksi'!$D:$D,$E383))</f>
        <v/>
      </c>
      <c r="C383">
        <f>IF($E383="","",INDEX('Input Transaksi'!$E:$E,$E383))</f>
        <v/>
      </c>
      <c r="D383" s="5">
        <f>IF($E383="","",INDEX('Input Transaksi'!$F:$F,$E383))</f>
        <v/>
      </c>
      <c r="E383">
        <f>IFERROR(AGGREGATE(15,6,ROW('Input Transaksi'!$B$5:$B$5000)/('Input Transaksi'!$B$5:$B$5000="RINJANI WASH"),ROWS($E$5:E383)),"")</f>
        <v/>
      </c>
      <c r="F383" s="5" t="n"/>
    </row>
    <row r="384">
      <c r="A384" s="10">
        <f>IF($E384="","",INDEX('Input Transaksi'!$A:$A,$E384))</f>
        <v/>
      </c>
      <c r="B384" s="5">
        <f>IF($E384="","",INDEX('Input Transaksi'!$D:$D,$E384))</f>
        <v/>
      </c>
      <c r="C384">
        <f>IF($E384="","",INDEX('Input Transaksi'!$E:$E,$E384))</f>
        <v/>
      </c>
      <c r="D384" s="5">
        <f>IF($E384="","",INDEX('Input Transaksi'!$F:$F,$E384))</f>
        <v/>
      </c>
      <c r="E384">
        <f>IFERROR(AGGREGATE(15,6,ROW('Input Transaksi'!$B$5:$B$5000)/('Input Transaksi'!$B$5:$B$5000="RINJANI WASH"),ROWS($E$5:E384)),"")</f>
        <v/>
      </c>
      <c r="F384" s="5" t="n"/>
    </row>
    <row r="385">
      <c r="A385" s="10">
        <f>IF($E385="","",INDEX('Input Transaksi'!$A:$A,$E385))</f>
        <v/>
      </c>
      <c r="B385" s="5">
        <f>IF($E385="","",INDEX('Input Transaksi'!$D:$D,$E385))</f>
        <v/>
      </c>
      <c r="C385">
        <f>IF($E385="","",INDEX('Input Transaksi'!$E:$E,$E385))</f>
        <v/>
      </c>
      <c r="D385" s="5">
        <f>IF($E385="","",INDEX('Input Transaksi'!$F:$F,$E385))</f>
        <v/>
      </c>
      <c r="E385">
        <f>IFERROR(AGGREGATE(15,6,ROW('Input Transaksi'!$B$5:$B$5000)/('Input Transaksi'!$B$5:$B$5000="RINJANI WASH"),ROWS($E$5:E385)),"")</f>
        <v/>
      </c>
      <c r="F385" s="5" t="n"/>
    </row>
    <row r="386">
      <c r="A386" s="10">
        <f>IF($E386="","",INDEX('Input Transaksi'!$A:$A,$E386))</f>
        <v/>
      </c>
      <c r="B386" s="5">
        <f>IF($E386="","",INDEX('Input Transaksi'!$D:$D,$E386))</f>
        <v/>
      </c>
      <c r="C386">
        <f>IF($E386="","",INDEX('Input Transaksi'!$E:$E,$E386))</f>
        <v/>
      </c>
      <c r="D386" s="5">
        <f>IF($E386="","",INDEX('Input Transaksi'!$F:$F,$E386))</f>
        <v/>
      </c>
      <c r="E386">
        <f>IFERROR(AGGREGATE(15,6,ROW('Input Transaksi'!$B$5:$B$5000)/('Input Transaksi'!$B$5:$B$5000="RINJANI WASH"),ROWS($E$5:E386)),"")</f>
        <v/>
      </c>
      <c r="F386" s="5" t="n"/>
    </row>
    <row r="387">
      <c r="A387" s="10">
        <f>IF($E387="","",INDEX('Input Transaksi'!$A:$A,$E387))</f>
        <v/>
      </c>
      <c r="B387" s="5">
        <f>IF($E387="","",INDEX('Input Transaksi'!$D:$D,$E387))</f>
        <v/>
      </c>
      <c r="C387">
        <f>IF($E387="","",INDEX('Input Transaksi'!$E:$E,$E387))</f>
        <v/>
      </c>
      <c r="D387" s="5">
        <f>IF($E387="","",INDEX('Input Transaksi'!$F:$F,$E387))</f>
        <v/>
      </c>
      <c r="E387">
        <f>IFERROR(AGGREGATE(15,6,ROW('Input Transaksi'!$B$5:$B$5000)/('Input Transaksi'!$B$5:$B$5000="RINJANI WASH"),ROWS($E$5:E387)),"")</f>
        <v/>
      </c>
      <c r="F387" s="5" t="n"/>
    </row>
    <row r="388">
      <c r="A388" s="10">
        <f>IF($E388="","",INDEX('Input Transaksi'!$A:$A,$E388))</f>
        <v/>
      </c>
      <c r="B388" s="5">
        <f>IF($E388="","",INDEX('Input Transaksi'!$D:$D,$E388))</f>
        <v/>
      </c>
      <c r="C388">
        <f>IF($E388="","",INDEX('Input Transaksi'!$E:$E,$E388))</f>
        <v/>
      </c>
      <c r="D388" s="5">
        <f>IF($E388="","",INDEX('Input Transaksi'!$F:$F,$E388))</f>
        <v/>
      </c>
      <c r="E388">
        <f>IFERROR(AGGREGATE(15,6,ROW('Input Transaksi'!$B$5:$B$5000)/('Input Transaksi'!$B$5:$B$5000="RINJANI WASH"),ROWS($E$5:E388)),"")</f>
        <v/>
      </c>
      <c r="F388" s="5" t="n"/>
    </row>
    <row r="389">
      <c r="A389" s="10">
        <f>IF($E389="","",INDEX('Input Transaksi'!$A:$A,$E389))</f>
        <v/>
      </c>
      <c r="B389" s="5">
        <f>IF($E389="","",INDEX('Input Transaksi'!$D:$D,$E389))</f>
        <v/>
      </c>
      <c r="C389">
        <f>IF($E389="","",INDEX('Input Transaksi'!$E:$E,$E389))</f>
        <v/>
      </c>
      <c r="D389" s="5">
        <f>IF($E389="","",INDEX('Input Transaksi'!$F:$F,$E389))</f>
        <v/>
      </c>
      <c r="E389">
        <f>IFERROR(AGGREGATE(15,6,ROW('Input Transaksi'!$B$5:$B$5000)/('Input Transaksi'!$B$5:$B$5000="RINJANI WASH"),ROWS($E$5:E389)),"")</f>
        <v/>
      </c>
      <c r="F389" s="5" t="n"/>
    </row>
    <row r="390">
      <c r="A390" s="10">
        <f>IF($E390="","",INDEX('Input Transaksi'!$A:$A,$E390))</f>
        <v/>
      </c>
      <c r="B390" s="5">
        <f>IF($E390="","",INDEX('Input Transaksi'!$D:$D,$E390))</f>
        <v/>
      </c>
      <c r="C390">
        <f>IF($E390="","",INDEX('Input Transaksi'!$E:$E,$E390))</f>
        <v/>
      </c>
      <c r="D390" s="5">
        <f>IF($E390="","",INDEX('Input Transaksi'!$F:$F,$E390))</f>
        <v/>
      </c>
      <c r="E390">
        <f>IFERROR(AGGREGATE(15,6,ROW('Input Transaksi'!$B$5:$B$5000)/('Input Transaksi'!$B$5:$B$5000="RINJANI WASH"),ROWS($E$5:E390)),"")</f>
        <v/>
      </c>
      <c r="F390" s="5" t="n"/>
    </row>
    <row r="391">
      <c r="A391" s="10">
        <f>IF($E391="","",INDEX('Input Transaksi'!$A:$A,$E391))</f>
        <v/>
      </c>
      <c r="B391" s="5">
        <f>IF($E391="","",INDEX('Input Transaksi'!$D:$D,$E391))</f>
        <v/>
      </c>
      <c r="C391">
        <f>IF($E391="","",INDEX('Input Transaksi'!$E:$E,$E391))</f>
        <v/>
      </c>
      <c r="D391" s="5">
        <f>IF($E391="","",INDEX('Input Transaksi'!$F:$F,$E391))</f>
        <v/>
      </c>
      <c r="E391">
        <f>IFERROR(AGGREGATE(15,6,ROW('Input Transaksi'!$B$5:$B$5000)/('Input Transaksi'!$B$5:$B$5000="RINJANI WASH"),ROWS($E$5:E391)),"")</f>
        <v/>
      </c>
      <c r="F391" s="5" t="n"/>
    </row>
    <row r="392">
      <c r="A392" s="10">
        <f>IF($E392="","",INDEX('Input Transaksi'!$A:$A,$E392))</f>
        <v/>
      </c>
      <c r="B392" s="5">
        <f>IF($E392="","",INDEX('Input Transaksi'!$D:$D,$E392))</f>
        <v/>
      </c>
      <c r="C392">
        <f>IF($E392="","",INDEX('Input Transaksi'!$E:$E,$E392))</f>
        <v/>
      </c>
      <c r="D392" s="5">
        <f>IF($E392="","",INDEX('Input Transaksi'!$F:$F,$E392))</f>
        <v/>
      </c>
      <c r="E392">
        <f>IFERROR(AGGREGATE(15,6,ROW('Input Transaksi'!$B$5:$B$5000)/('Input Transaksi'!$B$5:$B$5000="RINJANI WASH"),ROWS($E$5:E392)),"")</f>
        <v/>
      </c>
      <c r="F392" s="5" t="n"/>
    </row>
    <row r="393">
      <c r="A393" s="10">
        <f>IF($E393="","",INDEX('Input Transaksi'!$A:$A,$E393))</f>
        <v/>
      </c>
      <c r="B393" s="5">
        <f>IF($E393="","",INDEX('Input Transaksi'!$D:$D,$E393))</f>
        <v/>
      </c>
      <c r="C393">
        <f>IF($E393="","",INDEX('Input Transaksi'!$E:$E,$E393))</f>
        <v/>
      </c>
      <c r="D393" s="5">
        <f>IF($E393="","",INDEX('Input Transaksi'!$F:$F,$E393))</f>
        <v/>
      </c>
      <c r="E393">
        <f>IFERROR(AGGREGATE(15,6,ROW('Input Transaksi'!$B$5:$B$5000)/('Input Transaksi'!$B$5:$B$5000="RINJANI WASH"),ROWS($E$5:E393)),"")</f>
        <v/>
      </c>
      <c r="F393" s="5" t="n"/>
    </row>
    <row r="394">
      <c r="A394" s="10">
        <f>IF($E394="","",INDEX('Input Transaksi'!$A:$A,$E394))</f>
        <v/>
      </c>
      <c r="B394" s="5">
        <f>IF($E394="","",INDEX('Input Transaksi'!$D:$D,$E394))</f>
        <v/>
      </c>
      <c r="C394">
        <f>IF($E394="","",INDEX('Input Transaksi'!$E:$E,$E394))</f>
        <v/>
      </c>
      <c r="D394" s="5">
        <f>IF($E394="","",INDEX('Input Transaksi'!$F:$F,$E394))</f>
        <v/>
      </c>
      <c r="E394">
        <f>IFERROR(AGGREGATE(15,6,ROW('Input Transaksi'!$B$5:$B$5000)/('Input Transaksi'!$B$5:$B$5000="RINJANI WASH"),ROWS($E$5:E394)),"")</f>
        <v/>
      </c>
      <c r="F394" s="5" t="n"/>
    </row>
    <row r="395">
      <c r="A395" s="10">
        <f>IF($E395="","",INDEX('Input Transaksi'!$A:$A,$E395))</f>
        <v/>
      </c>
      <c r="B395" s="5">
        <f>IF($E395="","",INDEX('Input Transaksi'!$D:$D,$E395))</f>
        <v/>
      </c>
      <c r="C395">
        <f>IF($E395="","",INDEX('Input Transaksi'!$E:$E,$E395))</f>
        <v/>
      </c>
      <c r="D395" s="5">
        <f>IF($E395="","",INDEX('Input Transaksi'!$F:$F,$E395))</f>
        <v/>
      </c>
      <c r="E395">
        <f>IFERROR(AGGREGATE(15,6,ROW('Input Transaksi'!$B$5:$B$5000)/('Input Transaksi'!$B$5:$B$5000="RINJANI WASH"),ROWS($E$5:E395)),"")</f>
        <v/>
      </c>
      <c r="F395" s="5" t="n"/>
    </row>
    <row r="396">
      <c r="A396" s="10">
        <f>IF($E396="","",INDEX('Input Transaksi'!$A:$A,$E396))</f>
        <v/>
      </c>
      <c r="B396" s="5">
        <f>IF($E396="","",INDEX('Input Transaksi'!$D:$D,$E396))</f>
        <v/>
      </c>
      <c r="C396">
        <f>IF($E396="","",INDEX('Input Transaksi'!$E:$E,$E396))</f>
        <v/>
      </c>
      <c r="D396" s="5">
        <f>IF($E396="","",INDEX('Input Transaksi'!$F:$F,$E396))</f>
        <v/>
      </c>
      <c r="E396">
        <f>IFERROR(AGGREGATE(15,6,ROW('Input Transaksi'!$B$5:$B$5000)/('Input Transaksi'!$B$5:$B$5000="RINJANI WASH"),ROWS($E$5:E396)),"")</f>
        <v/>
      </c>
      <c r="F396" s="5" t="n"/>
    </row>
    <row r="397">
      <c r="A397" s="10">
        <f>IF($E397="","",INDEX('Input Transaksi'!$A:$A,$E397))</f>
        <v/>
      </c>
      <c r="B397" s="5">
        <f>IF($E397="","",INDEX('Input Transaksi'!$D:$D,$E397))</f>
        <v/>
      </c>
      <c r="C397">
        <f>IF($E397="","",INDEX('Input Transaksi'!$E:$E,$E397))</f>
        <v/>
      </c>
      <c r="D397" s="5">
        <f>IF($E397="","",INDEX('Input Transaksi'!$F:$F,$E397))</f>
        <v/>
      </c>
      <c r="E397">
        <f>IFERROR(AGGREGATE(15,6,ROW('Input Transaksi'!$B$5:$B$5000)/('Input Transaksi'!$B$5:$B$5000="RINJANI WASH"),ROWS($E$5:E397)),"")</f>
        <v/>
      </c>
      <c r="F397" s="5" t="n"/>
    </row>
    <row r="398">
      <c r="A398" s="10">
        <f>IF($E398="","",INDEX('Input Transaksi'!$A:$A,$E398))</f>
        <v/>
      </c>
      <c r="B398" s="5">
        <f>IF($E398="","",INDEX('Input Transaksi'!$D:$D,$E398))</f>
        <v/>
      </c>
      <c r="C398">
        <f>IF($E398="","",INDEX('Input Transaksi'!$E:$E,$E398))</f>
        <v/>
      </c>
      <c r="D398" s="5">
        <f>IF($E398="","",INDEX('Input Transaksi'!$F:$F,$E398))</f>
        <v/>
      </c>
      <c r="E398">
        <f>IFERROR(AGGREGATE(15,6,ROW('Input Transaksi'!$B$5:$B$5000)/('Input Transaksi'!$B$5:$B$5000="RINJANI WASH"),ROWS($E$5:E398)),"")</f>
        <v/>
      </c>
      <c r="F398" s="5" t="n"/>
    </row>
    <row r="399">
      <c r="A399" s="10">
        <f>IF($E399="","",INDEX('Input Transaksi'!$A:$A,$E399))</f>
        <v/>
      </c>
      <c r="B399" s="5">
        <f>IF($E399="","",INDEX('Input Transaksi'!$D:$D,$E399))</f>
        <v/>
      </c>
      <c r="C399">
        <f>IF($E399="","",INDEX('Input Transaksi'!$E:$E,$E399))</f>
        <v/>
      </c>
      <c r="D399" s="5">
        <f>IF($E399="","",INDEX('Input Transaksi'!$F:$F,$E399))</f>
        <v/>
      </c>
      <c r="E399">
        <f>IFERROR(AGGREGATE(15,6,ROW('Input Transaksi'!$B$5:$B$5000)/('Input Transaksi'!$B$5:$B$5000="RINJANI WASH"),ROWS($E$5:E399)),"")</f>
        <v/>
      </c>
      <c r="F399" s="5" t="n"/>
    </row>
    <row r="400">
      <c r="A400" s="10">
        <f>IF($E400="","",INDEX('Input Transaksi'!$A:$A,$E400))</f>
        <v/>
      </c>
      <c r="B400" s="5">
        <f>IF($E400="","",INDEX('Input Transaksi'!$D:$D,$E400))</f>
        <v/>
      </c>
      <c r="C400">
        <f>IF($E400="","",INDEX('Input Transaksi'!$E:$E,$E400))</f>
        <v/>
      </c>
      <c r="D400" s="5">
        <f>IF($E400="","",INDEX('Input Transaksi'!$F:$F,$E400))</f>
        <v/>
      </c>
      <c r="E400">
        <f>IFERROR(AGGREGATE(15,6,ROW('Input Transaksi'!$B$5:$B$5000)/('Input Transaksi'!$B$5:$B$5000="RINJANI WASH"),ROWS($E$5:E400)),"")</f>
        <v/>
      </c>
      <c r="F400" s="5" t="n"/>
    </row>
    <row r="401">
      <c r="A401" s="10">
        <f>IF($E401="","",INDEX('Input Transaksi'!$A:$A,$E401))</f>
        <v/>
      </c>
      <c r="B401" s="5">
        <f>IF($E401="","",INDEX('Input Transaksi'!$D:$D,$E401))</f>
        <v/>
      </c>
      <c r="C401">
        <f>IF($E401="","",INDEX('Input Transaksi'!$E:$E,$E401))</f>
        <v/>
      </c>
      <c r="D401" s="5">
        <f>IF($E401="","",INDEX('Input Transaksi'!$F:$F,$E401))</f>
        <v/>
      </c>
      <c r="E401">
        <f>IFERROR(AGGREGATE(15,6,ROW('Input Transaksi'!$B$5:$B$5000)/('Input Transaksi'!$B$5:$B$5000="RINJANI WASH"),ROWS($E$5:E401)),"")</f>
        <v/>
      </c>
      <c r="F401" s="5" t="n"/>
    </row>
    <row r="402">
      <c r="A402" s="10">
        <f>IF($E402="","",INDEX('Input Transaksi'!$A:$A,$E402))</f>
        <v/>
      </c>
      <c r="B402" s="5">
        <f>IF($E402="","",INDEX('Input Transaksi'!$D:$D,$E402))</f>
        <v/>
      </c>
      <c r="C402">
        <f>IF($E402="","",INDEX('Input Transaksi'!$E:$E,$E402))</f>
        <v/>
      </c>
      <c r="D402" s="5">
        <f>IF($E402="","",INDEX('Input Transaksi'!$F:$F,$E402))</f>
        <v/>
      </c>
      <c r="E402">
        <f>IFERROR(AGGREGATE(15,6,ROW('Input Transaksi'!$B$5:$B$5000)/('Input Transaksi'!$B$5:$B$5000="RINJANI WASH"),ROWS($E$5:E402)),"")</f>
        <v/>
      </c>
      <c r="F402" s="5" t="n"/>
    </row>
    <row r="403">
      <c r="A403" s="10">
        <f>IF($E403="","",INDEX('Input Transaksi'!$A:$A,$E403))</f>
        <v/>
      </c>
      <c r="B403" s="5">
        <f>IF($E403="","",INDEX('Input Transaksi'!$D:$D,$E403))</f>
        <v/>
      </c>
      <c r="C403">
        <f>IF($E403="","",INDEX('Input Transaksi'!$E:$E,$E403))</f>
        <v/>
      </c>
      <c r="D403" s="5">
        <f>IF($E403="","",INDEX('Input Transaksi'!$F:$F,$E403))</f>
        <v/>
      </c>
      <c r="E403">
        <f>IFERROR(AGGREGATE(15,6,ROW('Input Transaksi'!$B$5:$B$5000)/('Input Transaksi'!$B$5:$B$5000="RINJANI WASH"),ROWS($E$5:E403)),"")</f>
        <v/>
      </c>
      <c r="F403" s="5" t="n"/>
    </row>
    <row r="404">
      <c r="A404" s="10">
        <f>IF($E404="","",INDEX('Input Transaksi'!$A:$A,$E404))</f>
        <v/>
      </c>
      <c r="B404" s="5">
        <f>IF($E404="","",INDEX('Input Transaksi'!$D:$D,$E404))</f>
        <v/>
      </c>
      <c r="C404">
        <f>IF($E404="","",INDEX('Input Transaksi'!$E:$E,$E404))</f>
        <v/>
      </c>
      <c r="D404" s="5">
        <f>IF($E404="","",INDEX('Input Transaksi'!$F:$F,$E404))</f>
        <v/>
      </c>
      <c r="E404">
        <f>IFERROR(AGGREGATE(15,6,ROW('Input Transaksi'!$B$5:$B$5000)/('Input Transaksi'!$B$5:$B$5000="RINJANI WASH"),ROWS($E$5:E404)),"")</f>
        <v/>
      </c>
      <c r="F404" s="5" t="n"/>
    </row>
    <row r="405">
      <c r="A405" s="10">
        <f>IF($E405="","",INDEX('Input Transaksi'!$A:$A,$E405))</f>
        <v/>
      </c>
      <c r="B405" s="5">
        <f>IF($E405="","",INDEX('Input Transaksi'!$D:$D,$E405))</f>
        <v/>
      </c>
      <c r="C405">
        <f>IF($E405="","",INDEX('Input Transaksi'!$E:$E,$E405))</f>
        <v/>
      </c>
      <c r="D405" s="5">
        <f>IF($E405="","",INDEX('Input Transaksi'!$F:$F,$E405))</f>
        <v/>
      </c>
      <c r="E405">
        <f>IFERROR(AGGREGATE(15,6,ROW('Input Transaksi'!$B$5:$B$5000)/('Input Transaksi'!$B$5:$B$5000="RINJANI WASH"),ROWS($E$5:E405)),"")</f>
        <v/>
      </c>
      <c r="F405" s="5" t="n"/>
    </row>
    <row r="406">
      <c r="A406" s="10">
        <f>IF($E406="","",INDEX('Input Transaksi'!$A:$A,$E406))</f>
        <v/>
      </c>
      <c r="B406" s="5">
        <f>IF($E406="","",INDEX('Input Transaksi'!$D:$D,$E406))</f>
        <v/>
      </c>
      <c r="C406">
        <f>IF($E406="","",INDEX('Input Transaksi'!$E:$E,$E406))</f>
        <v/>
      </c>
      <c r="D406" s="5">
        <f>IF($E406="","",INDEX('Input Transaksi'!$F:$F,$E406))</f>
        <v/>
      </c>
      <c r="E406">
        <f>IFERROR(AGGREGATE(15,6,ROW('Input Transaksi'!$B$5:$B$5000)/('Input Transaksi'!$B$5:$B$5000="RINJANI WASH"),ROWS($E$5:E406)),"")</f>
        <v/>
      </c>
      <c r="F406" s="5" t="n"/>
    </row>
    <row r="407">
      <c r="A407" s="10">
        <f>IF($E407="","",INDEX('Input Transaksi'!$A:$A,$E407))</f>
        <v/>
      </c>
      <c r="B407" s="5">
        <f>IF($E407="","",INDEX('Input Transaksi'!$D:$D,$E407))</f>
        <v/>
      </c>
      <c r="C407">
        <f>IF($E407="","",INDEX('Input Transaksi'!$E:$E,$E407))</f>
        <v/>
      </c>
      <c r="D407" s="5">
        <f>IF($E407="","",INDEX('Input Transaksi'!$F:$F,$E407))</f>
        <v/>
      </c>
      <c r="E407">
        <f>IFERROR(AGGREGATE(15,6,ROW('Input Transaksi'!$B$5:$B$5000)/('Input Transaksi'!$B$5:$B$5000="RINJANI WASH"),ROWS($E$5:E407)),"")</f>
        <v/>
      </c>
      <c r="F407" s="5" t="n"/>
    </row>
    <row r="408">
      <c r="A408" s="10">
        <f>IF($E408="","",INDEX('Input Transaksi'!$A:$A,$E408))</f>
        <v/>
      </c>
      <c r="B408" s="5">
        <f>IF($E408="","",INDEX('Input Transaksi'!$D:$D,$E408))</f>
        <v/>
      </c>
      <c r="C408">
        <f>IF($E408="","",INDEX('Input Transaksi'!$E:$E,$E408))</f>
        <v/>
      </c>
      <c r="D408" s="5">
        <f>IF($E408="","",INDEX('Input Transaksi'!$F:$F,$E408))</f>
        <v/>
      </c>
      <c r="E408">
        <f>IFERROR(AGGREGATE(15,6,ROW('Input Transaksi'!$B$5:$B$5000)/('Input Transaksi'!$B$5:$B$5000="RINJANI WASH"),ROWS($E$5:E408)),"")</f>
        <v/>
      </c>
      <c r="F408" s="5" t="n"/>
    </row>
    <row r="409">
      <c r="A409" s="10">
        <f>IF($E409="","",INDEX('Input Transaksi'!$A:$A,$E409))</f>
        <v/>
      </c>
      <c r="B409" s="5">
        <f>IF($E409="","",INDEX('Input Transaksi'!$D:$D,$E409))</f>
        <v/>
      </c>
      <c r="C409">
        <f>IF($E409="","",INDEX('Input Transaksi'!$E:$E,$E409))</f>
        <v/>
      </c>
      <c r="D409" s="5">
        <f>IF($E409="","",INDEX('Input Transaksi'!$F:$F,$E409))</f>
        <v/>
      </c>
      <c r="E409">
        <f>IFERROR(AGGREGATE(15,6,ROW('Input Transaksi'!$B$5:$B$5000)/('Input Transaksi'!$B$5:$B$5000="RINJANI WASH"),ROWS($E$5:E409)),"")</f>
        <v/>
      </c>
      <c r="F409" s="5" t="n"/>
    </row>
    <row r="410">
      <c r="A410" s="10">
        <f>IF($E410="","",INDEX('Input Transaksi'!$A:$A,$E410))</f>
        <v/>
      </c>
      <c r="B410" s="5">
        <f>IF($E410="","",INDEX('Input Transaksi'!$D:$D,$E410))</f>
        <v/>
      </c>
      <c r="C410">
        <f>IF($E410="","",INDEX('Input Transaksi'!$E:$E,$E410))</f>
        <v/>
      </c>
      <c r="D410" s="5">
        <f>IF($E410="","",INDEX('Input Transaksi'!$F:$F,$E410))</f>
        <v/>
      </c>
      <c r="E410">
        <f>IFERROR(AGGREGATE(15,6,ROW('Input Transaksi'!$B$5:$B$5000)/('Input Transaksi'!$B$5:$B$5000="RINJANI WASH"),ROWS($E$5:E410)),"")</f>
        <v/>
      </c>
      <c r="F410" s="5" t="n"/>
    </row>
    <row r="411">
      <c r="A411" s="10">
        <f>IF($E411="","",INDEX('Input Transaksi'!$A:$A,$E411))</f>
        <v/>
      </c>
      <c r="B411" s="5">
        <f>IF($E411="","",INDEX('Input Transaksi'!$D:$D,$E411))</f>
        <v/>
      </c>
      <c r="C411">
        <f>IF($E411="","",INDEX('Input Transaksi'!$E:$E,$E411))</f>
        <v/>
      </c>
      <c r="D411" s="5">
        <f>IF($E411="","",INDEX('Input Transaksi'!$F:$F,$E411))</f>
        <v/>
      </c>
      <c r="E411">
        <f>IFERROR(AGGREGATE(15,6,ROW('Input Transaksi'!$B$5:$B$5000)/('Input Transaksi'!$B$5:$B$5000="RINJANI WASH"),ROWS($E$5:E411)),"")</f>
        <v/>
      </c>
      <c r="F411" s="5" t="n"/>
    </row>
    <row r="412">
      <c r="A412" s="10">
        <f>IF($E412="","",INDEX('Input Transaksi'!$A:$A,$E412))</f>
        <v/>
      </c>
      <c r="B412" s="5">
        <f>IF($E412="","",INDEX('Input Transaksi'!$D:$D,$E412))</f>
        <v/>
      </c>
      <c r="C412">
        <f>IF($E412="","",INDEX('Input Transaksi'!$E:$E,$E412))</f>
        <v/>
      </c>
      <c r="D412" s="5">
        <f>IF($E412="","",INDEX('Input Transaksi'!$F:$F,$E412))</f>
        <v/>
      </c>
      <c r="E412">
        <f>IFERROR(AGGREGATE(15,6,ROW('Input Transaksi'!$B$5:$B$5000)/('Input Transaksi'!$B$5:$B$5000="RINJANI WASH"),ROWS($E$5:E412)),"")</f>
        <v/>
      </c>
      <c r="F412" s="5" t="n"/>
    </row>
    <row r="413">
      <c r="A413" s="10">
        <f>IF($E413="","",INDEX('Input Transaksi'!$A:$A,$E413))</f>
        <v/>
      </c>
      <c r="B413" s="5">
        <f>IF($E413="","",INDEX('Input Transaksi'!$D:$D,$E413))</f>
        <v/>
      </c>
      <c r="C413">
        <f>IF($E413="","",INDEX('Input Transaksi'!$E:$E,$E413))</f>
        <v/>
      </c>
      <c r="D413" s="5">
        <f>IF($E413="","",INDEX('Input Transaksi'!$F:$F,$E413))</f>
        <v/>
      </c>
      <c r="E413">
        <f>IFERROR(AGGREGATE(15,6,ROW('Input Transaksi'!$B$5:$B$5000)/('Input Transaksi'!$B$5:$B$5000="RINJANI WASH"),ROWS($E$5:E413)),"")</f>
        <v/>
      </c>
      <c r="F413" s="5" t="n"/>
    </row>
    <row r="414">
      <c r="A414" s="10">
        <f>IF($E414="","",INDEX('Input Transaksi'!$A:$A,$E414))</f>
        <v/>
      </c>
      <c r="B414" s="5">
        <f>IF($E414="","",INDEX('Input Transaksi'!$D:$D,$E414))</f>
        <v/>
      </c>
      <c r="C414">
        <f>IF($E414="","",INDEX('Input Transaksi'!$E:$E,$E414))</f>
        <v/>
      </c>
      <c r="D414" s="5">
        <f>IF($E414="","",INDEX('Input Transaksi'!$F:$F,$E414))</f>
        <v/>
      </c>
      <c r="E414">
        <f>IFERROR(AGGREGATE(15,6,ROW('Input Transaksi'!$B$5:$B$5000)/('Input Transaksi'!$B$5:$B$5000="RINJANI WASH"),ROWS($E$5:E414)),"")</f>
        <v/>
      </c>
      <c r="F414" s="5" t="n"/>
    </row>
    <row r="415">
      <c r="A415" s="10">
        <f>IF($E415="","",INDEX('Input Transaksi'!$A:$A,$E415))</f>
        <v/>
      </c>
      <c r="B415" s="5">
        <f>IF($E415="","",INDEX('Input Transaksi'!$D:$D,$E415))</f>
        <v/>
      </c>
      <c r="C415">
        <f>IF($E415="","",INDEX('Input Transaksi'!$E:$E,$E415))</f>
        <v/>
      </c>
      <c r="D415" s="5">
        <f>IF($E415="","",INDEX('Input Transaksi'!$F:$F,$E415))</f>
        <v/>
      </c>
      <c r="E415">
        <f>IFERROR(AGGREGATE(15,6,ROW('Input Transaksi'!$B$5:$B$5000)/('Input Transaksi'!$B$5:$B$5000="RINJANI WASH"),ROWS($E$5:E415)),"")</f>
        <v/>
      </c>
      <c r="F415" s="5" t="n"/>
    </row>
    <row r="416">
      <c r="A416" s="10">
        <f>IF($E416="","",INDEX('Input Transaksi'!$A:$A,$E416))</f>
        <v/>
      </c>
      <c r="B416" s="5">
        <f>IF($E416="","",INDEX('Input Transaksi'!$D:$D,$E416))</f>
        <v/>
      </c>
      <c r="C416">
        <f>IF($E416="","",INDEX('Input Transaksi'!$E:$E,$E416))</f>
        <v/>
      </c>
      <c r="D416" s="5">
        <f>IF($E416="","",INDEX('Input Transaksi'!$F:$F,$E416))</f>
        <v/>
      </c>
      <c r="E416">
        <f>IFERROR(AGGREGATE(15,6,ROW('Input Transaksi'!$B$5:$B$5000)/('Input Transaksi'!$B$5:$B$5000="RINJANI WASH"),ROWS($E$5:E416)),"")</f>
        <v/>
      </c>
      <c r="F416" s="5" t="n"/>
    </row>
    <row r="417">
      <c r="A417" s="10">
        <f>IF($E417="","",INDEX('Input Transaksi'!$A:$A,$E417))</f>
        <v/>
      </c>
      <c r="B417" s="5">
        <f>IF($E417="","",INDEX('Input Transaksi'!$D:$D,$E417))</f>
        <v/>
      </c>
      <c r="C417">
        <f>IF($E417="","",INDEX('Input Transaksi'!$E:$E,$E417))</f>
        <v/>
      </c>
      <c r="D417" s="5">
        <f>IF($E417="","",INDEX('Input Transaksi'!$F:$F,$E417))</f>
        <v/>
      </c>
      <c r="E417">
        <f>IFERROR(AGGREGATE(15,6,ROW('Input Transaksi'!$B$5:$B$5000)/('Input Transaksi'!$B$5:$B$5000="RINJANI WASH"),ROWS($E$5:E417)),"")</f>
        <v/>
      </c>
      <c r="F417" s="5" t="n"/>
    </row>
    <row r="418">
      <c r="A418" s="10">
        <f>IF($E418="","",INDEX('Input Transaksi'!$A:$A,$E418))</f>
        <v/>
      </c>
      <c r="B418" s="5">
        <f>IF($E418="","",INDEX('Input Transaksi'!$D:$D,$E418))</f>
        <v/>
      </c>
      <c r="C418">
        <f>IF($E418="","",INDEX('Input Transaksi'!$E:$E,$E418))</f>
        <v/>
      </c>
      <c r="D418" s="5">
        <f>IF($E418="","",INDEX('Input Transaksi'!$F:$F,$E418))</f>
        <v/>
      </c>
      <c r="E418">
        <f>IFERROR(AGGREGATE(15,6,ROW('Input Transaksi'!$B$5:$B$5000)/('Input Transaksi'!$B$5:$B$5000="RINJANI WASH"),ROWS($E$5:E418)),"")</f>
        <v/>
      </c>
      <c r="F418" s="5" t="n"/>
    </row>
    <row r="419">
      <c r="A419" s="10">
        <f>IF($E419="","",INDEX('Input Transaksi'!$A:$A,$E419))</f>
        <v/>
      </c>
      <c r="B419" s="5">
        <f>IF($E419="","",INDEX('Input Transaksi'!$D:$D,$E419))</f>
        <v/>
      </c>
      <c r="C419">
        <f>IF($E419="","",INDEX('Input Transaksi'!$E:$E,$E419))</f>
        <v/>
      </c>
      <c r="D419" s="5">
        <f>IF($E419="","",INDEX('Input Transaksi'!$F:$F,$E419))</f>
        <v/>
      </c>
      <c r="E419">
        <f>IFERROR(AGGREGATE(15,6,ROW('Input Transaksi'!$B$5:$B$5000)/('Input Transaksi'!$B$5:$B$5000="RINJANI WASH"),ROWS($E$5:E419)),"")</f>
        <v/>
      </c>
      <c r="F419" s="5" t="n"/>
    </row>
    <row r="420">
      <c r="A420" s="10">
        <f>IF($E420="","",INDEX('Input Transaksi'!$A:$A,$E420))</f>
        <v/>
      </c>
      <c r="B420" s="5">
        <f>IF($E420="","",INDEX('Input Transaksi'!$D:$D,$E420))</f>
        <v/>
      </c>
      <c r="C420">
        <f>IF($E420="","",INDEX('Input Transaksi'!$E:$E,$E420))</f>
        <v/>
      </c>
      <c r="D420" s="5">
        <f>IF($E420="","",INDEX('Input Transaksi'!$F:$F,$E420))</f>
        <v/>
      </c>
      <c r="E420">
        <f>IFERROR(AGGREGATE(15,6,ROW('Input Transaksi'!$B$5:$B$5000)/('Input Transaksi'!$B$5:$B$5000="RINJANI WASH"),ROWS($E$5:E420)),"")</f>
        <v/>
      </c>
      <c r="F420" s="5" t="n"/>
    </row>
    <row r="421">
      <c r="A421" s="10">
        <f>IF($E421="","",INDEX('Input Transaksi'!$A:$A,$E421))</f>
        <v/>
      </c>
      <c r="B421" s="5">
        <f>IF($E421="","",INDEX('Input Transaksi'!$D:$D,$E421))</f>
        <v/>
      </c>
      <c r="C421">
        <f>IF($E421="","",INDEX('Input Transaksi'!$E:$E,$E421))</f>
        <v/>
      </c>
      <c r="D421" s="5">
        <f>IF($E421="","",INDEX('Input Transaksi'!$F:$F,$E421))</f>
        <v/>
      </c>
      <c r="E421">
        <f>IFERROR(AGGREGATE(15,6,ROW('Input Transaksi'!$B$5:$B$5000)/('Input Transaksi'!$B$5:$B$5000="RINJANI WASH"),ROWS($E$5:E421)),"")</f>
        <v/>
      </c>
      <c r="F421" s="5" t="n"/>
    </row>
    <row r="422">
      <c r="A422" s="10">
        <f>IF($E422="","",INDEX('Input Transaksi'!$A:$A,$E422))</f>
        <v/>
      </c>
      <c r="B422" s="5">
        <f>IF($E422="","",INDEX('Input Transaksi'!$D:$D,$E422))</f>
        <v/>
      </c>
      <c r="C422">
        <f>IF($E422="","",INDEX('Input Transaksi'!$E:$E,$E422))</f>
        <v/>
      </c>
      <c r="D422" s="5">
        <f>IF($E422="","",INDEX('Input Transaksi'!$F:$F,$E422))</f>
        <v/>
      </c>
      <c r="E422">
        <f>IFERROR(AGGREGATE(15,6,ROW('Input Transaksi'!$B$5:$B$5000)/('Input Transaksi'!$B$5:$B$5000="RINJANI WASH"),ROWS($E$5:E422)),"")</f>
        <v/>
      </c>
      <c r="F422" s="5" t="n"/>
    </row>
    <row r="423">
      <c r="A423" s="10">
        <f>IF($E423="","",INDEX('Input Transaksi'!$A:$A,$E423))</f>
        <v/>
      </c>
      <c r="B423" s="5">
        <f>IF($E423="","",INDEX('Input Transaksi'!$D:$D,$E423))</f>
        <v/>
      </c>
      <c r="C423">
        <f>IF($E423="","",INDEX('Input Transaksi'!$E:$E,$E423))</f>
        <v/>
      </c>
      <c r="D423" s="5">
        <f>IF($E423="","",INDEX('Input Transaksi'!$F:$F,$E423))</f>
        <v/>
      </c>
      <c r="E423">
        <f>IFERROR(AGGREGATE(15,6,ROW('Input Transaksi'!$B$5:$B$5000)/('Input Transaksi'!$B$5:$B$5000="RINJANI WASH"),ROWS($E$5:E423)),"")</f>
        <v/>
      </c>
      <c r="F423" s="5" t="n"/>
    </row>
    <row r="424">
      <c r="A424" s="10">
        <f>IF($E424="","",INDEX('Input Transaksi'!$A:$A,$E424))</f>
        <v/>
      </c>
      <c r="B424" s="5">
        <f>IF($E424="","",INDEX('Input Transaksi'!$D:$D,$E424))</f>
        <v/>
      </c>
      <c r="C424">
        <f>IF($E424="","",INDEX('Input Transaksi'!$E:$E,$E424))</f>
        <v/>
      </c>
      <c r="D424" s="5">
        <f>IF($E424="","",INDEX('Input Transaksi'!$F:$F,$E424))</f>
        <v/>
      </c>
      <c r="E424">
        <f>IFERROR(AGGREGATE(15,6,ROW('Input Transaksi'!$B$5:$B$5000)/('Input Transaksi'!$B$5:$B$5000="RINJANI WASH"),ROWS($E$5:E424)),"")</f>
        <v/>
      </c>
      <c r="F424" s="5" t="n"/>
    </row>
    <row r="425">
      <c r="A425" s="10">
        <f>IF($E425="","",INDEX('Input Transaksi'!$A:$A,$E425))</f>
        <v/>
      </c>
      <c r="B425" s="5">
        <f>IF($E425="","",INDEX('Input Transaksi'!$D:$D,$E425))</f>
        <v/>
      </c>
      <c r="C425">
        <f>IF($E425="","",INDEX('Input Transaksi'!$E:$E,$E425))</f>
        <v/>
      </c>
      <c r="D425" s="5">
        <f>IF($E425="","",INDEX('Input Transaksi'!$F:$F,$E425))</f>
        <v/>
      </c>
      <c r="E425">
        <f>IFERROR(AGGREGATE(15,6,ROW('Input Transaksi'!$B$5:$B$5000)/('Input Transaksi'!$B$5:$B$5000="RINJANI WASH"),ROWS($E$5:E425)),"")</f>
        <v/>
      </c>
      <c r="F425" s="5" t="n"/>
    </row>
    <row r="426">
      <c r="A426" s="10">
        <f>IF($E426="","",INDEX('Input Transaksi'!$A:$A,$E426))</f>
        <v/>
      </c>
      <c r="B426" s="5">
        <f>IF($E426="","",INDEX('Input Transaksi'!$D:$D,$E426))</f>
        <v/>
      </c>
      <c r="C426">
        <f>IF($E426="","",INDEX('Input Transaksi'!$E:$E,$E426))</f>
        <v/>
      </c>
      <c r="D426" s="5">
        <f>IF($E426="","",INDEX('Input Transaksi'!$F:$F,$E426))</f>
        <v/>
      </c>
      <c r="E426">
        <f>IFERROR(AGGREGATE(15,6,ROW('Input Transaksi'!$B$5:$B$5000)/('Input Transaksi'!$B$5:$B$5000="RINJANI WASH"),ROWS($E$5:E426)),"")</f>
        <v/>
      </c>
      <c r="F426" s="5" t="n"/>
    </row>
    <row r="427">
      <c r="A427" s="10">
        <f>IF($E427="","",INDEX('Input Transaksi'!$A:$A,$E427))</f>
        <v/>
      </c>
      <c r="B427" s="5">
        <f>IF($E427="","",INDEX('Input Transaksi'!$D:$D,$E427))</f>
        <v/>
      </c>
      <c r="C427">
        <f>IF($E427="","",INDEX('Input Transaksi'!$E:$E,$E427))</f>
        <v/>
      </c>
      <c r="D427" s="5">
        <f>IF($E427="","",INDEX('Input Transaksi'!$F:$F,$E427))</f>
        <v/>
      </c>
      <c r="E427">
        <f>IFERROR(AGGREGATE(15,6,ROW('Input Transaksi'!$B$5:$B$5000)/('Input Transaksi'!$B$5:$B$5000="RINJANI WASH"),ROWS($E$5:E427)),"")</f>
        <v/>
      </c>
      <c r="F427" s="5" t="n"/>
    </row>
    <row r="428">
      <c r="A428" s="10">
        <f>IF($E428="","",INDEX('Input Transaksi'!$A:$A,$E428))</f>
        <v/>
      </c>
      <c r="B428" s="5">
        <f>IF($E428="","",INDEX('Input Transaksi'!$D:$D,$E428))</f>
        <v/>
      </c>
      <c r="C428">
        <f>IF($E428="","",INDEX('Input Transaksi'!$E:$E,$E428))</f>
        <v/>
      </c>
      <c r="D428" s="5">
        <f>IF($E428="","",INDEX('Input Transaksi'!$F:$F,$E428))</f>
        <v/>
      </c>
      <c r="E428">
        <f>IFERROR(AGGREGATE(15,6,ROW('Input Transaksi'!$B$5:$B$5000)/('Input Transaksi'!$B$5:$B$5000="RINJANI WASH"),ROWS($E$5:E428)),"")</f>
        <v/>
      </c>
      <c r="F428" s="5" t="n"/>
    </row>
    <row r="429">
      <c r="A429" s="10">
        <f>IF($E429="","",INDEX('Input Transaksi'!$A:$A,$E429))</f>
        <v/>
      </c>
      <c r="B429" s="5">
        <f>IF($E429="","",INDEX('Input Transaksi'!$D:$D,$E429))</f>
        <v/>
      </c>
      <c r="C429">
        <f>IF($E429="","",INDEX('Input Transaksi'!$E:$E,$E429))</f>
        <v/>
      </c>
      <c r="D429" s="5">
        <f>IF($E429="","",INDEX('Input Transaksi'!$F:$F,$E429))</f>
        <v/>
      </c>
      <c r="E429">
        <f>IFERROR(AGGREGATE(15,6,ROW('Input Transaksi'!$B$5:$B$5000)/('Input Transaksi'!$B$5:$B$5000="RINJANI WASH"),ROWS($E$5:E429)),"")</f>
        <v/>
      </c>
      <c r="F429" s="5" t="n"/>
    </row>
    <row r="430">
      <c r="A430" s="10">
        <f>IF($E430="","",INDEX('Input Transaksi'!$A:$A,$E430))</f>
        <v/>
      </c>
      <c r="B430" s="5">
        <f>IF($E430="","",INDEX('Input Transaksi'!$D:$D,$E430))</f>
        <v/>
      </c>
      <c r="C430">
        <f>IF($E430="","",INDEX('Input Transaksi'!$E:$E,$E430))</f>
        <v/>
      </c>
      <c r="D430" s="5">
        <f>IF($E430="","",INDEX('Input Transaksi'!$F:$F,$E430))</f>
        <v/>
      </c>
      <c r="E430">
        <f>IFERROR(AGGREGATE(15,6,ROW('Input Transaksi'!$B$5:$B$5000)/('Input Transaksi'!$B$5:$B$5000="RINJANI WASH"),ROWS($E$5:E430)),"")</f>
        <v/>
      </c>
      <c r="F430" s="5" t="n"/>
    </row>
    <row r="431">
      <c r="A431" s="10">
        <f>IF($E431="","",INDEX('Input Transaksi'!$A:$A,$E431))</f>
        <v/>
      </c>
      <c r="B431" s="5">
        <f>IF($E431="","",INDEX('Input Transaksi'!$D:$D,$E431))</f>
        <v/>
      </c>
      <c r="C431">
        <f>IF($E431="","",INDEX('Input Transaksi'!$E:$E,$E431))</f>
        <v/>
      </c>
      <c r="D431" s="5">
        <f>IF($E431="","",INDEX('Input Transaksi'!$F:$F,$E431))</f>
        <v/>
      </c>
      <c r="E431">
        <f>IFERROR(AGGREGATE(15,6,ROW('Input Transaksi'!$B$5:$B$5000)/('Input Transaksi'!$B$5:$B$5000="RINJANI WASH"),ROWS($E$5:E431)),"")</f>
        <v/>
      </c>
      <c r="F431" s="5" t="n"/>
    </row>
    <row r="432">
      <c r="A432" s="10">
        <f>IF($E432="","",INDEX('Input Transaksi'!$A:$A,$E432))</f>
        <v/>
      </c>
      <c r="B432" s="5">
        <f>IF($E432="","",INDEX('Input Transaksi'!$D:$D,$E432))</f>
        <v/>
      </c>
      <c r="C432">
        <f>IF($E432="","",INDEX('Input Transaksi'!$E:$E,$E432))</f>
        <v/>
      </c>
      <c r="D432" s="5">
        <f>IF($E432="","",INDEX('Input Transaksi'!$F:$F,$E432))</f>
        <v/>
      </c>
      <c r="E432">
        <f>IFERROR(AGGREGATE(15,6,ROW('Input Transaksi'!$B$5:$B$5000)/('Input Transaksi'!$B$5:$B$5000="RINJANI WASH"),ROWS($E$5:E432)),"")</f>
        <v/>
      </c>
      <c r="F432" s="5" t="n"/>
    </row>
    <row r="433">
      <c r="A433" s="10">
        <f>IF($E433="","",INDEX('Input Transaksi'!$A:$A,$E433))</f>
        <v/>
      </c>
      <c r="B433" s="5">
        <f>IF($E433="","",INDEX('Input Transaksi'!$D:$D,$E433))</f>
        <v/>
      </c>
      <c r="C433">
        <f>IF($E433="","",INDEX('Input Transaksi'!$E:$E,$E433))</f>
        <v/>
      </c>
      <c r="D433" s="5">
        <f>IF($E433="","",INDEX('Input Transaksi'!$F:$F,$E433))</f>
        <v/>
      </c>
      <c r="E433">
        <f>IFERROR(AGGREGATE(15,6,ROW('Input Transaksi'!$B$5:$B$5000)/('Input Transaksi'!$B$5:$B$5000="RINJANI WASH"),ROWS($E$5:E433)),"")</f>
        <v/>
      </c>
      <c r="F433" s="5" t="n"/>
    </row>
    <row r="434">
      <c r="A434" s="10">
        <f>IF($E434="","",INDEX('Input Transaksi'!$A:$A,$E434))</f>
        <v/>
      </c>
      <c r="B434" s="5">
        <f>IF($E434="","",INDEX('Input Transaksi'!$D:$D,$E434))</f>
        <v/>
      </c>
      <c r="C434">
        <f>IF($E434="","",INDEX('Input Transaksi'!$E:$E,$E434))</f>
        <v/>
      </c>
      <c r="D434" s="5">
        <f>IF($E434="","",INDEX('Input Transaksi'!$F:$F,$E434))</f>
        <v/>
      </c>
      <c r="E434">
        <f>IFERROR(AGGREGATE(15,6,ROW('Input Transaksi'!$B$5:$B$5000)/('Input Transaksi'!$B$5:$B$5000="RINJANI WASH"),ROWS($E$5:E434)),"")</f>
        <v/>
      </c>
      <c r="F434" s="5" t="n"/>
    </row>
    <row r="435">
      <c r="A435" s="10">
        <f>IF($E435="","",INDEX('Input Transaksi'!$A:$A,$E435))</f>
        <v/>
      </c>
      <c r="B435" s="5">
        <f>IF($E435="","",INDEX('Input Transaksi'!$D:$D,$E435))</f>
        <v/>
      </c>
      <c r="C435">
        <f>IF($E435="","",INDEX('Input Transaksi'!$E:$E,$E435))</f>
        <v/>
      </c>
      <c r="D435" s="5">
        <f>IF($E435="","",INDEX('Input Transaksi'!$F:$F,$E435))</f>
        <v/>
      </c>
      <c r="E435">
        <f>IFERROR(AGGREGATE(15,6,ROW('Input Transaksi'!$B$5:$B$5000)/('Input Transaksi'!$B$5:$B$5000="RINJANI WASH"),ROWS($E$5:E435)),"")</f>
        <v/>
      </c>
      <c r="F435" s="5" t="n"/>
    </row>
    <row r="436">
      <c r="A436" s="10">
        <f>IF($E436="","",INDEX('Input Transaksi'!$A:$A,$E436))</f>
        <v/>
      </c>
      <c r="B436" s="5">
        <f>IF($E436="","",INDEX('Input Transaksi'!$D:$D,$E436))</f>
        <v/>
      </c>
      <c r="C436">
        <f>IF($E436="","",INDEX('Input Transaksi'!$E:$E,$E436))</f>
        <v/>
      </c>
      <c r="D436" s="5">
        <f>IF($E436="","",INDEX('Input Transaksi'!$F:$F,$E436))</f>
        <v/>
      </c>
      <c r="E436">
        <f>IFERROR(AGGREGATE(15,6,ROW('Input Transaksi'!$B$5:$B$5000)/('Input Transaksi'!$B$5:$B$5000="RINJANI WASH"),ROWS($E$5:E436)),"")</f>
        <v/>
      </c>
      <c r="F436" s="5" t="n"/>
    </row>
    <row r="437">
      <c r="A437" s="10">
        <f>IF($E437="","",INDEX('Input Transaksi'!$A:$A,$E437))</f>
        <v/>
      </c>
      <c r="B437" s="5">
        <f>IF($E437="","",INDEX('Input Transaksi'!$D:$D,$E437))</f>
        <v/>
      </c>
      <c r="C437">
        <f>IF($E437="","",INDEX('Input Transaksi'!$E:$E,$E437))</f>
        <v/>
      </c>
      <c r="D437" s="5">
        <f>IF($E437="","",INDEX('Input Transaksi'!$F:$F,$E437))</f>
        <v/>
      </c>
      <c r="E437">
        <f>IFERROR(AGGREGATE(15,6,ROW('Input Transaksi'!$B$5:$B$5000)/('Input Transaksi'!$B$5:$B$5000="RINJANI WASH"),ROWS($E$5:E437)),"")</f>
        <v/>
      </c>
      <c r="F437" s="5" t="n"/>
    </row>
    <row r="438">
      <c r="A438" s="10">
        <f>IF($E438="","",INDEX('Input Transaksi'!$A:$A,$E438))</f>
        <v/>
      </c>
      <c r="B438" s="5">
        <f>IF($E438="","",INDEX('Input Transaksi'!$D:$D,$E438))</f>
        <v/>
      </c>
      <c r="C438">
        <f>IF($E438="","",INDEX('Input Transaksi'!$E:$E,$E438))</f>
        <v/>
      </c>
      <c r="D438" s="5">
        <f>IF($E438="","",INDEX('Input Transaksi'!$F:$F,$E438))</f>
        <v/>
      </c>
      <c r="E438">
        <f>IFERROR(AGGREGATE(15,6,ROW('Input Transaksi'!$B$5:$B$5000)/('Input Transaksi'!$B$5:$B$5000="RINJANI WASH"),ROWS($E$5:E438)),"")</f>
        <v/>
      </c>
      <c r="F438" s="5" t="n"/>
    </row>
    <row r="439">
      <c r="A439" s="10">
        <f>IF($E439="","",INDEX('Input Transaksi'!$A:$A,$E439))</f>
        <v/>
      </c>
      <c r="B439" s="5">
        <f>IF($E439="","",INDEX('Input Transaksi'!$D:$D,$E439))</f>
        <v/>
      </c>
      <c r="C439">
        <f>IF($E439="","",INDEX('Input Transaksi'!$E:$E,$E439))</f>
        <v/>
      </c>
      <c r="D439" s="5">
        <f>IF($E439="","",INDEX('Input Transaksi'!$F:$F,$E439))</f>
        <v/>
      </c>
      <c r="E439">
        <f>IFERROR(AGGREGATE(15,6,ROW('Input Transaksi'!$B$5:$B$5000)/('Input Transaksi'!$B$5:$B$5000="RINJANI WASH"),ROWS($E$5:E439)),"")</f>
        <v/>
      </c>
      <c r="F439" s="5" t="n"/>
    </row>
    <row r="440">
      <c r="A440" s="10">
        <f>IF($E440="","",INDEX('Input Transaksi'!$A:$A,$E440))</f>
        <v/>
      </c>
      <c r="B440" s="5">
        <f>IF($E440="","",INDEX('Input Transaksi'!$D:$D,$E440))</f>
        <v/>
      </c>
      <c r="C440">
        <f>IF($E440="","",INDEX('Input Transaksi'!$E:$E,$E440))</f>
        <v/>
      </c>
      <c r="D440" s="5">
        <f>IF($E440="","",INDEX('Input Transaksi'!$F:$F,$E440))</f>
        <v/>
      </c>
      <c r="E440">
        <f>IFERROR(AGGREGATE(15,6,ROW('Input Transaksi'!$B$5:$B$5000)/('Input Transaksi'!$B$5:$B$5000="RINJANI WASH"),ROWS($E$5:E440)),"")</f>
        <v/>
      </c>
      <c r="F440" s="5" t="n"/>
    </row>
    <row r="441">
      <c r="A441" s="10">
        <f>IF($E441="","",INDEX('Input Transaksi'!$A:$A,$E441))</f>
        <v/>
      </c>
      <c r="B441" s="5">
        <f>IF($E441="","",INDEX('Input Transaksi'!$D:$D,$E441))</f>
        <v/>
      </c>
      <c r="C441">
        <f>IF($E441="","",INDEX('Input Transaksi'!$E:$E,$E441))</f>
        <v/>
      </c>
      <c r="D441" s="5">
        <f>IF($E441="","",INDEX('Input Transaksi'!$F:$F,$E441))</f>
        <v/>
      </c>
      <c r="E441">
        <f>IFERROR(AGGREGATE(15,6,ROW('Input Transaksi'!$B$5:$B$5000)/('Input Transaksi'!$B$5:$B$5000="RINJANI WASH"),ROWS($E$5:E441)),"")</f>
        <v/>
      </c>
      <c r="F441" s="5" t="n"/>
    </row>
    <row r="442">
      <c r="A442" s="10">
        <f>IF($E442="","",INDEX('Input Transaksi'!$A:$A,$E442))</f>
        <v/>
      </c>
      <c r="B442" s="5">
        <f>IF($E442="","",INDEX('Input Transaksi'!$D:$D,$E442))</f>
        <v/>
      </c>
      <c r="C442">
        <f>IF($E442="","",INDEX('Input Transaksi'!$E:$E,$E442))</f>
        <v/>
      </c>
      <c r="D442" s="5">
        <f>IF($E442="","",INDEX('Input Transaksi'!$F:$F,$E442))</f>
        <v/>
      </c>
      <c r="E442">
        <f>IFERROR(AGGREGATE(15,6,ROW('Input Transaksi'!$B$5:$B$5000)/('Input Transaksi'!$B$5:$B$5000="RINJANI WASH"),ROWS($E$5:E442)),"")</f>
        <v/>
      </c>
      <c r="F442" s="5" t="n"/>
    </row>
    <row r="443">
      <c r="A443" s="10">
        <f>IF($E443="","",INDEX('Input Transaksi'!$A:$A,$E443))</f>
        <v/>
      </c>
      <c r="B443" s="5">
        <f>IF($E443="","",INDEX('Input Transaksi'!$D:$D,$E443))</f>
        <v/>
      </c>
      <c r="C443">
        <f>IF($E443="","",INDEX('Input Transaksi'!$E:$E,$E443))</f>
        <v/>
      </c>
      <c r="D443" s="5">
        <f>IF($E443="","",INDEX('Input Transaksi'!$F:$F,$E443))</f>
        <v/>
      </c>
      <c r="E443">
        <f>IFERROR(AGGREGATE(15,6,ROW('Input Transaksi'!$B$5:$B$5000)/('Input Transaksi'!$B$5:$B$5000="RINJANI WASH"),ROWS($E$5:E443)),"")</f>
        <v/>
      </c>
      <c r="F443" s="5" t="n"/>
    </row>
    <row r="444">
      <c r="A444" s="10">
        <f>IF($E444="","",INDEX('Input Transaksi'!$A:$A,$E444))</f>
        <v/>
      </c>
      <c r="B444" s="5">
        <f>IF($E444="","",INDEX('Input Transaksi'!$D:$D,$E444))</f>
        <v/>
      </c>
      <c r="C444">
        <f>IF($E444="","",INDEX('Input Transaksi'!$E:$E,$E444))</f>
        <v/>
      </c>
      <c r="D444" s="5">
        <f>IF($E444="","",INDEX('Input Transaksi'!$F:$F,$E444))</f>
        <v/>
      </c>
      <c r="E444">
        <f>IFERROR(AGGREGATE(15,6,ROW('Input Transaksi'!$B$5:$B$5000)/('Input Transaksi'!$B$5:$B$5000="RINJANI WASH"),ROWS($E$5:E444)),"")</f>
        <v/>
      </c>
      <c r="F444" s="5" t="n"/>
    </row>
    <row r="445">
      <c r="A445" s="10">
        <f>IF($E445="","",INDEX('Input Transaksi'!$A:$A,$E445))</f>
        <v/>
      </c>
      <c r="B445" s="5">
        <f>IF($E445="","",INDEX('Input Transaksi'!$D:$D,$E445))</f>
        <v/>
      </c>
      <c r="C445">
        <f>IF($E445="","",INDEX('Input Transaksi'!$E:$E,$E445))</f>
        <v/>
      </c>
      <c r="D445" s="5">
        <f>IF($E445="","",INDEX('Input Transaksi'!$F:$F,$E445))</f>
        <v/>
      </c>
      <c r="E445">
        <f>IFERROR(AGGREGATE(15,6,ROW('Input Transaksi'!$B$5:$B$5000)/('Input Transaksi'!$B$5:$B$5000="RINJANI WASH"),ROWS($E$5:E445)),"")</f>
        <v/>
      </c>
      <c r="F445" s="5" t="n"/>
    </row>
    <row r="446">
      <c r="A446" s="10">
        <f>IF($E446="","",INDEX('Input Transaksi'!$A:$A,$E446))</f>
        <v/>
      </c>
      <c r="B446" s="5">
        <f>IF($E446="","",INDEX('Input Transaksi'!$D:$D,$E446))</f>
        <v/>
      </c>
      <c r="C446">
        <f>IF($E446="","",INDEX('Input Transaksi'!$E:$E,$E446))</f>
        <v/>
      </c>
      <c r="D446" s="5">
        <f>IF($E446="","",INDEX('Input Transaksi'!$F:$F,$E446))</f>
        <v/>
      </c>
      <c r="E446">
        <f>IFERROR(AGGREGATE(15,6,ROW('Input Transaksi'!$B$5:$B$5000)/('Input Transaksi'!$B$5:$B$5000="RINJANI WASH"),ROWS($E$5:E446)),"")</f>
        <v/>
      </c>
      <c r="F446" s="5" t="n"/>
    </row>
    <row r="447">
      <c r="A447" s="10">
        <f>IF($E447="","",INDEX('Input Transaksi'!$A:$A,$E447))</f>
        <v/>
      </c>
      <c r="B447" s="5">
        <f>IF($E447="","",INDEX('Input Transaksi'!$D:$D,$E447))</f>
        <v/>
      </c>
      <c r="C447">
        <f>IF($E447="","",INDEX('Input Transaksi'!$E:$E,$E447))</f>
        <v/>
      </c>
      <c r="D447" s="5">
        <f>IF($E447="","",INDEX('Input Transaksi'!$F:$F,$E447))</f>
        <v/>
      </c>
      <c r="E447">
        <f>IFERROR(AGGREGATE(15,6,ROW('Input Transaksi'!$B$5:$B$5000)/('Input Transaksi'!$B$5:$B$5000="RINJANI WASH"),ROWS($E$5:E447)),"")</f>
        <v/>
      </c>
      <c r="F447" s="5" t="n"/>
    </row>
    <row r="448">
      <c r="A448" s="10">
        <f>IF($E448="","",INDEX('Input Transaksi'!$A:$A,$E448))</f>
        <v/>
      </c>
      <c r="B448" s="5">
        <f>IF($E448="","",INDEX('Input Transaksi'!$D:$D,$E448))</f>
        <v/>
      </c>
      <c r="C448">
        <f>IF($E448="","",INDEX('Input Transaksi'!$E:$E,$E448))</f>
        <v/>
      </c>
      <c r="D448" s="5">
        <f>IF($E448="","",INDEX('Input Transaksi'!$F:$F,$E448))</f>
        <v/>
      </c>
      <c r="E448">
        <f>IFERROR(AGGREGATE(15,6,ROW('Input Transaksi'!$B$5:$B$5000)/('Input Transaksi'!$B$5:$B$5000="RINJANI WASH"),ROWS($E$5:E448)),"")</f>
        <v/>
      </c>
      <c r="F448" s="5" t="n"/>
    </row>
    <row r="449">
      <c r="A449" s="10">
        <f>IF($E449="","",INDEX('Input Transaksi'!$A:$A,$E449))</f>
        <v/>
      </c>
      <c r="B449" s="5">
        <f>IF($E449="","",INDEX('Input Transaksi'!$D:$D,$E449))</f>
        <v/>
      </c>
      <c r="C449">
        <f>IF($E449="","",INDEX('Input Transaksi'!$E:$E,$E449))</f>
        <v/>
      </c>
      <c r="D449" s="5">
        <f>IF($E449="","",INDEX('Input Transaksi'!$F:$F,$E449))</f>
        <v/>
      </c>
      <c r="E449">
        <f>IFERROR(AGGREGATE(15,6,ROW('Input Transaksi'!$B$5:$B$5000)/('Input Transaksi'!$B$5:$B$5000="RINJANI WASH"),ROWS($E$5:E449)),"")</f>
        <v/>
      </c>
      <c r="F449" s="5" t="n"/>
    </row>
    <row r="450">
      <c r="A450" s="10">
        <f>IF($E450="","",INDEX('Input Transaksi'!$A:$A,$E450))</f>
        <v/>
      </c>
      <c r="B450" s="5">
        <f>IF($E450="","",INDEX('Input Transaksi'!$D:$D,$E450))</f>
        <v/>
      </c>
      <c r="C450">
        <f>IF($E450="","",INDEX('Input Transaksi'!$E:$E,$E450))</f>
        <v/>
      </c>
      <c r="D450" s="5">
        <f>IF($E450="","",INDEX('Input Transaksi'!$F:$F,$E450))</f>
        <v/>
      </c>
      <c r="E450">
        <f>IFERROR(AGGREGATE(15,6,ROW('Input Transaksi'!$B$5:$B$5000)/('Input Transaksi'!$B$5:$B$5000="RINJANI WASH"),ROWS($E$5:E450)),"")</f>
        <v/>
      </c>
      <c r="F450" s="5" t="n"/>
    </row>
    <row r="451">
      <c r="A451" s="10">
        <f>IF($E451="","",INDEX('Input Transaksi'!$A:$A,$E451))</f>
        <v/>
      </c>
      <c r="B451" s="5">
        <f>IF($E451="","",INDEX('Input Transaksi'!$D:$D,$E451))</f>
        <v/>
      </c>
      <c r="C451">
        <f>IF($E451="","",INDEX('Input Transaksi'!$E:$E,$E451))</f>
        <v/>
      </c>
      <c r="D451" s="5">
        <f>IF($E451="","",INDEX('Input Transaksi'!$F:$F,$E451))</f>
        <v/>
      </c>
      <c r="E451">
        <f>IFERROR(AGGREGATE(15,6,ROW('Input Transaksi'!$B$5:$B$5000)/('Input Transaksi'!$B$5:$B$5000="RINJANI WASH"),ROWS($E$5:E451)),"")</f>
        <v/>
      </c>
      <c r="F451" s="5" t="n"/>
    </row>
    <row r="452">
      <c r="A452" s="10">
        <f>IF($E452="","",INDEX('Input Transaksi'!$A:$A,$E452))</f>
        <v/>
      </c>
      <c r="B452" s="5">
        <f>IF($E452="","",INDEX('Input Transaksi'!$D:$D,$E452))</f>
        <v/>
      </c>
      <c r="C452">
        <f>IF($E452="","",INDEX('Input Transaksi'!$E:$E,$E452))</f>
        <v/>
      </c>
      <c r="D452" s="5">
        <f>IF($E452="","",INDEX('Input Transaksi'!$F:$F,$E452))</f>
        <v/>
      </c>
      <c r="E452">
        <f>IFERROR(AGGREGATE(15,6,ROW('Input Transaksi'!$B$5:$B$5000)/('Input Transaksi'!$B$5:$B$5000="RINJANI WASH"),ROWS($E$5:E452)),"")</f>
        <v/>
      </c>
      <c r="F452" s="5" t="n"/>
    </row>
    <row r="453">
      <c r="A453" s="10">
        <f>IF($E453="","",INDEX('Input Transaksi'!$A:$A,$E453))</f>
        <v/>
      </c>
      <c r="B453" s="5">
        <f>IF($E453="","",INDEX('Input Transaksi'!$D:$D,$E453))</f>
        <v/>
      </c>
      <c r="C453">
        <f>IF($E453="","",INDEX('Input Transaksi'!$E:$E,$E453))</f>
        <v/>
      </c>
      <c r="D453" s="5">
        <f>IF($E453="","",INDEX('Input Transaksi'!$F:$F,$E453))</f>
        <v/>
      </c>
      <c r="E453">
        <f>IFERROR(AGGREGATE(15,6,ROW('Input Transaksi'!$B$5:$B$5000)/('Input Transaksi'!$B$5:$B$5000="RINJANI WASH"),ROWS($E$5:E453)),"")</f>
        <v/>
      </c>
      <c r="F453" s="5" t="n"/>
    </row>
    <row r="454">
      <c r="A454" s="10">
        <f>IF($E454="","",INDEX('Input Transaksi'!$A:$A,$E454))</f>
        <v/>
      </c>
      <c r="B454" s="5">
        <f>IF($E454="","",INDEX('Input Transaksi'!$D:$D,$E454))</f>
        <v/>
      </c>
      <c r="C454">
        <f>IF($E454="","",INDEX('Input Transaksi'!$E:$E,$E454))</f>
        <v/>
      </c>
      <c r="D454" s="5">
        <f>IF($E454="","",INDEX('Input Transaksi'!$F:$F,$E454))</f>
        <v/>
      </c>
      <c r="E454">
        <f>IFERROR(AGGREGATE(15,6,ROW('Input Transaksi'!$B$5:$B$5000)/('Input Transaksi'!$B$5:$B$5000="RINJANI WASH"),ROWS($E$5:E454)),"")</f>
        <v/>
      </c>
      <c r="F454" s="5" t="n"/>
    </row>
    <row r="455">
      <c r="A455" s="10">
        <f>IF($E455="","",INDEX('Input Transaksi'!$A:$A,$E455))</f>
        <v/>
      </c>
      <c r="B455" s="5">
        <f>IF($E455="","",INDEX('Input Transaksi'!$D:$D,$E455))</f>
        <v/>
      </c>
      <c r="C455">
        <f>IF($E455="","",INDEX('Input Transaksi'!$E:$E,$E455))</f>
        <v/>
      </c>
      <c r="D455" s="5">
        <f>IF($E455="","",INDEX('Input Transaksi'!$F:$F,$E455))</f>
        <v/>
      </c>
      <c r="E455">
        <f>IFERROR(AGGREGATE(15,6,ROW('Input Transaksi'!$B$5:$B$5000)/('Input Transaksi'!$B$5:$B$5000="RINJANI WASH"),ROWS($E$5:E455)),"")</f>
        <v/>
      </c>
      <c r="F455" s="5" t="n"/>
    </row>
    <row r="456">
      <c r="A456" s="10">
        <f>IF($E456="","",INDEX('Input Transaksi'!$A:$A,$E456))</f>
        <v/>
      </c>
      <c r="B456" s="5">
        <f>IF($E456="","",INDEX('Input Transaksi'!$D:$D,$E456))</f>
        <v/>
      </c>
      <c r="C456">
        <f>IF($E456="","",INDEX('Input Transaksi'!$E:$E,$E456))</f>
        <v/>
      </c>
      <c r="D456" s="5">
        <f>IF($E456="","",INDEX('Input Transaksi'!$F:$F,$E456))</f>
        <v/>
      </c>
      <c r="E456">
        <f>IFERROR(AGGREGATE(15,6,ROW('Input Transaksi'!$B$5:$B$5000)/('Input Transaksi'!$B$5:$B$5000="RINJANI WASH"),ROWS($E$5:E456)),"")</f>
        <v/>
      </c>
      <c r="F456" s="5" t="n"/>
    </row>
    <row r="457">
      <c r="A457" s="10">
        <f>IF($E457="","",INDEX('Input Transaksi'!$A:$A,$E457))</f>
        <v/>
      </c>
      <c r="B457" s="5">
        <f>IF($E457="","",INDEX('Input Transaksi'!$D:$D,$E457))</f>
        <v/>
      </c>
      <c r="C457">
        <f>IF($E457="","",INDEX('Input Transaksi'!$E:$E,$E457))</f>
        <v/>
      </c>
      <c r="D457" s="5">
        <f>IF($E457="","",INDEX('Input Transaksi'!$F:$F,$E457))</f>
        <v/>
      </c>
      <c r="E457">
        <f>IFERROR(AGGREGATE(15,6,ROW('Input Transaksi'!$B$5:$B$5000)/('Input Transaksi'!$B$5:$B$5000="RINJANI WASH"),ROWS($E$5:E457)),"")</f>
        <v/>
      </c>
      <c r="F457" s="5" t="n"/>
    </row>
    <row r="458">
      <c r="A458" s="10">
        <f>IF($E458="","",INDEX('Input Transaksi'!$A:$A,$E458))</f>
        <v/>
      </c>
      <c r="B458" s="5">
        <f>IF($E458="","",INDEX('Input Transaksi'!$D:$D,$E458))</f>
        <v/>
      </c>
      <c r="C458">
        <f>IF($E458="","",INDEX('Input Transaksi'!$E:$E,$E458))</f>
        <v/>
      </c>
      <c r="D458" s="5">
        <f>IF($E458="","",INDEX('Input Transaksi'!$F:$F,$E458))</f>
        <v/>
      </c>
      <c r="E458">
        <f>IFERROR(AGGREGATE(15,6,ROW('Input Transaksi'!$B$5:$B$5000)/('Input Transaksi'!$B$5:$B$5000="RINJANI WASH"),ROWS($E$5:E458)),"")</f>
        <v/>
      </c>
      <c r="F458" s="5" t="n"/>
    </row>
    <row r="459">
      <c r="A459" s="10">
        <f>IF($E459="","",INDEX('Input Transaksi'!$A:$A,$E459))</f>
        <v/>
      </c>
      <c r="B459" s="5">
        <f>IF($E459="","",INDEX('Input Transaksi'!$D:$D,$E459))</f>
        <v/>
      </c>
      <c r="C459">
        <f>IF($E459="","",INDEX('Input Transaksi'!$E:$E,$E459))</f>
        <v/>
      </c>
      <c r="D459" s="5">
        <f>IF($E459="","",INDEX('Input Transaksi'!$F:$F,$E459))</f>
        <v/>
      </c>
      <c r="E459">
        <f>IFERROR(AGGREGATE(15,6,ROW('Input Transaksi'!$B$5:$B$5000)/('Input Transaksi'!$B$5:$B$5000="RINJANI WASH"),ROWS($E$5:E459)),"")</f>
        <v/>
      </c>
      <c r="F459" s="5" t="n"/>
    </row>
    <row r="460">
      <c r="A460" s="10">
        <f>IF($E460="","",INDEX('Input Transaksi'!$A:$A,$E460))</f>
        <v/>
      </c>
      <c r="B460" s="5">
        <f>IF($E460="","",INDEX('Input Transaksi'!$D:$D,$E460))</f>
        <v/>
      </c>
      <c r="C460">
        <f>IF($E460="","",INDEX('Input Transaksi'!$E:$E,$E460))</f>
        <v/>
      </c>
      <c r="D460" s="5">
        <f>IF($E460="","",INDEX('Input Transaksi'!$F:$F,$E460))</f>
        <v/>
      </c>
      <c r="E460">
        <f>IFERROR(AGGREGATE(15,6,ROW('Input Transaksi'!$B$5:$B$5000)/('Input Transaksi'!$B$5:$B$5000="RINJANI WASH"),ROWS($E$5:E460)),"")</f>
        <v/>
      </c>
      <c r="F460" s="5" t="n"/>
    </row>
    <row r="461">
      <c r="A461" s="10">
        <f>IF($E461="","",INDEX('Input Transaksi'!$A:$A,$E461))</f>
        <v/>
      </c>
      <c r="B461" s="5">
        <f>IF($E461="","",INDEX('Input Transaksi'!$D:$D,$E461))</f>
        <v/>
      </c>
      <c r="C461">
        <f>IF($E461="","",INDEX('Input Transaksi'!$E:$E,$E461))</f>
        <v/>
      </c>
      <c r="D461" s="5">
        <f>IF($E461="","",INDEX('Input Transaksi'!$F:$F,$E461))</f>
        <v/>
      </c>
      <c r="E461">
        <f>IFERROR(AGGREGATE(15,6,ROW('Input Transaksi'!$B$5:$B$5000)/('Input Transaksi'!$B$5:$B$5000="RINJANI WASH"),ROWS($E$5:E461)),"")</f>
        <v/>
      </c>
      <c r="F461" s="5" t="n"/>
    </row>
    <row r="462">
      <c r="A462" s="10">
        <f>IF($E462="","",INDEX('Input Transaksi'!$A:$A,$E462))</f>
        <v/>
      </c>
      <c r="B462" s="5">
        <f>IF($E462="","",INDEX('Input Transaksi'!$D:$D,$E462))</f>
        <v/>
      </c>
      <c r="C462">
        <f>IF($E462="","",INDEX('Input Transaksi'!$E:$E,$E462))</f>
        <v/>
      </c>
      <c r="D462" s="5">
        <f>IF($E462="","",INDEX('Input Transaksi'!$F:$F,$E462))</f>
        <v/>
      </c>
      <c r="E462">
        <f>IFERROR(AGGREGATE(15,6,ROW('Input Transaksi'!$B$5:$B$5000)/('Input Transaksi'!$B$5:$B$5000="RINJANI WASH"),ROWS($E$5:E462)),"")</f>
        <v/>
      </c>
      <c r="F462" s="5" t="n"/>
    </row>
    <row r="463">
      <c r="A463" s="10">
        <f>IF($E463="","",INDEX('Input Transaksi'!$A:$A,$E463))</f>
        <v/>
      </c>
      <c r="B463" s="5">
        <f>IF($E463="","",INDEX('Input Transaksi'!$D:$D,$E463))</f>
        <v/>
      </c>
      <c r="C463">
        <f>IF($E463="","",INDEX('Input Transaksi'!$E:$E,$E463))</f>
        <v/>
      </c>
      <c r="D463" s="5">
        <f>IF($E463="","",INDEX('Input Transaksi'!$F:$F,$E463))</f>
        <v/>
      </c>
      <c r="E463">
        <f>IFERROR(AGGREGATE(15,6,ROW('Input Transaksi'!$B$5:$B$5000)/('Input Transaksi'!$B$5:$B$5000="RINJANI WASH"),ROWS($E$5:E463)),"")</f>
        <v/>
      </c>
      <c r="F463" s="5" t="n"/>
    </row>
    <row r="464">
      <c r="A464" s="10">
        <f>IF($E464="","",INDEX('Input Transaksi'!$A:$A,$E464))</f>
        <v/>
      </c>
      <c r="B464" s="5">
        <f>IF($E464="","",INDEX('Input Transaksi'!$D:$D,$E464))</f>
        <v/>
      </c>
      <c r="C464">
        <f>IF($E464="","",INDEX('Input Transaksi'!$E:$E,$E464))</f>
        <v/>
      </c>
      <c r="D464" s="5">
        <f>IF($E464="","",INDEX('Input Transaksi'!$F:$F,$E464))</f>
        <v/>
      </c>
      <c r="E464">
        <f>IFERROR(AGGREGATE(15,6,ROW('Input Transaksi'!$B$5:$B$5000)/('Input Transaksi'!$B$5:$B$5000="RINJANI WASH"),ROWS($E$5:E464)),"")</f>
        <v/>
      </c>
      <c r="F464" s="5" t="n"/>
    </row>
    <row r="465">
      <c r="A465" s="10">
        <f>IF($E465="","",INDEX('Input Transaksi'!$A:$A,$E465))</f>
        <v/>
      </c>
      <c r="B465" s="5">
        <f>IF($E465="","",INDEX('Input Transaksi'!$D:$D,$E465))</f>
        <v/>
      </c>
      <c r="C465">
        <f>IF($E465="","",INDEX('Input Transaksi'!$E:$E,$E465))</f>
        <v/>
      </c>
      <c r="D465" s="5">
        <f>IF($E465="","",INDEX('Input Transaksi'!$F:$F,$E465))</f>
        <v/>
      </c>
      <c r="E465">
        <f>IFERROR(AGGREGATE(15,6,ROW('Input Transaksi'!$B$5:$B$5000)/('Input Transaksi'!$B$5:$B$5000="RINJANI WASH"),ROWS($E$5:E465)),"")</f>
        <v/>
      </c>
      <c r="F465" s="5" t="n"/>
    </row>
    <row r="466">
      <c r="A466" s="10">
        <f>IF($E466="","",INDEX('Input Transaksi'!$A:$A,$E466))</f>
        <v/>
      </c>
      <c r="B466" s="5">
        <f>IF($E466="","",INDEX('Input Transaksi'!$D:$D,$E466))</f>
        <v/>
      </c>
      <c r="C466">
        <f>IF($E466="","",INDEX('Input Transaksi'!$E:$E,$E466))</f>
        <v/>
      </c>
      <c r="D466" s="5">
        <f>IF($E466="","",INDEX('Input Transaksi'!$F:$F,$E466))</f>
        <v/>
      </c>
      <c r="E466">
        <f>IFERROR(AGGREGATE(15,6,ROW('Input Transaksi'!$B$5:$B$5000)/('Input Transaksi'!$B$5:$B$5000="RINJANI WASH"),ROWS($E$5:E466)),"")</f>
        <v/>
      </c>
      <c r="F466" s="5" t="n"/>
    </row>
    <row r="467">
      <c r="A467" s="10">
        <f>IF($E467="","",INDEX('Input Transaksi'!$A:$A,$E467))</f>
        <v/>
      </c>
      <c r="B467" s="5">
        <f>IF($E467="","",INDEX('Input Transaksi'!$D:$D,$E467))</f>
        <v/>
      </c>
      <c r="C467">
        <f>IF($E467="","",INDEX('Input Transaksi'!$E:$E,$E467))</f>
        <v/>
      </c>
      <c r="D467" s="5">
        <f>IF($E467="","",INDEX('Input Transaksi'!$F:$F,$E467))</f>
        <v/>
      </c>
      <c r="E467">
        <f>IFERROR(AGGREGATE(15,6,ROW('Input Transaksi'!$B$5:$B$5000)/('Input Transaksi'!$B$5:$B$5000="RINJANI WASH"),ROWS($E$5:E467)),"")</f>
        <v/>
      </c>
      <c r="F467" s="5" t="n"/>
    </row>
    <row r="468">
      <c r="A468" s="10">
        <f>IF($E468="","",INDEX('Input Transaksi'!$A:$A,$E468))</f>
        <v/>
      </c>
      <c r="B468" s="5">
        <f>IF($E468="","",INDEX('Input Transaksi'!$D:$D,$E468))</f>
        <v/>
      </c>
      <c r="C468">
        <f>IF($E468="","",INDEX('Input Transaksi'!$E:$E,$E468))</f>
        <v/>
      </c>
      <c r="D468" s="5">
        <f>IF($E468="","",INDEX('Input Transaksi'!$F:$F,$E468))</f>
        <v/>
      </c>
      <c r="E468">
        <f>IFERROR(AGGREGATE(15,6,ROW('Input Transaksi'!$B$5:$B$5000)/('Input Transaksi'!$B$5:$B$5000="RINJANI WASH"),ROWS($E$5:E468)),"")</f>
        <v/>
      </c>
      <c r="F468" s="5" t="n"/>
    </row>
    <row r="469">
      <c r="A469" s="10">
        <f>IF($E469="","",INDEX('Input Transaksi'!$A:$A,$E469))</f>
        <v/>
      </c>
      <c r="B469" s="5">
        <f>IF($E469="","",INDEX('Input Transaksi'!$D:$D,$E469))</f>
        <v/>
      </c>
      <c r="C469">
        <f>IF($E469="","",INDEX('Input Transaksi'!$E:$E,$E469))</f>
        <v/>
      </c>
      <c r="D469" s="5">
        <f>IF($E469="","",INDEX('Input Transaksi'!$F:$F,$E469))</f>
        <v/>
      </c>
      <c r="E469">
        <f>IFERROR(AGGREGATE(15,6,ROW('Input Transaksi'!$B$5:$B$5000)/('Input Transaksi'!$B$5:$B$5000="RINJANI WASH"),ROWS($E$5:E469)),"")</f>
        <v/>
      </c>
      <c r="F469" s="5" t="n"/>
    </row>
    <row r="470">
      <c r="A470" s="10">
        <f>IF($E470="","",INDEX('Input Transaksi'!$A:$A,$E470))</f>
        <v/>
      </c>
      <c r="B470" s="5">
        <f>IF($E470="","",INDEX('Input Transaksi'!$D:$D,$E470))</f>
        <v/>
      </c>
      <c r="C470">
        <f>IF($E470="","",INDEX('Input Transaksi'!$E:$E,$E470))</f>
        <v/>
      </c>
      <c r="D470" s="5">
        <f>IF($E470="","",INDEX('Input Transaksi'!$F:$F,$E470))</f>
        <v/>
      </c>
      <c r="E470">
        <f>IFERROR(AGGREGATE(15,6,ROW('Input Transaksi'!$B$5:$B$5000)/('Input Transaksi'!$B$5:$B$5000="RINJANI WASH"),ROWS($E$5:E470)),"")</f>
        <v/>
      </c>
      <c r="F470" s="5" t="n"/>
    </row>
    <row r="471">
      <c r="A471" s="10">
        <f>IF($E471="","",INDEX('Input Transaksi'!$A:$A,$E471))</f>
        <v/>
      </c>
      <c r="B471" s="5">
        <f>IF($E471="","",INDEX('Input Transaksi'!$D:$D,$E471))</f>
        <v/>
      </c>
      <c r="C471">
        <f>IF($E471="","",INDEX('Input Transaksi'!$E:$E,$E471))</f>
        <v/>
      </c>
      <c r="D471" s="5">
        <f>IF($E471="","",INDEX('Input Transaksi'!$F:$F,$E471))</f>
        <v/>
      </c>
      <c r="E471">
        <f>IFERROR(AGGREGATE(15,6,ROW('Input Transaksi'!$B$5:$B$5000)/('Input Transaksi'!$B$5:$B$5000="RINJANI WASH"),ROWS($E$5:E471)),"")</f>
        <v/>
      </c>
      <c r="F471" s="5" t="n"/>
    </row>
    <row r="472">
      <c r="A472" s="10">
        <f>IF($E472="","",INDEX('Input Transaksi'!$A:$A,$E472))</f>
        <v/>
      </c>
      <c r="B472" s="5">
        <f>IF($E472="","",INDEX('Input Transaksi'!$D:$D,$E472))</f>
        <v/>
      </c>
      <c r="C472">
        <f>IF($E472="","",INDEX('Input Transaksi'!$E:$E,$E472))</f>
        <v/>
      </c>
      <c r="D472" s="5">
        <f>IF($E472="","",INDEX('Input Transaksi'!$F:$F,$E472))</f>
        <v/>
      </c>
      <c r="E472">
        <f>IFERROR(AGGREGATE(15,6,ROW('Input Transaksi'!$B$5:$B$5000)/('Input Transaksi'!$B$5:$B$5000="RINJANI WASH"),ROWS($E$5:E472)),"")</f>
        <v/>
      </c>
      <c r="F472" s="5" t="n"/>
    </row>
    <row r="473">
      <c r="A473" s="10">
        <f>IF($E473="","",INDEX('Input Transaksi'!$A:$A,$E473))</f>
        <v/>
      </c>
      <c r="B473" s="5">
        <f>IF($E473="","",INDEX('Input Transaksi'!$D:$D,$E473))</f>
        <v/>
      </c>
      <c r="C473">
        <f>IF($E473="","",INDEX('Input Transaksi'!$E:$E,$E473))</f>
        <v/>
      </c>
      <c r="D473" s="5">
        <f>IF($E473="","",INDEX('Input Transaksi'!$F:$F,$E473))</f>
        <v/>
      </c>
      <c r="E473">
        <f>IFERROR(AGGREGATE(15,6,ROW('Input Transaksi'!$B$5:$B$5000)/('Input Transaksi'!$B$5:$B$5000="RINJANI WASH"),ROWS($E$5:E473)),"")</f>
        <v/>
      </c>
      <c r="F473" s="5" t="n"/>
    </row>
    <row r="474">
      <c r="A474" s="10">
        <f>IF($E474="","",INDEX('Input Transaksi'!$A:$A,$E474))</f>
        <v/>
      </c>
      <c r="B474" s="5">
        <f>IF($E474="","",INDEX('Input Transaksi'!$D:$D,$E474))</f>
        <v/>
      </c>
      <c r="C474">
        <f>IF($E474="","",INDEX('Input Transaksi'!$E:$E,$E474))</f>
        <v/>
      </c>
      <c r="D474" s="5">
        <f>IF($E474="","",INDEX('Input Transaksi'!$F:$F,$E474))</f>
        <v/>
      </c>
      <c r="E474">
        <f>IFERROR(AGGREGATE(15,6,ROW('Input Transaksi'!$B$5:$B$5000)/('Input Transaksi'!$B$5:$B$5000="RINJANI WASH"),ROWS($E$5:E474)),"")</f>
        <v/>
      </c>
      <c r="F474" s="5" t="n"/>
    </row>
    <row r="475">
      <c r="A475" s="10">
        <f>IF($E475="","",INDEX('Input Transaksi'!$A:$A,$E475))</f>
        <v/>
      </c>
      <c r="B475" s="5">
        <f>IF($E475="","",INDEX('Input Transaksi'!$D:$D,$E475))</f>
        <v/>
      </c>
      <c r="C475">
        <f>IF($E475="","",INDEX('Input Transaksi'!$E:$E,$E475))</f>
        <v/>
      </c>
      <c r="D475" s="5">
        <f>IF($E475="","",INDEX('Input Transaksi'!$F:$F,$E475))</f>
        <v/>
      </c>
      <c r="E475">
        <f>IFERROR(AGGREGATE(15,6,ROW('Input Transaksi'!$B$5:$B$5000)/('Input Transaksi'!$B$5:$B$5000="RINJANI WASH"),ROWS($E$5:E475)),"")</f>
        <v/>
      </c>
      <c r="F475" s="5" t="n"/>
    </row>
    <row r="476">
      <c r="A476" s="10">
        <f>IF($E476="","",INDEX('Input Transaksi'!$A:$A,$E476))</f>
        <v/>
      </c>
      <c r="B476" s="5">
        <f>IF($E476="","",INDEX('Input Transaksi'!$D:$D,$E476))</f>
        <v/>
      </c>
      <c r="C476">
        <f>IF($E476="","",INDEX('Input Transaksi'!$E:$E,$E476))</f>
        <v/>
      </c>
      <c r="D476" s="5">
        <f>IF($E476="","",INDEX('Input Transaksi'!$F:$F,$E476))</f>
        <v/>
      </c>
      <c r="E476">
        <f>IFERROR(AGGREGATE(15,6,ROW('Input Transaksi'!$B$5:$B$5000)/('Input Transaksi'!$B$5:$B$5000="RINJANI WASH"),ROWS($E$5:E476)),"")</f>
        <v/>
      </c>
      <c r="F476" s="5" t="n"/>
    </row>
    <row r="477">
      <c r="A477" s="10">
        <f>IF($E477="","",INDEX('Input Transaksi'!$A:$A,$E477))</f>
        <v/>
      </c>
      <c r="B477" s="5">
        <f>IF($E477="","",INDEX('Input Transaksi'!$D:$D,$E477))</f>
        <v/>
      </c>
      <c r="C477">
        <f>IF($E477="","",INDEX('Input Transaksi'!$E:$E,$E477))</f>
        <v/>
      </c>
      <c r="D477" s="5">
        <f>IF($E477="","",INDEX('Input Transaksi'!$F:$F,$E477))</f>
        <v/>
      </c>
      <c r="E477">
        <f>IFERROR(AGGREGATE(15,6,ROW('Input Transaksi'!$B$5:$B$5000)/('Input Transaksi'!$B$5:$B$5000="RINJANI WASH"),ROWS($E$5:E477)),"")</f>
        <v/>
      </c>
      <c r="F477" s="5" t="n"/>
    </row>
    <row r="478">
      <c r="A478" s="10">
        <f>IF($E478="","",INDEX('Input Transaksi'!$A:$A,$E478))</f>
        <v/>
      </c>
      <c r="B478" s="5">
        <f>IF($E478="","",INDEX('Input Transaksi'!$D:$D,$E478))</f>
        <v/>
      </c>
      <c r="C478">
        <f>IF($E478="","",INDEX('Input Transaksi'!$E:$E,$E478))</f>
        <v/>
      </c>
      <c r="D478" s="5">
        <f>IF($E478="","",INDEX('Input Transaksi'!$F:$F,$E478))</f>
        <v/>
      </c>
      <c r="E478">
        <f>IFERROR(AGGREGATE(15,6,ROW('Input Transaksi'!$B$5:$B$5000)/('Input Transaksi'!$B$5:$B$5000="RINJANI WASH"),ROWS($E$5:E478)),"")</f>
        <v/>
      </c>
      <c r="F478" s="5" t="n"/>
    </row>
    <row r="479">
      <c r="A479" s="10">
        <f>IF($E479="","",INDEX('Input Transaksi'!$A:$A,$E479))</f>
        <v/>
      </c>
      <c r="B479" s="5">
        <f>IF($E479="","",INDEX('Input Transaksi'!$D:$D,$E479))</f>
        <v/>
      </c>
      <c r="C479">
        <f>IF($E479="","",INDEX('Input Transaksi'!$E:$E,$E479))</f>
        <v/>
      </c>
      <c r="D479" s="5">
        <f>IF($E479="","",INDEX('Input Transaksi'!$F:$F,$E479))</f>
        <v/>
      </c>
      <c r="E479">
        <f>IFERROR(AGGREGATE(15,6,ROW('Input Transaksi'!$B$5:$B$5000)/('Input Transaksi'!$B$5:$B$5000="RINJANI WASH"),ROWS($E$5:E479)),"")</f>
        <v/>
      </c>
      <c r="F479" s="5" t="n"/>
    </row>
    <row r="480">
      <c r="A480" s="10">
        <f>IF($E480="","",INDEX('Input Transaksi'!$A:$A,$E480))</f>
        <v/>
      </c>
      <c r="B480" s="5">
        <f>IF($E480="","",INDEX('Input Transaksi'!$D:$D,$E480))</f>
        <v/>
      </c>
      <c r="C480">
        <f>IF($E480="","",INDEX('Input Transaksi'!$E:$E,$E480))</f>
        <v/>
      </c>
      <c r="D480" s="5">
        <f>IF($E480="","",INDEX('Input Transaksi'!$F:$F,$E480))</f>
        <v/>
      </c>
      <c r="E480">
        <f>IFERROR(AGGREGATE(15,6,ROW('Input Transaksi'!$B$5:$B$5000)/('Input Transaksi'!$B$5:$B$5000="RINJANI WASH"),ROWS($E$5:E480)),"")</f>
        <v/>
      </c>
      <c r="F480" s="5" t="n"/>
    </row>
    <row r="481">
      <c r="A481" s="10">
        <f>IF($E481="","",INDEX('Input Transaksi'!$A:$A,$E481))</f>
        <v/>
      </c>
      <c r="B481" s="5">
        <f>IF($E481="","",INDEX('Input Transaksi'!$D:$D,$E481))</f>
        <v/>
      </c>
      <c r="C481">
        <f>IF($E481="","",INDEX('Input Transaksi'!$E:$E,$E481))</f>
        <v/>
      </c>
      <c r="D481" s="5">
        <f>IF($E481="","",INDEX('Input Transaksi'!$F:$F,$E481))</f>
        <v/>
      </c>
      <c r="E481">
        <f>IFERROR(AGGREGATE(15,6,ROW('Input Transaksi'!$B$5:$B$5000)/('Input Transaksi'!$B$5:$B$5000="RINJANI WASH"),ROWS($E$5:E481)),"")</f>
        <v/>
      </c>
      <c r="F481" s="5" t="n"/>
    </row>
    <row r="482">
      <c r="A482" s="10">
        <f>IF($E482="","",INDEX('Input Transaksi'!$A:$A,$E482))</f>
        <v/>
      </c>
      <c r="B482" s="5">
        <f>IF($E482="","",INDEX('Input Transaksi'!$D:$D,$E482))</f>
        <v/>
      </c>
      <c r="C482">
        <f>IF($E482="","",INDEX('Input Transaksi'!$E:$E,$E482))</f>
        <v/>
      </c>
      <c r="D482" s="5">
        <f>IF($E482="","",INDEX('Input Transaksi'!$F:$F,$E482))</f>
        <v/>
      </c>
      <c r="E482">
        <f>IFERROR(AGGREGATE(15,6,ROW('Input Transaksi'!$B$5:$B$5000)/('Input Transaksi'!$B$5:$B$5000="RINJANI WASH"),ROWS($E$5:E482)),"")</f>
        <v/>
      </c>
      <c r="F482" s="5" t="n"/>
    </row>
    <row r="483">
      <c r="A483" s="10">
        <f>IF($E483="","",INDEX('Input Transaksi'!$A:$A,$E483))</f>
        <v/>
      </c>
      <c r="B483" s="5">
        <f>IF($E483="","",INDEX('Input Transaksi'!$D:$D,$E483))</f>
        <v/>
      </c>
      <c r="C483">
        <f>IF($E483="","",INDEX('Input Transaksi'!$E:$E,$E483))</f>
        <v/>
      </c>
      <c r="D483" s="5">
        <f>IF($E483="","",INDEX('Input Transaksi'!$F:$F,$E483))</f>
        <v/>
      </c>
      <c r="E483">
        <f>IFERROR(AGGREGATE(15,6,ROW('Input Transaksi'!$B$5:$B$5000)/('Input Transaksi'!$B$5:$B$5000="RINJANI WASH"),ROWS($E$5:E483)),"")</f>
        <v/>
      </c>
      <c r="F483" s="5" t="n"/>
    </row>
    <row r="484">
      <c r="A484" s="10">
        <f>IF($E484="","",INDEX('Input Transaksi'!$A:$A,$E484))</f>
        <v/>
      </c>
      <c r="B484" s="5">
        <f>IF($E484="","",INDEX('Input Transaksi'!$D:$D,$E484))</f>
        <v/>
      </c>
      <c r="C484">
        <f>IF($E484="","",INDEX('Input Transaksi'!$E:$E,$E484))</f>
        <v/>
      </c>
      <c r="D484" s="5">
        <f>IF($E484="","",INDEX('Input Transaksi'!$F:$F,$E484))</f>
        <v/>
      </c>
      <c r="E484">
        <f>IFERROR(AGGREGATE(15,6,ROW('Input Transaksi'!$B$5:$B$5000)/('Input Transaksi'!$B$5:$B$5000="RINJANI WASH"),ROWS($E$5:E484)),"")</f>
        <v/>
      </c>
      <c r="F484" s="5" t="n"/>
    </row>
    <row r="485">
      <c r="A485" s="10">
        <f>IF($E485="","",INDEX('Input Transaksi'!$A:$A,$E485))</f>
        <v/>
      </c>
      <c r="B485" s="5">
        <f>IF($E485="","",INDEX('Input Transaksi'!$D:$D,$E485))</f>
        <v/>
      </c>
      <c r="C485">
        <f>IF($E485="","",INDEX('Input Transaksi'!$E:$E,$E485))</f>
        <v/>
      </c>
      <c r="D485" s="5">
        <f>IF($E485="","",INDEX('Input Transaksi'!$F:$F,$E485))</f>
        <v/>
      </c>
      <c r="E485">
        <f>IFERROR(AGGREGATE(15,6,ROW('Input Transaksi'!$B$5:$B$5000)/('Input Transaksi'!$B$5:$B$5000="RINJANI WASH"),ROWS($E$5:E485)),"")</f>
        <v/>
      </c>
      <c r="F485" s="5" t="n"/>
    </row>
    <row r="486">
      <c r="A486" s="10">
        <f>IF($E486="","",INDEX('Input Transaksi'!$A:$A,$E486))</f>
        <v/>
      </c>
      <c r="B486" s="5">
        <f>IF($E486="","",INDEX('Input Transaksi'!$D:$D,$E486))</f>
        <v/>
      </c>
      <c r="C486">
        <f>IF($E486="","",INDEX('Input Transaksi'!$E:$E,$E486))</f>
        <v/>
      </c>
      <c r="D486" s="5">
        <f>IF($E486="","",INDEX('Input Transaksi'!$F:$F,$E486))</f>
        <v/>
      </c>
      <c r="E486">
        <f>IFERROR(AGGREGATE(15,6,ROW('Input Transaksi'!$B$5:$B$5000)/('Input Transaksi'!$B$5:$B$5000="RINJANI WASH"),ROWS($E$5:E486)),"")</f>
        <v/>
      </c>
      <c r="F486" s="5" t="n"/>
    </row>
    <row r="487">
      <c r="A487" s="10">
        <f>IF($E487="","",INDEX('Input Transaksi'!$A:$A,$E487))</f>
        <v/>
      </c>
      <c r="B487" s="5">
        <f>IF($E487="","",INDEX('Input Transaksi'!$D:$D,$E487))</f>
        <v/>
      </c>
      <c r="C487">
        <f>IF($E487="","",INDEX('Input Transaksi'!$E:$E,$E487))</f>
        <v/>
      </c>
      <c r="D487" s="5">
        <f>IF($E487="","",INDEX('Input Transaksi'!$F:$F,$E487))</f>
        <v/>
      </c>
      <c r="E487">
        <f>IFERROR(AGGREGATE(15,6,ROW('Input Transaksi'!$B$5:$B$5000)/('Input Transaksi'!$B$5:$B$5000="RINJANI WASH"),ROWS($E$5:E487)),"")</f>
        <v/>
      </c>
      <c r="F487" s="5" t="n"/>
    </row>
    <row r="488">
      <c r="A488" s="10">
        <f>IF($E488="","",INDEX('Input Transaksi'!$A:$A,$E488))</f>
        <v/>
      </c>
      <c r="B488" s="5">
        <f>IF($E488="","",INDEX('Input Transaksi'!$D:$D,$E488))</f>
        <v/>
      </c>
      <c r="C488">
        <f>IF($E488="","",INDEX('Input Transaksi'!$E:$E,$E488))</f>
        <v/>
      </c>
      <c r="D488" s="5">
        <f>IF($E488="","",INDEX('Input Transaksi'!$F:$F,$E488))</f>
        <v/>
      </c>
      <c r="E488">
        <f>IFERROR(AGGREGATE(15,6,ROW('Input Transaksi'!$B$5:$B$5000)/('Input Transaksi'!$B$5:$B$5000="RINJANI WASH"),ROWS($E$5:E488)),"")</f>
        <v/>
      </c>
      <c r="F488" s="5" t="n"/>
    </row>
    <row r="489">
      <c r="A489" s="10">
        <f>IF($E489="","",INDEX('Input Transaksi'!$A:$A,$E489))</f>
        <v/>
      </c>
      <c r="B489" s="5">
        <f>IF($E489="","",INDEX('Input Transaksi'!$D:$D,$E489))</f>
        <v/>
      </c>
      <c r="C489">
        <f>IF($E489="","",INDEX('Input Transaksi'!$E:$E,$E489))</f>
        <v/>
      </c>
      <c r="D489" s="5">
        <f>IF($E489="","",INDEX('Input Transaksi'!$F:$F,$E489))</f>
        <v/>
      </c>
      <c r="E489">
        <f>IFERROR(AGGREGATE(15,6,ROW('Input Transaksi'!$B$5:$B$5000)/('Input Transaksi'!$B$5:$B$5000="RINJANI WASH"),ROWS($E$5:E489)),"")</f>
        <v/>
      </c>
      <c r="F489" s="5" t="n"/>
    </row>
    <row r="490">
      <c r="A490" s="10">
        <f>IF($E490="","",INDEX('Input Transaksi'!$A:$A,$E490))</f>
        <v/>
      </c>
      <c r="B490" s="5">
        <f>IF($E490="","",INDEX('Input Transaksi'!$D:$D,$E490))</f>
        <v/>
      </c>
      <c r="C490">
        <f>IF($E490="","",INDEX('Input Transaksi'!$E:$E,$E490))</f>
        <v/>
      </c>
      <c r="D490" s="5">
        <f>IF($E490="","",INDEX('Input Transaksi'!$F:$F,$E490))</f>
        <v/>
      </c>
      <c r="E490">
        <f>IFERROR(AGGREGATE(15,6,ROW('Input Transaksi'!$B$5:$B$5000)/('Input Transaksi'!$B$5:$B$5000="RINJANI WASH"),ROWS($E$5:E490)),"")</f>
        <v/>
      </c>
      <c r="F490" s="5" t="n"/>
    </row>
    <row r="491">
      <c r="A491" s="10">
        <f>IF($E491="","",INDEX('Input Transaksi'!$A:$A,$E491))</f>
        <v/>
      </c>
      <c r="B491" s="5">
        <f>IF($E491="","",INDEX('Input Transaksi'!$D:$D,$E491))</f>
        <v/>
      </c>
      <c r="C491">
        <f>IF($E491="","",INDEX('Input Transaksi'!$E:$E,$E491))</f>
        <v/>
      </c>
      <c r="D491" s="5">
        <f>IF($E491="","",INDEX('Input Transaksi'!$F:$F,$E491))</f>
        <v/>
      </c>
      <c r="E491">
        <f>IFERROR(AGGREGATE(15,6,ROW('Input Transaksi'!$B$5:$B$5000)/('Input Transaksi'!$B$5:$B$5000="RINJANI WASH"),ROWS($E$5:E491)),"")</f>
        <v/>
      </c>
      <c r="F491" s="5" t="n"/>
    </row>
    <row r="492">
      <c r="A492" s="10">
        <f>IF($E492="","",INDEX('Input Transaksi'!$A:$A,$E492))</f>
        <v/>
      </c>
      <c r="B492" s="5">
        <f>IF($E492="","",INDEX('Input Transaksi'!$D:$D,$E492))</f>
        <v/>
      </c>
      <c r="C492">
        <f>IF($E492="","",INDEX('Input Transaksi'!$E:$E,$E492))</f>
        <v/>
      </c>
      <c r="D492" s="5">
        <f>IF($E492="","",INDEX('Input Transaksi'!$F:$F,$E492))</f>
        <v/>
      </c>
      <c r="E492">
        <f>IFERROR(AGGREGATE(15,6,ROW('Input Transaksi'!$B$5:$B$5000)/('Input Transaksi'!$B$5:$B$5000="RINJANI WASH"),ROWS($E$5:E492)),"")</f>
        <v/>
      </c>
      <c r="F492" s="5" t="n"/>
    </row>
    <row r="493">
      <c r="A493" s="10">
        <f>IF($E493="","",INDEX('Input Transaksi'!$A:$A,$E493))</f>
        <v/>
      </c>
      <c r="B493" s="5">
        <f>IF($E493="","",INDEX('Input Transaksi'!$D:$D,$E493))</f>
        <v/>
      </c>
      <c r="C493">
        <f>IF($E493="","",INDEX('Input Transaksi'!$E:$E,$E493))</f>
        <v/>
      </c>
      <c r="D493" s="5">
        <f>IF($E493="","",INDEX('Input Transaksi'!$F:$F,$E493))</f>
        <v/>
      </c>
      <c r="E493">
        <f>IFERROR(AGGREGATE(15,6,ROW('Input Transaksi'!$B$5:$B$5000)/('Input Transaksi'!$B$5:$B$5000="RINJANI WASH"),ROWS($E$5:E493)),"")</f>
        <v/>
      </c>
      <c r="F493" s="5" t="n"/>
    </row>
    <row r="494">
      <c r="A494" s="10">
        <f>IF($E494="","",INDEX('Input Transaksi'!$A:$A,$E494))</f>
        <v/>
      </c>
      <c r="B494" s="5">
        <f>IF($E494="","",INDEX('Input Transaksi'!$D:$D,$E494))</f>
        <v/>
      </c>
      <c r="C494">
        <f>IF($E494="","",INDEX('Input Transaksi'!$E:$E,$E494))</f>
        <v/>
      </c>
      <c r="D494" s="5">
        <f>IF($E494="","",INDEX('Input Transaksi'!$F:$F,$E494))</f>
        <v/>
      </c>
      <c r="E494">
        <f>IFERROR(AGGREGATE(15,6,ROW('Input Transaksi'!$B$5:$B$5000)/('Input Transaksi'!$B$5:$B$5000="RINJANI WASH"),ROWS($E$5:E494)),"")</f>
        <v/>
      </c>
      <c r="F494" s="5" t="n"/>
    </row>
    <row r="495">
      <c r="A495" s="10">
        <f>IF($E495="","",INDEX('Input Transaksi'!$A:$A,$E495))</f>
        <v/>
      </c>
      <c r="B495" s="5">
        <f>IF($E495="","",INDEX('Input Transaksi'!$D:$D,$E495))</f>
        <v/>
      </c>
      <c r="C495">
        <f>IF($E495="","",INDEX('Input Transaksi'!$E:$E,$E495))</f>
        <v/>
      </c>
      <c r="D495" s="5">
        <f>IF($E495="","",INDEX('Input Transaksi'!$F:$F,$E495))</f>
        <v/>
      </c>
      <c r="E495">
        <f>IFERROR(AGGREGATE(15,6,ROW('Input Transaksi'!$B$5:$B$5000)/('Input Transaksi'!$B$5:$B$5000="RINJANI WASH"),ROWS($E$5:E495)),"")</f>
        <v/>
      </c>
      <c r="F495" s="5" t="n"/>
    </row>
    <row r="496">
      <c r="A496" s="10">
        <f>IF($E496="","",INDEX('Input Transaksi'!$A:$A,$E496))</f>
        <v/>
      </c>
      <c r="B496" s="5">
        <f>IF($E496="","",INDEX('Input Transaksi'!$D:$D,$E496))</f>
        <v/>
      </c>
      <c r="C496">
        <f>IF($E496="","",INDEX('Input Transaksi'!$E:$E,$E496))</f>
        <v/>
      </c>
      <c r="D496" s="5">
        <f>IF($E496="","",INDEX('Input Transaksi'!$F:$F,$E496))</f>
        <v/>
      </c>
      <c r="E496">
        <f>IFERROR(AGGREGATE(15,6,ROW('Input Transaksi'!$B$5:$B$5000)/('Input Transaksi'!$B$5:$B$5000="RINJANI WASH"),ROWS($E$5:E496)),"")</f>
        <v/>
      </c>
      <c r="F496" s="5" t="n"/>
    </row>
    <row r="497">
      <c r="A497" s="10">
        <f>IF($E497="","",INDEX('Input Transaksi'!$A:$A,$E497))</f>
        <v/>
      </c>
      <c r="B497" s="5">
        <f>IF($E497="","",INDEX('Input Transaksi'!$D:$D,$E497))</f>
        <v/>
      </c>
      <c r="C497">
        <f>IF($E497="","",INDEX('Input Transaksi'!$E:$E,$E497))</f>
        <v/>
      </c>
      <c r="D497" s="5">
        <f>IF($E497="","",INDEX('Input Transaksi'!$F:$F,$E497))</f>
        <v/>
      </c>
      <c r="E497">
        <f>IFERROR(AGGREGATE(15,6,ROW('Input Transaksi'!$B$5:$B$5000)/('Input Transaksi'!$B$5:$B$5000="RINJANI WASH"),ROWS($E$5:E497)),"")</f>
        <v/>
      </c>
      <c r="F497" s="5" t="n"/>
    </row>
    <row r="498">
      <c r="A498" s="10">
        <f>IF($E498="","",INDEX('Input Transaksi'!$A:$A,$E498))</f>
        <v/>
      </c>
      <c r="B498" s="5">
        <f>IF($E498="","",INDEX('Input Transaksi'!$D:$D,$E498))</f>
        <v/>
      </c>
      <c r="C498">
        <f>IF($E498="","",INDEX('Input Transaksi'!$E:$E,$E498))</f>
        <v/>
      </c>
      <c r="D498" s="5">
        <f>IF($E498="","",INDEX('Input Transaksi'!$F:$F,$E498))</f>
        <v/>
      </c>
      <c r="E498">
        <f>IFERROR(AGGREGATE(15,6,ROW('Input Transaksi'!$B$5:$B$5000)/('Input Transaksi'!$B$5:$B$5000="RINJANI WASH"),ROWS($E$5:E498)),"")</f>
        <v/>
      </c>
      <c r="F498" s="5" t="n"/>
    </row>
    <row r="499">
      <c r="A499" s="10">
        <f>IF($E499="","",INDEX('Input Transaksi'!$A:$A,$E499))</f>
        <v/>
      </c>
      <c r="B499" s="5">
        <f>IF($E499="","",INDEX('Input Transaksi'!$D:$D,$E499))</f>
        <v/>
      </c>
      <c r="C499">
        <f>IF($E499="","",INDEX('Input Transaksi'!$E:$E,$E499))</f>
        <v/>
      </c>
      <c r="D499" s="5">
        <f>IF($E499="","",INDEX('Input Transaksi'!$F:$F,$E499))</f>
        <v/>
      </c>
      <c r="E499">
        <f>IFERROR(AGGREGATE(15,6,ROW('Input Transaksi'!$B$5:$B$5000)/('Input Transaksi'!$B$5:$B$5000="RINJANI WASH"),ROWS($E$5:E499)),"")</f>
        <v/>
      </c>
      <c r="F499" s="5" t="n"/>
    </row>
    <row r="500">
      <c r="A500" s="10">
        <f>IF($E500="","",INDEX('Input Transaksi'!$A:$A,$E500))</f>
        <v/>
      </c>
      <c r="B500" s="5">
        <f>IF($E500="","",INDEX('Input Transaksi'!$D:$D,$E500))</f>
        <v/>
      </c>
      <c r="C500">
        <f>IF($E500="","",INDEX('Input Transaksi'!$E:$E,$E500))</f>
        <v/>
      </c>
      <c r="D500" s="5">
        <f>IF($E500="","",INDEX('Input Transaksi'!$F:$F,$E500))</f>
        <v/>
      </c>
      <c r="E500">
        <f>IFERROR(AGGREGATE(15,6,ROW('Input Transaksi'!$B$5:$B$5000)/('Input Transaksi'!$B$5:$B$5000="RINJANI WASH"),ROWS($E$5:E500)),"")</f>
        <v/>
      </c>
      <c r="F500" s="5" t="n"/>
    </row>
    <row r="501">
      <c r="A501" s="10">
        <f>IF($E501="","",INDEX('Input Transaksi'!$A:$A,$E501))</f>
        <v/>
      </c>
      <c r="B501" s="5">
        <f>IF($E501="","",INDEX('Input Transaksi'!$D:$D,$E501))</f>
        <v/>
      </c>
      <c r="C501">
        <f>IF($E501="","",INDEX('Input Transaksi'!$E:$E,$E501))</f>
        <v/>
      </c>
      <c r="D501" s="5">
        <f>IF($E501="","",INDEX('Input Transaksi'!$F:$F,$E501))</f>
        <v/>
      </c>
      <c r="E501">
        <f>IFERROR(AGGREGATE(15,6,ROW('Input Transaksi'!$B$5:$B$5000)/('Input Transaksi'!$B$5:$B$5000="RINJANI WASH"),ROWS($E$5:E501)),"")</f>
        <v/>
      </c>
      <c r="F501" s="5" t="n"/>
    </row>
    <row r="502">
      <c r="A502" s="10">
        <f>IF($E502="","",INDEX('Input Transaksi'!$A:$A,$E502))</f>
        <v/>
      </c>
      <c r="B502" s="5">
        <f>IF($E502="","",INDEX('Input Transaksi'!$D:$D,$E502))</f>
        <v/>
      </c>
      <c r="C502">
        <f>IF($E502="","",INDEX('Input Transaksi'!$E:$E,$E502))</f>
        <v/>
      </c>
      <c r="D502" s="5">
        <f>IF($E502="","",INDEX('Input Transaksi'!$F:$F,$E502))</f>
        <v/>
      </c>
      <c r="E502">
        <f>IFERROR(AGGREGATE(15,6,ROW('Input Transaksi'!$B$5:$B$5000)/('Input Transaksi'!$B$5:$B$5000="RINJANI WASH"),ROWS($E$5:E502)),"")</f>
        <v/>
      </c>
      <c r="F502" s="5" t="n"/>
    </row>
    <row r="503">
      <c r="A503" s="10">
        <f>IF($E503="","",INDEX('Input Transaksi'!$A:$A,$E503))</f>
        <v/>
      </c>
      <c r="B503" s="5">
        <f>IF($E503="","",INDEX('Input Transaksi'!$D:$D,$E503))</f>
        <v/>
      </c>
      <c r="C503">
        <f>IF($E503="","",INDEX('Input Transaksi'!$E:$E,$E503))</f>
        <v/>
      </c>
      <c r="D503" s="5">
        <f>IF($E503="","",INDEX('Input Transaksi'!$F:$F,$E503))</f>
        <v/>
      </c>
      <c r="E503">
        <f>IFERROR(AGGREGATE(15,6,ROW('Input Transaksi'!$B$5:$B$5000)/('Input Transaksi'!$B$5:$B$5000="RINJANI WASH"),ROWS($E$5:E503)),"")</f>
        <v/>
      </c>
      <c r="F503" s="5" t="n"/>
    </row>
    <row r="504">
      <c r="A504" s="10">
        <f>IF($E504="","",INDEX('Input Transaksi'!$A:$A,$E504))</f>
        <v/>
      </c>
      <c r="B504" s="5">
        <f>IF($E504="","",INDEX('Input Transaksi'!$D:$D,$E504))</f>
        <v/>
      </c>
      <c r="C504">
        <f>IF($E504="","",INDEX('Input Transaksi'!$E:$E,$E504))</f>
        <v/>
      </c>
      <c r="D504" s="5">
        <f>IF($E504="","",INDEX('Input Transaksi'!$F:$F,$E504))</f>
        <v/>
      </c>
      <c r="E504">
        <f>IFERROR(AGGREGATE(15,6,ROW('Input Transaksi'!$B$5:$B$5000)/('Input Transaksi'!$B$5:$B$5000="RINJANI WASH"),ROWS($E$5:E504)),"")</f>
        <v/>
      </c>
      <c r="F504" s="5" t="n"/>
    </row>
    <row r="505">
      <c r="A505" s="10">
        <f>IF($E505="","",INDEX('Input Transaksi'!$A:$A,$E505))</f>
        <v/>
      </c>
      <c r="B505" s="5">
        <f>IF($E505="","",INDEX('Input Transaksi'!$D:$D,$E505))</f>
        <v/>
      </c>
      <c r="C505">
        <f>IF($E505="","",INDEX('Input Transaksi'!$E:$E,$E505))</f>
        <v/>
      </c>
      <c r="D505" s="5">
        <f>IF($E505="","",INDEX('Input Transaksi'!$F:$F,$E505))</f>
        <v/>
      </c>
      <c r="E505">
        <f>IFERROR(AGGREGATE(15,6,ROW('Input Transaksi'!$B$5:$B$5000)/('Input Transaksi'!$B$5:$B$5000="RINJANI WASH"),ROWS($E$5:E505)),"")</f>
        <v/>
      </c>
      <c r="F505" s="5" t="n"/>
    </row>
    <row r="506">
      <c r="A506" s="10">
        <f>IF($E506="","",INDEX('Input Transaksi'!$A:$A,$E506))</f>
        <v/>
      </c>
      <c r="B506" s="5">
        <f>IF($E506="","",INDEX('Input Transaksi'!$D:$D,$E506))</f>
        <v/>
      </c>
      <c r="C506">
        <f>IF($E506="","",INDEX('Input Transaksi'!$E:$E,$E506))</f>
        <v/>
      </c>
      <c r="D506" s="5">
        <f>IF($E506="","",INDEX('Input Transaksi'!$F:$F,$E506))</f>
        <v/>
      </c>
      <c r="E506">
        <f>IFERROR(AGGREGATE(15,6,ROW('Input Transaksi'!$B$5:$B$5000)/('Input Transaksi'!$B$5:$B$5000="RINJANI WASH"),ROWS($E$5:E506)),"")</f>
        <v/>
      </c>
      <c r="F506" s="5" t="n"/>
    </row>
    <row r="507">
      <c r="A507" s="10">
        <f>IF($E507="","",INDEX('Input Transaksi'!$A:$A,$E507))</f>
        <v/>
      </c>
      <c r="B507" s="5">
        <f>IF($E507="","",INDEX('Input Transaksi'!$D:$D,$E507))</f>
        <v/>
      </c>
      <c r="C507">
        <f>IF($E507="","",INDEX('Input Transaksi'!$E:$E,$E507))</f>
        <v/>
      </c>
      <c r="D507" s="5">
        <f>IF($E507="","",INDEX('Input Transaksi'!$F:$F,$E507))</f>
        <v/>
      </c>
      <c r="E507">
        <f>IFERROR(AGGREGATE(15,6,ROW('Input Transaksi'!$B$5:$B$5000)/('Input Transaksi'!$B$5:$B$5000="RINJANI WASH"),ROWS($E$5:E507)),"")</f>
        <v/>
      </c>
      <c r="F507" s="5" t="n"/>
    </row>
    <row r="508">
      <c r="A508" s="10">
        <f>IF($E508="","",INDEX('Input Transaksi'!$A:$A,$E508))</f>
        <v/>
      </c>
      <c r="B508" s="5">
        <f>IF($E508="","",INDEX('Input Transaksi'!$D:$D,$E508))</f>
        <v/>
      </c>
      <c r="C508">
        <f>IF($E508="","",INDEX('Input Transaksi'!$E:$E,$E508))</f>
        <v/>
      </c>
      <c r="D508" s="5">
        <f>IF($E508="","",INDEX('Input Transaksi'!$F:$F,$E508))</f>
        <v/>
      </c>
      <c r="E508">
        <f>IFERROR(AGGREGATE(15,6,ROW('Input Transaksi'!$B$5:$B$5000)/('Input Transaksi'!$B$5:$B$5000="RINJANI WASH"),ROWS($E$5:E508)),"")</f>
        <v/>
      </c>
      <c r="F508" s="5" t="n"/>
    </row>
    <row r="509">
      <c r="A509" s="10">
        <f>IF($E509="","",INDEX('Input Transaksi'!$A:$A,$E509))</f>
        <v/>
      </c>
      <c r="B509" s="5">
        <f>IF($E509="","",INDEX('Input Transaksi'!$D:$D,$E509))</f>
        <v/>
      </c>
      <c r="C509">
        <f>IF($E509="","",INDEX('Input Transaksi'!$E:$E,$E509))</f>
        <v/>
      </c>
      <c r="D509" s="5">
        <f>IF($E509="","",INDEX('Input Transaksi'!$F:$F,$E509))</f>
        <v/>
      </c>
      <c r="E509">
        <f>IFERROR(AGGREGATE(15,6,ROW('Input Transaksi'!$B$5:$B$5000)/('Input Transaksi'!$B$5:$B$5000="RINJANI WASH"),ROWS($E$5:E509)),"")</f>
        <v/>
      </c>
      <c r="F509" s="5" t="n"/>
    </row>
    <row r="510">
      <c r="A510" s="10">
        <f>IF($E510="","",INDEX('Input Transaksi'!$A:$A,$E510))</f>
        <v/>
      </c>
      <c r="B510" s="5">
        <f>IF($E510="","",INDEX('Input Transaksi'!$D:$D,$E510))</f>
        <v/>
      </c>
      <c r="C510">
        <f>IF($E510="","",INDEX('Input Transaksi'!$E:$E,$E510))</f>
        <v/>
      </c>
      <c r="D510" s="5">
        <f>IF($E510="","",INDEX('Input Transaksi'!$F:$F,$E510))</f>
        <v/>
      </c>
      <c r="E510">
        <f>IFERROR(AGGREGATE(15,6,ROW('Input Transaksi'!$B$5:$B$5000)/('Input Transaksi'!$B$5:$B$5000="RINJANI WASH"),ROWS($E$5:E510)),"")</f>
        <v/>
      </c>
      <c r="F510" s="5" t="n"/>
    </row>
    <row r="511">
      <c r="A511" s="10">
        <f>IF($E511="","",INDEX('Input Transaksi'!$A:$A,$E511))</f>
        <v/>
      </c>
      <c r="B511" s="5">
        <f>IF($E511="","",INDEX('Input Transaksi'!$D:$D,$E511))</f>
        <v/>
      </c>
      <c r="C511">
        <f>IF($E511="","",INDEX('Input Transaksi'!$E:$E,$E511))</f>
        <v/>
      </c>
      <c r="D511" s="5">
        <f>IF($E511="","",INDEX('Input Transaksi'!$F:$F,$E511))</f>
        <v/>
      </c>
      <c r="E511">
        <f>IFERROR(AGGREGATE(15,6,ROW('Input Transaksi'!$B$5:$B$5000)/('Input Transaksi'!$B$5:$B$5000="RINJANI WASH"),ROWS($E$5:E511)),"")</f>
        <v/>
      </c>
      <c r="F511" s="5" t="n"/>
    </row>
    <row r="512">
      <c r="A512" s="10">
        <f>IF($E512="","",INDEX('Input Transaksi'!$A:$A,$E512))</f>
        <v/>
      </c>
      <c r="B512" s="5">
        <f>IF($E512="","",INDEX('Input Transaksi'!$D:$D,$E512))</f>
        <v/>
      </c>
      <c r="C512">
        <f>IF($E512="","",INDEX('Input Transaksi'!$E:$E,$E512))</f>
        <v/>
      </c>
      <c r="D512" s="5">
        <f>IF($E512="","",INDEX('Input Transaksi'!$F:$F,$E512))</f>
        <v/>
      </c>
      <c r="E512">
        <f>IFERROR(AGGREGATE(15,6,ROW('Input Transaksi'!$B$5:$B$5000)/('Input Transaksi'!$B$5:$B$5000="RINJANI WASH"),ROWS($E$5:E512)),"")</f>
        <v/>
      </c>
      <c r="F512" s="5" t="n"/>
    </row>
    <row r="513">
      <c r="A513" s="10">
        <f>IF($E513="","",INDEX('Input Transaksi'!$A:$A,$E513))</f>
        <v/>
      </c>
      <c r="B513" s="5">
        <f>IF($E513="","",INDEX('Input Transaksi'!$D:$D,$E513))</f>
        <v/>
      </c>
      <c r="C513">
        <f>IF($E513="","",INDEX('Input Transaksi'!$E:$E,$E513))</f>
        <v/>
      </c>
      <c r="D513" s="5">
        <f>IF($E513="","",INDEX('Input Transaksi'!$F:$F,$E513))</f>
        <v/>
      </c>
      <c r="E513">
        <f>IFERROR(AGGREGATE(15,6,ROW('Input Transaksi'!$B$5:$B$5000)/('Input Transaksi'!$B$5:$B$5000="RINJANI WASH"),ROWS($E$5:E513)),"")</f>
        <v/>
      </c>
      <c r="F513" s="5" t="n"/>
    </row>
    <row r="514">
      <c r="A514" s="10">
        <f>IF($E514="","",INDEX('Input Transaksi'!$A:$A,$E514))</f>
        <v/>
      </c>
      <c r="B514" s="5">
        <f>IF($E514="","",INDEX('Input Transaksi'!$D:$D,$E514))</f>
        <v/>
      </c>
      <c r="C514">
        <f>IF($E514="","",INDEX('Input Transaksi'!$E:$E,$E514))</f>
        <v/>
      </c>
      <c r="D514" s="5">
        <f>IF($E514="","",INDEX('Input Transaksi'!$F:$F,$E514))</f>
        <v/>
      </c>
      <c r="E514">
        <f>IFERROR(AGGREGATE(15,6,ROW('Input Transaksi'!$B$5:$B$5000)/('Input Transaksi'!$B$5:$B$5000="RINJANI WASH"),ROWS($E$5:E514)),"")</f>
        <v/>
      </c>
      <c r="F514" s="5" t="n"/>
    </row>
    <row r="515">
      <c r="A515" s="10">
        <f>IF($E515="","",INDEX('Input Transaksi'!$A:$A,$E515))</f>
        <v/>
      </c>
      <c r="B515" s="5">
        <f>IF($E515="","",INDEX('Input Transaksi'!$D:$D,$E515))</f>
        <v/>
      </c>
      <c r="C515">
        <f>IF($E515="","",INDEX('Input Transaksi'!$E:$E,$E515))</f>
        <v/>
      </c>
      <c r="D515" s="5">
        <f>IF($E515="","",INDEX('Input Transaksi'!$F:$F,$E515))</f>
        <v/>
      </c>
      <c r="E515">
        <f>IFERROR(AGGREGATE(15,6,ROW('Input Transaksi'!$B$5:$B$5000)/('Input Transaksi'!$B$5:$B$5000="RINJANI WASH"),ROWS($E$5:E515)),"")</f>
        <v/>
      </c>
      <c r="F515" s="5" t="n"/>
    </row>
    <row r="516">
      <c r="A516" s="10">
        <f>IF($E516="","",INDEX('Input Transaksi'!$A:$A,$E516))</f>
        <v/>
      </c>
      <c r="B516" s="5">
        <f>IF($E516="","",INDEX('Input Transaksi'!$D:$D,$E516))</f>
        <v/>
      </c>
      <c r="C516">
        <f>IF($E516="","",INDEX('Input Transaksi'!$E:$E,$E516))</f>
        <v/>
      </c>
      <c r="D516" s="5">
        <f>IF($E516="","",INDEX('Input Transaksi'!$F:$F,$E516))</f>
        <v/>
      </c>
      <c r="E516">
        <f>IFERROR(AGGREGATE(15,6,ROW('Input Transaksi'!$B$5:$B$5000)/('Input Transaksi'!$B$5:$B$5000="RINJANI WASH"),ROWS($E$5:E516)),"")</f>
        <v/>
      </c>
      <c r="F516" s="5" t="n"/>
    </row>
    <row r="517">
      <c r="A517" s="10">
        <f>IF($E517="","",INDEX('Input Transaksi'!$A:$A,$E517))</f>
        <v/>
      </c>
      <c r="B517" s="5">
        <f>IF($E517="","",INDEX('Input Transaksi'!$D:$D,$E517))</f>
        <v/>
      </c>
      <c r="C517">
        <f>IF($E517="","",INDEX('Input Transaksi'!$E:$E,$E517))</f>
        <v/>
      </c>
      <c r="D517" s="5">
        <f>IF($E517="","",INDEX('Input Transaksi'!$F:$F,$E517))</f>
        <v/>
      </c>
      <c r="E517">
        <f>IFERROR(AGGREGATE(15,6,ROW('Input Transaksi'!$B$5:$B$5000)/('Input Transaksi'!$B$5:$B$5000="RINJANI WASH"),ROWS($E$5:E517)),"")</f>
        <v/>
      </c>
      <c r="F517" s="5" t="n"/>
    </row>
    <row r="518">
      <c r="A518" s="10">
        <f>IF($E518="","",INDEX('Input Transaksi'!$A:$A,$E518))</f>
        <v/>
      </c>
      <c r="B518" s="5">
        <f>IF($E518="","",INDEX('Input Transaksi'!$D:$D,$E518))</f>
        <v/>
      </c>
      <c r="C518">
        <f>IF($E518="","",INDEX('Input Transaksi'!$E:$E,$E518))</f>
        <v/>
      </c>
      <c r="D518" s="5">
        <f>IF($E518="","",INDEX('Input Transaksi'!$F:$F,$E518))</f>
        <v/>
      </c>
      <c r="E518">
        <f>IFERROR(AGGREGATE(15,6,ROW('Input Transaksi'!$B$5:$B$5000)/('Input Transaksi'!$B$5:$B$5000="RINJANI WASH"),ROWS($E$5:E518)),"")</f>
        <v/>
      </c>
      <c r="F518" s="5" t="n"/>
    </row>
    <row r="519">
      <c r="A519" s="10">
        <f>IF($E519="","",INDEX('Input Transaksi'!$A:$A,$E519))</f>
        <v/>
      </c>
      <c r="B519" s="5">
        <f>IF($E519="","",INDEX('Input Transaksi'!$D:$D,$E519))</f>
        <v/>
      </c>
      <c r="C519">
        <f>IF($E519="","",INDEX('Input Transaksi'!$E:$E,$E519))</f>
        <v/>
      </c>
      <c r="D519" s="5">
        <f>IF($E519="","",INDEX('Input Transaksi'!$F:$F,$E519))</f>
        <v/>
      </c>
      <c r="E519">
        <f>IFERROR(AGGREGATE(15,6,ROW('Input Transaksi'!$B$5:$B$5000)/('Input Transaksi'!$B$5:$B$5000="RINJANI WASH"),ROWS($E$5:E519)),"")</f>
        <v/>
      </c>
      <c r="F519" s="5" t="n"/>
    </row>
    <row r="520">
      <c r="A520" s="10">
        <f>IF($E520="","",INDEX('Input Transaksi'!$A:$A,$E520))</f>
        <v/>
      </c>
      <c r="B520" s="5">
        <f>IF($E520="","",INDEX('Input Transaksi'!$D:$D,$E520))</f>
        <v/>
      </c>
      <c r="C520">
        <f>IF($E520="","",INDEX('Input Transaksi'!$E:$E,$E520))</f>
        <v/>
      </c>
      <c r="D520" s="5">
        <f>IF($E520="","",INDEX('Input Transaksi'!$F:$F,$E520))</f>
        <v/>
      </c>
      <c r="E520">
        <f>IFERROR(AGGREGATE(15,6,ROW('Input Transaksi'!$B$5:$B$5000)/('Input Transaksi'!$B$5:$B$5000="RINJANI WASH"),ROWS($E$5:E520)),"")</f>
        <v/>
      </c>
      <c r="F520" s="5" t="n"/>
    </row>
    <row r="521">
      <c r="A521" s="10">
        <f>IF($E521="","",INDEX('Input Transaksi'!$A:$A,$E521))</f>
        <v/>
      </c>
      <c r="B521" s="5">
        <f>IF($E521="","",INDEX('Input Transaksi'!$D:$D,$E521))</f>
        <v/>
      </c>
      <c r="C521">
        <f>IF($E521="","",INDEX('Input Transaksi'!$E:$E,$E521))</f>
        <v/>
      </c>
      <c r="D521" s="5">
        <f>IF($E521="","",INDEX('Input Transaksi'!$F:$F,$E521))</f>
        <v/>
      </c>
      <c r="E521">
        <f>IFERROR(AGGREGATE(15,6,ROW('Input Transaksi'!$B$5:$B$5000)/('Input Transaksi'!$B$5:$B$5000="RINJANI WASH"),ROWS($E$5:E521)),"")</f>
        <v/>
      </c>
      <c r="F521" s="5" t="n"/>
    </row>
    <row r="522">
      <c r="A522" s="10">
        <f>IF($E522="","",INDEX('Input Transaksi'!$A:$A,$E522))</f>
        <v/>
      </c>
      <c r="B522" s="5">
        <f>IF($E522="","",INDEX('Input Transaksi'!$D:$D,$E522))</f>
        <v/>
      </c>
      <c r="C522">
        <f>IF($E522="","",INDEX('Input Transaksi'!$E:$E,$E522))</f>
        <v/>
      </c>
      <c r="D522" s="5">
        <f>IF($E522="","",INDEX('Input Transaksi'!$F:$F,$E522))</f>
        <v/>
      </c>
      <c r="E522">
        <f>IFERROR(AGGREGATE(15,6,ROW('Input Transaksi'!$B$5:$B$5000)/('Input Transaksi'!$B$5:$B$5000="RINJANI WASH"),ROWS($E$5:E522)),"")</f>
        <v/>
      </c>
      <c r="F522" s="5" t="n"/>
    </row>
    <row r="523">
      <c r="A523" s="10">
        <f>IF($E523="","",INDEX('Input Transaksi'!$A:$A,$E523))</f>
        <v/>
      </c>
      <c r="B523" s="5">
        <f>IF($E523="","",INDEX('Input Transaksi'!$D:$D,$E523))</f>
        <v/>
      </c>
      <c r="C523">
        <f>IF($E523="","",INDEX('Input Transaksi'!$E:$E,$E523))</f>
        <v/>
      </c>
      <c r="D523" s="5">
        <f>IF($E523="","",INDEX('Input Transaksi'!$F:$F,$E523))</f>
        <v/>
      </c>
      <c r="E523">
        <f>IFERROR(AGGREGATE(15,6,ROW('Input Transaksi'!$B$5:$B$5000)/('Input Transaksi'!$B$5:$B$5000="RINJANI WASH"),ROWS($E$5:E523)),"")</f>
        <v/>
      </c>
      <c r="F523" s="5" t="n"/>
    </row>
    <row r="524">
      <c r="A524" s="10">
        <f>IF($E524="","",INDEX('Input Transaksi'!$A:$A,$E524))</f>
        <v/>
      </c>
      <c r="B524" s="5">
        <f>IF($E524="","",INDEX('Input Transaksi'!$D:$D,$E524))</f>
        <v/>
      </c>
      <c r="C524">
        <f>IF($E524="","",INDEX('Input Transaksi'!$E:$E,$E524))</f>
        <v/>
      </c>
      <c r="D524" s="5">
        <f>IF($E524="","",INDEX('Input Transaksi'!$F:$F,$E524))</f>
        <v/>
      </c>
      <c r="E524">
        <f>IFERROR(AGGREGATE(15,6,ROW('Input Transaksi'!$B$5:$B$5000)/('Input Transaksi'!$B$5:$B$5000="RINJANI WASH"),ROWS($E$5:E524)),"")</f>
        <v/>
      </c>
      <c r="F524" s="5" t="n"/>
    </row>
    <row r="525">
      <c r="A525" s="10">
        <f>IF($E525="","",INDEX('Input Transaksi'!$A:$A,$E525))</f>
        <v/>
      </c>
      <c r="B525" s="5">
        <f>IF($E525="","",INDEX('Input Transaksi'!$D:$D,$E525))</f>
        <v/>
      </c>
      <c r="C525">
        <f>IF($E525="","",INDEX('Input Transaksi'!$E:$E,$E525))</f>
        <v/>
      </c>
      <c r="D525" s="5">
        <f>IF($E525="","",INDEX('Input Transaksi'!$F:$F,$E525))</f>
        <v/>
      </c>
      <c r="E525">
        <f>IFERROR(AGGREGATE(15,6,ROW('Input Transaksi'!$B$5:$B$5000)/('Input Transaksi'!$B$5:$B$5000="RINJANI WASH"),ROWS($E$5:E525)),"")</f>
        <v/>
      </c>
      <c r="F525" s="5" t="n"/>
    </row>
    <row r="526">
      <c r="A526" s="10">
        <f>IF($E526="","",INDEX('Input Transaksi'!$A:$A,$E526))</f>
        <v/>
      </c>
      <c r="B526" s="5">
        <f>IF($E526="","",INDEX('Input Transaksi'!$D:$D,$E526))</f>
        <v/>
      </c>
      <c r="C526">
        <f>IF($E526="","",INDEX('Input Transaksi'!$E:$E,$E526))</f>
        <v/>
      </c>
      <c r="D526" s="5">
        <f>IF($E526="","",INDEX('Input Transaksi'!$F:$F,$E526))</f>
        <v/>
      </c>
      <c r="E526">
        <f>IFERROR(AGGREGATE(15,6,ROW('Input Transaksi'!$B$5:$B$5000)/('Input Transaksi'!$B$5:$B$5000="RINJANI WASH"),ROWS($E$5:E526)),"")</f>
        <v/>
      </c>
      <c r="F526" s="5" t="n"/>
    </row>
    <row r="527">
      <c r="A527" s="10">
        <f>IF($E527="","",INDEX('Input Transaksi'!$A:$A,$E527))</f>
        <v/>
      </c>
      <c r="B527" s="5">
        <f>IF($E527="","",INDEX('Input Transaksi'!$D:$D,$E527))</f>
        <v/>
      </c>
      <c r="C527">
        <f>IF($E527="","",INDEX('Input Transaksi'!$E:$E,$E527))</f>
        <v/>
      </c>
      <c r="D527" s="5">
        <f>IF($E527="","",INDEX('Input Transaksi'!$F:$F,$E527))</f>
        <v/>
      </c>
      <c r="E527">
        <f>IFERROR(AGGREGATE(15,6,ROW('Input Transaksi'!$B$5:$B$5000)/('Input Transaksi'!$B$5:$B$5000="RINJANI WASH"),ROWS($E$5:E527)),"")</f>
        <v/>
      </c>
      <c r="F527" s="5" t="n"/>
    </row>
    <row r="528">
      <c r="A528" s="10">
        <f>IF($E528="","",INDEX('Input Transaksi'!$A:$A,$E528))</f>
        <v/>
      </c>
      <c r="B528" s="5">
        <f>IF($E528="","",INDEX('Input Transaksi'!$D:$D,$E528))</f>
        <v/>
      </c>
      <c r="C528">
        <f>IF($E528="","",INDEX('Input Transaksi'!$E:$E,$E528))</f>
        <v/>
      </c>
      <c r="D528" s="5">
        <f>IF($E528="","",INDEX('Input Transaksi'!$F:$F,$E528))</f>
        <v/>
      </c>
      <c r="E528">
        <f>IFERROR(AGGREGATE(15,6,ROW('Input Transaksi'!$B$5:$B$5000)/('Input Transaksi'!$B$5:$B$5000="RINJANI WASH"),ROWS($E$5:E528)),"")</f>
        <v/>
      </c>
      <c r="F528" s="5" t="n"/>
    </row>
    <row r="529">
      <c r="A529" s="10">
        <f>IF($E529="","",INDEX('Input Transaksi'!$A:$A,$E529))</f>
        <v/>
      </c>
      <c r="B529" s="5">
        <f>IF($E529="","",INDEX('Input Transaksi'!$D:$D,$E529))</f>
        <v/>
      </c>
      <c r="C529">
        <f>IF($E529="","",INDEX('Input Transaksi'!$E:$E,$E529))</f>
        <v/>
      </c>
      <c r="D529" s="5">
        <f>IF($E529="","",INDEX('Input Transaksi'!$F:$F,$E529))</f>
        <v/>
      </c>
      <c r="E529">
        <f>IFERROR(AGGREGATE(15,6,ROW('Input Transaksi'!$B$5:$B$5000)/('Input Transaksi'!$B$5:$B$5000="RINJANI WASH"),ROWS($E$5:E529)),"")</f>
        <v/>
      </c>
      <c r="F529" s="5" t="n"/>
    </row>
    <row r="530">
      <c r="A530" s="10">
        <f>IF($E530="","",INDEX('Input Transaksi'!$A:$A,$E530))</f>
        <v/>
      </c>
      <c r="B530" s="5">
        <f>IF($E530="","",INDEX('Input Transaksi'!$D:$D,$E530))</f>
        <v/>
      </c>
      <c r="C530">
        <f>IF($E530="","",INDEX('Input Transaksi'!$E:$E,$E530))</f>
        <v/>
      </c>
      <c r="D530" s="5">
        <f>IF($E530="","",INDEX('Input Transaksi'!$F:$F,$E530))</f>
        <v/>
      </c>
      <c r="E530">
        <f>IFERROR(AGGREGATE(15,6,ROW('Input Transaksi'!$B$5:$B$5000)/('Input Transaksi'!$B$5:$B$5000="RINJANI WASH"),ROWS($E$5:E530)),"")</f>
        <v/>
      </c>
      <c r="F530" s="5" t="n"/>
    </row>
    <row r="531">
      <c r="A531" s="10">
        <f>IF($E531="","",INDEX('Input Transaksi'!$A:$A,$E531))</f>
        <v/>
      </c>
      <c r="B531" s="5">
        <f>IF($E531="","",INDEX('Input Transaksi'!$D:$D,$E531))</f>
        <v/>
      </c>
      <c r="C531">
        <f>IF($E531="","",INDEX('Input Transaksi'!$E:$E,$E531))</f>
        <v/>
      </c>
      <c r="D531" s="5">
        <f>IF($E531="","",INDEX('Input Transaksi'!$F:$F,$E531))</f>
        <v/>
      </c>
      <c r="E531">
        <f>IFERROR(AGGREGATE(15,6,ROW('Input Transaksi'!$B$5:$B$5000)/('Input Transaksi'!$B$5:$B$5000="RINJANI WASH"),ROWS($E$5:E531)),"")</f>
        <v/>
      </c>
      <c r="F531" s="5" t="n"/>
    </row>
    <row r="532">
      <c r="A532" s="10">
        <f>IF($E532="","",INDEX('Input Transaksi'!$A:$A,$E532))</f>
        <v/>
      </c>
      <c r="B532" s="5">
        <f>IF($E532="","",INDEX('Input Transaksi'!$D:$D,$E532))</f>
        <v/>
      </c>
      <c r="C532">
        <f>IF($E532="","",INDEX('Input Transaksi'!$E:$E,$E532))</f>
        <v/>
      </c>
      <c r="D532" s="5">
        <f>IF($E532="","",INDEX('Input Transaksi'!$F:$F,$E532))</f>
        <v/>
      </c>
      <c r="E532">
        <f>IFERROR(AGGREGATE(15,6,ROW('Input Transaksi'!$B$5:$B$5000)/('Input Transaksi'!$B$5:$B$5000="RINJANI WASH"),ROWS($E$5:E532)),"")</f>
        <v/>
      </c>
      <c r="F532" s="5" t="n"/>
    </row>
    <row r="533">
      <c r="A533" s="10">
        <f>IF($E533="","",INDEX('Input Transaksi'!$A:$A,$E533))</f>
        <v/>
      </c>
      <c r="B533" s="5">
        <f>IF($E533="","",INDEX('Input Transaksi'!$D:$D,$E533))</f>
        <v/>
      </c>
      <c r="C533">
        <f>IF($E533="","",INDEX('Input Transaksi'!$E:$E,$E533))</f>
        <v/>
      </c>
      <c r="D533" s="5">
        <f>IF($E533="","",INDEX('Input Transaksi'!$F:$F,$E533))</f>
        <v/>
      </c>
      <c r="E533">
        <f>IFERROR(AGGREGATE(15,6,ROW('Input Transaksi'!$B$5:$B$5000)/('Input Transaksi'!$B$5:$B$5000="RINJANI WASH"),ROWS($E$5:E533)),"")</f>
        <v/>
      </c>
      <c r="F533" s="5" t="n"/>
    </row>
    <row r="534">
      <c r="A534" s="10">
        <f>IF($E534="","",INDEX('Input Transaksi'!$A:$A,$E534))</f>
        <v/>
      </c>
      <c r="B534" s="5">
        <f>IF($E534="","",INDEX('Input Transaksi'!$D:$D,$E534))</f>
        <v/>
      </c>
      <c r="C534">
        <f>IF($E534="","",INDEX('Input Transaksi'!$E:$E,$E534))</f>
        <v/>
      </c>
      <c r="D534" s="5">
        <f>IF($E534="","",INDEX('Input Transaksi'!$F:$F,$E534))</f>
        <v/>
      </c>
      <c r="E534">
        <f>IFERROR(AGGREGATE(15,6,ROW('Input Transaksi'!$B$5:$B$5000)/('Input Transaksi'!$B$5:$B$5000="RINJANI WASH"),ROWS($E$5:E534)),"")</f>
        <v/>
      </c>
      <c r="F534" s="5" t="n"/>
    </row>
    <row r="535">
      <c r="A535" s="10">
        <f>IF($E535="","",INDEX('Input Transaksi'!$A:$A,$E535))</f>
        <v/>
      </c>
      <c r="B535" s="5">
        <f>IF($E535="","",INDEX('Input Transaksi'!$D:$D,$E535))</f>
        <v/>
      </c>
      <c r="C535">
        <f>IF($E535="","",INDEX('Input Transaksi'!$E:$E,$E535))</f>
        <v/>
      </c>
      <c r="D535" s="5">
        <f>IF($E535="","",INDEX('Input Transaksi'!$F:$F,$E535))</f>
        <v/>
      </c>
      <c r="E535">
        <f>IFERROR(AGGREGATE(15,6,ROW('Input Transaksi'!$B$5:$B$5000)/('Input Transaksi'!$B$5:$B$5000="RINJANI WASH"),ROWS($E$5:E535)),"")</f>
        <v/>
      </c>
      <c r="F535" s="5" t="n"/>
    </row>
    <row r="536">
      <c r="A536" s="10">
        <f>IF($E536="","",INDEX('Input Transaksi'!$A:$A,$E536))</f>
        <v/>
      </c>
      <c r="B536" s="5">
        <f>IF($E536="","",INDEX('Input Transaksi'!$D:$D,$E536))</f>
        <v/>
      </c>
      <c r="C536">
        <f>IF($E536="","",INDEX('Input Transaksi'!$E:$E,$E536))</f>
        <v/>
      </c>
      <c r="D536" s="5">
        <f>IF($E536="","",INDEX('Input Transaksi'!$F:$F,$E536))</f>
        <v/>
      </c>
      <c r="E536">
        <f>IFERROR(AGGREGATE(15,6,ROW('Input Transaksi'!$B$5:$B$5000)/('Input Transaksi'!$B$5:$B$5000="RINJANI WASH"),ROWS($E$5:E536)),"")</f>
        <v/>
      </c>
      <c r="F536" s="5" t="n"/>
    </row>
    <row r="537">
      <c r="A537" s="10">
        <f>IF($E537="","",INDEX('Input Transaksi'!$A:$A,$E537))</f>
        <v/>
      </c>
      <c r="B537" s="5">
        <f>IF($E537="","",INDEX('Input Transaksi'!$D:$D,$E537))</f>
        <v/>
      </c>
      <c r="C537">
        <f>IF($E537="","",INDEX('Input Transaksi'!$E:$E,$E537))</f>
        <v/>
      </c>
      <c r="D537" s="5">
        <f>IF($E537="","",INDEX('Input Transaksi'!$F:$F,$E537))</f>
        <v/>
      </c>
      <c r="E537">
        <f>IFERROR(AGGREGATE(15,6,ROW('Input Transaksi'!$B$5:$B$5000)/('Input Transaksi'!$B$5:$B$5000="RINJANI WASH"),ROWS($E$5:E537)),"")</f>
        <v/>
      </c>
      <c r="F537" s="5" t="n"/>
    </row>
    <row r="538">
      <c r="A538" s="10">
        <f>IF($E538="","",INDEX('Input Transaksi'!$A:$A,$E538))</f>
        <v/>
      </c>
      <c r="B538" s="5">
        <f>IF($E538="","",INDEX('Input Transaksi'!$D:$D,$E538))</f>
        <v/>
      </c>
      <c r="C538">
        <f>IF($E538="","",INDEX('Input Transaksi'!$E:$E,$E538))</f>
        <v/>
      </c>
      <c r="D538" s="5">
        <f>IF($E538="","",INDEX('Input Transaksi'!$F:$F,$E538))</f>
        <v/>
      </c>
      <c r="E538">
        <f>IFERROR(AGGREGATE(15,6,ROW('Input Transaksi'!$B$5:$B$5000)/('Input Transaksi'!$B$5:$B$5000="RINJANI WASH"),ROWS($E$5:E538)),"")</f>
        <v/>
      </c>
      <c r="F538" s="5" t="n"/>
    </row>
    <row r="539">
      <c r="A539" s="10">
        <f>IF($E539="","",INDEX('Input Transaksi'!$A:$A,$E539))</f>
        <v/>
      </c>
      <c r="B539" s="5">
        <f>IF($E539="","",INDEX('Input Transaksi'!$D:$D,$E539))</f>
        <v/>
      </c>
      <c r="C539">
        <f>IF($E539="","",INDEX('Input Transaksi'!$E:$E,$E539))</f>
        <v/>
      </c>
      <c r="D539" s="5">
        <f>IF($E539="","",INDEX('Input Transaksi'!$F:$F,$E539))</f>
        <v/>
      </c>
      <c r="E539">
        <f>IFERROR(AGGREGATE(15,6,ROW('Input Transaksi'!$B$5:$B$5000)/('Input Transaksi'!$B$5:$B$5000="RINJANI WASH"),ROWS($E$5:E539)),"")</f>
        <v/>
      </c>
      <c r="F539" s="5" t="n"/>
    </row>
    <row r="540">
      <c r="A540" s="10">
        <f>IF($E540="","",INDEX('Input Transaksi'!$A:$A,$E540))</f>
        <v/>
      </c>
      <c r="B540" s="5">
        <f>IF($E540="","",INDEX('Input Transaksi'!$D:$D,$E540))</f>
        <v/>
      </c>
      <c r="C540">
        <f>IF($E540="","",INDEX('Input Transaksi'!$E:$E,$E540))</f>
        <v/>
      </c>
      <c r="D540" s="5">
        <f>IF($E540="","",INDEX('Input Transaksi'!$F:$F,$E540))</f>
        <v/>
      </c>
      <c r="E540">
        <f>IFERROR(AGGREGATE(15,6,ROW('Input Transaksi'!$B$5:$B$5000)/('Input Transaksi'!$B$5:$B$5000="RINJANI WASH"),ROWS($E$5:E540)),"")</f>
        <v/>
      </c>
      <c r="F540" s="5" t="n"/>
    </row>
    <row r="541">
      <c r="A541" s="10">
        <f>IF($E541="","",INDEX('Input Transaksi'!$A:$A,$E541))</f>
        <v/>
      </c>
      <c r="B541" s="5">
        <f>IF($E541="","",INDEX('Input Transaksi'!$D:$D,$E541))</f>
        <v/>
      </c>
      <c r="C541">
        <f>IF($E541="","",INDEX('Input Transaksi'!$E:$E,$E541))</f>
        <v/>
      </c>
      <c r="D541" s="5">
        <f>IF($E541="","",INDEX('Input Transaksi'!$F:$F,$E541))</f>
        <v/>
      </c>
      <c r="E541">
        <f>IFERROR(AGGREGATE(15,6,ROW('Input Transaksi'!$B$5:$B$5000)/('Input Transaksi'!$B$5:$B$5000="RINJANI WASH"),ROWS($E$5:E541)),"")</f>
        <v/>
      </c>
      <c r="F541" s="5" t="n"/>
    </row>
    <row r="542">
      <c r="A542" s="10">
        <f>IF($E542="","",INDEX('Input Transaksi'!$A:$A,$E542))</f>
        <v/>
      </c>
      <c r="B542" s="5">
        <f>IF($E542="","",INDEX('Input Transaksi'!$D:$D,$E542))</f>
        <v/>
      </c>
      <c r="C542">
        <f>IF($E542="","",INDEX('Input Transaksi'!$E:$E,$E542))</f>
        <v/>
      </c>
      <c r="D542" s="5">
        <f>IF($E542="","",INDEX('Input Transaksi'!$F:$F,$E542))</f>
        <v/>
      </c>
      <c r="E542">
        <f>IFERROR(AGGREGATE(15,6,ROW('Input Transaksi'!$B$5:$B$5000)/('Input Transaksi'!$B$5:$B$5000="RINJANI WASH"),ROWS($E$5:E542)),"")</f>
        <v/>
      </c>
      <c r="F542" s="5" t="n"/>
    </row>
    <row r="543">
      <c r="A543" s="10">
        <f>IF($E543="","",INDEX('Input Transaksi'!$A:$A,$E543))</f>
        <v/>
      </c>
      <c r="B543" s="5">
        <f>IF($E543="","",INDEX('Input Transaksi'!$D:$D,$E543))</f>
        <v/>
      </c>
      <c r="C543">
        <f>IF($E543="","",INDEX('Input Transaksi'!$E:$E,$E543))</f>
        <v/>
      </c>
      <c r="D543" s="5">
        <f>IF($E543="","",INDEX('Input Transaksi'!$F:$F,$E543))</f>
        <v/>
      </c>
      <c r="E543">
        <f>IFERROR(AGGREGATE(15,6,ROW('Input Transaksi'!$B$5:$B$5000)/('Input Transaksi'!$B$5:$B$5000="RINJANI WASH"),ROWS($E$5:E543)),"")</f>
        <v/>
      </c>
      <c r="F543" s="5" t="n"/>
    </row>
    <row r="544">
      <c r="A544" s="10">
        <f>IF($E544="","",INDEX('Input Transaksi'!$A:$A,$E544))</f>
        <v/>
      </c>
      <c r="B544" s="5">
        <f>IF($E544="","",INDEX('Input Transaksi'!$D:$D,$E544))</f>
        <v/>
      </c>
      <c r="C544">
        <f>IF($E544="","",INDEX('Input Transaksi'!$E:$E,$E544))</f>
        <v/>
      </c>
      <c r="D544" s="5">
        <f>IF($E544="","",INDEX('Input Transaksi'!$F:$F,$E544))</f>
        <v/>
      </c>
      <c r="E544">
        <f>IFERROR(AGGREGATE(15,6,ROW('Input Transaksi'!$B$5:$B$5000)/('Input Transaksi'!$B$5:$B$5000="RINJANI WASH"),ROWS($E$5:E544)),"")</f>
        <v/>
      </c>
      <c r="F544" s="5" t="n"/>
    </row>
    <row r="545">
      <c r="A545" s="10">
        <f>IF($E545="","",INDEX('Input Transaksi'!$A:$A,$E545))</f>
        <v/>
      </c>
      <c r="B545" s="5">
        <f>IF($E545="","",INDEX('Input Transaksi'!$D:$D,$E545))</f>
        <v/>
      </c>
      <c r="C545">
        <f>IF($E545="","",INDEX('Input Transaksi'!$E:$E,$E545))</f>
        <v/>
      </c>
      <c r="D545" s="5">
        <f>IF($E545="","",INDEX('Input Transaksi'!$F:$F,$E545))</f>
        <v/>
      </c>
      <c r="E545">
        <f>IFERROR(AGGREGATE(15,6,ROW('Input Transaksi'!$B$5:$B$5000)/('Input Transaksi'!$B$5:$B$5000="RINJANI WASH"),ROWS($E$5:E545)),"")</f>
        <v/>
      </c>
      <c r="F545" s="5" t="n"/>
    </row>
    <row r="546">
      <c r="A546" s="10">
        <f>IF($E546="","",INDEX('Input Transaksi'!$A:$A,$E546))</f>
        <v/>
      </c>
      <c r="B546" s="5">
        <f>IF($E546="","",INDEX('Input Transaksi'!$D:$D,$E546))</f>
        <v/>
      </c>
      <c r="C546">
        <f>IF($E546="","",INDEX('Input Transaksi'!$E:$E,$E546))</f>
        <v/>
      </c>
      <c r="D546" s="5">
        <f>IF($E546="","",INDEX('Input Transaksi'!$F:$F,$E546))</f>
        <v/>
      </c>
      <c r="E546">
        <f>IFERROR(AGGREGATE(15,6,ROW('Input Transaksi'!$B$5:$B$5000)/('Input Transaksi'!$B$5:$B$5000="RINJANI WASH"),ROWS($E$5:E546)),"")</f>
        <v/>
      </c>
      <c r="F546" s="5" t="n"/>
    </row>
    <row r="547">
      <c r="A547" s="10">
        <f>IF($E547="","",INDEX('Input Transaksi'!$A:$A,$E547))</f>
        <v/>
      </c>
      <c r="B547" s="5">
        <f>IF($E547="","",INDEX('Input Transaksi'!$D:$D,$E547))</f>
        <v/>
      </c>
      <c r="C547">
        <f>IF($E547="","",INDEX('Input Transaksi'!$E:$E,$E547))</f>
        <v/>
      </c>
      <c r="D547" s="5">
        <f>IF($E547="","",INDEX('Input Transaksi'!$F:$F,$E547))</f>
        <v/>
      </c>
      <c r="E547">
        <f>IFERROR(AGGREGATE(15,6,ROW('Input Transaksi'!$B$5:$B$5000)/('Input Transaksi'!$B$5:$B$5000="RINJANI WASH"),ROWS($E$5:E547)),"")</f>
        <v/>
      </c>
      <c r="F547" s="5" t="n"/>
    </row>
    <row r="548">
      <c r="A548" s="10">
        <f>IF($E548="","",INDEX('Input Transaksi'!$A:$A,$E548))</f>
        <v/>
      </c>
      <c r="B548" s="5">
        <f>IF($E548="","",INDEX('Input Transaksi'!$D:$D,$E548))</f>
        <v/>
      </c>
      <c r="C548">
        <f>IF($E548="","",INDEX('Input Transaksi'!$E:$E,$E548))</f>
        <v/>
      </c>
      <c r="D548" s="5">
        <f>IF($E548="","",INDEX('Input Transaksi'!$F:$F,$E548))</f>
        <v/>
      </c>
      <c r="E548">
        <f>IFERROR(AGGREGATE(15,6,ROW('Input Transaksi'!$B$5:$B$5000)/('Input Transaksi'!$B$5:$B$5000="RINJANI WASH"),ROWS($E$5:E548)),"")</f>
        <v/>
      </c>
      <c r="F548" s="5" t="n"/>
    </row>
    <row r="549">
      <c r="A549" s="10">
        <f>IF($E549="","",INDEX('Input Transaksi'!$A:$A,$E549))</f>
        <v/>
      </c>
      <c r="B549" s="5">
        <f>IF($E549="","",INDEX('Input Transaksi'!$D:$D,$E549))</f>
        <v/>
      </c>
      <c r="C549">
        <f>IF($E549="","",INDEX('Input Transaksi'!$E:$E,$E549))</f>
        <v/>
      </c>
      <c r="D549" s="5">
        <f>IF($E549="","",INDEX('Input Transaksi'!$F:$F,$E549))</f>
        <v/>
      </c>
      <c r="E549">
        <f>IFERROR(AGGREGATE(15,6,ROW('Input Transaksi'!$B$5:$B$5000)/('Input Transaksi'!$B$5:$B$5000="RINJANI WASH"),ROWS($E$5:E549)),"")</f>
        <v/>
      </c>
      <c r="F549" s="5" t="n"/>
    </row>
    <row r="550">
      <c r="A550" s="10">
        <f>IF($E550="","",INDEX('Input Transaksi'!$A:$A,$E550))</f>
        <v/>
      </c>
      <c r="B550" s="5">
        <f>IF($E550="","",INDEX('Input Transaksi'!$D:$D,$E550))</f>
        <v/>
      </c>
      <c r="C550">
        <f>IF($E550="","",INDEX('Input Transaksi'!$E:$E,$E550))</f>
        <v/>
      </c>
      <c r="D550" s="5">
        <f>IF($E550="","",INDEX('Input Transaksi'!$F:$F,$E550))</f>
        <v/>
      </c>
      <c r="E550">
        <f>IFERROR(AGGREGATE(15,6,ROW('Input Transaksi'!$B$5:$B$5000)/('Input Transaksi'!$B$5:$B$5000="RINJANI WASH"),ROWS($E$5:E550)),"")</f>
        <v/>
      </c>
      <c r="F550" s="5" t="n"/>
    </row>
    <row r="551">
      <c r="A551" s="10">
        <f>IF($E551="","",INDEX('Input Transaksi'!$A:$A,$E551))</f>
        <v/>
      </c>
      <c r="B551" s="5">
        <f>IF($E551="","",INDEX('Input Transaksi'!$D:$D,$E551))</f>
        <v/>
      </c>
      <c r="C551">
        <f>IF($E551="","",INDEX('Input Transaksi'!$E:$E,$E551))</f>
        <v/>
      </c>
      <c r="D551" s="5">
        <f>IF($E551="","",INDEX('Input Transaksi'!$F:$F,$E551))</f>
        <v/>
      </c>
      <c r="E551">
        <f>IFERROR(AGGREGATE(15,6,ROW('Input Transaksi'!$B$5:$B$5000)/('Input Transaksi'!$B$5:$B$5000="RINJANI WASH"),ROWS($E$5:E551)),"")</f>
        <v/>
      </c>
      <c r="F551" s="5" t="n"/>
    </row>
    <row r="552">
      <c r="A552" s="10">
        <f>IF($E552="","",INDEX('Input Transaksi'!$A:$A,$E552))</f>
        <v/>
      </c>
      <c r="B552" s="5">
        <f>IF($E552="","",INDEX('Input Transaksi'!$D:$D,$E552))</f>
        <v/>
      </c>
      <c r="C552">
        <f>IF($E552="","",INDEX('Input Transaksi'!$E:$E,$E552))</f>
        <v/>
      </c>
      <c r="D552" s="5">
        <f>IF($E552="","",INDEX('Input Transaksi'!$F:$F,$E552))</f>
        <v/>
      </c>
      <c r="E552">
        <f>IFERROR(AGGREGATE(15,6,ROW('Input Transaksi'!$B$5:$B$5000)/('Input Transaksi'!$B$5:$B$5000="RINJANI WASH"),ROWS($E$5:E552)),"")</f>
        <v/>
      </c>
      <c r="F552" s="5" t="n"/>
    </row>
    <row r="553">
      <c r="A553" s="10">
        <f>IF($E553="","",INDEX('Input Transaksi'!$A:$A,$E553))</f>
        <v/>
      </c>
      <c r="B553" s="5">
        <f>IF($E553="","",INDEX('Input Transaksi'!$D:$D,$E553))</f>
        <v/>
      </c>
      <c r="C553">
        <f>IF($E553="","",INDEX('Input Transaksi'!$E:$E,$E553))</f>
        <v/>
      </c>
      <c r="D553" s="5">
        <f>IF($E553="","",INDEX('Input Transaksi'!$F:$F,$E553))</f>
        <v/>
      </c>
      <c r="E553">
        <f>IFERROR(AGGREGATE(15,6,ROW('Input Transaksi'!$B$5:$B$5000)/('Input Transaksi'!$B$5:$B$5000="RINJANI WASH"),ROWS($E$5:E553)),"")</f>
        <v/>
      </c>
      <c r="F553" s="5" t="n"/>
    </row>
    <row r="554">
      <c r="A554" s="10">
        <f>IF($E554="","",INDEX('Input Transaksi'!$A:$A,$E554))</f>
        <v/>
      </c>
      <c r="B554" s="5">
        <f>IF($E554="","",INDEX('Input Transaksi'!$D:$D,$E554))</f>
        <v/>
      </c>
      <c r="C554">
        <f>IF($E554="","",INDEX('Input Transaksi'!$E:$E,$E554))</f>
        <v/>
      </c>
      <c r="D554" s="5">
        <f>IF($E554="","",INDEX('Input Transaksi'!$F:$F,$E554))</f>
        <v/>
      </c>
      <c r="E554">
        <f>IFERROR(AGGREGATE(15,6,ROW('Input Transaksi'!$B$5:$B$5000)/('Input Transaksi'!$B$5:$B$5000="RINJANI WASH"),ROWS($E$5:E554)),"")</f>
        <v/>
      </c>
      <c r="F554" s="5" t="n"/>
    </row>
    <row r="555">
      <c r="A555" s="10">
        <f>IF($E555="","",INDEX('Input Transaksi'!$A:$A,$E555))</f>
        <v/>
      </c>
      <c r="B555" s="5">
        <f>IF($E555="","",INDEX('Input Transaksi'!$D:$D,$E555))</f>
        <v/>
      </c>
      <c r="C555">
        <f>IF($E555="","",INDEX('Input Transaksi'!$E:$E,$E555))</f>
        <v/>
      </c>
      <c r="D555" s="5">
        <f>IF($E555="","",INDEX('Input Transaksi'!$F:$F,$E555))</f>
        <v/>
      </c>
      <c r="E555">
        <f>IFERROR(AGGREGATE(15,6,ROW('Input Transaksi'!$B$5:$B$5000)/('Input Transaksi'!$B$5:$B$5000="RINJANI WASH"),ROWS($E$5:E555)),"")</f>
        <v/>
      </c>
      <c r="F555" s="5" t="n"/>
    </row>
    <row r="556">
      <c r="A556" s="10">
        <f>IF($E556="","",INDEX('Input Transaksi'!$A:$A,$E556))</f>
        <v/>
      </c>
      <c r="B556" s="5">
        <f>IF($E556="","",INDEX('Input Transaksi'!$D:$D,$E556))</f>
        <v/>
      </c>
      <c r="C556">
        <f>IF($E556="","",INDEX('Input Transaksi'!$E:$E,$E556))</f>
        <v/>
      </c>
      <c r="D556" s="5">
        <f>IF($E556="","",INDEX('Input Transaksi'!$F:$F,$E556))</f>
        <v/>
      </c>
      <c r="E556">
        <f>IFERROR(AGGREGATE(15,6,ROW('Input Transaksi'!$B$5:$B$5000)/('Input Transaksi'!$B$5:$B$5000="RINJANI WASH"),ROWS($E$5:E556)),"")</f>
        <v/>
      </c>
      <c r="F556" s="5" t="n"/>
    </row>
    <row r="557">
      <c r="A557" s="10">
        <f>IF($E557="","",INDEX('Input Transaksi'!$A:$A,$E557))</f>
        <v/>
      </c>
      <c r="B557" s="5">
        <f>IF($E557="","",INDEX('Input Transaksi'!$D:$D,$E557))</f>
        <v/>
      </c>
      <c r="C557">
        <f>IF($E557="","",INDEX('Input Transaksi'!$E:$E,$E557))</f>
        <v/>
      </c>
      <c r="D557" s="5">
        <f>IF($E557="","",INDEX('Input Transaksi'!$F:$F,$E557))</f>
        <v/>
      </c>
      <c r="E557">
        <f>IFERROR(AGGREGATE(15,6,ROW('Input Transaksi'!$B$5:$B$5000)/('Input Transaksi'!$B$5:$B$5000="RINJANI WASH"),ROWS($E$5:E557)),"")</f>
        <v/>
      </c>
      <c r="F557" s="5" t="n"/>
    </row>
    <row r="558">
      <c r="A558" s="10">
        <f>IF($E558="","",INDEX('Input Transaksi'!$A:$A,$E558))</f>
        <v/>
      </c>
      <c r="B558" s="5">
        <f>IF($E558="","",INDEX('Input Transaksi'!$D:$D,$E558))</f>
        <v/>
      </c>
      <c r="C558">
        <f>IF($E558="","",INDEX('Input Transaksi'!$E:$E,$E558))</f>
        <v/>
      </c>
      <c r="D558" s="5">
        <f>IF($E558="","",INDEX('Input Transaksi'!$F:$F,$E558))</f>
        <v/>
      </c>
      <c r="E558">
        <f>IFERROR(AGGREGATE(15,6,ROW('Input Transaksi'!$B$5:$B$5000)/('Input Transaksi'!$B$5:$B$5000="RINJANI WASH"),ROWS($E$5:E558)),"")</f>
        <v/>
      </c>
      <c r="F558" s="5" t="n"/>
    </row>
    <row r="559">
      <c r="A559" s="10">
        <f>IF($E559="","",INDEX('Input Transaksi'!$A:$A,$E559))</f>
        <v/>
      </c>
      <c r="B559" s="5">
        <f>IF($E559="","",INDEX('Input Transaksi'!$D:$D,$E559))</f>
        <v/>
      </c>
      <c r="C559">
        <f>IF($E559="","",INDEX('Input Transaksi'!$E:$E,$E559))</f>
        <v/>
      </c>
      <c r="D559" s="5">
        <f>IF($E559="","",INDEX('Input Transaksi'!$F:$F,$E559))</f>
        <v/>
      </c>
      <c r="E559">
        <f>IFERROR(AGGREGATE(15,6,ROW('Input Transaksi'!$B$5:$B$5000)/('Input Transaksi'!$B$5:$B$5000="RINJANI WASH"),ROWS($E$5:E559)),"")</f>
        <v/>
      </c>
      <c r="F559" s="5" t="n"/>
    </row>
    <row r="560">
      <c r="A560" s="10">
        <f>IF($E560="","",INDEX('Input Transaksi'!$A:$A,$E560))</f>
        <v/>
      </c>
      <c r="B560" s="5">
        <f>IF($E560="","",INDEX('Input Transaksi'!$D:$D,$E560))</f>
        <v/>
      </c>
      <c r="C560">
        <f>IF($E560="","",INDEX('Input Transaksi'!$E:$E,$E560))</f>
        <v/>
      </c>
      <c r="D560" s="5">
        <f>IF($E560="","",INDEX('Input Transaksi'!$F:$F,$E560))</f>
        <v/>
      </c>
      <c r="E560">
        <f>IFERROR(AGGREGATE(15,6,ROW('Input Transaksi'!$B$5:$B$5000)/('Input Transaksi'!$B$5:$B$5000="RINJANI WASH"),ROWS($E$5:E560)),"")</f>
        <v/>
      </c>
      <c r="F560" s="5" t="n"/>
    </row>
    <row r="561">
      <c r="A561" s="10">
        <f>IF($E561="","",INDEX('Input Transaksi'!$A:$A,$E561))</f>
        <v/>
      </c>
      <c r="B561" s="5">
        <f>IF($E561="","",INDEX('Input Transaksi'!$D:$D,$E561))</f>
        <v/>
      </c>
      <c r="C561">
        <f>IF($E561="","",INDEX('Input Transaksi'!$E:$E,$E561))</f>
        <v/>
      </c>
      <c r="D561" s="5">
        <f>IF($E561="","",INDEX('Input Transaksi'!$F:$F,$E561))</f>
        <v/>
      </c>
      <c r="E561">
        <f>IFERROR(AGGREGATE(15,6,ROW('Input Transaksi'!$B$5:$B$5000)/('Input Transaksi'!$B$5:$B$5000="RINJANI WASH"),ROWS($E$5:E561)),"")</f>
        <v/>
      </c>
      <c r="F561" s="5" t="n"/>
    </row>
    <row r="562">
      <c r="A562" s="10">
        <f>IF($E562="","",INDEX('Input Transaksi'!$A:$A,$E562))</f>
        <v/>
      </c>
      <c r="B562" s="5">
        <f>IF($E562="","",INDEX('Input Transaksi'!$D:$D,$E562))</f>
        <v/>
      </c>
      <c r="C562">
        <f>IF($E562="","",INDEX('Input Transaksi'!$E:$E,$E562))</f>
        <v/>
      </c>
      <c r="D562" s="5">
        <f>IF($E562="","",INDEX('Input Transaksi'!$F:$F,$E562))</f>
        <v/>
      </c>
      <c r="E562">
        <f>IFERROR(AGGREGATE(15,6,ROW('Input Transaksi'!$B$5:$B$5000)/('Input Transaksi'!$B$5:$B$5000="RINJANI WASH"),ROWS($E$5:E562)),"")</f>
        <v/>
      </c>
      <c r="F562" s="5" t="n"/>
    </row>
    <row r="563">
      <c r="A563" s="10">
        <f>IF($E563="","",INDEX('Input Transaksi'!$A:$A,$E563))</f>
        <v/>
      </c>
      <c r="B563" s="5">
        <f>IF($E563="","",INDEX('Input Transaksi'!$D:$D,$E563))</f>
        <v/>
      </c>
      <c r="C563">
        <f>IF($E563="","",INDEX('Input Transaksi'!$E:$E,$E563))</f>
        <v/>
      </c>
      <c r="D563" s="5">
        <f>IF($E563="","",INDEX('Input Transaksi'!$F:$F,$E563))</f>
        <v/>
      </c>
      <c r="E563">
        <f>IFERROR(AGGREGATE(15,6,ROW('Input Transaksi'!$B$5:$B$5000)/('Input Transaksi'!$B$5:$B$5000="RINJANI WASH"),ROWS($E$5:E563)),"")</f>
        <v/>
      </c>
      <c r="F563" s="5" t="n"/>
    </row>
    <row r="564">
      <c r="A564" s="10">
        <f>IF($E564="","",INDEX('Input Transaksi'!$A:$A,$E564))</f>
        <v/>
      </c>
      <c r="B564" s="5">
        <f>IF($E564="","",INDEX('Input Transaksi'!$D:$D,$E564))</f>
        <v/>
      </c>
      <c r="C564">
        <f>IF($E564="","",INDEX('Input Transaksi'!$E:$E,$E564))</f>
        <v/>
      </c>
      <c r="D564" s="5">
        <f>IF($E564="","",INDEX('Input Transaksi'!$F:$F,$E564))</f>
        <v/>
      </c>
      <c r="E564">
        <f>IFERROR(AGGREGATE(15,6,ROW('Input Transaksi'!$B$5:$B$5000)/('Input Transaksi'!$B$5:$B$5000="RINJANI WASH"),ROWS($E$5:E564)),"")</f>
        <v/>
      </c>
      <c r="F564" s="5" t="n"/>
    </row>
    <row r="565">
      <c r="A565" s="10">
        <f>IF($E565="","",INDEX('Input Transaksi'!$A:$A,$E565))</f>
        <v/>
      </c>
      <c r="B565" s="5">
        <f>IF($E565="","",INDEX('Input Transaksi'!$D:$D,$E565))</f>
        <v/>
      </c>
      <c r="C565">
        <f>IF($E565="","",INDEX('Input Transaksi'!$E:$E,$E565))</f>
        <v/>
      </c>
      <c r="D565" s="5">
        <f>IF($E565="","",INDEX('Input Transaksi'!$F:$F,$E565))</f>
        <v/>
      </c>
      <c r="E565">
        <f>IFERROR(AGGREGATE(15,6,ROW('Input Transaksi'!$B$5:$B$5000)/('Input Transaksi'!$B$5:$B$5000="RINJANI WASH"),ROWS($E$5:E565)),"")</f>
        <v/>
      </c>
      <c r="F565" s="5" t="n"/>
    </row>
    <row r="566">
      <c r="A566" s="10">
        <f>IF($E566="","",INDEX('Input Transaksi'!$A:$A,$E566))</f>
        <v/>
      </c>
      <c r="B566" s="5">
        <f>IF($E566="","",INDEX('Input Transaksi'!$D:$D,$E566))</f>
        <v/>
      </c>
      <c r="C566">
        <f>IF($E566="","",INDEX('Input Transaksi'!$E:$E,$E566))</f>
        <v/>
      </c>
      <c r="D566" s="5">
        <f>IF($E566="","",INDEX('Input Transaksi'!$F:$F,$E566))</f>
        <v/>
      </c>
      <c r="E566">
        <f>IFERROR(AGGREGATE(15,6,ROW('Input Transaksi'!$B$5:$B$5000)/('Input Transaksi'!$B$5:$B$5000="RINJANI WASH"),ROWS($E$5:E566)),"")</f>
        <v/>
      </c>
      <c r="F566" s="5" t="n"/>
    </row>
    <row r="567">
      <c r="A567" s="10">
        <f>IF($E567="","",INDEX('Input Transaksi'!$A:$A,$E567))</f>
        <v/>
      </c>
      <c r="B567" s="5">
        <f>IF($E567="","",INDEX('Input Transaksi'!$D:$D,$E567))</f>
        <v/>
      </c>
      <c r="C567">
        <f>IF($E567="","",INDEX('Input Transaksi'!$E:$E,$E567))</f>
        <v/>
      </c>
      <c r="D567" s="5">
        <f>IF($E567="","",INDEX('Input Transaksi'!$F:$F,$E567))</f>
        <v/>
      </c>
      <c r="E567">
        <f>IFERROR(AGGREGATE(15,6,ROW('Input Transaksi'!$B$5:$B$5000)/('Input Transaksi'!$B$5:$B$5000="RINJANI WASH"),ROWS($E$5:E567)),"")</f>
        <v/>
      </c>
      <c r="F567" s="5" t="n"/>
    </row>
    <row r="568">
      <c r="A568" s="10">
        <f>IF($E568="","",INDEX('Input Transaksi'!$A:$A,$E568))</f>
        <v/>
      </c>
      <c r="B568" s="5">
        <f>IF($E568="","",INDEX('Input Transaksi'!$D:$D,$E568))</f>
        <v/>
      </c>
      <c r="C568">
        <f>IF($E568="","",INDEX('Input Transaksi'!$E:$E,$E568))</f>
        <v/>
      </c>
      <c r="D568" s="5">
        <f>IF($E568="","",INDEX('Input Transaksi'!$F:$F,$E568))</f>
        <v/>
      </c>
      <c r="E568">
        <f>IFERROR(AGGREGATE(15,6,ROW('Input Transaksi'!$B$5:$B$5000)/('Input Transaksi'!$B$5:$B$5000="RINJANI WASH"),ROWS($E$5:E568)),"")</f>
        <v/>
      </c>
      <c r="F568" s="5" t="n"/>
    </row>
    <row r="569">
      <c r="A569" s="10">
        <f>IF($E569="","",INDEX('Input Transaksi'!$A:$A,$E569))</f>
        <v/>
      </c>
      <c r="B569" s="5">
        <f>IF($E569="","",INDEX('Input Transaksi'!$D:$D,$E569))</f>
        <v/>
      </c>
      <c r="C569">
        <f>IF($E569="","",INDEX('Input Transaksi'!$E:$E,$E569))</f>
        <v/>
      </c>
      <c r="D569" s="5">
        <f>IF($E569="","",INDEX('Input Transaksi'!$F:$F,$E569))</f>
        <v/>
      </c>
      <c r="E569">
        <f>IFERROR(AGGREGATE(15,6,ROW('Input Transaksi'!$B$5:$B$5000)/('Input Transaksi'!$B$5:$B$5000="RINJANI WASH"),ROWS($E$5:E569)),"")</f>
        <v/>
      </c>
      <c r="F569" s="5" t="n"/>
    </row>
    <row r="570">
      <c r="A570" s="10">
        <f>IF($E570="","",INDEX('Input Transaksi'!$A:$A,$E570))</f>
        <v/>
      </c>
      <c r="B570" s="5">
        <f>IF($E570="","",INDEX('Input Transaksi'!$D:$D,$E570))</f>
        <v/>
      </c>
      <c r="C570">
        <f>IF($E570="","",INDEX('Input Transaksi'!$E:$E,$E570))</f>
        <v/>
      </c>
      <c r="D570" s="5">
        <f>IF($E570="","",INDEX('Input Transaksi'!$F:$F,$E570))</f>
        <v/>
      </c>
      <c r="E570">
        <f>IFERROR(AGGREGATE(15,6,ROW('Input Transaksi'!$B$5:$B$5000)/('Input Transaksi'!$B$5:$B$5000="RINJANI WASH"),ROWS($E$5:E570)),"")</f>
        <v/>
      </c>
      <c r="F570" s="5" t="n"/>
    </row>
    <row r="571">
      <c r="A571" s="10">
        <f>IF($E571="","",INDEX('Input Transaksi'!$A:$A,$E571))</f>
        <v/>
      </c>
      <c r="B571" s="5">
        <f>IF($E571="","",INDEX('Input Transaksi'!$D:$D,$E571))</f>
        <v/>
      </c>
      <c r="C571">
        <f>IF($E571="","",INDEX('Input Transaksi'!$E:$E,$E571))</f>
        <v/>
      </c>
      <c r="D571" s="5">
        <f>IF($E571="","",INDEX('Input Transaksi'!$F:$F,$E571))</f>
        <v/>
      </c>
      <c r="E571">
        <f>IFERROR(AGGREGATE(15,6,ROW('Input Transaksi'!$B$5:$B$5000)/('Input Transaksi'!$B$5:$B$5000="RINJANI WASH"),ROWS($E$5:E571)),"")</f>
        <v/>
      </c>
      <c r="F571" s="5" t="n"/>
    </row>
    <row r="572">
      <c r="A572" s="10">
        <f>IF($E572="","",INDEX('Input Transaksi'!$A:$A,$E572))</f>
        <v/>
      </c>
      <c r="B572" s="5">
        <f>IF($E572="","",INDEX('Input Transaksi'!$D:$D,$E572))</f>
        <v/>
      </c>
      <c r="C572">
        <f>IF($E572="","",INDEX('Input Transaksi'!$E:$E,$E572))</f>
        <v/>
      </c>
      <c r="D572" s="5">
        <f>IF($E572="","",INDEX('Input Transaksi'!$F:$F,$E572))</f>
        <v/>
      </c>
      <c r="E572">
        <f>IFERROR(AGGREGATE(15,6,ROW('Input Transaksi'!$B$5:$B$5000)/('Input Transaksi'!$B$5:$B$5000="RINJANI WASH"),ROWS($E$5:E572)),"")</f>
        <v/>
      </c>
      <c r="F572" s="5" t="n"/>
    </row>
    <row r="573">
      <c r="A573" s="10">
        <f>IF($E573="","",INDEX('Input Transaksi'!$A:$A,$E573))</f>
        <v/>
      </c>
      <c r="B573" s="5">
        <f>IF($E573="","",INDEX('Input Transaksi'!$D:$D,$E573))</f>
        <v/>
      </c>
      <c r="C573">
        <f>IF($E573="","",INDEX('Input Transaksi'!$E:$E,$E573))</f>
        <v/>
      </c>
      <c r="D573" s="5">
        <f>IF($E573="","",INDEX('Input Transaksi'!$F:$F,$E573))</f>
        <v/>
      </c>
      <c r="E573">
        <f>IFERROR(AGGREGATE(15,6,ROW('Input Transaksi'!$B$5:$B$5000)/('Input Transaksi'!$B$5:$B$5000="RINJANI WASH"),ROWS($E$5:E573)),"")</f>
        <v/>
      </c>
      <c r="F573" s="5" t="n"/>
    </row>
    <row r="574">
      <c r="A574" s="10">
        <f>IF($E574="","",INDEX('Input Transaksi'!$A:$A,$E574))</f>
        <v/>
      </c>
      <c r="B574" s="5">
        <f>IF($E574="","",INDEX('Input Transaksi'!$D:$D,$E574))</f>
        <v/>
      </c>
      <c r="C574">
        <f>IF($E574="","",INDEX('Input Transaksi'!$E:$E,$E574))</f>
        <v/>
      </c>
      <c r="D574" s="5">
        <f>IF($E574="","",INDEX('Input Transaksi'!$F:$F,$E574))</f>
        <v/>
      </c>
      <c r="E574">
        <f>IFERROR(AGGREGATE(15,6,ROW('Input Transaksi'!$B$5:$B$5000)/('Input Transaksi'!$B$5:$B$5000="RINJANI WASH"),ROWS($E$5:E574)),"")</f>
        <v/>
      </c>
      <c r="F574" s="5" t="n"/>
    </row>
    <row r="575">
      <c r="A575" s="10">
        <f>IF($E575="","",INDEX('Input Transaksi'!$A:$A,$E575))</f>
        <v/>
      </c>
      <c r="B575" s="5">
        <f>IF($E575="","",INDEX('Input Transaksi'!$D:$D,$E575))</f>
        <v/>
      </c>
      <c r="C575">
        <f>IF($E575="","",INDEX('Input Transaksi'!$E:$E,$E575))</f>
        <v/>
      </c>
      <c r="D575" s="5">
        <f>IF($E575="","",INDEX('Input Transaksi'!$F:$F,$E575))</f>
        <v/>
      </c>
      <c r="E575">
        <f>IFERROR(AGGREGATE(15,6,ROW('Input Transaksi'!$B$5:$B$5000)/('Input Transaksi'!$B$5:$B$5000="RINJANI WASH"),ROWS($E$5:E575)),"")</f>
        <v/>
      </c>
      <c r="F575" s="5" t="n"/>
    </row>
    <row r="576">
      <c r="A576" s="10">
        <f>IF($E576="","",INDEX('Input Transaksi'!$A:$A,$E576))</f>
        <v/>
      </c>
      <c r="B576" s="5">
        <f>IF($E576="","",INDEX('Input Transaksi'!$D:$D,$E576))</f>
        <v/>
      </c>
      <c r="C576">
        <f>IF($E576="","",INDEX('Input Transaksi'!$E:$E,$E576))</f>
        <v/>
      </c>
      <c r="D576" s="5">
        <f>IF($E576="","",INDEX('Input Transaksi'!$F:$F,$E576))</f>
        <v/>
      </c>
      <c r="E576">
        <f>IFERROR(AGGREGATE(15,6,ROW('Input Transaksi'!$B$5:$B$5000)/('Input Transaksi'!$B$5:$B$5000="RINJANI WASH"),ROWS($E$5:E576)),"")</f>
        <v/>
      </c>
      <c r="F576" s="5" t="n"/>
    </row>
    <row r="577">
      <c r="A577" s="10">
        <f>IF($E577="","",INDEX('Input Transaksi'!$A:$A,$E577))</f>
        <v/>
      </c>
      <c r="B577" s="5">
        <f>IF($E577="","",INDEX('Input Transaksi'!$D:$D,$E577))</f>
        <v/>
      </c>
      <c r="C577">
        <f>IF($E577="","",INDEX('Input Transaksi'!$E:$E,$E577))</f>
        <v/>
      </c>
      <c r="D577" s="5">
        <f>IF($E577="","",INDEX('Input Transaksi'!$F:$F,$E577))</f>
        <v/>
      </c>
      <c r="E577">
        <f>IFERROR(AGGREGATE(15,6,ROW('Input Transaksi'!$B$5:$B$5000)/('Input Transaksi'!$B$5:$B$5000="RINJANI WASH"),ROWS($E$5:E577)),"")</f>
        <v/>
      </c>
      <c r="F577" s="5" t="n"/>
    </row>
    <row r="578">
      <c r="A578" s="10">
        <f>IF($E578="","",INDEX('Input Transaksi'!$A:$A,$E578))</f>
        <v/>
      </c>
      <c r="B578" s="5">
        <f>IF($E578="","",INDEX('Input Transaksi'!$D:$D,$E578))</f>
        <v/>
      </c>
      <c r="C578">
        <f>IF($E578="","",INDEX('Input Transaksi'!$E:$E,$E578))</f>
        <v/>
      </c>
      <c r="D578" s="5">
        <f>IF($E578="","",INDEX('Input Transaksi'!$F:$F,$E578))</f>
        <v/>
      </c>
      <c r="E578">
        <f>IFERROR(AGGREGATE(15,6,ROW('Input Transaksi'!$B$5:$B$5000)/('Input Transaksi'!$B$5:$B$5000="RINJANI WASH"),ROWS($E$5:E578)),"")</f>
        <v/>
      </c>
      <c r="F578" s="5" t="n"/>
    </row>
    <row r="579">
      <c r="A579" s="10">
        <f>IF($E579="","",INDEX('Input Transaksi'!$A:$A,$E579))</f>
        <v/>
      </c>
      <c r="B579" s="5">
        <f>IF($E579="","",INDEX('Input Transaksi'!$D:$D,$E579))</f>
        <v/>
      </c>
      <c r="C579">
        <f>IF($E579="","",INDEX('Input Transaksi'!$E:$E,$E579))</f>
        <v/>
      </c>
      <c r="D579" s="5">
        <f>IF($E579="","",INDEX('Input Transaksi'!$F:$F,$E579))</f>
        <v/>
      </c>
      <c r="E579">
        <f>IFERROR(AGGREGATE(15,6,ROW('Input Transaksi'!$B$5:$B$5000)/('Input Transaksi'!$B$5:$B$5000="RINJANI WASH"),ROWS($E$5:E579)),"")</f>
        <v/>
      </c>
      <c r="F579" s="5" t="n"/>
    </row>
    <row r="580">
      <c r="A580" s="10">
        <f>IF($E580="","",INDEX('Input Transaksi'!$A:$A,$E580))</f>
        <v/>
      </c>
      <c r="B580" s="5">
        <f>IF($E580="","",INDEX('Input Transaksi'!$D:$D,$E580))</f>
        <v/>
      </c>
      <c r="C580">
        <f>IF($E580="","",INDEX('Input Transaksi'!$E:$E,$E580))</f>
        <v/>
      </c>
      <c r="D580" s="5">
        <f>IF($E580="","",INDEX('Input Transaksi'!$F:$F,$E580))</f>
        <v/>
      </c>
      <c r="E580">
        <f>IFERROR(AGGREGATE(15,6,ROW('Input Transaksi'!$B$5:$B$5000)/('Input Transaksi'!$B$5:$B$5000="RINJANI WASH"),ROWS($E$5:E580)),"")</f>
        <v/>
      </c>
      <c r="F580" s="5" t="n"/>
    </row>
    <row r="581">
      <c r="A581" s="10">
        <f>IF($E581="","",INDEX('Input Transaksi'!$A:$A,$E581))</f>
        <v/>
      </c>
      <c r="B581" s="5">
        <f>IF($E581="","",INDEX('Input Transaksi'!$D:$D,$E581))</f>
        <v/>
      </c>
      <c r="C581">
        <f>IF($E581="","",INDEX('Input Transaksi'!$E:$E,$E581))</f>
        <v/>
      </c>
      <c r="D581" s="5">
        <f>IF($E581="","",INDEX('Input Transaksi'!$F:$F,$E581))</f>
        <v/>
      </c>
      <c r="E581">
        <f>IFERROR(AGGREGATE(15,6,ROW('Input Transaksi'!$B$5:$B$5000)/('Input Transaksi'!$B$5:$B$5000="RINJANI WASH"),ROWS($E$5:E581)),"")</f>
        <v/>
      </c>
      <c r="F581" s="5" t="n"/>
    </row>
    <row r="582">
      <c r="A582" s="10">
        <f>IF($E582="","",INDEX('Input Transaksi'!$A:$A,$E582))</f>
        <v/>
      </c>
      <c r="B582" s="5">
        <f>IF($E582="","",INDEX('Input Transaksi'!$D:$D,$E582))</f>
        <v/>
      </c>
      <c r="C582">
        <f>IF($E582="","",INDEX('Input Transaksi'!$E:$E,$E582))</f>
        <v/>
      </c>
      <c r="D582" s="5">
        <f>IF($E582="","",INDEX('Input Transaksi'!$F:$F,$E582))</f>
        <v/>
      </c>
      <c r="E582">
        <f>IFERROR(AGGREGATE(15,6,ROW('Input Transaksi'!$B$5:$B$5000)/('Input Transaksi'!$B$5:$B$5000="RINJANI WASH"),ROWS($E$5:E582)),"")</f>
        <v/>
      </c>
      <c r="F582" s="5" t="n"/>
    </row>
    <row r="583">
      <c r="A583" s="10">
        <f>IF($E583="","",INDEX('Input Transaksi'!$A:$A,$E583))</f>
        <v/>
      </c>
      <c r="B583" s="5">
        <f>IF($E583="","",INDEX('Input Transaksi'!$D:$D,$E583))</f>
        <v/>
      </c>
      <c r="C583">
        <f>IF($E583="","",INDEX('Input Transaksi'!$E:$E,$E583))</f>
        <v/>
      </c>
      <c r="D583" s="5">
        <f>IF($E583="","",INDEX('Input Transaksi'!$F:$F,$E583))</f>
        <v/>
      </c>
      <c r="E583">
        <f>IFERROR(AGGREGATE(15,6,ROW('Input Transaksi'!$B$5:$B$5000)/('Input Transaksi'!$B$5:$B$5000="RINJANI WASH"),ROWS($E$5:E583)),"")</f>
        <v/>
      </c>
      <c r="F583" s="5" t="n"/>
    </row>
    <row r="584">
      <c r="A584" s="10">
        <f>IF($E584="","",INDEX('Input Transaksi'!$A:$A,$E584))</f>
        <v/>
      </c>
      <c r="B584" s="5">
        <f>IF($E584="","",INDEX('Input Transaksi'!$D:$D,$E584))</f>
        <v/>
      </c>
      <c r="C584">
        <f>IF($E584="","",INDEX('Input Transaksi'!$E:$E,$E584))</f>
        <v/>
      </c>
      <c r="D584" s="5">
        <f>IF($E584="","",INDEX('Input Transaksi'!$F:$F,$E584))</f>
        <v/>
      </c>
      <c r="E584">
        <f>IFERROR(AGGREGATE(15,6,ROW('Input Transaksi'!$B$5:$B$5000)/('Input Transaksi'!$B$5:$B$5000="RINJANI WASH"),ROWS($E$5:E584)),"")</f>
        <v/>
      </c>
      <c r="F584" s="5" t="n"/>
    </row>
    <row r="585">
      <c r="A585" s="10">
        <f>IF($E585="","",INDEX('Input Transaksi'!$A:$A,$E585))</f>
        <v/>
      </c>
      <c r="B585" s="5">
        <f>IF($E585="","",INDEX('Input Transaksi'!$D:$D,$E585))</f>
        <v/>
      </c>
      <c r="C585">
        <f>IF($E585="","",INDEX('Input Transaksi'!$E:$E,$E585))</f>
        <v/>
      </c>
      <c r="D585" s="5">
        <f>IF($E585="","",INDEX('Input Transaksi'!$F:$F,$E585))</f>
        <v/>
      </c>
      <c r="E585">
        <f>IFERROR(AGGREGATE(15,6,ROW('Input Transaksi'!$B$5:$B$5000)/('Input Transaksi'!$B$5:$B$5000="RINJANI WASH"),ROWS($E$5:E585)),"")</f>
        <v/>
      </c>
      <c r="F585" s="5" t="n"/>
    </row>
    <row r="586">
      <c r="A586" s="10">
        <f>IF($E586="","",INDEX('Input Transaksi'!$A:$A,$E586))</f>
        <v/>
      </c>
      <c r="B586" s="5">
        <f>IF($E586="","",INDEX('Input Transaksi'!$D:$D,$E586))</f>
        <v/>
      </c>
      <c r="C586">
        <f>IF($E586="","",INDEX('Input Transaksi'!$E:$E,$E586))</f>
        <v/>
      </c>
      <c r="D586" s="5">
        <f>IF($E586="","",INDEX('Input Transaksi'!$F:$F,$E586))</f>
        <v/>
      </c>
      <c r="E586">
        <f>IFERROR(AGGREGATE(15,6,ROW('Input Transaksi'!$B$5:$B$5000)/('Input Transaksi'!$B$5:$B$5000="RINJANI WASH"),ROWS($E$5:E586)),"")</f>
        <v/>
      </c>
      <c r="F586" s="5" t="n"/>
    </row>
    <row r="587">
      <c r="A587" s="10">
        <f>IF($E587="","",INDEX('Input Transaksi'!$A:$A,$E587))</f>
        <v/>
      </c>
      <c r="B587" s="5">
        <f>IF($E587="","",INDEX('Input Transaksi'!$D:$D,$E587))</f>
        <v/>
      </c>
      <c r="C587">
        <f>IF($E587="","",INDEX('Input Transaksi'!$E:$E,$E587))</f>
        <v/>
      </c>
      <c r="D587" s="5">
        <f>IF($E587="","",INDEX('Input Transaksi'!$F:$F,$E587))</f>
        <v/>
      </c>
      <c r="E587">
        <f>IFERROR(AGGREGATE(15,6,ROW('Input Transaksi'!$B$5:$B$5000)/('Input Transaksi'!$B$5:$B$5000="RINJANI WASH"),ROWS($E$5:E587)),"")</f>
        <v/>
      </c>
      <c r="F587" s="5" t="n"/>
    </row>
    <row r="588">
      <c r="A588" s="10">
        <f>IF($E588="","",INDEX('Input Transaksi'!$A:$A,$E588))</f>
        <v/>
      </c>
      <c r="B588" s="5">
        <f>IF($E588="","",INDEX('Input Transaksi'!$D:$D,$E588))</f>
        <v/>
      </c>
      <c r="C588">
        <f>IF($E588="","",INDEX('Input Transaksi'!$E:$E,$E588))</f>
        <v/>
      </c>
      <c r="D588" s="5">
        <f>IF($E588="","",INDEX('Input Transaksi'!$F:$F,$E588))</f>
        <v/>
      </c>
      <c r="E588">
        <f>IFERROR(AGGREGATE(15,6,ROW('Input Transaksi'!$B$5:$B$5000)/('Input Transaksi'!$B$5:$B$5000="RINJANI WASH"),ROWS($E$5:E588)),"")</f>
        <v/>
      </c>
      <c r="F588" s="5" t="n"/>
    </row>
    <row r="589">
      <c r="A589" s="10">
        <f>IF($E589="","",INDEX('Input Transaksi'!$A:$A,$E589))</f>
        <v/>
      </c>
      <c r="B589" s="5">
        <f>IF($E589="","",INDEX('Input Transaksi'!$D:$D,$E589))</f>
        <v/>
      </c>
      <c r="C589">
        <f>IF($E589="","",INDEX('Input Transaksi'!$E:$E,$E589))</f>
        <v/>
      </c>
      <c r="D589" s="5">
        <f>IF($E589="","",INDEX('Input Transaksi'!$F:$F,$E589))</f>
        <v/>
      </c>
      <c r="E589">
        <f>IFERROR(AGGREGATE(15,6,ROW('Input Transaksi'!$B$5:$B$5000)/('Input Transaksi'!$B$5:$B$5000="RINJANI WASH"),ROWS($E$5:E589)),"")</f>
        <v/>
      </c>
      <c r="F589" s="5" t="n"/>
    </row>
    <row r="590">
      <c r="A590" s="10">
        <f>IF($E590="","",INDEX('Input Transaksi'!$A:$A,$E590))</f>
        <v/>
      </c>
      <c r="B590" s="5">
        <f>IF($E590="","",INDEX('Input Transaksi'!$D:$D,$E590))</f>
        <v/>
      </c>
      <c r="C590">
        <f>IF($E590="","",INDEX('Input Transaksi'!$E:$E,$E590))</f>
        <v/>
      </c>
      <c r="D590" s="5">
        <f>IF($E590="","",INDEX('Input Transaksi'!$F:$F,$E590))</f>
        <v/>
      </c>
      <c r="E590">
        <f>IFERROR(AGGREGATE(15,6,ROW('Input Transaksi'!$B$5:$B$5000)/('Input Transaksi'!$B$5:$B$5000="RINJANI WASH"),ROWS($E$5:E590)),"")</f>
        <v/>
      </c>
      <c r="F590" s="5" t="n"/>
    </row>
    <row r="591">
      <c r="A591" s="10">
        <f>IF($E591="","",INDEX('Input Transaksi'!$A:$A,$E591))</f>
        <v/>
      </c>
      <c r="B591" s="5">
        <f>IF($E591="","",INDEX('Input Transaksi'!$D:$D,$E591))</f>
        <v/>
      </c>
      <c r="C591">
        <f>IF($E591="","",INDEX('Input Transaksi'!$E:$E,$E591))</f>
        <v/>
      </c>
      <c r="D591" s="5">
        <f>IF($E591="","",INDEX('Input Transaksi'!$F:$F,$E591))</f>
        <v/>
      </c>
      <c r="E591">
        <f>IFERROR(AGGREGATE(15,6,ROW('Input Transaksi'!$B$5:$B$5000)/('Input Transaksi'!$B$5:$B$5000="RINJANI WASH"),ROWS($E$5:E591)),"")</f>
        <v/>
      </c>
      <c r="F591" s="5" t="n"/>
    </row>
    <row r="592">
      <c r="A592" s="10">
        <f>IF($E592="","",INDEX('Input Transaksi'!$A:$A,$E592))</f>
        <v/>
      </c>
      <c r="B592" s="5">
        <f>IF($E592="","",INDEX('Input Transaksi'!$D:$D,$E592))</f>
        <v/>
      </c>
      <c r="C592">
        <f>IF($E592="","",INDEX('Input Transaksi'!$E:$E,$E592))</f>
        <v/>
      </c>
      <c r="D592" s="5">
        <f>IF($E592="","",INDEX('Input Transaksi'!$F:$F,$E592))</f>
        <v/>
      </c>
      <c r="E592">
        <f>IFERROR(AGGREGATE(15,6,ROW('Input Transaksi'!$B$5:$B$5000)/('Input Transaksi'!$B$5:$B$5000="RINJANI WASH"),ROWS($E$5:E592)),"")</f>
        <v/>
      </c>
      <c r="F592" s="5" t="n"/>
    </row>
    <row r="593">
      <c r="A593" s="10">
        <f>IF($E593="","",INDEX('Input Transaksi'!$A:$A,$E593))</f>
        <v/>
      </c>
      <c r="B593" s="5">
        <f>IF($E593="","",INDEX('Input Transaksi'!$D:$D,$E593))</f>
        <v/>
      </c>
      <c r="C593">
        <f>IF($E593="","",INDEX('Input Transaksi'!$E:$E,$E593))</f>
        <v/>
      </c>
      <c r="D593" s="5">
        <f>IF($E593="","",INDEX('Input Transaksi'!$F:$F,$E593))</f>
        <v/>
      </c>
      <c r="E593">
        <f>IFERROR(AGGREGATE(15,6,ROW('Input Transaksi'!$B$5:$B$5000)/('Input Transaksi'!$B$5:$B$5000="RINJANI WASH"),ROWS($E$5:E593)),"")</f>
        <v/>
      </c>
      <c r="F593" s="5" t="n"/>
    </row>
    <row r="594">
      <c r="A594" s="10">
        <f>IF($E594="","",INDEX('Input Transaksi'!$A:$A,$E594))</f>
        <v/>
      </c>
      <c r="B594" s="5">
        <f>IF($E594="","",INDEX('Input Transaksi'!$D:$D,$E594))</f>
        <v/>
      </c>
      <c r="C594">
        <f>IF($E594="","",INDEX('Input Transaksi'!$E:$E,$E594))</f>
        <v/>
      </c>
      <c r="D594" s="5">
        <f>IF($E594="","",INDEX('Input Transaksi'!$F:$F,$E594))</f>
        <v/>
      </c>
      <c r="E594">
        <f>IFERROR(AGGREGATE(15,6,ROW('Input Transaksi'!$B$5:$B$5000)/('Input Transaksi'!$B$5:$B$5000="RINJANI WASH"),ROWS($E$5:E594)),"")</f>
        <v/>
      </c>
      <c r="F594" s="5" t="n"/>
    </row>
    <row r="595">
      <c r="A595" s="10">
        <f>IF($E595="","",INDEX('Input Transaksi'!$A:$A,$E595))</f>
        <v/>
      </c>
      <c r="B595" s="5">
        <f>IF($E595="","",INDEX('Input Transaksi'!$D:$D,$E595))</f>
        <v/>
      </c>
      <c r="C595">
        <f>IF($E595="","",INDEX('Input Transaksi'!$E:$E,$E595))</f>
        <v/>
      </c>
      <c r="D595" s="5">
        <f>IF($E595="","",INDEX('Input Transaksi'!$F:$F,$E595))</f>
        <v/>
      </c>
      <c r="E595">
        <f>IFERROR(AGGREGATE(15,6,ROW('Input Transaksi'!$B$5:$B$5000)/('Input Transaksi'!$B$5:$B$5000="RINJANI WASH"),ROWS($E$5:E595)),"")</f>
        <v/>
      </c>
      <c r="F595" s="5" t="n"/>
    </row>
    <row r="596">
      <c r="A596" s="10">
        <f>IF($E596="","",INDEX('Input Transaksi'!$A:$A,$E596))</f>
        <v/>
      </c>
      <c r="B596" s="5">
        <f>IF($E596="","",INDEX('Input Transaksi'!$D:$D,$E596))</f>
        <v/>
      </c>
      <c r="C596">
        <f>IF($E596="","",INDEX('Input Transaksi'!$E:$E,$E596))</f>
        <v/>
      </c>
      <c r="D596" s="5">
        <f>IF($E596="","",INDEX('Input Transaksi'!$F:$F,$E596))</f>
        <v/>
      </c>
      <c r="E596">
        <f>IFERROR(AGGREGATE(15,6,ROW('Input Transaksi'!$B$5:$B$5000)/('Input Transaksi'!$B$5:$B$5000="RINJANI WASH"),ROWS($E$5:E596)),"")</f>
        <v/>
      </c>
      <c r="F596" s="5" t="n"/>
    </row>
    <row r="597">
      <c r="A597" s="10">
        <f>IF($E597="","",INDEX('Input Transaksi'!$A:$A,$E597))</f>
        <v/>
      </c>
      <c r="B597" s="5">
        <f>IF($E597="","",INDEX('Input Transaksi'!$D:$D,$E597))</f>
        <v/>
      </c>
      <c r="C597">
        <f>IF($E597="","",INDEX('Input Transaksi'!$E:$E,$E597))</f>
        <v/>
      </c>
      <c r="D597" s="5">
        <f>IF($E597="","",INDEX('Input Transaksi'!$F:$F,$E597))</f>
        <v/>
      </c>
      <c r="E597">
        <f>IFERROR(AGGREGATE(15,6,ROW('Input Transaksi'!$B$5:$B$5000)/('Input Transaksi'!$B$5:$B$5000="RINJANI WASH"),ROWS($E$5:E597)),"")</f>
        <v/>
      </c>
      <c r="F597" s="5" t="n"/>
    </row>
    <row r="598">
      <c r="A598" s="10">
        <f>IF($E598="","",INDEX('Input Transaksi'!$A:$A,$E598))</f>
        <v/>
      </c>
      <c r="B598" s="5">
        <f>IF($E598="","",INDEX('Input Transaksi'!$D:$D,$E598))</f>
        <v/>
      </c>
      <c r="C598">
        <f>IF($E598="","",INDEX('Input Transaksi'!$E:$E,$E598))</f>
        <v/>
      </c>
      <c r="D598" s="5">
        <f>IF($E598="","",INDEX('Input Transaksi'!$F:$F,$E598))</f>
        <v/>
      </c>
      <c r="E598">
        <f>IFERROR(AGGREGATE(15,6,ROW('Input Transaksi'!$B$5:$B$5000)/('Input Transaksi'!$B$5:$B$5000="RINJANI WASH"),ROWS($E$5:E598)),"")</f>
        <v/>
      </c>
      <c r="F598" s="5" t="n"/>
    </row>
    <row r="599">
      <c r="A599" s="10">
        <f>IF($E599="","",INDEX('Input Transaksi'!$A:$A,$E599))</f>
        <v/>
      </c>
      <c r="B599" s="5">
        <f>IF($E599="","",INDEX('Input Transaksi'!$D:$D,$E599))</f>
        <v/>
      </c>
      <c r="C599">
        <f>IF($E599="","",INDEX('Input Transaksi'!$E:$E,$E599))</f>
        <v/>
      </c>
      <c r="D599" s="5">
        <f>IF($E599="","",INDEX('Input Transaksi'!$F:$F,$E599))</f>
        <v/>
      </c>
      <c r="E599">
        <f>IFERROR(AGGREGATE(15,6,ROW('Input Transaksi'!$B$5:$B$5000)/('Input Transaksi'!$B$5:$B$5000="RINJANI WASH"),ROWS($E$5:E599)),"")</f>
        <v/>
      </c>
      <c r="F599" s="5" t="n"/>
    </row>
    <row r="600">
      <c r="A600" s="10">
        <f>IF($E600="","",INDEX('Input Transaksi'!$A:$A,$E600))</f>
        <v/>
      </c>
      <c r="B600" s="5">
        <f>IF($E600="","",INDEX('Input Transaksi'!$D:$D,$E600))</f>
        <v/>
      </c>
      <c r="C600">
        <f>IF($E600="","",INDEX('Input Transaksi'!$E:$E,$E600))</f>
        <v/>
      </c>
      <c r="D600" s="5">
        <f>IF($E600="","",INDEX('Input Transaksi'!$F:$F,$E600))</f>
        <v/>
      </c>
      <c r="E600">
        <f>IFERROR(AGGREGATE(15,6,ROW('Input Transaksi'!$B$5:$B$5000)/('Input Transaksi'!$B$5:$B$5000="RINJANI WASH"),ROWS($E$5:E600)),"")</f>
        <v/>
      </c>
      <c r="F600" s="5" t="n"/>
    </row>
    <row r="601">
      <c r="A601" s="10">
        <f>IF($E601="","",INDEX('Input Transaksi'!$A:$A,$E601))</f>
        <v/>
      </c>
      <c r="B601" s="5">
        <f>IF($E601="","",INDEX('Input Transaksi'!$D:$D,$E601))</f>
        <v/>
      </c>
      <c r="C601">
        <f>IF($E601="","",INDEX('Input Transaksi'!$E:$E,$E601))</f>
        <v/>
      </c>
      <c r="D601" s="5">
        <f>IF($E601="","",INDEX('Input Transaksi'!$F:$F,$E601))</f>
        <v/>
      </c>
      <c r="E601">
        <f>IFERROR(AGGREGATE(15,6,ROW('Input Transaksi'!$B$5:$B$5000)/('Input Transaksi'!$B$5:$B$5000="RINJANI WASH"),ROWS($E$5:E601)),"")</f>
        <v/>
      </c>
      <c r="F601" s="5" t="n"/>
    </row>
    <row r="602">
      <c r="A602" s="10">
        <f>IF($E602="","",INDEX('Input Transaksi'!$A:$A,$E602))</f>
        <v/>
      </c>
      <c r="B602" s="5">
        <f>IF($E602="","",INDEX('Input Transaksi'!$D:$D,$E602))</f>
        <v/>
      </c>
      <c r="C602">
        <f>IF($E602="","",INDEX('Input Transaksi'!$E:$E,$E602))</f>
        <v/>
      </c>
      <c r="D602" s="5">
        <f>IF($E602="","",INDEX('Input Transaksi'!$F:$F,$E602))</f>
        <v/>
      </c>
      <c r="E602">
        <f>IFERROR(AGGREGATE(15,6,ROW('Input Transaksi'!$B$5:$B$5000)/('Input Transaksi'!$B$5:$B$5000="RINJANI WASH"),ROWS($E$5:E602)),"")</f>
        <v/>
      </c>
      <c r="F602" s="5" t="n"/>
    </row>
    <row r="603">
      <c r="A603" s="10">
        <f>IF($E603="","",INDEX('Input Transaksi'!$A:$A,$E603))</f>
        <v/>
      </c>
      <c r="B603" s="5">
        <f>IF($E603="","",INDEX('Input Transaksi'!$D:$D,$E603))</f>
        <v/>
      </c>
      <c r="C603">
        <f>IF($E603="","",INDEX('Input Transaksi'!$E:$E,$E603))</f>
        <v/>
      </c>
      <c r="D603" s="5">
        <f>IF($E603="","",INDEX('Input Transaksi'!$F:$F,$E603))</f>
        <v/>
      </c>
      <c r="E603">
        <f>IFERROR(AGGREGATE(15,6,ROW('Input Transaksi'!$B$5:$B$5000)/('Input Transaksi'!$B$5:$B$5000="RINJANI WASH"),ROWS($E$5:E603)),"")</f>
        <v/>
      </c>
      <c r="F603" s="5" t="n"/>
    </row>
    <row r="604">
      <c r="A604" s="10">
        <f>IF($E604="","",INDEX('Input Transaksi'!$A:$A,$E604))</f>
        <v/>
      </c>
      <c r="B604" s="5">
        <f>IF($E604="","",INDEX('Input Transaksi'!$D:$D,$E604))</f>
        <v/>
      </c>
      <c r="C604">
        <f>IF($E604="","",INDEX('Input Transaksi'!$E:$E,$E604))</f>
        <v/>
      </c>
      <c r="D604" s="5">
        <f>IF($E604="","",INDEX('Input Transaksi'!$F:$F,$E604))</f>
        <v/>
      </c>
      <c r="E604">
        <f>IFERROR(AGGREGATE(15,6,ROW('Input Transaksi'!$B$5:$B$5000)/('Input Transaksi'!$B$5:$B$5000="RINJANI WASH"),ROWS($E$5:E604)),"")</f>
        <v/>
      </c>
      <c r="F604" s="5" t="n"/>
    </row>
    <row r="605">
      <c r="A605" s="10">
        <f>IF($E605="","",INDEX('Input Transaksi'!$A:$A,$E605))</f>
        <v/>
      </c>
      <c r="B605" s="5">
        <f>IF($E605="","",INDEX('Input Transaksi'!$D:$D,$E605))</f>
        <v/>
      </c>
      <c r="C605">
        <f>IF($E605="","",INDEX('Input Transaksi'!$E:$E,$E605))</f>
        <v/>
      </c>
      <c r="D605" s="5">
        <f>IF($E605="","",INDEX('Input Transaksi'!$F:$F,$E605))</f>
        <v/>
      </c>
      <c r="E605">
        <f>IFERROR(AGGREGATE(15,6,ROW('Input Transaksi'!$B$5:$B$5000)/('Input Transaksi'!$B$5:$B$5000="RINJANI WASH"),ROWS($E$5:E605)),"")</f>
        <v/>
      </c>
      <c r="F605" s="5" t="n"/>
    </row>
    <row r="606">
      <c r="A606" s="10">
        <f>IF($E606="","",INDEX('Input Transaksi'!$A:$A,$E606))</f>
        <v/>
      </c>
      <c r="B606" s="5">
        <f>IF($E606="","",INDEX('Input Transaksi'!$D:$D,$E606))</f>
        <v/>
      </c>
      <c r="C606">
        <f>IF($E606="","",INDEX('Input Transaksi'!$E:$E,$E606))</f>
        <v/>
      </c>
      <c r="D606" s="5">
        <f>IF($E606="","",INDEX('Input Transaksi'!$F:$F,$E606))</f>
        <v/>
      </c>
      <c r="E606">
        <f>IFERROR(AGGREGATE(15,6,ROW('Input Transaksi'!$B$5:$B$5000)/('Input Transaksi'!$B$5:$B$5000="RINJANI WASH"),ROWS($E$5:E606)),"")</f>
        <v/>
      </c>
      <c r="F606" s="5" t="n"/>
    </row>
    <row r="607">
      <c r="A607" s="10">
        <f>IF($E607="","",INDEX('Input Transaksi'!$A:$A,$E607))</f>
        <v/>
      </c>
      <c r="B607" s="5">
        <f>IF($E607="","",INDEX('Input Transaksi'!$D:$D,$E607))</f>
        <v/>
      </c>
      <c r="C607">
        <f>IF($E607="","",INDEX('Input Transaksi'!$E:$E,$E607))</f>
        <v/>
      </c>
      <c r="D607" s="5">
        <f>IF($E607="","",INDEX('Input Transaksi'!$F:$F,$E607))</f>
        <v/>
      </c>
      <c r="E607">
        <f>IFERROR(AGGREGATE(15,6,ROW('Input Transaksi'!$B$5:$B$5000)/('Input Transaksi'!$B$5:$B$5000="RINJANI WASH"),ROWS($E$5:E607)),"")</f>
        <v/>
      </c>
      <c r="F607" s="5" t="n"/>
    </row>
    <row r="608">
      <c r="A608" s="10">
        <f>IF($E608="","",INDEX('Input Transaksi'!$A:$A,$E608))</f>
        <v/>
      </c>
      <c r="B608" s="5">
        <f>IF($E608="","",INDEX('Input Transaksi'!$D:$D,$E608))</f>
        <v/>
      </c>
      <c r="C608">
        <f>IF($E608="","",INDEX('Input Transaksi'!$E:$E,$E608))</f>
        <v/>
      </c>
      <c r="D608" s="5">
        <f>IF($E608="","",INDEX('Input Transaksi'!$F:$F,$E608))</f>
        <v/>
      </c>
      <c r="E608">
        <f>IFERROR(AGGREGATE(15,6,ROW('Input Transaksi'!$B$5:$B$5000)/('Input Transaksi'!$B$5:$B$5000="RINJANI WASH"),ROWS($E$5:E608)),"")</f>
        <v/>
      </c>
      <c r="F608" s="5" t="n"/>
    </row>
    <row r="609">
      <c r="A609" s="10">
        <f>IF($E609="","",INDEX('Input Transaksi'!$A:$A,$E609))</f>
        <v/>
      </c>
      <c r="B609" s="5">
        <f>IF($E609="","",INDEX('Input Transaksi'!$D:$D,$E609))</f>
        <v/>
      </c>
      <c r="C609">
        <f>IF($E609="","",INDEX('Input Transaksi'!$E:$E,$E609))</f>
        <v/>
      </c>
      <c r="D609" s="5">
        <f>IF($E609="","",INDEX('Input Transaksi'!$F:$F,$E609))</f>
        <v/>
      </c>
      <c r="E609">
        <f>IFERROR(AGGREGATE(15,6,ROW('Input Transaksi'!$B$5:$B$5000)/('Input Transaksi'!$B$5:$B$5000="RINJANI WASH"),ROWS($E$5:E609)),"")</f>
        <v/>
      </c>
      <c r="F609" s="5" t="n"/>
    </row>
    <row r="610">
      <c r="A610" s="10">
        <f>IF($E610="","",INDEX('Input Transaksi'!$A:$A,$E610))</f>
        <v/>
      </c>
      <c r="B610" s="5">
        <f>IF($E610="","",INDEX('Input Transaksi'!$D:$D,$E610))</f>
        <v/>
      </c>
      <c r="C610">
        <f>IF($E610="","",INDEX('Input Transaksi'!$E:$E,$E610))</f>
        <v/>
      </c>
      <c r="D610" s="5">
        <f>IF($E610="","",INDEX('Input Transaksi'!$F:$F,$E610))</f>
        <v/>
      </c>
      <c r="E610">
        <f>IFERROR(AGGREGATE(15,6,ROW('Input Transaksi'!$B$5:$B$5000)/('Input Transaksi'!$B$5:$B$5000="RINJANI WASH"),ROWS($E$5:E610)),"")</f>
        <v/>
      </c>
      <c r="F610" s="5" t="n"/>
    </row>
    <row r="611">
      <c r="A611" s="10">
        <f>IF($E611="","",INDEX('Input Transaksi'!$A:$A,$E611))</f>
        <v/>
      </c>
      <c r="B611" s="5">
        <f>IF($E611="","",INDEX('Input Transaksi'!$D:$D,$E611))</f>
        <v/>
      </c>
      <c r="C611">
        <f>IF($E611="","",INDEX('Input Transaksi'!$E:$E,$E611))</f>
        <v/>
      </c>
      <c r="D611" s="5">
        <f>IF($E611="","",INDEX('Input Transaksi'!$F:$F,$E611))</f>
        <v/>
      </c>
      <c r="E611">
        <f>IFERROR(AGGREGATE(15,6,ROW('Input Transaksi'!$B$5:$B$5000)/('Input Transaksi'!$B$5:$B$5000="RINJANI WASH"),ROWS($E$5:E611)),"")</f>
        <v/>
      </c>
      <c r="F611" s="5" t="n"/>
    </row>
    <row r="612">
      <c r="A612" s="10">
        <f>IF($E612="","",INDEX('Input Transaksi'!$A:$A,$E612))</f>
        <v/>
      </c>
      <c r="B612" s="5">
        <f>IF($E612="","",INDEX('Input Transaksi'!$D:$D,$E612))</f>
        <v/>
      </c>
      <c r="C612">
        <f>IF($E612="","",INDEX('Input Transaksi'!$E:$E,$E612))</f>
        <v/>
      </c>
      <c r="D612" s="5">
        <f>IF($E612="","",INDEX('Input Transaksi'!$F:$F,$E612))</f>
        <v/>
      </c>
      <c r="E612">
        <f>IFERROR(AGGREGATE(15,6,ROW('Input Transaksi'!$B$5:$B$5000)/('Input Transaksi'!$B$5:$B$5000="RINJANI WASH"),ROWS($E$5:E612)),"")</f>
        <v/>
      </c>
      <c r="F612" s="5" t="n"/>
    </row>
    <row r="613">
      <c r="A613" s="10">
        <f>IF($E613="","",INDEX('Input Transaksi'!$A:$A,$E613))</f>
        <v/>
      </c>
      <c r="B613" s="5">
        <f>IF($E613="","",INDEX('Input Transaksi'!$D:$D,$E613))</f>
        <v/>
      </c>
      <c r="C613">
        <f>IF($E613="","",INDEX('Input Transaksi'!$E:$E,$E613))</f>
        <v/>
      </c>
      <c r="D613" s="5">
        <f>IF($E613="","",INDEX('Input Transaksi'!$F:$F,$E613))</f>
        <v/>
      </c>
      <c r="E613">
        <f>IFERROR(AGGREGATE(15,6,ROW('Input Transaksi'!$B$5:$B$5000)/('Input Transaksi'!$B$5:$B$5000="RINJANI WASH"),ROWS($E$5:E613)),"")</f>
        <v/>
      </c>
      <c r="F613" s="5" t="n"/>
    </row>
    <row r="614">
      <c r="A614" s="10">
        <f>IF($E614="","",INDEX('Input Transaksi'!$A:$A,$E614))</f>
        <v/>
      </c>
      <c r="B614" s="5">
        <f>IF($E614="","",INDEX('Input Transaksi'!$D:$D,$E614))</f>
        <v/>
      </c>
      <c r="C614">
        <f>IF($E614="","",INDEX('Input Transaksi'!$E:$E,$E614))</f>
        <v/>
      </c>
      <c r="D614" s="5">
        <f>IF($E614="","",INDEX('Input Transaksi'!$F:$F,$E614))</f>
        <v/>
      </c>
      <c r="E614">
        <f>IFERROR(AGGREGATE(15,6,ROW('Input Transaksi'!$B$5:$B$5000)/('Input Transaksi'!$B$5:$B$5000="RINJANI WASH"),ROWS($E$5:E614)),"")</f>
        <v/>
      </c>
      <c r="F614" s="5" t="n"/>
    </row>
    <row r="615">
      <c r="A615" s="10">
        <f>IF($E615="","",INDEX('Input Transaksi'!$A:$A,$E615))</f>
        <v/>
      </c>
      <c r="B615" s="5">
        <f>IF($E615="","",INDEX('Input Transaksi'!$D:$D,$E615))</f>
        <v/>
      </c>
      <c r="C615">
        <f>IF($E615="","",INDEX('Input Transaksi'!$E:$E,$E615))</f>
        <v/>
      </c>
      <c r="D615" s="5">
        <f>IF($E615="","",INDEX('Input Transaksi'!$F:$F,$E615))</f>
        <v/>
      </c>
      <c r="E615">
        <f>IFERROR(AGGREGATE(15,6,ROW('Input Transaksi'!$B$5:$B$5000)/('Input Transaksi'!$B$5:$B$5000="RINJANI WASH"),ROWS($E$5:E615)),"")</f>
        <v/>
      </c>
      <c r="F615" s="5" t="n"/>
    </row>
    <row r="616">
      <c r="A616" s="10">
        <f>IF($E616="","",INDEX('Input Transaksi'!$A:$A,$E616))</f>
        <v/>
      </c>
      <c r="B616" s="5">
        <f>IF($E616="","",INDEX('Input Transaksi'!$D:$D,$E616))</f>
        <v/>
      </c>
      <c r="C616">
        <f>IF($E616="","",INDEX('Input Transaksi'!$E:$E,$E616))</f>
        <v/>
      </c>
      <c r="D616" s="5">
        <f>IF($E616="","",INDEX('Input Transaksi'!$F:$F,$E616))</f>
        <v/>
      </c>
      <c r="E616">
        <f>IFERROR(AGGREGATE(15,6,ROW('Input Transaksi'!$B$5:$B$5000)/('Input Transaksi'!$B$5:$B$5000="RINJANI WASH"),ROWS($E$5:E616)),"")</f>
        <v/>
      </c>
      <c r="F616" s="5" t="n"/>
    </row>
    <row r="617">
      <c r="A617" s="10">
        <f>IF($E617="","",INDEX('Input Transaksi'!$A:$A,$E617))</f>
        <v/>
      </c>
      <c r="B617" s="5">
        <f>IF($E617="","",INDEX('Input Transaksi'!$D:$D,$E617))</f>
        <v/>
      </c>
      <c r="C617">
        <f>IF($E617="","",INDEX('Input Transaksi'!$E:$E,$E617))</f>
        <v/>
      </c>
      <c r="D617" s="5">
        <f>IF($E617="","",INDEX('Input Transaksi'!$F:$F,$E617))</f>
        <v/>
      </c>
      <c r="E617">
        <f>IFERROR(AGGREGATE(15,6,ROW('Input Transaksi'!$B$5:$B$5000)/('Input Transaksi'!$B$5:$B$5000="RINJANI WASH"),ROWS($E$5:E617)),"")</f>
        <v/>
      </c>
      <c r="F617" s="5" t="n"/>
    </row>
    <row r="618">
      <c r="A618" s="10">
        <f>IF($E618="","",INDEX('Input Transaksi'!$A:$A,$E618))</f>
        <v/>
      </c>
      <c r="B618" s="5">
        <f>IF($E618="","",INDEX('Input Transaksi'!$D:$D,$E618))</f>
        <v/>
      </c>
      <c r="C618">
        <f>IF($E618="","",INDEX('Input Transaksi'!$E:$E,$E618))</f>
        <v/>
      </c>
      <c r="D618" s="5">
        <f>IF($E618="","",INDEX('Input Transaksi'!$F:$F,$E618))</f>
        <v/>
      </c>
      <c r="E618">
        <f>IFERROR(AGGREGATE(15,6,ROW('Input Transaksi'!$B$5:$B$5000)/('Input Transaksi'!$B$5:$B$5000="RINJANI WASH"),ROWS($E$5:E618)),"")</f>
        <v/>
      </c>
      <c r="F618" s="5" t="n"/>
    </row>
    <row r="619">
      <c r="A619" s="10">
        <f>IF($E619="","",INDEX('Input Transaksi'!$A:$A,$E619))</f>
        <v/>
      </c>
      <c r="B619" s="5">
        <f>IF($E619="","",INDEX('Input Transaksi'!$D:$D,$E619))</f>
        <v/>
      </c>
      <c r="C619">
        <f>IF($E619="","",INDEX('Input Transaksi'!$E:$E,$E619))</f>
        <v/>
      </c>
      <c r="D619" s="5">
        <f>IF($E619="","",INDEX('Input Transaksi'!$F:$F,$E619))</f>
        <v/>
      </c>
      <c r="E619">
        <f>IFERROR(AGGREGATE(15,6,ROW('Input Transaksi'!$B$5:$B$5000)/('Input Transaksi'!$B$5:$B$5000="RINJANI WASH"),ROWS($E$5:E619)),"")</f>
        <v/>
      </c>
      <c r="F619" s="5" t="n"/>
    </row>
    <row r="620">
      <c r="A620" s="10">
        <f>IF($E620="","",INDEX('Input Transaksi'!$A:$A,$E620))</f>
        <v/>
      </c>
      <c r="B620" s="5">
        <f>IF($E620="","",INDEX('Input Transaksi'!$D:$D,$E620))</f>
        <v/>
      </c>
      <c r="C620">
        <f>IF($E620="","",INDEX('Input Transaksi'!$E:$E,$E620))</f>
        <v/>
      </c>
      <c r="D620" s="5">
        <f>IF($E620="","",INDEX('Input Transaksi'!$F:$F,$E620))</f>
        <v/>
      </c>
      <c r="E620">
        <f>IFERROR(AGGREGATE(15,6,ROW('Input Transaksi'!$B$5:$B$5000)/('Input Transaksi'!$B$5:$B$5000="RINJANI WASH"),ROWS($E$5:E620)),"")</f>
        <v/>
      </c>
      <c r="F620" s="5" t="n"/>
    </row>
    <row r="621">
      <c r="A621" s="10">
        <f>IF($E621="","",INDEX('Input Transaksi'!$A:$A,$E621))</f>
        <v/>
      </c>
      <c r="B621" s="5">
        <f>IF($E621="","",INDEX('Input Transaksi'!$D:$D,$E621))</f>
        <v/>
      </c>
      <c r="C621">
        <f>IF($E621="","",INDEX('Input Transaksi'!$E:$E,$E621))</f>
        <v/>
      </c>
      <c r="D621" s="5">
        <f>IF($E621="","",INDEX('Input Transaksi'!$F:$F,$E621))</f>
        <v/>
      </c>
      <c r="E621">
        <f>IFERROR(AGGREGATE(15,6,ROW('Input Transaksi'!$B$5:$B$5000)/('Input Transaksi'!$B$5:$B$5000="RINJANI WASH"),ROWS($E$5:E621)),"")</f>
        <v/>
      </c>
      <c r="F621" s="5" t="n"/>
    </row>
    <row r="622">
      <c r="A622" s="10">
        <f>IF($E622="","",INDEX('Input Transaksi'!$A:$A,$E622))</f>
        <v/>
      </c>
      <c r="B622" s="5">
        <f>IF($E622="","",INDEX('Input Transaksi'!$D:$D,$E622))</f>
        <v/>
      </c>
      <c r="C622">
        <f>IF($E622="","",INDEX('Input Transaksi'!$E:$E,$E622))</f>
        <v/>
      </c>
      <c r="D622" s="5">
        <f>IF($E622="","",INDEX('Input Transaksi'!$F:$F,$E622))</f>
        <v/>
      </c>
      <c r="E622">
        <f>IFERROR(AGGREGATE(15,6,ROW('Input Transaksi'!$B$5:$B$5000)/('Input Transaksi'!$B$5:$B$5000="RINJANI WASH"),ROWS($E$5:E622)),"")</f>
        <v/>
      </c>
      <c r="F622" s="5" t="n"/>
    </row>
    <row r="623">
      <c r="A623" s="10">
        <f>IF($E623="","",INDEX('Input Transaksi'!$A:$A,$E623))</f>
        <v/>
      </c>
      <c r="B623" s="5">
        <f>IF($E623="","",INDEX('Input Transaksi'!$D:$D,$E623))</f>
        <v/>
      </c>
      <c r="C623">
        <f>IF($E623="","",INDEX('Input Transaksi'!$E:$E,$E623))</f>
        <v/>
      </c>
      <c r="D623" s="5">
        <f>IF($E623="","",INDEX('Input Transaksi'!$F:$F,$E623))</f>
        <v/>
      </c>
      <c r="E623">
        <f>IFERROR(AGGREGATE(15,6,ROW('Input Transaksi'!$B$5:$B$5000)/('Input Transaksi'!$B$5:$B$5000="RINJANI WASH"),ROWS($E$5:E623)),"")</f>
        <v/>
      </c>
      <c r="F623" s="5" t="n"/>
    </row>
    <row r="624">
      <c r="A624" s="10">
        <f>IF($E624="","",INDEX('Input Transaksi'!$A:$A,$E624))</f>
        <v/>
      </c>
      <c r="B624" s="5">
        <f>IF($E624="","",INDEX('Input Transaksi'!$D:$D,$E624))</f>
        <v/>
      </c>
      <c r="C624">
        <f>IF($E624="","",INDEX('Input Transaksi'!$E:$E,$E624))</f>
        <v/>
      </c>
      <c r="D624" s="5">
        <f>IF($E624="","",INDEX('Input Transaksi'!$F:$F,$E624))</f>
        <v/>
      </c>
      <c r="E624">
        <f>IFERROR(AGGREGATE(15,6,ROW('Input Transaksi'!$B$5:$B$5000)/('Input Transaksi'!$B$5:$B$5000="RINJANI WASH"),ROWS($E$5:E624)),"")</f>
        <v/>
      </c>
      <c r="F624" s="5" t="n"/>
    </row>
    <row r="625">
      <c r="A625" s="10">
        <f>IF($E625="","",INDEX('Input Transaksi'!$A:$A,$E625))</f>
        <v/>
      </c>
      <c r="B625" s="5">
        <f>IF($E625="","",INDEX('Input Transaksi'!$D:$D,$E625))</f>
        <v/>
      </c>
      <c r="C625">
        <f>IF($E625="","",INDEX('Input Transaksi'!$E:$E,$E625))</f>
        <v/>
      </c>
      <c r="D625" s="5">
        <f>IF($E625="","",INDEX('Input Transaksi'!$F:$F,$E625))</f>
        <v/>
      </c>
      <c r="E625">
        <f>IFERROR(AGGREGATE(15,6,ROW('Input Transaksi'!$B$5:$B$5000)/('Input Transaksi'!$B$5:$B$5000="RINJANI WASH"),ROWS($E$5:E625)),"")</f>
        <v/>
      </c>
      <c r="F625" s="5" t="n"/>
    </row>
    <row r="626">
      <c r="A626" s="10">
        <f>IF($E626="","",INDEX('Input Transaksi'!$A:$A,$E626))</f>
        <v/>
      </c>
      <c r="B626" s="5">
        <f>IF($E626="","",INDEX('Input Transaksi'!$D:$D,$E626))</f>
        <v/>
      </c>
      <c r="C626">
        <f>IF($E626="","",INDEX('Input Transaksi'!$E:$E,$E626))</f>
        <v/>
      </c>
      <c r="D626" s="5">
        <f>IF($E626="","",INDEX('Input Transaksi'!$F:$F,$E626))</f>
        <v/>
      </c>
      <c r="E626">
        <f>IFERROR(AGGREGATE(15,6,ROW('Input Transaksi'!$B$5:$B$5000)/('Input Transaksi'!$B$5:$B$5000="RINJANI WASH"),ROWS($E$5:E626)),"")</f>
        <v/>
      </c>
      <c r="F626" s="5" t="n"/>
    </row>
    <row r="627">
      <c r="A627" s="10">
        <f>IF($E627="","",INDEX('Input Transaksi'!$A:$A,$E627))</f>
        <v/>
      </c>
      <c r="B627" s="5">
        <f>IF($E627="","",INDEX('Input Transaksi'!$D:$D,$E627))</f>
        <v/>
      </c>
      <c r="C627">
        <f>IF($E627="","",INDEX('Input Transaksi'!$E:$E,$E627))</f>
        <v/>
      </c>
      <c r="D627" s="5">
        <f>IF($E627="","",INDEX('Input Transaksi'!$F:$F,$E627))</f>
        <v/>
      </c>
      <c r="E627">
        <f>IFERROR(AGGREGATE(15,6,ROW('Input Transaksi'!$B$5:$B$5000)/('Input Transaksi'!$B$5:$B$5000="RINJANI WASH"),ROWS($E$5:E627)),"")</f>
        <v/>
      </c>
      <c r="F627" s="5" t="n"/>
    </row>
    <row r="628">
      <c r="A628" s="10">
        <f>IF($E628="","",INDEX('Input Transaksi'!$A:$A,$E628))</f>
        <v/>
      </c>
      <c r="B628" s="5">
        <f>IF($E628="","",INDEX('Input Transaksi'!$D:$D,$E628))</f>
        <v/>
      </c>
      <c r="C628">
        <f>IF($E628="","",INDEX('Input Transaksi'!$E:$E,$E628))</f>
        <v/>
      </c>
      <c r="D628" s="5">
        <f>IF($E628="","",INDEX('Input Transaksi'!$F:$F,$E628))</f>
        <v/>
      </c>
      <c r="E628">
        <f>IFERROR(AGGREGATE(15,6,ROW('Input Transaksi'!$B$5:$B$5000)/('Input Transaksi'!$B$5:$B$5000="RINJANI WASH"),ROWS($E$5:E628)),"")</f>
        <v/>
      </c>
      <c r="F628" s="5" t="n"/>
    </row>
    <row r="629">
      <c r="A629" s="10">
        <f>IF($E629="","",INDEX('Input Transaksi'!$A:$A,$E629))</f>
        <v/>
      </c>
      <c r="B629" s="5">
        <f>IF($E629="","",INDEX('Input Transaksi'!$D:$D,$E629))</f>
        <v/>
      </c>
      <c r="C629">
        <f>IF($E629="","",INDEX('Input Transaksi'!$E:$E,$E629))</f>
        <v/>
      </c>
      <c r="D629" s="5">
        <f>IF($E629="","",INDEX('Input Transaksi'!$F:$F,$E629))</f>
        <v/>
      </c>
      <c r="E629">
        <f>IFERROR(AGGREGATE(15,6,ROW('Input Transaksi'!$B$5:$B$5000)/('Input Transaksi'!$B$5:$B$5000="RINJANI WASH"),ROWS($E$5:E629)),"")</f>
        <v/>
      </c>
      <c r="F629" s="5" t="n"/>
    </row>
    <row r="630">
      <c r="A630" s="10">
        <f>IF($E630="","",INDEX('Input Transaksi'!$A:$A,$E630))</f>
        <v/>
      </c>
      <c r="B630" s="5">
        <f>IF($E630="","",INDEX('Input Transaksi'!$D:$D,$E630))</f>
        <v/>
      </c>
      <c r="C630">
        <f>IF($E630="","",INDEX('Input Transaksi'!$E:$E,$E630))</f>
        <v/>
      </c>
      <c r="D630" s="5">
        <f>IF($E630="","",INDEX('Input Transaksi'!$F:$F,$E630))</f>
        <v/>
      </c>
      <c r="E630">
        <f>IFERROR(AGGREGATE(15,6,ROW('Input Transaksi'!$B$5:$B$5000)/('Input Transaksi'!$B$5:$B$5000="RINJANI WASH"),ROWS($E$5:E630)),"")</f>
        <v/>
      </c>
      <c r="F630" s="5" t="n"/>
    </row>
    <row r="631">
      <c r="A631" s="10">
        <f>IF($E631="","",INDEX('Input Transaksi'!$A:$A,$E631))</f>
        <v/>
      </c>
      <c r="B631" s="5">
        <f>IF($E631="","",INDEX('Input Transaksi'!$D:$D,$E631))</f>
        <v/>
      </c>
      <c r="C631">
        <f>IF($E631="","",INDEX('Input Transaksi'!$E:$E,$E631))</f>
        <v/>
      </c>
      <c r="D631" s="5">
        <f>IF($E631="","",INDEX('Input Transaksi'!$F:$F,$E631))</f>
        <v/>
      </c>
      <c r="E631">
        <f>IFERROR(AGGREGATE(15,6,ROW('Input Transaksi'!$B$5:$B$5000)/('Input Transaksi'!$B$5:$B$5000="RINJANI WASH"),ROWS($E$5:E631)),"")</f>
        <v/>
      </c>
      <c r="F631" s="5" t="n"/>
    </row>
    <row r="632">
      <c r="A632" s="10">
        <f>IF($E632="","",INDEX('Input Transaksi'!$A:$A,$E632))</f>
        <v/>
      </c>
      <c r="B632" s="5">
        <f>IF($E632="","",INDEX('Input Transaksi'!$D:$D,$E632))</f>
        <v/>
      </c>
      <c r="C632">
        <f>IF($E632="","",INDEX('Input Transaksi'!$E:$E,$E632))</f>
        <v/>
      </c>
      <c r="D632" s="5">
        <f>IF($E632="","",INDEX('Input Transaksi'!$F:$F,$E632))</f>
        <v/>
      </c>
      <c r="E632">
        <f>IFERROR(AGGREGATE(15,6,ROW('Input Transaksi'!$B$5:$B$5000)/('Input Transaksi'!$B$5:$B$5000="RINJANI WASH"),ROWS($E$5:E632)),"")</f>
        <v/>
      </c>
      <c r="F632" s="5" t="n"/>
    </row>
    <row r="633">
      <c r="A633" s="10">
        <f>IF($E633="","",INDEX('Input Transaksi'!$A:$A,$E633))</f>
        <v/>
      </c>
      <c r="B633" s="5">
        <f>IF($E633="","",INDEX('Input Transaksi'!$D:$D,$E633))</f>
        <v/>
      </c>
      <c r="C633">
        <f>IF($E633="","",INDEX('Input Transaksi'!$E:$E,$E633))</f>
        <v/>
      </c>
      <c r="D633" s="5">
        <f>IF($E633="","",INDEX('Input Transaksi'!$F:$F,$E633))</f>
        <v/>
      </c>
      <c r="E633">
        <f>IFERROR(AGGREGATE(15,6,ROW('Input Transaksi'!$B$5:$B$5000)/('Input Transaksi'!$B$5:$B$5000="RINJANI WASH"),ROWS($E$5:E633)),"")</f>
        <v/>
      </c>
      <c r="F633" s="5" t="n"/>
    </row>
    <row r="634">
      <c r="A634" s="10">
        <f>IF($E634="","",INDEX('Input Transaksi'!$A:$A,$E634))</f>
        <v/>
      </c>
      <c r="B634" s="5">
        <f>IF($E634="","",INDEX('Input Transaksi'!$D:$D,$E634))</f>
        <v/>
      </c>
      <c r="C634">
        <f>IF($E634="","",INDEX('Input Transaksi'!$E:$E,$E634))</f>
        <v/>
      </c>
      <c r="D634" s="5">
        <f>IF($E634="","",INDEX('Input Transaksi'!$F:$F,$E634))</f>
        <v/>
      </c>
      <c r="E634">
        <f>IFERROR(AGGREGATE(15,6,ROW('Input Transaksi'!$B$5:$B$5000)/('Input Transaksi'!$B$5:$B$5000="RINJANI WASH"),ROWS($E$5:E634)),"")</f>
        <v/>
      </c>
      <c r="F634" s="5" t="n"/>
    </row>
    <row r="635">
      <c r="A635" s="10">
        <f>IF($E635="","",INDEX('Input Transaksi'!$A:$A,$E635))</f>
        <v/>
      </c>
      <c r="B635" s="5">
        <f>IF($E635="","",INDEX('Input Transaksi'!$D:$D,$E635))</f>
        <v/>
      </c>
      <c r="C635">
        <f>IF($E635="","",INDEX('Input Transaksi'!$E:$E,$E635))</f>
        <v/>
      </c>
      <c r="D635" s="5">
        <f>IF($E635="","",INDEX('Input Transaksi'!$F:$F,$E635))</f>
        <v/>
      </c>
      <c r="E635">
        <f>IFERROR(AGGREGATE(15,6,ROW('Input Transaksi'!$B$5:$B$5000)/('Input Transaksi'!$B$5:$B$5000="RINJANI WASH"),ROWS($E$5:E635)),"")</f>
        <v/>
      </c>
      <c r="F635" s="5" t="n"/>
    </row>
    <row r="636">
      <c r="A636" s="10">
        <f>IF($E636="","",INDEX('Input Transaksi'!$A:$A,$E636))</f>
        <v/>
      </c>
      <c r="B636" s="5">
        <f>IF($E636="","",INDEX('Input Transaksi'!$D:$D,$E636))</f>
        <v/>
      </c>
      <c r="C636">
        <f>IF($E636="","",INDEX('Input Transaksi'!$E:$E,$E636))</f>
        <v/>
      </c>
      <c r="D636" s="5">
        <f>IF($E636="","",INDEX('Input Transaksi'!$F:$F,$E636))</f>
        <v/>
      </c>
      <c r="E636">
        <f>IFERROR(AGGREGATE(15,6,ROW('Input Transaksi'!$B$5:$B$5000)/('Input Transaksi'!$B$5:$B$5000="RINJANI WASH"),ROWS($E$5:E636)),"")</f>
        <v/>
      </c>
      <c r="F636" s="5" t="n"/>
    </row>
    <row r="637">
      <c r="A637" s="10">
        <f>IF($E637="","",INDEX('Input Transaksi'!$A:$A,$E637))</f>
        <v/>
      </c>
      <c r="B637" s="5">
        <f>IF($E637="","",INDEX('Input Transaksi'!$D:$D,$E637))</f>
        <v/>
      </c>
      <c r="C637">
        <f>IF($E637="","",INDEX('Input Transaksi'!$E:$E,$E637))</f>
        <v/>
      </c>
      <c r="D637" s="5">
        <f>IF($E637="","",INDEX('Input Transaksi'!$F:$F,$E637))</f>
        <v/>
      </c>
      <c r="E637">
        <f>IFERROR(AGGREGATE(15,6,ROW('Input Transaksi'!$B$5:$B$5000)/('Input Transaksi'!$B$5:$B$5000="RINJANI WASH"),ROWS($E$5:E637)),"")</f>
        <v/>
      </c>
      <c r="F637" s="5" t="n"/>
    </row>
    <row r="638">
      <c r="A638" s="10">
        <f>IF($E638="","",INDEX('Input Transaksi'!$A:$A,$E638))</f>
        <v/>
      </c>
      <c r="B638" s="5">
        <f>IF($E638="","",INDEX('Input Transaksi'!$D:$D,$E638))</f>
        <v/>
      </c>
      <c r="C638">
        <f>IF($E638="","",INDEX('Input Transaksi'!$E:$E,$E638))</f>
        <v/>
      </c>
      <c r="D638" s="5">
        <f>IF($E638="","",INDEX('Input Transaksi'!$F:$F,$E638))</f>
        <v/>
      </c>
      <c r="E638">
        <f>IFERROR(AGGREGATE(15,6,ROW('Input Transaksi'!$B$5:$B$5000)/('Input Transaksi'!$B$5:$B$5000="RINJANI WASH"),ROWS($E$5:E638)),"")</f>
        <v/>
      </c>
      <c r="F638" s="5" t="n"/>
    </row>
    <row r="639">
      <c r="A639" s="10">
        <f>IF($E639="","",INDEX('Input Transaksi'!$A:$A,$E639))</f>
        <v/>
      </c>
      <c r="B639" s="5">
        <f>IF($E639="","",INDEX('Input Transaksi'!$D:$D,$E639))</f>
        <v/>
      </c>
      <c r="C639">
        <f>IF($E639="","",INDEX('Input Transaksi'!$E:$E,$E639))</f>
        <v/>
      </c>
      <c r="D639" s="5">
        <f>IF($E639="","",INDEX('Input Transaksi'!$F:$F,$E639))</f>
        <v/>
      </c>
      <c r="E639">
        <f>IFERROR(AGGREGATE(15,6,ROW('Input Transaksi'!$B$5:$B$5000)/('Input Transaksi'!$B$5:$B$5000="RINJANI WASH"),ROWS($E$5:E639)),"")</f>
        <v/>
      </c>
      <c r="F639" s="5" t="n"/>
    </row>
    <row r="640">
      <c r="A640" s="10">
        <f>IF($E640="","",INDEX('Input Transaksi'!$A:$A,$E640))</f>
        <v/>
      </c>
      <c r="B640" s="5">
        <f>IF($E640="","",INDEX('Input Transaksi'!$D:$D,$E640))</f>
        <v/>
      </c>
      <c r="C640">
        <f>IF($E640="","",INDEX('Input Transaksi'!$E:$E,$E640))</f>
        <v/>
      </c>
      <c r="D640" s="5">
        <f>IF($E640="","",INDEX('Input Transaksi'!$F:$F,$E640))</f>
        <v/>
      </c>
      <c r="E640">
        <f>IFERROR(AGGREGATE(15,6,ROW('Input Transaksi'!$B$5:$B$5000)/('Input Transaksi'!$B$5:$B$5000="RINJANI WASH"),ROWS($E$5:E640)),"")</f>
        <v/>
      </c>
      <c r="F640" s="5" t="n"/>
    </row>
    <row r="641">
      <c r="A641" s="10">
        <f>IF($E641="","",INDEX('Input Transaksi'!$A:$A,$E641))</f>
        <v/>
      </c>
      <c r="B641" s="5">
        <f>IF($E641="","",INDEX('Input Transaksi'!$D:$D,$E641))</f>
        <v/>
      </c>
      <c r="C641">
        <f>IF($E641="","",INDEX('Input Transaksi'!$E:$E,$E641))</f>
        <v/>
      </c>
      <c r="D641" s="5">
        <f>IF($E641="","",INDEX('Input Transaksi'!$F:$F,$E641))</f>
        <v/>
      </c>
      <c r="E641">
        <f>IFERROR(AGGREGATE(15,6,ROW('Input Transaksi'!$B$5:$B$5000)/('Input Transaksi'!$B$5:$B$5000="RINJANI WASH"),ROWS($E$5:E641)),"")</f>
        <v/>
      </c>
      <c r="F641" s="5" t="n"/>
    </row>
    <row r="642">
      <c r="A642" s="10">
        <f>IF($E642="","",INDEX('Input Transaksi'!$A:$A,$E642))</f>
        <v/>
      </c>
      <c r="B642" s="5">
        <f>IF($E642="","",INDEX('Input Transaksi'!$D:$D,$E642))</f>
        <v/>
      </c>
      <c r="C642">
        <f>IF($E642="","",INDEX('Input Transaksi'!$E:$E,$E642))</f>
        <v/>
      </c>
      <c r="D642" s="5">
        <f>IF($E642="","",INDEX('Input Transaksi'!$F:$F,$E642))</f>
        <v/>
      </c>
      <c r="E642">
        <f>IFERROR(AGGREGATE(15,6,ROW('Input Transaksi'!$B$5:$B$5000)/('Input Transaksi'!$B$5:$B$5000="RINJANI WASH"),ROWS($E$5:E642)),"")</f>
        <v/>
      </c>
      <c r="F642" s="5" t="n"/>
    </row>
    <row r="643">
      <c r="A643" s="10">
        <f>IF($E643="","",INDEX('Input Transaksi'!$A:$A,$E643))</f>
        <v/>
      </c>
      <c r="B643" s="5">
        <f>IF($E643="","",INDEX('Input Transaksi'!$D:$D,$E643))</f>
        <v/>
      </c>
      <c r="C643">
        <f>IF($E643="","",INDEX('Input Transaksi'!$E:$E,$E643))</f>
        <v/>
      </c>
      <c r="D643" s="5">
        <f>IF($E643="","",INDEX('Input Transaksi'!$F:$F,$E643))</f>
        <v/>
      </c>
      <c r="E643">
        <f>IFERROR(AGGREGATE(15,6,ROW('Input Transaksi'!$B$5:$B$5000)/('Input Transaksi'!$B$5:$B$5000="RINJANI WASH"),ROWS($E$5:E643)),"")</f>
        <v/>
      </c>
      <c r="F643" s="5" t="n"/>
    </row>
    <row r="644">
      <c r="A644" s="10">
        <f>IF($E644="","",INDEX('Input Transaksi'!$A:$A,$E644))</f>
        <v/>
      </c>
      <c r="B644" s="5">
        <f>IF($E644="","",INDEX('Input Transaksi'!$D:$D,$E644))</f>
        <v/>
      </c>
      <c r="C644">
        <f>IF($E644="","",INDEX('Input Transaksi'!$E:$E,$E644))</f>
        <v/>
      </c>
      <c r="D644" s="5">
        <f>IF($E644="","",INDEX('Input Transaksi'!$F:$F,$E644))</f>
        <v/>
      </c>
      <c r="E644">
        <f>IFERROR(AGGREGATE(15,6,ROW('Input Transaksi'!$B$5:$B$5000)/('Input Transaksi'!$B$5:$B$5000="RINJANI WASH"),ROWS($E$5:E644)),"")</f>
        <v/>
      </c>
      <c r="F644" s="5" t="n"/>
    </row>
    <row r="645">
      <c r="A645" s="10">
        <f>IF($E645="","",INDEX('Input Transaksi'!$A:$A,$E645))</f>
        <v/>
      </c>
      <c r="B645" s="5">
        <f>IF($E645="","",INDEX('Input Transaksi'!$D:$D,$E645))</f>
        <v/>
      </c>
      <c r="C645">
        <f>IF($E645="","",INDEX('Input Transaksi'!$E:$E,$E645))</f>
        <v/>
      </c>
      <c r="D645" s="5">
        <f>IF($E645="","",INDEX('Input Transaksi'!$F:$F,$E645))</f>
        <v/>
      </c>
      <c r="E645">
        <f>IFERROR(AGGREGATE(15,6,ROW('Input Transaksi'!$B$5:$B$5000)/('Input Transaksi'!$B$5:$B$5000="RINJANI WASH"),ROWS($E$5:E645)),"")</f>
        <v/>
      </c>
      <c r="F645" s="5" t="n"/>
    </row>
    <row r="646">
      <c r="A646" s="10">
        <f>IF($E646="","",INDEX('Input Transaksi'!$A:$A,$E646))</f>
        <v/>
      </c>
      <c r="B646" s="5">
        <f>IF($E646="","",INDEX('Input Transaksi'!$D:$D,$E646))</f>
        <v/>
      </c>
      <c r="C646">
        <f>IF($E646="","",INDEX('Input Transaksi'!$E:$E,$E646))</f>
        <v/>
      </c>
      <c r="D646" s="5">
        <f>IF($E646="","",INDEX('Input Transaksi'!$F:$F,$E646))</f>
        <v/>
      </c>
      <c r="E646">
        <f>IFERROR(AGGREGATE(15,6,ROW('Input Transaksi'!$B$5:$B$5000)/('Input Transaksi'!$B$5:$B$5000="RINJANI WASH"),ROWS($E$5:E646)),"")</f>
        <v/>
      </c>
      <c r="F646" s="5" t="n"/>
    </row>
    <row r="647">
      <c r="A647" s="10">
        <f>IF($E647="","",INDEX('Input Transaksi'!$A:$A,$E647))</f>
        <v/>
      </c>
      <c r="B647" s="5">
        <f>IF($E647="","",INDEX('Input Transaksi'!$D:$D,$E647))</f>
        <v/>
      </c>
      <c r="C647">
        <f>IF($E647="","",INDEX('Input Transaksi'!$E:$E,$E647))</f>
        <v/>
      </c>
      <c r="D647" s="5">
        <f>IF($E647="","",INDEX('Input Transaksi'!$F:$F,$E647))</f>
        <v/>
      </c>
      <c r="E647">
        <f>IFERROR(AGGREGATE(15,6,ROW('Input Transaksi'!$B$5:$B$5000)/('Input Transaksi'!$B$5:$B$5000="RINJANI WASH"),ROWS($E$5:E647)),"")</f>
        <v/>
      </c>
      <c r="F647" s="5" t="n"/>
    </row>
    <row r="648">
      <c r="A648" s="10">
        <f>IF($E648="","",INDEX('Input Transaksi'!$A:$A,$E648))</f>
        <v/>
      </c>
      <c r="B648" s="5">
        <f>IF($E648="","",INDEX('Input Transaksi'!$D:$D,$E648))</f>
        <v/>
      </c>
      <c r="C648">
        <f>IF($E648="","",INDEX('Input Transaksi'!$E:$E,$E648))</f>
        <v/>
      </c>
      <c r="D648" s="5">
        <f>IF($E648="","",INDEX('Input Transaksi'!$F:$F,$E648))</f>
        <v/>
      </c>
      <c r="E648">
        <f>IFERROR(AGGREGATE(15,6,ROW('Input Transaksi'!$B$5:$B$5000)/('Input Transaksi'!$B$5:$B$5000="RINJANI WASH"),ROWS($E$5:E648)),"")</f>
        <v/>
      </c>
      <c r="F648" s="5" t="n"/>
    </row>
    <row r="649">
      <c r="A649" s="10">
        <f>IF($E649="","",INDEX('Input Transaksi'!$A:$A,$E649))</f>
        <v/>
      </c>
      <c r="B649" s="5">
        <f>IF($E649="","",INDEX('Input Transaksi'!$D:$D,$E649))</f>
        <v/>
      </c>
      <c r="C649">
        <f>IF($E649="","",INDEX('Input Transaksi'!$E:$E,$E649))</f>
        <v/>
      </c>
      <c r="D649" s="5">
        <f>IF($E649="","",INDEX('Input Transaksi'!$F:$F,$E649))</f>
        <v/>
      </c>
      <c r="E649">
        <f>IFERROR(AGGREGATE(15,6,ROW('Input Transaksi'!$B$5:$B$5000)/('Input Transaksi'!$B$5:$B$5000="RINJANI WASH"),ROWS($E$5:E649)),"")</f>
        <v/>
      </c>
      <c r="F649" s="5" t="n"/>
    </row>
    <row r="650">
      <c r="A650" s="10">
        <f>IF($E650="","",INDEX('Input Transaksi'!$A:$A,$E650))</f>
        <v/>
      </c>
      <c r="B650" s="5">
        <f>IF($E650="","",INDEX('Input Transaksi'!$D:$D,$E650))</f>
        <v/>
      </c>
      <c r="C650">
        <f>IF($E650="","",INDEX('Input Transaksi'!$E:$E,$E650))</f>
        <v/>
      </c>
      <c r="D650" s="5">
        <f>IF($E650="","",INDEX('Input Transaksi'!$F:$F,$E650))</f>
        <v/>
      </c>
      <c r="E650">
        <f>IFERROR(AGGREGATE(15,6,ROW('Input Transaksi'!$B$5:$B$5000)/('Input Transaksi'!$B$5:$B$5000="RINJANI WASH"),ROWS($E$5:E650)),"")</f>
        <v/>
      </c>
      <c r="F650" s="5" t="n"/>
    </row>
    <row r="651">
      <c r="A651" s="10">
        <f>IF($E651="","",INDEX('Input Transaksi'!$A:$A,$E651))</f>
        <v/>
      </c>
      <c r="B651" s="5">
        <f>IF($E651="","",INDEX('Input Transaksi'!$D:$D,$E651))</f>
        <v/>
      </c>
      <c r="C651">
        <f>IF($E651="","",INDEX('Input Transaksi'!$E:$E,$E651))</f>
        <v/>
      </c>
      <c r="D651" s="5">
        <f>IF($E651="","",INDEX('Input Transaksi'!$F:$F,$E651))</f>
        <v/>
      </c>
      <c r="E651">
        <f>IFERROR(AGGREGATE(15,6,ROW('Input Transaksi'!$B$5:$B$5000)/('Input Transaksi'!$B$5:$B$5000="RINJANI WASH"),ROWS($E$5:E651)),"")</f>
        <v/>
      </c>
      <c r="F651" s="5" t="n"/>
    </row>
    <row r="652">
      <c r="A652" s="10">
        <f>IF($E652="","",INDEX('Input Transaksi'!$A:$A,$E652))</f>
        <v/>
      </c>
      <c r="B652" s="5">
        <f>IF($E652="","",INDEX('Input Transaksi'!$D:$D,$E652))</f>
        <v/>
      </c>
      <c r="C652">
        <f>IF($E652="","",INDEX('Input Transaksi'!$E:$E,$E652))</f>
        <v/>
      </c>
      <c r="D652" s="5">
        <f>IF($E652="","",INDEX('Input Transaksi'!$F:$F,$E652))</f>
        <v/>
      </c>
      <c r="E652">
        <f>IFERROR(AGGREGATE(15,6,ROW('Input Transaksi'!$B$5:$B$5000)/('Input Transaksi'!$B$5:$B$5000="RINJANI WASH"),ROWS($E$5:E652)),"")</f>
        <v/>
      </c>
      <c r="F652" s="5" t="n"/>
    </row>
    <row r="653">
      <c r="A653" s="10">
        <f>IF($E653="","",INDEX('Input Transaksi'!$A:$A,$E653))</f>
        <v/>
      </c>
      <c r="B653" s="5">
        <f>IF($E653="","",INDEX('Input Transaksi'!$D:$D,$E653))</f>
        <v/>
      </c>
      <c r="C653">
        <f>IF($E653="","",INDEX('Input Transaksi'!$E:$E,$E653))</f>
        <v/>
      </c>
      <c r="D653" s="5">
        <f>IF($E653="","",INDEX('Input Transaksi'!$F:$F,$E653))</f>
        <v/>
      </c>
      <c r="E653">
        <f>IFERROR(AGGREGATE(15,6,ROW('Input Transaksi'!$B$5:$B$5000)/('Input Transaksi'!$B$5:$B$5000="RINJANI WASH"),ROWS($E$5:E653)),"")</f>
        <v/>
      </c>
      <c r="F653" s="5" t="n"/>
    </row>
    <row r="654">
      <c r="A654" s="10">
        <f>IF($E654="","",INDEX('Input Transaksi'!$A:$A,$E654))</f>
        <v/>
      </c>
      <c r="B654" s="5">
        <f>IF($E654="","",INDEX('Input Transaksi'!$D:$D,$E654))</f>
        <v/>
      </c>
      <c r="C654">
        <f>IF($E654="","",INDEX('Input Transaksi'!$E:$E,$E654))</f>
        <v/>
      </c>
      <c r="D654" s="5">
        <f>IF($E654="","",INDEX('Input Transaksi'!$F:$F,$E654))</f>
        <v/>
      </c>
      <c r="E654">
        <f>IFERROR(AGGREGATE(15,6,ROW('Input Transaksi'!$B$5:$B$5000)/('Input Transaksi'!$B$5:$B$5000="RINJANI WASH"),ROWS($E$5:E654)),"")</f>
        <v/>
      </c>
      <c r="F654" s="5" t="n"/>
    </row>
    <row r="655">
      <c r="A655" s="10">
        <f>IF($E655="","",INDEX('Input Transaksi'!$A:$A,$E655))</f>
        <v/>
      </c>
      <c r="B655" s="5">
        <f>IF($E655="","",INDEX('Input Transaksi'!$D:$D,$E655))</f>
        <v/>
      </c>
      <c r="C655">
        <f>IF($E655="","",INDEX('Input Transaksi'!$E:$E,$E655))</f>
        <v/>
      </c>
      <c r="D655" s="5">
        <f>IF($E655="","",INDEX('Input Transaksi'!$F:$F,$E655))</f>
        <v/>
      </c>
      <c r="E655">
        <f>IFERROR(AGGREGATE(15,6,ROW('Input Transaksi'!$B$5:$B$5000)/('Input Transaksi'!$B$5:$B$5000="RINJANI WASH"),ROWS($E$5:E655)),"")</f>
        <v/>
      </c>
      <c r="F655" s="5" t="n"/>
    </row>
    <row r="656">
      <c r="A656" s="10">
        <f>IF($E656="","",INDEX('Input Transaksi'!$A:$A,$E656))</f>
        <v/>
      </c>
      <c r="B656" s="5">
        <f>IF($E656="","",INDEX('Input Transaksi'!$D:$D,$E656))</f>
        <v/>
      </c>
      <c r="C656">
        <f>IF($E656="","",INDEX('Input Transaksi'!$E:$E,$E656))</f>
        <v/>
      </c>
      <c r="D656" s="5">
        <f>IF($E656="","",INDEX('Input Transaksi'!$F:$F,$E656))</f>
        <v/>
      </c>
      <c r="E656">
        <f>IFERROR(AGGREGATE(15,6,ROW('Input Transaksi'!$B$5:$B$5000)/('Input Transaksi'!$B$5:$B$5000="RINJANI WASH"),ROWS($E$5:E656)),"")</f>
        <v/>
      </c>
      <c r="F656" s="5" t="n"/>
    </row>
    <row r="657">
      <c r="A657" s="10">
        <f>IF($E657="","",INDEX('Input Transaksi'!$A:$A,$E657))</f>
        <v/>
      </c>
      <c r="B657" s="5">
        <f>IF($E657="","",INDEX('Input Transaksi'!$D:$D,$E657))</f>
        <v/>
      </c>
      <c r="C657">
        <f>IF($E657="","",INDEX('Input Transaksi'!$E:$E,$E657))</f>
        <v/>
      </c>
      <c r="D657" s="5">
        <f>IF($E657="","",INDEX('Input Transaksi'!$F:$F,$E657))</f>
        <v/>
      </c>
      <c r="E657">
        <f>IFERROR(AGGREGATE(15,6,ROW('Input Transaksi'!$B$5:$B$5000)/('Input Transaksi'!$B$5:$B$5000="RINJANI WASH"),ROWS($E$5:E657)),"")</f>
        <v/>
      </c>
      <c r="F657" s="5" t="n"/>
    </row>
    <row r="658">
      <c r="A658" s="10">
        <f>IF($E658="","",INDEX('Input Transaksi'!$A:$A,$E658))</f>
        <v/>
      </c>
      <c r="B658" s="5">
        <f>IF($E658="","",INDEX('Input Transaksi'!$D:$D,$E658))</f>
        <v/>
      </c>
      <c r="C658">
        <f>IF($E658="","",INDEX('Input Transaksi'!$E:$E,$E658))</f>
        <v/>
      </c>
      <c r="D658" s="5">
        <f>IF($E658="","",INDEX('Input Transaksi'!$F:$F,$E658))</f>
        <v/>
      </c>
      <c r="E658">
        <f>IFERROR(AGGREGATE(15,6,ROW('Input Transaksi'!$B$5:$B$5000)/('Input Transaksi'!$B$5:$B$5000="RINJANI WASH"),ROWS($E$5:E658)),"")</f>
        <v/>
      </c>
      <c r="F658" s="5" t="n"/>
    </row>
    <row r="659">
      <c r="A659" s="10">
        <f>IF($E659="","",INDEX('Input Transaksi'!$A:$A,$E659))</f>
        <v/>
      </c>
      <c r="B659" s="5">
        <f>IF($E659="","",INDEX('Input Transaksi'!$D:$D,$E659))</f>
        <v/>
      </c>
      <c r="C659">
        <f>IF($E659="","",INDEX('Input Transaksi'!$E:$E,$E659))</f>
        <v/>
      </c>
      <c r="D659" s="5">
        <f>IF($E659="","",INDEX('Input Transaksi'!$F:$F,$E659))</f>
        <v/>
      </c>
      <c r="E659">
        <f>IFERROR(AGGREGATE(15,6,ROW('Input Transaksi'!$B$5:$B$5000)/('Input Transaksi'!$B$5:$B$5000="RINJANI WASH"),ROWS($E$5:E659)),"")</f>
        <v/>
      </c>
      <c r="F659" s="5" t="n"/>
    </row>
    <row r="660">
      <c r="A660" s="10">
        <f>IF($E660="","",INDEX('Input Transaksi'!$A:$A,$E660))</f>
        <v/>
      </c>
      <c r="B660" s="5">
        <f>IF($E660="","",INDEX('Input Transaksi'!$D:$D,$E660))</f>
        <v/>
      </c>
      <c r="C660">
        <f>IF($E660="","",INDEX('Input Transaksi'!$E:$E,$E660))</f>
        <v/>
      </c>
      <c r="D660" s="5">
        <f>IF($E660="","",INDEX('Input Transaksi'!$F:$F,$E660))</f>
        <v/>
      </c>
      <c r="E660">
        <f>IFERROR(AGGREGATE(15,6,ROW('Input Transaksi'!$B$5:$B$5000)/('Input Transaksi'!$B$5:$B$5000="RINJANI WASH"),ROWS($E$5:E660)),"")</f>
        <v/>
      </c>
      <c r="F660" s="5" t="n"/>
    </row>
    <row r="661">
      <c r="A661" s="10">
        <f>IF($E661="","",INDEX('Input Transaksi'!$A:$A,$E661))</f>
        <v/>
      </c>
      <c r="B661" s="5">
        <f>IF($E661="","",INDEX('Input Transaksi'!$D:$D,$E661))</f>
        <v/>
      </c>
      <c r="C661">
        <f>IF($E661="","",INDEX('Input Transaksi'!$E:$E,$E661))</f>
        <v/>
      </c>
      <c r="D661" s="5">
        <f>IF($E661="","",INDEX('Input Transaksi'!$F:$F,$E661))</f>
        <v/>
      </c>
      <c r="E661">
        <f>IFERROR(AGGREGATE(15,6,ROW('Input Transaksi'!$B$5:$B$5000)/('Input Transaksi'!$B$5:$B$5000="RINJANI WASH"),ROWS($E$5:E661)),"")</f>
        <v/>
      </c>
      <c r="F661" s="5" t="n"/>
    </row>
    <row r="662">
      <c r="A662" s="10">
        <f>IF($E662="","",INDEX('Input Transaksi'!$A:$A,$E662))</f>
        <v/>
      </c>
      <c r="B662" s="5">
        <f>IF($E662="","",INDEX('Input Transaksi'!$D:$D,$E662))</f>
        <v/>
      </c>
      <c r="C662">
        <f>IF($E662="","",INDEX('Input Transaksi'!$E:$E,$E662))</f>
        <v/>
      </c>
      <c r="D662" s="5">
        <f>IF($E662="","",INDEX('Input Transaksi'!$F:$F,$E662))</f>
        <v/>
      </c>
      <c r="E662">
        <f>IFERROR(AGGREGATE(15,6,ROW('Input Transaksi'!$B$5:$B$5000)/('Input Transaksi'!$B$5:$B$5000="RINJANI WASH"),ROWS($E$5:E662)),"")</f>
        <v/>
      </c>
      <c r="F662" s="5" t="n"/>
    </row>
    <row r="663">
      <c r="A663" s="10">
        <f>IF($E663="","",INDEX('Input Transaksi'!$A:$A,$E663))</f>
        <v/>
      </c>
      <c r="B663" s="5">
        <f>IF($E663="","",INDEX('Input Transaksi'!$D:$D,$E663))</f>
        <v/>
      </c>
      <c r="C663">
        <f>IF($E663="","",INDEX('Input Transaksi'!$E:$E,$E663))</f>
        <v/>
      </c>
      <c r="D663" s="5">
        <f>IF($E663="","",INDEX('Input Transaksi'!$F:$F,$E663))</f>
        <v/>
      </c>
      <c r="E663">
        <f>IFERROR(AGGREGATE(15,6,ROW('Input Transaksi'!$B$5:$B$5000)/('Input Transaksi'!$B$5:$B$5000="RINJANI WASH"),ROWS($E$5:E663)),"")</f>
        <v/>
      </c>
      <c r="F663" s="5" t="n"/>
    </row>
    <row r="664">
      <c r="A664" s="10">
        <f>IF($E664="","",INDEX('Input Transaksi'!$A:$A,$E664))</f>
        <v/>
      </c>
      <c r="B664" s="5">
        <f>IF($E664="","",INDEX('Input Transaksi'!$D:$D,$E664))</f>
        <v/>
      </c>
      <c r="C664">
        <f>IF($E664="","",INDEX('Input Transaksi'!$E:$E,$E664))</f>
        <v/>
      </c>
      <c r="D664" s="5">
        <f>IF($E664="","",INDEX('Input Transaksi'!$F:$F,$E664))</f>
        <v/>
      </c>
      <c r="E664">
        <f>IFERROR(AGGREGATE(15,6,ROW('Input Transaksi'!$B$5:$B$5000)/('Input Transaksi'!$B$5:$B$5000="RINJANI WASH"),ROWS($E$5:E664)),"")</f>
        <v/>
      </c>
      <c r="F664" s="5" t="n"/>
    </row>
    <row r="665">
      <c r="A665" s="10">
        <f>IF($E665="","",INDEX('Input Transaksi'!$A:$A,$E665))</f>
        <v/>
      </c>
      <c r="B665" s="5">
        <f>IF($E665="","",INDEX('Input Transaksi'!$D:$D,$E665))</f>
        <v/>
      </c>
      <c r="C665">
        <f>IF($E665="","",INDEX('Input Transaksi'!$E:$E,$E665))</f>
        <v/>
      </c>
      <c r="D665" s="5">
        <f>IF($E665="","",INDEX('Input Transaksi'!$F:$F,$E665))</f>
        <v/>
      </c>
      <c r="E665">
        <f>IFERROR(AGGREGATE(15,6,ROW('Input Transaksi'!$B$5:$B$5000)/('Input Transaksi'!$B$5:$B$5000="RINJANI WASH"),ROWS($E$5:E665)),"")</f>
        <v/>
      </c>
      <c r="F665" s="5" t="n"/>
    </row>
    <row r="666">
      <c r="A666" s="10">
        <f>IF($E666="","",INDEX('Input Transaksi'!$A:$A,$E666))</f>
        <v/>
      </c>
      <c r="B666" s="5">
        <f>IF($E666="","",INDEX('Input Transaksi'!$D:$D,$E666))</f>
        <v/>
      </c>
      <c r="C666">
        <f>IF($E666="","",INDEX('Input Transaksi'!$E:$E,$E666))</f>
        <v/>
      </c>
      <c r="D666" s="5">
        <f>IF($E666="","",INDEX('Input Transaksi'!$F:$F,$E666))</f>
        <v/>
      </c>
      <c r="E666">
        <f>IFERROR(AGGREGATE(15,6,ROW('Input Transaksi'!$B$5:$B$5000)/('Input Transaksi'!$B$5:$B$5000="RINJANI WASH"),ROWS($E$5:E666)),"")</f>
        <v/>
      </c>
      <c r="F666" s="5" t="n"/>
    </row>
    <row r="667">
      <c r="A667" s="10">
        <f>IF($E667="","",INDEX('Input Transaksi'!$A:$A,$E667))</f>
        <v/>
      </c>
      <c r="B667" s="5">
        <f>IF($E667="","",INDEX('Input Transaksi'!$D:$D,$E667))</f>
        <v/>
      </c>
      <c r="C667">
        <f>IF($E667="","",INDEX('Input Transaksi'!$E:$E,$E667))</f>
        <v/>
      </c>
      <c r="D667" s="5">
        <f>IF($E667="","",INDEX('Input Transaksi'!$F:$F,$E667))</f>
        <v/>
      </c>
      <c r="E667">
        <f>IFERROR(AGGREGATE(15,6,ROW('Input Transaksi'!$B$5:$B$5000)/('Input Transaksi'!$B$5:$B$5000="RINJANI WASH"),ROWS($E$5:E667)),"")</f>
        <v/>
      </c>
      <c r="F667" s="5" t="n"/>
    </row>
    <row r="668">
      <c r="A668" s="10">
        <f>IF($E668="","",INDEX('Input Transaksi'!$A:$A,$E668))</f>
        <v/>
      </c>
      <c r="B668" s="5">
        <f>IF($E668="","",INDEX('Input Transaksi'!$D:$D,$E668))</f>
        <v/>
      </c>
      <c r="C668">
        <f>IF($E668="","",INDEX('Input Transaksi'!$E:$E,$E668))</f>
        <v/>
      </c>
      <c r="D668" s="5">
        <f>IF($E668="","",INDEX('Input Transaksi'!$F:$F,$E668))</f>
        <v/>
      </c>
      <c r="E668">
        <f>IFERROR(AGGREGATE(15,6,ROW('Input Transaksi'!$B$5:$B$5000)/('Input Transaksi'!$B$5:$B$5000="RINJANI WASH"),ROWS($E$5:E668)),"")</f>
        <v/>
      </c>
      <c r="F668" s="5" t="n"/>
    </row>
    <row r="669">
      <c r="A669" s="10">
        <f>IF($E669="","",INDEX('Input Transaksi'!$A:$A,$E669))</f>
        <v/>
      </c>
      <c r="B669" s="5">
        <f>IF($E669="","",INDEX('Input Transaksi'!$D:$D,$E669))</f>
        <v/>
      </c>
      <c r="C669">
        <f>IF($E669="","",INDEX('Input Transaksi'!$E:$E,$E669))</f>
        <v/>
      </c>
      <c r="D669" s="5">
        <f>IF($E669="","",INDEX('Input Transaksi'!$F:$F,$E669))</f>
        <v/>
      </c>
      <c r="E669">
        <f>IFERROR(AGGREGATE(15,6,ROW('Input Transaksi'!$B$5:$B$5000)/('Input Transaksi'!$B$5:$B$5000="RINJANI WASH"),ROWS($E$5:E669)),"")</f>
        <v/>
      </c>
      <c r="F669" s="5" t="n"/>
    </row>
    <row r="670">
      <c r="A670" s="10">
        <f>IF($E670="","",INDEX('Input Transaksi'!$A:$A,$E670))</f>
        <v/>
      </c>
      <c r="B670" s="5">
        <f>IF($E670="","",INDEX('Input Transaksi'!$D:$D,$E670))</f>
        <v/>
      </c>
      <c r="C670">
        <f>IF($E670="","",INDEX('Input Transaksi'!$E:$E,$E670))</f>
        <v/>
      </c>
      <c r="D670" s="5">
        <f>IF($E670="","",INDEX('Input Transaksi'!$F:$F,$E670))</f>
        <v/>
      </c>
      <c r="E670">
        <f>IFERROR(AGGREGATE(15,6,ROW('Input Transaksi'!$B$5:$B$5000)/('Input Transaksi'!$B$5:$B$5000="RINJANI WASH"),ROWS($E$5:E670)),"")</f>
        <v/>
      </c>
      <c r="F670" s="5" t="n"/>
    </row>
    <row r="671">
      <c r="A671" s="10">
        <f>IF($E671="","",INDEX('Input Transaksi'!$A:$A,$E671))</f>
        <v/>
      </c>
      <c r="B671" s="5">
        <f>IF($E671="","",INDEX('Input Transaksi'!$D:$D,$E671))</f>
        <v/>
      </c>
      <c r="C671">
        <f>IF($E671="","",INDEX('Input Transaksi'!$E:$E,$E671))</f>
        <v/>
      </c>
      <c r="D671" s="5">
        <f>IF($E671="","",INDEX('Input Transaksi'!$F:$F,$E671))</f>
        <v/>
      </c>
      <c r="E671">
        <f>IFERROR(AGGREGATE(15,6,ROW('Input Transaksi'!$B$5:$B$5000)/('Input Transaksi'!$B$5:$B$5000="RINJANI WASH"),ROWS($E$5:E671)),"")</f>
        <v/>
      </c>
      <c r="F671" s="5" t="n"/>
    </row>
    <row r="672">
      <c r="A672" s="10">
        <f>IF($E672="","",INDEX('Input Transaksi'!$A:$A,$E672))</f>
        <v/>
      </c>
      <c r="B672" s="5">
        <f>IF($E672="","",INDEX('Input Transaksi'!$D:$D,$E672))</f>
        <v/>
      </c>
      <c r="C672">
        <f>IF($E672="","",INDEX('Input Transaksi'!$E:$E,$E672))</f>
        <v/>
      </c>
      <c r="D672" s="5">
        <f>IF($E672="","",INDEX('Input Transaksi'!$F:$F,$E672))</f>
        <v/>
      </c>
      <c r="E672">
        <f>IFERROR(AGGREGATE(15,6,ROW('Input Transaksi'!$B$5:$B$5000)/('Input Transaksi'!$B$5:$B$5000="RINJANI WASH"),ROWS($E$5:E672)),"")</f>
        <v/>
      </c>
      <c r="F672" s="5" t="n"/>
    </row>
    <row r="673">
      <c r="A673" s="10">
        <f>IF($E673="","",INDEX('Input Transaksi'!$A:$A,$E673))</f>
        <v/>
      </c>
      <c r="B673" s="5">
        <f>IF($E673="","",INDEX('Input Transaksi'!$D:$D,$E673))</f>
        <v/>
      </c>
      <c r="C673">
        <f>IF($E673="","",INDEX('Input Transaksi'!$E:$E,$E673))</f>
        <v/>
      </c>
      <c r="D673" s="5">
        <f>IF($E673="","",INDEX('Input Transaksi'!$F:$F,$E673))</f>
        <v/>
      </c>
      <c r="E673">
        <f>IFERROR(AGGREGATE(15,6,ROW('Input Transaksi'!$B$5:$B$5000)/('Input Transaksi'!$B$5:$B$5000="RINJANI WASH"),ROWS($E$5:E673)),"")</f>
        <v/>
      </c>
      <c r="F673" s="5" t="n"/>
    </row>
    <row r="674">
      <c r="A674" s="10">
        <f>IF($E674="","",INDEX('Input Transaksi'!$A:$A,$E674))</f>
        <v/>
      </c>
      <c r="B674" s="5">
        <f>IF($E674="","",INDEX('Input Transaksi'!$D:$D,$E674))</f>
        <v/>
      </c>
      <c r="C674">
        <f>IF($E674="","",INDEX('Input Transaksi'!$E:$E,$E674))</f>
        <v/>
      </c>
      <c r="D674" s="5">
        <f>IF($E674="","",INDEX('Input Transaksi'!$F:$F,$E674))</f>
        <v/>
      </c>
      <c r="E674">
        <f>IFERROR(AGGREGATE(15,6,ROW('Input Transaksi'!$B$5:$B$5000)/('Input Transaksi'!$B$5:$B$5000="RINJANI WASH"),ROWS($E$5:E674)),"")</f>
        <v/>
      </c>
      <c r="F674" s="5" t="n"/>
    </row>
    <row r="675">
      <c r="A675" s="10">
        <f>IF($E675="","",INDEX('Input Transaksi'!$A:$A,$E675))</f>
        <v/>
      </c>
      <c r="B675" s="5">
        <f>IF($E675="","",INDEX('Input Transaksi'!$D:$D,$E675))</f>
        <v/>
      </c>
      <c r="C675">
        <f>IF($E675="","",INDEX('Input Transaksi'!$E:$E,$E675))</f>
        <v/>
      </c>
      <c r="D675" s="5">
        <f>IF($E675="","",INDEX('Input Transaksi'!$F:$F,$E675))</f>
        <v/>
      </c>
      <c r="E675">
        <f>IFERROR(AGGREGATE(15,6,ROW('Input Transaksi'!$B$5:$B$5000)/('Input Transaksi'!$B$5:$B$5000="RINJANI WASH"),ROWS($E$5:E675)),"")</f>
        <v/>
      </c>
      <c r="F675" s="5" t="n"/>
    </row>
    <row r="676">
      <c r="A676" s="10">
        <f>IF($E676="","",INDEX('Input Transaksi'!$A:$A,$E676))</f>
        <v/>
      </c>
      <c r="B676" s="5">
        <f>IF($E676="","",INDEX('Input Transaksi'!$D:$D,$E676))</f>
        <v/>
      </c>
      <c r="C676">
        <f>IF($E676="","",INDEX('Input Transaksi'!$E:$E,$E676))</f>
        <v/>
      </c>
      <c r="D676" s="5">
        <f>IF($E676="","",INDEX('Input Transaksi'!$F:$F,$E676))</f>
        <v/>
      </c>
      <c r="E676">
        <f>IFERROR(AGGREGATE(15,6,ROW('Input Transaksi'!$B$5:$B$5000)/('Input Transaksi'!$B$5:$B$5000="RINJANI WASH"),ROWS($E$5:E676)),"")</f>
        <v/>
      </c>
      <c r="F676" s="5" t="n"/>
    </row>
    <row r="677">
      <c r="A677" s="10">
        <f>IF($E677="","",INDEX('Input Transaksi'!$A:$A,$E677))</f>
        <v/>
      </c>
      <c r="B677" s="5">
        <f>IF($E677="","",INDEX('Input Transaksi'!$D:$D,$E677))</f>
        <v/>
      </c>
      <c r="C677">
        <f>IF($E677="","",INDEX('Input Transaksi'!$E:$E,$E677))</f>
        <v/>
      </c>
      <c r="D677" s="5">
        <f>IF($E677="","",INDEX('Input Transaksi'!$F:$F,$E677))</f>
        <v/>
      </c>
      <c r="E677">
        <f>IFERROR(AGGREGATE(15,6,ROW('Input Transaksi'!$B$5:$B$5000)/('Input Transaksi'!$B$5:$B$5000="RINJANI WASH"),ROWS($E$5:E677)),"")</f>
        <v/>
      </c>
      <c r="F677" s="5" t="n"/>
    </row>
    <row r="678">
      <c r="A678" s="10">
        <f>IF($E678="","",INDEX('Input Transaksi'!$A:$A,$E678))</f>
        <v/>
      </c>
      <c r="B678" s="5">
        <f>IF($E678="","",INDEX('Input Transaksi'!$D:$D,$E678))</f>
        <v/>
      </c>
      <c r="C678">
        <f>IF($E678="","",INDEX('Input Transaksi'!$E:$E,$E678))</f>
        <v/>
      </c>
      <c r="D678" s="5">
        <f>IF($E678="","",INDEX('Input Transaksi'!$F:$F,$E678))</f>
        <v/>
      </c>
      <c r="E678">
        <f>IFERROR(AGGREGATE(15,6,ROW('Input Transaksi'!$B$5:$B$5000)/('Input Transaksi'!$B$5:$B$5000="RINJANI WASH"),ROWS($E$5:E678)),"")</f>
        <v/>
      </c>
      <c r="F678" s="5" t="n"/>
    </row>
    <row r="679">
      <c r="A679" s="10">
        <f>IF($E679="","",INDEX('Input Transaksi'!$A:$A,$E679))</f>
        <v/>
      </c>
      <c r="B679" s="5">
        <f>IF($E679="","",INDEX('Input Transaksi'!$D:$D,$E679))</f>
        <v/>
      </c>
      <c r="C679">
        <f>IF($E679="","",INDEX('Input Transaksi'!$E:$E,$E679))</f>
        <v/>
      </c>
      <c r="D679" s="5">
        <f>IF($E679="","",INDEX('Input Transaksi'!$F:$F,$E679))</f>
        <v/>
      </c>
      <c r="E679">
        <f>IFERROR(AGGREGATE(15,6,ROW('Input Transaksi'!$B$5:$B$5000)/('Input Transaksi'!$B$5:$B$5000="RINJANI WASH"),ROWS($E$5:E679)),"")</f>
        <v/>
      </c>
      <c r="F679" s="5" t="n"/>
    </row>
    <row r="680">
      <c r="A680" s="10">
        <f>IF($E680="","",INDEX('Input Transaksi'!$A:$A,$E680))</f>
        <v/>
      </c>
      <c r="B680" s="5">
        <f>IF($E680="","",INDEX('Input Transaksi'!$D:$D,$E680))</f>
        <v/>
      </c>
      <c r="C680">
        <f>IF($E680="","",INDEX('Input Transaksi'!$E:$E,$E680))</f>
        <v/>
      </c>
      <c r="D680" s="5">
        <f>IF($E680="","",INDEX('Input Transaksi'!$F:$F,$E680))</f>
        <v/>
      </c>
      <c r="E680">
        <f>IFERROR(AGGREGATE(15,6,ROW('Input Transaksi'!$B$5:$B$5000)/('Input Transaksi'!$B$5:$B$5000="RINJANI WASH"),ROWS($E$5:E680)),"")</f>
        <v/>
      </c>
      <c r="F680" s="5" t="n"/>
    </row>
    <row r="681">
      <c r="A681" s="10">
        <f>IF($E681="","",INDEX('Input Transaksi'!$A:$A,$E681))</f>
        <v/>
      </c>
      <c r="B681" s="5">
        <f>IF($E681="","",INDEX('Input Transaksi'!$D:$D,$E681))</f>
        <v/>
      </c>
      <c r="C681">
        <f>IF($E681="","",INDEX('Input Transaksi'!$E:$E,$E681))</f>
        <v/>
      </c>
      <c r="D681" s="5">
        <f>IF($E681="","",INDEX('Input Transaksi'!$F:$F,$E681))</f>
        <v/>
      </c>
      <c r="E681">
        <f>IFERROR(AGGREGATE(15,6,ROW('Input Transaksi'!$B$5:$B$5000)/('Input Transaksi'!$B$5:$B$5000="RINJANI WASH"),ROWS($E$5:E681)),"")</f>
        <v/>
      </c>
      <c r="F681" s="5" t="n"/>
    </row>
    <row r="682">
      <c r="A682" s="10">
        <f>IF($E682="","",INDEX('Input Transaksi'!$A:$A,$E682))</f>
        <v/>
      </c>
      <c r="B682" s="5">
        <f>IF($E682="","",INDEX('Input Transaksi'!$D:$D,$E682))</f>
        <v/>
      </c>
      <c r="C682">
        <f>IF($E682="","",INDEX('Input Transaksi'!$E:$E,$E682))</f>
        <v/>
      </c>
      <c r="D682" s="5">
        <f>IF($E682="","",INDEX('Input Transaksi'!$F:$F,$E682))</f>
        <v/>
      </c>
      <c r="E682">
        <f>IFERROR(AGGREGATE(15,6,ROW('Input Transaksi'!$B$5:$B$5000)/('Input Transaksi'!$B$5:$B$5000="RINJANI WASH"),ROWS($E$5:E682)),"")</f>
        <v/>
      </c>
      <c r="F682" s="5" t="n"/>
    </row>
    <row r="683">
      <c r="A683" s="10">
        <f>IF($E683="","",INDEX('Input Transaksi'!$A:$A,$E683))</f>
        <v/>
      </c>
      <c r="B683" s="5">
        <f>IF($E683="","",INDEX('Input Transaksi'!$D:$D,$E683))</f>
        <v/>
      </c>
      <c r="C683">
        <f>IF($E683="","",INDEX('Input Transaksi'!$E:$E,$E683))</f>
        <v/>
      </c>
      <c r="D683" s="5">
        <f>IF($E683="","",INDEX('Input Transaksi'!$F:$F,$E683))</f>
        <v/>
      </c>
      <c r="E683">
        <f>IFERROR(AGGREGATE(15,6,ROW('Input Transaksi'!$B$5:$B$5000)/('Input Transaksi'!$B$5:$B$5000="RINJANI WASH"),ROWS($E$5:E683)),"")</f>
        <v/>
      </c>
      <c r="F683" s="5" t="n"/>
    </row>
    <row r="684">
      <c r="A684" s="10">
        <f>IF($E684="","",INDEX('Input Transaksi'!$A:$A,$E684))</f>
        <v/>
      </c>
      <c r="B684" s="5">
        <f>IF($E684="","",INDEX('Input Transaksi'!$D:$D,$E684))</f>
        <v/>
      </c>
      <c r="C684">
        <f>IF($E684="","",INDEX('Input Transaksi'!$E:$E,$E684))</f>
        <v/>
      </c>
      <c r="D684" s="5">
        <f>IF($E684="","",INDEX('Input Transaksi'!$F:$F,$E684))</f>
        <v/>
      </c>
      <c r="E684">
        <f>IFERROR(AGGREGATE(15,6,ROW('Input Transaksi'!$B$5:$B$5000)/('Input Transaksi'!$B$5:$B$5000="RINJANI WASH"),ROWS($E$5:E684)),"")</f>
        <v/>
      </c>
      <c r="F684" s="5" t="n"/>
    </row>
    <row r="685">
      <c r="A685" s="10">
        <f>IF($E685="","",INDEX('Input Transaksi'!$A:$A,$E685))</f>
        <v/>
      </c>
      <c r="B685" s="5">
        <f>IF($E685="","",INDEX('Input Transaksi'!$D:$D,$E685))</f>
        <v/>
      </c>
      <c r="C685">
        <f>IF($E685="","",INDEX('Input Transaksi'!$E:$E,$E685))</f>
        <v/>
      </c>
      <c r="D685" s="5">
        <f>IF($E685="","",INDEX('Input Transaksi'!$F:$F,$E685))</f>
        <v/>
      </c>
      <c r="E685">
        <f>IFERROR(AGGREGATE(15,6,ROW('Input Transaksi'!$B$5:$B$5000)/('Input Transaksi'!$B$5:$B$5000="RINJANI WASH"),ROWS($E$5:E685)),"")</f>
        <v/>
      </c>
      <c r="F685" s="5" t="n"/>
    </row>
    <row r="686">
      <c r="A686" s="10">
        <f>IF($E686="","",INDEX('Input Transaksi'!$A:$A,$E686))</f>
        <v/>
      </c>
      <c r="B686" s="5">
        <f>IF($E686="","",INDEX('Input Transaksi'!$D:$D,$E686))</f>
        <v/>
      </c>
      <c r="C686">
        <f>IF($E686="","",INDEX('Input Transaksi'!$E:$E,$E686))</f>
        <v/>
      </c>
      <c r="D686" s="5">
        <f>IF($E686="","",INDEX('Input Transaksi'!$F:$F,$E686))</f>
        <v/>
      </c>
      <c r="E686">
        <f>IFERROR(AGGREGATE(15,6,ROW('Input Transaksi'!$B$5:$B$5000)/('Input Transaksi'!$B$5:$B$5000="RINJANI WASH"),ROWS($E$5:E686)),"")</f>
        <v/>
      </c>
      <c r="F686" s="5" t="n"/>
    </row>
    <row r="687">
      <c r="A687" s="10">
        <f>IF($E687="","",INDEX('Input Transaksi'!$A:$A,$E687))</f>
        <v/>
      </c>
      <c r="B687" s="5">
        <f>IF($E687="","",INDEX('Input Transaksi'!$D:$D,$E687))</f>
        <v/>
      </c>
      <c r="C687">
        <f>IF($E687="","",INDEX('Input Transaksi'!$E:$E,$E687))</f>
        <v/>
      </c>
      <c r="D687" s="5">
        <f>IF($E687="","",INDEX('Input Transaksi'!$F:$F,$E687))</f>
        <v/>
      </c>
      <c r="E687">
        <f>IFERROR(AGGREGATE(15,6,ROW('Input Transaksi'!$B$5:$B$5000)/('Input Transaksi'!$B$5:$B$5000="RINJANI WASH"),ROWS($E$5:E687)),"")</f>
        <v/>
      </c>
      <c r="F687" s="5" t="n"/>
    </row>
    <row r="688">
      <c r="A688" s="10">
        <f>IF($E688="","",INDEX('Input Transaksi'!$A:$A,$E688))</f>
        <v/>
      </c>
      <c r="B688" s="5">
        <f>IF($E688="","",INDEX('Input Transaksi'!$D:$D,$E688))</f>
        <v/>
      </c>
      <c r="C688">
        <f>IF($E688="","",INDEX('Input Transaksi'!$E:$E,$E688))</f>
        <v/>
      </c>
      <c r="D688" s="5">
        <f>IF($E688="","",INDEX('Input Transaksi'!$F:$F,$E688))</f>
        <v/>
      </c>
      <c r="E688">
        <f>IFERROR(AGGREGATE(15,6,ROW('Input Transaksi'!$B$5:$B$5000)/('Input Transaksi'!$B$5:$B$5000="RINJANI WASH"),ROWS($E$5:E688)),"")</f>
        <v/>
      </c>
      <c r="F688" s="5" t="n"/>
    </row>
    <row r="689">
      <c r="A689" s="10">
        <f>IF($E689="","",INDEX('Input Transaksi'!$A:$A,$E689))</f>
        <v/>
      </c>
      <c r="B689" s="5">
        <f>IF($E689="","",INDEX('Input Transaksi'!$D:$D,$E689))</f>
        <v/>
      </c>
      <c r="C689">
        <f>IF($E689="","",INDEX('Input Transaksi'!$E:$E,$E689))</f>
        <v/>
      </c>
      <c r="D689" s="5">
        <f>IF($E689="","",INDEX('Input Transaksi'!$F:$F,$E689))</f>
        <v/>
      </c>
      <c r="E689">
        <f>IFERROR(AGGREGATE(15,6,ROW('Input Transaksi'!$B$5:$B$5000)/('Input Transaksi'!$B$5:$B$5000="RINJANI WASH"),ROWS($E$5:E689)),"")</f>
        <v/>
      </c>
      <c r="F689" s="5" t="n"/>
    </row>
    <row r="690">
      <c r="A690" s="10">
        <f>IF($E690="","",INDEX('Input Transaksi'!$A:$A,$E690))</f>
        <v/>
      </c>
      <c r="B690" s="5">
        <f>IF($E690="","",INDEX('Input Transaksi'!$D:$D,$E690))</f>
        <v/>
      </c>
      <c r="C690">
        <f>IF($E690="","",INDEX('Input Transaksi'!$E:$E,$E690))</f>
        <v/>
      </c>
      <c r="D690" s="5">
        <f>IF($E690="","",INDEX('Input Transaksi'!$F:$F,$E690))</f>
        <v/>
      </c>
      <c r="E690">
        <f>IFERROR(AGGREGATE(15,6,ROW('Input Transaksi'!$B$5:$B$5000)/('Input Transaksi'!$B$5:$B$5000="RINJANI WASH"),ROWS($E$5:E690)),"")</f>
        <v/>
      </c>
      <c r="F690" s="5" t="n"/>
    </row>
    <row r="691">
      <c r="A691" s="10">
        <f>IF($E691="","",INDEX('Input Transaksi'!$A:$A,$E691))</f>
        <v/>
      </c>
      <c r="B691" s="5">
        <f>IF($E691="","",INDEX('Input Transaksi'!$D:$D,$E691))</f>
        <v/>
      </c>
      <c r="C691">
        <f>IF($E691="","",INDEX('Input Transaksi'!$E:$E,$E691))</f>
        <v/>
      </c>
      <c r="D691" s="5">
        <f>IF($E691="","",INDEX('Input Transaksi'!$F:$F,$E691))</f>
        <v/>
      </c>
      <c r="E691">
        <f>IFERROR(AGGREGATE(15,6,ROW('Input Transaksi'!$B$5:$B$5000)/('Input Transaksi'!$B$5:$B$5000="RINJANI WASH"),ROWS($E$5:E691)),"")</f>
        <v/>
      </c>
      <c r="F691" s="5" t="n"/>
    </row>
    <row r="692">
      <c r="A692" s="10">
        <f>IF($E692="","",INDEX('Input Transaksi'!$A:$A,$E692))</f>
        <v/>
      </c>
      <c r="B692" s="5">
        <f>IF($E692="","",INDEX('Input Transaksi'!$D:$D,$E692))</f>
        <v/>
      </c>
      <c r="C692">
        <f>IF($E692="","",INDEX('Input Transaksi'!$E:$E,$E692))</f>
        <v/>
      </c>
      <c r="D692" s="5">
        <f>IF($E692="","",INDEX('Input Transaksi'!$F:$F,$E692))</f>
        <v/>
      </c>
      <c r="E692">
        <f>IFERROR(AGGREGATE(15,6,ROW('Input Transaksi'!$B$5:$B$5000)/('Input Transaksi'!$B$5:$B$5000="RINJANI WASH"),ROWS($E$5:E692)),"")</f>
        <v/>
      </c>
      <c r="F692" s="5" t="n"/>
    </row>
    <row r="693">
      <c r="A693" s="10">
        <f>IF($E693="","",INDEX('Input Transaksi'!$A:$A,$E693))</f>
        <v/>
      </c>
      <c r="B693" s="5">
        <f>IF($E693="","",INDEX('Input Transaksi'!$D:$D,$E693))</f>
        <v/>
      </c>
      <c r="C693">
        <f>IF($E693="","",INDEX('Input Transaksi'!$E:$E,$E693))</f>
        <v/>
      </c>
      <c r="D693" s="5">
        <f>IF($E693="","",INDEX('Input Transaksi'!$F:$F,$E693))</f>
        <v/>
      </c>
      <c r="E693">
        <f>IFERROR(AGGREGATE(15,6,ROW('Input Transaksi'!$B$5:$B$5000)/('Input Transaksi'!$B$5:$B$5000="RINJANI WASH"),ROWS($E$5:E693)),"")</f>
        <v/>
      </c>
      <c r="F693" s="5" t="n"/>
    </row>
    <row r="694">
      <c r="A694" s="10">
        <f>IF($E694="","",INDEX('Input Transaksi'!$A:$A,$E694))</f>
        <v/>
      </c>
      <c r="B694" s="5">
        <f>IF($E694="","",INDEX('Input Transaksi'!$D:$D,$E694))</f>
        <v/>
      </c>
      <c r="C694">
        <f>IF($E694="","",INDEX('Input Transaksi'!$E:$E,$E694))</f>
        <v/>
      </c>
      <c r="D694" s="5">
        <f>IF($E694="","",INDEX('Input Transaksi'!$F:$F,$E694))</f>
        <v/>
      </c>
      <c r="E694">
        <f>IFERROR(AGGREGATE(15,6,ROW('Input Transaksi'!$B$5:$B$5000)/('Input Transaksi'!$B$5:$B$5000="RINJANI WASH"),ROWS($E$5:E694)),"")</f>
        <v/>
      </c>
      <c r="F694" s="5" t="n"/>
    </row>
    <row r="695">
      <c r="A695" s="10">
        <f>IF($E695="","",INDEX('Input Transaksi'!$A:$A,$E695))</f>
        <v/>
      </c>
      <c r="B695" s="5">
        <f>IF($E695="","",INDEX('Input Transaksi'!$D:$D,$E695))</f>
        <v/>
      </c>
      <c r="C695">
        <f>IF($E695="","",INDEX('Input Transaksi'!$E:$E,$E695))</f>
        <v/>
      </c>
      <c r="D695" s="5">
        <f>IF($E695="","",INDEX('Input Transaksi'!$F:$F,$E695))</f>
        <v/>
      </c>
      <c r="E695">
        <f>IFERROR(AGGREGATE(15,6,ROW('Input Transaksi'!$B$5:$B$5000)/('Input Transaksi'!$B$5:$B$5000="RINJANI WASH"),ROWS($E$5:E695)),"")</f>
        <v/>
      </c>
      <c r="F695" s="5" t="n"/>
    </row>
    <row r="696">
      <c r="A696" s="10">
        <f>IF($E696="","",INDEX('Input Transaksi'!$A:$A,$E696))</f>
        <v/>
      </c>
      <c r="B696" s="5">
        <f>IF($E696="","",INDEX('Input Transaksi'!$D:$D,$E696))</f>
        <v/>
      </c>
      <c r="C696">
        <f>IF($E696="","",INDEX('Input Transaksi'!$E:$E,$E696))</f>
        <v/>
      </c>
      <c r="D696" s="5">
        <f>IF($E696="","",INDEX('Input Transaksi'!$F:$F,$E696))</f>
        <v/>
      </c>
      <c r="E696">
        <f>IFERROR(AGGREGATE(15,6,ROW('Input Transaksi'!$B$5:$B$5000)/('Input Transaksi'!$B$5:$B$5000="RINJANI WASH"),ROWS($E$5:E696)),"")</f>
        <v/>
      </c>
      <c r="F696" s="5" t="n"/>
    </row>
    <row r="697">
      <c r="A697" s="10">
        <f>IF($E697="","",INDEX('Input Transaksi'!$A:$A,$E697))</f>
        <v/>
      </c>
      <c r="B697" s="5">
        <f>IF($E697="","",INDEX('Input Transaksi'!$D:$D,$E697))</f>
        <v/>
      </c>
      <c r="C697">
        <f>IF($E697="","",INDEX('Input Transaksi'!$E:$E,$E697))</f>
        <v/>
      </c>
      <c r="D697" s="5">
        <f>IF($E697="","",INDEX('Input Transaksi'!$F:$F,$E697))</f>
        <v/>
      </c>
      <c r="E697">
        <f>IFERROR(AGGREGATE(15,6,ROW('Input Transaksi'!$B$5:$B$5000)/('Input Transaksi'!$B$5:$B$5000="RINJANI WASH"),ROWS($E$5:E697)),"")</f>
        <v/>
      </c>
      <c r="F697" s="5" t="n"/>
    </row>
    <row r="698">
      <c r="A698" s="10">
        <f>IF($E698="","",INDEX('Input Transaksi'!$A:$A,$E698))</f>
        <v/>
      </c>
      <c r="B698" s="5">
        <f>IF($E698="","",INDEX('Input Transaksi'!$D:$D,$E698))</f>
        <v/>
      </c>
      <c r="C698">
        <f>IF($E698="","",INDEX('Input Transaksi'!$E:$E,$E698))</f>
        <v/>
      </c>
      <c r="D698" s="5">
        <f>IF($E698="","",INDEX('Input Transaksi'!$F:$F,$E698))</f>
        <v/>
      </c>
      <c r="E698">
        <f>IFERROR(AGGREGATE(15,6,ROW('Input Transaksi'!$B$5:$B$5000)/('Input Transaksi'!$B$5:$B$5000="RINJANI WASH"),ROWS($E$5:E698)),"")</f>
        <v/>
      </c>
      <c r="F698" s="5" t="n"/>
    </row>
    <row r="699">
      <c r="A699" s="10">
        <f>IF($E699="","",INDEX('Input Transaksi'!$A:$A,$E699))</f>
        <v/>
      </c>
      <c r="B699" s="5">
        <f>IF($E699="","",INDEX('Input Transaksi'!$D:$D,$E699))</f>
        <v/>
      </c>
      <c r="C699">
        <f>IF($E699="","",INDEX('Input Transaksi'!$E:$E,$E699))</f>
        <v/>
      </c>
      <c r="D699" s="5">
        <f>IF($E699="","",INDEX('Input Transaksi'!$F:$F,$E699))</f>
        <v/>
      </c>
      <c r="E699">
        <f>IFERROR(AGGREGATE(15,6,ROW('Input Transaksi'!$B$5:$B$5000)/('Input Transaksi'!$B$5:$B$5000="RINJANI WASH"),ROWS($E$5:E699)),"")</f>
        <v/>
      </c>
      <c r="F699" s="5" t="n"/>
    </row>
    <row r="700">
      <c r="A700" s="10">
        <f>IF($E700="","",INDEX('Input Transaksi'!$A:$A,$E700))</f>
        <v/>
      </c>
      <c r="B700" s="5">
        <f>IF($E700="","",INDEX('Input Transaksi'!$D:$D,$E700))</f>
        <v/>
      </c>
      <c r="C700">
        <f>IF($E700="","",INDEX('Input Transaksi'!$E:$E,$E700))</f>
        <v/>
      </c>
      <c r="D700" s="5">
        <f>IF($E700="","",INDEX('Input Transaksi'!$F:$F,$E700))</f>
        <v/>
      </c>
      <c r="E700">
        <f>IFERROR(AGGREGATE(15,6,ROW('Input Transaksi'!$B$5:$B$5000)/('Input Transaksi'!$B$5:$B$5000="RINJANI WASH"),ROWS($E$5:E700)),"")</f>
        <v/>
      </c>
      <c r="F700" s="5" t="n"/>
    </row>
    <row r="701">
      <c r="A701" s="10">
        <f>IF($E701="","",INDEX('Input Transaksi'!$A:$A,$E701))</f>
        <v/>
      </c>
      <c r="B701" s="5">
        <f>IF($E701="","",INDEX('Input Transaksi'!$D:$D,$E701))</f>
        <v/>
      </c>
      <c r="C701">
        <f>IF($E701="","",INDEX('Input Transaksi'!$E:$E,$E701))</f>
        <v/>
      </c>
      <c r="D701" s="5">
        <f>IF($E701="","",INDEX('Input Transaksi'!$F:$F,$E701))</f>
        <v/>
      </c>
      <c r="E701">
        <f>IFERROR(AGGREGATE(15,6,ROW('Input Transaksi'!$B$5:$B$5000)/('Input Transaksi'!$B$5:$B$5000="RINJANI WASH"),ROWS($E$5:E701)),"")</f>
        <v/>
      </c>
      <c r="F701" s="5" t="n"/>
    </row>
    <row r="702">
      <c r="A702" s="10">
        <f>IF($E702="","",INDEX('Input Transaksi'!$A:$A,$E702))</f>
        <v/>
      </c>
      <c r="B702" s="5">
        <f>IF($E702="","",INDEX('Input Transaksi'!$D:$D,$E702))</f>
        <v/>
      </c>
      <c r="C702">
        <f>IF($E702="","",INDEX('Input Transaksi'!$E:$E,$E702))</f>
        <v/>
      </c>
      <c r="D702" s="5">
        <f>IF($E702="","",INDEX('Input Transaksi'!$F:$F,$E702))</f>
        <v/>
      </c>
      <c r="E702">
        <f>IFERROR(AGGREGATE(15,6,ROW('Input Transaksi'!$B$5:$B$5000)/('Input Transaksi'!$B$5:$B$5000="RINJANI WASH"),ROWS($E$5:E702)),"")</f>
        <v/>
      </c>
      <c r="F702" s="5" t="n"/>
    </row>
    <row r="703">
      <c r="A703" s="10">
        <f>IF($E703="","",INDEX('Input Transaksi'!$A:$A,$E703))</f>
        <v/>
      </c>
      <c r="B703" s="5">
        <f>IF($E703="","",INDEX('Input Transaksi'!$D:$D,$E703))</f>
        <v/>
      </c>
      <c r="C703">
        <f>IF($E703="","",INDEX('Input Transaksi'!$E:$E,$E703))</f>
        <v/>
      </c>
      <c r="D703" s="5">
        <f>IF($E703="","",INDEX('Input Transaksi'!$F:$F,$E703))</f>
        <v/>
      </c>
      <c r="E703">
        <f>IFERROR(AGGREGATE(15,6,ROW('Input Transaksi'!$B$5:$B$5000)/('Input Transaksi'!$B$5:$B$5000="RINJANI WASH"),ROWS($E$5:E703)),"")</f>
        <v/>
      </c>
      <c r="F703" s="5" t="n"/>
    </row>
    <row r="704">
      <c r="A704" s="10">
        <f>IF($E704="","",INDEX('Input Transaksi'!$A:$A,$E704))</f>
        <v/>
      </c>
      <c r="B704" s="5">
        <f>IF($E704="","",INDEX('Input Transaksi'!$D:$D,$E704))</f>
        <v/>
      </c>
      <c r="C704">
        <f>IF($E704="","",INDEX('Input Transaksi'!$E:$E,$E704))</f>
        <v/>
      </c>
      <c r="D704" s="5">
        <f>IF($E704="","",INDEX('Input Transaksi'!$F:$F,$E704))</f>
        <v/>
      </c>
      <c r="E704">
        <f>IFERROR(AGGREGATE(15,6,ROW('Input Transaksi'!$B$5:$B$5000)/('Input Transaksi'!$B$5:$B$5000="RINJANI WASH"),ROWS($E$5:E704)),"")</f>
        <v/>
      </c>
      <c r="F704" s="5" t="n"/>
    </row>
    <row r="705">
      <c r="A705" s="10">
        <f>IF($E705="","",INDEX('Input Transaksi'!$A:$A,$E705))</f>
        <v/>
      </c>
      <c r="B705" s="5">
        <f>IF($E705="","",INDEX('Input Transaksi'!$D:$D,$E705))</f>
        <v/>
      </c>
      <c r="C705">
        <f>IF($E705="","",INDEX('Input Transaksi'!$E:$E,$E705))</f>
        <v/>
      </c>
      <c r="D705" s="5">
        <f>IF($E705="","",INDEX('Input Transaksi'!$F:$F,$E705))</f>
        <v/>
      </c>
      <c r="E705">
        <f>IFERROR(AGGREGATE(15,6,ROW('Input Transaksi'!$B$5:$B$5000)/('Input Transaksi'!$B$5:$B$5000="RINJANI WASH"),ROWS($E$5:E705)),"")</f>
        <v/>
      </c>
      <c r="F705" s="5" t="n"/>
    </row>
    <row r="706">
      <c r="A706" s="10">
        <f>IF($E706="","",INDEX('Input Transaksi'!$A:$A,$E706))</f>
        <v/>
      </c>
      <c r="B706" s="5">
        <f>IF($E706="","",INDEX('Input Transaksi'!$D:$D,$E706))</f>
        <v/>
      </c>
      <c r="C706">
        <f>IF($E706="","",INDEX('Input Transaksi'!$E:$E,$E706))</f>
        <v/>
      </c>
      <c r="D706" s="5">
        <f>IF($E706="","",INDEX('Input Transaksi'!$F:$F,$E706))</f>
        <v/>
      </c>
      <c r="E706">
        <f>IFERROR(AGGREGATE(15,6,ROW('Input Transaksi'!$B$5:$B$5000)/('Input Transaksi'!$B$5:$B$5000="RINJANI WASH"),ROWS($E$5:E706)),"")</f>
        <v/>
      </c>
      <c r="F706" s="5" t="n"/>
    </row>
    <row r="707">
      <c r="A707" s="10">
        <f>IF($E707="","",INDEX('Input Transaksi'!$A:$A,$E707))</f>
        <v/>
      </c>
      <c r="B707" s="5">
        <f>IF($E707="","",INDEX('Input Transaksi'!$D:$D,$E707))</f>
        <v/>
      </c>
      <c r="C707">
        <f>IF($E707="","",INDEX('Input Transaksi'!$E:$E,$E707))</f>
        <v/>
      </c>
      <c r="D707" s="5">
        <f>IF($E707="","",INDEX('Input Transaksi'!$F:$F,$E707))</f>
        <v/>
      </c>
      <c r="E707">
        <f>IFERROR(AGGREGATE(15,6,ROW('Input Transaksi'!$B$5:$B$5000)/('Input Transaksi'!$B$5:$B$5000="RINJANI WASH"),ROWS($E$5:E707)),"")</f>
        <v/>
      </c>
      <c r="F707" s="5" t="n"/>
    </row>
    <row r="708">
      <c r="A708" s="10">
        <f>IF($E708="","",INDEX('Input Transaksi'!$A:$A,$E708))</f>
        <v/>
      </c>
      <c r="B708" s="5">
        <f>IF($E708="","",INDEX('Input Transaksi'!$D:$D,$E708))</f>
        <v/>
      </c>
      <c r="C708">
        <f>IF($E708="","",INDEX('Input Transaksi'!$E:$E,$E708))</f>
        <v/>
      </c>
      <c r="D708" s="5">
        <f>IF($E708="","",INDEX('Input Transaksi'!$F:$F,$E708))</f>
        <v/>
      </c>
      <c r="E708">
        <f>IFERROR(AGGREGATE(15,6,ROW('Input Transaksi'!$B$5:$B$5000)/('Input Transaksi'!$B$5:$B$5000="RINJANI WASH"),ROWS($E$5:E708)),"")</f>
        <v/>
      </c>
      <c r="F708" s="5" t="n"/>
    </row>
    <row r="709">
      <c r="A709" s="10">
        <f>IF($E709="","",INDEX('Input Transaksi'!$A:$A,$E709))</f>
        <v/>
      </c>
      <c r="B709" s="5">
        <f>IF($E709="","",INDEX('Input Transaksi'!$D:$D,$E709))</f>
        <v/>
      </c>
      <c r="C709">
        <f>IF($E709="","",INDEX('Input Transaksi'!$E:$E,$E709))</f>
        <v/>
      </c>
      <c r="D709" s="5">
        <f>IF($E709="","",INDEX('Input Transaksi'!$F:$F,$E709))</f>
        <v/>
      </c>
      <c r="E709">
        <f>IFERROR(AGGREGATE(15,6,ROW('Input Transaksi'!$B$5:$B$5000)/('Input Transaksi'!$B$5:$B$5000="RINJANI WASH"),ROWS($E$5:E709)),"")</f>
        <v/>
      </c>
      <c r="F709" s="5" t="n"/>
    </row>
    <row r="710">
      <c r="A710" s="10">
        <f>IF($E710="","",INDEX('Input Transaksi'!$A:$A,$E710))</f>
        <v/>
      </c>
      <c r="B710" s="5">
        <f>IF($E710="","",INDEX('Input Transaksi'!$D:$D,$E710))</f>
        <v/>
      </c>
      <c r="C710">
        <f>IF($E710="","",INDEX('Input Transaksi'!$E:$E,$E710))</f>
        <v/>
      </c>
      <c r="D710" s="5">
        <f>IF($E710="","",INDEX('Input Transaksi'!$F:$F,$E710))</f>
        <v/>
      </c>
      <c r="E710">
        <f>IFERROR(AGGREGATE(15,6,ROW('Input Transaksi'!$B$5:$B$5000)/('Input Transaksi'!$B$5:$B$5000="RINJANI WASH"),ROWS($E$5:E710)),"")</f>
        <v/>
      </c>
      <c r="F710" s="5" t="n"/>
    </row>
    <row r="711">
      <c r="A711" s="10">
        <f>IF($E711="","",INDEX('Input Transaksi'!$A:$A,$E711))</f>
        <v/>
      </c>
      <c r="B711" s="5">
        <f>IF($E711="","",INDEX('Input Transaksi'!$D:$D,$E711))</f>
        <v/>
      </c>
      <c r="C711">
        <f>IF($E711="","",INDEX('Input Transaksi'!$E:$E,$E711))</f>
        <v/>
      </c>
      <c r="D711" s="5">
        <f>IF($E711="","",INDEX('Input Transaksi'!$F:$F,$E711))</f>
        <v/>
      </c>
      <c r="E711">
        <f>IFERROR(AGGREGATE(15,6,ROW('Input Transaksi'!$B$5:$B$5000)/('Input Transaksi'!$B$5:$B$5000="RINJANI WASH"),ROWS($E$5:E711)),"")</f>
        <v/>
      </c>
      <c r="F711" s="5" t="n"/>
    </row>
    <row r="712">
      <c r="A712" s="10">
        <f>IF($E712="","",INDEX('Input Transaksi'!$A:$A,$E712))</f>
        <v/>
      </c>
      <c r="B712" s="5">
        <f>IF($E712="","",INDEX('Input Transaksi'!$D:$D,$E712))</f>
        <v/>
      </c>
      <c r="C712">
        <f>IF($E712="","",INDEX('Input Transaksi'!$E:$E,$E712))</f>
        <v/>
      </c>
      <c r="D712" s="5">
        <f>IF($E712="","",INDEX('Input Transaksi'!$F:$F,$E712))</f>
        <v/>
      </c>
      <c r="E712">
        <f>IFERROR(AGGREGATE(15,6,ROW('Input Transaksi'!$B$5:$B$5000)/('Input Transaksi'!$B$5:$B$5000="RINJANI WASH"),ROWS($E$5:E712)),"")</f>
        <v/>
      </c>
      <c r="F712" s="5" t="n"/>
    </row>
    <row r="713">
      <c r="A713" s="10">
        <f>IF($E713="","",INDEX('Input Transaksi'!$A:$A,$E713))</f>
        <v/>
      </c>
      <c r="B713" s="5">
        <f>IF($E713="","",INDEX('Input Transaksi'!$D:$D,$E713))</f>
        <v/>
      </c>
      <c r="C713">
        <f>IF($E713="","",INDEX('Input Transaksi'!$E:$E,$E713))</f>
        <v/>
      </c>
      <c r="D713" s="5">
        <f>IF($E713="","",INDEX('Input Transaksi'!$F:$F,$E713))</f>
        <v/>
      </c>
      <c r="E713">
        <f>IFERROR(AGGREGATE(15,6,ROW('Input Transaksi'!$B$5:$B$5000)/('Input Transaksi'!$B$5:$B$5000="RINJANI WASH"),ROWS($E$5:E713)),"")</f>
        <v/>
      </c>
      <c r="F713" s="5" t="n"/>
    </row>
    <row r="714">
      <c r="A714" s="10">
        <f>IF($E714="","",INDEX('Input Transaksi'!$A:$A,$E714))</f>
        <v/>
      </c>
      <c r="B714" s="5">
        <f>IF($E714="","",INDEX('Input Transaksi'!$D:$D,$E714))</f>
        <v/>
      </c>
      <c r="C714">
        <f>IF($E714="","",INDEX('Input Transaksi'!$E:$E,$E714))</f>
        <v/>
      </c>
      <c r="D714" s="5">
        <f>IF($E714="","",INDEX('Input Transaksi'!$F:$F,$E714))</f>
        <v/>
      </c>
      <c r="E714">
        <f>IFERROR(AGGREGATE(15,6,ROW('Input Transaksi'!$B$5:$B$5000)/('Input Transaksi'!$B$5:$B$5000="RINJANI WASH"),ROWS($E$5:E714)),"")</f>
        <v/>
      </c>
      <c r="F714" s="5" t="n"/>
    </row>
    <row r="715">
      <c r="A715" s="10">
        <f>IF($E715="","",INDEX('Input Transaksi'!$A:$A,$E715))</f>
        <v/>
      </c>
      <c r="B715" s="5">
        <f>IF($E715="","",INDEX('Input Transaksi'!$D:$D,$E715))</f>
        <v/>
      </c>
      <c r="C715">
        <f>IF($E715="","",INDEX('Input Transaksi'!$E:$E,$E715))</f>
        <v/>
      </c>
      <c r="D715" s="5">
        <f>IF($E715="","",INDEX('Input Transaksi'!$F:$F,$E715))</f>
        <v/>
      </c>
      <c r="E715">
        <f>IFERROR(AGGREGATE(15,6,ROW('Input Transaksi'!$B$5:$B$5000)/('Input Transaksi'!$B$5:$B$5000="RINJANI WASH"),ROWS($E$5:E715)),"")</f>
        <v/>
      </c>
      <c r="F715" s="5" t="n"/>
    </row>
    <row r="716">
      <c r="A716" s="10">
        <f>IF($E716="","",INDEX('Input Transaksi'!$A:$A,$E716))</f>
        <v/>
      </c>
      <c r="B716" s="5">
        <f>IF($E716="","",INDEX('Input Transaksi'!$D:$D,$E716))</f>
        <v/>
      </c>
      <c r="C716">
        <f>IF($E716="","",INDEX('Input Transaksi'!$E:$E,$E716))</f>
        <v/>
      </c>
      <c r="D716" s="5">
        <f>IF($E716="","",INDEX('Input Transaksi'!$F:$F,$E716))</f>
        <v/>
      </c>
      <c r="E716">
        <f>IFERROR(AGGREGATE(15,6,ROW('Input Transaksi'!$B$5:$B$5000)/('Input Transaksi'!$B$5:$B$5000="RINJANI WASH"),ROWS($E$5:E716)),"")</f>
        <v/>
      </c>
      <c r="F716" s="5" t="n"/>
    </row>
    <row r="717">
      <c r="A717" s="10">
        <f>IF($E717="","",INDEX('Input Transaksi'!$A:$A,$E717))</f>
        <v/>
      </c>
      <c r="B717" s="5">
        <f>IF($E717="","",INDEX('Input Transaksi'!$D:$D,$E717))</f>
        <v/>
      </c>
      <c r="C717">
        <f>IF($E717="","",INDEX('Input Transaksi'!$E:$E,$E717))</f>
        <v/>
      </c>
      <c r="D717" s="5">
        <f>IF($E717="","",INDEX('Input Transaksi'!$F:$F,$E717))</f>
        <v/>
      </c>
      <c r="E717">
        <f>IFERROR(AGGREGATE(15,6,ROW('Input Transaksi'!$B$5:$B$5000)/('Input Transaksi'!$B$5:$B$5000="RINJANI WASH"),ROWS($E$5:E717)),"")</f>
        <v/>
      </c>
      <c r="F717" s="5" t="n"/>
    </row>
    <row r="718">
      <c r="A718" s="10">
        <f>IF($E718="","",INDEX('Input Transaksi'!$A:$A,$E718))</f>
        <v/>
      </c>
      <c r="B718" s="5">
        <f>IF($E718="","",INDEX('Input Transaksi'!$D:$D,$E718))</f>
        <v/>
      </c>
      <c r="C718">
        <f>IF($E718="","",INDEX('Input Transaksi'!$E:$E,$E718))</f>
        <v/>
      </c>
      <c r="D718" s="5">
        <f>IF($E718="","",INDEX('Input Transaksi'!$F:$F,$E718))</f>
        <v/>
      </c>
      <c r="E718">
        <f>IFERROR(AGGREGATE(15,6,ROW('Input Transaksi'!$B$5:$B$5000)/('Input Transaksi'!$B$5:$B$5000="RINJANI WASH"),ROWS($E$5:E718)),"")</f>
        <v/>
      </c>
      <c r="F718" s="5" t="n"/>
    </row>
    <row r="719">
      <c r="A719" s="10">
        <f>IF($E719="","",INDEX('Input Transaksi'!$A:$A,$E719))</f>
        <v/>
      </c>
      <c r="B719" s="5">
        <f>IF($E719="","",INDEX('Input Transaksi'!$D:$D,$E719))</f>
        <v/>
      </c>
      <c r="C719">
        <f>IF($E719="","",INDEX('Input Transaksi'!$E:$E,$E719))</f>
        <v/>
      </c>
      <c r="D719" s="5">
        <f>IF($E719="","",INDEX('Input Transaksi'!$F:$F,$E719))</f>
        <v/>
      </c>
      <c r="E719">
        <f>IFERROR(AGGREGATE(15,6,ROW('Input Transaksi'!$B$5:$B$5000)/('Input Transaksi'!$B$5:$B$5000="RINJANI WASH"),ROWS($E$5:E719)),"")</f>
        <v/>
      </c>
      <c r="F719" s="5" t="n"/>
    </row>
    <row r="720">
      <c r="A720" s="10">
        <f>IF($E720="","",INDEX('Input Transaksi'!$A:$A,$E720))</f>
        <v/>
      </c>
      <c r="B720" s="5">
        <f>IF($E720="","",INDEX('Input Transaksi'!$D:$D,$E720))</f>
        <v/>
      </c>
      <c r="C720">
        <f>IF($E720="","",INDEX('Input Transaksi'!$E:$E,$E720))</f>
        <v/>
      </c>
      <c r="D720" s="5">
        <f>IF($E720="","",INDEX('Input Transaksi'!$F:$F,$E720))</f>
        <v/>
      </c>
      <c r="E720">
        <f>IFERROR(AGGREGATE(15,6,ROW('Input Transaksi'!$B$5:$B$5000)/('Input Transaksi'!$B$5:$B$5000="RINJANI WASH"),ROWS($E$5:E720)),"")</f>
        <v/>
      </c>
      <c r="F720" s="5" t="n"/>
    </row>
    <row r="721">
      <c r="A721" s="10">
        <f>IF($E721="","",INDEX('Input Transaksi'!$A:$A,$E721))</f>
        <v/>
      </c>
      <c r="B721" s="5">
        <f>IF($E721="","",INDEX('Input Transaksi'!$D:$D,$E721))</f>
        <v/>
      </c>
      <c r="C721">
        <f>IF($E721="","",INDEX('Input Transaksi'!$E:$E,$E721))</f>
        <v/>
      </c>
      <c r="D721" s="5">
        <f>IF($E721="","",INDEX('Input Transaksi'!$F:$F,$E721))</f>
        <v/>
      </c>
      <c r="E721">
        <f>IFERROR(AGGREGATE(15,6,ROW('Input Transaksi'!$B$5:$B$5000)/('Input Transaksi'!$B$5:$B$5000="RINJANI WASH"),ROWS($E$5:E721)),"")</f>
        <v/>
      </c>
      <c r="F721" s="5" t="n"/>
    </row>
    <row r="722">
      <c r="A722" s="10">
        <f>IF($E722="","",INDEX('Input Transaksi'!$A:$A,$E722))</f>
        <v/>
      </c>
      <c r="B722" s="5">
        <f>IF($E722="","",INDEX('Input Transaksi'!$D:$D,$E722))</f>
        <v/>
      </c>
      <c r="C722">
        <f>IF($E722="","",INDEX('Input Transaksi'!$E:$E,$E722))</f>
        <v/>
      </c>
      <c r="D722" s="5">
        <f>IF($E722="","",INDEX('Input Transaksi'!$F:$F,$E722))</f>
        <v/>
      </c>
      <c r="E722">
        <f>IFERROR(AGGREGATE(15,6,ROW('Input Transaksi'!$B$5:$B$5000)/('Input Transaksi'!$B$5:$B$5000="RINJANI WASH"),ROWS($E$5:E722)),"")</f>
        <v/>
      </c>
      <c r="F722" s="5" t="n"/>
    </row>
    <row r="723">
      <c r="A723" s="10">
        <f>IF($E723="","",INDEX('Input Transaksi'!$A:$A,$E723))</f>
        <v/>
      </c>
      <c r="B723" s="5">
        <f>IF($E723="","",INDEX('Input Transaksi'!$D:$D,$E723))</f>
        <v/>
      </c>
      <c r="C723">
        <f>IF($E723="","",INDEX('Input Transaksi'!$E:$E,$E723))</f>
        <v/>
      </c>
      <c r="D723" s="5">
        <f>IF($E723="","",INDEX('Input Transaksi'!$F:$F,$E723))</f>
        <v/>
      </c>
      <c r="E723">
        <f>IFERROR(AGGREGATE(15,6,ROW('Input Transaksi'!$B$5:$B$5000)/('Input Transaksi'!$B$5:$B$5000="RINJANI WASH"),ROWS($E$5:E723)),"")</f>
        <v/>
      </c>
      <c r="F723" s="5" t="n"/>
    </row>
    <row r="724">
      <c r="A724" s="10">
        <f>IF($E724="","",INDEX('Input Transaksi'!$A:$A,$E724))</f>
        <v/>
      </c>
      <c r="B724" s="5">
        <f>IF($E724="","",INDEX('Input Transaksi'!$D:$D,$E724))</f>
        <v/>
      </c>
      <c r="C724">
        <f>IF($E724="","",INDEX('Input Transaksi'!$E:$E,$E724))</f>
        <v/>
      </c>
      <c r="D724" s="5">
        <f>IF($E724="","",INDEX('Input Transaksi'!$F:$F,$E724))</f>
        <v/>
      </c>
      <c r="E724">
        <f>IFERROR(AGGREGATE(15,6,ROW('Input Transaksi'!$B$5:$B$5000)/('Input Transaksi'!$B$5:$B$5000="RINJANI WASH"),ROWS($E$5:E724)),"")</f>
        <v/>
      </c>
      <c r="F724" s="5" t="n"/>
    </row>
    <row r="725">
      <c r="A725" s="10">
        <f>IF($E725="","",INDEX('Input Transaksi'!$A:$A,$E725))</f>
        <v/>
      </c>
      <c r="B725" s="5">
        <f>IF($E725="","",INDEX('Input Transaksi'!$D:$D,$E725))</f>
        <v/>
      </c>
      <c r="C725">
        <f>IF($E725="","",INDEX('Input Transaksi'!$E:$E,$E725))</f>
        <v/>
      </c>
      <c r="D725" s="5">
        <f>IF($E725="","",INDEX('Input Transaksi'!$F:$F,$E725))</f>
        <v/>
      </c>
      <c r="E725">
        <f>IFERROR(AGGREGATE(15,6,ROW('Input Transaksi'!$B$5:$B$5000)/('Input Transaksi'!$B$5:$B$5000="RINJANI WASH"),ROWS($E$5:E725)),"")</f>
        <v/>
      </c>
      <c r="F725" s="5" t="n"/>
    </row>
    <row r="726">
      <c r="A726" s="10">
        <f>IF($E726="","",INDEX('Input Transaksi'!$A:$A,$E726))</f>
        <v/>
      </c>
      <c r="B726" s="5">
        <f>IF($E726="","",INDEX('Input Transaksi'!$D:$D,$E726))</f>
        <v/>
      </c>
      <c r="C726">
        <f>IF($E726="","",INDEX('Input Transaksi'!$E:$E,$E726))</f>
        <v/>
      </c>
      <c r="D726" s="5">
        <f>IF($E726="","",INDEX('Input Transaksi'!$F:$F,$E726))</f>
        <v/>
      </c>
      <c r="E726">
        <f>IFERROR(AGGREGATE(15,6,ROW('Input Transaksi'!$B$5:$B$5000)/('Input Transaksi'!$B$5:$B$5000="RINJANI WASH"),ROWS($E$5:E726)),"")</f>
        <v/>
      </c>
      <c r="F726" s="5" t="n"/>
    </row>
    <row r="727">
      <c r="A727" s="10">
        <f>IF($E727="","",INDEX('Input Transaksi'!$A:$A,$E727))</f>
        <v/>
      </c>
      <c r="B727" s="5">
        <f>IF($E727="","",INDEX('Input Transaksi'!$D:$D,$E727))</f>
        <v/>
      </c>
      <c r="C727">
        <f>IF($E727="","",INDEX('Input Transaksi'!$E:$E,$E727))</f>
        <v/>
      </c>
      <c r="D727" s="5">
        <f>IF($E727="","",INDEX('Input Transaksi'!$F:$F,$E727))</f>
        <v/>
      </c>
      <c r="E727">
        <f>IFERROR(AGGREGATE(15,6,ROW('Input Transaksi'!$B$5:$B$5000)/('Input Transaksi'!$B$5:$B$5000="RINJANI WASH"),ROWS($E$5:E727)),"")</f>
        <v/>
      </c>
      <c r="F727" s="5" t="n"/>
    </row>
    <row r="728">
      <c r="A728" s="10">
        <f>IF($E728="","",INDEX('Input Transaksi'!$A:$A,$E728))</f>
        <v/>
      </c>
      <c r="B728" s="5">
        <f>IF($E728="","",INDEX('Input Transaksi'!$D:$D,$E728))</f>
        <v/>
      </c>
      <c r="C728">
        <f>IF($E728="","",INDEX('Input Transaksi'!$E:$E,$E728))</f>
        <v/>
      </c>
      <c r="D728" s="5">
        <f>IF($E728="","",INDEX('Input Transaksi'!$F:$F,$E728))</f>
        <v/>
      </c>
      <c r="E728">
        <f>IFERROR(AGGREGATE(15,6,ROW('Input Transaksi'!$B$5:$B$5000)/('Input Transaksi'!$B$5:$B$5000="RINJANI WASH"),ROWS($E$5:E728)),"")</f>
        <v/>
      </c>
      <c r="F728" s="5" t="n"/>
    </row>
    <row r="729">
      <c r="A729" s="10">
        <f>IF($E729="","",INDEX('Input Transaksi'!$A:$A,$E729))</f>
        <v/>
      </c>
      <c r="B729" s="5">
        <f>IF($E729="","",INDEX('Input Transaksi'!$D:$D,$E729))</f>
        <v/>
      </c>
      <c r="C729">
        <f>IF($E729="","",INDEX('Input Transaksi'!$E:$E,$E729))</f>
        <v/>
      </c>
      <c r="D729" s="5">
        <f>IF($E729="","",INDEX('Input Transaksi'!$F:$F,$E729))</f>
        <v/>
      </c>
      <c r="E729">
        <f>IFERROR(AGGREGATE(15,6,ROW('Input Transaksi'!$B$5:$B$5000)/('Input Transaksi'!$B$5:$B$5000="RINJANI WASH"),ROWS($E$5:E729)),"")</f>
        <v/>
      </c>
      <c r="F729" s="5" t="n"/>
    </row>
    <row r="730">
      <c r="A730" s="10">
        <f>IF($E730="","",INDEX('Input Transaksi'!$A:$A,$E730))</f>
        <v/>
      </c>
      <c r="B730" s="5">
        <f>IF($E730="","",INDEX('Input Transaksi'!$D:$D,$E730))</f>
        <v/>
      </c>
      <c r="C730">
        <f>IF($E730="","",INDEX('Input Transaksi'!$E:$E,$E730))</f>
        <v/>
      </c>
      <c r="D730" s="5">
        <f>IF($E730="","",INDEX('Input Transaksi'!$F:$F,$E730))</f>
        <v/>
      </c>
      <c r="E730">
        <f>IFERROR(AGGREGATE(15,6,ROW('Input Transaksi'!$B$5:$B$5000)/('Input Transaksi'!$B$5:$B$5000="RINJANI WASH"),ROWS($E$5:E730)),"")</f>
        <v/>
      </c>
      <c r="F730" s="5" t="n"/>
    </row>
    <row r="731">
      <c r="A731" s="10">
        <f>IF($E731="","",INDEX('Input Transaksi'!$A:$A,$E731))</f>
        <v/>
      </c>
      <c r="B731" s="5">
        <f>IF($E731="","",INDEX('Input Transaksi'!$D:$D,$E731))</f>
        <v/>
      </c>
      <c r="C731">
        <f>IF($E731="","",INDEX('Input Transaksi'!$E:$E,$E731))</f>
        <v/>
      </c>
      <c r="D731" s="5">
        <f>IF($E731="","",INDEX('Input Transaksi'!$F:$F,$E731))</f>
        <v/>
      </c>
      <c r="E731">
        <f>IFERROR(AGGREGATE(15,6,ROW('Input Transaksi'!$B$5:$B$5000)/('Input Transaksi'!$B$5:$B$5000="RINJANI WASH"),ROWS($E$5:E731)),"")</f>
        <v/>
      </c>
      <c r="F731" s="5" t="n"/>
    </row>
    <row r="732">
      <c r="A732" s="10">
        <f>IF($E732="","",INDEX('Input Transaksi'!$A:$A,$E732))</f>
        <v/>
      </c>
      <c r="B732" s="5">
        <f>IF($E732="","",INDEX('Input Transaksi'!$D:$D,$E732))</f>
        <v/>
      </c>
      <c r="C732">
        <f>IF($E732="","",INDEX('Input Transaksi'!$E:$E,$E732))</f>
        <v/>
      </c>
      <c r="D732" s="5">
        <f>IF($E732="","",INDEX('Input Transaksi'!$F:$F,$E732))</f>
        <v/>
      </c>
      <c r="E732">
        <f>IFERROR(AGGREGATE(15,6,ROW('Input Transaksi'!$B$5:$B$5000)/('Input Transaksi'!$B$5:$B$5000="RINJANI WASH"),ROWS($E$5:E732)),"")</f>
        <v/>
      </c>
      <c r="F732" s="5" t="n"/>
    </row>
    <row r="733">
      <c r="A733" s="10">
        <f>IF($E733="","",INDEX('Input Transaksi'!$A:$A,$E733))</f>
        <v/>
      </c>
      <c r="B733" s="5">
        <f>IF($E733="","",INDEX('Input Transaksi'!$D:$D,$E733))</f>
        <v/>
      </c>
      <c r="C733">
        <f>IF($E733="","",INDEX('Input Transaksi'!$E:$E,$E733))</f>
        <v/>
      </c>
      <c r="D733" s="5">
        <f>IF($E733="","",INDEX('Input Transaksi'!$F:$F,$E733))</f>
        <v/>
      </c>
      <c r="E733">
        <f>IFERROR(AGGREGATE(15,6,ROW('Input Transaksi'!$B$5:$B$5000)/('Input Transaksi'!$B$5:$B$5000="RINJANI WASH"),ROWS($E$5:E733)),"")</f>
        <v/>
      </c>
      <c r="F733" s="5" t="n"/>
    </row>
    <row r="734">
      <c r="A734" s="10">
        <f>IF($E734="","",INDEX('Input Transaksi'!$A:$A,$E734))</f>
        <v/>
      </c>
      <c r="B734" s="5">
        <f>IF($E734="","",INDEX('Input Transaksi'!$D:$D,$E734))</f>
        <v/>
      </c>
      <c r="C734">
        <f>IF($E734="","",INDEX('Input Transaksi'!$E:$E,$E734))</f>
        <v/>
      </c>
      <c r="D734" s="5">
        <f>IF($E734="","",INDEX('Input Transaksi'!$F:$F,$E734))</f>
        <v/>
      </c>
      <c r="E734">
        <f>IFERROR(AGGREGATE(15,6,ROW('Input Transaksi'!$B$5:$B$5000)/('Input Transaksi'!$B$5:$B$5000="RINJANI WASH"),ROWS($E$5:E734)),"")</f>
        <v/>
      </c>
      <c r="F734" s="5" t="n"/>
    </row>
    <row r="735">
      <c r="A735" s="10">
        <f>IF($E735="","",INDEX('Input Transaksi'!$A:$A,$E735))</f>
        <v/>
      </c>
      <c r="B735" s="5">
        <f>IF($E735="","",INDEX('Input Transaksi'!$D:$D,$E735))</f>
        <v/>
      </c>
      <c r="C735">
        <f>IF($E735="","",INDEX('Input Transaksi'!$E:$E,$E735))</f>
        <v/>
      </c>
      <c r="D735" s="5">
        <f>IF($E735="","",INDEX('Input Transaksi'!$F:$F,$E735))</f>
        <v/>
      </c>
      <c r="E735">
        <f>IFERROR(AGGREGATE(15,6,ROW('Input Transaksi'!$B$5:$B$5000)/('Input Transaksi'!$B$5:$B$5000="RINJANI WASH"),ROWS($E$5:E735)),"")</f>
        <v/>
      </c>
      <c r="F735" s="5" t="n"/>
    </row>
    <row r="736">
      <c r="A736" s="10">
        <f>IF($E736="","",INDEX('Input Transaksi'!$A:$A,$E736))</f>
        <v/>
      </c>
      <c r="B736" s="5">
        <f>IF($E736="","",INDEX('Input Transaksi'!$D:$D,$E736))</f>
        <v/>
      </c>
      <c r="C736">
        <f>IF($E736="","",INDEX('Input Transaksi'!$E:$E,$E736))</f>
        <v/>
      </c>
      <c r="D736" s="5">
        <f>IF($E736="","",INDEX('Input Transaksi'!$F:$F,$E736))</f>
        <v/>
      </c>
      <c r="E736">
        <f>IFERROR(AGGREGATE(15,6,ROW('Input Transaksi'!$B$5:$B$5000)/('Input Transaksi'!$B$5:$B$5000="RINJANI WASH"),ROWS($E$5:E736)),"")</f>
        <v/>
      </c>
      <c r="F736" s="5" t="n"/>
    </row>
    <row r="737">
      <c r="A737" s="10">
        <f>IF($E737="","",INDEX('Input Transaksi'!$A:$A,$E737))</f>
        <v/>
      </c>
      <c r="B737" s="5">
        <f>IF($E737="","",INDEX('Input Transaksi'!$D:$D,$E737))</f>
        <v/>
      </c>
      <c r="C737">
        <f>IF($E737="","",INDEX('Input Transaksi'!$E:$E,$E737))</f>
        <v/>
      </c>
      <c r="D737" s="5">
        <f>IF($E737="","",INDEX('Input Transaksi'!$F:$F,$E737))</f>
        <v/>
      </c>
      <c r="E737">
        <f>IFERROR(AGGREGATE(15,6,ROW('Input Transaksi'!$B$5:$B$5000)/('Input Transaksi'!$B$5:$B$5000="RINJANI WASH"),ROWS($E$5:E737)),"")</f>
        <v/>
      </c>
      <c r="F737" s="5" t="n"/>
    </row>
    <row r="738">
      <c r="A738" s="10">
        <f>IF($E738="","",INDEX('Input Transaksi'!$A:$A,$E738))</f>
        <v/>
      </c>
      <c r="B738" s="5">
        <f>IF($E738="","",INDEX('Input Transaksi'!$D:$D,$E738))</f>
        <v/>
      </c>
      <c r="C738">
        <f>IF($E738="","",INDEX('Input Transaksi'!$E:$E,$E738))</f>
        <v/>
      </c>
      <c r="D738" s="5">
        <f>IF($E738="","",INDEX('Input Transaksi'!$F:$F,$E738))</f>
        <v/>
      </c>
      <c r="E738">
        <f>IFERROR(AGGREGATE(15,6,ROW('Input Transaksi'!$B$5:$B$5000)/('Input Transaksi'!$B$5:$B$5000="RINJANI WASH"),ROWS($E$5:E738)),"")</f>
        <v/>
      </c>
      <c r="F738" s="5" t="n"/>
    </row>
    <row r="739">
      <c r="A739" s="10">
        <f>IF($E739="","",INDEX('Input Transaksi'!$A:$A,$E739))</f>
        <v/>
      </c>
      <c r="B739" s="5">
        <f>IF($E739="","",INDEX('Input Transaksi'!$D:$D,$E739))</f>
        <v/>
      </c>
      <c r="C739">
        <f>IF($E739="","",INDEX('Input Transaksi'!$E:$E,$E739))</f>
        <v/>
      </c>
      <c r="D739" s="5">
        <f>IF($E739="","",INDEX('Input Transaksi'!$F:$F,$E739))</f>
        <v/>
      </c>
      <c r="E739">
        <f>IFERROR(AGGREGATE(15,6,ROW('Input Transaksi'!$B$5:$B$5000)/('Input Transaksi'!$B$5:$B$5000="RINJANI WASH"),ROWS($E$5:E739)),"")</f>
        <v/>
      </c>
      <c r="F739" s="5" t="n"/>
    </row>
    <row r="740">
      <c r="A740" s="10">
        <f>IF($E740="","",INDEX('Input Transaksi'!$A:$A,$E740))</f>
        <v/>
      </c>
      <c r="B740" s="5">
        <f>IF($E740="","",INDEX('Input Transaksi'!$D:$D,$E740))</f>
        <v/>
      </c>
      <c r="C740">
        <f>IF($E740="","",INDEX('Input Transaksi'!$E:$E,$E740))</f>
        <v/>
      </c>
      <c r="D740" s="5">
        <f>IF($E740="","",INDEX('Input Transaksi'!$F:$F,$E740))</f>
        <v/>
      </c>
      <c r="E740">
        <f>IFERROR(AGGREGATE(15,6,ROW('Input Transaksi'!$B$5:$B$5000)/('Input Transaksi'!$B$5:$B$5000="RINJANI WASH"),ROWS($E$5:E740)),"")</f>
        <v/>
      </c>
      <c r="F740" s="5" t="n"/>
    </row>
    <row r="741">
      <c r="A741" s="10">
        <f>IF($E741="","",INDEX('Input Transaksi'!$A:$A,$E741))</f>
        <v/>
      </c>
      <c r="B741" s="5">
        <f>IF($E741="","",INDEX('Input Transaksi'!$D:$D,$E741))</f>
        <v/>
      </c>
      <c r="C741">
        <f>IF($E741="","",INDEX('Input Transaksi'!$E:$E,$E741))</f>
        <v/>
      </c>
      <c r="D741" s="5">
        <f>IF($E741="","",INDEX('Input Transaksi'!$F:$F,$E741))</f>
        <v/>
      </c>
      <c r="E741">
        <f>IFERROR(AGGREGATE(15,6,ROW('Input Transaksi'!$B$5:$B$5000)/('Input Transaksi'!$B$5:$B$5000="RINJANI WASH"),ROWS($E$5:E741)),"")</f>
        <v/>
      </c>
      <c r="F741" s="5" t="n"/>
    </row>
    <row r="742">
      <c r="A742" s="10">
        <f>IF($E742="","",INDEX('Input Transaksi'!$A:$A,$E742))</f>
        <v/>
      </c>
      <c r="B742" s="5">
        <f>IF($E742="","",INDEX('Input Transaksi'!$D:$D,$E742))</f>
        <v/>
      </c>
      <c r="C742">
        <f>IF($E742="","",INDEX('Input Transaksi'!$E:$E,$E742))</f>
        <v/>
      </c>
      <c r="D742" s="5">
        <f>IF($E742="","",INDEX('Input Transaksi'!$F:$F,$E742))</f>
        <v/>
      </c>
      <c r="E742">
        <f>IFERROR(AGGREGATE(15,6,ROW('Input Transaksi'!$B$5:$B$5000)/('Input Transaksi'!$B$5:$B$5000="RINJANI WASH"),ROWS($E$5:E742)),"")</f>
        <v/>
      </c>
      <c r="F742" s="5" t="n"/>
    </row>
    <row r="743">
      <c r="A743" s="10">
        <f>IF($E743="","",INDEX('Input Transaksi'!$A:$A,$E743))</f>
        <v/>
      </c>
      <c r="B743" s="5">
        <f>IF($E743="","",INDEX('Input Transaksi'!$D:$D,$E743))</f>
        <v/>
      </c>
      <c r="C743">
        <f>IF($E743="","",INDEX('Input Transaksi'!$E:$E,$E743))</f>
        <v/>
      </c>
      <c r="D743" s="5">
        <f>IF($E743="","",INDEX('Input Transaksi'!$F:$F,$E743))</f>
        <v/>
      </c>
      <c r="E743">
        <f>IFERROR(AGGREGATE(15,6,ROW('Input Transaksi'!$B$5:$B$5000)/('Input Transaksi'!$B$5:$B$5000="RINJANI WASH"),ROWS($E$5:E743)),"")</f>
        <v/>
      </c>
      <c r="F743" s="5" t="n"/>
    </row>
    <row r="744">
      <c r="A744" s="10">
        <f>IF($E744="","",INDEX('Input Transaksi'!$A:$A,$E744))</f>
        <v/>
      </c>
      <c r="B744" s="5">
        <f>IF($E744="","",INDEX('Input Transaksi'!$D:$D,$E744))</f>
        <v/>
      </c>
      <c r="C744">
        <f>IF($E744="","",INDEX('Input Transaksi'!$E:$E,$E744))</f>
        <v/>
      </c>
      <c r="D744" s="5">
        <f>IF($E744="","",INDEX('Input Transaksi'!$F:$F,$E744))</f>
        <v/>
      </c>
      <c r="E744">
        <f>IFERROR(AGGREGATE(15,6,ROW('Input Transaksi'!$B$5:$B$5000)/('Input Transaksi'!$B$5:$B$5000="RINJANI WASH"),ROWS($E$5:E744)),"")</f>
        <v/>
      </c>
      <c r="F744" s="5" t="n"/>
    </row>
    <row r="745">
      <c r="A745" s="10">
        <f>IF($E745="","",INDEX('Input Transaksi'!$A:$A,$E745))</f>
        <v/>
      </c>
      <c r="B745" s="5">
        <f>IF($E745="","",INDEX('Input Transaksi'!$D:$D,$E745))</f>
        <v/>
      </c>
      <c r="C745">
        <f>IF($E745="","",INDEX('Input Transaksi'!$E:$E,$E745))</f>
        <v/>
      </c>
      <c r="D745" s="5">
        <f>IF($E745="","",INDEX('Input Transaksi'!$F:$F,$E745))</f>
        <v/>
      </c>
      <c r="E745">
        <f>IFERROR(AGGREGATE(15,6,ROW('Input Transaksi'!$B$5:$B$5000)/('Input Transaksi'!$B$5:$B$5000="RINJANI WASH"),ROWS($E$5:E745)),"")</f>
        <v/>
      </c>
      <c r="F745" s="5" t="n"/>
    </row>
    <row r="746">
      <c r="A746" s="10">
        <f>IF($E746="","",INDEX('Input Transaksi'!$A:$A,$E746))</f>
        <v/>
      </c>
      <c r="B746" s="5">
        <f>IF($E746="","",INDEX('Input Transaksi'!$D:$D,$E746))</f>
        <v/>
      </c>
      <c r="C746">
        <f>IF($E746="","",INDEX('Input Transaksi'!$E:$E,$E746))</f>
        <v/>
      </c>
      <c r="D746" s="5">
        <f>IF($E746="","",INDEX('Input Transaksi'!$F:$F,$E746))</f>
        <v/>
      </c>
      <c r="E746">
        <f>IFERROR(AGGREGATE(15,6,ROW('Input Transaksi'!$B$5:$B$5000)/('Input Transaksi'!$B$5:$B$5000="RINJANI WASH"),ROWS($E$5:E746)),"")</f>
        <v/>
      </c>
      <c r="F746" s="5" t="n"/>
    </row>
    <row r="747">
      <c r="A747" s="10">
        <f>IF($E747="","",INDEX('Input Transaksi'!$A:$A,$E747))</f>
        <v/>
      </c>
      <c r="B747" s="5">
        <f>IF($E747="","",INDEX('Input Transaksi'!$D:$D,$E747))</f>
        <v/>
      </c>
      <c r="C747">
        <f>IF($E747="","",INDEX('Input Transaksi'!$E:$E,$E747))</f>
        <v/>
      </c>
      <c r="D747" s="5">
        <f>IF($E747="","",INDEX('Input Transaksi'!$F:$F,$E747))</f>
        <v/>
      </c>
      <c r="E747">
        <f>IFERROR(AGGREGATE(15,6,ROW('Input Transaksi'!$B$5:$B$5000)/('Input Transaksi'!$B$5:$B$5000="RINJANI WASH"),ROWS($E$5:E747)),"")</f>
        <v/>
      </c>
      <c r="F747" s="5" t="n"/>
    </row>
    <row r="748">
      <c r="A748" s="10">
        <f>IF($E748="","",INDEX('Input Transaksi'!$A:$A,$E748))</f>
        <v/>
      </c>
      <c r="B748" s="5">
        <f>IF($E748="","",INDEX('Input Transaksi'!$D:$D,$E748))</f>
        <v/>
      </c>
      <c r="C748">
        <f>IF($E748="","",INDEX('Input Transaksi'!$E:$E,$E748))</f>
        <v/>
      </c>
      <c r="D748" s="5">
        <f>IF($E748="","",INDEX('Input Transaksi'!$F:$F,$E748))</f>
        <v/>
      </c>
      <c r="E748">
        <f>IFERROR(AGGREGATE(15,6,ROW('Input Transaksi'!$B$5:$B$5000)/('Input Transaksi'!$B$5:$B$5000="RINJANI WASH"),ROWS($E$5:E748)),"")</f>
        <v/>
      </c>
      <c r="F748" s="5" t="n"/>
    </row>
    <row r="749">
      <c r="A749" s="10">
        <f>IF($E749="","",INDEX('Input Transaksi'!$A:$A,$E749))</f>
        <v/>
      </c>
      <c r="B749" s="5">
        <f>IF($E749="","",INDEX('Input Transaksi'!$D:$D,$E749))</f>
        <v/>
      </c>
      <c r="C749">
        <f>IF($E749="","",INDEX('Input Transaksi'!$E:$E,$E749))</f>
        <v/>
      </c>
      <c r="D749" s="5">
        <f>IF($E749="","",INDEX('Input Transaksi'!$F:$F,$E749))</f>
        <v/>
      </c>
      <c r="E749">
        <f>IFERROR(AGGREGATE(15,6,ROW('Input Transaksi'!$B$5:$B$5000)/('Input Transaksi'!$B$5:$B$5000="RINJANI WASH"),ROWS($E$5:E749)),"")</f>
        <v/>
      </c>
      <c r="F749" s="5" t="n"/>
    </row>
    <row r="750">
      <c r="A750" s="10">
        <f>IF($E750="","",INDEX('Input Transaksi'!$A:$A,$E750))</f>
        <v/>
      </c>
      <c r="B750" s="5">
        <f>IF($E750="","",INDEX('Input Transaksi'!$D:$D,$E750))</f>
        <v/>
      </c>
      <c r="C750">
        <f>IF($E750="","",INDEX('Input Transaksi'!$E:$E,$E750))</f>
        <v/>
      </c>
      <c r="D750" s="5">
        <f>IF($E750="","",INDEX('Input Transaksi'!$F:$F,$E750))</f>
        <v/>
      </c>
      <c r="E750">
        <f>IFERROR(AGGREGATE(15,6,ROW('Input Transaksi'!$B$5:$B$5000)/('Input Transaksi'!$B$5:$B$5000="RINJANI WASH"),ROWS($E$5:E750)),"")</f>
        <v/>
      </c>
      <c r="F750" s="5" t="n"/>
    </row>
    <row r="751">
      <c r="A751" s="10">
        <f>IF($E751="","",INDEX('Input Transaksi'!$A:$A,$E751))</f>
        <v/>
      </c>
      <c r="B751" s="5">
        <f>IF($E751="","",INDEX('Input Transaksi'!$D:$D,$E751))</f>
        <v/>
      </c>
      <c r="C751">
        <f>IF($E751="","",INDEX('Input Transaksi'!$E:$E,$E751))</f>
        <v/>
      </c>
      <c r="D751" s="5">
        <f>IF($E751="","",INDEX('Input Transaksi'!$F:$F,$E751))</f>
        <v/>
      </c>
      <c r="E751">
        <f>IFERROR(AGGREGATE(15,6,ROW('Input Transaksi'!$B$5:$B$5000)/('Input Transaksi'!$B$5:$B$5000="RINJANI WASH"),ROWS($E$5:E751)),"")</f>
        <v/>
      </c>
      <c r="F751" s="5" t="n"/>
    </row>
    <row r="752">
      <c r="A752" s="10">
        <f>IF($E752="","",INDEX('Input Transaksi'!$A:$A,$E752))</f>
        <v/>
      </c>
      <c r="B752" s="5">
        <f>IF($E752="","",INDEX('Input Transaksi'!$D:$D,$E752))</f>
        <v/>
      </c>
      <c r="C752">
        <f>IF($E752="","",INDEX('Input Transaksi'!$E:$E,$E752))</f>
        <v/>
      </c>
      <c r="D752" s="5">
        <f>IF($E752="","",INDEX('Input Transaksi'!$F:$F,$E752))</f>
        <v/>
      </c>
      <c r="E752">
        <f>IFERROR(AGGREGATE(15,6,ROW('Input Transaksi'!$B$5:$B$5000)/('Input Transaksi'!$B$5:$B$5000="RINJANI WASH"),ROWS($E$5:E752)),"")</f>
        <v/>
      </c>
      <c r="F752" s="5" t="n"/>
    </row>
    <row r="753">
      <c r="A753" s="10">
        <f>IF($E753="","",INDEX('Input Transaksi'!$A:$A,$E753))</f>
        <v/>
      </c>
      <c r="B753" s="5">
        <f>IF($E753="","",INDEX('Input Transaksi'!$D:$D,$E753))</f>
        <v/>
      </c>
      <c r="C753">
        <f>IF($E753="","",INDEX('Input Transaksi'!$E:$E,$E753))</f>
        <v/>
      </c>
      <c r="D753" s="5">
        <f>IF($E753="","",INDEX('Input Transaksi'!$F:$F,$E753))</f>
        <v/>
      </c>
      <c r="E753">
        <f>IFERROR(AGGREGATE(15,6,ROW('Input Transaksi'!$B$5:$B$5000)/('Input Transaksi'!$B$5:$B$5000="RINJANI WASH"),ROWS($E$5:E753)),"")</f>
        <v/>
      </c>
      <c r="F753" s="5" t="n"/>
    </row>
    <row r="754">
      <c r="A754" s="10">
        <f>IF($E754="","",INDEX('Input Transaksi'!$A:$A,$E754))</f>
        <v/>
      </c>
      <c r="B754" s="5">
        <f>IF($E754="","",INDEX('Input Transaksi'!$D:$D,$E754))</f>
        <v/>
      </c>
      <c r="C754">
        <f>IF($E754="","",INDEX('Input Transaksi'!$E:$E,$E754))</f>
        <v/>
      </c>
      <c r="D754" s="5">
        <f>IF($E754="","",INDEX('Input Transaksi'!$F:$F,$E754))</f>
        <v/>
      </c>
      <c r="E754">
        <f>IFERROR(AGGREGATE(15,6,ROW('Input Transaksi'!$B$5:$B$5000)/('Input Transaksi'!$B$5:$B$5000="RINJANI WASH"),ROWS($E$5:E754)),"")</f>
        <v/>
      </c>
      <c r="F754" s="5" t="n"/>
    </row>
    <row r="755">
      <c r="A755" s="10">
        <f>IF($E755="","",INDEX('Input Transaksi'!$A:$A,$E755))</f>
        <v/>
      </c>
      <c r="B755" s="5">
        <f>IF($E755="","",INDEX('Input Transaksi'!$D:$D,$E755))</f>
        <v/>
      </c>
      <c r="C755">
        <f>IF($E755="","",INDEX('Input Transaksi'!$E:$E,$E755))</f>
        <v/>
      </c>
      <c r="D755" s="5">
        <f>IF($E755="","",INDEX('Input Transaksi'!$F:$F,$E755))</f>
        <v/>
      </c>
      <c r="E755">
        <f>IFERROR(AGGREGATE(15,6,ROW('Input Transaksi'!$B$5:$B$5000)/('Input Transaksi'!$B$5:$B$5000="RINJANI WASH"),ROWS($E$5:E755)),"")</f>
        <v/>
      </c>
      <c r="F755" s="5" t="n"/>
    </row>
    <row r="756">
      <c r="A756" s="10">
        <f>IF($E756="","",INDEX('Input Transaksi'!$A:$A,$E756))</f>
        <v/>
      </c>
      <c r="B756" s="5">
        <f>IF($E756="","",INDEX('Input Transaksi'!$D:$D,$E756))</f>
        <v/>
      </c>
      <c r="C756">
        <f>IF($E756="","",INDEX('Input Transaksi'!$E:$E,$E756))</f>
        <v/>
      </c>
      <c r="D756" s="5">
        <f>IF($E756="","",INDEX('Input Transaksi'!$F:$F,$E756))</f>
        <v/>
      </c>
      <c r="E756">
        <f>IFERROR(AGGREGATE(15,6,ROW('Input Transaksi'!$B$5:$B$5000)/('Input Transaksi'!$B$5:$B$5000="RINJANI WASH"),ROWS($E$5:E756)),"")</f>
        <v/>
      </c>
      <c r="F756" s="5" t="n"/>
    </row>
    <row r="757">
      <c r="A757" s="10">
        <f>IF($E757="","",INDEX('Input Transaksi'!$A:$A,$E757))</f>
        <v/>
      </c>
      <c r="B757" s="5">
        <f>IF($E757="","",INDEX('Input Transaksi'!$D:$D,$E757))</f>
        <v/>
      </c>
      <c r="C757">
        <f>IF($E757="","",INDEX('Input Transaksi'!$E:$E,$E757))</f>
        <v/>
      </c>
      <c r="D757" s="5">
        <f>IF($E757="","",INDEX('Input Transaksi'!$F:$F,$E757))</f>
        <v/>
      </c>
      <c r="E757">
        <f>IFERROR(AGGREGATE(15,6,ROW('Input Transaksi'!$B$5:$B$5000)/('Input Transaksi'!$B$5:$B$5000="RINJANI WASH"),ROWS($E$5:E757)),"")</f>
        <v/>
      </c>
      <c r="F757" s="5" t="n"/>
    </row>
    <row r="758">
      <c r="A758" s="10">
        <f>IF($E758="","",INDEX('Input Transaksi'!$A:$A,$E758))</f>
        <v/>
      </c>
      <c r="B758" s="5">
        <f>IF($E758="","",INDEX('Input Transaksi'!$D:$D,$E758))</f>
        <v/>
      </c>
      <c r="C758">
        <f>IF($E758="","",INDEX('Input Transaksi'!$E:$E,$E758))</f>
        <v/>
      </c>
      <c r="D758" s="5">
        <f>IF($E758="","",INDEX('Input Transaksi'!$F:$F,$E758))</f>
        <v/>
      </c>
      <c r="E758">
        <f>IFERROR(AGGREGATE(15,6,ROW('Input Transaksi'!$B$5:$B$5000)/('Input Transaksi'!$B$5:$B$5000="RINJANI WASH"),ROWS($E$5:E758)),"")</f>
        <v/>
      </c>
      <c r="F758" s="5" t="n"/>
    </row>
    <row r="759">
      <c r="A759" s="10">
        <f>IF($E759="","",INDEX('Input Transaksi'!$A:$A,$E759))</f>
        <v/>
      </c>
      <c r="B759" s="5">
        <f>IF($E759="","",INDEX('Input Transaksi'!$D:$D,$E759))</f>
        <v/>
      </c>
      <c r="C759">
        <f>IF($E759="","",INDEX('Input Transaksi'!$E:$E,$E759))</f>
        <v/>
      </c>
      <c r="D759" s="5">
        <f>IF($E759="","",INDEX('Input Transaksi'!$F:$F,$E759))</f>
        <v/>
      </c>
      <c r="E759">
        <f>IFERROR(AGGREGATE(15,6,ROW('Input Transaksi'!$B$5:$B$5000)/('Input Transaksi'!$B$5:$B$5000="RINJANI WASH"),ROWS($E$5:E759)),"")</f>
        <v/>
      </c>
      <c r="F759" s="5" t="n"/>
    </row>
    <row r="760">
      <c r="A760" s="10">
        <f>IF($E760="","",INDEX('Input Transaksi'!$A:$A,$E760))</f>
        <v/>
      </c>
      <c r="B760" s="5">
        <f>IF($E760="","",INDEX('Input Transaksi'!$D:$D,$E760))</f>
        <v/>
      </c>
      <c r="C760">
        <f>IF($E760="","",INDEX('Input Transaksi'!$E:$E,$E760))</f>
        <v/>
      </c>
      <c r="D760" s="5">
        <f>IF($E760="","",INDEX('Input Transaksi'!$F:$F,$E760))</f>
        <v/>
      </c>
      <c r="E760">
        <f>IFERROR(AGGREGATE(15,6,ROW('Input Transaksi'!$B$5:$B$5000)/('Input Transaksi'!$B$5:$B$5000="RINJANI WASH"),ROWS($E$5:E760)),"")</f>
        <v/>
      </c>
      <c r="F760" s="5" t="n"/>
    </row>
    <row r="761">
      <c r="A761" s="10">
        <f>IF($E761="","",INDEX('Input Transaksi'!$A:$A,$E761))</f>
        <v/>
      </c>
      <c r="B761" s="5">
        <f>IF($E761="","",INDEX('Input Transaksi'!$D:$D,$E761))</f>
        <v/>
      </c>
      <c r="C761">
        <f>IF($E761="","",INDEX('Input Transaksi'!$E:$E,$E761))</f>
        <v/>
      </c>
      <c r="D761" s="5">
        <f>IF($E761="","",INDEX('Input Transaksi'!$F:$F,$E761))</f>
        <v/>
      </c>
      <c r="E761">
        <f>IFERROR(AGGREGATE(15,6,ROW('Input Transaksi'!$B$5:$B$5000)/('Input Transaksi'!$B$5:$B$5000="RINJANI WASH"),ROWS($E$5:E761)),"")</f>
        <v/>
      </c>
      <c r="F761" s="5" t="n"/>
    </row>
    <row r="762">
      <c r="A762" s="10">
        <f>IF($E762="","",INDEX('Input Transaksi'!$A:$A,$E762))</f>
        <v/>
      </c>
      <c r="B762" s="5">
        <f>IF($E762="","",INDEX('Input Transaksi'!$D:$D,$E762))</f>
        <v/>
      </c>
      <c r="C762">
        <f>IF($E762="","",INDEX('Input Transaksi'!$E:$E,$E762))</f>
        <v/>
      </c>
      <c r="D762" s="5">
        <f>IF($E762="","",INDEX('Input Transaksi'!$F:$F,$E762))</f>
        <v/>
      </c>
      <c r="E762">
        <f>IFERROR(AGGREGATE(15,6,ROW('Input Transaksi'!$B$5:$B$5000)/('Input Transaksi'!$B$5:$B$5000="RINJANI WASH"),ROWS($E$5:E762)),"")</f>
        <v/>
      </c>
      <c r="F762" s="5" t="n"/>
    </row>
    <row r="763">
      <c r="A763" s="10">
        <f>IF($E763="","",INDEX('Input Transaksi'!$A:$A,$E763))</f>
        <v/>
      </c>
      <c r="B763" s="5">
        <f>IF($E763="","",INDEX('Input Transaksi'!$D:$D,$E763))</f>
        <v/>
      </c>
      <c r="C763">
        <f>IF($E763="","",INDEX('Input Transaksi'!$E:$E,$E763))</f>
        <v/>
      </c>
      <c r="D763" s="5">
        <f>IF($E763="","",INDEX('Input Transaksi'!$F:$F,$E763))</f>
        <v/>
      </c>
      <c r="E763">
        <f>IFERROR(AGGREGATE(15,6,ROW('Input Transaksi'!$B$5:$B$5000)/('Input Transaksi'!$B$5:$B$5000="RINJANI WASH"),ROWS($E$5:E763)),"")</f>
        <v/>
      </c>
      <c r="F763" s="5" t="n"/>
    </row>
    <row r="764">
      <c r="A764" s="10">
        <f>IF($E764="","",INDEX('Input Transaksi'!$A:$A,$E764))</f>
        <v/>
      </c>
      <c r="B764" s="5">
        <f>IF($E764="","",INDEX('Input Transaksi'!$D:$D,$E764))</f>
        <v/>
      </c>
      <c r="C764">
        <f>IF($E764="","",INDEX('Input Transaksi'!$E:$E,$E764))</f>
        <v/>
      </c>
      <c r="D764" s="5">
        <f>IF($E764="","",INDEX('Input Transaksi'!$F:$F,$E764))</f>
        <v/>
      </c>
      <c r="E764">
        <f>IFERROR(AGGREGATE(15,6,ROW('Input Transaksi'!$B$5:$B$5000)/('Input Transaksi'!$B$5:$B$5000="RINJANI WASH"),ROWS($E$5:E764)),"")</f>
        <v/>
      </c>
      <c r="F764" s="5" t="n"/>
    </row>
    <row r="765">
      <c r="A765" s="10">
        <f>IF($E765="","",INDEX('Input Transaksi'!$A:$A,$E765))</f>
        <v/>
      </c>
      <c r="B765" s="5">
        <f>IF($E765="","",INDEX('Input Transaksi'!$D:$D,$E765))</f>
        <v/>
      </c>
      <c r="C765">
        <f>IF($E765="","",INDEX('Input Transaksi'!$E:$E,$E765))</f>
        <v/>
      </c>
      <c r="D765" s="5">
        <f>IF($E765="","",INDEX('Input Transaksi'!$F:$F,$E765))</f>
        <v/>
      </c>
      <c r="E765">
        <f>IFERROR(AGGREGATE(15,6,ROW('Input Transaksi'!$B$5:$B$5000)/('Input Transaksi'!$B$5:$B$5000="RINJANI WASH"),ROWS($E$5:E765)),"")</f>
        <v/>
      </c>
      <c r="F765" s="5" t="n"/>
    </row>
    <row r="766">
      <c r="A766" s="10">
        <f>IF($E766="","",INDEX('Input Transaksi'!$A:$A,$E766))</f>
        <v/>
      </c>
      <c r="B766" s="5">
        <f>IF($E766="","",INDEX('Input Transaksi'!$D:$D,$E766))</f>
        <v/>
      </c>
      <c r="C766">
        <f>IF($E766="","",INDEX('Input Transaksi'!$E:$E,$E766))</f>
        <v/>
      </c>
      <c r="D766" s="5">
        <f>IF($E766="","",INDEX('Input Transaksi'!$F:$F,$E766))</f>
        <v/>
      </c>
      <c r="E766">
        <f>IFERROR(AGGREGATE(15,6,ROW('Input Transaksi'!$B$5:$B$5000)/('Input Transaksi'!$B$5:$B$5000="RINJANI WASH"),ROWS($E$5:E766)),"")</f>
        <v/>
      </c>
      <c r="F766" s="5" t="n"/>
    </row>
    <row r="767">
      <c r="A767" s="10">
        <f>IF($E767="","",INDEX('Input Transaksi'!$A:$A,$E767))</f>
        <v/>
      </c>
      <c r="B767" s="5">
        <f>IF($E767="","",INDEX('Input Transaksi'!$D:$D,$E767))</f>
        <v/>
      </c>
      <c r="C767">
        <f>IF($E767="","",INDEX('Input Transaksi'!$E:$E,$E767))</f>
        <v/>
      </c>
      <c r="D767" s="5">
        <f>IF($E767="","",INDEX('Input Transaksi'!$F:$F,$E767))</f>
        <v/>
      </c>
      <c r="E767">
        <f>IFERROR(AGGREGATE(15,6,ROW('Input Transaksi'!$B$5:$B$5000)/('Input Transaksi'!$B$5:$B$5000="RINJANI WASH"),ROWS($E$5:E767)),"")</f>
        <v/>
      </c>
      <c r="F767" s="5" t="n"/>
    </row>
    <row r="768">
      <c r="A768" s="10">
        <f>IF($E768="","",INDEX('Input Transaksi'!$A:$A,$E768))</f>
        <v/>
      </c>
      <c r="B768" s="5">
        <f>IF($E768="","",INDEX('Input Transaksi'!$D:$D,$E768))</f>
        <v/>
      </c>
      <c r="C768">
        <f>IF($E768="","",INDEX('Input Transaksi'!$E:$E,$E768))</f>
        <v/>
      </c>
      <c r="D768" s="5">
        <f>IF($E768="","",INDEX('Input Transaksi'!$F:$F,$E768))</f>
        <v/>
      </c>
      <c r="E768">
        <f>IFERROR(AGGREGATE(15,6,ROW('Input Transaksi'!$B$5:$B$5000)/('Input Transaksi'!$B$5:$B$5000="RINJANI WASH"),ROWS($E$5:E768)),"")</f>
        <v/>
      </c>
      <c r="F768" s="5" t="n"/>
    </row>
    <row r="769">
      <c r="A769" s="10">
        <f>IF($E769="","",INDEX('Input Transaksi'!$A:$A,$E769))</f>
        <v/>
      </c>
      <c r="B769" s="5">
        <f>IF($E769="","",INDEX('Input Transaksi'!$D:$D,$E769))</f>
        <v/>
      </c>
      <c r="C769">
        <f>IF($E769="","",INDEX('Input Transaksi'!$E:$E,$E769))</f>
        <v/>
      </c>
      <c r="D769" s="5">
        <f>IF($E769="","",INDEX('Input Transaksi'!$F:$F,$E769))</f>
        <v/>
      </c>
      <c r="E769">
        <f>IFERROR(AGGREGATE(15,6,ROW('Input Transaksi'!$B$5:$B$5000)/('Input Transaksi'!$B$5:$B$5000="RINJANI WASH"),ROWS($E$5:E769)),"")</f>
        <v/>
      </c>
      <c r="F769" s="5" t="n"/>
    </row>
    <row r="770">
      <c r="A770" s="10">
        <f>IF($E770="","",INDEX('Input Transaksi'!$A:$A,$E770))</f>
        <v/>
      </c>
      <c r="B770" s="5">
        <f>IF($E770="","",INDEX('Input Transaksi'!$D:$D,$E770))</f>
        <v/>
      </c>
      <c r="C770">
        <f>IF($E770="","",INDEX('Input Transaksi'!$E:$E,$E770))</f>
        <v/>
      </c>
      <c r="D770" s="5">
        <f>IF($E770="","",INDEX('Input Transaksi'!$F:$F,$E770))</f>
        <v/>
      </c>
      <c r="E770">
        <f>IFERROR(AGGREGATE(15,6,ROW('Input Transaksi'!$B$5:$B$5000)/('Input Transaksi'!$B$5:$B$5000="RINJANI WASH"),ROWS($E$5:E770)),"")</f>
        <v/>
      </c>
      <c r="F770" s="5" t="n"/>
    </row>
    <row r="771">
      <c r="A771" s="10">
        <f>IF($E771="","",INDEX('Input Transaksi'!$A:$A,$E771))</f>
        <v/>
      </c>
      <c r="B771" s="5">
        <f>IF($E771="","",INDEX('Input Transaksi'!$D:$D,$E771))</f>
        <v/>
      </c>
      <c r="C771">
        <f>IF($E771="","",INDEX('Input Transaksi'!$E:$E,$E771))</f>
        <v/>
      </c>
      <c r="D771" s="5">
        <f>IF($E771="","",INDEX('Input Transaksi'!$F:$F,$E771))</f>
        <v/>
      </c>
      <c r="E771">
        <f>IFERROR(AGGREGATE(15,6,ROW('Input Transaksi'!$B$5:$B$5000)/('Input Transaksi'!$B$5:$B$5000="RINJANI WASH"),ROWS($E$5:E771)),"")</f>
        <v/>
      </c>
      <c r="F771" s="5" t="n"/>
    </row>
    <row r="772">
      <c r="A772" s="10">
        <f>IF($E772="","",INDEX('Input Transaksi'!$A:$A,$E772))</f>
        <v/>
      </c>
      <c r="B772" s="5">
        <f>IF($E772="","",INDEX('Input Transaksi'!$D:$D,$E772))</f>
        <v/>
      </c>
      <c r="C772">
        <f>IF($E772="","",INDEX('Input Transaksi'!$E:$E,$E772))</f>
        <v/>
      </c>
      <c r="D772" s="5">
        <f>IF($E772="","",INDEX('Input Transaksi'!$F:$F,$E772))</f>
        <v/>
      </c>
      <c r="E772">
        <f>IFERROR(AGGREGATE(15,6,ROW('Input Transaksi'!$B$5:$B$5000)/('Input Transaksi'!$B$5:$B$5000="RINJANI WASH"),ROWS($E$5:E772)),"")</f>
        <v/>
      </c>
      <c r="F772" s="5" t="n"/>
    </row>
    <row r="773">
      <c r="A773" s="10">
        <f>IF($E773="","",INDEX('Input Transaksi'!$A:$A,$E773))</f>
        <v/>
      </c>
      <c r="B773" s="5">
        <f>IF($E773="","",INDEX('Input Transaksi'!$D:$D,$E773))</f>
        <v/>
      </c>
      <c r="C773">
        <f>IF($E773="","",INDEX('Input Transaksi'!$E:$E,$E773))</f>
        <v/>
      </c>
      <c r="D773" s="5">
        <f>IF($E773="","",INDEX('Input Transaksi'!$F:$F,$E773))</f>
        <v/>
      </c>
      <c r="E773">
        <f>IFERROR(AGGREGATE(15,6,ROW('Input Transaksi'!$B$5:$B$5000)/('Input Transaksi'!$B$5:$B$5000="RINJANI WASH"),ROWS($E$5:E773)),"")</f>
        <v/>
      </c>
      <c r="F773" s="5" t="n"/>
    </row>
    <row r="774">
      <c r="A774" s="10">
        <f>IF($E774="","",INDEX('Input Transaksi'!$A:$A,$E774))</f>
        <v/>
      </c>
      <c r="B774" s="5">
        <f>IF($E774="","",INDEX('Input Transaksi'!$D:$D,$E774))</f>
        <v/>
      </c>
      <c r="C774">
        <f>IF($E774="","",INDEX('Input Transaksi'!$E:$E,$E774))</f>
        <v/>
      </c>
      <c r="D774" s="5">
        <f>IF($E774="","",INDEX('Input Transaksi'!$F:$F,$E774))</f>
        <v/>
      </c>
      <c r="E774">
        <f>IFERROR(AGGREGATE(15,6,ROW('Input Transaksi'!$B$5:$B$5000)/('Input Transaksi'!$B$5:$B$5000="RINJANI WASH"),ROWS($E$5:E774)),"")</f>
        <v/>
      </c>
      <c r="F774" s="5" t="n"/>
    </row>
    <row r="775">
      <c r="A775" s="10">
        <f>IF($E775="","",INDEX('Input Transaksi'!$A:$A,$E775))</f>
        <v/>
      </c>
      <c r="B775" s="5">
        <f>IF($E775="","",INDEX('Input Transaksi'!$D:$D,$E775))</f>
        <v/>
      </c>
      <c r="C775">
        <f>IF($E775="","",INDEX('Input Transaksi'!$E:$E,$E775))</f>
        <v/>
      </c>
      <c r="D775" s="5">
        <f>IF($E775="","",INDEX('Input Transaksi'!$F:$F,$E775))</f>
        <v/>
      </c>
      <c r="E775">
        <f>IFERROR(AGGREGATE(15,6,ROW('Input Transaksi'!$B$5:$B$5000)/('Input Transaksi'!$B$5:$B$5000="RINJANI WASH"),ROWS($E$5:E775)),"")</f>
        <v/>
      </c>
      <c r="F775" s="5" t="n"/>
    </row>
    <row r="776">
      <c r="A776" s="10">
        <f>IF($E776="","",INDEX('Input Transaksi'!$A:$A,$E776))</f>
        <v/>
      </c>
      <c r="B776" s="5">
        <f>IF($E776="","",INDEX('Input Transaksi'!$D:$D,$E776))</f>
        <v/>
      </c>
      <c r="C776">
        <f>IF($E776="","",INDEX('Input Transaksi'!$E:$E,$E776))</f>
        <v/>
      </c>
      <c r="D776" s="5">
        <f>IF($E776="","",INDEX('Input Transaksi'!$F:$F,$E776))</f>
        <v/>
      </c>
      <c r="E776">
        <f>IFERROR(AGGREGATE(15,6,ROW('Input Transaksi'!$B$5:$B$5000)/('Input Transaksi'!$B$5:$B$5000="RINJANI WASH"),ROWS($E$5:E776)),"")</f>
        <v/>
      </c>
      <c r="F776" s="5" t="n"/>
    </row>
    <row r="777">
      <c r="A777" s="10">
        <f>IF($E777="","",INDEX('Input Transaksi'!$A:$A,$E777))</f>
        <v/>
      </c>
      <c r="B777" s="5">
        <f>IF($E777="","",INDEX('Input Transaksi'!$D:$D,$E777))</f>
        <v/>
      </c>
      <c r="C777">
        <f>IF($E777="","",INDEX('Input Transaksi'!$E:$E,$E777))</f>
        <v/>
      </c>
      <c r="D777" s="5">
        <f>IF($E777="","",INDEX('Input Transaksi'!$F:$F,$E777))</f>
        <v/>
      </c>
      <c r="E777">
        <f>IFERROR(AGGREGATE(15,6,ROW('Input Transaksi'!$B$5:$B$5000)/('Input Transaksi'!$B$5:$B$5000="RINJANI WASH"),ROWS($E$5:E777)),"")</f>
        <v/>
      </c>
      <c r="F777" s="5" t="n"/>
    </row>
    <row r="778">
      <c r="A778" s="10">
        <f>IF($E778="","",INDEX('Input Transaksi'!$A:$A,$E778))</f>
        <v/>
      </c>
      <c r="B778" s="5">
        <f>IF($E778="","",INDEX('Input Transaksi'!$D:$D,$E778))</f>
        <v/>
      </c>
      <c r="C778">
        <f>IF($E778="","",INDEX('Input Transaksi'!$E:$E,$E778))</f>
        <v/>
      </c>
      <c r="D778" s="5">
        <f>IF($E778="","",INDEX('Input Transaksi'!$F:$F,$E778))</f>
        <v/>
      </c>
      <c r="E778">
        <f>IFERROR(AGGREGATE(15,6,ROW('Input Transaksi'!$B$5:$B$5000)/('Input Transaksi'!$B$5:$B$5000="RINJANI WASH"),ROWS($E$5:E778)),"")</f>
        <v/>
      </c>
      <c r="F778" s="5" t="n"/>
    </row>
    <row r="779">
      <c r="A779" s="10">
        <f>IF($E779="","",INDEX('Input Transaksi'!$A:$A,$E779))</f>
        <v/>
      </c>
      <c r="B779" s="5">
        <f>IF($E779="","",INDEX('Input Transaksi'!$D:$D,$E779))</f>
        <v/>
      </c>
      <c r="C779">
        <f>IF($E779="","",INDEX('Input Transaksi'!$E:$E,$E779))</f>
        <v/>
      </c>
      <c r="D779" s="5">
        <f>IF($E779="","",INDEX('Input Transaksi'!$F:$F,$E779))</f>
        <v/>
      </c>
      <c r="E779">
        <f>IFERROR(AGGREGATE(15,6,ROW('Input Transaksi'!$B$5:$B$5000)/('Input Transaksi'!$B$5:$B$5000="RINJANI WASH"),ROWS($E$5:E779)),"")</f>
        <v/>
      </c>
      <c r="F779" s="5" t="n"/>
    </row>
    <row r="780">
      <c r="A780" s="10">
        <f>IF($E780="","",INDEX('Input Transaksi'!$A:$A,$E780))</f>
        <v/>
      </c>
      <c r="B780" s="5">
        <f>IF($E780="","",INDEX('Input Transaksi'!$D:$D,$E780))</f>
        <v/>
      </c>
      <c r="C780">
        <f>IF($E780="","",INDEX('Input Transaksi'!$E:$E,$E780))</f>
        <v/>
      </c>
      <c r="D780" s="5">
        <f>IF($E780="","",INDEX('Input Transaksi'!$F:$F,$E780))</f>
        <v/>
      </c>
      <c r="E780">
        <f>IFERROR(AGGREGATE(15,6,ROW('Input Transaksi'!$B$5:$B$5000)/('Input Transaksi'!$B$5:$B$5000="RINJANI WASH"),ROWS($E$5:E780)),"")</f>
        <v/>
      </c>
      <c r="F780" s="5" t="n"/>
    </row>
    <row r="781">
      <c r="A781" s="10">
        <f>IF($E781="","",INDEX('Input Transaksi'!$A:$A,$E781))</f>
        <v/>
      </c>
      <c r="B781" s="5">
        <f>IF($E781="","",INDEX('Input Transaksi'!$D:$D,$E781))</f>
        <v/>
      </c>
      <c r="C781">
        <f>IF($E781="","",INDEX('Input Transaksi'!$E:$E,$E781))</f>
        <v/>
      </c>
      <c r="D781" s="5">
        <f>IF($E781="","",INDEX('Input Transaksi'!$F:$F,$E781))</f>
        <v/>
      </c>
      <c r="E781">
        <f>IFERROR(AGGREGATE(15,6,ROW('Input Transaksi'!$B$5:$B$5000)/('Input Transaksi'!$B$5:$B$5000="RINJANI WASH"),ROWS($E$5:E781)),"")</f>
        <v/>
      </c>
      <c r="F781" s="5" t="n"/>
    </row>
    <row r="782">
      <c r="A782" s="10">
        <f>IF($E782="","",INDEX('Input Transaksi'!$A:$A,$E782))</f>
        <v/>
      </c>
      <c r="B782" s="5">
        <f>IF($E782="","",INDEX('Input Transaksi'!$D:$D,$E782))</f>
        <v/>
      </c>
      <c r="C782">
        <f>IF($E782="","",INDEX('Input Transaksi'!$E:$E,$E782))</f>
        <v/>
      </c>
      <c r="D782" s="5">
        <f>IF($E782="","",INDEX('Input Transaksi'!$F:$F,$E782))</f>
        <v/>
      </c>
      <c r="E782">
        <f>IFERROR(AGGREGATE(15,6,ROW('Input Transaksi'!$B$5:$B$5000)/('Input Transaksi'!$B$5:$B$5000="RINJANI WASH"),ROWS($E$5:E782)),"")</f>
        <v/>
      </c>
      <c r="F782" s="5" t="n"/>
    </row>
    <row r="783">
      <c r="A783" s="10">
        <f>IF($E783="","",INDEX('Input Transaksi'!$A:$A,$E783))</f>
        <v/>
      </c>
      <c r="B783" s="5">
        <f>IF($E783="","",INDEX('Input Transaksi'!$D:$D,$E783))</f>
        <v/>
      </c>
      <c r="C783">
        <f>IF($E783="","",INDEX('Input Transaksi'!$E:$E,$E783))</f>
        <v/>
      </c>
      <c r="D783" s="5">
        <f>IF($E783="","",INDEX('Input Transaksi'!$F:$F,$E783))</f>
        <v/>
      </c>
      <c r="E783">
        <f>IFERROR(AGGREGATE(15,6,ROW('Input Transaksi'!$B$5:$B$5000)/('Input Transaksi'!$B$5:$B$5000="RINJANI WASH"),ROWS($E$5:E783)),"")</f>
        <v/>
      </c>
      <c r="F783" s="5" t="n"/>
    </row>
    <row r="784">
      <c r="A784" s="10">
        <f>IF($E784="","",INDEX('Input Transaksi'!$A:$A,$E784))</f>
        <v/>
      </c>
      <c r="B784" s="5">
        <f>IF($E784="","",INDEX('Input Transaksi'!$D:$D,$E784))</f>
        <v/>
      </c>
      <c r="C784">
        <f>IF($E784="","",INDEX('Input Transaksi'!$E:$E,$E784))</f>
        <v/>
      </c>
      <c r="D784" s="5">
        <f>IF($E784="","",INDEX('Input Transaksi'!$F:$F,$E784))</f>
        <v/>
      </c>
      <c r="E784">
        <f>IFERROR(AGGREGATE(15,6,ROW('Input Transaksi'!$B$5:$B$5000)/('Input Transaksi'!$B$5:$B$5000="RINJANI WASH"),ROWS($E$5:E784)),"")</f>
        <v/>
      </c>
      <c r="F784" s="5" t="n"/>
    </row>
    <row r="785">
      <c r="A785" s="10">
        <f>IF($E785="","",INDEX('Input Transaksi'!$A:$A,$E785))</f>
        <v/>
      </c>
      <c r="B785" s="5">
        <f>IF($E785="","",INDEX('Input Transaksi'!$D:$D,$E785))</f>
        <v/>
      </c>
      <c r="C785">
        <f>IF($E785="","",INDEX('Input Transaksi'!$E:$E,$E785))</f>
        <v/>
      </c>
      <c r="D785" s="5">
        <f>IF($E785="","",INDEX('Input Transaksi'!$F:$F,$E785))</f>
        <v/>
      </c>
      <c r="E785">
        <f>IFERROR(AGGREGATE(15,6,ROW('Input Transaksi'!$B$5:$B$5000)/('Input Transaksi'!$B$5:$B$5000="RINJANI WASH"),ROWS($E$5:E785)),"")</f>
        <v/>
      </c>
      <c r="F785" s="5" t="n"/>
    </row>
    <row r="786">
      <c r="A786" s="10">
        <f>IF($E786="","",INDEX('Input Transaksi'!$A:$A,$E786))</f>
        <v/>
      </c>
      <c r="B786" s="5">
        <f>IF($E786="","",INDEX('Input Transaksi'!$D:$D,$E786))</f>
        <v/>
      </c>
      <c r="C786">
        <f>IF($E786="","",INDEX('Input Transaksi'!$E:$E,$E786))</f>
        <v/>
      </c>
      <c r="D786" s="5">
        <f>IF($E786="","",INDEX('Input Transaksi'!$F:$F,$E786))</f>
        <v/>
      </c>
      <c r="E786">
        <f>IFERROR(AGGREGATE(15,6,ROW('Input Transaksi'!$B$5:$B$5000)/('Input Transaksi'!$B$5:$B$5000="RINJANI WASH"),ROWS($E$5:E786)),"")</f>
        <v/>
      </c>
      <c r="F786" s="5" t="n"/>
    </row>
    <row r="787">
      <c r="A787" s="10">
        <f>IF($E787="","",INDEX('Input Transaksi'!$A:$A,$E787))</f>
        <v/>
      </c>
      <c r="B787" s="5">
        <f>IF($E787="","",INDEX('Input Transaksi'!$D:$D,$E787))</f>
        <v/>
      </c>
      <c r="C787">
        <f>IF($E787="","",INDEX('Input Transaksi'!$E:$E,$E787))</f>
        <v/>
      </c>
      <c r="D787" s="5">
        <f>IF($E787="","",INDEX('Input Transaksi'!$F:$F,$E787))</f>
        <v/>
      </c>
      <c r="E787">
        <f>IFERROR(AGGREGATE(15,6,ROW('Input Transaksi'!$B$5:$B$5000)/('Input Transaksi'!$B$5:$B$5000="RINJANI WASH"),ROWS($E$5:E787)),"")</f>
        <v/>
      </c>
      <c r="F787" s="5" t="n"/>
    </row>
    <row r="788">
      <c r="A788" s="10">
        <f>IF($E788="","",INDEX('Input Transaksi'!$A:$A,$E788))</f>
        <v/>
      </c>
      <c r="B788" s="5">
        <f>IF($E788="","",INDEX('Input Transaksi'!$D:$D,$E788))</f>
        <v/>
      </c>
      <c r="C788">
        <f>IF($E788="","",INDEX('Input Transaksi'!$E:$E,$E788))</f>
        <v/>
      </c>
      <c r="D788" s="5">
        <f>IF($E788="","",INDEX('Input Transaksi'!$F:$F,$E788))</f>
        <v/>
      </c>
      <c r="E788">
        <f>IFERROR(AGGREGATE(15,6,ROW('Input Transaksi'!$B$5:$B$5000)/('Input Transaksi'!$B$5:$B$5000="RINJANI WASH"),ROWS($E$5:E788)),"")</f>
        <v/>
      </c>
      <c r="F788" s="5" t="n"/>
    </row>
    <row r="789">
      <c r="A789" s="10">
        <f>IF($E789="","",INDEX('Input Transaksi'!$A:$A,$E789))</f>
        <v/>
      </c>
      <c r="B789" s="5">
        <f>IF($E789="","",INDEX('Input Transaksi'!$D:$D,$E789))</f>
        <v/>
      </c>
      <c r="C789">
        <f>IF($E789="","",INDEX('Input Transaksi'!$E:$E,$E789))</f>
        <v/>
      </c>
      <c r="D789" s="5">
        <f>IF($E789="","",INDEX('Input Transaksi'!$F:$F,$E789))</f>
        <v/>
      </c>
      <c r="E789">
        <f>IFERROR(AGGREGATE(15,6,ROW('Input Transaksi'!$B$5:$B$5000)/('Input Transaksi'!$B$5:$B$5000="RINJANI WASH"),ROWS($E$5:E789)),"")</f>
        <v/>
      </c>
      <c r="F789" s="5" t="n"/>
    </row>
    <row r="790">
      <c r="A790" s="10">
        <f>IF($E790="","",INDEX('Input Transaksi'!$A:$A,$E790))</f>
        <v/>
      </c>
      <c r="B790" s="5">
        <f>IF($E790="","",INDEX('Input Transaksi'!$D:$D,$E790))</f>
        <v/>
      </c>
      <c r="C790">
        <f>IF($E790="","",INDEX('Input Transaksi'!$E:$E,$E790))</f>
        <v/>
      </c>
      <c r="D790" s="5">
        <f>IF($E790="","",INDEX('Input Transaksi'!$F:$F,$E790))</f>
        <v/>
      </c>
      <c r="E790">
        <f>IFERROR(AGGREGATE(15,6,ROW('Input Transaksi'!$B$5:$B$5000)/('Input Transaksi'!$B$5:$B$5000="RINJANI WASH"),ROWS($E$5:E790)),"")</f>
        <v/>
      </c>
      <c r="F790" s="5" t="n"/>
    </row>
    <row r="791">
      <c r="A791" s="10">
        <f>IF($E791="","",INDEX('Input Transaksi'!$A:$A,$E791))</f>
        <v/>
      </c>
      <c r="B791" s="5">
        <f>IF($E791="","",INDEX('Input Transaksi'!$D:$D,$E791))</f>
        <v/>
      </c>
      <c r="C791">
        <f>IF($E791="","",INDEX('Input Transaksi'!$E:$E,$E791))</f>
        <v/>
      </c>
      <c r="D791" s="5">
        <f>IF($E791="","",INDEX('Input Transaksi'!$F:$F,$E791))</f>
        <v/>
      </c>
      <c r="E791">
        <f>IFERROR(AGGREGATE(15,6,ROW('Input Transaksi'!$B$5:$B$5000)/('Input Transaksi'!$B$5:$B$5000="RINJANI WASH"),ROWS($E$5:E791)),"")</f>
        <v/>
      </c>
      <c r="F791" s="5" t="n"/>
    </row>
    <row r="792">
      <c r="A792" s="10">
        <f>IF($E792="","",INDEX('Input Transaksi'!$A:$A,$E792))</f>
        <v/>
      </c>
      <c r="B792" s="5">
        <f>IF($E792="","",INDEX('Input Transaksi'!$D:$D,$E792))</f>
        <v/>
      </c>
      <c r="C792">
        <f>IF($E792="","",INDEX('Input Transaksi'!$E:$E,$E792))</f>
        <v/>
      </c>
      <c r="D792" s="5">
        <f>IF($E792="","",INDEX('Input Transaksi'!$F:$F,$E792))</f>
        <v/>
      </c>
      <c r="E792">
        <f>IFERROR(AGGREGATE(15,6,ROW('Input Transaksi'!$B$5:$B$5000)/('Input Transaksi'!$B$5:$B$5000="RINJANI WASH"),ROWS($E$5:E792)),"")</f>
        <v/>
      </c>
      <c r="F792" s="5" t="n"/>
    </row>
    <row r="793">
      <c r="A793" s="10">
        <f>IF($E793="","",INDEX('Input Transaksi'!$A:$A,$E793))</f>
        <v/>
      </c>
      <c r="B793" s="5">
        <f>IF($E793="","",INDEX('Input Transaksi'!$D:$D,$E793))</f>
        <v/>
      </c>
      <c r="C793">
        <f>IF($E793="","",INDEX('Input Transaksi'!$E:$E,$E793))</f>
        <v/>
      </c>
      <c r="D793" s="5">
        <f>IF($E793="","",INDEX('Input Transaksi'!$F:$F,$E793))</f>
        <v/>
      </c>
      <c r="E793">
        <f>IFERROR(AGGREGATE(15,6,ROW('Input Transaksi'!$B$5:$B$5000)/('Input Transaksi'!$B$5:$B$5000="RINJANI WASH"),ROWS($E$5:E793)),"")</f>
        <v/>
      </c>
      <c r="F793" s="5" t="n"/>
    </row>
    <row r="794">
      <c r="A794" s="10">
        <f>IF($E794="","",INDEX('Input Transaksi'!$A:$A,$E794))</f>
        <v/>
      </c>
      <c r="B794" s="5">
        <f>IF($E794="","",INDEX('Input Transaksi'!$D:$D,$E794))</f>
        <v/>
      </c>
      <c r="C794">
        <f>IF($E794="","",INDEX('Input Transaksi'!$E:$E,$E794))</f>
        <v/>
      </c>
      <c r="D794" s="5">
        <f>IF($E794="","",INDEX('Input Transaksi'!$F:$F,$E794))</f>
        <v/>
      </c>
      <c r="E794">
        <f>IFERROR(AGGREGATE(15,6,ROW('Input Transaksi'!$B$5:$B$5000)/('Input Transaksi'!$B$5:$B$5000="RINJANI WASH"),ROWS($E$5:E794)),"")</f>
        <v/>
      </c>
      <c r="F794" s="5" t="n"/>
    </row>
    <row r="795">
      <c r="A795" s="10">
        <f>IF($E795="","",INDEX('Input Transaksi'!$A:$A,$E795))</f>
        <v/>
      </c>
      <c r="B795" s="5">
        <f>IF($E795="","",INDEX('Input Transaksi'!$D:$D,$E795))</f>
        <v/>
      </c>
      <c r="C795">
        <f>IF($E795="","",INDEX('Input Transaksi'!$E:$E,$E795))</f>
        <v/>
      </c>
      <c r="D795" s="5">
        <f>IF($E795="","",INDEX('Input Transaksi'!$F:$F,$E795))</f>
        <v/>
      </c>
      <c r="E795">
        <f>IFERROR(AGGREGATE(15,6,ROW('Input Transaksi'!$B$5:$B$5000)/('Input Transaksi'!$B$5:$B$5000="RINJANI WASH"),ROWS($E$5:E795)),"")</f>
        <v/>
      </c>
      <c r="F795" s="5" t="n"/>
    </row>
    <row r="796">
      <c r="A796" s="10">
        <f>IF($E796="","",INDEX('Input Transaksi'!$A:$A,$E796))</f>
        <v/>
      </c>
      <c r="B796" s="5">
        <f>IF($E796="","",INDEX('Input Transaksi'!$D:$D,$E796))</f>
        <v/>
      </c>
      <c r="C796">
        <f>IF($E796="","",INDEX('Input Transaksi'!$E:$E,$E796))</f>
        <v/>
      </c>
      <c r="D796" s="5">
        <f>IF($E796="","",INDEX('Input Transaksi'!$F:$F,$E796))</f>
        <v/>
      </c>
      <c r="E796">
        <f>IFERROR(AGGREGATE(15,6,ROW('Input Transaksi'!$B$5:$B$5000)/('Input Transaksi'!$B$5:$B$5000="RINJANI WASH"),ROWS($E$5:E796)),"")</f>
        <v/>
      </c>
      <c r="F796" s="5" t="n"/>
    </row>
    <row r="797">
      <c r="A797" s="10">
        <f>IF($E797="","",INDEX('Input Transaksi'!$A:$A,$E797))</f>
        <v/>
      </c>
      <c r="B797" s="5">
        <f>IF($E797="","",INDEX('Input Transaksi'!$D:$D,$E797))</f>
        <v/>
      </c>
      <c r="C797">
        <f>IF($E797="","",INDEX('Input Transaksi'!$E:$E,$E797))</f>
        <v/>
      </c>
      <c r="D797" s="5">
        <f>IF($E797="","",INDEX('Input Transaksi'!$F:$F,$E797))</f>
        <v/>
      </c>
      <c r="E797">
        <f>IFERROR(AGGREGATE(15,6,ROW('Input Transaksi'!$B$5:$B$5000)/('Input Transaksi'!$B$5:$B$5000="RINJANI WASH"),ROWS($E$5:E797)),"")</f>
        <v/>
      </c>
      <c r="F797" s="5" t="n"/>
    </row>
    <row r="798">
      <c r="A798" s="10">
        <f>IF($E798="","",INDEX('Input Transaksi'!$A:$A,$E798))</f>
        <v/>
      </c>
      <c r="B798" s="5">
        <f>IF($E798="","",INDEX('Input Transaksi'!$D:$D,$E798))</f>
        <v/>
      </c>
      <c r="C798">
        <f>IF($E798="","",INDEX('Input Transaksi'!$E:$E,$E798))</f>
        <v/>
      </c>
      <c r="D798" s="5">
        <f>IF($E798="","",INDEX('Input Transaksi'!$F:$F,$E798))</f>
        <v/>
      </c>
      <c r="E798">
        <f>IFERROR(AGGREGATE(15,6,ROW('Input Transaksi'!$B$5:$B$5000)/('Input Transaksi'!$B$5:$B$5000="RINJANI WASH"),ROWS($E$5:E798)),"")</f>
        <v/>
      </c>
      <c r="F798" s="5" t="n"/>
    </row>
    <row r="799">
      <c r="A799" s="10">
        <f>IF($E799="","",INDEX('Input Transaksi'!$A:$A,$E799))</f>
        <v/>
      </c>
      <c r="B799" s="5">
        <f>IF($E799="","",INDEX('Input Transaksi'!$D:$D,$E799))</f>
        <v/>
      </c>
      <c r="C799">
        <f>IF($E799="","",INDEX('Input Transaksi'!$E:$E,$E799))</f>
        <v/>
      </c>
      <c r="D799" s="5">
        <f>IF($E799="","",INDEX('Input Transaksi'!$F:$F,$E799))</f>
        <v/>
      </c>
      <c r="E799">
        <f>IFERROR(AGGREGATE(15,6,ROW('Input Transaksi'!$B$5:$B$5000)/('Input Transaksi'!$B$5:$B$5000="RINJANI WASH"),ROWS($E$5:E799)),"")</f>
        <v/>
      </c>
      <c r="F799" s="5" t="n"/>
    </row>
    <row r="800">
      <c r="A800" s="10">
        <f>IF($E800="","",INDEX('Input Transaksi'!$A:$A,$E800))</f>
        <v/>
      </c>
      <c r="B800" s="5">
        <f>IF($E800="","",INDEX('Input Transaksi'!$D:$D,$E800))</f>
        <v/>
      </c>
      <c r="C800">
        <f>IF($E800="","",INDEX('Input Transaksi'!$E:$E,$E800))</f>
        <v/>
      </c>
      <c r="D800" s="5">
        <f>IF($E800="","",INDEX('Input Transaksi'!$F:$F,$E800))</f>
        <v/>
      </c>
      <c r="E800">
        <f>IFERROR(AGGREGATE(15,6,ROW('Input Transaksi'!$B$5:$B$5000)/('Input Transaksi'!$B$5:$B$5000="RINJANI WASH"),ROWS($E$5:E800)),"")</f>
        <v/>
      </c>
      <c r="F800" s="5" t="n"/>
    </row>
    <row r="801">
      <c r="A801" s="10">
        <f>IF($E801="","",INDEX('Input Transaksi'!$A:$A,$E801))</f>
        <v/>
      </c>
      <c r="B801" s="5">
        <f>IF($E801="","",INDEX('Input Transaksi'!$D:$D,$E801))</f>
        <v/>
      </c>
      <c r="C801">
        <f>IF($E801="","",INDEX('Input Transaksi'!$E:$E,$E801))</f>
        <v/>
      </c>
      <c r="D801" s="5">
        <f>IF($E801="","",INDEX('Input Transaksi'!$F:$F,$E801))</f>
        <v/>
      </c>
      <c r="E801">
        <f>IFERROR(AGGREGATE(15,6,ROW('Input Transaksi'!$B$5:$B$5000)/('Input Transaksi'!$B$5:$B$5000="RINJANI WASH"),ROWS($E$5:E801)),"")</f>
        <v/>
      </c>
      <c r="F801" s="5" t="n"/>
    </row>
    <row r="802">
      <c r="A802" s="10">
        <f>IF($E802="","",INDEX('Input Transaksi'!$A:$A,$E802))</f>
        <v/>
      </c>
      <c r="B802" s="5">
        <f>IF($E802="","",INDEX('Input Transaksi'!$D:$D,$E802))</f>
        <v/>
      </c>
      <c r="C802">
        <f>IF($E802="","",INDEX('Input Transaksi'!$E:$E,$E802))</f>
        <v/>
      </c>
      <c r="D802" s="5">
        <f>IF($E802="","",INDEX('Input Transaksi'!$F:$F,$E802))</f>
        <v/>
      </c>
      <c r="E802">
        <f>IFERROR(AGGREGATE(15,6,ROW('Input Transaksi'!$B$5:$B$5000)/('Input Transaksi'!$B$5:$B$5000="RINJANI WASH"),ROWS($E$5:E802)),"")</f>
        <v/>
      </c>
      <c r="F802" s="5" t="n"/>
    </row>
    <row r="803">
      <c r="A803" s="10">
        <f>IF($E803="","",INDEX('Input Transaksi'!$A:$A,$E803))</f>
        <v/>
      </c>
      <c r="B803" s="5">
        <f>IF($E803="","",INDEX('Input Transaksi'!$D:$D,$E803))</f>
        <v/>
      </c>
      <c r="C803">
        <f>IF($E803="","",INDEX('Input Transaksi'!$E:$E,$E803))</f>
        <v/>
      </c>
      <c r="D803" s="5">
        <f>IF($E803="","",INDEX('Input Transaksi'!$F:$F,$E803))</f>
        <v/>
      </c>
      <c r="E803">
        <f>IFERROR(AGGREGATE(15,6,ROW('Input Transaksi'!$B$5:$B$5000)/('Input Transaksi'!$B$5:$B$5000="RINJANI WASH"),ROWS($E$5:E803)),"")</f>
        <v/>
      </c>
      <c r="F803" s="5" t="n"/>
    </row>
    <row r="804">
      <c r="A804" s="10">
        <f>IF($E804="","",INDEX('Input Transaksi'!$A:$A,$E804))</f>
        <v/>
      </c>
      <c r="B804" s="5">
        <f>IF($E804="","",INDEX('Input Transaksi'!$D:$D,$E804))</f>
        <v/>
      </c>
      <c r="C804">
        <f>IF($E804="","",INDEX('Input Transaksi'!$E:$E,$E804))</f>
        <v/>
      </c>
      <c r="D804" s="5">
        <f>IF($E804="","",INDEX('Input Transaksi'!$F:$F,$E804))</f>
        <v/>
      </c>
      <c r="E804">
        <f>IFERROR(AGGREGATE(15,6,ROW('Input Transaksi'!$B$5:$B$5000)/('Input Transaksi'!$B$5:$B$5000="RINJANI WASH"),ROWS($E$5:E804)),"")</f>
        <v/>
      </c>
      <c r="F804" s="5" t="n"/>
    </row>
    <row r="805">
      <c r="A805" s="10">
        <f>IF($E805="","",INDEX('Input Transaksi'!$A:$A,$E805))</f>
        <v/>
      </c>
      <c r="B805" s="5">
        <f>IF($E805="","",INDEX('Input Transaksi'!$D:$D,$E805))</f>
        <v/>
      </c>
      <c r="C805">
        <f>IF($E805="","",INDEX('Input Transaksi'!$E:$E,$E805))</f>
        <v/>
      </c>
      <c r="D805" s="5">
        <f>IF($E805="","",INDEX('Input Transaksi'!$F:$F,$E805))</f>
        <v/>
      </c>
      <c r="E805">
        <f>IFERROR(AGGREGATE(15,6,ROW('Input Transaksi'!$B$5:$B$5000)/('Input Transaksi'!$B$5:$B$5000="RINJANI WASH"),ROWS($E$5:E805)),"")</f>
        <v/>
      </c>
      <c r="F805" s="5" t="n"/>
    </row>
    <row r="806">
      <c r="A806" s="10">
        <f>IF($E806="","",INDEX('Input Transaksi'!$A:$A,$E806))</f>
        <v/>
      </c>
      <c r="B806" s="5">
        <f>IF($E806="","",INDEX('Input Transaksi'!$D:$D,$E806))</f>
        <v/>
      </c>
      <c r="C806">
        <f>IF($E806="","",INDEX('Input Transaksi'!$E:$E,$E806))</f>
        <v/>
      </c>
      <c r="D806" s="5">
        <f>IF($E806="","",INDEX('Input Transaksi'!$F:$F,$E806))</f>
        <v/>
      </c>
      <c r="E806">
        <f>IFERROR(AGGREGATE(15,6,ROW('Input Transaksi'!$B$5:$B$5000)/('Input Transaksi'!$B$5:$B$5000="RINJANI WASH"),ROWS($E$5:E806)),"")</f>
        <v/>
      </c>
      <c r="F806" s="5" t="n"/>
    </row>
    <row r="807">
      <c r="A807" s="10">
        <f>IF($E807="","",INDEX('Input Transaksi'!$A:$A,$E807))</f>
        <v/>
      </c>
      <c r="B807" s="5">
        <f>IF($E807="","",INDEX('Input Transaksi'!$D:$D,$E807))</f>
        <v/>
      </c>
      <c r="C807">
        <f>IF($E807="","",INDEX('Input Transaksi'!$E:$E,$E807))</f>
        <v/>
      </c>
      <c r="D807" s="5">
        <f>IF($E807="","",INDEX('Input Transaksi'!$F:$F,$E807))</f>
        <v/>
      </c>
      <c r="E807">
        <f>IFERROR(AGGREGATE(15,6,ROW('Input Transaksi'!$B$5:$B$5000)/('Input Transaksi'!$B$5:$B$5000="RINJANI WASH"),ROWS($E$5:E807)),"")</f>
        <v/>
      </c>
      <c r="F807" s="5" t="n"/>
    </row>
    <row r="808">
      <c r="A808" s="10">
        <f>IF($E808="","",INDEX('Input Transaksi'!$A:$A,$E808))</f>
        <v/>
      </c>
      <c r="B808" s="5">
        <f>IF($E808="","",INDEX('Input Transaksi'!$D:$D,$E808))</f>
        <v/>
      </c>
      <c r="C808">
        <f>IF($E808="","",INDEX('Input Transaksi'!$E:$E,$E808))</f>
        <v/>
      </c>
      <c r="D808" s="5">
        <f>IF($E808="","",INDEX('Input Transaksi'!$F:$F,$E808))</f>
        <v/>
      </c>
      <c r="E808">
        <f>IFERROR(AGGREGATE(15,6,ROW('Input Transaksi'!$B$5:$B$5000)/('Input Transaksi'!$B$5:$B$5000="RINJANI WASH"),ROWS($E$5:E808)),"")</f>
        <v/>
      </c>
      <c r="F808" s="5" t="n"/>
    </row>
    <row r="809">
      <c r="A809" s="10">
        <f>IF($E809="","",INDEX('Input Transaksi'!$A:$A,$E809))</f>
        <v/>
      </c>
      <c r="B809" s="5">
        <f>IF($E809="","",INDEX('Input Transaksi'!$D:$D,$E809))</f>
        <v/>
      </c>
      <c r="C809">
        <f>IF($E809="","",INDEX('Input Transaksi'!$E:$E,$E809))</f>
        <v/>
      </c>
      <c r="D809" s="5">
        <f>IF($E809="","",INDEX('Input Transaksi'!$F:$F,$E809))</f>
        <v/>
      </c>
      <c r="E809">
        <f>IFERROR(AGGREGATE(15,6,ROW('Input Transaksi'!$B$5:$B$5000)/('Input Transaksi'!$B$5:$B$5000="RINJANI WASH"),ROWS($E$5:E809)),"")</f>
        <v/>
      </c>
      <c r="F809" s="5" t="n"/>
    </row>
    <row r="810">
      <c r="A810" s="10">
        <f>IF($E810="","",INDEX('Input Transaksi'!$A:$A,$E810))</f>
        <v/>
      </c>
      <c r="B810" s="5">
        <f>IF($E810="","",INDEX('Input Transaksi'!$D:$D,$E810))</f>
        <v/>
      </c>
      <c r="C810">
        <f>IF($E810="","",INDEX('Input Transaksi'!$E:$E,$E810))</f>
        <v/>
      </c>
      <c r="D810" s="5">
        <f>IF($E810="","",INDEX('Input Transaksi'!$F:$F,$E810))</f>
        <v/>
      </c>
      <c r="E810">
        <f>IFERROR(AGGREGATE(15,6,ROW('Input Transaksi'!$B$5:$B$5000)/('Input Transaksi'!$B$5:$B$5000="RINJANI WASH"),ROWS($E$5:E810)),"")</f>
        <v/>
      </c>
      <c r="F810" s="5" t="n"/>
    </row>
    <row r="811">
      <c r="A811" s="10">
        <f>IF($E811="","",INDEX('Input Transaksi'!$A:$A,$E811))</f>
        <v/>
      </c>
      <c r="B811" s="5">
        <f>IF($E811="","",INDEX('Input Transaksi'!$D:$D,$E811))</f>
        <v/>
      </c>
      <c r="C811">
        <f>IF($E811="","",INDEX('Input Transaksi'!$E:$E,$E811))</f>
        <v/>
      </c>
      <c r="D811" s="5">
        <f>IF($E811="","",INDEX('Input Transaksi'!$F:$F,$E811))</f>
        <v/>
      </c>
      <c r="E811">
        <f>IFERROR(AGGREGATE(15,6,ROW('Input Transaksi'!$B$5:$B$5000)/('Input Transaksi'!$B$5:$B$5000="RINJANI WASH"),ROWS($E$5:E811)),"")</f>
        <v/>
      </c>
      <c r="F811" s="5" t="n"/>
    </row>
    <row r="812">
      <c r="A812" s="10">
        <f>IF($E812="","",INDEX('Input Transaksi'!$A:$A,$E812))</f>
        <v/>
      </c>
      <c r="B812" s="5">
        <f>IF($E812="","",INDEX('Input Transaksi'!$D:$D,$E812))</f>
        <v/>
      </c>
      <c r="C812">
        <f>IF($E812="","",INDEX('Input Transaksi'!$E:$E,$E812))</f>
        <v/>
      </c>
      <c r="D812" s="5">
        <f>IF($E812="","",INDEX('Input Transaksi'!$F:$F,$E812))</f>
        <v/>
      </c>
      <c r="E812">
        <f>IFERROR(AGGREGATE(15,6,ROW('Input Transaksi'!$B$5:$B$5000)/('Input Transaksi'!$B$5:$B$5000="RINJANI WASH"),ROWS($E$5:E812)),"")</f>
        <v/>
      </c>
      <c r="F812" s="5" t="n"/>
    </row>
    <row r="813">
      <c r="A813" s="10">
        <f>IF($E813="","",INDEX('Input Transaksi'!$A:$A,$E813))</f>
        <v/>
      </c>
      <c r="B813" s="5">
        <f>IF($E813="","",INDEX('Input Transaksi'!$D:$D,$E813))</f>
        <v/>
      </c>
      <c r="C813">
        <f>IF($E813="","",INDEX('Input Transaksi'!$E:$E,$E813))</f>
        <v/>
      </c>
      <c r="D813" s="5">
        <f>IF($E813="","",INDEX('Input Transaksi'!$F:$F,$E813))</f>
        <v/>
      </c>
      <c r="E813">
        <f>IFERROR(AGGREGATE(15,6,ROW('Input Transaksi'!$B$5:$B$5000)/('Input Transaksi'!$B$5:$B$5000="RINJANI WASH"),ROWS($E$5:E813)),"")</f>
        <v/>
      </c>
      <c r="F813" s="5" t="n"/>
    </row>
    <row r="814">
      <c r="A814" s="10">
        <f>IF($E814="","",INDEX('Input Transaksi'!$A:$A,$E814))</f>
        <v/>
      </c>
      <c r="B814" s="5">
        <f>IF($E814="","",INDEX('Input Transaksi'!$D:$D,$E814))</f>
        <v/>
      </c>
      <c r="C814">
        <f>IF($E814="","",INDEX('Input Transaksi'!$E:$E,$E814))</f>
        <v/>
      </c>
      <c r="D814" s="5">
        <f>IF($E814="","",INDEX('Input Transaksi'!$F:$F,$E814))</f>
        <v/>
      </c>
      <c r="E814">
        <f>IFERROR(AGGREGATE(15,6,ROW('Input Transaksi'!$B$5:$B$5000)/('Input Transaksi'!$B$5:$B$5000="RINJANI WASH"),ROWS($E$5:E814)),"")</f>
        <v/>
      </c>
      <c r="F814" s="5" t="n"/>
    </row>
    <row r="815">
      <c r="A815" s="10">
        <f>IF($E815="","",INDEX('Input Transaksi'!$A:$A,$E815))</f>
        <v/>
      </c>
      <c r="B815" s="5">
        <f>IF($E815="","",INDEX('Input Transaksi'!$D:$D,$E815))</f>
        <v/>
      </c>
      <c r="C815">
        <f>IF($E815="","",INDEX('Input Transaksi'!$E:$E,$E815))</f>
        <v/>
      </c>
      <c r="D815" s="5">
        <f>IF($E815="","",INDEX('Input Transaksi'!$F:$F,$E815))</f>
        <v/>
      </c>
      <c r="E815">
        <f>IFERROR(AGGREGATE(15,6,ROW('Input Transaksi'!$B$5:$B$5000)/('Input Transaksi'!$B$5:$B$5000="RINJANI WASH"),ROWS($E$5:E815)),"")</f>
        <v/>
      </c>
      <c r="F815" s="5" t="n"/>
    </row>
    <row r="816">
      <c r="A816" s="10">
        <f>IF($E816="","",INDEX('Input Transaksi'!$A:$A,$E816))</f>
        <v/>
      </c>
      <c r="B816" s="5">
        <f>IF($E816="","",INDEX('Input Transaksi'!$D:$D,$E816))</f>
        <v/>
      </c>
      <c r="C816">
        <f>IF($E816="","",INDEX('Input Transaksi'!$E:$E,$E816))</f>
        <v/>
      </c>
      <c r="D816" s="5">
        <f>IF($E816="","",INDEX('Input Transaksi'!$F:$F,$E816))</f>
        <v/>
      </c>
      <c r="E816">
        <f>IFERROR(AGGREGATE(15,6,ROW('Input Transaksi'!$B$5:$B$5000)/('Input Transaksi'!$B$5:$B$5000="RINJANI WASH"),ROWS($E$5:E816)),"")</f>
        <v/>
      </c>
      <c r="F816" s="5" t="n"/>
    </row>
    <row r="817">
      <c r="A817" s="10">
        <f>IF($E817="","",INDEX('Input Transaksi'!$A:$A,$E817))</f>
        <v/>
      </c>
      <c r="B817" s="5">
        <f>IF($E817="","",INDEX('Input Transaksi'!$D:$D,$E817))</f>
        <v/>
      </c>
      <c r="C817">
        <f>IF($E817="","",INDEX('Input Transaksi'!$E:$E,$E817))</f>
        <v/>
      </c>
      <c r="D817" s="5">
        <f>IF($E817="","",INDEX('Input Transaksi'!$F:$F,$E817))</f>
        <v/>
      </c>
      <c r="E817">
        <f>IFERROR(AGGREGATE(15,6,ROW('Input Transaksi'!$B$5:$B$5000)/('Input Transaksi'!$B$5:$B$5000="RINJANI WASH"),ROWS($E$5:E817)),"")</f>
        <v/>
      </c>
      <c r="F817" s="5" t="n"/>
    </row>
    <row r="818">
      <c r="A818" s="10">
        <f>IF($E818="","",INDEX('Input Transaksi'!$A:$A,$E818))</f>
        <v/>
      </c>
      <c r="B818" s="5">
        <f>IF($E818="","",INDEX('Input Transaksi'!$D:$D,$E818))</f>
        <v/>
      </c>
      <c r="C818">
        <f>IF($E818="","",INDEX('Input Transaksi'!$E:$E,$E818))</f>
        <v/>
      </c>
      <c r="D818" s="5">
        <f>IF($E818="","",INDEX('Input Transaksi'!$F:$F,$E818))</f>
        <v/>
      </c>
      <c r="E818">
        <f>IFERROR(AGGREGATE(15,6,ROW('Input Transaksi'!$B$5:$B$5000)/('Input Transaksi'!$B$5:$B$5000="RINJANI WASH"),ROWS($E$5:E818)),"")</f>
        <v/>
      </c>
      <c r="F818" s="5" t="n"/>
    </row>
    <row r="819">
      <c r="A819" s="10">
        <f>IF($E819="","",INDEX('Input Transaksi'!$A:$A,$E819))</f>
        <v/>
      </c>
      <c r="B819" s="5">
        <f>IF($E819="","",INDEX('Input Transaksi'!$D:$D,$E819))</f>
        <v/>
      </c>
      <c r="C819">
        <f>IF($E819="","",INDEX('Input Transaksi'!$E:$E,$E819))</f>
        <v/>
      </c>
      <c r="D819" s="5">
        <f>IF($E819="","",INDEX('Input Transaksi'!$F:$F,$E819))</f>
        <v/>
      </c>
      <c r="E819">
        <f>IFERROR(AGGREGATE(15,6,ROW('Input Transaksi'!$B$5:$B$5000)/('Input Transaksi'!$B$5:$B$5000="RINJANI WASH"),ROWS($E$5:E819)),"")</f>
        <v/>
      </c>
      <c r="F819" s="5" t="n"/>
    </row>
    <row r="820">
      <c r="A820" s="10">
        <f>IF($E820="","",INDEX('Input Transaksi'!$A:$A,$E820))</f>
        <v/>
      </c>
      <c r="B820" s="5">
        <f>IF($E820="","",INDEX('Input Transaksi'!$D:$D,$E820))</f>
        <v/>
      </c>
      <c r="C820">
        <f>IF($E820="","",INDEX('Input Transaksi'!$E:$E,$E820))</f>
        <v/>
      </c>
      <c r="D820" s="5">
        <f>IF($E820="","",INDEX('Input Transaksi'!$F:$F,$E820))</f>
        <v/>
      </c>
      <c r="E820">
        <f>IFERROR(AGGREGATE(15,6,ROW('Input Transaksi'!$B$5:$B$5000)/('Input Transaksi'!$B$5:$B$5000="RINJANI WASH"),ROWS($E$5:E820)),"")</f>
        <v/>
      </c>
      <c r="F820" s="5" t="n"/>
    </row>
    <row r="821">
      <c r="A821" s="10">
        <f>IF($E821="","",INDEX('Input Transaksi'!$A:$A,$E821))</f>
        <v/>
      </c>
      <c r="B821" s="5">
        <f>IF($E821="","",INDEX('Input Transaksi'!$D:$D,$E821))</f>
        <v/>
      </c>
      <c r="C821">
        <f>IF($E821="","",INDEX('Input Transaksi'!$E:$E,$E821))</f>
        <v/>
      </c>
      <c r="D821" s="5">
        <f>IF($E821="","",INDEX('Input Transaksi'!$F:$F,$E821))</f>
        <v/>
      </c>
      <c r="E821">
        <f>IFERROR(AGGREGATE(15,6,ROW('Input Transaksi'!$B$5:$B$5000)/('Input Transaksi'!$B$5:$B$5000="RINJANI WASH"),ROWS($E$5:E821)),"")</f>
        <v/>
      </c>
      <c r="F821" s="5" t="n"/>
    </row>
    <row r="822">
      <c r="A822" s="10">
        <f>IF($E822="","",INDEX('Input Transaksi'!$A:$A,$E822))</f>
        <v/>
      </c>
      <c r="B822" s="5">
        <f>IF($E822="","",INDEX('Input Transaksi'!$D:$D,$E822))</f>
        <v/>
      </c>
      <c r="C822">
        <f>IF($E822="","",INDEX('Input Transaksi'!$E:$E,$E822))</f>
        <v/>
      </c>
      <c r="D822" s="5">
        <f>IF($E822="","",INDEX('Input Transaksi'!$F:$F,$E822))</f>
        <v/>
      </c>
      <c r="E822">
        <f>IFERROR(AGGREGATE(15,6,ROW('Input Transaksi'!$B$5:$B$5000)/('Input Transaksi'!$B$5:$B$5000="RINJANI WASH"),ROWS($E$5:E822)),"")</f>
        <v/>
      </c>
      <c r="F822" s="5" t="n"/>
    </row>
    <row r="823">
      <c r="A823" s="10">
        <f>IF($E823="","",INDEX('Input Transaksi'!$A:$A,$E823))</f>
        <v/>
      </c>
      <c r="B823" s="5">
        <f>IF($E823="","",INDEX('Input Transaksi'!$D:$D,$E823))</f>
        <v/>
      </c>
      <c r="C823">
        <f>IF($E823="","",INDEX('Input Transaksi'!$E:$E,$E823))</f>
        <v/>
      </c>
      <c r="D823" s="5">
        <f>IF($E823="","",INDEX('Input Transaksi'!$F:$F,$E823))</f>
        <v/>
      </c>
      <c r="E823">
        <f>IFERROR(AGGREGATE(15,6,ROW('Input Transaksi'!$B$5:$B$5000)/('Input Transaksi'!$B$5:$B$5000="RINJANI WASH"),ROWS($E$5:E823)),"")</f>
        <v/>
      </c>
      <c r="F823" s="5" t="n"/>
    </row>
    <row r="824">
      <c r="A824" s="10">
        <f>IF($E824="","",INDEX('Input Transaksi'!$A:$A,$E824))</f>
        <v/>
      </c>
      <c r="B824" s="5">
        <f>IF($E824="","",INDEX('Input Transaksi'!$D:$D,$E824))</f>
        <v/>
      </c>
      <c r="C824">
        <f>IF($E824="","",INDEX('Input Transaksi'!$E:$E,$E824))</f>
        <v/>
      </c>
      <c r="D824" s="5">
        <f>IF($E824="","",INDEX('Input Transaksi'!$F:$F,$E824))</f>
        <v/>
      </c>
      <c r="E824">
        <f>IFERROR(AGGREGATE(15,6,ROW('Input Transaksi'!$B$5:$B$5000)/('Input Transaksi'!$B$5:$B$5000="RINJANI WASH"),ROWS($E$5:E824)),"")</f>
        <v/>
      </c>
      <c r="F824" s="5" t="n"/>
    </row>
    <row r="825">
      <c r="A825" s="10">
        <f>IF($E825="","",INDEX('Input Transaksi'!$A:$A,$E825))</f>
        <v/>
      </c>
      <c r="B825" s="5">
        <f>IF($E825="","",INDEX('Input Transaksi'!$D:$D,$E825))</f>
        <v/>
      </c>
      <c r="C825">
        <f>IF($E825="","",INDEX('Input Transaksi'!$E:$E,$E825))</f>
        <v/>
      </c>
      <c r="D825" s="5">
        <f>IF($E825="","",INDEX('Input Transaksi'!$F:$F,$E825))</f>
        <v/>
      </c>
      <c r="E825">
        <f>IFERROR(AGGREGATE(15,6,ROW('Input Transaksi'!$B$5:$B$5000)/('Input Transaksi'!$B$5:$B$5000="RINJANI WASH"),ROWS($E$5:E825)),"")</f>
        <v/>
      </c>
      <c r="F825" s="5" t="n"/>
    </row>
    <row r="826">
      <c r="A826" s="10">
        <f>IF($E826="","",INDEX('Input Transaksi'!$A:$A,$E826))</f>
        <v/>
      </c>
      <c r="B826" s="5">
        <f>IF($E826="","",INDEX('Input Transaksi'!$D:$D,$E826))</f>
        <v/>
      </c>
      <c r="C826">
        <f>IF($E826="","",INDEX('Input Transaksi'!$E:$E,$E826))</f>
        <v/>
      </c>
      <c r="D826" s="5">
        <f>IF($E826="","",INDEX('Input Transaksi'!$F:$F,$E826))</f>
        <v/>
      </c>
      <c r="E826">
        <f>IFERROR(AGGREGATE(15,6,ROW('Input Transaksi'!$B$5:$B$5000)/('Input Transaksi'!$B$5:$B$5000="RINJANI WASH"),ROWS($E$5:E826)),"")</f>
        <v/>
      </c>
      <c r="F826" s="5" t="n"/>
    </row>
    <row r="827">
      <c r="A827" s="10">
        <f>IF($E827="","",INDEX('Input Transaksi'!$A:$A,$E827))</f>
        <v/>
      </c>
      <c r="B827" s="5">
        <f>IF($E827="","",INDEX('Input Transaksi'!$D:$D,$E827))</f>
        <v/>
      </c>
      <c r="C827">
        <f>IF($E827="","",INDEX('Input Transaksi'!$E:$E,$E827))</f>
        <v/>
      </c>
      <c r="D827" s="5">
        <f>IF($E827="","",INDEX('Input Transaksi'!$F:$F,$E827))</f>
        <v/>
      </c>
      <c r="E827">
        <f>IFERROR(AGGREGATE(15,6,ROW('Input Transaksi'!$B$5:$B$5000)/('Input Transaksi'!$B$5:$B$5000="RINJANI WASH"),ROWS($E$5:E827)),"")</f>
        <v/>
      </c>
      <c r="F827" s="5" t="n"/>
    </row>
    <row r="828">
      <c r="A828" s="10">
        <f>IF($E828="","",INDEX('Input Transaksi'!$A:$A,$E828))</f>
        <v/>
      </c>
      <c r="B828" s="5">
        <f>IF($E828="","",INDEX('Input Transaksi'!$D:$D,$E828))</f>
        <v/>
      </c>
      <c r="C828">
        <f>IF($E828="","",INDEX('Input Transaksi'!$E:$E,$E828))</f>
        <v/>
      </c>
      <c r="D828" s="5">
        <f>IF($E828="","",INDEX('Input Transaksi'!$F:$F,$E828))</f>
        <v/>
      </c>
      <c r="E828">
        <f>IFERROR(AGGREGATE(15,6,ROW('Input Transaksi'!$B$5:$B$5000)/('Input Transaksi'!$B$5:$B$5000="RINJANI WASH"),ROWS($E$5:E828)),"")</f>
        <v/>
      </c>
      <c r="F828" s="5" t="n"/>
    </row>
    <row r="829">
      <c r="A829" s="10">
        <f>IF($E829="","",INDEX('Input Transaksi'!$A:$A,$E829))</f>
        <v/>
      </c>
      <c r="B829" s="5">
        <f>IF($E829="","",INDEX('Input Transaksi'!$D:$D,$E829))</f>
        <v/>
      </c>
      <c r="C829">
        <f>IF($E829="","",INDEX('Input Transaksi'!$E:$E,$E829))</f>
        <v/>
      </c>
      <c r="D829" s="5">
        <f>IF($E829="","",INDEX('Input Transaksi'!$F:$F,$E829))</f>
        <v/>
      </c>
      <c r="E829">
        <f>IFERROR(AGGREGATE(15,6,ROW('Input Transaksi'!$B$5:$B$5000)/('Input Transaksi'!$B$5:$B$5000="RINJANI WASH"),ROWS($E$5:E829)),"")</f>
        <v/>
      </c>
      <c r="F829" s="5" t="n"/>
    </row>
    <row r="830">
      <c r="A830" s="10">
        <f>IF($E830="","",INDEX('Input Transaksi'!$A:$A,$E830))</f>
        <v/>
      </c>
      <c r="B830" s="5">
        <f>IF($E830="","",INDEX('Input Transaksi'!$D:$D,$E830))</f>
        <v/>
      </c>
      <c r="C830">
        <f>IF($E830="","",INDEX('Input Transaksi'!$E:$E,$E830))</f>
        <v/>
      </c>
      <c r="D830" s="5">
        <f>IF($E830="","",INDEX('Input Transaksi'!$F:$F,$E830))</f>
        <v/>
      </c>
      <c r="E830">
        <f>IFERROR(AGGREGATE(15,6,ROW('Input Transaksi'!$B$5:$B$5000)/('Input Transaksi'!$B$5:$B$5000="RINJANI WASH"),ROWS($E$5:E830)),"")</f>
        <v/>
      </c>
      <c r="F830" s="5" t="n"/>
    </row>
    <row r="831">
      <c r="A831" s="10">
        <f>IF($E831="","",INDEX('Input Transaksi'!$A:$A,$E831))</f>
        <v/>
      </c>
      <c r="B831" s="5">
        <f>IF($E831="","",INDEX('Input Transaksi'!$D:$D,$E831))</f>
        <v/>
      </c>
      <c r="C831">
        <f>IF($E831="","",INDEX('Input Transaksi'!$E:$E,$E831))</f>
        <v/>
      </c>
      <c r="D831" s="5">
        <f>IF($E831="","",INDEX('Input Transaksi'!$F:$F,$E831))</f>
        <v/>
      </c>
      <c r="E831">
        <f>IFERROR(AGGREGATE(15,6,ROW('Input Transaksi'!$B$5:$B$5000)/('Input Transaksi'!$B$5:$B$5000="RINJANI WASH"),ROWS($E$5:E831)),"")</f>
        <v/>
      </c>
      <c r="F831" s="5" t="n"/>
    </row>
    <row r="832">
      <c r="A832" s="10">
        <f>IF($E832="","",INDEX('Input Transaksi'!$A:$A,$E832))</f>
        <v/>
      </c>
      <c r="B832" s="5">
        <f>IF($E832="","",INDEX('Input Transaksi'!$D:$D,$E832))</f>
        <v/>
      </c>
      <c r="C832">
        <f>IF($E832="","",INDEX('Input Transaksi'!$E:$E,$E832))</f>
        <v/>
      </c>
      <c r="D832" s="5">
        <f>IF($E832="","",INDEX('Input Transaksi'!$F:$F,$E832))</f>
        <v/>
      </c>
      <c r="E832">
        <f>IFERROR(AGGREGATE(15,6,ROW('Input Transaksi'!$B$5:$B$5000)/('Input Transaksi'!$B$5:$B$5000="RINJANI WASH"),ROWS($E$5:E832)),"")</f>
        <v/>
      </c>
      <c r="F832" s="5" t="n"/>
    </row>
    <row r="833">
      <c r="A833" s="10">
        <f>IF($E833="","",INDEX('Input Transaksi'!$A:$A,$E833))</f>
        <v/>
      </c>
      <c r="B833" s="5">
        <f>IF($E833="","",INDEX('Input Transaksi'!$D:$D,$E833))</f>
        <v/>
      </c>
      <c r="C833">
        <f>IF($E833="","",INDEX('Input Transaksi'!$E:$E,$E833))</f>
        <v/>
      </c>
      <c r="D833" s="5">
        <f>IF($E833="","",INDEX('Input Transaksi'!$F:$F,$E833))</f>
        <v/>
      </c>
      <c r="E833">
        <f>IFERROR(AGGREGATE(15,6,ROW('Input Transaksi'!$B$5:$B$5000)/('Input Transaksi'!$B$5:$B$5000="RINJANI WASH"),ROWS($E$5:E833)),"")</f>
        <v/>
      </c>
      <c r="F833" s="5" t="n"/>
    </row>
    <row r="834">
      <c r="A834" s="10">
        <f>IF($E834="","",INDEX('Input Transaksi'!$A:$A,$E834))</f>
        <v/>
      </c>
      <c r="B834" s="5">
        <f>IF($E834="","",INDEX('Input Transaksi'!$D:$D,$E834))</f>
        <v/>
      </c>
      <c r="C834">
        <f>IF($E834="","",INDEX('Input Transaksi'!$E:$E,$E834))</f>
        <v/>
      </c>
      <c r="D834" s="5">
        <f>IF($E834="","",INDEX('Input Transaksi'!$F:$F,$E834))</f>
        <v/>
      </c>
      <c r="E834">
        <f>IFERROR(AGGREGATE(15,6,ROW('Input Transaksi'!$B$5:$B$5000)/('Input Transaksi'!$B$5:$B$5000="RINJANI WASH"),ROWS($E$5:E834)),"")</f>
        <v/>
      </c>
      <c r="F834" s="5" t="n"/>
    </row>
    <row r="835">
      <c r="A835" s="10">
        <f>IF($E835="","",INDEX('Input Transaksi'!$A:$A,$E835))</f>
        <v/>
      </c>
      <c r="B835" s="5">
        <f>IF($E835="","",INDEX('Input Transaksi'!$D:$D,$E835))</f>
        <v/>
      </c>
      <c r="C835">
        <f>IF($E835="","",INDEX('Input Transaksi'!$E:$E,$E835))</f>
        <v/>
      </c>
      <c r="D835" s="5">
        <f>IF($E835="","",INDEX('Input Transaksi'!$F:$F,$E835))</f>
        <v/>
      </c>
      <c r="E835">
        <f>IFERROR(AGGREGATE(15,6,ROW('Input Transaksi'!$B$5:$B$5000)/('Input Transaksi'!$B$5:$B$5000="RINJANI WASH"),ROWS($E$5:E835)),"")</f>
        <v/>
      </c>
      <c r="F835" s="5" t="n"/>
    </row>
    <row r="836">
      <c r="A836" s="10">
        <f>IF($E836="","",INDEX('Input Transaksi'!$A:$A,$E836))</f>
        <v/>
      </c>
      <c r="B836" s="5">
        <f>IF($E836="","",INDEX('Input Transaksi'!$D:$D,$E836))</f>
        <v/>
      </c>
      <c r="C836">
        <f>IF($E836="","",INDEX('Input Transaksi'!$E:$E,$E836))</f>
        <v/>
      </c>
      <c r="D836" s="5">
        <f>IF($E836="","",INDEX('Input Transaksi'!$F:$F,$E836))</f>
        <v/>
      </c>
      <c r="E836">
        <f>IFERROR(AGGREGATE(15,6,ROW('Input Transaksi'!$B$5:$B$5000)/('Input Transaksi'!$B$5:$B$5000="RINJANI WASH"),ROWS($E$5:E836)),"")</f>
        <v/>
      </c>
      <c r="F836" s="5" t="n"/>
    </row>
    <row r="837">
      <c r="A837" s="10">
        <f>IF($E837="","",INDEX('Input Transaksi'!$A:$A,$E837))</f>
        <v/>
      </c>
      <c r="B837" s="5">
        <f>IF($E837="","",INDEX('Input Transaksi'!$D:$D,$E837))</f>
        <v/>
      </c>
      <c r="C837">
        <f>IF($E837="","",INDEX('Input Transaksi'!$E:$E,$E837))</f>
        <v/>
      </c>
      <c r="D837" s="5">
        <f>IF($E837="","",INDEX('Input Transaksi'!$F:$F,$E837))</f>
        <v/>
      </c>
      <c r="E837">
        <f>IFERROR(AGGREGATE(15,6,ROW('Input Transaksi'!$B$5:$B$5000)/('Input Transaksi'!$B$5:$B$5000="RINJANI WASH"),ROWS($E$5:E837)),"")</f>
        <v/>
      </c>
      <c r="F837" s="5" t="n"/>
    </row>
    <row r="838">
      <c r="A838" s="10">
        <f>IF($E838="","",INDEX('Input Transaksi'!$A:$A,$E838))</f>
        <v/>
      </c>
      <c r="B838" s="5">
        <f>IF($E838="","",INDEX('Input Transaksi'!$D:$D,$E838))</f>
        <v/>
      </c>
      <c r="C838">
        <f>IF($E838="","",INDEX('Input Transaksi'!$E:$E,$E838))</f>
        <v/>
      </c>
      <c r="D838" s="5">
        <f>IF($E838="","",INDEX('Input Transaksi'!$F:$F,$E838))</f>
        <v/>
      </c>
      <c r="E838">
        <f>IFERROR(AGGREGATE(15,6,ROW('Input Transaksi'!$B$5:$B$5000)/('Input Transaksi'!$B$5:$B$5000="RINJANI WASH"),ROWS($E$5:E838)),"")</f>
        <v/>
      </c>
      <c r="F838" s="5" t="n"/>
    </row>
    <row r="839">
      <c r="A839" s="10">
        <f>IF($E839="","",INDEX('Input Transaksi'!$A:$A,$E839))</f>
        <v/>
      </c>
      <c r="B839" s="5">
        <f>IF($E839="","",INDEX('Input Transaksi'!$D:$D,$E839))</f>
        <v/>
      </c>
      <c r="C839">
        <f>IF($E839="","",INDEX('Input Transaksi'!$E:$E,$E839))</f>
        <v/>
      </c>
      <c r="D839" s="5">
        <f>IF($E839="","",INDEX('Input Transaksi'!$F:$F,$E839))</f>
        <v/>
      </c>
      <c r="E839">
        <f>IFERROR(AGGREGATE(15,6,ROW('Input Transaksi'!$B$5:$B$5000)/('Input Transaksi'!$B$5:$B$5000="RINJANI WASH"),ROWS($E$5:E839)),"")</f>
        <v/>
      </c>
      <c r="F839" s="5" t="n"/>
    </row>
    <row r="840">
      <c r="A840" s="10">
        <f>IF($E840="","",INDEX('Input Transaksi'!$A:$A,$E840))</f>
        <v/>
      </c>
      <c r="B840" s="5">
        <f>IF($E840="","",INDEX('Input Transaksi'!$D:$D,$E840))</f>
        <v/>
      </c>
      <c r="C840">
        <f>IF($E840="","",INDEX('Input Transaksi'!$E:$E,$E840))</f>
        <v/>
      </c>
      <c r="D840" s="5">
        <f>IF($E840="","",INDEX('Input Transaksi'!$F:$F,$E840))</f>
        <v/>
      </c>
      <c r="E840">
        <f>IFERROR(AGGREGATE(15,6,ROW('Input Transaksi'!$B$5:$B$5000)/('Input Transaksi'!$B$5:$B$5000="RINJANI WASH"),ROWS($E$5:E840)),"")</f>
        <v/>
      </c>
      <c r="F840" s="5" t="n"/>
    </row>
    <row r="841">
      <c r="A841" s="10">
        <f>IF($E841="","",INDEX('Input Transaksi'!$A:$A,$E841))</f>
        <v/>
      </c>
      <c r="B841" s="5">
        <f>IF($E841="","",INDEX('Input Transaksi'!$D:$D,$E841))</f>
        <v/>
      </c>
      <c r="C841">
        <f>IF($E841="","",INDEX('Input Transaksi'!$E:$E,$E841))</f>
        <v/>
      </c>
      <c r="D841" s="5">
        <f>IF($E841="","",INDEX('Input Transaksi'!$F:$F,$E841))</f>
        <v/>
      </c>
      <c r="E841">
        <f>IFERROR(AGGREGATE(15,6,ROW('Input Transaksi'!$B$5:$B$5000)/('Input Transaksi'!$B$5:$B$5000="RINJANI WASH"),ROWS($E$5:E841)),"")</f>
        <v/>
      </c>
      <c r="F841" s="5" t="n"/>
    </row>
    <row r="842">
      <c r="A842" s="10">
        <f>IF($E842="","",INDEX('Input Transaksi'!$A:$A,$E842))</f>
        <v/>
      </c>
      <c r="B842" s="5">
        <f>IF($E842="","",INDEX('Input Transaksi'!$D:$D,$E842))</f>
        <v/>
      </c>
      <c r="C842">
        <f>IF($E842="","",INDEX('Input Transaksi'!$E:$E,$E842))</f>
        <v/>
      </c>
      <c r="D842" s="5">
        <f>IF($E842="","",INDEX('Input Transaksi'!$F:$F,$E842))</f>
        <v/>
      </c>
      <c r="E842">
        <f>IFERROR(AGGREGATE(15,6,ROW('Input Transaksi'!$B$5:$B$5000)/('Input Transaksi'!$B$5:$B$5000="RINJANI WASH"),ROWS($E$5:E842)),"")</f>
        <v/>
      </c>
      <c r="F842" s="5" t="n"/>
    </row>
    <row r="843">
      <c r="A843" s="10">
        <f>IF($E843="","",INDEX('Input Transaksi'!$A:$A,$E843))</f>
        <v/>
      </c>
      <c r="B843" s="5">
        <f>IF($E843="","",INDEX('Input Transaksi'!$D:$D,$E843))</f>
        <v/>
      </c>
      <c r="C843">
        <f>IF($E843="","",INDEX('Input Transaksi'!$E:$E,$E843))</f>
        <v/>
      </c>
      <c r="D843" s="5">
        <f>IF($E843="","",INDEX('Input Transaksi'!$F:$F,$E843))</f>
        <v/>
      </c>
      <c r="E843">
        <f>IFERROR(AGGREGATE(15,6,ROW('Input Transaksi'!$B$5:$B$5000)/('Input Transaksi'!$B$5:$B$5000="RINJANI WASH"),ROWS($E$5:E843)),"")</f>
        <v/>
      </c>
      <c r="F843" s="5" t="n"/>
    </row>
    <row r="844">
      <c r="A844" s="10">
        <f>IF($E844="","",INDEX('Input Transaksi'!$A:$A,$E844))</f>
        <v/>
      </c>
      <c r="B844" s="5">
        <f>IF($E844="","",INDEX('Input Transaksi'!$D:$D,$E844))</f>
        <v/>
      </c>
      <c r="C844">
        <f>IF($E844="","",INDEX('Input Transaksi'!$E:$E,$E844))</f>
        <v/>
      </c>
      <c r="D844" s="5">
        <f>IF($E844="","",INDEX('Input Transaksi'!$F:$F,$E844))</f>
        <v/>
      </c>
      <c r="E844">
        <f>IFERROR(AGGREGATE(15,6,ROW('Input Transaksi'!$B$5:$B$5000)/('Input Transaksi'!$B$5:$B$5000="RINJANI WASH"),ROWS($E$5:E844)),"")</f>
        <v/>
      </c>
      <c r="F844" s="5" t="n"/>
    </row>
    <row r="845">
      <c r="A845" s="10">
        <f>IF($E845="","",INDEX('Input Transaksi'!$A:$A,$E845))</f>
        <v/>
      </c>
      <c r="B845" s="5">
        <f>IF($E845="","",INDEX('Input Transaksi'!$D:$D,$E845))</f>
        <v/>
      </c>
      <c r="C845">
        <f>IF($E845="","",INDEX('Input Transaksi'!$E:$E,$E845))</f>
        <v/>
      </c>
      <c r="D845" s="5">
        <f>IF($E845="","",INDEX('Input Transaksi'!$F:$F,$E845))</f>
        <v/>
      </c>
      <c r="E845">
        <f>IFERROR(AGGREGATE(15,6,ROW('Input Transaksi'!$B$5:$B$5000)/('Input Transaksi'!$B$5:$B$5000="RINJANI WASH"),ROWS($E$5:E845)),"")</f>
        <v/>
      </c>
      <c r="F845" s="5" t="n"/>
    </row>
    <row r="846">
      <c r="A846" s="10">
        <f>IF($E846="","",INDEX('Input Transaksi'!$A:$A,$E846))</f>
        <v/>
      </c>
      <c r="B846" s="5">
        <f>IF($E846="","",INDEX('Input Transaksi'!$D:$D,$E846))</f>
        <v/>
      </c>
      <c r="C846">
        <f>IF($E846="","",INDEX('Input Transaksi'!$E:$E,$E846))</f>
        <v/>
      </c>
      <c r="D846" s="5">
        <f>IF($E846="","",INDEX('Input Transaksi'!$F:$F,$E846))</f>
        <v/>
      </c>
      <c r="E846">
        <f>IFERROR(AGGREGATE(15,6,ROW('Input Transaksi'!$B$5:$B$5000)/('Input Transaksi'!$B$5:$B$5000="RINJANI WASH"),ROWS($E$5:E846)),"")</f>
        <v/>
      </c>
      <c r="F846" s="5" t="n"/>
    </row>
    <row r="847">
      <c r="A847" s="10">
        <f>IF($E847="","",INDEX('Input Transaksi'!$A:$A,$E847))</f>
        <v/>
      </c>
      <c r="B847" s="5">
        <f>IF($E847="","",INDEX('Input Transaksi'!$D:$D,$E847))</f>
        <v/>
      </c>
      <c r="C847">
        <f>IF($E847="","",INDEX('Input Transaksi'!$E:$E,$E847))</f>
        <v/>
      </c>
      <c r="D847" s="5">
        <f>IF($E847="","",INDEX('Input Transaksi'!$F:$F,$E847))</f>
        <v/>
      </c>
      <c r="E847">
        <f>IFERROR(AGGREGATE(15,6,ROW('Input Transaksi'!$B$5:$B$5000)/('Input Transaksi'!$B$5:$B$5000="RINJANI WASH"),ROWS($E$5:E847)),"")</f>
        <v/>
      </c>
      <c r="F847" s="5" t="n"/>
    </row>
    <row r="848">
      <c r="A848" s="10">
        <f>IF($E848="","",INDEX('Input Transaksi'!$A:$A,$E848))</f>
        <v/>
      </c>
      <c r="B848" s="5">
        <f>IF($E848="","",INDEX('Input Transaksi'!$D:$D,$E848))</f>
        <v/>
      </c>
      <c r="C848">
        <f>IF($E848="","",INDEX('Input Transaksi'!$E:$E,$E848))</f>
        <v/>
      </c>
      <c r="D848" s="5">
        <f>IF($E848="","",INDEX('Input Transaksi'!$F:$F,$E848))</f>
        <v/>
      </c>
      <c r="E848">
        <f>IFERROR(AGGREGATE(15,6,ROW('Input Transaksi'!$B$5:$B$5000)/('Input Transaksi'!$B$5:$B$5000="RINJANI WASH"),ROWS($E$5:E848)),"")</f>
        <v/>
      </c>
      <c r="F848" s="5" t="n"/>
    </row>
    <row r="849">
      <c r="A849" s="10">
        <f>IF($E849="","",INDEX('Input Transaksi'!$A:$A,$E849))</f>
        <v/>
      </c>
      <c r="B849" s="5">
        <f>IF($E849="","",INDEX('Input Transaksi'!$D:$D,$E849))</f>
        <v/>
      </c>
      <c r="C849">
        <f>IF($E849="","",INDEX('Input Transaksi'!$E:$E,$E849))</f>
        <v/>
      </c>
      <c r="D849" s="5">
        <f>IF($E849="","",INDEX('Input Transaksi'!$F:$F,$E849))</f>
        <v/>
      </c>
      <c r="E849">
        <f>IFERROR(AGGREGATE(15,6,ROW('Input Transaksi'!$B$5:$B$5000)/('Input Transaksi'!$B$5:$B$5000="RINJANI WASH"),ROWS($E$5:E849)),"")</f>
        <v/>
      </c>
      <c r="F849" s="5" t="n"/>
    </row>
    <row r="850">
      <c r="A850" s="10">
        <f>IF($E850="","",INDEX('Input Transaksi'!$A:$A,$E850))</f>
        <v/>
      </c>
      <c r="B850" s="5">
        <f>IF($E850="","",INDEX('Input Transaksi'!$D:$D,$E850))</f>
        <v/>
      </c>
      <c r="C850">
        <f>IF($E850="","",INDEX('Input Transaksi'!$E:$E,$E850))</f>
        <v/>
      </c>
      <c r="D850" s="5">
        <f>IF($E850="","",INDEX('Input Transaksi'!$F:$F,$E850))</f>
        <v/>
      </c>
      <c r="E850">
        <f>IFERROR(AGGREGATE(15,6,ROW('Input Transaksi'!$B$5:$B$5000)/('Input Transaksi'!$B$5:$B$5000="RINJANI WASH"),ROWS($E$5:E850)),"")</f>
        <v/>
      </c>
      <c r="F850" s="5" t="n"/>
    </row>
    <row r="851">
      <c r="A851" s="10">
        <f>IF($E851="","",INDEX('Input Transaksi'!$A:$A,$E851))</f>
        <v/>
      </c>
      <c r="B851" s="5">
        <f>IF($E851="","",INDEX('Input Transaksi'!$D:$D,$E851))</f>
        <v/>
      </c>
      <c r="C851">
        <f>IF($E851="","",INDEX('Input Transaksi'!$E:$E,$E851))</f>
        <v/>
      </c>
      <c r="D851" s="5">
        <f>IF($E851="","",INDEX('Input Transaksi'!$F:$F,$E851))</f>
        <v/>
      </c>
      <c r="E851">
        <f>IFERROR(AGGREGATE(15,6,ROW('Input Transaksi'!$B$5:$B$5000)/('Input Transaksi'!$B$5:$B$5000="RINJANI WASH"),ROWS($E$5:E851)),"")</f>
        <v/>
      </c>
      <c r="F851" s="5" t="n"/>
    </row>
    <row r="852">
      <c r="A852" s="10">
        <f>IF($E852="","",INDEX('Input Transaksi'!$A:$A,$E852))</f>
        <v/>
      </c>
      <c r="B852" s="5">
        <f>IF($E852="","",INDEX('Input Transaksi'!$D:$D,$E852))</f>
        <v/>
      </c>
      <c r="C852">
        <f>IF($E852="","",INDEX('Input Transaksi'!$E:$E,$E852))</f>
        <v/>
      </c>
      <c r="D852" s="5">
        <f>IF($E852="","",INDEX('Input Transaksi'!$F:$F,$E852))</f>
        <v/>
      </c>
      <c r="E852">
        <f>IFERROR(AGGREGATE(15,6,ROW('Input Transaksi'!$B$5:$B$5000)/('Input Transaksi'!$B$5:$B$5000="RINJANI WASH"),ROWS($E$5:E852)),"")</f>
        <v/>
      </c>
      <c r="F852" s="5" t="n"/>
    </row>
    <row r="853">
      <c r="A853" s="10">
        <f>IF($E853="","",INDEX('Input Transaksi'!$A:$A,$E853))</f>
        <v/>
      </c>
      <c r="B853" s="5">
        <f>IF($E853="","",INDEX('Input Transaksi'!$D:$D,$E853))</f>
        <v/>
      </c>
      <c r="C853">
        <f>IF($E853="","",INDEX('Input Transaksi'!$E:$E,$E853))</f>
        <v/>
      </c>
      <c r="D853" s="5">
        <f>IF($E853="","",INDEX('Input Transaksi'!$F:$F,$E853))</f>
        <v/>
      </c>
      <c r="E853">
        <f>IFERROR(AGGREGATE(15,6,ROW('Input Transaksi'!$B$5:$B$5000)/('Input Transaksi'!$B$5:$B$5000="RINJANI WASH"),ROWS($E$5:E853)),"")</f>
        <v/>
      </c>
      <c r="F853" s="5" t="n"/>
    </row>
    <row r="854">
      <c r="A854" s="10">
        <f>IF($E854="","",INDEX('Input Transaksi'!$A:$A,$E854))</f>
        <v/>
      </c>
      <c r="B854" s="5">
        <f>IF($E854="","",INDEX('Input Transaksi'!$D:$D,$E854))</f>
        <v/>
      </c>
      <c r="C854">
        <f>IF($E854="","",INDEX('Input Transaksi'!$E:$E,$E854))</f>
        <v/>
      </c>
      <c r="D854" s="5">
        <f>IF($E854="","",INDEX('Input Transaksi'!$F:$F,$E854))</f>
        <v/>
      </c>
      <c r="E854">
        <f>IFERROR(AGGREGATE(15,6,ROW('Input Transaksi'!$B$5:$B$5000)/('Input Transaksi'!$B$5:$B$5000="RINJANI WASH"),ROWS($E$5:E854)),"")</f>
        <v/>
      </c>
      <c r="F854" s="5" t="n"/>
    </row>
    <row r="855">
      <c r="A855" s="10">
        <f>IF($E855="","",INDEX('Input Transaksi'!$A:$A,$E855))</f>
        <v/>
      </c>
      <c r="B855" s="5">
        <f>IF($E855="","",INDEX('Input Transaksi'!$D:$D,$E855))</f>
        <v/>
      </c>
      <c r="C855">
        <f>IF($E855="","",INDEX('Input Transaksi'!$E:$E,$E855))</f>
        <v/>
      </c>
      <c r="D855" s="5">
        <f>IF($E855="","",INDEX('Input Transaksi'!$F:$F,$E855))</f>
        <v/>
      </c>
      <c r="E855">
        <f>IFERROR(AGGREGATE(15,6,ROW('Input Transaksi'!$B$5:$B$5000)/('Input Transaksi'!$B$5:$B$5000="RINJANI WASH"),ROWS($E$5:E855)),"")</f>
        <v/>
      </c>
      <c r="F855" s="5" t="n"/>
    </row>
    <row r="856">
      <c r="A856" s="10">
        <f>IF($E856="","",INDEX('Input Transaksi'!$A:$A,$E856))</f>
        <v/>
      </c>
      <c r="B856" s="5">
        <f>IF($E856="","",INDEX('Input Transaksi'!$D:$D,$E856))</f>
        <v/>
      </c>
      <c r="C856">
        <f>IF($E856="","",INDEX('Input Transaksi'!$E:$E,$E856))</f>
        <v/>
      </c>
      <c r="D856" s="5">
        <f>IF($E856="","",INDEX('Input Transaksi'!$F:$F,$E856))</f>
        <v/>
      </c>
      <c r="E856">
        <f>IFERROR(AGGREGATE(15,6,ROW('Input Transaksi'!$B$5:$B$5000)/('Input Transaksi'!$B$5:$B$5000="RINJANI WASH"),ROWS($E$5:E856)),"")</f>
        <v/>
      </c>
      <c r="F856" s="5" t="n"/>
    </row>
    <row r="857">
      <c r="A857" s="10">
        <f>IF($E857="","",INDEX('Input Transaksi'!$A:$A,$E857))</f>
        <v/>
      </c>
      <c r="B857" s="5">
        <f>IF($E857="","",INDEX('Input Transaksi'!$D:$D,$E857))</f>
        <v/>
      </c>
      <c r="C857">
        <f>IF($E857="","",INDEX('Input Transaksi'!$E:$E,$E857))</f>
        <v/>
      </c>
      <c r="D857" s="5">
        <f>IF($E857="","",INDEX('Input Transaksi'!$F:$F,$E857))</f>
        <v/>
      </c>
      <c r="E857">
        <f>IFERROR(AGGREGATE(15,6,ROW('Input Transaksi'!$B$5:$B$5000)/('Input Transaksi'!$B$5:$B$5000="RINJANI WASH"),ROWS($E$5:E857)),"")</f>
        <v/>
      </c>
      <c r="F857" s="5" t="n"/>
    </row>
    <row r="858">
      <c r="A858" s="10">
        <f>IF($E858="","",INDEX('Input Transaksi'!$A:$A,$E858))</f>
        <v/>
      </c>
      <c r="B858" s="5">
        <f>IF($E858="","",INDEX('Input Transaksi'!$D:$D,$E858))</f>
        <v/>
      </c>
      <c r="C858">
        <f>IF($E858="","",INDEX('Input Transaksi'!$E:$E,$E858))</f>
        <v/>
      </c>
      <c r="D858" s="5">
        <f>IF($E858="","",INDEX('Input Transaksi'!$F:$F,$E858))</f>
        <v/>
      </c>
      <c r="E858">
        <f>IFERROR(AGGREGATE(15,6,ROW('Input Transaksi'!$B$5:$B$5000)/('Input Transaksi'!$B$5:$B$5000="RINJANI WASH"),ROWS($E$5:E858)),"")</f>
        <v/>
      </c>
      <c r="F858" s="5" t="n"/>
    </row>
    <row r="859">
      <c r="A859" s="10">
        <f>IF($E859="","",INDEX('Input Transaksi'!$A:$A,$E859))</f>
        <v/>
      </c>
      <c r="B859" s="5">
        <f>IF($E859="","",INDEX('Input Transaksi'!$D:$D,$E859))</f>
        <v/>
      </c>
      <c r="C859">
        <f>IF($E859="","",INDEX('Input Transaksi'!$E:$E,$E859))</f>
        <v/>
      </c>
      <c r="D859" s="5">
        <f>IF($E859="","",INDEX('Input Transaksi'!$F:$F,$E859))</f>
        <v/>
      </c>
      <c r="E859">
        <f>IFERROR(AGGREGATE(15,6,ROW('Input Transaksi'!$B$5:$B$5000)/('Input Transaksi'!$B$5:$B$5000="RINJANI WASH"),ROWS($E$5:E859)),"")</f>
        <v/>
      </c>
      <c r="F859" s="5" t="n"/>
    </row>
    <row r="860">
      <c r="A860" s="10">
        <f>IF($E860="","",INDEX('Input Transaksi'!$A:$A,$E860))</f>
        <v/>
      </c>
      <c r="B860" s="5">
        <f>IF($E860="","",INDEX('Input Transaksi'!$D:$D,$E860))</f>
        <v/>
      </c>
      <c r="C860">
        <f>IF($E860="","",INDEX('Input Transaksi'!$E:$E,$E860))</f>
        <v/>
      </c>
      <c r="D860" s="5">
        <f>IF($E860="","",INDEX('Input Transaksi'!$F:$F,$E860))</f>
        <v/>
      </c>
      <c r="E860">
        <f>IFERROR(AGGREGATE(15,6,ROW('Input Transaksi'!$B$5:$B$5000)/('Input Transaksi'!$B$5:$B$5000="RINJANI WASH"),ROWS($E$5:E860)),"")</f>
        <v/>
      </c>
      <c r="F860" s="5" t="n"/>
    </row>
    <row r="861">
      <c r="A861" s="10">
        <f>IF($E861="","",INDEX('Input Transaksi'!$A:$A,$E861))</f>
        <v/>
      </c>
      <c r="B861" s="5">
        <f>IF($E861="","",INDEX('Input Transaksi'!$D:$D,$E861))</f>
        <v/>
      </c>
      <c r="C861">
        <f>IF($E861="","",INDEX('Input Transaksi'!$E:$E,$E861))</f>
        <v/>
      </c>
      <c r="D861" s="5">
        <f>IF($E861="","",INDEX('Input Transaksi'!$F:$F,$E861))</f>
        <v/>
      </c>
      <c r="E861">
        <f>IFERROR(AGGREGATE(15,6,ROW('Input Transaksi'!$B$5:$B$5000)/('Input Transaksi'!$B$5:$B$5000="RINJANI WASH"),ROWS($E$5:E861)),"")</f>
        <v/>
      </c>
      <c r="F861" s="5" t="n"/>
    </row>
    <row r="862">
      <c r="A862" s="10">
        <f>IF($E862="","",INDEX('Input Transaksi'!$A:$A,$E862))</f>
        <v/>
      </c>
      <c r="B862" s="5">
        <f>IF($E862="","",INDEX('Input Transaksi'!$D:$D,$E862))</f>
        <v/>
      </c>
      <c r="C862">
        <f>IF($E862="","",INDEX('Input Transaksi'!$E:$E,$E862))</f>
        <v/>
      </c>
      <c r="D862" s="5">
        <f>IF($E862="","",INDEX('Input Transaksi'!$F:$F,$E862))</f>
        <v/>
      </c>
      <c r="E862">
        <f>IFERROR(AGGREGATE(15,6,ROW('Input Transaksi'!$B$5:$B$5000)/('Input Transaksi'!$B$5:$B$5000="RINJANI WASH"),ROWS($E$5:E862)),"")</f>
        <v/>
      </c>
      <c r="F862" s="5" t="n"/>
    </row>
    <row r="863">
      <c r="A863" s="10">
        <f>IF($E863="","",INDEX('Input Transaksi'!$A:$A,$E863))</f>
        <v/>
      </c>
      <c r="B863" s="5">
        <f>IF($E863="","",INDEX('Input Transaksi'!$D:$D,$E863))</f>
        <v/>
      </c>
      <c r="C863">
        <f>IF($E863="","",INDEX('Input Transaksi'!$E:$E,$E863))</f>
        <v/>
      </c>
      <c r="D863" s="5">
        <f>IF($E863="","",INDEX('Input Transaksi'!$F:$F,$E863))</f>
        <v/>
      </c>
      <c r="E863">
        <f>IFERROR(AGGREGATE(15,6,ROW('Input Transaksi'!$B$5:$B$5000)/('Input Transaksi'!$B$5:$B$5000="RINJANI WASH"),ROWS($E$5:E863)),"")</f>
        <v/>
      </c>
      <c r="F863" s="5" t="n"/>
    </row>
    <row r="864">
      <c r="A864" s="10">
        <f>IF($E864="","",INDEX('Input Transaksi'!$A:$A,$E864))</f>
        <v/>
      </c>
      <c r="B864" s="5">
        <f>IF($E864="","",INDEX('Input Transaksi'!$D:$D,$E864))</f>
        <v/>
      </c>
      <c r="C864">
        <f>IF($E864="","",INDEX('Input Transaksi'!$E:$E,$E864))</f>
        <v/>
      </c>
      <c r="D864" s="5">
        <f>IF($E864="","",INDEX('Input Transaksi'!$F:$F,$E864))</f>
        <v/>
      </c>
      <c r="E864">
        <f>IFERROR(AGGREGATE(15,6,ROW('Input Transaksi'!$B$5:$B$5000)/('Input Transaksi'!$B$5:$B$5000="RINJANI WASH"),ROWS($E$5:E864)),"")</f>
        <v/>
      </c>
      <c r="F864" s="5" t="n"/>
    </row>
    <row r="865">
      <c r="A865" s="10">
        <f>IF($E865="","",INDEX('Input Transaksi'!$A:$A,$E865))</f>
        <v/>
      </c>
      <c r="B865" s="5">
        <f>IF($E865="","",INDEX('Input Transaksi'!$D:$D,$E865))</f>
        <v/>
      </c>
      <c r="C865">
        <f>IF($E865="","",INDEX('Input Transaksi'!$E:$E,$E865))</f>
        <v/>
      </c>
      <c r="D865" s="5">
        <f>IF($E865="","",INDEX('Input Transaksi'!$F:$F,$E865))</f>
        <v/>
      </c>
      <c r="E865">
        <f>IFERROR(AGGREGATE(15,6,ROW('Input Transaksi'!$B$5:$B$5000)/('Input Transaksi'!$B$5:$B$5000="RINJANI WASH"),ROWS($E$5:E865)),"")</f>
        <v/>
      </c>
      <c r="F865" s="5" t="n"/>
    </row>
    <row r="866">
      <c r="A866" s="10">
        <f>IF($E866="","",INDEX('Input Transaksi'!$A:$A,$E866))</f>
        <v/>
      </c>
      <c r="B866" s="5">
        <f>IF($E866="","",INDEX('Input Transaksi'!$D:$D,$E866))</f>
        <v/>
      </c>
      <c r="C866">
        <f>IF($E866="","",INDEX('Input Transaksi'!$E:$E,$E866))</f>
        <v/>
      </c>
      <c r="D866" s="5">
        <f>IF($E866="","",INDEX('Input Transaksi'!$F:$F,$E866))</f>
        <v/>
      </c>
      <c r="E866">
        <f>IFERROR(AGGREGATE(15,6,ROW('Input Transaksi'!$B$5:$B$5000)/('Input Transaksi'!$B$5:$B$5000="RINJANI WASH"),ROWS($E$5:E866)),"")</f>
        <v/>
      </c>
      <c r="F866" s="5" t="n"/>
    </row>
    <row r="867">
      <c r="A867" s="10">
        <f>IF($E867="","",INDEX('Input Transaksi'!$A:$A,$E867))</f>
        <v/>
      </c>
      <c r="B867" s="5">
        <f>IF($E867="","",INDEX('Input Transaksi'!$D:$D,$E867))</f>
        <v/>
      </c>
      <c r="C867">
        <f>IF($E867="","",INDEX('Input Transaksi'!$E:$E,$E867))</f>
        <v/>
      </c>
      <c r="D867" s="5">
        <f>IF($E867="","",INDEX('Input Transaksi'!$F:$F,$E867))</f>
        <v/>
      </c>
      <c r="E867">
        <f>IFERROR(AGGREGATE(15,6,ROW('Input Transaksi'!$B$5:$B$5000)/('Input Transaksi'!$B$5:$B$5000="RINJANI WASH"),ROWS($E$5:E867)),"")</f>
        <v/>
      </c>
      <c r="F867" s="5" t="n"/>
    </row>
    <row r="868">
      <c r="A868" s="10">
        <f>IF($E868="","",INDEX('Input Transaksi'!$A:$A,$E868))</f>
        <v/>
      </c>
      <c r="B868" s="5">
        <f>IF($E868="","",INDEX('Input Transaksi'!$D:$D,$E868))</f>
        <v/>
      </c>
      <c r="C868">
        <f>IF($E868="","",INDEX('Input Transaksi'!$E:$E,$E868))</f>
        <v/>
      </c>
      <c r="D868" s="5">
        <f>IF($E868="","",INDEX('Input Transaksi'!$F:$F,$E868))</f>
        <v/>
      </c>
      <c r="E868">
        <f>IFERROR(AGGREGATE(15,6,ROW('Input Transaksi'!$B$5:$B$5000)/('Input Transaksi'!$B$5:$B$5000="RINJANI WASH"),ROWS($E$5:E868)),"")</f>
        <v/>
      </c>
      <c r="F868" s="5" t="n"/>
    </row>
    <row r="869">
      <c r="A869" s="10">
        <f>IF($E869="","",INDEX('Input Transaksi'!$A:$A,$E869))</f>
        <v/>
      </c>
      <c r="B869" s="5">
        <f>IF($E869="","",INDEX('Input Transaksi'!$D:$D,$E869))</f>
        <v/>
      </c>
      <c r="C869">
        <f>IF($E869="","",INDEX('Input Transaksi'!$E:$E,$E869))</f>
        <v/>
      </c>
      <c r="D869" s="5">
        <f>IF($E869="","",INDEX('Input Transaksi'!$F:$F,$E869))</f>
        <v/>
      </c>
      <c r="E869">
        <f>IFERROR(AGGREGATE(15,6,ROW('Input Transaksi'!$B$5:$B$5000)/('Input Transaksi'!$B$5:$B$5000="RINJANI WASH"),ROWS($E$5:E869)),"")</f>
        <v/>
      </c>
      <c r="F869" s="5" t="n"/>
    </row>
    <row r="870">
      <c r="A870" s="10">
        <f>IF($E870="","",INDEX('Input Transaksi'!$A:$A,$E870))</f>
        <v/>
      </c>
      <c r="B870" s="5">
        <f>IF($E870="","",INDEX('Input Transaksi'!$D:$D,$E870))</f>
        <v/>
      </c>
      <c r="C870">
        <f>IF($E870="","",INDEX('Input Transaksi'!$E:$E,$E870))</f>
        <v/>
      </c>
      <c r="D870" s="5">
        <f>IF($E870="","",INDEX('Input Transaksi'!$F:$F,$E870))</f>
        <v/>
      </c>
      <c r="E870">
        <f>IFERROR(AGGREGATE(15,6,ROW('Input Transaksi'!$B$5:$B$5000)/('Input Transaksi'!$B$5:$B$5000="RINJANI WASH"),ROWS($E$5:E870)),"")</f>
        <v/>
      </c>
      <c r="F870" s="5" t="n"/>
    </row>
    <row r="871">
      <c r="A871" s="10">
        <f>IF($E871="","",INDEX('Input Transaksi'!$A:$A,$E871))</f>
        <v/>
      </c>
      <c r="B871" s="5">
        <f>IF($E871="","",INDEX('Input Transaksi'!$D:$D,$E871))</f>
        <v/>
      </c>
      <c r="C871">
        <f>IF($E871="","",INDEX('Input Transaksi'!$E:$E,$E871))</f>
        <v/>
      </c>
      <c r="D871" s="5">
        <f>IF($E871="","",INDEX('Input Transaksi'!$F:$F,$E871))</f>
        <v/>
      </c>
      <c r="E871">
        <f>IFERROR(AGGREGATE(15,6,ROW('Input Transaksi'!$B$5:$B$5000)/('Input Transaksi'!$B$5:$B$5000="RINJANI WASH"),ROWS($E$5:E871)),"")</f>
        <v/>
      </c>
      <c r="F871" s="5" t="n"/>
    </row>
    <row r="872">
      <c r="A872" s="10">
        <f>IF($E872="","",INDEX('Input Transaksi'!$A:$A,$E872))</f>
        <v/>
      </c>
      <c r="B872" s="5">
        <f>IF($E872="","",INDEX('Input Transaksi'!$D:$D,$E872))</f>
        <v/>
      </c>
      <c r="C872">
        <f>IF($E872="","",INDEX('Input Transaksi'!$E:$E,$E872))</f>
        <v/>
      </c>
      <c r="D872" s="5">
        <f>IF($E872="","",INDEX('Input Transaksi'!$F:$F,$E872))</f>
        <v/>
      </c>
      <c r="E872">
        <f>IFERROR(AGGREGATE(15,6,ROW('Input Transaksi'!$B$5:$B$5000)/('Input Transaksi'!$B$5:$B$5000="RINJANI WASH"),ROWS($E$5:E872)),"")</f>
        <v/>
      </c>
      <c r="F872" s="5" t="n"/>
    </row>
    <row r="873">
      <c r="A873" s="10">
        <f>IF($E873="","",INDEX('Input Transaksi'!$A:$A,$E873))</f>
        <v/>
      </c>
      <c r="B873" s="5">
        <f>IF($E873="","",INDEX('Input Transaksi'!$D:$D,$E873))</f>
        <v/>
      </c>
      <c r="C873">
        <f>IF($E873="","",INDEX('Input Transaksi'!$E:$E,$E873))</f>
        <v/>
      </c>
      <c r="D873" s="5">
        <f>IF($E873="","",INDEX('Input Transaksi'!$F:$F,$E873))</f>
        <v/>
      </c>
      <c r="E873">
        <f>IFERROR(AGGREGATE(15,6,ROW('Input Transaksi'!$B$5:$B$5000)/('Input Transaksi'!$B$5:$B$5000="RINJANI WASH"),ROWS($E$5:E873)),"")</f>
        <v/>
      </c>
      <c r="F873" s="5" t="n"/>
    </row>
    <row r="874">
      <c r="A874" s="10">
        <f>IF($E874="","",INDEX('Input Transaksi'!$A:$A,$E874))</f>
        <v/>
      </c>
      <c r="B874" s="5">
        <f>IF($E874="","",INDEX('Input Transaksi'!$D:$D,$E874))</f>
        <v/>
      </c>
      <c r="C874">
        <f>IF($E874="","",INDEX('Input Transaksi'!$E:$E,$E874))</f>
        <v/>
      </c>
      <c r="D874" s="5">
        <f>IF($E874="","",INDEX('Input Transaksi'!$F:$F,$E874))</f>
        <v/>
      </c>
      <c r="E874">
        <f>IFERROR(AGGREGATE(15,6,ROW('Input Transaksi'!$B$5:$B$5000)/('Input Transaksi'!$B$5:$B$5000="RINJANI WASH"),ROWS($E$5:E874)),"")</f>
        <v/>
      </c>
      <c r="F874" s="5" t="n"/>
    </row>
    <row r="875">
      <c r="A875" s="10">
        <f>IF($E875="","",INDEX('Input Transaksi'!$A:$A,$E875))</f>
        <v/>
      </c>
      <c r="B875" s="5">
        <f>IF($E875="","",INDEX('Input Transaksi'!$D:$D,$E875))</f>
        <v/>
      </c>
      <c r="C875">
        <f>IF($E875="","",INDEX('Input Transaksi'!$E:$E,$E875))</f>
        <v/>
      </c>
      <c r="D875" s="5">
        <f>IF($E875="","",INDEX('Input Transaksi'!$F:$F,$E875))</f>
        <v/>
      </c>
      <c r="E875">
        <f>IFERROR(AGGREGATE(15,6,ROW('Input Transaksi'!$B$5:$B$5000)/('Input Transaksi'!$B$5:$B$5000="RINJANI WASH"),ROWS($E$5:E875)),"")</f>
        <v/>
      </c>
      <c r="F875" s="5" t="n"/>
    </row>
    <row r="876">
      <c r="A876" s="10">
        <f>IF($E876="","",INDEX('Input Transaksi'!$A:$A,$E876))</f>
        <v/>
      </c>
      <c r="B876" s="5">
        <f>IF($E876="","",INDEX('Input Transaksi'!$D:$D,$E876))</f>
        <v/>
      </c>
      <c r="C876">
        <f>IF($E876="","",INDEX('Input Transaksi'!$E:$E,$E876))</f>
        <v/>
      </c>
      <c r="D876" s="5">
        <f>IF($E876="","",INDEX('Input Transaksi'!$F:$F,$E876))</f>
        <v/>
      </c>
      <c r="E876">
        <f>IFERROR(AGGREGATE(15,6,ROW('Input Transaksi'!$B$5:$B$5000)/('Input Transaksi'!$B$5:$B$5000="RINJANI WASH"),ROWS($E$5:E876)),"")</f>
        <v/>
      </c>
      <c r="F876" s="5" t="n"/>
    </row>
    <row r="877">
      <c r="A877" s="10">
        <f>IF($E877="","",INDEX('Input Transaksi'!$A:$A,$E877))</f>
        <v/>
      </c>
      <c r="B877" s="5">
        <f>IF($E877="","",INDEX('Input Transaksi'!$D:$D,$E877))</f>
        <v/>
      </c>
      <c r="C877">
        <f>IF($E877="","",INDEX('Input Transaksi'!$E:$E,$E877))</f>
        <v/>
      </c>
      <c r="D877" s="5">
        <f>IF($E877="","",INDEX('Input Transaksi'!$F:$F,$E877))</f>
        <v/>
      </c>
      <c r="E877">
        <f>IFERROR(AGGREGATE(15,6,ROW('Input Transaksi'!$B$5:$B$5000)/('Input Transaksi'!$B$5:$B$5000="RINJANI WASH"),ROWS($E$5:E877)),"")</f>
        <v/>
      </c>
      <c r="F877" s="5" t="n"/>
    </row>
    <row r="878">
      <c r="A878" s="10">
        <f>IF($E878="","",INDEX('Input Transaksi'!$A:$A,$E878))</f>
        <v/>
      </c>
      <c r="B878" s="5">
        <f>IF($E878="","",INDEX('Input Transaksi'!$D:$D,$E878))</f>
        <v/>
      </c>
      <c r="C878">
        <f>IF($E878="","",INDEX('Input Transaksi'!$E:$E,$E878))</f>
        <v/>
      </c>
      <c r="D878" s="5">
        <f>IF($E878="","",INDEX('Input Transaksi'!$F:$F,$E878))</f>
        <v/>
      </c>
      <c r="E878">
        <f>IFERROR(AGGREGATE(15,6,ROW('Input Transaksi'!$B$5:$B$5000)/('Input Transaksi'!$B$5:$B$5000="RINJANI WASH"),ROWS($E$5:E878)),"")</f>
        <v/>
      </c>
      <c r="F878" s="5" t="n"/>
    </row>
    <row r="879">
      <c r="A879" s="10">
        <f>IF($E879="","",INDEX('Input Transaksi'!$A:$A,$E879))</f>
        <v/>
      </c>
      <c r="B879" s="5">
        <f>IF($E879="","",INDEX('Input Transaksi'!$D:$D,$E879))</f>
        <v/>
      </c>
      <c r="C879">
        <f>IF($E879="","",INDEX('Input Transaksi'!$E:$E,$E879))</f>
        <v/>
      </c>
      <c r="D879" s="5">
        <f>IF($E879="","",INDEX('Input Transaksi'!$F:$F,$E879))</f>
        <v/>
      </c>
      <c r="E879">
        <f>IFERROR(AGGREGATE(15,6,ROW('Input Transaksi'!$B$5:$B$5000)/('Input Transaksi'!$B$5:$B$5000="RINJANI WASH"),ROWS($E$5:E879)),"")</f>
        <v/>
      </c>
      <c r="F879" s="5" t="n"/>
    </row>
    <row r="880">
      <c r="A880" s="10">
        <f>IF($E880="","",INDEX('Input Transaksi'!$A:$A,$E880))</f>
        <v/>
      </c>
      <c r="B880" s="5">
        <f>IF($E880="","",INDEX('Input Transaksi'!$D:$D,$E880))</f>
        <v/>
      </c>
      <c r="C880">
        <f>IF($E880="","",INDEX('Input Transaksi'!$E:$E,$E880))</f>
        <v/>
      </c>
      <c r="D880" s="5">
        <f>IF($E880="","",INDEX('Input Transaksi'!$F:$F,$E880))</f>
        <v/>
      </c>
      <c r="E880">
        <f>IFERROR(AGGREGATE(15,6,ROW('Input Transaksi'!$B$5:$B$5000)/('Input Transaksi'!$B$5:$B$5000="RINJANI WASH"),ROWS($E$5:E880)),"")</f>
        <v/>
      </c>
      <c r="F880" s="5" t="n"/>
    </row>
    <row r="881">
      <c r="A881" s="10">
        <f>IF($E881="","",INDEX('Input Transaksi'!$A:$A,$E881))</f>
        <v/>
      </c>
      <c r="B881" s="5">
        <f>IF($E881="","",INDEX('Input Transaksi'!$D:$D,$E881))</f>
        <v/>
      </c>
      <c r="C881">
        <f>IF($E881="","",INDEX('Input Transaksi'!$E:$E,$E881))</f>
        <v/>
      </c>
      <c r="D881" s="5">
        <f>IF($E881="","",INDEX('Input Transaksi'!$F:$F,$E881))</f>
        <v/>
      </c>
      <c r="E881">
        <f>IFERROR(AGGREGATE(15,6,ROW('Input Transaksi'!$B$5:$B$5000)/('Input Transaksi'!$B$5:$B$5000="RINJANI WASH"),ROWS($E$5:E881)),"")</f>
        <v/>
      </c>
      <c r="F881" s="5" t="n"/>
    </row>
    <row r="882">
      <c r="A882" s="10">
        <f>IF($E882="","",INDEX('Input Transaksi'!$A:$A,$E882))</f>
        <v/>
      </c>
      <c r="B882" s="5">
        <f>IF($E882="","",INDEX('Input Transaksi'!$D:$D,$E882))</f>
        <v/>
      </c>
      <c r="C882">
        <f>IF($E882="","",INDEX('Input Transaksi'!$E:$E,$E882))</f>
        <v/>
      </c>
      <c r="D882" s="5">
        <f>IF($E882="","",INDEX('Input Transaksi'!$F:$F,$E882))</f>
        <v/>
      </c>
      <c r="E882">
        <f>IFERROR(AGGREGATE(15,6,ROW('Input Transaksi'!$B$5:$B$5000)/('Input Transaksi'!$B$5:$B$5000="RINJANI WASH"),ROWS($E$5:E882)),"")</f>
        <v/>
      </c>
      <c r="F882" s="5" t="n"/>
    </row>
    <row r="883">
      <c r="A883" s="10">
        <f>IF($E883="","",INDEX('Input Transaksi'!$A:$A,$E883))</f>
        <v/>
      </c>
      <c r="B883" s="5">
        <f>IF($E883="","",INDEX('Input Transaksi'!$D:$D,$E883))</f>
        <v/>
      </c>
      <c r="C883">
        <f>IF($E883="","",INDEX('Input Transaksi'!$E:$E,$E883))</f>
        <v/>
      </c>
      <c r="D883" s="5">
        <f>IF($E883="","",INDEX('Input Transaksi'!$F:$F,$E883))</f>
        <v/>
      </c>
      <c r="E883">
        <f>IFERROR(AGGREGATE(15,6,ROW('Input Transaksi'!$B$5:$B$5000)/('Input Transaksi'!$B$5:$B$5000="RINJANI WASH"),ROWS($E$5:E883)),"")</f>
        <v/>
      </c>
      <c r="F883" s="5" t="n"/>
    </row>
    <row r="884">
      <c r="A884" s="10">
        <f>IF($E884="","",INDEX('Input Transaksi'!$A:$A,$E884))</f>
        <v/>
      </c>
      <c r="B884" s="5">
        <f>IF($E884="","",INDEX('Input Transaksi'!$D:$D,$E884))</f>
        <v/>
      </c>
      <c r="C884">
        <f>IF($E884="","",INDEX('Input Transaksi'!$E:$E,$E884))</f>
        <v/>
      </c>
      <c r="D884" s="5">
        <f>IF($E884="","",INDEX('Input Transaksi'!$F:$F,$E884))</f>
        <v/>
      </c>
      <c r="E884">
        <f>IFERROR(AGGREGATE(15,6,ROW('Input Transaksi'!$B$5:$B$5000)/('Input Transaksi'!$B$5:$B$5000="RINJANI WASH"),ROWS($E$5:E884)),"")</f>
        <v/>
      </c>
      <c r="F884" s="5" t="n"/>
    </row>
    <row r="885">
      <c r="A885" s="10">
        <f>IF($E885="","",INDEX('Input Transaksi'!$A:$A,$E885))</f>
        <v/>
      </c>
      <c r="B885" s="5">
        <f>IF($E885="","",INDEX('Input Transaksi'!$D:$D,$E885))</f>
        <v/>
      </c>
      <c r="C885">
        <f>IF($E885="","",INDEX('Input Transaksi'!$E:$E,$E885))</f>
        <v/>
      </c>
      <c r="D885" s="5">
        <f>IF($E885="","",INDEX('Input Transaksi'!$F:$F,$E885))</f>
        <v/>
      </c>
      <c r="E885">
        <f>IFERROR(AGGREGATE(15,6,ROW('Input Transaksi'!$B$5:$B$5000)/('Input Transaksi'!$B$5:$B$5000="RINJANI WASH"),ROWS($E$5:E885)),"")</f>
        <v/>
      </c>
      <c r="F885" s="5" t="n"/>
    </row>
    <row r="886">
      <c r="A886" s="10">
        <f>IF($E886="","",INDEX('Input Transaksi'!$A:$A,$E886))</f>
        <v/>
      </c>
      <c r="B886" s="5">
        <f>IF($E886="","",INDEX('Input Transaksi'!$D:$D,$E886))</f>
        <v/>
      </c>
      <c r="C886">
        <f>IF($E886="","",INDEX('Input Transaksi'!$E:$E,$E886))</f>
        <v/>
      </c>
      <c r="D886" s="5">
        <f>IF($E886="","",INDEX('Input Transaksi'!$F:$F,$E886))</f>
        <v/>
      </c>
      <c r="E886">
        <f>IFERROR(AGGREGATE(15,6,ROW('Input Transaksi'!$B$5:$B$5000)/('Input Transaksi'!$B$5:$B$5000="RINJANI WASH"),ROWS($E$5:E886)),"")</f>
        <v/>
      </c>
      <c r="F886" s="5" t="n"/>
    </row>
    <row r="887">
      <c r="A887" s="10">
        <f>IF($E887="","",INDEX('Input Transaksi'!$A:$A,$E887))</f>
        <v/>
      </c>
      <c r="B887" s="5">
        <f>IF($E887="","",INDEX('Input Transaksi'!$D:$D,$E887))</f>
        <v/>
      </c>
      <c r="C887">
        <f>IF($E887="","",INDEX('Input Transaksi'!$E:$E,$E887))</f>
        <v/>
      </c>
      <c r="D887" s="5">
        <f>IF($E887="","",INDEX('Input Transaksi'!$F:$F,$E887))</f>
        <v/>
      </c>
      <c r="E887">
        <f>IFERROR(AGGREGATE(15,6,ROW('Input Transaksi'!$B$5:$B$5000)/('Input Transaksi'!$B$5:$B$5000="RINJANI WASH"),ROWS($E$5:E887)),"")</f>
        <v/>
      </c>
      <c r="F887" s="5" t="n"/>
    </row>
    <row r="888">
      <c r="A888" s="10">
        <f>IF($E888="","",INDEX('Input Transaksi'!$A:$A,$E888))</f>
        <v/>
      </c>
      <c r="B888" s="5">
        <f>IF($E888="","",INDEX('Input Transaksi'!$D:$D,$E888))</f>
        <v/>
      </c>
      <c r="C888">
        <f>IF($E888="","",INDEX('Input Transaksi'!$E:$E,$E888))</f>
        <v/>
      </c>
      <c r="D888" s="5">
        <f>IF($E888="","",INDEX('Input Transaksi'!$F:$F,$E888))</f>
        <v/>
      </c>
      <c r="E888">
        <f>IFERROR(AGGREGATE(15,6,ROW('Input Transaksi'!$B$5:$B$5000)/('Input Transaksi'!$B$5:$B$5000="RINJANI WASH"),ROWS($E$5:E888)),"")</f>
        <v/>
      </c>
      <c r="F888" s="5" t="n"/>
    </row>
    <row r="889">
      <c r="A889" s="10">
        <f>IF($E889="","",INDEX('Input Transaksi'!$A:$A,$E889))</f>
        <v/>
      </c>
      <c r="B889" s="5">
        <f>IF($E889="","",INDEX('Input Transaksi'!$D:$D,$E889))</f>
        <v/>
      </c>
      <c r="C889">
        <f>IF($E889="","",INDEX('Input Transaksi'!$E:$E,$E889))</f>
        <v/>
      </c>
      <c r="D889" s="5">
        <f>IF($E889="","",INDEX('Input Transaksi'!$F:$F,$E889))</f>
        <v/>
      </c>
      <c r="E889">
        <f>IFERROR(AGGREGATE(15,6,ROW('Input Transaksi'!$B$5:$B$5000)/('Input Transaksi'!$B$5:$B$5000="RINJANI WASH"),ROWS($E$5:E889)),"")</f>
        <v/>
      </c>
      <c r="F889" s="5" t="n"/>
    </row>
    <row r="890">
      <c r="A890" s="10">
        <f>IF($E890="","",INDEX('Input Transaksi'!$A:$A,$E890))</f>
        <v/>
      </c>
      <c r="B890" s="5">
        <f>IF($E890="","",INDEX('Input Transaksi'!$D:$D,$E890))</f>
        <v/>
      </c>
      <c r="C890">
        <f>IF($E890="","",INDEX('Input Transaksi'!$E:$E,$E890))</f>
        <v/>
      </c>
      <c r="D890" s="5">
        <f>IF($E890="","",INDEX('Input Transaksi'!$F:$F,$E890))</f>
        <v/>
      </c>
      <c r="E890">
        <f>IFERROR(AGGREGATE(15,6,ROW('Input Transaksi'!$B$5:$B$5000)/('Input Transaksi'!$B$5:$B$5000="RINJANI WASH"),ROWS($E$5:E890)),"")</f>
        <v/>
      </c>
      <c r="F890" s="5" t="n"/>
    </row>
    <row r="891">
      <c r="A891" s="10">
        <f>IF($E891="","",INDEX('Input Transaksi'!$A:$A,$E891))</f>
        <v/>
      </c>
      <c r="B891" s="5">
        <f>IF($E891="","",INDEX('Input Transaksi'!$D:$D,$E891))</f>
        <v/>
      </c>
      <c r="C891">
        <f>IF($E891="","",INDEX('Input Transaksi'!$E:$E,$E891))</f>
        <v/>
      </c>
      <c r="D891" s="5">
        <f>IF($E891="","",INDEX('Input Transaksi'!$F:$F,$E891))</f>
        <v/>
      </c>
      <c r="E891">
        <f>IFERROR(AGGREGATE(15,6,ROW('Input Transaksi'!$B$5:$B$5000)/('Input Transaksi'!$B$5:$B$5000="RINJANI WASH"),ROWS($E$5:E891)),"")</f>
        <v/>
      </c>
      <c r="F891" s="5" t="n"/>
    </row>
    <row r="892">
      <c r="A892" s="10">
        <f>IF($E892="","",INDEX('Input Transaksi'!$A:$A,$E892))</f>
        <v/>
      </c>
      <c r="B892" s="5">
        <f>IF($E892="","",INDEX('Input Transaksi'!$D:$D,$E892))</f>
        <v/>
      </c>
      <c r="C892">
        <f>IF($E892="","",INDEX('Input Transaksi'!$E:$E,$E892))</f>
        <v/>
      </c>
      <c r="D892" s="5">
        <f>IF($E892="","",INDEX('Input Transaksi'!$F:$F,$E892))</f>
        <v/>
      </c>
      <c r="E892">
        <f>IFERROR(AGGREGATE(15,6,ROW('Input Transaksi'!$B$5:$B$5000)/('Input Transaksi'!$B$5:$B$5000="RINJANI WASH"),ROWS($E$5:E892)),"")</f>
        <v/>
      </c>
      <c r="F892" s="5" t="n"/>
    </row>
    <row r="893">
      <c r="A893" s="10">
        <f>IF($E893="","",INDEX('Input Transaksi'!$A:$A,$E893))</f>
        <v/>
      </c>
      <c r="B893" s="5">
        <f>IF($E893="","",INDEX('Input Transaksi'!$D:$D,$E893))</f>
        <v/>
      </c>
      <c r="C893">
        <f>IF($E893="","",INDEX('Input Transaksi'!$E:$E,$E893))</f>
        <v/>
      </c>
      <c r="D893" s="5">
        <f>IF($E893="","",INDEX('Input Transaksi'!$F:$F,$E893))</f>
        <v/>
      </c>
      <c r="E893">
        <f>IFERROR(AGGREGATE(15,6,ROW('Input Transaksi'!$B$5:$B$5000)/('Input Transaksi'!$B$5:$B$5000="RINJANI WASH"),ROWS($E$5:E893)),"")</f>
        <v/>
      </c>
      <c r="F893" s="5" t="n"/>
    </row>
    <row r="894">
      <c r="A894" s="10">
        <f>IF($E894="","",INDEX('Input Transaksi'!$A:$A,$E894))</f>
        <v/>
      </c>
      <c r="B894" s="5">
        <f>IF($E894="","",INDEX('Input Transaksi'!$D:$D,$E894))</f>
        <v/>
      </c>
      <c r="C894">
        <f>IF($E894="","",INDEX('Input Transaksi'!$E:$E,$E894))</f>
        <v/>
      </c>
      <c r="D894" s="5">
        <f>IF($E894="","",INDEX('Input Transaksi'!$F:$F,$E894))</f>
        <v/>
      </c>
      <c r="E894">
        <f>IFERROR(AGGREGATE(15,6,ROW('Input Transaksi'!$B$5:$B$5000)/('Input Transaksi'!$B$5:$B$5000="RINJANI WASH"),ROWS($E$5:E894)),"")</f>
        <v/>
      </c>
      <c r="F894" s="5" t="n"/>
    </row>
    <row r="895">
      <c r="A895" s="10">
        <f>IF($E895="","",INDEX('Input Transaksi'!$A:$A,$E895))</f>
        <v/>
      </c>
      <c r="B895" s="5">
        <f>IF($E895="","",INDEX('Input Transaksi'!$D:$D,$E895))</f>
        <v/>
      </c>
      <c r="C895">
        <f>IF($E895="","",INDEX('Input Transaksi'!$E:$E,$E895))</f>
        <v/>
      </c>
      <c r="D895" s="5">
        <f>IF($E895="","",INDEX('Input Transaksi'!$F:$F,$E895))</f>
        <v/>
      </c>
      <c r="E895">
        <f>IFERROR(AGGREGATE(15,6,ROW('Input Transaksi'!$B$5:$B$5000)/('Input Transaksi'!$B$5:$B$5000="RINJANI WASH"),ROWS($E$5:E895)),"")</f>
        <v/>
      </c>
      <c r="F895" s="5" t="n"/>
    </row>
    <row r="896">
      <c r="A896" s="10">
        <f>IF($E896="","",INDEX('Input Transaksi'!$A:$A,$E896))</f>
        <v/>
      </c>
      <c r="B896" s="5">
        <f>IF($E896="","",INDEX('Input Transaksi'!$D:$D,$E896))</f>
        <v/>
      </c>
      <c r="C896">
        <f>IF($E896="","",INDEX('Input Transaksi'!$E:$E,$E896))</f>
        <v/>
      </c>
      <c r="D896" s="5">
        <f>IF($E896="","",INDEX('Input Transaksi'!$F:$F,$E896))</f>
        <v/>
      </c>
      <c r="E896">
        <f>IFERROR(AGGREGATE(15,6,ROW('Input Transaksi'!$B$5:$B$5000)/('Input Transaksi'!$B$5:$B$5000="RINJANI WASH"),ROWS($E$5:E896)),"")</f>
        <v/>
      </c>
      <c r="F896" s="5" t="n"/>
    </row>
    <row r="897">
      <c r="A897" s="10">
        <f>IF($E897="","",INDEX('Input Transaksi'!$A:$A,$E897))</f>
        <v/>
      </c>
      <c r="B897" s="5">
        <f>IF($E897="","",INDEX('Input Transaksi'!$D:$D,$E897))</f>
        <v/>
      </c>
      <c r="C897">
        <f>IF($E897="","",INDEX('Input Transaksi'!$E:$E,$E897))</f>
        <v/>
      </c>
      <c r="D897" s="5">
        <f>IF($E897="","",INDEX('Input Transaksi'!$F:$F,$E897))</f>
        <v/>
      </c>
      <c r="E897">
        <f>IFERROR(AGGREGATE(15,6,ROW('Input Transaksi'!$B$5:$B$5000)/('Input Transaksi'!$B$5:$B$5000="RINJANI WASH"),ROWS($E$5:E897)),"")</f>
        <v/>
      </c>
      <c r="F897" s="5" t="n"/>
    </row>
    <row r="898">
      <c r="A898" s="10">
        <f>IF($E898="","",INDEX('Input Transaksi'!$A:$A,$E898))</f>
        <v/>
      </c>
      <c r="B898" s="5">
        <f>IF($E898="","",INDEX('Input Transaksi'!$D:$D,$E898))</f>
        <v/>
      </c>
      <c r="C898">
        <f>IF($E898="","",INDEX('Input Transaksi'!$E:$E,$E898))</f>
        <v/>
      </c>
      <c r="D898" s="5">
        <f>IF($E898="","",INDEX('Input Transaksi'!$F:$F,$E898))</f>
        <v/>
      </c>
      <c r="E898">
        <f>IFERROR(AGGREGATE(15,6,ROW('Input Transaksi'!$B$5:$B$5000)/('Input Transaksi'!$B$5:$B$5000="RINJANI WASH"),ROWS($E$5:E898)),"")</f>
        <v/>
      </c>
      <c r="F898" s="5" t="n"/>
    </row>
    <row r="899">
      <c r="A899" s="10">
        <f>IF($E899="","",INDEX('Input Transaksi'!$A:$A,$E899))</f>
        <v/>
      </c>
      <c r="B899" s="5">
        <f>IF($E899="","",INDEX('Input Transaksi'!$D:$D,$E899))</f>
        <v/>
      </c>
      <c r="C899">
        <f>IF($E899="","",INDEX('Input Transaksi'!$E:$E,$E899))</f>
        <v/>
      </c>
      <c r="D899" s="5">
        <f>IF($E899="","",INDEX('Input Transaksi'!$F:$F,$E899))</f>
        <v/>
      </c>
      <c r="E899">
        <f>IFERROR(AGGREGATE(15,6,ROW('Input Transaksi'!$B$5:$B$5000)/('Input Transaksi'!$B$5:$B$5000="RINJANI WASH"),ROWS($E$5:E899)),"")</f>
        <v/>
      </c>
      <c r="F899" s="5" t="n"/>
    </row>
    <row r="900">
      <c r="A900" s="10">
        <f>IF($E900="","",INDEX('Input Transaksi'!$A:$A,$E900))</f>
        <v/>
      </c>
      <c r="B900" s="5">
        <f>IF($E900="","",INDEX('Input Transaksi'!$D:$D,$E900))</f>
        <v/>
      </c>
      <c r="C900">
        <f>IF($E900="","",INDEX('Input Transaksi'!$E:$E,$E900))</f>
        <v/>
      </c>
      <c r="D900" s="5">
        <f>IF($E900="","",INDEX('Input Transaksi'!$F:$F,$E900))</f>
        <v/>
      </c>
      <c r="E900">
        <f>IFERROR(AGGREGATE(15,6,ROW('Input Transaksi'!$B$5:$B$5000)/('Input Transaksi'!$B$5:$B$5000="RINJANI WASH"),ROWS($E$5:E900)),"")</f>
        <v/>
      </c>
      <c r="F900" s="5" t="n"/>
    </row>
    <row r="901">
      <c r="A901" s="10">
        <f>IF($E901="","",INDEX('Input Transaksi'!$A:$A,$E901))</f>
        <v/>
      </c>
      <c r="B901" s="5">
        <f>IF($E901="","",INDEX('Input Transaksi'!$D:$D,$E901))</f>
        <v/>
      </c>
      <c r="C901">
        <f>IF($E901="","",INDEX('Input Transaksi'!$E:$E,$E901))</f>
        <v/>
      </c>
      <c r="D901" s="5">
        <f>IF($E901="","",INDEX('Input Transaksi'!$F:$F,$E901))</f>
        <v/>
      </c>
      <c r="E901">
        <f>IFERROR(AGGREGATE(15,6,ROW('Input Transaksi'!$B$5:$B$5000)/('Input Transaksi'!$B$5:$B$5000="RINJANI WASH"),ROWS($E$5:E901)),"")</f>
        <v/>
      </c>
      <c r="F901" s="5" t="n"/>
    </row>
    <row r="902">
      <c r="A902" s="10">
        <f>IF($E902="","",INDEX('Input Transaksi'!$A:$A,$E902))</f>
        <v/>
      </c>
      <c r="B902" s="5">
        <f>IF($E902="","",INDEX('Input Transaksi'!$D:$D,$E902))</f>
        <v/>
      </c>
      <c r="C902">
        <f>IF($E902="","",INDEX('Input Transaksi'!$E:$E,$E902))</f>
        <v/>
      </c>
      <c r="D902" s="5">
        <f>IF($E902="","",INDEX('Input Transaksi'!$F:$F,$E902))</f>
        <v/>
      </c>
      <c r="E902">
        <f>IFERROR(AGGREGATE(15,6,ROW('Input Transaksi'!$B$5:$B$5000)/('Input Transaksi'!$B$5:$B$5000="RINJANI WASH"),ROWS($E$5:E902)),"")</f>
        <v/>
      </c>
      <c r="F902" s="5" t="n"/>
    </row>
    <row r="903">
      <c r="A903" s="10">
        <f>IF($E903="","",INDEX('Input Transaksi'!$A:$A,$E903))</f>
        <v/>
      </c>
      <c r="B903" s="5">
        <f>IF($E903="","",INDEX('Input Transaksi'!$D:$D,$E903))</f>
        <v/>
      </c>
      <c r="C903">
        <f>IF($E903="","",INDEX('Input Transaksi'!$E:$E,$E903))</f>
        <v/>
      </c>
      <c r="D903" s="5">
        <f>IF($E903="","",INDEX('Input Transaksi'!$F:$F,$E903))</f>
        <v/>
      </c>
      <c r="E903">
        <f>IFERROR(AGGREGATE(15,6,ROW('Input Transaksi'!$B$5:$B$5000)/('Input Transaksi'!$B$5:$B$5000="RINJANI WASH"),ROWS($E$5:E903)),"")</f>
        <v/>
      </c>
      <c r="F903" s="5" t="n"/>
    </row>
    <row r="904">
      <c r="A904" s="10">
        <f>IF($E904="","",INDEX('Input Transaksi'!$A:$A,$E904))</f>
        <v/>
      </c>
      <c r="B904" s="5">
        <f>IF($E904="","",INDEX('Input Transaksi'!$D:$D,$E904))</f>
        <v/>
      </c>
      <c r="C904">
        <f>IF($E904="","",INDEX('Input Transaksi'!$E:$E,$E904))</f>
        <v/>
      </c>
      <c r="D904" s="5">
        <f>IF($E904="","",INDEX('Input Transaksi'!$F:$F,$E904))</f>
        <v/>
      </c>
      <c r="E904">
        <f>IFERROR(AGGREGATE(15,6,ROW('Input Transaksi'!$B$5:$B$5000)/('Input Transaksi'!$B$5:$B$5000="RINJANI WASH"),ROWS($E$5:E904)),"")</f>
        <v/>
      </c>
      <c r="F904" s="5" t="n"/>
    </row>
    <row r="905">
      <c r="A905" s="10">
        <f>IF($E905="","",INDEX('Input Transaksi'!$A:$A,$E905))</f>
        <v/>
      </c>
      <c r="B905" s="5">
        <f>IF($E905="","",INDEX('Input Transaksi'!$D:$D,$E905))</f>
        <v/>
      </c>
      <c r="C905">
        <f>IF($E905="","",INDEX('Input Transaksi'!$E:$E,$E905))</f>
        <v/>
      </c>
      <c r="D905" s="5">
        <f>IF($E905="","",INDEX('Input Transaksi'!$F:$F,$E905))</f>
        <v/>
      </c>
      <c r="E905">
        <f>IFERROR(AGGREGATE(15,6,ROW('Input Transaksi'!$B$5:$B$5000)/('Input Transaksi'!$B$5:$B$5000="RINJANI WASH"),ROWS($E$5:E905)),"")</f>
        <v/>
      </c>
      <c r="F905" s="5" t="n"/>
    </row>
    <row r="906">
      <c r="A906" s="10">
        <f>IF($E906="","",INDEX('Input Transaksi'!$A:$A,$E906))</f>
        <v/>
      </c>
      <c r="B906" s="5">
        <f>IF($E906="","",INDEX('Input Transaksi'!$D:$D,$E906))</f>
        <v/>
      </c>
      <c r="C906">
        <f>IF($E906="","",INDEX('Input Transaksi'!$E:$E,$E906))</f>
        <v/>
      </c>
      <c r="D906" s="5">
        <f>IF($E906="","",INDEX('Input Transaksi'!$F:$F,$E906))</f>
        <v/>
      </c>
      <c r="E906">
        <f>IFERROR(AGGREGATE(15,6,ROW('Input Transaksi'!$B$5:$B$5000)/('Input Transaksi'!$B$5:$B$5000="RINJANI WASH"),ROWS($E$5:E906)),"")</f>
        <v/>
      </c>
      <c r="F906" s="5" t="n"/>
    </row>
    <row r="907">
      <c r="A907" s="10">
        <f>IF($E907="","",INDEX('Input Transaksi'!$A:$A,$E907))</f>
        <v/>
      </c>
      <c r="B907" s="5">
        <f>IF($E907="","",INDEX('Input Transaksi'!$D:$D,$E907))</f>
        <v/>
      </c>
      <c r="C907">
        <f>IF($E907="","",INDEX('Input Transaksi'!$E:$E,$E907))</f>
        <v/>
      </c>
      <c r="D907" s="5">
        <f>IF($E907="","",INDEX('Input Transaksi'!$F:$F,$E907))</f>
        <v/>
      </c>
      <c r="E907">
        <f>IFERROR(AGGREGATE(15,6,ROW('Input Transaksi'!$B$5:$B$5000)/('Input Transaksi'!$B$5:$B$5000="RINJANI WASH"),ROWS($E$5:E907)),"")</f>
        <v/>
      </c>
      <c r="F907" s="5" t="n"/>
    </row>
    <row r="908">
      <c r="A908" s="10">
        <f>IF($E908="","",INDEX('Input Transaksi'!$A:$A,$E908))</f>
        <v/>
      </c>
      <c r="B908" s="5">
        <f>IF($E908="","",INDEX('Input Transaksi'!$D:$D,$E908))</f>
        <v/>
      </c>
      <c r="C908">
        <f>IF($E908="","",INDEX('Input Transaksi'!$E:$E,$E908))</f>
        <v/>
      </c>
      <c r="D908" s="5">
        <f>IF($E908="","",INDEX('Input Transaksi'!$F:$F,$E908))</f>
        <v/>
      </c>
      <c r="E908">
        <f>IFERROR(AGGREGATE(15,6,ROW('Input Transaksi'!$B$5:$B$5000)/('Input Transaksi'!$B$5:$B$5000="RINJANI WASH"),ROWS($E$5:E908)),"")</f>
        <v/>
      </c>
      <c r="F908" s="5" t="n"/>
    </row>
    <row r="909">
      <c r="A909" s="10">
        <f>IF($E909="","",INDEX('Input Transaksi'!$A:$A,$E909))</f>
        <v/>
      </c>
      <c r="B909" s="5">
        <f>IF($E909="","",INDEX('Input Transaksi'!$D:$D,$E909))</f>
        <v/>
      </c>
      <c r="C909">
        <f>IF($E909="","",INDEX('Input Transaksi'!$E:$E,$E909))</f>
        <v/>
      </c>
      <c r="D909" s="5">
        <f>IF($E909="","",INDEX('Input Transaksi'!$F:$F,$E909))</f>
        <v/>
      </c>
      <c r="E909">
        <f>IFERROR(AGGREGATE(15,6,ROW('Input Transaksi'!$B$5:$B$5000)/('Input Transaksi'!$B$5:$B$5000="RINJANI WASH"),ROWS($E$5:E909)),"")</f>
        <v/>
      </c>
      <c r="F909" s="5" t="n"/>
    </row>
    <row r="910">
      <c r="A910" s="10">
        <f>IF($E910="","",INDEX('Input Transaksi'!$A:$A,$E910))</f>
        <v/>
      </c>
      <c r="B910" s="5">
        <f>IF($E910="","",INDEX('Input Transaksi'!$D:$D,$E910))</f>
        <v/>
      </c>
      <c r="C910">
        <f>IF($E910="","",INDEX('Input Transaksi'!$E:$E,$E910))</f>
        <v/>
      </c>
      <c r="D910" s="5">
        <f>IF($E910="","",INDEX('Input Transaksi'!$F:$F,$E910))</f>
        <v/>
      </c>
      <c r="E910">
        <f>IFERROR(AGGREGATE(15,6,ROW('Input Transaksi'!$B$5:$B$5000)/('Input Transaksi'!$B$5:$B$5000="RINJANI WASH"),ROWS($E$5:E910)),"")</f>
        <v/>
      </c>
      <c r="F910" s="5" t="n"/>
    </row>
    <row r="911">
      <c r="A911" s="10">
        <f>IF($E911="","",INDEX('Input Transaksi'!$A:$A,$E911))</f>
        <v/>
      </c>
      <c r="B911" s="5">
        <f>IF($E911="","",INDEX('Input Transaksi'!$D:$D,$E911))</f>
        <v/>
      </c>
      <c r="C911">
        <f>IF($E911="","",INDEX('Input Transaksi'!$E:$E,$E911))</f>
        <v/>
      </c>
      <c r="D911" s="5">
        <f>IF($E911="","",INDEX('Input Transaksi'!$F:$F,$E911))</f>
        <v/>
      </c>
      <c r="E911">
        <f>IFERROR(AGGREGATE(15,6,ROW('Input Transaksi'!$B$5:$B$5000)/('Input Transaksi'!$B$5:$B$5000="RINJANI WASH"),ROWS($E$5:E911)),"")</f>
        <v/>
      </c>
      <c r="F911" s="5" t="n"/>
    </row>
    <row r="912">
      <c r="A912" s="10">
        <f>IF($E912="","",INDEX('Input Transaksi'!$A:$A,$E912))</f>
        <v/>
      </c>
      <c r="B912" s="5">
        <f>IF($E912="","",INDEX('Input Transaksi'!$D:$D,$E912))</f>
        <v/>
      </c>
      <c r="C912">
        <f>IF($E912="","",INDEX('Input Transaksi'!$E:$E,$E912))</f>
        <v/>
      </c>
      <c r="D912" s="5">
        <f>IF($E912="","",INDEX('Input Transaksi'!$F:$F,$E912))</f>
        <v/>
      </c>
      <c r="E912">
        <f>IFERROR(AGGREGATE(15,6,ROW('Input Transaksi'!$B$5:$B$5000)/('Input Transaksi'!$B$5:$B$5000="RINJANI WASH"),ROWS($E$5:E912)),"")</f>
        <v/>
      </c>
      <c r="F912" s="5" t="n"/>
    </row>
    <row r="913">
      <c r="A913" s="10">
        <f>IF($E913="","",INDEX('Input Transaksi'!$A:$A,$E913))</f>
        <v/>
      </c>
      <c r="B913" s="5">
        <f>IF($E913="","",INDEX('Input Transaksi'!$D:$D,$E913))</f>
        <v/>
      </c>
      <c r="C913">
        <f>IF($E913="","",INDEX('Input Transaksi'!$E:$E,$E913))</f>
        <v/>
      </c>
      <c r="D913" s="5">
        <f>IF($E913="","",INDEX('Input Transaksi'!$F:$F,$E913))</f>
        <v/>
      </c>
      <c r="E913">
        <f>IFERROR(AGGREGATE(15,6,ROW('Input Transaksi'!$B$5:$B$5000)/('Input Transaksi'!$B$5:$B$5000="RINJANI WASH"),ROWS($E$5:E913)),"")</f>
        <v/>
      </c>
      <c r="F913" s="5" t="n"/>
    </row>
    <row r="914">
      <c r="A914" s="10">
        <f>IF($E914="","",INDEX('Input Transaksi'!$A:$A,$E914))</f>
        <v/>
      </c>
      <c r="B914" s="5">
        <f>IF($E914="","",INDEX('Input Transaksi'!$D:$D,$E914))</f>
        <v/>
      </c>
      <c r="C914">
        <f>IF($E914="","",INDEX('Input Transaksi'!$E:$E,$E914))</f>
        <v/>
      </c>
      <c r="D914" s="5">
        <f>IF($E914="","",INDEX('Input Transaksi'!$F:$F,$E914))</f>
        <v/>
      </c>
      <c r="E914">
        <f>IFERROR(AGGREGATE(15,6,ROW('Input Transaksi'!$B$5:$B$5000)/('Input Transaksi'!$B$5:$B$5000="RINJANI WASH"),ROWS($E$5:E914)),"")</f>
        <v/>
      </c>
      <c r="F914" s="5" t="n"/>
    </row>
    <row r="915">
      <c r="A915" s="10">
        <f>IF($E915="","",INDEX('Input Transaksi'!$A:$A,$E915))</f>
        <v/>
      </c>
      <c r="B915" s="5">
        <f>IF($E915="","",INDEX('Input Transaksi'!$D:$D,$E915))</f>
        <v/>
      </c>
      <c r="C915">
        <f>IF($E915="","",INDEX('Input Transaksi'!$E:$E,$E915))</f>
        <v/>
      </c>
      <c r="D915" s="5">
        <f>IF($E915="","",INDEX('Input Transaksi'!$F:$F,$E915))</f>
        <v/>
      </c>
      <c r="E915">
        <f>IFERROR(AGGREGATE(15,6,ROW('Input Transaksi'!$B$5:$B$5000)/('Input Transaksi'!$B$5:$B$5000="RINJANI WASH"),ROWS($E$5:E915)),"")</f>
        <v/>
      </c>
      <c r="F915" s="5" t="n"/>
    </row>
    <row r="916">
      <c r="A916" s="10">
        <f>IF($E916="","",INDEX('Input Transaksi'!$A:$A,$E916))</f>
        <v/>
      </c>
      <c r="B916" s="5">
        <f>IF($E916="","",INDEX('Input Transaksi'!$D:$D,$E916))</f>
        <v/>
      </c>
      <c r="C916">
        <f>IF($E916="","",INDEX('Input Transaksi'!$E:$E,$E916))</f>
        <v/>
      </c>
      <c r="D916" s="5">
        <f>IF($E916="","",INDEX('Input Transaksi'!$F:$F,$E916))</f>
        <v/>
      </c>
      <c r="E916">
        <f>IFERROR(AGGREGATE(15,6,ROW('Input Transaksi'!$B$5:$B$5000)/('Input Transaksi'!$B$5:$B$5000="RINJANI WASH"),ROWS($E$5:E916)),"")</f>
        <v/>
      </c>
      <c r="F916" s="5" t="n"/>
    </row>
    <row r="917">
      <c r="A917" s="10">
        <f>IF($E917="","",INDEX('Input Transaksi'!$A:$A,$E917))</f>
        <v/>
      </c>
      <c r="B917" s="5">
        <f>IF($E917="","",INDEX('Input Transaksi'!$D:$D,$E917))</f>
        <v/>
      </c>
      <c r="C917">
        <f>IF($E917="","",INDEX('Input Transaksi'!$E:$E,$E917))</f>
        <v/>
      </c>
      <c r="D917" s="5">
        <f>IF($E917="","",INDEX('Input Transaksi'!$F:$F,$E917))</f>
        <v/>
      </c>
      <c r="E917">
        <f>IFERROR(AGGREGATE(15,6,ROW('Input Transaksi'!$B$5:$B$5000)/('Input Transaksi'!$B$5:$B$5000="RINJANI WASH"),ROWS($E$5:E917)),"")</f>
        <v/>
      </c>
      <c r="F917" s="5" t="n"/>
    </row>
    <row r="918">
      <c r="A918" s="10">
        <f>IF($E918="","",INDEX('Input Transaksi'!$A:$A,$E918))</f>
        <v/>
      </c>
      <c r="B918" s="5">
        <f>IF($E918="","",INDEX('Input Transaksi'!$D:$D,$E918))</f>
        <v/>
      </c>
      <c r="C918">
        <f>IF($E918="","",INDEX('Input Transaksi'!$E:$E,$E918))</f>
        <v/>
      </c>
      <c r="D918" s="5">
        <f>IF($E918="","",INDEX('Input Transaksi'!$F:$F,$E918))</f>
        <v/>
      </c>
      <c r="E918">
        <f>IFERROR(AGGREGATE(15,6,ROW('Input Transaksi'!$B$5:$B$5000)/('Input Transaksi'!$B$5:$B$5000="RINJANI WASH"),ROWS($E$5:E918)),"")</f>
        <v/>
      </c>
      <c r="F918" s="5" t="n"/>
    </row>
    <row r="919">
      <c r="A919" s="10">
        <f>IF($E919="","",INDEX('Input Transaksi'!$A:$A,$E919))</f>
        <v/>
      </c>
      <c r="B919" s="5">
        <f>IF($E919="","",INDEX('Input Transaksi'!$D:$D,$E919))</f>
        <v/>
      </c>
      <c r="C919">
        <f>IF($E919="","",INDEX('Input Transaksi'!$E:$E,$E919))</f>
        <v/>
      </c>
      <c r="D919" s="5">
        <f>IF($E919="","",INDEX('Input Transaksi'!$F:$F,$E919))</f>
        <v/>
      </c>
      <c r="E919">
        <f>IFERROR(AGGREGATE(15,6,ROW('Input Transaksi'!$B$5:$B$5000)/('Input Transaksi'!$B$5:$B$5000="RINJANI WASH"),ROWS($E$5:E919)),"")</f>
        <v/>
      </c>
      <c r="F919" s="5" t="n"/>
    </row>
    <row r="920">
      <c r="A920" s="10">
        <f>IF($E920="","",INDEX('Input Transaksi'!$A:$A,$E920))</f>
        <v/>
      </c>
      <c r="B920" s="5">
        <f>IF($E920="","",INDEX('Input Transaksi'!$D:$D,$E920))</f>
        <v/>
      </c>
      <c r="C920">
        <f>IF($E920="","",INDEX('Input Transaksi'!$E:$E,$E920))</f>
        <v/>
      </c>
      <c r="D920" s="5">
        <f>IF($E920="","",INDEX('Input Transaksi'!$F:$F,$E920))</f>
        <v/>
      </c>
      <c r="E920">
        <f>IFERROR(AGGREGATE(15,6,ROW('Input Transaksi'!$B$5:$B$5000)/('Input Transaksi'!$B$5:$B$5000="RINJANI WASH"),ROWS($E$5:E920)),"")</f>
        <v/>
      </c>
      <c r="F920" s="5" t="n"/>
    </row>
    <row r="921">
      <c r="A921" s="10">
        <f>IF($E921="","",INDEX('Input Transaksi'!$A:$A,$E921))</f>
        <v/>
      </c>
      <c r="B921" s="5">
        <f>IF($E921="","",INDEX('Input Transaksi'!$D:$D,$E921))</f>
        <v/>
      </c>
      <c r="C921">
        <f>IF($E921="","",INDEX('Input Transaksi'!$E:$E,$E921))</f>
        <v/>
      </c>
      <c r="D921" s="5">
        <f>IF($E921="","",INDEX('Input Transaksi'!$F:$F,$E921))</f>
        <v/>
      </c>
      <c r="E921">
        <f>IFERROR(AGGREGATE(15,6,ROW('Input Transaksi'!$B$5:$B$5000)/('Input Transaksi'!$B$5:$B$5000="RINJANI WASH"),ROWS($E$5:E921)),"")</f>
        <v/>
      </c>
      <c r="F921" s="5" t="n"/>
    </row>
    <row r="922">
      <c r="A922" s="10">
        <f>IF($E922="","",INDEX('Input Transaksi'!$A:$A,$E922))</f>
        <v/>
      </c>
      <c r="B922" s="5">
        <f>IF($E922="","",INDEX('Input Transaksi'!$D:$D,$E922))</f>
        <v/>
      </c>
      <c r="C922">
        <f>IF($E922="","",INDEX('Input Transaksi'!$E:$E,$E922))</f>
        <v/>
      </c>
      <c r="D922" s="5">
        <f>IF($E922="","",INDEX('Input Transaksi'!$F:$F,$E922))</f>
        <v/>
      </c>
      <c r="E922">
        <f>IFERROR(AGGREGATE(15,6,ROW('Input Transaksi'!$B$5:$B$5000)/('Input Transaksi'!$B$5:$B$5000="RINJANI WASH"),ROWS($E$5:E922)),"")</f>
        <v/>
      </c>
      <c r="F922" s="5" t="n"/>
    </row>
    <row r="923">
      <c r="A923" s="10">
        <f>IF($E923="","",INDEX('Input Transaksi'!$A:$A,$E923))</f>
        <v/>
      </c>
      <c r="B923" s="5">
        <f>IF($E923="","",INDEX('Input Transaksi'!$D:$D,$E923))</f>
        <v/>
      </c>
      <c r="C923">
        <f>IF($E923="","",INDEX('Input Transaksi'!$E:$E,$E923))</f>
        <v/>
      </c>
      <c r="D923" s="5">
        <f>IF($E923="","",INDEX('Input Transaksi'!$F:$F,$E923))</f>
        <v/>
      </c>
      <c r="E923">
        <f>IFERROR(AGGREGATE(15,6,ROW('Input Transaksi'!$B$5:$B$5000)/('Input Transaksi'!$B$5:$B$5000="RINJANI WASH"),ROWS($E$5:E923)),"")</f>
        <v/>
      </c>
      <c r="F923" s="5" t="n"/>
    </row>
    <row r="924">
      <c r="A924" s="10">
        <f>IF($E924="","",INDEX('Input Transaksi'!$A:$A,$E924))</f>
        <v/>
      </c>
      <c r="B924" s="5">
        <f>IF($E924="","",INDEX('Input Transaksi'!$D:$D,$E924))</f>
        <v/>
      </c>
      <c r="C924">
        <f>IF($E924="","",INDEX('Input Transaksi'!$E:$E,$E924))</f>
        <v/>
      </c>
      <c r="D924" s="5">
        <f>IF($E924="","",INDEX('Input Transaksi'!$F:$F,$E924))</f>
        <v/>
      </c>
      <c r="E924">
        <f>IFERROR(AGGREGATE(15,6,ROW('Input Transaksi'!$B$5:$B$5000)/('Input Transaksi'!$B$5:$B$5000="RINJANI WASH"),ROWS($E$5:E924)),"")</f>
        <v/>
      </c>
      <c r="F924" s="5" t="n"/>
    </row>
    <row r="925">
      <c r="A925" s="10">
        <f>IF($E925="","",INDEX('Input Transaksi'!$A:$A,$E925))</f>
        <v/>
      </c>
      <c r="B925" s="5">
        <f>IF($E925="","",INDEX('Input Transaksi'!$D:$D,$E925))</f>
        <v/>
      </c>
      <c r="C925">
        <f>IF($E925="","",INDEX('Input Transaksi'!$E:$E,$E925))</f>
        <v/>
      </c>
      <c r="D925" s="5">
        <f>IF($E925="","",INDEX('Input Transaksi'!$F:$F,$E925))</f>
        <v/>
      </c>
      <c r="E925">
        <f>IFERROR(AGGREGATE(15,6,ROW('Input Transaksi'!$B$5:$B$5000)/('Input Transaksi'!$B$5:$B$5000="RINJANI WASH"),ROWS($E$5:E925)),"")</f>
        <v/>
      </c>
      <c r="F925" s="5" t="n"/>
    </row>
    <row r="926">
      <c r="A926" s="10">
        <f>IF($E926="","",INDEX('Input Transaksi'!$A:$A,$E926))</f>
        <v/>
      </c>
      <c r="B926" s="5">
        <f>IF($E926="","",INDEX('Input Transaksi'!$D:$D,$E926))</f>
        <v/>
      </c>
      <c r="C926">
        <f>IF($E926="","",INDEX('Input Transaksi'!$E:$E,$E926))</f>
        <v/>
      </c>
      <c r="D926" s="5">
        <f>IF($E926="","",INDEX('Input Transaksi'!$F:$F,$E926))</f>
        <v/>
      </c>
      <c r="E926">
        <f>IFERROR(AGGREGATE(15,6,ROW('Input Transaksi'!$B$5:$B$5000)/('Input Transaksi'!$B$5:$B$5000="RINJANI WASH"),ROWS($E$5:E926)),"")</f>
        <v/>
      </c>
      <c r="F926" s="5" t="n"/>
    </row>
    <row r="927">
      <c r="A927" s="10">
        <f>IF($E927="","",INDEX('Input Transaksi'!$A:$A,$E927))</f>
        <v/>
      </c>
      <c r="B927" s="5">
        <f>IF($E927="","",INDEX('Input Transaksi'!$D:$D,$E927))</f>
        <v/>
      </c>
      <c r="C927">
        <f>IF($E927="","",INDEX('Input Transaksi'!$E:$E,$E927))</f>
        <v/>
      </c>
      <c r="D927" s="5">
        <f>IF($E927="","",INDEX('Input Transaksi'!$F:$F,$E927))</f>
        <v/>
      </c>
      <c r="E927">
        <f>IFERROR(AGGREGATE(15,6,ROW('Input Transaksi'!$B$5:$B$5000)/('Input Transaksi'!$B$5:$B$5000="RINJANI WASH"),ROWS($E$5:E927)),"")</f>
        <v/>
      </c>
      <c r="F927" s="5" t="n"/>
    </row>
    <row r="928">
      <c r="A928" s="10">
        <f>IF($E928="","",INDEX('Input Transaksi'!$A:$A,$E928))</f>
        <v/>
      </c>
      <c r="B928" s="5">
        <f>IF($E928="","",INDEX('Input Transaksi'!$D:$D,$E928))</f>
        <v/>
      </c>
      <c r="C928">
        <f>IF($E928="","",INDEX('Input Transaksi'!$E:$E,$E928))</f>
        <v/>
      </c>
      <c r="D928" s="5">
        <f>IF($E928="","",INDEX('Input Transaksi'!$F:$F,$E928))</f>
        <v/>
      </c>
      <c r="E928">
        <f>IFERROR(AGGREGATE(15,6,ROW('Input Transaksi'!$B$5:$B$5000)/('Input Transaksi'!$B$5:$B$5000="RINJANI WASH"),ROWS($E$5:E928)),"")</f>
        <v/>
      </c>
      <c r="F928" s="5" t="n"/>
    </row>
    <row r="929">
      <c r="A929" s="10">
        <f>IF($E929="","",INDEX('Input Transaksi'!$A:$A,$E929))</f>
        <v/>
      </c>
      <c r="B929" s="5">
        <f>IF($E929="","",INDEX('Input Transaksi'!$D:$D,$E929))</f>
        <v/>
      </c>
      <c r="C929">
        <f>IF($E929="","",INDEX('Input Transaksi'!$E:$E,$E929))</f>
        <v/>
      </c>
      <c r="D929" s="5">
        <f>IF($E929="","",INDEX('Input Transaksi'!$F:$F,$E929))</f>
        <v/>
      </c>
      <c r="E929">
        <f>IFERROR(AGGREGATE(15,6,ROW('Input Transaksi'!$B$5:$B$5000)/('Input Transaksi'!$B$5:$B$5000="RINJANI WASH"),ROWS($E$5:E929)),"")</f>
        <v/>
      </c>
      <c r="F929" s="5" t="n"/>
    </row>
    <row r="930">
      <c r="A930" s="10">
        <f>IF($E930="","",INDEX('Input Transaksi'!$A:$A,$E930))</f>
        <v/>
      </c>
      <c r="B930" s="5">
        <f>IF($E930="","",INDEX('Input Transaksi'!$D:$D,$E930))</f>
        <v/>
      </c>
      <c r="C930">
        <f>IF($E930="","",INDEX('Input Transaksi'!$E:$E,$E930))</f>
        <v/>
      </c>
      <c r="D930" s="5">
        <f>IF($E930="","",INDEX('Input Transaksi'!$F:$F,$E930))</f>
        <v/>
      </c>
      <c r="E930">
        <f>IFERROR(AGGREGATE(15,6,ROW('Input Transaksi'!$B$5:$B$5000)/('Input Transaksi'!$B$5:$B$5000="RINJANI WASH"),ROWS($E$5:E930)),"")</f>
        <v/>
      </c>
      <c r="F930" s="5" t="n"/>
    </row>
    <row r="931">
      <c r="A931" s="10">
        <f>IF($E931="","",INDEX('Input Transaksi'!$A:$A,$E931))</f>
        <v/>
      </c>
      <c r="B931" s="5">
        <f>IF($E931="","",INDEX('Input Transaksi'!$D:$D,$E931))</f>
        <v/>
      </c>
      <c r="C931">
        <f>IF($E931="","",INDEX('Input Transaksi'!$E:$E,$E931))</f>
        <v/>
      </c>
      <c r="D931" s="5">
        <f>IF($E931="","",INDEX('Input Transaksi'!$F:$F,$E931))</f>
        <v/>
      </c>
      <c r="E931">
        <f>IFERROR(AGGREGATE(15,6,ROW('Input Transaksi'!$B$5:$B$5000)/('Input Transaksi'!$B$5:$B$5000="RINJANI WASH"),ROWS($E$5:E931)),"")</f>
        <v/>
      </c>
      <c r="F931" s="5" t="n"/>
    </row>
    <row r="932">
      <c r="A932" s="10">
        <f>IF($E932="","",INDEX('Input Transaksi'!$A:$A,$E932))</f>
        <v/>
      </c>
      <c r="B932" s="5">
        <f>IF($E932="","",INDEX('Input Transaksi'!$D:$D,$E932))</f>
        <v/>
      </c>
      <c r="C932">
        <f>IF($E932="","",INDEX('Input Transaksi'!$E:$E,$E932))</f>
        <v/>
      </c>
      <c r="D932" s="5">
        <f>IF($E932="","",INDEX('Input Transaksi'!$F:$F,$E932))</f>
        <v/>
      </c>
      <c r="E932">
        <f>IFERROR(AGGREGATE(15,6,ROW('Input Transaksi'!$B$5:$B$5000)/('Input Transaksi'!$B$5:$B$5000="RINJANI WASH"),ROWS($E$5:E932)),"")</f>
        <v/>
      </c>
      <c r="F932" s="5" t="n"/>
    </row>
    <row r="933">
      <c r="A933" s="10">
        <f>IF($E933="","",INDEX('Input Transaksi'!$A:$A,$E933))</f>
        <v/>
      </c>
      <c r="B933" s="5">
        <f>IF($E933="","",INDEX('Input Transaksi'!$D:$D,$E933))</f>
        <v/>
      </c>
      <c r="C933">
        <f>IF($E933="","",INDEX('Input Transaksi'!$E:$E,$E933))</f>
        <v/>
      </c>
      <c r="D933" s="5">
        <f>IF($E933="","",INDEX('Input Transaksi'!$F:$F,$E933))</f>
        <v/>
      </c>
      <c r="E933">
        <f>IFERROR(AGGREGATE(15,6,ROW('Input Transaksi'!$B$5:$B$5000)/('Input Transaksi'!$B$5:$B$5000="RINJANI WASH"),ROWS($E$5:E933)),"")</f>
        <v/>
      </c>
      <c r="F933" s="5" t="n"/>
    </row>
    <row r="934">
      <c r="A934" s="10">
        <f>IF($E934="","",INDEX('Input Transaksi'!$A:$A,$E934))</f>
        <v/>
      </c>
      <c r="B934" s="5">
        <f>IF($E934="","",INDEX('Input Transaksi'!$D:$D,$E934))</f>
        <v/>
      </c>
      <c r="C934">
        <f>IF($E934="","",INDEX('Input Transaksi'!$E:$E,$E934))</f>
        <v/>
      </c>
      <c r="D934" s="5">
        <f>IF($E934="","",INDEX('Input Transaksi'!$F:$F,$E934))</f>
        <v/>
      </c>
      <c r="E934">
        <f>IFERROR(AGGREGATE(15,6,ROW('Input Transaksi'!$B$5:$B$5000)/('Input Transaksi'!$B$5:$B$5000="RINJANI WASH"),ROWS($E$5:E934)),"")</f>
        <v/>
      </c>
      <c r="F934" s="5" t="n"/>
    </row>
    <row r="935">
      <c r="A935" s="10">
        <f>IF($E935="","",INDEX('Input Transaksi'!$A:$A,$E935))</f>
        <v/>
      </c>
      <c r="B935" s="5">
        <f>IF($E935="","",INDEX('Input Transaksi'!$D:$D,$E935))</f>
        <v/>
      </c>
      <c r="C935">
        <f>IF($E935="","",INDEX('Input Transaksi'!$E:$E,$E935))</f>
        <v/>
      </c>
      <c r="D935" s="5">
        <f>IF($E935="","",INDEX('Input Transaksi'!$F:$F,$E935))</f>
        <v/>
      </c>
      <c r="E935">
        <f>IFERROR(AGGREGATE(15,6,ROW('Input Transaksi'!$B$5:$B$5000)/('Input Transaksi'!$B$5:$B$5000="RINJANI WASH"),ROWS($E$5:E935)),"")</f>
        <v/>
      </c>
      <c r="F935" s="5" t="n"/>
    </row>
    <row r="936">
      <c r="A936" s="10">
        <f>IF($E936="","",INDEX('Input Transaksi'!$A:$A,$E936))</f>
        <v/>
      </c>
      <c r="B936" s="5">
        <f>IF($E936="","",INDEX('Input Transaksi'!$D:$D,$E936))</f>
        <v/>
      </c>
      <c r="C936">
        <f>IF($E936="","",INDEX('Input Transaksi'!$E:$E,$E936))</f>
        <v/>
      </c>
      <c r="D936" s="5">
        <f>IF($E936="","",INDEX('Input Transaksi'!$F:$F,$E936))</f>
        <v/>
      </c>
      <c r="E936">
        <f>IFERROR(AGGREGATE(15,6,ROW('Input Transaksi'!$B$5:$B$5000)/('Input Transaksi'!$B$5:$B$5000="RINJANI WASH"),ROWS($E$5:E936)),"")</f>
        <v/>
      </c>
      <c r="F936" s="5" t="n"/>
    </row>
    <row r="937">
      <c r="A937" s="10">
        <f>IF($E937="","",INDEX('Input Transaksi'!$A:$A,$E937))</f>
        <v/>
      </c>
      <c r="B937" s="5">
        <f>IF($E937="","",INDEX('Input Transaksi'!$D:$D,$E937))</f>
        <v/>
      </c>
      <c r="C937">
        <f>IF($E937="","",INDEX('Input Transaksi'!$E:$E,$E937))</f>
        <v/>
      </c>
      <c r="D937" s="5">
        <f>IF($E937="","",INDEX('Input Transaksi'!$F:$F,$E937))</f>
        <v/>
      </c>
      <c r="E937">
        <f>IFERROR(AGGREGATE(15,6,ROW('Input Transaksi'!$B$5:$B$5000)/('Input Transaksi'!$B$5:$B$5000="RINJANI WASH"),ROWS($E$5:E937)),"")</f>
        <v/>
      </c>
      <c r="F937" s="5" t="n"/>
    </row>
    <row r="938">
      <c r="A938" s="10">
        <f>IF($E938="","",INDEX('Input Transaksi'!$A:$A,$E938))</f>
        <v/>
      </c>
      <c r="B938" s="5">
        <f>IF($E938="","",INDEX('Input Transaksi'!$D:$D,$E938))</f>
        <v/>
      </c>
      <c r="C938">
        <f>IF($E938="","",INDEX('Input Transaksi'!$E:$E,$E938))</f>
        <v/>
      </c>
      <c r="D938" s="5">
        <f>IF($E938="","",INDEX('Input Transaksi'!$F:$F,$E938))</f>
        <v/>
      </c>
      <c r="E938">
        <f>IFERROR(AGGREGATE(15,6,ROW('Input Transaksi'!$B$5:$B$5000)/('Input Transaksi'!$B$5:$B$5000="RINJANI WASH"),ROWS($E$5:E938)),"")</f>
        <v/>
      </c>
      <c r="F938" s="5" t="n"/>
    </row>
    <row r="939">
      <c r="A939" s="10">
        <f>IF($E939="","",INDEX('Input Transaksi'!$A:$A,$E939))</f>
        <v/>
      </c>
      <c r="B939" s="5">
        <f>IF($E939="","",INDEX('Input Transaksi'!$D:$D,$E939))</f>
        <v/>
      </c>
      <c r="C939">
        <f>IF($E939="","",INDEX('Input Transaksi'!$E:$E,$E939))</f>
        <v/>
      </c>
      <c r="D939" s="5">
        <f>IF($E939="","",INDEX('Input Transaksi'!$F:$F,$E939))</f>
        <v/>
      </c>
      <c r="E939">
        <f>IFERROR(AGGREGATE(15,6,ROW('Input Transaksi'!$B$5:$B$5000)/('Input Transaksi'!$B$5:$B$5000="RINJANI WASH"),ROWS($E$5:E939)),"")</f>
        <v/>
      </c>
      <c r="F939" s="5" t="n"/>
    </row>
    <row r="940">
      <c r="A940" s="10">
        <f>IF($E940="","",INDEX('Input Transaksi'!$A:$A,$E940))</f>
        <v/>
      </c>
      <c r="B940" s="5">
        <f>IF($E940="","",INDEX('Input Transaksi'!$D:$D,$E940))</f>
        <v/>
      </c>
      <c r="C940">
        <f>IF($E940="","",INDEX('Input Transaksi'!$E:$E,$E940))</f>
        <v/>
      </c>
      <c r="D940" s="5">
        <f>IF($E940="","",INDEX('Input Transaksi'!$F:$F,$E940))</f>
        <v/>
      </c>
      <c r="E940">
        <f>IFERROR(AGGREGATE(15,6,ROW('Input Transaksi'!$B$5:$B$5000)/('Input Transaksi'!$B$5:$B$5000="RINJANI WASH"),ROWS($E$5:E940)),"")</f>
        <v/>
      </c>
      <c r="F940" s="5" t="n"/>
    </row>
    <row r="941">
      <c r="A941" s="10">
        <f>IF($E941="","",INDEX('Input Transaksi'!$A:$A,$E941))</f>
        <v/>
      </c>
      <c r="B941" s="5">
        <f>IF($E941="","",INDEX('Input Transaksi'!$D:$D,$E941))</f>
        <v/>
      </c>
      <c r="C941">
        <f>IF($E941="","",INDEX('Input Transaksi'!$E:$E,$E941))</f>
        <v/>
      </c>
      <c r="D941" s="5">
        <f>IF($E941="","",INDEX('Input Transaksi'!$F:$F,$E941))</f>
        <v/>
      </c>
      <c r="E941">
        <f>IFERROR(AGGREGATE(15,6,ROW('Input Transaksi'!$B$5:$B$5000)/('Input Transaksi'!$B$5:$B$5000="RINJANI WASH"),ROWS($E$5:E941)),"")</f>
        <v/>
      </c>
      <c r="F941" s="5" t="n"/>
    </row>
    <row r="942">
      <c r="A942" s="10">
        <f>IF($E942="","",INDEX('Input Transaksi'!$A:$A,$E942))</f>
        <v/>
      </c>
      <c r="B942" s="5">
        <f>IF($E942="","",INDEX('Input Transaksi'!$D:$D,$E942))</f>
        <v/>
      </c>
      <c r="C942">
        <f>IF($E942="","",INDEX('Input Transaksi'!$E:$E,$E942))</f>
        <v/>
      </c>
      <c r="D942" s="5">
        <f>IF($E942="","",INDEX('Input Transaksi'!$F:$F,$E942))</f>
        <v/>
      </c>
      <c r="E942">
        <f>IFERROR(AGGREGATE(15,6,ROW('Input Transaksi'!$B$5:$B$5000)/('Input Transaksi'!$B$5:$B$5000="RINJANI WASH"),ROWS($E$5:E942)),"")</f>
        <v/>
      </c>
      <c r="F942" s="5" t="n"/>
    </row>
    <row r="943">
      <c r="A943" s="10">
        <f>IF($E943="","",INDEX('Input Transaksi'!$A:$A,$E943))</f>
        <v/>
      </c>
      <c r="B943" s="5">
        <f>IF($E943="","",INDEX('Input Transaksi'!$D:$D,$E943))</f>
        <v/>
      </c>
      <c r="C943">
        <f>IF($E943="","",INDEX('Input Transaksi'!$E:$E,$E943))</f>
        <v/>
      </c>
      <c r="D943" s="5">
        <f>IF($E943="","",INDEX('Input Transaksi'!$F:$F,$E943))</f>
        <v/>
      </c>
      <c r="E943">
        <f>IFERROR(AGGREGATE(15,6,ROW('Input Transaksi'!$B$5:$B$5000)/('Input Transaksi'!$B$5:$B$5000="RINJANI WASH"),ROWS($E$5:E943)),"")</f>
        <v/>
      </c>
      <c r="F943" s="5" t="n"/>
    </row>
    <row r="944">
      <c r="A944" s="10">
        <f>IF($E944="","",INDEX('Input Transaksi'!$A:$A,$E944))</f>
        <v/>
      </c>
      <c r="B944" s="5">
        <f>IF($E944="","",INDEX('Input Transaksi'!$D:$D,$E944))</f>
        <v/>
      </c>
      <c r="C944">
        <f>IF($E944="","",INDEX('Input Transaksi'!$E:$E,$E944))</f>
        <v/>
      </c>
      <c r="D944" s="5">
        <f>IF($E944="","",INDEX('Input Transaksi'!$F:$F,$E944))</f>
        <v/>
      </c>
      <c r="E944">
        <f>IFERROR(AGGREGATE(15,6,ROW('Input Transaksi'!$B$5:$B$5000)/('Input Transaksi'!$B$5:$B$5000="RINJANI WASH"),ROWS($E$5:E944)),"")</f>
        <v/>
      </c>
      <c r="F944" s="5" t="n"/>
    </row>
    <row r="945">
      <c r="A945" s="10">
        <f>IF($E945="","",INDEX('Input Transaksi'!$A:$A,$E945))</f>
        <v/>
      </c>
      <c r="B945" s="5">
        <f>IF($E945="","",INDEX('Input Transaksi'!$D:$D,$E945))</f>
        <v/>
      </c>
      <c r="C945">
        <f>IF($E945="","",INDEX('Input Transaksi'!$E:$E,$E945))</f>
        <v/>
      </c>
      <c r="D945" s="5">
        <f>IF($E945="","",INDEX('Input Transaksi'!$F:$F,$E945))</f>
        <v/>
      </c>
      <c r="E945">
        <f>IFERROR(AGGREGATE(15,6,ROW('Input Transaksi'!$B$5:$B$5000)/('Input Transaksi'!$B$5:$B$5000="RINJANI WASH"),ROWS($E$5:E945)),"")</f>
        <v/>
      </c>
      <c r="F945" s="5" t="n"/>
    </row>
    <row r="946">
      <c r="A946" s="10">
        <f>IF($E946="","",INDEX('Input Transaksi'!$A:$A,$E946))</f>
        <v/>
      </c>
      <c r="B946" s="5">
        <f>IF($E946="","",INDEX('Input Transaksi'!$D:$D,$E946))</f>
        <v/>
      </c>
      <c r="C946">
        <f>IF($E946="","",INDEX('Input Transaksi'!$E:$E,$E946))</f>
        <v/>
      </c>
      <c r="D946" s="5">
        <f>IF($E946="","",INDEX('Input Transaksi'!$F:$F,$E946))</f>
        <v/>
      </c>
      <c r="E946">
        <f>IFERROR(AGGREGATE(15,6,ROW('Input Transaksi'!$B$5:$B$5000)/('Input Transaksi'!$B$5:$B$5000="RINJANI WASH"),ROWS($E$5:E946)),"")</f>
        <v/>
      </c>
      <c r="F946" s="5" t="n"/>
    </row>
    <row r="947">
      <c r="A947" s="10">
        <f>IF($E947="","",INDEX('Input Transaksi'!$A:$A,$E947))</f>
        <v/>
      </c>
      <c r="B947" s="5">
        <f>IF($E947="","",INDEX('Input Transaksi'!$D:$D,$E947))</f>
        <v/>
      </c>
      <c r="C947">
        <f>IF($E947="","",INDEX('Input Transaksi'!$E:$E,$E947))</f>
        <v/>
      </c>
      <c r="D947" s="5">
        <f>IF($E947="","",INDEX('Input Transaksi'!$F:$F,$E947))</f>
        <v/>
      </c>
      <c r="E947">
        <f>IFERROR(AGGREGATE(15,6,ROW('Input Transaksi'!$B$5:$B$5000)/('Input Transaksi'!$B$5:$B$5000="RINJANI WASH"),ROWS($E$5:E947)),"")</f>
        <v/>
      </c>
      <c r="F947" s="5" t="n"/>
    </row>
    <row r="948">
      <c r="A948" s="10">
        <f>IF($E948="","",INDEX('Input Transaksi'!$A:$A,$E948))</f>
        <v/>
      </c>
      <c r="B948" s="5">
        <f>IF($E948="","",INDEX('Input Transaksi'!$D:$D,$E948))</f>
        <v/>
      </c>
      <c r="C948">
        <f>IF($E948="","",INDEX('Input Transaksi'!$E:$E,$E948))</f>
        <v/>
      </c>
      <c r="D948" s="5">
        <f>IF($E948="","",INDEX('Input Transaksi'!$F:$F,$E948))</f>
        <v/>
      </c>
      <c r="E948">
        <f>IFERROR(AGGREGATE(15,6,ROW('Input Transaksi'!$B$5:$B$5000)/('Input Transaksi'!$B$5:$B$5000="RINJANI WASH"),ROWS($E$5:E948)),"")</f>
        <v/>
      </c>
      <c r="F948" s="5" t="n"/>
    </row>
    <row r="949">
      <c r="A949" s="10">
        <f>IF($E949="","",INDEX('Input Transaksi'!$A:$A,$E949))</f>
        <v/>
      </c>
      <c r="B949" s="5">
        <f>IF($E949="","",INDEX('Input Transaksi'!$D:$D,$E949))</f>
        <v/>
      </c>
      <c r="C949">
        <f>IF($E949="","",INDEX('Input Transaksi'!$E:$E,$E949))</f>
        <v/>
      </c>
      <c r="D949" s="5">
        <f>IF($E949="","",INDEX('Input Transaksi'!$F:$F,$E949))</f>
        <v/>
      </c>
      <c r="E949">
        <f>IFERROR(AGGREGATE(15,6,ROW('Input Transaksi'!$B$5:$B$5000)/('Input Transaksi'!$B$5:$B$5000="RINJANI WASH"),ROWS($E$5:E949)),"")</f>
        <v/>
      </c>
      <c r="F949" s="5" t="n"/>
    </row>
    <row r="950">
      <c r="A950" s="10">
        <f>IF($E950="","",INDEX('Input Transaksi'!$A:$A,$E950))</f>
        <v/>
      </c>
      <c r="B950" s="5">
        <f>IF($E950="","",INDEX('Input Transaksi'!$D:$D,$E950))</f>
        <v/>
      </c>
      <c r="C950">
        <f>IF($E950="","",INDEX('Input Transaksi'!$E:$E,$E950))</f>
        <v/>
      </c>
      <c r="D950" s="5">
        <f>IF($E950="","",INDEX('Input Transaksi'!$F:$F,$E950))</f>
        <v/>
      </c>
      <c r="E950">
        <f>IFERROR(AGGREGATE(15,6,ROW('Input Transaksi'!$B$5:$B$5000)/('Input Transaksi'!$B$5:$B$5000="RINJANI WASH"),ROWS($E$5:E950)),"")</f>
        <v/>
      </c>
      <c r="F950" s="5" t="n"/>
    </row>
    <row r="951">
      <c r="A951" s="10">
        <f>IF($E951="","",INDEX('Input Transaksi'!$A:$A,$E951))</f>
        <v/>
      </c>
      <c r="B951" s="5">
        <f>IF($E951="","",INDEX('Input Transaksi'!$D:$D,$E951))</f>
        <v/>
      </c>
      <c r="C951">
        <f>IF($E951="","",INDEX('Input Transaksi'!$E:$E,$E951))</f>
        <v/>
      </c>
      <c r="D951" s="5">
        <f>IF($E951="","",INDEX('Input Transaksi'!$F:$F,$E951))</f>
        <v/>
      </c>
      <c r="E951">
        <f>IFERROR(AGGREGATE(15,6,ROW('Input Transaksi'!$B$5:$B$5000)/('Input Transaksi'!$B$5:$B$5000="RINJANI WASH"),ROWS($E$5:E951)),"")</f>
        <v/>
      </c>
      <c r="F951" s="5" t="n"/>
    </row>
    <row r="952">
      <c r="A952" s="10">
        <f>IF($E952="","",INDEX('Input Transaksi'!$A:$A,$E952))</f>
        <v/>
      </c>
      <c r="B952" s="5">
        <f>IF($E952="","",INDEX('Input Transaksi'!$D:$D,$E952))</f>
        <v/>
      </c>
      <c r="C952">
        <f>IF($E952="","",INDEX('Input Transaksi'!$E:$E,$E952))</f>
        <v/>
      </c>
      <c r="D952" s="5">
        <f>IF($E952="","",INDEX('Input Transaksi'!$F:$F,$E952))</f>
        <v/>
      </c>
      <c r="E952">
        <f>IFERROR(AGGREGATE(15,6,ROW('Input Transaksi'!$B$5:$B$5000)/('Input Transaksi'!$B$5:$B$5000="RINJANI WASH"),ROWS($E$5:E952)),"")</f>
        <v/>
      </c>
      <c r="F952" s="5" t="n"/>
    </row>
    <row r="953">
      <c r="A953" s="10">
        <f>IF($E953="","",INDEX('Input Transaksi'!$A:$A,$E953))</f>
        <v/>
      </c>
      <c r="B953" s="5">
        <f>IF($E953="","",INDEX('Input Transaksi'!$D:$D,$E953))</f>
        <v/>
      </c>
      <c r="C953">
        <f>IF($E953="","",INDEX('Input Transaksi'!$E:$E,$E953))</f>
        <v/>
      </c>
      <c r="D953" s="5">
        <f>IF($E953="","",INDEX('Input Transaksi'!$F:$F,$E953))</f>
        <v/>
      </c>
      <c r="E953">
        <f>IFERROR(AGGREGATE(15,6,ROW('Input Transaksi'!$B$5:$B$5000)/('Input Transaksi'!$B$5:$B$5000="RINJANI WASH"),ROWS($E$5:E953)),"")</f>
        <v/>
      </c>
      <c r="F953" s="5" t="n"/>
    </row>
    <row r="954">
      <c r="A954" s="10">
        <f>IF($E954="","",INDEX('Input Transaksi'!$A:$A,$E954))</f>
        <v/>
      </c>
      <c r="B954" s="5">
        <f>IF($E954="","",INDEX('Input Transaksi'!$D:$D,$E954))</f>
        <v/>
      </c>
      <c r="C954">
        <f>IF($E954="","",INDEX('Input Transaksi'!$E:$E,$E954))</f>
        <v/>
      </c>
      <c r="D954" s="5">
        <f>IF($E954="","",INDEX('Input Transaksi'!$F:$F,$E954))</f>
        <v/>
      </c>
      <c r="E954">
        <f>IFERROR(AGGREGATE(15,6,ROW('Input Transaksi'!$B$5:$B$5000)/('Input Transaksi'!$B$5:$B$5000="RINJANI WASH"),ROWS($E$5:E954)),"")</f>
        <v/>
      </c>
      <c r="F954" s="5" t="n"/>
    </row>
    <row r="955">
      <c r="A955" s="10">
        <f>IF($E955="","",INDEX('Input Transaksi'!$A:$A,$E955))</f>
        <v/>
      </c>
      <c r="B955" s="5">
        <f>IF($E955="","",INDEX('Input Transaksi'!$D:$D,$E955))</f>
        <v/>
      </c>
      <c r="C955">
        <f>IF($E955="","",INDEX('Input Transaksi'!$E:$E,$E955))</f>
        <v/>
      </c>
      <c r="D955" s="5">
        <f>IF($E955="","",INDEX('Input Transaksi'!$F:$F,$E955))</f>
        <v/>
      </c>
      <c r="E955">
        <f>IFERROR(AGGREGATE(15,6,ROW('Input Transaksi'!$B$5:$B$5000)/('Input Transaksi'!$B$5:$B$5000="RINJANI WASH"),ROWS($E$5:E955)),"")</f>
        <v/>
      </c>
      <c r="F955" s="5" t="n"/>
    </row>
    <row r="956">
      <c r="A956" s="10">
        <f>IF($E956="","",INDEX('Input Transaksi'!$A:$A,$E956))</f>
        <v/>
      </c>
      <c r="B956" s="5">
        <f>IF($E956="","",INDEX('Input Transaksi'!$D:$D,$E956))</f>
        <v/>
      </c>
      <c r="C956">
        <f>IF($E956="","",INDEX('Input Transaksi'!$E:$E,$E956))</f>
        <v/>
      </c>
      <c r="D956" s="5">
        <f>IF($E956="","",INDEX('Input Transaksi'!$F:$F,$E956))</f>
        <v/>
      </c>
      <c r="E956">
        <f>IFERROR(AGGREGATE(15,6,ROW('Input Transaksi'!$B$5:$B$5000)/('Input Transaksi'!$B$5:$B$5000="RINJANI WASH"),ROWS($E$5:E956)),"")</f>
        <v/>
      </c>
      <c r="F956" s="5" t="n"/>
    </row>
    <row r="957">
      <c r="A957" s="10">
        <f>IF($E957="","",INDEX('Input Transaksi'!$A:$A,$E957))</f>
        <v/>
      </c>
      <c r="B957" s="5">
        <f>IF($E957="","",INDEX('Input Transaksi'!$D:$D,$E957))</f>
        <v/>
      </c>
      <c r="C957">
        <f>IF($E957="","",INDEX('Input Transaksi'!$E:$E,$E957))</f>
        <v/>
      </c>
      <c r="D957" s="5">
        <f>IF($E957="","",INDEX('Input Transaksi'!$F:$F,$E957))</f>
        <v/>
      </c>
      <c r="E957">
        <f>IFERROR(AGGREGATE(15,6,ROW('Input Transaksi'!$B$5:$B$5000)/('Input Transaksi'!$B$5:$B$5000="RINJANI WASH"),ROWS($E$5:E957)),"")</f>
        <v/>
      </c>
      <c r="F957" s="5" t="n"/>
    </row>
    <row r="958">
      <c r="A958" s="10">
        <f>IF($E958="","",INDEX('Input Transaksi'!$A:$A,$E958))</f>
        <v/>
      </c>
      <c r="B958" s="5">
        <f>IF($E958="","",INDEX('Input Transaksi'!$D:$D,$E958))</f>
        <v/>
      </c>
      <c r="C958">
        <f>IF($E958="","",INDEX('Input Transaksi'!$E:$E,$E958))</f>
        <v/>
      </c>
      <c r="D958" s="5">
        <f>IF($E958="","",INDEX('Input Transaksi'!$F:$F,$E958))</f>
        <v/>
      </c>
      <c r="E958">
        <f>IFERROR(AGGREGATE(15,6,ROW('Input Transaksi'!$B$5:$B$5000)/('Input Transaksi'!$B$5:$B$5000="RINJANI WASH"),ROWS($E$5:E958)),"")</f>
        <v/>
      </c>
      <c r="F958" s="5" t="n"/>
    </row>
    <row r="959">
      <c r="A959" s="10">
        <f>IF($E959="","",INDEX('Input Transaksi'!$A:$A,$E959))</f>
        <v/>
      </c>
      <c r="B959" s="5">
        <f>IF($E959="","",INDEX('Input Transaksi'!$D:$D,$E959))</f>
        <v/>
      </c>
      <c r="C959">
        <f>IF($E959="","",INDEX('Input Transaksi'!$E:$E,$E959))</f>
        <v/>
      </c>
      <c r="D959" s="5">
        <f>IF($E959="","",INDEX('Input Transaksi'!$F:$F,$E959))</f>
        <v/>
      </c>
      <c r="E959">
        <f>IFERROR(AGGREGATE(15,6,ROW('Input Transaksi'!$B$5:$B$5000)/('Input Transaksi'!$B$5:$B$5000="RINJANI WASH"),ROWS($E$5:E959)),"")</f>
        <v/>
      </c>
      <c r="F959" s="5" t="n"/>
    </row>
    <row r="960">
      <c r="A960" s="10">
        <f>IF($E960="","",INDEX('Input Transaksi'!$A:$A,$E960))</f>
        <v/>
      </c>
      <c r="B960" s="5">
        <f>IF($E960="","",INDEX('Input Transaksi'!$D:$D,$E960))</f>
        <v/>
      </c>
      <c r="C960">
        <f>IF($E960="","",INDEX('Input Transaksi'!$E:$E,$E960))</f>
        <v/>
      </c>
      <c r="D960" s="5">
        <f>IF($E960="","",INDEX('Input Transaksi'!$F:$F,$E960))</f>
        <v/>
      </c>
      <c r="E960">
        <f>IFERROR(AGGREGATE(15,6,ROW('Input Transaksi'!$B$5:$B$5000)/('Input Transaksi'!$B$5:$B$5000="RINJANI WASH"),ROWS($E$5:E960)),"")</f>
        <v/>
      </c>
      <c r="F960" s="5" t="n"/>
    </row>
    <row r="961">
      <c r="A961" s="10">
        <f>IF($E961="","",INDEX('Input Transaksi'!$A:$A,$E961))</f>
        <v/>
      </c>
      <c r="B961" s="5">
        <f>IF($E961="","",INDEX('Input Transaksi'!$D:$D,$E961))</f>
        <v/>
      </c>
      <c r="C961">
        <f>IF($E961="","",INDEX('Input Transaksi'!$E:$E,$E961))</f>
        <v/>
      </c>
      <c r="D961" s="5">
        <f>IF($E961="","",INDEX('Input Transaksi'!$F:$F,$E961))</f>
        <v/>
      </c>
      <c r="E961">
        <f>IFERROR(AGGREGATE(15,6,ROW('Input Transaksi'!$B$5:$B$5000)/('Input Transaksi'!$B$5:$B$5000="RINJANI WASH"),ROWS($E$5:E961)),"")</f>
        <v/>
      </c>
      <c r="F961" s="5" t="n"/>
    </row>
    <row r="962">
      <c r="A962" s="10">
        <f>IF($E962="","",INDEX('Input Transaksi'!$A:$A,$E962))</f>
        <v/>
      </c>
      <c r="B962" s="5">
        <f>IF($E962="","",INDEX('Input Transaksi'!$D:$D,$E962))</f>
        <v/>
      </c>
      <c r="C962">
        <f>IF($E962="","",INDEX('Input Transaksi'!$E:$E,$E962))</f>
        <v/>
      </c>
      <c r="D962" s="5">
        <f>IF($E962="","",INDEX('Input Transaksi'!$F:$F,$E962))</f>
        <v/>
      </c>
      <c r="E962">
        <f>IFERROR(AGGREGATE(15,6,ROW('Input Transaksi'!$B$5:$B$5000)/('Input Transaksi'!$B$5:$B$5000="RINJANI WASH"),ROWS($E$5:E962)),"")</f>
        <v/>
      </c>
      <c r="F962" s="5" t="n"/>
    </row>
    <row r="963">
      <c r="A963" s="10">
        <f>IF($E963="","",INDEX('Input Transaksi'!$A:$A,$E963))</f>
        <v/>
      </c>
      <c r="B963" s="5">
        <f>IF($E963="","",INDEX('Input Transaksi'!$D:$D,$E963))</f>
        <v/>
      </c>
      <c r="C963">
        <f>IF($E963="","",INDEX('Input Transaksi'!$E:$E,$E963))</f>
        <v/>
      </c>
      <c r="D963" s="5">
        <f>IF($E963="","",INDEX('Input Transaksi'!$F:$F,$E963))</f>
        <v/>
      </c>
      <c r="E963">
        <f>IFERROR(AGGREGATE(15,6,ROW('Input Transaksi'!$B$5:$B$5000)/('Input Transaksi'!$B$5:$B$5000="RINJANI WASH"),ROWS($E$5:E963)),"")</f>
        <v/>
      </c>
      <c r="F963" s="5" t="n"/>
    </row>
    <row r="964">
      <c r="A964" s="10">
        <f>IF($E964="","",INDEX('Input Transaksi'!$A:$A,$E964))</f>
        <v/>
      </c>
      <c r="B964" s="5">
        <f>IF($E964="","",INDEX('Input Transaksi'!$D:$D,$E964))</f>
        <v/>
      </c>
      <c r="C964">
        <f>IF($E964="","",INDEX('Input Transaksi'!$E:$E,$E964))</f>
        <v/>
      </c>
      <c r="D964" s="5">
        <f>IF($E964="","",INDEX('Input Transaksi'!$F:$F,$E964))</f>
        <v/>
      </c>
      <c r="E964">
        <f>IFERROR(AGGREGATE(15,6,ROW('Input Transaksi'!$B$5:$B$5000)/('Input Transaksi'!$B$5:$B$5000="RINJANI WASH"),ROWS($E$5:E964)),"")</f>
        <v/>
      </c>
      <c r="F964" s="5" t="n"/>
    </row>
    <row r="965">
      <c r="A965" s="10">
        <f>IF($E965="","",INDEX('Input Transaksi'!$A:$A,$E965))</f>
        <v/>
      </c>
      <c r="B965" s="5">
        <f>IF($E965="","",INDEX('Input Transaksi'!$D:$D,$E965))</f>
        <v/>
      </c>
      <c r="C965">
        <f>IF($E965="","",INDEX('Input Transaksi'!$E:$E,$E965))</f>
        <v/>
      </c>
      <c r="D965" s="5">
        <f>IF($E965="","",INDEX('Input Transaksi'!$F:$F,$E965))</f>
        <v/>
      </c>
      <c r="E965">
        <f>IFERROR(AGGREGATE(15,6,ROW('Input Transaksi'!$B$5:$B$5000)/('Input Transaksi'!$B$5:$B$5000="RINJANI WASH"),ROWS($E$5:E965)),"")</f>
        <v/>
      </c>
      <c r="F965" s="5" t="n"/>
    </row>
    <row r="966">
      <c r="A966" s="10">
        <f>IF($E966="","",INDEX('Input Transaksi'!$A:$A,$E966))</f>
        <v/>
      </c>
      <c r="B966" s="5">
        <f>IF($E966="","",INDEX('Input Transaksi'!$D:$D,$E966))</f>
        <v/>
      </c>
      <c r="C966">
        <f>IF($E966="","",INDEX('Input Transaksi'!$E:$E,$E966))</f>
        <v/>
      </c>
      <c r="D966" s="5">
        <f>IF($E966="","",INDEX('Input Transaksi'!$F:$F,$E966))</f>
        <v/>
      </c>
      <c r="E966">
        <f>IFERROR(AGGREGATE(15,6,ROW('Input Transaksi'!$B$5:$B$5000)/('Input Transaksi'!$B$5:$B$5000="RINJANI WASH"),ROWS($E$5:E966)),"")</f>
        <v/>
      </c>
      <c r="F966" s="5" t="n"/>
    </row>
    <row r="967">
      <c r="A967" s="10">
        <f>IF($E967="","",INDEX('Input Transaksi'!$A:$A,$E967))</f>
        <v/>
      </c>
      <c r="B967" s="5">
        <f>IF($E967="","",INDEX('Input Transaksi'!$D:$D,$E967))</f>
        <v/>
      </c>
      <c r="C967">
        <f>IF($E967="","",INDEX('Input Transaksi'!$E:$E,$E967))</f>
        <v/>
      </c>
      <c r="D967" s="5">
        <f>IF($E967="","",INDEX('Input Transaksi'!$F:$F,$E967))</f>
        <v/>
      </c>
      <c r="E967">
        <f>IFERROR(AGGREGATE(15,6,ROW('Input Transaksi'!$B$5:$B$5000)/('Input Transaksi'!$B$5:$B$5000="RINJANI WASH"),ROWS($E$5:E967)),"")</f>
        <v/>
      </c>
      <c r="F967" s="5" t="n"/>
    </row>
    <row r="968">
      <c r="A968" s="10">
        <f>IF($E968="","",INDEX('Input Transaksi'!$A:$A,$E968))</f>
        <v/>
      </c>
      <c r="B968" s="5">
        <f>IF($E968="","",INDEX('Input Transaksi'!$D:$D,$E968))</f>
        <v/>
      </c>
      <c r="C968">
        <f>IF($E968="","",INDEX('Input Transaksi'!$E:$E,$E968))</f>
        <v/>
      </c>
      <c r="D968" s="5">
        <f>IF($E968="","",INDEX('Input Transaksi'!$F:$F,$E968))</f>
        <v/>
      </c>
      <c r="E968">
        <f>IFERROR(AGGREGATE(15,6,ROW('Input Transaksi'!$B$5:$B$5000)/('Input Transaksi'!$B$5:$B$5000="RINJANI WASH"),ROWS($E$5:E968)),"")</f>
        <v/>
      </c>
      <c r="F968" s="5" t="n"/>
    </row>
    <row r="969">
      <c r="A969" s="10">
        <f>IF($E969="","",INDEX('Input Transaksi'!$A:$A,$E969))</f>
        <v/>
      </c>
      <c r="B969" s="5">
        <f>IF($E969="","",INDEX('Input Transaksi'!$D:$D,$E969))</f>
        <v/>
      </c>
      <c r="C969">
        <f>IF($E969="","",INDEX('Input Transaksi'!$E:$E,$E969))</f>
        <v/>
      </c>
      <c r="D969" s="5">
        <f>IF($E969="","",INDEX('Input Transaksi'!$F:$F,$E969))</f>
        <v/>
      </c>
      <c r="E969">
        <f>IFERROR(AGGREGATE(15,6,ROW('Input Transaksi'!$B$5:$B$5000)/('Input Transaksi'!$B$5:$B$5000="RINJANI WASH"),ROWS($E$5:E969)),"")</f>
        <v/>
      </c>
      <c r="F969" s="5" t="n"/>
    </row>
    <row r="970">
      <c r="A970" s="10">
        <f>IF($E970="","",INDEX('Input Transaksi'!$A:$A,$E970))</f>
        <v/>
      </c>
      <c r="B970" s="5">
        <f>IF($E970="","",INDEX('Input Transaksi'!$D:$D,$E970))</f>
        <v/>
      </c>
      <c r="C970">
        <f>IF($E970="","",INDEX('Input Transaksi'!$E:$E,$E970))</f>
        <v/>
      </c>
      <c r="D970" s="5">
        <f>IF($E970="","",INDEX('Input Transaksi'!$F:$F,$E970))</f>
        <v/>
      </c>
      <c r="E970">
        <f>IFERROR(AGGREGATE(15,6,ROW('Input Transaksi'!$B$5:$B$5000)/('Input Transaksi'!$B$5:$B$5000="RINJANI WASH"),ROWS($E$5:E970)),"")</f>
        <v/>
      </c>
      <c r="F970" s="5" t="n"/>
    </row>
    <row r="971">
      <c r="A971" s="10">
        <f>IF($E971="","",INDEX('Input Transaksi'!$A:$A,$E971))</f>
        <v/>
      </c>
      <c r="B971" s="5">
        <f>IF($E971="","",INDEX('Input Transaksi'!$D:$D,$E971))</f>
        <v/>
      </c>
      <c r="C971">
        <f>IF($E971="","",INDEX('Input Transaksi'!$E:$E,$E971))</f>
        <v/>
      </c>
      <c r="D971" s="5">
        <f>IF($E971="","",INDEX('Input Transaksi'!$F:$F,$E971))</f>
        <v/>
      </c>
      <c r="E971">
        <f>IFERROR(AGGREGATE(15,6,ROW('Input Transaksi'!$B$5:$B$5000)/('Input Transaksi'!$B$5:$B$5000="RINJANI WASH"),ROWS($E$5:E971)),"")</f>
        <v/>
      </c>
      <c r="F971" s="5" t="n"/>
    </row>
    <row r="972">
      <c r="A972" s="10">
        <f>IF($E972="","",INDEX('Input Transaksi'!$A:$A,$E972))</f>
        <v/>
      </c>
      <c r="B972" s="5">
        <f>IF($E972="","",INDEX('Input Transaksi'!$D:$D,$E972))</f>
        <v/>
      </c>
      <c r="C972">
        <f>IF($E972="","",INDEX('Input Transaksi'!$E:$E,$E972))</f>
        <v/>
      </c>
      <c r="D972" s="5">
        <f>IF($E972="","",INDEX('Input Transaksi'!$F:$F,$E972))</f>
        <v/>
      </c>
      <c r="E972">
        <f>IFERROR(AGGREGATE(15,6,ROW('Input Transaksi'!$B$5:$B$5000)/('Input Transaksi'!$B$5:$B$5000="RINJANI WASH"),ROWS($E$5:E972)),"")</f>
        <v/>
      </c>
      <c r="F972" s="5" t="n"/>
    </row>
    <row r="973">
      <c r="A973" s="10">
        <f>IF($E973="","",INDEX('Input Transaksi'!$A:$A,$E973))</f>
        <v/>
      </c>
      <c r="B973" s="5">
        <f>IF($E973="","",INDEX('Input Transaksi'!$D:$D,$E973))</f>
        <v/>
      </c>
      <c r="C973">
        <f>IF($E973="","",INDEX('Input Transaksi'!$E:$E,$E973))</f>
        <v/>
      </c>
      <c r="D973" s="5">
        <f>IF($E973="","",INDEX('Input Transaksi'!$F:$F,$E973))</f>
        <v/>
      </c>
      <c r="E973">
        <f>IFERROR(AGGREGATE(15,6,ROW('Input Transaksi'!$B$5:$B$5000)/('Input Transaksi'!$B$5:$B$5000="RINJANI WASH"),ROWS($E$5:E973)),"")</f>
        <v/>
      </c>
      <c r="F973" s="5" t="n"/>
    </row>
    <row r="974">
      <c r="A974" s="10">
        <f>IF($E974="","",INDEX('Input Transaksi'!$A:$A,$E974))</f>
        <v/>
      </c>
      <c r="B974" s="5">
        <f>IF($E974="","",INDEX('Input Transaksi'!$D:$D,$E974))</f>
        <v/>
      </c>
      <c r="C974">
        <f>IF($E974="","",INDEX('Input Transaksi'!$E:$E,$E974))</f>
        <v/>
      </c>
      <c r="D974" s="5">
        <f>IF($E974="","",INDEX('Input Transaksi'!$F:$F,$E974))</f>
        <v/>
      </c>
      <c r="E974">
        <f>IFERROR(AGGREGATE(15,6,ROW('Input Transaksi'!$B$5:$B$5000)/('Input Transaksi'!$B$5:$B$5000="RINJANI WASH"),ROWS($E$5:E974)),"")</f>
        <v/>
      </c>
      <c r="F974" s="5" t="n"/>
    </row>
    <row r="975">
      <c r="A975" s="10">
        <f>IF($E975="","",INDEX('Input Transaksi'!$A:$A,$E975))</f>
        <v/>
      </c>
      <c r="B975" s="5">
        <f>IF($E975="","",INDEX('Input Transaksi'!$D:$D,$E975))</f>
        <v/>
      </c>
      <c r="C975">
        <f>IF($E975="","",INDEX('Input Transaksi'!$E:$E,$E975))</f>
        <v/>
      </c>
      <c r="D975" s="5">
        <f>IF($E975="","",INDEX('Input Transaksi'!$F:$F,$E975))</f>
        <v/>
      </c>
      <c r="E975">
        <f>IFERROR(AGGREGATE(15,6,ROW('Input Transaksi'!$B$5:$B$5000)/('Input Transaksi'!$B$5:$B$5000="RINJANI WASH"),ROWS($E$5:E975)),"")</f>
        <v/>
      </c>
      <c r="F975" s="5" t="n"/>
    </row>
    <row r="976">
      <c r="A976" s="10">
        <f>IF($E976="","",INDEX('Input Transaksi'!$A:$A,$E976))</f>
        <v/>
      </c>
      <c r="B976" s="5">
        <f>IF($E976="","",INDEX('Input Transaksi'!$D:$D,$E976))</f>
        <v/>
      </c>
      <c r="C976">
        <f>IF($E976="","",INDEX('Input Transaksi'!$E:$E,$E976))</f>
        <v/>
      </c>
      <c r="D976" s="5">
        <f>IF($E976="","",INDEX('Input Transaksi'!$F:$F,$E976))</f>
        <v/>
      </c>
      <c r="E976">
        <f>IFERROR(AGGREGATE(15,6,ROW('Input Transaksi'!$B$5:$B$5000)/('Input Transaksi'!$B$5:$B$5000="RINJANI WASH"),ROWS($E$5:E976)),"")</f>
        <v/>
      </c>
      <c r="F976" s="5" t="n"/>
    </row>
    <row r="977">
      <c r="A977" s="10">
        <f>IF($E977="","",INDEX('Input Transaksi'!$A:$A,$E977))</f>
        <v/>
      </c>
      <c r="B977" s="5">
        <f>IF($E977="","",INDEX('Input Transaksi'!$D:$D,$E977))</f>
        <v/>
      </c>
      <c r="C977">
        <f>IF($E977="","",INDEX('Input Transaksi'!$E:$E,$E977))</f>
        <v/>
      </c>
      <c r="D977" s="5">
        <f>IF($E977="","",INDEX('Input Transaksi'!$F:$F,$E977))</f>
        <v/>
      </c>
      <c r="E977">
        <f>IFERROR(AGGREGATE(15,6,ROW('Input Transaksi'!$B$5:$B$5000)/('Input Transaksi'!$B$5:$B$5000="RINJANI WASH"),ROWS($E$5:E977)),"")</f>
        <v/>
      </c>
      <c r="F977" s="5" t="n"/>
    </row>
    <row r="978">
      <c r="A978" s="10">
        <f>IF($E978="","",INDEX('Input Transaksi'!$A:$A,$E978))</f>
        <v/>
      </c>
      <c r="B978" s="5">
        <f>IF($E978="","",INDEX('Input Transaksi'!$D:$D,$E978))</f>
        <v/>
      </c>
      <c r="C978">
        <f>IF($E978="","",INDEX('Input Transaksi'!$E:$E,$E978))</f>
        <v/>
      </c>
      <c r="D978" s="5">
        <f>IF($E978="","",INDEX('Input Transaksi'!$F:$F,$E978))</f>
        <v/>
      </c>
      <c r="E978">
        <f>IFERROR(AGGREGATE(15,6,ROW('Input Transaksi'!$B$5:$B$5000)/('Input Transaksi'!$B$5:$B$5000="RINJANI WASH"),ROWS($E$5:E978)),"")</f>
        <v/>
      </c>
      <c r="F978" s="5" t="n"/>
    </row>
    <row r="979">
      <c r="A979" s="10">
        <f>IF($E979="","",INDEX('Input Transaksi'!$A:$A,$E979))</f>
        <v/>
      </c>
      <c r="B979" s="5">
        <f>IF($E979="","",INDEX('Input Transaksi'!$D:$D,$E979))</f>
        <v/>
      </c>
      <c r="C979">
        <f>IF($E979="","",INDEX('Input Transaksi'!$E:$E,$E979))</f>
        <v/>
      </c>
      <c r="D979" s="5">
        <f>IF($E979="","",INDEX('Input Transaksi'!$F:$F,$E979))</f>
        <v/>
      </c>
      <c r="E979">
        <f>IFERROR(AGGREGATE(15,6,ROW('Input Transaksi'!$B$5:$B$5000)/('Input Transaksi'!$B$5:$B$5000="RINJANI WASH"),ROWS($E$5:E979)),"")</f>
        <v/>
      </c>
      <c r="F979" s="5" t="n"/>
    </row>
    <row r="980">
      <c r="A980" s="10">
        <f>IF($E980="","",INDEX('Input Transaksi'!$A:$A,$E980))</f>
        <v/>
      </c>
      <c r="B980" s="5">
        <f>IF($E980="","",INDEX('Input Transaksi'!$D:$D,$E980))</f>
        <v/>
      </c>
      <c r="C980">
        <f>IF($E980="","",INDEX('Input Transaksi'!$E:$E,$E980))</f>
        <v/>
      </c>
      <c r="D980" s="5">
        <f>IF($E980="","",INDEX('Input Transaksi'!$F:$F,$E980))</f>
        <v/>
      </c>
      <c r="E980">
        <f>IFERROR(AGGREGATE(15,6,ROW('Input Transaksi'!$B$5:$B$5000)/('Input Transaksi'!$B$5:$B$5000="RINJANI WASH"),ROWS($E$5:E980)),"")</f>
        <v/>
      </c>
      <c r="F980" s="5" t="n"/>
    </row>
    <row r="981">
      <c r="A981" s="10">
        <f>IF($E981="","",INDEX('Input Transaksi'!$A:$A,$E981))</f>
        <v/>
      </c>
      <c r="B981" s="5">
        <f>IF($E981="","",INDEX('Input Transaksi'!$D:$D,$E981))</f>
        <v/>
      </c>
      <c r="C981">
        <f>IF($E981="","",INDEX('Input Transaksi'!$E:$E,$E981))</f>
        <v/>
      </c>
      <c r="D981" s="5">
        <f>IF($E981="","",INDEX('Input Transaksi'!$F:$F,$E981))</f>
        <v/>
      </c>
      <c r="E981">
        <f>IFERROR(AGGREGATE(15,6,ROW('Input Transaksi'!$B$5:$B$5000)/('Input Transaksi'!$B$5:$B$5000="RINJANI WASH"),ROWS($E$5:E981)),"")</f>
        <v/>
      </c>
      <c r="F981" s="5" t="n"/>
    </row>
    <row r="982">
      <c r="A982" s="10">
        <f>IF($E982="","",INDEX('Input Transaksi'!$A:$A,$E982))</f>
        <v/>
      </c>
      <c r="B982" s="5">
        <f>IF($E982="","",INDEX('Input Transaksi'!$D:$D,$E982))</f>
        <v/>
      </c>
      <c r="C982">
        <f>IF($E982="","",INDEX('Input Transaksi'!$E:$E,$E982))</f>
        <v/>
      </c>
      <c r="D982" s="5">
        <f>IF($E982="","",INDEX('Input Transaksi'!$F:$F,$E982))</f>
        <v/>
      </c>
      <c r="E982">
        <f>IFERROR(AGGREGATE(15,6,ROW('Input Transaksi'!$B$5:$B$5000)/('Input Transaksi'!$B$5:$B$5000="RINJANI WASH"),ROWS($E$5:E982)),"")</f>
        <v/>
      </c>
      <c r="F982" s="5" t="n"/>
    </row>
    <row r="983">
      <c r="A983" s="10">
        <f>IF($E983="","",INDEX('Input Transaksi'!$A:$A,$E983))</f>
        <v/>
      </c>
      <c r="B983" s="5">
        <f>IF($E983="","",INDEX('Input Transaksi'!$D:$D,$E983))</f>
        <v/>
      </c>
      <c r="C983">
        <f>IF($E983="","",INDEX('Input Transaksi'!$E:$E,$E983))</f>
        <v/>
      </c>
      <c r="D983" s="5">
        <f>IF($E983="","",INDEX('Input Transaksi'!$F:$F,$E983))</f>
        <v/>
      </c>
      <c r="E983">
        <f>IFERROR(AGGREGATE(15,6,ROW('Input Transaksi'!$B$5:$B$5000)/('Input Transaksi'!$B$5:$B$5000="RINJANI WASH"),ROWS($E$5:E983)),"")</f>
        <v/>
      </c>
      <c r="F983" s="5" t="n"/>
    </row>
    <row r="984">
      <c r="A984" s="10">
        <f>IF($E984="","",INDEX('Input Transaksi'!$A:$A,$E984))</f>
        <v/>
      </c>
      <c r="B984" s="5">
        <f>IF($E984="","",INDEX('Input Transaksi'!$D:$D,$E984))</f>
        <v/>
      </c>
      <c r="C984">
        <f>IF($E984="","",INDEX('Input Transaksi'!$E:$E,$E984))</f>
        <v/>
      </c>
      <c r="D984" s="5">
        <f>IF($E984="","",INDEX('Input Transaksi'!$F:$F,$E984))</f>
        <v/>
      </c>
      <c r="E984">
        <f>IFERROR(AGGREGATE(15,6,ROW('Input Transaksi'!$B$5:$B$5000)/('Input Transaksi'!$B$5:$B$5000="RINJANI WASH"),ROWS($E$5:E984)),"")</f>
        <v/>
      </c>
      <c r="F984" s="5" t="n"/>
    </row>
    <row r="985">
      <c r="A985" s="10">
        <f>IF($E985="","",INDEX('Input Transaksi'!$A:$A,$E985))</f>
        <v/>
      </c>
      <c r="B985" s="5">
        <f>IF($E985="","",INDEX('Input Transaksi'!$D:$D,$E985))</f>
        <v/>
      </c>
      <c r="C985">
        <f>IF($E985="","",INDEX('Input Transaksi'!$E:$E,$E985))</f>
        <v/>
      </c>
      <c r="D985" s="5">
        <f>IF($E985="","",INDEX('Input Transaksi'!$F:$F,$E985))</f>
        <v/>
      </c>
      <c r="E985">
        <f>IFERROR(AGGREGATE(15,6,ROW('Input Transaksi'!$B$5:$B$5000)/('Input Transaksi'!$B$5:$B$5000="RINJANI WASH"),ROWS($E$5:E985)),"")</f>
        <v/>
      </c>
      <c r="F985" s="5" t="n"/>
    </row>
    <row r="986">
      <c r="A986" s="10">
        <f>IF($E986="","",INDEX('Input Transaksi'!$A:$A,$E986))</f>
        <v/>
      </c>
      <c r="B986" s="5">
        <f>IF($E986="","",INDEX('Input Transaksi'!$D:$D,$E986))</f>
        <v/>
      </c>
      <c r="C986">
        <f>IF($E986="","",INDEX('Input Transaksi'!$E:$E,$E986))</f>
        <v/>
      </c>
      <c r="D986" s="5">
        <f>IF($E986="","",INDEX('Input Transaksi'!$F:$F,$E986))</f>
        <v/>
      </c>
      <c r="E986">
        <f>IFERROR(AGGREGATE(15,6,ROW('Input Transaksi'!$B$5:$B$5000)/('Input Transaksi'!$B$5:$B$5000="RINJANI WASH"),ROWS($E$5:E986)),"")</f>
        <v/>
      </c>
      <c r="F986" s="5" t="n"/>
    </row>
    <row r="987">
      <c r="A987" s="10">
        <f>IF($E987="","",INDEX('Input Transaksi'!$A:$A,$E987))</f>
        <v/>
      </c>
      <c r="B987" s="5">
        <f>IF($E987="","",INDEX('Input Transaksi'!$D:$D,$E987))</f>
        <v/>
      </c>
      <c r="C987">
        <f>IF($E987="","",INDEX('Input Transaksi'!$E:$E,$E987))</f>
        <v/>
      </c>
      <c r="D987" s="5">
        <f>IF($E987="","",INDEX('Input Transaksi'!$F:$F,$E987))</f>
        <v/>
      </c>
      <c r="E987">
        <f>IFERROR(AGGREGATE(15,6,ROW('Input Transaksi'!$B$5:$B$5000)/('Input Transaksi'!$B$5:$B$5000="RINJANI WASH"),ROWS($E$5:E987)),"")</f>
        <v/>
      </c>
      <c r="F987" s="5" t="n"/>
    </row>
    <row r="988">
      <c r="A988" s="10">
        <f>IF($E988="","",INDEX('Input Transaksi'!$A:$A,$E988))</f>
        <v/>
      </c>
      <c r="B988" s="5">
        <f>IF($E988="","",INDEX('Input Transaksi'!$D:$D,$E988))</f>
        <v/>
      </c>
      <c r="C988">
        <f>IF($E988="","",INDEX('Input Transaksi'!$E:$E,$E988))</f>
        <v/>
      </c>
      <c r="D988" s="5">
        <f>IF($E988="","",INDEX('Input Transaksi'!$F:$F,$E988))</f>
        <v/>
      </c>
      <c r="E988">
        <f>IFERROR(AGGREGATE(15,6,ROW('Input Transaksi'!$B$5:$B$5000)/('Input Transaksi'!$B$5:$B$5000="RINJANI WASH"),ROWS($E$5:E988)),"")</f>
        <v/>
      </c>
      <c r="F988" s="5" t="n"/>
    </row>
    <row r="989">
      <c r="A989" s="10">
        <f>IF($E989="","",INDEX('Input Transaksi'!$A:$A,$E989))</f>
        <v/>
      </c>
      <c r="B989" s="5">
        <f>IF($E989="","",INDEX('Input Transaksi'!$D:$D,$E989))</f>
        <v/>
      </c>
      <c r="C989">
        <f>IF($E989="","",INDEX('Input Transaksi'!$E:$E,$E989))</f>
        <v/>
      </c>
      <c r="D989" s="5">
        <f>IF($E989="","",INDEX('Input Transaksi'!$F:$F,$E989))</f>
        <v/>
      </c>
      <c r="E989">
        <f>IFERROR(AGGREGATE(15,6,ROW('Input Transaksi'!$B$5:$B$5000)/('Input Transaksi'!$B$5:$B$5000="RINJANI WASH"),ROWS($E$5:E989)),"")</f>
        <v/>
      </c>
      <c r="F989" s="5" t="n"/>
    </row>
    <row r="990">
      <c r="A990" s="10">
        <f>IF($E990="","",INDEX('Input Transaksi'!$A:$A,$E990))</f>
        <v/>
      </c>
      <c r="B990" s="5">
        <f>IF($E990="","",INDEX('Input Transaksi'!$D:$D,$E990))</f>
        <v/>
      </c>
      <c r="C990">
        <f>IF($E990="","",INDEX('Input Transaksi'!$E:$E,$E990))</f>
        <v/>
      </c>
      <c r="D990" s="5">
        <f>IF($E990="","",INDEX('Input Transaksi'!$F:$F,$E990))</f>
        <v/>
      </c>
      <c r="E990">
        <f>IFERROR(AGGREGATE(15,6,ROW('Input Transaksi'!$B$5:$B$5000)/('Input Transaksi'!$B$5:$B$5000="RINJANI WASH"),ROWS($E$5:E990)),"")</f>
        <v/>
      </c>
      <c r="F990" s="5" t="n"/>
    </row>
    <row r="991">
      <c r="A991" s="10">
        <f>IF($E991="","",INDEX('Input Transaksi'!$A:$A,$E991))</f>
        <v/>
      </c>
      <c r="B991" s="5">
        <f>IF($E991="","",INDEX('Input Transaksi'!$D:$D,$E991))</f>
        <v/>
      </c>
      <c r="C991">
        <f>IF($E991="","",INDEX('Input Transaksi'!$E:$E,$E991))</f>
        <v/>
      </c>
      <c r="D991" s="5">
        <f>IF($E991="","",INDEX('Input Transaksi'!$F:$F,$E991))</f>
        <v/>
      </c>
      <c r="E991">
        <f>IFERROR(AGGREGATE(15,6,ROW('Input Transaksi'!$B$5:$B$5000)/('Input Transaksi'!$B$5:$B$5000="RINJANI WASH"),ROWS($E$5:E991)),"")</f>
        <v/>
      </c>
      <c r="F991" s="5" t="n"/>
    </row>
    <row r="992">
      <c r="A992" s="10">
        <f>IF($E992="","",INDEX('Input Transaksi'!$A:$A,$E992))</f>
        <v/>
      </c>
      <c r="B992" s="5">
        <f>IF($E992="","",INDEX('Input Transaksi'!$D:$D,$E992))</f>
        <v/>
      </c>
      <c r="C992">
        <f>IF($E992="","",INDEX('Input Transaksi'!$E:$E,$E992))</f>
        <v/>
      </c>
      <c r="D992" s="5">
        <f>IF($E992="","",INDEX('Input Transaksi'!$F:$F,$E992))</f>
        <v/>
      </c>
      <c r="E992">
        <f>IFERROR(AGGREGATE(15,6,ROW('Input Transaksi'!$B$5:$B$5000)/('Input Transaksi'!$B$5:$B$5000="RINJANI WASH"),ROWS($E$5:E992)),"")</f>
        <v/>
      </c>
      <c r="F992" s="5" t="n"/>
    </row>
    <row r="993">
      <c r="A993" s="10">
        <f>IF($E993="","",INDEX('Input Transaksi'!$A:$A,$E993))</f>
        <v/>
      </c>
      <c r="B993" s="5">
        <f>IF($E993="","",INDEX('Input Transaksi'!$D:$D,$E993))</f>
        <v/>
      </c>
      <c r="C993">
        <f>IF($E993="","",INDEX('Input Transaksi'!$E:$E,$E993))</f>
        <v/>
      </c>
      <c r="D993" s="5">
        <f>IF($E993="","",INDEX('Input Transaksi'!$F:$F,$E993))</f>
        <v/>
      </c>
      <c r="E993">
        <f>IFERROR(AGGREGATE(15,6,ROW('Input Transaksi'!$B$5:$B$5000)/('Input Transaksi'!$B$5:$B$5000="RINJANI WASH"),ROWS($E$5:E993)),"")</f>
        <v/>
      </c>
      <c r="F993" s="5" t="n"/>
    </row>
    <row r="994">
      <c r="A994" s="10">
        <f>IF($E994="","",INDEX('Input Transaksi'!$A:$A,$E994))</f>
        <v/>
      </c>
      <c r="B994" s="5">
        <f>IF($E994="","",INDEX('Input Transaksi'!$D:$D,$E994))</f>
        <v/>
      </c>
      <c r="C994">
        <f>IF($E994="","",INDEX('Input Transaksi'!$E:$E,$E994))</f>
        <v/>
      </c>
      <c r="D994" s="5">
        <f>IF($E994="","",INDEX('Input Transaksi'!$F:$F,$E994))</f>
        <v/>
      </c>
      <c r="E994">
        <f>IFERROR(AGGREGATE(15,6,ROW('Input Transaksi'!$B$5:$B$5000)/('Input Transaksi'!$B$5:$B$5000="RINJANI WASH"),ROWS($E$5:E994)),"")</f>
        <v/>
      </c>
      <c r="F994" s="5" t="n"/>
    </row>
    <row r="995">
      <c r="A995" s="10">
        <f>IF($E995="","",INDEX('Input Transaksi'!$A:$A,$E995))</f>
        <v/>
      </c>
      <c r="B995" s="5">
        <f>IF($E995="","",INDEX('Input Transaksi'!$D:$D,$E995))</f>
        <v/>
      </c>
      <c r="C995">
        <f>IF($E995="","",INDEX('Input Transaksi'!$E:$E,$E995))</f>
        <v/>
      </c>
      <c r="D995" s="5">
        <f>IF($E995="","",INDEX('Input Transaksi'!$F:$F,$E995))</f>
        <v/>
      </c>
      <c r="E995">
        <f>IFERROR(AGGREGATE(15,6,ROW('Input Transaksi'!$B$5:$B$5000)/('Input Transaksi'!$B$5:$B$5000="RINJANI WASH"),ROWS($E$5:E995)),"")</f>
        <v/>
      </c>
      <c r="F995" s="5" t="n"/>
    </row>
    <row r="996">
      <c r="A996" s="10">
        <f>IF($E996="","",INDEX('Input Transaksi'!$A:$A,$E996))</f>
        <v/>
      </c>
      <c r="B996" s="5">
        <f>IF($E996="","",INDEX('Input Transaksi'!$D:$D,$E996))</f>
        <v/>
      </c>
      <c r="C996">
        <f>IF($E996="","",INDEX('Input Transaksi'!$E:$E,$E996))</f>
        <v/>
      </c>
      <c r="D996" s="5">
        <f>IF($E996="","",INDEX('Input Transaksi'!$F:$F,$E996))</f>
        <v/>
      </c>
      <c r="E996">
        <f>IFERROR(AGGREGATE(15,6,ROW('Input Transaksi'!$B$5:$B$5000)/('Input Transaksi'!$B$5:$B$5000="RINJANI WASH"),ROWS($E$5:E996)),"")</f>
        <v/>
      </c>
      <c r="F996" s="5" t="n"/>
    </row>
    <row r="997">
      <c r="A997" s="10">
        <f>IF($E997="","",INDEX('Input Transaksi'!$A:$A,$E997))</f>
        <v/>
      </c>
      <c r="B997" s="5">
        <f>IF($E997="","",INDEX('Input Transaksi'!$D:$D,$E997))</f>
        <v/>
      </c>
      <c r="C997">
        <f>IF($E997="","",INDEX('Input Transaksi'!$E:$E,$E997))</f>
        <v/>
      </c>
      <c r="D997" s="5">
        <f>IF($E997="","",INDEX('Input Transaksi'!$F:$F,$E997))</f>
        <v/>
      </c>
      <c r="E997">
        <f>IFERROR(AGGREGATE(15,6,ROW('Input Transaksi'!$B$5:$B$5000)/('Input Transaksi'!$B$5:$B$5000="RINJANI WASH"),ROWS($E$5:E997)),"")</f>
        <v/>
      </c>
      <c r="F997" s="5" t="n"/>
    </row>
    <row r="998">
      <c r="A998" s="10">
        <f>IF($E998="","",INDEX('Input Transaksi'!$A:$A,$E998))</f>
        <v/>
      </c>
      <c r="B998" s="5">
        <f>IF($E998="","",INDEX('Input Transaksi'!$D:$D,$E998))</f>
        <v/>
      </c>
      <c r="C998">
        <f>IF($E998="","",INDEX('Input Transaksi'!$E:$E,$E998))</f>
        <v/>
      </c>
      <c r="D998" s="5">
        <f>IF($E998="","",INDEX('Input Transaksi'!$F:$F,$E998))</f>
        <v/>
      </c>
      <c r="E998">
        <f>IFERROR(AGGREGATE(15,6,ROW('Input Transaksi'!$B$5:$B$5000)/('Input Transaksi'!$B$5:$B$5000="RINJANI WASH"),ROWS($E$5:E998)),"")</f>
        <v/>
      </c>
      <c r="F998" s="5" t="n"/>
    </row>
    <row r="999">
      <c r="A999" s="10">
        <f>IF($E999="","",INDEX('Input Transaksi'!$A:$A,$E999))</f>
        <v/>
      </c>
      <c r="B999" s="5">
        <f>IF($E999="","",INDEX('Input Transaksi'!$D:$D,$E999))</f>
        <v/>
      </c>
      <c r="C999">
        <f>IF($E999="","",INDEX('Input Transaksi'!$E:$E,$E999))</f>
        <v/>
      </c>
      <c r="D999" s="5">
        <f>IF($E999="","",INDEX('Input Transaksi'!$F:$F,$E999))</f>
        <v/>
      </c>
      <c r="E999">
        <f>IFERROR(AGGREGATE(15,6,ROW('Input Transaksi'!$B$5:$B$5000)/('Input Transaksi'!$B$5:$B$5000="RINJANI WASH"),ROWS($E$5:E999)),"")</f>
        <v/>
      </c>
      <c r="F999" s="5" t="n"/>
    </row>
    <row r="1000">
      <c r="A1000" s="10">
        <f>IF($E1000="","",INDEX('Input Transaksi'!$A:$A,$E1000))</f>
        <v/>
      </c>
      <c r="B1000" s="5">
        <f>IF($E1000="","",INDEX('Input Transaksi'!$D:$D,$E1000))</f>
        <v/>
      </c>
      <c r="C1000">
        <f>IF($E1000="","",INDEX('Input Transaksi'!$E:$E,$E1000))</f>
        <v/>
      </c>
      <c r="D1000" s="5">
        <f>IF($E1000="","",INDEX('Input Transaksi'!$F:$F,$E1000))</f>
        <v/>
      </c>
      <c r="E1000">
        <f>IFERROR(AGGREGATE(15,6,ROW('Input Transaksi'!$B$5:$B$5000)/('Input Transaksi'!$B$5:$B$5000="RINJANI WASH"),ROWS($E$5:E1000)),"")</f>
        <v/>
      </c>
      <c r="F1000" s="5" t="n"/>
    </row>
  </sheetData>
  <autoFilter ref="A4:D1000"/>
  <mergeCells count="1">
    <mergeCell ref="A1:E1"/>
  </mergeCells>
  <hyperlinks>
    <hyperlink ref="F1" location="'Beranda'!A1" display="Kembali ke Beranda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000"/>
  <sheetViews>
    <sheetView workbookViewId="0">
      <pane ySplit="4" topLeftCell="A5" activePane="bottomLeft" state="frozen"/>
      <selection pane="bottomLeft" activeCell="A1" sqref="A1"/>
    </sheetView>
  </sheetViews>
  <sheetFormatPr baseColWidth="10" defaultColWidth="8.83203125" defaultRowHeight="15"/>
  <cols>
    <col width="16" customWidth="1" min="1" max="1"/>
    <col width="22" customWidth="1" min="2" max="2"/>
    <col width="12" customWidth="1" min="3" max="3"/>
    <col width="26" customWidth="1" min="4" max="4"/>
    <col hidden="1" width="12.6640625" customWidth="1" min="5" max="5"/>
    <col width="16" customWidth="1" min="6" max="6"/>
    <col hidden="1" width="13" customWidth="1" min="7" max="7"/>
  </cols>
  <sheetData>
    <row r="1" ht="24" customHeight="1">
      <c r="A1" s="11" t="inlineStr">
        <is>
          <t>MONANG MANING</t>
        </is>
      </c>
      <c r="F1" s="3" t="inlineStr">
        <is>
          <t>Kembali ke Beranda</t>
        </is>
      </c>
    </row>
    <row r="2">
      <c r="A2" s="13" t="inlineStr">
        <is>
          <t>Wilayah</t>
        </is>
      </c>
      <c r="B2" s="13" t="inlineStr">
        <is>
          <t>BARAT</t>
        </is>
      </c>
      <c r="C2" s="13" t="inlineStr">
        <is>
          <t>Total Qty</t>
        </is>
      </c>
      <c r="D2" s="2">
        <f>SUMIFS('Input Transaksi'!$E$5:$E$5000,'Input Transaksi'!$B$5:$B$5000,"MONANG MANING")</f>
        <v/>
      </c>
      <c r="E2" s="13" t="inlineStr">
        <is>
          <t>Jumlah Transaksi</t>
        </is>
      </c>
      <c r="F2" s="2">
        <f>COUNTIF('Input Transaksi'!$B$5:$B$5000,"MONANG MANING")</f>
        <v/>
      </c>
    </row>
    <row r="3"/>
    <row r="4">
      <c r="A4" s="4" t="inlineStr">
        <is>
          <t>Tanggal</t>
        </is>
      </c>
      <c r="B4" s="4" t="inlineStr">
        <is>
          <t>Item</t>
        </is>
      </c>
      <c r="C4" s="4" t="inlineStr">
        <is>
          <t>Qty Keluar</t>
        </is>
      </c>
      <c r="D4" s="4" t="inlineStr">
        <is>
          <t>Catatan</t>
        </is>
      </c>
      <c r="E4" t="inlineStr">
        <is>
          <t>RowRef</t>
        </is>
      </c>
      <c r="F4" s="4" t="n"/>
    </row>
    <row r="5">
      <c r="A5" s="10">
        <f>IF($E5="","",INDEX('Input Transaksi'!$A:$A,$E5))</f>
        <v/>
      </c>
      <c r="B5" s="5">
        <f>IF($E5="","",INDEX('Input Transaksi'!$D:$D,$E5))</f>
        <v/>
      </c>
      <c r="C5">
        <f>IF($E5="","",INDEX('Input Transaksi'!$E:$E,$E5))</f>
        <v/>
      </c>
      <c r="D5" s="5">
        <f>IF($E5="","",INDEX('Input Transaksi'!$F:$F,$E5))</f>
        <v/>
      </c>
      <c r="E5">
        <f>IFERROR(AGGREGATE(15,6,ROW('Input Transaksi'!$B$5:$B$5000)/('Input Transaksi'!$B$5:$B$5000="MONANG MANING"),ROWS($E$5:E5)),"")</f>
        <v/>
      </c>
      <c r="F5" s="5" t="n"/>
    </row>
    <row r="6">
      <c r="A6" s="10">
        <f>IF($E6="","",INDEX('Input Transaksi'!$A:$A,$E6))</f>
        <v/>
      </c>
      <c r="B6" s="5">
        <f>IF($E6="","",INDEX('Input Transaksi'!$D:$D,$E6))</f>
        <v/>
      </c>
      <c r="C6">
        <f>IF($E6="","",INDEX('Input Transaksi'!$E:$E,$E6))</f>
        <v/>
      </c>
      <c r="D6" s="5">
        <f>IF($E6="","",INDEX('Input Transaksi'!$F:$F,$E6))</f>
        <v/>
      </c>
      <c r="E6">
        <f>IFERROR(AGGREGATE(15,6,ROW('Input Transaksi'!$B$5:$B$5000)/('Input Transaksi'!$B$5:$B$5000="MONANG MANING"),ROWS($E$5:E6)),"")</f>
        <v/>
      </c>
      <c r="F6" s="5" t="n"/>
    </row>
    <row r="7">
      <c r="A7" s="10">
        <f>IF($E7="","",INDEX('Input Transaksi'!$A:$A,$E7))</f>
        <v/>
      </c>
      <c r="B7" s="5">
        <f>IF($E7="","",INDEX('Input Transaksi'!$D:$D,$E7))</f>
        <v/>
      </c>
      <c r="C7">
        <f>IF($E7="","",INDEX('Input Transaksi'!$E:$E,$E7))</f>
        <v/>
      </c>
      <c r="D7" s="5">
        <f>IF($E7="","",INDEX('Input Transaksi'!$F:$F,$E7))</f>
        <v/>
      </c>
      <c r="E7">
        <f>IFERROR(AGGREGATE(15,6,ROW('Input Transaksi'!$B$5:$B$5000)/('Input Transaksi'!$B$5:$B$5000="MONANG MANING"),ROWS($E$5:E7)),"")</f>
        <v/>
      </c>
      <c r="F7" s="5" t="n"/>
    </row>
    <row r="8">
      <c r="A8" s="10">
        <f>IF($E8="","",INDEX('Input Transaksi'!$A:$A,$E8))</f>
        <v/>
      </c>
      <c r="B8" s="5">
        <f>IF($E8="","",INDEX('Input Transaksi'!$D:$D,$E8))</f>
        <v/>
      </c>
      <c r="C8">
        <f>IF($E8="","",INDEX('Input Transaksi'!$E:$E,$E8))</f>
        <v/>
      </c>
      <c r="D8" s="5">
        <f>IF($E8="","",INDEX('Input Transaksi'!$F:$F,$E8))</f>
        <v/>
      </c>
      <c r="E8">
        <f>IFERROR(AGGREGATE(15,6,ROW('Input Transaksi'!$B$5:$B$5000)/('Input Transaksi'!$B$5:$B$5000="MONANG MANING"),ROWS($E$5:E8)),"")</f>
        <v/>
      </c>
      <c r="F8" s="5" t="n"/>
    </row>
    <row r="9">
      <c r="A9" s="10">
        <f>IF($E9="","",INDEX('Input Transaksi'!$A:$A,$E9))</f>
        <v/>
      </c>
      <c r="B9" s="5">
        <f>IF($E9="","",INDEX('Input Transaksi'!$D:$D,$E9))</f>
        <v/>
      </c>
      <c r="C9">
        <f>IF($E9="","",INDEX('Input Transaksi'!$E:$E,$E9))</f>
        <v/>
      </c>
      <c r="D9" s="5">
        <f>IF($E9="","",INDEX('Input Transaksi'!$F:$F,$E9))</f>
        <v/>
      </c>
      <c r="E9">
        <f>IFERROR(AGGREGATE(15,6,ROW('Input Transaksi'!$B$5:$B$5000)/('Input Transaksi'!$B$5:$B$5000="MONANG MANING"),ROWS($E$5:E9)),"")</f>
        <v/>
      </c>
      <c r="F9" s="5" t="n"/>
    </row>
    <row r="10">
      <c r="A10" s="10">
        <f>IF($E10="","",INDEX('Input Transaksi'!$A:$A,$E10))</f>
        <v/>
      </c>
      <c r="B10" s="5">
        <f>IF($E10="","",INDEX('Input Transaksi'!$D:$D,$E10))</f>
        <v/>
      </c>
      <c r="C10">
        <f>IF($E10="","",INDEX('Input Transaksi'!$E:$E,$E10))</f>
        <v/>
      </c>
      <c r="D10" s="5">
        <f>IF($E10="","",INDEX('Input Transaksi'!$F:$F,$E10))</f>
        <v/>
      </c>
      <c r="E10">
        <f>IFERROR(AGGREGATE(15,6,ROW('Input Transaksi'!$B$5:$B$5000)/('Input Transaksi'!$B$5:$B$5000="MONANG MANING"),ROWS($E$5:E10)),"")</f>
        <v/>
      </c>
      <c r="F10" s="5" t="n"/>
    </row>
    <row r="11">
      <c r="A11" s="10">
        <f>IF($E11="","",INDEX('Input Transaksi'!$A:$A,$E11))</f>
        <v/>
      </c>
      <c r="B11" s="5">
        <f>IF($E11="","",INDEX('Input Transaksi'!$D:$D,$E11))</f>
        <v/>
      </c>
      <c r="C11">
        <f>IF($E11="","",INDEX('Input Transaksi'!$E:$E,$E11))</f>
        <v/>
      </c>
      <c r="D11" s="5">
        <f>IF($E11="","",INDEX('Input Transaksi'!$F:$F,$E11))</f>
        <v/>
      </c>
      <c r="E11">
        <f>IFERROR(AGGREGATE(15,6,ROW('Input Transaksi'!$B$5:$B$5000)/('Input Transaksi'!$B$5:$B$5000="MONANG MANING"),ROWS($E$5:E11)),"")</f>
        <v/>
      </c>
      <c r="F11" s="5" t="n"/>
    </row>
    <row r="12">
      <c r="A12" s="10">
        <f>IF($E12="","",INDEX('Input Transaksi'!$A:$A,$E12))</f>
        <v/>
      </c>
      <c r="B12" s="5">
        <f>IF($E12="","",INDEX('Input Transaksi'!$D:$D,$E12))</f>
        <v/>
      </c>
      <c r="C12">
        <f>IF($E12="","",INDEX('Input Transaksi'!$E:$E,$E12))</f>
        <v/>
      </c>
      <c r="D12" s="5">
        <f>IF($E12="","",INDEX('Input Transaksi'!$F:$F,$E12))</f>
        <v/>
      </c>
      <c r="E12">
        <f>IFERROR(AGGREGATE(15,6,ROW('Input Transaksi'!$B$5:$B$5000)/('Input Transaksi'!$B$5:$B$5000="MONANG MANING"),ROWS($E$5:E12)),"")</f>
        <v/>
      </c>
      <c r="F12" s="5" t="n"/>
    </row>
    <row r="13">
      <c r="A13" s="10">
        <f>IF($E13="","",INDEX('Input Transaksi'!$A:$A,$E13))</f>
        <v/>
      </c>
      <c r="B13" s="5">
        <f>IF($E13="","",INDEX('Input Transaksi'!$D:$D,$E13))</f>
        <v/>
      </c>
      <c r="C13">
        <f>IF($E13="","",INDEX('Input Transaksi'!$E:$E,$E13))</f>
        <v/>
      </c>
      <c r="D13" s="5">
        <f>IF($E13="","",INDEX('Input Transaksi'!$F:$F,$E13))</f>
        <v/>
      </c>
      <c r="E13">
        <f>IFERROR(AGGREGATE(15,6,ROW('Input Transaksi'!$B$5:$B$5000)/('Input Transaksi'!$B$5:$B$5000="MONANG MANING"),ROWS($E$5:E13)),"")</f>
        <v/>
      </c>
      <c r="F13" s="5" t="n"/>
    </row>
    <row r="14">
      <c r="A14" s="10">
        <f>IF($E14="","",INDEX('Input Transaksi'!$A:$A,$E14))</f>
        <v/>
      </c>
      <c r="B14" s="5">
        <f>IF($E14="","",INDEX('Input Transaksi'!$D:$D,$E14))</f>
        <v/>
      </c>
      <c r="C14">
        <f>IF($E14="","",INDEX('Input Transaksi'!$E:$E,$E14))</f>
        <v/>
      </c>
      <c r="D14" s="5">
        <f>IF($E14="","",INDEX('Input Transaksi'!$F:$F,$E14))</f>
        <v/>
      </c>
      <c r="E14">
        <f>IFERROR(AGGREGATE(15,6,ROW('Input Transaksi'!$B$5:$B$5000)/('Input Transaksi'!$B$5:$B$5000="MONANG MANING"),ROWS($E$5:E14)),"")</f>
        <v/>
      </c>
      <c r="F14" s="5" t="n"/>
    </row>
    <row r="15">
      <c r="A15" s="10">
        <f>IF($E15="","",INDEX('Input Transaksi'!$A:$A,$E15))</f>
        <v/>
      </c>
      <c r="B15" s="5">
        <f>IF($E15="","",INDEX('Input Transaksi'!$D:$D,$E15))</f>
        <v/>
      </c>
      <c r="C15">
        <f>IF($E15="","",INDEX('Input Transaksi'!$E:$E,$E15))</f>
        <v/>
      </c>
      <c r="D15" s="5">
        <f>IF($E15="","",INDEX('Input Transaksi'!$F:$F,$E15))</f>
        <v/>
      </c>
      <c r="E15">
        <f>IFERROR(AGGREGATE(15,6,ROW('Input Transaksi'!$B$5:$B$5000)/('Input Transaksi'!$B$5:$B$5000="MONANG MANING"),ROWS($E$5:E15)),"")</f>
        <v/>
      </c>
      <c r="F15" s="5" t="n"/>
    </row>
    <row r="16">
      <c r="A16" s="10">
        <f>IF($E16="","",INDEX('Input Transaksi'!$A:$A,$E16))</f>
        <v/>
      </c>
      <c r="B16" s="5">
        <f>IF($E16="","",INDEX('Input Transaksi'!$D:$D,$E16))</f>
        <v/>
      </c>
      <c r="C16">
        <f>IF($E16="","",INDEX('Input Transaksi'!$E:$E,$E16))</f>
        <v/>
      </c>
      <c r="D16" s="5">
        <f>IF($E16="","",INDEX('Input Transaksi'!$F:$F,$E16))</f>
        <v/>
      </c>
      <c r="E16">
        <f>IFERROR(AGGREGATE(15,6,ROW('Input Transaksi'!$B$5:$B$5000)/('Input Transaksi'!$B$5:$B$5000="MONANG MANING"),ROWS($E$5:E16)),"")</f>
        <v/>
      </c>
      <c r="F16" s="5" t="n"/>
    </row>
    <row r="17">
      <c r="A17" s="10">
        <f>IF($E17="","",INDEX('Input Transaksi'!$A:$A,$E17))</f>
        <v/>
      </c>
      <c r="B17" s="5">
        <f>IF($E17="","",INDEX('Input Transaksi'!$D:$D,$E17))</f>
        <v/>
      </c>
      <c r="C17">
        <f>IF($E17="","",INDEX('Input Transaksi'!$E:$E,$E17))</f>
        <v/>
      </c>
      <c r="D17" s="5">
        <f>IF($E17="","",INDEX('Input Transaksi'!$F:$F,$E17))</f>
        <v/>
      </c>
      <c r="E17">
        <f>IFERROR(AGGREGATE(15,6,ROW('Input Transaksi'!$B$5:$B$5000)/('Input Transaksi'!$B$5:$B$5000="MONANG MANING"),ROWS($E$5:E17)),"")</f>
        <v/>
      </c>
      <c r="F17" s="5" t="n"/>
    </row>
    <row r="18">
      <c r="A18" s="10">
        <f>IF($E18="","",INDEX('Input Transaksi'!$A:$A,$E18))</f>
        <v/>
      </c>
      <c r="B18" s="5">
        <f>IF($E18="","",INDEX('Input Transaksi'!$D:$D,$E18))</f>
        <v/>
      </c>
      <c r="C18">
        <f>IF($E18="","",INDEX('Input Transaksi'!$E:$E,$E18))</f>
        <v/>
      </c>
      <c r="D18" s="5">
        <f>IF($E18="","",INDEX('Input Transaksi'!$F:$F,$E18))</f>
        <v/>
      </c>
      <c r="E18">
        <f>IFERROR(AGGREGATE(15,6,ROW('Input Transaksi'!$B$5:$B$5000)/('Input Transaksi'!$B$5:$B$5000="MONANG MANING"),ROWS($E$5:E18)),"")</f>
        <v/>
      </c>
      <c r="F18" s="5" t="n"/>
    </row>
    <row r="19">
      <c r="A19" s="10">
        <f>IF($E19="","",INDEX('Input Transaksi'!$A:$A,$E19))</f>
        <v/>
      </c>
      <c r="B19" s="5">
        <f>IF($E19="","",INDEX('Input Transaksi'!$D:$D,$E19))</f>
        <v/>
      </c>
      <c r="C19">
        <f>IF($E19="","",INDEX('Input Transaksi'!$E:$E,$E19))</f>
        <v/>
      </c>
      <c r="D19" s="5">
        <f>IF($E19="","",INDEX('Input Transaksi'!$F:$F,$E19))</f>
        <v/>
      </c>
      <c r="E19">
        <f>IFERROR(AGGREGATE(15,6,ROW('Input Transaksi'!$B$5:$B$5000)/('Input Transaksi'!$B$5:$B$5000="MONANG MANING"),ROWS($E$5:E19)),"")</f>
        <v/>
      </c>
      <c r="F19" s="5" t="n"/>
    </row>
    <row r="20">
      <c r="A20" s="10">
        <f>IF($E20="","",INDEX('Input Transaksi'!$A:$A,$E20))</f>
        <v/>
      </c>
      <c r="B20" s="5">
        <f>IF($E20="","",INDEX('Input Transaksi'!$D:$D,$E20))</f>
        <v/>
      </c>
      <c r="C20">
        <f>IF($E20="","",INDEX('Input Transaksi'!$E:$E,$E20))</f>
        <v/>
      </c>
      <c r="D20" s="5">
        <f>IF($E20="","",INDEX('Input Transaksi'!$F:$F,$E20))</f>
        <v/>
      </c>
      <c r="E20">
        <f>IFERROR(AGGREGATE(15,6,ROW('Input Transaksi'!$B$5:$B$5000)/('Input Transaksi'!$B$5:$B$5000="MONANG MANING"),ROWS($E$5:E20)),"")</f>
        <v/>
      </c>
      <c r="F20" s="5" t="n"/>
    </row>
    <row r="21">
      <c r="A21" s="10">
        <f>IF($E21="","",INDEX('Input Transaksi'!$A:$A,$E21))</f>
        <v/>
      </c>
      <c r="B21" s="5">
        <f>IF($E21="","",INDEX('Input Transaksi'!$D:$D,$E21))</f>
        <v/>
      </c>
      <c r="C21">
        <f>IF($E21="","",INDEX('Input Transaksi'!$E:$E,$E21))</f>
        <v/>
      </c>
      <c r="D21" s="5">
        <f>IF($E21="","",INDEX('Input Transaksi'!$F:$F,$E21))</f>
        <v/>
      </c>
      <c r="E21">
        <f>IFERROR(AGGREGATE(15,6,ROW('Input Transaksi'!$B$5:$B$5000)/('Input Transaksi'!$B$5:$B$5000="MONANG MANING"),ROWS($E$5:E21)),"")</f>
        <v/>
      </c>
      <c r="F21" s="5" t="n"/>
    </row>
    <row r="22">
      <c r="A22" s="10">
        <f>IF($E22="","",INDEX('Input Transaksi'!$A:$A,$E22))</f>
        <v/>
      </c>
      <c r="B22" s="5">
        <f>IF($E22="","",INDEX('Input Transaksi'!$D:$D,$E22))</f>
        <v/>
      </c>
      <c r="C22">
        <f>IF($E22="","",INDEX('Input Transaksi'!$E:$E,$E22))</f>
        <v/>
      </c>
      <c r="D22" s="5">
        <f>IF($E22="","",INDEX('Input Transaksi'!$F:$F,$E22))</f>
        <v/>
      </c>
      <c r="E22">
        <f>IFERROR(AGGREGATE(15,6,ROW('Input Transaksi'!$B$5:$B$5000)/('Input Transaksi'!$B$5:$B$5000="MONANG MANING"),ROWS($E$5:E22)),"")</f>
        <v/>
      </c>
      <c r="F22" s="5" t="n"/>
    </row>
    <row r="23">
      <c r="A23" s="10">
        <f>IF($E23="","",INDEX('Input Transaksi'!$A:$A,$E23))</f>
        <v/>
      </c>
      <c r="B23" s="5">
        <f>IF($E23="","",INDEX('Input Transaksi'!$D:$D,$E23))</f>
        <v/>
      </c>
      <c r="C23">
        <f>IF($E23="","",INDEX('Input Transaksi'!$E:$E,$E23))</f>
        <v/>
      </c>
      <c r="D23" s="5">
        <f>IF($E23="","",INDEX('Input Transaksi'!$F:$F,$E23))</f>
        <v/>
      </c>
      <c r="E23">
        <f>IFERROR(AGGREGATE(15,6,ROW('Input Transaksi'!$B$5:$B$5000)/('Input Transaksi'!$B$5:$B$5000="MONANG MANING"),ROWS($E$5:E23)),"")</f>
        <v/>
      </c>
      <c r="F23" s="5" t="n"/>
    </row>
    <row r="24">
      <c r="A24" s="10">
        <f>IF($E24="","",INDEX('Input Transaksi'!$A:$A,$E24))</f>
        <v/>
      </c>
      <c r="B24" s="5">
        <f>IF($E24="","",INDEX('Input Transaksi'!$D:$D,$E24))</f>
        <v/>
      </c>
      <c r="C24">
        <f>IF($E24="","",INDEX('Input Transaksi'!$E:$E,$E24))</f>
        <v/>
      </c>
      <c r="D24" s="5">
        <f>IF($E24="","",INDEX('Input Transaksi'!$F:$F,$E24))</f>
        <v/>
      </c>
      <c r="E24">
        <f>IFERROR(AGGREGATE(15,6,ROW('Input Transaksi'!$B$5:$B$5000)/('Input Transaksi'!$B$5:$B$5000="MONANG MANING"),ROWS($E$5:E24)),"")</f>
        <v/>
      </c>
      <c r="F24" s="5" t="n"/>
    </row>
    <row r="25">
      <c r="A25" s="10">
        <f>IF($E25="","",INDEX('Input Transaksi'!$A:$A,$E25))</f>
        <v/>
      </c>
      <c r="B25" s="5">
        <f>IF($E25="","",INDEX('Input Transaksi'!$D:$D,$E25))</f>
        <v/>
      </c>
      <c r="C25">
        <f>IF($E25="","",INDEX('Input Transaksi'!$E:$E,$E25))</f>
        <v/>
      </c>
      <c r="D25" s="5">
        <f>IF($E25="","",INDEX('Input Transaksi'!$F:$F,$E25))</f>
        <v/>
      </c>
      <c r="E25">
        <f>IFERROR(AGGREGATE(15,6,ROW('Input Transaksi'!$B$5:$B$5000)/('Input Transaksi'!$B$5:$B$5000="MONANG MANING"),ROWS($E$5:E25)),"")</f>
        <v/>
      </c>
      <c r="F25" s="5" t="n"/>
    </row>
    <row r="26">
      <c r="A26" s="10">
        <f>IF($E26="","",INDEX('Input Transaksi'!$A:$A,$E26))</f>
        <v/>
      </c>
      <c r="B26" s="5">
        <f>IF($E26="","",INDEX('Input Transaksi'!$D:$D,$E26))</f>
        <v/>
      </c>
      <c r="C26">
        <f>IF($E26="","",INDEX('Input Transaksi'!$E:$E,$E26))</f>
        <v/>
      </c>
      <c r="D26" s="5">
        <f>IF($E26="","",INDEX('Input Transaksi'!$F:$F,$E26))</f>
        <v/>
      </c>
      <c r="E26">
        <f>IFERROR(AGGREGATE(15,6,ROW('Input Transaksi'!$B$5:$B$5000)/('Input Transaksi'!$B$5:$B$5000="MONANG MANING"),ROWS($E$5:E26)),"")</f>
        <v/>
      </c>
      <c r="F26" s="5" t="n"/>
    </row>
    <row r="27">
      <c r="A27" s="10">
        <f>IF($E27="","",INDEX('Input Transaksi'!$A:$A,$E27))</f>
        <v/>
      </c>
      <c r="B27" s="5">
        <f>IF($E27="","",INDEX('Input Transaksi'!$D:$D,$E27))</f>
        <v/>
      </c>
      <c r="C27">
        <f>IF($E27="","",INDEX('Input Transaksi'!$E:$E,$E27))</f>
        <v/>
      </c>
      <c r="D27" s="5">
        <f>IF($E27="","",INDEX('Input Transaksi'!$F:$F,$E27))</f>
        <v/>
      </c>
      <c r="E27">
        <f>IFERROR(AGGREGATE(15,6,ROW('Input Transaksi'!$B$5:$B$5000)/('Input Transaksi'!$B$5:$B$5000="MONANG MANING"),ROWS($E$5:E27)),"")</f>
        <v/>
      </c>
      <c r="F27" s="5" t="n"/>
    </row>
    <row r="28">
      <c r="A28" s="10">
        <f>IF($E28="","",INDEX('Input Transaksi'!$A:$A,$E28))</f>
        <v/>
      </c>
      <c r="B28" s="5">
        <f>IF($E28="","",INDEX('Input Transaksi'!$D:$D,$E28))</f>
        <v/>
      </c>
      <c r="C28">
        <f>IF($E28="","",INDEX('Input Transaksi'!$E:$E,$E28))</f>
        <v/>
      </c>
      <c r="D28" s="5">
        <f>IF($E28="","",INDEX('Input Transaksi'!$F:$F,$E28))</f>
        <v/>
      </c>
      <c r="E28">
        <f>IFERROR(AGGREGATE(15,6,ROW('Input Transaksi'!$B$5:$B$5000)/('Input Transaksi'!$B$5:$B$5000="MONANG MANING"),ROWS($E$5:E28)),"")</f>
        <v/>
      </c>
      <c r="F28" s="5" t="n"/>
    </row>
    <row r="29">
      <c r="A29" s="10">
        <f>IF($E29="","",INDEX('Input Transaksi'!$A:$A,$E29))</f>
        <v/>
      </c>
      <c r="B29" s="5">
        <f>IF($E29="","",INDEX('Input Transaksi'!$D:$D,$E29))</f>
        <v/>
      </c>
      <c r="C29">
        <f>IF($E29="","",INDEX('Input Transaksi'!$E:$E,$E29))</f>
        <v/>
      </c>
      <c r="D29" s="5">
        <f>IF($E29="","",INDEX('Input Transaksi'!$F:$F,$E29))</f>
        <v/>
      </c>
      <c r="E29">
        <f>IFERROR(AGGREGATE(15,6,ROW('Input Transaksi'!$B$5:$B$5000)/('Input Transaksi'!$B$5:$B$5000="MONANG MANING"),ROWS($E$5:E29)),"")</f>
        <v/>
      </c>
      <c r="F29" s="5" t="n"/>
    </row>
    <row r="30">
      <c r="A30" s="10">
        <f>IF($E30="","",INDEX('Input Transaksi'!$A:$A,$E30))</f>
        <v/>
      </c>
      <c r="B30" s="5">
        <f>IF($E30="","",INDEX('Input Transaksi'!$D:$D,$E30))</f>
        <v/>
      </c>
      <c r="C30">
        <f>IF($E30="","",INDEX('Input Transaksi'!$E:$E,$E30))</f>
        <v/>
      </c>
      <c r="D30" s="5">
        <f>IF($E30="","",INDEX('Input Transaksi'!$F:$F,$E30))</f>
        <v/>
      </c>
      <c r="E30">
        <f>IFERROR(AGGREGATE(15,6,ROW('Input Transaksi'!$B$5:$B$5000)/('Input Transaksi'!$B$5:$B$5000="MONANG MANING"),ROWS($E$5:E30)),"")</f>
        <v/>
      </c>
      <c r="F30" s="5" t="n"/>
    </row>
    <row r="31">
      <c r="A31" s="10">
        <f>IF($E31="","",INDEX('Input Transaksi'!$A:$A,$E31))</f>
        <v/>
      </c>
      <c r="B31" s="5">
        <f>IF($E31="","",INDEX('Input Transaksi'!$D:$D,$E31))</f>
        <v/>
      </c>
      <c r="C31">
        <f>IF($E31="","",INDEX('Input Transaksi'!$E:$E,$E31))</f>
        <v/>
      </c>
      <c r="D31" s="5">
        <f>IF($E31="","",INDEX('Input Transaksi'!$F:$F,$E31))</f>
        <v/>
      </c>
      <c r="E31">
        <f>IFERROR(AGGREGATE(15,6,ROW('Input Transaksi'!$B$5:$B$5000)/('Input Transaksi'!$B$5:$B$5000="MONANG MANING"),ROWS($E$5:E31)),"")</f>
        <v/>
      </c>
      <c r="F31" s="5" t="n"/>
    </row>
    <row r="32">
      <c r="A32" s="10">
        <f>IF($E32="","",INDEX('Input Transaksi'!$A:$A,$E32))</f>
        <v/>
      </c>
      <c r="B32" s="5">
        <f>IF($E32="","",INDEX('Input Transaksi'!$D:$D,$E32))</f>
        <v/>
      </c>
      <c r="C32">
        <f>IF($E32="","",INDEX('Input Transaksi'!$E:$E,$E32))</f>
        <v/>
      </c>
      <c r="D32" s="5">
        <f>IF($E32="","",INDEX('Input Transaksi'!$F:$F,$E32))</f>
        <v/>
      </c>
      <c r="E32">
        <f>IFERROR(AGGREGATE(15,6,ROW('Input Transaksi'!$B$5:$B$5000)/('Input Transaksi'!$B$5:$B$5000="MONANG MANING"),ROWS($E$5:E32)),"")</f>
        <v/>
      </c>
      <c r="F32" s="5" t="n"/>
    </row>
    <row r="33">
      <c r="A33" s="10">
        <f>IF($E33="","",INDEX('Input Transaksi'!$A:$A,$E33))</f>
        <v/>
      </c>
      <c r="B33" s="5">
        <f>IF($E33="","",INDEX('Input Transaksi'!$D:$D,$E33))</f>
        <v/>
      </c>
      <c r="C33">
        <f>IF($E33="","",INDEX('Input Transaksi'!$E:$E,$E33))</f>
        <v/>
      </c>
      <c r="D33" s="5">
        <f>IF($E33="","",INDEX('Input Transaksi'!$F:$F,$E33))</f>
        <v/>
      </c>
      <c r="E33">
        <f>IFERROR(AGGREGATE(15,6,ROW('Input Transaksi'!$B$5:$B$5000)/('Input Transaksi'!$B$5:$B$5000="MONANG MANING"),ROWS($E$5:E33)),"")</f>
        <v/>
      </c>
      <c r="F33" s="5" t="n"/>
    </row>
    <row r="34">
      <c r="A34" s="10">
        <f>IF($E34="","",INDEX('Input Transaksi'!$A:$A,$E34))</f>
        <v/>
      </c>
      <c r="B34" s="5">
        <f>IF($E34="","",INDEX('Input Transaksi'!$D:$D,$E34))</f>
        <v/>
      </c>
      <c r="C34">
        <f>IF($E34="","",INDEX('Input Transaksi'!$E:$E,$E34))</f>
        <v/>
      </c>
      <c r="D34" s="5">
        <f>IF($E34="","",INDEX('Input Transaksi'!$F:$F,$E34))</f>
        <v/>
      </c>
      <c r="E34">
        <f>IFERROR(AGGREGATE(15,6,ROW('Input Transaksi'!$B$5:$B$5000)/('Input Transaksi'!$B$5:$B$5000="MONANG MANING"),ROWS($E$5:E34)),"")</f>
        <v/>
      </c>
      <c r="F34" s="5" t="n"/>
    </row>
    <row r="35">
      <c r="A35" s="10">
        <f>IF($E35="","",INDEX('Input Transaksi'!$A:$A,$E35))</f>
        <v/>
      </c>
      <c r="B35" s="5">
        <f>IF($E35="","",INDEX('Input Transaksi'!$D:$D,$E35))</f>
        <v/>
      </c>
      <c r="C35">
        <f>IF($E35="","",INDEX('Input Transaksi'!$E:$E,$E35))</f>
        <v/>
      </c>
      <c r="D35" s="5">
        <f>IF($E35="","",INDEX('Input Transaksi'!$F:$F,$E35))</f>
        <v/>
      </c>
      <c r="E35">
        <f>IFERROR(AGGREGATE(15,6,ROW('Input Transaksi'!$B$5:$B$5000)/('Input Transaksi'!$B$5:$B$5000="MONANG MANING"),ROWS($E$5:E35)),"")</f>
        <v/>
      </c>
      <c r="F35" s="5" t="n"/>
    </row>
    <row r="36">
      <c r="A36" s="10">
        <f>IF($E36="","",INDEX('Input Transaksi'!$A:$A,$E36))</f>
        <v/>
      </c>
      <c r="B36" s="5">
        <f>IF($E36="","",INDEX('Input Transaksi'!$D:$D,$E36))</f>
        <v/>
      </c>
      <c r="C36">
        <f>IF($E36="","",INDEX('Input Transaksi'!$E:$E,$E36))</f>
        <v/>
      </c>
      <c r="D36" s="5">
        <f>IF($E36="","",INDEX('Input Transaksi'!$F:$F,$E36))</f>
        <v/>
      </c>
      <c r="E36">
        <f>IFERROR(AGGREGATE(15,6,ROW('Input Transaksi'!$B$5:$B$5000)/('Input Transaksi'!$B$5:$B$5000="MONANG MANING"),ROWS($E$5:E36)),"")</f>
        <v/>
      </c>
      <c r="F36" s="5" t="n"/>
    </row>
    <row r="37">
      <c r="A37" s="10">
        <f>IF($E37="","",INDEX('Input Transaksi'!$A:$A,$E37))</f>
        <v/>
      </c>
      <c r="B37" s="5">
        <f>IF($E37="","",INDEX('Input Transaksi'!$D:$D,$E37))</f>
        <v/>
      </c>
      <c r="C37">
        <f>IF($E37="","",INDEX('Input Transaksi'!$E:$E,$E37))</f>
        <v/>
      </c>
      <c r="D37" s="5">
        <f>IF($E37="","",INDEX('Input Transaksi'!$F:$F,$E37))</f>
        <v/>
      </c>
      <c r="E37">
        <f>IFERROR(AGGREGATE(15,6,ROW('Input Transaksi'!$B$5:$B$5000)/('Input Transaksi'!$B$5:$B$5000="MONANG MANING"),ROWS($E$5:E37)),"")</f>
        <v/>
      </c>
      <c r="F37" s="5" t="n"/>
    </row>
    <row r="38">
      <c r="A38" s="10">
        <f>IF($E38="","",INDEX('Input Transaksi'!$A:$A,$E38))</f>
        <v/>
      </c>
      <c r="B38" s="5">
        <f>IF($E38="","",INDEX('Input Transaksi'!$D:$D,$E38))</f>
        <v/>
      </c>
      <c r="C38">
        <f>IF($E38="","",INDEX('Input Transaksi'!$E:$E,$E38))</f>
        <v/>
      </c>
      <c r="D38" s="5">
        <f>IF($E38="","",INDEX('Input Transaksi'!$F:$F,$E38))</f>
        <v/>
      </c>
      <c r="E38">
        <f>IFERROR(AGGREGATE(15,6,ROW('Input Transaksi'!$B$5:$B$5000)/('Input Transaksi'!$B$5:$B$5000="MONANG MANING"),ROWS($E$5:E38)),"")</f>
        <v/>
      </c>
      <c r="F38" s="5" t="n"/>
    </row>
    <row r="39">
      <c r="A39" s="10">
        <f>IF($E39="","",INDEX('Input Transaksi'!$A:$A,$E39))</f>
        <v/>
      </c>
      <c r="B39" s="5">
        <f>IF($E39="","",INDEX('Input Transaksi'!$D:$D,$E39))</f>
        <v/>
      </c>
      <c r="C39">
        <f>IF($E39="","",INDEX('Input Transaksi'!$E:$E,$E39))</f>
        <v/>
      </c>
      <c r="D39" s="5">
        <f>IF($E39="","",INDEX('Input Transaksi'!$F:$F,$E39))</f>
        <v/>
      </c>
      <c r="E39">
        <f>IFERROR(AGGREGATE(15,6,ROW('Input Transaksi'!$B$5:$B$5000)/('Input Transaksi'!$B$5:$B$5000="MONANG MANING"),ROWS($E$5:E39)),"")</f>
        <v/>
      </c>
      <c r="F39" s="5" t="n"/>
    </row>
    <row r="40">
      <c r="A40" s="10">
        <f>IF($E40="","",INDEX('Input Transaksi'!$A:$A,$E40))</f>
        <v/>
      </c>
      <c r="B40" s="5">
        <f>IF($E40="","",INDEX('Input Transaksi'!$D:$D,$E40))</f>
        <v/>
      </c>
      <c r="C40">
        <f>IF($E40="","",INDEX('Input Transaksi'!$E:$E,$E40))</f>
        <v/>
      </c>
      <c r="D40" s="5">
        <f>IF($E40="","",INDEX('Input Transaksi'!$F:$F,$E40))</f>
        <v/>
      </c>
      <c r="E40">
        <f>IFERROR(AGGREGATE(15,6,ROW('Input Transaksi'!$B$5:$B$5000)/('Input Transaksi'!$B$5:$B$5000="MONANG MANING"),ROWS($E$5:E40)),"")</f>
        <v/>
      </c>
      <c r="F40" s="5" t="n"/>
    </row>
    <row r="41">
      <c r="A41" s="10">
        <f>IF($E41="","",INDEX('Input Transaksi'!$A:$A,$E41))</f>
        <v/>
      </c>
      <c r="B41" s="5">
        <f>IF($E41="","",INDEX('Input Transaksi'!$D:$D,$E41))</f>
        <v/>
      </c>
      <c r="C41">
        <f>IF($E41="","",INDEX('Input Transaksi'!$E:$E,$E41))</f>
        <v/>
      </c>
      <c r="D41" s="5">
        <f>IF($E41="","",INDEX('Input Transaksi'!$F:$F,$E41))</f>
        <v/>
      </c>
      <c r="E41">
        <f>IFERROR(AGGREGATE(15,6,ROW('Input Transaksi'!$B$5:$B$5000)/('Input Transaksi'!$B$5:$B$5000="MONANG MANING"),ROWS($E$5:E41)),"")</f>
        <v/>
      </c>
      <c r="F41" s="5" t="n"/>
    </row>
    <row r="42">
      <c r="A42" s="10">
        <f>IF($E42="","",INDEX('Input Transaksi'!$A:$A,$E42))</f>
        <v/>
      </c>
      <c r="B42" s="5">
        <f>IF($E42="","",INDEX('Input Transaksi'!$D:$D,$E42))</f>
        <v/>
      </c>
      <c r="C42">
        <f>IF($E42="","",INDEX('Input Transaksi'!$E:$E,$E42))</f>
        <v/>
      </c>
      <c r="D42" s="5">
        <f>IF($E42="","",INDEX('Input Transaksi'!$F:$F,$E42))</f>
        <v/>
      </c>
      <c r="E42">
        <f>IFERROR(AGGREGATE(15,6,ROW('Input Transaksi'!$B$5:$B$5000)/('Input Transaksi'!$B$5:$B$5000="MONANG MANING"),ROWS($E$5:E42)),"")</f>
        <v/>
      </c>
      <c r="F42" s="5" t="n"/>
    </row>
    <row r="43">
      <c r="A43" s="10">
        <f>IF($E43="","",INDEX('Input Transaksi'!$A:$A,$E43))</f>
        <v/>
      </c>
      <c r="B43" s="5">
        <f>IF($E43="","",INDEX('Input Transaksi'!$D:$D,$E43))</f>
        <v/>
      </c>
      <c r="C43">
        <f>IF($E43="","",INDEX('Input Transaksi'!$E:$E,$E43))</f>
        <v/>
      </c>
      <c r="D43" s="5">
        <f>IF($E43="","",INDEX('Input Transaksi'!$F:$F,$E43))</f>
        <v/>
      </c>
      <c r="E43">
        <f>IFERROR(AGGREGATE(15,6,ROW('Input Transaksi'!$B$5:$B$5000)/('Input Transaksi'!$B$5:$B$5000="MONANG MANING"),ROWS($E$5:E43)),"")</f>
        <v/>
      </c>
      <c r="F43" s="5" t="n"/>
    </row>
    <row r="44">
      <c r="A44" s="10">
        <f>IF($E44="","",INDEX('Input Transaksi'!$A:$A,$E44))</f>
        <v/>
      </c>
      <c r="B44" s="5">
        <f>IF($E44="","",INDEX('Input Transaksi'!$D:$D,$E44))</f>
        <v/>
      </c>
      <c r="C44">
        <f>IF($E44="","",INDEX('Input Transaksi'!$E:$E,$E44))</f>
        <v/>
      </c>
      <c r="D44" s="5">
        <f>IF($E44="","",INDEX('Input Transaksi'!$F:$F,$E44))</f>
        <v/>
      </c>
      <c r="E44">
        <f>IFERROR(AGGREGATE(15,6,ROW('Input Transaksi'!$B$5:$B$5000)/('Input Transaksi'!$B$5:$B$5000="MONANG MANING"),ROWS($E$5:E44)),"")</f>
        <v/>
      </c>
      <c r="F44" s="5" t="n"/>
    </row>
    <row r="45">
      <c r="A45" s="10">
        <f>IF($E45="","",INDEX('Input Transaksi'!$A:$A,$E45))</f>
        <v/>
      </c>
      <c r="B45" s="5">
        <f>IF($E45="","",INDEX('Input Transaksi'!$D:$D,$E45))</f>
        <v/>
      </c>
      <c r="C45">
        <f>IF($E45="","",INDEX('Input Transaksi'!$E:$E,$E45))</f>
        <v/>
      </c>
      <c r="D45" s="5">
        <f>IF($E45="","",INDEX('Input Transaksi'!$F:$F,$E45))</f>
        <v/>
      </c>
      <c r="E45">
        <f>IFERROR(AGGREGATE(15,6,ROW('Input Transaksi'!$B$5:$B$5000)/('Input Transaksi'!$B$5:$B$5000="MONANG MANING"),ROWS($E$5:E45)),"")</f>
        <v/>
      </c>
      <c r="F45" s="5" t="n"/>
    </row>
    <row r="46">
      <c r="A46" s="10">
        <f>IF($E46="","",INDEX('Input Transaksi'!$A:$A,$E46))</f>
        <v/>
      </c>
      <c r="B46" s="5">
        <f>IF($E46="","",INDEX('Input Transaksi'!$D:$D,$E46))</f>
        <v/>
      </c>
      <c r="C46">
        <f>IF($E46="","",INDEX('Input Transaksi'!$E:$E,$E46))</f>
        <v/>
      </c>
      <c r="D46" s="5">
        <f>IF($E46="","",INDEX('Input Transaksi'!$F:$F,$E46))</f>
        <v/>
      </c>
      <c r="E46">
        <f>IFERROR(AGGREGATE(15,6,ROW('Input Transaksi'!$B$5:$B$5000)/('Input Transaksi'!$B$5:$B$5000="MONANG MANING"),ROWS($E$5:E46)),"")</f>
        <v/>
      </c>
      <c r="F46" s="5" t="n"/>
    </row>
    <row r="47">
      <c r="A47" s="10">
        <f>IF($E47="","",INDEX('Input Transaksi'!$A:$A,$E47))</f>
        <v/>
      </c>
      <c r="B47" s="5">
        <f>IF($E47="","",INDEX('Input Transaksi'!$D:$D,$E47))</f>
        <v/>
      </c>
      <c r="C47">
        <f>IF($E47="","",INDEX('Input Transaksi'!$E:$E,$E47))</f>
        <v/>
      </c>
      <c r="D47" s="5">
        <f>IF($E47="","",INDEX('Input Transaksi'!$F:$F,$E47))</f>
        <v/>
      </c>
      <c r="E47">
        <f>IFERROR(AGGREGATE(15,6,ROW('Input Transaksi'!$B$5:$B$5000)/('Input Transaksi'!$B$5:$B$5000="MONANG MANING"),ROWS($E$5:E47)),"")</f>
        <v/>
      </c>
      <c r="F47" s="5" t="n"/>
    </row>
    <row r="48">
      <c r="A48" s="10">
        <f>IF($E48="","",INDEX('Input Transaksi'!$A:$A,$E48))</f>
        <v/>
      </c>
      <c r="B48" s="5">
        <f>IF($E48="","",INDEX('Input Transaksi'!$D:$D,$E48))</f>
        <v/>
      </c>
      <c r="C48">
        <f>IF($E48="","",INDEX('Input Transaksi'!$E:$E,$E48))</f>
        <v/>
      </c>
      <c r="D48" s="5">
        <f>IF($E48="","",INDEX('Input Transaksi'!$F:$F,$E48))</f>
        <v/>
      </c>
      <c r="E48">
        <f>IFERROR(AGGREGATE(15,6,ROW('Input Transaksi'!$B$5:$B$5000)/('Input Transaksi'!$B$5:$B$5000="MONANG MANING"),ROWS($E$5:E48)),"")</f>
        <v/>
      </c>
      <c r="F48" s="5" t="n"/>
    </row>
    <row r="49">
      <c r="A49" s="10">
        <f>IF($E49="","",INDEX('Input Transaksi'!$A:$A,$E49))</f>
        <v/>
      </c>
      <c r="B49" s="5">
        <f>IF($E49="","",INDEX('Input Transaksi'!$D:$D,$E49))</f>
        <v/>
      </c>
      <c r="C49">
        <f>IF($E49="","",INDEX('Input Transaksi'!$E:$E,$E49))</f>
        <v/>
      </c>
      <c r="D49" s="5">
        <f>IF($E49="","",INDEX('Input Transaksi'!$F:$F,$E49))</f>
        <v/>
      </c>
      <c r="E49">
        <f>IFERROR(AGGREGATE(15,6,ROW('Input Transaksi'!$B$5:$B$5000)/('Input Transaksi'!$B$5:$B$5000="MONANG MANING"),ROWS($E$5:E49)),"")</f>
        <v/>
      </c>
      <c r="F49" s="5" t="n"/>
    </row>
    <row r="50">
      <c r="A50" s="10">
        <f>IF($E50="","",INDEX('Input Transaksi'!$A:$A,$E50))</f>
        <v/>
      </c>
      <c r="B50" s="5">
        <f>IF($E50="","",INDEX('Input Transaksi'!$D:$D,$E50))</f>
        <v/>
      </c>
      <c r="C50">
        <f>IF($E50="","",INDEX('Input Transaksi'!$E:$E,$E50))</f>
        <v/>
      </c>
      <c r="D50" s="5">
        <f>IF($E50="","",INDEX('Input Transaksi'!$F:$F,$E50))</f>
        <v/>
      </c>
      <c r="E50">
        <f>IFERROR(AGGREGATE(15,6,ROW('Input Transaksi'!$B$5:$B$5000)/('Input Transaksi'!$B$5:$B$5000="MONANG MANING"),ROWS($E$5:E50)),"")</f>
        <v/>
      </c>
      <c r="F50" s="5" t="n"/>
    </row>
    <row r="51">
      <c r="A51" s="10">
        <f>IF($E51="","",INDEX('Input Transaksi'!$A:$A,$E51))</f>
        <v/>
      </c>
      <c r="B51" s="5">
        <f>IF($E51="","",INDEX('Input Transaksi'!$D:$D,$E51))</f>
        <v/>
      </c>
      <c r="C51">
        <f>IF($E51="","",INDEX('Input Transaksi'!$E:$E,$E51))</f>
        <v/>
      </c>
      <c r="D51" s="5">
        <f>IF($E51="","",INDEX('Input Transaksi'!$F:$F,$E51))</f>
        <v/>
      </c>
      <c r="E51">
        <f>IFERROR(AGGREGATE(15,6,ROW('Input Transaksi'!$B$5:$B$5000)/('Input Transaksi'!$B$5:$B$5000="MONANG MANING"),ROWS($E$5:E51)),"")</f>
        <v/>
      </c>
      <c r="F51" s="5" t="n"/>
    </row>
    <row r="52">
      <c r="A52" s="10">
        <f>IF($E52="","",INDEX('Input Transaksi'!$A:$A,$E52))</f>
        <v/>
      </c>
      <c r="B52" s="5">
        <f>IF($E52="","",INDEX('Input Transaksi'!$D:$D,$E52))</f>
        <v/>
      </c>
      <c r="C52">
        <f>IF($E52="","",INDEX('Input Transaksi'!$E:$E,$E52))</f>
        <v/>
      </c>
      <c r="D52" s="5">
        <f>IF($E52="","",INDEX('Input Transaksi'!$F:$F,$E52))</f>
        <v/>
      </c>
      <c r="E52">
        <f>IFERROR(AGGREGATE(15,6,ROW('Input Transaksi'!$B$5:$B$5000)/('Input Transaksi'!$B$5:$B$5000="MONANG MANING"),ROWS($E$5:E52)),"")</f>
        <v/>
      </c>
      <c r="F52" s="5" t="n"/>
    </row>
    <row r="53">
      <c r="A53" s="10">
        <f>IF($E53="","",INDEX('Input Transaksi'!$A:$A,$E53))</f>
        <v/>
      </c>
      <c r="B53" s="5">
        <f>IF($E53="","",INDEX('Input Transaksi'!$D:$D,$E53))</f>
        <v/>
      </c>
      <c r="C53">
        <f>IF($E53="","",INDEX('Input Transaksi'!$E:$E,$E53))</f>
        <v/>
      </c>
      <c r="D53" s="5">
        <f>IF($E53="","",INDEX('Input Transaksi'!$F:$F,$E53))</f>
        <v/>
      </c>
      <c r="E53">
        <f>IFERROR(AGGREGATE(15,6,ROW('Input Transaksi'!$B$5:$B$5000)/('Input Transaksi'!$B$5:$B$5000="MONANG MANING"),ROWS($E$5:E53)),"")</f>
        <v/>
      </c>
      <c r="F53" s="5" t="n"/>
    </row>
    <row r="54">
      <c r="A54" s="10">
        <f>IF($E54="","",INDEX('Input Transaksi'!$A:$A,$E54))</f>
        <v/>
      </c>
      <c r="B54" s="5">
        <f>IF($E54="","",INDEX('Input Transaksi'!$D:$D,$E54))</f>
        <v/>
      </c>
      <c r="C54">
        <f>IF($E54="","",INDEX('Input Transaksi'!$E:$E,$E54))</f>
        <v/>
      </c>
      <c r="D54" s="5">
        <f>IF($E54="","",INDEX('Input Transaksi'!$F:$F,$E54))</f>
        <v/>
      </c>
      <c r="E54">
        <f>IFERROR(AGGREGATE(15,6,ROW('Input Transaksi'!$B$5:$B$5000)/('Input Transaksi'!$B$5:$B$5000="MONANG MANING"),ROWS($E$5:E54)),"")</f>
        <v/>
      </c>
      <c r="F54" s="5" t="n"/>
    </row>
    <row r="55">
      <c r="A55" s="10">
        <f>IF($E55="","",INDEX('Input Transaksi'!$A:$A,$E55))</f>
        <v/>
      </c>
      <c r="B55" s="5">
        <f>IF($E55="","",INDEX('Input Transaksi'!$D:$D,$E55))</f>
        <v/>
      </c>
      <c r="C55">
        <f>IF($E55="","",INDEX('Input Transaksi'!$E:$E,$E55))</f>
        <v/>
      </c>
      <c r="D55" s="5">
        <f>IF($E55="","",INDEX('Input Transaksi'!$F:$F,$E55))</f>
        <v/>
      </c>
      <c r="E55">
        <f>IFERROR(AGGREGATE(15,6,ROW('Input Transaksi'!$B$5:$B$5000)/('Input Transaksi'!$B$5:$B$5000="MONANG MANING"),ROWS($E$5:E55)),"")</f>
        <v/>
      </c>
      <c r="F55" s="5" t="n"/>
    </row>
    <row r="56">
      <c r="A56" s="10">
        <f>IF($E56="","",INDEX('Input Transaksi'!$A:$A,$E56))</f>
        <v/>
      </c>
      <c r="B56" s="5">
        <f>IF($E56="","",INDEX('Input Transaksi'!$D:$D,$E56))</f>
        <v/>
      </c>
      <c r="C56">
        <f>IF($E56="","",INDEX('Input Transaksi'!$E:$E,$E56))</f>
        <v/>
      </c>
      <c r="D56" s="5">
        <f>IF($E56="","",INDEX('Input Transaksi'!$F:$F,$E56))</f>
        <v/>
      </c>
      <c r="E56">
        <f>IFERROR(AGGREGATE(15,6,ROW('Input Transaksi'!$B$5:$B$5000)/('Input Transaksi'!$B$5:$B$5000="MONANG MANING"),ROWS($E$5:E56)),"")</f>
        <v/>
      </c>
      <c r="F56" s="5" t="n"/>
    </row>
    <row r="57">
      <c r="A57" s="10">
        <f>IF($E57="","",INDEX('Input Transaksi'!$A:$A,$E57))</f>
        <v/>
      </c>
      <c r="B57" s="5">
        <f>IF($E57="","",INDEX('Input Transaksi'!$D:$D,$E57))</f>
        <v/>
      </c>
      <c r="C57">
        <f>IF($E57="","",INDEX('Input Transaksi'!$E:$E,$E57))</f>
        <v/>
      </c>
      <c r="D57" s="5">
        <f>IF($E57="","",INDEX('Input Transaksi'!$F:$F,$E57))</f>
        <v/>
      </c>
      <c r="E57">
        <f>IFERROR(AGGREGATE(15,6,ROW('Input Transaksi'!$B$5:$B$5000)/('Input Transaksi'!$B$5:$B$5000="MONANG MANING"),ROWS($E$5:E57)),"")</f>
        <v/>
      </c>
      <c r="F57" s="5" t="n"/>
    </row>
    <row r="58">
      <c r="A58" s="10">
        <f>IF($E58="","",INDEX('Input Transaksi'!$A:$A,$E58))</f>
        <v/>
      </c>
      <c r="B58" s="5">
        <f>IF($E58="","",INDEX('Input Transaksi'!$D:$D,$E58))</f>
        <v/>
      </c>
      <c r="C58">
        <f>IF($E58="","",INDEX('Input Transaksi'!$E:$E,$E58))</f>
        <v/>
      </c>
      <c r="D58" s="5">
        <f>IF($E58="","",INDEX('Input Transaksi'!$F:$F,$E58))</f>
        <v/>
      </c>
      <c r="E58">
        <f>IFERROR(AGGREGATE(15,6,ROW('Input Transaksi'!$B$5:$B$5000)/('Input Transaksi'!$B$5:$B$5000="MONANG MANING"),ROWS($E$5:E58)),"")</f>
        <v/>
      </c>
      <c r="F58" s="5" t="n"/>
    </row>
    <row r="59">
      <c r="A59" s="10">
        <f>IF($E59="","",INDEX('Input Transaksi'!$A:$A,$E59))</f>
        <v/>
      </c>
      <c r="B59" s="5">
        <f>IF($E59="","",INDEX('Input Transaksi'!$D:$D,$E59))</f>
        <v/>
      </c>
      <c r="C59">
        <f>IF($E59="","",INDEX('Input Transaksi'!$E:$E,$E59))</f>
        <v/>
      </c>
      <c r="D59" s="5">
        <f>IF($E59="","",INDEX('Input Transaksi'!$F:$F,$E59))</f>
        <v/>
      </c>
      <c r="E59">
        <f>IFERROR(AGGREGATE(15,6,ROW('Input Transaksi'!$B$5:$B$5000)/('Input Transaksi'!$B$5:$B$5000="MONANG MANING"),ROWS($E$5:E59)),"")</f>
        <v/>
      </c>
      <c r="F59" s="5" t="n"/>
    </row>
    <row r="60">
      <c r="A60" s="10">
        <f>IF($E60="","",INDEX('Input Transaksi'!$A:$A,$E60))</f>
        <v/>
      </c>
      <c r="B60" s="5">
        <f>IF($E60="","",INDEX('Input Transaksi'!$D:$D,$E60))</f>
        <v/>
      </c>
      <c r="C60">
        <f>IF($E60="","",INDEX('Input Transaksi'!$E:$E,$E60))</f>
        <v/>
      </c>
      <c r="D60" s="5">
        <f>IF($E60="","",INDEX('Input Transaksi'!$F:$F,$E60))</f>
        <v/>
      </c>
      <c r="E60">
        <f>IFERROR(AGGREGATE(15,6,ROW('Input Transaksi'!$B$5:$B$5000)/('Input Transaksi'!$B$5:$B$5000="MONANG MANING"),ROWS($E$5:E60)),"")</f>
        <v/>
      </c>
      <c r="F60" s="5" t="n"/>
    </row>
    <row r="61">
      <c r="A61" s="10">
        <f>IF($E61="","",INDEX('Input Transaksi'!$A:$A,$E61))</f>
        <v/>
      </c>
      <c r="B61" s="5">
        <f>IF($E61="","",INDEX('Input Transaksi'!$D:$D,$E61))</f>
        <v/>
      </c>
      <c r="C61">
        <f>IF($E61="","",INDEX('Input Transaksi'!$E:$E,$E61))</f>
        <v/>
      </c>
      <c r="D61" s="5">
        <f>IF($E61="","",INDEX('Input Transaksi'!$F:$F,$E61))</f>
        <v/>
      </c>
      <c r="E61">
        <f>IFERROR(AGGREGATE(15,6,ROW('Input Transaksi'!$B$5:$B$5000)/('Input Transaksi'!$B$5:$B$5000="MONANG MANING"),ROWS($E$5:E61)),"")</f>
        <v/>
      </c>
      <c r="F61" s="5" t="n"/>
    </row>
    <row r="62">
      <c r="A62" s="10">
        <f>IF($E62="","",INDEX('Input Transaksi'!$A:$A,$E62))</f>
        <v/>
      </c>
      <c r="B62" s="5">
        <f>IF($E62="","",INDEX('Input Transaksi'!$D:$D,$E62))</f>
        <v/>
      </c>
      <c r="C62">
        <f>IF($E62="","",INDEX('Input Transaksi'!$E:$E,$E62))</f>
        <v/>
      </c>
      <c r="D62" s="5">
        <f>IF($E62="","",INDEX('Input Transaksi'!$F:$F,$E62))</f>
        <v/>
      </c>
      <c r="E62">
        <f>IFERROR(AGGREGATE(15,6,ROW('Input Transaksi'!$B$5:$B$5000)/('Input Transaksi'!$B$5:$B$5000="MONANG MANING"),ROWS($E$5:E62)),"")</f>
        <v/>
      </c>
      <c r="F62" s="5" t="n"/>
    </row>
    <row r="63">
      <c r="A63" s="10">
        <f>IF($E63="","",INDEX('Input Transaksi'!$A:$A,$E63))</f>
        <v/>
      </c>
      <c r="B63" s="5">
        <f>IF($E63="","",INDEX('Input Transaksi'!$D:$D,$E63))</f>
        <v/>
      </c>
      <c r="C63">
        <f>IF($E63="","",INDEX('Input Transaksi'!$E:$E,$E63))</f>
        <v/>
      </c>
      <c r="D63" s="5">
        <f>IF($E63="","",INDEX('Input Transaksi'!$F:$F,$E63))</f>
        <v/>
      </c>
      <c r="E63">
        <f>IFERROR(AGGREGATE(15,6,ROW('Input Transaksi'!$B$5:$B$5000)/('Input Transaksi'!$B$5:$B$5000="MONANG MANING"),ROWS($E$5:E63)),"")</f>
        <v/>
      </c>
      <c r="F63" s="5" t="n"/>
    </row>
    <row r="64">
      <c r="A64" s="10">
        <f>IF($E64="","",INDEX('Input Transaksi'!$A:$A,$E64))</f>
        <v/>
      </c>
      <c r="B64" s="5">
        <f>IF($E64="","",INDEX('Input Transaksi'!$D:$D,$E64))</f>
        <v/>
      </c>
      <c r="C64">
        <f>IF($E64="","",INDEX('Input Transaksi'!$E:$E,$E64))</f>
        <v/>
      </c>
      <c r="D64" s="5">
        <f>IF($E64="","",INDEX('Input Transaksi'!$F:$F,$E64))</f>
        <v/>
      </c>
      <c r="E64">
        <f>IFERROR(AGGREGATE(15,6,ROW('Input Transaksi'!$B$5:$B$5000)/('Input Transaksi'!$B$5:$B$5000="MONANG MANING"),ROWS($E$5:E64)),"")</f>
        <v/>
      </c>
      <c r="F64" s="5" t="n"/>
    </row>
    <row r="65">
      <c r="A65" s="10">
        <f>IF($E65="","",INDEX('Input Transaksi'!$A:$A,$E65))</f>
        <v/>
      </c>
      <c r="B65" s="5">
        <f>IF($E65="","",INDEX('Input Transaksi'!$D:$D,$E65))</f>
        <v/>
      </c>
      <c r="C65">
        <f>IF($E65="","",INDEX('Input Transaksi'!$E:$E,$E65))</f>
        <v/>
      </c>
      <c r="D65" s="5">
        <f>IF($E65="","",INDEX('Input Transaksi'!$F:$F,$E65))</f>
        <v/>
      </c>
      <c r="E65">
        <f>IFERROR(AGGREGATE(15,6,ROW('Input Transaksi'!$B$5:$B$5000)/('Input Transaksi'!$B$5:$B$5000="MONANG MANING"),ROWS($E$5:E65)),"")</f>
        <v/>
      </c>
      <c r="F65" s="5" t="n"/>
    </row>
    <row r="66">
      <c r="A66" s="10">
        <f>IF($E66="","",INDEX('Input Transaksi'!$A:$A,$E66))</f>
        <v/>
      </c>
      <c r="B66" s="5">
        <f>IF($E66="","",INDEX('Input Transaksi'!$D:$D,$E66))</f>
        <v/>
      </c>
      <c r="C66">
        <f>IF($E66="","",INDEX('Input Transaksi'!$E:$E,$E66))</f>
        <v/>
      </c>
      <c r="D66" s="5">
        <f>IF($E66="","",INDEX('Input Transaksi'!$F:$F,$E66))</f>
        <v/>
      </c>
      <c r="E66">
        <f>IFERROR(AGGREGATE(15,6,ROW('Input Transaksi'!$B$5:$B$5000)/('Input Transaksi'!$B$5:$B$5000="MONANG MANING"),ROWS($E$5:E66)),"")</f>
        <v/>
      </c>
      <c r="F66" s="5" t="n"/>
    </row>
    <row r="67">
      <c r="A67" s="10">
        <f>IF($E67="","",INDEX('Input Transaksi'!$A:$A,$E67))</f>
        <v/>
      </c>
      <c r="B67" s="5">
        <f>IF($E67="","",INDEX('Input Transaksi'!$D:$D,$E67))</f>
        <v/>
      </c>
      <c r="C67">
        <f>IF($E67="","",INDEX('Input Transaksi'!$E:$E,$E67))</f>
        <v/>
      </c>
      <c r="D67" s="5">
        <f>IF($E67="","",INDEX('Input Transaksi'!$F:$F,$E67))</f>
        <v/>
      </c>
      <c r="E67">
        <f>IFERROR(AGGREGATE(15,6,ROW('Input Transaksi'!$B$5:$B$5000)/('Input Transaksi'!$B$5:$B$5000="MONANG MANING"),ROWS($E$5:E67)),"")</f>
        <v/>
      </c>
      <c r="F67" s="5" t="n"/>
    </row>
    <row r="68">
      <c r="A68" s="10">
        <f>IF($E68="","",INDEX('Input Transaksi'!$A:$A,$E68))</f>
        <v/>
      </c>
      <c r="B68" s="5">
        <f>IF($E68="","",INDEX('Input Transaksi'!$D:$D,$E68))</f>
        <v/>
      </c>
      <c r="C68">
        <f>IF($E68="","",INDEX('Input Transaksi'!$E:$E,$E68))</f>
        <v/>
      </c>
      <c r="D68" s="5">
        <f>IF($E68="","",INDEX('Input Transaksi'!$F:$F,$E68))</f>
        <v/>
      </c>
      <c r="E68">
        <f>IFERROR(AGGREGATE(15,6,ROW('Input Transaksi'!$B$5:$B$5000)/('Input Transaksi'!$B$5:$B$5000="MONANG MANING"),ROWS($E$5:E68)),"")</f>
        <v/>
      </c>
      <c r="F68" s="5" t="n"/>
    </row>
    <row r="69">
      <c r="A69" s="10">
        <f>IF($E69="","",INDEX('Input Transaksi'!$A:$A,$E69))</f>
        <v/>
      </c>
      <c r="B69" s="5">
        <f>IF($E69="","",INDEX('Input Transaksi'!$D:$D,$E69))</f>
        <v/>
      </c>
      <c r="C69">
        <f>IF($E69="","",INDEX('Input Transaksi'!$E:$E,$E69))</f>
        <v/>
      </c>
      <c r="D69" s="5">
        <f>IF($E69="","",INDEX('Input Transaksi'!$F:$F,$E69))</f>
        <v/>
      </c>
      <c r="E69">
        <f>IFERROR(AGGREGATE(15,6,ROW('Input Transaksi'!$B$5:$B$5000)/('Input Transaksi'!$B$5:$B$5000="MONANG MANING"),ROWS($E$5:E69)),"")</f>
        <v/>
      </c>
      <c r="F69" s="5" t="n"/>
    </row>
    <row r="70">
      <c r="A70" s="10">
        <f>IF($E70="","",INDEX('Input Transaksi'!$A:$A,$E70))</f>
        <v/>
      </c>
      <c r="B70" s="5">
        <f>IF($E70="","",INDEX('Input Transaksi'!$D:$D,$E70))</f>
        <v/>
      </c>
      <c r="C70">
        <f>IF($E70="","",INDEX('Input Transaksi'!$E:$E,$E70))</f>
        <v/>
      </c>
      <c r="D70" s="5">
        <f>IF($E70="","",INDEX('Input Transaksi'!$F:$F,$E70))</f>
        <v/>
      </c>
      <c r="E70">
        <f>IFERROR(AGGREGATE(15,6,ROW('Input Transaksi'!$B$5:$B$5000)/('Input Transaksi'!$B$5:$B$5000="MONANG MANING"),ROWS($E$5:E70)),"")</f>
        <v/>
      </c>
      <c r="F70" s="5" t="n"/>
    </row>
    <row r="71">
      <c r="A71" s="10">
        <f>IF($E71="","",INDEX('Input Transaksi'!$A:$A,$E71))</f>
        <v/>
      </c>
      <c r="B71" s="5">
        <f>IF($E71="","",INDEX('Input Transaksi'!$D:$D,$E71))</f>
        <v/>
      </c>
      <c r="C71">
        <f>IF($E71="","",INDEX('Input Transaksi'!$E:$E,$E71))</f>
        <v/>
      </c>
      <c r="D71" s="5">
        <f>IF($E71="","",INDEX('Input Transaksi'!$F:$F,$E71))</f>
        <v/>
      </c>
      <c r="E71">
        <f>IFERROR(AGGREGATE(15,6,ROW('Input Transaksi'!$B$5:$B$5000)/('Input Transaksi'!$B$5:$B$5000="MONANG MANING"),ROWS($E$5:E71)),"")</f>
        <v/>
      </c>
      <c r="F71" s="5" t="n"/>
    </row>
    <row r="72">
      <c r="A72" s="10">
        <f>IF($E72="","",INDEX('Input Transaksi'!$A:$A,$E72))</f>
        <v/>
      </c>
      <c r="B72" s="5">
        <f>IF($E72="","",INDEX('Input Transaksi'!$D:$D,$E72))</f>
        <v/>
      </c>
      <c r="C72">
        <f>IF($E72="","",INDEX('Input Transaksi'!$E:$E,$E72))</f>
        <v/>
      </c>
      <c r="D72" s="5">
        <f>IF($E72="","",INDEX('Input Transaksi'!$F:$F,$E72))</f>
        <v/>
      </c>
      <c r="E72">
        <f>IFERROR(AGGREGATE(15,6,ROW('Input Transaksi'!$B$5:$B$5000)/('Input Transaksi'!$B$5:$B$5000="MONANG MANING"),ROWS($E$5:E72)),"")</f>
        <v/>
      </c>
      <c r="F72" s="5" t="n"/>
    </row>
    <row r="73">
      <c r="A73" s="10">
        <f>IF($E73="","",INDEX('Input Transaksi'!$A:$A,$E73))</f>
        <v/>
      </c>
      <c r="B73" s="5">
        <f>IF($E73="","",INDEX('Input Transaksi'!$D:$D,$E73))</f>
        <v/>
      </c>
      <c r="C73">
        <f>IF($E73="","",INDEX('Input Transaksi'!$E:$E,$E73))</f>
        <v/>
      </c>
      <c r="D73" s="5">
        <f>IF($E73="","",INDEX('Input Transaksi'!$F:$F,$E73))</f>
        <v/>
      </c>
      <c r="E73">
        <f>IFERROR(AGGREGATE(15,6,ROW('Input Transaksi'!$B$5:$B$5000)/('Input Transaksi'!$B$5:$B$5000="MONANG MANING"),ROWS($E$5:E73)),"")</f>
        <v/>
      </c>
      <c r="F73" s="5" t="n"/>
    </row>
    <row r="74">
      <c r="A74" s="10">
        <f>IF($E74="","",INDEX('Input Transaksi'!$A:$A,$E74))</f>
        <v/>
      </c>
      <c r="B74" s="5">
        <f>IF($E74="","",INDEX('Input Transaksi'!$D:$D,$E74))</f>
        <v/>
      </c>
      <c r="C74">
        <f>IF($E74="","",INDEX('Input Transaksi'!$E:$E,$E74))</f>
        <v/>
      </c>
      <c r="D74" s="5">
        <f>IF($E74="","",INDEX('Input Transaksi'!$F:$F,$E74))</f>
        <v/>
      </c>
      <c r="E74">
        <f>IFERROR(AGGREGATE(15,6,ROW('Input Transaksi'!$B$5:$B$5000)/('Input Transaksi'!$B$5:$B$5000="MONANG MANING"),ROWS($E$5:E74)),"")</f>
        <v/>
      </c>
      <c r="F74" s="5" t="n"/>
    </row>
    <row r="75">
      <c r="A75" s="10">
        <f>IF($E75="","",INDEX('Input Transaksi'!$A:$A,$E75))</f>
        <v/>
      </c>
      <c r="B75" s="5">
        <f>IF($E75="","",INDEX('Input Transaksi'!$D:$D,$E75))</f>
        <v/>
      </c>
      <c r="C75">
        <f>IF($E75="","",INDEX('Input Transaksi'!$E:$E,$E75))</f>
        <v/>
      </c>
      <c r="D75" s="5">
        <f>IF($E75="","",INDEX('Input Transaksi'!$F:$F,$E75))</f>
        <v/>
      </c>
      <c r="E75">
        <f>IFERROR(AGGREGATE(15,6,ROW('Input Transaksi'!$B$5:$B$5000)/('Input Transaksi'!$B$5:$B$5000="MONANG MANING"),ROWS($E$5:E75)),"")</f>
        <v/>
      </c>
      <c r="F75" s="5" t="n"/>
    </row>
    <row r="76">
      <c r="A76" s="10">
        <f>IF($E76="","",INDEX('Input Transaksi'!$A:$A,$E76))</f>
        <v/>
      </c>
      <c r="B76" s="5">
        <f>IF($E76="","",INDEX('Input Transaksi'!$D:$D,$E76))</f>
        <v/>
      </c>
      <c r="C76">
        <f>IF($E76="","",INDEX('Input Transaksi'!$E:$E,$E76))</f>
        <v/>
      </c>
      <c r="D76" s="5">
        <f>IF($E76="","",INDEX('Input Transaksi'!$F:$F,$E76))</f>
        <v/>
      </c>
      <c r="E76">
        <f>IFERROR(AGGREGATE(15,6,ROW('Input Transaksi'!$B$5:$B$5000)/('Input Transaksi'!$B$5:$B$5000="MONANG MANING"),ROWS($E$5:E76)),"")</f>
        <v/>
      </c>
      <c r="F76" s="5" t="n"/>
    </row>
    <row r="77">
      <c r="A77" s="10">
        <f>IF($E77="","",INDEX('Input Transaksi'!$A:$A,$E77))</f>
        <v/>
      </c>
      <c r="B77" s="5">
        <f>IF($E77="","",INDEX('Input Transaksi'!$D:$D,$E77))</f>
        <v/>
      </c>
      <c r="C77">
        <f>IF($E77="","",INDEX('Input Transaksi'!$E:$E,$E77))</f>
        <v/>
      </c>
      <c r="D77" s="5">
        <f>IF($E77="","",INDEX('Input Transaksi'!$F:$F,$E77))</f>
        <v/>
      </c>
      <c r="E77">
        <f>IFERROR(AGGREGATE(15,6,ROW('Input Transaksi'!$B$5:$B$5000)/('Input Transaksi'!$B$5:$B$5000="MONANG MANING"),ROWS($E$5:E77)),"")</f>
        <v/>
      </c>
      <c r="F77" s="5" t="n"/>
    </row>
    <row r="78">
      <c r="A78" s="10">
        <f>IF($E78="","",INDEX('Input Transaksi'!$A:$A,$E78))</f>
        <v/>
      </c>
      <c r="B78" s="5">
        <f>IF($E78="","",INDEX('Input Transaksi'!$D:$D,$E78))</f>
        <v/>
      </c>
      <c r="C78">
        <f>IF($E78="","",INDEX('Input Transaksi'!$E:$E,$E78))</f>
        <v/>
      </c>
      <c r="D78" s="5">
        <f>IF($E78="","",INDEX('Input Transaksi'!$F:$F,$E78))</f>
        <v/>
      </c>
      <c r="E78">
        <f>IFERROR(AGGREGATE(15,6,ROW('Input Transaksi'!$B$5:$B$5000)/('Input Transaksi'!$B$5:$B$5000="MONANG MANING"),ROWS($E$5:E78)),"")</f>
        <v/>
      </c>
      <c r="F78" s="5" t="n"/>
    </row>
    <row r="79">
      <c r="A79" s="10">
        <f>IF($E79="","",INDEX('Input Transaksi'!$A:$A,$E79))</f>
        <v/>
      </c>
      <c r="B79" s="5">
        <f>IF($E79="","",INDEX('Input Transaksi'!$D:$D,$E79))</f>
        <v/>
      </c>
      <c r="C79">
        <f>IF($E79="","",INDEX('Input Transaksi'!$E:$E,$E79))</f>
        <v/>
      </c>
      <c r="D79" s="5">
        <f>IF($E79="","",INDEX('Input Transaksi'!$F:$F,$E79))</f>
        <v/>
      </c>
      <c r="E79">
        <f>IFERROR(AGGREGATE(15,6,ROW('Input Transaksi'!$B$5:$B$5000)/('Input Transaksi'!$B$5:$B$5000="MONANG MANING"),ROWS($E$5:E79)),"")</f>
        <v/>
      </c>
      <c r="F79" s="5" t="n"/>
    </row>
    <row r="80">
      <c r="A80" s="10">
        <f>IF($E80="","",INDEX('Input Transaksi'!$A:$A,$E80))</f>
        <v/>
      </c>
      <c r="B80" s="5">
        <f>IF($E80="","",INDEX('Input Transaksi'!$D:$D,$E80))</f>
        <v/>
      </c>
      <c r="C80">
        <f>IF($E80="","",INDEX('Input Transaksi'!$E:$E,$E80))</f>
        <v/>
      </c>
      <c r="D80" s="5">
        <f>IF($E80="","",INDEX('Input Transaksi'!$F:$F,$E80))</f>
        <v/>
      </c>
      <c r="E80">
        <f>IFERROR(AGGREGATE(15,6,ROW('Input Transaksi'!$B$5:$B$5000)/('Input Transaksi'!$B$5:$B$5000="MONANG MANING"),ROWS($E$5:E80)),"")</f>
        <v/>
      </c>
      <c r="F80" s="5" t="n"/>
    </row>
    <row r="81">
      <c r="A81" s="10">
        <f>IF($E81="","",INDEX('Input Transaksi'!$A:$A,$E81))</f>
        <v/>
      </c>
      <c r="B81" s="5">
        <f>IF($E81="","",INDEX('Input Transaksi'!$D:$D,$E81))</f>
        <v/>
      </c>
      <c r="C81">
        <f>IF($E81="","",INDEX('Input Transaksi'!$E:$E,$E81))</f>
        <v/>
      </c>
      <c r="D81" s="5">
        <f>IF($E81="","",INDEX('Input Transaksi'!$F:$F,$E81))</f>
        <v/>
      </c>
      <c r="E81">
        <f>IFERROR(AGGREGATE(15,6,ROW('Input Transaksi'!$B$5:$B$5000)/('Input Transaksi'!$B$5:$B$5000="MONANG MANING"),ROWS($E$5:E81)),"")</f>
        <v/>
      </c>
      <c r="F81" s="5" t="n"/>
    </row>
    <row r="82">
      <c r="A82" s="10">
        <f>IF($E82="","",INDEX('Input Transaksi'!$A:$A,$E82))</f>
        <v/>
      </c>
      <c r="B82" s="5">
        <f>IF($E82="","",INDEX('Input Transaksi'!$D:$D,$E82))</f>
        <v/>
      </c>
      <c r="C82">
        <f>IF($E82="","",INDEX('Input Transaksi'!$E:$E,$E82))</f>
        <v/>
      </c>
      <c r="D82" s="5">
        <f>IF($E82="","",INDEX('Input Transaksi'!$F:$F,$E82))</f>
        <v/>
      </c>
      <c r="E82">
        <f>IFERROR(AGGREGATE(15,6,ROW('Input Transaksi'!$B$5:$B$5000)/('Input Transaksi'!$B$5:$B$5000="MONANG MANING"),ROWS($E$5:E82)),"")</f>
        <v/>
      </c>
      <c r="F82" s="5" t="n"/>
    </row>
    <row r="83">
      <c r="A83" s="10">
        <f>IF($E83="","",INDEX('Input Transaksi'!$A:$A,$E83))</f>
        <v/>
      </c>
      <c r="B83" s="5">
        <f>IF($E83="","",INDEX('Input Transaksi'!$D:$D,$E83))</f>
        <v/>
      </c>
      <c r="C83">
        <f>IF($E83="","",INDEX('Input Transaksi'!$E:$E,$E83))</f>
        <v/>
      </c>
      <c r="D83" s="5">
        <f>IF($E83="","",INDEX('Input Transaksi'!$F:$F,$E83))</f>
        <v/>
      </c>
      <c r="E83">
        <f>IFERROR(AGGREGATE(15,6,ROW('Input Transaksi'!$B$5:$B$5000)/('Input Transaksi'!$B$5:$B$5000="MONANG MANING"),ROWS($E$5:E83)),"")</f>
        <v/>
      </c>
      <c r="F83" s="5" t="n"/>
    </row>
    <row r="84">
      <c r="A84" s="10">
        <f>IF($E84="","",INDEX('Input Transaksi'!$A:$A,$E84))</f>
        <v/>
      </c>
      <c r="B84" s="5">
        <f>IF($E84="","",INDEX('Input Transaksi'!$D:$D,$E84))</f>
        <v/>
      </c>
      <c r="C84">
        <f>IF($E84="","",INDEX('Input Transaksi'!$E:$E,$E84))</f>
        <v/>
      </c>
      <c r="D84" s="5">
        <f>IF($E84="","",INDEX('Input Transaksi'!$F:$F,$E84))</f>
        <v/>
      </c>
      <c r="E84">
        <f>IFERROR(AGGREGATE(15,6,ROW('Input Transaksi'!$B$5:$B$5000)/('Input Transaksi'!$B$5:$B$5000="MONANG MANING"),ROWS($E$5:E84)),"")</f>
        <v/>
      </c>
      <c r="F84" s="5" t="n"/>
    </row>
    <row r="85">
      <c r="A85" s="10">
        <f>IF($E85="","",INDEX('Input Transaksi'!$A:$A,$E85))</f>
        <v/>
      </c>
      <c r="B85" s="5">
        <f>IF($E85="","",INDEX('Input Transaksi'!$D:$D,$E85))</f>
        <v/>
      </c>
      <c r="C85">
        <f>IF($E85="","",INDEX('Input Transaksi'!$E:$E,$E85))</f>
        <v/>
      </c>
      <c r="D85" s="5">
        <f>IF($E85="","",INDEX('Input Transaksi'!$F:$F,$E85))</f>
        <v/>
      </c>
      <c r="E85">
        <f>IFERROR(AGGREGATE(15,6,ROW('Input Transaksi'!$B$5:$B$5000)/('Input Transaksi'!$B$5:$B$5000="MONANG MANING"),ROWS($E$5:E85)),"")</f>
        <v/>
      </c>
      <c r="F85" s="5" t="n"/>
    </row>
    <row r="86">
      <c r="A86" s="10">
        <f>IF($E86="","",INDEX('Input Transaksi'!$A:$A,$E86))</f>
        <v/>
      </c>
      <c r="B86" s="5">
        <f>IF($E86="","",INDEX('Input Transaksi'!$D:$D,$E86))</f>
        <v/>
      </c>
      <c r="C86">
        <f>IF($E86="","",INDEX('Input Transaksi'!$E:$E,$E86))</f>
        <v/>
      </c>
      <c r="D86" s="5">
        <f>IF($E86="","",INDEX('Input Transaksi'!$F:$F,$E86))</f>
        <v/>
      </c>
      <c r="E86">
        <f>IFERROR(AGGREGATE(15,6,ROW('Input Transaksi'!$B$5:$B$5000)/('Input Transaksi'!$B$5:$B$5000="MONANG MANING"),ROWS($E$5:E86)),"")</f>
        <v/>
      </c>
      <c r="F86" s="5" t="n"/>
    </row>
    <row r="87">
      <c r="A87" s="10">
        <f>IF($E87="","",INDEX('Input Transaksi'!$A:$A,$E87))</f>
        <v/>
      </c>
      <c r="B87" s="5">
        <f>IF($E87="","",INDEX('Input Transaksi'!$D:$D,$E87))</f>
        <v/>
      </c>
      <c r="C87">
        <f>IF($E87="","",INDEX('Input Transaksi'!$E:$E,$E87))</f>
        <v/>
      </c>
      <c r="D87" s="5">
        <f>IF($E87="","",INDEX('Input Transaksi'!$F:$F,$E87))</f>
        <v/>
      </c>
      <c r="E87">
        <f>IFERROR(AGGREGATE(15,6,ROW('Input Transaksi'!$B$5:$B$5000)/('Input Transaksi'!$B$5:$B$5000="MONANG MANING"),ROWS($E$5:E87)),"")</f>
        <v/>
      </c>
      <c r="F87" s="5" t="n"/>
    </row>
    <row r="88">
      <c r="A88" s="10">
        <f>IF($E88="","",INDEX('Input Transaksi'!$A:$A,$E88))</f>
        <v/>
      </c>
      <c r="B88" s="5">
        <f>IF($E88="","",INDEX('Input Transaksi'!$D:$D,$E88))</f>
        <v/>
      </c>
      <c r="C88">
        <f>IF($E88="","",INDEX('Input Transaksi'!$E:$E,$E88))</f>
        <v/>
      </c>
      <c r="D88" s="5">
        <f>IF($E88="","",INDEX('Input Transaksi'!$F:$F,$E88))</f>
        <v/>
      </c>
      <c r="E88">
        <f>IFERROR(AGGREGATE(15,6,ROW('Input Transaksi'!$B$5:$B$5000)/('Input Transaksi'!$B$5:$B$5000="MONANG MANING"),ROWS($E$5:E88)),"")</f>
        <v/>
      </c>
      <c r="F88" s="5" t="n"/>
    </row>
    <row r="89">
      <c r="A89" s="10">
        <f>IF($E89="","",INDEX('Input Transaksi'!$A:$A,$E89))</f>
        <v/>
      </c>
      <c r="B89" s="5">
        <f>IF($E89="","",INDEX('Input Transaksi'!$D:$D,$E89))</f>
        <v/>
      </c>
      <c r="C89">
        <f>IF($E89="","",INDEX('Input Transaksi'!$E:$E,$E89))</f>
        <v/>
      </c>
      <c r="D89" s="5">
        <f>IF($E89="","",INDEX('Input Transaksi'!$F:$F,$E89))</f>
        <v/>
      </c>
      <c r="E89">
        <f>IFERROR(AGGREGATE(15,6,ROW('Input Transaksi'!$B$5:$B$5000)/('Input Transaksi'!$B$5:$B$5000="MONANG MANING"),ROWS($E$5:E89)),"")</f>
        <v/>
      </c>
      <c r="F89" s="5" t="n"/>
    </row>
    <row r="90">
      <c r="A90" s="10">
        <f>IF($E90="","",INDEX('Input Transaksi'!$A:$A,$E90))</f>
        <v/>
      </c>
      <c r="B90" s="5">
        <f>IF($E90="","",INDEX('Input Transaksi'!$D:$D,$E90))</f>
        <v/>
      </c>
      <c r="C90">
        <f>IF($E90="","",INDEX('Input Transaksi'!$E:$E,$E90))</f>
        <v/>
      </c>
      <c r="D90" s="5">
        <f>IF($E90="","",INDEX('Input Transaksi'!$F:$F,$E90))</f>
        <v/>
      </c>
      <c r="E90">
        <f>IFERROR(AGGREGATE(15,6,ROW('Input Transaksi'!$B$5:$B$5000)/('Input Transaksi'!$B$5:$B$5000="MONANG MANING"),ROWS($E$5:E90)),"")</f>
        <v/>
      </c>
      <c r="F90" s="5" t="n"/>
    </row>
    <row r="91">
      <c r="A91" s="10">
        <f>IF($E91="","",INDEX('Input Transaksi'!$A:$A,$E91))</f>
        <v/>
      </c>
      <c r="B91" s="5">
        <f>IF($E91="","",INDEX('Input Transaksi'!$D:$D,$E91))</f>
        <v/>
      </c>
      <c r="C91">
        <f>IF($E91="","",INDEX('Input Transaksi'!$E:$E,$E91))</f>
        <v/>
      </c>
      <c r="D91" s="5">
        <f>IF($E91="","",INDEX('Input Transaksi'!$F:$F,$E91))</f>
        <v/>
      </c>
      <c r="E91">
        <f>IFERROR(AGGREGATE(15,6,ROW('Input Transaksi'!$B$5:$B$5000)/('Input Transaksi'!$B$5:$B$5000="MONANG MANING"),ROWS($E$5:E91)),"")</f>
        <v/>
      </c>
      <c r="F91" s="5" t="n"/>
    </row>
    <row r="92">
      <c r="A92" s="10">
        <f>IF($E92="","",INDEX('Input Transaksi'!$A:$A,$E92))</f>
        <v/>
      </c>
      <c r="B92" s="5">
        <f>IF($E92="","",INDEX('Input Transaksi'!$D:$D,$E92))</f>
        <v/>
      </c>
      <c r="C92">
        <f>IF($E92="","",INDEX('Input Transaksi'!$E:$E,$E92))</f>
        <v/>
      </c>
      <c r="D92" s="5">
        <f>IF($E92="","",INDEX('Input Transaksi'!$F:$F,$E92))</f>
        <v/>
      </c>
      <c r="E92">
        <f>IFERROR(AGGREGATE(15,6,ROW('Input Transaksi'!$B$5:$B$5000)/('Input Transaksi'!$B$5:$B$5000="MONANG MANING"),ROWS($E$5:E92)),"")</f>
        <v/>
      </c>
      <c r="F92" s="5" t="n"/>
    </row>
    <row r="93">
      <c r="A93" s="10">
        <f>IF($E93="","",INDEX('Input Transaksi'!$A:$A,$E93))</f>
        <v/>
      </c>
      <c r="B93" s="5">
        <f>IF($E93="","",INDEX('Input Transaksi'!$D:$D,$E93))</f>
        <v/>
      </c>
      <c r="C93">
        <f>IF($E93="","",INDEX('Input Transaksi'!$E:$E,$E93))</f>
        <v/>
      </c>
      <c r="D93" s="5">
        <f>IF($E93="","",INDEX('Input Transaksi'!$F:$F,$E93))</f>
        <v/>
      </c>
      <c r="E93">
        <f>IFERROR(AGGREGATE(15,6,ROW('Input Transaksi'!$B$5:$B$5000)/('Input Transaksi'!$B$5:$B$5000="MONANG MANING"),ROWS($E$5:E93)),"")</f>
        <v/>
      </c>
      <c r="F93" s="5" t="n"/>
    </row>
    <row r="94">
      <c r="A94" s="10">
        <f>IF($E94="","",INDEX('Input Transaksi'!$A:$A,$E94))</f>
        <v/>
      </c>
      <c r="B94" s="5">
        <f>IF($E94="","",INDEX('Input Transaksi'!$D:$D,$E94))</f>
        <v/>
      </c>
      <c r="C94">
        <f>IF($E94="","",INDEX('Input Transaksi'!$E:$E,$E94))</f>
        <v/>
      </c>
      <c r="D94" s="5">
        <f>IF($E94="","",INDEX('Input Transaksi'!$F:$F,$E94))</f>
        <v/>
      </c>
      <c r="E94">
        <f>IFERROR(AGGREGATE(15,6,ROW('Input Transaksi'!$B$5:$B$5000)/('Input Transaksi'!$B$5:$B$5000="MONANG MANING"),ROWS($E$5:E94)),"")</f>
        <v/>
      </c>
      <c r="F94" s="5" t="n"/>
    </row>
    <row r="95">
      <c r="A95" s="10">
        <f>IF($E95="","",INDEX('Input Transaksi'!$A:$A,$E95))</f>
        <v/>
      </c>
      <c r="B95" s="5">
        <f>IF($E95="","",INDEX('Input Transaksi'!$D:$D,$E95))</f>
        <v/>
      </c>
      <c r="C95">
        <f>IF($E95="","",INDEX('Input Transaksi'!$E:$E,$E95))</f>
        <v/>
      </c>
      <c r="D95" s="5">
        <f>IF($E95="","",INDEX('Input Transaksi'!$F:$F,$E95))</f>
        <v/>
      </c>
      <c r="E95">
        <f>IFERROR(AGGREGATE(15,6,ROW('Input Transaksi'!$B$5:$B$5000)/('Input Transaksi'!$B$5:$B$5000="MONANG MANING"),ROWS($E$5:E95)),"")</f>
        <v/>
      </c>
      <c r="F95" s="5" t="n"/>
    </row>
    <row r="96">
      <c r="A96" s="10">
        <f>IF($E96="","",INDEX('Input Transaksi'!$A:$A,$E96))</f>
        <v/>
      </c>
      <c r="B96" s="5">
        <f>IF($E96="","",INDEX('Input Transaksi'!$D:$D,$E96))</f>
        <v/>
      </c>
      <c r="C96">
        <f>IF($E96="","",INDEX('Input Transaksi'!$E:$E,$E96))</f>
        <v/>
      </c>
      <c r="D96" s="5">
        <f>IF($E96="","",INDEX('Input Transaksi'!$F:$F,$E96))</f>
        <v/>
      </c>
      <c r="E96">
        <f>IFERROR(AGGREGATE(15,6,ROW('Input Transaksi'!$B$5:$B$5000)/('Input Transaksi'!$B$5:$B$5000="MONANG MANING"),ROWS($E$5:E96)),"")</f>
        <v/>
      </c>
      <c r="F96" s="5" t="n"/>
    </row>
    <row r="97">
      <c r="A97" s="10">
        <f>IF($E97="","",INDEX('Input Transaksi'!$A:$A,$E97))</f>
        <v/>
      </c>
      <c r="B97" s="5">
        <f>IF($E97="","",INDEX('Input Transaksi'!$D:$D,$E97))</f>
        <v/>
      </c>
      <c r="C97">
        <f>IF($E97="","",INDEX('Input Transaksi'!$E:$E,$E97))</f>
        <v/>
      </c>
      <c r="D97" s="5">
        <f>IF($E97="","",INDEX('Input Transaksi'!$F:$F,$E97))</f>
        <v/>
      </c>
      <c r="E97">
        <f>IFERROR(AGGREGATE(15,6,ROW('Input Transaksi'!$B$5:$B$5000)/('Input Transaksi'!$B$5:$B$5000="MONANG MANING"),ROWS($E$5:E97)),"")</f>
        <v/>
      </c>
      <c r="F97" s="5" t="n"/>
    </row>
    <row r="98">
      <c r="A98" s="10">
        <f>IF($E98="","",INDEX('Input Transaksi'!$A:$A,$E98))</f>
        <v/>
      </c>
      <c r="B98" s="5">
        <f>IF($E98="","",INDEX('Input Transaksi'!$D:$D,$E98))</f>
        <v/>
      </c>
      <c r="C98">
        <f>IF($E98="","",INDEX('Input Transaksi'!$E:$E,$E98))</f>
        <v/>
      </c>
      <c r="D98" s="5">
        <f>IF($E98="","",INDEX('Input Transaksi'!$F:$F,$E98))</f>
        <v/>
      </c>
      <c r="E98">
        <f>IFERROR(AGGREGATE(15,6,ROW('Input Transaksi'!$B$5:$B$5000)/('Input Transaksi'!$B$5:$B$5000="MONANG MANING"),ROWS($E$5:E98)),"")</f>
        <v/>
      </c>
      <c r="F98" s="5" t="n"/>
    </row>
    <row r="99">
      <c r="A99" s="10">
        <f>IF($E99="","",INDEX('Input Transaksi'!$A:$A,$E99))</f>
        <v/>
      </c>
      <c r="B99" s="5">
        <f>IF($E99="","",INDEX('Input Transaksi'!$D:$D,$E99))</f>
        <v/>
      </c>
      <c r="C99">
        <f>IF($E99="","",INDEX('Input Transaksi'!$E:$E,$E99))</f>
        <v/>
      </c>
      <c r="D99" s="5">
        <f>IF($E99="","",INDEX('Input Transaksi'!$F:$F,$E99))</f>
        <v/>
      </c>
      <c r="E99">
        <f>IFERROR(AGGREGATE(15,6,ROW('Input Transaksi'!$B$5:$B$5000)/('Input Transaksi'!$B$5:$B$5000="MONANG MANING"),ROWS($E$5:E99)),"")</f>
        <v/>
      </c>
      <c r="F99" s="5" t="n"/>
    </row>
    <row r="100">
      <c r="A100" s="10">
        <f>IF($E100="","",INDEX('Input Transaksi'!$A:$A,$E100))</f>
        <v/>
      </c>
      <c r="B100" s="5">
        <f>IF($E100="","",INDEX('Input Transaksi'!$D:$D,$E100))</f>
        <v/>
      </c>
      <c r="C100">
        <f>IF($E100="","",INDEX('Input Transaksi'!$E:$E,$E100))</f>
        <v/>
      </c>
      <c r="D100" s="5">
        <f>IF($E100="","",INDEX('Input Transaksi'!$F:$F,$E100))</f>
        <v/>
      </c>
      <c r="E100">
        <f>IFERROR(AGGREGATE(15,6,ROW('Input Transaksi'!$B$5:$B$5000)/('Input Transaksi'!$B$5:$B$5000="MONANG MANING"),ROWS($E$5:E100)),"")</f>
        <v/>
      </c>
      <c r="F100" s="5" t="n"/>
    </row>
    <row r="101">
      <c r="A101" s="10">
        <f>IF($E101="","",INDEX('Input Transaksi'!$A:$A,$E101))</f>
        <v/>
      </c>
      <c r="B101" s="5">
        <f>IF($E101="","",INDEX('Input Transaksi'!$D:$D,$E101))</f>
        <v/>
      </c>
      <c r="C101">
        <f>IF($E101="","",INDEX('Input Transaksi'!$E:$E,$E101))</f>
        <v/>
      </c>
      <c r="D101" s="5">
        <f>IF($E101="","",INDEX('Input Transaksi'!$F:$F,$E101))</f>
        <v/>
      </c>
      <c r="E101">
        <f>IFERROR(AGGREGATE(15,6,ROW('Input Transaksi'!$B$5:$B$5000)/('Input Transaksi'!$B$5:$B$5000="MONANG MANING"),ROWS($E$5:E101)),"")</f>
        <v/>
      </c>
      <c r="F101" s="5" t="n"/>
    </row>
    <row r="102">
      <c r="A102" s="10">
        <f>IF($E102="","",INDEX('Input Transaksi'!$A:$A,$E102))</f>
        <v/>
      </c>
      <c r="B102" s="5">
        <f>IF($E102="","",INDEX('Input Transaksi'!$D:$D,$E102))</f>
        <v/>
      </c>
      <c r="C102">
        <f>IF($E102="","",INDEX('Input Transaksi'!$E:$E,$E102))</f>
        <v/>
      </c>
      <c r="D102" s="5">
        <f>IF($E102="","",INDEX('Input Transaksi'!$F:$F,$E102))</f>
        <v/>
      </c>
      <c r="E102">
        <f>IFERROR(AGGREGATE(15,6,ROW('Input Transaksi'!$B$5:$B$5000)/('Input Transaksi'!$B$5:$B$5000="MONANG MANING"),ROWS($E$5:E102)),"")</f>
        <v/>
      </c>
      <c r="F102" s="5" t="n"/>
    </row>
    <row r="103">
      <c r="A103" s="10">
        <f>IF($E103="","",INDEX('Input Transaksi'!$A:$A,$E103))</f>
        <v/>
      </c>
      <c r="B103" s="5">
        <f>IF($E103="","",INDEX('Input Transaksi'!$D:$D,$E103))</f>
        <v/>
      </c>
      <c r="C103">
        <f>IF($E103="","",INDEX('Input Transaksi'!$E:$E,$E103))</f>
        <v/>
      </c>
      <c r="D103" s="5">
        <f>IF($E103="","",INDEX('Input Transaksi'!$F:$F,$E103))</f>
        <v/>
      </c>
      <c r="E103">
        <f>IFERROR(AGGREGATE(15,6,ROW('Input Transaksi'!$B$5:$B$5000)/('Input Transaksi'!$B$5:$B$5000="MONANG MANING"),ROWS($E$5:E103)),"")</f>
        <v/>
      </c>
      <c r="F103" s="5" t="n"/>
    </row>
    <row r="104">
      <c r="A104" s="10">
        <f>IF($E104="","",INDEX('Input Transaksi'!$A:$A,$E104))</f>
        <v/>
      </c>
      <c r="B104" s="5">
        <f>IF($E104="","",INDEX('Input Transaksi'!$D:$D,$E104))</f>
        <v/>
      </c>
      <c r="C104">
        <f>IF($E104="","",INDEX('Input Transaksi'!$E:$E,$E104))</f>
        <v/>
      </c>
      <c r="D104" s="5">
        <f>IF($E104="","",INDEX('Input Transaksi'!$F:$F,$E104))</f>
        <v/>
      </c>
      <c r="E104">
        <f>IFERROR(AGGREGATE(15,6,ROW('Input Transaksi'!$B$5:$B$5000)/('Input Transaksi'!$B$5:$B$5000="MONANG MANING"),ROWS($E$5:E104)),"")</f>
        <v/>
      </c>
      <c r="F104" s="5" t="n"/>
    </row>
    <row r="105">
      <c r="A105" s="10">
        <f>IF($E105="","",INDEX('Input Transaksi'!$A:$A,$E105))</f>
        <v/>
      </c>
      <c r="B105" s="5">
        <f>IF($E105="","",INDEX('Input Transaksi'!$D:$D,$E105))</f>
        <v/>
      </c>
      <c r="C105">
        <f>IF($E105="","",INDEX('Input Transaksi'!$E:$E,$E105))</f>
        <v/>
      </c>
      <c r="D105" s="5">
        <f>IF($E105="","",INDEX('Input Transaksi'!$F:$F,$E105))</f>
        <v/>
      </c>
      <c r="E105">
        <f>IFERROR(AGGREGATE(15,6,ROW('Input Transaksi'!$B$5:$B$5000)/('Input Transaksi'!$B$5:$B$5000="MONANG MANING"),ROWS($E$5:E105)),"")</f>
        <v/>
      </c>
      <c r="F105" s="5" t="n"/>
    </row>
    <row r="106">
      <c r="A106" s="10">
        <f>IF($E106="","",INDEX('Input Transaksi'!$A:$A,$E106))</f>
        <v/>
      </c>
      <c r="B106" s="5">
        <f>IF($E106="","",INDEX('Input Transaksi'!$D:$D,$E106))</f>
        <v/>
      </c>
      <c r="C106">
        <f>IF($E106="","",INDEX('Input Transaksi'!$E:$E,$E106))</f>
        <v/>
      </c>
      <c r="D106" s="5">
        <f>IF($E106="","",INDEX('Input Transaksi'!$F:$F,$E106))</f>
        <v/>
      </c>
      <c r="E106">
        <f>IFERROR(AGGREGATE(15,6,ROW('Input Transaksi'!$B$5:$B$5000)/('Input Transaksi'!$B$5:$B$5000="MONANG MANING"),ROWS($E$5:E106)),"")</f>
        <v/>
      </c>
      <c r="F106" s="5" t="n"/>
    </row>
    <row r="107">
      <c r="A107" s="10">
        <f>IF($E107="","",INDEX('Input Transaksi'!$A:$A,$E107))</f>
        <v/>
      </c>
      <c r="B107" s="5">
        <f>IF($E107="","",INDEX('Input Transaksi'!$D:$D,$E107))</f>
        <v/>
      </c>
      <c r="C107">
        <f>IF($E107="","",INDEX('Input Transaksi'!$E:$E,$E107))</f>
        <v/>
      </c>
      <c r="D107" s="5">
        <f>IF($E107="","",INDEX('Input Transaksi'!$F:$F,$E107))</f>
        <v/>
      </c>
      <c r="E107">
        <f>IFERROR(AGGREGATE(15,6,ROW('Input Transaksi'!$B$5:$B$5000)/('Input Transaksi'!$B$5:$B$5000="MONANG MANING"),ROWS($E$5:E107)),"")</f>
        <v/>
      </c>
      <c r="F107" s="5" t="n"/>
    </row>
    <row r="108">
      <c r="A108" s="10">
        <f>IF($E108="","",INDEX('Input Transaksi'!$A:$A,$E108))</f>
        <v/>
      </c>
      <c r="B108" s="5">
        <f>IF($E108="","",INDEX('Input Transaksi'!$D:$D,$E108))</f>
        <v/>
      </c>
      <c r="C108">
        <f>IF($E108="","",INDEX('Input Transaksi'!$E:$E,$E108))</f>
        <v/>
      </c>
      <c r="D108" s="5">
        <f>IF($E108="","",INDEX('Input Transaksi'!$F:$F,$E108))</f>
        <v/>
      </c>
      <c r="E108">
        <f>IFERROR(AGGREGATE(15,6,ROW('Input Transaksi'!$B$5:$B$5000)/('Input Transaksi'!$B$5:$B$5000="MONANG MANING"),ROWS($E$5:E108)),"")</f>
        <v/>
      </c>
      <c r="F108" s="5" t="n"/>
    </row>
    <row r="109">
      <c r="A109" s="10">
        <f>IF($E109="","",INDEX('Input Transaksi'!$A:$A,$E109))</f>
        <v/>
      </c>
      <c r="B109" s="5">
        <f>IF($E109="","",INDEX('Input Transaksi'!$D:$D,$E109))</f>
        <v/>
      </c>
      <c r="C109">
        <f>IF($E109="","",INDEX('Input Transaksi'!$E:$E,$E109))</f>
        <v/>
      </c>
      <c r="D109" s="5">
        <f>IF($E109="","",INDEX('Input Transaksi'!$F:$F,$E109))</f>
        <v/>
      </c>
      <c r="E109">
        <f>IFERROR(AGGREGATE(15,6,ROW('Input Transaksi'!$B$5:$B$5000)/('Input Transaksi'!$B$5:$B$5000="MONANG MANING"),ROWS($E$5:E109)),"")</f>
        <v/>
      </c>
      <c r="F109" s="5" t="n"/>
    </row>
    <row r="110">
      <c r="A110" s="10">
        <f>IF($E110="","",INDEX('Input Transaksi'!$A:$A,$E110))</f>
        <v/>
      </c>
      <c r="B110" s="5">
        <f>IF($E110="","",INDEX('Input Transaksi'!$D:$D,$E110))</f>
        <v/>
      </c>
      <c r="C110">
        <f>IF($E110="","",INDEX('Input Transaksi'!$E:$E,$E110))</f>
        <v/>
      </c>
      <c r="D110" s="5">
        <f>IF($E110="","",INDEX('Input Transaksi'!$F:$F,$E110))</f>
        <v/>
      </c>
      <c r="E110">
        <f>IFERROR(AGGREGATE(15,6,ROW('Input Transaksi'!$B$5:$B$5000)/('Input Transaksi'!$B$5:$B$5000="MONANG MANING"),ROWS($E$5:E110)),"")</f>
        <v/>
      </c>
      <c r="F110" s="5" t="n"/>
    </row>
    <row r="111">
      <c r="A111" s="10">
        <f>IF($E111="","",INDEX('Input Transaksi'!$A:$A,$E111))</f>
        <v/>
      </c>
      <c r="B111" s="5">
        <f>IF($E111="","",INDEX('Input Transaksi'!$D:$D,$E111))</f>
        <v/>
      </c>
      <c r="C111">
        <f>IF($E111="","",INDEX('Input Transaksi'!$E:$E,$E111))</f>
        <v/>
      </c>
      <c r="D111" s="5">
        <f>IF($E111="","",INDEX('Input Transaksi'!$F:$F,$E111))</f>
        <v/>
      </c>
      <c r="E111">
        <f>IFERROR(AGGREGATE(15,6,ROW('Input Transaksi'!$B$5:$B$5000)/('Input Transaksi'!$B$5:$B$5000="MONANG MANING"),ROWS($E$5:E111)),"")</f>
        <v/>
      </c>
      <c r="F111" s="5" t="n"/>
    </row>
    <row r="112">
      <c r="A112" s="10">
        <f>IF($E112="","",INDEX('Input Transaksi'!$A:$A,$E112))</f>
        <v/>
      </c>
      <c r="B112" s="5">
        <f>IF($E112="","",INDEX('Input Transaksi'!$D:$D,$E112))</f>
        <v/>
      </c>
      <c r="C112">
        <f>IF($E112="","",INDEX('Input Transaksi'!$E:$E,$E112))</f>
        <v/>
      </c>
      <c r="D112" s="5">
        <f>IF($E112="","",INDEX('Input Transaksi'!$F:$F,$E112))</f>
        <v/>
      </c>
      <c r="E112">
        <f>IFERROR(AGGREGATE(15,6,ROW('Input Transaksi'!$B$5:$B$5000)/('Input Transaksi'!$B$5:$B$5000="MONANG MANING"),ROWS($E$5:E112)),"")</f>
        <v/>
      </c>
      <c r="F112" s="5" t="n"/>
    </row>
    <row r="113">
      <c r="A113" s="10">
        <f>IF($E113="","",INDEX('Input Transaksi'!$A:$A,$E113))</f>
        <v/>
      </c>
      <c r="B113" s="5">
        <f>IF($E113="","",INDEX('Input Transaksi'!$D:$D,$E113))</f>
        <v/>
      </c>
      <c r="C113">
        <f>IF($E113="","",INDEX('Input Transaksi'!$E:$E,$E113))</f>
        <v/>
      </c>
      <c r="D113" s="5">
        <f>IF($E113="","",INDEX('Input Transaksi'!$F:$F,$E113))</f>
        <v/>
      </c>
      <c r="E113">
        <f>IFERROR(AGGREGATE(15,6,ROW('Input Transaksi'!$B$5:$B$5000)/('Input Transaksi'!$B$5:$B$5000="MONANG MANING"),ROWS($E$5:E113)),"")</f>
        <v/>
      </c>
      <c r="F113" s="5" t="n"/>
    </row>
    <row r="114">
      <c r="A114" s="10">
        <f>IF($E114="","",INDEX('Input Transaksi'!$A:$A,$E114))</f>
        <v/>
      </c>
      <c r="B114" s="5">
        <f>IF($E114="","",INDEX('Input Transaksi'!$D:$D,$E114))</f>
        <v/>
      </c>
      <c r="C114">
        <f>IF($E114="","",INDEX('Input Transaksi'!$E:$E,$E114))</f>
        <v/>
      </c>
      <c r="D114" s="5">
        <f>IF($E114="","",INDEX('Input Transaksi'!$F:$F,$E114))</f>
        <v/>
      </c>
      <c r="E114">
        <f>IFERROR(AGGREGATE(15,6,ROW('Input Transaksi'!$B$5:$B$5000)/('Input Transaksi'!$B$5:$B$5000="MONANG MANING"),ROWS($E$5:E114)),"")</f>
        <v/>
      </c>
      <c r="F114" s="5" t="n"/>
    </row>
    <row r="115">
      <c r="A115" s="10">
        <f>IF($E115="","",INDEX('Input Transaksi'!$A:$A,$E115))</f>
        <v/>
      </c>
      <c r="B115" s="5">
        <f>IF($E115="","",INDEX('Input Transaksi'!$D:$D,$E115))</f>
        <v/>
      </c>
      <c r="C115">
        <f>IF($E115="","",INDEX('Input Transaksi'!$E:$E,$E115))</f>
        <v/>
      </c>
      <c r="D115" s="5">
        <f>IF($E115="","",INDEX('Input Transaksi'!$F:$F,$E115))</f>
        <v/>
      </c>
      <c r="E115">
        <f>IFERROR(AGGREGATE(15,6,ROW('Input Transaksi'!$B$5:$B$5000)/('Input Transaksi'!$B$5:$B$5000="MONANG MANING"),ROWS($E$5:E115)),"")</f>
        <v/>
      </c>
      <c r="F115" s="5" t="n"/>
    </row>
    <row r="116">
      <c r="A116" s="10">
        <f>IF($E116="","",INDEX('Input Transaksi'!$A:$A,$E116))</f>
        <v/>
      </c>
      <c r="B116" s="5">
        <f>IF($E116="","",INDEX('Input Transaksi'!$D:$D,$E116))</f>
        <v/>
      </c>
      <c r="C116">
        <f>IF($E116="","",INDEX('Input Transaksi'!$E:$E,$E116))</f>
        <v/>
      </c>
      <c r="D116" s="5">
        <f>IF($E116="","",INDEX('Input Transaksi'!$F:$F,$E116))</f>
        <v/>
      </c>
      <c r="E116">
        <f>IFERROR(AGGREGATE(15,6,ROW('Input Transaksi'!$B$5:$B$5000)/('Input Transaksi'!$B$5:$B$5000="MONANG MANING"),ROWS($E$5:E116)),"")</f>
        <v/>
      </c>
      <c r="F116" s="5" t="n"/>
    </row>
    <row r="117">
      <c r="A117" s="10">
        <f>IF($E117="","",INDEX('Input Transaksi'!$A:$A,$E117))</f>
        <v/>
      </c>
      <c r="B117" s="5">
        <f>IF($E117="","",INDEX('Input Transaksi'!$D:$D,$E117))</f>
        <v/>
      </c>
      <c r="C117">
        <f>IF($E117="","",INDEX('Input Transaksi'!$E:$E,$E117))</f>
        <v/>
      </c>
      <c r="D117" s="5">
        <f>IF($E117="","",INDEX('Input Transaksi'!$F:$F,$E117))</f>
        <v/>
      </c>
      <c r="E117">
        <f>IFERROR(AGGREGATE(15,6,ROW('Input Transaksi'!$B$5:$B$5000)/('Input Transaksi'!$B$5:$B$5000="MONANG MANING"),ROWS($E$5:E117)),"")</f>
        <v/>
      </c>
      <c r="F117" s="5" t="n"/>
    </row>
    <row r="118">
      <c r="A118" s="10">
        <f>IF($E118="","",INDEX('Input Transaksi'!$A:$A,$E118))</f>
        <v/>
      </c>
      <c r="B118" s="5">
        <f>IF($E118="","",INDEX('Input Transaksi'!$D:$D,$E118))</f>
        <v/>
      </c>
      <c r="C118">
        <f>IF($E118="","",INDEX('Input Transaksi'!$E:$E,$E118))</f>
        <v/>
      </c>
      <c r="D118" s="5">
        <f>IF($E118="","",INDEX('Input Transaksi'!$F:$F,$E118))</f>
        <v/>
      </c>
      <c r="E118">
        <f>IFERROR(AGGREGATE(15,6,ROW('Input Transaksi'!$B$5:$B$5000)/('Input Transaksi'!$B$5:$B$5000="MONANG MANING"),ROWS($E$5:E118)),"")</f>
        <v/>
      </c>
      <c r="F118" s="5" t="n"/>
    </row>
    <row r="119">
      <c r="A119" s="10">
        <f>IF($E119="","",INDEX('Input Transaksi'!$A:$A,$E119))</f>
        <v/>
      </c>
      <c r="B119" s="5">
        <f>IF($E119="","",INDEX('Input Transaksi'!$D:$D,$E119))</f>
        <v/>
      </c>
      <c r="C119">
        <f>IF($E119="","",INDEX('Input Transaksi'!$E:$E,$E119))</f>
        <v/>
      </c>
      <c r="D119" s="5">
        <f>IF($E119="","",INDEX('Input Transaksi'!$F:$F,$E119))</f>
        <v/>
      </c>
      <c r="E119">
        <f>IFERROR(AGGREGATE(15,6,ROW('Input Transaksi'!$B$5:$B$5000)/('Input Transaksi'!$B$5:$B$5000="MONANG MANING"),ROWS($E$5:E119)),"")</f>
        <v/>
      </c>
      <c r="F119" s="5" t="n"/>
    </row>
    <row r="120">
      <c r="A120" s="10">
        <f>IF($E120="","",INDEX('Input Transaksi'!$A:$A,$E120))</f>
        <v/>
      </c>
      <c r="B120" s="5">
        <f>IF($E120="","",INDEX('Input Transaksi'!$D:$D,$E120))</f>
        <v/>
      </c>
      <c r="C120">
        <f>IF($E120="","",INDEX('Input Transaksi'!$E:$E,$E120))</f>
        <v/>
      </c>
      <c r="D120" s="5">
        <f>IF($E120="","",INDEX('Input Transaksi'!$F:$F,$E120))</f>
        <v/>
      </c>
      <c r="E120">
        <f>IFERROR(AGGREGATE(15,6,ROW('Input Transaksi'!$B$5:$B$5000)/('Input Transaksi'!$B$5:$B$5000="MONANG MANING"),ROWS($E$5:E120)),"")</f>
        <v/>
      </c>
      <c r="F120" s="5" t="n"/>
    </row>
    <row r="121">
      <c r="A121" s="10">
        <f>IF($E121="","",INDEX('Input Transaksi'!$A:$A,$E121))</f>
        <v/>
      </c>
      <c r="B121" s="5">
        <f>IF($E121="","",INDEX('Input Transaksi'!$D:$D,$E121))</f>
        <v/>
      </c>
      <c r="C121">
        <f>IF($E121="","",INDEX('Input Transaksi'!$E:$E,$E121))</f>
        <v/>
      </c>
      <c r="D121" s="5">
        <f>IF($E121="","",INDEX('Input Transaksi'!$F:$F,$E121))</f>
        <v/>
      </c>
      <c r="E121">
        <f>IFERROR(AGGREGATE(15,6,ROW('Input Transaksi'!$B$5:$B$5000)/('Input Transaksi'!$B$5:$B$5000="MONANG MANING"),ROWS($E$5:E121)),"")</f>
        <v/>
      </c>
      <c r="F121" s="5" t="n"/>
    </row>
    <row r="122">
      <c r="A122" s="10">
        <f>IF($E122="","",INDEX('Input Transaksi'!$A:$A,$E122))</f>
        <v/>
      </c>
      <c r="B122" s="5">
        <f>IF($E122="","",INDEX('Input Transaksi'!$D:$D,$E122))</f>
        <v/>
      </c>
      <c r="C122">
        <f>IF($E122="","",INDEX('Input Transaksi'!$E:$E,$E122))</f>
        <v/>
      </c>
      <c r="D122" s="5">
        <f>IF($E122="","",INDEX('Input Transaksi'!$F:$F,$E122))</f>
        <v/>
      </c>
      <c r="E122">
        <f>IFERROR(AGGREGATE(15,6,ROW('Input Transaksi'!$B$5:$B$5000)/('Input Transaksi'!$B$5:$B$5000="MONANG MANING"),ROWS($E$5:E122)),"")</f>
        <v/>
      </c>
      <c r="F122" s="5" t="n"/>
    </row>
    <row r="123">
      <c r="A123" s="10">
        <f>IF($E123="","",INDEX('Input Transaksi'!$A:$A,$E123))</f>
        <v/>
      </c>
      <c r="B123" s="5">
        <f>IF($E123="","",INDEX('Input Transaksi'!$D:$D,$E123))</f>
        <v/>
      </c>
      <c r="C123">
        <f>IF($E123="","",INDEX('Input Transaksi'!$E:$E,$E123))</f>
        <v/>
      </c>
      <c r="D123" s="5">
        <f>IF($E123="","",INDEX('Input Transaksi'!$F:$F,$E123))</f>
        <v/>
      </c>
      <c r="E123">
        <f>IFERROR(AGGREGATE(15,6,ROW('Input Transaksi'!$B$5:$B$5000)/('Input Transaksi'!$B$5:$B$5000="MONANG MANING"),ROWS($E$5:E123)),"")</f>
        <v/>
      </c>
      <c r="F123" s="5" t="n"/>
    </row>
    <row r="124">
      <c r="A124" s="10">
        <f>IF($E124="","",INDEX('Input Transaksi'!$A:$A,$E124))</f>
        <v/>
      </c>
      <c r="B124" s="5">
        <f>IF($E124="","",INDEX('Input Transaksi'!$D:$D,$E124))</f>
        <v/>
      </c>
      <c r="C124">
        <f>IF($E124="","",INDEX('Input Transaksi'!$E:$E,$E124))</f>
        <v/>
      </c>
      <c r="D124" s="5">
        <f>IF($E124="","",INDEX('Input Transaksi'!$F:$F,$E124))</f>
        <v/>
      </c>
      <c r="E124">
        <f>IFERROR(AGGREGATE(15,6,ROW('Input Transaksi'!$B$5:$B$5000)/('Input Transaksi'!$B$5:$B$5000="MONANG MANING"),ROWS($E$5:E124)),"")</f>
        <v/>
      </c>
      <c r="F124" s="5" t="n"/>
    </row>
    <row r="125">
      <c r="A125" s="10">
        <f>IF($E125="","",INDEX('Input Transaksi'!$A:$A,$E125))</f>
        <v/>
      </c>
      <c r="B125" s="5">
        <f>IF($E125="","",INDEX('Input Transaksi'!$D:$D,$E125))</f>
        <v/>
      </c>
      <c r="C125">
        <f>IF($E125="","",INDEX('Input Transaksi'!$E:$E,$E125))</f>
        <v/>
      </c>
      <c r="D125" s="5">
        <f>IF($E125="","",INDEX('Input Transaksi'!$F:$F,$E125))</f>
        <v/>
      </c>
      <c r="E125">
        <f>IFERROR(AGGREGATE(15,6,ROW('Input Transaksi'!$B$5:$B$5000)/('Input Transaksi'!$B$5:$B$5000="MONANG MANING"),ROWS($E$5:E125)),"")</f>
        <v/>
      </c>
      <c r="F125" s="5" t="n"/>
    </row>
    <row r="126">
      <c r="A126" s="10">
        <f>IF($E126="","",INDEX('Input Transaksi'!$A:$A,$E126))</f>
        <v/>
      </c>
      <c r="B126" s="5">
        <f>IF($E126="","",INDEX('Input Transaksi'!$D:$D,$E126))</f>
        <v/>
      </c>
      <c r="C126">
        <f>IF($E126="","",INDEX('Input Transaksi'!$E:$E,$E126))</f>
        <v/>
      </c>
      <c r="D126" s="5">
        <f>IF($E126="","",INDEX('Input Transaksi'!$F:$F,$E126))</f>
        <v/>
      </c>
      <c r="E126">
        <f>IFERROR(AGGREGATE(15,6,ROW('Input Transaksi'!$B$5:$B$5000)/('Input Transaksi'!$B$5:$B$5000="MONANG MANING"),ROWS($E$5:E126)),"")</f>
        <v/>
      </c>
      <c r="F126" s="5" t="n"/>
    </row>
    <row r="127">
      <c r="A127" s="10">
        <f>IF($E127="","",INDEX('Input Transaksi'!$A:$A,$E127))</f>
        <v/>
      </c>
      <c r="B127" s="5">
        <f>IF($E127="","",INDEX('Input Transaksi'!$D:$D,$E127))</f>
        <v/>
      </c>
      <c r="C127">
        <f>IF($E127="","",INDEX('Input Transaksi'!$E:$E,$E127))</f>
        <v/>
      </c>
      <c r="D127" s="5">
        <f>IF($E127="","",INDEX('Input Transaksi'!$F:$F,$E127))</f>
        <v/>
      </c>
      <c r="E127">
        <f>IFERROR(AGGREGATE(15,6,ROW('Input Transaksi'!$B$5:$B$5000)/('Input Transaksi'!$B$5:$B$5000="MONANG MANING"),ROWS($E$5:E127)),"")</f>
        <v/>
      </c>
      <c r="F127" s="5" t="n"/>
    </row>
    <row r="128">
      <c r="A128" s="10">
        <f>IF($E128="","",INDEX('Input Transaksi'!$A:$A,$E128))</f>
        <v/>
      </c>
      <c r="B128" s="5">
        <f>IF($E128="","",INDEX('Input Transaksi'!$D:$D,$E128))</f>
        <v/>
      </c>
      <c r="C128">
        <f>IF($E128="","",INDEX('Input Transaksi'!$E:$E,$E128))</f>
        <v/>
      </c>
      <c r="D128" s="5">
        <f>IF($E128="","",INDEX('Input Transaksi'!$F:$F,$E128))</f>
        <v/>
      </c>
      <c r="E128">
        <f>IFERROR(AGGREGATE(15,6,ROW('Input Transaksi'!$B$5:$B$5000)/('Input Transaksi'!$B$5:$B$5000="MONANG MANING"),ROWS($E$5:E128)),"")</f>
        <v/>
      </c>
      <c r="F128" s="5" t="n"/>
    </row>
    <row r="129">
      <c r="A129" s="10">
        <f>IF($E129="","",INDEX('Input Transaksi'!$A:$A,$E129))</f>
        <v/>
      </c>
      <c r="B129" s="5">
        <f>IF($E129="","",INDEX('Input Transaksi'!$D:$D,$E129))</f>
        <v/>
      </c>
      <c r="C129">
        <f>IF($E129="","",INDEX('Input Transaksi'!$E:$E,$E129))</f>
        <v/>
      </c>
      <c r="D129" s="5">
        <f>IF($E129="","",INDEX('Input Transaksi'!$F:$F,$E129))</f>
        <v/>
      </c>
      <c r="E129">
        <f>IFERROR(AGGREGATE(15,6,ROW('Input Transaksi'!$B$5:$B$5000)/('Input Transaksi'!$B$5:$B$5000="MONANG MANING"),ROWS($E$5:E129)),"")</f>
        <v/>
      </c>
      <c r="F129" s="5" t="n"/>
    </row>
    <row r="130">
      <c r="A130" s="10">
        <f>IF($E130="","",INDEX('Input Transaksi'!$A:$A,$E130))</f>
        <v/>
      </c>
      <c r="B130" s="5">
        <f>IF($E130="","",INDEX('Input Transaksi'!$D:$D,$E130))</f>
        <v/>
      </c>
      <c r="C130">
        <f>IF($E130="","",INDEX('Input Transaksi'!$E:$E,$E130))</f>
        <v/>
      </c>
      <c r="D130" s="5">
        <f>IF($E130="","",INDEX('Input Transaksi'!$F:$F,$E130))</f>
        <v/>
      </c>
      <c r="E130">
        <f>IFERROR(AGGREGATE(15,6,ROW('Input Transaksi'!$B$5:$B$5000)/('Input Transaksi'!$B$5:$B$5000="MONANG MANING"),ROWS($E$5:E130)),"")</f>
        <v/>
      </c>
      <c r="F130" s="5" t="n"/>
    </row>
    <row r="131">
      <c r="A131" s="10">
        <f>IF($E131="","",INDEX('Input Transaksi'!$A:$A,$E131))</f>
        <v/>
      </c>
      <c r="B131" s="5">
        <f>IF($E131="","",INDEX('Input Transaksi'!$D:$D,$E131))</f>
        <v/>
      </c>
      <c r="C131">
        <f>IF($E131="","",INDEX('Input Transaksi'!$E:$E,$E131))</f>
        <v/>
      </c>
      <c r="D131" s="5">
        <f>IF($E131="","",INDEX('Input Transaksi'!$F:$F,$E131))</f>
        <v/>
      </c>
      <c r="E131">
        <f>IFERROR(AGGREGATE(15,6,ROW('Input Transaksi'!$B$5:$B$5000)/('Input Transaksi'!$B$5:$B$5000="MONANG MANING"),ROWS($E$5:E131)),"")</f>
        <v/>
      </c>
      <c r="F131" s="5" t="n"/>
    </row>
    <row r="132">
      <c r="A132" s="10">
        <f>IF($E132="","",INDEX('Input Transaksi'!$A:$A,$E132))</f>
        <v/>
      </c>
      <c r="B132" s="5">
        <f>IF($E132="","",INDEX('Input Transaksi'!$D:$D,$E132))</f>
        <v/>
      </c>
      <c r="C132">
        <f>IF($E132="","",INDEX('Input Transaksi'!$E:$E,$E132))</f>
        <v/>
      </c>
      <c r="D132" s="5">
        <f>IF($E132="","",INDEX('Input Transaksi'!$F:$F,$E132))</f>
        <v/>
      </c>
      <c r="E132">
        <f>IFERROR(AGGREGATE(15,6,ROW('Input Transaksi'!$B$5:$B$5000)/('Input Transaksi'!$B$5:$B$5000="MONANG MANING"),ROWS($E$5:E132)),"")</f>
        <v/>
      </c>
      <c r="F132" s="5" t="n"/>
    </row>
    <row r="133">
      <c r="A133" s="10">
        <f>IF($E133="","",INDEX('Input Transaksi'!$A:$A,$E133))</f>
        <v/>
      </c>
      <c r="B133" s="5">
        <f>IF($E133="","",INDEX('Input Transaksi'!$D:$D,$E133))</f>
        <v/>
      </c>
      <c r="C133">
        <f>IF($E133="","",INDEX('Input Transaksi'!$E:$E,$E133))</f>
        <v/>
      </c>
      <c r="D133" s="5">
        <f>IF($E133="","",INDEX('Input Transaksi'!$F:$F,$E133))</f>
        <v/>
      </c>
      <c r="E133">
        <f>IFERROR(AGGREGATE(15,6,ROW('Input Transaksi'!$B$5:$B$5000)/('Input Transaksi'!$B$5:$B$5000="MONANG MANING"),ROWS($E$5:E133)),"")</f>
        <v/>
      </c>
      <c r="F133" s="5" t="n"/>
    </row>
    <row r="134">
      <c r="A134" s="10">
        <f>IF($E134="","",INDEX('Input Transaksi'!$A:$A,$E134))</f>
        <v/>
      </c>
      <c r="B134" s="5">
        <f>IF($E134="","",INDEX('Input Transaksi'!$D:$D,$E134))</f>
        <v/>
      </c>
      <c r="C134">
        <f>IF($E134="","",INDEX('Input Transaksi'!$E:$E,$E134))</f>
        <v/>
      </c>
      <c r="D134" s="5">
        <f>IF($E134="","",INDEX('Input Transaksi'!$F:$F,$E134))</f>
        <v/>
      </c>
      <c r="E134">
        <f>IFERROR(AGGREGATE(15,6,ROW('Input Transaksi'!$B$5:$B$5000)/('Input Transaksi'!$B$5:$B$5000="MONANG MANING"),ROWS($E$5:E134)),"")</f>
        <v/>
      </c>
      <c r="F134" s="5" t="n"/>
    </row>
    <row r="135">
      <c r="A135" s="10">
        <f>IF($E135="","",INDEX('Input Transaksi'!$A:$A,$E135))</f>
        <v/>
      </c>
      <c r="B135" s="5">
        <f>IF($E135="","",INDEX('Input Transaksi'!$D:$D,$E135))</f>
        <v/>
      </c>
      <c r="C135">
        <f>IF($E135="","",INDEX('Input Transaksi'!$E:$E,$E135))</f>
        <v/>
      </c>
      <c r="D135" s="5">
        <f>IF($E135="","",INDEX('Input Transaksi'!$F:$F,$E135))</f>
        <v/>
      </c>
      <c r="E135">
        <f>IFERROR(AGGREGATE(15,6,ROW('Input Transaksi'!$B$5:$B$5000)/('Input Transaksi'!$B$5:$B$5000="MONANG MANING"),ROWS($E$5:E135)),"")</f>
        <v/>
      </c>
      <c r="F135" s="5" t="n"/>
    </row>
    <row r="136">
      <c r="A136" s="10">
        <f>IF($E136="","",INDEX('Input Transaksi'!$A:$A,$E136))</f>
        <v/>
      </c>
      <c r="B136" s="5">
        <f>IF($E136="","",INDEX('Input Transaksi'!$D:$D,$E136))</f>
        <v/>
      </c>
      <c r="C136">
        <f>IF($E136="","",INDEX('Input Transaksi'!$E:$E,$E136))</f>
        <v/>
      </c>
      <c r="D136" s="5">
        <f>IF($E136="","",INDEX('Input Transaksi'!$F:$F,$E136))</f>
        <v/>
      </c>
      <c r="E136">
        <f>IFERROR(AGGREGATE(15,6,ROW('Input Transaksi'!$B$5:$B$5000)/('Input Transaksi'!$B$5:$B$5000="MONANG MANING"),ROWS($E$5:E136)),"")</f>
        <v/>
      </c>
      <c r="F136" s="5" t="n"/>
    </row>
    <row r="137">
      <c r="A137" s="10">
        <f>IF($E137="","",INDEX('Input Transaksi'!$A:$A,$E137))</f>
        <v/>
      </c>
      <c r="B137" s="5">
        <f>IF($E137="","",INDEX('Input Transaksi'!$D:$D,$E137))</f>
        <v/>
      </c>
      <c r="C137">
        <f>IF($E137="","",INDEX('Input Transaksi'!$E:$E,$E137))</f>
        <v/>
      </c>
      <c r="D137" s="5">
        <f>IF($E137="","",INDEX('Input Transaksi'!$F:$F,$E137))</f>
        <v/>
      </c>
      <c r="E137">
        <f>IFERROR(AGGREGATE(15,6,ROW('Input Transaksi'!$B$5:$B$5000)/('Input Transaksi'!$B$5:$B$5000="MONANG MANING"),ROWS($E$5:E137)),"")</f>
        <v/>
      </c>
      <c r="F137" s="5" t="n"/>
    </row>
    <row r="138">
      <c r="A138" s="10">
        <f>IF($E138="","",INDEX('Input Transaksi'!$A:$A,$E138))</f>
        <v/>
      </c>
      <c r="B138" s="5">
        <f>IF($E138="","",INDEX('Input Transaksi'!$D:$D,$E138))</f>
        <v/>
      </c>
      <c r="C138">
        <f>IF($E138="","",INDEX('Input Transaksi'!$E:$E,$E138))</f>
        <v/>
      </c>
      <c r="D138" s="5">
        <f>IF($E138="","",INDEX('Input Transaksi'!$F:$F,$E138))</f>
        <v/>
      </c>
      <c r="E138">
        <f>IFERROR(AGGREGATE(15,6,ROW('Input Transaksi'!$B$5:$B$5000)/('Input Transaksi'!$B$5:$B$5000="MONANG MANING"),ROWS($E$5:E138)),"")</f>
        <v/>
      </c>
      <c r="F138" s="5" t="n"/>
    </row>
    <row r="139">
      <c r="A139" s="10">
        <f>IF($E139="","",INDEX('Input Transaksi'!$A:$A,$E139))</f>
        <v/>
      </c>
      <c r="B139" s="5">
        <f>IF($E139="","",INDEX('Input Transaksi'!$D:$D,$E139))</f>
        <v/>
      </c>
      <c r="C139">
        <f>IF($E139="","",INDEX('Input Transaksi'!$E:$E,$E139))</f>
        <v/>
      </c>
      <c r="D139" s="5">
        <f>IF($E139="","",INDEX('Input Transaksi'!$F:$F,$E139))</f>
        <v/>
      </c>
      <c r="E139">
        <f>IFERROR(AGGREGATE(15,6,ROW('Input Transaksi'!$B$5:$B$5000)/('Input Transaksi'!$B$5:$B$5000="MONANG MANING"),ROWS($E$5:E139)),"")</f>
        <v/>
      </c>
      <c r="F139" s="5" t="n"/>
    </row>
    <row r="140">
      <c r="A140" s="10">
        <f>IF($E140="","",INDEX('Input Transaksi'!$A:$A,$E140))</f>
        <v/>
      </c>
      <c r="B140" s="5">
        <f>IF($E140="","",INDEX('Input Transaksi'!$D:$D,$E140))</f>
        <v/>
      </c>
      <c r="C140">
        <f>IF($E140="","",INDEX('Input Transaksi'!$E:$E,$E140))</f>
        <v/>
      </c>
      <c r="D140" s="5">
        <f>IF($E140="","",INDEX('Input Transaksi'!$F:$F,$E140))</f>
        <v/>
      </c>
      <c r="E140">
        <f>IFERROR(AGGREGATE(15,6,ROW('Input Transaksi'!$B$5:$B$5000)/('Input Transaksi'!$B$5:$B$5000="MONANG MANING"),ROWS($E$5:E140)),"")</f>
        <v/>
      </c>
      <c r="F140" s="5" t="n"/>
    </row>
    <row r="141">
      <c r="A141" s="10">
        <f>IF($E141="","",INDEX('Input Transaksi'!$A:$A,$E141))</f>
        <v/>
      </c>
      <c r="B141" s="5">
        <f>IF($E141="","",INDEX('Input Transaksi'!$D:$D,$E141))</f>
        <v/>
      </c>
      <c r="C141">
        <f>IF($E141="","",INDEX('Input Transaksi'!$E:$E,$E141))</f>
        <v/>
      </c>
      <c r="D141" s="5">
        <f>IF($E141="","",INDEX('Input Transaksi'!$F:$F,$E141))</f>
        <v/>
      </c>
      <c r="E141">
        <f>IFERROR(AGGREGATE(15,6,ROW('Input Transaksi'!$B$5:$B$5000)/('Input Transaksi'!$B$5:$B$5000="MONANG MANING"),ROWS($E$5:E141)),"")</f>
        <v/>
      </c>
      <c r="F141" s="5" t="n"/>
    </row>
    <row r="142">
      <c r="A142" s="10">
        <f>IF($E142="","",INDEX('Input Transaksi'!$A:$A,$E142))</f>
        <v/>
      </c>
      <c r="B142" s="5">
        <f>IF($E142="","",INDEX('Input Transaksi'!$D:$D,$E142))</f>
        <v/>
      </c>
      <c r="C142">
        <f>IF($E142="","",INDEX('Input Transaksi'!$E:$E,$E142))</f>
        <v/>
      </c>
      <c r="D142" s="5">
        <f>IF($E142="","",INDEX('Input Transaksi'!$F:$F,$E142))</f>
        <v/>
      </c>
      <c r="E142">
        <f>IFERROR(AGGREGATE(15,6,ROW('Input Transaksi'!$B$5:$B$5000)/('Input Transaksi'!$B$5:$B$5000="MONANG MANING"),ROWS($E$5:E142)),"")</f>
        <v/>
      </c>
      <c r="F142" s="5" t="n"/>
    </row>
    <row r="143">
      <c r="A143" s="10">
        <f>IF($E143="","",INDEX('Input Transaksi'!$A:$A,$E143))</f>
        <v/>
      </c>
      <c r="B143" s="5">
        <f>IF($E143="","",INDEX('Input Transaksi'!$D:$D,$E143))</f>
        <v/>
      </c>
      <c r="C143">
        <f>IF($E143="","",INDEX('Input Transaksi'!$E:$E,$E143))</f>
        <v/>
      </c>
      <c r="D143" s="5">
        <f>IF($E143="","",INDEX('Input Transaksi'!$F:$F,$E143))</f>
        <v/>
      </c>
      <c r="E143">
        <f>IFERROR(AGGREGATE(15,6,ROW('Input Transaksi'!$B$5:$B$5000)/('Input Transaksi'!$B$5:$B$5000="MONANG MANING"),ROWS($E$5:E143)),"")</f>
        <v/>
      </c>
      <c r="F143" s="5" t="n"/>
    </row>
    <row r="144">
      <c r="A144" s="10">
        <f>IF($E144="","",INDEX('Input Transaksi'!$A:$A,$E144))</f>
        <v/>
      </c>
      <c r="B144" s="5">
        <f>IF($E144="","",INDEX('Input Transaksi'!$D:$D,$E144))</f>
        <v/>
      </c>
      <c r="C144">
        <f>IF($E144="","",INDEX('Input Transaksi'!$E:$E,$E144))</f>
        <v/>
      </c>
      <c r="D144" s="5">
        <f>IF($E144="","",INDEX('Input Transaksi'!$F:$F,$E144))</f>
        <v/>
      </c>
      <c r="E144">
        <f>IFERROR(AGGREGATE(15,6,ROW('Input Transaksi'!$B$5:$B$5000)/('Input Transaksi'!$B$5:$B$5000="MONANG MANING"),ROWS($E$5:E144)),"")</f>
        <v/>
      </c>
      <c r="F144" s="5" t="n"/>
    </row>
    <row r="145">
      <c r="A145" s="10">
        <f>IF($E145="","",INDEX('Input Transaksi'!$A:$A,$E145))</f>
        <v/>
      </c>
      <c r="B145" s="5">
        <f>IF($E145="","",INDEX('Input Transaksi'!$D:$D,$E145))</f>
        <v/>
      </c>
      <c r="C145">
        <f>IF($E145="","",INDEX('Input Transaksi'!$E:$E,$E145))</f>
        <v/>
      </c>
      <c r="D145" s="5">
        <f>IF($E145="","",INDEX('Input Transaksi'!$F:$F,$E145))</f>
        <v/>
      </c>
      <c r="E145">
        <f>IFERROR(AGGREGATE(15,6,ROW('Input Transaksi'!$B$5:$B$5000)/('Input Transaksi'!$B$5:$B$5000="MONANG MANING"),ROWS($E$5:E145)),"")</f>
        <v/>
      </c>
      <c r="F145" s="5" t="n"/>
    </row>
    <row r="146">
      <c r="A146" s="10">
        <f>IF($E146="","",INDEX('Input Transaksi'!$A:$A,$E146))</f>
        <v/>
      </c>
      <c r="B146" s="5">
        <f>IF($E146="","",INDEX('Input Transaksi'!$D:$D,$E146))</f>
        <v/>
      </c>
      <c r="C146">
        <f>IF($E146="","",INDEX('Input Transaksi'!$E:$E,$E146))</f>
        <v/>
      </c>
      <c r="D146" s="5">
        <f>IF($E146="","",INDEX('Input Transaksi'!$F:$F,$E146))</f>
        <v/>
      </c>
      <c r="E146">
        <f>IFERROR(AGGREGATE(15,6,ROW('Input Transaksi'!$B$5:$B$5000)/('Input Transaksi'!$B$5:$B$5000="MONANG MANING"),ROWS($E$5:E146)),"")</f>
        <v/>
      </c>
      <c r="F146" s="5" t="n"/>
    </row>
    <row r="147">
      <c r="A147" s="10">
        <f>IF($E147="","",INDEX('Input Transaksi'!$A:$A,$E147))</f>
        <v/>
      </c>
      <c r="B147" s="5">
        <f>IF($E147="","",INDEX('Input Transaksi'!$D:$D,$E147))</f>
        <v/>
      </c>
      <c r="C147">
        <f>IF($E147="","",INDEX('Input Transaksi'!$E:$E,$E147))</f>
        <v/>
      </c>
      <c r="D147" s="5">
        <f>IF($E147="","",INDEX('Input Transaksi'!$F:$F,$E147))</f>
        <v/>
      </c>
      <c r="E147">
        <f>IFERROR(AGGREGATE(15,6,ROW('Input Transaksi'!$B$5:$B$5000)/('Input Transaksi'!$B$5:$B$5000="MONANG MANING"),ROWS($E$5:E147)),"")</f>
        <v/>
      </c>
      <c r="F147" s="5" t="n"/>
    </row>
    <row r="148">
      <c r="A148" s="10">
        <f>IF($E148="","",INDEX('Input Transaksi'!$A:$A,$E148))</f>
        <v/>
      </c>
      <c r="B148" s="5">
        <f>IF($E148="","",INDEX('Input Transaksi'!$D:$D,$E148))</f>
        <v/>
      </c>
      <c r="C148">
        <f>IF($E148="","",INDEX('Input Transaksi'!$E:$E,$E148))</f>
        <v/>
      </c>
      <c r="D148" s="5">
        <f>IF($E148="","",INDEX('Input Transaksi'!$F:$F,$E148))</f>
        <v/>
      </c>
      <c r="E148">
        <f>IFERROR(AGGREGATE(15,6,ROW('Input Transaksi'!$B$5:$B$5000)/('Input Transaksi'!$B$5:$B$5000="MONANG MANING"),ROWS($E$5:E148)),"")</f>
        <v/>
      </c>
      <c r="F148" s="5" t="n"/>
    </row>
    <row r="149">
      <c r="A149" s="10">
        <f>IF($E149="","",INDEX('Input Transaksi'!$A:$A,$E149))</f>
        <v/>
      </c>
      <c r="B149" s="5">
        <f>IF($E149="","",INDEX('Input Transaksi'!$D:$D,$E149))</f>
        <v/>
      </c>
      <c r="C149">
        <f>IF($E149="","",INDEX('Input Transaksi'!$E:$E,$E149))</f>
        <v/>
      </c>
      <c r="D149" s="5">
        <f>IF($E149="","",INDEX('Input Transaksi'!$F:$F,$E149))</f>
        <v/>
      </c>
      <c r="E149">
        <f>IFERROR(AGGREGATE(15,6,ROW('Input Transaksi'!$B$5:$B$5000)/('Input Transaksi'!$B$5:$B$5000="MONANG MANING"),ROWS($E$5:E149)),"")</f>
        <v/>
      </c>
      <c r="F149" s="5" t="n"/>
    </row>
    <row r="150">
      <c r="A150" s="10">
        <f>IF($E150="","",INDEX('Input Transaksi'!$A:$A,$E150))</f>
        <v/>
      </c>
      <c r="B150" s="5">
        <f>IF($E150="","",INDEX('Input Transaksi'!$D:$D,$E150))</f>
        <v/>
      </c>
      <c r="C150">
        <f>IF($E150="","",INDEX('Input Transaksi'!$E:$E,$E150))</f>
        <v/>
      </c>
      <c r="D150" s="5">
        <f>IF($E150="","",INDEX('Input Transaksi'!$F:$F,$E150))</f>
        <v/>
      </c>
      <c r="E150">
        <f>IFERROR(AGGREGATE(15,6,ROW('Input Transaksi'!$B$5:$B$5000)/('Input Transaksi'!$B$5:$B$5000="MONANG MANING"),ROWS($E$5:E150)),"")</f>
        <v/>
      </c>
      <c r="F150" s="5" t="n"/>
    </row>
    <row r="151">
      <c r="A151" s="10">
        <f>IF($E151="","",INDEX('Input Transaksi'!$A:$A,$E151))</f>
        <v/>
      </c>
      <c r="B151" s="5">
        <f>IF($E151="","",INDEX('Input Transaksi'!$D:$D,$E151))</f>
        <v/>
      </c>
      <c r="C151">
        <f>IF($E151="","",INDEX('Input Transaksi'!$E:$E,$E151))</f>
        <v/>
      </c>
      <c r="D151" s="5">
        <f>IF($E151="","",INDEX('Input Transaksi'!$F:$F,$E151))</f>
        <v/>
      </c>
      <c r="E151">
        <f>IFERROR(AGGREGATE(15,6,ROW('Input Transaksi'!$B$5:$B$5000)/('Input Transaksi'!$B$5:$B$5000="MONANG MANING"),ROWS($E$5:E151)),"")</f>
        <v/>
      </c>
      <c r="F151" s="5" t="n"/>
    </row>
    <row r="152">
      <c r="A152" s="10">
        <f>IF($E152="","",INDEX('Input Transaksi'!$A:$A,$E152))</f>
        <v/>
      </c>
      <c r="B152" s="5">
        <f>IF($E152="","",INDEX('Input Transaksi'!$D:$D,$E152))</f>
        <v/>
      </c>
      <c r="C152">
        <f>IF($E152="","",INDEX('Input Transaksi'!$E:$E,$E152))</f>
        <v/>
      </c>
      <c r="D152" s="5">
        <f>IF($E152="","",INDEX('Input Transaksi'!$F:$F,$E152))</f>
        <v/>
      </c>
      <c r="E152">
        <f>IFERROR(AGGREGATE(15,6,ROW('Input Transaksi'!$B$5:$B$5000)/('Input Transaksi'!$B$5:$B$5000="MONANG MANING"),ROWS($E$5:E152)),"")</f>
        <v/>
      </c>
      <c r="F152" s="5" t="n"/>
    </row>
    <row r="153">
      <c r="A153" s="10">
        <f>IF($E153="","",INDEX('Input Transaksi'!$A:$A,$E153))</f>
        <v/>
      </c>
      <c r="B153" s="5">
        <f>IF($E153="","",INDEX('Input Transaksi'!$D:$D,$E153))</f>
        <v/>
      </c>
      <c r="C153">
        <f>IF($E153="","",INDEX('Input Transaksi'!$E:$E,$E153))</f>
        <v/>
      </c>
      <c r="D153" s="5">
        <f>IF($E153="","",INDEX('Input Transaksi'!$F:$F,$E153))</f>
        <v/>
      </c>
      <c r="E153">
        <f>IFERROR(AGGREGATE(15,6,ROW('Input Transaksi'!$B$5:$B$5000)/('Input Transaksi'!$B$5:$B$5000="MONANG MANING"),ROWS($E$5:E153)),"")</f>
        <v/>
      </c>
      <c r="F153" s="5" t="n"/>
    </row>
    <row r="154">
      <c r="A154" s="10">
        <f>IF($E154="","",INDEX('Input Transaksi'!$A:$A,$E154))</f>
        <v/>
      </c>
      <c r="B154" s="5">
        <f>IF($E154="","",INDEX('Input Transaksi'!$D:$D,$E154))</f>
        <v/>
      </c>
      <c r="C154">
        <f>IF($E154="","",INDEX('Input Transaksi'!$E:$E,$E154))</f>
        <v/>
      </c>
      <c r="D154" s="5">
        <f>IF($E154="","",INDEX('Input Transaksi'!$F:$F,$E154))</f>
        <v/>
      </c>
      <c r="E154">
        <f>IFERROR(AGGREGATE(15,6,ROW('Input Transaksi'!$B$5:$B$5000)/('Input Transaksi'!$B$5:$B$5000="MONANG MANING"),ROWS($E$5:E154)),"")</f>
        <v/>
      </c>
      <c r="F154" s="5" t="n"/>
    </row>
    <row r="155">
      <c r="A155" s="10">
        <f>IF($E155="","",INDEX('Input Transaksi'!$A:$A,$E155))</f>
        <v/>
      </c>
      <c r="B155" s="5">
        <f>IF($E155="","",INDEX('Input Transaksi'!$D:$D,$E155))</f>
        <v/>
      </c>
      <c r="C155">
        <f>IF($E155="","",INDEX('Input Transaksi'!$E:$E,$E155))</f>
        <v/>
      </c>
      <c r="D155" s="5">
        <f>IF($E155="","",INDEX('Input Transaksi'!$F:$F,$E155))</f>
        <v/>
      </c>
      <c r="E155">
        <f>IFERROR(AGGREGATE(15,6,ROW('Input Transaksi'!$B$5:$B$5000)/('Input Transaksi'!$B$5:$B$5000="MONANG MANING"),ROWS($E$5:E155)),"")</f>
        <v/>
      </c>
      <c r="F155" s="5" t="n"/>
    </row>
    <row r="156">
      <c r="A156" s="10">
        <f>IF($E156="","",INDEX('Input Transaksi'!$A:$A,$E156))</f>
        <v/>
      </c>
      <c r="B156" s="5">
        <f>IF($E156="","",INDEX('Input Transaksi'!$D:$D,$E156))</f>
        <v/>
      </c>
      <c r="C156">
        <f>IF($E156="","",INDEX('Input Transaksi'!$E:$E,$E156))</f>
        <v/>
      </c>
      <c r="D156" s="5">
        <f>IF($E156="","",INDEX('Input Transaksi'!$F:$F,$E156))</f>
        <v/>
      </c>
      <c r="E156">
        <f>IFERROR(AGGREGATE(15,6,ROW('Input Transaksi'!$B$5:$B$5000)/('Input Transaksi'!$B$5:$B$5000="MONANG MANING"),ROWS($E$5:E156)),"")</f>
        <v/>
      </c>
      <c r="F156" s="5" t="n"/>
    </row>
    <row r="157">
      <c r="A157" s="10">
        <f>IF($E157="","",INDEX('Input Transaksi'!$A:$A,$E157))</f>
        <v/>
      </c>
      <c r="B157" s="5">
        <f>IF($E157="","",INDEX('Input Transaksi'!$D:$D,$E157))</f>
        <v/>
      </c>
      <c r="C157">
        <f>IF($E157="","",INDEX('Input Transaksi'!$E:$E,$E157))</f>
        <v/>
      </c>
      <c r="D157" s="5">
        <f>IF($E157="","",INDEX('Input Transaksi'!$F:$F,$E157))</f>
        <v/>
      </c>
      <c r="E157">
        <f>IFERROR(AGGREGATE(15,6,ROW('Input Transaksi'!$B$5:$B$5000)/('Input Transaksi'!$B$5:$B$5000="MONANG MANING"),ROWS($E$5:E157)),"")</f>
        <v/>
      </c>
      <c r="F157" s="5" t="n"/>
    </row>
    <row r="158">
      <c r="A158" s="10">
        <f>IF($E158="","",INDEX('Input Transaksi'!$A:$A,$E158))</f>
        <v/>
      </c>
      <c r="B158" s="5">
        <f>IF($E158="","",INDEX('Input Transaksi'!$D:$D,$E158))</f>
        <v/>
      </c>
      <c r="C158">
        <f>IF($E158="","",INDEX('Input Transaksi'!$E:$E,$E158))</f>
        <v/>
      </c>
      <c r="D158" s="5">
        <f>IF($E158="","",INDEX('Input Transaksi'!$F:$F,$E158))</f>
        <v/>
      </c>
      <c r="E158">
        <f>IFERROR(AGGREGATE(15,6,ROW('Input Transaksi'!$B$5:$B$5000)/('Input Transaksi'!$B$5:$B$5000="MONANG MANING"),ROWS($E$5:E158)),"")</f>
        <v/>
      </c>
      <c r="F158" s="5" t="n"/>
    </row>
    <row r="159">
      <c r="A159" s="10">
        <f>IF($E159="","",INDEX('Input Transaksi'!$A:$A,$E159))</f>
        <v/>
      </c>
      <c r="B159" s="5">
        <f>IF($E159="","",INDEX('Input Transaksi'!$D:$D,$E159))</f>
        <v/>
      </c>
      <c r="C159">
        <f>IF($E159="","",INDEX('Input Transaksi'!$E:$E,$E159))</f>
        <v/>
      </c>
      <c r="D159" s="5">
        <f>IF($E159="","",INDEX('Input Transaksi'!$F:$F,$E159))</f>
        <v/>
      </c>
      <c r="E159">
        <f>IFERROR(AGGREGATE(15,6,ROW('Input Transaksi'!$B$5:$B$5000)/('Input Transaksi'!$B$5:$B$5000="MONANG MANING"),ROWS($E$5:E159)),"")</f>
        <v/>
      </c>
      <c r="F159" s="5" t="n"/>
    </row>
    <row r="160">
      <c r="A160" s="10">
        <f>IF($E160="","",INDEX('Input Transaksi'!$A:$A,$E160))</f>
        <v/>
      </c>
      <c r="B160" s="5">
        <f>IF($E160="","",INDEX('Input Transaksi'!$D:$D,$E160))</f>
        <v/>
      </c>
      <c r="C160">
        <f>IF($E160="","",INDEX('Input Transaksi'!$E:$E,$E160))</f>
        <v/>
      </c>
      <c r="D160" s="5">
        <f>IF($E160="","",INDEX('Input Transaksi'!$F:$F,$E160))</f>
        <v/>
      </c>
      <c r="E160">
        <f>IFERROR(AGGREGATE(15,6,ROW('Input Transaksi'!$B$5:$B$5000)/('Input Transaksi'!$B$5:$B$5000="MONANG MANING"),ROWS($E$5:E160)),"")</f>
        <v/>
      </c>
      <c r="F160" s="5" t="n"/>
    </row>
    <row r="161">
      <c r="A161" s="10">
        <f>IF($E161="","",INDEX('Input Transaksi'!$A:$A,$E161))</f>
        <v/>
      </c>
      <c r="B161" s="5">
        <f>IF($E161="","",INDEX('Input Transaksi'!$D:$D,$E161))</f>
        <v/>
      </c>
      <c r="C161">
        <f>IF($E161="","",INDEX('Input Transaksi'!$E:$E,$E161))</f>
        <v/>
      </c>
      <c r="D161" s="5">
        <f>IF($E161="","",INDEX('Input Transaksi'!$F:$F,$E161))</f>
        <v/>
      </c>
      <c r="E161">
        <f>IFERROR(AGGREGATE(15,6,ROW('Input Transaksi'!$B$5:$B$5000)/('Input Transaksi'!$B$5:$B$5000="MONANG MANING"),ROWS($E$5:E161)),"")</f>
        <v/>
      </c>
      <c r="F161" s="5" t="n"/>
    </row>
    <row r="162">
      <c r="A162" s="10">
        <f>IF($E162="","",INDEX('Input Transaksi'!$A:$A,$E162))</f>
        <v/>
      </c>
      <c r="B162" s="5">
        <f>IF($E162="","",INDEX('Input Transaksi'!$D:$D,$E162))</f>
        <v/>
      </c>
      <c r="C162">
        <f>IF($E162="","",INDEX('Input Transaksi'!$E:$E,$E162))</f>
        <v/>
      </c>
      <c r="D162" s="5">
        <f>IF($E162="","",INDEX('Input Transaksi'!$F:$F,$E162))</f>
        <v/>
      </c>
      <c r="E162">
        <f>IFERROR(AGGREGATE(15,6,ROW('Input Transaksi'!$B$5:$B$5000)/('Input Transaksi'!$B$5:$B$5000="MONANG MANING"),ROWS($E$5:E162)),"")</f>
        <v/>
      </c>
      <c r="F162" s="5" t="n"/>
    </row>
    <row r="163">
      <c r="A163" s="10">
        <f>IF($E163="","",INDEX('Input Transaksi'!$A:$A,$E163))</f>
        <v/>
      </c>
      <c r="B163" s="5">
        <f>IF($E163="","",INDEX('Input Transaksi'!$D:$D,$E163))</f>
        <v/>
      </c>
      <c r="C163">
        <f>IF($E163="","",INDEX('Input Transaksi'!$E:$E,$E163))</f>
        <v/>
      </c>
      <c r="D163" s="5">
        <f>IF($E163="","",INDEX('Input Transaksi'!$F:$F,$E163))</f>
        <v/>
      </c>
      <c r="E163">
        <f>IFERROR(AGGREGATE(15,6,ROW('Input Transaksi'!$B$5:$B$5000)/('Input Transaksi'!$B$5:$B$5000="MONANG MANING"),ROWS($E$5:E163)),"")</f>
        <v/>
      </c>
      <c r="F163" s="5" t="n"/>
    </row>
    <row r="164">
      <c r="A164" s="10">
        <f>IF($E164="","",INDEX('Input Transaksi'!$A:$A,$E164))</f>
        <v/>
      </c>
      <c r="B164" s="5">
        <f>IF($E164="","",INDEX('Input Transaksi'!$D:$D,$E164))</f>
        <v/>
      </c>
      <c r="C164">
        <f>IF($E164="","",INDEX('Input Transaksi'!$E:$E,$E164))</f>
        <v/>
      </c>
      <c r="D164" s="5">
        <f>IF($E164="","",INDEX('Input Transaksi'!$F:$F,$E164))</f>
        <v/>
      </c>
      <c r="E164">
        <f>IFERROR(AGGREGATE(15,6,ROW('Input Transaksi'!$B$5:$B$5000)/('Input Transaksi'!$B$5:$B$5000="MONANG MANING"),ROWS($E$5:E164)),"")</f>
        <v/>
      </c>
      <c r="F164" s="5" t="n"/>
    </row>
    <row r="165">
      <c r="A165" s="10">
        <f>IF($E165="","",INDEX('Input Transaksi'!$A:$A,$E165))</f>
        <v/>
      </c>
      <c r="B165" s="5">
        <f>IF($E165="","",INDEX('Input Transaksi'!$D:$D,$E165))</f>
        <v/>
      </c>
      <c r="C165">
        <f>IF($E165="","",INDEX('Input Transaksi'!$E:$E,$E165))</f>
        <v/>
      </c>
      <c r="D165" s="5">
        <f>IF($E165="","",INDEX('Input Transaksi'!$F:$F,$E165))</f>
        <v/>
      </c>
      <c r="E165">
        <f>IFERROR(AGGREGATE(15,6,ROW('Input Transaksi'!$B$5:$B$5000)/('Input Transaksi'!$B$5:$B$5000="MONANG MANING"),ROWS($E$5:E165)),"")</f>
        <v/>
      </c>
      <c r="F165" s="5" t="n"/>
    </row>
    <row r="166">
      <c r="A166" s="10">
        <f>IF($E166="","",INDEX('Input Transaksi'!$A:$A,$E166))</f>
        <v/>
      </c>
      <c r="B166" s="5">
        <f>IF($E166="","",INDEX('Input Transaksi'!$D:$D,$E166))</f>
        <v/>
      </c>
      <c r="C166">
        <f>IF($E166="","",INDEX('Input Transaksi'!$E:$E,$E166))</f>
        <v/>
      </c>
      <c r="D166" s="5">
        <f>IF($E166="","",INDEX('Input Transaksi'!$F:$F,$E166))</f>
        <v/>
      </c>
      <c r="E166">
        <f>IFERROR(AGGREGATE(15,6,ROW('Input Transaksi'!$B$5:$B$5000)/('Input Transaksi'!$B$5:$B$5000="MONANG MANING"),ROWS($E$5:E166)),"")</f>
        <v/>
      </c>
      <c r="F166" s="5" t="n"/>
    </row>
    <row r="167">
      <c r="A167" s="10">
        <f>IF($E167="","",INDEX('Input Transaksi'!$A:$A,$E167))</f>
        <v/>
      </c>
      <c r="B167" s="5">
        <f>IF($E167="","",INDEX('Input Transaksi'!$D:$D,$E167))</f>
        <v/>
      </c>
      <c r="C167">
        <f>IF($E167="","",INDEX('Input Transaksi'!$E:$E,$E167))</f>
        <v/>
      </c>
      <c r="D167" s="5">
        <f>IF($E167="","",INDEX('Input Transaksi'!$F:$F,$E167))</f>
        <v/>
      </c>
      <c r="E167">
        <f>IFERROR(AGGREGATE(15,6,ROW('Input Transaksi'!$B$5:$B$5000)/('Input Transaksi'!$B$5:$B$5000="MONANG MANING"),ROWS($E$5:E167)),"")</f>
        <v/>
      </c>
      <c r="F167" s="5" t="n"/>
    </row>
    <row r="168">
      <c r="A168" s="10">
        <f>IF($E168="","",INDEX('Input Transaksi'!$A:$A,$E168))</f>
        <v/>
      </c>
      <c r="B168" s="5">
        <f>IF($E168="","",INDEX('Input Transaksi'!$D:$D,$E168))</f>
        <v/>
      </c>
      <c r="C168">
        <f>IF($E168="","",INDEX('Input Transaksi'!$E:$E,$E168))</f>
        <v/>
      </c>
      <c r="D168" s="5">
        <f>IF($E168="","",INDEX('Input Transaksi'!$F:$F,$E168))</f>
        <v/>
      </c>
      <c r="E168">
        <f>IFERROR(AGGREGATE(15,6,ROW('Input Transaksi'!$B$5:$B$5000)/('Input Transaksi'!$B$5:$B$5000="MONANG MANING"),ROWS($E$5:E168)),"")</f>
        <v/>
      </c>
      <c r="F168" s="5" t="n"/>
    </row>
    <row r="169">
      <c r="A169" s="10">
        <f>IF($E169="","",INDEX('Input Transaksi'!$A:$A,$E169))</f>
        <v/>
      </c>
      <c r="B169" s="5">
        <f>IF($E169="","",INDEX('Input Transaksi'!$D:$D,$E169))</f>
        <v/>
      </c>
      <c r="C169">
        <f>IF($E169="","",INDEX('Input Transaksi'!$E:$E,$E169))</f>
        <v/>
      </c>
      <c r="D169" s="5">
        <f>IF($E169="","",INDEX('Input Transaksi'!$F:$F,$E169))</f>
        <v/>
      </c>
      <c r="E169">
        <f>IFERROR(AGGREGATE(15,6,ROW('Input Transaksi'!$B$5:$B$5000)/('Input Transaksi'!$B$5:$B$5000="MONANG MANING"),ROWS($E$5:E169)),"")</f>
        <v/>
      </c>
      <c r="F169" s="5" t="n"/>
    </row>
    <row r="170">
      <c r="A170" s="10">
        <f>IF($E170="","",INDEX('Input Transaksi'!$A:$A,$E170))</f>
        <v/>
      </c>
      <c r="B170" s="5">
        <f>IF($E170="","",INDEX('Input Transaksi'!$D:$D,$E170))</f>
        <v/>
      </c>
      <c r="C170">
        <f>IF($E170="","",INDEX('Input Transaksi'!$E:$E,$E170))</f>
        <v/>
      </c>
      <c r="D170" s="5">
        <f>IF($E170="","",INDEX('Input Transaksi'!$F:$F,$E170))</f>
        <v/>
      </c>
      <c r="E170">
        <f>IFERROR(AGGREGATE(15,6,ROW('Input Transaksi'!$B$5:$B$5000)/('Input Transaksi'!$B$5:$B$5000="MONANG MANING"),ROWS($E$5:E170)),"")</f>
        <v/>
      </c>
      <c r="F170" s="5" t="n"/>
    </row>
    <row r="171">
      <c r="A171" s="10">
        <f>IF($E171="","",INDEX('Input Transaksi'!$A:$A,$E171))</f>
        <v/>
      </c>
      <c r="B171" s="5">
        <f>IF($E171="","",INDEX('Input Transaksi'!$D:$D,$E171))</f>
        <v/>
      </c>
      <c r="C171">
        <f>IF($E171="","",INDEX('Input Transaksi'!$E:$E,$E171))</f>
        <v/>
      </c>
      <c r="D171" s="5">
        <f>IF($E171="","",INDEX('Input Transaksi'!$F:$F,$E171))</f>
        <v/>
      </c>
      <c r="E171">
        <f>IFERROR(AGGREGATE(15,6,ROW('Input Transaksi'!$B$5:$B$5000)/('Input Transaksi'!$B$5:$B$5000="MONANG MANING"),ROWS($E$5:E171)),"")</f>
        <v/>
      </c>
      <c r="F171" s="5" t="n"/>
    </row>
    <row r="172">
      <c r="A172" s="10">
        <f>IF($E172="","",INDEX('Input Transaksi'!$A:$A,$E172))</f>
        <v/>
      </c>
      <c r="B172" s="5">
        <f>IF($E172="","",INDEX('Input Transaksi'!$D:$D,$E172))</f>
        <v/>
      </c>
      <c r="C172">
        <f>IF($E172="","",INDEX('Input Transaksi'!$E:$E,$E172))</f>
        <v/>
      </c>
      <c r="D172" s="5">
        <f>IF($E172="","",INDEX('Input Transaksi'!$F:$F,$E172))</f>
        <v/>
      </c>
      <c r="E172">
        <f>IFERROR(AGGREGATE(15,6,ROW('Input Transaksi'!$B$5:$B$5000)/('Input Transaksi'!$B$5:$B$5000="MONANG MANING"),ROWS($E$5:E172)),"")</f>
        <v/>
      </c>
      <c r="F172" s="5" t="n"/>
    </row>
    <row r="173">
      <c r="A173" s="10">
        <f>IF($E173="","",INDEX('Input Transaksi'!$A:$A,$E173))</f>
        <v/>
      </c>
      <c r="B173" s="5">
        <f>IF($E173="","",INDEX('Input Transaksi'!$D:$D,$E173))</f>
        <v/>
      </c>
      <c r="C173">
        <f>IF($E173="","",INDEX('Input Transaksi'!$E:$E,$E173))</f>
        <v/>
      </c>
      <c r="D173" s="5">
        <f>IF($E173="","",INDEX('Input Transaksi'!$F:$F,$E173))</f>
        <v/>
      </c>
      <c r="E173">
        <f>IFERROR(AGGREGATE(15,6,ROW('Input Transaksi'!$B$5:$B$5000)/('Input Transaksi'!$B$5:$B$5000="MONANG MANING"),ROWS($E$5:E173)),"")</f>
        <v/>
      </c>
      <c r="F173" s="5" t="n"/>
    </row>
    <row r="174">
      <c r="A174" s="10">
        <f>IF($E174="","",INDEX('Input Transaksi'!$A:$A,$E174))</f>
        <v/>
      </c>
      <c r="B174" s="5">
        <f>IF($E174="","",INDEX('Input Transaksi'!$D:$D,$E174))</f>
        <v/>
      </c>
      <c r="C174">
        <f>IF($E174="","",INDEX('Input Transaksi'!$E:$E,$E174))</f>
        <v/>
      </c>
      <c r="D174" s="5">
        <f>IF($E174="","",INDEX('Input Transaksi'!$F:$F,$E174))</f>
        <v/>
      </c>
      <c r="E174">
        <f>IFERROR(AGGREGATE(15,6,ROW('Input Transaksi'!$B$5:$B$5000)/('Input Transaksi'!$B$5:$B$5000="MONANG MANING"),ROWS($E$5:E174)),"")</f>
        <v/>
      </c>
      <c r="F174" s="5" t="n"/>
    </row>
    <row r="175">
      <c r="A175" s="10">
        <f>IF($E175="","",INDEX('Input Transaksi'!$A:$A,$E175))</f>
        <v/>
      </c>
      <c r="B175" s="5">
        <f>IF($E175="","",INDEX('Input Transaksi'!$D:$D,$E175))</f>
        <v/>
      </c>
      <c r="C175">
        <f>IF($E175="","",INDEX('Input Transaksi'!$E:$E,$E175))</f>
        <v/>
      </c>
      <c r="D175" s="5">
        <f>IF($E175="","",INDEX('Input Transaksi'!$F:$F,$E175))</f>
        <v/>
      </c>
      <c r="E175">
        <f>IFERROR(AGGREGATE(15,6,ROW('Input Transaksi'!$B$5:$B$5000)/('Input Transaksi'!$B$5:$B$5000="MONANG MANING"),ROWS($E$5:E175)),"")</f>
        <v/>
      </c>
      <c r="F175" s="5" t="n"/>
    </row>
    <row r="176">
      <c r="A176" s="10">
        <f>IF($E176="","",INDEX('Input Transaksi'!$A:$A,$E176))</f>
        <v/>
      </c>
      <c r="B176" s="5">
        <f>IF($E176="","",INDEX('Input Transaksi'!$D:$D,$E176))</f>
        <v/>
      </c>
      <c r="C176">
        <f>IF($E176="","",INDEX('Input Transaksi'!$E:$E,$E176))</f>
        <v/>
      </c>
      <c r="D176" s="5">
        <f>IF($E176="","",INDEX('Input Transaksi'!$F:$F,$E176))</f>
        <v/>
      </c>
      <c r="E176">
        <f>IFERROR(AGGREGATE(15,6,ROW('Input Transaksi'!$B$5:$B$5000)/('Input Transaksi'!$B$5:$B$5000="MONANG MANING"),ROWS($E$5:E176)),"")</f>
        <v/>
      </c>
      <c r="F176" s="5" t="n"/>
    </row>
    <row r="177">
      <c r="A177" s="10">
        <f>IF($E177="","",INDEX('Input Transaksi'!$A:$A,$E177))</f>
        <v/>
      </c>
      <c r="B177" s="5">
        <f>IF($E177="","",INDEX('Input Transaksi'!$D:$D,$E177))</f>
        <v/>
      </c>
      <c r="C177">
        <f>IF($E177="","",INDEX('Input Transaksi'!$E:$E,$E177))</f>
        <v/>
      </c>
      <c r="D177" s="5">
        <f>IF($E177="","",INDEX('Input Transaksi'!$F:$F,$E177))</f>
        <v/>
      </c>
      <c r="E177">
        <f>IFERROR(AGGREGATE(15,6,ROW('Input Transaksi'!$B$5:$B$5000)/('Input Transaksi'!$B$5:$B$5000="MONANG MANING"),ROWS($E$5:E177)),"")</f>
        <v/>
      </c>
      <c r="F177" s="5" t="n"/>
    </row>
    <row r="178">
      <c r="A178" s="10">
        <f>IF($E178="","",INDEX('Input Transaksi'!$A:$A,$E178))</f>
        <v/>
      </c>
      <c r="B178" s="5">
        <f>IF($E178="","",INDEX('Input Transaksi'!$D:$D,$E178))</f>
        <v/>
      </c>
      <c r="C178">
        <f>IF($E178="","",INDEX('Input Transaksi'!$E:$E,$E178))</f>
        <v/>
      </c>
      <c r="D178" s="5">
        <f>IF($E178="","",INDEX('Input Transaksi'!$F:$F,$E178))</f>
        <v/>
      </c>
      <c r="E178">
        <f>IFERROR(AGGREGATE(15,6,ROW('Input Transaksi'!$B$5:$B$5000)/('Input Transaksi'!$B$5:$B$5000="MONANG MANING"),ROWS($E$5:E178)),"")</f>
        <v/>
      </c>
      <c r="F178" s="5" t="n"/>
    </row>
    <row r="179">
      <c r="A179" s="10">
        <f>IF($E179="","",INDEX('Input Transaksi'!$A:$A,$E179))</f>
        <v/>
      </c>
      <c r="B179" s="5">
        <f>IF($E179="","",INDEX('Input Transaksi'!$D:$D,$E179))</f>
        <v/>
      </c>
      <c r="C179">
        <f>IF($E179="","",INDEX('Input Transaksi'!$E:$E,$E179))</f>
        <v/>
      </c>
      <c r="D179" s="5">
        <f>IF($E179="","",INDEX('Input Transaksi'!$F:$F,$E179))</f>
        <v/>
      </c>
      <c r="E179">
        <f>IFERROR(AGGREGATE(15,6,ROW('Input Transaksi'!$B$5:$B$5000)/('Input Transaksi'!$B$5:$B$5000="MONANG MANING"),ROWS($E$5:E179)),"")</f>
        <v/>
      </c>
      <c r="F179" s="5" t="n"/>
    </row>
    <row r="180">
      <c r="A180" s="10">
        <f>IF($E180="","",INDEX('Input Transaksi'!$A:$A,$E180))</f>
        <v/>
      </c>
      <c r="B180" s="5">
        <f>IF($E180="","",INDEX('Input Transaksi'!$D:$D,$E180))</f>
        <v/>
      </c>
      <c r="C180">
        <f>IF($E180="","",INDEX('Input Transaksi'!$E:$E,$E180))</f>
        <v/>
      </c>
      <c r="D180" s="5">
        <f>IF($E180="","",INDEX('Input Transaksi'!$F:$F,$E180))</f>
        <v/>
      </c>
      <c r="E180">
        <f>IFERROR(AGGREGATE(15,6,ROW('Input Transaksi'!$B$5:$B$5000)/('Input Transaksi'!$B$5:$B$5000="MONANG MANING"),ROWS($E$5:E180)),"")</f>
        <v/>
      </c>
      <c r="F180" s="5" t="n"/>
    </row>
    <row r="181">
      <c r="A181" s="10">
        <f>IF($E181="","",INDEX('Input Transaksi'!$A:$A,$E181))</f>
        <v/>
      </c>
      <c r="B181" s="5">
        <f>IF($E181="","",INDEX('Input Transaksi'!$D:$D,$E181))</f>
        <v/>
      </c>
      <c r="C181">
        <f>IF($E181="","",INDEX('Input Transaksi'!$E:$E,$E181))</f>
        <v/>
      </c>
      <c r="D181" s="5">
        <f>IF($E181="","",INDEX('Input Transaksi'!$F:$F,$E181))</f>
        <v/>
      </c>
      <c r="E181">
        <f>IFERROR(AGGREGATE(15,6,ROW('Input Transaksi'!$B$5:$B$5000)/('Input Transaksi'!$B$5:$B$5000="MONANG MANING"),ROWS($E$5:E181)),"")</f>
        <v/>
      </c>
      <c r="F181" s="5" t="n"/>
    </row>
    <row r="182">
      <c r="A182" s="10">
        <f>IF($E182="","",INDEX('Input Transaksi'!$A:$A,$E182))</f>
        <v/>
      </c>
      <c r="B182" s="5">
        <f>IF($E182="","",INDEX('Input Transaksi'!$D:$D,$E182))</f>
        <v/>
      </c>
      <c r="C182">
        <f>IF($E182="","",INDEX('Input Transaksi'!$E:$E,$E182))</f>
        <v/>
      </c>
      <c r="D182" s="5">
        <f>IF($E182="","",INDEX('Input Transaksi'!$F:$F,$E182))</f>
        <v/>
      </c>
      <c r="E182">
        <f>IFERROR(AGGREGATE(15,6,ROW('Input Transaksi'!$B$5:$B$5000)/('Input Transaksi'!$B$5:$B$5000="MONANG MANING"),ROWS($E$5:E182)),"")</f>
        <v/>
      </c>
      <c r="F182" s="5" t="n"/>
    </row>
    <row r="183">
      <c r="A183" s="10">
        <f>IF($E183="","",INDEX('Input Transaksi'!$A:$A,$E183))</f>
        <v/>
      </c>
      <c r="B183" s="5">
        <f>IF($E183="","",INDEX('Input Transaksi'!$D:$D,$E183))</f>
        <v/>
      </c>
      <c r="C183">
        <f>IF($E183="","",INDEX('Input Transaksi'!$E:$E,$E183))</f>
        <v/>
      </c>
      <c r="D183" s="5">
        <f>IF($E183="","",INDEX('Input Transaksi'!$F:$F,$E183))</f>
        <v/>
      </c>
      <c r="E183">
        <f>IFERROR(AGGREGATE(15,6,ROW('Input Transaksi'!$B$5:$B$5000)/('Input Transaksi'!$B$5:$B$5000="MONANG MANING"),ROWS($E$5:E183)),"")</f>
        <v/>
      </c>
      <c r="F183" s="5" t="n"/>
    </row>
    <row r="184">
      <c r="A184" s="10">
        <f>IF($E184="","",INDEX('Input Transaksi'!$A:$A,$E184))</f>
        <v/>
      </c>
      <c r="B184" s="5">
        <f>IF($E184="","",INDEX('Input Transaksi'!$D:$D,$E184))</f>
        <v/>
      </c>
      <c r="C184">
        <f>IF($E184="","",INDEX('Input Transaksi'!$E:$E,$E184))</f>
        <v/>
      </c>
      <c r="D184" s="5">
        <f>IF($E184="","",INDEX('Input Transaksi'!$F:$F,$E184))</f>
        <v/>
      </c>
      <c r="E184">
        <f>IFERROR(AGGREGATE(15,6,ROW('Input Transaksi'!$B$5:$B$5000)/('Input Transaksi'!$B$5:$B$5000="MONANG MANING"),ROWS($E$5:E184)),"")</f>
        <v/>
      </c>
      <c r="F184" s="5" t="n"/>
    </row>
    <row r="185">
      <c r="A185" s="10">
        <f>IF($E185="","",INDEX('Input Transaksi'!$A:$A,$E185))</f>
        <v/>
      </c>
      <c r="B185" s="5">
        <f>IF($E185="","",INDEX('Input Transaksi'!$D:$D,$E185))</f>
        <v/>
      </c>
      <c r="C185">
        <f>IF($E185="","",INDEX('Input Transaksi'!$E:$E,$E185))</f>
        <v/>
      </c>
      <c r="D185" s="5">
        <f>IF($E185="","",INDEX('Input Transaksi'!$F:$F,$E185))</f>
        <v/>
      </c>
      <c r="E185">
        <f>IFERROR(AGGREGATE(15,6,ROW('Input Transaksi'!$B$5:$B$5000)/('Input Transaksi'!$B$5:$B$5000="MONANG MANING"),ROWS($E$5:E185)),"")</f>
        <v/>
      </c>
      <c r="F185" s="5" t="n"/>
    </row>
    <row r="186">
      <c r="A186" s="10">
        <f>IF($E186="","",INDEX('Input Transaksi'!$A:$A,$E186))</f>
        <v/>
      </c>
      <c r="B186" s="5">
        <f>IF($E186="","",INDEX('Input Transaksi'!$D:$D,$E186))</f>
        <v/>
      </c>
      <c r="C186">
        <f>IF($E186="","",INDEX('Input Transaksi'!$E:$E,$E186))</f>
        <v/>
      </c>
      <c r="D186" s="5">
        <f>IF($E186="","",INDEX('Input Transaksi'!$F:$F,$E186))</f>
        <v/>
      </c>
      <c r="E186">
        <f>IFERROR(AGGREGATE(15,6,ROW('Input Transaksi'!$B$5:$B$5000)/('Input Transaksi'!$B$5:$B$5000="MONANG MANING"),ROWS($E$5:E186)),"")</f>
        <v/>
      </c>
      <c r="F186" s="5" t="n"/>
    </row>
    <row r="187">
      <c r="A187" s="10">
        <f>IF($E187="","",INDEX('Input Transaksi'!$A:$A,$E187))</f>
        <v/>
      </c>
      <c r="B187" s="5">
        <f>IF($E187="","",INDEX('Input Transaksi'!$D:$D,$E187))</f>
        <v/>
      </c>
      <c r="C187">
        <f>IF($E187="","",INDEX('Input Transaksi'!$E:$E,$E187))</f>
        <v/>
      </c>
      <c r="D187" s="5">
        <f>IF($E187="","",INDEX('Input Transaksi'!$F:$F,$E187))</f>
        <v/>
      </c>
      <c r="E187">
        <f>IFERROR(AGGREGATE(15,6,ROW('Input Transaksi'!$B$5:$B$5000)/('Input Transaksi'!$B$5:$B$5000="MONANG MANING"),ROWS($E$5:E187)),"")</f>
        <v/>
      </c>
      <c r="F187" s="5" t="n"/>
    </row>
    <row r="188">
      <c r="A188" s="10">
        <f>IF($E188="","",INDEX('Input Transaksi'!$A:$A,$E188))</f>
        <v/>
      </c>
      <c r="B188" s="5">
        <f>IF($E188="","",INDEX('Input Transaksi'!$D:$D,$E188))</f>
        <v/>
      </c>
      <c r="C188">
        <f>IF($E188="","",INDEX('Input Transaksi'!$E:$E,$E188))</f>
        <v/>
      </c>
      <c r="D188" s="5">
        <f>IF($E188="","",INDEX('Input Transaksi'!$F:$F,$E188))</f>
        <v/>
      </c>
      <c r="E188">
        <f>IFERROR(AGGREGATE(15,6,ROW('Input Transaksi'!$B$5:$B$5000)/('Input Transaksi'!$B$5:$B$5000="MONANG MANING"),ROWS($E$5:E188)),"")</f>
        <v/>
      </c>
      <c r="F188" s="5" t="n"/>
    </row>
    <row r="189">
      <c r="A189" s="10">
        <f>IF($E189="","",INDEX('Input Transaksi'!$A:$A,$E189))</f>
        <v/>
      </c>
      <c r="B189" s="5">
        <f>IF($E189="","",INDEX('Input Transaksi'!$D:$D,$E189))</f>
        <v/>
      </c>
      <c r="C189">
        <f>IF($E189="","",INDEX('Input Transaksi'!$E:$E,$E189))</f>
        <v/>
      </c>
      <c r="D189" s="5">
        <f>IF($E189="","",INDEX('Input Transaksi'!$F:$F,$E189))</f>
        <v/>
      </c>
      <c r="E189">
        <f>IFERROR(AGGREGATE(15,6,ROW('Input Transaksi'!$B$5:$B$5000)/('Input Transaksi'!$B$5:$B$5000="MONANG MANING"),ROWS($E$5:E189)),"")</f>
        <v/>
      </c>
      <c r="F189" s="5" t="n"/>
    </row>
    <row r="190">
      <c r="A190" s="10">
        <f>IF($E190="","",INDEX('Input Transaksi'!$A:$A,$E190))</f>
        <v/>
      </c>
      <c r="B190" s="5">
        <f>IF($E190="","",INDEX('Input Transaksi'!$D:$D,$E190))</f>
        <v/>
      </c>
      <c r="C190">
        <f>IF($E190="","",INDEX('Input Transaksi'!$E:$E,$E190))</f>
        <v/>
      </c>
      <c r="D190" s="5">
        <f>IF($E190="","",INDEX('Input Transaksi'!$F:$F,$E190))</f>
        <v/>
      </c>
      <c r="E190">
        <f>IFERROR(AGGREGATE(15,6,ROW('Input Transaksi'!$B$5:$B$5000)/('Input Transaksi'!$B$5:$B$5000="MONANG MANING"),ROWS($E$5:E190)),"")</f>
        <v/>
      </c>
      <c r="F190" s="5" t="n"/>
    </row>
    <row r="191">
      <c r="A191" s="10">
        <f>IF($E191="","",INDEX('Input Transaksi'!$A:$A,$E191))</f>
        <v/>
      </c>
      <c r="B191" s="5">
        <f>IF($E191="","",INDEX('Input Transaksi'!$D:$D,$E191))</f>
        <v/>
      </c>
      <c r="C191">
        <f>IF($E191="","",INDEX('Input Transaksi'!$E:$E,$E191))</f>
        <v/>
      </c>
      <c r="D191" s="5">
        <f>IF($E191="","",INDEX('Input Transaksi'!$F:$F,$E191))</f>
        <v/>
      </c>
      <c r="E191">
        <f>IFERROR(AGGREGATE(15,6,ROW('Input Transaksi'!$B$5:$B$5000)/('Input Transaksi'!$B$5:$B$5000="MONANG MANING"),ROWS($E$5:E191)),"")</f>
        <v/>
      </c>
      <c r="F191" s="5" t="n"/>
    </row>
    <row r="192">
      <c r="A192" s="10">
        <f>IF($E192="","",INDEX('Input Transaksi'!$A:$A,$E192))</f>
        <v/>
      </c>
      <c r="B192" s="5">
        <f>IF($E192="","",INDEX('Input Transaksi'!$D:$D,$E192))</f>
        <v/>
      </c>
      <c r="C192">
        <f>IF($E192="","",INDEX('Input Transaksi'!$E:$E,$E192))</f>
        <v/>
      </c>
      <c r="D192" s="5">
        <f>IF($E192="","",INDEX('Input Transaksi'!$F:$F,$E192))</f>
        <v/>
      </c>
      <c r="E192">
        <f>IFERROR(AGGREGATE(15,6,ROW('Input Transaksi'!$B$5:$B$5000)/('Input Transaksi'!$B$5:$B$5000="MONANG MANING"),ROWS($E$5:E192)),"")</f>
        <v/>
      </c>
      <c r="F192" s="5" t="n"/>
    </row>
    <row r="193">
      <c r="A193" s="10">
        <f>IF($E193="","",INDEX('Input Transaksi'!$A:$A,$E193))</f>
        <v/>
      </c>
      <c r="B193" s="5">
        <f>IF($E193="","",INDEX('Input Transaksi'!$D:$D,$E193))</f>
        <v/>
      </c>
      <c r="C193">
        <f>IF($E193="","",INDEX('Input Transaksi'!$E:$E,$E193))</f>
        <v/>
      </c>
      <c r="D193" s="5">
        <f>IF($E193="","",INDEX('Input Transaksi'!$F:$F,$E193))</f>
        <v/>
      </c>
      <c r="E193">
        <f>IFERROR(AGGREGATE(15,6,ROW('Input Transaksi'!$B$5:$B$5000)/('Input Transaksi'!$B$5:$B$5000="MONANG MANING"),ROWS($E$5:E193)),"")</f>
        <v/>
      </c>
      <c r="F193" s="5" t="n"/>
    </row>
    <row r="194">
      <c r="A194" s="10">
        <f>IF($E194="","",INDEX('Input Transaksi'!$A:$A,$E194))</f>
        <v/>
      </c>
      <c r="B194" s="5">
        <f>IF($E194="","",INDEX('Input Transaksi'!$D:$D,$E194))</f>
        <v/>
      </c>
      <c r="C194">
        <f>IF($E194="","",INDEX('Input Transaksi'!$E:$E,$E194))</f>
        <v/>
      </c>
      <c r="D194" s="5">
        <f>IF($E194="","",INDEX('Input Transaksi'!$F:$F,$E194))</f>
        <v/>
      </c>
      <c r="E194">
        <f>IFERROR(AGGREGATE(15,6,ROW('Input Transaksi'!$B$5:$B$5000)/('Input Transaksi'!$B$5:$B$5000="MONANG MANING"),ROWS($E$5:E194)),"")</f>
        <v/>
      </c>
      <c r="F194" s="5" t="n"/>
    </row>
    <row r="195">
      <c r="A195" s="10">
        <f>IF($E195="","",INDEX('Input Transaksi'!$A:$A,$E195))</f>
        <v/>
      </c>
      <c r="B195" s="5">
        <f>IF($E195="","",INDEX('Input Transaksi'!$D:$D,$E195))</f>
        <v/>
      </c>
      <c r="C195">
        <f>IF($E195="","",INDEX('Input Transaksi'!$E:$E,$E195))</f>
        <v/>
      </c>
      <c r="D195" s="5">
        <f>IF($E195="","",INDEX('Input Transaksi'!$F:$F,$E195))</f>
        <v/>
      </c>
      <c r="E195">
        <f>IFERROR(AGGREGATE(15,6,ROW('Input Transaksi'!$B$5:$B$5000)/('Input Transaksi'!$B$5:$B$5000="MONANG MANING"),ROWS($E$5:E195)),"")</f>
        <v/>
      </c>
      <c r="F195" s="5" t="n"/>
    </row>
    <row r="196">
      <c r="A196" s="10">
        <f>IF($E196="","",INDEX('Input Transaksi'!$A:$A,$E196))</f>
        <v/>
      </c>
      <c r="B196" s="5">
        <f>IF($E196="","",INDEX('Input Transaksi'!$D:$D,$E196))</f>
        <v/>
      </c>
      <c r="C196">
        <f>IF($E196="","",INDEX('Input Transaksi'!$E:$E,$E196))</f>
        <v/>
      </c>
      <c r="D196" s="5">
        <f>IF($E196="","",INDEX('Input Transaksi'!$F:$F,$E196))</f>
        <v/>
      </c>
      <c r="E196">
        <f>IFERROR(AGGREGATE(15,6,ROW('Input Transaksi'!$B$5:$B$5000)/('Input Transaksi'!$B$5:$B$5000="MONANG MANING"),ROWS($E$5:E196)),"")</f>
        <v/>
      </c>
      <c r="F196" s="5" t="n"/>
    </row>
    <row r="197">
      <c r="A197" s="10">
        <f>IF($E197="","",INDEX('Input Transaksi'!$A:$A,$E197))</f>
        <v/>
      </c>
      <c r="B197" s="5">
        <f>IF($E197="","",INDEX('Input Transaksi'!$D:$D,$E197))</f>
        <v/>
      </c>
      <c r="C197">
        <f>IF($E197="","",INDEX('Input Transaksi'!$E:$E,$E197))</f>
        <v/>
      </c>
      <c r="D197" s="5">
        <f>IF($E197="","",INDEX('Input Transaksi'!$F:$F,$E197))</f>
        <v/>
      </c>
      <c r="E197">
        <f>IFERROR(AGGREGATE(15,6,ROW('Input Transaksi'!$B$5:$B$5000)/('Input Transaksi'!$B$5:$B$5000="MONANG MANING"),ROWS($E$5:E197)),"")</f>
        <v/>
      </c>
      <c r="F197" s="5" t="n"/>
    </row>
    <row r="198">
      <c r="A198" s="10">
        <f>IF($E198="","",INDEX('Input Transaksi'!$A:$A,$E198))</f>
        <v/>
      </c>
      <c r="B198" s="5">
        <f>IF($E198="","",INDEX('Input Transaksi'!$D:$D,$E198))</f>
        <v/>
      </c>
      <c r="C198">
        <f>IF($E198="","",INDEX('Input Transaksi'!$E:$E,$E198))</f>
        <v/>
      </c>
      <c r="D198" s="5">
        <f>IF($E198="","",INDEX('Input Transaksi'!$F:$F,$E198))</f>
        <v/>
      </c>
      <c r="E198">
        <f>IFERROR(AGGREGATE(15,6,ROW('Input Transaksi'!$B$5:$B$5000)/('Input Transaksi'!$B$5:$B$5000="MONANG MANING"),ROWS($E$5:E198)),"")</f>
        <v/>
      </c>
      <c r="F198" s="5" t="n"/>
    </row>
    <row r="199">
      <c r="A199" s="10">
        <f>IF($E199="","",INDEX('Input Transaksi'!$A:$A,$E199))</f>
        <v/>
      </c>
      <c r="B199" s="5">
        <f>IF($E199="","",INDEX('Input Transaksi'!$D:$D,$E199))</f>
        <v/>
      </c>
      <c r="C199">
        <f>IF($E199="","",INDEX('Input Transaksi'!$E:$E,$E199))</f>
        <v/>
      </c>
      <c r="D199" s="5">
        <f>IF($E199="","",INDEX('Input Transaksi'!$F:$F,$E199))</f>
        <v/>
      </c>
      <c r="E199">
        <f>IFERROR(AGGREGATE(15,6,ROW('Input Transaksi'!$B$5:$B$5000)/('Input Transaksi'!$B$5:$B$5000="MONANG MANING"),ROWS($E$5:E199)),"")</f>
        <v/>
      </c>
      <c r="F199" s="5" t="n"/>
    </row>
    <row r="200">
      <c r="A200" s="10">
        <f>IF($E200="","",INDEX('Input Transaksi'!$A:$A,$E200))</f>
        <v/>
      </c>
      <c r="B200" s="5">
        <f>IF($E200="","",INDEX('Input Transaksi'!$D:$D,$E200))</f>
        <v/>
      </c>
      <c r="C200">
        <f>IF($E200="","",INDEX('Input Transaksi'!$E:$E,$E200))</f>
        <v/>
      </c>
      <c r="D200" s="5">
        <f>IF($E200="","",INDEX('Input Transaksi'!$F:$F,$E200))</f>
        <v/>
      </c>
      <c r="E200">
        <f>IFERROR(AGGREGATE(15,6,ROW('Input Transaksi'!$B$5:$B$5000)/('Input Transaksi'!$B$5:$B$5000="MONANG MANING"),ROWS($E$5:E200)),"")</f>
        <v/>
      </c>
      <c r="F200" s="5" t="n"/>
    </row>
    <row r="201">
      <c r="A201" s="10">
        <f>IF($E201="","",INDEX('Input Transaksi'!$A:$A,$E201))</f>
        <v/>
      </c>
      <c r="B201" s="5">
        <f>IF($E201="","",INDEX('Input Transaksi'!$D:$D,$E201))</f>
        <v/>
      </c>
      <c r="C201">
        <f>IF($E201="","",INDEX('Input Transaksi'!$E:$E,$E201))</f>
        <v/>
      </c>
      <c r="D201" s="5">
        <f>IF($E201="","",INDEX('Input Transaksi'!$F:$F,$E201))</f>
        <v/>
      </c>
      <c r="E201">
        <f>IFERROR(AGGREGATE(15,6,ROW('Input Transaksi'!$B$5:$B$5000)/('Input Transaksi'!$B$5:$B$5000="MONANG MANING"),ROWS($E$5:E201)),"")</f>
        <v/>
      </c>
      <c r="F201" s="5" t="n"/>
    </row>
    <row r="202">
      <c r="A202" s="10">
        <f>IF($E202="","",INDEX('Input Transaksi'!$A:$A,$E202))</f>
        <v/>
      </c>
      <c r="B202" s="5">
        <f>IF($E202="","",INDEX('Input Transaksi'!$D:$D,$E202))</f>
        <v/>
      </c>
      <c r="C202">
        <f>IF($E202="","",INDEX('Input Transaksi'!$E:$E,$E202))</f>
        <v/>
      </c>
      <c r="D202" s="5">
        <f>IF($E202="","",INDEX('Input Transaksi'!$F:$F,$E202))</f>
        <v/>
      </c>
      <c r="E202">
        <f>IFERROR(AGGREGATE(15,6,ROW('Input Transaksi'!$B$5:$B$5000)/('Input Transaksi'!$B$5:$B$5000="MONANG MANING"),ROWS($E$5:E202)),"")</f>
        <v/>
      </c>
      <c r="F202" s="5" t="n"/>
    </row>
    <row r="203">
      <c r="A203" s="10">
        <f>IF($E203="","",INDEX('Input Transaksi'!$A:$A,$E203))</f>
        <v/>
      </c>
      <c r="B203" s="5">
        <f>IF($E203="","",INDEX('Input Transaksi'!$D:$D,$E203))</f>
        <v/>
      </c>
      <c r="C203">
        <f>IF($E203="","",INDEX('Input Transaksi'!$E:$E,$E203))</f>
        <v/>
      </c>
      <c r="D203" s="5">
        <f>IF($E203="","",INDEX('Input Transaksi'!$F:$F,$E203))</f>
        <v/>
      </c>
      <c r="E203">
        <f>IFERROR(AGGREGATE(15,6,ROW('Input Transaksi'!$B$5:$B$5000)/('Input Transaksi'!$B$5:$B$5000="MONANG MANING"),ROWS($E$5:E203)),"")</f>
        <v/>
      </c>
      <c r="F203" s="5" t="n"/>
    </row>
    <row r="204">
      <c r="A204" s="10">
        <f>IF($E204="","",INDEX('Input Transaksi'!$A:$A,$E204))</f>
        <v/>
      </c>
      <c r="B204" s="5">
        <f>IF($E204="","",INDEX('Input Transaksi'!$D:$D,$E204))</f>
        <v/>
      </c>
      <c r="C204">
        <f>IF($E204="","",INDEX('Input Transaksi'!$E:$E,$E204))</f>
        <v/>
      </c>
      <c r="D204" s="5">
        <f>IF($E204="","",INDEX('Input Transaksi'!$F:$F,$E204))</f>
        <v/>
      </c>
      <c r="E204">
        <f>IFERROR(AGGREGATE(15,6,ROW('Input Transaksi'!$B$5:$B$5000)/('Input Transaksi'!$B$5:$B$5000="MONANG MANING"),ROWS($E$5:E204)),"")</f>
        <v/>
      </c>
      <c r="F204" s="5" t="n"/>
    </row>
    <row r="205">
      <c r="A205" s="10">
        <f>IF($E205="","",INDEX('Input Transaksi'!$A:$A,$E205))</f>
        <v/>
      </c>
      <c r="B205" s="5">
        <f>IF($E205="","",INDEX('Input Transaksi'!$D:$D,$E205))</f>
        <v/>
      </c>
      <c r="C205">
        <f>IF($E205="","",INDEX('Input Transaksi'!$E:$E,$E205))</f>
        <v/>
      </c>
      <c r="D205" s="5">
        <f>IF($E205="","",INDEX('Input Transaksi'!$F:$F,$E205))</f>
        <v/>
      </c>
      <c r="E205">
        <f>IFERROR(AGGREGATE(15,6,ROW('Input Transaksi'!$B$5:$B$5000)/('Input Transaksi'!$B$5:$B$5000="MONANG MANING"),ROWS($E$5:E205)),"")</f>
        <v/>
      </c>
      <c r="F205" s="5" t="n"/>
    </row>
    <row r="206">
      <c r="A206" s="10">
        <f>IF($E206="","",INDEX('Input Transaksi'!$A:$A,$E206))</f>
        <v/>
      </c>
      <c r="B206" s="5">
        <f>IF($E206="","",INDEX('Input Transaksi'!$D:$D,$E206))</f>
        <v/>
      </c>
      <c r="C206">
        <f>IF($E206="","",INDEX('Input Transaksi'!$E:$E,$E206))</f>
        <v/>
      </c>
      <c r="D206" s="5">
        <f>IF($E206="","",INDEX('Input Transaksi'!$F:$F,$E206))</f>
        <v/>
      </c>
      <c r="E206">
        <f>IFERROR(AGGREGATE(15,6,ROW('Input Transaksi'!$B$5:$B$5000)/('Input Transaksi'!$B$5:$B$5000="MONANG MANING"),ROWS($E$5:E206)),"")</f>
        <v/>
      </c>
      <c r="F206" s="5" t="n"/>
    </row>
    <row r="207">
      <c r="A207" s="10">
        <f>IF($E207="","",INDEX('Input Transaksi'!$A:$A,$E207))</f>
        <v/>
      </c>
      <c r="B207" s="5">
        <f>IF($E207="","",INDEX('Input Transaksi'!$D:$D,$E207))</f>
        <v/>
      </c>
      <c r="C207">
        <f>IF($E207="","",INDEX('Input Transaksi'!$E:$E,$E207))</f>
        <v/>
      </c>
      <c r="D207" s="5">
        <f>IF($E207="","",INDEX('Input Transaksi'!$F:$F,$E207))</f>
        <v/>
      </c>
      <c r="E207">
        <f>IFERROR(AGGREGATE(15,6,ROW('Input Transaksi'!$B$5:$B$5000)/('Input Transaksi'!$B$5:$B$5000="MONANG MANING"),ROWS($E$5:E207)),"")</f>
        <v/>
      </c>
      <c r="F207" s="5" t="n"/>
    </row>
    <row r="208">
      <c r="A208" s="10">
        <f>IF($E208="","",INDEX('Input Transaksi'!$A:$A,$E208))</f>
        <v/>
      </c>
      <c r="B208" s="5">
        <f>IF($E208="","",INDEX('Input Transaksi'!$D:$D,$E208))</f>
        <v/>
      </c>
      <c r="C208">
        <f>IF($E208="","",INDEX('Input Transaksi'!$E:$E,$E208))</f>
        <v/>
      </c>
      <c r="D208" s="5">
        <f>IF($E208="","",INDEX('Input Transaksi'!$F:$F,$E208))</f>
        <v/>
      </c>
      <c r="E208">
        <f>IFERROR(AGGREGATE(15,6,ROW('Input Transaksi'!$B$5:$B$5000)/('Input Transaksi'!$B$5:$B$5000="MONANG MANING"),ROWS($E$5:E208)),"")</f>
        <v/>
      </c>
      <c r="F208" s="5" t="n"/>
    </row>
    <row r="209">
      <c r="A209" s="10">
        <f>IF($E209="","",INDEX('Input Transaksi'!$A:$A,$E209))</f>
        <v/>
      </c>
      <c r="B209" s="5">
        <f>IF($E209="","",INDEX('Input Transaksi'!$D:$D,$E209))</f>
        <v/>
      </c>
      <c r="C209">
        <f>IF($E209="","",INDEX('Input Transaksi'!$E:$E,$E209))</f>
        <v/>
      </c>
      <c r="D209" s="5">
        <f>IF($E209="","",INDEX('Input Transaksi'!$F:$F,$E209))</f>
        <v/>
      </c>
      <c r="E209">
        <f>IFERROR(AGGREGATE(15,6,ROW('Input Transaksi'!$B$5:$B$5000)/('Input Transaksi'!$B$5:$B$5000="MONANG MANING"),ROWS($E$5:E209)),"")</f>
        <v/>
      </c>
      <c r="F209" s="5" t="n"/>
    </row>
    <row r="210">
      <c r="A210" s="10">
        <f>IF($E210="","",INDEX('Input Transaksi'!$A:$A,$E210))</f>
        <v/>
      </c>
      <c r="B210" s="5">
        <f>IF($E210="","",INDEX('Input Transaksi'!$D:$D,$E210))</f>
        <v/>
      </c>
      <c r="C210">
        <f>IF($E210="","",INDEX('Input Transaksi'!$E:$E,$E210))</f>
        <v/>
      </c>
      <c r="D210" s="5">
        <f>IF($E210="","",INDEX('Input Transaksi'!$F:$F,$E210))</f>
        <v/>
      </c>
      <c r="E210">
        <f>IFERROR(AGGREGATE(15,6,ROW('Input Transaksi'!$B$5:$B$5000)/('Input Transaksi'!$B$5:$B$5000="MONANG MANING"),ROWS($E$5:E210)),"")</f>
        <v/>
      </c>
      <c r="F210" s="5" t="n"/>
    </row>
    <row r="211">
      <c r="A211" s="10">
        <f>IF($E211="","",INDEX('Input Transaksi'!$A:$A,$E211))</f>
        <v/>
      </c>
      <c r="B211" s="5">
        <f>IF($E211="","",INDEX('Input Transaksi'!$D:$D,$E211))</f>
        <v/>
      </c>
      <c r="C211">
        <f>IF($E211="","",INDEX('Input Transaksi'!$E:$E,$E211))</f>
        <v/>
      </c>
      <c r="D211" s="5">
        <f>IF($E211="","",INDEX('Input Transaksi'!$F:$F,$E211))</f>
        <v/>
      </c>
      <c r="E211">
        <f>IFERROR(AGGREGATE(15,6,ROW('Input Transaksi'!$B$5:$B$5000)/('Input Transaksi'!$B$5:$B$5000="MONANG MANING"),ROWS($E$5:E211)),"")</f>
        <v/>
      </c>
      <c r="F211" s="5" t="n"/>
    </row>
    <row r="212">
      <c r="A212" s="10">
        <f>IF($E212="","",INDEX('Input Transaksi'!$A:$A,$E212))</f>
        <v/>
      </c>
      <c r="B212" s="5">
        <f>IF($E212="","",INDEX('Input Transaksi'!$D:$D,$E212))</f>
        <v/>
      </c>
      <c r="C212">
        <f>IF($E212="","",INDEX('Input Transaksi'!$E:$E,$E212))</f>
        <v/>
      </c>
      <c r="D212" s="5">
        <f>IF($E212="","",INDEX('Input Transaksi'!$F:$F,$E212))</f>
        <v/>
      </c>
      <c r="E212">
        <f>IFERROR(AGGREGATE(15,6,ROW('Input Transaksi'!$B$5:$B$5000)/('Input Transaksi'!$B$5:$B$5000="MONANG MANING"),ROWS($E$5:E212)),"")</f>
        <v/>
      </c>
      <c r="F212" s="5" t="n"/>
    </row>
    <row r="213">
      <c r="A213" s="10">
        <f>IF($E213="","",INDEX('Input Transaksi'!$A:$A,$E213))</f>
        <v/>
      </c>
      <c r="B213" s="5">
        <f>IF($E213="","",INDEX('Input Transaksi'!$D:$D,$E213))</f>
        <v/>
      </c>
      <c r="C213">
        <f>IF($E213="","",INDEX('Input Transaksi'!$E:$E,$E213))</f>
        <v/>
      </c>
      <c r="D213" s="5">
        <f>IF($E213="","",INDEX('Input Transaksi'!$F:$F,$E213))</f>
        <v/>
      </c>
      <c r="E213">
        <f>IFERROR(AGGREGATE(15,6,ROW('Input Transaksi'!$B$5:$B$5000)/('Input Transaksi'!$B$5:$B$5000="MONANG MANING"),ROWS($E$5:E213)),"")</f>
        <v/>
      </c>
      <c r="F213" s="5" t="n"/>
    </row>
    <row r="214">
      <c r="A214" s="10">
        <f>IF($E214="","",INDEX('Input Transaksi'!$A:$A,$E214))</f>
        <v/>
      </c>
      <c r="B214" s="5">
        <f>IF($E214="","",INDEX('Input Transaksi'!$D:$D,$E214))</f>
        <v/>
      </c>
      <c r="C214">
        <f>IF($E214="","",INDEX('Input Transaksi'!$E:$E,$E214))</f>
        <v/>
      </c>
      <c r="D214" s="5">
        <f>IF($E214="","",INDEX('Input Transaksi'!$F:$F,$E214))</f>
        <v/>
      </c>
      <c r="E214">
        <f>IFERROR(AGGREGATE(15,6,ROW('Input Transaksi'!$B$5:$B$5000)/('Input Transaksi'!$B$5:$B$5000="MONANG MANING"),ROWS($E$5:E214)),"")</f>
        <v/>
      </c>
      <c r="F214" s="5" t="n"/>
    </row>
    <row r="215">
      <c r="A215" s="10">
        <f>IF($E215="","",INDEX('Input Transaksi'!$A:$A,$E215))</f>
        <v/>
      </c>
      <c r="B215" s="5">
        <f>IF($E215="","",INDEX('Input Transaksi'!$D:$D,$E215))</f>
        <v/>
      </c>
      <c r="C215">
        <f>IF($E215="","",INDEX('Input Transaksi'!$E:$E,$E215))</f>
        <v/>
      </c>
      <c r="D215" s="5">
        <f>IF($E215="","",INDEX('Input Transaksi'!$F:$F,$E215))</f>
        <v/>
      </c>
      <c r="E215">
        <f>IFERROR(AGGREGATE(15,6,ROW('Input Transaksi'!$B$5:$B$5000)/('Input Transaksi'!$B$5:$B$5000="MONANG MANING"),ROWS($E$5:E215)),"")</f>
        <v/>
      </c>
      <c r="F215" s="5" t="n"/>
    </row>
    <row r="216">
      <c r="A216" s="10">
        <f>IF($E216="","",INDEX('Input Transaksi'!$A:$A,$E216))</f>
        <v/>
      </c>
      <c r="B216" s="5">
        <f>IF($E216="","",INDEX('Input Transaksi'!$D:$D,$E216))</f>
        <v/>
      </c>
      <c r="C216">
        <f>IF($E216="","",INDEX('Input Transaksi'!$E:$E,$E216))</f>
        <v/>
      </c>
      <c r="D216" s="5">
        <f>IF($E216="","",INDEX('Input Transaksi'!$F:$F,$E216))</f>
        <v/>
      </c>
      <c r="E216">
        <f>IFERROR(AGGREGATE(15,6,ROW('Input Transaksi'!$B$5:$B$5000)/('Input Transaksi'!$B$5:$B$5000="MONANG MANING"),ROWS($E$5:E216)),"")</f>
        <v/>
      </c>
      <c r="F216" s="5" t="n"/>
    </row>
    <row r="217">
      <c r="A217" s="10">
        <f>IF($E217="","",INDEX('Input Transaksi'!$A:$A,$E217))</f>
        <v/>
      </c>
      <c r="B217" s="5">
        <f>IF($E217="","",INDEX('Input Transaksi'!$D:$D,$E217))</f>
        <v/>
      </c>
      <c r="C217">
        <f>IF($E217="","",INDEX('Input Transaksi'!$E:$E,$E217))</f>
        <v/>
      </c>
      <c r="D217" s="5">
        <f>IF($E217="","",INDEX('Input Transaksi'!$F:$F,$E217))</f>
        <v/>
      </c>
      <c r="E217">
        <f>IFERROR(AGGREGATE(15,6,ROW('Input Transaksi'!$B$5:$B$5000)/('Input Transaksi'!$B$5:$B$5000="MONANG MANING"),ROWS($E$5:E217)),"")</f>
        <v/>
      </c>
      <c r="F217" s="5" t="n"/>
    </row>
    <row r="218">
      <c r="A218" s="10">
        <f>IF($E218="","",INDEX('Input Transaksi'!$A:$A,$E218))</f>
        <v/>
      </c>
      <c r="B218" s="5">
        <f>IF($E218="","",INDEX('Input Transaksi'!$D:$D,$E218))</f>
        <v/>
      </c>
      <c r="C218">
        <f>IF($E218="","",INDEX('Input Transaksi'!$E:$E,$E218))</f>
        <v/>
      </c>
      <c r="D218" s="5">
        <f>IF($E218="","",INDEX('Input Transaksi'!$F:$F,$E218))</f>
        <v/>
      </c>
      <c r="E218">
        <f>IFERROR(AGGREGATE(15,6,ROW('Input Transaksi'!$B$5:$B$5000)/('Input Transaksi'!$B$5:$B$5000="MONANG MANING"),ROWS($E$5:E218)),"")</f>
        <v/>
      </c>
      <c r="F218" s="5" t="n"/>
    </row>
    <row r="219">
      <c r="A219" s="10">
        <f>IF($E219="","",INDEX('Input Transaksi'!$A:$A,$E219))</f>
        <v/>
      </c>
      <c r="B219" s="5">
        <f>IF($E219="","",INDEX('Input Transaksi'!$D:$D,$E219))</f>
        <v/>
      </c>
      <c r="C219">
        <f>IF($E219="","",INDEX('Input Transaksi'!$E:$E,$E219))</f>
        <v/>
      </c>
      <c r="D219" s="5">
        <f>IF($E219="","",INDEX('Input Transaksi'!$F:$F,$E219))</f>
        <v/>
      </c>
      <c r="E219">
        <f>IFERROR(AGGREGATE(15,6,ROW('Input Transaksi'!$B$5:$B$5000)/('Input Transaksi'!$B$5:$B$5000="MONANG MANING"),ROWS($E$5:E219)),"")</f>
        <v/>
      </c>
      <c r="F219" s="5" t="n"/>
    </row>
    <row r="220">
      <c r="A220" s="10">
        <f>IF($E220="","",INDEX('Input Transaksi'!$A:$A,$E220))</f>
        <v/>
      </c>
      <c r="B220" s="5">
        <f>IF($E220="","",INDEX('Input Transaksi'!$D:$D,$E220))</f>
        <v/>
      </c>
      <c r="C220">
        <f>IF($E220="","",INDEX('Input Transaksi'!$E:$E,$E220))</f>
        <v/>
      </c>
      <c r="D220" s="5">
        <f>IF($E220="","",INDEX('Input Transaksi'!$F:$F,$E220))</f>
        <v/>
      </c>
      <c r="E220">
        <f>IFERROR(AGGREGATE(15,6,ROW('Input Transaksi'!$B$5:$B$5000)/('Input Transaksi'!$B$5:$B$5000="MONANG MANING"),ROWS($E$5:E220)),"")</f>
        <v/>
      </c>
      <c r="F220" s="5" t="n"/>
    </row>
    <row r="221">
      <c r="A221" s="10">
        <f>IF($E221="","",INDEX('Input Transaksi'!$A:$A,$E221))</f>
        <v/>
      </c>
      <c r="B221" s="5">
        <f>IF($E221="","",INDEX('Input Transaksi'!$D:$D,$E221))</f>
        <v/>
      </c>
      <c r="C221">
        <f>IF($E221="","",INDEX('Input Transaksi'!$E:$E,$E221))</f>
        <v/>
      </c>
      <c r="D221" s="5">
        <f>IF($E221="","",INDEX('Input Transaksi'!$F:$F,$E221))</f>
        <v/>
      </c>
      <c r="E221">
        <f>IFERROR(AGGREGATE(15,6,ROW('Input Transaksi'!$B$5:$B$5000)/('Input Transaksi'!$B$5:$B$5000="MONANG MANING"),ROWS($E$5:E221)),"")</f>
        <v/>
      </c>
      <c r="F221" s="5" t="n"/>
    </row>
    <row r="222">
      <c r="A222" s="10">
        <f>IF($E222="","",INDEX('Input Transaksi'!$A:$A,$E222))</f>
        <v/>
      </c>
      <c r="B222" s="5">
        <f>IF($E222="","",INDEX('Input Transaksi'!$D:$D,$E222))</f>
        <v/>
      </c>
      <c r="C222">
        <f>IF($E222="","",INDEX('Input Transaksi'!$E:$E,$E222))</f>
        <v/>
      </c>
      <c r="D222" s="5">
        <f>IF($E222="","",INDEX('Input Transaksi'!$F:$F,$E222))</f>
        <v/>
      </c>
      <c r="E222">
        <f>IFERROR(AGGREGATE(15,6,ROW('Input Transaksi'!$B$5:$B$5000)/('Input Transaksi'!$B$5:$B$5000="MONANG MANING"),ROWS($E$5:E222)),"")</f>
        <v/>
      </c>
      <c r="F222" s="5" t="n"/>
    </row>
    <row r="223">
      <c r="A223" s="10">
        <f>IF($E223="","",INDEX('Input Transaksi'!$A:$A,$E223))</f>
        <v/>
      </c>
      <c r="B223" s="5">
        <f>IF($E223="","",INDEX('Input Transaksi'!$D:$D,$E223))</f>
        <v/>
      </c>
      <c r="C223">
        <f>IF($E223="","",INDEX('Input Transaksi'!$E:$E,$E223))</f>
        <v/>
      </c>
      <c r="D223" s="5">
        <f>IF($E223="","",INDEX('Input Transaksi'!$F:$F,$E223))</f>
        <v/>
      </c>
      <c r="E223">
        <f>IFERROR(AGGREGATE(15,6,ROW('Input Transaksi'!$B$5:$B$5000)/('Input Transaksi'!$B$5:$B$5000="MONANG MANING"),ROWS($E$5:E223)),"")</f>
        <v/>
      </c>
      <c r="F223" s="5" t="n"/>
    </row>
    <row r="224">
      <c r="A224" s="10">
        <f>IF($E224="","",INDEX('Input Transaksi'!$A:$A,$E224))</f>
        <v/>
      </c>
      <c r="B224" s="5">
        <f>IF($E224="","",INDEX('Input Transaksi'!$D:$D,$E224))</f>
        <v/>
      </c>
      <c r="C224">
        <f>IF($E224="","",INDEX('Input Transaksi'!$E:$E,$E224))</f>
        <v/>
      </c>
      <c r="D224" s="5">
        <f>IF($E224="","",INDEX('Input Transaksi'!$F:$F,$E224))</f>
        <v/>
      </c>
      <c r="E224">
        <f>IFERROR(AGGREGATE(15,6,ROW('Input Transaksi'!$B$5:$B$5000)/('Input Transaksi'!$B$5:$B$5000="MONANG MANING"),ROWS($E$5:E224)),"")</f>
        <v/>
      </c>
      <c r="F224" s="5" t="n"/>
    </row>
    <row r="225">
      <c r="A225" s="10">
        <f>IF($E225="","",INDEX('Input Transaksi'!$A:$A,$E225))</f>
        <v/>
      </c>
      <c r="B225" s="5">
        <f>IF($E225="","",INDEX('Input Transaksi'!$D:$D,$E225))</f>
        <v/>
      </c>
      <c r="C225">
        <f>IF($E225="","",INDEX('Input Transaksi'!$E:$E,$E225))</f>
        <v/>
      </c>
      <c r="D225" s="5">
        <f>IF($E225="","",INDEX('Input Transaksi'!$F:$F,$E225))</f>
        <v/>
      </c>
      <c r="E225">
        <f>IFERROR(AGGREGATE(15,6,ROW('Input Transaksi'!$B$5:$B$5000)/('Input Transaksi'!$B$5:$B$5000="MONANG MANING"),ROWS($E$5:E225)),"")</f>
        <v/>
      </c>
      <c r="F225" s="5" t="n"/>
    </row>
    <row r="226">
      <c r="A226" s="10">
        <f>IF($E226="","",INDEX('Input Transaksi'!$A:$A,$E226))</f>
        <v/>
      </c>
      <c r="B226" s="5">
        <f>IF($E226="","",INDEX('Input Transaksi'!$D:$D,$E226))</f>
        <v/>
      </c>
      <c r="C226">
        <f>IF($E226="","",INDEX('Input Transaksi'!$E:$E,$E226))</f>
        <v/>
      </c>
      <c r="D226" s="5">
        <f>IF($E226="","",INDEX('Input Transaksi'!$F:$F,$E226))</f>
        <v/>
      </c>
      <c r="E226">
        <f>IFERROR(AGGREGATE(15,6,ROW('Input Transaksi'!$B$5:$B$5000)/('Input Transaksi'!$B$5:$B$5000="MONANG MANING"),ROWS($E$5:E226)),"")</f>
        <v/>
      </c>
      <c r="F226" s="5" t="n"/>
    </row>
    <row r="227">
      <c r="A227" s="10">
        <f>IF($E227="","",INDEX('Input Transaksi'!$A:$A,$E227))</f>
        <v/>
      </c>
      <c r="B227" s="5">
        <f>IF($E227="","",INDEX('Input Transaksi'!$D:$D,$E227))</f>
        <v/>
      </c>
      <c r="C227">
        <f>IF($E227="","",INDEX('Input Transaksi'!$E:$E,$E227))</f>
        <v/>
      </c>
      <c r="D227" s="5">
        <f>IF($E227="","",INDEX('Input Transaksi'!$F:$F,$E227))</f>
        <v/>
      </c>
      <c r="E227">
        <f>IFERROR(AGGREGATE(15,6,ROW('Input Transaksi'!$B$5:$B$5000)/('Input Transaksi'!$B$5:$B$5000="MONANG MANING"),ROWS($E$5:E227)),"")</f>
        <v/>
      </c>
      <c r="F227" s="5" t="n"/>
    </row>
    <row r="228">
      <c r="A228" s="10">
        <f>IF($E228="","",INDEX('Input Transaksi'!$A:$A,$E228))</f>
        <v/>
      </c>
      <c r="B228" s="5">
        <f>IF($E228="","",INDEX('Input Transaksi'!$D:$D,$E228))</f>
        <v/>
      </c>
      <c r="C228">
        <f>IF($E228="","",INDEX('Input Transaksi'!$E:$E,$E228))</f>
        <v/>
      </c>
      <c r="D228" s="5">
        <f>IF($E228="","",INDEX('Input Transaksi'!$F:$F,$E228))</f>
        <v/>
      </c>
      <c r="E228">
        <f>IFERROR(AGGREGATE(15,6,ROW('Input Transaksi'!$B$5:$B$5000)/('Input Transaksi'!$B$5:$B$5000="MONANG MANING"),ROWS($E$5:E228)),"")</f>
        <v/>
      </c>
      <c r="F228" s="5" t="n"/>
    </row>
    <row r="229">
      <c r="A229" s="10">
        <f>IF($E229="","",INDEX('Input Transaksi'!$A:$A,$E229))</f>
        <v/>
      </c>
      <c r="B229" s="5">
        <f>IF($E229="","",INDEX('Input Transaksi'!$D:$D,$E229))</f>
        <v/>
      </c>
      <c r="C229">
        <f>IF($E229="","",INDEX('Input Transaksi'!$E:$E,$E229))</f>
        <v/>
      </c>
      <c r="D229" s="5">
        <f>IF($E229="","",INDEX('Input Transaksi'!$F:$F,$E229))</f>
        <v/>
      </c>
      <c r="E229">
        <f>IFERROR(AGGREGATE(15,6,ROW('Input Transaksi'!$B$5:$B$5000)/('Input Transaksi'!$B$5:$B$5000="MONANG MANING"),ROWS($E$5:E229)),"")</f>
        <v/>
      </c>
      <c r="F229" s="5" t="n"/>
    </row>
    <row r="230">
      <c r="A230" s="10">
        <f>IF($E230="","",INDEX('Input Transaksi'!$A:$A,$E230))</f>
        <v/>
      </c>
      <c r="B230" s="5">
        <f>IF($E230="","",INDEX('Input Transaksi'!$D:$D,$E230))</f>
        <v/>
      </c>
      <c r="C230">
        <f>IF($E230="","",INDEX('Input Transaksi'!$E:$E,$E230))</f>
        <v/>
      </c>
      <c r="D230" s="5">
        <f>IF($E230="","",INDEX('Input Transaksi'!$F:$F,$E230))</f>
        <v/>
      </c>
      <c r="E230">
        <f>IFERROR(AGGREGATE(15,6,ROW('Input Transaksi'!$B$5:$B$5000)/('Input Transaksi'!$B$5:$B$5000="MONANG MANING"),ROWS($E$5:E230)),"")</f>
        <v/>
      </c>
      <c r="F230" s="5" t="n"/>
    </row>
    <row r="231">
      <c r="A231" s="10">
        <f>IF($E231="","",INDEX('Input Transaksi'!$A:$A,$E231))</f>
        <v/>
      </c>
      <c r="B231" s="5">
        <f>IF($E231="","",INDEX('Input Transaksi'!$D:$D,$E231))</f>
        <v/>
      </c>
      <c r="C231">
        <f>IF($E231="","",INDEX('Input Transaksi'!$E:$E,$E231))</f>
        <v/>
      </c>
      <c r="D231" s="5">
        <f>IF($E231="","",INDEX('Input Transaksi'!$F:$F,$E231))</f>
        <v/>
      </c>
      <c r="E231">
        <f>IFERROR(AGGREGATE(15,6,ROW('Input Transaksi'!$B$5:$B$5000)/('Input Transaksi'!$B$5:$B$5000="MONANG MANING"),ROWS($E$5:E231)),"")</f>
        <v/>
      </c>
      <c r="F231" s="5" t="n"/>
    </row>
    <row r="232">
      <c r="A232" s="10">
        <f>IF($E232="","",INDEX('Input Transaksi'!$A:$A,$E232))</f>
        <v/>
      </c>
      <c r="B232" s="5">
        <f>IF($E232="","",INDEX('Input Transaksi'!$D:$D,$E232))</f>
        <v/>
      </c>
      <c r="C232">
        <f>IF($E232="","",INDEX('Input Transaksi'!$E:$E,$E232))</f>
        <v/>
      </c>
      <c r="D232" s="5">
        <f>IF($E232="","",INDEX('Input Transaksi'!$F:$F,$E232))</f>
        <v/>
      </c>
      <c r="E232">
        <f>IFERROR(AGGREGATE(15,6,ROW('Input Transaksi'!$B$5:$B$5000)/('Input Transaksi'!$B$5:$B$5000="MONANG MANING"),ROWS($E$5:E232)),"")</f>
        <v/>
      </c>
      <c r="F232" s="5" t="n"/>
    </row>
    <row r="233">
      <c r="A233" s="10">
        <f>IF($E233="","",INDEX('Input Transaksi'!$A:$A,$E233))</f>
        <v/>
      </c>
      <c r="B233" s="5">
        <f>IF($E233="","",INDEX('Input Transaksi'!$D:$D,$E233))</f>
        <v/>
      </c>
      <c r="C233">
        <f>IF($E233="","",INDEX('Input Transaksi'!$E:$E,$E233))</f>
        <v/>
      </c>
      <c r="D233" s="5">
        <f>IF($E233="","",INDEX('Input Transaksi'!$F:$F,$E233))</f>
        <v/>
      </c>
      <c r="E233">
        <f>IFERROR(AGGREGATE(15,6,ROW('Input Transaksi'!$B$5:$B$5000)/('Input Transaksi'!$B$5:$B$5000="MONANG MANING"),ROWS($E$5:E233)),"")</f>
        <v/>
      </c>
      <c r="F233" s="5" t="n"/>
    </row>
    <row r="234">
      <c r="A234" s="10">
        <f>IF($E234="","",INDEX('Input Transaksi'!$A:$A,$E234))</f>
        <v/>
      </c>
      <c r="B234" s="5">
        <f>IF($E234="","",INDEX('Input Transaksi'!$D:$D,$E234))</f>
        <v/>
      </c>
      <c r="C234">
        <f>IF($E234="","",INDEX('Input Transaksi'!$E:$E,$E234))</f>
        <v/>
      </c>
      <c r="D234" s="5">
        <f>IF($E234="","",INDEX('Input Transaksi'!$F:$F,$E234))</f>
        <v/>
      </c>
      <c r="E234">
        <f>IFERROR(AGGREGATE(15,6,ROW('Input Transaksi'!$B$5:$B$5000)/('Input Transaksi'!$B$5:$B$5000="MONANG MANING"),ROWS($E$5:E234)),"")</f>
        <v/>
      </c>
      <c r="F234" s="5" t="n"/>
    </row>
    <row r="235">
      <c r="A235" s="10">
        <f>IF($E235="","",INDEX('Input Transaksi'!$A:$A,$E235))</f>
        <v/>
      </c>
      <c r="B235" s="5">
        <f>IF($E235="","",INDEX('Input Transaksi'!$D:$D,$E235))</f>
        <v/>
      </c>
      <c r="C235">
        <f>IF($E235="","",INDEX('Input Transaksi'!$E:$E,$E235))</f>
        <v/>
      </c>
      <c r="D235" s="5">
        <f>IF($E235="","",INDEX('Input Transaksi'!$F:$F,$E235))</f>
        <v/>
      </c>
      <c r="E235">
        <f>IFERROR(AGGREGATE(15,6,ROW('Input Transaksi'!$B$5:$B$5000)/('Input Transaksi'!$B$5:$B$5000="MONANG MANING"),ROWS($E$5:E235)),"")</f>
        <v/>
      </c>
      <c r="F235" s="5" t="n"/>
    </row>
    <row r="236">
      <c r="A236" s="10">
        <f>IF($E236="","",INDEX('Input Transaksi'!$A:$A,$E236))</f>
        <v/>
      </c>
      <c r="B236" s="5">
        <f>IF($E236="","",INDEX('Input Transaksi'!$D:$D,$E236))</f>
        <v/>
      </c>
      <c r="C236">
        <f>IF($E236="","",INDEX('Input Transaksi'!$E:$E,$E236))</f>
        <v/>
      </c>
      <c r="D236" s="5">
        <f>IF($E236="","",INDEX('Input Transaksi'!$F:$F,$E236))</f>
        <v/>
      </c>
      <c r="E236">
        <f>IFERROR(AGGREGATE(15,6,ROW('Input Transaksi'!$B$5:$B$5000)/('Input Transaksi'!$B$5:$B$5000="MONANG MANING"),ROWS($E$5:E236)),"")</f>
        <v/>
      </c>
      <c r="F236" s="5" t="n"/>
    </row>
    <row r="237">
      <c r="A237" s="10">
        <f>IF($E237="","",INDEX('Input Transaksi'!$A:$A,$E237))</f>
        <v/>
      </c>
      <c r="B237" s="5">
        <f>IF($E237="","",INDEX('Input Transaksi'!$D:$D,$E237))</f>
        <v/>
      </c>
      <c r="C237">
        <f>IF($E237="","",INDEX('Input Transaksi'!$E:$E,$E237))</f>
        <v/>
      </c>
      <c r="D237" s="5">
        <f>IF($E237="","",INDEX('Input Transaksi'!$F:$F,$E237))</f>
        <v/>
      </c>
      <c r="E237">
        <f>IFERROR(AGGREGATE(15,6,ROW('Input Transaksi'!$B$5:$B$5000)/('Input Transaksi'!$B$5:$B$5000="MONANG MANING"),ROWS($E$5:E237)),"")</f>
        <v/>
      </c>
      <c r="F237" s="5" t="n"/>
    </row>
    <row r="238">
      <c r="A238" s="10">
        <f>IF($E238="","",INDEX('Input Transaksi'!$A:$A,$E238))</f>
        <v/>
      </c>
      <c r="B238" s="5">
        <f>IF($E238="","",INDEX('Input Transaksi'!$D:$D,$E238))</f>
        <v/>
      </c>
      <c r="C238">
        <f>IF($E238="","",INDEX('Input Transaksi'!$E:$E,$E238))</f>
        <v/>
      </c>
      <c r="D238" s="5">
        <f>IF($E238="","",INDEX('Input Transaksi'!$F:$F,$E238))</f>
        <v/>
      </c>
      <c r="E238">
        <f>IFERROR(AGGREGATE(15,6,ROW('Input Transaksi'!$B$5:$B$5000)/('Input Transaksi'!$B$5:$B$5000="MONANG MANING"),ROWS($E$5:E238)),"")</f>
        <v/>
      </c>
      <c r="F238" s="5" t="n"/>
    </row>
    <row r="239">
      <c r="A239" s="10">
        <f>IF($E239="","",INDEX('Input Transaksi'!$A:$A,$E239))</f>
        <v/>
      </c>
      <c r="B239" s="5">
        <f>IF($E239="","",INDEX('Input Transaksi'!$D:$D,$E239))</f>
        <v/>
      </c>
      <c r="C239">
        <f>IF($E239="","",INDEX('Input Transaksi'!$E:$E,$E239))</f>
        <v/>
      </c>
      <c r="D239" s="5">
        <f>IF($E239="","",INDEX('Input Transaksi'!$F:$F,$E239))</f>
        <v/>
      </c>
      <c r="E239">
        <f>IFERROR(AGGREGATE(15,6,ROW('Input Transaksi'!$B$5:$B$5000)/('Input Transaksi'!$B$5:$B$5000="MONANG MANING"),ROWS($E$5:E239)),"")</f>
        <v/>
      </c>
      <c r="F239" s="5" t="n"/>
    </row>
    <row r="240">
      <c r="A240" s="10">
        <f>IF($E240="","",INDEX('Input Transaksi'!$A:$A,$E240))</f>
        <v/>
      </c>
      <c r="B240" s="5">
        <f>IF($E240="","",INDEX('Input Transaksi'!$D:$D,$E240))</f>
        <v/>
      </c>
      <c r="C240">
        <f>IF($E240="","",INDEX('Input Transaksi'!$E:$E,$E240))</f>
        <v/>
      </c>
      <c r="D240" s="5">
        <f>IF($E240="","",INDEX('Input Transaksi'!$F:$F,$E240))</f>
        <v/>
      </c>
      <c r="E240">
        <f>IFERROR(AGGREGATE(15,6,ROW('Input Transaksi'!$B$5:$B$5000)/('Input Transaksi'!$B$5:$B$5000="MONANG MANING"),ROWS($E$5:E240)),"")</f>
        <v/>
      </c>
      <c r="F240" s="5" t="n"/>
    </row>
    <row r="241">
      <c r="A241" s="10">
        <f>IF($E241="","",INDEX('Input Transaksi'!$A:$A,$E241))</f>
        <v/>
      </c>
      <c r="B241" s="5">
        <f>IF($E241="","",INDEX('Input Transaksi'!$D:$D,$E241))</f>
        <v/>
      </c>
      <c r="C241">
        <f>IF($E241="","",INDEX('Input Transaksi'!$E:$E,$E241))</f>
        <v/>
      </c>
      <c r="D241" s="5">
        <f>IF($E241="","",INDEX('Input Transaksi'!$F:$F,$E241))</f>
        <v/>
      </c>
      <c r="E241">
        <f>IFERROR(AGGREGATE(15,6,ROW('Input Transaksi'!$B$5:$B$5000)/('Input Transaksi'!$B$5:$B$5000="MONANG MANING"),ROWS($E$5:E241)),"")</f>
        <v/>
      </c>
      <c r="F241" s="5" t="n"/>
    </row>
    <row r="242">
      <c r="A242" s="10">
        <f>IF($E242="","",INDEX('Input Transaksi'!$A:$A,$E242))</f>
        <v/>
      </c>
      <c r="B242" s="5">
        <f>IF($E242="","",INDEX('Input Transaksi'!$D:$D,$E242))</f>
        <v/>
      </c>
      <c r="C242">
        <f>IF($E242="","",INDEX('Input Transaksi'!$E:$E,$E242))</f>
        <v/>
      </c>
      <c r="D242" s="5">
        <f>IF($E242="","",INDEX('Input Transaksi'!$F:$F,$E242))</f>
        <v/>
      </c>
      <c r="E242">
        <f>IFERROR(AGGREGATE(15,6,ROW('Input Transaksi'!$B$5:$B$5000)/('Input Transaksi'!$B$5:$B$5000="MONANG MANING"),ROWS($E$5:E242)),"")</f>
        <v/>
      </c>
      <c r="F242" s="5" t="n"/>
    </row>
    <row r="243">
      <c r="A243" s="10">
        <f>IF($E243="","",INDEX('Input Transaksi'!$A:$A,$E243))</f>
        <v/>
      </c>
      <c r="B243" s="5">
        <f>IF($E243="","",INDEX('Input Transaksi'!$D:$D,$E243))</f>
        <v/>
      </c>
      <c r="C243">
        <f>IF($E243="","",INDEX('Input Transaksi'!$E:$E,$E243))</f>
        <v/>
      </c>
      <c r="D243" s="5">
        <f>IF($E243="","",INDEX('Input Transaksi'!$F:$F,$E243))</f>
        <v/>
      </c>
      <c r="E243">
        <f>IFERROR(AGGREGATE(15,6,ROW('Input Transaksi'!$B$5:$B$5000)/('Input Transaksi'!$B$5:$B$5000="MONANG MANING"),ROWS($E$5:E243)),"")</f>
        <v/>
      </c>
      <c r="F243" s="5" t="n"/>
    </row>
    <row r="244">
      <c r="A244" s="10">
        <f>IF($E244="","",INDEX('Input Transaksi'!$A:$A,$E244))</f>
        <v/>
      </c>
      <c r="B244" s="5">
        <f>IF($E244="","",INDEX('Input Transaksi'!$D:$D,$E244))</f>
        <v/>
      </c>
      <c r="C244">
        <f>IF($E244="","",INDEX('Input Transaksi'!$E:$E,$E244))</f>
        <v/>
      </c>
      <c r="D244" s="5">
        <f>IF($E244="","",INDEX('Input Transaksi'!$F:$F,$E244))</f>
        <v/>
      </c>
      <c r="E244">
        <f>IFERROR(AGGREGATE(15,6,ROW('Input Transaksi'!$B$5:$B$5000)/('Input Transaksi'!$B$5:$B$5000="MONANG MANING"),ROWS($E$5:E244)),"")</f>
        <v/>
      </c>
      <c r="F244" s="5" t="n"/>
    </row>
    <row r="245">
      <c r="A245" s="10">
        <f>IF($E245="","",INDEX('Input Transaksi'!$A:$A,$E245))</f>
        <v/>
      </c>
      <c r="B245" s="5">
        <f>IF($E245="","",INDEX('Input Transaksi'!$D:$D,$E245))</f>
        <v/>
      </c>
      <c r="C245">
        <f>IF($E245="","",INDEX('Input Transaksi'!$E:$E,$E245))</f>
        <v/>
      </c>
      <c r="D245" s="5">
        <f>IF($E245="","",INDEX('Input Transaksi'!$F:$F,$E245))</f>
        <v/>
      </c>
      <c r="E245">
        <f>IFERROR(AGGREGATE(15,6,ROW('Input Transaksi'!$B$5:$B$5000)/('Input Transaksi'!$B$5:$B$5000="MONANG MANING"),ROWS($E$5:E245)),"")</f>
        <v/>
      </c>
      <c r="F245" s="5" t="n"/>
    </row>
    <row r="246">
      <c r="A246" s="10">
        <f>IF($E246="","",INDEX('Input Transaksi'!$A:$A,$E246))</f>
        <v/>
      </c>
      <c r="B246" s="5">
        <f>IF($E246="","",INDEX('Input Transaksi'!$D:$D,$E246))</f>
        <v/>
      </c>
      <c r="C246">
        <f>IF($E246="","",INDEX('Input Transaksi'!$E:$E,$E246))</f>
        <v/>
      </c>
      <c r="D246" s="5">
        <f>IF($E246="","",INDEX('Input Transaksi'!$F:$F,$E246))</f>
        <v/>
      </c>
      <c r="E246">
        <f>IFERROR(AGGREGATE(15,6,ROW('Input Transaksi'!$B$5:$B$5000)/('Input Transaksi'!$B$5:$B$5000="MONANG MANING"),ROWS($E$5:E246)),"")</f>
        <v/>
      </c>
      <c r="F246" s="5" t="n"/>
    </row>
    <row r="247">
      <c r="A247" s="10">
        <f>IF($E247="","",INDEX('Input Transaksi'!$A:$A,$E247))</f>
        <v/>
      </c>
      <c r="B247" s="5">
        <f>IF($E247="","",INDEX('Input Transaksi'!$D:$D,$E247))</f>
        <v/>
      </c>
      <c r="C247">
        <f>IF($E247="","",INDEX('Input Transaksi'!$E:$E,$E247))</f>
        <v/>
      </c>
      <c r="D247" s="5">
        <f>IF($E247="","",INDEX('Input Transaksi'!$F:$F,$E247))</f>
        <v/>
      </c>
      <c r="E247">
        <f>IFERROR(AGGREGATE(15,6,ROW('Input Transaksi'!$B$5:$B$5000)/('Input Transaksi'!$B$5:$B$5000="MONANG MANING"),ROWS($E$5:E247)),"")</f>
        <v/>
      </c>
      <c r="F247" s="5" t="n"/>
    </row>
    <row r="248">
      <c r="A248" s="10">
        <f>IF($E248="","",INDEX('Input Transaksi'!$A:$A,$E248))</f>
        <v/>
      </c>
      <c r="B248" s="5">
        <f>IF($E248="","",INDEX('Input Transaksi'!$D:$D,$E248))</f>
        <v/>
      </c>
      <c r="C248">
        <f>IF($E248="","",INDEX('Input Transaksi'!$E:$E,$E248))</f>
        <v/>
      </c>
      <c r="D248" s="5">
        <f>IF($E248="","",INDEX('Input Transaksi'!$F:$F,$E248))</f>
        <v/>
      </c>
      <c r="E248">
        <f>IFERROR(AGGREGATE(15,6,ROW('Input Transaksi'!$B$5:$B$5000)/('Input Transaksi'!$B$5:$B$5000="MONANG MANING"),ROWS($E$5:E248)),"")</f>
        <v/>
      </c>
      <c r="F248" s="5" t="n"/>
    </row>
    <row r="249">
      <c r="A249" s="10">
        <f>IF($E249="","",INDEX('Input Transaksi'!$A:$A,$E249))</f>
        <v/>
      </c>
      <c r="B249" s="5">
        <f>IF($E249="","",INDEX('Input Transaksi'!$D:$D,$E249))</f>
        <v/>
      </c>
      <c r="C249">
        <f>IF($E249="","",INDEX('Input Transaksi'!$E:$E,$E249))</f>
        <v/>
      </c>
      <c r="D249" s="5">
        <f>IF($E249="","",INDEX('Input Transaksi'!$F:$F,$E249))</f>
        <v/>
      </c>
      <c r="E249">
        <f>IFERROR(AGGREGATE(15,6,ROW('Input Transaksi'!$B$5:$B$5000)/('Input Transaksi'!$B$5:$B$5000="MONANG MANING"),ROWS($E$5:E249)),"")</f>
        <v/>
      </c>
      <c r="F249" s="5" t="n"/>
    </row>
    <row r="250">
      <c r="A250" s="10">
        <f>IF($E250="","",INDEX('Input Transaksi'!$A:$A,$E250))</f>
        <v/>
      </c>
      <c r="B250" s="5">
        <f>IF($E250="","",INDEX('Input Transaksi'!$D:$D,$E250))</f>
        <v/>
      </c>
      <c r="C250">
        <f>IF($E250="","",INDEX('Input Transaksi'!$E:$E,$E250))</f>
        <v/>
      </c>
      <c r="D250" s="5">
        <f>IF($E250="","",INDEX('Input Transaksi'!$F:$F,$E250))</f>
        <v/>
      </c>
      <c r="E250">
        <f>IFERROR(AGGREGATE(15,6,ROW('Input Transaksi'!$B$5:$B$5000)/('Input Transaksi'!$B$5:$B$5000="MONANG MANING"),ROWS($E$5:E250)),"")</f>
        <v/>
      </c>
      <c r="F250" s="5" t="n"/>
    </row>
    <row r="251">
      <c r="A251" s="10">
        <f>IF($E251="","",INDEX('Input Transaksi'!$A:$A,$E251))</f>
        <v/>
      </c>
      <c r="B251" s="5">
        <f>IF($E251="","",INDEX('Input Transaksi'!$D:$D,$E251))</f>
        <v/>
      </c>
      <c r="C251">
        <f>IF($E251="","",INDEX('Input Transaksi'!$E:$E,$E251))</f>
        <v/>
      </c>
      <c r="D251" s="5">
        <f>IF($E251="","",INDEX('Input Transaksi'!$F:$F,$E251))</f>
        <v/>
      </c>
      <c r="E251">
        <f>IFERROR(AGGREGATE(15,6,ROW('Input Transaksi'!$B$5:$B$5000)/('Input Transaksi'!$B$5:$B$5000="MONANG MANING"),ROWS($E$5:E251)),"")</f>
        <v/>
      </c>
      <c r="F251" s="5" t="n"/>
    </row>
    <row r="252">
      <c r="A252" s="10">
        <f>IF($E252="","",INDEX('Input Transaksi'!$A:$A,$E252))</f>
        <v/>
      </c>
      <c r="B252" s="5">
        <f>IF($E252="","",INDEX('Input Transaksi'!$D:$D,$E252))</f>
        <v/>
      </c>
      <c r="C252">
        <f>IF($E252="","",INDEX('Input Transaksi'!$E:$E,$E252))</f>
        <v/>
      </c>
      <c r="D252" s="5">
        <f>IF($E252="","",INDEX('Input Transaksi'!$F:$F,$E252))</f>
        <v/>
      </c>
      <c r="E252">
        <f>IFERROR(AGGREGATE(15,6,ROW('Input Transaksi'!$B$5:$B$5000)/('Input Transaksi'!$B$5:$B$5000="MONANG MANING"),ROWS($E$5:E252)),"")</f>
        <v/>
      </c>
      <c r="F252" s="5" t="n"/>
    </row>
    <row r="253">
      <c r="A253" s="10">
        <f>IF($E253="","",INDEX('Input Transaksi'!$A:$A,$E253))</f>
        <v/>
      </c>
      <c r="B253" s="5">
        <f>IF($E253="","",INDEX('Input Transaksi'!$D:$D,$E253))</f>
        <v/>
      </c>
      <c r="C253">
        <f>IF($E253="","",INDEX('Input Transaksi'!$E:$E,$E253))</f>
        <v/>
      </c>
      <c r="D253" s="5">
        <f>IF($E253="","",INDEX('Input Transaksi'!$F:$F,$E253))</f>
        <v/>
      </c>
      <c r="E253">
        <f>IFERROR(AGGREGATE(15,6,ROW('Input Transaksi'!$B$5:$B$5000)/('Input Transaksi'!$B$5:$B$5000="MONANG MANING"),ROWS($E$5:E253)),"")</f>
        <v/>
      </c>
      <c r="F253" s="5" t="n"/>
    </row>
    <row r="254">
      <c r="A254" s="10">
        <f>IF($E254="","",INDEX('Input Transaksi'!$A:$A,$E254))</f>
        <v/>
      </c>
      <c r="B254" s="5">
        <f>IF($E254="","",INDEX('Input Transaksi'!$D:$D,$E254))</f>
        <v/>
      </c>
      <c r="C254">
        <f>IF($E254="","",INDEX('Input Transaksi'!$E:$E,$E254))</f>
        <v/>
      </c>
      <c r="D254" s="5">
        <f>IF($E254="","",INDEX('Input Transaksi'!$F:$F,$E254))</f>
        <v/>
      </c>
      <c r="E254">
        <f>IFERROR(AGGREGATE(15,6,ROW('Input Transaksi'!$B$5:$B$5000)/('Input Transaksi'!$B$5:$B$5000="MONANG MANING"),ROWS($E$5:E254)),"")</f>
        <v/>
      </c>
      <c r="F254" s="5" t="n"/>
    </row>
    <row r="255">
      <c r="A255" s="10">
        <f>IF($E255="","",INDEX('Input Transaksi'!$A:$A,$E255))</f>
        <v/>
      </c>
      <c r="B255" s="5">
        <f>IF($E255="","",INDEX('Input Transaksi'!$D:$D,$E255))</f>
        <v/>
      </c>
      <c r="C255">
        <f>IF($E255="","",INDEX('Input Transaksi'!$E:$E,$E255))</f>
        <v/>
      </c>
      <c r="D255" s="5">
        <f>IF($E255="","",INDEX('Input Transaksi'!$F:$F,$E255))</f>
        <v/>
      </c>
      <c r="E255">
        <f>IFERROR(AGGREGATE(15,6,ROW('Input Transaksi'!$B$5:$B$5000)/('Input Transaksi'!$B$5:$B$5000="MONANG MANING"),ROWS($E$5:E255)),"")</f>
        <v/>
      </c>
      <c r="F255" s="5" t="n"/>
    </row>
    <row r="256">
      <c r="A256" s="10">
        <f>IF($E256="","",INDEX('Input Transaksi'!$A:$A,$E256))</f>
        <v/>
      </c>
      <c r="B256" s="5">
        <f>IF($E256="","",INDEX('Input Transaksi'!$D:$D,$E256))</f>
        <v/>
      </c>
      <c r="C256">
        <f>IF($E256="","",INDEX('Input Transaksi'!$E:$E,$E256))</f>
        <v/>
      </c>
      <c r="D256" s="5">
        <f>IF($E256="","",INDEX('Input Transaksi'!$F:$F,$E256))</f>
        <v/>
      </c>
      <c r="E256">
        <f>IFERROR(AGGREGATE(15,6,ROW('Input Transaksi'!$B$5:$B$5000)/('Input Transaksi'!$B$5:$B$5000="MONANG MANING"),ROWS($E$5:E256)),"")</f>
        <v/>
      </c>
      <c r="F256" s="5" t="n"/>
    </row>
    <row r="257">
      <c r="A257" s="10">
        <f>IF($E257="","",INDEX('Input Transaksi'!$A:$A,$E257))</f>
        <v/>
      </c>
      <c r="B257" s="5">
        <f>IF($E257="","",INDEX('Input Transaksi'!$D:$D,$E257))</f>
        <v/>
      </c>
      <c r="C257">
        <f>IF($E257="","",INDEX('Input Transaksi'!$E:$E,$E257))</f>
        <v/>
      </c>
      <c r="D257" s="5">
        <f>IF($E257="","",INDEX('Input Transaksi'!$F:$F,$E257))</f>
        <v/>
      </c>
      <c r="E257">
        <f>IFERROR(AGGREGATE(15,6,ROW('Input Transaksi'!$B$5:$B$5000)/('Input Transaksi'!$B$5:$B$5000="MONANG MANING"),ROWS($E$5:E257)),"")</f>
        <v/>
      </c>
      <c r="F257" s="5" t="n"/>
    </row>
    <row r="258">
      <c r="A258" s="10">
        <f>IF($E258="","",INDEX('Input Transaksi'!$A:$A,$E258))</f>
        <v/>
      </c>
      <c r="B258" s="5">
        <f>IF($E258="","",INDEX('Input Transaksi'!$D:$D,$E258))</f>
        <v/>
      </c>
      <c r="C258">
        <f>IF($E258="","",INDEX('Input Transaksi'!$E:$E,$E258))</f>
        <v/>
      </c>
      <c r="D258" s="5">
        <f>IF($E258="","",INDEX('Input Transaksi'!$F:$F,$E258))</f>
        <v/>
      </c>
      <c r="E258">
        <f>IFERROR(AGGREGATE(15,6,ROW('Input Transaksi'!$B$5:$B$5000)/('Input Transaksi'!$B$5:$B$5000="MONANG MANING"),ROWS($E$5:E258)),"")</f>
        <v/>
      </c>
      <c r="F258" s="5" t="n"/>
    </row>
    <row r="259">
      <c r="A259" s="10">
        <f>IF($E259="","",INDEX('Input Transaksi'!$A:$A,$E259))</f>
        <v/>
      </c>
      <c r="B259" s="5">
        <f>IF($E259="","",INDEX('Input Transaksi'!$D:$D,$E259))</f>
        <v/>
      </c>
      <c r="C259">
        <f>IF($E259="","",INDEX('Input Transaksi'!$E:$E,$E259))</f>
        <v/>
      </c>
      <c r="D259" s="5">
        <f>IF($E259="","",INDEX('Input Transaksi'!$F:$F,$E259))</f>
        <v/>
      </c>
      <c r="E259">
        <f>IFERROR(AGGREGATE(15,6,ROW('Input Transaksi'!$B$5:$B$5000)/('Input Transaksi'!$B$5:$B$5000="MONANG MANING"),ROWS($E$5:E259)),"")</f>
        <v/>
      </c>
      <c r="F259" s="5" t="n"/>
    </row>
    <row r="260">
      <c r="A260" s="10">
        <f>IF($E260="","",INDEX('Input Transaksi'!$A:$A,$E260))</f>
        <v/>
      </c>
      <c r="B260" s="5">
        <f>IF($E260="","",INDEX('Input Transaksi'!$D:$D,$E260))</f>
        <v/>
      </c>
      <c r="C260">
        <f>IF($E260="","",INDEX('Input Transaksi'!$E:$E,$E260))</f>
        <v/>
      </c>
      <c r="D260" s="5">
        <f>IF($E260="","",INDEX('Input Transaksi'!$F:$F,$E260))</f>
        <v/>
      </c>
      <c r="E260">
        <f>IFERROR(AGGREGATE(15,6,ROW('Input Transaksi'!$B$5:$B$5000)/('Input Transaksi'!$B$5:$B$5000="MONANG MANING"),ROWS($E$5:E260)),"")</f>
        <v/>
      </c>
      <c r="F260" s="5" t="n"/>
    </row>
    <row r="261">
      <c r="A261" s="10">
        <f>IF($E261="","",INDEX('Input Transaksi'!$A:$A,$E261))</f>
        <v/>
      </c>
      <c r="B261" s="5">
        <f>IF($E261="","",INDEX('Input Transaksi'!$D:$D,$E261))</f>
        <v/>
      </c>
      <c r="C261">
        <f>IF($E261="","",INDEX('Input Transaksi'!$E:$E,$E261))</f>
        <v/>
      </c>
      <c r="D261" s="5">
        <f>IF($E261="","",INDEX('Input Transaksi'!$F:$F,$E261))</f>
        <v/>
      </c>
      <c r="E261">
        <f>IFERROR(AGGREGATE(15,6,ROW('Input Transaksi'!$B$5:$B$5000)/('Input Transaksi'!$B$5:$B$5000="MONANG MANING"),ROWS($E$5:E261)),"")</f>
        <v/>
      </c>
      <c r="F261" s="5" t="n"/>
    </row>
    <row r="262">
      <c r="A262" s="10">
        <f>IF($E262="","",INDEX('Input Transaksi'!$A:$A,$E262))</f>
        <v/>
      </c>
      <c r="B262" s="5">
        <f>IF($E262="","",INDEX('Input Transaksi'!$D:$D,$E262))</f>
        <v/>
      </c>
      <c r="C262">
        <f>IF($E262="","",INDEX('Input Transaksi'!$E:$E,$E262))</f>
        <v/>
      </c>
      <c r="D262" s="5">
        <f>IF($E262="","",INDEX('Input Transaksi'!$F:$F,$E262))</f>
        <v/>
      </c>
      <c r="E262">
        <f>IFERROR(AGGREGATE(15,6,ROW('Input Transaksi'!$B$5:$B$5000)/('Input Transaksi'!$B$5:$B$5000="MONANG MANING"),ROWS($E$5:E262)),"")</f>
        <v/>
      </c>
      <c r="F262" s="5" t="n"/>
    </row>
    <row r="263">
      <c r="A263" s="10">
        <f>IF($E263="","",INDEX('Input Transaksi'!$A:$A,$E263))</f>
        <v/>
      </c>
      <c r="B263" s="5">
        <f>IF($E263="","",INDEX('Input Transaksi'!$D:$D,$E263))</f>
        <v/>
      </c>
      <c r="C263">
        <f>IF($E263="","",INDEX('Input Transaksi'!$E:$E,$E263))</f>
        <v/>
      </c>
      <c r="D263" s="5">
        <f>IF($E263="","",INDEX('Input Transaksi'!$F:$F,$E263))</f>
        <v/>
      </c>
      <c r="E263">
        <f>IFERROR(AGGREGATE(15,6,ROW('Input Transaksi'!$B$5:$B$5000)/('Input Transaksi'!$B$5:$B$5000="MONANG MANING"),ROWS($E$5:E263)),"")</f>
        <v/>
      </c>
      <c r="F263" s="5" t="n"/>
    </row>
    <row r="264">
      <c r="A264" s="10">
        <f>IF($E264="","",INDEX('Input Transaksi'!$A:$A,$E264))</f>
        <v/>
      </c>
      <c r="B264" s="5">
        <f>IF($E264="","",INDEX('Input Transaksi'!$D:$D,$E264))</f>
        <v/>
      </c>
      <c r="C264">
        <f>IF($E264="","",INDEX('Input Transaksi'!$E:$E,$E264))</f>
        <v/>
      </c>
      <c r="D264" s="5">
        <f>IF($E264="","",INDEX('Input Transaksi'!$F:$F,$E264))</f>
        <v/>
      </c>
      <c r="E264">
        <f>IFERROR(AGGREGATE(15,6,ROW('Input Transaksi'!$B$5:$B$5000)/('Input Transaksi'!$B$5:$B$5000="MONANG MANING"),ROWS($E$5:E264)),"")</f>
        <v/>
      </c>
      <c r="F264" s="5" t="n"/>
    </row>
    <row r="265">
      <c r="A265" s="10">
        <f>IF($E265="","",INDEX('Input Transaksi'!$A:$A,$E265))</f>
        <v/>
      </c>
      <c r="B265" s="5">
        <f>IF($E265="","",INDEX('Input Transaksi'!$D:$D,$E265))</f>
        <v/>
      </c>
      <c r="C265">
        <f>IF($E265="","",INDEX('Input Transaksi'!$E:$E,$E265))</f>
        <v/>
      </c>
      <c r="D265" s="5">
        <f>IF($E265="","",INDEX('Input Transaksi'!$F:$F,$E265))</f>
        <v/>
      </c>
      <c r="E265">
        <f>IFERROR(AGGREGATE(15,6,ROW('Input Transaksi'!$B$5:$B$5000)/('Input Transaksi'!$B$5:$B$5000="MONANG MANING"),ROWS($E$5:E265)),"")</f>
        <v/>
      </c>
      <c r="F265" s="5" t="n"/>
    </row>
    <row r="266">
      <c r="A266" s="10">
        <f>IF($E266="","",INDEX('Input Transaksi'!$A:$A,$E266))</f>
        <v/>
      </c>
      <c r="B266" s="5">
        <f>IF($E266="","",INDEX('Input Transaksi'!$D:$D,$E266))</f>
        <v/>
      </c>
      <c r="C266">
        <f>IF($E266="","",INDEX('Input Transaksi'!$E:$E,$E266))</f>
        <v/>
      </c>
      <c r="D266" s="5">
        <f>IF($E266="","",INDEX('Input Transaksi'!$F:$F,$E266))</f>
        <v/>
      </c>
      <c r="E266">
        <f>IFERROR(AGGREGATE(15,6,ROW('Input Transaksi'!$B$5:$B$5000)/('Input Transaksi'!$B$5:$B$5000="MONANG MANING"),ROWS($E$5:E266)),"")</f>
        <v/>
      </c>
      <c r="F266" s="5" t="n"/>
    </row>
    <row r="267">
      <c r="A267" s="10">
        <f>IF($E267="","",INDEX('Input Transaksi'!$A:$A,$E267))</f>
        <v/>
      </c>
      <c r="B267" s="5">
        <f>IF($E267="","",INDEX('Input Transaksi'!$D:$D,$E267))</f>
        <v/>
      </c>
      <c r="C267">
        <f>IF($E267="","",INDEX('Input Transaksi'!$E:$E,$E267))</f>
        <v/>
      </c>
      <c r="D267" s="5">
        <f>IF($E267="","",INDEX('Input Transaksi'!$F:$F,$E267))</f>
        <v/>
      </c>
      <c r="E267">
        <f>IFERROR(AGGREGATE(15,6,ROW('Input Transaksi'!$B$5:$B$5000)/('Input Transaksi'!$B$5:$B$5000="MONANG MANING"),ROWS($E$5:E267)),"")</f>
        <v/>
      </c>
      <c r="F267" s="5" t="n"/>
    </row>
    <row r="268">
      <c r="A268" s="10">
        <f>IF($E268="","",INDEX('Input Transaksi'!$A:$A,$E268))</f>
        <v/>
      </c>
      <c r="B268" s="5">
        <f>IF($E268="","",INDEX('Input Transaksi'!$D:$D,$E268))</f>
        <v/>
      </c>
      <c r="C268">
        <f>IF($E268="","",INDEX('Input Transaksi'!$E:$E,$E268))</f>
        <v/>
      </c>
      <c r="D268" s="5">
        <f>IF($E268="","",INDEX('Input Transaksi'!$F:$F,$E268))</f>
        <v/>
      </c>
      <c r="E268">
        <f>IFERROR(AGGREGATE(15,6,ROW('Input Transaksi'!$B$5:$B$5000)/('Input Transaksi'!$B$5:$B$5000="MONANG MANING"),ROWS($E$5:E268)),"")</f>
        <v/>
      </c>
      <c r="F268" s="5" t="n"/>
    </row>
    <row r="269">
      <c r="A269" s="10">
        <f>IF($E269="","",INDEX('Input Transaksi'!$A:$A,$E269))</f>
        <v/>
      </c>
      <c r="B269" s="5">
        <f>IF($E269="","",INDEX('Input Transaksi'!$D:$D,$E269))</f>
        <v/>
      </c>
      <c r="C269">
        <f>IF($E269="","",INDEX('Input Transaksi'!$E:$E,$E269))</f>
        <v/>
      </c>
      <c r="D269" s="5">
        <f>IF($E269="","",INDEX('Input Transaksi'!$F:$F,$E269))</f>
        <v/>
      </c>
      <c r="E269">
        <f>IFERROR(AGGREGATE(15,6,ROW('Input Transaksi'!$B$5:$B$5000)/('Input Transaksi'!$B$5:$B$5000="MONANG MANING"),ROWS($E$5:E269)),"")</f>
        <v/>
      </c>
      <c r="F269" s="5" t="n"/>
    </row>
    <row r="270">
      <c r="A270" s="10">
        <f>IF($E270="","",INDEX('Input Transaksi'!$A:$A,$E270))</f>
        <v/>
      </c>
      <c r="B270" s="5">
        <f>IF($E270="","",INDEX('Input Transaksi'!$D:$D,$E270))</f>
        <v/>
      </c>
      <c r="C270">
        <f>IF($E270="","",INDEX('Input Transaksi'!$E:$E,$E270))</f>
        <v/>
      </c>
      <c r="D270" s="5">
        <f>IF($E270="","",INDEX('Input Transaksi'!$F:$F,$E270))</f>
        <v/>
      </c>
      <c r="E270">
        <f>IFERROR(AGGREGATE(15,6,ROW('Input Transaksi'!$B$5:$B$5000)/('Input Transaksi'!$B$5:$B$5000="MONANG MANING"),ROWS($E$5:E270)),"")</f>
        <v/>
      </c>
      <c r="F270" s="5" t="n"/>
    </row>
    <row r="271">
      <c r="A271" s="10">
        <f>IF($E271="","",INDEX('Input Transaksi'!$A:$A,$E271))</f>
        <v/>
      </c>
      <c r="B271" s="5">
        <f>IF($E271="","",INDEX('Input Transaksi'!$D:$D,$E271))</f>
        <v/>
      </c>
      <c r="C271">
        <f>IF($E271="","",INDEX('Input Transaksi'!$E:$E,$E271))</f>
        <v/>
      </c>
      <c r="D271" s="5">
        <f>IF($E271="","",INDEX('Input Transaksi'!$F:$F,$E271))</f>
        <v/>
      </c>
      <c r="E271">
        <f>IFERROR(AGGREGATE(15,6,ROW('Input Transaksi'!$B$5:$B$5000)/('Input Transaksi'!$B$5:$B$5000="MONANG MANING"),ROWS($E$5:E271)),"")</f>
        <v/>
      </c>
      <c r="F271" s="5" t="n"/>
    </row>
    <row r="272">
      <c r="A272" s="10">
        <f>IF($E272="","",INDEX('Input Transaksi'!$A:$A,$E272))</f>
        <v/>
      </c>
      <c r="B272" s="5">
        <f>IF($E272="","",INDEX('Input Transaksi'!$D:$D,$E272))</f>
        <v/>
      </c>
      <c r="C272">
        <f>IF($E272="","",INDEX('Input Transaksi'!$E:$E,$E272))</f>
        <v/>
      </c>
      <c r="D272" s="5">
        <f>IF($E272="","",INDEX('Input Transaksi'!$F:$F,$E272))</f>
        <v/>
      </c>
      <c r="E272">
        <f>IFERROR(AGGREGATE(15,6,ROW('Input Transaksi'!$B$5:$B$5000)/('Input Transaksi'!$B$5:$B$5000="MONANG MANING"),ROWS($E$5:E272)),"")</f>
        <v/>
      </c>
      <c r="F272" s="5" t="n"/>
    </row>
    <row r="273">
      <c r="A273" s="10">
        <f>IF($E273="","",INDEX('Input Transaksi'!$A:$A,$E273))</f>
        <v/>
      </c>
      <c r="B273" s="5">
        <f>IF($E273="","",INDEX('Input Transaksi'!$D:$D,$E273))</f>
        <v/>
      </c>
      <c r="C273">
        <f>IF($E273="","",INDEX('Input Transaksi'!$E:$E,$E273))</f>
        <v/>
      </c>
      <c r="D273" s="5">
        <f>IF($E273="","",INDEX('Input Transaksi'!$F:$F,$E273))</f>
        <v/>
      </c>
      <c r="E273">
        <f>IFERROR(AGGREGATE(15,6,ROW('Input Transaksi'!$B$5:$B$5000)/('Input Transaksi'!$B$5:$B$5000="MONANG MANING"),ROWS($E$5:E273)),"")</f>
        <v/>
      </c>
      <c r="F273" s="5" t="n"/>
    </row>
    <row r="274">
      <c r="A274" s="10">
        <f>IF($E274="","",INDEX('Input Transaksi'!$A:$A,$E274))</f>
        <v/>
      </c>
      <c r="B274" s="5">
        <f>IF($E274="","",INDEX('Input Transaksi'!$D:$D,$E274))</f>
        <v/>
      </c>
      <c r="C274">
        <f>IF($E274="","",INDEX('Input Transaksi'!$E:$E,$E274))</f>
        <v/>
      </c>
      <c r="D274" s="5">
        <f>IF($E274="","",INDEX('Input Transaksi'!$F:$F,$E274))</f>
        <v/>
      </c>
      <c r="E274">
        <f>IFERROR(AGGREGATE(15,6,ROW('Input Transaksi'!$B$5:$B$5000)/('Input Transaksi'!$B$5:$B$5000="MONANG MANING"),ROWS($E$5:E274)),"")</f>
        <v/>
      </c>
      <c r="F274" s="5" t="n"/>
    </row>
    <row r="275">
      <c r="A275" s="10">
        <f>IF($E275="","",INDEX('Input Transaksi'!$A:$A,$E275))</f>
        <v/>
      </c>
      <c r="B275" s="5">
        <f>IF($E275="","",INDEX('Input Transaksi'!$D:$D,$E275))</f>
        <v/>
      </c>
      <c r="C275">
        <f>IF($E275="","",INDEX('Input Transaksi'!$E:$E,$E275))</f>
        <v/>
      </c>
      <c r="D275" s="5">
        <f>IF($E275="","",INDEX('Input Transaksi'!$F:$F,$E275))</f>
        <v/>
      </c>
      <c r="E275">
        <f>IFERROR(AGGREGATE(15,6,ROW('Input Transaksi'!$B$5:$B$5000)/('Input Transaksi'!$B$5:$B$5000="MONANG MANING"),ROWS($E$5:E275)),"")</f>
        <v/>
      </c>
      <c r="F275" s="5" t="n"/>
    </row>
    <row r="276">
      <c r="A276" s="10">
        <f>IF($E276="","",INDEX('Input Transaksi'!$A:$A,$E276))</f>
        <v/>
      </c>
      <c r="B276" s="5">
        <f>IF($E276="","",INDEX('Input Transaksi'!$D:$D,$E276))</f>
        <v/>
      </c>
      <c r="C276">
        <f>IF($E276="","",INDEX('Input Transaksi'!$E:$E,$E276))</f>
        <v/>
      </c>
      <c r="D276" s="5">
        <f>IF($E276="","",INDEX('Input Transaksi'!$F:$F,$E276))</f>
        <v/>
      </c>
      <c r="E276">
        <f>IFERROR(AGGREGATE(15,6,ROW('Input Transaksi'!$B$5:$B$5000)/('Input Transaksi'!$B$5:$B$5000="MONANG MANING"),ROWS($E$5:E276)),"")</f>
        <v/>
      </c>
      <c r="F276" s="5" t="n"/>
    </row>
    <row r="277">
      <c r="A277" s="10">
        <f>IF($E277="","",INDEX('Input Transaksi'!$A:$A,$E277))</f>
        <v/>
      </c>
      <c r="B277" s="5">
        <f>IF($E277="","",INDEX('Input Transaksi'!$D:$D,$E277))</f>
        <v/>
      </c>
      <c r="C277">
        <f>IF($E277="","",INDEX('Input Transaksi'!$E:$E,$E277))</f>
        <v/>
      </c>
      <c r="D277" s="5">
        <f>IF($E277="","",INDEX('Input Transaksi'!$F:$F,$E277))</f>
        <v/>
      </c>
      <c r="E277">
        <f>IFERROR(AGGREGATE(15,6,ROW('Input Transaksi'!$B$5:$B$5000)/('Input Transaksi'!$B$5:$B$5000="MONANG MANING"),ROWS($E$5:E277)),"")</f>
        <v/>
      </c>
      <c r="F277" s="5" t="n"/>
    </row>
    <row r="278">
      <c r="A278" s="10">
        <f>IF($E278="","",INDEX('Input Transaksi'!$A:$A,$E278))</f>
        <v/>
      </c>
      <c r="B278" s="5">
        <f>IF($E278="","",INDEX('Input Transaksi'!$D:$D,$E278))</f>
        <v/>
      </c>
      <c r="C278">
        <f>IF($E278="","",INDEX('Input Transaksi'!$E:$E,$E278))</f>
        <v/>
      </c>
      <c r="D278" s="5">
        <f>IF($E278="","",INDEX('Input Transaksi'!$F:$F,$E278))</f>
        <v/>
      </c>
      <c r="E278">
        <f>IFERROR(AGGREGATE(15,6,ROW('Input Transaksi'!$B$5:$B$5000)/('Input Transaksi'!$B$5:$B$5000="MONANG MANING"),ROWS($E$5:E278)),"")</f>
        <v/>
      </c>
      <c r="F278" s="5" t="n"/>
    </row>
    <row r="279">
      <c r="A279" s="10">
        <f>IF($E279="","",INDEX('Input Transaksi'!$A:$A,$E279))</f>
        <v/>
      </c>
      <c r="B279" s="5">
        <f>IF($E279="","",INDEX('Input Transaksi'!$D:$D,$E279))</f>
        <v/>
      </c>
      <c r="C279">
        <f>IF($E279="","",INDEX('Input Transaksi'!$E:$E,$E279))</f>
        <v/>
      </c>
      <c r="D279" s="5">
        <f>IF($E279="","",INDEX('Input Transaksi'!$F:$F,$E279))</f>
        <v/>
      </c>
      <c r="E279">
        <f>IFERROR(AGGREGATE(15,6,ROW('Input Transaksi'!$B$5:$B$5000)/('Input Transaksi'!$B$5:$B$5000="MONANG MANING"),ROWS($E$5:E279)),"")</f>
        <v/>
      </c>
      <c r="F279" s="5" t="n"/>
    </row>
    <row r="280">
      <c r="A280" s="10">
        <f>IF($E280="","",INDEX('Input Transaksi'!$A:$A,$E280))</f>
        <v/>
      </c>
      <c r="B280" s="5">
        <f>IF($E280="","",INDEX('Input Transaksi'!$D:$D,$E280))</f>
        <v/>
      </c>
      <c r="C280">
        <f>IF($E280="","",INDEX('Input Transaksi'!$E:$E,$E280))</f>
        <v/>
      </c>
      <c r="D280" s="5">
        <f>IF($E280="","",INDEX('Input Transaksi'!$F:$F,$E280))</f>
        <v/>
      </c>
      <c r="E280">
        <f>IFERROR(AGGREGATE(15,6,ROW('Input Transaksi'!$B$5:$B$5000)/('Input Transaksi'!$B$5:$B$5000="MONANG MANING"),ROWS($E$5:E280)),"")</f>
        <v/>
      </c>
      <c r="F280" s="5" t="n"/>
    </row>
    <row r="281">
      <c r="A281" s="10">
        <f>IF($E281="","",INDEX('Input Transaksi'!$A:$A,$E281))</f>
        <v/>
      </c>
      <c r="B281" s="5">
        <f>IF($E281="","",INDEX('Input Transaksi'!$D:$D,$E281))</f>
        <v/>
      </c>
      <c r="C281">
        <f>IF($E281="","",INDEX('Input Transaksi'!$E:$E,$E281))</f>
        <v/>
      </c>
      <c r="D281" s="5">
        <f>IF($E281="","",INDEX('Input Transaksi'!$F:$F,$E281))</f>
        <v/>
      </c>
      <c r="E281">
        <f>IFERROR(AGGREGATE(15,6,ROW('Input Transaksi'!$B$5:$B$5000)/('Input Transaksi'!$B$5:$B$5000="MONANG MANING"),ROWS($E$5:E281)),"")</f>
        <v/>
      </c>
      <c r="F281" s="5" t="n"/>
    </row>
    <row r="282">
      <c r="A282" s="10">
        <f>IF($E282="","",INDEX('Input Transaksi'!$A:$A,$E282))</f>
        <v/>
      </c>
      <c r="B282" s="5">
        <f>IF($E282="","",INDEX('Input Transaksi'!$D:$D,$E282))</f>
        <v/>
      </c>
      <c r="C282">
        <f>IF($E282="","",INDEX('Input Transaksi'!$E:$E,$E282))</f>
        <v/>
      </c>
      <c r="D282" s="5">
        <f>IF($E282="","",INDEX('Input Transaksi'!$F:$F,$E282))</f>
        <v/>
      </c>
      <c r="E282">
        <f>IFERROR(AGGREGATE(15,6,ROW('Input Transaksi'!$B$5:$B$5000)/('Input Transaksi'!$B$5:$B$5000="MONANG MANING"),ROWS($E$5:E282)),"")</f>
        <v/>
      </c>
      <c r="F282" s="5" t="n"/>
    </row>
    <row r="283">
      <c r="A283" s="10">
        <f>IF($E283="","",INDEX('Input Transaksi'!$A:$A,$E283))</f>
        <v/>
      </c>
      <c r="B283" s="5">
        <f>IF($E283="","",INDEX('Input Transaksi'!$D:$D,$E283))</f>
        <v/>
      </c>
      <c r="C283">
        <f>IF($E283="","",INDEX('Input Transaksi'!$E:$E,$E283))</f>
        <v/>
      </c>
      <c r="D283" s="5">
        <f>IF($E283="","",INDEX('Input Transaksi'!$F:$F,$E283))</f>
        <v/>
      </c>
      <c r="E283">
        <f>IFERROR(AGGREGATE(15,6,ROW('Input Transaksi'!$B$5:$B$5000)/('Input Transaksi'!$B$5:$B$5000="MONANG MANING"),ROWS($E$5:E283)),"")</f>
        <v/>
      </c>
      <c r="F283" s="5" t="n"/>
    </row>
    <row r="284">
      <c r="A284" s="10">
        <f>IF($E284="","",INDEX('Input Transaksi'!$A:$A,$E284))</f>
        <v/>
      </c>
      <c r="B284" s="5">
        <f>IF($E284="","",INDEX('Input Transaksi'!$D:$D,$E284))</f>
        <v/>
      </c>
      <c r="C284">
        <f>IF($E284="","",INDEX('Input Transaksi'!$E:$E,$E284))</f>
        <v/>
      </c>
      <c r="D284" s="5">
        <f>IF($E284="","",INDEX('Input Transaksi'!$F:$F,$E284))</f>
        <v/>
      </c>
      <c r="E284">
        <f>IFERROR(AGGREGATE(15,6,ROW('Input Transaksi'!$B$5:$B$5000)/('Input Transaksi'!$B$5:$B$5000="MONANG MANING"),ROWS($E$5:E284)),"")</f>
        <v/>
      </c>
      <c r="F284" s="5" t="n"/>
    </row>
    <row r="285">
      <c r="A285" s="10">
        <f>IF($E285="","",INDEX('Input Transaksi'!$A:$A,$E285))</f>
        <v/>
      </c>
      <c r="B285" s="5">
        <f>IF($E285="","",INDEX('Input Transaksi'!$D:$D,$E285))</f>
        <v/>
      </c>
      <c r="C285">
        <f>IF($E285="","",INDEX('Input Transaksi'!$E:$E,$E285))</f>
        <v/>
      </c>
      <c r="D285" s="5">
        <f>IF($E285="","",INDEX('Input Transaksi'!$F:$F,$E285))</f>
        <v/>
      </c>
      <c r="E285">
        <f>IFERROR(AGGREGATE(15,6,ROW('Input Transaksi'!$B$5:$B$5000)/('Input Transaksi'!$B$5:$B$5000="MONANG MANING"),ROWS($E$5:E285)),"")</f>
        <v/>
      </c>
      <c r="F285" s="5" t="n"/>
    </row>
    <row r="286">
      <c r="A286" s="10">
        <f>IF($E286="","",INDEX('Input Transaksi'!$A:$A,$E286))</f>
        <v/>
      </c>
      <c r="B286" s="5">
        <f>IF($E286="","",INDEX('Input Transaksi'!$D:$D,$E286))</f>
        <v/>
      </c>
      <c r="C286">
        <f>IF($E286="","",INDEX('Input Transaksi'!$E:$E,$E286))</f>
        <v/>
      </c>
      <c r="D286" s="5">
        <f>IF($E286="","",INDEX('Input Transaksi'!$F:$F,$E286))</f>
        <v/>
      </c>
      <c r="E286">
        <f>IFERROR(AGGREGATE(15,6,ROW('Input Transaksi'!$B$5:$B$5000)/('Input Transaksi'!$B$5:$B$5000="MONANG MANING"),ROWS($E$5:E286)),"")</f>
        <v/>
      </c>
      <c r="F286" s="5" t="n"/>
    </row>
    <row r="287">
      <c r="A287" s="10">
        <f>IF($E287="","",INDEX('Input Transaksi'!$A:$A,$E287))</f>
        <v/>
      </c>
      <c r="B287" s="5">
        <f>IF($E287="","",INDEX('Input Transaksi'!$D:$D,$E287))</f>
        <v/>
      </c>
      <c r="C287">
        <f>IF($E287="","",INDEX('Input Transaksi'!$E:$E,$E287))</f>
        <v/>
      </c>
      <c r="D287" s="5">
        <f>IF($E287="","",INDEX('Input Transaksi'!$F:$F,$E287))</f>
        <v/>
      </c>
      <c r="E287">
        <f>IFERROR(AGGREGATE(15,6,ROW('Input Transaksi'!$B$5:$B$5000)/('Input Transaksi'!$B$5:$B$5000="MONANG MANING"),ROWS($E$5:E287)),"")</f>
        <v/>
      </c>
      <c r="F287" s="5" t="n"/>
    </row>
    <row r="288">
      <c r="A288" s="10">
        <f>IF($E288="","",INDEX('Input Transaksi'!$A:$A,$E288))</f>
        <v/>
      </c>
      <c r="B288" s="5">
        <f>IF($E288="","",INDEX('Input Transaksi'!$D:$D,$E288))</f>
        <v/>
      </c>
      <c r="C288">
        <f>IF($E288="","",INDEX('Input Transaksi'!$E:$E,$E288))</f>
        <v/>
      </c>
      <c r="D288" s="5">
        <f>IF($E288="","",INDEX('Input Transaksi'!$F:$F,$E288))</f>
        <v/>
      </c>
      <c r="E288">
        <f>IFERROR(AGGREGATE(15,6,ROW('Input Transaksi'!$B$5:$B$5000)/('Input Transaksi'!$B$5:$B$5000="MONANG MANING"),ROWS($E$5:E288)),"")</f>
        <v/>
      </c>
      <c r="F288" s="5" t="n"/>
    </row>
    <row r="289">
      <c r="A289" s="10">
        <f>IF($E289="","",INDEX('Input Transaksi'!$A:$A,$E289))</f>
        <v/>
      </c>
      <c r="B289" s="5">
        <f>IF($E289="","",INDEX('Input Transaksi'!$D:$D,$E289))</f>
        <v/>
      </c>
      <c r="C289">
        <f>IF($E289="","",INDEX('Input Transaksi'!$E:$E,$E289))</f>
        <v/>
      </c>
      <c r="D289" s="5">
        <f>IF($E289="","",INDEX('Input Transaksi'!$F:$F,$E289))</f>
        <v/>
      </c>
      <c r="E289">
        <f>IFERROR(AGGREGATE(15,6,ROW('Input Transaksi'!$B$5:$B$5000)/('Input Transaksi'!$B$5:$B$5000="MONANG MANING"),ROWS($E$5:E289)),"")</f>
        <v/>
      </c>
      <c r="F289" s="5" t="n"/>
    </row>
    <row r="290">
      <c r="A290" s="10">
        <f>IF($E290="","",INDEX('Input Transaksi'!$A:$A,$E290))</f>
        <v/>
      </c>
      <c r="B290" s="5">
        <f>IF($E290="","",INDEX('Input Transaksi'!$D:$D,$E290))</f>
        <v/>
      </c>
      <c r="C290">
        <f>IF($E290="","",INDEX('Input Transaksi'!$E:$E,$E290))</f>
        <v/>
      </c>
      <c r="D290" s="5">
        <f>IF($E290="","",INDEX('Input Transaksi'!$F:$F,$E290))</f>
        <v/>
      </c>
      <c r="E290">
        <f>IFERROR(AGGREGATE(15,6,ROW('Input Transaksi'!$B$5:$B$5000)/('Input Transaksi'!$B$5:$B$5000="MONANG MANING"),ROWS($E$5:E290)),"")</f>
        <v/>
      </c>
      <c r="F290" s="5" t="n"/>
    </row>
    <row r="291">
      <c r="A291" s="10">
        <f>IF($E291="","",INDEX('Input Transaksi'!$A:$A,$E291))</f>
        <v/>
      </c>
      <c r="B291" s="5">
        <f>IF($E291="","",INDEX('Input Transaksi'!$D:$D,$E291))</f>
        <v/>
      </c>
      <c r="C291">
        <f>IF($E291="","",INDEX('Input Transaksi'!$E:$E,$E291))</f>
        <v/>
      </c>
      <c r="D291" s="5">
        <f>IF($E291="","",INDEX('Input Transaksi'!$F:$F,$E291))</f>
        <v/>
      </c>
      <c r="E291">
        <f>IFERROR(AGGREGATE(15,6,ROW('Input Transaksi'!$B$5:$B$5000)/('Input Transaksi'!$B$5:$B$5000="MONANG MANING"),ROWS($E$5:E291)),"")</f>
        <v/>
      </c>
      <c r="F291" s="5" t="n"/>
    </row>
    <row r="292">
      <c r="A292" s="10">
        <f>IF($E292="","",INDEX('Input Transaksi'!$A:$A,$E292))</f>
        <v/>
      </c>
      <c r="B292" s="5">
        <f>IF($E292="","",INDEX('Input Transaksi'!$D:$D,$E292))</f>
        <v/>
      </c>
      <c r="C292">
        <f>IF($E292="","",INDEX('Input Transaksi'!$E:$E,$E292))</f>
        <v/>
      </c>
      <c r="D292" s="5">
        <f>IF($E292="","",INDEX('Input Transaksi'!$F:$F,$E292))</f>
        <v/>
      </c>
      <c r="E292">
        <f>IFERROR(AGGREGATE(15,6,ROW('Input Transaksi'!$B$5:$B$5000)/('Input Transaksi'!$B$5:$B$5000="MONANG MANING"),ROWS($E$5:E292)),"")</f>
        <v/>
      </c>
      <c r="F292" s="5" t="n"/>
    </row>
    <row r="293">
      <c r="A293" s="10">
        <f>IF($E293="","",INDEX('Input Transaksi'!$A:$A,$E293))</f>
        <v/>
      </c>
      <c r="B293" s="5">
        <f>IF($E293="","",INDEX('Input Transaksi'!$D:$D,$E293))</f>
        <v/>
      </c>
      <c r="C293">
        <f>IF($E293="","",INDEX('Input Transaksi'!$E:$E,$E293))</f>
        <v/>
      </c>
      <c r="D293" s="5">
        <f>IF($E293="","",INDEX('Input Transaksi'!$F:$F,$E293))</f>
        <v/>
      </c>
      <c r="E293">
        <f>IFERROR(AGGREGATE(15,6,ROW('Input Transaksi'!$B$5:$B$5000)/('Input Transaksi'!$B$5:$B$5000="MONANG MANING"),ROWS($E$5:E293)),"")</f>
        <v/>
      </c>
      <c r="F293" s="5" t="n"/>
    </row>
    <row r="294">
      <c r="A294" s="10">
        <f>IF($E294="","",INDEX('Input Transaksi'!$A:$A,$E294))</f>
        <v/>
      </c>
      <c r="B294" s="5">
        <f>IF($E294="","",INDEX('Input Transaksi'!$D:$D,$E294))</f>
        <v/>
      </c>
      <c r="C294">
        <f>IF($E294="","",INDEX('Input Transaksi'!$E:$E,$E294))</f>
        <v/>
      </c>
      <c r="D294" s="5">
        <f>IF($E294="","",INDEX('Input Transaksi'!$F:$F,$E294))</f>
        <v/>
      </c>
      <c r="E294">
        <f>IFERROR(AGGREGATE(15,6,ROW('Input Transaksi'!$B$5:$B$5000)/('Input Transaksi'!$B$5:$B$5000="MONANG MANING"),ROWS($E$5:E294)),"")</f>
        <v/>
      </c>
      <c r="F294" s="5" t="n"/>
    </row>
    <row r="295">
      <c r="A295" s="10">
        <f>IF($E295="","",INDEX('Input Transaksi'!$A:$A,$E295))</f>
        <v/>
      </c>
      <c r="B295" s="5">
        <f>IF($E295="","",INDEX('Input Transaksi'!$D:$D,$E295))</f>
        <v/>
      </c>
      <c r="C295">
        <f>IF($E295="","",INDEX('Input Transaksi'!$E:$E,$E295))</f>
        <v/>
      </c>
      <c r="D295" s="5">
        <f>IF($E295="","",INDEX('Input Transaksi'!$F:$F,$E295))</f>
        <v/>
      </c>
      <c r="E295">
        <f>IFERROR(AGGREGATE(15,6,ROW('Input Transaksi'!$B$5:$B$5000)/('Input Transaksi'!$B$5:$B$5000="MONANG MANING"),ROWS($E$5:E295)),"")</f>
        <v/>
      </c>
      <c r="F295" s="5" t="n"/>
    </row>
    <row r="296">
      <c r="A296" s="10">
        <f>IF($E296="","",INDEX('Input Transaksi'!$A:$A,$E296))</f>
        <v/>
      </c>
      <c r="B296" s="5">
        <f>IF($E296="","",INDEX('Input Transaksi'!$D:$D,$E296))</f>
        <v/>
      </c>
      <c r="C296">
        <f>IF($E296="","",INDEX('Input Transaksi'!$E:$E,$E296))</f>
        <v/>
      </c>
      <c r="D296" s="5">
        <f>IF($E296="","",INDEX('Input Transaksi'!$F:$F,$E296))</f>
        <v/>
      </c>
      <c r="E296">
        <f>IFERROR(AGGREGATE(15,6,ROW('Input Transaksi'!$B$5:$B$5000)/('Input Transaksi'!$B$5:$B$5000="MONANG MANING"),ROWS($E$5:E296)),"")</f>
        <v/>
      </c>
      <c r="F296" s="5" t="n"/>
    </row>
    <row r="297">
      <c r="A297" s="10">
        <f>IF($E297="","",INDEX('Input Transaksi'!$A:$A,$E297))</f>
        <v/>
      </c>
      <c r="B297" s="5">
        <f>IF($E297="","",INDEX('Input Transaksi'!$D:$D,$E297))</f>
        <v/>
      </c>
      <c r="C297">
        <f>IF($E297="","",INDEX('Input Transaksi'!$E:$E,$E297))</f>
        <v/>
      </c>
      <c r="D297" s="5">
        <f>IF($E297="","",INDEX('Input Transaksi'!$F:$F,$E297))</f>
        <v/>
      </c>
      <c r="E297">
        <f>IFERROR(AGGREGATE(15,6,ROW('Input Transaksi'!$B$5:$B$5000)/('Input Transaksi'!$B$5:$B$5000="MONANG MANING"),ROWS($E$5:E297)),"")</f>
        <v/>
      </c>
      <c r="F297" s="5" t="n"/>
    </row>
    <row r="298">
      <c r="A298" s="10">
        <f>IF($E298="","",INDEX('Input Transaksi'!$A:$A,$E298))</f>
        <v/>
      </c>
      <c r="B298" s="5">
        <f>IF($E298="","",INDEX('Input Transaksi'!$D:$D,$E298))</f>
        <v/>
      </c>
      <c r="C298">
        <f>IF($E298="","",INDEX('Input Transaksi'!$E:$E,$E298))</f>
        <v/>
      </c>
      <c r="D298" s="5">
        <f>IF($E298="","",INDEX('Input Transaksi'!$F:$F,$E298))</f>
        <v/>
      </c>
      <c r="E298">
        <f>IFERROR(AGGREGATE(15,6,ROW('Input Transaksi'!$B$5:$B$5000)/('Input Transaksi'!$B$5:$B$5000="MONANG MANING"),ROWS($E$5:E298)),"")</f>
        <v/>
      </c>
      <c r="F298" s="5" t="n"/>
    </row>
    <row r="299">
      <c r="A299" s="10">
        <f>IF($E299="","",INDEX('Input Transaksi'!$A:$A,$E299))</f>
        <v/>
      </c>
      <c r="B299" s="5">
        <f>IF($E299="","",INDEX('Input Transaksi'!$D:$D,$E299))</f>
        <v/>
      </c>
      <c r="C299">
        <f>IF($E299="","",INDEX('Input Transaksi'!$E:$E,$E299))</f>
        <v/>
      </c>
      <c r="D299" s="5">
        <f>IF($E299="","",INDEX('Input Transaksi'!$F:$F,$E299))</f>
        <v/>
      </c>
      <c r="E299">
        <f>IFERROR(AGGREGATE(15,6,ROW('Input Transaksi'!$B$5:$B$5000)/('Input Transaksi'!$B$5:$B$5000="MONANG MANING"),ROWS($E$5:E299)),"")</f>
        <v/>
      </c>
      <c r="F299" s="5" t="n"/>
    </row>
    <row r="300">
      <c r="A300" s="10">
        <f>IF($E300="","",INDEX('Input Transaksi'!$A:$A,$E300))</f>
        <v/>
      </c>
      <c r="B300" s="5">
        <f>IF($E300="","",INDEX('Input Transaksi'!$D:$D,$E300))</f>
        <v/>
      </c>
      <c r="C300">
        <f>IF($E300="","",INDEX('Input Transaksi'!$E:$E,$E300))</f>
        <v/>
      </c>
      <c r="D300" s="5">
        <f>IF($E300="","",INDEX('Input Transaksi'!$F:$F,$E300))</f>
        <v/>
      </c>
      <c r="E300">
        <f>IFERROR(AGGREGATE(15,6,ROW('Input Transaksi'!$B$5:$B$5000)/('Input Transaksi'!$B$5:$B$5000="MONANG MANING"),ROWS($E$5:E300)),"")</f>
        <v/>
      </c>
      <c r="F300" s="5" t="n"/>
    </row>
    <row r="301">
      <c r="A301" s="10">
        <f>IF($E301="","",INDEX('Input Transaksi'!$A:$A,$E301))</f>
        <v/>
      </c>
      <c r="B301" s="5">
        <f>IF($E301="","",INDEX('Input Transaksi'!$D:$D,$E301))</f>
        <v/>
      </c>
      <c r="C301">
        <f>IF($E301="","",INDEX('Input Transaksi'!$E:$E,$E301))</f>
        <v/>
      </c>
      <c r="D301" s="5">
        <f>IF($E301="","",INDEX('Input Transaksi'!$F:$F,$E301))</f>
        <v/>
      </c>
      <c r="E301">
        <f>IFERROR(AGGREGATE(15,6,ROW('Input Transaksi'!$B$5:$B$5000)/('Input Transaksi'!$B$5:$B$5000="MONANG MANING"),ROWS($E$5:E301)),"")</f>
        <v/>
      </c>
      <c r="F301" s="5" t="n"/>
    </row>
    <row r="302">
      <c r="A302" s="10">
        <f>IF($E302="","",INDEX('Input Transaksi'!$A:$A,$E302))</f>
        <v/>
      </c>
      <c r="B302" s="5">
        <f>IF($E302="","",INDEX('Input Transaksi'!$D:$D,$E302))</f>
        <v/>
      </c>
      <c r="C302">
        <f>IF($E302="","",INDEX('Input Transaksi'!$E:$E,$E302))</f>
        <v/>
      </c>
      <c r="D302" s="5">
        <f>IF($E302="","",INDEX('Input Transaksi'!$F:$F,$E302))</f>
        <v/>
      </c>
      <c r="E302">
        <f>IFERROR(AGGREGATE(15,6,ROW('Input Transaksi'!$B$5:$B$5000)/('Input Transaksi'!$B$5:$B$5000="MONANG MANING"),ROWS($E$5:E302)),"")</f>
        <v/>
      </c>
      <c r="F302" s="5" t="n"/>
    </row>
    <row r="303">
      <c r="A303" s="10">
        <f>IF($E303="","",INDEX('Input Transaksi'!$A:$A,$E303))</f>
        <v/>
      </c>
      <c r="B303" s="5">
        <f>IF($E303="","",INDEX('Input Transaksi'!$D:$D,$E303))</f>
        <v/>
      </c>
      <c r="C303">
        <f>IF($E303="","",INDEX('Input Transaksi'!$E:$E,$E303))</f>
        <v/>
      </c>
      <c r="D303" s="5">
        <f>IF($E303="","",INDEX('Input Transaksi'!$F:$F,$E303))</f>
        <v/>
      </c>
      <c r="E303">
        <f>IFERROR(AGGREGATE(15,6,ROW('Input Transaksi'!$B$5:$B$5000)/('Input Transaksi'!$B$5:$B$5000="MONANG MANING"),ROWS($E$5:E303)),"")</f>
        <v/>
      </c>
      <c r="F303" s="5" t="n"/>
    </row>
    <row r="304">
      <c r="A304" s="10">
        <f>IF($E304="","",INDEX('Input Transaksi'!$A:$A,$E304))</f>
        <v/>
      </c>
      <c r="B304" s="5">
        <f>IF($E304="","",INDEX('Input Transaksi'!$D:$D,$E304))</f>
        <v/>
      </c>
      <c r="C304">
        <f>IF($E304="","",INDEX('Input Transaksi'!$E:$E,$E304))</f>
        <v/>
      </c>
      <c r="D304" s="5">
        <f>IF($E304="","",INDEX('Input Transaksi'!$F:$F,$E304))</f>
        <v/>
      </c>
      <c r="E304">
        <f>IFERROR(AGGREGATE(15,6,ROW('Input Transaksi'!$B$5:$B$5000)/('Input Transaksi'!$B$5:$B$5000="MONANG MANING"),ROWS($E$5:E304)),"")</f>
        <v/>
      </c>
      <c r="F304" s="5" t="n"/>
    </row>
    <row r="305">
      <c r="A305" s="10">
        <f>IF($E305="","",INDEX('Input Transaksi'!$A:$A,$E305))</f>
        <v/>
      </c>
      <c r="B305" s="5">
        <f>IF($E305="","",INDEX('Input Transaksi'!$D:$D,$E305))</f>
        <v/>
      </c>
      <c r="C305">
        <f>IF($E305="","",INDEX('Input Transaksi'!$E:$E,$E305))</f>
        <v/>
      </c>
      <c r="D305" s="5">
        <f>IF($E305="","",INDEX('Input Transaksi'!$F:$F,$E305))</f>
        <v/>
      </c>
      <c r="E305">
        <f>IFERROR(AGGREGATE(15,6,ROW('Input Transaksi'!$B$5:$B$5000)/('Input Transaksi'!$B$5:$B$5000="MONANG MANING"),ROWS($E$5:E305)),"")</f>
        <v/>
      </c>
      <c r="F305" s="5" t="n"/>
    </row>
    <row r="306">
      <c r="A306" s="10">
        <f>IF($E306="","",INDEX('Input Transaksi'!$A:$A,$E306))</f>
        <v/>
      </c>
      <c r="B306" s="5">
        <f>IF($E306="","",INDEX('Input Transaksi'!$D:$D,$E306))</f>
        <v/>
      </c>
      <c r="C306">
        <f>IF($E306="","",INDEX('Input Transaksi'!$E:$E,$E306))</f>
        <v/>
      </c>
      <c r="D306" s="5">
        <f>IF($E306="","",INDEX('Input Transaksi'!$F:$F,$E306))</f>
        <v/>
      </c>
      <c r="E306">
        <f>IFERROR(AGGREGATE(15,6,ROW('Input Transaksi'!$B$5:$B$5000)/('Input Transaksi'!$B$5:$B$5000="MONANG MANING"),ROWS($E$5:E306)),"")</f>
        <v/>
      </c>
      <c r="F306" s="5" t="n"/>
    </row>
    <row r="307">
      <c r="A307" s="10">
        <f>IF($E307="","",INDEX('Input Transaksi'!$A:$A,$E307))</f>
        <v/>
      </c>
      <c r="B307" s="5">
        <f>IF($E307="","",INDEX('Input Transaksi'!$D:$D,$E307))</f>
        <v/>
      </c>
      <c r="C307">
        <f>IF($E307="","",INDEX('Input Transaksi'!$E:$E,$E307))</f>
        <v/>
      </c>
      <c r="D307" s="5">
        <f>IF($E307="","",INDEX('Input Transaksi'!$F:$F,$E307))</f>
        <v/>
      </c>
      <c r="E307">
        <f>IFERROR(AGGREGATE(15,6,ROW('Input Transaksi'!$B$5:$B$5000)/('Input Transaksi'!$B$5:$B$5000="MONANG MANING"),ROWS($E$5:E307)),"")</f>
        <v/>
      </c>
      <c r="F307" s="5" t="n"/>
    </row>
    <row r="308">
      <c r="A308" s="10">
        <f>IF($E308="","",INDEX('Input Transaksi'!$A:$A,$E308))</f>
        <v/>
      </c>
      <c r="B308" s="5">
        <f>IF($E308="","",INDEX('Input Transaksi'!$D:$D,$E308))</f>
        <v/>
      </c>
      <c r="C308">
        <f>IF($E308="","",INDEX('Input Transaksi'!$E:$E,$E308))</f>
        <v/>
      </c>
      <c r="D308" s="5">
        <f>IF($E308="","",INDEX('Input Transaksi'!$F:$F,$E308))</f>
        <v/>
      </c>
      <c r="E308">
        <f>IFERROR(AGGREGATE(15,6,ROW('Input Transaksi'!$B$5:$B$5000)/('Input Transaksi'!$B$5:$B$5000="MONANG MANING"),ROWS($E$5:E308)),"")</f>
        <v/>
      </c>
      <c r="F308" s="5" t="n"/>
    </row>
    <row r="309">
      <c r="A309" s="10">
        <f>IF($E309="","",INDEX('Input Transaksi'!$A:$A,$E309))</f>
        <v/>
      </c>
      <c r="B309" s="5">
        <f>IF($E309="","",INDEX('Input Transaksi'!$D:$D,$E309))</f>
        <v/>
      </c>
      <c r="C309">
        <f>IF($E309="","",INDEX('Input Transaksi'!$E:$E,$E309))</f>
        <v/>
      </c>
      <c r="D309" s="5">
        <f>IF($E309="","",INDEX('Input Transaksi'!$F:$F,$E309))</f>
        <v/>
      </c>
      <c r="E309">
        <f>IFERROR(AGGREGATE(15,6,ROW('Input Transaksi'!$B$5:$B$5000)/('Input Transaksi'!$B$5:$B$5000="MONANG MANING"),ROWS($E$5:E309)),"")</f>
        <v/>
      </c>
      <c r="F309" s="5" t="n"/>
    </row>
    <row r="310">
      <c r="A310" s="10">
        <f>IF($E310="","",INDEX('Input Transaksi'!$A:$A,$E310))</f>
        <v/>
      </c>
      <c r="B310" s="5">
        <f>IF($E310="","",INDEX('Input Transaksi'!$D:$D,$E310))</f>
        <v/>
      </c>
      <c r="C310">
        <f>IF($E310="","",INDEX('Input Transaksi'!$E:$E,$E310))</f>
        <v/>
      </c>
      <c r="D310" s="5">
        <f>IF($E310="","",INDEX('Input Transaksi'!$F:$F,$E310))</f>
        <v/>
      </c>
      <c r="E310">
        <f>IFERROR(AGGREGATE(15,6,ROW('Input Transaksi'!$B$5:$B$5000)/('Input Transaksi'!$B$5:$B$5000="MONANG MANING"),ROWS($E$5:E310)),"")</f>
        <v/>
      </c>
      <c r="F310" s="5" t="n"/>
    </row>
    <row r="311">
      <c r="A311" s="10">
        <f>IF($E311="","",INDEX('Input Transaksi'!$A:$A,$E311))</f>
        <v/>
      </c>
      <c r="B311" s="5">
        <f>IF($E311="","",INDEX('Input Transaksi'!$D:$D,$E311))</f>
        <v/>
      </c>
      <c r="C311">
        <f>IF($E311="","",INDEX('Input Transaksi'!$E:$E,$E311))</f>
        <v/>
      </c>
      <c r="D311" s="5">
        <f>IF($E311="","",INDEX('Input Transaksi'!$F:$F,$E311))</f>
        <v/>
      </c>
      <c r="E311">
        <f>IFERROR(AGGREGATE(15,6,ROW('Input Transaksi'!$B$5:$B$5000)/('Input Transaksi'!$B$5:$B$5000="MONANG MANING"),ROWS($E$5:E311)),"")</f>
        <v/>
      </c>
      <c r="F311" s="5" t="n"/>
    </row>
    <row r="312">
      <c r="A312" s="10">
        <f>IF($E312="","",INDEX('Input Transaksi'!$A:$A,$E312))</f>
        <v/>
      </c>
      <c r="B312" s="5">
        <f>IF($E312="","",INDEX('Input Transaksi'!$D:$D,$E312))</f>
        <v/>
      </c>
      <c r="C312">
        <f>IF($E312="","",INDEX('Input Transaksi'!$E:$E,$E312))</f>
        <v/>
      </c>
      <c r="D312" s="5">
        <f>IF($E312="","",INDEX('Input Transaksi'!$F:$F,$E312))</f>
        <v/>
      </c>
      <c r="E312">
        <f>IFERROR(AGGREGATE(15,6,ROW('Input Transaksi'!$B$5:$B$5000)/('Input Transaksi'!$B$5:$B$5000="MONANG MANING"),ROWS($E$5:E312)),"")</f>
        <v/>
      </c>
      <c r="F312" s="5" t="n"/>
    </row>
    <row r="313">
      <c r="A313" s="10">
        <f>IF($E313="","",INDEX('Input Transaksi'!$A:$A,$E313))</f>
        <v/>
      </c>
      <c r="B313" s="5">
        <f>IF($E313="","",INDEX('Input Transaksi'!$D:$D,$E313))</f>
        <v/>
      </c>
      <c r="C313">
        <f>IF($E313="","",INDEX('Input Transaksi'!$E:$E,$E313))</f>
        <v/>
      </c>
      <c r="D313" s="5">
        <f>IF($E313="","",INDEX('Input Transaksi'!$F:$F,$E313))</f>
        <v/>
      </c>
      <c r="E313">
        <f>IFERROR(AGGREGATE(15,6,ROW('Input Transaksi'!$B$5:$B$5000)/('Input Transaksi'!$B$5:$B$5000="MONANG MANING"),ROWS($E$5:E313)),"")</f>
        <v/>
      </c>
      <c r="F313" s="5" t="n"/>
    </row>
    <row r="314">
      <c r="A314" s="10">
        <f>IF($E314="","",INDEX('Input Transaksi'!$A:$A,$E314))</f>
        <v/>
      </c>
      <c r="B314" s="5">
        <f>IF($E314="","",INDEX('Input Transaksi'!$D:$D,$E314))</f>
        <v/>
      </c>
      <c r="C314">
        <f>IF($E314="","",INDEX('Input Transaksi'!$E:$E,$E314))</f>
        <v/>
      </c>
      <c r="D314" s="5">
        <f>IF($E314="","",INDEX('Input Transaksi'!$F:$F,$E314))</f>
        <v/>
      </c>
      <c r="E314">
        <f>IFERROR(AGGREGATE(15,6,ROW('Input Transaksi'!$B$5:$B$5000)/('Input Transaksi'!$B$5:$B$5000="MONANG MANING"),ROWS($E$5:E314)),"")</f>
        <v/>
      </c>
      <c r="F314" s="5" t="n"/>
    </row>
    <row r="315">
      <c r="A315" s="10">
        <f>IF($E315="","",INDEX('Input Transaksi'!$A:$A,$E315))</f>
        <v/>
      </c>
      <c r="B315" s="5">
        <f>IF($E315="","",INDEX('Input Transaksi'!$D:$D,$E315))</f>
        <v/>
      </c>
      <c r="C315">
        <f>IF($E315="","",INDEX('Input Transaksi'!$E:$E,$E315))</f>
        <v/>
      </c>
      <c r="D315" s="5">
        <f>IF($E315="","",INDEX('Input Transaksi'!$F:$F,$E315))</f>
        <v/>
      </c>
      <c r="E315">
        <f>IFERROR(AGGREGATE(15,6,ROW('Input Transaksi'!$B$5:$B$5000)/('Input Transaksi'!$B$5:$B$5000="MONANG MANING"),ROWS($E$5:E315)),"")</f>
        <v/>
      </c>
      <c r="F315" s="5" t="n"/>
    </row>
    <row r="316">
      <c r="A316" s="10">
        <f>IF($E316="","",INDEX('Input Transaksi'!$A:$A,$E316))</f>
        <v/>
      </c>
      <c r="B316" s="5">
        <f>IF($E316="","",INDEX('Input Transaksi'!$D:$D,$E316))</f>
        <v/>
      </c>
      <c r="C316">
        <f>IF($E316="","",INDEX('Input Transaksi'!$E:$E,$E316))</f>
        <v/>
      </c>
      <c r="D316" s="5">
        <f>IF($E316="","",INDEX('Input Transaksi'!$F:$F,$E316))</f>
        <v/>
      </c>
      <c r="E316">
        <f>IFERROR(AGGREGATE(15,6,ROW('Input Transaksi'!$B$5:$B$5000)/('Input Transaksi'!$B$5:$B$5000="MONANG MANING"),ROWS($E$5:E316)),"")</f>
        <v/>
      </c>
      <c r="F316" s="5" t="n"/>
    </row>
    <row r="317">
      <c r="A317" s="10">
        <f>IF($E317="","",INDEX('Input Transaksi'!$A:$A,$E317))</f>
        <v/>
      </c>
      <c r="B317" s="5">
        <f>IF($E317="","",INDEX('Input Transaksi'!$D:$D,$E317))</f>
        <v/>
      </c>
      <c r="C317">
        <f>IF($E317="","",INDEX('Input Transaksi'!$E:$E,$E317))</f>
        <v/>
      </c>
      <c r="D317" s="5">
        <f>IF($E317="","",INDEX('Input Transaksi'!$F:$F,$E317))</f>
        <v/>
      </c>
      <c r="E317">
        <f>IFERROR(AGGREGATE(15,6,ROW('Input Transaksi'!$B$5:$B$5000)/('Input Transaksi'!$B$5:$B$5000="MONANG MANING"),ROWS($E$5:E317)),"")</f>
        <v/>
      </c>
      <c r="F317" s="5" t="n"/>
    </row>
    <row r="318">
      <c r="A318" s="10">
        <f>IF($E318="","",INDEX('Input Transaksi'!$A:$A,$E318))</f>
        <v/>
      </c>
      <c r="B318" s="5">
        <f>IF($E318="","",INDEX('Input Transaksi'!$D:$D,$E318))</f>
        <v/>
      </c>
      <c r="C318">
        <f>IF($E318="","",INDEX('Input Transaksi'!$E:$E,$E318))</f>
        <v/>
      </c>
      <c r="D318" s="5">
        <f>IF($E318="","",INDEX('Input Transaksi'!$F:$F,$E318))</f>
        <v/>
      </c>
      <c r="E318">
        <f>IFERROR(AGGREGATE(15,6,ROW('Input Transaksi'!$B$5:$B$5000)/('Input Transaksi'!$B$5:$B$5000="MONANG MANING"),ROWS($E$5:E318)),"")</f>
        <v/>
      </c>
      <c r="F318" s="5" t="n"/>
    </row>
    <row r="319">
      <c r="A319" s="10">
        <f>IF($E319="","",INDEX('Input Transaksi'!$A:$A,$E319))</f>
        <v/>
      </c>
      <c r="B319" s="5">
        <f>IF($E319="","",INDEX('Input Transaksi'!$D:$D,$E319))</f>
        <v/>
      </c>
      <c r="C319">
        <f>IF($E319="","",INDEX('Input Transaksi'!$E:$E,$E319))</f>
        <v/>
      </c>
      <c r="D319" s="5">
        <f>IF($E319="","",INDEX('Input Transaksi'!$F:$F,$E319))</f>
        <v/>
      </c>
      <c r="E319">
        <f>IFERROR(AGGREGATE(15,6,ROW('Input Transaksi'!$B$5:$B$5000)/('Input Transaksi'!$B$5:$B$5000="MONANG MANING"),ROWS($E$5:E319)),"")</f>
        <v/>
      </c>
      <c r="F319" s="5" t="n"/>
    </row>
    <row r="320">
      <c r="A320" s="10">
        <f>IF($E320="","",INDEX('Input Transaksi'!$A:$A,$E320))</f>
        <v/>
      </c>
      <c r="B320" s="5">
        <f>IF($E320="","",INDEX('Input Transaksi'!$D:$D,$E320))</f>
        <v/>
      </c>
      <c r="C320">
        <f>IF($E320="","",INDEX('Input Transaksi'!$E:$E,$E320))</f>
        <v/>
      </c>
      <c r="D320" s="5">
        <f>IF($E320="","",INDEX('Input Transaksi'!$F:$F,$E320))</f>
        <v/>
      </c>
      <c r="E320">
        <f>IFERROR(AGGREGATE(15,6,ROW('Input Transaksi'!$B$5:$B$5000)/('Input Transaksi'!$B$5:$B$5000="MONANG MANING"),ROWS($E$5:E320)),"")</f>
        <v/>
      </c>
      <c r="F320" s="5" t="n"/>
    </row>
    <row r="321">
      <c r="A321" s="10">
        <f>IF($E321="","",INDEX('Input Transaksi'!$A:$A,$E321))</f>
        <v/>
      </c>
      <c r="B321" s="5">
        <f>IF($E321="","",INDEX('Input Transaksi'!$D:$D,$E321))</f>
        <v/>
      </c>
      <c r="C321">
        <f>IF($E321="","",INDEX('Input Transaksi'!$E:$E,$E321))</f>
        <v/>
      </c>
      <c r="D321" s="5">
        <f>IF($E321="","",INDEX('Input Transaksi'!$F:$F,$E321))</f>
        <v/>
      </c>
      <c r="E321">
        <f>IFERROR(AGGREGATE(15,6,ROW('Input Transaksi'!$B$5:$B$5000)/('Input Transaksi'!$B$5:$B$5000="MONANG MANING"),ROWS($E$5:E321)),"")</f>
        <v/>
      </c>
      <c r="F321" s="5" t="n"/>
    </row>
    <row r="322">
      <c r="A322" s="10">
        <f>IF($E322="","",INDEX('Input Transaksi'!$A:$A,$E322))</f>
        <v/>
      </c>
      <c r="B322" s="5">
        <f>IF($E322="","",INDEX('Input Transaksi'!$D:$D,$E322))</f>
        <v/>
      </c>
      <c r="C322">
        <f>IF($E322="","",INDEX('Input Transaksi'!$E:$E,$E322))</f>
        <v/>
      </c>
      <c r="D322" s="5">
        <f>IF($E322="","",INDEX('Input Transaksi'!$F:$F,$E322))</f>
        <v/>
      </c>
      <c r="E322">
        <f>IFERROR(AGGREGATE(15,6,ROW('Input Transaksi'!$B$5:$B$5000)/('Input Transaksi'!$B$5:$B$5000="MONANG MANING"),ROWS($E$5:E322)),"")</f>
        <v/>
      </c>
      <c r="F322" s="5" t="n"/>
    </row>
    <row r="323">
      <c r="A323" s="10">
        <f>IF($E323="","",INDEX('Input Transaksi'!$A:$A,$E323))</f>
        <v/>
      </c>
      <c r="B323" s="5">
        <f>IF($E323="","",INDEX('Input Transaksi'!$D:$D,$E323))</f>
        <v/>
      </c>
      <c r="C323">
        <f>IF($E323="","",INDEX('Input Transaksi'!$E:$E,$E323))</f>
        <v/>
      </c>
      <c r="D323" s="5">
        <f>IF($E323="","",INDEX('Input Transaksi'!$F:$F,$E323))</f>
        <v/>
      </c>
      <c r="E323">
        <f>IFERROR(AGGREGATE(15,6,ROW('Input Transaksi'!$B$5:$B$5000)/('Input Transaksi'!$B$5:$B$5000="MONANG MANING"),ROWS($E$5:E323)),"")</f>
        <v/>
      </c>
      <c r="F323" s="5" t="n"/>
    </row>
    <row r="324">
      <c r="A324" s="10">
        <f>IF($E324="","",INDEX('Input Transaksi'!$A:$A,$E324))</f>
        <v/>
      </c>
      <c r="B324" s="5">
        <f>IF($E324="","",INDEX('Input Transaksi'!$D:$D,$E324))</f>
        <v/>
      </c>
      <c r="C324">
        <f>IF($E324="","",INDEX('Input Transaksi'!$E:$E,$E324))</f>
        <v/>
      </c>
      <c r="D324" s="5">
        <f>IF($E324="","",INDEX('Input Transaksi'!$F:$F,$E324))</f>
        <v/>
      </c>
      <c r="E324">
        <f>IFERROR(AGGREGATE(15,6,ROW('Input Transaksi'!$B$5:$B$5000)/('Input Transaksi'!$B$5:$B$5000="MONANG MANING"),ROWS($E$5:E324)),"")</f>
        <v/>
      </c>
      <c r="F324" s="5" t="n"/>
    </row>
    <row r="325">
      <c r="A325" s="10">
        <f>IF($E325="","",INDEX('Input Transaksi'!$A:$A,$E325))</f>
        <v/>
      </c>
      <c r="B325" s="5">
        <f>IF($E325="","",INDEX('Input Transaksi'!$D:$D,$E325))</f>
        <v/>
      </c>
      <c r="C325">
        <f>IF($E325="","",INDEX('Input Transaksi'!$E:$E,$E325))</f>
        <v/>
      </c>
      <c r="D325" s="5">
        <f>IF($E325="","",INDEX('Input Transaksi'!$F:$F,$E325))</f>
        <v/>
      </c>
      <c r="E325">
        <f>IFERROR(AGGREGATE(15,6,ROW('Input Transaksi'!$B$5:$B$5000)/('Input Transaksi'!$B$5:$B$5000="MONANG MANING"),ROWS($E$5:E325)),"")</f>
        <v/>
      </c>
      <c r="F325" s="5" t="n"/>
    </row>
    <row r="326">
      <c r="A326" s="10">
        <f>IF($E326="","",INDEX('Input Transaksi'!$A:$A,$E326))</f>
        <v/>
      </c>
      <c r="B326" s="5">
        <f>IF($E326="","",INDEX('Input Transaksi'!$D:$D,$E326))</f>
        <v/>
      </c>
      <c r="C326">
        <f>IF($E326="","",INDEX('Input Transaksi'!$E:$E,$E326))</f>
        <v/>
      </c>
      <c r="D326" s="5">
        <f>IF($E326="","",INDEX('Input Transaksi'!$F:$F,$E326))</f>
        <v/>
      </c>
      <c r="E326">
        <f>IFERROR(AGGREGATE(15,6,ROW('Input Transaksi'!$B$5:$B$5000)/('Input Transaksi'!$B$5:$B$5000="MONANG MANING"),ROWS($E$5:E326)),"")</f>
        <v/>
      </c>
      <c r="F326" s="5" t="n"/>
    </row>
    <row r="327">
      <c r="A327" s="10">
        <f>IF($E327="","",INDEX('Input Transaksi'!$A:$A,$E327))</f>
        <v/>
      </c>
      <c r="B327" s="5">
        <f>IF($E327="","",INDEX('Input Transaksi'!$D:$D,$E327))</f>
        <v/>
      </c>
      <c r="C327">
        <f>IF($E327="","",INDEX('Input Transaksi'!$E:$E,$E327))</f>
        <v/>
      </c>
      <c r="D327" s="5">
        <f>IF($E327="","",INDEX('Input Transaksi'!$F:$F,$E327))</f>
        <v/>
      </c>
      <c r="E327">
        <f>IFERROR(AGGREGATE(15,6,ROW('Input Transaksi'!$B$5:$B$5000)/('Input Transaksi'!$B$5:$B$5000="MONANG MANING"),ROWS($E$5:E327)),"")</f>
        <v/>
      </c>
      <c r="F327" s="5" t="n"/>
    </row>
    <row r="328">
      <c r="A328" s="10">
        <f>IF($E328="","",INDEX('Input Transaksi'!$A:$A,$E328))</f>
        <v/>
      </c>
      <c r="B328" s="5">
        <f>IF($E328="","",INDEX('Input Transaksi'!$D:$D,$E328))</f>
        <v/>
      </c>
      <c r="C328">
        <f>IF($E328="","",INDEX('Input Transaksi'!$E:$E,$E328))</f>
        <v/>
      </c>
      <c r="D328" s="5">
        <f>IF($E328="","",INDEX('Input Transaksi'!$F:$F,$E328))</f>
        <v/>
      </c>
      <c r="E328">
        <f>IFERROR(AGGREGATE(15,6,ROW('Input Transaksi'!$B$5:$B$5000)/('Input Transaksi'!$B$5:$B$5000="MONANG MANING"),ROWS($E$5:E328)),"")</f>
        <v/>
      </c>
      <c r="F328" s="5" t="n"/>
    </row>
    <row r="329">
      <c r="A329" s="10">
        <f>IF($E329="","",INDEX('Input Transaksi'!$A:$A,$E329))</f>
        <v/>
      </c>
      <c r="B329" s="5">
        <f>IF($E329="","",INDEX('Input Transaksi'!$D:$D,$E329))</f>
        <v/>
      </c>
      <c r="C329">
        <f>IF($E329="","",INDEX('Input Transaksi'!$E:$E,$E329))</f>
        <v/>
      </c>
      <c r="D329" s="5">
        <f>IF($E329="","",INDEX('Input Transaksi'!$F:$F,$E329))</f>
        <v/>
      </c>
      <c r="E329">
        <f>IFERROR(AGGREGATE(15,6,ROW('Input Transaksi'!$B$5:$B$5000)/('Input Transaksi'!$B$5:$B$5000="MONANG MANING"),ROWS($E$5:E329)),"")</f>
        <v/>
      </c>
      <c r="F329" s="5" t="n"/>
    </row>
    <row r="330">
      <c r="A330" s="10">
        <f>IF($E330="","",INDEX('Input Transaksi'!$A:$A,$E330))</f>
        <v/>
      </c>
      <c r="B330" s="5">
        <f>IF($E330="","",INDEX('Input Transaksi'!$D:$D,$E330))</f>
        <v/>
      </c>
      <c r="C330">
        <f>IF($E330="","",INDEX('Input Transaksi'!$E:$E,$E330))</f>
        <v/>
      </c>
      <c r="D330" s="5">
        <f>IF($E330="","",INDEX('Input Transaksi'!$F:$F,$E330))</f>
        <v/>
      </c>
      <c r="E330">
        <f>IFERROR(AGGREGATE(15,6,ROW('Input Transaksi'!$B$5:$B$5000)/('Input Transaksi'!$B$5:$B$5000="MONANG MANING"),ROWS($E$5:E330)),"")</f>
        <v/>
      </c>
      <c r="F330" s="5" t="n"/>
    </row>
    <row r="331">
      <c r="A331" s="10">
        <f>IF($E331="","",INDEX('Input Transaksi'!$A:$A,$E331))</f>
        <v/>
      </c>
      <c r="B331" s="5">
        <f>IF($E331="","",INDEX('Input Transaksi'!$D:$D,$E331))</f>
        <v/>
      </c>
      <c r="C331">
        <f>IF($E331="","",INDEX('Input Transaksi'!$E:$E,$E331))</f>
        <v/>
      </c>
      <c r="D331" s="5">
        <f>IF($E331="","",INDEX('Input Transaksi'!$F:$F,$E331))</f>
        <v/>
      </c>
      <c r="E331">
        <f>IFERROR(AGGREGATE(15,6,ROW('Input Transaksi'!$B$5:$B$5000)/('Input Transaksi'!$B$5:$B$5000="MONANG MANING"),ROWS($E$5:E331)),"")</f>
        <v/>
      </c>
      <c r="F331" s="5" t="n"/>
    </row>
    <row r="332">
      <c r="A332" s="10">
        <f>IF($E332="","",INDEX('Input Transaksi'!$A:$A,$E332))</f>
        <v/>
      </c>
      <c r="B332" s="5">
        <f>IF($E332="","",INDEX('Input Transaksi'!$D:$D,$E332))</f>
        <v/>
      </c>
      <c r="C332">
        <f>IF($E332="","",INDEX('Input Transaksi'!$E:$E,$E332))</f>
        <v/>
      </c>
      <c r="D332" s="5">
        <f>IF($E332="","",INDEX('Input Transaksi'!$F:$F,$E332))</f>
        <v/>
      </c>
      <c r="E332">
        <f>IFERROR(AGGREGATE(15,6,ROW('Input Transaksi'!$B$5:$B$5000)/('Input Transaksi'!$B$5:$B$5000="MONANG MANING"),ROWS($E$5:E332)),"")</f>
        <v/>
      </c>
      <c r="F332" s="5" t="n"/>
    </row>
    <row r="333">
      <c r="A333" s="10">
        <f>IF($E333="","",INDEX('Input Transaksi'!$A:$A,$E333))</f>
        <v/>
      </c>
      <c r="B333" s="5">
        <f>IF($E333="","",INDEX('Input Transaksi'!$D:$D,$E333))</f>
        <v/>
      </c>
      <c r="C333">
        <f>IF($E333="","",INDEX('Input Transaksi'!$E:$E,$E333))</f>
        <v/>
      </c>
      <c r="D333" s="5">
        <f>IF($E333="","",INDEX('Input Transaksi'!$F:$F,$E333))</f>
        <v/>
      </c>
      <c r="E333">
        <f>IFERROR(AGGREGATE(15,6,ROW('Input Transaksi'!$B$5:$B$5000)/('Input Transaksi'!$B$5:$B$5000="MONANG MANING"),ROWS($E$5:E333)),"")</f>
        <v/>
      </c>
      <c r="F333" s="5" t="n"/>
    </row>
    <row r="334">
      <c r="A334" s="10">
        <f>IF($E334="","",INDEX('Input Transaksi'!$A:$A,$E334))</f>
        <v/>
      </c>
      <c r="B334" s="5">
        <f>IF($E334="","",INDEX('Input Transaksi'!$D:$D,$E334))</f>
        <v/>
      </c>
      <c r="C334">
        <f>IF($E334="","",INDEX('Input Transaksi'!$E:$E,$E334))</f>
        <v/>
      </c>
      <c r="D334" s="5">
        <f>IF($E334="","",INDEX('Input Transaksi'!$F:$F,$E334))</f>
        <v/>
      </c>
      <c r="E334">
        <f>IFERROR(AGGREGATE(15,6,ROW('Input Transaksi'!$B$5:$B$5000)/('Input Transaksi'!$B$5:$B$5000="MONANG MANING"),ROWS($E$5:E334)),"")</f>
        <v/>
      </c>
      <c r="F334" s="5" t="n"/>
    </row>
    <row r="335">
      <c r="A335" s="10">
        <f>IF($E335="","",INDEX('Input Transaksi'!$A:$A,$E335))</f>
        <v/>
      </c>
      <c r="B335" s="5">
        <f>IF($E335="","",INDEX('Input Transaksi'!$D:$D,$E335))</f>
        <v/>
      </c>
      <c r="C335">
        <f>IF($E335="","",INDEX('Input Transaksi'!$E:$E,$E335))</f>
        <v/>
      </c>
      <c r="D335" s="5">
        <f>IF($E335="","",INDEX('Input Transaksi'!$F:$F,$E335))</f>
        <v/>
      </c>
      <c r="E335">
        <f>IFERROR(AGGREGATE(15,6,ROW('Input Transaksi'!$B$5:$B$5000)/('Input Transaksi'!$B$5:$B$5000="MONANG MANING"),ROWS($E$5:E335)),"")</f>
        <v/>
      </c>
      <c r="F335" s="5" t="n"/>
    </row>
    <row r="336">
      <c r="A336" s="10">
        <f>IF($E336="","",INDEX('Input Transaksi'!$A:$A,$E336))</f>
        <v/>
      </c>
      <c r="B336" s="5">
        <f>IF($E336="","",INDEX('Input Transaksi'!$D:$D,$E336))</f>
        <v/>
      </c>
      <c r="C336">
        <f>IF($E336="","",INDEX('Input Transaksi'!$E:$E,$E336))</f>
        <v/>
      </c>
      <c r="D336" s="5">
        <f>IF($E336="","",INDEX('Input Transaksi'!$F:$F,$E336))</f>
        <v/>
      </c>
      <c r="E336">
        <f>IFERROR(AGGREGATE(15,6,ROW('Input Transaksi'!$B$5:$B$5000)/('Input Transaksi'!$B$5:$B$5000="MONANG MANING"),ROWS($E$5:E336)),"")</f>
        <v/>
      </c>
      <c r="F336" s="5" t="n"/>
    </row>
    <row r="337">
      <c r="A337" s="10">
        <f>IF($E337="","",INDEX('Input Transaksi'!$A:$A,$E337))</f>
        <v/>
      </c>
      <c r="B337" s="5">
        <f>IF($E337="","",INDEX('Input Transaksi'!$D:$D,$E337))</f>
        <v/>
      </c>
      <c r="C337">
        <f>IF($E337="","",INDEX('Input Transaksi'!$E:$E,$E337))</f>
        <v/>
      </c>
      <c r="D337" s="5">
        <f>IF($E337="","",INDEX('Input Transaksi'!$F:$F,$E337))</f>
        <v/>
      </c>
      <c r="E337">
        <f>IFERROR(AGGREGATE(15,6,ROW('Input Transaksi'!$B$5:$B$5000)/('Input Transaksi'!$B$5:$B$5000="MONANG MANING"),ROWS($E$5:E337)),"")</f>
        <v/>
      </c>
      <c r="F337" s="5" t="n"/>
    </row>
    <row r="338">
      <c r="A338" s="10">
        <f>IF($E338="","",INDEX('Input Transaksi'!$A:$A,$E338))</f>
        <v/>
      </c>
      <c r="B338" s="5">
        <f>IF($E338="","",INDEX('Input Transaksi'!$D:$D,$E338))</f>
        <v/>
      </c>
      <c r="C338">
        <f>IF($E338="","",INDEX('Input Transaksi'!$E:$E,$E338))</f>
        <v/>
      </c>
      <c r="D338" s="5">
        <f>IF($E338="","",INDEX('Input Transaksi'!$F:$F,$E338))</f>
        <v/>
      </c>
      <c r="E338">
        <f>IFERROR(AGGREGATE(15,6,ROW('Input Transaksi'!$B$5:$B$5000)/('Input Transaksi'!$B$5:$B$5000="MONANG MANING"),ROWS($E$5:E338)),"")</f>
        <v/>
      </c>
      <c r="F338" s="5" t="n"/>
    </row>
    <row r="339">
      <c r="A339" s="10">
        <f>IF($E339="","",INDEX('Input Transaksi'!$A:$A,$E339))</f>
        <v/>
      </c>
      <c r="B339" s="5">
        <f>IF($E339="","",INDEX('Input Transaksi'!$D:$D,$E339))</f>
        <v/>
      </c>
      <c r="C339">
        <f>IF($E339="","",INDEX('Input Transaksi'!$E:$E,$E339))</f>
        <v/>
      </c>
      <c r="D339" s="5">
        <f>IF($E339="","",INDEX('Input Transaksi'!$F:$F,$E339))</f>
        <v/>
      </c>
      <c r="E339">
        <f>IFERROR(AGGREGATE(15,6,ROW('Input Transaksi'!$B$5:$B$5000)/('Input Transaksi'!$B$5:$B$5000="MONANG MANING"),ROWS($E$5:E339)),"")</f>
        <v/>
      </c>
      <c r="F339" s="5" t="n"/>
    </row>
    <row r="340">
      <c r="A340" s="10">
        <f>IF($E340="","",INDEX('Input Transaksi'!$A:$A,$E340))</f>
        <v/>
      </c>
      <c r="B340" s="5">
        <f>IF($E340="","",INDEX('Input Transaksi'!$D:$D,$E340))</f>
        <v/>
      </c>
      <c r="C340">
        <f>IF($E340="","",INDEX('Input Transaksi'!$E:$E,$E340))</f>
        <v/>
      </c>
      <c r="D340" s="5">
        <f>IF($E340="","",INDEX('Input Transaksi'!$F:$F,$E340))</f>
        <v/>
      </c>
      <c r="E340">
        <f>IFERROR(AGGREGATE(15,6,ROW('Input Transaksi'!$B$5:$B$5000)/('Input Transaksi'!$B$5:$B$5000="MONANG MANING"),ROWS($E$5:E340)),"")</f>
        <v/>
      </c>
      <c r="F340" s="5" t="n"/>
    </row>
    <row r="341">
      <c r="A341" s="10">
        <f>IF($E341="","",INDEX('Input Transaksi'!$A:$A,$E341))</f>
        <v/>
      </c>
      <c r="B341" s="5">
        <f>IF($E341="","",INDEX('Input Transaksi'!$D:$D,$E341))</f>
        <v/>
      </c>
      <c r="C341">
        <f>IF($E341="","",INDEX('Input Transaksi'!$E:$E,$E341))</f>
        <v/>
      </c>
      <c r="D341" s="5">
        <f>IF($E341="","",INDEX('Input Transaksi'!$F:$F,$E341))</f>
        <v/>
      </c>
      <c r="E341">
        <f>IFERROR(AGGREGATE(15,6,ROW('Input Transaksi'!$B$5:$B$5000)/('Input Transaksi'!$B$5:$B$5000="MONANG MANING"),ROWS($E$5:E341)),"")</f>
        <v/>
      </c>
      <c r="F341" s="5" t="n"/>
    </row>
    <row r="342">
      <c r="A342" s="10">
        <f>IF($E342="","",INDEX('Input Transaksi'!$A:$A,$E342))</f>
        <v/>
      </c>
      <c r="B342" s="5">
        <f>IF($E342="","",INDEX('Input Transaksi'!$D:$D,$E342))</f>
        <v/>
      </c>
      <c r="C342">
        <f>IF($E342="","",INDEX('Input Transaksi'!$E:$E,$E342))</f>
        <v/>
      </c>
      <c r="D342" s="5">
        <f>IF($E342="","",INDEX('Input Transaksi'!$F:$F,$E342))</f>
        <v/>
      </c>
      <c r="E342">
        <f>IFERROR(AGGREGATE(15,6,ROW('Input Transaksi'!$B$5:$B$5000)/('Input Transaksi'!$B$5:$B$5000="MONANG MANING"),ROWS($E$5:E342)),"")</f>
        <v/>
      </c>
      <c r="F342" s="5" t="n"/>
    </row>
    <row r="343">
      <c r="A343" s="10">
        <f>IF($E343="","",INDEX('Input Transaksi'!$A:$A,$E343))</f>
        <v/>
      </c>
      <c r="B343" s="5">
        <f>IF($E343="","",INDEX('Input Transaksi'!$D:$D,$E343))</f>
        <v/>
      </c>
      <c r="C343">
        <f>IF($E343="","",INDEX('Input Transaksi'!$E:$E,$E343))</f>
        <v/>
      </c>
      <c r="D343" s="5">
        <f>IF($E343="","",INDEX('Input Transaksi'!$F:$F,$E343))</f>
        <v/>
      </c>
      <c r="E343">
        <f>IFERROR(AGGREGATE(15,6,ROW('Input Transaksi'!$B$5:$B$5000)/('Input Transaksi'!$B$5:$B$5000="MONANG MANING"),ROWS($E$5:E343)),"")</f>
        <v/>
      </c>
      <c r="F343" s="5" t="n"/>
    </row>
    <row r="344">
      <c r="A344" s="10">
        <f>IF($E344="","",INDEX('Input Transaksi'!$A:$A,$E344))</f>
        <v/>
      </c>
      <c r="B344" s="5">
        <f>IF($E344="","",INDEX('Input Transaksi'!$D:$D,$E344))</f>
        <v/>
      </c>
      <c r="C344">
        <f>IF($E344="","",INDEX('Input Transaksi'!$E:$E,$E344))</f>
        <v/>
      </c>
      <c r="D344" s="5">
        <f>IF($E344="","",INDEX('Input Transaksi'!$F:$F,$E344))</f>
        <v/>
      </c>
      <c r="E344">
        <f>IFERROR(AGGREGATE(15,6,ROW('Input Transaksi'!$B$5:$B$5000)/('Input Transaksi'!$B$5:$B$5000="MONANG MANING"),ROWS($E$5:E344)),"")</f>
        <v/>
      </c>
      <c r="F344" s="5" t="n"/>
    </row>
    <row r="345">
      <c r="A345" s="10">
        <f>IF($E345="","",INDEX('Input Transaksi'!$A:$A,$E345))</f>
        <v/>
      </c>
      <c r="B345" s="5">
        <f>IF($E345="","",INDEX('Input Transaksi'!$D:$D,$E345))</f>
        <v/>
      </c>
      <c r="C345">
        <f>IF($E345="","",INDEX('Input Transaksi'!$E:$E,$E345))</f>
        <v/>
      </c>
      <c r="D345" s="5">
        <f>IF($E345="","",INDEX('Input Transaksi'!$F:$F,$E345))</f>
        <v/>
      </c>
      <c r="E345">
        <f>IFERROR(AGGREGATE(15,6,ROW('Input Transaksi'!$B$5:$B$5000)/('Input Transaksi'!$B$5:$B$5000="MONANG MANING"),ROWS($E$5:E345)),"")</f>
        <v/>
      </c>
      <c r="F345" s="5" t="n"/>
    </row>
    <row r="346">
      <c r="A346" s="10">
        <f>IF($E346="","",INDEX('Input Transaksi'!$A:$A,$E346))</f>
        <v/>
      </c>
      <c r="B346" s="5">
        <f>IF($E346="","",INDEX('Input Transaksi'!$D:$D,$E346))</f>
        <v/>
      </c>
      <c r="C346">
        <f>IF($E346="","",INDEX('Input Transaksi'!$E:$E,$E346))</f>
        <v/>
      </c>
      <c r="D346" s="5">
        <f>IF($E346="","",INDEX('Input Transaksi'!$F:$F,$E346))</f>
        <v/>
      </c>
      <c r="E346">
        <f>IFERROR(AGGREGATE(15,6,ROW('Input Transaksi'!$B$5:$B$5000)/('Input Transaksi'!$B$5:$B$5000="MONANG MANING"),ROWS($E$5:E346)),"")</f>
        <v/>
      </c>
      <c r="F346" s="5" t="n"/>
    </row>
    <row r="347">
      <c r="A347" s="10">
        <f>IF($E347="","",INDEX('Input Transaksi'!$A:$A,$E347))</f>
        <v/>
      </c>
      <c r="B347" s="5">
        <f>IF($E347="","",INDEX('Input Transaksi'!$D:$D,$E347))</f>
        <v/>
      </c>
      <c r="C347">
        <f>IF($E347="","",INDEX('Input Transaksi'!$E:$E,$E347))</f>
        <v/>
      </c>
      <c r="D347" s="5">
        <f>IF($E347="","",INDEX('Input Transaksi'!$F:$F,$E347))</f>
        <v/>
      </c>
      <c r="E347">
        <f>IFERROR(AGGREGATE(15,6,ROW('Input Transaksi'!$B$5:$B$5000)/('Input Transaksi'!$B$5:$B$5000="MONANG MANING"),ROWS($E$5:E347)),"")</f>
        <v/>
      </c>
      <c r="F347" s="5" t="n"/>
    </row>
    <row r="348">
      <c r="A348" s="10">
        <f>IF($E348="","",INDEX('Input Transaksi'!$A:$A,$E348))</f>
        <v/>
      </c>
      <c r="B348" s="5">
        <f>IF($E348="","",INDEX('Input Transaksi'!$D:$D,$E348))</f>
        <v/>
      </c>
      <c r="C348">
        <f>IF($E348="","",INDEX('Input Transaksi'!$E:$E,$E348))</f>
        <v/>
      </c>
      <c r="D348" s="5">
        <f>IF($E348="","",INDEX('Input Transaksi'!$F:$F,$E348))</f>
        <v/>
      </c>
      <c r="E348">
        <f>IFERROR(AGGREGATE(15,6,ROW('Input Transaksi'!$B$5:$B$5000)/('Input Transaksi'!$B$5:$B$5000="MONANG MANING"),ROWS($E$5:E348)),"")</f>
        <v/>
      </c>
      <c r="F348" s="5" t="n"/>
    </row>
    <row r="349">
      <c r="A349" s="10">
        <f>IF($E349="","",INDEX('Input Transaksi'!$A:$A,$E349))</f>
        <v/>
      </c>
      <c r="B349" s="5">
        <f>IF($E349="","",INDEX('Input Transaksi'!$D:$D,$E349))</f>
        <v/>
      </c>
      <c r="C349">
        <f>IF($E349="","",INDEX('Input Transaksi'!$E:$E,$E349))</f>
        <v/>
      </c>
      <c r="D349" s="5">
        <f>IF($E349="","",INDEX('Input Transaksi'!$F:$F,$E349))</f>
        <v/>
      </c>
      <c r="E349">
        <f>IFERROR(AGGREGATE(15,6,ROW('Input Transaksi'!$B$5:$B$5000)/('Input Transaksi'!$B$5:$B$5000="MONANG MANING"),ROWS($E$5:E349)),"")</f>
        <v/>
      </c>
      <c r="F349" s="5" t="n"/>
    </row>
    <row r="350">
      <c r="A350" s="10">
        <f>IF($E350="","",INDEX('Input Transaksi'!$A:$A,$E350))</f>
        <v/>
      </c>
      <c r="B350" s="5">
        <f>IF($E350="","",INDEX('Input Transaksi'!$D:$D,$E350))</f>
        <v/>
      </c>
      <c r="C350">
        <f>IF($E350="","",INDEX('Input Transaksi'!$E:$E,$E350))</f>
        <v/>
      </c>
      <c r="D350" s="5">
        <f>IF($E350="","",INDEX('Input Transaksi'!$F:$F,$E350))</f>
        <v/>
      </c>
      <c r="E350">
        <f>IFERROR(AGGREGATE(15,6,ROW('Input Transaksi'!$B$5:$B$5000)/('Input Transaksi'!$B$5:$B$5000="MONANG MANING"),ROWS($E$5:E350)),"")</f>
        <v/>
      </c>
      <c r="F350" s="5" t="n"/>
    </row>
    <row r="351">
      <c r="A351" s="10">
        <f>IF($E351="","",INDEX('Input Transaksi'!$A:$A,$E351))</f>
        <v/>
      </c>
      <c r="B351" s="5">
        <f>IF($E351="","",INDEX('Input Transaksi'!$D:$D,$E351))</f>
        <v/>
      </c>
      <c r="C351">
        <f>IF($E351="","",INDEX('Input Transaksi'!$E:$E,$E351))</f>
        <v/>
      </c>
      <c r="D351" s="5">
        <f>IF($E351="","",INDEX('Input Transaksi'!$F:$F,$E351))</f>
        <v/>
      </c>
      <c r="E351">
        <f>IFERROR(AGGREGATE(15,6,ROW('Input Transaksi'!$B$5:$B$5000)/('Input Transaksi'!$B$5:$B$5000="MONANG MANING"),ROWS($E$5:E351)),"")</f>
        <v/>
      </c>
      <c r="F351" s="5" t="n"/>
    </row>
    <row r="352">
      <c r="A352" s="10">
        <f>IF($E352="","",INDEX('Input Transaksi'!$A:$A,$E352))</f>
        <v/>
      </c>
      <c r="B352" s="5">
        <f>IF($E352="","",INDEX('Input Transaksi'!$D:$D,$E352))</f>
        <v/>
      </c>
      <c r="C352">
        <f>IF($E352="","",INDEX('Input Transaksi'!$E:$E,$E352))</f>
        <v/>
      </c>
      <c r="D352" s="5">
        <f>IF($E352="","",INDEX('Input Transaksi'!$F:$F,$E352))</f>
        <v/>
      </c>
      <c r="E352">
        <f>IFERROR(AGGREGATE(15,6,ROW('Input Transaksi'!$B$5:$B$5000)/('Input Transaksi'!$B$5:$B$5000="MONANG MANING"),ROWS($E$5:E352)),"")</f>
        <v/>
      </c>
      <c r="F352" s="5" t="n"/>
    </row>
    <row r="353">
      <c r="A353" s="10">
        <f>IF($E353="","",INDEX('Input Transaksi'!$A:$A,$E353))</f>
        <v/>
      </c>
      <c r="B353" s="5">
        <f>IF($E353="","",INDEX('Input Transaksi'!$D:$D,$E353))</f>
        <v/>
      </c>
      <c r="C353">
        <f>IF($E353="","",INDEX('Input Transaksi'!$E:$E,$E353))</f>
        <v/>
      </c>
      <c r="D353" s="5">
        <f>IF($E353="","",INDEX('Input Transaksi'!$F:$F,$E353))</f>
        <v/>
      </c>
      <c r="E353">
        <f>IFERROR(AGGREGATE(15,6,ROW('Input Transaksi'!$B$5:$B$5000)/('Input Transaksi'!$B$5:$B$5000="MONANG MANING"),ROWS($E$5:E353)),"")</f>
        <v/>
      </c>
      <c r="F353" s="5" t="n"/>
    </row>
    <row r="354">
      <c r="A354" s="10">
        <f>IF($E354="","",INDEX('Input Transaksi'!$A:$A,$E354))</f>
        <v/>
      </c>
      <c r="B354" s="5">
        <f>IF($E354="","",INDEX('Input Transaksi'!$D:$D,$E354))</f>
        <v/>
      </c>
      <c r="C354">
        <f>IF($E354="","",INDEX('Input Transaksi'!$E:$E,$E354))</f>
        <v/>
      </c>
      <c r="D354" s="5">
        <f>IF($E354="","",INDEX('Input Transaksi'!$F:$F,$E354))</f>
        <v/>
      </c>
      <c r="E354">
        <f>IFERROR(AGGREGATE(15,6,ROW('Input Transaksi'!$B$5:$B$5000)/('Input Transaksi'!$B$5:$B$5000="MONANG MANING"),ROWS($E$5:E354)),"")</f>
        <v/>
      </c>
      <c r="F354" s="5" t="n"/>
    </row>
    <row r="355">
      <c r="A355" s="10">
        <f>IF($E355="","",INDEX('Input Transaksi'!$A:$A,$E355))</f>
        <v/>
      </c>
      <c r="B355" s="5">
        <f>IF($E355="","",INDEX('Input Transaksi'!$D:$D,$E355))</f>
        <v/>
      </c>
      <c r="C355">
        <f>IF($E355="","",INDEX('Input Transaksi'!$E:$E,$E355))</f>
        <v/>
      </c>
      <c r="D355" s="5">
        <f>IF($E355="","",INDEX('Input Transaksi'!$F:$F,$E355))</f>
        <v/>
      </c>
      <c r="E355">
        <f>IFERROR(AGGREGATE(15,6,ROW('Input Transaksi'!$B$5:$B$5000)/('Input Transaksi'!$B$5:$B$5000="MONANG MANING"),ROWS($E$5:E355)),"")</f>
        <v/>
      </c>
      <c r="F355" s="5" t="n"/>
    </row>
    <row r="356">
      <c r="A356" s="10">
        <f>IF($E356="","",INDEX('Input Transaksi'!$A:$A,$E356))</f>
        <v/>
      </c>
      <c r="B356" s="5">
        <f>IF($E356="","",INDEX('Input Transaksi'!$D:$D,$E356))</f>
        <v/>
      </c>
      <c r="C356">
        <f>IF($E356="","",INDEX('Input Transaksi'!$E:$E,$E356))</f>
        <v/>
      </c>
      <c r="D356" s="5">
        <f>IF($E356="","",INDEX('Input Transaksi'!$F:$F,$E356))</f>
        <v/>
      </c>
      <c r="E356">
        <f>IFERROR(AGGREGATE(15,6,ROW('Input Transaksi'!$B$5:$B$5000)/('Input Transaksi'!$B$5:$B$5000="MONANG MANING"),ROWS($E$5:E356)),"")</f>
        <v/>
      </c>
      <c r="F356" s="5" t="n"/>
    </row>
    <row r="357">
      <c r="A357" s="10">
        <f>IF($E357="","",INDEX('Input Transaksi'!$A:$A,$E357))</f>
        <v/>
      </c>
      <c r="B357" s="5">
        <f>IF($E357="","",INDEX('Input Transaksi'!$D:$D,$E357))</f>
        <v/>
      </c>
      <c r="C357">
        <f>IF($E357="","",INDEX('Input Transaksi'!$E:$E,$E357))</f>
        <v/>
      </c>
      <c r="D357" s="5">
        <f>IF($E357="","",INDEX('Input Transaksi'!$F:$F,$E357))</f>
        <v/>
      </c>
      <c r="E357">
        <f>IFERROR(AGGREGATE(15,6,ROW('Input Transaksi'!$B$5:$B$5000)/('Input Transaksi'!$B$5:$B$5000="MONANG MANING"),ROWS($E$5:E357)),"")</f>
        <v/>
      </c>
      <c r="F357" s="5" t="n"/>
    </row>
    <row r="358">
      <c r="A358" s="10">
        <f>IF($E358="","",INDEX('Input Transaksi'!$A:$A,$E358))</f>
        <v/>
      </c>
      <c r="B358" s="5">
        <f>IF($E358="","",INDEX('Input Transaksi'!$D:$D,$E358))</f>
        <v/>
      </c>
      <c r="C358">
        <f>IF($E358="","",INDEX('Input Transaksi'!$E:$E,$E358))</f>
        <v/>
      </c>
      <c r="D358" s="5">
        <f>IF($E358="","",INDEX('Input Transaksi'!$F:$F,$E358))</f>
        <v/>
      </c>
      <c r="E358">
        <f>IFERROR(AGGREGATE(15,6,ROW('Input Transaksi'!$B$5:$B$5000)/('Input Transaksi'!$B$5:$B$5000="MONANG MANING"),ROWS($E$5:E358)),"")</f>
        <v/>
      </c>
      <c r="F358" s="5" t="n"/>
    </row>
    <row r="359">
      <c r="A359" s="10">
        <f>IF($E359="","",INDEX('Input Transaksi'!$A:$A,$E359))</f>
        <v/>
      </c>
      <c r="B359" s="5">
        <f>IF($E359="","",INDEX('Input Transaksi'!$D:$D,$E359))</f>
        <v/>
      </c>
      <c r="C359">
        <f>IF($E359="","",INDEX('Input Transaksi'!$E:$E,$E359))</f>
        <v/>
      </c>
      <c r="D359" s="5">
        <f>IF($E359="","",INDEX('Input Transaksi'!$F:$F,$E359))</f>
        <v/>
      </c>
      <c r="E359">
        <f>IFERROR(AGGREGATE(15,6,ROW('Input Transaksi'!$B$5:$B$5000)/('Input Transaksi'!$B$5:$B$5000="MONANG MANING"),ROWS($E$5:E359)),"")</f>
        <v/>
      </c>
      <c r="F359" s="5" t="n"/>
    </row>
    <row r="360">
      <c r="A360" s="10">
        <f>IF($E360="","",INDEX('Input Transaksi'!$A:$A,$E360))</f>
        <v/>
      </c>
      <c r="B360" s="5">
        <f>IF($E360="","",INDEX('Input Transaksi'!$D:$D,$E360))</f>
        <v/>
      </c>
      <c r="C360">
        <f>IF($E360="","",INDEX('Input Transaksi'!$E:$E,$E360))</f>
        <v/>
      </c>
      <c r="D360" s="5">
        <f>IF($E360="","",INDEX('Input Transaksi'!$F:$F,$E360))</f>
        <v/>
      </c>
      <c r="E360">
        <f>IFERROR(AGGREGATE(15,6,ROW('Input Transaksi'!$B$5:$B$5000)/('Input Transaksi'!$B$5:$B$5000="MONANG MANING"),ROWS($E$5:E360)),"")</f>
        <v/>
      </c>
      <c r="F360" s="5" t="n"/>
    </row>
    <row r="361">
      <c r="A361" s="10">
        <f>IF($E361="","",INDEX('Input Transaksi'!$A:$A,$E361))</f>
        <v/>
      </c>
      <c r="B361" s="5">
        <f>IF($E361="","",INDEX('Input Transaksi'!$D:$D,$E361))</f>
        <v/>
      </c>
      <c r="C361">
        <f>IF($E361="","",INDEX('Input Transaksi'!$E:$E,$E361))</f>
        <v/>
      </c>
      <c r="D361" s="5">
        <f>IF($E361="","",INDEX('Input Transaksi'!$F:$F,$E361))</f>
        <v/>
      </c>
      <c r="E361">
        <f>IFERROR(AGGREGATE(15,6,ROW('Input Transaksi'!$B$5:$B$5000)/('Input Transaksi'!$B$5:$B$5000="MONANG MANING"),ROWS($E$5:E361)),"")</f>
        <v/>
      </c>
      <c r="F361" s="5" t="n"/>
    </row>
    <row r="362">
      <c r="A362" s="10">
        <f>IF($E362="","",INDEX('Input Transaksi'!$A:$A,$E362))</f>
        <v/>
      </c>
      <c r="B362" s="5">
        <f>IF($E362="","",INDEX('Input Transaksi'!$D:$D,$E362))</f>
        <v/>
      </c>
      <c r="C362">
        <f>IF($E362="","",INDEX('Input Transaksi'!$E:$E,$E362))</f>
        <v/>
      </c>
      <c r="D362" s="5">
        <f>IF($E362="","",INDEX('Input Transaksi'!$F:$F,$E362))</f>
        <v/>
      </c>
      <c r="E362">
        <f>IFERROR(AGGREGATE(15,6,ROW('Input Transaksi'!$B$5:$B$5000)/('Input Transaksi'!$B$5:$B$5000="MONANG MANING"),ROWS($E$5:E362)),"")</f>
        <v/>
      </c>
      <c r="F362" s="5" t="n"/>
    </row>
    <row r="363">
      <c r="A363" s="10">
        <f>IF($E363="","",INDEX('Input Transaksi'!$A:$A,$E363))</f>
        <v/>
      </c>
      <c r="B363" s="5">
        <f>IF($E363="","",INDEX('Input Transaksi'!$D:$D,$E363))</f>
        <v/>
      </c>
      <c r="C363">
        <f>IF($E363="","",INDEX('Input Transaksi'!$E:$E,$E363))</f>
        <v/>
      </c>
      <c r="D363" s="5">
        <f>IF($E363="","",INDEX('Input Transaksi'!$F:$F,$E363))</f>
        <v/>
      </c>
      <c r="E363">
        <f>IFERROR(AGGREGATE(15,6,ROW('Input Transaksi'!$B$5:$B$5000)/('Input Transaksi'!$B$5:$B$5000="MONANG MANING"),ROWS($E$5:E363)),"")</f>
        <v/>
      </c>
      <c r="F363" s="5" t="n"/>
    </row>
    <row r="364">
      <c r="A364" s="10">
        <f>IF($E364="","",INDEX('Input Transaksi'!$A:$A,$E364))</f>
        <v/>
      </c>
      <c r="B364" s="5">
        <f>IF($E364="","",INDEX('Input Transaksi'!$D:$D,$E364))</f>
        <v/>
      </c>
      <c r="C364">
        <f>IF($E364="","",INDEX('Input Transaksi'!$E:$E,$E364))</f>
        <v/>
      </c>
      <c r="D364" s="5">
        <f>IF($E364="","",INDEX('Input Transaksi'!$F:$F,$E364))</f>
        <v/>
      </c>
      <c r="E364">
        <f>IFERROR(AGGREGATE(15,6,ROW('Input Transaksi'!$B$5:$B$5000)/('Input Transaksi'!$B$5:$B$5000="MONANG MANING"),ROWS($E$5:E364)),"")</f>
        <v/>
      </c>
      <c r="F364" s="5" t="n"/>
    </row>
    <row r="365">
      <c r="A365" s="10">
        <f>IF($E365="","",INDEX('Input Transaksi'!$A:$A,$E365))</f>
        <v/>
      </c>
      <c r="B365" s="5">
        <f>IF($E365="","",INDEX('Input Transaksi'!$D:$D,$E365))</f>
        <v/>
      </c>
      <c r="C365">
        <f>IF($E365="","",INDEX('Input Transaksi'!$E:$E,$E365))</f>
        <v/>
      </c>
      <c r="D365" s="5">
        <f>IF($E365="","",INDEX('Input Transaksi'!$F:$F,$E365))</f>
        <v/>
      </c>
      <c r="E365">
        <f>IFERROR(AGGREGATE(15,6,ROW('Input Transaksi'!$B$5:$B$5000)/('Input Transaksi'!$B$5:$B$5000="MONANG MANING"),ROWS($E$5:E365)),"")</f>
        <v/>
      </c>
      <c r="F365" s="5" t="n"/>
    </row>
    <row r="366">
      <c r="A366" s="10">
        <f>IF($E366="","",INDEX('Input Transaksi'!$A:$A,$E366))</f>
        <v/>
      </c>
      <c r="B366" s="5">
        <f>IF($E366="","",INDEX('Input Transaksi'!$D:$D,$E366))</f>
        <v/>
      </c>
      <c r="C366">
        <f>IF($E366="","",INDEX('Input Transaksi'!$E:$E,$E366))</f>
        <v/>
      </c>
      <c r="D366" s="5">
        <f>IF($E366="","",INDEX('Input Transaksi'!$F:$F,$E366))</f>
        <v/>
      </c>
      <c r="E366">
        <f>IFERROR(AGGREGATE(15,6,ROW('Input Transaksi'!$B$5:$B$5000)/('Input Transaksi'!$B$5:$B$5000="MONANG MANING"),ROWS($E$5:E366)),"")</f>
        <v/>
      </c>
      <c r="F366" s="5" t="n"/>
    </row>
    <row r="367">
      <c r="A367" s="10">
        <f>IF($E367="","",INDEX('Input Transaksi'!$A:$A,$E367))</f>
        <v/>
      </c>
      <c r="B367" s="5">
        <f>IF($E367="","",INDEX('Input Transaksi'!$D:$D,$E367))</f>
        <v/>
      </c>
      <c r="C367">
        <f>IF($E367="","",INDEX('Input Transaksi'!$E:$E,$E367))</f>
        <v/>
      </c>
      <c r="D367" s="5">
        <f>IF($E367="","",INDEX('Input Transaksi'!$F:$F,$E367))</f>
        <v/>
      </c>
      <c r="E367">
        <f>IFERROR(AGGREGATE(15,6,ROW('Input Transaksi'!$B$5:$B$5000)/('Input Transaksi'!$B$5:$B$5000="MONANG MANING"),ROWS($E$5:E367)),"")</f>
        <v/>
      </c>
      <c r="F367" s="5" t="n"/>
    </row>
    <row r="368">
      <c r="A368" s="10">
        <f>IF($E368="","",INDEX('Input Transaksi'!$A:$A,$E368))</f>
        <v/>
      </c>
      <c r="B368" s="5">
        <f>IF($E368="","",INDEX('Input Transaksi'!$D:$D,$E368))</f>
        <v/>
      </c>
      <c r="C368">
        <f>IF($E368="","",INDEX('Input Transaksi'!$E:$E,$E368))</f>
        <v/>
      </c>
      <c r="D368" s="5">
        <f>IF($E368="","",INDEX('Input Transaksi'!$F:$F,$E368))</f>
        <v/>
      </c>
      <c r="E368">
        <f>IFERROR(AGGREGATE(15,6,ROW('Input Transaksi'!$B$5:$B$5000)/('Input Transaksi'!$B$5:$B$5000="MONANG MANING"),ROWS($E$5:E368)),"")</f>
        <v/>
      </c>
      <c r="F368" s="5" t="n"/>
    </row>
    <row r="369">
      <c r="A369" s="10">
        <f>IF($E369="","",INDEX('Input Transaksi'!$A:$A,$E369))</f>
        <v/>
      </c>
      <c r="B369" s="5">
        <f>IF($E369="","",INDEX('Input Transaksi'!$D:$D,$E369))</f>
        <v/>
      </c>
      <c r="C369">
        <f>IF($E369="","",INDEX('Input Transaksi'!$E:$E,$E369))</f>
        <v/>
      </c>
      <c r="D369" s="5">
        <f>IF($E369="","",INDEX('Input Transaksi'!$F:$F,$E369))</f>
        <v/>
      </c>
      <c r="E369">
        <f>IFERROR(AGGREGATE(15,6,ROW('Input Transaksi'!$B$5:$B$5000)/('Input Transaksi'!$B$5:$B$5000="MONANG MANING"),ROWS($E$5:E369)),"")</f>
        <v/>
      </c>
      <c r="F369" s="5" t="n"/>
    </row>
    <row r="370">
      <c r="A370" s="10">
        <f>IF($E370="","",INDEX('Input Transaksi'!$A:$A,$E370))</f>
        <v/>
      </c>
      <c r="B370" s="5">
        <f>IF($E370="","",INDEX('Input Transaksi'!$D:$D,$E370))</f>
        <v/>
      </c>
      <c r="C370">
        <f>IF($E370="","",INDEX('Input Transaksi'!$E:$E,$E370))</f>
        <v/>
      </c>
      <c r="D370" s="5">
        <f>IF($E370="","",INDEX('Input Transaksi'!$F:$F,$E370))</f>
        <v/>
      </c>
      <c r="E370">
        <f>IFERROR(AGGREGATE(15,6,ROW('Input Transaksi'!$B$5:$B$5000)/('Input Transaksi'!$B$5:$B$5000="MONANG MANING"),ROWS($E$5:E370)),"")</f>
        <v/>
      </c>
      <c r="F370" s="5" t="n"/>
    </row>
    <row r="371">
      <c r="A371" s="10">
        <f>IF($E371="","",INDEX('Input Transaksi'!$A:$A,$E371))</f>
        <v/>
      </c>
      <c r="B371" s="5">
        <f>IF($E371="","",INDEX('Input Transaksi'!$D:$D,$E371))</f>
        <v/>
      </c>
      <c r="C371">
        <f>IF($E371="","",INDEX('Input Transaksi'!$E:$E,$E371))</f>
        <v/>
      </c>
      <c r="D371" s="5">
        <f>IF($E371="","",INDEX('Input Transaksi'!$F:$F,$E371))</f>
        <v/>
      </c>
      <c r="E371">
        <f>IFERROR(AGGREGATE(15,6,ROW('Input Transaksi'!$B$5:$B$5000)/('Input Transaksi'!$B$5:$B$5000="MONANG MANING"),ROWS($E$5:E371)),"")</f>
        <v/>
      </c>
      <c r="F371" s="5" t="n"/>
    </row>
    <row r="372">
      <c r="A372" s="10">
        <f>IF($E372="","",INDEX('Input Transaksi'!$A:$A,$E372))</f>
        <v/>
      </c>
      <c r="B372" s="5">
        <f>IF($E372="","",INDEX('Input Transaksi'!$D:$D,$E372))</f>
        <v/>
      </c>
      <c r="C372">
        <f>IF($E372="","",INDEX('Input Transaksi'!$E:$E,$E372))</f>
        <v/>
      </c>
      <c r="D372" s="5">
        <f>IF($E372="","",INDEX('Input Transaksi'!$F:$F,$E372))</f>
        <v/>
      </c>
      <c r="E372">
        <f>IFERROR(AGGREGATE(15,6,ROW('Input Transaksi'!$B$5:$B$5000)/('Input Transaksi'!$B$5:$B$5000="MONANG MANING"),ROWS($E$5:E372)),"")</f>
        <v/>
      </c>
      <c r="F372" s="5" t="n"/>
    </row>
    <row r="373">
      <c r="A373" s="10">
        <f>IF($E373="","",INDEX('Input Transaksi'!$A:$A,$E373))</f>
        <v/>
      </c>
      <c r="B373" s="5">
        <f>IF($E373="","",INDEX('Input Transaksi'!$D:$D,$E373))</f>
        <v/>
      </c>
      <c r="C373">
        <f>IF($E373="","",INDEX('Input Transaksi'!$E:$E,$E373))</f>
        <v/>
      </c>
      <c r="D373" s="5">
        <f>IF($E373="","",INDEX('Input Transaksi'!$F:$F,$E373))</f>
        <v/>
      </c>
      <c r="E373">
        <f>IFERROR(AGGREGATE(15,6,ROW('Input Transaksi'!$B$5:$B$5000)/('Input Transaksi'!$B$5:$B$5000="MONANG MANING"),ROWS($E$5:E373)),"")</f>
        <v/>
      </c>
      <c r="F373" s="5" t="n"/>
    </row>
    <row r="374">
      <c r="A374" s="10">
        <f>IF($E374="","",INDEX('Input Transaksi'!$A:$A,$E374))</f>
        <v/>
      </c>
      <c r="B374" s="5">
        <f>IF($E374="","",INDEX('Input Transaksi'!$D:$D,$E374))</f>
        <v/>
      </c>
      <c r="C374">
        <f>IF($E374="","",INDEX('Input Transaksi'!$E:$E,$E374))</f>
        <v/>
      </c>
      <c r="D374" s="5">
        <f>IF($E374="","",INDEX('Input Transaksi'!$F:$F,$E374))</f>
        <v/>
      </c>
      <c r="E374">
        <f>IFERROR(AGGREGATE(15,6,ROW('Input Transaksi'!$B$5:$B$5000)/('Input Transaksi'!$B$5:$B$5000="MONANG MANING"),ROWS($E$5:E374)),"")</f>
        <v/>
      </c>
      <c r="F374" s="5" t="n"/>
    </row>
    <row r="375">
      <c r="A375" s="10">
        <f>IF($E375="","",INDEX('Input Transaksi'!$A:$A,$E375))</f>
        <v/>
      </c>
      <c r="B375" s="5">
        <f>IF($E375="","",INDEX('Input Transaksi'!$D:$D,$E375))</f>
        <v/>
      </c>
      <c r="C375">
        <f>IF($E375="","",INDEX('Input Transaksi'!$E:$E,$E375))</f>
        <v/>
      </c>
      <c r="D375" s="5">
        <f>IF($E375="","",INDEX('Input Transaksi'!$F:$F,$E375))</f>
        <v/>
      </c>
      <c r="E375">
        <f>IFERROR(AGGREGATE(15,6,ROW('Input Transaksi'!$B$5:$B$5000)/('Input Transaksi'!$B$5:$B$5000="MONANG MANING"),ROWS($E$5:E375)),"")</f>
        <v/>
      </c>
      <c r="F375" s="5" t="n"/>
    </row>
    <row r="376">
      <c r="A376" s="10">
        <f>IF($E376="","",INDEX('Input Transaksi'!$A:$A,$E376))</f>
        <v/>
      </c>
      <c r="B376" s="5">
        <f>IF($E376="","",INDEX('Input Transaksi'!$D:$D,$E376))</f>
        <v/>
      </c>
      <c r="C376">
        <f>IF($E376="","",INDEX('Input Transaksi'!$E:$E,$E376))</f>
        <v/>
      </c>
      <c r="D376" s="5">
        <f>IF($E376="","",INDEX('Input Transaksi'!$F:$F,$E376))</f>
        <v/>
      </c>
      <c r="E376">
        <f>IFERROR(AGGREGATE(15,6,ROW('Input Transaksi'!$B$5:$B$5000)/('Input Transaksi'!$B$5:$B$5000="MONANG MANING"),ROWS($E$5:E376)),"")</f>
        <v/>
      </c>
      <c r="F376" s="5" t="n"/>
    </row>
    <row r="377">
      <c r="A377" s="10">
        <f>IF($E377="","",INDEX('Input Transaksi'!$A:$A,$E377))</f>
        <v/>
      </c>
      <c r="B377" s="5">
        <f>IF($E377="","",INDEX('Input Transaksi'!$D:$D,$E377))</f>
        <v/>
      </c>
      <c r="C377">
        <f>IF($E377="","",INDEX('Input Transaksi'!$E:$E,$E377))</f>
        <v/>
      </c>
      <c r="D377" s="5">
        <f>IF($E377="","",INDEX('Input Transaksi'!$F:$F,$E377))</f>
        <v/>
      </c>
      <c r="E377">
        <f>IFERROR(AGGREGATE(15,6,ROW('Input Transaksi'!$B$5:$B$5000)/('Input Transaksi'!$B$5:$B$5000="MONANG MANING"),ROWS($E$5:E377)),"")</f>
        <v/>
      </c>
      <c r="F377" s="5" t="n"/>
    </row>
    <row r="378">
      <c r="A378" s="10">
        <f>IF($E378="","",INDEX('Input Transaksi'!$A:$A,$E378))</f>
        <v/>
      </c>
      <c r="B378" s="5">
        <f>IF($E378="","",INDEX('Input Transaksi'!$D:$D,$E378))</f>
        <v/>
      </c>
      <c r="C378">
        <f>IF($E378="","",INDEX('Input Transaksi'!$E:$E,$E378))</f>
        <v/>
      </c>
      <c r="D378" s="5">
        <f>IF($E378="","",INDEX('Input Transaksi'!$F:$F,$E378))</f>
        <v/>
      </c>
      <c r="E378">
        <f>IFERROR(AGGREGATE(15,6,ROW('Input Transaksi'!$B$5:$B$5000)/('Input Transaksi'!$B$5:$B$5000="MONANG MANING"),ROWS($E$5:E378)),"")</f>
        <v/>
      </c>
      <c r="F378" s="5" t="n"/>
    </row>
    <row r="379">
      <c r="A379" s="10">
        <f>IF($E379="","",INDEX('Input Transaksi'!$A:$A,$E379))</f>
        <v/>
      </c>
      <c r="B379" s="5">
        <f>IF($E379="","",INDEX('Input Transaksi'!$D:$D,$E379))</f>
        <v/>
      </c>
      <c r="C379">
        <f>IF($E379="","",INDEX('Input Transaksi'!$E:$E,$E379))</f>
        <v/>
      </c>
      <c r="D379" s="5">
        <f>IF($E379="","",INDEX('Input Transaksi'!$F:$F,$E379))</f>
        <v/>
      </c>
      <c r="E379">
        <f>IFERROR(AGGREGATE(15,6,ROW('Input Transaksi'!$B$5:$B$5000)/('Input Transaksi'!$B$5:$B$5000="MONANG MANING"),ROWS($E$5:E379)),"")</f>
        <v/>
      </c>
      <c r="F379" s="5" t="n"/>
    </row>
    <row r="380">
      <c r="A380" s="10">
        <f>IF($E380="","",INDEX('Input Transaksi'!$A:$A,$E380))</f>
        <v/>
      </c>
      <c r="B380" s="5">
        <f>IF($E380="","",INDEX('Input Transaksi'!$D:$D,$E380))</f>
        <v/>
      </c>
      <c r="C380">
        <f>IF($E380="","",INDEX('Input Transaksi'!$E:$E,$E380))</f>
        <v/>
      </c>
      <c r="D380" s="5">
        <f>IF($E380="","",INDEX('Input Transaksi'!$F:$F,$E380))</f>
        <v/>
      </c>
      <c r="E380">
        <f>IFERROR(AGGREGATE(15,6,ROW('Input Transaksi'!$B$5:$B$5000)/('Input Transaksi'!$B$5:$B$5000="MONANG MANING"),ROWS($E$5:E380)),"")</f>
        <v/>
      </c>
      <c r="F380" s="5" t="n"/>
    </row>
    <row r="381">
      <c r="A381" s="10">
        <f>IF($E381="","",INDEX('Input Transaksi'!$A:$A,$E381))</f>
        <v/>
      </c>
      <c r="B381" s="5">
        <f>IF($E381="","",INDEX('Input Transaksi'!$D:$D,$E381))</f>
        <v/>
      </c>
      <c r="C381">
        <f>IF($E381="","",INDEX('Input Transaksi'!$E:$E,$E381))</f>
        <v/>
      </c>
      <c r="D381" s="5">
        <f>IF($E381="","",INDEX('Input Transaksi'!$F:$F,$E381))</f>
        <v/>
      </c>
      <c r="E381">
        <f>IFERROR(AGGREGATE(15,6,ROW('Input Transaksi'!$B$5:$B$5000)/('Input Transaksi'!$B$5:$B$5000="MONANG MANING"),ROWS($E$5:E381)),"")</f>
        <v/>
      </c>
      <c r="F381" s="5" t="n"/>
    </row>
    <row r="382">
      <c r="A382" s="10">
        <f>IF($E382="","",INDEX('Input Transaksi'!$A:$A,$E382))</f>
        <v/>
      </c>
      <c r="B382" s="5">
        <f>IF($E382="","",INDEX('Input Transaksi'!$D:$D,$E382))</f>
        <v/>
      </c>
      <c r="C382">
        <f>IF($E382="","",INDEX('Input Transaksi'!$E:$E,$E382))</f>
        <v/>
      </c>
      <c r="D382" s="5">
        <f>IF($E382="","",INDEX('Input Transaksi'!$F:$F,$E382))</f>
        <v/>
      </c>
      <c r="E382">
        <f>IFERROR(AGGREGATE(15,6,ROW('Input Transaksi'!$B$5:$B$5000)/('Input Transaksi'!$B$5:$B$5000="MONANG MANING"),ROWS($E$5:E382)),"")</f>
        <v/>
      </c>
      <c r="F382" s="5" t="n"/>
    </row>
    <row r="383">
      <c r="A383" s="10">
        <f>IF($E383="","",INDEX('Input Transaksi'!$A:$A,$E383))</f>
        <v/>
      </c>
      <c r="B383" s="5">
        <f>IF($E383="","",INDEX('Input Transaksi'!$D:$D,$E383))</f>
        <v/>
      </c>
      <c r="C383">
        <f>IF($E383="","",INDEX('Input Transaksi'!$E:$E,$E383))</f>
        <v/>
      </c>
      <c r="D383" s="5">
        <f>IF($E383="","",INDEX('Input Transaksi'!$F:$F,$E383))</f>
        <v/>
      </c>
      <c r="E383">
        <f>IFERROR(AGGREGATE(15,6,ROW('Input Transaksi'!$B$5:$B$5000)/('Input Transaksi'!$B$5:$B$5000="MONANG MANING"),ROWS($E$5:E383)),"")</f>
        <v/>
      </c>
      <c r="F383" s="5" t="n"/>
    </row>
    <row r="384">
      <c r="A384" s="10">
        <f>IF($E384="","",INDEX('Input Transaksi'!$A:$A,$E384))</f>
        <v/>
      </c>
      <c r="B384" s="5">
        <f>IF($E384="","",INDEX('Input Transaksi'!$D:$D,$E384))</f>
        <v/>
      </c>
      <c r="C384">
        <f>IF($E384="","",INDEX('Input Transaksi'!$E:$E,$E384))</f>
        <v/>
      </c>
      <c r="D384" s="5">
        <f>IF($E384="","",INDEX('Input Transaksi'!$F:$F,$E384))</f>
        <v/>
      </c>
      <c r="E384">
        <f>IFERROR(AGGREGATE(15,6,ROW('Input Transaksi'!$B$5:$B$5000)/('Input Transaksi'!$B$5:$B$5000="MONANG MANING"),ROWS($E$5:E384)),"")</f>
        <v/>
      </c>
      <c r="F384" s="5" t="n"/>
    </row>
    <row r="385">
      <c r="A385" s="10">
        <f>IF($E385="","",INDEX('Input Transaksi'!$A:$A,$E385))</f>
        <v/>
      </c>
      <c r="B385" s="5">
        <f>IF($E385="","",INDEX('Input Transaksi'!$D:$D,$E385))</f>
        <v/>
      </c>
      <c r="C385">
        <f>IF($E385="","",INDEX('Input Transaksi'!$E:$E,$E385))</f>
        <v/>
      </c>
      <c r="D385" s="5">
        <f>IF($E385="","",INDEX('Input Transaksi'!$F:$F,$E385))</f>
        <v/>
      </c>
      <c r="E385">
        <f>IFERROR(AGGREGATE(15,6,ROW('Input Transaksi'!$B$5:$B$5000)/('Input Transaksi'!$B$5:$B$5000="MONANG MANING"),ROWS($E$5:E385)),"")</f>
        <v/>
      </c>
      <c r="F385" s="5" t="n"/>
    </row>
    <row r="386">
      <c r="A386" s="10">
        <f>IF($E386="","",INDEX('Input Transaksi'!$A:$A,$E386))</f>
        <v/>
      </c>
      <c r="B386" s="5">
        <f>IF($E386="","",INDEX('Input Transaksi'!$D:$D,$E386))</f>
        <v/>
      </c>
      <c r="C386">
        <f>IF($E386="","",INDEX('Input Transaksi'!$E:$E,$E386))</f>
        <v/>
      </c>
      <c r="D386" s="5">
        <f>IF($E386="","",INDEX('Input Transaksi'!$F:$F,$E386))</f>
        <v/>
      </c>
      <c r="E386">
        <f>IFERROR(AGGREGATE(15,6,ROW('Input Transaksi'!$B$5:$B$5000)/('Input Transaksi'!$B$5:$B$5000="MONANG MANING"),ROWS($E$5:E386)),"")</f>
        <v/>
      </c>
      <c r="F386" s="5" t="n"/>
    </row>
    <row r="387">
      <c r="A387" s="10">
        <f>IF($E387="","",INDEX('Input Transaksi'!$A:$A,$E387))</f>
        <v/>
      </c>
      <c r="B387" s="5">
        <f>IF($E387="","",INDEX('Input Transaksi'!$D:$D,$E387))</f>
        <v/>
      </c>
      <c r="C387">
        <f>IF($E387="","",INDEX('Input Transaksi'!$E:$E,$E387))</f>
        <v/>
      </c>
      <c r="D387" s="5">
        <f>IF($E387="","",INDEX('Input Transaksi'!$F:$F,$E387))</f>
        <v/>
      </c>
      <c r="E387">
        <f>IFERROR(AGGREGATE(15,6,ROW('Input Transaksi'!$B$5:$B$5000)/('Input Transaksi'!$B$5:$B$5000="MONANG MANING"),ROWS($E$5:E387)),"")</f>
        <v/>
      </c>
      <c r="F387" s="5" t="n"/>
    </row>
    <row r="388">
      <c r="A388" s="10">
        <f>IF($E388="","",INDEX('Input Transaksi'!$A:$A,$E388))</f>
        <v/>
      </c>
      <c r="B388" s="5">
        <f>IF($E388="","",INDEX('Input Transaksi'!$D:$D,$E388))</f>
        <v/>
      </c>
      <c r="C388">
        <f>IF($E388="","",INDEX('Input Transaksi'!$E:$E,$E388))</f>
        <v/>
      </c>
      <c r="D388" s="5">
        <f>IF($E388="","",INDEX('Input Transaksi'!$F:$F,$E388))</f>
        <v/>
      </c>
      <c r="E388">
        <f>IFERROR(AGGREGATE(15,6,ROW('Input Transaksi'!$B$5:$B$5000)/('Input Transaksi'!$B$5:$B$5000="MONANG MANING"),ROWS($E$5:E388)),"")</f>
        <v/>
      </c>
      <c r="F388" s="5" t="n"/>
    </row>
    <row r="389">
      <c r="A389" s="10">
        <f>IF($E389="","",INDEX('Input Transaksi'!$A:$A,$E389))</f>
        <v/>
      </c>
      <c r="B389" s="5">
        <f>IF($E389="","",INDEX('Input Transaksi'!$D:$D,$E389))</f>
        <v/>
      </c>
      <c r="C389">
        <f>IF($E389="","",INDEX('Input Transaksi'!$E:$E,$E389))</f>
        <v/>
      </c>
      <c r="D389" s="5">
        <f>IF($E389="","",INDEX('Input Transaksi'!$F:$F,$E389))</f>
        <v/>
      </c>
      <c r="E389">
        <f>IFERROR(AGGREGATE(15,6,ROW('Input Transaksi'!$B$5:$B$5000)/('Input Transaksi'!$B$5:$B$5000="MONANG MANING"),ROWS($E$5:E389)),"")</f>
        <v/>
      </c>
      <c r="F389" s="5" t="n"/>
    </row>
    <row r="390">
      <c r="A390" s="10">
        <f>IF($E390="","",INDEX('Input Transaksi'!$A:$A,$E390))</f>
        <v/>
      </c>
      <c r="B390" s="5">
        <f>IF($E390="","",INDEX('Input Transaksi'!$D:$D,$E390))</f>
        <v/>
      </c>
      <c r="C390">
        <f>IF($E390="","",INDEX('Input Transaksi'!$E:$E,$E390))</f>
        <v/>
      </c>
      <c r="D390" s="5">
        <f>IF($E390="","",INDEX('Input Transaksi'!$F:$F,$E390))</f>
        <v/>
      </c>
      <c r="E390">
        <f>IFERROR(AGGREGATE(15,6,ROW('Input Transaksi'!$B$5:$B$5000)/('Input Transaksi'!$B$5:$B$5000="MONANG MANING"),ROWS($E$5:E390)),"")</f>
        <v/>
      </c>
      <c r="F390" s="5" t="n"/>
    </row>
    <row r="391">
      <c r="A391" s="10">
        <f>IF($E391="","",INDEX('Input Transaksi'!$A:$A,$E391))</f>
        <v/>
      </c>
      <c r="B391" s="5">
        <f>IF($E391="","",INDEX('Input Transaksi'!$D:$D,$E391))</f>
        <v/>
      </c>
      <c r="C391">
        <f>IF($E391="","",INDEX('Input Transaksi'!$E:$E,$E391))</f>
        <v/>
      </c>
      <c r="D391" s="5">
        <f>IF($E391="","",INDEX('Input Transaksi'!$F:$F,$E391))</f>
        <v/>
      </c>
      <c r="E391">
        <f>IFERROR(AGGREGATE(15,6,ROW('Input Transaksi'!$B$5:$B$5000)/('Input Transaksi'!$B$5:$B$5000="MONANG MANING"),ROWS($E$5:E391)),"")</f>
        <v/>
      </c>
      <c r="F391" s="5" t="n"/>
    </row>
    <row r="392">
      <c r="A392" s="10">
        <f>IF($E392="","",INDEX('Input Transaksi'!$A:$A,$E392))</f>
        <v/>
      </c>
      <c r="B392" s="5">
        <f>IF($E392="","",INDEX('Input Transaksi'!$D:$D,$E392))</f>
        <v/>
      </c>
      <c r="C392">
        <f>IF($E392="","",INDEX('Input Transaksi'!$E:$E,$E392))</f>
        <v/>
      </c>
      <c r="D392" s="5">
        <f>IF($E392="","",INDEX('Input Transaksi'!$F:$F,$E392))</f>
        <v/>
      </c>
      <c r="E392">
        <f>IFERROR(AGGREGATE(15,6,ROW('Input Transaksi'!$B$5:$B$5000)/('Input Transaksi'!$B$5:$B$5000="MONANG MANING"),ROWS($E$5:E392)),"")</f>
        <v/>
      </c>
      <c r="F392" s="5" t="n"/>
    </row>
    <row r="393">
      <c r="A393" s="10">
        <f>IF($E393="","",INDEX('Input Transaksi'!$A:$A,$E393))</f>
        <v/>
      </c>
      <c r="B393" s="5">
        <f>IF($E393="","",INDEX('Input Transaksi'!$D:$D,$E393))</f>
        <v/>
      </c>
      <c r="C393">
        <f>IF($E393="","",INDEX('Input Transaksi'!$E:$E,$E393))</f>
        <v/>
      </c>
      <c r="D393" s="5">
        <f>IF($E393="","",INDEX('Input Transaksi'!$F:$F,$E393))</f>
        <v/>
      </c>
      <c r="E393">
        <f>IFERROR(AGGREGATE(15,6,ROW('Input Transaksi'!$B$5:$B$5000)/('Input Transaksi'!$B$5:$B$5000="MONANG MANING"),ROWS($E$5:E393)),"")</f>
        <v/>
      </c>
      <c r="F393" s="5" t="n"/>
    </row>
    <row r="394">
      <c r="A394" s="10">
        <f>IF($E394="","",INDEX('Input Transaksi'!$A:$A,$E394))</f>
        <v/>
      </c>
      <c r="B394" s="5">
        <f>IF($E394="","",INDEX('Input Transaksi'!$D:$D,$E394))</f>
        <v/>
      </c>
      <c r="C394">
        <f>IF($E394="","",INDEX('Input Transaksi'!$E:$E,$E394))</f>
        <v/>
      </c>
      <c r="D394" s="5">
        <f>IF($E394="","",INDEX('Input Transaksi'!$F:$F,$E394))</f>
        <v/>
      </c>
      <c r="E394">
        <f>IFERROR(AGGREGATE(15,6,ROW('Input Transaksi'!$B$5:$B$5000)/('Input Transaksi'!$B$5:$B$5000="MONANG MANING"),ROWS($E$5:E394)),"")</f>
        <v/>
      </c>
      <c r="F394" s="5" t="n"/>
    </row>
    <row r="395">
      <c r="A395" s="10">
        <f>IF($E395="","",INDEX('Input Transaksi'!$A:$A,$E395))</f>
        <v/>
      </c>
      <c r="B395" s="5">
        <f>IF($E395="","",INDEX('Input Transaksi'!$D:$D,$E395))</f>
        <v/>
      </c>
      <c r="C395">
        <f>IF($E395="","",INDEX('Input Transaksi'!$E:$E,$E395))</f>
        <v/>
      </c>
      <c r="D395" s="5">
        <f>IF($E395="","",INDEX('Input Transaksi'!$F:$F,$E395))</f>
        <v/>
      </c>
      <c r="E395">
        <f>IFERROR(AGGREGATE(15,6,ROW('Input Transaksi'!$B$5:$B$5000)/('Input Transaksi'!$B$5:$B$5000="MONANG MANING"),ROWS($E$5:E395)),"")</f>
        <v/>
      </c>
      <c r="F395" s="5" t="n"/>
    </row>
    <row r="396">
      <c r="A396" s="10">
        <f>IF($E396="","",INDEX('Input Transaksi'!$A:$A,$E396))</f>
        <v/>
      </c>
      <c r="B396" s="5">
        <f>IF($E396="","",INDEX('Input Transaksi'!$D:$D,$E396))</f>
        <v/>
      </c>
      <c r="C396">
        <f>IF($E396="","",INDEX('Input Transaksi'!$E:$E,$E396))</f>
        <v/>
      </c>
      <c r="D396" s="5">
        <f>IF($E396="","",INDEX('Input Transaksi'!$F:$F,$E396))</f>
        <v/>
      </c>
      <c r="E396">
        <f>IFERROR(AGGREGATE(15,6,ROW('Input Transaksi'!$B$5:$B$5000)/('Input Transaksi'!$B$5:$B$5000="MONANG MANING"),ROWS($E$5:E396)),"")</f>
        <v/>
      </c>
      <c r="F396" s="5" t="n"/>
    </row>
    <row r="397">
      <c r="A397" s="10">
        <f>IF($E397="","",INDEX('Input Transaksi'!$A:$A,$E397))</f>
        <v/>
      </c>
      <c r="B397" s="5">
        <f>IF($E397="","",INDEX('Input Transaksi'!$D:$D,$E397))</f>
        <v/>
      </c>
      <c r="C397">
        <f>IF($E397="","",INDEX('Input Transaksi'!$E:$E,$E397))</f>
        <v/>
      </c>
      <c r="D397" s="5">
        <f>IF($E397="","",INDEX('Input Transaksi'!$F:$F,$E397))</f>
        <v/>
      </c>
      <c r="E397">
        <f>IFERROR(AGGREGATE(15,6,ROW('Input Transaksi'!$B$5:$B$5000)/('Input Transaksi'!$B$5:$B$5000="MONANG MANING"),ROWS($E$5:E397)),"")</f>
        <v/>
      </c>
      <c r="F397" s="5" t="n"/>
    </row>
    <row r="398">
      <c r="A398" s="10">
        <f>IF($E398="","",INDEX('Input Transaksi'!$A:$A,$E398))</f>
        <v/>
      </c>
      <c r="B398" s="5">
        <f>IF($E398="","",INDEX('Input Transaksi'!$D:$D,$E398))</f>
        <v/>
      </c>
      <c r="C398">
        <f>IF($E398="","",INDEX('Input Transaksi'!$E:$E,$E398))</f>
        <v/>
      </c>
      <c r="D398" s="5">
        <f>IF($E398="","",INDEX('Input Transaksi'!$F:$F,$E398))</f>
        <v/>
      </c>
      <c r="E398">
        <f>IFERROR(AGGREGATE(15,6,ROW('Input Transaksi'!$B$5:$B$5000)/('Input Transaksi'!$B$5:$B$5000="MONANG MANING"),ROWS($E$5:E398)),"")</f>
        <v/>
      </c>
      <c r="F398" s="5" t="n"/>
    </row>
    <row r="399">
      <c r="A399" s="10">
        <f>IF($E399="","",INDEX('Input Transaksi'!$A:$A,$E399))</f>
        <v/>
      </c>
      <c r="B399" s="5">
        <f>IF($E399="","",INDEX('Input Transaksi'!$D:$D,$E399))</f>
        <v/>
      </c>
      <c r="C399">
        <f>IF($E399="","",INDEX('Input Transaksi'!$E:$E,$E399))</f>
        <v/>
      </c>
      <c r="D399" s="5">
        <f>IF($E399="","",INDEX('Input Transaksi'!$F:$F,$E399))</f>
        <v/>
      </c>
      <c r="E399">
        <f>IFERROR(AGGREGATE(15,6,ROW('Input Transaksi'!$B$5:$B$5000)/('Input Transaksi'!$B$5:$B$5000="MONANG MANING"),ROWS($E$5:E399)),"")</f>
        <v/>
      </c>
      <c r="F399" s="5" t="n"/>
    </row>
    <row r="400">
      <c r="A400" s="10">
        <f>IF($E400="","",INDEX('Input Transaksi'!$A:$A,$E400))</f>
        <v/>
      </c>
      <c r="B400" s="5">
        <f>IF($E400="","",INDEX('Input Transaksi'!$D:$D,$E400))</f>
        <v/>
      </c>
      <c r="C400">
        <f>IF($E400="","",INDEX('Input Transaksi'!$E:$E,$E400))</f>
        <v/>
      </c>
      <c r="D400" s="5">
        <f>IF($E400="","",INDEX('Input Transaksi'!$F:$F,$E400))</f>
        <v/>
      </c>
      <c r="E400">
        <f>IFERROR(AGGREGATE(15,6,ROW('Input Transaksi'!$B$5:$B$5000)/('Input Transaksi'!$B$5:$B$5000="MONANG MANING"),ROWS($E$5:E400)),"")</f>
        <v/>
      </c>
      <c r="F400" s="5" t="n"/>
    </row>
    <row r="401">
      <c r="A401" s="10">
        <f>IF($E401="","",INDEX('Input Transaksi'!$A:$A,$E401))</f>
        <v/>
      </c>
      <c r="B401" s="5">
        <f>IF($E401="","",INDEX('Input Transaksi'!$D:$D,$E401))</f>
        <v/>
      </c>
      <c r="C401">
        <f>IF($E401="","",INDEX('Input Transaksi'!$E:$E,$E401))</f>
        <v/>
      </c>
      <c r="D401" s="5">
        <f>IF($E401="","",INDEX('Input Transaksi'!$F:$F,$E401))</f>
        <v/>
      </c>
      <c r="E401">
        <f>IFERROR(AGGREGATE(15,6,ROW('Input Transaksi'!$B$5:$B$5000)/('Input Transaksi'!$B$5:$B$5000="MONANG MANING"),ROWS($E$5:E401)),"")</f>
        <v/>
      </c>
      <c r="F401" s="5" t="n"/>
    </row>
    <row r="402">
      <c r="A402" s="10">
        <f>IF($E402="","",INDEX('Input Transaksi'!$A:$A,$E402))</f>
        <v/>
      </c>
      <c r="B402" s="5">
        <f>IF($E402="","",INDEX('Input Transaksi'!$D:$D,$E402))</f>
        <v/>
      </c>
      <c r="C402">
        <f>IF($E402="","",INDEX('Input Transaksi'!$E:$E,$E402))</f>
        <v/>
      </c>
      <c r="D402" s="5">
        <f>IF($E402="","",INDEX('Input Transaksi'!$F:$F,$E402))</f>
        <v/>
      </c>
      <c r="E402">
        <f>IFERROR(AGGREGATE(15,6,ROW('Input Transaksi'!$B$5:$B$5000)/('Input Transaksi'!$B$5:$B$5000="MONANG MANING"),ROWS($E$5:E402)),"")</f>
        <v/>
      </c>
      <c r="F402" s="5" t="n"/>
    </row>
    <row r="403">
      <c r="A403" s="10">
        <f>IF($E403="","",INDEX('Input Transaksi'!$A:$A,$E403))</f>
        <v/>
      </c>
      <c r="B403" s="5">
        <f>IF($E403="","",INDEX('Input Transaksi'!$D:$D,$E403))</f>
        <v/>
      </c>
      <c r="C403">
        <f>IF($E403="","",INDEX('Input Transaksi'!$E:$E,$E403))</f>
        <v/>
      </c>
      <c r="D403" s="5">
        <f>IF($E403="","",INDEX('Input Transaksi'!$F:$F,$E403))</f>
        <v/>
      </c>
      <c r="E403">
        <f>IFERROR(AGGREGATE(15,6,ROW('Input Transaksi'!$B$5:$B$5000)/('Input Transaksi'!$B$5:$B$5000="MONANG MANING"),ROWS($E$5:E403)),"")</f>
        <v/>
      </c>
      <c r="F403" s="5" t="n"/>
    </row>
    <row r="404">
      <c r="A404" s="10">
        <f>IF($E404="","",INDEX('Input Transaksi'!$A:$A,$E404))</f>
        <v/>
      </c>
      <c r="B404" s="5">
        <f>IF($E404="","",INDEX('Input Transaksi'!$D:$D,$E404))</f>
        <v/>
      </c>
      <c r="C404">
        <f>IF($E404="","",INDEX('Input Transaksi'!$E:$E,$E404))</f>
        <v/>
      </c>
      <c r="D404" s="5">
        <f>IF($E404="","",INDEX('Input Transaksi'!$F:$F,$E404))</f>
        <v/>
      </c>
      <c r="E404">
        <f>IFERROR(AGGREGATE(15,6,ROW('Input Transaksi'!$B$5:$B$5000)/('Input Transaksi'!$B$5:$B$5000="MONANG MANING"),ROWS($E$5:E404)),"")</f>
        <v/>
      </c>
      <c r="F404" s="5" t="n"/>
    </row>
    <row r="405">
      <c r="A405" s="10">
        <f>IF($E405="","",INDEX('Input Transaksi'!$A:$A,$E405))</f>
        <v/>
      </c>
      <c r="B405" s="5">
        <f>IF($E405="","",INDEX('Input Transaksi'!$D:$D,$E405))</f>
        <v/>
      </c>
      <c r="C405">
        <f>IF($E405="","",INDEX('Input Transaksi'!$E:$E,$E405))</f>
        <v/>
      </c>
      <c r="D405" s="5">
        <f>IF($E405="","",INDEX('Input Transaksi'!$F:$F,$E405))</f>
        <v/>
      </c>
      <c r="E405">
        <f>IFERROR(AGGREGATE(15,6,ROW('Input Transaksi'!$B$5:$B$5000)/('Input Transaksi'!$B$5:$B$5000="MONANG MANING"),ROWS($E$5:E405)),"")</f>
        <v/>
      </c>
      <c r="F405" s="5" t="n"/>
    </row>
    <row r="406">
      <c r="A406" s="10">
        <f>IF($E406="","",INDEX('Input Transaksi'!$A:$A,$E406))</f>
        <v/>
      </c>
      <c r="B406" s="5">
        <f>IF($E406="","",INDEX('Input Transaksi'!$D:$D,$E406))</f>
        <v/>
      </c>
      <c r="C406">
        <f>IF($E406="","",INDEX('Input Transaksi'!$E:$E,$E406))</f>
        <v/>
      </c>
      <c r="D406" s="5">
        <f>IF($E406="","",INDEX('Input Transaksi'!$F:$F,$E406))</f>
        <v/>
      </c>
      <c r="E406">
        <f>IFERROR(AGGREGATE(15,6,ROW('Input Transaksi'!$B$5:$B$5000)/('Input Transaksi'!$B$5:$B$5000="MONANG MANING"),ROWS($E$5:E406)),"")</f>
        <v/>
      </c>
      <c r="F406" s="5" t="n"/>
    </row>
    <row r="407">
      <c r="A407" s="10">
        <f>IF($E407="","",INDEX('Input Transaksi'!$A:$A,$E407))</f>
        <v/>
      </c>
      <c r="B407" s="5">
        <f>IF($E407="","",INDEX('Input Transaksi'!$D:$D,$E407))</f>
        <v/>
      </c>
      <c r="C407">
        <f>IF($E407="","",INDEX('Input Transaksi'!$E:$E,$E407))</f>
        <v/>
      </c>
      <c r="D407" s="5">
        <f>IF($E407="","",INDEX('Input Transaksi'!$F:$F,$E407))</f>
        <v/>
      </c>
      <c r="E407">
        <f>IFERROR(AGGREGATE(15,6,ROW('Input Transaksi'!$B$5:$B$5000)/('Input Transaksi'!$B$5:$B$5000="MONANG MANING"),ROWS($E$5:E407)),"")</f>
        <v/>
      </c>
      <c r="F407" s="5" t="n"/>
    </row>
    <row r="408">
      <c r="A408" s="10">
        <f>IF($E408="","",INDEX('Input Transaksi'!$A:$A,$E408))</f>
        <v/>
      </c>
      <c r="B408" s="5">
        <f>IF($E408="","",INDEX('Input Transaksi'!$D:$D,$E408))</f>
        <v/>
      </c>
      <c r="C408">
        <f>IF($E408="","",INDEX('Input Transaksi'!$E:$E,$E408))</f>
        <v/>
      </c>
      <c r="D408" s="5">
        <f>IF($E408="","",INDEX('Input Transaksi'!$F:$F,$E408))</f>
        <v/>
      </c>
      <c r="E408">
        <f>IFERROR(AGGREGATE(15,6,ROW('Input Transaksi'!$B$5:$B$5000)/('Input Transaksi'!$B$5:$B$5000="MONANG MANING"),ROWS($E$5:E408)),"")</f>
        <v/>
      </c>
      <c r="F408" s="5" t="n"/>
    </row>
    <row r="409">
      <c r="A409" s="10">
        <f>IF($E409="","",INDEX('Input Transaksi'!$A:$A,$E409))</f>
        <v/>
      </c>
      <c r="B409" s="5">
        <f>IF($E409="","",INDEX('Input Transaksi'!$D:$D,$E409))</f>
        <v/>
      </c>
      <c r="C409">
        <f>IF($E409="","",INDEX('Input Transaksi'!$E:$E,$E409))</f>
        <v/>
      </c>
      <c r="D409" s="5">
        <f>IF($E409="","",INDEX('Input Transaksi'!$F:$F,$E409))</f>
        <v/>
      </c>
      <c r="E409">
        <f>IFERROR(AGGREGATE(15,6,ROW('Input Transaksi'!$B$5:$B$5000)/('Input Transaksi'!$B$5:$B$5000="MONANG MANING"),ROWS($E$5:E409)),"")</f>
        <v/>
      </c>
      <c r="F409" s="5" t="n"/>
    </row>
    <row r="410">
      <c r="A410" s="10">
        <f>IF($E410="","",INDEX('Input Transaksi'!$A:$A,$E410))</f>
        <v/>
      </c>
      <c r="B410" s="5">
        <f>IF($E410="","",INDEX('Input Transaksi'!$D:$D,$E410))</f>
        <v/>
      </c>
      <c r="C410">
        <f>IF($E410="","",INDEX('Input Transaksi'!$E:$E,$E410))</f>
        <v/>
      </c>
      <c r="D410" s="5">
        <f>IF($E410="","",INDEX('Input Transaksi'!$F:$F,$E410))</f>
        <v/>
      </c>
      <c r="E410">
        <f>IFERROR(AGGREGATE(15,6,ROW('Input Transaksi'!$B$5:$B$5000)/('Input Transaksi'!$B$5:$B$5000="MONANG MANING"),ROWS($E$5:E410)),"")</f>
        <v/>
      </c>
      <c r="F410" s="5" t="n"/>
    </row>
    <row r="411">
      <c r="A411" s="10">
        <f>IF($E411="","",INDEX('Input Transaksi'!$A:$A,$E411))</f>
        <v/>
      </c>
      <c r="B411" s="5">
        <f>IF($E411="","",INDEX('Input Transaksi'!$D:$D,$E411))</f>
        <v/>
      </c>
      <c r="C411">
        <f>IF($E411="","",INDEX('Input Transaksi'!$E:$E,$E411))</f>
        <v/>
      </c>
      <c r="D411" s="5">
        <f>IF($E411="","",INDEX('Input Transaksi'!$F:$F,$E411))</f>
        <v/>
      </c>
      <c r="E411">
        <f>IFERROR(AGGREGATE(15,6,ROW('Input Transaksi'!$B$5:$B$5000)/('Input Transaksi'!$B$5:$B$5000="MONANG MANING"),ROWS($E$5:E411)),"")</f>
        <v/>
      </c>
      <c r="F411" s="5" t="n"/>
    </row>
    <row r="412">
      <c r="A412" s="10">
        <f>IF($E412="","",INDEX('Input Transaksi'!$A:$A,$E412))</f>
        <v/>
      </c>
      <c r="B412" s="5">
        <f>IF($E412="","",INDEX('Input Transaksi'!$D:$D,$E412))</f>
        <v/>
      </c>
      <c r="C412">
        <f>IF($E412="","",INDEX('Input Transaksi'!$E:$E,$E412))</f>
        <v/>
      </c>
      <c r="D412" s="5">
        <f>IF($E412="","",INDEX('Input Transaksi'!$F:$F,$E412))</f>
        <v/>
      </c>
      <c r="E412">
        <f>IFERROR(AGGREGATE(15,6,ROW('Input Transaksi'!$B$5:$B$5000)/('Input Transaksi'!$B$5:$B$5000="MONANG MANING"),ROWS($E$5:E412)),"")</f>
        <v/>
      </c>
      <c r="F412" s="5" t="n"/>
    </row>
    <row r="413">
      <c r="A413" s="10">
        <f>IF($E413="","",INDEX('Input Transaksi'!$A:$A,$E413))</f>
        <v/>
      </c>
      <c r="B413" s="5">
        <f>IF($E413="","",INDEX('Input Transaksi'!$D:$D,$E413))</f>
        <v/>
      </c>
      <c r="C413">
        <f>IF($E413="","",INDEX('Input Transaksi'!$E:$E,$E413))</f>
        <v/>
      </c>
      <c r="D413" s="5">
        <f>IF($E413="","",INDEX('Input Transaksi'!$F:$F,$E413))</f>
        <v/>
      </c>
      <c r="E413">
        <f>IFERROR(AGGREGATE(15,6,ROW('Input Transaksi'!$B$5:$B$5000)/('Input Transaksi'!$B$5:$B$5000="MONANG MANING"),ROWS($E$5:E413)),"")</f>
        <v/>
      </c>
      <c r="F413" s="5" t="n"/>
    </row>
    <row r="414">
      <c r="A414" s="10">
        <f>IF($E414="","",INDEX('Input Transaksi'!$A:$A,$E414))</f>
        <v/>
      </c>
      <c r="B414" s="5">
        <f>IF($E414="","",INDEX('Input Transaksi'!$D:$D,$E414))</f>
        <v/>
      </c>
      <c r="C414">
        <f>IF($E414="","",INDEX('Input Transaksi'!$E:$E,$E414))</f>
        <v/>
      </c>
      <c r="D414" s="5">
        <f>IF($E414="","",INDEX('Input Transaksi'!$F:$F,$E414))</f>
        <v/>
      </c>
      <c r="E414">
        <f>IFERROR(AGGREGATE(15,6,ROW('Input Transaksi'!$B$5:$B$5000)/('Input Transaksi'!$B$5:$B$5000="MONANG MANING"),ROWS($E$5:E414)),"")</f>
        <v/>
      </c>
      <c r="F414" s="5" t="n"/>
    </row>
    <row r="415">
      <c r="A415" s="10">
        <f>IF($E415="","",INDEX('Input Transaksi'!$A:$A,$E415))</f>
        <v/>
      </c>
      <c r="B415" s="5">
        <f>IF($E415="","",INDEX('Input Transaksi'!$D:$D,$E415))</f>
        <v/>
      </c>
      <c r="C415">
        <f>IF($E415="","",INDEX('Input Transaksi'!$E:$E,$E415))</f>
        <v/>
      </c>
      <c r="D415" s="5">
        <f>IF($E415="","",INDEX('Input Transaksi'!$F:$F,$E415))</f>
        <v/>
      </c>
      <c r="E415">
        <f>IFERROR(AGGREGATE(15,6,ROW('Input Transaksi'!$B$5:$B$5000)/('Input Transaksi'!$B$5:$B$5000="MONANG MANING"),ROWS($E$5:E415)),"")</f>
        <v/>
      </c>
      <c r="F415" s="5" t="n"/>
    </row>
    <row r="416">
      <c r="A416" s="10">
        <f>IF($E416="","",INDEX('Input Transaksi'!$A:$A,$E416))</f>
        <v/>
      </c>
      <c r="B416" s="5">
        <f>IF($E416="","",INDEX('Input Transaksi'!$D:$D,$E416))</f>
        <v/>
      </c>
      <c r="C416">
        <f>IF($E416="","",INDEX('Input Transaksi'!$E:$E,$E416))</f>
        <v/>
      </c>
      <c r="D416" s="5">
        <f>IF($E416="","",INDEX('Input Transaksi'!$F:$F,$E416))</f>
        <v/>
      </c>
      <c r="E416">
        <f>IFERROR(AGGREGATE(15,6,ROW('Input Transaksi'!$B$5:$B$5000)/('Input Transaksi'!$B$5:$B$5000="MONANG MANING"),ROWS($E$5:E416)),"")</f>
        <v/>
      </c>
      <c r="F416" s="5" t="n"/>
    </row>
    <row r="417">
      <c r="A417" s="10">
        <f>IF($E417="","",INDEX('Input Transaksi'!$A:$A,$E417))</f>
        <v/>
      </c>
      <c r="B417" s="5">
        <f>IF($E417="","",INDEX('Input Transaksi'!$D:$D,$E417))</f>
        <v/>
      </c>
      <c r="C417">
        <f>IF($E417="","",INDEX('Input Transaksi'!$E:$E,$E417))</f>
        <v/>
      </c>
      <c r="D417" s="5">
        <f>IF($E417="","",INDEX('Input Transaksi'!$F:$F,$E417))</f>
        <v/>
      </c>
      <c r="E417">
        <f>IFERROR(AGGREGATE(15,6,ROW('Input Transaksi'!$B$5:$B$5000)/('Input Transaksi'!$B$5:$B$5000="MONANG MANING"),ROWS($E$5:E417)),"")</f>
        <v/>
      </c>
      <c r="F417" s="5" t="n"/>
    </row>
    <row r="418">
      <c r="A418" s="10">
        <f>IF($E418="","",INDEX('Input Transaksi'!$A:$A,$E418))</f>
        <v/>
      </c>
      <c r="B418" s="5">
        <f>IF($E418="","",INDEX('Input Transaksi'!$D:$D,$E418))</f>
        <v/>
      </c>
      <c r="C418">
        <f>IF($E418="","",INDEX('Input Transaksi'!$E:$E,$E418))</f>
        <v/>
      </c>
      <c r="D418" s="5">
        <f>IF($E418="","",INDEX('Input Transaksi'!$F:$F,$E418))</f>
        <v/>
      </c>
      <c r="E418">
        <f>IFERROR(AGGREGATE(15,6,ROW('Input Transaksi'!$B$5:$B$5000)/('Input Transaksi'!$B$5:$B$5000="MONANG MANING"),ROWS($E$5:E418)),"")</f>
        <v/>
      </c>
      <c r="F418" s="5" t="n"/>
    </row>
    <row r="419">
      <c r="A419" s="10">
        <f>IF($E419="","",INDEX('Input Transaksi'!$A:$A,$E419))</f>
        <v/>
      </c>
      <c r="B419" s="5">
        <f>IF($E419="","",INDEX('Input Transaksi'!$D:$D,$E419))</f>
        <v/>
      </c>
      <c r="C419">
        <f>IF($E419="","",INDEX('Input Transaksi'!$E:$E,$E419))</f>
        <v/>
      </c>
      <c r="D419" s="5">
        <f>IF($E419="","",INDEX('Input Transaksi'!$F:$F,$E419))</f>
        <v/>
      </c>
      <c r="E419">
        <f>IFERROR(AGGREGATE(15,6,ROW('Input Transaksi'!$B$5:$B$5000)/('Input Transaksi'!$B$5:$B$5000="MONANG MANING"),ROWS($E$5:E419)),"")</f>
        <v/>
      </c>
      <c r="F419" s="5" t="n"/>
    </row>
    <row r="420">
      <c r="A420" s="10">
        <f>IF($E420="","",INDEX('Input Transaksi'!$A:$A,$E420))</f>
        <v/>
      </c>
      <c r="B420" s="5">
        <f>IF($E420="","",INDEX('Input Transaksi'!$D:$D,$E420))</f>
        <v/>
      </c>
      <c r="C420">
        <f>IF($E420="","",INDEX('Input Transaksi'!$E:$E,$E420))</f>
        <v/>
      </c>
      <c r="D420" s="5">
        <f>IF($E420="","",INDEX('Input Transaksi'!$F:$F,$E420))</f>
        <v/>
      </c>
      <c r="E420">
        <f>IFERROR(AGGREGATE(15,6,ROW('Input Transaksi'!$B$5:$B$5000)/('Input Transaksi'!$B$5:$B$5000="MONANG MANING"),ROWS($E$5:E420)),"")</f>
        <v/>
      </c>
      <c r="F420" s="5" t="n"/>
    </row>
    <row r="421">
      <c r="A421" s="10">
        <f>IF($E421="","",INDEX('Input Transaksi'!$A:$A,$E421))</f>
        <v/>
      </c>
      <c r="B421" s="5">
        <f>IF($E421="","",INDEX('Input Transaksi'!$D:$D,$E421))</f>
        <v/>
      </c>
      <c r="C421">
        <f>IF($E421="","",INDEX('Input Transaksi'!$E:$E,$E421))</f>
        <v/>
      </c>
      <c r="D421" s="5">
        <f>IF($E421="","",INDEX('Input Transaksi'!$F:$F,$E421))</f>
        <v/>
      </c>
      <c r="E421">
        <f>IFERROR(AGGREGATE(15,6,ROW('Input Transaksi'!$B$5:$B$5000)/('Input Transaksi'!$B$5:$B$5000="MONANG MANING"),ROWS($E$5:E421)),"")</f>
        <v/>
      </c>
      <c r="F421" s="5" t="n"/>
    </row>
    <row r="422">
      <c r="A422" s="10">
        <f>IF($E422="","",INDEX('Input Transaksi'!$A:$A,$E422))</f>
        <v/>
      </c>
      <c r="B422" s="5">
        <f>IF($E422="","",INDEX('Input Transaksi'!$D:$D,$E422))</f>
        <v/>
      </c>
      <c r="C422">
        <f>IF($E422="","",INDEX('Input Transaksi'!$E:$E,$E422))</f>
        <v/>
      </c>
      <c r="D422" s="5">
        <f>IF($E422="","",INDEX('Input Transaksi'!$F:$F,$E422))</f>
        <v/>
      </c>
      <c r="E422">
        <f>IFERROR(AGGREGATE(15,6,ROW('Input Transaksi'!$B$5:$B$5000)/('Input Transaksi'!$B$5:$B$5000="MONANG MANING"),ROWS($E$5:E422)),"")</f>
        <v/>
      </c>
      <c r="F422" s="5" t="n"/>
    </row>
    <row r="423">
      <c r="A423" s="10">
        <f>IF($E423="","",INDEX('Input Transaksi'!$A:$A,$E423))</f>
        <v/>
      </c>
      <c r="B423" s="5">
        <f>IF($E423="","",INDEX('Input Transaksi'!$D:$D,$E423))</f>
        <v/>
      </c>
      <c r="C423">
        <f>IF($E423="","",INDEX('Input Transaksi'!$E:$E,$E423))</f>
        <v/>
      </c>
      <c r="D423" s="5">
        <f>IF($E423="","",INDEX('Input Transaksi'!$F:$F,$E423))</f>
        <v/>
      </c>
      <c r="E423">
        <f>IFERROR(AGGREGATE(15,6,ROW('Input Transaksi'!$B$5:$B$5000)/('Input Transaksi'!$B$5:$B$5000="MONANG MANING"),ROWS($E$5:E423)),"")</f>
        <v/>
      </c>
      <c r="F423" s="5" t="n"/>
    </row>
    <row r="424">
      <c r="A424" s="10">
        <f>IF($E424="","",INDEX('Input Transaksi'!$A:$A,$E424))</f>
        <v/>
      </c>
      <c r="B424" s="5">
        <f>IF($E424="","",INDEX('Input Transaksi'!$D:$D,$E424))</f>
        <v/>
      </c>
      <c r="C424">
        <f>IF($E424="","",INDEX('Input Transaksi'!$E:$E,$E424))</f>
        <v/>
      </c>
      <c r="D424" s="5">
        <f>IF($E424="","",INDEX('Input Transaksi'!$F:$F,$E424))</f>
        <v/>
      </c>
      <c r="E424">
        <f>IFERROR(AGGREGATE(15,6,ROW('Input Transaksi'!$B$5:$B$5000)/('Input Transaksi'!$B$5:$B$5000="MONANG MANING"),ROWS($E$5:E424)),"")</f>
        <v/>
      </c>
      <c r="F424" s="5" t="n"/>
    </row>
    <row r="425">
      <c r="A425" s="10">
        <f>IF($E425="","",INDEX('Input Transaksi'!$A:$A,$E425))</f>
        <v/>
      </c>
      <c r="B425" s="5">
        <f>IF($E425="","",INDEX('Input Transaksi'!$D:$D,$E425))</f>
        <v/>
      </c>
      <c r="C425">
        <f>IF($E425="","",INDEX('Input Transaksi'!$E:$E,$E425))</f>
        <v/>
      </c>
      <c r="D425" s="5">
        <f>IF($E425="","",INDEX('Input Transaksi'!$F:$F,$E425))</f>
        <v/>
      </c>
      <c r="E425">
        <f>IFERROR(AGGREGATE(15,6,ROW('Input Transaksi'!$B$5:$B$5000)/('Input Transaksi'!$B$5:$B$5000="MONANG MANING"),ROWS($E$5:E425)),"")</f>
        <v/>
      </c>
      <c r="F425" s="5" t="n"/>
    </row>
    <row r="426">
      <c r="A426" s="10">
        <f>IF($E426="","",INDEX('Input Transaksi'!$A:$A,$E426))</f>
        <v/>
      </c>
      <c r="B426" s="5">
        <f>IF($E426="","",INDEX('Input Transaksi'!$D:$D,$E426))</f>
        <v/>
      </c>
      <c r="C426">
        <f>IF($E426="","",INDEX('Input Transaksi'!$E:$E,$E426))</f>
        <v/>
      </c>
      <c r="D426" s="5">
        <f>IF($E426="","",INDEX('Input Transaksi'!$F:$F,$E426))</f>
        <v/>
      </c>
      <c r="E426">
        <f>IFERROR(AGGREGATE(15,6,ROW('Input Transaksi'!$B$5:$B$5000)/('Input Transaksi'!$B$5:$B$5000="MONANG MANING"),ROWS($E$5:E426)),"")</f>
        <v/>
      </c>
      <c r="F426" s="5" t="n"/>
    </row>
    <row r="427">
      <c r="A427" s="10">
        <f>IF($E427="","",INDEX('Input Transaksi'!$A:$A,$E427))</f>
        <v/>
      </c>
      <c r="B427" s="5">
        <f>IF($E427="","",INDEX('Input Transaksi'!$D:$D,$E427))</f>
        <v/>
      </c>
      <c r="C427">
        <f>IF($E427="","",INDEX('Input Transaksi'!$E:$E,$E427))</f>
        <v/>
      </c>
      <c r="D427" s="5">
        <f>IF($E427="","",INDEX('Input Transaksi'!$F:$F,$E427))</f>
        <v/>
      </c>
      <c r="E427">
        <f>IFERROR(AGGREGATE(15,6,ROW('Input Transaksi'!$B$5:$B$5000)/('Input Transaksi'!$B$5:$B$5000="MONANG MANING"),ROWS($E$5:E427)),"")</f>
        <v/>
      </c>
      <c r="F427" s="5" t="n"/>
    </row>
    <row r="428">
      <c r="A428" s="10">
        <f>IF($E428="","",INDEX('Input Transaksi'!$A:$A,$E428))</f>
        <v/>
      </c>
      <c r="B428" s="5">
        <f>IF($E428="","",INDEX('Input Transaksi'!$D:$D,$E428))</f>
        <v/>
      </c>
      <c r="C428">
        <f>IF($E428="","",INDEX('Input Transaksi'!$E:$E,$E428))</f>
        <v/>
      </c>
      <c r="D428" s="5">
        <f>IF($E428="","",INDEX('Input Transaksi'!$F:$F,$E428))</f>
        <v/>
      </c>
      <c r="E428">
        <f>IFERROR(AGGREGATE(15,6,ROW('Input Transaksi'!$B$5:$B$5000)/('Input Transaksi'!$B$5:$B$5000="MONANG MANING"),ROWS($E$5:E428)),"")</f>
        <v/>
      </c>
      <c r="F428" s="5" t="n"/>
    </row>
    <row r="429">
      <c r="A429" s="10">
        <f>IF($E429="","",INDEX('Input Transaksi'!$A:$A,$E429))</f>
        <v/>
      </c>
      <c r="B429" s="5">
        <f>IF($E429="","",INDEX('Input Transaksi'!$D:$D,$E429))</f>
        <v/>
      </c>
      <c r="C429">
        <f>IF($E429="","",INDEX('Input Transaksi'!$E:$E,$E429))</f>
        <v/>
      </c>
      <c r="D429" s="5">
        <f>IF($E429="","",INDEX('Input Transaksi'!$F:$F,$E429))</f>
        <v/>
      </c>
      <c r="E429">
        <f>IFERROR(AGGREGATE(15,6,ROW('Input Transaksi'!$B$5:$B$5000)/('Input Transaksi'!$B$5:$B$5000="MONANG MANING"),ROWS($E$5:E429)),"")</f>
        <v/>
      </c>
      <c r="F429" s="5" t="n"/>
    </row>
    <row r="430">
      <c r="A430" s="10">
        <f>IF($E430="","",INDEX('Input Transaksi'!$A:$A,$E430))</f>
        <v/>
      </c>
      <c r="B430" s="5">
        <f>IF($E430="","",INDEX('Input Transaksi'!$D:$D,$E430))</f>
        <v/>
      </c>
      <c r="C430">
        <f>IF($E430="","",INDEX('Input Transaksi'!$E:$E,$E430))</f>
        <v/>
      </c>
      <c r="D430" s="5">
        <f>IF($E430="","",INDEX('Input Transaksi'!$F:$F,$E430))</f>
        <v/>
      </c>
      <c r="E430">
        <f>IFERROR(AGGREGATE(15,6,ROW('Input Transaksi'!$B$5:$B$5000)/('Input Transaksi'!$B$5:$B$5000="MONANG MANING"),ROWS($E$5:E430)),"")</f>
        <v/>
      </c>
      <c r="F430" s="5" t="n"/>
    </row>
    <row r="431">
      <c r="A431" s="10">
        <f>IF($E431="","",INDEX('Input Transaksi'!$A:$A,$E431))</f>
        <v/>
      </c>
      <c r="B431" s="5">
        <f>IF($E431="","",INDEX('Input Transaksi'!$D:$D,$E431))</f>
        <v/>
      </c>
      <c r="C431">
        <f>IF($E431="","",INDEX('Input Transaksi'!$E:$E,$E431))</f>
        <v/>
      </c>
      <c r="D431" s="5">
        <f>IF($E431="","",INDEX('Input Transaksi'!$F:$F,$E431))</f>
        <v/>
      </c>
      <c r="E431">
        <f>IFERROR(AGGREGATE(15,6,ROW('Input Transaksi'!$B$5:$B$5000)/('Input Transaksi'!$B$5:$B$5000="MONANG MANING"),ROWS($E$5:E431)),"")</f>
        <v/>
      </c>
      <c r="F431" s="5" t="n"/>
    </row>
    <row r="432">
      <c r="A432" s="10">
        <f>IF($E432="","",INDEX('Input Transaksi'!$A:$A,$E432))</f>
        <v/>
      </c>
      <c r="B432" s="5">
        <f>IF($E432="","",INDEX('Input Transaksi'!$D:$D,$E432))</f>
        <v/>
      </c>
      <c r="C432">
        <f>IF($E432="","",INDEX('Input Transaksi'!$E:$E,$E432))</f>
        <v/>
      </c>
      <c r="D432" s="5">
        <f>IF($E432="","",INDEX('Input Transaksi'!$F:$F,$E432))</f>
        <v/>
      </c>
      <c r="E432">
        <f>IFERROR(AGGREGATE(15,6,ROW('Input Transaksi'!$B$5:$B$5000)/('Input Transaksi'!$B$5:$B$5000="MONANG MANING"),ROWS($E$5:E432)),"")</f>
        <v/>
      </c>
      <c r="F432" s="5" t="n"/>
    </row>
    <row r="433">
      <c r="A433" s="10">
        <f>IF($E433="","",INDEX('Input Transaksi'!$A:$A,$E433))</f>
        <v/>
      </c>
      <c r="B433" s="5">
        <f>IF($E433="","",INDEX('Input Transaksi'!$D:$D,$E433))</f>
        <v/>
      </c>
      <c r="C433">
        <f>IF($E433="","",INDEX('Input Transaksi'!$E:$E,$E433))</f>
        <v/>
      </c>
      <c r="D433" s="5">
        <f>IF($E433="","",INDEX('Input Transaksi'!$F:$F,$E433))</f>
        <v/>
      </c>
      <c r="E433">
        <f>IFERROR(AGGREGATE(15,6,ROW('Input Transaksi'!$B$5:$B$5000)/('Input Transaksi'!$B$5:$B$5000="MONANG MANING"),ROWS($E$5:E433)),"")</f>
        <v/>
      </c>
      <c r="F433" s="5" t="n"/>
    </row>
    <row r="434">
      <c r="A434" s="10">
        <f>IF($E434="","",INDEX('Input Transaksi'!$A:$A,$E434))</f>
        <v/>
      </c>
      <c r="B434" s="5">
        <f>IF($E434="","",INDEX('Input Transaksi'!$D:$D,$E434))</f>
        <v/>
      </c>
      <c r="C434">
        <f>IF($E434="","",INDEX('Input Transaksi'!$E:$E,$E434))</f>
        <v/>
      </c>
      <c r="D434" s="5">
        <f>IF($E434="","",INDEX('Input Transaksi'!$F:$F,$E434))</f>
        <v/>
      </c>
      <c r="E434">
        <f>IFERROR(AGGREGATE(15,6,ROW('Input Transaksi'!$B$5:$B$5000)/('Input Transaksi'!$B$5:$B$5000="MONANG MANING"),ROWS($E$5:E434)),"")</f>
        <v/>
      </c>
      <c r="F434" s="5" t="n"/>
    </row>
    <row r="435">
      <c r="A435" s="10">
        <f>IF($E435="","",INDEX('Input Transaksi'!$A:$A,$E435))</f>
        <v/>
      </c>
      <c r="B435" s="5">
        <f>IF($E435="","",INDEX('Input Transaksi'!$D:$D,$E435))</f>
        <v/>
      </c>
      <c r="C435">
        <f>IF($E435="","",INDEX('Input Transaksi'!$E:$E,$E435))</f>
        <v/>
      </c>
      <c r="D435" s="5">
        <f>IF($E435="","",INDEX('Input Transaksi'!$F:$F,$E435))</f>
        <v/>
      </c>
      <c r="E435">
        <f>IFERROR(AGGREGATE(15,6,ROW('Input Transaksi'!$B$5:$B$5000)/('Input Transaksi'!$B$5:$B$5000="MONANG MANING"),ROWS($E$5:E435)),"")</f>
        <v/>
      </c>
      <c r="F435" s="5" t="n"/>
    </row>
    <row r="436">
      <c r="A436" s="10">
        <f>IF($E436="","",INDEX('Input Transaksi'!$A:$A,$E436))</f>
        <v/>
      </c>
      <c r="B436" s="5">
        <f>IF($E436="","",INDEX('Input Transaksi'!$D:$D,$E436))</f>
        <v/>
      </c>
      <c r="C436">
        <f>IF($E436="","",INDEX('Input Transaksi'!$E:$E,$E436))</f>
        <v/>
      </c>
      <c r="D436" s="5">
        <f>IF($E436="","",INDEX('Input Transaksi'!$F:$F,$E436))</f>
        <v/>
      </c>
      <c r="E436">
        <f>IFERROR(AGGREGATE(15,6,ROW('Input Transaksi'!$B$5:$B$5000)/('Input Transaksi'!$B$5:$B$5000="MONANG MANING"),ROWS($E$5:E436)),"")</f>
        <v/>
      </c>
      <c r="F436" s="5" t="n"/>
    </row>
    <row r="437">
      <c r="A437" s="10">
        <f>IF($E437="","",INDEX('Input Transaksi'!$A:$A,$E437))</f>
        <v/>
      </c>
      <c r="B437" s="5">
        <f>IF($E437="","",INDEX('Input Transaksi'!$D:$D,$E437))</f>
        <v/>
      </c>
      <c r="C437">
        <f>IF($E437="","",INDEX('Input Transaksi'!$E:$E,$E437))</f>
        <v/>
      </c>
      <c r="D437" s="5">
        <f>IF($E437="","",INDEX('Input Transaksi'!$F:$F,$E437))</f>
        <v/>
      </c>
      <c r="E437">
        <f>IFERROR(AGGREGATE(15,6,ROW('Input Transaksi'!$B$5:$B$5000)/('Input Transaksi'!$B$5:$B$5000="MONANG MANING"),ROWS($E$5:E437)),"")</f>
        <v/>
      </c>
      <c r="F437" s="5" t="n"/>
    </row>
    <row r="438">
      <c r="A438" s="10">
        <f>IF($E438="","",INDEX('Input Transaksi'!$A:$A,$E438))</f>
        <v/>
      </c>
      <c r="B438" s="5">
        <f>IF($E438="","",INDEX('Input Transaksi'!$D:$D,$E438))</f>
        <v/>
      </c>
      <c r="C438">
        <f>IF($E438="","",INDEX('Input Transaksi'!$E:$E,$E438))</f>
        <v/>
      </c>
      <c r="D438" s="5">
        <f>IF($E438="","",INDEX('Input Transaksi'!$F:$F,$E438))</f>
        <v/>
      </c>
      <c r="E438">
        <f>IFERROR(AGGREGATE(15,6,ROW('Input Transaksi'!$B$5:$B$5000)/('Input Transaksi'!$B$5:$B$5000="MONANG MANING"),ROWS($E$5:E438)),"")</f>
        <v/>
      </c>
      <c r="F438" s="5" t="n"/>
    </row>
    <row r="439">
      <c r="A439" s="10">
        <f>IF($E439="","",INDEX('Input Transaksi'!$A:$A,$E439))</f>
        <v/>
      </c>
      <c r="B439" s="5">
        <f>IF($E439="","",INDEX('Input Transaksi'!$D:$D,$E439))</f>
        <v/>
      </c>
      <c r="C439">
        <f>IF($E439="","",INDEX('Input Transaksi'!$E:$E,$E439))</f>
        <v/>
      </c>
      <c r="D439" s="5">
        <f>IF($E439="","",INDEX('Input Transaksi'!$F:$F,$E439))</f>
        <v/>
      </c>
      <c r="E439">
        <f>IFERROR(AGGREGATE(15,6,ROW('Input Transaksi'!$B$5:$B$5000)/('Input Transaksi'!$B$5:$B$5000="MONANG MANING"),ROWS($E$5:E439)),"")</f>
        <v/>
      </c>
      <c r="F439" s="5" t="n"/>
    </row>
    <row r="440">
      <c r="A440" s="10">
        <f>IF($E440="","",INDEX('Input Transaksi'!$A:$A,$E440))</f>
        <v/>
      </c>
      <c r="B440" s="5">
        <f>IF($E440="","",INDEX('Input Transaksi'!$D:$D,$E440))</f>
        <v/>
      </c>
      <c r="C440">
        <f>IF($E440="","",INDEX('Input Transaksi'!$E:$E,$E440))</f>
        <v/>
      </c>
      <c r="D440" s="5">
        <f>IF($E440="","",INDEX('Input Transaksi'!$F:$F,$E440))</f>
        <v/>
      </c>
      <c r="E440">
        <f>IFERROR(AGGREGATE(15,6,ROW('Input Transaksi'!$B$5:$B$5000)/('Input Transaksi'!$B$5:$B$5000="MONANG MANING"),ROWS($E$5:E440)),"")</f>
        <v/>
      </c>
      <c r="F440" s="5" t="n"/>
    </row>
    <row r="441">
      <c r="A441" s="10">
        <f>IF($E441="","",INDEX('Input Transaksi'!$A:$A,$E441))</f>
        <v/>
      </c>
      <c r="B441" s="5">
        <f>IF($E441="","",INDEX('Input Transaksi'!$D:$D,$E441))</f>
        <v/>
      </c>
      <c r="C441">
        <f>IF($E441="","",INDEX('Input Transaksi'!$E:$E,$E441))</f>
        <v/>
      </c>
      <c r="D441" s="5">
        <f>IF($E441="","",INDEX('Input Transaksi'!$F:$F,$E441))</f>
        <v/>
      </c>
      <c r="E441">
        <f>IFERROR(AGGREGATE(15,6,ROW('Input Transaksi'!$B$5:$B$5000)/('Input Transaksi'!$B$5:$B$5000="MONANG MANING"),ROWS($E$5:E441)),"")</f>
        <v/>
      </c>
      <c r="F441" s="5" t="n"/>
    </row>
    <row r="442">
      <c r="A442" s="10">
        <f>IF($E442="","",INDEX('Input Transaksi'!$A:$A,$E442))</f>
        <v/>
      </c>
      <c r="B442" s="5">
        <f>IF($E442="","",INDEX('Input Transaksi'!$D:$D,$E442))</f>
        <v/>
      </c>
      <c r="C442">
        <f>IF($E442="","",INDEX('Input Transaksi'!$E:$E,$E442))</f>
        <v/>
      </c>
      <c r="D442" s="5">
        <f>IF($E442="","",INDEX('Input Transaksi'!$F:$F,$E442))</f>
        <v/>
      </c>
      <c r="E442">
        <f>IFERROR(AGGREGATE(15,6,ROW('Input Transaksi'!$B$5:$B$5000)/('Input Transaksi'!$B$5:$B$5000="MONANG MANING"),ROWS($E$5:E442)),"")</f>
        <v/>
      </c>
      <c r="F442" s="5" t="n"/>
    </row>
    <row r="443">
      <c r="A443" s="10">
        <f>IF($E443="","",INDEX('Input Transaksi'!$A:$A,$E443))</f>
        <v/>
      </c>
      <c r="B443" s="5">
        <f>IF($E443="","",INDEX('Input Transaksi'!$D:$D,$E443))</f>
        <v/>
      </c>
      <c r="C443">
        <f>IF($E443="","",INDEX('Input Transaksi'!$E:$E,$E443))</f>
        <v/>
      </c>
      <c r="D443" s="5">
        <f>IF($E443="","",INDEX('Input Transaksi'!$F:$F,$E443))</f>
        <v/>
      </c>
      <c r="E443">
        <f>IFERROR(AGGREGATE(15,6,ROW('Input Transaksi'!$B$5:$B$5000)/('Input Transaksi'!$B$5:$B$5000="MONANG MANING"),ROWS($E$5:E443)),"")</f>
        <v/>
      </c>
      <c r="F443" s="5" t="n"/>
    </row>
    <row r="444">
      <c r="A444" s="10">
        <f>IF($E444="","",INDEX('Input Transaksi'!$A:$A,$E444))</f>
        <v/>
      </c>
      <c r="B444" s="5">
        <f>IF($E444="","",INDEX('Input Transaksi'!$D:$D,$E444))</f>
        <v/>
      </c>
      <c r="C444">
        <f>IF($E444="","",INDEX('Input Transaksi'!$E:$E,$E444))</f>
        <v/>
      </c>
      <c r="D444" s="5">
        <f>IF($E444="","",INDEX('Input Transaksi'!$F:$F,$E444))</f>
        <v/>
      </c>
      <c r="E444">
        <f>IFERROR(AGGREGATE(15,6,ROW('Input Transaksi'!$B$5:$B$5000)/('Input Transaksi'!$B$5:$B$5000="MONANG MANING"),ROWS($E$5:E444)),"")</f>
        <v/>
      </c>
      <c r="F444" s="5" t="n"/>
    </row>
    <row r="445">
      <c r="A445" s="10">
        <f>IF($E445="","",INDEX('Input Transaksi'!$A:$A,$E445))</f>
        <v/>
      </c>
      <c r="B445" s="5">
        <f>IF($E445="","",INDEX('Input Transaksi'!$D:$D,$E445))</f>
        <v/>
      </c>
      <c r="C445">
        <f>IF($E445="","",INDEX('Input Transaksi'!$E:$E,$E445))</f>
        <v/>
      </c>
      <c r="D445" s="5">
        <f>IF($E445="","",INDEX('Input Transaksi'!$F:$F,$E445))</f>
        <v/>
      </c>
      <c r="E445">
        <f>IFERROR(AGGREGATE(15,6,ROW('Input Transaksi'!$B$5:$B$5000)/('Input Transaksi'!$B$5:$B$5000="MONANG MANING"),ROWS($E$5:E445)),"")</f>
        <v/>
      </c>
      <c r="F445" s="5" t="n"/>
    </row>
    <row r="446">
      <c r="A446" s="10">
        <f>IF($E446="","",INDEX('Input Transaksi'!$A:$A,$E446))</f>
        <v/>
      </c>
      <c r="B446" s="5">
        <f>IF($E446="","",INDEX('Input Transaksi'!$D:$D,$E446))</f>
        <v/>
      </c>
      <c r="C446">
        <f>IF($E446="","",INDEX('Input Transaksi'!$E:$E,$E446))</f>
        <v/>
      </c>
      <c r="D446" s="5">
        <f>IF($E446="","",INDEX('Input Transaksi'!$F:$F,$E446))</f>
        <v/>
      </c>
      <c r="E446">
        <f>IFERROR(AGGREGATE(15,6,ROW('Input Transaksi'!$B$5:$B$5000)/('Input Transaksi'!$B$5:$B$5000="MONANG MANING"),ROWS($E$5:E446)),"")</f>
        <v/>
      </c>
      <c r="F446" s="5" t="n"/>
    </row>
    <row r="447">
      <c r="A447" s="10">
        <f>IF($E447="","",INDEX('Input Transaksi'!$A:$A,$E447))</f>
        <v/>
      </c>
      <c r="B447" s="5">
        <f>IF($E447="","",INDEX('Input Transaksi'!$D:$D,$E447))</f>
        <v/>
      </c>
      <c r="C447">
        <f>IF($E447="","",INDEX('Input Transaksi'!$E:$E,$E447))</f>
        <v/>
      </c>
      <c r="D447" s="5">
        <f>IF($E447="","",INDEX('Input Transaksi'!$F:$F,$E447))</f>
        <v/>
      </c>
      <c r="E447">
        <f>IFERROR(AGGREGATE(15,6,ROW('Input Transaksi'!$B$5:$B$5000)/('Input Transaksi'!$B$5:$B$5000="MONANG MANING"),ROWS($E$5:E447)),"")</f>
        <v/>
      </c>
      <c r="F447" s="5" t="n"/>
    </row>
    <row r="448">
      <c r="A448" s="10">
        <f>IF($E448="","",INDEX('Input Transaksi'!$A:$A,$E448))</f>
        <v/>
      </c>
      <c r="B448" s="5">
        <f>IF($E448="","",INDEX('Input Transaksi'!$D:$D,$E448))</f>
        <v/>
      </c>
      <c r="C448">
        <f>IF($E448="","",INDEX('Input Transaksi'!$E:$E,$E448))</f>
        <v/>
      </c>
      <c r="D448" s="5">
        <f>IF($E448="","",INDEX('Input Transaksi'!$F:$F,$E448))</f>
        <v/>
      </c>
      <c r="E448">
        <f>IFERROR(AGGREGATE(15,6,ROW('Input Transaksi'!$B$5:$B$5000)/('Input Transaksi'!$B$5:$B$5000="MONANG MANING"),ROWS($E$5:E448)),"")</f>
        <v/>
      </c>
      <c r="F448" s="5" t="n"/>
    </row>
    <row r="449">
      <c r="A449" s="10">
        <f>IF($E449="","",INDEX('Input Transaksi'!$A:$A,$E449))</f>
        <v/>
      </c>
      <c r="B449" s="5">
        <f>IF($E449="","",INDEX('Input Transaksi'!$D:$D,$E449))</f>
        <v/>
      </c>
      <c r="C449">
        <f>IF($E449="","",INDEX('Input Transaksi'!$E:$E,$E449))</f>
        <v/>
      </c>
      <c r="D449" s="5">
        <f>IF($E449="","",INDEX('Input Transaksi'!$F:$F,$E449))</f>
        <v/>
      </c>
      <c r="E449">
        <f>IFERROR(AGGREGATE(15,6,ROW('Input Transaksi'!$B$5:$B$5000)/('Input Transaksi'!$B$5:$B$5000="MONANG MANING"),ROWS($E$5:E449)),"")</f>
        <v/>
      </c>
      <c r="F449" s="5" t="n"/>
    </row>
    <row r="450">
      <c r="A450" s="10">
        <f>IF($E450="","",INDEX('Input Transaksi'!$A:$A,$E450))</f>
        <v/>
      </c>
      <c r="B450" s="5">
        <f>IF($E450="","",INDEX('Input Transaksi'!$D:$D,$E450))</f>
        <v/>
      </c>
      <c r="C450">
        <f>IF($E450="","",INDEX('Input Transaksi'!$E:$E,$E450))</f>
        <v/>
      </c>
      <c r="D450" s="5">
        <f>IF($E450="","",INDEX('Input Transaksi'!$F:$F,$E450))</f>
        <v/>
      </c>
      <c r="E450">
        <f>IFERROR(AGGREGATE(15,6,ROW('Input Transaksi'!$B$5:$B$5000)/('Input Transaksi'!$B$5:$B$5000="MONANG MANING"),ROWS($E$5:E450)),"")</f>
        <v/>
      </c>
      <c r="F450" s="5" t="n"/>
    </row>
    <row r="451">
      <c r="A451" s="10">
        <f>IF($E451="","",INDEX('Input Transaksi'!$A:$A,$E451))</f>
        <v/>
      </c>
      <c r="B451" s="5">
        <f>IF($E451="","",INDEX('Input Transaksi'!$D:$D,$E451))</f>
        <v/>
      </c>
      <c r="C451">
        <f>IF($E451="","",INDEX('Input Transaksi'!$E:$E,$E451))</f>
        <v/>
      </c>
      <c r="D451" s="5">
        <f>IF($E451="","",INDEX('Input Transaksi'!$F:$F,$E451))</f>
        <v/>
      </c>
      <c r="E451">
        <f>IFERROR(AGGREGATE(15,6,ROW('Input Transaksi'!$B$5:$B$5000)/('Input Transaksi'!$B$5:$B$5000="MONANG MANING"),ROWS($E$5:E451)),"")</f>
        <v/>
      </c>
      <c r="F451" s="5" t="n"/>
    </row>
    <row r="452">
      <c r="A452" s="10">
        <f>IF($E452="","",INDEX('Input Transaksi'!$A:$A,$E452))</f>
        <v/>
      </c>
      <c r="B452" s="5">
        <f>IF($E452="","",INDEX('Input Transaksi'!$D:$D,$E452))</f>
        <v/>
      </c>
      <c r="C452">
        <f>IF($E452="","",INDEX('Input Transaksi'!$E:$E,$E452))</f>
        <v/>
      </c>
      <c r="D452" s="5">
        <f>IF($E452="","",INDEX('Input Transaksi'!$F:$F,$E452))</f>
        <v/>
      </c>
      <c r="E452">
        <f>IFERROR(AGGREGATE(15,6,ROW('Input Transaksi'!$B$5:$B$5000)/('Input Transaksi'!$B$5:$B$5000="MONANG MANING"),ROWS($E$5:E452)),"")</f>
        <v/>
      </c>
      <c r="F452" s="5" t="n"/>
    </row>
    <row r="453">
      <c r="A453" s="10">
        <f>IF($E453="","",INDEX('Input Transaksi'!$A:$A,$E453))</f>
        <v/>
      </c>
      <c r="B453" s="5">
        <f>IF($E453="","",INDEX('Input Transaksi'!$D:$D,$E453))</f>
        <v/>
      </c>
      <c r="C453">
        <f>IF($E453="","",INDEX('Input Transaksi'!$E:$E,$E453))</f>
        <v/>
      </c>
      <c r="D453" s="5">
        <f>IF($E453="","",INDEX('Input Transaksi'!$F:$F,$E453))</f>
        <v/>
      </c>
      <c r="E453">
        <f>IFERROR(AGGREGATE(15,6,ROW('Input Transaksi'!$B$5:$B$5000)/('Input Transaksi'!$B$5:$B$5000="MONANG MANING"),ROWS($E$5:E453)),"")</f>
        <v/>
      </c>
      <c r="F453" s="5" t="n"/>
    </row>
    <row r="454">
      <c r="A454" s="10">
        <f>IF($E454="","",INDEX('Input Transaksi'!$A:$A,$E454))</f>
        <v/>
      </c>
      <c r="B454" s="5">
        <f>IF($E454="","",INDEX('Input Transaksi'!$D:$D,$E454))</f>
        <v/>
      </c>
      <c r="C454">
        <f>IF($E454="","",INDEX('Input Transaksi'!$E:$E,$E454))</f>
        <v/>
      </c>
      <c r="D454" s="5">
        <f>IF($E454="","",INDEX('Input Transaksi'!$F:$F,$E454))</f>
        <v/>
      </c>
      <c r="E454">
        <f>IFERROR(AGGREGATE(15,6,ROW('Input Transaksi'!$B$5:$B$5000)/('Input Transaksi'!$B$5:$B$5000="MONANG MANING"),ROWS($E$5:E454)),"")</f>
        <v/>
      </c>
      <c r="F454" s="5" t="n"/>
    </row>
    <row r="455">
      <c r="A455" s="10">
        <f>IF($E455="","",INDEX('Input Transaksi'!$A:$A,$E455))</f>
        <v/>
      </c>
      <c r="B455" s="5">
        <f>IF($E455="","",INDEX('Input Transaksi'!$D:$D,$E455))</f>
        <v/>
      </c>
      <c r="C455">
        <f>IF($E455="","",INDEX('Input Transaksi'!$E:$E,$E455))</f>
        <v/>
      </c>
      <c r="D455" s="5">
        <f>IF($E455="","",INDEX('Input Transaksi'!$F:$F,$E455))</f>
        <v/>
      </c>
      <c r="E455">
        <f>IFERROR(AGGREGATE(15,6,ROW('Input Transaksi'!$B$5:$B$5000)/('Input Transaksi'!$B$5:$B$5000="MONANG MANING"),ROWS($E$5:E455)),"")</f>
        <v/>
      </c>
      <c r="F455" s="5" t="n"/>
    </row>
    <row r="456">
      <c r="A456" s="10">
        <f>IF($E456="","",INDEX('Input Transaksi'!$A:$A,$E456))</f>
        <v/>
      </c>
      <c r="B456" s="5">
        <f>IF($E456="","",INDEX('Input Transaksi'!$D:$D,$E456))</f>
        <v/>
      </c>
      <c r="C456">
        <f>IF($E456="","",INDEX('Input Transaksi'!$E:$E,$E456))</f>
        <v/>
      </c>
      <c r="D456" s="5">
        <f>IF($E456="","",INDEX('Input Transaksi'!$F:$F,$E456))</f>
        <v/>
      </c>
      <c r="E456">
        <f>IFERROR(AGGREGATE(15,6,ROW('Input Transaksi'!$B$5:$B$5000)/('Input Transaksi'!$B$5:$B$5000="MONANG MANING"),ROWS($E$5:E456)),"")</f>
        <v/>
      </c>
      <c r="F456" s="5" t="n"/>
    </row>
    <row r="457">
      <c r="A457" s="10">
        <f>IF($E457="","",INDEX('Input Transaksi'!$A:$A,$E457))</f>
        <v/>
      </c>
      <c r="B457" s="5">
        <f>IF($E457="","",INDEX('Input Transaksi'!$D:$D,$E457))</f>
        <v/>
      </c>
      <c r="C457">
        <f>IF($E457="","",INDEX('Input Transaksi'!$E:$E,$E457))</f>
        <v/>
      </c>
      <c r="D457" s="5">
        <f>IF($E457="","",INDEX('Input Transaksi'!$F:$F,$E457))</f>
        <v/>
      </c>
      <c r="E457">
        <f>IFERROR(AGGREGATE(15,6,ROW('Input Transaksi'!$B$5:$B$5000)/('Input Transaksi'!$B$5:$B$5000="MONANG MANING"),ROWS($E$5:E457)),"")</f>
        <v/>
      </c>
      <c r="F457" s="5" t="n"/>
    </row>
    <row r="458">
      <c r="A458" s="10">
        <f>IF($E458="","",INDEX('Input Transaksi'!$A:$A,$E458))</f>
        <v/>
      </c>
      <c r="B458" s="5">
        <f>IF($E458="","",INDEX('Input Transaksi'!$D:$D,$E458))</f>
        <v/>
      </c>
      <c r="C458">
        <f>IF($E458="","",INDEX('Input Transaksi'!$E:$E,$E458))</f>
        <v/>
      </c>
      <c r="D458" s="5">
        <f>IF($E458="","",INDEX('Input Transaksi'!$F:$F,$E458))</f>
        <v/>
      </c>
      <c r="E458">
        <f>IFERROR(AGGREGATE(15,6,ROW('Input Transaksi'!$B$5:$B$5000)/('Input Transaksi'!$B$5:$B$5000="MONANG MANING"),ROWS($E$5:E458)),"")</f>
        <v/>
      </c>
      <c r="F458" s="5" t="n"/>
    </row>
    <row r="459">
      <c r="A459" s="10">
        <f>IF($E459="","",INDEX('Input Transaksi'!$A:$A,$E459))</f>
        <v/>
      </c>
      <c r="B459" s="5">
        <f>IF($E459="","",INDEX('Input Transaksi'!$D:$D,$E459))</f>
        <v/>
      </c>
      <c r="C459">
        <f>IF($E459="","",INDEX('Input Transaksi'!$E:$E,$E459))</f>
        <v/>
      </c>
      <c r="D459" s="5">
        <f>IF($E459="","",INDEX('Input Transaksi'!$F:$F,$E459))</f>
        <v/>
      </c>
      <c r="E459">
        <f>IFERROR(AGGREGATE(15,6,ROW('Input Transaksi'!$B$5:$B$5000)/('Input Transaksi'!$B$5:$B$5000="MONANG MANING"),ROWS($E$5:E459)),"")</f>
        <v/>
      </c>
      <c r="F459" s="5" t="n"/>
    </row>
    <row r="460">
      <c r="A460" s="10">
        <f>IF($E460="","",INDEX('Input Transaksi'!$A:$A,$E460))</f>
        <v/>
      </c>
      <c r="B460" s="5">
        <f>IF($E460="","",INDEX('Input Transaksi'!$D:$D,$E460))</f>
        <v/>
      </c>
      <c r="C460">
        <f>IF($E460="","",INDEX('Input Transaksi'!$E:$E,$E460))</f>
        <v/>
      </c>
      <c r="D460" s="5">
        <f>IF($E460="","",INDEX('Input Transaksi'!$F:$F,$E460))</f>
        <v/>
      </c>
      <c r="E460">
        <f>IFERROR(AGGREGATE(15,6,ROW('Input Transaksi'!$B$5:$B$5000)/('Input Transaksi'!$B$5:$B$5000="MONANG MANING"),ROWS($E$5:E460)),"")</f>
        <v/>
      </c>
      <c r="F460" s="5" t="n"/>
    </row>
    <row r="461">
      <c r="A461" s="10">
        <f>IF($E461="","",INDEX('Input Transaksi'!$A:$A,$E461))</f>
        <v/>
      </c>
      <c r="B461" s="5">
        <f>IF($E461="","",INDEX('Input Transaksi'!$D:$D,$E461))</f>
        <v/>
      </c>
      <c r="C461">
        <f>IF($E461="","",INDEX('Input Transaksi'!$E:$E,$E461))</f>
        <v/>
      </c>
      <c r="D461" s="5">
        <f>IF($E461="","",INDEX('Input Transaksi'!$F:$F,$E461))</f>
        <v/>
      </c>
      <c r="E461">
        <f>IFERROR(AGGREGATE(15,6,ROW('Input Transaksi'!$B$5:$B$5000)/('Input Transaksi'!$B$5:$B$5000="MONANG MANING"),ROWS($E$5:E461)),"")</f>
        <v/>
      </c>
      <c r="F461" s="5" t="n"/>
    </row>
    <row r="462">
      <c r="A462" s="10">
        <f>IF($E462="","",INDEX('Input Transaksi'!$A:$A,$E462))</f>
        <v/>
      </c>
      <c r="B462" s="5">
        <f>IF($E462="","",INDEX('Input Transaksi'!$D:$D,$E462))</f>
        <v/>
      </c>
      <c r="C462">
        <f>IF($E462="","",INDEX('Input Transaksi'!$E:$E,$E462))</f>
        <v/>
      </c>
      <c r="D462" s="5">
        <f>IF($E462="","",INDEX('Input Transaksi'!$F:$F,$E462))</f>
        <v/>
      </c>
      <c r="E462">
        <f>IFERROR(AGGREGATE(15,6,ROW('Input Transaksi'!$B$5:$B$5000)/('Input Transaksi'!$B$5:$B$5000="MONANG MANING"),ROWS($E$5:E462)),"")</f>
        <v/>
      </c>
      <c r="F462" s="5" t="n"/>
    </row>
    <row r="463">
      <c r="A463" s="10">
        <f>IF($E463="","",INDEX('Input Transaksi'!$A:$A,$E463))</f>
        <v/>
      </c>
      <c r="B463" s="5">
        <f>IF($E463="","",INDEX('Input Transaksi'!$D:$D,$E463))</f>
        <v/>
      </c>
      <c r="C463">
        <f>IF($E463="","",INDEX('Input Transaksi'!$E:$E,$E463))</f>
        <v/>
      </c>
      <c r="D463" s="5">
        <f>IF($E463="","",INDEX('Input Transaksi'!$F:$F,$E463))</f>
        <v/>
      </c>
      <c r="E463">
        <f>IFERROR(AGGREGATE(15,6,ROW('Input Transaksi'!$B$5:$B$5000)/('Input Transaksi'!$B$5:$B$5000="MONANG MANING"),ROWS($E$5:E463)),"")</f>
        <v/>
      </c>
      <c r="F463" s="5" t="n"/>
    </row>
    <row r="464">
      <c r="A464" s="10">
        <f>IF($E464="","",INDEX('Input Transaksi'!$A:$A,$E464))</f>
        <v/>
      </c>
      <c r="B464" s="5">
        <f>IF($E464="","",INDEX('Input Transaksi'!$D:$D,$E464))</f>
        <v/>
      </c>
      <c r="C464">
        <f>IF($E464="","",INDEX('Input Transaksi'!$E:$E,$E464))</f>
        <v/>
      </c>
      <c r="D464" s="5">
        <f>IF($E464="","",INDEX('Input Transaksi'!$F:$F,$E464))</f>
        <v/>
      </c>
      <c r="E464">
        <f>IFERROR(AGGREGATE(15,6,ROW('Input Transaksi'!$B$5:$B$5000)/('Input Transaksi'!$B$5:$B$5000="MONANG MANING"),ROWS($E$5:E464)),"")</f>
        <v/>
      </c>
      <c r="F464" s="5" t="n"/>
    </row>
    <row r="465">
      <c r="A465" s="10">
        <f>IF($E465="","",INDEX('Input Transaksi'!$A:$A,$E465))</f>
        <v/>
      </c>
      <c r="B465" s="5">
        <f>IF($E465="","",INDEX('Input Transaksi'!$D:$D,$E465))</f>
        <v/>
      </c>
      <c r="C465">
        <f>IF($E465="","",INDEX('Input Transaksi'!$E:$E,$E465))</f>
        <v/>
      </c>
      <c r="D465" s="5">
        <f>IF($E465="","",INDEX('Input Transaksi'!$F:$F,$E465))</f>
        <v/>
      </c>
      <c r="E465">
        <f>IFERROR(AGGREGATE(15,6,ROW('Input Transaksi'!$B$5:$B$5000)/('Input Transaksi'!$B$5:$B$5000="MONANG MANING"),ROWS($E$5:E465)),"")</f>
        <v/>
      </c>
      <c r="F465" s="5" t="n"/>
    </row>
    <row r="466">
      <c r="A466" s="10">
        <f>IF($E466="","",INDEX('Input Transaksi'!$A:$A,$E466))</f>
        <v/>
      </c>
      <c r="B466" s="5">
        <f>IF($E466="","",INDEX('Input Transaksi'!$D:$D,$E466))</f>
        <v/>
      </c>
      <c r="C466">
        <f>IF($E466="","",INDEX('Input Transaksi'!$E:$E,$E466))</f>
        <v/>
      </c>
      <c r="D466" s="5">
        <f>IF($E466="","",INDEX('Input Transaksi'!$F:$F,$E466))</f>
        <v/>
      </c>
      <c r="E466">
        <f>IFERROR(AGGREGATE(15,6,ROW('Input Transaksi'!$B$5:$B$5000)/('Input Transaksi'!$B$5:$B$5000="MONANG MANING"),ROWS($E$5:E466)),"")</f>
        <v/>
      </c>
      <c r="F466" s="5" t="n"/>
    </row>
    <row r="467">
      <c r="A467" s="10">
        <f>IF($E467="","",INDEX('Input Transaksi'!$A:$A,$E467))</f>
        <v/>
      </c>
      <c r="B467" s="5">
        <f>IF($E467="","",INDEX('Input Transaksi'!$D:$D,$E467))</f>
        <v/>
      </c>
      <c r="C467">
        <f>IF($E467="","",INDEX('Input Transaksi'!$E:$E,$E467))</f>
        <v/>
      </c>
      <c r="D467" s="5">
        <f>IF($E467="","",INDEX('Input Transaksi'!$F:$F,$E467))</f>
        <v/>
      </c>
      <c r="E467">
        <f>IFERROR(AGGREGATE(15,6,ROW('Input Transaksi'!$B$5:$B$5000)/('Input Transaksi'!$B$5:$B$5000="MONANG MANING"),ROWS($E$5:E467)),"")</f>
        <v/>
      </c>
      <c r="F467" s="5" t="n"/>
    </row>
    <row r="468">
      <c r="A468" s="10">
        <f>IF($E468="","",INDEX('Input Transaksi'!$A:$A,$E468))</f>
        <v/>
      </c>
      <c r="B468" s="5">
        <f>IF($E468="","",INDEX('Input Transaksi'!$D:$D,$E468))</f>
        <v/>
      </c>
      <c r="C468">
        <f>IF($E468="","",INDEX('Input Transaksi'!$E:$E,$E468))</f>
        <v/>
      </c>
      <c r="D468" s="5">
        <f>IF($E468="","",INDEX('Input Transaksi'!$F:$F,$E468))</f>
        <v/>
      </c>
      <c r="E468">
        <f>IFERROR(AGGREGATE(15,6,ROW('Input Transaksi'!$B$5:$B$5000)/('Input Transaksi'!$B$5:$B$5000="MONANG MANING"),ROWS($E$5:E468)),"")</f>
        <v/>
      </c>
      <c r="F468" s="5" t="n"/>
    </row>
    <row r="469">
      <c r="A469" s="10">
        <f>IF($E469="","",INDEX('Input Transaksi'!$A:$A,$E469))</f>
        <v/>
      </c>
      <c r="B469" s="5">
        <f>IF($E469="","",INDEX('Input Transaksi'!$D:$D,$E469))</f>
        <v/>
      </c>
      <c r="C469">
        <f>IF($E469="","",INDEX('Input Transaksi'!$E:$E,$E469))</f>
        <v/>
      </c>
      <c r="D469" s="5">
        <f>IF($E469="","",INDEX('Input Transaksi'!$F:$F,$E469))</f>
        <v/>
      </c>
      <c r="E469">
        <f>IFERROR(AGGREGATE(15,6,ROW('Input Transaksi'!$B$5:$B$5000)/('Input Transaksi'!$B$5:$B$5000="MONANG MANING"),ROWS($E$5:E469)),"")</f>
        <v/>
      </c>
      <c r="F469" s="5" t="n"/>
    </row>
    <row r="470">
      <c r="A470" s="10">
        <f>IF($E470="","",INDEX('Input Transaksi'!$A:$A,$E470))</f>
        <v/>
      </c>
      <c r="B470" s="5">
        <f>IF($E470="","",INDEX('Input Transaksi'!$D:$D,$E470))</f>
        <v/>
      </c>
      <c r="C470">
        <f>IF($E470="","",INDEX('Input Transaksi'!$E:$E,$E470))</f>
        <v/>
      </c>
      <c r="D470" s="5">
        <f>IF($E470="","",INDEX('Input Transaksi'!$F:$F,$E470))</f>
        <v/>
      </c>
      <c r="E470">
        <f>IFERROR(AGGREGATE(15,6,ROW('Input Transaksi'!$B$5:$B$5000)/('Input Transaksi'!$B$5:$B$5000="MONANG MANING"),ROWS($E$5:E470)),"")</f>
        <v/>
      </c>
      <c r="F470" s="5" t="n"/>
    </row>
    <row r="471">
      <c r="A471" s="10">
        <f>IF($E471="","",INDEX('Input Transaksi'!$A:$A,$E471))</f>
        <v/>
      </c>
      <c r="B471" s="5">
        <f>IF($E471="","",INDEX('Input Transaksi'!$D:$D,$E471))</f>
        <v/>
      </c>
      <c r="C471">
        <f>IF($E471="","",INDEX('Input Transaksi'!$E:$E,$E471))</f>
        <v/>
      </c>
      <c r="D471" s="5">
        <f>IF($E471="","",INDEX('Input Transaksi'!$F:$F,$E471))</f>
        <v/>
      </c>
      <c r="E471">
        <f>IFERROR(AGGREGATE(15,6,ROW('Input Transaksi'!$B$5:$B$5000)/('Input Transaksi'!$B$5:$B$5000="MONANG MANING"),ROWS($E$5:E471)),"")</f>
        <v/>
      </c>
      <c r="F471" s="5" t="n"/>
    </row>
    <row r="472">
      <c r="A472" s="10">
        <f>IF($E472="","",INDEX('Input Transaksi'!$A:$A,$E472))</f>
        <v/>
      </c>
      <c r="B472" s="5">
        <f>IF($E472="","",INDEX('Input Transaksi'!$D:$D,$E472))</f>
        <v/>
      </c>
      <c r="C472">
        <f>IF($E472="","",INDEX('Input Transaksi'!$E:$E,$E472))</f>
        <v/>
      </c>
      <c r="D472" s="5">
        <f>IF($E472="","",INDEX('Input Transaksi'!$F:$F,$E472))</f>
        <v/>
      </c>
      <c r="E472">
        <f>IFERROR(AGGREGATE(15,6,ROW('Input Transaksi'!$B$5:$B$5000)/('Input Transaksi'!$B$5:$B$5000="MONANG MANING"),ROWS($E$5:E472)),"")</f>
        <v/>
      </c>
      <c r="F472" s="5" t="n"/>
    </row>
    <row r="473">
      <c r="A473" s="10">
        <f>IF($E473="","",INDEX('Input Transaksi'!$A:$A,$E473))</f>
        <v/>
      </c>
      <c r="B473" s="5">
        <f>IF($E473="","",INDEX('Input Transaksi'!$D:$D,$E473))</f>
        <v/>
      </c>
      <c r="C473">
        <f>IF($E473="","",INDEX('Input Transaksi'!$E:$E,$E473))</f>
        <v/>
      </c>
      <c r="D473" s="5">
        <f>IF($E473="","",INDEX('Input Transaksi'!$F:$F,$E473))</f>
        <v/>
      </c>
      <c r="E473">
        <f>IFERROR(AGGREGATE(15,6,ROW('Input Transaksi'!$B$5:$B$5000)/('Input Transaksi'!$B$5:$B$5000="MONANG MANING"),ROWS($E$5:E473)),"")</f>
        <v/>
      </c>
      <c r="F473" s="5" t="n"/>
    </row>
    <row r="474">
      <c r="A474" s="10">
        <f>IF($E474="","",INDEX('Input Transaksi'!$A:$A,$E474))</f>
        <v/>
      </c>
      <c r="B474" s="5">
        <f>IF($E474="","",INDEX('Input Transaksi'!$D:$D,$E474))</f>
        <v/>
      </c>
      <c r="C474">
        <f>IF($E474="","",INDEX('Input Transaksi'!$E:$E,$E474))</f>
        <v/>
      </c>
      <c r="D474" s="5">
        <f>IF($E474="","",INDEX('Input Transaksi'!$F:$F,$E474))</f>
        <v/>
      </c>
      <c r="E474">
        <f>IFERROR(AGGREGATE(15,6,ROW('Input Transaksi'!$B$5:$B$5000)/('Input Transaksi'!$B$5:$B$5000="MONANG MANING"),ROWS($E$5:E474)),"")</f>
        <v/>
      </c>
      <c r="F474" s="5" t="n"/>
    </row>
    <row r="475">
      <c r="A475" s="10">
        <f>IF($E475="","",INDEX('Input Transaksi'!$A:$A,$E475))</f>
        <v/>
      </c>
      <c r="B475" s="5">
        <f>IF($E475="","",INDEX('Input Transaksi'!$D:$D,$E475))</f>
        <v/>
      </c>
      <c r="C475">
        <f>IF($E475="","",INDEX('Input Transaksi'!$E:$E,$E475))</f>
        <v/>
      </c>
      <c r="D475" s="5">
        <f>IF($E475="","",INDEX('Input Transaksi'!$F:$F,$E475))</f>
        <v/>
      </c>
      <c r="E475">
        <f>IFERROR(AGGREGATE(15,6,ROW('Input Transaksi'!$B$5:$B$5000)/('Input Transaksi'!$B$5:$B$5000="MONANG MANING"),ROWS($E$5:E475)),"")</f>
        <v/>
      </c>
      <c r="F475" s="5" t="n"/>
    </row>
    <row r="476">
      <c r="A476" s="10">
        <f>IF($E476="","",INDEX('Input Transaksi'!$A:$A,$E476))</f>
        <v/>
      </c>
      <c r="B476" s="5">
        <f>IF($E476="","",INDEX('Input Transaksi'!$D:$D,$E476))</f>
        <v/>
      </c>
      <c r="C476">
        <f>IF($E476="","",INDEX('Input Transaksi'!$E:$E,$E476))</f>
        <v/>
      </c>
      <c r="D476" s="5">
        <f>IF($E476="","",INDEX('Input Transaksi'!$F:$F,$E476))</f>
        <v/>
      </c>
      <c r="E476">
        <f>IFERROR(AGGREGATE(15,6,ROW('Input Transaksi'!$B$5:$B$5000)/('Input Transaksi'!$B$5:$B$5000="MONANG MANING"),ROWS($E$5:E476)),"")</f>
        <v/>
      </c>
      <c r="F476" s="5" t="n"/>
    </row>
    <row r="477">
      <c r="A477" s="10">
        <f>IF($E477="","",INDEX('Input Transaksi'!$A:$A,$E477))</f>
        <v/>
      </c>
      <c r="B477" s="5">
        <f>IF($E477="","",INDEX('Input Transaksi'!$D:$D,$E477))</f>
        <v/>
      </c>
      <c r="C477">
        <f>IF($E477="","",INDEX('Input Transaksi'!$E:$E,$E477))</f>
        <v/>
      </c>
      <c r="D477" s="5">
        <f>IF($E477="","",INDEX('Input Transaksi'!$F:$F,$E477))</f>
        <v/>
      </c>
      <c r="E477">
        <f>IFERROR(AGGREGATE(15,6,ROW('Input Transaksi'!$B$5:$B$5000)/('Input Transaksi'!$B$5:$B$5000="MONANG MANING"),ROWS($E$5:E477)),"")</f>
        <v/>
      </c>
      <c r="F477" s="5" t="n"/>
    </row>
    <row r="478">
      <c r="A478" s="10">
        <f>IF($E478="","",INDEX('Input Transaksi'!$A:$A,$E478))</f>
        <v/>
      </c>
      <c r="B478" s="5">
        <f>IF($E478="","",INDEX('Input Transaksi'!$D:$D,$E478))</f>
        <v/>
      </c>
      <c r="C478">
        <f>IF($E478="","",INDEX('Input Transaksi'!$E:$E,$E478))</f>
        <v/>
      </c>
      <c r="D478" s="5">
        <f>IF($E478="","",INDEX('Input Transaksi'!$F:$F,$E478))</f>
        <v/>
      </c>
      <c r="E478">
        <f>IFERROR(AGGREGATE(15,6,ROW('Input Transaksi'!$B$5:$B$5000)/('Input Transaksi'!$B$5:$B$5000="MONANG MANING"),ROWS($E$5:E478)),"")</f>
        <v/>
      </c>
      <c r="F478" s="5" t="n"/>
    </row>
    <row r="479">
      <c r="A479" s="10">
        <f>IF($E479="","",INDEX('Input Transaksi'!$A:$A,$E479))</f>
        <v/>
      </c>
      <c r="B479" s="5">
        <f>IF($E479="","",INDEX('Input Transaksi'!$D:$D,$E479))</f>
        <v/>
      </c>
      <c r="C479">
        <f>IF($E479="","",INDEX('Input Transaksi'!$E:$E,$E479))</f>
        <v/>
      </c>
      <c r="D479" s="5">
        <f>IF($E479="","",INDEX('Input Transaksi'!$F:$F,$E479))</f>
        <v/>
      </c>
      <c r="E479">
        <f>IFERROR(AGGREGATE(15,6,ROW('Input Transaksi'!$B$5:$B$5000)/('Input Transaksi'!$B$5:$B$5000="MONANG MANING"),ROWS($E$5:E479)),"")</f>
        <v/>
      </c>
      <c r="F479" s="5" t="n"/>
    </row>
    <row r="480">
      <c r="A480" s="10">
        <f>IF($E480="","",INDEX('Input Transaksi'!$A:$A,$E480))</f>
        <v/>
      </c>
      <c r="B480" s="5">
        <f>IF($E480="","",INDEX('Input Transaksi'!$D:$D,$E480))</f>
        <v/>
      </c>
      <c r="C480">
        <f>IF($E480="","",INDEX('Input Transaksi'!$E:$E,$E480))</f>
        <v/>
      </c>
      <c r="D480" s="5">
        <f>IF($E480="","",INDEX('Input Transaksi'!$F:$F,$E480))</f>
        <v/>
      </c>
      <c r="E480">
        <f>IFERROR(AGGREGATE(15,6,ROW('Input Transaksi'!$B$5:$B$5000)/('Input Transaksi'!$B$5:$B$5000="MONANG MANING"),ROWS($E$5:E480)),"")</f>
        <v/>
      </c>
      <c r="F480" s="5" t="n"/>
    </row>
    <row r="481">
      <c r="A481" s="10">
        <f>IF($E481="","",INDEX('Input Transaksi'!$A:$A,$E481))</f>
        <v/>
      </c>
      <c r="B481" s="5">
        <f>IF($E481="","",INDEX('Input Transaksi'!$D:$D,$E481))</f>
        <v/>
      </c>
      <c r="C481">
        <f>IF($E481="","",INDEX('Input Transaksi'!$E:$E,$E481))</f>
        <v/>
      </c>
      <c r="D481" s="5">
        <f>IF($E481="","",INDEX('Input Transaksi'!$F:$F,$E481))</f>
        <v/>
      </c>
      <c r="E481">
        <f>IFERROR(AGGREGATE(15,6,ROW('Input Transaksi'!$B$5:$B$5000)/('Input Transaksi'!$B$5:$B$5000="MONANG MANING"),ROWS($E$5:E481)),"")</f>
        <v/>
      </c>
      <c r="F481" s="5" t="n"/>
    </row>
    <row r="482">
      <c r="A482" s="10">
        <f>IF($E482="","",INDEX('Input Transaksi'!$A:$A,$E482))</f>
        <v/>
      </c>
      <c r="B482" s="5">
        <f>IF($E482="","",INDEX('Input Transaksi'!$D:$D,$E482))</f>
        <v/>
      </c>
      <c r="C482">
        <f>IF($E482="","",INDEX('Input Transaksi'!$E:$E,$E482))</f>
        <v/>
      </c>
      <c r="D482" s="5">
        <f>IF($E482="","",INDEX('Input Transaksi'!$F:$F,$E482))</f>
        <v/>
      </c>
      <c r="E482">
        <f>IFERROR(AGGREGATE(15,6,ROW('Input Transaksi'!$B$5:$B$5000)/('Input Transaksi'!$B$5:$B$5000="MONANG MANING"),ROWS($E$5:E482)),"")</f>
        <v/>
      </c>
      <c r="F482" s="5" t="n"/>
    </row>
    <row r="483">
      <c r="A483" s="10">
        <f>IF($E483="","",INDEX('Input Transaksi'!$A:$A,$E483))</f>
        <v/>
      </c>
      <c r="B483" s="5">
        <f>IF($E483="","",INDEX('Input Transaksi'!$D:$D,$E483))</f>
        <v/>
      </c>
      <c r="C483">
        <f>IF($E483="","",INDEX('Input Transaksi'!$E:$E,$E483))</f>
        <v/>
      </c>
      <c r="D483" s="5">
        <f>IF($E483="","",INDEX('Input Transaksi'!$F:$F,$E483))</f>
        <v/>
      </c>
      <c r="E483">
        <f>IFERROR(AGGREGATE(15,6,ROW('Input Transaksi'!$B$5:$B$5000)/('Input Transaksi'!$B$5:$B$5000="MONANG MANING"),ROWS($E$5:E483)),"")</f>
        <v/>
      </c>
      <c r="F483" s="5" t="n"/>
    </row>
    <row r="484">
      <c r="A484" s="10">
        <f>IF($E484="","",INDEX('Input Transaksi'!$A:$A,$E484))</f>
        <v/>
      </c>
      <c r="B484" s="5">
        <f>IF($E484="","",INDEX('Input Transaksi'!$D:$D,$E484))</f>
        <v/>
      </c>
      <c r="C484">
        <f>IF($E484="","",INDEX('Input Transaksi'!$E:$E,$E484))</f>
        <v/>
      </c>
      <c r="D484" s="5">
        <f>IF($E484="","",INDEX('Input Transaksi'!$F:$F,$E484))</f>
        <v/>
      </c>
      <c r="E484">
        <f>IFERROR(AGGREGATE(15,6,ROW('Input Transaksi'!$B$5:$B$5000)/('Input Transaksi'!$B$5:$B$5000="MONANG MANING"),ROWS($E$5:E484)),"")</f>
        <v/>
      </c>
      <c r="F484" s="5" t="n"/>
    </row>
    <row r="485">
      <c r="A485" s="10">
        <f>IF($E485="","",INDEX('Input Transaksi'!$A:$A,$E485))</f>
        <v/>
      </c>
      <c r="B485" s="5">
        <f>IF($E485="","",INDEX('Input Transaksi'!$D:$D,$E485))</f>
        <v/>
      </c>
      <c r="C485">
        <f>IF($E485="","",INDEX('Input Transaksi'!$E:$E,$E485))</f>
        <v/>
      </c>
      <c r="D485" s="5">
        <f>IF($E485="","",INDEX('Input Transaksi'!$F:$F,$E485))</f>
        <v/>
      </c>
      <c r="E485">
        <f>IFERROR(AGGREGATE(15,6,ROW('Input Transaksi'!$B$5:$B$5000)/('Input Transaksi'!$B$5:$B$5000="MONANG MANING"),ROWS($E$5:E485)),"")</f>
        <v/>
      </c>
      <c r="F485" s="5" t="n"/>
    </row>
    <row r="486">
      <c r="A486" s="10">
        <f>IF($E486="","",INDEX('Input Transaksi'!$A:$A,$E486))</f>
        <v/>
      </c>
      <c r="B486" s="5">
        <f>IF($E486="","",INDEX('Input Transaksi'!$D:$D,$E486))</f>
        <v/>
      </c>
      <c r="C486">
        <f>IF($E486="","",INDEX('Input Transaksi'!$E:$E,$E486))</f>
        <v/>
      </c>
      <c r="D486" s="5">
        <f>IF($E486="","",INDEX('Input Transaksi'!$F:$F,$E486))</f>
        <v/>
      </c>
      <c r="E486">
        <f>IFERROR(AGGREGATE(15,6,ROW('Input Transaksi'!$B$5:$B$5000)/('Input Transaksi'!$B$5:$B$5000="MONANG MANING"),ROWS($E$5:E486)),"")</f>
        <v/>
      </c>
      <c r="F486" s="5" t="n"/>
    </row>
    <row r="487">
      <c r="A487" s="10">
        <f>IF($E487="","",INDEX('Input Transaksi'!$A:$A,$E487))</f>
        <v/>
      </c>
      <c r="B487" s="5">
        <f>IF($E487="","",INDEX('Input Transaksi'!$D:$D,$E487))</f>
        <v/>
      </c>
      <c r="C487">
        <f>IF($E487="","",INDEX('Input Transaksi'!$E:$E,$E487))</f>
        <v/>
      </c>
      <c r="D487" s="5">
        <f>IF($E487="","",INDEX('Input Transaksi'!$F:$F,$E487))</f>
        <v/>
      </c>
      <c r="E487">
        <f>IFERROR(AGGREGATE(15,6,ROW('Input Transaksi'!$B$5:$B$5000)/('Input Transaksi'!$B$5:$B$5000="MONANG MANING"),ROWS($E$5:E487)),"")</f>
        <v/>
      </c>
      <c r="F487" s="5" t="n"/>
    </row>
    <row r="488">
      <c r="A488" s="10">
        <f>IF($E488="","",INDEX('Input Transaksi'!$A:$A,$E488))</f>
        <v/>
      </c>
      <c r="B488" s="5">
        <f>IF($E488="","",INDEX('Input Transaksi'!$D:$D,$E488))</f>
        <v/>
      </c>
      <c r="C488">
        <f>IF($E488="","",INDEX('Input Transaksi'!$E:$E,$E488))</f>
        <v/>
      </c>
      <c r="D488" s="5">
        <f>IF($E488="","",INDEX('Input Transaksi'!$F:$F,$E488))</f>
        <v/>
      </c>
      <c r="E488">
        <f>IFERROR(AGGREGATE(15,6,ROW('Input Transaksi'!$B$5:$B$5000)/('Input Transaksi'!$B$5:$B$5000="MONANG MANING"),ROWS($E$5:E488)),"")</f>
        <v/>
      </c>
      <c r="F488" s="5" t="n"/>
    </row>
    <row r="489">
      <c r="A489" s="10">
        <f>IF($E489="","",INDEX('Input Transaksi'!$A:$A,$E489))</f>
        <v/>
      </c>
      <c r="B489" s="5">
        <f>IF($E489="","",INDEX('Input Transaksi'!$D:$D,$E489))</f>
        <v/>
      </c>
      <c r="C489">
        <f>IF($E489="","",INDEX('Input Transaksi'!$E:$E,$E489))</f>
        <v/>
      </c>
      <c r="D489" s="5">
        <f>IF($E489="","",INDEX('Input Transaksi'!$F:$F,$E489))</f>
        <v/>
      </c>
      <c r="E489">
        <f>IFERROR(AGGREGATE(15,6,ROW('Input Transaksi'!$B$5:$B$5000)/('Input Transaksi'!$B$5:$B$5000="MONANG MANING"),ROWS($E$5:E489)),"")</f>
        <v/>
      </c>
      <c r="F489" s="5" t="n"/>
    </row>
    <row r="490">
      <c r="A490" s="10">
        <f>IF($E490="","",INDEX('Input Transaksi'!$A:$A,$E490))</f>
        <v/>
      </c>
      <c r="B490" s="5">
        <f>IF($E490="","",INDEX('Input Transaksi'!$D:$D,$E490))</f>
        <v/>
      </c>
      <c r="C490">
        <f>IF($E490="","",INDEX('Input Transaksi'!$E:$E,$E490))</f>
        <v/>
      </c>
      <c r="D490" s="5">
        <f>IF($E490="","",INDEX('Input Transaksi'!$F:$F,$E490))</f>
        <v/>
      </c>
      <c r="E490">
        <f>IFERROR(AGGREGATE(15,6,ROW('Input Transaksi'!$B$5:$B$5000)/('Input Transaksi'!$B$5:$B$5000="MONANG MANING"),ROWS($E$5:E490)),"")</f>
        <v/>
      </c>
      <c r="F490" s="5" t="n"/>
    </row>
    <row r="491">
      <c r="A491" s="10">
        <f>IF($E491="","",INDEX('Input Transaksi'!$A:$A,$E491))</f>
        <v/>
      </c>
      <c r="B491" s="5">
        <f>IF($E491="","",INDEX('Input Transaksi'!$D:$D,$E491))</f>
        <v/>
      </c>
      <c r="C491">
        <f>IF($E491="","",INDEX('Input Transaksi'!$E:$E,$E491))</f>
        <v/>
      </c>
      <c r="D491" s="5">
        <f>IF($E491="","",INDEX('Input Transaksi'!$F:$F,$E491))</f>
        <v/>
      </c>
      <c r="E491">
        <f>IFERROR(AGGREGATE(15,6,ROW('Input Transaksi'!$B$5:$B$5000)/('Input Transaksi'!$B$5:$B$5000="MONANG MANING"),ROWS($E$5:E491)),"")</f>
        <v/>
      </c>
      <c r="F491" s="5" t="n"/>
    </row>
    <row r="492">
      <c r="A492" s="10">
        <f>IF($E492="","",INDEX('Input Transaksi'!$A:$A,$E492))</f>
        <v/>
      </c>
      <c r="B492" s="5">
        <f>IF($E492="","",INDEX('Input Transaksi'!$D:$D,$E492))</f>
        <v/>
      </c>
      <c r="C492">
        <f>IF($E492="","",INDEX('Input Transaksi'!$E:$E,$E492))</f>
        <v/>
      </c>
      <c r="D492" s="5">
        <f>IF($E492="","",INDEX('Input Transaksi'!$F:$F,$E492))</f>
        <v/>
      </c>
      <c r="E492">
        <f>IFERROR(AGGREGATE(15,6,ROW('Input Transaksi'!$B$5:$B$5000)/('Input Transaksi'!$B$5:$B$5000="MONANG MANING"),ROWS($E$5:E492)),"")</f>
        <v/>
      </c>
      <c r="F492" s="5" t="n"/>
    </row>
    <row r="493">
      <c r="A493" s="10">
        <f>IF($E493="","",INDEX('Input Transaksi'!$A:$A,$E493))</f>
        <v/>
      </c>
      <c r="B493" s="5">
        <f>IF($E493="","",INDEX('Input Transaksi'!$D:$D,$E493))</f>
        <v/>
      </c>
      <c r="C493">
        <f>IF($E493="","",INDEX('Input Transaksi'!$E:$E,$E493))</f>
        <v/>
      </c>
      <c r="D493" s="5">
        <f>IF($E493="","",INDEX('Input Transaksi'!$F:$F,$E493))</f>
        <v/>
      </c>
      <c r="E493">
        <f>IFERROR(AGGREGATE(15,6,ROW('Input Transaksi'!$B$5:$B$5000)/('Input Transaksi'!$B$5:$B$5000="MONANG MANING"),ROWS($E$5:E493)),"")</f>
        <v/>
      </c>
      <c r="F493" s="5" t="n"/>
    </row>
    <row r="494">
      <c r="A494" s="10">
        <f>IF($E494="","",INDEX('Input Transaksi'!$A:$A,$E494))</f>
        <v/>
      </c>
      <c r="B494" s="5">
        <f>IF($E494="","",INDEX('Input Transaksi'!$D:$D,$E494))</f>
        <v/>
      </c>
      <c r="C494">
        <f>IF($E494="","",INDEX('Input Transaksi'!$E:$E,$E494))</f>
        <v/>
      </c>
      <c r="D494" s="5">
        <f>IF($E494="","",INDEX('Input Transaksi'!$F:$F,$E494))</f>
        <v/>
      </c>
      <c r="E494">
        <f>IFERROR(AGGREGATE(15,6,ROW('Input Transaksi'!$B$5:$B$5000)/('Input Transaksi'!$B$5:$B$5000="MONANG MANING"),ROWS($E$5:E494)),"")</f>
        <v/>
      </c>
      <c r="F494" s="5" t="n"/>
    </row>
    <row r="495">
      <c r="A495" s="10">
        <f>IF($E495="","",INDEX('Input Transaksi'!$A:$A,$E495))</f>
        <v/>
      </c>
      <c r="B495" s="5">
        <f>IF($E495="","",INDEX('Input Transaksi'!$D:$D,$E495))</f>
        <v/>
      </c>
      <c r="C495">
        <f>IF($E495="","",INDEX('Input Transaksi'!$E:$E,$E495))</f>
        <v/>
      </c>
      <c r="D495" s="5">
        <f>IF($E495="","",INDEX('Input Transaksi'!$F:$F,$E495))</f>
        <v/>
      </c>
      <c r="E495">
        <f>IFERROR(AGGREGATE(15,6,ROW('Input Transaksi'!$B$5:$B$5000)/('Input Transaksi'!$B$5:$B$5000="MONANG MANING"),ROWS($E$5:E495)),"")</f>
        <v/>
      </c>
      <c r="F495" s="5" t="n"/>
    </row>
    <row r="496">
      <c r="A496" s="10">
        <f>IF($E496="","",INDEX('Input Transaksi'!$A:$A,$E496))</f>
        <v/>
      </c>
      <c r="B496" s="5">
        <f>IF($E496="","",INDEX('Input Transaksi'!$D:$D,$E496))</f>
        <v/>
      </c>
      <c r="C496">
        <f>IF($E496="","",INDEX('Input Transaksi'!$E:$E,$E496))</f>
        <v/>
      </c>
      <c r="D496" s="5">
        <f>IF($E496="","",INDEX('Input Transaksi'!$F:$F,$E496))</f>
        <v/>
      </c>
      <c r="E496">
        <f>IFERROR(AGGREGATE(15,6,ROW('Input Transaksi'!$B$5:$B$5000)/('Input Transaksi'!$B$5:$B$5000="MONANG MANING"),ROWS($E$5:E496)),"")</f>
        <v/>
      </c>
      <c r="F496" s="5" t="n"/>
    </row>
    <row r="497">
      <c r="A497" s="10">
        <f>IF($E497="","",INDEX('Input Transaksi'!$A:$A,$E497))</f>
        <v/>
      </c>
      <c r="B497" s="5">
        <f>IF($E497="","",INDEX('Input Transaksi'!$D:$D,$E497))</f>
        <v/>
      </c>
      <c r="C497">
        <f>IF($E497="","",INDEX('Input Transaksi'!$E:$E,$E497))</f>
        <v/>
      </c>
      <c r="D497" s="5">
        <f>IF($E497="","",INDEX('Input Transaksi'!$F:$F,$E497))</f>
        <v/>
      </c>
      <c r="E497">
        <f>IFERROR(AGGREGATE(15,6,ROW('Input Transaksi'!$B$5:$B$5000)/('Input Transaksi'!$B$5:$B$5000="MONANG MANING"),ROWS($E$5:E497)),"")</f>
        <v/>
      </c>
      <c r="F497" s="5" t="n"/>
    </row>
    <row r="498">
      <c r="A498" s="10">
        <f>IF($E498="","",INDEX('Input Transaksi'!$A:$A,$E498))</f>
        <v/>
      </c>
      <c r="B498" s="5">
        <f>IF($E498="","",INDEX('Input Transaksi'!$D:$D,$E498))</f>
        <v/>
      </c>
      <c r="C498">
        <f>IF($E498="","",INDEX('Input Transaksi'!$E:$E,$E498))</f>
        <v/>
      </c>
      <c r="D498" s="5">
        <f>IF($E498="","",INDEX('Input Transaksi'!$F:$F,$E498))</f>
        <v/>
      </c>
      <c r="E498">
        <f>IFERROR(AGGREGATE(15,6,ROW('Input Transaksi'!$B$5:$B$5000)/('Input Transaksi'!$B$5:$B$5000="MONANG MANING"),ROWS($E$5:E498)),"")</f>
        <v/>
      </c>
      <c r="F498" s="5" t="n"/>
    </row>
    <row r="499">
      <c r="A499" s="10">
        <f>IF($E499="","",INDEX('Input Transaksi'!$A:$A,$E499))</f>
        <v/>
      </c>
      <c r="B499" s="5">
        <f>IF($E499="","",INDEX('Input Transaksi'!$D:$D,$E499))</f>
        <v/>
      </c>
      <c r="C499">
        <f>IF($E499="","",INDEX('Input Transaksi'!$E:$E,$E499))</f>
        <v/>
      </c>
      <c r="D499" s="5">
        <f>IF($E499="","",INDEX('Input Transaksi'!$F:$F,$E499))</f>
        <v/>
      </c>
      <c r="E499">
        <f>IFERROR(AGGREGATE(15,6,ROW('Input Transaksi'!$B$5:$B$5000)/('Input Transaksi'!$B$5:$B$5000="MONANG MANING"),ROWS($E$5:E499)),"")</f>
        <v/>
      </c>
      <c r="F499" s="5" t="n"/>
    </row>
    <row r="500">
      <c r="A500" s="10">
        <f>IF($E500="","",INDEX('Input Transaksi'!$A:$A,$E500))</f>
        <v/>
      </c>
      <c r="B500" s="5">
        <f>IF($E500="","",INDEX('Input Transaksi'!$D:$D,$E500))</f>
        <v/>
      </c>
      <c r="C500">
        <f>IF($E500="","",INDEX('Input Transaksi'!$E:$E,$E500))</f>
        <v/>
      </c>
      <c r="D500" s="5">
        <f>IF($E500="","",INDEX('Input Transaksi'!$F:$F,$E500))</f>
        <v/>
      </c>
      <c r="E500">
        <f>IFERROR(AGGREGATE(15,6,ROW('Input Transaksi'!$B$5:$B$5000)/('Input Transaksi'!$B$5:$B$5000="MONANG MANING"),ROWS($E$5:E500)),"")</f>
        <v/>
      </c>
      <c r="F500" s="5" t="n"/>
    </row>
    <row r="501">
      <c r="A501" s="10">
        <f>IF($E501="","",INDEX('Input Transaksi'!$A:$A,$E501))</f>
        <v/>
      </c>
      <c r="B501" s="5">
        <f>IF($E501="","",INDEX('Input Transaksi'!$D:$D,$E501))</f>
        <v/>
      </c>
      <c r="C501">
        <f>IF($E501="","",INDEX('Input Transaksi'!$E:$E,$E501))</f>
        <v/>
      </c>
      <c r="D501" s="5">
        <f>IF($E501="","",INDEX('Input Transaksi'!$F:$F,$E501))</f>
        <v/>
      </c>
      <c r="E501">
        <f>IFERROR(AGGREGATE(15,6,ROW('Input Transaksi'!$B$5:$B$5000)/('Input Transaksi'!$B$5:$B$5000="MONANG MANING"),ROWS($E$5:E501)),"")</f>
        <v/>
      </c>
      <c r="F501" s="5" t="n"/>
    </row>
    <row r="502">
      <c r="A502" s="10">
        <f>IF($E502="","",INDEX('Input Transaksi'!$A:$A,$E502))</f>
        <v/>
      </c>
      <c r="B502" s="5">
        <f>IF($E502="","",INDEX('Input Transaksi'!$D:$D,$E502))</f>
        <v/>
      </c>
      <c r="C502">
        <f>IF($E502="","",INDEX('Input Transaksi'!$E:$E,$E502))</f>
        <v/>
      </c>
      <c r="D502" s="5">
        <f>IF($E502="","",INDEX('Input Transaksi'!$F:$F,$E502))</f>
        <v/>
      </c>
      <c r="E502">
        <f>IFERROR(AGGREGATE(15,6,ROW('Input Transaksi'!$B$5:$B$5000)/('Input Transaksi'!$B$5:$B$5000="MONANG MANING"),ROWS($E$5:E502)),"")</f>
        <v/>
      </c>
      <c r="F502" s="5" t="n"/>
    </row>
    <row r="503">
      <c r="A503" s="10">
        <f>IF($E503="","",INDEX('Input Transaksi'!$A:$A,$E503))</f>
        <v/>
      </c>
      <c r="B503" s="5">
        <f>IF($E503="","",INDEX('Input Transaksi'!$D:$D,$E503))</f>
        <v/>
      </c>
      <c r="C503">
        <f>IF($E503="","",INDEX('Input Transaksi'!$E:$E,$E503))</f>
        <v/>
      </c>
      <c r="D503" s="5">
        <f>IF($E503="","",INDEX('Input Transaksi'!$F:$F,$E503))</f>
        <v/>
      </c>
      <c r="E503">
        <f>IFERROR(AGGREGATE(15,6,ROW('Input Transaksi'!$B$5:$B$5000)/('Input Transaksi'!$B$5:$B$5000="MONANG MANING"),ROWS($E$5:E503)),"")</f>
        <v/>
      </c>
      <c r="F503" s="5" t="n"/>
    </row>
    <row r="504">
      <c r="A504" s="10">
        <f>IF($E504="","",INDEX('Input Transaksi'!$A:$A,$E504))</f>
        <v/>
      </c>
      <c r="B504" s="5">
        <f>IF($E504="","",INDEX('Input Transaksi'!$D:$D,$E504))</f>
        <v/>
      </c>
      <c r="C504">
        <f>IF($E504="","",INDEX('Input Transaksi'!$E:$E,$E504))</f>
        <v/>
      </c>
      <c r="D504" s="5">
        <f>IF($E504="","",INDEX('Input Transaksi'!$F:$F,$E504))</f>
        <v/>
      </c>
      <c r="E504">
        <f>IFERROR(AGGREGATE(15,6,ROW('Input Transaksi'!$B$5:$B$5000)/('Input Transaksi'!$B$5:$B$5000="MONANG MANING"),ROWS($E$5:E504)),"")</f>
        <v/>
      </c>
      <c r="F504" s="5" t="n"/>
    </row>
    <row r="505">
      <c r="A505" s="10">
        <f>IF($E505="","",INDEX('Input Transaksi'!$A:$A,$E505))</f>
        <v/>
      </c>
      <c r="B505" s="5">
        <f>IF($E505="","",INDEX('Input Transaksi'!$D:$D,$E505))</f>
        <v/>
      </c>
      <c r="C505">
        <f>IF($E505="","",INDEX('Input Transaksi'!$E:$E,$E505))</f>
        <v/>
      </c>
      <c r="D505" s="5">
        <f>IF($E505="","",INDEX('Input Transaksi'!$F:$F,$E505))</f>
        <v/>
      </c>
      <c r="E505">
        <f>IFERROR(AGGREGATE(15,6,ROW('Input Transaksi'!$B$5:$B$5000)/('Input Transaksi'!$B$5:$B$5000="MONANG MANING"),ROWS($E$5:E505)),"")</f>
        <v/>
      </c>
      <c r="F505" s="5" t="n"/>
    </row>
    <row r="506">
      <c r="A506" s="10">
        <f>IF($E506="","",INDEX('Input Transaksi'!$A:$A,$E506))</f>
        <v/>
      </c>
      <c r="B506" s="5">
        <f>IF($E506="","",INDEX('Input Transaksi'!$D:$D,$E506))</f>
        <v/>
      </c>
      <c r="C506">
        <f>IF($E506="","",INDEX('Input Transaksi'!$E:$E,$E506))</f>
        <v/>
      </c>
      <c r="D506" s="5">
        <f>IF($E506="","",INDEX('Input Transaksi'!$F:$F,$E506))</f>
        <v/>
      </c>
      <c r="E506">
        <f>IFERROR(AGGREGATE(15,6,ROW('Input Transaksi'!$B$5:$B$5000)/('Input Transaksi'!$B$5:$B$5000="MONANG MANING"),ROWS($E$5:E506)),"")</f>
        <v/>
      </c>
      <c r="F506" s="5" t="n"/>
    </row>
    <row r="507">
      <c r="A507" s="10">
        <f>IF($E507="","",INDEX('Input Transaksi'!$A:$A,$E507))</f>
        <v/>
      </c>
      <c r="B507" s="5">
        <f>IF($E507="","",INDEX('Input Transaksi'!$D:$D,$E507))</f>
        <v/>
      </c>
      <c r="C507">
        <f>IF($E507="","",INDEX('Input Transaksi'!$E:$E,$E507))</f>
        <v/>
      </c>
      <c r="D507" s="5">
        <f>IF($E507="","",INDEX('Input Transaksi'!$F:$F,$E507))</f>
        <v/>
      </c>
      <c r="E507">
        <f>IFERROR(AGGREGATE(15,6,ROW('Input Transaksi'!$B$5:$B$5000)/('Input Transaksi'!$B$5:$B$5000="MONANG MANING"),ROWS($E$5:E507)),"")</f>
        <v/>
      </c>
      <c r="F507" s="5" t="n"/>
    </row>
    <row r="508">
      <c r="A508" s="10">
        <f>IF($E508="","",INDEX('Input Transaksi'!$A:$A,$E508))</f>
        <v/>
      </c>
      <c r="B508" s="5">
        <f>IF($E508="","",INDEX('Input Transaksi'!$D:$D,$E508))</f>
        <v/>
      </c>
      <c r="C508">
        <f>IF($E508="","",INDEX('Input Transaksi'!$E:$E,$E508))</f>
        <v/>
      </c>
      <c r="D508" s="5">
        <f>IF($E508="","",INDEX('Input Transaksi'!$F:$F,$E508))</f>
        <v/>
      </c>
      <c r="E508">
        <f>IFERROR(AGGREGATE(15,6,ROW('Input Transaksi'!$B$5:$B$5000)/('Input Transaksi'!$B$5:$B$5000="MONANG MANING"),ROWS($E$5:E508)),"")</f>
        <v/>
      </c>
      <c r="F508" s="5" t="n"/>
    </row>
    <row r="509">
      <c r="A509" s="10">
        <f>IF($E509="","",INDEX('Input Transaksi'!$A:$A,$E509))</f>
        <v/>
      </c>
      <c r="B509" s="5">
        <f>IF($E509="","",INDEX('Input Transaksi'!$D:$D,$E509))</f>
        <v/>
      </c>
      <c r="C509">
        <f>IF($E509="","",INDEX('Input Transaksi'!$E:$E,$E509))</f>
        <v/>
      </c>
      <c r="D509" s="5">
        <f>IF($E509="","",INDEX('Input Transaksi'!$F:$F,$E509))</f>
        <v/>
      </c>
      <c r="E509">
        <f>IFERROR(AGGREGATE(15,6,ROW('Input Transaksi'!$B$5:$B$5000)/('Input Transaksi'!$B$5:$B$5000="MONANG MANING"),ROWS($E$5:E509)),"")</f>
        <v/>
      </c>
      <c r="F509" s="5" t="n"/>
    </row>
    <row r="510">
      <c r="A510" s="10">
        <f>IF($E510="","",INDEX('Input Transaksi'!$A:$A,$E510))</f>
        <v/>
      </c>
      <c r="B510" s="5">
        <f>IF($E510="","",INDEX('Input Transaksi'!$D:$D,$E510))</f>
        <v/>
      </c>
      <c r="C510">
        <f>IF($E510="","",INDEX('Input Transaksi'!$E:$E,$E510))</f>
        <v/>
      </c>
      <c r="D510" s="5">
        <f>IF($E510="","",INDEX('Input Transaksi'!$F:$F,$E510))</f>
        <v/>
      </c>
      <c r="E510">
        <f>IFERROR(AGGREGATE(15,6,ROW('Input Transaksi'!$B$5:$B$5000)/('Input Transaksi'!$B$5:$B$5000="MONANG MANING"),ROWS($E$5:E510)),"")</f>
        <v/>
      </c>
      <c r="F510" s="5" t="n"/>
    </row>
    <row r="511">
      <c r="A511" s="10">
        <f>IF($E511="","",INDEX('Input Transaksi'!$A:$A,$E511))</f>
        <v/>
      </c>
      <c r="B511" s="5">
        <f>IF($E511="","",INDEX('Input Transaksi'!$D:$D,$E511))</f>
        <v/>
      </c>
      <c r="C511">
        <f>IF($E511="","",INDEX('Input Transaksi'!$E:$E,$E511))</f>
        <v/>
      </c>
      <c r="D511" s="5">
        <f>IF($E511="","",INDEX('Input Transaksi'!$F:$F,$E511))</f>
        <v/>
      </c>
      <c r="E511">
        <f>IFERROR(AGGREGATE(15,6,ROW('Input Transaksi'!$B$5:$B$5000)/('Input Transaksi'!$B$5:$B$5000="MONANG MANING"),ROWS($E$5:E511)),"")</f>
        <v/>
      </c>
      <c r="F511" s="5" t="n"/>
    </row>
    <row r="512">
      <c r="A512" s="10">
        <f>IF($E512="","",INDEX('Input Transaksi'!$A:$A,$E512))</f>
        <v/>
      </c>
      <c r="B512" s="5">
        <f>IF($E512="","",INDEX('Input Transaksi'!$D:$D,$E512))</f>
        <v/>
      </c>
      <c r="C512">
        <f>IF($E512="","",INDEX('Input Transaksi'!$E:$E,$E512))</f>
        <v/>
      </c>
      <c r="D512" s="5">
        <f>IF($E512="","",INDEX('Input Transaksi'!$F:$F,$E512))</f>
        <v/>
      </c>
      <c r="E512">
        <f>IFERROR(AGGREGATE(15,6,ROW('Input Transaksi'!$B$5:$B$5000)/('Input Transaksi'!$B$5:$B$5000="MONANG MANING"),ROWS($E$5:E512)),"")</f>
        <v/>
      </c>
      <c r="F512" s="5" t="n"/>
    </row>
    <row r="513">
      <c r="A513" s="10">
        <f>IF($E513="","",INDEX('Input Transaksi'!$A:$A,$E513))</f>
        <v/>
      </c>
      <c r="B513" s="5">
        <f>IF($E513="","",INDEX('Input Transaksi'!$D:$D,$E513))</f>
        <v/>
      </c>
      <c r="C513">
        <f>IF($E513="","",INDEX('Input Transaksi'!$E:$E,$E513))</f>
        <v/>
      </c>
      <c r="D513" s="5">
        <f>IF($E513="","",INDEX('Input Transaksi'!$F:$F,$E513))</f>
        <v/>
      </c>
      <c r="E513">
        <f>IFERROR(AGGREGATE(15,6,ROW('Input Transaksi'!$B$5:$B$5000)/('Input Transaksi'!$B$5:$B$5000="MONANG MANING"),ROWS($E$5:E513)),"")</f>
        <v/>
      </c>
      <c r="F513" s="5" t="n"/>
    </row>
    <row r="514">
      <c r="A514" s="10">
        <f>IF($E514="","",INDEX('Input Transaksi'!$A:$A,$E514))</f>
        <v/>
      </c>
      <c r="B514" s="5">
        <f>IF($E514="","",INDEX('Input Transaksi'!$D:$D,$E514))</f>
        <v/>
      </c>
      <c r="C514">
        <f>IF($E514="","",INDEX('Input Transaksi'!$E:$E,$E514))</f>
        <v/>
      </c>
      <c r="D514" s="5">
        <f>IF($E514="","",INDEX('Input Transaksi'!$F:$F,$E514))</f>
        <v/>
      </c>
      <c r="E514">
        <f>IFERROR(AGGREGATE(15,6,ROW('Input Transaksi'!$B$5:$B$5000)/('Input Transaksi'!$B$5:$B$5000="MONANG MANING"),ROWS($E$5:E514)),"")</f>
        <v/>
      </c>
      <c r="F514" s="5" t="n"/>
    </row>
    <row r="515">
      <c r="A515" s="10">
        <f>IF($E515="","",INDEX('Input Transaksi'!$A:$A,$E515))</f>
        <v/>
      </c>
      <c r="B515" s="5">
        <f>IF($E515="","",INDEX('Input Transaksi'!$D:$D,$E515))</f>
        <v/>
      </c>
      <c r="C515">
        <f>IF($E515="","",INDEX('Input Transaksi'!$E:$E,$E515))</f>
        <v/>
      </c>
      <c r="D515" s="5">
        <f>IF($E515="","",INDEX('Input Transaksi'!$F:$F,$E515))</f>
        <v/>
      </c>
      <c r="E515">
        <f>IFERROR(AGGREGATE(15,6,ROW('Input Transaksi'!$B$5:$B$5000)/('Input Transaksi'!$B$5:$B$5000="MONANG MANING"),ROWS($E$5:E515)),"")</f>
        <v/>
      </c>
      <c r="F515" s="5" t="n"/>
    </row>
    <row r="516">
      <c r="A516" s="10">
        <f>IF($E516="","",INDEX('Input Transaksi'!$A:$A,$E516))</f>
        <v/>
      </c>
      <c r="B516" s="5">
        <f>IF($E516="","",INDEX('Input Transaksi'!$D:$D,$E516))</f>
        <v/>
      </c>
      <c r="C516">
        <f>IF($E516="","",INDEX('Input Transaksi'!$E:$E,$E516))</f>
        <v/>
      </c>
      <c r="D516" s="5">
        <f>IF($E516="","",INDEX('Input Transaksi'!$F:$F,$E516))</f>
        <v/>
      </c>
      <c r="E516">
        <f>IFERROR(AGGREGATE(15,6,ROW('Input Transaksi'!$B$5:$B$5000)/('Input Transaksi'!$B$5:$B$5000="MONANG MANING"),ROWS($E$5:E516)),"")</f>
        <v/>
      </c>
      <c r="F516" s="5" t="n"/>
    </row>
    <row r="517">
      <c r="A517" s="10">
        <f>IF($E517="","",INDEX('Input Transaksi'!$A:$A,$E517))</f>
        <v/>
      </c>
      <c r="B517" s="5">
        <f>IF($E517="","",INDEX('Input Transaksi'!$D:$D,$E517))</f>
        <v/>
      </c>
      <c r="C517">
        <f>IF($E517="","",INDEX('Input Transaksi'!$E:$E,$E517))</f>
        <v/>
      </c>
      <c r="D517" s="5">
        <f>IF($E517="","",INDEX('Input Transaksi'!$F:$F,$E517))</f>
        <v/>
      </c>
      <c r="E517">
        <f>IFERROR(AGGREGATE(15,6,ROW('Input Transaksi'!$B$5:$B$5000)/('Input Transaksi'!$B$5:$B$5000="MONANG MANING"),ROWS($E$5:E517)),"")</f>
        <v/>
      </c>
      <c r="F517" s="5" t="n"/>
    </row>
    <row r="518">
      <c r="A518" s="10">
        <f>IF($E518="","",INDEX('Input Transaksi'!$A:$A,$E518))</f>
        <v/>
      </c>
      <c r="B518" s="5">
        <f>IF($E518="","",INDEX('Input Transaksi'!$D:$D,$E518))</f>
        <v/>
      </c>
      <c r="C518">
        <f>IF($E518="","",INDEX('Input Transaksi'!$E:$E,$E518))</f>
        <v/>
      </c>
      <c r="D518" s="5">
        <f>IF($E518="","",INDEX('Input Transaksi'!$F:$F,$E518))</f>
        <v/>
      </c>
      <c r="E518">
        <f>IFERROR(AGGREGATE(15,6,ROW('Input Transaksi'!$B$5:$B$5000)/('Input Transaksi'!$B$5:$B$5000="MONANG MANING"),ROWS($E$5:E518)),"")</f>
        <v/>
      </c>
      <c r="F518" s="5" t="n"/>
    </row>
    <row r="519">
      <c r="A519" s="10">
        <f>IF($E519="","",INDEX('Input Transaksi'!$A:$A,$E519))</f>
        <v/>
      </c>
      <c r="B519" s="5">
        <f>IF($E519="","",INDEX('Input Transaksi'!$D:$D,$E519))</f>
        <v/>
      </c>
      <c r="C519">
        <f>IF($E519="","",INDEX('Input Transaksi'!$E:$E,$E519))</f>
        <v/>
      </c>
      <c r="D519" s="5">
        <f>IF($E519="","",INDEX('Input Transaksi'!$F:$F,$E519))</f>
        <v/>
      </c>
      <c r="E519">
        <f>IFERROR(AGGREGATE(15,6,ROW('Input Transaksi'!$B$5:$B$5000)/('Input Transaksi'!$B$5:$B$5000="MONANG MANING"),ROWS($E$5:E519)),"")</f>
        <v/>
      </c>
      <c r="F519" s="5" t="n"/>
    </row>
    <row r="520">
      <c r="A520" s="10">
        <f>IF($E520="","",INDEX('Input Transaksi'!$A:$A,$E520))</f>
        <v/>
      </c>
      <c r="B520" s="5">
        <f>IF($E520="","",INDEX('Input Transaksi'!$D:$D,$E520))</f>
        <v/>
      </c>
      <c r="C520">
        <f>IF($E520="","",INDEX('Input Transaksi'!$E:$E,$E520))</f>
        <v/>
      </c>
      <c r="D520" s="5">
        <f>IF($E520="","",INDEX('Input Transaksi'!$F:$F,$E520))</f>
        <v/>
      </c>
      <c r="E520">
        <f>IFERROR(AGGREGATE(15,6,ROW('Input Transaksi'!$B$5:$B$5000)/('Input Transaksi'!$B$5:$B$5000="MONANG MANING"),ROWS($E$5:E520)),"")</f>
        <v/>
      </c>
      <c r="F520" s="5" t="n"/>
    </row>
    <row r="521">
      <c r="A521" s="10">
        <f>IF($E521="","",INDEX('Input Transaksi'!$A:$A,$E521))</f>
        <v/>
      </c>
      <c r="B521" s="5">
        <f>IF($E521="","",INDEX('Input Transaksi'!$D:$D,$E521))</f>
        <v/>
      </c>
      <c r="C521">
        <f>IF($E521="","",INDEX('Input Transaksi'!$E:$E,$E521))</f>
        <v/>
      </c>
      <c r="D521" s="5">
        <f>IF($E521="","",INDEX('Input Transaksi'!$F:$F,$E521))</f>
        <v/>
      </c>
      <c r="E521">
        <f>IFERROR(AGGREGATE(15,6,ROW('Input Transaksi'!$B$5:$B$5000)/('Input Transaksi'!$B$5:$B$5000="MONANG MANING"),ROWS($E$5:E521)),"")</f>
        <v/>
      </c>
      <c r="F521" s="5" t="n"/>
    </row>
    <row r="522">
      <c r="A522" s="10">
        <f>IF($E522="","",INDEX('Input Transaksi'!$A:$A,$E522))</f>
        <v/>
      </c>
      <c r="B522" s="5">
        <f>IF($E522="","",INDEX('Input Transaksi'!$D:$D,$E522))</f>
        <v/>
      </c>
      <c r="C522">
        <f>IF($E522="","",INDEX('Input Transaksi'!$E:$E,$E522))</f>
        <v/>
      </c>
      <c r="D522" s="5">
        <f>IF($E522="","",INDEX('Input Transaksi'!$F:$F,$E522))</f>
        <v/>
      </c>
      <c r="E522">
        <f>IFERROR(AGGREGATE(15,6,ROW('Input Transaksi'!$B$5:$B$5000)/('Input Transaksi'!$B$5:$B$5000="MONANG MANING"),ROWS($E$5:E522)),"")</f>
        <v/>
      </c>
      <c r="F522" s="5" t="n"/>
    </row>
    <row r="523">
      <c r="A523" s="10">
        <f>IF($E523="","",INDEX('Input Transaksi'!$A:$A,$E523))</f>
        <v/>
      </c>
      <c r="B523" s="5">
        <f>IF($E523="","",INDEX('Input Transaksi'!$D:$D,$E523))</f>
        <v/>
      </c>
      <c r="C523">
        <f>IF($E523="","",INDEX('Input Transaksi'!$E:$E,$E523))</f>
        <v/>
      </c>
      <c r="D523" s="5">
        <f>IF($E523="","",INDEX('Input Transaksi'!$F:$F,$E523))</f>
        <v/>
      </c>
      <c r="E523">
        <f>IFERROR(AGGREGATE(15,6,ROW('Input Transaksi'!$B$5:$B$5000)/('Input Transaksi'!$B$5:$B$5000="MONANG MANING"),ROWS($E$5:E523)),"")</f>
        <v/>
      </c>
      <c r="F523" s="5" t="n"/>
    </row>
    <row r="524">
      <c r="A524" s="10">
        <f>IF($E524="","",INDEX('Input Transaksi'!$A:$A,$E524))</f>
        <v/>
      </c>
      <c r="B524" s="5">
        <f>IF($E524="","",INDEX('Input Transaksi'!$D:$D,$E524))</f>
        <v/>
      </c>
      <c r="C524">
        <f>IF($E524="","",INDEX('Input Transaksi'!$E:$E,$E524))</f>
        <v/>
      </c>
      <c r="D524" s="5">
        <f>IF($E524="","",INDEX('Input Transaksi'!$F:$F,$E524))</f>
        <v/>
      </c>
      <c r="E524">
        <f>IFERROR(AGGREGATE(15,6,ROW('Input Transaksi'!$B$5:$B$5000)/('Input Transaksi'!$B$5:$B$5000="MONANG MANING"),ROWS($E$5:E524)),"")</f>
        <v/>
      </c>
      <c r="F524" s="5" t="n"/>
    </row>
    <row r="525">
      <c r="A525" s="10">
        <f>IF($E525="","",INDEX('Input Transaksi'!$A:$A,$E525))</f>
        <v/>
      </c>
      <c r="B525" s="5">
        <f>IF($E525="","",INDEX('Input Transaksi'!$D:$D,$E525))</f>
        <v/>
      </c>
      <c r="C525">
        <f>IF($E525="","",INDEX('Input Transaksi'!$E:$E,$E525))</f>
        <v/>
      </c>
      <c r="D525" s="5">
        <f>IF($E525="","",INDEX('Input Transaksi'!$F:$F,$E525))</f>
        <v/>
      </c>
      <c r="E525">
        <f>IFERROR(AGGREGATE(15,6,ROW('Input Transaksi'!$B$5:$B$5000)/('Input Transaksi'!$B$5:$B$5000="MONANG MANING"),ROWS($E$5:E525)),"")</f>
        <v/>
      </c>
      <c r="F525" s="5" t="n"/>
    </row>
    <row r="526">
      <c r="A526" s="10">
        <f>IF($E526="","",INDEX('Input Transaksi'!$A:$A,$E526))</f>
        <v/>
      </c>
      <c r="B526" s="5">
        <f>IF($E526="","",INDEX('Input Transaksi'!$D:$D,$E526))</f>
        <v/>
      </c>
      <c r="C526">
        <f>IF($E526="","",INDEX('Input Transaksi'!$E:$E,$E526))</f>
        <v/>
      </c>
      <c r="D526" s="5">
        <f>IF($E526="","",INDEX('Input Transaksi'!$F:$F,$E526))</f>
        <v/>
      </c>
      <c r="E526">
        <f>IFERROR(AGGREGATE(15,6,ROW('Input Transaksi'!$B$5:$B$5000)/('Input Transaksi'!$B$5:$B$5000="MONANG MANING"),ROWS($E$5:E526)),"")</f>
        <v/>
      </c>
      <c r="F526" s="5" t="n"/>
    </row>
    <row r="527">
      <c r="A527" s="10">
        <f>IF($E527="","",INDEX('Input Transaksi'!$A:$A,$E527))</f>
        <v/>
      </c>
      <c r="B527" s="5">
        <f>IF($E527="","",INDEX('Input Transaksi'!$D:$D,$E527))</f>
        <v/>
      </c>
      <c r="C527">
        <f>IF($E527="","",INDEX('Input Transaksi'!$E:$E,$E527))</f>
        <v/>
      </c>
      <c r="D527" s="5">
        <f>IF($E527="","",INDEX('Input Transaksi'!$F:$F,$E527))</f>
        <v/>
      </c>
      <c r="E527">
        <f>IFERROR(AGGREGATE(15,6,ROW('Input Transaksi'!$B$5:$B$5000)/('Input Transaksi'!$B$5:$B$5000="MONANG MANING"),ROWS($E$5:E527)),"")</f>
        <v/>
      </c>
      <c r="F527" s="5" t="n"/>
    </row>
    <row r="528">
      <c r="A528" s="10">
        <f>IF($E528="","",INDEX('Input Transaksi'!$A:$A,$E528))</f>
        <v/>
      </c>
      <c r="B528" s="5">
        <f>IF($E528="","",INDEX('Input Transaksi'!$D:$D,$E528))</f>
        <v/>
      </c>
      <c r="C528">
        <f>IF($E528="","",INDEX('Input Transaksi'!$E:$E,$E528))</f>
        <v/>
      </c>
      <c r="D528" s="5">
        <f>IF($E528="","",INDEX('Input Transaksi'!$F:$F,$E528))</f>
        <v/>
      </c>
      <c r="E528">
        <f>IFERROR(AGGREGATE(15,6,ROW('Input Transaksi'!$B$5:$B$5000)/('Input Transaksi'!$B$5:$B$5000="MONANG MANING"),ROWS($E$5:E528)),"")</f>
        <v/>
      </c>
      <c r="F528" s="5" t="n"/>
    </row>
    <row r="529">
      <c r="A529" s="10">
        <f>IF($E529="","",INDEX('Input Transaksi'!$A:$A,$E529))</f>
        <v/>
      </c>
      <c r="B529" s="5">
        <f>IF($E529="","",INDEX('Input Transaksi'!$D:$D,$E529))</f>
        <v/>
      </c>
      <c r="C529">
        <f>IF($E529="","",INDEX('Input Transaksi'!$E:$E,$E529))</f>
        <v/>
      </c>
      <c r="D529" s="5">
        <f>IF($E529="","",INDEX('Input Transaksi'!$F:$F,$E529))</f>
        <v/>
      </c>
      <c r="E529">
        <f>IFERROR(AGGREGATE(15,6,ROW('Input Transaksi'!$B$5:$B$5000)/('Input Transaksi'!$B$5:$B$5000="MONANG MANING"),ROWS($E$5:E529)),"")</f>
        <v/>
      </c>
      <c r="F529" s="5" t="n"/>
    </row>
    <row r="530">
      <c r="A530" s="10">
        <f>IF($E530="","",INDEX('Input Transaksi'!$A:$A,$E530))</f>
        <v/>
      </c>
      <c r="B530" s="5">
        <f>IF($E530="","",INDEX('Input Transaksi'!$D:$D,$E530))</f>
        <v/>
      </c>
      <c r="C530">
        <f>IF($E530="","",INDEX('Input Transaksi'!$E:$E,$E530))</f>
        <v/>
      </c>
      <c r="D530" s="5">
        <f>IF($E530="","",INDEX('Input Transaksi'!$F:$F,$E530))</f>
        <v/>
      </c>
      <c r="E530">
        <f>IFERROR(AGGREGATE(15,6,ROW('Input Transaksi'!$B$5:$B$5000)/('Input Transaksi'!$B$5:$B$5000="MONANG MANING"),ROWS($E$5:E530)),"")</f>
        <v/>
      </c>
      <c r="F530" s="5" t="n"/>
    </row>
    <row r="531">
      <c r="A531" s="10">
        <f>IF($E531="","",INDEX('Input Transaksi'!$A:$A,$E531))</f>
        <v/>
      </c>
      <c r="B531" s="5">
        <f>IF($E531="","",INDEX('Input Transaksi'!$D:$D,$E531))</f>
        <v/>
      </c>
      <c r="C531">
        <f>IF($E531="","",INDEX('Input Transaksi'!$E:$E,$E531))</f>
        <v/>
      </c>
      <c r="D531" s="5">
        <f>IF($E531="","",INDEX('Input Transaksi'!$F:$F,$E531))</f>
        <v/>
      </c>
      <c r="E531">
        <f>IFERROR(AGGREGATE(15,6,ROW('Input Transaksi'!$B$5:$B$5000)/('Input Transaksi'!$B$5:$B$5000="MONANG MANING"),ROWS($E$5:E531)),"")</f>
        <v/>
      </c>
      <c r="F531" s="5" t="n"/>
    </row>
    <row r="532">
      <c r="A532" s="10">
        <f>IF($E532="","",INDEX('Input Transaksi'!$A:$A,$E532))</f>
        <v/>
      </c>
      <c r="B532" s="5">
        <f>IF($E532="","",INDEX('Input Transaksi'!$D:$D,$E532))</f>
        <v/>
      </c>
      <c r="C532">
        <f>IF($E532="","",INDEX('Input Transaksi'!$E:$E,$E532))</f>
        <v/>
      </c>
      <c r="D532" s="5">
        <f>IF($E532="","",INDEX('Input Transaksi'!$F:$F,$E532))</f>
        <v/>
      </c>
      <c r="E532">
        <f>IFERROR(AGGREGATE(15,6,ROW('Input Transaksi'!$B$5:$B$5000)/('Input Transaksi'!$B$5:$B$5000="MONANG MANING"),ROWS($E$5:E532)),"")</f>
        <v/>
      </c>
      <c r="F532" s="5" t="n"/>
    </row>
    <row r="533">
      <c r="A533" s="10">
        <f>IF($E533="","",INDEX('Input Transaksi'!$A:$A,$E533))</f>
        <v/>
      </c>
      <c r="B533" s="5">
        <f>IF($E533="","",INDEX('Input Transaksi'!$D:$D,$E533))</f>
        <v/>
      </c>
      <c r="C533">
        <f>IF($E533="","",INDEX('Input Transaksi'!$E:$E,$E533))</f>
        <v/>
      </c>
      <c r="D533" s="5">
        <f>IF($E533="","",INDEX('Input Transaksi'!$F:$F,$E533))</f>
        <v/>
      </c>
      <c r="E533">
        <f>IFERROR(AGGREGATE(15,6,ROW('Input Transaksi'!$B$5:$B$5000)/('Input Transaksi'!$B$5:$B$5000="MONANG MANING"),ROWS($E$5:E533)),"")</f>
        <v/>
      </c>
      <c r="F533" s="5" t="n"/>
    </row>
    <row r="534">
      <c r="A534" s="10">
        <f>IF($E534="","",INDEX('Input Transaksi'!$A:$A,$E534))</f>
        <v/>
      </c>
      <c r="B534" s="5">
        <f>IF($E534="","",INDEX('Input Transaksi'!$D:$D,$E534))</f>
        <v/>
      </c>
      <c r="C534">
        <f>IF($E534="","",INDEX('Input Transaksi'!$E:$E,$E534))</f>
        <v/>
      </c>
      <c r="D534" s="5">
        <f>IF($E534="","",INDEX('Input Transaksi'!$F:$F,$E534))</f>
        <v/>
      </c>
      <c r="E534">
        <f>IFERROR(AGGREGATE(15,6,ROW('Input Transaksi'!$B$5:$B$5000)/('Input Transaksi'!$B$5:$B$5000="MONANG MANING"),ROWS($E$5:E534)),"")</f>
        <v/>
      </c>
      <c r="F534" s="5" t="n"/>
    </row>
    <row r="535">
      <c r="A535" s="10">
        <f>IF($E535="","",INDEX('Input Transaksi'!$A:$A,$E535))</f>
        <v/>
      </c>
      <c r="B535" s="5">
        <f>IF($E535="","",INDEX('Input Transaksi'!$D:$D,$E535))</f>
        <v/>
      </c>
      <c r="C535">
        <f>IF($E535="","",INDEX('Input Transaksi'!$E:$E,$E535))</f>
        <v/>
      </c>
      <c r="D535" s="5">
        <f>IF($E535="","",INDEX('Input Transaksi'!$F:$F,$E535))</f>
        <v/>
      </c>
      <c r="E535">
        <f>IFERROR(AGGREGATE(15,6,ROW('Input Transaksi'!$B$5:$B$5000)/('Input Transaksi'!$B$5:$B$5000="MONANG MANING"),ROWS($E$5:E535)),"")</f>
        <v/>
      </c>
      <c r="F535" s="5" t="n"/>
    </row>
    <row r="536">
      <c r="A536" s="10">
        <f>IF($E536="","",INDEX('Input Transaksi'!$A:$A,$E536))</f>
        <v/>
      </c>
      <c r="B536" s="5">
        <f>IF($E536="","",INDEX('Input Transaksi'!$D:$D,$E536))</f>
        <v/>
      </c>
      <c r="C536">
        <f>IF($E536="","",INDEX('Input Transaksi'!$E:$E,$E536))</f>
        <v/>
      </c>
      <c r="D536" s="5">
        <f>IF($E536="","",INDEX('Input Transaksi'!$F:$F,$E536))</f>
        <v/>
      </c>
      <c r="E536">
        <f>IFERROR(AGGREGATE(15,6,ROW('Input Transaksi'!$B$5:$B$5000)/('Input Transaksi'!$B$5:$B$5000="MONANG MANING"),ROWS($E$5:E536)),"")</f>
        <v/>
      </c>
      <c r="F536" s="5" t="n"/>
    </row>
    <row r="537">
      <c r="A537" s="10">
        <f>IF($E537="","",INDEX('Input Transaksi'!$A:$A,$E537))</f>
        <v/>
      </c>
      <c r="B537" s="5">
        <f>IF($E537="","",INDEX('Input Transaksi'!$D:$D,$E537))</f>
        <v/>
      </c>
      <c r="C537">
        <f>IF($E537="","",INDEX('Input Transaksi'!$E:$E,$E537))</f>
        <v/>
      </c>
      <c r="D537" s="5">
        <f>IF($E537="","",INDEX('Input Transaksi'!$F:$F,$E537))</f>
        <v/>
      </c>
      <c r="E537">
        <f>IFERROR(AGGREGATE(15,6,ROW('Input Transaksi'!$B$5:$B$5000)/('Input Transaksi'!$B$5:$B$5000="MONANG MANING"),ROWS($E$5:E537)),"")</f>
        <v/>
      </c>
      <c r="F537" s="5" t="n"/>
    </row>
    <row r="538">
      <c r="A538" s="10">
        <f>IF($E538="","",INDEX('Input Transaksi'!$A:$A,$E538))</f>
        <v/>
      </c>
      <c r="B538" s="5">
        <f>IF($E538="","",INDEX('Input Transaksi'!$D:$D,$E538))</f>
        <v/>
      </c>
      <c r="C538">
        <f>IF($E538="","",INDEX('Input Transaksi'!$E:$E,$E538))</f>
        <v/>
      </c>
      <c r="D538" s="5">
        <f>IF($E538="","",INDEX('Input Transaksi'!$F:$F,$E538))</f>
        <v/>
      </c>
      <c r="E538">
        <f>IFERROR(AGGREGATE(15,6,ROW('Input Transaksi'!$B$5:$B$5000)/('Input Transaksi'!$B$5:$B$5000="MONANG MANING"),ROWS($E$5:E538)),"")</f>
        <v/>
      </c>
      <c r="F538" s="5" t="n"/>
    </row>
    <row r="539">
      <c r="A539" s="10">
        <f>IF($E539="","",INDEX('Input Transaksi'!$A:$A,$E539))</f>
        <v/>
      </c>
      <c r="B539" s="5">
        <f>IF($E539="","",INDEX('Input Transaksi'!$D:$D,$E539))</f>
        <v/>
      </c>
      <c r="C539">
        <f>IF($E539="","",INDEX('Input Transaksi'!$E:$E,$E539))</f>
        <v/>
      </c>
      <c r="D539" s="5">
        <f>IF($E539="","",INDEX('Input Transaksi'!$F:$F,$E539))</f>
        <v/>
      </c>
      <c r="E539">
        <f>IFERROR(AGGREGATE(15,6,ROW('Input Transaksi'!$B$5:$B$5000)/('Input Transaksi'!$B$5:$B$5000="MONANG MANING"),ROWS($E$5:E539)),"")</f>
        <v/>
      </c>
      <c r="F539" s="5" t="n"/>
    </row>
    <row r="540">
      <c r="A540" s="10">
        <f>IF($E540="","",INDEX('Input Transaksi'!$A:$A,$E540))</f>
        <v/>
      </c>
      <c r="B540" s="5">
        <f>IF($E540="","",INDEX('Input Transaksi'!$D:$D,$E540))</f>
        <v/>
      </c>
      <c r="C540">
        <f>IF($E540="","",INDEX('Input Transaksi'!$E:$E,$E540))</f>
        <v/>
      </c>
      <c r="D540" s="5">
        <f>IF($E540="","",INDEX('Input Transaksi'!$F:$F,$E540))</f>
        <v/>
      </c>
      <c r="E540">
        <f>IFERROR(AGGREGATE(15,6,ROW('Input Transaksi'!$B$5:$B$5000)/('Input Transaksi'!$B$5:$B$5000="MONANG MANING"),ROWS($E$5:E540)),"")</f>
        <v/>
      </c>
      <c r="F540" s="5" t="n"/>
    </row>
    <row r="541">
      <c r="A541" s="10">
        <f>IF($E541="","",INDEX('Input Transaksi'!$A:$A,$E541))</f>
        <v/>
      </c>
      <c r="B541" s="5">
        <f>IF($E541="","",INDEX('Input Transaksi'!$D:$D,$E541))</f>
        <v/>
      </c>
      <c r="C541">
        <f>IF($E541="","",INDEX('Input Transaksi'!$E:$E,$E541))</f>
        <v/>
      </c>
      <c r="D541" s="5">
        <f>IF($E541="","",INDEX('Input Transaksi'!$F:$F,$E541))</f>
        <v/>
      </c>
      <c r="E541">
        <f>IFERROR(AGGREGATE(15,6,ROW('Input Transaksi'!$B$5:$B$5000)/('Input Transaksi'!$B$5:$B$5000="MONANG MANING"),ROWS($E$5:E541)),"")</f>
        <v/>
      </c>
      <c r="F541" s="5" t="n"/>
    </row>
    <row r="542">
      <c r="A542" s="10">
        <f>IF($E542="","",INDEX('Input Transaksi'!$A:$A,$E542))</f>
        <v/>
      </c>
      <c r="B542" s="5">
        <f>IF($E542="","",INDEX('Input Transaksi'!$D:$D,$E542))</f>
        <v/>
      </c>
      <c r="C542">
        <f>IF($E542="","",INDEX('Input Transaksi'!$E:$E,$E542))</f>
        <v/>
      </c>
      <c r="D542" s="5">
        <f>IF($E542="","",INDEX('Input Transaksi'!$F:$F,$E542))</f>
        <v/>
      </c>
      <c r="E542">
        <f>IFERROR(AGGREGATE(15,6,ROW('Input Transaksi'!$B$5:$B$5000)/('Input Transaksi'!$B$5:$B$5000="MONANG MANING"),ROWS($E$5:E542)),"")</f>
        <v/>
      </c>
      <c r="F542" s="5" t="n"/>
    </row>
    <row r="543">
      <c r="A543" s="10">
        <f>IF($E543="","",INDEX('Input Transaksi'!$A:$A,$E543))</f>
        <v/>
      </c>
      <c r="B543" s="5">
        <f>IF($E543="","",INDEX('Input Transaksi'!$D:$D,$E543))</f>
        <v/>
      </c>
      <c r="C543">
        <f>IF($E543="","",INDEX('Input Transaksi'!$E:$E,$E543))</f>
        <v/>
      </c>
      <c r="D543" s="5">
        <f>IF($E543="","",INDEX('Input Transaksi'!$F:$F,$E543))</f>
        <v/>
      </c>
      <c r="E543">
        <f>IFERROR(AGGREGATE(15,6,ROW('Input Transaksi'!$B$5:$B$5000)/('Input Transaksi'!$B$5:$B$5000="MONANG MANING"),ROWS($E$5:E543)),"")</f>
        <v/>
      </c>
      <c r="F543" s="5" t="n"/>
    </row>
    <row r="544">
      <c r="A544" s="10">
        <f>IF($E544="","",INDEX('Input Transaksi'!$A:$A,$E544))</f>
        <v/>
      </c>
      <c r="B544" s="5">
        <f>IF($E544="","",INDEX('Input Transaksi'!$D:$D,$E544))</f>
        <v/>
      </c>
      <c r="C544">
        <f>IF($E544="","",INDEX('Input Transaksi'!$E:$E,$E544))</f>
        <v/>
      </c>
      <c r="D544" s="5">
        <f>IF($E544="","",INDEX('Input Transaksi'!$F:$F,$E544))</f>
        <v/>
      </c>
      <c r="E544">
        <f>IFERROR(AGGREGATE(15,6,ROW('Input Transaksi'!$B$5:$B$5000)/('Input Transaksi'!$B$5:$B$5000="MONANG MANING"),ROWS($E$5:E544)),"")</f>
        <v/>
      </c>
      <c r="F544" s="5" t="n"/>
    </row>
    <row r="545">
      <c r="A545" s="10">
        <f>IF($E545="","",INDEX('Input Transaksi'!$A:$A,$E545))</f>
        <v/>
      </c>
      <c r="B545" s="5">
        <f>IF($E545="","",INDEX('Input Transaksi'!$D:$D,$E545))</f>
        <v/>
      </c>
      <c r="C545">
        <f>IF($E545="","",INDEX('Input Transaksi'!$E:$E,$E545))</f>
        <v/>
      </c>
      <c r="D545" s="5">
        <f>IF($E545="","",INDEX('Input Transaksi'!$F:$F,$E545))</f>
        <v/>
      </c>
      <c r="E545">
        <f>IFERROR(AGGREGATE(15,6,ROW('Input Transaksi'!$B$5:$B$5000)/('Input Transaksi'!$B$5:$B$5000="MONANG MANING"),ROWS($E$5:E545)),"")</f>
        <v/>
      </c>
      <c r="F545" s="5" t="n"/>
    </row>
    <row r="546">
      <c r="A546" s="10">
        <f>IF($E546="","",INDEX('Input Transaksi'!$A:$A,$E546))</f>
        <v/>
      </c>
      <c r="B546" s="5">
        <f>IF($E546="","",INDEX('Input Transaksi'!$D:$D,$E546))</f>
        <v/>
      </c>
      <c r="C546">
        <f>IF($E546="","",INDEX('Input Transaksi'!$E:$E,$E546))</f>
        <v/>
      </c>
      <c r="D546" s="5">
        <f>IF($E546="","",INDEX('Input Transaksi'!$F:$F,$E546))</f>
        <v/>
      </c>
      <c r="E546">
        <f>IFERROR(AGGREGATE(15,6,ROW('Input Transaksi'!$B$5:$B$5000)/('Input Transaksi'!$B$5:$B$5000="MONANG MANING"),ROWS($E$5:E546)),"")</f>
        <v/>
      </c>
      <c r="F546" s="5" t="n"/>
    </row>
    <row r="547">
      <c r="A547" s="10">
        <f>IF($E547="","",INDEX('Input Transaksi'!$A:$A,$E547))</f>
        <v/>
      </c>
      <c r="B547" s="5">
        <f>IF($E547="","",INDEX('Input Transaksi'!$D:$D,$E547))</f>
        <v/>
      </c>
      <c r="C547">
        <f>IF($E547="","",INDEX('Input Transaksi'!$E:$E,$E547))</f>
        <v/>
      </c>
      <c r="D547" s="5">
        <f>IF($E547="","",INDEX('Input Transaksi'!$F:$F,$E547))</f>
        <v/>
      </c>
      <c r="E547">
        <f>IFERROR(AGGREGATE(15,6,ROW('Input Transaksi'!$B$5:$B$5000)/('Input Transaksi'!$B$5:$B$5000="MONANG MANING"),ROWS($E$5:E547)),"")</f>
        <v/>
      </c>
      <c r="F547" s="5" t="n"/>
    </row>
    <row r="548">
      <c r="A548" s="10">
        <f>IF($E548="","",INDEX('Input Transaksi'!$A:$A,$E548))</f>
        <v/>
      </c>
      <c r="B548" s="5">
        <f>IF($E548="","",INDEX('Input Transaksi'!$D:$D,$E548))</f>
        <v/>
      </c>
      <c r="C548">
        <f>IF($E548="","",INDEX('Input Transaksi'!$E:$E,$E548))</f>
        <v/>
      </c>
      <c r="D548" s="5">
        <f>IF($E548="","",INDEX('Input Transaksi'!$F:$F,$E548))</f>
        <v/>
      </c>
      <c r="E548">
        <f>IFERROR(AGGREGATE(15,6,ROW('Input Transaksi'!$B$5:$B$5000)/('Input Transaksi'!$B$5:$B$5000="MONANG MANING"),ROWS($E$5:E548)),"")</f>
        <v/>
      </c>
      <c r="F548" s="5" t="n"/>
    </row>
    <row r="549">
      <c r="A549" s="10">
        <f>IF($E549="","",INDEX('Input Transaksi'!$A:$A,$E549))</f>
        <v/>
      </c>
      <c r="B549" s="5">
        <f>IF($E549="","",INDEX('Input Transaksi'!$D:$D,$E549))</f>
        <v/>
      </c>
      <c r="C549">
        <f>IF($E549="","",INDEX('Input Transaksi'!$E:$E,$E549))</f>
        <v/>
      </c>
      <c r="D549" s="5">
        <f>IF($E549="","",INDEX('Input Transaksi'!$F:$F,$E549))</f>
        <v/>
      </c>
      <c r="E549">
        <f>IFERROR(AGGREGATE(15,6,ROW('Input Transaksi'!$B$5:$B$5000)/('Input Transaksi'!$B$5:$B$5000="MONANG MANING"),ROWS($E$5:E549)),"")</f>
        <v/>
      </c>
      <c r="F549" s="5" t="n"/>
    </row>
    <row r="550">
      <c r="A550" s="10">
        <f>IF($E550="","",INDEX('Input Transaksi'!$A:$A,$E550))</f>
        <v/>
      </c>
      <c r="B550" s="5">
        <f>IF($E550="","",INDEX('Input Transaksi'!$D:$D,$E550))</f>
        <v/>
      </c>
      <c r="C550">
        <f>IF($E550="","",INDEX('Input Transaksi'!$E:$E,$E550))</f>
        <v/>
      </c>
      <c r="D550" s="5">
        <f>IF($E550="","",INDEX('Input Transaksi'!$F:$F,$E550))</f>
        <v/>
      </c>
      <c r="E550">
        <f>IFERROR(AGGREGATE(15,6,ROW('Input Transaksi'!$B$5:$B$5000)/('Input Transaksi'!$B$5:$B$5000="MONANG MANING"),ROWS($E$5:E550)),"")</f>
        <v/>
      </c>
      <c r="F550" s="5" t="n"/>
    </row>
    <row r="551">
      <c r="A551" s="10">
        <f>IF($E551="","",INDEX('Input Transaksi'!$A:$A,$E551))</f>
        <v/>
      </c>
      <c r="B551" s="5">
        <f>IF($E551="","",INDEX('Input Transaksi'!$D:$D,$E551))</f>
        <v/>
      </c>
      <c r="C551">
        <f>IF($E551="","",INDEX('Input Transaksi'!$E:$E,$E551))</f>
        <v/>
      </c>
      <c r="D551" s="5">
        <f>IF($E551="","",INDEX('Input Transaksi'!$F:$F,$E551))</f>
        <v/>
      </c>
      <c r="E551">
        <f>IFERROR(AGGREGATE(15,6,ROW('Input Transaksi'!$B$5:$B$5000)/('Input Transaksi'!$B$5:$B$5000="MONANG MANING"),ROWS($E$5:E551)),"")</f>
        <v/>
      </c>
      <c r="F551" s="5" t="n"/>
    </row>
    <row r="552">
      <c r="A552" s="10">
        <f>IF($E552="","",INDEX('Input Transaksi'!$A:$A,$E552))</f>
        <v/>
      </c>
      <c r="B552" s="5">
        <f>IF($E552="","",INDEX('Input Transaksi'!$D:$D,$E552))</f>
        <v/>
      </c>
      <c r="C552">
        <f>IF($E552="","",INDEX('Input Transaksi'!$E:$E,$E552))</f>
        <v/>
      </c>
      <c r="D552" s="5">
        <f>IF($E552="","",INDEX('Input Transaksi'!$F:$F,$E552))</f>
        <v/>
      </c>
      <c r="E552">
        <f>IFERROR(AGGREGATE(15,6,ROW('Input Transaksi'!$B$5:$B$5000)/('Input Transaksi'!$B$5:$B$5000="MONANG MANING"),ROWS($E$5:E552)),"")</f>
        <v/>
      </c>
      <c r="F552" s="5" t="n"/>
    </row>
    <row r="553">
      <c r="A553" s="10">
        <f>IF($E553="","",INDEX('Input Transaksi'!$A:$A,$E553))</f>
        <v/>
      </c>
      <c r="B553" s="5">
        <f>IF($E553="","",INDEX('Input Transaksi'!$D:$D,$E553))</f>
        <v/>
      </c>
      <c r="C553">
        <f>IF($E553="","",INDEX('Input Transaksi'!$E:$E,$E553))</f>
        <v/>
      </c>
      <c r="D553" s="5">
        <f>IF($E553="","",INDEX('Input Transaksi'!$F:$F,$E553))</f>
        <v/>
      </c>
      <c r="E553">
        <f>IFERROR(AGGREGATE(15,6,ROW('Input Transaksi'!$B$5:$B$5000)/('Input Transaksi'!$B$5:$B$5000="MONANG MANING"),ROWS($E$5:E553)),"")</f>
        <v/>
      </c>
      <c r="F553" s="5" t="n"/>
    </row>
    <row r="554">
      <c r="A554" s="10">
        <f>IF($E554="","",INDEX('Input Transaksi'!$A:$A,$E554))</f>
        <v/>
      </c>
      <c r="B554" s="5">
        <f>IF($E554="","",INDEX('Input Transaksi'!$D:$D,$E554))</f>
        <v/>
      </c>
      <c r="C554">
        <f>IF($E554="","",INDEX('Input Transaksi'!$E:$E,$E554))</f>
        <v/>
      </c>
      <c r="D554" s="5">
        <f>IF($E554="","",INDEX('Input Transaksi'!$F:$F,$E554))</f>
        <v/>
      </c>
      <c r="E554">
        <f>IFERROR(AGGREGATE(15,6,ROW('Input Transaksi'!$B$5:$B$5000)/('Input Transaksi'!$B$5:$B$5000="MONANG MANING"),ROWS($E$5:E554)),"")</f>
        <v/>
      </c>
      <c r="F554" s="5" t="n"/>
    </row>
    <row r="555">
      <c r="A555" s="10">
        <f>IF($E555="","",INDEX('Input Transaksi'!$A:$A,$E555))</f>
        <v/>
      </c>
      <c r="B555" s="5">
        <f>IF($E555="","",INDEX('Input Transaksi'!$D:$D,$E555))</f>
        <v/>
      </c>
      <c r="C555">
        <f>IF($E555="","",INDEX('Input Transaksi'!$E:$E,$E555))</f>
        <v/>
      </c>
      <c r="D555" s="5">
        <f>IF($E555="","",INDEX('Input Transaksi'!$F:$F,$E555))</f>
        <v/>
      </c>
      <c r="E555">
        <f>IFERROR(AGGREGATE(15,6,ROW('Input Transaksi'!$B$5:$B$5000)/('Input Transaksi'!$B$5:$B$5000="MONANG MANING"),ROWS($E$5:E555)),"")</f>
        <v/>
      </c>
      <c r="F555" s="5" t="n"/>
    </row>
    <row r="556">
      <c r="A556" s="10">
        <f>IF($E556="","",INDEX('Input Transaksi'!$A:$A,$E556))</f>
        <v/>
      </c>
      <c r="B556" s="5">
        <f>IF($E556="","",INDEX('Input Transaksi'!$D:$D,$E556))</f>
        <v/>
      </c>
      <c r="C556">
        <f>IF($E556="","",INDEX('Input Transaksi'!$E:$E,$E556))</f>
        <v/>
      </c>
      <c r="D556" s="5">
        <f>IF($E556="","",INDEX('Input Transaksi'!$F:$F,$E556))</f>
        <v/>
      </c>
      <c r="E556">
        <f>IFERROR(AGGREGATE(15,6,ROW('Input Transaksi'!$B$5:$B$5000)/('Input Transaksi'!$B$5:$B$5000="MONANG MANING"),ROWS($E$5:E556)),"")</f>
        <v/>
      </c>
      <c r="F556" s="5" t="n"/>
    </row>
    <row r="557">
      <c r="A557" s="10">
        <f>IF($E557="","",INDEX('Input Transaksi'!$A:$A,$E557))</f>
        <v/>
      </c>
      <c r="B557" s="5">
        <f>IF($E557="","",INDEX('Input Transaksi'!$D:$D,$E557))</f>
        <v/>
      </c>
      <c r="C557">
        <f>IF($E557="","",INDEX('Input Transaksi'!$E:$E,$E557))</f>
        <v/>
      </c>
      <c r="D557" s="5">
        <f>IF($E557="","",INDEX('Input Transaksi'!$F:$F,$E557))</f>
        <v/>
      </c>
      <c r="E557">
        <f>IFERROR(AGGREGATE(15,6,ROW('Input Transaksi'!$B$5:$B$5000)/('Input Transaksi'!$B$5:$B$5000="MONANG MANING"),ROWS($E$5:E557)),"")</f>
        <v/>
      </c>
      <c r="F557" s="5" t="n"/>
    </row>
    <row r="558">
      <c r="A558" s="10">
        <f>IF($E558="","",INDEX('Input Transaksi'!$A:$A,$E558))</f>
        <v/>
      </c>
      <c r="B558" s="5">
        <f>IF($E558="","",INDEX('Input Transaksi'!$D:$D,$E558))</f>
        <v/>
      </c>
      <c r="C558">
        <f>IF($E558="","",INDEX('Input Transaksi'!$E:$E,$E558))</f>
        <v/>
      </c>
      <c r="D558" s="5">
        <f>IF($E558="","",INDEX('Input Transaksi'!$F:$F,$E558))</f>
        <v/>
      </c>
      <c r="E558">
        <f>IFERROR(AGGREGATE(15,6,ROW('Input Transaksi'!$B$5:$B$5000)/('Input Transaksi'!$B$5:$B$5000="MONANG MANING"),ROWS($E$5:E558)),"")</f>
        <v/>
      </c>
      <c r="F558" s="5" t="n"/>
    </row>
    <row r="559">
      <c r="A559" s="10">
        <f>IF($E559="","",INDEX('Input Transaksi'!$A:$A,$E559))</f>
        <v/>
      </c>
      <c r="B559" s="5">
        <f>IF($E559="","",INDEX('Input Transaksi'!$D:$D,$E559))</f>
        <v/>
      </c>
      <c r="C559">
        <f>IF($E559="","",INDEX('Input Transaksi'!$E:$E,$E559))</f>
        <v/>
      </c>
      <c r="D559" s="5">
        <f>IF($E559="","",INDEX('Input Transaksi'!$F:$F,$E559))</f>
        <v/>
      </c>
      <c r="E559">
        <f>IFERROR(AGGREGATE(15,6,ROW('Input Transaksi'!$B$5:$B$5000)/('Input Transaksi'!$B$5:$B$5000="MONANG MANING"),ROWS($E$5:E559)),"")</f>
        <v/>
      </c>
      <c r="F559" s="5" t="n"/>
    </row>
    <row r="560">
      <c r="A560" s="10">
        <f>IF($E560="","",INDEX('Input Transaksi'!$A:$A,$E560))</f>
        <v/>
      </c>
      <c r="B560" s="5">
        <f>IF($E560="","",INDEX('Input Transaksi'!$D:$D,$E560))</f>
        <v/>
      </c>
      <c r="C560">
        <f>IF($E560="","",INDEX('Input Transaksi'!$E:$E,$E560))</f>
        <v/>
      </c>
      <c r="D560" s="5">
        <f>IF($E560="","",INDEX('Input Transaksi'!$F:$F,$E560))</f>
        <v/>
      </c>
      <c r="E560">
        <f>IFERROR(AGGREGATE(15,6,ROW('Input Transaksi'!$B$5:$B$5000)/('Input Transaksi'!$B$5:$B$5000="MONANG MANING"),ROWS($E$5:E560)),"")</f>
        <v/>
      </c>
      <c r="F560" s="5" t="n"/>
    </row>
    <row r="561">
      <c r="A561" s="10">
        <f>IF($E561="","",INDEX('Input Transaksi'!$A:$A,$E561))</f>
        <v/>
      </c>
      <c r="B561" s="5">
        <f>IF($E561="","",INDEX('Input Transaksi'!$D:$D,$E561))</f>
        <v/>
      </c>
      <c r="C561">
        <f>IF($E561="","",INDEX('Input Transaksi'!$E:$E,$E561))</f>
        <v/>
      </c>
      <c r="D561" s="5">
        <f>IF($E561="","",INDEX('Input Transaksi'!$F:$F,$E561))</f>
        <v/>
      </c>
      <c r="E561">
        <f>IFERROR(AGGREGATE(15,6,ROW('Input Transaksi'!$B$5:$B$5000)/('Input Transaksi'!$B$5:$B$5000="MONANG MANING"),ROWS($E$5:E561)),"")</f>
        <v/>
      </c>
      <c r="F561" s="5" t="n"/>
    </row>
    <row r="562">
      <c r="A562" s="10">
        <f>IF($E562="","",INDEX('Input Transaksi'!$A:$A,$E562))</f>
        <v/>
      </c>
      <c r="B562" s="5">
        <f>IF($E562="","",INDEX('Input Transaksi'!$D:$D,$E562))</f>
        <v/>
      </c>
      <c r="C562">
        <f>IF($E562="","",INDEX('Input Transaksi'!$E:$E,$E562))</f>
        <v/>
      </c>
      <c r="D562" s="5">
        <f>IF($E562="","",INDEX('Input Transaksi'!$F:$F,$E562))</f>
        <v/>
      </c>
      <c r="E562">
        <f>IFERROR(AGGREGATE(15,6,ROW('Input Transaksi'!$B$5:$B$5000)/('Input Transaksi'!$B$5:$B$5000="MONANG MANING"),ROWS($E$5:E562)),"")</f>
        <v/>
      </c>
      <c r="F562" s="5" t="n"/>
    </row>
    <row r="563">
      <c r="A563" s="10">
        <f>IF($E563="","",INDEX('Input Transaksi'!$A:$A,$E563))</f>
        <v/>
      </c>
      <c r="B563" s="5">
        <f>IF($E563="","",INDEX('Input Transaksi'!$D:$D,$E563))</f>
        <v/>
      </c>
      <c r="C563">
        <f>IF($E563="","",INDEX('Input Transaksi'!$E:$E,$E563))</f>
        <v/>
      </c>
      <c r="D563" s="5">
        <f>IF($E563="","",INDEX('Input Transaksi'!$F:$F,$E563))</f>
        <v/>
      </c>
      <c r="E563">
        <f>IFERROR(AGGREGATE(15,6,ROW('Input Transaksi'!$B$5:$B$5000)/('Input Transaksi'!$B$5:$B$5000="MONANG MANING"),ROWS($E$5:E563)),"")</f>
        <v/>
      </c>
      <c r="F563" s="5" t="n"/>
    </row>
    <row r="564">
      <c r="A564" s="10">
        <f>IF($E564="","",INDEX('Input Transaksi'!$A:$A,$E564))</f>
        <v/>
      </c>
      <c r="B564" s="5">
        <f>IF($E564="","",INDEX('Input Transaksi'!$D:$D,$E564))</f>
        <v/>
      </c>
      <c r="C564">
        <f>IF($E564="","",INDEX('Input Transaksi'!$E:$E,$E564))</f>
        <v/>
      </c>
      <c r="D564" s="5">
        <f>IF($E564="","",INDEX('Input Transaksi'!$F:$F,$E564))</f>
        <v/>
      </c>
      <c r="E564">
        <f>IFERROR(AGGREGATE(15,6,ROW('Input Transaksi'!$B$5:$B$5000)/('Input Transaksi'!$B$5:$B$5000="MONANG MANING"),ROWS($E$5:E564)),"")</f>
        <v/>
      </c>
      <c r="F564" s="5" t="n"/>
    </row>
    <row r="565">
      <c r="A565" s="10">
        <f>IF($E565="","",INDEX('Input Transaksi'!$A:$A,$E565))</f>
        <v/>
      </c>
      <c r="B565" s="5">
        <f>IF($E565="","",INDEX('Input Transaksi'!$D:$D,$E565))</f>
        <v/>
      </c>
      <c r="C565">
        <f>IF($E565="","",INDEX('Input Transaksi'!$E:$E,$E565))</f>
        <v/>
      </c>
      <c r="D565" s="5">
        <f>IF($E565="","",INDEX('Input Transaksi'!$F:$F,$E565))</f>
        <v/>
      </c>
      <c r="E565">
        <f>IFERROR(AGGREGATE(15,6,ROW('Input Transaksi'!$B$5:$B$5000)/('Input Transaksi'!$B$5:$B$5000="MONANG MANING"),ROWS($E$5:E565)),"")</f>
        <v/>
      </c>
      <c r="F565" s="5" t="n"/>
    </row>
    <row r="566">
      <c r="A566" s="10">
        <f>IF($E566="","",INDEX('Input Transaksi'!$A:$A,$E566))</f>
        <v/>
      </c>
      <c r="B566" s="5">
        <f>IF($E566="","",INDEX('Input Transaksi'!$D:$D,$E566))</f>
        <v/>
      </c>
      <c r="C566">
        <f>IF($E566="","",INDEX('Input Transaksi'!$E:$E,$E566))</f>
        <v/>
      </c>
      <c r="D566" s="5">
        <f>IF($E566="","",INDEX('Input Transaksi'!$F:$F,$E566))</f>
        <v/>
      </c>
      <c r="E566">
        <f>IFERROR(AGGREGATE(15,6,ROW('Input Transaksi'!$B$5:$B$5000)/('Input Transaksi'!$B$5:$B$5000="MONANG MANING"),ROWS($E$5:E566)),"")</f>
        <v/>
      </c>
      <c r="F566" s="5" t="n"/>
    </row>
    <row r="567">
      <c r="A567" s="10">
        <f>IF($E567="","",INDEX('Input Transaksi'!$A:$A,$E567))</f>
        <v/>
      </c>
      <c r="B567" s="5">
        <f>IF($E567="","",INDEX('Input Transaksi'!$D:$D,$E567))</f>
        <v/>
      </c>
      <c r="C567">
        <f>IF($E567="","",INDEX('Input Transaksi'!$E:$E,$E567))</f>
        <v/>
      </c>
      <c r="D567" s="5">
        <f>IF($E567="","",INDEX('Input Transaksi'!$F:$F,$E567))</f>
        <v/>
      </c>
      <c r="E567">
        <f>IFERROR(AGGREGATE(15,6,ROW('Input Transaksi'!$B$5:$B$5000)/('Input Transaksi'!$B$5:$B$5000="MONANG MANING"),ROWS($E$5:E567)),"")</f>
        <v/>
      </c>
      <c r="F567" s="5" t="n"/>
    </row>
    <row r="568">
      <c r="A568" s="10">
        <f>IF($E568="","",INDEX('Input Transaksi'!$A:$A,$E568))</f>
        <v/>
      </c>
      <c r="B568" s="5">
        <f>IF($E568="","",INDEX('Input Transaksi'!$D:$D,$E568))</f>
        <v/>
      </c>
      <c r="C568">
        <f>IF($E568="","",INDEX('Input Transaksi'!$E:$E,$E568))</f>
        <v/>
      </c>
      <c r="D568" s="5">
        <f>IF($E568="","",INDEX('Input Transaksi'!$F:$F,$E568))</f>
        <v/>
      </c>
      <c r="E568">
        <f>IFERROR(AGGREGATE(15,6,ROW('Input Transaksi'!$B$5:$B$5000)/('Input Transaksi'!$B$5:$B$5000="MONANG MANING"),ROWS($E$5:E568)),"")</f>
        <v/>
      </c>
      <c r="F568" s="5" t="n"/>
    </row>
    <row r="569">
      <c r="A569" s="10">
        <f>IF($E569="","",INDEX('Input Transaksi'!$A:$A,$E569))</f>
        <v/>
      </c>
      <c r="B569" s="5">
        <f>IF($E569="","",INDEX('Input Transaksi'!$D:$D,$E569))</f>
        <v/>
      </c>
      <c r="C569">
        <f>IF($E569="","",INDEX('Input Transaksi'!$E:$E,$E569))</f>
        <v/>
      </c>
      <c r="D569" s="5">
        <f>IF($E569="","",INDEX('Input Transaksi'!$F:$F,$E569))</f>
        <v/>
      </c>
      <c r="E569">
        <f>IFERROR(AGGREGATE(15,6,ROW('Input Transaksi'!$B$5:$B$5000)/('Input Transaksi'!$B$5:$B$5000="MONANG MANING"),ROWS($E$5:E569)),"")</f>
        <v/>
      </c>
      <c r="F569" s="5" t="n"/>
    </row>
    <row r="570">
      <c r="A570" s="10">
        <f>IF($E570="","",INDEX('Input Transaksi'!$A:$A,$E570))</f>
        <v/>
      </c>
      <c r="B570" s="5">
        <f>IF($E570="","",INDEX('Input Transaksi'!$D:$D,$E570))</f>
        <v/>
      </c>
      <c r="C570">
        <f>IF($E570="","",INDEX('Input Transaksi'!$E:$E,$E570))</f>
        <v/>
      </c>
      <c r="D570" s="5">
        <f>IF($E570="","",INDEX('Input Transaksi'!$F:$F,$E570))</f>
        <v/>
      </c>
      <c r="E570">
        <f>IFERROR(AGGREGATE(15,6,ROW('Input Transaksi'!$B$5:$B$5000)/('Input Transaksi'!$B$5:$B$5000="MONANG MANING"),ROWS($E$5:E570)),"")</f>
        <v/>
      </c>
      <c r="F570" s="5" t="n"/>
    </row>
    <row r="571">
      <c r="A571" s="10">
        <f>IF($E571="","",INDEX('Input Transaksi'!$A:$A,$E571))</f>
        <v/>
      </c>
      <c r="B571" s="5">
        <f>IF($E571="","",INDEX('Input Transaksi'!$D:$D,$E571))</f>
        <v/>
      </c>
      <c r="C571">
        <f>IF($E571="","",INDEX('Input Transaksi'!$E:$E,$E571))</f>
        <v/>
      </c>
      <c r="D571" s="5">
        <f>IF($E571="","",INDEX('Input Transaksi'!$F:$F,$E571))</f>
        <v/>
      </c>
      <c r="E571">
        <f>IFERROR(AGGREGATE(15,6,ROW('Input Transaksi'!$B$5:$B$5000)/('Input Transaksi'!$B$5:$B$5000="MONANG MANING"),ROWS($E$5:E571)),"")</f>
        <v/>
      </c>
      <c r="F571" s="5" t="n"/>
    </row>
    <row r="572">
      <c r="A572" s="10">
        <f>IF($E572="","",INDEX('Input Transaksi'!$A:$A,$E572))</f>
        <v/>
      </c>
      <c r="B572" s="5">
        <f>IF($E572="","",INDEX('Input Transaksi'!$D:$D,$E572))</f>
        <v/>
      </c>
      <c r="C572">
        <f>IF($E572="","",INDEX('Input Transaksi'!$E:$E,$E572))</f>
        <v/>
      </c>
      <c r="D572" s="5">
        <f>IF($E572="","",INDEX('Input Transaksi'!$F:$F,$E572))</f>
        <v/>
      </c>
      <c r="E572">
        <f>IFERROR(AGGREGATE(15,6,ROW('Input Transaksi'!$B$5:$B$5000)/('Input Transaksi'!$B$5:$B$5000="MONANG MANING"),ROWS($E$5:E572)),"")</f>
        <v/>
      </c>
      <c r="F572" s="5" t="n"/>
    </row>
    <row r="573">
      <c r="A573" s="10">
        <f>IF($E573="","",INDEX('Input Transaksi'!$A:$A,$E573))</f>
        <v/>
      </c>
      <c r="B573" s="5">
        <f>IF($E573="","",INDEX('Input Transaksi'!$D:$D,$E573))</f>
        <v/>
      </c>
      <c r="C573">
        <f>IF($E573="","",INDEX('Input Transaksi'!$E:$E,$E573))</f>
        <v/>
      </c>
      <c r="D573" s="5">
        <f>IF($E573="","",INDEX('Input Transaksi'!$F:$F,$E573))</f>
        <v/>
      </c>
      <c r="E573">
        <f>IFERROR(AGGREGATE(15,6,ROW('Input Transaksi'!$B$5:$B$5000)/('Input Transaksi'!$B$5:$B$5000="MONANG MANING"),ROWS($E$5:E573)),"")</f>
        <v/>
      </c>
      <c r="F573" s="5" t="n"/>
    </row>
    <row r="574">
      <c r="A574" s="10">
        <f>IF($E574="","",INDEX('Input Transaksi'!$A:$A,$E574))</f>
        <v/>
      </c>
      <c r="B574" s="5">
        <f>IF($E574="","",INDEX('Input Transaksi'!$D:$D,$E574))</f>
        <v/>
      </c>
      <c r="C574">
        <f>IF($E574="","",INDEX('Input Transaksi'!$E:$E,$E574))</f>
        <v/>
      </c>
      <c r="D574" s="5">
        <f>IF($E574="","",INDEX('Input Transaksi'!$F:$F,$E574))</f>
        <v/>
      </c>
      <c r="E574">
        <f>IFERROR(AGGREGATE(15,6,ROW('Input Transaksi'!$B$5:$B$5000)/('Input Transaksi'!$B$5:$B$5000="MONANG MANING"),ROWS($E$5:E574)),"")</f>
        <v/>
      </c>
      <c r="F574" s="5" t="n"/>
    </row>
    <row r="575">
      <c r="A575" s="10">
        <f>IF($E575="","",INDEX('Input Transaksi'!$A:$A,$E575))</f>
        <v/>
      </c>
      <c r="B575" s="5">
        <f>IF($E575="","",INDEX('Input Transaksi'!$D:$D,$E575))</f>
        <v/>
      </c>
      <c r="C575">
        <f>IF($E575="","",INDEX('Input Transaksi'!$E:$E,$E575))</f>
        <v/>
      </c>
      <c r="D575" s="5">
        <f>IF($E575="","",INDEX('Input Transaksi'!$F:$F,$E575))</f>
        <v/>
      </c>
      <c r="E575">
        <f>IFERROR(AGGREGATE(15,6,ROW('Input Transaksi'!$B$5:$B$5000)/('Input Transaksi'!$B$5:$B$5000="MONANG MANING"),ROWS($E$5:E575)),"")</f>
        <v/>
      </c>
      <c r="F575" s="5" t="n"/>
    </row>
    <row r="576">
      <c r="A576" s="10">
        <f>IF($E576="","",INDEX('Input Transaksi'!$A:$A,$E576))</f>
        <v/>
      </c>
      <c r="B576" s="5">
        <f>IF($E576="","",INDEX('Input Transaksi'!$D:$D,$E576))</f>
        <v/>
      </c>
      <c r="C576">
        <f>IF($E576="","",INDEX('Input Transaksi'!$E:$E,$E576))</f>
        <v/>
      </c>
      <c r="D576" s="5">
        <f>IF($E576="","",INDEX('Input Transaksi'!$F:$F,$E576))</f>
        <v/>
      </c>
      <c r="E576">
        <f>IFERROR(AGGREGATE(15,6,ROW('Input Transaksi'!$B$5:$B$5000)/('Input Transaksi'!$B$5:$B$5000="MONANG MANING"),ROWS($E$5:E576)),"")</f>
        <v/>
      </c>
      <c r="F576" s="5" t="n"/>
    </row>
    <row r="577">
      <c r="A577" s="10">
        <f>IF($E577="","",INDEX('Input Transaksi'!$A:$A,$E577))</f>
        <v/>
      </c>
      <c r="B577" s="5">
        <f>IF($E577="","",INDEX('Input Transaksi'!$D:$D,$E577))</f>
        <v/>
      </c>
      <c r="C577">
        <f>IF($E577="","",INDEX('Input Transaksi'!$E:$E,$E577))</f>
        <v/>
      </c>
      <c r="D577" s="5">
        <f>IF($E577="","",INDEX('Input Transaksi'!$F:$F,$E577))</f>
        <v/>
      </c>
      <c r="E577">
        <f>IFERROR(AGGREGATE(15,6,ROW('Input Transaksi'!$B$5:$B$5000)/('Input Transaksi'!$B$5:$B$5000="MONANG MANING"),ROWS($E$5:E577)),"")</f>
        <v/>
      </c>
      <c r="F577" s="5" t="n"/>
    </row>
    <row r="578">
      <c r="A578" s="10">
        <f>IF($E578="","",INDEX('Input Transaksi'!$A:$A,$E578))</f>
        <v/>
      </c>
      <c r="B578" s="5">
        <f>IF($E578="","",INDEX('Input Transaksi'!$D:$D,$E578))</f>
        <v/>
      </c>
      <c r="C578">
        <f>IF($E578="","",INDEX('Input Transaksi'!$E:$E,$E578))</f>
        <v/>
      </c>
      <c r="D578" s="5">
        <f>IF($E578="","",INDEX('Input Transaksi'!$F:$F,$E578))</f>
        <v/>
      </c>
      <c r="E578">
        <f>IFERROR(AGGREGATE(15,6,ROW('Input Transaksi'!$B$5:$B$5000)/('Input Transaksi'!$B$5:$B$5000="MONANG MANING"),ROWS($E$5:E578)),"")</f>
        <v/>
      </c>
      <c r="F578" s="5" t="n"/>
    </row>
    <row r="579">
      <c r="A579" s="10">
        <f>IF($E579="","",INDEX('Input Transaksi'!$A:$A,$E579))</f>
        <v/>
      </c>
      <c r="B579" s="5">
        <f>IF($E579="","",INDEX('Input Transaksi'!$D:$D,$E579))</f>
        <v/>
      </c>
      <c r="C579">
        <f>IF($E579="","",INDEX('Input Transaksi'!$E:$E,$E579))</f>
        <v/>
      </c>
      <c r="D579" s="5">
        <f>IF($E579="","",INDEX('Input Transaksi'!$F:$F,$E579))</f>
        <v/>
      </c>
      <c r="E579">
        <f>IFERROR(AGGREGATE(15,6,ROW('Input Transaksi'!$B$5:$B$5000)/('Input Transaksi'!$B$5:$B$5000="MONANG MANING"),ROWS($E$5:E579)),"")</f>
        <v/>
      </c>
      <c r="F579" s="5" t="n"/>
    </row>
    <row r="580">
      <c r="A580" s="10">
        <f>IF($E580="","",INDEX('Input Transaksi'!$A:$A,$E580))</f>
        <v/>
      </c>
      <c r="B580" s="5">
        <f>IF($E580="","",INDEX('Input Transaksi'!$D:$D,$E580))</f>
        <v/>
      </c>
      <c r="C580">
        <f>IF($E580="","",INDEX('Input Transaksi'!$E:$E,$E580))</f>
        <v/>
      </c>
      <c r="D580" s="5">
        <f>IF($E580="","",INDEX('Input Transaksi'!$F:$F,$E580))</f>
        <v/>
      </c>
      <c r="E580">
        <f>IFERROR(AGGREGATE(15,6,ROW('Input Transaksi'!$B$5:$B$5000)/('Input Transaksi'!$B$5:$B$5000="MONANG MANING"),ROWS($E$5:E580)),"")</f>
        <v/>
      </c>
      <c r="F580" s="5" t="n"/>
    </row>
    <row r="581">
      <c r="A581" s="10">
        <f>IF($E581="","",INDEX('Input Transaksi'!$A:$A,$E581))</f>
        <v/>
      </c>
      <c r="B581" s="5">
        <f>IF($E581="","",INDEX('Input Transaksi'!$D:$D,$E581))</f>
        <v/>
      </c>
      <c r="C581">
        <f>IF($E581="","",INDEX('Input Transaksi'!$E:$E,$E581))</f>
        <v/>
      </c>
      <c r="D581" s="5">
        <f>IF($E581="","",INDEX('Input Transaksi'!$F:$F,$E581))</f>
        <v/>
      </c>
      <c r="E581">
        <f>IFERROR(AGGREGATE(15,6,ROW('Input Transaksi'!$B$5:$B$5000)/('Input Transaksi'!$B$5:$B$5000="MONANG MANING"),ROWS($E$5:E581)),"")</f>
        <v/>
      </c>
      <c r="F581" s="5" t="n"/>
    </row>
    <row r="582">
      <c r="A582" s="10">
        <f>IF($E582="","",INDEX('Input Transaksi'!$A:$A,$E582))</f>
        <v/>
      </c>
      <c r="B582" s="5">
        <f>IF($E582="","",INDEX('Input Transaksi'!$D:$D,$E582))</f>
        <v/>
      </c>
      <c r="C582">
        <f>IF($E582="","",INDEX('Input Transaksi'!$E:$E,$E582))</f>
        <v/>
      </c>
      <c r="D582" s="5">
        <f>IF($E582="","",INDEX('Input Transaksi'!$F:$F,$E582))</f>
        <v/>
      </c>
      <c r="E582">
        <f>IFERROR(AGGREGATE(15,6,ROW('Input Transaksi'!$B$5:$B$5000)/('Input Transaksi'!$B$5:$B$5000="MONANG MANING"),ROWS($E$5:E582)),"")</f>
        <v/>
      </c>
      <c r="F582" s="5" t="n"/>
    </row>
    <row r="583">
      <c r="A583" s="10">
        <f>IF($E583="","",INDEX('Input Transaksi'!$A:$A,$E583))</f>
        <v/>
      </c>
      <c r="B583" s="5">
        <f>IF($E583="","",INDEX('Input Transaksi'!$D:$D,$E583))</f>
        <v/>
      </c>
      <c r="C583">
        <f>IF($E583="","",INDEX('Input Transaksi'!$E:$E,$E583))</f>
        <v/>
      </c>
      <c r="D583" s="5">
        <f>IF($E583="","",INDEX('Input Transaksi'!$F:$F,$E583))</f>
        <v/>
      </c>
      <c r="E583">
        <f>IFERROR(AGGREGATE(15,6,ROW('Input Transaksi'!$B$5:$B$5000)/('Input Transaksi'!$B$5:$B$5000="MONANG MANING"),ROWS($E$5:E583)),"")</f>
        <v/>
      </c>
      <c r="F583" s="5" t="n"/>
    </row>
    <row r="584">
      <c r="A584" s="10">
        <f>IF($E584="","",INDEX('Input Transaksi'!$A:$A,$E584))</f>
        <v/>
      </c>
      <c r="B584" s="5">
        <f>IF($E584="","",INDEX('Input Transaksi'!$D:$D,$E584))</f>
        <v/>
      </c>
      <c r="C584">
        <f>IF($E584="","",INDEX('Input Transaksi'!$E:$E,$E584))</f>
        <v/>
      </c>
      <c r="D584" s="5">
        <f>IF($E584="","",INDEX('Input Transaksi'!$F:$F,$E584))</f>
        <v/>
      </c>
      <c r="E584">
        <f>IFERROR(AGGREGATE(15,6,ROW('Input Transaksi'!$B$5:$B$5000)/('Input Transaksi'!$B$5:$B$5000="MONANG MANING"),ROWS($E$5:E584)),"")</f>
        <v/>
      </c>
      <c r="F584" s="5" t="n"/>
    </row>
    <row r="585">
      <c r="A585" s="10">
        <f>IF($E585="","",INDEX('Input Transaksi'!$A:$A,$E585))</f>
        <v/>
      </c>
      <c r="B585" s="5">
        <f>IF($E585="","",INDEX('Input Transaksi'!$D:$D,$E585))</f>
        <v/>
      </c>
      <c r="C585">
        <f>IF($E585="","",INDEX('Input Transaksi'!$E:$E,$E585))</f>
        <v/>
      </c>
      <c r="D585" s="5">
        <f>IF($E585="","",INDEX('Input Transaksi'!$F:$F,$E585))</f>
        <v/>
      </c>
      <c r="E585">
        <f>IFERROR(AGGREGATE(15,6,ROW('Input Transaksi'!$B$5:$B$5000)/('Input Transaksi'!$B$5:$B$5000="MONANG MANING"),ROWS($E$5:E585)),"")</f>
        <v/>
      </c>
      <c r="F585" s="5" t="n"/>
    </row>
    <row r="586">
      <c r="A586" s="10">
        <f>IF($E586="","",INDEX('Input Transaksi'!$A:$A,$E586))</f>
        <v/>
      </c>
      <c r="B586" s="5">
        <f>IF($E586="","",INDEX('Input Transaksi'!$D:$D,$E586))</f>
        <v/>
      </c>
      <c r="C586">
        <f>IF($E586="","",INDEX('Input Transaksi'!$E:$E,$E586))</f>
        <v/>
      </c>
      <c r="D586" s="5">
        <f>IF($E586="","",INDEX('Input Transaksi'!$F:$F,$E586))</f>
        <v/>
      </c>
      <c r="E586">
        <f>IFERROR(AGGREGATE(15,6,ROW('Input Transaksi'!$B$5:$B$5000)/('Input Transaksi'!$B$5:$B$5000="MONANG MANING"),ROWS($E$5:E586)),"")</f>
        <v/>
      </c>
      <c r="F586" s="5" t="n"/>
    </row>
    <row r="587">
      <c r="A587" s="10">
        <f>IF($E587="","",INDEX('Input Transaksi'!$A:$A,$E587))</f>
        <v/>
      </c>
      <c r="B587" s="5">
        <f>IF($E587="","",INDEX('Input Transaksi'!$D:$D,$E587))</f>
        <v/>
      </c>
      <c r="C587">
        <f>IF($E587="","",INDEX('Input Transaksi'!$E:$E,$E587))</f>
        <v/>
      </c>
      <c r="D587" s="5">
        <f>IF($E587="","",INDEX('Input Transaksi'!$F:$F,$E587))</f>
        <v/>
      </c>
      <c r="E587">
        <f>IFERROR(AGGREGATE(15,6,ROW('Input Transaksi'!$B$5:$B$5000)/('Input Transaksi'!$B$5:$B$5000="MONANG MANING"),ROWS($E$5:E587)),"")</f>
        <v/>
      </c>
      <c r="F587" s="5" t="n"/>
    </row>
    <row r="588">
      <c r="A588" s="10">
        <f>IF($E588="","",INDEX('Input Transaksi'!$A:$A,$E588))</f>
        <v/>
      </c>
      <c r="B588" s="5">
        <f>IF($E588="","",INDEX('Input Transaksi'!$D:$D,$E588))</f>
        <v/>
      </c>
      <c r="C588">
        <f>IF($E588="","",INDEX('Input Transaksi'!$E:$E,$E588))</f>
        <v/>
      </c>
      <c r="D588" s="5">
        <f>IF($E588="","",INDEX('Input Transaksi'!$F:$F,$E588))</f>
        <v/>
      </c>
      <c r="E588">
        <f>IFERROR(AGGREGATE(15,6,ROW('Input Transaksi'!$B$5:$B$5000)/('Input Transaksi'!$B$5:$B$5000="MONANG MANING"),ROWS($E$5:E588)),"")</f>
        <v/>
      </c>
      <c r="F588" s="5" t="n"/>
    </row>
    <row r="589">
      <c r="A589" s="10">
        <f>IF($E589="","",INDEX('Input Transaksi'!$A:$A,$E589))</f>
        <v/>
      </c>
      <c r="B589" s="5">
        <f>IF($E589="","",INDEX('Input Transaksi'!$D:$D,$E589))</f>
        <v/>
      </c>
      <c r="C589">
        <f>IF($E589="","",INDEX('Input Transaksi'!$E:$E,$E589))</f>
        <v/>
      </c>
      <c r="D589" s="5">
        <f>IF($E589="","",INDEX('Input Transaksi'!$F:$F,$E589))</f>
        <v/>
      </c>
      <c r="E589">
        <f>IFERROR(AGGREGATE(15,6,ROW('Input Transaksi'!$B$5:$B$5000)/('Input Transaksi'!$B$5:$B$5000="MONANG MANING"),ROWS($E$5:E589)),"")</f>
        <v/>
      </c>
      <c r="F589" s="5" t="n"/>
    </row>
    <row r="590">
      <c r="A590" s="10">
        <f>IF($E590="","",INDEX('Input Transaksi'!$A:$A,$E590))</f>
        <v/>
      </c>
      <c r="B590" s="5">
        <f>IF($E590="","",INDEX('Input Transaksi'!$D:$D,$E590))</f>
        <v/>
      </c>
      <c r="C590">
        <f>IF($E590="","",INDEX('Input Transaksi'!$E:$E,$E590))</f>
        <v/>
      </c>
      <c r="D590" s="5">
        <f>IF($E590="","",INDEX('Input Transaksi'!$F:$F,$E590))</f>
        <v/>
      </c>
      <c r="E590">
        <f>IFERROR(AGGREGATE(15,6,ROW('Input Transaksi'!$B$5:$B$5000)/('Input Transaksi'!$B$5:$B$5000="MONANG MANING"),ROWS($E$5:E590)),"")</f>
        <v/>
      </c>
      <c r="F590" s="5" t="n"/>
    </row>
    <row r="591">
      <c r="A591" s="10">
        <f>IF($E591="","",INDEX('Input Transaksi'!$A:$A,$E591))</f>
        <v/>
      </c>
      <c r="B591" s="5">
        <f>IF($E591="","",INDEX('Input Transaksi'!$D:$D,$E591))</f>
        <v/>
      </c>
      <c r="C591">
        <f>IF($E591="","",INDEX('Input Transaksi'!$E:$E,$E591))</f>
        <v/>
      </c>
      <c r="D591" s="5">
        <f>IF($E591="","",INDEX('Input Transaksi'!$F:$F,$E591))</f>
        <v/>
      </c>
      <c r="E591">
        <f>IFERROR(AGGREGATE(15,6,ROW('Input Transaksi'!$B$5:$B$5000)/('Input Transaksi'!$B$5:$B$5000="MONANG MANING"),ROWS($E$5:E591)),"")</f>
        <v/>
      </c>
      <c r="F591" s="5" t="n"/>
    </row>
    <row r="592">
      <c r="A592" s="10">
        <f>IF($E592="","",INDEX('Input Transaksi'!$A:$A,$E592))</f>
        <v/>
      </c>
      <c r="B592" s="5">
        <f>IF($E592="","",INDEX('Input Transaksi'!$D:$D,$E592))</f>
        <v/>
      </c>
      <c r="C592">
        <f>IF($E592="","",INDEX('Input Transaksi'!$E:$E,$E592))</f>
        <v/>
      </c>
      <c r="D592" s="5">
        <f>IF($E592="","",INDEX('Input Transaksi'!$F:$F,$E592))</f>
        <v/>
      </c>
      <c r="E592">
        <f>IFERROR(AGGREGATE(15,6,ROW('Input Transaksi'!$B$5:$B$5000)/('Input Transaksi'!$B$5:$B$5000="MONANG MANING"),ROWS($E$5:E592)),"")</f>
        <v/>
      </c>
      <c r="F592" s="5" t="n"/>
    </row>
    <row r="593">
      <c r="A593" s="10">
        <f>IF($E593="","",INDEX('Input Transaksi'!$A:$A,$E593))</f>
        <v/>
      </c>
      <c r="B593" s="5">
        <f>IF($E593="","",INDEX('Input Transaksi'!$D:$D,$E593))</f>
        <v/>
      </c>
      <c r="C593">
        <f>IF($E593="","",INDEX('Input Transaksi'!$E:$E,$E593))</f>
        <v/>
      </c>
      <c r="D593" s="5">
        <f>IF($E593="","",INDEX('Input Transaksi'!$F:$F,$E593))</f>
        <v/>
      </c>
      <c r="E593">
        <f>IFERROR(AGGREGATE(15,6,ROW('Input Transaksi'!$B$5:$B$5000)/('Input Transaksi'!$B$5:$B$5000="MONANG MANING"),ROWS($E$5:E593)),"")</f>
        <v/>
      </c>
      <c r="F593" s="5" t="n"/>
    </row>
    <row r="594">
      <c r="A594" s="10">
        <f>IF($E594="","",INDEX('Input Transaksi'!$A:$A,$E594))</f>
        <v/>
      </c>
      <c r="B594" s="5">
        <f>IF($E594="","",INDEX('Input Transaksi'!$D:$D,$E594))</f>
        <v/>
      </c>
      <c r="C594">
        <f>IF($E594="","",INDEX('Input Transaksi'!$E:$E,$E594))</f>
        <v/>
      </c>
      <c r="D594" s="5">
        <f>IF($E594="","",INDEX('Input Transaksi'!$F:$F,$E594))</f>
        <v/>
      </c>
      <c r="E594">
        <f>IFERROR(AGGREGATE(15,6,ROW('Input Transaksi'!$B$5:$B$5000)/('Input Transaksi'!$B$5:$B$5000="MONANG MANING"),ROWS($E$5:E594)),"")</f>
        <v/>
      </c>
      <c r="F594" s="5" t="n"/>
    </row>
    <row r="595">
      <c r="A595" s="10">
        <f>IF($E595="","",INDEX('Input Transaksi'!$A:$A,$E595))</f>
        <v/>
      </c>
      <c r="B595" s="5">
        <f>IF($E595="","",INDEX('Input Transaksi'!$D:$D,$E595))</f>
        <v/>
      </c>
      <c r="C595">
        <f>IF($E595="","",INDEX('Input Transaksi'!$E:$E,$E595))</f>
        <v/>
      </c>
      <c r="D595" s="5">
        <f>IF($E595="","",INDEX('Input Transaksi'!$F:$F,$E595))</f>
        <v/>
      </c>
      <c r="E595">
        <f>IFERROR(AGGREGATE(15,6,ROW('Input Transaksi'!$B$5:$B$5000)/('Input Transaksi'!$B$5:$B$5000="MONANG MANING"),ROWS($E$5:E595)),"")</f>
        <v/>
      </c>
      <c r="F595" s="5" t="n"/>
    </row>
    <row r="596">
      <c r="A596" s="10">
        <f>IF($E596="","",INDEX('Input Transaksi'!$A:$A,$E596))</f>
        <v/>
      </c>
      <c r="B596" s="5">
        <f>IF($E596="","",INDEX('Input Transaksi'!$D:$D,$E596))</f>
        <v/>
      </c>
      <c r="C596">
        <f>IF($E596="","",INDEX('Input Transaksi'!$E:$E,$E596))</f>
        <v/>
      </c>
      <c r="D596" s="5">
        <f>IF($E596="","",INDEX('Input Transaksi'!$F:$F,$E596))</f>
        <v/>
      </c>
      <c r="E596">
        <f>IFERROR(AGGREGATE(15,6,ROW('Input Transaksi'!$B$5:$B$5000)/('Input Transaksi'!$B$5:$B$5000="MONANG MANING"),ROWS($E$5:E596)),"")</f>
        <v/>
      </c>
      <c r="F596" s="5" t="n"/>
    </row>
    <row r="597">
      <c r="A597" s="10">
        <f>IF($E597="","",INDEX('Input Transaksi'!$A:$A,$E597))</f>
        <v/>
      </c>
      <c r="B597" s="5">
        <f>IF($E597="","",INDEX('Input Transaksi'!$D:$D,$E597))</f>
        <v/>
      </c>
      <c r="C597">
        <f>IF($E597="","",INDEX('Input Transaksi'!$E:$E,$E597))</f>
        <v/>
      </c>
      <c r="D597" s="5">
        <f>IF($E597="","",INDEX('Input Transaksi'!$F:$F,$E597))</f>
        <v/>
      </c>
      <c r="E597">
        <f>IFERROR(AGGREGATE(15,6,ROW('Input Transaksi'!$B$5:$B$5000)/('Input Transaksi'!$B$5:$B$5000="MONANG MANING"),ROWS($E$5:E597)),"")</f>
        <v/>
      </c>
      <c r="F597" s="5" t="n"/>
    </row>
    <row r="598">
      <c r="A598" s="10">
        <f>IF($E598="","",INDEX('Input Transaksi'!$A:$A,$E598))</f>
        <v/>
      </c>
      <c r="B598" s="5">
        <f>IF($E598="","",INDEX('Input Transaksi'!$D:$D,$E598))</f>
        <v/>
      </c>
      <c r="C598">
        <f>IF($E598="","",INDEX('Input Transaksi'!$E:$E,$E598))</f>
        <v/>
      </c>
      <c r="D598" s="5">
        <f>IF($E598="","",INDEX('Input Transaksi'!$F:$F,$E598))</f>
        <v/>
      </c>
      <c r="E598">
        <f>IFERROR(AGGREGATE(15,6,ROW('Input Transaksi'!$B$5:$B$5000)/('Input Transaksi'!$B$5:$B$5000="MONANG MANING"),ROWS($E$5:E598)),"")</f>
        <v/>
      </c>
      <c r="F598" s="5" t="n"/>
    </row>
    <row r="599">
      <c r="A599" s="10">
        <f>IF($E599="","",INDEX('Input Transaksi'!$A:$A,$E599))</f>
        <v/>
      </c>
      <c r="B599" s="5">
        <f>IF($E599="","",INDEX('Input Transaksi'!$D:$D,$E599))</f>
        <v/>
      </c>
      <c r="C599">
        <f>IF($E599="","",INDEX('Input Transaksi'!$E:$E,$E599))</f>
        <v/>
      </c>
      <c r="D599" s="5">
        <f>IF($E599="","",INDEX('Input Transaksi'!$F:$F,$E599))</f>
        <v/>
      </c>
      <c r="E599">
        <f>IFERROR(AGGREGATE(15,6,ROW('Input Transaksi'!$B$5:$B$5000)/('Input Transaksi'!$B$5:$B$5000="MONANG MANING"),ROWS($E$5:E599)),"")</f>
        <v/>
      </c>
      <c r="F599" s="5" t="n"/>
    </row>
    <row r="600">
      <c r="A600" s="10">
        <f>IF($E600="","",INDEX('Input Transaksi'!$A:$A,$E600))</f>
        <v/>
      </c>
      <c r="B600" s="5">
        <f>IF($E600="","",INDEX('Input Transaksi'!$D:$D,$E600))</f>
        <v/>
      </c>
      <c r="C600">
        <f>IF($E600="","",INDEX('Input Transaksi'!$E:$E,$E600))</f>
        <v/>
      </c>
      <c r="D600" s="5">
        <f>IF($E600="","",INDEX('Input Transaksi'!$F:$F,$E600))</f>
        <v/>
      </c>
      <c r="E600">
        <f>IFERROR(AGGREGATE(15,6,ROW('Input Transaksi'!$B$5:$B$5000)/('Input Transaksi'!$B$5:$B$5000="MONANG MANING"),ROWS($E$5:E600)),"")</f>
        <v/>
      </c>
      <c r="F600" s="5" t="n"/>
    </row>
    <row r="601">
      <c r="A601" s="10">
        <f>IF($E601="","",INDEX('Input Transaksi'!$A:$A,$E601))</f>
        <v/>
      </c>
      <c r="B601" s="5">
        <f>IF($E601="","",INDEX('Input Transaksi'!$D:$D,$E601))</f>
        <v/>
      </c>
      <c r="C601">
        <f>IF($E601="","",INDEX('Input Transaksi'!$E:$E,$E601))</f>
        <v/>
      </c>
      <c r="D601" s="5">
        <f>IF($E601="","",INDEX('Input Transaksi'!$F:$F,$E601))</f>
        <v/>
      </c>
      <c r="E601">
        <f>IFERROR(AGGREGATE(15,6,ROW('Input Transaksi'!$B$5:$B$5000)/('Input Transaksi'!$B$5:$B$5000="MONANG MANING"),ROWS($E$5:E601)),"")</f>
        <v/>
      </c>
      <c r="F601" s="5" t="n"/>
    </row>
    <row r="602">
      <c r="A602" s="10">
        <f>IF($E602="","",INDEX('Input Transaksi'!$A:$A,$E602))</f>
        <v/>
      </c>
      <c r="B602" s="5">
        <f>IF($E602="","",INDEX('Input Transaksi'!$D:$D,$E602))</f>
        <v/>
      </c>
      <c r="C602">
        <f>IF($E602="","",INDEX('Input Transaksi'!$E:$E,$E602))</f>
        <v/>
      </c>
      <c r="D602" s="5">
        <f>IF($E602="","",INDEX('Input Transaksi'!$F:$F,$E602))</f>
        <v/>
      </c>
      <c r="E602">
        <f>IFERROR(AGGREGATE(15,6,ROW('Input Transaksi'!$B$5:$B$5000)/('Input Transaksi'!$B$5:$B$5000="MONANG MANING"),ROWS($E$5:E602)),"")</f>
        <v/>
      </c>
      <c r="F602" s="5" t="n"/>
    </row>
    <row r="603">
      <c r="A603" s="10">
        <f>IF($E603="","",INDEX('Input Transaksi'!$A:$A,$E603))</f>
        <v/>
      </c>
      <c r="B603" s="5">
        <f>IF($E603="","",INDEX('Input Transaksi'!$D:$D,$E603))</f>
        <v/>
      </c>
      <c r="C603">
        <f>IF($E603="","",INDEX('Input Transaksi'!$E:$E,$E603))</f>
        <v/>
      </c>
      <c r="D603" s="5">
        <f>IF($E603="","",INDEX('Input Transaksi'!$F:$F,$E603))</f>
        <v/>
      </c>
      <c r="E603">
        <f>IFERROR(AGGREGATE(15,6,ROW('Input Transaksi'!$B$5:$B$5000)/('Input Transaksi'!$B$5:$B$5000="MONANG MANING"),ROWS($E$5:E603)),"")</f>
        <v/>
      </c>
      <c r="F603" s="5" t="n"/>
    </row>
    <row r="604">
      <c r="A604" s="10">
        <f>IF($E604="","",INDEX('Input Transaksi'!$A:$A,$E604))</f>
        <v/>
      </c>
      <c r="B604" s="5">
        <f>IF($E604="","",INDEX('Input Transaksi'!$D:$D,$E604))</f>
        <v/>
      </c>
      <c r="C604">
        <f>IF($E604="","",INDEX('Input Transaksi'!$E:$E,$E604))</f>
        <v/>
      </c>
      <c r="D604" s="5">
        <f>IF($E604="","",INDEX('Input Transaksi'!$F:$F,$E604))</f>
        <v/>
      </c>
      <c r="E604">
        <f>IFERROR(AGGREGATE(15,6,ROW('Input Transaksi'!$B$5:$B$5000)/('Input Transaksi'!$B$5:$B$5000="MONANG MANING"),ROWS($E$5:E604)),"")</f>
        <v/>
      </c>
      <c r="F604" s="5" t="n"/>
    </row>
    <row r="605">
      <c r="A605" s="10">
        <f>IF($E605="","",INDEX('Input Transaksi'!$A:$A,$E605))</f>
        <v/>
      </c>
      <c r="B605" s="5">
        <f>IF($E605="","",INDEX('Input Transaksi'!$D:$D,$E605))</f>
        <v/>
      </c>
      <c r="C605">
        <f>IF($E605="","",INDEX('Input Transaksi'!$E:$E,$E605))</f>
        <v/>
      </c>
      <c r="D605" s="5">
        <f>IF($E605="","",INDEX('Input Transaksi'!$F:$F,$E605))</f>
        <v/>
      </c>
      <c r="E605">
        <f>IFERROR(AGGREGATE(15,6,ROW('Input Transaksi'!$B$5:$B$5000)/('Input Transaksi'!$B$5:$B$5000="MONANG MANING"),ROWS($E$5:E605)),"")</f>
        <v/>
      </c>
      <c r="F605" s="5" t="n"/>
    </row>
    <row r="606">
      <c r="A606" s="10">
        <f>IF($E606="","",INDEX('Input Transaksi'!$A:$A,$E606))</f>
        <v/>
      </c>
      <c r="B606" s="5">
        <f>IF($E606="","",INDEX('Input Transaksi'!$D:$D,$E606))</f>
        <v/>
      </c>
      <c r="C606">
        <f>IF($E606="","",INDEX('Input Transaksi'!$E:$E,$E606))</f>
        <v/>
      </c>
      <c r="D606" s="5">
        <f>IF($E606="","",INDEX('Input Transaksi'!$F:$F,$E606))</f>
        <v/>
      </c>
      <c r="E606">
        <f>IFERROR(AGGREGATE(15,6,ROW('Input Transaksi'!$B$5:$B$5000)/('Input Transaksi'!$B$5:$B$5000="MONANG MANING"),ROWS($E$5:E606)),"")</f>
        <v/>
      </c>
      <c r="F606" s="5" t="n"/>
    </row>
    <row r="607">
      <c r="A607" s="10">
        <f>IF($E607="","",INDEX('Input Transaksi'!$A:$A,$E607))</f>
        <v/>
      </c>
      <c r="B607" s="5">
        <f>IF($E607="","",INDEX('Input Transaksi'!$D:$D,$E607))</f>
        <v/>
      </c>
      <c r="C607">
        <f>IF($E607="","",INDEX('Input Transaksi'!$E:$E,$E607))</f>
        <v/>
      </c>
      <c r="D607" s="5">
        <f>IF($E607="","",INDEX('Input Transaksi'!$F:$F,$E607))</f>
        <v/>
      </c>
      <c r="E607">
        <f>IFERROR(AGGREGATE(15,6,ROW('Input Transaksi'!$B$5:$B$5000)/('Input Transaksi'!$B$5:$B$5000="MONANG MANING"),ROWS($E$5:E607)),"")</f>
        <v/>
      </c>
      <c r="F607" s="5" t="n"/>
    </row>
    <row r="608">
      <c r="A608" s="10">
        <f>IF($E608="","",INDEX('Input Transaksi'!$A:$A,$E608))</f>
        <v/>
      </c>
      <c r="B608" s="5">
        <f>IF($E608="","",INDEX('Input Transaksi'!$D:$D,$E608))</f>
        <v/>
      </c>
      <c r="C608">
        <f>IF($E608="","",INDEX('Input Transaksi'!$E:$E,$E608))</f>
        <v/>
      </c>
      <c r="D608" s="5">
        <f>IF($E608="","",INDEX('Input Transaksi'!$F:$F,$E608))</f>
        <v/>
      </c>
      <c r="E608">
        <f>IFERROR(AGGREGATE(15,6,ROW('Input Transaksi'!$B$5:$B$5000)/('Input Transaksi'!$B$5:$B$5000="MONANG MANING"),ROWS($E$5:E608)),"")</f>
        <v/>
      </c>
      <c r="F608" s="5" t="n"/>
    </row>
    <row r="609">
      <c r="A609" s="10">
        <f>IF($E609="","",INDEX('Input Transaksi'!$A:$A,$E609))</f>
        <v/>
      </c>
      <c r="B609" s="5">
        <f>IF($E609="","",INDEX('Input Transaksi'!$D:$D,$E609))</f>
        <v/>
      </c>
      <c r="C609">
        <f>IF($E609="","",INDEX('Input Transaksi'!$E:$E,$E609))</f>
        <v/>
      </c>
      <c r="D609" s="5">
        <f>IF($E609="","",INDEX('Input Transaksi'!$F:$F,$E609))</f>
        <v/>
      </c>
      <c r="E609">
        <f>IFERROR(AGGREGATE(15,6,ROW('Input Transaksi'!$B$5:$B$5000)/('Input Transaksi'!$B$5:$B$5000="MONANG MANING"),ROWS($E$5:E609)),"")</f>
        <v/>
      </c>
      <c r="F609" s="5" t="n"/>
    </row>
    <row r="610">
      <c r="A610" s="10">
        <f>IF($E610="","",INDEX('Input Transaksi'!$A:$A,$E610))</f>
        <v/>
      </c>
      <c r="B610" s="5">
        <f>IF($E610="","",INDEX('Input Transaksi'!$D:$D,$E610))</f>
        <v/>
      </c>
      <c r="C610">
        <f>IF($E610="","",INDEX('Input Transaksi'!$E:$E,$E610))</f>
        <v/>
      </c>
      <c r="D610" s="5">
        <f>IF($E610="","",INDEX('Input Transaksi'!$F:$F,$E610))</f>
        <v/>
      </c>
      <c r="E610">
        <f>IFERROR(AGGREGATE(15,6,ROW('Input Transaksi'!$B$5:$B$5000)/('Input Transaksi'!$B$5:$B$5000="MONANG MANING"),ROWS($E$5:E610)),"")</f>
        <v/>
      </c>
      <c r="F610" s="5" t="n"/>
    </row>
    <row r="611">
      <c r="A611" s="10">
        <f>IF($E611="","",INDEX('Input Transaksi'!$A:$A,$E611))</f>
        <v/>
      </c>
      <c r="B611" s="5">
        <f>IF($E611="","",INDEX('Input Transaksi'!$D:$D,$E611))</f>
        <v/>
      </c>
      <c r="C611">
        <f>IF($E611="","",INDEX('Input Transaksi'!$E:$E,$E611))</f>
        <v/>
      </c>
      <c r="D611" s="5">
        <f>IF($E611="","",INDEX('Input Transaksi'!$F:$F,$E611))</f>
        <v/>
      </c>
      <c r="E611">
        <f>IFERROR(AGGREGATE(15,6,ROW('Input Transaksi'!$B$5:$B$5000)/('Input Transaksi'!$B$5:$B$5000="MONANG MANING"),ROWS($E$5:E611)),"")</f>
        <v/>
      </c>
      <c r="F611" s="5" t="n"/>
    </row>
    <row r="612">
      <c r="A612" s="10">
        <f>IF($E612="","",INDEX('Input Transaksi'!$A:$A,$E612))</f>
        <v/>
      </c>
      <c r="B612" s="5">
        <f>IF($E612="","",INDEX('Input Transaksi'!$D:$D,$E612))</f>
        <v/>
      </c>
      <c r="C612">
        <f>IF($E612="","",INDEX('Input Transaksi'!$E:$E,$E612))</f>
        <v/>
      </c>
      <c r="D612" s="5">
        <f>IF($E612="","",INDEX('Input Transaksi'!$F:$F,$E612))</f>
        <v/>
      </c>
      <c r="E612">
        <f>IFERROR(AGGREGATE(15,6,ROW('Input Transaksi'!$B$5:$B$5000)/('Input Transaksi'!$B$5:$B$5000="MONANG MANING"),ROWS($E$5:E612)),"")</f>
        <v/>
      </c>
      <c r="F612" s="5" t="n"/>
    </row>
    <row r="613">
      <c r="A613" s="10">
        <f>IF($E613="","",INDEX('Input Transaksi'!$A:$A,$E613))</f>
        <v/>
      </c>
      <c r="B613" s="5">
        <f>IF($E613="","",INDEX('Input Transaksi'!$D:$D,$E613))</f>
        <v/>
      </c>
      <c r="C613">
        <f>IF($E613="","",INDEX('Input Transaksi'!$E:$E,$E613))</f>
        <v/>
      </c>
      <c r="D613" s="5">
        <f>IF($E613="","",INDEX('Input Transaksi'!$F:$F,$E613))</f>
        <v/>
      </c>
      <c r="E613">
        <f>IFERROR(AGGREGATE(15,6,ROW('Input Transaksi'!$B$5:$B$5000)/('Input Transaksi'!$B$5:$B$5000="MONANG MANING"),ROWS($E$5:E613)),"")</f>
        <v/>
      </c>
      <c r="F613" s="5" t="n"/>
    </row>
    <row r="614">
      <c r="A614" s="10">
        <f>IF($E614="","",INDEX('Input Transaksi'!$A:$A,$E614))</f>
        <v/>
      </c>
      <c r="B614" s="5">
        <f>IF($E614="","",INDEX('Input Transaksi'!$D:$D,$E614))</f>
        <v/>
      </c>
      <c r="C614">
        <f>IF($E614="","",INDEX('Input Transaksi'!$E:$E,$E614))</f>
        <v/>
      </c>
      <c r="D614" s="5">
        <f>IF($E614="","",INDEX('Input Transaksi'!$F:$F,$E614))</f>
        <v/>
      </c>
      <c r="E614">
        <f>IFERROR(AGGREGATE(15,6,ROW('Input Transaksi'!$B$5:$B$5000)/('Input Transaksi'!$B$5:$B$5000="MONANG MANING"),ROWS($E$5:E614)),"")</f>
        <v/>
      </c>
      <c r="F614" s="5" t="n"/>
    </row>
    <row r="615">
      <c r="A615" s="10">
        <f>IF($E615="","",INDEX('Input Transaksi'!$A:$A,$E615))</f>
        <v/>
      </c>
      <c r="B615" s="5">
        <f>IF($E615="","",INDEX('Input Transaksi'!$D:$D,$E615))</f>
        <v/>
      </c>
      <c r="C615">
        <f>IF($E615="","",INDEX('Input Transaksi'!$E:$E,$E615))</f>
        <v/>
      </c>
      <c r="D615" s="5">
        <f>IF($E615="","",INDEX('Input Transaksi'!$F:$F,$E615))</f>
        <v/>
      </c>
      <c r="E615">
        <f>IFERROR(AGGREGATE(15,6,ROW('Input Transaksi'!$B$5:$B$5000)/('Input Transaksi'!$B$5:$B$5000="MONANG MANING"),ROWS($E$5:E615)),"")</f>
        <v/>
      </c>
      <c r="F615" s="5" t="n"/>
    </row>
    <row r="616">
      <c r="A616" s="10">
        <f>IF($E616="","",INDEX('Input Transaksi'!$A:$A,$E616))</f>
        <v/>
      </c>
      <c r="B616" s="5">
        <f>IF($E616="","",INDEX('Input Transaksi'!$D:$D,$E616))</f>
        <v/>
      </c>
      <c r="C616">
        <f>IF($E616="","",INDEX('Input Transaksi'!$E:$E,$E616))</f>
        <v/>
      </c>
      <c r="D616" s="5">
        <f>IF($E616="","",INDEX('Input Transaksi'!$F:$F,$E616))</f>
        <v/>
      </c>
      <c r="E616">
        <f>IFERROR(AGGREGATE(15,6,ROW('Input Transaksi'!$B$5:$B$5000)/('Input Transaksi'!$B$5:$B$5000="MONANG MANING"),ROWS($E$5:E616)),"")</f>
        <v/>
      </c>
      <c r="F616" s="5" t="n"/>
    </row>
    <row r="617">
      <c r="A617" s="10">
        <f>IF($E617="","",INDEX('Input Transaksi'!$A:$A,$E617))</f>
        <v/>
      </c>
      <c r="B617" s="5">
        <f>IF($E617="","",INDEX('Input Transaksi'!$D:$D,$E617))</f>
        <v/>
      </c>
      <c r="C617">
        <f>IF($E617="","",INDEX('Input Transaksi'!$E:$E,$E617))</f>
        <v/>
      </c>
      <c r="D617" s="5">
        <f>IF($E617="","",INDEX('Input Transaksi'!$F:$F,$E617))</f>
        <v/>
      </c>
      <c r="E617">
        <f>IFERROR(AGGREGATE(15,6,ROW('Input Transaksi'!$B$5:$B$5000)/('Input Transaksi'!$B$5:$B$5000="MONANG MANING"),ROWS($E$5:E617)),"")</f>
        <v/>
      </c>
      <c r="F617" s="5" t="n"/>
    </row>
    <row r="618">
      <c r="A618" s="10">
        <f>IF($E618="","",INDEX('Input Transaksi'!$A:$A,$E618))</f>
        <v/>
      </c>
      <c r="B618" s="5">
        <f>IF($E618="","",INDEX('Input Transaksi'!$D:$D,$E618))</f>
        <v/>
      </c>
      <c r="C618">
        <f>IF($E618="","",INDEX('Input Transaksi'!$E:$E,$E618))</f>
        <v/>
      </c>
      <c r="D618" s="5">
        <f>IF($E618="","",INDEX('Input Transaksi'!$F:$F,$E618))</f>
        <v/>
      </c>
      <c r="E618">
        <f>IFERROR(AGGREGATE(15,6,ROW('Input Transaksi'!$B$5:$B$5000)/('Input Transaksi'!$B$5:$B$5000="MONANG MANING"),ROWS($E$5:E618)),"")</f>
        <v/>
      </c>
      <c r="F618" s="5" t="n"/>
    </row>
    <row r="619">
      <c r="A619" s="10">
        <f>IF($E619="","",INDEX('Input Transaksi'!$A:$A,$E619))</f>
        <v/>
      </c>
      <c r="B619" s="5">
        <f>IF($E619="","",INDEX('Input Transaksi'!$D:$D,$E619))</f>
        <v/>
      </c>
      <c r="C619">
        <f>IF($E619="","",INDEX('Input Transaksi'!$E:$E,$E619))</f>
        <v/>
      </c>
      <c r="D619" s="5">
        <f>IF($E619="","",INDEX('Input Transaksi'!$F:$F,$E619))</f>
        <v/>
      </c>
      <c r="E619">
        <f>IFERROR(AGGREGATE(15,6,ROW('Input Transaksi'!$B$5:$B$5000)/('Input Transaksi'!$B$5:$B$5000="MONANG MANING"),ROWS($E$5:E619)),"")</f>
        <v/>
      </c>
      <c r="F619" s="5" t="n"/>
    </row>
    <row r="620">
      <c r="A620" s="10">
        <f>IF($E620="","",INDEX('Input Transaksi'!$A:$A,$E620))</f>
        <v/>
      </c>
      <c r="B620" s="5">
        <f>IF($E620="","",INDEX('Input Transaksi'!$D:$D,$E620))</f>
        <v/>
      </c>
      <c r="C620">
        <f>IF($E620="","",INDEX('Input Transaksi'!$E:$E,$E620))</f>
        <v/>
      </c>
      <c r="D620" s="5">
        <f>IF($E620="","",INDEX('Input Transaksi'!$F:$F,$E620))</f>
        <v/>
      </c>
      <c r="E620">
        <f>IFERROR(AGGREGATE(15,6,ROW('Input Transaksi'!$B$5:$B$5000)/('Input Transaksi'!$B$5:$B$5000="MONANG MANING"),ROWS($E$5:E620)),"")</f>
        <v/>
      </c>
      <c r="F620" s="5" t="n"/>
    </row>
    <row r="621">
      <c r="A621" s="10">
        <f>IF($E621="","",INDEX('Input Transaksi'!$A:$A,$E621))</f>
        <v/>
      </c>
      <c r="B621" s="5">
        <f>IF($E621="","",INDEX('Input Transaksi'!$D:$D,$E621))</f>
        <v/>
      </c>
      <c r="C621">
        <f>IF($E621="","",INDEX('Input Transaksi'!$E:$E,$E621))</f>
        <v/>
      </c>
      <c r="D621" s="5">
        <f>IF($E621="","",INDEX('Input Transaksi'!$F:$F,$E621))</f>
        <v/>
      </c>
      <c r="E621">
        <f>IFERROR(AGGREGATE(15,6,ROW('Input Transaksi'!$B$5:$B$5000)/('Input Transaksi'!$B$5:$B$5000="MONANG MANING"),ROWS($E$5:E621)),"")</f>
        <v/>
      </c>
      <c r="F621" s="5" t="n"/>
    </row>
    <row r="622">
      <c r="A622" s="10">
        <f>IF($E622="","",INDEX('Input Transaksi'!$A:$A,$E622))</f>
        <v/>
      </c>
      <c r="B622" s="5">
        <f>IF($E622="","",INDEX('Input Transaksi'!$D:$D,$E622))</f>
        <v/>
      </c>
      <c r="C622">
        <f>IF($E622="","",INDEX('Input Transaksi'!$E:$E,$E622))</f>
        <v/>
      </c>
      <c r="D622" s="5">
        <f>IF($E622="","",INDEX('Input Transaksi'!$F:$F,$E622))</f>
        <v/>
      </c>
      <c r="E622">
        <f>IFERROR(AGGREGATE(15,6,ROW('Input Transaksi'!$B$5:$B$5000)/('Input Transaksi'!$B$5:$B$5000="MONANG MANING"),ROWS($E$5:E622)),"")</f>
        <v/>
      </c>
      <c r="F622" s="5" t="n"/>
    </row>
    <row r="623">
      <c r="A623" s="10">
        <f>IF($E623="","",INDEX('Input Transaksi'!$A:$A,$E623))</f>
        <v/>
      </c>
      <c r="B623" s="5">
        <f>IF($E623="","",INDEX('Input Transaksi'!$D:$D,$E623))</f>
        <v/>
      </c>
      <c r="C623">
        <f>IF($E623="","",INDEX('Input Transaksi'!$E:$E,$E623))</f>
        <v/>
      </c>
      <c r="D623" s="5">
        <f>IF($E623="","",INDEX('Input Transaksi'!$F:$F,$E623))</f>
        <v/>
      </c>
      <c r="E623">
        <f>IFERROR(AGGREGATE(15,6,ROW('Input Transaksi'!$B$5:$B$5000)/('Input Transaksi'!$B$5:$B$5000="MONANG MANING"),ROWS($E$5:E623)),"")</f>
        <v/>
      </c>
      <c r="F623" s="5" t="n"/>
    </row>
    <row r="624">
      <c r="A624" s="10">
        <f>IF($E624="","",INDEX('Input Transaksi'!$A:$A,$E624))</f>
        <v/>
      </c>
      <c r="B624" s="5">
        <f>IF($E624="","",INDEX('Input Transaksi'!$D:$D,$E624))</f>
        <v/>
      </c>
      <c r="C624">
        <f>IF($E624="","",INDEX('Input Transaksi'!$E:$E,$E624))</f>
        <v/>
      </c>
      <c r="D624" s="5">
        <f>IF($E624="","",INDEX('Input Transaksi'!$F:$F,$E624))</f>
        <v/>
      </c>
      <c r="E624">
        <f>IFERROR(AGGREGATE(15,6,ROW('Input Transaksi'!$B$5:$B$5000)/('Input Transaksi'!$B$5:$B$5000="MONANG MANING"),ROWS($E$5:E624)),"")</f>
        <v/>
      </c>
      <c r="F624" s="5" t="n"/>
    </row>
    <row r="625">
      <c r="A625" s="10">
        <f>IF($E625="","",INDEX('Input Transaksi'!$A:$A,$E625))</f>
        <v/>
      </c>
      <c r="B625" s="5">
        <f>IF($E625="","",INDEX('Input Transaksi'!$D:$D,$E625))</f>
        <v/>
      </c>
      <c r="C625">
        <f>IF($E625="","",INDEX('Input Transaksi'!$E:$E,$E625))</f>
        <v/>
      </c>
      <c r="D625" s="5">
        <f>IF($E625="","",INDEX('Input Transaksi'!$F:$F,$E625))</f>
        <v/>
      </c>
      <c r="E625">
        <f>IFERROR(AGGREGATE(15,6,ROW('Input Transaksi'!$B$5:$B$5000)/('Input Transaksi'!$B$5:$B$5000="MONANG MANING"),ROWS($E$5:E625)),"")</f>
        <v/>
      </c>
      <c r="F625" s="5" t="n"/>
    </row>
    <row r="626">
      <c r="A626" s="10">
        <f>IF($E626="","",INDEX('Input Transaksi'!$A:$A,$E626))</f>
        <v/>
      </c>
      <c r="B626" s="5">
        <f>IF($E626="","",INDEX('Input Transaksi'!$D:$D,$E626))</f>
        <v/>
      </c>
      <c r="C626">
        <f>IF($E626="","",INDEX('Input Transaksi'!$E:$E,$E626))</f>
        <v/>
      </c>
      <c r="D626" s="5">
        <f>IF($E626="","",INDEX('Input Transaksi'!$F:$F,$E626))</f>
        <v/>
      </c>
      <c r="E626">
        <f>IFERROR(AGGREGATE(15,6,ROW('Input Transaksi'!$B$5:$B$5000)/('Input Transaksi'!$B$5:$B$5000="MONANG MANING"),ROWS($E$5:E626)),"")</f>
        <v/>
      </c>
      <c r="F626" s="5" t="n"/>
    </row>
    <row r="627">
      <c r="A627" s="10">
        <f>IF($E627="","",INDEX('Input Transaksi'!$A:$A,$E627))</f>
        <v/>
      </c>
      <c r="B627" s="5">
        <f>IF($E627="","",INDEX('Input Transaksi'!$D:$D,$E627))</f>
        <v/>
      </c>
      <c r="C627">
        <f>IF($E627="","",INDEX('Input Transaksi'!$E:$E,$E627))</f>
        <v/>
      </c>
      <c r="D627" s="5">
        <f>IF($E627="","",INDEX('Input Transaksi'!$F:$F,$E627))</f>
        <v/>
      </c>
      <c r="E627">
        <f>IFERROR(AGGREGATE(15,6,ROW('Input Transaksi'!$B$5:$B$5000)/('Input Transaksi'!$B$5:$B$5000="MONANG MANING"),ROWS($E$5:E627)),"")</f>
        <v/>
      </c>
      <c r="F627" s="5" t="n"/>
    </row>
    <row r="628">
      <c r="A628" s="10">
        <f>IF($E628="","",INDEX('Input Transaksi'!$A:$A,$E628))</f>
        <v/>
      </c>
      <c r="B628" s="5">
        <f>IF($E628="","",INDEX('Input Transaksi'!$D:$D,$E628))</f>
        <v/>
      </c>
      <c r="C628">
        <f>IF($E628="","",INDEX('Input Transaksi'!$E:$E,$E628))</f>
        <v/>
      </c>
      <c r="D628" s="5">
        <f>IF($E628="","",INDEX('Input Transaksi'!$F:$F,$E628))</f>
        <v/>
      </c>
      <c r="E628">
        <f>IFERROR(AGGREGATE(15,6,ROW('Input Transaksi'!$B$5:$B$5000)/('Input Transaksi'!$B$5:$B$5000="MONANG MANING"),ROWS($E$5:E628)),"")</f>
        <v/>
      </c>
      <c r="F628" s="5" t="n"/>
    </row>
    <row r="629">
      <c r="A629" s="10">
        <f>IF($E629="","",INDEX('Input Transaksi'!$A:$A,$E629))</f>
        <v/>
      </c>
      <c r="B629" s="5">
        <f>IF($E629="","",INDEX('Input Transaksi'!$D:$D,$E629))</f>
        <v/>
      </c>
      <c r="C629">
        <f>IF($E629="","",INDEX('Input Transaksi'!$E:$E,$E629))</f>
        <v/>
      </c>
      <c r="D629" s="5">
        <f>IF($E629="","",INDEX('Input Transaksi'!$F:$F,$E629))</f>
        <v/>
      </c>
      <c r="E629">
        <f>IFERROR(AGGREGATE(15,6,ROW('Input Transaksi'!$B$5:$B$5000)/('Input Transaksi'!$B$5:$B$5000="MONANG MANING"),ROWS($E$5:E629)),"")</f>
        <v/>
      </c>
      <c r="F629" s="5" t="n"/>
    </row>
    <row r="630">
      <c r="A630" s="10">
        <f>IF($E630="","",INDEX('Input Transaksi'!$A:$A,$E630))</f>
        <v/>
      </c>
      <c r="B630" s="5">
        <f>IF($E630="","",INDEX('Input Transaksi'!$D:$D,$E630))</f>
        <v/>
      </c>
      <c r="C630">
        <f>IF($E630="","",INDEX('Input Transaksi'!$E:$E,$E630))</f>
        <v/>
      </c>
      <c r="D630" s="5">
        <f>IF($E630="","",INDEX('Input Transaksi'!$F:$F,$E630))</f>
        <v/>
      </c>
      <c r="E630">
        <f>IFERROR(AGGREGATE(15,6,ROW('Input Transaksi'!$B$5:$B$5000)/('Input Transaksi'!$B$5:$B$5000="MONANG MANING"),ROWS($E$5:E630)),"")</f>
        <v/>
      </c>
      <c r="F630" s="5" t="n"/>
    </row>
    <row r="631">
      <c r="A631" s="10">
        <f>IF($E631="","",INDEX('Input Transaksi'!$A:$A,$E631))</f>
        <v/>
      </c>
      <c r="B631" s="5">
        <f>IF($E631="","",INDEX('Input Transaksi'!$D:$D,$E631))</f>
        <v/>
      </c>
      <c r="C631">
        <f>IF($E631="","",INDEX('Input Transaksi'!$E:$E,$E631))</f>
        <v/>
      </c>
      <c r="D631" s="5">
        <f>IF($E631="","",INDEX('Input Transaksi'!$F:$F,$E631))</f>
        <v/>
      </c>
      <c r="E631">
        <f>IFERROR(AGGREGATE(15,6,ROW('Input Transaksi'!$B$5:$B$5000)/('Input Transaksi'!$B$5:$B$5000="MONANG MANING"),ROWS($E$5:E631)),"")</f>
        <v/>
      </c>
      <c r="F631" s="5" t="n"/>
    </row>
    <row r="632">
      <c r="A632" s="10">
        <f>IF($E632="","",INDEX('Input Transaksi'!$A:$A,$E632))</f>
        <v/>
      </c>
      <c r="B632" s="5">
        <f>IF($E632="","",INDEX('Input Transaksi'!$D:$D,$E632))</f>
        <v/>
      </c>
      <c r="C632">
        <f>IF($E632="","",INDEX('Input Transaksi'!$E:$E,$E632))</f>
        <v/>
      </c>
      <c r="D632" s="5">
        <f>IF($E632="","",INDEX('Input Transaksi'!$F:$F,$E632))</f>
        <v/>
      </c>
      <c r="E632">
        <f>IFERROR(AGGREGATE(15,6,ROW('Input Transaksi'!$B$5:$B$5000)/('Input Transaksi'!$B$5:$B$5000="MONANG MANING"),ROWS($E$5:E632)),"")</f>
        <v/>
      </c>
      <c r="F632" s="5" t="n"/>
    </row>
    <row r="633">
      <c r="A633" s="10">
        <f>IF($E633="","",INDEX('Input Transaksi'!$A:$A,$E633))</f>
        <v/>
      </c>
      <c r="B633" s="5">
        <f>IF($E633="","",INDEX('Input Transaksi'!$D:$D,$E633))</f>
        <v/>
      </c>
      <c r="C633">
        <f>IF($E633="","",INDEX('Input Transaksi'!$E:$E,$E633))</f>
        <v/>
      </c>
      <c r="D633" s="5">
        <f>IF($E633="","",INDEX('Input Transaksi'!$F:$F,$E633))</f>
        <v/>
      </c>
      <c r="E633">
        <f>IFERROR(AGGREGATE(15,6,ROW('Input Transaksi'!$B$5:$B$5000)/('Input Transaksi'!$B$5:$B$5000="MONANG MANING"),ROWS($E$5:E633)),"")</f>
        <v/>
      </c>
      <c r="F633" s="5" t="n"/>
    </row>
    <row r="634">
      <c r="A634" s="10">
        <f>IF($E634="","",INDEX('Input Transaksi'!$A:$A,$E634))</f>
        <v/>
      </c>
      <c r="B634" s="5">
        <f>IF($E634="","",INDEX('Input Transaksi'!$D:$D,$E634))</f>
        <v/>
      </c>
      <c r="C634">
        <f>IF($E634="","",INDEX('Input Transaksi'!$E:$E,$E634))</f>
        <v/>
      </c>
      <c r="D634" s="5">
        <f>IF($E634="","",INDEX('Input Transaksi'!$F:$F,$E634))</f>
        <v/>
      </c>
      <c r="E634">
        <f>IFERROR(AGGREGATE(15,6,ROW('Input Transaksi'!$B$5:$B$5000)/('Input Transaksi'!$B$5:$B$5000="MONANG MANING"),ROWS($E$5:E634)),"")</f>
        <v/>
      </c>
      <c r="F634" s="5" t="n"/>
    </row>
    <row r="635">
      <c r="A635" s="10">
        <f>IF($E635="","",INDEX('Input Transaksi'!$A:$A,$E635))</f>
        <v/>
      </c>
      <c r="B635" s="5">
        <f>IF($E635="","",INDEX('Input Transaksi'!$D:$D,$E635))</f>
        <v/>
      </c>
      <c r="C635">
        <f>IF($E635="","",INDEX('Input Transaksi'!$E:$E,$E635))</f>
        <v/>
      </c>
      <c r="D635" s="5">
        <f>IF($E635="","",INDEX('Input Transaksi'!$F:$F,$E635))</f>
        <v/>
      </c>
      <c r="E635">
        <f>IFERROR(AGGREGATE(15,6,ROW('Input Transaksi'!$B$5:$B$5000)/('Input Transaksi'!$B$5:$B$5000="MONANG MANING"),ROWS($E$5:E635)),"")</f>
        <v/>
      </c>
      <c r="F635" s="5" t="n"/>
    </row>
    <row r="636">
      <c r="A636" s="10">
        <f>IF($E636="","",INDEX('Input Transaksi'!$A:$A,$E636))</f>
        <v/>
      </c>
      <c r="B636" s="5">
        <f>IF($E636="","",INDEX('Input Transaksi'!$D:$D,$E636))</f>
        <v/>
      </c>
      <c r="C636">
        <f>IF($E636="","",INDEX('Input Transaksi'!$E:$E,$E636))</f>
        <v/>
      </c>
      <c r="D636" s="5">
        <f>IF($E636="","",INDEX('Input Transaksi'!$F:$F,$E636))</f>
        <v/>
      </c>
      <c r="E636">
        <f>IFERROR(AGGREGATE(15,6,ROW('Input Transaksi'!$B$5:$B$5000)/('Input Transaksi'!$B$5:$B$5000="MONANG MANING"),ROWS($E$5:E636)),"")</f>
        <v/>
      </c>
      <c r="F636" s="5" t="n"/>
    </row>
    <row r="637">
      <c r="A637" s="10">
        <f>IF($E637="","",INDEX('Input Transaksi'!$A:$A,$E637))</f>
        <v/>
      </c>
      <c r="B637" s="5">
        <f>IF($E637="","",INDEX('Input Transaksi'!$D:$D,$E637))</f>
        <v/>
      </c>
      <c r="C637">
        <f>IF($E637="","",INDEX('Input Transaksi'!$E:$E,$E637))</f>
        <v/>
      </c>
      <c r="D637" s="5">
        <f>IF($E637="","",INDEX('Input Transaksi'!$F:$F,$E637))</f>
        <v/>
      </c>
      <c r="E637">
        <f>IFERROR(AGGREGATE(15,6,ROW('Input Transaksi'!$B$5:$B$5000)/('Input Transaksi'!$B$5:$B$5000="MONANG MANING"),ROWS($E$5:E637)),"")</f>
        <v/>
      </c>
      <c r="F637" s="5" t="n"/>
    </row>
    <row r="638">
      <c r="A638" s="10">
        <f>IF($E638="","",INDEX('Input Transaksi'!$A:$A,$E638))</f>
        <v/>
      </c>
      <c r="B638" s="5">
        <f>IF($E638="","",INDEX('Input Transaksi'!$D:$D,$E638))</f>
        <v/>
      </c>
      <c r="C638">
        <f>IF($E638="","",INDEX('Input Transaksi'!$E:$E,$E638))</f>
        <v/>
      </c>
      <c r="D638" s="5">
        <f>IF($E638="","",INDEX('Input Transaksi'!$F:$F,$E638))</f>
        <v/>
      </c>
      <c r="E638">
        <f>IFERROR(AGGREGATE(15,6,ROW('Input Transaksi'!$B$5:$B$5000)/('Input Transaksi'!$B$5:$B$5000="MONANG MANING"),ROWS($E$5:E638)),"")</f>
        <v/>
      </c>
      <c r="F638" s="5" t="n"/>
    </row>
    <row r="639">
      <c r="A639" s="10">
        <f>IF($E639="","",INDEX('Input Transaksi'!$A:$A,$E639))</f>
        <v/>
      </c>
      <c r="B639" s="5">
        <f>IF($E639="","",INDEX('Input Transaksi'!$D:$D,$E639))</f>
        <v/>
      </c>
      <c r="C639">
        <f>IF($E639="","",INDEX('Input Transaksi'!$E:$E,$E639))</f>
        <v/>
      </c>
      <c r="D639" s="5">
        <f>IF($E639="","",INDEX('Input Transaksi'!$F:$F,$E639))</f>
        <v/>
      </c>
      <c r="E639">
        <f>IFERROR(AGGREGATE(15,6,ROW('Input Transaksi'!$B$5:$B$5000)/('Input Transaksi'!$B$5:$B$5000="MONANG MANING"),ROWS($E$5:E639)),"")</f>
        <v/>
      </c>
      <c r="F639" s="5" t="n"/>
    </row>
    <row r="640">
      <c r="A640" s="10">
        <f>IF($E640="","",INDEX('Input Transaksi'!$A:$A,$E640))</f>
        <v/>
      </c>
      <c r="B640" s="5">
        <f>IF($E640="","",INDEX('Input Transaksi'!$D:$D,$E640))</f>
        <v/>
      </c>
      <c r="C640">
        <f>IF($E640="","",INDEX('Input Transaksi'!$E:$E,$E640))</f>
        <v/>
      </c>
      <c r="D640" s="5">
        <f>IF($E640="","",INDEX('Input Transaksi'!$F:$F,$E640))</f>
        <v/>
      </c>
      <c r="E640">
        <f>IFERROR(AGGREGATE(15,6,ROW('Input Transaksi'!$B$5:$B$5000)/('Input Transaksi'!$B$5:$B$5000="MONANG MANING"),ROWS($E$5:E640)),"")</f>
        <v/>
      </c>
      <c r="F640" s="5" t="n"/>
    </row>
    <row r="641">
      <c r="A641" s="10">
        <f>IF($E641="","",INDEX('Input Transaksi'!$A:$A,$E641))</f>
        <v/>
      </c>
      <c r="B641" s="5">
        <f>IF($E641="","",INDEX('Input Transaksi'!$D:$D,$E641))</f>
        <v/>
      </c>
      <c r="C641">
        <f>IF($E641="","",INDEX('Input Transaksi'!$E:$E,$E641))</f>
        <v/>
      </c>
      <c r="D641" s="5">
        <f>IF($E641="","",INDEX('Input Transaksi'!$F:$F,$E641))</f>
        <v/>
      </c>
      <c r="E641">
        <f>IFERROR(AGGREGATE(15,6,ROW('Input Transaksi'!$B$5:$B$5000)/('Input Transaksi'!$B$5:$B$5000="MONANG MANING"),ROWS($E$5:E641)),"")</f>
        <v/>
      </c>
      <c r="F641" s="5" t="n"/>
    </row>
    <row r="642">
      <c r="A642" s="10">
        <f>IF($E642="","",INDEX('Input Transaksi'!$A:$A,$E642))</f>
        <v/>
      </c>
      <c r="B642" s="5">
        <f>IF($E642="","",INDEX('Input Transaksi'!$D:$D,$E642))</f>
        <v/>
      </c>
      <c r="C642">
        <f>IF($E642="","",INDEX('Input Transaksi'!$E:$E,$E642))</f>
        <v/>
      </c>
      <c r="D642" s="5">
        <f>IF($E642="","",INDEX('Input Transaksi'!$F:$F,$E642))</f>
        <v/>
      </c>
      <c r="E642">
        <f>IFERROR(AGGREGATE(15,6,ROW('Input Transaksi'!$B$5:$B$5000)/('Input Transaksi'!$B$5:$B$5000="MONANG MANING"),ROWS($E$5:E642)),"")</f>
        <v/>
      </c>
      <c r="F642" s="5" t="n"/>
    </row>
    <row r="643">
      <c r="A643" s="10">
        <f>IF($E643="","",INDEX('Input Transaksi'!$A:$A,$E643))</f>
        <v/>
      </c>
      <c r="B643" s="5">
        <f>IF($E643="","",INDEX('Input Transaksi'!$D:$D,$E643))</f>
        <v/>
      </c>
      <c r="C643">
        <f>IF($E643="","",INDEX('Input Transaksi'!$E:$E,$E643))</f>
        <v/>
      </c>
      <c r="D643" s="5">
        <f>IF($E643="","",INDEX('Input Transaksi'!$F:$F,$E643))</f>
        <v/>
      </c>
      <c r="E643">
        <f>IFERROR(AGGREGATE(15,6,ROW('Input Transaksi'!$B$5:$B$5000)/('Input Transaksi'!$B$5:$B$5000="MONANG MANING"),ROWS($E$5:E643)),"")</f>
        <v/>
      </c>
      <c r="F643" s="5" t="n"/>
    </row>
    <row r="644">
      <c r="A644" s="10">
        <f>IF($E644="","",INDEX('Input Transaksi'!$A:$A,$E644))</f>
        <v/>
      </c>
      <c r="B644" s="5">
        <f>IF($E644="","",INDEX('Input Transaksi'!$D:$D,$E644))</f>
        <v/>
      </c>
      <c r="C644">
        <f>IF($E644="","",INDEX('Input Transaksi'!$E:$E,$E644))</f>
        <v/>
      </c>
      <c r="D644" s="5">
        <f>IF($E644="","",INDEX('Input Transaksi'!$F:$F,$E644))</f>
        <v/>
      </c>
      <c r="E644">
        <f>IFERROR(AGGREGATE(15,6,ROW('Input Transaksi'!$B$5:$B$5000)/('Input Transaksi'!$B$5:$B$5000="MONANG MANING"),ROWS($E$5:E644)),"")</f>
        <v/>
      </c>
      <c r="F644" s="5" t="n"/>
    </row>
    <row r="645">
      <c r="A645" s="10">
        <f>IF($E645="","",INDEX('Input Transaksi'!$A:$A,$E645))</f>
        <v/>
      </c>
      <c r="B645" s="5">
        <f>IF($E645="","",INDEX('Input Transaksi'!$D:$D,$E645))</f>
        <v/>
      </c>
      <c r="C645">
        <f>IF($E645="","",INDEX('Input Transaksi'!$E:$E,$E645))</f>
        <v/>
      </c>
      <c r="D645" s="5">
        <f>IF($E645="","",INDEX('Input Transaksi'!$F:$F,$E645))</f>
        <v/>
      </c>
      <c r="E645">
        <f>IFERROR(AGGREGATE(15,6,ROW('Input Transaksi'!$B$5:$B$5000)/('Input Transaksi'!$B$5:$B$5000="MONANG MANING"),ROWS($E$5:E645)),"")</f>
        <v/>
      </c>
      <c r="F645" s="5" t="n"/>
    </row>
    <row r="646">
      <c r="A646" s="10">
        <f>IF($E646="","",INDEX('Input Transaksi'!$A:$A,$E646))</f>
        <v/>
      </c>
      <c r="B646" s="5">
        <f>IF($E646="","",INDEX('Input Transaksi'!$D:$D,$E646))</f>
        <v/>
      </c>
      <c r="C646">
        <f>IF($E646="","",INDEX('Input Transaksi'!$E:$E,$E646))</f>
        <v/>
      </c>
      <c r="D646" s="5">
        <f>IF($E646="","",INDEX('Input Transaksi'!$F:$F,$E646))</f>
        <v/>
      </c>
      <c r="E646">
        <f>IFERROR(AGGREGATE(15,6,ROW('Input Transaksi'!$B$5:$B$5000)/('Input Transaksi'!$B$5:$B$5000="MONANG MANING"),ROWS($E$5:E646)),"")</f>
        <v/>
      </c>
      <c r="F646" s="5" t="n"/>
    </row>
    <row r="647">
      <c r="A647" s="10">
        <f>IF($E647="","",INDEX('Input Transaksi'!$A:$A,$E647))</f>
        <v/>
      </c>
      <c r="B647" s="5">
        <f>IF($E647="","",INDEX('Input Transaksi'!$D:$D,$E647))</f>
        <v/>
      </c>
      <c r="C647">
        <f>IF($E647="","",INDEX('Input Transaksi'!$E:$E,$E647))</f>
        <v/>
      </c>
      <c r="D647" s="5">
        <f>IF($E647="","",INDEX('Input Transaksi'!$F:$F,$E647))</f>
        <v/>
      </c>
      <c r="E647">
        <f>IFERROR(AGGREGATE(15,6,ROW('Input Transaksi'!$B$5:$B$5000)/('Input Transaksi'!$B$5:$B$5000="MONANG MANING"),ROWS($E$5:E647)),"")</f>
        <v/>
      </c>
      <c r="F647" s="5" t="n"/>
    </row>
    <row r="648">
      <c r="A648" s="10">
        <f>IF($E648="","",INDEX('Input Transaksi'!$A:$A,$E648))</f>
        <v/>
      </c>
      <c r="B648" s="5">
        <f>IF($E648="","",INDEX('Input Transaksi'!$D:$D,$E648))</f>
        <v/>
      </c>
      <c r="C648">
        <f>IF($E648="","",INDEX('Input Transaksi'!$E:$E,$E648))</f>
        <v/>
      </c>
      <c r="D648" s="5">
        <f>IF($E648="","",INDEX('Input Transaksi'!$F:$F,$E648))</f>
        <v/>
      </c>
      <c r="E648">
        <f>IFERROR(AGGREGATE(15,6,ROW('Input Transaksi'!$B$5:$B$5000)/('Input Transaksi'!$B$5:$B$5000="MONANG MANING"),ROWS($E$5:E648)),"")</f>
        <v/>
      </c>
      <c r="F648" s="5" t="n"/>
    </row>
    <row r="649">
      <c r="A649" s="10">
        <f>IF($E649="","",INDEX('Input Transaksi'!$A:$A,$E649))</f>
        <v/>
      </c>
      <c r="B649" s="5">
        <f>IF($E649="","",INDEX('Input Transaksi'!$D:$D,$E649))</f>
        <v/>
      </c>
      <c r="C649">
        <f>IF($E649="","",INDEX('Input Transaksi'!$E:$E,$E649))</f>
        <v/>
      </c>
      <c r="D649" s="5">
        <f>IF($E649="","",INDEX('Input Transaksi'!$F:$F,$E649))</f>
        <v/>
      </c>
      <c r="E649">
        <f>IFERROR(AGGREGATE(15,6,ROW('Input Transaksi'!$B$5:$B$5000)/('Input Transaksi'!$B$5:$B$5000="MONANG MANING"),ROWS($E$5:E649)),"")</f>
        <v/>
      </c>
      <c r="F649" s="5" t="n"/>
    </row>
    <row r="650">
      <c r="A650" s="10">
        <f>IF($E650="","",INDEX('Input Transaksi'!$A:$A,$E650))</f>
        <v/>
      </c>
      <c r="B650" s="5">
        <f>IF($E650="","",INDEX('Input Transaksi'!$D:$D,$E650))</f>
        <v/>
      </c>
      <c r="C650">
        <f>IF($E650="","",INDEX('Input Transaksi'!$E:$E,$E650))</f>
        <v/>
      </c>
      <c r="D650" s="5">
        <f>IF($E650="","",INDEX('Input Transaksi'!$F:$F,$E650))</f>
        <v/>
      </c>
      <c r="E650">
        <f>IFERROR(AGGREGATE(15,6,ROW('Input Transaksi'!$B$5:$B$5000)/('Input Transaksi'!$B$5:$B$5000="MONANG MANING"),ROWS($E$5:E650)),"")</f>
        <v/>
      </c>
      <c r="F650" s="5" t="n"/>
    </row>
    <row r="651">
      <c r="A651" s="10">
        <f>IF($E651="","",INDEX('Input Transaksi'!$A:$A,$E651))</f>
        <v/>
      </c>
      <c r="B651" s="5">
        <f>IF($E651="","",INDEX('Input Transaksi'!$D:$D,$E651))</f>
        <v/>
      </c>
      <c r="C651">
        <f>IF($E651="","",INDEX('Input Transaksi'!$E:$E,$E651))</f>
        <v/>
      </c>
      <c r="D651" s="5">
        <f>IF($E651="","",INDEX('Input Transaksi'!$F:$F,$E651))</f>
        <v/>
      </c>
      <c r="E651">
        <f>IFERROR(AGGREGATE(15,6,ROW('Input Transaksi'!$B$5:$B$5000)/('Input Transaksi'!$B$5:$B$5000="MONANG MANING"),ROWS($E$5:E651)),"")</f>
        <v/>
      </c>
      <c r="F651" s="5" t="n"/>
    </row>
    <row r="652">
      <c r="A652" s="10">
        <f>IF($E652="","",INDEX('Input Transaksi'!$A:$A,$E652))</f>
        <v/>
      </c>
      <c r="B652" s="5">
        <f>IF($E652="","",INDEX('Input Transaksi'!$D:$D,$E652))</f>
        <v/>
      </c>
      <c r="C652">
        <f>IF($E652="","",INDEX('Input Transaksi'!$E:$E,$E652))</f>
        <v/>
      </c>
      <c r="D652" s="5">
        <f>IF($E652="","",INDEX('Input Transaksi'!$F:$F,$E652))</f>
        <v/>
      </c>
      <c r="E652">
        <f>IFERROR(AGGREGATE(15,6,ROW('Input Transaksi'!$B$5:$B$5000)/('Input Transaksi'!$B$5:$B$5000="MONANG MANING"),ROWS($E$5:E652)),"")</f>
        <v/>
      </c>
      <c r="F652" s="5" t="n"/>
    </row>
    <row r="653">
      <c r="A653" s="10">
        <f>IF($E653="","",INDEX('Input Transaksi'!$A:$A,$E653))</f>
        <v/>
      </c>
      <c r="B653" s="5">
        <f>IF($E653="","",INDEX('Input Transaksi'!$D:$D,$E653))</f>
        <v/>
      </c>
      <c r="C653">
        <f>IF($E653="","",INDEX('Input Transaksi'!$E:$E,$E653))</f>
        <v/>
      </c>
      <c r="D653" s="5">
        <f>IF($E653="","",INDEX('Input Transaksi'!$F:$F,$E653))</f>
        <v/>
      </c>
      <c r="E653">
        <f>IFERROR(AGGREGATE(15,6,ROW('Input Transaksi'!$B$5:$B$5000)/('Input Transaksi'!$B$5:$B$5000="MONANG MANING"),ROWS($E$5:E653)),"")</f>
        <v/>
      </c>
      <c r="F653" s="5" t="n"/>
    </row>
    <row r="654">
      <c r="A654" s="10">
        <f>IF($E654="","",INDEX('Input Transaksi'!$A:$A,$E654))</f>
        <v/>
      </c>
      <c r="B654" s="5">
        <f>IF($E654="","",INDEX('Input Transaksi'!$D:$D,$E654))</f>
        <v/>
      </c>
      <c r="C654">
        <f>IF($E654="","",INDEX('Input Transaksi'!$E:$E,$E654))</f>
        <v/>
      </c>
      <c r="D654" s="5">
        <f>IF($E654="","",INDEX('Input Transaksi'!$F:$F,$E654))</f>
        <v/>
      </c>
      <c r="E654">
        <f>IFERROR(AGGREGATE(15,6,ROW('Input Transaksi'!$B$5:$B$5000)/('Input Transaksi'!$B$5:$B$5000="MONANG MANING"),ROWS($E$5:E654)),"")</f>
        <v/>
      </c>
      <c r="F654" s="5" t="n"/>
    </row>
    <row r="655">
      <c r="A655" s="10">
        <f>IF($E655="","",INDEX('Input Transaksi'!$A:$A,$E655))</f>
        <v/>
      </c>
      <c r="B655" s="5">
        <f>IF($E655="","",INDEX('Input Transaksi'!$D:$D,$E655))</f>
        <v/>
      </c>
      <c r="C655">
        <f>IF($E655="","",INDEX('Input Transaksi'!$E:$E,$E655))</f>
        <v/>
      </c>
      <c r="D655" s="5">
        <f>IF($E655="","",INDEX('Input Transaksi'!$F:$F,$E655))</f>
        <v/>
      </c>
      <c r="E655">
        <f>IFERROR(AGGREGATE(15,6,ROW('Input Transaksi'!$B$5:$B$5000)/('Input Transaksi'!$B$5:$B$5000="MONANG MANING"),ROWS($E$5:E655)),"")</f>
        <v/>
      </c>
      <c r="F655" s="5" t="n"/>
    </row>
    <row r="656">
      <c r="A656" s="10">
        <f>IF($E656="","",INDEX('Input Transaksi'!$A:$A,$E656))</f>
        <v/>
      </c>
      <c r="B656" s="5">
        <f>IF($E656="","",INDEX('Input Transaksi'!$D:$D,$E656))</f>
        <v/>
      </c>
      <c r="C656">
        <f>IF($E656="","",INDEX('Input Transaksi'!$E:$E,$E656))</f>
        <v/>
      </c>
      <c r="D656" s="5">
        <f>IF($E656="","",INDEX('Input Transaksi'!$F:$F,$E656))</f>
        <v/>
      </c>
      <c r="E656">
        <f>IFERROR(AGGREGATE(15,6,ROW('Input Transaksi'!$B$5:$B$5000)/('Input Transaksi'!$B$5:$B$5000="MONANG MANING"),ROWS($E$5:E656)),"")</f>
        <v/>
      </c>
      <c r="F656" s="5" t="n"/>
    </row>
    <row r="657">
      <c r="A657" s="10">
        <f>IF($E657="","",INDEX('Input Transaksi'!$A:$A,$E657))</f>
        <v/>
      </c>
      <c r="B657" s="5">
        <f>IF($E657="","",INDEX('Input Transaksi'!$D:$D,$E657))</f>
        <v/>
      </c>
      <c r="C657">
        <f>IF($E657="","",INDEX('Input Transaksi'!$E:$E,$E657))</f>
        <v/>
      </c>
      <c r="D657" s="5">
        <f>IF($E657="","",INDEX('Input Transaksi'!$F:$F,$E657))</f>
        <v/>
      </c>
      <c r="E657">
        <f>IFERROR(AGGREGATE(15,6,ROW('Input Transaksi'!$B$5:$B$5000)/('Input Transaksi'!$B$5:$B$5000="MONANG MANING"),ROWS($E$5:E657)),"")</f>
        <v/>
      </c>
      <c r="F657" s="5" t="n"/>
    </row>
    <row r="658">
      <c r="A658" s="10">
        <f>IF($E658="","",INDEX('Input Transaksi'!$A:$A,$E658))</f>
        <v/>
      </c>
      <c r="B658" s="5">
        <f>IF($E658="","",INDEX('Input Transaksi'!$D:$D,$E658))</f>
        <v/>
      </c>
      <c r="C658">
        <f>IF($E658="","",INDEX('Input Transaksi'!$E:$E,$E658))</f>
        <v/>
      </c>
      <c r="D658" s="5">
        <f>IF($E658="","",INDEX('Input Transaksi'!$F:$F,$E658))</f>
        <v/>
      </c>
      <c r="E658">
        <f>IFERROR(AGGREGATE(15,6,ROW('Input Transaksi'!$B$5:$B$5000)/('Input Transaksi'!$B$5:$B$5000="MONANG MANING"),ROWS($E$5:E658)),"")</f>
        <v/>
      </c>
      <c r="F658" s="5" t="n"/>
    </row>
    <row r="659">
      <c r="A659" s="10">
        <f>IF($E659="","",INDEX('Input Transaksi'!$A:$A,$E659))</f>
        <v/>
      </c>
      <c r="B659" s="5">
        <f>IF($E659="","",INDEX('Input Transaksi'!$D:$D,$E659))</f>
        <v/>
      </c>
      <c r="C659">
        <f>IF($E659="","",INDEX('Input Transaksi'!$E:$E,$E659))</f>
        <v/>
      </c>
      <c r="D659" s="5">
        <f>IF($E659="","",INDEX('Input Transaksi'!$F:$F,$E659))</f>
        <v/>
      </c>
      <c r="E659">
        <f>IFERROR(AGGREGATE(15,6,ROW('Input Transaksi'!$B$5:$B$5000)/('Input Transaksi'!$B$5:$B$5000="MONANG MANING"),ROWS($E$5:E659)),"")</f>
        <v/>
      </c>
      <c r="F659" s="5" t="n"/>
    </row>
    <row r="660">
      <c r="A660" s="10">
        <f>IF($E660="","",INDEX('Input Transaksi'!$A:$A,$E660))</f>
        <v/>
      </c>
      <c r="B660" s="5">
        <f>IF($E660="","",INDEX('Input Transaksi'!$D:$D,$E660))</f>
        <v/>
      </c>
      <c r="C660">
        <f>IF($E660="","",INDEX('Input Transaksi'!$E:$E,$E660))</f>
        <v/>
      </c>
      <c r="D660" s="5">
        <f>IF($E660="","",INDEX('Input Transaksi'!$F:$F,$E660))</f>
        <v/>
      </c>
      <c r="E660">
        <f>IFERROR(AGGREGATE(15,6,ROW('Input Transaksi'!$B$5:$B$5000)/('Input Transaksi'!$B$5:$B$5000="MONANG MANING"),ROWS($E$5:E660)),"")</f>
        <v/>
      </c>
      <c r="F660" s="5" t="n"/>
    </row>
    <row r="661">
      <c r="A661" s="10">
        <f>IF($E661="","",INDEX('Input Transaksi'!$A:$A,$E661))</f>
        <v/>
      </c>
      <c r="B661" s="5">
        <f>IF($E661="","",INDEX('Input Transaksi'!$D:$D,$E661))</f>
        <v/>
      </c>
      <c r="C661">
        <f>IF($E661="","",INDEX('Input Transaksi'!$E:$E,$E661))</f>
        <v/>
      </c>
      <c r="D661" s="5">
        <f>IF($E661="","",INDEX('Input Transaksi'!$F:$F,$E661))</f>
        <v/>
      </c>
      <c r="E661">
        <f>IFERROR(AGGREGATE(15,6,ROW('Input Transaksi'!$B$5:$B$5000)/('Input Transaksi'!$B$5:$B$5000="MONANG MANING"),ROWS($E$5:E661)),"")</f>
        <v/>
      </c>
      <c r="F661" s="5" t="n"/>
    </row>
    <row r="662">
      <c r="A662" s="10">
        <f>IF($E662="","",INDEX('Input Transaksi'!$A:$A,$E662))</f>
        <v/>
      </c>
      <c r="B662" s="5">
        <f>IF($E662="","",INDEX('Input Transaksi'!$D:$D,$E662))</f>
        <v/>
      </c>
      <c r="C662">
        <f>IF($E662="","",INDEX('Input Transaksi'!$E:$E,$E662))</f>
        <v/>
      </c>
      <c r="D662" s="5">
        <f>IF($E662="","",INDEX('Input Transaksi'!$F:$F,$E662))</f>
        <v/>
      </c>
      <c r="E662">
        <f>IFERROR(AGGREGATE(15,6,ROW('Input Transaksi'!$B$5:$B$5000)/('Input Transaksi'!$B$5:$B$5000="MONANG MANING"),ROWS($E$5:E662)),"")</f>
        <v/>
      </c>
      <c r="F662" s="5" t="n"/>
    </row>
    <row r="663">
      <c r="A663" s="10">
        <f>IF($E663="","",INDEX('Input Transaksi'!$A:$A,$E663))</f>
        <v/>
      </c>
      <c r="B663" s="5">
        <f>IF($E663="","",INDEX('Input Transaksi'!$D:$D,$E663))</f>
        <v/>
      </c>
      <c r="C663">
        <f>IF($E663="","",INDEX('Input Transaksi'!$E:$E,$E663))</f>
        <v/>
      </c>
      <c r="D663" s="5">
        <f>IF($E663="","",INDEX('Input Transaksi'!$F:$F,$E663))</f>
        <v/>
      </c>
      <c r="E663">
        <f>IFERROR(AGGREGATE(15,6,ROW('Input Transaksi'!$B$5:$B$5000)/('Input Transaksi'!$B$5:$B$5000="MONANG MANING"),ROWS($E$5:E663)),"")</f>
        <v/>
      </c>
      <c r="F663" s="5" t="n"/>
    </row>
    <row r="664">
      <c r="A664" s="10">
        <f>IF($E664="","",INDEX('Input Transaksi'!$A:$A,$E664))</f>
        <v/>
      </c>
      <c r="B664" s="5">
        <f>IF($E664="","",INDEX('Input Transaksi'!$D:$D,$E664))</f>
        <v/>
      </c>
      <c r="C664">
        <f>IF($E664="","",INDEX('Input Transaksi'!$E:$E,$E664))</f>
        <v/>
      </c>
      <c r="D664" s="5">
        <f>IF($E664="","",INDEX('Input Transaksi'!$F:$F,$E664))</f>
        <v/>
      </c>
      <c r="E664">
        <f>IFERROR(AGGREGATE(15,6,ROW('Input Transaksi'!$B$5:$B$5000)/('Input Transaksi'!$B$5:$B$5000="MONANG MANING"),ROWS($E$5:E664)),"")</f>
        <v/>
      </c>
      <c r="F664" s="5" t="n"/>
    </row>
    <row r="665">
      <c r="A665" s="10">
        <f>IF($E665="","",INDEX('Input Transaksi'!$A:$A,$E665))</f>
        <v/>
      </c>
      <c r="B665" s="5">
        <f>IF($E665="","",INDEX('Input Transaksi'!$D:$D,$E665))</f>
        <v/>
      </c>
      <c r="C665">
        <f>IF($E665="","",INDEX('Input Transaksi'!$E:$E,$E665))</f>
        <v/>
      </c>
      <c r="D665" s="5">
        <f>IF($E665="","",INDEX('Input Transaksi'!$F:$F,$E665))</f>
        <v/>
      </c>
      <c r="E665">
        <f>IFERROR(AGGREGATE(15,6,ROW('Input Transaksi'!$B$5:$B$5000)/('Input Transaksi'!$B$5:$B$5000="MONANG MANING"),ROWS($E$5:E665)),"")</f>
        <v/>
      </c>
      <c r="F665" s="5" t="n"/>
    </row>
    <row r="666">
      <c r="A666" s="10">
        <f>IF($E666="","",INDEX('Input Transaksi'!$A:$A,$E666))</f>
        <v/>
      </c>
      <c r="B666" s="5">
        <f>IF($E666="","",INDEX('Input Transaksi'!$D:$D,$E666))</f>
        <v/>
      </c>
      <c r="C666">
        <f>IF($E666="","",INDEX('Input Transaksi'!$E:$E,$E666))</f>
        <v/>
      </c>
      <c r="D666" s="5">
        <f>IF($E666="","",INDEX('Input Transaksi'!$F:$F,$E666))</f>
        <v/>
      </c>
      <c r="E666">
        <f>IFERROR(AGGREGATE(15,6,ROW('Input Transaksi'!$B$5:$B$5000)/('Input Transaksi'!$B$5:$B$5000="MONANG MANING"),ROWS($E$5:E666)),"")</f>
        <v/>
      </c>
      <c r="F666" s="5" t="n"/>
    </row>
    <row r="667">
      <c r="A667" s="10">
        <f>IF($E667="","",INDEX('Input Transaksi'!$A:$A,$E667))</f>
        <v/>
      </c>
      <c r="B667" s="5">
        <f>IF($E667="","",INDEX('Input Transaksi'!$D:$D,$E667))</f>
        <v/>
      </c>
      <c r="C667">
        <f>IF($E667="","",INDEX('Input Transaksi'!$E:$E,$E667))</f>
        <v/>
      </c>
      <c r="D667" s="5">
        <f>IF($E667="","",INDEX('Input Transaksi'!$F:$F,$E667))</f>
        <v/>
      </c>
      <c r="E667">
        <f>IFERROR(AGGREGATE(15,6,ROW('Input Transaksi'!$B$5:$B$5000)/('Input Transaksi'!$B$5:$B$5000="MONANG MANING"),ROWS($E$5:E667)),"")</f>
        <v/>
      </c>
      <c r="F667" s="5" t="n"/>
    </row>
    <row r="668">
      <c r="A668" s="10">
        <f>IF($E668="","",INDEX('Input Transaksi'!$A:$A,$E668))</f>
        <v/>
      </c>
      <c r="B668" s="5">
        <f>IF($E668="","",INDEX('Input Transaksi'!$D:$D,$E668))</f>
        <v/>
      </c>
      <c r="C668">
        <f>IF($E668="","",INDEX('Input Transaksi'!$E:$E,$E668))</f>
        <v/>
      </c>
      <c r="D668" s="5">
        <f>IF($E668="","",INDEX('Input Transaksi'!$F:$F,$E668))</f>
        <v/>
      </c>
      <c r="E668">
        <f>IFERROR(AGGREGATE(15,6,ROW('Input Transaksi'!$B$5:$B$5000)/('Input Transaksi'!$B$5:$B$5000="MONANG MANING"),ROWS($E$5:E668)),"")</f>
        <v/>
      </c>
      <c r="F668" s="5" t="n"/>
    </row>
    <row r="669">
      <c r="A669" s="10">
        <f>IF($E669="","",INDEX('Input Transaksi'!$A:$A,$E669))</f>
        <v/>
      </c>
      <c r="B669" s="5">
        <f>IF($E669="","",INDEX('Input Transaksi'!$D:$D,$E669))</f>
        <v/>
      </c>
      <c r="C669">
        <f>IF($E669="","",INDEX('Input Transaksi'!$E:$E,$E669))</f>
        <v/>
      </c>
      <c r="D669" s="5">
        <f>IF($E669="","",INDEX('Input Transaksi'!$F:$F,$E669))</f>
        <v/>
      </c>
      <c r="E669">
        <f>IFERROR(AGGREGATE(15,6,ROW('Input Transaksi'!$B$5:$B$5000)/('Input Transaksi'!$B$5:$B$5000="MONANG MANING"),ROWS($E$5:E669)),"")</f>
        <v/>
      </c>
      <c r="F669" s="5" t="n"/>
    </row>
    <row r="670">
      <c r="A670" s="10">
        <f>IF($E670="","",INDEX('Input Transaksi'!$A:$A,$E670))</f>
        <v/>
      </c>
      <c r="B670" s="5">
        <f>IF($E670="","",INDEX('Input Transaksi'!$D:$D,$E670))</f>
        <v/>
      </c>
      <c r="C670">
        <f>IF($E670="","",INDEX('Input Transaksi'!$E:$E,$E670))</f>
        <v/>
      </c>
      <c r="D670" s="5">
        <f>IF($E670="","",INDEX('Input Transaksi'!$F:$F,$E670))</f>
        <v/>
      </c>
      <c r="E670">
        <f>IFERROR(AGGREGATE(15,6,ROW('Input Transaksi'!$B$5:$B$5000)/('Input Transaksi'!$B$5:$B$5000="MONANG MANING"),ROWS($E$5:E670)),"")</f>
        <v/>
      </c>
      <c r="F670" s="5" t="n"/>
    </row>
    <row r="671">
      <c r="A671" s="10">
        <f>IF($E671="","",INDEX('Input Transaksi'!$A:$A,$E671))</f>
        <v/>
      </c>
      <c r="B671" s="5">
        <f>IF($E671="","",INDEX('Input Transaksi'!$D:$D,$E671))</f>
        <v/>
      </c>
      <c r="C671">
        <f>IF($E671="","",INDEX('Input Transaksi'!$E:$E,$E671))</f>
        <v/>
      </c>
      <c r="D671" s="5">
        <f>IF($E671="","",INDEX('Input Transaksi'!$F:$F,$E671))</f>
        <v/>
      </c>
      <c r="E671">
        <f>IFERROR(AGGREGATE(15,6,ROW('Input Transaksi'!$B$5:$B$5000)/('Input Transaksi'!$B$5:$B$5000="MONANG MANING"),ROWS($E$5:E671)),"")</f>
        <v/>
      </c>
      <c r="F671" s="5" t="n"/>
    </row>
    <row r="672">
      <c r="A672" s="10">
        <f>IF($E672="","",INDEX('Input Transaksi'!$A:$A,$E672))</f>
        <v/>
      </c>
      <c r="B672" s="5">
        <f>IF($E672="","",INDEX('Input Transaksi'!$D:$D,$E672))</f>
        <v/>
      </c>
      <c r="C672">
        <f>IF($E672="","",INDEX('Input Transaksi'!$E:$E,$E672))</f>
        <v/>
      </c>
      <c r="D672" s="5">
        <f>IF($E672="","",INDEX('Input Transaksi'!$F:$F,$E672))</f>
        <v/>
      </c>
      <c r="E672">
        <f>IFERROR(AGGREGATE(15,6,ROW('Input Transaksi'!$B$5:$B$5000)/('Input Transaksi'!$B$5:$B$5000="MONANG MANING"),ROWS($E$5:E672)),"")</f>
        <v/>
      </c>
      <c r="F672" s="5" t="n"/>
    </row>
    <row r="673">
      <c r="A673" s="10">
        <f>IF($E673="","",INDEX('Input Transaksi'!$A:$A,$E673))</f>
        <v/>
      </c>
      <c r="B673" s="5">
        <f>IF($E673="","",INDEX('Input Transaksi'!$D:$D,$E673))</f>
        <v/>
      </c>
      <c r="C673">
        <f>IF($E673="","",INDEX('Input Transaksi'!$E:$E,$E673))</f>
        <v/>
      </c>
      <c r="D673" s="5">
        <f>IF($E673="","",INDEX('Input Transaksi'!$F:$F,$E673))</f>
        <v/>
      </c>
      <c r="E673">
        <f>IFERROR(AGGREGATE(15,6,ROW('Input Transaksi'!$B$5:$B$5000)/('Input Transaksi'!$B$5:$B$5000="MONANG MANING"),ROWS($E$5:E673)),"")</f>
        <v/>
      </c>
      <c r="F673" s="5" t="n"/>
    </row>
    <row r="674">
      <c r="A674" s="10">
        <f>IF($E674="","",INDEX('Input Transaksi'!$A:$A,$E674))</f>
        <v/>
      </c>
      <c r="B674" s="5">
        <f>IF($E674="","",INDEX('Input Transaksi'!$D:$D,$E674))</f>
        <v/>
      </c>
      <c r="C674">
        <f>IF($E674="","",INDEX('Input Transaksi'!$E:$E,$E674))</f>
        <v/>
      </c>
      <c r="D674" s="5">
        <f>IF($E674="","",INDEX('Input Transaksi'!$F:$F,$E674))</f>
        <v/>
      </c>
      <c r="E674">
        <f>IFERROR(AGGREGATE(15,6,ROW('Input Transaksi'!$B$5:$B$5000)/('Input Transaksi'!$B$5:$B$5000="MONANG MANING"),ROWS($E$5:E674)),"")</f>
        <v/>
      </c>
      <c r="F674" s="5" t="n"/>
    </row>
    <row r="675">
      <c r="A675" s="10">
        <f>IF($E675="","",INDEX('Input Transaksi'!$A:$A,$E675))</f>
        <v/>
      </c>
      <c r="B675" s="5">
        <f>IF($E675="","",INDEX('Input Transaksi'!$D:$D,$E675))</f>
        <v/>
      </c>
      <c r="C675">
        <f>IF($E675="","",INDEX('Input Transaksi'!$E:$E,$E675))</f>
        <v/>
      </c>
      <c r="D675" s="5">
        <f>IF($E675="","",INDEX('Input Transaksi'!$F:$F,$E675))</f>
        <v/>
      </c>
      <c r="E675">
        <f>IFERROR(AGGREGATE(15,6,ROW('Input Transaksi'!$B$5:$B$5000)/('Input Transaksi'!$B$5:$B$5000="MONANG MANING"),ROWS($E$5:E675)),"")</f>
        <v/>
      </c>
      <c r="F675" s="5" t="n"/>
    </row>
    <row r="676">
      <c r="A676" s="10">
        <f>IF($E676="","",INDEX('Input Transaksi'!$A:$A,$E676))</f>
        <v/>
      </c>
      <c r="B676" s="5">
        <f>IF($E676="","",INDEX('Input Transaksi'!$D:$D,$E676))</f>
        <v/>
      </c>
      <c r="C676">
        <f>IF($E676="","",INDEX('Input Transaksi'!$E:$E,$E676))</f>
        <v/>
      </c>
      <c r="D676" s="5">
        <f>IF($E676="","",INDEX('Input Transaksi'!$F:$F,$E676))</f>
        <v/>
      </c>
      <c r="E676">
        <f>IFERROR(AGGREGATE(15,6,ROW('Input Transaksi'!$B$5:$B$5000)/('Input Transaksi'!$B$5:$B$5000="MONANG MANING"),ROWS($E$5:E676)),"")</f>
        <v/>
      </c>
      <c r="F676" s="5" t="n"/>
    </row>
    <row r="677">
      <c r="A677" s="10">
        <f>IF($E677="","",INDEX('Input Transaksi'!$A:$A,$E677))</f>
        <v/>
      </c>
      <c r="B677" s="5">
        <f>IF($E677="","",INDEX('Input Transaksi'!$D:$D,$E677))</f>
        <v/>
      </c>
      <c r="C677">
        <f>IF($E677="","",INDEX('Input Transaksi'!$E:$E,$E677))</f>
        <v/>
      </c>
      <c r="D677" s="5">
        <f>IF($E677="","",INDEX('Input Transaksi'!$F:$F,$E677))</f>
        <v/>
      </c>
      <c r="E677">
        <f>IFERROR(AGGREGATE(15,6,ROW('Input Transaksi'!$B$5:$B$5000)/('Input Transaksi'!$B$5:$B$5000="MONANG MANING"),ROWS($E$5:E677)),"")</f>
        <v/>
      </c>
      <c r="F677" s="5" t="n"/>
    </row>
    <row r="678">
      <c r="A678" s="10">
        <f>IF($E678="","",INDEX('Input Transaksi'!$A:$A,$E678))</f>
        <v/>
      </c>
      <c r="B678" s="5">
        <f>IF($E678="","",INDEX('Input Transaksi'!$D:$D,$E678))</f>
        <v/>
      </c>
      <c r="C678">
        <f>IF($E678="","",INDEX('Input Transaksi'!$E:$E,$E678))</f>
        <v/>
      </c>
      <c r="D678" s="5">
        <f>IF($E678="","",INDEX('Input Transaksi'!$F:$F,$E678))</f>
        <v/>
      </c>
      <c r="E678">
        <f>IFERROR(AGGREGATE(15,6,ROW('Input Transaksi'!$B$5:$B$5000)/('Input Transaksi'!$B$5:$B$5000="MONANG MANING"),ROWS($E$5:E678)),"")</f>
        <v/>
      </c>
      <c r="F678" s="5" t="n"/>
    </row>
    <row r="679">
      <c r="A679" s="10">
        <f>IF($E679="","",INDEX('Input Transaksi'!$A:$A,$E679))</f>
        <v/>
      </c>
      <c r="B679" s="5">
        <f>IF($E679="","",INDEX('Input Transaksi'!$D:$D,$E679))</f>
        <v/>
      </c>
      <c r="C679">
        <f>IF($E679="","",INDEX('Input Transaksi'!$E:$E,$E679))</f>
        <v/>
      </c>
      <c r="D679" s="5">
        <f>IF($E679="","",INDEX('Input Transaksi'!$F:$F,$E679))</f>
        <v/>
      </c>
      <c r="E679">
        <f>IFERROR(AGGREGATE(15,6,ROW('Input Transaksi'!$B$5:$B$5000)/('Input Transaksi'!$B$5:$B$5000="MONANG MANING"),ROWS($E$5:E679)),"")</f>
        <v/>
      </c>
      <c r="F679" s="5" t="n"/>
    </row>
    <row r="680">
      <c r="A680" s="10">
        <f>IF($E680="","",INDEX('Input Transaksi'!$A:$A,$E680))</f>
        <v/>
      </c>
      <c r="B680" s="5">
        <f>IF($E680="","",INDEX('Input Transaksi'!$D:$D,$E680))</f>
        <v/>
      </c>
      <c r="C680">
        <f>IF($E680="","",INDEX('Input Transaksi'!$E:$E,$E680))</f>
        <v/>
      </c>
      <c r="D680" s="5">
        <f>IF($E680="","",INDEX('Input Transaksi'!$F:$F,$E680))</f>
        <v/>
      </c>
      <c r="E680">
        <f>IFERROR(AGGREGATE(15,6,ROW('Input Transaksi'!$B$5:$B$5000)/('Input Transaksi'!$B$5:$B$5000="MONANG MANING"),ROWS($E$5:E680)),"")</f>
        <v/>
      </c>
      <c r="F680" s="5" t="n"/>
    </row>
    <row r="681">
      <c r="A681" s="10">
        <f>IF($E681="","",INDEX('Input Transaksi'!$A:$A,$E681))</f>
        <v/>
      </c>
      <c r="B681" s="5">
        <f>IF($E681="","",INDEX('Input Transaksi'!$D:$D,$E681))</f>
        <v/>
      </c>
      <c r="C681">
        <f>IF($E681="","",INDEX('Input Transaksi'!$E:$E,$E681))</f>
        <v/>
      </c>
      <c r="D681" s="5">
        <f>IF($E681="","",INDEX('Input Transaksi'!$F:$F,$E681))</f>
        <v/>
      </c>
      <c r="E681">
        <f>IFERROR(AGGREGATE(15,6,ROW('Input Transaksi'!$B$5:$B$5000)/('Input Transaksi'!$B$5:$B$5000="MONANG MANING"),ROWS($E$5:E681)),"")</f>
        <v/>
      </c>
      <c r="F681" s="5" t="n"/>
    </row>
    <row r="682">
      <c r="A682" s="10">
        <f>IF($E682="","",INDEX('Input Transaksi'!$A:$A,$E682))</f>
        <v/>
      </c>
      <c r="B682" s="5">
        <f>IF($E682="","",INDEX('Input Transaksi'!$D:$D,$E682))</f>
        <v/>
      </c>
      <c r="C682">
        <f>IF($E682="","",INDEX('Input Transaksi'!$E:$E,$E682))</f>
        <v/>
      </c>
      <c r="D682" s="5">
        <f>IF($E682="","",INDEX('Input Transaksi'!$F:$F,$E682))</f>
        <v/>
      </c>
      <c r="E682">
        <f>IFERROR(AGGREGATE(15,6,ROW('Input Transaksi'!$B$5:$B$5000)/('Input Transaksi'!$B$5:$B$5000="MONANG MANING"),ROWS($E$5:E682)),"")</f>
        <v/>
      </c>
      <c r="F682" s="5" t="n"/>
    </row>
    <row r="683">
      <c r="A683" s="10">
        <f>IF($E683="","",INDEX('Input Transaksi'!$A:$A,$E683))</f>
        <v/>
      </c>
      <c r="B683" s="5">
        <f>IF($E683="","",INDEX('Input Transaksi'!$D:$D,$E683))</f>
        <v/>
      </c>
      <c r="C683">
        <f>IF($E683="","",INDEX('Input Transaksi'!$E:$E,$E683))</f>
        <v/>
      </c>
      <c r="D683" s="5">
        <f>IF($E683="","",INDEX('Input Transaksi'!$F:$F,$E683))</f>
        <v/>
      </c>
      <c r="E683">
        <f>IFERROR(AGGREGATE(15,6,ROW('Input Transaksi'!$B$5:$B$5000)/('Input Transaksi'!$B$5:$B$5000="MONANG MANING"),ROWS($E$5:E683)),"")</f>
        <v/>
      </c>
      <c r="F683" s="5" t="n"/>
    </row>
    <row r="684">
      <c r="A684" s="10">
        <f>IF($E684="","",INDEX('Input Transaksi'!$A:$A,$E684))</f>
        <v/>
      </c>
      <c r="B684" s="5">
        <f>IF($E684="","",INDEX('Input Transaksi'!$D:$D,$E684))</f>
        <v/>
      </c>
      <c r="C684">
        <f>IF($E684="","",INDEX('Input Transaksi'!$E:$E,$E684))</f>
        <v/>
      </c>
      <c r="D684" s="5">
        <f>IF($E684="","",INDEX('Input Transaksi'!$F:$F,$E684))</f>
        <v/>
      </c>
      <c r="E684">
        <f>IFERROR(AGGREGATE(15,6,ROW('Input Transaksi'!$B$5:$B$5000)/('Input Transaksi'!$B$5:$B$5000="MONANG MANING"),ROWS($E$5:E684)),"")</f>
        <v/>
      </c>
      <c r="F684" s="5" t="n"/>
    </row>
    <row r="685">
      <c r="A685" s="10">
        <f>IF($E685="","",INDEX('Input Transaksi'!$A:$A,$E685))</f>
        <v/>
      </c>
      <c r="B685" s="5">
        <f>IF($E685="","",INDEX('Input Transaksi'!$D:$D,$E685))</f>
        <v/>
      </c>
      <c r="C685">
        <f>IF($E685="","",INDEX('Input Transaksi'!$E:$E,$E685))</f>
        <v/>
      </c>
      <c r="D685" s="5">
        <f>IF($E685="","",INDEX('Input Transaksi'!$F:$F,$E685))</f>
        <v/>
      </c>
      <c r="E685">
        <f>IFERROR(AGGREGATE(15,6,ROW('Input Transaksi'!$B$5:$B$5000)/('Input Transaksi'!$B$5:$B$5000="MONANG MANING"),ROWS($E$5:E685)),"")</f>
        <v/>
      </c>
      <c r="F685" s="5" t="n"/>
    </row>
    <row r="686">
      <c r="A686" s="10">
        <f>IF($E686="","",INDEX('Input Transaksi'!$A:$A,$E686))</f>
        <v/>
      </c>
      <c r="B686" s="5">
        <f>IF($E686="","",INDEX('Input Transaksi'!$D:$D,$E686))</f>
        <v/>
      </c>
      <c r="C686">
        <f>IF($E686="","",INDEX('Input Transaksi'!$E:$E,$E686))</f>
        <v/>
      </c>
      <c r="D686" s="5">
        <f>IF($E686="","",INDEX('Input Transaksi'!$F:$F,$E686))</f>
        <v/>
      </c>
      <c r="E686">
        <f>IFERROR(AGGREGATE(15,6,ROW('Input Transaksi'!$B$5:$B$5000)/('Input Transaksi'!$B$5:$B$5000="MONANG MANING"),ROWS($E$5:E686)),"")</f>
        <v/>
      </c>
      <c r="F686" s="5" t="n"/>
    </row>
    <row r="687">
      <c r="A687" s="10">
        <f>IF($E687="","",INDEX('Input Transaksi'!$A:$A,$E687))</f>
        <v/>
      </c>
      <c r="B687" s="5">
        <f>IF($E687="","",INDEX('Input Transaksi'!$D:$D,$E687))</f>
        <v/>
      </c>
      <c r="C687">
        <f>IF($E687="","",INDEX('Input Transaksi'!$E:$E,$E687))</f>
        <v/>
      </c>
      <c r="D687" s="5">
        <f>IF($E687="","",INDEX('Input Transaksi'!$F:$F,$E687))</f>
        <v/>
      </c>
      <c r="E687">
        <f>IFERROR(AGGREGATE(15,6,ROW('Input Transaksi'!$B$5:$B$5000)/('Input Transaksi'!$B$5:$B$5000="MONANG MANING"),ROWS($E$5:E687)),"")</f>
        <v/>
      </c>
      <c r="F687" s="5" t="n"/>
    </row>
    <row r="688">
      <c r="A688" s="10">
        <f>IF($E688="","",INDEX('Input Transaksi'!$A:$A,$E688))</f>
        <v/>
      </c>
      <c r="B688" s="5">
        <f>IF($E688="","",INDEX('Input Transaksi'!$D:$D,$E688))</f>
        <v/>
      </c>
      <c r="C688">
        <f>IF($E688="","",INDEX('Input Transaksi'!$E:$E,$E688))</f>
        <v/>
      </c>
      <c r="D688" s="5">
        <f>IF($E688="","",INDEX('Input Transaksi'!$F:$F,$E688))</f>
        <v/>
      </c>
      <c r="E688">
        <f>IFERROR(AGGREGATE(15,6,ROW('Input Transaksi'!$B$5:$B$5000)/('Input Transaksi'!$B$5:$B$5000="MONANG MANING"),ROWS($E$5:E688)),"")</f>
        <v/>
      </c>
      <c r="F688" s="5" t="n"/>
    </row>
    <row r="689">
      <c r="A689" s="10">
        <f>IF($E689="","",INDEX('Input Transaksi'!$A:$A,$E689))</f>
        <v/>
      </c>
      <c r="B689" s="5">
        <f>IF($E689="","",INDEX('Input Transaksi'!$D:$D,$E689))</f>
        <v/>
      </c>
      <c r="C689">
        <f>IF($E689="","",INDEX('Input Transaksi'!$E:$E,$E689))</f>
        <v/>
      </c>
      <c r="D689" s="5">
        <f>IF($E689="","",INDEX('Input Transaksi'!$F:$F,$E689))</f>
        <v/>
      </c>
      <c r="E689">
        <f>IFERROR(AGGREGATE(15,6,ROW('Input Transaksi'!$B$5:$B$5000)/('Input Transaksi'!$B$5:$B$5000="MONANG MANING"),ROWS($E$5:E689)),"")</f>
        <v/>
      </c>
      <c r="F689" s="5" t="n"/>
    </row>
    <row r="690">
      <c r="A690" s="10">
        <f>IF($E690="","",INDEX('Input Transaksi'!$A:$A,$E690))</f>
        <v/>
      </c>
      <c r="B690" s="5">
        <f>IF($E690="","",INDEX('Input Transaksi'!$D:$D,$E690))</f>
        <v/>
      </c>
      <c r="C690">
        <f>IF($E690="","",INDEX('Input Transaksi'!$E:$E,$E690))</f>
        <v/>
      </c>
      <c r="D690" s="5">
        <f>IF($E690="","",INDEX('Input Transaksi'!$F:$F,$E690))</f>
        <v/>
      </c>
      <c r="E690">
        <f>IFERROR(AGGREGATE(15,6,ROW('Input Transaksi'!$B$5:$B$5000)/('Input Transaksi'!$B$5:$B$5000="MONANG MANING"),ROWS($E$5:E690)),"")</f>
        <v/>
      </c>
      <c r="F690" s="5" t="n"/>
    </row>
    <row r="691">
      <c r="A691" s="10">
        <f>IF($E691="","",INDEX('Input Transaksi'!$A:$A,$E691))</f>
        <v/>
      </c>
      <c r="B691" s="5">
        <f>IF($E691="","",INDEX('Input Transaksi'!$D:$D,$E691))</f>
        <v/>
      </c>
      <c r="C691">
        <f>IF($E691="","",INDEX('Input Transaksi'!$E:$E,$E691))</f>
        <v/>
      </c>
      <c r="D691" s="5">
        <f>IF($E691="","",INDEX('Input Transaksi'!$F:$F,$E691))</f>
        <v/>
      </c>
      <c r="E691">
        <f>IFERROR(AGGREGATE(15,6,ROW('Input Transaksi'!$B$5:$B$5000)/('Input Transaksi'!$B$5:$B$5000="MONANG MANING"),ROWS($E$5:E691)),"")</f>
        <v/>
      </c>
      <c r="F691" s="5" t="n"/>
    </row>
    <row r="692">
      <c r="A692" s="10">
        <f>IF($E692="","",INDEX('Input Transaksi'!$A:$A,$E692))</f>
        <v/>
      </c>
      <c r="B692" s="5">
        <f>IF($E692="","",INDEX('Input Transaksi'!$D:$D,$E692))</f>
        <v/>
      </c>
      <c r="C692">
        <f>IF($E692="","",INDEX('Input Transaksi'!$E:$E,$E692))</f>
        <v/>
      </c>
      <c r="D692" s="5">
        <f>IF($E692="","",INDEX('Input Transaksi'!$F:$F,$E692))</f>
        <v/>
      </c>
      <c r="E692">
        <f>IFERROR(AGGREGATE(15,6,ROW('Input Transaksi'!$B$5:$B$5000)/('Input Transaksi'!$B$5:$B$5000="MONANG MANING"),ROWS($E$5:E692)),"")</f>
        <v/>
      </c>
      <c r="F692" s="5" t="n"/>
    </row>
    <row r="693">
      <c r="A693" s="10">
        <f>IF($E693="","",INDEX('Input Transaksi'!$A:$A,$E693))</f>
        <v/>
      </c>
      <c r="B693" s="5">
        <f>IF($E693="","",INDEX('Input Transaksi'!$D:$D,$E693))</f>
        <v/>
      </c>
      <c r="C693">
        <f>IF($E693="","",INDEX('Input Transaksi'!$E:$E,$E693))</f>
        <v/>
      </c>
      <c r="D693" s="5">
        <f>IF($E693="","",INDEX('Input Transaksi'!$F:$F,$E693))</f>
        <v/>
      </c>
      <c r="E693">
        <f>IFERROR(AGGREGATE(15,6,ROW('Input Transaksi'!$B$5:$B$5000)/('Input Transaksi'!$B$5:$B$5000="MONANG MANING"),ROWS($E$5:E693)),"")</f>
        <v/>
      </c>
      <c r="F693" s="5" t="n"/>
    </row>
    <row r="694">
      <c r="A694" s="10">
        <f>IF($E694="","",INDEX('Input Transaksi'!$A:$A,$E694))</f>
        <v/>
      </c>
      <c r="B694" s="5">
        <f>IF($E694="","",INDEX('Input Transaksi'!$D:$D,$E694))</f>
        <v/>
      </c>
      <c r="C694">
        <f>IF($E694="","",INDEX('Input Transaksi'!$E:$E,$E694))</f>
        <v/>
      </c>
      <c r="D694" s="5">
        <f>IF($E694="","",INDEX('Input Transaksi'!$F:$F,$E694))</f>
        <v/>
      </c>
      <c r="E694">
        <f>IFERROR(AGGREGATE(15,6,ROW('Input Transaksi'!$B$5:$B$5000)/('Input Transaksi'!$B$5:$B$5000="MONANG MANING"),ROWS($E$5:E694)),"")</f>
        <v/>
      </c>
      <c r="F694" s="5" t="n"/>
    </row>
    <row r="695">
      <c r="A695" s="10">
        <f>IF($E695="","",INDEX('Input Transaksi'!$A:$A,$E695))</f>
        <v/>
      </c>
      <c r="B695" s="5">
        <f>IF($E695="","",INDEX('Input Transaksi'!$D:$D,$E695))</f>
        <v/>
      </c>
      <c r="C695">
        <f>IF($E695="","",INDEX('Input Transaksi'!$E:$E,$E695))</f>
        <v/>
      </c>
      <c r="D695" s="5">
        <f>IF($E695="","",INDEX('Input Transaksi'!$F:$F,$E695))</f>
        <v/>
      </c>
      <c r="E695">
        <f>IFERROR(AGGREGATE(15,6,ROW('Input Transaksi'!$B$5:$B$5000)/('Input Transaksi'!$B$5:$B$5000="MONANG MANING"),ROWS($E$5:E695)),"")</f>
        <v/>
      </c>
      <c r="F695" s="5" t="n"/>
    </row>
    <row r="696">
      <c r="A696" s="10">
        <f>IF($E696="","",INDEX('Input Transaksi'!$A:$A,$E696))</f>
        <v/>
      </c>
      <c r="B696" s="5">
        <f>IF($E696="","",INDEX('Input Transaksi'!$D:$D,$E696))</f>
        <v/>
      </c>
      <c r="C696">
        <f>IF($E696="","",INDEX('Input Transaksi'!$E:$E,$E696))</f>
        <v/>
      </c>
      <c r="D696" s="5">
        <f>IF($E696="","",INDEX('Input Transaksi'!$F:$F,$E696))</f>
        <v/>
      </c>
      <c r="E696">
        <f>IFERROR(AGGREGATE(15,6,ROW('Input Transaksi'!$B$5:$B$5000)/('Input Transaksi'!$B$5:$B$5000="MONANG MANING"),ROWS($E$5:E696)),"")</f>
        <v/>
      </c>
      <c r="F696" s="5" t="n"/>
    </row>
    <row r="697">
      <c r="A697" s="10">
        <f>IF($E697="","",INDEX('Input Transaksi'!$A:$A,$E697))</f>
        <v/>
      </c>
      <c r="B697" s="5">
        <f>IF($E697="","",INDEX('Input Transaksi'!$D:$D,$E697))</f>
        <v/>
      </c>
      <c r="C697">
        <f>IF($E697="","",INDEX('Input Transaksi'!$E:$E,$E697))</f>
        <v/>
      </c>
      <c r="D697" s="5">
        <f>IF($E697="","",INDEX('Input Transaksi'!$F:$F,$E697))</f>
        <v/>
      </c>
      <c r="E697">
        <f>IFERROR(AGGREGATE(15,6,ROW('Input Transaksi'!$B$5:$B$5000)/('Input Transaksi'!$B$5:$B$5000="MONANG MANING"),ROWS($E$5:E697)),"")</f>
        <v/>
      </c>
      <c r="F697" s="5" t="n"/>
    </row>
    <row r="698">
      <c r="A698" s="10">
        <f>IF($E698="","",INDEX('Input Transaksi'!$A:$A,$E698))</f>
        <v/>
      </c>
      <c r="B698" s="5">
        <f>IF($E698="","",INDEX('Input Transaksi'!$D:$D,$E698))</f>
        <v/>
      </c>
      <c r="C698">
        <f>IF($E698="","",INDEX('Input Transaksi'!$E:$E,$E698))</f>
        <v/>
      </c>
      <c r="D698" s="5">
        <f>IF($E698="","",INDEX('Input Transaksi'!$F:$F,$E698))</f>
        <v/>
      </c>
      <c r="E698">
        <f>IFERROR(AGGREGATE(15,6,ROW('Input Transaksi'!$B$5:$B$5000)/('Input Transaksi'!$B$5:$B$5000="MONANG MANING"),ROWS($E$5:E698)),"")</f>
        <v/>
      </c>
      <c r="F698" s="5" t="n"/>
    </row>
    <row r="699">
      <c r="A699" s="10">
        <f>IF($E699="","",INDEX('Input Transaksi'!$A:$A,$E699))</f>
        <v/>
      </c>
      <c r="B699" s="5">
        <f>IF($E699="","",INDEX('Input Transaksi'!$D:$D,$E699))</f>
        <v/>
      </c>
      <c r="C699">
        <f>IF($E699="","",INDEX('Input Transaksi'!$E:$E,$E699))</f>
        <v/>
      </c>
      <c r="D699" s="5">
        <f>IF($E699="","",INDEX('Input Transaksi'!$F:$F,$E699))</f>
        <v/>
      </c>
      <c r="E699">
        <f>IFERROR(AGGREGATE(15,6,ROW('Input Transaksi'!$B$5:$B$5000)/('Input Transaksi'!$B$5:$B$5000="MONANG MANING"),ROWS($E$5:E699)),"")</f>
        <v/>
      </c>
      <c r="F699" s="5" t="n"/>
    </row>
    <row r="700">
      <c r="A700" s="10">
        <f>IF($E700="","",INDEX('Input Transaksi'!$A:$A,$E700))</f>
        <v/>
      </c>
      <c r="B700" s="5">
        <f>IF($E700="","",INDEX('Input Transaksi'!$D:$D,$E700))</f>
        <v/>
      </c>
      <c r="C700">
        <f>IF($E700="","",INDEX('Input Transaksi'!$E:$E,$E700))</f>
        <v/>
      </c>
      <c r="D700" s="5">
        <f>IF($E700="","",INDEX('Input Transaksi'!$F:$F,$E700))</f>
        <v/>
      </c>
      <c r="E700">
        <f>IFERROR(AGGREGATE(15,6,ROW('Input Transaksi'!$B$5:$B$5000)/('Input Transaksi'!$B$5:$B$5000="MONANG MANING"),ROWS($E$5:E700)),"")</f>
        <v/>
      </c>
      <c r="F700" s="5" t="n"/>
    </row>
    <row r="701">
      <c r="A701" s="10">
        <f>IF($E701="","",INDEX('Input Transaksi'!$A:$A,$E701))</f>
        <v/>
      </c>
      <c r="B701" s="5">
        <f>IF($E701="","",INDEX('Input Transaksi'!$D:$D,$E701))</f>
        <v/>
      </c>
      <c r="C701">
        <f>IF($E701="","",INDEX('Input Transaksi'!$E:$E,$E701))</f>
        <v/>
      </c>
      <c r="D701" s="5">
        <f>IF($E701="","",INDEX('Input Transaksi'!$F:$F,$E701))</f>
        <v/>
      </c>
      <c r="E701">
        <f>IFERROR(AGGREGATE(15,6,ROW('Input Transaksi'!$B$5:$B$5000)/('Input Transaksi'!$B$5:$B$5000="MONANG MANING"),ROWS($E$5:E701)),"")</f>
        <v/>
      </c>
      <c r="F701" s="5" t="n"/>
    </row>
    <row r="702">
      <c r="A702" s="10">
        <f>IF($E702="","",INDEX('Input Transaksi'!$A:$A,$E702))</f>
        <v/>
      </c>
      <c r="B702" s="5">
        <f>IF($E702="","",INDEX('Input Transaksi'!$D:$D,$E702))</f>
        <v/>
      </c>
      <c r="C702">
        <f>IF($E702="","",INDEX('Input Transaksi'!$E:$E,$E702))</f>
        <v/>
      </c>
      <c r="D702" s="5">
        <f>IF($E702="","",INDEX('Input Transaksi'!$F:$F,$E702))</f>
        <v/>
      </c>
      <c r="E702">
        <f>IFERROR(AGGREGATE(15,6,ROW('Input Transaksi'!$B$5:$B$5000)/('Input Transaksi'!$B$5:$B$5000="MONANG MANING"),ROWS($E$5:E702)),"")</f>
        <v/>
      </c>
      <c r="F702" s="5" t="n"/>
    </row>
    <row r="703">
      <c r="A703" s="10">
        <f>IF($E703="","",INDEX('Input Transaksi'!$A:$A,$E703))</f>
        <v/>
      </c>
      <c r="B703" s="5">
        <f>IF($E703="","",INDEX('Input Transaksi'!$D:$D,$E703))</f>
        <v/>
      </c>
      <c r="C703">
        <f>IF($E703="","",INDEX('Input Transaksi'!$E:$E,$E703))</f>
        <v/>
      </c>
      <c r="D703" s="5">
        <f>IF($E703="","",INDEX('Input Transaksi'!$F:$F,$E703))</f>
        <v/>
      </c>
      <c r="E703">
        <f>IFERROR(AGGREGATE(15,6,ROW('Input Transaksi'!$B$5:$B$5000)/('Input Transaksi'!$B$5:$B$5000="MONANG MANING"),ROWS($E$5:E703)),"")</f>
        <v/>
      </c>
      <c r="F703" s="5" t="n"/>
    </row>
    <row r="704">
      <c r="A704" s="10">
        <f>IF($E704="","",INDEX('Input Transaksi'!$A:$A,$E704))</f>
        <v/>
      </c>
      <c r="B704" s="5">
        <f>IF($E704="","",INDEX('Input Transaksi'!$D:$D,$E704))</f>
        <v/>
      </c>
      <c r="C704">
        <f>IF($E704="","",INDEX('Input Transaksi'!$E:$E,$E704))</f>
        <v/>
      </c>
      <c r="D704" s="5">
        <f>IF($E704="","",INDEX('Input Transaksi'!$F:$F,$E704))</f>
        <v/>
      </c>
      <c r="E704">
        <f>IFERROR(AGGREGATE(15,6,ROW('Input Transaksi'!$B$5:$B$5000)/('Input Transaksi'!$B$5:$B$5000="MONANG MANING"),ROWS($E$5:E704)),"")</f>
        <v/>
      </c>
      <c r="F704" s="5" t="n"/>
    </row>
    <row r="705">
      <c r="A705" s="10">
        <f>IF($E705="","",INDEX('Input Transaksi'!$A:$A,$E705))</f>
        <v/>
      </c>
      <c r="B705" s="5">
        <f>IF($E705="","",INDEX('Input Transaksi'!$D:$D,$E705))</f>
        <v/>
      </c>
      <c r="C705">
        <f>IF($E705="","",INDEX('Input Transaksi'!$E:$E,$E705))</f>
        <v/>
      </c>
      <c r="D705" s="5">
        <f>IF($E705="","",INDEX('Input Transaksi'!$F:$F,$E705))</f>
        <v/>
      </c>
      <c r="E705">
        <f>IFERROR(AGGREGATE(15,6,ROW('Input Transaksi'!$B$5:$B$5000)/('Input Transaksi'!$B$5:$B$5000="MONANG MANING"),ROWS($E$5:E705)),"")</f>
        <v/>
      </c>
      <c r="F705" s="5" t="n"/>
    </row>
    <row r="706">
      <c r="A706" s="10">
        <f>IF($E706="","",INDEX('Input Transaksi'!$A:$A,$E706))</f>
        <v/>
      </c>
      <c r="B706" s="5">
        <f>IF($E706="","",INDEX('Input Transaksi'!$D:$D,$E706))</f>
        <v/>
      </c>
      <c r="C706">
        <f>IF($E706="","",INDEX('Input Transaksi'!$E:$E,$E706))</f>
        <v/>
      </c>
      <c r="D706" s="5">
        <f>IF($E706="","",INDEX('Input Transaksi'!$F:$F,$E706))</f>
        <v/>
      </c>
      <c r="E706">
        <f>IFERROR(AGGREGATE(15,6,ROW('Input Transaksi'!$B$5:$B$5000)/('Input Transaksi'!$B$5:$B$5000="MONANG MANING"),ROWS($E$5:E706)),"")</f>
        <v/>
      </c>
      <c r="F706" s="5" t="n"/>
    </row>
    <row r="707">
      <c r="A707" s="10">
        <f>IF($E707="","",INDEX('Input Transaksi'!$A:$A,$E707))</f>
        <v/>
      </c>
      <c r="B707" s="5">
        <f>IF($E707="","",INDEX('Input Transaksi'!$D:$D,$E707))</f>
        <v/>
      </c>
      <c r="C707">
        <f>IF($E707="","",INDEX('Input Transaksi'!$E:$E,$E707))</f>
        <v/>
      </c>
      <c r="D707" s="5">
        <f>IF($E707="","",INDEX('Input Transaksi'!$F:$F,$E707))</f>
        <v/>
      </c>
      <c r="E707">
        <f>IFERROR(AGGREGATE(15,6,ROW('Input Transaksi'!$B$5:$B$5000)/('Input Transaksi'!$B$5:$B$5000="MONANG MANING"),ROWS($E$5:E707)),"")</f>
        <v/>
      </c>
      <c r="F707" s="5" t="n"/>
    </row>
    <row r="708">
      <c r="A708" s="10">
        <f>IF($E708="","",INDEX('Input Transaksi'!$A:$A,$E708))</f>
        <v/>
      </c>
      <c r="B708" s="5">
        <f>IF($E708="","",INDEX('Input Transaksi'!$D:$D,$E708))</f>
        <v/>
      </c>
      <c r="C708">
        <f>IF($E708="","",INDEX('Input Transaksi'!$E:$E,$E708))</f>
        <v/>
      </c>
      <c r="D708" s="5">
        <f>IF($E708="","",INDEX('Input Transaksi'!$F:$F,$E708))</f>
        <v/>
      </c>
      <c r="E708">
        <f>IFERROR(AGGREGATE(15,6,ROW('Input Transaksi'!$B$5:$B$5000)/('Input Transaksi'!$B$5:$B$5000="MONANG MANING"),ROWS($E$5:E708)),"")</f>
        <v/>
      </c>
      <c r="F708" s="5" t="n"/>
    </row>
    <row r="709">
      <c r="A709" s="10">
        <f>IF($E709="","",INDEX('Input Transaksi'!$A:$A,$E709))</f>
        <v/>
      </c>
      <c r="B709" s="5">
        <f>IF($E709="","",INDEX('Input Transaksi'!$D:$D,$E709))</f>
        <v/>
      </c>
      <c r="C709">
        <f>IF($E709="","",INDEX('Input Transaksi'!$E:$E,$E709))</f>
        <v/>
      </c>
      <c r="D709" s="5">
        <f>IF($E709="","",INDEX('Input Transaksi'!$F:$F,$E709))</f>
        <v/>
      </c>
      <c r="E709">
        <f>IFERROR(AGGREGATE(15,6,ROW('Input Transaksi'!$B$5:$B$5000)/('Input Transaksi'!$B$5:$B$5000="MONANG MANING"),ROWS($E$5:E709)),"")</f>
        <v/>
      </c>
      <c r="F709" s="5" t="n"/>
    </row>
    <row r="710">
      <c r="A710" s="10">
        <f>IF($E710="","",INDEX('Input Transaksi'!$A:$A,$E710))</f>
        <v/>
      </c>
      <c r="B710" s="5">
        <f>IF($E710="","",INDEX('Input Transaksi'!$D:$D,$E710))</f>
        <v/>
      </c>
      <c r="C710">
        <f>IF($E710="","",INDEX('Input Transaksi'!$E:$E,$E710))</f>
        <v/>
      </c>
      <c r="D710" s="5">
        <f>IF($E710="","",INDEX('Input Transaksi'!$F:$F,$E710))</f>
        <v/>
      </c>
      <c r="E710">
        <f>IFERROR(AGGREGATE(15,6,ROW('Input Transaksi'!$B$5:$B$5000)/('Input Transaksi'!$B$5:$B$5000="MONANG MANING"),ROWS($E$5:E710)),"")</f>
        <v/>
      </c>
      <c r="F710" s="5" t="n"/>
    </row>
    <row r="711">
      <c r="A711" s="10">
        <f>IF($E711="","",INDEX('Input Transaksi'!$A:$A,$E711))</f>
        <v/>
      </c>
      <c r="B711" s="5">
        <f>IF($E711="","",INDEX('Input Transaksi'!$D:$D,$E711))</f>
        <v/>
      </c>
      <c r="C711">
        <f>IF($E711="","",INDEX('Input Transaksi'!$E:$E,$E711))</f>
        <v/>
      </c>
      <c r="D711" s="5">
        <f>IF($E711="","",INDEX('Input Transaksi'!$F:$F,$E711))</f>
        <v/>
      </c>
      <c r="E711">
        <f>IFERROR(AGGREGATE(15,6,ROW('Input Transaksi'!$B$5:$B$5000)/('Input Transaksi'!$B$5:$B$5000="MONANG MANING"),ROWS($E$5:E711)),"")</f>
        <v/>
      </c>
      <c r="F711" s="5" t="n"/>
    </row>
    <row r="712">
      <c r="A712" s="10">
        <f>IF($E712="","",INDEX('Input Transaksi'!$A:$A,$E712))</f>
        <v/>
      </c>
      <c r="B712" s="5">
        <f>IF($E712="","",INDEX('Input Transaksi'!$D:$D,$E712))</f>
        <v/>
      </c>
      <c r="C712">
        <f>IF($E712="","",INDEX('Input Transaksi'!$E:$E,$E712))</f>
        <v/>
      </c>
      <c r="D712" s="5">
        <f>IF($E712="","",INDEX('Input Transaksi'!$F:$F,$E712))</f>
        <v/>
      </c>
      <c r="E712">
        <f>IFERROR(AGGREGATE(15,6,ROW('Input Transaksi'!$B$5:$B$5000)/('Input Transaksi'!$B$5:$B$5000="MONANG MANING"),ROWS($E$5:E712)),"")</f>
        <v/>
      </c>
      <c r="F712" s="5" t="n"/>
    </row>
    <row r="713">
      <c r="A713" s="10">
        <f>IF($E713="","",INDEX('Input Transaksi'!$A:$A,$E713))</f>
        <v/>
      </c>
      <c r="B713" s="5">
        <f>IF($E713="","",INDEX('Input Transaksi'!$D:$D,$E713))</f>
        <v/>
      </c>
      <c r="C713">
        <f>IF($E713="","",INDEX('Input Transaksi'!$E:$E,$E713))</f>
        <v/>
      </c>
      <c r="D713" s="5">
        <f>IF($E713="","",INDEX('Input Transaksi'!$F:$F,$E713))</f>
        <v/>
      </c>
      <c r="E713">
        <f>IFERROR(AGGREGATE(15,6,ROW('Input Transaksi'!$B$5:$B$5000)/('Input Transaksi'!$B$5:$B$5000="MONANG MANING"),ROWS($E$5:E713)),"")</f>
        <v/>
      </c>
      <c r="F713" s="5" t="n"/>
    </row>
    <row r="714">
      <c r="A714" s="10">
        <f>IF($E714="","",INDEX('Input Transaksi'!$A:$A,$E714))</f>
        <v/>
      </c>
      <c r="B714" s="5">
        <f>IF($E714="","",INDEX('Input Transaksi'!$D:$D,$E714))</f>
        <v/>
      </c>
      <c r="C714">
        <f>IF($E714="","",INDEX('Input Transaksi'!$E:$E,$E714))</f>
        <v/>
      </c>
      <c r="D714" s="5">
        <f>IF($E714="","",INDEX('Input Transaksi'!$F:$F,$E714))</f>
        <v/>
      </c>
      <c r="E714">
        <f>IFERROR(AGGREGATE(15,6,ROW('Input Transaksi'!$B$5:$B$5000)/('Input Transaksi'!$B$5:$B$5000="MONANG MANING"),ROWS($E$5:E714)),"")</f>
        <v/>
      </c>
      <c r="F714" s="5" t="n"/>
    </row>
    <row r="715">
      <c r="A715" s="10">
        <f>IF($E715="","",INDEX('Input Transaksi'!$A:$A,$E715))</f>
        <v/>
      </c>
      <c r="B715" s="5">
        <f>IF($E715="","",INDEX('Input Transaksi'!$D:$D,$E715))</f>
        <v/>
      </c>
      <c r="C715">
        <f>IF($E715="","",INDEX('Input Transaksi'!$E:$E,$E715))</f>
        <v/>
      </c>
      <c r="D715" s="5">
        <f>IF($E715="","",INDEX('Input Transaksi'!$F:$F,$E715))</f>
        <v/>
      </c>
      <c r="E715">
        <f>IFERROR(AGGREGATE(15,6,ROW('Input Transaksi'!$B$5:$B$5000)/('Input Transaksi'!$B$5:$B$5000="MONANG MANING"),ROWS($E$5:E715)),"")</f>
        <v/>
      </c>
      <c r="F715" s="5" t="n"/>
    </row>
    <row r="716">
      <c r="A716" s="10">
        <f>IF($E716="","",INDEX('Input Transaksi'!$A:$A,$E716))</f>
        <v/>
      </c>
      <c r="B716" s="5">
        <f>IF($E716="","",INDEX('Input Transaksi'!$D:$D,$E716))</f>
        <v/>
      </c>
      <c r="C716">
        <f>IF($E716="","",INDEX('Input Transaksi'!$E:$E,$E716))</f>
        <v/>
      </c>
      <c r="D716" s="5">
        <f>IF($E716="","",INDEX('Input Transaksi'!$F:$F,$E716))</f>
        <v/>
      </c>
      <c r="E716">
        <f>IFERROR(AGGREGATE(15,6,ROW('Input Transaksi'!$B$5:$B$5000)/('Input Transaksi'!$B$5:$B$5000="MONANG MANING"),ROWS($E$5:E716)),"")</f>
        <v/>
      </c>
      <c r="F716" s="5" t="n"/>
    </row>
    <row r="717">
      <c r="A717" s="10">
        <f>IF($E717="","",INDEX('Input Transaksi'!$A:$A,$E717))</f>
        <v/>
      </c>
      <c r="B717" s="5">
        <f>IF($E717="","",INDEX('Input Transaksi'!$D:$D,$E717))</f>
        <v/>
      </c>
      <c r="C717">
        <f>IF($E717="","",INDEX('Input Transaksi'!$E:$E,$E717))</f>
        <v/>
      </c>
      <c r="D717" s="5">
        <f>IF($E717="","",INDEX('Input Transaksi'!$F:$F,$E717))</f>
        <v/>
      </c>
      <c r="E717">
        <f>IFERROR(AGGREGATE(15,6,ROW('Input Transaksi'!$B$5:$B$5000)/('Input Transaksi'!$B$5:$B$5000="MONANG MANING"),ROWS($E$5:E717)),"")</f>
        <v/>
      </c>
      <c r="F717" s="5" t="n"/>
    </row>
    <row r="718">
      <c r="A718" s="10">
        <f>IF($E718="","",INDEX('Input Transaksi'!$A:$A,$E718))</f>
        <v/>
      </c>
      <c r="B718" s="5">
        <f>IF($E718="","",INDEX('Input Transaksi'!$D:$D,$E718))</f>
        <v/>
      </c>
      <c r="C718">
        <f>IF($E718="","",INDEX('Input Transaksi'!$E:$E,$E718))</f>
        <v/>
      </c>
      <c r="D718" s="5">
        <f>IF($E718="","",INDEX('Input Transaksi'!$F:$F,$E718))</f>
        <v/>
      </c>
      <c r="E718">
        <f>IFERROR(AGGREGATE(15,6,ROW('Input Transaksi'!$B$5:$B$5000)/('Input Transaksi'!$B$5:$B$5000="MONANG MANING"),ROWS($E$5:E718)),"")</f>
        <v/>
      </c>
      <c r="F718" s="5" t="n"/>
    </row>
    <row r="719">
      <c r="A719" s="10">
        <f>IF($E719="","",INDEX('Input Transaksi'!$A:$A,$E719))</f>
        <v/>
      </c>
      <c r="B719" s="5">
        <f>IF($E719="","",INDEX('Input Transaksi'!$D:$D,$E719))</f>
        <v/>
      </c>
      <c r="C719">
        <f>IF($E719="","",INDEX('Input Transaksi'!$E:$E,$E719))</f>
        <v/>
      </c>
      <c r="D719" s="5">
        <f>IF($E719="","",INDEX('Input Transaksi'!$F:$F,$E719))</f>
        <v/>
      </c>
      <c r="E719">
        <f>IFERROR(AGGREGATE(15,6,ROW('Input Transaksi'!$B$5:$B$5000)/('Input Transaksi'!$B$5:$B$5000="MONANG MANING"),ROWS($E$5:E719)),"")</f>
        <v/>
      </c>
      <c r="F719" s="5" t="n"/>
    </row>
    <row r="720">
      <c r="A720" s="10">
        <f>IF($E720="","",INDEX('Input Transaksi'!$A:$A,$E720))</f>
        <v/>
      </c>
      <c r="B720" s="5">
        <f>IF($E720="","",INDEX('Input Transaksi'!$D:$D,$E720))</f>
        <v/>
      </c>
      <c r="C720">
        <f>IF($E720="","",INDEX('Input Transaksi'!$E:$E,$E720))</f>
        <v/>
      </c>
      <c r="D720" s="5">
        <f>IF($E720="","",INDEX('Input Transaksi'!$F:$F,$E720))</f>
        <v/>
      </c>
      <c r="E720">
        <f>IFERROR(AGGREGATE(15,6,ROW('Input Transaksi'!$B$5:$B$5000)/('Input Transaksi'!$B$5:$B$5000="MONANG MANING"),ROWS($E$5:E720)),"")</f>
        <v/>
      </c>
      <c r="F720" s="5" t="n"/>
    </row>
    <row r="721">
      <c r="A721" s="10">
        <f>IF($E721="","",INDEX('Input Transaksi'!$A:$A,$E721))</f>
        <v/>
      </c>
      <c r="B721" s="5">
        <f>IF($E721="","",INDEX('Input Transaksi'!$D:$D,$E721))</f>
        <v/>
      </c>
      <c r="C721">
        <f>IF($E721="","",INDEX('Input Transaksi'!$E:$E,$E721))</f>
        <v/>
      </c>
      <c r="D721" s="5">
        <f>IF($E721="","",INDEX('Input Transaksi'!$F:$F,$E721))</f>
        <v/>
      </c>
      <c r="E721">
        <f>IFERROR(AGGREGATE(15,6,ROW('Input Transaksi'!$B$5:$B$5000)/('Input Transaksi'!$B$5:$B$5000="MONANG MANING"),ROWS($E$5:E721)),"")</f>
        <v/>
      </c>
      <c r="F721" s="5" t="n"/>
    </row>
    <row r="722">
      <c r="A722" s="10">
        <f>IF($E722="","",INDEX('Input Transaksi'!$A:$A,$E722))</f>
        <v/>
      </c>
      <c r="B722" s="5">
        <f>IF($E722="","",INDEX('Input Transaksi'!$D:$D,$E722))</f>
        <v/>
      </c>
      <c r="C722">
        <f>IF($E722="","",INDEX('Input Transaksi'!$E:$E,$E722))</f>
        <v/>
      </c>
      <c r="D722" s="5">
        <f>IF($E722="","",INDEX('Input Transaksi'!$F:$F,$E722))</f>
        <v/>
      </c>
      <c r="E722">
        <f>IFERROR(AGGREGATE(15,6,ROW('Input Transaksi'!$B$5:$B$5000)/('Input Transaksi'!$B$5:$B$5000="MONANG MANING"),ROWS($E$5:E722)),"")</f>
        <v/>
      </c>
      <c r="F722" s="5" t="n"/>
    </row>
    <row r="723">
      <c r="A723" s="10">
        <f>IF($E723="","",INDEX('Input Transaksi'!$A:$A,$E723))</f>
        <v/>
      </c>
      <c r="B723" s="5">
        <f>IF($E723="","",INDEX('Input Transaksi'!$D:$D,$E723))</f>
        <v/>
      </c>
      <c r="C723">
        <f>IF($E723="","",INDEX('Input Transaksi'!$E:$E,$E723))</f>
        <v/>
      </c>
      <c r="D723" s="5">
        <f>IF($E723="","",INDEX('Input Transaksi'!$F:$F,$E723))</f>
        <v/>
      </c>
      <c r="E723">
        <f>IFERROR(AGGREGATE(15,6,ROW('Input Transaksi'!$B$5:$B$5000)/('Input Transaksi'!$B$5:$B$5000="MONANG MANING"),ROWS($E$5:E723)),"")</f>
        <v/>
      </c>
      <c r="F723" s="5" t="n"/>
    </row>
    <row r="724">
      <c r="A724" s="10">
        <f>IF($E724="","",INDEX('Input Transaksi'!$A:$A,$E724))</f>
        <v/>
      </c>
      <c r="B724" s="5">
        <f>IF($E724="","",INDEX('Input Transaksi'!$D:$D,$E724))</f>
        <v/>
      </c>
      <c r="C724">
        <f>IF($E724="","",INDEX('Input Transaksi'!$E:$E,$E724))</f>
        <v/>
      </c>
      <c r="D724" s="5">
        <f>IF($E724="","",INDEX('Input Transaksi'!$F:$F,$E724))</f>
        <v/>
      </c>
      <c r="E724">
        <f>IFERROR(AGGREGATE(15,6,ROW('Input Transaksi'!$B$5:$B$5000)/('Input Transaksi'!$B$5:$B$5000="MONANG MANING"),ROWS($E$5:E724)),"")</f>
        <v/>
      </c>
      <c r="F724" s="5" t="n"/>
    </row>
    <row r="725">
      <c r="A725" s="10">
        <f>IF($E725="","",INDEX('Input Transaksi'!$A:$A,$E725))</f>
        <v/>
      </c>
      <c r="B725" s="5">
        <f>IF($E725="","",INDEX('Input Transaksi'!$D:$D,$E725))</f>
        <v/>
      </c>
      <c r="C725">
        <f>IF($E725="","",INDEX('Input Transaksi'!$E:$E,$E725))</f>
        <v/>
      </c>
      <c r="D725" s="5">
        <f>IF($E725="","",INDEX('Input Transaksi'!$F:$F,$E725))</f>
        <v/>
      </c>
      <c r="E725">
        <f>IFERROR(AGGREGATE(15,6,ROW('Input Transaksi'!$B$5:$B$5000)/('Input Transaksi'!$B$5:$B$5000="MONANG MANING"),ROWS($E$5:E725)),"")</f>
        <v/>
      </c>
      <c r="F725" s="5" t="n"/>
    </row>
    <row r="726">
      <c r="A726" s="10">
        <f>IF($E726="","",INDEX('Input Transaksi'!$A:$A,$E726))</f>
        <v/>
      </c>
      <c r="B726" s="5">
        <f>IF($E726="","",INDEX('Input Transaksi'!$D:$D,$E726))</f>
        <v/>
      </c>
      <c r="C726">
        <f>IF($E726="","",INDEX('Input Transaksi'!$E:$E,$E726))</f>
        <v/>
      </c>
      <c r="D726" s="5">
        <f>IF($E726="","",INDEX('Input Transaksi'!$F:$F,$E726))</f>
        <v/>
      </c>
      <c r="E726">
        <f>IFERROR(AGGREGATE(15,6,ROW('Input Transaksi'!$B$5:$B$5000)/('Input Transaksi'!$B$5:$B$5000="MONANG MANING"),ROWS($E$5:E726)),"")</f>
        <v/>
      </c>
      <c r="F726" s="5" t="n"/>
    </row>
    <row r="727">
      <c r="A727" s="10">
        <f>IF($E727="","",INDEX('Input Transaksi'!$A:$A,$E727))</f>
        <v/>
      </c>
      <c r="B727" s="5">
        <f>IF($E727="","",INDEX('Input Transaksi'!$D:$D,$E727))</f>
        <v/>
      </c>
      <c r="C727">
        <f>IF($E727="","",INDEX('Input Transaksi'!$E:$E,$E727))</f>
        <v/>
      </c>
      <c r="D727" s="5">
        <f>IF($E727="","",INDEX('Input Transaksi'!$F:$F,$E727))</f>
        <v/>
      </c>
      <c r="E727">
        <f>IFERROR(AGGREGATE(15,6,ROW('Input Transaksi'!$B$5:$B$5000)/('Input Transaksi'!$B$5:$B$5000="MONANG MANING"),ROWS($E$5:E727)),"")</f>
        <v/>
      </c>
      <c r="F727" s="5" t="n"/>
    </row>
    <row r="728">
      <c r="A728" s="10">
        <f>IF($E728="","",INDEX('Input Transaksi'!$A:$A,$E728))</f>
        <v/>
      </c>
      <c r="B728" s="5">
        <f>IF($E728="","",INDEX('Input Transaksi'!$D:$D,$E728))</f>
        <v/>
      </c>
      <c r="C728">
        <f>IF($E728="","",INDEX('Input Transaksi'!$E:$E,$E728))</f>
        <v/>
      </c>
      <c r="D728" s="5">
        <f>IF($E728="","",INDEX('Input Transaksi'!$F:$F,$E728))</f>
        <v/>
      </c>
      <c r="E728">
        <f>IFERROR(AGGREGATE(15,6,ROW('Input Transaksi'!$B$5:$B$5000)/('Input Transaksi'!$B$5:$B$5000="MONANG MANING"),ROWS($E$5:E728)),"")</f>
        <v/>
      </c>
      <c r="F728" s="5" t="n"/>
    </row>
    <row r="729">
      <c r="A729" s="10">
        <f>IF($E729="","",INDEX('Input Transaksi'!$A:$A,$E729))</f>
        <v/>
      </c>
      <c r="B729" s="5">
        <f>IF($E729="","",INDEX('Input Transaksi'!$D:$D,$E729))</f>
        <v/>
      </c>
      <c r="C729">
        <f>IF($E729="","",INDEX('Input Transaksi'!$E:$E,$E729))</f>
        <v/>
      </c>
      <c r="D729" s="5">
        <f>IF($E729="","",INDEX('Input Transaksi'!$F:$F,$E729))</f>
        <v/>
      </c>
      <c r="E729">
        <f>IFERROR(AGGREGATE(15,6,ROW('Input Transaksi'!$B$5:$B$5000)/('Input Transaksi'!$B$5:$B$5000="MONANG MANING"),ROWS($E$5:E729)),"")</f>
        <v/>
      </c>
      <c r="F729" s="5" t="n"/>
    </row>
    <row r="730">
      <c r="A730" s="10">
        <f>IF($E730="","",INDEX('Input Transaksi'!$A:$A,$E730))</f>
        <v/>
      </c>
      <c r="B730" s="5">
        <f>IF($E730="","",INDEX('Input Transaksi'!$D:$D,$E730))</f>
        <v/>
      </c>
      <c r="C730">
        <f>IF($E730="","",INDEX('Input Transaksi'!$E:$E,$E730))</f>
        <v/>
      </c>
      <c r="D730" s="5">
        <f>IF($E730="","",INDEX('Input Transaksi'!$F:$F,$E730))</f>
        <v/>
      </c>
      <c r="E730">
        <f>IFERROR(AGGREGATE(15,6,ROW('Input Transaksi'!$B$5:$B$5000)/('Input Transaksi'!$B$5:$B$5000="MONANG MANING"),ROWS($E$5:E730)),"")</f>
        <v/>
      </c>
      <c r="F730" s="5" t="n"/>
    </row>
    <row r="731">
      <c r="A731" s="10">
        <f>IF($E731="","",INDEX('Input Transaksi'!$A:$A,$E731))</f>
        <v/>
      </c>
      <c r="B731" s="5">
        <f>IF($E731="","",INDEX('Input Transaksi'!$D:$D,$E731))</f>
        <v/>
      </c>
      <c r="C731">
        <f>IF($E731="","",INDEX('Input Transaksi'!$E:$E,$E731))</f>
        <v/>
      </c>
      <c r="D731" s="5">
        <f>IF($E731="","",INDEX('Input Transaksi'!$F:$F,$E731))</f>
        <v/>
      </c>
      <c r="E731">
        <f>IFERROR(AGGREGATE(15,6,ROW('Input Transaksi'!$B$5:$B$5000)/('Input Transaksi'!$B$5:$B$5000="MONANG MANING"),ROWS($E$5:E731)),"")</f>
        <v/>
      </c>
      <c r="F731" s="5" t="n"/>
    </row>
    <row r="732">
      <c r="A732" s="10">
        <f>IF($E732="","",INDEX('Input Transaksi'!$A:$A,$E732))</f>
        <v/>
      </c>
      <c r="B732" s="5">
        <f>IF($E732="","",INDEX('Input Transaksi'!$D:$D,$E732))</f>
        <v/>
      </c>
      <c r="C732">
        <f>IF($E732="","",INDEX('Input Transaksi'!$E:$E,$E732))</f>
        <v/>
      </c>
      <c r="D732" s="5">
        <f>IF($E732="","",INDEX('Input Transaksi'!$F:$F,$E732))</f>
        <v/>
      </c>
      <c r="E732">
        <f>IFERROR(AGGREGATE(15,6,ROW('Input Transaksi'!$B$5:$B$5000)/('Input Transaksi'!$B$5:$B$5000="MONANG MANING"),ROWS($E$5:E732)),"")</f>
        <v/>
      </c>
      <c r="F732" s="5" t="n"/>
    </row>
    <row r="733">
      <c r="A733" s="10">
        <f>IF($E733="","",INDEX('Input Transaksi'!$A:$A,$E733))</f>
        <v/>
      </c>
      <c r="B733" s="5">
        <f>IF($E733="","",INDEX('Input Transaksi'!$D:$D,$E733))</f>
        <v/>
      </c>
      <c r="C733">
        <f>IF($E733="","",INDEX('Input Transaksi'!$E:$E,$E733))</f>
        <v/>
      </c>
      <c r="D733" s="5">
        <f>IF($E733="","",INDEX('Input Transaksi'!$F:$F,$E733))</f>
        <v/>
      </c>
      <c r="E733">
        <f>IFERROR(AGGREGATE(15,6,ROW('Input Transaksi'!$B$5:$B$5000)/('Input Transaksi'!$B$5:$B$5000="MONANG MANING"),ROWS($E$5:E733)),"")</f>
        <v/>
      </c>
      <c r="F733" s="5" t="n"/>
    </row>
    <row r="734">
      <c r="A734" s="10">
        <f>IF($E734="","",INDEX('Input Transaksi'!$A:$A,$E734))</f>
        <v/>
      </c>
      <c r="B734" s="5">
        <f>IF($E734="","",INDEX('Input Transaksi'!$D:$D,$E734))</f>
        <v/>
      </c>
      <c r="C734">
        <f>IF($E734="","",INDEX('Input Transaksi'!$E:$E,$E734))</f>
        <v/>
      </c>
      <c r="D734" s="5">
        <f>IF($E734="","",INDEX('Input Transaksi'!$F:$F,$E734))</f>
        <v/>
      </c>
      <c r="E734">
        <f>IFERROR(AGGREGATE(15,6,ROW('Input Transaksi'!$B$5:$B$5000)/('Input Transaksi'!$B$5:$B$5000="MONANG MANING"),ROWS($E$5:E734)),"")</f>
        <v/>
      </c>
      <c r="F734" s="5" t="n"/>
    </row>
    <row r="735">
      <c r="A735" s="10">
        <f>IF($E735="","",INDEX('Input Transaksi'!$A:$A,$E735))</f>
        <v/>
      </c>
      <c r="B735" s="5">
        <f>IF($E735="","",INDEX('Input Transaksi'!$D:$D,$E735))</f>
        <v/>
      </c>
      <c r="C735">
        <f>IF($E735="","",INDEX('Input Transaksi'!$E:$E,$E735))</f>
        <v/>
      </c>
      <c r="D735" s="5">
        <f>IF($E735="","",INDEX('Input Transaksi'!$F:$F,$E735))</f>
        <v/>
      </c>
      <c r="E735">
        <f>IFERROR(AGGREGATE(15,6,ROW('Input Transaksi'!$B$5:$B$5000)/('Input Transaksi'!$B$5:$B$5000="MONANG MANING"),ROWS($E$5:E735)),"")</f>
        <v/>
      </c>
      <c r="F735" s="5" t="n"/>
    </row>
    <row r="736">
      <c r="A736" s="10">
        <f>IF($E736="","",INDEX('Input Transaksi'!$A:$A,$E736))</f>
        <v/>
      </c>
      <c r="B736" s="5">
        <f>IF($E736="","",INDEX('Input Transaksi'!$D:$D,$E736))</f>
        <v/>
      </c>
      <c r="C736">
        <f>IF($E736="","",INDEX('Input Transaksi'!$E:$E,$E736))</f>
        <v/>
      </c>
      <c r="D736" s="5">
        <f>IF($E736="","",INDEX('Input Transaksi'!$F:$F,$E736))</f>
        <v/>
      </c>
      <c r="E736">
        <f>IFERROR(AGGREGATE(15,6,ROW('Input Transaksi'!$B$5:$B$5000)/('Input Transaksi'!$B$5:$B$5000="MONANG MANING"),ROWS($E$5:E736)),"")</f>
        <v/>
      </c>
      <c r="F736" s="5" t="n"/>
    </row>
    <row r="737">
      <c r="A737" s="10">
        <f>IF($E737="","",INDEX('Input Transaksi'!$A:$A,$E737))</f>
        <v/>
      </c>
      <c r="B737" s="5">
        <f>IF($E737="","",INDEX('Input Transaksi'!$D:$D,$E737))</f>
        <v/>
      </c>
      <c r="C737">
        <f>IF($E737="","",INDEX('Input Transaksi'!$E:$E,$E737))</f>
        <v/>
      </c>
      <c r="D737" s="5">
        <f>IF($E737="","",INDEX('Input Transaksi'!$F:$F,$E737))</f>
        <v/>
      </c>
      <c r="E737">
        <f>IFERROR(AGGREGATE(15,6,ROW('Input Transaksi'!$B$5:$B$5000)/('Input Transaksi'!$B$5:$B$5000="MONANG MANING"),ROWS($E$5:E737)),"")</f>
        <v/>
      </c>
      <c r="F737" s="5" t="n"/>
    </row>
    <row r="738">
      <c r="A738" s="10">
        <f>IF($E738="","",INDEX('Input Transaksi'!$A:$A,$E738))</f>
        <v/>
      </c>
      <c r="B738" s="5">
        <f>IF($E738="","",INDEX('Input Transaksi'!$D:$D,$E738))</f>
        <v/>
      </c>
      <c r="C738">
        <f>IF($E738="","",INDEX('Input Transaksi'!$E:$E,$E738))</f>
        <v/>
      </c>
      <c r="D738" s="5">
        <f>IF($E738="","",INDEX('Input Transaksi'!$F:$F,$E738))</f>
        <v/>
      </c>
      <c r="E738">
        <f>IFERROR(AGGREGATE(15,6,ROW('Input Transaksi'!$B$5:$B$5000)/('Input Transaksi'!$B$5:$B$5000="MONANG MANING"),ROWS($E$5:E738)),"")</f>
        <v/>
      </c>
      <c r="F738" s="5" t="n"/>
    </row>
    <row r="739">
      <c r="A739" s="10">
        <f>IF($E739="","",INDEX('Input Transaksi'!$A:$A,$E739))</f>
        <v/>
      </c>
      <c r="B739" s="5">
        <f>IF($E739="","",INDEX('Input Transaksi'!$D:$D,$E739))</f>
        <v/>
      </c>
      <c r="C739">
        <f>IF($E739="","",INDEX('Input Transaksi'!$E:$E,$E739))</f>
        <v/>
      </c>
      <c r="D739" s="5">
        <f>IF($E739="","",INDEX('Input Transaksi'!$F:$F,$E739))</f>
        <v/>
      </c>
      <c r="E739">
        <f>IFERROR(AGGREGATE(15,6,ROW('Input Transaksi'!$B$5:$B$5000)/('Input Transaksi'!$B$5:$B$5000="MONANG MANING"),ROWS($E$5:E739)),"")</f>
        <v/>
      </c>
      <c r="F739" s="5" t="n"/>
    </row>
    <row r="740">
      <c r="A740" s="10">
        <f>IF($E740="","",INDEX('Input Transaksi'!$A:$A,$E740))</f>
        <v/>
      </c>
      <c r="B740" s="5">
        <f>IF($E740="","",INDEX('Input Transaksi'!$D:$D,$E740))</f>
        <v/>
      </c>
      <c r="C740">
        <f>IF($E740="","",INDEX('Input Transaksi'!$E:$E,$E740))</f>
        <v/>
      </c>
      <c r="D740" s="5">
        <f>IF($E740="","",INDEX('Input Transaksi'!$F:$F,$E740))</f>
        <v/>
      </c>
      <c r="E740">
        <f>IFERROR(AGGREGATE(15,6,ROW('Input Transaksi'!$B$5:$B$5000)/('Input Transaksi'!$B$5:$B$5000="MONANG MANING"),ROWS($E$5:E740)),"")</f>
        <v/>
      </c>
      <c r="F740" s="5" t="n"/>
    </row>
    <row r="741">
      <c r="A741" s="10">
        <f>IF($E741="","",INDEX('Input Transaksi'!$A:$A,$E741))</f>
        <v/>
      </c>
      <c r="B741" s="5">
        <f>IF($E741="","",INDEX('Input Transaksi'!$D:$D,$E741))</f>
        <v/>
      </c>
      <c r="C741">
        <f>IF($E741="","",INDEX('Input Transaksi'!$E:$E,$E741))</f>
        <v/>
      </c>
      <c r="D741" s="5">
        <f>IF($E741="","",INDEX('Input Transaksi'!$F:$F,$E741))</f>
        <v/>
      </c>
      <c r="E741">
        <f>IFERROR(AGGREGATE(15,6,ROW('Input Transaksi'!$B$5:$B$5000)/('Input Transaksi'!$B$5:$B$5000="MONANG MANING"),ROWS($E$5:E741)),"")</f>
        <v/>
      </c>
      <c r="F741" s="5" t="n"/>
    </row>
    <row r="742">
      <c r="A742" s="10">
        <f>IF($E742="","",INDEX('Input Transaksi'!$A:$A,$E742))</f>
        <v/>
      </c>
      <c r="B742" s="5">
        <f>IF($E742="","",INDEX('Input Transaksi'!$D:$D,$E742))</f>
        <v/>
      </c>
      <c r="C742">
        <f>IF($E742="","",INDEX('Input Transaksi'!$E:$E,$E742))</f>
        <v/>
      </c>
      <c r="D742" s="5">
        <f>IF($E742="","",INDEX('Input Transaksi'!$F:$F,$E742))</f>
        <v/>
      </c>
      <c r="E742">
        <f>IFERROR(AGGREGATE(15,6,ROW('Input Transaksi'!$B$5:$B$5000)/('Input Transaksi'!$B$5:$B$5000="MONANG MANING"),ROWS($E$5:E742)),"")</f>
        <v/>
      </c>
      <c r="F742" s="5" t="n"/>
    </row>
    <row r="743">
      <c r="A743" s="10">
        <f>IF($E743="","",INDEX('Input Transaksi'!$A:$A,$E743))</f>
        <v/>
      </c>
      <c r="B743" s="5">
        <f>IF($E743="","",INDEX('Input Transaksi'!$D:$D,$E743))</f>
        <v/>
      </c>
      <c r="C743">
        <f>IF($E743="","",INDEX('Input Transaksi'!$E:$E,$E743))</f>
        <v/>
      </c>
      <c r="D743" s="5">
        <f>IF($E743="","",INDEX('Input Transaksi'!$F:$F,$E743))</f>
        <v/>
      </c>
      <c r="E743">
        <f>IFERROR(AGGREGATE(15,6,ROW('Input Transaksi'!$B$5:$B$5000)/('Input Transaksi'!$B$5:$B$5000="MONANG MANING"),ROWS($E$5:E743)),"")</f>
        <v/>
      </c>
      <c r="F743" s="5" t="n"/>
    </row>
    <row r="744">
      <c r="A744" s="10">
        <f>IF($E744="","",INDEX('Input Transaksi'!$A:$A,$E744))</f>
        <v/>
      </c>
      <c r="B744" s="5">
        <f>IF($E744="","",INDEX('Input Transaksi'!$D:$D,$E744))</f>
        <v/>
      </c>
      <c r="C744">
        <f>IF($E744="","",INDEX('Input Transaksi'!$E:$E,$E744))</f>
        <v/>
      </c>
      <c r="D744" s="5">
        <f>IF($E744="","",INDEX('Input Transaksi'!$F:$F,$E744))</f>
        <v/>
      </c>
      <c r="E744">
        <f>IFERROR(AGGREGATE(15,6,ROW('Input Transaksi'!$B$5:$B$5000)/('Input Transaksi'!$B$5:$B$5000="MONANG MANING"),ROWS($E$5:E744)),"")</f>
        <v/>
      </c>
      <c r="F744" s="5" t="n"/>
    </row>
    <row r="745">
      <c r="A745" s="10">
        <f>IF($E745="","",INDEX('Input Transaksi'!$A:$A,$E745))</f>
        <v/>
      </c>
      <c r="B745" s="5">
        <f>IF($E745="","",INDEX('Input Transaksi'!$D:$D,$E745))</f>
        <v/>
      </c>
      <c r="C745">
        <f>IF($E745="","",INDEX('Input Transaksi'!$E:$E,$E745))</f>
        <v/>
      </c>
      <c r="D745" s="5">
        <f>IF($E745="","",INDEX('Input Transaksi'!$F:$F,$E745))</f>
        <v/>
      </c>
      <c r="E745">
        <f>IFERROR(AGGREGATE(15,6,ROW('Input Transaksi'!$B$5:$B$5000)/('Input Transaksi'!$B$5:$B$5000="MONANG MANING"),ROWS($E$5:E745)),"")</f>
        <v/>
      </c>
      <c r="F745" s="5" t="n"/>
    </row>
    <row r="746">
      <c r="A746" s="10">
        <f>IF($E746="","",INDEX('Input Transaksi'!$A:$A,$E746))</f>
        <v/>
      </c>
      <c r="B746" s="5">
        <f>IF($E746="","",INDEX('Input Transaksi'!$D:$D,$E746))</f>
        <v/>
      </c>
      <c r="C746">
        <f>IF($E746="","",INDEX('Input Transaksi'!$E:$E,$E746))</f>
        <v/>
      </c>
      <c r="D746" s="5">
        <f>IF($E746="","",INDEX('Input Transaksi'!$F:$F,$E746))</f>
        <v/>
      </c>
      <c r="E746">
        <f>IFERROR(AGGREGATE(15,6,ROW('Input Transaksi'!$B$5:$B$5000)/('Input Transaksi'!$B$5:$B$5000="MONANG MANING"),ROWS($E$5:E746)),"")</f>
        <v/>
      </c>
      <c r="F746" s="5" t="n"/>
    </row>
    <row r="747">
      <c r="A747" s="10">
        <f>IF($E747="","",INDEX('Input Transaksi'!$A:$A,$E747))</f>
        <v/>
      </c>
      <c r="B747" s="5">
        <f>IF($E747="","",INDEX('Input Transaksi'!$D:$D,$E747))</f>
        <v/>
      </c>
      <c r="C747">
        <f>IF($E747="","",INDEX('Input Transaksi'!$E:$E,$E747))</f>
        <v/>
      </c>
      <c r="D747" s="5">
        <f>IF($E747="","",INDEX('Input Transaksi'!$F:$F,$E747))</f>
        <v/>
      </c>
      <c r="E747">
        <f>IFERROR(AGGREGATE(15,6,ROW('Input Transaksi'!$B$5:$B$5000)/('Input Transaksi'!$B$5:$B$5000="MONANG MANING"),ROWS($E$5:E747)),"")</f>
        <v/>
      </c>
      <c r="F747" s="5" t="n"/>
    </row>
    <row r="748">
      <c r="A748" s="10">
        <f>IF($E748="","",INDEX('Input Transaksi'!$A:$A,$E748))</f>
        <v/>
      </c>
      <c r="B748" s="5">
        <f>IF($E748="","",INDEX('Input Transaksi'!$D:$D,$E748))</f>
        <v/>
      </c>
      <c r="C748">
        <f>IF($E748="","",INDEX('Input Transaksi'!$E:$E,$E748))</f>
        <v/>
      </c>
      <c r="D748" s="5">
        <f>IF($E748="","",INDEX('Input Transaksi'!$F:$F,$E748))</f>
        <v/>
      </c>
      <c r="E748">
        <f>IFERROR(AGGREGATE(15,6,ROW('Input Transaksi'!$B$5:$B$5000)/('Input Transaksi'!$B$5:$B$5000="MONANG MANING"),ROWS($E$5:E748)),"")</f>
        <v/>
      </c>
      <c r="F748" s="5" t="n"/>
    </row>
    <row r="749">
      <c r="A749" s="10">
        <f>IF($E749="","",INDEX('Input Transaksi'!$A:$A,$E749))</f>
        <v/>
      </c>
      <c r="B749" s="5">
        <f>IF($E749="","",INDEX('Input Transaksi'!$D:$D,$E749))</f>
        <v/>
      </c>
      <c r="C749">
        <f>IF($E749="","",INDEX('Input Transaksi'!$E:$E,$E749))</f>
        <v/>
      </c>
      <c r="D749" s="5">
        <f>IF($E749="","",INDEX('Input Transaksi'!$F:$F,$E749))</f>
        <v/>
      </c>
      <c r="E749">
        <f>IFERROR(AGGREGATE(15,6,ROW('Input Transaksi'!$B$5:$B$5000)/('Input Transaksi'!$B$5:$B$5000="MONANG MANING"),ROWS($E$5:E749)),"")</f>
        <v/>
      </c>
      <c r="F749" s="5" t="n"/>
    </row>
    <row r="750">
      <c r="A750" s="10">
        <f>IF($E750="","",INDEX('Input Transaksi'!$A:$A,$E750))</f>
        <v/>
      </c>
      <c r="B750" s="5">
        <f>IF($E750="","",INDEX('Input Transaksi'!$D:$D,$E750))</f>
        <v/>
      </c>
      <c r="C750">
        <f>IF($E750="","",INDEX('Input Transaksi'!$E:$E,$E750))</f>
        <v/>
      </c>
      <c r="D750" s="5">
        <f>IF($E750="","",INDEX('Input Transaksi'!$F:$F,$E750))</f>
        <v/>
      </c>
      <c r="E750">
        <f>IFERROR(AGGREGATE(15,6,ROW('Input Transaksi'!$B$5:$B$5000)/('Input Transaksi'!$B$5:$B$5000="MONANG MANING"),ROWS($E$5:E750)),"")</f>
        <v/>
      </c>
      <c r="F750" s="5" t="n"/>
    </row>
    <row r="751">
      <c r="A751" s="10">
        <f>IF($E751="","",INDEX('Input Transaksi'!$A:$A,$E751))</f>
        <v/>
      </c>
      <c r="B751" s="5">
        <f>IF($E751="","",INDEX('Input Transaksi'!$D:$D,$E751))</f>
        <v/>
      </c>
      <c r="C751">
        <f>IF($E751="","",INDEX('Input Transaksi'!$E:$E,$E751))</f>
        <v/>
      </c>
      <c r="D751" s="5">
        <f>IF($E751="","",INDEX('Input Transaksi'!$F:$F,$E751))</f>
        <v/>
      </c>
      <c r="E751">
        <f>IFERROR(AGGREGATE(15,6,ROW('Input Transaksi'!$B$5:$B$5000)/('Input Transaksi'!$B$5:$B$5000="MONANG MANING"),ROWS($E$5:E751)),"")</f>
        <v/>
      </c>
      <c r="F751" s="5" t="n"/>
    </row>
    <row r="752">
      <c r="A752" s="10">
        <f>IF($E752="","",INDEX('Input Transaksi'!$A:$A,$E752))</f>
        <v/>
      </c>
      <c r="B752" s="5">
        <f>IF($E752="","",INDEX('Input Transaksi'!$D:$D,$E752))</f>
        <v/>
      </c>
      <c r="C752">
        <f>IF($E752="","",INDEX('Input Transaksi'!$E:$E,$E752))</f>
        <v/>
      </c>
      <c r="D752" s="5">
        <f>IF($E752="","",INDEX('Input Transaksi'!$F:$F,$E752))</f>
        <v/>
      </c>
      <c r="E752">
        <f>IFERROR(AGGREGATE(15,6,ROW('Input Transaksi'!$B$5:$B$5000)/('Input Transaksi'!$B$5:$B$5000="MONANG MANING"),ROWS($E$5:E752)),"")</f>
        <v/>
      </c>
      <c r="F752" s="5" t="n"/>
    </row>
    <row r="753">
      <c r="A753" s="10">
        <f>IF($E753="","",INDEX('Input Transaksi'!$A:$A,$E753))</f>
        <v/>
      </c>
      <c r="B753" s="5">
        <f>IF($E753="","",INDEX('Input Transaksi'!$D:$D,$E753))</f>
        <v/>
      </c>
      <c r="C753">
        <f>IF($E753="","",INDEX('Input Transaksi'!$E:$E,$E753))</f>
        <v/>
      </c>
      <c r="D753" s="5">
        <f>IF($E753="","",INDEX('Input Transaksi'!$F:$F,$E753))</f>
        <v/>
      </c>
      <c r="E753">
        <f>IFERROR(AGGREGATE(15,6,ROW('Input Transaksi'!$B$5:$B$5000)/('Input Transaksi'!$B$5:$B$5000="MONANG MANING"),ROWS($E$5:E753)),"")</f>
        <v/>
      </c>
      <c r="F753" s="5" t="n"/>
    </row>
    <row r="754">
      <c r="A754" s="10">
        <f>IF($E754="","",INDEX('Input Transaksi'!$A:$A,$E754))</f>
        <v/>
      </c>
      <c r="B754" s="5">
        <f>IF($E754="","",INDEX('Input Transaksi'!$D:$D,$E754))</f>
        <v/>
      </c>
      <c r="C754">
        <f>IF($E754="","",INDEX('Input Transaksi'!$E:$E,$E754))</f>
        <v/>
      </c>
      <c r="D754" s="5">
        <f>IF($E754="","",INDEX('Input Transaksi'!$F:$F,$E754))</f>
        <v/>
      </c>
      <c r="E754">
        <f>IFERROR(AGGREGATE(15,6,ROW('Input Transaksi'!$B$5:$B$5000)/('Input Transaksi'!$B$5:$B$5000="MONANG MANING"),ROWS($E$5:E754)),"")</f>
        <v/>
      </c>
      <c r="F754" s="5" t="n"/>
    </row>
    <row r="755">
      <c r="A755" s="10">
        <f>IF($E755="","",INDEX('Input Transaksi'!$A:$A,$E755))</f>
        <v/>
      </c>
      <c r="B755" s="5">
        <f>IF($E755="","",INDEX('Input Transaksi'!$D:$D,$E755))</f>
        <v/>
      </c>
      <c r="C755">
        <f>IF($E755="","",INDEX('Input Transaksi'!$E:$E,$E755))</f>
        <v/>
      </c>
      <c r="D755" s="5">
        <f>IF($E755="","",INDEX('Input Transaksi'!$F:$F,$E755))</f>
        <v/>
      </c>
      <c r="E755">
        <f>IFERROR(AGGREGATE(15,6,ROW('Input Transaksi'!$B$5:$B$5000)/('Input Transaksi'!$B$5:$B$5000="MONANG MANING"),ROWS($E$5:E755)),"")</f>
        <v/>
      </c>
      <c r="F755" s="5" t="n"/>
    </row>
    <row r="756">
      <c r="A756" s="10">
        <f>IF($E756="","",INDEX('Input Transaksi'!$A:$A,$E756))</f>
        <v/>
      </c>
      <c r="B756" s="5">
        <f>IF($E756="","",INDEX('Input Transaksi'!$D:$D,$E756))</f>
        <v/>
      </c>
      <c r="C756">
        <f>IF($E756="","",INDEX('Input Transaksi'!$E:$E,$E756))</f>
        <v/>
      </c>
      <c r="D756" s="5">
        <f>IF($E756="","",INDEX('Input Transaksi'!$F:$F,$E756))</f>
        <v/>
      </c>
      <c r="E756">
        <f>IFERROR(AGGREGATE(15,6,ROW('Input Transaksi'!$B$5:$B$5000)/('Input Transaksi'!$B$5:$B$5000="MONANG MANING"),ROWS($E$5:E756)),"")</f>
        <v/>
      </c>
      <c r="F756" s="5" t="n"/>
    </row>
    <row r="757">
      <c r="A757" s="10">
        <f>IF($E757="","",INDEX('Input Transaksi'!$A:$A,$E757))</f>
        <v/>
      </c>
      <c r="B757" s="5">
        <f>IF($E757="","",INDEX('Input Transaksi'!$D:$D,$E757))</f>
        <v/>
      </c>
      <c r="C757">
        <f>IF($E757="","",INDEX('Input Transaksi'!$E:$E,$E757))</f>
        <v/>
      </c>
      <c r="D757" s="5">
        <f>IF($E757="","",INDEX('Input Transaksi'!$F:$F,$E757))</f>
        <v/>
      </c>
      <c r="E757">
        <f>IFERROR(AGGREGATE(15,6,ROW('Input Transaksi'!$B$5:$B$5000)/('Input Transaksi'!$B$5:$B$5000="MONANG MANING"),ROWS($E$5:E757)),"")</f>
        <v/>
      </c>
      <c r="F757" s="5" t="n"/>
    </row>
    <row r="758">
      <c r="A758" s="10">
        <f>IF($E758="","",INDEX('Input Transaksi'!$A:$A,$E758))</f>
        <v/>
      </c>
      <c r="B758" s="5">
        <f>IF($E758="","",INDEX('Input Transaksi'!$D:$D,$E758))</f>
        <v/>
      </c>
      <c r="C758">
        <f>IF($E758="","",INDEX('Input Transaksi'!$E:$E,$E758))</f>
        <v/>
      </c>
      <c r="D758" s="5">
        <f>IF($E758="","",INDEX('Input Transaksi'!$F:$F,$E758))</f>
        <v/>
      </c>
      <c r="E758">
        <f>IFERROR(AGGREGATE(15,6,ROW('Input Transaksi'!$B$5:$B$5000)/('Input Transaksi'!$B$5:$B$5000="MONANG MANING"),ROWS($E$5:E758)),"")</f>
        <v/>
      </c>
      <c r="F758" s="5" t="n"/>
    </row>
    <row r="759">
      <c r="A759" s="10">
        <f>IF($E759="","",INDEX('Input Transaksi'!$A:$A,$E759))</f>
        <v/>
      </c>
      <c r="B759" s="5">
        <f>IF($E759="","",INDEX('Input Transaksi'!$D:$D,$E759))</f>
        <v/>
      </c>
      <c r="C759">
        <f>IF($E759="","",INDEX('Input Transaksi'!$E:$E,$E759))</f>
        <v/>
      </c>
      <c r="D759" s="5">
        <f>IF($E759="","",INDEX('Input Transaksi'!$F:$F,$E759))</f>
        <v/>
      </c>
      <c r="E759">
        <f>IFERROR(AGGREGATE(15,6,ROW('Input Transaksi'!$B$5:$B$5000)/('Input Transaksi'!$B$5:$B$5000="MONANG MANING"),ROWS($E$5:E759)),"")</f>
        <v/>
      </c>
      <c r="F759" s="5" t="n"/>
    </row>
    <row r="760">
      <c r="A760" s="10">
        <f>IF($E760="","",INDEX('Input Transaksi'!$A:$A,$E760))</f>
        <v/>
      </c>
      <c r="B760" s="5">
        <f>IF($E760="","",INDEX('Input Transaksi'!$D:$D,$E760))</f>
        <v/>
      </c>
      <c r="C760">
        <f>IF($E760="","",INDEX('Input Transaksi'!$E:$E,$E760))</f>
        <v/>
      </c>
      <c r="D760" s="5">
        <f>IF($E760="","",INDEX('Input Transaksi'!$F:$F,$E760))</f>
        <v/>
      </c>
      <c r="E760">
        <f>IFERROR(AGGREGATE(15,6,ROW('Input Transaksi'!$B$5:$B$5000)/('Input Transaksi'!$B$5:$B$5000="MONANG MANING"),ROWS($E$5:E760)),"")</f>
        <v/>
      </c>
      <c r="F760" s="5" t="n"/>
    </row>
    <row r="761">
      <c r="A761" s="10">
        <f>IF($E761="","",INDEX('Input Transaksi'!$A:$A,$E761))</f>
        <v/>
      </c>
      <c r="B761" s="5">
        <f>IF($E761="","",INDEX('Input Transaksi'!$D:$D,$E761))</f>
        <v/>
      </c>
      <c r="C761">
        <f>IF($E761="","",INDEX('Input Transaksi'!$E:$E,$E761))</f>
        <v/>
      </c>
      <c r="D761" s="5">
        <f>IF($E761="","",INDEX('Input Transaksi'!$F:$F,$E761))</f>
        <v/>
      </c>
      <c r="E761">
        <f>IFERROR(AGGREGATE(15,6,ROW('Input Transaksi'!$B$5:$B$5000)/('Input Transaksi'!$B$5:$B$5000="MONANG MANING"),ROWS($E$5:E761)),"")</f>
        <v/>
      </c>
      <c r="F761" s="5" t="n"/>
    </row>
    <row r="762">
      <c r="A762" s="10">
        <f>IF($E762="","",INDEX('Input Transaksi'!$A:$A,$E762))</f>
        <v/>
      </c>
      <c r="B762" s="5">
        <f>IF($E762="","",INDEX('Input Transaksi'!$D:$D,$E762))</f>
        <v/>
      </c>
      <c r="C762">
        <f>IF($E762="","",INDEX('Input Transaksi'!$E:$E,$E762))</f>
        <v/>
      </c>
      <c r="D762" s="5">
        <f>IF($E762="","",INDEX('Input Transaksi'!$F:$F,$E762))</f>
        <v/>
      </c>
      <c r="E762">
        <f>IFERROR(AGGREGATE(15,6,ROW('Input Transaksi'!$B$5:$B$5000)/('Input Transaksi'!$B$5:$B$5000="MONANG MANING"),ROWS($E$5:E762)),"")</f>
        <v/>
      </c>
      <c r="F762" s="5" t="n"/>
    </row>
    <row r="763">
      <c r="A763" s="10">
        <f>IF($E763="","",INDEX('Input Transaksi'!$A:$A,$E763))</f>
        <v/>
      </c>
      <c r="B763" s="5">
        <f>IF($E763="","",INDEX('Input Transaksi'!$D:$D,$E763))</f>
        <v/>
      </c>
      <c r="C763">
        <f>IF($E763="","",INDEX('Input Transaksi'!$E:$E,$E763))</f>
        <v/>
      </c>
      <c r="D763" s="5">
        <f>IF($E763="","",INDEX('Input Transaksi'!$F:$F,$E763))</f>
        <v/>
      </c>
      <c r="E763">
        <f>IFERROR(AGGREGATE(15,6,ROW('Input Transaksi'!$B$5:$B$5000)/('Input Transaksi'!$B$5:$B$5000="MONANG MANING"),ROWS($E$5:E763)),"")</f>
        <v/>
      </c>
      <c r="F763" s="5" t="n"/>
    </row>
    <row r="764">
      <c r="A764" s="10">
        <f>IF($E764="","",INDEX('Input Transaksi'!$A:$A,$E764))</f>
        <v/>
      </c>
      <c r="B764" s="5">
        <f>IF($E764="","",INDEX('Input Transaksi'!$D:$D,$E764))</f>
        <v/>
      </c>
      <c r="C764">
        <f>IF($E764="","",INDEX('Input Transaksi'!$E:$E,$E764))</f>
        <v/>
      </c>
      <c r="D764" s="5">
        <f>IF($E764="","",INDEX('Input Transaksi'!$F:$F,$E764))</f>
        <v/>
      </c>
      <c r="E764">
        <f>IFERROR(AGGREGATE(15,6,ROW('Input Transaksi'!$B$5:$B$5000)/('Input Transaksi'!$B$5:$B$5000="MONANG MANING"),ROWS($E$5:E764)),"")</f>
        <v/>
      </c>
      <c r="F764" s="5" t="n"/>
    </row>
    <row r="765">
      <c r="A765" s="10">
        <f>IF($E765="","",INDEX('Input Transaksi'!$A:$A,$E765))</f>
        <v/>
      </c>
      <c r="B765" s="5">
        <f>IF($E765="","",INDEX('Input Transaksi'!$D:$D,$E765))</f>
        <v/>
      </c>
      <c r="C765">
        <f>IF($E765="","",INDEX('Input Transaksi'!$E:$E,$E765))</f>
        <v/>
      </c>
      <c r="D765" s="5">
        <f>IF($E765="","",INDEX('Input Transaksi'!$F:$F,$E765))</f>
        <v/>
      </c>
      <c r="E765">
        <f>IFERROR(AGGREGATE(15,6,ROW('Input Transaksi'!$B$5:$B$5000)/('Input Transaksi'!$B$5:$B$5000="MONANG MANING"),ROWS($E$5:E765)),"")</f>
        <v/>
      </c>
      <c r="F765" s="5" t="n"/>
    </row>
    <row r="766">
      <c r="A766" s="10">
        <f>IF($E766="","",INDEX('Input Transaksi'!$A:$A,$E766))</f>
        <v/>
      </c>
      <c r="B766" s="5">
        <f>IF($E766="","",INDEX('Input Transaksi'!$D:$D,$E766))</f>
        <v/>
      </c>
      <c r="C766">
        <f>IF($E766="","",INDEX('Input Transaksi'!$E:$E,$E766))</f>
        <v/>
      </c>
      <c r="D766" s="5">
        <f>IF($E766="","",INDEX('Input Transaksi'!$F:$F,$E766))</f>
        <v/>
      </c>
      <c r="E766">
        <f>IFERROR(AGGREGATE(15,6,ROW('Input Transaksi'!$B$5:$B$5000)/('Input Transaksi'!$B$5:$B$5000="MONANG MANING"),ROWS($E$5:E766)),"")</f>
        <v/>
      </c>
      <c r="F766" s="5" t="n"/>
    </row>
    <row r="767">
      <c r="A767" s="10">
        <f>IF($E767="","",INDEX('Input Transaksi'!$A:$A,$E767))</f>
        <v/>
      </c>
      <c r="B767" s="5">
        <f>IF($E767="","",INDEX('Input Transaksi'!$D:$D,$E767))</f>
        <v/>
      </c>
      <c r="C767">
        <f>IF($E767="","",INDEX('Input Transaksi'!$E:$E,$E767))</f>
        <v/>
      </c>
      <c r="D767" s="5">
        <f>IF($E767="","",INDEX('Input Transaksi'!$F:$F,$E767))</f>
        <v/>
      </c>
      <c r="E767">
        <f>IFERROR(AGGREGATE(15,6,ROW('Input Transaksi'!$B$5:$B$5000)/('Input Transaksi'!$B$5:$B$5000="MONANG MANING"),ROWS($E$5:E767)),"")</f>
        <v/>
      </c>
      <c r="F767" s="5" t="n"/>
    </row>
    <row r="768">
      <c r="A768" s="10">
        <f>IF($E768="","",INDEX('Input Transaksi'!$A:$A,$E768))</f>
        <v/>
      </c>
      <c r="B768" s="5">
        <f>IF($E768="","",INDEX('Input Transaksi'!$D:$D,$E768))</f>
        <v/>
      </c>
      <c r="C768">
        <f>IF($E768="","",INDEX('Input Transaksi'!$E:$E,$E768))</f>
        <v/>
      </c>
      <c r="D768" s="5">
        <f>IF($E768="","",INDEX('Input Transaksi'!$F:$F,$E768))</f>
        <v/>
      </c>
      <c r="E768">
        <f>IFERROR(AGGREGATE(15,6,ROW('Input Transaksi'!$B$5:$B$5000)/('Input Transaksi'!$B$5:$B$5000="MONANG MANING"),ROWS($E$5:E768)),"")</f>
        <v/>
      </c>
      <c r="F768" s="5" t="n"/>
    </row>
    <row r="769">
      <c r="A769" s="10">
        <f>IF($E769="","",INDEX('Input Transaksi'!$A:$A,$E769))</f>
        <v/>
      </c>
      <c r="B769" s="5">
        <f>IF($E769="","",INDEX('Input Transaksi'!$D:$D,$E769))</f>
        <v/>
      </c>
      <c r="C769">
        <f>IF($E769="","",INDEX('Input Transaksi'!$E:$E,$E769))</f>
        <v/>
      </c>
      <c r="D769" s="5">
        <f>IF($E769="","",INDEX('Input Transaksi'!$F:$F,$E769))</f>
        <v/>
      </c>
      <c r="E769">
        <f>IFERROR(AGGREGATE(15,6,ROW('Input Transaksi'!$B$5:$B$5000)/('Input Transaksi'!$B$5:$B$5000="MONANG MANING"),ROWS($E$5:E769)),"")</f>
        <v/>
      </c>
      <c r="F769" s="5" t="n"/>
    </row>
    <row r="770">
      <c r="A770" s="10">
        <f>IF($E770="","",INDEX('Input Transaksi'!$A:$A,$E770))</f>
        <v/>
      </c>
      <c r="B770" s="5">
        <f>IF($E770="","",INDEX('Input Transaksi'!$D:$D,$E770))</f>
        <v/>
      </c>
      <c r="C770">
        <f>IF($E770="","",INDEX('Input Transaksi'!$E:$E,$E770))</f>
        <v/>
      </c>
      <c r="D770" s="5">
        <f>IF($E770="","",INDEX('Input Transaksi'!$F:$F,$E770))</f>
        <v/>
      </c>
      <c r="E770">
        <f>IFERROR(AGGREGATE(15,6,ROW('Input Transaksi'!$B$5:$B$5000)/('Input Transaksi'!$B$5:$B$5000="MONANG MANING"),ROWS($E$5:E770)),"")</f>
        <v/>
      </c>
      <c r="F770" s="5" t="n"/>
    </row>
    <row r="771">
      <c r="A771" s="10">
        <f>IF($E771="","",INDEX('Input Transaksi'!$A:$A,$E771))</f>
        <v/>
      </c>
      <c r="B771" s="5">
        <f>IF($E771="","",INDEX('Input Transaksi'!$D:$D,$E771))</f>
        <v/>
      </c>
      <c r="C771">
        <f>IF($E771="","",INDEX('Input Transaksi'!$E:$E,$E771))</f>
        <v/>
      </c>
      <c r="D771" s="5">
        <f>IF($E771="","",INDEX('Input Transaksi'!$F:$F,$E771))</f>
        <v/>
      </c>
      <c r="E771">
        <f>IFERROR(AGGREGATE(15,6,ROW('Input Transaksi'!$B$5:$B$5000)/('Input Transaksi'!$B$5:$B$5000="MONANG MANING"),ROWS($E$5:E771)),"")</f>
        <v/>
      </c>
      <c r="F771" s="5" t="n"/>
    </row>
    <row r="772">
      <c r="A772" s="10">
        <f>IF($E772="","",INDEX('Input Transaksi'!$A:$A,$E772))</f>
        <v/>
      </c>
      <c r="B772" s="5">
        <f>IF($E772="","",INDEX('Input Transaksi'!$D:$D,$E772))</f>
        <v/>
      </c>
      <c r="C772">
        <f>IF($E772="","",INDEX('Input Transaksi'!$E:$E,$E772))</f>
        <v/>
      </c>
      <c r="D772" s="5">
        <f>IF($E772="","",INDEX('Input Transaksi'!$F:$F,$E772))</f>
        <v/>
      </c>
      <c r="E772">
        <f>IFERROR(AGGREGATE(15,6,ROW('Input Transaksi'!$B$5:$B$5000)/('Input Transaksi'!$B$5:$B$5000="MONANG MANING"),ROWS($E$5:E772)),"")</f>
        <v/>
      </c>
      <c r="F772" s="5" t="n"/>
    </row>
    <row r="773">
      <c r="A773" s="10">
        <f>IF($E773="","",INDEX('Input Transaksi'!$A:$A,$E773))</f>
        <v/>
      </c>
      <c r="B773" s="5">
        <f>IF($E773="","",INDEX('Input Transaksi'!$D:$D,$E773))</f>
        <v/>
      </c>
      <c r="C773">
        <f>IF($E773="","",INDEX('Input Transaksi'!$E:$E,$E773))</f>
        <v/>
      </c>
      <c r="D773" s="5">
        <f>IF($E773="","",INDEX('Input Transaksi'!$F:$F,$E773))</f>
        <v/>
      </c>
      <c r="E773">
        <f>IFERROR(AGGREGATE(15,6,ROW('Input Transaksi'!$B$5:$B$5000)/('Input Transaksi'!$B$5:$B$5000="MONANG MANING"),ROWS($E$5:E773)),"")</f>
        <v/>
      </c>
      <c r="F773" s="5" t="n"/>
    </row>
    <row r="774">
      <c r="A774" s="10">
        <f>IF($E774="","",INDEX('Input Transaksi'!$A:$A,$E774))</f>
        <v/>
      </c>
      <c r="B774" s="5">
        <f>IF($E774="","",INDEX('Input Transaksi'!$D:$D,$E774))</f>
        <v/>
      </c>
      <c r="C774">
        <f>IF($E774="","",INDEX('Input Transaksi'!$E:$E,$E774))</f>
        <v/>
      </c>
      <c r="D774" s="5">
        <f>IF($E774="","",INDEX('Input Transaksi'!$F:$F,$E774))</f>
        <v/>
      </c>
      <c r="E774">
        <f>IFERROR(AGGREGATE(15,6,ROW('Input Transaksi'!$B$5:$B$5000)/('Input Transaksi'!$B$5:$B$5000="MONANG MANING"),ROWS($E$5:E774)),"")</f>
        <v/>
      </c>
      <c r="F774" s="5" t="n"/>
    </row>
    <row r="775">
      <c r="A775" s="10">
        <f>IF($E775="","",INDEX('Input Transaksi'!$A:$A,$E775))</f>
        <v/>
      </c>
      <c r="B775" s="5">
        <f>IF($E775="","",INDEX('Input Transaksi'!$D:$D,$E775))</f>
        <v/>
      </c>
      <c r="C775">
        <f>IF($E775="","",INDEX('Input Transaksi'!$E:$E,$E775))</f>
        <v/>
      </c>
      <c r="D775" s="5">
        <f>IF($E775="","",INDEX('Input Transaksi'!$F:$F,$E775))</f>
        <v/>
      </c>
      <c r="E775">
        <f>IFERROR(AGGREGATE(15,6,ROW('Input Transaksi'!$B$5:$B$5000)/('Input Transaksi'!$B$5:$B$5000="MONANG MANING"),ROWS($E$5:E775)),"")</f>
        <v/>
      </c>
      <c r="F775" s="5" t="n"/>
    </row>
    <row r="776">
      <c r="A776" s="10">
        <f>IF($E776="","",INDEX('Input Transaksi'!$A:$A,$E776))</f>
        <v/>
      </c>
      <c r="B776" s="5">
        <f>IF($E776="","",INDEX('Input Transaksi'!$D:$D,$E776))</f>
        <v/>
      </c>
      <c r="C776">
        <f>IF($E776="","",INDEX('Input Transaksi'!$E:$E,$E776))</f>
        <v/>
      </c>
      <c r="D776" s="5">
        <f>IF($E776="","",INDEX('Input Transaksi'!$F:$F,$E776))</f>
        <v/>
      </c>
      <c r="E776">
        <f>IFERROR(AGGREGATE(15,6,ROW('Input Transaksi'!$B$5:$B$5000)/('Input Transaksi'!$B$5:$B$5000="MONANG MANING"),ROWS($E$5:E776)),"")</f>
        <v/>
      </c>
      <c r="F776" s="5" t="n"/>
    </row>
    <row r="777">
      <c r="A777" s="10">
        <f>IF($E777="","",INDEX('Input Transaksi'!$A:$A,$E777))</f>
        <v/>
      </c>
      <c r="B777" s="5">
        <f>IF($E777="","",INDEX('Input Transaksi'!$D:$D,$E777))</f>
        <v/>
      </c>
      <c r="C777">
        <f>IF($E777="","",INDEX('Input Transaksi'!$E:$E,$E777))</f>
        <v/>
      </c>
      <c r="D777" s="5">
        <f>IF($E777="","",INDEX('Input Transaksi'!$F:$F,$E777))</f>
        <v/>
      </c>
      <c r="E777">
        <f>IFERROR(AGGREGATE(15,6,ROW('Input Transaksi'!$B$5:$B$5000)/('Input Transaksi'!$B$5:$B$5000="MONANG MANING"),ROWS($E$5:E777)),"")</f>
        <v/>
      </c>
      <c r="F777" s="5" t="n"/>
    </row>
    <row r="778">
      <c r="A778" s="10">
        <f>IF($E778="","",INDEX('Input Transaksi'!$A:$A,$E778))</f>
        <v/>
      </c>
      <c r="B778" s="5">
        <f>IF($E778="","",INDEX('Input Transaksi'!$D:$D,$E778))</f>
        <v/>
      </c>
      <c r="C778">
        <f>IF($E778="","",INDEX('Input Transaksi'!$E:$E,$E778))</f>
        <v/>
      </c>
      <c r="D778" s="5">
        <f>IF($E778="","",INDEX('Input Transaksi'!$F:$F,$E778))</f>
        <v/>
      </c>
      <c r="E778">
        <f>IFERROR(AGGREGATE(15,6,ROW('Input Transaksi'!$B$5:$B$5000)/('Input Transaksi'!$B$5:$B$5000="MONANG MANING"),ROWS($E$5:E778)),"")</f>
        <v/>
      </c>
      <c r="F778" s="5" t="n"/>
    </row>
    <row r="779">
      <c r="A779" s="10">
        <f>IF($E779="","",INDEX('Input Transaksi'!$A:$A,$E779))</f>
        <v/>
      </c>
      <c r="B779" s="5">
        <f>IF($E779="","",INDEX('Input Transaksi'!$D:$D,$E779))</f>
        <v/>
      </c>
      <c r="C779">
        <f>IF($E779="","",INDEX('Input Transaksi'!$E:$E,$E779))</f>
        <v/>
      </c>
      <c r="D779" s="5">
        <f>IF($E779="","",INDEX('Input Transaksi'!$F:$F,$E779))</f>
        <v/>
      </c>
      <c r="E779">
        <f>IFERROR(AGGREGATE(15,6,ROW('Input Transaksi'!$B$5:$B$5000)/('Input Transaksi'!$B$5:$B$5000="MONANG MANING"),ROWS($E$5:E779)),"")</f>
        <v/>
      </c>
      <c r="F779" s="5" t="n"/>
    </row>
    <row r="780">
      <c r="A780" s="10">
        <f>IF($E780="","",INDEX('Input Transaksi'!$A:$A,$E780))</f>
        <v/>
      </c>
      <c r="B780" s="5">
        <f>IF($E780="","",INDEX('Input Transaksi'!$D:$D,$E780))</f>
        <v/>
      </c>
      <c r="C780">
        <f>IF($E780="","",INDEX('Input Transaksi'!$E:$E,$E780))</f>
        <v/>
      </c>
      <c r="D780" s="5">
        <f>IF($E780="","",INDEX('Input Transaksi'!$F:$F,$E780))</f>
        <v/>
      </c>
      <c r="E780">
        <f>IFERROR(AGGREGATE(15,6,ROW('Input Transaksi'!$B$5:$B$5000)/('Input Transaksi'!$B$5:$B$5000="MONANG MANING"),ROWS($E$5:E780)),"")</f>
        <v/>
      </c>
      <c r="F780" s="5" t="n"/>
    </row>
    <row r="781">
      <c r="A781" s="10">
        <f>IF($E781="","",INDEX('Input Transaksi'!$A:$A,$E781))</f>
        <v/>
      </c>
      <c r="B781" s="5">
        <f>IF($E781="","",INDEX('Input Transaksi'!$D:$D,$E781))</f>
        <v/>
      </c>
      <c r="C781">
        <f>IF($E781="","",INDEX('Input Transaksi'!$E:$E,$E781))</f>
        <v/>
      </c>
      <c r="D781" s="5">
        <f>IF($E781="","",INDEX('Input Transaksi'!$F:$F,$E781))</f>
        <v/>
      </c>
      <c r="E781">
        <f>IFERROR(AGGREGATE(15,6,ROW('Input Transaksi'!$B$5:$B$5000)/('Input Transaksi'!$B$5:$B$5000="MONANG MANING"),ROWS($E$5:E781)),"")</f>
        <v/>
      </c>
      <c r="F781" s="5" t="n"/>
    </row>
    <row r="782">
      <c r="A782" s="10">
        <f>IF($E782="","",INDEX('Input Transaksi'!$A:$A,$E782))</f>
        <v/>
      </c>
      <c r="B782" s="5">
        <f>IF($E782="","",INDEX('Input Transaksi'!$D:$D,$E782))</f>
        <v/>
      </c>
      <c r="C782">
        <f>IF($E782="","",INDEX('Input Transaksi'!$E:$E,$E782))</f>
        <v/>
      </c>
      <c r="D782" s="5">
        <f>IF($E782="","",INDEX('Input Transaksi'!$F:$F,$E782))</f>
        <v/>
      </c>
      <c r="E782">
        <f>IFERROR(AGGREGATE(15,6,ROW('Input Transaksi'!$B$5:$B$5000)/('Input Transaksi'!$B$5:$B$5000="MONANG MANING"),ROWS($E$5:E782)),"")</f>
        <v/>
      </c>
      <c r="F782" s="5" t="n"/>
    </row>
    <row r="783">
      <c r="A783" s="10">
        <f>IF($E783="","",INDEX('Input Transaksi'!$A:$A,$E783))</f>
        <v/>
      </c>
      <c r="B783" s="5">
        <f>IF($E783="","",INDEX('Input Transaksi'!$D:$D,$E783))</f>
        <v/>
      </c>
      <c r="C783">
        <f>IF($E783="","",INDEX('Input Transaksi'!$E:$E,$E783))</f>
        <v/>
      </c>
      <c r="D783" s="5">
        <f>IF($E783="","",INDEX('Input Transaksi'!$F:$F,$E783))</f>
        <v/>
      </c>
      <c r="E783">
        <f>IFERROR(AGGREGATE(15,6,ROW('Input Transaksi'!$B$5:$B$5000)/('Input Transaksi'!$B$5:$B$5000="MONANG MANING"),ROWS($E$5:E783)),"")</f>
        <v/>
      </c>
      <c r="F783" s="5" t="n"/>
    </row>
    <row r="784">
      <c r="A784" s="10">
        <f>IF($E784="","",INDEX('Input Transaksi'!$A:$A,$E784))</f>
        <v/>
      </c>
      <c r="B784" s="5">
        <f>IF($E784="","",INDEX('Input Transaksi'!$D:$D,$E784))</f>
        <v/>
      </c>
      <c r="C784">
        <f>IF($E784="","",INDEX('Input Transaksi'!$E:$E,$E784))</f>
        <v/>
      </c>
      <c r="D784" s="5">
        <f>IF($E784="","",INDEX('Input Transaksi'!$F:$F,$E784))</f>
        <v/>
      </c>
      <c r="E784">
        <f>IFERROR(AGGREGATE(15,6,ROW('Input Transaksi'!$B$5:$B$5000)/('Input Transaksi'!$B$5:$B$5000="MONANG MANING"),ROWS($E$5:E784)),"")</f>
        <v/>
      </c>
      <c r="F784" s="5" t="n"/>
    </row>
    <row r="785">
      <c r="A785" s="10">
        <f>IF($E785="","",INDEX('Input Transaksi'!$A:$A,$E785))</f>
        <v/>
      </c>
      <c r="B785" s="5">
        <f>IF($E785="","",INDEX('Input Transaksi'!$D:$D,$E785))</f>
        <v/>
      </c>
      <c r="C785">
        <f>IF($E785="","",INDEX('Input Transaksi'!$E:$E,$E785))</f>
        <v/>
      </c>
      <c r="D785" s="5">
        <f>IF($E785="","",INDEX('Input Transaksi'!$F:$F,$E785))</f>
        <v/>
      </c>
      <c r="E785">
        <f>IFERROR(AGGREGATE(15,6,ROW('Input Transaksi'!$B$5:$B$5000)/('Input Transaksi'!$B$5:$B$5000="MONANG MANING"),ROWS($E$5:E785)),"")</f>
        <v/>
      </c>
      <c r="F785" s="5" t="n"/>
    </row>
    <row r="786">
      <c r="A786" s="10">
        <f>IF($E786="","",INDEX('Input Transaksi'!$A:$A,$E786))</f>
        <v/>
      </c>
      <c r="B786" s="5">
        <f>IF($E786="","",INDEX('Input Transaksi'!$D:$D,$E786))</f>
        <v/>
      </c>
      <c r="C786">
        <f>IF($E786="","",INDEX('Input Transaksi'!$E:$E,$E786))</f>
        <v/>
      </c>
      <c r="D786" s="5">
        <f>IF($E786="","",INDEX('Input Transaksi'!$F:$F,$E786))</f>
        <v/>
      </c>
      <c r="E786">
        <f>IFERROR(AGGREGATE(15,6,ROW('Input Transaksi'!$B$5:$B$5000)/('Input Transaksi'!$B$5:$B$5000="MONANG MANING"),ROWS($E$5:E786)),"")</f>
        <v/>
      </c>
      <c r="F786" s="5" t="n"/>
    </row>
    <row r="787">
      <c r="A787" s="10">
        <f>IF($E787="","",INDEX('Input Transaksi'!$A:$A,$E787))</f>
        <v/>
      </c>
      <c r="B787" s="5">
        <f>IF($E787="","",INDEX('Input Transaksi'!$D:$D,$E787))</f>
        <v/>
      </c>
      <c r="C787">
        <f>IF($E787="","",INDEX('Input Transaksi'!$E:$E,$E787))</f>
        <v/>
      </c>
      <c r="D787" s="5">
        <f>IF($E787="","",INDEX('Input Transaksi'!$F:$F,$E787))</f>
        <v/>
      </c>
      <c r="E787">
        <f>IFERROR(AGGREGATE(15,6,ROW('Input Transaksi'!$B$5:$B$5000)/('Input Transaksi'!$B$5:$B$5000="MONANG MANING"),ROWS($E$5:E787)),"")</f>
        <v/>
      </c>
      <c r="F787" s="5" t="n"/>
    </row>
    <row r="788">
      <c r="A788" s="10">
        <f>IF($E788="","",INDEX('Input Transaksi'!$A:$A,$E788))</f>
        <v/>
      </c>
      <c r="B788" s="5">
        <f>IF($E788="","",INDEX('Input Transaksi'!$D:$D,$E788))</f>
        <v/>
      </c>
      <c r="C788">
        <f>IF($E788="","",INDEX('Input Transaksi'!$E:$E,$E788))</f>
        <v/>
      </c>
      <c r="D788" s="5">
        <f>IF($E788="","",INDEX('Input Transaksi'!$F:$F,$E788))</f>
        <v/>
      </c>
      <c r="E788">
        <f>IFERROR(AGGREGATE(15,6,ROW('Input Transaksi'!$B$5:$B$5000)/('Input Transaksi'!$B$5:$B$5000="MONANG MANING"),ROWS($E$5:E788)),"")</f>
        <v/>
      </c>
      <c r="F788" s="5" t="n"/>
    </row>
    <row r="789">
      <c r="A789" s="10">
        <f>IF($E789="","",INDEX('Input Transaksi'!$A:$A,$E789))</f>
        <v/>
      </c>
      <c r="B789" s="5">
        <f>IF($E789="","",INDEX('Input Transaksi'!$D:$D,$E789))</f>
        <v/>
      </c>
      <c r="C789">
        <f>IF($E789="","",INDEX('Input Transaksi'!$E:$E,$E789))</f>
        <v/>
      </c>
      <c r="D789" s="5">
        <f>IF($E789="","",INDEX('Input Transaksi'!$F:$F,$E789))</f>
        <v/>
      </c>
      <c r="E789">
        <f>IFERROR(AGGREGATE(15,6,ROW('Input Transaksi'!$B$5:$B$5000)/('Input Transaksi'!$B$5:$B$5000="MONANG MANING"),ROWS($E$5:E789)),"")</f>
        <v/>
      </c>
      <c r="F789" s="5" t="n"/>
    </row>
    <row r="790">
      <c r="A790" s="10">
        <f>IF($E790="","",INDEX('Input Transaksi'!$A:$A,$E790))</f>
        <v/>
      </c>
      <c r="B790" s="5">
        <f>IF($E790="","",INDEX('Input Transaksi'!$D:$D,$E790))</f>
        <v/>
      </c>
      <c r="C790">
        <f>IF($E790="","",INDEX('Input Transaksi'!$E:$E,$E790))</f>
        <v/>
      </c>
      <c r="D790" s="5">
        <f>IF($E790="","",INDEX('Input Transaksi'!$F:$F,$E790))</f>
        <v/>
      </c>
      <c r="E790">
        <f>IFERROR(AGGREGATE(15,6,ROW('Input Transaksi'!$B$5:$B$5000)/('Input Transaksi'!$B$5:$B$5000="MONANG MANING"),ROWS($E$5:E790)),"")</f>
        <v/>
      </c>
      <c r="F790" s="5" t="n"/>
    </row>
    <row r="791">
      <c r="A791" s="10">
        <f>IF($E791="","",INDEX('Input Transaksi'!$A:$A,$E791))</f>
        <v/>
      </c>
      <c r="B791" s="5">
        <f>IF($E791="","",INDEX('Input Transaksi'!$D:$D,$E791))</f>
        <v/>
      </c>
      <c r="C791">
        <f>IF($E791="","",INDEX('Input Transaksi'!$E:$E,$E791))</f>
        <v/>
      </c>
      <c r="D791" s="5">
        <f>IF($E791="","",INDEX('Input Transaksi'!$F:$F,$E791))</f>
        <v/>
      </c>
      <c r="E791">
        <f>IFERROR(AGGREGATE(15,6,ROW('Input Transaksi'!$B$5:$B$5000)/('Input Transaksi'!$B$5:$B$5000="MONANG MANING"),ROWS($E$5:E791)),"")</f>
        <v/>
      </c>
      <c r="F791" s="5" t="n"/>
    </row>
    <row r="792">
      <c r="A792" s="10">
        <f>IF($E792="","",INDEX('Input Transaksi'!$A:$A,$E792))</f>
        <v/>
      </c>
      <c r="B792" s="5">
        <f>IF($E792="","",INDEX('Input Transaksi'!$D:$D,$E792))</f>
        <v/>
      </c>
      <c r="C792">
        <f>IF($E792="","",INDEX('Input Transaksi'!$E:$E,$E792))</f>
        <v/>
      </c>
      <c r="D792" s="5">
        <f>IF($E792="","",INDEX('Input Transaksi'!$F:$F,$E792))</f>
        <v/>
      </c>
      <c r="E792">
        <f>IFERROR(AGGREGATE(15,6,ROW('Input Transaksi'!$B$5:$B$5000)/('Input Transaksi'!$B$5:$B$5000="MONANG MANING"),ROWS($E$5:E792)),"")</f>
        <v/>
      </c>
      <c r="F792" s="5" t="n"/>
    </row>
    <row r="793">
      <c r="A793" s="10">
        <f>IF($E793="","",INDEX('Input Transaksi'!$A:$A,$E793))</f>
        <v/>
      </c>
      <c r="B793" s="5">
        <f>IF($E793="","",INDEX('Input Transaksi'!$D:$D,$E793))</f>
        <v/>
      </c>
      <c r="C793">
        <f>IF($E793="","",INDEX('Input Transaksi'!$E:$E,$E793))</f>
        <v/>
      </c>
      <c r="D793" s="5">
        <f>IF($E793="","",INDEX('Input Transaksi'!$F:$F,$E793))</f>
        <v/>
      </c>
      <c r="E793">
        <f>IFERROR(AGGREGATE(15,6,ROW('Input Transaksi'!$B$5:$B$5000)/('Input Transaksi'!$B$5:$B$5000="MONANG MANING"),ROWS($E$5:E793)),"")</f>
        <v/>
      </c>
      <c r="F793" s="5" t="n"/>
    </row>
    <row r="794">
      <c r="A794" s="10">
        <f>IF($E794="","",INDEX('Input Transaksi'!$A:$A,$E794))</f>
        <v/>
      </c>
      <c r="B794" s="5">
        <f>IF($E794="","",INDEX('Input Transaksi'!$D:$D,$E794))</f>
        <v/>
      </c>
      <c r="C794">
        <f>IF($E794="","",INDEX('Input Transaksi'!$E:$E,$E794))</f>
        <v/>
      </c>
      <c r="D794" s="5">
        <f>IF($E794="","",INDEX('Input Transaksi'!$F:$F,$E794))</f>
        <v/>
      </c>
      <c r="E794">
        <f>IFERROR(AGGREGATE(15,6,ROW('Input Transaksi'!$B$5:$B$5000)/('Input Transaksi'!$B$5:$B$5000="MONANG MANING"),ROWS($E$5:E794)),"")</f>
        <v/>
      </c>
      <c r="F794" s="5" t="n"/>
    </row>
    <row r="795">
      <c r="A795" s="10">
        <f>IF($E795="","",INDEX('Input Transaksi'!$A:$A,$E795))</f>
        <v/>
      </c>
      <c r="B795" s="5">
        <f>IF($E795="","",INDEX('Input Transaksi'!$D:$D,$E795))</f>
        <v/>
      </c>
      <c r="C795">
        <f>IF($E795="","",INDEX('Input Transaksi'!$E:$E,$E795))</f>
        <v/>
      </c>
      <c r="D795" s="5">
        <f>IF($E795="","",INDEX('Input Transaksi'!$F:$F,$E795))</f>
        <v/>
      </c>
      <c r="E795">
        <f>IFERROR(AGGREGATE(15,6,ROW('Input Transaksi'!$B$5:$B$5000)/('Input Transaksi'!$B$5:$B$5000="MONANG MANING"),ROWS($E$5:E795)),"")</f>
        <v/>
      </c>
      <c r="F795" s="5" t="n"/>
    </row>
    <row r="796">
      <c r="A796" s="10">
        <f>IF($E796="","",INDEX('Input Transaksi'!$A:$A,$E796))</f>
        <v/>
      </c>
      <c r="B796" s="5">
        <f>IF($E796="","",INDEX('Input Transaksi'!$D:$D,$E796))</f>
        <v/>
      </c>
      <c r="C796">
        <f>IF($E796="","",INDEX('Input Transaksi'!$E:$E,$E796))</f>
        <v/>
      </c>
      <c r="D796" s="5">
        <f>IF($E796="","",INDEX('Input Transaksi'!$F:$F,$E796))</f>
        <v/>
      </c>
      <c r="E796">
        <f>IFERROR(AGGREGATE(15,6,ROW('Input Transaksi'!$B$5:$B$5000)/('Input Transaksi'!$B$5:$B$5000="MONANG MANING"),ROWS($E$5:E796)),"")</f>
        <v/>
      </c>
      <c r="F796" s="5" t="n"/>
    </row>
    <row r="797">
      <c r="A797" s="10">
        <f>IF($E797="","",INDEX('Input Transaksi'!$A:$A,$E797))</f>
        <v/>
      </c>
      <c r="B797" s="5">
        <f>IF($E797="","",INDEX('Input Transaksi'!$D:$D,$E797))</f>
        <v/>
      </c>
      <c r="C797">
        <f>IF($E797="","",INDEX('Input Transaksi'!$E:$E,$E797))</f>
        <v/>
      </c>
      <c r="D797" s="5">
        <f>IF($E797="","",INDEX('Input Transaksi'!$F:$F,$E797))</f>
        <v/>
      </c>
      <c r="E797">
        <f>IFERROR(AGGREGATE(15,6,ROW('Input Transaksi'!$B$5:$B$5000)/('Input Transaksi'!$B$5:$B$5000="MONANG MANING"),ROWS($E$5:E797)),"")</f>
        <v/>
      </c>
      <c r="F797" s="5" t="n"/>
    </row>
    <row r="798">
      <c r="A798" s="10">
        <f>IF($E798="","",INDEX('Input Transaksi'!$A:$A,$E798))</f>
        <v/>
      </c>
      <c r="B798" s="5">
        <f>IF($E798="","",INDEX('Input Transaksi'!$D:$D,$E798))</f>
        <v/>
      </c>
      <c r="C798">
        <f>IF($E798="","",INDEX('Input Transaksi'!$E:$E,$E798))</f>
        <v/>
      </c>
      <c r="D798" s="5">
        <f>IF($E798="","",INDEX('Input Transaksi'!$F:$F,$E798))</f>
        <v/>
      </c>
      <c r="E798">
        <f>IFERROR(AGGREGATE(15,6,ROW('Input Transaksi'!$B$5:$B$5000)/('Input Transaksi'!$B$5:$B$5000="MONANG MANING"),ROWS($E$5:E798)),"")</f>
        <v/>
      </c>
      <c r="F798" s="5" t="n"/>
    </row>
    <row r="799">
      <c r="A799" s="10">
        <f>IF($E799="","",INDEX('Input Transaksi'!$A:$A,$E799))</f>
        <v/>
      </c>
      <c r="B799" s="5">
        <f>IF($E799="","",INDEX('Input Transaksi'!$D:$D,$E799))</f>
        <v/>
      </c>
      <c r="C799">
        <f>IF($E799="","",INDEX('Input Transaksi'!$E:$E,$E799))</f>
        <v/>
      </c>
      <c r="D799" s="5">
        <f>IF($E799="","",INDEX('Input Transaksi'!$F:$F,$E799))</f>
        <v/>
      </c>
      <c r="E799">
        <f>IFERROR(AGGREGATE(15,6,ROW('Input Transaksi'!$B$5:$B$5000)/('Input Transaksi'!$B$5:$B$5000="MONANG MANING"),ROWS($E$5:E799)),"")</f>
        <v/>
      </c>
      <c r="F799" s="5" t="n"/>
    </row>
    <row r="800">
      <c r="A800" s="10">
        <f>IF($E800="","",INDEX('Input Transaksi'!$A:$A,$E800))</f>
        <v/>
      </c>
      <c r="B800" s="5">
        <f>IF($E800="","",INDEX('Input Transaksi'!$D:$D,$E800))</f>
        <v/>
      </c>
      <c r="C800">
        <f>IF($E800="","",INDEX('Input Transaksi'!$E:$E,$E800))</f>
        <v/>
      </c>
      <c r="D800" s="5">
        <f>IF($E800="","",INDEX('Input Transaksi'!$F:$F,$E800))</f>
        <v/>
      </c>
      <c r="E800">
        <f>IFERROR(AGGREGATE(15,6,ROW('Input Transaksi'!$B$5:$B$5000)/('Input Transaksi'!$B$5:$B$5000="MONANG MANING"),ROWS($E$5:E800)),"")</f>
        <v/>
      </c>
      <c r="F800" s="5" t="n"/>
    </row>
    <row r="801">
      <c r="A801" s="10">
        <f>IF($E801="","",INDEX('Input Transaksi'!$A:$A,$E801))</f>
        <v/>
      </c>
      <c r="B801" s="5">
        <f>IF($E801="","",INDEX('Input Transaksi'!$D:$D,$E801))</f>
        <v/>
      </c>
      <c r="C801">
        <f>IF($E801="","",INDEX('Input Transaksi'!$E:$E,$E801))</f>
        <v/>
      </c>
      <c r="D801" s="5">
        <f>IF($E801="","",INDEX('Input Transaksi'!$F:$F,$E801))</f>
        <v/>
      </c>
      <c r="E801">
        <f>IFERROR(AGGREGATE(15,6,ROW('Input Transaksi'!$B$5:$B$5000)/('Input Transaksi'!$B$5:$B$5000="MONANG MANING"),ROWS($E$5:E801)),"")</f>
        <v/>
      </c>
      <c r="F801" s="5" t="n"/>
    </row>
    <row r="802">
      <c r="A802" s="10">
        <f>IF($E802="","",INDEX('Input Transaksi'!$A:$A,$E802))</f>
        <v/>
      </c>
      <c r="B802" s="5">
        <f>IF($E802="","",INDEX('Input Transaksi'!$D:$D,$E802))</f>
        <v/>
      </c>
      <c r="C802">
        <f>IF($E802="","",INDEX('Input Transaksi'!$E:$E,$E802))</f>
        <v/>
      </c>
      <c r="D802" s="5">
        <f>IF($E802="","",INDEX('Input Transaksi'!$F:$F,$E802))</f>
        <v/>
      </c>
      <c r="E802">
        <f>IFERROR(AGGREGATE(15,6,ROW('Input Transaksi'!$B$5:$B$5000)/('Input Transaksi'!$B$5:$B$5000="MONANG MANING"),ROWS($E$5:E802)),"")</f>
        <v/>
      </c>
      <c r="F802" s="5" t="n"/>
    </row>
    <row r="803">
      <c r="A803" s="10">
        <f>IF($E803="","",INDEX('Input Transaksi'!$A:$A,$E803))</f>
        <v/>
      </c>
      <c r="B803" s="5">
        <f>IF($E803="","",INDEX('Input Transaksi'!$D:$D,$E803))</f>
        <v/>
      </c>
      <c r="C803">
        <f>IF($E803="","",INDEX('Input Transaksi'!$E:$E,$E803))</f>
        <v/>
      </c>
      <c r="D803" s="5">
        <f>IF($E803="","",INDEX('Input Transaksi'!$F:$F,$E803))</f>
        <v/>
      </c>
      <c r="E803">
        <f>IFERROR(AGGREGATE(15,6,ROW('Input Transaksi'!$B$5:$B$5000)/('Input Transaksi'!$B$5:$B$5000="MONANG MANING"),ROWS($E$5:E803)),"")</f>
        <v/>
      </c>
      <c r="F803" s="5" t="n"/>
    </row>
    <row r="804">
      <c r="A804" s="10">
        <f>IF($E804="","",INDEX('Input Transaksi'!$A:$A,$E804))</f>
        <v/>
      </c>
      <c r="B804" s="5">
        <f>IF($E804="","",INDEX('Input Transaksi'!$D:$D,$E804))</f>
        <v/>
      </c>
      <c r="C804">
        <f>IF($E804="","",INDEX('Input Transaksi'!$E:$E,$E804))</f>
        <v/>
      </c>
      <c r="D804" s="5">
        <f>IF($E804="","",INDEX('Input Transaksi'!$F:$F,$E804))</f>
        <v/>
      </c>
      <c r="E804">
        <f>IFERROR(AGGREGATE(15,6,ROW('Input Transaksi'!$B$5:$B$5000)/('Input Transaksi'!$B$5:$B$5000="MONANG MANING"),ROWS($E$5:E804)),"")</f>
        <v/>
      </c>
      <c r="F804" s="5" t="n"/>
    </row>
    <row r="805">
      <c r="A805" s="10">
        <f>IF($E805="","",INDEX('Input Transaksi'!$A:$A,$E805))</f>
        <v/>
      </c>
      <c r="B805" s="5">
        <f>IF($E805="","",INDEX('Input Transaksi'!$D:$D,$E805))</f>
        <v/>
      </c>
      <c r="C805">
        <f>IF($E805="","",INDEX('Input Transaksi'!$E:$E,$E805))</f>
        <v/>
      </c>
      <c r="D805" s="5">
        <f>IF($E805="","",INDEX('Input Transaksi'!$F:$F,$E805))</f>
        <v/>
      </c>
      <c r="E805">
        <f>IFERROR(AGGREGATE(15,6,ROW('Input Transaksi'!$B$5:$B$5000)/('Input Transaksi'!$B$5:$B$5000="MONANG MANING"),ROWS($E$5:E805)),"")</f>
        <v/>
      </c>
      <c r="F805" s="5" t="n"/>
    </row>
    <row r="806">
      <c r="A806" s="10">
        <f>IF($E806="","",INDEX('Input Transaksi'!$A:$A,$E806))</f>
        <v/>
      </c>
      <c r="B806" s="5">
        <f>IF($E806="","",INDEX('Input Transaksi'!$D:$D,$E806))</f>
        <v/>
      </c>
      <c r="C806">
        <f>IF($E806="","",INDEX('Input Transaksi'!$E:$E,$E806))</f>
        <v/>
      </c>
      <c r="D806" s="5">
        <f>IF($E806="","",INDEX('Input Transaksi'!$F:$F,$E806))</f>
        <v/>
      </c>
      <c r="E806">
        <f>IFERROR(AGGREGATE(15,6,ROW('Input Transaksi'!$B$5:$B$5000)/('Input Transaksi'!$B$5:$B$5000="MONANG MANING"),ROWS($E$5:E806)),"")</f>
        <v/>
      </c>
      <c r="F806" s="5" t="n"/>
    </row>
    <row r="807">
      <c r="A807" s="10">
        <f>IF($E807="","",INDEX('Input Transaksi'!$A:$A,$E807))</f>
        <v/>
      </c>
      <c r="B807" s="5">
        <f>IF($E807="","",INDEX('Input Transaksi'!$D:$D,$E807))</f>
        <v/>
      </c>
      <c r="C807">
        <f>IF($E807="","",INDEX('Input Transaksi'!$E:$E,$E807))</f>
        <v/>
      </c>
      <c r="D807" s="5">
        <f>IF($E807="","",INDEX('Input Transaksi'!$F:$F,$E807))</f>
        <v/>
      </c>
      <c r="E807">
        <f>IFERROR(AGGREGATE(15,6,ROW('Input Transaksi'!$B$5:$B$5000)/('Input Transaksi'!$B$5:$B$5000="MONANG MANING"),ROWS($E$5:E807)),"")</f>
        <v/>
      </c>
      <c r="F807" s="5" t="n"/>
    </row>
    <row r="808">
      <c r="A808" s="10">
        <f>IF($E808="","",INDEX('Input Transaksi'!$A:$A,$E808))</f>
        <v/>
      </c>
      <c r="B808" s="5">
        <f>IF($E808="","",INDEX('Input Transaksi'!$D:$D,$E808))</f>
        <v/>
      </c>
      <c r="C808">
        <f>IF($E808="","",INDEX('Input Transaksi'!$E:$E,$E808))</f>
        <v/>
      </c>
      <c r="D808" s="5">
        <f>IF($E808="","",INDEX('Input Transaksi'!$F:$F,$E808))</f>
        <v/>
      </c>
      <c r="E808">
        <f>IFERROR(AGGREGATE(15,6,ROW('Input Transaksi'!$B$5:$B$5000)/('Input Transaksi'!$B$5:$B$5000="MONANG MANING"),ROWS($E$5:E808)),"")</f>
        <v/>
      </c>
      <c r="F808" s="5" t="n"/>
    </row>
    <row r="809">
      <c r="A809" s="10">
        <f>IF($E809="","",INDEX('Input Transaksi'!$A:$A,$E809))</f>
        <v/>
      </c>
      <c r="B809" s="5">
        <f>IF($E809="","",INDEX('Input Transaksi'!$D:$D,$E809))</f>
        <v/>
      </c>
      <c r="C809">
        <f>IF($E809="","",INDEX('Input Transaksi'!$E:$E,$E809))</f>
        <v/>
      </c>
      <c r="D809" s="5">
        <f>IF($E809="","",INDEX('Input Transaksi'!$F:$F,$E809))</f>
        <v/>
      </c>
      <c r="E809">
        <f>IFERROR(AGGREGATE(15,6,ROW('Input Transaksi'!$B$5:$B$5000)/('Input Transaksi'!$B$5:$B$5000="MONANG MANING"),ROWS($E$5:E809)),"")</f>
        <v/>
      </c>
      <c r="F809" s="5" t="n"/>
    </row>
    <row r="810">
      <c r="A810" s="10">
        <f>IF($E810="","",INDEX('Input Transaksi'!$A:$A,$E810))</f>
        <v/>
      </c>
      <c r="B810" s="5">
        <f>IF($E810="","",INDEX('Input Transaksi'!$D:$D,$E810))</f>
        <v/>
      </c>
      <c r="C810">
        <f>IF($E810="","",INDEX('Input Transaksi'!$E:$E,$E810))</f>
        <v/>
      </c>
      <c r="D810" s="5">
        <f>IF($E810="","",INDEX('Input Transaksi'!$F:$F,$E810))</f>
        <v/>
      </c>
      <c r="E810">
        <f>IFERROR(AGGREGATE(15,6,ROW('Input Transaksi'!$B$5:$B$5000)/('Input Transaksi'!$B$5:$B$5000="MONANG MANING"),ROWS($E$5:E810)),"")</f>
        <v/>
      </c>
      <c r="F810" s="5" t="n"/>
    </row>
    <row r="811">
      <c r="A811" s="10">
        <f>IF($E811="","",INDEX('Input Transaksi'!$A:$A,$E811))</f>
        <v/>
      </c>
      <c r="B811" s="5">
        <f>IF($E811="","",INDEX('Input Transaksi'!$D:$D,$E811))</f>
        <v/>
      </c>
      <c r="C811">
        <f>IF($E811="","",INDEX('Input Transaksi'!$E:$E,$E811))</f>
        <v/>
      </c>
      <c r="D811" s="5">
        <f>IF($E811="","",INDEX('Input Transaksi'!$F:$F,$E811))</f>
        <v/>
      </c>
      <c r="E811">
        <f>IFERROR(AGGREGATE(15,6,ROW('Input Transaksi'!$B$5:$B$5000)/('Input Transaksi'!$B$5:$B$5000="MONANG MANING"),ROWS($E$5:E811)),"")</f>
        <v/>
      </c>
      <c r="F811" s="5" t="n"/>
    </row>
    <row r="812">
      <c r="A812" s="10">
        <f>IF($E812="","",INDEX('Input Transaksi'!$A:$A,$E812))</f>
        <v/>
      </c>
      <c r="B812" s="5">
        <f>IF($E812="","",INDEX('Input Transaksi'!$D:$D,$E812))</f>
        <v/>
      </c>
      <c r="C812">
        <f>IF($E812="","",INDEX('Input Transaksi'!$E:$E,$E812))</f>
        <v/>
      </c>
      <c r="D812" s="5">
        <f>IF($E812="","",INDEX('Input Transaksi'!$F:$F,$E812))</f>
        <v/>
      </c>
      <c r="E812">
        <f>IFERROR(AGGREGATE(15,6,ROW('Input Transaksi'!$B$5:$B$5000)/('Input Transaksi'!$B$5:$B$5000="MONANG MANING"),ROWS($E$5:E812)),"")</f>
        <v/>
      </c>
      <c r="F812" s="5" t="n"/>
    </row>
    <row r="813">
      <c r="A813" s="10">
        <f>IF($E813="","",INDEX('Input Transaksi'!$A:$A,$E813))</f>
        <v/>
      </c>
      <c r="B813" s="5">
        <f>IF($E813="","",INDEX('Input Transaksi'!$D:$D,$E813))</f>
        <v/>
      </c>
      <c r="C813">
        <f>IF($E813="","",INDEX('Input Transaksi'!$E:$E,$E813))</f>
        <v/>
      </c>
      <c r="D813" s="5">
        <f>IF($E813="","",INDEX('Input Transaksi'!$F:$F,$E813))</f>
        <v/>
      </c>
      <c r="E813">
        <f>IFERROR(AGGREGATE(15,6,ROW('Input Transaksi'!$B$5:$B$5000)/('Input Transaksi'!$B$5:$B$5000="MONANG MANING"),ROWS($E$5:E813)),"")</f>
        <v/>
      </c>
      <c r="F813" s="5" t="n"/>
    </row>
    <row r="814">
      <c r="A814" s="10">
        <f>IF($E814="","",INDEX('Input Transaksi'!$A:$A,$E814))</f>
        <v/>
      </c>
      <c r="B814" s="5">
        <f>IF($E814="","",INDEX('Input Transaksi'!$D:$D,$E814))</f>
        <v/>
      </c>
      <c r="C814">
        <f>IF($E814="","",INDEX('Input Transaksi'!$E:$E,$E814))</f>
        <v/>
      </c>
      <c r="D814" s="5">
        <f>IF($E814="","",INDEX('Input Transaksi'!$F:$F,$E814))</f>
        <v/>
      </c>
      <c r="E814">
        <f>IFERROR(AGGREGATE(15,6,ROW('Input Transaksi'!$B$5:$B$5000)/('Input Transaksi'!$B$5:$B$5000="MONANG MANING"),ROWS($E$5:E814)),"")</f>
        <v/>
      </c>
      <c r="F814" s="5" t="n"/>
    </row>
    <row r="815">
      <c r="A815" s="10">
        <f>IF($E815="","",INDEX('Input Transaksi'!$A:$A,$E815))</f>
        <v/>
      </c>
      <c r="B815" s="5">
        <f>IF($E815="","",INDEX('Input Transaksi'!$D:$D,$E815))</f>
        <v/>
      </c>
      <c r="C815">
        <f>IF($E815="","",INDEX('Input Transaksi'!$E:$E,$E815))</f>
        <v/>
      </c>
      <c r="D815" s="5">
        <f>IF($E815="","",INDEX('Input Transaksi'!$F:$F,$E815))</f>
        <v/>
      </c>
      <c r="E815">
        <f>IFERROR(AGGREGATE(15,6,ROW('Input Transaksi'!$B$5:$B$5000)/('Input Transaksi'!$B$5:$B$5000="MONANG MANING"),ROWS($E$5:E815)),"")</f>
        <v/>
      </c>
      <c r="F815" s="5" t="n"/>
    </row>
    <row r="816">
      <c r="A816" s="10">
        <f>IF($E816="","",INDEX('Input Transaksi'!$A:$A,$E816))</f>
        <v/>
      </c>
      <c r="B816" s="5">
        <f>IF($E816="","",INDEX('Input Transaksi'!$D:$D,$E816))</f>
        <v/>
      </c>
      <c r="C816">
        <f>IF($E816="","",INDEX('Input Transaksi'!$E:$E,$E816))</f>
        <v/>
      </c>
      <c r="D816" s="5">
        <f>IF($E816="","",INDEX('Input Transaksi'!$F:$F,$E816))</f>
        <v/>
      </c>
      <c r="E816">
        <f>IFERROR(AGGREGATE(15,6,ROW('Input Transaksi'!$B$5:$B$5000)/('Input Transaksi'!$B$5:$B$5000="MONANG MANING"),ROWS($E$5:E816)),"")</f>
        <v/>
      </c>
      <c r="F816" s="5" t="n"/>
    </row>
    <row r="817">
      <c r="A817" s="10">
        <f>IF($E817="","",INDEX('Input Transaksi'!$A:$A,$E817))</f>
        <v/>
      </c>
      <c r="B817" s="5">
        <f>IF($E817="","",INDEX('Input Transaksi'!$D:$D,$E817))</f>
        <v/>
      </c>
      <c r="C817">
        <f>IF($E817="","",INDEX('Input Transaksi'!$E:$E,$E817))</f>
        <v/>
      </c>
      <c r="D817" s="5">
        <f>IF($E817="","",INDEX('Input Transaksi'!$F:$F,$E817))</f>
        <v/>
      </c>
      <c r="E817">
        <f>IFERROR(AGGREGATE(15,6,ROW('Input Transaksi'!$B$5:$B$5000)/('Input Transaksi'!$B$5:$B$5000="MONANG MANING"),ROWS($E$5:E817)),"")</f>
        <v/>
      </c>
      <c r="F817" s="5" t="n"/>
    </row>
    <row r="818">
      <c r="A818" s="10">
        <f>IF($E818="","",INDEX('Input Transaksi'!$A:$A,$E818))</f>
        <v/>
      </c>
      <c r="B818" s="5">
        <f>IF($E818="","",INDEX('Input Transaksi'!$D:$D,$E818))</f>
        <v/>
      </c>
      <c r="C818">
        <f>IF($E818="","",INDEX('Input Transaksi'!$E:$E,$E818))</f>
        <v/>
      </c>
      <c r="D818" s="5">
        <f>IF($E818="","",INDEX('Input Transaksi'!$F:$F,$E818))</f>
        <v/>
      </c>
      <c r="E818">
        <f>IFERROR(AGGREGATE(15,6,ROW('Input Transaksi'!$B$5:$B$5000)/('Input Transaksi'!$B$5:$B$5000="MONANG MANING"),ROWS($E$5:E818)),"")</f>
        <v/>
      </c>
      <c r="F818" s="5" t="n"/>
    </row>
    <row r="819">
      <c r="A819" s="10">
        <f>IF($E819="","",INDEX('Input Transaksi'!$A:$A,$E819))</f>
        <v/>
      </c>
      <c r="B819" s="5">
        <f>IF($E819="","",INDEX('Input Transaksi'!$D:$D,$E819))</f>
        <v/>
      </c>
      <c r="C819">
        <f>IF($E819="","",INDEX('Input Transaksi'!$E:$E,$E819))</f>
        <v/>
      </c>
      <c r="D819" s="5">
        <f>IF($E819="","",INDEX('Input Transaksi'!$F:$F,$E819))</f>
        <v/>
      </c>
      <c r="E819">
        <f>IFERROR(AGGREGATE(15,6,ROW('Input Transaksi'!$B$5:$B$5000)/('Input Transaksi'!$B$5:$B$5000="MONANG MANING"),ROWS($E$5:E819)),"")</f>
        <v/>
      </c>
      <c r="F819" s="5" t="n"/>
    </row>
    <row r="820">
      <c r="A820" s="10">
        <f>IF($E820="","",INDEX('Input Transaksi'!$A:$A,$E820))</f>
        <v/>
      </c>
      <c r="B820" s="5">
        <f>IF($E820="","",INDEX('Input Transaksi'!$D:$D,$E820))</f>
        <v/>
      </c>
      <c r="C820">
        <f>IF($E820="","",INDEX('Input Transaksi'!$E:$E,$E820))</f>
        <v/>
      </c>
      <c r="D820" s="5">
        <f>IF($E820="","",INDEX('Input Transaksi'!$F:$F,$E820))</f>
        <v/>
      </c>
      <c r="E820">
        <f>IFERROR(AGGREGATE(15,6,ROW('Input Transaksi'!$B$5:$B$5000)/('Input Transaksi'!$B$5:$B$5000="MONANG MANING"),ROWS($E$5:E820)),"")</f>
        <v/>
      </c>
      <c r="F820" s="5" t="n"/>
    </row>
    <row r="821">
      <c r="A821" s="10">
        <f>IF($E821="","",INDEX('Input Transaksi'!$A:$A,$E821))</f>
        <v/>
      </c>
      <c r="B821" s="5">
        <f>IF($E821="","",INDEX('Input Transaksi'!$D:$D,$E821))</f>
        <v/>
      </c>
      <c r="C821">
        <f>IF($E821="","",INDEX('Input Transaksi'!$E:$E,$E821))</f>
        <v/>
      </c>
      <c r="D821" s="5">
        <f>IF($E821="","",INDEX('Input Transaksi'!$F:$F,$E821))</f>
        <v/>
      </c>
      <c r="E821">
        <f>IFERROR(AGGREGATE(15,6,ROW('Input Transaksi'!$B$5:$B$5000)/('Input Transaksi'!$B$5:$B$5000="MONANG MANING"),ROWS($E$5:E821)),"")</f>
        <v/>
      </c>
      <c r="F821" s="5" t="n"/>
    </row>
    <row r="822">
      <c r="A822" s="10">
        <f>IF($E822="","",INDEX('Input Transaksi'!$A:$A,$E822))</f>
        <v/>
      </c>
      <c r="B822" s="5">
        <f>IF($E822="","",INDEX('Input Transaksi'!$D:$D,$E822))</f>
        <v/>
      </c>
      <c r="C822">
        <f>IF($E822="","",INDEX('Input Transaksi'!$E:$E,$E822))</f>
        <v/>
      </c>
      <c r="D822" s="5">
        <f>IF($E822="","",INDEX('Input Transaksi'!$F:$F,$E822))</f>
        <v/>
      </c>
      <c r="E822">
        <f>IFERROR(AGGREGATE(15,6,ROW('Input Transaksi'!$B$5:$B$5000)/('Input Transaksi'!$B$5:$B$5000="MONANG MANING"),ROWS($E$5:E822)),"")</f>
        <v/>
      </c>
      <c r="F822" s="5" t="n"/>
    </row>
    <row r="823">
      <c r="A823" s="10">
        <f>IF($E823="","",INDEX('Input Transaksi'!$A:$A,$E823))</f>
        <v/>
      </c>
      <c r="B823" s="5">
        <f>IF($E823="","",INDEX('Input Transaksi'!$D:$D,$E823))</f>
        <v/>
      </c>
      <c r="C823">
        <f>IF($E823="","",INDEX('Input Transaksi'!$E:$E,$E823))</f>
        <v/>
      </c>
      <c r="D823" s="5">
        <f>IF($E823="","",INDEX('Input Transaksi'!$F:$F,$E823))</f>
        <v/>
      </c>
      <c r="E823">
        <f>IFERROR(AGGREGATE(15,6,ROW('Input Transaksi'!$B$5:$B$5000)/('Input Transaksi'!$B$5:$B$5000="MONANG MANING"),ROWS($E$5:E823)),"")</f>
        <v/>
      </c>
      <c r="F823" s="5" t="n"/>
    </row>
    <row r="824">
      <c r="A824" s="10">
        <f>IF($E824="","",INDEX('Input Transaksi'!$A:$A,$E824))</f>
        <v/>
      </c>
      <c r="B824" s="5">
        <f>IF($E824="","",INDEX('Input Transaksi'!$D:$D,$E824))</f>
        <v/>
      </c>
      <c r="C824">
        <f>IF($E824="","",INDEX('Input Transaksi'!$E:$E,$E824))</f>
        <v/>
      </c>
      <c r="D824" s="5">
        <f>IF($E824="","",INDEX('Input Transaksi'!$F:$F,$E824))</f>
        <v/>
      </c>
      <c r="E824">
        <f>IFERROR(AGGREGATE(15,6,ROW('Input Transaksi'!$B$5:$B$5000)/('Input Transaksi'!$B$5:$B$5000="MONANG MANING"),ROWS($E$5:E824)),"")</f>
        <v/>
      </c>
      <c r="F824" s="5" t="n"/>
    </row>
    <row r="825">
      <c r="A825" s="10">
        <f>IF($E825="","",INDEX('Input Transaksi'!$A:$A,$E825))</f>
        <v/>
      </c>
      <c r="B825" s="5">
        <f>IF($E825="","",INDEX('Input Transaksi'!$D:$D,$E825))</f>
        <v/>
      </c>
      <c r="C825">
        <f>IF($E825="","",INDEX('Input Transaksi'!$E:$E,$E825))</f>
        <v/>
      </c>
      <c r="D825" s="5">
        <f>IF($E825="","",INDEX('Input Transaksi'!$F:$F,$E825))</f>
        <v/>
      </c>
      <c r="E825">
        <f>IFERROR(AGGREGATE(15,6,ROW('Input Transaksi'!$B$5:$B$5000)/('Input Transaksi'!$B$5:$B$5000="MONANG MANING"),ROWS($E$5:E825)),"")</f>
        <v/>
      </c>
      <c r="F825" s="5" t="n"/>
    </row>
    <row r="826">
      <c r="A826" s="10">
        <f>IF($E826="","",INDEX('Input Transaksi'!$A:$A,$E826))</f>
        <v/>
      </c>
      <c r="B826" s="5">
        <f>IF($E826="","",INDEX('Input Transaksi'!$D:$D,$E826))</f>
        <v/>
      </c>
      <c r="C826">
        <f>IF($E826="","",INDEX('Input Transaksi'!$E:$E,$E826))</f>
        <v/>
      </c>
      <c r="D826" s="5">
        <f>IF($E826="","",INDEX('Input Transaksi'!$F:$F,$E826))</f>
        <v/>
      </c>
      <c r="E826">
        <f>IFERROR(AGGREGATE(15,6,ROW('Input Transaksi'!$B$5:$B$5000)/('Input Transaksi'!$B$5:$B$5000="MONANG MANING"),ROWS($E$5:E826)),"")</f>
        <v/>
      </c>
      <c r="F826" s="5" t="n"/>
    </row>
    <row r="827">
      <c r="A827" s="10">
        <f>IF($E827="","",INDEX('Input Transaksi'!$A:$A,$E827))</f>
        <v/>
      </c>
      <c r="B827" s="5">
        <f>IF($E827="","",INDEX('Input Transaksi'!$D:$D,$E827))</f>
        <v/>
      </c>
      <c r="C827">
        <f>IF($E827="","",INDEX('Input Transaksi'!$E:$E,$E827))</f>
        <v/>
      </c>
      <c r="D827" s="5">
        <f>IF($E827="","",INDEX('Input Transaksi'!$F:$F,$E827))</f>
        <v/>
      </c>
      <c r="E827">
        <f>IFERROR(AGGREGATE(15,6,ROW('Input Transaksi'!$B$5:$B$5000)/('Input Transaksi'!$B$5:$B$5000="MONANG MANING"),ROWS($E$5:E827)),"")</f>
        <v/>
      </c>
      <c r="F827" s="5" t="n"/>
    </row>
    <row r="828">
      <c r="A828" s="10">
        <f>IF($E828="","",INDEX('Input Transaksi'!$A:$A,$E828))</f>
        <v/>
      </c>
      <c r="B828" s="5">
        <f>IF($E828="","",INDEX('Input Transaksi'!$D:$D,$E828))</f>
        <v/>
      </c>
      <c r="C828">
        <f>IF($E828="","",INDEX('Input Transaksi'!$E:$E,$E828))</f>
        <v/>
      </c>
      <c r="D828" s="5">
        <f>IF($E828="","",INDEX('Input Transaksi'!$F:$F,$E828))</f>
        <v/>
      </c>
      <c r="E828">
        <f>IFERROR(AGGREGATE(15,6,ROW('Input Transaksi'!$B$5:$B$5000)/('Input Transaksi'!$B$5:$B$5000="MONANG MANING"),ROWS($E$5:E828)),"")</f>
        <v/>
      </c>
      <c r="F828" s="5" t="n"/>
    </row>
    <row r="829">
      <c r="A829" s="10">
        <f>IF($E829="","",INDEX('Input Transaksi'!$A:$A,$E829))</f>
        <v/>
      </c>
      <c r="B829" s="5">
        <f>IF($E829="","",INDEX('Input Transaksi'!$D:$D,$E829))</f>
        <v/>
      </c>
      <c r="C829">
        <f>IF($E829="","",INDEX('Input Transaksi'!$E:$E,$E829))</f>
        <v/>
      </c>
      <c r="D829" s="5">
        <f>IF($E829="","",INDEX('Input Transaksi'!$F:$F,$E829))</f>
        <v/>
      </c>
      <c r="E829">
        <f>IFERROR(AGGREGATE(15,6,ROW('Input Transaksi'!$B$5:$B$5000)/('Input Transaksi'!$B$5:$B$5000="MONANG MANING"),ROWS($E$5:E829)),"")</f>
        <v/>
      </c>
      <c r="F829" s="5" t="n"/>
    </row>
    <row r="830">
      <c r="A830" s="10">
        <f>IF($E830="","",INDEX('Input Transaksi'!$A:$A,$E830))</f>
        <v/>
      </c>
      <c r="B830" s="5">
        <f>IF($E830="","",INDEX('Input Transaksi'!$D:$D,$E830))</f>
        <v/>
      </c>
      <c r="C830">
        <f>IF($E830="","",INDEX('Input Transaksi'!$E:$E,$E830))</f>
        <v/>
      </c>
      <c r="D830" s="5">
        <f>IF($E830="","",INDEX('Input Transaksi'!$F:$F,$E830))</f>
        <v/>
      </c>
      <c r="E830">
        <f>IFERROR(AGGREGATE(15,6,ROW('Input Transaksi'!$B$5:$B$5000)/('Input Transaksi'!$B$5:$B$5000="MONANG MANING"),ROWS($E$5:E830)),"")</f>
        <v/>
      </c>
      <c r="F830" s="5" t="n"/>
    </row>
    <row r="831">
      <c r="A831" s="10">
        <f>IF($E831="","",INDEX('Input Transaksi'!$A:$A,$E831))</f>
        <v/>
      </c>
      <c r="B831" s="5">
        <f>IF($E831="","",INDEX('Input Transaksi'!$D:$D,$E831))</f>
        <v/>
      </c>
      <c r="C831">
        <f>IF($E831="","",INDEX('Input Transaksi'!$E:$E,$E831))</f>
        <v/>
      </c>
      <c r="D831" s="5">
        <f>IF($E831="","",INDEX('Input Transaksi'!$F:$F,$E831))</f>
        <v/>
      </c>
      <c r="E831">
        <f>IFERROR(AGGREGATE(15,6,ROW('Input Transaksi'!$B$5:$B$5000)/('Input Transaksi'!$B$5:$B$5000="MONANG MANING"),ROWS($E$5:E831)),"")</f>
        <v/>
      </c>
      <c r="F831" s="5" t="n"/>
    </row>
    <row r="832">
      <c r="A832" s="10">
        <f>IF($E832="","",INDEX('Input Transaksi'!$A:$A,$E832))</f>
        <v/>
      </c>
      <c r="B832" s="5">
        <f>IF($E832="","",INDEX('Input Transaksi'!$D:$D,$E832))</f>
        <v/>
      </c>
      <c r="C832">
        <f>IF($E832="","",INDEX('Input Transaksi'!$E:$E,$E832))</f>
        <v/>
      </c>
      <c r="D832" s="5">
        <f>IF($E832="","",INDEX('Input Transaksi'!$F:$F,$E832))</f>
        <v/>
      </c>
      <c r="E832">
        <f>IFERROR(AGGREGATE(15,6,ROW('Input Transaksi'!$B$5:$B$5000)/('Input Transaksi'!$B$5:$B$5000="MONANG MANING"),ROWS($E$5:E832)),"")</f>
        <v/>
      </c>
      <c r="F832" s="5" t="n"/>
    </row>
    <row r="833">
      <c r="A833" s="10">
        <f>IF($E833="","",INDEX('Input Transaksi'!$A:$A,$E833))</f>
        <v/>
      </c>
      <c r="B833" s="5">
        <f>IF($E833="","",INDEX('Input Transaksi'!$D:$D,$E833))</f>
        <v/>
      </c>
      <c r="C833">
        <f>IF($E833="","",INDEX('Input Transaksi'!$E:$E,$E833))</f>
        <v/>
      </c>
      <c r="D833" s="5">
        <f>IF($E833="","",INDEX('Input Transaksi'!$F:$F,$E833))</f>
        <v/>
      </c>
      <c r="E833">
        <f>IFERROR(AGGREGATE(15,6,ROW('Input Transaksi'!$B$5:$B$5000)/('Input Transaksi'!$B$5:$B$5000="MONANG MANING"),ROWS($E$5:E833)),"")</f>
        <v/>
      </c>
      <c r="F833" s="5" t="n"/>
    </row>
    <row r="834">
      <c r="A834" s="10">
        <f>IF($E834="","",INDEX('Input Transaksi'!$A:$A,$E834))</f>
        <v/>
      </c>
      <c r="B834" s="5">
        <f>IF($E834="","",INDEX('Input Transaksi'!$D:$D,$E834))</f>
        <v/>
      </c>
      <c r="C834">
        <f>IF($E834="","",INDEX('Input Transaksi'!$E:$E,$E834))</f>
        <v/>
      </c>
      <c r="D834" s="5">
        <f>IF($E834="","",INDEX('Input Transaksi'!$F:$F,$E834))</f>
        <v/>
      </c>
      <c r="E834">
        <f>IFERROR(AGGREGATE(15,6,ROW('Input Transaksi'!$B$5:$B$5000)/('Input Transaksi'!$B$5:$B$5000="MONANG MANING"),ROWS($E$5:E834)),"")</f>
        <v/>
      </c>
      <c r="F834" s="5" t="n"/>
    </row>
    <row r="835">
      <c r="A835" s="10">
        <f>IF($E835="","",INDEX('Input Transaksi'!$A:$A,$E835))</f>
        <v/>
      </c>
      <c r="B835" s="5">
        <f>IF($E835="","",INDEX('Input Transaksi'!$D:$D,$E835))</f>
        <v/>
      </c>
      <c r="C835">
        <f>IF($E835="","",INDEX('Input Transaksi'!$E:$E,$E835))</f>
        <v/>
      </c>
      <c r="D835" s="5">
        <f>IF($E835="","",INDEX('Input Transaksi'!$F:$F,$E835))</f>
        <v/>
      </c>
      <c r="E835">
        <f>IFERROR(AGGREGATE(15,6,ROW('Input Transaksi'!$B$5:$B$5000)/('Input Transaksi'!$B$5:$B$5000="MONANG MANING"),ROWS($E$5:E835)),"")</f>
        <v/>
      </c>
      <c r="F835" s="5" t="n"/>
    </row>
    <row r="836">
      <c r="A836" s="10">
        <f>IF($E836="","",INDEX('Input Transaksi'!$A:$A,$E836))</f>
        <v/>
      </c>
      <c r="B836" s="5">
        <f>IF($E836="","",INDEX('Input Transaksi'!$D:$D,$E836))</f>
        <v/>
      </c>
      <c r="C836">
        <f>IF($E836="","",INDEX('Input Transaksi'!$E:$E,$E836))</f>
        <v/>
      </c>
      <c r="D836" s="5">
        <f>IF($E836="","",INDEX('Input Transaksi'!$F:$F,$E836))</f>
        <v/>
      </c>
      <c r="E836">
        <f>IFERROR(AGGREGATE(15,6,ROW('Input Transaksi'!$B$5:$B$5000)/('Input Transaksi'!$B$5:$B$5000="MONANG MANING"),ROWS($E$5:E836)),"")</f>
        <v/>
      </c>
      <c r="F836" s="5" t="n"/>
    </row>
    <row r="837">
      <c r="A837" s="10">
        <f>IF($E837="","",INDEX('Input Transaksi'!$A:$A,$E837))</f>
        <v/>
      </c>
      <c r="B837" s="5">
        <f>IF($E837="","",INDEX('Input Transaksi'!$D:$D,$E837))</f>
        <v/>
      </c>
      <c r="C837">
        <f>IF($E837="","",INDEX('Input Transaksi'!$E:$E,$E837))</f>
        <v/>
      </c>
      <c r="D837" s="5">
        <f>IF($E837="","",INDEX('Input Transaksi'!$F:$F,$E837))</f>
        <v/>
      </c>
      <c r="E837">
        <f>IFERROR(AGGREGATE(15,6,ROW('Input Transaksi'!$B$5:$B$5000)/('Input Transaksi'!$B$5:$B$5000="MONANG MANING"),ROWS($E$5:E837)),"")</f>
        <v/>
      </c>
      <c r="F837" s="5" t="n"/>
    </row>
    <row r="838">
      <c r="A838" s="10">
        <f>IF($E838="","",INDEX('Input Transaksi'!$A:$A,$E838))</f>
        <v/>
      </c>
      <c r="B838" s="5">
        <f>IF($E838="","",INDEX('Input Transaksi'!$D:$D,$E838))</f>
        <v/>
      </c>
      <c r="C838">
        <f>IF($E838="","",INDEX('Input Transaksi'!$E:$E,$E838))</f>
        <v/>
      </c>
      <c r="D838" s="5">
        <f>IF($E838="","",INDEX('Input Transaksi'!$F:$F,$E838))</f>
        <v/>
      </c>
      <c r="E838">
        <f>IFERROR(AGGREGATE(15,6,ROW('Input Transaksi'!$B$5:$B$5000)/('Input Transaksi'!$B$5:$B$5000="MONANG MANING"),ROWS($E$5:E838)),"")</f>
        <v/>
      </c>
      <c r="F838" s="5" t="n"/>
    </row>
    <row r="839">
      <c r="A839" s="10">
        <f>IF($E839="","",INDEX('Input Transaksi'!$A:$A,$E839))</f>
        <v/>
      </c>
      <c r="B839" s="5">
        <f>IF($E839="","",INDEX('Input Transaksi'!$D:$D,$E839))</f>
        <v/>
      </c>
      <c r="C839">
        <f>IF($E839="","",INDEX('Input Transaksi'!$E:$E,$E839))</f>
        <v/>
      </c>
      <c r="D839" s="5">
        <f>IF($E839="","",INDEX('Input Transaksi'!$F:$F,$E839))</f>
        <v/>
      </c>
      <c r="E839">
        <f>IFERROR(AGGREGATE(15,6,ROW('Input Transaksi'!$B$5:$B$5000)/('Input Transaksi'!$B$5:$B$5000="MONANG MANING"),ROWS($E$5:E839)),"")</f>
        <v/>
      </c>
      <c r="F839" s="5" t="n"/>
    </row>
    <row r="840">
      <c r="A840" s="10">
        <f>IF($E840="","",INDEX('Input Transaksi'!$A:$A,$E840))</f>
        <v/>
      </c>
      <c r="B840" s="5">
        <f>IF($E840="","",INDEX('Input Transaksi'!$D:$D,$E840))</f>
        <v/>
      </c>
      <c r="C840">
        <f>IF($E840="","",INDEX('Input Transaksi'!$E:$E,$E840))</f>
        <v/>
      </c>
      <c r="D840" s="5">
        <f>IF($E840="","",INDEX('Input Transaksi'!$F:$F,$E840))</f>
        <v/>
      </c>
      <c r="E840">
        <f>IFERROR(AGGREGATE(15,6,ROW('Input Transaksi'!$B$5:$B$5000)/('Input Transaksi'!$B$5:$B$5000="MONANG MANING"),ROWS($E$5:E840)),"")</f>
        <v/>
      </c>
      <c r="F840" s="5" t="n"/>
    </row>
    <row r="841">
      <c r="A841" s="10">
        <f>IF($E841="","",INDEX('Input Transaksi'!$A:$A,$E841))</f>
        <v/>
      </c>
      <c r="B841" s="5">
        <f>IF($E841="","",INDEX('Input Transaksi'!$D:$D,$E841))</f>
        <v/>
      </c>
      <c r="C841">
        <f>IF($E841="","",INDEX('Input Transaksi'!$E:$E,$E841))</f>
        <v/>
      </c>
      <c r="D841" s="5">
        <f>IF($E841="","",INDEX('Input Transaksi'!$F:$F,$E841))</f>
        <v/>
      </c>
      <c r="E841">
        <f>IFERROR(AGGREGATE(15,6,ROW('Input Transaksi'!$B$5:$B$5000)/('Input Transaksi'!$B$5:$B$5000="MONANG MANING"),ROWS($E$5:E841)),"")</f>
        <v/>
      </c>
      <c r="F841" s="5" t="n"/>
    </row>
    <row r="842">
      <c r="A842" s="10">
        <f>IF($E842="","",INDEX('Input Transaksi'!$A:$A,$E842))</f>
        <v/>
      </c>
      <c r="B842" s="5">
        <f>IF($E842="","",INDEX('Input Transaksi'!$D:$D,$E842))</f>
        <v/>
      </c>
      <c r="C842">
        <f>IF($E842="","",INDEX('Input Transaksi'!$E:$E,$E842))</f>
        <v/>
      </c>
      <c r="D842" s="5">
        <f>IF($E842="","",INDEX('Input Transaksi'!$F:$F,$E842))</f>
        <v/>
      </c>
      <c r="E842">
        <f>IFERROR(AGGREGATE(15,6,ROW('Input Transaksi'!$B$5:$B$5000)/('Input Transaksi'!$B$5:$B$5000="MONANG MANING"),ROWS($E$5:E842)),"")</f>
        <v/>
      </c>
      <c r="F842" s="5" t="n"/>
    </row>
    <row r="843">
      <c r="A843" s="10">
        <f>IF($E843="","",INDEX('Input Transaksi'!$A:$A,$E843))</f>
        <v/>
      </c>
      <c r="B843" s="5">
        <f>IF($E843="","",INDEX('Input Transaksi'!$D:$D,$E843))</f>
        <v/>
      </c>
      <c r="C843">
        <f>IF($E843="","",INDEX('Input Transaksi'!$E:$E,$E843))</f>
        <v/>
      </c>
      <c r="D843" s="5">
        <f>IF($E843="","",INDEX('Input Transaksi'!$F:$F,$E843))</f>
        <v/>
      </c>
      <c r="E843">
        <f>IFERROR(AGGREGATE(15,6,ROW('Input Transaksi'!$B$5:$B$5000)/('Input Transaksi'!$B$5:$B$5000="MONANG MANING"),ROWS($E$5:E843)),"")</f>
        <v/>
      </c>
      <c r="F843" s="5" t="n"/>
    </row>
    <row r="844">
      <c r="A844" s="10">
        <f>IF($E844="","",INDEX('Input Transaksi'!$A:$A,$E844))</f>
        <v/>
      </c>
      <c r="B844" s="5">
        <f>IF($E844="","",INDEX('Input Transaksi'!$D:$D,$E844))</f>
        <v/>
      </c>
      <c r="C844">
        <f>IF($E844="","",INDEX('Input Transaksi'!$E:$E,$E844))</f>
        <v/>
      </c>
      <c r="D844" s="5">
        <f>IF($E844="","",INDEX('Input Transaksi'!$F:$F,$E844))</f>
        <v/>
      </c>
      <c r="E844">
        <f>IFERROR(AGGREGATE(15,6,ROW('Input Transaksi'!$B$5:$B$5000)/('Input Transaksi'!$B$5:$B$5000="MONANG MANING"),ROWS($E$5:E844)),"")</f>
        <v/>
      </c>
      <c r="F844" s="5" t="n"/>
    </row>
    <row r="845">
      <c r="A845" s="10">
        <f>IF($E845="","",INDEX('Input Transaksi'!$A:$A,$E845))</f>
        <v/>
      </c>
      <c r="B845" s="5">
        <f>IF($E845="","",INDEX('Input Transaksi'!$D:$D,$E845))</f>
        <v/>
      </c>
      <c r="C845">
        <f>IF($E845="","",INDEX('Input Transaksi'!$E:$E,$E845))</f>
        <v/>
      </c>
      <c r="D845" s="5">
        <f>IF($E845="","",INDEX('Input Transaksi'!$F:$F,$E845))</f>
        <v/>
      </c>
      <c r="E845">
        <f>IFERROR(AGGREGATE(15,6,ROW('Input Transaksi'!$B$5:$B$5000)/('Input Transaksi'!$B$5:$B$5000="MONANG MANING"),ROWS($E$5:E845)),"")</f>
        <v/>
      </c>
      <c r="F845" s="5" t="n"/>
    </row>
    <row r="846">
      <c r="A846" s="10">
        <f>IF($E846="","",INDEX('Input Transaksi'!$A:$A,$E846))</f>
        <v/>
      </c>
      <c r="B846" s="5">
        <f>IF($E846="","",INDEX('Input Transaksi'!$D:$D,$E846))</f>
        <v/>
      </c>
      <c r="C846">
        <f>IF($E846="","",INDEX('Input Transaksi'!$E:$E,$E846))</f>
        <v/>
      </c>
      <c r="D846" s="5">
        <f>IF($E846="","",INDEX('Input Transaksi'!$F:$F,$E846))</f>
        <v/>
      </c>
      <c r="E846">
        <f>IFERROR(AGGREGATE(15,6,ROW('Input Transaksi'!$B$5:$B$5000)/('Input Transaksi'!$B$5:$B$5000="MONANG MANING"),ROWS($E$5:E846)),"")</f>
        <v/>
      </c>
      <c r="F846" s="5" t="n"/>
    </row>
    <row r="847">
      <c r="A847" s="10">
        <f>IF($E847="","",INDEX('Input Transaksi'!$A:$A,$E847))</f>
        <v/>
      </c>
      <c r="B847" s="5">
        <f>IF($E847="","",INDEX('Input Transaksi'!$D:$D,$E847))</f>
        <v/>
      </c>
      <c r="C847">
        <f>IF($E847="","",INDEX('Input Transaksi'!$E:$E,$E847))</f>
        <v/>
      </c>
      <c r="D847" s="5">
        <f>IF($E847="","",INDEX('Input Transaksi'!$F:$F,$E847))</f>
        <v/>
      </c>
      <c r="E847">
        <f>IFERROR(AGGREGATE(15,6,ROW('Input Transaksi'!$B$5:$B$5000)/('Input Transaksi'!$B$5:$B$5000="MONANG MANING"),ROWS($E$5:E847)),"")</f>
        <v/>
      </c>
      <c r="F847" s="5" t="n"/>
    </row>
    <row r="848">
      <c r="A848" s="10">
        <f>IF($E848="","",INDEX('Input Transaksi'!$A:$A,$E848))</f>
        <v/>
      </c>
      <c r="B848" s="5">
        <f>IF($E848="","",INDEX('Input Transaksi'!$D:$D,$E848))</f>
        <v/>
      </c>
      <c r="C848">
        <f>IF($E848="","",INDEX('Input Transaksi'!$E:$E,$E848))</f>
        <v/>
      </c>
      <c r="D848" s="5">
        <f>IF($E848="","",INDEX('Input Transaksi'!$F:$F,$E848))</f>
        <v/>
      </c>
      <c r="E848">
        <f>IFERROR(AGGREGATE(15,6,ROW('Input Transaksi'!$B$5:$B$5000)/('Input Transaksi'!$B$5:$B$5000="MONANG MANING"),ROWS($E$5:E848)),"")</f>
        <v/>
      </c>
      <c r="F848" s="5" t="n"/>
    </row>
    <row r="849">
      <c r="A849" s="10">
        <f>IF($E849="","",INDEX('Input Transaksi'!$A:$A,$E849))</f>
        <v/>
      </c>
      <c r="B849" s="5">
        <f>IF($E849="","",INDEX('Input Transaksi'!$D:$D,$E849))</f>
        <v/>
      </c>
      <c r="C849">
        <f>IF($E849="","",INDEX('Input Transaksi'!$E:$E,$E849))</f>
        <v/>
      </c>
      <c r="D849" s="5">
        <f>IF($E849="","",INDEX('Input Transaksi'!$F:$F,$E849))</f>
        <v/>
      </c>
      <c r="E849">
        <f>IFERROR(AGGREGATE(15,6,ROW('Input Transaksi'!$B$5:$B$5000)/('Input Transaksi'!$B$5:$B$5000="MONANG MANING"),ROWS($E$5:E849)),"")</f>
        <v/>
      </c>
      <c r="F849" s="5" t="n"/>
    </row>
    <row r="850">
      <c r="A850" s="10">
        <f>IF($E850="","",INDEX('Input Transaksi'!$A:$A,$E850))</f>
        <v/>
      </c>
      <c r="B850" s="5">
        <f>IF($E850="","",INDEX('Input Transaksi'!$D:$D,$E850))</f>
        <v/>
      </c>
      <c r="C850">
        <f>IF($E850="","",INDEX('Input Transaksi'!$E:$E,$E850))</f>
        <v/>
      </c>
      <c r="D850" s="5">
        <f>IF($E850="","",INDEX('Input Transaksi'!$F:$F,$E850))</f>
        <v/>
      </c>
      <c r="E850">
        <f>IFERROR(AGGREGATE(15,6,ROW('Input Transaksi'!$B$5:$B$5000)/('Input Transaksi'!$B$5:$B$5000="MONANG MANING"),ROWS($E$5:E850)),"")</f>
        <v/>
      </c>
      <c r="F850" s="5" t="n"/>
    </row>
    <row r="851">
      <c r="A851" s="10">
        <f>IF($E851="","",INDEX('Input Transaksi'!$A:$A,$E851))</f>
        <v/>
      </c>
      <c r="B851" s="5">
        <f>IF($E851="","",INDEX('Input Transaksi'!$D:$D,$E851))</f>
        <v/>
      </c>
      <c r="C851">
        <f>IF($E851="","",INDEX('Input Transaksi'!$E:$E,$E851))</f>
        <v/>
      </c>
      <c r="D851" s="5">
        <f>IF($E851="","",INDEX('Input Transaksi'!$F:$F,$E851))</f>
        <v/>
      </c>
      <c r="E851">
        <f>IFERROR(AGGREGATE(15,6,ROW('Input Transaksi'!$B$5:$B$5000)/('Input Transaksi'!$B$5:$B$5000="MONANG MANING"),ROWS($E$5:E851)),"")</f>
        <v/>
      </c>
      <c r="F851" s="5" t="n"/>
    </row>
    <row r="852">
      <c r="A852" s="10">
        <f>IF($E852="","",INDEX('Input Transaksi'!$A:$A,$E852))</f>
        <v/>
      </c>
      <c r="B852" s="5">
        <f>IF($E852="","",INDEX('Input Transaksi'!$D:$D,$E852))</f>
        <v/>
      </c>
      <c r="C852">
        <f>IF($E852="","",INDEX('Input Transaksi'!$E:$E,$E852))</f>
        <v/>
      </c>
      <c r="D852" s="5">
        <f>IF($E852="","",INDEX('Input Transaksi'!$F:$F,$E852))</f>
        <v/>
      </c>
      <c r="E852">
        <f>IFERROR(AGGREGATE(15,6,ROW('Input Transaksi'!$B$5:$B$5000)/('Input Transaksi'!$B$5:$B$5000="MONANG MANING"),ROWS($E$5:E852)),"")</f>
        <v/>
      </c>
      <c r="F852" s="5" t="n"/>
    </row>
    <row r="853">
      <c r="A853" s="10">
        <f>IF($E853="","",INDEX('Input Transaksi'!$A:$A,$E853))</f>
        <v/>
      </c>
      <c r="B853" s="5">
        <f>IF($E853="","",INDEX('Input Transaksi'!$D:$D,$E853))</f>
        <v/>
      </c>
      <c r="C853">
        <f>IF($E853="","",INDEX('Input Transaksi'!$E:$E,$E853))</f>
        <v/>
      </c>
      <c r="D853" s="5">
        <f>IF($E853="","",INDEX('Input Transaksi'!$F:$F,$E853))</f>
        <v/>
      </c>
      <c r="E853">
        <f>IFERROR(AGGREGATE(15,6,ROW('Input Transaksi'!$B$5:$B$5000)/('Input Transaksi'!$B$5:$B$5000="MONANG MANING"),ROWS($E$5:E853)),"")</f>
        <v/>
      </c>
      <c r="F853" s="5" t="n"/>
    </row>
    <row r="854">
      <c r="A854" s="10">
        <f>IF($E854="","",INDEX('Input Transaksi'!$A:$A,$E854))</f>
        <v/>
      </c>
      <c r="B854" s="5">
        <f>IF($E854="","",INDEX('Input Transaksi'!$D:$D,$E854))</f>
        <v/>
      </c>
      <c r="C854">
        <f>IF($E854="","",INDEX('Input Transaksi'!$E:$E,$E854))</f>
        <v/>
      </c>
      <c r="D854" s="5">
        <f>IF($E854="","",INDEX('Input Transaksi'!$F:$F,$E854))</f>
        <v/>
      </c>
      <c r="E854">
        <f>IFERROR(AGGREGATE(15,6,ROW('Input Transaksi'!$B$5:$B$5000)/('Input Transaksi'!$B$5:$B$5000="MONANG MANING"),ROWS($E$5:E854)),"")</f>
        <v/>
      </c>
      <c r="F854" s="5" t="n"/>
    </row>
    <row r="855">
      <c r="A855" s="10">
        <f>IF($E855="","",INDEX('Input Transaksi'!$A:$A,$E855))</f>
        <v/>
      </c>
      <c r="B855" s="5">
        <f>IF($E855="","",INDEX('Input Transaksi'!$D:$D,$E855))</f>
        <v/>
      </c>
      <c r="C855">
        <f>IF($E855="","",INDEX('Input Transaksi'!$E:$E,$E855))</f>
        <v/>
      </c>
      <c r="D855" s="5">
        <f>IF($E855="","",INDEX('Input Transaksi'!$F:$F,$E855))</f>
        <v/>
      </c>
      <c r="E855">
        <f>IFERROR(AGGREGATE(15,6,ROW('Input Transaksi'!$B$5:$B$5000)/('Input Transaksi'!$B$5:$B$5000="MONANG MANING"),ROWS($E$5:E855)),"")</f>
        <v/>
      </c>
      <c r="F855" s="5" t="n"/>
    </row>
    <row r="856">
      <c r="A856" s="10">
        <f>IF($E856="","",INDEX('Input Transaksi'!$A:$A,$E856))</f>
        <v/>
      </c>
      <c r="B856" s="5">
        <f>IF($E856="","",INDEX('Input Transaksi'!$D:$D,$E856))</f>
        <v/>
      </c>
      <c r="C856">
        <f>IF($E856="","",INDEX('Input Transaksi'!$E:$E,$E856))</f>
        <v/>
      </c>
      <c r="D856" s="5">
        <f>IF($E856="","",INDEX('Input Transaksi'!$F:$F,$E856))</f>
        <v/>
      </c>
      <c r="E856">
        <f>IFERROR(AGGREGATE(15,6,ROW('Input Transaksi'!$B$5:$B$5000)/('Input Transaksi'!$B$5:$B$5000="MONANG MANING"),ROWS($E$5:E856)),"")</f>
        <v/>
      </c>
      <c r="F856" s="5" t="n"/>
    </row>
    <row r="857">
      <c r="A857" s="10">
        <f>IF($E857="","",INDEX('Input Transaksi'!$A:$A,$E857))</f>
        <v/>
      </c>
      <c r="B857" s="5">
        <f>IF($E857="","",INDEX('Input Transaksi'!$D:$D,$E857))</f>
        <v/>
      </c>
      <c r="C857">
        <f>IF($E857="","",INDEX('Input Transaksi'!$E:$E,$E857))</f>
        <v/>
      </c>
      <c r="D857" s="5">
        <f>IF($E857="","",INDEX('Input Transaksi'!$F:$F,$E857))</f>
        <v/>
      </c>
      <c r="E857">
        <f>IFERROR(AGGREGATE(15,6,ROW('Input Transaksi'!$B$5:$B$5000)/('Input Transaksi'!$B$5:$B$5000="MONANG MANING"),ROWS($E$5:E857)),"")</f>
        <v/>
      </c>
      <c r="F857" s="5" t="n"/>
    </row>
    <row r="858">
      <c r="A858" s="10">
        <f>IF($E858="","",INDEX('Input Transaksi'!$A:$A,$E858))</f>
        <v/>
      </c>
      <c r="B858" s="5">
        <f>IF($E858="","",INDEX('Input Transaksi'!$D:$D,$E858))</f>
        <v/>
      </c>
      <c r="C858">
        <f>IF($E858="","",INDEX('Input Transaksi'!$E:$E,$E858))</f>
        <v/>
      </c>
      <c r="D858" s="5">
        <f>IF($E858="","",INDEX('Input Transaksi'!$F:$F,$E858))</f>
        <v/>
      </c>
      <c r="E858">
        <f>IFERROR(AGGREGATE(15,6,ROW('Input Transaksi'!$B$5:$B$5000)/('Input Transaksi'!$B$5:$B$5000="MONANG MANING"),ROWS($E$5:E858)),"")</f>
        <v/>
      </c>
      <c r="F858" s="5" t="n"/>
    </row>
    <row r="859">
      <c r="A859" s="10">
        <f>IF($E859="","",INDEX('Input Transaksi'!$A:$A,$E859))</f>
        <v/>
      </c>
      <c r="B859" s="5">
        <f>IF($E859="","",INDEX('Input Transaksi'!$D:$D,$E859))</f>
        <v/>
      </c>
      <c r="C859">
        <f>IF($E859="","",INDEX('Input Transaksi'!$E:$E,$E859))</f>
        <v/>
      </c>
      <c r="D859" s="5">
        <f>IF($E859="","",INDEX('Input Transaksi'!$F:$F,$E859))</f>
        <v/>
      </c>
      <c r="E859">
        <f>IFERROR(AGGREGATE(15,6,ROW('Input Transaksi'!$B$5:$B$5000)/('Input Transaksi'!$B$5:$B$5000="MONANG MANING"),ROWS($E$5:E859)),"")</f>
        <v/>
      </c>
      <c r="F859" s="5" t="n"/>
    </row>
    <row r="860">
      <c r="A860" s="10">
        <f>IF($E860="","",INDEX('Input Transaksi'!$A:$A,$E860))</f>
        <v/>
      </c>
      <c r="B860" s="5">
        <f>IF($E860="","",INDEX('Input Transaksi'!$D:$D,$E860))</f>
        <v/>
      </c>
      <c r="C860">
        <f>IF($E860="","",INDEX('Input Transaksi'!$E:$E,$E860))</f>
        <v/>
      </c>
      <c r="D860" s="5">
        <f>IF($E860="","",INDEX('Input Transaksi'!$F:$F,$E860))</f>
        <v/>
      </c>
      <c r="E860">
        <f>IFERROR(AGGREGATE(15,6,ROW('Input Transaksi'!$B$5:$B$5000)/('Input Transaksi'!$B$5:$B$5000="MONANG MANING"),ROWS($E$5:E860)),"")</f>
        <v/>
      </c>
      <c r="F860" s="5" t="n"/>
    </row>
    <row r="861">
      <c r="A861" s="10">
        <f>IF($E861="","",INDEX('Input Transaksi'!$A:$A,$E861))</f>
        <v/>
      </c>
      <c r="B861" s="5">
        <f>IF($E861="","",INDEX('Input Transaksi'!$D:$D,$E861))</f>
        <v/>
      </c>
      <c r="C861">
        <f>IF($E861="","",INDEX('Input Transaksi'!$E:$E,$E861))</f>
        <v/>
      </c>
      <c r="D861" s="5">
        <f>IF($E861="","",INDEX('Input Transaksi'!$F:$F,$E861))</f>
        <v/>
      </c>
      <c r="E861">
        <f>IFERROR(AGGREGATE(15,6,ROW('Input Transaksi'!$B$5:$B$5000)/('Input Transaksi'!$B$5:$B$5000="MONANG MANING"),ROWS($E$5:E861)),"")</f>
        <v/>
      </c>
      <c r="F861" s="5" t="n"/>
    </row>
    <row r="862">
      <c r="A862" s="10">
        <f>IF($E862="","",INDEX('Input Transaksi'!$A:$A,$E862))</f>
        <v/>
      </c>
      <c r="B862" s="5">
        <f>IF($E862="","",INDEX('Input Transaksi'!$D:$D,$E862))</f>
        <v/>
      </c>
      <c r="C862">
        <f>IF($E862="","",INDEX('Input Transaksi'!$E:$E,$E862))</f>
        <v/>
      </c>
      <c r="D862" s="5">
        <f>IF($E862="","",INDEX('Input Transaksi'!$F:$F,$E862))</f>
        <v/>
      </c>
      <c r="E862">
        <f>IFERROR(AGGREGATE(15,6,ROW('Input Transaksi'!$B$5:$B$5000)/('Input Transaksi'!$B$5:$B$5000="MONANG MANING"),ROWS($E$5:E862)),"")</f>
        <v/>
      </c>
      <c r="F862" s="5" t="n"/>
    </row>
    <row r="863">
      <c r="A863" s="10">
        <f>IF($E863="","",INDEX('Input Transaksi'!$A:$A,$E863))</f>
        <v/>
      </c>
      <c r="B863" s="5">
        <f>IF($E863="","",INDEX('Input Transaksi'!$D:$D,$E863))</f>
        <v/>
      </c>
      <c r="C863">
        <f>IF($E863="","",INDEX('Input Transaksi'!$E:$E,$E863))</f>
        <v/>
      </c>
      <c r="D863" s="5">
        <f>IF($E863="","",INDEX('Input Transaksi'!$F:$F,$E863))</f>
        <v/>
      </c>
      <c r="E863">
        <f>IFERROR(AGGREGATE(15,6,ROW('Input Transaksi'!$B$5:$B$5000)/('Input Transaksi'!$B$5:$B$5000="MONANG MANING"),ROWS($E$5:E863)),"")</f>
        <v/>
      </c>
      <c r="F863" s="5" t="n"/>
    </row>
    <row r="864">
      <c r="A864" s="10">
        <f>IF($E864="","",INDEX('Input Transaksi'!$A:$A,$E864))</f>
        <v/>
      </c>
      <c r="B864" s="5">
        <f>IF($E864="","",INDEX('Input Transaksi'!$D:$D,$E864))</f>
        <v/>
      </c>
      <c r="C864">
        <f>IF($E864="","",INDEX('Input Transaksi'!$E:$E,$E864))</f>
        <v/>
      </c>
      <c r="D864" s="5">
        <f>IF($E864="","",INDEX('Input Transaksi'!$F:$F,$E864))</f>
        <v/>
      </c>
      <c r="E864">
        <f>IFERROR(AGGREGATE(15,6,ROW('Input Transaksi'!$B$5:$B$5000)/('Input Transaksi'!$B$5:$B$5000="MONANG MANING"),ROWS($E$5:E864)),"")</f>
        <v/>
      </c>
      <c r="F864" s="5" t="n"/>
    </row>
    <row r="865">
      <c r="A865" s="10">
        <f>IF($E865="","",INDEX('Input Transaksi'!$A:$A,$E865))</f>
        <v/>
      </c>
      <c r="B865" s="5">
        <f>IF($E865="","",INDEX('Input Transaksi'!$D:$D,$E865))</f>
        <v/>
      </c>
      <c r="C865">
        <f>IF($E865="","",INDEX('Input Transaksi'!$E:$E,$E865))</f>
        <v/>
      </c>
      <c r="D865" s="5">
        <f>IF($E865="","",INDEX('Input Transaksi'!$F:$F,$E865))</f>
        <v/>
      </c>
      <c r="E865">
        <f>IFERROR(AGGREGATE(15,6,ROW('Input Transaksi'!$B$5:$B$5000)/('Input Transaksi'!$B$5:$B$5000="MONANG MANING"),ROWS($E$5:E865)),"")</f>
        <v/>
      </c>
      <c r="F865" s="5" t="n"/>
    </row>
    <row r="866">
      <c r="A866" s="10">
        <f>IF($E866="","",INDEX('Input Transaksi'!$A:$A,$E866))</f>
        <v/>
      </c>
      <c r="B866" s="5">
        <f>IF($E866="","",INDEX('Input Transaksi'!$D:$D,$E866))</f>
        <v/>
      </c>
      <c r="C866">
        <f>IF($E866="","",INDEX('Input Transaksi'!$E:$E,$E866))</f>
        <v/>
      </c>
      <c r="D866" s="5">
        <f>IF($E866="","",INDEX('Input Transaksi'!$F:$F,$E866))</f>
        <v/>
      </c>
      <c r="E866">
        <f>IFERROR(AGGREGATE(15,6,ROW('Input Transaksi'!$B$5:$B$5000)/('Input Transaksi'!$B$5:$B$5000="MONANG MANING"),ROWS($E$5:E866)),"")</f>
        <v/>
      </c>
      <c r="F866" s="5" t="n"/>
    </row>
    <row r="867">
      <c r="A867" s="10">
        <f>IF($E867="","",INDEX('Input Transaksi'!$A:$A,$E867))</f>
        <v/>
      </c>
      <c r="B867" s="5">
        <f>IF($E867="","",INDEX('Input Transaksi'!$D:$D,$E867))</f>
        <v/>
      </c>
      <c r="C867">
        <f>IF($E867="","",INDEX('Input Transaksi'!$E:$E,$E867))</f>
        <v/>
      </c>
      <c r="D867" s="5">
        <f>IF($E867="","",INDEX('Input Transaksi'!$F:$F,$E867))</f>
        <v/>
      </c>
      <c r="E867">
        <f>IFERROR(AGGREGATE(15,6,ROW('Input Transaksi'!$B$5:$B$5000)/('Input Transaksi'!$B$5:$B$5000="MONANG MANING"),ROWS($E$5:E867)),"")</f>
        <v/>
      </c>
      <c r="F867" s="5" t="n"/>
    </row>
    <row r="868">
      <c r="A868" s="10">
        <f>IF($E868="","",INDEX('Input Transaksi'!$A:$A,$E868))</f>
        <v/>
      </c>
      <c r="B868" s="5">
        <f>IF($E868="","",INDEX('Input Transaksi'!$D:$D,$E868))</f>
        <v/>
      </c>
      <c r="C868">
        <f>IF($E868="","",INDEX('Input Transaksi'!$E:$E,$E868))</f>
        <v/>
      </c>
      <c r="D868" s="5">
        <f>IF($E868="","",INDEX('Input Transaksi'!$F:$F,$E868))</f>
        <v/>
      </c>
      <c r="E868">
        <f>IFERROR(AGGREGATE(15,6,ROW('Input Transaksi'!$B$5:$B$5000)/('Input Transaksi'!$B$5:$B$5000="MONANG MANING"),ROWS($E$5:E868)),"")</f>
        <v/>
      </c>
      <c r="F868" s="5" t="n"/>
    </row>
    <row r="869">
      <c r="A869" s="10">
        <f>IF($E869="","",INDEX('Input Transaksi'!$A:$A,$E869))</f>
        <v/>
      </c>
      <c r="B869" s="5">
        <f>IF($E869="","",INDEX('Input Transaksi'!$D:$D,$E869))</f>
        <v/>
      </c>
      <c r="C869">
        <f>IF($E869="","",INDEX('Input Transaksi'!$E:$E,$E869))</f>
        <v/>
      </c>
      <c r="D869" s="5">
        <f>IF($E869="","",INDEX('Input Transaksi'!$F:$F,$E869))</f>
        <v/>
      </c>
      <c r="E869">
        <f>IFERROR(AGGREGATE(15,6,ROW('Input Transaksi'!$B$5:$B$5000)/('Input Transaksi'!$B$5:$B$5000="MONANG MANING"),ROWS($E$5:E869)),"")</f>
        <v/>
      </c>
      <c r="F869" s="5" t="n"/>
    </row>
    <row r="870">
      <c r="A870" s="10">
        <f>IF($E870="","",INDEX('Input Transaksi'!$A:$A,$E870))</f>
        <v/>
      </c>
      <c r="B870" s="5">
        <f>IF($E870="","",INDEX('Input Transaksi'!$D:$D,$E870))</f>
        <v/>
      </c>
      <c r="C870">
        <f>IF($E870="","",INDEX('Input Transaksi'!$E:$E,$E870))</f>
        <v/>
      </c>
      <c r="D870" s="5">
        <f>IF($E870="","",INDEX('Input Transaksi'!$F:$F,$E870))</f>
        <v/>
      </c>
      <c r="E870">
        <f>IFERROR(AGGREGATE(15,6,ROW('Input Transaksi'!$B$5:$B$5000)/('Input Transaksi'!$B$5:$B$5000="MONANG MANING"),ROWS($E$5:E870)),"")</f>
        <v/>
      </c>
      <c r="F870" s="5" t="n"/>
    </row>
    <row r="871">
      <c r="A871" s="10">
        <f>IF($E871="","",INDEX('Input Transaksi'!$A:$A,$E871))</f>
        <v/>
      </c>
      <c r="B871" s="5">
        <f>IF($E871="","",INDEX('Input Transaksi'!$D:$D,$E871))</f>
        <v/>
      </c>
      <c r="C871">
        <f>IF($E871="","",INDEX('Input Transaksi'!$E:$E,$E871))</f>
        <v/>
      </c>
      <c r="D871" s="5">
        <f>IF($E871="","",INDEX('Input Transaksi'!$F:$F,$E871))</f>
        <v/>
      </c>
      <c r="E871">
        <f>IFERROR(AGGREGATE(15,6,ROW('Input Transaksi'!$B$5:$B$5000)/('Input Transaksi'!$B$5:$B$5000="MONANG MANING"),ROWS($E$5:E871)),"")</f>
        <v/>
      </c>
      <c r="F871" s="5" t="n"/>
    </row>
    <row r="872">
      <c r="A872" s="10">
        <f>IF($E872="","",INDEX('Input Transaksi'!$A:$A,$E872))</f>
        <v/>
      </c>
      <c r="B872" s="5">
        <f>IF($E872="","",INDEX('Input Transaksi'!$D:$D,$E872))</f>
        <v/>
      </c>
      <c r="C872">
        <f>IF($E872="","",INDEX('Input Transaksi'!$E:$E,$E872))</f>
        <v/>
      </c>
      <c r="D872" s="5">
        <f>IF($E872="","",INDEX('Input Transaksi'!$F:$F,$E872))</f>
        <v/>
      </c>
      <c r="E872">
        <f>IFERROR(AGGREGATE(15,6,ROW('Input Transaksi'!$B$5:$B$5000)/('Input Transaksi'!$B$5:$B$5000="MONANG MANING"),ROWS($E$5:E872)),"")</f>
        <v/>
      </c>
      <c r="F872" s="5" t="n"/>
    </row>
    <row r="873">
      <c r="A873" s="10">
        <f>IF($E873="","",INDEX('Input Transaksi'!$A:$A,$E873))</f>
        <v/>
      </c>
      <c r="B873" s="5">
        <f>IF($E873="","",INDEX('Input Transaksi'!$D:$D,$E873))</f>
        <v/>
      </c>
      <c r="C873">
        <f>IF($E873="","",INDEX('Input Transaksi'!$E:$E,$E873))</f>
        <v/>
      </c>
      <c r="D873" s="5">
        <f>IF($E873="","",INDEX('Input Transaksi'!$F:$F,$E873))</f>
        <v/>
      </c>
      <c r="E873">
        <f>IFERROR(AGGREGATE(15,6,ROW('Input Transaksi'!$B$5:$B$5000)/('Input Transaksi'!$B$5:$B$5000="MONANG MANING"),ROWS($E$5:E873)),"")</f>
        <v/>
      </c>
      <c r="F873" s="5" t="n"/>
    </row>
    <row r="874">
      <c r="A874" s="10">
        <f>IF($E874="","",INDEX('Input Transaksi'!$A:$A,$E874))</f>
        <v/>
      </c>
      <c r="B874" s="5">
        <f>IF($E874="","",INDEX('Input Transaksi'!$D:$D,$E874))</f>
        <v/>
      </c>
      <c r="C874">
        <f>IF($E874="","",INDEX('Input Transaksi'!$E:$E,$E874))</f>
        <v/>
      </c>
      <c r="D874" s="5">
        <f>IF($E874="","",INDEX('Input Transaksi'!$F:$F,$E874))</f>
        <v/>
      </c>
      <c r="E874">
        <f>IFERROR(AGGREGATE(15,6,ROW('Input Transaksi'!$B$5:$B$5000)/('Input Transaksi'!$B$5:$B$5000="MONANG MANING"),ROWS($E$5:E874)),"")</f>
        <v/>
      </c>
      <c r="F874" s="5" t="n"/>
    </row>
    <row r="875">
      <c r="A875" s="10">
        <f>IF($E875="","",INDEX('Input Transaksi'!$A:$A,$E875))</f>
        <v/>
      </c>
      <c r="B875" s="5">
        <f>IF($E875="","",INDEX('Input Transaksi'!$D:$D,$E875))</f>
        <v/>
      </c>
      <c r="C875">
        <f>IF($E875="","",INDEX('Input Transaksi'!$E:$E,$E875))</f>
        <v/>
      </c>
      <c r="D875" s="5">
        <f>IF($E875="","",INDEX('Input Transaksi'!$F:$F,$E875))</f>
        <v/>
      </c>
      <c r="E875">
        <f>IFERROR(AGGREGATE(15,6,ROW('Input Transaksi'!$B$5:$B$5000)/('Input Transaksi'!$B$5:$B$5000="MONANG MANING"),ROWS($E$5:E875)),"")</f>
        <v/>
      </c>
      <c r="F875" s="5" t="n"/>
    </row>
    <row r="876">
      <c r="A876" s="10">
        <f>IF($E876="","",INDEX('Input Transaksi'!$A:$A,$E876))</f>
        <v/>
      </c>
      <c r="B876" s="5">
        <f>IF($E876="","",INDEX('Input Transaksi'!$D:$D,$E876))</f>
        <v/>
      </c>
      <c r="C876">
        <f>IF($E876="","",INDEX('Input Transaksi'!$E:$E,$E876))</f>
        <v/>
      </c>
      <c r="D876" s="5">
        <f>IF($E876="","",INDEX('Input Transaksi'!$F:$F,$E876))</f>
        <v/>
      </c>
      <c r="E876">
        <f>IFERROR(AGGREGATE(15,6,ROW('Input Transaksi'!$B$5:$B$5000)/('Input Transaksi'!$B$5:$B$5000="MONANG MANING"),ROWS($E$5:E876)),"")</f>
        <v/>
      </c>
      <c r="F876" s="5" t="n"/>
    </row>
    <row r="877">
      <c r="A877" s="10">
        <f>IF($E877="","",INDEX('Input Transaksi'!$A:$A,$E877))</f>
        <v/>
      </c>
      <c r="B877" s="5">
        <f>IF($E877="","",INDEX('Input Transaksi'!$D:$D,$E877))</f>
        <v/>
      </c>
      <c r="C877">
        <f>IF($E877="","",INDEX('Input Transaksi'!$E:$E,$E877))</f>
        <v/>
      </c>
      <c r="D877" s="5">
        <f>IF($E877="","",INDEX('Input Transaksi'!$F:$F,$E877))</f>
        <v/>
      </c>
      <c r="E877">
        <f>IFERROR(AGGREGATE(15,6,ROW('Input Transaksi'!$B$5:$B$5000)/('Input Transaksi'!$B$5:$B$5000="MONANG MANING"),ROWS($E$5:E877)),"")</f>
        <v/>
      </c>
      <c r="F877" s="5" t="n"/>
    </row>
    <row r="878">
      <c r="A878" s="10">
        <f>IF($E878="","",INDEX('Input Transaksi'!$A:$A,$E878))</f>
        <v/>
      </c>
      <c r="B878" s="5">
        <f>IF($E878="","",INDEX('Input Transaksi'!$D:$D,$E878))</f>
        <v/>
      </c>
      <c r="C878">
        <f>IF($E878="","",INDEX('Input Transaksi'!$E:$E,$E878))</f>
        <v/>
      </c>
      <c r="D878" s="5">
        <f>IF($E878="","",INDEX('Input Transaksi'!$F:$F,$E878))</f>
        <v/>
      </c>
      <c r="E878">
        <f>IFERROR(AGGREGATE(15,6,ROW('Input Transaksi'!$B$5:$B$5000)/('Input Transaksi'!$B$5:$B$5000="MONANG MANING"),ROWS($E$5:E878)),"")</f>
        <v/>
      </c>
      <c r="F878" s="5" t="n"/>
    </row>
    <row r="879">
      <c r="A879" s="10">
        <f>IF($E879="","",INDEX('Input Transaksi'!$A:$A,$E879))</f>
        <v/>
      </c>
      <c r="B879" s="5">
        <f>IF($E879="","",INDEX('Input Transaksi'!$D:$D,$E879))</f>
        <v/>
      </c>
      <c r="C879">
        <f>IF($E879="","",INDEX('Input Transaksi'!$E:$E,$E879))</f>
        <v/>
      </c>
      <c r="D879" s="5">
        <f>IF($E879="","",INDEX('Input Transaksi'!$F:$F,$E879))</f>
        <v/>
      </c>
      <c r="E879">
        <f>IFERROR(AGGREGATE(15,6,ROW('Input Transaksi'!$B$5:$B$5000)/('Input Transaksi'!$B$5:$B$5000="MONANG MANING"),ROWS($E$5:E879)),"")</f>
        <v/>
      </c>
      <c r="F879" s="5" t="n"/>
    </row>
    <row r="880">
      <c r="A880" s="10">
        <f>IF($E880="","",INDEX('Input Transaksi'!$A:$A,$E880))</f>
        <v/>
      </c>
      <c r="B880" s="5">
        <f>IF($E880="","",INDEX('Input Transaksi'!$D:$D,$E880))</f>
        <v/>
      </c>
      <c r="C880">
        <f>IF($E880="","",INDEX('Input Transaksi'!$E:$E,$E880))</f>
        <v/>
      </c>
      <c r="D880" s="5">
        <f>IF($E880="","",INDEX('Input Transaksi'!$F:$F,$E880))</f>
        <v/>
      </c>
      <c r="E880">
        <f>IFERROR(AGGREGATE(15,6,ROW('Input Transaksi'!$B$5:$B$5000)/('Input Transaksi'!$B$5:$B$5000="MONANG MANING"),ROWS($E$5:E880)),"")</f>
        <v/>
      </c>
      <c r="F880" s="5" t="n"/>
    </row>
    <row r="881">
      <c r="A881" s="10">
        <f>IF($E881="","",INDEX('Input Transaksi'!$A:$A,$E881))</f>
        <v/>
      </c>
      <c r="B881" s="5">
        <f>IF($E881="","",INDEX('Input Transaksi'!$D:$D,$E881))</f>
        <v/>
      </c>
      <c r="C881">
        <f>IF($E881="","",INDEX('Input Transaksi'!$E:$E,$E881))</f>
        <v/>
      </c>
      <c r="D881" s="5">
        <f>IF($E881="","",INDEX('Input Transaksi'!$F:$F,$E881))</f>
        <v/>
      </c>
      <c r="E881">
        <f>IFERROR(AGGREGATE(15,6,ROW('Input Transaksi'!$B$5:$B$5000)/('Input Transaksi'!$B$5:$B$5000="MONANG MANING"),ROWS($E$5:E881)),"")</f>
        <v/>
      </c>
      <c r="F881" s="5" t="n"/>
    </row>
    <row r="882">
      <c r="A882" s="10">
        <f>IF($E882="","",INDEX('Input Transaksi'!$A:$A,$E882))</f>
        <v/>
      </c>
      <c r="B882" s="5">
        <f>IF($E882="","",INDEX('Input Transaksi'!$D:$D,$E882))</f>
        <v/>
      </c>
      <c r="C882">
        <f>IF($E882="","",INDEX('Input Transaksi'!$E:$E,$E882))</f>
        <v/>
      </c>
      <c r="D882" s="5">
        <f>IF($E882="","",INDEX('Input Transaksi'!$F:$F,$E882))</f>
        <v/>
      </c>
      <c r="E882">
        <f>IFERROR(AGGREGATE(15,6,ROW('Input Transaksi'!$B$5:$B$5000)/('Input Transaksi'!$B$5:$B$5000="MONANG MANING"),ROWS($E$5:E882)),"")</f>
        <v/>
      </c>
      <c r="F882" s="5" t="n"/>
    </row>
    <row r="883">
      <c r="A883" s="10">
        <f>IF($E883="","",INDEX('Input Transaksi'!$A:$A,$E883))</f>
        <v/>
      </c>
      <c r="B883" s="5">
        <f>IF($E883="","",INDEX('Input Transaksi'!$D:$D,$E883))</f>
        <v/>
      </c>
      <c r="C883">
        <f>IF($E883="","",INDEX('Input Transaksi'!$E:$E,$E883))</f>
        <v/>
      </c>
      <c r="D883" s="5">
        <f>IF($E883="","",INDEX('Input Transaksi'!$F:$F,$E883))</f>
        <v/>
      </c>
      <c r="E883">
        <f>IFERROR(AGGREGATE(15,6,ROW('Input Transaksi'!$B$5:$B$5000)/('Input Transaksi'!$B$5:$B$5000="MONANG MANING"),ROWS($E$5:E883)),"")</f>
        <v/>
      </c>
      <c r="F883" s="5" t="n"/>
    </row>
    <row r="884">
      <c r="A884" s="10">
        <f>IF($E884="","",INDEX('Input Transaksi'!$A:$A,$E884))</f>
        <v/>
      </c>
      <c r="B884" s="5">
        <f>IF($E884="","",INDEX('Input Transaksi'!$D:$D,$E884))</f>
        <v/>
      </c>
      <c r="C884">
        <f>IF($E884="","",INDEX('Input Transaksi'!$E:$E,$E884))</f>
        <v/>
      </c>
      <c r="D884" s="5">
        <f>IF($E884="","",INDEX('Input Transaksi'!$F:$F,$E884))</f>
        <v/>
      </c>
      <c r="E884">
        <f>IFERROR(AGGREGATE(15,6,ROW('Input Transaksi'!$B$5:$B$5000)/('Input Transaksi'!$B$5:$B$5000="MONANG MANING"),ROWS($E$5:E884)),"")</f>
        <v/>
      </c>
      <c r="F884" s="5" t="n"/>
    </row>
    <row r="885">
      <c r="A885" s="10">
        <f>IF($E885="","",INDEX('Input Transaksi'!$A:$A,$E885))</f>
        <v/>
      </c>
      <c r="B885" s="5">
        <f>IF($E885="","",INDEX('Input Transaksi'!$D:$D,$E885))</f>
        <v/>
      </c>
      <c r="C885">
        <f>IF($E885="","",INDEX('Input Transaksi'!$E:$E,$E885))</f>
        <v/>
      </c>
      <c r="D885" s="5">
        <f>IF($E885="","",INDEX('Input Transaksi'!$F:$F,$E885))</f>
        <v/>
      </c>
      <c r="E885">
        <f>IFERROR(AGGREGATE(15,6,ROW('Input Transaksi'!$B$5:$B$5000)/('Input Transaksi'!$B$5:$B$5000="MONANG MANING"),ROWS($E$5:E885)),"")</f>
        <v/>
      </c>
      <c r="F885" s="5" t="n"/>
    </row>
    <row r="886">
      <c r="A886" s="10">
        <f>IF($E886="","",INDEX('Input Transaksi'!$A:$A,$E886))</f>
        <v/>
      </c>
      <c r="B886" s="5">
        <f>IF($E886="","",INDEX('Input Transaksi'!$D:$D,$E886))</f>
        <v/>
      </c>
      <c r="C886">
        <f>IF($E886="","",INDEX('Input Transaksi'!$E:$E,$E886))</f>
        <v/>
      </c>
      <c r="D886" s="5">
        <f>IF($E886="","",INDEX('Input Transaksi'!$F:$F,$E886))</f>
        <v/>
      </c>
      <c r="E886">
        <f>IFERROR(AGGREGATE(15,6,ROW('Input Transaksi'!$B$5:$B$5000)/('Input Transaksi'!$B$5:$B$5000="MONANG MANING"),ROWS($E$5:E886)),"")</f>
        <v/>
      </c>
      <c r="F886" s="5" t="n"/>
    </row>
    <row r="887">
      <c r="A887" s="10">
        <f>IF($E887="","",INDEX('Input Transaksi'!$A:$A,$E887))</f>
        <v/>
      </c>
      <c r="B887" s="5">
        <f>IF($E887="","",INDEX('Input Transaksi'!$D:$D,$E887))</f>
        <v/>
      </c>
      <c r="C887">
        <f>IF($E887="","",INDEX('Input Transaksi'!$E:$E,$E887))</f>
        <v/>
      </c>
      <c r="D887" s="5">
        <f>IF($E887="","",INDEX('Input Transaksi'!$F:$F,$E887))</f>
        <v/>
      </c>
      <c r="E887">
        <f>IFERROR(AGGREGATE(15,6,ROW('Input Transaksi'!$B$5:$B$5000)/('Input Transaksi'!$B$5:$B$5000="MONANG MANING"),ROWS($E$5:E887)),"")</f>
        <v/>
      </c>
      <c r="F887" s="5" t="n"/>
    </row>
    <row r="888">
      <c r="A888" s="10">
        <f>IF($E888="","",INDEX('Input Transaksi'!$A:$A,$E888))</f>
        <v/>
      </c>
      <c r="B888" s="5">
        <f>IF($E888="","",INDEX('Input Transaksi'!$D:$D,$E888))</f>
        <v/>
      </c>
      <c r="C888">
        <f>IF($E888="","",INDEX('Input Transaksi'!$E:$E,$E888))</f>
        <v/>
      </c>
      <c r="D888" s="5">
        <f>IF($E888="","",INDEX('Input Transaksi'!$F:$F,$E888))</f>
        <v/>
      </c>
      <c r="E888">
        <f>IFERROR(AGGREGATE(15,6,ROW('Input Transaksi'!$B$5:$B$5000)/('Input Transaksi'!$B$5:$B$5000="MONANG MANING"),ROWS($E$5:E888)),"")</f>
        <v/>
      </c>
      <c r="F888" s="5" t="n"/>
    </row>
    <row r="889">
      <c r="A889" s="10">
        <f>IF($E889="","",INDEX('Input Transaksi'!$A:$A,$E889))</f>
        <v/>
      </c>
      <c r="B889" s="5">
        <f>IF($E889="","",INDEX('Input Transaksi'!$D:$D,$E889))</f>
        <v/>
      </c>
      <c r="C889">
        <f>IF($E889="","",INDEX('Input Transaksi'!$E:$E,$E889))</f>
        <v/>
      </c>
      <c r="D889" s="5">
        <f>IF($E889="","",INDEX('Input Transaksi'!$F:$F,$E889))</f>
        <v/>
      </c>
      <c r="E889">
        <f>IFERROR(AGGREGATE(15,6,ROW('Input Transaksi'!$B$5:$B$5000)/('Input Transaksi'!$B$5:$B$5000="MONANG MANING"),ROWS($E$5:E889)),"")</f>
        <v/>
      </c>
      <c r="F889" s="5" t="n"/>
    </row>
    <row r="890">
      <c r="A890" s="10">
        <f>IF($E890="","",INDEX('Input Transaksi'!$A:$A,$E890))</f>
        <v/>
      </c>
      <c r="B890" s="5">
        <f>IF($E890="","",INDEX('Input Transaksi'!$D:$D,$E890))</f>
        <v/>
      </c>
      <c r="C890">
        <f>IF($E890="","",INDEX('Input Transaksi'!$E:$E,$E890))</f>
        <v/>
      </c>
      <c r="D890" s="5">
        <f>IF($E890="","",INDEX('Input Transaksi'!$F:$F,$E890))</f>
        <v/>
      </c>
      <c r="E890">
        <f>IFERROR(AGGREGATE(15,6,ROW('Input Transaksi'!$B$5:$B$5000)/('Input Transaksi'!$B$5:$B$5000="MONANG MANING"),ROWS($E$5:E890)),"")</f>
        <v/>
      </c>
      <c r="F890" s="5" t="n"/>
    </row>
    <row r="891">
      <c r="A891" s="10">
        <f>IF($E891="","",INDEX('Input Transaksi'!$A:$A,$E891))</f>
        <v/>
      </c>
      <c r="B891" s="5">
        <f>IF($E891="","",INDEX('Input Transaksi'!$D:$D,$E891))</f>
        <v/>
      </c>
      <c r="C891">
        <f>IF($E891="","",INDEX('Input Transaksi'!$E:$E,$E891))</f>
        <v/>
      </c>
      <c r="D891" s="5">
        <f>IF($E891="","",INDEX('Input Transaksi'!$F:$F,$E891))</f>
        <v/>
      </c>
      <c r="E891">
        <f>IFERROR(AGGREGATE(15,6,ROW('Input Transaksi'!$B$5:$B$5000)/('Input Transaksi'!$B$5:$B$5000="MONANG MANING"),ROWS($E$5:E891)),"")</f>
        <v/>
      </c>
      <c r="F891" s="5" t="n"/>
    </row>
    <row r="892">
      <c r="A892" s="10">
        <f>IF($E892="","",INDEX('Input Transaksi'!$A:$A,$E892))</f>
        <v/>
      </c>
      <c r="B892" s="5">
        <f>IF($E892="","",INDEX('Input Transaksi'!$D:$D,$E892))</f>
        <v/>
      </c>
      <c r="C892">
        <f>IF($E892="","",INDEX('Input Transaksi'!$E:$E,$E892))</f>
        <v/>
      </c>
      <c r="D892" s="5">
        <f>IF($E892="","",INDEX('Input Transaksi'!$F:$F,$E892))</f>
        <v/>
      </c>
      <c r="E892">
        <f>IFERROR(AGGREGATE(15,6,ROW('Input Transaksi'!$B$5:$B$5000)/('Input Transaksi'!$B$5:$B$5000="MONANG MANING"),ROWS($E$5:E892)),"")</f>
        <v/>
      </c>
      <c r="F892" s="5" t="n"/>
    </row>
    <row r="893">
      <c r="A893" s="10">
        <f>IF($E893="","",INDEX('Input Transaksi'!$A:$A,$E893))</f>
        <v/>
      </c>
      <c r="B893" s="5">
        <f>IF($E893="","",INDEX('Input Transaksi'!$D:$D,$E893))</f>
        <v/>
      </c>
      <c r="C893">
        <f>IF($E893="","",INDEX('Input Transaksi'!$E:$E,$E893))</f>
        <v/>
      </c>
      <c r="D893" s="5">
        <f>IF($E893="","",INDEX('Input Transaksi'!$F:$F,$E893))</f>
        <v/>
      </c>
      <c r="E893">
        <f>IFERROR(AGGREGATE(15,6,ROW('Input Transaksi'!$B$5:$B$5000)/('Input Transaksi'!$B$5:$B$5000="MONANG MANING"),ROWS($E$5:E893)),"")</f>
        <v/>
      </c>
      <c r="F893" s="5" t="n"/>
    </row>
    <row r="894">
      <c r="A894" s="10">
        <f>IF($E894="","",INDEX('Input Transaksi'!$A:$A,$E894))</f>
        <v/>
      </c>
      <c r="B894" s="5">
        <f>IF($E894="","",INDEX('Input Transaksi'!$D:$D,$E894))</f>
        <v/>
      </c>
      <c r="C894">
        <f>IF($E894="","",INDEX('Input Transaksi'!$E:$E,$E894))</f>
        <v/>
      </c>
      <c r="D894" s="5">
        <f>IF($E894="","",INDEX('Input Transaksi'!$F:$F,$E894))</f>
        <v/>
      </c>
      <c r="E894">
        <f>IFERROR(AGGREGATE(15,6,ROW('Input Transaksi'!$B$5:$B$5000)/('Input Transaksi'!$B$5:$B$5000="MONANG MANING"),ROWS($E$5:E894)),"")</f>
        <v/>
      </c>
      <c r="F894" s="5" t="n"/>
    </row>
    <row r="895">
      <c r="A895" s="10">
        <f>IF($E895="","",INDEX('Input Transaksi'!$A:$A,$E895))</f>
        <v/>
      </c>
      <c r="B895" s="5">
        <f>IF($E895="","",INDEX('Input Transaksi'!$D:$D,$E895))</f>
        <v/>
      </c>
      <c r="C895">
        <f>IF($E895="","",INDEX('Input Transaksi'!$E:$E,$E895))</f>
        <v/>
      </c>
      <c r="D895" s="5">
        <f>IF($E895="","",INDEX('Input Transaksi'!$F:$F,$E895))</f>
        <v/>
      </c>
      <c r="E895">
        <f>IFERROR(AGGREGATE(15,6,ROW('Input Transaksi'!$B$5:$B$5000)/('Input Transaksi'!$B$5:$B$5000="MONANG MANING"),ROWS($E$5:E895)),"")</f>
        <v/>
      </c>
      <c r="F895" s="5" t="n"/>
    </row>
    <row r="896">
      <c r="A896" s="10">
        <f>IF($E896="","",INDEX('Input Transaksi'!$A:$A,$E896))</f>
        <v/>
      </c>
      <c r="B896" s="5">
        <f>IF($E896="","",INDEX('Input Transaksi'!$D:$D,$E896))</f>
        <v/>
      </c>
      <c r="C896">
        <f>IF($E896="","",INDEX('Input Transaksi'!$E:$E,$E896))</f>
        <v/>
      </c>
      <c r="D896" s="5">
        <f>IF($E896="","",INDEX('Input Transaksi'!$F:$F,$E896))</f>
        <v/>
      </c>
      <c r="E896">
        <f>IFERROR(AGGREGATE(15,6,ROW('Input Transaksi'!$B$5:$B$5000)/('Input Transaksi'!$B$5:$B$5000="MONANG MANING"),ROWS($E$5:E896)),"")</f>
        <v/>
      </c>
      <c r="F896" s="5" t="n"/>
    </row>
    <row r="897">
      <c r="A897" s="10">
        <f>IF($E897="","",INDEX('Input Transaksi'!$A:$A,$E897))</f>
        <v/>
      </c>
      <c r="B897" s="5">
        <f>IF($E897="","",INDEX('Input Transaksi'!$D:$D,$E897))</f>
        <v/>
      </c>
      <c r="C897">
        <f>IF($E897="","",INDEX('Input Transaksi'!$E:$E,$E897))</f>
        <v/>
      </c>
      <c r="D897" s="5">
        <f>IF($E897="","",INDEX('Input Transaksi'!$F:$F,$E897))</f>
        <v/>
      </c>
      <c r="E897">
        <f>IFERROR(AGGREGATE(15,6,ROW('Input Transaksi'!$B$5:$B$5000)/('Input Transaksi'!$B$5:$B$5000="MONANG MANING"),ROWS($E$5:E897)),"")</f>
        <v/>
      </c>
      <c r="F897" s="5" t="n"/>
    </row>
    <row r="898">
      <c r="A898" s="10">
        <f>IF($E898="","",INDEX('Input Transaksi'!$A:$A,$E898))</f>
        <v/>
      </c>
      <c r="B898" s="5">
        <f>IF($E898="","",INDEX('Input Transaksi'!$D:$D,$E898))</f>
        <v/>
      </c>
      <c r="C898">
        <f>IF($E898="","",INDEX('Input Transaksi'!$E:$E,$E898))</f>
        <v/>
      </c>
      <c r="D898" s="5">
        <f>IF($E898="","",INDEX('Input Transaksi'!$F:$F,$E898))</f>
        <v/>
      </c>
      <c r="E898">
        <f>IFERROR(AGGREGATE(15,6,ROW('Input Transaksi'!$B$5:$B$5000)/('Input Transaksi'!$B$5:$B$5000="MONANG MANING"),ROWS($E$5:E898)),"")</f>
        <v/>
      </c>
      <c r="F898" s="5" t="n"/>
    </row>
    <row r="899">
      <c r="A899" s="10">
        <f>IF($E899="","",INDEX('Input Transaksi'!$A:$A,$E899))</f>
        <v/>
      </c>
      <c r="B899" s="5">
        <f>IF($E899="","",INDEX('Input Transaksi'!$D:$D,$E899))</f>
        <v/>
      </c>
      <c r="C899">
        <f>IF($E899="","",INDEX('Input Transaksi'!$E:$E,$E899))</f>
        <v/>
      </c>
      <c r="D899" s="5">
        <f>IF($E899="","",INDEX('Input Transaksi'!$F:$F,$E899))</f>
        <v/>
      </c>
      <c r="E899">
        <f>IFERROR(AGGREGATE(15,6,ROW('Input Transaksi'!$B$5:$B$5000)/('Input Transaksi'!$B$5:$B$5000="MONANG MANING"),ROWS($E$5:E899)),"")</f>
        <v/>
      </c>
      <c r="F899" s="5" t="n"/>
    </row>
    <row r="900">
      <c r="A900" s="10">
        <f>IF($E900="","",INDEX('Input Transaksi'!$A:$A,$E900))</f>
        <v/>
      </c>
      <c r="B900" s="5">
        <f>IF($E900="","",INDEX('Input Transaksi'!$D:$D,$E900))</f>
        <v/>
      </c>
      <c r="C900">
        <f>IF($E900="","",INDEX('Input Transaksi'!$E:$E,$E900))</f>
        <v/>
      </c>
      <c r="D900" s="5">
        <f>IF($E900="","",INDEX('Input Transaksi'!$F:$F,$E900))</f>
        <v/>
      </c>
      <c r="E900">
        <f>IFERROR(AGGREGATE(15,6,ROW('Input Transaksi'!$B$5:$B$5000)/('Input Transaksi'!$B$5:$B$5000="MONANG MANING"),ROWS($E$5:E900)),"")</f>
        <v/>
      </c>
      <c r="F900" s="5" t="n"/>
    </row>
    <row r="901">
      <c r="A901" s="10">
        <f>IF($E901="","",INDEX('Input Transaksi'!$A:$A,$E901))</f>
        <v/>
      </c>
      <c r="B901" s="5">
        <f>IF($E901="","",INDEX('Input Transaksi'!$D:$D,$E901))</f>
        <v/>
      </c>
      <c r="C901">
        <f>IF($E901="","",INDEX('Input Transaksi'!$E:$E,$E901))</f>
        <v/>
      </c>
      <c r="D901" s="5">
        <f>IF($E901="","",INDEX('Input Transaksi'!$F:$F,$E901))</f>
        <v/>
      </c>
      <c r="E901">
        <f>IFERROR(AGGREGATE(15,6,ROW('Input Transaksi'!$B$5:$B$5000)/('Input Transaksi'!$B$5:$B$5000="MONANG MANING"),ROWS($E$5:E901)),"")</f>
        <v/>
      </c>
      <c r="F901" s="5" t="n"/>
    </row>
    <row r="902">
      <c r="A902" s="10">
        <f>IF($E902="","",INDEX('Input Transaksi'!$A:$A,$E902))</f>
        <v/>
      </c>
      <c r="B902" s="5">
        <f>IF($E902="","",INDEX('Input Transaksi'!$D:$D,$E902))</f>
        <v/>
      </c>
      <c r="C902">
        <f>IF($E902="","",INDEX('Input Transaksi'!$E:$E,$E902))</f>
        <v/>
      </c>
      <c r="D902" s="5">
        <f>IF($E902="","",INDEX('Input Transaksi'!$F:$F,$E902))</f>
        <v/>
      </c>
      <c r="E902">
        <f>IFERROR(AGGREGATE(15,6,ROW('Input Transaksi'!$B$5:$B$5000)/('Input Transaksi'!$B$5:$B$5000="MONANG MANING"),ROWS($E$5:E902)),"")</f>
        <v/>
      </c>
      <c r="F902" s="5" t="n"/>
    </row>
    <row r="903">
      <c r="A903" s="10">
        <f>IF($E903="","",INDEX('Input Transaksi'!$A:$A,$E903))</f>
        <v/>
      </c>
      <c r="B903" s="5">
        <f>IF($E903="","",INDEX('Input Transaksi'!$D:$D,$E903))</f>
        <v/>
      </c>
      <c r="C903">
        <f>IF($E903="","",INDEX('Input Transaksi'!$E:$E,$E903))</f>
        <v/>
      </c>
      <c r="D903" s="5">
        <f>IF($E903="","",INDEX('Input Transaksi'!$F:$F,$E903))</f>
        <v/>
      </c>
      <c r="E903">
        <f>IFERROR(AGGREGATE(15,6,ROW('Input Transaksi'!$B$5:$B$5000)/('Input Transaksi'!$B$5:$B$5000="MONANG MANING"),ROWS($E$5:E903)),"")</f>
        <v/>
      </c>
      <c r="F903" s="5" t="n"/>
    </row>
    <row r="904">
      <c r="A904" s="10">
        <f>IF($E904="","",INDEX('Input Transaksi'!$A:$A,$E904))</f>
        <v/>
      </c>
      <c r="B904" s="5">
        <f>IF($E904="","",INDEX('Input Transaksi'!$D:$D,$E904))</f>
        <v/>
      </c>
      <c r="C904">
        <f>IF($E904="","",INDEX('Input Transaksi'!$E:$E,$E904))</f>
        <v/>
      </c>
      <c r="D904" s="5">
        <f>IF($E904="","",INDEX('Input Transaksi'!$F:$F,$E904))</f>
        <v/>
      </c>
      <c r="E904">
        <f>IFERROR(AGGREGATE(15,6,ROW('Input Transaksi'!$B$5:$B$5000)/('Input Transaksi'!$B$5:$B$5000="MONANG MANING"),ROWS($E$5:E904)),"")</f>
        <v/>
      </c>
      <c r="F904" s="5" t="n"/>
    </row>
    <row r="905">
      <c r="A905" s="10">
        <f>IF($E905="","",INDEX('Input Transaksi'!$A:$A,$E905))</f>
        <v/>
      </c>
      <c r="B905" s="5">
        <f>IF($E905="","",INDEX('Input Transaksi'!$D:$D,$E905))</f>
        <v/>
      </c>
      <c r="C905">
        <f>IF($E905="","",INDEX('Input Transaksi'!$E:$E,$E905))</f>
        <v/>
      </c>
      <c r="D905" s="5">
        <f>IF($E905="","",INDEX('Input Transaksi'!$F:$F,$E905))</f>
        <v/>
      </c>
      <c r="E905">
        <f>IFERROR(AGGREGATE(15,6,ROW('Input Transaksi'!$B$5:$B$5000)/('Input Transaksi'!$B$5:$B$5000="MONANG MANING"),ROWS($E$5:E905)),"")</f>
        <v/>
      </c>
      <c r="F905" s="5" t="n"/>
    </row>
    <row r="906">
      <c r="A906" s="10">
        <f>IF($E906="","",INDEX('Input Transaksi'!$A:$A,$E906))</f>
        <v/>
      </c>
      <c r="B906" s="5">
        <f>IF($E906="","",INDEX('Input Transaksi'!$D:$D,$E906))</f>
        <v/>
      </c>
      <c r="C906">
        <f>IF($E906="","",INDEX('Input Transaksi'!$E:$E,$E906))</f>
        <v/>
      </c>
      <c r="D906" s="5">
        <f>IF($E906="","",INDEX('Input Transaksi'!$F:$F,$E906))</f>
        <v/>
      </c>
      <c r="E906">
        <f>IFERROR(AGGREGATE(15,6,ROW('Input Transaksi'!$B$5:$B$5000)/('Input Transaksi'!$B$5:$B$5000="MONANG MANING"),ROWS($E$5:E906)),"")</f>
        <v/>
      </c>
      <c r="F906" s="5" t="n"/>
    </row>
    <row r="907">
      <c r="A907" s="10">
        <f>IF($E907="","",INDEX('Input Transaksi'!$A:$A,$E907))</f>
        <v/>
      </c>
      <c r="B907" s="5">
        <f>IF($E907="","",INDEX('Input Transaksi'!$D:$D,$E907))</f>
        <v/>
      </c>
      <c r="C907">
        <f>IF($E907="","",INDEX('Input Transaksi'!$E:$E,$E907))</f>
        <v/>
      </c>
      <c r="D907" s="5">
        <f>IF($E907="","",INDEX('Input Transaksi'!$F:$F,$E907))</f>
        <v/>
      </c>
      <c r="E907">
        <f>IFERROR(AGGREGATE(15,6,ROW('Input Transaksi'!$B$5:$B$5000)/('Input Transaksi'!$B$5:$B$5000="MONANG MANING"),ROWS($E$5:E907)),"")</f>
        <v/>
      </c>
      <c r="F907" s="5" t="n"/>
    </row>
    <row r="908">
      <c r="A908" s="10">
        <f>IF($E908="","",INDEX('Input Transaksi'!$A:$A,$E908))</f>
        <v/>
      </c>
      <c r="B908" s="5">
        <f>IF($E908="","",INDEX('Input Transaksi'!$D:$D,$E908))</f>
        <v/>
      </c>
      <c r="C908">
        <f>IF($E908="","",INDEX('Input Transaksi'!$E:$E,$E908))</f>
        <v/>
      </c>
      <c r="D908" s="5">
        <f>IF($E908="","",INDEX('Input Transaksi'!$F:$F,$E908))</f>
        <v/>
      </c>
      <c r="E908">
        <f>IFERROR(AGGREGATE(15,6,ROW('Input Transaksi'!$B$5:$B$5000)/('Input Transaksi'!$B$5:$B$5000="MONANG MANING"),ROWS($E$5:E908)),"")</f>
        <v/>
      </c>
      <c r="F908" s="5" t="n"/>
    </row>
    <row r="909">
      <c r="A909" s="10">
        <f>IF($E909="","",INDEX('Input Transaksi'!$A:$A,$E909))</f>
        <v/>
      </c>
      <c r="B909" s="5">
        <f>IF($E909="","",INDEX('Input Transaksi'!$D:$D,$E909))</f>
        <v/>
      </c>
      <c r="C909">
        <f>IF($E909="","",INDEX('Input Transaksi'!$E:$E,$E909))</f>
        <v/>
      </c>
      <c r="D909" s="5">
        <f>IF($E909="","",INDEX('Input Transaksi'!$F:$F,$E909))</f>
        <v/>
      </c>
      <c r="E909">
        <f>IFERROR(AGGREGATE(15,6,ROW('Input Transaksi'!$B$5:$B$5000)/('Input Transaksi'!$B$5:$B$5000="MONANG MANING"),ROWS($E$5:E909)),"")</f>
        <v/>
      </c>
      <c r="F909" s="5" t="n"/>
    </row>
    <row r="910">
      <c r="A910" s="10">
        <f>IF($E910="","",INDEX('Input Transaksi'!$A:$A,$E910))</f>
        <v/>
      </c>
      <c r="B910" s="5">
        <f>IF($E910="","",INDEX('Input Transaksi'!$D:$D,$E910))</f>
        <v/>
      </c>
      <c r="C910">
        <f>IF($E910="","",INDEX('Input Transaksi'!$E:$E,$E910))</f>
        <v/>
      </c>
      <c r="D910" s="5">
        <f>IF($E910="","",INDEX('Input Transaksi'!$F:$F,$E910))</f>
        <v/>
      </c>
      <c r="E910">
        <f>IFERROR(AGGREGATE(15,6,ROW('Input Transaksi'!$B$5:$B$5000)/('Input Transaksi'!$B$5:$B$5000="MONANG MANING"),ROWS($E$5:E910)),"")</f>
        <v/>
      </c>
      <c r="F910" s="5" t="n"/>
    </row>
    <row r="911">
      <c r="A911" s="10">
        <f>IF($E911="","",INDEX('Input Transaksi'!$A:$A,$E911))</f>
        <v/>
      </c>
      <c r="B911" s="5">
        <f>IF($E911="","",INDEX('Input Transaksi'!$D:$D,$E911))</f>
        <v/>
      </c>
      <c r="C911">
        <f>IF($E911="","",INDEX('Input Transaksi'!$E:$E,$E911))</f>
        <v/>
      </c>
      <c r="D911" s="5">
        <f>IF($E911="","",INDEX('Input Transaksi'!$F:$F,$E911))</f>
        <v/>
      </c>
      <c r="E911">
        <f>IFERROR(AGGREGATE(15,6,ROW('Input Transaksi'!$B$5:$B$5000)/('Input Transaksi'!$B$5:$B$5000="MONANG MANING"),ROWS($E$5:E911)),"")</f>
        <v/>
      </c>
      <c r="F911" s="5" t="n"/>
    </row>
    <row r="912">
      <c r="A912" s="10">
        <f>IF($E912="","",INDEX('Input Transaksi'!$A:$A,$E912))</f>
        <v/>
      </c>
      <c r="B912" s="5">
        <f>IF($E912="","",INDEX('Input Transaksi'!$D:$D,$E912))</f>
        <v/>
      </c>
      <c r="C912">
        <f>IF($E912="","",INDEX('Input Transaksi'!$E:$E,$E912))</f>
        <v/>
      </c>
      <c r="D912" s="5">
        <f>IF($E912="","",INDEX('Input Transaksi'!$F:$F,$E912))</f>
        <v/>
      </c>
      <c r="E912">
        <f>IFERROR(AGGREGATE(15,6,ROW('Input Transaksi'!$B$5:$B$5000)/('Input Transaksi'!$B$5:$B$5000="MONANG MANING"),ROWS($E$5:E912)),"")</f>
        <v/>
      </c>
      <c r="F912" s="5" t="n"/>
    </row>
    <row r="913">
      <c r="A913" s="10">
        <f>IF($E913="","",INDEX('Input Transaksi'!$A:$A,$E913))</f>
        <v/>
      </c>
      <c r="B913" s="5">
        <f>IF($E913="","",INDEX('Input Transaksi'!$D:$D,$E913))</f>
        <v/>
      </c>
      <c r="C913">
        <f>IF($E913="","",INDEX('Input Transaksi'!$E:$E,$E913))</f>
        <v/>
      </c>
      <c r="D913" s="5">
        <f>IF($E913="","",INDEX('Input Transaksi'!$F:$F,$E913))</f>
        <v/>
      </c>
      <c r="E913">
        <f>IFERROR(AGGREGATE(15,6,ROW('Input Transaksi'!$B$5:$B$5000)/('Input Transaksi'!$B$5:$B$5000="MONANG MANING"),ROWS($E$5:E913)),"")</f>
        <v/>
      </c>
      <c r="F913" s="5" t="n"/>
    </row>
    <row r="914">
      <c r="A914" s="10">
        <f>IF($E914="","",INDEX('Input Transaksi'!$A:$A,$E914))</f>
        <v/>
      </c>
      <c r="B914" s="5">
        <f>IF($E914="","",INDEX('Input Transaksi'!$D:$D,$E914))</f>
        <v/>
      </c>
      <c r="C914">
        <f>IF($E914="","",INDEX('Input Transaksi'!$E:$E,$E914))</f>
        <v/>
      </c>
      <c r="D914" s="5">
        <f>IF($E914="","",INDEX('Input Transaksi'!$F:$F,$E914))</f>
        <v/>
      </c>
      <c r="E914">
        <f>IFERROR(AGGREGATE(15,6,ROW('Input Transaksi'!$B$5:$B$5000)/('Input Transaksi'!$B$5:$B$5000="MONANG MANING"),ROWS($E$5:E914)),"")</f>
        <v/>
      </c>
      <c r="F914" s="5" t="n"/>
    </row>
    <row r="915">
      <c r="A915" s="10">
        <f>IF($E915="","",INDEX('Input Transaksi'!$A:$A,$E915))</f>
        <v/>
      </c>
      <c r="B915" s="5">
        <f>IF($E915="","",INDEX('Input Transaksi'!$D:$D,$E915))</f>
        <v/>
      </c>
      <c r="C915">
        <f>IF($E915="","",INDEX('Input Transaksi'!$E:$E,$E915))</f>
        <v/>
      </c>
      <c r="D915" s="5">
        <f>IF($E915="","",INDEX('Input Transaksi'!$F:$F,$E915))</f>
        <v/>
      </c>
      <c r="E915">
        <f>IFERROR(AGGREGATE(15,6,ROW('Input Transaksi'!$B$5:$B$5000)/('Input Transaksi'!$B$5:$B$5000="MONANG MANING"),ROWS($E$5:E915)),"")</f>
        <v/>
      </c>
      <c r="F915" s="5" t="n"/>
    </row>
    <row r="916">
      <c r="A916" s="10">
        <f>IF($E916="","",INDEX('Input Transaksi'!$A:$A,$E916))</f>
        <v/>
      </c>
      <c r="B916" s="5">
        <f>IF($E916="","",INDEX('Input Transaksi'!$D:$D,$E916))</f>
        <v/>
      </c>
      <c r="C916">
        <f>IF($E916="","",INDEX('Input Transaksi'!$E:$E,$E916))</f>
        <v/>
      </c>
      <c r="D916" s="5">
        <f>IF($E916="","",INDEX('Input Transaksi'!$F:$F,$E916))</f>
        <v/>
      </c>
      <c r="E916">
        <f>IFERROR(AGGREGATE(15,6,ROW('Input Transaksi'!$B$5:$B$5000)/('Input Transaksi'!$B$5:$B$5000="MONANG MANING"),ROWS($E$5:E916)),"")</f>
        <v/>
      </c>
      <c r="F916" s="5" t="n"/>
    </row>
    <row r="917">
      <c r="A917" s="10">
        <f>IF($E917="","",INDEX('Input Transaksi'!$A:$A,$E917))</f>
        <v/>
      </c>
      <c r="B917" s="5">
        <f>IF($E917="","",INDEX('Input Transaksi'!$D:$D,$E917))</f>
        <v/>
      </c>
      <c r="C917">
        <f>IF($E917="","",INDEX('Input Transaksi'!$E:$E,$E917))</f>
        <v/>
      </c>
      <c r="D917" s="5">
        <f>IF($E917="","",INDEX('Input Transaksi'!$F:$F,$E917))</f>
        <v/>
      </c>
      <c r="E917">
        <f>IFERROR(AGGREGATE(15,6,ROW('Input Transaksi'!$B$5:$B$5000)/('Input Transaksi'!$B$5:$B$5000="MONANG MANING"),ROWS($E$5:E917)),"")</f>
        <v/>
      </c>
      <c r="F917" s="5" t="n"/>
    </row>
    <row r="918">
      <c r="A918" s="10">
        <f>IF($E918="","",INDEX('Input Transaksi'!$A:$A,$E918))</f>
        <v/>
      </c>
      <c r="B918" s="5">
        <f>IF($E918="","",INDEX('Input Transaksi'!$D:$D,$E918))</f>
        <v/>
      </c>
      <c r="C918">
        <f>IF($E918="","",INDEX('Input Transaksi'!$E:$E,$E918))</f>
        <v/>
      </c>
      <c r="D918" s="5">
        <f>IF($E918="","",INDEX('Input Transaksi'!$F:$F,$E918))</f>
        <v/>
      </c>
      <c r="E918">
        <f>IFERROR(AGGREGATE(15,6,ROW('Input Transaksi'!$B$5:$B$5000)/('Input Transaksi'!$B$5:$B$5000="MONANG MANING"),ROWS($E$5:E918)),"")</f>
        <v/>
      </c>
      <c r="F918" s="5" t="n"/>
    </row>
    <row r="919">
      <c r="A919" s="10">
        <f>IF($E919="","",INDEX('Input Transaksi'!$A:$A,$E919))</f>
        <v/>
      </c>
      <c r="B919" s="5">
        <f>IF($E919="","",INDEX('Input Transaksi'!$D:$D,$E919))</f>
        <v/>
      </c>
      <c r="C919">
        <f>IF($E919="","",INDEX('Input Transaksi'!$E:$E,$E919))</f>
        <v/>
      </c>
      <c r="D919" s="5">
        <f>IF($E919="","",INDEX('Input Transaksi'!$F:$F,$E919))</f>
        <v/>
      </c>
      <c r="E919">
        <f>IFERROR(AGGREGATE(15,6,ROW('Input Transaksi'!$B$5:$B$5000)/('Input Transaksi'!$B$5:$B$5000="MONANG MANING"),ROWS($E$5:E919)),"")</f>
        <v/>
      </c>
      <c r="F919" s="5" t="n"/>
    </row>
    <row r="920">
      <c r="A920" s="10">
        <f>IF($E920="","",INDEX('Input Transaksi'!$A:$A,$E920))</f>
        <v/>
      </c>
      <c r="B920" s="5">
        <f>IF($E920="","",INDEX('Input Transaksi'!$D:$D,$E920))</f>
        <v/>
      </c>
      <c r="C920">
        <f>IF($E920="","",INDEX('Input Transaksi'!$E:$E,$E920))</f>
        <v/>
      </c>
      <c r="D920" s="5">
        <f>IF($E920="","",INDEX('Input Transaksi'!$F:$F,$E920))</f>
        <v/>
      </c>
      <c r="E920">
        <f>IFERROR(AGGREGATE(15,6,ROW('Input Transaksi'!$B$5:$B$5000)/('Input Transaksi'!$B$5:$B$5000="MONANG MANING"),ROWS($E$5:E920)),"")</f>
        <v/>
      </c>
      <c r="F920" s="5" t="n"/>
    </row>
    <row r="921">
      <c r="A921" s="10">
        <f>IF($E921="","",INDEX('Input Transaksi'!$A:$A,$E921))</f>
        <v/>
      </c>
      <c r="B921" s="5">
        <f>IF($E921="","",INDEX('Input Transaksi'!$D:$D,$E921))</f>
        <v/>
      </c>
      <c r="C921">
        <f>IF($E921="","",INDEX('Input Transaksi'!$E:$E,$E921))</f>
        <v/>
      </c>
      <c r="D921" s="5">
        <f>IF($E921="","",INDEX('Input Transaksi'!$F:$F,$E921))</f>
        <v/>
      </c>
      <c r="E921">
        <f>IFERROR(AGGREGATE(15,6,ROW('Input Transaksi'!$B$5:$B$5000)/('Input Transaksi'!$B$5:$B$5000="MONANG MANING"),ROWS($E$5:E921)),"")</f>
        <v/>
      </c>
      <c r="F921" s="5" t="n"/>
    </row>
    <row r="922">
      <c r="A922" s="10">
        <f>IF($E922="","",INDEX('Input Transaksi'!$A:$A,$E922))</f>
        <v/>
      </c>
      <c r="B922" s="5">
        <f>IF($E922="","",INDEX('Input Transaksi'!$D:$D,$E922))</f>
        <v/>
      </c>
      <c r="C922">
        <f>IF($E922="","",INDEX('Input Transaksi'!$E:$E,$E922))</f>
        <v/>
      </c>
      <c r="D922" s="5">
        <f>IF($E922="","",INDEX('Input Transaksi'!$F:$F,$E922))</f>
        <v/>
      </c>
      <c r="E922">
        <f>IFERROR(AGGREGATE(15,6,ROW('Input Transaksi'!$B$5:$B$5000)/('Input Transaksi'!$B$5:$B$5000="MONANG MANING"),ROWS($E$5:E922)),"")</f>
        <v/>
      </c>
      <c r="F922" s="5" t="n"/>
    </row>
    <row r="923">
      <c r="A923" s="10">
        <f>IF($E923="","",INDEX('Input Transaksi'!$A:$A,$E923))</f>
        <v/>
      </c>
      <c r="B923" s="5">
        <f>IF($E923="","",INDEX('Input Transaksi'!$D:$D,$E923))</f>
        <v/>
      </c>
      <c r="C923">
        <f>IF($E923="","",INDEX('Input Transaksi'!$E:$E,$E923))</f>
        <v/>
      </c>
      <c r="D923" s="5">
        <f>IF($E923="","",INDEX('Input Transaksi'!$F:$F,$E923))</f>
        <v/>
      </c>
      <c r="E923">
        <f>IFERROR(AGGREGATE(15,6,ROW('Input Transaksi'!$B$5:$B$5000)/('Input Transaksi'!$B$5:$B$5000="MONANG MANING"),ROWS($E$5:E923)),"")</f>
        <v/>
      </c>
      <c r="F923" s="5" t="n"/>
    </row>
    <row r="924">
      <c r="A924" s="10">
        <f>IF($E924="","",INDEX('Input Transaksi'!$A:$A,$E924))</f>
        <v/>
      </c>
      <c r="B924" s="5">
        <f>IF($E924="","",INDEX('Input Transaksi'!$D:$D,$E924))</f>
        <v/>
      </c>
      <c r="C924">
        <f>IF($E924="","",INDEX('Input Transaksi'!$E:$E,$E924))</f>
        <v/>
      </c>
      <c r="D924" s="5">
        <f>IF($E924="","",INDEX('Input Transaksi'!$F:$F,$E924))</f>
        <v/>
      </c>
      <c r="E924">
        <f>IFERROR(AGGREGATE(15,6,ROW('Input Transaksi'!$B$5:$B$5000)/('Input Transaksi'!$B$5:$B$5000="MONANG MANING"),ROWS($E$5:E924)),"")</f>
        <v/>
      </c>
      <c r="F924" s="5" t="n"/>
    </row>
    <row r="925">
      <c r="A925" s="10">
        <f>IF($E925="","",INDEX('Input Transaksi'!$A:$A,$E925))</f>
        <v/>
      </c>
      <c r="B925" s="5">
        <f>IF($E925="","",INDEX('Input Transaksi'!$D:$D,$E925))</f>
        <v/>
      </c>
      <c r="C925">
        <f>IF($E925="","",INDEX('Input Transaksi'!$E:$E,$E925))</f>
        <v/>
      </c>
      <c r="D925" s="5">
        <f>IF($E925="","",INDEX('Input Transaksi'!$F:$F,$E925))</f>
        <v/>
      </c>
      <c r="E925">
        <f>IFERROR(AGGREGATE(15,6,ROW('Input Transaksi'!$B$5:$B$5000)/('Input Transaksi'!$B$5:$B$5000="MONANG MANING"),ROWS($E$5:E925)),"")</f>
        <v/>
      </c>
      <c r="F925" s="5" t="n"/>
    </row>
    <row r="926">
      <c r="A926" s="10">
        <f>IF($E926="","",INDEX('Input Transaksi'!$A:$A,$E926))</f>
        <v/>
      </c>
      <c r="B926" s="5">
        <f>IF($E926="","",INDEX('Input Transaksi'!$D:$D,$E926))</f>
        <v/>
      </c>
      <c r="C926">
        <f>IF($E926="","",INDEX('Input Transaksi'!$E:$E,$E926))</f>
        <v/>
      </c>
      <c r="D926" s="5">
        <f>IF($E926="","",INDEX('Input Transaksi'!$F:$F,$E926))</f>
        <v/>
      </c>
      <c r="E926">
        <f>IFERROR(AGGREGATE(15,6,ROW('Input Transaksi'!$B$5:$B$5000)/('Input Transaksi'!$B$5:$B$5000="MONANG MANING"),ROWS($E$5:E926)),"")</f>
        <v/>
      </c>
      <c r="F926" s="5" t="n"/>
    </row>
    <row r="927">
      <c r="A927" s="10">
        <f>IF($E927="","",INDEX('Input Transaksi'!$A:$A,$E927))</f>
        <v/>
      </c>
      <c r="B927" s="5">
        <f>IF($E927="","",INDEX('Input Transaksi'!$D:$D,$E927))</f>
        <v/>
      </c>
      <c r="C927">
        <f>IF($E927="","",INDEX('Input Transaksi'!$E:$E,$E927))</f>
        <v/>
      </c>
      <c r="D927" s="5">
        <f>IF($E927="","",INDEX('Input Transaksi'!$F:$F,$E927))</f>
        <v/>
      </c>
      <c r="E927">
        <f>IFERROR(AGGREGATE(15,6,ROW('Input Transaksi'!$B$5:$B$5000)/('Input Transaksi'!$B$5:$B$5000="MONANG MANING"),ROWS($E$5:E927)),"")</f>
        <v/>
      </c>
      <c r="F927" s="5" t="n"/>
    </row>
    <row r="928">
      <c r="A928" s="10">
        <f>IF($E928="","",INDEX('Input Transaksi'!$A:$A,$E928))</f>
        <v/>
      </c>
      <c r="B928" s="5">
        <f>IF($E928="","",INDEX('Input Transaksi'!$D:$D,$E928))</f>
        <v/>
      </c>
      <c r="C928">
        <f>IF($E928="","",INDEX('Input Transaksi'!$E:$E,$E928))</f>
        <v/>
      </c>
      <c r="D928" s="5">
        <f>IF($E928="","",INDEX('Input Transaksi'!$F:$F,$E928))</f>
        <v/>
      </c>
      <c r="E928">
        <f>IFERROR(AGGREGATE(15,6,ROW('Input Transaksi'!$B$5:$B$5000)/('Input Transaksi'!$B$5:$B$5000="MONANG MANING"),ROWS($E$5:E928)),"")</f>
        <v/>
      </c>
      <c r="F928" s="5" t="n"/>
    </row>
    <row r="929">
      <c r="A929" s="10">
        <f>IF($E929="","",INDEX('Input Transaksi'!$A:$A,$E929))</f>
        <v/>
      </c>
      <c r="B929" s="5">
        <f>IF($E929="","",INDEX('Input Transaksi'!$D:$D,$E929))</f>
        <v/>
      </c>
      <c r="C929">
        <f>IF($E929="","",INDEX('Input Transaksi'!$E:$E,$E929))</f>
        <v/>
      </c>
      <c r="D929" s="5">
        <f>IF($E929="","",INDEX('Input Transaksi'!$F:$F,$E929))</f>
        <v/>
      </c>
      <c r="E929">
        <f>IFERROR(AGGREGATE(15,6,ROW('Input Transaksi'!$B$5:$B$5000)/('Input Transaksi'!$B$5:$B$5000="MONANG MANING"),ROWS($E$5:E929)),"")</f>
        <v/>
      </c>
      <c r="F929" s="5" t="n"/>
    </row>
    <row r="930">
      <c r="A930" s="10">
        <f>IF($E930="","",INDEX('Input Transaksi'!$A:$A,$E930))</f>
        <v/>
      </c>
      <c r="B930" s="5">
        <f>IF($E930="","",INDEX('Input Transaksi'!$D:$D,$E930))</f>
        <v/>
      </c>
      <c r="C930">
        <f>IF($E930="","",INDEX('Input Transaksi'!$E:$E,$E930))</f>
        <v/>
      </c>
      <c r="D930" s="5">
        <f>IF($E930="","",INDEX('Input Transaksi'!$F:$F,$E930))</f>
        <v/>
      </c>
      <c r="E930">
        <f>IFERROR(AGGREGATE(15,6,ROW('Input Transaksi'!$B$5:$B$5000)/('Input Transaksi'!$B$5:$B$5000="MONANG MANING"),ROWS($E$5:E930)),"")</f>
        <v/>
      </c>
      <c r="F930" s="5" t="n"/>
    </row>
    <row r="931">
      <c r="A931" s="10">
        <f>IF($E931="","",INDEX('Input Transaksi'!$A:$A,$E931))</f>
        <v/>
      </c>
      <c r="B931" s="5">
        <f>IF($E931="","",INDEX('Input Transaksi'!$D:$D,$E931))</f>
        <v/>
      </c>
      <c r="C931">
        <f>IF($E931="","",INDEX('Input Transaksi'!$E:$E,$E931))</f>
        <v/>
      </c>
      <c r="D931" s="5">
        <f>IF($E931="","",INDEX('Input Transaksi'!$F:$F,$E931))</f>
        <v/>
      </c>
      <c r="E931">
        <f>IFERROR(AGGREGATE(15,6,ROW('Input Transaksi'!$B$5:$B$5000)/('Input Transaksi'!$B$5:$B$5000="MONANG MANING"),ROWS($E$5:E931)),"")</f>
        <v/>
      </c>
      <c r="F931" s="5" t="n"/>
    </row>
    <row r="932">
      <c r="A932" s="10">
        <f>IF($E932="","",INDEX('Input Transaksi'!$A:$A,$E932))</f>
        <v/>
      </c>
      <c r="B932" s="5">
        <f>IF($E932="","",INDEX('Input Transaksi'!$D:$D,$E932))</f>
        <v/>
      </c>
      <c r="C932">
        <f>IF($E932="","",INDEX('Input Transaksi'!$E:$E,$E932))</f>
        <v/>
      </c>
      <c r="D932" s="5">
        <f>IF($E932="","",INDEX('Input Transaksi'!$F:$F,$E932))</f>
        <v/>
      </c>
      <c r="E932">
        <f>IFERROR(AGGREGATE(15,6,ROW('Input Transaksi'!$B$5:$B$5000)/('Input Transaksi'!$B$5:$B$5000="MONANG MANING"),ROWS($E$5:E932)),"")</f>
        <v/>
      </c>
      <c r="F932" s="5" t="n"/>
    </row>
    <row r="933">
      <c r="A933" s="10">
        <f>IF($E933="","",INDEX('Input Transaksi'!$A:$A,$E933))</f>
        <v/>
      </c>
      <c r="B933" s="5">
        <f>IF($E933="","",INDEX('Input Transaksi'!$D:$D,$E933))</f>
        <v/>
      </c>
      <c r="C933">
        <f>IF($E933="","",INDEX('Input Transaksi'!$E:$E,$E933))</f>
        <v/>
      </c>
      <c r="D933" s="5">
        <f>IF($E933="","",INDEX('Input Transaksi'!$F:$F,$E933))</f>
        <v/>
      </c>
      <c r="E933">
        <f>IFERROR(AGGREGATE(15,6,ROW('Input Transaksi'!$B$5:$B$5000)/('Input Transaksi'!$B$5:$B$5000="MONANG MANING"),ROWS($E$5:E933)),"")</f>
        <v/>
      </c>
      <c r="F933" s="5" t="n"/>
    </row>
    <row r="934">
      <c r="A934" s="10">
        <f>IF($E934="","",INDEX('Input Transaksi'!$A:$A,$E934))</f>
        <v/>
      </c>
      <c r="B934" s="5">
        <f>IF($E934="","",INDEX('Input Transaksi'!$D:$D,$E934))</f>
        <v/>
      </c>
      <c r="C934">
        <f>IF($E934="","",INDEX('Input Transaksi'!$E:$E,$E934))</f>
        <v/>
      </c>
      <c r="D934" s="5">
        <f>IF($E934="","",INDEX('Input Transaksi'!$F:$F,$E934))</f>
        <v/>
      </c>
      <c r="E934">
        <f>IFERROR(AGGREGATE(15,6,ROW('Input Transaksi'!$B$5:$B$5000)/('Input Transaksi'!$B$5:$B$5000="MONANG MANING"),ROWS($E$5:E934)),"")</f>
        <v/>
      </c>
      <c r="F934" s="5" t="n"/>
    </row>
    <row r="935">
      <c r="A935" s="10">
        <f>IF($E935="","",INDEX('Input Transaksi'!$A:$A,$E935))</f>
        <v/>
      </c>
      <c r="B935" s="5">
        <f>IF($E935="","",INDEX('Input Transaksi'!$D:$D,$E935))</f>
        <v/>
      </c>
      <c r="C935">
        <f>IF($E935="","",INDEX('Input Transaksi'!$E:$E,$E935))</f>
        <v/>
      </c>
      <c r="D935" s="5">
        <f>IF($E935="","",INDEX('Input Transaksi'!$F:$F,$E935))</f>
        <v/>
      </c>
      <c r="E935">
        <f>IFERROR(AGGREGATE(15,6,ROW('Input Transaksi'!$B$5:$B$5000)/('Input Transaksi'!$B$5:$B$5000="MONANG MANING"),ROWS($E$5:E935)),"")</f>
        <v/>
      </c>
      <c r="F935" s="5" t="n"/>
    </row>
    <row r="936">
      <c r="A936" s="10">
        <f>IF($E936="","",INDEX('Input Transaksi'!$A:$A,$E936))</f>
        <v/>
      </c>
      <c r="B936" s="5">
        <f>IF($E936="","",INDEX('Input Transaksi'!$D:$D,$E936))</f>
        <v/>
      </c>
      <c r="C936">
        <f>IF($E936="","",INDEX('Input Transaksi'!$E:$E,$E936))</f>
        <v/>
      </c>
      <c r="D936" s="5">
        <f>IF($E936="","",INDEX('Input Transaksi'!$F:$F,$E936))</f>
        <v/>
      </c>
      <c r="E936">
        <f>IFERROR(AGGREGATE(15,6,ROW('Input Transaksi'!$B$5:$B$5000)/('Input Transaksi'!$B$5:$B$5000="MONANG MANING"),ROWS($E$5:E936)),"")</f>
        <v/>
      </c>
      <c r="F936" s="5" t="n"/>
    </row>
    <row r="937">
      <c r="A937" s="10">
        <f>IF($E937="","",INDEX('Input Transaksi'!$A:$A,$E937))</f>
        <v/>
      </c>
      <c r="B937" s="5">
        <f>IF($E937="","",INDEX('Input Transaksi'!$D:$D,$E937))</f>
        <v/>
      </c>
      <c r="C937">
        <f>IF($E937="","",INDEX('Input Transaksi'!$E:$E,$E937))</f>
        <v/>
      </c>
      <c r="D937" s="5">
        <f>IF($E937="","",INDEX('Input Transaksi'!$F:$F,$E937))</f>
        <v/>
      </c>
      <c r="E937">
        <f>IFERROR(AGGREGATE(15,6,ROW('Input Transaksi'!$B$5:$B$5000)/('Input Transaksi'!$B$5:$B$5000="MONANG MANING"),ROWS($E$5:E937)),"")</f>
        <v/>
      </c>
      <c r="F937" s="5" t="n"/>
    </row>
    <row r="938">
      <c r="A938" s="10">
        <f>IF($E938="","",INDEX('Input Transaksi'!$A:$A,$E938))</f>
        <v/>
      </c>
      <c r="B938" s="5">
        <f>IF($E938="","",INDEX('Input Transaksi'!$D:$D,$E938))</f>
        <v/>
      </c>
      <c r="C938">
        <f>IF($E938="","",INDEX('Input Transaksi'!$E:$E,$E938))</f>
        <v/>
      </c>
      <c r="D938" s="5">
        <f>IF($E938="","",INDEX('Input Transaksi'!$F:$F,$E938))</f>
        <v/>
      </c>
      <c r="E938">
        <f>IFERROR(AGGREGATE(15,6,ROW('Input Transaksi'!$B$5:$B$5000)/('Input Transaksi'!$B$5:$B$5000="MONANG MANING"),ROWS($E$5:E938)),"")</f>
        <v/>
      </c>
      <c r="F938" s="5" t="n"/>
    </row>
    <row r="939">
      <c r="A939" s="10">
        <f>IF($E939="","",INDEX('Input Transaksi'!$A:$A,$E939))</f>
        <v/>
      </c>
      <c r="B939" s="5">
        <f>IF($E939="","",INDEX('Input Transaksi'!$D:$D,$E939))</f>
        <v/>
      </c>
      <c r="C939">
        <f>IF($E939="","",INDEX('Input Transaksi'!$E:$E,$E939))</f>
        <v/>
      </c>
      <c r="D939" s="5">
        <f>IF($E939="","",INDEX('Input Transaksi'!$F:$F,$E939))</f>
        <v/>
      </c>
      <c r="E939">
        <f>IFERROR(AGGREGATE(15,6,ROW('Input Transaksi'!$B$5:$B$5000)/('Input Transaksi'!$B$5:$B$5000="MONANG MANING"),ROWS($E$5:E939)),"")</f>
        <v/>
      </c>
      <c r="F939" s="5" t="n"/>
    </row>
    <row r="940">
      <c r="A940" s="10">
        <f>IF($E940="","",INDEX('Input Transaksi'!$A:$A,$E940))</f>
        <v/>
      </c>
      <c r="B940" s="5">
        <f>IF($E940="","",INDEX('Input Transaksi'!$D:$D,$E940))</f>
        <v/>
      </c>
      <c r="C940">
        <f>IF($E940="","",INDEX('Input Transaksi'!$E:$E,$E940))</f>
        <v/>
      </c>
      <c r="D940" s="5">
        <f>IF($E940="","",INDEX('Input Transaksi'!$F:$F,$E940))</f>
        <v/>
      </c>
      <c r="E940">
        <f>IFERROR(AGGREGATE(15,6,ROW('Input Transaksi'!$B$5:$B$5000)/('Input Transaksi'!$B$5:$B$5000="MONANG MANING"),ROWS($E$5:E940)),"")</f>
        <v/>
      </c>
      <c r="F940" s="5" t="n"/>
    </row>
    <row r="941">
      <c r="A941" s="10">
        <f>IF($E941="","",INDEX('Input Transaksi'!$A:$A,$E941))</f>
        <v/>
      </c>
      <c r="B941" s="5">
        <f>IF($E941="","",INDEX('Input Transaksi'!$D:$D,$E941))</f>
        <v/>
      </c>
      <c r="C941">
        <f>IF($E941="","",INDEX('Input Transaksi'!$E:$E,$E941))</f>
        <v/>
      </c>
      <c r="D941" s="5">
        <f>IF($E941="","",INDEX('Input Transaksi'!$F:$F,$E941))</f>
        <v/>
      </c>
      <c r="E941">
        <f>IFERROR(AGGREGATE(15,6,ROW('Input Transaksi'!$B$5:$B$5000)/('Input Transaksi'!$B$5:$B$5000="MONANG MANING"),ROWS($E$5:E941)),"")</f>
        <v/>
      </c>
      <c r="F941" s="5" t="n"/>
    </row>
    <row r="942">
      <c r="A942" s="10">
        <f>IF($E942="","",INDEX('Input Transaksi'!$A:$A,$E942))</f>
        <v/>
      </c>
      <c r="B942" s="5">
        <f>IF($E942="","",INDEX('Input Transaksi'!$D:$D,$E942))</f>
        <v/>
      </c>
      <c r="C942">
        <f>IF($E942="","",INDEX('Input Transaksi'!$E:$E,$E942))</f>
        <v/>
      </c>
      <c r="D942" s="5">
        <f>IF($E942="","",INDEX('Input Transaksi'!$F:$F,$E942))</f>
        <v/>
      </c>
      <c r="E942">
        <f>IFERROR(AGGREGATE(15,6,ROW('Input Transaksi'!$B$5:$B$5000)/('Input Transaksi'!$B$5:$B$5000="MONANG MANING"),ROWS($E$5:E942)),"")</f>
        <v/>
      </c>
      <c r="F942" s="5" t="n"/>
    </row>
    <row r="943">
      <c r="A943" s="10">
        <f>IF($E943="","",INDEX('Input Transaksi'!$A:$A,$E943))</f>
        <v/>
      </c>
      <c r="B943" s="5">
        <f>IF($E943="","",INDEX('Input Transaksi'!$D:$D,$E943))</f>
        <v/>
      </c>
      <c r="C943">
        <f>IF($E943="","",INDEX('Input Transaksi'!$E:$E,$E943))</f>
        <v/>
      </c>
      <c r="D943" s="5">
        <f>IF($E943="","",INDEX('Input Transaksi'!$F:$F,$E943))</f>
        <v/>
      </c>
      <c r="E943">
        <f>IFERROR(AGGREGATE(15,6,ROW('Input Transaksi'!$B$5:$B$5000)/('Input Transaksi'!$B$5:$B$5000="MONANG MANING"),ROWS($E$5:E943)),"")</f>
        <v/>
      </c>
      <c r="F943" s="5" t="n"/>
    </row>
    <row r="944">
      <c r="A944" s="10">
        <f>IF($E944="","",INDEX('Input Transaksi'!$A:$A,$E944))</f>
        <v/>
      </c>
      <c r="B944" s="5">
        <f>IF($E944="","",INDEX('Input Transaksi'!$D:$D,$E944))</f>
        <v/>
      </c>
      <c r="C944">
        <f>IF($E944="","",INDEX('Input Transaksi'!$E:$E,$E944))</f>
        <v/>
      </c>
      <c r="D944" s="5">
        <f>IF($E944="","",INDEX('Input Transaksi'!$F:$F,$E944))</f>
        <v/>
      </c>
      <c r="E944">
        <f>IFERROR(AGGREGATE(15,6,ROW('Input Transaksi'!$B$5:$B$5000)/('Input Transaksi'!$B$5:$B$5000="MONANG MANING"),ROWS($E$5:E944)),"")</f>
        <v/>
      </c>
      <c r="F944" s="5" t="n"/>
    </row>
    <row r="945">
      <c r="A945" s="10">
        <f>IF($E945="","",INDEX('Input Transaksi'!$A:$A,$E945))</f>
        <v/>
      </c>
      <c r="B945" s="5">
        <f>IF($E945="","",INDEX('Input Transaksi'!$D:$D,$E945))</f>
        <v/>
      </c>
      <c r="C945">
        <f>IF($E945="","",INDEX('Input Transaksi'!$E:$E,$E945))</f>
        <v/>
      </c>
      <c r="D945" s="5">
        <f>IF($E945="","",INDEX('Input Transaksi'!$F:$F,$E945))</f>
        <v/>
      </c>
      <c r="E945">
        <f>IFERROR(AGGREGATE(15,6,ROW('Input Transaksi'!$B$5:$B$5000)/('Input Transaksi'!$B$5:$B$5000="MONANG MANING"),ROWS($E$5:E945)),"")</f>
        <v/>
      </c>
      <c r="F945" s="5" t="n"/>
    </row>
    <row r="946">
      <c r="A946" s="10">
        <f>IF($E946="","",INDEX('Input Transaksi'!$A:$A,$E946))</f>
        <v/>
      </c>
      <c r="B946" s="5">
        <f>IF($E946="","",INDEX('Input Transaksi'!$D:$D,$E946))</f>
        <v/>
      </c>
      <c r="C946">
        <f>IF($E946="","",INDEX('Input Transaksi'!$E:$E,$E946))</f>
        <v/>
      </c>
      <c r="D946" s="5">
        <f>IF($E946="","",INDEX('Input Transaksi'!$F:$F,$E946))</f>
        <v/>
      </c>
      <c r="E946">
        <f>IFERROR(AGGREGATE(15,6,ROW('Input Transaksi'!$B$5:$B$5000)/('Input Transaksi'!$B$5:$B$5000="MONANG MANING"),ROWS($E$5:E946)),"")</f>
        <v/>
      </c>
      <c r="F946" s="5" t="n"/>
    </row>
    <row r="947">
      <c r="A947" s="10">
        <f>IF($E947="","",INDEX('Input Transaksi'!$A:$A,$E947))</f>
        <v/>
      </c>
      <c r="B947" s="5">
        <f>IF($E947="","",INDEX('Input Transaksi'!$D:$D,$E947))</f>
        <v/>
      </c>
      <c r="C947">
        <f>IF($E947="","",INDEX('Input Transaksi'!$E:$E,$E947))</f>
        <v/>
      </c>
      <c r="D947" s="5">
        <f>IF($E947="","",INDEX('Input Transaksi'!$F:$F,$E947))</f>
        <v/>
      </c>
      <c r="E947">
        <f>IFERROR(AGGREGATE(15,6,ROW('Input Transaksi'!$B$5:$B$5000)/('Input Transaksi'!$B$5:$B$5000="MONANG MANING"),ROWS($E$5:E947)),"")</f>
        <v/>
      </c>
      <c r="F947" s="5" t="n"/>
    </row>
    <row r="948">
      <c r="A948" s="10">
        <f>IF($E948="","",INDEX('Input Transaksi'!$A:$A,$E948))</f>
        <v/>
      </c>
      <c r="B948" s="5">
        <f>IF($E948="","",INDEX('Input Transaksi'!$D:$D,$E948))</f>
        <v/>
      </c>
      <c r="C948">
        <f>IF($E948="","",INDEX('Input Transaksi'!$E:$E,$E948))</f>
        <v/>
      </c>
      <c r="D948" s="5">
        <f>IF($E948="","",INDEX('Input Transaksi'!$F:$F,$E948))</f>
        <v/>
      </c>
      <c r="E948">
        <f>IFERROR(AGGREGATE(15,6,ROW('Input Transaksi'!$B$5:$B$5000)/('Input Transaksi'!$B$5:$B$5000="MONANG MANING"),ROWS($E$5:E948)),"")</f>
        <v/>
      </c>
      <c r="F948" s="5" t="n"/>
    </row>
    <row r="949">
      <c r="A949" s="10">
        <f>IF($E949="","",INDEX('Input Transaksi'!$A:$A,$E949))</f>
        <v/>
      </c>
      <c r="B949" s="5">
        <f>IF($E949="","",INDEX('Input Transaksi'!$D:$D,$E949))</f>
        <v/>
      </c>
      <c r="C949">
        <f>IF($E949="","",INDEX('Input Transaksi'!$E:$E,$E949))</f>
        <v/>
      </c>
      <c r="D949" s="5">
        <f>IF($E949="","",INDEX('Input Transaksi'!$F:$F,$E949))</f>
        <v/>
      </c>
      <c r="E949">
        <f>IFERROR(AGGREGATE(15,6,ROW('Input Transaksi'!$B$5:$B$5000)/('Input Transaksi'!$B$5:$B$5000="MONANG MANING"),ROWS($E$5:E949)),"")</f>
        <v/>
      </c>
      <c r="F949" s="5" t="n"/>
    </row>
    <row r="950">
      <c r="A950" s="10">
        <f>IF($E950="","",INDEX('Input Transaksi'!$A:$A,$E950))</f>
        <v/>
      </c>
      <c r="B950" s="5">
        <f>IF($E950="","",INDEX('Input Transaksi'!$D:$D,$E950))</f>
        <v/>
      </c>
      <c r="C950">
        <f>IF($E950="","",INDEX('Input Transaksi'!$E:$E,$E950))</f>
        <v/>
      </c>
      <c r="D950" s="5">
        <f>IF($E950="","",INDEX('Input Transaksi'!$F:$F,$E950))</f>
        <v/>
      </c>
      <c r="E950">
        <f>IFERROR(AGGREGATE(15,6,ROW('Input Transaksi'!$B$5:$B$5000)/('Input Transaksi'!$B$5:$B$5000="MONANG MANING"),ROWS($E$5:E950)),"")</f>
        <v/>
      </c>
      <c r="F950" s="5" t="n"/>
    </row>
    <row r="951">
      <c r="A951" s="10">
        <f>IF($E951="","",INDEX('Input Transaksi'!$A:$A,$E951))</f>
        <v/>
      </c>
      <c r="B951" s="5">
        <f>IF($E951="","",INDEX('Input Transaksi'!$D:$D,$E951))</f>
        <v/>
      </c>
      <c r="C951">
        <f>IF($E951="","",INDEX('Input Transaksi'!$E:$E,$E951))</f>
        <v/>
      </c>
      <c r="D951" s="5">
        <f>IF($E951="","",INDEX('Input Transaksi'!$F:$F,$E951))</f>
        <v/>
      </c>
      <c r="E951">
        <f>IFERROR(AGGREGATE(15,6,ROW('Input Transaksi'!$B$5:$B$5000)/('Input Transaksi'!$B$5:$B$5000="MONANG MANING"),ROWS($E$5:E951)),"")</f>
        <v/>
      </c>
      <c r="F951" s="5" t="n"/>
    </row>
    <row r="952">
      <c r="A952" s="10">
        <f>IF($E952="","",INDEX('Input Transaksi'!$A:$A,$E952))</f>
        <v/>
      </c>
      <c r="B952" s="5">
        <f>IF($E952="","",INDEX('Input Transaksi'!$D:$D,$E952))</f>
        <v/>
      </c>
      <c r="C952">
        <f>IF($E952="","",INDEX('Input Transaksi'!$E:$E,$E952))</f>
        <v/>
      </c>
      <c r="D952" s="5">
        <f>IF($E952="","",INDEX('Input Transaksi'!$F:$F,$E952))</f>
        <v/>
      </c>
      <c r="E952">
        <f>IFERROR(AGGREGATE(15,6,ROW('Input Transaksi'!$B$5:$B$5000)/('Input Transaksi'!$B$5:$B$5000="MONANG MANING"),ROWS($E$5:E952)),"")</f>
        <v/>
      </c>
      <c r="F952" s="5" t="n"/>
    </row>
    <row r="953">
      <c r="A953" s="10">
        <f>IF($E953="","",INDEX('Input Transaksi'!$A:$A,$E953))</f>
        <v/>
      </c>
      <c r="B953" s="5">
        <f>IF($E953="","",INDEX('Input Transaksi'!$D:$D,$E953))</f>
        <v/>
      </c>
      <c r="C953">
        <f>IF($E953="","",INDEX('Input Transaksi'!$E:$E,$E953))</f>
        <v/>
      </c>
      <c r="D953" s="5">
        <f>IF($E953="","",INDEX('Input Transaksi'!$F:$F,$E953))</f>
        <v/>
      </c>
      <c r="E953">
        <f>IFERROR(AGGREGATE(15,6,ROW('Input Transaksi'!$B$5:$B$5000)/('Input Transaksi'!$B$5:$B$5000="MONANG MANING"),ROWS($E$5:E953)),"")</f>
        <v/>
      </c>
      <c r="F953" s="5" t="n"/>
    </row>
    <row r="954">
      <c r="A954" s="10">
        <f>IF($E954="","",INDEX('Input Transaksi'!$A:$A,$E954))</f>
        <v/>
      </c>
      <c r="B954" s="5">
        <f>IF($E954="","",INDEX('Input Transaksi'!$D:$D,$E954))</f>
        <v/>
      </c>
      <c r="C954">
        <f>IF($E954="","",INDEX('Input Transaksi'!$E:$E,$E954))</f>
        <v/>
      </c>
      <c r="D954" s="5">
        <f>IF($E954="","",INDEX('Input Transaksi'!$F:$F,$E954))</f>
        <v/>
      </c>
      <c r="E954">
        <f>IFERROR(AGGREGATE(15,6,ROW('Input Transaksi'!$B$5:$B$5000)/('Input Transaksi'!$B$5:$B$5000="MONANG MANING"),ROWS($E$5:E954)),"")</f>
        <v/>
      </c>
      <c r="F954" s="5" t="n"/>
    </row>
    <row r="955">
      <c r="A955" s="10">
        <f>IF($E955="","",INDEX('Input Transaksi'!$A:$A,$E955))</f>
        <v/>
      </c>
      <c r="B955" s="5">
        <f>IF($E955="","",INDEX('Input Transaksi'!$D:$D,$E955))</f>
        <v/>
      </c>
      <c r="C955">
        <f>IF($E955="","",INDEX('Input Transaksi'!$E:$E,$E955))</f>
        <v/>
      </c>
      <c r="D955" s="5">
        <f>IF($E955="","",INDEX('Input Transaksi'!$F:$F,$E955))</f>
        <v/>
      </c>
      <c r="E955">
        <f>IFERROR(AGGREGATE(15,6,ROW('Input Transaksi'!$B$5:$B$5000)/('Input Transaksi'!$B$5:$B$5000="MONANG MANING"),ROWS($E$5:E955)),"")</f>
        <v/>
      </c>
      <c r="F955" s="5" t="n"/>
    </row>
    <row r="956">
      <c r="A956" s="10">
        <f>IF($E956="","",INDEX('Input Transaksi'!$A:$A,$E956))</f>
        <v/>
      </c>
      <c r="B956" s="5">
        <f>IF($E956="","",INDEX('Input Transaksi'!$D:$D,$E956))</f>
        <v/>
      </c>
      <c r="C956">
        <f>IF($E956="","",INDEX('Input Transaksi'!$E:$E,$E956))</f>
        <v/>
      </c>
      <c r="D956" s="5">
        <f>IF($E956="","",INDEX('Input Transaksi'!$F:$F,$E956))</f>
        <v/>
      </c>
      <c r="E956">
        <f>IFERROR(AGGREGATE(15,6,ROW('Input Transaksi'!$B$5:$B$5000)/('Input Transaksi'!$B$5:$B$5000="MONANG MANING"),ROWS($E$5:E956)),"")</f>
        <v/>
      </c>
      <c r="F956" s="5" t="n"/>
    </row>
    <row r="957">
      <c r="A957" s="10">
        <f>IF($E957="","",INDEX('Input Transaksi'!$A:$A,$E957))</f>
        <v/>
      </c>
      <c r="B957" s="5">
        <f>IF($E957="","",INDEX('Input Transaksi'!$D:$D,$E957))</f>
        <v/>
      </c>
      <c r="C957">
        <f>IF($E957="","",INDEX('Input Transaksi'!$E:$E,$E957))</f>
        <v/>
      </c>
      <c r="D957" s="5">
        <f>IF($E957="","",INDEX('Input Transaksi'!$F:$F,$E957))</f>
        <v/>
      </c>
      <c r="E957">
        <f>IFERROR(AGGREGATE(15,6,ROW('Input Transaksi'!$B$5:$B$5000)/('Input Transaksi'!$B$5:$B$5000="MONANG MANING"),ROWS($E$5:E957)),"")</f>
        <v/>
      </c>
      <c r="F957" s="5" t="n"/>
    </row>
    <row r="958">
      <c r="A958" s="10">
        <f>IF($E958="","",INDEX('Input Transaksi'!$A:$A,$E958))</f>
        <v/>
      </c>
      <c r="B958" s="5">
        <f>IF($E958="","",INDEX('Input Transaksi'!$D:$D,$E958))</f>
        <v/>
      </c>
      <c r="C958">
        <f>IF($E958="","",INDEX('Input Transaksi'!$E:$E,$E958))</f>
        <v/>
      </c>
      <c r="D958" s="5">
        <f>IF($E958="","",INDEX('Input Transaksi'!$F:$F,$E958))</f>
        <v/>
      </c>
      <c r="E958">
        <f>IFERROR(AGGREGATE(15,6,ROW('Input Transaksi'!$B$5:$B$5000)/('Input Transaksi'!$B$5:$B$5000="MONANG MANING"),ROWS($E$5:E958)),"")</f>
        <v/>
      </c>
      <c r="F958" s="5" t="n"/>
    </row>
    <row r="959">
      <c r="A959" s="10">
        <f>IF($E959="","",INDEX('Input Transaksi'!$A:$A,$E959))</f>
        <v/>
      </c>
      <c r="B959" s="5">
        <f>IF($E959="","",INDEX('Input Transaksi'!$D:$D,$E959))</f>
        <v/>
      </c>
      <c r="C959">
        <f>IF($E959="","",INDEX('Input Transaksi'!$E:$E,$E959))</f>
        <v/>
      </c>
      <c r="D959" s="5">
        <f>IF($E959="","",INDEX('Input Transaksi'!$F:$F,$E959))</f>
        <v/>
      </c>
      <c r="E959">
        <f>IFERROR(AGGREGATE(15,6,ROW('Input Transaksi'!$B$5:$B$5000)/('Input Transaksi'!$B$5:$B$5000="MONANG MANING"),ROWS($E$5:E959)),"")</f>
        <v/>
      </c>
      <c r="F959" s="5" t="n"/>
    </row>
    <row r="960">
      <c r="A960" s="10">
        <f>IF($E960="","",INDEX('Input Transaksi'!$A:$A,$E960))</f>
        <v/>
      </c>
      <c r="B960" s="5">
        <f>IF($E960="","",INDEX('Input Transaksi'!$D:$D,$E960))</f>
        <v/>
      </c>
      <c r="C960">
        <f>IF($E960="","",INDEX('Input Transaksi'!$E:$E,$E960))</f>
        <v/>
      </c>
      <c r="D960" s="5">
        <f>IF($E960="","",INDEX('Input Transaksi'!$F:$F,$E960))</f>
        <v/>
      </c>
      <c r="E960">
        <f>IFERROR(AGGREGATE(15,6,ROW('Input Transaksi'!$B$5:$B$5000)/('Input Transaksi'!$B$5:$B$5000="MONANG MANING"),ROWS($E$5:E960)),"")</f>
        <v/>
      </c>
      <c r="F960" s="5" t="n"/>
    </row>
    <row r="961">
      <c r="A961" s="10">
        <f>IF($E961="","",INDEX('Input Transaksi'!$A:$A,$E961))</f>
        <v/>
      </c>
      <c r="B961" s="5">
        <f>IF($E961="","",INDEX('Input Transaksi'!$D:$D,$E961))</f>
        <v/>
      </c>
      <c r="C961">
        <f>IF($E961="","",INDEX('Input Transaksi'!$E:$E,$E961))</f>
        <v/>
      </c>
      <c r="D961" s="5">
        <f>IF($E961="","",INDEX('Input Transaksi'!$F:$F,$E961))</f>
        <v/>
      </c>
      <c r="E961">
        <f>IFERROR(AGGREGATE(15,6,ROW('Input Transaksi'!$B$5:$B$5000)/('Input Transaksi'!$B$5:$B$5000="MONANG MANING"),ROWS($E$5:E961)),"")</f>
        <v/>
      </c>
      <c r="F961" s="5" t="n"/>
    </row>
    <row r="962">
      <c r="A962" s="10">
        <f>IF($E962="","",INDEX('Input Transaksi'!$A:$A,$E962))</f>
        <v/>
      </c>
      <c r="B962" s="5">
        <f>IF($E962="","",INDEX('Input Transaksi'!$D:$D,$E962))</f>
        <v/>
      </c>
      <c r="C962">
        <f>IF($E962="","",INDEX('Input Transaksi'!$E:$E,$E962))</f>
        <v/>
      </c>
      <c r="D962" s="5">
        <f>IF($E962="","",INDEX('Input Transaksi'!$F:$F,$E962))</f>
        <v/>
      </c>
      <c r="E962">
        <f>IFERROR(AGGREGATE(15,6,ROW('Input Transaksi'!$B$5:$B$5000)/('Input Transaksi'!$B$5:$B$5000="MONANG MANING"),ROWS($E$5:E962)),"")</f>
        <v/>
      </c>
      <c r="F962" s="5" t="n"/>
    </row>
    <row r="963">
      <c r="A963" s="10">
        <f>IF($E963="","",INDEX('Input Transaksi'!$A:$A,$E963))</f>
        <v/>
      </c>
      <c r="B963" s="5">
        <f>IF($E963="","",INDEX('Input Transaksi'!$D:$D,$E963))</f>
        <v/>
      </c>
      <c r="C963">
        <f>IF($E963="","",INDEX('Input Transaksi'!$E:$E,$E963))</f>
        <v/>
      </c>
      <c r="D963" s="5">
        <f>IF($E963="","",INDEX('Input Transaksi'!$F:$F,$E963))</f>
        <v/>
      </c>
      <c r="E963">
        <f>IFERROR(AGGREGATE(15,6,ROW('Input Transaksi'!$B$5:$B$5000)/('Input Transaksi'!$B$5:$B$5000="MONANG MANING"),ROWS($E$5:E963)),"")</f>
        <v/>
      </c>
      <c r="F963" s="5" t="n"/>
    </row>
    <row r="964">
      <c r="A964" s="10">
        <f>IF($E964="","",INDEX('Input Transaksi'!$A:$A,$E964))</f>
        <v/>
      </c>
      <c r="B964" s="5">
        <f>IF($E964="","",INDEX('Input Transaksi'!$D:$D,$E964))</f>
        <v/>
      </c>
      <c r="C964">
        <f>IF($E964="","",INDEX('Input Transaksi'!$E:$E,$E964))</f>
        <v/>
      </c>
      <c r="D964" s="5">
        <f>IF($E964="","",INDEX('Input Transaksi'!$F:$F,$E964))</f>
        <v/>
      </c>
      <c r="E964">
        <f>IFERROR(AGGREGATE(15,6,ROW('Input Transaksi'!$B$5:$B$5000)/('Input Transaksi'!$B$5:$B$5000="MONANG MANING"),ROWS($E$5:E964)),"")</f>
        <v/>
      </c>
      <c r="F964" s="5" t="n"/>
    </row>
    <row r="965">
      <c r="A965" s="10">
        <f>IF($E965="","",INDEX('Input Transaksi'!$A:$A,$E965))</f>
        <v/>
      </c>
      <c r="B965" s="5">
        <f>IF($E965="","",INDEX('Input Transaksi'!$D:$D,$E965))</f>
        <v/>
      </c>
      <c r="C965">
        <f>IF($E965="","",INDEX('Input Transaksi'!$E:$E,$E965))</f>
        <v/>
      </c>
      <c r="D965" s="5">
        <f>IF($E965="","",INDEX('Input Transaksi'!$F:$F,$E965))</f>
        <v/>
      </c>
      <c r="E965">
        <f>IFERROR(AGGREGATE(15,6,ROW('Input Transaksi'!$B$5:$B$5000)/('Input Transaksi'!$B$5:$B$5000="MONANG MANING"),ROWS($E$5:E965)),"")</f>
        <v/>
      </c>
      <c r="F965" s="5" t="n"/>
    </row>
    <row r="966">
      <c r="A966" s="10">
        <f>IF($E966="","",INDEX('Input Transaksi'!$A:$A,$E966))</f>
        <v/>
      </c>
      <c r="B966" s="5">
        <f>IF($E966="","",INDEX('Input Transaksi'!$D:$D,$E966))</f>
        <v/>
      </c>
      <c r="C966">
        <f>IF($E966="","",INDEX('Input Transaksi'!$E:$E,$E966))</f>
        <v/>
      </c>
      <c r="D966" s="5">
        <f>IF($E966="","",INDEX('Input Transaksi'!$F:$F,$E966))</f>
        <v/>
      </c>
      <c r="E966">
        <f>IFERROR(AGGREGATE(15,6,ROW('Input Transaksi'!$B$5:$B$5000)/('Input Transaksi'!$B$5:$B$5000="MONANG MANING"),ROWS($E$5:E966)),"")</f>
        <v/>
      </c>
      <c r="F966" s="5" t="n"/>
    </row>
    <row r="967">
      <c r="A967" s="10">
        <f>IF($E967="","",INDEX('Input Transaksi'!$A:$A,$E967))</f>
        <v/>
      </c>
      <c r="B967" s="5">
        <f>IF($E967="","",INDEX('Input Transaksi'!$D:$D,$E967))</f>
        <v/>
      </c>
      <c r="C967">
        <f>IF($E967="","",INDEX('Input Transaksi'!$E:$E,$E967))</f>
        <v/>
      </c>
      <c r="D967" s="5">
        <f>IF($E967="","",INDEX('Input Transaksi'!$F:$F,$E967))</f>
        <v/>
      </c>
      <c r="E967">
        <f>IFERROR(AGGREGATE(15,6,ROW('Input Transaksi'!$B$5:$B$5000)/('Input Transaksi'!$B$5:$B$5000="MONANG MANING"),ROWS($E$5:E967)),"")</f>
        <v/>
      </c>
      <c r="F967" s="5" t="n"/>
    </row>
    <row r="968">
      <c r="A968" s="10">
        <f>IF($E968="","",INDEX('Input Transaksi'!$A:$A,$E968))</f>
        <v/>
      </c>
      <c r="B968" s="5">
        <f>IF($E968="","",INDEX('Input Transaksi'!$D:$D,$E968))</f>
        <v/>
      </c>
      <c r="C968">
        <f>IF($E968="","",INDEX('Input Transaksi'!$E:$E,$E968))</f>
        <v/>
      </c>
      <c r="D968" s="5">
        <f>IF($E968="","",INDEX('Input Transaksi'!$F:$F,$E968))</f>
        <v/>
      </c>
      <c r="E968">
        <f>IFERROR(AGGREGATE(15,6,ROW('Input Transaksi'!$B$5:$B$5000)/('Input Transaksi'!$B$5:$B$5000="MONANG MANING"),ROWS($E$5:E968)),"")</f>
        <v/>
      </c>
      <c r="F968" s="5" t="n"/>
    </row>
    <row r="969">
      <c r="A969" s="10">
        <f>IF($E969="","",INDEX('Input Transaksi'!$A:$A,$E969))</f>
        <v/>
      </c>
      <c r="B969" s="5">
        <f>IF($E969="","",INDEX('Input Transaksi'!$D:$D,$E969))</f>
        <v/>
      </c>
      <c r="C969">
        <f>IF($E969="","",INDEX('Input Transaksi'!$E:$E,$E969))</f>
        <v/>
      </c>
      <c r="D969" s="5">
        <f>IF($E969="","",INDEX('Input Transaksi'!$F:$F,$E969))</f>
        <v/>
      </c>
      <c r="E969">
        <f>IFERROR(AGGREGATE(15,6,ROW('Input Transaksi'!$B$5:$B$5000)/('Input Transaksi'!$B$5:$B$5000="MONANG MANING"),ROWS($E$5:E969)),"")</f>
        <v/>
      </c>
      <c r="F969" s="5" t="n"/>
    </row>
    <row r="970">
      <c r="A970" s="10">
        <f>IF($E970="","",INDEX('Input Transaksi'!$A:$A,$E970))</f>
        <v/>
      </c>
      <c r="B970" s="5">
        <f>IF($E970="","",INDEX('Input Transaksi'!$D:$D,$E970))</f>
        <v/>
      </c>
      <c r="C970">
        <f>IF($E970="","",INDEX('Input Transaksi'!$E:$E,$E970))</f>
        <v/>
      </c>
      <c r="D970" s="5">
        <f>IF($E970="","",INDEX('Input Transaksi'!$F:$F,$E970))</f>
        <v/>
      </c>
      <c r="E970">
        <f>IFERROR(AGGREGATE(15,6,ROW('Input Transaksi'!$B$5:$B$5000)/('Input Transaksi'!$B$5:$B$5000="MONANG MANING"),ROWS($E$5:E970)),"")</f>
        <v/>
      </c>
      <c r="F970" s="5" t="n"/>
    </row>
    <row r="971">
      <c r="A971" s="10">
        <f>IF($E971="","",INDEX('Input Transaksi'!$A:$A,$E971))</f>
        <v/>
      </c>
      <c r="B971" s="5">
        <f>IF($E971="","",INDEX('Input Transaksi'!$D:$D,$E971))</f>
        <v/>
      </c>
      <c r="C971">
        <f>IF($E971="","",INDEX('Input Transaksi'!$E:$E,$E971))</f>
        <v/>
      </c>
      <c r="D971" s="5">
        <f>IF($E971="","",INDEX('Input Transaksi'!$F:$F,$E971))</f>
        <v/>
      </c>
      <c r="E971">
        <f>IFERROR(AGGREGATE(15,6,ROW('Input Transaksi'!$B$5:$B$5000)/('Input Transaksi'!$B$5:$B$5000="MONANG MANING"),ROWS($E$5:E971)),"")</f>
        <v/>
      </c>
      <c r="F971" s="5" t="n"/>
    </row>
    <row r="972">
      <c r="A972" s="10">
        <f>IF($E972="","",INDEX('Input Transaksi'!$A:$A,$E972))</f>
        <v/>
      </c>
      <c r="B972" s="5">
        <f>IF($E972="","",INDEX('Input Transaksi'!$D:$D,$E972))</f>
        <v/>
      </c>
      <c r="C972">
        <f>IF($E972="","",INDEX('Input Transaksi'!$E:$E,$E972))</f>
        <v/>
      </c>
      <c r="D972" s="5">
        <f>IF($E972="","",INDEX('Input Transaksi'!$F:$F,$E972))</f>
        <v/>
      </c>
      <c r="E972">
        <f>IFERROR(AGGREGATE(15,6,ROW('Input Transaksi'!$B$5:$B$5000)/('Input Transaksi'!$B$5:$B$5000="MONANG MANING"),ROWS($E$5:E972)),"")</f>
        <v/>
      </c>
      <c r="F972" s="5" t="n"/>
    </row>
    <row r="973">
      <c r="A973" s="10">
        <f>IF($E973="","",INDEX('Input Transaksi'!$A:$A,$E973))</f>
        <v/>
      </c>
      <c r="B973" s="5">
        <f>IF($E973="","",INDEX('Input Transaksi'!$D:$D,$E973))</f>
        <v/>
      </c>
      <c r="C973">
        <f>IF($E973="","",INDEX('Input Transaksi'!$E:$E,$E973))</f>
        <v/>
      </c>
      <c r="D973" s="5">
        <f>IF($E973="","",INDEX('Input Transaksi'!$F:$F,$E973))</f>
        <v/>
      </c>
      <c r="E973">
        <f>IFERROR(AGGREGATE(15,6,ROW('Input Transaksi'!$B$5:$B$5000)/('Input Transaksi'!$B$5:$B$5000="MONANG MANING"),ROWS($E$5:E973)),"")</f>
        <v/>
      </c>
      <c r="F973" s="5" t="n"/>
    </row>
    <row r="974">
      <c r="A974" s="10">
        <f>IF($E974="","",INDEX('Input Transaksi'!$A:$A,$E974))</f>
        <v/>
      </c>
      <c r="B974" s="5">
        <f>IF($E974="","",INDEX('Input Transaksi'!$D:$D,$E974))</f>
        <v/>
      </c>
      <c r="C974">
        <f>IF($E974="","",INDEX('Input Transaksi'!$E:$E,$E974))</f>
        <v/>
      </c>
      <c r="D974" s="5">
        <f>IF($E974="","",INDEX('Input Transaksi'!$F:$F,$E974))</f>
        <v/>
      </c>
      <c r="E974">
        <f>IFERROR(AGGREGATE(15,6,ROW('Input Transaksi'!$B$5:$B$5000)/('Input Transaksi'!$B$5:$B$5000="MONANG MANING"),ROWS($E$5:E974)),"")</f>
        <v/>
      </c>
      <c r="F974" s="5" t="n"/>
    </row>
    <row r="975">
      <c r="A975" s="10">
        <f>IF($E975="","",INDEX('Input Transaksi'!$A:$A,$E975))</f>
        <v/>
      </c>
      <c r="B975" s="5">
        <f>IF($E975="","",INDEX('Input Transaksi'!$D:$D,$E975))</f>
        <v/>
      </c>
      <c r="C975">
        <f>IF($E975="","",INDEX('Input Transaksi'!$E:$E,$E975))</f>
        <v/>
      </c>
      <c r="D975" s="5">
        <f>IF($E975="","",INDEX('Input Transaksi'!$F:$F,$E975))</f>
        <v/>
      </c>
      <c r="E975">
        <f>IFERROR(AGGREGATE(15,6,ROW('Input Transaksi'!$B$5:$B$5000)/('Input Transaksi'!$B$5:$B$5000="MONANG MANING"),ROWS($E$5:E975)),"")</f>
        <v/>
      </c>
      <c r="F975" s="5" t="n"/>
    </row>
    <row r="976">
      <c r="A976" s="10">
        <f>IF($E976="","",INDEX('Input Transaksi'!$A:$A,$E976))</f>
        <v/>
      </c>
      <c r="B976" s="5">
        <f>IF($E976="","",INDEX('Input Transaksi'!$D:$D,$E976))</f>
        <v/>
      </c>
      <c r="C976">
        <f>IF($E976="","",INDEX('Input Transaksi'!$E:$E,$E976))</f>
        <v/>
      </c>
      <c r="D976" s="5">
        <f>IF($E976="","",INDEX('Input Transaksi'!$F:$F,$E976))</f>
        <v/>
      </c>
      <c r="E976">
        <f>IFERROR(AGGREGATE(15,6,ROW('Input Transaksi'!$B$5:$B$5000)/('Input Transaksi'!$B$5:$B$5000="MONANG MANING"),ROWS($E$5:E976)),"")</f>
        <v/>
      </c>
      <c r="F976" s="5" t="n"/>
    </row>
    <row r="977">
      <c r="A977" s="10">
        <f>IF($E977="","",INDEX('Input Transaksi'!$A:$A,$E977))</f>
        <v/>
      </c>
      <c r="B977" s="5">
        <f>IF($E977="","",INDEX('Input Transaksi'!$D:$D,$E977))</f>
        <v/>
      </c>
      <c r="C977">
        <f>IF($E977="","",INDEX('Input Transaksi'!$E:$E,$E977))</f>
        <v/>
      </c>
      <c r="D977" s="5">
        <f>IF($E977="","",INDEX('Input Transaksi'!$F:$F,$E977))</f>
        <v/>
      </c>
      <c r="E977">
        <f>IFERROR(AGGREGATE(15,6,ROW('Input Transaksi'!$B$5:$B$5000)/('Input Transaksi'!$B$5:$B$5000="MONANG MANING"),ROWS($E$5:E977)),"")</f>
        <v/>
      </c>
      <c r="F977" s="5" t="n"/>
    </row>
    <row r="978">
      <c r="A978" s="10">
        <f>IF($E978="","",INDEX('Input Transaksi'!$A:$A,$E978))</f>
        <v/>
      </c>
      <c r="B978" s="5">
        <f>IF($E978="","",INDEX('Input Transaksi'!$D:$D,$E978))</f>
        <v/>
      </c>
      <c r="C978">
        <f>IF($E978="","",INDEX('Input Transaksi'!$E:$E,$E978))</f>
        <v/>
      </c>
      <c r="D978" s="5">
        <f>IF($E978="","",INDEX('Input Transaksi'!$F:$F,$E978))</f>
        <v/>
      </c>
      <c r="E978">
        <f>IFERROR(AGGREGATE(15,6,ROW('Input Transaksi'!$B$5:$B$5000)/('Input Transaksi'!$B$5:$B$5000="MONANG MANING"),ROWS($E$5:E978)),"")</f>
        <v/>
      </c>
      <c r="F978" s="5" t="n"/>
    </row>
    <row r="979">
      <c r="A979" s="10">
        <f>IF($E979="","",INDEX('Input Transaksi'!$A:$A,$E979))</f>
        <v/>
      </c>
      <c r="B979" s="5">
        <f>IF($E979="","",INDEX('Input Transaksi'!$D:$D,$E979))</f>
        <v/>
      </c>
      <c r="C979">
        <f>IF($E979="","",INDEX('Input Transaksi'!$E:$E,$E979))</f>
        <v/>
      </c>
      <c r="D979" s="5">
        <f>IF($E979="","",INDEX('Input Transaksi'!$F:$F,$E979))</f>
        <v/>
      </c>
      <c r="E979">
        <f>IFERROR(AGGREGATE(15,6,ROW('Input Transaksi'!$B$5:$B$5000)/('Input Transaksi'!$B$5:$B$5000="MONANG MANING"),ROWS($E$5:E979)),"")</f>
        <v/>
      </c>
      <c r="F979" s="5" t="n"/>
    </row>
    <row r="980">
      <c r="A980" s="10">
        <f>IF($E980="","",INDEX('Input Transaksi'!$A:$A,$E980))</f>
        <v/>
      </c>
      <c r="B980" s="5">
        <f>IF($E980="","",INDEX('Input Transaksi'!$D:$D,$E980))</f>
        <v/>
      </c>
      <c r="C980">
        <f>IF($E980="","",INDEX('Input Transaksi'!$E:$E,$E980))</f>
        <v/>
      </c>
      <c r="D980" s="5">
        <f>IF($E980="","",INDEX('Input Transaksi'!$F:$F,$E980))</f>
        <v/>
      </c>
      <c r="E980">
        <f>IFERROR(AGGREGATE(15,6,ROW('Input Transaksi'!$B$5:$B$5000)/('Input Transaksi'!$B$5:$B$5000="MONANG MANING"),ROWS($E$5:E980)),"")</f>
        <v/>
      </c>
      <c r="F980" s="5" t="n"/>
    </row>
    <row r="981">
      <c r="A981" s="10">
        <f>IF($E981="","",INDEX('Input Transaksi'!$A:$A,$E981))</f>
        <v/>
      </c>
      <c r="B981" s="5">
        <f>IF($E981="","",INDEX('Input Transaksi'!$D:$D,$E981))</f>
        <v/>
      </c>
      <c r="C981">
        <f>IF($E981="","",INDEX('Input Transaksi'!$E:$E,$E981))</f>
        <v/>
      </c>
      <c r="D981" s="5">
        <f>IF($E981="","",INDEX('Input Transaksi'!$F:$F,$E981))</f>
        <v/>
      </c>
      <c r="E981">
        <f>IFERROR(AGGREGATE(15,6,ROW('Input Transaksi'!$B$5:$B$5000)/('Input Transaksi'!$B$5:$B$5000="MONANG MANING"),ROWS($E$5:E981)),"")</f>
        <v/>
      </c>
      <c r="F981" s="5" t="n"/>
    </row>
    <row r="982">
      <c r="A982" s="10">
        <f>IF($E982="","",INDEX('Input Transaksi'!$A:$A,$E982))</f>
        <v/>
      </c>
      <c r="B982" s="5">
        <f>IF($E982="","",INDEX('Input Transaksi'!$D:$D,$E982))</f>
        <v/>
      </c>
      <c r="C982">
        <f>IF($E982="","",INDEX('Input Transaksi'!$E:$E,$E982))</f>
        <v/>
      </c>
      <c r="D982" s="5">
        <f>IF($E982="","",INDEX('Input Transaksi'!$F:$F,$E982))</f>
        <v/>
      </c>
      <c r="E982">
        <f>IFERROR(AGGREGATE(15,6,ROW('Input Transaksi'!$B$5:$B$5000)/('Input Transaksi'!$B$5:$B$5000="MONANG MANING"),ROWS($E$5:E982)),"")</f>
        <v/>
      </c>
      <c r="F982" s="5" t="n"/>
    </row>
    <row r="983">
      <c r="A983" s="10">
        <f>IF($E983="","",INDEX('Input Transaksi'!$A:$A,$E983))</f>
        <v/>
      </c>
      <c r="B983" s="5">
        <f>IF($E983="","",INDEX('Input Transaksi'!$D:$D,$E983))</f>
        <v/>
      </c>
      <c r="C983">
        <f>IF($E983="","",INDEX('Input Transaksi'!$E:$E,$E983))</f>
        <v/>
      </c>
      <c r="D983" s="5">
        <f>IF($E983="","",INDEX('Input Transaksi'!$F:$F,$E983))</f>
        <v/>
      </c>
      <c r="E983">
        <f>IFERROR(AGGREGATE(15,6,ROW('Input Transaksi'!$B$5:$B$5000)/('Input Transaksi'!$B$5:$B$5000="MONANG MANING"),ROWS($E$5:E983)),"")</f>
        <v/>
      </c>
      <c r="F983" s="5" t="n"/>
    </row>
    <row r="984">
      <c r="A984" s="10">
        <f>IF($E984="","",INDEX('Input Transaksi'!$A:$A,$E984))</f>
        <v/>
      </c>
      <c r="B984" s="5">
        <f>IF($E984="","",INDEX('Input Transaksi'!$D:$D,$E984))</f>
        <v/>
      </c>
      <c r="C984">
        <f>IF($E984="","",INDEX('Input Transaksi'!$E:$E,$E984))</f>
        <v/>
      </c>
      <c r="D984" s="5">
        <f>IF($E984="","",INDEX('Input Transaksi'!$F:$F,$E984))</f>
        <v/>
      </c>
      <c r="E984">
        <f>IFERROR(AGGREGATE(15,6,ROW('Input Transaksi'!$B$5:$B$5000)/('Input Transaksi'!$B$5:$B$5000="MONANG MANING"),ROWS($E$5:E984)),"")</f>
        <v/>
      </c>
      <c r="F984" s="5" t="n"/>
    </row>
    <row r="985">
      <c r="A985" s="10">
        <f>IF($E985="","",INDEX('Input Transaksi'!$A:$A,$E985))</f>
        <v/>
      </c>
      <c r="B985" s="5">
        <f>IF($E985="","",INDEX('Input Transaksi'!$D:$D,$E985))</f>
        <v/>
      </c>
      <c r="C985">
        <f>IF($E985="","",INDEX('Input Transaksi'!$E:$E,$E985))</f>
        <v/>
      </c>
      <c r="D985" s="5">
        <f>IF($E985="","",INDEX('Input Transaksi'!$F:$F,$E985))</f>
        <v/>
      </c>
      <c r="E985">
        <f>IFERROR(AGGREGATE(15,6,ROW('Input Transaksi'!$B$5:$B$5000)/('Input Transaksi'!$B$5:$B$5000="MONANG MANING"),ROWS($E$5:E985)),"")</f>
        <v/>
      </c>
      <c r="F985" s="5" t="n"/>
    </row>
    <row r="986">
      <c r="A986" s="10">
        <f>IF($E986="","",INDEX('Input Transaksi'!$A:$A,$E986))</f>
        <v/>
      </c>
      <c r="B986" s="5">
        <f>IF($E986="","",INDEX('Input Transaksi'!$D:$D,$E986))</f>
        <v/>
      </c>
      <c r="C986">
        <f>IF($E986="","",INDEX('Input Transaksi'!$E:$E,$E986))</f>
        <v/>
      </c>
      <c r="D986" s="5">
        <f>IF($E986="","",INDEX('Input Transaksi'!$F:$F,$E986))</f>
        <v/>
      </c>
      <c r="E986">
        <f>IFERROR(AGGREGATE(15,6,ROW('Input Transaksi'!$B$5:$B$5000)/('Input Transaksi'!$B$5:$B$5000="MONANG MANING"),ROWS($E$5:E986)),"")</f>
        <v/>
      </c>
      <c r="F986" s="5" t="n"/>
    </row>
    <row r="987">
      <c r="A987" s="10">
        <f>IF($E987="","",INDEX('Input Transaksi'!$A:$A,$E987))</f>
        <v/>
      </c>
      <c r="B987" s="5">
        <f>IF($E987="","",INDEX('Input Transaksi'!$D:$D,$E987))</f>
        <v/>
      </c>
      <c r="C987">
        <f>IF($E987="","",INDEX('Input Transaksi'!$E:$E,$E987))</f>
        <v/>
      </c>
      <c r="D987" s="5">
        <f>IF($E987="","",INDEX('Input Transaksi'!$F:$F,$E987))</f>
        <v/>
      </c>
      <c r="E987">
        <f>IFERROR(AGGREGATE(15,6,ROW('Input Transaksi'!$B$5:$B$5000)/('Input Transaksi'!$B$5:$B$5000="MONANG MANING"),ROWS($E$5:E987)),"")</f>
        <v/>
      </c>
      <c r="F987" s="5" t="n"/>
    </row>
    <row r="988">
      <c r="A988" s="10">
        <f>IF($E988="","",INDEX('Input Transaksi'!$A:$A,$E988))</f>
        <v/>
      </c>
      <c r="B988" s="5">
        <f>IF($E988="","",INDEX('Input Transaksi'!$D:$D,$E988))</f>
        <v/>
      </c>
      <c r="C988">
        <f>IF($E988="","",INDEX('Input Transaksi'!$E:$E,$E988))</f>
        <v/>
      </c>
      <c r="D988" s="5">
        <f>IF($E988="","",INDEX('Input Transaksi'!$F:$F,$E988))</f>
        <v/>
      </c>
      <c r="E988">
        <f>IFERROR(AGGREGATE(15,6,ROW('Input Transaksi'!$B$5:$B$5000)/('Input Transaksi'!$B$5:$B$5000="MONANG MANING"),ROWS($E$5:E988)),"")</f>
        <v/>
      </c>
      <c r="F988" s="5" t="n"/>
    </row>
    <row r="989">
      <c r="A989" s="10">
        <f>IF($E989="","",INDEX('Input Transaksi'!$A:$A,$E989))</f>
        <v/>
      </c>
      <c r="B989" s="5">
        <f>IF($E989="","",INDEX('Input Transaksi'!$D:$D,$E989))</f>
        <v/>
      </c>
      <c r="C989">
        <f>IF($E989="","",INDEX('Input Transaksi'!$E:$E,$E989))</f>
        <v/>
      </c>
      <c r="D989" s="5">
        <f>IF($E989="","",INDEX('Input Transaksi'!$F:$F,$E989))</f>
        <v/>
      </c>
      <c r="E989">
        <f>IFERROR(AGGREGATE(15,6,ROW('Input Transaksi'!$B$5:$B$5000)/('Input Transaksi'!$B$5:$B$5000="MONANG MANING"),ROWS($E$5:E989)),"")</f>
        <v/>
      </c>
      <c r="F989" s="5" t="n"/>
    </row>
    <row r="990">
      <c r="A990" s="10">
        <f>IF($E990="","",INDEX('Input Transaksi'!$A:$A,$E990))</f>
        <v/>
      </c>
      <c r="B990" s="5">
        <f>IF($E990="","",INDEX('Input Transaksi'!$D:$D,$E990))</f>
        <v/>
      </c>
      <c r="C990">
        <f>IF($E990="","",INDEX('Input Transaksi'!$E:$E,$E990))</f>
        <v/>
      </c>
      <c r="D990" s="5">
        <f>IF($E990="","",INDEX('Input Transaksi'!$F:$F,$E990))</f>
        <v/>
      </c>
      <c r="E990">
        <f>IFERROR(AGGREGATE(15,6,ROW('Input Transaksi'!$B$5:$B$5000)/('Input Transaksi'!$B$5:$B$5000="MONANG MANING"),ROWS($E$5:E990)),"")</f>
        <v/>
      </c>
      <c r="F990" s="5" t="n"/>
    </row>
    <row r="991">
      <c r="A991" s="10">
        <f>IF($E991="","",INDEX('Input Transaksi'!$A:$A,$E991))</f>
        <v/>
      </c>
      <c r="B991" s="5">
        <f>IF($E991="","",INDEX('Input Transaksi'!$D:$D,$E991))</f>
        <v/>
      </c>
      <c r="C991">
        <f>IF($E991="","",INDEX('Input Transaksi'!$E:$E,$E991))</f>
        <v/>
      </c>
      <c r="D991" s="5">
        <f>IF($E991="","",INDEX('Input Transaksi'!$F:$F,$E991))</f>
        <v/>
      </c>
      <c r="E991">
        <f>IFERROR(AGGREGATE(15,6,ROW('Input Transaksi'!$B$5:$B$5000)/('Input Transaksi'!$B$5:$B$5000="MONANG MANING"),ROWS($E$5:E991)),"")</f>
        <v/>
      </c>
      <c r="F991" s="5" t="n"/>
    </row>
    <row r="992">
      <c r="A992" s="10">
        <f>IF($E992="","",INDEX('Input Transaksi'!$A:$A,$E992))</f>
        <v/>
      </c>
      <c r="B992" s="5">
        <f>IF($E992="","",INDEX('Input Transaksi'!$D:$D,$E992))</f>
        <v/>
      </c>
      <c r="C992">
        <f>IF($E992="","",INDEX('Input Transaksi'!$E:$E,$E992))</f>
        <v/>
      </c>
      <c r="D992" s="5">
        <f>IF($E992="","",INDEX('Input Transaksi'!$F:$F,$E992))</f>
        <v/>
      </c>
      <c r="E992">
        <f>IFERROR(AGGREGATE(15,6,ROW('Input Transaksi'!$B$5:$B$5000)/('Input Transaksi'!$B$5:$B$5000="MONANG MANING"),ROWS($E$5:E992)),"")</f>
        <v/>
      </c>
      <c r="F992" s="5" t="n"/>
    </row>
    <row r="993">
      <c r="A993" s="10">
        <f>IF($E993="","",INDEX('Input Transaksi'!$A:$A,$E993))</f>
        <v/>
      </c>
      <c r="B993" s="5">
        <f>IF($E993="","",INDEX('Input Transaksi'!$D:$D,$E993))</f>
        <v/>
      </c>
      <c r="C993">
        <f>IF($E993="","",INDEX('Input Transaksi'!$E:$E,$E993))</f>
        <v/>
      </c>
      <c r="D993" s="5">
        <f>IF($E993="","",INDEX('Input Transaksi'!$F:$F,$E993))</f>
        <v/>
      </c>
      <c r="E993">
        <f>IFERROR(AGGREGATE(15,6,ROW('Input Transaksi'!$B$5:$B$5000)/('Input Transaksi'!$B$5:$B$5000="MONANG MANING"),ROWS($E$5:E993)),"")</f>
        <v/>
      </c>
      <c r="F993" s="5" t="n"/>
    </row>
    <row r="994">
      <c r="A994" s="10">
        <f>IF($E994="","",INDEX('Input Transaksi'!$A:$A,$E994))</f>
        <v/>
      </c>
      <c r="B994" s="5">
        <f>IF($E994="","",INDEX('Input Transaksi'!$D:$D,$E994))</f>
        <v/>
      </c>
      <c r="C994">
        <f>IF($E994="","",INDEX('Input Transaksi'!$E:$E,$E994))</f>
        <v/>
      </c>
      <c r="D994" s="5">
        <f>IF($E994="","",INDEX('Input Transaksi'!$F:$F,$E994))</f>
        <v/>
      </c>
      <c r="E994">
        <f>IFERROR(AGGREGATE(15,6,ROW('Input Transaksi'!$B$5:$B$5000)/('Input Transaksi'!$B$5:$B$5000="MONANG MANING"),ROWS($E$5:E994)),"")</f>
        <v/>
      </c>
      <c r="F994" s="5" t="n"/>
    </row>
    <row r="995">
      <c r="A995" s="10">
        <f>IF($E995="","",INDEX('Input Transaksi'!$A:$A,$E995))</f>
        <v/>
      </c>
      <c r="B995" s="5">
        <f>IF($E995="","",INDEX('Input Transaksi'!$D:$D,$E995))</f>
        <v/>
      </c>
      <c r="C995">
        <f>IF($E995="","",INDEX('Input Transaksi'!$E:$E,$E995))</f>
        <v/>
      </c>
      <c r="D995" s="5">
        <f>IF($E995="","",INDEX('Input Transaksi'!$F:$F,$E995))</f>
        <v/>
      </c>
      <c r="E995">
        <f>IFERROR(AGGREGATE(15,6,ROW('Input Transaksi'!$B$5:$B$5000)/('Input Transaksi'!$B$5:$B$5000="MONANG MANING"),ROWS($E$5:E995)),"")</f>
        <v/>
      </c>
      <c r="F995" s="5" t="n"/>
    </row>
    <row r="996">
      <c r="A996" s="10">
        <f>IF($E996="","",INDEX('Input Transaksi'!$A:$A,$E996))</f>
        <v/>
      </c>
      <c r="B996" s="5">
        <f>IF($E996="","",INDEX('Input Transaksi'!$D:$D,$E996))</f>
        <v/>
      </c>
      <c r="C996">
        <f>IF($E996="","",INDEX('Input Transaksi'!$E:$E,$E996))</f>
        <v/>
      </c>
      <c r="D996" s="5">
        <f>IF($E996="","",INDEX('Input Transaksi'!$F:$F,$E996))</f>
        <v/>
      </c>
      <c r="E996">
        <f>IFERROR(AGGREGATE(15,6,ROW('Input Transaksi'!$B$5:$B$5000)/('Input Transaksi'!$B$5:$B$5000="MONANG MANING"),ROWS($E$5:E996)),"")</f>
        <v/>
      </c>
      <c r="F996" s="5" t="n"/>
    </row>
    <row r="997">
      <c r="A997" s="10">
        <f>IF($E997="","",INDEX('Input Transaksi'!$A:$A,$E997))</f>
        <v/>
      </c>
      <c r="B997" s="5">
        <f>IF($E997="","",INDEX('Input Transaksi'!$D:$D,$E997))</f>
        <v/>
      </c>
      <c r="C997">
        <f>IF($E997="","",INDEX('Input Transaksi'!$E:$E,$E997))</f>
        <v/>
      </c>
      <c r="D997" s="5">
        <f>IF($E997="","",INDEX('Input Transaksi'!$F:$F,$E997))</f>
        <v/>
      </c>
      <c r="E997">
        <f>IFERROR(AGGREGATE(15,6,ROW('Input Transaksi'!$B$5:$B$5000)/('Input Transaksi'!$B$5:$B$5000="MONANG MANING"),ROWS($E$5:E997)),"")</f>
        <v/>
      </c>
      <c r="F997" s="5" t="n"/>
    </row>
    <row r="998">
      <c r="A998" s="10">
        <f>IF($E998="","",INDEX('Input Transaksi'!$A:$A,$E998))</f>
        <v/>
      </c>
      <c r="B998" s="5">
        <f>IF($E998="","",INDEX('Input Transaksi'!$D:$D,$E998))</f>
        <v/>
      </c>
      <c r="C998">
        <f>IF($E998="","",INDEX('Input Transaksi'!$E:$E,$E998))</f>
        <v/>
      </c>
      <c r="D998" s="5">
        <f>IF($E998="","",INDEX('Input Transaksi'!$F:$F,$E998))</f>
        <v/>
      </c>
      <c r="E998">
        <f>IFERROR(AGGREGATE(15,6,ROW('Input Transaksi'!$B$5:$B$5000)/('Input Transaksi'!$B$5:$B$5000="MONANG MANING"),ROWS($E$5:E998)),"")</f>
        <v/>
      </c>
      <c r="F998" s="5" t="n"/>
    </row>
    <row r="999">
      <c r="A999" s="10">
        <f>IF($E999="","",INDEX('Input Transaksi'!$A:$A,$E999))</f>
        <v/>
      </c>
      <c r="B999" s="5">
        <f>IF($E999="","",INDEX('Input Transaksi'!$D:$D,$E999))</f>
        <v/>
      </c>
      <c r="C999">
        <f>IF($E999="","",INDEX('Input Transaksi'!$E:$E,$E999))</f>
        <v/>
      </c>
      <c r="D999" s="5">
        <f>IF($E999="","",INDEX('Input Transaksi'!$F:$F,$E999))</f>
        <v/>
      </c>
      <c r="E999">
        <f>IFERROR(AGGREGATE(15,6,ROW('Input Transaksi'!$B$5:$B$5000)/('Input Transaksi'!$B$5:$B$5000="MONANG MANING"),ROWS($E$5:E999)),"")</f>
        <v/>
      </c>
      <c r="F999" s="5" t="n"/>
    </row>
    <row r="1000">
      <c r="A1000" s="10">
        <f>IF($E1000="","",INDEX('Input Transaksi'!$A:$A,$E1000))</f>
        <v/>
      </c>
      <c r="B1000" s="5">
        <f>IF($E1000="","",INDEX('Input Transaksi'!$D:$D,$E1000))</f>
        <v/>
      </c>
      <c r="C1000">
        <f>IF($E1000="","",INDEX('Input Transaksi'!$E:$E,$E1000))</f>
        <v/>
      </c>
      <c r="D1000" s="5">
        <f>IF($E1000="","",INDEX('Input Transaksi'!$F:$F,$E1000))</f>
        <v/>
      </c>
      <c r="E1000">
        <f>IFERROR(AGGREGATE(15,6,ROW('Input Transaksi'!$B$5:$B$5000)/('Input Transaksi'!$B$5:$B$5000="MONANG MANING"),ROWS($E$5:E1000)),"")</f>
        <v/>
      </c>
      <c r="F1000" s="5" t="n"/>
    </row>
  </sheetData>
  <autoFilter ref="A4:D1000"/>
  <mergeCells count="1">
    <mergeCell ref="A1:E1"/>
  </mergeCells>
  <hyperlinks>
    <hyperlink ref="F1" location="'Beranda'!A1" display="Kembali ke Beranda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Outlet</t>
        </is>
      </c>
    </row>
    <row r="2">
      <c r="A2" t="inlineStr">
        <is>
          <t>JCL SIDAKARYA</t>
        </is>
      </c>
    </row>
    <row r="3">
      <c r="A3" t="inlineStr">
        <is>
          <t>BALI WASH GALANG</t>
        </is>
      </c>
    </row>
    <row r="4">
      <c r="A4" t="inlineStr">
        <is>
          <t>JCL BYPASS</t>
        </is>
      </c>
    </row>
    <row r="5">
      <c r="A5" t="inlineStr">
        <is>
          <t>JCL SESETAN</t>
        </is>
      </c>
    </row>
    <row r="6">
      <c r="A6" t="inlineStr">
        <is>
          <t>CL SESETAN</t>
        </is>
      </c>
    </row>
    <row r="7">
      <c r="A7" t="inlineStr">
        <is>
          <t>GRIYA ANYAR</t>
        </is>
      </c>
    </row>
    <row r="8">
      <c r="A8" t="inlineStr">
        <is>
          <t>KLIN WASH</t>
        </is>
      </c>
    </row>
    <row r="9">
      <c r="A9" t="inlineStr">
        <is>
          <t>LONDRI DEWE</t>
        </is>
      </c>
    </row>
    <row r="10">
      <c r="A10" t="inlineStr">
        <is>
          <t>DIY</t>
        </is>
      </c>
    </row>
    <row r="11">
      <c r="A11" t="inlineStr">
        <is>
          <t>JCL PEMOGAN</t>
        </is>
      </c>
    </row>
    <row r="12">
      <c r="A12" t="inlineStr">
        <is>
          <t>JCL AYANI</t>
        </is>
      </c>
    </row>
    <row r="13">
      <c r="A13" t="inlineStr">
        <is>
          <t>CUCI DEWE</t>
        </is>
      </c>
    </row>
    <row r="14">
      <c r="A14" t="inlineStr">
        <is>
          <t>LONDRI DEWE ANTASURA</t>
        </is>
      </c>
    </row>
    <row r="15">
      <c r="A15" t="inlineStr">
        <is>
          <t>GEDE LONDRI</t>
        </is>
      </c>
    </row>
    <row r="16">
      <c r="A16" t="inlineStr">
        <is>
          <t>JCL NUSA KAMBANGAN</t>
        </is>
      </c>
    </row>
    <row r="17">
      <c r="A17" t="inlineStr">
        <is>
          <t>JCL MERPATI</t>
        </is>
      </c>
    </row>
    <row r="18">
      <c r="A18" t="inlineStr">
        <is>
          <t>BALI WASH</t>
        </is>
      </c>
    </row>
    <row r="19">
      <c r="A19" t="inlineStr">
        <is>
          <t>RINJANI WASH</t>
        </is>
      </c>
    </row>
    <row r="20">
      <c r="A20" t="inlineStr">
        <is>
          <t>MONANG MANING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2026-06-15T18:17:24Z</dcterms:created>
  <dcterms:modified xsi:type="dcterms:W3CDTF">2026-06-19T13:45:37Z</dcterms:modified>
  <cp:lastModifiedBy>i729</cp:lastModifiedBy>
</cp:coreProperties>
</file>